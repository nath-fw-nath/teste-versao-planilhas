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spreadsheetml.worksheet+xml" PartName="/xl/worksheets/sheet9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4.xml"/>
  <Override ContentType="application/vnd.openxmlformats-officedocument.spreadsheetml.worksheet+xml" PartName="/xl/worksheets/sheet15.xml"/>
  <Override ContentType="application/vnd.openxmlformats-officedocument.spreadsheetml.worksheet+xml" PartName="/xl/worksheets/sheet16.xml"/>
  <Override ContentType="application/vnd.openxmlformats-officedocument.spreadsheetml.worksheet+xml" PartName="/xl/worksheets/sheet17.xml"/>
  <Override ContentType="application/vnd.openxmlformats-officedocument.spreadsheetml.worksheet+xml" PartName="/xl/worksheets/sheet18.xml"/>
  <Override ContentType="application/vnd.openxmlformats-officedocument.spreadsheetml.worksheet+xml" PartName="/xl/worksheets/sheet19.xml"/>
  <Override ContentType="application/vnd.openxmlformats-officedocument.spreadsheetml.worksheet+xml" PartName="/xl/worksheets/sheet20.xml"/>
  <Override ContentType="application/vnd.openxmlformats-officedocument.spreadsheetml.worksheet+xml" PartName="/xl/worksheets/sheet21.xml"/>
  <Override ContentType="application/vnd.openxmlformats-officedocument.spreadsheetml.worksheet+xml" PartName="/xl/worksheets/sheet22.xml"/>
  <Override ContentType="application/vnd.openxmlformats-officedocument.spreadsheetml.worksheet+xml" PartName="/xl/worksheets/sheet23.xml"/>
  <Override ContentType="application/vnd.openxmlformats-officedocument.spreadsheetml.worksheet+xml" PartName="/xl/worksheets/sheet24.xml"/>
  <Override ContentType="application/vnd.openxmlformats-officedocument.spreadsheetml.worksheet+xml" PartName="/xl/worksheets/sheet25.xml"/>
  <Override ContentType="application/vnd.openxmlformats-officedocument.spreadsheetml.worksheet+xml" PartName="/xl/worksheets/sheet26.xml"/>
  <Override ContentType="application/vnd.openxmlformats-officedocument.spreadsheetml.worksheet+xml" PartName="/xl/worksheets/sheet27.xml"/>
  <Override ContentType="application/vnd.openxmlformats-officedocument.spreadsheetml.worksheet+xml" PartName="/xl/worksheets/sheet28.xml"/>
  <Override ContentType="application/vnd.openxmlformats-officedocument.spreadsheetml.worksheet+xml" PartName="/xl/worksheets/sheet29.xml"/>
  <Override ContentType="application/vnd.openxmlformats-officedocument.spreadsheetml.worksheet+xml" PartName="/xl/worksheets/sheet30.xml"/>
  <Override ContentType="application/vnd.openxmlformats-officedocument.spreadsheetml.worksheet+xml" PartName="/xl/worksheets/sheet31.xml"/>
  <Override ContentType="application/vnd.openxmlformats-officedocument.spreadsheetml.worksheet+xml" PartName="/xl/worksheets/sheet32.xml"/>
  <Override ContentType="application/vnd.openxmlformats-officedocument.spreadsheetml.worksheet+xml" PartName="/xl/worksheets/sheet33.xml"/>
  <Override ContentType="application/vnd.openxmlformats-officedocument.spreadsheetml.worksheet+xml" PartName="/xl/worksheets/sheet34.xml"/>
  <Override ContentType="application/vnd.openxmlformats-officedocument.spreadsheetml.worksheet+xml" PartName="/xl/worksheets/sheet35.xml"/>
  <Override ContentType="application/vnd.openxmlformats-officedocument.spreadsheetml.worksheet+xml" PartName="/xl/worksheets/sheet36.xml"/>
  <Override ContentType="application/vnd.openxmlformats-officedocument.spreadsheetml.worksheet+xml" PartName="/xl/worksheets/sheet37.xml"/>
  <Override ContentType="application/vnd.openxmlformats-officedocument.spreadsheetml.worksheet+xml" PartName="/xl/worksheets/sheet38.xml"/>
  <Override ContentType="application/vnd.openxmlformats-officedocument.spreadsheetml.worksheet+xml" PartName="/xl/worksheets/sheet39.xml"/>
  <Override ContentType="application/vnd.openxmlformats-officedocument.spreadsheetml.worksheet+xml" PartName="/xl/worksheets/sheet40.xml"/>
  <Override ContentType="application/vnd.openxmlformats-officedocument.spreadsheetml.worksheet+xml" PartName="/xl/worksheets/sheet41.xml"/>
  <Override ContentType="application/vnd.openxmlformats-officedocument.spreadsheetml.worksheet+xml" PartName="/xl/worksheets/sheet42.xml"/>
  <Override ContentType="application/vnd.openxmlformats-officedocument.spreadsheetml.worksheet+xml" PartName="/xl/worksheets/sheet43.xml"/>
  <Override ContentType="application/vnd.openxmlformats-officedocument.spreadsheetml.worksheet+xml" PartName="/xl/worksheets/sheet44.xml"/>
  <Override ContentType="application/vnd.openxmlformats-officedocument.spreadsheetml.worksheet+xml" PartName="/xl/worksheets/sheet45.xml"/>
  <Override ContentType="application/vnd.openxmlformats-officedocument.spreadsheetml.worksheet+xml" PartName="/xl/worksheets/sheet46.xml"/>
  <Override ContentType="application/vnd.openxmlformats-officedocument.spreadsheetml.worksheet+xml" PartName="/xl/worksheets/sheet47.xml"/>
  <Override ContentType="application/vnd.openxmlformats-officedocument.spreadsheetml.worksheet+xml" PartName="/xl/worksheets/sheet48.xml"/>
  <Override ContentType="application/vnd.openxmlformats-officedocument.spreadsheetml.worksheet+xml" PartName="/xl/worksheets/sheet49.xml"/>
  <Override ContentType="application/vnd.openxmlformats-officedocument.spreadsheetml.worksheet+xml" PartName="/xl/worksheets/sheet50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package.core-properties+xml" PartName="/docProps/core.xml"/>
  <Override ContentType="application/vnd.openxmlformats-officedocument.extended-properties+xml" PartName="/docProps/app.xml"/>
</Types>
</file>

<file path=_rels/.rels><?xml version="1.0" encoding="UTF-8" standalone="yes"?><Relationships xmlns="http://schemas.openxmlformats.org/package/2006/relationships"><Relationship Target="docProps/app.xml" Type="http://schemas.openxmlformats.org/officeDocument/2006/relationships/extended-properties" Id="rId3"/><Relationship Target="docProps/core.xml" Type="http://schemas.openxmlformats.org/package/2006/relationships/metadata/core-properties" Id="rId2"/><Relationship Target="xl/workbook.xml" Type="http://schemas.openxmlformats.org/officeDocument/2006/relationships/officeDocument" Id="rId1"/></Relationships>
</file>

<file path=xl/workbook.xml><?xml version="1.0" encoding="utf-8"?>
<workbook xmlns="http://schemas.openxmlformats.org/spreadsheetml/2006/main" xmlns:r="http://schemas.openxmlformats.org/officeDocument/2006/relationships">
  <fileVersion rupBuild="9303" lowestEdited="5" lastEdited="5" appName="xl"/>
  <workbookPr/>
  <bookViews>
    <workbookView xWindow="480" yWindow="60" windowWidth="18195" windowHeight="8505" activeTab="49"/>
  </bookViews>
  <sheets>
    <sheet r:id="rId1" sheetId="1" name="Aba_01"/>
    <sheet r:id="rId2" sheetId="2" name="Aba_02"/>
    <sheet r:id="rId3" sheetId="3" name="Aba_03"/>
    <sheet r:id="rId4" sheetId="4" name="Aba_04"/>
    <sheet r:id="rId5" sheetId="5" name="Aba_05"/>
    <sheet r:id="rId6" sheetId="6" name="Aba_06"/>
    <sheet r:id="rId7" sheetId="7" name="Aba_07"/>
    <sheet r:id="rId8" sheetId="8" name="Aba_08"/>
    <sheet r:id="rId9" sheetId="9" name="Aba_09"/>
    <sheet r:id="rId10" sheetId="10" name="Aba_10"/>
    <sheet r:id="rId11" sheetId="11" name="Aba_11"/>
    <sheet r:id="rId12" sheetId="12" name="Aba_12"/>
    <sheet r:id="rId13" sheetId="13" name="Aba_13"/>
    <sheet r:id="rId14" sheetId="14" name="Aba_14"/>
    <sheet r:id="rId15" sheetId="15" name="Aba_15"/>
    <sheet r:id="rId16" sheetId="16" name="Aba_16"/>
    <sheet r:id="rId17" sheetId="17" name="Aba_17"/>
    <sheet r:id="rId18" sheetId="18" name="Aba_18"/>
    <sheet r:id="rId19" sheetId="19" name="Aba_19"/>
    <sheet r:id="rId20" sheetId="20" name="Aba_20"/>
    <sheet r:id="rId21" sheetId="21" name="Aba_21"/>
    <sheet r:id="rId22" sheetId="22" name="Aba_22"/>
    <sheet r:id="rId23" sheetId="23" name="Aba_23"/>
    <sheet r:id="rId24" sheetId="24" name="Aba_24"/>
    <sheet r:id="rId25" sheetId="25" name="Aba_25"/>
    <sheet r:id="rId26" sheetId="26" name="Aba_26"/>
    <sheet r:id="rId27" sheetId="27" name="Aba_27"/>
    <sheet r:id="rId28" sheetId="28" name="Aba_28"/>
    <sheet r:id="rId29" sheetId="29" name="Aba_29"/>
    <sheet r:id="rId30" sheetId="30" name="Aba_30"/>
    <sheet r:id="rId31" sheetId="31" name="Aba_31"/>
    <sheet r:id="rId32" sheetId="32" name="Aba_32"/>
    <sheet r:id="rId33" sheetId="33" name="Aba_33"/>
    <sheet r:id="rId34" sheetId="34" name="Aba_34"/>
    <sheet r:id="rId35" sheetId="35" name="Aba_35"/>
    <sheet r:id="rId36" sheetId="36" name="Aba_36"/>
    <sheet r:id="rId37" sheetId="37" name="Aba_37"/>
    <sheet r:id="rId38" sheetId="38" name="Aba_38"/>
    <sheet r:id="rId39" sheetId="39" name="Aba_39"/>
    <sheet r:id="rId40" sheetId="40" name="Aba_40"/>
    <sheet r:id="rId41" sheetId="41" name="Aba_41"/>
    <sheet r:id="rId42" sheetId="42" name="Aba_42"/>
    <sheet r:id="rId43" sheetId="43" name="Aba_43"/>
    <sheet r:id="rId44" sheetId="44" name="Aba_44"/>
    <sheet r:id="rId45" sheetId="45" name="Aba_45"/>
    <sheet r:id="rId46" sheetId="46" name="Aba_46"/>
    <sheet r:id="rId47" sheetId="47" name="Aba_47"/>
    <sheet r:id="rId48" sheetId="48" name="Aba_48"/>
    <sheet r:id="rId49" sheetId="49" name="Aba_49"/>
    <sheet r:id="rId50" sheetId="50" name="Aba_50"/>
  </sheets>
  <calcPr fullCalcOnLoad="1"/>
</workbook>
</file>

<file path=xl/sharedStrings.xml><?xml version="1.0" encoding="utf-8"?>
<sst xmlns="http://schemas.openxmlformats.org/spreadsheetml/2006/main" count="102100" uniqueCount="13861">
  <si>
    <t>Planilha — Aba 50 | Relatório de Equipe</t>
  </si>
  <si>
    <t>Este relatório apresenta dados consolidados de colaboradores para análise de desempenho e alocação.</t>
  </si>
  <si>
    <t>Tabela 1 — Engenharia (Aba 50)</t>
  </si>
  <si>
    <t>ID</t>
  </si>
  <si>
    <t>Nome</t>
  </si>
  <si>
    <t>Departamento</t>
  </si>
  <si>
    <t>Cargo</t>
  </si>
  <si>
    <t>Salário</t>
  </si>
  <si>
    <t>Data Admissão</t>
  </si>
  <si>
    <t>Status</t>
  </si>
  <si>
    <t>Avaliação</t>
  </si>
  <si>
    <t>Projeto</t>
  </si>
  <si>
    <t>Meta</t>
  </si>
  <si>
    <t>50001</t>
  </si>
  <si>
    <t>Colaborador A1</t>
  </si>
  <si>
    <t>Engenharia</t>
  </si>
  <si>
    <t>Júnior</t>
  </si>
  <si>
    <t>2022-01-01</t>
  </si>
  <si>
    <t>Ativo</t>
  </si>
  <si>
    <t>Moonlight</t>
  </si>
  <si>
    <t>50002</t>
  </si>
  <si>
    <t>Colaborador B1</t>
  </si>
  <si>
    <t>Pleno</t>
  </si>
  <si>
    <t>2022-02-02</t>
  </si>
  <si>
    <t>Férias</t>
  </si>
  <si>
    <t>Backstage</t>
  </si>
  <si>
    <t>50003</t>
  </si>
  <si>
    <t>Colaborador C1</t>
  </si>
  <si>
    <t>Sênior</t>
  </si>
  <si>
    <t>2022-03-03</t>
  </si>
  <si>
    <t>Afastado</t>
  </si>
  <si>
    <t>BuildAgent</t>
  </si>
  <si>
    <t>50004</t>
  </si>
  <si>
    <t>Colaborador D1</t>
  </si>
  <si>
    <t>Especialista</t>
  </si>
  <si>
    <t>2022-04-04</t>
  </si>
  <si>
    <t>DevOps</t>
  </si>
  <si>
    <t>50005</t>
  </si>
  <si>
    <t>Colaborador E1</t>
  </si>
  <si>
    <t>Staff</t>
  </si>
  <si>
    <t>2022-05-05</t>
  </si>
  <si>
    <t>DORA</t>
  </si>
  <si>
    <t>50006</t>
  </si>
  <si>
    <t>Colaborador F1</t>
  </si>
  <si>
    <t>2022-06-06</t>
  </si>
  <si>
    <t>SCIM</t>
  </si>
  <si>
    <t>50007</t>
  </si>
  <si>
    <t>Colaborador G1</t>
  </si>
  <si>
    <t>2022-07-07</t>
  </si>
  <si>
    <t>50008</t>
  </si>
  <si>
    <t>Colaborador H1</t>
  </si>
  <si>
    <t>2022-08-08</t>
  </si>
  <si>
    <t>Total colaboradores na tabela 1:</t>
  </si>
  <si>
    <t>Tabela 2 — Produto (Aba 50)</t>
  </si>
  <si>
    <t>50011</t>
  </si>
  <si>
    <t>Colaborador A2</t>
  </si>
  <si>
    <t>Produto</t>
  </si>
  <si>
    <t>50012</t>
  </si>
  <si>
    <t>Colaborador B2</t>
  </si>
  <si>
    <t>50013</t>
  </si>
  <si>
    <t>Colaborador C2</t>
  </si>
  <si>
    <t>50014</t>
  </si>
  <si>
    <t>Colaborador D2</t>
  </si>
  <si>
    <t>50015</t>
  </si>
  <si>
    <t>Colaborador E2</t>
  </si>
  <si>
    <t>50016</t>
  </si>
  <si>
    <t>Colaborador F2</t>
  </si>
  <si>
    <t>Lead</t>
  </si>
  <si>
    <t>50017</t>
  </si>
  <si>
    <t>Colaborador G2</t>
  </si>
  <si>
    <t>50018</t>
  </si>
  <si>
    <t>Colaborador H2</t>
  </si>
  <si>
    <t>Total colaboradores na tabela 2:</t>
  </si>
  <si>
    <t>Tabela 3 — Design (Aba 50)</t>
  </si>
  <si>
    <t>50021</t>
  </si>
  <si>
    <t>Colaborador A3</t>
  </si>
  <si>
    <t>Design</t>
  </si>
  <si>
    <t>50022</t>
  </si>
  <si>
    <t>Colaborador B3</t>
  </si>
  <si>
    <t>50023</t>
  </si>
  <si>
    <t>Colaborador C3</t>
  </si>
  <si>
    <t>50024</t>
  </si>
  <si>
    <t>Colaborador D3</t>
  </si>
  <si>
    <t>50025</t>
  </si>
  <si>
    <t>Colaborador E3</t>
  </si>
  <si>
    <t>50026</t>
  </si>
  <si>
    <t>Colaborador F3</t>
  </si>
  <si>
    <t>50027</t>
  </si>
  <si>
    <t>Colaborador G3</t>
  </si>
  <si>
    <t>50028</t>
  </si>
  <si>
    <t>Colaborador H3</t>
  </si>
  <si>
    <t>Total colaboradores na tabela 3:</t>
  </si>
  <si>
    <t>Tabela 4 — DevEx (Aba 50)</t>
  </si>
  <si>
    <t>50031</t>
  </si>
  <si>
    <t>Colaborador A4</t>
  </si>
  <si>
    <t>DevEx</t>
  </si>
  <si>
    <t>50032</t>
  </si>
  <si>
    <t>Colaborador B4</t>
  </si>
  <si>
    <t>50033</t>
  </si>
  <si>
    <t>Colaborador C4</t>
  </si>
  <si>
    <t>50034</t>
  </si>
  <si>
    <t>Colaborador D4</t>
  </si>
  <si>
    <t>50035</t>
  </si>
  <si>
    <t>Colaborador E4</t>
  </si>
  <si>
    <t>50036</t>
  </si>
  <si>
    <t>Colaborador F4</t>
  </si>
  <si>
    <t>50037</t>
  </si>
  <si>
    <t>Colaborador G4</t>
  </si>
  <si>
    <t>50038</t>
  </si>
  <si>
    <t>Colaborador H4</t>
  </si>
  <si>
    <t>Total colaboradores na tabela 4:</t>
  </si>
  <si>
    <t>Tabela 5 — Dados (Aba 50)</t>
  </si>
  <si>
    <t>50041</t>
  </si>
  <si>
    <t>Colaborador A5</t>
  </si>
  <si>
    <t>Dados</t>
  </si>
  <si>
    <t>50042</t>
  </si>
  <si>
    <t>Colaborador B5</t>
  </si>
  <si>
    <t>50043</t>
  </si>
  <si>
    <t>Colaborador C5</t>
  </si>
  <si>
    <t>50044</t>
  </si>
  <si>
    <t>Colaborador D5</t>
  </si>
  <si>
    <t>50045</t>
  </si>
  <si>
    <t>Colaborador E5</t>
  </si>
  <si>
    <t>50046</t>
  </si>
  <si>
    <t>Colaborador F5</t>
  </si>
  <si>
    <t>50047</t>
  </si>
  <si>
    <t>Colaborador G5</t>
  </si>
  <si>
    <t>50048</t>
  </si>
  <si>
    <t>Colaborador H5</t>
  </si>
  <si>
    <t>Total colaboradores na tabela 5:</t>
  </si>
  <si>
    <t>Tabela 6 — Infra (Aba 50)</t>
  </si>
  <si>
    <t>50051</t>
  </si>
  <si>
    <t>Colaborador A6</t>
  </si>
  <si>
    <t>Infra</t>
  </si>
  <si>
    <t>50052</t>
  </si>
  <si>
    <t>Colaborador B6</t>
  </si>
  <si>
    <t>50053</t>
  </si>
  <si>
    <t>Colaborador C6</t>
  </si>
  <si>
    <t>50054</t>
  </si>
  <si>
    <t>Colaborador D6</t>
  </si>
  <si>
    <t>50055</t>
  </si>
  <si>
    <t>Colaborador E6</t>
  </si>
  <si>
    <t>50056</t>
  </si>
  <si>
    <t>Colaborador F6</t>
  </si>
  <si>
    <t>50057</t>
  </si>
  <si>
    <t>Colaborador G6</t>
  </si>
  <si>
    <t>50058</t>
  </si>
  <si>
    <t>Colaborador H6</t>
  </si>
  <si>
    <t>Total colaboradores na tabela 6:</t>
  </si>
  <si>
    <t>Tabela 7 — Segurança (Aba 50)</t>
  </si>
  <si>
    <t>50061</t>
  </si>
  <si>
    <t>Colaborador A7</t>
  </si>
  <si>
    <t>Segurança</t>
  </si>
  <si>
    <t>50062</t>
  </si>
  <si>
    <t>Colaborador B7</t>
  </si>
  <si>
    <t>50063</t>
  </si>
  <si>
    <t>Colaborador C7</t>
  </si>
  <si>
    <t>50064</t>
  </si>
  <si>
    <t>Colaborador D7</t>
  </si>
  <si>
    <t>50065</t>
  </si>
  <si>
    <t>Colaborador E7</t>
  </si>
  <si>
    <t>50066</t>
  </si>
  <si>
    <t>Colaborador F7</t>
  </si>
  <si>
    <t>50067</t>
  </si>
  <si>
    <t>Colaborador G7</t>
  </si>
  <si>
    <t>50068</t>
  </si>
  <si>
    <t>Colaborador H7</t>
  </si>
  <si>
    <t>Total colaboradores na tabela 7:</t>
  </si>
  <si>
    <t>Tabela 8 — Engenharia (Aba 50)</t>
  </si>
  <si>
    <t>50071</t>
  </si>
  <si>
    <t>Colaborador A8</t>
  </si>
  <si>
    <t>50072</t>
  </si>
  <si>
    <t>Colaborador B8</t>
  </si>
  <si>
    <t>50073</t>
  </si>
  <si>
    <t>Colaborador C8</t>
  </si>
  <si>
    <t>50074</t>
  </si>
  <si>
    <t>Colaborador D8</t>
  </si>
  <si>
    <t>50075</t>
  </si>
  <si>
    <t>Colaborador E8</t>
  </si>
  <si>
    <t>50076</t>
  </si>
  <si>
    <t>Colaborador F8</t>
  </si>
  <si>
    <t>50077</t>
  </si>
  <si>
    <t>Colaborador G8</t>
  </si>
  <si>
    <t>50078</t>
  </si>
  <si>
    <t>Colaborador H8</t>
  </si>
  <si>
    <t>Total colaboradores na tabela 8:</t>
  </si>
  <si>
    <t>Tabela 9 — Produto (Aba 50)</t>
  </si>
  <si>
    <t>50081</t>
  </si>
  <si>
    <t>Colaborador A9</t>
  </si>
  <si>
    <t>50082</t>
  </si>
  <si>
    <t>Colaborador B9</t>
  </si>
  <si>
    <t>50083</t>
  </si>
  <si>
    <t>Colaborador C9</t>
  </si>
  <si>
    <t>50084</t>
  </si>
  <si>
    <t>Colaborador D9</t>
  </si>
  <si>
    <t>50085</t>
  </si>
  <si>
    <t>Colaborador E9</t>
  </si>
  <si>
    <t>50086</t>
  </si>
  <si>
    <t>Colaborador F9</t>
  </si>
  <si>
    <t>50087</t>
  </si>
  <si>
    <t>Colaborador G9</t>
  </si>
  <si>
    <t>50088</t>
  </si>
  <si>
    <t>Colaborador H9</t>
  </si>
  <si>
    <t>Total colaboradores na tabela 9:</t>
  </si>
  <si>
    <t>Tabela 10 — Design (Aba 50)</t>
  </si>
  <si>
    <t>50091</t>
  </si>
  <si>
    <t>Colaborador A10</t>
  </si>
  <si>
    <t>50092</t>
  </si>
  <si>
    <t>Colaborador B10</t>
  </si>
  <si>
    <t>50093</t>
  </si>
  <si>
    <t>Colaborador C10</t>
  </si>
  <si>
    <t>50094</t>
  </si>
  <si>
    <t>Colaborador D10</t>
  </si>
  <si>
    <t>50095</t>
  </si>
  <si>
    <t>Colaborador E10</t>
  </si>
  <si>
    <t>50096</t>
  </si>
  <si>
    <t>Colaborador F10</t>
  </si>
  <si>
    <t>50097</t>
  </si>
  <si>
    <t>Colaborador G10</t>
  </si>
  <si>
    <t>50098</t>
  </si>
  <si>
    <t>Colaborador H10</t>
  </si>
  <si>
    <t>Total colaboradores na tabela 10:</t>
  </si>
  <si>
    <t>Tabela 11 — DevEx (Aba 50)</t>
  </si>
  <si>
    <t>50101</t>
  </si>
  <si>
    <t>Colaborador A11</t>
  </si>
  <si>
    <t>50102</t>
  </si>
  <si>
    <t>Colaborador B11</t>
  </si>
  <si>
    <t>50103</t>
  </si>
  <si>
    <t>Colaborador C11</t>
  </si>
  <si>
    <t>50104</t>
  </si>
  <si>
    <t>Colaborador D11</t>
  </si>
  <si>
    <t>50105</t>
  </si>
  <si>
    <t>Colaborador E11</t>
  </si>
  <si>
    <t>50106</t>
  </si>
  <si>
    <t>Colaborador F11</t>
  </si>
  <si>
    <t>50107</t>
  </si>
  <si>
    <t>Colaborador G11</t>
  </si>
  <si>
    <t>50108</t>
  </si>
  <si>
    <t>Colaborador H11</t>
  </si>
  <si>
    <t>Total colaboradores na tabela 11:</t>
  </si>
  <si>
    <t>Tabela 12 — Dados (Aba 50)</t>
  </si>
  <si>
    <t>50111</t>
  </si>
  <si>
    <t>Colaborador A12</t>
  </si>
  <si>
    <t>50112</t>
  </si>
  <si>
    <t>Colaborador B12</t>
  </si>
  <si>
    <t>50113</t>
  </si>
  <si>
    <t>Colaborador C12</t>
  </si>
  <si>
    <t>50114</t>
  </si>
  <si>
    <t>Colaborador D12</t>
  </si>
  <si>
    <t>50115</t>
  </si>
  <si>
    <t>Colaborador E12</t>
  </si>
  <si>
    <t>50116</t>
  </si>
  <si>
    <t>Colaborador F12</t>
  </si>
  <si>
    <t>50117</t>
  </si>
  <si>
    <t>Colaborador G12</t>
  </si>
  <si>
    <t>50118</t>
  </si>
  <si>
    <t>Colaborador H12</t>
  </si>
  <si>
    <t>Total colaboradores na tabela 12:</t>
  </si>
  <si>
    <t>Tabela 13 — Infra (Aba 50)</t>
  </si>
  <si>
    <t>50121</t>
  </si>
  <si>
    <t>Colaborador A13</t>
  </si>
  <si>
    <t>50122</t>
  </si>
  <si>
    <t>Colaborador B13</t>
  </si>
  <si>
    <t>50123</t>
  </si>
  <si>
    <t>Colaborador C13</t>
  </si>
  <si>
    <t>50124</t>
  </si>
  <si>
    <t>Colaborador D13</t>
  </si>
  <si>
    <t>50125</t>
  </si>
  <si>
    <t>Colaborador E13</t>
  </si>
  <si>
    <t>50126</t>
  </si>
  <si>
    <t>Colaborador F13</t>
  </si>
  <si>
    <t>50127</t>
  </si>
  <si>
    <t>Colaborador G13</t>
  </si>
  <si>
    <t>50128</t>
  </si>
  <si>
    <t>Colaborador H13</t>
  </si>
  <si>
    <t>Total colaboradores na tabela 13:</t>
  </si>
  <si>
    <t>Tabela 14 — Segurança (Aba 50)</t>
  </si>
  <si>
    <t>50131</t>
  </si>
  <si>
    <t>Colaborador A14</t>
  </si>
  <si>
    <t>50132</t>
  </si>
  <si>
    <t>Colaborador B14</t>
  </si>
  <si>
    <t>50133</t>
  </si>
  <si>
    <t>Colaborador C14</t>
  </si>
  <si>
    <t>50134</t>
  </si>
  <si>
    <t>Colaborador D14</t>
  </si>
  <si>
    <t>50135</t>
  </si>
  <si>
    <t>Colaborador E14</t>
  </si>
  <si>
    <t>50136</t>
  </si>
  <si>
    <t>Colaborador F14</t>
  </si>
  <si>
    <t>50137</t>
  </si>
  <si>
    <t>Colaborador G14</t>
  </si>
  <si>
    <t>50138</t>
  </si>
  <si>
    <t>Colaborador H14</t>
  </si>
  <si>
    <t>Total colaboradores na tabela 14:</t>
  </si>
  <si>
    <t>Tabela 15 — Engenharia (Aba 50)</t>
  </si>
  <si>
    <t>50141</t>
  </si>
  <si>
    <t>Colaborador A15</t>
  </si>
  <si>
    <t>50142</t>
  </si>
  <si>
    <t>Colaborador B15</t>
  </si>
  <si>
    <t>50143</t>
  </si>
  <si>
    <t>Colaborador C15</t>
  </si>
  <si>
    <t>50144</t>
  </si>
  <si>
    <t>Colaborador D15</t>
  </si>
  <si>
    <t>50145</t>
  </si>
  <si>
    <t>Colaborador E15</t>
  </si>
  <si>
    <t>50146</t>
  </si>
  <si>
    <t>Colaborador F15</t>
  </si>
  <si>
    <t>50147</t>
  </si>
  <si>
    <t>Colaborador G15</t>
  </si>
  <si>
    <t>50148</t>
  </si>
  <si>
    <t>Colaborador H15</t>
  </si>
  <si>
    <t>Total colaboradores na tabela 15:</t>
  </si>
  <si>
    <t>Tabela 16 — Produto (Aba 50)</t>
  </si>
  <si>
    <t>50151</t>
  </si>
  <si>
    <t>Colaborador A16</t>
  </si>
  <si>
    <t>50152</t>
  </si>
  <si>
    <t>Colaborador B16</t>
  </si>
  <si>
    <t>50153</t>
  </si>
  <si>
    <t>Colaborador C16</t>
  </si>
  <si>
    <t>50154</t>
  </si>
  <si>
    <t>Colaborador D16</t>
  </si>
  <si>
    <t>50155</t>
  </si>
  <si>
    <t>Colaborador E16</t>
  </si>
  <si>
    <t>50156</t>
  </si>
  <si>
    <t>Colaborador F16</t>
  </si>
  <si>
    <t>50157</t>
  </si>
  <si>
    <t>Colaborador G16</t>
  </si>
  <si>
    <t>50158</t>
  </si>
  <si>
    <t>Colaborador H16</t>
  </si>
  <si>
    <t>Total colaboradores na tabela 16:</t>
  </si>
  <si>
    <t>Tabela 17 — Design (Aba 50)</t>
  </si>
  <si>
    <t>50161</t>
  </si>
  <si>
    <t>Colaborador A17</t>
  </si>
  <si>
    <t>50162</t>
  </si>
  <si>
    <t>Colaborador B17</t>
  </si>
  <si>
    <t>50163</t>
  </si>
  <si>
    <t>Colaborador C17</t>
  </si>
  <si>
    <t>50164</t>
  </si>
  <si>
    <t>Colaborador D17</t>
  </si>
  <si>
    <t>50165</t>
  </si>
  <si>
    <t>Colaborador E17</t>
  </si>
  <si>
    <t>50166</t>
  </si>
  <si>
    <t>Colaborador F17</t>
  </si>
  <si>
    <t>50167</t>
  </si>
  <si>
    <t>Colaborador G17</t>
  </si>
  <si>
    <t>50168</t>
  </si>
  <si>
    <t>Colaborador H17</t>
  </si>
  <si>
    <t>Total colaboradores na tabela 17:</t>
  </si>
  <si>
    <t>Tabela 18 — DevEx (Aba 50)</t>
  </si>
  <si>
    <t>50171</t>
  </si>
  <si>
    <t>Colaborador A18</t>
  </si>
  <si>
    <t>50172</t>
  </si>
  <si>
    <t>Colaborador B18</t>
  </si>
  <si>
    <t>50173</t>
  </si>
  <si>
    <t>Colaborador C18</t>
  </si>
  <si>
    <t>50174</t>
  </si>
  <si>
    <t>Colaborador D18</t>
  </si>
  <si>
    <t>50175</t>
  </si>
  <si>
    <t>Colaborador E18</t>
  </si>
  <si>
    <t>50176</t>
  </si>
  <si>
    <t>Colaborador F18</t>
  </si>
  <si>
    <t>50177</t>
  </si>
  <si>
    <t>Colaborador G18</t>
  </si>
  <si>
    <t>50178</t>
  </si>
  <si>
    <t>Colaborador H18</t>
  </si>
  <si>
    <t>Total colaboradores na tabela 18:</t>
  </si>
  <si>
    <t>Tabela 19 — Dados (Aba 50)</t>
  </si>
  <si>
    <t>50181</t>
  </si>
  <si>
    <t>Colaborador A19</t>
  </si>
  <si>
    <t>50182</t>
  </si>
  <si>
    <t>Colaborador B19</t>
  </si>
  <si>
    <t>50183</t>
  </si>
  <si>
    <t>Colaborador C19</t>
  </si>
  <si>
    <t>50184</t>
  </si>
  <si>
    <t>Colaborador D19</t>
  </si>
  <si>
    <t>50185</t>
  </si>
  <si>
    <t>Colaborador E19</t>
  </si>
  <si>
    <t>50186</t>
  </si>
  <si>
    <t>Colaborador F19</t>
  </si>
  <si>
    <t>50187</t>
  </si>
  <si>
    <t>Colaborador G19</t>
  </si>
  <si>
    <t>50188</t>
  </si>
  <si>
    <t>Colaborador H19</t>
  </si>
  <si>
    <t>Total colaboradores na tabela 19:</t>
  </si>
  <si>
    <t>Tabela 20 — Infra (Aba 50)</t>
  </si>
  <si>
    <t>50191</t>
  </si>
  <si>
    <t>Colaborador A20</t>
  </si>
  <si>
    <t>50192</t>
  </si>
  <si>
    <t>Colaborador B20</t>
  </si>
  <si>
    <t>50193</t>
  </si>
  <si>
    <t>Colaborador C20</t>
  </si>
  <si>
    <t>50194</t>
  </si>
  <si>
    <t>Colaborador D20</t>
  </si>
  <si>
    <t>50195</t>
  </si>
  <si>
    <t>Colaborador E20</t>
  </si>
  <si>
    <t>50196</t>
  </si>
  <si>
    <t>Colaborador F20</t>
  </si>
  <si>
    <t>50197</t>
  </si>
  <si>
    <t>Colaborador G20</t>
  </si>
  <si>
    <t>50198</t>
  </si>
  <si>
    <t>Colaborador H20</t>
  </si>
  <si>
    <t>Total colaboradores na tabela 20:</t>
  </si>
  <si>
    <t>Tabela 21 — Segurança (Aba 50)</t>
  </si>
  <si>
    <t>50201</t>
  </si>
  <si>
    <t>Colaborador A21</t>
  </si>
  <si>
    <t>50202</t>
  </si>
  <si>
    <t>Colaborador B21</t>
  </si>
  <si>
    <t>50203</t>
  </si>
  <si>
    <t>Colaborador C21</t>
  </si>
  <si>
    <t>50204</t>
  </si>
  <si>
    <t>Colaborador D21</t>
  </si>
  <si>
    <t>50205</t>
  </si>
  <si>
    <t>Colaborador E21</t>
  </si>
  <si>
    <t>50206</t>
  </si>
  <si>
    <t>Colaborador F21</t>
  </si>
  <si>
    <t>50207</t>
  </si>
  <si>
    <t>Colaborador G21</t>
  </si>
  <si>
    <t>50208</t>
  </si>
  <si>
    <t>Colaborador H21</t>
  </si>
  <si>
    <t>Total colaboradores na tabela 21:</t>
  </si>
  <si>
    <t>Tabela 22 — Engenharia (Aba 50)</t>
  </si>
  <si>
    <t>50211</t>
  </si>
  <si>
    <t>Colaborador A22</t>
  </si>
  <si>
    <t>50212</t>
  </si>
  <si>
    <t>Colaborador B22</t>
  </si>
  <si>
    <t>50213</t>
  </si>
  <si>
    <t>Colaborador C22</t>
  </si>
  <si>
    <t>50214</t>
  </si>
  <si>
    <t>Colaborador D22</t>
  </si>
  <si>
    <t>50215</t>
  </si>
  <si>
    <t>Colaborador E22</t>
  </si>
  <si>
    <t>50216</t>
  </si>
  <si>
    <t>Colaborador F22</t>
  </si>
  <si>
    <t>50217</t>
  </si>
  <si>
    <t>Colaborador G22</t>
  </si>
  <si>
    <t>50218</t>
  </si>
  <si>
    <t>Colaborador H22</t>
  </si>
  <si>
    <t>Total colaboradores na tabela 22:</t>
  </si>
  <si>
    <t>Tabela 23 — Produto (Aba 50)</t>
  </si>
  <si>
    <t>50221</t>
  </si>
  <si>
    <t>Colaborador A23</t>
  </si>
  <si>
    <t>50222</t>
  </si>
  <si>
    <t>Colaborador B23</t>
  </si>
  <si>
    <t>50223</t>
  </si>
  <si>
    <t>Colaborador C23</t>
  </si>
  <si>
    <t>50224</t>
  </si>
  <si>
    <t>Colaborador D23</t>
  </si>
  <si>
    <t>50225</t>
  </si>
  <si>
    <t>Colaborador E23</t>
  </si>
  <si>
    <t>50226</t>
  </si>
  <si>
    <t>Colaborador F23</t>
  </si>
  <si>
    <t>50227</t>
  </si>
  <si>
    <t>Colaborador G23</t>
  </si>
  <si>
    <t>50228</t>
  </si>
  <si>
    <t>Colaborador H23</t>
  </si>
  <si>
    <t>Total colaboradores na tabela 23:</t>
  </si>
  <si>
    <t>Tabela 24 — Design (Aba 50)</t>
  </si>
  <si>
    <t>50231</t>
  </si>
  <si>
    <t>Colaborador A24</t>
  </si>
  <si>
    <t>50232</t>
  </si>
  <si>
    <t>Colaborador B24</t>
  </si>
  <si>
    <t>50233</t>
  </si>
  <si>
    <t>Colaborador C24</t>
  </si>
  <si>
    <t>50234</t>
  </si>
  <si>
    <t>Colaborador D24</t>
  </si>
  <si>
    <t>50235</t>
  </si>
  <si>
    <t>Colaborador E24</t>
  </si>
  <si>
    <t>50236</t>
  </si>
  <si>
    <t>Colaborador F24</t>
  </si>
  <si>
    <t>50237</t>
  </si>
  <si>
    <t>Colaborador G24</t>
  </si>
  <si>
    <t>50238</t>
  </si>
  <si>
    <t>Colaborador H24</t>
  </si>
  <si>
    <t>Total colaboradores na tabela 24:</t>
  </si>
  <si>
    <t>Tabela 25 — DevEx (Aba 50)</t>
  </si>
  <si>
    <t>50241</t>
  </si>
  <si>
    <t>Colaborador A25</t>
  </si>
  <si>
    <t>50242</t>
  </si>
  <si>
    <t>Colaborador B25</t>
  </si>
  <si>
    <t>50243</t>
  </si>
  <si>
    <t>Colaborador C25</t>
  </si>
  <si>
    <t>50244</t>
  </si>
  <si>
    <t>Colaborador D25</t>
  </si>
  <si>
    <t>50245</t>
  </si>
  <si>
    <t>Colaborador E25</t>
  </si>
  <si>
    <t>50246</t>
  </si>
  <si>
    <t>Colaborador F25</t>
  </si>
  <si>
    <t>50247</t>
  </si>
  <si>
    <t>Colaborador G25</t>
  </si>
  <si>
    <t>50248</t>
  </si>
  <si>
    <t>Colaborador H25</t>
  </si>
  <si>
    <t>Total colaboradores na tabela 25:</t>
  </si>
  <si>
    <t>Tabela 26 — Dados (Aba 50)</t>
  </si>
  <si>
    <t>50251</t>
  </si>
  <si>
    <t>Colaborador A26</t>
  </si>
  <si>
    <t>50252</t>
  </si>
  <si>
    <t>Colaborador B26</t>
  </si>
  <si>
    <t>50253</t>
  </si>
  <si>
    <t>Colaborador C26</t>
  </si>
  <si>
    <t>50254</t>
  </si>
  <si>
    <t>Colaborador D26</t>
  </si>
  <si>
    <t>50255</t>
  </si>
  <si>
    <t>Colaborador E26</t>
  </si>
  <si>
    <t>50256</t>
  </si>
  <si>
    <t>Colaborador F26</t>
  </si>
  <si>
    <t>50257</t>
  </si>
  <si>
    <t>Colaborador G26</t>
  </si>
  <si>
    <t>50258</t>
  </si>
  <si>
    <t>Colaborador H26</t>
  </si>
  <si>
    <t>Total colaboradores na tabela 26:</t>
  </si>
  <si>
    <t>Tabela 27 — Infra (Aba 50)</t>
  </si>
  <si>
    <t>50261</t>
  </si>
  <si>
    <t>Colaborador A27</t>
  </si>
  <si>
    <t>50262</t>
  </si>
  <si>
    <t>Colaborador B27</t>
  </si>
  <si>
    <t>50263</t>
  </si>
  <si>
    <t>Colaborador C27</t>
  </si>
  <si>
    <t>50264</t>
  </si>
  <si>
    <t>Colaborador D27</t>
  </si>
  <si>
    <t>50265</t>
  </si>
  <si>
    <t>Colaborador E27</t>
  </si>
  <si>
    <t>50266</t>
  </si>
  <si>
    <t>Colaborador F27</t>
  </si>
  <si>
    <t>50267</t>
  </si>
  <si>
    <t>Colaborador G27</t>
  </si>
  <si>
    <t>50268</t>
  </si>
  <si>
    <t>Colaborador H27</t>
  </si>
  <si>
    <t>Total colaboradores na tabela 27:</t>
  </si>
  <si>
    <t>Tabela 28 — Segurança (Aba 50)</t>
  </si>
  <si>
    <t>50271</t>
  </si>
  <si>
    <t>Colaborador A28</t>
  </si>
  <si>
    <t>50272</t>
  </si>
  <si>
    <t>Colaborador B28</t>
  </si>
  <si>
    <t>50273</t>
  </si>
  <si>
    <t>Colaborador C28</t>
  </si>
  <si>
    <t>50274</t>
  </si>
  <si>
    <t>Colaborador D28</t>
  </si>
  <si>
    <t>50275</t>
  </si>
  <si>
    <t>Colaborador E28</t>
  </si>
  <si>
    <t>50276</t>
  </si>
  <si>
    <t>Colaborador F28</t>
  </si>
  <si>
    <t>50277</t>
  </si>
  <si>
    <t>Colaborador G28</t>
  </si>
  <si>
    <t>50278</t>
  </si>
  <si>
    <t>Colaborador H28</t>
  </si>
  <si>
    <t>Total colaboradores na tabela 28:</t>
  </si>
  <si>
    <t>Tabela 29 — Engenharia (Aba 50)</t>
  </si>
  <si>
    <t>50281</t>
  </si>
  <si>
    <t>Colaborador A29</t>
  </si>
  <si>
    <t>50282</t>
  </si>
  <si>
    <t>Colaborador B29</t>
  </si>
  <si>
    <t>50283</t>
  </si>
  <si>
    <t>Colaborador C29</t>
  </si>
  <si>
    <t>50284</t>
  </si>
  <si>
    <t>Colaborador D29</t>
  </si>
  <si>
    <t>50285</t>
  </si>
  <si>
    <t>Colaborador E29</t>
  </si>
  <si>
    <t>50286</t>
  </si>
  <si>
    <t>Colaborador F29</t>
  </si>
  <si>
    <t>50287</t>
  </si>
  <si>
    <t>Colaborador G29</t>
  </si>
  <si>
    <t>50288</t>
  </si>
  <si>
    <t>Colaborador H29</t>
  </si>
  <si>
    <t>Total colaboradores na tabela 29:</t>
  </si>
  <si>
    <t>Tabela 30 — Produto (Aba 50)</t>
  </si>
  <si>
    <t>50291</t>
  </si>
  <si>
    <t>Colaborador A30</t>
  </si>
  <si>
    <t>50292</t>
  </si>
  <si>
    <t>Colaborador B30</t>
  </si>
  <si>
    <t>50293</t>
  </si>
  <si>
    <t>Colaborador C30</t>
  </si>
  <si>
    <t>50294</t>
  </si>
  <si>
    <t>Colaborador D30</t>
  </si>
  <si>
    <t>50295</t>
  </si>
  <si>
    <t>Colaborador E30</t>
  </si>
  <si>
    <t>50296</t>
  </si>
  <si>
    <t>Colaborador F30</t>
  </si>
  <si>
    <t>50297</t>
  </si>
  <si>
    <t>Colaborador G30</t>
  </si>
  <si>
    <t>50298</t>
  </si>
  <si>
    <t>Colaborador H30</t>
  </si>
  <si>
    <t>Total colaboradores na tabela 30:</t>
  </si>
  <si>
    <t>Planilha — Aba 49 | Relatório de Equipe</t>
  </si>
  <si>
    <t>Tabela 1 — Engenharia (Aba 49)</t>
  </si>
  <si>
    <t>49001</t>
  </si>
  <si>
    <t>49002</t>
  </si>
  <si>
    <t>49003</t>
  </si>
  <si>
    <t>49004</t>
  </si>
  <si>
    <t>49005</t>
  </si>
  <si>
    <t>49006</t>
  </si>
  <si>
    <t>49007</t>
  </si>
  <si>
    <t>49008</t>
  </si>
  <si>
    <t>Tabela 2 — Produto (Aba 49)</t>
  </si>
  <si>
    <t>49011</t>
  </si>
  <si>
    <t>49012</t>
  </si>
  <si>
    <t>49013</t>
  </si>
  <si>
    <t>49014</t>
  </si>
  <si>
    <t>49015</t>
  </si>
  <si>
    <t>49016</t>
  </si>
  <si>
    <t>49017</t>
  </si>
  <si>
    <t>49018</t>
  </si>
  <si>
    <t>Tabela 3 — Design (Aba 49)</t>
  </si>
  <si>
    <t>49021</t>
  </si>
  <si>
    <t>49022</t>
  </si>
  <si>
    <t>49023</t>
  </si>
  <si>
    <t>49024</t>
  </si>
  <si>
    <t>49025</t>
  </si>
  <si>
    <t>49026</t>
  </si>
  <si>
    <t>49027</t>
  </si>
  <si>
    <t>49028</t>
  </si>
  <si>
    <t>Tabela 4 — DevEx (Aba 49)</t>
  </si>
  <si>
    <t>49031</t>
  </si>
  <si>
    <t>49032</t>
  </si>
  <si>
    <t>49033</t>
  </si>
  <si>
    <t>49034</t>
  </si>
  <si>
    <t>49035</t>
  </si>
  <si>
    <t>49036</t>
  </si>
  <si>
    <t>49037</t>
  </si>
  <si>
    <t>49038</t>
  </si>
  <si>
    <t>Tabela 5 — Dados (Aba 49)</t>
  </si>
  <si>
    <t>49041</t>
  </si>
  <si>
    <t>49042</t>
  </si>
  <si>
    <t>49043</t>
  </si>
  <si>
    <t>49044</t>
  </si>
  <si>
    <t>49045</t>
  </si>
  <si>
    <t>49046</t>
  </si>
  <si>
    <t>49047</t>
  </si>
  <si>
    <t>49048</t>
  </si>
  <si>
    <t>Tabela 6 — Infra (Aba 49)</t>
  </si>
  <si>
    <t>49051</t>
  </si>
  <si>
    <t>49052</t>
  </si>
  <si>
    <t>49053</t>
  </si>
  <si>
    <t>49054</t>
  </si>
  <si>
    <t>49055</t>
  </si>
  <si>
    <t>49056</t>
  </si>
  <si>
    <t>49057</t>
  </si>
  <si>
    <t>49058</t>
  </si>
  <si>
    <t>Tabela 7 — Segurança (Aba 49)</t>
  </si>
  <si>
    <t>49061</t>
  </si>
  <si>
    <t>49062</t>
  </si>
  <si>
    <t>49063</t>
  </si>
  <si>
    <t>49064</t>
  </si>
  <si>
    <t>49065</t>
  </si>
  <si>
    <t>49066</t>
  </si>
  <si>
    <t>49067</t>
  </si>
  <si>
    <t>49068</t>
  </si>
  <si>
    <t>Tabela 8 — Engenharia (Aba 49)</t>
  </si>
  <si>
    <t>49071</t>
  </si>
  <si>
    <t>49072</t>
  </si>
  <si>
    <t>49073</t>
  </si>
  <si>
    <t>49074</t>
  </si>
  <si>
    <t>49075</t>
  </si>
  <si>
    <t>49076</t>
  </si>
  <si>
    <t>49077</t>
  </si>
  <si>
    <t>49078</t>
  </si>
  <si>
    <t>Tabela 9 — Produto (Aba 49)</t>
  </si>
  <si>
    <t>49081</t>
  </si>
  <si>
    <t>49082</t>
  </si>
  <si>
    <t>49083</t>
  </si>
  <si>
    <t>49084</t>
  </si>
  <si>
    <t>49085</t>
  </si>
  <si>
    <t>49086</t>
  </si>
  <si>
    <t>49087</t>
  </si>
  <si>
    <t>49088</t>
  </si>
  <si>
    <t>Tabela 10 — Design (Aba 49)</t>
  </si>
  <si>
    <t>49091</t>
  </si>
  <si>
    <t>49092</t>
  </si>
  <si>
    <t>49093</t>
  </si>
  <si>
    <t>49094</t>
  </si>
  <si>
    <t>49095</t>
  </si>
  <si>
    <t>49096</t>
  </si>
  <si>
    <t>49097</t>
  </si>
  <si>
    <t>49098</t>
  </si>
  <si>
    <t>Tabela 11 — DevEx (Aba 49)</t>
  </si>
  <si>
    <t>49101</t>
  </si>
  <si>
    <t>49102</t>
  </si>
  <si>
    <t>49103</t>
  </si>
  <si>
    <t>49104</t>
  </si>
  <si>
    <t>49105</t>
  </si>
  <si>
    <t>49106</t>
  </si>
  <si>
    <t>49107</t>
  </si>
  <si>
    <t>49108</t>
  </si>
  <si>
    <t>Tabela 12 — Dados (Aba 49)</t>
  </si>
  <si>
    <t>49111</t>
  </si>
  <si>
    <t>49112</t>
  </si>
  <si>
    <t>49113</t>
  </si>
  <si>
    <t>49114</t>
  </si>
  <si>
    <t>49115</t>
  </si>
  <si>
    <t>49116</t>
  </si>
  <si>
    <t>49117</t>
  </si>
  <si>
    <t>49118</t>
  </si>
  <si>
    <t>Tabela 13 — Infra (Aba 49)</t>
  </si>
  <si>
    <t>49121</t>
  </si>
  <si>
    <t>49122</t>
  </si>
  <si>
    <t>49123</t>
  </si>
  <si>
    <t>49124</t>
  </si>
  <si>
    <t>49125</t>
  </si>
  <si>
    <t>49126</t>
  </si>
  <si>
    <t>49127</t>
  </si>
  <si>
    <t>49128</t>
  </si>
  <si>
    <t>Tabela 14 — Segurança (Aba 49)</t>
  </si>
  <si>
    <t>49131</t>
  </si>
  <si>
    <t>49132</t>
  </si>
  <si>
    <t>49133</t>
  </si>
  <si>
    <t>49134</t>
  </si>
  <si>
    <t>49135</t>
  </si>
  <si>
    <t>49136</t>
  </si>
  <si>
    <t>49137</t>
  </si>
  <si>
    <t>49138</t>
  </si>
  <si>
    <t>Tabela 15 — Engenharia (Aba 49)</t>
  </si>
  <si>
    <t>49141</t>
  </si>
  <si>
    <t>49142</t>
  </si>
  <si>
    <t>49143</t>
  </si>
  <si>
    <t>49144</t>
  </si>
  <si>
    <t>49145</t>
  </si>
  <si>
    <t>49146</t>
  </si>
  <si>
    <t>49147</t>
  </si>
  <si>
    <t>49148</t>
  </si>
  <si>
    <t>Tabela 16 — Produto (Aba 49)</t>
  </si>
  <si>
    <t>49151</t>
  </si>
  <si>
    <t>49152</t>
  </si>
  <si>
    <t>49153</t>
  </si>
  <si>
    <t>49154</t>
  </si>
  <si>
    <t>49155</t>
  </si>
  <si>
    <t>49156</t>
  </si>
  <si>
    <t>49157</t>
  </si>
  <si>
    <t>49158</t>
  </si>
  <si>
    <t>Tabela 17 — Design (Aba 49)</t>
  </si>
  <si>
    <t>49161</t>
  </si>
  <si>
    <t>49162</t>
  </si>
  <si>
    <t>49163</t>
  </si>
  <si>
    <t>49164</t>
  </si>
  <si>
    <t>49165</t>
  </si>
  <si>
    <t>49166</t>
  </si>
  <si>
    <t>49167</t>
  </si>
  <si>
    <t>49168</t>
  </si>
  <si>
    <t>Tabela 18 — DevEx (Aba 49)</t>
  </si>
  <si>
    <t>49171</t>
  </si>
  <si>
    <t>49172</t>
  </si>
  <si>
    <t>49173</t>
  </si>
  <si>
    <t>49174</t>
  </si>
  <si>
    <t>49175</t>
  </si>
  <si>
    <t>49176</t>
  </si>
  <si>
    <t>49177</t>
  </si>
  <si>
    <t>49178</t>
  </si>
  <si>
    <t>Tabela 19 — Dados (Aba 49)</t>
  </si>
  <si>
    <t>49181</t>
  </si>
  <si>
    <t>49182</t>
  </si>
  <si>
    <t>49183</t>
  </si>
  <si>
    <t>49184</t>
  </si>
  <si>
    <t>49185</t>
  </si>
  <si>
    <t>49186</t>
  </si>
  <si>
    <t>49187</t>
  </si>
  <si>
    <t>49188</t>
  </si>
  <si>
    <t>Tabela 20 — Infra (Aba 49)</t>
  </si>
  <si>
    <t>49191</t>
  </si>
  <si>
    <t>49192</t>
  </si>
  <si>
    <t>49193</t>
  </si>
  <si>
    <t>49194</t>
  </si>
  <si>
    <t>49195</t>
  </si>
  <si>
    <t>49196</t>
  </si>
  <si>
    <t>49197</t>
  </si>
  <si>
    <t>49198</t>
  </si>
  <si>
    <t>Tabela 21 — Segurança (Aba 49)</t>
  </si>
  <si>
    <t>49201</t>
  </si>
  <si>
    <t>49202</t>
  </si>
  <si>
    <t>49203</t>
  </si>
  <si>
    <t>49204</t>
  </si>
  <si>
    <t>49205</t>
  </si>
  <si>
    <t>49206</t>
  </si>
  <si>
    <t>49207</t>
  </si>
  <si>
    <t>49208</t>
  </si>
  <si>
    <t>Tabela 22 — Engenharia (Aba 49)</t>
  </si>
  <si>
    <t>49211</t>
  </si>
  <si>
    <t>49212</t>
  </si>
  <si>
    <t>49213</t>
  </si>
  <si>
    <t>49214</t>
  </si>
  <si>
    <t>49215</t>
  </si>
  <si>
    <t>49216</t>
  </si>
  <si>
    <t>49217</t>
  </si>
  <si>
    <t>49218</t>
  </si>
  <si>
    <t>Tabela 23 — Produto (Aba 49)</t>
  </si>
  <si>
    <t>49221</t>
  </si>
  <si>
    <t>49222</t>
  </si>
  <si>
    <t>49223</t>
  </si>
  <si>
    <t>49224</t>
  </si>
  <si>
    <t>49225</t>
  </si>
  <si>
    <t>49226</t>
  </si>
  <si>
    <t>49227</t>
  </si>
  <si>
    <t>49228</t>
  </si>
  <si>
    <t>Tabela 24 — Design (Aba 49)</t>
  </si>
  <si>
    <t>49231</t>
  </si>
  <si>
    <t>49232</t>
  </si>
  <si>
    <t>49233</t>
  </si>
  <si>
    <t>49234</t>
  </si>
  <si>
    <t>49235</t>
  </si>
  <si>
    <t>49236</t>
  </si>
  <si>
    <t>49237</t>
  </si>
  <si>
    <t>49238</t>
  </si>
  <si>
    <t>Tabela 25 — DevEx (Aba 49)</t>
  </si>
  <si>
    <t>49241</t>
  </si>
  <si>
    <t>49242</t>
  </si>
  <si>
    <t>49243</t>
  </si>
  <si>
    <t>49244</t>
  </si>
  <si>
    <t>49245</t>
  </si>
  <si>
    <t>49246</t>
  </si>
  <si>
    <t>49247</t>
  </si>
  <si>
    <t>49248</t>
  </si>
  <si>
    <t>Tabela 26 — Dados (Aba 49)</t>
  </si>
  <si>
    <t>49251</t>
  </si>
  <si>
    <t>49252</t>
  </si>
  <si>
    <t>49253</t>
  </si>
  <si>
    <t>49254</t>
  </si>
  <si>
    <t>49255</t>
  </si>
  <si>
    <t>49256</t>
  </si>
  <si>
    <t>49257</t>
  </si>
  <si>
    <t>49258</t>
  </si>
  <si>
    <t>Tabela 27 — Infra (Aba 49)</t>
  </si>
  <si>
    <t>49261</t>
  </si>
  <si>
    <t>49262</t>
  </si>
  <si>
    <t>49263</t>
  </si>
  <si>
    <t>49264</t>
  </si>
  <si>
    <t>49265</t>
  </si>
  <si>
    <t>49266</t>
  </si>
  <si>
    <t>49267</t>
  </si>
  <si>
    <t>49268</t>
  </si>
  <si>
    <t>Tabela 28 — Segurança (Aba 49)</t>
  </si>
  <si>
    <t>49271</t>
  </si>
  <si>
    <t>49272</t>
  </si>
  <si>
    <t>49273</t>
  </si>
  <si>
    <t>49274</t>
  </si>
  <si>
    <t>49275</t>
  </si>
  <si>
    <t>49276</t>
  </si>
  <si>
    <t>49277</t>
  </si>
  <si>
    <t>49278</t>
  </si>
  <si>
    <t>Tabela 29 — Engenharia (Aba 49)</t>
  </si>
  <si>
    <t>49281</t>
  </si>
  <si>
    <t>49282</t>
  </si>
  <si>
    <t>49283</t>
  </si>
  <si>
    <t>49284</t>
  </si>
  <si>
    <t>49285</t>
  </si>
  <si>
    <t>49286</t>
  </si>
  <si>
    <t>49287</t>
  </si>
  <si>
    <t>49288</t>
  </si>
  <si>
    <t>Tabela 30 — Produto (Aba 49)</t>
  </si>
  <si>
    <t>49291</t>
  </si>
  <si>
    <t>49292</t>
  </si>
  <si>
    <t>49293</t>
  </si>
  <si>
    <t>49294</t>
  </si>
  <si>
    <t>49295</t>
  </si>
  <si>
    <t>49296</t>
  </si>
  <si>
    <t>49297</t>
  </si>
  <si>
    <t>49298</t>
  </si>
  <si>
    <t>Planilha — Aba 48 | Relatório de Equipe</t>
  </si>
  <si>
    <t>Tabela 1 — Engenharia (Aba 48)</t>
  </si>
  <si>
    <t>48001</t>
  </si>
  <si>
    <t>48002</t>
  </si>
  <si>
    <t>48003</t>
  </si>
  <si>
    <t>48004</t>
  </si>
  <si>
    <t>48005</t>
  </si>
  <si>
    <t>48006</t>
  </si>
  <si>
    <t>48007</t>
  </si>
  <si>
    <t>48008</t>
  </si>
  <si>
    <t>Tabela 2 — Produto (Aba 48)</t>
  </si>
  <si>
    <t>48011</t>
  </si>
  <si>
    <t>48012</t>
  </si>
  <si>
    <t>48013</t>
  </si>
  <si>
    <t>48014</t>
  </si>
  <si>
    <t>48015</t>
  </si>
  <si>
    <t>48016</t>
  </si>
  <si>
    <t>48017</t>
  </si>
  <si>
    <t>48018</t>
  </si>
  <si>
    <t>Tabela 3 — Design (Aba 48)</t>
  </si>
  <si>
    <t>48021</t>
  </si>
  <si>
    <t>48022</t>
  </si>
  <si>
    <t>48023</t>
  </si>
  <si>
    <t>48024</t>
  </si>
  <si>
    <t>48025</t>
  </si>
  <si>
    <t>48026</t>
  </si>
  <si>
    <t>48027</t>
  </si>
  <si>
    <t>48028</t>
  </si>
  <si>
    <t>Tabela 4 — DevEx (Aba 48)</t>
  </si>
  <si>
    <t>48031</t>
  </si>
  <si>
    <t>48032</t>
  </si>
  <si>
    <t>48033</t>
  </si>
  <si>
    <t>48034</t>
  </si>
  <si>
    <t>48035</t>
  </si>
  <si>
    <t>48036</t>
  </si>
  <si>
    <t>48037</t>
  </si>
  <si>
    <t>48038</t>
  </si>
  <si>
    <t>Tabela 5 — Dados (Aba 48)</t>
  </si>
  <si>
    <t>48041</t>
  </si>
  <si>
    <t>48042</t>
  </si>
  <si>
    <t>48043</t>
  </si>
  <si>
    <t>48044</t>
  </si>
  <si>
    <t>48045</t>
  </si>
  <si>
    <t>48046</t>
  </si>
  <si>
    <t>48047</t>
  </si>
  <si>
    <t>48048</t>
  </si>
  <si>
    <t>Tabela 6 — Infra (Aba 48)</t>
  </si>
  <si>
    <t>48051</t>
  </si>
  <si>
    <t>48052</t>
  </si>
  <si>
    <t>48053</t>
  </si>
  <si>
    <t>48054</t>
  </si>
  <si>
    <t>48055</t>
  </si>
  <si>
    <t>48056</t>
  </si>
  <si>
    <t>48057</t>
  </si>
  <si>
    <t>48058</t>
  </si>
  <si>
    <t>Tabela 7 — Segurança (Aba 48)</t>
  </si>
  <si>
    <t>48061</t>
  </si>
  <si>
    <t>48062</t>
  </si>
  <si>
    <t>48063</t>
  </si>
  <si>
    <t>48064</t>
  </si>
  <si>
    <t>48065</t>
  </si>
  <si>
    <t>48066</t>
  </si>
  <si>
    <t>48067</t>
  </si>
  <si>
    <t>48068</t>
  </si>
  <si>
    <t>Tabela 8 — Engenharia (Aba 48)</t>
  </si>
  <si>
    <t>48071</t>
  </si>
  <si>
    <t>48072</t>
  </si>
  <si>
    <t>48073</t>
  </si>
  <si>
    <t>48074</t>
  </si>
  <si>
    <t>48075</t>
  </si>
  <si>
    <t>48076</t>
  </si>
  <si>
    <t>48077</t>
  </si>
  <si>
    <t>48078</t>
  </si>
  <si>
    <t>Tabela 9 — Produto (Aba 48)</t>
  </si>
  <si>
    <t>48081</t>
  </si>
  <si>
    <t>48082</t>
  </si>
  <si>
    <t>48083</t>
  </si>
  <si>
    <t>48084</t>
  </si>
  <si>
    <t>48085</t>
  </si>
  <si>
    <t>48086</t>
  </si>
  <si>
    <t>48087</t>
  </si>
  <si>
    <t>48088</t>
  </si>
  <si>
    <t>Tabela 10 — Design (Aba 48)</t>
  </si>
  <si>
    <t>48091</t>
  </si>
  <si>
    <t>48092</t>
  </si>
  <si>
    <t>48093</t>
  </si>
  <si>
    <t>48094</t>
  </si>
  <si>
    <t>48095</t>
  </si>
  <si>
    <t>48096</t>
  </si>
  <si>
    <t>48097</t>
  </si>
  <si>
    <t>48098</t>
  </si>
  <si>
    <t>Tabela 11 — DevEx (Aba 48)</t>
  </si>
  <si>
    <t>48101</t>
  </si>
  <si>
    <t>48102</t>
  </si>
  <si>
    <t>48103</t>
  </si>
  <si>
    <t>48104</t>
  </si>
  <si>
    <t>48105</t>
  </si>
  <si>
    <t>48106</t>
  </si>
  <si>
    <t>48107</t>
  </si>
  <si>
    <t>48108</t>
  </si>
  <si>
    <t>Tabela 12 — Dados (Aba 48)</t>
  </si>
  <si>
    <t>48111</t>
  </si>
  <si>
    <t>48112</t>
  </si>
  <si>
    <t>48113</t>
  </si>
  <si>
    <t>48114</t>
  </si>
  <si>
    <t>48115</t>
  </si>
  <si>
    <t>48116</t>
  </si>
  <si>
    <t>48117</t>
  </si>
  <si>
    <t>48118</t>
  </si>
  <si>
    <t>Tabela 13 — Infra (Aba 48)</t>
  </si>
  <si>
    <t>48121</t>
  </si>
  <si>
    <t>48122</t>
  </si>
  <si>
    <t>48123</t>
  </si>
  <si>
    <t>48124</t>
  </si>
  <si>
    <t>48125</t>
  </si>
  <si>
    <t>48126</t>
  </si>
  <si>
    <t>48127</t>
  </si>
  <si>
    <t>48128</t>
  </si>
  <si>
    <t>Tabela 14 — Segurança (Aba 48)</t>
  </si>
  <si>
    <t>48131</t>
  </si>
  <si>
    <t>48132</t>
  </si>
  <si>
    <t>48133</t>
  </si>
  <si>
    <t>48134</t>
  </si>
  <si>
    <t>48135</t>
  </si>
  <si>
    <t>48136</t>
  </si>
  <si>
    <t>48137</t>
  </si>
  <si>
    <t>48138</t>
  </si>
  <si>
    <t>Tabela 15 — Engenharia (Aba 48)</t>
  </si>
  <si>
    <t>48141</t>
  </si>
  <si>
    <t>48142</t>
  </si>
  <si>
    <t>48143</t>
  </si>
  <si>
    <t>48144</t>
  </si>
  <si>
    <t>48145</t>
  </si>
  <si>
    <t>48146</t>
  </si>
  <si>
    <t>48147</t>
  </si>
  <si>
    <t>48148</t>
  </si>
  <si>
    <t>Tabela 16 — Produto (Aba 48)</t>
  </si>
  <si>
    <t>48151</t>
  </si>
  <si>
    <t>48152</t>
  </si>
  <si>
    <t>48153</t>
  </si>
  <si>
    <t>48154</t>
  </si>
  <si>
    <t>48155</t>
  </si>
  <si>
    <t>48156</t>
  </si>
  <si>
    <t>48157</t>
  </si>
  <si>
    <t>48158</t>
  </si>
  <si>
    <t>Tabela 17 — Design (Aba 48)</t>
  </si>
  <si>
    <t>48161</t>
  </si>
  <si>
    <t>48162</t>
  </si>
  <si>
    <t>48163</t>
  </si>
  <si>
    <t>48164</t>
  </si>
  <si>
    <t>48165</t>
  </si>
  <si>
    <t>48166</t>
  </si>
  <si>
    <t>48167</t>
  </si>
  <si>
    <t>48168</t>
  </si>
  <si>
    <t>Tabela 18 — DevEx (Aba 48)</t>
  </si>
  <si>
    <t>48171</t>
  </si>
  <si>
    <t>48172</t>
  </si>
  <si>
    <t>48173</t>
  </si>
  <si>
    <t>48174</t>
  </si>
  <si>
    <t>48175</t>
  </si>
  <si>
    <t>48176</t>
  </si>
  <si>
    <t>48177</t>
  </si>
  <si>
    <t>48178</t>
  </si>
  <si>
    <t>Tabela 19 — Dados (Aba 48)</t>
  </si>
  <si>
    <t>48181</t>
  </si>
  <si>
    <t>48182</t>
  </si>
  <si>
    <t>48183</t>
  </si>
  <si>
    <t>48184</t>
  </si>
  <si>
    <t>48185</t>
  </si>
  <si>
    <t>48186</t>
  </si>
  <si>
    <t>48187</t>
  </si>
  <si>
    <t>48188</t>
  </si>
  <si>
    <t>Tabela 20 — Infra (Aba 48)</t>
  </si>
  <si>
    <t>48191</t>
  </si>
  <si>
    <t>48192</t>
  </si>
  <si>
    <t>48193</t>
  </si>
  <si>
    <t>48194</t>
  </si>
  <si>
    <t>48195</t>
  </si>
  <si>
    <t>48196</t>
  </si>
  <si>
    <t>48197</t>
  </si>
  <si>
    <t>48198</t>
  </si>
  <si>
    <t>Tabela 21 — Segurança (Aba 48)</t>
  </si>
  <si>
    <t>48201</t>
  </si>
  <si>
    <t>48202</t>
  </si>
  <si>
    <t>48203</t>
  </si>
  <si>
    <t>48204</t>
  </si>
  <si>
    <t>48205</t>
  </si>
  <si>
    <t>48206</t>
  </si>
  <si>
    <t>48207</t>
  </si>
  <si>
    <t>48208</t>
  </si>
  <si>
    <t>Tabela 22 — Engenharia (Aba 48)</t>
  </si>
  <si>
    <t>48211</t>
  </si>
  <si>
    <t>48212</t>
  </si>
  <si>
    <t>48213</t>
  </si>
  <si>
    <t>48214</t>
  </si>
  <si>
    <t>48215</t>
  </si>
  <si>
    <t>48216</t>
  </si>
  <si>
    <t>48217</t>
  </si>
  <si>
    <t>48218</t>
  </si>
  <si>
    <t>Tabela 23 — Produto (Aba 48)</t>
  </si>
  <si>
    <t>48221</t>
  </si>
  <si>
    <t>48222</t>
  </si>
  <si>
    <t>48223</t>
  </si>
  <si>
    <t>48224</t>
  </si>
  <si>
    <t>48225</t>
  </si>
  <si>
    <t>48226</t>
  </si>
  <si>
    <t>48227</t>
  </si>
  <si>
    <t>48228</t>
  </si>
  <si>
    <t>Tabela 24 — Design (Aba 48)</t>
  </si>
  <si>
    <t>48231</t>
  </si>
  <si>
    <t>48232</t>
  </si>
  <si>
    <t>48233</t>
  </si>
  <si>
    <t>48234</t>
  </si>
  <si>
    <t>48235</t>
  </si>
  <si>
    <t>48236</t>
  </si>
  <si>
    <t>48237</t>
  </si>
  <si>
    <t>48238</t>
  </si>
  <si>
    <t>Tabela 25 — DevEx (Aba 48)</t>
  </si>
  <si>
    <t>48241</t>
  </si>
  <si>
    <t>48242</t>
  </si>
  <si>
    <t>48243</t>
  </si>
  <si>
    <t>48244</t>
  </si>
  <si>
    <t>48245</t>
  </si>
  <si>
    <t>48246</t>
  </si>
  <si>
    <t>48247</t>
  </si>
  <si>
    <t>48248</t>
  </si>
  <si>
    <t>Tabela 26 — Dados (Aba 48)</t>
  </si>
  <si>
    <t>48251</t>
  </si>
  <si>
    <t>48252</t>
  </si>
  <si>
    <t>48253</t>
  </si>
  <si>
    <t>48254</t>
  </si>
  <si>
    <t>48255</t>
  </si>
  <si>
    <t>48256</t>
  </si>
  <si>
    <t>48257</t>
  </si>
  <si>
    <t>48258</t>
  </si>
  <si>
    <t>Tabela 27 — Infra (Aba 48)</t>
  </si>
  <si>
    <t>48261</t>
  </si>
  <si>
    <t>48262</t>
  </si>
  <si>
    <t>48263</t>
  </si>
  <si>
    <t>48264</t>
  </si>
  <si>
    <t>48265</t>
  </si>
  <si>
    <t>48266</t>
  </si>
  <si>
    <t>48267</t>
  </si>
  <si>
    <t>48268</t>
  </si>
  <si>
    <t>Tabela 28 — Segurança (Aba 48)</t>
  </si>
  <si>
    <t>48271</t>
  </si>
  <si>
    <t>48272</t>
  </si>
  <si>
    <t>48273</t>
  </si>
  <si>
    <t>48274</t>
  </si>
  <si>
    <t>48275</t>
  </si>
  <si>
    <t>48276</t>
  </si>
  <si>
    <t>48277</t>
  </si>
  <si>
    <t>48278</t>
  </si>
  <si>
    <t>Tabela 29 — Engenharia (Aba 48)</t>
  </si>
  <si>
    <t>48281</t>
  </si>
  <si>
    <t>48282</t>
  </si>
  <si>
    <t>48283</t>
  </si>
  <si>
    <t>48284</t>
  </si>
  <si>
    <t>48285</t>
  </si>
  <si>
    <t>48286</t>
  </si>
  <si>
    <t>48287</t>
  </si>
  <si>
    <t>48288</t>
  </si>
  <si>
    <t>Tabela 30 — Produto (Aba 48)</t>
  </si>
  <si>
    <t>48291</t>
  </si>
  <si>
    <t>48292</t>
  </si>
  <si>
    <t>48293</t>
  </si>
  <si>
    <t>48294</t>
  </si>
  <si>
    <t>48295</t>
  </si>
  <si>
    <t>48296</t>
  </si>
  <si>
    <t>48297</t>
  </si>
  <si>
    <t>48298</t>
  </si>
  <si>
    <t>Planilha — Aba 47 | Relatório de Equipe</t>
  </si>
  <si>
    <t>Tabela 1 — Engenharia (Aba 47)</t>
  </si>
  <si>
    <t>47001</t>
  </si>
  <si>
    <t>47002</t>
  </si>
  <si>
    <t>47003</t>
  </si>
  <si>
    <t>47004</t>
  </si>
  <si>
    <t>47005</t>
  </si>
  <si>
    <t>47006</t>
  </si>
  <si>
    <t>47007</t>
  </si>
  <si>
    <t>47008</t>
  </si>
  <si>
    <t>Tabela 2 — Produto (Aba 47)</t>
  </si>
  <si>
    <t>47011</t>
  </si>
  <si>
    <t>47012</t>
  </si>
  <si>
    <t>47013</t>
  </si>
  <si>
    <t>47014</t>
  </si>
  <si>
    <t>47015</t>
  </si>
  <si>
    <t>47016</t>
  </si>
  <si>
    <t>47017</t>
  </si>
  <si>
    <t>47018</t>
  </si>
  <si>
    <t>Tabela 3 — Design (Aba 47)</t>
  </si>
  <si>
    <t>47021</t>
  </si>
  <si>
    <t>47022</t>
  </si>
  <si>
    <t>47023</t>
  </si>
  <si>
    <t>47024</t>
  </si>
  <si>
    <t>47025</t>
  </si>
  <si>
    <t>47026</t>
  </si>
  <si>
    <t>47027</t>
  </si>
  <si>
    <t>47028</t>
  </si>
  <si>
    <t>Tabela 4 — DevEx (Aba 47)</t>
  </si>
  <si>
    <t>47031</t>
  </si>
  <si>
    <t>47032</t>
  </si>
  <si>
    <t>47033</t>
  </si>
  <si>
    <t>47034</t>
  </si>
  <si>
    <t>47035</t>
  </si>
  <si>
    <t>47036</t>
  </si>
  <si>
    <t>47037</t>
  </si>
  <si>
    <t>47038</t>
  </si>
  <si>
    <t>Tabela 5 — Dados (Aba 47)</t>
  </si>
  <si>
    <t>47041</t>
  </si>
  <si>
    <t>47042</t>
  </si>
  <si>
    <t>47043</t>
  </si>
  <si>
    <t>47044</t>
  </si>
  <si>
    <t>47045</t>
  </si>
  <si>
    <t>47046</t>
  </si>
  <si>
    <t>47047</t>
  </si>
  <si>
    <t>47048</t>
  </si>
  <si>
    <t>Tabela 6 — Infra (Aba 47)</t>
  </si>
  <si>
    <t>47051</t>
  </si>
  <si>
    <t>47052</t>
  </si>
  <si>
    <t>47053</t>
  </si>
  <si>
    <t>47054</t>
  </si>
  <si>
    <t>47055</t>
  </si>
  <si>
    <t>47056</t>
  </si>
  <si>
    <t>47057</t>
  </si>
  <si>
    <t>47058</t>
  </si>
  <si>
    <t>Tabela 7 — Segurança (Aba 47)</t>
  </si>
  <si>
    <t>47061</t>
  </si>
  <si>
    <t>47062</t>
  </si>
  <si>
    <t>47063</t>
  </si>
  <si>
    <t>47064</t>
  </si>
  <si>
    <t>47065</t>
  </si>
  <si>
    <t>47066</t>
  </si>
  <si>
    <t>47067</t>
  </si>
  <si>
    <t>47068</t>
  </si>
  <si>
    <t>Tabela 8 — Engenharia (Aba 47)</t>
  </si>
  <si>
    <t>47071</t>
  </si>
  <si>
    <t>47072</t>
  </si>
  <si>
    <t>47073</t>
  </si>
  <si>
    <t>47074</t>
  </si>
  <si>
    <t>47075</t>
  </si>
  <si>
    <t>47076</t>
  </si>
  <si>
    <t>47077</t>
  </si>
  <si>
    <t>47078</t>
  </si>
  <si>
    <t>Tabela 9 — Produto (Aba 47)</t>
  </si>
  <si>
    <t>47081</t>
  </si>
  <si>
    <t>47082</t>
  </si>
  <si>
    <t>47083</t>
  </si>
  <si>
    <t>47084</t>
  </si>
  <si>
    <t>47085</t>
  </si>
  <si>
    <t>47086</t>
  </si>
  <si>
    <t>47087</t>
  </si>
  <si>
    <t>47088</t>
  </si>
  <si>
    <t>Tabela 10 — Design (Aba 47)</t>
  </si>
  <si>
    <t>47091</t>
  </si>
  <si>
    <t>47092</t>
  </si>
  <si>
    <t>47093</t>
  </si>
  <si>
    <t>47094</t>
  </si>
  <si>
    <t>47095</t>
  </si>
  <si>
    <t>47096</t>
  </si>
  <si>
    <t>47097</t>
  </si>
  <si>
    <t>47098</t>
  </si>
  <si>
    <t>Tabela 11 — DevEx (Aba 47)</t>
  </si>
  <si>
    <t>47101</t>
  </si>
  <si>
    <t>47102</t>
  </si>
  <si>
    <t>47103</t>
  </si>
  <si>
    <t>47104</t>
  </si>
  <si>
    <t>47105</t>
  </si>
  <si>
    <t>47106</t>
  </si>
  <si>
    <t>47107</t>
  </si>
  <si>
    <t>47108</t>
  </si>
  <si>
    <t>Tabela 12 — Dados (Aba 47)</t>
  </si>
  <si>
    <t>47111</t>
  </si>
  <si>
    <t>47112</t>
  </si>
  <si>
    <t>47113</t>
  </si>
  <si>
    <t>47114</t>
  </si>
  <si>
    <t>47115</t>
  </si>
  <si>
    <t>47116</t>
  </si>
  <si>
    <t>47117</t>
  </si>
  <si>
    <t>47118</t>
  </si>
  <si>
    <t>Tabela 13 — Infra (Aba 47)</t>
  </si>
  <si>
    <t>47121</t>
  </si>
  <si>
    <t>47122</t>
  </si>
  <si>
    <t>47123</t>
  </si>
  <si>
    <t>47124</t>
  </si>
  <si>
    <t>47125</t>
  </si>
  <si>
    <t>47126</t>
  </si>
  <si>
    <t>47127</t>
  </si>
  <si>
    <t>47128</t>
  </si>
  <si>
    <t>Tabela 14 — Segurança (Aba 47)</t>
  </si>
  <si>
    <t>47131</t>
  </si>
  <si>
    <t>47132</t>
  </si>
  <si>
    <t>47133</t>
  </si>
  <si>
    <t>47134</t>
  </si>
  <si>
    <t>47135</t>
  </si>
  <si>
    <t>47136</t>
  </si>
  <si>
    <t>47137</t>
  </si>
  <si>
    <t>47138</t>
  </si>
  <si>
    <t>Tabela 15 — Engenharia (Aba 47)</t>
  </si>
  <si>
    <t>47141</t>
  </si>
  <si>
    <t>47142</t>
  </si>
  <si>
    <t>47143</t>
  </si>
  <si>
    <t>47144</t>
  </si>
  <si>
    <t>47145</t>
  </si>
  <si>
    <t>47146</t>
  </si>
  <si>
    <t>47147</t>
  </si>
  <si>
    <t>47148</t>
  </si>
  <si>
    <t>Tabela 16 — Produto (Aba 47)</t>
  </si>
  <si>
    <t>47151</t>
  </si>
  <si>
    <t>47152</t>
  </si>
  <si>
    <t>47153</t>
  </si>
  <si>
    <t>47154</t>
  </si>
  <si>
    <t>47155</t>
  </si>
  <si>
    <t>47156</t>
  </si>
  <si>
    <t>47157</t>
  </si>
  <si>
    <t>47158</t>
  </si>
  <si>
    <t>Tabela 17 — Design (Aba 47)</t>
  </si>
  <si>
    <t>47161</t>
  </si>
  <si>
    <t>47162</t>
  </si>
  <si>
    <t>47163</t>
  </si>
  <si>
    <t>47164</t>
  </si>
  <si>
    <t>47165</t>
  </si>
  <si>
    <t>47166</t>
  </si>
  <si>
    <t>47167</t>
  </si>
  <si>
    <t>47168</t>
  </si>
  <si>
    <t>Tabela 18 — DevEx (Aba 47)</t>
  </si>
  <si>
    <t>47171</t>
  </si>
  <si>
    <t>47172</t>
  </si>
  <si>
    <t>47173</t>
  </si>
  <si>
    <t>47174</t>
  </si>
  <si>
    <t>47175</t>
  </si>
  <si>
    <t>47176</t>
  </si>
  <si>
    <t>47177</t>
  </si>
  <si>
    <t>47178</t>
  </si>
  <si>
    <t>Tabela 19 — Dados (Aba 47)</t>
  </si>
  <si>
    <t>47181</t>
  </si>
  <si>
    <t>47182</t>
  </si>
  <si>
    <t>47183</t>
  </si>
  <si>
    <t>47184</t>
  </si>
  <si>
    <t>47185</t>
  </si>
  <si>
    <t>47186</t>
  </si>
  <si>
    <t>47187</t>
  </si>
  <si>
    <t>47188</t>
  </si>
  <si>
    <t>Tabela 20 — Infra (Aba 47)</t>
  </si>
  <si>
    <t>47191</t>
  </si>
  <si>
    <t>47192</t>
  </si>
  <si>
    <t>47193</t>
  </si>
  <si>
    <t>47194</t>
  </si>
  <si>
    <t>47195</t>
  </si>
  <si>
    <t>47196</t>
  </si>
  <si>
    <t>47197</t>
  </si>
  <si>
    <t>47198</t>
  </si>
  <si>
    <t>Tabela 21 — Segurança (Aba 47)</t>
  </si>
  <si>
    <t>47201</t>
  </si>
  <si>
    <t>47202</t>
  </si>
  <si>
    <t>47203</t>
  </si>
  <si>
    <t>47204</t>
  </si>
  <si>
    <t>47205</t>
  </si>
  <si>
    <t>47206</t>
  </si>
  <si>
    <t>47207</t>
  </si>
  <si>
    <t>47208</t>
  </si>
  <si>
    <t>Tabela 22 — Engenharia (Aba 47)</t>
  </si>
  <si>
    <t>47211</t>
  </si>
  <si>
    <t>47212</t>
  </si>
  <si>
    <t>47213</t>
  </si>
  <si>
    <t>47214</t>
  </si>
  <si>
    <t>47215</t>
  </si>
  <si>
    <t>47216</t>
  </si>
  <si>
    <t>47217</t>
  </si>
  <si>
    <t>47218</t>
  </si>
  <si>
    <t>Tabela 23 — Produto (Aba 47)</t>
  </si>
  <si>
    <t>47221</t>
  </si>
  <si>
    <t>47222</t>
  </si>
  <si>
    <t>47223</t>
  </si>
  <si>
    <t>47224</t>
  </si>
  <si>
    <t>47225</t>
  </si>
  <si>
    <t>47226</t>
  </si>
  <si>
    <t>47227</t>
  </si>
  <si>
    <t>47228</t>
  </si>
  <si>
    <t>Tabela 24 — Design (Aba 47)</t>
  </si>
  <si>
    <t>47231</t>
  </si>
  <si>
    <t>47232</t>
  </si>
  <si>
    <t>47233</t>
  </si>
  <si>
    <t>47234</t>
  </si>
  <si>
    <t>47235</t>
  </si>
  <si>
    <t>47236</t>
  </si>
  <si>
    <t>47237</t>
  </si>
  <si>
    <t>47238</t>
  </si>
  <si>
    <t>Tabela 25 — DevEx (Aba 47)</t>
  </si>
  <si>
    <t>47241</t>
  </si>
  <si>
    <t>47242</t>
  </si>
  <si>
    <t>47243</t>
  </si>
  <si>
    <t>47244</t>
  </si>
  <si>
    <t>47245</t>
  </si>
  <si>
    <t>47246</t>
  </si>
  <si>
    <t>47247</t>
  </si>
  <si>
    <t>47248</t>
  </si>
  <si>
    <t>Tabela 26 — Dados (Aba 47)</t>
  </si>
  <si>
    <t>47251</t>
  </si>
  <si>
    <t>47252</t>
  </si>
  <si>
    <t>47253</t>
  </si>
  <si>
    <t>47254</t>
  </si>
  <si>
    <t>47255</t>
  </si>
  <si>
    <t>47256</t>
  </si>
  <si>
    <t>47257</t>
  </si>
  <si>
    <t>47258</t>
  </si>
  <si>
    <t>Tabela 27 — Infra (Aba 47)</t>
  </si>
  <si>
    <t>47261</t>
  </si>
  <si>
    <t>47262</t>
  </si>
  <si>
    <t>47263</t>
  </si>
  <si>
    <t>47264</t>
  </si>
  <si>
    <t>47265</t>
  </si>
  <si>
    <t>47266</t>
  </si>
  <si>
    <t>47267</t>
  </si>
  <si>
    <t>47268</t>
  </si>
  <si>
    <t>Tabela 28 — Segurança (Aba 47)</t>
  </si>
  <si>
    <t>47271</t>
  </si>
  <si>
    <t>47272</t>
  </si>
  <si>
    <t>47273</t>
  </si>
  <si>
    <t>47274</t>
  </si>
  <si>
    <t>47275</t>
  </si>
  <si>
    <t>47276</t>
  </si>
  <si>
    <t>47277</t>
  </si>
  <si>
    <t>47278</t>
  </si>
  <si>
    <t>Tabela 29 — Engenharia (Aba 47)</t>
  </si>
  <si>
    <t>47281</t>
  </si>
  <si>
    <t>47282</t>
  </si>
  <si>
    <t>47283</t>
  </si>
  <si>
    <t>47284</t>
  </si>
  <si>
    <t>47285</t>
  </si>
  <si>
    <t>47286</t>
  </si>
  <si>
    <t>47287</t>
  </si>
  <si>
    <t>47288</t>
  </si>
  <si>
    <t>Tabela 30 — Produto (Aba 47)</t>
  </si>
  <si>
    <t>47291</t>
  </si>
  <si>
    <t>47292</t>
  </si>
  <si>
    <t>47293</t>
  </si>
  <si>
    <t>47294</t>
  </si>
  <si>
    <t>47295</t>
  </si>
  <si>
    <t>47296</t>
  </si>
  <si>
    <t>47297</t>
  </si>
  <si>
    <t>47298</t>
  </si>
  <si>
    <t>Planilha — Aba 46 | Relatório de Equipe</t>
  </si>
  <si>
    <t>Tabela 1 — Engenharia (Aba 46)</t>
  </si>
  <si>
    <t>46001</t>
  </si>
  <si>
    <t>46002</t>
  </si>
  <si>
    <t>46003</t>
  </si>
  <si>
    <t>46004</t>
  </si>
  <si>
    <t>46005</t>
  </si>
  <si>
    <t>46006</t>
  </si>
  <si>
    <t>46007</t>
  </si>
  <si>
    <t>46008</t>
  </si>
  <si>
    <t>Tabela 2 — Produto (Aba 46)</t>
  </si>
  <si>
    <t>46011</t>
  </si>
  <si>
    <t>46012</t>
  </si>
  <si>
    <t>46013</t>
  </si>
  <si>
    <t>46014</t>
  </si>
  <si>
    <t>46015</t>
  </si>
  <si>
    <t>46016</t>
  </si>
  <si>
    <t>46017</t>
  </si>
  <si>
    <t>46018</t>
  </si>
  <si>
    <t>Tabela 3 — Design (Aba 46)</t>
  </si>
  <si>
    <t>46021</t>
  </si>
  <si>
    <t>46022</t>
  </si>
  <si>
    <t>46023</t>
  </si>
  <si>
    <t>46024</t>
  </si>
  <si>
    <t>46025</t>
  </si>
  <si>
    <t>46026</t>
  </si>
  <si>
    <t>46027</t>
  </si>
  <si>
    <t>46028</t>
  </si>
  <si>
    <t>Tabela 4 — DevEx (Aba 46)</t>
  </si>
  <si>
    <t>46031</t>
  </si>
  <si>
    <t>46032</t>
  </si>
  <si>
    <t>46033</t>
  </si>
  <si>
    <t>46034</t>
  </si>
  <si>
    <t>46035</t>
  </si>
  <si>
    <t>46036</t>
  </si>
  <si>
    <t>46037</t>
  </si>
  <si>
    <t>46038</t>
  </si>
  <si>
    <t>Tabela 5 — Dados (Aba 46)</t>
  </si>
  <si>
    <t>46041</t>
  </si>
  <si>
    <t>46042</t>
  </si>
  <si>
    <t>46043</t>
  </si>
  <si>
    <t>46044</t>
  </si>
  <si>
    <t>46045</t>
  </si>
  <si>
    <t>46046</t>
  </si>
  <si>
    <t>46047</t>
  </si>
  <si>
    <t>46048</t>
  </si>
  <si>
    <t>Tabela 6 — Infra (Aba 46)</t>
  </si>
  <si>
    <t>46051</t>
  </si>
  <si>
    <t>46052</t>
  </si>
  <si>
    <t>46053</t>
  </si>
  <si>
    <t>46054</t>
  </si>
  <si>
    <t>46055</t>
  </si>
  <si>
    <t>46056</t>
  </si>
  <si>
    <t>46057</t>
  </si>
  <si>
    <t>46058</t>
  </si>
  <si>
    <t>Tabela 7 — Segurança (Aba 46)</t>
  </si>
  <si>
    <t>46061</t>
  </si>
  <si>
    <t>46062</t>
  </si>
  <si>
    <t>46063</t>
  </si>
  <si>
    <t>46064</t>
  </si>
  <si>
    <t>46065</t>
  </si>
  <si>
    <t>46066</t>
  </si>
  <si>
    <t>46067</t>
  </si>
  <si>
    <t>46068</t>
  </si>
  <si>
    <t>Tabela 8 — Engenharia (Aba 46)</t>
  </si>
  <si>
    <t>46071</t>
  </si>
  <si>
    <t>46072</t>
  </si>
  <si>
    <t>46073</t>
  </si>
  <si>
    <t>46074</t>
  </si>
  <si>
    <t>46075</t>
  </si>
  <si>
    <t>46076</t>
  </si>
  <si>
    <t>46077</t>
  </si>
  <si>
    <t>46078</t>
  </si>
  <si>
    <t>Tabela 9 — Produto (Aba 46)</t>
  </si>
  <si>
    <t>46081</t>
  </si>
  <si>
    <t>46082</t>
  </si>
  <si>
    <t>46083</t>
  </si>
  <si>
    <t>46084</t>
  </si>
  <si>
    <t>46085</t>
  </si>
  <si>
    <t>46086</t>
  </si>
  <si>
    <t>46087</t>
  </si>
  <si>
    <t>46088</t>
  </si>
  <si>
    <t>Tabela 10 — Design (Aba 46)</t>
  </si>
  <si>
    <t>46091</t>
  </si>
  <si>
    <t>46092</t>
  </si>
  <si>
    <t>46093</t>
  </si>
  <si>
    <t>46094</t>
  </si>
  <si>
    <t>46095</t>
  </si>
  <si>
    <t>46096</t>
  </si>
  <si>
    <t>46097</t>
  </si>
  <si>
    <t>46098</t>
  </si>
  <si>
    <t>Tabela 11 — DevEx (Aba 46)</t>
  </si>
  <si>
    <t>46101</t>
  </si>
  <si>
    <t>46102</t>
  </si>
  <si>
    <t>46103</t>
  </si>
  <si>
    <t>46104</t>
  </si>
  <si>
    <t>46105</t>
  </si>
  <si>
    <t>46106</t>
  </si>
  <si>
    <t>46107</t>
  </si>
  <si>
    <t>46108</t>
  </si>
  <si>
    <t>Tabela 12 — Dados (Aba 46)</t>
  </si>
  <si>
    <t>46111</t>
  </si>
  <si>
    <t>46112</t>
  </si>
  <si>
    <t>46113</t>
  </si>
  <si>
    <t>46114</t>
  </si>
  <si>
    <t>46115</t>
  </si>
  <si>
    <t>46116</t>
  </si>
  <si>
    <t>46117</t>
  </si>
  <si>
    <t>46118</t>
  </si>
  <si>
    <t>Tabela 13 — Infra (Aba 46)</t>
  </si>
  <si>
    <t>46121</t>
  </si>
  <si>
    <t>46122</t>
  </si>
  <si>
    <t>46123</t>
  </si>
  <si>
    <t>46124</t>
  </si>
  <si>
    <t>46125</t>
  </si>
  <si>
    <t>46126</t>
  </si>
  <si>
    <t>46127</t>
  </si>
  <si>
    <t>46128</t>
  </si>
  <si>
    <t>Tabela 14 — Segurança (Aba 46)</t>
  </si>
  <si>
    <t>46131</t>
  </si>
  <si>
    <t>46132</t>
  </si>
  <si>
    <t>46133</t>
  </si>
  <si>
    <t>46134</t>
  </si>
  <si>
    <t>46135</t>
  </si>
  <si>
    <t>46136</t>
  </si>
  <si>
    <t>46137</t>
  </si>
  <si>
    <t>46138</t>
  </si>
  <si>
    <t>Tabela 15 — Engenharia (Aba 46)</t>
  </si>
  <si>
    <t>46141</t>
  </si>
  <si>
    <t>46142</t>
  </si>
  <si>
    <t>46143</t>
  </si>
  <si>
    <t>46144</t>
  </si>
  <si>
    <t>46145</t>
  </si>
  <si>
    <t>46146</t>
  </si>
  <si>
    <t>46147</t>
  </si>
  <si>
    <t>46148</t>
  </si>
  <si>
    <t>Tabela 16 — Produto (Aba 46)</t>
  </si>
  <si>
    <t>46151</t>
  </si>
  <si>
    <t>46152</t>
  </si>
  <si>
    <t>46153</t>
  </si>
  <si>
    <t>46154</t>
  </si>
  <si>
    <t>46155</t>
  </si>
  <si>
    <t>46156</t>
  </si>
  <si>
    <t>46157</t>
  </si>
  <si>
    <t>46158</t>
  </si>
  <si>
    <t>Tabela 17 — Design (Aba 46)</t>
  </si>
  <si>
    <t>46161</t>
  </si>
  <si>
    <t>46162</t>
  </si>
  <si>
    <t>46163</t>
  </si>
  <si>
    <t>46164</t>
  </si>
  <si>
    <t>46165</t>
  </si>
  <si>
    <t>46166</t>
  </si>
  <si>
    <t>46167</t>
  </si>
  <si>
    <t>46168</t>
  </si>
  <si>
    <t>Tabela 18 — DevEx (Aba 46)</t>
  </si>
  <si>
    <t>46171</t>
  </si>
  <si>
    <t>46172</t>
  </si>
  <si>
    <t>46173</t>
  </si>
  <si>
    <t>46174</t>
  </si>
  <si>
    <t>46175</t>
  </si>
  <si>
    <t>46176</t>
  </si>
  <si>
    <t>46177</t>
  </si>
  <si>
    <t>46178</t>
  </si>
  <si>
    <t>Tabela 19 — Dados (Aba 46)</t>
  </si>
  <si>
    <t>46181</t>
  </si>
  <si>
    <t>46182</t>
  </si>
  <si>
    <t>46183</t>
  </si>
  <si>
    <t>46184</t>
  </si>
  <si>
    <t>46185</t>
  </si>
  <si>
    <t>46186</t>
  </si>
  <si>
    <t>46187</t>
  </si>
  <si>
    <t>46188</t>
  </si>
  <si>
    <t>Tabela 20 — Infra (Aba 46)</t>
  </si>
  <si>
    <t>46191</t>
  </si>
  <si>
    <t>46192</t>
  </si>
  <si>
    <t>46193</t>
  </si>
  <si>
    <t>46194</t>
  </si>
  <si>
    <t>46195</t>
  </si>
  <si>
    <t>46196</t>
  </si>
  <si>
    <t>46197</t>
  </si>
  <si>
    <t>46198</t>
  </si>
  <si>
    <t>Tabela 21 — Segurança (Aba 46)</t>
  </si>
  <si>
    <t>46201</t>
  </si>
  <si>
    <t>46202</t>
  </si>
  <si>
    <t>46203</t>
  </si>
  <si>
    <t>46204</t>
  </si>
  <si>
    <t>46205</t>
  </si>
  <si>
    <t>46206</t>
  </si>
  <si>
    <t>46207</t>
  </si>
  <si>
    <t>46208</t>
  </si>
  <si>
    <t>Tabela 22 — Engenharia (Aba 46)</t>
  </si>
  <si>
    <t>46211</t>
  </si>
  <si>
    <t>46212</t>
  </si>
  <si>
    <t>46213</t>
  </si>
  <si>
    <t>46214</t>
  </si>
  <si>
    <t>46215</t>
  </si>
  <si>
    <t>46216</t>
  </si>
  <si>
    <t>46217</t>
  </si>
  <si>
    <t>46218</t>
  </si>
  <si>
    <t>Tabela 23 — Produto (Aba 46)</t>
  </si>
  <si>
    <t>46221</t>
  </si>
  <si>
    <t>46222</t>
  </si>
  <si>
    <t>46223</t>
  </si>
  <si>
    <t>46224</t>
  </si>
  <si>
    <t>46225</t>
  </si>
  <si>
    <t>46226</t>
  </si>
  <si>
    <t>46227</t>
  </si>
  <si>
    <t>46228</t>
  </si>
  <si>
    <t>Tabela 24 — Design (Aba 46)</t>
  </si>
  <si>
    <t>46231</t>
  </si>
  <si>
    <t>46232</t>
  </si>
  <si>
    <t>46233</t>
  </si>
  <si>
    <t>46234</t>
  </si>
  <si>
    <t>46235</t>
  </si>
  <si>
    <t>46236</t>
  </si>
  <si>
    <t>46237</t>
  </si>
  <si>
    <t>46238</t>
  </si>
  <si>
    <t>Tabela 25 — DevEx (Aba 46)</t>
  </si>
  <si>
    <t>46241</t>
  </si>
  <si>
    <t>46242</t>
  </si>
  <si>
    <t>46243</t>
  </si>
  <si>
    <t>46244</t>
  </si>
  <si>
    <t>46245</t>
  </si>
  <si>
    <t>46246</t>
  </si>
  <si>
    <t>46247</t>
  </si>
  <si>
    <t>46248</t>
  </si>
  <si>
    <t>Tabela 26 — Dados (Aba 46)</t>
  </si>
  <si>
    <t>46251</t>
  </si>
  <si>
    <t>46252</t>
  </si>
  <si>
    <t>46253</t>
  </si>
  <si>
    <t>46254</t>
  </si>
  <si>
    <t>46255</t>
  </si>
  <si>
    <t>46256</t>
  </si>
  <si>
    <t>46257</t>
  </si>
  <si>
    <t>46258</t>
  </si>
  <si>
    <t>Tabela 27 — Infra (Aba 46)</t>
  </si>
  <si>
    <t>46261</t>
  </si>
  <si>
    <t>46262</t>
  </si>
  <si>
    <t>46263</t>
  </si>
  <si>
    <t>46264</t>
  </si>
  <si>
    <t>46265</t>
  </si>
  <si>
    <t>46266</t>
  </si>
  <si>
    <t>46267</t>
  </si>
  <si>
    <t>46268</t>
  </si>
  <si>
    <t>Tabela 28 — Segurança (Aba 46)</t>
  </si>
  <si>
    <t>46271</t>
  </si>
  <si>
    <t>46272</t>
  </si>
  <si>
    <t>46273</t>
  </si>
  <si>
    <t>46274</t>
  </si>
  <si>
    <t>46275</t>
  </si>
  <si>
    <t>46276</t>
  </si>
  <si>
    <t>46277</t>
  </si>
  <si>
    <t>46278</t>
  </si>
  <si>
    <t>Tabela 29 — Engenharia (Aba 46)</t>
  </si>
  <si>
    <t>46281</t>
  </si>
  <si>
    <t>46282</t>
  </si>
  <si>
    <t>46283</t>
  </si>
  <si>
    <t>46284</t>
  </si>
  <si>
    <t>46285</t>
  </si>
  <si>
    <t>46286</t>
  </si>
  <si>
    <t>46287</t>
  </si>
  <si>
    <t>46288</t>
  </si>
  <si>
    <t>Tabela 30 — Produto (Aba 46)</t>
  </si>
  <si>
    <t>46291</t>
  </si>
  <si>
    <t>46292</t>
  </si>
  <si>
    <t>46293</t>
  </si>
  <si>
    <t>46294</t>
  </si>
  <si>
    <t>46295</t>
  </si>
  <si>
    <t>46296</t>
  </si>
  <si>
    <t>46297</t>
  </si>
  <si>
    <t>46298</t>
  </si>
  <si>
    <t>Planilha — Aba 45 | Relatório de Equipe</t>
  </si>
  <si>
    <t>Tabela 1 — Engenharia (Aba 45)</t>
  </si>
  <si>
    <t>45001</t>
  </si>
  <si>
    <t>45002</t>
  </si>
  <si>
    <t>45003</t>
  </si>
  <si>
    <t>45004</t>
  </si>
  <si>
    <t>45005</t>
  </si>
  <si>
    <t>45006</t>
  </si>
  <si>
    <t>45007</t>
  </si>
  <si>
    <t>45008</t>
  </si>
  <si>
    <t>Tabela 2 — Produto (Aba 45)</t>
  </si>
  <si>
    <t>45011</t>
  </si>
  <si>
    <t>45012</t>
  </si>
  <si>
    <t>45013</t>
  </si>
  <si>
    <t>45014</t>
  </si>
  <si>
    <t>45015</t>
  </si>
  <si>
    <t>45016</t>
  </si>
  <si>
    <t>45017</t>
  </si>
  <si>
    <t>45018</t>
  </si>
  <si>
    <t>Tabela 3 — Design (Aba 45)</t>
  </si>
  <si>
    <t>45021</t>
  </si>
  <si>
    <t>45022</t>
  </si>
  <si>
    <t>45023</t>
  </si>
  <si>
    <t>45024</t>
  </si>
  <si>
    <t>45025</t>
  </si>
  <si>
    <t>45026</t>
  </si>
  <si>
    <t>45027</t>
  </si>
  <si>
    <t>45028</t>
  </si>
  <si>
    <t>Tabela 4 — DevEx (Aba 45)</t>
  </si>
  <si>
    <t>45031</t>
  </si>
  <si>
    <t>45032</t>
  </si>
  <si>
    <t>45033</t>
  </si>
  <si>
    <t>45034</t>
  </si>
  <si>
    <t>45035</t>
  </si>
  <si>
    <t>45036</t>
  </si>
  <si>
    <t>45037</t>
  </si>
  <si>
    <t>45038</t>
  </si>
  <si>
    <t>Tabela 5 — Dados (Aba 45)</t>
  </si>
  <si>
    <t>45041</t>
  </si>
  <si>
    <t>45042</t>
  </si>
  <si>
    <t>45043</t>
  </si>
  <si>
    <t>45044</t>
  </si>
  <si>
    <t>45045</t>
  </si>
  <si>
    <t>45046</t>
  </si>
  <si>
    <t>45047</t>
  </si>
  <si>
    <t>45048</t>
  </si>
  <si>
    <t>Tabela 6 — Infra (Aba 45)</t>
  </si>
  <si>
    <t>45051</t>
  </si>
  <si>
    <t>45052</t>
  </si>
  <si>
    <t>45053</t>
  </si>
  <si>
    <t>45054</t>
  </si>
  <si>
    <t>45055</t>
  </si>
  <si>
    <t>45056</t>
  </si>
  <si>
    <t>45057</t>
  </si>
  <si>
    <t>45058</t>
  </si>
  <si>
    <t>Tabela 7 — Segurança (Aba 45)</t>
  </si>
  <si>
    <t>45061</t>
  </si>
  <si>
    <t>45062</t>
  </si>
  <si>
    <t>45063</t>
  </si>
  <si>
    <t>45064</t>
  </si>
  <si>
    <t>45065</t>
  </si>
  <si>
    <t>45066</t>
  </si>
  <si>
    <t>45067</t>
  </si>
  <si>
    <t>45068</t>
  </si>
  <si>
    <t>Tabela 8 — Engenharia (Aba 45)</t>
  </si>
  <si>
    <t>45071</t>
  </si>
  <si>
    <t>45072</t>
  </si>
  <si>
    <t>45073</t>
  </si>
  <si>
    <t>45074</t>
  </si>
  <si>
    <t>45075</t>
  </si>
  <si>
    <t>45076</t>
  </si>
  <si>
    <t>45077</t>
  </si>
  <si>
    <t>45078</t>
  </si>
  <si>
    <t>Tabela 9 — Produto (Aba 45)</t>
  </si>
  <si>
    <t>45081</t>
  </si>
  <si>
    <t>45082</t>
  </si>
  <si>
    <t>45083</t>
  </si>
  <si>
    <t>45084</t>
  </si>
  <si>
    <t>45085</t>
  </si>
  <si>
    <t>45086</t>
  </si>
  <si>
    <t>45087</t>
  </si>
  <si>
    <t>45088</t>
  </si>
  <si>
    <t>Tabela 10 — Design (Aba 45)</t>
  </si>
  <si>
    <t>45091</t>
  </si>
  <si>
    <t>45092</t>
  </si>
  <si>
    <t>45093</t>
  </si>
  <si>
    <t>45094</t>
  </si>
  <si>
    <t>45095</t>
  </si>
  <si>
    <t>45096</t>
  </si>
  <si>
    <t>45097</t>
  </si>
  <si>
    <t>45098</t>
  </si>
  <si>
    <t>Tabela 11 — DevEx (Aba 45)</t>
  </si>
  <si>
    <t>45101</t>
  </si>
  <si>
    <t>45102</t>
  </si>
  <si>
    <t>45103</t>
  </si>
  <si>
    <t>45104</t>
  </si>
  <si>
    <t>45105</t>
  </si>
  <si>
    <t>45106</t>
  </si>
  <si>
    <t>45107</t>
  </si>
  <si>
    <t>45108</t>
  </si>
  <si>
    <t>Tabela 12 — Dados (Aba 45)</t>
  </si>
  <si>
    <t>45111</t>
  </si>
  <si>
    <t>45112</t>
  </si>
  <si>
    <t>45113</t>
  </si>
  <si>
    <t>45114</t>
  </si>
  <si>
    <t>45115</t>
  </si>
  <si>
    <t>45116</t>
  </si>
  <si>
    <t>45117</t>
  </si>
  <si>
    <t>45118</t>
  </si>
  <si>
    <t>Tabela 13 — Infra (Aba 45)</t>
  </si>
  <si>
    <t>45121</t>
  </si>
  <si>
    <t>45122</t>
  </si>
  <si>
    <t>45123</t>
  </si>
  <si>
    <t>45124</t>
  </si>
  <si>
    <t>45125</t>
  </si>
  <si>
    <t>45126</t>
  </si>
  <si>
    <t>45127</t>
  </si>
  <si>
    <t>45128</t>
  </si>
  <si>
    <t>Tabela 14 — Segurança (Aba 45)</t>
  </si>
  <si>
    <t>45131</t>
  </si>
  <si>
    <t>45132</t>
  </si>
  <si>
    <t>45133</t>
  </si>
  <si>
    <t>45134</t>
  </si>
  <si>
    <t>45135</t>
  </si>
  <si>
    <t>45136</t>
  </si>
  <si>
    <t>45137</t>
  </si>
  <si>
    <t>45138</t>
  </si>
  <si>
    <t>Tabela 15 — Engenharia (Aba 45)</t>
  </si>
  <si>
    <t>45141</t>
  </si>
  <si>
    <t>45142</t>
  </si>
  <si>
    <t>45143</t>
  </si>
  <si>
    <t>45144</t>
  </si>
  <si>
    <t>45145</t>
  </si>
  <si>
    <t>45146</t>
  </si>
  <si>
    <t>45147</t>
  </si>
  <si>
    <t>45148</t>
  </si>
  <si>
    <t>Tabela 16 — Produto (Aba 45)</t>
  </si>
  <si>
    <t>45151</t>
  </si>
  <si>
    <t>45152</t>
  </si>
  <si>
    <t>45153</t>
  </si>
  <si>
    <t>45154</t>
  </si>
  <si>
    <t>45155</t>
  </si>
  <si>
    <t>45156</t>
  </si>
  <si>
    <t>45157</t>
  </si>
  <si>
    <t>45158</t>
  </si>
  <si>
    <t>Tabela 17 — Design (Aba 45)</t>
  </si>
  <si>
    <t>45161</t>
  </si>
  <si>
    <t>45162</t>
  </si>
  <si>
    <t>45163</t>
  </si>
  <si>
    <t>45164</t>
  </si>
  <si>
    <t>45165</t>
  </si>
  <si>
    <t>45166</t>
  </si>
  <si>
    <t>45167</t>
  </si>
  <si>
    <t>45168</t>
  </si>
  <si>
    <t>Tabela 18 — DevEx (Aba 45)</t>
  </si>
  <si>
    <t>45171</t>
  </si>
  <si>
    <t>45172</t>
  </si>
  <si>
    <t>45173</t>
  </si>
  <si>
    <t>45174</t>
  </si>
  <si>
    <t>45175</t>
  </si>
  <si>
    <t>45176</t>
  </si>
  <si>
    <t>45177</t>
  </si>
  <si>
    <t>45178</t>
  </si>
  <si>
    <t>Tabela 19 — Dados (Aba 45)</t>
  </si>
  <si>
    <t>45181</t>
  </si>
  <si>
    <t>45182</t>
  </si>
  <si>
    <t>45183</t>
  </si>
  <si>
    <t>45184</t>
  </si>
  <si>
    <t>45185</t>
  </si>
  <si>
    <t>45186</t>
  </si>
  <si>
    <t>45187</t>
  </si>
  <si>
    <t>45188</t>
  </si>
  <si>
    <t>Tabela 20 — Infra (Aba 45)</t>
  </si>
  <si>
    <t>45191</t>
  </si>
  <si>
    <t>45192</t>
  </si>
  <si>
    <t>45193</t>
  </si>
  <si>
    <t>45194</t>
  </si>
  <si>
    <t>45195</t>
  </si>
  <si>
    <t>45196</t>
  </si>
  <si>
    <t>45197</t>
  </si>
  <si>
    <t>45198</t>
  </si>
  <si>
    <t>Tabela 21 — Segurança (Aba 45)</t>
  </si>
  <si>
    <t>45201</t>
  </si>
  <si>
    <t>45202</t>
  </si>
  <si>
    <t>45203</t>
  </si>
  <si>
    <t>45204</t>
  </si>
  <si>
    <t>45205</t>
  </si>
  <si>
    <t>45206</t>
  </si>
  <si>
    <t>45207</t>
  </si>
  <si>
    <t>45208</t>
  </si>
  <si>
    <t>Tabela 22 — Engenharia (Aba 45)</t>
  </si>
  <si>
    <t>45211</t>
  </si>
  <si>
    <t>45212</t>
  </si>
  <si>
    <t>45213</t>
  </si>
  <si>
    <t>45214</t>
  </si>
  <si>
    <t>45215</t>
  </si>
  <si>
    <t>45216</t>
  </si>
  <si>
    <t>45217</t>
  </si>
  <si>
    <t>45218</t>
  </si>
  <si>
    <t>Tabela 23 — Produto (Aba 45)</t>
  </si>
  <si>
    <t>45221</t>
  </si>
  <si>
    <t>45222</t>
  </si>
  <si>
    <t>45223</t>
  </si>
  <si>
    <t>45224</t>
  </si>
  <si>
    <t>45225</t>
  </si>
  <si>
    <t>45226</t>
  </si>
  <si>
    <t>45227</t>
  </si>
  <si>
    <t>45228</t>
  </si>
  <si>
    <t>Tabela 24 — Design (Aba 45)</t>
  </si>
  <si>
    <t>45231</t>
  </si>
  <si>
    <t>45232</t>
  </si>
  <si>
    <t>45233</t>
  </si>
  <si>
    <t>45234</t>
  </si>
  <si>
    <t>45235</t>
  </si>
  <si>
    <t>45236</t>
  </si>
  <si>
    <t>45237</t>
  </si>
  <si>
    <t>45238</t>
  </si>
  <si>
    <t>Tabela 25 — DevEx (Aba 45)</t>
  </si>
  <si>
    <t>45241</t>
  </si>
  <si>
    <t>45242</t>
  </si>
  <si>
    <t>45243</t>
  </si>
  <si>
    <t>45244</t>
  </si>
  <si>
    <t>45245</t>
  </si>
  <si>
    <t>45246</t>
  </si>
  <si>
    <t>45247</t>
  </si>
  <si>
    <t>45248</t>
  </si>
  <si>
    <t>Tabela 26 — Dados (Aba 45)</t>
  </si>
  <si>
    <t>45251</t>
  </si>
  <si>
    <t>45252</t>
  </si>
  <si>
    <t>45253</t>
  </si>
  <si>
    <t>45254</t>
  </si>
  <si>
    <t>45255</t>
  </si>
  <si>
    <t>45256</t>
  </si>
  <si>
    <t>45257</t>
  </si>
  <si>
    <t>45258</t>
  </si>
  <si>
    <t>Tabela 27 — Infra (Aba 45)</t>
  </si>
  <si>
    <t>45261</t>
  </si>
  <si>
    <t>45262</t>
  </si>
  <si>
    <t>45263</t>
  </si>
  <si>
    <t>45264</t>
  </si>
  <si>
    <t>45265</t>
  </si>
  <si>
    <t>45266</t>
  </si>
  <si>
    <t>45267</t>
  </si>
  <si>
    <t>45268</t>
  </si>
  <si>
    <t>Tabela 28 — Segurança (Aba 45)</t>
  </si>
  <si>
    <t>45271</t>
  </si>
  <si>
    <t>45272</t>
  </si>
  <si>
    <t>45273</t>
  </si>
  <si>
    <t>45274</t>
  </si>
  <si>
    <t>45275</t>
  </si>
  <si>
    <t>45276</t>
  </si>
  <si>
    <t>45277</t>
  </si>
  <si>
    <t>45278</t>
  </si>
  <si>
    <t>Tabela 29 — Engenharia (Aba 45)</t>
  </si>
  <si>
    <t>45281</t>
  </si>
  <si>
    <t>45282</t>
  </si>
  <si>
    <t>45283</t>
  </si>
  <si>
    <t>45284</t>
  </si>
  <si>
    <t>45285</t>
  </si>
  <si>
    <t>45286</t>
  </si>
  <si>
    <t>45287</t>
  </si>
  <si>
    <t>45288</t>
  </si>
  <si>
    <t>Tabela 30 — Produto (Aba 45)</t>
  </si>
  <si>
    <t>45291</t>
  </si>
  <si>
    <t>45292</t>
  </si>
  <si>
    <t>45293</t>
  </si>
  <si>
    <t>45294</t>
  </si>
  <si>
    <t>45295</t>
  </si>
  <si>
    <t>45296</t>
  </si>
  <si>
    <t>45297</t>
  </si>
  <si>
    <t>45298</t>
  </si>
  <si>
    <t>Planilha — Aba 44 | Relatório de Equipe</t>
  </si>
  <si>
    <t>Tabela 1 — Engenharia (Aba 44)</t>
  </si>
  <si>
    <t>44001</t>
  </si>
  <si>
    <t>44002</t>
  </si>
  <si>
    <t>44003</t>
  </si>
  <si>
    <t>44004</t>
  </si>
  <si>
    <t>44005</t>
  </si>
  <si>
    <t>44006</t>
  </si>
  <si>
    <t>44007</t>
  </si>
  <si>
    <t>44008</t>
  </si>
  <si>
    <t>Tabela 2 — Produto (Aba 44)</t>
  </si>
  <si>
    <t>44011</t>
  </si>
  <si>
    <t>44012</t>
  </si>
  <si>
    <t>44013</t>
  </si>
  <si>
    <t>44014</t>
  </si>
  <si>
    <t>44015</t>
  </si>
  <si>
    <t>44016</t>
  </si>
  <si>
    <t>44017</t>
  </si>
  <si>
    <t>44018</t>
  </si>
  <si>
    <t>Tabela 3 — Design (Aba 44)</t>
  </si>
  <si>
    <t>44021</t>
  </si>
  <si>
    <t>44022</t>
  </si>
  <si>
    <t>44023</t>
  </si>
  <si>
    <t>44024</t>
  </si>
  <si>
    <t>44025</t>
  </si>
  <si>
    <t>44026</t>
  </si>
  <si>
    <t>44027</t>
  </si>
  <si>
    <t>44028</t>
  </si>
  <si>
    <t>Tabela 4 — DevEx (Aba 44)</t>
  </si>
  <si>
    <t>44031</t>
  </si>
  <si>
    <t>44032</t>
  </si>
  <si>
    <t>44033</t>
  </si>
  <si>
    <t>44034</t>
  </si>
  <si>
    <t>44035</t>
  </si>
  <si>
    <t>44036</t>
  </si>
  <si>
    <t>44037</t>
  </si>
  <si>
    <t>44038</t>
  </si>
  <si>
    <t>Tabela 5 — Dados (Aba 44)</t>
  </si>
  <si>
    <t>44041</t>
  </si>
  <si>
    <t>44042</t>
  </si>
  <si>
    <t>44043</t>
  </si>
  <si>
    <t>44044</t>
  </si>
  <si>
    <t>44045</t>
  </si>
  <si>
    <t>44046</t>
  </si>
  <si>
    <t>44047</t>
  </si>
  <si>
    <t>44048</t>
  </si>
  <si>
    <t>Tabela 6 — Infra (Aba 44)</t>
  </si>
  <si>
    <t>44051</t>
  </si>
  <si>
    <t>44052</t>
  </si>
  <si>
    <t>44053</t>
  </si>
  <si>
    <t>44054</t>
  </si>
  <si>
    <t>44055</t>
  </si>
  <si>
    <t>44056</t>
  </si>
  <si>
    <t>44057</t>
  </si>
  <si>
    <t>44058</t>
  </si>
  <si>
    <t>Tabela 7 — Segurança (Aba 44)</t>
  </si>
  <si>
    <t>44061</t>
  </si>
  <si>
    <t>44062</t>
  </si>
  <si>
    <t>44063</t>
  </si>
  <si>
    <t>44064</t>
  </si>
  <si>
    <t>44065</t>
  </si>
  <si>
    <t>44066</t>
  </si>
  <si>
    <t>44067</t>
  </si>
  <si>
    <t>44068</t>
  </si>
  <si>
    <t>Tabela 8 — Engenharia (Aba 44)</t>
  </si>
  <si>
    <t>44071</t>
  </si>
  <si>
    <t>44072</t>
  </si>
  <si>
    <t>44073</t>
  </si>
  <si>
    <t>44074</t>
  </si>
  <si>
    <t>44075</t>
  </si>
  <si>
    <t>44076</t>
  </si>
  <si>
    <t>44077</t>
  </si>
  <si>
    <t>44078</t>
  </si>
  <si>
    <t>Tabela 9 — Produto (Aba 44)</t>
  </si>
  <si>
    <t>44081</t>
  </si>
  <si>
    <t>44082</t>
  </si>
  <si>
    <t>44083</t>
  </si>
  <si>
    <t>44084</t>
  </si>
  <si>
    <t>44085</t>
  </si>
  <si>
    <t>44086</t>
  </si>
  <si>
    <t>44087</t>
  </si>
  <si>
    <t>44088</t>
  </si>
  <si>
    <t>Tabela 10 — Design (Aba 44)</t>
  </si>
  <si>
    <t>44091</t>
  </si>
  <si>
    <t>44092</t>
  </si>
  <si>
    <t>44093</t>
  </si>
  <si>
    <t>44094</t>
  </si>
  <si>
    <t>44095</t>
  </si>
  <si>
    <t>44096</t>
  </si>
  <si>
    <t>44097</t>
  </si>
  <si>
    <t>44098</t>
  </si>
  <si>
    <t>Tabela 11 — DevEx (Aba 44)</t>
  </si>
  <si>
    <t>44101</t>
  </si>
  <si>
    <t>44102</t>
  </si>
  <si>
    <t>44103</t>
  </si>
  <si>
    <t>44104</t>
  </si>
  <si>
    <t>44105</t>
  </si>
  <si>
    <t>44106</t>
  </si>
  <si>
    <t>44107</t>
  </si>
  <si>
    <t>44108</t>
  </si>
  <si>
    <t>Tabela 12 — Dados (Aba 44)</t>
  </si>
  <si>
    <t>44111</t>
  </si>
  <si>
    <t>44112</t>
  </si>
  <si>
    <t>44113</t>
  </si>
  <si>
    <t>44114</t>
  </si>
  <si>
    <t>44115</t>
  </si>
  <si>
    <t>44116</t>
  </si>
  <si>
    <t>44117</t>
  </si>
  <si>
    <t>44118</t>
  </si>
  <si>
    <t>Tabela 13 — Infra (Aba 44)</t>
  </si>
  <si>
    <t>44121</t>
  </si>
  <si>
    <t>44122</t>
  </si>
  <si>
    <t>44123</t>
  </si>
  <si>
    <t>44124</t>
  </si>
  <si>
    <t>44125</t>
  </si>
  <si>
    <t>44126</t>
  </si>
  <si>
    <t>44127</t>
  </si>
  <si>
    <t>44128</t>
  </si>
  <si>
    <t>Tabela 14 — Segurança (Aba 44)</t>
  </si>
  <si>
    <t>44131</t>
  </si>
  <si>
    <t>44132</t>
  </si>
  <si>
    <t>44133</t>
  </si>
  <si>
    <t>44134</t>
  </si>
  <si>
    <t>44135</t>
  </si>
  <si>
    <t>44136</t>
  </si>
  <si>
    <t>44137</t>
  </si>
  <si>
    <t>44138</t>
  </si>
  <si>
    <t>Tabela 15 — Engenharia (Aba 44)</t>
  </si>
  <si>
    <t>44141</t>
  </si>
  <si>
    <t>44142</t>
  </si>
  <si>
    <t>44143</t>
  </si>
  <si>
    <t>44144</t>
  </si>
  <si>
    <t>44145</t>
  </si>
  <si>
    <t>44146</t>
  </si>
  <si>
    <t>44147</t>
  </si>
  <si>
    <t>44148</t>
  </si>
  <si>
    <t>Tabela 16 — Produto (Aba 44)</t>
  </si>
  <si>
    <t>44151</t>
  </si>
  <si>
    <t>44152</t>
  </si>
  <si>
    <t>44153</t>
  </si>
  <si>
    <t>44154</t>
  </si>
  <si>
    <t>44155</t>
  </si>
  <si>
    <t>44156</t>
  </si>
  <si>
    <t>44157</t>
  </si>
  <si>
    <t>44158</t>
  </si>
  <si>
    <t>Tabela 17 — Design (Aba 44)</t>
  </si>
  <si>
    <t>44161</t>
  </si>
  <si>
    <t>44162</t>
  </si>
  <si>
    <t>44163</t>
  </si>
  <si>
    <t>44164</t>
  </si>
  <si>
    <t>44165</t>
  </si>
  <si>
    <t>44166</t>
  </si>
  <si>
    <t>44167</t>
  </si>
  <si>
    <t>44168</t>
  </si>
  <si>
    <t>Tabela 18 — DevEx (Aba 44)</t>
  </si>
  <si>
    <t>44171</t>
  </si>
  <si>
    <t>44172</t>
  </si>
  <si>
    <t>44173</t>
  </si>
  <si>
    <t>44174</t>
  </si>
  <si>
    <t>44175</t>
  </si>
  <si>
    <t>44176</t>
  </si>
  <si>
    <t>44177</t>
  </si>
  <si>
    <t>44178</t>
  </si>
  <si>
    <t>Tabela 19 — Dados (Aba 44)</t>
  </si>
  <si>
    <t>44181</t>
  </si>
  <si>
    <t>44182</t>
  </si>
  <si>
    <t>44183</t>
  </si>
  <si>
    <t>44184</t>
  </si>
  <si>
    <t>44185</t>
  </si>
  <si>
    <t>44186</t>
  </si>
  <si>
    <t>44187</t>
  </si>
  <si>
    <t>44188</t>
  </si>
  <si>
    <t>Tabela 20 — Infra (Aba 44)</t>
  </si>
  <si>
    <t>44191</t>
  </si>
  <si>
    <t>44192</t>
  </si>
  <si>
    <t>44193</t>
  </si>
  <si>
    <t>44194</t>
  </si>
  <si>
    <t>44195</t>
  </si>
  <si>
    <t>44196</t>
  </si>
  <si>
    <t>44197</t>
  </si>
  <si>
    <t>44198</t>
  </si>
  <si>
    <t>Tabela 21 — Segurança (Aba 44)</t>
  </si>
  <si>
    <t>44201</t>
  </si>
  <si>
    <t>44202</t>
  </si>
  <si>
    <t>44203</t>
  </si>
  <si>
    <t>44204</t>
  </si>
  <si>
    <t>44205</t>
  </si>
  <si>
    <t>44206</t>
  </si>
  <si>
    <t>44207</t>
  </si>
  <si>
    <t>44208</t>
  </si>
  <si>
    <t>Tabela 22 — Engenharia (Aba 44)</t>
  </si>
  <si>
    <t>44211</t>
  </si>
  <si>
    <t>44212</t>
  </si>
  <si>
    <t>44213</t>
  </si>
  <si>
    <t>44214</t>
  </si>
  <si>
    <t>44215</t>
  </si>
  <si>
    <t>44216</t>
  </si>
  <si>
    <t>44217</t>
  </si>
  <si>
    <t>44218</t>
  </si>
  <si>
    <t>Tabela 23 — Produto (Aba 44)</t>
  </si>
  <si>
    <t>44221</t>
  </si>
  <si>
    <t>44222</t>
  </si>
  <si>
    <t>44223</t>
  </si>
  <si>
    <t>44224</t>
  </si>
  <si>
    <t>44225</t>
  </si>
  <si>
    <t>44226</t>
  </si>
  <si>
    <t>44227</t>
  </si>
  <si>
    <t>44228</t>
  </si>
  <si>
    <t>Tabela 24 — Design (Aba 44)</t>
  </si>
  <si>
    <t>44231</t>
  </si>
  <si>
    <t>44232</t>
  </si>
  <si>
    <t>44233</t>
  </si>
  <si>
    <t>44234</t>
  </si>
  <si>
    <t>44235</t>
  </si>
  <si>
    <t>44236</t>
  </si>
  <si>
    <t>44237</t>
  </si>
  <si>
    <t>44238</t>
  </si>
  <si>
    <t>Tabela 25 — DevEx (Aba 44)</t>
  </si>
  <si>
    <t>44241</t>
  </si>
  <si>
    <t>44242</t>
  </si>
  <si>
    <t>44243</t>
  </si>
  <si>
    <t>44244</t>
  </si>
  <si>
    <t>44245</t>
  </si>
  <si>
    <t>44246</t>
  </si>
  <si>
    <t>44247</t>
  </si>
  <si>
    <t>44248</t>
  </si>
  <si>
    <t>Tabela 26 — Dados (Aba 44)</t>
  </si>
  <si>
    <t>44251</t>
  </si>
  <si>
    <t>44252</t>
  </si>
  <si>
    <t>44253</t>
  </si>
  <si>
    <t>44254</t>
  </si>
  <si>
    <t>44255</t>
  </si>
  <si>
    <t>44256</t>
  </si>
  <si>
    <t>44257</t>
  </si>
  <si>
    <t>44258</t>
  </si>
  <si>
    <t>Tabela 27 — Infra (Aba 44)</t>
  </si>
  <si>
    <t>44261</t>
  </si>
  <si>
    <t>44262</t>
  </si>
  <si>
    <t>44263</t>
  </si>
  <si>
    <t>44264</t>
  </si>
  <si>
    <t>44265</t>
  </si>
  <si>
    <t>44266</t>
  </si>
  <si>
    <t>44267</t>
  </si>
  <si>
    <t>44268</t>
  </si>
  <si>
    <t>Tabela 28 — Segurança (Aba 44)</t>
  </si>
  <si>
    <t>44271</t>
  </si>
  <si>
    <t>44272</t>
  </si>
  <si>
    <t>44273</t>
  </si>
  <si>
    <t>44274</t>
  </si>
  <si>
    <t>44275</t>
  </si>
  <si>
    <t>44276</t>
  </si>
  <si>
    <t>44277</t>
  </si>
  <si>
    <t>44278</t>
  </si>
  <si>
    <t>Tabela 29 — Engenharia (Aba 44)</t>
  </si>
  <si>
    <t>44281</t>
  </si>
  <si>
    <t>44282</t>
  </si>
  <si>
    <t>44283</t>
  </si>
  <si>
    <t>44284</t>
  </si>
  <si>
    <t>44285</t>
  </si>
  <si>
    <t>44286</t>
  </si>
  <si>
    <t>44287</t>
  </si>
  <si>
    <t>44288</t>
  </si>
  <si>
    <t>Tabela 30 — Produto (Aba 44)</t>
  </si>
  <si>
    <t>44291</t>
  </si>
  <si>
    <t>44292</t>
  </si>
  <si>
    <t>44293</t>
  </si>
  <si>
    <t>44294</t>
  </si>
  <si>
    <t>44295</t>
  </si>
  <si>
    <t>44296</t>
  </si>
  <si>
    <t>44297</t>
  </si>
  <si>
    <t>44298</t>
  </si>
  <si>
    <t>Planilha — Aba 43 | Relatório de Equipe</t>
  </si>
  <si>
    <t>Tabela 1 — Engenharia (Aba 43)</t>
  </si>
  <si>
    <t>43001</t>
  </si>
  <si>
    <t>43002</t>
  </si>
  <si>
    <t>43003</t>
  </si>
  <si>
    <t>43004</t>
  </si>
  <si>
    <t>43005</t>
  </si>
  <si>
    <t>43006</t>
  </si>
  <si>
    <t>43007</t>
  </si>
  <si>
    <t>43008</t>
  </si>
  <si>
    <t>Tabela 2 — Produto (Aba 43)</t>
  </si>
  <si>
    <t>43011</t>
  </si>
  <si>
    <t>43012</t>
  </si>
  <si>
    <t>43013</t>
  </si>
  <si>
    <t>43014</t>
  </si>
  <si>
    <t>43015</t>
  </si>
  <si>
    <t>43016</t>
  </si>
  <si>
    <t>43017</t>
  </si>
  <si>
    <t>43018</t>
  </si>
  <si>
    <t>Tabela 3 — Design (Aba 43)</t>
  </si>
  <si>
    <t>43021</t>
  </si>
  <si>
    <t>43022</t>
  </si>
  <si>
    <t>43023</t>
  </si>
  <si>
    <t>43024</t>
  </si>
  <si>
    <t>43025</t>
  </si>
  <si>
    <t>43026</t>
  </si>
  <si>
    <t>43027</t>
  </si>
  <si>
    <t>43028</t>
  </si>
  <si>
    <t>Tabela 4 — DevEx (Aba 43)</t>
  </si>
  <si>
    <t>43031</t>
  </si>
  <si>
    <t>43032</t>
  </si>
  <si>
    <t>43033</t>
  </si>
  <si>
    <t>43034</t>
  </si>
  <si>
    <t>43035</t>
  </si>
  <si>
    <t>43036</t>
  </si>
  <si>
    <t>43037</t>
  </si>
  <si>
    <t>43038</t>
  </si>
  <si>
    <t>Tabela 5 — Dados (Aba 43)</t>
  </si>
  <si>
    <t>43041</t>
  </si>
  <si>
    <t>43042</t>
  </si>
  <si>
    <t>43043</t>
  </si>
  <si>
    <t>43044</t>
  </si>
  <si>
    <t>43045</t>
  </si>
  <si>
    <t>43046</t>
  </si>
  <si>
    <t>43047</t>
  </si>
  <si>
    <t>43048</t>
  </si>
  <si>
    <t>Tabela 6 — Infra (Aba 43)</t>
  </si>
  <si>
    <t>43051</t>
  </si>
  <si>
    <t>43052</t>
  </si>
  <si>
    <t>43053</t>
  </si>
  <si>
    <t>43054</t>
  </si>
  <si>
    <t>43055</t>
  </si>
  <si>
    <t>43056</t>
  </si>
  <si>
    <t>43057</t>
  </si>
  <si>
    <t>43058</t>
  </si>
  <si>
    <t>Tabela 7 — Segurança (Aba 43)</t>
  </si>
  <si>
    <t>43061</t>
  </si>
  <si>
    <t>43062</t>
  </si>
  <si>
    <t>43063</t>
  </si>
  <si>
    <t>43064</t>
  </si>
  <si>
    <t>43065</t>
  </si>
  <si>
    <t>43066</t>
  </si>
  <si>
    <t>43067</t>
  </si>
  <si>
    <t>43068</t>
  </si>
  <si>
    <t>Tabela 8 — Engenharia (Aba 43)</t>
  </si>
  <si>
    <t>43071</t>
  </si>
  <si>
    <t>43072</t>
  </si>
  <si>
    <t>43073</t>
  </si>
  <si>
    <t>43074</t>
  </si>
  <si>
    <t>43075</t>
  </si>
  <si>
    <t>43076</t>
  </si>
  <si>
    <t>43077</t>
  </si>
  <si>
    <t>43078</t>
  </si>
  <si>
    <t>Tabela 9 — Produto (Aba 43)</t>
  </si>
  <si>
    <t>43081</t>
  </si>
  <si>
    <t>43082</t>
  </si>
  <si>
    <t>43083</t>
  </si>
  <si>
    <t>43084</t>
  </si>
  <si>
    <t>43085</t>
  </si>
  <si>
    <t>43086</t>
  </si>
  <si>
    <t>43087</t>
  </si>
  <si>
    <t>43088</t>
  </si>
  <si>
    <t>Tabela 10 — Design (Aba 43)</t>
  </si>
  <si>
    <t>43091</t>
  </si>
  <si>
    <t>43092</t>
  </si>
  <si>
    <t>43093</t>
  </si>
  <si>
    <t>43094</t>
  </si>
  <si>
    <t>43095</t>
  </si>
  <si>
    <t>43096</t>
  </si>
  <si>
    <t>43097</t>
  </si>
  <si>
    <t>43098</t>
  </si>
  <si>
    <t>Tabela 11 — DevEx (Aba 43)</t>
  </si>
  <si>
    <t>43101</t>
  </si>
  <si>
    <t>43102</t>
  </si>
  <si>
    <t>43103</t>
  </si>
  <si>
    <t>43104</t>
  </si>
  <si>
    <t>43105</t>
  </si>
  <si>
    <t>43106</t>
  </si>
  <si>
    <t>43107</t>
  </si>
  <si>
    <t>43108</t>
  </si>
  <si>
    <t>Tabela 12 — Dados (Aba 43)</t>
  </si>
  <si>
    <t>43111</t>
  </si>
  <si>
    <t>43112</t>
  </si>
  <si>
    <t>43113</t>
  </si>
  <si>
    <t>43114</t>
  </si>
  <si>
    <t>43115</t>
  </si>
  <si>
    <t>43116</t>
  </si>
  <si>
    <t>43117</t>
  </si>
  <si>
    <t>43118</t>
  </si>
  <si>
    <t>Tabela 13 — Infra (Aba 43)</t>
  </si>
  <si>
    <t>43121</t>
  </si>
  <si>
    <t>43122</t>
  </si>
  <si>
    <t>43123</t>
  </si>
  <si>
    <t>43124</t>
  </si>
  <si>
    <t>43125</t>
  </si>
  <si>
    <t>43126</t>
  </si>
  <si>
    <t>43127</t>
  </si>
  <si>
    <t>43128</t>
  </si>
  <si>
    <t>Tabela 14 — Segurança (Aba 43)</t>
  </si>
  <si>
    <t>43131</t>
  </si>
  <si>
    <t>43132</t>
  </si>
  <si>
    <t>43133</t>
  </si>
  <si>
    <t>43134</t>
  </si>
  <si>
    <t>43135</t>
  </si>
  <si>
    <t>43136</t>
  </si>
  <si>
    <t>43137</t>
  </si>
  <si>
    <t>43138</t>
  </si>
  <si>
    <t>Tabela 15 — Engenharia (Aba 43)</t>
  </si>
  <si>
    <t>43141</t>
  </si>
  <si>
    <t>43142</t>
  </si>
  <si>
    <t>43143</t>
  </si>
  <si>
    <t>43144</t>
  </si>
  <si>
    <t>43145</t>
  </si>
  <si>
    <t>43146</t>
  </si>
  <si>
    <t>43147</t>
  </si>
  <si>
    <t>43148</t>
  </si>
  <si>
    <t>Tabela 16 — Produto (Aba 43)</t>
  </si>
  <si>
    <t>43151</t>
  </si>
  <si>
    <t>43152</t>
  </si>
  <si>
    <t>43153</t>
  </si>
  <si>
    <t>43154</t>
  </si>
  <si>
    <t>43155</t>
  </si>
  <si>
    <t>43156</t>
  </si>
  <si>
    <t>43157</t>
  </si>
  <si>
    <t>43158</t>
  </si>
  <si>
    <t>Tabela 17 — Design (Aba 43)</t>
  </si>
  <si>
    <t>43161</t>
  </si>
  <si>
    <t>43162</t>
  </si>
  <si>
    <t>43163</t>
  </si>
  <si>
    <t>43164</t>
  </si>
  <si>
    <t>43165</t>
  </si>
  <si>
    <t>43166</t>
  </si>
  <si>
    <t>43167</t>
  </si>
  <si>
    <t>43168</t>
  </si>
  <si>
    <t>Tabela 18 — DevEx (Aba 43)</t>
  </si>
  <si>
    <t>43171</t>
  </si>
  <si>
    <t>43172</t>
  </si>
  <si>
    <t>43173</t>
  </si>
  <si>
    <t>43174</t>
  </si>
  <si>
    <t>43175</t>
  </si>
  <si>
    <t>43176</t>
  </si>
  <si>
    <t>43177</t>
  </si>
  <si>
    <t>43178</t>
  </si>
  <si>
    <t>Tabela 19 — Dados (Aba 43)</t>
  </si>
  <si>
    <t>43181</t>
  </si>
  <si>
    <t>43182</t>
  </si>
  <si>
    <t>43183</t>
  </si>
  <si>
    <t>43184</t>
  </si>
  <si>
    <t>43185</t>
  </si>
  <si>
    <t>43186</t>
  </si>
  <si>
    <t>43187</t>
  </si>
  <si>
    <t>43188</t>
  </si>
  <si>
    <t>Tabela 20 — Infra (Aba 43)</t>
  </si>
  <si>
    <t>43191</t>
  </si>
  <si>
    <t>43192</t>
  </si>
  <si>
    <t>43193</t>
  </si>
  <si>
    <t>43194</t>
  </si>
  <si>
    <t>43195</t>
  </si>
  <si>
    <t>43196</t>
  </si>
  <si>
    <t>43197</t>
  </si>
  <si>
    <t>43198</t>
  </si>
  <si>
    <t>Tabela 21 — Segurança (Aba 43)</t>
  </si>
  <si>
    <t>43201</t>
  </si>
  <si>
    <t>43202</t>
  </si>
  <si>
    <t>43203</t>
  </si>
  <si>
    <t>43204</t>
  </si>
  <si>
    <t>43205</t>
  </si>
  <si>
    <t>43206</t>
  </si>
  <si>
    <t>43207</t>
  </si>
  <si>
    <t>43208</t>
  </si>
  <si>
    <t>Tabela 22 — Engenharia (Aba 43)</t>
  </si>
  <si>
    <t>43211</t>
  </si>
  <si>
    <t>43212</t>
  </si>
  <si>
    <t>43213</t>
  </si>
  <si>
    <t>43214</t>
  </si>
  <si>
    <t>43215</t>
  </si>
  <si>
    <t>43216</t>
  </si>
  <si>
    <t>43217</t>
  </si>
  <si>
    <t>43218</t>
  </si>
  <si>
    <t>Tabela 23 — Produto (Aba 43)</t>
  </si>
  <si>
    <t>43221</t>
  </si>
  <si>
    <t>43222</t>
  </si>
  <si>
    <t>43223</t>
  </si>
  <si>
    <t>43224</t>
  </si>
  <si>
    <t>43225</t>
  </si>
  <si>
    <t>43226</t>
  </si>
  <si>
    <t>43227</t>
  </si>
  <si>
    <t>43228</t>
  </si>
  <si>
    <t>Tabela 24 — Design (Aba 43)</t>
  </si>
  <si>
    <t>43231</t>
  </si>
  <si>
    <t>43232</t>
  </si>
  <si>
    <t>43233</t>
  </si>
  <si>
    <t>43234</t>
  </si>
  <si>
    <t>43235</t>
  </si>
  <si>
    <t>43236</t>
  </si>
  <si>
    <t>43237</t>
  </si>
  <si>
    <t>43238</t>
  </si>
  <si>
    <t>Tabela 25 — DevEx (Aba 43)</t>
  </si>
  <si>
    <t>43241</t>
  </si>
  <si>
    <t>43242</t>
  </si>
  <si>
    <t>43243</t>
  </si>
  <si>
    <t>43244</t>
  </si>
  <si>
    <t>43245</t>
  </si>
  <si>
    <t>43246</t>
  </si>
  <si>
    <t>43247</t>
  </si>
  <si>
    <t>43248</t>
  </si>
  <si>
    <t>Tabela 26 — Dados (Aba 43)</t>
  </si>
  <si>
    <t>43251</t>
  </si>
  <si>
    <t>43252</t>
  </si>
  <si>
    <t>43253</t>
  </si>
  <si>
    <t>43254</t>
  </si>
  <si>
    <t>43255</t>
  </si>
  <si>
    <t>43256</t>
  </si>
  <si>
    <t>43257</t>
  </si>
  <si>
    <t>43258</t>
  </si>
  <si>
    <t>Tabela 27 — Infra (Aba 43)</t>
  </si>
  <si>
    <t>43261</t>
  </si>
  <si>
    <t>43262</t>
  </si>
  <si>
    <t>43263</t>
  </si>
  <si>
    <t>43264</t>
  </si>
  <si>
    <t>43265</t>
  </si>
  <si>
    <t>43266</t>
  </si>
  <si>
    <t>43267</t>
  </si>
  <si>
    <t>43268</t>
  </si>
  <si>
    <t>Tabela 28 — Segurança (Aba 43)</t>
  </si>
  <si>
    <t>43271</t>
  </si>
  <si>
    <t>43272</t>
  </si>
  <si>
    <t>43273</t>
  </si>
  <si>
    <t>43274</t>
  </si>
  <si>
    <t>43275</t>
  </si>
  <si>
    <t>43276</t>
  </si>
  <si>
    <t>43277</t>
  </si>
  <si>
    <t>43278</t>
  </si>
  <si>
    <t>Tabela 29 — Engenharia (Aba 43)</t>
  </si>
  <si>
    <t>43281</t>
  </si>
  <si>
    <t>43282</t>
  </si>
  <si>
    <t>43283</t>
  </si>
  <si>
    <t>43284</t>
  </si>
  <si>
    <t>43285</t>
  </si>
  <si>
    <t>43286</t>
  </si>
  <si>
    <t>43287</t>
  </si>
  <si>
    <t>43288</t>
  </si>
  <si>
    <t>Tabela 30 — Produto (Aba 43)</t>
  </si>
  <si>
    <t>43291</t>
  </si>
  <si>
    <t>43292</t>
  </si>
  <si>
    <t>43293</t>
  </si>
  <si>
    <t>43294</t>
  </si>
  <si>
    <t>43295</t>
  </si>
  <si>
    <t>43296</t>
  </si>
  <si>
    <t>43297</t>
  </si>
  <si>
    <t>43298</t>
  </si>
  <si>
    <t>Planilha — Aba 42 | Relatório de Equipe</t>
  </si>
  <si>
    <t>Tabela 1 — Engenharia (Aba 42)</t>
  </si>
  <si>
    <t>42001</t>
  </si>
  <si>
    <t>42002</t>
  </si>
  <si>
    <t>42003</t>
  </si>
  <si>
    <t>42004</t>
  </si>
  <si>
    <t>42005</t>
  </si>
  <si>
    <t>42006</t>
  </si>
  <si>
    <t>42007</t>
  </si>
  <si>
    <t>42008</t>
  </si>
  <si>
    <t>Tabela 2 — Produto (Aba 42)</t>
  </si>
  <si>
    <t>42011</t>
  </si>
  <si>
    <t>42012</t>
  </si>
  <si>
    <t>42013</t>
  </si>
  <si>
    <t>42014</t>
  </si>
  <si>
    <t>42015</t>
  </si>
  <si>
    <t>42016</t>
  </si>
  <si>
    <t>42017</t>
  </si>
  <si>
    <t>42018</t>
  </si>
  <si>
    <t>Tabela 3 — Design (Aba 42)</t>
  </si>
  <si>
    <t>42021</t>
  </si>
  <si>
    <t>42022</t>
  </si>
  <si>
    <t>42023</t>
  </si>
  <si>
    <t>42024</t>
  </si>
  <si>
    <t>42025</t>
  </si>
  <si>
    <t>42026</t>
  </si>
  <si>
    <t>42027</t>
  </si>
  <si>
    <t>42028</t>
  </si>
  <si>
    <t>Tabela 4 — DevEx (Aba 42)</t>
  </si>
  <si>
    <t>42031</t>
  </si>
  <si>
    <t>42032</t>
  </si>
  <si>
    <t>42033</t>
  </si>
  <si>
    <t>42034</t>
  </si>
  <si>
    <t>42035</t>
  </si>
  <si>
    <t>42036</t>
  </si>
  <si>
    <t>42037</t>
  </si>
  <si>
    <t>42038</t>
  </si>
  <si>
    <t>Tabela 5 — Dados (Aba 42)</t>
  </si>
  <si>
    <t>42041</t>
  </si>
  <si>
    <t>42042</t>
  </si>
  <si>
    <t>42043</t>
  </si>
  <si>
    <t>42044</t>
  </si>
  <si>
    <t>42045</t>
  </si>
  <si>
    <t>42046</t>
  </si>
  <si>
    <t>42047</t>
  </si>
  <si>
    <t>42048</t>
  </si>
  <si>
    <t>Tabela 6 — Infra (Aba 42)</t>
  </si>
  <si>
    <t>42051</t>
  </si>
  <si>
    <t>42052</t>
  </si>
  <si>
    <t>42053</t>
  </si>
  <si>
    <t>42054</t>
  </si>
  <si>
    <t>42055</t>
  </si>
  <si>
    <t>42056</t>
  </si>
  <si>
    <t>42057</t>
  </si>
  <si>
    <t>42058</t>
  </si>
  <si>
    <t>Tabela 7 — Segurança (Aba 42)</t>
  </si>
  <si>
    <t>42061</t>
  </si>
  <si>
    <t>42062</t>
  </si>
  <si>
    <t>42063</t>
  </si>
  <si>
    <t>42064</t>
  </si>
  <si>
    <t>42065</t>
  </si>
  <si>
    <t>42066</t>
  </si>
  <si>
    <t>42067</t>
  </si>
  <si>
    <t>42068</t>
  </si>
  <si>
    <t>Tabela 8 — Engenharia (Aba 42)</t>
  </si>
  <si>
    <t>42071</t>
  </si>
  <si>
    <t>42072</t>
  </si>
  <si>
    <t>42073</t>
  </si>
  <si>
    <t>42074</t>
  </si>
  <si>
    <t>42075</t>
  </si>
  <si>
    <t>42076</t>
  </si>
  <si>
    <t>42077</t>
  </si>
  <si>
    <t>42078</t>
  </si>
  <si>
    <t>Tabela 9 — Produto (Aba 42)</t>
  </si>
  <si>
    <t>42081</t>
  </si>
  <si>
    <t>42082</t>
  </si>
  <si>
    <t>42083</t>
  </si>
  <si>
    <t>42084</t>
  </si>
  <si>
    <t>42085</t>
  </si>
  <si>
    <t>42086</t>
  </si>
  <si>
    <t>42087</t>
  </si>
  <si>
    <t>42088</t>
  </si>
  <si>
    <t>Tabela 10 — Design (Aba 42)</t>
  </si>
  <si>
    <t>42091</t>
  </si>
  <si>
    <t>42092</t>
  </si>
  <si>
    <t>42093</t>
  </si>
  <si>
    <t>42094</t>
  </si>
  <si>
    <t>42095</t>
  </si>
  <si>
    <t>42096</t>
  </si>
  <si>
    <t>42097</t>
  </si>
  <si>
    <t>42098</t>
  </si>
  <si>
    <t>Tabela 11 — DevEx (Aba 42)</t>
  </si>
  <si>
    <t>42101</t>
  </si>
  <si>
    <t>42102</t>
  </si>
  <si>
    <t>42103</t>
  </si>
  <si>
    <t>42104</t>
  </si>
  <si>
    <t>42105</t>
  </si>
  <si>
    <t>42106</t>
  </si>
  <si>
    <t>42107</t>
  </si>
  <si>
    <t>42108</t>
  </si>
  <si>
    <t>Tabela 12 — Dados (Aba 42)</t>
  </si>
  <si>
    <t>42111</t>
  </si>
  <si>
    <t>42112</t>
  </si>
  <si>
    <t>42113</t>
  </si>
  <si>
    <t>42114</t>
  </si>
  <si>
    <t>42115</t>
  </si>
  <si>
    <t>42116</t>
  </si>
  <si>
    <t>42117</t>
  </si>
  <si>
    <t>42118</t>
  </si>
  <si>
    <t>Tabela 13 — Infra (Aba 42)</t>
  </si>
  <si>
    <t>42121</t>
  </si>
  <si>
    <t>42122</t>
  </si>
  <si>
    <t>42123</t>
  </si>
  <si>
    <t>42124</t>
  </si>
  <si>
    <t>42125</t>
  </si>
  <si>
    <t>42126</t>
  </si>
  <si>
    <t>42127</t>
  </si>
  <si>
    <t>42128</t>
  </si>
  <si>
    <t>Tabela 14 — Segurança (Aba 42)</t>
  </si>
  <si>
    <t>42131</t>
  </si>
  <si>
    <t>42132</t>
  </si>
  <si>
    <t>42133</t>
  </si>
  <si>
    <t>42134</t>
  </si>
  <si>
    <t>42135</t>
  </si>
  <si>
    <t>42136</t>
  </si>
  <si>
    <t>42137</t>
  </si>
  <si>
    <t>42138</t>
  </si>
  <si>
    <t>Tabela 15 — Engenharia (Aba 42)</t>
  </si>
  <si>
    <t>42141</t>
  </si>
  <si>
    <t>42142</t>
  </si>
  <si>
    <t>42143</t>
  </si>
  <si>
    <t>42144</t>
  </si>
  <si>
    <t>42145</t>
  </si>
  <si>
    <t>42146</t>
  </si>
  <si>
    <t>42147</t>
  </si>
  <si>
    <t>42148</t>
  </si>
  <si>
    <t>Tabela 16 — Produto (Aba 42)</t>
  </si>
  <si>
    <t>42151</t>
  </si>
  <si>
    <t>42152</t>
  </si>
  <si>
    <t>42153</t>
  </si>
  <si>
    <t>42154</t>
  </si>
  <si>
    <t>42155</t>
  </si>
  <si>
    <t>42156</t>
  </si>
  <si>
    <t>42157</t>
  </si>
  <si>
    <t>42158</t>
  </si>
  <si>
    <t>Tabela 17 — Design (Aba 42)</t>
  </si>
  <si>
    <t>42161</t>
  </si>
  <si>
    <t>42162</t>
  </si>
  <si>
    <t>42163</t>
  </si>
  <si>
    <t>42164</t>
  </si>
  <si>
    <t>42165</t>
  </si>
  <si>
    <t>42166</t>
  </si>
  <si>
    <t>42167</t>
  </si>
  <si>
    <t>42168</t>
  </si>
  <si>
    <t>Tabela 18 — DevEx (Aba 42)</t>
  </si>
  <si>
    <t>42171</t>
  </si>
  <si>
    <t>42172</t>
  </si>
  <si>
    <t>42173</t>
  </si>
  <si>
    <t>42174</t>
  </si>
  <si>
    <t>42175</t>
  </si>
  <si>
    <t>42176</t>
  </si>
  <si>
    <t>42177</t>
  </si>
  <si>
    <t>42178</t>
  </si>
  <si>
    <t>Tabela 19 — Dados (Aba 42)</t>
  </si>
  <si>
    <t>42181</t>
  </si>
  <si>
    <t>42182</t>
  </si>
  <si>
    <t>42183</t>
  </si>
  <si>
    <t>42184</t>
  </si>
  <si>
    <t>42185</t>
  </si>
  <si>
    <t>42186</t>
  </si>
  <si>
    <t>42187</t>
  </si>
  <si>
    <t>42188</t>
  </si>
  <si>
    <t>Tabela 20 — Infra (Aba 42)</t>
  </si>
  <si>
    <t>42191</t>
  </si>
  <si>
    <t>42192</t>
  </si>
  <si>
    <t>42193</t>
  </si>
  <si>
    <t>42194</t>
  </si>
  <si>
    <t>42195</t>
  </si>
  <si>
    <t>42196</t>
  </si>
  <si>
    <t>42197</t>
  </si>
  <si>
    <t>42198</t>
  </si>
  <si>
    <t>Tabela 21 — Segurança (Aba 42)</t>
  </si>
  <si>
    <t>42201</t>
  </si>
  <si>
    <t>42202</t>
  </si>
  <si>
    <t>42203</t>
  </si>
  <si>
    <t>42204</t>
  </si>
  <si>
    <t>42205</t>
  </si>
  <si>
    <t>42206</t>
  </si>
  <si>
    <t>42207</t>
  </si>
  <si>
    <t>42208</t>
  </si>
  <si>
    <t>Tabela 22 — Engenharia (Aba 42)</t>
  </si>
  <si>
    <t>42211</t>
  </si>
  <si>
    <t>42212</t>
  </si>
  <si>
    <t>42213</t>
  </si>
  <si>
    <t>42214</t>
  </si>
  <si>
    <t>42215</t>
  </si>
  <si>
    <t>42216</t>
  </si>
  <si>
    <t>42217</t>
  </si>
  <si>
    <t>42218</t>
  </si>
  <si>
    <t>Tabela 23 — Produto (Aba 42)</t>
  </si>
  <si>
    <t>42221</t>
  </si>
  <si>
    <t>42222</t>
  </si>
  <si>
    <t>42223</t>
  </si>
  <si>
    <t>42224</t>
  </si>
  <si>
    <t>42225</t>
  </si>
  <si>
    <t>42226</t>
  </si>
  <si>
    <t>42227</t>
  </si>
  <si>
    <t>42228</t>
  </si>
  <si>
    <t>Tabela 24 — Design (Aba 42)</t>
  </si>
  <si>
    <t>42231</t>
  </si>
  <si>
    <t>42232</t>
  </si>
  <si>
    <t>42233</t>
  </si>
  <si>
    <t>42234</t>
  </si>
  <si>
    <t>42235</t>
  </si>
  <si>
    <t>42236</t>
  </si>
  <si>
    <t>42237</t>
  </si>
  <si>
    <t>42238</t>
  </si>
  <si>
    <t>Tabela 25 — DevEx (Aba 42)</t>
  </si>
  <si>
    <t>42241</t>
  </si>
  <si>
    <t>42242</t>
  </si>
  <si>
    <t>42243</t>
  </si>
  <si>
    <t>42244</t>
  </si>
  <si>
    <t>42245</t>
  </si>
  <si>
    <t>42246</t>
  </si>
  <si>
    <t>42247</t>
  </si>
  <si>
    <t>42248</t>
  </si>
  <si>
    <t>Tabela 26 — Dados (Aba 42)</t>
  </si>
  <si>
    <t>42251</t>
  </si>
  <si>
    <t>42252</t>
  </si>
  <si>
    <t>42253</t>
  </si>
  <si>
    <t>42254</t>
  </si>
  <si>
    <t>42255</t>
  </si>
  <si>
    <t>42256</t>
  </si>
  <si>
    <t>42257</t>
  </si>
  <si>
    <t>42258</t>
  </si>
  <si>
    <t>Tabela 27 — Infra (Aba 42)</t>
  </si>
  <si>
    <t>42261</t>
  </si>
  <si>
    <t>42262</t>
  </si>
  <si>
    <t>42263</t>
  </si>
  <si>
    <t>42264</t>
  </si>
  <si>
    <t>42265</t>
  </si>
  <si>
    <t>42266</t>
  </si>
  <si>
    <t>42267</t>
  </si>
  <si>
    <t>42268</t>
  </si>
  <si>
    <t>Tabela 28 — Segurança (Aba 42)</t>
  </si>
  <si>
    <t>42271</t>
  </si>
  <si>
    <t>42272</t>
  </si>
  <si>
    <t>42273</t>
  </si>
  <si>
    <t>42274</t>
  </si>
  <si>
    <t>42275</t>
  </si>
  <si>
    <t>42276</t>
  </si>
  <si>
    <t>42277</t>
  </si>
  <si>
    <t>42278</t>
  </si>
  <si>
    <t>Tabela 29 — Engenharia (Aba 42)</t>
  </si>
  <si>
    <t>42281</t>
  </si>
  <si>
    <t>42282</t>
  </si>
  <si>
    <t>42283</t>
  </si>
  <si>
    <t>42284</t>
  </si>
  <si>
    <t>42285</t>
  </si>
  <si>
    <t>42286</t>
  </si>
  <si>
    <t>42287</t>
  </si>
  <si>
    <t>42288</t>
  </si>
  <si>
    <t>Tabela 30 — Produto (Aba 42)</t>
  </si>
  <si>
    <t>42291</t>
  </si>
  <si>
    <t>42292</t>
  </si>
  <si>
    <t>42293</t>
  </si>
  <si>
    <t>42294</t>
  </si>
  <si>
    <t>42295</t>
  </si>
  <si>
    <t>42296</t>
  </si>
  <si>
    <t>42297</t>
  </si>
  <si>
    <t>42298</t>
  </si>
  <si>
    <t>Planilha — Aba 41 | Relatório de Equipe</t>
  </si>
  <si>
    <t>Tabela 1 — Engenharia (Aba 41)</t>
  </si>
  <si>
    <t>41001</t>
  </si>
  <si>
    <t>41002</t>
  </si>
  <si>
    <t>41003</t>
  </si>
  <si>
    <t>41004</t>
  </si>
  <si>
    <t>41005</t>
  </si>
  <si>
    <t>41006</t>
  </si>
  <si>
    <t>41007</t>
  </si>
  <si>
    <t>41008</t>
  </si>
  <si>
    <t>Tabela 2 — Produto (Aba 41)</t>
  </si>
  <si>
    <t>41011</t>
  </si>
  <si>
    <t>41012</t>
  </si>
  <si>
    <t>41013</t>
  </si>
  <si>
    <t>41014</t>
  </si>
  <si>
    <t>41015</t>
  </si>
  <si>
    <t>41016</t>
  </si>
  <si>
    <t>41017</t>
  </si>
  <si>
    <t>41018</t>
  </si>
  <si>
    <t>Tabela 3 — Design (Aba 41)</t>
  </si>
  <si>
    <t>41021</t>
  </si>
  <si>
    <t>41022</t>
  </si>
  <si>
    <t>41023</t>
  </si>
  <si>
    <t>41024</t>
  </si>
  <si>
    <t>41025</t>
  </si>
  <si>
    <t>41026</t>
  </si>
  <si>
    <t>41027</t>
  </si>
  <si>
    <t>41028</t>
  </si>
  <si>
    <t>Tabela 4 — DevEx (Aba 41)</t>
  </si>
  <si>
    <t>41031</t>
  </si>
  <si>
    <t>41032</t>
  </si>
  <si>
    <t>41033</t>
  </si>
  <si>
    <t>41034</t>
  </si>
  <si>
    <t>41035</t>
  </si>
  <si>
    <t>41036</t>
  </si>
  <si>
    <t>41037</t>
  </si>
  <si>
    <t>41038</t>
  </si>
  <si>
    <t>Tabela 5 — Dados (Aba 41)</t>
  </si>
  <si>
    <t>41041</t>
  </si>
  <si>
    <t>41042</t>
  </si>
  <si>
    <t>41043</t>
  </si>
  <si>
    <t>41044</t>
  </si>
  <si>
    <t>41045</t>
  </si>
  <si>
    <t>41046</t>
  </si>
  <si>
    <t>41047</t>
  </si>
  <si>
    <t>41048</t>
  </si>
  <si>
    <t>Tabela 6 — Infra (Aba 41)</t>
  </si>
  <si>
    <t>41051</t>
  </si>
  <si>
    <t>41052</t>
  </si>
  <si>
    <t>41053</t>
  </si>
  <si>
    <t>41054</t>
  </si>
  <si>
    <t>41055</t>
  </si>
  <si>
    <t>41056</t>
  </si>
  <si>
    <t>41057</t>
  </si>
  <si>
    <t>41058</t>
  </si>
  <si>
    <t>Tabela 7 — Segurança (Aba 41)</t>
  </si>
  <si>
    <t>41061</t>
  </si>
  <si>
    <t>41062</t>
  </si>
  <si>
    <t>41063</t>
  </si>
  <si>
    <t>41064</t>
  </si>
  <si>
    <t>41065</t>
  </si>
  <si>
    <t>41066</t>
  </si>
  <si>
    <t>41067</t>
  </si>
  <si>
    <t>41068</t>
  </si>
  <si>
    <t>Tabela 8 — Engenharia (Aba 41)</t>
  </si>
  <si>
    <t>41071</t>
  </si>
  <si>
    <t>41072</t>
  </si>
  <si>
    <t>41073</t>
  </si>
  <si>
    <t>41074</t>
  </si>
  <si>
    <t>41075</t>
  </si>
  <si>
    <t>41076</t>
  </si>
  <si>
    <t>41077</t>
  </si>
  <si>
    <t>41078</t>
  </si>
  <si>
    <t>Tabela 9 — Produto (Aba 41)</t>
  </si>
  <si>
    <t>41081</t>
  </si>
  <si>
    <t>41082</t>
  </si>
  <si>
    <t>41083</t>
  </si>
  <si>
    <t>41084</t>
  </si>
  <si>
    <t>41085</t>
  </si>
  <si>
    <t>41086</t>
  </si>
  <si>
    <t>41087</t>
  </si>
  <si>
    <t>41088</t>
  </si>
  <si>
    <t>Tabela 10 — Design (Aba 41)</t>
  </si>
  <si>
    <t>41091</t>
  </si>
  <si>
    <t>41092</t>
  </si>
  <si>
    <t>41093</t>
  </si>
  <si>
    <t>41094</t>
  </si>
  <si>
    <t>41095</t>
  </si>
  <si>
    <t>41096</t>
  </si>
  <si>
    <t>41097</t>
  </si>
  <si>
    <t>41098</t>
  </si>
  <si>
    <t>Tabela 11 — DevEx (Aba 41)</t>
  </si>
  <si>
    <t>41101</t>
  </si>
  <si>
    <t>41102</t>
  </si>
  <si>
    <t>41103</t>
  </si>
  <si>
    <t>41104</t>
  </si>
  <si>
    <t>41105</t>
  </si>
  <si>
    <t>41106</t>
  </si>
  <si>
    <t>41107</t>
  </si>
  <si>
    <t>41108</t>
  </si>
  <si>
    <t>Tabela 12 — Dados (Aba 41)</t>
  </si>
  <si>
    <t>41111</t>
  </si>
  <si>
    <t>41112</t>
  </si>
  <si>
    <t>41113</t>
  </si>
  <si>
    <t>41114</t>
  </si>
  <si>
    <t>41115</t>
  </si>
  <si>
    <t>41116</t>
  </si>
  <si>
    <t>41117</t>
  </si>
  <si>
    <t>41118</t>
  </si>
  <si>
    <t>Tabela 13 — Infra (Aba 41)</t>
  </si>
  <si>
    <t>41121</t>
  </si>
  <si>
    <t>41122</t>
  </si>
  <si>
    <t>41123</t>
  </si>
  <si>
    <t>41124</t>
  </si>
  <si>
    <t>41125</t>
  </si>
  <si>
    <t>41126</t>
  </si>
  <si>
    <t>41127</t>
  </si>
  <si>
    <t>41128</t>
  </si>
  <si>
    <t>Tabela 14 — Segurança (Aba 41)</t>
  </si>
  <si>
    <t>41131</t>
  </si>
  <si>
    <t>41132</t>
  </si>
  <si>
    <t>41133</t>
  </si>
  <si>
    <t>41134</t>
  </si>
  <si>
    <t>41135</t>
  </si>
  <si>
    <t>41136</t>
  </si>
  <si>
    <t>41137</t>
  </si>
  <si>
    <t>41138</t>
  </si>
  <si>
    <t>Tabela 15 — Engenharia (Aba 41)</t>
  </si>
  <si>
    <t>41141</t>
  </si>
  <si>
    <t>41142</t>
  </si>
  <si>
    <t>41143</t>
  </si>
  <si>
    <t>41144</t>
  </si>
  <si>
    <t>41145</t>
  </si>
  <si>
    <t>41146</t>
  </si>
  <si>
    <t>41147</t>
  </si>
  <si>
    <t>41148</t>
  </si>
  <si>
    <t>Tabela 16 — Produto (Aba 41)</t>
  </si>
  <si>
    <t>41151</t>
  </si>
  <si>
    <t>41152</t>
  </si>
  <si>
    <t>41153</t>
  </si>
  <si>
    <t>41154</t>
  </si>
  <si>
    <t>41155</t>
  </si>
  <si>
    <t>41156</t>
  </si>
  <si>
    <t>41157</t>
  </si>
  <si>
    <t>41158</t>
  </si>
  <si>
    <t>Tabela 17 — Design (Aba 41)</t>
  </si>
  <si>
    <t>41161</t>
  </si>
  <si>
    <t>41162</t>
  </si>
  <si>
    <t>41163</t>
  </si>
  <si>
    <t>41164</t>
  </si>
  <si>
    <t>41165</t>
  </si>
  <si>
    <t>41166</t>
  </si>
  <si>
    <t>41167</t>
  </si>
  <si>
    <t>41168</t>
  </si>
  <si>
    <t>Tabela 18 — DevEx (Aba 41)</t>
  </si>
  <si>
    <t>41171</t>
  </si>
  <si>
    <t>41172</t>
  </si>
  <si>
    <t>41173</t>
  </si>
  <si>
    <t>41174</t>
  </si>
  <si>
    <t>41175</t>
  </si>
  <si>
    <t>41176</t>
  </si>
  <si>
    <t>41177</t>
  </si>
  <si>
    <t>41178</t>
  </si>
  <si>
    <t>Tabela 19 — Dados (Aba 41)</t>
  </si>
  <si>
    <t>41181</t>
  </si>
  <si>
    <t>41182</t>
  </si>
  <si>
    <t>41183</t>
  </si>
  <si>
    <t>41184</t>
  </si>
  <si>
    <t>41185</t>
  </si>
  <si>
    <t>41186</t>
  </si>
  <si>
    <t>41187</t>
  </si>
  <si>
    <t>41188</t>
  </si>
  <si>
    <t>Tabela 20 — Infra (Aba 41)</t>
  </si>
  <si>
    <t>41191</t>
  </si>
  <si>
    <t>41192</t>
  </si>
  <si>
    <t>41193</t>
  </si>
  <si>
    <t>41194</t>
  </si>
  <si>
    <t>41195</t>
  </si>
  <si>
    <t>41196</t>
  </si>
  <si>
    <t>41197</t>
  </si>
  <si>
    <t>41198</t>
  </si>
  <si>
    <t>Tabela 21 — Segurança (Aba 41)</t>
  </si>
  <si>
    <t>41201</t>
  </si>
  <si>
    <t>41202</t>
  </si>
  <si>
    <t>41203</t>
  </si>
  <si>
    <t>41204</t>
  </si>
  <si>
    <t>41205</t>
  </si>
  <si>
    <t>41206</t>
  </si>
  <si>
    <t>41207</t>
  </si>
  <si>
    <t>41208</t>
  </si>
  <si>
    <t>Tabela 22 — Engenharia (Aba 41)</t>
  </si>
  <si>
    <t>41211</t>
  </si>
  <si>
    <t>41212</t>
  </si>
  <si>
    <t>41213</t>
  </si>
  <si>
    <t>41214</t>
  </si>
  <si>
    <t>41215</t>
  </si>
  <si>
    <t>41216</t>
  </si>
  <si>
    <t>41217</t>
  </si>
  <si>
    <t>41218</t>
  </si>
  <si>
    <t>Tabela 23 — Produto (Aba 41)</t>
  </si>
  <si>
    <t>41221</t>
  </si>
  <si>
    <t>41222</t>
  </si>
  <si>
    <t>41223</t>
  </si>
  <si>
    <t>41224</t>
  </si>
  <si>
    <t>41225</t>
  </si>
  <si>
    <t>41226</t>
  </si>
  <si>
    <t>41227</t>
  </si>
  <si>
    <t>41228</t>
  </si>
  <si>
    <t>Tabela 24 — Design (Aba 41)</t>
  </si>
  <si>
    <t>41231</t>
  </si>
  <si>
    <t>41232</t>
  </si>
  <si>
    <t>41233</t>
  </si>
  <si>
    <t>41234</t>
  </si>
  <si>
    <t>41235</t>
  </si>
  <si>
    <t>41236</t>
  </si>
  <si>
    <t>41237</t>
  </si>
  <si>
    <t>41238</t>
  </si>
  <si>
    <t>Tabela 25 — DevEx (Aba 41)</t>
  </si>
  <si>
    <t>41241</t>
  </si>
  <si>
    <t>41242</t>
  </si>
  <si>
    <t>41243</t>
  </si>
  <si>
    <t>41244</t>
  </si>
  <si>
    <t>41245</t>
  </si>
  <si>
    <t>41246</t>
  </si>
  <si>
    <t>41247</t>
  </si>
  <si>
    <t>41248</t>
  </si>
  <si>
    <t>Tabela 26 — Dados (Aba 41)</t>
  </si>
  <si>
    <t>41251</t>
  </si>
  <si>
    <t>41252</t>
  </si>
  <si>
    <t>41253</t>
  </si>
  <si>
    <t>41254</t>
  </si>
  <si>
    <t>41255</t>
  </si>
  <si>
    <t>41256</t>
  </si>
  <si>
    <t>41257</t>
  </si>
  <si>
    <t>41258</t>
  </si>
  <si>
    <t>Tabela 27 — Infra (Aba 41)</t>
  </si>
  <si>
    <t>41261</t>
  </si>
  <si>
    <t>41262</t>
  </si>
  <si>
    <t>41263</t>
  </si>
  <si>
    <t>41264</t>
  </si>
  <si>
    <t>41265</t>
  </si>
  <si>
    <t>41266</t>
  </si>
  <si>
    <t>41267</t>
  </si>
  <si>
    <t>41268</t>
  </si>
  <si>
    <t>Tabela 28 — Segurança (Aba 41)</t>
  </si>
  <si>
    <t>41271</t>
  </si>
  <si>
    <t>41272</t>
  </si>
  <si>
    <t>41273</t>
  </si>
  <si>
    <t>41274</t>
  </si>
  <si>
    <t>41275</t>
  </si>
  <si>
    <t>41276</t>
  </si>
  <si>
    <t>41277</t>
  </si>
  <si>
    <t>41278</t>
  </si>
  <si>
    <t>Tabela 29 — Engenharia (Aba 41)</t>
  </si>
  <si>
    <t>41281</t>
  </si>
  <si>
    <t>41282</t>
  </si>
  <si>
    <t>41283</t>
  </si>
  <si>
    <t>41284</t>
  </si>
  <si>
    <t>41285</t>
  </si>
  <si>
    <t>41286</t>
  </si>
  <si>
    <t>41287</t>
  </si>
  <si>
    <t>41288</t>
  </si>
  <si>
    <t>Tabela 30 — Produto (Aba 41)</t>
  </si>
  <si>
    <t>41291</t>
  </si>
  <si>
    <t>41292</t>
  </si>
  <si>
    <t>41293</t>
  </si>
  <si>
    <t>41294</t>
  </si>
  <si>
    <t>41295</t>
  </si>
  <si>
    <t>41296</t>
  </si>
  <si>
    <t>41297</t>
  </si>
  <si>
    <t>41298</t>
  </si>
  <si>
    <t>Planilha — Aba 40 | Relatório de Equipe</t>
  </si>
  <si>
    <t>Tabela 1 — Engenharia (Aba 40)</t>
  </si>
  <si>
    <t>40001</t>
  </si>
  <si>
    <t>40002</t>
  </si>
  <si>
    <t>40003</t>
  </si>
  <si>
    <t>40004</t>
  </si>
  <si>
    <t>40005</t>
  </si>
  <si>
    <t>40006</t>
  </si>
  <si>
    <t>40007</t>
  </si>
  <si>
    <t>40008</t>
  </si>
  <si>
    <t>Tabela 2 — Produto (Aba 40)</t>
  </si>
  <si>
    <t>40011</t>
  </si>
  <si>
    <t>40012</t>
  </si>
  <si>
    <t>40013</t>
  </si>
  <si>
    <t>40014</t>
  </si>
  <si>
    <t>40015</t>
  </si>
  <si>
    <t>40016</t>
  </si>
  <si>
    <t>40017</t>
  </si>
  <si>
    <t>40018</t>
  </si>
  <si>
    <t>Tabela 3 — Design (Aba 40)</t>
  </si>
  <si>
    <t>40021</t>
  </si>
  <si>
    <t>40022</t>
  </si>
  <si>
    <t>40023</t>
  </si>
  <si>
    <t>40024</t>
  </si>
  <si>
    <t>40025</t>
  </si>
  <si>
    <t>40026</t>
  </si>
  <si>
    <t>40027</t>
  </si>
  <si>
    <t>40028</t>
  </si>
  <si>
    <t>Tabela 4 — DevEx (Aba 40)</t>
  </si>
  <si>
    <t>40031</t>
  </si>
  <si>
    <t>40032</t>
  </si>
  <si>
    <t>40033</t>
  </si>
  <si>
    <t>40034</t>
  </si>
  <si>
    <t>40035</t>
  </si>
  <si>
    <t>40036</t>
  </si>
  <si>
    <t>40037</t>
  </si>
  <si>
    <t>40038</t>
  </si>
  <si>
    <t>Tabela 5 — Dados (Aba 40)</t>
  </si>
  <si>
    <t>40041</t>
  </si>
  <si>
    <t>40042</t>
  </si>
  <si>
    <t>40043</t>
  </si>
  <si>
    <t>40044</t>
  </si>
  <si>
    <t>40045</t>
  </si>
  <si>
    <t>40046</t>
  </si>
  <si>
    <t>40047</t>
  </si>
  <si>
    <t>40048</t>
  </si>
  <si>
    <t>Tabela 6 — Infra (Aba 40)</t>
  </si>
  <si>
    <t>40051</t>
  </si>
  <si>
    <t>40052</t>
  </si>
  <si>
    <t>40053</t>
  </si>
  <si>
    <t>40054</t>
  </si>
  <si>
    <t>40055</t>
  </si>
  <si>
    <t>40056</t>
  </si>
  <si>
    <t>40057</t>
  </si>
  <si>
    <t>40058</t>
  </si>
  <si>
    <t>Tabela 7 — Segurança (Aba 40)</t>
  </si>
  <si>
    <t>40061</t>
  </si>
  <si>
    <t>40062</t>
  </si>
  <si>
    <t>40063</t>
  </si>
  <si>
    <t>40064</t>
  </si>
  <si>
    <t>40065</t>
  </si>
  <si>
    <t>40066</t>
  </si>
  <si>
    <t>40067</t>
  </si>
  <si>
    <t>40068</t>
  </si>
  <si>
    <t>Tabela 8 — Engenharia (Aba 40)</t>
  </si>
  <si>
    <t>40071</t>
  </si>
  <si>
    <t>40072</t>
  </si>
  <si>
    <t>40073</t>
  </si>
  <si>
    <t>40074</t>
  </si>
  <si>
    <t>40075</t>
  </si>
  <si>
    <t>40076</t>
  </si>
  <si>
    <t>40077</t>
  </si>
  <si>
    <t>40078</t>
  </si>
  <si>
    <t>Tabela 9 — Produto (Aba 40)</t>
  </si>
  <si>
    <t>40081</t>
  </si>
  <si>
    <t>40082</t>
  </si>
  <si>
    <t>40083</t>
  </si>
  <si>
    <t>40084</t>
  </si>
  <si>
    <t>40085</t>
  </si>
  <si>
    <t>40086</t>
  </si>
  <si>
    <t>40087</t>
  </si>
  <si>
    <t>40088</t>
  </si>
  <si>
    <t>Tabela 10 — Design (Aba 40)</t>
  </si>
  <si>
    <t>40091</t>
  </si>
  <si>
    <t>40092</t>
  </si>
  <si>
    <t>40093</t>
  </si>
  <si>
    <t>40094</t>
  </si>
  <si>
    <t>40095</t>
  </si>
  <si>
    <t>40096</t>
  </si>
  <si>
    <t>40097</t>
  </si>
  <si>
    <t>40098</t>
  </si>
  <si>
    <t>Tabela 11 — DevEx (Aba 40)</t>
  </si>
  <si>
    <t>40101</t>
  </si>
  <si>
    <t>40102</t>
  </si>
  <si>
    <t>40103</t>
  </si>
  <si>
    <t>40104</t>
  </si>
  <si>
    <t>40105</t>
  </si>
  <si>
    <t>40106</t>
  </si>
  <si>
    <t>40107</t>
  </si>
  <si>
    <t>40108</t>
  </si>
  <si>
    <t>Tabela 12 — Dados (Aba 40)</t>
  </si>
  <si>
    <t>40111</t>
  </si>
  <si>
    <t>40112</t>
  </si>
  <si>
    <t>40113</t>
  </si>
  <si>
    <t>40114</t>
  </si>
  <si>
    <t>40115</t>
  </si>
  <si>
    <t>40116</t>
  </si>
  <si>
    <t>40117</t>
  </si>
  <si>
    <t>40118</t>
  </si>
  <si>
    <t>Tabela 13 — Infra (Aba 40)</t>
  </si>
  <si>
    <t>40121</t>
  </si>
  <si>
    <t>40122</t>
  </si>
  <si>
    <t>40123</t>
  </si>
  <si>
    <t>40124</t>
  </si>
  <si>
    <t>40125</t>
  </si>
  <si>
    <t>40126</t>
  </si>
  <si>
    <t>40127</t>
  </si>
  <si>
    <t>40128</t>
  </si>
  <si>
    <t>Tabela 14 — Segurança (Aba 40)</t>
  </si>
  <si>
    <t>40131</t>
  </si>
  <si>
    <t>40132</t>
  </si>
  <si>
    <t>40133</t>
  </si>
  <si>
    <t>40134</t>
  </si>
  <si>
    <t>40135</t>
  </si>
  <si>
    <t>40136</t>
  </si>
  <si>
    <t>40137</t>
  </si>
  <si>
    <t>40138</t>
  </si>
  <si>
    <t>Tabela 15 — Engenharia (Aba 40)</t>
  </si>
  <si>
    <t>40141</t>
  </si>
  <si>
    <t>40142</t>
  </si>
  <si>
    <t>40143</t>
  </si>
  <si>
    <t>40144</t>
  </si>
  <si>
    <t>40145</t>
  </si>
  <si>
    <t>40146</t>
  </si>
  <si>
    <t>40147</t>
  </si>
  <si>
    <t>40148</t>
  </si>
  <si>
    <t>Tabela 16 — Produto (Aba 40)</t>
  </si>
  <si>
    <t>40151</t>
  </si>
  <si>
    <t>40152</t>
  </si>
  <si>
    <t>40153</t>
  </si>
  <si>
    <t>40154</t>
  </si>
  <si>
    <t>40155</t>
  </si>
  <si>
    <t>40156</t>
  </si>
  <si>
    <t>40157</t>
  </si>
  <si>
    <t>40158</t>
  </si>
  <si>
    <t>Tabela 17 — Design (Aba 40)</t>
  </si>
  <si>
    <t>40161</t>
  </si>
  <si>
    <t>40162</t>
  </si>
  <si>
    <t>40163</t>
  </si>
  <si>
    <t>40164</t>
  </si>
  <si>
    <t>40165</t>
  </si>
  <si>
    <t>40166</t>
  </si>
  <si>
    <t>40167</t>
  </si>
  <si>
    <t>40168</t>
  </si>
  <si>
    <t>Tabela 18 — DevEx (Aba 40)</t>
  </si>
  <si>
    <t>40171</t>
  </si>
  <si>
    <t>40172</t>
  </si>
  <si>
    <t>40173</t>
  </si>
  <si>
    <t>40174</t>
  </si>
  <si>
    <t>40175</t>
  </si>
  <si>
    <t>40176</t>
  </si>
  <si>
    <t>40177</t>
  </si>
  <si>
    <t>40178</t>
  </si>
  <si>
    <t>Tabela 19 — Dados (Aba 40)</t>
  </si>
  <si>
    <t>40181</t>
  </si>
  <si>
    <t>40182</t>
  </si>
  <si>
    <t>40183</t>
  </si>
  <si>
    <t>40184</t>
  </si>
  <si>
    <t>40185</t>
  </si>
  <si>
    <t>40186</t>
  </si>
  <si>
    <t>40187</t>
  </si>
  <si>
    <t>40188</t>
  </si>
  <si>
    <t>Tabela 20 — Infra (Aba 40)</t>
  </si>
  <si>
    <t>40191</t>
  </si>
  <si>
    <t>40192</t>
  </si>
  <si>
    <t>40193</t>
  </si>
  <si>
    <t>40194</t>
  </si>
  <si>
    <t>40195</t>
  </si>
  <si>
    <t>40196</t>
  </si>
  <si>
    <t>40197</t>
  </si>
  <si>
    <t>40198</t>
  </si>
  <si>
    <t>Tabela 21 — Segurança (Aba 40)</t>
  </si>
  <si>
    <t>40201</t>
  </si>
  <si>
    <t>40202</t>
  </si>
  <si>
    <t>40203</t>
  </si>
  <si>
    <t>40204</t>
  </si>
  <si>
    <t>40205</t>
  </si>
  <si>
    <t>40206</t>
  </si>
  <si>
    <t>40207</t>
  </si>
  <si>
    <t>40208</t>
  </si>
  <si>
    <t>Tabela 22 — Engenharia (Aba 40)</t>
  </si>
  <si>
    <t>40211</t>
  </si>
  <si>
    <t>40212</t>
  </si>
  <si>
    <t>40213</t>
  </si>
  <si>
    <t>40214</t>
  </si>
  <si>
    <t>40215</t>
  </si>
  <si>
    <t>40216</t>
  </si>
  <si>
    <t>40217</t>
  </si>
  <si>
    <t>40218</t>
  </si>
  <si>
    <t>Tabela 23 — Produto (Aba 40)</t>
  </si>
  <si>
    <t>40221</t>
  </si>
  <si>
    <t>40222</t>
  </si>
  <si>
    <t>40223</t>
  </si>
  <si>
    <t>40224</t>
  </si>
  <si>
    <t>40225</t>
  </si>
  <si>
    <t>40226</t>
  </si>
  <si>
    <t>40227</t>
  </si>
  <si>
    <t>40228</t>
  </si>
  <si>
    <t>Tabela 24 — Design (Aba 40)</t>
  </si>
  <si>
    <t>40231</t>
  </si>
  <si>
    <t>40232</t>
  </si>
  <si>
    <t>40233</t>
  </si>
  <si>
    <t>40234</t>
  </si>
  <si>
    <t>40235</t>
  </si>
  <si>
    <t>40236</t>
  </si>
  <si>
    <t>40237</t>
  </si>
  <si>
    <t>40238</t>
  </si>
  <si>
    <t>Tabela 25 — DevEx (Aba 40)</t>
  </si>
  <si>
    <t>40241</t>
  </si>
  <si>
    <t>40242</t>
  </si>
  <si>
    <t>40243</t>
  </si>
  <si>
    <t>40244</t>
  </si>
  <si>
    <t>40245</t>
  </si>
  <si>
    <t>40246</t>
  </si>
  <si>
    <t>40247</t>
  </si>
  <si>
    <t>40248</t>
  </si>
  <si>
    <t>Tabela 26 — Dados (Aba 40)</t>
  </si>
  <si>
    <t>40251</t>
  </si>
  <si>
    <t>40252</t>
  </si>
  <si>
    <t>40253</t>
  </si>
  <si>
    <t>40254</t>
  </si>
  <si>
    <t>40255</t>
  </si>
  <si>
    <t>40256</t>
  </si>
  <si>
    <t>40257</t>
  </si>
  <si>
    <t>40258</t>
  </si>
  <si>
    <t>Tabela 27 — Infra (Aba 40)</t>
  </si>
  <si>
    <t>40261</t>
  </si>
  <si>
    <t>40262</t>
  </si>
  <si>
    <t>40263</t>
  </si>
  <si>
    <t>40264</t>
  </si>
  <si>
    <t>40265</t>
  </si>
  <si>
    <t>40266</t>
  </si>
  <si>
    <t>40267</t>
  </si>
  <si>
    <t>40268</t>
  </si>
  <si>
    <t>Tabela 28 — Segurança (Aba 40)</t>
  </si>
  <si>
    <t>40271</t>
  </si>
  <si>
    <t>40272</t>
  </si>
  <si>
    <t>40273</t>
  </si>
  <si>
    <t>40274</t>
  </si>
  <si>
    <t>40275</t>
  </si>
  <si>
    <t>40276</t>
  </si>
  <si>
    <t>40277</t>
  </si>
  <si>
    <t>40278</t>
  </si>
  <si>
    <t>Tabela 29 — Engenharia (Aba 40)</t>
  </si>
  <si>
    <t>40281</t>
  </si>
  <si>
    <t>40282</t>
  </si>
  <si>
    <t>40283</t>
  </si>
  <si>
    <t>40284</t>
  </si>
  <si>
    <t>40285</t>
  </si>
  <si>
    <t>40286</t>
  </si>
  <si>
    <t>40287</t>
  </si>
  <si>
    <t>40288</t>
  </si>
  <si>
    <t>Tabela 30 — Produto (Aba 40)</t>
  </si>
  <si>
    <t>40291</t>
  </si>
  <si>
    <t>40292</t>
  </si>
  <si>
    <t>40293</t>
  </si>
  <si>
    <t>40294</t>
  </si>
  <si>
    <t>40295</t>
  </si>
  <si>
    <t>40296</t>
  </si>
  <si>
    <t>40297</t>
  </si>
  <si>
    <t>40298</t>
  </si>
  <si>
    <t>Planilha — Aba 39 | Relatório de Equipe</t>
  </si>
  <si>
    <t>Tabela 1 — Engenharia (Aba 39)</t>
  </si>
  <si>
    <t>39001</t>
  </si>
  <si>
    <t>39002</t>
  </si>
  <si>
    <t>39003</t>
  </si>
  <si>
    <t>39004</t>
  </si>
  <si>
    <t>39005</t>
  </si>
  <si>
    <t>39006</t>
  </si>
  <si>
    <t>39007</t>
  </si>
  <si>
    <t>39008</t>
  </si>
  <si>
    <t>Tabela 2 — Produto (Aba 39)</t>
  </si>
  <si>
    <t>39011</t>
  </si>
  <si>
    <t>39012</t>
  </si>
  <si>
    <t>39013</t>
  </si>
  <si>
    <t>39014</t>
  </si>
  <si>
    <t>39015</t>
  </si>
  <si>
    <t>39016</t>
  </si>
  <si>
    <t>39017</t>
  </si>
  <si>
    <t>39018</t>
  </si>
  <si>
    <t>Tabela 3 — Design (Aba 39)</t>
  </si>
  <si>
    <t>39021</t>
  </si>
  <si>
    <t>39022</t>
  </si>
  <si>
    <t>39023</t>
  </si>
  <si>
    <t>39024</t>
  </si>
  <si>
    <t>39025</t>
  </si>
  <si>
    <t>39026</t>
  </si>
  <si>
    <t>39027</t>
  </si>
  <si>
    <t>39028</t>
  </si>
  <si>
    <t>Tabela 4 — DevEx (Aba 39)</t>
  </si>
  <si>
    <t>39031</t>
  </si>
  <si>
    <t>39032</t>
  </si>
  <si>
    <t>39033</t>
  </si>
  <si>
    <t>39034</t>
  </si>
  <si>
    <t>39035</t>
  </si>
  <si>
    <t>39036</t>
  </si>
  <si>
    <t>39037</t>
  </si>
  <si>
    <t>39038</t>
  </si>
  <si>
    <t>Tabela 5 — Dados (Aba 39)</t>
  </si>
  <si>
    <t>39041</t>
  </si>
  <si>
    <t>39042</t>
  </si>
  <si>
    <t>39043</t>
  </si>
  <si>
    <t>39044</t>
  </si>
  <si>
    <t>39045</t>
  </si>
  <si>
    <t>39046</t>
  </si>
  <si>
    <t>39047</t>
  </si>
  <si>
    <t>39048</t>
  </si>
  <si>
    <t>Tabela 6 — Infra (Aba 39)</t>
  </si>
  <si>
    <t>39051</t>
  </si>
  <si>
    <t>39052</t>
  </si>
  <si>
    <t>39053</t>
  </si>
  <si>
    <t>39054</t>
  </si>
  <si>
    <t>39055</t>
  </si>
  <si>
    <t>39056</t>
  </si>
  <si>
    <t>39057</t>
  </si>
  <si>
    <t>39058</t>
  </si>
  <si>
    <t>Tabela 7 — Segurança (Aba 39)</t>
  </si>
  <si>
    <t>39061</t>
  </si>
  <si>
    <t>39062</t>
  </si>
  <si>
    <t>39063</t>
  </si>
  <si>
    <t>39064</t>
  </si>
  <si>
    <t>39065</t>
  </si>
  <si>
    <t>39066</t>
  </si>
  <si>
    <t>39067</t>
  </si>
  <si>
    <t>39068</t>
  </si>
  <si>
    <t>Tabela 8 — Engenharia (Aba 39)</t>
  </si>
  <si>
    <t>39071</t>
  </si>
  <si>
    <t>39072</t>
  </si>
  <si>
    <t>39073</t>
  </si>
  <si>
    <t>39074</t>
  </si>
  <si>
    <t>39075</t>
  </si>
  <si>
    <t>39076</t>
  </si>
  <si>
    <t>39077</t>
  </si>
  <si>
    <t>39078</t>
  </si>
  <si>
    <t>Tabela 9 — Produto (Aba 39)</t>
  </si>
  <si>
    <t>39081</t>
  </si>
  <si>
    <t>39082</t>
  </si>
  <si>
    <t>39083</t>
  </si>
  <si>
    <t>39084</t>
  </si>
  <si>
    <t>39085</t>
  </si>
  <si>
    <t>39086</t>
  </si>
  <si>
    <t>39087</t>
  </si>
  <si>
    <t>39088</t>
  </si>
  <si>
    <t>Tabela 10 — Design (Aba 39)</t>
  </si>
  <si>
    <t>39091</t>
  </si>
  <si>
    <t>39092</t>
  </si>
  <si>
    <t>39093</t>
  </si>
  <si>
    <t>39094</t>
  </si>
  <si>
    <t>39095</t>
  </si>
  <si>
    <t>39096</t>
  </si>
  <si>
    <t>39097</t>
  </si>
  <si>
    <t>39098</t>
  </si>
  <si>
    <t>Tabela 11 — DevEx (Aba 39)</t>
  </si>
  <si>
    <t>39101</t>
  </si>
  <si>
    <t>39102</t>
  </si>
  <si>
    <t>39103</t>
  </si>
  <si>
    <t>39104</t>
  </si>
  <si>
    <t>39105</t>
  </si>
  <si>
    <t>39106</t>
  </si>
  <si>
    <t>39107</t>
  </si>
  <si>
    <t>39108</t>
  </si>
  <si>
    <t>Tabela 12 — Dados (Aba 39)</t>
  </si>
  <si>
    <t>39111</t>
  </si>
  <si>
    <t>39112</t>
  </si>
  <si>
    <t>39113</t>
  </si>
  <si>
    <t>39114</t>
  </si>
  <si>
    <t>39115</t>
  </si>
  <si>
    <t>39116</t>
  </si>
  <si>
    <t>39117</t>
  </si>
  <si>
    <t>39118</t>
  </si>
  <si>
    <t>Tabela 13 — Infra (Aba 39)</t>
  </si>
  <si>
    <t>39121</t>
  </si>
  <si>
    <t>39122</t>
  </si>
  <si>
    <t>39123</t>
  </si>
  <si>
    <t>39124</t>
  </si>
  <si>
    <t>39125</t>
  </si>
  <si>
    <t>39126</t>
  </si>
  <si>
    <t>39127</t>
  </si>
  <si>
    <t>39128</t>
  </si>
  <si>
    <t>Tabela 14 — Segurança (Aba 39)</t>
  </si>
  <si>
    <t>39131</t>
  </si>
  <si>
    <t>39132</t>
  </si>
  <si>
    <t>39133</t>
  </si>
  <si>
    <t>39134</t>
  </si>
  <si>
    <t>39135</t>
  </si>
  <si>
    <t>39136</t>
  </si>
  <si>
    <t>39137</t>
  </si>
  <si>
    <t>39138</t>
  </si>
  <si>
    <t>Tabela 15 — Engenharia (Aba 39)</t>
  </si>
  <si>
    <t>39141</t>
  </si>
  <si>
    <t>39142</t>
  </si>
  <si>
    <t>39143</t>
  </si>
  <si>
    <t>39144</t>
  </si>
  <si>
    <t>39145</t>
  </si>
  <si>
    <t>39146</t>
  </si>
  <si>
    <t>39147</t>
  </si>
  <si>
    <t>39148</t>
  </si>
  <si>
    <t>Tabela 16 — Produto (Aba 39)</t>
  </si>
  <si>
    <t>39151</t>
  </si>
  <si>
    <t>39152</t>
  </si>
  <si>
    <t>39153</t>
  </si>
  <si>
    <t>39154</t>
  </si>
  <si>
    <t>39155</t>
  </si>
  <si>
    <t>39156</t>
  </si>
  <si>
    <t>39157</t>
  </si>
  <si>
    <t>39158</t>
  </si>
  <si>
    <t>Tabela 17 — Design (Aba 39)</t>
  </si>
  <si>
    <t>39161</t>
  </si>
  <si>
    <t>39162</t>
  </si>
  <si>
    <t>39163</t>
  </si>
  <si>
    <t>39164</t>
  </si>
  <si>
    <t>39165</t>
  </si>
  <si>
    <t>39166</t>
  </si>
  <si>
    <t>39167</t>
  </si>
  <si>
    <t>39168</t>
  </si>
  <si>
    <t>Tabela 18 — DevEx (Aba 39)</t>
  </si>
  <si>
    <t>39171</t>
  </si>
  <si>
    <t>39172</t>
  </si>
  <si>
    <t>39173</t>
  </si>
  <si>
    <t>39174</t>
  </si>
  <si>
    <t>39175</t>
  </si>
  <si>
    <t>39176</t>
  </si>
  <si>
    <t>39177</t>
  </si>
  <si>
    <t>39178</t>
  </si>
  <si>
    <t>Tabela 19 — Dados (Aba 39)</t>
  </si>
  <si>
    <t>39181</t>
  </si>
  <si>
    <t>39182</t>
  </si>
  <si>
    <t>39183</t>
  </si>
  <si>
    <t>39184</t>
  </si>
  <si>
    <t>39185</t>
  </si>
  <si>
    <t>39186</t>
  </si>
  <si>
    <t>39187</t>
  </si>
  <si>
    <t>39188</t>
  </si>
  <si>
    <t>Tabela 20 — Infra (Aba 39)</t>
  </si>
  <si>
    <t>39191</t>
  </si>
  <si>
    <t>39192</t>
  </si>
  <si>
    <t>39193</t>
  </si>
  <si>
    <t>39194</t>
  </si>
  <si>
    <t>39195</t>
  </si>
  <si>
    <t>39196</t>
  </si>
  <si>
    <t>39197</t>
  </si>
  <si>
    <t>39198</t>
  </si>
  <si>
    <t>Tabela 21 — Segurança (Aba 39)</t>
  </si>
  <si>
    <t>39201</t>
  </si>
  <si>
    <t>39202</t>
  </si>
  <si>
    <t>39203</t>
  </si>
  <si>
    <t>39204</t>
  </si>
  <si>
    <t>39205</t>
  </si>
  <si>
    <t>39206</t>
  </si>
  <si>
    <t>39207</t>
  </si>
  <si>
    <t>39208</t>
  </si>
  <si>
    <t>Tabela 22 — Engenharia (Aba 39)</t>
  </si>
  <si>
    <t>39211</t>
  </si>
  <si>
    <t>39212</t>
  </si>
  <si>
    <t>39213</t>
  </si>
  <si>
    <t>39214</t>
  </si>
  <si>
    <t>39215</t>
  </si>
  <si>
    <t>39216</t>
  </si>
  <si>
    <t>39217</t>
  </si>
  <si>
    <t>39218</t>
  </si>
  <si>
    <t>Tabela 23 — Produto (Aba 39)</t>
  </si>
  <si>
    <t>39221</t>
  </si>
  <si>
    <t>39222</t>
  </si>
  <si>
    <t>39223</t>
  </si>
  <si>
    <t>39224</t>
  </si>
  <si>
    <t>39225</t>
  </si>
  <si>
    <t>39226</t>
  </si>
  <si>
    <t>39227</t>
  </si>
  <si>
    <t>39228</t>
  </si>
  <si>
    <t>Tabela 24 — Design (Aba 39)</t>
  </si>
  <si>
    <t>39231</t>
  </si>
  <si>
    <t>39232</t>
  </si>
  <si>
    <t>39233</t>
  </si>
  <si>
    <t>39234</t>
  </si>
  <si>
    <t>39235</t>
  </si>
  <si>
    <t>39236</t>
  </si>
  <si>
    <t>39237</t>
  </si>
  <si>
    <t>39238</t>
  </si>
  <si>
    <t>Tabela 25 — DevEx (Aba 39)</t>
  </si>
  <si>
    <t>39241</t>
  </si>
  <si>
    <t>39242</t>
  </si>
  <si>
    <t>39243</t>
  </si>
  <si>
    <t>39244</t>
  </si>
  <si>
    <t>39245</t>
  </si>
  <si>
    <t>39246</t>
  </si>
  <si>
    <t>39247</t>
  </si>
  <si>
    <t>39248</t>
  </si>
  <si>
    <t>Tabela 26 — Dados (Aba 39)</t>
  </si>
  <si>
    <t>39251</t>
  </si>
  <si>
    <t>39252</t>
  </si>
  <si>
    <t>39253</t>
  </si>
  <si>
    <t>39254</t>
  </si>
  <si>
    <t>39255</t>
  </si>
  <si>
    <t>39256</t>
  </si>
  <si>
    <t>39257</t>
  </si>
  <si>
    <t>39258</t>
  </si>
  <si>
    <t>Tabela 27 — Infra (Aba 39)</t>
  </si>
  <si>
    <t>39261</t>
  </si>
  <si>
    <t>39262</t>
  </si>
  <si>
    <t>39263</t>
  </si>
  <si>
    <t>39264</t>
  </si>
  <si>
    <t>39265</t>
  </si>
  <si>
    <t>39266</t>
  </si>
  <si>
    <t>39267</t>
  </si>
  <si>
    <t>39268</t>
  </si>
  <si>
    <t>Tabela 28 — Segurança (Aba 39)</t>
  </si>
  <si>
    <t>39271</t>
  </si>
  <si>
    <t>39272</t>
  </si>
  <si>
    <t>39273</t>
  </si>
  <si>
    <t>39274</t>
  </si>
  <si>
    <t>39275</t>
  </si>
  <si>
    <t>39276</t>
  </si>
  <si>
    <t>39277</t>
  </si>
  <si>
    <t>39278</t>
  </si>
  <si>
    <t>Tabela 29 — Engenharia (Aba 39)</t>
  </si>
  <si>
    <t>39281</t>
  </si>
  <si>
    <t>39282</t>
  </si>
  <si>
    <t>39283</t>
  </si>
  <si>
    <t>39284</t>
  </si>
  <si>
    <t>39285</t>
  </si>
  <si>
    <t>39286</t>
  </si>
  <si>
    <t>39287</t>
  </si>
  <si>
    <t>39288</t>
  </si>
  <si>
    <t>Tabela 30 — Produto (Aba 39)</t>
  </si>
  <si>
    <t>39291</t>
  </si>
  <si>
    <t>39292</t>
  </si>
  <si>
    <t>39293</t>
  </si>
  <si>
    <t>39294</t>
  </si>
  <si>
    <t>39295</t>
  </si>
  <si>
    <t>39296</t>
  </si>
  <si>
    <t>39297</t>
  </si>
  <si>
    <t>39298</t>
  </si>
  <si>
    <t>Planilha — Aba 38 | Relatório de Equipe</t>
  </si>
  <si>
    <t>Tabela 1 — Engenharia (Aba 38)</t>
  </si>
  <si>
    <t>38001</t>
  </si>
  <si>
    <t>38002</t>
  </si>
  <si>
    <t>38003</t>
  </si>
  <si>
    <t>38004</t>
  </si>
  <si>
    <t>38005</t>
  </si>
  <si>
    <t>38006</t>
  </si>
  <si>
    <t>38007</t>
  </si>
  <si>
    <t>38008</t>
  </si>
  <si>
    <t>Tabela 2 — Produto (Aba 38)</t>
  </si>
  <si>
    <t>38011</t>
  </si>
  <si>
    <t>38012</t>
  </si>
  <si>
    <t>38013</t>
  </si>
  <si>
    <t>38014</t>
  </si>
  <si>
    <t>38015</t>
  </si>
  <si>
    <t>38016</t>
  </si>
  <si>
    <t>38017</t>
  </si>
  <si>
    <t>38018</t>
  </si>
  <si>
    <t>Tabela 3 — Design (Aba 38)</t>
  </si>
  <si>
    <t>38021</t>
  </si>
  <si>
    <t>38022</t>
  </si>
  <si>
    <t>38023</t>
  </si>
  <si>
    <t>38024</t>
  </si>
  <si>
    <t>38025</t>
  </si>
  <si>
    <t>38026</t>
  </si>
  <si>
    <t>38027</t>
  </si>
  <si>
    <t>38028</t>
  </si>
  <si>
    <t>Tabela 4 — DevEx (Aba 38)</t>
  </si>
  <si>
    <t>38031</t>
  </si>
  <si>
    <t>38032</t>
  </si>
  <si>
    <t>38033</t>
  </si>
  <si>
    <t>38034</t>
  </si>
  <si>
    <t>38035</t>
  </si>
  <si>
    <t>38036</t>
  </si>
  <si>
    <t>38037</t>
  </si>
  <si>
    <t>38038</t>
  </si>
  <si>
    <t>Tabela 5 — Dados (Aba 38)</t>
  </si>
  <si>
    <t>38041</t>
  </si>
  <si>
    <t>38042</t>
  </si>
  <si>
    <t>38043</t>
  </si>
  <si>
    <t>38044</t>
  </si>
  <si>
    <t>38045</t>
  </si>
  <si>
    <t>38046</t>
  </si>
  <si>
    <t>38047</t>
  </si>
  <si>
    <t>38048</t>
  </si>
  <si>
    <t>Tabela 6 — Infra (Aba 38)</t>
  </si>
  <si>
    <t>38051</t>
  </si>
  <si>
    <t>38052</t>
  </si>
  <si>
    <t>38053</t>
  </si>
  <si>
    <t>38054</t>
  </si>
  <si>
    <t>38055</t>
  </si>
  <si>
    <t>38056</t>
  </si>
  <si>
    <t>38057</t>
  </si>
  <si>
    <t>38058</t>
  </si>
  <si>
    <t>Tabela 7 — Segurança (Aba 38)</t>
  </si>
  <si>
    <t>38061</t>
  </si>
  <si>
    <t>38062</t>
  </si>
  <si>
    <t>38063</t>
  </si>
  <si>
    <t>38064</t>
  </si>
  <si>
    <t>38065</t>
  </si>
  <si>
    <t>38066</t>
  </si>
  <si>
    <t>38067</t>
  </si>
  <si>
    <t>38068</t>
  </si>
  <si>
    <t>Tabela 8 — Engenharia (Aba 38)</t>
  </si>
  <si>
    <t>38071</t>
  </si>
  <si>
    <t>38072</t>
  </si>
  <si>
    <t>38073</t>
  </si>
  <si>
    <t>38074</t>
  </si>
  <si>
    <t>38075</t>
  </si>
  <si>
    <t>38076</t>
  </si>
  <si>
    <t>38077</t>
  </si>
  <si>
    <t>38078</t>
  </si>
  <si>
    <t>Tabela 9 — Produto (Aba 38)</t>
  </si>
  <si>
    <t>38081</t>
  </si>
  <si>
    <t>38082</t>
  </si>
  <si>
    <t>38083</t>
  </si>
  <si>
    <t>38084</t>
  </si>
  <si>
    <t>38085</t>
  </si>
  <si>
    <t>38086</t>
  </si>
  <si>
    <t>38087</t>
  </si>
  <si>
    <t>38088</t>
  </si>
  <si>
    <t>Tabela 10 — Design (Aba 38)</t>
  </si>
  <si>
    <t>38091</t>
  </si>
  <si>
    <t>38092</t>
  </si>
  <si>
    <t>38093</t>
  </si>
  <si>
    <t>38094</t>
  </si>
  <si>
    <t>38095</t>
  </si>
  <si>
    <t>38096</t>
  </si>
  <si>
    <t>38097</t>
  </si>
  <si>
    <t>38098</t>
  </si>
  <si>
    <t>Tabela 11 — DevEx (Aba 38)</t>
  </si>
  <si>
    <t>38101</t>
  </si>
  <si>
    <t>38102</t>
  </si>
  <si>
    <t>38103</t>
  </si>
  <si>
    <t>38104</t>
  </si>
  <si>
    <t>38105</t>
  </si>
  <si>
    <t>38106</t>
  </si>
  <si>
    <t>38107</t>
  </si>
  <si>
    <t>38108</t>
  </si>
  <si>
    <t>Tabela 12 — Dados (Aba 38)</t>
  </si>
  <si>
    <t>38111</t>
  </si>
  <si>
    <t>38112</t>
  </si>
  <si>
    <t>38113</t>
  </si>
  <si>
    <t>38114</t>
  </si>
  <si>
    <t>38115</t>
  </si>
  <si>
    <t>38116</t>
  </si>
  <si>
    <t>38117</t>
  </si>
  <si>
    <t>38118</t>
  </si>
  <si>
    <t>Tabela 13 — Infra (Aba 38)</t>
  </si>
  <si>
    <t>38121</t>
  </si>
  <si>
    <t>38122</t>
  </si>
  <si>
    <t>38123</t>
  </si>
  <si>
    <t>38124</t>
  </si>
  <si>
    <t>38125</t>
  </si>
  <si>
    <t>38126</t>
  </si>
  <si>
    <t>38127</t>
  </si>
  <si>
    <t>38128</t>
  </si>
  <si>
    <t>Tabela 14 — Segurança (Aba 38)</t>
  </si>
  <si>
    <t>38131</t>
  </si>
  <si>
    <t>38132</t>
  </si>
  <si>
    <t>38133</t>
  </si>
  <si>
    <t>38134</t>
  </si>
  <si>
    <t>38135</t>
  </si>
  <si>
    <t>38136</t>
  </si>
  <si>
    <t>38137</t>
  </si>
  <si>
    <t>38138</t>
  </si>
  <si>
    <t>Tabela 15 — Engenharia (Aba 38)</t>
  </si>
  <si>
    <t>38141</t>
  </si>
  <si>
    <t>38142</t>
  </si>
  <si>
    <t>38143</t>
  </si>
  <si>
    <t>38144</t>
  </si>
  <si>
    <t>38145</t>
  </si>
  <si>
    <t>38146</t>
  </si>
  <si>
    <t>38147</t>
  </si>
  <si>
    <t>38148</t>
  </si>
  <si>
    <t>Tabela 16 — Produto (Aba 38)</t>
  </si>
  <si>
    <t>38151</t>
  </si>
  <si>
    <t>38152</t>
  </si>
  <si>
    <t>38153</t>
  </si>
  <si>
    <t>38154</t>
  </si>
  <si>
    <t>38155</t>
  </si>
  <si>
    <t>38156</t>
  </si>
  <si>
    <t>38157</t>
  </si>
  <si>
    <t>38158</t>
  </si>
  <si>
    <t>Tabela 17 — Design (Aba 38)</t>
  </si>
  <si>
    <t>38161</t>
  </si>
  <si>
    <t>38162</t>
  </si>
  <si>
    <t>38163</t>
  </si>
  <si>
    <t>38164</t>
  </si>
  <si>
    <t>38165</t>
  </si>
  <si>
    <t>38166</t>
  </si>
  <si>
    <t>38167</t>
  </si>
  <si>
    <t>38168</t>
  </si>
  <si>
    <t>Tabela 18 — DevEx (Aba 38)</t>
  </si>
  <si>
    <t>38171</t>
  </si>
  <si>
    <t>38172</t>
  </si>
  <si>
    <t>38173</t>
  </si>
  <si>
    <t>38174</t>
  </si>
  <si>
    <t>38175</t>
  </si>
  <si>
    <t>38176</t>
  </si>
  <si>
    <t>38177</t>
  </si>
  <si>
    <t>38178</t>
  </si>
  <si>
    <t>Tabela 19 — Dados (Aba 38)</t>
  </si>
  <si>
    <t>38181</t>
  </si>
  <si>
    <t>38182</t>
  </si>
  <si>
    <t>38183</t>
  </si>
  <si>
    <t>38184</t>
  </si>
  <si>
    <t>38185</t>
  </si>
  <si>
    <t>38186</t>
  </si>
  <si>
    <t>38187</t>
  </si>
  <si>
    <t>38188</t>
  </si>
  <si>
    <t>Tabela 20 — Infra (Aba 38)</t>
  </si>
  <si>
    <t>38191</t>
  </si>
  <si>
    <t>38192</t>
  </si>
  <si>
    <t>38193</t>
  </si>
  <si>
    <t>38194</t>
  </si>
  <si>
    <t>38195</t>
  </si>
  <si>
    <t>38196</t>
  </si>
  <si>
    <t>38197</t>
  </si>
  <si>
    <t>38198</t>
  </si>
  <si>
    <t>Tabela 21 — Segurança (Aba 38)</t>
  </si>
  <si>
    <t>38201</t>
  </si>
  <si>
    <t>38202</t>
  </si>
  <si>
    <t>38203</t>
  </si>
  <si>
    <t>38204</t>
  </si>
  <si>
    <t>38205</t>
  </si>
  <si>
    <t>38206</t>
  </si>
  <si>
    <t>38207</t>
  </si>
  <si>
    <t>38208</t>
  </si>
  <si>
    <t>Tabela 22 — Engenharia (Aba 38)</t>
  </si>
  <si>
    <t>38211</t>
  </si>
  <si>
    <t>38212</t>
  </si>
  <si>
    <t>38213</t>
  </si>
  <si>
    <t>38214</t>
  </si>
  <si>
    <t>38215</t>
  </si>
  <si>
    <t>38216</t>
  </si>
  <si>
    <t>38217</t>
  </si>
  <si>
    <t>38218</t>
  </si>
  <si>
    <t>Tabela 23 — Produto (Aba 38)</t>
  </si>
  <si>
    <t>38221</t>
  </si>
  <si>
    <t>38222</t>
  </si>
  <si>
    <t>38223</t>
  </si>
  <si>
    <t>38224</t>
  </si>
  <si>
    <t>38225</t>
  </si>
  <si>
    <t>38226</t>
  </si>
  <si>
    <t>38227</t>
  </si>
  <si>
    <t>38228</t>
  </si>
  <si>
    <t>Tabela 24 — Design (Aba 38)</t>
  </si>
  <si>
    <t>38231</t>
  </si>
  <si>
    <t>38232</t>
  </si>
  <si>
    <t>38233</t>
  </si>
  <si>
    <t>38234</t>
  </si>
  <si>
    <t>38235</t>
  </si>
  <si>
    <t>38236</t>
  </si>
  <si>
    <t>38237</t>
  </si>
  <si>
    <t>38238</t>
  </si>
  <si>
    <t>Tabela 25 — DevEx (Aba 38)</t>
  </si>
  <si>
    <t>38241</t>
  </si>
  <si>
    <t>38242</t>
  </si>
  <si>
    <t>38243</t>
  </si>
  <si>
    <t>38244</t>
  </si>
  <si>
    <t>38245</t>
  </si>
  <si>
    <t>38246</t>
  </si>
  <si>
    <t>38247</t>
  </si>
  <si>
    <t>38248</t>
  </si>
  <si>
    <t>Tabela 26 — Dados (Aba 38)</t>
  </si>
  <si>
    <t>38251</t>
  </si>
  <si>
    <t>38252</t>
  </si>
  <si>
    <t>38253</t>
  </si>
  <si>
    <t>38254</t>
  </si>
  <si>
    <t>38255</t>
  </si>
  <si>
    <t>38256</t>
  </si>
  <si>
    <t>38257</t>
  </si>
  <si>
    <t>38258</t>
  </si>
  <si>
    <t>Tabela 27 — Infra (Aba 38)</t>
  </si>
  <si>
    <t>38261</t>
  </si>
  <si>
    <t>38262</t>
  </si>
  <si>
    <t>38263</t>
  </si>
  <si>
    <t>38264</t>
  </si>
  <si>
    <t>38265</t>
  </si>
  <si>
    <t>38266</t>
  </si>
  <si>
    <t>38267</t>
  </si>
  <si>
    <t>38268</t>
  </si>
  <si>
    <t>Tabela 28 — Segurança (Aba 38)</t>
  </si>
  <si>
    <t>38271</t>
  </si>
  <si>
    <t>38272</t>
  </si>
  <si>
    <t>38273</t>
  </si>
  <si>
    <t>38274</t>
  </si>
  <si>
    <t>38275</t>
  </si>
  <si>
    <t>38276</t>
  </si>
  <si>
    <t>38277</t>
  </si>
  <si>
    <t>38278</t>
  </si>
  <si>
    <t>Tabela 29 — Engenharia (Aba 38)</t>
  </si>
  <si>
    <t>38281</t>
  </si>
  <si>
    <t>38282</t>
  </si>
  <si>
    <t>38283</t>
  </si>
  <si>
    <t>38284</t>
  </si>
  <si>
    <t>38285</t>
  </si>
  <si>
    <t>38286</t>
  </si>
  <si>
    <t>38287</t>
  </si>
  <si>
    <t>38288</t>
  </si>
  <si>
    <t>Tabela 30 — Produto (Aba 38)</t>
  </si>
  <si>
    <t>38291</t>
  </si>
  <si>
    <t>38292</t>
  </si>
  <si>
    <t>38293</t>
  </si>
  <si>
    <t>38294</t>
  </si>
  <si>
    <t>38295</t>
  </si>
  <si>
    <t>38296</t>
  </si>
  <si>
    <t>38297</t>
  </si>
  <si>
    <t>38298</t>
  </si>
  <si>
    <t>Planilha — Aba 37 | Relatório de Equipe</t>
  </si>
  <si>
    <t>Tabela 1 — Engenharia (Aba 37)</t>
  </si>
  <si>
    <t>37001</t>
  </si>
  <si>
    <t>37002</t>
  </si>
  <si>
    <t>37003</t>
  </si>
  <si>
    <t>37004</t>
  </si>
  <si>
    <t>37005</t>
  </si>
  <si>
    <t>37006</t>
  </si>
  <si>
    <t>37007</t>
  </si>
  <si>
    <t>37008</t>
  </si>
  <si>
    <t>Tabela 2 — Produto (Aba 37)</t>
  </si>
  <si>
    <t>37011</t>
  </si>
  <si>
    <t>37012</t>
  </si>
  <si>
    <t>37013</t>
  </si>
  <si>
    <t>37014</t>
  </si>
  <si>
    <t>37015</t>
  </si>
  <si>
    <t>37016</t>
  </si>
  <si>
    <t>37017</t>
  </si>
  <si>
    <t>37018</t>
  </si>
  <si>
    <t>Tabela 3 — Design (Aba 37)</t>
  </si>
  <si>
    <t>37021</t>
  </si>
  <si>
    <t>37022</t>
  </si>
  <si>
    <t>37023</t>
  </si>
  <si>
    <t>37024</t>
  </si>
  <si>
    <t>37025</t>
  </si>
  <si>
    <t>37026</t>
  </si>
  <si>
    <t>37027</t>
  </si>
  <si>
    <t>37028</t>
  </si>
  <si>
    <t>Tabela 4 — DevEx (Aba 37)</t>
  </si>
  <si>
    <t>37031</t>
  </si>
  <si>
    <t>37032</t>
  </si>
  <si>
    <t>37033</t>
  </si>
  <si>
    <t>37034</t>
  </si>
  <si>
    <t>37035</t>
  </si>
  <si>
    <t>37036</t>
  </si>
  <si>
    <t>37037</t>
  </si>
  <si>
    <t>37038</t>
  </si>
  <si>
    <t>Tabela 5 — Dados (Aba 37)</t>
  </si>
  <si>
    <t>37041</t>
  </si>
  <si>
    <t>37042</t>
  </si>
  <si>
    <t>37043</t>
  </si>
  <si>
    <t>37044</t>
  </si>
  <si>
    <t>37045</t>
  </si>
  <si>
    <t>37046</t>
  </si>
  <si>
    <t>37047</t>
  </si>
  <si>
    <t>37048</t>
  </si>
  <si>
    <t>Tabela 6 — Infra (Aba 37)</t>
  </si>
  <si>
    <t>37051</t>
  </si>
  <si>
    <t>37052</t>
  </si>
  <si>
    <t>37053</t>
  </si>
  <si>
    <t>37054</t>
  </si>
  <si>
    <t>37055</t>
  </si>
  <si>
    <t>37056</t>
  </si>
  <si>
    <t>37057</t>
  </si>
  <si>
    <t>37058</t>
  </si>
  <si>
    <t>Tabela 7 — Segurança (Aba 37)</t>
  </si>
  <si>
    <t>37061</t>
  </si>
  <si>
    <t>37062</t>
  </si>
  <si>
    <t>37063</t>
  </si>
  <si>
    <t>37064</t>
  </si>
  <si>
    <t>37065</t>
  </si>
  <si>
    <t>37066</t>
  </si>
  <si>
    <t>37067</t>
  </si>
  <si>
    <t>37068</t>
  </si>
  <si>
    <t>Tabela 8 — Engenharia (Aba 37)</t>
  </si>
  <si>
    <t>37071</t>
  </si>
  <si>
    <t>37072</t>
  </si>
  <si>
    <t>37073</t>
  </si>
  <si>
    <t>37074</t>
  </si>
  <si>
    <t>37075</t>
  </si>
  <si>
    <t>37076</t>
  </si>
  <si>
    <t>37077</t>
  </si>
  <si>
    <t>37078</t>
  </si>
  <si>
    <t>Tabela 9 — Produto (Aba 37)</t>
  </si>
  <si>
    <t>37081</t>
  </si>
  <si>
    <t>37082</t>
  </si>
  <si>
    <t>37083</t>
  </si>
  <si>
    <t>37084</t>
  </si>
  <si>
    <t>37085</t>
  </si>
  <si>
    <t>37086</t>
  </si>
  <si>
    <t>37087</t>
  </si>
  <si>
    <t>37088</t>
  </si>
  <si>
    <t>Tabela 10 — Design (Aba 37)</t>
  </si>
  <si>
    <t>37091</t>
  </si>
  <si>
    <t>37092</t>
  </si>
  <si>
    <t>37093</t>
  </si>
  <si>
    <t>37094</t>
  </si>
  <si>
    <t>37095</t>
  </si>
  <si>
    <t>37096</t>
  </si>
  <si>
    <t>37097</t>
  </si>
  <si>
    <t>37098</t>
  </si>
  <si>
    <t>Tabela 11 — DevEx (Aba 37)</t>
  </si>
  <si>
    <t>37101</t>
  </si>
  <si>
    <t>37102</t>
  </si>
  <si>
    <t>37103</t>
  </si>
  <si>
    <t>37104</t>
  </si>
  <si>
    <t>37105</t>
  </si>
  <si>
    <t>37106</t>
  </si>
  <si>
    <t>37107</t>
  </si>
  <si>
    <t>37108</t>
  </si>
  <si>
    <t>Tabela 12 — Dados (Aba 37)</t>
  </si>
  <si>
    <t>37111</t>
  </si>
  <si>
    <t>37112</t>
  </si>
  <si>
    <t>37113</t>
  </si>
  <si>
    <t>37114</t>
  </si>
  <si>
    <t>37115</t>
  </si>
  <si>
    <t>37116</t>
  </si>
  <si>
    <t>37117</t>
  </si>
  <si>
    <t>37118</t>
  </si>
  <si>
    <t>Tabela 13 — Infra (Aba 37)</t>
  </si>
  <si>
    <t>37121</t>
  </si>
  <si>
    <t>37122</t>
  </si>
  <si>
    <t>37123</t>
  </si>
  <si>
    <t>37124</t>
  </si>
  <si>
    <t>37125</t>
  </si>
  <si>
    <t>37126</t>
  </si>
  <si>
    <t>37127</t>
  </si>
  <si>
    <t>37128</t>
  </si>
  <si>
    <t>Tabela 14 — Segurança (Aba 37)</t>
  </si>
  <si>
    <t>37131</t>
  </si>
  <si>
    <t>37132</t>
  </si>
  <si>
    <t>37133</t>
  </si>
  <si>
    <t>37134</t>
  </si>
  <si>
    <t>37135</t>
  </si>
  <si>
    <t>37136</t>
  </si>
  <si>
    <t>37137</t>
  </si>
  <si>
    <t>37138</t>
  </si>
  <si>
    <t>Tabela 15 — Engenharia (Aba 37)</t>
  </si>
  <si>
    <t>37141</t>
  </si>
  <si>
    <t>37142</t>
  </si>
  <si>
    <t>37143</t>
  </si>
  <si>
    <t>37144</t>
  </si>
  <si>
    <t>37145</t>
  </si>
  <si>
    <t>37146</t>
  </si>
  <si>
    <t>37147</t>
  </si>
  <si>
    <t>37148</t>
  </si>
  <si>
    <t>Tabela 16 — Produto (Aba 37)</t>
  </si>
  <si>
    <t>37151</t>
  </si>
  <si>
    <t>37152</t>
  </si>
  <si>
    <t>37153</t>
  </si>
  <si>
    <t>37154</t>
  </si>
  <si>
    <t>37155</t>
  </si>
  <si>
    <t>37156</t>
  </si>
  <si>
    <t>37157</t>
  </si>
  <si>
    <t>37158</t>
  </si>
  <si>
    <t>Tabela 17 — Design (Aba 37)</t>
  </si>
  <si>
    <t>37161</t>
  </si>
  <si>
    <t>37162</t>
  </si>
  <si>
    <t>37163</t>
  </si>
  <si>
    <t>37164</t>
  </si>
  <si>
    <t>37165</t>
  </si>
  <si>
    <t>37166</t>
  </si>
  <si>
    <t>37167</t>
  </si>
  <si>
    <t>37168</t>
  </si>
  <si>
    <t>Tabela 18 — DevEx (Aba 37)</t>
  </si>
  <si>
    <t>37171</t>
  </si>
  <si>
    <t>37172</t>
  </si>
  <si>
    <t>37173</t>
  </si>
  <si>
    <t>37174</t>
  </si>
  <si>
    <t>37175</t>
  </si>
  <si>
    <t>37176</t>
  </si>
  <si>
    <t>37177</t>
  </si>
  <si>
    <t>37178</t>
  </si>
  <si>
    <t>Tabela 19 — Dados (Aba 37)</t>
  </si>
  <si>
    <t>37181</t>
  </si>
  <si>
    <t>37182</t>
  </si>
  <si>
    <t>37183</t>
  </si>
  <si>
    <t>37184</t>
  </si>
  <si>
    <t>37185</t>
  </si>
  <si>
    <t>37186</t>
  </si>
  <si>
    <t>37187</t>
  </si>
  <si>
    <t>37188</t>
  </si>
  <si>
    <t>Tabela 20 — Infra (Aba 37)</t>
  </si>
  <si>
    <t>37191</t>
  </si>
  <si>
    <t>37192</t>
  </si>
  <si>
    <t>37193</t>
  </si>
  <si>
    <t>37194</t>
  </si>
  <si>
    <t>37195</t>
  </si>
  <si>
    <t>37196</t>
  </si>
  <si>
    <t>37197</t>
  </si>
  <si>
    <t>37198</t>
  </si>
  <si>
    <t>Tabela 21 — Segurança (Aba 37)</t>
  </si>
  <si>
    <t>37201</t>
  </si>
  <si>
    <t>37202</t>
  </si>
  <si>
    <t>37203</t>
  </si>
  <si>
    <t>37204</t>
  </si>
  <si>
    <t>37205</t>
  </si>
  <si>
    <t>37206</t>
  </si>
  <si>
    <t>37207</t>
  </si>
  <si>
    <t>37208</t>
  </si>
  <si>
    <t>Tabela 22 — Engenharia (Aba 37)</t>
  </si>
  <si>
    <t>37211</t>
  </si>
  <si>
    <t>37212</t>
  </si>
  <si>
    <t>37213</t>
  </si>
  <si>
    <t>37214</t>
  </si>
  <si>
    <t>37215</t>
  </si>
  <si>
    <t>37216</t>
  </si>
  <si>
    <t>37217</t>
  </si>
  <si>
    <t>37218</t>
  </si>
  <si>
    <t>Tabela 23 — Produto (Aba 37)</t>
  </si>
  <si>
    <t>37221</t>
  </si>
  <si>
    <t>37222</t>
  </si>
  <si>
    <t>37223</t>
  </si>
  <si>
    <t>37224</t>
  </si>
  <si>
    <t>37225</t>
  </si>
  <si>
    <t>37226</t>
  </si>
  <si>
    <t>37227</t>
  </si>
  <si>
    <t>37228</t>
  </si>
  <si>
    <t>Tabela 24 — Design (Aba 37)</t>
  </si>
  <si>
    <t>37231</t>
  </si>
  <si>
    <t>37232</t>
  </si>
  <si>
    <t>37233</t>
  </si>
  <si>
    <t>37234</t>
  </si>
  <si>
    <t>37235</t>
  </si>
  <si>
    <t>37236</t>
  </si>
  <si>
    <t>37237</t>
  </si>
  <si>
    <t>37238</t>
  </si>
  <si>
    <t>Tabela 25 — DevEx (Aba 37)</t>
  </si>
  <si>
    <t>37241</t>
  </si>
  <si>
    <t>37242</t>
  </si>
  <si>
    <t>37243</t>
  </si>
  <si>
    <t>37244</t>
  </si>
  <si>
    <t>37245</t>
  </si>
  <si>
    <t>37246</t>
  </si>
  <si>
    <t>37247</t>
  </si>
  <si>
    <t>37248</t>
  </si>
  <si>
    <t>Tabela 26 — Dados (Aba 37)</t>
  </si>
  <si>
    <t>37251</t>
  </si>
  <si>
    <t>37252</t>
  </si>
  <si>
    <t>37253</t>
  </si>
  <si>
    <t>37254</t>
  </si>
  <si>
    <t>37255</t>
  </si>
  <si>
    <t>37256</t>
  </si>
  <si>
    <t>37257</t>
  </si>
  <si>
    <t>37258</t>
  </si>
  <si>
    <t>Tabela 27 — Infra (Aba 37)</t>
  </si>
  <si>
    <t>37261</t>
  </si>
  <si>
    <t>37262</t>
  </si>
  <si>
    <t>37263</t>
  </si>
  <si>
    <t>37264</t>
  </si>
  <si>
    <t>37265</t>
  </si>
  <si>
    <t>37266</t>
  </si>
  <si>
    <t>37267</t>
  </si>
  <si>
    <t>37268</t>
  </si>
  <si>
    <t>Tabela 28 — Segurança (Aba 37)</t>
  </si>
  <si>
    <t>37271</t>
  </si>
  <si>
    <t>37272</t>
  </si>
  <si>
    <t>37273</t>
  </si>
  <si>
    <t>37274</t>
  </si>
  <si>
    <t>37275</t>
  </si>
  <si>
    <t>37276</t>
  </si>
  <si>
    <t>37277</t>
  </si>
  <si>
    <t>37278</t>
  </si>
  <si>
    <t>Tabela 29 — Engenharia (Aba 37)</t>
  </si>
  <si>
    <t>37281</t>
  </si>
  <si>
    <t>37282</t>
  </si>
  <si>
    <t>37283</t>
  </si>
  <si>
    <t>37284</t>
  </si>
  <si>
    <t>37285</t>
  </si>
  <si>
    <t>37286</t>
  </si>
  <si>
    <t>37287</t>
  </si>
  <si>
    <t>37288</t>
  </si>
  <si>
    <t>Tabela 30 — Produto (Aba 37)</t>
  </si>
  <si>
    <t>37291</t>
  </si>
  <si>
    <t>37292</t>
  </si>
  <si>
    <t>37293</t>
  </si>
  <si>
    <t>37294</t>
  </si>
  <si>
    <t>37295</t>
  </si>
  <si>
    <t>37296</t>
  </si>
  <si>
    <t>37297</t>
  </si>
  <si>
    <t>37298</t>
  </si>
  <si>
    <t>Planilha — Aba 36 | Relatório de Equipe</t>
  </si>
  <si>
    <t>Tabela 1 — Engenharia (Aba 36)</t>
  </si>
  <si>
    <t>36001</t>
  </si>
  <si>
    <t>36002</t>
  </si>
  <si>
    <t>36003</t>
  </si>
  <si>
    <t>36004</t>
  </si>
  <si>
    <t>36005</t>
  </si>
  <si>
    <t>36006</t>
  </si>
  <si>
    <t>36007</t>
  </si>
  <si>
    <t>36008</t>
  </si>
  <si>
    <t>Tabela 2 — Produto (Aba 36)</t>
  </si>
  <si>
    <t>36011</t>
  </si>
  <si>
    <t>36012</t>
  </si>
  <si>
    <t>36013</t>
  </si>
  <si>
    <t>36014</t>
  </si>
  <si>
    <t>36015</t>
  </si>
  <si>
    <t>36016</t>
  </si>
  <si>
    <t>36017</t>
  </si>
  <si>
    <t>36018</t>
  </si>
  <si>
    <t>Tabela 3 — Design (Aba 36)</t>
  </si>
  <si>
    <t>36021</t>
  </si>
  <si>
    <t>36022</t>
  </si>
  <si>
    <t>36023</t>
  </si>
  <si>
    <t>36024</t>
  </si>
  <si>
    <t>36025</t>
  </si>
  <si>
    <t>36026</t>
  </si>
  <si>
    <t>36027</t>
  </si>
  <si>
    <t>36028</t>
  </si>
  <si>
    <t>Tabela 4 — DevEx (Aba 36)</t>
  </si>
  <si>
    <t>36031</t>
  </si>
  <si>
    <t>36032</t>
  </si>
  <si>
    <t>36033</t>
  </si>
  <si>
    <t>36034</t>
  </si>
  <si>
    <t>36035</t>
  </si>
  <si>
    <t>36036</t>
  </si>
  <si>
    <t>36037</t>
  </si>
  <si>
    <t>36038</t>
  </si>
  <si>
    <t>Tabela 5 — Dados (Aba 36)</t>
  </si>
  <si>
    <t>36041</t>
  </si>
  <si>
    <t>36042</t>
  </si>
  <si>
    <t>36043</t>
  </si>
  <si>
    <t>36044</t>
  </si>
  <si>
    <t>36045</t>
  </si>
  <si>
    <t>36046</t>
  </si>
  <si>
    <t>36047</t>
  </si>
  <si>
    <t>36048</t>
  </si>
  <si>
    <t>Tabela 6 — Infra (Aba 36)</t>
  </si>
  <si>
    <t>36051</t>
  </si>
  <si>
    <t>36052</t>
  </si>
  <si>
    <t>36053</t>
  </si>
  <si>
    <t>36054</t>
  </si>
  <si>
    <t>36055</t>
  </si>
  <si>
    <t>36056</t>
  </si>
  <si>
    <t>36057</t>
  </si>
  <si>
    <t>36058</t>
  </si>
  <si>
    <t>Tabela 7 — Segurança (Aba 36)</t>
  </si>
  <si>
    <t>36061</t>
  </si>
  <si>
    <t>36062</t>
  </si>
  <si>
    <t>36063</t>
  </si>
  <si>
    <t>36064</t>
  </si>
  <si>
    <t>36065</t>
  </si>
  <si>
    <t>36066</t>
  </si>
  <si>
    <t>36067</t>
  </si>
  <si>
    <t>36068</t>
  </si>
  <si>
    <t>Tabela 8 — Engenharia (Aba 36)</t>
  </si>
  <si>
    <t>36071</t>
  </si>
  <si>
    <t>36072</t>
  </si>
  <si>
    <t>36073</t>
  </si>
  <si>
    <t>36074</t>
  </si>
  <si>
    <t>36075</t>
  </si>
  <si>
    <t>36076</t>
  </si>
  <si>
    <t>36077</t>
  </si>
  <si>
    <t>36078</t>
  </si>
  <si>
    <t>Tabela 9 — Produto (Aba 36)</t>
  </si>
  <si>
    <t>36081</t>
  </si>
  <si>
    <t>36082</t>
  </si>
  <si>
    <t>36083</t>
  </si>
  <si>
    <t>36084</t>
  </si>
  <si>
    <t>36085</t>
  </si>
  <si>
    <t>36086</t>
  </si>
  <si>
    <t>36087</t>
  </si>
  <si>
    <t>36088</t>
  </si>
  <si>
    <t>Tabela 10 — Design (Aba 36)</t>
  </si>
  <si>
    <t>36091</t>
  </si>
  <si>
    <t>36092</t>
  </si>
  <si>
    <t>36093</t>
  </si>
  <si>
    <t>36094</t>
  </si>
  <si>
    <t>36095</t>
  </si>
  <si>
    <t>36096</t>
  </si>
  <si>
    <t>36097</t>
  </si>
  <si>
    <t>36098</t>
  </si>
  <si>
    <t>Tabela 11 — DevEx (Aba 36)</t>
  </si>
  <si>
    <t>36101</t>
  </si>
  <si>
    <t>36102</t>
  </si>
  <si>
    <t>36103</t>
  </si>
  <si>
    <t>36104</t>
  </si>
  <si>
    <t>36105</t>
  </si>
  <si>
    <t>36106</t>
  </si>
  <si>
    <t>36107</t>
  </si>
  <si>
    <t>36108</t>
  </si>
  <si>
    <t>Tabela 12 — Dados (Aba 36)</t>
  </si>
  <si>
    <t>36111</t>
  </si>
  <si>
    <t>36112</t>
  </si>
  <si>
    <t>36113</t>
  </si>
  <si>
    <t>36114</t>
  </si>
  <si>
    <t>36115</t>
  </si>
  <si>
    <t>36116</t>
  </si>
  <si>
    <t>36117</t>
  </si>
  <si>
    <t>36118</t>
  </si>
  <si>
    <t>Tabela 13 — Infra (Aba 36)</t>
  </si>
  <si>
    <t>36121</t>
  </si>
  <si>
    <t>36122</t>
  </si>
  <si>
    <t>36123</t>
  </si>
  <si>
    <t>36124</t>
  </si>
  <si>
    <t>36125</t>
  </si>
  <si>
    <t>36126</t>
  </si>
  <si>
    <t>36127</t>
  </si>
  <si>
    <t>36128</t>
  </si>
  <si>
    <t>Tabela 14 — Segurança (Aba 36)</t>
  </si>
  <si>
    <t>36131</t>
  </si>
  <si>
    <t>36132</t>
  </si>
  <si>
    <t>36133</t>
  </si>
  <si>
    <t>36134</t>
  </si>
  <si>
    <t>36135</t>
  </si>
  <si>
    <t>36136</t>
  </si>
  <si>
    <t>36137</t>
  </si>
  <si>
    <t>36138</t>
  </si>
  <si>
    <t>Tabela 15 — Engenharia (Aba 36)</t>
  </si>
  <si>
    <t>36141</t>
  </si>
  <si>
    <t>36142</t>
  </si>
  <si>
    <t>36143</t>
  </si>
  <si>
    <t>36144</t>
  </si>
  <si>
    <t>36145</t>
  </si>
  <si>
    <t>36146</t>
  </si>
  <si>
    <t>36147</t>
  </si>
  <si>
    <t>36148</t>
  </si>
  <si>
    <t>Tabela 16 — Produto (Aba 36)</t>
  </si>
  <si>
    <t>36151</t>
  </si>
  <si>
    <t>36152</t>
  </si>
  <si>
    <t>36153</t>
  </si>
  <si>
    <t>36154</t>
  </si>
  <si>
    <t>36155</t>
  </si>
  <si>
    <t>36156</t>
  </si>
  <si>
    <t>36157</t>
  </si>
  <si>
    <t>36158</t>
  </si>
  <si>
    <t>Tabela 17 — Design (Aba 36)</t>
  </si>
  <si>
    <t>36161</t>
  </si>
  <si>
    <t>36162</t>
  </si>
  <si>
    <t>36163</t>
  </si>
  <si>
    <t>36164</t>
  </si>
  <si>
    <t>36165</t>
  </si>
  <si>
    <t>36166</t>
  </si>
  <si>
    <t>36167</t>
  </si>
  <si>
    <t>36168</t>
  </si>
  <si>
    <t>Tabela 18 — DevEx (Aba 36)</t>
  </si>
  <si>
    <t>36171</t>
  </si>
  <si>
    <t>36172</t>
  </si>
  <si>
    <t>36173</t>
  </si>
  <si>
    <t>36174</t>
  </si>
  <si>
    <t>36175</t>
  </si>
  <si>
    <t>36176</t>
  </si>
  <si>
    <t>36177</t>
  </si>
  <si>
    <t>36178</t>
  </si>
  <si>
    <t>Tabela 19 — Dados (Aba 36)</t>
  </si>
  <si>
    <t>36181</t>
  </si>
  <si>
    <t>36182</t>
  </si>
  <si>
    <t>36183</t>
  </si>
  <si>
    <t>36184</t>
  </si>
  <si>
    <t>36185</t>
  </si>
  <si>
    <t>36186</t>
  </si>
  <si>
    <t>36187</t>
  </si>
  <si>
    <t>36188</t>
  </si>
  <si>
    <t>Tabela 20 — Infra (Aba 36)</t>
  </si>
  <si>
    <t>36191</t>
  </si>
  <si>
    <t>36192</t>
  </si>
  <si>
    <t>36193</t>
  </si>
  <si>
    <t>36194</t>
  </si>
  <si>
    <t>36195</t>
  </si>
  <si>
    <t>36196</t>
  </si>
  <si>
    <t>36197</t>
  </si>
  <si>
    <t>36198</t>
  </si>
  <si>
    <t>Tabela 21 — Segurança (Aba 36)</t>
  </si>
  <si>
    <t>36201</t>
  </si>
  <si>
    <t>36202</t>
  </si>
  <si>
    <t>36203</t>
  </si>
  <si>
    <t>36204</t>
  </si>
  <si>
    <t>36205</t>
  </si>
  <si>
    <t>36206</t>
  </si>
  <si>
    <t>36207</t>
  </si>
  <si>
    <t>36208</t>
  </si>
  <si>
    <t>Tabela 22 — Engenharia (Aba 36)</t>
  </si>
  <si>
    <t>36211</t>
  </si>
  <si>
    <t>36212</t>
  </si>
  <si>
    <t>36213</t>
  </si>
  <si>
    <t>36214</t>
  </si>
  <si>
    <t>36215</t>
  </si>
  <si>
    <t>36216</t>
  </si>
  <si>
    <t>36217</t>
  </si>
  <si>
    <t>36218</t>
  </si>
  <si>
    <t>Tabela 23 — Produto (Aba 36)</t>
  </si>
  <si>
    <t>36221</t>
  </si>
  <si>
    <t>36222</t>
  </si>
  <si>
    <t>36223</t>
  </si>
  <si>
    <t>36224</t>
  </si>
  <si>
    <t>36225</t>
  </si>
  <si>
    <t>36226</t>
  </si>
  <si>
    <t>36227</t>
  </si>
  <si>
    <t>36228</t>
  </si>
  <si>
    <t>Tabela 24 — Design (Aba 36)</t>
  </si>
  <si>
    <t>36231</t>
  </si>
  <si>
    <t>36232</t>
  </si>
  <si>
    <t>36233</t>
  </si>
  <si>
    <t>36234</t>
  </si>
  <si>
    <t>36235</t>
  </si>
  <si>
    <t>36236</t>
  </si>
  <si>
    <t>36237</t>
  </si>
  <si>
    <t>36238</t>
  </si>
  <si>
    <t>Tabela 25 — DevEx (Aba 36)</t>
  </si>
  <si>
    <t>36241</t>
  </si>
  <si>
    <t>36242</t>
  </si>
  <si>
    <t>36243</t>
  </si>
  <si>
    <t>36244</t>
  </si>
  <si>
    <t>36245</t>
  </si>
  <si>
    <t>36246</t>
  </si>
  <si>
    <t>36247</t>
  </si>
  <si>
    <t>36248</t>
  </si>
  <si>
    <t>Tabela 26 — Dados (Aba 36)</t>
  </si>
  <si>
    <t>36251</t>
  </si>
  <si>
    <t>36252</t>
  </si>
  <si>
    <t>36253</t>
  </si>
  <si>
    <t>36254</t>
  </si>
  <si>
    <t>36255</t>
  </si>
  <si>
    <t>36256</t>
  </si>
  <si>
    <t>36257</t>
  </si>
  <si>
    <t>36258</t>
  </si>
  <si>
    <t>Tabela 27 — Infra (Aba 36)</t>
  </si>
  <si>
    <t>36261</t>
  </si>
  <si>
    <t>36262</t>
  </si>
  <si>
    <t>36263</t>
  </si>
  <si>
    <t>36264</t>
  </si>
  <si>
    <t>36265</t>
  </si>
  <si>
    <t>36266</t>
  </si>
  <si>
    <t>36267</t>
  </si>
  <si>
    <t>36268</t>
  </si>
  <si>
    <t>Tabela 28 — Segurança (Aba 36)</t>
  </si>
  <si>
    <t>36271</t>
  </si>
  <si>
    <t>36272</t>
  </si>
  <si>
    <t>36273</t>
  </si>
  <si>
    <t>36274</t>
  </si>
  <si>
    <t>36275</t>
  </si>
  <si>
    <t>36276</t>
  </si>
  <si>
    <t>36277</t>
  </si>
  <si>
    <t>36278</t>
  </si>
  <si>
    <t>Tabela 29 — Engenharia (Aba 36)</t>
  </si>
  <si>
    <t>36281</t>
  </si>
  <si>
    <t>36282</t>
  </si>
  <si>
    <t>36283</t>
  </si>
  <si>
    <t>36284</t>
  </si>
  <si>
    <t>36285</t>
  </si>
  <si>
    <t>36286</t>
  </si>
  <si>
    <t>36287</t>
  </si>
  <si>
    <t>36288</t>
  </si>
  <si>
    <t>Tabela 30 — Produto (Aba 36)</t>
  </si>
  <si>
    <t>36291</t>
  </si>
  <si>
    <t>36292</t>
  </si>
  <si>
    <t>36293</t>
  </si>
  <si>
    <t>36294</t>
  </si>
  <si>
    <t>36295</t>
  </si>
  <si>
    <t>36296</t>
  </si>
  <si>
    <t>36297</t>
  </si>
  <si>
    <t>36298</t>
  </si>
  <si>
    <t>Planilha — Aba 35 | Relatório de Equipe</t>
  </si>
  <si>
    <t>Tabela 1 — Engenharia (Aba 35)</t>
  </si>
  <si>
    <t>35001</t>
  </si>
  <si>
    <t>35002</t>
  </si>
  <si>
    <t>35003</t>
  </si>
  <si>
    <t>35004</t>
  </si>
  <si>
    <t>35005</t>
  </si>
  <si>
    <t>35006</t>
  </si>
  <si>
    <t>35007</t>
  </si>
  <si>
    <t>35008</t>
  </si>
  <si>
    <t>Tabela 2 — Produto (Aba 35)</t>
  </si>
  <si>
    <t>35011</t>
  </si>
  <si>
    <t>35012</t>
  </si>
  <si>
    <t>35013</t>
  </si>
  <si>
    <t>35014</t>
  </si>
  <si>
    <t>35015</t>
  </si>
  <si>
    <t>35016</t>
  </si>
  <si>
    <t>35017</t>
  </si>
  <si>
    <t>35018</t>
  </si>
  <si>
    <t>Tabela 3 — Design (Aba 35)</t>
  </si>
  <si>
    <t>35021</t>
  </si>
  <si>
    <t>35022</t>
  </si>
  <si>
    <t>35023</t>
  </si>
  <si>
    <t>35024</t>
  </si>
  <si>
    <t>35025</t>
  </si>
  <si>
    <t>35026</t>
  </si>
  <si>
    <t>35027</t>
  </si>
  <si>
    <t>35028</t>
  </si>
  <si>
    <t>Tabela 4 — DevEx (Aba 35)</t>
  </si>
  <si>
    <t>35031</t>
  </si>
  <si>
    <t>35032</t>
  </si>
  <si>
    <t>35033</t>
  </si>
  <si>
    <t>35034</t>
  </si>
  <si>
    <t>35035</t>
  </si>
  <si>
    <t>35036</t>
  </si>
  <si>
    <t>35037</t>
  </si>
  <si>
    <t>35038</t>
  </si>
  <si>
    <t>Tabela 5 — Dados (Aba 35)</t>
  </si>
  <si>
    <t>35041</t>
  </si>
  <si>
    <t>35042</t>
  </si>
  <si>
    <t>35043</t>
  </si>
  <si>
    <t>35044</t>
  </si>
  <si>
    <t>35045</t>
  </si>
  <si>
    <t>35046</t>
  </si>
  <si>
    <t>35047</t>
  </si>
  <si>
    <t>35048</t>
  </si>
  <si>
    <t>Tabela 6 — Infra (Aba 35)</t>
  </si>
  <si>
    <t>35051</t>
  </si>
  <si>
    <t>35052</t>
  </si>
  <si>
    <t>35053</t>
  </si>
  <si>
    <t>35054</t>
  </si>
  <si>
    <t>35055</t>
  </si>
  <si>
    <t>35056</t>
  </si>
  <si>
    <t>35057</t>
  </si>
  <si>
    <t>35058</t>
  </si>
  <si>
    <t>Tabela 7 — Segurança (Aba 35)</t>
  </si>
  <si>
    <t>35061</t>
  </si>
  <si>
    <t>35062</t>
  </si>
  <si>
    <t>35063</t>
  </si>
  <si>
    <t>35064</t>
  </si>
  <si>
    <t>35065</t>
  </si>
  <si>
    <t>35066</t>
  </si>
  <si>
    <t>35067</t>
  </si>
  <si>
    <t>35068</t>
  </si>
  <si>
    <t>Tabela 8 — Engenharia (Aba 35)</t>
  </si>
  <si>
    <t>35071</t>
  </si>
  <si>
    <t>35072</t>
  </si>
  <si>
    <t>35073</t>
  </si>
  <si>
    <t>35074</t>
  </si>
  <si>
    <t>35075</t>
  </si>
  <si>
    <t>35076</t>
  </si>
  <si>
    <t>35077</t>
  </si>
  <si>
    <t>35078</t>
  </si>
  <si>
    <t>Tabela 9 — Produto (Aba 35)</t>
  </si>
  <si>
    <t>35081</t>
  </si>
  <si>
    <t>35082</t>
  </si>
  <si>
    <t>35083</t>
  </si>
  <si>
    <t>35084</t>
  </si>
  <si>
    <t>35085</t>
  </si>
  <si>
    <t>35086</t>
  </si>
  <si>
    <t>35087</t>
  </si>
  <si>
    <t>35088</t>
  </si>
  <si>
    <t>Tabela 10 — Design (Aba 35)</t>
  </si>
  <si>
    <t>35091</t>
  </si>
  <si>
    <t>35092</t>
  </si>
  <si>
    <t>35093</t>
  </si>
  <si>
    <t>35094</t>
  </si>
  <si>
    <t>35095</t>
  </si>
  <si>
    <t>35096</t>
  </si>
  <si>
    <t>35097</t>
  </si>
  <si>
    <t>35098</t>
  </si>
  <si>
    <t>Tabela 11 — DevEx (Aba 35)</t>
  </si>
  <si>
    <t>35101</t>
  </si>
  <si>
    <t>35102</t>
  </si>
  <si>
    <t>35103</t>
  </si>
  <si>
    <t>35104</t>
  </si>
  <si>
    <t>35105</t>
  </si>
  <si>
    <t>35106</t>
  </si>
  <si>
    <t>35107</t>
  </si>
  <si>
    <t>35108</t>
  </si>
  <si>
    <t>Tabela 12 — Dados (Aba 35)</t>
  </si>
  <si>
    <t>35111</t>
  </si>
  <si>
    <t>35112</t>
  </si>
  <si>
    <t>35113</t>
  </si>
  <si>
    <t>35114</t>
  </si>
  <si>
    <t>35115</t>
  </si>
  <si>
    <t>35116</t>
  </si>
  <si>
    <t>35117</t>
  </si>
  <si>
    <t>35118</t>
  </si>
  <si>
    <t>Tabela 13 — Infra (Aba 35)</t>
  </si>
  <si>
    <t>35121</t>
  </si>
  <si>
    <t>35122</t>
  </si>
  <si>
    <t>35123</t>
  </si>
  <si>
    <t>35124</t>
  </si>
  <si>
    <t>35125</t>
  </si>
  <si>
    <t>35126</t>
  </si>
  <si>
    <t>35127</t>
  </si>
  <si>
    <t>35128</t>
  </si>
  <si>
    <t>Tabela 14 — Segurança (Aba 35)</t>
  </si>
  <si>
    <t>35131</t>
  </si>
  <si>
    <t>35132</t>
  </si>
  <si>
    <t>35133</t>
  </si>
  <si>
    <t>35134</t>
  </si>
  <si>
    <t>35135</t>
  </si>
  <si>
    <t>35136</t>
  </si>
  <si>
    <t>35137</t>
  </si>
  <si>
    <t>35138</t>
  </si>
  <si>
    <t>Tabela 15 — Engenharia (Aba 35)</t>
  </si>
  <si>
    <t>35141</t>
  </si>
  <si>
    <t>35142</t>
  </si>
  <si>
    <t>35143</t>
  </si>
  <si>
    <t>35144</t>
  </si>
  <si>
    <t>35145</t>
  </si>
  <si>
    <t>35146</t>
  </si>
  <si>
    <t>35147</t>
  </si>
  <si>
    <t>35148</t>
  </si>
  <si>
    <t>Tabela 16 — Produto (Aba 35)</t>
  </si>
  <si>
    <t>35151</t>
  </si>
  <si>
    <t>35152</t>
  </si>
  <si>
    <t>35153</t>
  </si>
  <si>
    <t>35154</t>
  </si>
  <si>
    <t>35155</t>
  </si>
  <si>
    <t>35156</t>
  </si>
  <si>
    <t>35157</t>
  </si>
  <si>
    <t>35158</t>
  </si>
  <si>
    <t>Tabela 17 — Design (Aba 35)</t>
  </si>
  <si>
    <t>35161</t>
  </si>
  <si>
    <t>35162</t>
  </si>
  <si>
    <t>35163</t>
  </si>
  <si>
    <t>35164</t>
  </si>
  <si>
    <t>35165</t>
  </si>
  <si>
    <t>35166</t>
  </si>
  <si>
    <t>35167</t>
  </si>
  <si>
    <t>35168</t>
  </si>
  <si>
    <t>Tabela 18 — DevEx (Aba 35)</t>
  </si>
  <si>
    <t>35171</t>
  </si>
  <si>
    <t>35172</t>
  </si>
  <si>
    <t>35173</t>
  </si>
  <si>
    <t>35174</t>
  </si>
  <si>
    <t>35175</t>
  </si>
  <si>
    <t>35176</t>
  </si>
  <si>
    <t>35177</t>
  </si>
  <si>
    <t>35178</t>
  </si>
  <si>
    <t>Tabela 19 — Dados (Aba 35)</t>
  </si>
  <si>
    <t>35181</t>
  </si>
  <si>
    <t>35182</t>
  </si>
  <si>
    <t>35183</t>
  </si>
  <si>
    <t>35184</t>
  </si>
  <si>
    <t>35185</t>
  </si>
  <si>
    <t>35186</t>
  </si>
  <si>
    <t>35187</t>
  </si>
  <si>
    <t>35188</t>
  </si>
  <si>
    <t>Tabela 20 — Infra (Aba 35)</t>
  </si>
  <si>
    <t>35191</t>
  </si>
  <si>
    <t>35192</t>
  </si>
  <si>
    <t>35193</t>
  </si>
  <si>
    <t>35194</t>
  </si>
  <si>
    <t>35195</t>
  </si>
  <si>
    <t>35196</t>
  </si>
  <si>
    <t>35197</t>
  </si>
  <si>
    <t>35198</t>
  </si>
  <si>
    <t>Tabela 21 — Segurança (Aba 35)</t>
  </si>
  <si>
    <t>35201</t>
  </si>
  <si>
    <t>35202</t>
  </si>
  <si>
    <t>35203</t>
  </si>
  <si>
    <t>35204</t>
  </si>
  <si>
    <t>35205</t>
  </si>
  <si>
    <t>35206</t>
  </si>
  <si>
    <t>35207</t>
  </si>
  <si>
    <t>35208</t>
  </si>
  <si>
    <t>Tabela 22 — Engenharia (Aba 35)</t>
  </si>
  <si>
    <t>35211</t>
  </si>
  <si>
    <t>35212</t>
  </si>
  <si>
    <t>35213</t>
  </si>
  <si>
    <t>35214</t>
  </si>
  <si>
    <t>35215</t>
  </si>
  <si>
    <t>35216</t>
  </si>
  <si>
    <t>35217</t>
  </si>
  <si>
    <t>35218</t>
  </si>
  <si>
    <t>Tabela 23 — Produto (Aba 35)</t>
  </si>
  <si>
    <t>35221</t>
  </si>
  <si>
    <t>35222</t>
  </si>
  <si>
    <t>35223</t>
  </si>
  <si>
    <t>35224</t>
  </si>
  <si>
    <t>35225</t>
  </si>
  <si>
    <t>35226</t>
  </si>
  <si>
    <t>35227</t>
  </si>
  <si>
    <t>35228</t>
  </si>
  <si>
    <t>Tabela 24 — Design (Aba 35)</t>
  </si>
  <si>
    <t>35231</t>
  </si>
  <si>
    <t>35232</t>
  </si>
  <si>
    <t>35233</t>
  </si>
  <si>
    <t>35234</t>
  </si>
  <si>
    <t>35235</t>
  </si>
  <si>
    <t>35236</t>
  </si>
  <si>
    <t>35237</t>
  </si>
  <si>
    <t>35238</t>
  </si>
  <si>
    <t>Tabela 25 — DevEx (Aba 35)</t>
  </si>
  <si>
    <t>35241</t>
  </si>
  <si>
    <t>35242</t>
  </si>
  <si>
    <t>35243</t>
  </si>
  <si>
    <t>35244</t>
  </si>
  <si>
    <t>35245</t>
  </si>
  <si>
    <t>35246</t>
  </si>
  <si>
    <t>35247</t>
  </si>
  <si>
    <t>35248</t>
  </si>
  <si>
    <t>Tabela 26 — Dados (Aba 35)</t>
  </si>
  <si>
    <t>35251</t>
  </si>
  <si>
    <t>35252</t>
  </si>
  <si>
    <t>35253</t>
  </si>
  <si>
    <t>35254</t>
  </si>
  <si>
    <t>35255</t>
  </si>
  <si>
    <t>35256</t>
  </si>
  <si>
    <t>35257</t>
  </si>
  <si>
    <t>35258</t>
  </si>
  <si>
    <t>Tabela 27 — Infra (Aba 35)</t>
  </si>
  <si>
    <t>35261</t>
  </si>
  <si>
    <t>35262</t>
  </si>
  <si>
    <t>35263</t>
  </si>
  <si>
    <t>35264</t>
  </si>
  <si>
    <t>35265</t>
  </si>
  <si>
    <t>35266</t>
  </si>
  <si>
    <t>35267</t>
  </si>
  <si>
    <t>35268</t>
  </si>
  <si>
    <t>Tabela 28 — Segurança (Aba 35)</t>
  </si>
  <si>
    <t>35271</t>
  </si>
  <si>
    <t>35272</t>
  </si>
  <si>
    <t>35273</t>
  </si>
  <si>
    <t>35274</t>
  </si>
  <si>
    <t>35275</t>
  </si>
  <si>
    <t>35276</t>
  </si>
  <si>
    <t>35277</t>
  </si>
  <si>
    <t>35278</t>
  </si>
  <si>
    <t>Tabela 29 — Engenharia (Aba 35)</t>
  </si>
  <si>
    <t>35281</t>
  </si>
  <si>
    <t>35282</t>
  </si>
  <si>
    <t>35283</t>
  </si>
  <si>
    <t>35284</t>
  </si>
  <si>
    <t>35285</t>
  </si>
  <si>
    <t>35286</t>
  </si>
  <si>
    <t>35287</t>
  </si>
  <si>
    <t>35288</t>
  </si>
  <si>
    <t>Tabela 30 — Produto (Aba 35)</t>
  </si>
  <si>
    <t>35291</t>
  </si>
  <si>
    <t>35292</t>
  </si>
  <si>
    <t>35293</t>
  </si>
  <si>
    <t>35294</t>
  </si>
  <si>
    <t>35295</t>
  </si>
  <si>
    <t>35296</t>
  </si>
  <si>
    <t>35297</t>
  </si>
  <si>
    <t>35298</t>
  </si>
  <si>
    <t>Planilha — Aba 34 | Relatório de Equipe</t>
  </si>
  <si>
    <t>Tabela 1 — Engenharia (Aba 34)</t>
  </si>
  <si>
    <t>34001</t>
  </si>
  <si>
    <t>34002</t>
  </si>
  <si>
    <t>34003</t>
  </si>
  <si>
    <t>34004</t>
  </si>
  <si>
    <t>34005</t>
  </si>
  <si>
    <t>34006</t>
  </si>
  <si>
    <t>34007</t>
  </si>
  <si>
    <t>34008</t>
  </si>
  <si>
    <t>Tabela 2 — Produto (Aba 34)</t>
  </si>
  <si>
    <t>34011</t>
  </si>
  <si>
    <t>34012</t>
  </si>
  <si>
    <t>34013</t>
  </si>
  <si>
    <t>34014</t>
  </si>
  <si>
    <t>34015</t>
  </si>
  <si>
    <t>34016</t>
  </si>
  <si>
    <t>34017</t>
  </si>
  <si>
    <t>34018</t>
  </si>
  <si>
    <t>Tabela 3 — Design (Aba 34)</t>
  </si>
  <si>
    <t>34021</t>
  </si>
  <si>
    <t>34022</t>
  </si>
  <si>
    <t>34023</t>
  </si>
  <si>
    <t>34024</t>
  </si>
  <si>
    <t>34025</t>
  </si>
  <si>
    <t>34026</t>
  </si>
  <si>
    <t>34027</t>
  </si>
  <si>
    <t>34028</t>
  </si>
  <si>
    <t>Tabela 4 — DevEx (Aba 34)</t>
  </si>
  <si>
    <t>34031</t>
  </si>
  <si>
    <t>34032</t>
  </si>
  <si>
    <t>34033</t>
  </si>
  <si>
    <t>34034</t>
  </si>
  <si>
    <t>34035</t>
  </si>
  <si>
    <t>34036</t>
  </si>
  <si>
    <t>34037</t>
  </si>
  <si>
    <t>34038</t>
  </si>
  <si>
    <t>Tabela 5 — Dados (Aba 34)</t>
  </si>
  <si>
    <t>34041</t>
  </si>
  <si>
    <t>34042</t>
  </si>
  <si>
    <t>34043</t>
  </si>
  <si>
    <t>34044</t>
  </si>
  <si>
    <t>34045</t>
  </si>
  <si>
    <t>34046</t>
  </si>
  <si>
    <t>34047</t>
  </si>
  <si>
    <t>34048</t>
  </si>
  <si>
    <t>Tabela 6 — Infra (Aba 34)</t>
  </si>
  <si>
    <t>34051</t>
  </si>
  <si>
    <t>34052</t>
  </si>
  <si>
    <t>34053</t>
  </si>
  <si>
    <t>34054</t>
  </si>
  <si>
    <t>34055</t>
  </si>
  <si>
    <t>34056</t>
  </si>
  <si>
    <t>34057</t>
  </si>
  <si>
    <t>34058</t>
  </si>
  <si>
    <t>Tabela 7 — Segurança (Aba 34)</t>
  </si>
  <si>
    <t>34061</t>
  </si>
  <si>
    <t>34062</t>
  </si>
  <si>
    <t>34063</t>
  </si>
  <si>
    <t>34064</t>
  </si>
  <si>
    <t>34065</t>
  </si>
  <si>
    <t>34066</t>
  </si>
  <si>
    <t>34067</t>
  </si>
  <si>
    <t>34068</t>
  </si>
  <si>
    <t>Tabela 8 — Engenharia (Aba 34)</t>
  </si>
  <si>
    <t>34071</t>
  </si>
  <si>
    <t>34072</t>
  </si>
  <si>
    <t>34073</t>
  </si>
  <si>
    <t>34074</t>
  </si>
  <si>
    <t>34075</t>
  </si>
  <si>
    <t>34076</t>
  </si>
  <si>
    <t>34077</t>
  </si>
  <si>
    <t>34078</t>
  </si>
  <si>
    <t>Tabela 9 — Produto (Aba 34)</t>
  </si>
  <si>
    <t>34081</t>
  </si>
  <si>
    <t>34082</t>
  </si>
  <si>
    <t>34083</t>
  </si>
  <si>
    <t>34084</t>
  </si>
  <si>
    <t>34085</t>
  </si>
  <si>
    <t>34086</t>
  </si>
  <si>
    <t>34087</t>
  </si>
  <si>
    <t>34088</t>
  </si>
  <si>
    <t>Tabela 10 — Design (Aba 34)</t>
  </si>
  <si>
    <t>34091</t>
  </si>
  <si>
    <t>34092</t>
  </si>
  <si>
    <t>34093</t>
  </si>
  <si>
    <t>34094</t>
  </si>
  <si>
    <t>34095</t>
  </si>
  <si>
    <t>34096</t>
  </si>
  <si>
    <t>34097</t>
  </si>
  <si>
    <t>34098</t>
  </si>
  <si>
    <t>Tabela 11 — DevEx (Aba 34)</t>
  </si>
  <si>
    <t>34101</t>
  </si>
  <si>
    <t>34102</t>
  </si>
  <si>
    <t>34103</t>
  </si>
  <si>
    <t>34104</t>
  </si>
  <si>
    <t>34105</t>
  </si>
  <si>
    <t>34106</t>
  </si>
  <si>
    <t>34107</t>
  </si>
  <si>
    <t>34108</t>
  </si>
  <si>
    <t>Tabela 12 — Dados (Aba 34)</t>
  </si>
  <si>
    <t>34111</t>
  </si>
  <si>
    <t>34112</t>
  </si>
  <si>
    <t>34113</t>
  </si>
  <si>
    <t>34114</t>
  </si>
  <si>
    <t>34115</t>
  </si>
  <si>
    <t>34116</t>
  </si>
  <si>
    <t>34117</t>
  </si>
  <si>
    <t>34118</t>
  </si>
  <si>
    <t>Tabela 13 — Infra (Aba 34)</t>
  </si>
  <si>
    <t>34121</t>
  </si>
  <si>
    <t>34122</t>
  </si>
  <si>
    <t>34123</t>
  </si>
  <si>
    <t>34124</t>
  </si>
  <si>
    <t>34125</t>
  </si>
  <si>
    <t>34126</t>
  </si>
  <si>
    <t>34127</t>
  </si>
  <si>
    <t>34128</t>
  </si>
  <si>
    <t>Tabela 14 — Segurança (Aba 34)</t>
  </si>
  <si>
    <t>34131</t>
  </si>
  <si>
    <t>34132</t>
  </si>
  <si>
    <t>34133</t>
  </si>
  <si>
    <t>34134</t>
  </si>
  <si>
    <t>34135</t>
  </si>
  <si>
    <t>34136</t>
  </si>
  <si>
    <t>34137</t>
  </si>
  <si>
    <t>34138</t>
  </si>
  <si>
    <t>Tabela 15 — Engenharia (Aba 34)</t>
  </si>
  <si>
    <t>34141</t>
  </si>
  <si>
    <t>34142</t>
  </si>
  <si>
    <t>34143</t>
  </si>
  <si>
    <t>34144</t>
  </si>
  <si>
    <t>34145</t>
  </si>
  <si>
    <t>34146</t>
  </si>
  <si>
    <t>34147</t>
  </si>
  <si>
    <t>34148</t>
  </si>
  <si>
    <t>Tabela 16 — Produto (Aba 34)</t>
  </si>
  <si>
    <t>34151</t>
  </si>
  <si>
    <t>34152</t>
  </si>
  <si>
    <t>34153</t>
  </si>
  <si>
    <t>34154</t>
  </si>
  <si>
    <t>34155</t>
  </si>
  <si>
    <t>34156</t>
  </si>
  <si>
    <t>34157</t>
  </si>
  <si>
    <t>34158</t>
  </si>
  <si>
    <t>Tabela 17 — Design (Aba 34)</t>
  </si>
  <si>
    <t>34161</t>
  </si>
  <si>
    <t>34162</t>
  </si>
  <si>
    <t>34163</t>
  </si>
  <si>
    <t>34164</t>
  </si>
  <si>
    <t>34165</t>
  </si>
  <si>
    <t>34166</t>
  </si>
  <si>
    <t>34167</t>
  </si>
  <si>
    <t>34168</t>
  </si>
  <si>
    <t>Tabela 18 — DevEx (Aba 34)</t>
  </si>
  <si>
    <t>34171</t>
  </si>
  <si>
    <t>34172</t>
  </si>
  <si>
    <t>34173</t>
  </si>
  <si>
    <t>34174</t>
  </si>
  <si>
    <t>34175</t>
  </si>
  <si>
    <t>34176</t>
  </si>
  <si>
    <t>34177</t>
  </si>
  <si>
    <t>34178</t>
  </si>
  <si>
    <t>Tabela 19 — Dados (Aba 34)</t>
  </si>
  <si>
    <t>34181</t>
  </si>
  <si>
    <t>34182</t>
  </si>
  <si>
    <t>34183</t>
  </si>
  <si>
    <t>34184</t>
  </si>
  <si>
    <t>34185</t>
  </si>
  <si>
    <t>34186</t>
  </si>
  <si>
    <t>34187</t>
  </si>
  <si>
    <t>34188</t>
  </si>
  <si>
    <t>Tabela 20 — Infra (Aba 34)</t>
  </si>
  <si>
    <t>34191</t>
  </si>
  <si>
    <t>34192</t>
  </si>
  <si>
    <t>34193</t>
  </si>
  <si>
    <t>34194</t>
  </si>
  <si>
    <t>34195</t>
  </si>
  <si>
    <t>34196</t>
  </si>
  <si>
    <t>34197</t>
  </si>
  <si>
    <t>34198</t>
  </si>
  <si>
    <t>Tabela 21 — Segurança (Aba 34)</t>
  </si>
  <si>
    <t>34201</t>
  </si>
  <si>
    <t>34202</t>
  </si>
  <si>
    <t>34203</t>
  </si>
  <si>
    <t>34204</t>
  </si>
  <si>
    <t>34205</t>
  </si>
  <si>
    <t>34206</t>
  </si>
  <si>
    <t>34207</t>
  </si>
  <si>
    <t>34208</t>
  </si>
  <si>
    <t>Tabela 22 — Engenharia (Aba 34)</t>
  </si>
  <si>
    <t>34211</t>
  </si>
  <si>
    <t>34212</t>
  </si>
  <si>
    <t>34213</t>
  </si>
  <si>
    <t>34214</t>
  </si>
  <si>
    <t>34215</t>
  </si>
  <si>
    <t>34216</t>
  </si>
  <si>
    <t>34217</t>
  </si>
  <si>
    <t>34218</t>
  </si>
  <si>
    <t>Tabela 23 — Produto (Aba 34)</t>
  </si>
  <si>
    <t>34221</t>
  </si>
  <si>
    <t>34222</t>
  </si>
  <si>
    <t>34223</t>
  </si>
  <si>
    <t>34224</t>
  </si>
  <si>
    <t>34225</t>
  </si>
  <si>
    <t>34226</t>
  </si>
  <si>
    <t>34227</t>
  </si>
  <si>
    <t>34228</t>
  </si>
  <si>
    <t>Tabela 24 — Design (Aba 34)</t>
  </si>
  <si>
    <t>34231</t>
  </si>
  <si>
    <t>34232</t>
  </si>
  <si>
    <t>34233</t>
  </si>
  <si>
    <t>34234</t>
  </si>
  <si>
    <t>34235</t>
  </si>
  <si>
    <t>34236</t>
  </si>
  <si>
    <t>34237</t>
  </si>
  <si>
    <t>34238</t>
  </si>
  <si>
    <t>Tabela 25 — DevEx (Aba 34)</t>
  </si>
  <si>
    <t>34241</t>
  </si>
  <si>
    <t>34242</t>
  </si>
  <si>
    <t>34243</t>
  </si>
  <si>
    <t>34244</t>
  </si>
  <si>
    <t>34245</t>
  </si>
  <si>
    <t>34246</t>
  </si>
  <si>
    <t>34247</t>
  </si>
  <si>
    <t>34248</t>
  </si>
  <si>
    <t>Tabela 26 — Dados (Aba 34)</t>
  </si>
  <si>
    <t>34251</t>
  </si>
  <si>
    <t>34252</t>
  </si>
  <si>
    <t>34253</t>
  </si>
  <si>
    <t>34254</t>
  </si>
  <si>
    <t>34255</t>
  </si>
  <si>
    <t>34256</t>
  </si>
  <si>
    <t>34257</t>
  </si>
  <si>
    <t>34258</t>
  </si>
  <si>
    <t>Tabela 27 — Infra (Aba 34)</t>
  </si>
  <si>
    <t>34261</t>
  </si>
  <si>
    <t>34262</t>
  </si>
  <si>
    <t>34263</t>
  </si>
  <si>
    <t>34264</t>
  </si>
  <si>
    <t>34265</t>
  </si>
  <si>
    <t>34266</t>
  </si>
  <si>
    <t>34267</t>
  </si>
  <si>
    <t>34268</t>
  </si>
  <si>
    <t>Tabela 28 — Segurança (Aba 34)</t>
  </si>
  <si>
    <t>34271</t>
  </si>
  <si>
    <t>34272</t>
  </si>
  <si>
    <t>34273</t>
  </si>
  <si>
    <t>34274</t>
  </si>
  <si>
    <t>34275</t>
  </si>
  <si>
    <t>34276</t>
  </si>
  <si>
    <t>34277</t>
  </si>
  <si>
    <t>34278</t>
  </si>
  <si>
    <t>Tabela 29 — Engenharia (Aba 34)</t>
  </si>
  <si>
    <t>34281</t>
  </si>
  <si>
    <t>34282</t>
  </si>
  <si>
    <t>34283</t>
  </si>
  <si>
    <t>34284</t>
  </si>
  <si>
    <t>34285</t>
  </si>
  <si>
    <t>34286</t>
  </si>
  <si>
    <t>34287</t>
  </si>
  <si>
    <t>34288</t>
  </si>
  <si>
    <t>Tabela 30 — Produto (Aba 34)</t>
  </si>
  <si>
    <t>34291</t>
  </si>
  <si>
    <t>34292</t>
  </si>
  <si>
    <t>34293</t>
  </si>
  <si>
    <t>34294</t>
  </si>
  <si>
    <t>34295</t>
  </si>
  <si>
    <t>34296</t>
  </si>
  <si>
    <t>34297</t>
  </si>
  <si>
    <t>34298</t>
  </si>
  <si>
    <t>Planilha — Aba 33 | Relatório de Equipe</t>
  </si>
  <si>
    <t>Tabela 1 — Engenharia (Aba 33)</t>
  </si>
  <si>
    <t>33001</t>
  </si>
  <si>
    <t>33002</t>
  </si>
  <si>
    <t>33003</t>
  </si>
  <si>
    <t>33004</t>
  </si>
  <si>
    <t>33005</t>
  </si>
  <si>
    <t>33006</t>
  </si>
  <si>
    <t>33007</t>
  </si>
  <si>
    <t>33008</t>
  </si>
  <si>
    <t>Tabela 2 — Produto (Aba 33)</t>
  </si>
  <si>
    <t>33011</t>
  </si>
  <si>
    <t>33012</t>
  </si>
  <si>
    <t>33013</t>
  </si>
  <si>
    <t>33014</t>
  </si>
  <si>
    <t>33015</t>
  </si>
  <si>
    <t>33016</t>
  </si>
  <si>
    <t>33017</t>
  </si>
  <si>
    <t>33018</t>
  </si>
  <si>
    <t>Tabela 3 — Design (Aba 33)</t>
  </si>
  <si>
    <t>33021</t>
  </si>
  <si>
    <t>33022</t>
  </si>
  <si>
    <t>33023</t>
  </si>
  <si>
    <t>33024</t>
  </si>
  <si>
    <t>33025</t>
  </si>
  <si>
    <t>33026</t>
  </si>
  <si>
    <t>33027</t>
  </si>
  <si>
    <t>33028</t>
  </si>
  <si>
    <t>Tabela 4 — DevEx (Aba 33)</t>
  </si>
  <si>
    <t>33031</t>
  </si>
  <si>
    <t>33032</t>
  </si>
  <si>
    <t>33033</t>
  </si>
  <si>
    <t>33034</t>
  </si>
  <si>
    <t>33035</t>
  </si>
  <si>
    <t>33036</t>
  </si>
  <si>
    <t>33037</t>
  </si>
  <si>
    <t>33038</t>
  </si>
  <si>
    <t>Tabela 5 — Dados (Aba 33)</t>
  </si>
  <si>
    <t>33041</t>
  </si>
  <si>
    <t>33042</t>
  </si>
  <si>
    <t>33043</t>
  </si>
  <si>
    <t>33044</t>
  </si>
  <si>
    <t>33045</t>
  </si>
  <si>
    <t>33046</t>
  </si>
  <si>
    <t>33047</t>
  </si>
  <si>
    <t>33048</t>
  </si>
  <si>
    <t>Tabela 6 — Infra (Aba 33)</t>
  </si>
  <si>
    <t>33051</t>
  </si>
  <si>
    <t>33052</t>
  </si>
  <si>
    <t>33053</t>
  </si>
  <si>
    <t>33054</t>
  </si>
  <si>
    <t>33055</t>
  </si>
  <si>
    <t>33056</t>
  </si>
  <si>
    <t>33057</t>
  </si>
  <si>
    <t>33058</t>
  </si>
  <si>
    <t>Tabela 7 — Segurança (Aba 33)</t>
  </si>
  <si>
    <t>33061</t>
  </si>
  <si>
    <t>33062</t>
  </si>
  <si>
    <t>33063</t>
  </si>
  <si>
    <t>33064</t>
  </si>
  <si>
    <t>33065</t>
  </si>
  <si>
    <t>33066</t>
  </si>
  <si>
    <t>33067</t>
  </si>
  <si>
    <t>33068</t>
  </si>
  <si>
    <t>Tabela 8 — Engenharia (Aba 33)</t>
  </si>
  <si>
    <t>33071</t>
  </si>
  <si>
    <t>33072</t>
  </si>
  <si>
    <t>33073</t>
  </si>
  <si>
    <t>33074</t>
  </si>
  <si>
    <t>33075</t>
  </si>
  <si>
    <t>33076</t>
  </si>
  <si>
    <t>33077</t>
  </si>
  <si>
    <t>33078</t>
  </si>
  <si>
    <t>Tabela 9 — Produto (Aba 33)</t>
  </si>
  <si>
    <t>33081</t>
  </si>
  <si>
    <t>33082</t>
  </si>
  <si>
    <t>33083</t>
  </si>
  <si>
    <t>33084</t>
  </si>
  <si>
    <t>33085</t>
  </si>
  <si>
    <t>33086</t>
  </si>
  <si>
    <t>33087</t>
  </si>
  <si>
    <t>33088</t>
  </si>
  <si>
    <t>Tabela 10 — Design (Aba 33)</t>
  </si>
  <si>
    <t>33091</t>
  </si>
  <si>
    <t>33092</t>
  </si>
  <si>
    <t>33093</t>
  </si>
  <si>
    <t>33094</t>
  </si>
  <si>
    <t>33095</t>
  </si>
  <si>
    <t>33096</t>
  </si>
  <si>
    <t>33097</t>
  </si>
  <si>
    <t>33098</t>
  </si>
  <si>
    <t>Tabela 11 — DevEx (Aba 33)</t>
  </si>
  <si>
    <t>33101</t>
  </si>
  <si>
    <t>33102</t>
  </si>
  <si>
    <t>33103</t>
  </si>
  <si>
    <t>33104</t>
  </si>
  <si>
    <t>33105</t>
  </si>
  <si>
    <t>33106</t>
  </si>
  <si>
    <t>33107</t>
  </si>
  <si>
    <t>33108</t>
  </si>
  <si>
    <t>Tabela 12 — Dados (Aba 33)</t>
  </si>
  <si>
    <t>33111</t>
  </si>
  <si>
    <t>33112</t>
  </si>
  <si>
    <t>33113</t>
  </si>
  <si>
    <t>33114</t>
  </si>
  <si>
    <t>33115</t>
  </si>
  <si>
    <t>33116</t>
  </si>
  <si>
    <t>33117</t>
  </si>
  <si>
    <t>33118</t>
  </si>
  <si>
    <t>Tabela 13 — Infra (Aba 33)</t>
  </si>
  <si>
    <t>33121</t>
  </si>
  <si>
    <t>33122</t>
  </si>
  <si>
    <t>33123</t>
  </si>
  <si>
    <t>33124</t>
  </si>
  <si>
    <t>33125</t>
  </si>
  <si>
    <t>33126</t>
  </si>
  <si>
    <t>33127</t>
  </si>
  <si>
    <t>33128</t>
  </si>
  <si>
    <t>Tabela 14 — Segurança (Aba 33)</t>
  </si>
  <si>
    <t>33131</t>
  </si>
  <si>
    <t>33132</t>
  </si>
  <si>
    <t>33133</t>
  </si>
  <si>
    <t>33134</t>
  </si>
  <si>
    <t>33135</t>
  </si>
  <si>
    <t>33136</t>
  </si>
  <si>
    <t>33137</t>
  </si>
  <si>
    <t>33138</t>
  </si>
  <si>
    <t>Tabela 15 — Engenharia (Aba 33)</t>
  </si>
  <si>
    <t>33141</t>
  </si>
  <si>
    <t>33142</t>
  </si>
  <si>
    <t>33143</t>
  </si>
  <si>
    <t>33144</t>
  </si>
  <si>
    <t>33145</t>
  </si>
  <si>
    <t>33146</t>
  </si>
  <si>
    <t>33147</t>
  </si>
  <si>
    <t>33148</t>
  </si>
  <si>
    <t>Tabela 16 — Produto (Aba 33)</t>
  </si>
  <si>
    <t>33151</t>
  </si>
  <si>
    <t>33152</t>
  </si>
  <si>
    <t>33153</t>
  </si>
  <si>
    <t>33154</t>
  </si>
  <si>
    <t>33155</t>
  </si>
  <si>
    <t>33156</t>
  </si>
  <si>
    <t>33157</t>
  </si>
  <si>
    <t>33158</t>
  </si>
  <si>
    <t>Tabela 17 — Design (Aba 33)</t>
  </si>
  <si>
    <t>33161</t>
  </si>
  <si>
    <t>33162</t>
  </si>
  <si>
    <t>33163</t>
  </si>
  <si>
    <t>33164</t>
  </si>
  <si>
    <t>33165</t>
  </si>
  <si>
    <t>33166</t>
  </si>
  <si>
    <t>33167</t>
  </si>
  <si>
    <t>33168</t>
  </si>
  <si>
    <t>Tabela 18 — DevEx (Aba 33)</t>
  </si>
  <si>
    <t>33171</t>
  </si>
  <si>
    <t>33172</t>
  </si>
  <si>
    <t>33173</t>
  </si>
  <si>
    <t>33174</t>
  </si>
  <si>
    <t>33175</t>
  </si>
  <si>
    <t>33176</t>
  </si>
  <si>
    <t>33177</t>
  </si>
  <si>
    <t>33178</t>
  </si>
  <si>
    <t>Tabela 19 — Dados (Aba 33)</t>
  </si>
  <si>
    <t>33181</t>
  </si>
  <si>
    <t>33182</t>
  </si>
  <si>
    <t>33183</t>
  </si>
  <si>
    <t>33184</t>
  </si>
  <si>
    <t>33185</t>
  </si>
  <si>
    <t>33186</t>
  </si>
  <si>
    <t>33187</t>
  </si>
  <si>
    <t>33188</t>
  </si>
  <si>
    <t>Tabela 20 — Infra (Aba 33)</t>
  </si>
  <si>
    <t>33191</t>
  </si>
  <si>
    <t>33192</t>
  </si>
  <si>
    <t>33193</t>
  </si>
  <si>
    <t>33194</t>
  </si>
  <si>
    <t>33195</t>
  </si>
  <si>
    <t>33196</t>
  </si>
  <si>
    <t>33197</t>
  </si>
  <si>
    <t>33198</t>
  </si>
  <si>
    <t>Tabela 21 — Segurança (Aba 33)</t>
  </si>
  <si>
    <t>33201</t>
  </si>
  <si>
    <t>33202</t>
  </si>
  <si>
    <t>33203</t>
  </si>
  <si>
    <t>33204</t>
  </si>
  <si>
    <t>33205</t>
  </si>
  <si>
    <t>33206</t>
  </si>
  <si>
    <t>33207</t>
  </si>
  <si>
    <t>33208</t>
  </si>
  <si>
    <t>Tabela 22 — Engenharia (Aba 33)</t>
  </si>
  <si>
    <t>33211</t>
  </si>
  <si>
    <t>33212</t>
  </si>
  <si>
    <t>33213</t>
  </si>
  <si>
    <t>33214</t>
  </si>
  <si>
    <t>33215</t>
  </si>
  <si>
    <t>33216</t>
  </si>
  <si>
    <t>33217</t>
  </si>
  <si>
    <t>33218</t>
  </si>
  <si>
    <t>Tabela 23 — Produto (Aba 33)</t>
  </si>
  <si>
    <t>33221</t>
  </si>
  <si>
    <t>33222</t>
  </si>
  <si>
    <t>33223</t>
  </si>
  <si>
    <t>33224</t>
  </si>
  <si>
    <t>33225</t>
  </si>
  <si>
    <t>33226</t>
  </si>
  <si>
    <t>33227</t>
  </si>
  <si>
    <t>33228</t>
  </si>
  <si>
    <t>Tabela 24 — Design (Aba 33)</t>
  </si>
  <si>
    <t>33231</t>
  </si>
  <si>
    <t>33232</t>
  </si>
  <si>
    <t>33233</t>
  </si>
  <si>
    <t>33234</t>
  </si>
  <si>
    <t>33235</t>
  </si>
  <si>
    <t>33236</t>
  </si>
  <si>
    <t>33237</t>
  </si>
  <si>
    <t>33238</t>
  </si>
  <si>
    <t>Tabela 25 — DevEx (Aba 33)</t>
  </si>
  <si>
    <t>33241</t>
  </si>
  <si>
    <t>33242</t>
  </si>
  <si>
    <t>33243</t>
  </si>
  <si>
    <t>33244</t>
  </si>
  <si>
    <t>33245</t>
  </si>
  <si>
    <t>33246</t>
  </si>
  <si>
    <t>33247</t>
  </si>
  <si>
    <t>33248</t>
  </si>
  <si>
    <t>Tabela 26 — Dados (Aba 33)</t>
  </si>
  <si>
    <t>33251</t>
  </si>
  <si>
    <t>33252</t>
  </si>
  <si>
    <t>33253</t>
  </si>
  <si>
    <t>33254</t>
  </si>
  <si>
    <t>33255</t>
  </si>
  <si>
    <t>33256</t>
  </si>
  <si>
    <t>33257</t>
  </si>
  <si>
    <t>33258</t>
  </si>
  <si>
    <t>Tabela 27 — Infra (Aba 33)</t>
  </si>
  <si>
    <t>33261</t>
  </si>
  <si>
    <t>33262</t>
  </si>
  <si>
    <t>33263</t>
  </si>
  <si>
    <t>33264</t>
  </si>
  <si>
    <t>33265</t>
  </si>
  <si>
    <t>33266</t>
  </si>
  <si>
    <t>33267</t>
  </si>
  <si>
    <t>33268</t>
  </si>
  <si>
    <t>Tabela 28 — Segurança (Aba 33)</t>
  </si>
  <si>
    <t>33271</t>
  </si>
  <si>
    <t>33272</t>
  </si>
  <si>
    <t>33273</t>
  </si>
  <si>
    <t>33274</t>
  </si>
  <si>
    <t>33275</t>
  </si>
  <si>
    <t>33276</t>
  </si>
  <si>
    <t>33277</t>
  </si>
  <si>
    <t>33278</t>
  </si>
  <si>
    <t>Tabela 29 — Engenharia (Aba 33)</t>
  </si>
  <si>
    <t>33281</t>
  </si>
  <si>
    <t>33282</t>
  </si>
  <si>
    <t>33283</t>
  </si>
  <si>
    <t>33284</t>
  </si>
  <si>
    <t>33285</t>
  </si>
  <si>
    <t>33286</t>
  </si>
  <si>
    <t>33287</t>
  </si>
  <si>
    <t>33288</t>
  </si>
  <si>
    <t>Tabela 30 — Produto (Aba 33)</t>
  </si>
  <si>
    <t>33291</t>
  </si>
  <si>
    <t>33292</t>
  </si>
  <si>
    <t>33293</t>
  </si>
  <si>
    <t>33294</t>
  </si>
  <si>
    <t>33295</t>
  </si>
  <si>
    <t>33296</t>
  </si>
  <si>
    <t>33297</t>
  </si>
  <si>
    <t>33298</t>
  </si>
  <si>
    <t>Planilha — Aba 32 | Relatório de Equipe</t>
  </si>
  <si>
    <t>Tabela 1 — Engenharia (Aba 32)</t>
  </si>
  <si>
    <t>32001</t>
  </si>
  <si>
    <t>32002</t>
  </si>
  <si>
    <t>32003</t>
  </si>
  <si>
    <t>32004</t>
  </si>
  <si>
    <t>32005</t>
  </si>
  <si>
    <t>32006</t>
  </si>
  <si>
    <t>32007</t>
  </si>
  <si>
    <t>32008</t>
  </si>
  <si>
    <t>Tabela 2 — Produto (Aba 32)</t>
  </si>
  <si>
    <t>32011</t>
  </si>
  <si>
    <t>32012</t>
  </si>
  <si>
    <t>32013</t>
  </si>
  <si>
    <t>32014</t>
  </si>
  <si>
    <t>32015</t>
  </si>
  <si>
    <t>32016</t>
  </si>
  <si>
    <t>32017</t>
  </si>
  <si>
    <t>32018</t>
  </si>
  <si>
    <t>Tabela 3 — Design (Aba 32)</t>
  </si>
  <si>
    <t>32021</t>
  </si>
  <si>
    <t>32022</t>
  </si>
  <si>
    <t>32023</t>
  </si>
  <si>
    <t>32024</t>
  </si>
  <si>
    <t>32025</t>
  </si>
  <si>
    <t>32026</t>
  </si>
  <si>
    <t>32027</t>
  </si>
  <si>
    <t>32028</t>
  </si>
  <si>
    <t>Tabela 4 — DevEx (Aba 32)</t>
  </si>
  <si>
    <t>32031</t>
  </si>
  <si>
    <t>32032</t>
  </si>
  <si>
    <t>32033</t>
  </si>
  <si>
    <t>32034</t>
  </si>
  <si>
    <t>32035</t>
  </si>
  <si>
    <t>32036</t>
  </si>
  <si>
    <t>32037</t>
  </si>
  <si>
    <t>32038</t>
  </si>
  <si>
    <t>Tabela 5 — Dados (Aba 32)</t>
  </si>
  <si>
    <t>32041</t>
  </si>
  <si>
    <t>32042</t>
  </si>
  <si>
    <t>32043</t>
  </si>
  <si>
    <t>32044</t>
  </si>
  <si>
    <t>32045</t>
  </si>
  <si>
    <t>32046</t>
  </si>
  <si>
    <t>32047</t>
  </si>
  <si>
    <t>32048</t>
  </si>
  <si>
    <t>Tabela 6 — Infra (Aba 32)</t>
  </si>
  <si>
    <t>32051</t>
  </si>
  <si>
    <t>32052</t>
  </si>
  <si>
    <t>32053</t>
  </si>
  <si>
    <t>32054</t>
  </si>
  <si>
    <t>32055</t>
  </si>
  <si>
    <t>32056</t>
  </si>
  <si>
    <t>32057</t>
  </si>
  <si>
    <t>32058</t>
  </si>
  <si>
    <t>Tabela 7 — Segurança (Aba 32)</t>
  </si>
  <si>
    <t>32061</t>
  </si>
  <si>
    <t>32062</t>
  </si>
  <si>
    <t>32063</t>
  </si>
  <si>
    <t>32064</t>
  </si>
  <si>
    <t>32065</t>
  </si>
  <si>
    <t>32066</t>
  </si>
  <si>
    <t>32067</t>
  </si>
  <si>
    <t>32068</t>
  </si>
  <si>
    <t>Tabela 8 — Engenharia (Aba 32)</t>
  </si>
  <si>
    <t>32071</t>
  </si>
  <si>
    <t>32072</t>
  </si>
  <si>
    <t>32073</t>
  </si>
  <si>
    <t>32074</t>
  </si>
  <si>
    <t>32075</t>
  </si>
  <si>
    <t>32076</t>
  </si>
  <si>
    <t>32077</t>
  </si>
  <si>
    <t>32078</t>
  </si>
  <si>
    <t>Tabela 9 — Produto (Aba 32)</t>
  </si>
  <si>
    <t>32081</t>
  </si>
  <si>
    <t>32082</t>
  </si>
  <si>
    <t>32083</t>
  </si>
  <si>
    <t>32084</t>
  </si>
  <si>
    <t>32085</t>
  </si>
  <si>
    <t>32086</t>
  </si>
  <si>
    <t>32087</t>
  </si>
  <si>
    <t>32088</t>
  </si>
  <si>
    <t>Tabela 10 — Design (Aba 32)</t>
  </si>
  <si>
    <t>32091</t>
  </si>
  <si>
    <t>32092</t>
  </si>
  <si>
    <t>32093</t>
  </si>
  <si>
    <t>32094</t>
  </si>
  <si>
    <t>32095</t>
  </si>
  <si>
    <t>32096</t>
  </si>
  <si>
    <t>32097</t>
  </si>
  <si>
    <t>32098</t>
  </si>
  <si>
    <t>Tabela 11 — DevEx (Aba 32)</t>
  </si>
  <si>
    <t>32101</t>
  </si>
  <si>
    <t>32102</t>
  </si>
  <si>
    <t>32103</t>
  </si>
  <si>
    <t>32104</t>
  </si>
  <si>
    <t>32105</t>
  </si>
  <si>
    <t>32106</t>
  </si>
  <si>
    <t>32107</t>
  </si>
  <si>
    <t>32108</t>
  </si>
  <si>
    <t>Tabela 12 — Dados (Aba 32)</t>
  </si>
  <si>
    <t>32111</t>
  </si>
  <si>
    <t>32112</t>
  </si>
  <si>
    <t>32113</t>
  </si>
  <si>
    <t>32114</t>
  </si>
  <si>
    <t>32115</t>
  </si>
  <si>
    <t>32116</t>
  </si>
  <si>
    <t>32117</t>
  </si>
  <si>
    <t>32118</t>
  </si>
  <si>
    <t>Tabela 13 — Infra (Aba 32)</t>
  </si>
  <si>
    <t>32121</t>
  </si>
  <si>
    <t>32122</t>
  </si>
  <si>
    <t>32123</t>
  </si>
  <si>
    <t>32124</t>
  </si>
  <si>
    <t>32125</t>
  </si>
  <si>
    <t>32126</t>
  </si>
  <si>
    <t>32127</t>
  </si>
  <si>
    <t>32128</t>
  </si>
  <si>
    <t>Tabela 14 — Segurança (Aba 32)</t>
  </si>
  <si>
    <t>32131</t>
  </si>
  <si>
    <t>32132</t>
  </si>
  <si>
    <t>32133</t>
  </si>
  <si>
    <t>32134</t>
  </si>
  <si>
    <t>32135</t>
  </si>
  <si>
    <t>32136</t>
  </si>
  <si>
    <t>32137</t>
  </si>
  <si>
    <t>32138</t>
  </si>
  <si>
    <t>Tabela 15 — Engenharia (Aba 32)</t>
  </si>
  <si>
    <t>32141</t>
  </si>
  <si>
    <t>32142</t>
  </si>
  <si>
    <t>32143</t>
  </si>
  <si>
    <t>32144</t>
  </si>
  <si>
    <t>32145</t>
  </si>
  <si>
    <t>32146</t>
  </si>
  <si>
    <t>32147</t>
  </si>
  <si>
    <t>32148</t>
  </si>
  <si>
    <t>Tabela 16 — Produto (Aba 32)</t>
  </si>
  <si>
    <t>32151</t>
  </si>
  <si>
    <t>32152</t>
  </si>
  <si>
    <t>32153</t>
  </si>
  <si>
    <t>32154</t>
  </si>
  <si>
    <t>32155</t>
  </si>
  <si>
    <t>32156</t>
  </si>
  <si>
    <t>32157</t>
  </si>
  <si>
    <t>32158</t>
  </si>
  <si>
    <t>Tabela 17 — Design (Aba 32)</t>
  </si>
  <si>
    <t>32161</t>
  </si>
  <si>
    <t>32162</t>
  </si>
  <si>
    <t>32163</t>
  </si>
  <si>
    <t>32164</t>
  </si>
  <si>
    <t>32165</t>
  </si>
  <si>
    <t>32166</t>
  </si>
  <si>
    <t>32167</t>
  </si>
  <si>
    <t>32168</t>
  </si>
  <si>
    <t>Tabela 18 — DevEx (Aba 32)</t>
  </si>
  <si>
    <t>32171</t>
  </si>
  <si>
    <t>32172</t>
  </si>
  <si>
    <t>32173</t>
  </si>
  <si>
    <t>32174</t>
  </si>
  <si>
    <t>32175</t>
  </si>
  <si>
    <t>32176</t>
  </si>
  <si>
    <t>32177</t>
  </si>
  <si>
    <t>32178</t>
  </si>
  <si>
    <t>Tabela 19 — Dados (Aba 32)</t>
  </si>
  <si>
    <t>32181</t>
  </si>
  <si>
    <t>32182</t>
  </si>
  <si>
    <t>32183</t>
  </si>
  <si>
    <t>32184</t>
  </si>
  <si>
    <t>32185</t>
  </si>
  <si>
    <t>32186</t>
  </si>
  <si>
    <t>32187</t>
  </si>
  <si>
    <t>32188</t>
  </si>
  <si>
    <t>Tabela 20 — Infra (Aba 32)</t>
  </si>
  <si>
    <t>32191</t>
  </si>
  <si>
    <t>32192</t>
  </si>
  <si>
    <t>32193</t>
  </si>
  <si>
    <t>32194</t>
  </si>
  <si>
    <t>32195</t>
  </si>
  <si>
    <t>32196</t>
  </si>
  <si>
    <t>32197</t>
  </si>
  <si>
    <t>32198</t>
  </si>
  <si>
    <t>Tabela 21 — Segurança (Aba 32)</t>
  </si>
  <si>
    <t>32201</t>
  </si>
  <si>
    <t>32202</t>
  </si>
  <si>
    <t>32203</t>
  </si>
  <si>
    <t>32204</t>
  </si>
  <si>
    <t>32205</t>
  </si>
  <si>
    <t>32206</t>
  </si>
  <si>
    <t>32207</t>
  </si>
  <si>
    <t>32208</t>
  </si>
  <si>
    <t>Tabela 22 — Engenharia (Aba 32)</t>
  </si>
  <si>
    <t>32211</t>
  </si>
  <si>
    <t>32212</t>
  </si>
  <si>
    <t>32213</t>
  </si>
  <si>
    <t>32214</t>
  </si>
  <si>
    <t>32215</t>
  </si>
  <si>
    <t>32216</t>
  </si>
  <si>
    <t>32217</t>
  </si>
  <si>
    <t>32218</t>
  </si>
  <si>
    <t>Tabela 23 — Produto (Aba 32)</t>
  </si>
  <si>
    <t>32221</t>
  </si>
  <si>
    <t>32222</t>
  </si>
  <si>
    <t>32223</t>
  </si>
  <si>
    <t>32224</t>
  </si>
  <si>
    <t>32225</t>
  </si>
  <si>
    <t>32226</t>
  </si>
  <si>
    <t>32227</t>
  </si>
  <si>
    <t>32228</t>
  </si>
  <si>
    <t>Tabela 24 — Design (Aba 32)</t>
  </si>
  <si>
    <t>32231</t>
  </si>
  <si>
    <t>32232</t>
  </si>
  <si>
    <t>32233</t>
  </si>
  <si>
    <t>32234</t>
  </si>
  <si>
    <t>32235</t>
  </si>
  <si>
    <t>32236</t>
  </si>
  <si>
    <t>32237</t>
  </si>
  <si>
    <t>32238</t>
  </si>
  <si>
    <t>Tabela 25 — DevEx (Aba 32)</t>
  </si>
  <si>
    <t>32241</t>
  </si>
  <si>
    <t>32242</t>
  </si>
  <si>
    <t>32243</t>
  </si>
  <si>
    <t>32244</t>
  </si>
  <si>
    <t>32245</t>
  </si>
  <si>
    <t>32246</t>
  </si>
  <si>
    <t>32247</t>
  </si>
  <si>
    <t>32248</t>
  </si>
  <si>
    <t>Tabela 26 — Dados (Aba 32)</t>
  </si>
  <si>
    <t>32251</t>
  </si>
  <si>
    <t>32252</t>
  </si>
  <si>
    <t>32253</t>
  </si>
  <si>
    <t>32254</t>
  </si>
  <si>
    <t>32255</t>
  </si>
  <si>
    <t>32256</t>
  </si>
  <si>
    <t>32257</t>
  </si>
  <si>
    <t>32258</t>
  </si>
  <si>
    <t>Tabela 27 — Infra (Aba 32)</t>
  </si>
  <si>
    <t>32261</t>
  </si>
  <si>
    <t>32262</t>
  </si>
  <si>
    <t>32263</t>
  </si>
  <si>
    <t>32264</t>
  </si>
  <si>
    <t>32265</t>
  </si>
  <si>
    <t>32266</t>
  </si>
  <si>
    <t>32267</t>
  </si>
  <si>
    <t>32268</t>
  </si>
  <si>
    <t>Tabela 28 — Segurança (Aba 32)</t>
  </si>
  <si>
    <t>32271</t>
  </si>
  <si>
    <t>32272</t>
  </si>
  <si>
    <t>32273</t>
  </si>
  <si>
    <t>32274</t>
  </si>
  <si>
    <t>32275</t>
  </si>
  <si>
    <t>32276</t>
  </si>
  <si>
    <t>32277</t>
  </si>
  <si>
    <t>32278</t>
  </si>
  <si>
    <t>Tabela 29 — Engenharia (Aba 32)</t>
  </si>
  <si>
    <t>32281</t>
  </si>
  <si>
    <t>32282</t>
  </si>
  <si>
    <t>32283</t>
  </si>
  <si>
    <t>32284</t>
  </si>
  <si>
    <t>32285</t>
  </si>
  <si>
    <t>32286</t>
  </si>
  <si>
    <t>32287</t>
  </si>
  <si>
    <t>32288</t>
  </si>
  <si>
    <t>Tabela 30 — Produto (Aba 32)</t>
  </si>
  <si>
    <t>32291</t>
  </si>
  <si>
    <t>32292</t>
  </si>
  <si>
    <t>32293</t>
  </si>
  <si>
    <t>32294</t>
  </si>
  <si>
    <t>32295</t>
  </si>
  <si>
    <t>32296</t>
  </si>
  <si>
    <t>32297</t>
  </si>
  <si>
    <t>32298</t>
  </si>
  <si>
    <t>Planilha — Aba 31 | Relatório de Equipe</t>
  </si>
  <si>
    <t>Tabela 1 — Engenharia (Aba 31)</t>
  </si>
  <si>
    <t>31001</t>
  </si>
  <si>
    <t>31002</t>
  </si>
  <si>
    <t>31003</t>
  </si>
  <si>
    <t>31004</t>
  </si>
  <si>
    <t>31005</t>
  </si>
  <si>
    <t>31006</t>
  </si>
  <si>
    <t>31007</t>
  </si>
  <si>
    <t>31008</t>
  </si>
  <si>
    <t>Tabela 2 — Produto (Aba 31)</t>
  </si>
  <si>
    <t>31011</t>
  </si>
  <si>
    <t>31012</t>
  </si>
  <si>
    <t>31013</t>
  </si>
  <si>
    <t>31014</t>
  </si>
  <si>
    <t>31015</t>
  </si>
  <si>
    <t>31016</t>
  </si>
  <si>
    <t>31017</t>
  </si>
  <si>
    <t>31018</t>
  </si>
  <si>
    <t>Tabela 3 — Design (Aba 31)</t>
  </si>
  <si>
    <t>31021</t>
  </si>
  <si>
    <t>31022</t>
  </si>
  <si>
    <t>31023</t>
  </si>
  <si>
    <t>31024</t>
  </si>
  <si>
    <t>31025</t>
  </si>
  <si>
    <t>31026</t>
  </si>
  <si>
    <t>31027</t>
  </si>
  <si>
    <t>31028</t>
  </si>
  <si>
    <t>Tabela 4 — DevEx (Aba 31)</t>
  </si>
  <si>
    <t>31031</t>
  </si>
  <si>
    <t>31032</t>
  </si>
  <si>
    <t>31033</t>
  </si>
  <si>
    <t>31034</t>
  </si>
  <si>
    <t>31035</t>
  </si>
  <si>
    <t>31036</t>
  </si>
  <si>
    <t>31037</t>
  </si>
  <si>
    <t>31038</t>
  </si>
  <si>
    <t>Tabela 5 — Dados (Aba 31)</t>
  </si>
  <si>
    <t>31041</t>
  </si>
  <si>
    <t>31042</t>
  </si>
  <si>
    <t>31043</t>
  </si>
  <si>
    <t>31044</t>
  </si>
  <si>
    <t>31045</t>
  </si>
  <si>
    <t>31046</t>
  </si>
  <si>
    <t>31047</t>
  </si>
  <si>
    <t>31048</t>
  </si>
  <si>
    <t>Tabela 6 — Infra (Aba 31)</t>
  </si>
  <si>
    <t>31051</t>
  </si>
  <si>
    <t>31052</t>
  </si>
  <si>
    <t>31053</t>
  </si>
  <si>
    <t>31054</t>
  </si>
  <si>
    <t>31055</t>
  </si>
  <si>
    <t>31056</t>
  </si>
  <si>
    <t>31057</t>
  </si>
  <si>
    <t>31058</t>
  </si>
  <si>
    <t>Tabela 7 — Segurança (Aba 31)</t>
  </si>
  <si>
    <t>31061</t>
  </si>
  <si>
    <t>31062</t>
  </si>
  <si>
    <t>31063</t>
  </si>
  <si>
    <t>31064</t>
  </si>
  <si>
    <t>31065</t>
  </si>
  <si>
    <t>31066</t>
  </si>
  <si>
    <t>31067</t>
  </si>
  <si>
    <t>31068</t>
  </si>
  <si>
    <t>Tabela 8 — Engenharia (Aba 31)</t>
  </si>
  <si>
    <t>31071</t>
  </si>
  <si>
    <t>31072</t>
  </si>
  <si>
    <t>31073</t>
  </si>
  <si>
    <t>31074</t>
  </si>
  <si>
    <t>31075</t>
  </si>
  <si>
    <t>31076</t>
  </si>
  <si>
    <t>31077</t>
  </si>
  <si>
    <t>31078</t>
  </si>
  <si>
    <t>Tabela 9 — Produto (Aba 31)</t>
  </si>
  <si>
    <t>31081</t>
  </si>
  <si>
    <t>31082</t>
  </si>
  <si>
    <t>31083</t>
  </si>
  <si>
    <t>31084</t>
  </si>
  <si>
    <t>31085</t>
  </si>
  <si>
    <t>31086</t>
  </si>
  <si>
    <t>31087</t>
  </si>
  <si>
    <t>31088</t>
  </si>
  <si>
    <t>Tabela 10 — Design (Aba 31)</t>
  </si>
  <si>
    <t>31091</t>
  </si>
  <si>
    <t>31092</t>
  </si>
  <si>
    <t>31093</t>
  </si>
  <si>
    <t>31094</t>
  </si>
  <si>
    <t>31095</t>
  </si>
  <si>
    <t>31096</t>
  </si>
  <si>
    <t>31097</t>
  </si>
  <si>
    <t>31098</t>
  </si>
  <si>
    <t>Tabela 11 — DevEx (Aba 31)</t>
  </si>
  <si>
    <t>31101</t>
  </si>
  <si>
    <t>31102</t>
  </si>
  <si>
    <t>31103</t>
  </si>
  <si>
    <t>31104</t>
  </si>
  <si>
    <t>31105</t>
  </si>
  <si>
    <t>31106</t>
  </si>
  <si>
    <t>31107</t>
  </si>
  <si>
    <t>31108</t>
  </si>
  <si>
    <t>Tabela 12 — Dados (Aba 31)</t>
  </si>
  <si>
    <t>31111</t>
  </si>
  <si>
    <t>31112</t>
  </si>
  <si>
    <t>31113</t>
  </si>
  <si>
    <t>31114</t>
  </si>
  <si>
    <t>31115</t>
  </si>
  <si>
    <t>31116</t>
  </si>
  <si>
    <t>31117</t>
  </si>
  <si>
    <t>31118</t>
  </si>
  <si>
    <t>Tabela 13 — Infra (Aba 31)</t>
  </si>
  <si>
    <t>31121</t>
  </si>
  <si>
    <t>31122</t>
  </si>
  <si>
    <t>31123</t>
  </si>
  <si>
    <t>31124</t>
  </si>
  <si>
    <t>31125</t>
  </si>
  <si>
    <t>31126</t>
  </si>
  <si>
    <t>31127</t>
  </si>
  <si>
    <t>31128</t>
  </si>
  <si>
    <t>Tabela 14 — Segurança (Aba 31)</t>
  </si>
  <si>
    <t>31131</t>
  </si>
  <si>
    <t>31132</t>
  </si>
  <si>
    <t>31133</t>
  </si>
  <si>
    <t>31134</t>
  </si>
  <si>
    <t>31135</t>
  </si>
  <si>
    <t>31136</t>
  </si>
  <si>
    <t>31137</t>
  </si>
  <si>
    <t>31138</t>
  </si>
  <si>
    <t>Tabela 15 — Engenharia (Aba 31)</t>
  </si>
  <si>
    <t>31141</t>
  </si>
  <si>
    <t>31142</t>
  </si>
  <si>
    <t>31143</t>
  </si>
  <si>
    <t>31144</t>
  </si>
  <si>
    <t>31145</t>
  </si>
  <si>
    <t>31146</t>
  </si>
  <si>
    <t>31147</t>
  </si>
  <si>
    <t>31148</t>
  </si>
  <si>
    <t>Tabela 16 — Produto (Aba 31)</t>
  </si>
  <si>
    <t>31151</t>
  </si>
  <si>
    <t>31152</t>
  </si>
  <si>
    <t>31153</t>
  </si>
  <si>
    <t>31154</t>
  </si>
  <si>
    <t>31155</t>
  </si>
  <si>
    <t>31156</t>
  </si>
  <si>
    <t>31157</t>
  </si>
  <si>
    <t>31158</t>
  </si>
  <si>
    <t>Tabela 17 — Design (Aba 31)</t>
  </si>
  <si>
    <t>31161</t>
  </si>
  <si>
    <t>31162</t>
  </si>
  <si>
    <t>31163</t>
  </si>
  <si>
    <t>31164</t>
  </si>
  <si>
    <t>31165</t>
  </si>
  <si>
    <t>31166</t>
  </si>
  <si>
    <t>31167</t>
  </si>
  <si>
    <t>31168</t>
  </si>
  <si>
    <t>Tabela 18 — DevEx (Aba 31)</t>
  </si>
  <si>
    <t>31171</t>
  </si>
  <si>
    <t>31172</t>
  </si>
  <si>
    <t>31173</t>
  </si>
  <si>
    <t>31174</t>
  </si>
  <si>
    <t>31175</t>
  </si>
  <si>
    <t>31176</t>
  </si>
  <si>
    <t>31177</t>
  </si>
  <si>
    <t>31178</t>
  </si>
  <si>
    <t>Tabela 19 — Dados (Aba 31)</t>
  </si>
  <si>
    <t>31181</t>
  </si>
  <si>
    <t>31182</t>
  </si>
  <si>
    <t>31183</t>
  </si>
  <si>
    <t>31184</t>
  </si>
  <si>
    <t>31185</t>
  </si>
  <si>
    <t>31186</t>
  </si>
  <si>
    <t>31187</t>
  </si>
  <si>
    <t>31188</t>
  </si>
  <si>
    <t>Tabela 20 — Infra (Aba 31)</t>
  </si>
  <si>
    <t>31191</t>
  </si>
  <si>
    <t>31192</t>
  </si>
  <si>
    <t>31193</t>
  </si>
  <si>
    <t>31194</t>
  </si>
  <si>
    <t>31195</t>
  </si>
  <si>
    <t>31196</t>
  </si>
  <si>
    <t>31197</t>
  </si>
  <si>
    <t>31198</t>
  </si>
  <si>
    <t>Tabela 21 — Segurança (Aba 31)</t>
  </si>
  <si>
    <t>31201</t>
  </si>
  <si>
    <t>31202</t>
  </si>
  <si>
    <t>31203</t>
  </si>
  <si>
    <t>31204</t>
  </si>
  <si>
    <t>31205</t>
  </si>
  <si>
    <t>31206</t>
  </si>
  <si>
    <t>31207</t>
  </si>
  <si>
    <t>31208</t>
  </si>
  <si>
    <t>Tabela 22 — Engenharia (Aba 31)</t>
  </si>
  <si>
    <t>31211</t>
  </si>
  <si>
    <t>31212</t>
  </si>
  <si>
    <t>31213</t>
  </si>
  <si>
    <t>31214</t>
  </si>
  <si>
    <t>31215</t>
  </si>
  <si>
    <t>31216</t>
  </si>
  <si>
    <t>31217</t>
  </si>
  <si>
    <t>31218</t>
  </si>
  <si>
    <t>Tabela 23 — Produto (Aba 31)</t>
  </si>
  <si>
    <t>31221</t>
  </si>
  <si>
    <t>31222</t>
  </si>
  <si>
    <t>31223</t>
  </si>
  <si>
    <t>31224</t>
  </si>
  <si>
    <t>31225</t>
  </si>
  <si>
    <t>31226</t>
  </si>
  <si>
    <t>31227</t>
  </si>
  <si>
    <t>31228</t>
  </si>
  <si>
    <t>Tabela 24 — Design (Aba 31)</t>
  </si>
  <si>
    <t>31231</t>
  </si>
  <si>
    <t>31232</t>
  </si>
  <si>
    <t>31233</t>
  </si>
  <si>
    <t>31234</t>
  </si>
  <si>
    <t>31235</t>
  </si>
  <si>
    <t>31236</t>
  </si>
  <si>
    <t>31237</t>
  </si>
  <si>
    <t>31238</t>
  </si>
  <si>
    <t>Tabela 25 — DevEx (Aba 31)</t>
  </si>
  <si>
    <t>31241</t>
  </si>
  <si>
    <t>31242</t>
  </si>
  <si>
    <t>31243</t>
  </si>
  <si>
    <t>31244</t>
  </si>
  <si>
    <t>31245</t>
  </si>
  <si>
    <t>31246</t>
  </si>
  <si>
    <t>31247</t>
  </si>
  <si>
    <t>31248</t>
  </si>
  <si>
    <t>Tabela 26 — Dados (Aba 31)</t>
  </si>
  <si>
    <t>31251</t>
  </si>
  <si>
    <t>31252</t>
  </si>
  <si>
    <t>31253</t>
  </si>
  <si>
    <t>31254</t>
  </si>
  <si>
    <t>31255</t>
  </si>
  <si>
    <t>31256</t>
  </si>
  <si>
    <t>31257</t>
  </si>
  <si>
    <t>31258</t>
  </si>
  <si>
    <t>Tabela 27 — Infra (Aba 31)</t>
  </si>
  <si>
    <t>31261</t>
  </si>
  <si>
    <t>31262</t>
  </si>
  <si>
    <t>31263</t>
  </si>
  <si>
    <t>31264</t>
  </si>
  <si>
    <t>31265</t>
  </si>
  <si>
    <t>31266</t>
  </si>
  <si>
    <t>31267</t>
  </si>
  <si>
    <t>31268</t>
  </si>
  <si>
    <t>Tabela 28 — Segurança (Aba 31)</t>
  </si>
  <si>
    <t>31271</t>
  </si>
  <si>
    <t>31272</t>
  </si>
  <si>
    <t>31273</t>
  </si>
  <si>
    <t>31274</t>
  </si>
  <si>
    <t>31275</t>
  </si>
  <si>
    <t>31276</t>
  </si>
  <si>
    <t>31277</t>
  </si>
  <si>
    <t>31278</t>
  </si>
  <si>
    <t>Tabela 29 — Engenharia (Aba 31)</t>
  </si>
  <si>
    <t>31281</t>
  </si>
  <si>
    <t>31282</t>
  </si>
  <si>
    <t>31283</t>
  </si>
  <si>
    <t>31284</t>
  </si>
  <si>
    <t>31285</t>
  </si>
  <si>
    <t>31286</t>
  </si>
  <si>
    <t>31287</t>
  </si>
  <si>
    <t>31288</t>
  </si>
  <si>
    <t>Tabela 30 — Produto (Aba 31)</t>
  </si>
  <si>
    <t>31291</t>
  </si>
  <si>
    <t>31292</t>
  </si>
  <si>
    <t>31293</t>
  </si>
  <si>
    <t>31294</t>
  </si>
  <si>
    <t>31295</t>
  </si>
  <si>
    <t>31296</t>
  </si>
  <si>
    <t>31297</t>
  </si>
  <si>
    <t>31298</t>
  </si>
  <si>
    <t>Planilha — Aba 30 | Relatório de Equipe</t>
  </si>
  <si>
    <t>Tabela 1 — Engenharia (Aba 30)</t>
  </si>
  <si>
    <t>30001</t>
  </si>
  <si>
    <t>30002</t>
  </si>
  <si>
    <t>30003</t>
  </si>
  <si>
    <t>30004</t>
  </si>
  <si>
    <t>30005</t>
  </si>
  <si>
    <t>30006</t>
  </si>
  <si>
    <t>30007</t>
  </si>
  <si>
    <t>30008</t>
  </si>
  <si>
    <t>Tabela 2 — Produto (Aba 30)</t>
  </si>
  <si>
    <t>30011</t>
  </si>
  <si>
    <t>30012</t>
  </si>
  <si>
    <t>30013</t>
  </si>
  <si>
    <t>30014</t>
  </si>
  <si>
    <t>30015</t>
  </si>
  <si>
    <t>30016</t>
  </si>
  <si>
    <t>30017</t>
  </si>
  <si>
    <t>30018</t>
  </si>
  <si>
    <t>Tabela 3 — Design (Aba 30)</t>
  </si>
  <si>
    <t>30021</t>
  </si>
  <si>
    <t>30022</t>
  </si>
  <si>
    <t>30023</t>
  </si>
  <si>
    <t>30024</t>
  </si>
  <si>
    <t>30025</t>
  </si>
  <si>
    <t>30026</t>
  </si>
  <si>
    <t>30027</t>
  </si>
  <si>
    <t>30028</t>
  </si>
  <si>
    <t>Tabela 4 — DevEx (Aba 30)</t>
  </si>
  <si>
    <t>30031</t>
  </si>
  <si>
    <t>30032</t>
  </si>
  <si>
    <t>30033</t>
  </si>
  <si>
    <t>30034</t>
  </si>
  <si>
    <t>30035</t>
  </si>
  <si>
    <t>30036</t>
  </si>
  <si>
    <t>30037</t>
  </si>
  <si>
    <t>30038</t>
  </si>
  <si>
    <t>Tabela 5 — Dados (Aba 30)</t>
  </si>
  <si>
    <t>30041</t>
  </si>
  <si>
    <t>30042</t>
  </si>
  <si>
    <t>30043</t>
  </si>
  <si>
    <t>30044</t>
  </si>
  <si>
    <t>30045</t>
  </si>
  <si>
    <t>30046</t>
  </si>
  <si>
    <t>30047</t>
  </si>
  <si>
    <t>30048</t>
  </si>
  <si>
    <t>Tabela 6 — Infra (Aba 30)</t>
  </si>
  <si>
    <t>30051</t>
  </si>
  <si>
    <t>30052</t>
  </si>
  <si>
    <t>30053</t>
  </si>
  <si>
    <t>30054</t>
  </si>
  <si>
    <t>30055</t>
  </si>
  <si>
    <t>30056</t>
  </si>
  <si>
    <t>30057</t>
  </si>
  <si>
    <t>30058</t>
  </si>
  <si>
    <t>Tabela 7 — Segurança (Aba 30)</t>
  </si>
  <si>
    <t>30061</t>
  </si>
  <si>
    <t>30062</t>
  </si>
  <si>
    <t>30063</t>
  </si>
  <si>
    <t>30064</t>
  </si>
  <si>
    <t>30065</t>
  </si>
  <si>
    <t>30066</t>
  </si>
  <si>
    <t>30067</t>
  </si>
  <si>
    <t>30068</t>
  </si>
  <si>
    <t>Tabela 8 — Engenharia (Aba 30)</t>
  </si>
  <si>
    <t>30071</t>
  </si>
  <si>
    <t>30072</t>
  </si>
  <si>
    <t>30073</t>
  </si>
  <si>
    <t>30074</t>
  </si>
  <si>
    <t>30075</t>
  </si>
  <si>
    <t>30076</t>
  </si>
  <si>
    <t>30077</t>
  </si>
  <si>
    <t>30078</t>
  </si>
  <si>
    <t>Tabela 9 — Produto (Aba 30)</t>
  </si>
  <si>
    <t>30081</t>
  </si>
  <si>
    <t>30082</t>
  </si>
  <si>
    <t>30083</t>
  </si>
  <si>
    <t>30084</t>
  </si>
  <si>
    <t>30085</t>
  </si>
  <si>
    <t>30086</t>
  </si>
  <si>
    <t>30087</t>
  </si>
  <si>
    <t>30088</t>
  </si>
  <si>
    <t>Tabela 10 — Design (Aba 30)</t>
  </si>
  <si>
    <t>30091</t>
  </si>
  <si>
    <t>30092</t>
  </si>
  <si>
    <t>30093</t>
  </si>
  <si>
    <t>30094</t>
  </si>
  <si>
    <t>30095</t>
  </si>
  <si>
    <t>30096</t>
  </si>
  <si>
    <t>30097</t>
  </si>
  <si>
    <t>30098</t>
  </si>
  <si>
    <t>Tabela 11 — DevEx (Aba 30)</t>
  </si>
  <si>
    <t>30101</t>
  </si>
  <si>
    <t>30102</t>
  </si>
  <si>
    <t>30103</t>
  </si>
  <si>
    <t>30104</t>
  </si>
  <si>
    <t>30105</t>
  </si>
  <si>
    <t>30106</t>
  </si>
  <si>
    <t>30107</t>
  </si>
  <si>
    <t>30108</t>
  </si>
  <si>
    <t>Tabela 12 — Dados (Aba 30)</t>
  </si>
  <si>
    <t>30111</t>
  </si>
  <si>
    <t>30112</t>
  </si>
  <si>
    <t>30113</t>
  </si>
  <si>
    <t>30114</t>
  </si>
  <si>
    <t>30115</t>
  </si>
  <si>
    <t>30116</t>
  </si>
  <si>
    <t>30117</t>
  </si>
  <si>
    <t>30118</t>
  </si>
  <si>
    <t>Tabela 13 — Infra (Aba 30)</t>
  </si>
  <si>
    <t>30121</t>
  </si>
  <si>
    <t>30122</t>
  </si>
  <si>
    <t>30123</t>
  </si>
  <si>
    <t>30124</t>
  </si>
  <si>
    <t>30125</t>
  </si>
  <si>
    <t>30126</t>
  </si>
  <si>
    <t>30127</t>
  </si>
  <si>
    <t>30128</t>
  </si>
  <si>
    <t>Tabela 14 — Segurança (Aba 30)</t>
  </si>
  <si>
    <t>30131</t>
  </si>
  <si>
    <t>30132</t>
  </si>
  <si>
    <t>30133</t>
  </si>
  <si>
    <t>30134</t>
  </si>
  <si>
    <t>30135</t>
  </si>
  <si>
    <t>30136</t>
  </si>
  <si>
    <t>30137</t>
  </si>
  <si>
    <t>30138</t>
  </si>
  <si>
    <t>Tabela 15 — Engenharia (Aba 30)</t>
  </si>
  <si>
    <t>30141</t>
  </si>
  <si>
    <t>30142</t>
  </si>
  <si>
    <t>30143</t>
  </si>
  <si>
    <t>30144</t>
  </si>
  <si>
    <t>30145</t>
  </si>
  <si>
    <t>30146</t>
  </si>
  <si>
    <t>30147</t>
  </si>
  <si>
    <t>30148</t>
  </si>
  <si>
    <t>Tabela 16 — Produto (Aba 30)</t>
  </si>
  <si>
    <t>30151</t>
  </si>
  <si>
    <t>30152</t>
  </si>
  <si>
    <t>30153</t>
  </si>
  <si>
    <t>30154</t>
  </si>
  <si>
    <t>30155</t>
  </si>
  <si>
    <t>30156</t>
  </si>
  <si>
    <t>30157</t>
  </si>
  <si>
    <t>30158</t>
  </si>
  <si>
    <t>Tabela 17 — Design (Aba 30)</t>
  </si>
  <si>
    <t>30161</t>
  </si>
  <si>
    <t>30162</t>
  </si>
  <si>
    <t>30163</t>
  </si>
  <si>
    <t>30164</t>
  </si>
  <si>
    <t>30165</t>
  </si>
  <si>
    <t>30166</t>
  </si>
  <si>
    <t>30167</t>
  </si>
  <si>
    <t>30168</t>
  </si>
  <si>
    <t>Tabela 18 — DevEx (Aba 30)</t>
  </si>
  <si>
    <t>30171</t>
  </si>
  <si>
    <t>30172</t>
  </si>
  <si>
    <t>30173</t>
  </si>
  <si>
    <t>30174</t>
  </si>
  <si>
    <t>30175</t>
  </si>
  <si>
    <t>30176</t>
  </si>
  <si>
    <t>30177</t>
  </si>
  <si>
    <t>30178</t>
  </si>
  <si>
    <t>Tabela 19 — Dados (Aba 30)</t>
  </si>
  <si>
    <t>30181</t>
  </si>
  <si>
    <t>30182</t>
  </si>
  <si>
    <t>30183</t>
  </si>
  <si>
    <t>30184</t>
  </si>
  <si>
    <t>30185</t>
  </si>
  <si>
    <t>30186</t>
  </si>
  <si>
    <t>30187</t>
  </si>
  <si>
    <t>30188</t>
  </si>
  <si>
    <t>Tabela 20 — Infra (Aba 30)</t>
  </si>
  <si>
    <t>30191</t>
  </si>
  <si>
    <t>30192</t>
  </si>
  <si>
    <t>30193</t>
  </si>
  <si>
    <t>30194</t>
  </si>
  <si>
    <t>30195</t>
  </si>
  <si>
    <t>30196</t>
  </si>
  <si>
    <t>30197</t>
  </si>
  <si>
    <t>30198</t>
  </si>
  <si>
    <t>Tabela 21 — Segurança (Aba 30)</t>
  </si>
  <si>
    <t>30201</t>
  </si>
  <si>
    <t>30202</t>
  </si>
  <si>
    <t>30203</t>
  </si>
  <si>
    <t>30204</t>
  </si>
  <si>
    <t>30205</t>
  </si>
  <si>
    <t>30206</t>
  </si>
  <si>
    <t>30207</t>
  </si>
  <si>
    <t>30208</t>
  </si>
  <si>
    <t>Tabela 22 — Engenharia (Aba 30)</t>
  </si>
  <si>
    <t>30211</t>
  </si>
  <si>
    <t>30212</t>
  </si>
  <si>
    <t>30213</t>
  </si>
  <si>
    <t>30214</t>
  </si>
  <si>
    <t>30215</t>
  </si>
  <si>
    <t>30216</t>
  </si>
  <si>
    <t>30217</t>
  </si>
  <si>
    <t>30218</t>
  </si>
  <si>
    <t>Tabela 23 — Produto (Aba 30)</t>
  </si>
  <si>
    <t>30221</t>
  </si>
  <si>
    <t>30222</t>
  </si>
  <si>
    <t>30223</t>
  </si>
  <si>
    <t>30224</t>
  </si>
  <si>
    <t>30225</t>
  </si>
  <si>
    <t>30226</t>
  </si>
  <si>
    <t>30227</t>
  </si>
  <si>
    <t>30228</t>
  </si>
  <si>
    <t>Tabela 24 — Design (Aba 30)</t>
  </si>
  <si>
    <t>30231</t>
  </si>
  <si>
    <t>30232</t>
  </si>
  <si>
    <t>30233</t>
  </si>
  <si>
    <t>30234</t>
  </si>
  <si>
    <t>30235</t>
  </si>
  <si>
    <t>30236</t>
  </si>
  <si>
    <t>30237</t>
  </si>
  <si>
    <t>30238</t>
  </si>
  <si>
    <t>Tabela 25 — DevEx (Aba 30)</t>
  </si>
  <si>
    <t>30241</t>
  </si>
  <si>
    <t>30242</t>
  </si>
  <si>
    <t>30243</t>
  </si>
  <si>
    <t>30244</t>
  </si>
  <si>
    <t>30245</t>
  </si>
  <si>
    <t>30246</t>
  </si>
  <si>
    <t>30247</t>
  </si>
  <si>
    <t>30248</t>
  </si>
  <si>
    <t>Tabela 26 — Dados (Aba 30)</t>
  </si>
  <si>
    <t>30251</t>
  </si>
  <si>
    <t>30252</t>
  </si>
  <si>
    <t>30253</t>
  </si>
  <si>
    <t>30254</t>
  </si>
  <si>
    <t>30255</t>
  </si>
  <si>
    <t>30256</t>
  </si>
  <si>
    <t>30257</t>
  </si>
  <si>
    <t>30258</t>
  </si>
  <si>
    <t>Tabela 27 — Infra (Aba 30)</t>
  </si>
  <si>
    <t>30261</t>
  </si>
  <si>
    <t>30262</t>
  </si>
  <si>
    <t>30263</t>
  </si>
  <si>
    <t>30264</t>
  </si>
  <si>
    <t>30265</t>
  </si>
  <si>
    <t>30266</t>
  </si>
  <si>
    <t>30267</t>
  </si>
  <si>
    <t>30268</t>
  </si>
  <si>
    <t>Tabela 28 — Segurança (Aba 30)</t>
  </si>
  <si>
    <t>30271</t>
  </si>
  <si>
    <t>30272</t>
  </si>
  <si>
    <t>30273</t>
  </si>
  <si>
    <t>30274</t>
  </si>
  <si>
    <t>30275</t>
  </si>
  <si>
    <t>30276</t>
  </si>
  <si>
    <t>30277</t>
  </si>
  <si>
    <t>30278</t>
  </si>
  <si>
    <t>Tabela 29 — Engenharia (Aba 30)</t>
  </si>
  <si>
    <t>30281</t>
  </si>
  <si>
    <t>30282</t>
  </si>
  <si>
    <t>30283</t>
  </si>
  <si>
    <t>30284</t>
  </si>
  <si>
    <t>30285</t>
  </si>
  <si>
    <t>30286</t>
  </si>
  <si>
    <t>30287</t>
  </si>
  <si>
    <t>30288</t>
  </si>
  <si>
    <t>Tabela 30 — Produto (Aba 30)</t>
  </si>
  <si>
    <t>30291</t>
  </si>
  <si>
    <t>30292</t>
  </si>
  <si>
    <t>30293</t>
  </si>
  <si>
    <t>30294</t>
  </si>
  <si>
    <t>30295</t>
  </si>
  <si>
    <t>30296</t>
  </si>
  <si>
    <t>30297</t>
  </si>
  <si>
    <t>30298</t>
  </si>
  <si>
    <t>Planilha — Aba 29 | Relatório de Equipe</t>
  </si>
  <si>
    <t>Tabela 1 — Engenharia (Aba 29)</t>
  </si>
  <si>
    <t>29001</t>
  </si>
  <si>
    <t>29002</t>
  </si>
  <si>
    <t>29003</t>
  </si>
  <si>
    <t>29004</t>
  </si>
  <si>
    <t>29005</t>
  </si>
  <si>
    <t>29006</t>
  </si>
  <si>
    <t>29007</t>
  </si>
  <si>
    <t>29008</t>
  </si>
  <si>
    <t>Tabela 2 — Produto (Aba 29)</t>
  </si>
  <si>
    <t>29011</t>
  </si>
  <si>
    <t>29012</t>
  </si>
  <si>
    <t>29013</t>
  </si>
  <si>
    <t>29014</t>
  </si>
  <si>
    <t>29015</t>
  </si>
  <si>
    <t>29016</t>
  </si>
  <si>
    <t>29017</t>
  </si>
  <si>
    <t>29018</t>
  </si>
  <si>
    <t>Tabela 3 — Design (Aba 29)</t>
  </si>
  <si>
    <t>29021</t>
  </si>
  <si>
    <t>29022</t>
  </si>
  <si>
    <t>29023</t>
  </si>
  <si>
    <t>29024</t>
  </si>
  <si>
    <t>29025</t>
  </si>
  <si>
    <t>29026</t>
  </si>
  <si>
    <t>29027</t>
  </si>
  <si>
    <t>29028</t>
  </si>
  <si>
    <t>Tabela 4 — DevEx (Aba 29)</t>
  </si>
  <si>
    <t>29031</t>
  </si>
  <si>
    <t>29032</t>
  </si>
  <si>
    <t>29033</t>
  </si>
  <si>
    <t>29034</t>
  </si>
  <si>
    <t>29035</t>
  </si>
  <si>
    <t>29036</t>
  </si>
  <si>
    <t>29037</t>
  </si>
  <si>
    <t>29038</t>
  </si>
  <si>
    <t>Tabela 5 — Dados (Aba 29)</t>
  </si>
  <si>
    <t>29041</t>
  </si>
  <si>
    <t>29042</t>
  </si>
  <si>
    <t>29043</t>
  </si>
  <si>
    <t>29044</t>
  </si>
  <si>
    <t>29045</t>
  </si>
  <si>
    <t>29046</t>
  </si>
  <si>
    <t>29047</t>
  </si>
  <si>
    <t>29048</t>
  </si>
  <si>
    <t>Tabela 6 — Infra (Aba 29)</t>
  </si>
  <si>
    <t>29051</t>
  </si>
  <si>
    <t>29052</t>
  </si>
  <si>
    <t>29053</t>
  </si>
  <si>
    <t>29054</t>
  </si>
  <si>
    <t>29055</t>
  </si>
  <si>
    <t>29056</t>
  </si>
  <si>
    <t>29057</t>
  </si>
  <si>
    <t>29058</t>
  </si>
  <si>
    <t>Tabela 7 — Segurança (Aba 29)</t>
  </si>
  <si>
    <t>29061</t>
  </si>
  <si>
    <t>29062</t>
  </si>
  <si>
    <t>29063</t>
  </si>
  <si>
    <t>29064</t>
  </si>
  <si>
    <t>29065</t>
  </si>
  <si>
    <t>29066</t>
  </si>
  <si>
    <t>29067</t>
  </si>
  <si>
    <t>29068</t>
  </si>
  <si>
    <t>Tabela 8 — Engenharia (Aba 29)</t>
  </si>
  <si>
    <t>29071</t>
  </si>
  <si>
    <t>29072</t>
  </si>
  <si>
    <t>29073</t>
  </si>
  <si>
    <t>29074</t>
  </si>
  <si>
    <t>29075</t>
  </si>
  <si>
    <t>29076</t>
  </si>
  <si>
    <t>29077</t>
  </si>
  <si>
    <t>29078</t>
  </si>
  <si>
    <t>Tabela 9 — Produto (Aba 29)</t>
  </si>
  <si>
    <t>29081</t>
  </si>
  <si>
    <t>29082</t>
  </si>
  <si>
    <t>29083</t>
  </si>
  <si>
    <t>29084</t>
  </si>
  <si>
    <t>29085</t>
  </si>
  <si>
    <t>29086</t>
  </si>
  <si>
    <t>29087</t>
  </si>
  <si>
    <t>29088</t>
  </si>
  <si>
    <t>Tabela 10 — Design (Aba 29)</t>
  </si>
  <si>
    <t>29091</t>
  </si>
  <si>
    <t>29092</t>
  </si>
  <si>
    <t>29093</t>
  </si>
  <si>
    <t>29094</t>
  </si>
  <si>
    <t>29095</t>
  </si>
  <si>
    <t>29096</t>
  </si>
  <si>
    <t>29097</t>
  </si>
  <si>
    <t>29098</t>
  </si>
  <si>
    <t>Tabela 11 — DevEx (Aba 29)</t>
  </si>
  <si>
    <t>29101</t>
  </si>
  <si>
    <t>29102</t>
  </si>
  <si>
    <t>29103</t>
  </si>
  <si>
    <t>29104</t>
  </si>
  <si>
    <t>29105</t>
  </si>
  <si>
    <t>29106</t>
  </si>
  <si>
    <t>29107</t>
  </si>
  <si>
    <t>29108</t>
  </si>
  <si>
    <t>Tabela 12 — Dados (Aba 29)</t>
  </si>
  <si>
    <t>29111</t>
  </si>
  <si>
    <t>29112</t>
  </si>
  <si>
    <t>29113</t>
  </si>
  <si>
    <t>29114</t>
  </si>
  <si>
    <t>29115</t>
  </si>
  <si>
    <t>29116</t>
  </si>
  <si>
    <t>29117</t>
  </si>
  <si>
    <t>29118</t>
  </si>
  <si>
    <t>Tabela 13 — Infra (Aba 29)</t>
  </si>
  <si>
    <t>29121</t>
  </si>
  <si>
    <t>29122</t>
  </si>
  <si>
    <t>29123</t>
  </si>
  <si>
    <t>29124</t>
  </si>
  <si>
    <t>29125</t>
  </si>
  <si>
    <t>29126</t>
  </si>
  <si>
    <t>29127</t>
  </si>
  <si>
    <t>29128</t>
  </si>
  <si>
    <t>Tabela 14 — Segurança (Aba 29)</t>
  </si>
  <si>
    <t>29131</t>
  </si>
  <si>
    <t>29132</t>
  </si>
  <si>
    <t>29133</t>
  </si>
  <si>
    <t>29134</t>
  </si>
  <si>
    <t>29135</t>
  </si>
  <si>
    <t>29136</t>
  </si>
  <si>
    <t>29137</t>
  </si>
  <si>
    <t>29138</t>
  </si>
  <si>
    <t>Tabela 15 — Engenharia (Aba 29)</t>
  </si>
  <si>
    <t>29141</t>
  </si>
  <si>
    <t>29142</t>
  </si>
  <si>
    <t>29143</t>
  </si>
  <si>
    <t>29144</t>
  </si>
  <si>
    <t>29145</t>
  </si>
  <si>
    <t>29146</t>
  </si>
  <si>
    <t>29147</t>
  </si>
  <si>
    <t>29148</t>
  </si>
  <si>
    <t>Tabela 16 — Produto (Aba 29)</t>
  </si>
  <si>
    <t>29151</t>
  </si>
  <si>
    <t>29152</t>
  </si>
  <si>
    <t>29153</t>
  </si>
  <si>
    <t>29154</t>
  </si>
  <si>
    <t>29155</t>
  </si>
  <si>
    <t>29156</t>
  </si>
  <si>
    <t>29157</t>
  </si>
  <si>
    <t>29158</t>
  </si>
  <si>
    <t>Tabela 17 — Design (Aba 29)</t>
  </si>
  <si>
    <t>29161</t>
  </si>
  <si>
    <t>29162</t>
  </si>
  <si>
    <t>29163</t>
  </si>
  <si>
    <t>29164</t>
  </si>
  <si>
    <t>29165</t>
  </si>
  <si>
    <t>29166</t>
  </si>
  <si>
    <t>29167</t>
  </si>
  <si>
    <t>29168</t>
  </si>
  <si>
    <t>Tabela 18 — DevEx (Aba 29)</t>
  </si>
  <si>
    <t>29171</t>
  </si>
  <si>
    <t>29172</t>
  </si>
  <si>
    <t>29173</t>
  </si>
  <si>
    <t>29174</t>
  </si>
  <si>
    <t>29175</t>
  </si>
  <si>
    <t>29176</t>
  </si>
  <si>
    <t>29177</t>
  </si>
  <si>
    <t>29178</t>
  </si>
  <si>
    <t>Tabela 19 — Dados (Aba 29)</t>
  </si>
  <si>
    <t>29181</t>
  </si>
  <si>
    <t>29182</t>
  </si>
  <si>
    <t>29183</t>
  </si>
  <si>
    <t>29184</t>
  </si>
  <si>
    <t>29185</t>
  </si>
  <si>
    <t>29186</t>
  </si>
  <si>
    <t>29187</t>
  </si>
  <si>
    <t>29188</t>
  </si>
  <si>
    <t>Tabela 20 — Infra (Aba 29)</t>
  </si>
  <si>
    <t>29191</t>
  </si>
  <si>
    <t>29192</t>
  </si>
  <si>
    <t>29193</t>
  </si>
  <si>
    <t>29194</t>
  </si>
  <si>
    <t>29195</t>
  </si>
  <si>
    <t>29196</t>
  </si>
  <si>
    <t>29197</t>
  </si>
  <si>
    <t>29198</t>
  </si>
  <si>
    <t>Tabela 21 — Segurança (Aba 29)</t>
  </si>
  <si>
    <t>29201</t>
  </si>
  <si>
    <t>29202</t>
  </si>
  <si>
    <t>29203</t>
  </si>
  <si>
    <t>29204</t>
  </si>
  <si>
    <t>29205</t>
  </si>
  <si>
    <t>29206</t>
  </si>
  <si>
    <t>29207</t>
  </si>
  <si>
    <t>29208</t>
  </si>
  <si>
    <t>Tabela 22 — Engenharia (Aba 29)</t>
  </si>
  <si>
    <t>29211</t>
  </si>
  <si>
    <t>29212</t>
  </si>
  <si>
    <t>29213</t>
  </si>
  <si>
    <t>29214</t>
  </si>
  <si>
    <t>29215</t>
  </si>
  <si>
    <t>29216</t>
  </si>
  <si>
    <t>29217</t>
  </si>
  <si>
    <t>29218</t>
  </si>
  <si>
    <t>Tabela 23 — Produto (Aba 29)</t>
  </si>
  <si>
    <t>29221</t>
  </si>
  <si>
    <t>29222</t>
  </si>
  <si>
    <t>29223</t>
  </si>
  <si>
    <t>29224</t>
  </si>
  <si>
    <t>29225</t>
  </si>
  <si>
    <t>29226</t>
  </si>
  <si>
    <t>29227</t>
  </si>
  <si>
    <t>29228</t>
  </si>
  <si>
    <t>Tabela 24 — Design (Aba 29)</t>
  </si>
  <si>
    <t>29231</t>
  </si>
  <si>
    <t>29232</t>
  </si>
  <si>
    <t>29233</t>
  </si>
  <si>
    <t>29234</t>
  </si>
  <si>
    <t>29235</t>
  </si>
  <si>
    <t>29236</t>
  </si>
  <si>
    <t>29237</t>
  </si>
  <si>
    <t>29238</t>
  </si>
  <si>
    <t>Tabela 25 — DevEx (Aba 29)</t>
  </si>
  <si>
    <t>29241</t>
  </si>
  <si>
    <t>29242</t>
  </si>
  <si>
    <t>29243</t>
  </si>
  <si>
    <t>29244</t>
  </si>
  <si>
    <t>29245</t>
  </si>
  <si>
    <t>29246</t>
  </si>
  <si>
    <t>29247</t>
  </si>
  <si>
    <t>29248</t>
  </si>
  <si>
    <t>Tabela 26 — Dados (Aba 29)</t>
  </si>
  <si>
    <t>29251</t>
  </si>
  <si>
    <t>29252</t>
  </si>
  <si>
    <t>29253</t>
  </si>
  <si>
    <t>29254</t>
  </si>
  <si>
    <t>29255</t>
  </si>
  <si>
    <t>29256</t>
  </si>
  <si>
    <t>29257</t>
  </si>
  <si>
    <t>29258</t>
  </si>
  <si>
    <t>Tabela 27 — Infra (Aba 29)</t>
  </si>
  <si>
    <t>29261</t>
  </si>
  <si>
    <t>29262</t>
  </si>
  <si>
    <t>29263</t>
  </si>
  <si>
    <t>29264</t>
  </si>
  <si>
    <t>29265</t>
  </si>
  <si>
    <t>29266</t>
  </si>
  <si>
    <t>29267</t>
  </si>
  <si>
    <t>29268</t>
  </si>
  <si>
    <t>Tabela 28 — Segurança (Aba 29)</t>
  </si>
  <si>
    <t>29271</t>
  </si>
  <si>
    <t>29272</t>
  </si>
  <si>
    <t>29273</t>
  </si>
  <si>
    <t>29274</t>
  </si>
  <si>
    <t>29275</t>
  </si>
  <si>
    <t>29276</t>
  </si>
  <si>
    <t>29277</t>
  </si>
  <si>
    <t>29278</t>
  </si>
  <si>
    <t>Tabela 29 — Engenharia (Aba 29)</t>
  </si>
  <si>
    <t>29281</t>
  </si>
  <si>
    <t>29282</t>
  </si>
  <si>
    <t>29283</t>
  </si>
  <si>
    <t>29284</t>
  </si>
  <si>
    <t>29285</t>
  </si>
  <si>
    <t>29286</t>
  </si>
  <si>
    <t>29287</t>
  </si>
  <si>
    <t>29288</t>
  </si>
  <si>
    <t>Tabela 30 — Produto (Aba 29)</t>
  </si>
  <si>
    <t>29291</t>
  </si>
  <si>
    <t>29292</t>
  </si>
  <si>
    <t>29293</t>
  </si>
  <si>
    <t>29294</t>
  </si>
  <si>
    <t>29295</t>
  </si>
  <si>
    <t>29296</t>
  </si>
  <si>
    <t>29297</t>
  </si>
  <si>
    <t>29298</t>
  </si>
  <si>
    <t>Planilha — Aba 28 | Relatório de Equipe</t>
  </si>
  <si>
    <t>Tabela 1 — Engenharia (Aba 28)</t>
  </si>
  <si>
    <t>28001</t>
  </si>
  <si>
    <t>28002</t>
  </si>
  <si>
    <t>28003</t>
  </si>
  <si>
    <t>28004</t>
  </si>
  <si>
    <t>28005</t>
  </si>
  <si>
    <t>28006</t>
  </si>
  <si>
    <t>28007</t>
  </si>
  <si>
    <t>28008</t>
  </si>
  <si>
    <t>Tabela 2 — Produto (Aba 28)</t>
  </si>
  <si>
    <t>28011</t>
  </si>
  <si>
    <t>28012</t>
  </si>
  <si>
    <t>28013</t>
  </si>
  <si>
    <t>28014</t>
  </si>
  <si>
    <t>28015</t>
  </si>
  <si>
    <t>28016</t>
  </si>
  <si>
    <t>28017</t>
  </si>
  <si>
    <t>28018</t>
  </si>
  <si>
    <t>Tabela 3 — Design (Aba 28)</t>
  </si>
  <si>
    <t>28021</t>
  </si>
  <si>
    <t>28022</t>
  </si>
  <si>
    <t>28023</t>
  </si>
  <si>
    <t>28024</t>
  </si>
  <si>
    <t>28025</t>
  </si>
  <si>
    <t>28026</t>
  </si>
  <si>
    <t>28027</t>
  </si>
  <si>
    <t>28028</t>
  </si>
  <si>
    <t>Tabela 4 — DevEx (Aba 28)</t>
  </si>
  <si>
    <t>28031</t>
  </si>
  <si>
    <t>28032</t>
  </si>
  <si>
    <t>28033</t>
  </si>
  <si>
    <t>28034</t>
  </si>
  <si>
    <t>28035</t>
  </si>
  <si>
    <t>28036</t>
  </si>
  <si>
    <t>28037</t>
  </si>
  <si>
    <t>28038</t>
  </si>
  <si>
    <t>Tabela 5 — Dados (Aba 28)</t>
  </si>
  <si>
    <t>28041</t>
  </si>
  <si>
    <t>28042</t>
  </si>
  <si>
    <t>28043</t>
  </si>
  <si>
    <t>28044</t>
  </si>
  <si>
    <t>28045</t>
  </si>
  <si>
    <t>28046</t>
  </si>
  <si>
    <t>28047</t>
  </si>
  <si>
    <t>28048</t>
  </si>
  <si>
    <t>Tabela 6 — Infra (Aba 28)</t>
  </si>
  <si>
    <t>28051</t>
  </si>
  <si>
    <t>28052</t>
  </si>
  <si>
    <t>28053</t>
  </si>
  <si>
    <t>28054</t>
  </si>
  <si>
    <t>28055</t>
  </si>
  <si>
    <t>28056</t>
  </si>
  <si>
    <t>28057</t>
  </si>
  <si>
    <t>28058</t>
  </si>
  <si>
    <t>Tabela 7 — Segurança (Aba 28)</t>
  </si>
  <si>
    <t>28061</t>
  </si>
  <si>
    <t>28062</t>
  </si>
  <si>
    <t>28063</t>
  </si>
  <si>
    <t>28064</t>
  </si>
  <si>
    <t>28065</t>
  </si>
  <si>
    <t>28066</t>
  </si>
  <si>
    <t>28067</t>
  </si>
  <si>
    <t>28068</t>
  </si>
  <si>
    <t>Tabela 8 — Engenharia (Aba 28)</t>
  </si>
  <si>
    <t>28071</t>
  </si>
  <si>
    <t>28072</t>
  </si>
  <si>
    <t>28073</t>
  </si>
  <si>
    <t>28074</t>
  </si>
  <si>
    <t>28075</t>
  </si>
  <si>
    <t>28076</t>
  </si>
  <si>
    <t>28077</t>
  </si>
  <si>
    <t>28078</t>
  </si>
  <si>
    <t>Tabela 9 — Produto (Aba 28)</t>
  </si>
  <si>
    <t>28081</t>
  </si>
  <si>
    <t>28082</t>
  </si>
  <si>
    <t>28083</t>
  </si>
  <si>
    <t>28084</t>
  </si>
  <si>
    <t>28085</t>
  </si>
  <si>
    <t>28086</t>
  </si>
  <si>
    <t>28087</t>
  </si>
  <si>
    <t>28088</t>
  </si>
  <si>
    <t>Tabela 10 — Design (Aba 28)</t>
  </si>
  <si>
    <t>28091</t>
  </si>
  <si>
    <t>28092</t>
  </si>
  <si>
    <t>28093</t>
  </si>
  <si>
    <t>28094</t>
  </si>
  <si>
    <t>28095</t>
  </si>
  <si>
    <t>28096</t>
  </si>
  <si>
    <t>28097</t>
  </si>
  <si>
    <t>28098</t>
  </si>
  <si>
    <t>Tabela 11 — DevEx (Aba 28)</t>
  </si>
  <si>
    <t>28101</t>
  </si>
  <si>
    <t>28102</t>
  </si>
  <si>
    <t>28103</t>
  </si>
  <si>
    <t>28104</t>
  </si>
  <si>
    <t>28105</t>
  </si>
  <si>
    <t>28106</t>
  </si>
  <si>
    <t>28107</t>
  </si>
  <si>
    <t>28108</t>
  </si>
  <si>
    <t>Tabela 12 — Dados (Aba 28)</t>
  </si>
  <si>
    <t>28111</t>
  </si>
  <si>
    <t>28112</t>
  </si>
  <si>
    <t>28113</t>
  </si>
  <si>
    <t>28114</t>
  </si>
  <si>
    <t>28115</t>
  </si>
  <si>
    <t>28116</t>
  </si>
  <si>
    <t>28117</t>
  </si>
  <si>
    <t>28118</t>
  </si>
  <si>
    <t>Tabela 13 — Infra (Aba 28)</t>
  </si>
  <si>
    <t>28121</t>
  </si>
  <si>
    <t>28122</t>
  </si>
  <si>
    <t>28123</t>
  </si>
  <si>
    <t>28124</t>
  </si>
  <si>
    <t>28125</t>
  </si>
  <si>
    <t>28126</t>
  </si>
  <si>
    <t>28127</t>
  </si>
  <si>
    <t>28128</t>
  </si>
  <si>
    <t>Tabela 14 — Segurança (Aba 28)</t>
  </si>
  <si>
    <t>28131</t>
  </si>
  <si>
    <t>28132</t>
  </si>
  <si>
    <t>28133</t>
  </si>
  <si>
    <t>28134</t>
  </si>
  <si>
    <t>28135</t>
  </si>
  <si>
    <t>28136</t>
  </si>
  <si>
    <t>28137</t>
  </si>
  <si>
    <t>28138</t>
  </si>
  <si>
    <t>Tabela 15 — Engenharia (Aba 28)</t>
  </si>
  <si>
    <t>28141</t>
  </si>
  <si>
    <t>28142</t>
  </si>
  <si>
    <t>28143</t>
  </si>
  <si>
    <t>28144</t>
  </si>
  <si>
    <t>28145</t>
  </si>
  <si>
    <t>28146</t>
  </si>
  <si>
    <t>28147</t>
  </si>
  <si>
    <t>28148</t>
  </si>
  <si>
    <t>Tabela 16 — Produto (Aba 28)</t>
  </si>
  <si>
    <t>28151</t>
  </si>
  <si>
    <t>28152</t>
  </si>
  <si>
    <t>28153</t>
  </si>
  <si>
    <t>28154</t>
  </si>
  <si>
    <t>28155</t>
  </si>
  <si>
    <t>28156</t>
  </si>
  <si>
    <t>28157</t>
  </si>
  <si>
    <t>28158</t>
  </si>
  <si>
    <t>Tabela 17 — Design (Aba 28)</t>
  </si>
  <si>
    <t>28161</t>
  </si>
  <si>
    <t>28162</t>
  </si>
  <si>
    <t>28163</t>
  </si>
  <si>
    <t>28164</t>
  </si>
  <si>
    <t>28165</t>
  </si>
  <si>
    <t>28166</t>
  </si>
  <si>
    <t>28167</t>
  </si>
  <si>
    <t>28168</t>
  </si>
  <si>
    <t>Tabela 18 — DevEx (Aba 28)</t>
  </si>
  <si>
    <t>28171</t>
  </si>
  <si>
    <t>28172</t>
  </si>
  <si>
    <t>28173</t>
  </si>
  <si>
    <t>28174</t>
  </si>
  <si>
    <t>28175</t>
  </si>
  <si>
    <t>28176</t>
  </si>
  <si>
    <t>28177</t>
  </si>
  <si>
    <t>28178</t>
  </si>
  <si>
    <t>Tabela 19 — Dados (Aba 28)</t>
  </si>
  <si>
    <t>28181</t>
  </si>
  <si>
    <t>28182</t>
  </si>
  <si>
    <t>28183</t>
  </si>
  <si>
    <t>28184</t>
  </si>
  <si>
    <t>28185</t>
  </si>
  <si>
    <t>28186</t>
  </si>
  <si>
    <t>28187</t>
  </si>
  <si>
    <t>28188</t>
  </si>
  <si>
    <t>Tabela 20 — Infra (Aba 28)</t>
  </si>
  <si>
    <t>28191</t>
  </si>
  <si>
    <t>28192</t>
  </si>
  <si>
    <t>28193</t>
  </si>
  <si>
    <t>28194</t>
  </si>
  <si>
    <t>28195</t>
  </si>
  <si>
    <t>28196</t>
  </si>
  <si>
    <t>28197</t>
  </si>
  <si>
    <t>28198</t>
  </si>
  <si>
    <t>Tabela 21 — Segurança (Aba 28)</t>
  </si>
  <si>
    <t>28201</t>
  </si>
  <si>
    <t>28202</t>
  </si>
  <si>
    <t>28203</t>
  </si>
  <si>
    <t>28204</t>
  </si>
  <si>
    <t>28205</t>
  </si>
  <si>
    <t>28206</t>
  </si>
  <si>
    <t>28207</t>
  </si>
  <si>
    <t>28208</t>
  </si>
  <si>
    <t>Tabela 22 — Engenharia (Aba 28)</t>
  </si>
  <si>
    <t>28211</t>
  </si>
  <si>
    <t>28212</t>
  </si>
  <si>
    <t>28213</t>
  </si>
  <si>
    <t>28214</t>
  </si>
  <si>
    <t>28215</t>
  </si>
  <si>
    <t>28216</t>
  </si>
  <si>
    <t>28217</t>
  </si>
  <si>
    <t>28218</t>
  </si>
  <si>
    <t>Tabela 23 — Produto (Aba 28)</t>
  </si>
  <si>
    <t>28221</t>
  </si>
  <si>
    <t>28222</t>
  </si>
  <si>
    <t>28223</t>
  </si>
  <si>
    <t>28224</t>
  </si>
  <si>
    <t>28225</t>
  </si>
  <si>
    <t>28226</t>
  </si>
  <si>
    <t>28227</t>
  </si>
  <si>
    <t>28228</t>
  </si>
  <si>
    <t>Tabela 24 — Design (Aba 28)</t>
  </si>
  <si>
    <t>28231</t>
  </si>
  <si>
    <t>28232</t>
  </si>
  <si>
    <t>28233</t>
  </si>
  <si>
    <t>28234</t>
  </si>
  <si>
    <t>28235</t>
  </si>
  <si>
    <t>28236</t>
  </si>
  <si>
    <t>28237</t>
  </si>
  <si>
    <t>28238</t>
  </si>
  <si>
    <t>Tabela 25 — DevEx (Aba 28)</t>
  </si>
  <si>
    <t>28241</t>
  </si>
  <si>
    <t>28242</t>
  </si>
  <si>
    <t>28243</t>
  </si>
  <si>
    <t>28244</t>
  </si>
  <si>
    <t>28245</t>
  </si>
  <si>
    <t>28246</t>
  </si>
  <si>
    <t>28247</t>
  </si>
  <si>
    <t>28248</t>
  </si>
  <si>
    <t>Tabela 26 — Dados (Aba 28)</t>
  </si>
  <si>
    <t>28251</t>
  </si>
  <si>
    <t>28252</t>
  </si>
  <si>
    <t>28253</t>
  </si>
  <si>
    <t>28254</t>
  </si>
  <si>
    <t>28255</t>
  </si>
  <si>
    <t>28256</t>
  </si>
  <si>
    <t>28257</t>
  </si>
  <si>
    <t>28258</t>
  </si>
  <si>
    <t>Tabela 27 — Infra (Aba 28)</t>
  </si>
  <si>
    <t>28261</t>
  </si>
  <si>
    <t>28262</t>
  </si>
  <si>
    <t>28263</t>
  </si>
  <si>
    <t>28264</t>
  </si>
  <si>
    <t>28265</t>
  </si>
  <si>
    <t>28266</t>
  </si>
  <si>
    <t>28267</t>
  </si>
  <si>
    <t>28268</t>
  </si>
  <si>
    <t>Tabela 28 — Segurança (Aba 28)</t>
  </si>
  <si>
    <t>28271</t>
  </si>
  <si>
    <t>28272</t>
  </si>
  <si>
    <t>28273</t>
  </si>
  <si>
    <t>28274</t>
  </si>
  <si>
    <t>28275</t>
  </si>
  <si>
    <t>28276</t>
  </si>
  <si>
    <t>28277</t>
  </si>
  <si>
    <t>28278</t>
  </si>
  <si>
    <t>Tabela 29 — Engenharia (Aba 28)</t>
  </si>
  <si>
    <t>28281</t>
  </si>
  <si>
    <t>28282</t>
  </si>
  <si>
    <t>28283</t>
  </si>
  <si>
    <t>28284</t>
  </si>
  <si>
    <t>28285</t>
  </si>
  <si>
    <t>28286</t>
  </si>
  <si>
    <t>28287</t>
  </si>
  <si>
    <t>28288</t>
  </si>
  <si>
    <t>Tabela 30 — Produto (Aba 28)</t>
  </si>
  <si>
    <t>28291</t>
  </si>
  <si>
    <t>28292</t>
  </si>
  <si>
    <t>28293</t>
  </si>
  <si>
    <t>28294</t>
  </si>
  <si>
    <t>28295</t>
  </si>
  <si>
    <t>28296</t>
  </si>
  <si>
    <t>28297</t>
  </si>
  <si>
    <t>28298</t>
  </si>
  <si>
    <t>Planilha — Aba 27 | Relatório de Equipe</t>
  </si>
  <si>
    <t>Tabela 1 — Engenharia (Aba 27)</t>
  </si>
  <si>
    <t>27001</t>
  </si>
  <si>
    <t>27002</t>
  </si>
  <si>
    <t>27003</t>
  </si>
  <si>
    <t>27004</t>
  </si>
  <si>
    <t>27005</t>
  </si>
  <si>
    <t>27006</t>
  </si>
  <si>
    <t>27007</t>
  </si>
  <si>
    <t>27008</t>
  </si>
  <si>
    <t>Tabela 2 — Produto (Aba 27)</t>
  </si>
  <si>
    <t>27011</t>
  </si>
  <si>
    <t>27012</t>
  </si>
  <si>
    <t>27013</t>
  </si>
  <si>
    <t>27014</t>
  </si>
  <si>
    <t>27015</t>
  </si>
  <si>
    <t>27016</t>
  </si>
  <si>
    <t>27017</t>
  </si>
  <si>
    <t>27018</t>
  </si>
  <si>
    <t>Tabela 3 — Design (Aba 27)</t>
  </si>
  <si>
    <t>27021</t>
  </si>
  <si>
    <t>27022</t>
  </si>
  <si>
    <t>27023</t>
  </si>
  <si>
    <t>27024</t>
  </si>
  <si>
    <t>27025</t>
  </si>
  <si>
    <t>27026</t>
  </si>
  <si>
    <t>27027</t>
  </si>
  <si>
    <t>27028</t>
  </si>
  <si>
    <t>Tabela 4 — DevEx (Aba 27)</t>
  </si>
  <si>
    <t>27031</t>
  </si>
  <si>
    <t>27032</t>
  </si>
  <si>
    <t>27033</t>
  </si>
  <si>
    <t>27034</t>
  </si>
  <si>
    <t>27035</t>
  </si>
  <si>
    <t>27036</t>
  </si>
  <si>
    <t>27037</t>
  </si>
  <si>
    <t>27038</t>
  </si>
  <si>
    <t>Tabela 5 — Dados (Aba 27)</t>
  </si>
  <si>
    <t>27041</t>
  </si>
  <si>
    <t>27042</t>
  </si>
  <si>
    <t>27043</t>
  </si>
  <si>
    <t>27044</t>
  </si>
  <si>
    <t>27045</t>
  </si>
  <si>
    <t>27046</t>
  </si>
  <si>
    <t>27047</t>
  </si>
  <si>
    <t>27048</t>
  </si>
  <si>
    <t>Tabela 6 — Infra (Aba 27)</t>
  </si>
  <si>
    <t>27051</t>
  </si>
  <si>
    <t>27052</t>
  </si>
  <si>
    <t>27053</t>
  </si>
  <si>
    <t>27054</t>
  </si>
  <si>
    <t>27055</t>
  </si>
  <si>
    <t>27056</t>
  </si>
  <si>
    <t>27057</t>
  </si>
  <si>
    <t>27058</t>
  </si>
  <si>
    <t>Tabela 7 — Segurança (Aba 27)</t>
  </si>
  <si>
    <t>27061</t>
  </si>
  <si>
    <t>27062</t>
  </si>
  <si>
    <t>27063</t>
  </si>
  <si>
    <t>27064</t>
  </si>
  <si>
    <t>27065</t>
  </si>
  <si>
    <t>27066</t>
  </si>
  <si>
    <t>27067</t>
  </si>
  <si>
    <t>27068</t>
  </si>
  <si>
    <t>Tabela 8 — Engenharia (Aba 27)</t>
  </si>
  <si>
    <t>27071</t>
  </si>
  <si>
    <t>27072</t>
  </si>
  <si>
    <t>27073</t>
  </si>
  <si>
    <t>27074</t>
  </si>
  <si>
    <t>27075</t>
  </si>
  <si>
    <t>27076</t>
  </si>
  <si>
    <t>27077</t>
  </si>
  <si>
    <t>27078</t>
  </si>
  <si>
    <t>Tabela 9 — Produto (Aba 27)</t>
  </si>
  <si>
    <t>27081</t>
  </si>
  <si>
    <t>27082</t>
  </si>
  <si>
    <t>27083</t>
  </si>
  <si>
    <t>27084</t>
  </si>
  <si>
    <t>27085</t>
  </si>
  <si>
    <t>27086</t>
  </si>
  <si>
    <t>27087</t>
  </si>
  <si>
    <t>27088</t>
  </si>
  <si>
    <t>Tabela 10 — Design (Aba 27)</t>
  </si>
  <si>
    <t>27091</t>
  </si>
  <si>
    <t>27092</t>
  </si>
  <si>
    <t>27093</t>
  </si>
  <si>
    <t>27094</t>
  </si>
  <si>
    <t>27095</t>
  </si>
  <si>
    <t>27096</t>
  </si>
  <si>
    <t>27097</t>
  </si>
  <si>
    <t>27098</t>
  </si>
  <si>
    <t>Tabela 11 — DevEx (Aba 27)</t>
  </si>
  <si>
    <t>27101</t>
  </si>
  <si>
    <t>27102</t>
  </si>
  <si>
    <t>27103</t>
  </si>
  <si>
    <t>27104</t>
  </si>
  <si>
    <t>27105</t>
  </si>
  <si>
    <t>27106</t>
  </si>
  <si>
    <t>27107</t>
  </si>
  <si>
    <t>27108</t>
  </si>
  <si>
    <t>Tabela 12 — Dados (Aba 27)</t>
  </si>
  <si>
    <t>27111</t>
  </si>
  <si>
    <t>27112</t>
  </si>
  <si>
    <t>27113</t>
  </si>
  <si>
    <t>27114</t>
  </si>
  <si>
    <t>27115</t>
  </si>
  <si>
    <t>27116</t>
  </si>
  <si>
    <t>27117</t>
  </si>
  <si>
    <t>27118</t>
  </si>
  <si>
    <t>Tabela 13 — Infra (Aba 27)</t>
  </si>
  <si>
    <t>27121</t>
  </si>
  <si>
    <t>27122</t>
  </si>
  <si>
    <t>27123</t>
  </si>
  <si>
    <t>27124</t>
  </si>
  <si>
    <t>27125</t>
  </si>
  <si>
    <t>27126</t>
  </si>
  <si>
    <t>27127</t>
  </si>
  <si>
    <t>27128</t>
  </si>
  <si>
    <t>Tabela 14 — Segurança (Aba 27)</t>
  </si>
  <si>
    <t>27131</t>
  </si>
  <si>
    <t>27132</t>
  </si>
  <si>
    <t>27133</t>
  </si>
  <si>
    <t>27134</t>
  </si>
  <si>
    <t>27135</t>
  </si>
  <si>
    <t>27136</t>
  </si>
  <si>
    <t>27137</t>
  </si>
  <si>
    <t>27138</t>
  </si>
  <si>
    <t>Tabela 15 — Engenharia (Aba 27)</t>
  </si>
  <si>
    <t>27141</t>
  </si>
  <si>
    <t>27142</t>
  </si>
  <si>
    <t>27143</t>
  </si>
  <si>
    <t>27144</t>
  </si>
  <si>
    <t>27145</t>
  </si>
  <si>
    <t>27146</t>
  </si>
  <si>
    <t>27147</t>
  </si>
  <si>
    <t>27148</t>
  </si>
  <si>
    <t>Tabela 16 — Produto (Aba 27)</t>
  </si>
  <si>
    <t>27151</t>
  </si>
  <si>
    <t>27152</t>
  </si>
  <si>
    <t>27153</t>
  </si>
  <si>
    <t>27154</t>
  </si>
  <si>
    <t>27155</t>
  </si>
  <si>
    <t>27156</t>
  </si>
  <si>
    <t>27157</t>
  </si>
  <si>
    <t>27158</t>
  </si>
  <si>
    <t>Tabela 17 — Design (Aba 27)</t>
  </si>
  <si>
    <t>27161</t>
  </si>
  <si>
    <t>27162</t>
  </si>
  <si>
    <t>27163</t>
  </si>
  <si>
    <t>27164</t>
  </si>
  <si>
    <t>27165</t>
  </si>
  <si>
    <t>27166</t>
  </si>
  <si>
    <t>27167</t>
  </si>
  <si>
    <t>27168</t>
  </si>
  <si>
    <t>Tabela 18 — DevEx (Aba 27)</t>
  </si>
  <si>
    <t>27171</t>
  </si>
  <si>
    <t>27172</t>
  </si>
  <si>
    <t>27173</t>
  </si>
  <si>
    <t>27174</t>
  </si>
  <si>
    <t>27175</t>
  </si>
  <si>
    <t>27176</t>
  </si>
  <si>
    <t>27177</t>
  </si>
  <si>
    <t>27178</t>
  </si>
  <si>
    <t>Tabela 19 — Dados (Aba 27)</t>
  </si>
  <si>
    <t>27181</t>
  </si>
  <si>
    <t>27182</t>
  </si>
  <si>
    <t>27183</t>
  </si>
  <si>
    <t>27184</t>
  </si>
  <si>
    <t>27185</t>
  </si>
  <si>
    <t>27186</t>
  </si>
  <si>
    <t>27187</t>
  </si>
  <si>
    <t>27188</t>
  </si>
  <si>
    <t>Tabela 20 — Infra (Aba 27)</t>
  </si>
  <si>
    <t>27191</t>
  </si>
  <si>
    <t>27192</t>
  </si>
  <si>
    <t>27193</t>
  </si>
  <si>
    <t>27194</t>
  </si>
  <si>
    <t>27195</t>
  </si>
  <si>
    <t>27196</t>
  </si>
  <si>
    <t>27197</t>
  </si>
  <si>
    <t>27198</t>
  </si>
  <si>
    <t>Tabela 21 — Segurança (Aba 27)</t>
  </si>
  <si>
    <t>27201</t>
  </si>
  <si>
    <t>27202</t>
  </si>
  <si>
    <t>27203</t>
  </si>
  <si>
    <t>27204</t>
  </si>
  <si>
    <t>27205</t>
  </si>
  <si>
    <t>27206</t>
  </si>
  <si>
    <t>27207</t>
  </si>
  <si>
    <t>27208</t>
  </si>
  <si>
    <t>Tabela 22 — Engenharia (Aba 27)</t>
  </si>
  <si>
    <t>27211</t>
  </si>
  <si>
    <t>27212</t>
  </si>
  <si>
    <t>27213</t>
  </si>
  <si>
    <t>27214</t>
  </si>
  <si>
    <t>27215</t>
  </si>
  <si>
    <t>27216</t>
  </si>
  <si>
    <t>27217</t>
  </si>
  <si>
    <t>27218</t>
  </si>
  <si>
    <t>Tabela 23 — Produto (Aba 27)</t>
  </si>
  <si>
    <t>27221</t>
  </si>
  <si>
    <t>27222</t>
  </si>
  <si>
    <t>27223</t>
  </si>
  <si>
    <t>27224</t>
  </si>
  <si>
    <t>27225</t>
  </si>
  <si>
    <t>27226</t>
  </si>
  <si>
    <t>27227</t>
  </si>
  <si>
    <t>27228</t>
  </si>
  <si>
    <t>Tabela 24 — Design (Aba 27)</t>
  </si>
  <si>
    <t>27231</t>
  </si>
  <si>
    <t>27232</t>
  </si>
  <si>
    <t>27233</t>
  </si>
  <si>
    <t>27234</t>
  </si>
  <si>
    <t>27235</t>
  </si>
  <si>
    <t>27236</t>
  </si>
  <si>
    <t>27237</t>
  </si>
  <si>
    <t>27238</t>
  </si>
  <si>
    <t>Tabela 25 — DevEx (Aba 27)</t>
  </si>
  <si>
    <t>27241</t>
  </si>
  <si>
    <t>27242</t>
  </si>
  <si>
    <t>27243</t>
  </si>
  <si>
    <t>27244</t>
  </si>
  <si>
    <t>27245</t>
  </si>
  <si>
    <t>27246</t>
  </si>
  <si>
    <t>27247</t>
  </si>
  <si>
    <t>27248</t>
  </si>
  <si>
    <t>Tabela 26 — Dados (Aba 27)</t>
  </si>
  <si>
    <t>27251</t>
  </si>
  <si>
    <t>27252</t>
  </si>
  <si>
    <t>27253</t>
  </si>
  <si>
    <t>27254</t>
  </si>
  <si>
    <t>27255</t>
  </si>
  <si>
    <t>27256</t>
  </si>
  <si>
    <t>27257</t>
  </si>
  <si>
    <t>27258</t>
  </si>
  <si>
    <t>Tabela 27 — Infra (Aba 27)</t>
  </si>
  <si>
    <t>27261</t>
  </si>
  <si>
    <t>27262</t>
  </si>
  <si>
    <t>27263</t>
  </si>
  <si>
    <t>27264</t>
  </si>
  <si>
    <t>27265</t>
  </si>
  <si>
    <t>27266</t>
  </si>
  <si>
    <t>27267</t>
  </si>
  <si>
    <t>27268</t>
  </si>
  <si>
    <t>Tabela 28 — Segurança (Aba 27)</t>
  </si>
  <si>
    <t>27271</t>
  </si>
  <si>
    <t>27272</t>
  </si>
  <si>
    <t>27273</t>
  </si>
  <si>
    <t>27274</t>
  </si>
  <si>
    <t>27275</t>
  </si>
  <si>
    <t>27276</t>
  </si>
  <si>
    <t>27277</t>
  </si>
  <si>
    <t>27278</t>
  </si>
  <si>
    <t>Tabela 29 — Engenharia (Aba 27)</t>
  </si>
  <si>
    <t>27281</t>
  </si>
  <si>
    <t>27282</t>
  </si>
  <si>
    <t>27283</t>
  </si>
  <si>
    <t>27284</t>
  </si>
  <si>
    <t>27285</t>
  </si>
  <si>
    <t>27286</t>
  </si>
  <si>
    <t>27287</t>
  </si>
  <si>
    <t>27288</t>
  </si>
  <si>
    <t>Tabela 30 — Produto (Aba 27)</t>
  </si>
  <si>
    <t>27291</t>
  </si>
  <si>
    <t>27292</t>
  </si>
  <si>
    <t>27293</t>
  </si>
  <si>
    <t>27294</t>
  </si>
  <si>
    <t>27295</t>
  </si>
  <si>
    <t>27296</t>
  </si>
  <si>
    <t>27297</t>
  </si>
  <si>
    <t>27298</t>
  </si>
  <si>
    <t>Planilha — Aba 26 | Relatório de Equipe</t>
  </si>
  <si>
    <t>Tabela 1 — Engenharia (Aba 26)</t>
  </si>
  <si>
    <t>26001</t>
  </si>
  <si>
    <t>26002</t>
  </si>
  <si>
    <t>26003</t>
  </si>
  <si>
    <t>26004</t>
  </si>
  <si>
    <t>26005</t>
  </si>
  <si>
    <t>26006</t>
  </si>
  <si>
    <t>26007</t>
  </si>
  <si>
    <t>26008</t>
  </si>
  <si>
    <t>Tabela 2 — Produto (Aba 26)</t>
  </si>
  <si>
    <t>26011</t>
  </si>
  <si>
    <t>26012</t>
  </si>
  <si>
    <t>26013</t>
  </si>
  <si>
    <t>26014</t>
  </si>
  <si>
    <t>26015</t>
  </si>
  <si>
    <t>26016</t>
  </si>
  <si>
    <t>26017</t>
  </si>
  <si>
    <t>26018</t>
  </si>
  <si>
    <t>Tabela 3 — Design (Aba 26)</t>
  </si>
  <si>
    <t>26021</t>
  </si>
  <si>
    <t>26022</t>
  </si>
  <si>
    <t>26023</t>
  </si>
  <si>
    <t>26024</t>
  </si>
  <si>
    <t>26025</t>
  </si>
  <si>
    <t>26026</t>
  </si>
  <si>
    <t>26027</t>
  </si>
  <si>
    <t>26028</t>
  </si>
  <si>
    <t>Tabela 4 — DevEx (Aba 26)</t>
  </si>
  <si>
    <t>26031</t>
  </si>
  <si>
    <t>26032</t>
  </si>
  <si>
    <t>26033</t>
  </si>
  <si>
    <t>26034</t>
  </si>
  <si>
    <t>26035</t>
  </si>
  <si>
    <t>26036</t>
  </si>
  <si>
    <t>26037</t>
  </si>
  <si>
    <t>26038</t>
  </si>
  <si>
    <t>Tabela 5 — Dados (Aba 26)</t>
  </si>
  <si>
    <t>26041</t>
  </si>
  <si>
    <t>26042</t>
  </si>
  <si>
    <t>26043</t>
  </si>
  <si>
    <t>26044</t>
  </si>
  <si>
    <t>26045</t>
  </si>
  <si>
    <t>26046</t>
  </si>
  <si>
    <t>26047</t>
  </si>
  <si>
    <t>26048</t>
  </si>
  <si>
    <t>Tabela 6 — Infra (Aba 26)</t>
  </si>
  <si>
    <t>26051</t>
  </si>
  <si>
    <t>26052</t>
  </si>
  <si>
    <t>26053</t>
  </si>
  <si>
    <t>26054</t>
  </si>
  <si>
    <t>26055</t>
  </si>
  <si>
    <t>26056</t>
  </si>
  <si>
    <t>26057</t>
  </si>
  <si>
    <t>26058</t>
  </si>
  <si>
    <t>Tabela 7 — Segurança (Aba 26)</t>
  </si>
  <si>
    <t>26061</t>
  </si>
  <si>
    <t>26062</t>
  </si>
  <si>
    <t>26063</t>
  </si>
  <si>
    <t>26064</t>
  </si>
  <si>
    <t>26065</t>
  </si>
  <si>
    <t>26066</t>
  </si>
  <si>
    <t>26067</t>
  </si>
  <si>
    <t>26068</t>
  </si>
  <si>
    <t>Tabela 8 — Engenharia (Aba 26)</t>
  </si>
  <si>
    <t>26071</t>
  </si>
  <si>
    <t>26072</t>
  </si>
  <si>
    <t>26073</t>
  </si>
  <si>
    <t>26074</t>
  </si>
  <si>
    <t>26075</t>
  </si>
  <si>
    <t>26076</t>
  </si>
  <si>
    <t>26077</t>
  </si>
  <si>
    <t>26078</t>
  </si>
  <si>
    <t>Tabela 9 — Produto (Aba 26)</t>
  </si>
  <si>
    <t>26081</t>
  </si>
  <si>
    <t>26082</t>
  </si>
  <si>
    <t>26083</t>
  </si>
  <si>
    <t>26084</t>
  </si>
  <si>
    <t>26085</t>
  </si>
  <si>
    <t>26086</t>
  </si>
  <si>
    <t>26087</t>
  </si>
  <si>
    <t>26088</t>
  </si>
  <si>
    <t>Tabela 10 — Design (Aba 26)</t>
  </si>
  <si>
    <t>26091</t>
  </si>
  <si>
    <t>26092</t>
  </si>
  <si>
    <t>26093</t>
  </si>
  <si>
    <t>26094</t>
  </si>
  <si>
    <t>26095</t>
  </si>
  <si>
    <t>26096</t>
  </si>
  <si>
    <t>26097</t>
  </si>
  <si>
    <t>26098</t>
  </si>
  <si>
    <t>Tabela 11 — DevEx (Aba 26)</t>
  </si>
  <si>
    <t>26101</t>
  </si>
  <si>
    <t>26102</t>
  </si>
  <si>
    <t>26103</t>
  </si>
  <si>
    <t>26104</t>
  </si>
  <si>
    <t>26105</t>
  </si>
  <si>
    <t>26106</t>
  </si>
  <si>
    <t>26107</t>
  </si>
  <si>
    <t>26108</t>
  </si>
  <si>
    <t>Tabela 12 — Dados (Aba 26)</t>
  </si>
  <si>
    <t>26111</t>
  </si>
  <si>
    <t>26112</t>
  </si>
  <si>
    <t>26113</t>
  </si>
  <si>
    <t>26114</t>
  </si>
  <si>
    <t>26115</t>
  </si>
  <si>
    <t>26116</t>
  </si>
  <si>
    <t>26117</t>
  </si>
  <si>
    <t>26118</t>
  </si>
  <si>
    <t>Tabela 13 — Infra (Aba 26)</t>
  </si>
  <si>
    <t>26121</t>
  </si>
  <si>
    <t>26122</t>
  </si>
  <si>
    <t>26123</t>
  </si>
  <si>
    <t>26124</t>
  </si>
  <si>
    <t>26125</t>
  </si>
  <si>
    <t>26126</t>
  </si>
  <si>
    <t>26127</t>
  </si>
  <si>
    <t>26128</t>
  </si>
  <si>
    <t>Tabela 14 — Segurança (Aba 26)</t>
  </si>
  <si>
    <t>26131</t>
  </si>
  <si>
    <t>26132</t>
  </si>
  <si>
    <t>26133</t>
  </si>
  <si>
    <t>26134</t>
  </si>
  <si>
    <t>26135</t>
  </si>
  <si>
    <t>26136</t>
  </si>
  <si>
    <t>26137</t>
  </si>
  <si>
    <t>26138</t>
  </si>
  <si>
    <t>Tabela 15 — Engenharia (Aba 26)</t>
  </si>
  <si>
    <t>26141</t>
  </si>
  <si>
    <t>26142</t>
  </si>
  <si>
    <t>26143</t>
  </si>
  <si>
    <t>26144</t>
  </si>
  <si>
    <t>26145</t>
  </si>
  <si>
    <t>26146</t>
  </si>
  <si>
    <t>26147</t>
  </si>
  <si>
    <t>26148</t>
  </si>
  <si>
    <t>Tabela 16 — Produto (Aba 26)</t>
  </si>
  <si>
    <t>26151</t>
  </si>
  <si>
    <t>26152</t>
  </si>
  <si>
    <t>26153</t>
  </si>
  <si>
    <t>26154</t>
  </si>
  <si>
    <t>26155</t>
  </si>
  <si>
    <t>26156</t>
  </si>
  <si>
    <t>26157</t>
  </si>
  <si>
    <t>26158</t>
  </si>
  <si>
    <t>Tabela 17 — Design (Aba 26)</t>
  </si>
  <si>
    <t>26161</t>
  </si>
  <si>
    <t>26162</t>
  </si>
  <si>
    <t>26163</t>
  </si>
  <si>
    <t>26164</t>
  </si>
  <si>
    <t>26165</t>
  </si>
  <si>
    <t>26166</t>
  </si>
  <si>
    <t>26167</t>
  </si>
  <si>
    <t>26168</t>
  </si>
  <si>
    <t>Tabela 18 — DevEx (Aba 26)</t>
  </si>
  <si>
    <t>26171</t>
  </si>
  <si>
    <t>26172</t>
  </si>
  <si>
    <t>26173</t>
  </si>
  <si>
    <t>26174</t>
  </si>
  <si>
    <t>26175</t>
  </si>
  <si>
    <t>26176</t>
  </si>
  <si>
    <t>26177</t>
  </si>
  <si>
    <t>26178</t>
  </si>
  <si>
    <t>Tabela 19 — Dados (Aba 26)</t>
  </si>
  <si>
    <t>26181</t>
  </si>
  <si>
    <t>26182</t>
  </si>
  <si>
    <t>26183</t>
  </si>
  <si>
    <t>26184</t>
  </si>
  <si>
    <t>26185</t>
  </si>
  <si>
    <t>26186</t>
  </si>
  <si>
    <t>26187</t>
  </si>
  <si>
    <t>26188</t>
  </si>
  <si>
    <t>Tabela 20 — Infra (Aba 26)</t>
  </si>
  <si>
    <t>26191</t>
  </si>
  <si>
    <t>26192</t>
  </si>
  <si>
    <t>26193</t>
  </si>
  <si>
    <t>26194</t>
  </si>
  <si>
    <t>26195</t>
  </si>
  <si>
    <t>26196</t>
  </si>
  <si>
    <t>26197</t>
  </si>
  <si>
    <t>26198</t>
  </si>
  <si>
    <t>Tabela 21 — Segurança (Aba 26)</t>
  </si>
  <si>
    <t>26201</t>
  </si>
  <si>
    <t>26202</t>
  </si>
  <si>
    <t>26203</t>
  </si>
  <si>
    <t>26204</t>
  </si>
  <si>
    <t>26205</t>
  </si>
  <si>
    <t>26206</t>
  </si>
  <si>
    <t>26207</t>
  </si>
  <si>
    <t>26208</t>
  </si>
  <si>
    <t>Tabela 22 — Engenharia (Aba 26)</t>
  </si>
  <si>
    <t>26211</t>
  </si>
  <si>
    <t>26212</t>
  </si>
  <si>
    <t>26213</t>
  </si>
  <si>
    <t>26214</t>
  </si>
  <si>
    <t>26215</t>
  </si>
  <si>
    <t>26216</t>
  </si>
  <si>
    <t>26217</t>
  </si>
  <si>
    <t>26218</t>
  </si>
  <si>
    <t>Tabela 23 — Produto (Aba 26)</t>
  </si>
  <si>
    <t>26221</t>
  </si>
  <si>
    <t>26222</t>
  </si>
  <si>
    <t>26223</t>
  </si>
  <si>
    <t>26224</t>
  </si>
  <si>
    <t>26225</t>
  </si>
  <si>
    <t>26226</t>
  </si>
  <si>
    <t>26227</t>
  </si>
  <si>
    <t>26228</t>
  </si>
  <si>
    <t>Tabela 24 — Design (Aba 26)</t>
  </si>
  <si>
    <t>26231</t>
  </si>
  <si>
    <t>26232</t>
  </si>
  <si>
    <t>26233</t>
  </si>
  <si>
    <t>26234</t>
  </si>
  <si>
    <t>26235</t>
  </si>
  <si>
    <t>26236</t>
  </si>
  <si>
    <t>26237</t>
  </si>
  <si>
    <t>26238</t>
  </si>
  <si>
    <t>Tabela 25 — DevEx (Aba 26)</t>
  </si>
  <si>
    <t>26241</t>
  </si>
  <si>
    <t>26242</t>
  </si>
  <si>
    <t>26243</t>
  </si>
  <si>
    <t>26244</t>
  </si>
  <si>
    <t>26245</t>
  </si>
  <si>
    <t>26246</t>
  </si>
  <si>
    <t>26247</t>
  </si>
  <si>
    <t>26248</t>
  </si>
  <si>
    <t>Tabela 26 — Dados (Aba 26)</t>
  </si>
  <si>
    <t>26251</t>
  </si>
  <si>
    <t>26252</t>
  </si>
  <si>
    <t>26253</t>
  </si>
  <si>
    <t>26254</t>
  </si>
  <si>
    <t>26255</t>
  </si>
  <si>
    <t>26256</t>
  </si>
  <si>
    <t>26257</t>
  </si>
  <si>
    <t>26258</t>
  </si>
  <si>
    <t>Tabela 27 — Infra (Aba 26)</t>
  </si>
  <si>
    <t>26261</t>
  </si>
  <si>
    <t>26262</t>
  </si>
  <si>
    <t>26263</t>
  </si>
  <si>
    <t>26264</t>
  </si>
  <si>
    <t>26265</t>
  </si>
  <si>
    <t>26266</t>
  </si>
  <si>
    <t>26267</t>
  </si>
  <si>
    <t>26268</t>
  </si>
  <si>
    <t>Tabela 28 — Segurança (Aba 26)</t>
  </si>
  <si>
    <t>26271</t>
  </si>
  <si>
    <t>26272</t>
  </si>
  <si>
    <t>26273</t>
  </si>
  <si>
    <t>26274</t>
  </si>
  <si>
    <t>26275</t>
  </si>
  <si>
    <t>26276</t>
  </si>
  <si>
    <t>26277</t>
  </si>
  <si>
    <t>26278</t>
  </si>
  <si>
    <t>Tabela 29 — Engenharia (Aba 26)</t>
  </si>
  <si>
    <t>26281</t>
  </si>
  <si>
    <t>26282</t>
  </si>
  <si>
    <t>26283</t>
  </si>
  <si>
    <t>26284</t>
  </si>
  <si>
    <t>26285</t>
  </si>
  <si>
    <t>26286</t>
  </si>
  <si>
    <t>26287</t>
  </si>
  <si>
    <t>26288</t>
  </si>
  <si>
    <t>Tabela 30 — Produto (Aba 26)</t>
  </si>
  <si>
    <t>26291</t>
  </si>
  <si>
    <t>26292</t>
  </si>
  <si>
    <t>26293</t>
  </si>
  <si>
    <t>26294</t>
  </si>
  <si>
    <t>26295</t>
  </si>
  <si>
    <t>26296</t>
  </si>
  <si>
    <t>26297</t>
  </si>
  <si>
    <t>26298</t>
  </si>
  <si>
    <t>Planilha — Aba 25 | Relatório de Equipe</t>
  </si>
  <si>
    <t>Tabela 1 — Engenharia (Aba 25)</t>
  </si>
  <si>
    <t>25001</t>
  </si>
  <si>
    <t>25002</t>
  </si>
  <si>
    <t>25003</t>
  </si>
  <si>
    <t>25004</t>
  </si>
  <si>
    <t>25005</t>
  </si>
  <si>
    <t>25006</t>
  </si>
  <si>
    <t>25007</t>
  </si>
  <si>
    <t>25008</t>
  </si>
  <si>
    <t>Tabela 2 — Produto (Aba 25)</t>
  </si>
  <si>
    <t>25011</t>
  </si>
  <si>
    <t>25012</t>
  </si>
  <si>
    <t>25013</t>
  </si>
  <si>
    <t>25014</t>
  </si>
  <si>
    <t>25015</t>
  </si>
  <si>
    <t>25016</t>
  </si>
  <si>
    <t>25017</t>
  </si>
  <si>
    <t>25018</t>
  </si>
  <si>
    <t>Tabela 3 — Design (Aba 25)</t>
  </si>
  <si>
    <t>25021</t>
  </si>
  <si>
    <t>25022</t>
  </si>
  <si>
    <t>25023</t>
  </si>
  <si>
    <t>25024</t>
  </si>
  <si>
    <t>25025</t>
  </si>
  <si>
    <t>25026</t>
  </si>
  <si>
    <t>25027</t>
  </si>
  <si>
    <t>25028</t>
  </si>
  <si>
    <t>Tabela 4 — DevEx (Aba 25)</t>
  </si>
  <si>
    <t>25031</t>
  </si>
  <si>
    <t>25032</t>
  </si>
  <si>
    <t>25033</t>
  </si>
  <si>
    <t>25034</t>
  </si>
  <si>
    <t>25035</t>
  </si>
  <si>
    <t>25036</t>
  </si>
  <si>
    <t>25037</t>
  </si>
  <si>
    <t>25038</t>
  </si>
  <si>
    <t>Tabela 5 — Dados (Aba 25)</t>
  </si>
  <si>
    <t>25041</t>
  </si>
  <si>
    <t>25042</t>
  </si>
  <si>
    <t>25043</t>
  </si>
  <si>
    <t>25044</t>
  </si>
  <si>
    <t>25045</t>
  </si>
  <si>
    <t>25046</t>
  </si>
  <si>
    <t>25047</t>
  </si>
  <si>
    <t>25048</t>
  </si>
  <si>
    <t>Tabela 6 — Infra (Aba 25)</t>
  </si>
  <si>
    <t>25051</t>
  </si>
  <si>
    <t>25052</t>
  </si>
  <si>
    <t>25053</t>
  </si>
  <si>
    <t>25054</t>
  </si>
  <si>
    <t>25055</t>
  </si>
  <si>
    <t>25056</t>
  </si>
  <si>
    <t>25057</t>
  </si>
  <si>
    <t>25058</t>
  </si>
  <si>
    <t>Tabela 7 — Segurança (Aba 25)</t>
  </si>
  <si>
    <t>25061</t>
  </si>
  <si>
    <t>25062</t>
  </si>
  <si>
    <t>25063</t>
  </si>
  <si>
    <t>25064</t>
  </si>
  <si>
    <t>25065</t>
  </si>
  <si>
    <t>25066</t>
  </si>
  <si>
    <t>25067</t>
  </si>
  <si>
    <t>25068</t>
  </si>
  <si>
    <t>Tabela 8 — Engenharia (Aba 25)</t>
  </si>
  <si>
    <t>25071</t>
  </si>
  <si>
    <t>25072</t>
  </si>
  <si>
    <t>25073</t>
  </si>
  <si>
    <t>25074</t>
  </si>
  <si>
    <t>25075</t>
  </si>
  <si>
    <t>25076</t>
  </si>
  <si>
    <t>25077</t>
  </si>
  <si>
    <t>25078</t>
  </si>
  <si>
    <t>Tabela 9 — Produto (Aba 25)</t>
  </si>
  <si>
    <t>25081</t>
  </si>
  <si>
    <t>25082</t>
  </si>
  <si>
    <t>25083</t>
  </si>
  <si>
    <t>25084</t>
  </si>
  <si>
    <t>25085</t>
  </si>
  <si>
    <t>25086</t>
  </si>
  <si>
    <t>25087</t>
  </si>
  <si>
    <t>25088</t>
  </si>
  <si>
    <t>Tabela 10 — Design (Aba 25)</t>
  </si>
  <si>
    <t>25091</t>
  </si>
  <si>
    <t>25092</t>
  </si>
  <si>
    <t>25093</t>
  </si>
  <si>
    <t>25094</t>
  </si>
  <si>
    <t>25095</t>
  </si>
  <si>
    <t>25096</t>
  </si>
  <si>
    <t>25097</t>
  </si>
  <si>
    <t>25098</t>
  </si>
  <si>
    <t>Tabela 11 — DevEx (Aba 25)</t>
  </si>
  <si>
    <t>25101</t>
  </si>
  <si>
    <t>25102</t>
  </si>
  <si>
    <t>25103</t>
  </si>
  <si>
    <t>25104</t>
  </si>
  <si>
    <t>25105</t>
  </si>
  <si>
    <t>25106</t>
  </si>
  <si>
    <t>25107</t>
  </si>
  <si>
    <t>25108</t>
  </si>
  <si>
    <t>Tabela 12 — Dados (Aba 25)</t>
  </si>
  <si>
    <t>25111</t>
  </si>
  <si>
    <t>25112</t>
  </si>
  <si>
    <t>25113</t>
  </si>
  <si>
    <t>25114</t>
  </si>
  <si>
    <t>25115</t>
  </si>
  <si>
    <t>25116</t>
  </si>
  <si>
    <t>25117</t>
  </si>
  <si>
    <t>25118</t>
  </si>
  <si>
    <t>Tabela 13 — Infra (Aba 25)</t>
  </si>
  <si>
    <t>25121</t>
  </si>
  <si>
    <t>25122</t>
  </si>
  <si>
    <t>25123</t>
  </si>
  <si>
    <t>25124</t>
  </si>
  <si>
    <t>25125</t>
  </si>
  <si>
    <t>25126</t>
  </si>
  <si>
    <t>25127</t>
  </si>
  <si>
    <t>25128</t>
  </si>
  <si>
    <t>Tabela 14 — Segurança (Aba 25)</t>
  </si>
  <si>
    <t>25131</t>
  </si>
  <si>
    <t>25132</t>
  </si>
  <si>
    <t>25133</t>
  </si>
  <si>
    <t>25134</t>
  </si>
  <si>
    <t>25135</t>
  </si>
  <si>
    <t>25136</t>
  </si>
  <si>
    <t>25137</t>
  </si>
  <si>
    <t>25138</t>
  </si>
  <si>
    <t>Tabela 15 — Engenharia (Aba 25)</t>
  </si>
  <si>
    <t>25141</t>
  </si>
  <si>
    <t>25142</t>
  </si>
  <si>
    <t>25143</t>
  </si>
  <si>
    <t>25144</t>
  </si>
  <si>
    <t>25145</t>
  </si>
  <si>
    <t>25146</t>
  </si>
  <si>
    <t>25147</t>
  </si>
  <si>
    <t>25148</t>
  </si>
  <si>
    <t>Tabela 16 — Produto (Aba 25)</t>
  </si>
  <si>
    <t>25151</t>
  </si>
  <si>
    <t>25152</t>
  </si>
  <si>
    <t>25153</t>
  </si>
  <si>
    <t>25154</t>
  </si>
  <si>
    <t>25155</t>
  </si>
  <si>
    <t>25156</t>
  </si>
  <si>
    <t>25157</t>
  </si>
  <si>
    <t>25158</t>
  </si>
  <si>
    <t>Tabela 17 — Design (Aba 25)</t>
  </si>
  <si>
    <t>25161</t>
  </si>
  <si>
    <t>25162</t>
  </si>
  <si>
    <t>25163</t>
  </si>
  <si>
    <t>25164</t>
  </si>
  <si>
    <t>25165</t>
  </si>
  <si>
    <t>25166</t>
  </si>
  <si>
    <t>25167</t>
  </si>
  <si>
    <t>25168</t>
  </si>
  <si>
    <t>Tabela 18 — DevEx (Aba 25)</t>
  </si>
  <si>
    <t>25171</t>
  </si>
  <si>
    <t>25172</t>
  </si>
  <si>
    <t>25173</t>
  </si>
  <si>
    <t>25174</t>
  </si>
  <si>
    <t>25175</t>
  </si>
  <si>
    <t>25176</t>
  </si>
  <si>
    <t>25177</t>
  </si>
  <si>
    <t>25178</t>
  </si>
  <si>
    <t>Tabela 19 — Dados (Aba 25)</t>
  </si>
  <si>
    <t>25181</t>
  </si>
  <si>
    <t>25182</t>
  </si>
  <si>
    <t>25183</t>
  </si>
  <si>
    <t>25184</t>
  </si>
  <si>
    <t>25185</t>
  </si>
  <si>
    <t>25186</t>
  </si>
  <si>
    <t>25187</t>
  </si>
  <si>
    <t>25188</t>
  </si>
  <si>
    <t>Tabela 20 — Infra (Aba 25)</t>
  </si>
  <si>
    <t>25191</t>
  </si>
  <si>
    <t>25192</t>
  </si>
  <si>
    <t>25193</t>
  </si>
  <si>
    <t>25194</t>
  </si>
  <si>
    <t>25195</t>
  </si>
  <si>
    <t>25196</t>
  </si>
  <si>
    <t>25197</t>
  </si>
  <si>
    <t>25198</t>
  </si>
  <si>
    <t>Tabela 21 — Segurança (Aba 25)</t>
  </si>
  <si>
    <t>25201</t>
  </si>
  <si>
    <t>25202</t>
  </si>
  <si>
    <t>25203</t>
  </si>
  <si>
    <t>25204</t>
  </si>
  <si>
    <t>25205</t>
  </si>
  <si>
    <t>25206</t>
  </si>
  <si>
    <t>25207</t>
  </si>
  <si>
    <t>25208</t>
  </si>
  <si>
    <t>Tabela 22 — Engenharia (Aba 25)</t>
  </si>
  <si>
    <t>25211</t>
  </si>
  <si>
    <t>25212</t>
  </si>
  <si>
    <t>25213</t>
  </si>
  <si>
    <t>25214</t>
  </si>
  <si>
    <t>25215</t>
  </si>
  <si>
    <t>25216</t>
  </si>
  <si>
    <t>25217</t>
  </si>
  <si>
    <t>25218</t>
  </si>
  <si>
    <t>Tabela 23 — Produto (Aba 25)</t>
  </si>
  <si>
    <t>25221</t>
  </si>
  <si>
    <t>25222</t>
  </si>
  <si>
    <t>25223</t>
  </si>
  <si>
    <t>25224</t>
  </si>
  <si>
    <t>25225</t>
  </si>
  <si>
    <t>25226</t>
  </si>
  <si>
    <t>25227</t>
  </si>
  <si>
    <t>25228</t>
  </si>
  <si>
    <t>Tabela 24 — Design (Aba 25)</t>
  </si>
  <si>
    <t>25231</t>
  </si>
  <si>
    <t>25232</t>
  </si>
  <si>
    <t>25233</t>
  </si>
  <si>
    <t>25234</t>
  </si>
  <si>
    <t>25235</t>
  </si>
  <si>
    <t>25236</t>
  </si>
  <si>
    <t>25237</t>
  </si>
  <si>
    <t>25238</t>
  </si>
  <si>
    <t>Tabela 25 — DevEx (Aba 25)</t>
  </si>
  <si>
    <t>25241</t>
  </si>
  <si>
    <t>25242</t>
  </si>
  <si>
    <t>25243</t>
  </si>
  <si>
    <t>25244</t>
  </si>
  <si>
    <t>25245</t>
  </si>
  <si>
    <t>25246</t>
  </si>
  <si>
    <t>25247</t>
  </si>
  <si>
    <t>25248</t>
  </si>
  <si>
    <t>Tabela 26 — Dados (Aba 25)</t>
  </si>
  <si>
    <t>25251</t>
  </si>
  <si>
    <t>25252</t>
  </si>
  <si>
    <t>25253</t>
  </si>
  <si>
    <t>25254</t>
  </si>
  <si>
    <t>25255</t>
  </si>
  <si>
    <t>25256</t>
  </si>
  <si>
    <t>25257</t>
  </si>
  <si>
    <t>25258</t>
  </si>
  <si>
    <t>Tabela 27 — Infra (Aba 25)</t>
  </si>
  <si>
    <t>25261</t>
  </si>
  <si>
    <t>25262</t>
  </si>
  <si>
    <t>25263</t>
  </si>
  <si>
    <t>25264</t>
  </si>
  <si>
    <t>25265</t>
  </si>
  <si>
    <t>25266</t>
  </si>
  <si>
    <t>25267</t>
  </si>
  <si>
    <t>25268</t>
  </si>
  <si>
    <t>Tabela 28 — Segurança (Aba 25)</t>
  </si>
  <si>
    <t>25271</t>
  </si>
  <si>
    <t>25272</t>
  </si>
  <si>
    <t>25273</t>
  </si>
  <si>
    <t>25274</t>
  </si>
  <si>
    <t>25275</t>
  </si>
  <si>
    <t>25276</t>
  </si>
  <si>
    <t>25277</t>
  </si>
  <si>
    <t>25278</t>
  </si>
  <si>
    <t>Tabela 29 — Engenharia (Aba 25)</t>
  </si>
  <si>
    <t>25281</t>
  </si>
  <si>
    <t>25282</t>
  </si>
  <si>
    <t>25283</t>
  </si>
  <si>
    <t>25284</t>
  </si>
  <si>
    <t>25285</t>
  </si>
  <si>
    <t>25286</t>
  </si>
  <si>
    <t>25287</t>
  </si>
  <si>
    <t>25288</t>
  </si>
  <si>
    <t>Tabela 30 — Produto (Aba 25)</t>
  </si>
  <si>
    <t>25291</t>
  </si>
  <si>
    <t>25292</t>
  </si>
  <si>
    <t>25293</t>
  </si>
  <si>
    <t>25294</t>
  </si>
  <si>
    <t>25295</t>
  </si>
  <si>
    <t>25296</t>
  </si>
  <si>
    <t>25297</t>
  </si>
  <si>
    <t>25298</t>
  </si>
  <si>
    <t>Planilha — Aba 24 | Relatório de Equipe</t>
  </si>
  <si>
    <t>Tabela 1 — Engenharia (Aba 24)</t>
  </si>
  <si>
    <t>24001</t>
  </si>
  <si>
    <t>24002</t>
  </si>
  <si>
    <t>24003</t>
  </si>
  <si>
    <t>24004</t>
  </si>
  <si>
    <t>24005</t>
  </si>
  <si>
    <t>24006</t>
  </si>
  <si>
    <t>24007</t>
  </si>
  <si>
    <t>24008</t>
  </si>
  <si>
    <t>Tabela 2 — Produto (Aba 24)</t>
  </si>
  <si>
    <t>24011</t>
  </si>
  <si>
    <t>24012</t>
  </si>
  <si>
    <t>24013</t>
  </si>
  <si>
    <t>24014</t>
  </si>
  <si>
    <t>24015</t>
  </si>
  <si>
    <t>24016</t>
  </si>
  <si>
    <t>24017</t>
  </si>
  <si>
    <t>24018</t>
  </si>
  <si>
    <t>Tabela 3 — Design (Aba 24)</t>
  </si>
  <si>
    <t>24021</t>
  </si>
  <si>
    <t>24022</t>
  </si>
  <si>
    <t>24023</t>
  </si>
  <si>
    <t>24024</t>
  </si>
  <si>
    <t>24025</t>
  </si>
  <si>
    <t>24026</t>
  </si>
  <si>
    <t>24027</t>
  </si>
  <si>
    <t>24028</t>
  </si>
  <si>
    <t>Tabela 4 — DevEx (Aba 24)</t>
  </si>
  <si>
    <t>24031</t>
  </si>
  <si>
    <t>24032</t>
  </si>
  <si>
    <t>24033</t>
  </si>
  <si>
    <t>24034</t>
  </si>
  <si>
    <t>24035</t>
  </si>
  <si>
    <t>24036</t>
  </si>
  <si>
    <t>24037</t>
  </si>
  <si>
    <t>24038</t>
  </si>
  <si>
    <t>Tabela 5 — Dados (Aba 24)</t>
  </si>
  <si>
    <t>24041</t>
  </si>
  <si>
    <t>24042</t>
  </si>
  <si>
    <t>24043</t>
  </si>
  <si>
    <t>24044</t>
  </si>
  <si>
    <t>24045</t>
  </si>
  <si>
    <t>24046</t>
  </si>
  <si>
    <t>24047</t>
  </si>
  <si>
    <t>24048</t>
  </si>
  <si>
    <t>Tabela 6 — Infra (Aba 24)</t>
  </si>
  <si>
    <t>24051</t>
  </si>
  <si>
    <t>24052</t>
  </si>
  <si>
    <t>24053</t>
  </si>
  <si>
    <t>24054</t>
  </si>
  <si>
    <t>24055</t>
  </si>
  <si>
    <t>24056</t>
  </si>
  <si>
    <t>24057</t>
  </si>
  <si>
    <t>24058</t>
  </si>
  <si>
    <t>Tabela 7 — Segurança (Aba 24)</t>
  </si>
  <si>
    <t>24061</t>
  </si>
  <si>
    <t>24062</t>
  </si>
  <si>
    <t>24063</t>
  </si>
  <si>
    <t>24064</t>
  </si>
  <si>
    <t>24065</t>
  </si>
  <si>
    <t>24066</t>
  </si>
  <si>
    <t>24067</t>
  </si>
  <si>
    <t>24068</t>
  </si>
  <si>
    <t>Tabela 8 — Engenharia (Aba 24)</t>
  </si>
  <si>
    <t>24071</t>
  </si>
  <si>
    <t>24072</t>
  </si>
  <si>
    <t>24073</t>
  </si>
  <si>
    <t>24074</t>
  </si>
  <si>
    <t>24075</t>
  </si>
  <si>
    <t>24076</t>
  </si>
  <si>
    <t>24077</t>
  </si>
  <si>
    <t>24078</t>
  </si>
  <si>
    <t>Tabela 9 — Produto (Aba 24)</t>
  </si>
  <si>
    <t>24081</t>
  </si>
  <si>
    <t>24082</t>
  </si>
  <si>
    <t>24083</t>
  </si>
  <si>
    <t>24084</t>
  </si>
  <si>
    <t>24085</t>
  </si>
  <si>
    <t>24086</t>
  </si>
  <si>
    <t>24087</t>
  </si>
  <si>
    <t>24088</t>
  </si>
  <si>
    <t>Tabela 10 — Design (Aba 24)</t>
  </si>
  <si>
    <t>24091</t>
  </si>
  <si>
    <t>24092</t>
  </si>
  <si>
    <t>24093</t>
  </si>
  <si>
    <t>24094</t>
  </si>
  <si>
    <t>24095</t>
  </si>
  <si>
    <t>24096</t>
  </si>
  <si>
    <t>24097</t>
  </si>
  <si>
    <t>24098</t>
  </si>
  <si>
    <t>Tabela 11 — DevEx (Aba 24)</t>
  </si>
  <si>
    <t>24101</t>
  </si>
  <si>
    <t>24102</t>
  </si>
  <si>
    <t>24103</t>
  </si>
  <si>
    <t>24104</t>
  </si>
  <si>
    <t>24105</t>
  </si>
  <si>
    <t>24106</t>
  </si>
  <si>
    <t>24107</t>
  </si>
  <si>
    <t>24108</t>
  </si>
  <si>
    <t>Tabela 12 — Dados (Aba 24)</t>
  </si>
  <si>
    <t>24111</t>
  </si>
  <si>
    <t>24112</t>
  </si>
  <si>
    <t>24113</t>
  </si>
  <si>
    <t>24114</t>
  </si>
  <si>
    <t>24115</t>
  </si>
  <si>
    <t>24116</t>
  </si>
  <si>
    <t>24117</t>
  </si>
  <si>
    <t>24118</t>
  </si>
  <si>
    <t>Tabela 13 — Infra (Aba 24)</t>
  </si>
  <si>
    <t>24121</t>
  </si>
  <si>
    <t>24122</t>
  </si>
  <si>
    <t>24123</t>
  </si>
  <si>
    <t>24124</t>
  </si>
  <si>
    <t>24125</t>
  </si>
  <si>
    <t>24126</t>
  </si>
  <si>
    <t>24127</t>
  </si>
  <si>
    <t>24128</t>
  </si>
  <si>
    <t>Tabela 14 — Segurança (Aba 24)</t>
  </si>
  <si>
    <t>24131</t>
  </si>
  <si>
    <t>24132</t>
  </si>
  <si>
    <t>24133</t>
  </si>
  <si>
    <t>24134</t>
  </si>
  <si>
    <t>24135</t>
  </si>
  <si>
    <t>24136</t>
  </si>
  <si>
    <t>24137</t>
  </si>
  <si>
    <t>24138</t>
  </si>
  <si>
    <t>Tabela 15 — Engenharia (Aba 24)</t>
  </si>
  <si>
    <t>24141</t>
  </si>
  <si>
    <t>24142</t>
  </si>
  <si>
    <t>24143</t>
  </si>
  <si>
    <t>24144</t>
  </si>
  <si>
    <t>24145</t>
  </si>
  <si>
    <t>24146</t>
  </si>
  <si>
    <t>24147</t>
  </si>
  <si>
    <t>24148</t>
  </si>
  <si>
    <t>Tabela 16 — Produto (Aba 24)</t>
  </si>
  <si>
    <t>24151</t>
  </si>
  <si>
    <t>24152</t>
  </si>
  <si>
    <t>24153</t>
  </si>
  <si>
    <t>24154</t>
  </si>
  <si>
    <t>24155</t>
  </si>
  <si>
    <t>24156</t>
  </si>
  <si>
    <t>24157</t>
  </si>
  <si>
    <t>24158</t>
  </si>
  <si>
    <t>Tabela 17 — Design (Aba 24)</t>
  </si>
  <si>
    <t>24161</t>
  </si>
  <si>
    <t>24162</t>
  </si>
  <si>
    <t>24163</t>
  </si>
  <si>
    <t>24164</t>
  </si>
  <si>
    <t>24165</t>
  </si>
  <si>
    <t>24166</t>
  </si>
  <si>
    <t>24167</t>
  </si>
  <si>
    <t>24168</t>
  </si>
  <si>
    <t>Tabela 18 — DevEx (Aba 24)</t>
  </si>
  <si>
    <t>24171</t>
  </si>
  <si>
    <t>24172</t>
  </si>
  <si>
    <t>24173</t>
  </si>
  <si>
    <t>24174</t>
  </si>
  <si>
    <t>24175</t>
  </si>
  <si>
    <t>24176</t>
  </si>
  <si>
    <t>24177</t>
  </si>
  <si>
    <t>24178</t>
  </si>
  <si>
    <t>Tabela 19 — Dados (Aba 24)</t>
  </si>
  <si>
    <t>24181</t>
  </si>
  <si>
    <t>24182</t>
  </si>
  <si>
    <t>24183</t>
  </si>
  <si>
    <t>24184</t>
  </si>
  <si>
    <t>24185</t>
  </si>
  <si>
    <t>24186</t>
  </si>
  <si>
    <t>24187</t>
  </si>
  <si>
    <t>24188</t>
  </si>
  <si>
    <t>Tabela 20 — Infra (Aba 24)</t>
  </si>
  <si>
    <t>24191</t>
  </si>
  <si>
    <t>24192</t>
  </si>
  <si>
    <t>24193</t>
  </si>
  <si>
    <t>24194</t>
  </si>
  <si>
    <t>24195</t>
  </si>
  <si>
    <t>24196</t>
  </si>
  <si>
    <t>24197</t>
  </si>
  <si>
    <t>24198</t>
  </si>
  <si>
    <t>Tabela 21 — Segurança (Aba 24)</t>
  </si>
  <si>
    <t>24201</t>
  </si>
  <si>
    <t>24202</t>
  </si>
  <si>
    <t>24203</t>
  </si>
  <si>
    <t>24204</t>
  </si>
  <si>
    <t>24205</t>
  </si>
  <si>
    <t>24206</t>
  </si>
  <si>
    <t>24207</t>
  </si>
  <si>
    <t>24208</t>
  </si>
  <si>
    <t>Tabela 22 — Engenharia (Aba 24)</t>
  </si>
  <si>
    <t>24211</t>
  </si>
  <si>
    <t>24212</t>
  </si>
  <si>
    <t>24213</t>
  </si>
  <si>
    <t>24214</t>
  </si>
  <si>
    <t>24215</t>
  </si>
  <si>
    <t>24216</t>
  </si>
  <si>
    <t>24217</t>
  </si>
  <si>
    <t>24218</t>
  </si>
  <si>
    <t>Tabela 23 — Produto (Aba 24)</t>
  </si>
  <si>
    <t>24221</t>
  </si>
  <si>
    <t>24222</t>
  </si>
  <si>
    <t>24223</t>
  </si>
  <si>
    <t>24224</t>
  </si>
  <si>
    <t>24225</t>
  </si>
  <si>
    <t>24226</t>
  </si>
  <si>
    <t>24227</t>
  </si>
  <si>
    <t>24228</t>
  </si>
  <si>
    <t>Tabela 24 — Design (Aba 24)</t>
  </si>
  <si>
    <t>24231</t>
  </si>
  <si>
    <t>24232</t>
  </si>
  <si>
    <t>24233</t>
  </si>
  <si>
    <t>24234</t>
  </si>
  <si>
    <t>24235</t>
  </si>
  <si>
    <t>24236</t>
  </si>
  <si>
    <t>24237</t>
  </si>
  <si>
    <t>24238</t>
  </si>
  <si>
    <t>Tabela 25 — DevEx (Aba 24)</t>
  </si>
  <si>
    <t>24241</t>
  </si>
  <si>
    <t>24242</t>
  </si>
  <si>
    <t>24243</t>
  </si>
  <si>
    <t>24244</t>
  </si>
  <si>
    <t>24245</t>
  </si>
  <si>
    <t>24246</t>
  </si>
  <si>
    <t>24247</t>
  </si>
  <si>
    <t>24248</t>
  </si>
  <si>
    <t>Tabela 26 — Dados (Aba 24)</t>
  </si>
  <si>
    <t>24251</t>
  </si>
  <si>
    <t>24252</t>
  </si>
  <si>
    <t>24253</t>
  </si>
  <si>
    <t>24254</t>
  </si>
  <si>
    <t>24255</t>
  </si>
  <si>
    <t>24256</t>
  </si>
  <si>
    <t>24257</t>
  </si>
  <si>
    <t>24258</t>
  </si>
  <si>
    <t>Tabela 27 — Infra (Aba 24)</t>
  </si>
  <si>
    <t>24261</t>
  </si>
  <si>
    <t>24262</t>
  </si>
  <si>
    <t>24263</t>
  </si>
  <si>
    <t>24264</t>
  </si>
  <si>
    <t>24265</t>
  </si>
  <si>
    <t>24266</t>
  </si>
  <si>
    <t>24267</t>
  </si>
  <si>
    <t>24268</t>
  </si>
  <si>
    <t>Tabela 28 — Segurança (Aba 24)</t>
  </si>
  <si>
    <t>24271</t>
  </si>
  <si>
    <t>24272</t>
  </si>
  <si>
    <t>24273</t>
  </si>
  <si>
    <t>24274</t>
  </si>
  <si>
    <t>24275</t>
  </si>
  <si>
    <t>24276</t>
  </si>
  <si>
    <t>24277</t>
  </si>
  <si>
    <t>24278</t>
  </si>
  <si>
    <t>Tabela 29 — Engenharia (Aba 24)</t>
  </si>
  <si>
    <t>24281</t>
  </si>
  <si>
    <t>24282</t>
  </si>
  <si>
    <t>24283</t>
  </si>
  <si>
    <t>24284</t>
  </si>
  <si>
    <t>24285</t>
  </si>
  <si>
    <t>24286</t>
  </si>
  <si>
    <t>24287</t>
  </si>
  <si>
    <t>24288</t>
  </si>
  <si>
    <t>Tabela 30 — Produto (Aba 24)</t>
  </si>
  <si>
    <t>24291</t>
  </si>
  <si>
    <t>24292</t>
  </si>
  <si>
    <t>24293</t>
  </si>
  <si>
    <t>24294</t>
  </si>
  <si>
    <t>24295</t>
  </si>
  <si>
    <t>24296</t>
  </si>
  <si>
    <t>24297</t>
  </si>
  <si>
    <t>24298</t>
  </si>
  <si>
    <t>Planilha — Aba 23 | Relatório de Equipe</t>
  </si>
  <si>
    <t>Tabela 1 — Engenharia (Aba 23)</t>
  </si>
  <si>
    <t>23001</t>
  </si>
  <si>
    <t>23002</t>
  </si>
  <si>
    <t>23003</t>
  </si>
  <si>
    <t>23004</t>
  </si>
  <si>
    <t>23005</t>
  </si>
  <si>
    <t>23006</t>
  </si>
  <si>
    <t>23007</t>
  </si>
  <si>
    <t>23008</t>
  </si>
  <si>
    <t>Tabela 2 — Produto (Aba 23)</t>
  </si>
  <si>
    <t>23011</t>
  </si>
  <si>
    <t>23012</t>
  </si>
  <si>
    <t>23013</t>
  </si>
  <si>
    <t>23014</t>
  </si>
  <si>
    <t>23015</t>
  </si>
  <si>
    <t>23016</t>
  </si>
  <si>
    <t>23017</t>
  </si>
  <si>
    <t>23018</t>
  </si>
  <si>
    <t>Tabela 3 — Design (Aba 23)</t>
  </si>
  <si>
    <t>23021</t>
  </si>
  <si>
    <t>23022</t>
  </si>
  <si>
    <t>23023</t>
  </si>
  <si>
    <t>23024</t>
  </si>
  <si>
    <t>23025</t>
  </si>
  <si>
    <t>23026</t>
  </si>
  <si>
    <t>23027</t>
  </si>
  <si>
    <t>23028</t>
  </si>
  <si>
    <t>Tabela 4 — DevEx (Aba 23)</t>
  </si>
  <si>
    <t>23031</t>
  </si>
  <si>
    <t>23032</t>
  </si>
  <si>
    <t>23033</t>
  </si>
  <si>
    <t>23034</t>
  </si>
  <si>
    <t>23035</t>
  </si>
  <si>
    <t>23036</t>
  </si>
  <si>
    <t>23037</t>
  </si>
  <si>
    <t>23038</t>
  </si>
  <si>
    <t>Tabela 5 — Dados (Aba 23)</t>
  </si>
  <si>
    <t>23041</t>
  </si>
  <si>
    <t>23042</t>
  </si>
  <si>
    <t>23043</t>
  </si>
  <si>
    <t>23044</t>
  </si>
  <si>
    <t>23045</t>
  </si>
  <si>
    <t>23046</t>
  </si>
  <si>
    <t>23047</t>
  </si>
  <si>
    <t>23048</t>
  </si>
  <si>
    <t>Tabela 6 — Infra (Aba 23)</t>
  </si>
  <si>
    <t>23051</t>
  </si>
  <si>
    <t>23052</t>
  </si>
  <si>
    <t>23053</t>
  </si>
  <si>
    <t>23054</t>
  </si>
  <si>
    <t>23055</t>
  </si>
  <si>
    <t>23056</t>
  </si>
  <si>
    <t>23057</t>
  </si>
  <si>
    <t>23058</t>
  </si>
  <si>
    <t>Tabela 7 — Segurança (Aba 23)</t>
  </si>
  <si>
    <t>23061</t>
  </si>
  <si>
    <t>23062</t>
  </si>
  <si>
    <t>23063</t>
  </si>
  <si>
    <t>23064</t>
  </si>
  <si>
    <t>23065</t>
  </si>
  <si>
    <t>23066</t>
  </si>
  <si>
    <t>23067</t>
  </si>
  <si>
    <t>23068</t>
  </si>
  <si>
    <t>Tabela 8 — Engenharia (Aba 23)</t>
  </si>
  <si>
    <t>23071</t>
  </si>
  <si>
    <t>23072</t>
  </si>
  <si>
    <t>23073</t>
  </si>
  <si>
    <t>23074</t>
  </si>
  <si>
    <t>23075</t>
  </si>
  <si>
    <t>23076</t>
  </si>
  <si>
    <t>23077</t>
  </si>
  <si>
    <t>23078</t>
  </si>
  <si>
    <t>Tabela 9 — Produto (Aba 23)</t>
  </si>
  <si>
    <t>23081</t>
  </si>
  <si>
    <t>23082</t>
  </si>
  <si>
    <t>23083</t>
  </si>
  <si>
    <t>23084</t>
  </si>
  <si>
    <t>23085</t>
  </si>
  <si>
    <t>23086</t>
  </si>
  <si>
    <t>23087</t>
  </si>
  <si>
    <t>23088</t>
  </si>
  <si>
    <t>Tabela 10 — Design (Aba 23)</t>
  </si>
  <si>
    <t>23091</t>
  </si>
  <si>
    <t>23092</t>
  </si>
  <si>
    <t>23093</t>
  </si>
  <si>
    <t>23094</t>
  </si>
  <si>
    <t>23095</t>
  </si>
  <si>
    <t>23096</t>
  </si>
  <si>
    <t>23097</t>
  </si>
  <si>
    <t>23098</t>
  </si>
  <si>
    <t>Tabela 11 — DevEx (Aba 23)</t>
  </si>
  <si>
    <t>23101</t>
  </si>
  <si>
    <t>23102</t>
  </si>
  <si>
    <t>23103</t>
  </si>
  <si>
    <t>23104</t>
  </si>
  <si>
    <t>23105</t>
  </si>
  <si>
    <t>23106</t>
  </si>
  <si>
    <t>23107</t>
  </si>
  <si>
    <t>23108</t>
  </si>
  <si>
    <t>Tabela 12 — Dados (Aba 23)</t>
  </si>
  <si>
    <t>23111</t>
  </si>
  <si>
    <t>23112</t>
  </si>
  <si>
    <t>23113</t>
  </si>
  <si>
    <t>23114</t>
  </si>
  <si>
    <t>23115</t>
  </si>
  <si>
    <t>23116</t>
  </si>
  <si>
    <t>23117</t>
  </si>
  <si>
    <t>23118</t>
  </si>
  <si>
    <t>Tabela 13 — Infra (Aba 23)</t>
  </si>
  <si>
    <t>23121</t>
  </si>
  <si>
    <t>23122</t>
  </si>
  <si>
    <t>23123</t>
  </si>
  <si>
    <t>23124</t>
  </si>
  <si>
    <t>23125</t>
  </si>
  <si>
    <t>23126</t>
  </si>
  <si>
    <t>23127</t>
  </si>
  <si>
    <t>23128</t>
  </si>
  <si>
    <t>Tabela 14 — Segurança (Aba 23)</t>
  </si>
  <si>
    <t>23131</t>
  </si>
  <si>
    <t>23132</t>
  </si>
  <si>
    <t>23133</t>
  </si>
  <si>
    <t>23134</t>
  </si>
  <si>
    <t>23135</t>
  </si>
  <si>
    <t>23136</t>
  </si>
  <si>
    <t>23137</t>
  </si>
  <si>
    <t>23138</t>
  </si>
  <si>
    <t>Tabela 15 — Engenharia (Aba 23)</t>
  </si>
  <si>
    <t>23141</t>
  </si>
  <si>
    <t>23142</t>
  </si>
  <si>
    <t>23143</t>
  </si>
  <si>
    <t>23144</t>
  </si>
  <si>
    <t>23145</t>
  </si>
  <si>
    <t>23146</t>
  </si>
  <si>
    <t>23147</t>
  </si>
  <si>
    <t>23148</t>
  </si>
  <si>
    <t>Tabela 16 — Produto (Aba 23)</t>
  </si>
  <si>
    <t>23151</t>
  </si>
  <si>
    <t>23152</t>
  </si>
  <si>
    <t>23153</t>
  </si>
  <si>
    <t>23154</t>
  </si>
  <si>
    <t>23155</t>
  </si>
  <si>
    <t>23156</t>
  </si>
  <si>
    <t>23157</t>
  </si>
  <si>
    <t>23158</t>
  </si>
  <si>
    <t>Tabela 17 — Design (Aba 23)</t>
  </si>
  <si>
    <t>23161</t>
  </si>
  <si>
    <t>23162</t>
  </si>
  <si>
    <t>23163</t>
  </si>
  <si>
    <t>23164</t>
  </si>
  <si>
    <t>23165</t>
  </si>
  <si>
    <t>23166</t>
  </si>
  <si>
    <t>23167</t>
  </si>
  <si>
    <t>23168</t>
  </si>
  <si>
    <t>Tabela 18 — DevEx (Aba 23)</t>
  </si>
  <si>
    <t>23171</t>
  </si>
  <si>
    <t>23172</t>
  </si>
  <si>
    <t>23173</t>
  </si>
  <si>
    <t>23174</t>
  </si>
  <si>
    <t>23175</t>
  </si>
  <si>
    <t>23176</t>
  </si>
  <si>
    <t>23177</t>
  </si>
  <si>
    <t>23178</t>
  </si>
  <si>
    <t>Tabela 19 — Dados (Aba 23)</t>
  </si>
  <si>
    <t>23181</t>
  </si>
  <si>
    <t>23182</t>
  </si>
  <si>
    <t>23183</t>
  </si>
  <si>
    <t>23184</t>
  </si>
  <si>
    <t>23185</t>
  </si>
  <si>
    <t>23186</t>
  </si>
  <si>
    <t>23187</t>
  </si>
  <si>
    <t>23188</t>
  </si>
  <si>
    <t>Tabela 20 — Infra (Aba 23)</t>
  </si>
  <si>
    <t>23191</t>
  </si>
  <si>
    <t>23192</t>
  </si>
  <si>
    <t>23193</t>
  </si>
  <si>
    <t>23194</t>
  </si>
  <si>
    <t>23195</t>
  </si>
  <si>
    <t>23196</t>
  </si>
  <si>
    <t>23197</t>
  </si>
  <si>
    <t>23198</t>
  </si>
  <si>
    <t>Tabela 21 — Segurança (Aba 23)</t>
  </si>
  <si>
    <t>23201</t>
  </si>
  <si>
    <t>23202</t>
  </si>
  <si>
    <t>23203</t>
  </si>
  <si>
    <t>23204</t>
  </si>
  <si>
    <t>23205</t>
  </si>
  <si>
    <t>23206</t>
  </si>
  <si>
    <t>23207</t>
  </si>
  <si>
    <t>23208</t>
  </si>
  <si>
    <t>Tabela 22 — Engenharia (Aba 23)</t>
  </si>
  <si>
    <t>23211</t>
  </si>
  <si>
    <t>23212</t>
  </si>
  <si>
    <t>23213</t>
  </si>
  <si>
    <t>23214</t>
  </si>
  <si>
    <t>23215</t>
  </si>
  <si>
    <t>23216</t>
  </si>
  <si>
    <t>23217</t>
  </si>
  <si>
    <t>23218</t>
  </si>
  <si>
    <t>Tabela 23 — Produto (Aba 23)</t>
  </si>
  <si>
    <t>23221</t>
  </si>
  <si>
    <t>23222</t>
  </si>
  <si>
    <t>23223</t>
  </si>
  <si>
    <t>23224</t>
  </si>
  <si>
    <t>23225</t>
  </si>
  <si>
    <t>23226</t>
  </si>
  <si>
    <t>23227</t>
  </si>
  <si>
    <t>23228</t>
  </si>
  <si>
    <t>Tabela 24 — Design (Aba 23)</t>
  </si>
  <si>
    <t>23231</t>
  </si>
  <si>
    <t>23232</t>
  </si>
  <si>
    <t>23233</t>
  </si>
  <si>
    <t>23234</t>
  </si>
  <si>
    <t>23235</t>
  </si>
  <si>
    <t>23236</t>
  </si>
  <si>
    <t>23237</t>
  </si>
  <si>
    <t>23238</t>
  </si>
  <si>
    <t>Tabela 25 — DevEx (Aba 23)</t>
  </si>
  <si>
    <t>23241</t>
  </si>
  <si>
    <t>23242</t>
  </si>
  <si>
    <t>23243</t>
  </si>
  <si>
    <t>23244</t>
  </si>
  <si>
    <t>23245</t>
  </si>
  <si>
    <t>23246</t>
  </si>
  <si>
    <t>23247</t>
  </si>
  <si>
    <t>23248</t>
  </si>
  <si>
    <t>Tabela 26 — Dados (Aba 23)</t>
  </si>
  <si>
    <t>23251</t>
  </si>
  <si>
    <t>23252</t>
  </si>
  <si>
    <t>23253</t>
  </si>
  <si>
    <t>23254</t>
  </si>
  <si>
    <t>23255</t>
  </si>
  <si>
    <t>23256</t>
  </si>
  <si>
    <t>23257</t>
  </si>
  <si>
    <t>23258</t>
  </si>
  <si>
    <t>Tabela 27 — Infra (Aba 23)</t>
  </si>
  <si>
    <t>23261</t>
  </si>
  <si>
    <t>23262</t>
  </si>
  <si>
    <t>23263</t>
  </si>
  <si>
    <t>23264</t>
  </si>
  <si>
    <t>23265</t>
  </si>
  <si>
    <t>23266</t>
  </si>
  <si>
    <t>23267</t>
  </si>
  <si>
    <t>23268</t>
  </si>
  <si>
    <t>Tabela 28 — Segurança (Aba 23)</t>
  </si>
  <si>
    <t>23271</t>
  </si>
  <si>
    <t>23272</t>
  </si>
  <si>
    <t>23273</t>
  </si>
  <si>
    <t>23274</t>
  </si>
  <si>
    <t>23275</t>
  </si>
  <si>
    <t>23276</t>
  </si>
  <si>
    <t>23277</t>
  </si>
  <si>
    <t>23278</t>
  </si>
  <si>
    <t>Tabela 29 — Engenharia (Aba 23)</t>
  </si>
  <si>
    <t>23281</t>
  </si>
  <si>
    <t>23282</t>
  </si>
  <si>
    <t>23283</t>
  </si>
  <si>
    <t>23284</t>
  </si>
  <si>
    <t>23285</t>
  </si>
  <si>
    <t>23286</t>
  </si>
  <si>
    <t>23287</t>
  </si>
  <si>
    <t>23288</t>
  </si>
  <si>
    <t>Tabela 30 — Produto (Aba 23)</t>
  </si>
  <si>
    <t>23291</t>
  </si>
  <si>
    <t>23292</t>
  </si>
  <si>
    <t>23293</t>
  </si>
  <si>
    <t>23294</t>
  </si>
  <si>
    <t>23295</t>
  </si>
  <si>
    <t>23296</t>
  </si>
  <si>
    <t>23297</t>
  </si>
  <si>
    <t>23298</t>
  </si>
  <si>
    <t>Planilha — Aba 22 | Relatório de Equipe</t>
  </si>
  <si>
    <t>Tabela 1 — Engenharia (Aba 22)</t>
  </si>
  <si>
    <t>22001</t>
  </si>
  <si>
    <t>22002</t>
  </si>
  <si>
    <t>22003</t>
  </si>
  <si>
    <t>22004</t>
  </si>
  <si>
    <t>22005</t>
  </si>
  <si>
    <t>22006</t>
  </si>
  <si>
    <t>22007</t>
  </si>
  <si>
    <t>22008</t>
  </si>
  <si>
    <t>Tabela 2 — Produto (Aba 22)</t>
  </si>
  <si>
    <t>22011</t>
  </si>
  <si>
    <t>22012</t>
  </si>
  <si>
    <t>22013</t>
  </si>
  <si>
    <t>22014</t>
  </si>
  <si>
    <t>22015</t>
  </si>
  <si>
    <t>22016</t>
  </si>
  <si>
    <t>22017</t>
  </si>
  <si>
    <t>22018</t>
  </si>
  <si>
    <t>Tabela 3 — Design (Aba 22)</t>
  </si>
  <si>
    <t>22021</t>
  </si>
  <si>
    <t>22022</t>
  </si>
  <si>
    <t>22023</t>
  </si>
  <si>
    <t>22024</t>
  </si>
  <si>
    <t>22025</t>
  </si>
  <si>
    <t>22026</t>
  </si>
  <si>
    <t>22027</t>
  </si>
  <si>
    <t>22028</t>
  </si>
  <si>
    <t>Tabela 4 — DevEx (Aba 22)</t>
  </si>
  <si>
    <t>22031</t>
  </si>
  <si>
    <t>22032</t>
  </si>
  <si>
    <t>22033</t>
  </si>
  <si>
    <t>22034</t>
  </si>
  <si>
    <t>22035</t>
  </si>
  <si>
    <t>22036</t>
  </si>
  <si>
    <t>22037</t>
  </si>
  <si>
    <t>22038</t>
  </si>
  <si>
    <t>Tabela 5 — Dados (Aba 22)</t>
  </si>
  <si>
    <t>22041</t>
  </si>
  <si>
    <t>22042</t>
  </si>
  <si>
    <t>22043</t>
  </si>
  <si>
    <t>22044</t>
  </si>
  <si>
    <t>22045</t>
  </si>
  <si>
    <t>22046</t>
  </si>
  <si>
    <t>22047</t>
  </si>
  <si>
    <t>22048</t>
  </si>
  <si>
    <t>Tabela 6 — Infra (Aba 22)</t>
  </si>
  <si>
    <t>22051</t>
  </si>
  <si>
    <t>22052</t>
  </si>
  <si>
    <t>22053</t>
  </si>
  <si>
    <t>22054</t>
  </si>
  <si>
    <t>22055</t>
  </si>
  <si>
    <t>22056</t>
  </si>
  <si>
    <t>22057</t>
  </si>
  <si>
    <t>22058</t>
  </si>
  <si>
    <t>Tabela 7 — Segurança (Aba 22)</t>
  </si>
  <si>
    <t>22061</t>
  </si>
  <si>
    <t>22062</t>
  </si>
  <si>
    <t>22063</t>
  </si>
  <si>
    <t>22064</t>
  </si>
  <si>
    <t>22065</t>
  </si>
  <si>
    <t>22066</t>
  </si>
  <si>
    <t>22067</t>
  </si>
  <si>
    <t>22068</t>
  </si>
  <si>
    <t>Tabela 8 — Engenharia (Aba 22)</t>
  </si>
  <si>
    <t>22071</t>
  </si>
  <si>
    <t>22072</t>
  </si>
  <si>
    <t>22073</t>
  </si>
  <si>
    <t>22074</t>
  </si>
  <si>
    <t>22075</t>
  </si>
  <si>
    <t>22076</t>
  </si>
  <si>
    <t>22077</t>
  </si>
  <si>
    <t>22078</t>
  </si>
  <si>
    <t>Tabela 9 — Produto (Aba 22)</t>
  </si>
  <si>
    <t>22081</t>
  </si>
  <si>
    <t>22082</t>
  </si>
  <si>
    <t>22083</t>
  </si>
  <si>
    <t>22084</t>
  </si>
  <si>
    <t>22085</t>
  </si>
  <si>
    <t>22086</t>
  </si>
  <si>
    <t>22087</t>
  </si>
  <si>
    <t>22088</t>
  </si>
  <si>
    <t>Tabela 10 — Design (Aba 22)</t>
  </si>
  <si>
    <t>22091</t>
  </si>
  <si>
    <t>22092</t>
  </si>
  <si>
    <t>22093</t>
  </si>
  <si>
    <t>22094</t>
  </si>
  <si>
    <t>22095</t>
  </si>
  <si>
    <t>22096</t>
  </si>
  <si>
    <t>22097</t>
  </si>
  <si>
    <t>22098</t>
  </si>
  <si>
    <t>Tabela 11 — DevEx (Aba 22)</t>
  </si>
  <si>
    <t>22101</t>
  </si>
  <si>
    <t>22102</t>
  </si>
  <si>
    <t>22103</t>
  </si>
  <si>
    <t>22104</t>
  </si>
  <si>
    <t>22105</t>
  </si>
  <si>
    <t>22106</t>
  </si>
  <si>
    <t>22107</t>
  </si>
  <si>
    <t>22108</t>
  </si>
  <si>
    <t>Tabela 12 — Dados (Aba 22)</t>
  </si>
  <si>
    <t>22111</t>
  </si>
  <si>
    <t>22112</t>
  </si>
  <si>
    <t>22113</t>
  </si>
  <si>
    <t>22114</t>
  </si>
  <si>
    <t>22115</t>
  </si>
  <si>
    <t>22116</t>
  </si>
  <si>
    <t>22117</t>
  </si>
  <si>
    <t>22118</t>
  </si>
  <si>
    <t>Tabela 13 — Infra (Aba 22)</t>
  </si>
  <si>
    <t>22121</t>
  </si>
  <si>
    <t>22122</t>
  </si>
  <si>
    <t>22123</t>
  </si>
  <si>
    <t>22124</t>
  </si>
  <si>
    <t>22125</t>
  </si>
  <si>
    <t>22126</t>
  </si>
  <si>
    <t>22127</t>
  </si>
  <si>
    <t>22128</t>
  </si>
  <si>
    <t>Tabela 14 — Segurança (Aba 22)</t>
  </si>
  <si>
    <t>22131</t>
  </si>
  <si>
    <t>22132</t>
  </si>
  <si>
    <t>22133</t>
  </si>
  <si>
    <t>22134</t>
  </si>
  <si>
    <t>22135</t>
  </si>
  <si>
    <t>22136</t>
  </si>
  <si>
    <t>22137</t>
  </si>
  <si>
    <t>22138</t>
  </si>
  <si>
    <t>Tabela 15 — Engenharia (Aba 22)</t>
  </si>
  <si>
    <t>22141</t>
  </si>
  <si>
    <t>22142</t>
  </si>
  <si>
    <t>22143</t>
  </si>
  <si>
    <t>22144</t>
  </si>
  <si>
    <t>22145</t>
  </si>
  <si>
    <t>22146</t>
  </si>
  <si>
    <t>22147</t>
  </si>
  <si>
    <t>22148</t>
  </si>
  <si>
    <t>Tabela 16 — Produto (Aba 22)</t>
  </si>
  <si>
    <t>22151</t>
  </si>
  <si>
    <t>22152</t>
  </si>
  <si>
    <t>22153</t>
  </si>
  <si>
    <t>22154</t>
  </si>
  <si>
    <t>22155</t>
  </si>
  <si>
    <t>22156</t>
  </si>
  <si>
    <t>22157</t>
  </si>
  <si>
    <t>22158</t>
  </si>
  <si>
    <t>Tabela 17 — Design (Aba 22)</t>
  </si>
  <si>
    <t>22161</t>
  </si>
  <si>
    <t>22162</t>
  </si>
  <si>
    <t>22163</t>
  </si>
  <si>
    <t>22164</t>
  </si>
  <si>
    <t>22165</t>
  </si>
  <si>
    <t>22166</t>
  </si>
  <si>
    <t>22167</t>
  </si>
  <si>
    <t>22168</t>
  </si>
  <si>
    <t>Tabela 18 — DevEx (Aba 22)</t>
  </si>
  <si>
    <t>22171</t>
  </si>
  <si>
    <t>22172</t>
  </si>
  <si>
    <t>22173</t>
  </si>
  <si>
    <t>22174</t>
  </si>
  <si>
    <t>22175</t>
  </si>
  <si>
    <t>22176</t>
  </si>
  <si>
    <t>22177</t>
  </si>
  <si>
    <t>22178</t>
  </si>
  <si>
    <t>Tabela 19 — Dados (Aba 22)</t>
  </si>
  <si>
    <t>22181</t>
  </si>
  <si>
    <t>22182</t>
  </si>
  <si>
    <t>22183</t>
  </si>
  <si>
    <t>22184</t>
  </si>
  <si>
    <t>22185</t>
  </si>
  <si>
    <t>22186</t>
  </si>
  <si>
    <t>22187</t>
  </si>
  <si>
    <t>22188</t>
  </si>
  <si>
    <t>Tabela 20 — Infra (Aba 22)</t>
  </si>
  <si>
    <t>22191</t>
  </si>
  <si>
    <t>22192</t>
  </si>
  <si>
    <t>22193</t>
  </si>
  <si>
    <t>22194</t>
  </si>
  <si>
    <t>22195</t>
  </si>
  <si>
    <t>22196</t>
  </si>
  <si>
    <t>22197</t>
  </si>
  <si>
    <t>22198</t>
  </si>
  <si>
    <t>Tabela 21 — Segurança (Aba 22)</t>
  </si>
  <si>
    <t>22201</t>
  </si>
  <si>
    <t>22202</t>
  </si>
  <si>
    <t>22203</t>
  </si>
  <si>
    <t>22204</t>
  </si>
  <si>
    <t>22205</t>
  </si>
  <si>
    <t>22206</t>
  </si>
  <si>
    <t>22207</t>
  </si>
  <si>
    <t>22208</t>
  </si>
  <si>
    <t>Tabela 22 — Engenharia (Aba 22)</t>
  </si>
  <si>
    <t>22211</t>
  </si>
  <si>
    <t>22212</t>
  </si>
  <si>
    <t>22213</t>
  </si>
  <si>
    <t>22214</t>
  </si>
  <si>
    <t>22215</t>
  </si>
  <si>
    <t>22216</t>
  </si>
  <si>
    <t>22217</t>
  </si>
  <si>
    <t>22218</t>
  </si>
  <si>
    <t>Tabela 23 — Produto (Aba 22)</t>
  </si>
  <si>
    <t>22221</t>
  </si>
  <si>
    <t>22222</t>
  </si>
  <si>
    <t>22223</t>
  </si>
  <si>
    <t>22224</t>
  </si>
  <si>
    <t>22225</t>
  </si>
  <si>
    <t>22226</t>
  </si>
  <si>
    <t>22227</t>
  </si>
  <si>
    <t>22228</t>
  </si>
  <si>
    <t>Tabela 24 — Design (Aba 22)</t>
  </si>
  <si>
    <t>22231</t>
  </si>
  <si>
    <t>22232</t>
  </si>
  <si>
    <t>22233</t>
  </si>
  <si>
    <t>22234</t>
  </si>
  <si>
    <t>22235</t>
  </si>
  <si>
    <t>22236</t>
  </si>
  <si>
    <t>22237</t>
  </si>
  <si>
    <t>22238</t>
  </si>
  <si>
    <t>Tabela 25 — DevEx (Aba 22)</t>
  </si>
  <si>
    <t>22241</t>
  </si>
  <si>
    <t>22242</t>
  </si>
  <si>
    <t>22243</t>
  </si>
  <si>
    <t>22244</t>
  </si>
  <si>
    <t>22245</t>
  </si>
  <si>
    <t>22246</t>
  </si>
  <si>
    <t>22247</t>
  </si>
  <si>
    <t>22248</t>
  </si>
  <si>
    <t>Tabela 26 — Dados (Aba 22)</t>
  </si>
  <si>
    <t>22251</t>
  </si>
  <si>
    <t>22252</t>
  </si>
  <si>
    <t>22253</t>
  </si>
  <si>
    <t>22254</t>
  </si>
  <si>
    <t>22255</t>
  </si>
  <si>
    <t>22256</t>
  </si>
  <si>
    <t>22257</t>
  </si>
  <si>
    <t>22258</t>
  </si>
  <si>
    <t>Tabela 27 — Infra (Aba 22)</t>
  </si>
  <si>
    <t>22261</t>
  </si>
  <si>
    <t>22262</t>
  </si>
  <si>
    <t>22263</t>
  </si>
  <si>
    <t>22264</t>
  </si>
  <si>
    <t>22265</t>
  </si>
  <si>
    <t>22266</t>
  </si>
  <si>
    <t>22267</t>
  </si>
  <si>
    <t>22268</t>
  </si>
  <si>
    <t>Tabela 28 — Segurança (Aba 22)</t>
  </si>
  <si>
    <t>22271</t>
  </si>
  <si>
    <t>22272</t>
  </si>
  <si>
    <t>22273</t>
  </si>
  <si>
    <t>22274</t>
  </si>
  <si>
    <t>22275</t>
  </si>
  <si>
    <t>22276</t>
  </si>
  <si>
    <t>22277</t>
  </si>
  <si>
    <t>22278</t>
  </si>
  <si>
    <t>Tabela 29 — Engenharia (Aba 22)</t>
  </si>
  <si>
    <t>22281</t>
  </si>
  <si>
    <t>22282</t>
  </si>
  <si>
    <t>22283</t>
  </si>
  <si>
    <t>22284</t>
  </si>
  <si>
    <t>22285</t>
  </si>
  <si>
    <t>22286</t>
  </si>
  <si>
    <t>22287</t>
  </si>
  <si>
    <t>22288</t>
  </si>
  <si>
    <t>Tabela 30 — Produto (Aba 22)</t>
  </si>
  <si>
    <t>22291</t>
  </si>
  <si>
    <t>22292</t>
  </si>
  <si>
    <t>22293</t>
  </si>
  <si>
    <t>22294</t>
  </si>
  <si>
    <t>22295</t>
  </si>
  <si>
    <t>22296</t>
  </si>
  <si>
    <t>22297</t>
  </si>
  <si>
    <t>22298</t>
  </si>
  <si>
    <t>Planilha — Aba 21 | Relatório de Equipe</t>
  </si>
  <si>
    <t>Tabela 1 — Engenharia (Aba 21)</t>
  </si>
  <si>
    <t>21001</t>
  </si>
  <si>
    <t>21002</t>
  </si>
  <si>
    <t>21003</t>
  </si>
  <si>
    <t>21004</t>
  </si>
  <si>
    <t>21005</t>
  </si>
  <si>
    <t>21006</t>
  </si>
  <si>
    <t>21007</t>
  </si>
  <si>
    <t>21008</t>
  </si>
  <si>
    <t>Tabela 2 — Produto (Aba 21)</t>
  </si>
  <si>
    <t>21011</t>
  </si>
  <si>
    <t>21012</t>
  </si>
  <si>
    <t>21013</t>
  </si>
  <si>
    <t>21014</t>
  </si>
  <si>
    <t>21015</t>
  </si>
  <si>
    <t>21016</t>
  </si>
  <si>
    <t>21017</t>
  </si>
  <si>
    <t>21018</t>
  </si>
  <si>
    <t>Tabela 3 — Design (Aba 21)</t>
  </si>
  <si>
    <t>21021</t>
  </si>
  <si>
    <t>21022</t>
  </si>
  <si>
    <t>21023</t>
  </si>
  <si>
    <t>21024</t>
  </si>
  <si>
    <t>21025</t>
  </si>
  <si>
    <t>21026</t>
  </si>
  <si>
    <t>21027</t>
  </si>
  <si>
    <t>21028</t>
  </si>
  <si>
    <t>Tabela 4 — DevEx (Aba 21)</t>
  </si>
  <si>
    <t>21031</t>
  </si>
  <si>
    <t>21032</t>
  </si>
  <si>
    <t>21033</t>
  </si>
  <si>
    <t>21034</t>
  </si>
  <si>
    <t>21035</t>
  </si>
  <si>
    <t>21036</t>
  </si>
  <si>
    <t>21037</t>
  </si>
  <si>
    <t>21038</t>
  </si>
  <si>
    <t>Tabela 5 — Dados (Aba 21)</t>
  </si>
  <si>
    <t>21041</t>
  </si>
  <si>
    <t>21042</t>
  </si>
  <si>
    <t>21043</t>
  </si>
  <si>
    <t>21044</t>
  </si>
  <si>
    <t>21045</t>
  </si>
  <si>
    <t>21046</t>
  </si>
  <si>
    <t>21047</t>
  </si>
  <si>
    <t>21048</t>
  </si>
  <si>
    <t>Tabela 6 — Infra (Aba 21)</t>
  </si>
  <si>
    <t>21051</t>
  </si>
  <si>
    <t>21052</t>
  </si>
  <si>
    <t>21053</t>
  </si>
  <si>
    <t>21054</t>
  </si>
  <si>
    <t>21055</t>
  </si>
  <si>
    <t>21056</t>
  </si>
  <si>
    <t>21057</t>
  </si>
  <si>
    <t>21058</t>
  </si>
  <si>
    <t>Tabela 7 — Segurança (Aba 21)</t>
  </si>
  <si>
    <t>21061</t>
  </si>
  <si>
    <t>21062</t>
  </si>
  <si>
    <t>21063</t>
  </si>
  <si>
    <t>21064</t>
  </si>
  <si>
    <t>21065</t>
  </si>
  <si>
    <t>21066</t>
  </si>
  <si>
    <t>21067</t>
  </si>
  <si>
    <t>21068</t>
  </si>
  <si>
    <t>Tabela 8 — Engenharia (Aba 21)</t>
  </si>
  <si>
    <t>21071</t>
  </si>
  <si>
    <t>21072</t>
  </si>
  <si>
    <t>21073</t>
  </si>
  <si>
    <t>21074</t>
  </si>
  <si>
    <t>21075</t>
  </si>
  <si>
    <t>21076</t>
  </si>
  <si>
    <t>21077</t>
  </si>
  <si>
    <t>21078</t>
  </si>
  <si>
    <t>Tabela 9 — Produto (Aba 21)</t>
  </si>
  <si>
    <t>21081</t>
  </si>
  <si>
    <t>21082</t>
  </si>
  <si>
    <t>21083</t>
  </si>
  <si>
    <t>21084</t>
  </si>
  <si>
    <t>21085</t>
  </si>
  <si>
    <t>21086</t>
  </si>
  <si>
    <t>21087</t>
  </si>
  <si>
    <t>21088</t>
  </si>
  <si>
    <t>Tabela 10 — Design (Aba 21)</t>
  </si>
  <si>
    <t>21091</t>
  </si>
  <si>
    <t>21092</t>
  </si>
  <si>
    <t>21093</t>
  </si>
  <si>
    <t>21094</t>
  </si>
  <si>
    <t>21095</t>
  </si>
  <si>
    <t>21096</t>
  </si>
  <si>
    <t>21097</t>
  </si>
  <si>
    <t>21098</t>
  </si>
  <si>
    <t>Tabela 11 — DevEx (Aba 21)</t>
  </si>
  <si>
    <t>21101</t>
  </si>
  <si>
    <t>21102</t>
  </si>
  <si>
    <t>21103</t>
  </si>
  <si>
    <t>21104</t>
  </si>
  <si>
    <t>21105</t>
  </si>
  <si>
    <t>21106</t>
  </si>
  <si>
    <t>21107</t>
  </si>
  <si>
    <t>21108</t>
  </si>
  <si>
    <t>Tabela 12 — Dados (Aba 21)</t>
  </si>
  <si>
    <t>21111</t>
  </si>
  <si>
    <t>21112</t>
  </si>
  <si>
    <t>21113</t>
  </si>
  <si>
    <t>21114</t>
  </si>
  <si>
    <t>21115</t>
  </si>
  <si>
    <t>21116</t>
  </si>
  <si>
    <t>21117</t>
  </si>
  <si>
    <t>21118</t>
  </si>
  <si>
    <t>Tabela 13 — Infra (Aba 21)</t>
  </si>
  <si>
    <t>21121</t>
  </si>
  <si>
    <t>21122</t>
  </si>
  <si>
    <t>21123</t>
  </si>
  <si>
    <t>21124</t>
  </si>
  <si>
    <t>21125</t>
  </si>
  <si>
    <t>21126</t>
  </si>
  <si>
    <t>21127</t>
  </si>
  <si>
    <t>21128</t>
  </si>
  <si>
    <t>Tabela 14 — Segurança (Aba 21)</t>
  </si>
  <si>
    <t>21131</t>
  </si>
  <si>
    <t>21132</t>
  </si>
  <si>
    <t>21133</t>
  </si>
  <si>
    <t>21134</t>
  </si>
  <si>
    <t>21135</t>
  </si>
  <si>
    <t>21136</t>
  </si>
  <si>
    <t>21137</t>
  </si>
  <si>
    <t>21138</t>
  </si>
  <si>
    <t>Tabela 15 — Engenharia (Aba 21)</t>
  </si>
  <si>
    <t>21141</t>
  </si>
  <si>
    <t>21142</t>
  </si>
  <si>
    <t>21143</t>
  </si>
  <si>
    <t>21144</t>
  </si>
  <si>
    <t>21145</t>
  </si>
  <si>
    <t>21146</t>
  </si>
  <si>
    <t>21147</t>
  </si>
  <si>
    <t>21148</t>
  </si>
  <si>
    <t>Tabela 16 — Produto (Aba 21)</t>
  </si>
  <si>
    <t>21151</t>
  </si>
  <si>
    <t>21152</t>
  </si>
  <si>
    <t>21153</t>
  </si>
  <si>
    <t>21154</t>
  </si>
  <si>
    <t>21155</t>
  </si>
  <si>
    <t>21156</t>
  </si>
  <si>
    <t>21157</t>
  </si>
  <si>
    <t>21158</t>
  </si>
  <si>
    <t>Tabela 17 — Design (Aba 21)</t>
  </si>
  <si>
    <t>21161</t>
  </si>
  <si>
    <t>21162</t>
  </si>
  <si>
    <t>21163</t>
  </si>
  <si>
    <t>21164</t>
  </si>
  <si>
    <t>21165</t>
  </si>
  <si>
    <t>21166</t>
  </si>
  <si>
    <t>21167</t>
  </si>
  <si>
    <t>21168</t>
  </si>
  <si>
    <t>Tabela 18 — DevEx (Aba 21)</t>
  </si>
  <si>
    <t>21171</t>
  </si>
  <si>
    <t>21172</t>
  </si>
  <si>
    <t>21173</t>
  </si>
  <si>
    <t>21174</t>
  </si>
  <si>
    <t>21175</t>
  </si>
  <si>
    <t>21176</t>
  </si>
  <si>
    <t>21177</t>
  </si>
  <si>
    <t>21178</t>
  </si>
  <si>
    <t>Tabela 19 — Dados (Aba 21)</t>
  </si>
  <si>
    <t>21181</t>
  </si>
  <si>
    <t>21182</t>
  </si>
  <si>
    <t>21183</t>
  </si>
  <si>
    <t>21184</t>
  </si>
  <si>
    <t>21185</t>
  </si>
  <si>
    <t>21186</t>
  </si>
  <si>
    <t>21187</t>
  </si>
  <si>
    <t>21188</t>
  </si>
  <si>
    <t>Tabela 20 — Infra (Aba 21)</t>
  </si>
  <si>
    <t>21191</t>
  </si>
  <si>
    <t>21192</t>
  </si>
  <si>
    <t>21193</t>
  </si>
  <si>
    <t>21194</t>
  </si>
  <si>
    <t>21195</t>
  </si>
  <si>
    <t>21196</t>
  </si>
  <si>
    <t>21197</t>
  </si>
  <si>
    <t>21198</t>
  </si>
  <si>
    <t>Tabela 21 — Segurança (Aba 21)</t>
  </si>
  <si>
    <t>21201</t>
  </si>
  <si>
    <t>21202</t>
  </si>
  <si>
    <t>21203</t>
  </si>
  <si>
    <t>21204</t>
  </si>
  <si>
    <t>21205</t>
  </si>
  <si>
    <t>21206</t>
  </si>
  <si>
    <t>21207</t>
  </si>
  <si>
    <t>21208</t>
  </si>
  <si>
    <t>Tabela 22 — Engenharia (Aba 21)</t>
  </si>
  <si>
    <t>21211</t>
  </si>
  <si>
    <t>21212</t>
  </si>
  <si>
    <t>21213</t>
  </si>
  <si>
    <t>21214</t>
  </si>
  <si>
    <t>21215</t>
  </si>
  <si>
    <t>21216</t>
  </si>
  <si>
    <t>21217</t>
  </si>
  <si>
    <t>21218</t>
  </si>
  <si>
    <t>Tabela 23 — Produto (Aba 21)</t>
  </si>
  <si>
    <t>21221</t>
  </si>
  <si>
    <t>21222</t>
  </si>
  <si>
    <t>21223</t>
  </si>
  <si>
    <t>21224</t>
  </si>
  <si>
    <t>21225</t>
  </si>
  <si>
    <t>21226</t>
  </si>
  <si>
    <t>21227</t>
  </si>
  <si>
    <t>21228</t>
  </si>
  <si>
    <t>Tabela 24 — Design (Aba 21)</t>
  </si>
  <si>
    <t>21231</t>
  </si>
  <si>
    <t>21232</t>
  </si>
  <si>
    <t>21233</t>
  </si>
  <si>
    <t>21234</t>
  </si>
  <si>
    <t>21235</t>
  </si>
  <si>
    <t>21236</t>
  </si>
  <si>
    <t>21237</t>
  </si>
  <si>
    <t>21238</t>
  </si>
  <si>
    <t>Tabela 25 — DevEx (Aba 21)</t>
  </si>
  <si>
    <t>21241</t>
  </si>
  <si>
    <t>21242</t>
  </si>
  <si>
    <t>21243</t>
  </si>
  <si>
    <t>21244</t>
  </si>
  <si>
    <t>21245</t>
  </si>
  <si>
    <t>21246</t>
  </si>
  <si>
    <t>21247</t>
  </si>
  <si>
    <t>21248</t>
  </si>
  <si>
    <t>Tabela 26 — Dados (Aba 21)</t>
  </si>
  <si>
    <t>21251</t>
  </si>
  <si>
    <t>21252</t>
  </si>
  <si>
    <t>21253</t>
  </si>
  <si>
    <t>21254</t>
  </si>
  <si>
    <t>21255</t>
  </si>
  <si>
    <t>21256</t>
  </si>
  <si>
    <t>21257</t>
  </si>
  <si>
    <t>21258</t>
  </si>
  <si>
    <t>Tabela 27 — Infra (Aba 21)</t>
  </si>
  <si>
    <t>21261</t>
  </si>
  <si>
    <t>21262</t>
  </si>
  <si>
    <t>21263</t>
  </si>
  <si>
    <t>21264</t>
  </si>
  <si>
    <t>21265</t>
  </si>
  <si>
    <t>21266</t>
  </si>
  <si>
    <t>21267</t>
  </si>
  <si>
    <t>21268</t>
  </si>
  <si>
    <t>Tabela 28 — Segurança (Aba 21)</t>
  </si>
  <si>
    <t>21271</t>
  </si>
  <si>
    <t>21272</t>
  </si>
  <si>
    <t>21273</t>
  </si>
  <si>
    <t>21274</t>
  </si>
  <si>
    <t>21275</t>
  </si>
  <si>
    <t>21276</t>
  </si>
  <si>
    <t>21277</t>
  </si>
  <si>
    <t>21278</t>
  </si>
  <si>
    <t>Tabela 29 — Engenharia (Aba 21)</t>
  </si>
  <si>
    <t>21281</t>
  </si>
  <si>
    <t>21282</t>
  </si>
  <si>
    <t>21283</t>
  </si>
  <si>
    <t>21284</t>
  </si>
  <si>
    <t>21285</t>
  </si>
  <si>
    <t>21286</t>
  </si>
  <si>
    <t>21287</t>
  </si>
  <si>
    <t>21288</t>
  </si>
  <si>
    <t>Tabela 30 — Produto (Aba 21)</t>
  </si>
  <si>
    <t>21291</t>
  </si>
  <si>
    <t>21292</t>
  </si>
  <si>
    <t>21293</t>
  </si>
  <si>
    <t>21294</t>
  </si>
  <si>
    <t>21295</t>
  </si>
  <si>
    <t>21296</t>
  </si>
  <si>
    <t>21297</t>
  </si>
  <si>
    <t>21298</t>
  </si>
  <si>
    <t>Planilha — Aba 20 | Relatório de Equipe</t>
  </si>
  <si>
    <t>Tabela 1 — Engenharia (Aba 20)</t>
  </si>
  <si>
    <t>20001</t>
  </si>
  <si>
    <t>20002</t>
  </si>
  <si>
    <t>20003</t>
  </si>
  <si>
    <t>20004</t>
  </si>
  <si>
    <t>20005</t>
  </si>
  <si>
    <t>20006</t>
  </si>
  <si>
    <t>20007</t>
  </si>
  <si>
    <t>20008</t>
  </si>
  <si>
    <t>Tabela 2 — Produto (Aba 20)</t>
  </si>
  <si>
    <t>20011</t>
  </si>
  <si>
    <t>20012</t>
  </si>
  <si>
    <t>20013</t>
  </si>
  <si>
    <t>20014</t>
  </si>
  <si>
    <t>20015</t>
  </si>
  <si>
    <t>20016</t>
  </si>
  <si>
    <t>20017</t>
  </si>
  <si>
    <t>20018</t>
  </si>
  <si>
    <t>Tabela 3 — Design (Aba 20)</t>
  </si>
  <si>
    <t>20021</t>
  </si>
  <si>
    <t>20022</t>
  </si>
  <si>
    <t>20023</t>
  </si>
  <si>
    <t>20024</t>
  </si>
  <si>
    <t>20025</t>
  </si>
  <si>
    <t>20026</t>
  </si>
  <si>
    <t>20027</t>
  </si>
  <si>
    <t>20028</t>
  </si>
  <si>
    <t>Tabela 4 — DevEx (Aba 20)</t>
  </si>
  <si>
    <t>20031</t>
  </si>
  <si>
    <t>20032</t>
  </si>
  <si>
    <t>20033</t>
  </si>
  <si>
    <t>20034</t>
  </si>
  <si>
    <t>20035</t>
  </si>
  <si>
    <t>20036</t>
  </si>
  <si>
    <t>20037</t>
  </si>
  <si>
    <t>20038</t>
  </si>
  <si>
    <t>Tabela 5 — Dados (Aba 20)</t>
  </si>
  <si>
    <t>20041</t>
  </si>
  <si>
    <t>20042</t>
  </si>
  <si>
    <t>20043</t>
  </si>
  <si>
    <t>20044</t>
  </si>
  <si>
    <t>20045</t>
  </si>
  <si>
    <t>20046</t>
  </si>
  <si>
    <t>20047</t>
  </si>
  <si>
    <t>20048</t>
  </si>
  <si>
    <t>Tabela 6 — Infra (Aba 20)</t>
  </si>
  <si>
    <t>20051</t>
  </si>
  <si>
    <t>20052</t>
  </si>
  <si>
    <t>20053</t>
  </si>
  <si>
    <t>20054</t>
  </si>
  <si>
    <t>20055</t>
  </si>
  <si>
    <t>20056</t>
  </si>
  <si>
    <t>20057</t>
  </si>
  <si>
    <t>20058</t>
  </si>
  <si>
    <t>Tabela 7 — Segurança (Aba 20)</t>
  </si>
  <si>
    <t>20061</t>
  </si>
  <si>
    <t>20062</t>
  </si>
  <si>
    <t>20063</t>
  </si>
  <si>
    <t>20064</t>
  </si>
  <si>
    <t>20065</t>
  </si>
  <si>
    <t>20066</t>
  </si>
  <si>
    <t>20067</t>
  </si>
  <si>
    <t>20068</t>
  </si>
  <si>
    <t>Tabela 8 — Engenharia (Aba 20)</t>
  </si>
  <si>
    <t>20071</t>
  </si>
  <si>
    <t>20072</t>
  </si>
  <si>
    <t>20073</t>
  </si>
  <si>
    <t>20074</t>
  </si>
  <si>
    <t>20075</t>
  </si>
  <si>
    <t>20076</t>
  </si>
  <si>
    <t>20077</t>
  </si>
  <si>
    <t>20078</t>
  </si>
  <si>
    <t>Tabela 9 — Produto (Aba 20)</t>
  </si>
  <si>
    <t>20081</t>
  </si>
  <si>
    <t>20082</t>
  </si>
  <si>
    <t>20083</t>
  </si>
  <si>
    <t>20084</t>
  </si>
  <si>
    <t>20085</t>
  </si>
  <si>
    <t>20086</t>
  </si>
  <si>
    <t>20087</t>
  </si>
  <si>
    <t>20088</t>
  </si>
  <si>
    <t>Tabela 10 — Design (Aba 20)</t>
  </si>
  <si>
    <t>20091</t>
  </si>
  <si>
    <t>20092</t>
  </si>
  <si>
    <t>20093</t>
  </si>
  <si>
    <t>20094</t>
  </si>
  <si>
    <t>20095</t>
  </si>
  <si>
    <t>20096</t>
  </si>
  <si>
    <t>20097</t>
  </si>
  <si>
    <t>20098</t>
  </si>
  <si>
    <t>Tabela 11 — DevEx (Aba 20)</t>
  </si>
  <si>
    <t>20101</t>
  </si>
  <si>
    <t>20102</t>
  </si>
  <si>
    <t>20103</t>
  </si>
  <si>
    <t>20104</t>
  </si>
  <si>
    <t>20105</t>
  </si>
  <si>
    <t>20106</t>
  </si>
  <si>
    <t>20107</t>
  </si>
  <si>
    <t>20108</t>
  </si>
  <si>
    <t>Tabela 12 — Dados (Aba 20)</t>
  </si>
  <si>
    <t>20111</t>
  </si>
  <si>
    <t>20112</t>
  </si>
  <si>
    <t>20113</t>
  </si>
  <si>
    <t>20114</t>
  </si>
  <si>
    <t>20115</t>
  </si>
  <si>
    <t>20116</t>
  </si>
  <si>
    <t>20117</t>
  </si>
  <si>
    <t>20118</t>
  </si>
  <si>
    <t>Tabela 13 — Infra (Aba 20)</t>
  </si>
  <si>
    <t>20121</t>
  </si>
  <si>
    <t>20122</t>
  </si>
  <si>
    <t>20123</t>
  </si>
  <si>
    <t>20124</t>
  </si>
  <si>
    <t>20125</t>
  </si>
  <si>
    <t>20126</t>
  </si>
  <si>
    <t>20127</t>
  </si>
  <si>
    <t>20128</t>
  </si>
  <si>
    <t>Tabela 14 — Segurança (Aba 20)</t>
  </si>
  <si>
    <t>20131</t>
  </si>
  <si>
    <t>20132</t>
  </si>
  <si>
    <t>20133</t>
  </si>
  <si>
    <t>20134</t>
  </si>
  <si>
    <t>20135</t>
  </si>
  <si>
    <t>20136</t>
  </si>
  <si>
    <t>20137</t>
  </si>
  <si>
    <t>20138</t>
  </si>
  <si>
    <t>Tabela 15 — Engenharia (Aba 20)</t>
  </si>
  <si>
    <t>20141</t>
  </si>
  <si>
    <t>20142</t>
  </si>
  <si>
    <t>20143</t>
  </si>
  <si>
    <t>20144</t>
  </si>
  <si>
    <t>20145</t>
  </si>
  <si>
    <t>20146</t>
  </si>
  <si>
    <t>20147</t>
  </si>
  <si>
    <t>20148</t>
  </si>
  <si>
    <t>Tabela 16 — Produto (Aba 20)</t>
  </si>
  <si>
    <t>20151</t>
  </si>
  <si>
    <t>20152</t>
  </si>
  <si>
    <t>20153</t>
  </si>
  <si>
    <t>20154</t>
  </si>
  <si>
    <t>20155</t>
  </si>
  <si>
    <t>20156</t>
  </si>
  <si>
    <t>20157</t>
  </si>
  <si>
    <t>20158</t>
  </si>
  <si>
    <t>Tabela 17 — Design (Aba 20)</t>
  </si>
  <si>
    <t>20161</t>
  </si>
  <si>
    <t>20162</t>
  </si>
  <si>
    <t>20163</t>
  </si>
  <si>
    <t>20164</t>
  </si>
  <si>
    <t>20165</t>
  </si>
  <si>
    <t>20166</t>
  </si>
  <si>
    <t>20167</t>
  </si>
  <si>
    <t>20168</t>
  </si>
  <si>
    <t>Tabela 18 — DevEx (Aba 20)</t>
  </si>
  <si>
    <t>20171</t>
  </si>
  <si>
    <t>20172</t>
  </si>
  <si>
    <t>20173</t>
  </si>
  <si>
    <t>20174</t>
  </si>
  <si>
    <t>20175</t>
  </si>
  <si>
    <t>20176</t>
  </si>
  <si>
    <t>20177</t>
  </si>
  <si>
    <t>20178</t>
  </si>
  <si>
    <t>Tabela 19 — Dados (Aba 20)</t>
  </si>
  <si>
    <t>20181</t>
  </si>
  <si>
    <t>20182</t>
  </si>
  <si>
    <t>20183</t>
  </si>
  <si>
    <t>20184</t>
  </si>
  <si>
    <t>20185</t>
  </si>
  <si>
    <t>20186</t>
  </si>
  <si>
    <t>20187</t>
  </si>
  <si>
    <t>20188</t>
  </si>
  <si>
    <t>Tabela 20 — Infra (Aba 20)</t>
  </si>
  <si>
    <t>20191</t>
  </si>
  <si>
    <t>20192</t>
  </si>
  <si>
    <t>20193</t>
  </si>
  <si>
    <t>20194</t>
  </si>
  <si>
    <t>20195</t>
  </si>
  <si>
    <t>20196</t>
  </si>
  <si>
    <t>20197</t>
  </si>
  <si>
    <t>20198</t>
  </si>
  <si>
    <t>Tabela 21 — Segurança (Aba 20)</t>
  </si>
  <si>
    <t>20201</t>
  </si>
  <si>
    <t>20202</t>
  </si>
  <si>
    <t>20203</t>
  </si>
  <si>
    <t>20204</t>
  </si>
  <si>
    <t>20205</t>
  </si>
  <si>
    <t>20206</t>
  </si>
  <si>
    <t>20207</t>
  </si>
  <si>
    <t>20208</t>
  </si>
  <si>
    <t>Tabela 22 — Engenharia (Aba 20)</t>
  </si>
  <si>
    <t>20211</t>
  </si>
  <si>
    <t>20212</t>
  </si>
  <si>
    <t>20213</t>
  </si>
  <si>
    <t>20214</t>
  </si>
  <si>
    <t>20215</t>
  </si>
  <si>
    <t>20216</t>
  </si>
  <si>
    <t>20217</t>
  </si>
  <si>
    <t>20218</t>
  </si>
  <si>
    <t>Tabela 23 — Produto (Aba 20)</t>
  </si>
  <si>
    <t>20221</t>
  </si>
  <si>
    <t>20222</t>
  </si>
  <si>
    <t>20223</t>
  </si>
  <si>
    <t>20224</t>
  </si>
  <si>
    <t>20225</t>
  </si>
  <si>
    <t>20226</t>
  </si>
  <si>
    <t>20227</t>
  </si>
  <si>
    <t>20228</t>
  </si>
  <si>
    <t>Tabela 24 — Design (Aba 20)</t>
  </si>
  <si>
    <t>20231</t>
  </si>
  <si>
    <t>20232</t>
  </si>
  <si>
    <t>20233</t>
  </si>
  <si>
    <t>20234</t>
  </si>
  <si>
    <t>20235</t>
  </si>
  <si>
    <t>20236</t>
  </si>
  <si>
    <t>20237</t>
  </si>
  <si>
    <t>20238</t>
  </si>
  <si>
    <t>Tabela 25 — DevEx (Aba 20)</t>
  </si>
  <si>
    <t>20241</t>
  </si>
  <si>
    <t>20242</t>
  </si>
  <si>
    <t>20243</t>
  </si>
  <si>
    <t>20244</t>
  </si>
  <si>
    <t>20245</t>
  </si>
  <si>
    <t>20246</t>
  </si>
  <si>
    <t>20247</t>
  </si>
  <si>
    <t>20248</t>
  </si>
  <si>
    <t>Tabela 26 — Dados (Aba 20)</t>
  </si>
  <si>
    <t>20251</t>
  </si>
  <si>
    <t>20252</t>
  </si>
  <si>
    <t>20253</t>
  </si>
  <si>
    <t>20254</t>
  </si>
  <si>
    <t>20255</t>
  </si>
  <si>
    <t>20256</t>
  </si>
  <si>
    <t>20257</t>
  </si>
  <si>
    <t>20258</t>
  </si>
  <si>
    <t>Tabela 27 — Infra (Aba 20)</t>
  </si>
  <si>
    <t>20261</t>
  </si>
  <si>
    <t>20262</t>
  </si>
  <si>
    <t>20263</t>
  </si>
  <si>
    <t>20264</t>
  </si>
  <si>
    <t>20265</t>
  </si>
  <si>
    <t>20266</t>
  </si>
  <si>
    <t>20267</t>
  </si>
  <si>
    <t>20268</t>
  </si>
  <si>
    <t>Tabela 28 — Segurança (Aba 20)</t>
  </si>
  <si>
    <t>20271</t>
  </si>
  <si>
    <t>20272</t>
  </si>
  <si>
    <t>20273</t>
  </si>
  <si>
    <t>20274</t>
  </si>
  <si>
    <t>20275</t>
  </si>
  <si>
    <t>20276</t>
  </si>
  <si>
    <t>20277</t>
  </si>
  <si>
    <t>20278</t>
  </si>
  <si>
    <t>Tabela 29 — Engenharia (Aba 20)</t>
  </si>
  <si>
    <t>20281</t>
  </si>
  <si>
    <t>20282</t>
  </si>
  <si>
    <t>20283</t>
  </si>
  <si>
    <t>20284</t>
  </si>
  <si>
    <t>20285</t>
  </si>
  <si>
    <t>20286</t>
  </si>
  <si>
    <t>20287</t>
  </si>
  <si>
    <t>20288</t>
  </si>
  <si>
    <t>Tabela 30 — Produto (Aba 20)</t>
  </si>
  <si>
    <t>20291</t>
  </si>
  <si>
    <t>20292</t>
  </si>
  <si>
    <t>20293</t>
  </si>
  <si>
    <t>20294</t>
  </si>
  <si>
    <t>20295</t>
  </si>
  <si>
    <t>20296</t>
  </si>
  <si>
    <t>20297</t>
  </si>
  <si>
    <t>20298</t>
  </si>
  <si>
    <t>Planilha — Aba 19 | Relatório de Equipe</t>
  </si>
  <si>
    <t>Tabela 1 — Engenharia (Aba 19)</t>
  </si>
  <si>
    <t>19001</t>
  </si>
  <si>
    <t>19002</t>
  </si>
  <si>
    <t>19003</t>
  </si>
  <si>
    <t>19004</t>
  </si>
  <si>
    <t>19005</t>
  </si>
  <si>
    <t>19006</t>
  </si>
  <si>
    <t>19007</t>
  </si>
  <si>
    <t>19008</t>
  </si>
  <si>
    <t>Tabela 2 — Produto (Aba 19)</t>
  </si>
  <si>
    <t>19011</t>
  </si>
  <si>
    <t>19012</t>
  </si>
  <si>
    <t>19013</t>
  </si>
  <si>
    <t>19014</t>
  </si>
  <si>
    <t>19015</t>
  </si>
  <si>
    <t>19016</t>
  </si>
  <si>
    <t>19017</t>
  </si>
  <si>
    <t>19018</t>
  </si>
  <si>
    <t>Tabela 3 — Design (Aba 19)</t>
  </si>
  <si>
    <t>19021</t>
  </si>
  <si>
    <t>19022</t>
  </si>
  <si>
    <t>19023</t>
  </si>
  <si>
    <t>19024</t>
  </si>
  <si>
    <t>19025</t>
  </si>
  <si>
    <t>19026</t>
  </si>
  <si>
    <t>19027</t>
  </si>
  <si>
    <t>19028</t>
  </si>
  <si>
    <t>Tabela 4 — DevEx (Aba 19)</t>
  </si>
  <si>
    <t>19031</t>
  </si>
  <si>
    <t>19032</t>
  </si>
  <si>
    <t>19033</t>
  </si>
  <si>
    <t>19034</t>
  </si>
  <si>
    <t>19035</t>
  </si>
  <si>
    <t>19036</t>
  </si>
  <si>
    <t>19037</t>
  </si>
  <si>
    <t>19038</t>
  </si>
  <si>
    <t>Tabela 5 — Dados (Aba 19)</t>
  </si>
  <si>
    <t>19041</t>
  </si>
  <si>
    <t>19042</t>
  </si>
  <si>
    <t>19043</t>
  </si>
  <si>
    <t>19044</t>
  </si>
  <si>
    <t>19045</t>
  </si>
  <si>
    <t>19046</t>
  </si>
  <si>
    <t>19047</t>
  </si>
  <si>
    <t>19048</t>
  </si>
  <si>
    <t>Tabela 6 — Infra (Aba 19)</t>
  </si>
  <si>
    <t>19051</t>
  </si>
  <si>
    <t>19052</t>
  </si>
  <si>
    <t>19053</t>
  </si>
  <si>
    <t>19054</t>
  </si>
  <si>
    <t>19055</t>
  </si>
  <si>
    <t>19056</t>
  </si>
  <si>
    <t>19057</t>
  </si>
  <si>
    <t>19058</t>
  </si>
  <si>
    <t>Tabela 7 — Segurança (Aba 19)</t>
  </si>
  <si>
    <t>19061</t>
  </si>
  <si>
    <t>19062</t>
  </si>
  <si>
    <t>19063</t>
  </si>
  <si>
    <t>19064</t>
  </si>
  <si>
    <t>19065</t>
  </si>
  <si>
    <t>19066</t>
  </si>
  <si>
    <t>19067</t>
  </si>
  <si>
    <t>19068</t>
  </si>
  <si>
    <t>Tabela 8 — Engenharia (Aba 19)</t>
  </si>
  <si>
    <t>19071</t>
  </si>
  <si>
    <t>19072</t>
  </si>
  <si>
    <t>19073</t>
  </si>
  <si>
    <t>19074</t>
  </si>
  <si>
    <t>19075</t>
  </si>
  <si>
    <t>19076</t>
  </si>
  <si>
    <t>19077</t>
  </si>
  <si>
    <t>19078</t>
  </si>
  <si>
    <t>Tabela 9 — Produto (Aba 19)</t>
  </si>
  <si>
    <t>19081</t>
  </si>
  <si>
    <t>19082</t>
  </si>
  <si>
    <t>19083</t>
  </si>
  <si>
    <t>19084</t>
  </si>
  <si>
    <t>19085</t>
  </si>
  <si>
    <t>19086</t>
  </si>
  <si>
    <t>19087</t>
  </si>
  <si>
    <t>19088</t>
  </si>
  <si>
    <t>Tabela 10 — Design (Aba 19)</t>
  </si>
  <si>
    <t>19091</t>
  </si>
  <si>
    <t>19092</t>
  </si>
  <si>
    <t>19093</t>
  </si>
  <si>
    <t>19094</t>
  </si>
  <si>
    <t>19095</t>
  </si>
  <si>
    <t>19096</t>
  </si>
  <si>
    <t>19097</t>
  </si>
  <si>
    <t>19098</t>
  </si>
  <si>
    <t>Tabela 11 — DevEx (Aba 19)</t>
  </si>
  <si>
    <t>19101</t>
  </si>
  <si>
    <t>19102</t>
  </si>
  <si>
    <t>19103</t>
  </si>
  <si>
    <t>19104</t>
  </si>
  <si>
    <t>19105</t>
  </si>
  <si>
    <t>19106</t>
  </si>
  <si>
    <t>19107</t>
  </si>
  <si>
    <t>19108</t>
  </si>
  <si>
    <t>Tabela 12 — Dados (Aba 19)</t>
  </si>
  <si>
    <t>19111</t>
  </si>
  <si>
    <t>19112</t>
  </si>
  <si>
    <t>19113</t>
  </si>
  <si>
    <t>19114</t>
  </si>
  <si>
    <t>19115</t>
  </si>
  <si>
    <t>19116</t>
  </si>
  <si>
    <t>19117</t>
  </si>
  <si>
    <t>19118</t>
  </si>
  <si>
    <t>Tabela 13 — Infra (Aba 19)</t>
  </si>
  <si>
    <t>19121</t>
  </si>
  <si>
    <t>19122</t>
  </si>
  <si>
    <t>19123</t>
  </si>
  <si>
    <t>19124</t>
  </si>
  <si>
    <t>19125</t>
  </si>
  <si>
    <t>19126</t>
  </si>
  <si>
    <t>19127</t>
  </si>
  <si>
    <t>19128</t>
  </si>
  <si>
    <t>Tabela 14 — Segurança (Aba 19)</t>
  </si>
  <si>
    <t>19131</t>
  </si>
  <si>
    <t>19132</t>
  </si>
  <si>
    <t>19133</t>
  </si>
  <si>
    <t>19134</t>
  </si>
  <si>
    <t>19135</t>
  </si>
  <si>
    <t>19136</t>
  </si>
  <si>
    <t>19137</t>
  </si>
  <si>
    <t>19138</t>
  </si>
  <si>
    <t>Tabela 15 — Engenharia (Aba 19)</t>
  </si>
  <si>
    <t>19141</t>
  </si>
  <si>
    <t>19142</t>
  </si>
  <si>
    <t>19143</t>
  </si>
  <si>
    <t>19144</t>
  </si>
  <si>
    <t>19145</t>
  </si>
  <si>
    <t>19146</t>
  </si>
  <si>
    <t>19147</t>
  </si>
  <si>
    <t>19148</t>
  </si>
  <si>
    <t>Tabela 16 — Produto (Aba 19)</t>
  </si>
  <si>
    <t>19151</t>
  </si>
  <si>
    <t>19152</t>
  </si>
  <si>
    <t>19153</t>
  </si>
  <si>
    <t>19154</t>
  </si>
  <si>
    <t>19155</t>
  </si>
  <si>
    <t>19156</t>
  </si>
  <si>
    <t>19157</t>
  </si>
  <si>
    <t>19158</t>
  </si>
  <si>
    <t>Tabela 17 — Design (Aba 19)</t>
  </si>
  <si>
    <t>19161</t>
  </si>
  <si>
    <t>19162</t>
  </si>
  <si>
    <t>19163</t>
  </si>
  <si>
    <t>19164</t>
  </si>
  <si>
    <t>19165</t>
  </si>
  <si>
    <t>19166</t>
  </si>
  <si>
    <t>19167</t>
  </si>
  <si>
    <t>19168</t>
  </si>
  <si>
    <t>Tabela 18 — DevEx (Aba 19)</t>
  </si>
  <si>
    <t>19171</t>
  </si>
  <si>
    <t>19172</t>
  </si>
  <si>
    <t>19173</t>
  </si>
  <si>
    <t>19174</t>
  </si>
  <si>
    <t>19175</t>
  </si>
  <si>
    <t>19176</t>
  </si>
  <si>
    <t>19177</t>
  </si>
  <si>
    <t>19178</t>
  </si>
  <si>
    <t>Tabela 19 — Dados (Aba 19)</t>
  </si>
  <si>
    <t>19181</t>
  </si>
  <si>
    <t>19182</t>
  </si>
  <si>
    <t>19183</t>
  </si>
  <si>
    <t>19184</t>
  </si>
  <si>
    <t>19185</t>
  </si>
  <si>
    <t>19186</t>
  </si>
  <si>
    <t>19187</t>
  </si>
  <si>
    <t>19188</t>
  </si>
  <si>
    <t>Tabela 20 — Infra (Aba 19)</t>
  </si>
  <si>
    <t>19191</t>
  </si>
  <si>
    <t>19192</t>
  </si>
  <si>
    <t>19193</t>
  </si>
  <si>
    <t>19194</t>
  </si>
  <si>
    <t>19195</t>
  </si>
  <si>
    <t>19196</t>
  </si>
  <si>
    <t>19197</t>
  </si>
  <si>
    <t>19198</t>
  </si>
  <si>
    <t>Tabela 21 — Segurança (Aba 19)</t>
  </si>
  <si>
    <t>19201</t>
  </si>
  <si>
    <t>19202</t>
  </si>
  <si>
    <t>19203</t>
  </si>
  <si>
    <t>19204</t>
  </si>
  <si>
    <t>19205</t>
  </si>
  <si>
    <t>19206</t>
  </si>
  <si>
    <t>19207</t>
  </si>
  <si>
    <t>19208</t>
  </si>
  <si>
    <t>Tabela 22 — Engenharia (Aba 19)</t>
  </si>
  <si>
    <t>19211</t>
  </si>
  <si>
    <t>19212</t>
  </si>
  <si>
    <t>19213</t>
  </si>
  <si>
    <t>19214</t>
  </si>
  <si>
    <t>19215</t>
  </si>
  <si>
    <t>19216</t>
  </si>
  <si>
    <t>19217</t>
  </si>
  <si>
    <t>19218</t>
  </si>
  <si>
    <t>Tabela 23 — Produto (Aba 19)</t>
  </si>
  <si>
    <t>19221</t>
  </si>
  <si>
    <t>19222</t>
  </si>
  <si>
    <t>19223</t>
  </si>
  <si>
    <t>19224</t>
  </si>
  <si>
    <t>19225</t>
  </si>
  <si>
    <t>19226</t>
  </si>
  <si>
    <t>19227</t>
  </si>
  <si>
    <t>19228</t>
  </si>
  <si>
    <t>Tabela 24 — Design (Aba 19)</t>
  </si>
  <si>
    <t>19231</t>
  </si>
  <si>
    <t>19232</t>
  </si>
  <si>
    <t>19233</t>
  </si>
  <si>
    <t>19234</t>
  </si>
  <si>
    <t>19235</t>
  </si>
  <si>
    <t>19236</t>
  </si>
  <si>
    <t>19237</t>
  </si>
  <si>
    <t>19238</t>
  </si>
  <si>
    <t>Tabela 25 — DevEx (Aba 19)</t>
  </si>
  <si>
    <t>19241</t>
  </si>
  <si>
    <t>19242</t>
  </si>
  <si>
    <t>19243</t>
  </si>
  <si>
    <t>19244</t>
  </si>
  <si>
    <t>19245</t>
  </si>
  <si>
    <t>19246</t>
  </si>
  <si>
    <t>19247</t>
  </si>
  <si>
    <t>19248</t>
  </si>
  <si>
    <t>Tabela 26 — Dados (Aba 19)</t>
  </si>
  <si>
    <t>19251</t>
  </si>
  <si>
    <t>19252</t>
  </si>
  <si>
    <t>19253</t>
  </si>
  <si>
    <t>19254</t>
  </si>
  <si>
    <t>19255</t>
  </si>
  <si>
    <t>19256</t>
  </si>
  <si>
    <t>19257</t>
  </si>
  <si>
    <t>19258</t>
  </si>
  <si>
    <t>Tabela 27 — Infra (Aba 19)</t>
  </si>
  <si>
    <t>19261</t>
  </si>
  <si>
    <t>19262</t>
  </si>
  <si>
    <t>19263</t>
  </si>
  <si>
    <t>19264</t>
  </si>
  <si>
    <t>19265</t>
  </si>
  <si>
    <t>19266</t>
  </si>
  <si>
    <t>19267</t>
  </si>
  <si>
    <t>19268</t>
  </si>
  <si>
    <t>Tabela 28 — Segurança (Aba 19)</t>
  </si>
  <si>
    <t>19271</t>
  </si>
  <si>
    <t>19272</t>
  </si>
  <si>
    <t>19273</t>
  </si>
  <si>
    <t>19274</t>
  </si>
  <si>
    <t>19275</t>
  </si>
  <si>
    <t>19276</t>
  </si>
  <si>
    <t>19277</t>
  </si>
  <si>
    <t>19278</t>
  </si>
  <si>
    <t>Tabela 29 — Engenharia (Aba 19)</t>
  </si>
  <si>
    <t>19281</t>
  </si>
  <si>
    <t>19282</t>
  </si>
  <si>
    <t>19283</t>
  </si>
  <si>
    <t>19284</t>
  </si>
  <si>
    <t>19285</t>
  </si>
  <si>
    <t>19286</t>
  </si>
  <si>
    <t>19287</t>
  </si>
  <si>
    <t>19288</t>
  </si>
  <si>
    <t>Tabela 30 — Produto (Aba 19)</t>
  </si>
  <si>
    <t>19291</t>
  </si>
  <si>
    <t>19292</t>
  </si>
  <si>
    <t>19293</t>
  </si>
  <si>
    <t>19294</t>
  </si>
  <si>
    <t>19295</t>
  </si>
  <si>
    <t>19296</t>
  </si>
  <si>
    <t>19297</t>
  </si>
  <si>
    <t>19298</t>
  </si>
  <si>
    <t>Planilha — Aba 18 | Relatório de Equipe</t>
  </si>
  <si>
    <t>Tabela 1 — Engenharia (Aba 18)</t>
  </si>
  <si>
    <t>18001</t>
  </si>
  <si>
    <t>18002</t>
  </si>
  <si>
    <t>18003</t>
  </si>
  <si>
    <t>18004</t>
  </si>
  <si>
    <t>18005</t>
  </si>
  <si>
    <t>18006</t>
  </si>
  <si>
    <t>18007</t>
  </si>
  <si>
    <t>18008</t>
  </si>
  <si>
    <t>Tabela 2 — Produto (Aba 18)</t>
  </si>
  <si>
    <t>18011</t>
  </si>
  <si>
    <t>18012</t>
  </si>
  <si>
    <t>18013</t>
  </si>
  <si>
    <t>18014</t>
  </si>
  <si>
    <t>18015</t>
  </si>
  <si>
    <t>18016</t>
  </si>
  <si>
    <t>18017</t>
  </si>
  <si>
    <t>18018</t>
  </si>
  <si>
    <t>Tabela 3 — Design (Aba 18)</t>
  </si>
  <si>
    <t>18021</t>
  </si>
  <si>
    <t>18022</t>
  </si>
  <si>
    <t>18023</t>
  </si>
  <si>
    <t>18024</t>
  </si>
  <si>
    <t>18025</t>
  </si>
  <si>
    <t>18026</t>
  </si>
  <si>
    <t>18027</t>
  </si>
  <si>
    <t>18028</t>
  </si>
  <si>
    <t>Tabela 4 — DevEx (Aba 18)</t>
  </si>
  <si>
    <t>18031</t>
  </si>
  <si>
    <t>18032</t>
  </si>
  <si>
    <t>18033</t>
  </si>
  <si>
    <t>18034</t>
  </si>
  <si>
    <t>18035</t>
  </si>
  <si>
    <t>18036</t>
  </si>
  <si>
    <t>18037</t>
  </si>
  <si>
    <t>18038</t>
  </si>
  <si>
    <t>Tabela 5 — Dados (Aba 18)</t>
  </si>
  <si>
    <t>18041</t>
  </si>
  <si>
    <t>18042</t>
  </si>
  <si>
    <t>18043</t>
  </si>
  <si>
    <t>18044</t>
  </si>
  <si>
    <t>18045</t>
  </si>
  <si>
    <t>18046</t>
  </si>
  <si>
    <t>18047</t>
  </si>
  <si>
    <t>18048</t>
  </si>
  <si>
    <t>Tabela 6 — Infra (Aba 18)</t>
  </si>
  <si>
    <t>18051</t>
  </si>
  <si>
    <t>18052</t>
  </si>
  <si>
    <t>18053</t>
  </si>
  <si>
    <t>18054</t>
  </si>
  <si>
    <t>18055</t>
  </si>
  <si>
    <t>18056</t>
  </si>
  <si>
    <t>18057</t>
  </si>
  <si>
    <t>18058</t>
  </si>
  <si>
    <t>Tabela 7 — Segurança (Aba 18)</t>
  </si>
  <si>
    <t>18061</t>
  </si>
  <si>
    <t>18062</t>
  </si>
  <si>
    <t>18063</t>
  </si>
  <si>
    <t>18064</t>
  </si>
  <si>
    <t>18065</t>
  </si>
  <si>
    <t>18066</t>
  </si>
  <si>
    <t>18067</t>
  </si>
  <si>
    <t>18068</t>
  </si>
  <si>
    <t>Tabela 8 — Engenharia (Aba 18)</t>
  </si>
  <si>
    <t>18071</t>
  </si>
  <si>
    <t>18072</t>
  </si>
  <si>
    <t>18073</t>
  </si>
  <si>
    <t>18074</t>
  </si>
  <si>
    <t>18075</t>
  </si>
  <si>
    <t>18076</t>
  </si>
  <si>
    <t>18077</t>
  </si>
  <si>
    <t>18078</t>
  </si>
  <si>
    <t>Tabela 9 — Produto (Aba 18)</t>
  </si>
  <si>
    <t>18081</t>
  </si>
  <si>
    <t>18082</t>
  </si>
  <si>
    <t>18083</t>
  </si>
  <si>
    <t>18084</t>
  </si>
  <si>
    <t>18085</t>
  </si>
  <si>
    <t>18086</t>
  </si>
  <si>
    <t>18087</t>
  </si>
  <si>
    <t>18088</t>
  </si>
  <si>
    <t>Tabela 10 — Design (Aba 18)</t>
  </si>
  <si>
    <t>18091</t>
  </si>
  <si>
    <t>18092</t>
  </si>
  <si>
    <t>18093</t>
  </si>
  <si>
    <t>18094</t>
  </si>
  <si>
    <t>18095</t>
  </si>
  <si>
    <t>18096</t>
  </si>
  <si>
    <t>18097</t>
  </si>
  <si>
    <t>18098</t>
  </si>
  <si>
    <t>Tabela 11 — DevEx (Aba 18)</t>
  </si>
  <si>
    <t>18101</t>
  </si>
  <si>
    <t>18102</t>
  </si>
  <si>
    <t>18103</t>
  </si>
  <si>
    <t>18104</t>
  </si>
  <si>
    <t>18105</t>
  </si>
  <si>
    <t>18106</t>
  </si>
  <si>
    <t>18107</t>
  </si>
  <si>
    <t>18108</t>
  </si>
  <si>
    <t>Tabela 12 — Dados (Aba 18)</t>
  </si>
  <si>
    <t>18111</t>
  </si>
  <si>
    <t>18112</t>
  </si>
  <si>
    <t>18113</t>
  </si>
  <si>
    <t>18114</t>
  </si>
  <si>
    <t>18115</t>
  </si>
  <si>
    <t>18116</t>
  </si>
  <si>
    <t>18117</t>
  </si>
  <si>
    <t>18118</t>
  </si>
  <si>
    <t>Tabela 13 — Infra (Aba 18)</t>
  </si>
  <si>
    <t>18121</t>
  </si>
  <si>
    <t>18122</t>
  </si>
  <si>
    <t>18123</t>
  </si>
  <si>
    <t>18124</t>
  </si>
  <si>
    <t>18125</t>
  </si>
  <si>
    <t>18126</t>
  </si>
  <si>
    <t>18127</t>
  </si>
  <si>
    <t>18128</t>
  </si>
  <si>
    <t>Tabela 14 — Segurança (Aba 18)</t>
  </si>
  <si>
    <t>18131</t>
  </si>
  <si>
    <t>18132</t>
  </si>
  <si>
    <t>18133</t>
  </si>
  <si>
    <t>18134</t>
  </si>
  <si>
    <t>18135</t>
  </si>
  <si>
    <t>18136</t>
  </si>
  <si>
    <t>18137</t>
  </si>
  <si>
    <t>18138</t>
  </si>
  <si>
    <t>Tabela 15 — Engenharia (Aba 18)</t>
  </si>
  <si>
    <t>18141</t>
  </si>
  <si>
    <t>18142</t>
  </si>
  <si>
    <t>18143</t>
  </si>
  <si>
    <t>18144</t>
  </si>
  <si>
    <t>18145</t>
  </si>
  <si>
    <t>18146</t>
  </si>
  <si>
    <t>18147</t>
  </si>
  <si>
    <t>18148</t>
  </si>
  <si>
    <t>Tabela 16 — Produto (Aba 18)</t>
  </si>
  <si>
    <t>18151</t>
  </si>
  <si>
    <t>18152</t>
  </si>
  <si>
    <t>18153</t>
  </si>
  <si>
    <t>18154</t>
  </si>
  <si>
    <t>18155</t>
  </si>
  <si>
    <t>18156</t>
  </si>
  <si>
    <t>18157</t>
  </si>
  <si>
    <t>18158</t>
  </si>
  <si>
    <t>Tabela 17 — Design (Aba 18)</t>
  </si>
  <si>
    <t>18161</t>
  </si>
  <si>
    <t>18162</t>
  </si>
  <si>
    <t>18163</t>
  </si>
  <si>
    <t>18164</t>
  </si>
  <si>
    <t>18165</t>
  </si>
  <si>
    <t>18166</t>
  </si>
  <si>
    <t>18167</t>
  </si>
  <si>
    <t>18168</t>
  </si>
  <si>
    <t>Tabela 18 — DevEx (Aba 18)</t>
  </si>
  <si>
    <t>18171</t>
  </si>
  <si>
    <t>18172</t>
  </si>
  <si>
    <t>18173</t>
  </si>
  <si>
    <t>18174</t>
  </si>
  <si>
    <t>18175</t>
  </si>
  <si>
    <t>18176</t>
  </si>
  <si>
    <t>18177</t>
  </si>
  <si>
    <t>18178</t>
  </si>
  <si>
    <t>Tabela 19 — Dados (Aba 18)</t>
  </si>
  <si>
    <t>18181</t>
  </si>
  <si>
    <t>18182</t>
  </si>
  <si>
    <t>18183</t>
  </si>
  <si>
    <t>18184</t>
  </si>
  <si>
    <t>18185</t>
  </si>
  <si>
    <t>18186</t>
  </si>
  <si>
    <t>18187</t>
  </si>
  <si>
    <t>18188</t>
  </si>
  <si>
    <t>Tabela 20 — Infra (Aba 18)</t>
  </si>
  <si>
    <t>18191</t>
  </si>
  <si>
    <t>18192</t>
  </si>
  <si>
    <t>18193</t>
  </si>
  <si>
    <t>18194</t>
  </si>
  <si>
    <t>18195</t>
  </si>
  <si>
    <t>18196</t>
  </si>
  <si>
    <t>18197</t>
  </si>
  <si>
    <t>18198</t>
  </si>
  <si>
    <t>Tabela 21 — Segurança (Aba 18)</t>
  </si>
  <si>
    <t>18201</t>
  </si>
  <si>
    <t>18202</t>
  </si>
  <si>
    <t>18203</t>
  </si>
  <si>
    <t>18204</t>
  </si>
  <si>
    <t>18205</t>
  </si>
  <si>
    <t>18206</t>
  </si>
  <si>
    <t>18207</t>
  </si>
  <si>
    <t>18208</t>
  </si>
  <si>
    <t>Tabela 22 — Engenharia (Aba 18)</t>
  </si>
  <si>
    <t>18211</t>
  </si>
  <si>
    <t>18212</t>
  </si>
  <si>
    <t>18213</t>
  </si>
  <si>
    <t>18214</t>
  </si>
  <si>
    <t>18215</t>
  </si>
  <si>
    <t>18216</t>
  </si>
  <si>
    <t>18217</t>
  </si>
  <si>
    <t>18218</t>
  </si>
  <si>
    <t>Tabela 23 — Produto (Aba 18)</t>
  </si>
  <si>
    <t>18221</t>
  </si>
  <si>
    <t>18222</t>
  </si>
  <si>
    <t>18223</t>
  </si>
  <si>
    <t>18224</t>
  </si>
  <si>
    <t>18225</t>
  </si>
  <si>
    <t>18226</t>
  </si>
  <si>
    <t>18227</t>
  </si>
  <si>
    <t>18228</t>
  </si>
  <si>
    <t>Tabela 24 — Design (Aba 18)</t>
  </si>
  <si>
    <t>18231</t>
  </si>
  <si>
    <t>18232</t>
  </si>
  <si>
    <t>18233</t>
  </si>
  <si>
    <t>18234</t>
  </si>
  <si>
    <t>18235</t>
  </si>
  <si>
    <t>18236</t>
  </si>
  <si>
    <t>18237</t>
  </si>
  <si>
    <t>18238</t>
  </si>
  <si>
    <t>Tabela 25 — DevEx (Aba 18)</t>
  </si>
  <si>
    <t>18241</t>
  </si>
  <si>
    <t>18242</t>
  </si>
  <si>
    <t>18243</t>
  </si>
  <si>
    <t>18244</t>
  </si>
  <si>
    <t>18245</t>
  </si>
  <si>
    <t>18246</t>
  </si>
  <si>
    <t>18247</t>
  </si>
  <si>
    <t>18248</t>
  </si>
  <si>
    <t>Tabela 26 — Dados (Aba 18)</t>
  </si>
  <si>
    <t>18251</t>
  </si>
  <si>
    <t>18252</t>
  </si>
  <si>
    <t>18253</t>
  </si>
  <si>
    <t>18254</t>
  </si>
  <si>
    <t>18255</t>
  </si>
  <si>
    <t>18256</t>
  </si>
  <si>
    <t>18257</t>
  </si>
  <si>
    <t>18258</t>
  </si>
  <si>
    <t>Tabela 27 — Infra (Aba 18)</t>
  </si>
  <si>
    <t>18261</t>
  </si>
  <si>
    <t>18262</t>
  </si>
  <si>
    <t>18263</t>
  </si>
  <si>
    <t>18264</t>
  </si>
  <si>
    <t>18265</t>
  </si>
  <si>
    <t>18266</t>
  </si>
  <si>
    <t>18267</t>
  </si>
  <si>
    <t>18268</t>
  </si>
  <si>
    <t>Tabela 28 — Segurança (Aba 18)</t>
  </si>
  <si>
    <t>18271</t>
  </si>
  <si>
    <t>18272</t>
  </si>
  <si>
    <t>18273</t>
  </si>
  <si>
    <t>18274</t>
  </si>
  <si>
    <t>18275</t>
  </si>
  <si>
    <t>18276</t>
  </si>
  <si>
    <t>18277</t>
  </si>
  <si>
    <t>18278</t>
  </si>
  <si>
    <t>Tabela 29 — Engenharia (Aba 18)</t>
  </si>
  <si>
    <t>18281</t>
  </si>
  <si>
    <t>18282</t>
  </si>
  <si>
    <t>18283</t>
  </si>
  <si>
    <t>18284</t>
  </si>
  <si>
    <t>18285</t>
  </si>
  <si>
    <t>18286</t>
  </si>
  <si>
    <t>18287</t>
  </si>
  <si>
    <t>18288</t>
  </si>
  <si>
    <t>Tabela 30 — Produto (Aba 18)</t>
  </si>
  <si>
    <t>18291</t>
  </si>
  <si>
    <t>18292</t>
  </si>
  <si>
    <t>18293</t>
  </si>
  <si>
    <t>18294</t>
  </si>
  <si>
    <t>18295</t>
  </si>
  <si>
    <t>18296</t>
  </si>
  <si>
    <t>18297</t>
  </si>
  <si>
    <t>18298</t>
  </si>
  <si>
    <t>Planilha — Aba 17 | Relatório de Equipe</t>
  </si>
  <si>
    <t>Tabela 1 — Engenharia (Aba 17)</t>
  </si>
  <si>
    <t>17001</t>
  </si>
  <si>
    <t>17002</t>
  </si>
  <si>
    <t>17003</t>
  </si>
  <si>
    <t>17004</t>
  </si>
  <si>
    <t>17005</t>
  </si>
  <si>
    <t>17006</t>
  </si>
  <si>
    <t>17007</t>
  </si>
  <si>
    <t>17008</t>
  </si>
  <si>
    <t>Tabela 2 — Produto (Aba 17)</t>
  </si>
  <si>
    <t>17011</t>
  </si>
  <si>
    <t>17012</t>
  </si>
  <si>
    <t>17013</t>
  </si>
  <si>
    <t>17014</t>
  </si>
  <si>
    <t>17015</t>
  </si>
  <si>
    <t>17016</t>
  </si>
  <si>
    <t>17017</t>
  </si>
  <si>
    <t>17018</t>
  </si>
  <si>
    <t>Tabela 3 — Design (Aba 17)</t>
  </si>
  <si>
    <t>17021</t>
  </si>
  <si>
    <t>17022</t>
  </si>
  <si>
    <t>17023</t>
  </si>
  <si>
    <t>17024</t>
  </si>
  <si>
    <t>17025</t>
  </si>
  <si>
    <t>17026</t>
  </si>
  <si>
    <t>17027</t>
  </si>
  <si>
    <t>17028</t>
  </si>
  <si>
    <t>Tabela 4 — DevEx (Aba 17)</t>
  </si>
  <si>
    <t>17031</t>
  </si>
  <si>
    <t>17032</t>
  </si>
  <si>
    <t>17033</t>
  </si>
  <si>
    <t>17034</t>
  </si>
  <si>
    <t>17035</t>
  </si>
  <si>
    <t>17036</t>
  </si>
  <si>
    <t>17037</t>
  </si>
  <si>
    <t>17038</t>
  </si>
  <si>
    <t>Tabela 5 — Dados (Aba 17)</t>
  </si>
  <si>
    <t>17041</t>
  </si>
  <si>
    <t>17042</t>
  </si>
  <si>
    <t>17043</t>
  </si>
  <si>
    <t>17044</t>
  </si>
  <si>
    <t>17045</t>
  </si>
  <si>
    <t>17046</t>
  </si>
  <si>
    <t>17047</t>
  </si>
  <si>
    <t>17048</t>
  </si>
  <si>
    <t>Tabela 6 — Infra (Aba 17)</t>
  </si>
  <si>
    <t>17051</t>
  </si>
  <si>
    <t>17052</t>
  </si>
  <si>
    <t>17053</t>
  </si>
  <si>
    <t>17054</t>
  </si>
  <si>
    <t>17055</t>
  </si>
  <si>
    <t>17056</t>
  </si>
  <si>
    <t>17057</t>
  </si>
  <si>
    <t>17058</t>
  </si>
  <si>
    <t>Tabela 7 — Segurança (Aba 17)</t>
  </si>
  <si>
    <t>17061</t>
  </si>
  <si>
    <t>17062</t>
  </si>
  <si>
    <t>17063</t>
  </si>
  <si>
    <t>17064</t>
  </si>
  <si>
    <t>17065</t>
  </si>
  <si>
    <t>17066</t>
  </si>
  <si>
    <t>17067</t>
  </si>
  <si>
    <t>17068</t>
  </si>
  <si>
    <t>Tabela 8 — Engenharia (Aba 17)</t>
  </si>
  <si>
    <t>17071</t>
  </si>
  <si>
    <t>17072</t>
  </si>
  <si>
    <t>17073</t>
  </si>
  <si>
    <t>17074</t>
  </si>
  <si>
    <t>17075</t>
  </si>
  <si>
    <t>17076</t>
  </si>
  <si>
    <t>17077</t>
  </si>
  <si>
    <t>17078</t>
  </si>
  <si>
    <t>Tabela 9 — Produto (Aba 17)</t>
  </si>
  <si>
    <t>17081</t>
  </si>
  <si>
    <t>17082</t>
  </si>
  <si>
    <t>17083</t>
  </si>
  <si>
    <t>17084</t>
  </si>
  <si>
    <t>17085</t>
  </si>
  <si>
    <t>17086</t>
  </si>
  <si>
    <t>17087</t>
  </si>
  <si>
    <t>17088</t>
  </si>
  <si>
    <t>Tabela 10 — Design (Aba 17)</t>
  </si>
  <si>
    <t>17091</t>
  </si>
  <si>
    <t>17092</t>
  </si>
  <si>
    <t>17093</t>
  </si>
  <si>
    <t>17094</t>
  </si>
  <si>
    <t>17095</t>
  </si>
  <si>
    <t>17096</t>
  </si>
  <si>
    <t>17097</t>
  </si>
  <si>
    <t>17098</t>
  </si>
  <si>
    <t>Tabela 11 — DevEx (Aba 17)</t>
  </si>
  <si>
    <t>17101</t>
  </si>
  <si>
    <t>17102</t>
  </si>
  <si>
    <t>17103</t>
  </si>
  <si>
    <t>17104</t>
  </si>
  <si>
    <t>17105</t>
  </si>
  <si>
    <t>17106</t>
  </si>
  <si>
    <t>17107</t>
  </si>
  <si>
    <t>17108</t>
  </si>
  <si>
    <t>Tabela 12 — Dados (Aba 17)</t>
  </si>
  <si>
    <t>17111</t>
  </si>
  <si>
    <t>17112</t>
  </si>
  <si>
    <t>17113</t>
  </si>
  <si>
    <t>17114</t>
  </si>
  <si>
    <t>17115</t>
  </si>
  <si>
    <t>17116</t>
  </si>
  <si>
    <t>17117</t>
  </si>
  <si>
    <t>17118</t>
  </si>
  <si>
    <t>Tabela 13 — Infra (Aba 17)</t>
  </si>
  <si>
    <t>17121</t>
  </si>
  <si>
    <t>17122</t>
  </si>
  <si>
    <t>17123</t>
  </si>
  <si>
    <t>17124</t>
  </si>
  <si>
    <t>17125</t>
  </si>
  <si>
    <t>17126</t>
  </si>
  <si>
    <t>17127</t>
  </si>
  <si>
    <t>17128</t>
  </si>
  <si>
    <t>Tabela 14 — Segurança (Aba 17)</t>
  </si>
  <si>
    <t>17131</t>
  </si>
  <si>
    <t>17132</t>
  </si>
  <si>
    <t>17133</t>
  </si>
  <si>
    <t>17134</t>
  </si>
  <si>
    <t>17135</t>
  </si>
  <si>
    <t>17136</t>
  </si>
  <si>
    <t>17137</t>
  </si>
  <si>
    <t>17138</t>
  </si>
  <si>
    <t>Tabela 15 — Engenharia (Aba 17)</t>
  </si>
  <si>
    <t>17141</t>
  </si>
  <si>
    <t>17142</t>
  </si>
  <si>
    <t>17143</t>
  </si>
  <si>
    <t>17144</t>
  </si>
  <si>
    <t>17145</t>
  </si>
  <si>
    <t>17146</t>
  </si>
  <si>
    <t>17147</t>
  </si>
  <si>
    <t>17148</t>
  </si>
  <si>
    <t>Tabela 16 — Produto (Aba 17)</t>
  </si>
  <si>
    <t>17151</t>
  </si>
  <si>
    <t>17152</t>
  </si>
  <si>
    <t>17153</t>
  </si>
  <si>
    <t>17154</t>
  </si>
  <si>
    <t>17155</t>
  </si>
  <si>
    <t>17156</t>
  </si>
  <si>
    <t>17157</t>
  </si>
  <si>
    <t>17158</t>
  </si>
  <si>
    <t>Tabela 17 — Design (Aba 17)</t>
  </si>
  <si>
    <t>17161</t>
  </si>
  <si>
    <t>17162</t>
  </si>
  <si>
    <t>17163</t>
  </si>
  <si>
    <t>17164</t>
  </si>
  <si>
    <t>17165</t>
  </si>
  <si>
    <t>17166</t>
  </si>
  <si>
    <t>17167</t>
  </si>
  <si>
    <t>17168</t>
  </si>
  <si>
    <t>Tabela 18 — DevEx (Aba 17)</t>
  </si>
  <si>
    <t>17171</t>
  </si>
  <si>
    <t>17172</t>
  </si>
  <si>
    <t>17173</t>
  </si>
  <si>
    <t>17174</t>
  </si>
  <si>
    <t>17175</t>
  </si>
  <si>
    <t>17176</t>
  </si>
  <si>
    <t>17177</t>
  </si>
  <si>
    <t>17178</t>
  </si>
  <si>
    <t>Tabela 19 — Dados (Aba 17)</t>
  </si>
  <si>
    <t>17181</t>
  </si>
  <si>
    <t>17182</t>
  </si>
  <si>
    <t>17183</t>
  </si>
  <si>
    <t>17184</t>
  </si>
  <si>
    <t>17185</t>
  </si>
  <si>
    <t>17186</t>
  </si>
  <si>
    <t>17187</t>
  </si>
  <si>
    <t>17188</t>
  </si>
  <si>
    <t>Tabela 20 — Infra (Aba 17)</t>
  </si>
  <si>
    <t>17191</t>
  </si>
  <si>
    <t>17192</t>
  </si>
  <si>
    <t>17193</t>
  </si>
  <si>
    <t>17194</t>
  </si>
  <si>
    <t>17195</t>
  </si>
  <si>
    <t>17196</t>
  </si>
  <si>
    <t>17197</t>
  </si>
  <si>
    <t>17198</t>
  </si>
  <si>
    <t>Tabela 21 — Segurança (Aba 17)</t>
  </si>
  <si>
    <t>17201</t>
  </si>
  <si>
    <t>17202</t>
  </si>
  <si>
    <t>17203</t>
  </si>
  <si>
    <t>17204</t>
  </si>
  <si>
    <t>17205</t>
  </si>
  <si>
    <t>17206</t>
  </si>
  <si>
    <t>17207</t>
  </si>
  <si>
    <t>17208</t>
  </si>
  <si>
    <t>Tabela 22 — Engenharia (Aba 17)</t>
  </si>
  <si>
    <t>17211</t>
  </si>
  <si>
    <t>17212</t>
  </si>
  <si>
    <t>17213</t>
  </si>
  <si>
    <t>17214</t>
  </si>
  <si>
    <t>17215</t>
  </si>
  <si>
    <t>17216</t>
  </si>
  <si>
    <t>17217</t>
  </si>
  <si>
    <t>17218</t>
  </si>
  <si>
    <t>Tabela 23 — Produto (Aba 17)</t>
  </si>
  <si>
    <t>17221</t>
  </si>
  <si>
    <t>17222</t>
  </si>
  <si>
    <t>17223</t>
  </si>
  <si>
    <t>17224</t>
  </si>
  <si>
    <t>17225</t>
  </si>
  <si>
    <t>17226</t>
  </si>
  <si>
    <t>17227</t>
  </si>
  <si>
    <t>17228</t>
  </si>
  <si>
    <t>Tabela 24 — Design (Aba 17)</t>
  </si>
  <si>
    <t>17231</t>
  </si>
  <si>
    <t>17232</t>
  </si>
  <si>
    <t>17233</t>
  </si>
  <si>
    <t>17234</t>
  </si>
  <si>
    <t>17235</t>
  </si>
  <si>
    <t>17236</t>
  </si>
  <si>
    <t>17237</t>
  </si>
  <si>
    <t>17238</t>
  </si>
  <si>
    <t>Tabela 25 — DevEx (Aba 17)</t>
  </si>
  <si>
    <t>17241</t>
  </si>
  <si>
    <t>17242</t>
  </si>
  <si>
    <t>17243</t>
  </si>
  <si>
    <t>17244</t>
  </si>
  <si>
    <t>17245</t>
  </si>
  <si>
    <t>17246</t>
  </si>
  <si>
    <t>17247</t>
  </si>
  <si>
    <t>17248</t>
  </si>
  <si>
    <t>Tabela 26 — Dados (Aba 17)</t>
  </si>
  <si>
    <t>17251</t>
  </si>
  <si>
    <t>17252</t>
  </si>
  <si>
    <t>17253</t>
  </si>
  <si>
    <t>17254</t>
  </si>
  <si>
    <t>17255</t>
  </si>
  <si>
    <t>17256</t>
  </si>
  <si>
    <t>17257</t>
  </si>
  <si>
    <t>17258</t>
  </si>
  <si>
    <t>Tabela 27 — Infra (Aba 17)</t>
  </si>
  <si>
    <t>17261</t>
  </si>
  <si>
    <t>17262</t>
  </si>
  <si>
    <t>17263</t>
  </si>
  <si>
    <t>17264</t>
  </si>
  <si>
    <t>17265</t>
  </si>
  <si>
    <t>17266</t>
  </si>
  <si>
    <t>17267</t>
  </si>
  <si>
    <t>17268</t>
  </si>
  <si>
    <t>Tabela 28 — Segurança (Aba 17)</t>
  </si>
  <si>
    <t>17271</t>
  </si>
  <si>
    <t>17272</t>
  </si>
  <si>
    <t>17273</t>
  </si>
  <si>
    <t>17274</t>
  </si>
  <si>
    <t>17275</t>
  </si>
  <si>
    <t>17276</t>
  </si>
  <si>
    <t>17277</t>
  </si>
  <si>
    <t>17278</t>
  </si>
  <si>
    <t>Tabela 29 — Engenharia (Aba 17)</t>
  </si>
  <si>
    <t>17281</t>
  </si>
  <si>
    <t>17282</t>
  </si>
  <si>
    <t>17283</t>
  </si>
  <si>
    <t>17284</t>
  </si>
  <si>
    <t>17285</t>
  </si>
  <si>
    <t>17286</t>
  </si>
  <si>
    <t>17287</t>
  </si>
  <si>
    <t>17288</t>
  </si>
  <si>
    <t>Tabela 30 — Produto (Aba 17)</t>
  </si>
  <si>
    <t>17291</t>
  </si>
  <si>
    <t>17292</t>
  </si>
  <si>
    <t>17293</t>
  </si>
  <si>
    <t>17294</t>
  </si>
  <si>
    <t>17295</t>
  </si>
  <si>
    <t>17296</t>
  </si>
  <si>
    <t>17297</t>
  </si>
  <si>
    <t>17298</t>
  </si>
  <si>
    <t>Planilha — Aba 16 | Relatório de Equipe</t>
  </si>
  <si>
    <t>Tabela 1 — Engenharia (Aba 16)</t>
  </si>
  <si>
    <t>16001</t>
  </si>
  <si>
    <t>16002</t>
  </si>
  <si>
    <t>16003</t>
  </si>
  <si>
    <t>16004</t>
  </si>
  <si>
    <t>16005</t>
  </si>
  <si>
    <t>16006</t>
  </si>
  <si>
    <t>16007</t>
  </si>
  <si>
    <t>16008</t>
  </si>
  <si>
    <t>Tabela 2 — Produto (Aba 16)</t>
  </si>
  <si>
    <t>16011</t>
  </si>
  <si>
    <t>16012</t>
  </si>
  <si>
    <t>16013</t>
  </si>
  <si>
    <t>16014</t>
  </si>
  <si>
    <t>16015</t>
  </si>
  <si>
    <t>16016</t>
  </si>
  <si>
    <t>16017</t>
  </si>
  <si>
    <t>16018</t>
  </si>
  <si>
    <t>Tabela 3 — Design (Aba 16)</t>
  </si>
  <si>
    <t>16021</t>
  </si>
  <si>
    <t>16022</t>
  </si>
  <si>
    <t>16023</t>
  </si>
  <si>
    <t>16024</t>
  </si>
  <si>
    <t>16025</t>
  </si>
  <si>
    <t>16026</t>
  </si>
  <si>
    <t>16027</t>
  </si>
  <si>
    <t>16028</t>
  </si>
  <si>
    <t>Tabela 4 — DevEx (Aba 16)</t>
  </si>
  <si>
    <t>16031</t>
  </si>
  <si>
    <t>16032</t>
  </si>
  <si>
    <t>16033</t>
  </si>
  <si>
    <t>16034</t>
  </si>
  <si>
    <t>16035</t>
  </si>
  <si>
    <t>16036</t>
  </si>
  <si>
    <t>16037</t>
  </si>
  <si>
    <t>16038</t>
  </si>
  <si>
    <t>Tabela 5 — Dados (Aba 16)</t>
  </si>
  <si>
    <t>16041</t>
  </si>
  <si>
    <t>16042</t>
  </si>
  <si>
    <t>16043</t>
  </si>
  <si>
    <t>16044</t>
  </si>
  <si>
    <t>16045</t>
  </si>
  <si>
    <t>16046</t>
  </si>
  <si>
    <t>16047</t>
  </si>
  <si>
    <t>16048</t>
  </si>
  <si>
    <t>Tabela 6 — Infra (Aba 16)</t>
  </si>
  <si>
    <t>16051</t>
  </si>
  <si>
    <t>16052</t>
  </si>
  <si>
    <t>16053</t>
  </si>
  <si>
    <t>16054</t>
  </si>
  <si>
    <t>16055</t>
  </si>
  <si>
    <t>16056</t>
  </si>
  <si>
    <t>16057</t>
  </si>
  <si>
    <t>16058</t>
  </si>
  <si>
    <t>Tabela 7 — Segurança (Aba 16)</t>
  </si>
  <si>
    <t>16061</t>
  </si>
  <si>
    <t>16062</t>
  </si>
  <si>
    <t>16063</t>
  </si>
  <si>
    <t>16064</t>
  </si>
  <si>
    <t>16065</t>
  </si>
  <si>
    <t>16066</t>
  </si>
  <si>
    <t>16067</t>
  </si>
  <si>
    <t>16068</t>
  </si>
  <si>
    <t>Tabela 8 — Engenharia (Aba 16)</t>
  </si>
  <si>
    <t>16071</t>
  </si>
  <si>
    <t>16072</t>
  </si>
  <si>
    <t>16073</t>
  </si>
  <si>
    <t>16074</t>
  </si>
  <si>
    <t>16075</t>
  </si>
  <si>
    <t>16076</t>
  </si>
  <si>
    <t>16077</t>
  </si>
  <si>
    <t>16078</t>
  </si>
  <si>
    <t>Tabela 9 — Produto (Aba 16)</t>
  </si>
  <si>
    <t>16081</t>
  </si>
  <si>
    <t>16082</t>
  </si>
  <si>
    <t>16083</t>
  </si>
  <si>
    <t>16084</t>
  </si>
  <si>
    <t>16085</t>
  </si>
  <si>
    <t>16086</t>
  </si>
  <si>
    <t>16087</t>
  </si>
  <si>
    <t>16088</t>
  </si>
  <si>
    <t>Tabela 10 — Design (Aba 16)</t>
  </si>
  <si>
    <t>16091</t>
  </si>
  <si>
    <t>16092</t>
  </si>
  <si>
    <t>16093</t>
  </si>
  <si>
    <t>16094</t>
  </si>
  <si>
    <t>16095</t>
  </si>
  <si>
    <t>16096</t>
  </si>
  <si>
    <t>16097</t>
  </si>
  <si>
    <t>16098</t>
  </si>
  <si>
    <t>Tabela 11 — DevEx (Aba 16)</t>
  </si>
  <si>
    <t>16101</t>
  </si>
  <si>
    <t>16102</t>
  </si>
  <si>
    <t>16103</t>
  </si>
  <si>
    <t>16104</t>
  </si>
  <si>
    <t>16105</t>
  </si>
  <si>
    <t>16106</t>
  </si>
  <si>
    <t>16107</t>
  </si>
  <si>
    <t>16108</t>
  </si>
  <si>
    <t>Tabela 12 — Dados (Aba 16)</t>
  </si>
  <si>
    <t>16111</t>
  </si>
  <si>
    <t>16112</t>
  </si>
  <si>
    <t>16113</t>
  </si>
  <si>
    <t>16114</t>
  </si>
  <si>
    <t>16115</t>
  </si>
  <si>
    <t>16116</t>
  </si>
  <si>
    <t>16117</t>
  </si>
  <si>
    <t>16118</t>
  </si>
  <si>
    <t>Tabela 13 — Infra (Aba 16)</t>
  </si>
  <si>
    <t>16121</t>
  </si>
  <si>
    <t>16122</t>
  </si>
  <si>
    <t>16123</t>
  </si>
  <si>
    <t>16124</t>
  </si>
  <si>
    <t>16125</t>
  </si>
  <si>
    <t>16126</t>
  </si>
  <si>
    <t>16127</t>
  </si>
  <si>
    <t>16128</t>
  </si>
  <si>
    <t>Tabela 14 — Segurança (Aba 16)</t>
  </si>
  <si>
    <t>16131</t>
  </si>
  <si>
    <t>16132</t>
  </si>
  <si>
    <t>16133</t>
  </si>
  <si>
    <t>16134</t>
  </si>
  <si>
    <t>16135</t>
  </si>
  <si>
    <t>16136</t>
  </si>
  <si>
    <t>16137</t>
  </si>
  <si>
    <t>16138</t>
  </si>
  <si>
    <t>Tabela 15 — Engenharia (Aba 16)</t>
  </si>
  <si>
    <t>16141</t>
  </si>
  <si>
    <t>16142</t>
  </si>
  <si>
    <t>16143</t>
  </si>
  <si>
    <t>16144</t>
  </si>
  <si>
    <t>16145</t>
  </si>
  <si>
    <t>16146</t>
  </si>
  <si>
    <t>16147</t>
  </si>
  <si>
    <t>16148</t>
  </si>
  <si>
    <t>Tabela 16 — Produto (Aba 16)</t>
  </si>
  <si>
    <t>16151</t>
  </si>
  <si>
    <t>16152</t>
  </si>
  <si>
    <t>16153</t>
  </si>
  <si>
    <t>16154</t>
  </si>
  <si>
    <t>16155</t>
  </si>
  <si>
    <t>16156</t>
  </si>
  <si>
    <t>16157</t>
  </si>
  <si>
    <t>16158</t>
  </si>
  <si>
    <t>Tabela 17 — Design (Aba 16)</t>
  </si>
  <si>
    <t>16161</t>
  </si>
  <si>
    <t>16162</t>
  </si>
  <si>
    <t>16163</t>
  </si>
  <si>
    <t>16164</t>
  </si>
  <si>
    <t>16165</t>
  </si>
  <si>
    <t>16166</t>
  </si>
  <si>
    <t>16167</t>
  </si>
  <si>
    <t>16168</t>
  </si>
  <si>
    <t>Tabela 18 — DevEx (Aba 16)</t>
  </si>
  <si>
    <t>16171</t>
  </si>
  <si>
    <t>16172</t>
  </si>
  <si>
    <t>16173</t>
  </si>
  <si>
    <t>16174</t>
  </si>
  <si>
    <t>16175</t>
  </si>
  <si>
    <t>16176</t>
  </si>
  <si>
    <t>16177</t>
  </si>
  <si>
    <t>16178</t>
  </si>
  <si>
    <t>Tabela 19 — Dados (Aba 16)</t>
  </si>
  <si>
    <t>16181</t>
  </si>
  <si>
    <t>16182</t>
  </si>
  <si>
    <t>16183</t>
  </si>
  <si>
    <t>16184</t>
  </si>
  <si>
    <t>16185</t>
  </si>
  <si>
    <t>16186</t>
  </si>
  <si>
    <t>16187</t>
  </si>
  <si>
    <t>16188</t>
  </si>
  <si>
    <t>Tabela 20 — Infra (Aba 16)</t>
  </si>
  <si>
    <t>16191</t>
  </si>
  <si>
    <t>16192</t>
  </si>
  <si>
    <t>16193</t>
  </si>
  <si>
    <t>16194</t>
  </si>
  <si>
    <t>16195</t>
  </si>
  <si>
    <t>16196</t>
  </si>
  <si>
    <t>16197</t>
  </si>
  <si>
    <t>16198</t>
  </si>
  <si>
    <t>Tabela 21 — Segurança (Aba 16)</t>
  </si>
  <si>
    <t>16201</t>
  </si>
  <si>
    <t>16202</t>
  </si>
  <si>
    <t>16203</t>
  </si>
  <si>
    <t>16204</t>
  </si>
  <si>
    <t>16205</t>
  </si>
  <si>
    <t>16206</t>
  </si>
  <si>
    <t>16207</t>
  </si>
  <si>
    <t>16208</t>
  </si>
  <si>
    <t>Tabela 22 — Engenharia (Aba 16)</t>
  </si>
  <si>
    <t>16211</t>
  </si>
  <si>
    <t>16212</t>
  </si>
  <si>
    <t>16213</t>
  </si>
  <si>
    <t>16214</t>
  </si>
  <si>
    <t>16215</t>
  </si>
  <si>
    <t>16216</t>
  </si>
  <si>
    <t>16217</t>
  </si>
  <si>
    <t>16218</t>
  </si>
  <si>
    <t>Tabela 23 — Produto (Aba 16)</t>
  </si>
  <si>
    <t>16221</t>
  </si>
  <si>
    <t>16222</t>
  </si>
  <si>
    <t>16223</t>
  </si>
  <si>
    <t>16224</t>
  </si>
  <si>
    <t>16225</t>
  </si>
  <si>
    <t>16226</t>
  </si>
  <si>
    <t>16227</t>
  </si>
  <si>
    <t>16228</t>
  </si>
  <si>
    <t>Tabela 24 — Design (Aba 16)</t>
  </si>
  <si>
    <t>16231</t>
  </si>
  <si>
    <t>16232</t>
  </si>
  <si>
    <t>16233</t>
  </si>
  <si>
    <t>16234</t>
  </si>
  <si>
    <t>16235</t>
  </si>
  <si>
    <t>16236</t>
  </si>
  <si>
    <t>16237</t>
  </si>
  <si>
    <t>16238</t>
  </si>
  <si>
    <t>Tabela 25 — DevEx (Aba 16)</t>
  </si>
  <si>
    <t>16241</t>
  </si>
  <si>
    <t>16242</t>
  </si>
  <si>
    <t>16243</t>
  </si>
  <si>
    <t>16244</t>
  </si>
  <si>
    <t>16245</t>
  </si>
  <si>
    <t>16246</t>
  </si>
  <si>
    <t>16247</t>
  </si>
  <si>
    <t>16248</t>
  </si>
  <si>
    <t>Tabela 26 — Dados (Aba 16)</t>
  </si>
  <si>
    <t>16251</t>
  </si>
  <si>
    <t>16252</t>
  </si>
  <si>
    <t>16253</t>
  </si>
  <si>
    <t>16254</t>
  </si>
  <si>
    <t>16255</t>
  </si>
  <si>
    <t>16256</t>
  </si>
  <si>
    <t>16257</t>
  </si>
  <si>
    <t>16258</t>
  </si>
  <si>
    <t>Tabela 27 — Infra (Aba 16)</t>
  </si>
  <si>
    <t>16261</t>
  </si>
  <si>
    <t>16262</t>
  </si>
  <si>
    <t>16263</t>
  </si>
  <si>
    <t>16264</t>
  </si>
  <si>
    <t>16265</t>
  </si>
  <si>
    <t>16266</t>
  </si>
  <si>
    <t>16267</t>
  </si>
  <si>
    <t>16268</t>
  </si>
  <si>
    <t>Tabela 28 — Segurança (Aba 16)</t>
  </si>
  <si>
    <t>16271</t>
  </si>
  <si>
    <t>16272</t>
  </si>
  <si>
    <t>16273</t>
  </si>
  <si>
    <t>16274</t>
  </si>
  <si>
    <t>16275</t>
  </si>
  <si>
    <t>16276</t>
  </si>
  <si>
    <t>16277</t>
  </si>
  <si>
    <t>16278</t>
  </si>
  <si>
    <t>Tabela 29 — Engenharia (Aba 16)</t>
  </si>
  <si>
    <t>16281</t>
  </si>
  <si>
    <t>16282</t>
  </si>
  <si>
    <t>16283</t>
  </si>
  <si>
    <t>16284</t>
  </si>
  <si>
    <t>16285</t>
  </si>
  <si>
    <t>16286</t>
  </si>
  <si>
    <t>16287</t>
  </si>
  <si>
    <t>16288</t>
  </si>
  <si>
    <t>Tabela 30 — Produto (Aba 16)</t>
  </si>
  <si>
    <t>16291</t>
  </si>
  <si>
    <t>16292</t>
  </si>
  <si>
    <t>16293</t>
  </si>
  <si>
    <t>16294</t>
  </si>
  <si>
    <t>16295</t>
  </si>
  <si>
    <t>16296</t>
  </si>
  <si>
    <t>16297</t>
  </si>
  <si>
    <t>16298</t>
  </si>
  <si>
    <t>Planilha — Aba 15 | Relatório de Equipe</t>
  </si>
  <si>
    <t>Tabela 1 — Engenharia (Aba 15)</t>
  </si>
  <si>
    <t>15001</t>
  </si>
  <si>
    <t>15002</t>
  </si>
  <si>
    <t>15003</t>
  </si>
  <si>
    <t>15004</t>
  </si>
  <si>
    <t>15005</t>
  </si>
  <si>
    <t>15006</t>
  </si>
  <si>
    <t>15007</t>
  </si>
  <si>
    <t>15008</t>
  </si>
  <si>
    <t>Tabela 2 — Produto (Aba 15)</t>
  </si>
  <si>
    <t>15011</t>
  </si>
  <si>
    <t>15012</t>
  </si>
  <si>
    <t>15013</t>
  </si>
  <si>
    <t>15014</t>
  </si>
  <si>
    <t>15015</t>
  </si>
  <si>
    <t>15016</t>
  </si>
  <si>
    <t>15017</t>
  </si>
  <si>
    <t>15018</t>
  </si>
  <si>
    <t>Tabela 3 — Design (Aba 15)</t>
  </si>
  <si>
    <t>15021</t>
  </si>
  <si>
    <t>15022</t>
  </si>
  <si>
    <t>15023</t>
  </si>
  <si>
    <t>15024</t>
  </si>
  <si>
    <t>15025</t>
  </si>
  <si>
    <t>15026</t>
  </si>
  <si>
    <t>15027</t>
  </si>
  <si>
    <t>15028</t>
  </si>
  <si>
    <t>Tabela 4 — DevEx (Aba 15)</t>
  </si>
  <si>
    <t>15031</t>
  </si>
  <si>
    <t>15032</t>
  </si>
  <si>
    <t>15033</t>
  </si>
  <si>
    <t>15034</t>
  </si>
  <si>
    <t>15035</t>
  </si>
  <si>
    <t>15036</t>
  </si>
  <si>
    <t>15037</t>
  </si>
  <si>
    <t>15038</t>
  </si>
  <si>
    <t>Tabela 5 — Dados (Aba 15)</t>
  </si>
  <si>
    <t>15041</t>
  </si>
  <si>
    <t>15042</t>
  </si>
  <si>
    <t>15043</t>
  </si>
  <si>
    <t>15044</t>
  </si>
  <si>
    <t>15045</t>
  </si>
  <si>
    <t>15046</t>
  </si>
  <si>
    <t>15047</t>
  </si>
  <si>
    <t>15048</t>
  </si>
  <si>
    <t>Tabela 6 — Infra (Aba 15)</t>
  </si>
  <si>
    <t>15051</t>
  </si>
  <si>
    <t>15052</t>
  </si>
  <si>
    <t>15053</t>
  </si>
  <si>
    <t>15054</t>
  </si>
  <si>
    <t>15055</t>
  </si>
  <si>
    <t>15056</t>
  </si>
  <si>
    <t>15057</t>
  </si>
  <si>
    <t>15058</t>
  </si>
  <si>
    <t>Tabela 7 — Segurança (Aba 15)</t>
  </si>
  <si>
    <t>15061</t>
  </si>
  <si>
    <t>15062</t>
  </si>
  <si>
    <t>15063</t>
  </si>
  <si>
    <t>15064</t>
  </si>
  <si>
    <t>15065</t>
  </si>
  <si>
    <t>15066</t>
  </si>
  <si>
    <t>15067</t>
  </si>
  <si>
    <t>15068</t>
  </si>
  <si>
    <t>Tabela 8 — Engenharia (Aba 15)</t>
  </si>
  <si>
    <t>15071</t>
  </si>
  <si>
    <t>15072</t>
  </si>
  <si>
    <t>15073</t>
  </si>
  <si>
    <t>15074</t>
  </si>
  <si>
    <t>15075</t>
  </si>
  <si>
    <t>15076</t>
  </si>
  <si>
    <t>15077</t>
  </si>
  <si>
    <t>15078</t>
  </si>
  <si>
    <t>Tabela 9 — Produto (Aba 15)</t>
  </si>
  <si>
    <t>15081</t>
  </si>
  <si>
    <t>15082</t>
  </si>
  <si>
    <t>15083</t>
  </si>
  <si>
    <t>15084</t>
  </si>
  <si>
    <t>15085</t>
  </si>
  <si>
    <t>15086</t>
  </si>
  <si>
    <t>15087</t>
  </si>
  <si>
    <t>15088</t>
  </si>
  <si>
    <t>Tabela 10 — Design (Aba 15)</t>
  </si>
  <si>
    <t>15091</t>
  </si>
  <si>
    <t>15092</t>
  </si>
  <si>
    <t>15093</t>
  </si>
  <si>
    <t>15094</t>
  </si>
  <si>
    <t>15095</t>
  </si>
  <si>
    <t>15096</t>
  </si>
  <si>
    <t>15097</t>
  </si>
  <si>
    <t>15098</t>
  </si>
  <si>
    <t>Tabela 11 — DevEx (Aba 15)</t>
  </si>
  <si>
    <t>15101</t>
  </si>
  <si>
    <t>15102</t>
  </si>
  <si>
    <t>15103</t>
  </si>
  <si>
    <t>15104</t>
  </si>
  <si>
    <t>15105</t>
  </si>
  <si>
    <t>15106</t>
  </si>
  <si>
    <t>15107</t>
  </si>
  <si>
    <t>15108</t>
  </si>
  <si>
    <t>Tabela 12 — Dados (Aba 15)</t>
  </si>
  <si>
    <t>15111</t>
  </si>
  <si>
    <t>15112</t>
  </si>
  <si>
    <t>15113</t>
  </si>
  <si>
    <t>15114</t>
  </si>
  <si>
    <t>15115</t>
  </si>
  <si>
    <t>15116</t>
  </si>
  <si>
    <t>15117</t>
  </si>
  <si>
    <t>15118</t>
  </si>
  <si>
    <t>Tabela 13 — Infra (Aba 15)</t>
  </si>
  <si>
    <t>15121</t>
  </si>
  <si>
    <t>15122</t>
  </si>
  <si>
    <t>15123</t>
  </si>
  <si>
    <t>15124</t>
  </si>
  <si>
    <t>15125</t>
  </si>
  <si>
    <t>15126</t>
  </si>
  <si>
    <t>15127</t>
  </si>
  <si>
    <t>15128</t>
  </si>
  <si>
    <t>Tabela 14 — Segurança (Aba 15)</t>
  </si>
  <si>
    <t>15131</t>
  </si>
  <si>
    <t>15132</t>
  </si>
  <si>
    <t>15133</t>
  </si>
  <si>
    <t>15134</t>
  </si>
  <si>
    <t>15135</t>
  </si>
  <si>
    <t>15136</t>
  </si>
  <si>
    <t>15137</t>
  </si>
  <si>
    <t>15138</t>
  </si>
  <si>
    <t>Tabela 15 — Engenharia (Aba 15)</t>
  </si>
  <si>
    <t>15141</t>
  </si>
  <si>
    <t>15142</t>
  </si>
  <si>
    <t>15143</t>
  </si>
  <si>
    <t>15144</t>
  </si>
  <si>
    <t>15145</t>
  </si>
  <si>
    <t>15146</t>
  </si>
  <si>
    <t>15147</t>
  </si>
  <si>
    <t>15148</t>
  </si>
  <si>
    <t>Tabela 16 — Produto (Aba 15)</t>
  </si>
  <si>
    <t>15151</t>
  </si>
  <si>
    <t>15152</t>
  </si>
  <si>
    <t>15153</t>
  </si>
  <si>
    <t>15154</t>
  </si>
  <si>
    <t>15155</t>
  </si>
  <si>
    <t>15156</t>
  </si>
  <si>
    <t>15157</t>
  </si>
  <si>
    <t>15158</t>
  </si>
  <si>
    <t>Tabela 17 — Design (Aba 15)</t>
  </si>
  <si>
    <t>15161</t>
  </si>
  <si>
    <t>15162</t>
  </si>
  <si>
    <t>15163</t>
  </si>
  <si>
    <t>15164</t>
  </si>
  <si>
    <t>15165</t>
  </si>
  <si>
    <t>15166</t>
  </si>
  <si>
    <t>15167</t>
  </si>
  <si>
    <t>15168</t>
  </si>
  <si>
    <t>Tabela 18 — DevEx (Aba 15)</t>
  </si>
  <si>
    <t>15171</t>
  </si>
  <si>
    <t>15172</t>
  </si>
  <si>
    <t>15173</t>
  </si>
  <si>
    <t>15174</t>
  </si>
  <si>
    <t>15175</t>
  </si>
  <si>
    <t>15176</t>
  </si>
  <si>
    <t>15177</t>
  </si>
  <si>
    <t>15178</t>
  </si>
  <si>
    <t>Tabela 19 — Dados (Aba 15)</t>
  </si>
  <si>
    <t>15181</t>
  </si>
  <si>
    <t>15182</t>
  </si>
  <si>
    <t>15183</t>
  </si>
  <si>
    <t>15184</t>
  </si>
  <si>
    <t>15185</t>
  </si>
  <si>
    <t>15186</t>
  </si>
  <si>
    <t>15187</t>
  </si>
  <si>
    <t>15188</t>
  </si>
  <si>
    <t>Tabela 20 — Infra (Aba 15)</t>
  </si>
  <si>
    <t>15191</t>
  </si>
  <si>
    <t>15192</t>
  </si>
  <si>
    <t>15193</t>
  </si>
  <si>
    <t>15194</t>
  </si>
  <si>
    <t>15195</t>
  </si>
  <si>
    <t>15196</t>
  </si>
  <si>
    <t>15197</t>
  </si>
  <si>
    <t>15198</t>
  </si>
  <si>
    <t>Tabela 21 — Segurança (Aba 15)</t>
  </si>
  <si>
    <t>15201</t>
  </si>
  <si>
    <t>15202</t>
  </si>
  <si>
    <t>15203</t>
  </si>
  <si>
    <t>15204</t>
  </si>
  <si>
    <t>15205</t>
  </si>
  <si>
    <t>15206</t>
  </si>
  <si>
    <t>15207</t>
  </si>
  <si>
    <t>15208</t>
  </si>
  <si>
    <t>Tabela 22 — Engenharia (Aba 15)</t>
  </si>
  <si>
    <t>15211</t>
  </si>
  <si>
    <t>15212</t>
  </si>
  <si>
    <t>15213</t>
  </si>
  <si>
    <t>15214</t>
  </si>
  <si>
    <t>15215</t>
  </si>
  <si>
    <t>15216</t>
  </si>
  <si>
    <t>15217</t>
  </si>
  <si>
    <t>15218</t>
  </si>
  <si>
    <t>Tabela 23 — Produto (Aba 15)</t>
  </si>
  <si>
    <t>15221</t>
  </si>
  <si>
    <t>15222</t>
  </si>
  <si>
    <t>15223</t>
  </si>
  <si>
    <t>15224</t>
  </si>
  <si>
    <t>15225</t>
  </si>
  <si>
    <t>15226</t>
  </si>
  <si>
    <t>15227</t>
  </si>
  <si>
    <t>15228</t>
  </si>
  <si>
    <t>Tabela 24 — Design (Aba 15)</t>
  </si>
  <si>
    <t>15231</t>
  </si>
  <si>
    <t>15232</t>
  </si>
  <si>
    <t>15233</t>
  </si>
  <si>
    <t>15234</t>
  </si>
  <si>
    <t>15235</t>
  </si>
  <si>
    <t>15236</t>
  </si>
  <si>
    <t>15237</t>
  </si>
  <si>
    <t>15238</t>
  </si>
  <si>
    <t>Tabela 25 — DevEx (Aba 15)</t>
  </si>
  <si>
    <t>15241</t>
  </si>
  <si>
    <t>15242</t>
  </si>
  <si>
    <t>15243</t>
  </si>
  <si>
    <t>15244</t>
  </si>
  <si>
    <t>15245</t>
  </si>
  <si>
    <t>15246</t>
  </si>
  <si>
    <t>15247</t>
  </si>
  <si>
    <t>15248</t>
  </si>
  <si>
    <t>Tabela 26 — Dados (Aba 15)</t>
  </si>
  <si>
    <t>15251</t>
  </si>
  <si>
    <t>15252</t>
  </si>
  <si>
    <t>15253</t>
  </si>
  <si>
    <t>15254</t>
  </si>
  <si>
    <t>15255</t>
  </si>
  <si>
    <t>15256</t>
  </si>
  <si>
    <t>15257</t>
  </si>
  <si>
    <t>15258</t>
  </si>
  <si>
    <t>Tabela 27 — Infra (Aba 15)</t>
  </si>
  <si>
    <t>15261</t>
  </si>
  <si>
    <t>15262</t>
  </si>
  <si>
    <t>15263</t>
  </si>
  <si>
    <t>15264</t>
  </si>
  <si>
    <t>15265</t>
  </si>
  <si>
    <t>15266</t>
  </si>
  <si>
    <t>15267</t>
  </si>
  <si>
    <t>15268</t>
  </si>
  <si>
    <t>Tabela 28 — Segurança (Aba 15)</t>
  </si>
  <si>
    <t>15271</t>
  </si>
  <si>
    <t>15272</t>
  </si>
  <si>
    <t>15273</t>
  </si>
  <si>
    <t>15274</t>
  </si>
  <si>
    <t>15275</t>
  </si>
  <si>
    <t>15276</t>
  </si>
  <si>
    <t>15277</t>
  </si>
  <si>
    <t>15278</t>
  </si>
  <si>
    <t>Tabela 29 — Engenharia (Aba 15)</t>
  </si>
  <si>
    <t>15281</t>
  </si>
  <si>
    <t>15282</t>
  </si>
  <si>
    <t>15283</t>
  </si>
  <si>
    <t>15284</t>
  </si>
  <si>
    <t>15285</t>
  </si>
  <si>
    <t>15286</t>
  </si>
  <si>
    <t>15287</t>
  </si>
  <si>
    <t>15288</t>
  </si>
  <si>
    <t>Tabela 30 — Produto (Aba 15)</t>
  </si>
  <si>
    <t>15291</t>
  </si>
  <si>
    <t>15292</t>
  </si>
  <si>
    <t>15293</t>
  </si>
  <si>
    <t>15294</t>
  </si>
  <si>
    <t>15295</t>
  </si>
  <si>
    <t>15296</t>
  </si>
  <si>
    <t>15297</t>
  </si>
  <si>
    <t>15298</t>
  </si>
  <si>
    <t>Planilha — Aba 14 | Relatório de Equipe</t>
  </si>
  <si>
    <t>Tabela 1 — Engenharia (Aba 14)</t>
  </si>
  <si>
    <t>14001</t>
  </si>
  <si>
    <t>14002</t>
  </si>
  <si>
    <t>14003</t>
  </si>
  <si>
    <t>14004</t>
  </si>
  <si>
    <t>14005</t>
  </si>
  <si>
    <t>14006</t>
  </si>
  <si>
    <t>14007</t>
  </si>
  <si>
    <t>14008</t>
  </si>
  <si>
    <t>Tabela 2 — Produto (Aba 14)</t>
  </si>
  <si>
    <t>14011</t>
  </si>
  <si>
    <t>14012</t>
  </si>
  <si>
    <t>14013</t>
  </si>
  <si>
    <t>14014</t>
  </si>
  <si>
    <t>14015</t>
  </si>
  <si>
    <t>14016</t>
  </si>
  <si>
    <t>14017</t>
  </si>
  <si>
    <t>14018</t>
  </si>
  <si>
    <t>Tabela 3 — Design (Aba 14)</t>
  </si>
  <si>
    <t>14021</t>
  </si>
  <si>
    <t>14022</t>
  </si>
  <si>
    <t>14023</t>
  </si>
  <si>
    <t>14024</t>
  </si>
  <si>
    <t>14025</t>
  </si>
  <si>
    <t>14026</t>
  </si>
  <si>
    <t>14027</t>
  </si>
  <si>
    <t>14028</t>
  </si>
  <si>
    <t>Tabela 4 — DevEx (Aba 14)</t>
  </si>
  <si>
    <t>14031</t>
  </si>
  <si>
    <t>14032</t>
  </si>
  <si>
    <t>14033</t>
  </si>
  <si>
    <t>14034</t>
  </si>
  <si>
    <t>14035</t>
  </si>
  <si>
    <t>14036</t>
  </si>
  <si>
    <t>14037</t>
  </si>
  <si>
    <t>14038</t>
  </si>
  <si>
    <t>Tabela 5 — Dados (Aba 14)</t>
  </si>
  <si>
    <t>14041</t>
  </si>
  <si>
    <t>14042</t>
  </si>
  <si>
    <t>14043</t>
  </si>
  <si>
    <t>14044</t>
  </si>
  <si>
    <t>14045</t>
  </si>
  <si>
    <t>14046</t>
  </si>
  <si>
    <t>14047</t>
  </si>
  <si>
    <t>14048</t>
  </si>
  <si>
    <t>Tabela 6 — Infra (Aba 14)</t>
  </si>
  <si>
    <t>14051</t>
  </si>
  <si>
    <t>14052</t>
  </si>
  <si>
    <t>14053</t>
  </si>
  <si>
    <t>14054</t>
  </si>
  <si>
    <t>14055</t>
  </si>
  <si>
    <t>14056</t>
  </si>
  <si>
    <t>14057</t>
  </si>
  <si>
    <t>14058</t>
  </si>
  <si>
    <t>Tabela 7 — Segurança (Aba 14)</t>
  </si>
  <si>
    <t>14061</t>
  </si>
  <si>
    <t>14062</t>
  </si>
  <si>
    <t>14063</t>
  </si>
  <si>
    <t>14064</t>
  </si>
  <si>
    <t>14065</t>
  </si>
  <si>
    <t>14066</t>
  </si>
  <si>
    <t>14067</t>
  </si>
  <si>
    <t>14068</t>
  </si>
  <si>
    <t>Tabela 8 — Engenharia (Aba 14)</t>
  </si>
  <si>
    <t>14071</t>
  </si>
  <si>
    <t>14072</t>
  </si>
  <si>
    <t>14073</t>
  </si>
  <si>
    <t>14074</t>
  </si>
  <si>
    <t>14075</t>
  </si>
  <si>
    <t>14076</t>
  </si>
  <si>
    <t>14077</t>
  </si>
  <si>
    <t>14078</t>
  </si>
  <si>
    <t>Tabela 9 — Produto (Aba 14)</t>
  </si>
  <si>
    <t>14081</t>
  </si>
  <si>
    <t>14082</t>
  </si>
  <si>
    <t>14083</t>
  </si>
  <si>
    <t>14084</t>
  </si>
  <si>
    <t>14085</t>
  </si>
  <si>
    <t>14086</t>
  </si>
  <si>
    <t>14087</t>
  </si>
  <si>
    <t>14088</t>
  </si>
  <si>
    <t>Tabela 10 — Design (Aba 14)</t>
  </si>
  <si>
    <t>14091</t>
  </si>
  <si>
    <t>14092</t>
  </si>
  <si>
    <t>14093</t>
  </si>
  <si>
    <t>14094</t>
  </si>
  <si>
    <t>14095</t>
  </si>
  <si>
    <t>14096</t>
  </si>
  <si>
    <t>14097</t>
  </si>
  <si>
    <t>14098</t>
  </si>
  <si>
    <t>Tabela 11 — DevEx (Aba 14)</t>
  </si>
  <si>
    <t>14101</t>
  </si>
  <si>
    <t>14102</t>
  </si>
  <si>
    <t>14103</t>
  </si>
  <si>
    <t>14104</t>
  </si>
  <si>
    <t>14105</t>
  </si>
  <si>
    <t>14106</t>
  </si>
  <si>
    <t>14107</t>
  </si>
  <si>
    <t>14108</t>
  </si>
  <si>
    <t>Tabela 12 — Dados (Aba 14)</t>
  </si>
  <si>
    <t>14111</t>
  </si>
  <si>
    <t>14112</t>
  </si>
  <si>
    <t>14113</t>
  </si>
  <si>
    <t>14114</t>
  </si>
  <si>
    <t>14115</t>
  </si>
  <si>
    <t>14116</t>
  </si>
  <si>
    <t>14117</t>
  </si>
  <si>
    <t>14118</t>
  </si>
  <si>
    <t>Tabela 13 — Infra (Aba 14)</t>
  </si>
  <si>
    <t>14121</t>
  </si>
  <si>
    <t>14122</t>
  </si>
  <si>
    <t>14123</t>
  </si>
  <si>
    <t>14124</t>
  </si>
  <si>
    <t>14125</t>
  </si>
  <si>
    <t>14126</t>
  </si>
  <si>
    <t>14127</t>
  </si>
  <si>
    <t>14128</t>
  </si>
  <si>
    <t>Tabela 14 — Segurança (Aba 14)</t>
  </si>
  <si>
    <t>14131</t>
  </si>
  <si>
    <t>14132</t>
  </si>
  <si>
    <t>14133</t>
  </si>
  <si>
    <t>14134</t>
  </si>
  <si>
    <t>14135</t>
  </si>
  <si>
    <t>14136</t>
  </si>
  <si>
    <t>14137</t>
  </si>
  <si>
    <t>14138</t>
  </si>
  <si>
    <t>Tabela 15 — Engenharia (Aba 14)</t>
  </si>
  <si>
    <t>14141</t>
  </si>
  <si>
    <t>14142</t>
  </si>
  <si>
    <t>14143</t>
  </si>
  <si>
    <t>14144</t>
  </si>
  <si>
    <t>14145</t>
  </si>
  <si>
    <t>14146</t>
  </si>
  <si>
    <t>14147</t>
  </si>
  <si>
    <t>14148</t>
  </si>
  <si>
    <t>Tabela 16 — Produto (Aba 14)</t>
  </si>
  <si>
    <t>14151</t>
  </si>
  <si>
    <t>14152</t>
  </si>
  <si>
    <t>14153</t>
  </si>
  <si>
    <t>14154</t>
  </si>
  <si>
    <t>14155</t>
  </si>
  <si>
    <t>14156</t>
  </si>
  <si>
    <t>14157</t>
  </si>
  <si>
    <t>14158</t>
  </si>
  <si>
    <t>Tabela 17 — Design (Aba 14)</t>
  </si>
  <si>
    <t>14161</t>
  </si>
  <si>
    <t>14162</t>
  </si>
  <si>
    <t>14163</t>
  </si>
  <si>
    <t>14164</t>
  </si>
  <si>
    <t>14165</t>
  </si>
  <si>
    <t>14166</t>
  </si>
  <si>
    <t>14167</t>
  </si>
  <si>
    <t>14168</t>
  </si>
  <si>
    <t>Tabela 18 — DevEx (Aba 14)</t>
  </si>
  <si>
    <t>14171</t>
  </si>
  <si>
    <t>14172</t>
  </si>
  <si>
    <t>14173</t>
  </si>
  <si>
    <t>14174</t>
  </si>
  <si>
    <t>14175</t>
  </si>
  <si>
    <t>14176</t>
  </si>
  <si>
    <t>14177</t>
  </si>
  <si>
    <t>14178</t>
  </si>
  <si>
    <t>Tabela 19 — Dados (Aba 14)</t>
  </si>
  <si>
    <t>14181</t>
  </si>
  <si>
    <t>14182</t>
  </si>
  <si>
    <t>14183</t>
  </si>
  <si>
    <t>14184</t>
  </si>
  <si>
    <t>14185</t>
  </si>
  <si>
    <t>14186</t>
  </si>
  <si>
    <t>14187</t>
  </si>
  <si>
    <t>14188</t>
  </si>
  <si>
    <t>Tabela 20 — Infra (Aba 14)</t>
  </si>
  <si>
    <t>14191</t>
  </si>
  <si>
    <t>14192</t>
  </si>
  <si>
    <t>14193</t>
  </si>
  <si>
    <t>14194</t>
  </si>
  <si>
    <t>14195</t>
  </si>
  <si>
    <t>14196</t>
  </si>
  <si>
    <t>14197</t>
  </si>
  <si>
    <t>14198</t>
  </si>
  <si>
    <t>Tabela 21 — Segurança (Aba 14)</t>
  </si>
  <si>
    <t>14201</t>
  </si>
  <si>
    <t>14202</t>
  </si>
  <si>
    <t>14203</t>
  </si>
  <si>
    <t>14204</t>
  </si>
  <si>
    <t>14205</t>
  </si>
  <si>
    <t>14206</t>
  </si>
  <si>
    <t>14207</t>
  </si>
  <si>
    <t>14208</t>
  </si>
  <si>
    <t>Tabela 22 — Engenharia (Aba 14)</t>
  </si>
  <si>
    <t>14211</t>
  </si>
  <si>
    <t>14212</t>
  </si>
  <si>
    <t>14213</t>
  </si>
  <si>
    <t>14214</t>
  </si>
  <si>
    <t>14215</t>
  </si>
  <si>
    <t>14216</t>
  </si>
  <si>
    <t>14217</t>
  </si>
  <si>
    <t>14218</t>
  </si>
  <si>
    <t>Tabela 23 — Produto (Aba 14)</t>
  </si>
  <si>
    <t>14221</t>
  </si>
  <si>
    <t>14222</t>
  </si>
  <si>
    <t>14223</t>
  </si>
  <si>
    <t>14224</t>
  </si>
  <si>
    <t>14225</t>
  </si>
  <si>
    <t>14226</t>
  </si>
  <si>
    <t>14227</t>
  </si>
  <si>
    <t>14228</t>
  </si>
  <si>
    <t>Tabela 24 — Design (Aba 14)</t>
  </si>
  <si>
    <t>14231</t>
  </si>
  <si>
    <t>14232</t>
  </si>
  <si>
    <t>14233</t>
  </si>
  <si>
    <t>14234</t>
  </si>
  <si>
    <t>14235</t>
  </si>
  <si>
    <t>14236</t>
  </si>
  <si>
    <t>14237</t>
  </si>
  <si>
    <t>14238</t>
  </si>
  <si>
    <t>Tabela 25 — DevEx (Aba 14)</t>
  </si>
  <si>
    <t>14241</t>
  </si>
  <si>
    <t>14242</t>
  </si>
  <si>
    <t>14243</t>
  </si>
  <si>
    <t>14244</t>
  </si>
  <si>
    <t>14245</t>
  </si>
  <si>
    <t>14246</t>
  </si>
  <si>
    <t>14247</t>
  </si>
  <si>
    <t>14248</t>
  </si>
  <si>
    <t>Tabela 26 — Dados (Aba 14)</t>
  </si>
  <si>
    <t>14251</t>
  </si>
  <si>
    <t>14252</t>
  </si>
  <si>
    <t>14253</t>
  </si>
  <si>
    <t>14254</t>
  </si>
  <si>
    <t>14255</t>
  </si>
  <si>
    <t>14256</t>
  </si>
  <si>
    <t>14257</t>
  </si>
  <si>
    <t>14258</t>
  </si>
  <si>
    <t>Tabela 27 — Infra (Aba 14)</t>
  </si>
  <si>
    <t>14261</t>
  </si>
  <si>
    <t>14262</t>
  </si>
  <si>
    <t>14263</t>
  </si>
  <si>
    <t>14264</t>
  </si>
  <si>
    <t>14265</t>
  </si>
  <si>
    <t>14266</t>
  </si>
  <si>
    <t>14267</t>
  </si>
  <si>
    <t>14268</t>
  </si>
  <si>
    <t>Tabela 28 — Segurança (Aba 14)</t>
  </si>
  <si>
    <t>14271</t>
  </si>
  <si>
    <t>14272</t>
  </si>
  <si>
    <t>14273</t>
  </si>
  <si>
    <t>14274</t>
  </si>
  <si>
    <t>14275</t>
  </si>
  <si>
    <t>14276</t>
  </si>
  <si>
    <t>14277</t>
  </si>
  <si>
    <t>14278</t>
  </si>
  <si>
    <t>Tabela 29 — Engenharia (Aba 14)</t>
  </si>
  <si>
    <t>14281</t>
  </si>
  <si>
    <t>14282</t>
  </si>
  <si>
    <t>14283</t>
  </si>
  <si>
    <t>14284</t>
  </si>
  <si>
    <t>14285</t>
  </si>
  <si>
    <t>14286</t>
  </si>
  <si>
    <t>14287</t>
  </si>
  <si>
    <t>14288</t>
  </si>
  <si>
    <t>Tabela 30 — Produto (Aba 14)</t>
  </si>
  <si>
    <t>14291</t>
  </si>
  <si>
    <t>14292</t>
  </si>
  <si>
    <t>14293</t>
  </si>
  <si>
    <t>14294</t>
  </si>
  <si>
    <t>14295</t>
  </si>
  <si>
    <t>14296</t>
  </si>
  <si>
    <t>14297</t>
  </si>
  <si>
    <t>14298</t>
  </si>
  <si>
    <t>Planilha — Aba 13 | Relatório de Equipe</t>
  </si>
  <si>
    <t>Tabela 1 — Engenharia (Aba 13)</t>
  </si>
  <si>
    <t>13001</t>
  </si>
  <si>
    <t>13002</t>
  </si>
  <si>
    <t>13003</t>
  </si>
  <si>
    <t>13004</t>
  </si>
  <si>
    <t>13005</t>
  </si>
  <si>
    <t>13006</t>
  </si>
  <si>
    <t>13007</t>
  </si>
  <si>
    <t>13008</t>
  </si>
  <si>
    <t>Tabela 2 — Produto (Aba 13)</t>
  </si>
  <si>
    <t>13011</t>
  </si>
  <si>
    <t>13012</t>
  </si>
  <si>
    <t>13013</t>
  </si>
  <si>
    <t>13014</t>
  </si>
  <si>
    <t>13015</t>
  </si>
  <si>
    <t>13016</t>
  </si>
  <si>
    <t>13017</t>
  </si>
  <si>
    <t>13018</t>
  </si>
  <si>
    <t>Tabela 3 — Design (Aba 13)</t>
  </si>
  <si>
    <t>13021</t>
  </si>
  <si>
    <t>13022</t>
  </si>
  <si>
    <t>13023</t>
  </si>
  <si>
    <t>13024</t>
  </si>
  <si>
    <t>13025</t>
  </si>
  <si>
    <t>13026</t>
  </si>
  <si>
    <t>13027</t>
  </si>
  <si>
    <t>13028</t>
  </si>
  <si>
    <t>Tabela 4 — DevEx (Aba 13)</t>
  </si>
  <si>
    <t>13031</t>
  </si>
  <si>
    <t>13032</t>
  </si>
  <si>
    <t>13033</t>
  </si>
  <si>
    <t>13034</t>
  </si>
  <si>
    <t>13035</t>
  </si>
  <si>
    <t>13036</t>
  </si>
  <si>
    <t>13037</t>
  </si>
  <si>
    <t>13038</t>
  </si>
  <si>
    <t>Tabela 5 — Dados (Aba 13)</t>
  </si>
  <si>
    <t>13041</t>
  </si>
  <si>
    <t>13042</t>
  </si>
  <si>
    <t>13043</t>
  </si>
  <si>
    <t>13044</t>
  </si>
  <si>
    <t>13045</t>
  </si>
  <si>
    <t>13046</t>
  </si>
  <si>
    <t>13047</t>
  </si>
  <si>
    <t>13048</t>
  </si>
  <si>
    <t>Tabela 6 — Infra (Aba 13)</t>
  </si>
  <si>
    <t>13051</t>
  </si>
  <si>
    <t>13052</t>
  </si>
  <si>
    <t>13053</t>
  </si>
  <si>
    <t>13054</t>
  </si>
  <si>
    <t>13055</t>
  </si>
  <si>
    <t>13056</t>
  </si>
  <si>
    <t>13057</t>
  </si>
  <si>
    <t>13058</t>
  </si>
  <si>
    <t>Tabela 7 — Segurança (Aba 13)</t>
  </si>
  <si>
    <t>13061</t>
  </si>
  <si>
    <t>13062</t>
  </si>
  <si>
    <t>13063</t>
  </si>
  <si>
    <t>13064</t>
  </si>
  <si>
    <t>13065</t>
  </si>
  <si>
    <t>13066</t>
  </si>
  <si>
    <t>13067</t>
  </si>
  <si>
    <t>13068</t>
  </si>
  <si>
    <t>Tabela 8 — Engenharia (Aba 13)</t>
  </si>
  <si>
    <t>13071</t>
  </si>
  <si>
    <t>13072</t>
  </si>
  <si>
    <t>13073</t>
  </si>
  <si>
    <t>13074</t>
  </si>
  <si>
    <t>13075</t>
  </si>
  <si>
    <t>13076</t>
  </si>
  <si>
    <t>13077</t>
  </si>
  <si>
    <t>13078</t>
  </si>
  <si>
    <t>Tabela 9 — Produto (Aba 13)</t>
  </si>
  <si>
    <t>13081</t>
  </si>
  <si>
    <t>13082</t>
  </si>
  <si>
    <t>13083</t>
  </si>
  <si>
    <t>13084</t>
  </si>
  <si>
    <t>13085</t>
  </si>
  <si>
    <t>13086</t>
  </si>
  <si>
    <t>13087</t>
  </si>
  <si>
    <t>13088</t>
  </si>
  <si>
    <t>Tabela 10 — Design (Aba 13)</t>
  </si>
  <si>
    <t>13091</t>
  </si>
  <si>
    <t>13092</t>
  </si>
  <si>
    <t>13093</t>
  </si>
  <si>
    <t>13094</t>
  </si>
  <si>
    <t>13095</t>
  </si>
  <si>
    <t>13096</t>
  </si>
  <si>
    <t>13097</t>
  </si>
  <si>
    <t>13098</t>
  </si>
  <si>
    <t>Tabela 11 — DevEx (Aba 13)</t>
  </si>
  <si>
    <t>13101</t>
  </si>
  <si>
    <t>13102</t>
  </si>
  <si>
    <t>13103</t>
  </si>
  <si>
    <t>13104</t>
  </si>
  <si>
    <t>13105</t>
  </si>
  <si>
    <t>13106</t>
  </si>
  <si>
    <t>13107</t>
  </si>
  <si>
    <t>13108</t>
  </si>
  <si>
    <t>Tabela 12 — Dados (Aba 13)</t>
  </si>
  <si>
    <t>13111</t>
  </si>
  <si>
    <t>13112</t>
  </si>
  <si>
    <t>13113</t>
  </si>
  <si>
    <t>13114</t>
  </si>
  <si>
    <t>13115</t>
  </si>
  <si>
    <t>13116</t>
  </si>
  <si>
    <t>13117</t>
  </si>
  <si>
    <t>13118</t>
  </si>
  <si>
    <t>Tabela 13 — Infra (Aba 13)</t>
  </si>
  <si>
    <t>13121</t>
  </si>
  <si>
    <t>13122</t>
  </si>
  <si>
    <t>13123</t>
  </si>
  <si>
    <t>13124</t>
  </si>
  <si>
    <t>13125</t>
  </si>
  <si>
    <t>13126</t>
  </si>
  <si>
    <t>13127</t>
  </si>
  <si>
    <t>13128</t>
  </si>
  <si>
    <t>Tabela 14 — Segurança (Aba 13)</t>
  </si>
  <si>
    <t>13131</t>
  </si>
  <si>
    <t>13132</t>
  </si>
  <si>
    <t>13133</t>
  </si>
  <si>
    <t>13134</t>
  </si>
  <si>
    <t>13135</t>
  </si>
  <si>
    <t>13136</t>
  </si>
  <si>
    <t>13137</t>
  </si>
  <si>
    <t>13138</t>
  </si>
  <si>
    <t>Tabela 15 — Engenharia (Aba 13)</t>
  </si>
  <si>
    <t>13141</t>
  </si>
  <si>
    <t>13142</t>
  </si>
  <si>
    <t>13143</t>
  </si>
  <si>
    <t>13144</t>
  </si>
  <si>
    <t>13145</t>
  </si>
  <si>
    <t>13146</t>
  </si>
  <si>
    <t>13147</t>
  </si>
  <si>
    <t>13148</t>
  </si>
  <si>
    <t>Tabela 16 — Produto (Aba 13)</t>
  </si>
  <si>
    <t>13151</t>
  </si>
  <si>
    <t>13152</t>
  </si>
  <si>
    <t>13153</t>
  </si>
  <si>
    <t>13154</t>
  </si>
  <si>
    <t>13155</t>
  </si>
  <si>
    <t>13156</t>
  </si>
  <si>
    <t>13157</t>
  </si>
  <si>
    <t>13158</t>
  </si>
  <si>
    <t>Tabela 17 — Design (Aba 13)</t>
  </si>
  <si>
    <t>13161</t>
  </si>
  <si>
    <t>13162</t>
  </si>
  <si>
    <t>13163</t>
  </si>
  <si>
    <t>13164</t>
  </si>
  <si>
    <t>13165</t>
  </si>
  <si>
    <t>13166</t>
  </si>
  <si>
    <t>13167</t>
  </si>
  <si>
    <t>13168</t>
  </si>
  <si>
    <t>Tabela 18 — DevEx (Aba 13)</t>
  </si>
  <si>
    <t>13171</t>
  </si>
  <si>
    <t>13172</t>
  </si>
  <si>
    <t>13173</t>
  </si>
  <si>
    <t>13174</t>
  </si>
  <si>
    <t>13175</t>
  </si>
  <si>
    <t>13176</t>
  </si>
  <si>
    <t>13177</t>
  </si>
  <si>
    <t>13178</t>
  </si>
  <si>
    <t>Tabela 19 — Dados (Aba 13)</t>
  </si>
  <si>
    <t>13181</t>
  </si>
  <si>
    <t>13182</t>
  </si>
  <si>
    <t>13183</t>
  </si>
  <si>
    <t>13184</t>
  </si>
  <si>
    <t>13185</t>
  </si>
  <si>
    <t>13186</t>
  </si>
  <si>
    <t>13187</t>
  </si>
  <si>
    <t>13188</t>
  </si>
  <si>
    <t>Tabela 20 — Infra (Aba 13)</t>
  </si>
  <si>
    <t>13191</t>
  </si>
  <si>
    <t>13192</t>
  </si>
  <si>
    <t>13193</t>
  </si>
  <si>
    <t>13194</t>
  </si>
  <si>
    <t>13195</t>
  </si>
  <si>
    <t>13196</t>
  </si>
  <si>
    <t>13197</t>
  </si>
  <si>
    <t>13198</t>
  </si>
  <si>
    <t>Tabela 21 — Segurança (Aba 13)</t>
  </si>
  <si>
    <t>13201</t>
  </si>
  <si>
    <t>13202</t>
  </si>
  <si>
    <t>13203</t>
  </si>
  <si>
    <t>13204</t>
  </si>
  <si>
    <t>13205</t>
  </si>
  <si>
    <t>13206</t>
  </si>
  <si>
    <t>13207</t>
  </si>
  <si>
    <t>13208</t>
  </si>
  <si>
    <t>Tabela 22 — Engenharia (Aba 13)</t>
  </si>
  <si>
    <t>13211</t>
  </si>
  <si>
    <t>13212</t>
  </si>
  <si>
    <t>13213</t>
  </si>
  <si>
    <t>13214</t>
  </si>
  <si>
    <t>13215</t>
  </si>
  <si>
    <t>13216</t>
  </si>
  <si>
    <t>13217</t>
  </si>
  <si>
    <t>13218</t>
  </si>
  <si>
    <t>Tabela 23 — Produto (Aba 13)</t>
  </si>
  <si>
    <t>13221</t>
  </si>
  <si>
    <t>13222</t>
  </si>
  <si>
    <t>13223</t>
  </si>
  <si>
    <t>13224</t>
  </si>
  <si>
    <t>13225</t>
  </si>
  <si>
    <t>13226</t>
  </si>
  <si>
    <t>13227</t>
  </si>
  <si>
    <t>13228</t>
  </si>
  <si>
    <t>Tabela 24 — Design (Aba 13)</t>
  </si>
  <si>
    <t>13231</t>
  </si>
  <si>
    <t>13232</t>
  </si>
  <si>
    <t>13233</t>
  </si>
  <si>
    <t>13234</t>
  </si>
  <si>
    <t>13235</t>
  </si>
  <si>
    <t>13236</t>
  </si>
  <si>
    <t>13237</t>
  </si>
  <si>
    <t>13238</t>
  </si>
  <si>
    <t>Tabela 25 — DevEx (Aba 13)</t>
  </si>
  <si>
    <t>13241</t>
  </si>
  <si>
    <t>13242</t>
  </si>
  <si>
    <t>13243</t>
  </si>
  <si>
    <t>13244</t>
  </si>
  <si>
    <t>13245</t>
  </si>
  <si>
    <t>13246</t>
  </si>
  <si>
    <t>13247</t>
  </si>
  <si>
    <t>13248</t>
  </si>
  <si>
    <t>Tabela 26 — Dados (Aba 13)</t>
  </si>
  <si>
    <t>13251</t>
  </si>
  <si>
    <t>13252</t>
  </si>
  <si>
    <t>13253</t>
  </si>
  <si>
    <t>13254</t>
  </si>
  <si>
    <t>13255</t>
  </si>
  <si>
    <t>13256</t>
  </si>
  <si>
    <t>13257</t>
  </si>
  <si>
    <t>13258</t>
  </si>
  <si>
    <t>Tabela 27 — Infra (Aba 13)</t>
  </si>
  <si>
    <t>13261</t>
  </si>
  <si>
    <t>13262</t>
  </si>
  <si>
    <t>13263</t>
  </si>
  <si>
    <t>13264</t>
  </si>
  <si>
    <t>13265</t>
  </si>
  <si>
    <t>13266</t>
  </si>
  <si>
    <t>13267</t>
  </si>
  <si>
    <t>13268</t>
  </si>
  <si>
    <t>Tabela 28 — Segurança (Aba 13)</t>
  </si>
  <si>
    <t>13271</t>
  </si>
  <si>
    <t>13272</t>
  </si>
  <si>
    <t>13273</t>
  </si>
  <si>
    <t>13274</t>
  </si>
  <si>
    <t>13275</t>
  </si>
  <si>
    <t>13276</t>
  </si>
  <si>
    <t>13277</t>
  </si>
  <si>
    <t>13278</t>
  </si>
  <si>
    <t>Tabela 29 — Engenharia (Aba 13)</t>
  </si>
  <si>
    <t>13281</t>
  </si>
  <si>
    <t>13282</t>
  </si>
  <si>
    <t>13283</t>
  </si>
  <si>
    <t>13284</t>
  </si>
  <si>
    <t>13285</t>
  </si>
  <si>
    <t>13286</t>
  </si>
  <si>
    <t>13287</t>
  </si>
  <si>
    <t>13288</t>
  </si>
  <si>
    <t>Tabela 30 — Produto (Aba 13)</t>
  </si>
  <si>
    <t>13291</t>
  </si>
  <si>
    <t>13292</t>
  </si>
  <si>
    <t>13293</t>
  </si>
  <si>
    <t>13294</t>
  </si>
  <si>
    <t>13295</t>
  </si>
  <si>
    <t>13296</t>
  </si>
  <si>
    <t>13297</t>
  </si>
  <si>
    <t>13298</t>
  </si>
  <si>
    <t>Planilha — Aba 12 | Relatório de Equipe</t>
  </si>
  <si>
    <t>Tabela 1 — Engenharia (Aba 12)</t>
  </si>
  <si>
    <t>12001</t>
  </si>
  <si>
    <t>12002</t>
  </si>
  <si>
    <t>12003</t>
  </si>
  <si>
    <t>12004</t>
  </si>
  <si>
    <t>12005</t>
  </si>
  <si>
    <t>12006</t>
  </si>
  <si>
    <t>12007</t>
  </si>
  <si>
    <t>12008</t>
  </si>
  <si>
    <t>Tabela 2 — Produto (Aba 12)</t>
  </si>
  <si>
    <t>12011</t>
  </si>
  <si>
    <t>12012</t>
  </si>
  <si>
    <t>12013</t>
  </si>
  <si>
    <t>12014</t>
  </si>
  <si>
    <t>12015</t>
  </si>
  <si>
    <t>12016</t>
  </si>
  <si>
    <t>12017</t>
  </si>
  <si>
    <t>12018</t>
  </si>
  <si>
    <t>Tabela 3 — Design (Aba 12)</t>
  </si>
  <si>
    <t>12021</t>
  </si>
  <si>
    <t>12022</t>
  </si>
  <si>
    <t>12023</t>
  </si>
  <si>
    <t>12024</t>
  </si>
  <si>
    <t>12025</t>
  </si>
  <si>
    <t>12026</t>
  </si>
  <si>
    <t>12027</t>
  </si>
  <si>
    <t>12028</t>
  </si>
  <si>
    <t>Tabela 4 — DevEx (Aba 12)</t>
  </si>
  <si>
    <t>12031</t>
  </si>
  <si>
    <t>12032</t>
  </si>
  <si>
    <t>12033</t>
  </si>
  <si>
    <t>12034</t>
  </si>
  <si>
    <t>12035</t>
  </si>
  <si>
    <t>12036</t>
  </si>
  <si>
    <t>12037</t>
  </si>
  <si>
    <t>12038</t>
  </si>
  <si>
    <t>Tabela 5 — Dados (Aba 12)</t>
  </si>
  <si>
    <t>12041</t>
  </si>
  <si>
    <t>12042</t>
  </si>
  <si>
    <t>12043</t>
  </si>
  <si>
    <t>12044</t>
  </si>
  <si>
    <t>12045</t>
  </si>
  <si>
    <t>12046</t>
  </si>
  <si>
    <t>12047</t>
  </si>
  <si>
    <t>12048</t>
  </si>
  <si>
    <t>Tabela 6 — Infra (Aba 12)</t>
  </si>
  <si>
    <t>12051</t>
  </si>
  <si>
    <t>12052</t>
  </si>
  <si>
    <t>12053</t>
  </si>
  <si>
    <t>12054</t>
  </si>
  <si>
    <t>12055</t>
  </si>
  <si>
    <t>12056</t>
  </si>
  <si>
    <t>12057</t>
  </si>
  <si>
    <t>12058</t>
  </si>
  <si>
    <t>Tabela 7 — Segurança (Aba 12)</t>
  </si>
  <si>
    <t>12061</t>
  </si>
  <si>
    <t>12062</t>
  </si>
  <si>
    <t>12063</t>
  </si>
  <si>
    <t>12064</t>
  </si>
  <si>
    <t>12065</t>
  </si>
  <si>
    <t>12066</t>
  </si>
  <si>
    <t>12067</t>
  </si>
  <si>
    <t>12068</t>
  </si>
  <si>
    <t>Tabela 8 — Engenharia (Aba 12)</t>
  </si>
  <si>
    <t>12071</t>
  </si>
  <si>
    <t>12072</t>
  </si>
  <si>
    <t>12073</t>
  </si>
  <si>
    <t>12074</t>
  </si>
  <si>
    <t>12075</t>
  </si>
  <si>
    <t>12076</t>
  </si>
  <si>
    <t>12077</t>
  </si>
  <si>
    <t>12078</t>
  </si>
  <si>
    <t>Tabela 9 — Produto (Aba 12)</t>
  </si>
  <si>
    <t>12081</t>
  </si>
  <si>
    <t>12082</t>
  </si>
  <si>
    <t>12083</t>
  </si>
  <si>
    <t>12084</t>
  </si>
  <si>
    <t>12085</t>
  </si>
  <si>
    <t>12086</t>
  </si>
  <si>
    <t>12087</t>
  </si>
  <si>
    <t>12088</t>
  </si>
  <si>
    <t>Tabela 10 — Design (Aba 12)</t>
  </si>
  <si>
    <t>12091</t>
  </si>
  <si>
    <t>12092</t>
  </si>
  <si>
    <t>12093</t>
  </si>
  <si>
    <t>12094</t>
  </si>
  <si>
    <t>12095</t>
  </si>
  <si>
    <t>12096</t>
  </si>
  <si>
    <t>12097</t>
  </si>
  <si>
    <t>12098</t>
  </si>
  <si>
    <t>Tabela 11 — DevEx (Aba 12)</t>
  </si>
  <si>
    <t>12101</t>
  </si>
  <si>
    <t>12102</t>
  </si>
  <si>
    <t>12103</t>
  </si>
  <si>
    <t>12104</t>
  </si>
  <si>
    <t>12105</t>
  </si>
  <si>
    <t>12106</t>
  </si>
  <si>
    <t>12107</t>
  </si>
  <si>
    <t>12108</t>
  </si>
  <si>
    <t>Tabela 12 — Dados (Aba 12)</t>
  </si>
  <si>
    <t>12111</t>
  </si>
  <si>
    <t>12112</t>
  </si>
  <si>
    <t>12113</t>
  </si>
  <si>
    <t>12114</t>
  </si>
  <si>
    <t>12115</t>
  </si>
  <si>
    <t>12116</t>
  </si>
  <si>
    <t>12117</t>
  </si>
  <si>
    <t>12118</t>
  </si>
  <si>
    <t>Tabela 13 — Infra (Aba 12)</t>
  </si>
  <si>
    <t>12121</t>
  </si>
  <si>
    <t>12122</t>
  </si>
  <si>
    <t>12123</t>
  </si>
  <si>
    <t>12124</t>
  </si>
  <si>
    <t>12125</t>
  </si>
  <si>
    <t>12126</t>
  </si>
  <si>
    <t>12127</t>
  </si>
  <si>
    <t>12128</t>
  </si>
  <si>
    <t>Tabela 14 — Segurança (Aba 12)</t>
  </si>
  <si>
    <t>12131</t>
  </si>
  <si>
    <t>12132</t>
  </si>
  <si>
    <t>12133</t>
  </si>
  <si>
    <t>12134</t>
  </si>
  <si>
    <t>12135</t>
  </si>
  <si>
    <t>12136</t>
  </si>
  <si>
    <t>12137</t>
  </si>
  <si>
    <t>12138</t>
  </si>
  <si>
    <t>Tabela 15 — Engenharia (Aba 12)</t>
  </si>
  <si>
    <t>12141</t>
  </si>
  <si>
    <t>12142</t>
  </si>
  <si>
    <t>12143</t>
  </si>
  <si>
    <t>12144</t>
  </si>
  <si>
    <t>12145</t>
  </si>
  <si>
    <t>12146</t>
  </si>
  <si>
    <t>12147</t>
  </si>
  <si>
    <t>12148</t>
  </si>
  <si>
    <t>Tabela 16 — Produto (Aba 12)</t>
  </si>
  <si>
    <t>12151</t>
  </si>
  <si>
    <t>12152</t>
  </si>
  <si>
    <t>12153</t>
  </si>
  <si>
    <t>12154</t>
  </si>
  <si>
    <t>12155</t>
  </si>
  <si>
    <t>12156</t>
  </si>
  <si>
    <t>12157</t>
  </si>
  <si>
    <t>12158</t>
  </si>
  <si>
    <t>Tabela 17 — Design (Aba 12)</t>
  </si>
  <si>
    <t>12161</t>
  </si>
  <si>
    <t>12162</t>
  </si>
  <si>
    <t>12163</t>
  </si>
  <si>
    <t>12164</t>
  </si>
  <si>
    <t>12165</t>
  </si>
  <si>
    <t>12166</t>
  </si>
  <si>
    <t>12167</t>
  </si>
  <si>
    <t>12168</t>
  </si>
  <si>
    <t>Tabela 18 — DevEx (Aba 12)</t>
  </si>
  <si>
    <t>12171</t>
  </si>
  <si>
    <t>12172</t>
  </si>
  <si>
    <t>12173</t>
  </si>
  <si>
    <t>12174</t>
  </si>
  <si>
    <t>12175</t>
  </si>
  <si>
    <t>12176</t>
  </si>
  <si>
    <t>12177</t>
  </si>
  <si>
    <t>12178</t>
  </si>
  <si>
    <t>Tabela 19 — Dados (Aba 12)</t>
  </si>
  <si>
    <t>12181</t>
  </si>
  <si>
    <t>12182</t>
  </si>
  <si>
    <t>12183</t>
  </si>
  <si>
    <t>12184</t>
  </si>
  <si>
    <t>12185</t>
  </si>
  <si>
    <t>12186</t>
  </si>
  <si>
    <t>12187</t>
  </si>
  <si>
    <t>12188</t>
  </si>
  <si>
    <t>Tabela 20 — Infra (Aba 12)</t>
  </si>
  <si>
    <t>12191</t>
  </si>
  <si>
    <t>12192</t>
  </si>
  <si>
    <t>12193</t>
  </si>
  <si>
    <t>12194</t>
  </si>
  <si>
    <t>12195</t>
  </si>
  <si>
    <t>12196</t>
  </si>
  <si>
    <t>12197</t>
  </si>
  <si>
    <t>12198</t>
  </si>
  <si>
    <t>Tabela 21 — Segurança (Aba 12)</t>
  </si>
  <si>
    <t>12201</t>
  </si>
  <si>
    <t>12202</t>
  </si>
  <si>
    <t>12203</t>
  </si>
  <si>
    <t>12204</t>
  </si>
  <si>
    <t>12205</t>
  </si>
  <si>
    <t>12206</t>
  </si>
  <si>
    <t>12207</t>
  </si>
  <si>
    <t>12208</t>
  </si>
  <si>
    <t>Tabela 22 — Engenharia (Aba 12)</t>
  </si>
  <si>
    <t>12211</t>
  </si>
  <si>
    <t>12212</t>
  </si>
  <si>
    <t>12213</t>
  </si>
  <si>
    <t>12214</t>
  </si>
  <si>
    <t>12215</t>
  </si>
  <si>
    <t>12216</t>
  </si>
  <si>
    <t>12217</t>
  </si>
  <si>
    <t>12218</t>
  </si>
  <si>
    <t>Tabela 23 — Produto (Aba 12)</t>
  </si>
  <si>
    <t>12221</t>
  </si>
  <si>
    <t>12222</t>
  </si>
  <si>
    <t>12223</t>
  </si>
  <si>
    <t>12224</t>
  </si>
  <si>
    <t>12225</t>
  </si>
  <si>
    <t>12226</t>
  </si>
  <si>
    <t>12227</t>
  </si>
  <si>
    <t>12228</t>
  </si>
  <si>
    <t>Tabela 24 — Design (Aba 12)</t>
  </si>
  <si>
    <t>12231</t>
  </si>
  <si>
    <t>12232</t>
  </si>
  <si>
    <t>12233</t>
  </si>
  <si>
    <t>12234</t>
  </si>
  <si>
    <t>12235</t>
  </si>
  <si>
    <t>12236</t>
  </si>
  <si>
    <t>12237</t>
  </si>
  <si>
    <t>12238</t>
  </si>
  <si>
    <t>Tabela 25 — DevEx (Aba 12)</t>
  </si>
  <si>
    <t>12241</t>
  </si>
  <si>
    <t>12242</t>
  </si>
  <si>
    <t>12243</t>
  </si>
  <si>
    <t>12244</t>
  </si>
  <si>
    <t>12245</t>
  </si>
  <si>
    <t>12246</t>
  </si>
  <si>
    <t>12247</t>
  </si>
  <si>
    <t>12248</t>
  </si>
  <si>
    <t>Tabela 26 — Dados (Aba 12)</t>
  </si>
  <si>
    <t>12251</t>
  </si>
  <si>
    <t>12252</t>
  </si>
  <si>
    <t>12253</t>
  </si>
  <si>
    <t>12254</t>
  </si>
  <si>
    <t>12255</t>
  </si>
  <si>
    <t>12256</t>
  </si>
  <si>
    <t>12257</t>
  </si>
  <si>
    <t>12258</t>
  </si>
  <si>
    <t>Tabela 27 — Infra (Aba 12)</t>
  </si>
  <si>
    <t>12261</t>
  </si>
  <si>
    <t>12262</t>
  </si>
  <si>
    <t>12263</t>
  </si>
  <si>
    <t>12264</t>
  </si>
  <si>
    <t>12265</t>
  </si>
  <si>
    <t>12266</t>
  </si>
  <si>
    <t>12267</t>
  </si>
  <si>
    <t>12268</t>
  </si>
  <si>
    <t>Tabela 28 — Segurança (Aba 12)</t>
  </si>
  <si>
    <t>12271</t>
  </si>
  <si>
    <t>12272</t>
  </si>
  <si>
    <t>12273</t>
  </si>
  <si>
    <t>12274</t>
  </si>
  <si>
    <t>12275</t>
  </si>
  <si>
    <t>12276</t>
  </si>
  <si>
    <t>12277</t>
  </si>
  <si>
    <t>12278</t>
  </si>
  <si>
    <t>Tabela 29 — Engenharia (Aba 12)</t>
  </si>
  <si>
    <t>12281</t>
  </si>
  <si>
    <t>12282</t>
  </si>
  <si>
    <t>12283</t>
  </si>
  <si>
    <t>12284</t>
  </si>
  <si>
    <t>12285</t>
  </si>
  <si>
    <t>12286</t>
  </si>
  <si>
    <t>12287</t>
  </si>
  <si>
    <t>12288</t>
  </si>
  <si>
    <t>Tabela 30 — Produto (Aba 12)</t>
  </si>
  <si>
    <t>12291</t>
  </si>
  <si>
    <t>12292</t>
  </si>
  <si>
    <t>12293</t>
  </si>
  <si>
    <t>12294</t>
  </si>
  <si>
    <t>12295</t>
  </si>
  <si>
    <t>12296</t>
  </si>
  <si>
    <t>12297</t>
  </si>
  <si>
    <t>12298</t>
  </si>
  <si>
    <t>Planilha — Aba 11 | Relatório de Equipe</t>
  </si>
  <si>
    <t>Tabela 1 — Engenharia (Aba 11)</t>
  </si>
  <si>
    <t>11001</t>
  </si>
  <si>
    <t>11002</t>
  </si>
  <si>
    <t>11003</t>
  </si>
  <si>
    <t>11004</t>
  </si>
  <si>
    <t>11005</t>
  </si>
  <si>
    <t>11006</t>
  </si>
  <si>
    <t>11007</t>
  </si>
  <si>
    <t>11008</t>
  </si>
  <si>
    <t>Tabela 2 — Produto (Aba 11)</t>
  </si>
  <si>
    <t>11011</t>
  </si>
  <si>
    <t>11012</t>
  </si>
  <si>
    <t>11013</t>
  </si>
  <si>
    <t>11014</t>
  </si>
  <si>
    <t>11015</t>
  </si>
  <si>
    <t>11016</t>
  </si>
  <si>
    <t>11017</t>
  </si>
  <si>
    <t>11018</t>
  </si>
  <si>
    <t>Tabela 3 — Design (Aba 11)</t>
  </si>
  <si>
    <t>11021</t>
  </si>
  <si>
    <t>11022</t>
  </si>
  <si>
    <t>11023</t>
  </si>
  <si>
    <t>11024</t>
  </si>
  <si>
    <t>11025</t>
  </si>
  <si>
    <t>11026</t>
  </si>
  <si>
    <t>11027</t>
  </si>
  <si>
    <t>11028</t>
  </si>
  <si>
    <t>Tabela 4 — DevEx (Aba 11)</t>
  </si>
  <si>
    <t>11031</t>
  </si>
  <si>
    <t>11032</t>
  </si>
  <si>
    <t>11033</t>
  </si>
  <si>
    <t>11034</t>
  </si>
  <si>
    <t>11035</t>
  </si>
  <si>
    <t>11036</t>
  </si>
  <si>
    <t>11037</t>
  </si>
  <si>
    <t>11038</t>
  </si>
  <si>
    <t>Tabela 5 — Dados (Aba 11)</t>
  </si>
  <si>
    <t>11041</t>
  </si>
  <si>
    <t>11042</t>
  </si>
  <si>
    <t>11043</t>
  </si>
  <si>
    <t>11044</t>
  </si>
  <si>
    <t>11045</t>
  </si>
  <si>
    <t>11046</t>
  </si>
  <si>
    <t>11047</t>
  </si>
  <si>
    <t>11048</t>
  </si>
  <si>
    <t>Tabela 6 — Infra (Aba 11)</t>
  </si>
  <si>
    <t>11051</t>
  </si>
  <si>
    <t>11052</t>
  </si>
  <si>
    <t>11053</t>
  </si>
  <si>
    <t>11054</t>
  </si>
  <si>
    <t>11055</t>
  </si>
  <si>
    <t>11056</t>
  </si>
  <si>
    <t>11057</t>
  </si>
  <si>
    <t>11058</t>
  </si>
  <si>
    <t>Tabela 7 — Segurança (Aba 11)</t>
  </si>
  <si>
    <t>11061</t>
  </si>
  <si>
    <t>11062</t>
  </si>
  <si>
    <t>11063</t>
  </si>
  <si>
    <t>11064</t>
  </si>
  <si>
    <t>11065</t>
  </si>
  <si>
    <t>11066</t>
  </si>
  <si>
    <t>11067</t>
  </si>
  <si>
    <t>11068</t>
  </si>
  <si>
    <t>Tabela 8 — Engenharia (Aba 11)</t>
  </si>
  <si>
    <t>11071</t>
  </si>
  <si>
    <t>11072</t>
  </si>
  <si>
    <t>11073</t>
  </si>
  <si>
    <t>11074</t>
  </si>
  <si>
    <t>11075</t>
  </si>
  <si>
    <t>11076</t>
  </si>
  <si>
    <t>11077</t>
  </si>
  <si>
    <t>11078</t>
  </si>
  <si>
    <t>Tabela 9 — Produto (Aba 11)</t>
  </si>
  <si>
    <t>11081</t>
  </si>
  <si>
    <t>11082</t>
  </si>
  <si>
    <t>11083</t>
  </si>
  <si>
    <t>11084</t>
  </si>
  <si>
    <t>11085</t>
  </si>
  <si>
    <t>11086</t>
  </si>
  <si>
    <t>11087</t>
  </si>
  <si>
    <t>11088</t>
  </si>
  <si>
    <t>Tabela 10 — Design (Aba 11)</t>
  </si>
  <si>
    <t>11091</t>
  </si>
  <si>
    <t>11092</t>
  </si>
  <si>
    <t>11093</t>
  </si>
  <si>
    <t>11094</t>
  </si>
  <si>
    <t>11095</t>
  </si>
  <si>
    <t>11096</t>
  </si>
  <si>
    <t>11097</t>
  </si>
  <si>
    <t>11098</t>
  </si>
  <si>
    <t>Tabela 11 — DevEx (Aba 11)</t>
  </si>
  <si>
    <t>11101</t>
  </si>
  <si>
    <t>11102</t>
  </si>
  <si>
    <t>11103</t>
  </si>
  <si>
    <t>11104</t>
  </si>
  <si>
    <t>11105</t>
  </si>
  <si>
    <t>11106</t>
  </si>
  <si>
    <t>11107</t>
  </si>
  <si>
    <t>11108</t>
  </si>
  <si>
    <t>Tabela 12 — Dados (Aba 11)</t>
  </si>
  <si>
    <t>11111</t>
  </si>
  <si>
    <t>11112</t>
  </si>
  <si>
    <t>11113</t>
  </si>
  <si>
    <t>11114</t>
  </si>
  <si>
    <t>11115</t>
  </si>
  <si>
    <t>11116</t>
  </si>
  <si>
    <t>11117</t>
  </si>
  <si>
    <t>11118</t>
  </si>
  <si>
    <t>Tabela 13 — Infra (Aba 11)</t>
  </si>
  <si>
    <t>11121</t>
  </si>
  <si>
    <t>11122</t>
  </si>
  <si>
    <t>11123</t>
  </si>
  <si>
    <t>11124</t>
  </si>
  <si>
    <t>11125</t>
  </si>
  <si>
    <t>11126</t>
  </si>
  <si>
    <t>11127</t>
  </si>
  <si>
    <t>11128</t>
  </si>
  <si>
    <t>Tabela 14 — Segurança (Aba 11)</t>
  </si>
  <si>
    <t>11131</t>
  </si>
  <si>
    <t>11132</t>
  </si>
  <si>
    <t>11133</t>
  </si>
  <si>
    <t>11134</t>
  </si>
  <si>
    <t>11135</t>
  </si>
  <si>
    <t>11136</t>
  </si>
  <si>
    <t>11137</t>
  </si>
  <si>
    <t>11138</t>
  </si>
  <si>
    <t>Tabela 15 — Engenharia (Aba 11)</t>
  </si>
  <si>
    <t>11141</t>
  </si>
  <si>
    <t>11142</t>
  </si>
  <si>
    <t>11143</t>
  </si>
  <si>
    <t>11144</t>
  </si>
  <si>
    <t>11145</t>
  </si>
  <si>
    <t>11146</t>
  </si>
  <si>
    <t>11147</t>
  </si>
  <si>
    <t>11148</t>
  </si>
  <si>
    <t>Tabela 16 — Produto (Aba 11)</t>
  </si>
  <si>
    <t>11151</t>
  </si>
  <si>
    <t>11152</t>
  </si>
  <si>
    <t>11153</t>
  </si>
  <si>
    <t>11154</t>
  </si>
  <si>
    <t>11155</t>
  </si>
  <si>
    <t>11156</t>
  </si>
  <si>
    <t>11157</t>
  </si>
  <si>
    <t>11158</t>
  </si>
  <si>
    <t>Tabela 17 — Design (Aba 11)</t>
  </si>
  <si>
    <t>11161</t>
  </si>
  <si>
    <t>11162</t>
  </si>
  <si>
    <t>11163</t>
  </si>
  <si>
    <t>11164</t>
  </si>
  <si>
    <t>11165</t>
  </si>
  <si>
    <t>11166</t>
  </si>
  <si>
    <t>11167</t>
  </si>
  <si>
    <t>11168</t>
  </si>
  <si>
    <t>Tabela 18 — DevEx (Aba 11)</t>
  </si>
  <si>
    <t>11171</t>
  </si>
  <si>
    <t>11172</t>
  </si>
  <si>
    <t>11173</t>
  </si>
  <si>
    <t>11174</t>
  </si>
  <si>
    <t>11175</t>
  </si>
  <si>
    <t>11176</t>
  </si>
  <si>
    <t>11177</t>
  </si>
  <si>
    <t>11178</t>
  </si>
  <si>
    <t>Tabela 19 — Dados (Aba 11)</t>
  </si>
  <si>
    <t>11181</t>
  </si>
  <si>
    <t>11182</t>
  </si>
  <si>
    <t>11183</t>
  </si>
  <si>
    <t>11184</t>
  </si>
  <si>
    <t>11185</t>
  </si>
  <si>
    <t>11186</t>
  </si>
  <si>
    <t>11187</t>
  </si>
  <si>
    <t>11188</t>
  </si>
  <si>
    <t>Tabela 20 — Infra (Aba 11)</t>
  </si>
  <si>
    <t>11191</t>
  </si>
  <si>
    <t>11192</t>
  </si>
  <si>
    <t>11193</t>
  </si>
  <si>
    <t>11194</t>
  </si>
  <si>
    <t>11195</t>
  </si>
  <si>
    <t>11196</t>
  </si>
  <si>
    <t>11197</t>
  </si>
  <si>
    <t>11198</t>
  </si>
  <si>
    <t>Tabela 21 — Segurança (Aba 11)</t>
  </si>
  <si>
    <t>11201</t>
  </si>
  <si>
    <t>11202</t>
  </si>
  <si>
    <t>11203</t>
  </si>
  <si>
    <t>11204</t>
  </si>
  <si>
    <t>11205</t>
  </si>
  <si>
    <t>11206</t>
  </si>
  <si>
    <t>11207</t>
  </si>
  <si>
    <t>11208</t>
  </si>
  <si>
    <t>Tabela 22 — Engenharia (Aba 11)</t>
  </si>
  <si>
    <t>11211</t>
  </si>
  <si>
    <t>11212</t>
  </si>
  <si>
    <t>11213</t>
  </si>
  <si>
    <t>11214</t>
  </si>
  <si>
    <t>11215</t>
  </si>
  <si>
    <t>11216</t>
  </si>
  <si>
    <t>11217</t>
  </si>
  <si>
    <t>11218</t>
  </si>
  <si>
    <t>Tabela 23 — Produto (Aba 11)</t>
  </si>
  <si>
    <t>11221</t>
  </si>
  <si>
    <t>11222</t>
  </si>
  <si>
    <t>11223</t>
  </si>
  <si>
    <t>11224</t>
  </si>
  <si>
    <t>11225</t>
  </si>
  <si>
    <t>11226</t>
  </si>
  <si>
    <t>11227</t>
  </si>
  <si>
    <t>11228</t>
  </si>
  <si>
    <t>Tabela 24 — Design (Aba 11)</t>
  </si>
  <si>
    <t>11231</t>
  </si>
  <si>
    <t>11232</t>
  </si>
  <si>
    <t>11233</t>
  </si>
  <si>
    <t>11234</t>
  </si>
  <si>
    <t>11235</t>
  </si>
  <si>
    <t>11236</t>
  </si>
  <si>
    <t>11237</t>
  </si>
  <si>
    <t>11238</t>
  </si>
  <si>
    <t>Tabela 25 — DevEx (Aba 11)</t>
  </si>
  <si>
    <t>11241</t>
  </si>
  <si>
    <t>11242</t>
  </si>
  <si>
    <t>11243</t>
  </si>
  <si>
    <t>11244</t>
  </si>
  <si>
    <t>11245</t>
  </si>
  <si>
    <t>11246</t>
  </si>
  <si>
    <t>11247</t>
  </si>
  <si>
    <t>11248</t>
  </si>
  <si>
    <t>Tabela 26 — Dados (Aba 11)</t>
  </si>
  <si>
    <t>11251</t>
  </si>
  <si>
    <t>11252</t>
  </si>
  <si>
    <t>11253</t>
  </si>
  <si>
    <t>11254</t>
  </si>
  <si>
    <t>11255</t>
  </si>
  <si>
    <t>11256</t>
  </si>
  <si>
    <t>11257</t>
  </si>
  <si>
    <t>11258</t>
  </si>
  <si>
    <t>Tabela 27 — Infra (Aba 11)</t>
  </si>
  <si>
    <t>11261</t>
  </si>
  <si>
    <t>11262</t>
  </si>
  <si>
    <t>11263</t>
  </si>
  <si>
    <t>11264</t>
  </si>
  <si>
    <t>11265</t>
  </si>
  <si>
    <t>11266</t>
  </si>
  <si>
    <t>11267</t>
  </si>
  <si>
    <t>11268</t>
  </si>
  <si>
    <t>Tabela 28 — Segurança (Aba 11)</t>
  </si>
  <si>
    <t>11271</t>
  </si>
  <si>
    <t>11272</t>
  </si>
  <si>
    <t>11273</t>
  </si>
  <si>
    <t>11274</t>
  </si>
  <si>
    <t>11275</t>
  </si>
  <si>
    <t>11276</t>
  </si>
  <si>
    <t>11277</t>
  </si>
  <si>
    <t>11278</t>
  </si>
  <si>
    <t>Tabela 29 — Engenharia (Aba 11)</t>
  </si>
  <si>
    <t>11281</t>
  </si>
  <si>
    <t>11282</t>
  </si>
  <si>
    <t>11283</t>
  </si>
  <si>
    <t>11284</t>
  </si>
  <si>
    <t>11285</t>
  </si>
  <si>
    <t>11286</t>
  </si>
  <si>
    <t>11287</t>
  </si>
  <si>
    <t>11288</t>
  </si>
  <si>
    <t>Tabela 30 — Produto (Aba 11)</t>
  </si>
  <si>
    <t>11291</t>
  </si>
  <si>
    <t>11292</t>
  </si>
  <si>
    <t>11293</t>
  </si>
  <si>
    <t>11294</t>
  </si>
  <si>
    <t>11295</t>
  </si>
  <si>
    <t>11296</t>
  </si>
  <si>
    <t>11297</t>
  </si>
  <si>
    <t>11298</t>
  </si>
  <si>
    <t>Planilha — Aba 10 | Relatório de Equipe</t>
  </si>
  <si>
    <t>Tabela 1 — Engenharia (Aba 10)</t>
  </si>
  <si>
    <t>10001</t>
  </si>
  <si>
    <t>10002</t>
  </si>
  <si>
    <t>10003</t>
  </si>
  <si>
    <t>10004</t>
  </si>
  <si>
    <t>10005</t>
  </si>
  <si>
    <t>10006</t>
  </si>
  <si>
    <t>10007</t>
  </si>
  <si>
    <t>10008</t>
  </si>
  <si>
    <t>Tabela 2 — Produto (Aba 10)</t>
  </si>
  <si>
    <t>10011</t>
  </si>
  <si>
    <t>10012</t>
  </si>
  <si>
    <t>10013</t>
  </si>
  <si>
    <t>10014</t>
  </si>
  <si>
    <t>10015</t>
  </si>
  <si>
    <t>10016</t>
  </si>
  <si>
    <t>10017</t>
  </si>
  <si>
    <t>10018</t>
  </si>
  <si>
    <t>Tabela 3 — Design (Aba 10)</t>
  </si>
  <si>
    <t>10021</t>
  </si>
  <si>
    <t>10022</t>
  </si>
  <si>
    <t>10023</t>
  </si>
  <si>
    <t>10024</t>
  </si>
  <si>
    <t>10025</t>
  </si>
  <si>
    <t>10026</t>
  </si>
  <si>
    <t>10027</t>
  </si>
  <si>
    <t>10028</t>
  </si>
  <si>
    <t>Tabela 4 — DevEx (Aba 10)</t>
  </si>
  <si>
    <t>10031</t>
  </si>
  <si>
    <t>10032</t>
  </si>
  <si>
    <t>10033</t>
  </si>
  <si>
    <t>10034</t>
  </si>
  <si>
    <t>10035</t>
  </si>
  <si>
    <t>10036</t>
  </si>
  <si>
    <t>10037</t>
  </si>
  <si>
    <t>10038</t>
  </si>
  <si>
    <t>Tabela 5 — Dados (Aba 10)</t>
  </si>
  <si>
    <t>10041</t>
  </si>
  <si>
    <t>10042</t>
  </si>
  <si>
    <t>10043</t>
  </si>
  <si>
    <t>10044</t>
  </si>
  <si>
    <t>10045</t>
  </si>
  <si>
    <t>10046</t>
  </si>
  <si>
    <t>10047</t>
  </si>
  <si>
    <t>10048</t>
  </si>
  <si>
    <t>Tabela 6 — Infra (Aba 10)</t>
  </si>
  <si>
    <t>10051</t>
  </si>
  <si>
    <t>10052</t>
  </si>
  <si>
    <t>10053</t>
  </si>
  <si>
    <t>10054</t>
  </si>
  <si>
    <t>10055</t>
  </si>
  <si>
    <t>10056</t>
  </si>
  <si>
    <t>10057</t>
  </si>
  <si>
    <t>10058</t>
  </si>
  <si>
    <t>Tabela 7 — Segurança (Aba 10)</t>
  </si>
  <si>
    <t>10061</t>
  </si>
  <si>
    <t>10062</t>
  </si>
  <si>
    <t>10063</t>
  </si>
  <si>
    <t>10064</t>
  </si>
  <si>
    <t>10065</t>
  </si>
  <si>
    <t>10066</t>
  </si>
  <si>
    <t>10067</t>
  </si>
  <si>
    <t>10068</t>
  </si>
  <si>
    <t>Tabela 8 — Engenharia (Aba 10)</t>
  </si>
  <si>
    <t>10071</t>
  </si>
  <si>
    <t>10072</t>
  </si>
  <si>
    <t>10073</t>
  </si>
  <si>
    <t>10074</t>
  </si>
  <si>
    <t>10075</t>
  </si>
  <si>
    <t>10076</t>
  </si>
  <si>
    <t>10077</t>
  </si>
  <si>
    <t>10078</t>
  </si>
  <si>
    <t>Tabela 9 — Produto (Aba 10)</t>
  </si>
  <si>
    <t>10081</t>
  </si>
  <si>
    <t>10082</t>
  </si>
  <si>
    <t>10083</t>
  </si>
  <si>
    <t>10084</t>
  </si>
  <si>
    <t>10085</t>
  </si>
  <si>
    <t>10086</t>
  </si>
  <si>
    <t>10087</t>
  </si>
  <si>
    <t>10088</t>
  </si>
  <si>
    <t>Tabela 10 — Design (Aba 10)</t>
  </si>
  <si>
    <t>10091</t>
  </si>
  <si>
    <t>10092</t>
  </si>
  <si>
    <t>10093</t>
  </si>
  <si>
    <t>10094</t>
  </si>
  <si>
    <t>10095</t>
  </si>
  <si>
    <t>10096</t>
  </si>
  <si>
    <t>10097</t>
  </si>
  <si>
    <t>10098</t>
  </si>
  <si>
    <t>Tabela 11 — DevEx (Aba 10)</t>
  </si>
  <si>
    <t>10101</t>
  </si>
  <si>
    <t>10102</t>
  </si>
  <si>
    <t>10103</t>
  </si>
  <si>
    <t>10104</t>
  </si>
  <si>
    <t>10105</t>
  </si>
  <si>
    <t>10106</t>
  </si>
  <si>
    <t>10107</t>
  </si>
  <si>
    <t>10108</t>
  </si>
  <si>
    <t>Tabela 12 — Dados (Aba 10)</t>
  </si>
  <si>
    <t>10111</t>
  </si>
  <si>
    <t>10112</t>
  </si>
  <si>
    <t>10113</t>
  </si>
  <si>
    <t>10114</t>
  </si>
  <si>
    <t>10115</t>
  </si>
  <si>
    <t>10116</t>
  </si>
  <si>
    <t>10117</t>
  </si>
  <si>
    <t>10118</t>
  </si>
  <si>
    <t>Tabela 13 — Infra (Aba 10)</t>
  </si>
  <si>
    <t>10121</t>
  </si>
  <si>
    <t>10122</t>
  </si>
  <si>
    <t>10123</t>
  </si>
  <si>
    <t>10124</t>
  </si>
  <si>
    <t>10125</t>
  </si>
  <si>
    <t>10126</t>
  </si>
  <si>
    <t>10127</t>
  </si>
  <si>
    <t>10128</t>
  </si>
  <si>
    <t>Tabela 14 — Segurança (Aba 10)</t>
  </si>
  <si>
    <t>10131</t>
  </si>
  <si>
    <t>10132</t>
  </si>
  <si>
    <t>10133</t>
  </si>
  <si>
    <t>10134</t>
  </si>
  <si>
    <t>10135</t>
  </si>
  <si>
    <t>10136</t>
  </si>
  <si>
    <t>10137</t>
  </si>
  <si>
    <t>10138</t>
  </si>
  <si>
    <t>Tabela 15 — Engenharia (Aba 10)</t>
  </si>
  <si>
    <t>10141</t>
  </si>
  <si>
    <t>10142</t>
  </si>
  <si>
    <t>10143</t>
  </si>
  <si>
    <t>10144</t>
  </si>
  <si>
    <t>10145</t>
  </si>
  <si>
    <t>10146</t>
  </si>
  <si>
    <t>10147</t>
  </si>
  <si>
    <t>10148</t>
  </si>
  <si>
    <t>Tabela 16 — Produto (Aba 10)</t>
  </si>
  <si>
    <t>10151</t>
  </si>
  <si>
    <t>10152</t>
  </si>
  <si>
    <t>10153</t>
  </si>
  <si>
    <t>10154</t>
  </si>
  <si>
    <t>10155</t>
  </si>
  <si>
    <t>10156</t>
  </si>
  <si>
    <t>10157</t>
  </si>
  <si>
    <t>10158</t>
  </si>
  <si>
    <t>Tabela 17 — Design (Aba 10)</t>
  </si>
  <si>
    <t>10161</t>
  </si>
  <si>
    <t>10162</t>
  </si>
  <si>
    <t>10163</t>
  </si>
  <si>
    <t>10164</t>
  </si>
  <si>
    <t>10165</t>
  </si>
  <si>
    <t>10166</t>
  </si>
  <si>
    <t>10167</t>
  </si>
  <si>
    <t>10168</t>
  </si>
  <si>
    <t>Tabela 18 — DevEx (Aba 10)</t>
  </si>
  <si>
    <t>10171</t>
  </si>
  <si>
    <t>10172</t>
  </si>
  <si>
    <t>10173</t>
  </si>
  <si>
    <t>10174</t>
  </si>
  <si>
    <t>10175</t>
  </si>
  <si>
    <t>10176</t>
  </si>
  <si>
    <t>10177</t>
  </si>
  <si>
    <t>10178</t>
  </si>
  <si>
    <t>Tabela 19 — Dados (Aba 10)</t>
  </si>
  <si>
    <t>10181</t>
  </si>
  <si>
    <t>10182</t>
  </si>
  <si>
    <t>10183</t>
  </si>
  <si>
    <t>10184</t>
  </si>
  <si>
    <t>10185</t>
  </si>
  <si>
    <t>10186</t>
  </si>
  <si>
    <t>10187</t>
  </si>
  <si>
    <t>10188</t>
  </si>
  <si>
    <t>Tabela 20 — Infra (Aba 10)</t>
  </si>
  <si>
    <t>10191</t>
  </si>
  <si>
    <t>10192</t>
  </si>
  <si>
    <t>10193</t>
  </si>
  <si>
    <t>10194</t>
  </si>
  <si>
    <t>10195</t>
  </si>
  <si>
    <t>10196</t>
  </si>
  <si>
    <t>10197</t>
  </si>
  <si>
    <t>10198</t>
  </si>
  <si>
    <t>Tabela 21 — Segurança (Aba 10)</t>
  </si>
  <si>
    <t>10201</t>
  </si>
  <si>
    <t>10202</t>
  </si>
  <si>
    <t>10203</t>
  </si>
  <si>
    <t>10204</t>
  </si>
  <si>
    <t>10205</t>
  </si>
  <si>
    <t>10206</t>
  </si>
  <si>
    <t>10207</t>
  </si>
  <si>
    <t>10208</t>
  </si>
  <si>
    <t>Tabela 22 — Engenharia (Aba 10)</t>
  </si>
  <si>
    <t>10211</t>
  </si>
  <si>
    <t>10212</t>
  </si>
  <si>
    <t>10213</t>
  </si>
  <si>
    <t>10214</t>
  </si>
  <si>
    <t>10215</t>
  </si>
  <si>
    <t>10216</t>
  </si>
  <si>
    <t>10217</t>
  </si>
  <si>
    <t>10218</t>
  </si>
  <si>
    <t>Tabela 23 — Produto (Aba 10)</t>
  </si>
  <si>
    <t>10221</t>
  </si>
  <si>
    <t>10222</t>
  </si>
  <si>
    <t>10223</t>
  </si>
  <si>
    <t>10224</t>
  </si>
  <si>
    <t>10225</t>
  </si>
  <si>
    <t>10226</t>
  </si>
  <si>
    <t>10227</t>
  </si>
  <si>
    <t>10228</t>
  </si>
  <si>
    <t>Tabela 24 — Design (Aba 10)</t>
  </si>
  <si>
    <t>10231</t>
  </si>
  <si>
    <t>10232</t>
  </si>
  <si>
    <t>10233</t>
  </si>
  <si>
    <t>10234</t>
  </si>
  <si>
    <t>10235</t>
  </si>
  <si>
    <t>10236</t>
  </si>
  <si>
    <t>10237</t>
  </si>
  <si>
    <t>10238</t>
  </si>
  <si>
    <t>Tabela 25 — DevEx (Aba 10)</t>
  </si>
  <si>
    <t>10241</t>
  </si>
  <si>
    <t>10242</t>
  </si>
  <si>
    <t>10243</t>
  </si>
  <si>
    <t>10244</t>
  </si>
  <si>
    <t>10245</t>
  </si>
  <si>
    <t>10246</t>
  </si>
  <si>
    <t>10247</t>
  </si>
  <si>
    <t>10248</t>
  </si>
  <si>
    <t>Tabela 26 — Dados (Aba 10)</t>
  </si>
  <si>
    <t>10251</t>
  </si>
  <si>
    <t>10252</t>
  </si>
  <si>
    <t>10253</t>
  </si>
  <si>
    <t>10254</t>
  </si>
  <si>
    <t>10255</t>
  </si>
  <si>
    <t>10256</t>
  </si>
  <si>
    <t>10257</t>
  </si>
  <si>
    <t>10258</t>
  </si>
  <si>
    <t>Tabela 27 — Infra (Aba 10)</t>
  </si>
  <si>
    <t>10261</t>
  </si>
  <si>
    <t>10262</t>
  </si>
  <si>
    <t>10263</t>
  </si>
  <si>
    <t>10264</t>
  </si>
  <si>
    <t>10265</t>
  </si>
  <si>
    <t>10266</t>
  </si>
  <si>
    <t>10267</t>
  </si>
  <si>
    <t>10268</t>
  </si>
  <si>
    <t>Tabela 28 — Segurança (Aba 10)</t>
  </si>
  <si>
    <t>10271</t>
  </si>
  <si>
    <t>10272</t>
  </si>
  <si>
    <t>10273</t>
  </si>
  <si>
    <t>10274</t>
  </si>
  <si>
    <t>10275</t>
  </si>
  <si>
    <t>10276</t>
  </si>
  <si>
    <t>10277</t>
  </si>
  <si>
    <t>10278</t>
  </si>
  <si>
    <t>Tabela 29 — Engenharia (Aba 10)</t>
  </si>
  <si>
    <t>10281</t>
  </si>
  <si>
    <t>10282</t>
  </si>
  <si>
    <t>10283</t>
  </si>
  <si>
    <t>10284</t>
  </si>
  <si>
    <t>10285</t>
  </si>
  <si>
    <t>10286</t>
  </si>
  <si>
    <t>10287</t>
  </si>
  <si>
    <t>10288</t>
  </si>
  <si>
    <t>Tabela 30 — Produto (Aba 10)</t>
  </si>
  <si>
    <t>10291</t>
  </si>
  <si>
    <t>10292</t>
  </si>
  <si>
    <t>10293</t>
  </si>
  <si>
    <t>10294</t>
  </si>
  <si>
    <t>10295</t>
  </si>
  <si>
    <t>10296</t>
  </si>
  <si>
    <t>10297</t>
  </si>
  <si>
    <t>10298</t>
  </si>
  <si>
    <t>Planilha — Aba 9 | Relatório de Equipe</t>
  </si>
  <si>
    <t>Tabela 1 — Engenharia (Aba 9)</t>
  </si>
  <si>
    <t>09001</t>
  </si>
  <si>
    <t>09002</t>
  </si>
  <si>
    <t>09003</t>
  </si>
  <si>
    <t>09004</t>
  </si>
  <si>
    <t>09005</t>
  </si>
  <si>
    <t>09006</t>
  </si>
  <si>
    <t>09007</t>
  </si>
  <si>
    <t>09008</t>
  </si>
  <si>
    <t>Tabela 2 — Produto (Aba 9)</t>
  </si>
  <si>
    <t>09011</t>
  </si>
  <si>
    <t>09012</t>
  </si>
  <si>
    <t>09013</t>
  </si>
  <si>
    <t>09014</t>
  </si>
  <si>
    <t>09015</t>
  </si>
  <si>
    <t>09016</t>
  </si>
  <si>
    <t>09017</t>
  </si>
  <si>
    <t>09018</t>
  </si>
  <si>
    <t>Tabela 3 — Design (Aba 9)</t>
  </si>
  <si>
    <t>09021</t>
  </si>
  <si>
    <t>09022</t>
  </si>
  <si>
    <t>09023</t>
  </si>
  <si>
    <t>09024</t>
  </si>
  <si>
    <t>09025</t>
  </si>
  <si>
    <t>09026</t>
  </si>
  <si>
    <t>09027</t>
  </si>
  <si>
    <t>09028</t>
  </si>
  <si>
    <t>Tabela 4 — DevEx (Aba 9)</t>
  </si>
  <si>
    <t>09031</t>
  </si>
  <si>
    <t>09032</t>
  </si>
  <si>
    <t>09033</t>
  </si>
  <si>
    <t>09034</t>
  </si>
  <si>
    <t>09035</t>
  </si>
  <si>
    <t>09036</t>
  </si>
  <si>
    <t>09037</t>
  </si>
  <si>
    <t>09038</t>
  </si>
  <si>
    <t>Tabela 5 — Dados (Aba 9)</t>
  </si>
  <si>
    <t>09041</t>
  </si>
  <si>
    <t>09042</t>
  </si>
  <si>
    <t>09043</t>
  </si>
  <si>
    <t>09044</t>
  </si>
  <si>
    <t>09045</t>
  </si>
  <si>
    <t>09046</t>
  </si>
  <si>
    <t>09047</t>
  </si>
  <si>
    <t>09048</t>
  </si>
  <si>
    <t>Tabela 6 — Infra (Aba 9)</t>
  </si>
  <si>
    <t>09051</t>
  </si>
  <si>
    <t>09052</t>
  </si>
  <si>
    <t>09053</t>
  </si>
  <si>
    <t>09054</t>
  </si>
  <si>
    <t>09055</t>
  </si>
  <si>
    <t>09056</t>
  </si>
  <si>
    <t>09057</t>
  </si>
  <si>
    <t>09058</t>
  </si>
  <si>
    <t>Tabela 7 — Segurança (Aba 9)</t>
  </si>
  <si>
    <t>09061</t>
  </si>
  <si>
    <t>09062</t>
  </si>
  <si>
    <t>09063</t>
  </si>
  <si>
    <t>09064</t>
  </si>
  <si>
    <t>09065</t>
  </si>
  <si>
    <t>09066</t>
  </si>
  <si>
    <t>09067</t>
  </si>
  <si>
    <t>09068</t>
  </si>
  <si>
    <t>Tabela 8 — Engenharia (Aba 9)</t>
  </si>
  <si>
    <t>09071</t>
  </si>
  <si>
    <t>09072</t>
  </si>
  <si>
    <t>09073</t>
  </si>
  <si>
    <t>09074</t>
  </si>
  <si>
    <t>09075</t>
  </si>
  <si>
    <t>09076</t>
  </si>
  <si>
    <t>09077</t>
  </si>
  <si>
    <t>09078</t>
  </si>
  <si>
    <t>Tabela 9 — Produto (Aba 9)</t>
  </si>
  <si>
    <t>09081</t>
  </si>
  <si>
    <t>09082</t>
  </si>
  <si>
    <t>09083</t>
  </si>
  <si>
    <t>09084</t>
  </si>
  <si>
    <t>09085</t>
  </si>
  <si>
    <t>09086</t>
  </si>
  <si>
    <t>09087</t>
  </si>
  <si>
    <t>09088</t>
  </si>
  <si>
    <t>Tabela 10 — Design (Aba 9)</t>
  </si>
  <si>
    <t>09091</t>
  </si>
  <si>
    <t>09092</t>
  </si>
  <si>
    <t>09093</t>
  </si>
  <si>
    <t>09094</t>
  </si>
  <si>
    <t>09095</t>
  </si>
  <si>
    <t>09096</t>
  </si>
  <si>
    <t>09097</t>
  </si>
  <si>
    <t>09098</t>
  </si>
  <si>
    <t>Tabela 11 — DevEx (Aba 9)</t>
  </si>
  <si>
    <t>09101</t>
  </si>
  <si>
    <t>09102</t>
  </si>
  <si>
    <t>09103</t>
  </si>
  <si>
    <t>09104</t>
  </si>
  <si>
    <t>09105</t>
  </si>
  <si>
    <t>09106</t>
  </si>
  <si>
    <t>09107</t>
  </si>
  <si>
    <t>09108</t>
  </si>
  <si>
    <t>Tabela 12 — Dados (Aba 9)</t>
  </si>
  <si>
    <t>09111</t>
  </si>
  <si>
    <t>09112</t>
  </si>
  <si>
    <t>09113</t>
  </si>
  <si>
    <t>09114</t>
  </si>
  <si>
    <t>09115</t>
  </si>
  <si>
    <t>09116</t>
  </si>
  <si>
    <t>09117</t>
  </si>
  <si>
    <t>09118</t>
  </si>
  <si>
    <t>Tabela 13 — Infra (Aba 9)</t>
  </si>
  <si>
    <t>09121</t>
  </si>
  <si>
    <t>09122</t>
  </si>
  <si>
    <t>09123</t>
  </si>
  <si>
    <t>09124</t>
  </si>
  <si>
    <t>09125</t>
  </si>
  <si>
    <t>09126</t>
  </si>
  <si>
    <t>09127</t>
  </si>
  <si>
    <t>09128</t>
  </si>
  <si>
    <t>Tabela 14 — Segurança (Aba 9)</t>
  </si>
  <si>
    <t>09131</t>
  </si>
  <si>
    <t>09132</t>
  </si>
  <si>
    <t>09133</t>
  </si>
  <si>
    <t>09134</t>
  </si>
  <si>
    <t>09135</t>
  </si>
  <si>
    <t>09136</t>
  </si>
  <si>
    <t>09137</t>
  </si>
  <si>
    <t>09138</t>
  </si>
  <si>
    <t>Tabela 15 — Engenharia (Aba 9)</t>
  </si>
  <si>
    <t>09141</t>
  </si>
  <si>
    <t>09142</t>
  </si>
  <si>
    <t>09143</t>
  </si>
  <si>
    <t>09144</t>
  </si>
  <si>
    <t>09145</t>
  </si>
  <si>
    <t>09146</t>
  </si>
  <si>
    <t>09147</t>
  </si>
  <si>
    <t>09148</t>
  </si>
  <si>
    <t>Tabela 16 — Produto (Aba 9)</t>
  </si>
  <si>
    <t>09151</t>
  </si>
  <si>
    <t>09152</t>
  </si>
  <si>
    <t>09153</t>
  </si>
  <si>
    <t>09154</t>
  </si>
  <si>
    <t>09155</t>
  </si>
  <si>
    <t>09156</t>
  </si>
  <si>
    <t>09157</t>
  </si>
  <si>
    <t>09158</t>
  </si>
  <si>
    <t>Tabela 17 — Design (Aba 9)</t>
  </si>
  <si>
    <t>09161</t>
  </si>
  <si>
    <t>09162</t>
  </si>
  <si>
    <t>09163</t>
  </si>
  <si>
    <t>09164</t>
  </si>
  <si>
    <t>09165</t>
  </si>
  <si>
    <t>09166</t>
  </si>
  <si>
    <t>09167</t>
  </si>
  <si>
    <t>09168</t>
  </si>
  <si>
    <t>Tabela 18 — DevEx (Aba 9)</t>
  </si>
  <si>
    <t>09171</t>
  </si>
  <si>
    <t>09172</t>
  </si>
  <si>
    <t>09173</t>
  </si>
  <si>
    <t>09174</t>
  </si>
  <si>
    <t>09175</t>
  </si>
  <si>
    <t>09176</t>
  </si>
  <si>
    <t>09177</t>
  </si>
  <si>
    <t>09178</t>
  </si>
  <si>
    <t>Tabela 19 — Dados (Aba 9)</t>
  </si>
  <si>
    <t>09181</t>
  </si>
  <si>
    <t>09182</t>
  </si>
  <si>
    <t>09183</t>
  </si>
  <si>
    <t>09184</t>
  </si>
  <si>
    <t>09185</t>
  </si>
  <si>
    <t>09186</t>
  </si>
  <si>
    <t>09187</t>
  </si>
  <si>
    <t>09188</t>
  </si>
  <si>
    <t>Tabela 20 — Infra (Aba 9)</t>
  </si>
  <si>
    <t>09191</t>
  </si>
  <si>
    <t>09192</t>
  </si>
  <si>
    <t>09193</t>
  </si>
  <si>
    <t>09194</t>
  </si>
  <si>
    <t>09195</t>
  </si>
  <si>
    <t>09196</t>
  </si>
  <si>
    <t>09197</t>
  </si>
  <si>
    <t>09198</t>
  </si>
  <si>
    <t>Tabela 21 — Segurança (Aba 9)</t>
  </si>
  <si>
    <t>09201</t>
  </si>
  <si>
    <t>09202</t>
  </si>
  <si>
    <t>09203</t>
  </si>
  <si>
    <t>09204</t>
  </si>
  <si>
    <t>09205</t>
  </si>
  <si>
    <t>09206</t>
  </si>
  <si>
    <t>09207</t>
  </si>
  <si>
    <t>09208</t>
  </si>
  <si>
    <t>Tabela 22 — Engenharia (Aba 9)</t>
  </si>
  <si>
    <t>09211</t>
  </si>
  <si>
    <t>09212</t>
  </si>
  <si>
    <t>09213</t>
  </si>
  <si>
    <t>09214</t>
  </si>
  <si>
    <t>09215</t>
  </si>
  <si>
    <t>09216</t>
  </si>
  <si>
    <t>09217</t>
  </si>
  <si>
    <t>09218</t>
  </si>
  <si>
    <t>Tabela 23 — Produto (Aba 9)</t>
  </si>
  <si>
    <t>09221</t>
  </si>
  <si>
    <t>09222</t>
  </si>
  <si>
    <t>09223</t>
  </si>
  <si>
    <t>09224</t>
  </si>
  <si>
    <t>09225</t>
  </si>
  <si>
    <t>09226</t>
  </si>
  <si>
    <t>09227</t>
  </si>
  <si>
    <t>09228</t>
  </si>
  <si>
    <t>Tabela 24 — Design (Aba 9)</t>
  </si>
  <si>
    <t>09231</t>
  </si>
  <si>
    <t>09232</t>
  </si>
  <si>
    <t>09233</t>
  </si>
  <si>
    <t>09234</t>
  </si>
  <si>
    <t>09235</t>
  </si>
  <si>
    <t>09236</t>
  </si>
  <si>
    <t>09237</t>
  </si>
  <si>
    <t>09238</t>
  </si>
  <si>
    <t>Tabela 25 — DevEx (Aba 9)</t>
  </si>
  <si>
    <t>09241</t>
  </si>
  <si>
    <t>09242</t>
  </si>
  <si>
    <t>09243</t>
  </si>
  <si>
    <t>09244</t>
  </si>
  <si>
    <t>09245</t>
  </si>
  <si>
    <t>09246</t>
  </si>
  <si>
    <t>09247</t>
  </si>
  <si>
    <t>09248</t>
  </si>
  <si>
    <t>Tabela 26 — Dados (Aba 9)</t>
  </si>
  <si>
    <t>09251</t>
  </si>
  <si>
    <t>09252</t>
  </si>
  <si>
    <t>09253</t>
  </si>
  <si>
    <t>09254</t>
  </si>
  <si>
    <t>09255</t>
  </si>
  <si>
    <t>09256</t>
  </si>
  <si>
    <t>09257</t>
  </si>
  <si>
    <t>09258</t>
  </si>
  <si>
    <t>Tabela 27 — Infra (Aba 9)</t>
  </si>
  <si>
    <t>09261</t>
  </si>
  <si>
    <t>09262</t>
  </si>
  <si>
    <t>09263</t>
  </si>
  <si>
    <t>09264</t>
  </si>
  <si>
    <t>09265</t>
  </si>
  <si>
    <t>09266</t>
  </si>
  <si>
    <t>09267</t>
  </si>
  <si>
    <t>09268</t>
  </si>
  <si>
    <t>Tabela 28 — Segurança (Aba 9)</t>
  </si>
  <si>
    <t>09271</t>
  </si>
  <si>
    <t>09272</t>
  </si>
  <si>
    <t>09273</t>
  </si>
  <si>
    <t>09274</t>
  </si>
  <si>
    <t>09275</t>
  </si>
  <si>
    <t>09276</t>
  </si>
  <si>
    <t>09277</t>
  </si>
  <si>
    <t>09278</t>
  </si>
  <si>
    <t>Tabela 29 — Engenharia (Aba 9)</t>
  </si>
  <si>
    <t>09281</t>
  </si>
  <si>
    <t>09282</t>
  </si>
  <si>
    <t>09283</t>
  </si>
  <si>
    <t>09284</t>
  </si>
  <si>
    <t>09285</t>
  </si>
  <si>
    <t>09286</t>
  </si>
  <si>
    <t>09287</t>
  </si>
  <si>
    <t>09288</t>
  </si>
  <si>
    <t>Tabela 30 — Produto (Aba 9)</t>
  </si>
  <si>
    <t>09291</t>
  </si>
  <si>
    <t>09292</t>
  </si>
  <si>
    <t>09293</t>
  </si>
  <si>
    <t>09294</t>
  </si>
  <si>
    <t>09295</t>
  </si>
  <si>
    <t>09296</t>
  </si>
  <si>
    <t>09297</t>
  </si>
  <si>
    <t>09298</t>
  </si>
  <si>
    <t>Planilha — Aba 8 | Relatório de Equipe</t>
  </si>
  <si>
    <t>Tabela 1 — Engenharia (Aba 8)</t>
  </si>
  <si>
    <t>08001</t>
  </si>
  <si>
    <t>08002</t>
  </si>
  <si>
    <t>08003</t>
  </si>
  <si>
    <t>08004</t>
  </si>
  <si>
    <t>08005</t>
  </si>
  <si>
    <t>08006</t>
  </si>
  <si>
    <t>08007</t>
  </si>
  <si>
    <t>08008</t>
  </si>
  <si>
    <t>Tabela 2 — Produto (Aba 8)</t>
  </si>
  <si>
    <t>08011</t>
  </si>
  <si>
    <t>08012</t>
  </si>
  <si>
    <t>08013</t>
  </si>
  <si>
    <t>08014</t>
  </si>
  <si>
    <t>08015</t>
  </si>
  <si>
    <t>08016</t>
  </si>
  <si>
    <t>08017</t>
  </si>
  <si>
    <t>08018</t>
  </si>
  <si>
    <t>Tabela 3 — Design (Aba 8)</t>
  </si>
  <si>
    <t>08021</t>
  </si>
  <si>
    <t>08022</t>
  </si>
  <si>
    <t>08023</t>
  </si>
  <si>
    <t>08024</t>
  </si>
  <si>
    <t>08025</t>
  </si>
  <si>
    <t>08026</t>
  </si>
  <si>
    <t>08027</t>
  </si>
  <si>
    <t>08028</t>
  </si>
  <si>
    <t>Tabela 4 — DevEx (Aba 8)</t>
  </si>
  <si>
    <t>08031</t>
  </si>
  <si>
    <t>08032</t>
  </si>
  <si>
    <t>08033</t>
  </si>
  <si>
    <t>08034</t>
  </si>
  <si>
    <t>08035</t>
  </si>
  <si>
    <t>08036</t>
  </si>
  <si>
    <t>08037</t>
  </si>
  <si>
    <t>08038</t>
  </si>
  <si>
    <t>Tabela 5 — Dados (Aba 8)</t>
  </si>
  <si>
    <t>08041</t>
  </si>
  <si>
    <t>08042</t>
  </si>
  <si>
    <t>08043</t>
  </si>
  <si>
    <t>08044</t>
  </si>
  <si>
    <t>08045</t>
  </si>
  <si>
    <t>08046</t>
  </si>
  <si>
    <t>08047</t>
  </si>
  <si>
    <t>08048</t>
  </si>
  <si>
    <t>Tabela 6 — Infra (Aba 8)</t>
  </si>
  <si>
    <t>08051</t>
  </si>
  <si>
    <t>08052</t>
  </si>
  <si>
    <t>08053</t>
  </si>
  <si>
    <t>08054</t>
  </si>
  <si>
    <t>08055</t>
  </si>
  <si>
    <t>08056</t>
  </si>
  <si>
    <t>08057</t>
  </si>
  <si>
    <t>08058</t>
  </si>
  <si>
    <t>Tabela 7 — Segurança (Aba 8)</t>
  </si>
  <si>
    <t>08061</t>
  </si>
  <si>
    <t>08062</t>
  </si>
  <si>
    <t>08063</t>
  </si>
  <si>
    <t>08064</t>
  </si>
  <si>
    <t>08065</t>
  </si>
  <si>
    <t>08066</t>
  </si>
  <si>
    <t>08067</t>
  </si>
  <si>
    <t>08068</t>
  </si>
  <si>
    <t>Tabela 8 — Engenharia (Aba 8)</t>
  </si>
  <si>
    <t>08071</t>
  </si>
  <si>
    <t>08072</t>
  </si>
  <si>
    <t>08073</t>
  </si>
  <si>
    <t>08074</t>
  </si>
  <si>
    <t>08075</t>
  </si>
  <si>
    <t>08076</t>
  </si>
  <si>
    <t>08077</t>
  </si>
  <si>
    <t>08078</t>
  </si>
  <si>
    <t>Tabela 9 — Produto (Aba 8)</t>
  </si>
  <si>
    <t>08081</t>
  </si>
  <si>
    <t>08082</t>
  </si>
  <si>
    <t>08083</t>
  </si>
  <si>
    <t>08084</t>
  </si>
  <si>
    <t>08085</t>
  </si>
  <si>
    <t>08086</t>
  </si>
  <si>
    <t>08087</t>
  </si>
  <si>
    <t>08088</t>
  </si>
  <si>
    <t>Tabela 10 — Design (Aba 8)</t>
  </si>
  <si>
    <t>08091</t>
  </si>
  <si>
    <t>08092</t>
  </si>
  <si>
    <t>08093</t>
  </si>
  <si>
    <t>08094</t>
  </si>
  <si>
    <t>08095</t>
  </si>
  <si>
    <t>08096</t>
  </si>
  <si>
    <t>08097</t>
  </si>
  <si>
    <t>08098</t>
  </si>
  <si>
    <t>Tabela 11 — DevEx (Aba 8)</t>
  </si>
  <si>
    <t>08101</t>
  </si>
  <si>
    <t>08102</t>
  </si>
  <si>
    <t>08103</t>
  </si>
  <si>
    <t>08104</t>
  </si>
  <si>
    <t>08105</t>
  </si>
  <si>
    <t>08106</t>
  </si>
  <si>
    <t>08107</t>
  </si>
  <si>
    <t>08108</t>
  </si>
  <si>
    <t>Tabela 12 — Dados (Aba 8)</t>
  </si>
  <si>
    <t>08111</t>
  </si>
  <si>
    <t>08112</t>
  </si>
  <si>
    <t>08113</t>
  </si>
  <si>
    <t>08114</t>
  </si>
  <si>
    <t>08115</t>
  </si>
  <si>
    <t>08116</t>
  </si>
  <si>
    <t>08117</t>
  </si>
  <si>
    <t>08118</t>
  </si>
  <si>
    <t>Tabela 13 — Infra (Aba 8)</t>
  </si>
  <si>
    <t>08121</t>
  </si>
  <si>
    <t>08122</t>
  </si>
  <si>
    <t>08123</t>
  </si>
  <si>
    <t>08124</t>
  </si>
  <si>
    <t>08125</t>
  </si>
  <si>
    <t>08126</t>
  </si>
  <si>
    <t>08127</t>
  </si>
  <si>
    <t>08128</t>
  </si>
  <si>
    <t>Tabela 14 — Segurança (Aba 8)</t>
  </si>
  <si>
    <t>08131</t>
  </si>
  <si>
    <t>08132</t>
  </si>
  <si>
    <t>08133</t>
  </si>
  <si>
    <t>08134</t>
  </si>
  <si>
    <t>08135</t>
  </si>
  <si>
    <t>08136</t>
  </si>
  <si>
    <t>08137</t>
  </si>
  <si>
    <t>08138</t>
  </si>
  <si>
    <t>Tabela 15 — Engenharia (Aba 8)</t>
  </si>
  <si>
    <t>08141</t>
  </si>
  <si>
    <t>08142</t>
  </si>
  <si>
    <t>08143</t>
  </si>
  <si>
    <t>08144</t>
  </si>
  <si>
    <t>08145</t>
  </si>
  <si>
    <t>08146</t>
  </si>
  <si>
    <t>08147</t>
  </si>
  <si>
    <t>08148</t>
  </si>
  <si>
    <t>Tabela 16 — Produto (Aba 8)</t>
  </si>
  <si>
    <t>08151</t>
  </si>
  <si>
    <t>08152</t>
  </si>
  <si>
    <t>08153</t>
  </si>
  <si>
    <t>08154</t>
  </si>
  <si>
    <t>08155</t>
  </si>
  <si>
    <t>08156</t>
  </si>
  <si>
    <t>08157</t>
  </si>
  <si>
    <t>08158</t>
  </si>
  <si>
    <t>Tabela 17 — Design (Aba 8)</t>
  </si>
  <si>
    <t>08161</t>
  </si>
  <si>
    <t>08162</t>
  </si>
  <si>
    <t>08163</t>
  </si>
  <si>
    <t>08164</t>
  </si>
  <si>
    <t>08165</t>
  </si>
  <si>
    <t>08166</t>
  </si>
  <si>
    <t>08167</t>
  </si>
  <si>
    <t>08168</t>
  </si>
  <si>
    <t>Tabela 18 — DevEx (Aba 8)</t>
  </si>
  <si>
    <t>08171</t>
  </si>
  <si>
    <t>08172</t>
  </si>
  <si>
    <t>08173</t>
  </si>
  <si>
    <t>08174</t>
  </si>
  <si>
    <t>08175</t>
  </si>
  <si>
    <t>08176</t>
  </si>
  <si>
    <t>08177</t>
  </si>
  <si>
    <t>08178</t>
  </si>
  <si>
    <t>Tabela 19 — Dados (Aba 8)</t>
  </si>
  <si>
    <t>08181</t>
  </si>
  <si>
    <t>08182</t>
  </si>
  <si>
    <t>08183</t>
  </si>
  <si>
    <t>08184</t>
  </si>
  <si>
    <t>08185</t>
  </si>
  <si>
    <t>08186</t>
  </si>
  <si>
    <t>08187</t>
  </si>
  <si>
    <t>08188</t>
  </si>
  <si>
    <t>Tabela 20 — Infra (Aba 8)</t>
  </si>
  <si>
    <t>08191</t>
  </si>
  <si>
    <t>08192</t>
  </si>
  <si>
    <t>08193</t>
  </si>
  <si>
    <t>08194</t>
  </si>
  <si>
    <t>08195</t>
  </si>
  <si>
    <t>08196</t>
  </si>
  <si>
    <t>08197</t>
  </si>
  <si>
    <t>08198</t>
  </si>
  <si>
    <t>Tabela 21 — Segurança (Aba 8)</t>
  </si>
  <si>
    <t>08201</t>
  </si>
  <si>
    <t>08202</t>
  </si>
  <si>
    <t>08203</t>
  </si>
  <si>
    <t>08204</t>
  </si>
  <si>
    <t>08205</t>
  </si>
  <si>
    <t>08206</t>
  </si>
  <si>
    <t>08207</t>
  </si>
  <si>
    <t>08208</t>
  </si>
  <si>
    <t>Tabela 22 — Engenharia (Aba 8)</t>
  </si>
  <si>
    <t>08211</t>
  </si>
  <si>
    <t>08212</t>
  </si>
  <si>
    <t>08213</t>
  </si>
  <si>
    <t>08214</t>
  </si>
  <si>
    <t>08215</t>
  </si>
  <si>
    <t>08216</t>
  </si>
  <si>
    <t>08217</t>
  </si>
  <si>
    <t>08218</t>
  </si>
  <si>
    <t>Tabela 23 — Produto (Aba 8)</t>
  </si>
  <si>
    <t>08221</t>
  </si>
  <si>
    <t>08222</t>
  </si>
  <si>
    <t>08223</t>
  </si>
  <si>
    <t>08224</t>
  </si>
  <si>
    <t>08225</t>
  </si>
  <si>
    <t>08226</t>
  </si>
  <si>
    <t>08227</t>
  </si>
  <si>
    <t>08228</t>
  </si>
  <si>
    <t>Tabela 24 — Design (Aba 8)</t>
  </si>
  <si>
    <t>08231</t>
  </si>
  <si>
    <t>08232</t>
  </si>
  <si>
    <t>08233</t>
  </si>
  <si>
    <t>08234</t>
  </si>
  <si>
    <t>08235</t>
  </si>
  <si>
    <t>08236</t>
  </si>
  <si>
    <t>08237</t>
  </si>
  <si>
    <t>08238</t>
  </si>
  <si>
    <t>Tabela 25 — DevEx (Aba 8)</t>
  </si>
  <si>
    <t>08241</t>
  </si>
  <si>
    <t>08242</t>
  </si>
  <si>
    <t>08243</t>
  </si>
  <si>
    <t>08244</t>
  </si>
  <si>
    <t>08245</t>
  </si>
  <si>
    <t>08246</t>
  </si>
  <si>
    <t>08247</t>
  </si>
  <si>
    <t>08248</t>
  </si>
  <si>
    <t>Tabela 26 — Dados (Aba 8)</t>
  </si>
  <si>
    <t>08251</t>
  </si>
  <si>
    <t>08252</t>
  </si>
  <si>
    <t>08253</t>
  </si>
  <si>
    <t>08254</t>
  </si>
  <si>
    <t>08255</t>
  </si>
  <si>
    <t>08256</t>
  </si>
  <si>
    <t>08257</t>
  </si>
  <si>
    <t>08258</t>
  </si>
  <si>
    <t>Tabela 27 — Infra (Aba 8)</t>
  </si>
  <si>
    <t>08261</t>
  </si>
  <si>
    <t>08262</t>
  </si>
  <si>
    <t>08263</t>
  </si>
  <si>
    <t>08264</t>
  </si>
  <si>
    <t>08265</t>
  </si>
  <si>
    <t>08266</t>
  </si>
  <si>
    <t>08267</t>
  </si>
  <si>
    <t>08268</t>
  </si>
  <si>
    <t>Tabela 28 — Segurança (Aba 8)</t>
  </si>
  <si>
    <t>08271</t>
  </si>
  <si>
    <t>08272</t>
  </si>
  <si>
    <t>08273</t>
  </si>
  <si>
    <t>08274</t>
  </si>
  <si>
    <t>08275</t>
  </si>
  <si>
    <t>08276</t>
  </si>
  <si>
    <t>08277</t>
  </si>
  <si>
    <t>08278</t>
  </si>
  <si>
    <t>Tabela 29 — Engenharia (Aba 8)</t>
  </si>
  <si>
    <t>08281</t>
  </si>
  <si>
    <t>08282</t>
  </si>
  <si>
    <t>08283</t>
  </si>
  <si>
    <t>08284</t>
  </si>
  <si>
    <t>08285</t>
  </si>
  <si>
    <t>08286</t>
  </si>
  <si>
    <t>08287</t>
  </si>
  <si>
    <t>08288</t>
  </si>
  <si>
    <t>Tabela 30 — Produto (Aba 8)</t>
  </si>
  <si>
    <t>08291</t>
  </si>
  <si>
    <t>08292</t>
  </si>
  <si>
    <t>08293</t>
  </si>
  <si>
    <t>08294</t>
  </si>
  <si>
    <t>08295</t>
  </si>
  <si>
    <t>08296</t>
  </si>
  <si>
    <t>08297</t>
  </si>
  <si>
    <t>08298</t>
  </si>
  <si>
    <t>Planilha — Aba 7 | Relatório de Equipe</t>
  </si>
  <si>
    <t>Tabela 1 — Engenharia (Aba 7)</t>
  </si>
  <si>
    <t>07001</t>
  </si>
  <si>
    <t>07002</t>
  </si>
  <si>
    <t>07003</t>
  </si>
  <si>
    <t>07004</t>
  </si>
  <si>
    <t>07005</t>
  </si>
  <si>
    <t>07006</t>
  </si>
  <si>
    <t>07007</t>
  </si>
  <si>
    <t>07008</t>
  </si>
  <si>
    <t>Tabela 2 — Produto (Aba 7)</t>
  </si>
  <si>
    <t>07011</t>
  </si>
  <si>
    <t>07012</t>
  </si>
  <si>
    <t>07013</t>
  </si>
  <si>
    <t>07014</t>
  </si>
  <si>
    <t>07015</t>
  </si>
  <si>
    <t>07016</t>
  </si>
  <si>
    <t>07017</t>
  </si>
  <si>
    <t>07018</t>
  </si>
  <si>
    <t>Tabela 3 — Design (Aba 7)</t>
  </si>
  <si>
    <t>07021</t>
  </si>
  <si>
    <t>07022</t>
  </si>
  <si>
    <t>07023</t>
  </si>
  <si>
    <t>07024</t>
  </si>
  <si>
    <t>07025</t>
  </si>
  <si>
    <t>07026</t>
  </si>
  <si>
    <t>07027</t>
  </si>
  <si>
    <t>07028</t>
  </si>
  <si>
    <t>Tabela 4 — DevEx (Aba 7)</t>
  </si>
  <si>
    <t>07031</t>
  </si>
  <si>
    <t>07032</t>
  </si>
  <si>
    <t>07033</t>
  </si>
  <si>
    <t>07034</t>
  </si>
  <si>
    <t>07035</t>
  </si>
  <si>
    <t>07036</t>
  </si>
  <si>
    <t>07037</t>
  </si>
  <si>
    <t>07038</t>
  </si>
  <si>
    <t>Tabela 5 — Dados (Aba 7)</t>
  </si>
  <si>
    <t>07041</t>
  </si>
  <si>
    <t>07042</t>
  </si>
  <si>
    <t>07043</t>
  </si>
  <si>
    <t>07044</t>
  </si>
  <si>
    <t>07045</t>
  </si>
  <si>
    <t>07046</t>
  </si>
  <si>
    <t>07047</t>
  </si>
  <si>
    <t>07048</t>
  </si>
  <si>
    <t>Tabela 6 — Infra (Aba 7)</t>
  </si>
  <si>
    <t>07051</t>
  </si>
  <si>
    <t>07052</t>
  </si>
  <si>
    <t>07053</t>
  </si>
  <si>
    <t>07054</t>
  </si>
  <si>
    <t>07055</t>
  </si>
  <si>
    <t>07056</t>
  </si>
  <si>
    <t>07057</t>
  </si>
  <si>
    <t>07058</t>
  </si>
  <si>
    <t>Tabela 7 — Segurança (Aba 7)</t>
  </si>
  <si>
    <t>07061</t>
  </si>
  <si>
    <t>07062</t>
  </si>
  <si>
    <t>07063</t>
  </si>
  <si>
    <t>07064</t>
  </si>
  <si>
    <t>07065</t>
  </si>
  <si>
    <t>07066</t>
  </si>
  <si>
    <t>07067</t>
  </si>
  <si>
    <t>07068</t>
  </si>
  <si>
    <t>Tabela 8 — Engenharia (Aba 7)</t>
  </si>
  <si>
    <t>07071</t>
  </si>
  <si>
    <t>07072</t>
  </si>
  <si>
    <t>07073</t>
  </si>
  <si>
    <t>07074</t>
  </si>
  <si>
    <t>07075</t>
  </si>
  <si>
    <t>07076</t>
  </si>
  <si>
    <t>07077</t>
  </si>
  <si>
    <t>07078</t>
  </si>
  <si>
    <t>Tabela 9 — Produto (Aba 7)</t>
  </si>
  <si>
    <t>07081</t>
  </si>
  <si>
    <t>07082</t>
  </si>
  <si>
    <t>07083</t>
  </si>
  <si>
    <t>07084</t>
  </si>
  <si>
    <t>07085</t>
  </si>
  <si>
    <t>07086</t>
  </si>
  <si>
    <t>07087</t>
  </si>
  <si>
    <t>07088</t>
  </si>
  <si>
    <t>Tabela 10 — Design (Aba 7)</t>
  </si>
  <si>
    <t>07091</t>
  </si>
  <si>
    <t>07092</t>
  </si>
  <si>
    <t>07093</t>
  </si>
  <si>
    <t>07094</t>
  </si>
  <si>
    <t>07095</t>
  </si>
  <si>
    <t>07096</t>
  </si>
  <si>
    <t>07097</t>
  </si>
  <si>
    <t>07098</t>
  </si>
  <si>
    <t>Tabela 11 — DevEx (Aba 7)</t>
  </si>
  <si>
    <t>07101</t>
  </si>
  <si>
    <t>07102</t>
  </si>
  <si>
    <t>07103</t>
  </si>
  <si>
    <t>07104</t>
  </si>
  <si>
    <t>07105</t>
  </si>
  <si>
    <t>07106</t>
  </si>
  <si>
    <t>07107</t>
  </si>
  <si>
    <t>07108</t>
  </si>
  <si>
    <t>Tabela 12 — Dados (Aba 7)</t>
  </si>
  <si>
    <t>07111</t>
  </si>
  <si>
    <t>07112</t>
  </si>
  <si>
    <t>07113</t>
  </si>
  <si>
    <t>07114</t>
  </si>
  <si>
    <t>07115</t>
  </si>
  <si>
    <t>07116</t>
  </si>
  <si>
    <t>07117</t>
  </si>
  <si>
    <t>07118</t>
  </si>
  <si>
    <t>Tabela 13 — Infra (Aba 7)</t>
  </si>
  <si>
    <t>07121</t>
  </si>
  <si>
    <t>07122</t>
  </si>
  <si>
    <t>07123</t>
  </si>
  <si>
    <t>07124</t>
  </si>
  <si>
    <t>07125</t>
  </si>
  <si>
    <t>07126</t>
  </si>
  <si>
    <t>07127</t>
  </si>
  <si>
    <t>07128</t>
  </si>
  <si>
    <t>Tabela 14 — Segurança (Aba 7)</t>
  </si>
  <si>
    <t>07131</t>
  </si>
  <si>
    <t>07132</t>
  </si>
  <si>
    <t>07133</t>
  </si>
  <si>
    <t>07134</t>
  </si>
  <si>
    <t>07135</t>
  </si>
  <si>
    <t>07136</t>
  </si>
  <si>
    <t>07137</t>
  </si>
  <si>
    <t>07138</t>
  </si>
  <si>
    <t>Tabela 15 — Engenharia (Aba 7)</t>
  </si>
  <si>
    <t>07141</t>
  </si>
  <si>
    <t>07142</t>
  </si>
  <si>
    <t>07143</t>
  </si>
  <si>
    <t>07144</t>
  </si>
  <si>
    <t>07145</t>
  </si>
  <si>
    <t>07146</t>
  </si>
  <si>
    <t>07147</t>
  </si>
  <si>
    <t>07148</t>
  </si>
  <si>
    <t>Tabela 16 — Produto (Aba 7)</t>
  </si>
  <si>
    <t>07151</t>
  </si>
  <si>
    <t>07152</t>
  </si>
  <si>
    <t>07153</t>
  </si>
  <si>
    <t>07154</t>
  </si>
  <si>
    <t>07155</t>
  </si>
  <si>
    <t>07156</t>
  </si>
  <si>
    <t>07157</t>
  </si>
  <si>
    <t>07158</t>
  </si>
  <si>
    <t>Tabela 17 — Design (Aba 7)</t>
  </si>
  <si>
    <t>07161</t>
  </si>
  <si>
    <t>07162</t>
  </si>
  <si>
    <t>07163</t>
  </si>
  <si>
    <t>07164</t>
  </si>
  <si>
    <t>07165</t>
  </si>
  <si>
    <t>07166</t>
  </si>
  <si>
    <t>07167</t>
  </si>
  <si>
    <t>07168</t>
  </si>
  <si>
    <t>Tabela 18 — DevEx (Aba 7)</t>
  </si>
  <si>
    <t>07171</t>
  </si>
  <si>
    <t>07172</t>
  </si>
  <si>
    <t>07173</t>
  </si>
  <si>
    <t>07174</t>
  </si>
  <si>
    <t>07175</t>
  </si>
  <si>
    <t>07176</t>
  </si>
  <si>
    <t>07177</t>
  </si>
  <si>
    <t>07178</t>
  </si>
  <si>
    <t>Tabela 19 — Dados (Aba 7)</t>
  </si>
  <si>
    <t>07181</t>
  </si>
  <si>
    <t>07182</t>
  </si>
  <si>
    <t>07183</t>
  </si>
  <si>
    <t>07184</t>
  </si>
  <si>
    <t>07185</t>
  </si>
  <si>
    <t>07186</t>
  </si>
  <si>
    <t>07187</t>
  </si>
  <si>
    <t>07188</t>
  </si>
  <si>
    <t>Tabela 20 — Infra (Aba 7)</t>
  </si>
  <si>
    <t>07191</t>
  </si>
  <si>
    <t>07192</t>
  </si>
  <si>
    <t>07193</t>
  </si>
  <si>
    <t>07194</t>
  </si>
  <si>
    <t>07195</t>
  </si>
  <si>
    <t>07196</t>
  </si>
  <si>
    <t>07197</t>
  </si>
  <si>
    <t>07198</t>
  </si>
  <si>
    <t>Tabela 21 — Segurança (Aba 7)</t>
  </si>
  <si>
    <t>07201</t>
  </si>
  <si>
    <t>07202</t>
  </si>
  <si>
    <t>07203</t>
  </si>
  <si>
    <t>07204</t>
  </si>
  <si>
    <t>07205</t>
  </si>
  <si>
    <t>07206</t>
  </si>
  <si>
    <t>07207</t>
  </si>
  <si>
    <t>07208</t>
  </si>
  <si>
    <t>Tabela 22 — Engenharia (Aba 7)</t>
  </si>
  <si>
    <t>07211</t>
  </si>
  <si>
    <t>07212</t>
  </si>
  <si>
    <t>07213</t>
  </si>
  <si>
    <t>07214</t>
  </si>
  <si>
    <t>07215</t>
  </si>
  <si>
    <t>07216</t>
  </si>
  <si>
    <t>07217</t>
  </si>
  <si>
    <t>07218</t>
  </si>
  <si>
    <t>Tabela 23 — Produto (Aba 7)</t>
  </si>
  <si>
    <t>07221</t>
  </si>
  <si>
    <t>07222</t>
  </si>
  <si>
    <t>07223</t>
  </si>
  <si>
    <t>07224</t>
  </si>
  <si>
    <t>07225</t>
  </si>
  <si>
    <t>07226</t>
  </si>
  <si>
    <t>07227</t>
  </si>
  <si>
    <t>07228</t>
  </si>
  <si>
    <t>Tabela 24 — Design (Aba 7)</t>
  </si>
  <si>
    <t>07231</t>
  </si>
  <si>
    <t>07232</t>
  </si>
  <si>
    <t>07233</t>
  </si>
  <si>
    <t>07234</t>
  </si>
  <si>
    <t>07235</t>
  </si>
  <si>
    <t>07236</t>
  </si>
  <si>
    <t>07237</t>
  </si>
  <si>
    <t>07238</t>
  </si>
  <si>
    <t>Tabela 25 — DevEx (Aba 7)</t>
  </si>
  <si>
    <t>07241</t>
  </si>
  <si>
    <t>07242</t>
  </si>
  <si>
    <t>07243</t>
  </si>
  <si>
    <t>07244</t>
  </si>
  <si>
    <t>07245</t>
  </si>
  <si>
    <t>07246</t>
  </si>
  <si>
    <t>07247</t>
  </si>
  <si>
    <t>07248</t>
  </si>
  <si>
    <t>Tabela 26 — Dados (Aba 7)</t>
  </si>
  <si>
    <t>07251</t>
  </si>
  <si>
    <t>07252</t>
  </si>
  <si>
    <t>07253</t>
  </si>
  <si>
    <t>07254</t>
  </si>
  <si>
    <t>07255</t>
  </si>
  <si>
    <t>07256</t>
  </si>
  <si>
    <t>07257</t>
  </si>
  <si>
    <t>07258</t>
  </si>
  <si>
    <t>Tabela 27 — Infra (Aba 7)</t>
  </si>
  <si>
    <t>07261</t>
  </si>
  <si>
    <t>07262</t>
  </si>
  <si>
    <t>07263</t>
  </si>
  <si>
    <t>07264</t>
  </si>
  <si>
    <t>07265</t>
  </si>
  <si>
    <t>07266</t>
  </si>
  <si>
    <t>07267</t>
  </si>
  <si>
    <t>07268</t>
  </si>
  <si>
    <t>Tabela 28 — Segurança (Aba 7)</t>
  </si>
  <si>
    <t>07271</t>
  </si>
  <si>
    <t>07272</t>
  </si>
  <si>
    <t>07273</t>
  </si>
  <si>
    <t>07274</t>
  </si>
  <si>
    <t>07275</t>
  </si>
  <si>
    <t>07276</t>
  </si>
  <si>
    <t>07277</t>
  </si>
  <si>
    <t>07278</t>
  </si>
  <si>
    <t>Tabela 29 — Engenharia (Aba 7)</t>
  </si>
  <si>
    <t>07281</t>
  </si>
  <si>
    <t>07282</t>
  </si>
  <si>
    <t>07283</t>
  </si>
  <si>
    <t>07284</t>
  </si>
  <si>
    <t>07285</t>
  </si>
  <si>
    <t>07286</t>
  </si>
  <si>
    <t>07287</t>
  </si>
  <si>
    <t>07288</t>
  </si>
  <si>
    <t>Tabela 30 — Produto (Aba 7)</t>
  </si>
  <si>
    <t>07291</t>
  </si>
  <si>
    <t>07292</t>
  </si>
  <si>
    <t>07293</t>
  </si>
  <si>
    <t>07294</t>
  </si>
  <si>
    <t>07295</t>
  </si>
  <si>
    <t>07296</t>
  </si>
  <si>
    <t>07297</t>
  </si>
  <si>
    <t>07298</t>
  </si>
  <si>
    <t>Planilha — Aba 6 | Relatório de Equipe</t>
  </si>
  <si>
    <t>Tabela 1 — Engenharia (Aba 6)</t>
  </si>
  <si>
    <t>06001</t>
  </si>
  <si>
    <t>06002</t>
  </si>
  <si>
    <t>06003</t>
  </si>
  <si>
    <t>06004</t>
  </si>
  <si>
    <t>06005</t>
  </si>
  <si>
    <t>06006</t>
  </si>
  <si>
    <t>06007</t>
  </si>
  <si>
    <t>06008</t>
  </si>
  <si>
    <t>Tabela 2 — Produto (Aba 6)</t>
  </si>
  <si>
    <t>06011</t>
  </si>
  <si>
    <t>06012</t>
  </si>
  <si>
    <t>06013</t>
  </si>
  <si>
    <t>06014</t>
  </si>
  <si>
    <t>06015</t>
  </si>
  <si>
    <t>06016</t>
  </si>
  <si>
    <t>06017</t>
  </si>
  <si>
    <t>06018</t>
  </si>
  <si>
    <t>Tabela 3 — Design (Aba 6)</t>
  </si>
  <si>
    <t>06021</t>
  </si>
  <si>
    <t>06022</t>
  </si>
  <si>
    <t>06023</t>
  </si>
  <si>
    <t>06024</t>
  </si>
  <si>
    <t>06025</t>
  </si>
  <si>
    <t>06026</t>
  </si>
  <si>
    <t>06027</t>
  </si>
  <si>
    <t>06028</t>
  </si>
  <si>
    <t>Tabela 4 — DevEx (Aba 6)</t>
  </si>
  <si>
    <t>06031</t>
  </si>
  <si>
    <t>06032</t>
  </si>
  <si>
    <t>06033</t>
  </si>
  <si>
    <t>06034</t>
  </si>
  <si>
    <t>06035</t>
  </si>
  <si>
    <t>06036</t>
  </si>
  <si>
    <t>06037</t>
  </si>
  <si>
    <t>06038</t>
  </si>
  <si>
    <t>Tabela 5 — Dados (Aba 6)</t>
  </si>
  <si>
    <t>06041</t>
  </si>
  <si>
    <t>06042</t>
  </si>
  <si>
    <t>06043</t>
  </si>
  <si>
    <t>06044</t>
  </si>
  <si>
    <t>06045</t>
  </si>
  <si>
    <t>06046</t>
  </si>
  <si>
    <t>06047</t>
  </si>
  <si>
    <t>06048</t>
  </si>
  <si>
    <t>Tabela 6 — Infra (Aba 6)</t>
  </si>
  <si>
    <t>06051</t>
  </si>
  <si>
    <t>06052</t>
  </si>
  <si>
    <t>06053</t>
  </si>
  <si>
    <t>06054</t>
  </si>
  <si>
    <t>06055</t>
  </si>
  <si>
    <t>06056</t>
  </si>
  <si>
    <t>06057</t>
  </si>
  <si>
    <t>06058</t>
  </si>
  <si>
    <t>Tabela 7 — Segurança (Aba 6)</t>
  </si>
  <si>
    <t>06061</t>
  </si>
  <si>
    <t>06062</t>
  </si>
  <si>
    <t>06063</t>
  </si>
  <si>
    <t>06064</t>
  </si>
  <si>
    <t>06065</t>
  </si>
  <si>
    <t>06066</t>
  </si>
  <si>
    <t>06067</t>
  </si>
  <si>
    <t>06068</t>
  </si>
  <si>
    <t>Tabela 8 — Engenharia (Aba 6)</t>
  </si>
  <si>
    <t>06071</t>
  </si>
  <si>
    <t>06072</t>
  </si>
  <si>
    <t>06073</t>
  </si>
  <si>
    <t>06074</t>
  </si>
  <si>
    <t>06075</t>
  </si>
  <si>
    <t>06076</t>
  </si>
  <si>
    <t>06077</t>
  </si>
  <si>
    <t>06078</t>
  </si>
  <si>
    <t>Tabela 9 — Produto (Aba 6)</t>
  </si>
  <si>
    <t>06081</t>
  </si>
  <si>
    <t>06082</t>
  </si>
  <si>
    <t>06083</t>
  </si>
  <si>
    <t>06084</t>
  </si>
  <si>
    <t>06085</t>
  </si>
  <si>
    <t>06086</t>
  </si>
  <si>
    <t>06087</t>
  </si>
  <si>
    <t>06088</t>
  </si>
  <si>
    <t>Tabela 10 — Design (Aba 6)</t>
  </si>
  <si>
    <t>06091</t>
  </si>
  <si>
    <t>06092</t>
  </si>
  <si>
    <t>06093</t>
  </si>
  <si>
    <t>06094</t>
  </si>
  <si>
    <t>06095</t>
  </si>
  <si>
    <t>06096</t>
  </si>
  <si>
    <t>06097</t>
  </si>
  <si>
    <t>06098</t>
  </si>
  <si>
    <t>Tabela 11 — DevEx (Aba 6)</t>
  </si>
  <si>
    <t>06101</t>
  </si>
  <si>
    <t>06102</t>
  </si>
  <si>
    <t>06103</t>
  </si>
  <si>
    <t>06104</t>
  </si>
  <si>
    <t>06105</t>
  </si>
  <si>
    <t>06106</t>
  </si>
  <si>
    <t>06107</t>
  </si>
  <si>
    <t>06108</t>
  </si>
  <si>
    <t>Tabela 12 — Dados (Aba 6)</t>
  </si>
  <si>
    <t>06111</t>
  </si>
  <si>
    <t>06112</t>
  </si>
  <si>
    <t>06113</t>
  </si>
  <si>
    <t>06114</t>
  </si>
  <si>
    <t>06115</t>
  </si>
  <si>
    <t>06116</t>
  </si>
  <si>
    <t>06117</t>
  </si>
  <si>
    <t>06118</t>
  </si>
  <si>
    <t>Tabela 13 — Infra (Aba 6)</t>
  </si>
  <si>
    <t>06121</t>
  </si>
  <si>
    <t>06122</t>
  </si>
  <si>
    <t>06123</t>
  </si>
  <si>
    <t>06124</t>
  </si>
  <si>
    <t>06125</t>
  </si>
  <si>
    <t>06126</t>
  </si>
  <si>
    <t>06127</t>
  </si>
  <si>
    <t>06128</t>
  </si>
  <si>
    <t>Tabela 14 — Segurança (Aba 6)</t>
  </si>
  <si>
    <t>06131</t>
  </si>
  <si>
    <t>06132</t>
  </si>
  <si>
    <t>06133</t>
  </si>
  <si>
    <t>06134</t>
  </si>
  <si>
    <t>06135</t>
  </si>
  <si>
    <t>06136</t>
  </si>
  <si>
    <t>06137</t>
  </si>
  <si>
    <t>06138</t>
  </si>
  <si>
    <t>Tabela 15 — Engenharia (Aba 6)</t>
  </si>
  <si>
    <t>06141</t>
  </si>
  <si>
    <t>06142</t>
  </si>
  <si>
    <t>06143</t>
  </si>
  <si>
    <t>06144</t>
  </si>
  <si>
    <t>06145</t>
  </si>
  <si>
    <t>06146</t>
  </si>
  <si>
    <t>06147</t>
  </si>
  <si>
    <t>06148</t>
  </si>
  <si>
    <t>Tabela 16 — Produto (Aba 6)</t>
  </si>
  <si>
    <t>06151</t>
  </si>
  <si>
    <t>06152</t>
  </si>
  <si>
    <t>06153</t>
  </si>
  <si>
    <t>06154</t>
  </si>
  <si>
    <t>06155</t>
  </si>
  <si>
    <t>06156</t>
  </si>
  <si>
    <t>06157</t>
  </si>
  <si>
    <t>06158</t>
  </si>
  <si>
    <t>Tabela 17 — Design (Aba 6)</t>
  </si>
  <si>
    <t>06161</t>
  </si>
  <si>
    <t>06162</t>
  </si>
  <si>
    <t>06163</t>
  </si>
  <si>
    <t>06164</t>
  </si>
  <si>
    <t>06165</t>
  </si>
  <si>
    <t>06166</t>
  </si>
  <si>
    <t>06167</t>
  </si>
  <si>
    <t>06168</t>
  </si>
  <si>
    <t>Tabela 18 — DevEx (Aba 6)</t>
  </si>
  <si>
    <t>06171</t>
  </si>
  <si>
    <t>06172</t>
  </si>
  <si>
    <t>06173</t>
  </si>
  <si>
    <t>06174</t>
  </si>
  <si>
    <t>06175</t>
  </si>
  <si>
    <t>06176</t>
  </si>
  <si>
    <t>06177</t>
  </si>
  <si>
    <t>06178</t>
  </si>
  <si>
    <t>Tabela 19 — Dados (Aba 6)</t>
  </si>
  <si>
    <t>06181</t>
  </si>
  <si>
    <t>06182</t>
  </si>
  <si>
    <t>06183</t>
  </si>
  <si>
    <t>06184</t>
  </si>
  <si>
    <t>06185</t>
  </si>
  <si>
    <t>06186</t>
  </si>
  <si>
    <t>06187</t>
  </si>
  <si>
    <t>06188</t>
  </si>
  <si>
    <t>Tabela 20 — Infra (Aba 6)</t>
  </si>
  <si>
    <t>06191</t>
  </si>
  <si>
    <t>06192</t>
  </si>
  <si>
    <t>06193</t>
  </si>
  <si>
    <t>06194</t>
  </si>
  <si>
    <t>06195</t>
  </si>
  <si>
    <t>06196</t>
  </si>
  <si>
    <t>06197</t>
  </si>
  <si>
    <t>06198</t>
  </si>
  <si>
    <t>Tabela 21 — Segurança (Aba 6)</t>
  </si>
  <si>
    <t>06201</t>
  </si>
  <si>
    <t>06202</t>
  </si>
  <si>
    <t>06203</t>
  </si>
  <si>
    <t>06204</t>
  </si>
  <si>
    <t>06205</t>
  </si>
  <si>
    <t>06206</t>
  </si>
  <si>
    <t>06207</t>
  </si>
  <si>
    <t>06208</t>
  </si>
  <si>
    <t>Tabela 22 — Engenharia (Aba 6)</t>
  </si>
  <si>
    <t>06211</t>
  </si>
  <si>
    <t>06212</t>
  </si>
  <si>
    <t>06213</t>
  </si>
  <si>
    <t>06214</t>
  </si>
  <si>
    <t>06215</t>
  </si>
  <si>
    <t>06216</t>
  </si>
  <si>
    <t>06217</t>
  </si>
  <si>
    <t>06218</t>
  </si>
  <si>
    <t>Tabela 23 — Produto (Aba 6)</t>
  </si>
  <si>
    <t>06221</t>
  </si>
  <si>
    <t>06222</t>
  </si>
  <si>
    <t>06223</t>
  </si>
  <si>
    <t>06224</t>
  </si>
  <si>
    <t>06225</t>
  </si>
  <si>
    <t>06226</t>
  </si>
  <si>
    <t>06227</t>
  </si>
  <si>
    <t>06228</t>
  </si>
  <si>
    <t>Tabela 24 — Design (Aba 6)</t>
  </si>
  <si>
    <t>06231</t>
  </si>
  <si>
    <t>06232</t>
  </si>
  <si>
    <t>06233</t>
  </si>
  <si>
    <t>06234</t>
  </si>
  <si>
    <t>06235</t>
  </si>
  <si>
    <t>06236</t>
  </si>
  <si>
    <t>06237</t>
  </si>
  <si>
    <t>06238</t>
  </si>
  <si>
    <t>Tabela 25 — DevEx (Aba 6)</t>
  </si>
  <si>
    <t>06241</t>
  </si>
  <si>
    <t>06242</t>
  </si>
  <si>
    <t>06243</t>
  </si>
  <si>
    <t>06244</t>
  </si>
  <si>
    <t>06245</t>
  </si>
  <si>
    <t>06246</t>
  </si>
  <si>
    <t>06247</t>
  </si>
  <si>
    <t>06248</t>
  </si>
  <si>
    <t>Tabela 26 — Dados (Aba 6)</t>
  </si>
  <si>
    <t>06251</t>
  </si>
  <si>
    <t>06252</t>
  </si>
  <si>
    <t>06253</t>
  </si>
  <si>
    <t>06254</t>
  </si>
  <si>
    <t>06255</t>
  </si>
  <si>
    <t>06256</t>
  </si>
  <si>
    <t>06257</t>
  </si>
  <si>
    <t>06258</t>
  </si>
  <si>
    <t>Tabela 27 — Infra (Aba 6)</t>
  </si>
  <si>
    <t>06261</t>
  </si>
  <si>
    <t>06262</t>
  </si>
  <si>
    <t>06263</t>
  </si>
  <si>
    <t>06264</t>
  </si>
  <si>
    <t>06265</t>
  </si>
  <si>
    <t>06266</t>
  </si>
  <si>
    <t>06267</t>
  </si>
  <si>
    <t>06268</t>
  </si>
  <si>
    <t>Tabela 28 — Segurança (Aba 6)</t>
  </si>
  <si>
    <t>06271</t>
  </si>
  <si>
    <t>06272</t>
  </si>
  <si>
    <t>06273</t>
  </si>
  <si>
    <t>06274</t>
  </si>
  <si>
    <t>06275</t>
  </si>
  <si>
    <t>06276</t>
  </si>
  <si>
    <t>06277</t>
  </si>
  <si>
    <t>06278</t>
  </si>
  <si>
    <t>Tabela 29 — Engenharia (Aba 6)</t>
  </si>
  <si>
    <t>06281</t>
  </si>
  <si>
    <t>06282</t>
  </si>
  <si>
    <t>06283</t>
  </si>
  <si>
    <t>06284</t>
  </si>
  <si>
    <t>06285</t>
  </si>
  <si>
    <t>06286</t>
  </si>
  <si>
    <t>06287</t>
  </si>
  <si>
    <t>06288</t>
  </si>
  <si>
    <t>Tabela 30 — Produto (Aba 6)</t>
  </si>
  <si>
    <t>06291</t>
  </si>
  <si>
    <t>06292</t>
  </si>
  <si>
    <t>06293</t>
  </si>
  <si>
    <t>06294</t>
  </si>
  <si>
    <t>06295</t>
  </si>
  <si>
    <t>06296</t>
  </si>
  <si>
    <t>06297</t>
  </si>
  <si>
    <t>06298</t>
  </si>
  <si>
    <t>Planilha — Aba 5 | Relatório de Equipe</t>
  </si>
  <si>
    <t>Tabela 1 — Engenharia (Aba 5)</t>
  </si>
  <si>
    <t>05001</t>
  </si>
  <si>
    <t>05002</t>
  </si>
  <si>
    <t>05003</t>
  </si>
  <si>
    <t>05004</t>
  </si>
  <si>
    <t>05005</t>
  </si>
  <si>
    <t>05006</t>
  </si>
  <si>
    <t>05007</t>
  </si>
  <si>
    <t>05008</t>
  </si>
  <si>
    <t>Tabela 2 — Produto (Aba 5)</t>
  </si>
  <si>
    <t>05011</t>
  </si>
  <si>
    <t>05012</t>
  </si>
  <si>
    <t>05013</t>
  </si>
  <si>
    <t>05014</t>
  </si>
  <si>
    <t>05015</t>
  </si>
  <si>
    <t>05016</t>
  </si>
  <si>
    <t>05017</t>
  </si>
  <si>
    <t>05018</t>
  </si>
  <si>
    <t>Tabela 3 — Design (Aba 5)</t>
  </si>
  <si>
    <t>05021</t>
  </si>
  <si>
    <t>05022</t>
  </si>
  <si>
    <t>05023</t>
  </si>
  <si>
    <t>05024</t>
  </si>
  <si>
    <t>05025</t>
  </si>
  <si>
    <t>05026</t>
  </si>
  <si>
    <t>05027</t>
  </si>
  <si>
    <t>05028</t>
  </si>
  <si>
    <t>Tabela 4 — DevEx (Aba 5)</t>
  </si>
  <si>
    <t>05031</t>
  </si>
  <si>
    <t>05032</t>
  </si>
  <si>
    <t>05033</t>
  </si>
  <si>
    <t>05034</t>
  </si>
  <si>
    <t>05035</t>
  </si>
  <si>
    <t>05036</t>
  </si>
  <si>
    <t>05037</t>
  </si>
  <si>
    <t>05038</t>
  </si>
  <si>
    <t>Tabela 5 — Dados (Aba 5)</t>
  </si>
  <si>
    <t>05041</t>
  </si>
  <si>
    <t>05042</t>
  </si>
  <si>
    <t>05043</t>
  </si>
  <si>
    <t>05044</t>
  </si>
  <si>
    <t>05045</t>
  </si>
  <si>
    <t>05046</t>
  </si>
  <si>
    <t>05047</t>
  </si>
  <si>
    <t>05048</t>
  </si>
  <si>
    <t>Tabela 6 — Infra (Aba 5)</t>
  </si>
  <si>
    <t>05051</t>
  </si>
  <si>
    <t>05052</t>
  </si>
  <si>
    <t>05053</t>
  </si>
  <si>
    <t>05054</t>
  </si>
  <si>
    <t>05055</t>
  </si>
  <si>
    <t>05056</t>
  </si>
  <si>
    <t>05057</t>
  </si>
  <si>
    <t>05058</t>
  </si>
  <si>
    <t>Tabela 7 — Segurança (Aba 5)</t>
  </si>
  <si>
    <t>05061</t>
  </si>
  <si>
    <t>05062</t>
  </si>
  <si>
    <t>05063</t>
  </si>
  <si>
    <t>05064</t>
  </si>
  <si>
    <t>05065</t>
  </si>
  <si>
    <t>05066</t>
  </si>
  <si>
    <t>05067</t>
  </si>
  <si>
    <t>05068</t>
  </si>
  <si>
    <t>Tabela 8 — Engenharia (Aba 5)</t>
  </si>
  <si>
    <t>05071</t>
  </si>
  <si>
    <t>05072</t>
  </si>
  <si>
    <t>05073</t>
  </si>
  <si>
    <t>05074</t>
  </si>
  <si>
    <t>05075</t>
  </si>
  <si>
    <t>05076</t>
  </si>
  <si>
    <t>05077</t>
  </si>
  <si>
    <t>05078</t>
  </si>
  <si>
    <t>Tabela 9 — Produto (Aba 5)</t>
  </si>
  <si>
    <t>05081</t>
  </si>
  <si>
    <t>05082</t>
  </si>
  <si>
    <t>05083</t>
  </si>
  <si>
    <t>05084</t>
  </si>
  <si>
    <t>05085</t>
  </si>
  <si>
    <t>05086</t>
  </si>
  <si>
    <t>05087</t>
  </si>
  <si>
    <t>05088</t>
  </si>
  <si>
    <t>Tabela 10 — Design (Aba 5)</t>
  </si>
  <si>
    <t>05091</t>
  </si>
  <si>
    <t>05092</t>
  </si>
  <si>
    <t>05093</t>
  </si>
  <si>
    <t>05094</t>
  </si>
  <si>
    <t>05095</t>
  </si>
  <si>
    <t>05096</t>
  </si>
  <si>
    <t>05097</t>
  </si>
  <si>
    <t>05098</t>
  </si>
  <si>
    <t>Tabela 11 — DevEx (Aba 5)</t>
  </si>
  <si>
    <t>05101</t>
  </si>
  <si>
    <t>05102</t>
  </si>
  <si>
    <t>05103</t>
  </si>
  <si>
    <t>05104</t>
  </si>
  <si>
    <t>05105</t>
  </si>
  <si>
    <t>05106</t>
  </si>
  <si>
    <t>05107</t>
  </si>
  <si>
    <t>05108</t>
  </si>
  <si>
    <t>Tabela 12 — Dados (Aba 5)</t>
  </si>
  <si>
    <t>05111</t>
  </si>
  <si>
    <t>05112</t>
  </si>
  <si>
    <t>05113</t>
  </si>
  <si>
    <t>05114</t>
  </si>
  <si>
    <t>05115</t>
  </si>
  <si>
    <t>05116</t>
  </si>
  <si>
    <t>05117</t>
  </si>
  <si>
    <t>05118</t>
  </si>
  <si>
    <t>Tabela 13 — Infra (Aba 5)</t>
  </si>
  <si>
    <t>05121</t>
  </si>
  <si>
    <t>05122</t>
  </si>
  <si>
    <t>05123</t>
  </si>
  <si>
    <t>05124</t>
  </si>
  <si>
    <t>05125</t>
  </si>
  <si>
    <t>05126</t>
  </si>
  <si>
    <t>05127</t>
  </si>
  <si>
    <t>05128</t>
  </si>
  <si>
    <t>Tabela 14 — Segurança (Aba 5)</t>
  </si>
  <si>
    <t>05131</t>
  </si>
  <si>
    <t>05132</t>
  </si>
  <si>
    <t>05133</t>
  </si>
  <si>
    <t>05134</t>
  </si>
  <si>
    <t>05135</t>
  </si>
  <si>
    <t>05136</t>
  </si>
  <si>
    <t>05137</t>
  </si>
  <si>
    <t>05138</t>
  </si>
  <si>
    <t>Tabela 15 — Engenharia (Aba 5)</t>
  </si>
  <si>
    <t>05141</t>
  </si>
  <si>
    <t>05142</t>
  </si>
  <si>
    <t>05143</t>
  </si>
  <si>
    <t>05144</t>
  </si>
  <si>
    <t>05145</t>
  </si>
  <si>
    <t>05146</t>
  </si>
  <si>
    <t>05147</t>
  </si>
  <si>
    <t>05148</t>
  </si>
  <si>
    <t>Tabela 16 — Produto (Aba 5)</t>
  </si>
  <si>
    <t>05151</t>
  </si>
  <si>
    <t>05152</t>
  </si>
  <si>
    <t>05153</t>
  </si>
  <si>
    <t>05154</t>
  </si>
  <si>
    <t>05155</t>
  </si>
  <si>
    <t>05156</t>
  </si>
  <si>
    <t>05157</t>
  </si>
  <si>
    <t>05158</t>
  </si>
  <si>
    <t>Tabela 17 — Design (Aba 5)</t>
  </si>
  <si>
    <t>05161</t>
  </si>
  <si>
    <t>05162</t>
  </si>
  <si>
    <t>05163</t>
  </si>
  <si>
    <t>05164</t>
  </si>
  <si>
    <t>05165</t>
  </si>
  <si>
    <t>05166</t>
  </si>
  <si>
    <t>05167</t>
  </si>
  <si>
    <t>05168</t>
  </si>
  <si>
    <t>Tabela 18 — DevEx (Aba 5)</t>
  </si>
  <si>
    <t>05171</t>
  </si>
  <si>
    <t>05172</t>
  </si>
  <si>
    <t>05173</t>
  </si>
  <si>
    <t>05174</t>
  </si>
  <si>
    <t>05175</t>
  </si>
  <si>
    <t>05176</t>
  </si>
  <si>
    <t>05177</t>
  </si>
  <si>
    <t>05178</t>
  </si>
  <si>
    <t>Tabela 19 — Dados (Aba 5)</t>
  </si>
  <si>
    <t>05181</t>
  </si>
  <si>
    <t>05182</t>
  </si>
  <si>
    <t>05183</t>
  </si>
  <si>
    <t>05184</t>
  </si>
  <si>
    <t>05185</t>
  </si>
  <si>
    <t>05186</t>
  </si>
  <si>
    <t>05187</t>
  </si>
  <si>
    <t>05188</t>
  </si>
  <si>
    <t>Tabela 20 — Infra (Aba 5)</t>
  </si>
  <si>
    <t>05191</t>
  </si>
  <si>
    <t>05192</t>
  </si>
  <si>
    <t>05193</t>
  </si>
  <si>
    <t>05194</t>
  </si>
  <si>
    <t>05195</t>
  </si>
  <si>
    <t>05196</t>
  </si>
  <si>
    <t>05197</t>
  </si>
  <si>
    <t>05198</t>
  </si>
  <si>
    <t>Tabela 21 — Segurança (Aba 5)</t>
  </si>
  <si>
    <t>05201</t>
  </si>
  <si>
    <t>05202</t>
  </si>
  <si>
    <t>05203</t>
  </si>
  <si>
    <t>05204</t>
  </si>
  <si>
    <t>05205</t>
  </si>
  <si>
    <t>05206</t>
  </si>
  <si>
    <t>05207</t>
  </si>
  <si>
    <t>05208</t>
  </si>
  <si>
    <t>Tabela 22 — Engenharia (Aba 5)</t>
  </si>
  <si>
    <t>05211</t>
  </si>
  <si>
    <t>05212</t>
  </si>
  <si>
    <t>05213</t>
  </si>
  <si>
    <t>05214</t>
  </si>
  <si>
    <t>05215</t>
  </si>
  <si>
    <t>05216</t>
  </si>
  <si>
    <t>05217</t>
  </si>
  <si>
    <t>05218</t>
  </si>
  <si>
    <t>Tabela 23 — Produto (Aba 5)</t>
  </si>
  <si>
    <t>05221</t>
  </si>
  <si>
    <t>05222</t>
  </si>
  <si>
    <t>05223</t>
  </si>
  <si>
    <t>05224</t>
  </si>
  <si>
    <t>05225</t>
  </si>
  <si>
    <t>05226</t>
  </si>
  <si>
    <t>05227</t>
  </si>
  <si>
    <t>05228</t>
  </si>
  <si>
    <t>Tabela 24 — Design (Aba 5)</t>
  </si>
  <si>
    <t>05231</t>
  </si>
  <si>
    <t>05232</t>
  </si>
  <si>
    <t>05233</t>
  </si>
  <si>
    <t>05234</t>
  </si>
  <si>
    <t>05235</t>
  </si>
  <si>
    <t>05236</t>
  </si>
  <si>
    <t>05237</t>
  </si>
  <si>
    <t>05238</t>
  </si>
  <si>
    <t>Tabela 25 — DevEx (Aba 5)</t>
  </si>
  <si>
    <t>05241</t>
  </si>
  <si>
    <t>05242</t>
  </si>
  <si>
    <t>05243</t>
  </si>
  <si>
    <t>05244</t>
  </si>
  <si>
    <t>05245</t>
  </si>
  <si>
    <t>05246</t>
  </si>
  <si>
    <t>05247</t>
  </si>
  <si>
    <t>05248</t>
  </si>
  <si>
    <t>Tabela 26 — Dados (Aba 5)</t>
  </si>
  <si>
    <t>05251</t>
  </si>
  <si>
    <t>05252</t>
  </si>
  <si>
    <t>05253</t>
  </si>
  <si>
    <t>05254</t>
  </si>
  <si>
    <t>05255</t>
  </si>
  <si>
    <t>05256</t>
  </si>
  <si>
    <t>05257</t>
  </si>
  <si>
    <t>05258</t>
  </si>
  <si>
    <t>Tabela 27 — Infra (Aba 5)</t>
  </si>
  <si>
    <t>05261</t>
  </si>
  <si>
    <t>05262</t>
  </si>
  <si>
    <t>05263</t>
  </si>
  <si>
    <t>05264</t>
  </si>
  <si>
    <t>05265</t>
  </si>
  <si>
    <t>05266</t>
  </si>
  <si>
    <t>05267</t>
  </si>
  <si>
    <t>05268</t>
  </si>
  <si>
    <t>Tabela 28 — Segurança (Aba 5)</t>
  </si>
  <si>
    <t>05271</t>
  </si>
  <si>
    <t>05272</t>
  </si>
  <si>
    <t>05273</t>
  </si>
  <si>
    <t>05274</t>
  </si>
  <si>
    <t>05275</t>
  </si>
  <si>
    <t>05276</t>
  </si>
  <si>
    <t>05277</t>
  </si>
  <si>
    <t>05278</t>
  </si>
  <si>
    <t>Tabela 29 — Engenharia (Aba 5)</t>
  </si>
  <si>
    <t>05281</t>
  </si>
  <si>
    <t>05282</t>
  </si>
  <si>
    <t>05283</t>
  </si>
  <si>
    <t>05284</t>
  </si>
  <si>
    <t>05285</t>
  </si>
  <si>
    <t>05286</t>
  </si>
  <si>
    <t>05287</t>
  </si>
  <si>
    <t>05288</t>
  </si>
  <si>
    <t>Tabela 30 — Produto (Aba 5)</t>
  </si>
  <si>
    <t>05291</t>
  </si>
  <si>
    <t>05292</t>
  </si>
  <si>
    <t>05293</t>
  </si>
  <si>
    <t>05294</t>
  </si>
  <si>
    <t>05295</t>
  </si>
  <si>
    <t>05296</t>
  </si>
  <si>
    <t>05297</t>
  </si>
  <si>
    <t>05298</t>
  </si>
  <si>
    <t>Planilha — Aba 4 | Relatório de Equipe</t>
  </si>
  <si>
    <t>Tabela 1 — Engenharia (Aba 4)</t>
  </si>
  <si>
    <t>04001</t>
  </si>
  <si>
    <t>04002</t>
  </si>
  <si>
    <t>04003</t>
  </si>
  <si>
    <t>04004</t>
  </si>
  <si>
    <t>04005</t>
  </si>
  <si>
    <t>04006</t>
  </si>
  <si>
    <t>04007</t>
  </si>
  <si>
    <t>04008</t>
  </si>
  <si>
    <t>Tabela 2 — Produto (Aba 4)</t>
  </si>
  <si>
    <t>04011</t>
  </si>
  <si>
    <t>04012</t>
  </si>
  <si>
    <t>04013</t>
  </si>
  <si>
    <t>04014</t>
  </si>
  <si>
    <t>04015</t>
  </si>
  <si>
    <t>04016</t>
  </si>
  <si>
    <t>04017</t>
  </si>
  <si>
    <t>04018</t>
  </si>
  <si>
    <t>Tabela 3 — Design (Aba 4)</t>
  </si>
  <si>
    <t>04021</t>
  </si>
  <si>
    <t>04022</t>
  </si>
  <si>
    <t>04023</t>
  </si>
  <si>
    <t>04024</t>
  </si>
  <si>
    <t>04025</t>
  </si>
  <si>
    <t>04026</t>
  </si>
  <si>
    <t>04027</t>
  </si>
  <si>
    <t>04028</t>
  </si>
  <si>
    <t>Tabela 4 — DevEx (Aba 4)</t>
  </si>
  <si>
    <t>04031</t>
  </si>
  <si>
    <t>04032</t>
  </si>
  <si>
    <t>04033</t>
  </si>
  <si>
    <t>04034</t>
  </si>
  <si>
    <t>04035</t>
  </si>
  <si>
    <t>04036</t>
  </si>
  <si>
    <t>04037</t>
  </si>
  <si>
    <t>04038</t>
  </si>
  <si>
    <t>Tabela 5 — Dados (Aba 4)</t>
  </si>
  <si>
    <t>04041</t>
  </si>
  <si>
    <t>04042</t>
  </si>
  <si>
    <t>04043</t>
  </si>
  <si>
    <t>04044</t>
  </si>
  <si>
    <t>04045</t>
  </si>
  <si>
    <t>04046</t>
  </si>
  <si>
    <t>04047</t>
  </si>
  <si>
    <t>04048</t>
  </si>
  <si>
    <t>Tabela 6 — Infra (Aba 4)</t>
  </si>
  <si>
    <t>04051</t>
  </si>
  <si>
    <t>04052</t>
  </si>
  <si>
    <t>04053</t>
  </si>
  <si>
    <t>04054</t>
  </si>
  <si>
    <t>04055</t>
  </si>
  <si>
    <t>04056</t>
  </si>
  <si>
    <t>04057</t>
  </si>
  <si>
    <t>04058</t>
  </si>
  <si>
    <t>Tabela 7 — Segurança (Aba 4)</t>
  </si>
  <si>
    <t>04061</t>
  </si>
  <si>
    <t>04062</t>
  </si>
  <si>
    <t>04063</t>
  </si>
  <si>
    <t>04064</t>
  </si>
  <si>
    <t>04065</t>
  </si>
  <si>
    <t>04066</t>
  </si>
  <si>
    <t>04067</t>
  </si>
  <si>
    <t>04068</t>
  </si>
  <si>
    <t>Tabela 8 — Engenharia (Aba 4)</t>
  </si>
  <si>
    <t>04071</t>
  </si>
  <si>
    <t>04072</t>
  </si>
  <si>
    <t>04073</t>
  </si>
  <si>
    <t>04074</t>
  </si>
  <si>
    <t>04075</t>
  </si>
  <si>
    <t>04076</t>
  </si>
  <si>
    <t>04077</t>
  </si>
  <si>
    <t>04078</t>
  </si>
  <si>
    <t>Tabela 9 — Produto (Aba 4)</t>
  </si>
  <si>
    <t>04081</t>
  </si>
  <si>
    <t>04082</t>
  </si>
  <si>
    <t>04083</t>
  </si>
  <si>
    <t>04084</t>
  </si>
  <si>
    <t>04085</t>
  </si>
  <si>
    <t>04086</t>
  </si>
  <si>
    <t>04087</t>
  </si>
  <si>
    <t>04088</t>
  </si>
  <si>
    <t>Tabela 10 — Design (Aba 4)</t>
  </si>
  <si>
    <t>04091</t>
  </si>
  <si>
    <t>04092</t>
  </si>
  <si>
    <t>04093</t>
  </si>
  <si>
    <t>04094</t>
  </si>
  <si>
    <t>04095</t>
  </si>
  <si>
    <t>04096</t>
  </si>
  <si>
    <t>04097</t>
  </si>
  <si>
    <t>04098</t>
  </si>
  <si>
    <t>Tabela 11 — DevEx (Aba 4)</t>
  </si>
  <si>
    <t>04101</t>
  </si>
  <si>
    <t>04102</t>
  </si>
  <si>
    <t>04103</t>
  </si>
  <si>
    <t>04104</t>
  </si>
  <si>
    <t>04105</t>
  </si>
  <si>
    <t>04106</t>
  </si>
  <si>
    <t>04107</t>
  </si>
  <si>
    <t>04108</t>
  </si>
  <si>
    <t>Tabela 12 — Dados (Aba 4)</t>
  </si>
  <si>
    <t>04111</t>
  </si>
  <si>
    <t>04112</t>
  </si>
  <si>
    <t>04113</t>
  </si>
  <si>
    <t>04114</t>
  </si>
  <si>
    <t>04115</t>
  </si>
  <si>
    <t>04116</t>
  </si>
  <si>
    <t>04117</t>
  </si>
  <si>
    <t>04118</t>
  </si>
  <si>
    <t>Tabela 13 — Infra (Aba 4)</t>
  </si>
  <si>
    <t>04121</t>
  </si>
  <si>
    <t>04122</t>
  </si>
  <si>
    <t>04123</t>
  </si>
  <si>
    <t>04124</t>
  </si>
  <si>
    <t>04125</t>
  </si>
  <si>
    <t>04126</t>
  </si>
  <si>
    <t>04127</t>
  </si>
  <si>
    <t>04128</t>
  </si>
  <si>
    <t>Tabela 14 — Segurança (Aba 4)</t>
  </si>
  <si>
    <t>04131</t>
  </si>
  <si>
    <t>04132</t>
  </si>
  <si>
    <t>04133</t>
  </si>
  <si>
    <t>04134</t>
  </si>
  <si>
    <t>04135</t>
  </si>
  <si>
    <t>04136</t>
  </si>
  <si>
    <t>04137</t>
  </si>
  <si>
    <t>04138</t>
  </si>
  <si>
    <t>Tabela 15 — Engenharia (Aba 4)</t>
  </si>
  <si>
    <t>04141</t>
  </si>
  <si>
    <t>04142</t>
  </si>
  <si>
    <t>04143</t>
  </si>
  <si>
    <t>04144</t>
  </si>
  <si>
    <t>04145</t>
  </si>
  <si>
    <t>04146</t>
  </si>
  <si>
    <t>04147</t>
  </si>
  <si>
    <t>04148</t>
  </si>
  <si>
    <t>Tabela 16 — Produto (Aba 4)</t>
  </si>
  <si>
    <t>04151</t>
  </si>
  <si>
    <t>04152</t>
  </si>
  <si>
    <t>04153</t>
  </si>
  <si>
    <t>04154</t>
  </si>
  <si>
    <t>04155</t>
  </si>
  <si>
    <t>04156</t>
  </si>
  <si>
    <t>04157</t>
  </si>
  <si>
    <t>04158</t>
  </si>
  <si>
    <t>Tabela 17 — Design (Aba 4)</t>
  </si>
  <si>
    <t>04161</t>
  </si>
  <si>
    <t>04162</t>
  </si>
  <si>
    <t>04163</t>
  </si>
  <si>
    <t>04164</t>
  </si>
  <si>
    <t>04165</t>
  </si>
  <si>
    <t>04166</t>
  </si>
  <si>
    <t>04167</t>
  </si>
  <si>
    <t>04168</t>
  </si>
  <si>
    <t>Tabela 18 — DevEx (Aba 4)</t>
  </si>
  <si>
    <t>04171</t>
  </si>
  <si>
    <t>04172</t>
  </si>
  <si>
    <t>04173</t>
  </si>
  <si>
    <t>04174</t>
  </si>
  <si>
    <t>04175</t>
  </si>
  <si>
    <t>04176</t>
  </si>
  <si>
    <t>04177</t>
  </si>
  <si>
    <t>04178</t>
  </si>
  <si>
    <t>Tabela 19 — Dados (Aba 4)</t>
  </si>
  <si>
    <t>04181</t>
  </si>
  <si>
    <t>04182</t>
  </si>
  <si>
    <t>04183</t>
  </si>
  <si>
    <t>04184</t>
  </si>
  <si>
    <t>04185</t>
  </si>
  <si>
    <t>04186</t>
  </si>
  <si>
    <t>04187</t>
  </si>
  <si>
    <t>04188</t>
  </si>
  <si>
    <t>Tabela 20 — Infra (Aba 4)</t>
  </si>
  <si>
    <t>04191</t>
  </si>
  <si>
    <t>04192</t>
  </si>
  <si>
    <t>04193</t>
  </si>
  <si>
    <t>04194</t>
  </si>
  <si>
    <t>04195</t>
  </si>
  <si>
    <t>04196</t>
  </si>
  <si>
    <t>04197</t>
  </si>
  <si>
    <t>04198</t>
  </si>
  <si>
    <t>Tabela 21 — Segurança (Aba 4)</t>
  </si>
  <si>
    <t>04201</t>
  </si>
  <si>
    <t>04202</t>
  </si>
  <si>
    <t>04203</t>
  </si>
  <si>
    <t>04204</t>
  </si>
  <si>
    <t>04205</t>
  </si>
  <si>
    <t>04206</t>
  </si>
  <si>
    <t>04207</t>
  </si>
  <si>
    <t>04208</t>
  </si>
  <si>
    <t>Tabela 22 — Engenharia (Aba 4)</t>
  </si>
  <si>
    <t>04211</t>
  </si>
  <si>
    <t>04212</t>
  </si>
  <si>
    <t>04213</t>
  </si>
  <si>
    <t>04214</t>
  </si>
  <si>
    <t>04215</t>
  </si>
  <si>
    <t>04216</t>
  </si>
  <si>
    <t>04217</t>
  </si>
  <si>
    <t>04218</t>
  </si>
  <si>
    <t>Tabela 23 — Produto (Aba 4)</t>
  </si>
  <si>
    <t>04221</t>
  </si>
  <si>
    <t>04222</t>
  </si>
  <si>
    <t>04223</t>
  </si>
  <si>
    <t>04224</t>
  </si>
  <si>
    <t>04225</t>
  </si>
  <si>
    <t>04226</t>
  </si>
  <si>
    <t>04227</t>
  </si>
  <si>
    <t>04228</t>
  </si>
  <si>
    <t>Tabela 24 — Design (Aba 4)</t>
  </si>
  <si>
    <t>04231</t>
  </si>
  <si>
    <t>04232</t>
  </si>
  <si>
    <t>04233</t>
  </si>
  <si>
    <t>04234</t>
  </si>
  <si>
    <t>04235</t>
  </si>
  <si>
    <t>04236</t>
  </si>
  <si>
    <t>04237</t>
  </si>
  <si>
    <t>04238</t>
  </si>
  <si>
    <t>Tabela 25 — DevEx (Aba 4)</t>
  </si>
  <si>
    <t>04241</t>
  </si>
  <si>
    <t>04242</t>
  </si>
  <si>
    <t>04243</t>
  </si>
  <si>
    <t>04244</t>
  </si>
  <si>
    <t>04245</t>
  </si>
  <si>
    <t>04246</t>
  </si>
  <si>
    <t>04247</t>
  </si>
  <si>
    <t>04248</t>
  </si>
  <si>
    <t>Tabela 26 — Dados (Aba 4)</t>
  </si>
  <si>
    <t>04251</t>
  </si>
  <si>
    <t>04252</t>
  </si>
  <si>
    <t>04253</t>
  </si>
  <si>
    <t>04254</t>
  </si>
  <si>
    <t>04255</t>
  </si>
  <si>
    <t>04256</t>
  </si>
  <si>
    <t>04257</t>
  </si>
  <si>
    <t>04258</t>
  </si>
  <si>
    <t>Tabela 27 — Infra (Aba 4)</t>
  </si>
  <si>
    <t>04261</t>
  </si>
  <si>
    <t>04262</t>
  </si>
  <si>
    <t>04263</t>
  </si>
  <si>
    <t>04264</t>
  </si>
  <si>
    <t>04265</t>
  </si>
  <si>
    <t>04266</t>
  </si>
  <si>
    <t>04267</t>
  </si>
  <si>
    <t>04268</t>
  </si>
  <si>
    <t>Tabela 28 — Segurança (Aba 4)</t>
  </si>
  <si>
    <t>04271</t>
  </si>
  <si>
    <t>04272</t>
  </si>
  <si>
    <t>04273</t>
  </si>
  <si>
    <t>04274</t>
  </si>
  <si>
    <t>04275</t>
  </si>
  <si>
    <t>04276</t>
  </si>
  <si>
    <t>04277</t>
  </si>
  <si>
    <t>04278</t>
  </si>
  <si>
    <t>Tabela 29 — Engenharia (Aba 4)</t>
  </si>
  <si>
    <t>04281</t>
  </si>
  <si>
    <t>04282</t>
  </si>
  <si>
    <t>04283</t>
  </si>
  <si>
    <t>04284</t>
  </si>
  <si>
    <t>04285</t>
  </si>
  <si>
    <t>04286</t>
  </si>
  <si>
    <t>04287</t>
  </si>
  <si>
    <t>04288</t>
  </si>
  <si>
    <t>Tabela 30 — Produto (Aba 4)</t>
  </si>
  <si>
    <t>04291</t>
  </si>
  <si>
    <t>04292</t>
  </si>
  <si>
    <t>04293</t>
  </si>
  <si>
    <t>04294</t>
  </si>
  <si>
    <t>04295</t>
  </si>
  <si>
    <t>04296</t>
  </si>
  <si>
    <t>04297</t>
  </si>
  <si>
    <t>04298</t>
  </si>
  <si>
    <t>Planilha — Aba 3 | Relatório de Equipe</t>
  </si>
  <si>
    <t>Tabela 1 — Engenharia (Aba 3)</t>
  </si>
  <si>
    <t>03001</t>
  </si>
  <si>
    <t>03002</t>
  </si>
  <si>
    <t>03003</t>
  </si>
  <si>
    <t>03004</t>
  </si>
  <si>
    <t>03005</t>
  </si>
  <si>
    <t>03006</t>
  </si>
  <si>
    <t>03007</t>
  </si>
  <si>
    <t>03008</t>
  </si>
  <si>
    <t>Tabela 2 — Produto (Aba 3)</t>
  </si>
  <si>
    <t>03011</t>
  </si>
  <si>
    <t>03012</t>
  </si>
  <si>
    <t>03013</t>
  </si>
  <si>
    <t>03014</t>
  </si>
  <si>
    <t>03015</t>
  </si>
  <si>
    <t>03016</t>
  </si>
  <si>
    <t>03017</t>
  </si>
  <si>
    <t>03018</t>
  </si>
  <si>
    <t>Tabela 3 — Design (Aba 3)</t>
  </si>
  <si>
    <t>03021</t>
  </si>
  <si>
    <t>03022</t>
  </si>
  <si>
    <t>03023</t>
  </si>
  <si>
    <t>03024</t>
  </si>
  <si>
    <t>03025</t>
  </si>
  <si>
    <t>03026</t>
  </si>
  <si>
    <t>03027</t>
  </si>
  <si>
    <t>03028</t>
  </si>
  <si>
    <t>Tabela 4 — DevEx (Aba 3)</t>
  </si>
  <si>
    <t>03031</t>
  </si>
  <si>
    <t>03032</t>
  </si>
  <si>
    <t>03033</t>
  </si>
  <si>
    <t>03034</t>
  </si>
  <si>
    <t>03035</t>
  </si>
  <si>
    <t>03036</t>
  </si>
  <si>
    <t>03037</t>
  </si>
  <si>
    <t>03038</t>
  </si>
  <si>
    <t>Tabela 5 — Dados (Aba 3)</t>
  </si>
  <si>
    <t>03041</t>
  </si>
  <si>
    <t>03042</t>
  </si>
  <si>
    <t>03043</t>
  </si>
  <si>
    <t>03044</t>
  </si>
  <si>
    <t>03045</t>
  </si>
  <si>
    <t>03046</t>
  </si>
  <si>
    <t>03047</t>
  </si>
  <si>
    <t>03048</t>
  </si>
  <si>
    <t>Tabela 6 — Infra (Aba 3)</t>
  </si>
  <si>
    <t>03051</t>
  </si>
  <si>
    <t>03052</t>
  </si>
  <si>
    <t>03053</t>
  </si>
  <si>
    <t>03054</t>
  </si>
  <si>
    <t>03055</t>
  </si>
  <si>
    <t>03056</t>
  </si>
  <si>
    <t>03057</t>
  </si>
  <si>
    <t>03058</t>
  </si>
  <si>
    <t>Tabela 7 — Segurança (Aba 3)</t>
  </si>
  <si>
    <t>03061</t>
  </si>
  <si>
    <t>03062</t>
  </si>
  <si>
    <t>03063</t>
  </si>
  <si>
    <t>03064</t>
  </si>
  <si>
    <t>03065</t>
  </si>
  <si>
    <t>03066</t>
  </si>
  <si>
    <t>03067</t>
  </si>
  <si>
    <t>03068</t>
  </si>
  <si>
    <t>Tabela 8 — Engenharia (Aba 3)</t>
  </si>
  <si>
    <t>03071</t>
  </si>
  <si>
    <t>03072</t>
  </si>
  <si>
    <t>03073</t>
  </si>
  <si>
    <t>03074</t>
  </si>
  <si>
    <t>03075</t>
  </si>
  <si>
    <t>03076</t>
  </si>
  <si>
    <t>03077</t>
  </si>
  <si>
    <t>03078</t>
  </si>
  <si>
    <t>Tabela 9 — Produto (Aba 3)</t>
  </si>
  <si>
    <t>03081</t>
  </si>
  <si>
    <t>03082</t>
  </si>
  <si>
    <t>03083</t>
  </si>
  <si>
    <t>03084</t>
  </si>
  <si>
    <t>03085</t>
  </si>
  <si>
    <t>03086</t>
  </si>
  <si>
    <t>03087</t>
  </si>
  <si>
    <t>03088</t>
  </si>
  <si>
    <t>Tabela 10 — Design (Aba 3)</t>
  </si>
  <si>
    <t>03091</t>
  </si>
  <si>
    <t>03092</t>
  </si>
  <si>
    <t>03093</t>
  </si>
  <si>
    <t>03094</t>
  </si>
  <si>
    <t>03095</t>
  </si>
  <si>
    <t>03096</t>
  </si>
  <si>
    <t>03097</t>
  </si>
  <si>
    <t>03098</t>
  </si>
  <si>
    <t>Tabela 11 — DevEx (Aba 3)</t>
  </si>
  <si>
    <t>03101</t>
  </si>
  <si>
    <t>03102</t>
  </si>
  <si>
    <t>03103</t>
  </si>
  <si>
    <t>03104</t>
  </si>
  <si>
    <t>03105</t>
  </si>
  <si>
    <t>03106</t>
  </si>
  <si>
    <t>03107</t>
  </si>
  <si>
    <t>03108</t>
  </si>
  <si>
    <t>Tabela 12 — Dados (Aba 3)</t>
  </si>
  <si>
    <t>03111</t>
  </si>
  <si>
    <t>03112</t>
  </si>
  <si>
    <t>03113</t>
  </si>
  <si>
    <t>03114</t>
  </si>
  <si>
    <t>03115</t>
  </si>
  <si>
    <t>03116</t>
  </si>
  <si>
    <t>03117</t>
  </si>
  <si>
    <t>03118</t>
  </si>
  <si>
    <t>Tabela 13 — Infra (Aba 3)</t>
  </si>
  <si>
    <t>03121</t>
  </si>
  <si>
    <t>03122</t>
  </si>
  <si>
    <t>03123</t>
  </si>
  <si>
    <t>03124</t>
  </si>
  <si>
    <t>03125</t>
  </si>
  <si>
    <t>03126</t>
  </si>
  <si>
    <t>03127</t>
  </si>
  <si>
    <t>03128</t>
  </si>
  <si>
    <t>Tabela 14 — Segurança (Aba 3)</t>
  </si>
  <si>
    <t>03131</t>
  </si>
  <si>
    <t>03132</t>
  </si>
  <si>
    <t>03133</t>
  </si>
  <si>
    <t>03134</t>
  </si>
  <si>
    <t>03135</t>
  </si>
  <si>
    <t>03136</t>
  </si>
  <si>
    <t>03137</t>
  </si>
  <si>
    <t>03138</t>
  </si>
  <si>
    <t>Tabela 15 — Engenharia (Aba 3)</t>
  </si>
  <si>
    <t>03141</t>
  </si>
  <si>
    <t>03142</t>
  </si>
  <si>
    <t>03143</t>
  </si>
  <si>
    <t>03144</t>
  </si>
  <si>
    <t>03145</t>
  </si>
  <si>
    <t>03146</t>
  </si>
  <si>
    <t>03147</t>
  </si>
  <si>
    <t>03148</t>
  </si>
  <si>
    <t>Tabela 16 — Produto (Aba 3)</t>
  </si>
  <si>
    <t>03151</t>
  </si>
  <si>
    <t>03152</t>
  </si>
  <si>
    <t>03153</t>
  </si>
  <si>
    <t>03154</t>
  </si>
  <si>
    <t>03155</t>
  </si>
  <si>
    <t>03156</t>
  </si>
  <si>
    <t>03157</t>
  </si>
  <si>
    <t>03158</t>
  </si>
  <si>
    <t>Tabela 17 — Design (Aba 3)</t>
  </si>
  <si>
    <t>03161</t>
  </si>
  <si>
    <t>03162</t>
  </si>
  <si>
    <t>03163</t>
  </si>
  <si>
    <t>03164</t>
  </si>
  <si>
    <t>03165</t>
  </si>
  <si>
    <t>03166</t>
  </si>
  <si>
    <t>03167</t>
  </si>
  <si>
    <t>03168</t>
  </si>
  <si>
    <t>Tabela 18 — DevEx (Aba 3)</t>
  </si>
  <si>
    <t>03171</t>
  </si>
  <si>
    <t>03172</t>
  </si>
  <si>
    <t>03173</t>
  </si>
  <si>
    <t>03174</t>
  </si>
  <si>
    <t>03175</t>
  </si>
  <si>
    <t>03176</t>
  </si>
  <si>
    <t>03177</t>
  </si>
  <si>
    <t>03178</t>
  </si>
  <si>
    <t>Tabela 19 — Dados (Aba 3)</t>
  </si>
  <si>
    <t>03181</t>
  </si>
  <si>
    <t>03182</t>
  </si>
  <si>
    <t>03183</t>
  </si>
  <si>
    <t>03184</t>
  </si>
  <si>
    <t>03185</t>
  </si>
  <si>
    <t>03186</t>
  </si>
  <si>
    <t>03187</t>
  </si>
  <si>
    <t>03188</t>
  </si>
  <si>
    <t>Tabela 20 — Infra (Aba 3)</t>
  </si>
  <si>
    <t>03191</t>
  </si>
  <si>
    <t>03192</t>
  </si>
  <si>
    <t>03193</t>
  </si>
  <si>
    <t>03194</t>
  </si>
  <si>
    <t>03195</t>
  </si>
  <si>
    <t>03196</t>
  </si>
  <si>
    <t>03197</t>
  </si>
  <si>
    <t>03198</t>
  </si>
  <si>
    <t>Tabela 21 — Segurança (Aba 3)</t>
  </si>
  <si>
    <t>03201</t>
  </si>
  <si>
    <t>03202</t>
  </si>
  <si>
    <t>03203</t>
  </si>
  <si>
    <t>03204</t>
  </si>
  <si>
    <t>03205</t>
  </si>
  <si>
    <t>03206</t>
  </si>
  <si>
    <t>03207</t>
  </si>
  <si>
    <t>03208</t>
  </si>
  <si>
    <t>Tabela 22 — Engenharia (Aba 3)</t>
  </si>
  <si>
    <t>03211</t>
  </si>
  <si>
    <t>03212</t>
  </si>
  <si>
    <t>03213</t>
  </si>
  <si>
    <t>03214</t>
  </si>
  <si>
    <t>03215</t>
  </si>
  <si>
    <t>03216</t>
  </si>
  <si>
    <t>03217</t>
  </si>
  <si>
    <t>03218</t>
  </si>
  <si>
    <t>Tabela 23 — Produto (Aba 3)</t>
  </si>
  <si>
    <t>03221</t>
  </si>
  <si>
    <t>03222</t>
  </si>
  <si>
    <t>03223</t>
  </si>
  <si>
    <t>03224</t>
  </si>
  <si>
    <t>03225</t>
  </si>
  <si>
    <t>03226</t>
  </si>
  <si>
    <t>03227</t>
  </si>
  <si>
    <t>03228</t>
  </si>
  <si>
    <t>Tabela 24 — Design (Aba 3)</t>
  </si>
  <si>
    <t>03231</t>
  </si>
  <si>
    <t>03232</t>
  </si>
  <si>
    <t>03233</t>
  </si>
  <si>
    <t>03234</t>
  </si>
  <si>
    <t>03235</t>
  </si>
  <si>
    <t>03236</t>
  </si>
  <si>
    <t>03237</t>
  </si>
  <si>
    <t>03238</t>
  </si>
  <si>
    <t>Tabela 25 — DevEx (Aba 3)</t>
  </si>
  <si>
    <t>03241</t>
  </si>
  <si>
    <t>03242</t>
  </si>
  <si>
    <t>03243</t>
  </si>
  <si>
    <t>03244</t>
  </si>
  <si>
    <t>03245</t>
  </si>
  <si>
    <t>03246</t>
  </si>
  <si>
    <t>03247</t>
  </si>
  <si>
    <t>03248</t>
  </si>
  <si>
    <t>Tabela 26 — Dados (Aba 3)</t>
  </si>
  <si>
    <t>03251</t>
  </si>
  <si>
    <t>03252</t>
  </si>
  <si>
    <t>03253</t>
  </si>
  <si>
    <t>03254</t>
  </si>
  <si>
    <t>03255</t>
  </si>
  <si>
    <t>03256</t>
  </si>
  <si>
    <t>03257</t>
  </si>
  <si>
    <t>03258</t>
  </si>
  <si>
    <t>Tabela 27 — Infra (Aba 3)</t>
  </si>
  <si>
    <t>03261</t>
  </si>
  <si>
    <t>03262</t>
  </si>
  <si>
    <t>03263</t>
  </si>
  <si>
    <t>03264</t>
  </si>
  <si>
    <t>03265</t>
  </si>
  <si>
    <t>03266</t>
  </si>
  <si>
    <t>03267</t>
  </si>
  <si>
    <t>03268</t>
  </si>
  <si>
    <t>Tabela 28 — Segurança (Aba 3)</t>
  </si>
  <si>
    <t>03271</t>
  </si>
  <si>
    <t>03272</t>
  </si>
  <si>
    <t>03273</t>
  </si>
  <si>
    <t>03274</t>
  </si>
  <si>
    <t>03275</t>
  </si>
  <si>
    <t>03276</t>
  </si>
  <si>
    <t>03277</t>
  </si>
  <si>
    <t>03278</t>
  </si>
  <si>
    <t>Tabela 29 — Engenharia (Aba 3)</t>
  </si>
  <si>
    <t>03281</t>
  </si>
  <si>
    <t>03282</t>
  </si>
  <si>
    <t>03283</t>
  </si>
  <si>
    <t>03284</t>
  </si>
  <si>
    <t>03285</t>
  </si>
  <si>
    <t>03286</t>
  </si>
  <si>
    <t>03287</t>
  </si>
  <si>
    <t>03288</t>
  </si>
  <si>
    <t>Tabela 30 — Produto (Aba 3)</t>
  </si>
  <si>
    <t>03291</t>
  </si>
  <si>
    <t>03292</t>
  </si>
  <si>
    <t>03293</t>
  </si>
  <si>
    <t>03294</t>
  </si>
  <si>
    <t>03295</t>
  </si>
  <si>
    <t>03296</t>
  </si>
  <si>
    <t>03297</t>
  </si>
  <si>
    <t>03298</t>
  </si>
  <si>
    <t>Planilha — Aba 2 | Relatório de Equipe</t>
  </si>
  <si>
    <t>Tabela 1 — Engenharia (Aba 2)</t>
  </si>
  <si>
    <t>02001</t>
  </si>
  <si>
    <t>02002</t>
  </si>
  <si>
    <t>02003</t>
  </si>
  <si>
    <t>02004</t>
  </si>
  <si>
    <t>02005</t>
  </si>
  <si>
    <t>02006</t>
  </si>
  <si>
    <t>02007</t>
  </si>
  <si>
    <t>02008</t>
  </si>
  <si>
    <t>Tabela 2 — Produto (Aba 2)</t>
  </si>
  <si>
    <t>02011</t>
  </si>
  <si>
    <t>02012</t>
  </si>
  <si>
    <t>02013</t>
  </si>
  <si>
    <t>02014</t>
  </si>
  <si>
    <t>02015</t>
  </si>
  <si>
    <t>02016</t>
  </si>
  <si>
    <t>02017</t>
  </si>
  <si>
    <t>02018</t>
  </si>
  <si>
    <t>Tabela 3 — Design (Aba 2)</t>
  </si>
  <si>
    <t>02021</t>
  </si>
  <si>
    <t>02022</t>
  </si>
  <si>
    <t>02023</t>
  </si>
  <si>
    <t>02024</t>
  </si>
  <si>
    <t>02025</t>
  </si>
  <si>
    <t>02026</t>
  </si>
  <si>
    <t>02027</t>
  </si>
  <si>
    <t>02028</t>
  </si>
  <si>
    <t>Tabela 4 — DevEx (Aba 2)</t>
  </si>
  <si>
    <t>02031</t>
  </si>
  <si>
    <t>02032</t>
  </si>
  <si>
    <t>02033</t>
  </si>
  <si>
    <t>02034</t>
  </si>
  <si>
    <t>02035</t>
  </si>
  <si>
    <t>02036</t>
  </si>
  <si>
    <t>02037</t>
  </si>
  <si>
    <t>02038</t>
  </si>
  <si>
    <t>Tabela 5 — Dados (Aba 2)</t>
  </si>
  <si>
    <t>02041</t>
  </si>
  <si>
    <t>02042</t>
  </si>
  <si>
    <t>02043</t>
  </si>
  <si>
    <t>02044</t>
  </si>
  <si>
    <t>02045</t>
  </si>
  <si>
    <t>02046</t>
  </si>
  <si>
    <t>02047</t>
  </si>
  <si>
    <t>02048</t>
  </si>
  <si>
    <t>Tabela 6 — Infra (Aba 2)</t>
  </si>
  <si>
    <t>02051</t>
  </si>
  <si>
    <t>02052</t>
  </si>
  <si>
    <t>02053</t>
  </si>
  <si>
    <t>02054</t>
  </si>
  <si>
    <t>02055</t>
  </si>
  <si>
    <t>02056</t>
  </si>
  <si>
    <t>02057</t>
  </si>
  <si>
    <t>02058</t>
  </si>
  <si>
    <t>Tabela 7 — Segurança (Aba 2)</t>
  </si>
  <si>
    <t>02061</t>
  </si>
  <si>
    <t>02062</t>
  </si>
  <si>
    <t>02063</t>
  </si>
  <si>
    <t>02064</t>
  </si>
  <si>
    <t>02065</t>
  </si>
  <si>
    <t>02066</t>
  </si>
  <si>
    <t>02067</t>
  </si>
  <si>
    <t>02068</t>
  </si>
  <si>
    <t>Tabela 8 — Engenharia (Aba 2)</t>
  </si>
  <si>
    <t>02071</t>
  </si>
  <si>
    <t>02072</t>
  </si>
  <si>
    <t>02073</t>
  </si>
  <si>
    <t>02074</t>
  </si>
  <si>
    <t>02075</t>
  </si>
  <si>
    <t>02076</t>
  </si>
  <si>
    <t>02077</t>
  </si>
  <si>
    <t>02078</t>
  </si>
  <si>
    <t>Tabela 9 — Produto (Aba 2)</t>
  </si>
  <si>
    <t>02081</t>
  </si>
  <si>
    <t>02082</t>
  </si>
  <si>
    <t>02083</t>
  </si>
  <si>
    <t>02084</t>
  </si>
  <si>
    <t>02085</t>
  </si>
  <si>
    <t>02086</t>
  </si>
  <si>
    <t>02087</t>
  </si>
  <si>
    <t>02088</t>
  </si>
  <si>
    <t>Tabela 10 — Design (Aba 2)</t>
  </si>
  <si>
    <t>02091</t>
  </si>
  <si>
    <t>02092</t>
  </si>
  <si>
    <t>02093</t>
  </si>
  <si>
    <t>02094</t>
  </si>
  <si>
    <t>02095</t>
  </si>
  <si>
    <t>02096</t>
  </si>
  <si>
    <t>02097</t>
  </si>
  <si>
    <t>02098</t>
  </si>
  <si>
    <t>Tabela 11 — DevEx (Aba 2)</t>
  </si>
  <si>
    <t>02101</t>
  </si>
  <si>
    <t>02102</t>
  </si>
  <si>
    <t>02103</t>
  </si>
  <si>
    <t>02104</t>
  </si>
  <si>
    <t>02105</t>
  </si>
  <si>
    <t>02106</t>
  </si>
  <si>
    <t>02107</t>
  </si>
  <si>
    <t>02108</t>
  </si>
  <si>
    <t>Tabela 12 — Dados (Aba 2)</t>
  </si>
  <si>
    <t>02111</t>
  </si>
  <si>
    <t>02112</t>
  </si>
  <si>
    <t>02113</t>
  </si>
  <si>
    <t>02114</t>
  </si>
  <si>
    <t>02115</t>
  </si>
  <si>
    <t>02116</t>
  </si>
  <si>
    <t>02117</t>
  </si>
  <si>
    <t>02118</t>
  </si>
  <si>
    <t>Tabela 13 — Infra (Aba 2)</t>
  </si>
  <si>
    <t>02121</t>
  </si>
  <si>
    <t>02122</t>
  </si>
  <si>
    <t>02123</t>
  </si>
  <si>
    <t>02124</t>
  </si>
  <si>
    <t>02125</t>
  </si>
  <si>
    <t>02126</t>
  </si>
  <si>
    <t>02127</t>
  </si>
  <si>
    <t>02128</t>
  </si>
  <si>
    <t>Tabela 14 — Segurança (Aba 2)</t>
  </si>
  <si>
    <t>02131</t>
  </si>
  <si>
    <t>02132</t>
  </si>
  <si>
    <t>02133</t>
  </si>
  <si>
    <t>02134</t>
  </si>
  <si>
    <t>02135</t>
  </si>
  <si>
    <t>02136</t>
  </si>
  <si>
    <t>02137</t>
  </si>
  <si>
    <t>02138</t>
  </si>
  <si>
    <t>Tabela 15 — Engenharia (Aba 2)</t>
  </si>
  <si>
    <t>02141</t>
  </si>
  <si>
    <t>02142</t>
  </si>
  <si>
    <t>02143</t>
  </si>
  <si>
    <t>02144</t>
  </si>
  <si>
    <t>02145</t>
  </si>
  <si>
    <t>02146</t>
  </si>
  <si>
    <t>02147</t>
  </si>
  <si>
    <t>02148</t>
  </si>
  <si>
    <t>Tabela 16 — Produto (Aba 2)</t>
  </si>
  <si>
    <t>02151</t>
  </si>
  <si>
    <t>02152</t>
  </si>
  <si>
    <t>02153</t>
  </si>
  <si>
    <t>02154</t>
  </si>
  <si>
    <t>02155</t>
  </si>
  <si>
    <t>02156</t>
  </si>
  <si>
    <t>02157</t>
  </si>
  <si>
    <t>02158</t>
  </si>
  <si>
    <t>Tabela 17 — Design (Aba 2)</t>
  </si>
  <si>
    <t>02161</t>
  </si>
  <si>
    <t>02162</t>
  </si>
  <si>
    <t>02163</t>
  </si>
  <si>
    <t>02164</t>
  </si>
  <si>
    <t>02165</t>
  </si>
  <si>
    <t>02166</t>
  </si>
  <si>
    <t>02167</t>
  </si>
  <si>
    <t>02168</t>
  </si>
  <si>
    <t>Tabela 18 — DevEx (Aba 2)</t>
  </si>
  <si>
    <t>02171</t>
  </si>
  <si>
    <t>02172</t>
  </si>
  <si>
    <t>02173</t>
  </si>
  <si>
    <t>02174</t>
  </si>
  <si>
    <t>02175</t>
  </si>
  <si>
    <t>02176</t>
  </si>
  <si>
    <t>02177</t>
  </si>
  <si>
    <t>02178</t>
  </si>
  <si>
    <t>Tabela 19 — Dados (Aba 2)</t>
  </si>
  <si>
    <t>02181</t>
  </si>
  <si>
    <t>02182</t>
  </si>
  <si>
    <t>02183</t>
  </si>
  <si>
    <t>02184</t>
  </si>
  <si>
    <t>02185</t>
  </si>
  <si>
    <t>02186</t>
  </si>
  <si>
    <t>02187</t>
  </si>
  <si>
    <t>02188</t>
  </si>
  <si>
    <t>Tabela 20 — Infra (Aba 2)</t>
  </si>
  <si>
    <t>02191</t>
  </si>
  <si>
    <t>02192</t>
  </si>
  <si>
    <t>02193</t>
  </si>
  <si>
    <t>02194</t>
  </si>
  <si>
    <t>02195</t>
  </si>
  <si>
    <t>02196</t>
  </si>
  <si>
    <t>02197</t>
  </si>
  <si>
    <t>02198</t>
  </si>
  <si>
    <t>Tabela 21 — Segurança (Aba 2)</t>
  </si>
  <si>
    <t>02201</t>
  </si>
  <si>
    <t>02202</t>
  </si>
  <si>
    <t>02203</t>
  </si>
  <si>
    <t>02204</t>
  </si>
  <si>
    <t>02205</t>
  </si>
  <si>
    <t>02206</t>
  </si>
  <si>
    <t>02207</t>
  </si>
  <si>
    <t>02208</t>
  </si>
  <si>
    <t>Tabela 22 — Engenharia (Aba 2)</t>
  </si>
  <si>
    <t>02211</t>
  </si>
  <si>
    <t>02212</t>
  </si>
  <si>
    <t>02213</t>
  </si>
  <si>
    <t>02214</t>
  </si>
  <si>
    <t>02215</t>
  </si>
  <si>
    <t>02216</t>
  </si>
  <si>
    <t>02217</t>
  </si>
  <si>
    <t>02218</t>
  </si>
  <si>
    <t>Tabela 23 — Produto (Aba 2)</t>
  </si>
  <si>
    <t>02221</t>
  </si>
  <si>
    <t>02222</t>
  </si>
  <si>
    <t>02223</t>
  </si>
  <si>
    <t>02224</t>
  </si>
  <si>
    <t>02225</t>
  </si>
  <si>
    <t>02226</t>
  </si>
  <si>
    <t>02227</t>
  </si>
  <si>
    <t>02228</t>
  </si>
  <si>
    <t>Tabela 24 — Design (Aba 2)</t>
  </si>
  <si>
    <t>02231</t>
  </si>
  <si>
    <t>02232</t>
  </si>
  <si>
    <t>02233</t>
  </si>
  <si>
    <t>02234</t>
  </si>
  <si>
    <t>02235</t>
  </si>
  <si>
    <t>02236</t>
  </si>
  <si>
    <t>02237</t>
  </si>
  <si>
    <t>02238</t>
  </si>
  <si>
    <t>Tabela 25 — DevEx (Aba 2)</t>
  </si>
  <si>
    <t>02241</t>
  </si>
  <si>
    <t>02242</t>
  </si>
  <si>
    <t>02243</t>
  </si>
  <si>
    <t>02244</t>
  </si>
  <si>
    <t>02245</t>
  </si>
  <si>
    <t>02246</t>
  </si>
  <si>
    <t>02247</t>
  </si>
  <si>
    <t>02248</t>
  </si>
  <si>
    <t>Tabela 26 — Dados (Aba 2)</t>
  </si>
  <si>
    <t>02251</t>
  </si>
  <si>
    <t>02252</t>
  </si>
  <si>
    <t>02253</t>
  </si>
  <si>
    <t>02254</t>
  </si>
  <si>
    <t>02255</t>
  </si>
  <si>
    <t>02256</t>
  </si>
  <si>
    <t>02257</t>
  </si>
  <si>
    <t>02258</t>
  </si>
  <si>
    <t>Tabela 27 — Infra (Aba 2)</t>
  </si>
  <si>
    <t>02261</t>
  </si>
  <si>
    <t>02262</t>
  </si>
  <si>
    <t>02263</t>
  </si>
  <si>
    <t>02264</t>
  </si>
  <si>
    <t>02265</t>
  </si>
  <si>
    <t>02266</t>
  </si>
  <si>
    <t>02267</t>
  </si>
  <si>
    <t>02268</t>
  </si>
  <si>
    <t>Tabela 28 — Segurança (Aba 2)</t>
  </si>
  <si>
    <t>02271</t>
  </si>
  <si>
    <t>02272</t>
  </si>
  <si>
    <t>02273</t>
  </si>
  <si>
    <t>02274</t>
  </si>
  <si>
    <t>02275</t>
  </si>
  <si>
    <t>02276</t>
  </si>
  <si>
    <t>02277</t>
  </si>
  <si>
    <t>02278</t>
  </si>
  <si>
    <t>Tabela 29 — Engenharia (Aba 2)</t>
  </si>
  <si>
    <t>02281</t>
  </si>
  <si>
    <t>02282</t>
  </si>
  <si>
    <t>02283</t>
  </si>
  <si>
    <t>02284</t>
  </si>
  <si>
    <t>02285</t>
  </si>
  <si>
    <t>02286</t>
  </si>
  <si>
    <t>02287</t>
  </si>
  <si>
    <t>02288</t>
  </si>
  <si>
    <t>Tabela 30 — Produto (Aba 2)</t>
  </si>
  <si>
    <t>02291</t>
  </si>
  <si>
    <t>02292</t>
  </si>
  <si>
    <t>02293</t>
  </si>
  <si>
    <t>02294</t>
  </si>
  <si>
    <t>02295</t>
  </si>
  <si>
    <t>02296</t>
  </si>
  <si>
    <t>02297</t>
  </si>
  <si>
    <t>02298</t>
  </si>
  <si>
    <t>Planilha — Aba 1 | Relatório de Equipe</t>
  </si>
  <si>
    <t>Tabela 1 — Engenharia (Aba 1)</t>
  </si>
  <si>
    <t>01001</t>
  </si>
  <si>
    <t>01002</t>
  </si>
  <si>
    <t>01003</t>
  </si>
  <si>
    <t>01004</t>
  </si>
  <si>
    <t>01005</t>
  </si>
  <si>
    <t>01006</t>
  </si>
  <si>
    <t>01007</t>
  </si>
  <si>
    <t>01008</t>
  </si>
  <si>
    <t>Tabela 2 — Produto (Aba 1)</t>
  </si>
  <si>
    <t>01011</t>
  </si>
  <si>
    <t>01012</t>
  </si>
  <si>
    <t>01013</t>
  </si>
  <si>
    <t>01014</t>
  </si>
  <si>
    <t>01015</t>
  </si>
  <si>
    <t>01016</t>
  </si>
  <si>
    <t>01017</t>
  </si>
  <si>
    <t>01018</t>
  </si>
  <si>
    <t>Tabela 3 — Design (Aba 1)</t>
  </si>
  <si>
    <t>01021</t>
  </si>
  <si>
    <t>01022</t>
  </si>
  <si>
    <t>01023</t>
  </si>
  <si>
    <t>01024</t>
  </si>
  <si>
    <t>01025</t>
  </si>
  <si>
    <t>01026</t>
  </si>
  <si>
    <t>01027</t>
  </si>
  <si>
    <t>01028</t>
  </si>
  <si>
    <t>Tabela 4 — DevEx (Aba 1)</t>
  </si>
  <si>
    <t>01031</t>
  </si>
  <si>
    <t>01032</t>
  </si>
  <si>
    <t>01033</t>
  </si>
  <si>
    <t>01034</t>
  </si>
  <si>
    <t>01035</t>
  </si>
  <si>
    <t>01036</t>
  </si>
  <si>
    <t>01037</t>
  </si>
  <si>
    <t>01038</t>
  </si>
  <si>
    <t>Tabela 5 — Dados (Aba 1)</t>
  </si>
  <si>
    <t>01041</t>
  </si>
  <si>
    <t>01042</t>
  </si>
  <si>
    <t>01043</t>
  </si>
  <si>
    <t>01044</t>
  </si>
  <si>
    <t>01045</t>
  </si>
  <si>
    <t>01046</t>
  </si>
  <si>
    <t>01047</t>
  </si>
  <si>
    <t>01048</t>
  </si>
  <si>
    <t>Tabela 6 — Infra (Aba 1)</t>
  </si>
  <si>
    <t>01051</t>
  </si>
  <si>
    <t>01052</t>
  </si>
  <si>
    <t>01053</t>
  </si>
  <si>
    <t>01054</t>
  </si>
  <si>
    <t>01055</t>
  </si>
  <si>
    <t>01056</t>
  </si>
  <si>
    <t>01057</t>
  </si>
  <si>
    <t>01058</t>
  </si>
  <si>
    <t>Tabela 7 — Segurança (Aba 1)</t>
  </si>
  <si>
    <t>01061</t>
  </si>
  <si>
    <t>01062</t>
  </si>
  <si>
    <t>01063</t>
  </si>
  <si>
    <t>01064</t>
  </si>
  <si>
    <t>01065</t>
  </si>
  <si>
    <t>01066</t>
  </si>
  <si>
    <t>01067</t>
  </si>
  <si>
    <t>01068</t>
  </si>
  <si>
    <t>Tabela 8 — Engenharia (Aba 1)</t>
  </si>
  <si>
    <t>01071</t>
  </si>
  <si>
    <t>01072</t>
  </si>
  <si>
    <t>01073</t>
  </si>
  <si>
    <t>01074</t>
  </si>
  <si>
    <t>01075</t>
  </si>
  <si>
    <t>01076</t>
  </si>
  <si>
    <t>01077</t>
  </si>
  <si>
    <t>01078</t>
  </si>
  <si>
    <t>Tabela 9 — Produto (Aba 1)</t>
  </si>
  <si>
    <t>01081</t>
  </si>
  <si>
    <t>01082</t>
  </si>
  <si>
    <t>01083</t>
  </si>
  <si>
    <t>01084</t>
  </si>
  <si>
    <t>01085</t>
  </si>
  <si>
    <t>01086</t>
  </si>
  <si>
    <t>01087</t>
  </si>
  <si>
    <t>01088</t>
  </si>
  <si>
    <t>Tabela 10 — Design (Aba 1)</t>
  </si>
  <si>
    <t>01091</t>
  </si>
  <si>
    <t>01092</t>
  </si>
  <si>
    <t>01093</t>
  </si>
  <si>
    <t>01094</t>
  </si>
  <si>
    <t>01095</t>
  </si>
  <si>
    <t>01096</t>
  </si>
  <si>
    <t>01097</t>
  </si>
  <si>
    <t>01098</t>
  </si>
  <si>
    <t>Tabela 11 — DevEx (Aba 1)</t>
  </si>
  <si>
    <t>01101</t>
  </si>
  <si>
    <t>01102</t>
  </si>
  <si>
    <t>01103</t>
  </si>
  <si>
    <t>01104</t>
  </si>
  <si>
    <t>01105</t>
  </si>
  <si>
    <t>01106</t>
  </si>
  <si>
    <t>01107</t>
  </si>
  <si>
    <t>01108</t>
  </si>
  <si>
    <t>Tabela 12 — Dados (Aba 1)</t>
  </si>
  <si>
    <t>01111</t>
  </si>
  <si>
    <t>01112</t>
  </si>
  <si>
    <t>01113</t>
  </si>
  <si>
    <t>01114</t>
  </si>
  <si>
    <t>01115</t>
  </si>
  <si>
    <t>01116</t>
  </si>
  <si>
    <t>01117</t>
  </si>
  <si>
    <t>01118</t>
  </si>
  <si>
    <t>Tabela 13 — Infra (Aba 1)</t>
  </si>
  <si>
    <t>01121</t>
  </si>
  <si>
    <t>01122</t>
  </si>
  <si>
    <t>01123</t>
  </si>
  <si>
    <t>01124</t>
  </si>
  <si>
    <t>01125</t>
  </si>
  <si>
    <t>01126</t>
  </si>
  <si>
    <t>01127</t>
  </si>
  <si>
    <t>01128</t>
  </si>
  <si>
    <t>Tabela 14 — Segurança (Aba 1)</t>
  </si>
  <si>
    <t>01131</t>
  </si>
  <si>
    <t>01132</t>
  </si>
  <si>
    <t>01133</t>
  </si>
  <si>
    <t>01134</t>
  </si>
  <si>
    <t>01135</t>
  </si>
  <si>
    <t>01136</t>
  </si>
  <si>
    <t>01137</t>
  </si>
  <si>
    <t>01138</t>
  </si>
  <si>
    <t>Tabela 15 — Engenharia (Aba 1)</t>
  </si>
  <si>
    <t>01141</t>
  </si>
  <si>
    <t>01142</t>
  </si>
  <si>
    <t>01143</t>
  </si>
  <si>
    <t>01144</t>
  </si>
  <si>
    <t>01145</t>
  </si>
  <si>
    <t>01146</t>
  </si>
  <si>
    <t>01147</t>
  </si>
  <si>
    <t>01148</t>
  </si>
  <si>
    <t>Tabela 16 — Produto (Aba 1)</t>
  </si>
  <si>
    <t>01151</t>
  </si>
  <si>
    <t>01152</t>
  </si>
  <si>
    <t>01153</t>
  </si>
  <si>
    <t>01154</t>
  </si>
  <si>
    <t>01155</t>
  </si>
  <si>
    <t>01156</t>
  </si>
  <si>
    <t>01157</t>
  </si>
  <si>
    <t>01158</t>
  </si>
  <si>
    <t>Tabela 17 — Design (Aba 1)</t>
  </si>
  <si>
    <t>01161</t>
  </si>
  <si>
    <t>01162</t>
  </si>
  <si>
    <t>01163</t>
  </si>
  <si>
    <t>01164</t>
  </si>
  <si>
    <t>01165</t>
  </si>
  <si>
    <t>01166</t>
  </si>
  <si>
    <t>01167</t>
  </si>
  <si>
    <t>01168</t>
  </si>
  <si>
    <t>Tabela 18 — DevEx (Aba 1)</t>
  </si>
  <si>
    <t>01171</t>
  </si>
  <si>
    <t>01172</t>
  </si>
  <si>
    <t>01173</t>
  </si>
  <si>
    <t>01174</t>
  </si>
  <si>
    <t>01175</t>
  </si>
  <si>
    <t>01176</t>
  </si>
  <si>
    <t>01177</t>
  </si>
  <si>
    <t>01178</t>
  </si>
  <si>
    <t>Tabela 19 — Dados (Aba 1)</t>
  </si>
  <si>
    <t>01181</t>
  </si>
  <si>
    <t>01182</t>
  </si>
  <si>
    <t>01183</t>
  </si>
  <si>
    <t>01184</t>
  </si>
  <si>
    <t>01185</t>
  </si>
  <si>
    <t>01186</t>
  </si>
  <si>
    <t>01187</t>
  </si>
  <si>
    <t>01188</t>
  </si>
  <si>
    <t>Tabela 20 — Infra (Aba 1)</t>
  </si>
  <si>
    <t>01191</t>
  </si>
  <si>
    <t>01192</t>
  </si>
  <si>
    <t>01193</t>
  </si>
  <si>
    <t>01194</t>
  </si>
  <si>
    <t>01195</t>
  </si>
  <si>
    <t>01196</t>
  </si>
  <si>
    <t>01197</t>
  </si>
  <si>
    <t>01198</t>
  </si>
  <si>
    <t>Tabela 21 — Segurança (Aba 1)</t>
  </si>
  <si>
    <t>01201</t>
  </si>
  <si>
    <t>01202</t>
  </si>
  <si>
    <t>01203</t>
  </si>
  <si>
    <t>01204</t>
  </si>
  <si>
    <t>01205</t>
  </si>
  <si>
    <t>01206</t>
  </si>
  <si>
    <t>01207</t>
  </si>
  <si>
    <t>01208</t>
  </si>
  <si>
    <t>Tabela 22 — Engenharia (Aba 1)</t>
  </si>
  <si>
    <t>01211</t>
  </si>
  <si>
    <t>01212</t>
  </si>
  <si>
    <t>01213</t>
  </si>
  <si>
    <t>01214</t>
  </si>
  <si>
    <t>01215</t>
  </si>
  <si>
    <t>01216</t>
  </si>
  <si>
    <t>01217</t>
  </si>
  <si>
    <t>01218</t>
  </si>
  <si>
    <t>Tabela 23 — Produto (Aba 1)</t>
  </si>
  <si>
    <t>01221</t>
  </si>
  <si>
    <t>01222</t>
  </si>
  <si>
    <t>01223</t>
  </si>
  <si>
    <t>01224</t>
  </si>
  <si>
    <t>01225</t>
  </si>
  <si>
    <t>01226</t>
  </si>
  <si>
    <t>01227</t>
  </si>
  <si>
    <t>01228</t>
  </si>
  <si>
    <t>Tabela 24 — Design (Aba 1)</t>
  </si>
  <si>
    <t>01231</t>
  </si>
  <si>
    <t>01232</t>
  </si>
  <si>
    <t>01233</t>
  </si>
  <si>
    <t>01234</t>
  </si>
  <si>
    <t>01235</t>
  </si>
  <si>
    <t>01236</t>
  </si>
  <si>
    <t>01237</t>
  </si>
  <si>
    <t>01238</t>
  </si>
  <si>
    <t>Tabela 25 — DevEx (Aba 1)</t>
  </si>
  <si>
    <t>01241</t>
  </si>
  <si>
    <t>01242</t>
  </si>
  <si>
    <t>01243</t>
  </si>
  <si>
    <t>01244</t>
  </si>
  <si>
    <t>01245</t>
  </si>
  <si>
    <t>01246</t>
  </si>
  <si>
    <t>01247</t>
  </si>
  <si>
    <t>01248</t>
  </si>
  <si>
    <t>Tabela 26 — Dados (Aba 1)</t>
  </si>
  <si>
    <t>01251</t>
  </si>
  <si>
    <t>01252</t>
  </si>
  <si>
    <t>01253</t>
  </si>
  <si>
    <t>01254</t>
  </si>
  <si>
    <t>01255</t>
  </si>
  <si>
    <t>01256</t>
  </si>
  <si>
    <t>01257</t>
  </si>
  <si>
    <t>01258</t>
  </si>
  <si>
    <t>Tabela 27 — Infra (Aba 1)</t>
  </si>
  <si>
    <t>01261</t>
  </si>
  <si>
    <t>01262</t>
  </si>
  <si>
    <t>01263</t>
  </si>
  <si>
    <t>01264</t>
  </si>
  <si>
    <t>01265</t>
  </si>
  <si>
    <t>01266</t>
  </si>
  <si>
    <t>01267</t>
  </si>
  <si>
    <t>01268</t>
  </si>
  <si>
    <t>Tabela 28 — Segurança (Aba 1)</t>
  </si>
  <si>
    <t>01271</t>
  </si>
  <si>
    <t>01272</t>
  </si>
  <si>
    <t>01273</t>
  </si>
  <si>
    <t>01274</t>
  </si>
  <si>
    <t>01275</t>
  </si>
  <si>
    <t>01276</t>
  </si>
  <si>
    <t>01277</t>
  </si>
  <si>
    <t>01278</t>
  </si>
  <si>
    <t>Tabela 29 — Engenharia (Aba 1)</t>
  </si>
  <si>
    <t>01281</t>
  </si>
  <si>
    <t>01282</t>
  </si>
  <si>
    <t>01283</t>
  </si>
  <si>
    <t>01284</t>
  </si>
  <si>
    <t>01285</t>
  </si>
  <si>
    <t>01286</t>
  </si>
  <si>
    <t>01287</t>
  </si>
  <si>
    <t>01288</t>
  </si>
  <si>
    <t>Tabela 30 — Produto (Aba 1)</t>
  </si>
  <si>
    <t>01291</t>
  </si>
  <si>
    <t>01292</t>
  </si>
  <si>
    <t>01293</t>
  </si>
  <si>
    <t>01294</t>
  </si>
  <si>
    <t>01295</t>
  </si>
  <si>
    <t>01296</t>
  </si>
  <si>
    <t>01297</t>
  </si>
  <si>
    <t>01298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</si>
</sst>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 mc:Ignorable="x14ac">
  <numFmts count="0"/>
  <fonts count="7" x14ac:knownFonts="1">
    <font>
      <sz val="11"/>
      <color theme="1"/>
      <name val="Calibri"/>
      <family val="2"/>
      <scheme val="minor"/>
    </font>
    <font>
      <b/>
      <sz val="13"/>
      <color rgb="FF1f4e79"/>
      <name val="Arial"/>
      <family val="2"/>
    </font>
    <font>
      <i/>
      <sz val="10"/>
      <color rgb="FF555555"/>
      <name val="Arial"/>
      <family val="2"/>
    </font>
    <font>
      <b/>
      <sz val="11"/>
      <color rgb="FFffffff"/>
      <name val="Arial"/>
      <family val="2"/>
    </font>
    <font>
      <b/>
      <sz val="10"/>
      <color rgb="FFffffff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2e75b6"/>
      </patternFill>
    </fill>
    <fill>
      <patternFill patternType="solid">
        <fgColor rgb="FF1f4e79"/>
      </patternFill>
    </fill>
    <fill>
      <patternFill patternType="solid">
        <fgColor rgb="FFd6e4f0"/>
      </patternFill>
    </fill>
    <fill>
      <patternFill patternType="solid">
        <fgColor rgb="FFffffff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</borders>
  <cellStyleXfs count="1">
    <xf numFmtId="0" fontId="0" fillId="0" borderId="0"/>
  </cellStyleXfs>
  <cellXfs count="33">
    <xf xfId="0" numFmtId="0" borderId="0" fontId="0" fillId="0"/>
    <xf xfId="0" numFmtId="0" borderId="1" applyBorder="1" fontId="1" applyFont="1" fillId="0" applyAlignment="1">
      <alignment horizontal="center"/>
    </xf>
    <xf xfId="0" numFmtId="3" applyNumberFormat="1" borderId="1" applyBorder="1" fontId="1" applyFont="1" fillId="0" applyAlignment="1">
      <alignment horizontal="center"/>
    </xf>
    <xf xfId="0" numFmtId="4" applyNumberFormat="1" borderId="1" applyBorder="1" fontId="1" applyFont="1" fillId="0" applyAlignment="1">
      <alignment horizontal="center"/>
    </xf>
    <xf xfId="0" numFmtId="0" borderId="1" applyBorder="1" fontId="2" applyFont="1" fillId="0" applyAlignment="1">
      <alignment horizontal="left"/>
    </xf>
    <xf xfId="0" numFmtId="3" applyNumberFormat="1" borderId="1" applyBorder="1" fontId="2" applyFont="1" fillId="0" applyAlignment="1">
      <alignment horizontal="left"/>
    </xf>
    <xf xfId="0" numFmtId="4" applyNumberFormat="1" borderId="1" applyBorder="1" fontId="2" applyFont="1" fillId="0" applyAlignment="1">
      <alignment horizontal="left"/>
    </xf>
    <xf xfId="0" numFmtId="0" borderId="0" fontId="0" fillId="0" applyAlignment="1">
      <alignment horizontal="right"/>
    </xf>
    <xf xfId="0" numFmtId="3" applyNumberFormat="1" borderId="0" fontId="0" fillId="0" applyAlignment="1">
      <alignment horizontal="right"/>
    </xf>
    <xf xfId="0" numFmtId="0" borderId="0" fontId="0" fillId="0" applyAlignment="1">
      <alignment horizontal="general"/>
    </xf>
    <xf xfId="0" numFmtId="4" applyNumberFormat="1" borderId="0" fontId="0" fillId="0" applyAlignment="1">
      <alignment horizontal="general"/>
    </xf>
    <xf xfId="0" numFmtId="0" borderId="2" applyBorder="1" fontId="3" applyFont="1" fillId="2" applyFill="1" applyAlignment="1">
      <alignment horizontal="left"/>
    </xf>
    <xf xfId="0" numFmtId="3" applyNumberFormat="1" borderId="2" applyBorder="1" fontId="3" applyFont="1" fillId="2" applyFill="1" applyAlignment="1">
      <alignment horizontal="left"/>
    </xf>
    <xf xfId="0" numFmtId="4" applyNumberFormat="1" borderId="2" applyBorder="1" fontId="3" applyFont="1" fillId="2" applyFill="1" applyAlignment="1">
      <alignment horizontal="left"/>
    </xf>
    <xf xfId="0" numFmtId="0" borderId="3" applyBorder="1" fontId="4" applyFont="1" fillId="3" applyFill="1" applyAlignment="1">
      <alignment horizontal="center"/>
    </xf>
    <xf xfId="0" numFmtId="3" applyNumberFormat="1" borderId="3" applyBorder="1" fontId="4" applyFont="1" fillId="3" applyFill="1" applyAlignment="1">
      <alignment horizontal="center"/>
    </xf>
    <xf xfId="0" numFmtId="4" applyNumberFormat="1" borderId="3" applyBorder="1" fontId="4" applyFont="1" fillId="3" applyFill="1" applyAlignment="1">
      <alignment horizontal="center"/>
    </xf>
    <xf xfId="0" numFmtId="0" borderId="3" applyBorder="1" fontId="5" applyFont="1" fillId="4" applyFill="1" applyAlignment="1">
      <alignment horizontal="center"/>
    </xf>
    <xf xfId="0" numFmtId="4" applyNumberFormat="1" borderId="3" applyBorder="1" fontId="5" applyFont="1" fillId="4" applyFill="1" applyAlignment="1">
      <alignment horizontal="center"/>
    </xf>
    <xf xfId="0" numFmtId="0" borderId="3" applyBorder="1" fontId="5" applyFont="1" fillId="4" applyFill="1" applyAlignment="1">
      <alignment horizontal="center"/>
    </xf>
    <xf xfId="0" numFmtId="0" borderId="3" applyBorder="1" fontId="5" applyFont="1" fillId="5" applyFill="1" applyAlignment="1">
      <alignment horizontal="center"/>
    </xf>
    <xf xfId="0" numFmtId="4" applyNumberFormat="1" borderId="3" applyBorder="1" fontId="5" applyFont="1" fillId="5" applyFill="1" applyAlignment="1">
      <alignment horizontal="center"/>
    </xf>
    <xf xfId="0" numFmtId="3" applyNumberFormat="1" borderId="3" applyBorder="1" fontId="5" applyFont="1" fillId="5" applyFill="1" applyAlignment="1">
      <alignment horizontal="center"/>
    </xf>
    <xf xfId="0" numFmtId="0" borderId="3" applyBorder="1" fontId="5" applyFont="1" fillId="5" applyFill="1" applyAlignment="1">
      <alignment horizontal="center"/>
    </xf>
    <xf xfId="0" numFmtId="0" borderId="1" applyBorder="1" fontId="6" applyFont="1" fillId="0" applyAlignment="1">
      <alignment horizontal="right"/>
    </xf>
    <xf xfId="0" numFmtId="3" applyNumberFormat="1" borderId="1" applyBorder="1" fontId="6" applyFont="1" fillId="0" applyAlignment="1">
      <alignment horizontal="right"/>
    </xf>
    <xf xfId="0" numFmtId="3" applyNumberFormat="1" borderId="3" applyBorder="1" fontId="5" applyFont="1" fillId="4" applyFill="1" applyAlignment="1">
      <alignment horizontal="center"/>
    </xf>
    <xf xfId="0" numFmtId="0" borderId="0" fontId="0" fillId="0" applyAlignment="1">
      <alignment horizontal="right"/>
    </xf>
    <xf xfId="0" numFmtId="3" applyNumberFormat="1" borderId="0" fontId="0" fillId="0" applyAlignment="1">
      <alignment horizontal="right"/>
    </xf>
    <xf xfId="0" numFmtId="0" borderId="0" fontId="0" fillId="0" applyAlignment="1">
      <alignment horizontal="general"/>
    </xf>
    <xf xfId="0" numFmtId="4" applyNumberFormat="1" borderId="0" fontId="0" fillId="0" applyAlignment="1">
      <alignment horizontal="general"/>
    </xf>
    <xf xfId="0" numFmtId="3" applyNumberFormat="1" borderId="0" fontId="0" fillId="0" applyAlignment="1">
      <alignment horizontal="general"/>
    </xf>
    <xf xfId="0" numFmtId="3" applyNumberFormat="1" borderId="0" fontId="0" fillId="0" applyAlignment="1">
      <alignment horizontal="general"/>
    </xf>
  </cellXfs>
  <cellStyles count="1">
    <cellStyle xfId="0" builtinId="0" name="Normal"/>
  </cellStyles>
  <dxfs count="0"/>
  <tableStyles count="0" defaultTableStyle="TableStyleMedium9" defaultPivotStyle="PivotStyleLight16"/>
  <extLst>
    <ext uri="{EB79DEF2-80B8-43e5-95BD-54CBDDF9020C}">
      <x14ac:slicerStyles xmlns:x14="http://schemas.microsoft.com/office/spreadsheetml/2009/9/main" defaultSlicerStyle="SlicerStyleLight1"/>
    </ext>
  </extLst>
</styleSheet>
</file>

<file path=xl/_rels/workbook.xml.rels><?xml version="1.0" encoding="UTF-8" standalone="yes"?><Relationships xmlns="http://schemas.openxmlformats.org/package/2006/relationships"><Relationship Target="worksheets/sheet1.xml" Type="http://schemas.openxmlformats.org/officeDocument/2006/relationships/worksheet" Id="rId1"/><Relationship Target="worksheets/sheet2.xml" Type="http://schemas.openxmlformats.org/officeDocument/2006/relationships/worksheet" Id="rId2"/><Relationship Target="worksheets/sheet3.xml" Type="http://schemas.openxmlformats.org/officeDocument/2006/relationships/worksheet" Id="rId3"/><Relationship Target="worksheets/sheet4.xml" Type="http://schemas.openxmlformats.org/officeDocument/2006/relationships/worksheet" Id="rId4"/><Relationship Target="worksheets/sheet5.xml" Type="http://schemas.openxmlformats.org/officeDocument/2006/relationships/worksheet" Id="rId5"/><Relationship Target="worksheets/sheet6.xml" Type="http://schemas.openxmlformats.org/officeDocument/2006/relationships/worksheet" Id="rId6"/><Relationship Target="worksheets/sheet7.xml" Type="http://schemas.openxmlformats.org/officeDocument/2006/relationships/worksheet" Id="rId7"/><Relationship Target="worksheets/sheet8.xml" Type="http://schemas.openxmlformats.org/officeDocument/2006/relationships/worksheet" Id="rId8"/><Relationship Target="worksheets/sheet9.xml" Type="http://schemas.openxmlformats.org/officeDocument/2006/relationships/worksheet" Id="rId9"/><Relationship Target="worksheets/sheet10.xml" Type="http://schemas.openxmlformats.org/officeDocument/2006/relationships/worksheet" Id="rId10"/><Relationship Target="worksheets/sheet11.xml" Type="http://schemas.openxmlformats.org/officeDocument/2006/relationships/worksheet" Id="rId11"/><Relationship Target="worksheets/sheet12.xml" Type="http://schemas.openxmlformats.org/officeDocument/2006/relationships/worksheet" Id="rId12"/><Relationship Target="worksheets/sheet13.xml" Type="http://schemas.openxmlformats.org/officeDocument/2006/relationships/worksheet" Id="rId13"/><Relationship Target="worksheets/sheet14.xml" Type="http://schemas.openxmlformats.org/officeDocument/2006/relationships/worksheet" Id="rId14"/><Relationship Target="worksheets/sheet15.xml" Type="http://schemas.openxmlformats.org/officeDocument/2006/relationships/worksheet" Id="rId15"/><Relationship Target="worksheets/sheet16.xml" Type="http://schemas.openxmlformats.org/officeDocument/2006/relationships/worksheet" Id="rId16"/><Relationship Target="worksheets/sheet17.xml" Type="http://schemas.openxmlformats.org/officeDocument/2006/relationships/worksheet" Id="rId17"/><Relationship Target="worksheets/sheet18.xml" Type="http://schemas.openxmlformats.org/officeDocument/2006/relationships/worksheet" Id="rId18"/><Relationship Target="worksheets/sheet19.xml" Type="http://schemas.openxmlformats.org/officeDocument/2006/relationships/worksheet" Id="rId19"/><Relationship Target="worksheets/sheet20.xml" Type="http://schemas.openxmlformats.org/officeDocument/2006/relationships/worksheet" Id="rId20"/><Relationship Target="worksheets/sheet21.xml" Type="http://schemas.openxmlformats.org/officeDocument/2006/relationships/worksheet" Id="rId21"/><Relationship Target="worksheets/sheet22.xml" Type="http://schemas.openxmlformats.org/officeDocument/2006/relationships/worksheet" Id="rId22"/><Relationship Target="worksheets/sheet23.xml" Type="http://schemas.openxmlformats.org/officeDocument/2006/relationships/worksheet" Id="rId23"/><Relationship Target="worksheets/sheet24.xml" Type="http://schemas.openxmlformats.org/officeDocument/2006/relationships/worksheet" Id="rId24"/><Relationship Target="worksheets/sheet25.xml" Type="http://schemas.openxmlformats.org/officeDocument/2006/relationships/worksheet" Id="rId25"/><Relationship Target="worksheets/sheet26.xml" Type="http://schemas.openxmlformats.org/officeDocument/2006/relationships/worksheet" Id="rId26"/><Relationship Target="worksheets/sheet27.xml" Type="http://schemas.openxmlformats.org/officeDocument/2006/relationships/worksheet" Id="rId27"/><Relationship Target="worksheets/sheet28.xml" Type="http://schemas.openxmlformats.org/officeDocument/2006/relationships/worksheet" Id="rId28"/><Relationship Target="worksheets/sheet29.xml" Type="http://schemas.openxmlformats.org/officeDocument/2006/relationships/worksheet" Id="rId29"/><Relationship Target="worksheets/sheet30.xml" Type="http://schemas.openxmlformats.org/officeDocument/2006/relationships/worksheet" Id="rId30"/><Relationship Target="worksheets/sheet31.xml" Type="http://schemas.openxmlformats.org/officeDocument/2006/relationships/worksheet" Id="rId31"/><Relationship Target="worksheets/sheet32.xml" Type="http://schemas.openxmlformats.org/officeDocument/2006/relationships/worksheet" Id="rId32"/><Relationship Target="worksheets/sheet33.xml" Type="http://schemas.openxmlformats.org/officeDocument/2006/relationships/worksheet" Id="rId33"/><Relationship Target="worksheets/sheet34.xml" Type="http://schemas.openxmlformats.org/officeDocument/2006/relationships/worksheet" Id="rId34"/><Relationship Target="worksheets/sheet35.xml" Type="http://schemas.openxmlformats.org/officeDocument/2006/relationships/worksheet" Id="rId35"/><Relationship Target="worksheets/sheet36.xml" Type="http://schemas.openxmlformats.org/officeDocument/2006/relationships/worksheet" Id="rId36"/><Relationship Target="worksheets/sheet37.xml" Type="http://schemas.openxmlformats.org/officeDocument/2006/relationships/worksheet" Id="rId37"/><Relationship Target="worksheets/sheet38.xml" Type="http://schemas.openxmlformats.org/officeDocument/2006/relationships/worksheet" Id="rId38"/><Relationship Target="worksheets/sheet39.xml" Type="http://schemas.openxmlformats.org/officeDocument/2006/relationships/worksheet" Id="rId39"/><Relationship Target="worksheets/sheet40.xml" Type="http://schemas.openxmlformats.org/officeDocument/2006/relationships/worksheet" Id="rId40"/><Relationship Target="worksheets/sheet41.xml" Type="http://schemas.openxmlformats.org/officeDocument/2006/relationships/worksheet" Id="rId41"/><Relationship Target="worksheets/sheet42.xml" Type="http://schemas.openxmlformats.org/officeDocument/2006/relationships/worksheet" Id="rId42"/><Relationship Target="worksheets/sheet43.xml" Type="http://schemas.openxmlformats.org/officeDocument/2006/relationships/worksheet" Id="rId43"/><Relationship Target="worksheets/sheet44.xml" Type="http://schemas.openxmlformats.org/officeDocument/2006/relationships/worksheet" Id="rId44"/><Relationship Target="worksheets/sheet45.xml" Type="http://schemas.openxmlformats.org/officeDocument/2006/relationships/worksheet" Id="rId45"/><Relationship Target="worksheets/sheet46.xml" Type="http://schemas.openxmlformats.org/officeDocument/2006/relationships/worksheet" Id="rId46"/><Relationship Target="worksheets/sheet47.xml" Type="http://schemas.openxmlformats.org/officeDocument/2006/relationships/worksheet" Id="rId47"/><Relationship Target="worksheets/sheet48.xml" Type="http://schemas.openxmlformats.org/officeDocument/2006/relationships/worksheet" Id="rId48"/><Relationship Target="worksheets/sheet49.xml" Type="http://schemas.openxmlformats.org/officeDocument/2006/relationships/worksheet" Id="rId49"/><Relationship Target="worksheets/sheet50.xml" Type="http://schemas.openxmlformats.org/officeDocument/2006/relationships/worksheet" Id="rId50"/><Relationship Target="sharedStrings.xml" Type="http://schemas.openxmlformats.org/officeDocument/2006/relationships/sharedStrings" Id="rId51"/><Relationship Target="styles.xml" Type="http://schemas.openxmlformats.org/officeDocument/2006/relationships/styles" Id="rId52"/><Relationship Target="theme/theme1.xml" Type="http://schemas.openxmlformats.org/officeDocument/2006/relationships/theme" Id="rId5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J362"/>
  <sheetViews>
    <sheetView workbookViewId="0"/>
  </sheetViews>
  <sheetFormatPr defaultRowHeight="15" x14ac:dyDescent="0.25"/>
  <cols>
    <col min="1" max="1" style="27" width="8.005" customWidth="1" bestFit="1"/>
    <col min="2" max="2" style="27" width="22.005" customWidth="1" bestFit="1"/>
    <col min="3" max="3" style="27" width="16.005" customWidth="1" bestFit="1"/>
    <col min="4" max="4" style="27" width="14.005" customWidth="1" bestFit="1"/>
    <col min="5" max="5" style="28" width="12.005" customWidth="1" bestFit="1"/>
    <col min="6" max="6" style="29" width="16.005" customWidth="1" bestFit="1"/>
    <col min="7" max="7" style="29" width="10.005" customWidth="1" bestFit="1"/>
    <col min="8" max="8" style="30" width="10.005" customWidth="1" bestFit="1"/>
    <col min="9" max="9" style="29" width="14.005" customWidth="1" bestFit="1"/>
    <col min="10" max="10" style="29" width="8.005" customWidth="1" bestFit="1"/>
  </cols>
  <sheetData>
    <row x14ac:dyDescent="0.25" r="1" customHeight="1" ht="21">
      <c r="A1" s="1" t="s">
        <v>13590</v>
      </c>
      <c r="B1" s="1"/>
      <c r="C1" s="1"/>
      <c r="D1" s="1"/>
      <c r="E1" s="2"/>
      <c r="F1" s="1"/>
      <c r="G1" s="1"/>
      <c r="H1" s="3"/>
      <c r="I1" s="1"/>
      <c r="J1" s="1"/>
    </row>
    <row x14ac:dyDescent="0.25" r="2" customHeight="1" ht="18">
      <c r="A2" s="4" t="s">
        <v>1</v>
      </c>
      <c r="B2" s="4"/>
      <c r="C2" s="4"/>
      <c r="D2" s="4"/>
      <c r="E2" s="5"/>
      <c r="F2" s="4"/>
      <c r="G2" s="4"/>
      <c r="H2" s="6"/>
      <c r="I2" s="4"/>
      <c r="J2" s="4"/>
    </row>
    <row x14ac:dyDescent="0.25" r="3" customHeight="1" ht="17.25">
      <c r="A3" s="7"/>
      <c r="B3" s="7"/>
      <c r="C3" s="7"/>
      <c r="D3" s="7"/>
      <c r="E3" s="8"/>
      <c r="F3" s="9"/>
      <c r="G3" s="9"/>
      <c r="H3" s="10"/>
      <c r="I3" s="9"/>
      <c r="J3" s="9"/>
    </row>
    <row x14ac:dyDescent="0.25" r="4" customHeight="1" ht="18">
      <c r="A4" s="11" t="s">
        <v>13591</v>
      </c>
      <c r="B4" s="11"/>
      <c r="C4" s="11"/>
      <c r="D4" s="11"/>
      <c r="E4" s="12"/>
      <c r="F4" s="11"/>
      <c r="G4" s="11"/>
      <c r="H4" s="13"/>
      <c r="I4" s="11"/>
      <c r="J4" s="11"/>
    </row>
    <row x14ac:dyDescent="0.25" r="5" customHeight="1" ht="18">
      <c r="A5" s="14" t="s">
        <v>3</v>
      </c>
      <c r="B5" s="14" t="s">
        <v>4</v>
      </c>
      <c r="C5" s="14" t="s">
        <v>5</v>
      </c>
      <c r="D5" s="14" t="s">
        <v>6</v>
      </c>
      <c r="E5" s="15" t="s">
        <v>7</v>
      </c>
      <c r="F5" s="14" t="s">
        <v>8</v>
      </c>
      <c r="G5" s="14" t="s">
        <v>9</v>
      </c>
      <c r="H5" s="16" t="s">
        <v>10</v>
      </c>
      <c r="I5" s="14" t="s">
        <v>11</v>
      </c>
      <c r="J5" s="14" t="s">
        <v>12</v>
      </c>
    </row>
    <row x14ac:dyDescent="0.25" r="6" customHeight="1" ht="18">
      <c r="A6" s="17" t="s">
        <v>13592</v>
      </c>
      <c r="B6" s="17" t="s">
        <v>14</v>
      </c>
      <c r="C6" s="17" t="s">
        <v>15</v>
      </c>
      <c r="D6" s="17" t="s">
        <v>16</v>
      </c>
      <c r="E6" s="18">
        <f>ROUND(17908*1.05,2)</f>
      </c>
      <c r="F6" s="17" t="s">
        <v>17</v>
      </c>
      <c r="G6" s="17" t="s">
        <v>18</v>
      </c>
      <c r="H6" s="18">
        <f>ROUND(RAND()*4+6,1)</f>
      </c>
      <c r="I6" s="17" t="s">
        <v>19</v>
      </c>
      <c r="J6" s="19">
        <f>ROUND(85*1,0)&amp;"%"</f>
      </c>
    </row>
    <row x14ac:dyDescent="0.25" r="7" customHeight="1" ht="18">
      <c r="A7" s="20" t="s">
        <v>13593</v>
      </c>
      <c r="B7" s="20" t="s">
        <v>21</v>
      </c>
      <c r="C7" s="20" t="s">
        <v>15</v>
      </c>
      <c r="D7" s="20" t="s">
        <v>22</v>
      </c>
      <c r="E7" s="22">
        <f>ROUND(13580*1.05,2)</f>
      </c>
      <c r="F7" s="20" t="s">
        <v>23</v>
      </c>
      <c r="G7" s="20" t="s">
        <v>24</v>
      </c>
      <c r="H7" s="21">
        <f>ROUND(RAND()*4+6,1)</f>
      </c>
      <c r="I7" s="20" t="s">
        <v>25</v>
      </c>
      <c r="J7" s="23">
        <f>ROUND(81*1,0)&amp;"%"</f>
      </c>
    </row>
    <row x14ac:dyDescent="0.25" r="8" customHeight="1" ht="18">
      <c r="A8" s="17" t="s">
        <v>13594</v>
      </c>
      <c r="B8" s="17" t="s">
        <v>27</v>
      </c>
      <c r="C8" s="17" t="s">
        <v>15</v>
      </c>
      <c r="D8" s="17" t="s">
        <v>28</v>
      </c>
      <c r="E8" s="18">
        <f>ROUND(9595*1.05,2)</f>
      </c>
      <c r="F8" s="17" t="s">
        <v>29</v>
      </c>
      <c r="G8" s="17" t="s">
        <v>30</v>
      </c>
      <c r="H8" s="26">
        <f>ROUND(RAND()*4+6,1)</f>
      </c>
      <c r="I8" s="17" t="s">
        <v>31</v>
      </c>
      <c r="J8" s="19">
        <f>ROUND(67*1,0)&amp;"%"</f>
      </c>
    </row>
    <row x14ac:dyDescent="0.25" r="9" customHeight="1" ht="18">
      <c r="A9" s="20" t="s">
        <v>13595</v>
      </c>
      <c r="B9" s="20" t="s">
        <v>33</v>
      </c>
      <c r="C9" s="20" t="s">
        <v>15</v>
      </c>
      <c r="D9" s="20" t="s">
        <v>34</v>
      </c>
      <c r="E9" s="21">
        <f>ROUND(11513*1.05,2)</f>
      </c>
      <c r="F9" s="20" t="s">
        <v>35</v>
      </c>
      <c r="G9" s="20" t="s">
        <v>18</v>
      </c>
      <c r="H9" s="21">
        <f>ROUND(RAND()*4+6,1)</f>
      </c>
      <c r="I9" s="20" t="s">
        <v>36</v>
      </c>
      <c r="J9" s="23">
        <f>ROUND(87*1,0)&amp;"%"</f>
      </c>
    </row>
    <row x14ac:dyDescent="0.25" r="10" customHeight="1" ht="18">
      <c r="A10" s="17" t="s">
        <v>13596</v>
      </c>
      <c r="B10" s="17" t="s">
        <v>38</v>
      </c>
      <c r="C10" s="17" t="s">
        <v>15</v>
      </c>
      <c r="D10" s="17" t="s">
        <v>39</v>
      </c>
      <c r="E10" s="18">
        <f>ROUND(6757*1.05,2)</f>
      </c>
      <c r="F10" s="17" t="s">
        <v>40</v>
      </c>
      <c r="G10" s="17" t="s">
        <v>24</v>
      </c>
      <c r="H10" s="18">
        <f>ROUND(RAND()*4+6,1)</f>
      </c>
      <c r="I10" s="17" t="s">
        <v>41</v>
      </c>
      <c r="J10" s="19">
        <f>ROUND(60*1,0)&amp;"%"</f>
      </c>
    </row>
    <row x14ac:dyDescent="0.25" r="11" customHeight="1" ht="18">
      <c r="A11" s="20" t="s">
        <v>13597</v>
      </c>
      <c r="B11" s="20" t="s">
        <v>43</v>
      </c>
      <c r="C11" s="20" t="s">
        <v>15</v>
      </c>
      <c r="D11" s="20" t="s">
        <v>67</v>
      </c>
      <c r="E11" s="21">
        <f>ROUND(12752*1.05,2)</f>
      </c>
      <c r="F11" s="20" t="s">
        <v>44</v>
      </c>
      <c r="G11" s="20" t="s">
        <v>30</v>
      </c>
      <c r="H11" s="21">
        <f>ROUND(RAND()*4+6,1)</f>
      </c>
      <c r="I11" s="20" t="s">
        <v>45</v>
      </c>
      <c r="J11" s="23">
        <f>ROUND(76*1,0)&amp;"%"</f>
      </c>
    </row>
    <row x14ac:dyDescent="0.25" r="12" customHeight="1" ht="18">
      <c r="A12" s="17" t="s">
        <v>13598</v>
      </c>
      <c r="B12" s="17" t="s">
        <v>47</v>
      </c>
      <c r="C12" s="17" t="s">
        <v>15</v>
      </c>
      <c r="D12" s="17" t="s">
        <v>16</v>
      </c>
      <c r="E12" s="18">
        <f>ROUND(17402*1.05,2)</f>
      </c>
      <c r="F12" s="17" t="s">
        <v>48</v>
      </c>
      <c r="G12" s="17" t="s">
        <v>18</v>
      </c>
      <c r="H12" s="18">
        <f>ROUND(RAND()*4+6,1)</f>
      </c>
      <c r="I12" s="17" t="s">
        <v>19</v>
      </c>
      <c r="J12" s="19">
        <f>ROUND(83*1,0)&amp;"%"</f>
      </c>
    </row>
    <row x14ac:dyDescent="0.25" r="13" customHeight="1" ht="18.75">
      <c r="A13" s="20" t="s">
        <v>13599</v>
      </c>
      <c r="B13" s="20" t="s">
        <v>50</v>
      </c>
      <c r="C13" s="20" t="s">
        <v>15</v>
      </c>
      <c r="D13" s="20" t="s">
        <v>22</v>
      </c>
      <c r="E13" s="21">
        <f>ROUND(15989*1.05,2)</f>
      </c>
      <c r="F13" s="20" t="s">
        <v>51</v>
      </c>
      <c r="G13" s="20" t="s">
        <v>24</v>
      </c>
      <c r="H13" s="22">
        <f>ROUND(RAND()*4+6,1)</f>
      </c>
      <c r="I13" s="20" t="s">
        <v>25</v>
      </c>
      <c r="J13" s="23">
        <f>ROUND(69*1,0)&amp;"%"</f>
      </c>
    </row>
    <row x14ac:dyDescent="0.25" r="14" customHeight="1" ht="18">
      <c r="A14" s="24" t="s">
        <v>52</v>
      </c>
      <c r="B14" s="24"/>
      <c r="C14" s="24"/>
      <c r="D14" s="24"/>
      <c r="E14" s="25">
        <v>8</v>
      </c>
      <c r="F14" s="9"/>
      <c r="G14" s="9"/>
      <c r="H14" s="10"/>
      <c r="I14" s="9"/>
      <c r="J14" s="9"/>
    </row>
    <row x14ac:dyDescent="0.25" r="15" customHeight="1" ht="17.25">
      <c r="A15" s="7"/>
      <c r="B15" s="7"/>
      <c r="C15" s="7"/>
      <c r="D15" s="7"/>
      <c r="E15" s="8"/>
      <c r="F15" s="9"/>
      <c r="G15" s="9"/>
      <c r="H15" s="10"/>
      <c r="I15" s="9"/>
      <c r="J15" s="9"/>
    </row>
    <row x14ac:dyDescent="0.25" r="16" customHeight="1" ht="18">
      <c r="A16" s="11" t="s">
        <v>13600</v>
      </c>
      <c r="B16" s="11"/>
      <c r="C16" s="11"/>
      <c r="D16" s="11"/>
      <c r="E16" s="12"/>
      <c r="F16" s="11"/>
      <c r="G16" s="11"/>
      <c r="H16" s="13"/>
      <c r="I16" s="11"/>
      <c r="J16" s="11"/>
    </row>
    <row x14ac:dyDescent="0.25" r="17" customHeight="1" ht="18">
      <c r="A17" s="14" t="s">
        <v>3</v>
      </c>
      <c r="B17" s="14" t="s">
        <v>4</v>
      </c>
      <c r="C17" s="14" t="s">
        <v>5</v>
      </c>
      <c r="D17" s="14" t="s">
        <v>6</v>
      </c>
      <c r="E17" s="15" t="s">
        <v>7</v>
      </c>
      <c r="F17" s="14" t="s">
        <v>8</v>
      </c>
      <c r="G17" s="14" t="s">
        <v>9</v>
      </c>
      <c r="H17" s="16" t="s">
        <v>10</v>
      </c>
      <c r="I17" s="14" t="s">
        <v>11</v>
      </c>
      <c r="J17" s="14" t="s">
        <v>12</v>
      </c>
    </row>
    <row x14ac:dyDescent="0.25" r="18" customHeight="1" ht="18">
      <c r="A18" s="17" t="s">
        <v>13601</v>
      </c>
      <c r="B18" s="17" t="s">
        <v>55</v>
      </c>
      <c r="C18" s="17" t="s">
        <v>56</v>
      </c>
      <c r="D18" s="17" t="s">
        <v>16</v>
      </c>
      <c r="E18" s="18">
        <f>ROUND(12292*1.05,2)</f>
      </c>
      <c r="F18" s="17" t="s">
        <v>17</v>
      </c>
      <c r="G18" s="17" t="s">
        <v>18</v>
      </c>
      <c r="H18" s="18">
        <f>ROUND(RAND()*4+6,1)</f>
      </c>
      <c r="I18" s="17" t="s">
        <v>19</v>
      </c>
      <c r="J18" s="19">
        <f>ROUND(76*1,0)&amp;"%"</f>
      </c>
    </row>
    <row x14ac:dyDescent="0.25" r="19" customHeight="1" ht="18">
      <c r="A19" s="20" t="s">
        <v>13602</v>
      </c>
      <c r="B19" s="20" t="s">
        <v>58</v>
      </c>
      <c r="C19" s="20" t="s">
        <v>56</v>
      </c>
      <c r="D19" s="20" t="s">
        <v>22</v>
      </c>
      <c r="E19" s="21">
        <f>ROUND(8668*1.05,2)</f>
      </c>
      <c r="F19" s="20" t="s">
        <v>23</v>
      </c>
      <c r="G19" s="20" t="s">
        <v>24</v>
      </c>
      <c r="H19" s="21">
        <f>ROUND(RAND()*4+6,1)</f>
      </c>
      <c r="I19" s="20" t="s">
        <v>25</v>
      </c>
      <c r="J19" s="23">
        <f>ROUND(84*1,0)&amp;"%"</f>
      </c>
    </row>
    <row x14ac:dyDescent="0.25" r="20" customHeight="1" ht="18">
      <c r="A20" s="17" t="s">
        <v>13603</v>
      </c>
      <c r="B20" s="17" t="s">
        <v>60</v>
      </c>
      <c r="C20" s="17" t="s">
        <v>56</v>
      </c>
      <c r="D20" s="17" t="s">
        <v>28</v>
      </c>
      <c r="E20" s="18">
        <f>ROUND(6259*1.05,2)</f>
      </c>
      <c r="F20" s="17" t="s">
        <v>29</v>
      </c>
      <c r="G20" s="17" t="s">
        <v>30</v>
      </c>
      <c r="H20" s="18">
        <f>ROUND(RAND()*4+6,1)</f>
      </c>
      <c r="I20" s="17" t="s">
        <v>31</v>
      </c>
      <c r="J20" s="19">
        <f>ROUND(90*1,0)&amp;"%"</f>
      </c>
    </row>
    <row x14ac:dyDescent="0.25" r="21" customHeight="1" ht="18">
      <c r="A21" s="20" t="s">
        <v>13604</v>
      </c>
      <c r="B21" s="20" t="s">
        <v>62</v>
      </c>
      <c r="C21" s="20" t="s">
        <v>56</v>
      </c>
      <c r="D21" s="20" t="s">
        <v>34</v>
      </c>
      <c r="E21" s="22">
        <f>ROUND(5840*1.05,2)</f>
      </c>
      <c r="F21" s="20" t="s">
        <v>35</v>
      </c>
      <c r="G21" s="20" t="s">
        <v>18</v>
      </c>
      <c r="H21" s="21">
        <f>ROUND(RAND()*4+6,1)</f>
      </c>
      <c r="I21" s="20" t="s">
        <v>36</v>
      </c>
      <c r="J21" s="23">
        <f>ROUND(80*1,0)&amp;"%"</f>
      </c>
    </row>
    <row x14ac:dyDescent="0.25" r="22" customHeight="1" ht="18">
      <c r="A22" s="17" t="s">
        <v>13605</v>
      </c>
      <c r="B22" s="17" t="s">
        <v>64</v>
      </c>
      <c r="C22" s="17" t="s">
        <v>56</v>
      </c>
      <c r="D22" s="17" t="s">
        <v>39</v>
      </c>
      <c r="E22" s="18">
        <f>ROUND(14502*1.05,2)</f>
      </c>
      <c r="F22" s="17" t="s">
        <v>40</v>
      </c>
      <c r="G22" s="17" t="s">
        <v>24</v>
      </c>
      <c r="H22" s="18">
        <f>ROUND(RAND()*4+6,1)</f>
      </c>
      <c r="I22" s="17" t="s">
        <v>41</v>
      </c>
      <c r="J22" s="19">
        <f>ROUND(87*1,0)&amp;"%"</f>
      </c>
    </row>
    <row x14ac:dyDescent="0.25" r="23" customHeight="1" ht="18">
      <c r="A23" s="20" t="s">
        <v>13606</v>
      </c>
      <c r="B23" s="20" t="s">
        <v>66</v>
      </c>
      <c r="C23" s="20" t="s">
        <v>56</v>
      </c>
      <c r="D23" s="20" t="s">
        <v>67</v>
      </c>
      <c r="E23" s="21">
        <f>ROUND(5082*1.05,2)</f>
      </c>
      <c r="F23" s="20" t="s">
        <v>44</v>
      </c>
      <c r="G23" s="20" t="s">
        <v>30</v>
      </c>
      <c r="H23" s="21">
        <f>ROUND(RAND()*4+6,1)</f>
      </c>
      <c r="I23" s="20" t="s">
        <v>45</v>
      </c>
      <c r="J23" s="23">
        <f>ROUND(85*1,0)&amp;"%"</f>
      </c>
    </row>
    <row x14ac:dyDescent="0.25" r="24" customHeight="1" ht="18">
      <c r="A24" s="17" t="s">
        <v>13607</v>
      </c>
      <c r="B24" s="17" t="s">
        <v>69</v>
      </c>
      <c r="C24" s="17" t="s">
        <v>56</v>
      </c>
      <c r="D24" s="17" t="s">
        <v>16</v>
      </c>
      <c r="E24" s="18">
        <f>ROUND(11428*1.05,2)</f>
      </c>
      <c r="F24" s="17" t="s">
        <v>48</v>
      </c>
      <c r="G24" s="17" t="s">
        <v>18</v>
      </c>
      <c r="H24" s="18">
        <f>ROUND(RAND()*4+6,1)</f>
      </c>
      <c r="I24" s="17" t="s">
        <v>19</v>
      </c>
      <c r="J24" s="19">
        <f>ROUND(95*1,0)&amp;"%"</f>
      </c>
    </row>
    <row x14ac:dyDescent="0.25" r="25" customHeight="1" ht="18.75">
      <c r="A25" s="20" t="s">
        <v>13608</v>
      </c>
      <c r="B25" s="20" t="s">
        <v>71</v>
      </c>
      <c r="C25" s="20" t="s">
        <v>56</v>
      </c>
      <c r="D25" s="20" t="s">
        <v>22</v>
      </c>
      <c r="E25" s="21">
        <f>ROUND(12032*1.05,2)</f>
      </c>
      <c r="F25" s="20" t="s">
        <v>51</v>
      </c>
      <c r="G25" s="20" t="s">
        <v>24</v>
      </c>
      <c r="H25" s="21">
        <f>ROUND(RAND()*4+6,1)</f>
      </c>
      <c r="I25" s="20" t="s">
        <v>25</v>
      </c>
      <c r="J25" s="23">
        <f>ROUND(60*1,0)&amp;"%"</f>
      </c>
    </row>
    <row x14ac:dyDescent="0.25" r="26" customHeight="1" ht="18">
      <c r="A26" s="24" t="s">
        <v>72</v>
      </c>
      <c r="B26" s="24"/>
      <c r="C26" s="24"/>
      <c r="D26" s="24"/>
      <c r="E26" s="25">
        <v>8</v>
      </c>
      <c r="F26" s="9"/>
      <c r="G26" s="9"/>
      <c r="H26" s="10"/>
      <c r="I26" s="9"/>
      <c r="J26" s="9"/>
    </row>
    <row x14ac:dyDescent="0.25" r="27" customHeight="1" ht="17.25">
      <c r="A27" s="7"/>
      <c r="B27" s="7"/>
      <c r="C27" s="7"/>
      <c r="D27" s="7"/>
      <c r="E27" s="8"/>
      <c r="F27" s="9"/>
      <c r="G27" s="9"/>
      <c r="H27" s="10"/>
      <c r="I27" s="9"/>
      <c r="J27" s="9"/>
    </row>
    <row x14ac:dyDescent="0.25" r="28" customHeight="1" ht="18">
      <c r="A28" s="11" t="s">
        <v>13609</v>
      </c>
      <c r="B28" s="11"/>
      <c r="C28" s="11"/>
      <c r="D28" s="11"/>
      <c r="E28" s="12"/>
      <c r="F28" s="11"/>
      <c r="G28" s="11"/>
      <c r="H28" s="13"/>
      <c r="I28" s="11"/>
      <c r="J28" s="11"/>
    </row>
    <row x14ac:dyDescent="0.25" r="29" customHeight="1" ht="18">
      <c r="A29" s="14" t="s">
        <v>3</v>
      </c>
      <c r="B29" s="14" t="s">
        <v>4</v>
      </c>
      <c r="C29" s="14" t="s">
        <v>5</v>
      </c>
      <c r="D29" s="14" t="s">
        <v>6</v>
      </c>
      <c r="E29" s="15" t="s">
        <v>7</v>
      </c>
      <c r="F29" s="14" t="s">
        <v>8</v>
      </c>
      <c r="G29" s="14" t="s">
        <v>9</v>
      </c>
      <c r="H29" s="16" t="s">
        <v>10</v>
      </c>
      <c r="I29" s="14" t="s">
        <v>11</v>
      </c>
      <c r="J29" s="14" t="s">
        <v>12</v>
      </c>
    </row>
    <row x14ac:dyDescent="0.25" r="30" customHeight="1" ht="18">
      <c r="A30" s="17" t="s">
        <v>13610</v>
      </c>
      <c r="B30" s="17" t="s">
        <v>75</v>
      </c>
      <c r="C30" s="17" t="s">
        <v>76</v>
      </c>
      <c r="D30" s="17" t="s">
        <v>16</v>
      </c>
      <c r="E30" s="18">
        <f>ROUND(9113*1.05,2)</f>
      </c>
      <c r="F30" s="17" t="s">
        <v>17</v>
      </c>
      <c r="G30" s="17" t="s">
        <v>18</v>
      </c>
      <c r="H30" s="18">
        <f>ROUND(RAND()*4+6,1)</f>
      </c>
      <c r="I30" s="17" t="s">
        <v>19</v>
      </c>
      <c r="J30" s="19">
        <f>ROUND(97*1,0)&amp;"%"</f>
      </c>
    </row>
    <row x14ac:dyDescent="0.25" r="31" customHeight="1" ht="17.25">
      <c r="A31" s="20" t="s">
        <v>13611</v>
      </c>
      <c r="B31" s="20" t="s">
        <v>78</v>
      </c>
      <c r="C31" s="20" t="s">
        <v>76</v>
      </c>
      <c r="D31" s="20" t="s">
        <v>22</v>
      </c>
      <c r="E31" s="21">
        <f>ROUND(8264*1.05,2)</f>
      </c>
      <c r="F31" s="20" t="s">
        <v>23</v>
      </c>
      <c r="G31" s="20" t="s">
        <v>24</v>
      </c>
      <c r="H31" s="21">
        <f>ROUND(RAND()*4+6,1)</f>
      </c>
      <c r="I31" s="20" t="s">
        <v>25</v>
      </c>
      <c r="J31" s="23">
        <f>ROUND(93*1,0)&amp;"%"</f>
      </c>
    </row>
    <row x14ac:dyDescent="0.25" r="32" customHeight="1" ht="17.25">
      <c r="A32" s="17" t="s">
        <v>13612</v>
      </c>
      <c r="B32" s="17" t="s">
        <v>80</v>
      </c>
      <c r="C32" s="17" t="s">
        <v>76</v>
      </c>
      <c r="D32" s="17" t="s">
        <v>28</v>
      </c>
      <c r="E32" s="18">
        <f>ROUND(8264*1.05,2)</f>
      </c>
      <c r="F32" s="17" t="s">
        <v>29</v>
      </c>
      <c r="G32" s="17" t="s">
        <v>30</v>
      </c>
      <c r="H32" s="18">
        <f>ROUND(RAND()*4+6,1)</f>
      </c>
      <c r="I32" s="17" t="s">
        <v>31</v>
      </c>
      <c r="J32" s="19">
        <f>ROUND(86*1,0)&amp;"%"</f>
      </c>
    </row>
    <row x14ac:dyDescent="0.25" r="33" customHeight="1" ht="17.25">
      <c r="A33" s="20" t="s">
        <v>13613</v>
      </c>
      <c r="B33" s="20" t="s">
        <v>82</v>
      </c>
      <c r="C33" s="20" t="s">
        <v>76</v>
      </c>
      <c r="D33" s="20" t="s">
        <v>34</v>
      </c>
      <c r="E33" s="21">
        <f>ROUND(12484*1.05,2)</f>
      </c>
      <c r="F33" s="20" t="s">
        <v>35</v>
      </c>
      <c r="G33" s="20" t="s">
        <v>18</v>
      </c>
      <c r="H33" s="21">
        <f>ROUND(RAND()*4+6,1)</f>
      </c>
      <c r="I33" s="20" t="s">
        <v>36</v>
      </c>
      <c r="J33" s="23">
        <f>ROUND(75*1,0)&amp;"%"</f>
      </c>
    </row>
    <row x14ac:dyDescent="0.25" r="34" customHeight="1" ht="17.25">
      <c r="A34" s="17" t="s">
        <v>13614</v>
      </c>
      <c r="B34" s="17" t="s">
        <v>84</v>
      </c>
      <c r="C34" s="17" t="s">
        <v>76</v>
      </c>
      <c r="D34" s="17" t="s">
        <v>39</v>
      </c>
      <c r="E34" s="18">
        <f>ROUND(13211*1.05,2)</f>
      </c>
      <c r="F34" s="17" t="s">
        <v>40</v>
      </c>
      <c r="G34" s="17" t="s">
        <v>24</v>
      </c>
      <c r="H34" s="18">
        <f>ROUND(RAND()*4+6,1)</f>
      </c>
      <c r="I34" s="17" t="s">
        <v>41</v>
      </c>
      <c r="J34" s="19">
        <f>ROUND(87*1,0)&amp;"%"</f>
      </c>
    </row>
    <row x14ac:dyDescent="0.25" r="35" customHeight="1" ht="17.25">
      <c r="A35" s="20" t="s">
        <v>13615</v>
      </c>
      <c r="B35" s="20" t="s">
        <v>86</v>
      </c>
      <c r="C35" s="20" t="s">
        <v>76</v>
      </c>
      <c r="D35" s="20" t="s">
        <v>67</v>
      </c>
      <c r="E35" s="21">
        <f>ROUND(11275*1.05,2)</f>
      </c>
      <c r="F35" s="20" t="s">
        <v>44</v>
      </c>
      <c r="G35" s="20" t="s">
        <v>30</v>
      </c>
      <c r="H35" s="21">
        <f>ROUND(RAND()*4+6,1)</f>
      </c>
      <c r="I35" s="20" t="s">
        <v>45</v>
      </c>
      <c r="J35" s="23">
        <f>ROUND(74*1,0)&amp;"%"</f>
      </c>
    </row>
    <row x14ac:dyDescent="0.25" r="36" customHeight="1" ht="17.25">
      <c r="A36" s="17" t="s">
        <v>13616</v>
      </c>
      <c r="B36" s="17" t="s">
        <v>88</v>
      </c>
      <c r="C36" s="17" t="s">
        <v>76</v>
      </c>
      <c r="D36" s="17" t="s">
        <v>16</v>
      </c>
      <c r="E36" s="18">
        <f>ROUND(15351*1.05,2)</f>
      </c>
      <c r="F36" s="17" t="s">
        <v>48</v>
      </c>
      <c r="G36" s="17" t="s">
        <v>18</v>
      </c>
      <c r="H36" s="18">
        <f>ROUND(RAND()*4+6,1)</f>
      </c>
      <c r="I36" s="17" t="s">
        <v>19</v>
      </c>
      <c r="J36" s="19">
        <f>ROUND(63*1,0)&amp;"%"</f>
      </c>
    </row>
    <row x14ac:dyDescent="0.25" r="37" customHeight="1" ht="17.25">
      <c r="A37" s="20" t="s">
        <v>13617</v>
      </c>
      <c r="B37" s="20" t="s">
        <v>90</v>
      </c>
      <c r="C37" s="20" t="s">
        <v>76</v>
      </c>
      <c r="D37" s="20" t="s">
        <v>22</v>
      </c>
      <c r="E37" s="21">
        <f>ROUND(4069*1.05,2)</f>
      </c>
      <c r="F37" s="20" t="s">
        <v>51</v>
      </c>
      <c r="G37" s="20" t="s">
        <v>24</v>
      </c>
      <c r="H37" s="21">
        <f>ROUND(RAND()*4+6,1)</f>
      </c>
      <c r="I37" s="20" t="s">
        <v>25</v>
      </c>
      <c r="J37" s="23">
        <f>ROUND(86*1,0)&amp;"%"</f>
      </c>
    </row>
    <row x14ac:dyDescent="0.25" r="38" customHeight="1" ht="17.25">
      <c r="A38" s="24" t="s">
        <v>91</v>
      </c>
      <c r="B38" s="24"/>
      <c r="C38" s="24"/>
      <c r="D38" s="24"/>
      <c r="E38" s="25">
        <v>8</v>
      </c>
      <c r="F38" s="9"/>
      <c r="G38" s="9"/>
      <c r="H38" s="10"/>
      <c r="I38" s="9"/>
      <c r="J38" s="9"/>
    </row>
    <row x14ac:dyDescent="0.25" r="39" customHeight="1" ht="17.25">
      <c r="A39" s="7"/>
      <c r="B39" s="7"/>
      <c r="C39" s="7"/>
      <c r="D39" s="7"/>
      <c r="E39" s="8"/>
      <c r="F39" s="9"/>
      <c r="G39" s="9"/>
      <c r="H39" s="10"/>
      <c r="I39" s="9"/>
      <c r="J39" s="9"/>
    </row>
    <row x14ac:dyDescent="0.25" r="40" customHeight="1" ht="17.25">
      <c r="A40" s="11" t="s">
        <v>13618</v>
      </c>
      <c r="B40" s="11"/>
      <c r="C40" s="11"/>
      <c r="D40" s="11"/>
      <c r="E40" s="12"/>
      <c r="F40" s="11"/>
      <c r="G40" s="11"/>
      <c r="H40" s="13"/>
      <c r="I40" s="11"/>
      <c r="J40" s="11"/>
    </row>
    <row x14ac:dyDescent="0.25" r="41" customHeight="1" ht="17.25">
      <c r="A41" s="14" t="s">
        <v>3</v>
      </c>
      <c r="B41" s="14" t="s">
        <v>4</v>
      </c>
      <c r="C41" s="14" t="s">
        <v>5</v>
      </c>
      <c r="D41" s="14" t="s">
        <v>6</v>
      </c>
      <c r="E41" s="15" t="s">
        <v>7</v>
      </c>
      <c r="F41" s="14" t="s">
        <v>8</v>
      </c>
      <c r="G41" s="14" t="s">
        <v>9</v>
      </c>
      <c r="H41" s="16" t="s">
        <v>10</v>
      </c>
      <c r="I41" s="14" t="s">
        <v>11</v>
      </c>
      <c r="J41" s="14" t="s">
        <v>12</v>
      </c>
    </row>
    <row x14ac:dyDescent="0.25" r="42" customHeight="1" ht="17.25">
      <c r="A42" s="17" t="s">
        <v>13619</v>
      </c>
      <c r="B42" s="17" t="s">
        <v>94</v>
      </c>
      <c r="C42" s="17" t="s">
        <v>95</v>
      </c>
      <c r="D42" s="17" t="s">
        <v>16</v>
      </c>
      <c r="E42" s="18">
        <f>ROUND(10439*1.05,2)</f>
      </c>
      <c r="F42" s="17" t="s">
        <v>17</v>
      </c>
      <c r="G42" s="17" t="s">
        <v>18</v>
      </c>
      <c r="H42" s="18">
        <f>ROUND(RAND()*4+6,1)</f>
      </c>
      <c r="I42" s="17" t="s">
        <v>19</v>
      </c>
      <c r="J42" s="19">
        <f>ROUND(90*1,0)&amp;"%"</f>
      </c>
    </row>
    <row x14ac:dyDescent="0.25" r="43" customHeight="1" ht="17.25">
      <c r="A43" s="20" t="s">
        <v>13620</v>
      </c>
      <c r="B43" s="20" t="s">
        <v>97</v>
      </c>
      <c r="C43" s="20" t="s">
        <v>95</v>
      </c>
      <c r="D43" s="20" t="s">
        <v>22</v>
      </c>
      <c r="E43" s="22">
        <f>ROUND(15440*1.05,2)</f>
      </c>
      <c r="F43" s="20" t="s">
        <v>23</v>
      </c>
      <c r="G43" s="20" t="s">
        <v>24</v>
      </c>
      <c r="H43" s="21">
        <f>ROUND(RAND()*4+6,1)</f>
      </c>
      <c r="I43" s="20" t="s">
        <v>25</v>
      </c>
      <c r="J43" s="23">
        <f>ROUND(81*1,0)&amp;"%"</f>
      </c>
    </row>
    <row x14ac:dyDescent="0.25" r="44" customHeight="1" ht="17.25">
      <c r="A44" s="17" t="s">
        <v>13621</v>
      </c>
      <c r="B44" s="17" t="s">
        <v>99</v>
      </c>
      <c r="C44" s="17" t="s">
        <v>95</v>
      </c>
      <c r="D44" s="17" t="s">
        <v>28</v>
      </c>
      <c r="E44" s="18">
        <f>ROUND(13743*1.05,2)</f>
      </c>
      <c r="F44" s="17" t="s">
        <v>29</v>
      </c>
      <c r="G44" s="17" t="s">
        <v>30</v>
      </c>
      <c r="H44" s="18">
        <f>ROUND(RAND()*4+6,1)</f>
      </c>
      <c r="I44" s="17" t="s">
        <v>31</v>
      </c>
      <c r="J44" s="19">
        <f>ROUND(89*1,0)&amp;"%"</f>
      </c>
    </row>
    <row x14ac:dyDescent="0.25" r="45" customHeight="1" ht="17.25">
      <c r="A45" s="20" t="s">
        <v>13622</v>
      </c>
      <c r="B45" s="20" t="s">
        <v>101</v>
      </c>
      <c r="C45" s="20" t="s">
        <v>95</v>
      </c>
      <c r="D45" s="20" t="s">
        <v>34</v>
      </c>
      <c r="E45" s="21">
        <f>ROUND(6782*1.05,2)</f>
      </c>
      <c r="F45" s="20" t="s">
        <v>35</v>
      </c>
      <c r="G45" s="20" t="s">
        <v>18</v>
      </c>
      <c r="H45" s="21">
        <f>ROUND(RAND()*4+6,1)</f>
      </c>
      <c r="I45" s="20" t="s">
        <v>36</v>
      </c>
      <c r="J45" s="23">
        <f>ROUND(94*1,0)&amp;"%"</f>
      </c>
    </row>
    <row x14ac:dyDescent="0.25" r="46" customHeight="1" ht="17.25">
      <c r="A46" s="17" t="s">
        <v>13623</v>
      </c>
      <c r="B46" s="17" t="s">
        <v>103</v>
      </c>
      <c r="C46" s="17" t="s">
        <v>95</v>
      </c>
      <c r="D46" s="17" t="s">
        <v>39</v>
      </c>
      <c r="E46" s="18">
        <f>ROUND(8442*1.05,2)</f>
      </c>
      <c r="F46" s="17" t="s">
        <v>40</v>
      </c>
      <c r="G46" s="17" t="s">
        <v>24</v>
      </c>
      <c r="H46" s="18">
        <f>ROUND(RAND()*4+6,1)</f>
      </c>
      <c r="I46" s="17" t="s">
        <v>41</v>
      </c>
      <c r="J46" s="19">
        <f>ROUND(71*1,0)&amp;"%"</f>
      </c>
    </row>
    <row x14ac:dyDescent="0.25" r="47" customHeight="1" ht="17.25">
      <c r="A47" s="20" t="s">
        <v>13624</v>
      </c>
      <c r="B47" s="20" t="s">
        <v>105</v>
      </c>
      <c r="C47" s="20" t="s">
        <v>95</v>
      </c>
      <c r="D47" s="20" t="s">
        <v>67</v>
      </c>
      <c r="E47" s="21">
        <f>ROUND(7999*1.05,2)</f>
      </c>
      <c r="F47" s="20" t="s">
        <v>44</v>
      </c>
      <c r="G47" s="20" t="s">
        <v>30</v>
      </c>
      <c r="H47" s="21">
        <f>ROUND(RAND()*4+6,1)</f>
      </c>
      <c r="I47" s="20" t="s">
        <v>45</v>
      </c>
      <c r="J47" s="23">
        <f>ROUND(64*1,0)&amp;"%"</f>
      </c>
    </row>
    <row x14ac:dyDescent="0.25" r="48" customHeight="1" ht="17.25">
      <c r="A48" s="17" t="s">
        <v>13625</v>
      </c>
      <c r="B48" s="17" t="s">
        <v>107</v>
      </c>
      <c r="C48" s="17" t="s">
        <v>95</v>
      </c>
      <c r="D48" s="17" t="s">
        <v>16</v>
      </c>
      <c r="E48" s="18">
        <f>ROUND(9841*1.05,2)</f>
      </c>
      <c r="F48" s="17" t="s">
        <v>48</v>
      </c>
      <c r="G48" s="17" t="s">
        <v>18</v>
      </c>
      <c r="H48" s="18">
        <f>ROUND(RAND()*4+6,1)</f>
      </c>
      <c r="I48" s="17" t="s">
        <v>19</v>
      </c>
      <c r="J48" s="19">
        <f>ROUND(62*1,0)&amp;"%"</f>
      </c>
    </row>
    <row x14ac:dyDescent="0.25" r="49" customHeight="1" ht="17.25">
      <c r="A49" s="20" t="s">
        <v>13626</v>
      </c>
      <c r="B49" s="20" t="s">
        <v>109</v>
      </c>
      <c r="C49" s="20" t="s">
        <v>95</v>
      </c>
      <c r="D49" s="20" t="s">
        <v>22</v>
      </c>
      <c r="E49" s="21">
        <f>ROUND(17421*1.05,2)</f>
      </c>
      <c r="F49" s="20" t="s">
        <v>51</v>
      </c>
      <c r="G49" s="20" t="s">
        <v>24</v>
      </c>
      <c r="H49" s="21">
        <f>ROUND(RAND()*4+6,1)</f>
      </c>
      <c r="I49" s="20" t="s">
        <v>25</v>
      </c>
      <c r="J49" s="23">
        <f>ROUND(72*1,0)&amp;"%"</f>
      </c>
    </row>
    <row x14ac:dyDescent="0.25" r="50" customHeight="1" ht="17.25">
      <c r="A50" s="24" t="s">
        <v>110</v>
      </c>
      <c r="B50" s="24"/>
      <c r="C50" s="24"/>
      <c r="D50" s="24"/>
      <c r="E50" s="25">
        <v>8</v>
      </c>
      <c r="F50" s="9"/>
      <c r="G50" s="9"/>
      <c r="H50" s="10"/>
      <c r="I50" s="9"/>
      <c r="J50" s="9"/>
    </row>
    <row x14ac:dyDescent="0.25" r="51" customHeight="1" ht="17.25">
      <c r="A51" s="7"/>
      <c r="B51" s="7"/>
      <c r="C51" s="7"/>
      <c r="D51" s="7"/>
      <c r="E51" s="8"/>
      <c r="F51" s="9"/>
      <c r="G51" s="9"/>
      <c r="H51" s="10"/>
      <c r="I51" s="9"/>
      <c r="J51" s="9"/>
    </row>
    <row x14ac:dyDescent="0.25" r="52" customHeight="1" ht="17.25">
      <c r="A52" s="11" t="s">
        <v>13627</v>
      </c>
      <c r="B52" s="11"/>
      <c r="C52" s="11"/>
      <c r="D52" s="11"/>
      <c r="E52" s="12"/>
      <c r="F52" s="11"/>
      <c r="G52" s="11"/>
      <c r="H52" s="13"/>
      <c r="I52" s="11"/>
      <c r="J52" s="11"/>
    </row>
    <row x14ac:dyDescent="0.25" r="53" customHeight="1" ht="17.25">
      <c r="A53" s="14" t="s">
        <v>3</v>
      </c>
      <c r="B53" s="14" t="s">
        <v>4</v>
      </c>
      <c r="C53" s="14" t="s">
        <v>5</v>
      </c>
      <c r="D53" s="14" t="s">
        <v>6</v>
      </c>
      <c r="E53" s="15" t="s">
        <v>7</v>
      </c>
      <c r="F53" s="14" t="s">
        <v>8</v>
      </c>
      <c r="G53" s="14" t="s">
        <v>9</v>
      </c>
      <c r="H53" s="16" t="s">
        <v>10</v>
      </c>
      <c r="I53" s="14" t="s">
        <v>11</v>
      </c>
      <c r="J53" s="14" t="s">
        <v>12</v>
      </c>
    </row>
    <row x14ac:dyDescent="0.25" r="54" customHeight="1" ht="17.25">
      <c r="A54" s="17" t="s">
        <v>13628</v>
      </c>
      <c r="B54" s="17" t="s">
        <v>113</v>
      </c>
      <c r="C54" s="17" t="s">
        <v>114</v>
      </c>
      <c r="D54" s="17" t="s">
        <v>16</v>
      </c>
      <c r="E54" s="18">
        <f>ROUND(6284*1.05,2)</f>
      </c>
      <c r="F54" s="17" t="s">
        <v>17</v>
      </c>
      <c r="G54" s="17" t="s">
        <v>18</v>
      </c>
      <c r="H54" s="18">
        <f>ROUND(RAND()*4+6,1)</f>
      </c>
      <c r="I54" s="17" t="s">
        <v>19</v>
      </c>
      <c r="J54" s="19">
        <f>ROUND(77*1,0)&amp;"%"</f>
      </c>
    </row>
    <row x14ac:dyDescent="0.25" r="55" customHeight="1" ht="17.25">
      <c r="A55" s="20" t="s">
        <v>13629</v>
      </c>
      <c r="B55" s="20" t="s">
        <v>116</v>
      </c>
      <c r="C55" s="20" t="s">
        <v>114</v>
      </c>
      <c r="D55" s="20" t="s">
        <v>22</v>
      </c>
      <c r="E55" s="21">
        <f>ROUND(12410*1.05,2)</f>
      </c>
      <c r="F55" s="20" t="s">
        <v>23</v>
      </c>
      <c r="G55" s="20" t="s">
        <v>24</v>
      </c>
      <c r="H55" s="21">
        <f>ROUND(RAND()*4+6,1)</f>
      </c>
      <c r="I55" s="20" t="s">
        <v>25</v>
      </c>
      <c r="J55" s="23">
        <f>ROUND(74*1,0)&amp;"%"</f>
      </c>
    </row>
    <row x14ac:dyDescent="0.25" r="56" customHeight="1" ht="17.25">
      <c r="A56" s="17" t="s">
        <v>13630</v>
      </c>
      <c r="B56" s="17" t="s">
        <v>118</v>
      </c>
      <c r="C56" s="17" t="s">
        <v>114</v>
      </c>
      <c r="D56" s="17" t="s">
        <v>28</v>
      </c>
      <c r="E56" s="18">
        <f>ROUND(11847*1.05,2)</f>
      </c>
      <c r="F56" s="17" t="s">
        <v>29</v>
      </c>
      <c r="G56" s="17" t="s">
        <v>30</v>
      </c>
      <c r="H56" s="18">
        <f>ROUND(RAND()*4+6,1)</f>
      </c>
      <c r="I56" s="17" t="s">
        <v>31</v>
      </c>
      <c r="J56" s="19">
        <f>ROUND(93*1,0)&amp;"%"</f>
      </c>
    </row>
    <row x14ac:dyDescent="0.25" r="57" customHeight="1" ht="17.25">
      <c r="A57" s="20" t="s">
        <v>13631</v>
      </c>
      <c r="B57" s="20" t="s">
        <v>120</v>
      </c>
      <c r="C57" s="20" t="s">
        <v>114</v>
      </c>
      <c r="D57" s="20" t="s">
        <v>34</v>
      </c>
      <c r="E57" s="21">
        <f>ROUND(8805*1.05,2)</f>
      </c>
      <c r="F57" s="20" t="s">
        <v>35</v>
      </c>
      <c r="G57" s="20" t="s">
        <v>18</v>
      </c>
      <c r="H57" s="21">
        <f>ROUND(RAND()*4+6,1)</f>
      </c>
      <c r="I57" s="20" t="s">
        <v>36</v>
      </c>
      <c r="J57" s="23">
        <f>ROUND(86*1,0)&amp;"%"</f>
      </c>
    </row>
    <row x14ac:dyDescent="0.25" r="58" customHeight="1" ht="17.25">
      <c r="A58" s="17" t="s">
        <v>13632</v>
      </c>
      <c r="B58" s="17" t="s">
        <v>122</v>
      </c>
      <c r="C58" s="17" t="s">
        <v>114</v>
      </c>
      <c r="D58" s="17" t="s">
        <v>39</v>
      </c>
      <c r="E58" s="18">
        <f>ROUND(5404*1.05,2)</f>
      </c>
      <c r="F58" s="17" t="s">
        <v>40</v>
      </c>
      <c r="G58" s="17" t="s">
        <v>24</v>
      </c>
      <c r="H58" s="18">
        <f>ROUND(RAND()*4+6,1)</f>
      </c>
      <c r="I58" s="17" t="s">
        <v>41</v>
      </c>
      <c r="J58" s="19">
        <f>ROUND(90*1,0)&amp;"%"</f>
      </c>
    </row>
    <row x14ac:dyDescent="0.25" r="59" customHeight="1" ht="17.25">
      <c r="A59" s="20" t="s">
        <v>13633</v>
      </c>
      <c r="B59" s="20" t="s">
        <v>124</v>
      </c>
      <c r="C59" s="20" t="s">
        <v>114</v>
      </c>
      <c r="D59" s="20" t="s">
        <v>67</v>
      </c>
      <c r="E59" s="21">
        <f>ROUND(9179*1.05,2)</f>
      </c>
      <c r="F59" s="20" t="s">
        <v>44</v>
      </c>
      <c r="G59" s="20" t="s">
        <v>30</v>
      </c>
      <c r="H59" s="22">
        <f>ROUND(RAND()*4+6,1)</f>
      </c>
      <c r="I59" s="20" t="s">
        <v>45</v>
      </c>
      <c r="J59" s="23">
        <f>ROUND(78*1,0)&amp;"%"</f>
      </c>
    </row>
    <row x14ac:dyDescent="0.25" r="60" customHeight="1" ht="17.25">
      <c r="A60" s="17" t="s">
        <v>13634</v>
      </c>
      <c r="B60" s="17" t="s">
        <v>126</v>
      </c>
      <c r="C60" s="17" t="s">
        <v>114</v>
      </c>
      <c r="D60" s="17" t="s">
        <v>16</v>
      </c>
      <c r="E60" s="18">
        <f>ROUND(5573*1.05,2)</f>
      </c>
      <c r="F60" s="17" t="s">
        <v>48</v>
      </c>
      <c r="G60" s="17" t="s">
        <v>18</v>
      </c>
      <c r="H60" s="18">
        <f>ROUND(RAND()*4+6,1)</f>
      </c>
      <c r="I60" s="17" t="s">
        <v>19</v>
      </c>
      <c r="J60" s="19">
        <f>ROUND(91*1,0)&amp;"%"</f>
      </c>
    </row>
    <row x14ac:dyDescent="0.25" r="61" customHeight="1" ht="17.25">
      <c r="A61" s="20" t="s">
        <v>13635</v>
      </c>
      <c r="B61" s="20" t="s">
        <v>128</v>
      </c>
      <c r="C61" s="20" t="s">
        <v>114</v>
      </c>
      <c r="D61" s="20" t="s">
        <v>22</v>
      </c>
      <c r="E61" s="22">
        <f>ROUND(8420*1.05,2)</f>
      </c>
      <c r="F61" s="20" t="s">
        <v>51</v>
      </c>
      <c r="G61" s="20" t="s">
        <v>24</v>
      </c>
      <c r="H61" s="21">
        <f>ROUND(RAND()*4+6,1)</f>
      </c>
      <c r="I61" s="20" t="s">
        <v>25</v>
      </c>
      <c r="J61" s="23">
        <f>ROUND(98*1,0)&amp;"%"</f>
      </c>
    </row>
    <row x14ac:dyDescent="0.25" r="62" customHeight="1" ht="17.25">
      <c r="A62" s="24" t="s">
        <v>129</v>
      </c>
      <c r="B62" s="24"/>
      <c r="C62" s="24"/>
      <c r="D62" s="24"/>
      <c r="E62" s="25">
        <v>8</v>
      </c>
      <c r="F62" s="9"/>
      <c r="G62" s="9"/>
      <c r="H62" s="10"/>
      <c r="I62" s="9"/>
      <c r="J62" s="9"/>
    </row>
    <row x14ac:dyDescent="0.25" r="63" customHeight="1" ht="17.25">
      <c r="A63" s="7"/>
      <c r="B63" s="7"/>
      <c r="C63" s="7"/>
      <c r="D63" s="7"/>
      <c r="E63" s="8"/>
      <c r="F63" s="9"/>
      <c r="G63" s="9"/>
      <c r="H63" s="10"/>
      <c r="I63" s="9"/>
      <c r="J63" s="9"/>
    </row>
    <row x14ac:dyDescent="0.25" r="64" customHeight="1" ht="17.25">
      <c r="A64" s="11" t="s">
        <v>13636</v>
      </c>
      <c r="B64" s="11"/>
      <c r="C64" s="11"/>
      <c r="D64" s="11"/>
      <c r="E64" s="12"/>
      <c r="F64" s="11"/>
      <c r="G64" s="11"/>
      <c r="H64" s="13"/>
      <c r="I64" s="11"/>
      <c r="J64" s="11"/>
    </row>
    <row x14ac:dyDescent="0.25" r="65" customHeight="1" ht="17.25">
      <c r="A65" s="14" t="s">
        <v>3</v>
      </c>
      <c r="B65" s="14" t="s">
        <v>4</v>
      </c>
      <c r="C65" s="14" t="s">
        <v>5</v>
      </c>
      <c r="D65" s="14" t="s">
        <v>6</v>
      </c>
      <c r="E65" s="15" t="s">
        <v>7</v>
      </c>
      <c r="F65" s="14" t="s">
        <v>8</v>
      </c>
      <c r="G65" s="14" t="s">
        <v>9</v>
      </c>
      <c r="H65" s="16" t="s">
        <v>10</v>
      </c>
      <c r="I65" s="14" t="s">
        <v>11</v>
      </c>
      <c r="J65" s="14" t="s">
        <v>12</v>
      </c>
    </row>
    <row x14ac:dyDescent="0.25" r="66" customHeight="1" ht="17.25">
      <c r="A66" s="17" t="s">
        <v>13637</v>
      </c>
      <c r="B66" s="17" t="s">
        <v>132</v>
      </c>
      <c r="C66" s="17" t="s">
        <v>133</v>
      </c>
      <c r="D66" s="17" t="s">
        <v>16</v>
      </c>
      <c r="E66" s="18">
        <f>ROUND(4419*1.05,2)</f>
      </c>
      <c r="F66" s="17" t="s">
        <v>17</v>
      </c>
      <c r="G66" s="17" t="s">
        <v>18</v>
      </c>
      <c r="H66" s="26">
        <f>ROUND(RAND()*4+6,1)</f>
      </c>
      <c r="I66" s="17" t="s">
        <v>19</v>
      </c>
      <c r="J66" s="19">
        <f>ROUND(88*1,0)&amp;"%"</f>
      </c>
    </row>
    <row x14ac:dyDescent="0.25" r="67" customHeight="1" ht="17.25">
      <c r="A67" s="20" t="s">
        <v>13638</v>
      </c>
      <c r="B67" s="20" t="s">
        <v>135</v>
      </c>
      <c r="C67" s="20" t="s">
        <v>133</v>
      </c>
      <c r="D67" s="20" t="s">
        <v>22</v>
      </c>
      <c r="E67" s="21">
        <f>ROUND(6937*1.05,2)</f>
      </c>
      <c r="F67" s="20" t="s">
        <v>23</v>
      </c>
      <c r="G67" s="20" t="s">
        <v>24</v>
      </c>
      <c r="H67" s="21">
        <f>ROUND(RAND()*4+6,1)</f>
      </c>
      <c r="I67" s="20" t="s">
        <v>25</v>
      </c>
      <c r="J67" s="23">
        <f>ROUND(93*1,0)&amp;"%"</f>
      </c>
    </row>
    <row x14ac:dyDescent="0.25" r="68" customHeight="1" ht="17.25">
      <c r="A68" s="17" t="s">
        <v>13639</v>
      </c>
      <c r="B68" s="17" t="s">
        <v>137</v>
      </c>
      <c r="C68" s="17" t="s">
        <v>133</v>
      </c>
      <c r="D68" s="17" t="s">
        <v>28</v>
      </c>
      <c r="E68" s="18">
        <f>ROUND(17317*1.05,2)</f>
      </c>
      <c r="F68" s="17" t="s">
        <v>29</v>
      </c>
      <c r="G68" s="17" t="s">
        <v>30</v>
      </c>
      <c r="H68" s="18">
        <f>ROUND(RAND()*4+6,1)</f>
      </c>
      <c r="I68" s="17" t="s">
        <v>31</v>
      </c>
      <c r="J68" s="19">
        <f>ROUND(69*1,0)&amp;"%"</f>
      </c>
    </row>
    <row x14ac:dyDescent="0.25" r="69" customHeight="1" ht="17.25">
      <c r="A69" s="20" t="s">
        <v>13640</v>
      </c>
      <c r="B69" s="20" t="s">
        <v>139</v>
      </c>
      <c r="C69" s="20" t="s">
        <v>133</v>
      </c>
      <c r="D69" s="20" t="s">
        <v>34</v>
      </c>
      <c r="E69" s="21">
        <f>ROUND(9125*1.05,2)</f>
      </c>
      <c r="F69" s="20" t="s">
        <v>35</v>
      </c>
      <c r="G69" s="20" t="s">
        <v>18</v>
      </c>
      <c r="H69" s="22">
        <f>ROUND(RAND()*4+6,1)</f>
      </c>
      <c r="I69" s="20" t="s">
        <v>36</v>
      </c>
      <c r="J69" s="23">
        <f>ROUND(92*1,0)&amp;"%"</f>
      </c>
    </row>
    <row x14ac:dyDescent="0.25" r="70" customHeight="1" ht="17.25">
      <c r="A70" s="17" t="s">
        <v>13641</v>
      </c>
      <c r="B70" s="17" t="s">
        <v>141</v>
      </c>
      <c r="C70" s="17" t="s">
        <v>133</v>
      </c>
      <c r="D70" s="17" t="s">
        <v>39</v>
      </c>
      <c r="E70" s="18">
        <f>ROUND(14099*1.05,2)</f>
      </c>
      <c r="F70" s="17" t="s">
        <v>40</v>
      </c>
      <c r="G70" s="17" t="s">
        <v>24</v>
      </c>
      <c r="H70" s="18">
        <f>ROUND(RAND()*4+6,1)</f>
      </c>
      <c r="I70" s="17" t="s">
        <v>41</v>
      </c>
      <c r="J70" s="19">
        <f>ROUND(79*1,0)&amp;"%"</f>
      </c>
    </row>
    <row x14ac:dyDescent="0.25" r="71" customHeight="1" ht="17.25">
      <c r="A71" s="20" t="s">
        <v>13642</v>
      </c>
      <c r="B71" s="20" t="s">
        <v>143</v>
      </c>
      <c r="C71" s="20" t="s">
        <v>133</v>
      </c>
      <c r="D71" s="20" t="s">
        <v>67</v>
      </c>
      <c r="E71" s="21">
        <f>ROUND(5906*1.05,2)</f>
      </c>
      <c r="F71" s="20" t="s">
        <v>44</v>
      </c>
      <c r="G71" s="20" t="s">
        <v>30</v>
      </c>
      <c r="H71" s="21">
        <f>ROUND(RAND()*4+6,1)</f>
      </c>
      <c r="I71" s="20" t="s">
        <v>45</v>
      </c>
      <c r="J71" s="23">
        <f>ROUND(65*1,0)&amp;"%"</f>
      </c>
    </row>
    <row x14ac:dyDescent="0.25" r="72" customHeight="1" ht="17.25">
      <c r="A72" s="17" t="s">
        <v>13643</v>
      </c>
      <c r="B72" s="17" t="s">
        <v>145</v>
      </c>
      <c r="C72" s="17" t="s">
        <v>133</v>
      </c>
      <c r="D72" s="17" t="s">
        <v>16</v>
      </c>
      <c r="E72" s="18">
        <f>ROUND(4423*1.05,2)</f>
      </c>
      <c r="F72" s="17" t="s">
        <v>48</v>
      </c>
      <c r="G72" s="17" t="s">
        <v>18</v>
      </c>
      <c r="H72" s="18">
        <f>ROUND(RAND()*4+6,1)</f>
      </c>
      <c r="I72" s="17" t="s">
        <v>19</v>
      </c>
      <c r="J72" s="19">
        <f>ROUND(80*1,0)&amp;"%"</f>
      </c>
    </row>
    <row x14ac:dyDescent="0.25" r="73" customHeight="1" ht="17.25">
      <c r="A73" s="20" t="s">
        <v>13644</v>
      </c>
      <c r="B73" s="20" t="s">
        <v>147</v>
      </c>
      <c r="C73" s="20" t="s">
        <v>133</v>
      </c>
      <c r="D73" s="20" t="s">
        <v>22</v>
      </c>
      <c r="E73" s="21">
        <f>ROUND(13444*1.05,2)</f>
      </c>
      <c r="F73" s="20" t="s">
        <v>51</v>
      </c>
      <c r="G73" s="20" t="s">
        <v>24</v>
      </c>
      <c r="H73" s="21">
        <f>ROUND(RAND()*4+6,1)</f>
      </c>
      <c r="I73" s="20" t="s">
        <v>25</v>
      </c>
      <c r="J73" s="23">
        <f>ROUND(93*1,0)&amp;"%"</f>
      </c>
    </row>
    <row x14ac:dyDescent="0.25" r="74" customHeight="1" ht="17.25">
      <c r="A74" s="24" t="s">
        <v>148</v>
      </c>
      <c r="B74" s="24"/>
      <c r="C74" s="24"/>
      <c r="D74" s="24"/>
      <c r="E74" s="25">
        <v>8</v>
      </c>
      <c r="F74" s="9"/>
      <c r="G74" s="9"/>
      <c r="H74" s="10"/>
      <c r="I74" s="9"/>
      <c r="J74" s="9"/>
    </row>
    <row x14ac:dyDescent="0.25" r="75" customHeight="1" ht="17.25">
      <c r="A75" s="7"/>
      <c r="B75" s="7"/>
      <c r="C75" s="7"/>
      <c r="D75" s="7"/>
      <c r="E75" s="8"/>
      <c r="F75" s="9"/>
      <c r="G75" s="9"/>
      <c r="H75" s="10"/>
      <c r="I75" s="9"/>
      <c r="J75" s="9"/>
    </row>
    <row x14ac:dyDescent="0.25" r="76" customHeight="1" ht="17.25">
      <c r="A76" s="11" t="s">
        <v>13645</v>
      </c>
      <c r="B76" s="11"/>
      <c r="C76" s="11"/>
      <c r="D76" s="11"/>
      <c r="E76" s="12"/>
      <c r="F76" s="11"/>
      <c r="G76" s="11"/>
      <c r="H76" s="13"/>
      <c r="I76" s="11"/>
      <c r="J76" s="11"/>
    </row>
    <row x14ac:dyDescent="0.25" r="77" customHeight="1" ht="17.25">
      <c r="A77" s="14" t="s">
        <v>3</v>
      </c>
      <c r="B77" s="14" t="s">
        <v>4</v>
      </c>
      <c r="C77" s="14" t="s">
        <v>5</v>
      </c>
      <c r="D77" s="14" t="s">
        <v>6</v>
      </c>
      <c r="E77" s="15" t="s">
        <v>7</v>
      </c>
      <c r="F77" s="14" t="s">
        <v>8</v>
      </c>
      <c r="G77" s="14" t="s">
        <v>9</v>
      </c>
      <c r="H77" s="16" t="s">
        <v>10</v>
      </c>
      <c r="I77" s="14" t="s">
        <v>11</v>
      </c>
      <c r="J77" s="14" t="s">
        <v>12</v>
      </c>
    </row>
    <row x14ac:dyDescent="0.25" r="78" customHeight="1" ht="17.25">
      <c r="A78" s="17" t="s">
        <v>13646</v>
      </c>
      <c r="B78" s="17" t="s">
        <v>151</v>
      </c>
      <c r="C78" s="17" t="s">
        <v>152</v>
      </c>
      <c r="D78" s="17" t="s">
        <v>16</v>
      </c>
      <c r="E78" s="26">
        <f>ROUND(7420*1.05,2)</f>
      </c>
      <c r="F78" s="17" t="s">
        <v>17</v>
      </c>
      <c r="G78" s="17" t="s">
        <v>18</v>
      </c>
      <c r="H78" s="18">
        <f>ROUND(RAND()*4+6,1)</f>
      </c>
      <c r="I78" s="17" t="s">
        <v>19</v>
      </c>
      <c r="J78" s="19">
        <f>ROUND(90*1,0)&amp;"%"</f>
      </c>
    </row>
    <row x14ac:dyDescent="0.25" r="79" customHeight="1" ht="17.25">
      <c r="A79" s="20" t="s">
        <v>13647</v>
      </c>
      <c r="B79" s="20" t="s">
        <v>154</v>
      </c>
      <c r="C79" s="20" t="s">
        <v>152</v>
      </c>
      <c r="D79" s="20" t="s">
        <v>22</v>
      </c>
      <c r="E79" s="21">
        <f>ROUND(4187*1.05,2)</f>
      </c>
      <c r="F79" s="20" t="s">
        <v>23</v>
      </c>
      <c r="G79" s="20" t="s">
        <v>24</v>
      </c>
      <c r="H79" s="21">
        <f>ROUND(RAND()*4+6,1)</f>
      </c>
      <c r="I79" s="20" t="s">
        <v>25</v>
      </c>
      <c r="J79" s="23">
        <f>ROUND(60*1,0)&amp;"%"</f>
      </c>
    </row>
    <row x14ac:dyDescent="0.25" r="80" customHeight="1" ht="17.25">
      <c r="A80" s="17" t="s">
        <v>13648</v>
      </c>
      <c r="B80" s="17" t="s">
        <v>156</v>
      </c>
      <c r="C80" s="17" t="s">
        <v>152</v>
      </c>
      <c r="D80" s="17" t="s">
        <v>28</v>
      </c>
      <c r="E80" s="18">
        <f>ROUND(5785*1.05,2)</f>
      </c>
      <c r="F80" s="17" t="s">
        <v>29</v>
      </c>
      <c r="G80" s="17" t="s">
        <v>30</v>
      </c>
      <c r="H80" s="26">
        <f>ROUND(RAND()*4+6,1)</f>
      </c>
      <c r="I80" s="17" t="s">
        <v>31</v>
      </c>
      <c r="J80" s="19">
        <f>ROUND(88*1,0)&amp;"%"</f>
      </c>
    </row>
    <row x14ac:dyDescent="0.25" r="81" customHeight="1" ht="17.25">
      <c r="A81" s="20" t="s">
        <v>13649</v>
      </c>
      <c r="B81" s="20" t="s">
        <v>158</v>
      </c>
      <c r="C81" s="20" t="s">
        <v>152</v>
      </c>
      <c r="D81" s="20" t="s">
        <v>34</v>
      </c>
      <c r="E81" s="21">
        <f>ROUND(6565*1.05,2)</f>
      </c>
      <c r="F81" s="20" t="s">
        <v>35</v>
      </c>
      <c r="G81" s="20" t="s">
        <v>18</v>
      </c>
      <c r="H81" s="22">
        <f>ROUND(RAND()*4+6,1)</f>
      </c>
      <c r="I81" s="20" t="s">
        <v>36</v>
      </c>
      <c r="J81" s="23">
        <f>ROUND(75*1,0)&amp;"%"</f>
      </c>
    </row>
    <row x14ac:dyDescent="0.25" r="82" customHeight="1" ht="17.25">
      <c r="A82" s="17" t="s">
        <v>13650</v>
      </c>
      <c r="B82" s="17" t="s">
        <v>160</v>
      </c>
      <c r="C82" s="17" t="s">
        <v>152</v>
      </c>
      <c r="D82" s="17" t="s">
        <v>39</v>
      </c>
      <c r="E82" s="18">
        <f>ROUND(5084*1.05,2)</f>
      </c>
      <c r="F82" s="17" t="s">
        <v>40</v>
      </c>
      <c r="G82" s="17" t="s">
        <v>24</v>
      </c>
      <c r="H82" s="18">
        <f>ROUND(RAND()*4+6,1)</f>
      </c>
      <c r="I82" s="17" t="s">
        <v>41</v>
      </c>
      <c r="J82" s="19">
        <f>ROUND(91*1,0)&amp;"%"</f>
      </c>
    </row>
    <row x14ac:dyDescent="0.25" r="83" customHeight="1" ht="17.25">
      <c r="A83" s="20" t="s">
        <v>13651</v>
      </c>
      <c r="B83" s="20" t="s">
        <v>162</v>
      </c>
      <c r="C83" s="20" t="s">
        <v>152</v>
      </c>
      <c r="D83" s="20" t="s">
        <v>67</v>
      </c>
      <c r="E83" s="22">
        <f>ROUND(10620*1.05,2)</f>
      </c>
      <c r="F83" s="20" t="s">
        <v>44</v>
      </c>
      <c r="G83" s="20" t="s">
        <v>30</v>
      </c>
      <c r="H83" s="21">
        <f>ROUND(RAND()*4+6,1)</f>
      </c>
      <c r="I83" s="20" t="s">
        <v>45</v>
      </c>
      <c r="J83" s="23">
        <f>ROUND(95*1,0)&amp;"%"</f>
      </c>
    </row>
    <row x14ac:dyDescent="0.25" r="84" customHeight="1" ht="17.25">
      <c r="A84" s="17" t="s">
        <v>13652</v>
      </c>
      <c r="B84" s="17" t="s">
        <v>164</v>
      </c>
      <c r="C84" s="17" t="s">
        <v>152</v>
      </c>
      <c r="D84" s="17" t="s">
        <v>16</v>
      </c>
      <c r="E84" s="18">
        <f>ROUND(13293*1.05,2)</f>
      </c>
      <c r="F84" s="17" t="s">
        <v>48</v>
      </c>
      <c r="G84" s="17" t="s">
        <v>18</v>
      </c>
      <c r="H84" s="18">
        <f>ROUND(RAND()*4+6,1)</f>
      </c>
      <c r="I84" s="17" t="s">
        <v>19</v>
      </c>
      <c r="J84" s="19">
        <f>ROUND(68*1,0)&amp;"%"</f>
      </c>
    </row>
    <row x14ac:dyDescent="0.25" r="85" customHeight="1" ht="17.25">
      <c r="A85" s="20" t="s">
        <v>13653</v>
      </c>
      <c r="B85" s="20" t="s">
        <v>166</v>
      </c>
      <c r="C85" s="20" t="s">
        <v>152</v>
      </c>
      <c r="D85" s="20" t="s">
        <v>22</v>
      </c>
      <c r="E85" s="21">
        <f>ROUND(4546*1.05,2)</f>
      </c>
      <c r="F85" s="20" t="s">
        <v>51</v>
      </c>
      <c r="G85" s="20" t="s">
        <v>24</v>
      </c>
      <c r="H85" s="21">
        <f>ROUND(RAND()*4+6,1)</f>
      </c>
      <c r="I85" s="20" t="s">
        <v>25</v>
      </c>
      <c r="J85" s="23">
        <f>ROUND(71*1,0)&amp;"%"</f>
      </c>
    </row>
    <row x14ac:dyDescent="0.25" r="86" customHeight="1" ht="17.25">
      <c r="A86" s="24" t="s">
        <v>167</v>
      </c>
      <c r="B86" s="24"/>
      <c r="C86" s="24"/>
      <c r="D86" s="24"/>
      <c r="E86" s="25">
        <v>8</v>
      </c>
      <c r="F86" s="9"/>
      <c r="G86" s="9"/>
      <c r="H86" s="10"/>
      <c r="I86" s="9"/>
      <c r="J86" s="9"/>
    </row>
    <row x14ac:dyDescent="0.25" r="87" customHeight="1" ht="17.25">
      <c r="A87" s="7"/>
      <c r="B87" s="7"/>
      <c r="C87" s="7"/>
      <c r="D87" s="7"/>
      <c r="E87" s="8"/>
      <c r="F87" s="9"/>
      <c r="G87" s="9"/>
      <c r="H87" s="10"/>
      <c r="I87" s="9"/>
      <c r="J87" s="9"/>
    </row>
    <row x14ac:dyDescent="0.25" r="88" customHeight="1" ht="17.25">
      <c r="A88" s="11" t="s">
        <v>13654</v>
      </c>
      <c r="B88" s="11"/>
      <c r="C88" s="11"/>
      <c r="D88" s="11"/>
      <c r="E88" s="12"/>
      <c r="F88" s="11"/>
      <c r="G88" s="11"/>
      <c r="H88" s="13"/>
      <c r="I88" s="11"/>
      <c r="J88" s="11"/>
    </row>
    <row x14ac:dyDescent="0.25" r="89" customHeight="1" ht="17.25">
      <c r="A89" s="14" t="s">
        <v>3</v>
      </c>
      <c r="B89" s="14" t="s">
        <v>4</v>
      </c>
      <c r="C89" s="14" t="s">
        <v>5</v>
      </c>
      <c r="D89" s="14" t="s">
        <v>6</v>
      </c>
      <c r="E89" s="15" t="s">
        <v>7</v>
      </c>
      <c r="F89" s="14" t="s">
        <v>8</v>
      </c>
      <c r="G89" s="14" t="s">
        <v>9</v>
      </c>
      <c r="H89" s="16" t="s">
        <v>10</v>
      </c>
      <c r="I89" s="14" t="s">
        <v>11</v>
      </c>
      <c r="J89" s="14" t="s">
        <v>12</v>
      </c>
    </row>
    <row x14ac:dyDescent="0.25" r="90" customHeight="1" ht="17.25">
      <c r="A90" s="17" t="s">
        <v>13655</v>
      </c>
      <c r="B90" s="17" t="s">
        <v>170</v>
      </c>
      <c r="C90" s="17" t="s">
        <v>15</v>
      </c>
      <c r="D90" s="17" t="s">
        <v>16</v>
      </c>
      <c r="E90" s="18">
        <f>ROUND(4606*1.05,2)</f>
      </c>
      <c r="F90" s="17" t="s">
        <v>17</v>
      </c>
      <c r="G90" s="17" t="s">
        <v>18</v>
      </c>
      <c r="H90" s="18">
        <f>ROUND(RAND()*4+6,1)</f>
      </c>
      <c r="I90" s="17" t="s">
        <v>19</v>
      </c>
      <c r="J90" s="19">
        <f>ROUND(88*1,0)&amp;"%"</f>
      </c>
    </row>
    <row x14ac:dyDescent="0.25" r="91" customHeight="1" ht="17.25">
      <c r="A91" s="20" t="s">
        <v>13656</v>
      </c>
      <c r="B91" s="20" t="s">
        <v>172</v>
      </c>
      <c r="C91" s="20" t="s">
        <v>15</v>
      </c>
      <c r="D91" s="20" t="s">
        <v>22</v>
      </c>
      <c r="E91" s="21">
        <f>ROUND(6030*1.05,2)</f>
      </c>
      <c r="F91" s="20" t="s">
        <v>23</v>
      </c>
      <c r="G91" s="20" t="s">
        <v>24</v>
      </c>
      <c r="H91" s="21">
        <f>ROUND(RAND()*4+6,1)</f>
      </c>
      <c r="I91" s="20" t="s">
        <v>25</v>
      </c>
      <c r="J91" s="23">
        <f>ROUND(89*1,0)&amp;"%"</f>
      </c>
    </row>
    <row x14ac:dyDescent="0.25" r="92" customHeight="1" ht="17.25">
      <c r="A92" s="17" t="s">
        <v>13657</v>
      </c>
      <c r="B92" s="17" t="s">
        <v>174</v>
      </c>
      <c r="C92" s="17" t="s">
        <v>15</v>
      </c>
      <c r="D92" s="17" t="s">
        <v>28</v>
      </c>
      <c r="E92" s="18">
        <f>ROUND(15332*1.05,2)</f>
      </c>
      <c r="F92" s="17" t="s">
        <v>29</v>
      </c>
      <c r="G92" s="17" t="s">
        <v>30</v>
      </c>
      <c r="H92" s="18">
        <f>ROUND(RAND()*4+6,1)</f>
      </c>
      <c r="I92" s="17" t="s">
        <v>31</v>
      </c>
      <c r="J92" s="19">
        <f>ROUND(84*1,0)&amp;"%"</f>
      </c>
    </row>
    <row x14ac:dyDescent="0.25" r="93" customHeight="1" ht="17.25">
      <c r="A93" s="20" t="s">
        <v>13658</v>
      </c>
      <c r="B93" s="20" t="s">
        <v>176</v>
      </c>
      <c r="C93" s="20" t="s">
        <v>15</v>
      </c>
      <c r="D93" s="20" t="s">
        <v>34</v>
      </c>
      <c r="E93" s="21">
        <f>ROUND(7430*1.05,2)</f>
      </c>
      <c r="F93" s="20" t="s">
        <v>35</v>
      </c>
      <c r="G93" s="20" t="s">
        <v>18</v>
      </c>
      <c r="H93" s="21">
        <f>ROUND(RAND()*4+6,1)</f>
      </c>
      <c r="I93" s="20" t="s">
        <v>36</v>
      </c>
      <c r="J93" s="23">
        <f>ROUND(83*1,0)&amp;"%"</f>
      </c>
    </row>
    <row x14ac:dyDescent="0.25" r="94" customHeight="1" ht="17.25">
      <c r="A94" s="17" t="s">
        <v>13659</v>
      </c>
      <c r="B94" s="17" t="s">
        <v>178</v>
      </c>
      <c r="C94" s="17" t="s">
        <v>15</v>
      </c>
      <c r="D94" s="17" t="s">
        <v>39</v>
      </c>
      <c r="E94" s="18">
        <f>ROUND(17226*1.05,2)</f>
      </c>
      <c r="F94" s="17" t="s">
        <v>40</v>
      </c>
      <c r="G94" s="17" t="s">
        <v>24</v>
      </c>
      <c r="H94" s="18">
        <f>ROUND(RAND()*4+6,1)</f>
      </c>
      <c r="I94" s="17" t="s">
        <v>41</v>
      </c>
      <c r="J94" s="19">
        <f>ROUND(100*1,0)&amp;"%"</f>
      </c>
    </row>
    <row x14ac:dyDescent="0.25" r="95" customHeight="1" ht="17.25">
      <c r="A95" s="20" t="s">
        <v>13660</v>
      </c>
      <c r="B95" s="20" t="s">
        <v>180</v>
      </c>
      <c r="C95" s="20" t="s">
        <v>15</v>
      </c>
      <c r="D95" s="20" t="s">
        <v>67</v>
      </c>
      <c r="E95" s="21">
        <f>ROUND(14441*1.05,2)</f>
      </c>
      <c r="F95" s="20" t="s">
        <v>44</v>
      </c>
      <c r="G95" s="20" t="s">
        <v>30</v>
      </c>
      <c r="H95" s="21">
        <f>ROUND(RAND()*4+6,1)</f>
      </c>
      <c r="I95" s="20" t="s">
        <v>45</v>
      </c>
      <c r="J95" s="23">
        <f>ROUND(62*1,0)&amp;"%"</f>
      </c>
    </row>
    <row x14ac:dyDescent="0.25" r="96" customHeight="1" ht="17.25">
      <c r="A96" s="17" t="s">
        <v>13661</v>
      </c>
      <c r="B96" s="17" t="s">
        <v>182</v>
      </c>
      <c r="C96" s="17" t="s">
        <v>15</v>
      </c>
      <c r="D96" s="17" t="s">
        <v>16</v>
      </c>
      <c r="E96" s="18">
        <f>ROUND(15755*1.05,2)</f>
      </c>
      <c r="F96" s="17" t="s">
        <v>48</v>
      </c>
      <c r="G96" s="17" t="s">
        <v>18</v>
      </c>
      <c r="H96" s="18">
        <f>ROUND(RAND()*4+6,1)</f>
      </c>
      <c r="I96" s="17" t="s">
        <v>19</v>
      </c>
      <c r="J96" s="19">
        <f>ROUND(92*1,0)&amp;"%"</f>
      </c>
    </row>
    <row x14ac:dyDescent="0.25" r="97" customHeight="1" ht="17.25">
      <c r="A97" s="20" t="s">
        <v>13662</v>
      </c>
      <c r="B97" s="20" t="s">
        <v>184</v>
      </c>
      <c r="C97" s="20" t="s">
        <v>15</v>
      </c>
      <c r="D97" s="20" t="s">
        <v>22</v>
      </c>
      <c r="E97" s="21">
        <f>ROUND(12881*1.05,2)</f>
      </c>
      <c r="F97" s="20" t="s">
        <v>51</v>
      </c>
      <c r="G97" s="20" t="s">
        <v>24</v>
      </c>
      <c r="H97" s="21">
        <f>ROUND(RAND()*4+6,1)</f>
      </c>
      <c r="I97" s="20" t="s">
        <v>25</v>
      </c>
      <c r="J97" s="23">
        <f>ROUND(74*1,0)&amp;"%"</f>
      </c>
    </row>
    <row x14ac:dyDescent="0.25" r="98" customHeight="1" ht="17.25">
      <c r="A98" s="24" t="s">
        <v>185</v>
      </c>
      <c r="B98" s="24"/>
      <c r="C98" s="24"/>
      <c r="D98" s="24"/>
      <c r="E98" s="25">
        <v>8</v>
      </c>
      <c r="F98" s="9"/>
      <c r="G98" s="9"/>
      <c r="H98" s="10"/>
      <c r="I98" s="9"/>
      <c r="J98" s="9"/>
    </row>
    <row x14ac:dyDescent="0.25" r="99" customHeight="1" ht="17.25">
      <c r="A99" s="7"/>
      <c r="B99" s="7"/>
      <c r="C99" s="7"/>
      <c r="D99" s="7"/>
      <c r="E99" s="8"/>
      <c r="F99" s="9"/>
      <c r="G99" s="9"/>
      <c r="H99" s="10"/>
      <c r="I99" s="9"/>
      <c r="J99" s="9"/>
    </row>
    <row x14ac:dyDescent="0.25" r="100" customHeight="1" ht="17.25">
      <c r="A100" s="11" t="s">
        <v>13663</v>
      </c>
      <c r="B100" s="11"/>
      <c r="C100" s="11"/>
      <c r="D100" s="11"/>
      <c r="E100" s="12"/>
      <c r="F100" s="11"/>
      <c r="G100" s="11"/>
      <c r="H100" s="13"/>
      <c r="I100" s="11"/>
      <c r="J100" s="11"/>
    </row>
    <row x14ac:dyDescent="0.25" r="101" customHeight="1" ht="17.25">
      <c r="A101" s="14" t="s">
        <v>3</v>
      </c>
      <c r="B101" s="14" t="s">
        <v>4</v>
      </c>
      <c r="C101" s="14" t="s">
        <v>5</v>
      </c>
      <c r="D101" s="14" t="s">
        <v>6</v>
      </c>
      <c r="E101" s="15" t="s">
        <v>7</v>
      </c>
      <c r="F101" s="14" t="s">
        <v>8</v>
      </c>
      <c r="G101" s="14" t="s">
        <v>9</v>
      </c>
      <c r="H101" s="16" t="s">
        <v>10</v>
      </c>
      <c r="I101" s="14" t="s">
        <v>11</v>
      </c>
      <c r="J101" s="14" t="s">
        <v>12</v>
      </c>
    </row>
    <row x14ac:dyDescent="0.25" r="102" customHeight="1" ht="17.25">
      <c r="A102" s="17" t="s">
        <v>13664</v>
      </c>
      <c r="B102" s="17" t="s">
        <v>188</v>
      </c>
      <c r="C102" s="17" t="s">
        <v>56</v>
      </c>
      <c r="D102" s="17" t="s">
        <v>16</v>
      </c>
      <c r="E102" s="18">
        <f>ROUND(10853*1.05,2)</f>
      </c>
      <c r="F102" s="17" t="s">
        <v>17</v>
      </c>
      <c r="G102" s="17" t="s">
        <v>18</v>
      </c>
      <c r="H102" s="18">
        <f>ROUND(RAND()*4+6,1)</f>
      </c>
      <c r="I102" s="17" t="s">
        <v>19</v>
      </c>
      <c r="J102" s="19">
        <f>ROUND(100*1,0)&amp;"%"</f>
      </c>
    </row>
    <row x14ac:dyDescent="0.25" r="103" customHeight="1" ht="17.25">
      <c r="A103" s="20" t="s">
        <v>13665</v>
      </c>
      <c r="B103" s="20" t="s">
        <v>190</v>
      </c>
      <c r="C103" s="20" t="s">
        <v>56</v>
      </c>
      <c r="D103" s="20" t="s">
        <v>22</v>
      </c>
      <c r="E103" s="21">
        <f>ROUND(7519*1.05,2)</f>
      </c>
      <c r="F103" s="20" t="s">
        <v>23</v>
      </c>
      <c r="G103" s="20" t="s">
        <v>24</v>
      </c>
      <c r="H103" s="21">
        <f>ROUND(RAND()*4+6,1)</f>
      </c>
      <c r="I103" s="20" t="s">
        <v>25</v>
      </c>
      <c r="J103" s="23">
        <f>ROUND(88*1,0)&amp;"%"</f>
      </c>
    </row>
    <row x14ac:dyDescent="0.25" r="104" customHeight="1" ht="17.25">
      <c r="A104" s="17" t="s">
        <v>13666</v>
      </c>
      <c r="B104" s="17" t="s">
        <v>192</v>
      </c>
      <c r="C104" s="17" t="s">
        <v>56</v>
      </c>
      <c r="D104" s="17" t="s">
        <v>28</v>
      </c>
      <c r="E104" s="18">
        <f>ROUND(14479*1.05,2)</f>
      </c>
      <c r="F104" s="17" t="s">
        <v>29</v>
      </c>
      <c r="G104" s="17" t="s">
        <v>30</v>
      </c>
      <c r="H104" s="18">
        <f>ROUND(RAND()*4+6,1)</f>
      </c>
      <c r="I104" s="17" t="s">
        <v>31</v>
      </c>
      <c r="J104" s="19">
        <f>ROUND(81*1,0)&amp;"%"</f>
      </c>
    </row>
    <row x14ac:dyDescent="0.25" r="105" customHeight="1" ht="17.25">
      <c r="A105" s="20" t="s">
        <v>13667</v>
      </c>
      <c r="B105" s="20" t="s">
        <v>194</v>
      </c>
      <c r="C105" s="20" t="s">
        <v>56</v>
      </c>
      <c r="D105" s="20" t="s">
        <v>34</v>
      </c>
      <c r="E105" s="21">
        <f>ROUND(15726*1.05,2)</f>
      </c>
      <c r="F105" s="20" t="s">
        <v>35</v>
      </c>
      <c r="G105" s="20" t="s">
        <v>18</v>
      </c>
      <c r="H105" s="21">
        <f>ROUND(RAND()*4+6,1)</f>
      </c>
      <c r="I105" s="20" t="s">
        <v>36</v>
      </c>
      <c r="J105" s="23">
        <f>ROUND(67*1,0)&amp;"%"</f>
      </c>
    </row>
    <row x14ac:dyDescent="0.25" r="106" customHeight="1" ht="17.25">
      <c r="A106" s="17" t="s">
        <v>13668</v>
      </c>
      <c r="B106" s="17" t="s">
        <v>196</v>
      </c>
      <c r="C106" s="17" t="s">
        <v>56</v>
      </c>
      <c r="D106" s="17" t="s">
        <v>39</v>
      </c>
      <c r="E106" s="18">
        <f>ROUND(15130*1.05,2)</f>
      </c>
      <c r="F106" s="17" t="s">
        <v>40</v>
      </c>
      <c r="G106" s="17" t="s">
        <v>24</v>
      </c>
      <c r="H106" s="18">
        <f>ROUND(RAND()*4+6,1)</f>
      </c>
      <c r="I106" s="17" t="s">
        <v>41</v>
      </c>
      <c r="J106" s="19">
        <f>ROUND(96*1,0)&amp;"%"</f>
      </c>
    </row>
    <row x14ac:dyDescent="0.25" r="107" customHeight="1" ht="17.25">
      <c r="A107" s="20" t="s">
        <v>13669</v>
      </c>
      <c r="B107" s="20" t="s">
        <v>198</v>
      </c>
      <c r="C107" s="20" t="s">
        <v>56</v>
      </c>
      <c r="D107" s="20" t="s">
        <v>67</v>
      </c>
      <c r="E107" s="21">
        <f>ROUND(15003*1.05,2)</f>
      </c>
      <c r="F107" s="20" t="s">
        <v>44</v>
      </c>
      <c r="G107" s="20" t="s">
        <v>30</v>
      </c>
      <c r="H107" s="21">
        <f>ROUND(RAND()*4+6,1)</f>
      </c>
      <c r="I107" s="20" t="s">
        <v>45</v>
      </c>
      <c r="J107" s="23">
        <f>ROUND(76*1,0)&amp;"%"</f>
      </c>
    </row>
    <row x14ac:dyDescent="0.25" r="108" customHeight="1" ht="17.25">
      <c r="A108" s="17" t="s">
        <v>13670</v>
      </c>
      <c r="B108" s="17" t="s">
        <v>200</v>
      </c>
      <c r="C108" s="17" t="s">
        <v>56</v>
      </c>
      <c r="D108" s="17" t="s">
        <v>16</v>
      </c>
      <c r="E108" s="18">
        <f>ROUND(7147*1.05,2)</f>
      </c>
      <c r="F108" s="17" t="s">
        <v>48</v>
      </c>
      <c r="G108" s="17" t="s">
        <v>18</v>
      </c>
      <c r="H108" s="18">
        <f>ROUND(RAND()*4+6,1)</f>
      </c>
      <c r="I108" s="17" t="s">
        <v>19</v>
      </c>
      <c r="J108" s="19">
        <f>ROUND(96*1,0)&amp;"%"</f>
      </c>
    </row>
    <row x14ac:dyDescent="0.25" r="109" customHeight="1" ht="17.25">
      <c r="A109" s="20" t="s">
        <v>13671</v>
      </c>
      <c r="B109" s="20" t="s">
        <v>202</v>
      </c>
      <c r="C109" s="20" t="s">
        <v>56</v>
      </c>
      <c r="D109" s="20" t="s">
        <v>22</v>
      </c>
      <c r="E109" s="21">
        <f>ROUND(11465*1.05,2)</f>
      </c>
      <c r="F109" s="20" t="s">
        <v>51</v>
      </c>
      <c r="G109" s="20" t="s">
        <v>24</v>
      </c>
      <c r="H109" s="21">
        <f>ROUND(RAND()*4+6,1)</f>
      </c>
      <c r="I109" s="20" t="s">
        <v>25</v>
      </c>
      <c r="J109" s="23">
        <f>ROUND(72*1,0)&amp;"%"</f>
      </c>
    </row>
    <row x14ac:dyDescent="0.25" r="110" customHeight="1" ht="17.25">
      <c r="A110" s="24" t="s">
        <v>203</v>
      </c>
      <c r="B110" s="24"/>
      <c r="C110" s="24"/>
      <c r="D110" s="24"/>
      <c r="E110" s="25">
        <v>8</v>
      </c>
      <c r="F110" s="9"/>
      <c r="G110" s="9"/>
      <c r="H110" s="10"/>
      <c r="I110" s="9"/>
      <c r="J110" s="9"/>
    </row>
    <row x14ac:dyDescent="0.25" r="111" customHeight="1" ht="17.25">
      <c r="A111" s="7"/>
      <c r="B111" s="7"/>
      <c r="C111" s="7"/>
      <c r="D111" s="7"/>
      <c r="E111" s="8"/>
      <c r="F111" s="9"/>
      <c r="G111" s="9"/>
      <c r="H111" s="10"/>
      <c r="I111" s="9"/>
      <c r="J111" s="9"/>
    </row>
    <row x14ac:dyDescent="0.25" r="112" customHeight="1" ht="17.25">
      <c r="A112" s="11" t="s">
        <v>13672</v>
      </c>
      <c r="B112" s="11"/>
      <c r="C112" s="11"/>
      <c r="D112" s="11"/>
      <c r="E112" s="12"/>
      <c r="F112" s="11"/>
      <c r="G112" s="11"/>
      <c r="H112" s="13"/>
      <c r="I112" s="11"/>
      <c r="J112" s="11"/>
    </row>
    <row x14ac:dyDescent="0.25" r="113" customHeight="1" ht="17.25">
      <c r="A113" s="14" t="s">
        <v>3</v>
      </c>
      <c r="B113" s="14" t="s">
        <v>4</v>
      </c>
      <c r="C113" s="14" t="s">
        <v>5</v>
      </c>
      <c r="D113" s="14" t="s">
        <v>6</v>
      </c>
      <c r="E113" s="15" t="s">
        <v>7</v>
      </c>
      <c r="F113" s="14" t="s">
        <v>8</v>
      </c>
      <c r="G113" s="14" t="s">
        <v>9</v>
      </c>
      <c r="H113" s="16" t="s">
        <v>10</v>
      </c>
      <c r="I113" s="14" t="s">
        <v>11</v>
      </c>
      <c r="J113" s="14" t="s">
        <v>12</v>
      </c>
    </row>
    <row x14ac:dyDescent="0.25" r="114" customHeight="1" ht="17.25">
      <c r="A114" s="17" t="s">
        <v>13673</v>
      </c>
      <c r="B114" s="17" t="s">
        <v>206</v>
      </c>
      <c r="C114" s="17" t="s">
        <v>76</v>
      </c>
      <c r="D114" s="17" t="s">
        <v>16</v>
      </c>
      <c r="E114" s="18">
        <f>ROUND(13321*1.05,2)</f>
      </c>
      <c r="F114" s="17" t="s">
        <v>17</v>
      </c>
      <c r="G114" s="17" t="s">
        <v>18</v>
      </c>
      <c r="H114" s="18">
        <f>ROUND(RAND()*4+6,1)</f>
      </c>
      <c r="I114" s="17" t="s">
        <v>19</v>
      </c>
      <c r="J114" s="19">
        <f>ROUND(87*1,0)&amp;"%"</f>
      </c>
    </row>
    <row x14ac:dyDescent="0.25" r="115" customHeight="1" ht="17.25">
      <c r="A115" s="20" t="s">
        <v>13674</v>
      </c>
      <c r="B115" s="20" t="s">
        <v>208</v>
      </c>
      <c r="C115" s="20" t="s">
        <v>76</v>
      </c>
      <c r="D115" s="20" t="s">
        <v>22</v>
      </c>
      <c r="E115" s="21">
        <f>ROUND(15345*1.05,2)</f>
      </c>
      <c r="F115" s="20" t="s">
        <v>23</v>
      </c>
      <c r="G115" s="20" t="s">
        <v>24</v>
      </c>
      <c r="H115" s="21">
        <f>ROUND(RAND()*4+6,1)</f>
      </c>
      <c r="I115" s="20" t="s">
        <v>25</v>
      </c>
      <c r="J115" s="23">
        <f>ROUND(61*1,0)&amp;"%"</f>
      </c>
    </row>
    <row x14ac:dyDescent="0.25" r="116" customHeight="1" ht="17.25">
      <c r="A116" s="17" t="s">
        <v>13675</v>
      </c>
      <c r="B116" s="17" t="s">
        <v>210</v>
      </c>
      <c r="C116" s="17" t="s">
        <v>76</v>
      </c>
      <c r="D116" s="17" t="s">
        <v>28</v>
      </c>
      <c r="E116" s="18">
        <f>ROUND(5862*1.05,2)</f>
      </c>
      <c r="F116" s="17" t="s">
        <v>29</v>
      </c>
      <c r="G116" s="17" t="s">
        <v>30</v>
      </c>
      <c r="H116" s="18">
        <f>ROUND(RAND()*4+6,1)</f>
      </c>
      <c r="I116" s="17" t="s">
        <v>31</v>
      </c>
      <c r="J116" s="19">
        <f>ROUND(77*1,0)&amp;"%"</f>
      </c>
    </row>
    <row x14ac:dyDescent="0.25" r="117" customHeight="1" ht="17.25">
      <c r="A117" s="20" t="s">
        <v>13676</v>
      </c>
      <c r="B117" s="20" t="s">
        <v>212</v>
      </c>
      <c r="C117" s="20" t="s">
        <v>76</v>
      </c>
      <c r="D117" s="20" t="s">
        <v>34</v>
      </c>
      <c r="E117" s="21">
        <f>ROUND(12456*1.05,2)</f>
      </c>
      <c r="F117" s="20" t="s">
        <v>35</v>
      </c>
      <c r="G117" s="20" t="s">
        <v>18</v>
      </c>
      <c r="H117" s="21">
        <f>ROUND(RAND()*4+6,1)</f>
      </c>
      <c r="I117" s="20" t="s">
        <v>36</v>
      </c>
      <c r="J117" s="23">
        <f>ROUND(80*1,0)&amp;"%"</f>
      </c>
    </row>
    <row x14ac:dyDescent="0.25" r="118" customHeight="1" ht="17.25">
      <c r="A118" s="17" t="s">
        <v>13677</v>
      </c>
      <c r="B118" s="17" t="s">
        <v>214</v>
      </c>
      <c r="C118" s="17" t="s">
        <v>76</v>
      </c>
      <c r="D118" s="17" t="s">
        <v>39</v>
      </c>
      <c r="E118" s="18">
        <f>ROUND(14019*1.05,2)</f>
      </c>
      <c r="F118" s="17" t="s">
        <v>40</v>
      </c>
      <c r="G118" s="17" t="s">
        <v>24</v>
      </c>
      <c r="H118" s="18">
        <f>ROUND(RAND()*4+6,1)</f>
      </c>
      <c r="I118" s="17" t="s">
        <v>41</v>
      </c>
      <c r="J118" s="19">
        <f>ROUND(70*1,0)&amp;"%"</f>
      </c>
    </row>
    <row x14ac:dyDescent="0.25" r="119" customHeight="1" ht="17.25">
      <c r="A119" s="20" t="s">
        <v>13678</v>
      </c>
      <c r="B119" s="20" t="s">
        <v>216</v>
      </c>
      <c r="C119" s="20" t="s">
        <v>76</v>
      </c>
      <c r="D119" s="20" t="s">
        <v>67</v>
      </c>
      <c r="E119" s="21">
        <f>ROUND(14353*1.05,2)</f>
      </c>
      <c r="F119" s="20" t="s">
        <v>44</v>
      </c>
      <c r="G119" s="20" t="s">
        <v>30</v>
      </c>
      <c r="H119" s="21">
        <f>ROUND(RAND()*4+6,1)</f>
      </c>
      <c r="I119" s="20" t="s">
        <v>45</v>
      </c>
      <c r="J119" s="23">
        <f>ROUND(86*1,0)&amp;"%"</f>
      </c>
    </row>
    <row x14ac:dyDescent="0.25" r="120" customHeight="1" ht="17.25">
      <c r="A120" s="17" t="s">
        <v>13679</v>
      </c>
      <c r="B120" s="17" t="s">
        <v>218</v>
      </c>
      <c r="C120" s="17" t="s">
        <v>76</v>
      </c>
      <c r="D120" s="17" t="s">
        <v>16</v>
      </c>
      <c r="E120" s="18">
        <f>ROUND(13595*1.05,2)</f>
      </c>
      <c r="F120" s="17" t="s">
        <v>48</v>
      </c>
      <c r="G120" s="17" t="s">
        <v>18</v>
      </c>
      <c r="H120" s="18">
        <f>ROUND(RAND()*4+6,1)</f>
      </c>
      <c r="I120" s="17" t="s">
        <v>19</v>
      </c>
      <c r="J120" s="19">
        <f>ROUND(63*1,0)&amp;"%"</f>
      </c>
    </row>
    <row x14ac:dyDescent="0.25" r="121" customHeight="1" ht="17.25">
      <c r="A121" s="20" t="s">
        <v>13680</v>
      </c>
      <c r="B121" s="20" t="s">
        <v>220</v>
      </c>
      <c r="C121" s="20" t="s">
        <v>76</v>
      </c>
      <c r="D121" s="20" t="s">
        <v>22</v>
      </c>
      <c r="E121" s="21">
        <f>ROUND(16327*1.05,2)</f>
      </c>
      <c r="F121" s="20" t="s">
        <v>51</v>
      </c>
      <c r="G121" s="20" t="s">
        <v>24</v>
      </c>
      <c r="H121" s="21">
        <f>ROUND(RAND()*4+6,1)</f>
      </c>
      <c r="I121" s="20" t="s">
        <v>25</v>
      </c>
      <c r="J121" s="23">
        <f>ROUND(74*1,0)&amp;"%"</f>
      </c>
    </row>
    <row x14ac:dyDescent="0.25" r="122" customHeight="1" ht="17.25">
      <c r="A122" s="24" t="s">
        <v>221</v>
      </c>
      <c r="B122" s="24"/>
      <c r="C122" s="24"/>
      <c r="D122" s="24"/>
      <c r="E122" s="25">
        <v>8</v>
      </c>
      <c r="F122" s="9"/>
      <c r="G122" s="9"/>
      <c r="H122" s="10"/>
      <c r="I122" s="9"/>
      <c r="J122" s="9"/>
    </row>
    <row x14ac:dyDescent="0.25" r="123" customHeight="1" ht="17.25">
      <c r="A123" s="7"/>
      <c r="B123" s="7"/>
      <c r="C123" s="7"/>
      <c r="D123" s="7"/>
      <c r="E123" s="8"/>
      <c r="F123" s="9"/>
      <c r="G123" s="9"/>
      <c r="H123" s="10"/>
      <c r="I123" s="9"/>
      <c r="J123" s="9"/>
    </row>
    <row x14ac:dyDescent="0.25" r="124" customHeight="1" ht="17.25">
      <c r="A124" s="11" t="s">
        <v>13681</v>
      </c>
      <c r="B124" s="11"/>
      <c r="C124" s="11"/>
      <c r="D124" s="11"/>
      <c r="E124" s="12"/>
      <c r="F124" s="11"/>
      <c r="G124" s="11"/>
      <c r="H124" s="13"/>
      <c r="I124" s="11"/>
      <c r="J124" s="11"/>
    </row>
    <row x14ac:dyDescent="0.25" r="125" customHeight="1" ht="17.25">
      <c r="A125" s="14" t="s">
        <v>3</v>
      </c>
      <c r="B125" s="14" t="s">
        <v>4</v>
      </c>
      <c r="C125" s="14" t="s">
        <v>5</v>
      </c>
      <c r="D125" s="14" t="s">
        <v>6</v>
      </c>
      <c r="E125" s="15" t="s">
        <v>7</v>
      </c>
      <c r="F125" s="14" t="s">
        <v>8</v>
      </c>
      <c r="G125" s="14" t="s">
        <v>9</v>
      </c>
      <c r="H125" s="16" t="s">
        <v>10</v>
      </c>
      <c r="I125" s="14" t="s">
        <v>11</v>
      </c>
      <c r="J125" s="14" t="s">
        <v>12</v>
      </c>
    </row>
    <row x14ac:dyDescent="0.25" r="126" customHeight="1" ht="17.25">
      <c r="A126" s="17" t="s">
        <v>13682</v>
      </c>
      <c r="B126" s="17" t="s">
        <v>224</v>
      </c>
      <c r="C126" s="17" t="s">
        <v>95</v>
      </c>
      <c r="D126" s="17" t="s">
        <v>16</v>
      </c>
      <c r="E126" s="18">
        <f>ROUND(15150*1.05,2)</f>
      </c>
      <c r="F126" s="17" t="s">
        <v>17</v>
      </c>
      <c r="G126" s="17" t="s">
        <v>18</v>
      </c>
      <c r="H126" s="18">
        <f>ROUND(RAND()*4+6,1)</f>
      </c>
      <c r="I126" s="17" t="s">
        <v>19</v>
      </c>
      <c r="J126" s="19">
        <f>ROUND(93*1,0)&amp;"%"</f>
      </c>
    </row>
    <row x14ac:dyDescent="0.25" r="127" customHeight="1" ht="17.25">
      <c r="A127" s="20" t="s">
        <v>13683</v>
      </c>
      <c r="B127" s="20" t="s">
        <v>226</v>
      </c>
      <c r="C127" s="20" t="s">
        <v>95</v>
      </c>
      <c r="D127" s="20" t="s">
        <v>22</v>
      </c>
      <c r="E127" s="21">
        <f>ROUND(10063*1.05,2)</f>
      </c>
      <c r="F127" s="20" t="s">
        <v>23</v>
      </c>
      <c r="G127" s="20" t="s">
        <v>24</v>
      </c>
      <c r="H127" s="21">
        <f>ROUND(RAND()*4+6,1)</f>
      </c>
      <c r="I127" s="20" t="s">
        <v>25</v>
      </c>
      <c r="J127" s="23">
        <f>ROUND(97*1,0)&amp;"%"</f>
      </c>
    </row>
    <row x14ac:dyDescent="0.25" r="128" customHeight="1" ht="17.25">
      <c r="A128" s="17" t="s">
        <v>13684</v>
      </c>
      <c r="B128" s="17" t="s">
        <v>228</v>
      </c>
      <c r="C128" s="17" t="s">
        <v>95</v>
      </c>
      <c r="D128" s="17" t="s">
        <v>28</v>
      </c>
      <c r="E128" s="18">
        <f>ROUND(13754*1.05,2)</f>
      </c>
      <c r="F128" s="17" t="s">
        <v>29</v>
      </c>
      <c r="G128" s="17" t="s">
        <v>30</v>
      </c>
      <c r="H128" s="18">
        <f>ROUND(RAND()*4+6,1)</f>
      </c>
      <c r="I128" s="17" t="s">
        <v>31</v>
      </c>
      <c r="J128" s="19">
        <f>ROUND(84*1,0)&amp;"%"</f>
      </c>
    </row>
    <row x14ac:dyDescent="0.25" r="129" customHeight="1" ht="17.25">
      <c r="A129" s="20" t="s">
        <v>13685</v>
      </c>
      <c r="B129" s="20" t="s">
        <v>230</v>
      </c>
      <c r="C129" s="20" t="s">
        <v>95</v>
      </c>
      <c r="D129" s="20" t="s">
        <v>34</v>
      </c>
      <c r="E129" s="21">
        <f>ROUND(5543*1.05,2)</f>
      </c>
      <c r="F129" s="20" t="s">
        <v>35</v>
      </c>
      <c r="G129" s="20" t="s">
        <v>18</v>
      </c>
      <c r="H129" s="21">
        <f>ROUND(RAND()*4+6,1)</f>
      </c>
      <c r="I129" s="20" t="s">
        <v>36</v>
      </c>
      <c r="J129" s="23">
        <f>ROUND(100*1,0)&amp;"%"</f>
      </c>
    </row>
    <row x14ac:dyDescent="0.25" r="130" customHeight="1" ht="17.25">
      <c r="A130" s="17" t="s">
        <v>13686</v>
      </c>
      <c r="B130" s="17" t="s">
        <v>232</v>
      </c>
      <c r="C130" s="17" t="s">
        <v>95</v>
      </c>
      <c r="D130" s="17" t="s">
        <v>39</v>
      </c>
      <c r="E130" s="18">
        <f>ROUND(8685*1.05,2)</f>
      </c>
      <c r="F130" s="17" t="s">
        <v>40</v>
      </c>
      <c r="G130" s="17" t="s">
        <v>24</v>
      </c>
      <c r="H130" s="18">
        <f>ROUND(RAND()*4+6,1)</f>
      </c>
      <c r="I130" s="17" t="s">
        <v>41</v>
      </c>
      <c r="J130" s="19">
        <f>ROUND(90*1,0)&amp;"%"</f>
      </c>
    </row>
    <row x14ac:dyDescent="0.25" r="131" customHeight="1" ht="17.25">
      <c r="A131" s="20" t="s">
        <v>13687</v>
      </c>
      <c r="B131" s="20" t="s">
        <v>234</v>
      </c>
      <c r="C131" s="20" t="s">
        <v>95</v>
      </c>
      <c r="D131" s="20" t="s">
        <v>67</v>
      </c>
      <c r="E131" s="21">
        <f>ROUND(17195*1.05,2)</f>
      </c>
      <c r="F131" s="20" t="s">
        <v>44</v>
      </c>
      <c r="G131" s="20" t="s">
        <v>30</v>
      </c>
      <c r="H131" s="21">
        <f>ROUND(RAND()*4+6,1)</f>
      </c>
      <c r="I131" s="20" t="s">
        <v>45</v>
      </c>
      <c r="J131" s="23">
        <f>ROUND(65*1,0)&amp;"%"</f>
      </c>
    </row>
    <row x14ac:dyDescent="0.25" r="132" customHeight="1" ht="17.25">
      <c r="A132" s="17" t="s">
        <v>13688</v>
      </c>
      <c r="B132" s="17" t="s">
        <v>236</v>
      </c>
      <c r="C132" s="17" t="s">
        <v>95</v>
      </c>
      <c r="D132" s="17" t="s">
        <v>16</v>
      </c>
      <c r="E132" s="18">
        <f>ROUND(15823*1.05,2)</f>
      </c>
      <c r="F132" s="17" t="s">
        <v>48</v>
      </c>
      <c r="G132" s="17" t="s">
        <v>18</v>
      </c>
      <c r="H132" s="18">
        <f>ROUND(RAND()*4+6,1)</f>
      </c>
      <c r="I132" s="17" t="s">
        <v>19</v>
      </c>
      <c r="J132" s="19">
        <f>ROUND(94*1,0)&amp;"%"</f>
      </c>
    </row>
    <row x14ac:dyDescent="0.25" r="133" customHeight="1" ht="17.25">
      <c r="A133" s="20" t="s">
        <v>13689</v>
      </c>
      <c r="B133" s="20" t="s">
        <v>238</v>
      </c>
      <c r="C133" s="20" t="s">
        <v>95</v>
      </c>
      <c r="D133" s="20" t="s">
        <v>22</v>
      </c>
      <c r="E133" s="21">
        <f>ROUND(7508*1.05,2)</f>
      </c>
      <c r="F133" s="20" t="s">
        <v>51</v>
      </c>
      <c r="G133" s="20" t="s">
        <v>24</v>
      </c>
      <c r="H133" s="21">
        <f>ROUND(RAND()*4+6,1)</f>
      </c>
      <c r="I133" s="20" t="s">
        <v>25</v>
      </c>
      <c r="J133" s="23">
        <f>ROUND(64*1,0)&amp;"%"</f>
      </c>
    </row>
    <row x14ac:dyDescent="0.25" r="134" customHeight="1" ht="17.25">
      <c r="A134" s="24" t="s">
        <v>239</v>
      </c>
      <c r="B134" s="24"/>
      <c r="C134" s="24"/>
      <c r="D134" s="24"/>
      <c r="E134" s="25">
        <v>8</v>
      </c>
      <c r="F134" s="9"/>
      <c r="G134" s="9"/>
      <c r="H134" s="10"/>
      <c r="I134" s="9"/>
      <c r="J134" s="9"/>
    </row>
    <row x14ac:dyDescent="0.25" r="135" customHeight="1" ht="17.25">
      <c r="A135" s="7"/>
      <c r="B135" s="7"/>
      <c r="C135" s="7"/>
      <c r="D135" s="7"/>
      <c r="E135" s="8"/>
      <c r="F135" s="9"/>
      <c r="G135" s="9"/>
      <c r="H135" s="10"/>
      <c r="I135" s="9"/>
      <c r="J135" s="9"/>
    </row>
    <row x14ac:dyDescent="0.25" r="136" customHeight="1" ht="17.25">
      <c r="A136" s="11" t="s">
        <v>13690</v>
      </c>
      <c r="B136" s="11"/>
      <c r="C136" s="11"/>
      <c r="D136" s="11"/>
      <c r="E136" s="12"/>
      <c r="F136" s="11"/>
      <c r="G136" s="11"/>
      <c r="H136" s="13"/>
      <c r="I136" s="11"/>
      <c r="J136" s="11"/>
    </row>
    <row x14ac:dyDescent="0.25" r="137" customHeight="1" ht="17.25">
      <c r="A137" s="14" t="s">
        <v>3</v>
      </c>
      <c r="B137" s="14" t="s">
        <v>4</v>
      </c>
      <c r="C137" s="14" t="s">
        <v>5</v>
      </c>
      <c r="D137" s="14" t="s">
        <v>6</v>
      </c>
      <c r="E137" s="15" t="s">
        <v>7</v>
      </c>
      <c r="F137" s="14" t="s">
        <v>8</v>
      </c>
      <c r="G137" s="14" t="s">
        <v>9</v>
      </c>
      <c r="H137" s="16" t="s">
        <v>10</v>
      </c>
      <c r="I137" s="14" t="s">
        <v>11</v>
      </c>
      <c r="J137" s="14" t="s">
        <v>12</v>
      </c>
    </row>
    <row x14ac:dyDescent="0.25" r="138" customHeight="1" ht="17.25">
      <c r="A138" s="17" t="s">
        <v>13691</v>
      </c>
      <c r="B138" s="17" t="s">
        <v>242</v>
      </c>
      <c r="C138" s="17" t="s">
        <v>114</v>
      </c>
      <c r="D138" s="17" t="s">
        <v>16</v>
      </c>
      <c r="E138" s="18">
        <f>ROUND(4235*1.05,2)</f>
      </c>
      <c r="F138" s="17" t="s">
        <v>17</v>
      </c>
      <c r="G138" s="17" t="s">
        <v>18</v>
      </c>
      <c r="H138" s="18">
        <f>ROUND(RAND()*4+6,1)</f>
      </c>
      <c r="I138" s="17" t="s">
        <v>19</v>
      </c>
      <c r="J138" s="19">
        <f>ROUND(84*1,0)&amp;"%"</f>
      </c>
    </row>
    <row x14ac:dyDescent="0.25" r="139" customHeight="1" ht="17.25">
      <c r="A139" s="20" t="s">
        <v>13692</v>
      </c>
      <c r="B139" s="20" t="s">
        <v>244</v>
      </c>
      <c r="C139" s="20" t="s">
        <v>114</v>
      </c>
      <c r="D139" s="20" t="s">
        <v>22</v>
      </c>
      <c r="E139" s="21">
        <f>ROUND(16337*1.05,2)</f>
      </c>
      <c r="F139" s="20" t="s">
        <v>23</v>
      </c>
      <c r="G139" s="20" t="s">
        <v>24</v>
      </c>
      <c r="H139" s="21">
        <f>ROUND(RAND()*4+6,1)</f>
      </c>
      <c r="I139" s="20" t="s">
        <v>25</v>
      </c>
      <c r="J139" s="23">
        <f>ROUND(73*1,0)&amp;"%"</f>
      </c>
    </row>
    <row x14ac:dyDescent="0.25" r="140" customHeight="1" ht="17.25">
      <c r="A140" s="17" t="s">
        <v>13693</v>
      </c>
      <c r="B140" s="17" t="s">
        <v>246</v>
      </c>
      <c r="C140" s="17" t="s">
        <v>114</v>
      </c>
      <c r="D140" s="17" t="s">
        <v>28</v>
      </c>
      <c r="E140" s="18">
        <f>ROUND(5803*1.05,2)</f>
      </c>
      <c r="F140" s="17" t="s">
        <v>29</v>
      </c>
      <c r="G140" s="17" t="s">
        <v>30</v>
      </c>
      <c r="H140" s="18">
        <f>ROUND(RAND()*4+6,1)</f>
      </c>
      <c r="I140" s="17" t="s">
        <v>31</v>
      </c>
      <c r="J140" s="19">
        <f>ROUND(79*1,0)&amp;"%"</f>
      </c>
    </row>
    <row x14ac:dyDescent="0.25" r="141" customHeight="1" ht="17.25">
      <c r="A141" s="20" t="s">
        <v>13694</v>
      </c>
      <c r="B141" s="20" t="s">
        <v>248</v>
      </c>
      <c r="C141" s="20" t="s">
        <v>114</v>
      </c>
      <c r="D141" s="20" t="s">
        <v>34</v>
      </c>
      <c r="E141" s="21">
        <f>ROUND(6986*1.05,2)</f>
      </c>
      <c r="F141" s="20" t="s">
        <v>35</v>
      </c>
      <c r="G141" s="20" t="s">
        <v>18</v>
      </c>
      <c r="H141" s="21">
        <f>ROUND(RAND()*4+6,1)</f>
      </c>
      <c r="I141" s="20" t="s">
        <v>36</v>
      </c>
      <c r="J141" s="23">
        <f>ROUND(87*1,0)&amp;"%"</f>
      </c>
    </row>
    <row x14ac:dyDescent="0.25" r="142" customHeight="1" ht="17.25">
      <c r="A142" s="17" t="s">
        <v>13695</v>
      </c>
      <c r="B142" s="17" t="s">
        <v>250</v>
      </c>
      <c r="C142" s="17" t="s">
        <v>114</v>
      </c>
      <c r="D142" s="17" t="s">
        <v>39</v>
      </c>
      <c r="E142" s="18">
        <f>ROUND(10567*1.05,2)</f>
      </c>
      <c r="F142" s="17" t="s">
        <v>40</v>
      </c>
      <c r="G142" s="17" t="s">
        <v>24</v>
      </c>
      <c r="H142" s="18">
        <f>ROUND(RAND()*4+6,1)</f>
      </c>
      <c r="I142" s="17" t="s">
        <v>41</v>
      </c>
      <c r="J142" s="19">
        <f>ROUND(66*1,0)&amp;"%"</f>
      </c>
    </row>
    <row x14ac:dyDescent="0.25" r="143" customHeight="1" ht="17.25">
      <c r="A143" s="20" t="s">
        <v>13696</v>
      </c>
      <c r="B143" s="20" t="s">
        <v>252</v>
      </c>
      <c r="C143" s="20" t="s">
        <v>114</v>
      </c>
      <c r="D143" s="20" t="s">
        <v>67</v>
      </c>
      <c r="E143" s="21">
        <f>ROUND(10123*1.05,2)</f>
      </c>
      <c r="F143" s="20" t="s">
        <v>44</v>
      </c>
      <c r="G143" s="20" t="s">
        <v>30</v>
      </c>
      <c r="H143" s="21">
        <f>ROUND(RAND()*4+6,1)</f>
      </c>
      <c r="I143" s="20" t="s">
        <v>45</v>
      </c>
      <c r="J143" s="23">
        <f>ROUND(68*1,0)&amp;"%"</f>
      </c>
    </row>
    <row x14ac:dyDescent="0.25" r="144" customHeight="1" ht="17.25">
      <c r="A144" s="17" t="s">
        <v>13697</v>
      </c>
      <c r="B144" s="17" t="s">
        <v>254</v>
      </c>
      <c r="C144" s="17" t="s">
        <v>114</v>
      </c>
      <c r="D144" s="17" t="s">
        <v>16</v>
      </c>
      <c r="E144" s="18">
        <f>ROUND(12041*1.05,2)</f>
      </c>
      <c r="F144" s="17" t="s">
        <v>48</v>
      </c>
      <c r="G144" s="17" t="s">
        <v>18</v>
      </c>
      <c r="H144" s="18">
        <f>ROUND(RAND()*4+6,1)</f>
      </c>
      <c r="I144" s="17" t="s">
        <v>19</v>
      </c>
      <c r="J144" s="19">
        <f>ROUND(76*1,0)&amp;"%"</f>
      </c>
    </row>
    <row x14ac:dyDescent="0.25" r="145" customHeight="1" ht="17.25">
      <c r="A145" s="20" t="s">
        <v>13698</v>
      </c>
      <c r="B145" s="20" t="s">
        <v>256</v>
      </c>
      <c r="C145" s="20" t="s">
        <v>114</v>
      </c>
      <c r="D145" s="20" t="s">
        <v>22</v>
      </c>
      <c r="E145" s="21">
        <f>ROUND(15455*1.05,2)</f>
      </c>
      <c r="F145" s="20" t="s">
        <v>51</v>
      </c>
      <c r="G145" s="20" t="s">
        <v>24</v>
      </c>
      <c r="H145" s="21">
        <f>ROUND(RAND()*4+6,1)</f>
      </c>
      <c r="I145" s="20" t="s">
        <v>25</v>
      </c>
      <c r="J145" s="23">
        <f>ROUND(94*1,0)&amp;"%"</f>
      </c>
    </row>
    <row x14ac:dyDescent="0.25" r="146" customHeight="1" ht="17.25">
      <c r="A146" s="24" t="s">
        <v>257</v>
      </c>
      <c r="B146" s="24"/>
      <c r="C146" s="24"/>
      <c r="D146" s="24"/>
      <c r="E146" s="25">
        <v>8</v>
      </c>
      <c r="F146" s="9"/>
      <c r="G146" s="9"/>
      <c r="H146" s="10"/>
      <c r="I146" s="9"/>
      <c r="J146" s="9"/>
    </row>
    <row x14ac:dyDescent="0.25" r="147" customHeight="1" ht="17.25">
      <c r="A147" s="7"/>
      <c r="B147" s="7"/>
      <c r="C147" s="7"/>
      <c r="D147" s="7"/>
      <c r="E147" s="8"/>
      <c r="F147" s="9"/>
      <c r="G147" s="9"/>
      <c r="H147" s="10"/>
      <c r="I147" s="9"/>
      <c r="J147" s="9"/>
    </row>
    <row x14ac:dyDescent="0.25" r="148" customHeight="1" ht="17.25">
      <c r="A148" s="11" t="s">
        <v>13699</v>
      </c>
      <c r="B148" s="11"/>
      <c r="C148" s="11"/>
      <c r="D148" s="11"/>
      <c r="E148" s="12"/>
      <c r="F148" s="11"/>
      <c r="G148" s="11"/>
      <c r="H148" s="13"/>
      <c r="I148" s="11"/>
      <c r="J148" s="11"/>
    </row>
    <row x14ac:dyDescent="0.25" r="149" customHeight="1" ht="17.25">
      <c r="A149" s="14" t="s">
        <v>3</v>
      </c>
      <c r="B149" s="14" t="s">
        <v>4</v>
      </c>
      <c r="C149" s="14" t="s">
        <v>5</v>
      </c>
      <c r="D149" s="14" t="s">
        <v>6</v>
      </c>
      <c r="E149" s="15" t="s">
        <v>7</v>
      </c>
      <c r="F149" s="14" t="s">
        <v>8</v>
      </c>
      <c r="G149" s="14" t="s">
        <v>9</v>
      </c>
      <c r="H149" s="16" t="s">
        <v>10</v>
      </c>
      <c r="I149" s="14" t="s">
        <v>11</v>
      </c>
      <c r="J149" s="14" t="s">
        <v>12</v>
      </c>
    </row>
    <row x14ac:dyDescent="0.25" r="150" customHeight="1" ht="17.25">
      <c r="A150" s="17" t="s">
        <v>13700</v>
      </c>
      <c r="B150" s="17" t="s">
        <v>260</v>
      </c>
      <c r="C150" s="17" t="s">
        <v>133</v>
      </c>
      <c r="D150" s="17" t="s">
        <v>16</v>
      </c>
      <c r="E150" s="18">
        <f>ROUND(6082*1.05,2)</f>
      </c>
      <c r="F150" s="17" t="s">
        <v>17</v>
      </c>
      <c r="G150" s="17" t="s">
        <v>18</v>
      </c>
      <c r="H150" s="26">
        <f>ROUND(RAND()*4+6,1)</f>
      </c>
      <c r="I150" s="17" t="s">
        <v>19</v>
      </c>
      <c r="J150" s="19">
        <f>ROUND(71*1,0)&amp;"%"</f>
      </c>
    </row>
    <row x14ac:dyDescent="0.25" r="151" customHeight="1" ht="17.25">
      <c r="A151" s="20" t="s">
        <v>13701</v>
      </c>
      <c r="B151" s="20" t="s">
        <v>262</v>
      </c>
      <c r="C151" s="20" t="s">
        <v>133</v>
      </c>
      <c r="D151" s="20" t="s">
        <v>22</v>
      </c>
      <c r="E151" s="21">
        <f>ROUND(17926*1.05,2)</f>
      </c>
      <c r="F151" s="20" t="s">
        <v>23</v>
      </c>
      <c r="G151" s="20" t="s">
        <v>24</v>
      </c>
      <c r="H151" s="21">
        <f>ROUND(RAND()*4+6,1)</f>
      </c>
      <c r="I151" s="20" t="s">
        <v>25</v>
      </c>
      <c r="J151" s="23">
        <f>ROUND(71*1,0)&amp;"%"</f>
      </c>
    </row>
    <row x14ac:dyDescent="0.25" r="152" customHeight="1" ht="17.25">
      <c r="A152" s="17" t="s">
        <v>13702</v>
      </c>
      <c r="B152" s="17" t="s">
        <v>264</v>
      </c>
      <c r="C152" s="17" t="s">
        <v>133</v>
      </c>
      <c r="D152" s="17" t="s">
        <v>28</v>
      </c>
      <c r="E152" s="18">
        <f>ROUND(6694*1.05,2)</f>
      </c>
      <c r="F152" s="17" t="s">
        <v>29</v>
      </c>
      <c r="G152" s="17" t="s">
        <v>30</v>
      </c>
      <c r="H152" s="18">
        <f>ROUND(RAND()*4+6,1)</f>
      </c>
      <c r="I152" s="17" t="s">
        <v>31</v>
      </c>
      <c r="J152" s="19">
        <f>ROUND(95*1,0)&amp;"%"</f>
      </c>
    </row>
    <row x14ac:dyDescent="0.25" r="153" customHeight="1" ht="17.25">
      <c r="A153" s="20" t="s">
        <v>13703</v>
      </c>
      <c r="B153" s="20" t="s">
        <v>266</v>
      </c>
      <c r="C153" s="20" t="s">
        <v>133</v>
      </c>
      <c r="D153" s="20" t="s">
        <v>34</v>
      </c>
      <c r="E153" s="21">
        <f>ROUND(17319*1.05,2)</f>
      </c>
      <c r="F153" s="20" t="s">
        <v>35</v>
      </c>
      <c r="G153" s="20" t="s">
        <v>18</v>
      </c>
      <c r="H153" s="21">
        <f>ROUND(RAND()*4+6,1)</f>
      </c>
      <c r="I153" s="20" t="s">
        <v>36</v>
      </c>
      <c r="J153" s="23">
        <f>ROUND(89*1,0)&amp;"%"</f>
      </c>
    </row>
    <row x14ac:dyDescent="0.25" r="154" customHeight="1" ht="17.25">
      <c r="A154" s="17" t="s">
        <v>13704</v>
      </c>
      <c r="B154" s="17" t="s">
        <v>268</v>
      </c>
      <c r="C154" s="17" t="s">
        <v>133</v>
      </c>
      <c r="D154" s="17" t="s">
        <v>39</v>
      </c>
      <c r="E154" s="18">
        <f>ROUND(11351*1.05,2)</f>
      </c>
      <c r="F154" s="17" t="s">
        <v>40</v>
      </c>
      <c r="G154" s="17" t="s">
        <v>24</v>
      </c>
      <c r="H154" s="26">
        <f>ROUND(RAND()*4+6,1)</f>
      </c>
      <c r="I154" s="17" t="s">
        <v>41</v>
      </c>
      <c r="J154" s="19">
        <f>ROUND(82*1,0)&amp;"%"</f>
      </c>
    </row>
    <row x14ac:dyDescent="0.25" r="155" customHeight="1" ht="17.25">
      <c r="A155" s="20" t="s">
        <v>13705</v>
      </c>
      <c r="B155" s="20" t="s">
        <v>270</v>
      </c>
      <c r="C155" s="20" t="s">
        <v>133</v>
      </c>
      <c r="D155" s="20" t="s">
        <v>67</v>
      </c>
      <c r="E155" s="21">
        <f>ROUND(16987*1.05,2)</f>
      </c>
      <c r="F155" s="20" t="s">
        <v>44</v>
      </c>
      <c r="G155" s="20" t="s">
        <v>30</v>
      </c>
      <c r="H155" s="21">
        <f>ROUND(RAND()*4+6,1)</f>
      </c>
      <c r="I155" s="20" t="s">
        <v>45</v>
      </c>
      <c r="J155" s="23">
        <f>ROUND(65*1,0)&amp;"%"</f>
      </c>
    </row>
    <row x14ac:dyDescent="0.25" r="156" customHeight="1" ht="17.25">
      <c r="A156" s="17" t="s">
        <v>13706</v>
      </c>
      <c r="B156" s="17" t="s">
        <v>272</v>
      </c>
      <c r="C156" s="17" t="s">
        <v>133</v>
      </c>
      <c r="D156" s="17" t="s">
        <v>16</v>
      </c>
      <c r="E156" s="18">
        <f>ROUND(6039*1.05,2)</f>
      </c>
      <c r="F156" s="17" t="s">
        <v>48</v>
      </c>
      <c r="G156" s="17" t="s">
        <v>18</v>
      </c>
      <c r="H156" s="18">
        <f>ROUND(RAND()*4+6,1)</f>
      </c>
      <c r="I156" s="17" t="s">
        <v>19</v>
      </c>
      <c r="J156" s="19">
        <f>ROUND(73*1,0)&amp;"%"</f>
      </c>
    </row>
    <row x14ac:dyDescent="0.25" r="157" customHeight="1" ht="17.25">
      <c r="A157" s="20" t="s">
        <v>13707</v>
      </c>
      <c r="B157" s="20" t="s">
        <v>274</v>
      </c>
      <c r="C157" s="20" t="s">
        <v>133</v>
      </c>
      <c r="D157" s="20" t="s">
        <v>22</v>
      </c>
      <c r="E157" s="21">
        <f>ROUND(10745*1.05,2)</f>
      </c>
      <c r="F157" s="20" t="s">
        <v>51</v>
      </c>
      <c r="G157" s="20" t="s">
        <v>24</v>
      </c>
      <c r="H157" s="21">
        <f>ROUND(RAND()*4+6,1)</f>
      </c>
      <c r="I157" s="20" t="s">
        <v>25</v>
      </c>
      <c r="J157" s="23">
        <f>ROUND(90*1,0)&amp;"%"</f>
      </c>
    </row>
    <row x14ac:dyDescent="0.25" r="158" customHeight="1" ht="17.25">
      <c r="A158" s="24" t="s">
        <v>275</v>
      </c>
      <c r="B158" s="24"/>
      <c r="C158" s="24"/>
      <c r="D158" s="24"/>
      <c r="E158" s="25">
        <v>8</v>
      </c>
      <c r="F158" s="9"/>
      <c r="G158" s="9"/>
      <c r="H158" s="10"/>
      <c r="I158" s="9"/>
      <c r="J158" s="9"/>
    </row>
    <row x14ac:dyDescent="0.25" r="159" customHeight="1" ht="17.25">
      <c r="A159" s="7"/>
      <c r="B159" s="7"/>
      <c r="C159" s="7"/>
      <c r="D159" s="7"/>
      <c r="E159" s="8"/>
      <c r="F159" s="9"/>
      <c r="G159" s="9"/>
      <c r="H159" s="10"/>
      <c r="I159" s="9"/>
      <c r="J159" s="9"/>
    </row>
    <row x14ac:dyDescent="0.25" r="160" customHeight="1" ht="17.25">
      <c r="A160" s="11" t="s">
        <v>13708</v>
      </c>
      <c r="B160" s="11"/>
      <c r="C160" s="11"/>
      <c r="D160" s="11"/>
      <c r="E160" s="12"/>
      <c r="F160" s="11"/>
      <c r="G160" s="11"/>
      <c r="H160" s="13"/>
      <c r="I160" s="11"/>
      <c r="J160" s="11"/>
    </row>
    <row x14ac:dyDescent="0.25" r="161" customHeight="1" ht="17.25">
      <c r="A161" s="14" t="s">
        <v>3</v>
      </c>
      <c r="B161" s="14" t="s">
        <v>4</v>
      </c>
      <c r="C161" s="14" t="s">
        <v>5</v>
      </c>
      <c r="D161" s="14" t="s">
        <v>6</v>
      </c>
      <c r="E161" s="15" t="s">
        <v>7</v>
      </c>
      <c r="F161" s="14" t="s">
        <v>8</v>
      </c>
      <c r="G161" s="14" t="s">
        <v>9</v>
      </c>
      <c r="H161" s="16" t="s">
        <v>10</v>
      </c>
      <c r="I161" s="14" t="s">
        <v>11</v>
      </c>
      <c r="J161" s="14" t="s">
        <v>12</v>
      </c>
    </row>
    <row x14ac:dyDescent="0.25" r="162" customHeight="1" ht="17.25">
      <c r="A162" s="17" t="s">
        <v>13709</v>
      </c>
      <c r="B162" s="17" t="s">
        <v>278</v>
      </c>
      <c r="C162" s="17" t="s">
        <v>152</v>
      </c>
      <c r="D162" s="17" t="s">
        <v>16</v>
      </c>
      <c r="E162" s="18">
        <f>ROUND(14883*1.05,2)</f>
      </c>
      <c r="F162" s="17" t="s">
        <v>17</v>
      </c>
      <c r="G162" s="17" t="s">
        <v>18</v>
      </c>
      <c r="H162" s="18">
        <f>ROUND(RAND()*4+6,1)</f>
      </c>
      <c r="I162" s="17" t="s">
        <v>19</v>
      </c>
      <c r="J162" s="19">
        <f>ROUND(60*1,0)&amp;"%"</f>
      </c>
    </row>
    <row x14ac:dyDescent="0.25" r="163" customHeight="1" ht="17.25">
      <c r="A163" s="20" t="s">
        <v>13710</v>
      </c>
      <c r="B163" s="20" t="s">
        <v>280</v>
      </c>
      <c r="C163" s="20" t="s">
        <v>152</v>
      </c>
      <c r="D163" s="20" t="s">
        <v>22</v>
      </c>
      <c r="E163" s="21">
        <f>ROUND(12871*1.05,2)</f>
      </c>
      <c r="F163" s="20" t="s">
        <v>23</v>
      </c>
      <c r="G163" s="20" t="s">
        <v>24</v>
      </c>
      <c r="H163" s="21">
        <f>ROUND(RAND()*4+6,1)</f>
      </c>
      <c r="I163" s="20" t="s">
        <v>25</v>
      </c>
      <c r="J163" s="23">
        <f>ROUND(61*1,0)&amp;"%"</f>
      </c>
    </row>
    <row x14ac:dyDescent="0.25" r="164" customHeight="1" ht="17.25">
      <c r="A164" s="17" t="s">
        <v>13711</v>
      </c>
      <c r="B164" s="17" t="s">
        <v>282</v>
      </c>
      <c r="C164" s="17" t="s">
        <v>152</v>
      </c>
      <c r="D164" s="17" t="s">
        <v>28</v>
      </c>
      <c r="E164" s="18">
        <f>ROUND(9781*1.05,2)</f>
      </c>
      <c r="F164" s="17" t="s">
        <v>29</v>
      </c>
      <c r="G164" s="17" t="s">
        <v>30</v>
      </c>
      <c r="H164" s="18">
        <f>ROUND(RAND()*4+6,1)</f>
      </c>
      <c r="I164" s="17" t="s">
        <v>31</v>
      </c>
      <c r="J164" s="19">
        <f>ROUND(72*1,0)&amp;"%"</f>
      </c>
    </row>
    <row x14ac:dyDescent="0.25" r="165" customHeight="1" ht="17.25">
      <c r="A165" s="20" t="s">
        <v>13712</v>
      </c>
      <c r="B165" s="20" t="s">
        <v>284</v>
      </c>
      <c r="C165" s="20" t="s">
        <v>152</v>
      </c>
      <c r="D165" s="20" t="s">
        <v>34</v>
      </c>
      <c r="E165" s="21">
        <f>ROUND(4133*1.05,2)</f>
      </c>
      <c r="F165" s="20" t="s">
        <v>35</v>
      </c>
      <c r="G165" s="20" t="s">
        <v>18</v>
      </c>
      <c r="H165" s="21">
        <f>ROUND(RAND()*4+6,1)</f>
      </c>
      <c r="I165" s="20" t="s">
        <v>36</v>
      </c>
      <c r="J165" s="23">
        <f>ROUND(81*1,0)&amp;"%"</f>
      </c>
    </row>
    <row x14ac:dyDescent="0.25" r="166" customHeight="1" ht="17.25">
      <c r="A166" s="17" t="s">
        <v>13713</v>
      </c>
      <c r="B166" s="17" t="s">
        <v>286</v>
      </c>
      <c r="C166" s="17" t="s">
        <v>152</v>
      </c>
      <c r="D166" s="17" t="s">
        <v>39</v>
      </c>
      <c r="E166" s="18">
        <f>ROUND(11697*1.05,2)</f>
      </c>
      <c r="F166" s="17" t="s">
        <v>40</v>
      </c>
      <c r="G166" s="17" t="s">
        <v>24</v>
      </c>
      <c r="H166" s="18">
        <f>ROUND(RAND()*4+6,1)</f>
      </c>
      <c r="I166" s="17" t="s">
        <v>41</v>
      </c>
      <c r="J166" s="19">
        <f>ROUND(83*1,0)&amp;"%"</f>
      </c>
    </row>
    <row x14ac:dyDescent="0.25" r="167" customHeight="1" ht="17.25">
      <c r="A167" s="20" t="s">
        <v>13714</v>
      </c>
      <c r="B167" s="20" t="s">
        <v>288</v>
      </c>
      <c r="C167" s="20" t="s">
        <v>152</v>
      </c>
      <c r="D167" s="20" t="s">
        <v>67</v>
      </c>
      <c r="E167" s="21">
        <f>ROUND(10059*1.05,2)</f>
      </c>
      <c r="F167" s="20" t="s">
        <v>44</v>
      </c>
      <c r="G167" s="20" t="s">
        <v>30</v>
      </c>
      <c r="H167" s="21">
        <f>ROUND(RAND()*4+6,1)</f>
      </c>
      <c r="I167" s="20" t="s">
        <v>45</v>
      </c>
      <c r="J167" s="23">
        <f>ROUND(94*1,0)&amp;"%"</f>
      </c>
    </row>
    <row x14ac:dyDescent="0.25" r="168" customHeight="1" ht="17.25">
      <c r="A168" s="17" t="s">
        <v>13715</v>
      </c>
      <c r="B168" s="17" t="s">
        <v>290</v>
      </c>
      <c r="C168" s="17" t="s">
        <v>152</v>
      </c>
      <c r="D168" s="17" t="s">
        <v>16</v>
      </c>
      <c r="E168" s="18">
        <f>ROUND(15414*1.05,2)</f>
      </c>
      <c r="F168" s="17" t="s">
        <v>48</v>
      </c>
      <c r="G168" s="17" t="s">
        <v>18</v>
      </c>
      <c r="H168" s="18">
        <f>ROUND(RAND()*4+6,1)</f>
      </c>
      <c r="I168" s="17" t="s">
        <v>19</v>
      </c>
      <c r="J168" s="19">
        <f>ROUND(89*1,0)&amp;"%"</f>
      </c>
    </row>
    <row x14ac:dyDescent="0.25" r="169" customHeight="1" ht="17.25">
      <c r="A169" s="20" t="s">
        <v>13716</v>
      </c>
      <c r="B169" s="20" t="s">
        <v>292</v>
      </c>
      <c r="C169" s="20" t="s">
        <v>152</v>
      </c>
      <c r="D169" s="20" t="s">
        <v>22</v>
      </c>
      <c r="E169" s="21">
        <f>ROUND(8696*1.05,2)</f>
      </c>
      <c r="F169" s="20" t="s">
        <v>51</v>
      </c>
      <c r="G169" s="20" t="s">
        <v>24</v>
      </c>
      <c r="H169" s="21">
        <f>ROUND(RAND()*4+6,1)</f>
      </c>
      <c r="I169" s="20" t="s">
        <v>25</v>
      </c>
      <c r="J169" s="23">
        <f>ROUND(96*1,0)&amp;"%"</f>
      </c>
    </row>
    <row x14ac:dyDescent="0.25" r="170" customHeight="1" ht="17.25">
      <c r="A170" s="24" t="s">
        <v>293</v>
      </c>
      <c r="B170" s="24"/>
      <c r="C170" s="24"/>
      <c r="D170" s="24"/>
      <c r="E170" s="25">
        <v>8</v>
      </c>
      <c r="F170" s="9"/>
      <c r="G170" s="9"/>
      <c r="H170" s="10"/>
      <c r="I170" s="9"/>
      <c r="J170" s="9"/>
    </row>
    <row x14ac:dyDescent="0.25" r="171" customHeight="1" ht="17.25">
      <c r="A171" s="7"/>
      <c r="B171" s="7"/>
      <c r="C171" s="7"/>
      <c r="D171" s="7"/>
      <c r="E171" s="8"/>
      <c r="F171" s="9"/>
      <c r="G171" s="9"/>
      <c r="H171" s="10"/>
      <c r="I171" s="9"/>
      <c r="J171" s="9"/>
    </row>
    <row x14ac:dyDescent="0.25" r="172" customHeight="1" ht="17.25">
      <c r="A172" s="11" t="s">
        <v>13717</v>
      </c>
      <c r="B172" s="11"/>
      <c r="C172" s="11"/>
      <c r="D172" s="11"/>
      <c r="E172" s="12"/>
      <c r="F172" s="11"/>
      <c r="G172" s="11"/>
      <c r="H172" s="13"/>
      <c r="I172" s="11"/>
      <c r="J172" s="11"/>
    </row>
    <row x14ac:dyDescent="0.25" r="173" customHeight="1" ht="17.25">
      <c r="A173" s="14" t="s">
        <v>3</v>
      </c>
      <c r="B173" s="14" t="s">
        <v>4</v>
      </c>
      <c r="C173" s="14" t="s">
        <v>5</v>
      </c>
      <c r="D173" s="14" t="s">
        <v>6</v>
      </c>
      <c r="E173" s="15" t="s">
        <v>7</v>
      </c>
      <c r="F173" s="14" t="s">
        <v>8</v>
      </c>
      <c r="G173" s="14" t="s">
        <v>9</v>
      </c>
      <c r="H173" s="16" t="s">
        <v>10</v>
      </c>
      <c r="I173" s="14" t="s">
        <v>11</v>
      </c>
      <c r="J173" s="14" t="s">
        <v>12</v>
      </c>
    </row>
    <row x14ac:dyDescent="0.25" r="174" customHeight="1" ht="17.25">
      <c r="A174" s="17" t="s">
        <v>13718</v>
      </c>
      <c r="B174" s="17" t="s">
        <v>296</v>
      </c>
      <c r="C174" s="17" t="s">
        <v>15</v>
      </c>
      <c r="D174" s="17" t="s">
        <v>16</v>
      </c>
      <c r="E174" s="18">
        <f>ROUND(10215*1.05,2)</f>
      </c>
      <c r="F174" s="17" t="s">
        <v>17</v>
      </c>
      <c r="G174" s="17" t="s">
        <v>18</v>
      </c>
      <c r="H174" s="18">
        <f>ROUND(RAND()*4+6,1)</f>
      </c>
      <c r="I174" s="17" t="s">
        <v>19</v>
      </c>
      <c r="J174" s="19">
        <f>ROUND(69*1,0)&amp;"%"</f>
      </c>
    </row>
    <row x14ac:dyDescent="0.25" r="175" customHeight="1" ht="17.25">
      <c r="A175" s="20" t="s">
        <v>13719</v>
      </c>
      <c r="B175" s="20" t="s">
        <v>298</v>
      </c>
      <c r="C175" s="20" t="s">
        <v>15</v>
      </c>
      <c r="D175" s="20" t="s">
        <v>22</v>
      </c>
      <c r="E175" s="21">
        <f>ROUND(11266*1.05,2)</f>
      </c>
      <c r="F175" s="20" t="s">
        <v>23</v>
      </c>
      <c r="G175" s="20" t="s">
        <v>24</v>
      </c>
      <c r="H175" s="21">
        <f>ROUND(RAND()*4+6,1)</f>
      </c>
      <c r="I175" s="20" t="s">
        <v>25</v>
      </c>
      <c r="J175" s="23">
        <f>ROUND(97*1,0)&amp;"%"</f>
      </c>
    </row>
    <row x14ac:dyDescent="0.25" r="176" customHeight="1" ht="17.25">
      <c r="A176" s="17" t="s">
        <v>13720</v>
      </c>
      <c r="B176" s="17" t="s">
        <v>300</v>
      </c>
      <c r="C176" s="17" t="s">
        <v>15</v>
      </c>
      <c r="D176" s="17" t="s">
        <v>28</v>
      </c>
      <c r="E176" s="18">
        <f>ROUND(13518*1.05,2)</f>
      </c>
      <c r="F176" s="17" t="s">
        <v>29</v>
      </c>
      <c r="G176" s="17" t="s">
        <v>30</v>
      </c>
      <c r="H176" s="18">
        <f>ROUND(RAND()*4+6,1)</f>
      </c>
      <c r="I176" s="17" t="s">
        <v>31</v>
      </c>
      <c r="J176" s="19">
        <f>ROUND(81*1,0)&amp;"%"</f>
      </c>
    </row>
    <row x14ac:dyDescent="0.25" r="177" customHeight="1" ht="17.25">
      <c r="A177" s="20" t="s">
        <v>13721</v>
      </c>
      <c r="B177" s="20" t="s">
        <v>302</v>
      </c>
      <c r="C177" s="20" t="s">
        <v>15</v>
      </c>
      <c r="D177" s="20" t="s">
        <v>34</v>
      </c>
      <c r="E177" s="21">
        <f>ROUND(11432*1.05,2)</f>
      </c>
      <c r="F177" s="20" t="s">
        <v>35</v>
      </c>
      <c r="G177" s="20" t="s">
        <v>18</v>
      </c>
      <c r="H177" s="21">
        <f>ROUND(RAND()*4+6,1)</f>
      </c>
      <c r="I177" s="20" t="s">
        <v>36</v>
      </c>
      <c r="J177" s="23">
        <f>ROUND(61*1,0)&amp;"%"</f>
      </c>
    </row>
    <row x14ac:dyDescent="0.25" r="178" customHeight="1" ht="17.25">
      <c r="A178" s="17" t="s">
        <v>13722</v>
      </c>
      <c r="B178" s="17" t="s">
        <v>304</v>
      </c>
      <c r="C178" s="17" t="s">
        <v>15</v>
      </c>
      <c r="D178" s="17" t="s">
        <v>39</v>
      </c>
      <c r="E178" s="18">
        <f>ROUND(10170*1.05,2)</f>
      </c>
      <c r="F178" s="17" t="s">
        <v>40</v>
      </c>
      <c r="G178" s="17" t="s">
        <v>24</v>
      </c>
      <c r="H178" s="18">
        <f>ROUND(RAND()*4+6,1)</f>
      </c>
      <c r="I178" s="17" t="s">
        <v>41</v>
      </c>
      <c r="J178" s="19">
        <f>ROUND(60*1,0)&amp;"%"</f>
      </c>
    </row>
    <row x14ac:dyDescent="0.25" r="179" customHeight="1" ht="17.25">
      <c r="A179" s="20" t="s">
        <v>13723</v>
      </c>
      <c r="B179" s="20" t="s">
        <v>306</v>
      </c>
      <c r="C179" s="20" t="s">
        <v>15</v>
      </c>
      <c r="D179" s="20" t="s">
        <v>67</v>
      </c>
      <c r="E179" s="21">
        <f>ROUND(4045*1.05,2)</f>
      </c>
      <c r="F179" s="20" t="s">
        <v>44</v>
      </c>
      <c r="G179" s="20" t="s">
        <v>30</v>
      </c>
      <c r="H179" s="21">
        <f>ROUND(RAND()*4+6,1)</f>
      </c>
      <c r="I179" s="20" t="s">
        <v>45</v>
      </c>
      <c r="J179" s="23">
        <f>ROUND(86*1,0)&amp;"%"</f>
      </c>
    </row>
    <row x14ac:dyDescent="0.25" r="180" customHeight="1" ht="17.25">
      <c r="A180" s="17" t="s">
        <v>13724</v>
      </c>
      <c r="B180" s="17" t="s">
        <v>308</v>
      </c>
      <c r="C180" s="17" t="s">
        <v>15</v>
      </c>
      <c r="D180" s="17" t="s">
        <v>16</v>
      </c>
      <c r="E180" s="18">
        <f>ROUND(8134*1.05,2)</f>
      </c>
      <c r="F180" s="17" t="s">
        <v>48</v>
      </c>
      <c r="G180" s="17" t="s">
        <v>18</v>
      </c>
      <c r="H180" s="26">
        <f>ROUND(RAND()*4+6,1)</f>
      </c>
      <c r="I180" s="17" t="s">
        <v>19</v>
      </c>
      <c r="J180" s="19">
        <f>ROUND(100*1,0)&amp;"%"</f>
      </c>
    </row>
    <row x14ac:dyDescent="0.25" r="181" customHeight="1" ht="17.25">
      <c r="A181" s="20" t="s">
        <v>13725</v>
      </c>
      <c r="B181" s="20" t="s">
        <v>310</v>
      </c>
      <c r="C181" s="20" t="s">
        <v>15</v>
      </c>
      <c r="D181" s="20" t="s">
        <v>22</v>
      </c>
      <c r="E181" s="21">
        <f>ROUND(17215*1.05,2)</f>
      </c>
      <c r="F181" s="20" t="s">
        <v>51</v>
      </c>
      <c r="G181" s="20" t="s">
        <v>24</v>
      </c>
      <c r="H181" s="21">
        <f>ROUND(RAND()*4+6,1)</f>
      </c>
      <c r="I181" s="20" t="s">
        <v>25</v>
      </c>
      <c r="J181" s="23">
        <f>ROUND(92*1,0)&amp;"%"</f>
      </c>
    </row>
    <row x14ac:dyDescent="0.25" r="182" customHeight="1" ht="17.25">
      <c r="A182" s="24" t="s">
        <v>311</v>
      </c>
      <c r="B182" s="24"/>
      <c r="C182" s="24"/>
      <c r="D182" s="24"/>
      <c r="E182" s="25">
        <v>8</v>
      </c>
      <c r="F182" s="9"/>
      <c r="G182" s="9"/>
      <c r="H182" s="10"/>
      <c r="I182" s="9"/>
      <c r="J182" s="9"/>
    </row>
    <row x14ac:dyDescent="0.25" r="183" customHeight="1" ht="17.25">
      <c r="A183" s="7"/>
      <c r="B183" s="7"/>
      <c r="C183" s="7"/>
      <c r="D183" s="7"/>
      <c r="E183" s="8"/>
      <c r="F183" s="9"/>
      <c r="G183" s="9"/>
      <c r="H183" s="10"/>
      <c r="I183" s="9"/>
      <c r="J183" s="9"/>
    </row>
    <row x14ac:dyDescent="0.25" r="184" customHeight="1" ht="17.25">
      <c r="A184" s="11" t="s">
        <v>13726</v>
      </c>
      <c r="B184" s="11"/>
      <c r="C184" s="11"/>
      <c r="D184" s="11"/>
      <c r="E184" s="12"/>
      <c r="F184" s="11"/>
      <c r="G184" s="11"/>
      <c r="H184" s="13"/>
      <c r="I184" s="11"/>
      <c r="J184" s="11"/>
    </row>
    <row x14ac:dyDescent="0.25" r="185" customHeight="1" ht="17.25">
      <c r="A185" s="14" t="s">
        <v>3</v>
      </c>
      <c r="B185" s="14" t="s">
        <v>4</v>
      </c>
      <c r="C185" s="14" t="s">
        <v>5</v>
      </c>
      <c r="D185" s="14" t="s">
        <v>6</v>
      </c>
      <c r="E185" s="15" t="s">
        <v>7</v>
      </c>
      <c r="F185" s="14" t="s">
        <v>8</v>
      </c>
      <c r="G185" s="14" t="s">
        <v>9</v>
      </c>
      <c r="H185" s="16" t="s">
        <v>10</v>
      </c>
      <c r="I185" s="14" t="s">
        <v>11</v>
      </c>
      <c r="J185" s="14" t="s">
        <v>12</v>
      </c>
    </row>
    <row x14ac:dyDescent="0.25" r="186" customHeight="1" ht="17.25">
      <c r="A186" s="17" t="s">
        <v>13727</v>
      </c>
      <c r="B186" s="17" t="s">
        <v>314</v>
      </c>
      <c r="C186" s="17" t="s">
        <v>56</v>
      </c>
      <c r="D186" s="17" t="s">
        <v>16</v>
      </c>
      <c r="E186" s="18">
        <f>ROUND(16653*1.05,2)</f>
      </c>
      <c r="F186" s="17" t="s">
        <v>17</v>
      </c>
      <c r="G186" s="17" t="s">
        <v>18</v>
      </c>
      <c r="H186" s="18">
        <f>ROUND(RAND()*4+6,1)</f>
      </c>
      <c r="I186" s="17" t="s">
        <v>19</v>
      </c>
      <c r="J186" s="19">
        <f>ROUND(65*1,0)&amp;"%"</f>
      </c>
    </row>
    <row x14ac:dyDescent="0.25" r="187" customHeight="1" ht="17.25">
      <c r="A187" s="20" t="s">
        <v>13728</v>
      </c>
      <c r="B187" s="20" t="s">
        <v>316</v>
      </c>
      <c r="C187" s="20" t="s">
        <v>56</v>
      </c>
      <c r="D187" s="20" t="s">
        <v>22</v>
      </c>
      <c r="E187" s="21">
        <f>ROUND(17502*1.05,2)</f>
      </c>
      <c r="F187" s="20" t="s">
        <v>23</v>
      </c>
      <c r="G187" s="20" t="s">
        <v>24</v>
      </c>
      <c r="H187" s="21">
        <f>ROUND(RAND()*4+6,1)</f>
      </c>
      <c r="I187" s="20" t="s">
        <v>25</v>
      </c>
      <c r="J187" s="23">
        <f>ROUND(98*1,0)&amp;"%"</f>
      </c>
    </row>
    <row x14ac:dyDescent="0.25" r="188" customHeight="1" ht="17.25">
      <c r="A188" s="17" t="s">
        <v>13729</v>
      </c>
      <c r="B188" s="17" t="s">
        <v>318</v>
      </c>
      <c r="C188" s="17" t="s">
        <v>56</v>
      </c>
      <c r="D188" s="17" t="s">
        <v>28</v>
      </c>
      <c r="E188" s="18">
        <f>ROUND(17447*1.05,2)</f>
      </c>
      <c r="F188" s="17" t="s">
        <v>29</v>
      </c>
      <c r="G188" s="17" t="s">
        <v>30</v>
      </c>
      <c r="H188" s="18">
        <f>ROUND(RAND()*4+6,1)</f>
      </c>
      <c r="I188" s="17" t="s">
        <v>31</v>
      </c>
      <c r="J188" s="19">
        <f>ROUND(60*1,0)&amp;"%"</f>
      </c>
    </row>
    <row x14ac:dyDescent="0.25" r="189" customHeight="1" ht="17.25">
      <c r="A189" s="20" t="s">
        <v>13730</v>
      </c>
      <c r="B189" s="20" t="s">
        <v>320</v>
      </c>
      <c r="C189" s="20" t="s">
        <v>56</v>
      </c>
      <c r="D189" s="20" t="s">
        <v>34</v>
      </c>
      <c r="E189" s="21">
        <f>ROUND(12922*1.05,2)</f>
      </c>
      <c r="F189" s="20" t="s">
        <v>35</v>
      </c>
      <c r="G189" s="20" t="s">
        <v>18</v>
      </c>
      <c r="H189" s="21">
        <f>ROUND(RAND()*4+6,1)</f>
      </c>
      <c r="I189" s="20" t="s">
        <v>36</v>
      </c>
      <c r="J189" s="23">
        <f>ROUND(91*1,0)&amp;"%"</f>
      </c>
    </row>
    <row x14ac:dyDescent="0.25" r="190" customHeight="1" ht="17.25">
      <c r="A190" s="17" t="s">
        <v>13731</v>
      </c>
      <c r="B190" s="17" t="s">
        <v>322</v>
      </c>
      <c r="C190" s="17" t="s">
        <v>56</v>
      </c>
      <c r="D190" s="17" t="s">
        <v>39</v>
      </c>
      <c r="E190" s="18">
        <f>ROUND(4641*1.05,2)</f>
      </c>
      <c r="F190" s="17" t="s">
        <v>40</v>
      </c>
      <c r="G190" s="17" t="s">
        <v>24</v>
      </c>
      <c r="H190" s="18">
        <f>ROUND(RAND()*4+6,1)</f>
      </c>
      <c r="I190" s="17" t="s">
        <v>41</v>
      </c>
      <c r="J190" s="19">
        <f>ROUND(64*1,0)&amp;"%"</f>
      </c>
    </row>
    <row x14ac:dyDescent="0.25" r="191" customHeight="1" ht="17.25">
      <c r="A191" s="20" t="s">
        <v>13732</v>
      </c>
      <c r="B191" s="20" t="s">
        <v>324</v>
      </c>
      <c r="C191" s="20" t="s">
        <v>56</v>
      </c>
      <c r="D191" s="20" t="s">
        <v>67</v>
      </c>
      <c r="E191" s="22">
        <f>ROUND(9540*1.05,2)</f>
      </c>
      <c r="F191" s="20" t="s">
        <v>44</v>
      </c>
      <c r="G191" s="20" t="s">
        <v>30</v>
      </c>
      <c r="H191" s="21">
        <f>ROUND(RAND()*4+6,1)</f>
      </c>
      <c r="I191" s="20" t="s">
        <v>45</v>
      </c>
      <c r="J191" s="23">
        <f>ROUND(82*1,0)&amp;"%"</f>
      </c>
    </row>
    <row x14ac:dyDescent="0.25" r="192" customHeight="1" ht="17.25">
      <c r="A192" s="17" t="s">
        <v>13733</v>
      </c>
      <c r="B192" s="17" t="s">
        <v>326</v>
      </c>
      <c r="C192" s="17" t="s">
        <v>56</v>
      </c>
      <c r="D192" s="17" t="s">
        <v>16</v>
      </c>
      <c r="E192" s="18">
        <f>ROUND(4798*1.05,2)</f>
      </c>
      <c r="F192" s="17" t="s">
        <v>48</v>
      </c>
      <c r="G192" s="17" t="s">
        <v>18</v>
      </c>
      <c r="H192" s="18">
        <f>ROUND(RAND()*4+6,1)</f>
      </c>
      <c r="I192" s="17" t="s">
        <v>19</v>
      </c>
      <c r="J192" s="19">
        <f>ROUND(94*1,0)&amp;"%"</f>
      </c>
    </row>
    <row x14ac:dyDescent="0.25" r="193" customHeight="1" ht="17.25">
      <c r="A193" s="20" t="s">
        <v>13734</v>
      </c>
      <c r="B193" s="20" t="s">
        <v>328</v>
      </c>
      <c r="C193" s="20" t="s">
        <v>56</v>
      </c>
      <c r="D193" s="20" t="s">
        <v>22</v>
      </c>
      <c r="E193" s="21">
        <f>ROUND(4074*1.05,2)</f>
      </c>
      <c r="F193" s="20" t="s">
        <v>51</v>
      </c>
      <c r="G193" s="20" t="s">
        <v>24</v>
      </c>
      <c r="H193" s="21">
        <f>ROUND(RAND()*4+6,1)</f>
      </c>
      <c r="I193" s="20" t="s">
        <v>25</v>
      </c>
      <c r="J193" s="23">
        <f>ROUND(70*1,0)&amp;"%"</f>
      </c>
    </row>
    <row x14ac:dyDescent="0.25" r="194" customHeight="1" ht="17.25">
      <c r="A194" s="24" t="s">
        <v>329</v>
      </c>
      <c r="B194" s="24"/>
      <c r="C194" s="24"/>
      <c r="D194" s="24"/>
      <c r="E194" s="25">
        <v>8</v>
      </c>
      <c r="F194" s="9"/>
      <c r="G194" s="9"/>
      <c r="H194" s="10"/>
      <c r="I194" s="9"/>
      <c r="J194" s="9"/>
    </row>
    <row x14ac:dyDescent="0.25" r="195" customHeight="1" ht="17.25">
      <c r="A195" s="7"/>
      <c r="B195" s="7"/>
      <c r="C195" s="7"/>
      <c r="D195" s="7"/>
      <c r="E195" s="8"/>
      <c r="F195" s="9"/>
      <c r="G195" s="9"/>
      <c r="H195" s="10"/>
      <c r="I195" s="9"/>
      <c r="J195" s="9"/>
    </row>
    <row x14ac:dyDescent="0.25" r="196" customHeight="1" ht="17.25">
      <c r="A196" s="11" t="s">
        <v>13735</v>
      </c>
      <c r="B196" s="11"/>
      <c r="C196" s="11"/>
      <c r="D196" s="11"/>
      <c r="E196" s="12"/>
      <c r="F196" s="11"/>
      <c r="G196" s="11"/>
      <c r="H196" s="13"/>
      <c r="I196" s="11"/>
      <c r="J196" s="11"/>
    </row>
    <row x14ac:dyDescent="0.25" r="197" customHeight="1" ht="17.25">
      <c r="A197" s="14" t="s">
        <v>3</v>
      </c>
      <c r="B197" s="14" t="s">
        <v>4</v>
      </c>
      <c r="C197" s="14" t="s">
        <v>5</v>
      </c>
      <c r="D197" s="14" t="s">
        <v>6</v>
      </c>
      <c r="E197" s="15" t="s">
        <v>7</v>
      </c>
      <c r="F197" s="14" t="s">
        <v>8</v>
      </c>
      <c r="G197" s="14" t="s">
        <v>9</v>
      </c>
      <c r="H197" s="16" t="s">
        <v>10</v>
      </c>
      <c r="I197" s="14" t="s">
        <v>11</v>
      </c>
      <c r="J197" s="14" t="s">
        <v>12</v>
      </c>
    </row>
    <row x14ac:dyDescent="0.25" r="198" customHeight="1" ht="17.25">
      <c r="A198" s="17" t="s">
        <v>13736</v>
      </c>
      <c r="B198" s="17" t="s">
        <v>332</v>
      </c>
      <c r="C198" s="17" t="s">
        <v>76</v>
      </c>
      <c r="D198" s="17" t="s">
        <v>16</v>
      </c>
      <c r="E198" s="18">
        <f>ROUND(13879*1.05,2)</f>
      </c>
      <c r="F198" s="17" t="s">
        <v>17</v>
      </c>
      <c r="G198" s="17" t="s">
        <v>18</v>
      </c>
      <c r="H198" s="18">
        <f>ROUND(RAND()*4+6,1)</f>
      </c>
      <c r="I198" s="17" t="s">
        <v>19</v>
      </c>
      <c r="J198" s="19">
        <f>ROUND(90*1,0)&amp;"%"</f>
      </c>
    </row>
    <row x14ac:dyDescent="0.25" r="199" customHeight="1" ht="17.25">
      <c r="A199" s="20" t="s">
        <v>13737</v>
      </c>
      <c r="B199" s="20" t="s">
        <v>334</v>
      </c>
      <c r="C199" s="20" t="s">
        <v>76</v>
      </c>
      <c r="D199" s="20" t="s">
        <v>22</v>
      </c>
      <c r="E199" s="21">
        <f>ROUND(13442*1.05,2)</f>
      </c>
      <c r="F199" s="20" t="s">
        <v>23</v>
      </c>
      <c r="G199" s="20" t="s">
        <v>24</v>
      </c>
      <c r="H199" s="22">
        <f>ROUND(RAND()*4+6,1)</f>
      </c>
      <c r="I199" s="20" t="s">
        <v>25</v>
      </c>
      <c r="J199" s="23">
        <f>ROUND(83*1,0)&amp;"%"</f>
      </c>
    </row>
    <row x14ac:dyDescent="0.25" r="200" customHeight="1" ht="17.25">
      <c r="A200" s="17" t="s">
        <v>13738</v>
      </c>
      <c r="B200" s="17" t="s">
        <v>336</v>
      </c>
      <c r="C200" s="17" t="s">
        <v>76</v>
      </c>
      <c r="D200" s="17" t="s">
        <v>28</v>
      </c>
      <c r="E200" s="18">
        <f>ROUND(8254*1.05,2)</f>
      </c>
      <c r="F200" s="17" t="s">
        <v>29</v>
      </c>
      <c r="G200" s="17" t="s">
        <v>30</v>
      </c>
      <c r="H200" s="18">
        <f>ROUND(RAND()*4+6,1)</f>
      </c>
      <c r="I200" s="17" t="s">
        <v>31</v>
      </c>
      <c r="J200" s="19">
        <f>ROUND(65*1,0)&amp;"%"</f>
      </c>
    </row>
    <row x14ac:dyDescent="0.25" r="201" customHeight="1" ht="17.25">
      <c r="A201" s="20" t="s">
        <v>13739</v>
      </c>
      <c r="B201" s="20" t="s">
        <v>338</v>
      </c>
      <c r="C201" s="20" t="s">
        <v>76</v>
      </c>
      <c r="D201" s="20" t="s">
        <v>34</v>
      </c>
      <c r="E201" s="21">
        <f>ROUND(15573*1.05,2)</f>
      </c>
      <c r="F201" s="20" t="s">
        <v>35</v>
      </c>
      <c r="G201" s="20" t="s">
        <v>18</v>
      </c>
      <c r="H201" s="21">
        <f>ROUND(RAND()*4+6,1)</f>
      </c>
      <c r="I201" s="20" t="s">
        <v>36</v>
      </c>
      <c r="J201" s="23">
        <f>ROUND(100*1,0)&amp;"%"</f>
      </c>
    </row>
    <row x14ac:dyDescent="0.25" r="202" customHeight="1" ht="17.25">
      <c r="A202" s="17" t="s">
        <v>13740</v>
      </c>
      <c r="B202" s="17" t="s">
        <v>340</v>
      </c>
      <c r="C202" s="17" t="s">
        <v>76</v>
      </c>
      <c r="D202" s="17" t="s">
        <v>39</v>
      </c>
      <c r="E202" s="18">
        <f>ROUND(12012*1.05,2)</f>
      </c>
      <c r="F202" s="17" t="s">
        <v>40</v>
      </c>
      <c r="G202" s="17" t="s">
        <v>24</v>
      </c>
      <c r="H202" s="18">
        <f>ROUND(RAND()*4+6,1)</f>
      </c>
      <c r="I202" s="17" t="s">
        <v>41</v>
      </c>
      <c r="J202" s="19">
        <f>ROUND(62*1,0)&amp;"%"</f>
      </c>
    </row>
    <row x14ac:dyDescent="0.25" r="203" customHeight="1" ht="17.25">
      <c r="A203" s="20" t="s">
        <v>13741</v>
      </c>
      <c r="B203" s="20" t="s">
        <v>342</v>
      </c>
      <c r="C203" s="20" t="s">
        <v>76</v>
      </c>
      <c r="D203" s="20" t="s">
        <v>67</v>
      </c>
      <c r="E203" s="21">
        <f>ROUND(7952*1.05,2)</f>
      </c>
      <c r="F203" s="20" t="s">
        <v>44</v>
      </c>
      <c r="G203" s="20" t="s">
        <v>30</v>
      </c>
      <c r="H203" s="21">
        <f>ROUND(RAND()*4+6,1)</f>
      </c>
      <c r="I203" s="20" t="s">
        <v>45</v>
      </c>
      <c r="J203" s="23">
        <f>ROUND(83*1,0)&amp;"%"</f>
      </c>
    </row>
    <row x14ac:dyDescent="0.25" r="204" customHeight="1" ht="17.25">
      <c r="A204" s="17" t="s">
        <v>13742</v>
      </c>
      <c r="B204" s="17" t="s">
        <v>344</v>
      </c>
      <c r="C204" s="17" t="s">
        <v>76</v>
      </c>
      <c r="D204" s="17" t="s">
        <v>16</v>
      </c>
      <c r="E204" s="18">
        <f>ROUND(7648*1.05,2)</f>
      </c>
      <c r="F204" s="17" t="s">
        <v>48</v>
      </c>
      <c r="G204" s="17" t="s">
        <v>18</v>
      </c>
      <c r="H204" s="18">
        <f>ROUND(RAND()*4+6,1)</f>
      </c>
      <c r="I204" s="17" t="s">
        <v>19</v>
      </c>
      <c r="J204" s="19">
        <f>ROUND(75*1,0)&amp;"%"</f>
      </c>
    </row>
    <row x14ac:dyDescent="0.25" r="205" customHeight="1" ht="17.25">
      <c r="A205" s="20" t="s">
        <v>13743</v>
      </c>
      <c r="B205" s="20" t="s">
        <v>346</v>
      </c>
      <c r="C205" s="20" t="s">
        <v>76</v>
      </c>
      <c r="D205" s="20" t="s">
        <v>22</v>
      </c>
      <c r="E205" s="21">
        <f>ROUND(6299*1.05,2)</f>
      </c>
      <c r="F205" s="20" t="s">
        <v>51</v>
      </c>
      <c r="G205" s="20" t="s">
        <v>24</v>
      </c>
      <c r="H205" s="21">
        <f>ROUND(RAND()*4+6,1)</f>
      </c>
      <c r="I205" s="20" t="s">
        <v>25</v>
      </c>
      <c r="J205" s="23">
        <f>ROUND(64*1,0)&amp;"%"</f>
      </c>
    </row>
    <row x14ac:dyDescent="0.25" r="206" customHeight="1" ht="17.25">
      <c r="A206" s="24" t="s">
        <v>347</v>
      </c>
      <c r="B206" s="24"/>
      <c r="C206" s="24"/>
      <c r="D206" s="24"/>
      <c r="E206" s="25">
        <v>8</v>
      </c>
      <c r="F206" s="9"/>
      <c r="G206" s="9"/>
      <c r="H206" s="10"/>
      <c r="I206" s="9"/>
      <c r="J206" s="9"/>
    </row>
    <row x14ac:dyDescent="0.25" r="207" customHeight="1" ht="17.25">
      <c r="A207" s="7"/>
      <c r="B207" s="7"/>
      <c r="C207" s="7"/>
      <c r="D207" s="7"/>
      <c r="E207" s="8"/>
      <c r="F207" s="9"/>
      <c r="G207" s="9"/>
      <c r="H207" s="10"/>
      <c r="I207" s="9"/>
      <c r="J207" s="9"/>
    </row>
    <row x14ac:dyDescent="0.25" r="208" customHeight="1" ht="17.25">
      <c r="A208" s="11" t="s">
        <v>13744</v>
      </c>
      <c r="B208" s="11"/>
      <c r="C208" s="11"/>
      <c r="D208" s="11"/>
      <c r="E208" s="12"/>
      <c r="F208" s="11"/>
      <c r="G208" s="11"/>
      <c r="H208" s="13"/>
      <c r="I208" s="11"/>
      <c r="J208" s="11"/>
    </row>
    <row x14ac:dyDescent="0.25" r="209" customHeight="1" ht="17.25">
      <c r="A209" s="14" t="s">
        <v>3</v>
      </c>
      <c r="B209" s="14" t="s">
        <v>4</v>
      </c>
      <c r="C209" s="14" t="s">
        <v>5</v>
      </c>
      <c r="D209" s="14" t="s">
        <v>6</v>
      </c>
      <c r="E209" s="15" t="s">
        <v>7</v>
      </c>
      <c r="F209" s="14" t="s">
        <v>8</v>
      </c>
      <c r="G209" s="14" t="s">
        <v>9</v>
      </c>
      <c r="H209" s="16" t="s">
        <v>10</v>
      </c>
      <c r="I209" s="14" t="s">
        <v>11</v>
      </c>
      <c r="J209" s="14" t="s">
        <v>12</v>
      </c>
    </row>
    <row x14ac:dyDescent="0.25" r="210" customHeight="1" ht="17.25">
      <c r="A210" s="17" t="s">
        <v>13745</v>
      </c>
      <c r="B210" s="17" t="s">
        <v>350</v>
      </c>
      <c r="C210" s="17" t="s">
        <v>95</v>
      </c>
      <c r="D210" s="17" t="s">
        <v>16</v>
      </c>
      <c r="E210" s="18">
        <f>ROUND(5176*1.05,2)</f>
      </c>
      <c r="F210" s="17" t="s">
        <v>17</v>
      </c>
      <c r="G210" s="17" t="s">
        <v>18</v>
      </c>
      <c r="H210" s="18">
        <f>ROUND(RAND()*4+6,1)</f>
      </c>
      <c r="I210" s="17" t="s">
        <v>19</v>
      </c>
      <c r="J210" s="19">
        <f>ROUND(76*1,0)&amp;"%"</f>
      </c>
    </row>
    <row x14ac:dyDescent="0.25" r="211" customHeight="1" ht="17.25">
      <c r="A211" s="20" t="s">
        <v>13746</v>
      </c>
      <c r="B211" s="20" t="s">
        <v>352</v>
      </c>
      <c r="C211" s="20" t="s">
        <v>95</v>
      </c>
      <c r="D211" s="20" t="s">
        <v>22</v>
      </c>
      <c r="E211" s="21">
        <f>ROUND(12670*1.05,2)</f>
      </c>
      <c r="F211" s="20" t="s">
        <v>23</v>
      </c>
      <c r="G211" s="20" t="s">
        <v>24</v>
      </c>
      <c r="H211" s="21">
        <f>ROUND(RAND()*4+6,1)</f>
      </c>
      <c r="I211" s="20" t="s">
        <v>25</v>
      </c>
      <c r="J211" s="23">
        <f>ROUND(87*1,0)&amp;"%"</f>
      </c>
    </row>
    <row x14ac:dyDescent="0.25" r="212" customHeight="1" ht="17.25">
      <c r="A212" s="17" t="s">
        <v>13747</v>
      </c>
      <c r="B212" s="17" t="s">
        <v>354</v>
      </c>
      <c r="C212" s="17" t="s">
        <v>95</v>
      </c>
      <c r="D212" s="17" t="s">
        <v>28</v>
      </c>
      <c r="E212" s="18">
        <f>ROUND(11974*1.05,2)</f>
      </c>
      <c r="F212" s="17" t="s">
        <v>29</v>
      </c>
      <c r="G212" s="17" t="s">
        <v>30</v>
      </c>
      <c r="H212" s="18">
        <f>ROUND(RAND()*4+6,1)</f>
      </c>
      <c r="I212" s="17" t="s">
        <v>31</v>
      </c>
      <c r="J212" s="19">
        <f>ROUND(82*1,0)&amp;"%"</f>
      </c>
    </row>
    <row x14ac:dyDescent="0.25" r="213" customHeight="1" ht="17.25">
      <c r="A213" s="20" t="s">
        <v>13748</v>
      </c>
      <c r="B213" s="20" t="s">
        <v>356</v>
      </c>
      <c r="C213" s="20" t="s">
        <v>95</v>
      </c>
      <c r="D213" s="20" t="s">
        <v>34</v>
      </c>
      <c r="E213" s="21">
        <f>ROUND(14192*1.05,2)</f>
      </c>
      <c r="F213" s="20" t="s">
        <v>35</v>
      </c>
      <c r="G213" s="20" t="s">
        <v>18</v>
      </c>
      <c r="H213" s="21">
        <f>ROUND(RAND()*4+6,1)</f>
      </c>
      <c r="I213" s="20" t="s">
        <v>36</v>
      </c>
      <c r="J213" s="23">
        <f>ROUND(71*1,0)&amp;"%"</f>
      </c>
    </row>
    <row x14ac:dyDescent="0.25" r="214" customHeight="1" ht="17.25">
      <c r="A214" s="17" t="s">
        <v>13749</v>
      </c>
      <c r="B214" s="17" t="s">
        <v>358</v>
      </c>
      <c r="C214" s="17" t="s">
        <v>95</v>
      </c>
      <c r="D214" s="17" t="s">
        <v>39</v>
      </c>
      <c r="E214" s="18">
        <f>ROUND(4742*1.05,2)</f>
      </c>
      <c r="F214" s="17" t="s">
        <v>40</v>
      </c>
      <c r="G214" s="17" t="s">
        <v>24</v>
      </c>
      <c r="H214" s="18">
        <f>ROUND(RAND()*4+6,1)</f>
      </c>
      <c r="I214" s="17" t="s">
        <v>41</v>
      </c>
      <c r="J214" s="19">
        <f>ROUND(94*1,0)&amp;"%"</f>
      </c>
    </row>
    <row x14ac:dyDescent="0.25" r="215" customHeight="1" ht="17.25">
      <c r="A215" s="20" t="s">
        <v>13750</v>
      </c>
      <c r="B215" s="20" t="s">
        <v>360</v>
      </c>
      <c r="C215" s="20" t="s">
        <v>95</v>
      </c>
      <c r="D215" s="20" t="s">
        <v>67</v>
      </c>
      <c r="E215" s="21">
        <f>ROUND(15809*1.05,2)</f>
      </c>
      <c r="F215" s="20" t="s">
        <v>44</v>
      </c>
      <c r="G215" s="20" t="s">
        <v>30</v>
      </c>
      <c r="H215" s="21">
        <f>ROUND(RAND()*4+6,1)</f>
      </c>
      <c r="I215" s="20" t="s">
        <v>45</v>
      </c>
      <c r="J215" s="23">
        <f>ROUND(100*1,0)&amp;"%"</f>
      </c>
    </row>
    <row x14ac:dyDescent="0.25" r="216" customHeight="1" ht="17.25">
      <c r="A216" s="17" t="s">
        <v>13751</v>
      </c>
      <c r="B216" s="17" t="s">
        <v>362</v>
      </c>
      <c r="C216" s="17" t="s">
        <v>95</v>
      </c>
      <c r="D216" s="17" t="s">
        <v>16</v>
      </c>
      <c r="E216" s="18">
        <f>ROUND(17469*1.05,2)</f>
      </c>
      <c r="F216" s="17" t="s">
        <v>48</v>
      </c>
      <c r="G216" s="17" t="s">
        <v>18</v>
      </c>
      <c r="H216" s="18">
        <f>ROUND(RAND()*4+6,1)</f>
      </c>
      <c r="I216" s="17" t="s">
        <v>19</v>
      </c>
      <c r="J216" s="19">
        <f>ROUND(88*1,0)&amp;"%"</f>
      </c>
    </row>
    <row x14ac:dyDescent="0.25" r="217" customHeight="1" ht="17.25">
      <c r="A217" s="20" t="s">
        <v>13752</v>
      </c>
      <c r="B217" s="20" t="s">
        <v>364</v>
      </c>
      <c r="C217" s="20" t="s">
        <v>95</v>
      </c>
      <c r="D217" s="20" t="s">
        <v>22</v>
      </c>
      <c r="E217" s="21">
        <f>ROUND(12302*1.05,2)</f>
      </c>
      <c r="F217" s="20" t="s">
        <v>51</v>
      </c>
      <c r="G217" s="20" t="s">
        <v>24</v>
      </c>
      <c r="H217" s="21">
        <f>ROUND(RAND()*4+6,1)</f>
      </c>
      <c r="I217" s="20" t="s">
        <v>25</v>
      </c>
      <c r="J217" s="23">
        <f>ROUND(66*1,0)&amp;"%"</f>
      </c>
    </row>
    <row x14ac:dyDescent="0.25" r="218" customHeight="1" ht="17.25">
      <c r="A218" s="24" t="s">
        <v>365</v>
      </c>
      <c r="B218" s="24"/>
      <c r="C218" s="24"/>
      <c r="D218" s="24"/>
      <c r="E218" s="25">
        <v>8</v>
      </c>
      <c r="F218" s="9"/>
      <c r="G218" s="9"/>
      <c r="H218" s="10"/>
      <c r="I218" s="9"/>
      <c r="J218" s="9"/>
    </row>
    <row x14ac:dyDescent="0.25" r="219" customHeight="1" ht="17.25">
      <c r="A219" s="7"/>
      <c r="B219" s="7"/>
      <c r="C219" s="7"/>
      <c r="D219" s="7"/>
      <c r="E219" s="8"/>
      <c r="F219" s="9"/>
      <c r="G219" s="9"/>
      <c r="H219" s="10"/>
      <c r="I219" s="9"/>
      <c r="J219" s="9"/>
    </row>
    <row x14ac:dyDescent="0.25" r="220" customHeight="1" ht="17.25">
      <c r="A220" s="11" t="s">
        <v>13753</v>
      </c>
      <c r="B220" s="11"/>
      <c r="C220" s="11"/>
      <c r="D220" s="11"/>
      <c r="E220" s="12"/>
      <c r="F220" s="11"/>
      <c r="G220" s="11"/>
      <c r="H220" s="13"/>
      <c r="I220" s="11"/>
      <c r="J220" s="11"/>
    </row>
    <row x14ac:dyDescent="0.25" r="221" customHeight="1" ht="17.25">
      <c r="A221" s="14" t="s">
        <v>3</v>
      </c>
      <c r="B221" s="14" t="s">
        <v>4</v>
      </c>
      <c r="C221" s="14" t="s">
        <v>5</v>
      </c>
      <c r="D221" s="14" t="s">
        <v>6</v>
      </c>
      <c r="E221" s="15" t="s">
        <v>7</v>
      </c>
      <c r="F221" s="14" t="s">
        <v>8</v>
      </c>
      <c r="G221" s="14" t="s">
        <v>9</v>
      </c>
      <c r="H221" s="16" t="s">
        <v>10</v>
      </c>
      <c r="I221" s="14" t="s">
        <v>11</v>
      </c>
      <c r="J221" s="14" t="s">
        <v>12</v>
      </c>
    </row>
    <row x14ac:dyDescent="0.25" r="222" customHeight="1" ht="17.25">
      <c r="A222" s="17" t="s">
        <v>13754</v>
      </c>
      <c r="B222" s="17" t="s">
        <v>368</v>
      </c>
      <c r="C222" s="17" t="s">
        <v>114</v>
      </c>
      <c r="D222" s="17" t="s">
        <v>16</v>
      </c>
      <c r="E222" s="18">
        <f>ROUND(14297*1.05,2)</f>
      </c>
      <c r="F222" s="17" t="s">
        <v>17</v>
      </c>
      <c r="G222" s="17" t="s">
        <v>18</v>
      </c>
      <c r="H222" s="18">
        <f>ROUND(RAND()*4+6,1)</f>
      </c>
      <c r="I222" s="17" t="s">
        <v>19</v>
      </c>
      <c r="J222" s="19">
        <f>ROUND(79*1,0)&amp;"%"</f>
      </c>
    </row>
    <row x14ac:dyDescent="0.25" r="223" customHeight="1" ht="17.25">
      <c r="A223" s="20" t="s">
        <v>13755</v>
      </c>
      <c r="B223" s="20" t="s">
        <v>370</v>
      </c>
      <c r="C223" s="20" t="s">
        <v>114</v>
      </c>
      <c r="D223" s="20" t="s">
        <v>22</v>
      </c>
      <c r="E223" s="21">
        <f>ROUND(11516*1.05,2)</f>
      </c>
      <c r="F223" s="20" t="s">
        <v>23</v>
      </c>
      <c r="G223" s="20" t="s">
        <v>24</v>
      </c>
      <c r="H223" s="21">
        <f>ROUND(RAND()*4+6,1)</f>
      </c>
      <c r="I223" s="20" t="s">
        <v>25</v>
      </c>
      <c r="J223" s="23">
        <f>ROUND(83*1,0)&amp;"%"</f>
      </c>
    </row>
    <row x14ac:dyDescent="0.25" r="224" customHeight="1" ht="17.25">
      <c r="A224" s="17" t="s">
        <v>13756</v>
      </c>
      <c r="B224" s="17" t="s">
        <v>372</v>
      </c>
      <c r="C224" s="17" t="s">
        <v>114</v>
      </c>
      <c r="D224" s="17" t="s">
        <v>28</v>
      </c>
      <c r="E224" s="18">
        <f>ROUND(14983*1.05,2)</f>
      </c>
      <c r="F224" s="17" t="s">
        <v>29</v>
      </c>
      <c r="G224" s="17" t="s">
        <v>30</v>
      </c>
      <c r="H224" s="18">
        <f>ROUND(RAND()*4+6,1)</f>
      </c>
      <c r="I224" s="17" t="s">
        <v>31</v>
      </c>
      <c r="J224" s="19">
        <f>ROUND(100*1,0)&amp;"%"</f>
      </c>
    </row>
    <row x14ac:dyDescent="0.25" r="225" customHeight="1" ht="17.25">
      <c r="A225" s="20" t="s">
        <v>13757</v>
      </c>
      <c r="B225" s="20" t="s">
        <v>374</v>
      </c>
      <c r="C225" s="20" t="s">
        <v>114</v>
      </c>
      <c r="D225" s="20" t="s">
        <v>34</v>
      </c>
      <c r="E225" s="21">
        <f>ROUND(15288*1.05,2)</f>
      </c>
      <c r="F225" s="20" t="s">
        <v>35</v>
      </c>
      <c r="G225" s="20" t="s">
        <v>18</v>
      </c>
      <c r="H225" s="22">
        <f>ROUND(RAND()*4+6,1)</f>
      </c>
      <c r="I225" s="20" t="s">
        <v>36</v>
      </c>
      <c r="J225" s="23">
        <f>ROUND(83*1,0)&amp;"%"</f>
      </c>
    </row>
    <row x14ac:dyDescent="0.25" r="226" customHeight="1" ht="17.25">
      <c r="A226" s="17" t="s">
        <v>13758</v>
      </c>
      <c r="B226" s="17" t="s">
        <v>376</v>
      </c>
      <c r="C226" s="17" t="s">
        <v>114</v>
      </c>
      <c r="D226" s="17" t="s">
        <v>39</v>
      </c>
      <c r="E226" s="18">
        <f>ROUND(11919*1.05,2)</f>
      </c>
      <c r="F226" s="17" t="s">
        <v>40</v>
      </c>
      <c r="G226" s="17" t="s">
        <v>24</v>
      </c>
      <c r="H226" s="18">
        <f>ROUND(RAND()*4+6,1)</f>
      </c>
      <c r="I226" s="17" t="s">
        <v>41</v>
      </c>
      <c r="J226" s="19">
        <f>ROUND(61*1,0)&amp;"%"</f>
      </c>
    </row>
    <row x14ac:dyDescent="0.25" r="227" customHeight="1" ht="17.25">
      <c r="A227" s="20" t="s">
        <v>13759</v>
      </c>
      <c r="B227" s="20" t="s">
        <v>378</v>
      </c>
      <c r="C227" s="20" t="s">
        <v>114</v>
      </c>
      <c r="D227" s="20" t="s">
        <v>67</v>
      </c>
      <c r="E227" s="21">
        <f>ROUND(13471*1.05,2)</f>
      </c>
      <c r="F227" s="20" t="s">
        <v>44</v>
      </c>
      <c r="G227" s="20" t="s">
        <v>30</v>
      </c>
      <c r="H227" s="21">
        <f>ROUND(RAND()*4+6,1)</f>
      </c>
      <c r="I227" s="20" t="s">
        <v>45</v>
      </c>
      <c r="J227" s="23">
        <f>ROUND(74*1,0)&amp;"%"</f>
      </c>
    </row>
    <row x14ac:dyDescent="0.25" r="228" customHeight="1" ht="17.25">
      <c r="A228" s="17" t="s">
        <v>13760</v>
      </c>
      <c r="B228" s="17" t="s">
        <v>380</v>
      </c>
      <c r="C228" s="17" t="s">
        <v>114</v>
      </c>
      <c r="D228" s="17" t="s">
        <v>16</v>
      </c>
      <c r="E228" s="18">
        <f>ROUND(8319*1.05,2)</f>
      </c>
      <c r="F228" s="17" t="s">
        <v>48</v>
      </c>
      <c r="G228" s="17" t="s">
        <v>18</v>
      </c>
      <c r="H228" s="18">
        <f>ROUND(RAND()*4+6,1)</f>
      </c>
      <c r="I228" s="17" t="s">
        <v>19</v>
      </c>
      <c r="J228" s="19">
        <f>ROUND(73*1,0)&amp;"%"</f>
      </c>
    </row>
    <row x14ac:dyDescent="0.25" r="229" customHeight="1" ht="17.25">
      <c r="A229" s="20" t="s">
        <v>13761</v>
      </c>
      <c r="B229" s="20" t="s">
        <v>382</v>
      </c>
      <c r="C229" s="20" t="s">
        <v>114</v>
      </c>
      <c r="D229" s="20" t="s">
        <v>22</v>
      </c>
      <c r="E229" s="21">
        <f>ROUND(17787*1.05,2)</f>
      </c>
      <c r="F229" s="20" t="s">
        <v>51</v>
      </c>
      <c r="G229" s="20" t="s">
        <v>24</v>
      </c>
      <c r="H229" s="22">
        <f>ROUND(RAND()*4+6,1)</f>
      </c>
      <c r="I229" s="20" t="s">
        <v>25</v>
      </c>
      <c r="J229" s="23">
        <f>ROUND(82*1,0)&amp;"%"</f>
      </c>
    </row>
    <row x14ac:dyDescent="0.25" r="230" customHeight="1" ht="17.25">
      <c r="A230" s="24" t="s">
        <v>383</v>
      </c>
      <c r="B230" s="24"/>
      <c r="C230" s="24"/>
      <c r="D230" s="24"/>
      <c r="E230" s="25">
        <v>8</v>
      </c>
      <c r="F230" s="9"/>
      <c r="G230" s="9"/>
      <c r="H230" s="10"/>
      <c r="I230" s="9"/>
      <c r="J230" s="9"/>
    </row>
    <row x14ac:dyDescent="0.25" r="231" customHeight="1" ht="17.25">
      <c r="A231" s="7"/>
      <c r="B231" s="7"/>
      <c r="C231" s="7"/>
      <c r="D231" s="7"/>
      <c r="E231" s="8"/>
      <c r="F231" s="9"/>
      <c r="G231" s="9"/>
      <c r="H231" s="10"/>
      <c r="I231" s="9"/>
      <c r="J231" s="9"/>
    </row>
    <row x14ac:dyDescent="0.25" r="232" customHeight="1" ht="17.25">
      <c r="A232" s="11" t="s">
        <v>13762</v>
      </c>
      <c r="B232" s="11"/>
      <c r="C232" s="11"/>
      <c r="D232" s="11"/>
      <c r="E232" s="12"/>
      <c r="F232" s="11"/>
      <c r="G232" s="11"/>
      <c r="H232" s="13"/>
      <c r="I232" s="11"/>
      <c r="J232" s="11"/>
    </row>
    <row x14ac:dyDescent="0.25" r="233" customHeight="1" ht="17.25">
      <c r="A233" s="14" t="s">
        <v>3</v>
      </c>
      <c r="B233" s="14" t="s">
        <v>4</v>
      </c>
      <c r="C233" s="14" t="s">
        <v>5</v>
      </c>
      <c r="D233" s="14" t="s">
        <v>6</v>
      </c>
      <c r="E233" s="15" t="s">
        <v>7</v>
      </c>
      <c r="F233" s="14" t="s">
        <v>8</v>
      </c>
      <c r="G233" s="14" t="s">
        <v>9</v>
      </c>
      <c r="H233" s="16" t="s">
        <v>10</v>
      </c>
      <c r="I233" s="14" t="s">
        <v>11</v>
      </c>
      <c r="J233" s="14" t="s">
        <v>12</v>
      </c>
    </row>
    <row x14ac:dyDescent="0.25" r="234" customHeight="1" ht="17.25">
      <c r="A234" s="17" t="s">
        <v>13763</v>
      </c>
      <c r="B234" s="17" t="s">
        <v>386</v>
      </c>
      <c r="C234" s="17" t="s">
        <v>133</v>
      </c>
      <c r="D234" s="17" t="s">
        <v>16</v>
      </c>
      <c r="E234" s="18">
        <f>ROUND(8537*1.05,2)</f>
      </c>
      <c r="F234" s="17" t="s">
        <v>17</v>
      </c>
      <c r="G234" s="17" t="s">
        <v>18</v>
      </c>
      <c r="H234" s="18">
        <f>ROUND(RAND()*4+6,1)</f>
      </c>
      <c r="I234" s="17" t="s">
        <v>19</v>
      </c>
      <c r="J234" s="19">
        <f>ROUND(78*1,0)&amp;"%"</f>
      </c>
    </row>
    <row x14ac:dyDescent="0.25" r="235" customHeight="1" ht="17.25">
      <c r="A235" s="20" t="s">
        <v>13764</v>
      </c>
      <c r="B235" s="20" t="s">
        <v>388</v>
      </c>
      <c r="C235" s="20" t="s">
        <v>133</v>
      </c>
      <c r="D235" s="20" t="s">
        <v>22</v>
      </c>
      <c r="E235" s="21">
        <f>ROUND(8462*1.05,2)</f>
      </c>
      <c r="F235" s="20" t="s">
        <v>23</v>
      </c>
      <c r="G235" s="20" t="s">
        <v>24</v>
      </c>
      <c r="H235" s="22">
        <f>ROUND(RAND()*4+6,1)</f>
      </c>
      <c r="I235" s="20" t="s">
        <v>25</v>
      </c>
      <c r="J235" s="23">
        <f>ROUND(83*1,0)&amp;"%"</f>
      </c>
    </row>
    <row x14ac:dyDescent="0.25" r="236" customHeight="1" ht="17.25">
      <c r="A236" s="17" t="s">
        <v>13765</v>
      </c>
      <c r="B236" s="17" t="s">
        <v>390</v>
      </c>
      <c r="C236" s="17" t="s">
        <v>133</v>
      </c>
      <c r="D236" s="17" t="s">
        <v>28</v>
      </c>
      <c r="E236" s="18">
        <f>ROUND(6478*1.05,2)</f>
      </c>
      <c r="F236" s="17" t="s">
        <v>29</v>
      </c>
      <c r="G236" s="17" t="s">
        <v>30</v>
      </c>
      <c r="H236" s="18">
        <f>ROUND(RAND()*4+6,1)</f>
      </c>
      <c r="I236" s="17" t="s">
        <v>31</v>
      </c>
      <c r="J236" s="19">
        <f>ROUND(82*1,0)&amp;"%"</f>
      </c>
    </row>
    <row x14ac:dyDescent="0.25" r="237" customHeight="1" ht="17.25">
      <c r="A237" s="20" t="s">
        <v>13766</v>
      </c>
      <c r="B237" s="20" t="s">
        <v>392</v>
      </c>
      <c r="C237" s="20" t="s">
        <v>133</v>
      </c>
      <c r="D237" s="20" t="s">
        <v>34</v>
      </c>
      <c r="E237" s="21">
        <f>ROUND(11952*1.05,2)</f>
      </c>
      <c r="F237" s="20" t="s">
        <v>35</v>
      </c>
      <c r="G237" s="20" t="s">
        <v>18</v>
      </c>
      <c r="H237" s="21">
        <f>ROUND(RAND()*4+6,1)</f>
      </c>
      <c r="I237" s="20" t="s">
        <v>36</v>
      </c>
      <c r="J237" s="23">
        <f>ROUND(95*1,0)&amp;"%"</f>
      </c>
    </row>
    <row x14ac:dyDescent="0.25" r="238" customHeight="1" ht="17.25">
      <c r="A238" s="17" t="s">
        <v>13767</v>
      </c>
      <c r="B238" s="17" t="s">
        <v>394</v>
      </c>
      <c r="C238" s="17" t="s">
        <v>133</v>
      </c>
      <c r="D238" s="17" t="s">
        <v>39</v>
      </c>
      <c r="E238" s="18">
        <f>ROUND(6048*1.05,2)</f>
      </c>
      <c r="F238" s="17" t="s">
        <v>40</v>
      </c>
      <c r="G238" s="17" t="s">
        <v>24</v>
      </c>
      <c r="H238" s="18">
        <f>ROUND(RAND()*4+6,1)</f>
      </c>
      <c r="I238" s="17" t="s">
        <v>41</v>
      </c>
      <c r="J238" s="19">
        <f>ROUND(76*1,0)&amp;"%"</f>
      </c>
    </row>
    <row x14ac:dyDescent="0.25" r="239" customHeight="1" ht="17.25">
      <c r="A239" s="20" t="s">
        <v>13768</v>
      </c>
      <c r="B239" s="20" t="s">
        <v>396</v>
      </c>
      <c r="C239" s="20" t="s">
        <v>133</v>
      </c>
      <c r="D239" s="20" t="s">
        <v>67</v>
      </c>
      <c r="E239" s="21">
        <f>ROUND(12685*1.05,2)</f>
      </c>
      <c r="F239" s="20" t="s">
        <v>44</v>
      </c>
      <c r="G239" s="20" t="s">
        <v>30</v>
      </c>
      <c r="H239" s="21">
        <f>ROUND(RAND()*4+6,1)</f>
      </c>
      <c r="I239" s="20" t="s">
        <v>45</v>
      </c>
      <c r="J239" s="23">
        <f>ROUND(61*1,0)&amp;"%"</f>
      </c>
    </row>
    <row x14ac:dyDescent="0.25" r="240" customHeight="1" ht="17.25">
      <c r="A240" s="17" t="s">
        <v>13769</v>
      </c>
      <c r="B240" s="17" t="s">
        <v>398</v>
      </c>
      <c r="C240" s="17" t="s">
        <v>133</v>
      </c>
      <c r="D240" s="17" t="s">
        <v>16</v>
      </c>
      <c r="E240" s="18">
        <f>ROUND(9463*1.05,2)</f>
      </c>
      <c r="F240" s="17" t="s">
        <v>48</v>
      </c>
      <c r="G240" s="17" t="s">
        <v>18</v>
      </c>
      <c r="H240" s="18">
        <f>ROUND(RAND()*4+6,1)</f>
      </c>
      <c r="I240" s="17" t="s">
        <v>19</v>
      </c>
      <c r="J240" s="19">
        <f>ROUND(82*1,0)&amp;"%"</f>
      </c>
    </row>
    <row x14ac:dyDescent="0.25" r="241" customHeight="1" ht="17.25">
      <c r="A241" s="20" t="s">
        <v>13770</v>
      </c>
      <c r="B241" s="20" t="s">
        <v>400</v>
      </c>
      <c r="C241" s="20" t="s">
        <v>133</v>
      </c>
      <c r="D241" s="20" t="s">
        <v>22</v>
      </c>
      <c r="E241" s="21">
        <f>ROUND(14281*1.05,2)</f>
      </c>
      <c r="F241" s="20" t="s">
        <v>51</v>
      </c>
      <c r="G241" s="20" t="s">
        <v>24</v>
      </c>
      <c r="H241" s="21">
        <f>ROUND(RAND()*4+6,1)</f>
      </c>
      <c r="I241" s="20" t="s">
        <v>25</v>
      </c>
      <c r="J241" s="23">
        <f>ROUND(67*1,0)&amp;"%"</f>
      </c>
    </row>
    <row x14ac:dyDescent="0.25" r="242" customHeight="1" ht="17.25">
      <c r="A242" s="24" t="s">
        <v>401</v>
      </c>
      <c r="B242" s="24"/>
      <c r="C242" s="24"/>
      <c r="D242" s="24"/>
      <c r="E242" s="25">
        <v>8</v>
      </c>
      <c r="F242" s="9"/>
      <c r="G242" s="9"/>
      <c r="H242" s="10"/>
      <c r="I242" s="9"/>
      <c r="J242" s="9"/>
    </row>
    <row x14ac:dyDescent="0.25" r="243" customHeight="1" ht="17.25">
      <c r="A243" s="7"/>
      <c r="B243" s="7"/>
      <c r="C243" s="7"/>
      <c r="D243" s="7"/>
      <c r="E243" s="8"/>
      <c r="F243" s="9"/>
      <c r="G243" s="9"/>
      <c r="H243" s="10"/>
      <c r="I243" s="9"/>
      <c r="J243" s="9"/>
    </row>
    <row x14ac:dyDescent="0.25" r="244" customHeight="1" ht="17.25">
      <c r="A244" s="11" t="s">
        <v>13771</v>
      </c>
      <c r="B244" s="11"/>
      <c r="C244" s="11"/>
      <c r="D244" s="11"/>
      <c r="E244" s="12"/>
      <c r="F244" s="11"/>
      <c r="G244" s="11"/>
      <c r="H244" s="13"/>
      <c r="I244" s="11"/>
      <c r="J244" s="11"/>
    </row>
    <row x14ac:dyDescent="0.25" r="245" customHeight="1" ht="17.25">
      <c r="A245" s="14" t="s">
        <v>3</v>
      </c>
      <c r="B245" s="14" t="s">
        <v>4</v>
      </c>
      <c r="C245" s="14" t="s">
        <v>5</v>
      </c>
      <c r="D245" s="14" t="s">
        <v>6</v>
      </c>
      <c r="E245" s="15" t="s">
        <v>7</v>
      </c>
      <c r="F245" s="14" t="s">
        <v>8</v>
      </c>
      <c r="G245" s="14" t="s">
        <v>9</v>
      </c>
      <c r="H245" s="16" t="s">
        <v>10</v>
      </c>
      <c r="I245" s="14" t="s">
        <v>11</v>
      </c>
      <c r="J245" s="14" t="s">
        <v>12</v>
      </c>
    </row>
    <row x14ac:dyDescent="0.25" r="246" customHeight="1" ht="17.25">
      <c r="A246" s="17" t="s">
        <v>13772</v>
      </c>
      <c r="B246" s="17" t="s">
        <v>404</v>
      </c>
      <c r="C246" s="17" t="s">
        <v>152</v>
      </c>
      <c r="D246" s="17" t="s">
        <v>16</v>
      </c>
      <c r="E246" s="18">
        <f>ROUND(5046*1.05,2)</f>
      </c>
      <c r="F246" s="17" t="s">
        <v>17</v>
      </c>
      <c r="G246" s="17" t="s">
        <v>18</v>
      </c>
      <c r="H246" s="18">
        <f>ROUND(RAND()*4+6,1)</f>
      </c>
      <c r="I246" s="17" t="s">
        <v>19</v>
      </c>
      <c r="J246" s="19">
        <f>ROUND(90*1,0)&amp;"%"</f>
      </c>
    </row>
    <row x14ac:dyDescent="0.25" r="247" customHeight="1" ht="17.25">
      <c r="A247" s="20" t="s">
        <v>13773</v>
      </c>
      <c r="B247" s="20" t="s">
        <v>406</v>
      </c>
      <c r="C247" s="20" t="s">
        <v>152</v>
      </c>
      <c r="D247" s="20" t="s">
        <v>22</v>
      </c>
      <c r="E247" s="21">
        <f>ROUND(7264*1.05,2)</f>
      </c>
      <c r="F247" s="20" t="s">
        <v>23</v>
      </c>
      <c r="G247" s="20" t="s">
        <v>24</v>
      </c>
      <c r="H247" s="21">
        <f>ROUND(RAND()*4+6,1)</f>
      </c>
      <c r="I247" s="20" t="s">
        <v>25</v>
      </c>
      <c r="J247" s="23">
        <f>ROUND(62*1,0)&amp;"%"</f>
      </c>
    </row>
    <row x14ac:dyDescent="0.25" r="248" customHeight="1" ht="17.25">
      <c r="A248" s="17" t="s">
        <v>13774</v>
      </c>
      <c r="B248" s="17" t="s">
        <v>408</v>
      </c>
      <c r="C248" s="17" t="s">
        <v>152</v>
      </c>
      <c r="D248" s="17" t="s">
        <v>28</v>
      </c>
      <c r="E248" s="18">
        <f>ROUND(5032*1.05,2)</f>
      </c>
      <c r="F248" s="17" t="s">
        <v>29</v>
      </c>
      <c r="G248" s="17" t="s">
        <v>30</v>
      </c>
      <c r="H248" s="18">
        <f>ROUND(RAND()*4+6,1)</f>
      </c>
      <c r="I248" s="17" t="s">
        <v>31</v>
      </c>
      <c r="J248" s="19">
        <f>ROUND(86*1,0)&amp;"%"</f>
      </c>
    </row>
    <row x14ac:dyDescent="0.25" r="249" customHeight="1" ht="17.25">
      <c r="A249" s="20" t="s">
        <v>13775</v>
      </c>
      <c r="B249" s="20" t="s">
        <v>410</v>
      </c>
      <c r="C249" s="20" t="s">
        <v>152</v>
      </c>
      <c r="D249" s="20" t="s">
        <v>34</v>
      </c>
      <c r="E249" s="21">
        <f>ROUND(15199*1.05,2)</f>
      </c>
      <c r="F249" s="20" t="s">
        <v>35</v>
      </c>
      <c r="G249" s="20" t="s">
        <v>18</v>
      </c>
      <c r="H249" s="21">
        <f>ROUND(RAND()*4+6,1)</f>
      </c>
      <c r="I249" s="20" t="s">
        <v>36</v>
      </c>
      <c r="J249" s="23">
        <f>ROUND(99*1,0)&amp;"%"</f>
      </c>
    </row>
    <row x14ac:dyDescent="0.25" r="250" customHeight="1" ht="17.25">
      <c r="A250" s="17" t="s">
        <v>13776</v>
      </c>
      <c r="B250" s="17" t="s">
        <v>412</v>
      </c>
      <c r="C250" s="17" t="s">
        <v>152</v>
      </c>
      <c r="D250" s="17" t="s">
        <v>39</v>
      </c>
      <c r="E250" s="18">
        <f>ROUND(9434*1.05,2)</f>
      </c>
      <c r="F250" s="17" t="s">
        <v>40</v>
      </c>
      <c r="G250" s="17" t="s">
        <v>24</v>
      </c>
      <c r="H250" s="18">
        <f>ROUND(RAND()*4+6,1)</f>
      </c>
      <c r="I250" s="17" t="s">
        <v>41</v>
      </c>
      <c r="J250" s="19">
        <f>ROUND(85*1,0)&amp;"%"</f>
      </c>
    </row>
    <row x14ac:dyDescent="0.25" r="251" customHeight="1" ht="17.25">
      <c r="A251" s="20" t="s">
        <v>13777</v>
      </c>
      <c r="B251" s="20" t="s">
        <v>414</v>
      </c>
      <c r="C251" s="20" t="s">
        <v>152</v>
      </c>
      <c r="D251" s="20" t="s">
        <v>67</v>
      </c>
      <c r="E251" s="21">
        <f>ROUND(8269*1.05,2)</f>
      </c>
      <c r="F251" s="20" t="s">
        <v>44</v>
      </c>
      <c r="G251" s="20" t="s">
        <v>30</v>
      </c>
      <c r="H251" s="21">
        <f>ROUND(RAND()*4+6,1)</f>
      </c>
      <c r="I251" s="20" t="s">
        <v>45</v>
      </c>
      <c r="J251" s="23">
        <f>ROUND(96*1,0)&amp;"%"</f>
      </c>
    </row>
    <row x14ac:dyDescent="0.25" r="252" customHeight="1" ht="17.25">
      <c r="A252" s="17" t="s">
        <v>13778</v>
      </c>
      <c r="B252" s="17" t="s">
        <v>416</v>
      </c>
      <c r="C252" s="17" t="s">
        <v>152</v>
      </c>
      <c r="D252" s="17" t="s">
        <v>16</v>
      </c>
      <c r="E252" s="18">
        <f>ROUND(10207*1.05,2)</f>
      </c>
      <c r="F252" s="17" t="s">
        <v>48</v>
      </c>
      <c r="G252" s="17" t="s">
        <v>18</v>
      </c>
      <c r="H252" s="18">
        <f>ROUND(RAND()*4+6,1)</f>
      </c>
      <c r="I252" s="17" t="s">
        <v>19</v>
      </c>
      <c r="J252" s="19">
        <f>ROUND(83*1,0)&amp;"%"</f>
      </c>
    </row>
    <row x14ac:dyDescent="0.25" r="253" customHeight="1" ht="17.25">
      <c r="A253" s="20" t="s">
        <v>13779</v>
      </c>
      <c r="B253" s="20" t="s">
        <v>418</v>
      </c>
      <c r="C253" s="20" t="s">
        <v>152</v>
      </c>
      <c r="D253" s="20" t="s">
        <v>22</v>
      </c>
      <c r="E253" s="21">
        <f>ROUND(14726*1.05,2)</f>
      </c>
      <c r="F253" s="20" t="s">
        <v>51</v>
      </c>
      <c r="G253" s="20" t="s">
        <v>24</v>
      </c>
      <c r="H253" s="21">
        <f>ROUND(RAND()*4+6,1)</f>
      </c>
      <c r="I253" s="20" t="s">
        <v>25</v>
      </c>
      <c r="J253" s="23">
        <f>ROUND(65*1,0)&amp;"%"</f>
      </c>
    </row>
    <row x14ac:dyDescent="0.25" r="254" customHeight="1" ht="17.25">
      <c r="A254" s="24" t="s">
        <v>419</v>
      </c>
      <c r="B254" s="24"/>
      <c r="C254" s="24"/>
      <c r="D254" s="24"/>
      <c r="E254" s="25">
        <v>8</v>
      </c>
      <c r="F254" s="9"/>
      <c r="G254" s="9"/>
      <c r="H254" s="10"/>
      <c r="I254" s="9"/>
      <c r="J254" s="9"/>
    </row>
    <row x14ac:dyDescent="0.25" r="255" customHeight="1" ht="17.25">
      <c r="A255" s="7"/>
      <c r="B255" s="7"/>
      <c r="C255" s="7"/>
      <c r="D255" s="7"/>
      <c r="E255" s="8"/>
      <c r="F255" s="9"/>
      <c r="G255" s="9"/>
      <c r="H255" s="10"/>
      <c r="I255" s="9"/>
      <c r="J255" s="9"/>
    </row>
    <row x14ac:dyDescent="0.25" r="256" customHeight="1" ht="17.25">
      <c r="A256" s="11" t="s">
        <v>13780</v>
      </c>
      <c r="B256" s="11"/>
      <c r="C256" s="11"/>
      <c r="D256" s="11"/>
      <c r="E256" s="12"/>
      <c r="F256" s="11"/>
      <c r="G256" s="11"/>
      <c r="H256" s="13"/>
      <c r="I256" s="11"/>
      <c r="J256" s="11"/>
    </row>
    <row x14ac:dyDescent="0.25" r="257" customHeight="1" ht="17.25">
      <c r="A257" s="14" t="s">
        <v>3</v>
      </c>
      <c r="B257" s="14" t="s">
        <v>4</v>
      </c>
      <c r="C257" s="14" t="s">
        <v>5</v>
      </c>
      <c r="D257" s="14" t="s">
        <v>6</v>
      </c>
      <c r="E257" s="15" t="s">
        <v>7</v>
      </c>
      <c r="F257" s="14" t="s">
        <v>8</v>
      </c>
      <c r="G257" s="14" t="s">
        <v>9</v>
      </c>
      <c r="H257" s="16" t="s">
        <v>10</v>
      </c>
      <c r="I257" s="14" t="s">
        <v>11</v>
      </c>
      <c r="J257" s="14" t="s">
        <v>12</v>
      </c>
    </row>
    <row x14ac:dyDescent="0.25" r="258" customHeight="1" ht="17.25">
      <c r="A258" s="17" t="s">
        <v>13781</v>
      </c>
      <c r="B258" s="17" t="s">
        <v>422</v>
      </c>
      <c r="C258" s="17" t="s">
        <v>15</v>
      </c>
      <c r="D258" s="17" t="s">
        <v>16</v>
      </c>
      <c r="E258" s="18">
        <f>ROUND(16662*1.05,2)</f>
      </c>
      <c r="F258" s="17" t="s">
        <v>17</v>
      </c>
      <c r="G258" s="17" t="s">
        <v>18</v>
      </c>
      <c r="H258" s="18">
        <f>ROUND(RAND()*4+6,1)</f>
      </c>
      <c r="I258" s="17" t="s">
        <v>19</v>
      </c>
      <c r="J258" s="19">
        <f>ROUND(72*1,0)&amp;"%"</f>
      </c>
    </row>
    <row x14ac:dyDescent="0.25" r="259" customHeight="1" ht="17.25">
      <c r="A259" s="20" t="s">
        <v>13782</v>
      </c>
      <c r="B259" s="20" t="s">
        <v>424</v>
      </c>
      <c r="C259" s="20" t="s">
        <v>15</v>
      </c>
      <c r="D259" s="20" t="s">
        <v>22</v>
      </c>
      <c r="E259" s="21">
        <f>ROUND(13754*1.05,2)</f>
      </c>
      <c r="F259" s="20" t="s">
        <v>23</v>
      </c>
      <c r="G259" s="20" t="s">
        <v>24</v>
      </c>
      <c r="H259" s="21">
        <f>ROUND(RAND()*4+6,1)</f>
      </c>
      <c r="I259" s="20" t="s">
        <v>25</v>
      </c>
      <c r="J259" s="23">
        <f>ROUND(76*1,0)&amp;"%"</f>
      </c>
    </row>
    <row x14ac:dyDescent="0.25" r="260" customHeight="1" ht="17.25">
      <c r="A260" s="17" t="s">
        <v>13783</v>
      </c>
      <c r="B260" s="17" t="s">
        <v>426</v>
      </c>
      <c r="C260" s="17" t="s">
        <v>15</v>
      </c>
      <c r="D260" s="17" t="s">
        <v>28</v>
      </c>
      <c r="E260" s="18">
        <f>ROUND(14185*1.05,2)</f>
      </c>
      <c r="F260" s="17" t="s">
        <v>29</v>
      </c>
      <c r="G260" s="17" t="s">
        <v>30</v>
      </c>
      <c r="H260" s="18">
        <f>ROUND(RAND()*4+6,1)</f>
      </c>
      <c r="I260" s="17" t="s">
        <v>31</v>
      </c>
      <c r="J260" s="19">
        <f>ROUND(69*1,0)&amp;"%"</f>
      </c>
    </row>
    <row x14ac:dyDescent="0.25" r="261" customHeight="1" ht="17.25">
      <c r="A261" s="20" t="s">
        <v>13784</v>
      </c>
      <c r="B261" s="20" t="s">
        <v>428</v>
      </c>
      <c r="C261" s="20" t="s">
        <v>15</v>
      </c>
      <c r="D261" s="20" t="s">
        <v>34</v>
      </c>
      <c r="E261" s="21">
        <f>ROUND(14013*1.05,2)</f>
      </c>
      <c r="F261" s="20" t="s">
        <v>35</v>
      </c>
      <c r="G261" s="20" t="s">
        <v>18</v>
      </c>
      <c r="H261" s="21">
        <f>ROUND(RAND()*4+6,1)</f>
      </c>
      <c r="I261" s="20" t="s">
        <v>36</v>
      </c>
      <c r="J261" s="23">
        <f>ROUND(63*1,0)&amp;"%"</f>
      </c>
    </row>
    <row x14ac:dyDescent="0.25" r="262" customHeight="1" ht="17.25">
      <c r="A262" s="17" t="s">
        <v>13785</v>
      </c>
      <c r="B262" s="17" t="s">
        <v>430</v>
      </c>
      <c r="C262" s="17" t="s">
        <v>15</v>
      </c>
      <c r="D262" s="17" t="s">
        <v>39</v>
      </c>
      <c r="E262" s="18">
        <f>ROUND(14776*1.05,2)</f>
      </c>
      <c r="F262" s="17" t="s">
        <v>40</v>
      </c>
      <c r="G262" s="17" t="s">
        <v>24</v>
      </c>
      <c r="H262" s="18">
        <f>ROUND(RAND()*4+6,1)</f>
      </c>
      <c r="I262" s="17" t="s">
        <v>41</v>
      </c>
      <c r="J262" s="19">
        <f>ROUND(80*1,0)&amp;"%"</f>
      </c>
    </row>
    <row x14ac:dyDescent="0.25" r="263" customHeight="1" ht="17.25">
      <c r="A263" s="20" t="s">
        <v>13786</v>
      </c>
      <c r="B263" s="20" t="s">
        <v>432</v>
      </c>
      <c r="C263" s="20" t="s">
        <v>15</v>
      </c>
      <c r="D263" s="20" t="s">
        <v>67</v>
      </c>
      <c r="E263" s="21">
        <f>ROUND(11526*1.05,2)</f>
      </c>
      <c r="F263" s="20" t="s">
        <v>44</v>
      </c>
      <c r="G263" s="20" t="s">
        <v>30</v>
      </c>
      <c r="H263" s="21">
        <f>ROUND(RAND()*4+6,1)</f>
      </c>
      <c r="I263" s="20" t="s">
        <v>45</v>
      </c>
      <c r="J263" s="23">
        <f>ROUND(97*1,0)&amp;"%"</f>
      </c>
    </row>
    <row x14ac:dyDescent="0.25" r="264" customHeight="1" ht="17.25">
      <c r="A264" s="17" t="s">
        <v>13787</v>
      </c>
      <c r="B264" s="17" t="s">
        <v>434</v>
      </c>
      <c r="C264" s="17" t="s">
        <v>15</v>
      </c>
      <c r="D264" s="17" t="s">
        <v>16</v>
      </c>
      <c r="E264" s="18">
        <f>ROUND(16141*1.05,2)</f>
      </c>
      <c r="F264" s="17" t="s">
        <v>48</v>
      </c>
      <c r="G264" s="17" t="s">
        <v>18</v>
      </c>
      <c r="H264" s="18">
        <f>ROUND(RAND()*4+6,1)</f>
      </c>
      <c r="I264" s="17" t="s">
        <v>19</v>
      </c>
      <c r="J264" s="19">
        <f>ROUND(90*1,0)&amp;"%"</f>
      </c>
    </row>
    <row x14ac:dyDescent="0.25" r="265" customHeight="1" ht="17.25">
      <c r="A265" s="20" t="s">
        <v>13788</v>
      </c>
      <c r="B265" s="20" t="s">
        <v>436</v>
      </c>
      <c r="C265" s="20" t="s">
        <v>15</v>
      </c>
      <c r="D265" s="20" t="s">
        <v>22</v>
      </c>
      <c r="E265" s="21">
        <f>ROUND(11691*1.05,2)</f>
      </c>
      <c r="F265" s="20" t="s">
        <v>51</v>
      </c>
      <c r="G265" s="20" t="s">
        <v>24</v>
      </c>
      <c r="H265" s="21">
        <f>ROUND(RAND()*4+6,1)</f>
      </c>
      <c r="I265" s="20" t="s">
        <v>25</v>
      </c>
      <c r="J265" s="23">
        <f>ROUND(68*1,0)&amp;"%"</f>
      </c>
    </row>
    <row x14ac:dyDescent="0.25" r="266" customHeight="1" ht="17.25">
      <c r="A266" s="24" t="s">
        <v>437</v>
      </c>
      <c r="B266" s="24"/>
      <c r="C266" s="24"/>
      <c r="D266" s="24"/>
      <c r="E266" s="25">
        <v>8</v>
      </c>
      <c r="F266" s="9"/>
      <c r="G266" s="9"/>
      <c r="H266" s="10"/>
      <c r="I266" s="9"/>
      <c r="J266" s="9"/>
    </row>
    <row x14ac:dyDescent="0.25" r="267" customHeight="1" ht="17.25">
      <c r="A267" s="7"/>
      <c r="B267" s="7"/>
      <c r="C267" s="7"/>
      <c r="D267" s="7"/>
      <c r="E267" s="8"/>
      <c r="F267" s="9"/>
      <c r="G267" s="9"/>
      <c r="H267" s="10"/>
      <c r="I267" s="9"/>
      <c r="J267" s="9"/>
    </row>
    <row x14ac:dyDescent="0.25" r="268" customHeight="1" ht="17.25">
      <c r="A268" s="11" t="s">
        <v>13789</v>
      </c>
      <c r="B268" s="11"/>
      <c r="C268" s="11"/>
      <c r="D268" s="11"/>
      <c r="E268" s="12"/>
      <c r="F268" s="11"/>
      <c r="G268" s="11"/>
      <c r="H268" s="13"/>
      <c r="I268" s="11"/>
      <c r="J268" s="11"/>
    </row>
    <row x14ac:dyDescent="0.25" r="269" customHeight="1" ht="17.25">
      <c r="A269" s="14" t="s">
        <v>3</v>
      </c>
      <c r="B269" s="14" t="s">
        <v>4</v>
      </c>
      <c r="C269" s="14" t="s">
        <v>5</v>
      </c>
      <c r="D269" s="14" t="s">
        <v>6</v>
      </c>
      <c r="E269" s="15" t="s">
        <v>7</v>
      </c>
      <c r="F269" s="14" t="s">
        <v>8</v>
      </c>
      <c r="G269" s="14" t="s">
        <v>9</v>
      </c>
      <c r="H269" s="16" t="s">
        <v>10</v>
      </c>
      <c r="I269" s="14" t="s">
        <v>11</v>
      </c>
      <c r="J269" s="14" t="s">
        <v>12</v>
      </c>
    </row>
    <row x14ac:dyDescent="0.25" r="270" customHeight="1" ht="17.25">
      <c r="A270" s="17" t="s">
        <v>13790</v>
      </c>
      <c r="B270" s="17" t="s">
        <v>440</v>
      </c>
      <c r="C270" s="17" t="s">
        <v>56</v>
      </c>
      <c r="D270" s="17" t="s">
        <v>16</v>
      </c>
      <c r="E270" s="18">
        <f>ROUND(17324*1.05,2)</f>
      </c>
      <c r="F270" s="17" t="s">
        <v>17</v>
      </c>
      <c r="G270" s="17" t="s">
        <v>18</v>
      </c>
      <c r="H270" s="18">
        <f>ROUND(RAND()*4+6,1)</f>
      </c>
      <c r="I270" s="17" t="s">
        <v>19</v>
      </c>
      <c r="J270" s="19">
        <f>ROUND(99*1,0)&amp;"%"</f>
      </c>
    </row>
    <row x14ac:dyDescent="0.25" r="271" customHeight="1" ht="17.25">
      <c r="A271" s="20" t="s">
        <v>13791</v>
      </c>
      <c r="B271" s="20" t="s">
        <v>442</v>
      </c>
      <c r="C271" s="20" t="s">
        <v>56</v>
      </c>
      <c r="D271" s="20" t="s">
        <v>22</v>
      </c>
      <c r="E271" s="21">
        <f>ROUND(12213*1.05,2)</f>
      </c>
      <c r="F271" s="20" t="s">
        <v>23</v>
      </c>
      <c r="G271" s="20" t="s">
        <v>24</v>
      </c>
      <c r="H271" s="21">
        <f>ROUND(RAND()*4+6,1)</f>
      </c>
      <c r="I271" s="20" t="s">
        <v>25</v>
      </c>
      <c r="J271" s="23">
        <f>ROUND(72*1,0)&amp;"%"</f>
      </c>
    </row>
    <row x14ac:dyDescent="0.25" r="272" customHeight="1" ht="17.25">
      <c r="A272" s="17" t="s">
        <v>13792</v>
      </c>
      <c r="B272" s="17" t="s">
        <v>444</v>
      </c>
      <c r="C272" s="17" t="s">
        <v>56</v>
      </c>
      <c r="D272" s="17" t="s">
        <v>28</v>
      </c>
      <c r="E272" s="18">
        <f>ROUND(9137*1.05,2)</f>
      </c>
      <c r="F272" s="17" t="s">
        <v>29</v>
      </c>
      <c r="G272" s="17" t="s">
        <v>30</v>
      </c>
      <c r="H272" s="18">
        <f>ROUND(RAND()*4+6,1)</f>
      </c>
      <c r="I272" s="17" t="s">
        <v>31</v>
      </c>
      <c r="J272" s="19">
        <f>ROUND(95*1,0)&amp;"%"</f>
      </c>
    </row>
    <row x14ac:dyDescent="0.25" r="273" customHeight="1" ht="17.25">
      <c r="A273" s="20" t="s">
        <v>13793</v>
      </c>
      <c r="B273" s="20" t="s">
        <v>446</v>
      </c>
      <c r="C273" s="20" t="s">
        <v>56</v>
      </c>
      <c r="D273" s="20" t="s">
        <v>34</v>
      </c>
      <c r="E273" s="21">
        <f>ROUND(4919*1.05,2)</f>
      </c>
      <c r="F273" s="20" t="s">
        <v>35</v>
      </c>
      <c r="G273" s="20" t="s">
        <v>18</v>
      </c>
      <c r="H273" s="21">
        <f>ROUND(RAND()*4+6,1)</f>
      </c>
      <c r="I273" s="20" t="s">
        <v>36</v>
      </c>
      <c r="J273" s="23">
        <f>ROUND(84*1,0)&amp;"%"</f>
      </c>
    </row>
    <row x14ac:dyDescent="0.25" r="274" customHeight="1" ht="17.25">
      <c r="A274" s="17" t="s">
        <v>13794</v>
      </c>
      <c r="B274" s="17" t="s">
        <v>448</v>
      </c>
      <c r="C274" s="17" t="s">
        <v>56</v>
      </c>
      <c r="D274" s="17" t="s">
        <v>39</v>
      </c>
      <c r="E274" s="18">
        <f>ROUND(13843*1.05,2)</f>
      </c>
      <c r="F274" s="17" t="s">
        <v>40</v>
      </c>
      <c r="G274" s="17" t="s">
        <v>24</v>
      </c>
      <c r="H274" s="18">
        <f>ROUND(RAND()*4+6,1)</f>
      </c>
      <c r="I274" s="17" t="s">
        <v>41</v>
      </c>
      <c r="J274" s="19">
        <f>ROUND(70*1,0)&amp;"%"</f>
      </c>
    </row>
    <row x14ac:dyDescent="0.25" r="275" customHeight="1" ht="17.25">
      <c r="A275" s="20" t="s">
        <v>13795</v>
      </c>
      <c r="B275" s="20" t="s">
        <v>450</v>
      </c>
      <c r="C275" s="20" t="s">
        <v>56</v>
      </c>
      <c r="D275" s="20" t="s">
        <v>67</v>
      </c>
      <c r="E275" s="21">
        <f>ROUND(5906*1.05,2)</f>
      </c>
      <c r="F275" s="20" t="s">
        <v>44</v>
      </c>
      <c r="G275" s="20" t="s">
        <v>30</v>
      </c>
      <c r="H275" s="21">
        <f>ROUND(RAND()*4+6,1)</f>
      </c>
      <c r="I275" s="20" t="s">
        <v>45</v>
      </c>
      <c r="J275" s="23">
        <f>ROUND(79*1,0)&amp;"%"</f>
      </c>
    </row>
    <row x14ac:dyDescent="0.25" r="276" customHeight="1" ht="17.25">
      <c r="A276" s="17" t="s">
        <v>13796</v>
      </c>
      <c r="B276" s="17" t="s">
        <v>452</v>
      </c>
      <c r="C276" s="17" t="s">
        <v>56</v>
      </c>
      <c r="D276" s="17" t="s">
        <v>16</v>
      </c>
      <c r="E276" s="18">
        <f>ROUND(5499*1.05,2)</f>
      </c>
      <c r="F276" s="17" t="s">
        <v>48</v>
      </c>
      <c r="G276" s="17" t="s">
        <v>18</v>
      </c>
      <c r="H276" s="18">
        <f>ROUND(RAND()*4+6,1)</f>
      </c>
      <c r="I276" s="17" t="s">
        <v>19</v>
      </c>
      <c r="J276" s="19">
        <f>ROUND(100*1,0)&amp;"%"</f>
      </c>
    </row>
    <row x14ac:dyDescent="0.25" r="277" customHeight="1" ht="17.25">
      <c r="A277" s="20" t="s">
        <v>13797</v>
      </c>
      <c r="B277" s="20" t="s">
        <v>454</v>
      </c>
      <c r="C277" s="20" t="s">
        <v>56</v>
      </c>
      <c r="D277" s="20" t="s">
        <v>22</v>
      </c>
      <c r="E277" s="21">
        <f>ROUND(9724*1.05,2)</f>
      </c>
      <c r="F277" s="20" t="s">
        <v>51</v>
      </c>
      <c r="G277" s="20" t="s">
        <v>24</v>
      </c>
      <c r="H277" s="21">
        <f>ROUND(RAND()*4+6,1)</f>
      </c>
      <c r="I277" s="20" t="s">
        <v>25</v>
      </c>
      <c r="J277" s="23">
        <f>ROUND(68*1,0)&amp;"%"</f>
      </c>
    </row>
    <row x14ac:dyDescent="0.25" r="278" customHeight="1" ht="17.25">
      <c r="A278" s="24" t="s">
        <v>455</v>
      </c>
      <c r="B278" s="24"/>
      <c r="C278" s="24"/>
      <c r="D278" s="24"/>
      <c r="E278" s="25">
        <v>8</v>
      </c>
      <c r="F278" s="9"/>
      <c r="G278" s="9"/>
      <c r="H278" s="10"/>
      <c r="I278" s="9"/>
      <c r="J278" s="9"/>
    </row>
    <row x14ac:dyDescent="0.25" r="279" customHeight="1" ht="17.25">
      <c r="A279" s="7"/>
      <c r="B279" s="7"/>
      <c r="C279" s="7"/>
      <c r="D279" s="7"/>
      <c r="E279" s="8"/>
      <c r="F279" s="9"/>
      <c r="G279" s="9"/>
      <c r="H279" s="10"/>
      <c r="I279" s="9"/>
      <c r="J279" s="9"/>
    </row>
    <row x14ac:dyDescent="0.25" r="280" customHeight="1" ht="17.25">
      <c r="A280" s="11" t="s">
        <v>13798</v>
      </c>
      <c r="B280" s="11"/>
      <c r="C280" s="11"/>
      <c r="D280" s="11"/>
      <c r="E280" s="12"/>
      <c r="F280" s="11"/>
      <c r="G280" s="11"/>
      <c r="H280" s="13"/>
      <c r="I280" s="11"/>
      <c r="J280" s="11"/>
    </row>
    <row x14ac:dyDescent="0.25" r="281" customHeight="1" ht="17.25">
      <c r="A281" s="14" t="s">
        <v>3</v>
      </c>
      <c r="B281" s="14" t="s">
        <v>4</v>
      </c>
      <c r="C281" s="14" t="s">
        <v>5</v>
      </c>
      <c r="D281" s="14" t="s">
        <v>6</v>
      </c>
      <c r="E281" s="15" t="s">
        <v>7</v>
      </c>
      <c r="F281" s="14" t="s">
        <v>8</v>
      </c>
      <c r="G281" s="14" t="s">
        <v>9</v>
      </c>
      <c r="H281" s="16" t="s">
        <v>10</v>
      </c>
      <c r="I281" s="14" t="s">
        <v>11</v>
      </c>
      <c r="J281" s="14" t="s">
        <v>12</v>
      </c>
    </row>
    <row x14ac:dyDescent="0.25" r="282" customHeight="1" ht="17.25">
      <c r="A282" s="17" t="s">
        <v>13799</v>
      </c>
      <c r="B282" s="17" t="s">
        <v>458</v>
      </c>
      <c r="C282" s="17" t="s">
        <v>76</v>
      </c>
      <c r="D282" s="17" t="s">
        <v>16</v>
      </c>
      <c r="E282" s="18">
        <f>ROUND(7169*1.05,2)</f>
      </c>
      <c r="F282" s="17" t="s">
        <v>17</v>
      </c>
      <c r="G282" s="17" t="s">
        <v>18</v>
      </c>
      <c r="H282" s="18">
        <f>ROUND(RAND()*4+6,1)</f>
      </c>
      <c r="I282" s="17" t="s">
        <v>19</v>
      </c>
      <c r="J282" s="19">
        <f>ROUND(99*1,0)&amp;"%"</f>
      </c>
    </row>
    <row x14ac:dyDescent="0.25" r="283" customHeight="1" ht="17.25">
      <c r="A283" s="20" t="s">
        <v>13800</v>
      </c>
      <c r="B283" s="20" t="s">
        <v>460</v>
      </c>
      <c r="C283" s="20" t="s">
        <v>76</v>
      </c>
      <c r="D283" s="20" t="s">
        <v>22</v>
      </c>
      <c r="E283" s="21">
        <f>ROUND(8613*1.05,2)</f>
      </c>
      <c r="F283" s="20" t="s">
        <v>23</v>
      </c>
      <c r="G283" s="20" t="s">
        <v>24</v>
      </c>
      <c r="H283" s="21">
        <f>ROUND(RAND()*4+6,1)</f>
      </c>
      <c r="I283" s="20" t="s">
        <v>25</v>
      </c>
      <c r="J283" s="23">
        <f>ROUND(81*1,0)&amp;"%"</f>
      </c>
    </row>
    <row x14ac:dyDescent="0.25" r="284" customHeight="1" ht="17.25">
      <c r="A284" s="17" t="s">
        <v>13801</v>
      </c>
      <c r="B284" s="17" t="s">
        <v>462</v>
      </c>
      <c r="C284" s="17" t="s">
        <v>76</v>
      </c>
      <c r="D284" s="17" t="s">
        <v>28</v>
      </c>
      <c r="E284" s="18">
        <f>ROUND(14893*1.05,2)</f>
      </c>
      <c r="F284" s="17" t="s">
        <v>29</v>
      </c>
      <c r="G284" s="17" t="s">
        <v>30</v>
      </c>
      <c r="H284" s="18">
        <f>ROUND(RAND()*4+6,1)</f>
      </c>
      <c r="I284" s="17" t="s">
        <v>31</v>
      </c>
      <c r="J284" s="19">
        <f>ROUND(91*1,0)&amp;"%"</f>
      </c>
    </row>
    <row x14ac:dyDescent="0.25" r="285" customHeight="1" ht="17.25">
      <c r="A285" s="20" t="s">
        <v>13802</v>
      </c>
      <c r="B285" s="20" t="s">
        <v>464</v>
      </c>
      <c r="C285" s="20" t="s">
        <v>76</v>
      </c>
      <c r="D285" s="20" t="s">
        <v>34</v>
      </c>
      <c r="E285" s="21">
        <f>ROUND(6272*1.05,2)</f>
      </c>
      <c r="F285" s="20" t="s">
        <v>35</v>
      </c>
      <c r="G285" s="20" t="s">
        <v>18</v>
      </c>
      <c r="H285" s="21">
        <f>ROUND(RAND()*4+6,1)</f>
      </c>
      <c r="I285" s="20" t="s">
        <v>36</v>
      </c>
      <c r="J285" s="23">
        <f>ROUND(100*1,0)&amp;"%"</f>
      </c>
    </row>
    <row x14ac:dyDescent="0.25" r="286" customHeight="1" ht="17.25">
      <c r="A286" s="17" t="s">
        <v>13803</v>
      </c>
      <c r="B286" s="17" t="s">
        <v>466</v>
      </c>
      <c r="C286" s="17" t="s">
        <v>76</v>
      </c>
      <c r="D286" s="17" t="s">
        <v>39</v>
      </c>
      <c r="E286" s="18">
        <f>ROUND(17796*1.05,2)</f>
      </c>
      <c r="F286" s="17" t="s">
        <v>40</v>
      </c>
      <c r="G286" s="17" t="s">
        <v>24</v>
      </c>
      <c r="H286" s="18">
        <f>ROUND(RAND()*4+6,1)</f>
      </c>
      <c r="I286" s="17" t="s">
        <v>41</v>
      </c>
      <c r="J286" s="19">
        <f>ROUND(67*1,0)&amp;"%"</f>
      </c>
    </row>
    <row x14ac:dyDescent="0.25" r="287" customHeight="1" ht="17.25">
      <c r="A287" s="20" t="s">
        <v>13804</v>
      </c>
      <c r="B287" s="20" t="s">
        <v>468</v>
      </c>
      <c r="C287" s="20" t="s">
        <v>76</v>
      </c>
      <c r="D287" s="20" t="s">
        <v>67</v>
      </c>
      <c r="E287" s="21">
        <f>ROUND(13108*1.05,2)</f>
      </c>
      <c r="F287" s="20" t="s">
        <v>44</v>
      </c>
      <c r="G287" s="20" t="s">
        <v>30</v>
      </c>
      <c r="H287" s="21">
        <f>ROUND(RAND()*4+6,1)</f>
      </c>
      <c r="I287" s="20" t="s">
        <v>45</v>
      </c>
      <c r="J287" s="23">
        <f>ROUND(72*1,0)&amp;"%"</f>
      </c>
    </row>
    <row x14ac:dyDescent="0.25" r="288" customHeight="1" ht="17.25">
      <c r="A288" s="17" t="s">
        <v>13805</v>
      </c>
      <c r="B288" s="17" t="s">
        <v>470</v>
      </c>
      <c r="C288" s="17" t="s">
        <v>76</v>
      </c>
      <c r="D288" s="17" t="s">
        <v>16</v>
      </c>
      <c r="E288" s="18">
        <f>ROUND(9383*1.05,2)</f>
      </c>
      <c r="F288" s="17" t="s">
        <v>48</v>
      </c>
      <c r="G288" s="17" t="s">
        <v>18</v>
      </c>
      <c r="H288" s="18">
        <f>ROUND(RAND()*4+6,1)</f>
      </c>
      <c r="I288" s="17" t="s">
        <v>19</v>
      </c>
      <c r="J288" s="19">
        <f>ROUND(96*1,0)&amp;"%"</f>
      </c>
    </row>
    <row x14ac:dyDescent="0.25" r="289" customHeight="1" ht="17.25">
      <c r="A289" s="20" t="s">
        <v>13806</v>
      </c>
      <c r="B289" s="20" t="s">
        <v>472</v>
      </c>
      <c r="C289" s="20" t="s">
        <v>76</v>
      </c>
      <c r="D289" s="20" t="s">
        <v>22</v>
      </c>
      <c r="E289" s="21">
        <f>ROUND(4378*1.05,2)</f>
      </c>
      <c r="F289" s="20" t="s">
        <v>51</v>
      </c>
      <c r="G289" s="20" t="s">
        <v>24</v>
      </c>
      <c r="H289" s="21">
        <f>ROUND(RAND()*4+6,1)</f>
      </c>
      <c r="I289" s="20" t="s">
        <v>25</v>
      </c>
      <c r="J289" s="23">
        <f>ROUND(61*1,0)&amp;"%"</f>
      </c>
    </row>
    <row x14ac:dyDescent="0.25" r="290" customHeight="1" ht="17.25">
      <c r="A290" s="24" t="s">
        <v>473</v>
      </c>
      <c r="B290" s="24"/>
      <c r="C290" s="24"/>
      <c r="D290" s="24"/>
      <c r="E290" s="25">
        <v>8</v>
      </c>
      <c r="F290" s="9"/>
      <c r="G290" s="9"/>
      <c r="H290" s="10"/>
      <c r="I290" s="9"/>
      <c r="J290" s="9"/>
    </row>
    <row x14ac:dyDescent="0.25" r="291" customHeight="1" ht="17.25">
      <c r="A291" s="7"/>
      <c r="B291" s="7"/>
      <c r="C291" s="7"/>
      <c r="D291" s="7"/>
      <c r="E291" s="8"/>
      <c r="F291" s="9"/>
      <c r="G291" s="9"/>
      <c r="H291" s="10"/>
      <c r="I291" s="9"/>
      <c r="J291" s="9"/>
    </row>
    <row x14ac:dyDescent="0.25" r="292" customHeight="1" ht="17.25">
      <c r="A292" s="11" t="s">
        <v>13807</v>
      </c>
      <c r="B292" s="11"/>
      <c r="C292" s="11"/>
      <c r="D292" s="11"/>
      <c r="E292" s="12"/>
      <c r="F292" s="11"/>
      <c r="G292" s="11"/>
      <c r="H292" s="13"/>
      <c r="I292" s="11"/>
      <c r="J292" s="11"/>
    </row>
    <row x14ac:dyDescent="0.25" r="293" customHeight="1" ht="17.25">
      <c r="A293" s="14" t="s">
        <v>3</v>
      </c>
      <c r="B293" s="14" t="s">
        <v>4</v>
      </c>
      <c r="C293" s="14" t="s">
        <v>5</v>
      </c>
      <c r="D293" s="14" t="s">
        <v>6</v>
      </c>
      <c r="E293" s="15" t="s">
        <v>7</v>
      </c>
      <c r="F293" s="14" t="s">
        <v>8</v>
      </c>
      <c r="G293" s="14" t="s">
        <v>9</v>
      </c>
      <c r="H293" s="16" t="s">
        <v>10</v>
      </c>
      <c r="I293" s="14" t="s">
        <v>11</v>
      </c>
      <c r="J293" s="14" t="s">
        <v>12</v>
      </c>
    </row>
    <row x14ac:dyDescent="0.25" r="294" customHeight="1" ht="17.25">
      <c r="A294" s="17" t="s">
        <v>13808</v>
      </c>
      <c r="B294" s="17" t="s">
        <v>476</v>
      </c>
      <c r="C294" s="17" t="s">
        <v>95</v>
      </c>
      <c r="D294" s="17" t="s">
        <v>16</v>
      </c>
      <c r="E294" s="18">
        <f>ROUND(12952*1.05,2)</f>
      </c>
      <c r="F294" s="17" t="s">
        <v>17</v>
      </c>
      <c r="G294" s="17" t="s">
        <v>18</v>
      </c>
      <c r="H294" s="18">
        <f>ROUND(RAND()*4+6,1)</f>
      </c>
      <c r="I294" s="17" t="s">
        <v>19</v>
      </c>
      <c r="J294" s="19">
        <f>ROUND(72*1,0)&amp;"%"</f>
      </c>
    </row>
    <row x14ac:dyDescent="0.25" r="295" customHeight="1" ht="17.25">
      <c r="A295" s="20" t="s">
        <v>13809</v>
      </c>
      <c r="B295" s="20" t="s">
        <v>478</v>
      </c>
      <c r="C295" s="20" t="s">
        <v>95</v>
      </c>
      <c r="D295" s="20" t="s">
        <v>22</v>
      </c>
      <c r="E295" s="21">
        <f>ROUND(13281*1.05,2)</f>
      </c>
      <c r="F295" s="20" t="s">
        <v>23</v>
      </c>
      <c r="G295" s="20" t="s">
        <v>24</v>
      </c>
      <c r="H295" s="21">
        <f>ROUND(RAND()*4+6,1)</f>
      </c>
      <c r="I295" s="20" t="s">
        <v>25</v>
      </c>
      <c r="J295" s="23">
        <f>ROUND(71*1,0)&amp;"%"</f>
      </c>
    </row>
    <row x14ac:dyDescent="0.25" r="296" customHeight="1" ht="17.25">
      <c r="A296" s="17" t="s">
        <v>13810</v>
      </c>
      <c r="B296" s="17" t="s">
        <v>480</v>
      </c>
      <c r="C296" s="17" t="s">
        <v>95</v>
      </c>
      <c r="D296" s="17" t="s">
        <v>28</v>
      </c>
      <c r="E296" s="18">
        <f>ROUND(17142*1.05,2)</f>
      </c>
      <c r="F296" s="17" t="s">
        <v>29</v>
      </c>
      <c r="G296" s="17" t="s">
        <v>30</v>
      </c>
      <c r="H296" s="18">
        <f>ROUND(RAND()*4+6,1)</f>
      </c>
      <c r="I296" s="17" t="s">
        <v>31</v>
      </c>
      <c r="J296" s="19">
        <f>ROUND(100*1,0)&amp;"%"</f>
      </c>
    </row>
    <row x14ac:dyDescent="0.25" r="297" customHeight="1" ht="17.25">
      <c r="A297" s="20" t="s">
        <v>13811</v>
      </c>
      <c r="B297" s="20" t="s">
        <v>482</v>
      </c>
      <c r="C297" s="20" t="s">
        <v>95</v>
      </c>
      <c r="D297" s="20" t="s">
        <v>34</v>
      </c>
      <c r="E297" s="21">
        <f>ROUND(14833*1.05,2)</f>
      </c>
      <c r="F297" s="20" t="s">
        <v>35</v>
      </c>
      <c r="G297" s="20" t="s">
        <v>18</v>
      </c>
      <c r="H297" s="21">
        <f>ROUND(RAND()*4+6,1)</f>
      </c>
      <c r="I297" s="20" t="s">
        <v>36</v>
      </c>
      <c r="J297" s="23">
        <f>ROUND(76*1,0)&amp;"%"</f>
      </c>
    </row>
    <row x14ac:dyDescent="0.25" r="298" customHeight="1" ht="17.25">
      <c r="A298" s="17" t="s">
        <v>13812</v>
      </c>
      <c r="B298" s="17" t="s">
        <v>484</v>
      </c>
      <c r="C298" s="17" t="s">
        <v>95</v>
      </c>
      <c r="D298" s="17" t="s">
        <v>39</v>
      </c>
      <c r="E298" s="26">
        <f>ROUND(5880*1.05,2)</f>
      </c>
      <c r="F298" s="17" t="s">
        <v>40</v>
      </c>
      <c r="G298" s="17" t="s">
        <v>24</v>
      </c>
      <c r="H298" s="18">
        <f>ROUND(RAND()*4+6,1)</f>
      </c>
      <c r="I298" s="17" t="s">
        <v>41</v>
      </c>
      <c r="J298" s="19">
        <f>ROUND(85*1,0)&amp;"%"</f>
      </c>
    </row>
    <row x14ac:dyDescent="0.25" r="299" customHeight="1" ht="17.25">
      <c r="A299" s="20" t="s">
        <v>13813</v>
      </c>
      <c r="B299" s="20" t="s">
        <v>486</v>
      </c>
      <c r="C299" s="20" t="s">
        <v>95</v>
      </c>
      <c r="D299" s="20" t="s">
        <v>67</v>
      </c>
      <c r="E299" s="21">
        <f>ROUND(17516*1.05,2)</f>
      </c>
      <c r="F299" s="20" t="s">
        <v>44</v>
      </c>
      <c r="G299" s="20" t="s">
        <v>30</v>
      </c>
      <c r="H299" s="21">
        <f>ROUND(RAND()*4+6,1)</f>
      </c>
      <c r="I299" s="20" t="s">
        <v>45</v>
      </c>
      <c r="J299" s="23">
        <f>ROUND(68*1,0)&amp;"%"</f>
      </c>
    </row>
    <row x14ac:dyDescent="0.25" r="300" customHeight="1" ht="17.25">
      <c r="A300" s="17" t="s">
        <v>13814</v>
      </c>
      <c r="B300" s="17" t="s">
        <v>488</v>
      </c>
      <c r="C300" s="17" t="s">
        <v>95</v>
      </c>
      <c r="D300" s="17" t="s">
        <v>16</v>
      </c>
      <c r="E300" s="18">
        <f>ROUND(5682*1.05,2)</f>
      </c>
      <c r="F300" s="17" t="s">
        <v>48</v>
      </c>
      <c r="G300" s="17" t="s">
        <v>18</v>
      </c>
      <c r="H300" s="18">
        <f>ROUND(RAND()*4+6,1)</f>
      </c>
      <c r="I300" s="17" t="s">
        <v>19</v>
      </c>
      <c r="J300" s="19">
        <f>ROUND(79*1,0)&amp;"%"</f>
      </c>
    </row>
    <row x14ac:dyDescent="0.25" r="301" customHeight="1" ht="17.25">
      <c r="A301" s="20" t="s">
        <v>13815</v>
      </c>
      <c r="B301" s="20" t="s">
        <v>490</v>
      </c>
      <c r="C301" s="20" t="s">
        <v>95</v>
      </c>
      <c r="D301" s="20" t="s">
        <v>22</v>
      </c>
      <c r="E301" s="21">
        <f>ROUND(17669*1.05,2)</f>
      </c>
      <c r="F301" s="20" t="s">
        <v>51</v>
      </c>
      <c r="G301" s="20" t="s">
        <v>24</v>
      </c>
      <c r="H301" s="21">
        <f>ROUND(RAND()*4+6,1)</f>
      </c>
      <c r="I301" s="20" t="s">
        <v>25</v>
      </c>
      <c r="J301" s="23">
        <f>ROUND(68*1,0)&amp;"%"</f>
      </c>
    </row>
    <row x14ac:dyDescent="0.25" r="302" customHeight="1" ht="17.25">
      <c r="A302" s="24" t="s">
        <v>491</v>
      </c>
      <c r="B302" s="24"/>
      <c r="C302" s="24"/>
      <c r="D302" s="24"/>
      <c r="E302" s="25">
        <v>8</v>
      </c>
      <c r="F302" s="9"/>
      <c r="G302" s="9"/>
      <c r="H302" s="10"/>
      <c r="I302" s="9"/>
      <c r="J302" s="9"/>
    </row>
    <row x14ac:dyDescent="0.25" r="303" customHeight="1" ht="17.25">
      <c r="A303" s="7"/>
      <c r="B303" s="7"/>
      <c r="C303" s="7"/>
      <c r="D303" s="7"/>
      <c r="E303" s="8"/>
      <c r="F303" s="9"/>
      <c r="G303" s="9"/>
      <c r="H303" s="10"/>
      <c r="I303" s="9"/>
      <c r="J303" s="9"/>
    </row>
    <row x14ac:dyDescent="0.25" r="304" customHeight="1" ht="17.25">
      <c r="A304" s="11" t="s">
        <v>13816</v>
      </c>
      <c r="B304" s="11"/>
      <c r="C304" s="11"/>
      <c r="D304" s="11"/>
      <c r="E304" s="12"/>
      <c r="F304" s="11"/>
      <c r="G304" s="11"/>
      <c r="H304" s="13"/>
      <c r="I304" s="11"/>
      <c r="J304" s="11"/>
    </row>
    <row x14ac:dyDescent="0.25" r="305" customHeight="1" ht="17.25">
      <c r="A305" s="14" t="s">
        <v>3</v>
      </c>
      <c r="B305" s="14" t="s">
        <v>4</v>
      </c>
      <c r="C305" s="14" t="s">
        <v>5</v>
      </c>
      <c r="D305" s="14" t="s">
        <v>6</v>
      </c>
      <c r="E305" s="15" t="s">
        <v>7</v>
      </c>
      <c r="F305" s="14" t="s">
        <v>8</v>
      </c>
      <c r="G305" s="14" t="s">
        <v>9</v>
      </c>
      <c r="H305" s="16" t="s">
        <v>10</v>
      </c>
      <c r="I305" s="14" t="s">
        <v>11</v>
      </c>
      <c r="J305" s="14" t="s">
        <v>12</v>
      </c>
    </row>
    <row x14ac:dyDescent="0.25" r="306" customHeight="1" ht="17.25">
      <c r="A306" s="17" t="s">
        <v>13817</v>
      </c>
      <c r="B306" s="17" t="s">
        <v>494</v>
      </c>
      <c r="C306" s="17" t="s">
        <v>114</v>
      </c>
      <c r="D306" s="17" t="s">
        <v>16</v>
      </c>
      <c r="E306" s="18">
        <f>ROUND(17675*1.05,2)</f>
      </c>
      <c r="F306" s="17" t="s">
        <v>17</v>
      </c>
      <c r="G306" s="17" t="s">
        <v>18</v>
      </c>
      <c r="H306" s="18">
        <f>ROUND(RAND()*4+6,1)</f>
      </c>
      <c r="I306" s="17" t="s">
        <v>19</v>
      </c>
      <c r="J306" s="19">
        <f>ROUND(77*1,0)&amp;"%"</f>
      </c>
    </row>
    <row x14ac:dyDescent="0.25" r="307" customHeight="1" ht="17.25">
      <c r="A307" s="20" t="s">
        <v>13818</v>
      </c>
      <c r="B307" s="20" t="s">
        <v>496</v>
      </c>
      <c r="C307" s="20" t="s">
        <v>114</v>
      </c>
      <c r="D307" s="20" t="s">
        <v>22</v>
      </c>
      <c r="E307" s="21">
        <f>ROUND(5707*1.05,2)</f>
      </c>
      <c r="F307" s="20" t="s">
        <v>23</v>
      </c>
      <c r="G307" s="20" t="s">
        <v>24</v>
      </c>
      <c r="H307" s="21">
        <f>ROUND(RAND()*4+6,1)</f>
      </c>
      <c r="I307" s="20" t="s">
        <v>25</v>
      </c>
      <c r="J307" s="23">
        <f>ROUND(70*1,0)&amp;"%"</f>
      </c>
    </row>
    <row x14ac:dyDescent="0.25" r="308" customHeight="1" ht="17.25">
      <c r="A308" s="17" t="s">
        <v>13819</v>
      </c>
      <c r="B308" s="17" t="s">
        <v>498</v>
      </c>
      <c r="C308" s="17" t="s">
        <v>114</v>
      </c>
      <c r="D308" s="17" t="s">
        <v>28</v>
      </c>
      <c r="E308" s="18">
        <f>ROUND(15567*1.05,2)</f>
      </c>
      <c r="F308" s="17" t="s">
        <v>29</v>
      </c>
      <c r="G308" s="17" t="s">
        <v>30</v>
      </c>
      <c r="H308" s="18">
        <f>ROUND(RAND()*4+6,1)</f>
      </c>
      <c r="I308" s="17" t="s">
        <v>31</v>
      </c>
      <c r="J308" s="19">
        <f>ROUND(85*1,0)&amp;"%"</f>
      </c>
    </row>
    <row x14ac:dyDescent="0.25" r="309" customHeight="1" ht="17.25">
      <c r="A309" s="20" t="s">
        <v>13820</v>
      </c>
      <c r="B309" s="20" t="s">
        <v>500</v>
      </c>
      <c r="C309" s="20" t="s">
        <v>114</v>
      </c>
      <c r="D309" s="20" t="s">
        <v>34</v>
      </c>
      <c r="E309" s="21">
        <f>ROUND(12726*1.05,2)</f>
      </c>
      <c r="F309" s="20" t="s">
        <v>35</v>
      </c>
      <c r="G309" s="20" t="s">
        <v>18</v>
      </c>
      <c r="H309" s="21">
        <f>ROUND(RAND()*4+6,1)</f>
      </c>
      <c r="I309" s="20" t="s">
        <v>36</v>
      </c>
      <c r="J309" s="23">
        <f>ROUND(83*1,0)&amp;"%"</f>
      </c>
    </row>
    <row x14ac:dyDescent="0.25" r="310" customHeight="1" ht="17.25">
      <c r="A310" s="17" t="s">
        <v>13821</v>
      </c>
      <c r="B310" s="17" t="s">
        <v>502</v>
      </c>
      <c r="C310" s="17" t="s">
        <v>114</v>
      </c>
      <c r="D310" s="17" t="s">
        <v>39</v>
      </c>
      <c r="E310" s="18">
        <f>ROUND(4156*1.05,2)</f>
      </c>
      <c r="F310" s="17" t="s">
        <v>40</v>
      </c>
      <c r="G310" s="17" t="s">
        <v>24</v>
      </c>
      <c r="H310" s="18">
        <f>ROUND(RAND()*4+6,1)</f>
      </c>
      <c r="I310" s="17" t="s">
        <v>41</v>
      </c>
      <c r="J310" s="19">
        <f>ROUND(88*1,0)&amp;"%"</f>
      </c>
    </row>
    <row x14ac:dyDescent="0.25" r="311" customHeight="1" ht="17.25">
      <c r="A311" s="20" t="s">
        <v>13822</v>
      </c>
      <c r="B311" s="20" t="s">
        <v>504</v>
      </c>
      <c r="C311" s="20" t="s">
        <v>114</v>
      </c>
      <c r="D311" s="20" t="s">
        <v>67</v>
      </c>
      <c r="E311" s="21">
        <f>ROUND(10438*1.05,2)</f>
      </c>
      <c r="F311" s="20" t="s">
        <v>44</v>
      </c>
      <c r="G311" s="20" t="s">
        <v>30</v>
      </c>
      <c r="H311" s="22">
        <f>ROUND(RAND()*4+6,1)</f>
      </c>
      <c r="I311" s="20" t="s">
        <v>45</v>
      </c>
      <c r="J311" s="23">
        <f>ROUND(94*1,0)&amp;"%"</f>
      </c>
    </row>
    <row x14ac:dyDescent="0.25" r="312" customHeight="1" ht="17.25">
      <c r="A312" s="17" t="s">
        <v>13823</v>
      </c>
      <c r="B312" s="17" t="s">
        <v>506</v>
      </c>
      <c r="C312" s="17" t="s">
        <v>114</v>
      </c>
      <c r="D312" s="17" t="s">
        <v>16</v>
      </c>
      <c r="E312" s="18">
        <f>ROUND(8481*1.05,2)</f>
      </c>
      <c r="F312" s="17" t="s">
        <v>48</v>
      </c>
      <c r="G312" s="17" t="s">
        <v>18</v>
      </c>
      <c r="H312" s="18">
        <f>ROUND(RAND()*4+6,1)</f>
      </c>
      <c r="I312" s="17" t="s">
        <v>19</v>
      </c>
      <c r="J312" s="19">
        <f>ROUND(82*1,0)&amp;"%"</f>
      </c>
    </row>
    <row x14ac:dyDescent="0.25" r="313" customHeight="1" ht="17.25">
      <c r="A313" s="20" t="s">
        <v>13824</v>
      </c>
      <c r="B313" s="20" t="s">
        <v>508</v>
      </c>
      <c r="C313" s="20" t="s">
        <v>114</v>
      </c>
      <c r="D313" s="20" t="s">
        <v>22</v>
      </c>
      <c r="E313" s="21">
        <f>ROUND(14933*1.05,2)</f>
      </c>
      <c r="F313" s="20" t="s">
        <v>51</v>
      </c>
      <c r="G313" s="20" t="s">
        <v>24</v>
      </c>
      <c r="H313" s="21">
        <f>ROUND(RAND()*4+6,1)</f>
      </c>
      <c r="I313" s="20" t="s">
        <v>25</v>
      </c>
      <c r="J313" s="23">
        <f>ROUND(70*1,0)&amp;"%"</f>
      </c>
    </row>
    <row x14ac:dyDescent="0.25" r="314" customHeight="1" ht="17.25">
      <c r="A314" s="24" t="s">
        <v>509</v>
      </c>
      <c r="B314" s="24"/>
      <c r="C314" s="24"/>
      <c r="D314" s="24"/>
      <c r="E314" s="25">
        <v>8</v>
      </c>
      <c r="F314" s="9"/>
      <c r="G314" s="9"/>
      <c r="H314" s="10"/>
      <c r="I314" s="9"/>
      <c r="J314" s="9"/>
    </row>
    <row x14ac:dyDescent="0.25" r="315" customHeight="1" ht="17.25">
      <c r="A315" s="7"/>
      <c r="B315" s="7"/>
      <c r="C315" s="7"/>
      <c r="D315" s="7"/>
      <c r="E315" s="8"/>
      <c r="F315" s="9"/>
      <c r="G315" s="9"/>
      <c r="H315" s="10"/>
      <c r="I315" s="9"/>
      <c r="J315" s="9"/>
    </row>
    <row x14ac:dyDescent="0.25" r="316" customHeight="1" ht="17.25">
      <c r="A316" s="11" t="s">
        <v>13825</v>
      </c>
      <c r="B316" s="11"/>
      <c r="C316" s="11"/>
      <c r="D316" s="11"/>
      <c r="E316" s="12"/>
      <c r="F316" s="11"/>
      <c r="G316" s="11"/>
      <c r="H316" s="13"/>
      <c r="I316" s="11"/>
      <c r="J316" s="11"/>
    </row>
    <row x14ac:dyDescent="0.25" r="317" customHeight="1" ht="17.25">
      <c r="A317" s="14" t="s">
        <v>3</v>
      </c>
      <c r="B317" s="14" t="s">
        <v>4</v>
      </c>
      <c r="C317" s="14" t="s">
        <v>5</v>
      </c>
      <c r="D317" s="14" t="s">
        <v>6</v>
      </c>
      <c r="E317" s="15" t="s">
        <v>7</v>
      </c>
      <c r="F317" s="14" t="s">
        <v>8</v>
      </c>
      <c r="G317" s="14" t="s">
        <v>9</v>
      </c>
      <c r="H317" s="16" t="s">
        <v>10</v>
      </c>
      <c r="I317" s="14" t="s">
        <v>11</v>
      </c>
      <c r="J317" s="14" t="s">
        <v>12</v>
      </c>
    </row>
    <row x14ac:dyDescent="0.25" r="318" customHeight="1" ht="17.25">
      <c r="A318" s="17" t="s">
        <v>13826</v>
      </c>
      <c r="B318" s="17" t="s">
        <v>512</v>
      </c>
      <c r="C318" s="17" t="s">
        <v>133</v>
      </c>
      <c r="D318" s="17" t="s">
        <v>16</v>
      </c>
      <c r="E318" s="18">
        <f>ROUND(11275*1.05,2)</f>
      </c>
      <c r="F318" s="17" t="s">
        <v>17</v>
      </c>
      <c r="G318" s="17" t="s">
        <v>18</v>
      </c>
      <c r="H318" s="18">
        <f>ROUND(RAND()*4+6,1)</f>
      </c>
      <c r="I318" s="17" t="s">
        <v>19</v>
      </c>
      <c r="J318" s="19">
        <f>ROUND(60*1,0)&amp;"%"</f>
      </c>
    </row>
    <row x14ac:dyDescent="0.25" r="319" customHeight="1" ht="17.25">
      <c r="A319" s="20" t="s">
        <v>13827</v>
      </c>
      <c r="B319" s="20" t="s">
        <v>514</v>
      </c>
      <c r="C319" s="20" t="s">
        <v>133</v>
      </c>
      <c r="D319" s="20" t="s">
        <v>22</v>
      </c>
      <c r="E319" s="21">
        <f>ROUND(16616*1.05,2)</f>
      </c>
      <c r="F319" s="20" t="s">
        <v>23</v>
      </c>
      <c r="G319" s="20" t="s">
        <v>24</v>
      </c>
      <c r="H319" s="21">
        <f>ROUND(RAND()*4+6,1)</f>
      </c>
      <c r="I319" s="20" t="s">
        <v>25</v>
      </c>
      <c r="J319" s="23">
        <f>ROUND(64*1,0)&amp;"%"</f>
      </c>
    </row>
    <row x14ac:dyDescent="0.25" r="320" customHeight="1" ht="17.25">
      <c r="A320" s="17" t="s">
        <v>13828</v>
      </c>
      <c r="B320" s="17" t="s">
        <v>516</v>
      </c>
      <c r="C320" s="17" t="s">
        <v>133</v>
      </c>
      <c r="D320" s="17" t="s">
        <v>28</v>
      </c>
      <c r="E320" s="18">
        <f>ROUND(13717*1.05,2)</f>
      </c>
      <c r="F320" s="17" t="s">
        <v>29</v>
      </c>
      <c r="G320" s="17" t="s">
        <v>30</v>
      </c>
      <c r="H320" s="26">
        <f>ROUND(RAND()*4+6,1)</f>
      </c>
      <c r="I320" s="17" t="s">
        <v>31</v>
      </c>
      <c r="J320" s="19">
        <f>ROUND(73*1,0)&amp;"%"</f>
      </c>
    </row>
    <row x14ac:dyDescent="0.25" r="321" customHeight="1" ht="17.25">
      <c r="A321" s="20" t="s">
        <v>13829</v>
      </c>
      <c r="B321" s="20" t="s">
        <v>518</v>
      </c>
      <c r="C321" s="20" t="s">
        <v>133</v>
      </c>
      <c r="D321" s="20" t="s">
        <v>34</v>
      </c>
      <c r="E321" s="21">
        <f>ROUND(6690*1.05,2)</f>
      </c>
      <c r="F321" s="20" t="s">
        <v>35</v>
      </c>
      <c r="G321" s="20" t="s">
        <v>18</v>
      </c>
      <c r="H321" s="21">
        <f>ROUND(RAND()*4+6,1)</f>
      </c>
      <c r="I321" s="20" t="s">
        <v>36</v>
      </c>
      <c r="J321" s="23">
        <f>ROUND(94*1,0)&amp;"%"</f>
      </c>
    </row>
    <row x14ac:dyDescent="0.25" r="322" customHeight="1" ht="17.25">
      <c r="A322" s="17" t="s">
        <v>13830</v>
      </c>
      <c r="B322" s="17" t="s">
        <v>520</v>
      </c>
      <c r="C322" s="17" t="s">
        <v>133</v>
      </c>
      <c r="D322" s="17" t="s">
        <v>39</v>
      </c>
      <c r="E322" s="18">
        <f>ROUND(17863*1.05,2)</f>
      </c>
      <c r="F322" s="17" t="s">
        <v>40</v>
      </c>
      <c r="G322" s="17" t="s">
        <v>24</v>
      </c>
      <c r="H322" s="18">
        <f>ROUND(RAND()*4+6,1)</f>
      </c>
      <c r="I322" s="17" t="s">
        <v>41</v>
      </c>
      <c r="J322" s="19">
        <f>ROUND(66*1,0)&amp;"%"</f>
      </c>
    </row>
    <row x14ac:dyDescent="0.25" r="323" customHeight="1" ht="17.25">
      <c r="A323" s="20" t="s">
        <v>13831</v>
      </c>
      <c r="B323" s="20" t="s">
        <v>522</v>
      </c>
      <c r="C323" s="20" t="s">
        <v>133</v>
      </c>
      <c r="D323" s="20" t="s">
        <v>67</v>
      </c>
      <c r="E323" s="21">
        <f>ROUND(12574*1.05,2)</f>
      </c>
      <c r="F323" s="20" t="s">
        <v>44</v>
      </c>
      <c r="G323" s="20" t="s">
        <v>30</v>
      </c>
      <c r="H323" s="21">
        <f>ROUND(RAND()*4+6,1)</f>
      </c>
      <c r="I323" s="20" t="s">
        <v>45</v>
      </c>
      <c r="J323" s="23">
        <f>ROUND(79*1,0)&amp;"%"</f>
      </c>
    </row>
    <row x14ac:dyDescent="0.25" r="324" customHeight="1" ht="17.25">
      <c r="A324" s="17" t="s">
        <v>13832</v>
      </c>
      <c r="B324" s="17" t="s">
        <v>524</v>
      </c>
      <c r="C324" s="17" t="s">
        <v>133</v>
      </c>
      <c r="D324" s="17" t="s">
        <v>16</v>
      </c>
      <c r="E324" s="18">
        <f>ROUND(10857*1.05,2)</f>
      </c>
      <c r="F324" s="17" t="s">
        <v>48</v>
      </c>
      <c r="G324" s="17" t="s">
        <v>18</v>
      </c>
      <c r="H324" s="18">
        <f>ROUND(RAND()*4+6,1)</f>
      </c>
      <c r="I324" s="17" t="s">
        <v>19</v>
      </c>
      <c r="J324" s="19">
        <f>ROUND(67*1,0)&amp;"%"</f>
      </c>
    </row>
    <row x14ac:dyDescent="0.25" r="325" customHeight="1" ht="17.25">
      <c r="A325" s="20" t="s">
        <v>13833</v>
      </c>
      <c r="B325" s="20" t="s">
        <v>526</v>
      </c>
      <c r="C325" s="20" t="s">
        <v>133</v>
      </c>
      <c r="D325" s="20" t="s">
        <v>22</v>
      </c>
      <c r="E325" s="21">
        <f>ROUND(9618*1.05,2)</f>
      </c>
      <c r="F325" s="20" t="s">
        <v>51</v>
      </c>
      <c r="G325" s="20" t="s">
        <v>24</v>
      </c>
      <c r="H325" s="21">
        <f>ROUND(RAND()*4+6,1)</f>
      </c>
      <c r="I325" s="20" t="s">
        <v>25</v>
      </c>
      <c r="J325" s="23">
        <f>ROUND(72*1,0)&amp;"%"</f>
      </c>
    </row>
    <row x14ac:dyDescent="0.25" r="326" customHeight="1" ht="17.25">
      <c r="A326" s="24" t="s">
        <v>527</v>
      </c>
      <c r="B326" s="24"/>
      <c r="C326" s="24"/>
      <c r="D326" s="24"/>
      <c r="E326" s="25">
        <v>8</v>
      </c>
      <c r="F326" s="9"/>
      <c r="G326" s="9"/>
      <c r="H326" s="10"/>
      <c r="I326" s="9"/>
      <c r="J326" s="9"/>
    </row>
    <row x14ac:dyDescent="0.25" r="327" customHeight="1" ht="17.25">
      <c r="A327" s="7"/>
      <c r="B327" s="7"/>
      <c r="C327" s="7"/>
      <c r="D327" s="7"/>
      <c r="E327" s="8"/>
      <c r="F327" s="9"/>
      <c r="G327" s="9"/>
      <c r="H327" s="10"/>
      <c r="I327" s="9"/>
      <c r="J327" s="9"/>
    </row>
    <row x14ac:dyDescent="0.25" r="328" customHeight="1" ht="17.25">
      <c r="A328" s="11" t="s">
        <v>13834</v>
      </c>
      <c r="B328" s="11"/>
      <c r="C328" s="11"/>
      <c r="D328" s="11"/>
      <c r="E328" s="12"/>
      <c r="F328" s="11"/>
      <c r="G328" s="11"/>
      <c r="H328" s="13"/>
      <c r="I328" s="11"/>
      <c r="J328" s="11"/>
    </row>
    <row x14ac:dyDescent="0.25" r="329" customHeight="1" ht="17.25">
      <c r="A329" s="14" t="s">
        <v>3</v>
      </c>
      <c r="B329" s="14" t="s">
        <v>4</v>
      </c>
      <c r="C329" s="14" t="s">
        <v>5</v>
      </c>
      <c r="D329" s="14" t="s">
        <v>6</v>
      </c>
      <c r="E329" s="15" t="s">
        <v>7</v>
      </c>
      <c r="F329" s="14" t="s">
        <v>8</v>
      </c>
      <c r="G329" s="14" t="s">
        <v>9</v>
      </c>
      <c r="H329" s="16" t="s">
        <v>10</v>
      </c>
      <c r="I329" s="14" t="s">
        <v>11</v>
      </c>
      <c r="J329" s="14" t="s">
        <v>12</v>
      </c>
    </row>
    <row x14ac:dyDescent="0.25" r="330" customHeight="1" ht="17.25">
      <c r="A330" s="17" t="s">
        <v>13835</v>
      </c>
      <c r="B330" s="17" t="s">
        <v>530</v>
      </c>
      <c r="C330" s="17" t="s">
        <v>152</v>
      </c>
      <c r="D330" s="17" t="s">
        <v>16</v>
      </c>
      <c r="E330" s="18">
        <f>ROUND(5475*1.05,2)</f>
      </c>
      <c r="F330" s="17" t="s">
        <v>17</v>
      </c>
      <c r="G330" s="17" t="s">
        <v>18</v>
      </c>
      <c r="H330" s="18">
        <f>ROUND(RAND()*4+6,1)</f>
      </c>
      <c r="I330" s="17" t="s">
        <v>19</v>
      </c>
      <c r="J330" s="19">
        <f>ROUND(97*1,0)&amp;"%"</f>
      </c>
    </row>
    <row x14ac:dyDescent="0.25" r="331" customHeight="1" ht="17.25">
      <c r="A331" s="20" t="s">
        <v>13836</v>
      </c>
      <c r="B331" s="20" t="s">
        <v>532</v>
      </c>
      <c r="C331" s="20" t="s">
        <v>152</v>
      </c>
      <c r="D331" s="20" t="s">
        <v>22</v>
      </c>
      <c r="E331" s="21">
        <f>ROUND(7651*1.05,2)</f>
      </c>
      <c r="F331" s="20" t="s">
        <v>23</v>
      </c>
      <c r="G331" s="20" t="s">
        <v>24</v>
      </c>
      <c r="H331" s="21">
        <f>ROUND(RAND()*4+6,1)</f>
      </c>
      <c r="I331" s="20" t="s">
        <v>25</v>
      </c>
      <c r="J331" s="23">
        <f>ROUND(74*1,0)&amp;"%"</f>
      </c>
    </row>
    <row x14ac:dyDescent="0.25" r="332" customHeight="1" ht="17.25">
      <c r="A332" s="17" t="s">
        <v>13837</v>
      </c>
      <c r="B332" s="17" t="s">
        <v>534</v>
      </c>
      <c r="C332" s="17" t="s">
        <v>152</v>
      </c>
      <c r="D332" s="17" t="s">
        <v>28</v>
      </c>
      <c r="E332" s="18">
        <f>ROUND(5077*1.05,2)</f>
      </c>
      <c r="F332" s="17" t="s">
        <v>29</v>
      </c>
      <c r="G332" s="17" t="s">
        <v>30</v>
      </c>
      <c r="H332" s="26">
        <f>ROUND(RAND()*4+6,1)</f>
      </c>
      <c r="I332" s="17" t="s">
        <v>31</v>
      </c>
      <c r="J332" s="19">
        <f>ROUND(64*1,0)&amp;"%"</f>
      </c>
    </row>
    <row x14ac:dyDescent="0.25" r="333" customHeight="1" ht="17.25">
      <c r="A333" s="20" t="s">
        <v>13838</v>
      </c>
      <c r="B333" s="20" t="s">
        <v>536</v>
      </c>
      <c r="C333" s="20" t="s">
        <v>152</v>
      </c>
      <c r="D333" s="20" t="s">
        <v>34</v>
      </c>
      <c r="E333" s="21">
        <f>ROUND(16833*1.05,2)</f>
      </c>
      <c r="F333" s="20" t="s">
        <v>35</v>
      </c>
      <c r="G333" s="20" t="s">
        <v>18</v>
      </c>
      <c r="H333" s="21">
        <f>ROUND(RAND()*4+6,1)</f>
      </c>
      <c r="I333" s="20" t="s">
        <v>36</v>
      </c>
      <c r="J333" s="23">
        <f>ROUND(65*1,0)&amp;"%"</f>
      </c>
    </row>
    <row x14ac:dyDescent="0.25" r="334" customHeight="1" ht="17.25">
      <c r="A334" s="17" t="s">
        <v>13839</v>
      </c>
      <c r="B334" s="17" t="s">
        <v>538</v>
      </c>
      <c r="C334" s="17" t="s">
        <v>152</v>
      </c>
      <c r="D334" s="17" t="s">
        <v>39</v>
      </c>
      <c r="E334" s="18">
        <f>ROUND(4772*1.05,2)</f>
      </c>
      <c r="F334" s="17" t="s">
        <v>40</v>
      </c>
      <c r="G334" s="17" t="s">
        <v>24</v>
      </c>
      <c r="H334" s="18">
        <f>ROUND(RAND()*4+6,1)</f>
      </c>
      <c r="I334" s="17" t="s">
        <v>41</v>
      </c>
      <c r="J334" s="19">
        <f>ROUND(84*1,0)&amp;"%"</f>
      </c>
    </row>
    <row x14ac:dyDescent="0.25" r="335" customHeight="1" ht="17.25">
      <c r="A335" s="20" t="s">
        <v>13840</v>
      </c>
      <c r="B335" s="20" t="s">
        <v>540</v>
      </c>
      <c r="C335" s="20" t="s">
        <v>152</v>
      </c>
      <c r="D335" s="20" t="s">
        <v>67</v>
      </c>
      <c r="E335" s="21">
        <f>ROUND(17298*1.05,2)</f>
      </c>
      <c r="F335" s="20" t="s">
        <v>44</v>
      </c>
      <c r="G335" s="20" t="s">
        <v>30</v>
      </c>
      <c r="H335" s="21">
        <f>ROUND(RAND()*4+6,1)</f>
      </c>
      <c r="I335" s="20" t="s">
        <v>45</v>
      </c>
      <c r="J335" s="23">
        <f>ROUND(96*1,0)&amp;"%"</f>
      </c>
    </row>
    <row x14ac:dyDescent="0.25" r="336" customHeight="1" ht="17.25">
      <c r="A336" s="17" t="s">
        <v>13841</v>
      </c>
      <c r="B336" s="17" t="s">
        <v>542</v>
      </c>
      <c r="C336" s="17" t="s">
        <v>152</v>
      </c>
      <c r="D336" s="17" t="s">
        <v>16</v>
      </c>
      <c r="E336" s="18">
        <f>ROUND(4322*1.05,2)</f>
      </c>
      <c r="F336" s="17" t="s">
        <v>48</v>
      </c>
      <c r="G336" s="17" t="s">
        <v>18</v>
      </c>
      <c r="H336" s="26">
        <f>ROUND(RAND()*4+6,1)</f>
      </c>
      <c r="I336" s="17" t="s">
        <v>19</v>
      </c>
      <c r="J336" s="19">
        <f>ROUND(86*1,0)&amp;"%"</f>
      </c>
    </row>
    <row x14ac:dyDescent="0.25" r="337" customHeight="1" ht="17.25">
      <c r="A337" s="20" t="s">
        <v>13842</v>
      </c>
      <c r="B337" s="20" t="s">
        <v>544</v>
      </c>
      <c r="C337" s="20" t="s">
        <v>152</v>
      </c>
      <c r="D337" s="20" t="s">
        <v>22</v>
      </c>
      <c r="E337" s="21">
        <f>ROUND(11273*1.05,2)</f>
      </c>
      <c r="F337" s="20" t="s">
        <v>51</v>
      </c>
      <c r="G337" s="20" t="s">
        <v>24</v>
      </c>
      <c r="H337" s="21">
        <f>ROUND(RAND()*4+6,1)</f>
      </c>
      <c r="I337" s="20" t="s">
        <v>25</v>
      </c>
      <c r="J337" s="23">
        <f>ROUND(79*1,0)&amp;"%"</f>
      </c>
    </row>
    <row x14ac:dyDescent="0.25" r="338" customHeight="1" ht="17.25">
      <c r="A338" s="24" t="s">
        <v>545</v>
      </c>
      <c r="B338" s="24"/>
      <c r="C338" s="24"/>
      <c r="D338" s="24"/>
      <c r="E338" s="25">
        <v>8</v>
      </c>
      <c r="F338" s="9"/>
      <c r="G338" s="9"/>
      <c r="H338" s="10"/>
      <c r="I338" s="9"/>
      <c r="J338" s="9"/>
    </row>
    <row x14ac:dyDescent="0.25" r="339" customHeight="1" ht="17.25">
      <c r="A339" s="7"/>
      <c r="B339" s="7"/>
      <c r="C339" s="7"/>
      <c r="D339" s="7"/>
      <c r="E339" s="8"/>
      <c r="F339" s="9"/>
      <c r="G339" s="9"/>
      <c r="H339" s="10"/>
      <c r="I339" s="9"/>
      <c r="J339" s="9"/>
    </row>
    <row x14ac:dyDescent="0.25" r="340" customHeight="1" ht="17.25">
      <c r="A340" s="11" t="s">
        <v>13843</v>
      </c>
      <c r="B340" s="11"/>
      <c r="C340" s="11"/>
      <c r="D340" s="11"/>
      <c r="E340" s="12"/>
      <c r="F340" s="11"/>
      <c r="G340" s="11"/>
      <c r="H340" s="13"/>
      <c r="I340" s="11"/>
      <c r="J340" s="11"/>
    </row>
    <row x14ac:dyDescent="0.25" r="341" customHeight="1" ht="17.25">
      <c r="A341" s="14" t="s">
        <v>3</v>
      </c>
      <c r="B341" s="14" t="s">
        <v>4</v>
      </c>
      <c r="C341" s="14" t="s">
        <v>5</v>
      </c>
      <c r="D341" s="14" t="s">
        <v>6</v>
      </c>
      <c r="E341" s="15" t="s">
        <v>7</v>
      </c>
      <c r="F341" s="14" t="s">
        <v>8</v>
      </c>
      <c r="G341" s="14" t="s">
        <v>9</v>
      </c>
      <c r="H341" s="16" t="s">
        <v>10</v>
      </c>
      <c r="I341" s="14" t="s">
        <v>11</v>
      </c>
      <c r="J341" s="14" t="s">
        <v>12</v>
      </c>
    </row>
    <row x14ac:dyDescent="0.25" r="342" customHeight="1" ht="17.25">
      <c r="A342" s="17" t="s">
        <v>13844</v>
      </c>
      <c r="B342" s="17" t="s">
        <v>548</v>
      </c>
      <c r="C342" s="17" t="s">
        <v>15</v>
      </c>
      <c r="D342" s="17" t="s">
        <v>16</v>
      </c>
      <c r="E342" s="18">
        <f>ROUND(4441*1.05,2)</f>
      </c>
      <c r="F342" s="17" t="s">
        <v>17</v>
      </c>
      <c r="G342" s="17" t="s">
        <v>18</v>
      </c>
      <c r="H342" s="18">
        <f>ROUND(RAND()*4+6,1)</f>
      </c>
      <c r="I342" s="17" t="s">
        <v>19</v>
      </c>
      <c r="J342" s="19">
        <f>ROUND(98*1,0)&amp;"%"</f>
      </c>
    </row>
    <row x14ac:dyDescent="0.25" r="343" customHeight="1" ht="17.25">
      <c r="A343" s="20" t="s">
        <v>13845</v>
      </c>
      <c r="B343" s="20" t="s">
        <v>550</v>
      </c>
      <c r="C343" s="20" t="s">
        <v>15</v>
      </c>
      <c r="D343" s="20" t="s">
        <v>22</v>
      </c>
      <c r="E343" s="21">
        <f>ROUND(17136*1.05,2)</f>
      </c>
      <c r="F343" s="20" t="s">
        <v>23</v>
      </c>
      <c r="G343" s="20" t="s">
        <v>24</v>
      </c>
      <c r="H343" s="21">
        <f>ROUND(RAND()*4+6,1)</f>
      </c>
      <c r="I343" s="20" t="s">
        <v>25</v>
      </c>
      <c r="J343" s="23">
        <f>ROUND(75*1,0)&amp;"%"</f>
      </c>
    </row>
    <row x14ac:dyDescent="0.25" r="344" customHeight="1" ht="17.25">
      <c r="A344" s="17" t="s">
        <v>13846</v>
      </c>
      <c r="B344" s="17" t="s">
        <v>552</v>
      </c>
      <c r="C344" s="17" t="s">
        <v>15</v>
      </c>
      <c r="D344" s="17" t="s">
        <v>28</v>
      </c>
      <c r="E344" s="18">
        <f>ROUND(10067*1.05,2)</f>
      </c>
      <c r="F344" s="17" t="s">
        <v>29</v>
      </c>
      <c r="G344" s="17" t="s">
        <v>30</v>
      </c>
      <c r="H344" s="18">
        <f>ROUND(RAND()*4+6,1)</f>
      </c>
      <c r="I344" s="17" t="s">
        <v>31</v>
      </c>
      <c r="J344" s="19">
        <f>ROUND(86*1,0)&amp;"%"</f>
      </c>
    </row>
    <row x14ac:dyDescent="0.25" r="345" customHeight="1" ht="17.25">
      <c r="A345" s="20" t="s">
        <v>13847</v>
      </c>
      <c r="B345" s="20" t="s">
        <v>554</v>
      </c>
      <c r="C345" s="20" t="s">
        <v>15</v>
      </c>
      <c r="D345" s="20" t="s">
        <v>34</v>
      </c>
      <c r="E345" s="21">
        <f>ROUND(15638*1.05,2)</f>
      </c>
      <c r="F345" s="20" t="s">
        <v>35</v>
      </c>
      <c r="G345" s="20" t="s">
        <v>18</v>
      </c>
      <c r="H345" s="21">
        <f>ROUND(RAND()*4+6,1)</f>
      </c>
      <c r="I345" s="20" t="s">
        <v>36</v>
      </c>
      <c r="J345" s="23">
        <f>ROUND(75*1,0)&amp;"%"</f>
      </c>
    </row>
    <row x14ac:dyDescent="0.25" r="346" customHeight="1" ht="17.25">
      <c r="A346" s="17" t="s">
        <v>13848</v>
      </c>
      <c r="B346" s="17" t="s">
        <v>556</v>
      </c>
      <c r="C346" s="17" t="s">
        <v>15</v>
      </c>
      <c r="D346" s="17" t="s">
        <v>39</v>
      </c>
      <c r="E346" s="18">
        <f>ROUND(6239*1.05,2)</f>
      </c>
      <c r="F346" s="17" t="s">
        <v>40</v>
      </c>
      <c r="G346" s="17" t="s">
        <v>24</v>
      </c>
      <c r="H346" s="18">
        <f>ROUND(RAND()*4+6,1)</f>
      </c>
      <c r="I346" s="17" t="s">
        <v>41</v>
      </c>
      <c r="J346" s="19">
        <f>ROUND(62*1,0)&amp;"%"</f>
      </c>
    </row>
    <row x14ac:dyDescent="0.25" r="347" customHeight="1" ht="17.25">
      <c r="A347" s="20" t="s">
        <v>13849</v>
      </c>
      <c r="B347" s="20" t="s">
        <v>558</v>
      </c>
      <c r="C347" s="20" t="s">
        <v>15</v>
      </c>
      <c r="D347" s="20" t="s">
        <v>67</v>
      </c>
      <c r="E347" s="21">
        <f>ROUND(10157*1.05,2)</f>
      </c>
      <c r="F347" s="20" t="s">
        <v>44</v>
      </c>
      <c r="G347" s="20" t="s">
        <v>30</v>
      </c>
      <c r="H347" s="21">
        <f>ROUND(RAND()*4+6,1)</f>
      </c>
      <c r="I347" s="20" t="s">
        <v>45</v>
      </c>
      <c r="J347" s="23">
        <f>ROUND(62*1,0)&amp;"%"</f>
      </c>
    </row>
    <row x14ac:dyDescent="0.25" r="348" customHeight="1" ht="17.25">
      <c r="A348" s="17" t="s">
        <v>13850</v>
      </c>
      <c r="B348" s="17" t="s">
        <v>560</v>
      </c>
      <c r="C348" s="17" t="s">
        <v>15</v>
      </c>
      <c r="D348" s="17" t="s">
        <v>16</v>
      </c>
      <c r="E348" s="18">
        <f>ROUND(15270*1.05,2)</f>
      </c>
      <c r="F348" s="17" t="s">
        <v>48</v>
      </c>
      <c r="G348" s="17" t="s">
        <v>18</v>
      </c>
      <c r="H348" s="18">
        <f>ROUND(RAND()*4+6,1)</f>
      </c>
      <c r="I348" s="17" t="s">
        <v>19</v>
      </c>
      <c r="J348" s="19">
        <f>ROUND(70*1,0)&amp;"%"</f>
      </c>
    </row>
    <row x14ac:dyDescent="0.25" r="349" customHeight="1" ht="17.25">
      <c r="A349" s="20" t="s">
        <v>13851</v>
      </c>
      <c r="B349" s="20" t="s">
        <v>562</v>
      </c>
      <c r="C349" s="20" t="s">
        <v>15</v>
      </c>
      <c r="D349" s="20" t="s">
        <v>22</v>
      </c>
      <c r="E349" s="22">
        <f>ROUND(9880*1.05,2)</f>
      </c>
      <c r="F349" s="20" t="s">
        <v>51</v>
      </c>
      <c r="G349" s="20" t="s">
        <v>24</v>
      </c>
      <c r="H349" s="21">
        <f>ROUND(RAND()*4+6,1)</f>
      </c>
      <c r="I349" s="20" t="s">
        <v>25</v>
      </c>
      <c r="J349" s="23">
        <f>ROUND(68*1,0)&amp;"%"</f>
      </c>
    </row>
    <row x14ac:dyDescent="0.25" r="350" customHeight="1" ht="17.25">
      <c r="A350" s="24" t="s">
        <v>563</v>
      </c>
      <c r="B350" s="24"/>
      <c r="C350" s="24"/>
      <c r="D350" s="24"/>
      <c r="E350" s="25">
        <v>8</v>
      </c>
      <c r="F350" s="9"/>
      <c r="G350" s="9"/>
      <c r="H350" s="10"/>
      <c r="I350" s="9"/>
      <c r="J350" s="9"/>
    </row>
    <row x14ac:dyDescent="0.25" r="351" customHeight="1" ht="17.25">
      <c r="A351" s="7"/>
      <c r="B351" s="7"/>
      <c r="C351" s="7"/>
      <c r="D351" s="7"/>
      <c r="E351" s="8"/>
      <c r="F351" s="9"/>
      <c r="G351" s="9"/>
      <c r="H351" s="10"/>
      <c r="I351" s="9"/>
      <c r="J351" s="9"/>
    </row>
    <row x14ac:dyDescent="0.25" r="352" customHeight="1" ht="17.25">
      <c r="A352" s="11" t="s">
        <v>13852</v>
      </c>
      <c r="B352" s="11"/>
      <c r="C352" s="11"/>
      <c r="D352" s="11"/>
      <c r="E352" s="12"/>
      <c r="F352" s="11"/>
      <c r="G352" s="11"/>
      <c r="H352" s="13"/>
      <c r="I352" s="11"/>
      <c r="J352" s="11"/>
    </row>
    <row x14ac:dyDescent="0.25" r="353" customHeight="1" ht="17.25">
      <c r="A353" s="14" t="s">
        <v>3</v>
      </c>
      <c r="B353" s="14" t="s">
        <v>4</v>
      </c>
      <c r="C353" s="14" t="s">
        <v>5</v>
      </c>
      <c r="D353" s="14" t="s">
        <v>6</v>
      </c>
      <c r="E353" s="15" t="s">
        <v>7</v>
      </c>
      <c r="F353" s="14" t="s">
        <v>8</v>
      </c>
      <c r="G353" s="14" t="s">
        <v>9</v>
      </c>
      <c r="H353" s="16" t="s">
        <v>10</v>
      </c>
      <c r="I353" s="14" t="s">
        <v>11</v>
      </c>
      <c r="J353" s="14" t="s">
        <v>12</v>
      </c>
    </row>
    <row x14ac:dyDescent="0.25" r="354" customHeight="1" ht="17.25">
      <c r="A354" s="17" t="s">
        <v>13853</v>
      </c>
      <c r="B354" s="17" t="s">
        <v>566</v>
      </c>
      <c r="C354" s="17" t="s">
        <v>56</v>
      </c>
      <c r="D354" s="17" t="s">
        <v>16</v>
      </c>
      <c r="E354" s="18">
        <f>ROUND(4716*1.05,2)</f>
      </c>
      <c r="F354" s="17" t="s">
        <v>17</v>
      </c>
      <c r="G354" s="17" t="s">
        <v>18</v>
      </c>
      <c r="H354" s="18">
        <f>ROUND(RAND()*4+6,1)</f>
      </c>
      <c r="I354" s="17" t="s">
        <v>19</v>
      </c>
      <c r="J354" s="19">
        <f>ROUND(75*1,0)&amp;"%"</f>
      </c>
    </row>
    <row x14ac:dyDescent="0.25" r="355" customHeight="1" ht="17.25">
      <c r="A355" s="20" t="s">
        <v>13854</v>
      </c>
      <c r="B355" s="20" t="s">
        <v>568</v>
      </c>
      <c r="C355" s="20" t="s">
        <v>56</v>
      </c>
      <c r="D355" s="20" t="s">
        <v>22</v>
      </c>
      <c r="E355" s="21">
        <f>ROUND(5307*1.05,2)</f>
      </c>
      <c r="F355" s="20" t="s">
        <v>23</v>
      </c>
      <c r="G355" s="20" t="s">
        <v>24</v>
      </c>
      <c r="H355" s="21">
        <f>ROUND(RAND()*4+6,1)</f>
      </c>
      <c r="I355" s="20" t="s">
        <v>25</v>
      </c>
      <c r="J355" s="23">
        <f>ROUND(90*1,0)&amp;"%"</f>
      </c>
    </row>
    <row x14ac:dyDescent="0.25" r="356" customHeight="1" ht="17.25">
      <c r="A356" s="17" t="s">
        <v>13855</v>
      </c>
      <c r="B356" s="17" t="s">
        <v>570</v>
      </c>
      <c r="C356" s="17" t="s">
        <v>56</v>
      </c>
      <c r="D356" s="17" t="s">
        <v>28</v>
      </c>
      <c r="E356" s="18">
        <f>ROUND(7929*1.05,2)</f>
      </c>
      <c r="F356" s="17" t="s">
        <v>29</v>
      </c>
      <c r="G356" s="17" t="s">
        <v>30</v>
      </c>
      <c r="H356" s="18">
        <f>ROUND(RAND()*4+6,1)</f>
      </c>
      <c r="I356" s="17" t="s">
        <v>31</v>
      </c>
      <c r="J356" s="19">
        <f>ROUND(76*1,0)&amp;"%"</f>
      </c>
    </row>
    <row x14ac:dyDescent="0.25" r="357" customHeight="1" ht="17.25">
      <c r="A357" s="20" t="s">
        <v>13856</v>
      </c>
      <c r="B357" s="20" t="s">
        <v>572</v>
      </c>
      <c r="C357" s="20" t="s">
        <v>56</v>
      </c>
      <c r="D357" s="20" t="s">
        <v>34</v>
      </c>
      <c r="E357" s="21">
        <f>ROUND(7127*1.05,2)</f>
      </c>
      <c r="F357" s="20" t="s">
        <v>35</v>
      </c>
      <c r="G357" s="20" t="s">
        <v>18</v>
      </c>
      <c r="H357" s="22">
        <f>ROUND(RAND()*4+6,1)</f>
      </c>
      <c r="I357" s="20" t="s">
        <v>36</v>
      </c>
      <c r="J357" s="23">
        <f>ROUND(71*1,0)&amp;"%"</f>
      </c>
    </row>
    <row x14ac:dyDescent="0.25" r="358" customHeight="1" ht="17.25">
      <c r="A358" s="17" t="s">
        <v>13857</v>
      </c>
      <c r="B358" s="17" t="s">
        <v>574</v>
      </c>
      <c r="C358" s="17" t="s">
        <v>56</v>
      </c>
      <c r="D358" s="17" t="s">
        <v>39</v>
      </c>
      <c r="E358" s="18">
        <f>ROUND(11232*1.05,2)</f>
      </c>
      <c r="F358" s="17" t="s">
        <v>40</v>
      </c>
      <c r="G358" s="17" t="s">
        <v>24</v>
      </c>
      <c r="H358" s="26">
        <f>ROUND(RAND()*4+6,1)</f>
      </c>
      <c r="I358" s="17" t="s">
        <v>41</v>
      </c>
      <c r="J358" s="19">
        <f>ROUND(95*1,0)&amp;"%"</f>
      </c>
    </row>
    <row x14ac:dyDescent="0.25" r="359" customHeight="1" ht="17.25">
      <c r="A359" s="20" t="s">
        <v>13858</v>
      </c>
      <c r="B359" s="20" t="s">
        <v>576</v>
      </c>
      <c r="C359" s="20" t="s">
        <v>56</v>
      </c>
      <c r="D359" s="20" t="s">
        <v>67</v>
      </c>
      <c r="E359" s="21">
        <f>ROUND(14171*1.05,2)</f>
      </c>
      <c r="F359" s="20" t="s">
        <v>44</v>
      </c>
      <c r="G359" s="20" t="s">
        <v>30</v>
      </c>
      <c r="H359" s="21">
        <f>ROUND(RAND()*4+6,1)</f>
      </c>
      <c r="I359" s="20" t="s">
        <v>45</v>
      </c>
      <c r="J359" s="23">
        <f>ROUND(70*1,0)&amp;"%"</f>
      </c>
    </row>
    <row x14ac:dyDescent="0.25" r="360" customHeight="1" ht="17.25">
      <c r="A360" s="17" t="s">
        <v>13859</v>
      </c>
      <c r="B360" s="17" t="s">
        <v>578</v>
      </c>
      <c r="C360" s="17" t="s">
        <v>56</v>
      </c>
      <c r="D360" s="17" t="s">
        <v>16</v>
      </c>
      <c r="E360" s="18">
        <f>ROUND(17668*1.05,2)</f>
      </c>
      <c r="F360" s="17" t="s">
        <v>48</v>
      </c>
      <c r="G360" s="17" t="s">
        <v>18</v>
      </c>
      <c r="H360" s="18">
        <f>ROUND(RAND()*4+6,1)</f>
      </c>
      <c r="I360" s="17" t="s">
        <v>19</v>
      </c>
      <c r="J360" s="19">
        <f>ROUND(85*1,0)&amp;"%"</f>
      </c>
    </row>
    <row x14ac:dyDescent="0.25" r="361" customHeight="1" ht="17.25">
      <c r="A361" s="20" t="s">
        <v>13860</v>
      </c>
      <c r="B361" s="20" t="s">
        <v>580</v>
      </c>
      <c r="C361" s="20" t="s">
        <v>56</v>
      </c>
      <c r="D361" s="20" t="s">
        <v>22</v>
      </c>
      <c r="E361" s="21">
        <f>ROUND(14497*1.05,2)</f>
      </c>
      <c r="F361" s="20" t="s">
        <v>51</v>
      </c>
      <c r="G361" s="20" t="s">
        <v>24</v>
      </c>
      <c r="H361" s="21">
        <f>ROUND(RAND()*4+6,1)</f>
      </c>
      <c r="I361" s="20" t="s">
        <v>25</v>
      </c>
      <c r="J361" s="23">
        <f>ROUND(89*1,0)&amp;"%"</f>
      </c>
    </row>
    <row x14ac:dyDescent="0.25" r="362" customHeight="1" ht="17.25">
      <c r="A362" s="24" t="s">
        <v>581</v>
      </c>
      <c r="B362" s="24"/>
      <c r="C362" s="24"/>
      <c r="D362" s="24"/>
      <c r="E362" s="25">
        <v>8</v>
      </c>
      <c r="F362" s="9"/>
      <c r="G362" s="9"/>
      <c r="H362" s="10"/>
      <c r="I362" s="9"/>
      <c r="J362" s="9"/>
    </row>
  </sheetData>
  <mergeCells count="62">
    <mergeCell ref="A1:J1"/>
    <mergeCell ref="A2:J2"/>
    <mergeCell ref="A4:J4"/>
    <mergeCell ref="A14:D14"/>
    <mergeCell ref="A16:J16"/>
    <mergeCell ref="A26:D26"/>
    <mergeCell ref="A28:J28"/>
    <mergeCell ref="A38:D38"/>
    <mergeCell ref="A40:J40"/>
    <mergeCell ref="A50:D50"/>
    <mergeCell ref="A52:J52"/>
    <mergeCell ref="A62:D62"/>
    <mergeCell ref="A64:J64"/>
    <mergeCell ref="A74:D74"/>
    <mergeCell ref="A76:J76"/>
    <mergeCell ref="A86:D86"/>
    <mergeCell ref="A88:J88"/>
    <mergeCell ref="A98:D98"/>
    <mergeCell ref="A100:J100"/>
    <mergeCell ref="A110:D110"/>
    <mergeCell ref="A112:J112"/>
    <mergeCell ref="A122:D122"/>
    <mergeCell ref="A124:J124"/>
    <mergeCell ref="A134:D134"/>
    <mergeCell ref="A136:J136"/>
    <mergeCell ref="A146:D146"/>
    <mergeCell ref="A148:J148"/>
    <mergeCell ref="A158:D158"/>
    <mergeCell ref="A160:J160"/>
    <mergeCell ref="A170:D170"/>
    <mergeCell ref="A172:J172"/>
    <mergeCell ref="A182:D182"/>
    <mergeCell ref="A184:J184"/>
    <mergeCell ref="A194:D194"/>
    <mergeCell ref="A196:J196"/>
    <mergeCell ref="A206:D206"/>
    <mergeCell ref="A208:J208"/>
    <mergeCell ref="A218:D218"/>
    <mergeCell ref="A220:J220"/>
    <mergeCell ref="A230:D230"/>
    <mergeCell ref="A232:J232"/>
    <mergeCell ref="A242:D242"/>
    <mergeCell ref="A244:J244"/>
    <mergeCell ref="A254:D254"/>
    <mergeCell ref="A256:J256"/>
    <mergeCell ref="A266:D266"/>
    <mergeCell ref="A268:J268"/>
    <mergeCell ref="A278:D278"/>
    <mergeCell ref="A280:J280"/>
    <mergeCell ref="A290:D290"/>
    <mergeCell ref="A292:J292"/>
    <mergeCell ref="A302:D302"/>
    <mergeCell ref="A304:J304"/>
    <mergeCell ref="A314:D314"/>
    <mergeCell ref="A316:J316"/>
    <mergeCell ref="A326:D326"/>
    <mergeCell ref="A328:J328"/>
    <mergeCell ref="A338:D338"/>
    <mergeCell ref="A340:J340"/>
    <mergeCell ref="A350:D350"/>
    <mergeCell ref="A352:J352"/>
    <mergeCell ref="A362:D36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J362"/>
  <sheetViews>
    <sheetView workbookViewId="0"/>
  </sheetViews>
  <sheetFormatPr defaultRowHeight="15" x14ac:dyDescent="0.25"/>
  <cols>
    <col min="1" max="1" style="27" width="8.005" customWidth="1" bestFit="1"/>
    <col min="2" max="2" style="27" width="22.005" customWidth="1" bestFit="1"/>
    <col min="3" max="3" style="27" width="16.005" customWidth="1" bestFit="1"/>
    <col min="4" max="4" style="27" width="14.005" customWidth="1" bestFit="1"/>
    <col min="5" max="5" style="28" width="12.005" customWidth="1" bestFit="1"/>
    <col min="6" max="6" style="29" width="16.005" customWidth="1" bestFit="1"/>
    <col min="7" max="7" style="29" width="10.005" customWidth="1" bestFit="1"/>
    <col min="8" max="8" style="30" width="10.005" customWidth="1" bestFit="1"/>
    <col min="9" max="9" style="29" width="14.005" customWidth="1" bestFit="1"/>
    <col min="10" max="10" style="29" width="8.005" customWidth="1" bestFit="1"/>
  </cols>
  <sheetData>
    <row x14ac:dyDescent="0.25" r="1" customHeight="1" ht="17.25">
      <c r="A1" s="1" t="s">
        <v>13319</v>
      </c>
      <c r="B1" s="1"/>
      <c r="C1" s="1"/>
      <c r="D1" s="1"/>
      <c r="E1" s="2"/>
      <c r="F1" s="1"/>
      <c r="G1" s="1"/>
      <c r="H1" s="3"/>
      <c r="I1" s="1"/>
      <c r="J1" s="1"/>
    </row>
    <row x14ac:dyDescent="0.25" r="2" customHeight="1" ht="17.25">
      <c r="A2" s="4" t="s">
        <v>1</v>
      </c>
      <c r="B2" s="4"/>
      <c r="C2" s="4"/>
      <c r="D2" s="4"/>
      <c r="E2" s="5"/>
      <c r="F2" s="4"/>
      <c r="G2" s="4"/>
      <c r="H2" s="6"/>
      <c r="I2" s="4"/>
      <c r="J2" s="4"/>
    </row>
    <row x14ac:dyDescent="0.25" r="3" customHeight="1" ht="17.25">
      <c r="A3" s="7"/>
      <c r="B3" s="7"/>
      <c r="C3" s="7"/>
      <c r="D3" s="7"/>
      <c r="E3" s="8"/>
      <c r="F3" s="9"/>
      <c r="G3" s="9"/>
      <c r="H3" s="10"/>
      <c r="I3" s="9"/>
      <c r="J3" s="9"/>
    </row>
    <row x14ac:dyDescent="0.25" r="4" customHeight="1" ht="17.25">
      <c r="A4" s="11" t="s">
        <v>13320</v>
      </c>
      <c r="B4" s="11"/>
      <c r="C4" s="11"/>
      <c r="D4" s="11"/>
      <c r="E4" s="12"/>
      <c r="F4" s="11"/>
      <c r="G4" s="11"/>
      <c r="H4" s="13"/>
      <c r="I4" s="11"/>
      <c r="J4" s="11"/>
    </row>
    <row x14ac:dyDescent="0.25" r="5" customHeight="1" ht="17.25">
      <c r="A5" s="14" t="s">
        <v>3</v>
      </c>
      <c r="B5" s="14" t="s">
        <v>4</v>
      </c>
      <c r="C5" s="14" t="s">
        <v>5</v>
      </c>
      <c r="D5" s="14" t="s">
        <v>6</v>
      </c>
      <c r="E5" s="15" t="s">
        <v>7</v>
      </c>
      <c r="F5" s="14" t="s">
        <v>8</v>
      </c>
      <c r="G5" s="14" t="s">
        <v>9</v>
      </c>
      <c r="H5" s="16" t="s">
        <v>10</v>
      </c>
      <c r="I5" s="14" t="s">
        <v>11</v>
      </c>
      <c r="J5" s="14" t="s">
        <v>12</v>
      </c>
    </row>
    <row x14ac:dyDescent="0.25" r="6" customHeight="1" ht="17.25">
      <c r="A6" s="17" t="s">
        <v>13321</v>
      </c>
      <c r="B6" s="17" t="s">
        <v>14</v>
      </c>
      <c r="C6" s="17" t="s">
        <v>15</v>
      </c>
      <c r="D6" s="17" t="s">
        <v>16</v>
      </c>
      <c r="E6" s="18">
        <f>ROUND(8325*1.05,2)</f>
      </c>
      <c r="F6" s="17" t="s">
        <v>17</v>
      </c>
      <c r="G6" s="17" t="s">
        <v>18</v>
      </c>
      <c r="H6" s="18">
        <f>ROUND(RAND()*4+6,1)</f>
      </c>
      <c r="I6" s="17" t="s">
        <v>19</v>
      </c>
      <c r="J6" s="19">
        <f>ROUND(96*1,0)&amp;"%"</f>
      </c>
    </row>
    <row x14ac:dyDescent="0.25" r="7" customHeight="1" ht="17.25">
      <c r="A7" s="20" t="s">
        <v>13322</v>
      </c>
      <c r="B7" s="20" t="s">
        <v>21</v>
      </c>
      <c r="C7" s="20" t="s">
        <v>15</v>
      </c>
      <c r="D7" s="20" t="s">
        <v>22</v>
      </c>
      <c r="E7" s="21">
        <f>ROUND(11872*1.05,2)</f>
      </c>
      <c r="F7" s="20" t="s">
        <v>23</v>
      </c>
      <c r="G7" s="20" t="s">
        <v>24</v>
      </c>
      <c r="H7" s="21">
        <f>ROUND(RAND()*4+6,1)</f>
      </c>
      <c r="I7" s="20" t="s">
        <v>25</v>
      </c>
      <c r="J7" s="23">
        <f>ROUND(75*1,0)&amp;"%"</f>
      </c>
    </row>
    <row x14ac:dyDescent="0.25" r="8" customHeight="1" ht="17.25">
      <c r="A8" s="17" t="s">
        <v>13323</v>
      </c>
      <c r="B8" s="17" t="s">
        <v>27</v>
      </c>
      <c r="C8" s="17" t="s">
        <v>15</v>
      </c>
      <c r="D8" s="17" t="s">
        <v>28</v>
      </c>
      <c r="E8" s="18">
        <f>ROUND(8558*1.05,2)</f>
      </c>
      <c r="F8" s="17" t="s">
        <v>29</v>
      </c>
      <c r="G8" s="17" t="s">
        <v>30</v>
      </c>
      <c r="H8" s="18">
        <f>ROUND(RAND()*4+6,1)</f>
      </c>
      <c r="I8" s="17" t="s">
        <v>31</v>
      </c>
      <c r="J8" s="19">
        <f>ROUND(97*1,0)&amp;"%"</f>
      </c>
    </row>
    <row x14ac:dyDescent="0.25" r="9" customHeight="1" ht="17.25">
      <c r="A9" s="20" t="s">
        <v>13324</v>
      </c>
      <c r="B9" s="20" t="s">
        <v>33</v>
      </c>
      <c r="C9" s="20" t="s">
        <v>15</v>
      </c>
      <c r="D9" s="20" t="s">
        <v>34</v>
      </c>
      <c r="E9" s="21">
        <f>ROUND(7334*1.05,2)</f>
      </c>
      <c r="F9" s="20" t="s">
        <v>35</v>
      </c>
      <c r="G9" s="20" t="s">
        <v>18</v>
      </c>
      <c r="H9" s="21">
        <f>ROUND(RAND()*4+6,1)</f>
      </c>
      <c r="I9" s="20" t="s">
        <v>36</v>
      </c>
      <c r="J9" s="23">
        <f>ROUND(82*1,0)&amp;"%"</f>
      </c>
    </row>
    <row x14ac:dyDescent="0.25" r="10" customHeight="1" ht="17.25">
      <c r="A10" s="17" t="s">
        <v>13325</v>
      </c>
      <c r="B10" s="17" t="s">
        <v>38</v>
      </c>
      <c r="C10" s="17" t="s">
        <v>15</v>
      </c>
      <c r="D10" s="17" t="s">
        <v>39</v>
      </c>
      <c r="E10" s="26">
        <f>ROUND(14520*1.05,2)</f>
      </c>
      <c r="F10" s="17" t="s">
        <v>40</v>
      </c>
      <c r="G10" s="17" t="s">
        <v>24</v>
      </c>
      <c r="H10" s="18">
        <f>ROUND(RAND()*4+6,1)</f>
      </c>
      <c r="I10" s="17" t="s">
        <v>41</v>
      </c>
      <c r="J10" s="19">
        <f>ROUND(83*1,0)&amp;"%"</f>
      </c>
    </row>
    <row x14ac:dyDescent="0.25" r="11" customHeight="1" ht="17.25">
      <c r="A11" s="20" t="s">
        <v>13326</v>
      </c>
      <c r="B11" s="20" t="s">
        <v>43</v>
      </c>
      <c r="C11" s="20" t="s">
        <v>15</v>
      </c>
      <c r="D11" s="20" t="s">
        <v>67</v>
      </c>
      <c r="E11" s="21">
        <f>ROUND(4149*1.05,2)</f>
      </c>
      <c r="F11" s="20" t="s">
        <v>44</v>
      </c>
      <c r="G11" s="20" t="s">
        <v>30</v>
      </c>
      <c r="H11" s="21">
        <f>ROUND(RAND()*4+6,1)</f>
      </c>
      <c r="I11" s="20" t="s">
        <v>45</v>
      </c>
      <c r="J11" s="23">
        <f>ROUND(73*1,0)&amp;"%"</f>
      </c>
    </row>
    <row x14ac:dyDescent="0.25" r="12" customHeight="1" ht="17.25">
      <c r="A12" s="17" t="s">
        <v>13327</v>
      </c>
      <c r="B12" s="17" t="s">
        <v>47</v>
      </c>
      <c r="C12" s="17" t="s">
        <v>15</v>
      </c>
      <c r="D12" s="17" t="s">
        <v>16</v>
      </c>
      <c r="E12" s="18">
        <f>ROUND(5142*1.05,2)</f>
      </c>
      <c r="F12" s="17" t="s">
        <v>48</v>
      </c>
      <c r="G12" s="17" t="s">
        <v>18</v>
      </c>
      <c r="H12" s="18">
        <f>ROUND(RAND()*4+6,1)</f>
      </c>
      <c r="I12" s="17" t="s">
        <v>19</v>
      </c>
      <c r="J12" s="19">
        <f>ROUND(60*1,0)&amp;"%"</f>
      </c>
    </row>
    <row x14ac:dyDescent="0.25" r="13" customHeight="1" ht="17.25">
      <c r="A13" s="20" t="s">
        <v>13328</v>
      </c>
      <c r="B13" s="20" t="s">
        <v>50</v>
      </c>
      <c r="C13" s="20" t="s">
        <v>15</v>
      </c>
      <c r="D13" s="20" t="s">
        <v>22</v>
      </c>
      <c r="E13" s="21">
        <f>ROUND(4436*1.05,2)</f>
      </c>
      <c r="F13" s="20" t="s">
        <v>51</v>
      </c>
      <c r="G13" s="20" t="s">
        <v>24</v>
      </c>
      <c r="H13" s="21">
        <f>ROUND(RAND()*4+6,1)</f>
      </c>
      <c r="I13" s="20" t="s">
        <v>25</v>
      </c>
      <c r="J13" s="23">
        <f>ROUND(94*1,0)&amp;"%"</f>
      </c>
    </row>
    <row x14ac:dyDescent="0.25" r="14" customHeight="1" ht="17.25">
      <c r="A14" s="24" t="s">
        <v>52</v>
      </c>
      <c r="B14" s="24"/>
      <c r="C14" s="24"/>
      <c r="D14" s="24"/>
      <c r="E14" s="25">
        <v>8</v>
      </c>
      <c r="F14" s="9"/>
      <c r="G14" s="9"/>
      <c r="H14" s="10"/>
      <c r="I14" s="9"/>
      <c r="J14" s="9"/>
    </row>
    <row x14ac:dyDescent="0.25" r="15" customHeight="1" ht="17.25">
      <c r="A15" s="7"/>
      <c r="B15" s="7"/>
      <c r="C15" s="7"/>
      <c r="D15" s="7"/>
      <c r="E15" s="8"/>
      <c r="F15" s="9"/>
      <c r="G15" s="9"/>
      <c r="H15" s="10"/>
      <c r="I15" s="9"/>
      <c r="J15" s="9"/>
    </row>
    <row x14ac:dyDescent="0.25" r="16" customHeight="1" ht="17.25">
      <c r="A16" s="11" t="s">
        <v>13329</v>
      </c>
      <c r="B16" s="11"/>
      <c r="C16" s="11"/>
      <c r="D16" s="11"/>
      <c r="E16" s="12"/>
      <c r="F16" s="11"/>
      <c r="G16" s="11"/>
      <c r="H16" s="13"/>
      <c r="I16" s="11"/>
      <c r="J16" s="11"/>
    </row>
    <row x14ac:dyDescent="0.25" r="17" customHeight="1" ht="17.25">
      <c r="A17" s="14" t="s">
        <v>3</v>
      </c>
      <c r="B17" s="14" t="s">
        <v>4</v>
      </c>
      <c r="C17" s="14" t="s">
        <v>5</v>
      </c>
      <c r="D17" s="14" t="s">
        <v>6</v>
      </c>
      <c r="E17" s="15" t="s">
        <v>7</v>
      </c>
      <c r="F17" s="14" t="s">
        <v>8</v>
      </c>
      <c r="G17" s="14" t="s">
        <v>9</v>
      </c>
      <c r="H17" s="16" t="s">
        <v>10</v>
      </c>
      <c r="I17" s="14" t="s">
        <v>11</v>
      </c>
      <c r="J17" s="14" t="s">
        <v>12</v>
      </c>
    </row>
    <row x14ac:dyDescent="0.25" r="18" customHeight="1" ht="17.25">
      <c r="A18" s="17" t="s">
        <v>13330</v>
      </c>
      <c r="B18" s="17" t="s">
        <v>55</v>
      </c>
      <c r="C18" s="17" t="s">
        <v>56</v>
      </c>
      <c r="D18" s="17" t="s">
        <v>16</v>
      </c>
      <c r="E18" s="18">
        <f>ROUND(5889*1.05,2)</f>
      </c>
      <c r="F18" s="17" t="s">
        <v>17</v>
      </c>
      <c r="G18" s="17" t="s">
        <v>18</v>
      </c>
      <c r="H18" s="18">
        <f>ROUND(RAND()*4+6,1)</f>
      </c>
      <c r="I18" s="17" t="s">
        <v>19</v>
      </c>
      <c r="J18" s="19">
        <f>ROUND(82*1,0)&amp;"%"</f>
      </c>
    </row>
    <row x14ac:dyDescent="0.25" r="19" customHeight="1" ht="17.25">
      <c r="A19" s="20" t="s">
        <v>13331</v>
      </c>
      <c r="B19" s="20" t="s">
        <v>58</v>
      </c>
      <c r="C19" s="20" t="s">
        <v>56</v>
      </c>
      <c r="D19" s="20" t="s">
        <v>22</v>
      </c>
      <c r="E19" s="21">
        <f>ROUND(16669*1.05,2)</f>
      </c>
      <c r="F19" s="20" t="s">
        <v>23</v>
      </c>
      <c r="G19" s="20" t="s">
        <v>24</v>
      </c>
      <c r="H19" s="21">
        <f>ROUND(RAND()*4+6,1)</f>
      </c>
      <c r="I19" s="20" t="s">
        <v>25</v>
      </c>
      <c r="J19" s="23">
        <f>ROUND(100*1,0)&amp;"%"</f>
      </c>
    </row>
    <row x14ac:dyDescent="0.25" r="20" customHeight="1" ht="17.25">
      <c r="A20" s="17" t="s">
        <v>13332</v>
      </c>
      <c r="B20" s="17" t="s">
        <v>60</v>
      </c>
      <c r="C20" s="17" t="s">
        <v>56</v>
      </c>
      <c r="D20" s="17" t="s">
        <v>28</v>
      </c>
      <c r="E20" s="18">
        <f>ROUND(8430*1.05,2)</f>
      </c>
      <c r="F20" s="17" t="s">
        <v>29</v>
      </c>
      <c r="G20" s="17" t="s">
        <v>30</v>
      </c>
      <c r="H20" s="18">
        <f>ROUND(RAND()*4+6,1)</f>
      </c>
      <c r="I20" s="17" t="s">
        <v>31</v>
      </c>
      <c r="J20" s="19">
        <f>ROUND(82*1,0)&amp;"%"</f>
      </c>
    </row>
    <row x14ac:dyDescent="0.25" r="21" customHeight="1" ht="17.25">
      <c r="A21" s="20" t="s">
        <v>13333</v>
      </c>
      <c r="B21" s="20" t="s">
        <v>62</v>
      </c>
      <c r="C21" s="20" t="s">
        <v>56</v>
      </c>
      <c r="D21" s="20" t="s">
        <v>34</v>
      </c>
      <c r="E21" s="21">
        <f>ROUND(9716*1.05,2)</f>
      </c>
      <c r="F21" s="20" t="s">
        <v>35</v>
      </c>
      <c r="G21" s="20" t="s">
        <v>18</v>
      </c>
      <c r="H21" s="21">
        <f>ROUND(RAND()*4+6,1)</f>
      </c>
      <c r="I21" s="20" t="s">
        <v>36</v>
      </c>
      <c r="J21" s="23">
        <f>ROUND(73*1,0)&amp;"%"</f>
      </c>
    </row>
    <row x14ac:dyDescent="0.25" r="22" customHeight="1" ht="17.25">
      <c r="A22" s="17" t="s">
        <v>13334</v>
      </c>
      <c r="B22" s="17" t="s">
        <v>64</v>
      </c>
      <c r="C22" s="17" t="s">
        <v>56</v>
      </c>
      <c r="D22" s="17" t="s">
        <v>39</v>
      </c>
      <c r="E22" s="18">
        <f>ROUND(6116*1.05,2)</f>
      </c>
      <c r="F22" s="17" t="s">
        <v>40</v>
      </c>
      <c r="G22" s="17" t="s">
        <v>24</v>
      </c>
      <c r="H22" s="18">
        <f>ROUND(RAND()*4+6,1)</f>
      </c>
      <c r="I22" s="17" t="s">
        <v>41</v>
      </c>
      <c r="J22" s="19">
        <f>ROUND(67*1,0)&amp;"%"</f>
      </c>
    </row>
    <row x14ac:dyDescent="0.25" r="23" customHeight="1" ht="17.25">
      <c r="A23" s="20" t="s">
        <v>13335</v>
      </c>
      <c r="B23" s="20" t="s">
        <v>66</v>
      </c>
      <c r="C23" s="20" t="s">
        <v>56</v>
      </c>
      <c r="D23" s="20" t="s">
        <v>67</v>
      </c>
      <c r="E23" s="21">
        <f>ROUND(8059*1.05,2)</f>
      </c>
      <c r="F23" s="20" t="s">
        <v>44</v>
      </c>
      <c r="G23" s="20" t="s">
        <v>30</v>
      </c>
      <c r="H23" s="21">
        <f>ROUND(RAND()*4+6,1)</f>
      </c>
      <c r="I23" s="20" t="s">
        <v>45</v>
      </c>
      <c r="J23" s="23">
        <f>ROUND(85*1,0)&amp;"%"</f>
      </c>
    </row>
    <row x14ac:dyDescent="0.25" r="24" customHeight="1" ht="17.25">
      <c r="A24" s="17" t="s">
        <v>13336</v>
      </c>
      <c r="B24" s="17" t="s">
        <v>69</v>
      </c>
      <c r="C24" s="17" t="s">
        <v>56</v>
      </c>
      <c r="D24" s="17" t="s">
        <v>16</v>
      </c>
      <c r="E24" s="18">
        <f>ROUND(14628*1.05,2)</f>
      </c>
      <c r="F24" s="17" t="s">
        <v>48</v>
      </c>
      <c r="G24" s="17" t="s">
        <v>18</v>
      </c>
      <c r="H24" s="18">
        <f>ROUND(RAND()*4+6,1)</f>
      </c>
      <c r="I24" s="17" t="s">
        <v>19</v>
      </c>
      <c r="J24" s="19">
        <f>ROUND(98*1,0)&amp;"%"</f>
      </c>
    </row>
    <row x14ac:dyDescent="0.25" r="25" customHeight="1" ht="17.25">
      <c r="A25" s="20" t="s">
        <v>13337</v>
      </c>
      <c r="B25" s="20" t="s">
        <v>71</v>
      </c>
      <c r="C25" s="20" t="s">
        <v>56</v>
      </c>
      <c r="D25" s="20" t="s">
        <v>22</v>
      </c>
      <c r="E25" s="22">
        <f>ROUND(7760*1.05,2)</f>
      </c>
      <c r="F25" s="20" t="s">
        <v>51</v>
      </c>
      <c r="G25" s="20" t="s">
        <v>24</v>
      </c>
      <c r="H25" s="21">
        <f>ROUND(RAND()*4+6,1)</f>
      </c>
      <c r="I25" s="20" t="s">
        <v>25</v>
      </c>
      <c r="J25" s="23">
        <f>ROUND(77*1,0)&amp;"%"</f>
      </c>
    </row>
    <row x14ac:dyDescent="0.25" r="26" customHeight="1" ht="17.25">
      <c r="A26" s="24" t="s">
        <v>72</v>
      </c>
      <c r="B26" s="24"/>
      <c r="C26" s="24"/>
      <c r="D26" s="24"/>
      <c r="E26" s="25">
        <v>8</v>
      </c>
      <c r="F26" s="9"/>
      <c r="G26" s="9"/>
      <c r="H26" s="10"/>
      <c r="I26" s="9"/>
      <c r="J26" s="9"/>
    </row>
    <row x14ac:dyDescent="0.25" r="27" customHeight="1" ht="17.25">
      <c r="A27" s="7"/>
      <c r="B27" s="7"/>
      <c r="C27" s="7"/>
      <c r="D27" s="7"/>
      <c r="E27" s="8"/>
      <c r="F27" s="9"/>
      <c r="G27" s="9"/>
      <c r="H27" s="10"/>
      <c r="I27" s="9"/>
      <c r="J27" s="9"/>
    </row>
    <row x14ac:dyDescent="0.25" r="28" customHeight="1" ht="17.25">
      <c r="A28" s="11" t="s">
        <v>13338</v>
      </c>
      <c r="B28" s="11"/>
      <c r="C28" s="11"/>
      <c r="D28" s="11"/>
      <c r="E28" s="12"/>
      <c r="F28" s="11"/>
      <c r="G28" s="11"/>
      <c r="H28" s="13"/>
      <c r="I28" s="11"/>
      <c r="J28" s="11"/>
    </row>
    <row x14ac:dyDescent="0.25" r="29" customHeight="1" ht="17.25">
      <c r="A29" s="14" t="s">
        <v>3</v>
      </c>
      <c r="B29" s="14" t="s">
        <v>4</v>
      </c>
      <c r="C29" s="14" t="s">
        <v>5</v>
      </c>
      <c r="D29" s="14" t="s">
        <v>6</v>
      </c>
      <c r="E29" s="15" t="s">
        <v>7</v>
      </c>
      <c r="F29" s="14" t="s">
        <v>8</v>
      </c>
      <c r="G29" s="14" t="s">
        <v>9</v>
      </c>
      <c r="H29" s="16" t="s">
        <v>10</v>
      </c>
      <c r="I29" s="14" t="s">
        <v>11</v>
      </c>
      <c r="J29" s="14" t="s">
        <v>12</v>
      </c>
    </row>
    <row x14ac:dyDescent="0.25" r="30" customHeight="1" ht="17.25">
      <c r="A30" s="17" t="s">
        <v>13339</v>
      </c>
      <c r="B30" s="17" t="s">
        <v>75</v>
      </c>
      <c r="C30" s="17" t="s">
        <v>76</v>
      </c>
      <c r="D30" s="17" t="s">
        <v>16</v>
      </c>
      <c r="E30" s="18">
        <f>ROUND(16267*1.05,2)</f>
      </c>
      <c r="F30" s="17" t="s">
        <v>17</v>
      </c>
      <c r="G30" s="17" t="s">
        <v>18</v>
      </c>
      <c r="H30" s="26">
        <f>ROUND(RAND()*4+6,1)</f>
      </c>
      <c r="I30" s="17" t="s">
        <v>19</v>
      </c>
      <c r="J30" s="19">
        <f>ROUND(84*1,0)&amp;"%"</f>
      </c>
    </row>
    <row x14ac:dyDescent="0.25" r="31" customHeight="1" ht="17.25">
      <c r="A31" s="20" t="s">
        <v>13340</v>
      </c>
      <c r="B31" s="20" t="s">
        <v>78</v>
      </c>
      <c r="C31" s="20" t="s">
        <v>76</v>
      </c>
      <c r="D31" s="20" t="s">
        <v>22</v>
      </c>
      <c r="E31" s="22">
        <f>ROUND(4940*1.05,2)</f>
      </c>
      <c r="F31" s="20" t="s">
        <v>23</v>
      </c>
      <c r="G31" s="20" t="s">
        <v>24</v>
      </c>
      <c r="H31" s="21">
        <f>ROUND(RAND()*4+6,1)</f>
      </c>
      <c r="I31" s="20" t="s">
        <v>25</v>
      </c>
      <c r="J31" s="23">
        <f>ROUND(61*1,0)&amp;"%"</f>
      </c>
    </row>
    <row x14ac:dyDescent="0.25" r="32" customHeight="1" ht="17.25">
      <c r="A32" s="17" t="s">
        <v>13341</v>
      </c>
      <c r="B32" s="17" t="s">
        <v>80</v>
      </c>
      <c r="C32" s="17" t="s">
        <v>76</v>
      </c>
      <c r="D32" s="17" t="s">
        <v>28</v>
      </c>
      <c r="E32" s="18">
        <f>ROUND(4039*1.05,2)</f>
      </c>
      <c r="F32" s="17" t="s">
        <v>29</v>
      </c>
      <c r="G32" s="17" t="s">
        <v>30</v>
      </c>
      <c r="H32" s="18">
        <f>ROUND(RAND()*4+6,1)</f>
      </c>
      <c r="I32" s="17" t="s">
        <v>31</v>
      </c>
      <c r="J32" s="19">
        <f>ROUND(69*1,0)&amp;"%"</f>
      </c>
    </row>
    <row x14ac:dyDescent="0.25" r="33" customHeight="1" ht="17.25">
      <c r="A33" s="20" t="s">
        <v>13342</v>
      </c>
      <c r="B33" s="20" t="s">
        <v>82</v>
      </c>
      <c r="C33" s="20" t="s">
        <v>76</v>
      </c>
      <c r="D33" s="20" t="s">
        <v>34</v>
      </c>
      <c r="E33" s="21">
        <f>ROUND(5372*1.05,2)</f>
      </c>
      <c r="F33" s="20" t="s">
        <v>35</v>
      </c>
      <c r="G33" s="20" t="s">
        <v>18</v>
      </c>
      <c r="H33" s="21">
        <f>ROUND(RAND()*4+6,1)</f>
      </c>
      <c r="I33" s="20" t="s">
        <v>36</v>
      </c>
      <c r="J33" s="23">
        <f>ROUND(79*1,0)&amp;"%"</f>
      </c>
    </row>
    <row x14ac:dyDescent="0.25" r="34" customHeight="1" ht="17.25">
      <c r="A34" s="17" t="s">
        <v>13343</v>
      </c>
      <c r="B34" s="17" t="s">
        <v>84</v>
      </c>
      <c r="C34" s="17" t="s">
        <v>76</v>
      </c>
      <c r="D34" s="17" t="s">
        <v>39</v>
      </c>
      <c r="E34" s="18">
        <f>ROUND(13933*1.05,2)</f>
      </c>
      <c r="F34" s="17" t="s">
        <v>40</v>
      </c>
      <c r="G34" s="17" t="s">
        <v>24</v>
      </c>
      <c r="H34" s="18">
        <f>ROUND(RAND()*4+6,1)</f>
      </c>
      <c r="I34" s="17" t="s">
        <v>41</v>
      </c>
      <c r="J34" s="19">
        <f>ROUND(94*1,0)&amp;"%"</f>
      </c>
    </row>
    <row x14ac:dyDescent="0.25" r="35" customHeight="1" ht="17.25">
      <c r="A35" s="20" t="s">
        <v>13344</v>
      </c>
      <c r="B35" s="20" t="s">
        <v>86</v>
      </c>
      <c r="C35" s="20" t="s">
        <v>76</v>
      </c>
      <c r="D35" s="20" t="s">
        <v>67</v>
      </c>
      <c r="E35" s="21">
        <f>ROUND(6779*1.05,2)</f>
      </c>
      <c r="F35" s="20" t="s">
        <v>44</v>
      </c>
      <c r="G35" s="20" t="s">
        <v>30</v>
      </c>
      <c r="H35" s="21">
        <f>ROUND(RAND()*4+6,1)</f>
      </c>
      <c r="I35" s="20" t="s">
        <v>45</v>
      </c>
      <c r="J35" s="23">
        <f>ROUND(71*1,0)&amp;"%"</f>
      </c>
    </row>
    <row x14ac:dyDescent="0.25" r="36" customHeight="1" ht="17.25">
      <c r="A36" s="17" t="s">
        <v>13345</v>
      </c>
      <c r="B36" s="17" t="s">
        <v>88</v>
      </c>
      <c r="C36" s="17" t="s">
        <v>76</v>
      </c>
      <c r="D36" s="17" t="s">
        <v>16</v>
      </c>
      <c r="E36" s="18">
        <f>ROUND(16458*1.05,2)</f>
      </c>
      <c r="F36" s="17" t="s">
        <v>48</v>
      </c>
      <c r="G36" s="17" t="s">
        <v>18</v>
      </c>
      <c r="H36" s="18">
        <f>ROUND(RAND()*4+6,1)</f>
      </c>
      <c r="I36" s="17" t="s">
        <v>19</v>
      </c>
      <c r="J36" s="19">
        <f>ROUND(93*1,0)&amp;"%"</f>
      </c>
    </row>
    <row x14ac:dyDescent="0.25" r="37" customHeight="1" ht="17.25">
      <c r="A37" s="20" t="s">
        <v>13346</v>
      </c>
      <c r="B37" s="20" t="s">
        <v>90</v>
      </c>
      <c r="C37" s="20" t="s">
        <v>76</v>
      </c>
      <c r="D37" s="20" t="s">
        <v>22</v>
      </c>
      <c r="E37" s="21">
        <f>ROUND(13478*1.05,2)</f>
      </c>
      <c r="F37" s="20" t="s">
        <v>51</v>
      </c>
      <c r="G37" s="20" t="s">
        <v>24</v>
      </c>
      <c r="H37" s="21">
        <f>ROUND(RAND()*4+6,1)</f>
      </c>
      <c r="I37" s="20" t="s">
        <v>25</v>
      </c>
      <c r="J37" s="23">
        <f>ROUND(77*1,0)&amp;"%"</f>
      </c>
    </row>
    <row x14ac:dyDescent="0.25" r="38" customHeight="1" ht="17.25">
      <c r="A38" s="24" t="s">
        <v>91</v>
      </c>
      <c r="B38" s="24"/>
      <c r="C38" s="24"/>
      <c r="D38" s="24"/>
      <c r="E38" s="25">
        <v>8</v>
      </c>
      <c r="F38" s="9"/>
      <c r="G38" s="9"/>
      <c r="H38" s="10"/>
      <c r="I38" s="9"/>
      <c r="J38" s="9"/>
    </row>
    <row x14ac:dyDescent="0.25" r="39" customHeight="1" ht="17.25">
      <c r="A39" s="7"/>
      <c r="B39" s="7"/>
      <c r="C39" s="7"/>
      <c r="D39" s="7"/>
      <c r="E39" s="8"/>
      <c r="F39" s="9"/>
      <c r="G39" s="9"/>
      <c r="H39" s="10"/>
      <c r="I39" s="9"/>
      <c r="J39" s="9"/>
    </row>
    <row x14ac:dyDescent="0.25" r="40" customHeight="1" ht="17.25">
      <c r="A40" s="11" t="s">
        <v>13347</v>
      </c>
      <c r="B40" s="11"/>
      <c r="C40" s="11"/>
      <c r="D40" s="11"/>
      <c r="E40" s="12"/>
      <c r="F40" s="11"/>
      <c r="G40" s="11"/>
      <c r="H40" s="13"/>
      <c r="I40" s="11"/>
      <c r="J40" s="11"/>
    </row>
    <row x14ac:dyDescent="0.25" r="41" customHeight="1" ht="17.25">
      <c r="A41" s="14" t="s">
        <v>3</v>
      </c>
      <c r="B41" s="14" t="s">
        <v>4</v>
      </c>
      <c r="C41" s="14" t="s">
        <v>5</v>
      </c>
      <c r="D41" s="14" t="s">
        <v>6</v>
      </c>
      <c r="E41" s="15" t="s">
        <v>7</v>
      </c>
      <c r="F41" s="14" t="s">
        <v>8</v>
      </c>
      <c r="G41" s="14" t="s">
        <v>9</v>
      </c>
      <c r="H41" s="16" t="s">
        <v>10</v>
      </c>
      <c r="I41" s="14" t="s">
        <v>11</v>
      </c>
      <c r="J41" s="14" t="s">
        <v>12</v>
      </c>
    </row>
    <row x14ac:dyDescent="0.25" r="42" customHeight="1" ht="17.25">
      <c r="A42" s="17" t="s">
        <v>13348</v>
      </c>
      <c r="B42" s="17" t="s">
        <v>94</v>
      </c>
      <c r="C42" s="17" t="s">
        <v>95</v>
      </c>
      <c r="D42" s="17" t="s">
        <v>16</v>
      </c>
      <c r="E42" s="18">
        <f>ROUND(7179*1.05,2)</f>
      </c>
      <c r="F42" s="17" t="s">
        <v>17</v>
      </c>
      <c r="G42" s="17" t="s">
        <v>18</v>
      </c>
      <c r="H42" s="18">
        <f>ROUND(RAND()*4+6,1)</f>
      </c>
      <c r="I42" s="17" t="s">
        <v>19</v>
      </c>
      <c r="J42" s="19">
        <f>ROUND(100*1,0)&amp;"%"</f>
      </c>
    </row>
    <row x14ac:dyDescent="0.25" r="43" customHeight="1" ht="17.25">
      <c r="A43" s="20" t="s">
        <v>13349</v>
      </c>
      <c r="B43" s="20" t="s">
        <v>97</v>
      </c>
      <c r="C43" s="20" t="s">
        <v>95</v>
      </c>
      <c r="D43" s="20" t="s">
        <v>22</v>
      </c>
      <c r="E43" s="21">
        <f>ROUND(13777*1.05,2)</f>
      </c>
      <c r="F43" s="20" t="s">
        <v>23</v>
      </c>
      <c r="G43" s="20" t="s">
        <v>24</v>
      </c>
      <c r="H43" s="22">
        <f>ROUND(RAND()*4+6,1)</f>
      </c>
      <c r="I43" s="20" t="s">
        <v>25</v>
      </c>
      <c r="J43" s="23">
        <f>ROUND(64*1,0)&amp;"%"</f>
      </c>
    </row>
    <row x14ac:dyDescent="0.25" r="44" customHeight="1" ht="17.25">
      <c r="A44" s="17" t="s">
        <v>13350</v>
      </c>
      <c r="B44" s="17" t="s">
        <v>99</v>
      </c>
      <c r="C44" s="17" t="s">
        <v>95</v>
      </c>
      <c r="D44" s="17" t="s">
        <v>28</v>
      </c>
      <c r="E44" s="18">
        <f>ROUND(10328*1.05,2)</f>
      </c>
      <c r="F44" s="17" t="s">
        <v>29</v>
      </c>
      <c r="G44" s="17" t="s">
        <v>30</v>
      </c>
      <c r="H44" s="18">
        <f>ROUND(RAND()*4+6,1)</f>
      </c>
      <c r="I44" s="17" t="s">
        <v>31</v>
      </c>
      <c r="J44" s="19">
        <f>ROUND(86*1,0)&amp;"%"</f>
      </c>
    </row>
    <row x14ac:dyDescent="0.25" r="45" customHeight="1" ht="17.25">
      <c r="A45" s="20" t="s">
        <v>13351</v>
      </c>
      <c r="B45" s="20" t="s">
        <v>101</v>
      </c>
      <c r="C45" s="20" t="s">
        <v>95</v>
      </c>
      <c r="D45" s="20" t="s">
        <v>34</v>
      </c>
      <c r="E45" s="21">
        <f>ROUND(11096*1.05,2)</f>
      </c>
      <c r="F45" s="20" t="s">
        <v>35</v>
      </c>
      <c r="G45" s="20" t="s">
        <v>18</v>
      </c>
      <c r="H45" s="21">
        <f>ROUND(RAND()*4+6,1)</f>
      </c>
      <c r="I45" s="20" t="s">
        <v>36</v>
      </c>
      <c r="J45" s="23">
        <f>ROUND(64*1,0)&amp;"%"</f>
      </c>
    </row>
    <row x14ac:dyDescent="0.25" r="46" customHeight="1" ht="17.25">
      <c r="A46" s="17" t="s">
        <v>13352</v>
      </c>
      <c r="B46" s="17" t="s">
        <v>103</v>
      </c>
      <c r="C46" s="17" t="s">
        <v>95</v>
      </c>
      <c r="D46" s="17" t="s">
        <v>39</v>
      </c>
      <c r="E46" s="18">
        <f>ROUND(16439*1.05,2)</f>
      </c>
      <c r="F46" s="17" t="s">
        <v>40</v>
      </c>
      <c r="G46" s="17" t="s">
        <v>24</v>
      </c>
      <c r="H46" s="18">
        <f>ROUND(RAND()*4+6,1)</f>
      </c>
      <c r="I46" s="17" t="s">
        <v>41</v>
      </c>
      <c r="J46" s="19">
        <f>ROUND(69*1,0)&amp;"%"</f>
      </c>
    </row>
    <row x14ac:dyDescent="0.25" r="47" customHeight="1" ht="17.25">
      <c r="A47" s="20" t="s">
        <v>13353</v>
      </c>
      <c r="B47" s="20" t="s">
        <v>105</v>
      </c>
      <c r="C47" s="20" t="s">
        <v>95</v>
      </c>
      <c r="D47" s="20" t="s">
        <v>67</v>
      </c>
      <c r="E47" s="21">
        <f>ROUND(13783*1.05,2)</f>
      </c>
      <c r="F47" s="20" t="s">
        <v>44</v>
      </c>
      <c r="G47" s="20" t="s">
        <v>30</v>
      </c>
      <c r="H47" s="21">
        <f>ROUND(RAND()*4+6,1)</f>
      </c>
      <c r="I47" s="20" t="s">
        <v>45</v>
      </c>
      <c r="J47" s="23">
        <f>ROUND(80*1,0)&amp;"%"</f>
      </c>
    </row>
    <row x14ac:dyDescent="0.25" r="48" customHeight="1" ht="17.25">
      <c r="A48" s="17" t="s">
        <v>13354</v>
      </c>
      <c r="B48" s="17" t="s">
        <v>107</v>
      </c>
      <c r="C48" s="17" t="s">
        <v>95</v>
      </c>
      <c r="D48" s="17" t="s">
        <v>16</v>
      </c>
      <c r="E48" s="18">
        <f>ROUND(15263*1.05,2)</f>
      </c>
      <c r="F48" s="17" t="s">
        <v>48</v>
      </c>
      <c r="G48" s="17" t="s">
        <v>18</v>
      </c>
      <c r="H48" s="18">
        <f>ROUND(RAND()*4+6,1)</f>
      </c>
      <c r="I48" s="17" t="s">
        <v>19</v>
      </c>
      <c r="J48" s="19">
        <f>ROUND(64*1,0)&amp;"%"</f>
      </c>
    </row>
    <row x14ac:dyDescent="0.25" r="49" customHeight="1" ht="17.25">
      <c r="A49" s="20" t="s">
        <v>13355</v>
      </c>
      <c r="B49" s="20" t="s">
        <v>109</v>
      </c>
      <c r="C49" s="20" t="s">
        <v>95</v>
      </c>
      <c r="D49" s="20" t="s">
        <v>22</v>
      </c>
      <c r="E49" s="21">
        <f>ROUND(12788*1.05,2)</f>
      </c>
      <c r="F49" s="20" t="s">
        <v>51</v>
      </c>
      <c r="G49" s="20" t="s">
        <v>24</v>
      </c>
      <c r="H49" s="21">
        <f>ROUND(RAND()*4+6,1)</f>
      </c>
      <c r="I49" s="20" t="s">
        <v>25</v>
      </c>
      <c r="J49" s="23">
        <f>ROUND(78*1,0)&amp;"%"</f>
      </c>
    </row>
    <row x14ac:dyDescent="0.25" r="50" customHeight="1" ht="17.25">
      <c r="A50" s="24" t="s">
        <v>110</v>
      </c>
      <c r="B50" s="24"/>
      <c r="C50" s="24"/>
      <c r="D50" s="24"/>
      <c r="E50" s="25">
        <v>8</v>
      </c>
      <c r="F50" s="9"/>
      <c r="G50" s="9"/>
      <c r="H50" s="10"/>
      <c r="I50" s="9"/>
      <c r="J50" s="9"/>
    </row>
    <row x14ac:dyDescent="0.25" r="51" customHeight="1" ht="17.25">
      <c r="A51" s="7"/>
      <c r="B51" s="7"/>
      <c r="C51" s="7"/>
      <c r="D51" s="7"/>
      <c r="E51" s="8"/>
      <c r="F51" s="9"/>
      <c r="G51" s="9"/>
      <c r="H51" s="10"/>
      <c r="I51" s="9"/>
      <c r="J51" s="9"/>
    </row>
    <row x14ac:dyDescent="0.25" r="52" customHeight="1" ht="17.25">
      <c r="A52" s="11" t="s">
        <v>13356</v>
      </c>
      <c r="B52" s="11"/>
      <c r="C52" s="11"/>
      <c r="D52" s="11"/>
      <c r="E52" s="12"/>
      <c r="F52" s="11"/>
      <c r="G52" s="11"/>
      <c r="H52" s="13"/>
      <c r="I52" s="11"/>
      <c r="J52" s="11"/>
    </row>
    <row x14ac:dyDescent="0.25" r="53" customHeight="1" ht="17.25">
      <c r="A53" s="14" t="s">
        <v>3</v>
      </c>
      <c r="B53" s="14" t="s">
        <v>4</v>
      </c>
      <c r="C53" s="14" t="s">
        <v>5</v>
      </c>
      <c r="D53" s="14" t="s">
        <v>6</v>
      </c>
      <c r="E53" s="15" t="s">
        <v>7</v>
      </c>
      <c r="F53" s="14" t="s">
        <v>8</v>
      </c>
      <c r="G53" s="14" t="s">
        <v>9</v>
      </c>
      <c r="H53" s="16" t="s">
        <v>10</v>
      </c>
      <c r="I53" s="14" t="s">
        <v>11</v>
      </c>
      <c r="J53" s="14" t="s">
        <v>12</v>
      </c>
    </row>
    <row x14ac:dyDescent="0.25" r="54" customHeight="1" ht="17.25">
      <c r="A54" s="17" t="s">
        <v>13357</v>
      </c>
      <c r="B54" s="17" t="s">
        <v>113</v>
      </c>
      <c r="C54" s="17" t="s">
        <v>114</v>
      </c>
      <c r="D54" s="17" t="s">
        <v>16</v>
      </c>
      <c r="E54" s="18">
        <f>ROUND(8145*1.05,2)</f>
      </c>
      <c r="F54" s="17" t="s">
        <v>17</v>
      </c>
      <c r="G54" s="17" t="s">
        <v>18</v>
      </c>
      <c r="H54" s="18">
        <f>ROUND(RAND()*4+6,1)</f>
      </c>
      <c r="I54" s="17" t="s">
        <v>19</v>
      </c>
      <c r="J54" s="19">
        <f>ROUND(77*1,0)&amp;"%"</f>
      </c>
    </row>
    <row x14ac:dyDescent="0.25" r="55" customHeight="1" ht="17.25">
      <c r="A55" s="20" t="s">
        <v>13358</v>
      </c>
      <c r="B55" s="20" t="s">
        <v>116</v>
      </c>
      <c r="C55" s="20" t="s">
        <v>114</v>
      </c>
      <c r="D55" s="20" t="s">
        <v>22</v>
      </c>
      <c r="E55" s="21">
        <f>ROUND(8709*1.05,2)</f>
      </c>
      <c r="F55" s="20" t="s">
        <v>23</v>
      </c>
      <c r="G55" s="20" t="s">
        <v>24</v>
      </c>
      <c r="H55" s="21">
        <f>ROUND(RAND()*4+6,1)</f>
      </c>
      <c r="I55" s="20" t="s">
        <v>25</v>
      </c>
      <c r="J55" s="23">
        <f>ROUND(70*1,0)&amp;"%"</f>
      </c>
    </row>
    <row x14ac:dyDescent="0.25" r="56" customHeight="1" ht="17.25">
      <c r="A56" s="17" t="s">
        <v>13359</v>
      </c>
      <c r="B56" s="17" t="s">
        <v>118</v>
      </c>
      <c r="C56" s="17" t="s">
        <v>114</v>
      </c>
      <c r="D56" s="17" t="s">
        <v>28</v>
      </c>
      <c r="E56" s="18">
        <f>ROUND(16502*1.05,2)</f>
      </c>
      <c r="F56" s="17" t="s">
        <v>29</v>
      </c>
      <c r="G56" s="17" t="s">
        <v>30</v>
      </c>
      <c r="H56" s="18">
        <f>ROUND(RAND()*4+6,1)</f>
      </c>
      <c r="I56" s="17" t="s">
        <v>31</v>
      </c>
      <c r="J56" s="19">
        <f>ROUND(98*1,0)&amp;"%"</f>
      </c>
    </row>
    <row x14ac:dyDescent="0.25" r="57" customHeight="1" ht="17.25">
      <c r="A57" s="20" t="s">
        <v>13360</v>
      </c>
      <c r="B57" s="20" t="s">
        <v>120</v>
      </c>
      <c r="C57" s="20" t="s">
        <v>114</v>
      </c>
      <c r="D57" s="20" t="s">
        <v>34</v>
      </c>
      <c r="E57" s="21">
        <f>ROUND(4564*1.05,2)</f>
      </c>
      <c r="F57" s="20" t="s">
        <v>35</v>
      </c>
      <c r="G57" s="20" t="s">
        <v>18</v>
      </c>
      <c r="H57" s="21">
        <f>ROUND(RAND()*4+6,1)</f>
      </c>
      <c r="I57" s="20" t="s">
        <v>36</v>
      </c>
      <c r="J57" s="23">
        <f>ROUND(99*1,0)&amp;"%"</f>
      </c>
    </row>
    <row x14ac:dyDescent="0.25" r="58" customHeight="1" ht="17.25">
      <c r="A58" s="17" t="s">
        <v>13361</v>
      </c>
      <c r="B58" s="17" t="s">
        <v>122</v>
      </c>
      <c r="C58" s="17" t="s">
        <v>114</v>
      </c>
      <c r="D58" s="17" t="s">
        <v>39</v>
      </c>
      <c r="E58" s="18">
        <f>ROUND(17531*1.05,2)</f>
      </c>
      <c r="F58" s="17" t="s">
        <v>40</v>
      </c>
      <c r="G58" s="17" t="s">
        <v>24</v>
      </c>
      <c r="H58" s="18">
        <f>ROUND(RAND()*4+6,1)</f>
      </c>
      <c r="I58" s="17" t="s">
        <v>41</v>
      </c>
      <c r="J58" s="19">
        <f>ROUND(73*1,0)&amp;"%"</f>
      </c>
    </row>
    <row x14ac:dyDescent="0.25" r="59" customHeight="1" ht="17.25">
      <c r="A59" s="20" t="s">
        <v>13362</v>
      </c>
      <c r="B59" s="20" t="s">
        <v>124</v>
      </c>
      <c r="C59" s="20" t="s">
        <v>114</v>
      </c>
      <c r="D59" s="20" t="s">
        <v>67</v>
      </c>
      <c r="E59" s="21">
        <f>ROUND(9744*1.05,2)</f>
      </c>
      <c r="F59" s="20" t="s">
        <v>44</v>
      </c>
      <c r="G59" s="20" t="s">
        <v>30</v>
      </c>
      <c r="H59" s="21">
        <f>ROUND(RAND()*4+6,1)</f>
      </c>
      <c r="I59" s="20" t="s">
        <v>45</v>
      </c>
      <c r="J59" s="23">
        <f>ROUND(72*1,0)&amp;"%"</f>
      </c>
    </row>
    <row x14ac:dyDescent="0.25" r="60" customHeight="1" ht="17.25">
      <c r="A60" s="17" t="s">
        <v>13363</v>
      </c>
      <c r="B60" s="17" t="s">
        <v>126</v>
      </c>
      <c r="C60" s="17" t="s">
        <v>114</v>
      </c>
      <c r="D60" s="17" t="s">
        <v>16</v>
      </c>
      <c r="E60" s="18">
        <f>ROUND(17499*1.05,2)</f>
      </c>
      <c r="F60" s="17" t="s">
        <v>48</v>
      </c>
      <c r="G60" s="17" t="s">
        <v>18</v>
      </c>
      <c r="H60" s="18">
        <f>ROUND(RAND()*4+6,1)</f>
      </c>
      <c r="I60" s="17" t="s">
        <v>19</v>
      </c>
      <c r="J60" s="19">
        <f>ROUND(61*1,0)&amp;"%"</f>
      </c>
    </row>
    <row x14ac:dyDescent="0.25" r="61" customHeight="1" ht="17.25">
      <c r="A61" s="20" t="s">
        <v>13364</v>
      </c>
      <c r="B61" s="20" t="s">
        <v>128</v>
      </c>
      <c r="C61" s="20" t="s">
        <v>114</v>
      </c>
      <c r="D61" s="20" t="s">
        <v>22</v>
      </c>
      <c r="E61" s="21">
        <f>ROUND(17783*1.05,2)</f>
      </c>
      <c r="F61" s="20" t="s">
        <v>51</v>
      </c>
      <c r="G61" s="20" t="s">
        <v>24</v>
      </c>
      <c r="H61" s="21">
        <f>ROUND(RAND()*4+6,1)</f>
      </c>
      <c r="I61" s="20" t="s">
        <v>25</v>
      </c>
      <c r="J61" s="23">
        <f>ROUND(88*1,0)&amp;"%"</f>
      </c>
    </row>
    <row x14ac:dyDescent="0.25" r="62" customHeight="1" ht="17.25">
      <c r="A62" s="24" t="s">
        <v>129</v>
      </c>
      <c r="B62" s="24"/>
      <c r="C62" s="24"/>
      <c r="D62" s="24"/>
      <c r="E62" s="25">
        <v>8</v>
      </c>
      <c r="F62" s="9"/>
      <c r="G62" s="9"/>
      <c r="H62" s="10"/>
      <c r="I62" s="9"/>
      <c r="J62" s="9"/>
    </row>
    <row x14ac:dyDescent="0.25" r="63" customHeight="1" ht="17.25">
      <c r="A63" s="7"/>
      <c r="B63" s="7"/>
      <c r="C63" s="7"/>
      <c r="D63" s="7"/>
      <c r="E63" s="8"/>
      <c r="F63" s="9"/>
      <c r="G63" s="9"/>
      <c r="H63" s="10"/>
      <c r="I63" s="9"/>
      <c r="J63" s="9"/>
    </row>
    <row x14ac:dyDescent="0.25" r="64" customHeight="1" ht="17.25">
      <c r="A64" s="11" t="s">
        <v>13365</v>
      </c>
      <c r="B64" s="11"/>
      <c r="C64" s="11"/>
      <c r="D64" s="11"/>
      <c r="E64" s="12"/>
      <c r="F64" s="11"/>
      <c r="G64" s="11"/>
      <c r="H64" s="13"/>
      <c r="I64" s="11"/>
      <c r="J64" s="11"/>
    </row>
    <row x14ac:dyDescent="0.25" r="65" customHeight="1" ht="17.25">
      <c r="A65" s="14" t="s">
        <v>3</v>
      </c>
      <c r="B65" s="14" t="s">
        <v>4</v>
      </c>
      <c r="C65" s="14" t="s">
        <v>5</v>
      </c>
      <c r="D65" s="14" t="s">
        <v>6</v>
      </c>
      <c r="E65" s="15" t="s">
        <v>7</v>
      </c>
      <c r="F65" s="14" t="s">
        <v>8</v>
      </c>
      <c r="G65" s="14" t="s">
        <v>9</v>
      </c>
      <c r="H65" s="16" t="s">
        <v>10</v>
      </c>
      <c r="I65" s="14" t="s">
        <v>11</v>
      </c>
      <c r="J65" s="14" t="s">
        <v>12</v>
      </c>
    </row>
    <row x14ac:dyDescent="0.25" r="66" customHeight="1" ht="17.25">
      <c r="A66" s="17" t="s">
        <v>13366</v>
      </c>
      <c r="B66" s="17" t="s">
        <v>132</v>
      </c>
      <c r="C66" s="17" t="s">
        <v>133</v>
      </c>
      <c r="D66" s="17" t="s">
        <v>16</v>
      </c>
      <c r="E66" s="18">
        <f>ROUND(10011*1.05,2)</f>
      </c>
      <c r="F66" s="17" t="s">
        <v>17</v>
      </c>
      <c r="G66" s="17" t="s">
        <v>18</v>
      </c>
      <c r="H66" s="18">
        <f>ROUND(RAND()*4+6,1)</f>
      </c>
      <c r="I66" s="17" t="s">
        <v>19</v>
      </c>
      <c r="J66" s="19">
        <f>ROUND(71*1,0)&amp;"%"</f>
      </c>
    </row>
    <row x14ac:dyDescent="0.25" r="67" customHeight="1" ht="17.25">
      <c r="A67" s="20" t="s">
        <v>13367</v>
      </c>
      <c r="B67" s="20" t="s">
        <v>135</v>
      </c>
      <c r="C67" s="20" t="s">
        <v>133</v>
      </c>
      <c r="D67" s="20" t="s">
        <v>22</v>
      </c>
      <c r="E67" s="21">
        <f>ROUND(5521*1.05,2)</f>
      </c>
      <c r="F67" s="20" t="s">
        <v>23</v>
      </c>
      <c r="G67" s="20" t="s">
        <v>24</v>
      </c>
      <c r="H67" s="21">
        <f>ROUND(RAND()*4+6,1)</f>
      </c>
      <c r="I67" s="20" t="s">
        <v>25</v>
      </c>
      <c r="J67" s="23">
        <f>ROUND(68*1,0)&amp;"%"</f>
      </c>
    </row>
    <row x14ac:dyDescent="0.25" r="68" customHeight="1" ht="17.25">
      <c r="A68" s="17" t="s">
        <v>13368</v>
      </c>
      <c r="B68" s="17" t="s">
        <v>137</v>
      </c>
      <c r="C68" s="17" t="s">
        <v>133</v>
      </c>
      <c r="D68" s="17" t="s">
        <v>28</v>
      </c>
      <c r="E68" s="18">
        <f>ROUND(12917*1.05,2)</f>
      </c>
      <c r="F68" s="17" t="s">
        <v>29</v>
      </c>
      <c r="G68" s="17" t="s">
        <v>30</v>
      </c>
      <c r="H68" s="18">
        <f>ROUND(RAND()*4+6,1)</f>
      </c>
      <c r="I68" s="17" t="s">
        <v>31</v>
      </c>
      <c r="J68" s="19">
        <f>ROUND(93*1,0)&amp;"%"</f>
      </c>
    </row>
    <row x14ac:dyDescent="0.25" r="69" customHeight="1" ht="17.25">
      <c r="A69" s="20" t="s">
        <v>13369</v>
      </c>
      <c r="B69" s="20" t="s">
        <v>139</v>
      </c>
      <c r="C69" s="20" t="s">
        <v>133</v>
      </c>
      <c r="D69" s="20" t="s">
        <v>34</v>
      </c>
      <c r="E69" s="21">
        <f>ROUND(4169*1.05,2)</f>
      </c>
      <c r="F69" s="20" t="s">
        <v>35</v>
      </c>
      <c r="G69" s="20" t="s">
        <v>18</v>
      </c>
      <c r="H69" s="21">
        <f>ROUND(RAND()*4+6,1)</f>
      </c>
      <c r="I69" s="20" t="s">
        <v>36</v>
      </c>
      <c r="J69" s="23">
        <f>ROUND(64*1,0)&amp;"%"</f>
      </c>
    </row>
    <row x14ac:dyDescent="0.25" r="70" customHeight="1" ht="17.25">
      <c r="A70" s="17" t="s">
        <v>13370</v>
      </c>
      <c r="B70" s="17" t="s">
        <v>141</v>
      </c>
      <c r="C70" s="17" t="s">
        <v>133</v>
      </c>
      <c r="D70" s="17" t="s">
        <v>39</v>
      </c>
      <c r="E70" s="18">
        <f>ROUND(13927*1.05,2)</f>
      </c>
      <c r="F70" s="17" t="s">
        <v>40</v>
      </c>
      <c r="G70" s="17" t="s">
        <v>24</v>
      </c>
      <c r="H70" s="18">
        <f>ROUND(RAND()*4+6,1)</f>
      </c>
      <c r="I70" s="17" t="s">
        <v>41</v>
      </c>
      <c r="J70" s="19">
        <f>ROUND(66*1,0)&amp;"%"</f>
      </c>
    </row>
    <row x14ac:dyDescent="0.25" r="71" customHeight="1" ht="17.25">
      <c r="A71" s="20" t="s">
        <v>13371</v>
      </c>
      <c r="B71" s="20" t="s">
        <v>143</v>
      </c>
      <c r="C71" s="20" t="s">
        <v>133</v>
      </c>
      <c r="D71" s="20" t="s">
        <v>67</v>
      </c>
      <c r="E71" s="21">
        <f>ROUND(7270*1.05,2)</f>
      </c>
      <c r="F71" s="20" t="s">
        <v>44</v>
      </c>
      <c r="G71" s="20" t="s">
        <v>30</v>
      </c>
      <c r="H71" s="21">
        <f>ROUND(RAND()*4+6,1)</f>
      </c>
      <c r="I71" s="20" t="s">
        <v>45</v>
      </c>
      <c r="J71" s="23">
        <f>ROUND(100*1,0)&amp;"%"</f>
      </c>
    </row>
    <row x14ac:dyDescent="0.25" r="72" customHeight="1" ht="17.25">
      <c r="A72" s="17" t="s">
        <v>13372</v>
      </c>
      <c r="B72" s="17" t="s">
        <v>145</v>
      </c>
      <c r="C72" s="17" t="s">
        <v>133</v>
      </c>
      <c r="D72" s="17" t="s">
        <v>16</v>
      </c>
      <c r="E72" s="18">
        <f>ROUND(12415*1.05,2)</f>
      </c>
      <c r="F72" s="17" t="s">
        <v>48</v>
      </c>
      <c r="G72" s="17" t="s">
        <v>18</v>
      </c>
      <c r="H72" s="18">
        <f>ROUND(RAND()*4+6,1)</f>
      </c>
      <c r="I72" s="17" t="s">
        <v>19</v>
      </c>
      <c r="J72" s="19">
        <f>ROUND(80*1,0)&amp;"%"</f>
      </c>
    </row>
    <row x14ac:dyDescent="0.25" r="73" customHeight="1" ht="17.25">
      <c r="A73" s="20" t="s">
        <v>13373</v>
      </c>
      <c r="B73" s="20" t="s">
        <v>147</v>
      </c>
      <c r="C73" s="20" t="s">
        <v>133</v>
      </c>
      <c r="D73" s="20" t="s">
        <v>22</v>
      </c>
      <c r="E73" s="21">
        <f>ROUND(11908*1.05,2)</f>
      </c>
      <c r="F73" s="20" t="s">
        <v>51</v>
      </c>
      <c r="G73" s="20" t="s">
        <v>24</v>
      </c>
      <c r="H73" s="21">
        <f>ROUND(RAND()*4+6,1)</f>
      </c>
      <c r="I73" s="20" t="s">
        <v>25</v>
      </c>
      <c r="J73" s="23">
        <f>ROUND(77*1,0)&amp;"%"</f>
      </c>
    </row>
    <row x14ac:dyDescent="0.25" r="74" customHeight="1" ht="17.25">
      <c r="A74" s="24" t="s">
        <v>148</v>
      </c>
      <c r="B74" s="24"/>
      <c r="C74" s="24"/>
      <c r="D74" s="24"/>
      <c r="E74" s="25">
        <v>8</v>
      </c>
      <c r="F74" s="9"/>
      <c r="G74" s="9"/>
      <c r="H74" s="10"/>
      <c r="I74" s="9"/>
      <c r="J74" s="9"/>
    </row>
    <row x14ac:dyDescent="0.25" r="75" customHeight="1" ht="17.25">
      <c r="A75" s="7"/>
      <c r="B75" s="7"/>
      <c r="C75" s="7"/>
      <c r="D75" s="7"/>
      <c r="E75" s="8"/>
      <c r="F75" s="9"/>
      <c r="G75" s="9"/>
      <c r="H75" s="10"/>
      <c r="I75" s="9"/>
      <c r="J75" s="9"/>
    </row>
    <row x14ac:dyDescent="0.25" r="76" customHeight="1" ht="17.25">
      <c r="A76" s="11" t="s">
        <v>13374</v>
      </c>
      <c r="B76" s="11"/>
      <c r="C76" s="11"/>
      <c r="D76" s="11"/>
      <c r="E76" s="12"/>
      <c r="F76" s="11"/>
      <c r="G76" s="11"/>
      <c r="H76" s="13"/>
      <c r="I76" s="11"/>
      <c r="J76" s="11"/>
    </row>
    <row x14ac:dyDescent="0.25" r="77" customHeight="1" ht="17.25">
      <c r="A77" s="14" t="s">
        <v>3</v>
      </c>
      <c r="B77" s="14" t="s">
        <v>4</v>
      </c>
      <c r="C77" s="14" t="s">
        <v>5</v>
      </c>
      <c r="D77" s="14" t="s">
        <v>6</v>
      </c>
      <c r="E77" s="15" t="s">
        <v>7</v>
      </c>
      <c r="F77" s="14" t="s">
        <v>8</v>
      </c>
      <c r="G77" s="14" t="s">
        <v>9</v>
      </c>
      <c r="H77" s="16" t="s">
        <v>10</v>
      </c>
      <c r="I77" s="14" t="s">
        <v>11</v>
      </c>
      <c r="J77" s="14" t="s">
        <v>12</v>
      </c>
    </row>
    <row x14ac:dyDescent="0.25" r="78" customHeight="1" ht="17.25">
      <c r="A78" s="17" t="s">
        <v>13375</v>
      </c>
      <c r="B78" s="17" t="s">
        <v>151</v>
      </c>
      <c r="C78" s="17" t="s">
        <v>152</v>
      </c>
      <c r="D78" s="17" t="s">
        <v>16</v>
      </c>
      <c r="E78" s="18">
        <f>ROUND(12781*1.05,2)</f>
      </c>
      <c r="F78" s="17" t="s">
        <v>17</v>
      </c>
      <c r="G78" s="17" t="s">
        <v>18</v>
      </c>
      <c r="H78" s="18">
        <f>ROUND(RAND()*4+6,1)</f>
      </c>
      <c r="I78" s="17" t="s">
        <v>19</v>
      </c>
      <c r="J78" s="19">
        <f>ROUND(70*1,0)&amp;"%"</f>
      </c>
    </row>
    <row x14ac:dyDescent="0.25" r="79" customHeight="1" ht="17.25">
      <c r="A79" s="20" t="s">
        <v>13376</v>
      </c>
      <c r="B79" s="20" t="s">
        <v>154</v>
      </c>
      <c r="C79" s="20" t="s">
        <v>152</v>
      </c>
      <c r="D79" s="20" t="s">
        <v>22</v>
      </c>
      <c r="E79" s="21">
        <f>ROUND(15475*1.05,2)</f>
      </c>
      <c r="F79" s="20" t="s">
        <v>23</v>
      </c>
      <c r="G79" s="20" t="s">
        <v>24</v>
      </c>
      <c r="H79" s="21">
        <f>ROUND(RAND()*4+6,1)</f>
      </c>
      <c r="I79" s="20" t="s">
        <v>25</v>
      </c>
      <c r="J79" s="23">
        <f>ROUND(79*1,0)&amp;"%"</f>
      </c>
    </row>
    <row x14ac:dyDescent="0.25" r="80" customHeight="1" ht="17.25">
      <c r="A80" s="17" t="s">
        <v>13377</v>
      </c>
      <c r="B80" s="17" t="s">
        <v>156</v>
      </c>
      <c r="C80" s="17" t="s">
        <v>152</v>
      </c>
      <c r="D80" s="17" t="s">
        <v>28</v>
      </c>
      <c r="E80" s="18">
        <f>ROUND(10101*1.05,2)</f>
      </c>
      <c r="F80" s="17" t="s">
        <v>29</v>
      </c>
      <c r="G80" s="17" t="s">
        <v>30</v>
      </c>
      <c r="H80" s="18">
        <f>ROUND(RAND()*4+6,1)</f>
      </c>
      <c r="I80" s="17" t="s">
        <v>31</v>
      </c>
      <c r="J80" s="19">
        <f>ROUND(70*1,0)&amp;"%"</f>
      </c>
    </row>
    <row x14ac:dyDescent="0.25" r="81" customHeight="1" ht="17.25">
      <c r="A81" s="20" t="s">
        <v>13378</v>
      </c>
      <c r="B81" s="20" t="s">
        <v>158</v>
      </c>
      <c r="C81" s="20" t="s">
        <v>152</v>
      </c>
      <c r="D81" s="20" t="s">
        <v>34</v>
      </c>
      <c r="E81" s="22">
        <f>ROUND(9720*1.05,2)</f>
      </c>
      <c r="F81" s="20" t="s">
        <v>35</v>
      </c>
      <c r="G81" s="20" t="s">
        <v>18</v>
      </c>
      <c r="H81" s="21">
        <f>ROUND(RAND()*4+6,1)</f>
      </c>
      <c r="I81" s="20" t="s">
        <v>36</v>
      </c>
      <c r="J81" s="23">
        <f>ROUND(100*1,0)&amp;"%"</f>
      </c>
    </row>
    <row x14ac:dyDescent="0.25" r="82" customHeight="1" ht="17.25">
      <c r="A82" s="17" t="s">
        <v>13379</v>
      </c>
      <c r="B82" s="17" t="s">
        <v>160</v>
      </c>
      <c r="C82" s="17" t="s">
        <v>152</v>
      </c>
      <c r="D82" s="17" t="s">
        <v>39</v>
      </c>
      <c r="E82" s="18">
        <f>ROUND(10811*1.05,2)</f>
      </c>
      <c r="F82" s="17" t="s">
        <v>40</v>
      </c>
      <c r="G82" s="17" t="s">
        <v>24</v>
      </c>
      <c r="H82" s="26">
        <f>ROUND(RAND()*4+6,1)</f>
      </c>
      <c r="I82" s="17" t="s">
        <v>41</v>
      </c>
      <c r="J82" s="19">
        <f>ROUND(90*1,0)&amp;"%"</f>
      </c>
    </row>
    <row x14ac:dyDescent="0.25" r="83" customHeight="1" ht="17.25">
      <c r="A83" s="20" t="s">
        <v>13380</v>
      </c>
      <c r="B83" s="20" t="s">
        <v>162</v>
      </c>
      <c r="C83" s="20" t="s">
        <v>152</v>
      </c>
      <c r="D83" s="20" t="s">
        <v>67</v>
      </c>
      <c r="E83" s="21">
        <f>ROUND(11162*1.05,2)</f>
      </c>
      <c r="F83" s="20" t="s">
        <v>44</v>
      </c>
      <c r="G83" s="20" t="s">
        <v>30</v>
      </c>
      <c r="H83" s="21">
        <f>ROUND(RAND()*4+6,1)</f>
      </c>
      <c r="I83" s="20" t="s">
        <v>45</v>
      </c>
      <c r="J83" s="23">
        <f>ROUND(86*1,0)&amp;"%"</f>
      </c>
    </row>
    <row x14ac:dyDescent="0.25" r="84" customHeight="1" ht="17.25">
      <c r="A84" s="17" t="s">
        <v>13381</v>
      </c>
      <c r="B84" s="17" t="s">
        <v>164</v>
      </c>
      <c r="C84" s="17" t="s">
        <v>152</v>
      </c>
      <c r="D84" s="17" t="s">
        <v>16</v>
      </c>
      <c r="E84" s="18">
        <f>ROUND(13193*1.05,2)</f>
      </c>
      <c r="F84" s="17" t="s">
        <v>48</v>
      </c>
      <c r="G84" s="17" t="s">
        <v>18</v>
      </c>
      <c r="H84" s="18">
        <f>ROUND(RAND()*4+6,1)</f>
      </c>
      <c r="I84" s="17" t="s">
        <v>19</v>
      </c>
      <c r="J84" s="19">
        <f>ROUND(60*1,0)&amp;"%"</f>
      </c>
    </row>
    <row x14ac:dyDescent="0.25" r="85" customHeight="1" ht="17.25">
      <c r="A85" s="20" t="s">
        <v>13382</v>
      </c>
      <c r="B85" s="20" t="s">
        <v>166</v>
      </c>
      <c r="C85" s="20" t="s">
        <v>152</v>
      </c>
      <c r="D85" s="20" t="s">
        <v>22</v>
      </c>
      <c r="E85" s="21">
        <f>ROUND(15616*1.05,2)</f>
      </c>
      <c r="F85" s="20" t="s">
        <v>51</v>
      </c>
      <c r="G85" s="20" t="s">
        <v>24</v>
      </c>
      <c r="H85" s="21">
        <f>ROUND(RAND()*4+6,1)</f>
      </c>
      <c r="I85" s="20" t="s">
        <v>25</v>
      </c>
      <c r="J85" s="23">
        <f>ROUND(66*1,0)&amp;"%"</f>
      </c>
    </row>
    <row x14ac:dyDescent="0.25" r="86" customHeight="1" ht="17.25">
      <c r="A86" s="24" t="s">
        <v>167</v>
      </c>
      <c r="B86" s="24"/>
      <c r="C86" s="24"/>
      <c r="D86" s="24"/>
      <c r="E86" s="25">
        <v>8</v>
      </c>
      <c r="F86" s="9"/>
      <c r="G86" s="9"/>
      <c r="H86" s="10"/>
      <c r="I86" s="9"/>
      <c r="J86" s="9"/>
    </row>
    <row x14ac:dyDescent="0.25" r="87" customHeight="1" ht="17.25">
      <c r="A87" s="7"/>
      <c r="B87" s="7"/>
      <c r="C87" s="7"/>
      <c r="D87" s="7"/>
      <c r="E87" s="8"/>
      <c r="F87" s="9"/>
      <c r="G87" s="9"/>
      <c r="H87" s="10"/>
      <c r="I87" s="9"/>
      <c r="J87" s="9"/>
    </row>
    <row x14ac:dyDescent="0.25" r="88" customHeight="1" ht="17.25">
      <c r="A88" s="11" t="s">
        <v>13383</v>
      </c>
      <c r="B88" s="11"/>
      <c r="C88" s="11"/>
      <c r="D88" s="11"/>
      <c r="E88" s="12"/>
      <c r="F88" s="11"/>
      <c r="G88" s="11"/>
      <c r="H88" s="13"/>
      <c r="I88" s="11"/>
      <c r="J88" s="11"/>
    </row>
    <row x14ac:dyDescent="0.25" r="89" customHeight="1" ht="17.25">
      <c r="A89" s="14" t="s">
        <v>3</v>
      </c>
      <c r="B89" s="14" t="s">
        <v>4</v>
      </c>
      <c r="C89" s="14" t="s">
        <v>5</v>
      </c>
      <c r="D89" s="14" t="s">
        <v>6</v>
      </c>
      <c r="E89" s="15" t="s">
        <v>7</v>
      </c>
      <c r="F89" s="14" t="s">
        <v>8</v>
      </c>
      <c r="G89" s="14" t="s">
        <v>9</v>
      </c>
      <c r="H89" s="16" t="s">
        <v>10</v>
      </c>
      <c r="I89" s="14" t="s">
        <v>11</v>
      </c>
      <c r="J89" s="14" t="s">
        <v>12</v>
      </c>
    </row>
    <row x14ac:dyDescent="0.25" r="90" customHeight="1" ht="17.25">
      <c r="A90" s="17" t="s">
        <v>13384</v>
      </c>
      <c r="B90" s="17" t="s">
        <v>170</v>
      </c>
      <c r="C90" s="17" t="s">
        <v>15</v>
      </c>
      <c r="D90" s="17" t="s">
        <v>16</v>
      </c>
      <c r="E90" s="18">
        <f>ROUND(11952*1.05,2)</f>
      </c>
      <c r="F90" s="17" t="s">
        <v>17</v>
      </c>
      <c r="G90" s="17" t="s">
        <v>18</v>
      </c>
      <c r="H90" s="18">
        <f>ROUND(RAND()*4+6,1)</f>
      </c>
      <c r="I90" s="17" t="s">
        <v>19</v>
      </c>
      <c r="J90" s="19">
        <f>ROUND(70*1,0)&amp;"%"</f>
      </c>
    </row>
    <row x14ac:dyDescent="0.25" r="91" customHeight="1" ht="17.25">
      <c r="A91" s="20" t="s">
        <v>13385</v>
      </c>
      <c r="B91" s="20" t="s">
        <v>172</v>
      </c>
      <c r="C91" s="20" t="s">
        <v>15</v>
      </c>
      <c r="D91" s="20" t="s">
        <v>22</v>
      </c>
      <c r="E91" s="21">
        <f>ROUND(11963*1.05,2)</f>
      </c>
      <c r="F91" s="20" t="s">
        <v>23</v>
      </c>
      <c r="G91" s="20" t="s">
        <v>24</v>
      </c>
      <c r="H91" s="21">
        <f>ROUND(RAND()*4+6,1)</f>
      </c>
      <c r="I91" s="20" t="s">
        <v>25</v>
      </c>
      <c r="J91" s="23">
        <f>ROUND(83*1,0)&amp;"%"</f>
      </c>
    </row>
    <row x14ac:dyDescent="0.25" r="92" customHeight="1" ht="17.25">
      <c r="A92" s="17" t="s">
        <v>13386</v>
      </c>
      <c r="B92" s="17" t="s">
        <v>174</v>
      </c>
      <c r="C92" s="17" t="s">
        <v>15</v>
      </c>
      <c r="D92" s="17" t="s">
        <v>28</v>
      </c>
      <c r="E92" s="18">
        <f>ROUND(8957*1.05,2)</f>
      </c>
      <c r="F92" s="17" t="s">
        <v>29</v>
      </c>
      <c r="G92" s="17" t="s">
        <v>30</v>
      </c>
      <c r="H92" s="18">
        <f>ROUND(RAND()*4+6,1)</f>
      </c>
      <c r="I92" s="17" t="s">
        <v>31</v>
      </c>
      <c r="J92" s="19">
        <f>ROUND(84*1,0)&amp;"%"</f>
      </c>
    </row>
    <row x14ac:dyDescent="0.25" r="93" customHeight="1" ht="17.25">
      <c r="A93" s="20" t="s">
        <v>13387</v>
      </c>
      <c r="B93" s="20" t="s">
        <v>176</v>
      </c>
      <c r="C93" s="20" t="s">
        <v>15</v>
      </c>
      <c r="D93" s="20" t="s">
        <v>34</v>
      </c>
      <c r="E93" s="21">
        <f>ROUND(9196*1.05,2)</f>
      </c>
      <c r="F93" s="20" t="s">
        <v>35</v>
      </c>
      <c r="G93" s="20" t="s">
        <v>18</v>
      </c>
      <c r="H93" s="21">
        <f>ROUND(RAND()*4+6,1)</f>
      </c>
      <c r="I93" s="20" t="s">
        <v>36</v>
      </c>
      <c r="J93" s="23">
        <f>ROUND(78*1,0)&amp;"%"</f>
      </c>
    </row>
    <row x14ac:dyDescent="0.25" r="94" customHeight="1" ht="17.25">
      <c r="A94" s="17" t="s">
        <v>13388</v>
      </c>
      <c r="B94" s="17" t="s">
        <v>178</v>
      </c>
      <c r="C94" s="17" t="s">
        <v>15</v>
      </c>
      <c r="D94" s="17" t="s">
        <v>39</v>
      </c>
      <c r="E94" s="26">
        <f>ROUND(9480*1.05,2)</f>
      </c>
      <c r="F94" s="17" t="s">
        <v>40</v>
      </c>
      <c r="G94" s="17" t="s">
        <v>24</v>
      </c>
      <c r="H94" s="18">
        <f>ROUND(RAND()*4+6,1)</f>
      </c>
      <c r="I94" s="17" t="s">
        <v>41</v>
      </c>
      <c r="J94" s="19">
        <f>ROUND(66*1,0)&amp;"%"</f>
      </c>
    </row>
    <row x14ac:dyDescent="0.25" r="95" customHeight="1" ht="17.25">
      <c r="A95" s="20" t="s">
        <v>13389</v>
      </c>
      <c r="B95" s="20" t="s">
        <v>180</v>
      </c>
      <c r="C95" s="20" t="s">
        <v>15</v>
      </c>
      <c r="D95" s="20" t="s">
        <v>67</v>
      </c>
      <c r="E95" s="21">
        <f>ROUND(10993*1.05,2)</f>
      </c>
      <c r="F95" s="20" t="s">
        <v>44</v>
      </c>
      <c r="G95" s="20" t="s">
        <v>30</v>
      </c>
      <c r="H95" s="21">
        <f>ROUND(RAND()*4+6,1)</f>
      </c>
      <c r="I95" s="20" t="s">
        <v>45</v>
      </c>
      <c r="J95" s="23">
        <f>ROUND(78*1,0)&amp;"%"</f>
      </c>
    </row>
    <row x14ac:dyDescent="0.25" r="96" customHeight="1" ht="17.25">
      <c r="A96" s="17" t="s">
        <v>13390</v>
      </c>
      <c r="B96" s="17" t="s">
        <v>182</v>
      </c>
      <c r="C96" s="17" t="s">
        <v>15</v>
      </c>
      <c r="D96" s="17" t="s">
        <v>16</v>
      </c>
      <c r="E96" s="18">
        <f>ROUND(17624*1.05,2)</f>
      </c>
      <c r="F96" s="17" t="s">
        <v>48</v>
      </c>
      <c r="G96" s="17" t="s">
        <v>18</v>
      </c>
      <c r="H96" s="18">
        <f>ROUND(RAND()*4+6,1)</f>
      </c>
      <c r="I96" s="17" t="s">
        <v>19</v>
      </c>
      <c r="J96" s="19">
        <f>ROUND(93*1,0)&amp;"%"</f>
      </c>
    </row>
    <row x14ac:dyDescent="0.25" r="97" customHeight="1" ht="17.25">
      <c r="A97" s="20" t="s">
        <v>13391</v>
      </c>
      <c r="B97" s="20" t="s">
        <v>184</v>
      </c>
      <c r="C97" s="20" t="s">
        <v>15</v>
      </c>
      <c r="D97" s="20" t="s">
        <v>22</v>
      </c>
      <c r="E97" s="21">
        <f>ROUND(10858*1.05,2)</f>
      </c>
      <c r="F97" s="20" t="s">
        <v>51</v>
      </c>
      <c r="G97" s="20" t="s">
        <v>24</v>
      </c>
      <c r="H97" s="21">
        <f>ROUND(RAND()*4+6,1)</f>
      </c>
      <c r="I97" s="20" t="s">
        <v>25</v>
      </c>
      <c r="J97" s="23">
        <f>ROUND(77*1,0)&amp;"%"</f>
      </c>
    </row>
    <row x14ac:dyDescent="0.25" r="98" customHeight="1" ht="17.25">
      <c r="A98" s="24" t="s">
        <v>185</v>
      </c>
      <c r="B98" s="24"/>
      <c r="C98" s="24"/>
      <c r="D98" s="24"/>
      <c r="E98" s="25">
        <v>8</v>
      </c>
      <c r="F98" s="9"/>
      <c r="G98" s="9"/>
      <c r="H98" s="10"/>
      <c r="I98" s="9"/>
      <c r="J98" s="9"/>
    </row>
    <row x14ac:dyDescent="0.25" r="99" customHeight="1" ht="17.25">
      <c r="A99" s="7"/>
      <c r="B99" s="7"/>
      <c r="C99" s="7"/>
      <c r="D99" s="7"/>
      <c r="E99" s="8"/>
      <c r="F99" s="9"/>
      <c r="G99" s="9"/>
      <c r="H99" s="10"/>
      <c r="I99" s="9"/>
      <c r="J99" s="9"/>
    </row>
    <row x14ac:dyDescent="0.25" r="100" customHeight="1" ht="17.25">
      <c r="A100" s="11" t="s">
        <v>13392</v>
      </c>
      <c r="B100" s="11"/>
      <c r="C100" s="11"/>
      <c r="D100" s="11"/>
      <c r="E100" s="12"/>
      <c r="F100" s="11"/>
      <c r="G100" s="11"/>
      <c r="H100" s="13"/>
      <c r="I100" s="11"/>
      <c r="J100" s="11"/>
    </row>
    <row x14ac:dyDescent="0.25" r="101" customHeight="1" ht="17.25">
      <c r="A101" s="14" t="s">
        <v>3</v>
      </c>
      <c r="B101" s="14" t="s">
        <v>4</v>
      </c>
      <c r="C101" s="14" t="s">
        <v>5</v>
      </c>
      <c r="D101" s="14" t="s">
        <v>6</v>
      </c>
      <c r="E101" s="15" t="s">
        <v>7</v>
      </c>
      <c r="F101" s="14" t="s">
        <v>8</v>
      </c>
      <c r="G101" s="14" t="s">
        <v>9</v>
      </c>
      <c r="H101" s="16" t="s">
        <v>10</v>
      </c>
      <c r="I101" s="14" t="s">
        <v>11</v>
      </c>
      <c r="J101" s="14" t="s">
        <v>12</v>
      </c>
    </row>
    <row x14ac:dyDescent="0.25" r="102" customHeight="1" ht="17.25">
      <c r="A102" s="17" t="s">
        <v>13393</v>
      </c>
      <c r="B102" s="17" t="s">
        <v>188</v>
      </c>
      <c r="C102" s="17" t="s">
        <v>56</v>
      </c>
      <c r="D102" s="17" t="s">
        <v>16</v>
      </c>
      <c r="E102" s="18">
        <f>ROUND(17329*1.05,2)</f>
      </c>
      <c r="F102" s="17" t="s">
        <v>17</v>
      </c>
      <c r="G102" s="17" t="s">
        <v>18</v>
      </c>
      <c r="H102" s="18">
        <f>ROUND(RAND()*4+6,1)</f>
      </c>
      <c r="I102" s="17" t="s">
        <v>19</v>
      </c>
      <c r="J102" s="19">
        <f>ROUND(71*1,0)&amp;"%"</f>
      </c>
    </row>
    <row x14ac:dyDescent="0.25" r="103" customHeight="1" ht="17.25">
      <c r="A103" s="20" t="s">
        <v>13394</v>
      </c>
      <c r="B103" s="20" t="s">
        <v>190</v>
      </c>
      <c r="C103" s="20" t="s">
        <v>56</v>
      </c>
      <c r="D103" s="20" t="s">
        <v>22</v>
      </c>
      <c r="E103" s="21">
        <f>ROUND(7311*1.05,2)</f>
      </c>
      <c r="F103" s="20" t="s">
        <v>23</v>
      </c>
      <c r="G103" s="20" t="s">
        <v>24</v>
      </c>
      <c r="H103" s="21">
        <f>ROUND(RAND()*4+6,1)</f>
      </c>
      <c r="I103" s="20" t="s">
        <v>25</v>
      </c>
      <c r="J103" s="23">
        <f>ROUND(64*1,0)&amp;"%"</f>
      </c>
    </row>
    <row x14ac:dyDescent="0.25" r="104" customHeight="1" ht="17.25">
      <c r="A104" s="17" t="s">
        <v>13395</v>
      </c>
      <c r="B104" s="17" t="s">
        <v>192</v>
      </c>
      <c r="C104" s="17" t="s">
        <v>56</v>
      </c>
      <c r="D104" s="17" t="s">
        <v>28</v>
      </c>
      <c r="E104" s="18">
        <f>ROUND(17455*1.05,2)</f>
      </c>
      <c r="F104" s="17" t="s">
        <v>29</v>
      </c>
      <c r="G104" s="17" t="s">
        <v>30</v>
      </c>
      <c r="H104" s="18">
        <f>ROUND(RAND()*4+6,1)</f>
      </c>
      <c r="I104" s="17" t="s">
        <v>31</v>
      </c>
      <c r="J104" s="19">
        <f>ROUND(83*1,0)&amp;"%"</f>
      </c>
    </row>
    <row x14ac:dyDescent="0.25" r="105" customHeight="1" ht="17.25">
      <c r="A105" s="20" t="s">
        <v>13396</v>
      </c>
      <c r="B105" s="20" t="s">
        <v>194</v>
      </c>
      <c r="C105" s="20" t="s">
        <v>56</v>
      </c>
      <c r="D105" s="20" t="s">
        <v>34</v>
      </c>
      <c r="E105" s="21">
        <f>ROUND(9859*1.05,2)</f>
      </c>
      <c r="F105" s="20" t="s">
        <v>35</v>
      </c>
      <c r="G105" s="20" t="s">
        <v>18</v>
      </c>
      <c r="H105" s="21">
        <f>ROUND(RAND()*4+6,1)</f>
      </c>
      <c r="I105" s="20" t="s">
        <v>36</v>
      </c>
      <c r="J105" s="23">
        <f>ROUND(67*1,0)&amp;"%"</f>
      </c>
    </row>
    <row x14ac:dyDescent="0.25" r="106" customHeight="1" ht="17.25">
      <c r="A106" s="17" t="s">
        <v>13397</v>
      </c>
      <c r="B106" s="17" t="s">
        <v>196</v>
      </c>
      <c r="C106" s="17" t="s">
        <v>56</v>
      </c>
      <c r="D106" s="17" t="s">
        <v>39</v>
      </c>
      <c r="E106" s="18">
        <f>ROUND(9814*1.05,2)</f>
      </c>
      <c r="F106" s="17" t="s">
        <v>40</v>
      </c>
      <c r="G106" s="17" t="s">
        <v>24</v>
      </c>
      <c r="H106" s="18">
        <f>ROUND(RAND()*4+6,1)</f>
      </c>
      <c r="I106" s="17" t="s">
        <v>41</v>
      </c>
      <c r="J106" s="19">
        <f>ROUND(95*1,0)&amp;"%"</f>
      </c>
    </row>
    <row x14ac:dyDescent="0.25" r="107" customHeight="1" ht="17.25">
      <c r="A107" s="20" t="s">
        <v>13398</v>
      </c>
      <c r="B107" s="20" t="s">
        <v>198</v>
      </c>
      <c r="C107" s="20" t="s">
        <v>56</v>
      </c>
      <c r="D107" s="20" t="s">
        <v>67</v>
      </c>
      <c r="E107" s="21">
        <f>ROUND(6827*1.05,2)</f>
      </c>
      <c r="F107" s="20" t="s">
        <v>44</v>
      </c>
      <c r="G107" s="20" t="s">
        <v>30</v>
      </c>
      <c r="H107" s="22">
        <f>ROUND(RAND()*4+6,1)</f>
      </c>
      <c r="I107" s="20" t="s">
        <v>45</v>
      </c>
      <c r="J107" s="23">
        <f>ROUND(85*1,0)&amp;"%"</f>
      </c>
    </row>
    <row x14ac:dyDescent="0.25" r="108" customHeight="1" ht="17.25">
      <c r="A108" s="17" t="s">
        <v>13399</v>
      </c>
      <c r="B108" s="17" t="s">
        <v>200</v>
      </c>
      <c r="C108" s="17" t="s">
        <v>56</v>
      </c>
      <c r="D108" s="17" t="s">
        <v>16</v>
      </c>
      <c r="E108" s="26">
        <f>ROUND(11140*1.05,2)</f>
      </c>
      <c r="F108" s="17" t="s">
        <v>48</v>
      </c>
      <c r="G108" s="17" t="s">
        <v>18</v>
      </c>
      <c r="H108" s="18">
        <f>ROUND(RAND()*4+6,1)</f>
      </c>
      <c r="I108" s="17" t="s">
        <v>19</v>
      </c>
      <c r="J108" s="19">
        <f>ROUND(72*1,0)&amp;"%"</f>
      </c>
    </row>
    <row x14ac:dyDescent="0.25" r="109" customHeight="1" ht="17.25">
      <c r="A109" s="20" t="s">
        <v>13400</v>
      </c>
      <c r="B109" s="20" t="s">
        <v>202</v>
      </c>
      <c r="C109" s="20" t="s">
        <v>56</v>
      </c>
      <c r="D109" s="20" t="s">
        <v>22</v>
      </c>
      <c r="E109" s="21">
        <f>ROUND(13957*1.05,2)</f>
      </c>
      <c r="F109" s="20" t="s">
        <v>51</v>
      </c>
      <c r="G109" s="20" t="s">
        <v>24</v>
      </c>
      <c r="H109" s="21">
        <f>ROUND(RAND()*4+6,1)</f>
      </c>
      <c r="I109" s="20" t="s">
        <v>25</v>
      </c>
      <c r="J109" s="23">
        <f>ROUND(65*1,0)&amp;"%"</f>
      </c>
    </row>
    <row x14ac:dyDescent="0.25" r="110" customHeight="1" ht="17.25">
      <c r="A110" s="24" t="s">
        <v>203</v>
      </c>
      <c r="B110" s="24"/>
      <c r="C110" s="24"/>
      <c r="D110" s="24"/>
      <c r="E110" s="25">
        <v>8</v>
      </c>
      <c r="F110" s="9"/>
      <c r="G110" s="9"/>
      <c r="H110" s="10"/>
      <c r="I110" s="9"/>
      <c r="J110" s="9"/>
    </row>
    <row x14ac:dyDescent="0.25" r="111" customHeight="1" ht="17.25">
      <c r="A111" s="7"/>
      <c r="B111" s="7"/>
      <c r="C111" s="7"/>
      <c r="D111" s="7"/>
      <c r="E111" s="8"/>
      <c r="F111" s="9"/>
      <c r="G111" s="9"/>
      <c r="H111" s="10"/>
      <c r="I111" s="9"/>
      <c r="J111" s="9"/>
    </row>
    <row x14ac:dyDescent="0.25" r="112" customHeight="1" ht="17.25">
      <c r="A112" s="11" t="s">
        <v>13401</v>
      </c>
      <c r="B112" s="11"/>
      <c r="C112" s="11"/>
      <c r="D112" s="11"/>
      <c r="E112" s="12"/>
      <c r="F112" s="11"/>
      <c r="G112" s="11"/>
      <c r="H112" s="13"/>
      <c r="I112" s="11"/>
      <c r="J112" s="11"/>
    </row>
    <row x14ac:dyDescent="0.25" r="113" customHeight="1" ht="17.25">
      <c r="A113" s="14" t="s">
        <v>3</v>
      </c>
      <c r="B113" s="14" t="s">
        <v>4</v>
      </c>
      <c r="C113" s="14" t="s">
        <v>5</v>
      </c>
      <c r="D113" s="14" t="s">
        <v>6</v>
      </c>
      <c r="E113" s="15" t="s">
        <v>7</v>
      </c>
      <c r="F113" s="14" t="s">
        <v>8</v>
      </c>
      <c r="G113" s="14" t="s">
        <v>9</v>
      </c>
      <c r="H113" s="16" t="s">
        <v>10</v>
      </c>
      <c r="I113" s="14" t="s">
        <v>11</v>
      </c>
      <c r="J113" s="14" t="s">
        <v>12</v>
      </c>
    </row>
    <row x14ac:dyDescent="0.25" r="114" customHeight="1" ht="17.25">
      <c r="A114" s="17" t="s">
        <v>13402</v>
      </c>
      <c r="B114" s="17" t="s">
        <v>206</v>
      </c>
      <c r="C114" s="17" t="s">
        <v>76</v>
      </c>
      <c r="D114" s="17" t="s">
        <v>16</v>
      </c>
      <c r="E114" s="26">
        <f>ROUND(13160*1.05,2)</f>
      </c>
      <c r="F114" s="17" t="s">
        <v>17</v>
      </c>
      <c r="G114" s="17" t="s">
        <v>18</v>
      </c>
      <c r="H114" s="18">
        <f>ROUND(RAND()*4+6,1)</f>
      </c>
      <c r="I114" s="17" t="s">
        <v>19</v>
      </c>
      <c r="J114" s="19">
        <f>ROUND(60*1,0)&amp;"%"</f>
      </c>
    </row>
    <row x14ac:dyDescent="0.25" r="115" customHeight="1" ht="17.25">
      <c r="A115" s="20" t="s">
        <v>13403</v>
      </c>
      <c r="B115" s="20" t="s">
        <v>208</v>
      </c>
      <c r="C115" s="20" t="s">
        <v>76</v>
      </c>
      <c r="D115" s="20" t="s">
        <v>22</v>
      </c>
      <c r="E115" s="21">
        <f>ROUND(4145*1.05,2)</f>
      </c>
      <c r="F115" s="20" t="s">
        <v>23</v>
      </c>
      <c r="G115" s="20" t="s">
        <v>24</v>
      </c>
      <c r="H115" s="21">
        <f>ROUND(RAND()*4+6,1)</f>
      </c>
      <c r="I115" s="20" t="s">
        <v>25</v>
      </c>
      <c r="J115" s="23">
        <f>ROUND(88*1,0)&amp;"%"</f>
      </c>
    </row>
    <row x14ac:dyDescent="0.25" r="116" customHeight="1" ht="17.25">
      <c r="A116" s="17" t="s">
        <v>13404</v>
      </c>
      <c r="B116" s="17" t="s">
        <v>210</v>
      </c>
      <c r="C116" s="17" t="s">
        <v>76</v>
      </c>
      <c r="D116" s="17" t="s">
        <v>28</v>
      </c>
      <c r="E116" s="18">
        <f>ROUND(4645*1.05,2)</f>
      </c>
      <c r="F116" s="17" t="s">
        <v>29</v>
      </c>
      <c r="G116" s="17" t="s">
        <v>30</v>
      </c>
      <c r="H116" s="18">
        <f>ROUND(RAND()*4+6,1)</f>
      </c>
      <c r="I116" s="17" t="s">
        <v>31</v>
      </c>
      <c r="J116" s="19">
        <f>ROUND(62*1,0)&amp;"%"</f>
      </c>
    </row>
    <row x14ac:dyDescent="0.25" r="117" customHeight="1" ht="17.25">
      <c r="A117" s="20" t="s">
        <v>13405</v>
      </c>
      <c r="B117" s="20" t="s">
        <v>212</v>
      </c>
      <c r="C117" s="20" t="s">
        <v>76</v>
      </c>
      <c r="D117" s="20" t="s">
        <v>34</v>
      </c>
      <c r="E117" s="21">
        <f>ROUND(11535*1.05,2)</f>
      </c>
      <c r="F117" s="20" t="s">
        <v>35</v>
      </c>
      <c r="G117" s="20" t="s">
        <v>18</v>
      </c>
      <c r="H117" s="21">
        <f>ROUND(RAND()*4+6,1)</f>
      </c>
      <c r="I117" s="20" t="s">
        <v>36</v>
      </c>
      <c r="J117" s="23">
        <f>ROUND(66*1,0)&amp;"%"</f>
      </c>
    </row>
    <row x14ac:dyDescent="0.25" r="118" customHeight="1" ht="17.25">
      <c r="A118" s="17" t="s">
        <v>13406</v>
      </c>
      <c r="B118" s="17" t="s">
        <v>214</v>
      </c>
      <c r="C118" s="17" t="s">
        <v>76</v>
      </c>
      <c r="D118" s="17" t="s">
        <v>39</v>
      </c>
      <c r="E118" s="18">
        <f>ROUND(11883*1.05,2)</f>
      </c>
      <c r="F118" s="17" t="s">
        <v>40</v>
      </c>
      <c r="G118" s="17" t="s">
        <v>24</v>
      </c>
      <c r="H118" s="18">
        <f>ROUND(RAND()*4+6,1)</f>
      </c>
      <c r="I118" s="17" t="s">
        <v>41</v>
      </c>
      <c r="J118" s="19">
        <f>ROUND(78*1,0)&amp;"%"</f>
      </c>
    </row>
    <row x14ac:dyDescent="0.25" r="119" customHeight="1" ht="17.25">
      <c r="A119" s="20" t="s">
        <v>13407</v>
      </c>
      <c r="B119" s="20" t="s">
        <v>216</v>
      </c>
      <c r="C119" s="20" t="s">
        <v>76</v>
      </c>
      <c r="D119" s="20" t="s">
        <v>67</v>
      </c>
      <c r="E119" s="21">
        <f>ROUND(4041*1.05,2)</f>
      </c>
      <c r="F119" s="20" t="s">
        <v>44</v>
      </c>
      <c r="G119" s="20" t="s">
        <v>30</v>
      </c>
      <c r="H119" s="21">
        <f>ROUND(RAND()*4+6,1)</f>
      </c>
      <c r="I119" s="20" t="s">
        <v>45</v>
      </c>
      <c r="J119" s="23">
        <f>ROUND(81*1,0)&amp;"%"</f>
      </c>
    </row>
    <row x14ac:dyDescent="0.25" r="120" customHeight="1" ht="17.25">
      <c r="A120" s="17" t="s">
        <v>13408</v>
      </c>
      <c r="B120" s="17" t="s">
        <v>218</v>
      </c>
      <c r="C120" s="17" t="s">
        <v>76</v>
      </c>
      <c r="D120" s="17" t="s">
        <v>16</v>
      </c>
      <c r="E120" s="18">
        <f>ROUND(14953*1.05,2)</f>
      </c>
      <c r="F120" s="17" t="s">
        <v>48</v>
      </c>
      <c r="G120" s="17" t="s">
        <v>18</v>
      </c>
      <c r="H120" s="18">
        <f>ROUND(RAND()*4+6,1)</f>
      </c>
      <c r="I120" s="17" t="s">
        <v>19</v>
      </c>
      <c r="J120" s="19">
        <f>ROUND(98*1,0)&amp;"%"</f>
      </c>
    </row>
    <row x14ac:dyDescent="0.25" r="121" customHeight="1" ht="17.25">
      <c r="A121" s="20" t="s">
        <v>13409</v>
      </c>
      <c r="B121" s="20" t="s">
        <v>220</v>
      </c>
      <c r="C121" s="20" t="s">
        <v>76</v>
      </c>
      <c r="D121" s="20" t="s">
        <v>22</v>
      </c>
      <c r="E121" s="21">
        <f>ROUND(17469*1.05,2)</f>
      </c>
      <c r="F121" s="20" t="s">
        <v>51</v>
      </c>
      <c r="G121" s="20" t="s">
        <v>24</v>
      </c>
      <c r="H121" s="21">
        <f>ROUND(RAND()*4+6,1)</f>
      </c>
      <c r="I121" s="20" t="s">
        <v>25</v>
      </c>
      <c r="J121" s="23">
        <f>ROUND(98*1,0)&amp;"%"</f>
      </c>
    </row>
    <row x14ac:dyDescent="0.25" r="122" customHeight="1" ht="17.25">
      <c r="A122" s="24" t="s">
        <v>221</v>
      </c>
      <c r="B122" s="24"/>
      <c r="C122" s="24"/>
      <c r="D122" s="24"/>
      <c r="E122" s="25">
        <v>8</v>
      </c>
      <c r="F122" s="9"/>
      <c r="G122" s="9"/>
      <c r="H122" s="10"/>
      <c r="I122" s="9"/>
      <c r="J122" s="9"/>
    </row>
    <row x14ac:dyDescent="0.25" r="123" customHeight="1" ht="17.25">
      <c r="A123" s="7"/>
      <c r="B123" s="7"/>
      <c r="C123" s="7"/>
      <c r="D123" s="7"/>
      <c r="E123" s="8"/>
      <c r="F123" s="9"/>
      <c r="G123" s="9"/>
      <c r="H123" s="10"/>
      <c r="I123" s="9"/>
      <c r="J123" s="9"/>
    </row>
    <row x14ac:dyDescent="0.25" r="124" customHeight="1" ht="17.25">
      <c r="A124" s="11" t="s">
        <v>13410</v>
      </c>
      <c r="B124" s="11"/>
      <c r="C124" s="11"/>
      <c r="D124" s="11"/>
      <c r="E124" s="12"/>
      <c r="F124" s="11"/>
      <c r="G124" s="11"/>
      <c r="H124" s="13"/>
      <c r="I124" s="11"/>
      <c r="J124" s="11"/>
    </row>
    <row x14ac:dyDescent="0.25" r="125" customHeight="1" ht="17.25">
      <c r="A125" s="14" t="s">
        <v>3</v>
      </c>
      <c r="B125" s="14" t="s">
        <v>4</v>
      </c>
      <c r="C125" s="14" t="s">
        <v>5</v>
      </c>
      <c r="D125" s="14" t="s">
        <v>6</v>
      </c>
      <c r="E125" s="15" t="s">
        <v>7</v>
      </c>
      <c r="F125" s="14" t="s">
        <v>8</v>
      </c>
      <c r="G125" s="14" t="s">
        <v>9</v>
      </c>
      <c r="H125" s="16" t="s">
        <v>10</v>
      </c>
      <c r="I125" s="14" t="s">
        <v>11</v>
      </c>
      <c r="J125" s="14" t="s">
        <v>12</v>
      </c>
    </row>
    <row x14ac:dyDescent="0.25" r="126" customHeight="1" ht="17.25">
      <c r="A126" s="17" t="s">
        <v>13411</v>
      </c>
      <c r="B126" s="17" t="s">
        <v>224</v>
      </c>
      <c r="C126" s="17" t="s">
        <v>95</v>
      </c>
      <c r="D126" s="17" t="s">
        <v>16</v>
      </c>
      <c r="E126" s="18">
        <f>ROUND(4350*1.05,2)</f>
      </c>
      <c r="F126" s="17" t="s">
        <v>17</v>
      </c>
      <c r="G126" s="17" t="s">
        <v>18</v>
      </c>
      <c r="H126" s="18">
        <f>ROUND(RAND()*4+6,1)</f>
      </c>
      <c r="I126" s="17" t="s">
        <v>19</v>
      </c>
      <c r="J126" s="19">
        <f>ROUND(60*1,0)&amp;"%"</f>
      </c>
    </row>
    <row x14ac:dyDescent="0.25" r="127" customHeight="1" ht="17.25">
      <c r="A127" s="20" t="s">
        <v>13412</v>
      </c>
      <c r="B127" s="20" t="s">
        <v>226</v>
      </c>
      <c r="C127" s="20" t="s">
        <v>95</v>
      </c>
      <c r="D127" s="20" t="s">
        <v>22</v>
      </c>
      <c r="E127" s="21">
        <f>ROUND(8065*1.05,2)</f>
      </c>
      <c r="F127" s="20" t="s">
        <v>23</v>
      </c>
      <c r="G127" s="20" t="s">
        <v>24</v>
      </c>
      <c r="H127" s="21">
        <f>ROUND(RAND()*4+6,1)</f>
      </c>
      <c r="I127" s="20" t="s">
        <v>25</v>
      </c>
      <c r="J127" s="23">
        <f>ROUND(61*1,0)&amp;"%"</f>
      </c>
    </row>
    <row x14ac:dyDescent="0.25" r="128" customHeight="1" ht="17.25">
      <c r="A128" s="17" t="s">
        <v>13413</v>
      </c>
      <c r="B128" s="17" t="s">
        <v>228</v>
      </c>
      <c r="C128" s="17" t="s">
        <v>95</v>
      </c>
      <c r="D128" s="17" t="s">
        <v>28</v>
      </c>
      <c r="E128" s="18">
        <f>ROUND(7344*1.05,2)</f>
      </c>
      <c r="F128" s="17" t="s">
        <v>29</v>
      </c>
      <c r="G128" s="17" t="s">
        <v>30</v>
      </c>
      <c r="H128" s="18">
        <f>ROUND(RAND()*4+6,1)</f>
      </c>
      <c r="I128" s="17" t="s">
        <v>31</v>
      </c>
      <c r="J128" s="19">
        <f>ROUND(85*1,0)&amp;"%"</f>
      </c>
    </row>
    <row x14ac:dyDescent="0.25" r="129" customHeight="1" ht="17.25">
      <c r="A129" s="20" t="s">
        <v>13414</v>
      </c>
      <c r="B129" s="20" t="s">
        <v>230</v>
      </c>
      <c r="C129" s="20" t="s">
        <v>95</v>
      </c>
      <c r="D129" s="20" t="s">
        <v>34</v>
      </c>
      <c r="E129" s="21">
        <f>ROUND(8990*1.05,2)</f>
      </c>
      <c r="F129" s="20" t="s">
        <v>35</v>
      </c>
      <c r="G129" s="20" t="s">
        <v>18</v>
      </c>
      <c r="H129" s="21">
        <f>ROUND(RAND()*4+6,1)</f>
      </c>
      <c r="I129" s="20" t="s">
        <v>36</v>
      </c>
      <c r="J129" s="23">
        <f>ROUND(87*1,0)&amp;"%"</f>
      </c>
    </row>
    <row x14ac:dyDescent="0.25" r="130" customHeight="1" ht="17.25">
      <c r="A130" s="17" t="s">
        <v>13415</v>
      </c>
      <c r="B130" s="17" t="s">
        <v>232</v>
      </c>
      <c r="C130" s="17" t="s">
        <v>95</v>
      </c>
      <c r="D130" s="17" t="s">
        <v>39</v>
      </c>
      <c r="E130" s="26">
        <f>ROUND(5380*1.05,2)</f>
      </c>
      <c r="F130" s="17" t="s">
        <v>40</v>
      </c>
      <c r="G130" s="17" t="s">
        <v>24</v>
      </c>
      <c r="H130" s="18">
        <f>ROUND(RAND()*4+6,1)</f>
      </c>
      <c r="I130" s="17" t="s">
        <v>41</v>
      </c>
      <c r="J130" s="19">
        <f>ROUND(94*1,0)&amp;"%"</f>
      </c>
    </row>
    <row x14ac:dyDescent="0.25" r="131" customHeight="1" ht="17.25">
      <c r="A131" s="20" t="s">
        <v>13416</v>
      </c>
      <c r="B131" s="20" t="s">
        <v>234</v>
      </c>
      <c r="C131" s="20" t="s">
        <v>95</v>
      </c>
      <c r="D131" s="20" t="s">
        <v>67</v>
      </c>
      <c r="E131" s="21">
        <f>ROUND(8545*1.05,2)</f>
      </c>
      <c r="F131" s="20" t="s">
        <v>44</v>
      </c>
      <c r="G131" s="20" t="s">
        <v>30</v>
      </c>
      <c r="H131" s="21">
        <f>ROUND(RAND()*4+6,1)</f>
      </c>
      <c r="I131" s="20" t="s">
        <v>45</v>
      </c>
      <c r="J131" s="23">
        <f>ROUND(89*1,0)&amp;"%"</f>
      </c>
    </row>
    <row x14ac:dyDescent="0.25" r="132" customHeight="1" ht="17.25">
      <c r="A132" s="17" t="s">
        <v>13417</v>
      </c>
      <c r="B132" s="17" t="s">
        <v>236</v>
      </c>
      <c r="C132" s="17" t="s">
        <v>95</v>
      </c>
      <c r="D132" s="17" t="s">
        <v>16</v>
      </c>
      <c r="E132" s="18">
        <f>ROUND(8682*1.05,2)</f>
      </c>
      <c r="F132" s="17" t="s">
        <v>48</v>
      </c>
      <c r="G132" s="17" t="s">
        <v>18</v>
      </c>
      <c r="H132" s="18">
        <f>ROUND(RAND()*4+6,1)</f>
      </c>
      <c r="I132" s="17" t="s">
        <v>19</v>
      </c>
      <c r="J132" s="19">
        <f>ROUND(66*1,0)&amp;"%"</f>
      </c>
    </row>
    <row x14ac:dyDescent="0.25" r="133" customHeight="1" ht="17.25">
      <c r="A133" s="20" t="s">
        <v>13418</v>
      </c>
      <c r="B133" s="20" t="s">
        <v>238</v>
      </c>
      <c r="C133" s="20" t="s">
        <v>95</v>
      </c>
      <c r="D133" s="20" t="s">
        <v>22</v>
      </c>
      <c r="E133" s="21">
        <f>ROUND(8012*1.05,2)</f>
      </c>
      <c r="F133" s="20" t="s">
        <v>51</v>
      </c>
      <c r="G133" s="20" t="s">
        <v>24</v>
      </c>
      <c r="H133" s="22">
        <f>ROUND(RAND()*4+6,1)</f>
      </c>
      <c r="I133" s="20" t="s">
        <v>25</v>
      </c>
      <c r="J133" s="23">
        <f>ROUND(60*1,0)&amp;"%"</f>
      </c>
    </row>
    <row x14ac:dyDescent="0.25" r="134" customHeight="1" ht="17.25">
      <c r="A134" s="24" t="s">
        <v>239</v>
      </c>
      <c r="B134" s="24"/>
      <c r="C134" s="24"/>
      <c r="D134" s="24"/>
      <c r="E134" s="25">
        <v>8</v>
      </c>
      <c r="F134" s="9"/>
      <c r="G134" s="9"/>
      <c r="H134" s="10"/>
      <c r="I134" s="9"/>
      <c r="J134" s="9"/>
    </row>
    <row x14ac:dyDescent="0.25" r="135" customHeight="1" ht="17.25">
      <c r="A135" s="7"/>
      <c r="B135" s="7"/>
      <c r="C135" s="7"/>
      <c r="D135" s="7"/>
      <c r="E135" s="8"/>
      <c r="F135" s="9"/>
      <c r="G135" s="9"/>
      <c r="H135" s="10"/>
      <c r="I135" s="9"/>
      <c r="J135" s="9"/>
    </row>
    <row x14ac:dyDescent="0.25" r="136" customHeight="1" ht="17.25">
      <c r="A136" s="11" t="s">
        <v>13419</v>
      </c>
      <c r="B136" s="11"/>
      <c r="C136" s="11"/>
      <c r="D136" s="11"/>
      <c r="E136" s="12"/>
      <c r="F136" s="11"/>
      <c r="G136" s="11"/>
      <c r="H136" s="13"/>
      <c r="I136" s="11"/>
      <c r="J136" s="11"/>
    </row>
    <row x14ac:dyDescent="0.25" r="137" customHeight="1" ht="17.25">
      <c r="A137" s="14" t="s">
        <v>3</v>
      </c>
      <c r="B137" s="14" t="s">
        <v>4</v>
      </c>
      <c r="C137" s="14" t="s">
        <v>5</v>
      </c>
      <c r="D137" s="14" t="s">
        <v>6</v>
      </c>
      <c r="E137" s="15" t="s">
        <v>7</v>
      </c>
      <c r="F137" s="14" t="s">
        <v>8</v>
      </c>
      <c r="G137" s="14" t="s">
        <v>9</v>
      </c>
      <c r="H137" s="16" t="s">
        <v>10</v>
      </c>
      <c r="I137" s="14" t="s">
        <v>11</v>
      </c>
      <c r="J137" s="14" t="s">
        <v>12</v>
      </c>
    </row>
    <row x14ac:dyDescent="0.25" r="138" customHeight="1" ht="17.25">
      <c r="A138" s="17" t="s">
        <v>13420</v>
      </c>
      <c r="B138" s="17" t="s">
        <v>242</v>
      </c>
      <c r="C138" s="17" t="s">
        <v>114</v>
      </c>
      <c r="D138" s="17" t="s">
        <v>16</v>
      </c>
      <c r="E138" s="18">
        <f>ROUND(17768*1.05,2)</f>
      </c>
      <c r="F138" s="17" t="s">
        <v>17</v>
      </c>
      <c r="G138" s="17" t="s">
        <v>18</v>
      </c>
      <c r="H138" s="26">
        <f>ROUND(RAND()*4+6,1)</f>
      </c>
      <c r="I138" s="17" t="s">
        <v>19</v>
      </c>
      <c r="J138" s="19">
        <f>ROUND(83*1,0)&amp;"%"</f>
      </c>
    </row>
    <row x14ac:dyDescent="0.25" r="139" customHeight="1" ht="17.25">
      <c r="A139" s="20" t="s">
        <v>13421</v>
      </c>
      <c r="B139" s="20" t="s">
        <v>244</v>
      </c>
      <c r="C139" s="20" t="s">
        <v>114</v>
      </c>
      <c r="D139" s="20" t="s">
        <v>22</v>
      </c>
      <c r="E139" s="21">
        <f>ROUND(13614*1.05,2)</f>
      </c>
      <c r="F139" s="20" t="s">
        <v>23</v>
      </c>
      <c r="G139" s="20" t="s">
        <v>24</v>
      </c>
      <c r="H139" s="22">
        <f>ROUND(RAND()*4+6,1)</f>
      </c>
      <c r="I139" s="20" t="s">
        <v>25</v>
      </c>
      <c r="J139" s="23">
        <f>ROUND(87*1,0)&amp;"%"</f>
      </c>
    </row>
    <row x14ac:dyDescent="0.25" r="140" customHeight="1" ht="17.25">
      <c r="A140" s="17" t="s">
        <v>13422</v>
      </c>
      <c r="B140" s="17" t="s">
        <v>246</v>
      </c>
      <c r="C140" s="17" t="s">
        <v>114</v>
      </c>
      <c r="D140" s="17" t="s">
        <v>28</v>
      </c>
      <c r="E140" s="18">
        <f>ROUND(11843*1.05,2)</f>
      </c>
      <c r="F140" s="17" t="s">
        <v>29</v>
      </c>
      <c r="G140" s="17" t="s">
        <v>30</v>
      </c>
      <c r="H140" s="18">
        <f>ROUND(RAND()*4+6,1)</f>
      </c>
      <c r="I140" s="17" t="s">
        <v>31</v>
      </c>
      <c r="J140" s="19">
        <f>ROUND(60*1,0)&amp;"%"</f>
      </c>
    </row>
    <row x14ac:dyDescent="0.25" r="141" customHeight="1" ht="17.25">
      <c r="A141" s="20" t="s">
        <v>13423</v>
      </c>
      <c r="B141" s="20" t="s">
        <v>248</v>
      </c>
      <c r="C141" s="20" t="s">
        <v>114</v>
      </c>
      <c r="D141" s="20" t="s">
        <v>34</v>
      </c>
      <c r="E141" s="21">
        <f>ROUND(8241*1.05,2)</f>
      </c>
      <c r="F141" s="20" t="s">
        <v>35</v>
      </c>
      <c r="G141" s="20" t="s">
        <v>18</v>
      </c>
      <c r="H141" s="22">
        <f>ROUND(RAND()*4+6,1)</f>
      </c>
      <c r="I141" s="20" t="s">
        <v>36</v>
      </c>
      <c r="J141" s="23">
        <f>ROUND(61*1,0)&amp;"%"</f>
      </c>
    </row>
    <row x14ac:dyDescent="0.25" r="142" customHeight="1" ht="17.25">
      <c r="A142" s="17" t="s">
        <v>13424</v>
      </c>
      <c r="B142" s="17" t="s">
        <v>250</v>
      </c>
      <c r="C142" s="17" t="s">
        <v>114</v>
      </c>
      <c r="D142" s="17" t="s">
        <v>39</v>
      </c>
      <c r="E142" s="18">
        <f>ROUND(7202*1.05,2)</f>
      </c>
      <c r="F142" s="17" t="s">
        <v>40</v>
      </c>
      <c r="G142" s="17" t="s">
        <v>24</v>
      </c>
      <c r="H142" s="18">
        <f>ROUND(RAND()*4+6,1)</f>
      </c>
      <c r="I142" s="17" t="s">
        <v>41</v>
      </c>
      <c r="J142" s="19">
        <f>ROUND(64*1,0)&amp;"%"</f>
      </c>
    </row>
    <row x14ac:dyDescent="0.25" r="143" customHeight="1" ht="17.25">
      <c r="A143" s="20" t="s">
        <v>13425</v>
      </c>
      <c r="B143" s="20" t="s">
        <v>252</v>
      </c>
      <c r="C143" s="20" t="s">
        <v>114</v>
      </c>
      <c r="D143" s="20" t="s">
        <v>67</v>
      </c>
      <c r="E143" s="21">
        <f>ROUND(13257*1.05,2)</f>
      </c>
      <c r="F143" s="20" t="s">
        <v>44</v>
      </c>
      <c r="G143" s="20" t="s">
        <v>30</v>
      </c>
      <c r="H143" s="21">
        <f>ROUND(RAND()*4+6,1)</f>
      </c>
      <c r="I143" s="20" t="s">
        <v>45</v>
      </c>
      <c r="J143" s="23">
        <f>ROUND(90*1,0)&amp;"%"</f>
      </c>
    </row>
    <row x14ac:dyDescent="0.25" r="144" customHeight="1" ht="17.25">
      <c r="A144" s="17" t="s">
        <v>13426</v>
      </c>
      <c r="B144" s="17" t="s">
        <v>254</v>
      </c>
      <c r="C144" s="17" t="s">
        <v>114</v>
      </c>
      <c r="D144" s="17" t="s">
        <v>16</v>
      </c>
      <c r="E144" s="18">
        <f>ROUND(14429*1.05,2)</f>
      </c>
      <c r="F144" s="17" t="s">
        <v>48</v>
      </c>
      <c r="G144" s="17" t="s">
        <v>18</v>
      </c>
      <c r="H144" s="18">
        <f>ROUND(RAND()*4+6,1)</f>
      </c>
      <c r="I144" s="17" t="s">
        <v>19</v>
      </c>
      <c r="J144" s="19">
        <f>ROUND(64*1,0)&amp;"%"</f>
      </c>
    </row>
    <row x14ac:dyDescent="0.25" r="145" customHeight="1" ht="17.25">
      <c r="A145" s="20" t="s">
        <v>13427</v>
      </c>
      <c r="B145" s="20" t="s">
        <v>256</v>
      </c>
      <c r="C145" s="20" t="s">
        <v>114</v>
      </c>
      <c r="D145" s="20" t="s">
        <v>22</v>
      </c>
      <c r="E145" s="21">
        <f>ROUND(4141*1.05,2)</f>
      </c>
      <c r="F145" s="20" t="s">
        <v>51</v>
      </c>
      <c r="G145" s="20" t="s">
        <v>24</v>
      </c>
      <c r="H145" s="21">
        <f>ROUND(RAND()*4+6,1)</f>
      </c>
      <c r="I145" s="20" t="s">
        <v>25</v>
      </c>
      <c r="J145" s="23">
        <f>ROUND(64*1,0)&amp;"%"</f>
      </c>
    </row>
    <row x14ac:dyDescent="0.25" r="146" customHeight="1" ht="17.25">
      <c r="A146" s="24" t="s">
        <v>257</v>
      </c>
      <c r="B146" s="24"/>
      <c r="C146" s="24"/>
      <c r="D146" s="24"/>
      <c r="E146" s="25">
        <v>8</v>
      </c>
      <c r="F146" s="9"/>
      <c r="G146" s="9"/>
      <c r="H146" s="10"/>
      <c r="I146" s="9"/>
      <c r="J146" s="9"/>
    </row>
    <row x14ac:dyDescent="0.25" r="147" customHeight="1" ht="17.25">
      <c r="A147" s="7"/>
      <c r="B147" s="7"/>
      <c r="C147" s="7"/>
      <c r="D147" s="7"/>
      <c r="E147" s="8"/>
      <c r="F147" s="9"/>
      <c r="G147" s="9"/>
      <c r="H147" s="10"/>
      <c r="I147" s="9"/>
      <c r="J147" s="9"/>
    </row>
    <row x14ac:dyDescent="0.25" r="148" customHeight="1" ht="17.25">
      <c r="A148" s="11" t="s">
        <v>13428</v>
      </c>
      <c r="B148" s="11"/>
      <c r="C148" s="11"/>
      <c r="D148" s="11"/>
      <c r="E148" s="12"/>
      <c r="F148" s="11"/>
      <c r="G148" s="11"/>
      <c r="H148" s="13"/>
      <c r="I148" s="11"/>
      <c r="J148" s="11"/>
    </row>
    <row x14ac:dyDescent="0.25" r="149" customHeight="1" ht="17.25">
      <c r="A149" s="14" t="s">
        <v>3</v>
      </c>
      <c r="B149" s="14" t="s">
        <v>4</v>
      </c>
      <c r="C149" s="14" t="s">
        <v>5</v>
      </c>
      <c r="D149" s="14" t="s">
        <v>6</v>
      </c>
      <c r="E149" s="15" t="s">
        <v>7</v>
      </c>
      <c r="F149" s="14" t="s">
        <v>8</v>
      </c>
      <c r="G149" s="14" t="s">
        <v>9</v>
      </c>
      <c r="H149" s="16" t="s">
        <v>10</v>
      </c>
      <c r="I149" s="14" t="s">
        <v>11</v>
      </c>
      <c r="J149" s="14" t="s">
        <v>12</v>
      </c>
    </row>
    <row x14ac:dyDescent="0.25" r="150" customHeight="1" ht="17.25">
      <c r="A150" s="17" t="s">
        <v>13429</v>
      </c>
      <c r="B150" s="17" t="s">
        <v>260</v>
      </c>
      <c r="C150" s="17" t="s">
        <v>133</v>
      </c>
      <c r="D150" s="17" t="s">
        <v>16</v>
      </c>
      <c r="E150" s="18">
        <f>ROUND(14390*1.05,2)</f>
      </c>
      <c r="F150" s="17" t="s">
        <v>17</v>
      </c>
      <c r="G150" s="17" t="s">
        <v>18</v>
      </c>
      <c r="H150" s="18">
        <f>ROUND(RAND()*4+6,1)</f>
      </c>
      <c r="I150" s="17" t="s">
        <v>19</v>
      </c>
      <c r="J150" s="19">
        <f>ROUND(90*1,0)&amp;"%"</f>
      </c>
    </row>
    <row x14ac:dyDescent="0.25" r="151" customHeight="1" ht="17.25">
      <c r="A151" s="20" t="s">
        <v>13430</v>
      </c>
      <c r="B151" s="20" t="s">
        <v>262</v>
      </c>
      <c r="C151" s="20" t="s">
        <v>133</v>
      </c>
      <c r="D151" s="20" t="s">
        <v>22</v>
      </c>
      <c r="E151" s="21">
        <f>ROUND(5988*1.05,2)</f>
      </c>
      <c r="F151" s="20" t="s">
        <v>23</v>
      </c>
      <c r="G151" s="20" t="s">
        <v>24</v>
      </c>
      <c r="H151" s="21">
        <f>ROUND(RAND()*4+6,1)</f>
      </c>
      <c r="I151" s="20" t="s">
        <v>25</v>
      </c>
      <c r="J151" s="23">
        <f>ROUND(63*1,0)&amp;"%"</f>
      </c>
    </row>
    <row x14ac:dyDescent="0.25" r="152" customHeight="1" ht="17.25">
      <c r="A152" s="17" t="s">
        <v>13431</v>
      </c>
      <c r="B152" s="17" t="s">
        <v>264</v>
      </c>
      <c r="C152" s="17" t="s">
        <v>133</v>
      </c>
      <c r="D152" s="17" t="s">
        <v>28</v>
      </c>
      <c r="E152" s="18">
        <f>ROUND(8664*1.05,2)</f>
      </c>
      <c r="F152" s="17" t="s">
        <v>29</v>
      </c>
      <c r="G152" s="17" t="s">
        <v>30</v>
      </c>
      <c r="H152" s="18">
        <f>ROUND(RAND()*4+6,1)</f>
      </c>
      <c r="I152" s="17" t="s">
        <v>31</v>
      </c>
      <c r="J152" s="19">
        <f>ROUND(68*1,0)&amp;"%"</f>
      </c>
    </row>
    <row x14ac:dyDescent="0.25" r="153" customHeight="1" ht="17.25">
      <c r="A153" s="20" t="s">
        <v>13432</v>
      </c>
      <c r="B153" s="20" t="s">
        <v>266</v>
      </c>
      <c r="C153" s="20" t="s">
        <v>133</v>
      </c>
      <c r="D153" s="20" t="s">
        <v>34</v>
      </c>
      <c r="E153" s="21">
        <f>ROUND(14676*1.05,2)</f>
      </c>
      <c r="F153" s="20" t="s">
        <v>35</v>
      </c>
      <c r="G153" s="20" t="s">
        <v>18</v>
      </c>
      <c r="H153" s="21">
        <f>ROUND(RAND()*4+6,1)</f>
      </c>
      <c r="I153" s="20" t="s">
        <v>36</v>
      </c>
      <c r="J153" s="23">
        <f>ROUND(82*1,0)&amp;"%"</f>
      </c>
    </row>
    <row x14ac:dyDescent="0.25" r="154" customHeight="1" ht="17.25">
      <c r="A154" s="17" t="s">
        <v>13433</v>
      </c>
      <c r="B154" s="17" t="s">
        <v>268</v>
      </c>
      <c r="C154" s="17" t="s">
        <v>133</v>
      </c>
      <c r="D154" s="17" t="s">
        <v>39</v>
      </c>
      <c r="E154" s="18">
        <f>ROUND(15382*1.05,2)</f>
      </c>
      <c r="F154" s="17" t="s">
        <v>40</v>
      </c>
      <c r="G154" s="17" t="s">
        <v>24</v>
      </c>
      <c r="H154" s="18">
        <f>ROUND(RAND()*4+6,1)</f>
      </c>
      <c r="I154" s="17" t="s">
        <v>41</v>
      </c>
      <c r="J154" s="19">
        <f>ROUND(61*1,0)&amp;"%"</f>
      </c>
    </row>
    <row x14ac:dyDescent="0.25" r="155" customHeight="1" ht="17.25">
      <c r="A155" s="20" t="s">
        <v>13434</v>
      </c>
      <c r="B155" s="20" t="s">
        <v>270</v>
      </c>
      <c r="C155" s="20" t="s">
        <v>133</v>
      </c>
      <c r="D155" s="20" t="s">
        <v>67</v>
      </c>
      <c r="E155" s="21">
        <f>ROUND(16929*1.05,2)</f>
      </c>
      <c r="F155" s="20" t="s">
        <v>44</v>
      </c>
      <c r="G155" s="20" t="s">
        <v>30</v>
      </c>
      <c r="H155" s="21">
        <f>ROUND(RAND()*4+6,1)</f>
      </c>
      <c r="I155" s="20" t="s">
        <v>45</v>
      </c>
      <c r="J155" s="23">
        <f>ROUND(93*1,0)&amp;"%"</f>
      </c>
    </row>
    <row x14ac:dyDescent="0.25" r="156" customHeight="1" ht="17.25">
      <c r="A156" s="17" t="s">
        <v>13435</v>
      </c>
      <c r="B156" s="17" t="s">
        <v>272</v>
      </c>
      <c r="C156" s="17" t="s">
        <v>133</v>
      </c>
      <c r="D156" s="17" t="s">
        <v>16</v>
      </c>
      <c r="E156" s="18">
        <f>ROUND(5127*1.05,2)</f>
      </c>
      <c r="F156" s="17" t="s">
        <v>48</v>
      </c>
      <c r="G156" s="17" t="s">
        <v>18</v>
      </c>
      <c r="H156" s="18">
        <f>ROUND(RAND()*4+6,1)</f>
      </c>
      <c r="I156" s="17" t="s">
        <v>19</v>
      </c>
      <c r="J156" s="19">
        <f>ROUND(93*1,0)&amp;"%"</f>
      </c>
    </row>
    <row x14ac:dyDescent="0.25" r="157" customHeight="1" ht="17.25">
      <c r="A157" s="20" t="s">
        <v>13436</v>
      </c>
      <c r="B157" s="20" t="s">
        <v>274</v>
      </c>
      <c r="C157" s="20" t="s">
        <v>133</v>
      </c>
      <c r="D157" s="20" t="s">
        <v>22</v>
      </c>
      <c r="E157" s="21">
        <f>ROUND(15170*1.05,2)</f>
      </c>
      <c r="F157" s="20" t="s">
        <v>51</v>
      </c>
      <c r="G157" s="20" t="s">
        <v>24</v>
      </c>
      <c r="H157" s="21">
        <f>ROUND(RAND()*4+6,1)</f>
      </c>
      <c r="I157" s="20" t="s">
        <v>25</v>
      </c>
      <c r="J157" s="23">
        <f>ROUND(62*1,0)&amp;"%"</f>
      </c>
    </row>
    <row x14ac:dyDescent="0.25" r="158" customHeight="1" ht="17.25">
      <c r="A158" s="24" t="s">
        <v>275</v>
      </c>
      <c r="B158" s="24"/>
      <c r="C158" s="24"/>
      <c r="D158" s="24"/>
      <c r="E158" s="25">
        <v>8</v>
      </c>
      <c r="F158" s="9"/>
      <c r="G158" s="9"/>
      <c r="H158" s="10"/>
      <c r="I158" s="9"/>
      <c r="J158" s="9"/>
    </row>
    <row x14ac:dyDescent="0.25" r="159" customHeight="1" ht="17.25">
      <c r="A159" s="7"/>
      <c r="B159" s="7"/>
      <c r="C159" s="7"/>
      <c r="D159" s="7"/>
      <c r="E159" s="8"/>
      <c r="F159" s="9"/>
      <c r="G159" s="9"/>
      <c r="H159" s="10"/>
      <c r="I159" s="9"/>
      <c r="J159" s="9"/>
    </row>
    <row x14ac:dyDescent="0.25" r="160" customHeight="1" ht="17.25">
      <c r="A160" s="11" t="s">
        <v>13437</v>
      </c>
      <c r="B160" s="11"/>
      <c r="C160" s="11"/>
      <c r="D160" s="11"/>
      <c r="E160" s="12"/>
      <c r="F160" s="11"/>
      <c r="G160" s="11"/>
      <c r="H160" s="13"/>
      <c r="I160" s="11"/>
      <c r="J160" s="11"/>
    </row>
    <row x14ac:dyDescent="0.25" r="161" customHeight="1" ht="17.25">
      <c r="A161" s="14" t="s">
        <v>3</v>
      </c>
      <c r="B161" s="14" t="s">
        <v>4</v>
      </c>
      <c r="C161" s="14" t="s">
        <v>5</v>
      </c>
      <c r="D161" s="14" t="s">
        <v>6</v>
      </c>
      <c r="E161" s="15" t="s">
        <v>7</v>
      </c>
      <c r="F161" s="14" t="s">
        <v>8</v>
      </c>
      <c r="G161" s="14" t="s">
        <v>9</v>
      </c>
      <c r="H161" s="16" t="s">
        <v>10</v>
      </c>
      <c r="I161" s="14" t="s">
        <v>11</v>
      </c>
      <c r="J161" s="14" t="s">
        <v>12</v>
      </c>
    </row>
    <row x14ac:dyDescent="0.25" r="162" customHeight="1" ht="17.25">
      <c r="A162" s="17" t="s">
        <v>13438</v>
      </c>
      <c r="B162" s="17" t="s">
        <v>278</v>
      </c>
      <c r="C162" s="17" t="s">
        <v>152</v>
      </c>
      <c r="D162" s="17" t="s">
        <v>16</v>
      </c>
      <c r="E162" s="18">
        <f>ROUND(9371*1.05,2)</f>
      </c>
      <c r="F162" s="17" t="s">
        <v>17</v>
      </c>
      <c r="G162" s="17" t="s">
        <v>18</v>
      </c>
      <c r="H162" s="18">
        <f>ROUND(RAND()*4+6,1)</f>
      </c>
      <c r="I162" s="17" t="s">
        <v>19</v>
      </c>
      <c r="J162" s="19">
        <f>ROUND(78*1,0)&amp;"%"</f>
      </c>
    </row>
    <row x14ac:dyDescent="0.25" r="163" customHeight="1" ht="17.25">
      <c r="A163" s="20" t="s">
        <v>13439</v>
      </c>
      <c r="B163" s="20" t="s">
        <v>280</v>
      </c>
      <c r="C163" s="20" t="s">
        <v>152</v>
      </c>
      <c r="D163" s="20" t="s">
        <v>22</v>
      </c>
      <c r="E163" s="21">
        <f>ROUND(14951*1.05,2)</f>
      </c>
      <c r="F163" s="20" t="s">
        <v>23</v>
      </c>
      <c r="G163" s="20" t="s">
        <v>24</v>
      </c>
      <c r="H163" s="21">
        <f>ROUND(RAND()*4+6,1)</f>
      </c>
      <c r="I163" s="20" t="s">
        <v>25</v>
      </c>
      <c r="J163" s="23">
        <f>ROUND(75*1,0)&amp;"%"</f>
      </c>
    </row>
    <row x14ac:dyDescent="0.25" r="164" customHeight="1" ht="17.25">
      <c r="A164" s="17" t="s">
        <v>13440</v>
      </c>
      <c r="B164" s="17" t="s">
        <v>282</v>
      </c>
      <c r="C164" s="17" t="s">
        <v>152</v>
      </c>
      <c r="D164" s="17" t="s">
        <v>28</v>
      </c>
      <c r="E164" s="18">
        <f>ROUND(14998*1.05,2)</f>
      </c>
      <c r="F164" s="17" t="s">
        <v>29</v>
      </c>
      <c r="G164" s="17" t="s">
        <v>30</v>
      </c>
      <c r="H164" s="18">
        <f>ROUND(RAND()*4+6,1)</f>
      </c>
      <c r="I164" s="17" t="s">
        <v>31</v>
      </c>
      <c r="J164" s="19">
        <f>ROUND(60*1,0)&amp;"%"</f>
      </c>
    </row>
    <row x14ac:dyDescent="0.25" r="165" customHeight="1" ht="17.25">
      <c r="A165" s="20" t="s">
        <v>13441</v>
      </c>
      <c r="B165" s="20" t="s">
        <v>284</v>
      </c>
      <c r="C165" s="20" t="s">
        <v>152</v>
      </c>
      <c r="D165" s="20" t="s">
        <v>34</v>
      </c>
      <c r="E165" s="21">
        <f>ROUND(10503*1.05,2)</f>
      </c>
      <c r="F165" s="20" t="s">
        <v>35</v>
      </c>
      <c r="G165" s="20" t="s">
        <v>18</v>
      </c>
      <c r="H165" s="21">
        <f>ROUND(RAND()*4+6,1)</f>
      </c>
      <c r="I165" s="20" t="s">
        <v>36</v>
      </c>
      <c r="J165" s="23">
        <f>ROUND(93*1,0)&amp;"%"</f>
      </c>
    </row>
    <row x14ac:dyDescent="0.25" r="166" customHeight="1" ht="17.25">
      <c r="A166" s="17" t="s">
        <v>13442</v>
      </c>
      <c r="B166" s="17" t="s">
        <v>286</v>
      </c>
      <c r="C166" s="17" t="s">
        <v>152</v>
      </c>
      <c r="D166" s="17" t="s">
        <v>39</v>
      </c>
      <c r="E166" s="18">
        <f>ROUND(17345*1.05,2)</f>
      </c>
      <c r="F166" s="17" t="s">
        <v>40</v>
      </c>
      <c r="G166" s="17" t="s">
        <v>24</v>
      </c>
      <c r="H166" s="18">
        <f>ROUND(RAND()*4+6,1)</f>
      </c>
      <c r="I166" s="17" t="s">
        <v>41</v>
      </c>
      <c r="J166" s="19">
        <f>ROUND(75*1,0)&amp;"%"</f>
      </c>
    </row>
    <row x14ac:dyDescent="0.25" r="167" customHeight="1" ht="17.25">
      <c r="A167" s="20" t="s">
        <v>13443</v>
      </c>
      <c r="B167" s="20" t="s">
        <v>288</v>
      </c>
      <c r="C167" s="20" t="s">
        <v>152</v>
      </c>
      <c r="D167" s="20" t="s">
        <v>67</v>
      </c>
      <c r="E167" s="21">
        <f>ROUND(15611*1.05,2)</f>
      </c>
      <c r="F167" s="20" t="s">
        <v>44</v>
      </c>
      <c r="G167" s="20" t="s">
        <v>30</v>
      </c>
      <c r="H167" s="21">
        <f>ROUND(RAND()*4+6,1)</f>
      </c>
      <c r="I167" s="20" t="s">
        <v>45</v>
      </c>
      <c r="J167" s="23">
        <f>ROUND(68*1,0)&amp;"%"</f>
      </c>
    </row>
    <row x14ac:dyDescent="0.25" r="168" customHeight="1" ht="17.25">
      <c r="A168" s="17" t="s">
        <v>13444</v>
      </c>
      <c r="B168" s="17" t="s">
        <v>290</v>
      </c>
      <c r="C168" s="17" t="s">
        <v>152</v>
      </c>
      <c r="D168" s="17" t="s">
        <v>16</v>
      </c>
      <c r="E168" s="18">
        <f>ROUND(13732*1.05,2)</f>
      </c>
      <c r="F168" s="17" t="s">
        <v>48</v>
      </c>
      <c r="G168" s="17" t="s">
        <v>18</v>
      </c>
      <c r="H168" s="18">
        <f>ROUND(RAND()*4+6,1)</f>
      </c>
      <c r="I168" s="17" t="s">
        <v>19</v>
      </c>
      <c r="J168" s="19">
        <f>ROUND(83*1,0)&amp;"%"</f>
      </c>
    </row>
    <row x14ac:dyDescent="0.25" r="169" customHeight="1" ht="17.25">
      <c r="A169" s="20" t="s">
        <v>13445</v>
      </c>
      <c r="B169" s="20" t="s">
        <v>292</v>
      </c>
      <c r="C169" s="20" t="s">
        <v>152</v>
      </c>
      <c r="D169" s="20" t="s">
        <v>22</v>
      </c>
      <c r="E169" s="21">
        <f>ROUND(4255*1.05,2)</f>
      </c>
      <c r="F169" s="20" t="s">
        <v>51</v>
      </c>
      <c r="G169" s="20" t="s">
        <v>24</v>
      </c>
      <c r="H169" s="21">
        <f>ROUND(RAND()*4+6,1)</f>
      </c>
      <c r="I169" s="20" t="s">
        <v>25</v>
      </c>
      <c r="J169" s="23">
        <f>ROUND(74*1,0)&amp;"%"</f>
      </c>
    </row>
    <row x14ac:dyDescent="0.25" r="170" customHeight="1" ht="17.25">
      <c r="A170" s="24" t="s">
        <v>293</v>
      </c>
      <c r="B170" s="24"/>
      <c r="C170" s="24"/>
      <c r="D170" s="24"/>
      <c r="E170" s="25">
        <v>8</v>
      </c>
      <c r="F170" s="9"/>
      <c r="G170" s="9"/>
      <c r="H170" s="10"/>
      <c r="I170" s="9"/>
      <c r="J170" s="9"/>
    </row>
    <row x14ac:dyDescent="0.25" r="171" customHeight="1" ht="17.25">
      <c r="A171" s="7"/>
      <c r="B171" s="7"/>
      <c r="C171" s="7"/>
      <c r="D171" s="7"/>
      <c r="E171" s="8"/>
      <c r="F171" s="9"/>
      <c r="G171" s="9"/>
      <c r="H171" s="10"/>
      <c r="I171" s="9"/>
      <c r="J171" s="9"/>
    </row>
    <row x14ac:dyDescent="0.25" r="172" customHeight="1" ht="17.25">
      <c r="A172" s="11" t="s">
        <v>13446</v>
      </c>
      <c r="B172" s="11"/>
      <c r="C172" s="11"/>
      <c r="D172" s="11"/>
      <c r="E172" s="12"/>
      <c r="F172" s="11"/>
      <c r="G172" s="11"/>
      <c r="H172" s="13"/>
      <c r="I172" s="11"/>
      <c r="J172" s="11"/>
    </row>
    <row x14ac:dyDescent="0.25" r="173" customHeight="1" ht="17.25">
      <c r="A173" s="14" t="s">
        <v>3</v>
      </c>
      <c r="B173" s="14" t="s">
        <v>4</v>
      </c>
      <c r="C173" s="14" t="s">
        <v>5</v>
      </c>
      <c r="D173" s="14" t="s">
        <v>6</v>
      </c>
      <c r="E173" s="15" t="s">
        <v>7</v>
      </c>
      <c r="F173" s="14" t="s">
        <v>8</v>
      </c>
      <c r="G173" s="14" t="s">
        <v>9</v>
      </c>
      <c r="H173" s="16" t="s">
        <v>10</v>
      </c>
      <c r="I173" s="14" t="s">
        <v>11</v>
      </c>
      <c r="J173" s="14" t="s">
        <v>12</v>
      </c>
    </row>
    <row x14ac:dyDescent="0.25" r="174" customHeight="1" ht="17.25">
      <c r="A174" s="17" t="s">
        <v>13447</v>
      </c>
      <c r="B174" s="17" t="s">
        <v>296</v>
      </c>
      <c r="C174" s="17" t="s">
        <v>15</v>
      </c>
      <c r="D174" s="17" t="s">
        <v>16</v>
      </c>
      <c r="E174" s="18">
        <f>ROUND(7016*1.05,2)</f>
      </c>
      <c r="F174" s="17" t="s">
        <v>17</v>
      </c>
      <c r="G174" s="17" t="s">
        <v>18</v>
      </c>
      <c r="H174" s="18">
        <f>ROUND(RAND()*4+6,1)</f>
      </c>
      <c r="I174" s="17" t="s">
        <v>19</v>
      </c>
      <c r="J174" s="19">
        <f>ROUND(99*1,0)&amp;"%"</f>
      </c>
    </row>
    <row x14ac:dyDescent="0.25" r="175" customHeight="1" ht="17.25">
      <c r="A175" s="20" t="s">
        <v>13448</v>
      </c>
      <c r="B175" s="20" t="s">
        <v>298</v>
      </c>
      <c r="C175" s="20" t="s">
        <v>15</v>
      </c>
      <c r="D175" s="20" t="s">
        <v>22</v>
      </c>
      <c r="E175" s="21">
        <f>ROUND(13527*1.05,2)</f>
      </c>
      <c r="F175" s="20" t="s">
        <v>23</v>
      </c>
      <c r="G175" s="20" t="s">
        <v>24</v>
      </c>
      <c r="H175" s="21">
        <f>ROUND(RAND()*4+6,1)</f>
      </c>
      <c r="I175" s="20" t="s">
        <v>25</v>
      </c>
      <c r="J175" s="23">
        <f>ROUND(69*1,0)&amp;"%"</f>
      </c>
    </row>
    <row x14ac:dyDescent="0.25" r="176" customHeight="1" ht="17.25">
      <c r="A176" s="17" t="s">
        <v>13449</v>
      </c>
      <c r="B176" s="17" t="s">
        <v>300</v>
      </c>
      <c r="C176" s="17" t="s">
        <v>15</v>
      </c>
      <c r="D176" s="17" t="s">
        <v>28</v>
      </c>
      <c r="E176" s="18">
        <f>ROUND(14190*1.05,2)</f>
      </c>
      <c r="F176" s="17" t="s">
        <v>29</v>
      </c>
      <c r="G176" s="17" t="s">
        <v>30</v>
      </c>
      <c r="H176" s="18">
        <f>ROUND(RAND()*4+6,1)</f>
      </c>
      <c r="I176" s="17" t="s">
        <v>31</v>
      </c>
      <c r="J176" s="19">
        <f>ROUND(98*1,0)&amp;"%"</f>
      </c>
    </row>
    <row x14ac:dyDescent="0.25" r="177" customHeight="1" ht="17.25">
      <c r="A177" s="20" t="s">
        <v>13450</v>
      </c>
      <c r="B177" s="20" t="s">
        <v>302</v>
      </c>
      <c r="C177" s="20" t="s">
        <v>15</v>
      </c>
      <c r="D177" s="20" t="s">
        <v>34</v>
      </c>
      <c r="E177" s="21">
        <f>ROUND(15831*1.05,2)</f>
      </c>
      <c r="F177" s="20" t="s">
        <v>35</v>
      </c>
      <c r="G177" s="20" t="s">
        <v>18</v>
      </c>
      <c r="H177" s="21">
        <f>ROUND(RAND()*4+6,1)</f>
      </c>
      <c r="I177" s="20" t="s">
        <v>36</v>
      </c>
      <c r="J177" s="23">
        <f>ROUND(81*1,0)&amp;"%"</f>
      </c>
    </row>
    <row x14ac:dyDescent="0.25" r="178" customHeight="1" ht="17.25">
      <c r="A178" s="17" t="s">
        <v>13451</v>
      </c>
      <c r="B178" s="17" t="s">
        <v>304</v>
      </c>
      <c r="C178" s="17" t="s">
        <v>15</v>
      </c>
      <c r="D178" s="17" t="s">
        <v>39</v>
      </c>
      <c r="E178" s="18">
        <f>ROUND(12635*1.05,2)</f>
      </c>
      <c r="F178" s="17" t="s">
        <v>40</v>
      </c>
      <c r="G178" s="17" t="s">
        <v>24</v>
      </c>
      <c r="H178" s="26">
        <f>ROUND(RAND()*4+6,1)</f>
      </c>
      <c r="I178" s="17" t="s">
        <v>41</v>
      </c>
      <c r="J178" s="19">
        <f>ROUND(80*1,0)&amp;"%"</f>
      </c>
    </row>
    <row x14ac:dyDescent="0.25" r="179" customHeight="1" ht="17.25">
      <c r="A179" s="20" t="s">
        <v>13452</v>
      </c>
      <c r="B179" s="20" t="s">
        <v>306</v>
      </c>
      <c r="C179" s="20" t="s">
        <v>15</v>
      </c>
      <c r="D179" s="20" t="s">
        <v>67</v>
      </c>
      <c r="E179" s="21">
        <f>ROUND(13974*1.05,2)</f>
      </c>
      <c r="F179" s="20" t="s">
        <v>44</v>
      </c>
      <c r="G179" s="20" t="s">
        <v>30</v>
      </c>
      <c r="H179" s="21">
        <f>ROUND(RAND()*4+6,1)</f>
      </c>
      <c r="I179" s="20" t="s">
        <v>45</v>
      </c>
      <c r="J179" s="23">
        <f>ROUND(64*1,0)&amp;"%"</f>
      </c>
    </row>
    <row x14ac:dyDescent="0.25" r="180" customHeight="1" ht="17.25">
      <c r="A180" s="17" t="s">
        <v>13453</v>
      </c>
      <c r="B180" s="17" t="s">
        <v>308</v>
      </c>
      <c r="C180" s="17" t="s">
        <v>15</v>
      </c>
      <c r="D180" s="17" t="s">
        <v>16</v>
      </c>
      <c r="E180" s="18">
        <f>ROUND(12901*1.05,2)</f>
      </c>
      <c r="F180" s="17" t="s">
        <v>48</v>
      </c>
      <c r="G180" s="17" t="s">
        <v>18</v>
      </c>
      <c r="H180" s="18">
        <f>ROUND(RAND()*4+6,1)</f>
      </c>
      <c r="I180" s="17" t="s">
        <v>19</v>
      </c>
      <c r="J180" s="19">
        <f>ROUND(95*1,0)&amp;"%"</f>
      </c>
    </row>
    <row x14ac:dyDescent="0.25" r="181" customHeight="1" ht="17.25">
      <c r="A181" s="20" t="s">
        <v>13454</v>
      </c>
      <c r="B181" s="20" t="s">
        <v>310</v>
      </c>
      <c r="C181" s="20" t="s">
        <v>15</v>
      </c>
      <c r="D181" s="20" t="s">
        <v>22</v>
      </c>
      <c r="E181" s="21">
        <f>ROUND(5121*1.05,2)</f>
      </c>
      <c r="F181" s="20" t="s">
        <v>51</v>
      </c>
      <c r="G181" s="20" t="s">
        <v>24</v>
      </c>
      <c r="H181" s="21">
        <f>ROUND(RAND()*4+6,1)</f>
      </c>
      <c r="I181" s="20" t="s">
        <v>25</v>
      </c>
      <c r="J181" s="23">
        <f>ROUND(83*1,0)&amp;"%"</f>
      </c>
    </row>
    <row x14ac:dyDescent="0.25" r="182" customHeight="1" ht="17.25">
      <c r="A182" s="24" t="s">
        <v>311</v>
      </c>
      <c r="B182" s="24"/>
      <c r="C182" s="24"/>
      <c r="D182" s="24"/>
      <c r="E182" s="25">
        <v>8</v>
      </c>
      <c r="F182" s="9"/>
      <c r="G182" s="9"/>
      <c r="H182" s="10"/>
      <c r="I182" s="9"/>
      <c r="J182" s="9"/>
    </row>
    <row x14ac:dyDescent="0.25" r="183" customHeight="1" ht="17.25">
      <c r="A183" s="7"/>
      <c r="B183" s="7"/>
      <c r="C183" s="7"/>
      <c r="D183" s="7"/>
      <c r="E183" s="8"/>
      <c r="F183" s="9"/>
      <c r="G183" s="9"/>
      <c r="H183" s="10"/>
      <c r="I183" s="9"/>
      <c r="J183" s="9"/>
    </row>
    <row x14ac:dyDescent="0.25" r="184" customHeight="1" ht="17.25">
      <c r="A184" s="11" t="s">
        <v>13455</v>
      </c>
      <c r="B184" s="11"/>
      <c r="C184" s="11"/>
      <c r="D184" s="11"/>
      <c r="E184" s="12"/>
      <c r="F184" s="11"/>
      <c r="G184" s="11"/>
      <c r="H184" s="13"/>
      <c r="I184" s="11"/>
      <c r="J184" s="11"/>
    </row>
    <row x14ac:dyDescent="0.25" r="185" customHeight="1" ht="17.25">
      <c r="A185" s="14" t="s">
        <v>3</v>
      </c>
      <c r="B185" s="14" t="s">
        <v>4</v>
      </c>
      <c r="C185" s="14" t="s">
        <v>5</v>
      </c>
      <c r="D185" s="14" t="s">
        <v>6</v>
      </c>
      <c r="E185" s="15" t="s">
        <v>7</v>
      </c>
      <c r="F185" s="14" t="s">
        <v>8</v>
      </c>
      <c r="G185" s="14" t="s">
        <v>9</v>
      </c>
      <c r="H185" s="16" t="s">
        <v>10</v>
      </c>
      <c r="I185" s="14" t="s">
        <v>11</v>
      </c>
      <c r="J185" s="14" t="s">
        <v>12</v>
      </c>
    </row>
    <row x14ac:dyDescent="0.25" r="186" customHeight="1" ht="17.25">
      <c r="A186" s="17" t="s">
        <v>13456</v>
      </c>
      <c r="B186" s="17" t="s">
        <v>314</v>
      </c>
      <c r="C186" s="17" t="s">
        <v>56</v>
      </c>
      <c r="D186" s="17" t="s">
        <v>16</v>
      </c>
      <c r="E186" s="18">
        <f>ROUND(6699*1.05,2)</f>
      </c>
      <c r="F186" s="17" t="s">
        <v>17</v>
      </c>
      <c r="G186" s="17" t="s">
        <v>18</v>
      </c>
      <c r="H186" s="18">
        <f>ROUND(RAND()*4+6,1)</f>
      </c>
      <c r="I186" s="17" t="s">
        <v>19</v>
      </c>
      <c r="J186" s="19">
        <f>ROUND(80*1,0)&amp;"%"</f>
      </c>
    </row>
    <row x14ac:dyDescent="0.25" r="187" customHeight="1" ht="17.25">
      <c r="A187" s="20" t="s">
        <v>13457</v>
      </c>
      <c r="B187" s="20" t="s">
        <v>316</v>
      </c>
      <c r="C187" s="20" t="s">
        <v>56</v>
      </c>
      <c r="D187" s="20" t="s">
        <v>22</v>
      </c>
      <c r="E187" s="21">
        <f>ROUND(14650*1.05,2)</f>
      </c>
      <c r="F187" s="20" t="s">
        <v>23</v>
      </c>
      <c r="G187" s="20" t="s">
        <v>24</v>
      </c>
      <c r="H187" s="21">
        <f>ROUND(RAND()*4+6,1)</f>
      </c>
      <c r="I187" s="20" t="s">
        <v>25</v>
      </c>
      <c r="J187" s="23">
        <f>ROUND(83*1,0)&amp;"%"</f>
      </c>
    </row>
    <row x14ac:dyDescent="0.25" r="188" customHeight="1" ht="17.25">
      <c r="A188" s="17" t="s">
        <v>13458</v>
      </c>
      <c r="B188" s="17" t="s">
        <v>318</v>
      </c>
      <c r="C188" s="17" t="s">
        <v>56</v>
      </c>
      <c r="D188" s="17" t="s">
        <v>28</v>
      </c>
      <c r="E188" s="18">
        <f>ROUND(4492*1.05,2)</f>
      </c>
      <c r="F188" s="17" t="s">
        <v>29</v>
      </c>
      <c r="G188" s="17" t="s">
        <v>30</v>
      </c>
      <c r="H188" s="18">
        <f>ROUND(RAND()*4+6,1)</f>
      </c>
      <c r="I188" s="17" t="s">
        <v>31</v>
      </c>
      <c r="J188" s="19">
        <f>ROUND(69*1,0)&amp;"%"</f>
      </c>
    </row>
    <row x14ac:dyDescent="0.25" r="189" customHeight="1" ht="17.25">
      <c r="A189" s="20" t="s">
        <v>13459</v>
      </c>
      <c r="B189" s="20" t="s">
        <v>320</v>
      </c>
      <c r="C189" s="20" t="s">
        <v>56</v>
      </c>
      <c r="D189" s="20" t="s">
        <v>34</v>
      </c>
      <c r="E189" s="21">
        <f>ROUND(11606*1.05,2)</f>
      </c>
      <c r="F189" s="20" t="s">
        <v>35</v>
      </c>
      <c r="G189" s="20" t="s">
        <v>18</v>
      </c>
      <c r="H189" s="21">
        <f>ROUND(RAND()*4+6,1)</f>
      </c>
      <c r="I189" s="20" t="s">
        <v>36</v>
      </c>
      <c r="J189" s="23">
        <f>ROUND(64*1,0)&amp;"%"</f>
      </c>
    </row>
    <row x14ac:dyDescent="0.25" r="190" customHeight="1" ht="17.25">
      <c r="A190" s="17" t="s">
        <v>13460</v>
      </c>
      <c r="B190" s="17" t="s">
        <v>322</v>
      </c>
      <c r="C190" s="17" t="s">
        <v>56</v>
      </c>
      <c r="D190" s="17" t="s">
        <v>39</v>
      </c>
      <c r="E190" s="18">
        <f>ROUND(17221*1.05,2)</f>
      </c>
      <c r="F190" s="17" t="s">
        <v>40</v>
      </c>
      <c r="G190" s="17" t="s">
        <v>24</v>
      </c>
      <c r="H190" s="18">
        <f>ROUND(RAND()*4+6,1)</f>
      </c>
      <c r="I190" s="17" t="s">
        <v>41</v>
      </c>
      <c r="J190" s="19">
        <f>ROUND(85*1,0)&amp;"%"</f>
      </c>
    </row>
    <row x14ac:dyDescent="0.25" r="191" customHeight="1" ht="17.25">
      <c r="A191" s="20" t="s">
        <v>13461</v>
      </c>
      <c r="B191" s="20" t="s">
        <v>324</v>
      </c>
      <c r="C191" s="20" t="s">
        <v>56</v>
      </c>
      <c r="D191" s="20" t="s">
        <v>67</v>
      </c>
      <c r="E191" s="21">
        <f>ROUND(7345*1.05,2)</f>
      </c>
      <c r="F191" s="20" t="s">
        <v>44</v>
      </c>
      <c r="G191" s="20" t="s">
        <v>30</v>
      </c>
      <c r="H191" s="21">
        <f>ROUND(RAND()*4+6,1)</f>
      </c>
      <c r="I191" s="20" t="s">
        <v>45</v>
      </c>
      <c r="J191" s="23">
        <f>ROUND(76*1,0)&amp;"%"</f>
      </c>
    </row>
    <row x14ac:dyDescent="0.25" r="192" customHeight="1" ht="17.25">
      <c r="A192" s="17" t="s">
        <v>13462</v>
      </c>
      <c r="B192" s="17" t="s">
        <v>326</v>
      </c>
      <c r="C192" s="17" t="s">
        <v>56</v>
      </c>
      <c r="D192" s="17" t="s">
        <v>16</v>
      </c>
      <c r="E192" s="18">
        <f>ROUND(7239*1.05,2)</f>
      </c>
      <c r="F192" s="17" t="s">
        <v>48</v>
      </c>
      <c r="G192" s="17" t="s">
        <v>18</v>
      </c>
      <c r="H192" s="18">
        <f>ROUND(RAND()*4+6,1)</f>
      </c>
      <c r="I192" s="17" t="s">
        <v>19</v>
      </c>
      <c r="J192" s="19">
        <f>ROUND(67*1,0)&amp;"%"</f>
      </c>
    </row>
    <row x14ac:dyDescent="0.25" r="193" customHeight="1" ht="17.25">
      <c r="A193" s="20" t="s">
        <v>13463</v>
      </c>
      <c r="B193" s="20" t="s">
        <v>328</v>
      </c>
      <c r="C193" s="20" t="s">
        <v>56</v>
      </c>
      <c r="D193" s="20" t="s">
        <v>22</v>
      </c>
      <c r="E193" s="21">
        <f>ROUND(13788*1.05,2)</f>
      </c>
      <c r="F193" s="20" t="s">
        <v>51</v>
      </c>
      <c r="G193" s="20" t="s">
        <v>24</v>
      </c>
      <c r="H193" s="21">
        <f>ROUND(RAND()*4+6,1)</f>
      </c>
      <c r="I193" s="20" t="s">
        <v>25</v>
      </c>
      <c r="J193" s="23">
        <f>ROUND(90*1,0)&amp;"%"</f>
      </c>
    </row>
    <row x14ac:dyDescent="0.25" r="194" customHeight="1" ht="17.25">
      <c r="A194" s="24" t="s">
        <v>329</v>
      </c>
      <c r="B194" s="24"/>
      <c r="C194" s="24"/>
      <c r="D194" s="24"/>
      <c r="E194" s="25">
        <v>8</v>
      </c>
      <c r="F194" s="9"/>
      <c r="G194" s="9"/>
      <c r="H194" s="10"/>
      <c r="I194" s="9"/>
      <c r="J194" s="9"/>
    </row>
    <row x14ac:dyDescent="0.25" r="195" customHeight="1" ht="17.25">
      <c r="A195" s="7"/>
      <c r="B195" s="7"/>
      <c r="C195" s="7"/>
      <c r="D195" s="7"/>
      <c r="E195" s="8"/>
      <c r="F195" s="9"/>
      <c r="G195" s="9"/>
      <c r="H195" s="10"/>
      <c r="I195" s="9"/>
      <c r="J195" s="9"/>
    </row>
    <row x14ac:dyDescent="0.25" r="196" customHeight="1" ht="17.25">
      <c r="A196" s="11" t="s">
        <v>13464</v>
      </c>
      <c r="B196" s="11"/>
      <c r="C196" s="11"/>
      <c r="D196" s="11"/>
      <c r="E196" s="12"/>
      <c r="F196" s="11"/>
      <c r="G196" s="11"/>
      <c r="H196" s="13"/>
      <c r="I196" s="11"/>
      <c r="J196" s="11"/>
    </row>
    <row x14ac:dyDescent="0.25" r="197" customHeight="1" ht="17.25">
      <c r="A197" s="14" t="s">
        <v>3</v>
      </c>
      <c r="B197" s="14" t="s">
        <v>4</v>
      </c>
      <c r="C197" s="14" t="s">
        <v>5</v>
      </c>
      <c r="D197" s="14" t="s">
        <v>6</v>
      </c>
      <c r="E197" s="15" t="s">
        <v>7</v>
      </c>
      <c r="F197" s="14" t="s">
        <v>8</v>
      </c>
      <c r="G197" s="14" t="s">
        <v>9</v>
      </c>
      <c r="H197" s="16" t="s">
        <v>10</v>
      </c>
      <c r="I197" s="14" t="s">
        <v>11</v>
      </c>
      <c r="J197" s="14" t="s">
        <v>12</v>
      </c>
    </row>
    <row x14ac:dyDescent="0.25" r="198" customHeight="1" ht="17.25">
      <c r="A198" s="17" t="s">
        <v>13465</v>
      </c>
      <c r="B198" s="17" t="s">
        <v>332</v>
      </c>
      <c r="C198" s="17" t="s">
        <v>76</v>
      </c>
      <c r="D198" s="17" t="s">
        <v>16</v>
      </c>
      <c r="E198" s="18">
        <f>ROUND(16861*1.05,2)</f>
      </c>
      <c r="F198" s="17" t="s">
        <v>17</v>
      </c>
      <c r="G198" s="17" t="s">
        <v>18</v>
      </c>
      <c r="H198" s="18">
        <f>ROUND(RAND()*4+6,1)</f>
      </c>
      <c r="I198" s="17" t="s">
        <v>19</v>
      </c>
      <c r="J198" s="19">
        <f>ROUND(86*1,0)&amp;"%"</f>
      </c>
    </row>
    <row x14ac:dyDescent="0.25" r="199" customHeight="1" ht="17.25">
      <c r="A199" s="20" t="s">
        <v>13466</v>
      </c>
      <c r="B199" s="20" t="s">
        <v>334</v>
      </c>
      <c r="C199" s="20" t="s">
        <v>76</v>
      </c>
      <c r="D199" s="20" t="s">
        <v>22</v>
      </c>
      <c r="E199" s="21">
        <f>ROUND(14251*1.05,2)</f>
      </c>
      <c r="F199" s="20" t="s">
        <v>23</v>
      </c>
      <c r="G199" s="20" t="s">
        <v>24</v>
      </c>
      <c r="H199" s="21">
        <f>ROUND(RAND()*4+6,1)</f>
      </c>
      <c r="I199" s="20" t="s">
        <v>25</v>
      </c>
      <c r="J199" s="23">
        <f>ROUND(79*1,0)&amp;"%"</f>
      </c>
    </row>
    <row x14ac:dyDescent="0.25" r="200" customHeight="1" ht="17.25">
      <c r="A200" s="17" t="s">
        <v>13467</v>
      </c>
      <c r="B200" s="17" t="s">
        <v>336</v>
      </c>
      <c r="C200" s="17" t="s">
        <v>76</v>
      </c>
      <c r="D200" s="17" t="s">
        <v>28</v>
      </c>
      <c r="E200" s="18">
        <f>ROUND(7245*1.05,2)</f>
      </c>
      <c r="F200" s="17" t="s">
        <v>29</v>
      </c>
      <c r="G200" s="17" t="s">
        <v>30</v>
      </c>
      <c r="H200" s="18">
        <f>ROUND(RAND()*4+6,1)</f>
      </c>
      <c r="I200" s="17" t="s">
        <v>31</v>
      </c>
      <c r="J200" s="19">
        <f>ROUND(96*1,0)&amp;"%"</f>
      </c>
    </row>
    <row x14ac:dyDescent="0.25" r="201" customHeight="1" ht="17.25">
      <c r="A201" s="20" t="s">
        <v>13468</v>
      </c>
      <c r="B201" s="20" t="s">
        <v>338</v>
      </c>
      <c r="C201" s="20" t="s">
        <v>76</v>
      </c>
      <c r="D201" s="20" t="s">
        <v>34</v>
      </c>
      <c r="E201" s="21">
        <f>ROUND(6496*1.05,2)</f>
      </c>
      <c r="F201" s="20" t="s">
        <v>35</v>
      </c>
      <c r="G201" s="20" t="s">
        <v>18</v>
      </c>
      <c r="H201" s="21">
        <f>ROUND(RAND()*4+6,1)</f>
      </c>
      <c r="I201" s="20" t="s">
        <v>36</v>
      </c>
      <c r="J201" s="23">
        <f>ROUND(97*1,0)&amp;"%"</f>
      </c>
    </row>
    <row x14ac:dyDescent="0.25" r="202" customHeight="1" ht="17.25">
      <c r="A202" s="17" t="s">
        <v>13469</v>
      </c>
      <c r="B202" s="17" t="s">
        <v>340</v>
      </c>
      <c r="C202" s="17" t="s">
        <v>76</v>
      </c>
      <c r="D202" s="17" t="s">
        <v>39</v>
      </c>
      <c r="E202" s="18">
        <f>ROUND(11529*1.05,2)</f>
      </c>
      <c r="F202" s="17" t="s">
        <v>40</v>
      </c>
      <c r="G202" s="17" t="s">
        <v>24</v>
      </c>
      <c r="H202" s="18">
        <f>ROUND(RAND()*4+6,1)</f>
      </c>
      <c r="I202" s="17" t="s">
        <v>41</v>
      </c>
      <c r="J202" s="19">
        <f>ROUND(93*1,0)&amp;"%"</f>
      </c>
    </row>
    <row x14ac:dyDescent="0.25" r="203" customHeight="1" ht="17.25">
      <c r="A203" s="20" t="s">
        <v>13470</v>
      </c>
      <c r="B203" s="20" t="s">
        <v>342</v>
      </c>
      <c r="C203" s="20" t="s">
        <v>76</v>
      </c>
      <c r="D203" s="20" t="s">
        <v>67</v>
      </c>
      <c r="E203" s="21">
        <f>ROUND(16517*1.05,2)</f>
      </c>
      <c r="F203" s="20" t="s">
        <v>44</v>
      </c>
      <c r="G203" s="20" t="s">
        <v>30</v>
      </c>
      <c r="H203" s="21">
        <f>ROUND(RAND()*4+6,1)</f>
      </c>
      <c r="I203" s="20" t="s">
        <v>45</v>
      </c>
      <c r="J203" s="23">
        <f>ROUND(99*1,0)&amp;"%"</f>
      </c>
    </row>
    <row x14ac:dyDescent="0.25" r="204" customHeight="1" ht="17.25">
      <c r="A204" s="17" t="s">
        <v>13471</v>
      </c>
      <c r="B204" s="17" t="s">
        <v>344</v>
      </c>
      <c r="C204" s="17" t="s">
        <v>76</v>
      </c>
      <c r="D204" s="17" t="s">
        <v>16</v>
      </c>
      <c r="E204" s="18">
        <f>ROUND(8767*1.05,2)</f>
      </c>
      <c r="F204" s="17" t="s">
        <v>48</v>
      </c>
      <c r="G204" s="17" t="s">
        <v>18</v>
      </c>
      <c r="H204" s="18">
        <f>ROUND(RAND()*4+6,1)</f>
      </c>
      <c r="I204" s="17" t="s">
        <v>19</v>
      </c>
      <c r="J204" s="19">
        <f>ROUND(70*1,0)&amp;"%"</f>
      </c>
    </row>
    <row x14ac:dyDescent="0.25" r="205" customHeight="1" ht="17.25">
      <c r="A205" s="20" t="s">
        <v>13472</v>
      </c>
      <c r="B205" s="20" t="s">
        <v>346</v>
      </c>
      <c r="C205" s="20" t="s">
        <v>76</v>
      </c>
      <c r="D205" s="20" t="s">
        <v>22</v>
      </c>
      <c r="E205" s="21">
        <f>ROUND(8662*1.05,2)</f>
      </c>
      <c r="F205" s="20" t="s">
        <v>51</v>
      </c>
      <c r="G205" s="20" t="s">
        <v>24</v>
      </c>
      <c r="H205" s="21">
        <f>ROUND(RAND()*4+6,1)</f>
      </c>
      <c r="I205" s="20" t="s">
        <v>25</v>
      </c>
      <c r="J205" s="23">
        <f>ROUND(81*1,0)&amp;"%"</f>
      </c>
    </row>
    <row x14ac:dyDescent="0.25" r="206" customHeight="1" ht="17.25">
      <c r="A206" s="24" t="s">
        <v>347</v>
      </c>
      <c r="B206" s="24"/>
      <c r="C206" s="24"/>
      <c r="D206" s="24"/>
      <c r="E206" s="25">
        <v>8</v>
      </c>
      <c r="F206" s="9"/>
      <c r="G206" s="9"/>
      <c r="H206" s="10"/>
      <c r="I206" s="9"/>
      <c r="J206" s="9"/>
    </row>
    <row x14ac:dyDescent="0.25" r="207" customHeight="1" ht="17.25">
      <c r="A207" s="7"/>
      <c r="B207" s="7"/>
      <c r="C207" s="7"/>
      <c r="D207" s="7"/>
      <c r="E207" s="8"/>
      <c r="F207" s="9"/>
      <c r="G207" s="9"/>
      <c r="H207" s="10"/>
      <c r="I207" s="9"/>
      <c r="J207" s="9"/>
    </row>
    <row x14ac:dyDescent="0.25" r="208" customHeight="1" ht="17.25">
      <c r="A208" s="11" t="s">
        <v>13473</v>
      </c>
      <c r="B208" s="11"/>
      <c r="C208" s="11"/>
      <c r="D208" s="11"/>
      <c r="E208" s="12"/>
      <c r="F208" s="11"/>
      <c r="G208" s="11"/>
      <c r="H208" s="13"/>
      <c r="I208" s="11"/>
      <c r="J208" s="11"/>
    </row>
    <row x14ac:dyDescent="0.25" r="209" customHeight="1" ht="17.25">
      <c r="A209" s="14" t="s">
        <v>3</v>
      </c>
      <c r="B209" s="14" t="s">
        <v>4</v>
      </c>
      <c r="C209" s="14" t="s">
        <v>5</v>
      </c>
      <c r="D209" s="14" t="s">
        <v>6</v>
      </c>
      <c r="E209" s="15" t="s">
        <v>7</v>
      </c>
      <c r="F209" s="14" t="s">
        <v>8</v>
      </c>
      <c r="G209" s="14" t="s">
        <v>9</v>
      </c>
      <c r="H209" s="16" t="s">
        <v>10</v>
      </c>
      <c r="I209" s="14" t="s">
        <v>11</v>
      </c>
      <c r="J209" s="14" t="s">
        <v>12</v>
      </c>
    </row>
    <row x14ac:dyDescent="0.25" r="210" customHeight="1" ht="17.25">
      <c r="A210" s="17" t="s">
        <v>13474</v>
      </c>
      <c r="B210" s="17" t="s">
        <v>350</v>
      </c>
      <c r="C210" s="17" t="s">
        <v>95</v>
      </c>
      <c r="D210" s="17" t="s">
        <v>16</v>
      </c>
      <c r="E210" s="18">
        <f>ROUND(4796*1.05,2)</f>
      </c>
      <c r="F210" s="17" t="s">
        <v>17</v>
      </c>
      <c r="G210" s="17" t="s">
        <v>18</v>
      </c>
      <c r="H210" s="18">
        <f>ROUND(RAND()*4+6,1)</f>
      </c>
      <c r="I210" s="17" t="s">
        <v>19</v>
      </c>
      <c r="J210" s="19">
        <f>ROUND(64*1,0)&amp;"%"</f>
      </c>
    </row>
    <row x14ac:dyDescent="0.25" r="211" customHeight="1" ht="17.25">
      <c r="A211" s="20" t="s">
        <v>13475</v>
      </c>
      <c r="B211" s="20" t="s">
        <v>352</v>
      </c>
      <c r="C211" s="20" t="s">
        <v>95</v>
      </c>
      <c r="D211" s="20" t="s">
        <v>22</v>
      </c>
      <c r="E211" s="22">
        <f>ROUND(7080*1.05,2)</f>
      </c>
      <c r="F211" s="20" t="s">
        <v>23</v>
      </c>
      <c r="G211" s="20" t="s">
        <v>24</v>
      </c>
      <c r="H211" s="21">
        <f>ROUND(RAND()*4+6,1)</f>
      </c>
      <c r="I211" s="20" t="s">
        <v>25</v>
      </c>
      <c r="J211" s="23">
        <f>ROUND(66*1,0)&amp;"%"</f>
      </c>
    </row>
    <row x14ac:dyDescent="0.25" r="212" customHeight="1" ht="17.25">
      <c r="A212" s="17" t="s">
        <v>13476</v>
      </c>
      <c r="B212" s="17" t="s">
        <v>354</v>
      </c>
      <c r="C212" s="17" t="s">
        <v>95</v>
      </c>
      <c r="D212" s="17" t="s">
        <v>28</v>
      </c>
      <c r="E212" s="18">
        <f>ROUND(12086*1.05,2)</f>
      </c>
      <c r="F212" s="17" t="s">
        <v>29</v>
      </c>
      <c r="G212" s="17" t="s">
        <v>30</v>
      </c>
      <c r="H212" s="26">
        <f>ROUND(RAND()*4+6,1)</f>
      </c>
      <c r="I212" s="17" t="s">
        <v>31</v>
      </c>
      <c r="J212" s="19">
        <f>ROUND(86*1,0)&amp;"%"</f>
      </c>
    </row>
    <row x14ac:dyDescent="0.25" r="213" customHeight="1" ht="17.25">
      <c r="A213" s="20" t="s">
        <v>13477</v>
      </c>
      <c r="B213" s="20" t="s">
        <v>356</v>
      </c>
      <c r="C213" s="20" t="s">
        <v>95</v>
      </c>
      <c r="D213" s="20" t="s">
        <v>34</v>
      </c>
      <c r="E213" s="21">
        <f>ROUND(14361*1.05,2)</f>
      </c>
      <c r="F213" s="20" t="s">
        <v>35</v>
      </c>
      <c r="G213" s="20" t="s">
        <v>18</v>
      </c>
      <c r="H213" s="21">
        <f>ROUND(RAND()*4+6,1)</f>
      </c>
      <c r="I213" s="20" t="s">
        <v>36</v>
      </c>
      <c r="J213" s="23">
        <f>ROUND(84*1,0)&amp;"%"</f>
      </c>
    </row>
    <row x14ac:dyDescent="0.25" r="214" customHeight="1" ht="17.25">
      <c r="A214" s="17" t="s">
        <v>13478</v>
      </c>
      <c r="B214" s="17" t="s">
        <v>358</v>
      </c>
      <c r="C214" s="17" t="s">
        <v>95</v>
      </c>
      <c r="D214" s="17" t="s">
        <v>39</v>
      </c>
      <c r="E214" s="18">
        <f>ROUND(12313*1.05,2)</f>
      </c>
      <c r="F214" s="17" t="s">
        <v>40</v>
      </c>
      <c r="G214" s="17" t="s">
        <v>24</v>
      </c>
      <c r="H214" s="18">
        <f>ROUND(RAND()*4+6,1)</f>
      </c>
      <c r="I214" s="17" t="s">
        <v>41</v>
      </c>
      <c r="J214" s="19">
        <f>ROUND(62*1,0)&amp;"%"</f>
      </c>
    </row>
    <row x14ac:dyDescent="0.25" r="215" customHeight="1" ht="17.25">
      <c r="A215" s="20" t="s">
        <v>13479</v>
      </c>
      <c r="B215" s="20" t="s">
        <v>360</v>
      </c>
      <c r="C215" s="20" t="s">
        <v>95</v>
      </c>
      <c r="D215" s="20" t="s">
        <v>67</v>
      </c>
      <c r="E215" s="21">
        <f>ROUND(13674*1.05,2)</f>
      </c>
      <c r="F215" s="20" t="s">
        <v>44</v>
      </c>
      <c r="G215" s="20" t="s">
        <v>30</v>
      </c>
      <c r="H215" s="21">
        <f>ROUND(RAND()*4+6,1)</f>
      </c>
      <c r="I215" s="20" t="s">
        <v>45</v>
      </c>
      <c r="J215" s="23">
        <f>ROUND(96*1,0)&amp;"%"</f>
      </c>
    </row>
    <row x14ac:dyDescent="0.25" r="216" customHeight="1" ht="17.25">
      <c r="A216" s="17" t="s">
        <v>13480</v>
      </c>
      <c r="B216" s="17" t="s">
        <v>362</v>
      </c>
      <c r="C216" s="17" t="s">
        <v>95</v>
      </c>
      <c r="D216" s="17" t="s">
        <v>16</v>
      </c>
      <c r="E216" s="18">
        <f>ROUND(15173*1.05,2)</f>
      </c>
      <c r="F216" s="17" t="s">
        <v>48</v>
      </c>
      <c r="G216" s="17" t="s">
        <v>18</v>
      </c>
      <c r="H216" s="18">
        <f>ROUND(RAND()*4+6,1)</f>
      </c>
      <c r="I216" s="17" t="s">
        <v>19</v>
      </c>
      <c r="J216" s="19">
        <f>ROUND(60*1,0)&amp;"%"</f>
      </c>
    </row>
    <row x14ac:dyDescent="0.25" r="217" customHeight="1" ht="17.25">
      <c r="A217" s="20" t="s">
        <v>13481</v>
      </c>
      <c r="B217" s="20" t="s">
        <v>364</v>
      </c>
      <c r="C217" s="20" t="s">
        <v>95</v>
      </c>
      <c r="D217" s="20" t="s">
        <v>22</v>
      </c>
      <c r="E217" s="21">
        <f>ROUND(10881*1.05,2)</f>
      </c>
      <c r="F217" s="20" t="s">
        <v>51</v>
      </c>
      <c r="G217" s="20" t="s">
        <v>24</v>
      </c>
      <c r="H217" s="21">
        <f>ROUND(RAND()*4+6,1)</f>
      </c>
      <c r="I217" s="20" t="s">
        <v>25</v>
      </c>
      <c r="J217" s="23">
        <f>ROUND(79*1,0)&amp;"%"</f>
      </c>
    </row>
    <row x14ac:dyDescent="0.25" r="218" customHeight="1" ht="17.25">
      <c r="A218" s="24" t="s">
        <v>365</v>
      </c>
      <c r="B218" s="24"/>
      <c r="C218" s="24"/>
      <c r="D218" s="24"/>
      <c r="E218" s="25">
        <v>8</v>
      </c>
      <c r="F218" s="9"/>
      <c r="G218" s="9"/>
      <c r="H218" s="10"/>
      <c r="I218" s="9"/>
      <c r="J218" s="9"/>
    </row>
    <row x14ac:dyDescent="0.25" r="219" customHeight="1" ht="17.25">
      <c r="A219" s="7"/>
      <c r="B219" s="7"/>
      <c r="C219" s="7"/>
      <c r="D219" s="7"/>
      <c r="E219" s="8"/>
      <c r="F219" s="9"/>
      <c r="G219" s="9"/>
      <c r="H219" s="10"/>
      <c r="I219" s="9"/>
      <c r="J219" s="9"/>
    </row>
    <row x14ac:dyDescent="0.25" r="220" customHeight="1" ht="17.25">
      <c r="A220" s="11" t="s">
        <v>13482</v>
      </c>
      <c r="B220" s="11"/>
      <c r="C220" s="11"/>
      <c r="D220" s="11"/>
      <c r="E220" s="12"/>
      <c r="F220" s="11"/>
      <c r="G220" s="11"/>
      <c r="H220" s="13"/>
      <c r="I220" s="11"/>
      <c r="J220" s="11"/>
    </row>
    <row x14ac:dyDescent="0.25" r="221" customHeight="1" ht="17.25">
      <c r="A221" s="14" t="s">
        <v>3</v>
      </c>
      <c r="B221" s="14" t="s">
        <v>4</v>
      </c>
      <c r="C221" s="14" t="s">
        <v>5</v>
      </c>
      <c r="D221" s="14" t="s">
        <v>6</v>
      </c>
      <c r="E221" s="15" t="s">
        <v>7</v>
      </c>
      <c r="F221" s="14" t="s">
        <v>8</v>
      </c>
      <c r="G221" s="14" t="s">
        <v>9</v>
      </c>
      <c r="H221" s="16" t="s">
        <v>10</v>
      </c>
      <c r="I221" s="14" t="s">
        <v>11</v>
      </c>
      <c r="J221" s="14" t="s">
        <v>12</v>
      </c>
    </row>
    <row x14ac:dyDescent="0.25" r="222" customHeight="1" ht="17.25">
      <c r="A222" s="17" t="s">
        <v>13483</v>
      </c>
      <c r="B222" s="17" t="s">
        <v>368</v>
      </c>
      <c r="C222" s="17" t="s">
        <v>114</v>
      </c>
      <c r="D222" s="17" t="s">
        <v>16</v>
      </c>
      <c r="E222" s="18">
        <f>ROUND(7299*1.05,2)</f>
      </c>
      <c r="F222" s="17" t="s">
        <v>17</v>
      </c>
      <c r="G222" s="17" t="s">
        <v>18</v>
      </c>
      <c r="H222" s="18">
        <f>ROUND(RAND()*4+6,1)</f>
      </c>
      <c r="I222" s="17" t="s">
        <v>19</v>
      </c>
      <c r="J222" s="19">
        <f>ROUND(60*1,0)&amp;"%"</f>
      </c>
    </row>
    <row x14ac:dyDescent="0.25" r="223" customHeight="1" ht="17.25">
      <c r="A223" s="20" t="s">
        <v>13484</v>
      </c>
      <c r="B223" s="20" t="s">
        <v>370</v>
      </c>
      <c r="C223" s="20" t="s">
        <v>114</v>
      </c>
      <c r="D223" s="20" t="s">
        <v>22</v>
      </c>
      <c r="E223" s="21">
        <f>ROUND(7085*1.05,2)</f>
      </c>
      <c r="F223" s="20" t="s">
        <v>23</v>
      </c>
      <c r="G223" s="20" t="s">
        <v>24</v>
      </c>
      <c r="H223" s="21">
        <f>ROUND(RAND()*4+6,1)</f>
      </c>
      <c r="I223" s="20" t="s">
        <v>25</v>
      </c>
      <c r="J223" s="23">
        <f>ROUND(64*1,0)&amp;"%"</f>
      </c>
    </row>
    <row x14ac:dyDescent="0.25" r="224" customHeight="1" ht="17.25">
      <c r="A224" s="17" t="s">
        <v>13485</v>
      </c>
      <c r="B224" s="17" t="s">
        <v>372</v>
      </c>
      <c r="C224" s="17" t="s">
        <v>114</v>
      </c>
      <c r="D224" s="17" t="s">
        <v>28</v>
      </c>
      <c r="E224" s="18">
        <f>ROUND(6867*1.05,2)</f>
      </c>
      <c r="F224" s="17" t="s">
        <v>29</v>
      </c>
      <c r="G224" s="17" t="s">
        <v>30</v>
      </c>
      <c r="H224" s="18">
        <f>ROUND(RAND()*4+6,1)</f>
      </c>
      <c r="I224" s="17" t="s">
        <v>31</v>
      </c>
      <c r="J224" s="19">
        <f>ROUND(87*1,0)&amp;"%"</f>
      </c>
    </row>
    <row x14ac:dyDescent="0.25" r="225" customHeight="1" ht="17.25">
      <c r="A225" s="20" t="s">
        <v>13486</v>
      </c>
      <c r="B225" s="20" t="s">
        <v>374</v>
      </c>
      <c r="C225" s="20" t="s">
        <v>114</v>
      </c>
      <c r="D225" s="20" t="s">
        <v>34</v>
      </c>
      <c r="E225" s="21">
        <f>ROUND(9369*1.05,2)</f>
      </c>
      <c r="F225" s="20" t="s">
        <v>35</v>
      </c>
      <c r="G225" s="20" t="s">
        <v>18</v>
      </c>
      <c r="H225" s="21">
        <f>ROUND(RAND()*4+6,1)</f>
      </c>
      <c r="I225" s="20" t="s">
        <v>36</v>
      </c>
      <c r="J225" s="23">
        <f>ROUND(79*1,0)&amp;"%"</f>
      </c>
    </row>
    <row x14ac:dyDescent="0.25" r="226" customHeight="1" ht="17.25">
      <c r="A226" s="17" t="s">
        <v>13487</v>
      </c>
      <c r="B226" s="17" t="s">
        <v>376</v>
      </c>
      <c r="C226" s="17" t="s">
        <v>114</v>
      </c>
      <c r="D226" s="17" t="s">
        <v>39</v>
      </c>
      <c r="E226" s="18">
        <f>ROUND(14522*1.05,2)</f>
      </c>
      <c r="F226" s="17" t="s">
        <v>40</v>
      </c>
      <c r="G226" s="17" t="s">
        <v>24</v>
      </c>
      <c r="H226" s="26">
        <f>ROUND(RAND()*4+6,1)</f>
      </c>
      <c r="I226" s="17" t="s">
        <v>41</v>
      </c>
      <c r="J226" s="19">
        <f>ROUND(78*1,0)&amp;"%"</f>
      </c>
    </row>
    <row x14ac:dyDescent="0.25" r="227" customHeight="1" ht="17.25">
      <c r="A227" s="20" t="s">
        <v>13488</v>
      </c>
      <c r="B227" s="20" t="s">
        <v>378</v>
      </c>
      <c r="C227" s="20" t="s">
        <v>114</v>
      </c>
      <c r="D227" s="20" t="s">
        <v>67</v>
      </c>
      <c r="E227" s="21">
        <f>ROUND(6008*1.05,2)</f>
      </c>
      <c r="F227" s="20" t="s">
        <v>44</v>
      </c>
      <c r="G227" s="20" t="s">
        <v>30</v>
      </c>
      <c r="H227" s="21">
        <f>ROUND(RAND()*4+6,1)</f>
      </c>
      <c r="I227" s="20" t="s">
        <v>45</v>
      </c>
      <c r="J227" s="23">
        <f>ROUND(80*1,0)&amp;"%"</f>
      </c>
    </row>
    <row x14ac:dyDescent="0.25" r="228" customHeight="1" ht="17.25">
      <c r="A228" s="17" t="s">
        <v>13489</v>
      </c>
      <c r="B228" s="17" t="s">
        <v>380</v>
      </c>
      <c r="C228" s="17" t="s">
        <v>114</v>
      </c>
      <c r="D228" s="17" t="s">
        <v>16</v>
      </c>
      <c r="E228" s="18">
        <f>ROUND(16286*1.05,2)</f>
      </c>
      <c r="F228" s="17" t="s">
        <v>48</v>
      </c>
      <c r="G228" s="17" t="s">
        <v>18</v>
      </c>
      <c r="H228" s="18">
        <f>ROUND(RAND()*4+6,1)</f>
      </c>
      <c r="I228" s="17" t="s">
        <v>19</v>
      </c>
      <c r="J228" s="19">
        <f>ROUND(69*1,0)&amp;"%"</f>
      </c>
    </row>
    <row x14ac:dyDescent="0.25" r="229" customHeight="1" ht="17.25">
      <c r="A229" s="20" t="s">
        <v>13490</v>
      </c>
      <c r="B229" s="20" t="s">
        <v>382</v>
      </c>
      <c r="C229" s="20" t="s">
        <v>114</v>
      </c>
      <c r="D229" s="20" t="s">
        <v>22</v>
      </c>
      <c r="E229" s="21">
        <f>ROUND(8043*1.05,2)</f>
      </c>
      <c r="F229" s="20" t="s">
        <v>51</v>
      </c>
      <c r="G229" s="20" t="s">
        <v>24</v>
      </c>
      <c r="H229" s="21">
        <f>ROUND(RAND()*4+6,1)</f>
      </c>
      <c r="I229" s="20" t="s">
        <v>25</v>
      </c>
      <c r="J229" s="23">
        <f>ROUND(77*1,0)&amp;"%"</f>
      </c>
    </row>
    <row x14ac:dyDescent="0.25" r="230" customHeight="1" ht="17.25">
      <c r="A230" s="24" t="s">
        <v>383</v>
      </c>
      <c r="B230" s="24"/>
      <c r="C230" s="24"/>
      <c r="D230" s="24"/>
      <c r="E230" s="25">
        <v>8</v>
      </c>
      <c r="F230" s="9"/>
      <c r="G230" s="9"/>
      <c r="H230" s="10"/>
      <c r="I230" s="9"/>
      <c r="J230" s="9"/>
    </row>
    <row x14ac:dyDescent="0.25" r="231" customHeight="1" ht="17.25">
      <c r="A231" s="7"/>
      <c r="B231" s="7"/>
      <c r="C231" s="7"/>
      <c r="D231" s="7"/>
      <c r="E231" s="8"/>
      <c r="F231" s="9"/>
      <c r="G231" s="9"/>
      <c r="H231" s="10"/>
      <c r="I231" s="9"/>
      <c r="J231" s="9"/>
    </row>
    <row x14ac:dyDescent="0.25" r="232" customHeight="1" ht="17.25">
      <c r="A232" s="11" t="s">
        <v>13491</v>
      </c>
      <c r="B232" s="11"/>
      <c r="C232" s="11"/>
      <c r="D232" s="11"/>
      <c r="E232" s="12"/>
      <c r="F232" s="11"/>
      <c r="G232" s="11"/>
      <c r="H232" s="13"/>
      <c r="I232" s="11"/>
      <c r="J232" s="11"/>
    </row>
    <row x14ac:dyDescent="0.25" r="233" customHeight="1" ht="17.25">
      <c r="A233" s="14" t="s">
        <v>3</v>
      </c>
      <c r="B233" s="14" t="s">
        <v>4</v>
      </c>
      <c r="C233" s="14" t="s">
        <v>5</v>
      </c>
      <c r="D233" s="14" t="s">
        <v>6</v>
      </c>
      <c r="E233" s="15" t="s">
        <v>7</v>
      </c>
      <c r="F233" s="14" t="s">
        <v>8</v>
      </c>
      <c r="G233" s="14" t="s">
        <v>9</v>
      </c>
      <c r="H233" s="16" t="s">
        <v>10</v>
      </c>
      <c r="I233" s="14" t="s">
        <v>11</v>
      </c>
      <c r="J233" s="14" t="s">
        <v>12</v>
      </c>
    </row>
    <row x14ac:dyDescent="0.25" r="234" customHeight="1" ht="17.25">
      <c r="A234" s="17" t="s">
        <v>13492</v>
      </c>
      <c r="B234" s="17" t="s">
        <v>386</v>
      </c>
      <c r="C234" s="17" t="s">
        <v>133</v>
      </c>
      <c r="D234" s="17" t="s">
        <v>16</v>
      </c>
      <c r="E234" s="18">
        <f>ROUND(8249*1.05,2)</f>
      </c>
      <c r="F234" s="17" t="s">
        <v>17</v>
      </c>
      <c r="G234" s="17" t="s">
        <v>18</v>
      </c>
      <c r="H234" s="18">
        <f>ROUND(RAND()*4+6,1)</f>
      </c>
      <c r="I234" s="17" t="s">
        <v>19</v>
      </c>
      <c r="J234" s="19">
        <f>ROUND(86*1,0)&amp;"%"</f>
      </c>
    </row>
    <row x14ac:dyDescent="0.25" r="235" customHeight="1" ht="17.25">
      <c r="A235" s="20" t="s">
        <v>13493</v>
      </c>
      <c r="B235" s="20" t="s">
        <v>388</v>
      </c>
      <c r="C235" s="20" t="s">
        <v>133</v>
      </c>
      <c r="D235" s="20" t="s">
        <v>22</v>
      </c>
      <c r="E235" s="21">
        <f>ROUND(4495*1.05,2)</f>
      </c>
      <c r="F235" s="20" t="s">
        <v>23</v>
      </c>
      <c r="G235" s="20" t="s">
        <v>24</v>
      </c>
      <c r="H235" s="21">
        <f>ROUND(RAND()*4+6,1)</f>
      </c>
      <c r="I235" s="20" t="s">
        <v>25</v>
      </c>
      <c r="J235" s="23">
        <f>ROUND(93*1,0)&amp;"%"</f>
      </c>
    </row>
    <row x14ac:dyDescent="0.25" r="236" customHeight="1" ht="17.25">
      <c r="A236" s="17" t="s">
        <v>13494</v>
      </c>
      <c r="B236" s="17" t="s">
        <v>390</v>
      </c>
      <c r="C236" s="17" t="s">
        <v>133</v>
      </c>
      <c r="D236" s="17" t="s">
        <v>28</v>
      </c>
      <c r="E236" s="18">
        <f>ROUND(4876*1.05,2)</f>
      </c>
      <c r="F236" s="17" t="s">
        <v>29</v>
      </c>
      <c r="G236" s="17" t="s">
        <v>30</v>
      </c>
      <c r="H236" s="18">
        <f>ROUND(RAND()*4+6,1)</f>
      </c>
      <c r="I236" s="17" t="s">
        <v>31</v>
      </c>
      <c r="J236" s="19">
        <f>ROUND(75*1,0)&amp;"%"</f>
      </c>
    </row>
    <row x14ac:dyDescent="0.25" r="237" customHeight="1" ht="17.25">
      <c r="A237" s="20" t="s">
        <v>13495</v>
      </c>
      <c r="B237" s="20" t="s">
        <v>392</v>
      </c>
      <c r="C237" s="20" t="s">
        <v>133</v>
      </c>
      <c r="D237" s="20" t="s">
        <v>34</v>
      </c>
      <c r="E237" s="21">
        <f>ROUND(8859*1.05,2)</f>
      </c>
      <c r="F237" s="20" t="s">
        <v>35</v>
      </c>
      <c r="G237" s="20" t="s">
        <v>18</v>
      </c>
      <c r="H237" s="21">
        <f>ROUND(RAND()*4+6,1)</f>
      </c>
      <c r="I237" s="20" t="s">
        <v>36</v>
      </c>
      <c r="J237" s="23">
        <f>ROUND(72*1,0)&amp;"%"</f>
      </c>
    </row>
    <row x14ac:dyDescent="0.25" r="238" customHeight="1" ht="17.25">
      <c r="A238" s="17" t="s">
        <v>13496</v>
      </c>
      <c r="B238" s="17" t="s">
        <v>394</v>
      </c>
      <c r="C238" s="17" t="s">
        <v>133</v>
      </c>
      <c r="D238" s="17" t="s">
        <v>39</v>
      </c>
      <c r="E238" s="26">
        <f>ROUND(16620*1.05,2)</f>
      </c>
      <c r="F238" s="17" t="s">
        <v>40</v>
      </c>
      <c r="G238" s="17" t="s">
        <v>24</v>
      </c>
      <c r="H238" s="18">
        <f>ROUND(RAND()*4+6,1)</f>
      </c>
      <c r="I238" s="17" t="s">
        <v>41</v>
      </c>
      <c r="J238" s="19">
        <f>ROUND(97*1,0)&amp;"%"</f>
      </c>
    </row>
    <row x14ac:dyDescent="0.25" r="239" customHeight="1" ht="17.25">
      <c r="A239" s="20" t="s">
        <v>13497</v>
      </c>
      <c r="B239" s="20" t="s">
        <v>396</v>
      </c>
      <c r="C239" s="20" t="s">
        <v>133</v>
      </c>
      <c r="D239" s="20" t="s">
        <v>67</v>
      </c>
      <c r="E239" s="21">
        <f>ROUND(17907*1.05,2)</f>
      </c>
      <c r="F239" s="20" t="s">
        <v>44</v>
      </c>
      <c r="G239" s="20" t="s">
        <v>30</v>
      </c>
      <c r="H239" s="21">
        <f>ROUND(RAND()*4+6,1)</f>
      </c>
      <c r="I239" s="20" t="s">
        <v>45</v>
      </c>
      <c r="J239" s="23">
        <f>ROUND(74*1,0)&amp;"%"</f>
      </c>
    </row>
    <row x14ac:dyDescent="0.25" r="240" customHeight="1" ht="17.25">
      <c r="A240" s="17" t="s">
        <v>13498</v>
      </c>
      <c r="B240" s="17" t="s">
        <v>398</v>
      </c>
      <c r="C240" s="17" t="s">
        <v>133</v>
      </c>
      <c r="D240" s="17" t="s">
        <v>16</v>
      </c>
      <c r="E240" s="18">
        <f>ROUND(6069*1.05,2)</f>
      </c>
      <c r="F240" s="17" t="s">
        <v>48</v>
      </c>
      <c r="G240" s="17" t="s">
        <v>18</v>
      </c>
      <c r="H240" s="18">
        <f>ROUND(RAND()*4+6,1)</f>
      </c>
      <c r="I240" s="17" t="s">
        <v>19</v>
      </c>
      <c r="J240" s="19">
        <f>ROUND(94*1,0)&amp;"%"</f>
      </c>
    </row>
    <row x14ac:dyDescent="0.25" r="241" customHeight="1" ht="17.25">
      <c r="A241" s="20" t="s">
        <v>13499</v>
      </c>
      <c r="B241" s="20" t="s">
        <v>400</v>
      </c>
      <c r="C241" s="20" t="s">
        <v>133</v>
      </c>
      <c r="D241" s="20" t="s">
        <v>22</v>
      </c>
      <c r="E241" s="21">
        <f>ROUND(12137*1.05,2)</f>
      </c>
      <c r="F241" s="20" t="s">
        <v>51</v>
      </c>
      <c r="G241" s="20" t="s">
        <v>24</v>
      </c>
      <c r="H241" s="21">
        <f>ROUND(RAND()*4+6,1)</f>
      </c>
      <c r="I241" s="20" t="s">
        <v>25</v>
      </c>
      <c r="J241" s="23">
        <f>ROUND(88*1,0)&amp;"%"</f>
      </c>
    </row>
    <row x14ac:dyDescent="0.25" r="242" customHeight="1" ht="17.25">
      <c r="A242" s="24" t="s">
        <v>401</v>
      </c>
      <c r="B242" s="24"/>
      <c r="C242" s="24"/>
      <c r="D242" s="24"/>
      <c r="E242" s="25">
        <v>8</v>
      </c>
      <c r="F242" s="9"/>
      <c r="G242" s="9"/>
      <c r="H242" s="10"/>
      <c r="I242" s="9"/>
      <c r="J242" s="9"/>
    </row>
    <row x14ac:dyDescent="0.25" r="243" customHeight="1" ht="17.25">
      <c r="A243" s="7"/>
      <c r="B243" s="7"/>
      <c r="C243" s="7"/>
      <c r="D243" s="7"/>
      <c r="E243" s="8"/>
      <c r="F243" s="9"/>
      <c r="G243" s="9"/>
      <c r="H243" s="10"/>
      <c r="I243" s="9"/>
      <c r="J243" s="9"/>
    </row>
    <row x14ac:dyDescent="0.25" r="244" customHeight="1" ht="17.25">
      <c r="A244" s="11" t="s">
        <v>13500</v>
      </c>
      <c r="B244" s="11"/>
      <c r="C244" s="11"/>
      <c r="D244" s="11"/>
      <c r="E244" s="12"/>
      <c r="F244" s="11"/>
      <c r="G244" s="11"/>
      <c r="H244" s="13"/>
      <c r="I244" s="11"/>
      <c r="J244" s="11"/>
    </row>
    <row x14ac:dyDescent="0.25" r="245" customHeight="1" ht="17.25">
      <c r="A245" s="14" t="s">
        <v>3</v>
      </c>
      <c r="B245" s="14" t="s">
        <v>4</v>
      </c>
      <c r="C245" s="14" t="s">
        <v>5</v>
      </c>
      <c r="D245" s="14" t="s">
        <v>6</v>
      </c>
      <c r="E245" s="15" t="s">
        <v>7</v>
      </c>
      <c r="F245" s="14" t="s">
        <v>8</v>
      </c>
      <c r="G245" s="14" t="s">
        <v>9</v>
      </c>
      <c r="H245" s="16" t="s">
        <v>10</v>
      </c>
      <c r="I245" s="14" t="s">
        <v>11</v>
      </c>
      <c r="J245" s="14" t="s">
        <v>12</v>
      </c>
    </row>
    <row x14ac:dyDescent="0.25" r="246" customHeight="1" ht="17.25">
      <c r="A246" s="17" t="s">
        <v>13501</v>
      </c>
      <c r="B246" s="17" t="s">
        <v>404</v>
      </c>
      <c r="C246" s="17" t="s">
        <v>152</v>
      </c>
      <c r="D246" s="17" t="s">
        <v>16</v>
      </c>
      <c r="E246" s="18">
        <f>ROUND(9459*1.05,2)</f>
      </c>
      <c r="F246" s="17" t="s">
        <v>17</v>
      </c>
      <c r="G246" s="17" t="s">
        <v>18</v>
      </c>
      <c r="H246" s="18">
        <f>ROUND(RAND()*4+6,1)</f>
      </c>
      <c r="I246" s="17" t="s">
        <v>19</v>
      </c>
      <c r="J246" s="19">
        <f>ROUND(89*1,0)&amp;"%"</f>
      </c>
    </row>
    <row x14ac:dyDescent="0.25" r="247" customHeight="1" ht="17.25">
      <c r="A247" s="20" t="s">
        <v>13502</v>
      </c>
      <c r="B247" s="20" t="s">
        <v>406</v>
      </c>
      <c r="C247" s="20" t="s">
        <v>152</v>
      </c>
      <c r="D247" s="20" t="s">
        <v>22</v>
      </c>
      <c r="E247" s="21">
        <f>ROUND(4635*1.05,2)</f>
      </c>
      <c r="F247" s="20" t="s">
        <v>23</v>
      </c>
      <c r="G247" s="20" t="s">
        <v>24</v>
      </c>
      <c r="H247" s="21">
        <f>ROUND(RAND()*4+6,1)</f>
      </c>
      <c r="I247" s="20" t="s">
        <v>25</v>
      </c>
      <c r="J247" s="23">
        <f>ROUND(78*1,0)&amp;"%"</f>
      </c>
    </row>
    <row x14ac:dyDescent="0.25" r="248" customHeight="1" ht="17.25">
      <c r="A248" s="17" t="s">
        <v>13503</v>
      </c>
      <c r="B248" s="17" t="s">
        <v>408</v>
      </c>
      <c r="C248" s="17" t="s">
        <v>152</v>
      </c>
      <c r="D248" s="17" t="s">
        <v>28</v>
      </c>
      <c r="E248" s="18">
        <f>ROUND(4527*1.05,2)</f>
      </c>
      <c r="F248" s="17" t="s">
        <v>29</v>
      </c>
      <c r="G248" s="17" t="s">
        <v>30</v>
      </c>
      <c r="H248" s="18">
        <f>ROUND(RAND()*4+6,1)</f>
      </c>
      <c r="I248" s="17" t="s">
        <v>31</v>
      </c>
      <c r="J248" s="19">
        <f>ROUND(86*1,0)&amp;"%"</f>
      </c>
    </row>
    <row x14ac:dyDescent="0.25" r="249" customHeight="1" ht="17.25">
      <c r="A249" s="20" t="s">
        <v>13504</v>
      </c>
      <c r="B249" s="20" t="s">
        <v>410</v>
      </c>
      <c r="C249" s="20" t="s">
        <v>152</v>
      </c>
      <c r="D249" s="20" t="s">
        <v>34</v>
      </c>
      <c r="E249" s="21">
        <f>ROUND(9095*1.05,2)</f>
      </c>
      <c r="F249" s="20" t="s">
        <v>35</v>
      </c>
      <c r="G249" s="20" t="s">
        <v>18</v>
      </c>
      <c r="H249" s="21">
        <f>ROUND(RAND()*4+6,1)</f>
      </c>
      <c r="I249" s="20" t="s">
        <v>36</v>
      </c>
      <c r="J249" s="23">
        <f>ROUND(83*1,0)&amp;"%"</f>
      </c>
    </row>
    <row x14ac:dyDescent="0.25" r="250" customHeight="1" ht="17.25">
      <c r="A250" s="17" t="s">
        <v>13505</v>
      </c>
      <c r="B250" s="17" t="s">
        <v>412</v>
      </c>
      <c r="C250" s="17" t="s">
        <v>152</v>
      </c>
      <c r="D250" s="17" t="s">
        <v>39</v>
      </c>
      <c r="E250" s="18">
        <f>ROUND(13011*1.05,2)</f>
      </c>
      <c r="F250" s="17" t="s">
        <v>40</v>
      </c>
      <c r="G250" s="17" t="s">
        <v>24</v>
      </c>
      <c r="H250" s="18">
        <f>ROUND(RAND()*4+6,1)</f>
      </c>
      <c r="I250" s="17" t="s">
        <v>41</v>
      </c>
      <c r="J250" s="19">
        <f>ROUND(74*1,0)&amp;"%"</f>
      </c>
    </row>
    <row x14ac:dyDescent="0.25" r="251" customHeight="1" ht="17.25">
      <c r="A251" s="20" t="s">
        <v>13506</v>
      </c>
      <c r="B251" s="20" t="s">
        <v>414</v>
      </c>
      <c r="C251" s="20" t="s">
        <v>152</v>
      </c>
      <c r="D251" s="20" t="s">
        <v>67</v>
      </c>
      <c r="E251" s="21">
        <f>ROUND(16401*1.05,2)</f>
      </c>
      <c r="F251" s="20" t="s">
        <v>44</v>
      </c>
      <c r="G251" s="20" t="s">
        <v>30</v>
      </c>
      <c r="H251" s="21">
        <f>ROUND(RAND()*4+6,1)</f>
      </c>
      <c r="I251" s="20" t="s">
        <v>45</v>
      </c>
      <c r="J251" s="23">
        <f>ROUND(74*1,0)&amp;"%"</f>
      </c>
    </row>
    <row x14ac:dyDescent="0.25" r="252" customHeight="1" ht="17.25">
      <c r="A252" s="17" t="s">
        <v>13507</v>
      </c>
      <c r="B252" s="17" t="s">
        <v>416</v>
      </c>
      <c r="C252" s="17" t="s">
        <v>152</v>
      </c>
      <c r="D252" s="17" t="s">
        <v>16</v>
      </c>
      <c r="E252" s="18">
        <f>ROUND(10550*1.05,2)</f>
      </c>
      <c r="F252" s="17" t="s">
        <v>48</v>
      </c>
      <c r="G252" s="17" t="s">
        <v>18</v>
      </c>
      <c r="H252" s="18">
        <f>ROUND(RAND()*4+6,1)</f>
      </c>
      <c r="I252" s="17" t="s">
        <v>19</v>
      </c>
      <c r="J252" s="19">
        <f>ROUND(69*1,0)&amp;"%"</f>
      </c>
    </row>
    <row x14ac:dyDescent="0.25" r="253" customHeight="1" ht="17.25">
      <c r="A253" s="20" t="s">
        <v>13508</v>
      </c>
      <c r="B253" s="20" t="s">
        <v>418</v>
      </c>
      <c r="C253" s="20" t="s">
        <v>152</v>
      </c>
      <c r="D253" s="20" t="s">
        <v>22</v>
      </c>
      <c r="E253" s="21">
        <f>ROUND(13450*1.05,2)</f>
      </c>
      <c r="F253" s="20" t="s">
        <v>51</v>
      </c>
      <c r="G253" s="20" t="s">
        <v>24</v>
      </c>
      <c r="H253" s="22">
        <f>ROUND(RAND()*4+6,1)</f>
      </c>
      <c r="I253" s="20" t="s">
        <v>25</v>
      </c>
      <c r="J253" s="23">
        <f>ROUND(64*1,0)&amp;"%"</f>
      </c>
    </row>
    <row x14ac:dyDescent="0.25" r="254" customHeight="1" ht="17.25">
      <c r="A254" s="24" t="s">
        <v>419</v>
      </c>
      <c r="B254" s="24"/>
      <c r="C254" s="24"/>
      <c r="D254" s="24"/>
      <c r="E254" s="25">
        <v>8</v>
      </c>
      <c r="F254" s="9"/>
      <c r="G254" s="9"/>
      <c r="H254" s="10"/>
      <c r="I254" s="9"/>
      <c r="J254" s="9"/>
    </row>
    <row x14ac:dyDescent="0.25" r="255" customHeight="1" ht="17.25">
      <c r="A255" s="7"/>
      <c r="B255" s="7"/>
      <c r="C255" s="7"/>
      <c r="D255" s="7"/>
      <c r="E255" s="8"/>
      <c r="F255" s="9"/>
      <c r="G255" s="9"/>
      <c r="H255" s="10"/>
      <c r="I255" s="9"/>
      <c r="J255" s="9"/>
    </row>
    <row x14ac:dyDescent="0.25" r="256" customHeight="1" ht="17.25">
      <c r="A256" s="11" t="s">
        <v>13509</v>
      </c>
      <c r="B256" s="11"/>
      <c r="C256" s="11"/>
      <c r="D256" s="11"/>
      <c r="E256" s="12"/>
      <c r="F256" s="11"/>
      <c r="G256" s="11"/>
      <c r="H256" s="13"/>
      <c r="I256" s="11"/>
      <c r="J256" s="11"/>
    </row>
    <row x14ac:dyDescent="0.25" r="257" customHeight="1" ht="17.25">
      <c r="A257" s="14" t="s">
        <v>3</v>
      </c>
      <c r="B257" s="14" t="s">
        <v>4</v>
      </c>
      <c r="C257" s="14" t="s">
        <v>5</v>
      </c>
      <c r="D257" s="14" t="s">
        <v>6</v>
      </c>
      <c r="E257" s="15" t="s">
        <v>7</v>
      </c>
      <c r="F257" s="14" t="s">
        <v>8</v>
      </c>
      <c r="G257" s="14" t="s">
        <v>9</v>
      </c>
      <c r="H257" s="16" t="s">
        <v>10</v>
      </c>
      <c r="I257" s="14" t="s">
        <v>11</v>
      </c>
      <c r="J257" s="14" t="s">
        <v>12</v>
      </c>
    </row>
    <row x14ac:dyDescent="0.25" r="258" customHeight="1" ht="17.25">
      <c r="A258" s="17" t="s">
        <v>13510</v>
      </c>
      <c r="B258" s="17" t="s">
        <v>422</v>
      </c>
      <c r="C258" s="17" t="s">
        <v>15</v>
      </c>
      <c r="D258" s="17" t="s">
        <v>16</v>
      </c>
      <c r="E258" s="18">
        <f>ROUND(7673*1.05,2)</f>
      </c>
      <c r="F258" s="17" t="s">
        <v>17</v>
      </c>
      <c r="G258" s="17" t="s">
        <v>18</v>
      </c>
      <c r="H258" s="18">
        <f>ROUND(RAND()*4+6,1)</f>
      </c>
      <c r="I258" s="17" t="s">
        <v>19</v>
      </c>
      <c r="J258" s="19">
        <f>ROUND(76*1,0)&amp;"%"</f>
      </c>
    </row>
    <row x14ac:dyDescent="0.25" r="259" customHeight="1" ht="17.25">
      <c r="A259" s="20" t="s">
        <v>13511</v>
      </c>
      <c r="B259" s="20" t="s">
        <v>424</v>
      </c>
      <c r="C259" s="20" t="s">
        <v>15</v>
      </c>
      <c r="D259" s="20" t="s">
        <v>22</v>
      </c>
      <c r="E259" s="21">
        <f>ROUND(9265*1.05,2)</f>
      </c>
      <c r="F259" s="20" t="s">
        <v>23</v>
      </c>
      <c r="G259" s="20" t="s">
        <v>24</v>
      </c>
      <c r="H259" s="21">
        <f>ROUND(RAND()*4+6,1)</f>
      </c>
      <c r="I259" s="20" t="s">
        <v>25</v>
      </c>
      <c r="J259" s="23">
        <f>ROUND(98*1,0)&amp;"%"</f>
      </c>
    </row>
    <row x14ac:dyDescent="0.25" r="260" customHeight="1" ht="17.25">
      <c r="A260" s="17" t="s">
        <v>13512</v>
      </c>
      <c r="B260" s="17" t="s">
        <v>426</v>
      </c>
      <c r="C260" s="17" t="s">
        <v>15</v>
      </c>
      <c r="D260" s="17" t="s">
        <v>28</v>
      </c>
      <c r="E260" s="18">
        <f>ROUND(5670*1.05,2)</f>
      </c>
      <c r="F260" s="17" t="s">
        <v>29</v>
      </c>
      <c r="G260" s="17" t="s">
        <v>30</v>
      </c>
      <c r="H260" s="18">
        <f>ROUND(RAND()*4+6,1)</f>
      </c>
      <c r="I260" s="17" t="s">
        <v>31</v>
      </c>
      <c r="J260" s="19">
        <f>ROUND(62*1,0)&amp;"%"</f>
      </c>
    </row>
    <row x14ac:dyDescent="0.25" r="261" customHeight="1" ht="17.25">
      <c r="A261" s="20" t="s">
        <v>13513</v>
      </c>
      <c r="B261" s="20" t="s">
        <v>428</v>
      </c>
      <c r="C261" s="20" t="s">
        <v>15</v>
      </c>
      <c r="D261" s="20" t="s">
        <v>34</v>
      </c>
      <c r="E261" s="21">
        <f>ROUND(5977*1.05,2)</f>
      </c>
      <c r="F261" s="20" t="s">
        <v>35</v>
      </c>
      <c r="G261" s="20" t="s">
        <v>18</v>
      </c>
      <c r="H261" s="21">
        <f>ROUND(RAND()*4+6,1)</f>
      </c>
      <c r="I261" s="20" t="s">
        <v>36</v>
      </c>
      <c r="J261" s="23">
        <f>ROUND(69*1,0)&amp;"%"</f>
      </c>
    </row>
    <row x14ac:dyDescent="0.25" r="262" customHeight="1" ht="17.25">
      <c r="A262" s="17" t="s">
        <v>13514</v>
      </c>
      <c r="B262" s="17" t="s">
        <v>430</v>
      </c>
      <c r="C262" s="17" t="s">
        <v>15</v>
      </c>
      <c r="D262" s="17" t="s">
        <v>39</v>
      </c>
      <c r="E262" s="18">
        <f>ROUND(12521*1.05,2)</f>
      </c>
      <c r="F262" s="17" t="s">
        <v>40</v>
      </c>
      <c r="G262" s="17" t="s">
        <v>24</v>
      </c>
      <c r="H262" s="26">
        <f>ROUND(RAND()*4+6,1)</f>
      </c>
      <c r="I262" s="17" t="s">
        <v>41</v>
      </c>
      <c r="J262" s="19">
        <f>ROUND(78*1,0)&amp;"%"</f>
      </c>
    </row>
    <row x14ac:dyDescent="0.25" r="263" customHeight="1" ht="17.25">
      <c r="A263" s="20" t="s">
        <v>13515</v>
      </c>
      <c r="B263" s="20" t="s">
        <v>432</v>
      </c>
      <c r="C263" s="20" t="s">
        <v>15</v>
      </c>
      <c r="D263" s="20" t="s">
        <v>67</v>
      </c>
      <c r="E263" s="21">
        <f>ROUND(4341*1.05,2)</f>
      </c>
      <c r="F263" s="20" t="s">
        <v>44</v>
      </c>
      <c r="G263" s="20" t="s">
        <v>30</v>
      </c>
      <c r="H263" s="21">
        <f>ROUND(RAND()*4+6,1)</f>
      </c>
      <c r="I263" s="20" t="s">
        <v>45</v>
      </c>
      <c r="J263" s="23">
        <f>ROUND(75*1,0)&amp;"%"</f>
      </c>
    </row>
    <row x14ac:dyDescent="0.25" r="264" customHeight="1" ht="17.25">
      <c r="A264" s="17" t="s">
        <v>13516</v>
      </c>
      <c r="B264" s="17" t="s">
        <v>434</v>
      </c>
      <c r="C264" s="17" t="s">
        <v>15</v>
      </c>
      <c r="D264" s="17" t="s">
        <v>16</v>
      </c>
      <c r="E264" s="18">
        <f>ROUND(8326*1.05,2)</f>
      </c>
      <c r="F264" s="17" t="s">
        <v>48</v>
      </c>
      <c r="G264" s="17" t="s">
        <v>18</v>
      </c>
      <c r="H264" s="18">
        <f>ROUND(RAND()*4+6,1)</f>
      </c>
      <c r="I264" s="17" t="s">
        <v>19</v>
      </c>
      <c r="J264" s="19">
        <f>ROUND(78*1,0)&amp;"%"</f>
      </c>
    </row>
    <row x14ac:dyDescent="0.25" r="265" customHeight="1" ht="17.25">
      <c r="A265" s="20" t="s">
        <v>13517</v>
      </c>
      <c r="B265" s="20" t="s">
        <v>436</v>
      </c>
      <c r="C265" s="20" t="s">
        <v>15</v>
      </c>
      <c r="D265" s="20" t="s">
        <v>22</v>
      </c>
      <c r="E265" s="21">
        <f>ROUND(11749*1.05,2)</f>
      </c>
      <c r="F265" s="20" t="s">
        <v>51</v>
      </c>
      <c r="G265" s="20" t="s">
        <v>24</v>
      </c>
      <c r="H265" s="21">
        <f>ROUND(RAND()*4+6,1)</f>
      </c>
      <c r="I265" s="20" t="s">
        <v>25</v>
      </c>
      <c r="J265" s="23">
        <f>ROUND(91*1,0)&amp;"%"</f>
      </c>
    </row>
    <row x14ac:dyDescent="0.25" r="266" customHeight="1" ht="17.25">
      <c r="A266" s="24" t="s">
        <v>437</v>
      </c>
      <c r="B266" s="24"/>
      <c r="C266" s="24"/>
      <c r="D266" s="24"/>
      <c r="E266" s="25">
        <v>8</v>
      </c>
      <c r="F266" s="9"/>
      <c r="G266" s="9"/>
      <c r="H266" s="10"/>
      <c r="I266" s="9"/>
      <c r="J266" s="9"/>
    </row>
    <row x14ac:dyDescent="0.25" r="267" customHeight="1" ht="17.25">
      <c r="A267" s="7"/>
      <c r="B267" s="7"/>
      <c r="C267" s="7"/>
      <c r="D267" s="7"/>
      <c r="E267" s="8"/>
      <c r="F267" s="9"/>
      <c r="G267" s="9"/>
      <c r="H267" s="10"/>
      <c r="I267" s="9"/>
      <c r="J267" s="9"/>
    </row>
    <row x14ac:dyDescent="0.25" r="268" customHeight="1" ht="17.25">
      <c r="A268" s="11" t="s">
        <v>13518</v>
      </c>
      <c r="B268" s="11"/>
      <c r="C268" s="11"/>
      <c r="D268" s="11"/>
      <c r="E268" s="12"/>
      <c r="F268" s="11"/>
      <c r="G268" s="11"/>
      <c r="H268" s="13"/>
      <c r="I268" s="11"/>
      <c r="J268" s="11"/>
    </row>
    <row x14ac:dyDescent="0.25" r="269" customHeight="1" ht="17.25">
      <c r="A269" s="14" t="s">
        <v>3</v>
      </c>
      <c r="B269" s="14" t="s">
        <v>4</v>
      </c>
      <c r="C269" s="14" t="s">
        <v>5</v>
      </c>
      <c r="D269" s="14" t="s">
        <v>6</v>
      </c>
      <c r="E269" s="15" t="s">
        <v>7</v>
      </c>
      <c r="F269" s="14" t="s">
        <v>8</v>
      </c>
      <c r="G269" s="14" t="s">
        <v>9</v>
      </c>
      <c r="H269" s="16" t="s">
        <v>10</v>
      </c>
      <c r="I269" s="14" t="s">
        <v>11</v>
      </c>
      <c r="J269" s="14" t="s">
        <v>12</v>
      </c>
    </row>
    <row x14ac:dyDescent="0.25" r="270" customHeight="1" ht="17.25">
      <c r="A270" s="17" t="s">
        <v>13519</v>
      </c>
      <c r="B270" s="17" t="s">
        <v>440</v>
      </c>
      <c r="C270" s="17" t="s">
        <v>56</v>
      </c>
      <c r="D270" s="17" t="s">
        <v>16</v>
      </c>
      <c r="E270" s="26">
        <f>ROUND(4980*1.05,2)</f>
      </c>
      <c r="F270" s="17" t="s">
        <v>17</v>
      </c>
      <c r="G270" s="17" t="s">
        <v>18</v>
      </c>
      <c r="H270" s="18">
        <f>ROUND(RAND()*4+6,1)</f>
      </c>
      <c r="I270" s="17" t="s">
        <v>19</v>
      </c>
      <c r="J270" s="19">
        <f>ROUND(62*1,0)&amp;"%"</f>
      </c>
    </row>
    <row x14ac:dyDescent="0.25" r="271" customHeight="1" ht="17.25">
      <c r="A271" s="20" t="s">
        <v>13520</v>
      </c>
      <c r="B271" s="20" t="s">
        <v>442</v>
      </c>
      <c r="C271" s="20" t="s">
        <v>56</v>
      </c>
      <c r="D271" s="20" t="s">
        <v>22</v>
      </c>
      <c r="E271" s="21">
        <f>ROUND(11893*1.05,2)</f>
      </c>
      <c r="F271" s="20" t="s">
        <v>23</v>
      </c>
      <c r="G271" s="20" t="s">
        <v>24</v>
      </c>
      <c r="H271" s="21">
        <f>ROUND(RAND()*4+6,1)</f>
      </c>
      <c r="I271" s="20" t="s">
        <v>25</v>
      </c>
      <c r="J271" s="23">
        <f>ROUND(75*1,0)&amp;"%"</f>
      </c>
    </row>
    <row x14ac:dyDescent="0.25" r="272" customHeight="1" ht="17.25">
      <c r="A272" s="17" t="s">
        <v>13521</v>
      </c>
      <c r="B272" s="17" t="s">
        <v>444</v>
      </c>
      <c r="C272" s="17" t="s">
        <v>56</v>
      </c>
      <c r="D272" s="17" t="s">
        <v>28</v>
      </c>
      <c r="E272" s="18">
        <f>ROUND(15514*1.05,2)</f>
      </c>
      <c r="F272" s="17" t="s">
        <v>29</v>
      </c>
      <c r="G272" s="17" t="s">
        <v>30</v>
      </c>
      <c r="H272" s="18">
        <f>ROUND(RAND()*4+6,1)</f>
      </c>
      <c r="I272" s="17" t="s">
        <v>31</v>
      </c>
      <c r="J272" s="19">
        <f>ROUND(61*1,0)&amp;"%"</f>
      </c>
    </row>
    <row x14ac:dyDescent="0.25" r="273" customHeight="1" ht="17.25">
      <c r="A273" s="20" t="s">
        <v>13522</v>
      </c>
      <c r="B273" s="20" t="s">
        <v>446</v>
      </c>
      <c r="C273" s="20" t="s">
        <v>56</v>
      </c>
      <c r="D273" s="20" t="s">
        <v>34</v>
      </c>
      <c r="E273" s="21">
        <f>ROUND(5954*1.05,2)</f>
      </c>
      <c r="F273" s="20" t="s">
        <v>35</v>
      </c>
      <c r="G273" s="20" t="s">
        <v>18</v>
      </c>
      <c r="H273" s="22">
        <f>ROUND(RAND()*4+6,1)</f>
      </c>
      <c r="I273" s="20" t="s">
        <v>36</v>
      </c>
      <c r="J273" s="23">
        <f>ROUND(68*1,0)&amp;"%"</f>
      </c>
    </row>
    <row x14ac:dyDescent="0.25" r="274" customHeight="1" ht="17.25">
      <c r="A274" s="17" t="s">
        <v>13523</v>
      </c>
      <c r="B274" s="17" t="s">
        <v>448</v>
      </c>
      <c r="C274" s="17" t="s">
        <v>56</v>
      </c>
      <c r="D274" s="17" t="s">
        <v>39</v>
      </c>
      <c r="E274" s="18">
        <f>ROUND(12473*1.05,2)</f>
      </c>
      <c r="F274" s="17" t="s">
        <v>40</v>
      </c>
      <c r="G274" s="17" t="s">
        <v>24</v>
      </c>
      <c r="H274" s="18">
        <f>ROUND(RAND()*4+6,1)</f>
      </c>
      <c r="I274" s="17" t="s">
        <v>41</v>
      </c>
      <c r="J274" s="19">
        <f>ROUND(79*1,0)&amp;"%"</f>
      </c>
    </row>
    <row x14ac:dyDescent="0.25" r="275" customHeight="1" ht="17.25">
      <c r="A275" s="20" t="s">
        <v>13524</v>
      </c>
      <c r="B275" s="20" t="s">
        <v>450</v>
      </c>
      <c r="C275" s="20" t="s">
        <v>56</v>
      </c>
      <c r="D275" s="20" t="s">
        <v>67</v>
      </c>
      <c r="E275" s="21">
        <f>ROUND(10293*1.05,2)</f>
      </c>
      <c r="F275" s="20" t="s">
        <v>44</v>
      </c>
      <c r="G275" s="20" t="s">
        <v>30</v>
      </c>
      <c r="H275" s="21">
        <f>ROUND(RAND()*4+6,1)</f>
      </c>
      <c r="I275" s="20" t="s">
        <v>45</v>
      </c>
      <c r="J275" s="23">
        <f>ROUND(98*1,0)&amp;"%"</f>
      </c>
    </row>
    <row x14ac:dyDescent="0.25" r="276" customHeight="1" ht="17.25">
      <c r="A276" s="17" t="s">
        <v>13525</v>
      </c>
      <c r="B276" s="17" t="s">
        <v>452</v>
      </c>
      <c r="C276" s="17" t="s">
        <v>56</v>
      </c>
      <c r="D276" s="17" t="s">
        <v>16</v>
      </c>
      <c r="E276" s="18">
        <f>ROUND(13635*1.05,2)</f>
      </c>
      <c r="F276" s="17" t="s">
        <v>48</v>
      </c>
      <c r="G276" s="17" t="s">
        <v>18</v>
      </c>
      <c r="H276" s="18">
        <f>ROUND(RAND()*4+6,1)</f>
      </c>
      <c r="I276" s="17" t="s">
        <v>19</v>
      </c>
      <c r="J276" s="19">
        <f>ROUND(63*1,0)&amp;"%"</f>
      </c>
    </row>
    <row x14ac:dyDescent="0.25" r="277" customHeight="1" ht="17.25">
      <c r="A277" s="20" t="s">
        <v>13526</v>
      </c>
      <c r="B277" s="20" t="s">
        <v>454</v>
      </c>
      <c r="C277" s="20" t="s">
        <v>56</v>
      </c>
      <c r="D277" s="20" t="s">
        <v>22</v>
      </c>
      <c r="E277" s="21">
        <f>ROUND(15163*1.05,2)</f>
      </c>
      <c r="F277" s="20" t="s">
        <v>51</v>
      </c>
      <c r="G277" s="20" t="s">
        <v>24</v>
      </c>
      <c r="H277" s="22">
        <f>ROUND(RAND()*4+6,1)</f>
      </c>
      <c r="I277" s="20" t="s">
        <v>25</v>
      </c>
      <c r="J277" s="23">
        <f>ROUND(60*1,0)&amp;"%"</f>
      </c>
    </row>
    <row x14ac:dyDescent="0.25" r="278" customHeight="1" ht="17.25">
      <c r="A278" s="24" t="s">
        <v>455</v>
      </c>
      <c r="B278" s="24"/>
      <c r="C278" s="24"/>
      <c r="D278" s="24"/>
      <c r="E278" s="25">
        <v>8</v>
      </c>
      <c r="F278" s="9"/>
      <c r="G278" s="9"/>
      <c r="H278" s="10"/>
      <c r="I278" s="9"/>
      <c r="J278" s="9"/>
    </row>
    <row x14ac:dyDescent="0.25" r="279" customHeight="1" ht="17.25">
      <c r="A279" s="7"/>
      <c r="B279" s="7"/>
      <c r="C279" s="7"/>
      <c r="D279" s="7"/>
      <c r="E279" s="8"/>
      <c r="F279" s="9"/>
      <c r="G279" s="9"/>
      <c r="H279" s="10"/>
      <c r="I279" s="9"/>
      <c r="J279" s="9"/>
    </row>
    <row x14ac:dyDescent="0.25" r="280" customHeight="1" ht="17.25">
      <c r="A280" s="11" t="s">
        <v>13527</v>
      </c>
      <c r="B280" s="11"/>
      <c r="C280" s="11"/>
      <c r="D280" s="11"/>
      <c r="E280" s="12"/>
      <c r="F280" s="11"/>
      <c r="G280" s="11"/>
      <c r="H280" s="13"/>
      <c r="I280" s="11"/>
      <c r="J280" s="11"/>
    </row>
    <row x14ac:dyDescent="0.25" r="281" customHeight="1" ht="17.25">
      <c r="A281" s="14" t="s">
        <v>3</v>
      </c>
      <c r="B281" s="14" t="s">
        <v>4</v>
      </c>
      <c r="C281" s="14" t="s">
        <v>5</v>
      </c>
      <c r="D281" s="14" t="s">
        <v>6</v>
      </c>
      <c r="E281" s="15" t="s">
        <v>7</v>
      </c>
      <c r="F281" s="14" t="s">
        <v>8</v>
      </c>
      <c r="G281" s="14" t="s">
        <v>9</v>
      </c>
      <c r="H281" s="16" t="s">
        <v>10</v>
      </c>
      <c r="I281" s="14" t="s">
        <v>11</v>
      </c>
      <c r="J281" s="14" t="s">
        <v>12</v>
      </c>
    </row>
    <row x14ac:dyDescent="0.25" r="282" customHeight="1" ht="17.25">
      <c r="A282" s="17" t="s">
        <v>13528</v>
      </c>
      <c r="B282" s="17" t="s">
        <v>458</v>
      </c>
      <c r="C282" s="17" t="s">
        <v>76</v>
      </c>
      <c r="D282" s="17" t="s">
        <v>16</v>
      </c>
      <c r="E282" s="18">
        <f>ROUND(12554*1.05,2)</f>
      </c>
      <c r="F282" s="17" t="s">
        <v>17</v>
      </c>
      <c r="G282" s="17" t="s">
        <v>18</v>
      </c>
      <c r="H282" s="18">
        <f>ROUND(RAND()*4+6,1)</f>
      </c>
      <c r="I282" s="17" t="s">
        <v>19</v>
      </c>
      <c r="J282" s="19">
        <f>ROUND(67*1,0)&amp;"%"</f>
      </c>
    </row>
    <row x14ac:dyDescent="0.25" r="283" customHeight="1" ht="17.25">
      <c r="A283" s="20" t="s">
        <v>13529</v>
      </c>
      <c r="B283" s="20" t="s">
        <v>460</v>
      </c>
      <c r="C283" s="20" t="s">
        <v>76</v>
      </c>
      <c r="D283" s="20" t="s">
        <v>22</v>
      </c>
      <c r="E283" s="21">
        <f>ROUND(10896*1.05,2)</f>
      </c>
      <c r="F283" s="20" t="s">
        <v>23</v>
      </c>
      <c r="G283" s="20" t="s">
        <v>24</v>
      </c>
      <c r="H283" s="21">
        <f>ROUND(RAND()*4+6,1)</f>
      </c>
      <c r="I283" s="20" t="s">
        <v>25</v>
      </c>
      <c r="J283" s="23">
        <f>ROUND(79*1,0)&amp;"%"</f>
      </c>
    </row>
    <row x14ac:dyDescent="0.25" r="284" customHeight="1" ht="17.25">
      <c r="A284" s="17" t="s">
        <v>13530</v>
      </c>
      <c r="B284" s="17" t="s">
        <v>462</v>
      </c>
      <c r="C284" s="17" t="s">
        <v>76</v>
      </c>
      <c r="D284" s="17" t="s">
        <v>28</v>
      </c>
      <c r="E284" s="18">
        <f>ROUND(7098*1.05,2)</f>
      </c>
      <c r="F284" s="17" t="s">
        <v>29</v>
      </c>
      <c r="G284" s="17" t="s">
        <v>30</v>
      </c>
      <c r="H284" s="18">
        <f>ROUND(RAND()*4+6,1)</f>
      </c>
      <c r="I284" s="17" t="s">
        <v>31</v>
      </c>
      <c r="J284" s="19">
        <f>ROUND(84*1,0)&amp;"%"</f>
      </c>
    </row>
    <row x14ac:dyDescent="0.25" r="285" customHeight="1" ht="17.25">
      <c r="A285" s="20" t="s">
        <v>13531</v>
      </c>
      <c r="B285" s="20" t="s">
        <v>464</v>
      </c>
      <c r="C285" s="20" t="s">
        <v>76</v>
      </c>
      <c r="D285" s="20" t="s">
        <v>34</v>
      </c>
      <c r="E285" s="21">
        <f>ROUND(13178*1.05,2)</f>
      </c>
      <c r="F285" s="20" t="s">
        <v>35</v>
      </c>
      <c r="G285" s="20" t="s">
        <v>18</v>
      </c>
      <c r="H285" s="21">
        <f>ROUND(RAND()*4+6,1)</f>
      </c>
      <c r="I285" s="20" t="s">
        <v>36</v>
      </c>
      <c r="J285" s="23">
        <f>ROUND(76*1,0)&amp;"%"</f>
      </c>
    </row>
    <row x14ac:dyDescent="0.25" r="286" customHeight="1" ht="17.25">
      <c r="A286" s="17" t="s">
        <v>13532</v>
      </c>
      <c r="B286" s="17" t="s">
        <v>466</v>
      </c>
      <c r="C286" s="17" t="s">
        <v>76</v>
      </c>
      <c r="D286" s="17" t="s">
        <v>39</v>
      </c>
      <c r="E286" s="18">
        <f>ROUND(5081*1.05,2)</f>
      </c>
      <c r="F286" s="17" t="s">
        <v>40</v>
      </c>
      <c r="G286" s="17" t="s">
        <v>24</v>
      </c>
      <c r="H286" s="18">
        <f>ROUND(RAND()*4+6,1)</f>
      </c>
      <c r="I286" s="17" t="s">
        <v>41</v>
      </c>
      <c r="J286" s="19">
        <f>ROUND(69*1,0)&amp;"%"</f>
      </c>
    </row>
    <row x14ac:dyDescent="0.25" r="287" customHeight="1" ht="17.25">
      <c r="A287" s="20" t="s">
        <v>13533</v>
      </c>
      <c r="B287" s="20" t="s">
        <v>468</v>
      </c>
      <c r="C287" s="20" t="s">
        <v>76</v>
      </c>
      <c r="D287" s="20" t="s">
        <v>67</v>
      </c>
      <c r="E287" s="21">
        <f>ROUND(11159*1.05,2)</f>
      </c>
      <c r="F287" s="20" t="s">
        <v>44</v>
      </c>
      <c r="G287" s="20" t="s">
        <v>30</v>
      </c>
      <c r="H287" s="22">
        <f>ROUND(RAND()*4+6,1)</f>
      </c>
      <c r="I287" s="20" t="s">
        <v>45</v>
      </c>
      <c r="J287" s="23">
        <f>ROUND(100*1,0)&amp;"%"</f>
      </c>
    </row>
    <row x14ac:dyDescent="0.25" r="288" customHeight="1" ht="17.25">
      <c r="A288" s="17" t="s">
        <v>13534</v>
      </c>
      <c r="B288" s="17" t="s">
        <v>470</v>
      </c>
      <c r="C288" s="17" t="s">
        <v>76</v>
      </c>
      <c r="D288" s="17" t="s">
        <v>16</v>
      </c>
      <c r="E288" s="18">
        <f>ROUND(14631*1.05,2)</f>
      </c>
      <c r="F288" s="17" t="s">
        <v>48</v>
      </c>
      <c r="G288" s="17" t="s">
        <v>18</v>
      </c>
      <c r="H288" s="18">
        <f>ROUND(RAND()*4+6,1)</f>
      </c>
      <c r="I288" s="17" t="s">
        <v>19</v>
      </c>
      <c r="J288" s="19">
        <f>ROUND(99*1,0)&amp;"%"</f>
      </c>
    </row>
    <row x14ac:dyDescent="0.25" r="289" customHeight="1" ht="17.25">
      <c r="A289" s="20" t="s">
        <v>13535</v>
      </c>
      <c r="B289" s="20" t="s">
        <v>472</v>
      </c>
      <c r="C289" s="20" t="s">
        <v>76</v>
      </c>
      <c r="D289" s="20" t="s">
        <v>22</v>
      </c>
      <c r="E289" s="21">
        <f>ROUND(13312*1.05,2)</f>
      </c>
      <c r="F289" s="20" t="s">
        <v>51</v>
      </c>
      <c r="G289" s="20" t="s">
        <v>24</v>
      </c>
      <c r="H289" s="21">
        <f>ROUND(RAND()*4+6,1)</f>
      </c>
      <c r="I289" s="20" t="s">
        <v>25</v>
      </c>
      <c r="J289" s="23">
        <f>ROUND(80*1,0)&amp;"%"</f>
      </c>
    </row>
    <row x14ac:dyDescent="0.25" r="290" customHeight="1" ht="17.25">
      <c r="A290" s="24" t="s">
        <v>473</v>
      </c>
      <c r="B290" s="24"/>
      <c r="C290" s="24"/>
      <c r="D290" s="24"/>
      <c r="E290" s="25">
        <v>8</v>
      </c>
      <c r="F290" s="9"/>
      <c r="G290" s="9"/>
      <c r="H290" s="10"/>
      <c r="I290" s="9"/>
      <c r="J290" s="9"/>
    </row>
    <row x14ac:dyDescent="0.25" r="291" customHeight="1" ht="17.25">
      <c r="A291" s="7"/>
      <c r="B291" s="7"/>
      <c r="C291" s="7"/>
      <c r="D291" s="7"/>
      <c r="E291" s="8"/>
      <c r="F291" s="9"/>
      <c r="G291" s="9"/>
      <c r="H291" s="10"/>
      <c r="I291" s="9"/>
      <c r="J291" s="9"/>
    </row>
    <row x14ac:dyDescent="0.25" r="292" customHeight="1" ht="17.25">
      <c r="A292" s="11" t="s">
        <v>13536</v>
      </c>
      <c r="B292" s="11"/>
      <c r="C292" s="11"/>
      <c r="D292" s="11"/>
      <c r="E292" s="12"/>
      <c r="F292" s="11"/>
      <c r="G292" s="11"/>
      <c r="H292" s="13"/>
      <c r="I292" s="11"/>
      <c r="J292" s="11"/>
    </row>
    <row x14ac:dyDescent="0.25" r="293" customHeight="1" ht="17.25">
      <c r="A293" s="14" t="s">
        <v>3</v>
      </c>
      <c r="B293" s="14" t="s">
        <v>4</v>
      </c>
      <c r="C293" s="14" t="s">
        <v>5</v>
      </c>
      <c r="D293" s="14" t="s">
        <v>6</v>
      </c>
      <c r="E293" s="15" t="s">
        <v>7</v>
      </c>
      <c r="F293" s="14" t="s">
        <v>8</v>
      </c>
      <c r="G293" s="14" t="s">
        <v>9</v>
      </c>
      <c r="H293" s="16" t="s">
        <v>10</v>
      </c>
      <c r="I293" s="14" t="s">
        <v>11</v>
      </c>
      <c r="J293" s="14" t="s">
        <v>12</v>
      </c>
    </row>
    <row x14ac:dyDescent="0.25" r="294" customHeight="1" ht="17.25">
      <c r="A294" s="17" t="s">
        <v>13537</v>
      </c>
      <c r="B294" s="17" t="s">
        <v>476</v>
      </c>
      <c r="C294" s="17" t="s">
        <v>95</v>
      </c>
      <c r="D294" s="17" t="s">
        <v>16</v>
      </c>
      <c r="E294" s="18">
        <f>ROUND(13173*1.05,2)</f>
      </c>
      <c r="F294" s="17" t="s">
        <v>17</v>
      </c>
      <c r="G294" s="17" t="s">
        <v>18</v>
      </c>
      <c r="H294" s="18">
        <f>ROUND(RAND()*4+6,1)</f>
      </c>
      <c r="I294" s="17" t="s">
        <v>19</v>
      </c>
      <c r="J294" s="19">
        <f>ROUND(91*1,0)&amp;"%"</f>
      </c>
    </row>
    <row x14ac:dyDescent="0.25" r="295" customHeight="1" ht="17.25">
      <c r="A295" s="20" t="s">
        <v>13538</v>
      </c>
      <c r="B295" s="20" t="s">
        <v>478</v>
      </c>
      <c r="C295" s="20" t="s">
        <v>95</v>
      </c>
      <c r="D295" s="20" t="s">
        <v>22</v>
      </c>
      <c r="E295" s="21">
        <f>ROUND(13867*1.05,2)</f>
      </c>
      <c r="F295" s="20" t="s">
        <v>23</v>
      </c>
      <c r="G295" s="20" t="s">
        <v>24</v>
      </c>
      <c r="H295" s="21">
        <f>ROUND(RAND()*4+6,1)</f>
      </c>
      <c r="I295" s="20" t="s">
        <v>25</v>
      </c>
      <c r="J295" s="23">
        <f>ROUND(94*1,0)&amp;"%"</f>
      </c>
    </row>
    <row x14ac:dyDescent="0.25" r="296" customHeight="1" ht="17.25">
      <c r="A296" s="17" t="s">
        <v>13539</v>
      </c>
      <c r="B296" s="17" t="s">
        <v>480</v>
      </c>
      <c r="C296" s="17" t="s">
        <v>95</v>
      </c>
      <c r="D296" s="17" t="s">
        <v>28</v>
      </c>
      <c r="E296" s="18">
        <f>ROUND(8163*1.05,2)</f>
      </c>
      <c r="F296" s="17" t="s">
        <v>29</v>
      </c>
      <c r="G296" s="17" t="s">
        <v>30</v>
      </c>
      <c r="H296" s="18">
        <f>ROUND(RAND()*4+6,1)</f>
      </c>
      <c r="I296" s="17" t="s">
        <v>31</v>
      </c>
      <c r="J296" s="19">
        <f>ROUND(89*1,0)&amp;"%"</f>
      </c>
    </row>
    <row x14ac:dyDescent="0.25" r="297" customHeight="1" ht="17.25">
      <c r="A297" s="20" t="s">
        <v>13540</v>
      </c>
      <c r="B297" s="20" t="s">
        <v>482</v>
      </c>
      <c r="C297" s="20" t="s">
        <v>95</v>
      </c>
      <c r="D297" s="20" t="s">
        <v>34</v>
      </c>
      <c r="E297" s="21">
        <f>ROUND(12071*1.05,2)</f>
      </c>
      <c r="F297" s="20" t="s">
        <v>35</v>
      </c>
      <c r="G297" s="20" t="s">
        <v>18</v>
      </c>
      <c r="H297" s="21">
        <f>ROUND(RAND()*4+6,1)</f>
      </c>
      <c r="I297" s="20" t="s">
        <v>36</v>
      </c>
      <c r="J297" s="23">
        <f>ROUND(74*1,0)&amp;"%"</f>
      </c>
    </row>
    <row x14ac:dyDescent="0.25" r="298" customHeight="1" ht="17.25">
      <c r="A298" s="17" t="s">
        <v>13541</v>
      </c>
      <c r="B298" s="17" t="s">
        <v>484</v>
      </c>
      <c r="C298" s="17" t="s">
        <v>95</v>
      </c>
      <c r="D298" s="17" t="s">
        <v>39</v>
      </c>
      <c r="E298" s="18">
        <f>ROUND(10607*1.05,2)</f>
      </c>
      <c r="F298" s="17" t="s">
        <v>40</v>
      </c>
      <c r="G298" s="17" t="s">
        <v>24</v>
      </c>
      <c r="H298" s="18">
        <f>ROUND(RAND()*4+6,1)</f>
      </c>
      <c r="I298" s="17" t="s">
        <v>41</v>
      </c>
      <c r="J298" s="19">
        <f>ROUND(76*1,0)&amp;"%"</f>
      </c>
    </row>
    <row x14ac:dyDescent="0.25" r="299" customHeight="1" ht="17.25">
      <c r="A299" s="20" t="s">
        <v>13542</v>
      </c>
      <c r="B299" s="20" t="s">
        <v>486</v>
      </c>
      <c r="C299" s="20" t="s">
        <v>95</v>
      </c>
      <c r="D299" s="20" t="s">
        <v>67</v>
      </c>
      <c r="E299" s="21">
        <f>ROUND(5807*1.05,2)</f>
      </c>
      <c r="F299" s="20" t="s">
        <v>44</v>
      </c>
      <c r="G299" s="20" t="s">
        <v>30</v>
      </c>
      <c r="H299" s="21">
        <f>ROUND(RAND()*4+6,1)</f>
      </c>
      <c r="I299" s="20" t="s">
        <v>45</v>
      </c>
      <c r="J299" s="23">
        <f>ROUND(71*1,0)&amp;"%"</f>
      </c>
    </row>
    <row x14ac:dyDescent="0.25" r="300" customHeight="1" ht="17.25">
      <c r="A300" s="17" t="s">
        <v>13543</v>
      </c>
      <c r="B300" s="17" t="s">
        <v>488</v>
      </c>
      <c r="C300" s="17" t="s">
        <v>95</v>
      </c>
      <c r="D300" s="17" t="s">
        <v>16</v>
      </c>
      <c r="E300" s="18">
        <f>ROUND(9739*1.05,2)</f>
      </c>
      <c r="F300" s="17" t="s">
        <v>48</v>
      </c>
      <c r="G300" s="17" t="s">
        <v>18</v>
      </c>
      <c r="H300" s="18">
        <f>ROUND(RAND()*4+6,1)</f>
      </c>
      <c r="I300" s="17" t="s">
        <v>19</v>
      </c>
      <c r="J300" s="19">
        <f>ROUND(65*1,0)&amp;"%"</f>
      </c>
    </row>
    <row x14ac:dyDescent="0.25" r="301" customHeight="1" ht="17.25">
      <c r="A301" s="20" t="s">
        <v>13544</v>
      </c>
      <c r="B301" s="20" t="s">
        <v>490</v>
      </c>
      <c r="C301" s="20" t="s">
        <v>95</v>
      </c>
      <c r="D301" s="20" t="s">
        <v>22</v>
      </c>
      <c r="E301" s="21">
        <f>ROUND(8579*1.05,2)</f>
      </c>
      <c r="F301" s="20" t="s">
        <v>51</v>
      </c>
      <c r="G301" s="20" t="s">
        <v>24</v>
      </c>
      <c r="H301" s="21">
        <f>ROUND(RAND()*4+6,1)</f>
      </c>
      <c r="I301" s="20" t="s">
        <v>25</v>
      </c>
      <c r="J301" s="23">
        <f>ROUND(69*1,0)&amp;"%"</f>
      </c>
    </row>
    <row x14ac:dyDescent="0.25" r="302" customHeight="1" ht="17.25">
      <c r="A302" s="24" t="s">
        <v>491</v>
      </c>
      <c r="B302" s="24"/>
      <c r="C302" s="24"/>
      <c r="D302" s="24"/>
      <c r="E302" s="25">
        <v>8</v>
      </c>
      <c r="F302" s="9"/>
      <c r="G302" s="9"/>
      <c r="H302" s="10"/>
      <c r="I302" s="9"/>
      <c r="J302" s="9"/>
    </row>
    <row x14ac:dyDescent="0.25" r="303" customHeight="1" ht="17.25">
      <c r="A303" s="7"/>
      <c r="B303" s="7"/>
      <c r="C303" s="7"/>
      <c r="D303" s="7"/>
      <c r="E303" s="8"/>
      <c r="F303" s="9"/>
      <c r="G303" s="9"/>
      <c r="H303" s="10"/>
      <c r="I303" s="9"/>
      <c r="J303" s="9"/>
    </row>
    <row x14ac:dyDescent="0.25" r="304" customHeight="1" ht="17.25">
      <c r="A304" s="11" t="s">
        <v>13545</v>
      </c>
      <c r="B304" s="11"/>
      <c r="C304" s="11"/>
      <c r="D304" s="11"/>
      <c r="E304" s="12"/>
      <c r="F304" s="11"/>
      <c r="G304" s="11"/>
      <c r="H304" s="13"/>
      <c r="I304" s="11"/>
      <c r="J304" s="11"/>
    </row>
    <row x14ac:dyDescent="0.25" r="305" customHeight="1" ht="17.25">
      <c r="A305" s="14" t="s">
        <v>3</v>
      </c>
      <c r="B305" s="14" t="s">
        <v>4</v>
      </c>
      <c r="C305" s="14" t="s">
        <v>5</v>
      </c>
      <c r="D305" s="14" t="s">
        <v>6</v>
      </c>
      <c r="E305" s="15" t="s">
        <v>7</v>
      </c>
      <c r="F305" s="14" t="s">
        <v>8</v>
      </c>
      <c r="G305" s="14" t="s">
        <v>9</v>
      </c>
      <c r="H305" s="16" t="s">
        <v>10</v>
      </c>
      <c r="I305" s="14" t="s">
        <v>11</v>
      </c>
      <c r="J305" s="14" t="s">
        <v>12</v>
      </c>
    </row>
    <row x14ac:dyDescent="0.25" r="306" customHeight="1" ht="17.25">
      <c r="A306" s="17" t="s">
        <v>13546</v>
      </c>
      <c r="B306" s="17" t="s">
        <v>494</v>
      </c>
      <c r="C306" s="17" t="s">
        <v>114</v>
      </c>
      <c r="D306" s="17" t="s">
        <v>16</v>
      </c>
      <c r="E306" s="18">
        <f>ROUND(14893*1.05,2)</f>
      </c>
      <c r="F306" s="17" t="s">
        <v>17</v>
      </c>
      <c r="G306" s="17" t="s">
        <v>18</v>
      </c>
      <c r="H306" s="18">
        <f>ROUND(RAND()*4+6,1)</f>
      </c>
      <c r="I306" s="17" t="s">
        <v>19</v>
      </c>
      <c r="J306" s="19">
        <f>ROUND(92*1,0)&amp;"%"</f>
      </c>
    </row>
    <row x14ac:dyDescent="0.25" r="307" customHeight="1" ht="17.25">
      <c r="A307" s="20" t="s">
        <v>13547</v>
      </c>
      <c r="B307" s="20" t="s">
        <v>496</v>
      </c>
      <c r="C307" s="20" t="s">
        <v>114</v>
      </c>
      <c r="D307" s="20" t="s">
        <v>22</v>
      </c>
      <c r="E307" s="21">
        <f>ROUND(13816*1.05,2)</f>
      </c>
      <c r="F307" s="20" t="s">
        <v>23</v>
      </c>
      <c r="G307" s="20" t="s">
        <v>24</v>
      </c>
      <c r="H307" s="21">
        <f>ROUND(RAND()*4+6,1)</f>
      </c>
      <c r="I307" s="20" t="s">
        <v>25</v>
      </c>
      <c r="J307" s="23">
        <f>ROUND(69*1,0)&amp;"%"</f>
      </c>
    </row>
    <row x14ac:dyDescent="0.25" r="308" customHeight="1" ht="17.25">
      <c r="A308" s="17" t="s">
        <v>13548</v>
      </c>
      <c r="B308" s="17" t="s">
        <v>498</v>
      </c>
      <c r="C308" s="17" t="s">
        <v>114</v>
      </c>
      <c r="D308" s="17" t="s">
        <v>28</v>
      </c>
      <c r="E308" s="18">
        <f>ROUND(14035*1.05,2)</f>
      </c>
      <c r="F308" s="17" t="s">
        <v>29</v>
      </c>
      <c r="G308" s="17" t="s">
        <v>30</v>
      </c>
      <c r="H308" s="18">
        <f>ROUND(RAND()*4+6,1)</f>
      </c>
      <c r="I308" s="17" t="s">
        <v>31</v>
      </c>
      <c r="J308" s="19">
        <f>ROUND(63*1,0)&amp;"%"</f>
      </c>
    </row>
    <row x14ac:dyDescent="0.25" r="309" customHeight="1" ht="17.25">
      <c r="A309" s="20" t="s">
        <v>13549</v>
      </c>
      <c r="B309" s="20" t="s">
        <v>500</v>
      </c>
      <c r="C309" s="20" t="s">
        <v>114</v>
      </c>
      <c r="D309" s="20" t="s">
        <v>34</v>
      </c>
      <c r="E309" s="21">
        <f>ROUND(12373*1.05,2)</f>
      </c>
      <c r="F309" s="20" t="s">
        <v>35</v>
      </c>
      <c r="G309" s="20" t="s">
        <v>18</v>
      </c>
      <c r="H309" s="21">
        <f>ROUND(RAND()*4+6,1)</f>
      </c>
      <c r="I309" s="20" t="s">
        <v>36</v>
      </c>
      <c r="J309" s="23">
        <f>ROUND(95*1,0)&amp;"%"</f>
      </c>
    </row>
    <row x14ac:dyDescent="0.25" r="310" customHeight="1" ht="17.25">
      <c r="A310" s="17" t="s">
        <v>13550</v>
      </c>
      <c r="B310" s="17" t="s">
        <v>502</v>
      </c>
      <c r="C310" s="17" t="s">
        <v>114</v>
      </c>
      <c r="D310" s="17" t="s">
        <v>39</v>
      </c>
      <c r="E310" s="18">
        <f>ROUND(14624*1.05,2)</f>
      </c>
      <c r="F310" s="17" t="s">
        <v>40</v>
      </c>
      <c r="G310" s="17" t="s">
        <v>24</v>
      </c>
      <c r="H310" s="18">
        <f>ROUND(RAND()*4+6,1)</f>
      </c>
      <c r="I310" s="17" t="s">
        <v>41</v>
      </c>
      <c r="J310" s="19">
        <f>ROUND(99*1,0)&amp;"%"</f>
      </c>
    </row>
    <row x14ac:dyDescent="0.25" r="311" customHeight="1" ht="17.25">
      <c r="A311" s="20" t="s">
        <v>13551</v>
      </c>
      <c r="B311" s="20" t="s">
        <v>504</v>
      </c>
      <c r="C311" s="20" t="s">
        <v>114</v>
      </c>
      <c r="D311" s="20" t="s">
        <v>67</v>
      </c>
      <c r="E311" s="21">
        <f>ROUND(14027*1.05,2)</f>
      </c>
      <c r="F311" s="20" t="s">
        <v>44</v>
      </c>
      <c r="G311" s="20" t="s">
        <v>30</v>
      </c>
      <c r="H311" s="21">
        <f>ROUND(RAND()*4+6,1)</f>
      </c>
      <c r="I311" s="20" t="s">
        <v>45</v>
      </c>
      <c r="J311" s="23">
        <f>ROUND(94*1,0)&amp;"%"</f>
      </c>
    </row>
    <row x14ac:dyDescent="0.25" r="312" customHeight="1" ht="17.25">
      <c r="A312" s="17" t="s">
        <v>13552</v>
      </c>
      <c r="B312" s="17" t="s">
        <v>506</v>
      </c>
      <c r="C312" s="17" t="s">
        <v>114</v>
      </c>
      <c r="D312" s="17" t="s">
        <v>16</v>
      </c>
      <c r="E312" s="18">
        <f>ROUND(7787*1.05,2)</f>
      </c>
      <c r="F312" s="17" t="s">
        <v>48</v>
      </c>
      <c r="G312" s="17" t="s">
        <v>18</v>
      </c>
      <c r="H312" s="18">
        <f>ROUND(RAND()*4+6,1)</f>
      </c>
      <c r="I312" s="17" t="s">
        <v>19</v>
      </c>
      <c r="J312" s="19">
        <f>ROUND(99*1,0)&amp;"%"</f>
      </c>
    </row>
    <row x14ac:dyDescent="0.25" r="313" customHeight="1" ht="17.25">
      <c r="A313" s="20" t="s">
        <v>13553</v>
      </c>
      <c r="B313" s="20" t="s">
        <v>508</v>
      </c>
      <c r="C313" s="20" t="s">
        <v>114</v>
      </c>
      <c r="D313" s="20" t="s">
        <v>22</v>
      </c>
      <c r="E313" s="21">
        <f>ROUND(5652*1.05,2)</f>
      </c>
      <c r="F313" s="20" t="s">
        <v>51</v>
      </c>
      <c r="G313" s="20" t="s">
        <v>24</v>
      </c>
      <c r="H313" s="22">
        <f>ROUND(RAND()*4+6,1)</f>
      </c>
      <c r="I313" s="20" t="s">
        <v>25</v>
      </c>
      <c r="J313" s="23">
        <f>ROUND(64*1,0)&amp;"%"</f>
      </c>
    </row>
    <row x14ac:dyDescent="0.25" r="314" customHeight="1" ht="17.25">
      <c r="A314" s="24" t="s">
        <v>509</v>
      </c>
      <c r="B314" s="24"/>
      <c r="C314" s="24"/>
      <c r="D314" s="24"/>
      <c r="E314" s="25">
        <v>8</v>
      </c>
      <c r="F314" s="9"/>
      <c r="G314" s="9"/>
      <c r="H314" s="10"/>
      <c r="I314" s="9"/>
      <c r="J314" s="9"/>
    </row>
    <row x14ac:dyDescent="0.25" r="315" customHeight="1" ht="17.25">
      <c r="A315" s="7"/>
      <c r="B315" s="7"/>
      <c r="C315" s="7"/>
      <c r="D315" s="7"/>
      <c r="E315" s="8"/>
      <c r="F315" s="9"/>
      <c r="G315" s="9"/>
      <c r="H315" s="10"/>
      <c r="I315" s="9"/>
      <c r="J315" s="9"/>
    </row>
    <row x14ac:dyDescent="0.25" r="316" customHeight="1" ht="17.25">
      <c r="A316" s="11" t="s">
        <v>13554</v>
      </c>
      <c r="B316" s="11"/>
      <c r="C316" s="11"/>
      <c r="D316" s="11"/>
      <c r="E316" s="12"/>
      <c r="F316" s="11"/>
      <c r="G316" s="11"/>
      <c r="H316" s="13"/>
      <c r="I316" s="11"/>
      <c r="J316" s="11"/>
    </row>
    <row x14ac:dyDescent="0.25" r="317" customHeight="1" ht="17.25">
      <c r="A317" s="14" t="s">
        <v>3</v>
      </c>
      <c r="B317" s="14" t="s">
        <v>4</v>
      </c>
      <c r="C317" s="14" t="s">
        <v>5</v>
      </c>
      <c r="D317" s="14" t="s">
        <v>6</v>
      </c>
      <c r="E317" s="15" t="s">
        <v>7</v>
      </c>
      <c r="F317" s="14" t="s">
        <v>8</v>
      </c>
      <c r="G317" s="14" t="s">
        <v>9</v>
      </c>
      <c r="H317" s="16" t="s">
        <v>10</v>
      </c>
      <c r="I317" s="14" t="s">
        <v>11</v>
      </c>
      <c r="J317" s="14" t="s">
        <v>12</v>
      </c>
    </row>
    <row x14ac:dyDescent="0.25" r="318" customHeight="1" ht="17.25">
      <c r="A318" s="17" t="s">
        <v>13555</v>
      </c>
      <c r="B318" s="17" t="s">
        <v>512</v>
      </c>
      <c r="C318" s="17" t="s">
        <v>133</v>
      </c>
      <c r="D318" s="17" t="s">
        <v>16</v>
      </c>
      <c r="E318" s="18">
        <f>ROUND(11293*1.05,2)</f>
      </c>
      <c r="F318" s="17" t="s">
        <v>17</v>
      </c>
      <c r="G318" s="17" t="s">
        <v>18</v>
      </c>
      <c r="H318" s="18">
        <f>ROUND(RAND()*4+6,1)</f>
      </c>
      <c r="I318" s="17" t="s">
        <v>19</v>
      </c>
      <c r="J318" s="19">
        <f>ROUND(63*1,0)&amp;"%"</f>
      </c>
    </row>
    <row x14ac:dyDescent="0.25" r="319" customHeight="1" ht="17.25">
      <c r="A319" s="20" t="s">
        <v>13556</v>
      </c>
      <c r="B319" s="20" t="s">
        <v>514</v>
      </c>
      <c r="C319" s="20" t="s">
        <v>133</v>
      </c>
      <c r="D319" s="20" t="s">
        <v>22</v>
      </c>
      <c r="E319" s="21">
        <f>ROUND(8162*1.05,2)</f>
      </c>
      <c r="F319" s="20" t="s">
        <v>23</v>
      </c>
      <c r="G319" s="20" t="s">
        <v>24</v>
      </c>
      <c r="H319" s="21">
        <f>ROUND(RAND()*4+6,1)</f>
      </c>
      <c r="I319" s="20" t="s">
        <v>25</v>
      </c>
      <c r="J319" s="23">
        <f>ROUND(78*1,0)&amp;"%"</f>
      </c>
    </row>
    <row x14ac:dyDescent="0.25" r="320" customHeight="1" ht="17.25">
      <c r="A320" s="17" t="s">
        <v>13557</v>
      </c>
      <c r="B320" s="17" t="s">
        <v>516</v>
      </c>
      <c r="C320" s="17" t="s">
        <v>133</v>
      </c>
      <c r="D320" s="17" t="s">
        <v>28</v>
      </c>
      <c r="E320" s="18">
        <f>ROUND(17936*1.05,2)</f>
      </c>
      <c r="F320" s="17" t="s">
        <v>29</v>
      </c>
      <c r="G320" s="17" t="s">
        <v>30</v>
      </c>
      <c r="H320" s="26">
        <f>ROUND(RAND()*4+6,1)</f>
      </c>
      <c r="I320" s="17" t="s">
        <v>31</v>
      </c>
      <c r="J320" s="19">
        <f>ROUND(95*1,0)&amp;"%"</f>
      </c>
    </row>
    <row x14ac:dyDescent="0.25" r="321" customHeight="1" ht="17.25">
      <c r="A321" s="20" t="s">
        <v>13558</v>
      </c>
      <c r="B321" s="20" t="s">
        <v>518</v>
      </c>
      <c r="C321" s="20" t="s">
        <v>133</v>
      </c>
      <c r="D321" s="20" t="s">
        <v>34</v>
      </c>
      <c r="E321" s="21">
        <f>ROUND(7850*1.05,2)</f>
      </c>
      <c r="F321" s="20" t="s">
        <v>35</v>
      </c>
      <c r="G321" s="20" t="s">
        <v>18</v>
      </c>
      <c r="H321" s="21">
        <f>ROUND(RAND()*4+6,1)</f>
      </c>
      <c r="I321" s="20" t="s">
        <v>36</v>
      </c>
      <c r="J321" s="23">
        <f>ROUND(67*1,0)&amp;"%"</f>
      </c>
    </row>
    <row x14ac:dyDescent="0.25" r="322" customHeight="1" ht="17.25">
      <c r="A322" s="17" t="s">
        <v>13559</v>
      </c>
      <c r="B322" s="17" t="s">
        <v>520</v>
      </c>
      <c r="C322" s="17" t="s">
        <v>133</v>
      </c>
      <c r="D322" s="17" t="s">
        <v>39</v>
      </c>
      <c r="E322" s="18">
        <f>ROUND(10039*1.05,2)</f>
      </c>
      <c r="F322" s="17" t="s">
        <v>40</v>
      </c>
      <c r="G322" s="17" t="s">
        <v>24</v>
      </c>
      <c r="H322" s="18">
        <f>ROUND(RAND()*4+6,1)</f>
      </c>
      <c r="I322" s="17" t="s">
        <v>41</v>
      </c>
      <c r="J322" s="19">
        <f>ROUND(100*1,0)&amp;"%"</f>
      </c>
    </row>
    <row x14ac:dyDescent="0.25" r="323" customHeight="1" ht="17.25">
      <c r="A323" s="20" t="s">
        <v>13560</v>
      </c>
      <c r="B323" s="20" t="s">
        <v>522</v>
      </c>
      <c r="C323" s="20" t="s">
        <v>133</v>
      </c>
      <c r="D323" s="20" t="s">
        <v>67</v>
      </c>
      <c r="E323" s="21">
        <f>ROUND(10086*1.05,2)</f>
      </c>
      <c r="F323" s="20" t="s">
        <v>44</v>
      </c>
      <c r="G323" s="20" t="s">
        <v>30</v>
      </c>
      <c r="H323" s="21">
        <f>ROUND(RAND()*4+6,1)</f>
      </c>
      <c r="I323" s="20" t="s">
        <v>45</v>
      </c>
      <c r="J323" s="23">
        <f>ROUND(62*1,0)&amp;"%"</f>
      </c>
    </row>
    <row x14ac:dyDescent="0.25" r="324" customHeight="1" ht="17.25">
      <c r="A324" s="17" t="s">
        <v>13561</v>
      </c>
      <c r="B324" s="17" t="s">
        <v>524</v>
      </c>
      <c r="C324" s="17" t="s">
        <v>133</v>
      </c>
      <c r="D324" s="17" t="s">
        <v>16</v>
      </c>
      <c r="E324" s="18">
        <f>ROUND(9245*1.05,2)</f>
      </c>
      <c r="F324" s="17" t="s">
        <v>48</v>
      </c>
      <c r="G324" s="17" t="s">
        <v>18</v>
      </c>
      <c r="H324" s="18">
        <f>ROUND(RAND()*4+6,1)</f>
      </c>
      <c r="I324" s="17" t="s">
        <v>19</v>
      </c>
      <c r="J324" s="19">
        <f>ROUND(85*1,0)&amp;"%"</f>
      </c>
    </row>
    <row x14ac:dyDescent="0.25" r="325" customHeight="1" ht="17.25">
      <c r="A325" s="20" t="s">
        <v>13562</v>
      </c>
      <c r="B325" s="20" t="s">
        <v>526</v>
      </c>
      <c r="C325" s="20" t="s">
        <v>133</v>
      </c>
      <c r="D325" s="20" t="s">
        <v>22</v>
      </c>
      <c r="E325" s="21">
        <f>ROUND(15005*1.05,2)</f>
      </c>
      <c r="F325" s="20" t="s">
        <v>51</v>
      </c>
      <c r="G325" s="20" t="s">
        <v>24</v>
      </c>
      <c r="H325" s="21">
        <f>ROUND(RAND()*4+6,1)</f>
      </c>
      <c r="I325" s="20" t="s">
        <v>25</v>
      </c>
      <c r="J325" s="23">
        <f>ROUND(92*1,0)&amp;"%"</f>
      </c>
    </row>
    <row x14ac:dyDescent="0.25" r="326" customHeight="1" ht="17.25">
      <c r="A326" s="24" t="s">
        <v>527</v>
      </c>
      <c r="B326" s="24"/>
      <c r="C326" s="24"/>
      <c r="D326" s="24"/>
      <c r="E326" s="25">
        <v>8</v>
      </c>
      <c r="F326" s="9"/>
      <c r="G326" s="9"/>
      <c r="H326" s="10"/>
      <c r="I326" s="9"/>
      <c r="J326" s="9"/>
    </row>
    <row x14ac:dyDescent="0.25" r="327" customHeight="1" ht="17.25">
      <c r="A327" s="7"/>
      <c r="B327" s="7"/>
      <c r="C327" s="7"/>
      <c r="D327" s="7"/>
      <c r="E327" s="8"/>
      <c r="F327" s="9"/>
      <c r="G327" s="9"/>
      <c r="H327" s="10"/>
      <c r="I327" s="9"/>
      <c r="J327" s="9"/>
    </row>
    <row x14ac:dyDescent="0.25" r="328" customHeight="1" ht="17.25">
      <c r="A328" s="11" t="s">
        <v>13563</v>
      </c>
      <c r="B328" s="11"/>
      <c r="C328" s="11"/>
      <c r="D328" s="11"/>
      <c r="E328" s="12"/>
      <c r="F328" s="11"/>
      <c r="G328" s="11"/>
      <c r="H328" s="13"/>
      <c r="I328" s="11"/>
      <c r="J328" s="11"/>
    </row>
    <row x14ac:dyDescent="0.25" r="329" customHeight="1" ht="17.25">
      <c r="A329" s="14" t="s">
        <v>3</v>
      </c>
      <c r="B329" s="14" t="s">
        <v>4</v>
      </c>
      <c r="C329" s="14" t="s">
        <v>5</v>
      </c>
      <c r="D329" s="14" t="s">
        <v>6</v>
      </c>
      <c r="E329" s="15" t="s">
        <v>7</v>
      </c>
      <c r="F329" s="14" t="s">
        <v>8</v>
      </c>
      <c r="G329" s="14" t="s">
        <v>9</v>
      </c>
      <c r="H329" s="16" t="s">
        <v>10</v>
      </c>
      <c r="I329" s="14" t="s">
        <v>11</v>
      </c>
      <c r="J329" s="14" t="s">
        <v>12</v>
      </c>
    </row>
    <row x14ac:dyDescent="0.25" r="330" customHeight="1" ht="17.25">
      <c r="A330" s="17" t="s">
        <v>13564</v>
      </c>
      <c r="B330" s="17" t="s">
        <v>530</v>
      </c>
      <c r="C330" s="17" t="s">
        <v>152</v>
      </c>
      <c r="D330" s="17" t="s">
        <v>16</v>
      </c>
      <c r="E330" s="18">
        <f>ROUND(10158*1.05,2)</f>
      </c>
      <c r="F330" s="17" t="s">
        <v>17</v>
      </c>
      <c r="G330" s="17" t="s">
        <v>18</v>
      </c>
      <c r="H330" s="18">
        <f>ROUND(RAND()*4+6,1)</f>
      </c>
      <c r="I330" s="17" t="s">
        <v>19</v>
      </c>
      <c r="J330" s="19">
        <f>ROUND(82*1,0)&amp;"%"</f>
      </c>
    </row>
    <row x14ac:dyDescent="0.25" r="331" customHeight="1" ht="17.25">
      <c r="A331" s="20" t="s">
        <v>13565</v>
      </c>
      <c r="B331" s="20" t="s">
        <v>532</v>
      </c>
      <c r="C331" s="20" t="s">
        <v>152</v>
      </c>
      <c r="D331" s="20" t="s">
        <v>22</v>
      </c>
      <c r="E331" s="21">
        <f>ROUND(11004*1.05,2)</f>
      </c>
      <c r="F331" s="20" t="s">
        <v>23</v>
      </c>
      <c r="G331" s="20" t="s">
        <v>24</v>
      </c>
      <c r="H331" s="21">
        <f>ROUND(RAND()*4+6,1)</f>
      </c>
      <c r="I331" s="20" t="s">
        <v>25</v>
      </c>
      <c r="J331" s="23">
        <f>ROUND(81*1,0)&amp;"%"</f>
      </c>
    </row>
    <row x14ac:dyDescent="0.25" r="332" customHeight="1" ht="17.25">
      <c r="A332" s="17" t="s">
        <v>13566</v>
      </c>
      <c r="B332" s="17" t="s">
        <v>534</v>
      </c>
      <c r="C332" s="17" t="s">
        <v>152</v>
      </c>
      <c r="D332" s="17" t="s">
        <v>28</v>
      </c>
      <c r="E332" s="18">
        <f>ROUND(16472*1.05,2)</f>
      </c>
      <c r="F332" s="17" t="s">
        <v>29</v>
      </c>
      <c r="G332" s="17" t="s">
        <v>30</v>
      </c>
      <c r="H332" s="18">
        <f>ROUND(RAND()*4+6,1)</f>
      </c>
      <c r="I332" s="17" t="s">
        <v>31</v>
      </c>
      <c r="J332" s="19">
        <f>ROUND(75*1,0)&amp;"%"</f>
      </c>
    </row>
    <row x14ac:dyDescent="0.25" r="333" customHeight="1" ht="17.25">
      <c r="A333" s="20" t="s">
        <v>13567</v>
      </c>
      <c r="B333" s="20" t="s">
        <v>536</v>
      </c>
      <c r="C333" s="20" t="s">
        <v>152</v>
      </c>
      <c r="D333" s="20" t="s">
        <v>34</v>
      </c>
      <c r="E333" s="21">
        <f>ROUND(9473*1.05,2)</f>
      </c>
      <c r="F333" s="20" t="s">
        <v>35</v>
      </c>
      <c r="G333" s="20" t="s">
        <v>18</v>
      </c>
      <c r="H333" s="22">
        <f>ROUND(RAND()*4+6,1)</f>
      </c>
      <c r="I333" s="20" t="s">
        <v>36</v>
      </c>
      <c r="J333" s="23">
        <f>ROUND(74*1,0)&amp;"%"</f>
      </c>
    </row>
    <row x14ac:dyDescent="0.25" r="334" customHeight="1" ht="17.25">
      <c r="A334" s="17" t="s">
        <v>13568</v>
      </c>
      <c r="B334" s="17" t="s">
        <v>538</v>
      </c>
      <c r="C334" s="17" t="s">
        <v>152</v>
      </c>
      <c r="D334" s="17" t="s">
        <v>39</v>
      </c>
      <c r="E334" s="18">
        <f>ROUND(17428*1.05,2)</f>
      </c>
      <c r="F334" s="17" t="s">
        <v>40</v>
      </c>
      <c r="G334" s="17" t="s">
        <v>24</v>
      </c>
      <c r="H334" s="18">
        <f>ROUND(RAND()*4+6,1)</f>
      </c>
      <c r="I334" s="17" t="s">
        <v>41</v>
      </c>
      <c r="J334" s="19">
        <f>ROUND(97*1,0)&amp;"%"</f>
      </c>
    </row>
    <row x14ac:dyDescent="0.25" r="335" customHeight="1" ht="17.25">
      <c r="A335" s="20" t="s">
        <v>13569</v>
      </c>
      <c r="B335" s="20" t="s">
        <v>540</v>
      </c>
      <c r="C335" s="20" t="s">
        <v>152</v>
      </c>
      <c r="D335" s="20" t="s">
        <v>67</v>
      </c>
      <c r="E335" s="21">
        <f>ROUND(17602*1.05,2)</f>
      </c>
      <c r="F335" s="20" t="s">
        <v>44</v>
      </c>
      <c r="G335" s="20" t="s">
        <v>30</v>
      </c>
      <c r="H335" s="21">
        <f>ROUND(RAND()*4+6,1)</f>
      </c>
      <c r="I335" s="20" t="s">
        <v>45</v>
      </c>
      <c r="J335" s="23">
        <f>ROUND(62*1,0)&amp;"%"</f>
      </c>
    </row>
    <row x14ac:dyDescent="0.25" r="336" customHeight="1" ht="17.25">
      <c r="A336" s="17" t="s">
        <v>13570</v>
      </c>
      <c r="B336" s="17" t="s">
        <v>542</v>
      </c>
      <c r="C336" s="17" t="s">
        <v>152</v>
      </c>
      <c r="D336" s="17" t="s">
        <v>16</v>
      </c>
      <c r="E336" s="18">
        <f>ROUND(16977*1.05,2)</f>
      </c>
      <c r="F336" s="17" t="s">
        <v>48</v>
      </c>
      <c r="G336" s="17" t="s">
        <v>18</v>
      </c>
      <c r="H336" s="18">
        <f>ROUND(RAND()*4+6,1)</f>
      </c>
      <c r="I336" s="17" t="s">
        <v>19</v>
      </c>
      <c r="J336" s="19">
        <f>ROUND(69*1,0)&amp;"%"</f>
      </c>
    </row>
    <row x14ac:dyDescent="0.25" r="337" customHeight="1" ht="17.25">
      <c r="A337" s="20" t="s">
        <v>13571</v>
      </c>
      <c r="B337" s="20" t="s">
        <v>544</v>
      </c>
      <c r="C337" s="20" t="s">
        <v>152</v>
      </c>
      <c r="D337" s="20" t="s">
        <v>22</v>
      </c>
      <c r="E337" s="21">
        <f>ROUND(4484*1.05,2)</f>
      </c>
      <c r="F337" s="20" t="s">
        <v>51</v>
      </c>
      <c r="G337" s="20" t="s">
        <v>24</v>
      </c>
      <c r="H337" s="22">
        <f>ROUND(RAND()*4+6,1)</f>
      </c>
      <c r="I337" s="20" t="s">
        <v>25</v>
      </c>
      <c r="J337" s="23">
        <f>ROUND(73*1,0)&amp;"%"</f>
      </c>
    </row>
    <row x14ac:dyDescent="0.25" r="338" customHeight="1" ht="17.25">
      <c r="A338" s="24" t="s">
        <v>545</v>
      </c>
      <c r="B338" s="24"/>
      <c r="C338" s="24"/>
      <c r="D338" s="24"/>
      <c r="E338" s="25">
        <v>8</v>
      </c>
      <c r="F338" s="9"/>
      <c r="G338" s="9"/>
      <c r="H338" s="10"/>
      <c r="I338" s="9"/>
      <c r="J338" s="9"/>
    </row>
    <row x14ac:dyDescent="0.25" r="339" customHeight="1" ht="17.25">
      <c r="A339" s="7"/>
      <c r="B339" s="7"/>
      <c r="C339" s="7"/>
      <c r="D339" s="7"/>
      <c r="E339" s="8"/>
      <c r="F339" s="9"/>
      <c r="G339" s="9"/>
      <c r="H339" s="10"/>
      <c r="I339" s="9"/>
      <c r="J339" s="9"/>
    </row>
    <row x14ac:dyDescent="0.25" r="340" customHeight="1" ht="17.25">
      <c r="A340" s="11" t="s">
        <v>13572</v>
      </c>
      <c r="B340" s="11"/>
      <c r="C340" s="11"/>
      <c r="D340" s="11"/>
      <c r="E340" s="12"/>
      <c r="F340" s="11"/>
      <c r="G340" s="11"/>
      <c r="H340" s="13"/>
      <c r="I340" s="11"/>
      <c r="J340" s="11"/>
    </row>
    <row x14ac:dyDescent="0.25" r="341" customHeight="1" ht="17.25">
      <c r="A341" s="14" t="s">
        <v>3</v>
      </c>
      <c r="B341" s="14" t="s">
        <v>4</v>
      </c>
      <c r="C341" s="14" t="s">
        <v>5</v>
      </c>
      <c r="D341" s="14" t="s">
        <v>6</v>
      </c>
      <c r="E341" s="15" t="s">
        <v>7</v>
      </c>
      <c r="F341" s="14" t="s">
        <v>8</v>
      </c>
      <c r="G341" s="14" t="s">
        <v>9</v>
      </c>
      <c r="H341" s="16" t="s">
        <v>10</v>
      </c>
      <c r="I341" s="14" t="s">
        <v>11</v>
      </c>
      <c r="J341" s="14" t="s">
        <v>12</v>
      </c>
    </row>
    <row x14ac:dyDescent="0.25" r="342" customHeight="1" ht="17.25">
      <c r="A342" s="17" t="s">
        <v>13573</v>
      </c>
      <c r="B342" s="17" t="s">
        <v>548</v>
      </c>
      <c r="C342" s="17" t="s">
        <v>15</v>
      </c>
      <c r="D342" s="17" t="s">
        <v>16</v>
      </c>
      <c r="E342" s="18">
        <f>ROUND(14368*1.05,2)</f>
      </c>
      <c r="F342" s="17" t="s">
        <v>17</v>
      </c>
      <c r="G342" s="17" t="s">
        <v>18</v>
      </c>
      <c r="H342" s="18">
        <f>ROUND(RAND()*4+6,1)</f>
      </c>
      <c r="I342" s="17" t="s">
        <v>19</v>
      </c>
      <c r="J342" s="19">
        <f>ROUND(60*1,0)&amp;"%"</f>
      </c>
    </row>
    <row x14ac:dyDescent="0.25" r="343" customHeight="1" ht="17.25">
      <c r="A343" s="20" t="s">
        <v>13574</v>
      </c>
      <c r="B343" s="20" t="s">
        <v>550</v>
      </c>
      <c r="C343" s="20" t="s">
        <v>15</v>
      </c>
      <c r="D343" s="20" t="s">
        <v>22</v>
      </c>
      <c r="E343" s="21">
        <f>ROUND(17122*1.05,2)</f>
      </c>
      <c r="F343" s="20" t="s">
        <v>23</v>
      </c>
      <c r="G343" s="20" t="s">
        <v>24</v>
      </c>
      <c r="H343" s="21">
        <f>ROUND(RAND()*4+6,1)</f>
      </c>
      <c r="I343" s="20" t="s">
        <v>25</v>
      </c>
      <c r="J343" s="23">
        <f>ROUND(68*1,0)&amp;"%"</f>
      </c>
    </row>
    <row x14ac:dyDescent="0.25" r="344" customHeight="1" ht="17.25">
      <c r="A344" s="17" t="s">
        <v>13575</v>
      </c>
      <c r="B344" s="17" t="s">
        <v>552</v>
      </c>
      <c r="C344" s="17" t="s">
        <v>15</v>
      </c>
      <c r="D344" s="17" t="s">
        <v>28</v>
      </c>
      <c r="E344" s="18">
        <f>ROUND(15639*1.05,2)</f>
      </c>
      <c r="F344" s="17" t="s">
        <v>29</v>
      </c>
      <c r="G344" s="17" t="s">
        <v>30</v>
      </c>
      <c r="H344" s="18">
        <f>ROUND(RAND()*4+6,1)</f>
      </c>
      <c r="I344" s="17" t="s">
        <v>31</v>
      </c>
      <c r="J344" s="19">
        <f>ROUND(66*1,0)&amp;"%"</f>
      </c>
    </row>
    <row x14ac:dyDescent="0.25" r="345" customHeight="1" ht="17.25">
      <c r="A345" s="20" t="s">
        <v>13576</v>
      </c>
      <c r="B345" s="20" t="s">
        <v>554</v>
      </c>
      <c r="C345" s="20" t="s">
        <v>15</v>
      </c>
      <c r="D345" s="20" t="s">
        <v>34</v>
      </c>
      <c r="E345" s="21">
        <f>ROUND(16431*1.05,2)</f>
      </c>
      <c r="F345" s="20" t="s">
        <v>35</v>
      </c>
      <c r="G345" s="20" t="s">
        <v>18</v>
      </c>
      <c r="H345" s="21">
        <f>ROUND(RAND()*4+6,1)</f>
      </c>
      <c r="I345" s="20" t="s">
        <v>36</v>
      </c>
      <c r="J345" s="23">
        <f>ROUND(91*1,0)&amp;"%"</f>
      </c>
    </row>
    <row x14ac:dyDescent="0.25" r="346" customHeight="1" ht="17.25">
      <c r="A346" s="17" t="s">
        <v>13577</v>
      </c>
      <c r="B346" s="17" t="s">
        <v>556</v>
      </c>
      <c r="C346" s="17" t="s">
        <v>15</v>
      </c>
      <c r="D346" s="17" t="s">
        <v>39</v>
      </c>
      <c r="E346" s="18">
        <f>ROUND(12632*1.05,2)</f>
      </c>
      <c r="F346" s="17" t="s">
        <v>40</v>
      </c>
      <c r="G346" s="17" t="s">
        <v>24</v>
      </c>
      <c r="H346" s="18">
        <f>ROUND(RAND()*4+6,1)</f>
      </c>
      <c r="I346" s="17" t="s">
        <v>41</v>
      </c>
      <c r="J346" s="19">
        <f>ROUND(99*1,0)&amp;"%"</f>
      </c>
    </row>
    <row x14ac:dyDescent="0.25" r="347" customHeight="1" ht="17.25">
      <c r="A347" s="20" t="s">
        <v>13578</v>
      </c>
      <c r="B347" s="20" t="s">
        <v>558</v>
      </c>
      <c r="C347" s="20" t="s">
        <v>15</v>
      </c>
      <c r="D347" s="20" t="s">
        <v>67</v>
      </c>
      <c r="E347" s="21">
        <f>ROUND(11231*1.05,2)</f>
      </c>
      <c r="F347" s="20" t="s">
        <v>44</v>
      </c>
      <c r="G347" s="20" t="s">
        <v>30</v>
      </c>
      <c r="H347" s="21">
        <f>ROUND(RAND()*4+6,1)</f>
      </c>
      <c r="I347" s="20" t="s">
        <v>45</v>
      </c>
      <c r="J347" s="23">
        <f>ROUND(68*1,0)&amp;"%"</f>
      </c>
    </row>
    <row x14ac:dyDescent="0.25" r="348" customHeight="1" ht="17.25">
      <c r="A348" s="17" t="s">
        <v>13579</v>
      </c>
      <c r="B348" s="17" t="s">
        <v>560</v>
      </c>
      <c r="C348" s="17" t="s">
        <v>15</v>
      </c>
      <c r="D348" s="17" t="s">
        <v>16</v>
      </c>
      <c r="E348" s="18">
        <f>ROUND(17897*1.05,2)</f>
      </c>
      <c r="F348" s="17" t="s">
        <v>48</v>
      </c>
      <c r="G348" s="17" t="s">
        <v>18</v>
      </c>
      <c r="H348" s="18">
        <f>ROUND(RAND()*4+6,1)</f>
      </c>
      <c r="I348" s="17" t="s">
        <v>19</v>
      </c>
      <c r="J348" s="19">
        <f>ROUND(75*1,0)&amp;"%"</f>
      </c>
    </row>
    <row x14ac:dyDescent="0.25" r="349" customHeight="1" ht="17.25">
      <c r="A349" s="20" t="s">
        <v>13580</v>
      </c>
      <c r="B349" s="20" t="s">
        <v>562</v>
      </c>
      <c r="C349" s="20" t="s">
        <v>15</v>
      </c>
      <c r="D349" s="20" t="s">
        <v>22</v>
      </c>
      <c r="E349" s="21">
        <f>ROUND(14551*1.05,2)</f>
      </c>
      <c r="F349" s="20" t="s">
        <v>51</v>
      </c>
      <c r="G349" s="20" t="s">
        <v>24</v>
      </c>
      <c r="H349" s="21">
        <f>ROUND(RAND()*4+6,1)</f>
      </c>
      <c r="I349" s="20" t="s">
        <v>25</v>
      </c>
      <c r="J349" s="23">
        <f>ROUND(81*1,0)&amp;"%"</f>
      </c>
    </row>
    <row x14ac:dyDescent="0.25" r="350" customHeight="1" ht="17.25">
      <c r="A350" s="24" t="s">
        <v>563</v>
      </c>
      <c r="B350" s="24"/>
      <c r="C350" s="24"/>
      <c r="D350" s="24"/>
      <c r="E350" s="25">
        <v>8</v>
      </c>
      <c r="F350" s="9"/>
      <c r="G350" s="9"/>
      <c r="H350" s="10"/>
      <c r="I350" s="9"/>
      <c r="J350" s="9"/>
    </row>
    <row x14ac:dyDescent="0.25" r="351" customHeight="1" ht="17.25">
      <c r="A351" s="7"/>
      <c r="B351" s="7"/>
      <c r="C351" s="7"/>
      <c r="D351" s="7"/>
      <c r="E351" s="8"/>
      <c r="F351" s="9"/>
      <c r="G351" s="9"/>
      <c r="H351" s="10"/>
      <c r="I351" s="9"/>
      <c r="J351" s="9"/>
    </row>
    <row x14ac:dyDescent="0.25" r="352" customHeight="1" ht="17.25">
      <c r="A352" s="11" t="s">
        <v>13581</v>
      </c>
      <c r="B352" s="11"/>
      <c r="C352" s="11"/>
      <c r="D352" s="11"/>
      <c r="E352" s="12"/>
      <c r="F352" s="11"/>
      <c r="G352" s="11"/>
      <c r="H352" s="13"/>
      <c r="I352" s="11"/>
      <c r="J352" s="11"/>
    </row>
    <row x14ac:dyDescent="0.25" r="353" customHeight="1" ht="17.25">
      <c r="A353" s="14" t="s">
        <v>3</v>
      </c>
      <c r="B353" s="14" t="s">
        <v>4</v>
      </c>
      <c r="C353" s="14" t="s">
        <v>5</v>
      </c>
      <c r="D353" s="14" t="s">
        <v>6</v>
      </c>
      <c r="E353" s="15" t="s">
        <v>7</v>
      </c>
      <c r="F353" s="14" t="s">
        <v>8</v>
      </c>
      <c r="G353" s="14" t="s">
        <v>9</v>
      </c>
      <c r="H353" s="16" t="s">
        <v>10</v>
      </c>
      <c r="I353" s="14" t="s">
        <v>11</v>
      </c>
      <c r="J353" s="14" t="s">
        <v>12</v>
      </c>
    </row>
    <row x14ac:dyDescent="0.25" r="354" customHeight="1" ht="17.25">
      <c r="A354" s="17" t="s">
        <v>13582</v>
      </c>
      <c r="B354" s="17" t="s">
        <v>566</v>
      </c>
      <c r="C354" s="17" t="s">
        <v>56</v>
      </c>
      <c r="D354" s="17" t="s">
        <v>16</v>
      </c>
      <c r="E354" s="18">
        <f>ROUND(16097*1.05,2)</f>
      </c>
      <c r="F354" s="17" t="s">
        <v>17</v>
      </c>
      <c r="G354" s="17" t="s">
        <v>18</v>
      </c>
      <c r="H354" s="18">
        <f>ROUND(RAND()*4+6,1)</f>
      </c>
      <c r="I354" s="17" t="s">
        <v>19</v>
      </c>
      <c r="J354" s="19">
        <f>ROUND(69*1,0)&amp;"%"</f>
      </c>
    </row>
    <row x14ac:dyDescent="0.25" r="355" customHeight="1" ht="17.25">
      <c r="A355" s="20" t="s">
        <v>13583</v>
      </c>
      <c r="B355" s="20" t="s">
        <v>568</v>
      </c>
      <c r="C355" s="20" t="s">
        <v>56</v>
      </c>
      <c r="D355" s="20" t="s">
        <v>22</v>
      </c>
      <c r="E355" s="21">
        <f>ROUND(9429*1.05,2)</f>
      </c>
      <c r="F355" s="20" t="s">
        <v>23</v>
      </c>
      <c r="G355" s="20" t="s">
        <v>24</v>
      </c>
      <c r="H355" s="21">
        <f>ROUND(RAND()*4+6,1)</f>
      </c>
      <c r="I355" s="20" t="s">
        <v>25</v>
      </c>
      <c r="J355" s="23">
        <f>ROUND(87*1,0)&amp;"%"</f>
      </c>
    </row>
    <row x14ac:dyDescent="0.25" r="356" customHeight="1" ht="17.25">
      <c r="A356" s="17" t="s">
        <v>13584</v>
      </c>
      <c r="B356" s="17" t="s">
        <v>570</v>
      </c>
      <c r="C356" s="17" t="s">
        <v>56</v>
      </c>
      <c r="D356" s="17" t="s">
        <v>28</v>
      </c>
      <c r="E356" s="18">
        <f>ROUND(5387*1.05,2)</f>
      </c>
      <c r="F356" s="17" t="s">
        <v>29</v>
      </c>
      <c r="G356" s="17" t="s">
        <v>30</v>
      </c>
      <c r="H356" s="18">
        <f>ROUND(RAND()*4+6,1)</f>
      </c>
      <c r="I356" s="17" t="s">
        <v>31</v>
      </c>
      <c r="J356" s="19">
        <f>ROUND(95*1,0)&amp;"%"</f>
      </c>
    </row>
    <row x14ac:dyDescent="0.25" r="357" customHeight="1" ht="17.25">
      <c r="A357" s="20" t="s">
        <v>13585</v>
      </c>
      <c r="B357" s="20" t="s">
        <v>572</v>
      </c>
      <c r="C357" s="20" t="s">
        <v>56</v>
      </c>
      <c r="D357" s="20" t="s">
        <v>34</v>
      </c>
      <c r="E357" s="21">
        <f>ROUND(6327*1.05,2)</f>
      </c>
      <c r="F357" s="20" t="s">
        <v>35</v>
      </c>
      <c r="G357" s="20" t="s">
        <v>18</v>
      </c>
      <c r="H357" s="21">
        <f>ROUND(RAND()*4+6,1)</f>
      </c>
      <c r="I357" s="20" t="s">
        <v>36</v>
      </c>
      <c r="J357" s="23">
        <f>ROUND(65*1,0)&amp;"%"</f>
      </c>
    </row>
    <row x14ac:dyDescent="0.25" r="358" customHeight="1" ht="17.25">
      <c r="A358" s="17" t="s">
        <v>13586</v>
      </c>
      <c r="B358" s="17" t="s">
        <v>574</v>
      </c>
      <c r="C358" s="17" t="s">
        <v>56</v>
      </c>
      <c r="D358" s="17" t="s">
        <v>39</v>
      </c>
      <c r="E358" s="18">
        <f>ROUND(8432*1.05,2)</f>
      </c>
      <c r="F358" s="17" t="s">
        <v>40</v>
      </c>
      <c r="G358" s="17" t="s">
        <v>24</v>
      </c>
      <c r="H358" s="18">
        <f>ROUND(RAND()*4+6,1)</f>
      </c>
      <c r="I358" s="17" t="s">
        <v>41</v>
      </c>
      <c r="J358" s="19">
        <f>ROUND(63*1,0)&amp;"%"</f>
      </c>
    </row>
    <row x14ac:dyDescent="0.25" r="359" customHeight="1" ht="17.25">
      <c r="A359" s="20" t="s">
        <v>13587</v>
      </c>
      <c r="B359" s="20" t="s">
        <v>576</v>
      </c>
      <c r="C359" s="20" t="s">
        <v>56</v>
      </c>
      <c r="D359" s="20" t="s">
        <v>67</v>
      </c>
      <c r="E359" s="21">
        <f>ROUND(14985*1.05,2)</f>
      </c>
      <c r="F359" s="20" t="s">
        <v>44</v>
      </c>
      <c r="G359" s="20" t="s">
        <v>30</v>
      </c>
      <c r="H359" s="21">
        <f>ROUND(RAND()*4+6,1)</f>
      </c>
      <c r="I359" s="20" t="s">
        <v>45</v>
      </c>
      <c r="J359" s="23">
        <f>ROUND(76*1,0)&amp;"%"</f>
      </c>
    </row>
    <row x14ac:dyDescent="0.25" r="360" customHeight="1" ht="17.25">
      <c r="A360" s="17" t="s">
        <v>13588</v>
      </c>
      <c r="B360" s="17" t="s">
        <v>578</v>
      </c>
      <c r="C360" s="17" t="s">
        <v>56</v>
      </c>
      <c r="D360" s="17" t="s">
        <v>16</v>
      </c>
      <c r="E360" s="18">
        <f>ROUND(9136*1.05,2)</f>
      </c>
      <c r="F360" s="17" t="s">
        <v>48</v>
      </c>
      <c r="G360" s="17" t="s">
        <v>18</v>
      </c>
      <c r="H360" s="18">
        <f>ROUND(RAND()*4+6,1)</f>
      </c>
      <c r="I360" s="17" t="s">
        <v>19</v>
      </c>
      <c r="J360" s="19">
        <f>ROUND(99*1,0)&amp;"%"</f>
      </c>
    </row>
    <row x14ac:dyDescent="0.25" r="361" customHeight="1" ht="17.25">
      <c r="A361" s="20" t="s">
        <v>13589</v>
      </c>
      <c r="B361" s="20" t="s">
        <v>580</v>
      </c>
      <c r="C361" s="20" t="s">
        <v>56</v>
      </c>
      <c r="D361" s="20" t="s">
        <v>22</v>
      </c>
      <c r="E361" s="21">
        <f>ROUND(4717*1.05,2)</f>
      </c>
      <c r="F361" s="20" t="s">
        <v>51</v>
      </c>
      <c r="G361" s="20" t="s">
        <v>24</v>
      </c>
      <c r="H361" s="21">
        <f>ROUND(RAND()*4+6,1)</f>
      </c>
      <c r="I361" s="20" t="s">
        <v>25</v>
      </c>
      <c r="J361" s="23">
        <f>ROUND(62*1,0)&amp;"%"</f>
      </c>
    </row>
    <row x14ac:dyDescent="0.25" r="362" customHeight="1" ht="17.25">
      <c r="A362" s="24" t="s">
        <v>581</v>
      </c>
      <c r="B362" s="24"/>
      <c r="C362" s="24"/>
      <c r="D362" s="24"/>
      <c r="E362" s="25">
        <v>8</v>
      </c>
      <c r="F362" s="9"/>
      <c r="G362" s="9"/>
      <c r="H362" s="10"/>
      <c r="I362" s="9"/>
      <c r="J362" s="9"/>
    </row>
  </sheetData>
  <mergeCells count="62">
    <mergeCell ref="A1:J1"/>
    <mergeCell ref="A2:J2"/>
    <mergeCell ref="A4:J4"/>
    <mergeCell ref="A14:D14"/>
    <mergeCell ref="A16:J16"/>
    <mergeCell ref="A26:D26"/>
    <mergeCell ref="A28:J28"/>
    <mergeCell ref="A38:D38"/>
    <mergeCell ref="A40:J40"/>
    <mergeCell ref="A50:D50"/>
    <mergeCell ref="A52:J52"/>
    <mergeCell ref="A62:D62"/>
    <mergeCell ref="A64:J64"/>
    <mergeCell ref="A74:D74"/>
    <mergeCell ref="A76:J76"/>
    <mergeCell ref="A86:D86"/>
    <mergeCell ref="A88:J88"/>
    <mergeCell ref="A98:D98"/>
    <mergeCell ref="A100:J100"/>
    <mergeCell ref="A110:D110"/>
    <mergeCell ref="A112:J112"/>
    <mergeCell ref="A122:D122"/>
    <mergeCell ref="A124:J124"/>
    <mergeCell ref="A134:D134"/>
    <mergeCell ref="A136:J136"/>
    <mergeCell ref="A146:D146"/>
    <mergeCell ref="A148:J148"/>
    <mergeCell ref="A158:D158"/>
    <mergeCell ref="A160:J160"/>
    <mergeCell ref="A170:D170"/>
    <mergeCell ref="A172:J172"/>
    <mergeCell ref="A182:D182"/>
    <mergeCell ref="A184:J184"/>
    <mergeCell ref="A194:D194"/>
    <mergeCell ref="A196:J196"/>
    <mergeCell ref="A206:D206"/>
    <mergeCell ref="A208:J208"/>
    <mergeCell ref="A218:D218"/>
    <mergeCell ref="A220:J220"/>
    <mergeCell ref="A230:D230"/>
    <mergeCell ref="A232:J232"/>
    <mergeCell ref="A242:D242"/>
    <mergeCell ref="A244:J244"/>
    <mergeCell ref="A254:D254"/>
    <mergeCell ref="A256:J256"/>
    <mergeCell ref="A266:D266"/>
    <mergeCell ref="A268:J268"/>
    <mergeCell ref="A278:D278"/>
    <mergeCell ref="A280:J280"/>
    <mergeCell ref="A290:D290"/>
    <mergeCell ref="A292:J292"/>
    <mergeCell ref="A302:D302"/>
    <mergeCell ref="A304:J304"/>
    <mergeCell ref="A314:D314"/>
    <mergeCell ref="A316:J316"/>
    <mergeCell ref="A326:D326"/>
    <mergeCell ref="A328:J328"/>
    <mergeCell ref="A338:D338"/>
    <mergeCell ref="A340:J340"/>
    <mergeCell ref="A350:D350"/>
    <mergeCell ref="A352:J352"/>
    <mergeCell ref="A362:D36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J362"/>
  <sheetViews>
    <sheetView workbookViewId="0"/>
  </sheetViews>
  <sheetFormatPr defaultRowHeight="15" x14ac:dyDescent="0.25"/>
  <cols>
    <col min="1" max="1" style="27" width="8.005" customWidth="1" bestFit="1"/>
    <col min="2" max="2" style="27" width="22.005" customWidth="1" bestFit="1"/>
    <col min="3" max="3" style="27" width="16.005" customWidth="1" bestFit="1"/>
    <col min="4" max="4" style="27" width="14.005" customWidth="1" bestFit="1"/>
    <col min="5" max="5" style="28" width="12.005" customWidth="1" bestFit="1"/>
    <col min="6" max="6" style="29" width="16.005" customWidth="1" bestFit="1"/>
    <col min="7" max="7" style="29" width="10.005" customWidth="1" bestFit="1"/>
    <col min="8" max="8" style="30" width="10.005" customWidth="1" bestFit="1"/>
    <col min="9" max="9" style="29" width="14.005" customWidth="1" bestFit="1"/>
    <col min="10" max="10" style="29" width="8.005" customWidth="1" bestFit="1"/>
  </cols>
  <sheetData>
    <row x14ac:dyDescent="0.25" r="1" customHeight="1" ht="17.25">
      <c r="A1" s="1" t="s">
        <v>13048</v>
      </c>
      <c r="B1" s="1"/>
      <c r="C1" s="1"/>
      <c r="D1" s="1"/>
      <c r="E1" s="2"/>
      <c r="F1" s="1"/>
      <c r="G1" s="1"/>
      <c r="H1" s="3"/>
      <c r="I1" s="1"/>
      <c r="J1" s="1"/>
    </row>
    <row x14ac:dyDescent="0.25" r="2" customHeight="1" ht="17.25">
      <c r="A2" s="4" t="s">
        <v>1</v>
      </c>
      <c r="B2" s="4"/>
      <c r="C2" s="4"/>
      <c r="D2" s="4"/>
      <c r="E2" s="5"/>
      <c r="F2" s="4"/>
      <c r="G2" s="4"/>
      <c r="H2" s="6"/>
      <c r="I2" s="4"/>
      <c r="J2" s="4"/>
    </row>
    <row x14ac:dyDescent="0.25" r="3" customHeight="1" ht="17.25">
      <c r="A3" s="7"/>
      <c r="B3" s="7"/>
      <c r="C3" s="7"/>
      <c r="D3" s="7"/>
      <c r="E3" s="8"/>
      <c r="F3" s="9"/>
      <c r="G3" s="9"/>
      <c r="H3" s="10"/>
      <c r="I3" s="9"/>
      <c r="J3" s="9"/>
    </row>
    <row x14ac:dyDescent="0.25" r="4" customHeight="1" ht="17.25">
      <c r="A4" s="11" t="s">
        <v>13049</v>
      </c>
      <c r="B4" s="11"/>
      <c r="C4" s="11"/>
      <c r="D4" s="11"/>
      <c r="E4" s="12"/>
      <c r="F4" s="11"/>
      <c r="G4" s="11"/>
      <c r="H4" s="13"/>
      <c r="I4" s="11"/>
      <c r="J4" s="11"/>
    </row>
    <row x14ac:dyDescent="0.25" r="5" customHeight="1" ht="17.25">
      <c r="A5" s="14" t="s">
        <v>3</v>
      </c>
      <c r="B5" s="14" t="s">
        <v>4</v>
      </c>
      <c r="C5" s="14" t="s">
        <v>5</v>
      </c>
      <c r="D5" s="14" t="s">
        <v>6</v>
      </c>
      <c r="E5" s="15" t="s">
        <v>7</v>
      </c>
      <c r="F5" s="14" t="s">
        <v>8</v>
      </c>
      <c r="G5" s="14" t="s">
        <v>9</v>
      </c>
      <c r="H5" s="16" t="s">
        <v>10</v>
      </c>
      <c r="I5" s="14" t="s">
        <v>11</v>
      </c>
      <c r="J5" s="14" t="s">
        <v>12</v>
      </c>
    </row>
    <row x14ac:dyDescent="0.25" r="6" customHeight="1" ht="17.25">
      <c r="A6" s="17" t="s">
        <v>13050</v>
      </c>
      <c r="B6" s="17" t="s">
        <v>14</v>
      </c>
      <c r="C6" s="17" t="s">
        <v>15</v>
      </c>
      <c r="D6" s="17" t="s">
        <v>16</v>
      </c>
      <c r="E6" s="18">
        <f>ROUND(14756*1.05,2)</f>
      </c>
      <c r="F6" s="17" t="s">
        <v>17</v>
      </c>
      <c r="G6" s="17" t="s">
        <v>18</v>
      </c>
      <c r="H6" s="26">
        <f>ROUND(RAND()*4+6,1)</f>
      </c>
      <c r="I6" s="17" t="s">
        <v>19</v>
      </c>
      <c r="J6" s="19">
        <f>ROUND(87*1,0)&amp;"%"</f>
      </c>
    </row>
    <row x14ac:dyDescent="0.25" r="7" customHeight="1" ht="17.25">
      <c r="A7" s="20" t="s">
        <v>13051</v>
      </c>
      <c r="B7" s="20" t="s">
        <v>21</v>
      </c>
      <c r="C7" s="20" t="s">
        <v>15</v>
      </c>
      <c r="D7" s="20" t="s">
        <v>22</v>
      </c>
      <c r="E7" s="21">
        <f>ROUND(16253*1.05,2)</f>
      </c>
      <c r="F7" s="20" t="s">
        <v>23</v>
      </c>
      <c r="G7" s="20" t="s">
        <v>24</v>
      </c>
      <c r="H7" s="21">
        <f>ROUND(RAND()*4+6,1)</f>
      </c>
      <c r="I7" s="20" t="s">
        <v>25</v>
      </c>
      <c r="J7" s="23">
        <f>ROUND(94*1,0)&amp;"%"</f>
      </c>
    </row>
    <row x14ac:dyDescent="0.25" r="8" customHeight="1" ht="17.25">
      <c r="A8" s="17" t="s">
        <v>13052</v>
      </c>
      <c r="B8" s="17" t="s">
        <v>27</v>
      </c>
      <c r="C8" s="17" t="s">
        <v>15</v>
      </c>
      <c r="D8" s="17" t="s">
        <v>28</v>
      </c>
      <c r="E8" s="26">
        <f>ROUND(10760*1.05,2)</f>
      </c>
      <c r="F8" s="17" t="s">
        <v>29</v>
      </c>
      <c r="G8" s="17" t="s">
        <v>30</v>
      </c>
      <c r="H8" s="18">
        <f>ROUND(RAND()*4+6,1)</f>
      </c>
      <c r="I8" s="17" t="s">
        <v>31</v>
      </c>
      <c r="J8" s="19">
        <f>ROUND(71*1,0)&amp;"%"</f>
      </c>
    </row>
    <row x14ac:dyDescent="0.25" r="9" customHeight="1" ht="17.25">
      <c r="A9" s="20" t="s">
        <v>13053</v>
      </c>
      <c r="B9" s="20" t="s">
        <v>33</v>
      </c>
      <c r="C9" s="20" t="s">
        <v>15</v>
      </c>
      <c r="D9" s="20" t="s">
        <v>34</v>
      </c>
      <c r="E9" s="21">
        <f>ROUND(4553*1.05,2)</f>
      </c>
      <c r="F9" s="20" t="s">
        <v>35</v>
      </c>
      <c r="G9" s="20" t="s">
        <v>18</v>
      </c>
      <c r="H9" s="21">
        <f>ROUND(RAND()*4+6,1)</f>
      </c>
      <c r="I9" s="20" t="s">
        <v>36</v>
      </c>
      <c r="J9" s="23">
        <f>ROUND(69*1,0)&amp;"%"</f>
      </c>
    </row>
    <row x14ac:dyDescent="0.25" r="10" customHeight="1" ht="17.25">
      <c r="A10" s="17" t="s">
        <v>13054</v>
      </c>
      <c r="B10" s="17" t="s">
        <v>38</v>
      </c>
      <c r="C10" s="17" t="s">
        <v>15</v>
      </c>
      <c r="D10" s="17" t="s">
        <v>39</v>
      </c>
      <c r="E10" s="18">
        <f>ROUND(15087*1.05,2)</f>
      </c>
      <c r="F10" s="17" t="s">
        <v>40</v>
      </c>
      <c r="G10" s="17" t="s">
        <v>24</v>
      </c>
      <c r="H10" s="18">
        <f>ROUND(RAND()*4+6,1)</f>
      </c>
      <c r="I10" s="17" t="s">
        <v>41</v>
      </c>
      <c r="J10" s="19">
        <f>ROUND(81*1,0)&amp;"%"</f>
      </c>
    </row>
    <row x14ac:dyDescent="0.25" r="11" customHeight="1" ht="17.25">
      <c r="A11" s="20" t="s">
        <v>13055</v>
      </c>
      <c r="B11" s="20" t="s">
        <v>43</v>
      </c>
      <c r="C11" s="20" t="s">
        <v>15</v>
      </c>
      <c r="D11" s="20" t="s">
        <v>67</v>
      </c>
      <c r="E11" s="21">
        <f>ROUND(9068*1.05,2)</f>
      </c>
      <c r="F11" s="20" t="s">
        <v>44</v>
      </c>
      <c r="G11" s="20" t="s">
        <v>30</v>
      </c>
      <c r="H11" s="21">
        <f>ROUND(RAND()*4+6,1)</f>
      </c>
      <c r="I11" s="20" t="s">
        <v>45</v>
      </c>
      <c r="J11" s="23">
        <f>ROUND(89*1,0)&amp;"%"</f>
      </c>
    </row>
    <row x14ac:dyDescent="0.25" r="12" customHeight="1" ht="17.25">
      <c r="A12" s="17" t="s">
        <v>13056</v>
      </c>
      <c r="B12" s="17" t="s">
        <v>47</v>
      </c>
      <c r="C12" s="17" t="s">
        <v>15</v>
      </c>
      <c r="D12" s="17" t="s">
        <v>16</v>
      </c>
      <c r="E12" s="18">
        <f>ROUND(6563*1.05,2)</f>
      </c>
      <c r="F12" s="17" t="s">
        <v>48</v>
      </c>
      <c r="G12" s="17" t="s">
        <v>18</v>
      </c>
      <c r="H12" s="18">
        <f>ROUND(RAND()*4+6,1)</f>
      </c>
      <c r="I12" s="17" t="s">
        <v>19</v>
      </c>
      <c r="J12" s="19">
        <f>ROUND(85*1,0)&amp;"%"</f>
      </c>
    </row>
    <row x14ac:dyDescent="0.25" r="13" customHeight="1" ht="17.25">
      <c r="A13" s="20" t="s">
        <v>13057</v>
      </c>
      <c r="B13" s="20" t="s">
        <v>50</v>
      </c>
      <c r="C13" s="20" t="s">
        <v>15</v>
      </c>
      <c r="D13" s="20" t="s">
        <v>22</v>
      </c>
      <c r="E13" s="21">
        <f>ROUND(9346*1.05,2)</f>
      </c>
      <c r="F13" s="20" t="s">
        <v>51</v>
      </c>
      <c r="G13" s="20" t="s">
        <v>24</v>
      </c>
      <c r="H13" s="21">
        <f>ROUND(RAND()*4+6,1)</f>
      </c>
      <c r="I13" s="20" t="s">
        <v>25</v>
      </c>
      <c r="J13" s="23">
        <f>ROUND(62*1,0)&amp;"%"</f>
      </c>
    </row>
    <row x14ac:dyDescent="0.25" r="14" customHeight="1" ht="17.25">
      <c r="A14" s="24" t="s">
        <v>52</v>
      </c>
      <c r="B14" s="24"/>
      <c r="C14" s="24"/>
      <c r="D14" s="24"/>
      <c r="E14" s="25">
        <v>8</v>
      </c>
      <c r="F14" s="9"/>
      <c r="G14" s="9"/>
      <c r="H14" s="10"/>
      <c r="I14" s="9"/>
      <c r="J14" s="9"/>
    </row>
    <row x14ac:dyDescent="0.25" r="15" customHeight="1" ht="17.25">
      <c r="A15" s="7"/>
      <c r="B15" s="7"/>
      <c r="C15" s="7"/>
      <c r="D15" s="7"/>
      <c r="E15" s="8"/>
      <c r="F15" s="9"/>
      <c r="G15" s="9"/>
      <c r="H15" s="10"/>
      <c r="I15" s="9"/>
      <c r="J15" s="9"/>
    </row>
    <row x14ac:dyDescent="0.25" r="16" customHeight="1" ht="17.25">
      <c r="A16" s="11" t="s">
        <v>13058</v>
      </c>
      <c r="B16" s="11"/>
      <c r="C16" s="11"/>
      <c r="D16" s="11"/>
      <c r="E16" s="12"/>
      <c r="F16" s="11"/>
      <c r="G16" s="11"/>
      <c r="H16" s="13"/>
      <c r="I16" s="11"/>
      <c r="J16" s="11"/>
    </row>
    <row x14ac:dyDescent="0.25" r="17" customHeight="1" ht="17.25">
      <c r="A17" s="14" t="s">
        <v>3</v>
      </c>
      <c r="B17" s="14" t="s">
        <v>4</v>
      </c>
      <c r="C17" s="14" t="s">
        <v>5</v>
      </c>
      <c r="D17" s="14" t="s">
        <v>6</v>
      </c>
      <c r="E17" s="15" t="s">
        <v>7</v>
      </c>
      <c r="F17" s="14" t="s">
        <v>8</v>
      </c>
      <c r="G17" s="14" t="s">
        <v>9</v>
      </c>
      <c r="H17" s="16" t="s">
        <v>10</v>
      </c>
      <c r="I17" s="14" t="s">
        <v>11</v>
      </c>
      <c r="J17" s="14" t="s">
        <v>12</v>
      </c>
    </row>
    <row x14ac:dyDescent="0.25" r="18" customHeight="1" ht="17.25">
      <c r="A18" s="17" t="s">
        <v>13059</v>
      </c>
      <c r="B18" s="17" t="s">
        <v>55</v>
      </c>
      <c r="C18" s="17" t="s">
        <v>56</v>
      </c>
      <c r="D18" s="17" t="s">
        <v>16</v>
      </c>
      <c r="E18" s="18">
        <f>ROUND(15782*1.05,2)</f>
      </c>
      <c r="F18" s="17" t="s">
        <v>17</v>
      </c>
      <c r="G18" s="17" t="s">
        <v>18</v>
      </c>
      <c r="H18" s="18">
        <f>ROUND(RAND()*4+6,1)</f>
      </c>
      <c r="I18" s="17" t="s">
        <v>19</v>
      </c>
      <c r="J18" s="19">
        <f>ROUND(74*1,0)&amp;"%"</f>
      </c>
    </row>
    <row x14ac:dyDescent="0.25" r="19" customHeight="1" ht="17.25">
      <c r="A19" s="20" t="s">
        <v>13060</v>
      </c>
      <c r="B19" s="20" t="s">
        <v>58</v>
      </c>
      <c r="C19" s="20" t="s">
        <v>56</v>
      </c>
      <c r="D19" s="20" t="s">
        <v>22</v>
      </c>
      <c r="E19" s="22">
        <f>ROUND(12340*1.05,2)</f>
      </c>
      <c r="F19" s="20" t="s">
        <v>23</v>
      </c>
      <c r="G19" s="20" t="s">
        <v>24</v>
      </c>
      <c r="H19" s="21">
        <f>ROUND(RAND()*4+6,1)</f>
      </c>
      <c r="I19" s="20" t="s">
        <v>25</v>
      </c>
      <c r="J19" s="23">
        <f>ROUND(88*1,0)&amp;"%"</f>
      </c>
    </row>
    <row x14ac:dyDescent="0.25" r="20" customHeight="1" ht="17.25">
      <c r="A20" s="17" t="s">
        <v>13061</v>
      </c>
      <c r="B20" s="17" t="s">
        <v>60</v>
      </c>
      <c r="C20" s="17" t="s">
        <v>56</v>
      </c>
      <c r="D20" s="17" t="s">
        <v>28</v>
      </c>
      <c r="E20" s="18">
        <f>ROUND(10057*1.05,2)</f>
      </c>
      <c r="F20" s="17" t="s">
        <v>29</v>
      </c>
      <c r="G20" s="17" t="s">
        <v>30</v>
      </c>
      <c r="H20" s="18">
        <f>ROUND(RAND()*4+6,1)</f>
      </c>
      <c r="I20" s="17" t="s">
        <v>31</v>
      </c>
      <c r="J20" s="19">
        <f>ROUND(77*1,0)&amp;"%"</f>
      </c>
    </row>
    <row x14ac:dyDescent="0.25" r="21" customHeight="1" ht="17.25">
      <c r="A21" s="20" t="s">
        <v>13062</v>
      </c>
      <c r="B21" s="20" t="s">
        <v>62</v>
      </c>
      <c r="C21" s="20" t="s">
        <v>56</v>
      </c>
      <c r="D21" s="20" t="s">
        <v>34</v>
      </c>
      <c r="E21" s="21">
        <f>ROUND(13451*1.05,2)</f>
      </c>
      <c r="F21" s="20" t="s">
        <v>35</v>
      </c>
      <c r="G21" s="20" t="s">
        <v>18</v>
      </c>
      <c r="H21" s="21">
        <f>ROUND(RAND()*4+6,1)</f>
      </c>
      <c r="I21" s="20" t="s">
        <v>36</v>
      </c>
      <c r="J21" s="23">
        <f>ROUND(90*1,0)&amp;"%"</f>
      </c>
    </row>
    <row x14ac:dyDescent="0.25" r="22" customHeight="1" ht="17.25">
      <c r="A22" s="17" t="s">
        <v>13063</v>
      </c>
      <c r="B22" s="17" t="s">
        <v>64</v>
      </c>
      <c r="C22" s="17" t="s">
        <v>56</v>
      </c>
      <c r="D22" s="17" t="s">
        <v>39</v>
      </c>
      <c r="E22" s="18">
        <f>ROUND(8464*1.05,2)</f>
      </c>
      <c r="F22" s="17" t="s">
        <v>40</v>
      </c>
      <c r="G22" s="17" t="s">
        <v>24</v>
      </c>
      <c r="H22" s="18">
        <f>ROUND(RAND()*4+6,1)</f>
      </c>
      <c r="I22" s="17" t="s">
        <v>41</v>
      </c>
      <c r="J22" s="19">
        <f>ROUND(80*1,0)&amp;"%"</f>
      </c>
    </row>
    <row x14ac:dyDescent="0.25" r="23" customHeight="1" ht="17.25">
      <c r="A23" s="20" t="s">
        <v>13064</v>
      </c>
      <c r="B23" s="20" t="s">
        <v>66</v>
      </c>
      <c r="C23" s="20" t="s">
        <v>56</v>
      </c>
      <c r="D23" s="20" t="s">
        <v>67</v>
      </c>
      <c r="E23" s="21">
        <f>ROUND(13348*1.05,2)</f>
      </c>
      <c r="F23" s="20" t="s">
        <v>44</v>
      </c>
      <c r="G23" s="20" t="s">
        <v>30</v>
      </c>
      <c r="H23" s="21">
        <f>ROUND(RAND()*4+6,1)</f>
      </c>
      <c r="I23" s="20" t="s">
        <v>45</v>
      </c>
      <c r="J23" s="23">
        <f>ROUND(81*1,0)&amp;"%"</f>
      </c>
    </row>
    <row x14ac:dyDescent="0.25" r="24" customHeight="1" ht="17.25">
      <c r="A24" s="17" t="s">
        <v>13065</v>
      </c>
      <c r="B24" s="17" t="s">
        <v>69</v>
      </c>
      <c r="C24" s="17" t="s">
        <v>56</v>
      </c>
      <c r="D24" s="17" t="s">
        <v>16</v>
      </c>
      <c r="E24" s="18">
        <f>ROUND(17770*1.05,2)</f>
      </c>
      <c r="F24" s="17" t="s">
        <v>48</v>
      </c>
      <c r="G24" s="17" t="s">
        <v>18</v>
      </c>
      <c r="H24" s="18">
        <f>ROUND(RAND()*4+6,1)</f>
      </c>
      <c r="I24" s="17" t="s">
        <v>19</v>
      </c>
      <c r="J24" s="19">
        <f>ROUND(70*1,0)&amp;"%"</f>
      </c>
    </row>
    <row x14ac:dyDescent="0.25" r="25" customHeight="1" ht="17.25">
      <c r="A25" s="20" t="s">
        <v>13066</v>
      </c>
      <c r="B25" s="20" t="s">
        <v>71</v>
      </c>
      <c r="C25" s="20" t="s">
        <v>56</v>
      </c>
      <c r="D25" s="20" t="s">
        <v>22</v>
      </c>
      <c r="E25" s="21">
        <f>ROUND(4544*1.05,2)</f>
      </c>
      <c r="F25" s="20" t="s">
        <v>51</v>
      </c>
      <c r="G25" s="20" t="s">
        <v>24</v>
      </c>
      <c r="H25" s="21">
        <f>ROUND(RAND()*4+6,1)</f>
      </c>
      <c r="I25" s="20" t="s">
        <v>25</v>
      </c>
      <c r="J25" s="23">
        <f>ROUND(82*1,0)&amp;"%"</f>
      </c>
    </row>
    <row x14ac:dyDescent="0.25" r="26" customHeight="1" ht="17.25">
      <c r="A26" s="24" t="s">
        <v>72</v>
      </c>
      <c r="B26" s="24"/>
      <c r="C26" s="24"/>
      <c r="D26" s="24"/>
      <c r="E26" s="25">
        <v>8</v>
      </c>
      <c r="F26" s="9"/>
      <c r="G26" s="9"/>
      <c r="H26" s="10"/>
      <c r="I26" s="9"/>
      <c r="J26" s="9"/>
    </row>
    <row x14ac:dyDescent="0.25" r="27" customHeight="1" ht="17.25">
      <c r="A27" s="7"/>
      <c r="B27" s="7"/>
      <c r="C27" s="7"/>
      <c r="D27" s="7"/>
      <c r="E27" s="8"/>
      <c r="F27" s="9"/>
      <c r="G27" s="9"/>
      <c r="H27" s="10"/>
      <c r="I27" s="9"/>
      <c r="J27" s="9"/>
    </row>
    <row x14ac:dyDescent="0.25" r="28" customHeight="1" ht="17.25">
      <c r="A28" s="11" t="s">
        <v>13067</v>
      </c>
      <c r="B28" s="11"/>
      <c r="C28" s="11"/>
      <c r="D28" s="11"/>
      <c r="E28" s="12"/>
      <c r="F28" s="11"/>
      <c r="G28" s="11"/>
      <c r="H28" s="13"/>
      <c r="I28" s="11"/>
      <c r="J28" s="11"/>
    </row>
    <row x14ac:dyDescent="0.25" r="29" customHeight="1" ht="17.25">
      <c r="A29" s="14" t="s">
        <v>3</v>
      </c>
      <c r="B29" s="14" t="s">
        <v>4</v>
      </c>
      <c r="C29" s="14" t="s">
        <v>5</v>
      </c>
      <c r="D29" s="14" t="s">
        <v>6</v>
      </c>
      <c r="E29" s="15" t="s">
        <v>7</v>
      </c>
      <c r="F29" s="14" t="s">
        <v>8</v>
      </c>
      <c r="G29" s="14" t="s">
        <v>9</v>
      </c>
      <c r="H29" s="16" t="s">
        <v>10</v>
      </c>
      <c r="I29" s="14" t="s">
        <v>11</v>
      </c>
      <c r="J29" s="14" t="s">
        <v>12</v>
      </c>
    </row>
    <row x14ac:dyDescent="0.25" r="30" customHeight="1" ht="17.25">
      <c r="A30" s="17" t="s">
        <v>13068</v>
      </c>
      <c r="B30" s="17" t="s">
        <v>75</v>
      </c>
      <c r="C30" s="17" t="s">
        <v>76</v>
      </c>
      <c r="D30" s="17" t="s">
        <v>16</v>
      </c>
      <c r="E30" s="18">
        <f>ROUND(5117*1.05,2)</f>
      </c>
      <c r="F30" s="17" t="s">
        <v>17</v>
      </c>
      <c r="G30" s="17" t="s">
        <v>18</v>
      </c>
      <c r="H30" s="18">
        <f>ROUND(RAND()*4+6,1)</f>
      </c>
      <c r="I30" s="17" t="s">
        <v>19</v>
      </c>
      <c r="J30" s="19">
        <f>ROUND(74*1,0)&amp;"%"</f>
      </c>
    </row>
    <row x14ac:dyDescent="0.25" r="31" customHeight="1" ht="17.25">
      <c r="A31" s="20" t="s">
        <v>13069</v>
      </c>
      <c r="B31" s="20" t="s">
        <v>78</v>
      </c>
      <c r="C31" s="20" t="s">
        <v>76</v>
      </c>
      <c r="D31" s="20" t="s">
        <v>22</v>
      </c>
      <c r="E31" s="21">
        <f>ROUND(9543*1.05,2)</f>
      </c>
      <c r="F31" s="20" t="s">
        <v>23</v>
      </c>
      <c r="G31" s="20" t="s">
        <v>24</v>
      </c>
      <c r="H31" s="21">
        <f>ROUND(RAND()*4+6,1)</f>
      </c>
      <c r="I31" s="20" t="s">
        <v>25</v>
      </c>
      <c r="J31" s="23">
        <f>ROUND(80*1,0)&amp;"%"</f>
      </c>
    </row>
    <row x14ac:dyDescent="0.25" r="32" customHeight="1" ht="17.25">
      <c r="A32" s="17" t="s">
        <v>13070</v>
      </c>
      <c r="B32" s="17" t="s">
        <v>80</v>
      </c>
      <c r="C32" s="17" t="s">
        <v>76</v>
      </c>
      <c r="D32" s="17" t="s">
        <v>28</v>
      </c>
      <c r="E32" s="18">
        <f>ROUND(7119*1.05,2)</f>
      </c>
      <c r="F32" s="17" t="s">
        <v>29</v>
      </c>
      <c r="G32" s="17" t="s">
        <v>30</v>
      </c>
      <c r="H32" s="18">
        <f>ROUND(RAND()*4+6,1)</f>
      </c>
      <c r="I32" s="17" t="s">
        <v>31</v>
      </c>
      <c r="J32" s="19">
        <f>ROUND(80*1,0)&amp;"%"</f>
      </c>
    </row>
    <row x14ac:dyDescent="0.25" r="33" customHeight="1" ht="17.25">
      <c r="A33" s="20" t="s">
        <v>13071</v>
      </c>
      <c r="B33" s="20" t="s">
        <v>82</v>
      </c>
      <c r="C33" s="20" t="s">
        <v>76</v>
      </c>
      <c r="D33" s="20" t="s">
        <v>34</v>
      </c>
      <c r="E33" s="21">
        <f>ROUND(7895*1.05,2)</f>
      </c>
      <c r="F33" s="20" t="s">
        <v>35</v>
      </c>
      <c r="G33" s="20" t="s">
        <v>18</v>
      </c>
      <c r="H33" s="21">
        <f>ROUND(RAND()*4+6,1)</f>
      </c>
      <c r="I33" s="20" t="s">
        <v>36</v>
      </c>
      <c r="J33" s="23">
        <f>ROUND(91*1,0)&amp;"%"</f>
      </c>
    </row>
    <row x14ac:dyDescent="0.25" r="34" customHeight="1" ht="17.25">
      <c r="A34" s="17" t="s">
        <v>13072</v>
      </c>
      <c r="B34" s="17" t="s">
        <v>84</v>
      </c>
      <c r="C34" s="17" t="s">
        <v>76</v>
      </c>
      <c r="D34" s="17" t="s">
        <v>39</v>
      </c>
      <c r="E34" s="18">
        <f>ROUND(11558*1.05,2)</f>
      </c>
      <c r="F34" s="17" t="s">
        <v>40</v>
      </c>
      <c r="G34" s="17" t="s">
        <v>24</v>
      </c>
      <c r="H34" s="18">
        <f>ROUND(RAND()*4+6,1)</f>
      </c>
      <c r="I34" s="17" t="s">
        <v>41</v>
      </c>
      <c r="J34" s="19">
        <f>ROUND(74*1,0)&amp;"%"</f>
      </c>
    </row>
    <row x14ac:dyDescent="0.25" r="35" customHeight="1" ht="17.25">
      <c r="A35" s="20" t="s">
        <v>13073</v>
      </c>
      <c r="B35" s="20" t="s">
        <v>86</v>
      </c>
      <c r="C35" s="20" t="s">
        <v>76</v>
      </c>
      <c r="D35" s="20" t="s">
        <v>67</v>
      </c>
      <c r="E35" s="21">
        <f>ROUND(7693*1.05,2)</f>
      </c>
      <c r="F35" s="20" t="s">
        <v>44</v>
      </c>
      <c r="G35" s="20" t="s">
        <v>30</v>
      </c>
      <c r="H35" s="21">
        <f>ROUND(RAND()*4+6,1)</f>
      </c>
      <c r="I35" s="20" t="s">
        <v>45</v>
      </c>
      <c r="J35" s="23">
        <f>ROUND(75*1,0)&amp;"%"</f>
      </c>
    </row>
    <row x14ac:dyDescent="0.25" r="36" customHeight="1" ht="17.25">
      <c r="A36" s="17" t="s">
        <v>13074</v>
      </c>
      <c r="B36" s="17" t="s">
        <v>88</v>
      </c>
      <c r="C36" s="17" t="s">
        <v>76</v>
      </c>
      <c r="D36" s="17" t="s">
        <v>16</v>
      </c>
      <c r="E36" s="18">
        <f>ROUND(11751*1.05,2)</f>
      </c>
      <c r="F36" s="17" t="s">
        <v>48</v>
      </c>
      <c r="G36" s="17" t="s">
        <v>18</v>
      </c>
      <c r="H36" s="18">
        <f>ROUND(RAND()*4+6,1)</f>
      </c>
      <c r="I36" s="17" t="s">
        <v>19</v>
      </c>
      <c r="J36" s="19">
        <f>ROUND(79*1,0)&amp;"%"</f>
      </c>
    </row>
    <row x14ac:dyDescent="0.25" r="37" customHeight="1" ht="17.25">
      <c r="A37" s="20" t="s">
        <v>13075</v>
      </c>
      <c r="B37" s="20" t="s">
        <v>90</v>
      </c>
      <c r="C37" s="20" t="s">
        <v>76</v>
      </c>
      <c r="D37" s="20" t="s">
        <v>22</v>
      </c>
      <c r="E37" s="21">
        <f>ROUND(7866*1.05,2)</f>
      </c>
      <c r="F37" s="20" t="s">
        <v>51</v>
      </c>
      <c r="G37" s="20" t="s">
        <v>24</v>
      </c>
      <c r="H37" s="21">
        <f>ROUND(RAND()*4+6,1)</f>
      </c>
      <c r="I37" s="20" t="s">
        <v>25</v>
      </c>
      <c r="J37" s="23">
        <f>ROUND(84*1,0)&amp;"%"</f>
      </c>
    </row>
    <row x14ac:dyDescent="0.25" r="38" customHeight="1" ht="17.25">
      <c r="A38" s="24" t="s">
        <v>91</v>
      </c>
      <c r="B38" s="24"/>
      <c r="C38" s="24"/>
      <c r="D38" s="24"/>
      <c r="E38" s="25">
        <v>8</v>
      </c>
      <c r="F38" s="9"/>
      <c r="G38" s="9"/>
      <c r="H38" s="10"/>
      <c r="I38" s="9"/>
      <c r="J38" s="9"/>
    </row>
    <row x14ac:dyDescent="0.25" r="39" customHeight="1" ht="17.25">
      <c r="A39" s="7"/>
      <c r="B39" s="7"/>
      <c r="C39" s="7"/>
      <c r="D39" s="7"/>
      <c r="E39" s="8"/>
      <c r="F39" s="9"/>
      <c r="G39" s="9"/>
      <c r="H39" s="10"/>
      <c r="I39" s="9"/>
      <c r="J39" s="9"/>
    </row>
    <row x14ac:dyDescent="0.25" r="40" customHeight="1" ht="17.25">
      <c r="A40" s="11" t="s">
        <v>13076</v>
      </c>
      <c r="B40" s="11"/>
      <c r="C40" s="11"/>
      <c r="D40" s="11"/>
      <c r="E40" s="12"/>
      <c r="F40" s="11"/>
      <c r="G40" s="11"/>
      <c r="H40" s="13"/>
      <c r="I40" s="11"/>
      <c r="J40" s="11"/>
    </row>
    <row x14ac:dyDescent="0.25" r="41" customHeight="1" ht="17.25">
      <c r="A41" s="14" t="s">
        <v>3</v>
      </c>
      <c r="B41" s="14" t="s">
        <v>4</v>
      </c>
      <c r="C41" s="14" t="s">
        <v>5</v>
      </c>
      <c r="D41" s="14" t="s">
        <v>6</v>
      </c>
      <c r="E41" s="15" t="s">
        <v>7</v>
      </c>
      <c r="F41" s="14" t="s">
        <v>8</v>
      </c>
      <c r="G41" s="14" t="s">
        <v>9</v>
      </c>
      <c r="H41" s="16" t="s">
        <v>10</v>
      </c>
      <c r="I41" s="14" t="s">
        <v>11</v>
      </c>
      <c r="J41" s="14" t="s">
        <v>12</v>
      </c>
    </row>
    <row x14ac:dyDescent="0.25" r="42" customHeight="1" ht="17.25">
      <c r="A42" s="17" t="s">
        <v>13077</v>
      </c>
      <c r="B42" s="17" t="s">
        <v>94</v>
      </c>
      <c r="C42" s="17" t="s">
        <v>95</v>
      </c>
      <c r="D42" s="17" t="s">
        <v>16</v>
      </c>
      <c r="E42" s="18">
        <f>ROUND(6619*1.05,2)</f>
      </c>
      <c r="F42" s="17" t="s">
        <v>17</v>
      </c>
      <c r="G42" s="17" t="s">
        <v>18</v>
      </c>
      <c r="H42" s="18">
        <f>ROUND(RAND()*4+6,1)</f>
      </c>
      <c r="I42" s="17" t="s">
        <v>19</v>
      </c>
      <c r="J42" s="19">
        <f>ROUND(78*1,0)&amp;"%"</f>
      </c>
    </row>
    <row x14ac:dyDescent="0.25" r="43" customHeight="1" ht="17.25">
      <c r="A43" s="20" t="s">
        <v>13078</v>
      </c>
      <c r="B43" s="20" t="s">
        <v>97</v>
      </c>
      <c r="C43" s="20" t="s">
        <v>95</v>
      </c>
      <c r="D43" s="20" t="s">
        <v>22</v>
      </c>
      <c r="E43" s="21">
        <f>ROUND(8054*1.05,2)</f>
      </c>
      <c r="F43" s="20" t="s">
        <v>23</v>
      </c>
      <c r="G43" s="20" t="s">
        <v>24</v>
      </c>
      <c r="H43" s="21">
        <f>ROUND(RAND()*4+6,1)</f>
      </c>
      <c r="I43" s="20" t="s">
        <v>25</v>
      </c>
      <c r="J43" s="23">
        <f>ROUND(67*1,0)&amp;"%"</f>
      </c>
    </row>
    <row x14ac:dyDescent="0.25" r="44" customHeight="1" ht="17.25">
      <c r="A44" s="17" t="s">
        <v>13079</v>
      </c>
      <c r="B44" s="17" t="s">
        <v>99</v>
      </c>
      <c r="C44" s="17" t="s">
        <v>95</v>
      </c>
      <c r="D44" s="17" t="s">
        <v>28</v>
      </c>
      <c r="E44" s="18">
        <f>ROUND(11175*1.05,2)</f>
      </c>
      <c r="F44" s="17" t="s">
        <v>29</v>
      </c>
      <c r="G44" s="17" t="s">
        <v>30</v>
      </c>
      <c r="H44" s="18">
        <f>ROUND(RAND()*4+6,1)</f>
      </c>
      <c r="I44" s="17" t="s">
        <v>31</v>
      </c>
      <c r="J44" s="19">
        <f>ROUND(66*1,0)&amp;"%"</f>
      </c>
    </row>
    <row x14ac:dyDescent="0.25" r="45" customHeight="1" ht="17.25">
      <c r="A45" s="20" t="s">
        <v>13080</v>
      </c>
      <c r="B45" s="20" t="s">
        <v>101</v>
      </c>
      <c r="C45" s="20" t="s">
        <v>95</v>
      </c>
      <c r="D45" s="20" t="s">
        <v>34</v>
      </c>
      <c r="E45" s="21">
        <f>ROUND(17598*1.05,2)</f>
      </c>
      <c r="F45" s="20" t="s">
        <v>35</v>
      </c>
      <c r="G45" s="20" t="s">
        <v>18</v>
      </c>
      <c r="H45" s="21">
        <f>ROUND(RAND()*4+6,1)</f>
      </c>
      <c r="I45" s="20" t="s">
        <v>36</v>
      </c>
      <c r="J45" s="23">
        <f>ROUND(68*1,0)&amp;"%"</f>
      </c>
    </row>
    <row x14ac:dyDescent="0.25" r="46" customHeight="1" ht="17.25">
      <c r="A46" s="17" t="s">
        <v>13081</v>
      </c>
      <c r="B46" s="17" t="s">
        <v>103</v>
      </c>
      <c r="C46" s="17" t="s">
        <v>95</v>
      </c>
      <c r="D46" s="17" t="s">
        <v>39</v>
      </c>
      <c r="E46" s="18">
        <f>ROUND(5196*1.05,2)</f>
      </c>
      <c r="F46" s="17" t="s">
        <v>40</v>
      </c>
      <c r="G46" s="17" t="s">
        <v>24</v>
      </c>
      <c r="H46" s="18">
        <f>ROUND(RAND()*4+6,1)</f>
      </c>
      <c r="I46" s="17" t="s">
        <v>41</v>
      </c>
      <c r="J46" s="19">
        <f>ROUND(85*1,0)&amp;"%"</f>
      </c>
    </row>
    <row x14ac:dyDescent="0.25" r="47" customHeight="1" ht="17.25">
      <c r="A47" s="20" t="s">
        <v>13082</v>
      </c>
      <c r="B47" s="20" t="s">
        <v>105</v>
      </c>
      <c r="C47" s="20" t="s">
        <v>95</v>
      </c>
      <c r="D47" s="20" t="s">
        <v>67</v>
      </c>
      <c r="E47" s="21">
        <f>ROUND(13982*1.05,2)</f>
      </c>
      <c r="F47" s="20" t="s">
        <v>44</v>
      </c>
      <c r="G47" s="20" t="s">
        <v>30</v>
      </c>
      <c r="H47" s="21">
        <f>ROUND(RAND()*4+6,1)</f>
      </c>
      <c r="I47" s="20" t="s">
        <v>45</v>
      </c>
      <c r="J47" s="23">
        <f>ROUND(73*1,0)&amp;"%"</f>
      </c>
    </row>
    <row x14ac:dyDescent="0.25" r="48" customHeight="1" ht="17.25">
      <c r="A48" s="17" t="s">
        <v>13083</v>
      </c>
      <c r="B48" s="17" t="s">
        <v>107</v>
      </c>
      <c r="C48" s="17" t="s">
        <v>95</v>
      </c>
      <c r="D48" s="17" t="s">
        <v>16</v>
      </c>
      <c r="E48" s="18">
        <f>ROUND(15378*1.05,2)</f>
      </c>
      <c r="F48" s="17" t="s">
        <v>48</v>
      </c>
      <c r="G48" s="17" t="s">
        <v>18</v>
      </c>
      <c r="H48" s="18">
        <f>ROUND(RAND()*4+6,1)</f>
      </c>
      <c r="I48" s="17" t="s">
        <v>19</v>
      </c>
      <c r="J48" s="19">
        <f>ROUND(63*1,0)&amp;"%"</f>
      </c>
    </row>
    <row x14ac:dyDescent="0.25" r="49" customHeight="1" ht="17.25">
      <c r="A49" s="20" t="s">
        <v>13084</v>
      </c>
      <c r="B49" s="20" t="s">
        <v>109</v>
      </c>
      <c r="C49" s="20" t="s">
        <v>95</v>
      </c>
      <c r="D49" s="20" t="s">
        <v>22</v>
      </c>
      <c r="E49" s="21">
        <f>ROUND(13155*1.05,2)</f>
      </c>
      <c r="F49" s="20" t="s">
        <v>51</v>
      </c>
      <c r="G49" s="20" t="s">
        <v>24</v>
      </c>
      <c r="H49" s="21">
        <f>ROUND(RAND()*4+6,1)</f>
      </c>
      <c r="I49" s="20" t="s">
        <v>25</v>
      </c>
      <c r="J49" s="23">
        <f>ROUND(74*1,0)&amp;"%"</f>
      </c>
    </row>
    <row x14ac:dyDescent="0.25" r="50" customHeight="1" ht="17.25">
      <c r="A50" s="24" t="s">
        <v>110</v>
      </c>
      <c r="B50" s="24"/>
      <c r="C50" s="24"/>
      <c r="D50" s="24"/>
      <c r="E50" s="25">
        <v>8</v>
      </c>
      <c r="F50" s="9"/>
      <c r="G50" s="9"/>
      <c r="H50" s="10"/>
      <c r="I50" s="9"/>
      <c r="J50" s="9"/>
    </row>
    <row x14ac:dyDescent="0.25" r="51" customHeight="1" ht="17.25">
      <c r="A51" s="7"/>
      <c r="B51" s="7"/>
      <c r="C51" s="7"/>
      <c r="D51" s="7"/>
      <c r="E51" s="8"/>
      <c r="F51" s="9"/>
      <c r="G51" s="9"/>
      <c r="H51" s="10"/>
      <c r="I51" s="9"/>
      <c r="J51" s="9"/>
    </row>
    <row x14ac:dyDescent="0.25" r="52" customHeight="1" ht="17.25">
      <c r="A52" s="11" t="s">
        <v>13085</v>
      </c>
      <c r="B52" s="11"/>
      <c r="C52" s="11"/>
      <c r="D52" s="11"/>
      <c r="E52" s="12"/>
      <c r="F52" s="11"/>
      <c r="G52" s="11"/>
      <c r="H52" s="13"/>
      <c r="I52" s="11"/>
      <c r="J52" s="11"/>
    </row>
    <row x14ac:dyDescent="0.25" r="53" customHeight="1" ht="17.25">
      <c r="A53" s="14" t="s">
        <v>3</v>
      </c>
      <c r="B53" s="14" t="s">
        <v>4</v>
      </c>
      <c r="C53" s="14" t="s">
        <v>5</v>
      </c>
      <c r="D53" s="14" t="s">
        <v>6</v>
      </c>
      <c r="E53" s="15" t="s">
        <v>7</v>
      </c>
      <c r="F53" s="14" t="s">
        <v>8</v>
      </c>
      <c r="G53" s="14" t="s">
        <v>9</v>
      </c>
      <c r="H53" s="16" t="s">
        <v>10</v>
      </c>
      <c r="I53" s="14" t="s">
        <v>11</v>
      </c>
      <c r="J53" s="14" t="s">
        <v>12</v>
      </c>
    </row>
    <row x14ac:dyDescent="0.25" r="54" customHeight="1" ht="17.25">
      <c r="A54" s="17" t="s">
        <v>13086</v>
      </c>
      <c r="B54" s="17" t="s">
        <v>113</v>
      </c>
      <c r="C54" s="17" t="s">
        <v>114</v>
      </c>
      <c r="D54" s="17" t="s">
        <v>16</v>
      </c>
      <c r="E54" s="18">
        <f>ROUND(16297*1.05,2)</f>
      </c>
      <c r="F54" s="17" t="s">
        <v>17</v>
      </c>
      <c r="G54" s="17" t="s">
        <v>18</v>
      </c>
      <c r="H54" s="18">
        <f>ROUND(RAND()*4+6,1)</f>
      </c>
      <c r="I54" s="17" t="s">
        <v>19</v>
      </c>
      <c r="J54" s="19">
        <f>ROUND(90*1,0)&amp;"%"</f>
      </c>
    </row>
    <row x14ac:dyDescent="0.25" r="55" customHeight="1" ht="17.25">
      <c r="A55" s="20" t="s">
        <v>13087</v>
      </c>
      <c r="B55" s="20" t="s">
        <v>116</v>
      </c>
      <c r="C55" s="20" t="s">
        <v>114</v>
      </c>
      <c r="D55" s="20" t="s">
        <v>22</v>
      </c>
      <c r="E55" s="21">
        <f>ROUND(6759*1.05,2)</f>
      </c>
      <c r="F55" s="20" t="s">
        <v>23</v>
      </c>
      <c r="G55" s="20" t="s">
        <v>24</v>
      </c>
      <c r="H55" s="21">
        <f>ROUND(RAND()*4+6,1)</f>
      </c>
      <c r="I55" s="20" t="s">
        <v>25</v>
      </c>
      <c r="J55" s="23">
        <f>ROUND(100*1,0)&amp;"%"</f>
      </c>
    </row>
    <row x14ac:dyDescent="0.25" r="56" customHeight="1" ht="17.25">
      <c r="A56" s="17" t="s">
        <v>13088</v>
      </c>
      <c r="B56" s="17" t="s">
        <v>118</v>
      </c>
      <c r="C56" s="17" t="s">
        <v>114</v>
      </c>
      <c r="D56" s="17" t="s">
        <v>28</v>
      </c>
      <c r="E56" s="18">
        <f>ROUND(5788*1.05,2)</f>
      </c>
      <c r="F56" s="17" t="s">
        <v>29</v>
      </c>
      <c r="G56" s="17" t="s">
        <v>30</v>
      </c>
      <c r="H56" s="26">
        <f>ROUND(RAND()*4+6,1)</f>
      </c>
      <c r="I56" s="17" t="s">
        <v>31</v>
      </c>
      <c r="J56" s="19">
        <f>ROUND(78*1,0)&amp;"%"</f>
      </c>
    </row>
    <row x14ac:dyDescent="0.25" r="57" customHeight="1" ht="17.25">
      <c r="A57" s="20" t="s">
        <v>13089</v>
      </c>
      <c r="B57" s="20" t="s">
        <v>120</v>
      </c>
      <c r="C57" s="20" t="s">
        <v>114</v>
      </c>
      <c r="D57" s="20" t="s">
        <v>34</v>
      </c>
      <c r="E57" s="21">
        <f>ROUND(9966*1.05,2)</f>
      </c>
      <c r="F57" s="20" t="s">
        <v>35</v>
      </c>
      <c r="G57" s="20" t="s">
        <v>18</v>
      </c>
      <c r="H57" s="21">
        <f>ROUND(RAND()*4+6,1)</f>
      </c>
      <c r="I57" s="20" t="s">
        <v>36</v>
      </c>
      <c r="J57" s="23">
        <f>ROUND(67*1,0)&amp;"%"</f>
      </c>
    </row>
    <row x14ac:dyDescent="0.25" r="58" customHeight="1" ht="17.25">
      <c r="A58" s="17" t="s">
        <v>13090</v>
      </c>
      <c r="B58" s="17" t="s">
        <v>122</v>
      </c>
      <c r="C58" s="17" t="s">
        <v>114</v>
      </c>
      <c r="D58" s="17" t="s">
        <v>39</v>
      </c>
      <c r="E58" s="18">
        <f>ROUND(15611*1.05,2)</f>
      </c>
      <c r="F58" s="17" t="s">
        <v>40</v>
      </c>
      <c r="G58" s="17" t="s">
        <v>24</v>
      </c>
      <c r="H58" s="18">
        <f>ROUND(RAND()*4+6,1)</f>
      </c>
      <c r="I58" s="17" t="s">
        <v>41</v>
      </c>
      <c r="J58" s="19">
        <f>ROUND(94*1,0)&amp;"%"</f>
      </c>
    </row>
    <row x14ac:dyDescent="0.25" r="59" customHeight="1" ht="17.25">
      <c r="A59" s="20" t="s">
        <v>13091</v>
      </c>
      <c r="B59" s="20" t="s">
        <v>124</v>
      </c>
      <c r="C59" s="20" t="s">
        <v>114</v>
      </c>
      <c r="D59" s="20" t="s">
        <v>67</v>
      </c>
      <c r="E59" s="21">
        <f>ROUND(5644*1.05,2)</f>
      </c>
      <c r="F59" s="20" t="s">
        <v>44</v>
      </c>
      <c r="G59" s="20" t="s">
        <v>30</v>
      </c>
      <c r="H59" s="21">
        <f>ROUND(RAND()*4+6,1)</f>
      </c>
      <c r="I59" s="20" t="s">
        <v>45</v>
      </c>
      <c r="J59" s="23">
        <f>ROUND(86*1,0)&amp;"%"</f>
      </c>
    </row>
    <row x14ac:dyDescent="0.25" r="60" customHeight="1" ht="17.25">
      <c r="A60" s="17" t="s">
        <v>13092</v>
      </c>
      <c r="B60" s="17" t="s">
        <v>126</v>
      </c>
      <c r="C60" s="17" t="s">
        <v>114</v>
      </c>
      <c r="D60" s="17" t="s">
        <v>16</v>
      </c>
      <c r="E60" s="18">
        <f>ROUND(12510*1.05,2)</f>
      </c>
      <c r="F60" s="17" t="s">
        <v>48</v>
      </c>
      <c r="G60" s="17" t="s">
        <v>18</v>
      </c>
      <c r="H60" s="18">
        <f>ROUND(RAND()*4+6,1)</f>
      </c>
      <c r="I60" s="17" t="s">
        <v>19</v>
      </c>
      <c r="J60" s="19">
        <f>ROUND(100*1,0)&amp;"%"</f>
      </c>
    </row>
    <row x14ac:dyDescent="0.25" r="61" customHeight="1" ht="17.25">
      <c r="A61" s="20" t="s">
        <v>13093</v>
      </c>
      <c r="B61" s="20" t="s">
        <v>128</v>
      </c>
      <c r="C61" s="20" t="s">
        <v>114</v>
      </c>
      <c r="D61" s="20" t="s">
        <v>22</v>
      </c>
      <c r="E61" s="21">
        <f>ROUND(5487*1.05,2)</f>
      </c>
      <c r="F61" s="20" t="s">
        <v>51</v>
      </c>
      <c r="G61" s="20" t="s">
        <v>24</v>
      </c>
      <c r="H61" s="21">
        <f>ROUND(RAND()*4+6,1)</f>
      </c>
      <c r="I61" s="20" t="s">
        <v>25</v>
      </c>
      <c r="J61" s="23">
        <f>ROUND(89*1,0)&amp;"%"</f>
      </c>
    </row>
    <row x14ac:dyDescent="0.25" r="62" customHeight="1" ht="17.25">
      <c r="A62" s="24" t="s">
        <v>129</v>
      </c>
      <c r="B62" s="24"/>
      <c r="C62" s="24"/>
      <c r="D62" s="24"/>
      <c r="E62" s="25">
        <v>8</v>
      </c>
      <c r="F62" s="9"/>
      <c r="G62" s="9"/>
      <c r="H62" s="10"/>
      <c r="I62" s="9"/>
      <c r="J62" s="9"/>
    </row>
    <row x14ac:dyDescent="0.25" r="63" customHeight="1" ht="17.25">
      <c r="A63" s="7"/>
      <c r="B63" s="7"/>
      <c r="C63" s="7"/>
      <c r="D63" s="7"/>
      <c r="E63" s="8"/>
      <c r="F63" s="9"/>
      <c r="G63" s="9"/>
      <c r="H63" s="10"/>
      <c r="I63" s="9"/>
      <c r="J63" s="9"/>
    </row>
    <row x14ac:dyDescent="0.25" r="64" customHeight="1" ht="17.25">
      <c r="A64" s="11" t="s">
        <v>13094</v>
      </c>
      <c r="B64" s="11"/>
      <c r="C64" s="11"/>
      <c r="D64" s="11"/>
      <c r="E64" s="12"/>
      <c r="F64" s="11"/>
      <c r="G64" s="11"/>
      <c r="H64" s="13"/>
      <c r="I64" s="11"/>
      <c r="J64" s="11"/>
    </row>
    <row x14ac:dyDescent="0.25" r="65" customHeight="1" ht="17.25">
      <c r="A65" s="14" t="s">
        <v>3</v>
      </c>
      <c r="B65" s="14" t="s">
        <v>4</v>
      </c>
      <c r="C65" s="14" t="s">
        <v>5</v>
      </c>
      <c r="D65" s="14" t="s">
        <v>6</v>
      </c>
      <c r="E65" s="15" t="s">
        <v>7</v>
      </c>
      <c r="F65" s="14" t="s">
        <v>8</v>
      </c>
      <c r="G65" s="14" t="s">
        <v>9</v>
      </c>
      <c r="H65" s="16" t="s">
        <v>10</v>
      </c>
      <c r="I65" s="14" t="s">
        <v>11</v>
      </c>
      <c r="J65" s="14" t="s">
        <v>12</v>
      </c>
    </row>
    <row x14ac:dyDescent="0.25" r="66" customHeight="1" ht="17.25">
      <c r="A66" s="17" t="s">
        <v>13095</v>
      </c>
      <c r="B66" s="17" t="s">
        <v>132</v>
      </c>
      <c r="C66" s="17" t="s">
        <v>133</v>
      </c>
      <c r="D66" s="17" t="s">
        <v>16</v>
      </c>
      <c r="E66" s="18">
        <f>ROUND(10658*1.05,2)</f>
      </c>
      <c r="F66" s="17" t="s">
        <v>17</v>
      </c>
      <c r="G66" s="17" t="s">
        <v>18</v>
      </c>
      <c r="H66" s="18">
        <f>ROUND(RAND()*4+6,1)</f>
      </c>
      <c r="I66" s="17" t="s">
        <v>19</v>
      </c>
      <c r="J66" s="19">
        <f>ROUND(78*1,0)&amp;"%"</f>
      </c>
    </row>
    <row x14ac:dyDescent="0.25" r="67" customHeight="1" ht="17.25">
      <c r="A67" s="20" t="s">
        <v>13096</v>
      </c>
      <c r="B67" s="20" t="s">
        <v>135</v>
      </c>
      <c r="C67" s="20" t="s">
        <v>133</v>
      </c>
      <c r="D67" s="20" t="s">
        <v>22</v>
      </c>
      <c r="E67" s="21">
        <f>ROUND(9467*1.05,2)</f>
      </c>
      <c r="F67" s="20" t="s">
        <v>23</v>
      </c>
      <c r="G67" s="20" t="s">
        <v>24</v>
      </c>
      <c r="H67" s="21">
        <f>ROUND(RAND()*4+6,1)</f>
      </c>
      <c r="I67" s="20" t="s">
        <v>25</v>
      </c>
      <c r="J67" s="23">
        <f>ROUND(66*1,0)&amp;"%"</f>
      </c>
    </row>
    <row x14ac:dyDescent="0.25" r="68" customHeight="1" ht="17.25">
      <c r="A68" s="17" t="s">
        <v>13097</v>
      </c>
      <c r="B68" s="17" t="s">
        <v>137</v>
      </c>
      <c r="C68" s="17" t="s">
        <v>133</v>
      </c>
      <c r="D68" s="17" t="s">
        <v>28</v>
      </c>
      <c r="E68" s="18">
        <f>ROUND(14248*1.05,2)</f>
      </c>
      <c r="F68" s="17" t="s">
        <v>29</v>
      </c>
      <c r="G68" s="17" t="s">
        <v>30</v>
      </c>
      <c r="H68" s="26">
        <f>ROUND(RAND()*4+6,1)</f>
      </c>
      <c r="I68" s="17" t="s">
        <v>31</v>
      </c>
      <c r="J68" s="19">
        <f>ROUND(89*1,0)&amp;"%"</f>
      </c>
    </row>
    <row x14ac:dyDescent="0.25" r="69" customHeight="1" ht="17.25">
      <c r="A69" s="20" t="s">
        <v>13098</v>
      </c>
      <c r="B69" s="20" t="s">
        <v>139</v>
      </c>
      <c r="C69" s="20" t="s">
        <v>133</v>
      </c>
      <c r="D69" s="20" t="s">
        <v>34</v>
      </c>
      <c r="E69" s="21">
        <f>ROUND(9275*1.05,2)</f>
      </c>
      <c r="F69" s="20" t="s">
        <v>35</v>
      </c>
      <c r="G69" s="20" t="s">
        <v>18</v>
      </c>
      <c r="H69" s="21">
        <f>ROUND(RAND()*4+6,1)</f>
      </c>
      <c r="I69" s="20" t="s">
        <v>36</v>
      </c>
      <c r="J69" s="23">
        <f>ROUND(88*1,0)&amp;"%"</f>
      </c>
    </row>
    <row x14ac:dyDescent="0.25" r="70" customHeight="1" ht="17.25">
      <c r="A70" s="17" t="s">
        <v>13099</v>
      </c>
      <c r="B70" s="17" t="s">
        <v>141</v>
      </c>
      <c r="C70" s="17" t="s">
        <v>133</v>
      </c>
      <c r="D70" s="17" t="s">
        <v>39</v>
      </c>
      <c r="E70" s="18">
        <f>ROUND(5782*1.05,2)</f>
      </c>
      <c r="F70" s="17" t="s">
        <v>40</v>
      </c>
      <c r="G70" s="17" t="s">
        <v>24</v>
      </c>
      <c r="H70" s="18">
        <f>ROUND(RAND()*4+6,1)</f>
      </c>
      <c r="I70" s="17" t="s">
        <v>41</v>
      </c>
      <c r="J70" s="19">
        <f>ROUND(84*1,0)&amp;"%"</f>
      </c>
    </row>
    <row x14ac:dyDescent="0.25" r="71" customHeight="1" ht="17.25">
      <c r="A71" s="20" t="s">
        <v>13100</v>
      </c>
      <c r="B71" s="20" t="s">
        <v>143</v>
      </c>
      <c r="C71" s="20" t="s">
        <v>133</v>
      </c>
      <c r="D71" s="20" t="s">
        <v>67</v>
      </c>
      <c r="E71" s="21">
        <f>ROUND(7366*1.05,2)</f>
      </c>
      <c r="F71" s="20" t="s">
        <v>44</v>
      </c>
      <c r="G71" s="20" t="s">
        <v>30</v>
      </c>
      <c r="H71" s="22">
        <f>ROUND(RAND()*4+6,1)</f>
      </c>
      <c r="I71" s="20" t="s">
        <v>45</v>
      </c>
      <c r="J71" s="23">
        <f>ROUND(98*1,0)&amp;"%"</f>
      </c>
    </row>
    <row x14ac:dyDescent="0.25" r="72" customHeight="1" ht="17.25">
      <c r="A72" s="17" t="s">
        <v>13101</v>
      </c>
      <c r="B72" s="17" t="s">
        <v>145</v>
      </c>
      <c r="C72" s="17" t="s">
        <v>133</v>
      </c>
      <c r="D72" s="17" t="s">
        <v>16</v>
      </c>
      <c r="E72" s="18">
        <f>ROUND(15826*1.05,2)</f>
      </c>
      <c r="F72" s="17" t="s">
        <v>48</v>
      </c>
      <c r="G72" s="17" t="s">
        <v>18</v>
      </c>
      <c r="H72" s="18">
        <f>ROUND(RAND()*4+6,1)</f>
      </c>
      <c r="I72" s="17" t="s">
        <v>19</v>
      </c>
      <c r="J72" s="19">
        <f>ROUND(65*1,0)&amp;"%"</f>
      </c>
    </row>
    <row x14ac:dyDescent="0.25" r="73" customHeight="1" ht="17.25">
      <c r="A73" s="20" t="s">
        <v>13102</v>
      </c>
      <c r="B73" s="20" t="s">
        <v>147</v>
      </c>
      <c r="C73" s="20" t="s">
        <v>133</v>
      </c>
      <c r="D73" s="20" t="s">
        <v>22</v>
      </c>
      <c r="E73" s="21">
        <f>ROUND(4134*1.05,2)</f>
      </c>
      <c r="F73" s="20" t="s">
        <v>51</v>
      </c>
      <c r="G73" s="20" t="s">
        <v>24</v>
      </c>
      <c r="H73" s="22">
        <f>ROUND(RAND()*4+6,1)</f>
      </c>
      <c r="I73" s="20" t="s">
        <v>25</v>
      </c>
      <c r="J73" s="23">
        <f>ROUND(92*1,0)&amp;"%"</f>
      </c>
    </row>
    <row x14ac:dyDescent="0.25" r="74" customHeight="1" ht="17.25">
      <c r="A74" s="24" t="s">
        <v>148</v>
      </c>
      <c r="B74" s="24"/>
      <c r="C74" s="24"/>
      <c r="D74" s="24"/>
      <c r="E74" s="25">
        <v>8</v>
      </c>
      <c r="F74" s="9"/>
      <c r="G74" s="9"/>
      <c r="H74" s="10"/>
      <c r="I74" s="9"/>
      <c r="J74" s="9"/>
    </row>
    <row x14ac:dyDescent="0.25" r="75" customHeight="1" ht="17.25">
      <c r="A75" s="7"/>
      <c r="B75" s="7"/>
      <c r="C75" s="7"/>
      <c r="D75" s="7"/>
      <c r="E75" s="8"/>
      <c r="F75" s="9"/>
      <c r="G75" s="9"/>
      <c r="H75" s="10"/>
      <c r="I75" s="9"/>
      <c r="J75" s="9"/>
    </row>
    <row x14ac:dyDescent="0.25" r="76" customHeight="1" ht="17.25">
      <c r="A76" s="11" t="s">
        <v>13103</v>
      </c>
      <c r="B76" s="11"/>
      <c r="C76" s="11"/>
      <c r="D76" s="11"/>
      <c r="E76" s="12"/>
      <c r="F76" s="11"/>
      <c r="G76" s="11"/>
      <c r="H76" s="13"/>
      <c r="I76" s="11"/>
      <c r="J76" s="11"/>
    </row>
    <row x14ac:dyDescent="0.25" r="77" customHeight="1" ht="17.25">
      <c r="A77" s="14" t="s">
        <v>3</v>
      </c>
      <c r="B77" s="14" t="s">
        <v>4</v>
      </c>
      <c r="C77" s="14" t="s">
        <v>5</v>
      </c>
      <c r="D77" s="14" t="s">
        <v>6</v>
      </c>
      <c r="E77" s="15" t="s">
        <v>7</v>
      </c>
      <c r="F77" s="14" t="s">
        <v>8</v>
      </c>
      <c r="G77" s="14" t="s">
        <v>9</v>
      </c>
      <c r="H77" s="16" t="s">
        <v>10</v>
      </c>
      <c r="I77" s="14" t="s">
        <v>11</v>
      </c>
      <c r="J77" s="14" t="s">
        <v>12</v>
      </c>
    </row>
    <row x14ac:dyDescent="0.25" r="78" customHeight="1" ht="17.25">
      <c r="A78" s="17" t="s">
        <v>13104</v>
      </c>
      <c r="B78" s="17" t="s">
        <v>151</v>
      </c>
      <c r="C78" s="17" t="s">
        <v>152</v>
      </c>
      <c r="D78" s="17" t="s">
        <v>16</v>
      </c>
      <c r="E78" s="18">
        <f>ROUND(12835*1.05,2)</f>
      </c>
      <c r="F78" s="17" t="s">
        <v>17</v>
      </c>
      <c r="G78" s="17" t="s">
        <v>18</v>
      </c>
      <c r="H78" s="18">
        <f>ROUND(RAND()*4+6,1)</f>
      </c>
      <c r="I78" s="17" t="s">
        <v>19</v>
      </c>
      <c r="J78" s="19">
        <f>ROUND(84*1,0)&amp;"%"</f>
      </c>
    </row>
    <row x14ac:dyDescent="0.25" r="79" customHeight="1" ht="17.25">
      <c r="A79" s="20" t="s">
        <v>13105</v>
      </c>
      <c r="B79" s="20" t="s">
        <v>154</v>
      </c>
      <c r="C79" s="20" t="s">
        <v>152</v>
      </c>
      <c r="D79" s="20" t="s">
        <v>22</v>
      </c>
      <c r="E79" s="21">
        <f>ROUND(4435*1.05,2)</f>
      </c>
      <c r="F79" s="20" t="s">
        <v>23</v>
      </c>
      <c r="G79" s="20" t="s">
        <v>24</v>
      </c>
      <c r="H79" s="21">
        <f>ROUND(RAND()*4+6,1)</f>
      </c>
      <c r="I79" s="20" t="s">
        <v>25</v>
      </c>
      <c r="J79" s="23">
        <f>ROUND(93*1,0)&amp;"%"</f>
      </c>
    </row>
    <row x14ac:dyDescent="0.25" r="80" customHeight="1" ht="17.25">
      <c r="A80" s="17" t="s">
        <v>13106</v>
      </c>
      <c r="B80" s="17" t="s">
        <v>156</v>
      </c>
      <c r="C80" s="17" t="s">
        <v>152</v>
      </c>
      <c r="D80" s="17" t="s">
        <v>28</v>
      </c>
      <c r="E80" s="18">
        <f>ROUND(10235*1.05,2)</f>
      </c>
      <c r="F80" s="17" t="s">
        <v>29</v>
      </c>
      <c r="G80" s="17" t="s">
        <v>30</v>
      </c>
      <c r="H80" s="18">
        <f>ROUND(RAND()*4+6,1)</f>
      </c>
      <c r="I80" s="17" t="s">
        <v>31</v>
      </c>
      <c r="J80" s="19">
        <f>ROUND(81*1,0)&amp;"%"</f>
      </c>
    </row>
    <row x14ac:dyDescent="0.25" r="81" customHeight="1" ht="17.25">
      <c r="A81" s="20" t="s">
        <v>13107</v>
      </c>
      <c r="B81" s="20" t="s">
        <v>158</v>
      </c>
      <c r="C81" s="20" t="s">
        <v>152</v>
      </c>
      <c r="D81" s="20" t="s">
        <v>34</v>
      </c>
      <c r="E81" s="21">
        <f>ROUND(4870*1.05,2)</f>
      </c>
      <c r="F81" s="20" t="s">
        <v>35</v>
      </c>
      <c r="G81" s="20" t="s">
        <v>18</v>
      </c>
      <c r="H81" s="21">
        <f>ROUND(RAND()*4+6,1)</f>
      </c>
      <c r="I81" s="20" t="s">
        <v>36</v>
      </c>
      <c r="J81" s="23">
        <f>ROUND(86*1,0)&amp;"%"</f>
      </c>
    </row>
    <row x14ac:dyDescent="0.25" r="82" customHeight="1" ht="17.25">
      <c r="A82" s="17" t="s">
        <v>13108</v>
      </c>
      <c r="B82" s="17" t="s">
        <v>160</v>
      </c>
      <c r="C82" s="17" t="s">
        <v>152</v>
      </c>
      <c r="D82" s="17" t="s">
        <v>39</v>
      </c>
      <c r="E82" s="26">
        <f>ROUND(12700*1.05,2)</f>
      </c>
      <c r="F82" s="17" t="s">
        <v>40</v>
      </c>
      <c r="G82" s="17" t="s">
        <v>24</v>
      </c>
      <c r="H82" s="26">
        <f>ROUND(RAND()*4+6,1)</f>
      </c>
      <c r="I82" s="17" t="s">
        <v>41</v>
      </c>
      <c r="J82" s="19">
        <f>ROUND(86*1,0)&amp;"%"</f>
      </c>
    </row>
    <row x14ac:dyDescent="0.25" r="83" customHeight="1" ht="17.25">
      <c r="A83" s="20" t="s">
        <v>13109</v>
      </c>
      <c r="B83" s="20" t="s">
        <v>162</v>
      </c>
      <c r="C83" s="20" t="s">
        <v>152</v>
      </c>
      <c r="D83" s="20" t="s">
        <v>67</v>
      </c>
      <c r="E83" s="21">
        <f>ROUND(5284*1.05,2)</f>
      </c>
      <c r="F83" s="20" t="s">
        <v>44</v>
      </c>
      <c r="G83" s="20" t="s">
        <v>30</v>
      </c>
      <c r="H83" s="21">
        <f>ROUND(RAND()*4+6,1)</f>
      </c>
      <c r="I83" s="20" t="s">
        <v>45</v>
      </c>
      <c r="J83" s="23">
        <f>ROUND(98*1,0)&amp;"%"</f>
      </c>
    </row>
    <row x14ac:dyDescent="0.25" r="84" customHeight="1" ht="17.25">
      <c r="A84" s="17" t="s">
        <v>13110</v>
      </c>
      <c r="B84" s="17" t="s">
        <v>164</v>
      </c>
      <c r="C84" s="17" t="s">
        <v>152</v>
      </c>
      <c r="D84" s="17" t="s">
        <v>16</v>
      </c>
      <c r="E84" s="18">
        <f>ROUND(5987*1.05,2)</f>
      </c>
      <c r="F84" s="17" t="s">
        <v>48</v>
      </c>
      <c r="G84" s="17" t="s">
        <v>18</v>
      </c>
      <c r="H84" s="18">
        <f>ROUND(RAND()*4+6,1)</f>
      </c>
      <c r="I84" s="17" t="s">
        <v>19</v>
      </c>
      <c r="J84" s="19">
        <f>ROUND(92*1,0)&amp;"%"</f>
      </c>
    </row>
    <row x14ac:dyDescent="0.25" r="85" customHeight="1" ht="17.25">
      <c r="A85" s="20" t="s">
        <v>13111</v>
      </c>
      <c r="B85" s="20" t="s">
        <v>166</v>
      </c>
      <c r="C85" s="20" t="s">
        <v>152</v>
      </c>
      <c r="D85" s="20" t="s">
        <v>22</v>
      </c>
      <c r="E85" s="21">
        <f>ROUND(14218*1.05,2)</f>
      </c>
      <c r="F85" s="20" t="s">
        <v>51</v>
      </c>
      <c r="G85" s="20" t="s">
        <v>24</v>
      </c>
      <c r="H85" s="21">
        <f>ROUND(RAND()*4+6,1)</f>
      </c>
      <c r="I85" s="20" t="s">
        <v>25</v>
      </c>
      <c r="J85" s="23">
        <f>ROUND(72*1,0)&amp;"%"</f>
      </c>
    </row>
    <row x14ac:dyDescent="0.25" r="86" customHeight="1" ht="17.25">
      <c r="A86" s="24" t="s">
        <v>167</v>
      </c>
      <c r="B86" s="24"/>
      <c r="C86" s="24"/>
      <c r="D86" s="24"/>
      <c r="E86" s="25">
        <v>8</v>
      </c>
      <c r="F86" s="9"/>
      <c r="G86" s="9"/>
      <c r="H86" s="10"/>
      <c r="I86" s="9"/>
      <c r="J86" s="9"/>
    </row>
    <row x14ac:dyDescent="0.25" r="87" customHeight="1" ht="17.25">
      <c r="A87" s="7"/>
      <c r="B87" s="7"/>
      <c r="C87" s="7"/>
      <c r="D87" s="7"/>
      <c r="E87" s="8"/>
      <c r="F87" s="9"/>
      <c r="G87" s="9"/>
      <c r="H87" s="10"/>
      <c r="I87" s="9"/>
      <c r="J87" s="9"/>
    </row>
    <row x14ac:dyDescent="0.25" r="88" customHeight="1" ht="17.25">
      <c r="A88" s="11" t="s">
        <v>13112</v>
      </c>
      <c r="B88" s="11"/>
      <c r="C88" s="11"/>
      <c r="D88" s="11"/>
      <c r="E88" s="12"/>
      <c r="F88" s="11"/>
      <c r="G88" s="11"/>
      <c r="H88" s="13"/>
      <c r="I88" s="11"/>
      <c r="J88" s="11"/>
    </row>
    <row x14ac:dyDescent="0.25" r="89" customHeight="1" ht="17.25">
      <c r="A89" s="14" t="s">
        <v>3</v>
      </c>
      <c r="B89" s="14" t="s">
        <v>4</v>
      </c>
      <c r="C89" s="14" t="s">
        <v>5</v>
      </c>
      <c r="D89" s="14" t="s">
        <v>6</v>
      </c>
      <c r="E89" s="15" t="s">
        <v>7</v>
      </c>
      <c r="F89" s="14" t="s">
        <v>8</v>
      </c>
      <c r="G89" s="14" t="s">
        <v>9</v>
      </c>
      <c r="H89" s="16" t="s">
        <v>10</v>
      </c>
      <c r="I89" s="14" t="s">
        <v>11</v>
      </c>
      <c r="J89" s="14" t="s">
        <v>12</v>
      </c>
    </row>
    <row x14ac:dyDescent="0.25" r="90" customHeight="1" ht="17.25">
      <c r="A90" s="17" t="s">
        <v>13113</v>
      </c>
      <c r="B90" s="17" t="s">
        <v>170</v>
      </c>
      <c r="C90" s="17" t="s">
        <v>15</v>
      </c>
      <c r="D90" s="17" t="s">
        <v>16</v>
      </c>
      <c r="E90" s="18">
        <f>ROUND(5455*1.05,2)</f>
      </c>
      <c r="F90" s="17" t="s">
        <v>17</v>
      </c>
      <c r="G90" s="17" t="s">
        <v>18</v>
      </c>
      <c r="H90" s="18">
        <f>ROUND(RAND()*4+6,1)</f>
      </c>
      <c r="I90" s="17" t="s">
        <v>19</v>
      </c>
      <c r="J90" s="19">
        <f>ROUND(60*1,0)&amp;"%"</f>
      </c>
    </row>
    <row x14ac:dyDescent="0.25" r="91" customHeight="1" ht="17.25">
      <c r="A91" s="20" t="s">
        <v>13114</v>
      </c>
      <c r="B91" s="20" t="s">
        <v>172</v>
      </c>
      <c r="C91" s="20" t="s">
        <v>15</v>
      </c>
      <c r="D91" s="20" t="s">
        <v>22</v>
      </c>
      <c r="E91" s="21">
        <f>ROUND(16234*1.05,2)</f>
      </c>
      <c r="F91" s="20" t="s">
        <v>23</v>
      </c>
      <c r="G91" s="20" t="s">
        <v>24</v>
      </c>
      <c r="H91" s="21">
        <f>ROUND(RAND()*4+6,1)</f>
      </c>
      <c r="I91" s="20" t="s">
        <v>25</v>
      </c>
      <c r="J91" s="23">
        <f>ROUND(76*1,0)&amp;"%"</f>
      </c>
    </row>
    <row x14ac:dyDescent="0.25" r="92" customHeight="1" ht="17.25">
      <c r="A92" s="17" t="s">
        <v>13115</v>
      </c>
      <c r="B92" s="17" t="s">
        <v>174</v>
      </c>
      <c r="C92" s="17" t="s">
        <v>15</v>
      </c>
      <c r="D92" s="17" t="s">
        <v>28</v>
      </c>
      <c r="E92" s="18">
        <f>ROUND(13631*1.05,2)</f>
      </c>
      <c r="F92" s="17" t="s">
        <v>29</v>
      </c>
      <c r="G92" s="17" t="s">
        <v>30</v>
      </c>
      <c r="H92" s="18">
        <f>ROUND(RAND()*4+6,1)</f>
      </c>
      <c r="I92" s="17" t="s">
        <v>31</v>
      </c>
      <c r="J92" s="19">
        <f>ROUND(90*1,0)&amp;"%"</f>
      </c>
    </row>
    <row x14ac:dyDescent="0.25" r="93" customHeight="1" ht="17.25">
      <c r="A93" s="20" t="s">
        <v>13116</v>
      </c>
      <c r="B93" s="20" t="s">
        <v>176</v>
      </c>
      <c r="C93" s="20" t="s">
        <v>15</v>
      </c>
      <c r="D93" s="20" t="s">
        <v>34</v>
      </c>
      <c r="E93" s="21">
        <f>ROUND(15885*1.05,2)</f>
      </c>
      <c r="F93" s="20" t="s">
        <v>35</v>
      </c>
      <c r="G93" s="20" t="s">
        <v>18</v>
      </c>
      <c r="H93" s="21">
        <f>ROUND(RAND()*4+6,1)</f>
      </c>
      <c r="I93" s="20" t="s">
        <v>36</v>
      </c>
      <c r="J93" s="23">
        <f>ROUND(87*1,0)&amp;"%"</f>
      </c>
    </row>
    <row x14ac:dyDescent="0.25" r="94" customHeight="1" ht="17.25">
      <c r="A94" s="17" t="s">
        <v>13117</v>
      </c>
      <c r="B94" s="17" t="s">
        <v>178</v>
      </c>
      <c r="C94" s="17" t="s">
        <v>15</v>
      </c>
      <c r="D94" s="17" t="s">
        <v>39</v>
      </c>
      <c r="E94" s="18">
        <f>ROUND(10637*1.05,2)</f>
      </c>
      <c r="F94" s="17" t="s">
        <v>40</v>
      </c>
      <c r="G94" s="17" t="s">
        <v>24</v>
      </c>
      <c r="H94" s="18">
        <f>ROUND(RAND()*4+6,1)</f>
      </c>
      <c r="I94" s="17" t="s">
        <v>41</v>
      </c>
      <c r="J94" s="19">
        <f>ROUND(74*1,0)&amp;"%"</f>
      </c>
    </row>
    <row x14ac:dyDescent="0.25" r="95" customHeight="1" ht="17.25">
      <c r="A95" s="20" t="s">
        <v>13118</v>
      </c>
      <c r="B95" s="20" t="s">
        <v>180</v>
      </c>
      <c r="C95" s="20" t="s">
        <v>15</v>
      </c>
      <c r="D95" s="20" t="s">
        <v>67</v>
      </c>
      <c r="E95" s="21">
        <f>ROUND(14484*1.05,2)</f>
      </c>
      <c r="F95" s="20" t="s">
        <v>44</v>
      </c>
      <c r="G95" s="20" t="s">
        <v>30</v>
      </c>
      <c r="H95" s="21">
        <f>ROUND(RAND()*4+6,1)</f>
      </c>
      <c r="I95" s="20" t="s">
        <v>45</v>
      </c>
      <c r="J95" s="23">
        <f>ROUND(90*1,0)&amp;"%"</f>
      </c>
    </row>
    <row x14ac:dyDescent="0.25" r="96" customHeight="1" ht="17.25">
      <c r="A96" s="17" t="s">
        <v>13119</v>
      </c>
      <c r="B96" s="17" t="s">
        <v>182</v>
      </c>
      <c r="C96" s="17" t="s">
        <v>15</v>
      </c>
      <c r="D96" s="17" t="s">
        <v>16</v>
      </c>
      <c r="E96" s="18">
        <f>ROUND(4945*1.05,2)</f>
      </c>
      <c r="F96" s="17" t="s">
        <v>48</v>
      </c>
      <c r="G96" s="17" t="s">
        <v>18</v>
      </c>
      <c r="H96" s="18">
        <f>ROUND(RAND()*4+6,1)</f>
      </c>
      <c r="I96" s="17" t="s">
        <v>19</v>
      </c>
      <c r="J96" s="19">
        <f>ROUND(91*1,0)&amp;"%"</f>
      </c>
    </row>
    <row x14ac:dyDescent="0.25" r="97" customHeight="1" ht="17.25">
      <c r="A97" s="20" t="s">
        <v>13120</v>
      </c>
      <c r="B97" s="20" t="s">
        <v>184</v>
      </c>
      <c r="C97" s="20" t="s">
        <v>15</v>
      </c>
      <c r="D97" s="20" t="s">
        <v>22</v>
      </c>
      <c r="E97" s="22">
        <f>ROUND(8300*1.05,2)</f>
      </c>
      <c r="F97" s="20" t="s">
        <v>51</v>
      </c>
      <c r="G97" s="20" t="s">
        <v>24</v>
      </c>
      <c r="H97" s="21">
        <f>ROUND(RAND()*4+6,1)</f>
      </c>
      <c r="I97" s="20" t="s">
        <v>25</v>
      </c>
      <c r="J97" s="23">
        <f>ROUND(63*1,0)&amp;"%"</f>
      </c>
    </row>
    <row x14ac:dyDescent="0.25" r="98" customHeight="1" ht="17.25">
      <c r="A98" s="24" t="s">
        <v>185</v>
      </c>
      <c r="B98" s="24"/>
      <c r="C98" s="24"/>
      <c r="D98" s="24"/>
      <c r="E98" s="25">
        <v>8</v>
      </c>
      <c r="F98" s="9"/>
      <c r="G98" s="9"/>
      <c r="H98" s="10"/>
      <c r="I98" s="9"/>
      <c r="J98" s="9"/>
    </row>
    <row x14ac:dyDescent="0.25" r="99" customHeight="1" ht="17.25">
      <c r="A99" s="7"/>
      <c r="B99" s="7"/>
      <c r="C99" s="7"/>
      <c r="D99" s="7"/>
      <c r="E99" s="8"/>
      <c r="F99" s="9"/>
      <c r="G99" s="9"/>
      <c r="H99" s="10"/>
      <c r="I99" s="9"/>
      <c r="J99" s="9"/>
    </row>
    <row x14ac:dyDescent="0.25" r="100" customHeight="1" ht="17.25">
      <c r="A100" s="11" t="s">
        <v>13121</v>
      </c>
      <c r="B100" s="11"/>
      <c r="C100" s="11"/>
      <c r="D100" s="11"/>
      <c r="E100" s="12"/>
      <c r="F100" s="11"/>
      <c r="G100" s="11"/>
      <c r="H100" s="13"/>
      <c r="I100" s="11"/>
      <c r="J100" s="11"/>
    </row>
    <row x14ac:dyDescent="0.25" r="101" customHeight="1" ht="17.25">
      <c r="A101" s="14" t="s">
        <v>3</v>
      </c>
      <c r="B101" s="14" t="s">
        <v>4</v>
      </c>
      <c r="C101" s="14" t="s">
        <v>5</v>
      </c>
      <c r="D101" s="14" t="s">
        <v>6</v>
      </c>
      <c r="E101" s="15" t="s">
        <v>7</v>
      </c>
      <c r="F101" s="14" t="s">
        <v>8</v>
      </c>
      <c r="G101" s="14" t="s">
        <v>9</v>
      </c>
      <c r="H101" s="16" t="s">
        <v>10</v>
      </c>
      <c r="I101" s="14" t="s">
        <v>11</v>
      </c>
      <c r="J101" s="14" t="s">
        <v>12</v>
      </c>
    </row>
    <row x14ac:dyDescent="0.25" r="102" customHeight="1" ht="17.25">
      <c r="A102" s="17" t="s">
        <v>13122</v>
      </c>
      <c r="B102" s="17" t="s">
        <v>188</v>
      </c>
      <c r="C102" s="17" t="s">
        <v>56</v>
      </c>
      <c r="D102" s="17" t="s">
        <v>16</v>
      </c>
      <c r="E102" s="18">
        <f>ROUND(17664*1.05,2)</f>
      </c>
      <c r="F102" s="17" t="s">
        <v>17</v>
      </c>
      <c r="G102" s="17" t="s">
        <v>18</v>
      </c>
      <c r="H102" s="18">
        <f>ROUND(RAND()*4+6,1)</f>
      </c>
      <c r="I102" s="17" t="s">
        <v>19</v>
      </c>
      <c r="J102" s="19">
        <f>ROUND(87*1,0)&amp;"%"</f>
      </c>
    </row>
    <row x14ac:dyDescent="0.25" r="103" customHeight="1" ht="17.25">
      <c r="A103" s="20" t="s">
        <v>13123</v>
      </c>
      <c r="B103" s="20" t="s">
        <v>190</v>
      </c>
      <c r="C103" s="20" t="s">
        <v>56</v>
      </c>
      <c r="D103" s="20" t="s">
        <v>22</v>
      </c>
      <c r="E103" s="21">
        <f>ROUND(5588*1.05,2)</f>
      </c>
      <c r="F103" s="20" t="s">
        <v>23</v>
      </c>
      <c r="G103" s="20" t="s">
        <v>24</v>
      </c>
      <c r="H103" s="21">
        <f>ROUND(RAND()*4+6,1)</f>
      </c>
      <c r="I103" s="20" t="s">
        <v>25</v>
      </c>
      <c r="J103" s="23">
        <f>ROUND(77*1,0)&amp;"%"</f>
      </c>
    </row>
    <row x14ac:dyDescent="0.25" r="104" customHeight="1" ht="17.25">
      <c r="A104" s="17" t="s">
        <v>13124</v>
      </c>
      <c r="B104" s="17" t="s">
        <v>192</v>
      </c>
      <c r="C104" s="17" t="s">
        <v>56</v>
      </c>
      <c r="D104" s="17" t="s">
        <v>28</v>
      </c>
      <c r="E104" s="18">
        <f>ROUND(6245*1.05,2)</f>
      </c>
      <c r="F104" s="17" t="s">
        <v>29</v>
      </c>
      <c r="G104" s="17" t="s">
        <v>30</v>
      </c>
      <c r="H104" s="18">
        <f>ROUND(RAND()*4+6,1)</f>
      </c>
      <c r="I104" s="17" t="s">
        <v>31</v>
      </c>
      <c r="J104" s="19">
        <f>ROUND(99*1,0)&amp;"%"</f>
      </c>
    </row>
    <row x14ac:dyDescent="0.25" r="105" customHeight="1" ht="17.25">
      <c r="A105" s="20" t="s">
        <v>13125</v>
      </c>
      <c r="B105" s="20" t="s">
        <v>194</v>
      </c>
      <c r="C105" s="20" t="s">
        <v>56</v>
      </c>
      <c r="D105" s="20" t="s">
        <v>34</v>
      </c>
      <c r="E105" s="21">
        <f>ROUND(14352*1.05,2)</f>
      </c>
      <c r="F105" s="20" t="s">
        <v>35</v>
      </c>
      <c r="G105" s="20" t="s">
        <v>18</v>
      </c>
      <c r="H105" s="21">
        <f>ROUND(RAND()*4+6,1)</f>
      </c>
      <c r="I105" s="20" t="s">
        <v>36</v>
      </c>
      <c r="J105" s="23">
        <f>ROUND(99*1,0)&amp;"%"</f>
      </c>
    </row>
    <row x14ac:dyDescent="0.25" r="106" customHeight="1" ht="17.25">
      <c r="A106" s="17" t="s">
        <v>13126</v>
      </c>
      <c r="B106" s="17" t="s">
        <v>196</v>
      </c>
      <c r="C106" s="17" t="s">
        <v>56</v>
      </c>
      <c r="D106" s="17" t="s">
        <v>39</v>
      </c>
      <c r="E106" s="18">
        <f>ROUND(9315*1.05,2)</f>
      </c>
      <c r="F106" s="17" t="s">
        <v>40</v>
      </c>
      <c r="G106" s="17" t="s">
        <v>24</v>
      </c>
      <c r="H106" s="18">
        <f>ROUND(RAND()*4+6,1)</f>
      </c>
      <c r="I106" s="17" t="s">
        <v>41</v>
      </c>
      <c r="J106" s="19">
        <f>ROUND(63*1,0)&amp;"%"</f>
      </c>
    </row>
    <row x14ac:dyDescent="0.25" r="107" customHeight="1" ht="17.25">
      <c r="A107" s="20" t="s">
        <v>13127</v>
      </c>
      <c r="B107" s="20" t="s">
        <v>198</v>
      </c>
      <c r="C107" s="20" t="s">
        <v>56</v>
      </c>
      <c r="D107" s="20" t="s">
        <v>67</v>
      </c>
      <c r="E107" s="21">
        <f>ROUND(9186*1.05,2)</f>
      </c>
      <c r="F107" s="20" t="s">
        <v>44</v>
      </c>
      <c r="G107" s="20" t="s">
        <v>30</v>
      </c>
      <c r="H107" s="21">
        <f>ROUND(RAND()*4+6,1)</f>
      </c>
      <c r="I107" s="20" t="s">
        <v>45</v>
      </c>
      <c r="J107" s="23">
        <f>ROUND(99*1,0)&amp;"%"</f>
      </c>
    </row>
    <row x14ac:dyDescent="0.25" r="108" customHeight="1" ht="17.25">
      <c r="A108" s="17" t="s">
        <v>13128</v>
      </c>
      <c r="B108" s="17" t="s">
        <v>200</v>
      </c>
      <c r="C108" s="17" t="s">
        <v>56</v>
      </c>
      <c r="D108" s="17" t="s">
        <v>16</v>
      </c>
      <c r="E108" s="18">
        <f>ROUND(9417*1.05,2)</f>
      </c>
      <c r="F108" s="17" t="s">
        <v>48</v>
      </c>
      <c r="G108" s="17" t="s">
        <v>18</v>
      </c>
      <c r="H108" s="18">
        <f>ROUND(RAND()*4+6,1)</f>
      </c>
      <c r="I108" s="17" t="s">
        <v>19</v>
      </c>
      <c r="J108" s="19">
        <f>ROUND(61*1,0)&amp;"%"</f>
      </c>
    </row>
    <row x14ac:dyDescent="0.25" r="109" customHeight="1" ht="17.25">
      <c r="A109" s="20" t="s">
        <v>13129</v>
      </c>
      <c r="B109" s="20" t="s">
        <v>202</v>
      </c>
      <c r="C109" s="20" t="s">
        <v>56</v>
      </c>
      <c r="D109" s="20" t="s">
        <v>22</v>
      </c>
      <c r="E109" s="21">
        <f>ROUND(16881*1.05,2)</f>
      </c>
      <c r="F109" s="20" t="s">
        <v>51</v>
      </c>
      <c r="G109" s="20" t="s">
        <v>24</v>
      </c>
      <c r="H109" s="21">
        <f>ROUND(RAND()*4+6,1)</f>
      </c>
      <c r="I109" s="20" t="s">
        <v>25</v>
      </c>
      <c r="J109" s="23">
        <f>ROUND(82*1,0)&amp;"%"</f>
      </c>
    </row>
    <row x14ac:dyDescent="0.25" r="110" customHeight="1" ht="17.25">
      <c r="A110" s="24" t="s">
        <v>203</v>
      </c>
      <c r="B110" s="24"/>
      <c r="C110" s="24"/>
      <c r="D110" s="24"/>
      <c r="E110" s="25">
        <v>8</v>
      </c>
      <c r="F110" s="9"/>
      <c r="G110" s="9"/>
      <c r="H110" s="10"/>
      <c r="I110" s="9"/>
      <c r="J110" s="9"/>
    </row>
    <row x14ac:dyDescent="0.25" r="111" customHeight="1" ht="17.25">
      <c r="A111" s="7"/>
      <c r="B111" s="7"/>
      <c r="C111" s="7"/>
      <c r="D111" s="7"/>
      <c r="E111" s="8"/>
      <c r="F111" s="9"/>
      <c r="G111" s="9"/>
      <c r="H111" s="10"/>
      <c r="I111" s="9"/>
      <c r="J111" s="9"/>
    </row>
    <row x14ac:dyDescent="0.25" r="112" customHeight="1" ht="17.25">
      <c r="A112" s="11" t="s">
        <v>13130</v>
      </c>
      <c r="B112" s="11"/>
      <c r="C112" s="11"/>
      <c r="D112" s="11"/>
      <c r="E112" s="12"/>
      <c r="F112" s="11"/>
      <c r="G112" s="11"/>
      <c r="H112" s="13"/>
      <c r="I112" s="11"/>
      <c r="J112" s="11"/>
    </row>
    <row x14ac:dyDescent="0.25" r="113" customHeight="1" ht="17.25">
      <c r="A113" s="14" t="s">
        <v>3</v>
      </c>
      <c r="B113" s="14" t="s">
        <v>4</v>
      </c>
      <c r="C113" s="14" t="s">
        <v>5</v>
      </c>
      <c r="D113" s="14" t="s">
        <v>6</v>
      </c>
      <c r="E113" s="15" t="s">
        <v>7</v>
      </c>
      <c r="F113" s="14" t="s">
        <v>8</v>
      </c>
      <c r="G113" s="14" t="s">
        <v>9</v>
      </c>
      <c r="H113" s="16" t="s">
        <v>10</v>
      </c>
      <c r="I113" s="14" t="s">
        <v>11</v>
      </c>
      <c r="J113" s="14" t="s">
        <v>12</v>
      </c>
    </row>
    <row x14ac:dyDescent="0.25" r="114" customHeight="1" ht="17.25">
      <c r="A114" s="17" t="s">
        <v>13131</v>
      </c>
      <c r="B114" s="17" t="s">
        <v>206</v>
      </c>
      <c r="C114" s="17" t="s">
        <v>76</v>
      </c>
      <c r="D114" s="17" t="s">
        <v>16</v>
      </c>
      <c r="E114" s="18">
        <f>ROUND(6135*1.05,2)</f>
      </c>
      <c r="F114" s="17" t="s">
        <v>17</v>
      </c>
      <c r="G114" s="17" t="s">
        <v>18</v>
      </c>
      <c r="H114" s="18">
        <f>ROUND(RAND()*4+6,1)</f>
      </c>
      <c r="I114" s="17" t="s">
        <v>19</v>
      </c>
      <c r="J114" s="19">
        <f>ROUND(89*1,0)&amp;"%"</f>
      </c>
    </row>
    <row x14ac:dyDescent="0.25" r="115" customHeight="1" ht="17.25">
      <c r="A115" s="20" t="s">
        <v>13132</v>
      </c>
      <c r="B115" s="20" t="s">
        <v>208</v>
      </c>
      <c r="C115" s="20" t="s">
        <v>76</v>
      </c>
      <c r="D115" s="20" t="s">
        <v>22</v>
      </c>
      <c r="E115" s="21">
        <f>ROUND(6929*1.05,2)</f>
      </c>
      <c r="F115" s="20" t="s">
        <v>23</v>
      </c>
      <c r="G115" s="20" t="s">
        <v>24</v>
      </c>
      <c r="H115" s="21">
        <f>ROUND(RAND()*4+6,1)</f>
      </c>
      <c r="I115" s="20" t="s">
        <v>25</v>
      </c>
      <c r="J115" s="23">
        <f>ROUND(71*1,0)&amp;"%"</f>
      </c>
    </row>
    <row x14ac:dyDescent="0.25" r="116" customHeight="1" ht="17.25">
      <c r="A116" s="17" t="s">
        <v>13133</v>
      </c>
      <c r="B116" s="17" t="s">
        <v>210</v>
      </c>
      <c r="C116" s="17" t="s">
        <v>76</v>
      </c>
      <c r="D116" s="17" t="s">
        <v>28</v>
      </c>
      <c r="E116" s="18">
        <f>ROUND(8478*1.05,2)</f>
      </c>
      <c r="F116" s="17" t="s">
        <v>29</v>
      </c>
      <c r="G116" s="17" t="s">
        <v>30</v>
      </c>
      <c r="H116" s="18">
        <f>ROUND(RAND()*4+6,1)</f>
      </c>
      <c r="I116" s="17" t="s">
        <v>31</v>
      </c>
      <c r="J116" s="19">
        <f>ROUND(77*1,0)&amp;"%"</f>
      </c>
    </row>
    <row x14ac:dyDescent="0.25" r="117" customHeight="1" ht="17.25">
      <c r="A117" s="20" t="s">
        <v>13134</v>
      </c>
      <c r="B117" s="20" t="s">
        <v>212</v>
      </c>
      <c r="C117" s="20" t="s">
        <v>76</v>
      </c>
      <c r="D117" s="20" t="s">
        <v>34</v>
      </c>
      <c r="E117" s="21">
        <f>ROUND(15375*1.05,2)</f>
      </c>
      <c r="F117" s="20" t="s">
        <v>35</v>
      </c>
      <c r="G117" s="20" t="s">
        <v>18</v>
      </c>
      <c r="H117" s="21">
        <f>ROUND(RAND()*4+6,1)</f>
      </c>
      <c r="I117" s="20" t="s">
        <v>36</v>
      </c>
      <c r="J117" s="23">
        <f>ROUND(69*1,0)&amp;"%"</f>
      </c>
    </row>
    <row x14ac:dyDescent="0.25" r="118" customHeight="1" ht="17.25">
      <c r="A118" s="17" t="s">
        <v>13135</v>
      </c>
      <c r="B118" s="17" t="s">
        <v>214</v>
      </c>
      <c r="C118" s="17" t="s">
        <v>76</v>
      </c>
      <c r="D118" s="17" t="s">
        <v>39</v>
      </c>
      <c r="E118" s="18">
        <f>ROUND(10029*1.05,2)</f>
      </c>
      <c r="F118" s="17" t="s">
        <v>40</v>
      </c>
      <c r="G118" s="17" t="s">
        <v>24</v>
      </c>
      <c r="H118" s="18">
        <f>ROUND(RAND()*4+6,1)</f>
      </c>
      <c r="I118" s="17" t="s">
        <v>41</v>
      </c>
      <c r="J118" s="19">
        <f>ROUND(81*1,0)&amp;"%"</f>
      </c>
    </row>
    <row x14ac:dyDescent="0.25" r="119" customHeight="1" ht="17.25">
      <c r="A119" s="20" t="s">
        <v>13136</v>
      </c>
      <c r="B119" s="20" t="s">
        <v>216</v>
      </c>
      <c r="C119" s="20" t="s">
        <v>76</v>
      </c>
      <c r="D119" s="20" t="s">
        <v>67</v>
      </c>
      <c r="E119" s="21">
        <f>ROUND(4256*1.05,2)</f>
      </c>
      <c r="F119" s="20" t="s">
        <v>44</v>
      </c>
      <c r="G119" s="20" t="s">
        <v>30</v>
      </c>
      <c r="H119" s="21">
        <f>ROUND(RAND()*4+6,1)</f>
      </c>
      <c r="I119" s="20" t="s">
        <v>45</v>
      </c>
      <c r="J119" s="23">
        <f>ROUND(67*1,0)&amp;"%"</f>
      </c>
    </row>
    <row x14ac:dyDescent="0.25" r="120" customHeight="1" ht="17.25">
      <c r="A120" s="17" t="s">
        <v>13137</v>
      </c>
      <c r="B120" s="17" t="s">
        <v>218</v>
      </c>
      <c r="C120" s="17" t="s">
        <v>76</v>
      </c>
      <c r="D120" s="17" t="s">
        <v>16</v>
      </c>
      <c r="E120" s="18">
        <f>ROUND(10997*1.05,2)</f>
      </c>
      <c r="F120" s="17" t="s">
        <v>48</v>
      </c>
      <c r="G120" s="17" t="s">
        <v>18</v>
      </c>
      <c r="H120" s="18">
        <f>ROUND(RAND()*4+6,1)</f>
      </c>
      <c r="I120" s="17" t="s">
        <v>19</v>
      </c>
      <c r="J120" s="19">
        <f>ROUND(88*1,0)&amp;"%"</f>
      </c>
    </row>
    <row x14ac:dyDescent="0.25" r="121" customHeight="1" ht="17.25">
      <c r="A121" s="20" t="s">
        <v>13138</v>
      </c>
      <c r="B121" s="20" t="s">
        <v>220</v>
      </c>
      <c r="C121" s="20" t="s">
        <v>76</v>
      </c>
      <c r="D121" s="20" t="s">
        <v>22</v>
      </c>
      <c r="E121" s="21">
        <f>ROUND(12952*1.05,2)</f>
      </c>
      <c r="F121" s="20" t="s">
        <v>51</v>
      </c>
      <c r="G121" s="20" t="s">
        <v>24</v>
      </c>
      <c r="H121" s="21">
        <f>ROUND(RAND()*4+6,1)</f>
      </c>
      <c r="I121" s="20" t="s">
        <v>25</v>
      </c>
      <c r="J121" s="23">
        <f>ROUND(82*1,0)&amp;"%"</f>
      </c>
    </row>
    <row x14ac:dyDescent="0.25" r="122" customHeight="1" ht="17.25">
      <c r="A122" s="24" t="s">
        <v>221</v>
      </c>
      <c r="B122" s="24"/>
      <c r="C122" s="24"/>
      <c r="D122" s="24"/>
      <c r="E122" s="25">
        <v>8</v>
      </c>
      <c r="F122" s="9"/>
      <c r="G122" s="9"/>
      <c r="H122" s="10"/>
      <c r="I122" s="9"/>
      <c r="J122" s="9"/>
    </row>
    <row x14ac:dyDescent="0.25" r="123" customHeight="1" ht="17.25">
      <c r="A123" s="7"/>
      <c r="B123" s="7"/>
      <c r="C123" s="7"/>
      <c r="D123" s="7"/>
      <c r="E123" s="8"/>
      <c r="F123" s="9"/>
      <c r="G123" s="9"/>
      <c r="H123" s="10"/>
      <c r="I123" s="9"/>
      <c r="J123" s="9"/>
    </row>
    <row x14ac:dyDescent="0.25" r="124" customHeight="1" ht="17.25">
      <c r="A124" s="11" t="s">
        <v>13139</v>
      </c>
      <c r="B124" s="11"/>
      <c r="C124" s="11"/>
      <c r="D124" s="11"/>
      <c r="E124" s="12"/>
      <c r="F124" s="11"/>
      <c r="G124" s="11"/>
      <c r="H124" s="13"/>
      <c r="I124" s="11"/>
      <c r="J124" s="11"/>
    </row>
    <row x14ac:dyDescent="0.25" r="125" customHeight="1" ht="17.25">
      <c r="A125" s="14" t="s">
        <v>3</v>
      </c>
      <c r="B125" s="14" t="s">
        <v>4</v>
      </c>
      <c r="C125" s="14" t="s">
        <v>5</v>
      </c>
      <c r="D125" s="14" t="s">
        <v>6</v>
      </c>
      <c r="E125" s="15" t="s">
        <v>7</v>
      </c>
      <c r="F125" s="14" t="s">
        <v>8</v>
      </c>
      <c r="G125" s="14" t="s">
        <v>9</v>
      </c>
      <c r="H125" s="16" t="s">
        <v>10</v>
      </c>
      <c r="I125" s="14" t="s">
        <v>11</v>
      </c>
      <c r="J125" s="14" t="s">
        <v>12</v>
      </c>
    </row>
    <row x14ac:dyDescent="0.25" r="126" customHeight="1" ht="17.25">
      <c r="A126" s="17" t="s">
        <v>13140</v>
      </c>
      <c r="B126" s="17" t="s">
        <v>224</v>
      </c>
      <c r="C126" s="17" t="s">
        <v>95</v>
      </c>
      <c r="D126" s="17" t="s">
        <v>16</v>
      </c>
      <c r="E126" s="18">
        <f>ROUND(12855*1.05,2)</f>
      </c>
      <c r="F126" s="17" t="s">
        <v>17</v>
      </c>
      <c r="G126" s="17" t="s">
        <v>18</v>
      </c>
      <c r="H126" s="18">
        <f>ROUND(RAND()*4+6,1)</f>
      </c>
      <c r="I126" s="17" t="s">
        <v>19</v>
      </c>
      <c r="J126" s="19">
        <f>ROUND(69*1,0)&amp;"%"</f>
      </c>
    </row>
    <row x14ac:dyDescent="0.25" r="127" customHeight="1" ht="17.25">
      <c r="A127" s="20" t="s">
        <v>13141</v>
      </c>
      <c r="B127" s="20" t="s">
        <v>226</v>
      </c>
      <c r="C127" s="20" t="s">
        <v>95</v>
      </c>
      <c r="D127" s="20" t="s">
        <v>22</v>
      </c>
      <c r="E127" s="21">
        <f>ROUND(17302*1.05,2)</f>
      </c>
      <c r="F127" s="20" t="s">
        <v>23</v>
      </c>
      <c r="G127" s="20" t="s">
        <v>24</v>
      </c>
      <c r="H127" s="21">
        <f>ROUND(RAND()*4+6,1)</f>
      </c>
      <c r="I127" s="20" t="s">
        <v>25</v>
      </c>
      <c r="J127" s="23">
        <f>ROUND(77*1,0)&amp;"%"</f>
      </c>
    </row>
    <row x14ac:dyDescent="0.25" r="128" customHeight="1" ht="17.25">
      <c r="A128" s="17" t="s">
        <v>13142</v>
      </c>
      <c r="B128" s="17" t="s">
        <v>228</v>
      </c>
      <c r="C128" s="17" t="s">
        <v>95</v>
      </c>
      <c r="D128" s="17" t="s">
        <v>28</v>
      </c>
      <c r="E128" s="18">
        <f>ROUND(12348*1.05,2)</f>
      </c>
      <c r="F128" s="17" t="s">
        <v>29</v>
      </c>
      <c r="G128" s="17" t="s">
        <v>30</v>
      </c>
      <c r="H128" s="18">
        <f>ROUND(RAND()*4+6,1)</f>
      </c>
      <c r="I128" s="17" t="s">
        <v>31</v>
      </c>
      <c r="J128" s="19">
        <f>ROUND(93*1,0)&amp;"%"</f>
      </c>
    </row>
    <row x14ac:dyDescent="0.25" r="129" customHeight="1" ht="17.25">
      <c r="A129" s="20" t="s">
        <v>13143</v>
      </c>
      <c r="B129" s="20" t="s">
        <v>230</v>
      </c>
      <c r="C129" s="20" t="s">
        <v>95</v>
      </c>
      <c r="D129" s="20" t="s">
        <v>34</v>
      </c>
      <c r="E129" s="21">
        <f>ROUND(14902*1.05,2)</f>
      </c>
      <c r="F129" s="20" t="s">
        <v>35</v>
      </c>
      <c r="G129" s="20" t="s">
        <v>18</v>
      </c>
      <c r="H129" s="21">
        <f>ROUND(RAND()*4+6,1)</f>
      </c>
      <c r="I129" s="20" t="s">
        <v>36</v>
      </c>
      <c r="J129" s="23">
        <f>ROUND(76*1,0)&amp;"%"</f>
      </c>
    </row>
    <row x14ac:dyDescent="0.25" r="130" customHeight="1" ht="17.25">
      <c r="A130" s="17" t="s">
        <v>13144</v>
      </c>
      <c r="B130" s="17" t="s">
        <v>232</v>
      </c>
      <c r="C130" s="17" t="s">
        <v>95</v>
      </c>
      <c r="D130" s="17" t="s">
        <v>39</v>
      </c>
      <c r="E130" s="18">
        <f>ROUND(10926*1.05,2)</f>
      </c>
      <c r="F130" s="17" t="s">
        <v>40</v>
      </c>
      <c r="G130" s="17" t="s">
        <v>24</v>
      </c>
      <c r="H130" s="18">
        <f>ROUND(RAND()*4+6,1)</f>
      </c>
      <c r="I130" s="17" t="s">
        <v>41</v>
      </c>
      <c r="J130" s="19">
        <f>ROUND(97*1,0)&amp;"%"</f>
      </c>
    </row>
    <row x14ac:dyDescent="0.25" r="131" customHeight="1" ht="17.25">
      <c r="A131" s="20" t="s">
        <v>13145</v>
      </c>
      <c r="B131" s="20" t="s">
        <v>234</v>
      </c>
      <c r="C131" s="20" t="s">
        <v>95</v>
      </c>
      <c r="D131" s="20" t="s">
        <v>67</v>
      </c>
      <c r="E131" s="21">
        <f>ROUND(4816*1.05,2)</f>
      </c>
      <c r="F131" s="20" t="s">
        <v>44</v>
      </c>
      <c r="G131" s="20" t="s">
        <v>30</v>
      </c>
      <c r="H131" s="21">
        <f>ROUND(RAND()*4+6,1)</f>
      </c>
      <c r="I131" s="20" t="s">
        <v>45</v>
      </c>
      <c r="J131" s="23">
        <f>ROUND(69*1,0)&amp;"%"</f>
      </c>
    </row>
    <row x14ac:dyDescent="0.25" r="132" customHeight="1" ht="17.25">
      <c r="A132" s="17" t="s">
        <v>13146</v>
      </c>
      <c r="B132" s="17" t="s">
        <v>236</v>
      </c>
      <c r="C132" s="17" t="s">
        <v>95</v>
      </c>
      <c r="D132" s="17" t="s">
        <v>16</v>
      </c>
      <c r="E132" s="18">
        <f>ROUND(17098*1.05,2)</f>
      </c>
      <c r="F132" s="17" t="s">
        <v>48</v>
      </c>
      <c r="G132" s="17" t="s">
        <v>18</v>
      </c>
      <c r="H132" s="18">
        <f>ROUND(RAND()*4+6,1)</f>
      </c>
      <c r="I132" s="17" t="s">
        <v>19</v>
      </c>
      <c r="J132" s="19">
        <f>ROUND(95*1,0)&amp;"%"</f>
      </c>
    </row>
    <row x14ac:dyDescent="0.25" r="133" customHeight="1" ht="17.25">
      <c r="A133" s="20" t="s">
        <v>13147</v>
      </c>
      <c r="B133" s="20" t="s">
        <v>238</v>
      </c>
      <c r="C133" s="20" t="s">
        <v>95</v>
      </c>
      <c r="D133" s="20" t="s">
        <v>22</v>
      </c>
      <c r="E133" s="21">
        <f>ROUND(9499*1.05,2)</f>
      </c>
      <c r="F133" s="20" t="s">
        <v>51</v>
      </c>
      <c r="G133" s="20" t="s">
        <v>24</v>
      </c>
      <c r="H133" s="22">
        <f>ROUND(RAND()*4+6,1)</f>
      </c>
      <c r="I133" s="20" t="s">
        <v>25</v>
      </c>
      <c r="J133" s="23">
        <f>ROUND(81*1,0)&amp;"%"</f>
      </c>
    </row>
    <row x14ac:dyDescent="0.25" r="134" customHeight="1" ht="17.25">
      <c r="A134" s="24" t="s">
        <v>239</v>
      </c>
      <c r="B134" s="24"/>
      <c r="C134" s="24"/>
      <c r="D134" s="24"/>
      <c r="E134" s="25">
        <v>8</v>
      </c>
      <c r="F134" s="9"/>
      <c r="G134" s="9"/>
      <c r="H134" s="10"/>
      <c r="I134" s="9"/>
      <c r="J134" s="9"/>
    </row>
    <row x14ac:dyDescent="0.25" r="135" customHeight="1" ht="17.25">
      <c r="A135" s="7"/>
      <c r="B135" s="7"/>
      <c r="C135" s="7"/>
      <c r="D135" s="7"/>
      <c r="E135" s="8"/>
      <c r="F135" s="9"/>
      <c r="G135" s="9"/>
      <c r="H135" s="10"/>
      <c r="I135" s="9"/>
      <c r="J135" s="9"/>
    </row>
    <row x14ac:dyDescent="0.25" r="136" customHeight="1" ht="17.25">
      <c r="A136" s="11" t="s">
        <v>13148</v>
      </c>
      <c r="B136" s="11"/>
      <c r="C136" s="11"/>
      <c r="D136" s="11"/>
      <c r="E136" s="12"/>
      <c r="F136" s="11"/>
      <c r="G136" s="11"/>
      <c r="H136" s="13"/>
      <c r="I136" s="11"/>
      <c r="J136" s="11"/>
    </row>
    <row x14ac:dyDescent="0.25" r="137" customHeight="1" ht="17.25">
      <c r="A137" s="14" t="s">
        <v>3</v>
      </c>
      <c r="B137" s="14" t="s">
        <v>4</v>
      </c>
      <c r="C137" s="14" t="s">
        <v>5</v>
      </c>
      <c r="D137" s="14" t="s">
        <v>6</v>
      </c>
      <c r="E137" s="15" t="s">
        <v>7</v>
      </c>
      <c r="F137" s="14" t="s">
        <v>8</v>
      </c>
      <c r="G137" s="14" t="s">
        <v>9</v>
      </c>
      <c r="H137" s="16" t="s">
        <v>10</v>
      </c>
      <c r="I137" s="14" t="s">
        <v>11</v>
      </c>
      <c r="J137" s="14" t="s">
        <v>12</v>
      </c>
    </row>
    <row x14ac:dyDescent="0.25" r="138" customHeight="1" ht="17.25">
      <c r="A138" s="17" t="s">
        <v>13149</v>
      </c>
      <c r="B138" s="17" t="s">
        <v>242</v>
      </c>
      <c r="C138" s="17" t="s">
        <v>114</v>
      </c>
      <c r="D138" s="17" t="s">
        <v>16</v>
      </c>
      <c r="E138" s="18">
        <f>ROUND(14639*1.05,2)</f>
      </c>
      <c r="F138" s="17" t="s">
        <v>17</v>
      </c>
      <c r="G138" s="17" t="s">
        <v>18</v>
      </c>
      <c r="H138" s="18">
        <f>ROUND(RAND()*4+6,1)</f>
      </c>
      <c r="I138" s="17" t="s">
        <v>19</v>
      </c>
      <c r="J138" s="19">
        <f>ROUND(90*1,0)&amp;"%"</f>
      </c>
    </row>
    <row x14ac:dyDescent="0.25" r="139" customHeight="1" ht="17.25">
      <c r="A139" s="20" t="s">
        <v>13150</v>
      </c>
      <c r="B139" s="20" t="s">
        <v>244</v>
      </c>
      <c r="C139" s="20" t="s">
        <v>114</v>
      </c>
      <c r="D139" s="20" t="s">
        <v>22</v>
      </c>
      <c r="E139" s="21">
        <f>ROUND(16237*1.05,2)</f>
      </c>
      <c r="F139" s="20" t="s">
        <v>23</v>
      </c>
      <c r="G139" s="20" t="s">
        <v>24</v>
      </c>
      <c r="H139" s="21">
        <f>ROUND(RAND()*4+6,1)</f>
      </c>
      <c r="I139" s="20" t="s">
        <v>25</v>
      </c>
      <c r="J139" s="23">
        <f>ROUND(84*1,0)&amp;"%"</f>
      </c>
    </row>
    <row x14ac:dyDescent="0.25" r="140" customHeight="1" ht="17.25">
      <c r="A140" s="17" t="s">
        <v>13151</v>
      </c>
      <c r="B140" s="17" t="s">
        <v>246</v>
      </c>
      <c r="C140" s="17" t="s">
        <v>114</v>
      </c>
      <c r="D140" s="17" t="s">
        <v>28</v>
      </c>
      <c r="E140" s="18">
        <f>ROUND(10167*1.05,2)</f>
      </c>
      <c r="F140" s="17" t="s">
        <v>29</v>
      </c>
      <c r="G140" s="17" t="s">
        <v>30</v>
      </c>
      <c r="H140" s="18">
        <f>ROUND(RAND()*4+6,1)</f>
      </c>
      <c r="I140" s="17" t="s">
        <v>31</v>
      </c>
      <c r="J140" s="19">
        <f>ROUND(73*1,0)&amp;"%"</f>
      </c>
    </row>
    <row x14ac:dyDescent="0.25" r="141" customHeight="1" ht="17.25">
      <c r="A141" s="20" t="s">
        <v>13152</v>
      </c>
      <c r="B141" s="20" t="s">
        <v>248</v>
      </c>
      <c r="C141" s="20" t="s">
        <v>114</v>
      </c>
      <c r="D141" s="20" t="s">
        <v>34</v>
      </c>
      <c r="E141" s="21">
        <f>ROUND(16065*1.05,2)</f>
      </c>
      <c r="F141" s="20" t="s">
        <v>35</v>
      </c>
      <c r="G141" s="20" t="s">
        <v>18</v>
      </c>
      <c r="H141" s="21">
        <f>ROUND(RAND()*4+6,1)</f>
      </c>
      <c r="I141" s="20" t="s">
        <v>36</v>
      </c>
      <c r="J141" s="23">
        <f>ROUND(89*1,0)&amp;"%"</f>
      </c>
    </row>
    <row x14ac:dyDescent="0.25" r="142" customHeight="1" ht="17.25">
      <c r="A142" s="17" t="s">
        <v>13153</v>
      </c>
      <c r="B142" s="17" t="s">
        <v>250</v>
      </c>
      <c r="C142" s="17" t="s">
        <v>114</v>
      </c>
      <c r="D142" s="17" t="s">
        <v>39</v>
      </c>
      <c r="E142" s="18">
        <f>ROUND(11815*1.05,2)</f>
      </c>
      <c r="F142" s="17" t="s">
        <v>40</v>
      </c>
      <c r="G142" s="17" t="s">
        <v>24</v>
      </c>
      <c r="H142" s="18">
        <f>ROUND(RAND()*4+6,1)</f>
      </c>
      <c r="I142" s="17" t="s">
        <v>41</v>
      </c>
      <c r="J142" s="19">
        <f>ROUND(66*1,0)&amp;"%"</f>
      </c>
    </row>
    <row x14ac:dyDescent="0.25" r="143" customHeight="1" ht="17.25">
      <c r="A143" s="20" t="s">
        <v>13154</v>
      </c>
      <c r="B143" s="20" t="s">
        <v>252</v>
      </c>
      <c r="C143" s="20" t="s">
        <v>114</v>
      </c>
      <c r="D143" s="20" t="s">
        <v>67</v>
      </c>
      <c r="E143" s="21">
        <f>ROUND(14782*1.05,2)</f>
      </c>
      <c r="F143" s="20" t="s">
        <v>44</v>
      </c>
      <c r="G143" s="20" t="s">
        <v>30</v>
      </c>
      <c r="H143" s="21">
        <f>ROUND(RAND()*4+6,1)</f>
      </c>
      <c r="I143" s="20" t="s">
        <v>45</v>
      </c>
      <c r="J143" s="23">
        <f>ROUND(86*1,0)&amp;"%"</f>
      </c>
    </row>
    <row x14ac:dyDescent="0.25" r="144" customHeight="1" ht="17.25">
      <c r="A144" s="17" t="s">
        <v>13155</v>
      </c>
      <c r="B144" s="17" t="s">
        <v>254</v>
      </c>
      <c r="C144" s="17" t="s">
        <v>114</v>
      </c>
      <c r="D144" s="17" t="s">
        <v>16</v>
      </c>
      <c r="E144" s="18">
        <f>ROUND(10511*1.05,2)</f>
      </c>
      <c r="F144" s="17" t="s">
        <v>48</v>
      </c>
      <c r="G144" s="17" t="s">
        <v>18</v>
      </c>
      <c r="H144" s="18">
        <f>ROUND(RAND()*4+6,1)</f>
      </c>
      <c r="I144" s="17" t="s">
        <v>19</v>
      </c>
      <c r="J144" s="19">
        <f>ROUND(93*1,0)&amp;"%"</f>
      </c>
    </row>
    <row x14ac:dyDescent="0.25" r="145" customHeight="1" ht="17.25">
      <c r="A145" s="20" t="s">
        <v>13156</v>
      </c>
      <c r="B145" s="20" t="s">
        <v>256</v>
      </c>
      <c r="C145" s="20" t="s">
        <v>114</v>
      </c>
      <c r="D145" s="20" t="s">
        <v>22</v>
      </c>
      <c r="E145" s="21">
        <f>ROUND(14344*1.05,2)</f>
      </c>
      <c r="F145" s="20" t="s">
        <v>51</v>
      </c>
      <c r="G145" s="20" t="s">
        <v>24</v>
      </c>
      <c r="H145" s="21">
        <f>ROUND(RAND()*4+6,1)</f>
      </c>
      <c r="I145" s="20" t="s">
        <v>25</v>
      </c>
      <c r="J145" s="23">
        <f>ROUND(61*1,0)&amp;"%"</f>
      </c>
    </row>
    <row x14ac:dyDescent="0.25" r="146" customHeight="1" ht="17.25">
      <c r="A146" s="24" t="s">
        <v>257</v>
      </c>
      <c r="B146" s="24"/>
      <c r="C146" s="24"/>
      <c r="D146" s="24"/>
      <c r="E146" s="25">
        <v>8</v>
      </c>
      <c r="F146" s="9"/>
      <c r="G146" s="9"/>
      <c r="H146" s="10"/>
      <c r="I146" s="9"/>
      <c r="J146" s="9"/>
    </row>
    <row x14ac:dyDescent="0.25" r="147" customHeight="1" ht="17.25">
      <c r="A147" s="7"/>
      <c r="B147" s="7"/>
      <c r="C147" s="7"/>
      <c r="D147" s="7"/>
      <c r="E147" s="8"/>
      <c r="F147" s="9"/>
      <c r="G147" s="9"/>
      <c r="H147" s="10"/>
      <c r="I147" s="9"/>
      <c r="J147" s="9"/>
    </row>
    <row x14ac:dyDescent="0.25" r="148" customHeight="1" ht="17.25">
      <c r="A148" s="11" t="s">
        <v>13157</v>
      </c>
      <c r="B148" s="11"/>
      <c r="C148" s="11"/>
      <c r="D148" s="11"/>
      <c r="E148" s="12"/>
      <c r="F148" s="11"/>
      <c r="G148" s="11"/>
      <c r="H148" s="13"/>
      <c r="I148" s="11"/>
      <c r="J148" s="11"/>
    </row>
    <row x14ac:dyDescent="0.25" r="149" customHeight="1" ht="17.25">
      <c r="A149" s="14" t="s">
        <v>3</v>
      </c>
      <c r="B149" s="14" t="s">
        <v>4</v>
      </c>
      <c r="C149" s="14" t="s">
        <v>5</v>
      </c>
      <c r="D149" s="14" t="s">
        <v>6</v>
      </c>
      <c r="E149" s="15" t="s">
        <v>7</v>
      </c>
      <c r="F149" s="14" t="s">
        <v>8</v>
      </c>
      <c r="G149" s="14" t="s">
        <v>9</v>
      </c>
      <c r="H149" s="16" t="s">
        <v>10</v>
      </c>
      <c r="I149" s="14" t="s">
        <v>11</v>
      </c>
      <c r="J149" s="14" t="s">
        <v>12</v>
      </c>
    </row>
    <row x14ac:dyDescent="0.25" r="150" customHeight="1" ht="17.25">
      <c r="A150" s="17" t="s">
        <v>13158</v>
      </c>
      <c r="B150" s="17" t="s">
        <v>260</v>
      </c>
      <c r="C150" s="17" t="s">
        <v>133</v>
      </c>
      <c r="D150" s="17" t="s">
        <v>16</v>
      </c>
      <c r="E150" s="18">
        <f>ROUND(7979*1.05,2)</f>
      </c>
      <c r="F150" s="17" t="s">
        <v>17</v>
      </c>
      <c r="G150" s="17" t="s">
        <v>18</v>
      </c>
      <c r="H150" s="18">
        <f>ROUND(RAND()*4+6,1)</f>
      </c>
      <c r="I150" s="17" t="s">
        <v>19</v>
      </c>
      <c r="J150" s="19">
        <f>ROUND(71*1,0)&amp;"%"</f>
      </c>
    </row>
    <row x14ac:dyDescent="0.25" r="151" customHeight="1" ht="17.25">
      <c r="A151" s="20" t="s">
        <v>13159</v>
      </c>
      <c r="B151" s="20" t="s">
        <v>262</v>
      </c>
      <c r="C151" s="20" t="s">
        <v>133</v>
      </c>
      <c r="D151" s="20" t="s">
        <v>22</v>
      </c>
      <c r="E151" s="21">
        <f>ROUND(17511*1.05,2)</f>
      </c>
      <c r="F151" s="20" t="s">
        <v>23</v>
      </c>
      <c r="G151" s="20" t="s">
        <v>24</v>
      </c>
      <c r="H151" s="21">
        <f>ROUND(RAND()*4+6,1)</f>
      </c>
      <c r="I151" s="20" t="s">
        <v>25</v>
      </c>
      <c r="J151" s="23">
        <f>ROUND(84*1,0)&amp;"%"</f>
      </c>
    </row>
    <row x14ac:dyDescent="0.25" r="152" customHeight="1" ht="17.25">
      <c r="A152" s="17" t="s">
        <v>13160</v>
      </c>
      <c r="B152" s="17" t="s">
        <v>264</v>
      </c>
      <c r="C152" s="17" t="s">
        <v>133</v>
      </c>
      <c r="D152" s="17" t="s">
        <v>28</v>
      </c>
      <c r="E152" s="18">
        <f>ROUND(5015*1.05,2)</f>
      </c>
      <c r="F152" s="17" t="s">
        <v>29</v>
      </c>
      <c r="G152" s="17" t="s">
        <v>30</v>
      </c>
      <c r="H152" s="18">
        <f>ROUND(RAND()*4+6,1)</f>
      </c>
      <c r="I152" s="17" t="s">
        <v>31</v>
      </c>
      <c r="J152" s="19">
        <f>ROUND(66*1,0)&amp;"%"</f>
      </c>
    </row>
    <row x14ac:dyDescent="0.25" r="153" customHeight="1" ht="17.25">
      <c r="A153" s="20" t="s">
        <v>13161</v>
      </c>
      <c r="B153" s="20" t="s">
        <v>266</v>
      </c>
      <c r="C153" s="20" t="s">
        <v>133</v>
      </c>
      <c r="D153" s="20" t="s">
        <v>34</v>
      </c>
      <c r="E153" s="21">
        <f>ROUND(10965*1.05,2)</f>
      </c>
      <c r="F153" s="20" t="s">
        <v>35</v>
      </c>
      <c r="G153" s="20" t="s">
        <v>18</v>
      </c>
      <c r="H153" s="21">
        <f>ROUND(RAND()*4+6,1)</f>
      </c>
      <c r="I153" s="20" t="s">
        <v>36</v>
      </c>
      <c r="J153" s="23">
        <f>ROUND(75*1,0)&amp;"%"</f>
      </c>
    </row>
    <row x14ac:dyDescent="0.25" r="154" customHeight="1" ht="17.25">
      <c r="A154" s="17" t="s">
        <v>13162</v>
      </c>
      <c r="B154" s="17" t="s">
        <v>268</v>
      </c>
      <c r="C154" s="17" t="s">
        <v>133</v>
      </c>
      <c r="D154" s="17" t="s">
        <v>39</v>
      </c>
      <c r="E154" s="18">
        <f>ROUND(9550*1.05,2)</f>
      </c>
      <c r="F154" s="17" t="s">
        <v>40</v>
      </c>
      <c r="G154" s="17" t="s">
        <v>24</v>
      </c>
      <c r="H154" s="18">
        <f>ROUND(RAND()*4+6,1)</f>
      </c>
      <c r="I154" s="17" t="s">
        <v>41</v>
      </c>
      <c r="J154" s="19">
        <f>ROUND(93*1,0)&amp;"%"</f>
      </c>
    </row>
    <row x14ac:dyDescent="0.25" r="155" customHeight="1" ht="17.25">
      <c r="A155" s="20" t="s">
        <v>13163</v>
      </c>
      <c r="B155" s="20" t="s">
        <v>270</v>
      </c>
      <c r="C155" s="20" t="s">
        <v>133</v>
      </c>
      <c r="D155" s="20" t="s">
        <v>67</v>
      </c>
      <c r="E155" s="21">
        <f>ROUND(15509*1.05,2)</f>
      </c>
      <c r="F155" s="20" t="s">
        <v>44</v>
      </c>
      <c r="G155" s="20" t="s">
        <v>30</v>
      </c>
      <c r="H155" s="21">
        <f>ROUND(RAND()*4+6,1)</f>
      </c>
      <c r="I155" s="20" t="s">
        <v>45</v>
      </c>
      <c r="J155" s="23">
        <f>ROUND(80*1,0)&amp;"%"</f>
      </c>
    </row>
    <row x14ac:dyDescent="0.25" r="156" customHeight="1" ht="17.25">
      <c r="A156" s="17" t="s">
        <v>13164</v>
      </c>
      <c r="B156" s="17" t="s">
        <v>272</v>
      </c>
      <c r="C156" s="17" t="s">
        <v>133</v>
      </c>
      <c r="D156" s="17" t="s">
        <v>16</v>
      </c>
      <c r="E156" s="18">
        <f>ROUND(17864*1.05,2)</f>
      </c>
      <c r="F156" s="17" t="s">
        <v>48</v>
      </c>
      <c r="G156" s="17" t="s">
        <v>18</v>
      </c>
      <c r="H156" s="18">
        <f>ROUND(RAND()*4+6,1)</f>
      </c>
      <c r="I156" s="17" t="s">
        <v>19</v>
      </c>
      <c r="J156" s="19">
        <f>ROUND(97*1,0)&amp;"%"</f>
      </c>
    </row>
    <row x14ac:dyDescent="0.25" r="157" customHeight="1" ht="17.25">
      <c r="A157" s="20" t="s">
        <v>13165</v>
      </c>
      <c r="B157" s="20" t="s">
        <v>274</v>
      </c>
      <c r="C157" s="20" t="s">
        <v>133</v>
      </c>
      <c r="D157" s="20" t="s">
        <v>22</v>
      </c>
      <c r="E157" s="21">
        <f>ROUND(6013*1.05,2)</f>
      </c>
      <c r="F157" s="20" t="s">
        <v>51</v>
      </c>
      <c r="G157" s="20" t="s">
        <v>24</v>
      </c>
      <c r="H157" s="21">
        <f>ROUND(RAND()*4+6,1)</f>
      </c>
      <c r="I157" s="20" t="s">
        <v>25</v>
      </c>
      <c r="J157" s="23">
        <f>ROUND(81*1,0)&amp;"%"</f>
      </c>
    </row>
    <row x14ac:dyDescent="0.25" r="158" customHeight="1" ht="17.25">
      <c r="A158" s="24" t="s">
        <v>275</v>
      </c>
      <c r="B158" s="24"/>
      <c r="C158" s="24"/>
      <c r="D158" s="24"/>
      <c r="E158" s="25">
        <v>8</v>
      </c>
      <c r="F158" s="9"/>
      <c r="G158" s="9"/>
      <c r="H158" s="10"/>
      <c r="I158" s="9"/>
      <c r="J158" s="9"/>
    </row>
    <row x14ac:dyDescent="0.25" r="159" customHeight="1" ht="17.25">
      <c r="A159" s="7"/>
      <c r="B159" s="7"/>
      <c r="C159" s="7"/>
      <c r="D159" s="7"/>
      <c r="E159" s="8"/>
      <c r="F159" s="9"/>
      <c r="G159" s="9"/>
      <c r="H159" s="10"/>
      <c r="I159" s="9"/>
      <c r="J159" s="9"/>
    </row>
    <row x14ac:dyDescent="0.25" r="160" customHeight="1" ht="17.25">
      <c r="A160" s="11" t="s">
        <v>13166</v>
      </c>
      <c r="B160" s="11"/>
      <c r="C160" s="11"/>
      <c r="D160" s="11"/>
      <c r="E160" s="12"/>
      <c r="F160" s="11"/>
      <c r="G160" s="11"/>
      <c r="H160" s="13"/>
      <c r="I160" s="11"/>
      <c r="J160" s="11"/>
    </row>
    <row x14ac:dyDescent="0.25" r="161" customHeight="1" ht="17.25">
      <c r="A161" s="14" t="s">
        <v>3</v>
      </c>
      <c r="B161" s="14" t="s">
        <v>4</v>
      </c>
      <c r="C161" s="14" t="s">
        <v>5</v>
      </c>
      <c r="D161" s="14" t="s">
        <v>6</v>
      </c>
      <c r="E161" s="15" t="s">
        <v>7</v>
      </c>
      <c r="F161" s="14" t="s">
        <v>8</v>
      </c>
      <c r="G161" s="14" t="s">
        <v>9</v>
      </c>
      <c r="H161" s="16" t="s">
        <v>10</v>
      </c>
      <c r="I161" s="14" t="s">
        <v>11</v>
      </c>
      <c r="J161" s="14" t="s">
        <v>12</v>
      </c>
    </row>
    <row x14ac:dyDescent="0.25" r="162" customHeight="1" ht="17.25">
      <c r="A162" s="17" t="s">
        <v>13167</v>
      </c>
      <c r="B162" s="17" t="s">
        <v>278</v>
      </c>
      <c r="C162" s="17" t="s">
        <v>152</v>
      </c>
      <c r="D162" s="17" t="s">
        <v>16</v>
      </c>
      <c r="E162" s="18">
        <f>ROUND(15266*1.05,2)</f>
      </c>
      <c r="F162" s="17" t="s">
        <v>17</v>
      </c>
      <c r="G162" s="17" t="s">
        <v>18</v>
      </c>
      <c r="H162" s="18">
        <f>ROUND(RAND()*4+6,1)</f>
      </c>
      <c r="I162" s="17" t="s">
        <v>19</v>
      </c>
      <c r="J162" s="19">
        <f>ROUND(68*1,0)&amp;"%"</f>
      </c>
    </row>
    <row x14ac:dyDescent="0.25" r="163" customHeight="1" ht="17.25">
      <c r="A163" s="20" t="s">
        <v>13168</v>
      </c>
      <c r="B163" s="20" t="s">
        <v>280</v>
      </c>
      <c r="C163" s="20" t="s">
        <v>152</v>
      </c>
      <c r="D163" s="20" t="s">
        <v>22</v>
      </c>
      <c r="E163" s="21">
        <f>ROUND(17038*1.05,2)</f>
      </c>
      <c r="F163" s="20" t="s">
        <v>23</v>
      </c>
      <c r="G163" s="20" t="s">
        <v>24</v>
      </c>
      <c r="H163" s="21">
        <f>ROUND(RAND()*4+6,1)</f>
      </c>
      <c r="I163" s="20" t="s">
        <v>25</v>
      </c>
      <c r="J163" s="23">
        <f>ROUND(91*1,0)&amp;"%"</f>
      </c>
    </row>
    <row x14ac:dyDescent="0.25" r="164" customHeight="1" ht="17.25">
      <c r="A164" s="17" t="s">
        <v>13169</v>
      </c>
      <c r="B164" s="17" t="s">
        <v>282</v>
      </c>
      <c r="C164" s="17" t="s">
        <v>152</v>
      </c>
      <c r="D164" s="17" t="s">
        <v>28</v>
      </c>
      <c r="E164" s="18">
        <f>ROUND(13423*1.05,2)</f>
      </c>
      <c r="F164" s="17" t="s">
        <v>29</v>
      </c>
      <c r="G164" s="17" t="s">
        <v>30</v>
      </c>
      <c r="H164" s="18">
        <f>ROUND(RAND()*4+6,1)</f>
      </c>
      <c r="I164" s="17" t="s">
        <v>31</v>
      </c>
      <c r="J164" s="19">
        <f>ROUND(87*1,0)&amp;"%"</f>
      </c>
    </row>
    <row x14ac:dyDescent="0.25" r="165" customHeight="1" ht="17.25">
      <c r="A165" s="20" t="s">
        <v>13170</v>
      </c>
      <c r="B165" s="20" t="s">
        <v>284</v>
      </c>
      <c r="C165" s="20" t="s">
        <v>152</v>
      </c>
      <c r="D165" s="20" t="s">
        <v>34</v>
      </c>
      <c r="E165" s="21">
        <f>ROUND(16684*1.05,2)</f>
      </c>
      <c r="F165" s="20" t="s">
        <v>35</v>
      </c>
      <c r="G165" s="20" t="s">
        <v>18</v>
      </c>
      <c r="H165" s="21">
        <f>ROUND(RAND()*4+6,1)</f>
      </c>
      <c r="I165" s="20" t="s">
        <v>36</v>
      </c>
      <c r="J165" s="23">
        <f>ROUND(60*1,0)&amp;"%"</f>
      </c>
    </row>
    <row x14ac:dyDescent="0.25" r="166" customHeight="1" ht="17.25">
      <c r="A166" s="17" t="s">
        <v>13171</v>
      </c>
      <c r="B166" s="17" t="s">
        <v>286</v>
      </c>
      <c r="C166" s="17" t="s">
        <v>152</v>
      </c>
      <c r="D166" s="17" t="s">
        <v>39</v>
      </c>
      <c r="E166" s="18">
        <f>ROUND(15748*1.05,2)</f>
      </c>
      <c r="F166" s="17" t="s">
        <v>40</v>
      </c>
      <c r="G166" s="17" t="s">
        <v>24</v>
      </c>
      <c r="H166" s="18">
        <f>ROUND(RAND()*4+6,1)</f>
      </c>
      <c r="I166" s="17" t="s">
        <v>41</v>
      </c>
      <c r="J166" s="19">
        <f>ROUND(61*1,0)&amp;"%"</f>
      </c>
    </row>
    <row x14ac:dyDescent="0.25" r="167" customHeight="1" ht="17.25">
      <c r="A167" s="20" t="s">
        <v>13172</v>
      </c>
      <c r="B167" s="20" t="s">
        <v>288</v>
      </c>
      <c r="C167" s="20" t="s">
        <v>152</v>
      </c>
      <c r="D167" s="20" t="s">
        <v>67</v>
      </c>
      <c r="E167" s="21">
        <f>ROUND(4473*1.05,2)</f>
      </c>
      <c r="F167" s="20" t="s">
        <v>44</v>
      </c>
      <c r="G167" s="20" t="s">
        <v>30</v>
      </c>
      <c r="H167" s="21">
        <f>ROUND(RAND()*4+6,1)</f>
      </c>
      <c r="I167" s="20" t="s">
        <v>45</v>
      </c>
      <c r="J167" s="23">
        <f>ROUND(62*1,0)&amp;"%"</f>
      </c>
    </row>
    <row x14ac:dyDescent="0.25" r="168" customHeight="1" ht="17.25">
      <c r="A168" s="17" t="s">
        <v>13173</v>
      </c>
      <c r="B168" s="17" t="s">
        <v>290</v>
      </c>
      <c r="C168" s="17" t="s">
        <v>152</v>
      </c>
      <c r="D168" s="17" t="s">
        <v>16</v>
      </c>
      <c r="E168" s="18">
        <f>ROUND(17378*1.05,2)</f>
      </c>
      <c r="F168" s="17" t="s">
        <v>48</v>
      </c>
      <c r="G168" s="17" t="s">
        <v>18</v>
      </c>
      <c r="H168" s="18">
        <f>ROUND(RAND()*4+6,1)</f>
      </c>
      <c r="I168" s="17" t="s">
        <v>19</v>
      </c>
      <c r="J168" s="19">
        <f>ROUND(83*1,0)&amp;"%"</f>
      </c>
    </row>
    <row x14ac:dyDescent="0.25" r="169" customHeight="1" ht="17.25">
      <c r="A169" s="20" t="s">
        <v>13174</v>
      </c>
      <c r="B169" s="20" t="s">
        <v>292</v>
      </c>
      <c r="C169" s="20" t="s">
        <v>152</v>
      </c>
      <c r="D169" s="20" t="s">
        <v>22</v>
      </c>
      <c r="E169" s="21">
        <f>ROUND(16907*1.05,2)</f>
      </c>
      <c r="F169" s="20" t="s">
        <v>51</v>
      </c>
      <c r="G169" s="20" t="s">
        <v>24</v>
      </c>
      <c r="H169" s="21">
        <f>ROUND(RAND()*4+6,1)</f>
      </c>
      <c r="I169" s="20" t="s">
        <v>25</v>
      </c>
      <c r="J169" s="23">
        <f>ROUND(99*1,0)&amp;"%"</f>
      </c>
    </row>
    <row x14ac:dyDescent="0.25" r="170" customHeight="1" ht="17.25">
      <c r="A170" s="24" t="s">
        <v>293</v>
      </c>
      <c r="B170" s="24"/>
      <c r="C170" s="24"/>
      <c r="D170" s="24"/>
      <c r="E170" s="25">
        <v>8</v>
      </c>
      <c r="F170" s="9"/>
      <c r="G170" s="9"/>
      <c r="H170" s="10"/>
      <c r="I170" s="9"/>
      <c r="J170" s="9"/>
    </row>
    <row x14ac:dyDescent="0.25" r="171" customHeight="1" ht="17.25">
      <c r="A171" s="7"/>
      <c r="B171" s="7"/>
      <c r="C171" s="7"/>
      <c r="D171" s="7"/>
      <c r="E171" s="8"/>
      <c r="F171" s="9"/>
      <c r="G171" s="9"/>
      <c r="H171" s="10"/>
      <c r="I171" s="9"/>
      <c r="J171" s="9"/>
    </row>
    <row x14ac:dyDescent="0.25" r="172" customHeight="1" ht="17.25">
      <c r="A172" s="11" t="s">
        <v>13175</v>
      </c>
      <c r="B172" s="11"/>
      <c r="C172" s="11"/>
      <c r="D172" s="11"/>
      <c r="E172" s="12"/>
      <c r="F172" s="11"/>
      <c r="G172" s="11"/>
      <c r="H172" s="13"/>
      <c r="I172" s="11"/>
      <c r="J172" s="11"/>
    </row>
    <row x14ac:dyDescent="0.25" r="173" customHeight="1" ht="17.25">
      <c r="A173" s="14" t="s">
        <v>3</v>
      </c>
      <c r="B173" s="14" t="s">
        <v>4</v>
      </c>
      <c r="C173" s="14" t="s">
        <v>5</v>
      </c>
      <c r="D173" s="14" t="s">
        <v>6</v>
      </c>
      <c r="E173" s="15" t="s">
        <v>7</v>
      </c>
      <c r="F173" s="14" t="s">
        <v>8</v>
      </c>
      <c r="G173" s="14" t="s">
        <v>9</v>
      </c>
      <c r="H173" s="16" t="s">
        <v>10</v>
      </c>
      <c r="I173" s="14" t="s">
        <v>11</v>
      </c>
      <c r="J173" s="14" t="s">
        <v>12</v>
      </c>
    </row>
    <row x14ac:dyDescent="0.25" r="174" customHeight="1" ht="17.25">
      <c r="A174" s="17" t="s">
        <v>13176</v>
      </c>
      <c r="B174" s="17" t="s">
        <v>296</v>
      </c>
      <c r="C174" s="17" t="s">
        <v>15</v>
      </c>
      <c r="D174" s="17" t="s">
        <v>16</v>
      </c>
      <c r="E174" s="18">
        <f>ROUND(11071*1.05,2)</f>
      </c>
      <c r="F174" s="17" t="s">
        <v>17</v>
      </c>
      <c r="G174" s="17" t="s">
        <v>18</v>
      </c>
      <c r="H174" s="18">
        <f>ROUND(RAND()*4+6,1)</f>
      </c>
      <c r="I174" s="17" t="s">
        <v>19</v>
      </c>
      <c r="J174" s="19">
        <f>ROUND(81*1,0)&amp;"%"</f>
      </c>
    </row>
    <row x14ac:dyDescent="0.25" r="175" customHeight="1" ht="17.25">
      <c r="A175" s="20" t="s">
        <v>13177</v>
      </c>
      <c r="B175" s="20" t="s">
        <v>298</v>
      </c>
      <c r="C175" s="20" t="s">
        <v>15</v>
      </c>
      <c r="D175" s="20" t="s">
        <v>22</v>
      </c>
      <c r="E175" s="21">
        <f>ROUND(9306*1.05,2)</f>
      </c>
      <c r="F175" s="20" t="s">
        <v>23</v>
      </c>
      <c r="G175" s="20" t="s">
        <v>24</v>
      </c>
      <c r="H175" s="21">
        <f>ROUND(RAND()*4+6,1)</f>
      </c>
      <c r="I175" s="20" t="s">
        <v>25</v>
      </c>
      <c r="J175" s="23">
        <f>ROUND(93*1,0)&amp;"%"</f>
      </c>
    </row>
    <row x14ac:dyDescent="0.25" r="176" customHeight="1" ht="17.25">
      <c r="A176" s="17" t="s">
        <v>13178</v>
      </c>
      <c r="B176" s="17" t="s">
        <v>300</v>
      </c>
      <c r="C176" s="17" t="s">
        <v>15</v>
      </c>
      <c r="D176" s="17" t="s">
        <v>28</v>
      </c>
      <c r="E176" s="18">
        <f>ROUND(10551*1.05,2)</f>
      </c>
      <c r="F176" s="17" t="s">
        <v>29</v>
      </c>
      <c r="G176" s="17" t="s">
        <v>30</v>
      </c>
      <c r="H176" s="18">
        <f>ROUND(RAND()*4+6,1)</f>
      </c>
      <c r="I176" s="17" t="s">
        <v>31</v>
      </c>
      <c r="J176" s="19">
        <f>ROUND(80*1,0)&amp;"%"</f>
      </c>
    </row>
    <row x14ac:dyDescent="0.25" r="177" customHeight="1" ht="17.25">
      <c r="A177" s="20" t="s">
        <v>13179</v>
      </c>
      <c r="B177" s="20" t="s">
        <v>302</v>
      </c>
      <c r="C177" s="20" t="s">
        <v>15</v>
      </c>
      <c r="D177" s="20" t="s">
        <v>34</v>
      </c>
      <c r="E177" s="22">
        <f>ROUND(5960*1.05,2)</f>
      </c>
      <c r="F177" s="20" t="s">
        <v>35</v>
      </c>
      <c r="G177" s="20" t="s">
        <v>18</v>
      </c>
      <c r="H177" s="21">
        <f>ROUND(RAND()*4+6,1)</f>
      </c>
      <c r="I177" s="20" t="s">
        <v>36</v>
      </c>
      <c r="J177" s="23">
        <f>ROUND(94*1,0)&amp;"%"</f>
      </c>
    </row>
    <row x14ac:dyDescent="0.25" r="178" customHeight="1" ht="17.25">
      <c r="A178" s="17" t="s">
        <v>13180</v>
      </c>
      <c r="B178" s="17" t="s">
        <v>304</v>
      </c>
      <c r="C178" s="17" t="s">
        <v>15</v>
      </c>
      <c r="D178" s="17" t="s">
        <v>39</v>
      </c>
      <c r="E178" s="18">
        <f>ROUND(8134*1.05,2)</f>
      </c>
      <c r="F178" s="17" t="s">
        <v>40</v>
      </c>
      <c r="G178" s="17" t="s">
        <v>24</v>
      </c>
      <c r="H178" s="18">
        <f>ROUND(RAND()*4+6,1)</f>
      </c>
      <c r="I178" s="17" t="s">
        <v>41</v>
      </c>
      <c r="J178" s="19">
        <f>ROUND(76*1,0)&amp;"%"</f>
      </c>
    </row>
    <row x14ac:dyDescent="0.25" r="179" customHeight="1" ht="17.25">
      <c r="A179" s="20" t="s">
        <v>13181</v>
      </c>
      <c r="B179" s="20" t="s">
        <v>306</v>
      </c>
      <c r="C179" s="20" t="s">
        <v>15</v>
      </c>
      <c r="D179" s="20" t="s">
        <v>67</v>
      </c>
      <c r="E179" s="21">
        <f>ROUND(16081*1.05,2)</f>
      </c>
      <c r="F179" s="20" t="s">
        <v>44</v>
      </c>
      <c r="G179" s="20" t="s">
        <v>30</v>
      </c>
      <c r="H179" s="21">
        <f>ROUND(RAND()*4+6,1)</f>
      </c>
      <c r="I179" s="20" t="s">
        <v>45</v>
      </c>
      <c r="J179" s="23">
        <f>ROUND(72*1,0)&amp;"%"</f>
      </c>
    </row>
    <row x14ac:dyDescent="0.25" r="180" customHeight="1" ht="17.25">
      <c r="A180" s="17" t="s">
        <v>13182</v>
      </c>
      <c r="B180" s="17" t="s">
        <v>308</v>
      </c>
      <c r="C180" s="17" t="s">
        <v>15</v>
      </c>
      <c r="D180" s="17" t="s">
        <v>16</v>
      </c>
      <c r="E180" s="18">
        <f>ROUND(7026*1.05,2)</f>
      </c>
      <c r="F180" s="17" t="s">
        <v>48</v>
      </c>
      <c r="G180" s="17" t="s">
        <v>18</v>
      </c>
      <c r="H180" s="18">
        <f>ROUND(RAND()*4+6,1)</f>
      </c>
      <c r="I180" s="17" t="s">
        <v>19</v>
      </c>
      <c r="J180" s="19">
        <f>ROUND(62*1,0)&amp;"%"</f>
      </c>
    </row>
    <row x14ac:dyDescent="0.25" r="181" customHeight="1" ht="17.25">
      <c r="A181" s="20" t="s">
        <v>13183</v>
      </c>
      <c r="B181" s="20" t="s">
        <v>310</v>
      </c>
      <c r="C181" s="20" t="s">
        <v>15</v>
      </c>
      <c r="D181" s="20" t="s">
        <v>22</v>
      </c>
      <c r="E181" s="21">
        <f>ROUND(6389*1.05,2)</f>
      </c>
      <c r="F181" s="20" t="s">
        <v>51</v>
      </c>
      <c r="G181" s="20" t="s">
        <v>24</v>
      </c>
      <c r="H181" s="21">
        <f>ROUND(RAND()*4+6,1)</f>
      </c>
      <c r="I181" s="20" t="s">
        <v>25</v>
      </c>
      <c r="J181" s="23">
        <f>ROUND(69*1,0)&amp;"%"</f>
      </c>
    </row>
    <row x14ac:dyDescent="0.25" r="182" customHeight="1" ht="17.25">
      <c r="A182" s="24" t="s">
        <v>311</v>
      </c>
      <c r="B182" s="24"/>
      <c r="C182" s="24"/>
      <c r="D182" s="24"/>
      <c r="E182" s="25">
        <v>8</v>
      </c>
      <c r="F182" s="9"/>
      <c r="G182" s="9"/>
      <c r="H182" s="10"/>
      <c r="I182" s="9"/>
      <c r="J182" s="9"/>
    </row>
    <row x14ac:dyDescent="0.25" r="183" customHeight="1" ht="17.25">
      <c r="A183" s="7"/>
      <c r="B183" s="7"/>
      <c r="C183" s="7"/>
      <c r="D183" s="7"/>
      <c r="E183" s="8"/>
      <c r="F183" s="9"/>
      <c r="G183" s="9"/>
      <c r="H183" s="10"/>
      <c r="I183" s="9"/>
      <c r="J183" s="9"/>
    </row>
    <row x14ac:dyDescent="0.25" r="184" customHeight="1" ht="17.25">
      <c r="A184" s="11" t="s">
        <v>13184</v>
      </c>
      <c r="B184" s="11"/>
      <c r="C184" s="11"/>
      <c r="D184" s="11"/>
      <c r="E184" s="12"/>
      <c r="F184" s="11"/>
      <c r="G184" s="11"/>
      <c r="H184" s="13"/>
      <c r="I184" s="11"/>
      <c r="J184" s="11"/>
    </row>
    <row x14ac:dyDescent="0.25" r="185" customHeight="1" ht="17.25">
      <c r="A185" s="14" t="s">
        <v>3</v>
      </c>
      <c r="B185" s="14" t="s">
        <v>4</v>
      </c>
      <c r="C185" s="14" t="s">
        <v>5</v>
      </c>
      <c r="D185" s="14" t="s">
        <v>6</v>
      </c>
      <c r="E185" s="15" t="s">
        <v>7</v>
      </c>
      <c r="F185" s="14" t="s">
        <v>8</v>
      </c>
      <c r="G185" s="14" t="s">
        <v>9</v>
      </c>
      <c r="H185" s="16" t="s">
        <v>10</v>
      </c>
      <c r="I185" s="14" t="s">
        <v>11</v>
      </c>
      <c r="J185" s="14" t="s">
        <v>12</v>
      </c>
    </row>
    <row x14ac:dyDescent="0.25" r="186" customHeight="1" ht="17.25">
      <c r="A186" s="17" t="s">
        <v>13185</v>
      </c>
      <c r="B186" s="17" t="s">
        <v>314</v>
      </c>
      <c r="C186" s="17" t="s">
        <v>56</v>
      </c>
      <c r="D186" s="17" t="s">
        <v>16</v>
      </c>
      <c r="E186" s="18">
        <f>ROUND(6123*1.05,2)</f>
      </c>
      <c r="F186" s="17" t="s">
        <v>17</v>
      </c>
      <c r="G186" s="17" t="s">
        <v>18</v>
      </c>
      <c r="H186" s="18">
        <f>ROUND(RAND()*4+6,1)</f>
      </c>
      <c r="I186" s="17" t="s">
        <v>19</v>
      </c>
      <c r="J186" s="19">
        <f>ROUND(76*1,0)&amp;"%"</f>
      </c>
    </row>
    <row x14ac:dyDescent="0.25" r="187" customHeight="1" ht="17.25">
      <c r="A187" s="20" t="s">
        <v>13186</v>
      </c>
      <c r="B187" s="20" t="s">
        <v>316</v>
      </c>
      <c r="C187" s="20" t="s">
        <v>56</v>
      </c>
      <c r="D187" s="20" t="s">
        <v>22</v>
      </c>
      <c r="E187" s="21">
        <f>ROUND(15719*1.05,2)</f>
      </c>
      <c r="F187" s="20" t="s">
        <v>23</v>
      </c>
      <c r="G187" s="20" t="s">
        <v>24</v>
      </c>
      <c r="H187" s="21">
        <f>ROUND(RAND()*4+6,1)</f>
      </c>
      <c r="I187" s="20" t="s">
        <v>25</v>
      </c>
      <c r="J187" s="23">
        <f>ROUND(97*1,0)&amp;"%"</f>
      </c>
    </row>
    <row x14ac:dyDescent="0.25" r="188" customHeight="1" ht="17.25">
      <c r="A188" s="17" t="s">
        <v>13187</v>
      </c>
      <c r="B188" s="17" t="s">
        <v>318</v>
      </c>
      <c r="C188" s="17" t="s">
        <v>56</v>
      </c>
      <c r="D188" s="17" t="s">
        <v>28</v>
      </c>
      <c r="E188" s="18">
        <f>ROUND(8195*1.05,2)</f>
      </c>
      <c r="F188" s="17" t="s">
        <v>29</v>
      </c>
      <c r="G188" s="17" t="s">
        <v>30</v>
      </c>
      <c r="H188" s="18">
        <f>ROUND(RAND()*4+6,1)</f>
      </c>
      <c r="I188" s="17" t="s">
        <v>31</v>
      </c>
      <c r="J188" s="19">
        <f>ROUND(64*1,0)&amp;"%"</f>
      </c>
    </row>
    <row x14ac:dyDescent="0.25" r="189" customHeight="1" ht="17.25">
      <c r="A189" s="20" t="s">
        <v>13188</v>
      </c>
      <c r="B189" s="20" t="s">
        <v>320</v>
      </c>
      <c r="C189" s="20" t="s">
        <v>56</v>
      </c>
      <c r="D189" s="20" t="s">
        <v>34</v>
      </c>
      <c r="E189" s="21">
        <f>ROUND(15455*1.05,2)</f>
      </c>
      <c r="F189" s="20" t="s">
        <v>35</v>
      </c>
      <c r="G189" s="20" t="s">
        <v>18</v>
      </c>
      <c r="H189" s="21">
        <f>ROUND(RAND()*4+6,1)</f>
      </c>
      <c r="I189" s="20" t="s">
        <v>36</v>
      </c>
      <c r="J189" s="23">
        <f>ROUND(83*1,0)&amp;"%"</f>
      </c>
    </row>
    <row x14ac:dyDescent="0.25" r="190" customHeight="1" ht="17.25">
      <c r="A190" s="17" t="s">
        <v>13189</v>
      </c>
      <c r="B190" s="17" t="s">
        <v>322</v>
      </c>
      <c r="C190" s="17" t="s">
        <v>56</v>
      </c>
      <c r="D190" s="17" t="s">
        <v>39</v>
      </c>
      <c r="E190" s="26">
        <f>ROUND(10300*1.05,2)</f>
      </c>
      <c r="F190" s="17" t="s">
        <v>40</v>
      </c>
      <c r="G190" s="17" t="s">
        <v>24</v>
      </c>
      <c r="H190" s="18">
        <f>ROUND(RAND()*4+6,1)</f>
      </c>
      <c r="I190" s="17" t="s">
        <v>41</v>
      </c>
      <c r="J190" s="19">
        <f>ROUND(98*1,0)&amp;"%"</f>
      </c>
    </row>
    <row x14ac:dyDescent="0.25" r="191" customHeight="1" ht="17.25">
      <c r="A191" s="20" t="s">
        <v>13190</v>
      </c>
      <c r="B191" s="20" t="s">
        <v>324</v>
      </c>
      <c r="C191" s="20" t="s">
        <v>56</v>
      </c>
      <c r="D191" s="20" t="s">
        <v>67</v>
      </c>
      <c r="E191" s="21">
        <f>ROUND(5050*1.05,2)</f>
      </c>
      <c r="F191" s="20" t="s">
        <v>44</v>
      </c>
      <c r="G191" s="20" t="s">
        <v>30</v>
      </c>
      <c r="H191" s="21">
        <f>ROUND(RAND()*4+6,1)</f>
      </c>
      <c r="I191" s="20" t="s">
        <v>45</v>
      </c>
      <c r="J191" s="23">
        <f>ROUND(80*1,0)&amp;"%"</f>
      </c>
    </row>
    <row x14ac:dyDescent="0.25" r="192" customHeight="1" ht="17.25">
      <c r="A192" s="17" t="s">
        <v>13191</v>
      </c>
      <c r="B192" s="17" t="s">
        <v>326</v>
      </c>
      <c r="C192" s="17" t="s">
        <v>56</v>
      </c>
      <c r="D192" s="17" t="s">
        <v>16</v>
      </c>
      <c r="E192" s="18">
        <f>ROUND(12911*1.05,2)</f>
      </c>
      <c r="F192" s="17" t="s">
        <v>48</v>
      </c>
      <c r="G192" s="17" t="s">
        <v>18</v>
      </c>
      <c r="H192" s="18">
        <f>ROUND(RAND()*4+6,1)</f>
      </c>
      <c r="I192" s="17" t="s">
        <v>19</v>
      </c>
      <c r="J192" s="19">
        <f>ROUND(71*1,0)&amp;"%"</f>
      </c>
    </row>
    <row x14ac:dyDescent="0.25" r="193" customHeight="1" ht="17.25">
      <c r="A193" s="20" t="s">
        <v>13192</v>
      </c>
      <c r="B193" s="20" t="s">
        <v>328</v>
      </c>
      <c r="C193" s="20" t="s">
        <v>56</v>
      </c>
      <c r="D193" s="20" t="s">
        <v>22</v>
      </c>
      <c r="E193" s="21">
        <f>ROUND(8105*1.05,2)</f>
      </c>
      <c r="F193" s="20" t="s">
        <v>51</v>
      </c>
      <c r="G193" s="20" t="s">
        <v>24</v>
      </c>
      <c r="H193" s="21">
        <f>ROUND(RAND()*4+6,1)</f>
      </c>
      <c r="I193" s="20" t="s">
        <v>25</v>
      </c>
      <c r="J193" s="23">
        <f>ROUND(60*1,0)&amp;"%"</f>
      </c>
    </row>
    <row x14ac:dyDescent="0.25" r="194" customHeight="1" ht="17.25">
      <c r="A194" s="24" t="s">
        <v>329</v>
      </c>
      <c r="B194" s="24"/>
      <c r="C194" s="24"/>
      <c r="D194" s="24"/>
      <c r="E194" s="25">
        <v>8</v>
      </c>
      <c r="F194" s="9"/>
      <c r="G194" s="9"/>
      <c r="H194" s="10"/>
      <c r="I194" s="9"/>
      <c r="J194" s="9"/>
    </row>
    <row x14ac:dyDescent="0.25" r="195" customHeight="1" ht="17.25">
      <c r="A195" s="7"/>
      <c r="B195" s="7"/>
      <c r="C195" s="7"/>
      <c r="D195" s="7"/>
      <c r="E195" s="8"/>
      <c r="F195" s="9"/>
      <c r="G195" s="9"/>
      <c r="H195" s="10"/>
      <c r="I195" s="9"/>
      <c r="J195" s="9"/>
    </row>
    <row x14ac:dyDescent="0.25" r="196" customHeight="1" ht="17.25">
      <c r="A196" s="11" t="s">
        <v>13193</v>
      </c>
      <c r="B196" s="11"/>
      <c r="C196" s="11"/>
      <c r="D196" s="11"/>
      <c r="E196" s="12"/>
      <c r="F196" s="11"/>
      <c r="G196" s="11"/>
      <c r="H196" s="13"/>
      <c r="I196" s="11"/>
      <c r="J196" s="11"/>
    </row>
    <row x14ac:dyDescent="0.25" r="197" customHeight="1" ht="17.25">
      <c r="A197" s="14" t="s">
        <v>3</v>
      </c>
      <c r="B197" s="14" t="s">
        <v>4</v>
      </c>
      <c r="C197" s="14" t="s">
        <v>5</v>
      </c>
      <c r="D197" s="14" t="s">
        <v>6</v>
      </c>
      <c r="E197" s="15" t="s">
        <v>7</v>
      </c>
      <c r="F197" s="14" t="s">
        <v>8</v>
      </c>
      <c r="G197" s="14" t="s">
        <v>9</v>
      </c>
      <c r="H197" s="16" t="s">
        <v>10</v>
      </c>
      <c r="I197" s="14" t="s">
        <v>11</v>
      </c>
      <c r="J197" s="14" t="s">
        <v>12</v>
      </c>
    </row>
    <row x14ac:dyDescent="0.25" r="198" customHeight="1" ht="17.25">
      <c r="A198" s="17" t="s">
        <v>13194</v>
      </c>
      <c r="B198" s="17" t="s">
        <v>332</v>
      </c>
      <c r="C198" s="17" t="s">
        <v>76</v>
      </c>
      <c r="D198" s="17" t="s">
        <v>16</v>
      </c>
      <c r="E198" s="18">
        <f>ROUND(9502*1.05,2)</f>
      </c>
      <c r="F198" s="17" t="s">
        <v>17</v>
      </c>
      <c r="G198" s="17" t="s">
        <v>18</v>
      </c>
      <c r="H198" s="18">
        <f>ROUND(RAND()*4+6,1)</f>
      </c>
      <c r="I198" s="17" t="s">
        <v>19</v>
      </c>
      <c r="J198" s="19">
        <f>ROUND(78*1,0)&amp;"%"</f>
      </c>
    </row>
    <row x14ac:dyDescent="0.25" r="199" customHeight="1" ht="17.25">
      <c r="A199" s="20" t="s">
        <v>13195</v>
      </c>
      <c r="B199" s="20" t="s">
        <v>334</v>
      </c>
      <c r="C199" s="20" t="s">
        <v>76</v>
      </c>
      <c r="D199" s="20" t="s">
        <v>22</v>
      </c>
      <c r="E199" s="21">
        <f>ROUND(17751*1.05,2)</f>
      </c>
      <c r="F199" s="20" t="s">
        <v>23</v>
      </c>
      <c r="G199" s="20" t="s">
        <v>24</v>
      </c>
      <c r="H199" s="21">
        <f>ROUND(RAND()*4+6,1)</f>
      </c>
      <c r="I199" s="20" t="s">
        <v>25</v>
      </c>
      <c r="J199" s="23">
        <f>ROUND(77*1,0)&amp;"%"</f>
      </c>
    </row>
    <row x14ac:dyDescent="0.25" r="200" customHeight="1" ht="17.25">
      <c r="A200" s="17" t="s">
        <v>13196</v>
      </c>
      <c r="B200" s="17" t="s">
        <v>336</v>
      </c>
      <c r="C200" s="17" t="s">
        <v>76</v>
      </c>
      <c r="D200" s="17" t="s">
        <v>28</v>
      </c>
      <c r="E200" s="18">
        <f>ROUND(11978*1.05,2)</f>
      </c>
      <c r="F200" s="17" t="s">
        <v>29</v>
      </c>
      <c r="G200" s="17" t="s">
        <v>30</v>
      </c>
      <c r="H200" s="18">
        <f>ROUND(RAND()*4+6,1)</f>
      </c>
      <c r="I200" s="17" t="s">
        <v>31</v>
      </c>
      <c r="J200" s="19">
        <f>ROUND(67*1,0)&amp;"%"</f>
      </c>
    </row>
    <row x14ac:dyDescent="0.25" r="201" customHeight="1" ht="17.25">
      <c r="A201" s="20" t="s">
        <v>13197</v>
      </c>
      <c r="B201" s="20" t="s">
        <v>338</v>
      </c>
      <c r="C201" s="20" t="s">
        <v>76</v>
      </c>
      <c r="D201" s="20" t="s">
        <v>34</v>
      </c>
      <c r="E201" s="21">
        <f>ROUND(11364*1.05,2)</f>
      </c>
      <c r="F201" s="20" t="s">
        <v>35</v>
      </c>
      <c r="G201" s="20" t="s">
        <v>18</v>
      </c>
      <c r="H201" s="21">
        <f>ROUND(RAND()*4+6,1)</f>
      </c>
      <c r="I201" s="20" t="s">
        <v>36</v>
      </c>
      <c r="J201" s="23">
        <f>ROUND(90*1,0)&amp;"%"</f>
      </c>
    </row>
    <row x14ac:dyDescent="0.25" r="202" customHeight="1" ht="17.25">
      <c r="A202" s="17" t="s">
        <v>13198</v>
      </c>
      <c r="B202" s="17" t="s">
        <v>340</v>
      </c>
      <c r="C202" s="17" t="s">
        <v>76</v>
      </c>
      <c r="D202" s="17" t="s">
        <v>39</v>
      </c>
      <c r="E202" s="18">
        <f>ROUND(9614*1.05,2)</f>
      </c>
      <c r="F202" s="17" t="s">
        <v>40</v>
      </c>
      <c r="G202" s="17" t="s">
        <v>24</v>
      </c>
      <c r="H202" s="18">
        <f>ROUND(RAND()*4+6,1)</f>
      </c>
      <c r="I202" s="17" t="s">
        <v>41</v>
      </c>
      <c r="J202" s="19">
        <f>ROUND(96*1,0)&amp;"%"</f>
      </c>
    </row>
    <row x14ac:dyDescent="0.25" r="203" customHeight="1" ht="17.25">
      <c r="A203" s="20" t="s">
        <v>13199</v>
      </c>
      <c r="B203" s="20" t="s">
        <v>342</v>
      </c>
      <c r="C203" s="20" t="s">
        <v>76</v>
      </c>
      <c r="D203" s="20" t="s">
        <v>67</v>
      </c>
      <c r="E203" s="21">
        <f>ROUND(12569*1.05,2)</f>
      </c>
      <c r="F203" s="20" t="s">
        <v>44</v>
      </c>
      <c r="G203" s="20" t="s">
        <v>30</v>
      </c>
      <c r="H203" s="21">
        <f>ROUND(RAND()*4+6,1)</f>
      </c>
      <c r="I203" s="20" t="s">
        <v>45</v>
      </c>
      <c r="J203" s="23">
        <f>ROUND(85*1,0)&amp;"%"</f>
      </c>
    </row>
    <row x14ac:dyDescent="0.25" r="204" customHeight="1" ht="17.25">
      <c r="A204" s="17" t="s">
        <v>13200</v>
      </c>
      <c r="B204" s="17" t="s">
        <v>344</v>
      </c>
      <c r="C204" s="17" t="s">
        <v>76</v>
      </c>
      <c r="D204" s="17" t="s">
        <v>16</v>
      </c>
      <c r="E204" s="18">
        <f>ROUND(4106*1.05,2)</f>
      </c>
      <c r="F204" s="17" t="s">
        <v>48</v>
      </c>
      <c r="G204" s="17" t="s">
        <v>18</v>
      </c>
      <c r="H204" s="18">
        <f>ROUND(RAND()*4+6,1)</f>
      </c>
      <c r="I204" s="17" t="s">
        <v>19</v>
      </c>
      <c r="J204" s="19">
        <f>ROUND(76*1,0)&amp;"%"</f>
      </c>
    </row>
    <row x14ac:dyDescent="0.25" r="205" customHeight="1" ht="17.25">
      <c r="A205" s="20" t="s">
        <v>13201</v>
      </c>
      <c r="B205" s="20" t="s">
        <v>346</v>
      </c>
      <c r="C205" s="20" t="s">
        <v>76</v>
      </c>
      <c r="D205" s="20" t="s">
        <v>22</v>
      </c>
      <c r="E205" s="22">
        <f>ROUND(17600*1.05,2)</f>
      </c>
      <c r="F205" s="20" t="s">
        <v>51</v>
      </c>
      <c r="G205" s="20" t="s">
        <v>24</v>
      </c>
      <c r="H205" s="21">
        <f>ROUND(RAND()*4+6,1)</f>
      </c>
      <c r="I205" s="20" t="s">
        <v>25</v>
      </c>
      <c r="J205" s="23">
        <f>ROUND(85*1,0)&amp;"%"</f>
      </c>
    </row>
    <row x14ac:dyDescent="0.25" r="206" customHeight="1" ht="17.25">
      <c r="A206" s="24" t="s">
        <v>347</v>
      </c>
      <c r="B206" s="24"/>
      <c r="C206" s="24"/>
      <c r="D206" s="24"/>
      <c r="E206" s="25">
        <v>8</v>
      </c>
      <c r="F206" s="9"/>
      <c r="G206" s="9"/>
      <c r="H206" s="10"/>
      <c r="I206" s="9"/>
      <c r="J206" s="9"/>
    </row>
    <row x14ac:dyDescent="0.25" r="207" customHeight="1" ht="17.25">
      <c r="A207" s="7"/>
      <c r="B207" s="7"/>
      <c r="C207" s="7"/>
      <c r="D207" s="7"/>
      <c r="E207" s="8"/>
      <c r="F207" s="9"/>
      <c r="G207" s="9"/>
      <c r="H207" s="10"/>
      <c r="I207" s="9"/>
      <c r="J207" s="9"/>
    </row>
    <row x14ac:dyDescent="0.25" r="208" customHeight="1" ht="17.25">
      <c r="A208" s="11" t="s">
        <v>13202</v>
      </c>
      <c r="B208" s="11"/>
      <c r="C208" s="11"/>
      <c r="D208" s="11"/>
      <c r="E208" s="12"/>
      <c r="F208" s="11"/>
      <c r="G208" s="11"/>
      <c r="H208" s="13"/>
      <c r="I208" s="11"/>
      <c r="J208" s="11"/>
    </row>
    <row x14ac:dyDescent="0.25" r="209" customHeight="1" ht="17.25">
      <c r="A209" s="14" t="s">
        <v>3</v>
      </c>
      <c r="B209" s="14" t="s">
        <v>4</v>
      </c>
      <c r="C209" s="14" t="s">
        <v>5</v>
      </c>
      <c r="D209" s="14" t="s">
        <v>6</v>
      </c>
      <c r="E209" s="15" t="s">
        <v>7</v>
      </c>
      <c r="F209" s="14" t="s">
        <v>8</v>
      </c>
      <c r="G209" s="14" t="s">
        <v>9</v>
      </c>
      <c r="H209" s="16" t="s">
        <v>10</v>
      </c>
      <c r="I209" s="14" t="s">
        <v>11</v>
      </c>
      <c r="J209" s="14" t="s">
        <v>12</v>
      </c>
    </row>
    <row x14ac:dyDescent="0.25" r="210" customHeight="1" ht="17.25">
      <c r="A210" s="17" t="s">
        <v>13203</v>
      </c>
      <c r="B210" s="17" t="s">
        <v>350</v>
      </c>
      <c r="C210" s="17" t="s">
        <v>95</v>
      </c>
      <c r="D210" s="17" t="s">
        <v>16</v>
      </c>
      <c r="E210" s="18">
        <f>ROUND(10274*1.05,2)</f>
      </c>
      <c r="F210" s="17" t="s">
        <v>17</v>
      </c>
      <c r="G210" s="17" t="s">
        <v>18</v>
      </c>
      <c r="H210" s="26">
        <f>ROUND(RAND()*4+6,1)</f>
      </c>
      <c r="I210" s="17" t="s">
        <v>19</v>
      </c>
      <c r="J210" s="19">
        <f>ROUND(72*1,0)&amp;"%"</f>
      </c>
    </row>
    <row x14ac:dyDescent="0.25" r="211" customHeight="1" ht="17.25">
      <c r="A211" s="20" t="s">
        <v>13204</v>
      </c>
      <c r="B211" s="20" t="s">
        <v>352</v>
      </c>
      <c r="C211" s="20" t="s">
        <v>95</v>
      </c>
      <c r="D211" s="20" t="s">
        <v>22</v>
      </c>
      <c r="E211" s="21">
        <f>ROUND(9583*1.05,2)</f>
      </c>
      <c r="F211" s="20" t="s">
        <v>23</v>
      </c>
      <c r="G211" s="20" t="s">
        <v>24</v>
      </c>
      <c r="H211" s="21">
        <f>ROUND(RAND()*4+6,1)</f>
      </c>
      <c r="I211" s="20" t="s">
        <v>25</v>
      </c>
      <c r="J211" s="23">
        <f>ROUND(86*1,0)&amp;"%"</f>
      </c>
    </row>
    <row x14ac:dyDescent="0.25" r="212" customHeight="1" ht="17.25">
      <c r="A212" s="17" t="s">
        <v>13205</v>
      </c>
      <c r="B212" s="17" t="s">
        <v>354</v>
      </c>
      <c r="C212" s="17" t="s">
        <v>95</v>
      </c>
      <c r="D212" s="17" t="s">
        <v>28</v>
      </c>
      <c r="E212" s="18">
        <f>ROUND(6478*1.05,2)</f>
      </c>
      <c r="F212" s="17" t="s">
        <v>29</v>
      </c>
      <c r="G212" s="17" t="s">
        <v>30</v>
      </c>
      <c r="H212" s="18">
        <f>ROUND(RAND()*4+6,1)</f>
      </c>
      <c r="I212" s="17" t="s">
        <v>31</v>
      </c>
      <c r="J212" s="19">
        <f>ROUND(81*1,0)&amp;"%"</f>
      </c>
    </row>
    <row x14ac:dyDescent="0.25" r="213" customHeight="1" ht="17.25">
      <c r="A213" s="20" t="s">
        <v>13206</v>
      </c>
      <c r="B213" s="20" t="s">
        <v>356</v>
      </c>
      <c r="C213" s="20" t="s">
        <v>95</v>
      </c>
      <c r="D213" s="20" t="s">
        <v>34</v>
      </c>
      <c r="E213" s="21">
        <f>ROUND(13112*1.05,2)</f>
      </c>
      <c r="F213" s="20" t="s">
        <v>35</v>
      </c>
      <c r="G213" s="20" t="s">
        <v>18</v>
      </c>
      <c r="H213" s="21">
        <f>ROUND(RAND()*4+6,1)</f>
      </c>
      <c r="I213" s="20" t="s">
        <v>36</v>
      </c>
      <c r="J213" s="23">
        <f>ROUND(76*1,0)&amp;"%"</f>
      </c>
    </row>
    <row x14ac:dyDescent="0.25" r="214" customHeight="1" ht="17.25">
      <c r="A214" s="17" t="s">
        <v>13207</v>
      </c>
      <c r="B214" s="17" t="s">
        <v>358</v>
      </c>
      <c r="C214" s="17" t="s">
        <v>95</v>
      </c>
      <c r="D214" s="17" t="s">
        <v>39</v>
      </c>
      <c r="E214" s="18">
        <f>ROUND(5534*1.05,2)</f>
      </c>
      <c r="F214" s="17" t="s">
        <v>40</v>
      </c>
      <c r="G214" s="17" t="s">
        <v>24</v>
      </c>
      <c r="H214" s="18">
        <f>ROUND(RAND()*4+6,1)</f>
      </c>
      <c r="I214" s="17" t="s">
        <v>41</v>
      </c>
      <c r="J214" s="19">
        <f>ROUND(89*1,0)&amp;"%"</f>
      </c>
    </row>
    <row x14ac:dyDescent="0.25" r="215" customHeight="1" ht="17.25">
      <c r="A215" s="20" t="s">
        <v>13208</v>
      </c>
      <c r="B215" s="20" t="s">
        <v>360</v>
      </c>
      <c r="C215" s="20" t="s">
        <v>95</v>
      </c>
      <c r="D215" s="20" t="s">
        <v>67</v>
      </c>
      <c r="E215" s="21">
        <f>ROUND(8604*1.05,2)</f>
      </c>
      <c r="F215" s="20" t="s">
        <v>44</v>
      </c>
      <c r="G215" s="20" t="s">
        <v>30</v>
      </c>
      <c r="H215" s="21">
        <f>ROUND(RAND()*4+6,1)</f>
      </c>
      <c r="I215" s="20" t="s">
        <v>45</v>
      </c>
      <c r="J215" s="23">
        <f>ROUND(81*1,0)&amp;"%"</f>
      </c>
    </row>
    <row x14ac:dyDescent="0.25" r="216" customHeight="1" ht="17.25">
      <c r="A216" s="17" t="s">
        <v>13209</v>
      </c>
      <c r="B216" s="17" t="s">
        <v>362</v>
      </c>
      <c r="C216" s="17" t="s">
        <v>95</v>
      </c>
      <c r="D216" s="17" t="s">
        <v>16</v>
      </c>
      <c r="E216" s="18">
        <f>ROUND(12875*1.05,2)</f>
      </c>
      <c r="F216" s="17" t="s">
        <v>48</v>
      </c>
      <c r="G216" s="17" t="s">
        <v>18</v>
      </c>
      <c r="H216" s="18">
        <f>ROUND(RAND()*4+6,1)</f>
      </c>
      <c r="I216" s="17" t="s">
        <v>19</v>
      </c>
      <c r="J216" s="19">
        <f>ROUND(80*1,0)&amp;"%"</f>
      </c>
    </row>
    <row x14ac:dyDescent="0.25" r="217" customHeight="1" ht="17.25">
      <c r="A217" s="20" t="s">
        <v>13210</v>
      </c>
      <c r="B217" s="20" t="s">
        <v>364</v>
      </c>
      <c r="C217" s="20" t="s">
        <v>95</v>
      </c>
      <c r="D217" s="20" t="s">
        <v>22</v>
      </c>
      <c r="E217" s="21">
        <f>ROUND(13310*1.05,2)</f>
      </c>
      <c r="F217" s="20" t="s">
        <v>51</v>
      </c>
      <c r="G217" s="20" t="s">
        <v>24</v>
      </c>
      <c r="H217" s="21">
        <f>ROUND(RAND()*4+6,1)</f>
      </c>
      <c r="I217" s="20" t="s">
        <v>25</v>
      </c>
      <c r="J217" s="23">
        <f>ROUND(60*1,0)&amp;"%"</f>
      </c>
    </row>
    <row x14ac:dyDescent="0.25" r="218" customHeight="1" ht="17.25">
      <c r="A218" s="24" t="s">
        <v>365</v>
      </c>
      <c r="B218" s="24"/>
      <c r="C218" s="24"/>
      <c r="D218" s="24"/>
      <c r="E218" s="25">
        <v>8</v>
      </c>
      <c r="F218" s="9"/>
      <c r="G218" s="9"/>
      <c r="H218" s="10"/>
      <c r="I218" s="9"/>
      <c r="J218" s="9"/>
    </row>
    <row x14ac:dyDescent="0.25" r="219" customHeight="1" ht="17.25">
      <c r="A219" s="7"/>
      <c r="B219" s="7"/>
      <c r="C219" s="7"/>
      <c r="D219" s="7"/>
      <c r="E219" s="8"/>
      <c r="F219" s="9"/>
      <c r="G219" s="9"/>
      <c r="H219" s="10"/>
      <c r="I219" s="9"/>
      <c r="J219" s="9"/>
    </row>
    <row x14ac:dyDescent="0.25" r="220" customHeight="1" ht="17.25">
      <c r="A220" s="11" t="s">
        <v>13211</v>
      </c>
      <c r="B220" s="11"/>
      <c r="C220" s="11"/>
      <c r="D220" s="11"/>
      <c r="E220" s="12"/>
      <c r="F220" s="11"/>
      <c r="G220" s="11"/>
      <c r="H220" s="13"/>
      <c r="I220" s="11"/>
      <c r="J220" s="11"/>
    </row>
    <row x14ac:dyDescent="0.25" r="221" customHeight="1" ht="17.25">
      <c r="A221" s="14" t="s">
        <v>3</v>
      </c>
      <c r="B221" s="14" t="s">
        <v>4</v>
      </c>
      <c r="C221" s="14" t="s">
        <v>5</v>
      </c>
      <c r="D221" s="14" t="s">
        <v>6</v>
      </c>
      <c r="E221" s="15" t="s">
        <v>7</v>
      </c>
      <c r="F221" s="14" t="s">
        <v>8</v>
      </c>
      <c r="G221" s="14" t="s">
        <v>9</v>
      </c>
      <c r="H221" s="16" t="s">
        <v>10</v>
      </c>
      <c r="I221" s="14" t="s">
        <v>11</v>
      </c>
      <c r="J221" s="14" t="s">
        <v>12</v>
      </c>
    </row>
    <row x14ac:dyDescent="0.25" r="222" customHeight="1" ht="17.25">
      <c r="A222" s="17" t="s">
        <v>13212</v>
      </c>
      <c r="B222" s="17" t="s">
        <v>368</v>
      </c>
      <c r="C222" s="17" t="s">
        <v>114</v>
      </c>
      <c r="D222" s="17" t="s">
        <v>16</v>
      </c>
      <c r="E222" s="18">
        <f>ROUND(9005*1.05,2)</f>
      </c>
      <c r="F222" s="17" t="s">
        <v>17</v>
      </c>
      <c r="G222" s="17" t="s">
        <v>18</v>
      </c>
      <c r="H222" s="18">
        <f>ROUND(RAND()*4+6,1)</f>
      </c>
      <c r="I222" s="17" t="s">
        <v>19</v>
      </c>
      <c r="J222" s="19">
        <f>ROUND(65*1,0)&amp;"%"</f>
      </c>
    </row>
    <row x14ac:dyDescent="0.25" r="223" customHeight="1" ht="17.25">
      <c r="A223" s="20" t="s">
        <v>13213</v>
      </c>
      <c r="B223" s="20" t="s">
        <v>370</v>
      </c>
      <c r="C223" s="20" t="s">
        <v>114</v>
      </c>
      <c r="D223" s="20" t="s">
        <v>22</v>
      </c>
      <c r="E223" s="21">
        <f>ROUND(7239*1.05,2)</f>
      </c>
      <c r="F223" s="20" t="s">
        <v>23</v>
      </c>
      <c r="G223" s="20" t="s">
        <v>24</v>
      </c>
      <c r="H223" s="22">
        <f>ROUND(RAND()*4+6,1)</f>
      </c>
      <c r="I223" s="20" t="s">
        <v>25</v>
      </c>
      <c r="J223" s="23">
        <f>ROUND(70*1,0)&amp;"%"</f>
      </c>
    </row>
    <row x14ac:dyDescent="0.25" r="224" customHeight="1" ht="17.25">
      <c r="A224" s="17" t="s">
        <v>13214</v>
      </c>
      <c r="B224" s="17" t="s">
        <v>372</v>
      </c>
      <c r="C224" s="17" t="s">
        <v>114</v>
      </c>
      <c r="D224" s="17" t="s">
        <v>28</v>
      </c>
      <c r="E224" s="18">
        <f>ROUND(7276*1.05,2)</f>
      </c>
      <c r="F224" s="17" t="s">
        <v>29</v>
      </c>
      <c r="G224" s="17" t="s">
        <v>30</v>
      </c>
      <c r="H224" s="18">
        <f>ROUND(RAND()*4+6,1)</f>
      </c>
      <c r="I224" s="17" t="s">
        <v>31</v>
      </c>
      <c r="J224" s="19">
        <f>ROUND(73*1,0)&amp;"%"</f>
      </c>
    </row>
    <row x14ac:dyDescent="0.25" r="225" customHeight="1" ht="17.25">
      <c r="A225" s="20" t="s">
        <v>13215</v>
      </c>
      <c r="B225" s="20" t="s">
        <v>374</v>
      </c>
      <c r="C225" s="20" t="s">
        <v>114</v>
      </c>
      <c r="D225" s="20" t="s">
        <v>34</v>
      </c>
      <c r="E225" s="21">
        <f>ROUND(7633*1.05,2)</f>
      </c>
      <c r="F225" s="20" t="s">
        <v>35</v>
      </c>
      <c r="G225" s="20" t="s">
        <v>18</v>
      </c>
      <c r="H225" s="21">
        <f>ROUND(RAND()*4+6,1)</f>
      </c>
      <c r="I225" s="20" t="s">
        <v>36</v>
      </c>
      <c r="J225" s="23">
        <f>ROUND(90*1,0)&amp;"%"</f>
      </c>
    </row>
    <row x14ac:dyDescent="0.25" r="226" customHeight="1" ht="17.25">
      <c r="A226" s="17" t="s">
        <v>13216</v>
      </c>
      <c r="B226" s="17" t="s">
        <v>376</v>
      </c>
      <c r="C226" s="17" t="s">
        <v>114</v>
      </c>
      <c r="D226" s="17" t="s">
        <v>39</v>
      </c>
      <c r="E226" s="18">
        <f>ROUND(9091*1.05,2)</f>
      </c>
      <c r="F226" s="17" t="s">
        <v>40</v>
      </c>
      <c r="G226" s="17" t="s">
        <v>24</v>
      </c>
      <c r="H226" s="18">
        <f>ROUND(RAND()*4+6,1)</f>
      </c>
      <c r="I226" s="17" t="s">
        <v>41</v>
      </c>
      <c r="J226" s="19">
        <f>ROUND(86*1,0)&amp;"%"</f>
      </c>
    </row>
    <row x14ac:dyDescent="0.25" r="227" customHeight="1" ht="17.25">
      <c r="A227" s="20" t="s">
        <v>13217</v>
      </c>
      <c r="B227" s="20" t="s">
        <v>378</v>
      </c>
      <c r="C227" s="20" t="s">
        <v>114</v>
      </c>
      <c r="D227" s="20" t="s">
        <v>67</v>
      </c>
      <c r="E227" s="21">
        <f>ROUND(16282*1.05,2)</f>
      </c>
      <c r="F227" s="20" t="s">
        <v>44</v>
      </c>
      <c r="G227" s="20" t="s">
        <v>30</v>
      </c>
      <c r="H227" s="21">
        <f>ROUND(RAND()*4+6,1)</f>
      </c>
      <c r="I227" s="20" t="s">
        <v>45</v>
      </c>
      <c r="J227" s="23">
        <f>ROUND(66*1,0)&amp;"%"</f>
      </c>
    </row>
    <row x14ac:dyDescent="0.25" r="228" customHeight="1" ht="17.25">
      <c r="A228" s="17" t="s">
        <v>13218</v>
      </c>
      <c r="B228" s="17" t="s">
        <v>380</v>
      </c>
      <c r="C228" s="17" t="s">
        <v>114</v>
      </c>
      <c r="D228" s="17" t="s">
        <v>16</v>
      </c>
      <c r="E228" s="18">
        <f>ROUND(12111*1.05,2)</f>
      </c>
      <c r="F228" s="17" t="s">
        <v>48</v>
      </c>
      <c r="G228" s="17" t="s">
        <v>18</v>
      </c>
      <c r="H228" s="18">
        <f>ROUND(RAND()*4+6,1)</f>
      </c>
      <c r="I228" s="17" t="s">
        <v>19</v>
      </c>
      <c r="J228" s="19">
        <f>ROUND(60*1,0)&amp;"%"</f>
      </c>
    </row>
    <row x14ac:dyDescent="0.25" r="229" customHeight="1" ht="17.25">
      <c r="A229" s="20" t="s">
        <v>13219</v>
      </c>
      <c r="B229" s="20" t="s">
        <v>382</v>
      </c>
      <c r="C229" s="20" t="s">
        <v>114</v>
      </c>
      <c r="D229" s="20" t="s">
        <v>22</v>
      </c>
      <c r="E229" s="21">
        <f>ROUND(14851*1.05,2)</f>
      </c>
      <c r="F229" s="20" t="s">
        <v>51</v>
      </c>
      <c r="G229" s="20" t="s">
        <v>24</v>
      </c>
      <c r="H229" s="21">
        <f>ROUND(RAND()*4+6,1)</f>
      </c>
      <c r="I229" s="20" t="s">
        <v>25</v>
      </c>
      <c r="J229" s="23">
        <f>ROUND(97*1,0)&amp;"%"</f>
      </c>
    </row>
    <row x14ac:dyDescent="0.25" r="230" customHeight="1" ht="17.25">
      <c r="A230" s="24" t="s">
        <v>383</v>
      </c>
      <c r="B230" s="24"/>
      <c r="C230" s="24"/>
      <c r="D230" s="24"/>
      <c r="E230" s="25">
        <v>8</v>
      </c>
      <c r="F230" s="9"/>
      <c r="G230" s="9"/>
      <c r="H230" s="10"/>
      <c r="I230" s="9"/>
      <c r="J230" s="9"/>
    </row>
    <row x14ac:dyDescent="0.25" r="231" customHeight="1" ht="17.25">
      <c r="A231" s="7"/>
      <c r="B231" s="7"/>
      <c r="C231" s="7"/>
      <c r="D231" s="7"/>
      <c r="E231" s="8"/>
      <c r="F231" s="9"/>
      <c r="G231" s="9"/>
      <c r="H231" s="10"/>
      <c r="I231" s="9"/>
      <c r="J231" s="9"/>
    </row>
    <row x14ac:dyDescent="0.25" r="232" customHeight="1" ht="17.25">
      <c r="A232" s="11" t="s">
        <v>13220</v>
      </c>
      <c r="B232" s="11"/>
      <c r="C232" s="11"/>
      <c r="D232" s="11"/>
      <c r="E232" s="12"/>
      <c r="F232" s="11"/>
      <c r="G232" s="11"/>
      <c r="H232" s="13"/>
      <c r="I232" s="11"/>
      <c r="J232" s="11"/>
    </row>
    <row x14ac:dyDescent="0.25" r="233" customHeight="1" ht="17.25">
      <c r="A233" s="14" t="s">
        <v>3</v>
      </c>
      <c r="B233" s="14" t="s">
        <v>4</v>
      </c>
      <c r="C233" s="14" t="s">
        <v>5</v>
      </c>
      <c r="D233" s="14" t="s">
        <v>6</v>
      </c>
      <c r="E233" s="15" t="s">
        <v>7</v>
      </c>
      <c r="F233" s="14" t="s">
        <v>8</v>
      </c>
      <c r="G233" s="14" t="s">
        <v>9</v>
      </c>
      <c r="H233" s="16" t="s">
        <v>10</v>
      </c>
      <c r="I233" s="14" t="s">
        <v>11</v>
      </c>
      <c r="J233" s="14" t="s">
        <v>12</v>
      </c>
    </row>
    <row x14ac:dyDescent="0.25" r="234" customHeight="1" ht="17.25">
      <c r="A234" s="17" t="s">
        <v>13221</v>
      </c>
      <c r="B234" s="17" t="s">
        <v>386</v>
      </c>
      <c r="C234" s="17" t="s">
        <v>133</v>
      </c>
      <c r="D234" s="17" t="s">
        <v>16</v>
      </c>
      <c r="E234" s="18">
        <f>ROUND(8822*1.05,2)</f>
      </c>
      <c r="F234" s="17" t="s">
        <v>17</v>
      </c>
      <c r="G234" s="17" t="s">
        <v>18</v>
      </c>
      <c r="H234" s="18">
        <f>ROUND(RAND()*4+6,1)</f>
      </c>
      <c r="I234" s="17" t="s">
        <v>19</v>
      </c>
      <c r="J234" s="19">
        <f>ROUND(83*1,0)&amp;"%"</f>
      </c>
    </row>
    <row x14ac:dyDescent="0.25" r="235" customHeight="1" ht="17.25">
      <c r="A235" s="20" t="s">
        <v>13222</v>
      </c>
      <c r="B235" s="20" t="s">
        <v>388</v>
      </c>
      <c r="C235" s="20" t="s">
        <v>133</v>
      </c>
      <c r="D235" s="20" t="s">
        <v>22</v>
      </c>
      <c r="E235" s="21">
        <f>ROUND(13331*1.05,2)</f>
      </c>
      <c r="F235" s="20" t="s">
        <v>23</v>
      </c>
      <c r="G235" s="20" t="s">
        <v>24</v>
      </c>
      <c r="H235" s="21">
        <f>ROUND(RAND()*4+6,1)</f>
      </c>
      <c r="I235" s="20" t="s">
        <v>25</v>
      </c>
      <c r="J235" s="23">
        <f>ROUND(66*1,0)&amp;"%"</f>
      </c>
    </row>
    <row x14ac:dyDescent="0.25" r="236" customHeight="1" ht="17.25">
      <c r="A236" s="17" t="s">
        <v>13223</v>
      </c>
      <c r="B236" s="17" t="s">
        <v>390</v>
      </c>
      <c r="C236" s="17" t="s">
        <v>133</v>
      </c>
      <c r="D236" s="17" t="s">
        <v>28</v>
      </c>
      <c r="E236" s="18">
        <f>ROUND(16139*1.05,2)</f>
      </c>
      <c r="F236" s="17" t="s">
        <v>29</v>
      </c>
      <c r="G236" s="17" t="s">
        <v>30</v>
      </c>
      <c r="H236" s="26">
        <f>ROUND(RAND()*4+6,1)</f>
      </c>
      <c r="I236" s="17" t="s">
        <v>31</v>
      </c>
      <c r="J236" s="19">
        <f>ROUND(66*1,0)&amp;"%"</f>
      </c>
    </row>
    <row x14ac:dyDescent="0.25" r="237" customHeight="1" ht="17.25">
      <c r="A237" s="20" t="s">
        <v>13224</v>
      </c>
      <c r="B237" s="20" t="s">
        <v>392</v>
      </c>
      <c r="C237" s="20" t="s">
        <v>133</v>
      </c>
      <c r="D237" s="20" t="s">
        <v>34</v>
      </c>
      <c r="E237" s="21">
        <f>ROUND(10699*1.05,2)</f>
      </c>
      <c r="F237" s="20" t="s">
        <v>35</v>
      </c>
      <c r="G237" s="20" t="s">
        <v>18</v>
      </c>
      <c r="H237" s="22">
        <f>ROUND(RAND()*4+6,1)</f>
      </c>
      <c r="I237" s="20" t="s">
        <v>36</v>
      </c>
      <c r="J237" s="23">
        <f>ROUND(78*1,0)&amp;"%"</f>
      </c>
    </row>
    <row x14ac:dyDescent="0.25" r="238" customHeight="1" ht="17.25">
      <c r="A238" s="17" t="s">
        <v>13225</v>
      </c>
      <c r="B238" s="17" t="s">
        <v>394</v>
      </c>
      <c r="C238" s="17" t="s">
        <v>133</v>
      </c>
      <c r="D238" s="17" t="s">
        <v>39</v>
      </c>
      <c r="E238" s="18">
        <f>ROUND(17969*1.05,2)</f>
      </c>
      <c r="F238" s="17" t="s">
        <v>40</v>
      </c>
      <c r="G238" s="17" t="s">
        <v>24</v>
      </c>
      <c r="H238" s="18">
        <f>ROUND(RAND()*4+6,1)</f>
      </c>
      <c r="I238" s="17" t="s">
        <v>41</v>
      </c>
      <c r="J238" s="19">
        <f>ROUND(60*1,0)&amp;"%"</f>
      </c>
    </row>
    <row x14ac:dyDescent="0.25" r="239" customHeight="1" ht="17.25">
      <c r="A239" s="20" t="s">
        <v>13226</v>
      </c>
      <c r="B239" s="20" t="s">
        <v>396</v>
      </c>
      <c r="C239" s="20" t="s">
        <v>133</v>
      </c>
      <c r="D239" s="20" t="s">
        <v>67</v>
      </c>
      <c r="E239" s="21">
        <f>ROUND(15601*1.05,2)</f>
      </c>
      <c r="F239" s="20" t="s">
        <v>44</v>
      </c>
      <c r="G239" s="20" t="s">
        <v>30</v>
      </c>
      <c r="H239" s="22">
        <f>ROUND(RAND()*4+6,1)</f>
      </c>
      <c r="I239" s="20" t="s">
        <v>45</v>
      </c>
      <c r="J239" s="23">
        <f>ROUND(67*1,0)&amp;"%"</f>
      </c>
    </row>
    <row x14ac:dyDescent="0.25" r="240" customHeight="1" ht="17.25">
      <c r="A240" s="17" t="s">
        <v>13227</v>
      </c>
      <c r="B240" s="17" t="s">
        <v>398</v>
      </c>
      <c r="C240" s="17" t="s">
        <v>133</v>
      </c>
      <c r="D240" s="17" t="s">
        <v>16</v>
      </c>
      <c r="E240" s="18">
        <f>ROUND(4495*1.05,2)</f>
      </c>
      <c r="F240" s="17" t="s">
        <v>48</v>
      </c>
      <c r="G240" s="17" t="s">
        <v>18</v>
      </c>
      <c r="H240" s="18">
        <f>ROUND(RAND()*4+6,1)</f>
      </c>
      <c r="I240" s="17" t="s">
        <v>19</v>
      </c>
      <c r="J240" s="19">
        <f>ROUND(72*1,0)&amp;"%"</f>
      </c>
    </row>
    <row x14ac:dyDescent="0.25" r="241" customHeight="1" ht="17.25">
      <c r="A241" s="20" t="s">
        <v>13228</v>
      </c>
      <c r="B241" s="20" t="s">
        <v>400</v>
      </c>
      <c r="C241" s="20" t="s">
        <v>133</v>
      </c>
      <c r="D241" s="20" t="s">
        <v>22</v>
      </c>
      <c r="E241" s="21">
        <f>ROUND(5042*1.05,2)</f>
      </c>
      <c r="F241" s="20" t="s">
        <v>51</v>
      </c>
      <c r="G241" s="20" t="s">
        <v>24</v>
      </c>
      <c r="H241" s="21">
        <f>ROUND(RAND()*4+6,1)</f>
      </c>
      <c r="I241" s="20" t="s">
        <v>25</v>
      </c>
      <c r="J241" s="23">
        <f>ROUND(80*1,0)&amp;"%"</f>
      </c>
    </row>
    <row x14ac:dyDescent="0.25" r="242" customHeight="1" ht="17.25">
      <c r="A242" s="24" t="s">
        <v>401</v>
      </c>
      <c r="B242" s="24"/>
      <c r="C242" s="24"/>
      <c r="D242" s="24"/>
      <c r="E242" s="25">
        <v>8</v>
      </c>
      <c r="F242" s="9"/>
      <c r="G242" s="9"/>
      <c r="H242" s="10"/>
      <c r="I242" s="9"/>
      <c r="J242" s="9"/>
    </row>
    <row x14ac:dyDescent="0.25" r="243" customHeight="1" ht="17.25">
      <c r="A243" s="7"/>
      <c r="B243" s="7"/>
      <c r="C243" s="7"/>
      <c r="D243" s="7"/>
      <c r="E243" s="8"/>
      <c r="F243" s="9"/>
      <c r="G243" s="9"/>
      <c r="H243" s="10"/>
      <c r="I243" s="9"/>
      <c r="J243" s="9"/>
    </row>
    <row x14ac:dyDescent="0.25" r="244" customHeight="1" ht="17.25">
      <c r="A244" s="11" t="s">
        <v>13229</v>
      </c>
      <c r="B244" s="11"/>
      <c r="C244" s="11"/>
      <c r="D244" s="11"/>
      <c r="E244" s="12"/>
      <c r="F244" s="11"/>
      <c r="G244" s="11"/>
      <c r="H244" s="13"/>
      <c r="I244" s="11"/>
      <c r="J244" s="11"/>
    </row>
    <row x14ac:dyDescent="0.25" r="245" customHeight="1" ht="17.25">
      <c r="A245" s="14" t="s">
        <v>3</v>
      </c>
      <c r="B245" s="14" t="s">
        <v>4</v>
      </c>
      <c r="C245" s="14" t="s">
        <v>5</v>
      </c>
      <c r="D245" s="14" t="s">
        <v>6</v>
      </c>
      <c r="E245" s="15" t="s">
        <v>7</v>
      </c>
      <c r="F245" s="14" t="s">
        <v>8</v>
      </c>
      <c r="G245" s="14" t="s">
        <v>9</v>
      </c>
      <c r="H245" s="16" t="s">
        <v>10</v>
      </c>
      <c r="I245" s="14" t="s">
        <v>11</v>
      </c>
      <c r="J245" s="14" t="s">
        <v>12</v>
      </c>
    </row>
    <row x14ac:dyDescent="0.25" r="246" customHeight="1" ht="17.25">
      <c r="A246" s="17" t="s">
        <v>13230</v>
      </c>
      <c r="B246" s="17" t="s">
        <v>404</v>
      </c>
      <c r="C246" s="17" t="s">
        <v>152</v>
      </c>
      <c r="D246" s="17" t="s">
        <v>16</v>
      </c>
      <c r="E246" s="18">
        <f>ROUND(9418*1.05,2)</f>
      </c>
      <c r="F246" s="17" t="s">
        <v>17</v>
      </c>
      <c r="G246" s="17" t="s">
        <v>18</v>
      </c>
      <c r="H246" s="18">
        <f>ROUND(RAND()*4+6,1)</f>
      </c>
      <c r="I246" s="17" t="s">
        <v>19</v>
      </c>
      <c r="J246" s="19">
        <f>ROUND(85*1,0)&amp;"%"</f>
      </c>
    </row>
    <row x14ac:dyDescent="0.25" r="247" customHeight="1" ht="17.25">
      <c r="A247" s="20" t="s">
        <v>13231</v>
      </c>
      <c r="B247" s="20" t="s">
        <v>406</v>
      </c>
      <c r="C247" s="20" t="s">
        <v>152</v>
      </c>
      <c r="D247" s="20" t="s">
        <v>22</v>
      </c>
      <c r="E247" s="21">
        <f>ROUND(4652*1.05,2)</f>
      </c>
      <c r="F247" s="20" t="s">
        <v>23</v>
      </c>
      <c r="G247" s="20" t="s">
        <v>24</v>
      </c>
      <c r="H247" s="21">
        <f>ROUND(RAND()*4+6,1)</f>
      </c>
      <c r="I247" s="20" t="s">
        <v>25</v>
      </c>
      <c r="J247" s="23">
        <f>ROUND(65*1,0)&amp;"%"</f>
      </c>
    </row>
    <row x14ac:dyDescent="0.25" r="248" customHeight="1" ht="17.25">
      <c r="A248" s="17" t="s">
        <v>13232</v>
      </c>
      <c r="B248" s="17" t="s">
        <v>408</v>
      </c>
      <c r="C248" s="17" t="s">
        <v>152</v>
      </c>
      <c r="D248" s="17" t="s">
        <v>28</v>
      </c>
      <c r="E248" s="26">
        <f>ROUND(4400*1.05,2)</f>
      </c>
      <c r="F248" s="17" t="s">
        <v>29</v>
      </c>
      <c r="G248" s="17" t="s">
        <v>30</v>
      </c>
      <c r="H248" s="18">
        <f>ROUND(RAND()*4+6,1)</f>
      </c>
      <c r="I248" s="17" t="s">
        <v>31</v>
      </c>
      <c r="J248" s="19">
        <f>ROUND(92*1,0)&amp;"%"</f>
      </c>
    </row>
    <row x14ac:dyDescent="0.25" r="249" customHeight="1" ht="17.25">
      <c r="A249" s="20" t="s">
        <v>13233</v>
      </c>
      <c r="B249" s="20" t="s">
        <v>410</v>
      </c>
      <c r="C249" s="20" t="s">
        <v>152</v>
      </c>
      <c r="D249" s="20" t="s">
        <v>34</v>
      </c>
      <c r="E249" s="21">
        <f>ROUND(7178*1.05,2)</f>
      </c>
      <c r="F249" s="20" t="s">
        <v>35</v>
      </c>
      <c r="G249" s="20" t="s">
        <v>18</v>
      </c>
      <c r="H249" s="21">
        <f>ROUND(RAND()*4+6,1)</f>
      </c>
      <c r="I249" s="20" t="s">
        <v>36</v>
      </c>
      <c r="J249" s="23">
        <f>ROUND(98*1,0)&amp;"%"</f>
      </c>
    </row>
    <row x14ac:dyDescent="0.25" r="250" customHeight="1" ht="17.25">
      <c r="A250" s="17" t="s">
        <v>13234</v>
      </c>
      <c r="B250" s="17" t="s">
        <v>412</v>
      </c>
      <c r="C250" s="17" t="s">
        <v>152</v>
      </c>
      <c r="D250" s="17" t="s">
        <v>39</v>
      </c>
      <c r="E250" s="18">
        <f>ROUND(7496*1.05,2)</f>
      </c>
      <c r="F250" s="17" t="s">
        <v>40</v>
      </c>
      <c r="G250" s="17" t="s">
        <v>24</v>
      </c>
      <c r="H250" s="18">
        <f>ROUND(RAND()*4+6,1)</f>
      </c>
      <c r="I250" s="17" t="s">
        <v>41</v>
      </c>
      <c r="J250" s="19">
        <f>ROUND(84*1,0)&amp;"%"</f>
      </c>
    </row>
    <row x14ac:dyDescent="0.25" r="251" customHeight="1" ht="17.25">
      <c r="A251" s="20" t="s">
        <v>13235</v>
      </c>
      <c r="B251" s="20" t="s">
        <v>414</v>
      </c>
      <c r="C251" s="20" t="s">
        <v>152</v>
      </c>
      <c r="D251" s="20" t="s">
        <v>67</v>
      </c>
      <c r="E251" s="21">
        <f>ROUND(10559*1.05,2)</f>
      </c>
      <c r="F251" s="20" t="s">
        <v>44</v>
      </c>
      <c r="G251" s="20" t="s">
        <v>30</v>
      </c>
      <c r="H251" s="21">
        <f>ROUND(RAND()*4+6,1)</f>
      </c>
      <c r="I251" s="20" t="s">
        <v>45</v>
      </c>
      <c r="J251" s="23">
        <f>ROUND(76*1,0)&amp;"%"</f>
      </c>
    </row>
    <row x14ac:dyDescent="0.25" r="252" customHeight="1" ht="17.25">
      <c r="A252" s="17" t="s">
        <v>13236</v>
      </c>
      <c r="B252" s="17" t="s">
        <v>416</v>
      </c>
      <c r="C252" s="17" t="s">
        <v>152</v>
      </c>
      <c r="D252" s="17" t="s">
        <v>16</v>
      </c>
      <c r="E252" s="18">
        <f>ROUND(4702*1.05,2)</f>
      </c>
      <c r="F252" s="17" t="s">
        <v>48</v>
      </c>
      <c r="G252" s="17" t="s">
        <v>18</v>
      </c>
      <c r="H252" s="18">
        <f>ROUND(RAND()*4+6,1)</f>
      </c>
      <c r="I252" s="17" t="s">
        <v>19</v>
      </c>
      <c r="J252" s="19">
        <f>ROUND(81*1,0)&amp;"%"</f>
      </c>
    </row>
    <row x14ac:dyDescent="0.25" r="253" customHeight="1" ht="17.25">
      <c r="A253" s="20" t="s">
        <v>13237</v>
      </c>
      <c r="B253" s="20" t="s">
        <v>418</v>
      </c>
      <c r="C253" s="20" t="s">
        <v>152</v>
      </c>
      <c r="D253" s="20" t="s">
        <v>22</v>
      </c>
      <c r="E253" s="21">
        <f>ROUND(16679*1.05,2)</f>
      </c>
      <c r="F253" s="20" t="s">
        <v>51</v>
      </c>
      <c r="G253" s="20" t="s">
        <v>24</v>
      </c>
      <c r="H253" s="21">
        <f>ROUND(RAND()*4+6,1)</f>
      </c>
      <c r="I253" s="20" t="s">
        <v>25</v>
      </c>
      <c r="J253" s="23">
        <f>ROUND(77*1,0)&amp;"%"</f>
      </c>
    </row>
    <row x14ac:dyDescent="0.25" r="254" customHeight="1" ht="17.25">
      <c r="A254" s="24" t="s">
        <v>419</v>
      </c>
      <c r="B254" s="24"/>
      <c r="C254" s="24"/>
      <c r="D254" s="24"/>
      <c r="E254" s="25">
        <v>8</v>
      </c>
      <c r="F254" s="9"/>
      <c r="G254" s="9"/>
      <c r="H254" s="10"/>
      <c r="I254" s="9"/>
      <c r="J254" s="9"/>
    </row>
    <row x14ac:dyDescent="0.25" r="255" customHeight="1" ht="17.25">
      <c r="A255" s="7"/>
      <c r="B255" s="7"/>
      <c r="C255" s="7"/>
      <c r="D255" s="7"/>
      <c r="E255" s="8"/>
      <c r="F255" s="9"/>
      <c r="G255" s="9"/>
      <c r="H255" s="10"/>
      <c r="I255" s="9"/>
      <c r="J255" s="9"/>
    </row>
    <row x14ac:dyDescent="0.25" r="256" customHeight="1" ht="17.25">
      <c r="A256" s="11" t="s">
        <v>13238</v>
      </c>
      <c r="B256" s="11"/>
      <c r="C256" s="11"/>
      <c r="D256" s="11"/>
      <c r="E256" s="12"/>
      <c r="F256" s="11"/>
      <c r="G256" s="11"/>
      <c r="H256" s="13"/>
      <c r="I256" s="11"/>
      <c r="J256" s="11"/>
    </row>
    <row x14ac:dyDescent="0.25" r="257" customHeight="1" ht="17.25">
      <c r="A257" s="14" t="s">
        <v>3</v>
      </c>
      <c r="B257" s="14" t="s">
        <v>4</v>
      </c>
      <c r="C257" s="14" t="s">
        <v>5</v>
      </c>
      <c r="D257" s="14" t="s">
        <v>6</v>
      </c>
      <c r="E257" s="15" t="s">
        <v>7</v>
      </c>
      <c r="F257" s="14" t="s">
        <v>8</v>
      </c>
      <c r="G257" s="14" t="s">
        <v>9</v>
      </c>
      <c r="H257" s="16" t="s">
        <v>10</v>
      </c>
      <c r="I257" s="14" t="s">
        <v>11</v>
      </c>
      <c r="J257" s="14" t="s">
        <v>12</v>
      </c>
    </row>
    <row x14ac:dyDescent="0.25" r="258" customHeight="1" ht="17.25">
      <c r="A258" s="17" t="s">
        <v>13239</v>
      </c>
      <c r="B258" s="17" t="s">
        <v>422</v>
      </c>
      <c r="C258" s="17" t="s">
        <v>15</v>
      </c>
      <c r="D258" s="17" t="s">
        <v>16</v>
      </c>
      <c r="E258" s="18">
        <f>ROUND(13315*1.05,2)</f>
      </c>
      <c r="F258" s="17" t="s">
        <v>17</v>
      </c>
      <c r="G258" s="17" t="s">
        <v>18</v>
      </c>
      <c r="H258" s="18">
        <f>ROUND(RAND()*4+6,1)</f>
      </c>
      <c r="I258" s="17" t="s">
        <v>19</v>
      </c>
      <c r="J258" s="19">
        <f>ROUND(66*1,0)&amp;"%"</f>
      </c>
    </row>
    <row x14ac:dyDescent="0.25" r="259" customHeight="1" ht="17.25">
      <c r="A259" s="20" t="s">
        <v>13240</v>
      </c>
      <c r="B259" s="20" t="s">
        <v>424</v>
      </c>
      <c r="C259" s="20" t="s">
        <v>15</v>
      </c>
      <c r="D259" s="20" t="s">
        <v>22</v>
      </c>
      <c r="E259" s="21">
        <f>ROUND(17977*1.05,2)</f>
      </c>
      <c r="F259" s="20" t="s">
        <v>23</v>
      </c>
      <c r="G259" s="20" t="s">
        <v>24</v>
      </c>
      <c r="H259" s="21">
        <f>ROUND(RAND()*4+6,1)</f>
      </c>
      <c r="I259" s="20" t="s">
        <v>25</v>
      </c>
      <c r="J259" s="23">
        <f>ROUND(62*1,0)&amp;"%"</f>
      </c>
    </row>
    <row x14ac:dyDescent="0.25" r="260" customHeight="1" ht="17.25">
      <c r="A260" s="17" t="s">
        <v>13241</v>
      </c>
      <c r="B260" s="17" t="s">
        <v>426</v>
      </c>
      <c r="C260" s="17" t="s">
        <v>15</v>
      </c>
      <c r="D260" s="17" t="s">
        <v>28</v>
      </c>
      <c r="E260" s="18">
        <f>ROUND(14490*1.05,2)</f>
      </c>
      <c r="F260" s="17" t="s">
        <v>29</v>
      </c>
      <c r="G260" s="17" t="s">
        <v>30</v>
      </c>
      <c r="H260" s="26">
        <f>ROUND(RAND()*4+6,1)</f>
      </c>
      <c r="I260" s="17" t="s">
        <v>31</v>
      </c>
      <c r="J260" s="19">
        <f>ROUND(70*1,0)&amp;"%"</f>
      </c>
    </row>
    <row x14ac:dyDescent="0.25" r="261" customHeight="1" ht="17.25">
      <c r="A261" s="20" t="s">
        <v>13242</v>
      </c>
      <c r="B261" s="20" t="s">
        <v>428</v>
      </c>
      <c r="C261" s="20" t="s">
        <v>15</v>
      </c>
      <c r="D261" s="20" t="s">
        <v>34</v>
      </c>
      <c r="E261" s="21">
        <f>ROUND(5334*1.05,2)</f>
      </c>
      <c r="F261" s="20" t="s">
        <v>35</v>
      </c>
      <c r="G261" s="20" t="s">
        <v>18</v>
      </c>
      <c r="H261" s="21">
        <f>ROUND(RAND()*4+6,1)</f>
      </c>
      <c r="I261" s="20" t="s">
        <v>36</v>
      </c>
      <c r="J261" s="23">
        <f>ROUND(91*1,0)&amp;"%"</f>
      </c>
    </row>
    <row x14ac:dyDescent="0.25" r="262" customHeight="1" ht="17.25">
      <c r="A262" s="17" t="s">
        <v>13243</v>
      </c>
      <c r="B262" s="17" t="s">
        <v>430</v>
      </c>
      <c r="C262" s="17" t="s">
        <v>15</v>
      </c>
      <c r="D262" s="17" t="s">
        <v>39</v>
      </c>
      <c r="E262" s="26">
        <f>ROUND(6360*1.05,2)</f>
      </c>
      <c r="F262" s="17" t="s">
        <v>40</v>
      </c>
      <c r="G262" s="17" t="s">
        <v>24</v>
      </c>
      <c r="H262" s="18">
        <f>ROUND(RAND()*4+6,1)</f>
      </c>
      <c r="I262" s="17" t="s">
        <v>41</v>
      </c>
      <c r="J262" s="19">
        <f>ROUND(83*1,0)&amp;"%"</f>
      </c>
    </row>
    <row x14ac:dyDescent="0.25" r="263" customHeight="1" ht="17.25">
      <c r="A263" s="20" t="s">
        <v>13244</v>
      </c>
      <c r="B263" s="20" t="s">
        <v>432</v>
      </c>
      <c r="C263" s="20" t="s">
        <v>15</v>
      </c>
      <c r="D263" s="20" t="s">
        <v>67</v>
      </c>
      <c r="E263" s="21">
        <f>ROUND(4597*1.05,2)</f>
      </c>
      <c r="F263" s="20" t="s">
        <v>44</v>
      </c>
      <c r="G263" s="20" t="s">
        <v>30</v>
      </c>
      <c r="H263" s="21">
        <f>ROUND(RAND()*4+6,1)</f>
      </c>
      <c r="I263" s="20" t="s">
        <v>45</v>
      </c>
      <c r="J263" s="23">
        <f>ROUND(93*1,0)&amp;"%"</f>
      </c>
    </row>
    <row x14ac:dyDescent="0.25" r="264" customHeight="1" ht="17.25">
      <c r="A264" s="17" t="s">
        <v>13245</v>
      </c>
      <c r="B264" s="17" t="s">
        <v>434</v>
      </c>
      <c r="C264" s="17" t="s">
        <v>15</v>
      </c>
      <c r="D264" s="17" t="s">
        <v>16</v>
      </c>
      <c r="E264" s="18">
        <f>ROUND(6955*1.05,2)</f>
      </c>
      <c r="F264" s="17" t="s">
        <v>48</v>
      </c>
      <c r="G264" s="17" t="s">
        <v>18</v>
      </c>
      <c r="H264" s="18">
        <f>ROUND(RAND()*4+6,1)</f>
      </c>
      <c r="I264" s="17" t="s">
        <v>19</v>
      </c>
      <c r="J264" s="19">
        <f>ROUND(92*1,0)&amp;"%"</f>
      </c>
    </row>
    <row x14ac:dyDescent="0.25" r="265" customHeight="1" ht="17.25">
      <c r="A265" s="20" t="s">
        <v>13246</v>
      </c>
      <c r="B265" s="20" t="s">
        <v>436</v>
      </c>
      <c r="C265" s="20" t="s">
        <v>15</v>
      </c>
      <c r="D265" s="20" t="s">
        <v>22</v>
      </c>
      <c r="E265" s="21">
        <f>ROUND(12064*1.05,2)</f>
      </c>
      <c r="F265" s="20" t="s">
        <v>51</v>
      </c>
      <c r="G265" s="20" t="s">
        <v>24</v>
      </c>
      <c r="H265" s="21">
        <f>ROUND(RAND()*4+6,1)</f>
      </c>
      <c r="I265" s="20" t="s">
        <v>25</v>
      </c>
      <c r="J265" s="23">
        <f>ROUND(91*1,0)&amp;"%"</f>
      </c>
    </row>
    <row x14ac:dyDescent="0.25" r="266" customHeight="1" ht="17.25">
      <c r="A266" s="24" t="s">
        <v>437</v>
      </c>
      <c r="B266" s="24"/>
      <c r="C266" s="24"/>
      <c r="D266" s="24"/>
      <c r="E266" s="25">
        <v>8</v>
      </c>
      <c r="F266" s="9"/>
      <c r="G266" s="9"/>
      <c r="H266" s="10"/>
      <c r="I266" s="9"/>
      <c r="J266" s="9"/>
    </row>
    <row x14ac:dyDescent="0.25" r="267" customHeight="1" ht="17.25">
      <c r="A267" s="7"/>
      <c r="B267" s="7"/>
      <c r="C267" s="7"/>
      <c r="D267" s="7"/>
      <c r="E267" s="8"/>
      <c r="F267" s="9"/>
      <c r="G267" s="9"/>
      <c r="H267" s="10"/>
      <c r="I267" s="9"/>
      <c r="J267" s="9"/>
    </row>
    <row x14ac:dyDescent="0.25" r="268" customHeight="1" ht="17.25">
      <c r="A268" s="11" t="s">
        <v>13247</v>
      </c>
      <c r="B268" s="11"/>
      <c r="C268" s="11"/>
      <c r="D268" s="11"/>
      <c r="E268" s="12"/>
      <c r="F268" s="11"/>
      <c r="G268" s="11"/>
      <c r="H268" s="13"/>
      <c r="I268" s="11"/>
      <c r="J268" s="11"/>
    </row>
    <row x14ac:dyDescent="0.25" r="269" customHeight="1" ht="17.25">
      <c r="A269" s="14" t="s">
        <v>3</v>
      </c>
      <c r="B269" s="14" t="s">
        <v>4</v>
      </c>
      <c r="C269" s="14" t="s">
        <v>5</v>
      </c>
      <c r="D269" s="14" t="s">
        <v>6</v>
      </c>
      <c r="E269" s="15" t="s">
        <v>7</v>
      </c>
      <c r="F269" s="14" t="s">
        <v>8</v>
      </c>
      <c r="G269" s="14" t="s">
        <v>9</v>
      </c>
      <c r="H269" s="16" t="s">
        <v>10</v>
      </c>
      <c r="I269" s="14" t="s">
        <v>11</v>
      </c>
      <c r="J269" s="14" t="s">
        <v>12</v>
      </c>
    </row>
    <row x14ac:dyDescent="0.25" r="270" customHeight="1" ht="17.25">
      <c r="A270" s="17" t="s">
        <v>13248</v>
      </c>
      <c r="B270" s="17" t="s">
        <v>440</v>
      </c>
      <c r="C270" s="17" t="s">
        <v>56</v>
      </c>
      <c r="D270" s="17" t="s">
        <v>16</v>
      </c>
      <c r="E270" s="18">
        <f>ROUND(16756*1.05,2)</f>
      </c>
      <c r="F270" s="17" t="s">
        <v>17</v>
      </c>
      <c r="G270" s="17" t="s">
        <v>18</v>
      </c>
      <c r="H270" s="18">
        <f>ROUND(RAND()*4+6,1)</f>
      </c>
      <c r="I270" s="17" t="s">
        <v>19</v>
      </c>
      <c r="J270" s="19">
        <f>ROUND(92*1,0)&amp;"%"</f>
      </c>
    </row>
    <row x14ac:dyDescent="0.25" r="271" customHeight="1" ht="17.25">
      <c r="A271" s="20" t="s">
        <v>13249</v>
      </c>
      <c r="B271" s="20" t="s">
        <v>442</v>
      </c>
      <c r="C271" s="20" t="s">
        <v>56</v>
      </c>
      <c r="D271" s="20" t="s">
        <v>22</v>
      </c>
      <c r="E271" s="21">
        <f>ROUND(16584*1.05,2)</f>
      </c>
      <c r="F271" s="20" t="s">
        <v>23</v>
      </c>
      <c r="G271" s="20" t="s">
        <v>24</v>
      </c>
      <c r="H271" s="21">
        <f>ROUND(RAND()*4+6,1)</f>
      </c>
      <c r="I271" s="20" t="s">
        <v>25</v>
      </c>
      <c r="J271" s="23">
        <f>ROUND(79*1,0)&amp;"%"</f>
      </c>
    </row>
    <row x14ac:dyDescent="0.25" r="272" customHeight="1" ht="17.25">
      <c r="A272" s="17" t="s">
        <v>13250</v>
      </c>
      <c r="B272" s="17" t="s">
        <v>444</v>
      </c>
      <c r="C272" s="17" t="s">
        <v>56</v>
      </c>
      <c r="D272" s="17" t="s">
        <v>28</v>
      </c>
      <c r="E272" s="18">
        <f>ROUND(12422*1.05,2)</f>
      </c>
      <c r="F272" s="17" t="s">
        <v>29</v>
      </c>
      <c r="G272" s="17" t="s">
        <v>30</v>
      </c>
      <c r="H272" s="18">
        <f>ROUND(RAND()*4+6,1)</f>
      </c>
      <c r="I272" s="17" t="s">
        <v>31</v>
      </c>
      <c r="J272" s="19">
        <f>ROUND(95*1,0)&amp;"%"</f>
      </c>
    </row>
    <row x14ac:dyDescent="0.25" r="273" customHeight="1" ht="17.25">
      <c r="A273" s="20" t="s">
        <v>13251</v>
      </c>
      <c r="B273" s="20" t="s">
        <v>446</v>
      </c>
      <c r="C273" s="20" t="s">
        <v>56</v>
      </c>
      <c r="D273" s="20" t="s">
        <v>34</v>
      </c>
      <c r="E273" s="21">
        <f>ROUND(16254*1.05,2)</f>
      </c>
      <c r="F273" s="20" t="s">
        <v>35</v>
      </c>
      <c r="G273" s="20" t="s">
        <v>18</v>
      </c>
      <c r="H273" s="22">
        <f>ROUND(RAND()*4+6,1)</f>
      </c>
      <c r="I273" s="20" t="s">
        <v>36</v>
      </c>
      <c r="J273" s="23">
        <f>ROUND(92*1,0)&amp;"%"</f>
      </c>
    </row>
    <row x14ac:dyDescent="0.25" r="274" customHeight="1" ht="17.25">
      <c r="A274" s="17" t="s">
        <v>13252</v>
      </c>
      <c r="B274" s="17" t="s">
        <v>448</v>
      </c>
      <c r="C274" s="17" t="s">
        <v>56</v>
      </c>
      <c r="D274" s="17" t="s">
        <v>39</v>
      </c>
      <c r="E274" s="18">
        <f>ROUND(11962*1.05,2)</f>
      </c>
      <c r="F274" s="17" t="s">
        <v>40</v>
      </c>
      <c r="G274" s="17" t="s">
        <v>24</v>
      </c>
      <c r="H274" s="18">
        <f>ROUND(RAND()*4+6,1)</f>
      </c>
      <c r="I274" s="17" t="s">
        <v>41</v>
      </c>
      <c r="J274" s="19">
        <f>ROUND(94*1,0)&amp;"%"</f>
      </c>
    </row>
    <row x14ac:dyDescent="0.25" r="275" customHeight="1" ht="17.25">
      <c r="A275" s="20" t="s">
        <v>13253</v>
      </c>
      <c r="B275" s="20" t="s">
        <v>450</v>
      </c>
      <c r="C275" s="20" t="s">
        <v>56</v>
      </c>
      <c r="D275" s="20" t="s">
        <v>67</v>
      </c>
      <c r="E275" s="21">
        <f>ROUND(5983*1.05,2)</f>
      </c>
      <c r="F275" s="20" t="s">
        <v>44</v>
      </c>
      <c r="G275" s="20" t="s">
        <v>30</v>
      </c>
      <c r="H275" s="21">
        <f>ROUND(RAND()*4+6,1)</f>
      </c>
      <c r="I275" s="20" t="s">
        <v>45</v>
      </c>
      <c r="J275" s="23">
        <f>ROUND(70*1,0)&amp;"%"</f>
      </c>
    </row>
    <row x14ac:dyDescent="0.25" r="276" customHeight="1" ht="17.25">
      <c r="A276" s="17" t="s">
        <v>13254</v>
      </c>
      <c r="B276" s="17" t="s">
        <v>452</v>
      </c>
      <c r="C276" s="17" t="s">
        <v>56</v>
      </c>
      <c r="D276" s="17" t="s">
        <v>16</v>
      </c>
      <c r="E276" s="18">
        <f>ROUND(13341*1.05,2)</f>
      </c>
      <c r="F276" s="17" t="s">
        <v>48</v>
      </c>
      <c r="G276" s="17" t="s">
        <v>18</v>
      </c>
      <c r="H276" s="18">
        <f>ROUND(RAND()*4+6,1)</f>
      </c>
      <c r="I276" s="17" t="s">
        <v>19</v>
      </c>
      <c r="J276" s="19">
        <f>ROUND(67*1,0)&amp;"%"</f>
      </c>
    </row>
    <row x14ac:dyDescent="0.25" r="277" customHeight="1" ht="17.25">
      <c r="A277" s="20" t="s">
        <v>13255</v>
      </c>
      <c r="B277" s="20" t="s">
        <v>454</v>
      </c>
      <c r="C277" s="20" t="s">
        <v>56</v>
      </c>
      <c r="D277" s="20" t="s">
        <v>22</v>
      </c>
      <c r="E277" s="21">
        <f>ROUND(12304*1.05,2)</f>
      </c>
      <c r="F277" s="20" t="s">
        <v>51</v>
      </c>
      <c r="G277" s="20" t="s">
        <v>24</v>
      </c>
      <c r="H277" s="21">
        <f>ROUND(RAND()*4+6,1)</f>
      </c>
      <c r="I277" s="20" t="s">
        <v>25</v>
      </c>
      <c r="J277" s="23">
        <f>ROUND(77*1,0)&amp;"%"</f>
      </c>
    </row>
    <row x14ac:dyDescent="0.25" r="278" customHeight="1" ht="17.25">
      <c r="A278" s="24" t="s">
        <v>455</v>
      </c>
      <c r="B278" s="24"/>
      <c r="C278" s="24"/>
      <c r="D278" s="24"/>
      <c r="E278" s="25">
        <v>8</v>
      </c>
      <c r="F278" s="9"/>
      <c r="G278" s="9"/>
      <c r="H278" s="10"/>
      <c r="I278" s="9"/>
      <c r="J278" s="9"/>
    </row>
    <row x14ac:dyDescent="0.25" r="279" customHeight="1" ht="17.25">
      <c r="A279" s="7"/>
      <c r="B279" s="7"/>
      <c r="C279" s="7"/>
      <c r="D279" s="7"/>
      <c r="E279" s="8"/>
      <c r="F279" s="9"/>
      <c r="G279" s="9"/>
      <c r="H279" s="10"/>
      <c r="I279" s="9"/>
      <c r="J279" s="9"/>
    </row>
    <row x14ac:dyDescent="0.25" r="280" customHeight="1" ht="17.25">
      <c r="A280" s="11" t="s">
        <v>13256</v>
      </c>
      <c r="B280" s="11"/>
      <c r="C280" s="11"/>
      <c r="D280" s="11"/>
      <c r="E280" s="12"/>
      <c r="F280" s="11"/>
      <c r="G280" s="11"/>
      <c r="H280" s="13"/>
      <c r="I280" s="11"/>
      <c r="J280" s="11"/>
    </row>
    <row x14ac:dyDescent="0.25" r="281" customHeight="1" ht="17.25">
      <c r="A281" s="14" t="s">
        <v>3</v>
      </c>
      <c r="B281" s="14" t="s">
        <v>4</v>
      </c>
      <c r="C281" s="14" t="s">
        <v>5</v>
      </c>
      <c r="D281" s="14" t="s">
        <v>6</v>
      </c>
      <c r="E281" s="15" t="s">
        <v>7</v>
      </c>
      <c r="F281" s="14" t="s">
        <v>8</v>
      </c>
      <c r="G281" s="14" t="s">
        <v>9</v>
      </c>
      <c r="H281" s="16" t="s">
        <v>10</v>
      </c>
      <c r="I281" s="14" t="s">
        <v>11</v>
      </c>
      <c r="J281" s="14" t="s">
        <v>12</v>
      </c>
    </row>
    <row x14ac:dyDescent="0.25" r="282" customHeight="1" ht="17.25">
      <c r="A282" s="17" t="s">
        <v>13257</v>
      </c>
      <c r="B282" s="17" t="s">
        <v>458</v>
      </c>
      <c r="C282" s="17" t="s">
        <v>76</v>
      </c>
      <c r="D282" s="17" t="s">
        <v>16</v>
      </c>
      <c r="E282" s="18">
        <f>ROUND(4896*1.05,2)</f>
      </c>
      <c r="F282" s="17" t="s">
        <v>17</v>
      </c>
      <c r="G282" s="17" t="s">
        <v>18</v>
      </c>
      <c r="H282" s="18">
        <f>ROUND(RAND()*4+6,1)</f>
      </c>
      <c r="I282" s="17" t="s">
        <v>19</v>
      </c>
      <c r="J282" s="19">
        <f>ROUND(71*1,0)&amp;"%"</f>
      </c>
    </row>
    <row x14ac:dyDescent="0.25" r="283" customHeight="1" ht="17.25">
      <c r="A283" s="20" t="s">
        <v>13258</v>
      </c>
      <c r="B283" s="20" t="s">
        <v>460</v>
      </c>
      <c r="C283" s="20" t="s">
        <v>76</v>
      </c>
      <c r="D283" s="20" t="s">
        <v>22</v>
      </c>
      <c r="E283" s="21">
        <f>ROUND(7626*1.05,2)</f>
      </c>
      <c r="F283" s="20" t="s">
        <v>23</v>
      </c>
      <c r="G283" s="20" t="s">
        <v>24</v>
      </c>
      <c r="H283" s="21">
        <f>ROUND(RAND()*4+6,1)</f>
      </c>
      <c r="I283" s="20" t="s">
        <v>25</v>
      </c>
      <c r="J283" s="23">
        <f>ROUND(68*1,0)&amp;"%"</f>
      </c>
    </row>
    <row x14ac:dyDescent="0.25" r="284" customHeight="1" ht="17.25">
      <c r="A284" s="17" t="s">
        <v>13259</v>
      </c>
      <c r="B284" s="17" t="s">
        <v>462</v>
      </c>
      <c r="C284" s="17" t="s">
        <v>76</v>
      </c>
      <c r="D284" s="17" t="s">
        <v>28</v>
      </c>
      <c r="E284" s="18">
        <f>ROUND(8686*1.05,2)</f>
      </c>
      <c r="F284" s="17" t="s">
        <v>29</v>
      </c>
      <c r="G284" s="17" t="s">
        <v>30</v>
      </c>
      <c r="H284" s="26">
        <f>ROUND(RAND()*4+6,1)</f>
      </c>
      <c r="I284" s="17" t="s">
        <v>31</v>
      </c>
      <c r="J284" s="19">
        <f>ROUND(65*1,0)&amp;"%"</f>
      </c>
    </row>
    <row x14ac:dyDescent="0.25" r="285" customHeight="1" ht="17.25">
      <c r="A285" s="20" t="s">
        <v>13260</v>
      </c>
      <c r="B285" s="20" t="s">
        <v>464</v>
      </c>
      <c r="C285" s="20" t="s">
        <v>76</v>
      </c>
      <c r="D285" s="20" t="s">
        <v>34</v>
      </c>
      <c r="E285" s="21">
        <f>ROUND(15077*1.05,2)</f>
      </c>
      <c r="F285" s="20" t="s">
        <v>35</v>
      </c>
      <c r="G285" s="20" t="s">
        <v>18</v>
      </c>
      <c r="H285" s="21">
        <f>ROUND(RAND()*4+6,1)</f>
      </c>
      <c r="I285" s="20" t="s">
        <v>36</v>
      </c>
      <c r="J285" s="23">
        <f>ROUND(100*1,0)&amp;"%"</f>
      </c>
    </row>
    <row x14ac:dyDescent="0.25" r="286" customHeight="1" ht="17.25">
      <c r="A286" s="17" t="s">
        <v>13261</v>
      </c>
      <c r="B286" s="17" t="s">
        <v>466</v>
      </c>
      <c r="C286" s="17" t="s">
        <v>76</v>
      </c>
      <c r="D286" s="17" t="s">
        <v>39</v>
      </c>
      <c r="E286" s="18">
        <f>ROUND(6953*1.05,2)</f>
      </c>
      <c r="F286" s="17" t="s">
        <v>40</v>
      </c>
      <c r="G286" s="17" t="s">
        <v>24</v>
      </c>
      <c r="H286" s="18">
        <f>ROUND(RAND()*4+6,1)</f>
      </c>
      <c r="I286" s="17" t="s">
        <v>41</v>
      </c>
      <c r="J286" s="19">
        <f>ROUND(64*1,0)&amp;"%"</f>
      </c>
    </row>
    <row x14ac:dyDescent="0.25" r="287" customHeight="1" ht="17.25">
      <c r="A287" s="20" t="s">
        <v>13262</v>
      </c>
      <c r="B287" s="20" t="s">
        <v>468</v>
      </c>
      <c r="C287" s="20" t="s">
        <v>76</v>
      </c>
      <c r="D287" s="20" t="s">
        <v>67</v>
      </c>
      <c r="E287" s="21">
        <f>ROUND(13613*1.05,2)</f>
      </c>
      <c r="F287" s="20" t="s">
        <v>44</v>
      </c>
      <c r="G287" s="20" t="s">
        <v>30</v>
      </c>
      <c r="H287" s="22">
        <f>ROUND(RAND()*4+6,1)</f>
      </c>
      <c r="I287" s="20" t="s">
        <v>45</v>
      </c>
      <c r="J287" s="23">
        <f>ROUND(99*1,0)&amp;"%"</f>
      </c>
    </row>
    <row x14ac:dyDescent="0.25" r="288" customHeight="1" ht="17.25">
      <c r="A288" s="17" t="s">
        <v>13263</v>
      </c>
      <c r="B288" s="17" t="s">
        <v>470</v>
      </c>
      <c r="C288" s="17" t="s">
        <v>76</v>
      </c>
      <c r="D288" s="17" t="s">
        <v>16</v>
      </c>
      <c r="E288" s="18">
        <f>ROUND(12387*1.05,2)</f>
      </c>
      <c r="F288" s="17" t="s">
        <v>48</v>
      </c>
      <c r="G288" s="17" t="s">
        <v>18</v>
      </c>
      <c r="H288" s="18">
        <f>ROUND(RAND()*4+6,1)</f>
      </c>
      <c r="I288" s="17" t="s">
        <v>19</v>
      </c>
      <c r="J288" s="19">
        <f>ROUND(65*1,0)&amp;"%"</f>
      </c>
    </row>
    <row x14ac:dyDescent="0.25" r="289" customHeight="1" ht="17.25">
      <c r="A289" s="20" t="s">
        <v>13264</v>
      </c>
      <c r="B289" s="20" t="s">
        <v>472</v>
      </c>
      <c r="C289" s="20" t="s">
        <v>76</v>
      </c>
      <c r="D289" s="20" t="s">
        <v>22</v>
      </c>
      <c r="E289" s="21">
        <f>ROUND(6405*1.05,2)</f>
      </c>
      <c r="F289" s="20" t="s">
        <v>51</v>
      </c>
      <c r="G289" s="20" t="s">
        <v>24</v>
      </c>
      <c r="H289" s="21">
        <f>ROUND(RAND()*4+6,1)</f>
      </c>
      <c r="I289" s="20" t="s">
        <v>25</v>
      </c>
      <c r="J289" s="23">
        <f>ROUND(69*1,0)&amp;"%"</f>
      </c>
    </row>
    <row x14ac:dyDescent="0.25" r="290" customHeight="1" ht="17.25">
      <c r="A290" s="24" t="s">
        <v>473</v>
      </c>
      <c r="B290" s="24"/>
      <c r="C290" s="24"/>
      <c r="D290" s="24"/>
      <c r="E290" s="25">
        <v>8</v>
      </c>
      <c r="F290" s="9"/>
      <c r="G290" s="9"/>
      <c r="H290" s="10"/>
      <c r="I290" s="9"/>
      <c r="J290" s="9"/>
    </row>
    <row x14ac:dyDescent="0.25" r="291" customHeight="1" ht="17.25">
      <c r="A291" s="7"/>
      <c r="B291" s="7"/>
      <c r="C291" s="7"/>
      <c r="D291" s="7"/>
      <c r="E291" s="8"/>
      <c r="F291" s="9"/>
      <c r="G291" s="9"/>
      <c r="H291" s="10"/>
      <c r="I291" s="9"/>
      <c r="J291" s="9"/>
    </row>
    <row x14ac:dyDescent="0.25" r="292" customHeight="1" ht="17.25">
      <c r="A292" s="11" t="s">
        <v>13265</v>
      </c>
      <c r="B292" s="11"/>
      <c r="C292" s="11"/>
      <c r="D292" s="11"/>
      <c r="E292" s="12"/>
      <c r="F292" s="11"/>
      <c r="G292" s="11"/>
      <c r="H292" s="13"/>
      <c r="I292" s="11"/>
      <c r="J292" s="11"/>
    </row>
    <row x14ac:dyDescent="0.25" r="293" customHeight="1" ht="17.25">
      <c r="A293" s="14" t="s">
        <v>3</v>
      </c>
      <c r="B293" s="14" t="s">
        <v>4</v>
      </c>
      <c r="C293" s="14" t="s">
        <v>5</v>
      </c>
      <c r="D293" s="14" t="s">
        <v>6</v>
      </c>
      <c r="E293" s="15" t="s">
        <v>7</v>
      </c>
      <c r="F293" s="14" t="s">
        <v>8</v>
      </c>
      <c r="G293" s="14" t="s">
        <v>9</v>
      </c>
      <c r="H293" s="16" t="s">
        <v>10</v>
      </c>
      <c r="I293" s="14" t="s">
        <v>11</v>
      </c>
      <c r="J293" s="14" t="s">
        <v>12</v>
      </c>
    </row>
    <row x14ac:dyDescent="0.25" r="294" customHeight="1" ht="17.25">
      <c r="A294" s="17" t="s">
        <v>13266</v>
      </c>
      <c r="B294" s="17" t="s">
        <v>476</v>
      </c>
      <c r="C294" s="17" t="s">
        <v>95</v>
      </c>
      <c r="D294" s="17" t="s">
        <v>16</v>
      </c>
      <c r="E294" s="18">
        <f>ROUND(9256*1.05,2)</f>
      </c>
      <c r="F294" s="17" t="s">
        <v>17</v>
      </c>
      <c r="G294" s="17" t="s">
        <v>18</v>
      </c>
      <c r="H294" s="18">
        <f>ROUND(RAND()*4+6,1)</f>
      </c>
      <c r="I294" s="17" t="s">
        <v>19</v>
      </c>
      <c r="J294" s="19">
        <f>ROUND(65*1,0)&amp;"%"</f>
      </c>
    </row>
    <row x14ac:dyDescent="0.25" r="295" customHeight="1" ht="17.25">
      <c r="A295" s="20" t="s">
        <v>13267</v>
      </c>
      <c r="B295" s="20" t="s">
        <v>478</v>
      </c>
      <c r="C295" s="20" t="s">
        <v>95</v>
      </c>
      <c r="D295" s="20" t="s">
        <v>22</v>
      </c>
      <c r="E295" s="21">
        <f>ROUND(17025*1.05,2)</f>
      </c>
      <c r="F295" s="20" t="s">
        <v>23</v>
      </c>
      <c r="G295" s="20" t="s">
        <v>24</v>
      </c>
      <c r="H295" s="21">
        <f>ROUND(RAND()*4+6,1)</f>
      </c>
      <c r="I295" s="20" t="s">
        <v>25</v>
      </c>
      <c r="J295" s="23">
        <f>ROUND(66*1,0)&amp;"%"</f>
      </c>
    </row>
    <row x14ac:dyDescent="0.25" r="296" customHeight="1" ht="17.25">
      <c r="A296" s="17" t="s">
        <v>13268</v>
      </c>
      <c r="B296" s="17" t="s">
        <v>480</v>
      </c>
      <c r="C296" s="17" t="s">
        <v>95</v>
      </c>
      <c r="D296" s="17" t="s">
        <v>28</v>
      </c>
      <c r="E296" s="18">
        <f>ROUND(13295*1.05,2)</f>
      </c>
      <c r="F296" s="17" t="s">
        <v>29</v>
      </c>
      <c r="G296" s="17" t="s">
        <v>30</v>
      </c>
      <c r="H296" s="18">
        <f>ROUND(RAND()*4+6,1)</f>
      </c>
      <c r="I296" s="17" t="s">
        <v>31</v>
      </c>
      <c r="J296" s="19">
        <f>ROUND(67*1,0)&amp;"%"</f>
      </c>
    </row>
    <row x14ac:dyDescent="0.25" r="297" customHeight="1" ht="17.25">
      <c r="A297" s="20" t="s">
        <v>13269</v>
      </c>
      <c r="B297" s="20" t="s">
        <v>482</v>
      </c>
      <c r="C297" s="20" t="s">
        <v>95</v>
      </c>
      <c r="D297" s="20" t="s">
        <v>34</v>
      </c>
      <c r="E297" s="21">
        <f>ROUND(12585*1.05,2)</f>
      </c>
      <c r="F297" s="20" t="s">
        <v>35</v>
      </c>
      <c r="G297" s="20" t="s">
        <v>18</v>
      </c>
      <c r="H297" s="21">
        <f>ROUND(RAND()*4+6,1)</f>
      </c>
      <c r="I297" s="20" t="s">
        <v>36</v>
      </c>
      <c r="J297" s="23">
        <f>ROUND(99*1,0)&amp;"%"</f>
      </c>
    </row>
    <row x14ac:dyDescent="0.25" r="298" customHeight="1" ht="17.25">
      <c r="A298" s="17" t="s">
        <v>13270</v>
      </c>
      <c r="B298" s="17" t="s">
        <v>484</v>
      </c>
      <c r="C298" s="17" t="s">
        <v>95</v>
      </c>
      <c r="D298" s="17" t="s">
        <v>39</v>
      </c>
      <c r="E298" s="18">
        <f>ROUND(15813*1.05,2)</f>
      </c>
      <c r="F298" s="17" t="s">
        <v>40</v>
      </c>
      <c r="G298" s="17" t="s">
        <v>24</v>
      </c>
      <c r="H298" s="26">
        <f>ROUND(RAND()*4+6,1)</f>
      </c>
      <c r="I298" s="17" t="s">
        <v>41</v>
      </c>
      <c r="J298" s="19">
        <f>ROUND(100*1,0)&amp;"%"</f>
      </c>
    </row>
    <row x14ac:dyDescent="0.25" r="299" customHeight="1" ht="17.25">
      <c r="A299" s="20" t="s">
        <v>13271</v>
      </c>
      <c r="B299" s="20" t="s">
        <v>486</v>
      </c>
      <c r="C299" s="20" t="s">
        <v>95</v>
      </c>
      <c r="D299" s="20" t="s">
        <v>67</v>
      </c>
      <c r="E299" s="21">
        <f>ROUND(9595*1.05,2)</f>
      </c>
      <c r="F299" s="20" t="s">
        <v>44</v>
      </c>
      <c r="G299" s="20" t="s">
        <v>30</v>
      </c>
      <c r="H299" s="21">
        <f>ROUND(RAND()*4+6,1)</f>
      </c>
      <c r="I299" s="20" t="s">
        <v>45</v>
      </c>
      <c r="J299" s="23">
        <f>ROUND(86*1,0)&amp;"%"</f>
      </c>
    </row>
    <row x14ac:dyDescent="0.25" r="300" customHeight="1" ht="17.25">
      <c r="A300" s="17" t="s">
        <v>13272</v>
      </c>
      <c r="B300" s="17" t="s">
        <v>488</v>
      </c>
      <c r="C300" s="17" t="s">
        <v>95</v>
      </c>
      <c r="D300" s="17" t="s">
        <v>16</v>
      </c>
      <c r="E300" s="18">
        <f>ROUND(13908*1.05,2)</f>
      </c>
      <c r="F300" s="17" t="s">
        <v>48</v>
      </c>
      <c r="G300" s="17" t="s">
        <v>18</v>
      </c>
      <c r="H300" s="18">
        <f>ROUND(RAND()*4+6,1)</f>
      </c>
      <c r="I300" s="17" t="s">
        <v>19</v>
      </c>
      <c r="J300" s="19">
        <f>ROUND(65*1,0)&amp;"%"</f>
      </c>
    </row>
    <row x14ac:dyDescent="0.25" r="301" customHeight="1" ht="17.25">
      <c r="A301" s="20" t="s">
        <v>13273</v>
      </c>
      <c r="B301" s="20" t="s">
        <v>490</v>
      </c>
      <c r="C301" s="20" t="s">
        <v>95</v>
      </c>
      <c r="D301" s="20" t="s">
        <v>22</v>
      </c>
      <c r="E301" s="21">
        <f>ROUND(9134*1.05,2)</f>
      </c>
      <c r="F301" s="20" t="s">
        <v>51</v>
      </c>
      <c r="G301" s="20" t="s">
        <v>24</v>
      </c>
      <c r="H301" s="21">
        <f>ROUND(RAND()*4+6,1)</f>
      </c>
      <c r="I301" s="20" t="s">
        <v>25</v>
      </c>
      <c r="J301" s="23">
        <f>ROUND(67*1,0)&amp;"%"</f>
      </c>
    </row>
    <row x14ac:dyDescent="0.25" r="302" customHeight="1" ht="17.25">
      <c r="A302" s="24" t="s">
        <v>491</v>
      </c>
      <c r="B302" s="24"/>
      <c r="C302" s="24"/>
      <c r="D302" s="24"/>
      <c r="E302" s="25">
        <v>8</v>
      </c>
      <c r="F302" s="9"/>
      <c r="G302" s="9"/>
      <c r="H302" s="10"/>
      <c r="I302" s="9"/>
      <c r="J302" s="9"/>
    </row>
    <row x14ac:dyDescent="0.25" r="303" customHeight="1" ht="17.25">
      <c r="A303" s="7"/>
      <c r="B303" s="7"/>
      <c r="C303" s="7"/>
      <c r="D303" s="7"/>
      <c r="E303" s="8"/>
      <c r="F303" s="9"/>
      <c r="G303" s="9"/>
      <c r="H303" s="10"/>
      <c r="I303" s="9"/>
      <c r="J303" s="9"/>
    </row>
    <row x14ac:dyDescent="0.25" r="304" customHeight="1" ht="17.25">
      <c r="A304" s="11" t="s">
        <v>13274</v>
      </c>
      <c r="B304" s="11"/>
      <c r="C304" s="11"/>
      <c r="D304" s="11"/>
      <c r="E304" s="12"/>
      <c r="F304" s="11"/>
      <c r="G304" s="11"/>
      <c r="H304" s="13"/>
      <c r="I304" s="11"/>
      <c r="J304" s="11"/>
    </row>
    <row x14ac:dyDescent="0.25" r="305" customHeight="1" ht="17.25">
      <c r="A305" s="14" t="s">
        <v>3</v>
      </c>
      <c r="B305" s="14" t="s">
        <v>4</v>
      </c>
      <c r="C305" s="14" t="s">
        <v>5</v>
      </c>
      <c r="D305" s="14" t="s">
        <v>6</v>
      </c>
      <c r="E305" s="15" t="s">
        <v>7</v>
      </c>
      <c r="F305" s="14" t="s">
        <v>8</v>
      </c>
      <c r="G305" s="14" t="s">
        <v>9</v>
      </c>
      <c r="H305" s="16" t="s">
        <v>10</v>
      </c>
      <c r="I305" s="14" t="s">
        <v>11</v>
      </c>
      <c r="J305" s="14" t="s">
        <v>12</v>
      </c>
    </row>
    <row x14ac:dyDescent="0.25" r="306" customHeight="1" ht="17.25">
      <c r="A306" s="17" t="s">
        <v>13275</v>
      </c>
      <c r="B306" s="17" t="s">
        <v>494</v>
      </c>
      <c r="C306" s="17" t="s">
        <v>114</v>
      </c>
      <c r="D306" s="17" t="s">
        <v>16</v>
      </c>
      <c r="E306" s="18">
        <f>ROUND(16208*1.05,2)</f>
      </c>
      <c r="F306" s="17" t="s">
        <v>17</v>
      </c>
      <c r="G306" s="17" t="s">
        <v>18</v>
      </c>
      <c r="H306" s="18">
        <f>ROUND(RAND()*4+6,1)</f>
      </c>
      <c r="I306" s="17" t="s">
        <v>19</v>
      </c>
      <c r="J306" s="19">
        <f>ROUND(81*1,0)&amp;"%"</f>
      </c>
    </row>
    <row x14ac:dyDescent="0.25" r="307" customHeight="1" ht="17.25">
      <c r="A307" s="20" t="s">
        <v>13276</v>
      </c>
      <c r="B307" s="20" t="s">
        <v>496</v>
      </c>
      <c r="C307" s="20" t="s">
        <v>114</v>
      </c>
      <c r="D307" s="20" t="s">
        <v>22</v>
      </c>
      <c r="E307" s="21">
        <f>ROUND(7162*1.05,2)</f>
      </c>
      <c r="F307" s="20" t="s">
        <v>23</v>
      </c>
      <c r="G307" s="20" t="s">
        <v>24</v>
      </c>
      <c r="H307" s="21">
        <f>ROUND(RAND()*4+6,1)</f>
      </c>
      <c r="I307" s="20" t="s">
        <v>25</v>
      </c>
      <c r="J307" s="23">
        <f>ROUND(71*1,0)&amp;"%"</f>
      </c>
    </row>
    <row x14ac:dyDescent="0.25" r="308" customHeight="1" ht="17.25">
      <c r="A308" s="17" t="s">
        <v>13277</v>
      </c>
      <c r="B308" s="17" t="s">
        <v>498</v>
      </c>
      <c r="C308" s="17" t="s">
        <v>114</v>
      </c>
      <c r="D308" s="17" t="s">
        <v>28</v>
      </c>
      <c r="E308" s="26">
        <f>ROUND(15300*1.05,2)</f>
      </c>
      <c r="F308" s="17" t="s">
        <v>29</v>
      </c>
      <c r="G308" s="17" t="s">
        <v>30</v>
      </c>
      <c r="H308" s="18">
        <f>ROUND(RAND()*4+6,1)</f>
      </c>
      <c r="I308" s="17" t="s">
        <v>31</v>
      </c>
      <c r="J308" s="19">
        <f>ROUND(66*1,0)&amp;"%"</f>
      </c>
    </row>
    <row x14ac:dyDescent="0.25" r="309" customHeight="1" ht="17.25">
      <c r="A309" s="20" t="s">
        <v>13278</v>
      </c>
      <c r="B309" s="20" t="s">
        <v>500</v>
      </c>
      <c r="C309" s="20" t="s">
        <v>114</v>
      </c>
      <c r="D309" s="20" t="s">
        <v>34</v>
      </c>
      <c r="E309" s="21">
        <f>ROUND(5769*1.05,2)</f>
      </c>
      <c r="F309" s="20" t="s">
        <v>35</v>
      </c>
      <c r="G309" s="20" t="s">
        <v>18</v>
      </c>
      <c r="H309" s="21">
        <f>ROUND(RAND()*4+6,1)</f>
      </c>
      <c r="I309" s="20" t="s">
        <v>36</v>
      </c>
      <c r="J309" s="23">
        <f>ROUND(71*1,0)&amp;"%"</f>
      </c>
    </row>
    <row x14ac:dyDescent="0.25" r="310" customHeight="1" ht="17.25">
      <c r="A310" s="17" t="s">
        <v>13279</v>
      </c>
      <c r="B310" s="17" t="s">
        <v>502</v>
      </c>
      <c r="C310" s="17" t="s">
        <v>114</v>
      </c>
      <c r="D310" s="17" t="s">
        <v>39</v>
      </c>
      <c r="E310" s="18">
        <f>ROUND(15525*1.05,2)</f>
      </c>
      <c r="F310" s="17" t="s">
        <v>40</v>
      </c>
      <c r="G310" s="17" t="s">
        <v>24</v>
      </c>
      <c r="H310" s="18">
        <f>ROUND(RAND()*4+6,1)</f>
      </c>
      <c r="I310" s="17" t="s">
        <v>41</v>
      </c>
      <c r="J310" s="19">
        <f>ROUND(91*1,0)&amp;"%"</f>
      </c>
    </row>
    <row x14ac:dyDescent="0.25" r="311" customHeight="1" ht="17.25">
      <c r="A311" s="20" t="s">
        <v>13280</v>
      </c>
      <c r="B311" s="20" t="s">
        <v>504</v>
      </c>
      <c r="C311" s="20" t="s">
        <v>114</v>
      </c>
      <c r="D311" s="20" t="s">
        <v>67</v>
      </c>
      <c r="E311" s="21">
        <f>ROUND(8474*1.05,2)</f>
      </c>
      <c r="F311" s="20" t="s">
        <v>44</v>
      </c>
      <c r="G311" s="20" t="s">
        <v>30</v>
      </c>
      <c r="H311" s="21">
        <f>ROUND(RAND()*4+6,1)</f>
      </c>
      <c r="I311" s="20" t="s">
        <v>45</v>
      </c>
      <c r="J311" s="23">
        <f>ROUND(79*1,0)&amp;"%"</f>
      </c>
    </row>
    <row x14ac:dyDescent="0.25" r="312" customHeight="1" ht="17.25">
      <c r="A312" s="17" t="s">
        <v>13281</v>
      </c>
      <c r="B312" s="17" t="s">
        <v>506</v>
      </c>
      <c r="C312" s="17" t="s">
        <v>114</v>
      </c>
      <c r="D312" s="17" t="s">
        <v>16</v>
      </c>
      <c r="E312" s="18">
        <f>ROUND(6134*1.05,2)</f>
      </c>
      <c r="F312" s="17" t="s">
        <v>48</v>
      </c>
      <c r="G312" s="17" t="s">
        <v>18</v>
      </c>
      <c r="H312" s="18">
        <f>ROUND(RAND()*4+6,1)</f>
      </c>
      <c r="I312" s="17" t="s">
        <v>19</v>
      </c>
      <c r="J312" s="19">
        <f>ROUND(79*1,0)&amp;"%"</f>
      </c>
    </row>
    <row x14ac:dyDescent="0.25" r="313" customHeight="1" ht="17.25">
      <c r="A313" s="20" t="s">
        <v>13282</v>
      </c>
      <c r="B313" s="20" t="s">
        <v>508</v>
      </c>
      <c r="C313" s="20" t="s">
        <v>114</v>
      </c>
      <c r="D313" s="20" t="s">
        <v>22</v>
      </c>
      <c r="E313" s="21">
        <f>ROUND(15401*1.05,2)</f>
      </c>
      <c r="F313" s="20" t="s">
        <v>51</v>
      </c>
      <c r="G313" s="20" t="s">
        <v>24</v>
      </c>
      <c r="H313" s="21">
        <f>ROUND(RAND()*4+6,1)</f>
      </c>
      <c r="I313" s="20" t="s">
        <v>25</v>
      </c>
      <c r="J313" s="23">
        <f>ROUND(73*1,0)&amp;"%"</f>
      </c>
    </row>
    <row x14ac:dyDescent="0.25" r="314" customHeight="1" ht="17.25">
      <c r="A314" s="24" t="s">
        <v>509</v>
      </c>
      <c r="B314" s="24"/>
      <c r="C314" s="24"/>
      <c r="D314" s="24"/>
      <c r="E314" s="25">
        <v>8</v>
      </c>
      <c r="F314" s="9"/>
      <c r="G314" s="9"/>
      <c r="H314" s="10"/>
      <c r="I314" s="9"/>
      <c r="J314" s="9"/>
    </row>
    <row x14ac:dyDescent="0.25" r="315" customHeight="1" ht="17.25">
      <c r="A315" s="7"/>
      <c r="B315" s="7"/>
      <c r="C315" s="7"/>
      <c r="D315" s="7"/>
      <c r="E315" s="8"/>
      <c r="F315" s="9"/>
      <c r="G315" s="9"/>
      <c r="H315" s="10"/>
      <c r="I315" s="9"/>
      <c r="J315" s="9"/>
    </row>
    <row x14ac:dyDescent="0.25" r="316" customHeight="1" ht="17.25">
      <c r="A316" s="11" t="s">
        <v>13283</v>
      </c>
      <c r="B316" s="11"/>
      <c r="C316" s="11"/>
      <c r="D316" s="11"/>
      <c r="E316" s="12"/>
      <c r="F316" s="11"/>
      <c r="G316" s="11"/>
      <c r="H316" s="13"/>
      <c r="I316" s="11"/>
      <c r="J316" s="11"/>
    </row>
    <row x14ac:dyDescent="0.25" r="317" customHeight="1" ht="17.25">
      <c r="A317" s="14" t="s">
        <v>3</v>
      </c>
      <c r="B317" s="14" t="s">
        <v>4</v>
      </c>
      <c r="C317" s="14" t="s">
        <v>5</v>
      </c>
      <c r="D317" s="14" t="s">
        <v>6</v>
      </c>
      <c r="E317" s="15" t="s">
        <v>7</v>
      </c>
      <c r="F317" s="14" t="s">
        <v>8</v>
      </c>
      <c r="G317" s="14" t="s">
        <v>9</v>
      </c>
      <c r="H317" s="16" t="s">
        <v>10</v>
      </c>
      <c r="I317" s="14" t="s">
        <v>11</v>
      </c>
      <c r="J317" s="14" t="s">
        <v>12</v>
      </c>
    </row>
    <row x14ac:dyDescent="0.25" r="318" customHeight="1" ht="17.25">
      <c r="A318" s="17" t="s">
        <v>13284</v>
      </c>
      <c r="B318" s="17" t="s">
        <v>512</v>
      </c>
      <c r="C318" s="17" t="s">
        <v>133</v>
      </c>
      <c r="D318" s="17" t="s">
        <v>16</v>
      </c>
      <c r="E318" s="18">
        <f>ROUND(9773*1.05,2)</f>
      </c>
      <c r="F318" s="17" t="s">
        <v>17</v>
      </c>
      <c r="G318" s="17" t="s">
        <v>18</v>
      </c>
      <c r="H318" s="26">
        <f>ROUND(RAND()*4+6,1)</f>
      </c>
      <c r="I318" s="17" t="s">
        <v>19</v>
      </c>
      <c r="J318" s="19">
        <f>ROUND(76*1,0)&amp;"%"</f>
      </c>
    </row>
    <row x14ac:dyDescent="0.25" r="319" customHeight="1" ht="17.25">
      <c r="A319" s="20" t="s">
        <v>13285</v>
      </c>
      <c r="B319" s="20" t="s">
        <v>514</v>
      </c>
      <c r="C319" s="20" t="s">
        <v>133</v>
      </c>
      <c r="D319" s="20" t="s">
        <v>22</v>
      </c>
      <c r="E319" s="21">
        <f>ROUND(6718*1.05,2)</f>
      </c>
      <c r="F319" s="20" t="s">
        <v>23</v>
      </c>
      <c r="G319" s="20" t="s">
        <v>24</v>
      </c>
      <c r="H319" s="21">
        <f>ROUND(RAND()*4+6,1)</f>
      </c>
      <c r="I319" s="20" t="s">
        <v>25</v>
      </c>
      <c r="J319" s="23">
        <f>ROUND(81*1,0)&amp;"%"</f>
      </c>
    </row>
    <row x14ac:dyDescent="0.25" r="320" customHeight="1" ht="17.25">
      <c r="A320" s="17" t="s">
        <v>13286</v>
      </c>
      <c r="B320" s="17" t="s">
        <v>516</v>
      </c>
      <c r="C320" s="17" t="s">
        <v>133</v>
      </c>
      <c r="D320" s="17" t="s">
        <v>28</v>
      </c>
      <c r="E320" s="18">
        <f>ROUND(11750*1.05,2)</f>
      </c>
      <c r="F320" s="17" t="s">
        <v>29</v>
      </c>
      <c r="G320" s="17" t="s">
        <v>30</v>
      </c>
      <c r="H320" s="26">
        <f>ROUND(RAND()*4+6,1)</f>
      </c>
      <c r="I320" s="17" t="s">
        <v>31</v>
      </c>
      <c r="J320" s="19">
        <f>ROUND(92*1,0)&amp;"%"</f>
      </c>
    </row>
    <row x14ac:dyDescent="0.25" r="321" customHeight="1" ht="17.25">
      <c r="A321" s="20" t="s">
        <v>13287</v>
      </c>
      <c r="B321" s="20" t="s">
        <v>518</v>
      </c>
      <c r="C321" s="20" t="s">
        <v>133</v>
      </c>
      <c r="D321" s="20" t="s">
        <v>34</v>
      </c>
      <c r="E321" s="21">
        <f>ROUND(5418*1.05,2)</f>
      </c>
      <c r="F321" s="20" t="s">
        <v>35</v>
      </c>
      <c r="G321" s="20" t="s">
        <v>18</v>
      </c>
      <c r="H321" s="22">
        <f>ROUND(RAND()*4+6,1)</f>
      </c>
      <c r="I321" s="20" t="s">
        <v>36</v>
      </c>
      <c r="J321" s="23">
        <f>ROUND(66*1,0)&amp;"%"</f>
      </c>
    </row>
    <row x14ac:dyDescent="0.25" r="322" customHeight="1" ht="17.25">
      <c r="A322" s="17" t="s">
        <v>13288</v>
      </c>
      <c r="B322" s="17" t="s">
        <v>520</v>
      </c>
      <c r="C322" s="17" t="s">
        <v>133</v>
      </c>
      <c r="D322" s="17" t="s">
        <v>39</v>
      </c>
      <c r="E322" s="18">
        <f>ROUND(7117*1.05,2)</f>
      </c>
      <c r="F322" s="17" t="s">
        <v>40</v>
      </c>
      <c r="G322" s="17" t="s">
        <v>24</v>
      </c>
      <c r="H322" s="18">
        <f>ROUND(RAND()*4+6,1)</f>
      </c>
      <c r="I322" s="17" t="s">
        <v>41</v>
      </c>
      <c r="J322" s="19">
        <f>ROUND(91*1,0)&amp;"%"</f>
      </c>
    </row>
    <row x14ac:dyDescent="0.25" r="323" customHeight="1" ht="17.25">
      <c r="A323" s="20" t="s">
        <v>13289</v>
      </c>
      <c r="B323" s="20" t="s">
        <v>522</v>
      </c>
      <c r="C323" s="20" t="s">
        <v>133</v>
      </c>
      <c r="D323" s="20" t="s">
        <v>67</v>
      </c>
      <c r="E323" s="21">
        <f>ROUND(16804*1.05,2)</f>
      </c>
      <c r="F323" s="20" t="s">
        <v>44</v>
      </c>
      <c r="G323" s="20" t="s">
        <v>30</v>
      </c>
      <c r="H323" s="21">
        <f>ROUND(RAND()*4+6,1)</f>
      </c>
      <c r="I323" s="20" t="s">
        <v>45</v>
      </c>
      <c r="J323" s="23">
        <f>ROUND(76*1,0)&amp;"%"</f>
      </c>
    </row>
    <row x14ac:dyDescent="0.25" r="324" customHeight="1" ht="17.25">
      <c r="A324" s="17" t="s">
        <v>13290</v>
      </c>
      <c r="B324" s="17" t="s">
        <v>524</v>
      </c>
      <c r="C324" s="17" t="s">
        <v>133</v>
      </c>
      <c r="D324" s="17" t="s">
        <v>16</v>
      </c>
      <c r="E324" s="18">
        <f>ROUND(6381*1.05,2)</f>
      </c>
      <c r="F324" s="17" t="s">
        <v>48</v>
      </c>
      <c r="G324" s="17" t="s">
        <v>18</v>
      </c>
      <c r="H324" s="26">
        <f>ROUND(RAND()*4+6,1)</f>
      </c>
      <c r="I324" s="17" t="s">
        <v>19</v>
      </c>
      <c r="J324" s="19">
        <f>ROUND(95*1,0)&amp;"%"</f>
      </c>
    </row>
    <row x14ac:dyDescent="0.25" r="325" customHeight="1" ht="17.25">
      <c r="A325" s="20" t="s">
        <v>13291</v>
      </c>
      <c r="B325" s="20" t="s">
        <v>526</v>
      </c>
      <c r="C325" s="20" t="s">
        <v>133</v>
      </c>
      <c r="D325" s="20" t="s">
        <v>22</v>
      </c>
      <c r="E325" s="21">
        <f>ROUND(9954*1.05,2)</f>
      </c>
      <c r="F325" s="20" t="s">
        <v>51</v>
      </c>
      <c r="G325" s="20" t="s">
        <v>24</v>
      </c>
      <c r="H325" s="21">
        <f>ROUND(RAND()*4+6,1)</f>
      </c>
      <c r="I325" s="20" t="s">
        <v>25</v>
      </c>
      <c r="J325" s="23">
        <f>ROUND(93*1,0)&amp;"%"</f>
      </c>
    </row>
    <row x14ac:dyDescent="0.25" r="326" customHeight="1" ht="17.25">
      <c r="A326" s="24" t="s">
        <v>527</v>
      </c>
      <c r="B326" s="24"/>
      <c r="C326" s="24"/>
      <c r="D326" s="24"/>
      <c r="E326" s="25">
        <v>8</v>
      </c>
      <c r="F326" s="9"/>
      <c r="G326" s="9"/>
      <c r="H326" s="10"/>
      <c r="I326" s="9"/>
      <c r="J326" s="9"/>
    </row>
    <row x14ac:dyDescent="0.25" r="327" customHeight="1" ht="17.25">
      <c r="A327" s="7"/>
      <c r="B327" s="7"/>
      <c r="C327" s="7"/>
      <c r="D327" s="7"/>
      <c r="E327" s="8"/>
      <c r="F327" s="9"/>
      <c r="G327" s="9"/>
      <c r="H327" s="10"/>
      <c r="I327" s="9"/>
      <c r="J327" s="9"/>
    </row>
    <row x14ac:dyDescent="0.25" r="328" customHeight="1" ht="17.25">
      <c r="A328" s="11" t="s">
        <v>13292</v>
      </c>
      <c r="B328" s="11"/>
      <c r="C328" s="11"/>
      <c r="D328" s="11"/>
      <c r="E328" s="12"/>
      <c r="F328" s="11"/>
      <c r="G328" s="11"/>
      <c r="H328" s="13"/>
      <c r="I328" s="11"/>
      <c r="J328" s="11"/>
    </row>
    <row x14ac:dyDescent="0.25" r="329" customHeight="1" ht="17.25">
      <c r="A329" s="14" t="s">
        <v>3</v>
      </c>
      <c r="B329" s="14" t="s">
        <v>4</v>
      </c>
      <c r="C329" s="14" t="s">
        <v>5</v>
      </c>
      <c r="D329" s="14" t="s">
        <v>6</v>
      </c>
      <c r="E329" s="15" t="s">
        <v>7</v>
      </c>
      <c r="F329" s="14" t="s">
        <v>8</v>
      </c>
      <c r="G329" s="14" t="s">
        <v>9</v>
      </c>
      <c r="H329" s="16" t="s">
        <v>10</v>
      </c>
      <c r="I329" s="14" t="s">
        <v>11</v>
      </c>
      <c r="J329" s="14" t="s">
        <v>12</v>
      </c>
    </row>
    <row x14ac:dyDescent="0.25" r="330" customHeight="1" ht="17.25">
      <c r="A330" s="17" t="s">
        <v>13293</v>
      </c>
      <c r="B330" s="17" t="s">
        <v>530</v>
      </c>
      <c r="C330" s="17" t="s">
        <v>152</v>
      </c>
      <c r="D330" s="17" t="s">
        <v>16</v>
      </c>
      <c r="E330" s="18">
        <f>ROUND(16625*1.05,2)</f>
      </c>
      <c r="F330" s="17" t="s">
        <v>17</v>
      </c>
      <c r="G330" s="17" t="s">
        <v>18</v>
      </c>
      <c r="H330" s="18">
        <f>ROUND(RAND()*4+6,1)</f>
      </c>
      <c r="I330" s="17" t="s">
        <v>19</v>
      </c>
      <c r="J330" s="19">
        <f>ROUND(90*1,0)&amp;"%"</f>
      </c>
    </row>
    <row x14ac:dyDescent="0.25" r="331" customHeight="1" ht="17.25">
      <c r="A331" s="20" t="s">
        <v>13294</v>
      </c>
      <c r="B331" s="20" t="s">
        <v>532</v>
      </c>
      <c r="C331" s="20" t="s">
        <v>152</v>
      </c>
      <c r="D331" s="20" t="s">
        <v>22</v>
      </c>
      <c r="E331" s="21">
        <f>ROUND(4887*1.05,2)</f>
      </c>
      <c r="F331" s="20" t="s">
        <v>23</v>
      </c>
      <c r="G331" s="20" t="s">
        <v>24</v>
      </c>
      <c r="H331" s="22">
        <f>ROUND(RAND()*4+6,1)</f>
      </c>
      <c r="I331" s="20" t="s">
        <v>25</v>
      </c>
      <c r="J331" s="23">
        <f>ROUND(99*1,0)&amp;"%"</f>
      </c>
    </row>
    <row x14ac:dyDescent="0.25" r="332" customHeight="1" ht="17.25">
      <c r="A332" s="17" t="s">
        <v>13295</v>
      </c>
      <c r="B332" s="17" t="s">
        <v>534</v>
      </c>
      <c r="C332" s="17" t="s">
        <v>152</v>
      </c>
      <c r="D332" s="17" t="s">
        <v>28</v>
      </c>
      <c r="E332" s="18">
        <f>ROUND(5607*1.05,2)</f>
      </c>
      <c r="F332" s="17" t="s">
        <v>29</v>
      </c>
      <c r="G332" s="17" t="s">
        <v>30</v>
      </c>
      <c r="H332" s="26">
        <f>ROUND(RAND()*4+6,1)</f>
      </c>
      <c r="I332" s="17" t="s">
        <v>31</v>
      </c>
      <c r="J332" s="19">
        <f>ROUND(77*1,0)&amp;"%"</f>
      </c>
    </row>
    <row x14ac:dyDescent="0.25" r="333" customHeight="1" ht="17.25">
      <c r="A333" s="20" t="s">
        <v>13296</v>
      </c>
      <c r="B333" s="20" t="s">
        <v>536</v>
      </c>
      <c r="C333" s="20" t="s">
        <v>152</v>
      </c>
      <c r="D333" s="20" t="s">
        <v>34</v>
      </c>
      <c r="E333" s="21">
        <f>ROUND(15762*1.05,2)</f>
      </c>
      <c r="F333" s="20" t="s">
        <v>35</v>
      </c>
      <c r="G333" s="20" t="s">
        <v>18</v>
      </c>
      <c r="H333" s="21">
        <f>ROUND(RAND()*4+6,1)</f>
      </c>
      <c r="I333" s="20" t="s">
        <v>36</v>
      </c>
      <c r="J333" s="23">
        <f>ROUND(83*1,0)&amp;"%"</f>
      </c>
    </row>
    <row x14ac:dyDescent="0.25" r="334" customHeight="1" ht="17.25">
      <c r="A334" s="17" t="s">
        <v>13297</v>
      </c>
      <c r="B334" s="17" t="s">
        <v>538</v>
      </c>
      <c r="C334" s="17" t="s">
        <v>152</v>
      </c>
      <c r="D334" s="17" t="s">
        <v>39</v>
      </c>
      <c r="E334" s="26">
        <f>ROUND(7260*1.05,2)</f>
      </c>
      <c r="F334" s="17" t="s">
        <v>40</v>
      </c>
      <c r="G334" s="17" t="s">
        <v>24</v>
      </c>
      <c r="H334" s="26">
        <f>ROUND(RAND()*4+6,1)</f>
      </c>
      <c r="I334" s="17" t="s">
        <v>41</v>
      </c>
      <c r="J334" s="19">
        <f>ROUND(90*1,0)&amp;"%"</f>
      </c>
    </row>
    <row x14ac:dyDescent="0.25" r="335" customHeight="1" ht="17.25">
      <c r="A335" s="20" t="s">
        <v>13298</v>
      </c>
      <c r="B335" s="20" t="s">
        <v>540</v>
      </c>
      <c r="C335" s="20" t="s">
        <v>152</v>
      </c>
      <c r="D335" s="20" t="s">
        <v>67</v>
      </c>
      <c r="E335" s="21">
        <f>ROUND(6926*1.05,2)</f>
      </c>
      <c r="F335" s="20" t="s">
        <v>44</v>
      </c>
      <c r="G335" s="20" t="s">
        <v>30</v>
      </c>
      <c r="H335" s="21">
        <f>ROUND(RAND()*4+6,1)</f>
      </c>
      <c r="I335" s="20" t="s">
        <v>45</v>
      </c>
      <c r="J335" s="23">
        <f>ROUND(79*1,0)&amp;"%"</f>
      </c>
    </row>
    <row x14ac:dyDescent="0.25" r="336" customHeight="1" ht="17.25">
      <c r="A336" s="17" t="s">
        <v>13299</v>
      </c>
      <c r="B336" s="17" t="s">
        <v>542</v>
      </c>
      <c r="C336" s="17" t="s">
        <v>152</v>
      </c>
      <c r="D336" s="17" t="s">
        <v>16</v>
      </c>
      <c r="E336" s="18">
        <f>ROUND(6490*1.05,2)</f>
      </c>
      <c r="F336" s="17" t="s">
        <v>48</v>
      </c>
      <c r="G336" s="17" t="s">
        <v>18</v>
      </c>
      <c r="H336" s="18">
        <f>ROUND(RAND()*4+6,1)</f>
      </c>
      <c r="I336" s="17" t="s">
        <v>19</v>
      </c>
      <c r="J336" s="19">
        <f>ROUND(60*1,0)&amp;"%"</f>
      </c>
    </row>
    <row x14ac:dyDescent="0.25" r="337" customHeight="1" ht="17.25">
      <c r="A337" s="20" t="s">
        <v>13300</v>
      </c>
      <c r="B337" s="20" t="s">
        <v>544</v>
      </c>
      <c r="C337" s="20" t="s">
        <v>152</v>
      </c>
      <c r="D337" s="20" t="s">
        <v>22</v>
      </c>
      <c r="E337" s="21">
        <f>ROUND(6809*1.05,2)</f>
      </c>
      <c r="F337" s="20" t="s">
        <v>51</v>
      </c>
      <c r="G337" s="20" t="s">
        <v>24</v>
      </c>
      <c r="H337" s="21">
        <f>ROUND(RAND()*4+6,1)</f>
      </c>
      <c r="I337" s="20" t="s">
        <v>25</v>
      </c>
      <c r="J337" s="23">
        <f>ROUND(77*1,0)&amp;"%"</f>
      </c>
    </row>
    <row x14ac:dyDescent="0.25" r="338" customHeight="1" ht="17.25">
      <c r="A338" s="24" t="s">
        <v>545</v>
      </c>
      <c r="B338" s="24"/>
      <c r="C338" s="24"/>
      <c r="D338" s="24"/>
      <c r="E338" s="25">
        <v>8</v>
      </c>
      <c r="F338" s="9"/>
      <c r="G338" s="9"/>
      <c r="H338" s="10"/>
      <c r="I338" s="9"/>
      <c r="J338" s="9"/>
    </row>
    <row x14ac:dyDescent="0.25" r="339" customHeight="1" ht="17.25">
      <c r="A339" s="7"/>
      <c r="B339" s="7"/>
      <c r="C339" s="7"/>
      <c r="D339" s="7"/>
      <c r="E339" s="8"/>
      <c r="F339" s="9"/>
      <c r="G339" s="9"/>
      <c r="H339" s="10"/>
      <c r="I339" s="9"/>
      <c r="J339" s="9"/>
    </row>
    <row x14ac:dyDescent="0.25" r="340" customHeight="1" ht="17.25">
      <c r="A340" s="11" t="s">
        <v>13301</v>
      </c>
      <c r="B340" s="11"/>
      <c r="C340" s="11"/>
      <c r="D340" s="11"/>
      <c r="E340" s="12"/>
      <c r="F340" s="11"/>
      <c r="G340" s="11"/>
      <c r="H340" s="13"/>
      <c r="I340" s="11"/>
      <c r="J340" s="11"/>
    </row>
    <row x14ac:dyDescent="0.25" r="341" customHeight="1" ht="17.25">
      <c r="A341" s="14" t="s">
        <v>3</v>
      </c>
      <c r="B341" s="14" t="s">
        <v>4</v>
      </c>
      <c r="C341" s="14" t="s">
        <v>5</v>
      </c>
      <c r="D341" s="14" t="s">
        <v>6</v>
      </c>
      <c r="E341" s="15" t="s">
        <v>7</v>
      </c>
      <c r="F341" s="14" t="s">
        <v>8</v>
      </c>
      <c r="G341" s="14" t="s">
        <v>9</v>
      </c>
      <c r="H341" s="16" t="s">
        <v>10</v>
      </c>
      <c r="I341" s="14" t="s">
        <v>11</v>
      </c>
      <c r="J341" s="14" t="s">
        <v>12</v>
      </c>
    </row>
    <row x14ac:dyDescent="0.25" r="342" customHeight="1" ht="17.25">
      <c r="A342" s="17" t="s">
        <v>13302</v>
      </c>
      <c r="B342" s="17" t="s">
        <v>548</v>
      </c>
      <c r="C342" s="17" t="s">
        <v>15</v>
      </c>
      <c r="D342" s="17" t="s">
        <v>16</v>
      </c>
      <c r="E342" s="18">
        <f>ROUND(13556*1.05,2)</f>
      </c>
      <c r="F342" s="17" t="s">
        <v>17</v>
      </c>
      <c r="G342" s="17" t="s">
        <v>18</v>
      </c>
      <c r="H342" s="18">
        <f>ROUND(RAND()*4+6,1)</f>
      </c>
      <c r="I342" s="17" t="s">
        <v>19</v>
      </c>
      <c r="J342" s="19">
        <f>ROUND(90*1,0)&amp;"%"</f>
      </c>
    </row>
    <row x14ac:dyDescent="0.25" r="343" customHeight="1" ht="17.25">
      <c r="A343" s="20" t="s">
        <v>13303</v>
      </c>
      <c r="B343" s="20" t="s">
        <v>550</v>
      </c>
      <c r="C343" s="20" t="s">
        <v>15</v>
      </c>
      <c r="D343" s="20" t="s">
        <v>22</v>
      </c>
      <c r="E343" s="21">
        <f>ROUND(12010*1.05,2)</f>
      </c>
      <c r="F343" s="20" t="s">
        <v>23</v>
      </c>
      <c r="G343" s="20" t="s">
        <v>24</v>
      </c>
      <c r="H343" s="21">
        <f>ROUND(RAND()*4+6,1)</f>
      </c>
      <c r="I343" s="20" t="s">
        <v>25</v>
      </c>
      <c r="J343" s="23">
        <f>ROUND(76*1,0)&amp;"%"</f>
      </c>
    </row>
    <row x14ac:dyDescent="0.25" r="344" customHeight="1" ht="17.25">
      <c r="A344" s="17" t="s">
        <v>13304</v>
      </c>
      <c r="B344" s="17" t="s">
        <v>552</v>
      </c>
      <c r="C344" s="17" t="s">
        <v>15</v>
      </c>
      <c r="D344" s="17" t="s">
        <v>28</v>
      </c>
      <c r="E344" s="18">
        <f>ROUND(4789*1.05,2)</f>
      </c>
      <c r="F344" s="17" t="s">
        <v>29</v>
      </c>
      <c r="G344" s="17" t="s">
        <v>30</v>
      </c>
      <c r="H344" s="18">
        <f>ROUND(RAND()*4+6,1)</f>
      </c>
      <c r="I344" s="17" t="s">
        <v>31</v>
      </c>
      <c r="J344" s="19">
        <f>ROUND(90*1,0)&amp;"%"</f>
      </c>
    </row>
    <row x14ac:dyDescent="0.25" r="345" customHeight="1" ht="17.25">
      <c r="A345" s="20" t="s">
        <v>13305</v>
      </c>
      <c r="B345" s="20" t="s">
        <v>554</v>
      </c>
      <c r="C345" s="20" t="s">
        <v>15</v>
      </c>
      <c r="D345" s="20" t="s">
        <v>34</v>
      </c>
      <c r="E345" s="21">
        <f>ROUND(10727*1.05,2)</f>
      </c>
      <c r="F345" s="20" t="s">
        <v>35</v>
      </c>
      <c r="G345" s="20" t="s">
        <v>18</v>
      </c>
      <c r="H345" s="21">
        <f>ROUND(RAND()*4+6,1)</f>
      </c>
      <c r="I345" s="20" t="s">
        <v>36</v>
      </c>
      <c r="J345" s="23">
        <f>ROUND(63*1,0)&amp;"%"</f>
      </c>
    </row>
    <row x14ac:dyDescent="0.25" r="346" customHeight="1" ht="17.25">
      <c r="A346" s="17" t="s">
        <v>13306</v>
      </c>
      <c r="B346" s="17" t="s">
        <v>556</v>
      </c>
      <c r="C346" s="17" t="s">
        <v>15</v>
      </c>
      <c r="D346" s="17" t="s">
        <v>39</v>
      </c>
      <c r="E346" s="18">
        <f>ROUND(11054*1.05,2)</f>
      </c>
      <c r="F346" s="17" t="s">
        <v>40</v>
      </c>
      <c r="G346" s="17" t="s">
        <v>24</v>
      </c>
      <c r="H346" s="18">
        <f>ROUND(RAND()*4+6,1)</f>
      </c>
      <c r="I346" s="17" t="s">
        <v>41</v>
      </c>
      <c r="J346" s="19">
        <f>ROUND(86*1,0)&amp;"%"</f>
      </c>
    </row>
    <row x14ac:dyDescent="0.25" r="347" customHeight="1" ht="17.25">
      <c r="A347" s="20" t="s">
        <v>13307</v>
      </c>
      <c r="B347" s="20" t="s">
        <v>558</v>
      </c>
      <c r="C347" s="20" t="s">
        <v>15</v>
      </c>
      <c r="D347" s="20" t="s">
        <v>67</v>
      </c>
      <c r="E347" s="21">
        <f>ROUND(14275*1.05,2)</f>
      </c>
      <c r="F347" s="20" t="s">
        <v>44</v>
      </c>
      <c r="G347" s="20" t="s">
        <v>30</v>
      </c>
      <c r="H347" s="21">
        <f>ROUND(RAND()*4+6,1)</f>
      </c>
      <c r="I347" s="20" t="s">
        <v>45</v>
      </c>
      <c r="J347" s="23">
        <f>ROUND(70*1,0)&amp;"%"</f>
      </c>
    </row>
    <row x14ac:dyDescent="0.25" r="348" customHeight="1" ht="17.25">
      <c r="A348" s="17" t="s">
        <v>13308</v>
      </c>
      <c r="B348" s="17" t="s">
        <v>560</v>
      </c>
      <c r="C348" s="17" t="s">
        <v>15</v>
      </c>
      <c r="D348" s="17" t="s">
        <v>16</v>
      </c>
      <c r="E348" s="18">
        <f>ROUND(9493*1.05,2)</f>
      </c>
      <c r="F348" s="17" t="s">
        <v>48</v>
      </c>
      <c r="G348" s="17" t="s">
        <v>18</v>
      </c>
      <c r="H348" s="26">
        <f>ROUND(RAND()*4+6,1)</f>
      </c>
      <c r="I348" s="17" t="s">
        <v>19</v>
      </c>
      <c r="J348" s="19">
        <f>ROUND(100*1,0)&amp;"%"</f>
      </c>
    </row>
    <row x14ac:dyDescent="0.25" r="349" customHeight="1" ht="17.25">
      <c r="A349" s="20" t="s">
        <v>13309</v>
      </c>
      <c r="B349" s="20" t="s">
        <v>562</v>
      </c>
      <c r="C349" s="20" t="s">
        <v>15</v>
      </c>
      <c r="D349" s="20" t="s">
        <v>22</v>
      </c>
      <c r="E349" s="21">
        <f>ROUND(10203*1.05,2)</f>
      </c>
      <c r="F349" s="20" t="s">
        <v>51</v>
      </c>
      <c r="G349" s="20" t="s">
        <v>24</v>
      </c>
      <c r="H349" s="21">
        <f>ROUND(RAND()*4+6,1)</f>
      </c>
      <c r="I349" s="20" t="s">
        <v>25</v>
      </c>
      <c r="J349" s="23">
        <f>ROUND(98*1,0)&amp;"%"</f>
      </c>
    </row>
    <row x14ac:dyDescent="0.25" r="350" customHeight="1" ht="17.25">
      <c r="A350" s="24" t="s">
        <v>563</v>
      </c>
      <c r="B350" s="24"/>
      <c r="C350" s="24"/>
      <c r="D350" s="24"/>
      <c r="E350" s="25">
        <v>8</v>
      </c>
      <c r="F350" s="9"/>
      <c r="G350" s="9"/>
      <c r="H350" s="10"/>
      <c r="I350" s="9"/>
      <c r="J350" s="9"/>
    </row>
    <row x14ac:dyDescent="0.25" r="351" customHeight="1" ht="17.25">
      <c r="A351" s="7"/>
      <c r="B351" s="7"/>
      <c r="C351" s="7"/>
      <c r="D351" s="7"/>
      <c r="E351" s="8"/>
      <c r="F351" s="9"/>
      <c r="G351" s="9"/>
      <c r="H351" s="10"/>
      <c r="I351" s="9"/>
      <c r="J351" s="9"/>
    </row>
    <row x14ac:dyDescent="0.25" r="352" customHeight="1" ht="17.25">
      <c r="A352" s="11" t="s">
        <v>13310</v>
      </c>
      <c r="B352" s="11"/>
      <c r="C352" s="11"/>
      <c r="D352" s="11"/>
      <c r="E352" s="12"/>
      <c r="F352" s="11"/>
      <c r="G352" s="11"/>
      <c r="H352" s="13"/>
      <c r="I352" s="11"/>
      <c r="J352" s="11"/>
    </row>
    <row x14ac:dyDescent="0.25" r="353" customHeight="1" ht="17.25">
      <c r="A353" s="14" t="s">
        <v>3</v>
      </c>
      <c r="B353" s="14" t="s">
        <v>4</v>
      </c>
      <c r="C353" s="14" t="s">
        <v>5</v>
      </c>
      <c r="D353" s="14" t="s">
        <v>6</v>
      </c>
      <c r="E353" s="15" t="s">
        <v>7</v>
      </c>
      <c r="F353" s="14" t="s">
        <v>8</v>
      </c>
      <c r="G353" s="14" t="s">
        <v>9</v>
      </c>
      <c r="H353" s="16" t="s">
        <v>10</v>
      </c>
      <c r="I353" s="14" t="s">
        <v>11</v>
      </c>
      <c r="J353" s="14" t="s">
        <v>12</v>
      </c>
    </row>
    <row x14ac:dyDescent="0.25" r="354" customHeight="1" ht="17.25">
      <c r="A354" s="17" t="s">
        <v>13311</v>
      </c>
      <c r="B354" s="17" t="s">
        <v>566</v>
      </c>
      <c r="C354" s="17" t="s">
        <v>56</v>
      </c>
      <c r="D354" s="17" t="s">
        <v>16</v>
      </c>
      <c r="E354" s="18">
        <f>ROUND(12404*1.05,2)</f>
      </c>
      <c r="F354" s="17" t="s">
        <v>17</v>
      </c>
      <c r="G354" s="17" t="s">
        <v>18</v>
      </c>
      <c r="H354" s="18">
        <f>ROUND(RAND()*4+6,1)</f>
      </c>
      <c r="I354" s="17" t="s">
        <v>19</v>
      </c>
      <c r="J354" s="19">
        <f>ROUND(69*1,0)&amp;"%"</f>
      </c>
    </row>
    <row x14ac:dyDescent="0.25" r="355" customHeight="1" ht="17.25">
      <c r="A355" s="20" t="s">
        <v>13312</v>
      </c>
      <c r="B355" s="20" t="s">
        <v>568</v>
      </c>
      <c r="C355" s="20" t="s">
        <v>56</v>
      </c>
      <c r="D355" s="20" t="s">
        <v>22</v>
      </c>
      <c r="E355" s="21">
        <f>ROUND(7107*1.05,2)</f>
      </c>
      <c r="F355" s="20" t="s">
        <v>23</v>
      </c>
      <c r="G355" s="20" t="s">
        <v>24</v>
      </c>
      <c r="H355" s="21">
        <f>ROUND(RAND()*4+6,1)</f>
      </c>
      <c r="I355" s="20" t="s">
        <v>25</v>
      </c>
      <c r="J355" s="23">
        <f>ROUND(98*1,0)&amp;"%"</f>
      </c>
    </row>
    <row x14ac:dyDescent="0.25" r="356" customHeight="1" ht="17.25">
      <c r="A356" s="17" t="s">
        <v>13313</v>
      </c>
      <c r="B356" s="17" t="s">
        <v>570</v>
      </c>
      <c r="C356" s="17" t="s">
        <v>56</v>
      </c>
      <c r="D356" s="17" t="s">
        <v>28</v>
      </c>
      <c r="E356" s="18">
        <f>ROUND(11017*1.05,2)</f>
      </c>
      <c r="F356" s="17" t="s">
        <v>29</v>
      </c>
      <c r="G356" s="17" t="s">
        <v>30</v>
      </c>
      <c r="H356" s="18">
        <f>ROUND(RAND()*4+6,1)</f>
      </c>
      <c r="I356" s="17" t="s">
        <v>31</v>
      </c>
      <c r="J356" s="19">
        <f>ROUND(97*1,0)&amp;"%"</f>
      </c>
    </row>
    <row x14ac:dyDescent="0.25" r="357" customHeight="1" ht="17.25">
      <c r="A357" s="20" t="s">
        <v>13314</v>
      </c>
      <c r="B357" s="20" t="s">
        <v>572</v>
      </c>
      <c r="C357" s="20" t="s">
        <v>56</v>
      </c>
      <c r="D357" s="20" t="s">
        <v>34</v>
      </c>
      <c r="E357" s="21">
        <f>ROUND(14646*1.05,2)</f>
      </c>
      <c r="F357" s="20" t="s">
        <v>35</v>
      </c>
      <c r="G357" s="20" t="s">
        <v>18</v>
      </c>
      <c r="H357" s="21">
        <f>ROUND(RAND()*4+6,1)</f>
      </c>
      <c r="I357" s="20" t="s">
        <v>36</v>
      </c>
      <c r="J357" s="23">
        <f>ROUND(80*1,0)&amp;"%"</f>
      </c>
    </row>
    <row x14ac:dyDescent="0.25" r="358" customHeight="1" ht="17.25">
      <c r="A358" s="17" t="s">
        <v>13315</v>
      </c>
      <c r="B358" s="17" t="s">
        <v>574</v>
      </c>
      <c r="C358" s="17" t="s">
        <v>56</v>
      </c>
      <c r="D358" s="17" t="s">
        <v>39</v>
      </c>
      <c r="E358" s="18">
        <f>ROUND(4067*1.05,2)</f>
      </c>
      <c r="F358" s="17" t="s">
        <v>40</v>
      </c>
      <c r="G358" s="17" t="s">
        <v>24</v>
      </c>
      <c r="H358" s="18">
        <f>ROUND(RAND()*4+6,1)</f>
      </c>
      <c r="I358" s="17" t="s">
        <v>41</v>
      </c>
      <c r="J358" s="19">
        <f>ROUND(86*1,0)&amp;"%"</f>
      </c>
    </row>
    <row x14ac:dyDescent="0.25" r="359" customHeight="1" ht="17.25">
      <c r="A359" s="20" t="s">
        <v>13316</v>
      </c>
      <c r="B359" s="20" t="s">
        <v>576</v>
      </c>
      <c r="C359" s="20" t="s">
        <v>56</v>
      </c>
      <c r="D359" s="20" t="s">
        <v>67</v>
      </c>
      <c r="E359" s="21">
        <f>ROUND(13363*1.05,2)</f>
      </c>
      <c r="F359" s="20" t="s">
        <v>44</v>
      </c>
      <c r="G359" s="20" t="s">
        <v>30</v>
      </c>
      <c r="H359" s="21">
        <f>ROUND(RAND()*4+6,1)</f>
      </c>
      <c r="I359" s="20" t="s">
        <v>45</v>
      </c>
      <c r="J359" s="23">
        <f>ROUND(93*1,0)&amp;"%"</f>
      </c>
    </row>
    <row x14ac:dyDescent="0.25" r="360" customHeight="1" ht="17.25">
      <c r="A360" s="17" t="s">
        <v>13317</v>
      </c>
      <c r="B360" s="17" t="s">
        <v>578</v>
      </c>
      <c r="C360" s="17" t="s">
        <v>56</v>
      </c>
      <c r="D360" s="17" t="s">
        <v>16</v>
      </c>
      <c r="E360" s="18">
        <f>ROUND(8223*1.05,2)</f>
      </c>
      <c r="F360" s="17" t="s">
        <v>48</v>
      </c>
      <c r="G360" s="17" t="s">
        <v>18</v>
      </c>
      <c r="H360" s="18">
        <f>ROUND(RAND()*4+6,1)</f>
      </c>
      <c r="I360" s="17" t="s">
        <v>19</v>
      </c>
      <c r="J360" s="19">
        <f>ROUND(76*1,0)&amp;"%"</f>
      </c>
    </row>
    <row x14ac:dyDescent="0.25" r="361" customHeight="1" ht="17.25">
      <c r="A361" s="20" t="s">
        <v>13318</v>
      </c>
      <c r="B361" s="20" t="s">
        <v>580</v>
      </c>
      <c r="C361" s="20" t="s">
        <v>56</v>
      </c>
      <c r="D361" s="20" t="s">
        <v>22</v>
      </c>
      <c r="E361" s="21">
        <f>ROUND(13830*1.05,2)</f>
      </c>
      <c r="F361" s="20" t="s">
        <v>51</v>
      </c>
      <c r="G361" s="20" t="s">
        <v>24</v>
      </c>
      <c r="H361" s="21">
        <f>ROUND(RAND()*4+6,1)</f>
      </c>
      <c r="I361" s="20" t="s">
        <v>25</v>
      </c>
      <c r="J361" s="23">
        <f>ROUND(60*1,0)&amp;"%"</f>
      </c>
    </row>
    <row x14ac:dyDescent="0.25" r="362" customHeight="1" ht="17.25">
      <c r="A362" s="24" t="s">
        <v>581</v>
      </c>
      <c r="B362" s="24"/>
      <c r="C362" s="24"/>
      <c r="D362" s="24"/>
      <c r="E362" s="25">
        <v>8</v>
      </c>
      <c r="F362" s="9"/>
      <c r="G362" s="9"/>
      <c r="H362" s="10"/>
      <c r="I362" s="9"/>
      <c r="J362" s="9"/>
    </row>
  </sheetData>
  <mergeCells count="62">
    <mergeCell ref="A1:J1"/>
    <mergeCell ref="A2:J2"/>
    <mergeCell ref="A4:J4"/>
    <mergeCell ref="A14:D14"/>
    <mergeCell ref="A16:J16"/>
    <mergeCell ref="A26:D26"/>
    <mergeCell ref="A28:J28"/>
    <mergeCell ref="A38:D38"/>
    <mergeCell ref="A40:J40"/>
    <mergeCell ref="A50:D50"/>
    <mergeCell ref="A52:J52"/>
    <mergeCell ref="A62:D62"/>
    <mergeCell ref="A64:J64"/>
    <mergeCell ref="A74:D74"/>
    <mergeCell ref="A76:J76"/>
    <mergeCell ref="A86:D86"/>
    <mergeCell ref="A88:J88"/>
    <mergeCell ref="A98:D98"/>
    <mergeCell ref="A100:J100"/>
    <mergeCell ref="A110:D110"/>
    <mergeCell ref="A112:J112"/>
    <mergeCell ref="A122:D122"/>
    <mergeCell ref="A124:J124"/>
    <mergeCell ref="A134:D134"/>
    <mergeCell ref="A136:J136"/>
    <mergeCell ref="A146:D146"/>
    <mergeCell ref="A148:J148"/>
    <mergeCell ref="A158:D158"/>
    <mergeCell ref="A160:J160"/>
    <mergeCell ref="A170:D170"/>
    <mergeCell ref="A172:J172"/>
    <mergeCell ref="A182:D182"/>
    <mergeCell ref="A184:J184"/>
    <mergeCell ref="A194:D194"/>
    <mergeCell ref="A196:J196"/>
    <mergeCell ref="A206:D206"/>
    <mergeCell ref="A208:J208"/>
    <mergeCell ref="A218:D218"/>
    <mergeCell ref="A220:J220"/>
    <mergeCell ref="A230:D230"/>
    <mergeCell ref="A232:J232"/>
    <mergeCell ref="A242:D242"/>
    <mergeCell ref="A244:J244"/>
    <mergeCell ref="A254:D254"/>
    <mergeCell ref="A256:J256"/>
    <mergeCell ref="A266:D266"/>
    <mergeCell ref="A268:J268"/>
    <mergeCell ref="A278:D278"/>
    <mergeCell ref="A280:J280"/>
    <mergeCell ref="A290:D290"/>
    <mergeCell ref="A292:J292"/>
    <mergeCell ref="A302:D302"/>
    <mergeCell ref="A304:J304"/>
    <mergeCell ref="A314:D314"/>
    <mergeCell ref="A316:J316"/>
    <mergeCell ref="A326:D326"/>
    <mergeCell ref="A328:J328"/>
    <mergeCell ref="A338:D338"/>
    <mergeCell ref="A340:J340"/>
    <mergeCell ref="A350:D350"/>
    <mergeCell ref="A352:J352"/>
    <mergeCell ref="A362:D36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J362"/>
  <sheetViews>
    <sheetView workbookViewId="0"/>
  </sheetViews>
  <sheetFormatPr defaultRowHeight="15" x14ac:dyDescent="0.25"/>
  <cols>
    <col min="1" max="1" style="27" width="8.005" customWidth="1" bestFit="1"/>
    <col min="2" max="2" style="27" width="22.005" customWidth="1" bestFit="1"/>
    <col min="3" max="3" style="27" width="16.005" customWidth="1" bestFit="1"/>
    <col min="4" max="4" style="27" width="14.005" customWidth="1" bestFit="1"/>
    <col min="5" max="5" style="28" width="12.005" customWidth="1" bestFit="1"/>
    <col min="6" max="6" style="29" width="16.005" customWidth="1" bestFit="1"/>
    <col min="7" max="7" style="29" width="10.005" customWidth="1" bestFit="1"/>
    <col min="8" max="8" style="32" width="10.005" customWidth="1" bestFit="1"/>
    <col min="9" max="9" style="29" width="14.005" customWidth="1" bestFit="1"/>
    <col min="10" max="10" style="29" width="8.005" customWidth="1" bestFit="1"/>
  </cols>
  <sheetData>
    <row x14ac:dyDescent="0.25" r="1" customHeight="1" ht="17.25">
      <c r="A1" s="1" t="s">
        <v>12777</v>
      </c>
      <c r="B1" s="1"/>
      <c r="C1" s="1"/>
      <c r="D1" s="1"/>
      <c r="E1" s="2"/>
      <c r="F1" s="1"/>
      <c r="G1" s="1"/>
      <c r="H1" s="2"/>
      <c r="I1" s="1"/>
      <c r="J1" s="1"/>
    </row>
    <row x14ac:dyDescent="0.25" r="2" customHeight="1" ht="17.25">
      <c r="A2" s="4" t="s">
        <v>1</v>
      </c>
      <c r="B2" s="4"/>
      <c r="C2" s="4"/>
      <c r="D2" s="4"/>
      <c r="E2" s="5"/>
      <c r="F2" s="4"/>
      <c r="G2" s="4"/>
      <c r="H2" s="5"/>
      <c r="I2" s="4"/>
      <c r="J2" s="4"/>
    </row>
    <row x14ac:dyDescent="0.25" r="3" customHeight="1" ht="17.25">
      <c r="A3" s="7"/>
      <c r="B3" s="7"/>
      <c r="C3" s="7"/>
      <c r="D3" s="7"/>
      <c r="E3" s="8"/>
      <c r="F3" s="9"/>
      <c r="G3" s="9"/>
      <c r="H3" s="31"/>
      <c r="I3" s="9"/>
      <c r="J3" s="9"/>
    </row>
    <row x14ac:dyDescent="0.25" r="4" customHeight="1" ht="17.25">
      <c r="A4" s="11" t="s">
        <v>12778</v>
      </c>
      <c r="B4" s="11"/>
      <c r="C4" s="11"/>
      <c r="D4" s="11"/>
      <c r="E4" s="12"/>
      <c r="F4" s="11"/>
      <c r="G4" s="11"/>
      <c r="H4" s="12"/>
      <c r="I4" s="11"/>
      <c r="J4" s="11"/>
    </row>
    <row x14ac:dyDescent="0.25" r="5" customHeight="1" ht="17.25">
      <c r="A5" s="14" t="s">
        <v>3</v>
      </c>
      <c r="B5" s="14" t="s">
        <v>4</v>
      </c>
      <c r="C5" s="14" t="s">
        <v>5</v>
      </c>
      <c r="D5" s="14" t="s">
        <v>6</v>
      </c>
      <c r="E5" s="15" t="s">
        <v>7</v>
      </c>
      <c r="F5" s="14" t="s">
        <v>8</v>
      </c>
      <c r="G5" s="14" t="s">
        <v>9</v>
      </c>
      <c r="H5" s="15" t="s">
        <v>10</v>
      </c>
      <c r="I5" s="14" t="s">
        <v>11</v>
      </c>
      <c r="J5" s="14" t="s">
        <v>12</v>
      </c>
    </row>
    <row x14ac:dyDescent="0.25" r="6" customHeight="1" ht="17.25">
      <c r="A6" s="17" t="s">
        <v>12779</v>
      </c>
      <c r="B6" s="17" t="s">
        <v>14</v>
      </c>
      <c r="C6" s="17" t="s">
        <v>15</v>
      </c>
      <c r="D6" s="17" t="s">
        <v>16</v>
      </c>
      <c r="E6" s="18">
        <f>ROUND(6456*1.05,2)</f>
      </c>
      <c r="F6" s="17" t="s">
        <v>17</v>
      </c>
      <c r="G6" s="17" t="s">
        <v>18</v>
      </c>
      <c r="H6" s="18">
        <f>ROUND(RAND()*4+6,1)</f>
      </c>
      <c r="I6" s="17" t="s">
        <v>19</v>
      </c>
      <c r="J6" s="19">
        <f>ROUND(71*1,0)&amp;"%"</f>
      </c>
    </row>
    <row x14ac:dyDescent="0.25" r="7" customHeight="1" ht="17.25">
      <c r="A7" s="20" t="s">
        <v>12780</v>
      </c>
      <c r="B7" s="20" t="s">
        <v>21</v>
      </c>
      <c r="C7" s="20" t="s">
        <v>15</v>
      </c>
      <c r="D7" s="20" t="s">
        <v>22</v>
      </c>
      <c r="E7" s="21">
        <f>ROUND(13952*1.05,2)</f>
      </c>
      <c r="F7" s="20" t="s">
        <v>23</v>
      </c>
      <c r="G7" s="20" t="s">
        <v>24</v>
      </c>
      <c r="H7" s="21">
        <f>ROUND(RAND()*4+6,1)</f>
      </c>
      <c r="I7" s="20" t="s">
        <v>25</v>
      </c>
      <c r="J7" s="23">
        <f>ROUND(63*1,0)&amp;"%"</f>
      </c>
    </row>
    <row x14ac:dyDescent="0.25" r="8" customHeight="1" ht="17.25">
      <c r="A8" s="17" t="s">
        <v>12781</v>
      </c>
      <c r="B8" s="17" t="s">
        <v>27</v>
      </c>
      <c r="C8" s="17" t="s">
        <v>15</v>
      </c>
      <c r="D8" s="17" t="s">
        <v>28</v>
      </c>
      <c r="E8" s="26">
        <f>ROUND(8760*1.05,2)</f>
      </c>
      <c r="F8" s="17" t="s">
        <v>29</v>
      </c>
      <c r="G8" s="17" t="s">
        <v>30</v>
      </c>
      <c r="H8" s="26">
        <f>ROUND(RAND()*4+6,1)</f>
      </c>
      <c r="I8" s="17" t="s">
        <v>31</v>
      </c>
      <c r="J8" s="19">
        <f>ROUND(81*1,0)&amp;"%"</f>
      </c>
    </row>
    <row x14ac:dyDescent="0.25" r="9" customHeight="1" ht="17.25">
      <c r="A9" s="20" t="s">
        <v>12782</v>
      </c>
      <c r="B9" s="20" t="s">
        <v>33</v>
      </c>
      <c r="C9" s="20" t="s">
        <v>15</v>
      </c>
      <c r="D9" s="20" t="s">
        <v>34</v>
      </c>
      <c r="E9" s="21">
        <f>ROUND(10229*1.05,2)</f>
      </c>
      <c r="F9" s="20" t="s">
        <v>35</v>
      </c>
      <c r="G9" s="20" t="s">
        <v>18</v>
      </c>
      <c r="H9" s="21">
        <f>ROUND(RAND()*4+6,1)</f>
      </c>
      <c r="I9" s="20" t="s">
        <v>36</v>
      </c>
      <c r="J9" s="23">
        <f>ROUND(61*1,0)&amp;"%"</f>
      </c>
    </row>
    <row x14ac:dyDescent="0.25" r="10" customHeight="1" ht="17.25">
      <c r="A10" s="17" t="s">
        <v>12783</v>
      </c>
      <c r="B10" s="17" t="s">
        <v>38</v>
      </c>
      <c r="C10" s="17" t="s">
        <v>15</v>
      </c>
      <c r="D10" s="17" t="s">
        <v>39</v>
      </c>
      <c r="E10" s="18">
        <f>ROUND(17222*1.05,2)</f>
      </c>
      <c r="F10" s="17" t="s">
        <v>40</v>
      </c>
      <c r="G10" s="17" t="s">
        <v>24</v>
      </c>
      <c r="H10" s="18">
        <f>ROUND(RAND()*4+6,1)</f>
      </c>
      <c r="I10" s="17" t="s">
        <v>41</v>
      </c>
      <c r="J10" s="19">
        <f>ROUND(83*1,0)&amp;"%"</f>
      </c>
    </row>
    <row x14ac:dyDescent="0.25" r="11" customHeight="1" ht="17.25">
      <c r="A11" s="20" t="s">
        <v>12784</v>
      </c>
      <c r="B11" s="20" t="s">
        <v>43</v>
      </c>
      <c r="C11" s="20" t="s">
        <v>15</v>
      </c>
      <c r="D11" s="20" t="s">
        <v>67</v>
      </c>
      <c r="E11" s="21">
        <f>ROUND(8349*1.05,2)</f>
      </c>
      <c r="F11" s="20" t="s">
        <v>44</v>
      </c>
      <c r="G11" s="20" t="s">
        <v>30</v>
      </c>
      <c r="H11" s="21">
        <f>ROUND(RAND()*4+6,1)</f>
      </c>
      <c r="I11" s="20" t="s">
        <v>45</v>
      </c>
      <c r="J11" s="23">
        <f>ROUND(66*1,0)&amp;"%"</f>
      </c>
    </row>
    <row x14ac:dyDescent="0.25" r="12" customHeight="1" ht="17.25">
      <c r="A12" s="17" t="s">
        <v>12785</v>
      </c>
      <c r="B12" s="17" t="s">
        <v>47</v>
      </c>
      <c r="C12" s="17" t="s">
        <v>15</v>
      </c>
      <c r="D12" s="17" t="s">
        <v>16</v>
      </c>
      <c r="E12" s="18">
        <f>ROUND(8507*1.05,2)</f>
      </c>
      <c r="F12" s="17" t="s">
        <v>48</v>
      </c>
      <c r="G12" s="17" t="s">
        <v>18</v>
      </c>
      <c r="H12" s="18">
        <f>ROUND(RAND()*4+6,1)</f>
      </c>
      <c r="I12" s="17" t="s">
        <v>19</v>
      </c>
      <c r="J12" s="19">
        <f>ROUND(87*1,0)&amp;"%"</f>
      </c>
    </row>
    <row x14ac:dyDescent="0.25" r="13" customHeight="1" ht="17.25">
      <c r="A13" s="20" t="s">
        <v>12786</v>
      </c>
      <c r="B13" s="20" t="s">
        <v>50</v>
      </c>
      <c r="C13" s="20" t="s">
        <v>15</v>
      </c>
      <c r="D13" s="20" t="s">
        <v>22</v>
      </c>
      <c r="E13" s="21">
        <f>ROUND(6337*1.05,2)</f>
      </c>
      <c r="F13" s="20" t="s">
        <v>51</v>
      </c>
      <c r="G13" s="20" t="s">
        <v>24</v>
      </c>
      <c r="H13" s="21">
        <f>ROUND(RAND()*4+6,1)</f>
      </c>
      <c r="I13" s="20" t="s">
        <v>25</v>
      </c>
      <c r="J13" s="23">
        <f>ROUND(69*1,0)&amp;"%"</f>
      </c>
    </row>
    <row x14ac:dyDescent="0.25" r="14" customHeight="1" ht="17.25">
      <c r="A14" s="24" t="s">
        <v>52</v>
      </c>
      <c r="B14" s="24"/>
      <c r="C14" s="24"/>
      <c r="D14" s="24"/>
      <c r="E14" s="25">
        <v>8</v>
      </c>
      <c r="F14" s="9"/>
      <c r="G14" s="9"/>
      <c r="H14" s="31"/>
      <c r="I14" s="9"/>
      <c r="J14" s="9"/>
    </row>
    <row x14ac:dyDescent="0.25" r="15" customHeight="1" ht="17.25">
      <c r="A15" s="7"/>
      <c r="B15" s="7"/>
      <c r="C15" s="7"/>
      <c r="D15" s="7"/>
      <c r="E15" s="8"/>
      <c r="F15" s="9"/>
      <c r="G15" s="9"/>
      <c r="H15" s="31"/>
      <c r="I15" s="9"/>
      <c r="J15" s="9"/>
    </row>
    <row x14ac:dyDescent="0.25" r="16" customHeight="1" ht="17.25">
      <c r="A16" s="11" t="s">
        <v>12787</v>
      </c>
      <c r="B16" s="11"/>
      <c r="C16" s="11"/>
      <c r="D16" s="11"/>
      <c r="E16" s="12"/>
      <c r="F16" s="11"/>
      <c r="G16" s="11"/>
      <c r="H16" s="12"/>
      <c r="I16" s="11"/>
      <c r="J16" s="11"/>
    </row>
    <row x14ac:dyDescent="0.25" r="17" customHeight="1" ht="17.25">
      <c r="A17" s="14" t="s">
        <v>3</v>
      </c>
      <c r="B17" s="14" t="s">
        <v>4</v>
      </c>
      <c r="C17" s="14" t="s">
        <v>5</v>
      </c>
      <c r="D17" s="14" t="s">
        <v>6</v>
      </c>
      <c r="E17" s="15" t="s">
        <v>7</v>
      </c>
      <c r="F17" s="14" t="s">
        <v>8</v>
      </c>
      <c r="G17" s="14" t="s">
        <v>9</v>
      </c>
      <c r="H17" s="15" t="s">
        <v>10</v>
      </c>
      <c r="I17" s="14" t="s">
        <v>11</v>
      </c>
      <c r="J17" s="14" t="s">
        <v>12</v>
      </c>
    </row>
    <row x14ac:dyDescent="0.25" r="18" customHeight="1" ht="17.25">
      <c r="A18" s="17" t="s">
        <v>12788</v>
      </c>
      <c r="B18" s="17" t="s">
        <v>55</v>
      </c>
      <c r="C18" s="17" t="s">
        <v>56</v>
      </c>
      <c r="D18" s="17" t="s">
        <v>16</v>
      </c>
      <c r="E18" s="18">
        <f>ROUND(4703*1.05,2)</f>
      </c>
      <c r="F18" s="17" t="s">
        <v>17</v>
      </c>
      <c r="G18" s="17" t="s">
        <v>18</v>
      </c>
      <c r="H18" s="18">
        <f>ROUND(RAND()*4+6,1)</f>
      </c>
      <c r="I18" s="17" t="s">
        <v>19</v>
      </c>
      <c r="J18" s="19">
        <f>ROUND(77*1,0)&amp;"%"</f>
      </c>
    </row>
    <row x14ac:dyDescent="0.25" r="19" customHeight="1" ht="17.25">
      <c r="A19" s="20" t="s">
        <v>12789</v>
      </c>
      <c r="B19" s="20" t="s">
        <v>58</v>
      </c>
      <c r="C19" s="20" t="s">
        <v>56</v>
      </c>
      <c r="D19" s="20" t="s">
        <v>22</v>
      </c>
      <c r="E19" s="21">
        <f>ROUND(4541*1.05,2)</f>
      </c>
      <c r="F19" s="20" t="s">
        <v>23</v>
      </c>
      <c r="G19" s="20" t="s">
        <v>24</v>
      </c>
      <c r="H19" s="21">
        <f>ROUND(RAND()*4+6,1)</f>
      </c>
      <c r="I19" s="20" t="s">
        <v>25</v>
      </c>
      <c r="J19" s="23">
        <f>ROUND(75*1,0)&amp;"%"</f>
      </c>
    </row>
    <row x14ac:dyDescent="0.25" r="20" customHeight="1" ht="17.25">
      <c r="A20" s="17" t="s">
        <v>12790</v>
      </c>
      <c r="B20" s="17" t="s">
        <v>60</v>
      </c>
      <c r="C20" s="17" t="s">
        <v>56</v>
      </c>
      <c r="D20" s="17" t="s">
        <v>28</v>
      </c>
      <c r="E20" s="18">
        <f>ROUND(10010*1.05,2)</f>
      </c>
      <c r="F20" s="17" t="s">
        <v>29</v>
      </c>
      <c r="G20" s="17" t="s">
        <v>30</v>
      </c>
      <c r="H20" s="18">
        <f>ROUND(RAND()*4+6,1)</f>
      </c>
      <c r="I20" s="17" t="s">
        <v>31</v>
      </c>
      <c r="J20" s="19">
        <f>ROUND(87*1,0)&amp;"%"</f>
      </c>
    </row>
    <row x14ac:dyDescent="0.25" r="21" customHeight="1" ht="17.25">
      <c r="A21" s="20" t="s">
        <v>12791</v>
      </c>
      <c r="B21" s="20" t="s">
        <v>62</v>
      </c>
      <c r="C21" s="20" t="s">
        <v>56</v>
      </c>
      <c r="D21" s="20" t="s">
        <v>34</v>
      </c>
      <c r="E21" s="21">
        <f>ROUND(11331*1.05,2)</f>
      </c>
      <c r="F21" s="20" t="s">
        <v>35</v>
      </c>
      <c r="G21" s="20" t="s">
        <v>18</v>
      </c>
      <c r="H21" s="22">
        <f>ROUND(RAND()*4+6,1)</f>
      </c>
      <c r="I21" s="20" t="s">
        <v>36</v>
      </c>
      <c r="J21" s="23">
        <f>ROUND(75*1,0)&amp;"%"</f>
      </c>
    </row>
    <row x14ac:dyDescent="0.25" r="22" customHeight="1" ht="17.25">
      <c r="A22" s="17" t="s">
        <v>12792</v>
      </c>
      <c r="B22" s="17" t="s">
        <v>64</v>
      </c>
      <c r="C22" s="17" t="s">
        <v>56</v>
      </c>
      <c r="D22" s="17" t="s">
        <v>39</v>
      </c>
      <c r="E22" s="18">
        <f>ROUND(15307*1.05,2)</f>
      </c>
      <c r="F22" s="17" t="s">
        <v>40</v>
      </c>
      <c r="G22" s="17" t="s">
        <v>24</v>
      </c>
      <c r="H22" s="18">
        <f>ROUND(RAND()*4+6,1)</f>
      </c>
      <c r="I22" s="17" t="s">
        <v>41</v>
      </c>
      <c r="J22" s="19">
        <f>ROUND(98*1,0)&amp;"%"</f>
      </c>
    </row>
    <row x14ac:dyDescent="0.25" r="23" customHeight="1" ht="17.25">
      <c r="A23" s="20" t="s">
        <v>12793</v>
      </c>
      <c r="B23" s="20" t="s">
        <v>66</v>
      </c>
      <c r="C23" s="20" t="s">
        <v>56</v>
      </c>
      <c r="D23" s="20" t="s">
        <v>67</v>
      </c>
      <c r="E23" s="21">
        <f>ROUND(6512*1.05,2)</f>
      </c>
      <c r="F23" s="20" t="s">
        <v>44</v>
      </c>
      <c r="G23" s="20" t="s">
        <v>30</v>
      </c>
      <c r="H23" s="21">
        <f>ROUND(RAND()*4+6,1)</f>
      </c>
      <c r="I23" s="20" t="s">
        <v>45</v>
      </c>
      <c r="J23" s="23">
        <f>ROUND(91*1,0)&amp;"%"</f>
      </c>
    </row>
    <row x14ac:dyDescent="0.25" r="24" customHeight="1" ht="17.25">
      <c r="A24" s="17" t="s">
        <v>12794</v>
      </c>
      <c r="B24" s="17" t="s">
        <v>69</v>
      </c>
      <c r="C24" s="17" t="s">
        <v>56</v>
      </c>
      <c r="D24" s="17" t="s">
        <v>16</v>
      </c>
      <c r="E24" s="18">
        <f>ROUND(11487*1.05,2)</f>
      </c>
      <c r="F24" s="17" t="s">
        <v>48</v>
      </c>
      <c r="G24" s="17" t="s">
        <v>18</v>
      </c>
      <c r="H24" s="18">
        <f>ROUND(RAND()*4+6,1)</f>
      </c>
      <c r="I24" s="17" t="s">
        <v>19</v>
      </c>
      <c r="J24" s="19">
        <f>ROUND(62*1,0)&amp;"%"</f>
      </c>
    </row>
    <row x14ac:dyDescent="0.25" r="25" customHeight="1" ht="17.25">
      <c r="A25" s="20" t="s">
        <v>12795</v>
      </c>
      <c r="B25" s="20" t="s">
        <v>71</v>
      </c>
      <c r="C25" s="20" t="s">
        <v>56</v>
      </c>
      <c r="D25" s="20" t="s">
        <v>22</v>
      </c>
      <c r="E25" s="21">
        <f>ROUND(17564*1.05,2)</f>
      </c>
      <c r="F25" s="20" t="s">
        <v>51</v>
      </c>
      <c r="G25" s="20" t="s">
        <v>24</v>
      </c>
      <c r="H25" s="21">
        <f>ROUND(RAND()*4+6,1)</f>
      </c>
      <c r="I25" s="20" t="s">
        <v>25</v>
      </c>
      <c r="J25" s="23">
        <f>ROUND(92*1,0)&amp;"%"</f>
      </c>
    </row>
    <row x14ac:dyDescent="0.25" r="26" customHeight="1" ht="17.25">
      <c r="A26" s="24" t="s">
        <v>72</v>
      </c>
      <c r="B26" s="24"/>
      <c r="C26" s="24"/>
      <c r="D26" s="24"/>
      <c r="E26" s="25">
        <v>8</v>
      </c>
      <c r="F26" s="9"/>
      <c r="G26" s="9"/>
      <c r="H26" s="31"/>
      <c r="I26" s="9"/>
      <c r="J26" s="9"/>
    </row>
    <row x14ac:dyDescent="0.25" r="27" customHeight="1" ht="17.25">
      <c r="A27" s="7"/>
      <c r="B27" s="7"/>
      <c r="C27" s="7"/>
      <c r="D27" s="7"/>
      <c r="E27" s="8"/>
      <c r="F27" s="9"/>
      <c r="G27" s="9"/>
      <c r="H27" s="31"/>
      <c r="I27" s="9"/>
      <c r="J27" s="9"/>
    </row>
    <row x14ac:dyDescent="0.25" r="28" customHeight="1" ht="17.25">
      <c r="A28" s="11" t="s">
        <v>12796</v>
      </c>
      <c r="B28" s="11"/>
      <c r="C28" s="11"/>
      <c r="D28" s="11"/>
      <c r="E28" s="12"/>
      <c r="F28" s="11"/>
      <c r="G28" s="11"/>
      <c r="H28" s="12"/>
      <c r="I28" s="11"/>
      <c r="J28" s="11"/>
    </row>
    <row x14ac:dyDescent="0.25" r="29" customHeight="1" ht="17.25">
      <c r="A29" s="14" t="s">
        <v>3</v>
      </c>
      <c r="B29" s="14" t="s">
        <v>4</v>
      </c>
      <c r="C29" s="14" t="s">
        <v>5</v>
      </c>
      <c r="D29" s="14" t="s">
        <v>6</v>
      </c>
      <c r="E29" s="15" t="s">
        <v>7</v>
      </c>
      <c r="F29" s="14" t="s">
        <v>8</v>
      </c>
      <c r="G29" s="14" t="s">
        <v>9</v>
      </c>
      <c r="H29" s="15" t="s">
        <v>10</v>
      </c>
      <c r="I29" s="14" t="s">
        <v>11</v>
      </c>
      <c r="J29" s="14" t="s">
        <v>12</v>
      </c>
    </row>
    <row x14ac:dyDescent="0.25" r="30" customHeight="1" ht="17.25">
      <c r="A30" s="17" t="s">
        <v>12797</v>
      </c>
      <c r="B30" s="17" t="s">
        <v>75</v>
      </c>
      <c r="C30" s="17" t="s">
        <v>76</v>
      </c>
      <c r="D30" s="17" t="s">
        <v>16</v>
      </c>
      <c r="E30" s="18">
        <f>ROUND(4603*1.05,2)</f>
      </c>
      <c r="F30" s="17" t="s">
        <v>17</v>
      </c>
      <c r="G30" s="17" t="s">
        <v>18</v>
      </c>
      <c r="H30" s="18">
        <f>ROUND(RAND()*4+6,1)</f>
      </c>
      <c r="I30" s="17" t="s">
        <v>19</v>
      </c>
      <c r="J30" s="19">
        <f>ROUND(82*1,0)&amp;"%"</f>
      </c>
    </row>
    <row x14ac:dyDescent="0.25" r="31" customHeight="1" ht="17.25">
      <c r="A31" s="20" t="s">
        <v>12798</v>
      </c>
      <c r="B31" s="20" t="s">
        <v>78</v>
      </c>
      <c r="C31" s="20" t="s">
        <v>76</v>
      </c>
      <c r="D31" s="20" t="s">
        <v>22</v>
      </c>
      <c r="E31" s="21">
        <f>ROUND(12478*1.05,2)</f>
      </c>
      <c r="F31" s="20" t="s">
        <v>23</v>
      </c>
      <c r="G31" s="20" t="s">
        <v>24</v>
      </c>
      <c r="H31" s="21">
        <f>ROUND(RAND()*4+6,1)</f>
      </c>
      <c r="I31" s="20" t="s">
        <v>25</v>
      </c>
      <c r="J31" s="23">
        <f>ROUND(61*1,0)&amp;"%"</f>
      </c>
    </row>
    <row x14ac:dyDescent="0.25" r="32" customHeight="1" ht="17.25">
      <c r="A32" s="17" t="s">
        <v>12799</v>
      </c>
      <c r="B32" s="17" t="s">
        <v>80</v>
      </c>
      <c r="C32" s="17" t="s">
        <v>76</v>
      </c>
      <c r="D32" s="17" t="s">
        <v>28</v>
      </c>
      <c r="E32" s="18">
        <f>ROUND(13138*1.05,2)</f>
      </c>
      <c r="F32" s="17" t="s">
        <v>29</v>
      </c>
      <c r="G32" s="17" t="s">
        <v>30</v>
      </c>
      <c r="H32" s="18">
        <f>ROUND(RAND()*4+6,1)</f>
      </c>
      <c r="I32" s="17" t="s">
        <v>31</v>
      </c>
      <c r="J32" s="19">
        <f>ROUND(93*1,0)&amp;"%"</f>
      </c>
    </row>
    <row x14ac:dyDescent="0.25" r="33" customHeight="1" ht="17.25">
      <c r="A33" s="20" t="s">
        <v>12800</v>
      </c>
      <c r="B33" s="20" t="s">
        <v>82</v>
      </c>
      <c r="C33" s="20" t="s">
        <v>76</v>
      </c>
      <c r="D33" s="20" t="s">
        <v>34</v>
      </c>
      <c r="E33" s="21">
        <f>ROUND(6356*1.05,2)</f>
      </c>
      <c r="F33" s="20" t="s">
        <v>35</v>
      </c>
      <c r="G33" s="20" t="s">
        <v>18</v>
      </c>
      <c r="H33" s="21">
        <f>ROUND(RAND()*4+6,1)</f>
      </c>
      <c r="I33" s="20" t="s">
        <v>36</v>
      </c>
      <c r="J33" s="23">
        <f>ROUND(74*1,0)&amp;"%"</f>
      </c>
    </row>
    <row x14ac:dyDescent="0.25" r="34" customHeight="1" ht="17.25">
      <c r="A34" s="17" t="s">
        <v>12801</v>
      </c>
      <c r="B34" s="17" t="s">
        <v>84</v>
      </c>
      <c r="C34" s="17" t="s">
        <v>76</v>
      </c>
      <c r="D34" s="17" t="s">
        <v>39</v>
      </c>
      <c r="E34" s="18">
        <f>ROUND(12759*1.05,2)</f>
      </c>
      <c r="F34" s="17" t="s">
        <v>40</v>
      </c>
      <c r="G34" s="17" t="s">
        <v>24</v>
      </c>
      <c r="H34" s="18">
        <f>ROUND(RAND()*4+6,1)</f>
      </c>
      <c r="I34" s="17" t="s">
        <v>41</v>
      </c>
      <c r="J34" s="19">
        <f>ROUND(91*1,0)&amp;"%"</f>
      </c>
    </row>
    <row x14ac:dyDescent="0.25" r="35" customHeight="1" ht="17.25">
      <c r="A35" s="20" t="s">
        <v>12802</v>
      </c>
      <c r="B35" s="20" t="s">
        <v>86</v>
      </c>
      <c r="C35" s="20" t="s">
        <v>76</v>
      </c>
      <c r="D35" s="20" t="s">
        <v>67</v>
      </c>
      <c r="E35" s="21">
        <f>ROUND(17439*1.05,2)</f>
      </c>
      <c r="F35" s="20" t="s">
        <v>44</v>
      </c>
      <c r="G35" s="20" t="s">
        <v>30</v>
      </c>
      <c r="H35" s="22">
        <f>ROUND(RAND()*4+6,1)</f>
      </c>
      <c r="I35" s="20" t="s">
        <v>45</v>
      </c>
      <c r="J35" s="23">
        <f>ROUND(86*1,0)&amp;"%"</f>
      </c>
    </row>
    <row x14ac:dyDescent="0.25" r="36" customHeight="1" ht="17.25">
      <c r="A36" s="17" t="s">
        <v>12803</v>
      </c>
      <c r="B36" s="17" t="s">
        <v>88</v>
      </c>
      <c r="C36" s="17" t="s">
        <v>76</v>
      </c>
      <c r="D36" s="17" t="s">
        <v>16</v>
      </c>
      <c r="E36" s="18">
        <f>ROUND(7095*1.05,2)</f>
      </c>
      <c r="F36" s="17" t="s">
        <v>48</v>
      </c>
      <c r="G36" s="17" t="s">
        <v>18</v>
      </c>
      <c r="H36" s="18">
        <f>ROUND(RAND()*4+6,1)</f>
      </c>
      <c r="I36" s="17" t="s">
        <v>19</v>
      </c>
      <c r="J36" s="19">
        <f>ROUND(79*1,0)&amp;"%"</f>
      </c>
    </row>
    <row x14ac:dyDescent="0.25" r="37" customHeight="1" ht="17.25">
      <c r="A37" s="20" t="s">
        <v>12804</v>
      </c>
      <c r="B37" s="20" t="s">
        <v>90</v>
      </c>
      <c r="C37" s="20" t="s">
        <v>76</v>
      </c>
      <c r="D37" s="20" t="s">
        <v>22</v>
      </c>
      <c r="E37" s="21">
        <f>ROUND(9234*1.05,2)</f>
      </c>
      <c r="F37" s="20" t="s">
        <v>51</v>
      </c>
      <c r="G37" s="20" t="s">
        <v>24</v>
      </c>
      <c r="H37" s="21">
        <f>ROUND(RAND()*4+6,1)</f>
      </c>
      <c r="I37" s="20" t="s">
        <v>25</v>
      </c>
      <c r="J37" s="23">
        <f>ROUND(100*1,0)&amp;"%"</f>
      </c>
    </row>
    <row x14ac:dyDescent="0.25" r="38" customHeight="1" ht="17.25">
      <c r="A38" s="24" t="s">
        <v>91</v>
      </c>
      <c r="B38" s="24"/>
      <c r="C38" s="24"/>
      <c r="D38" s="24"/>
      <c r="E38" s="25">
        <v>8</v>
      </c>
      <c r="F38" s="9"/>
      <c r="G38" s="9"/>
      <c r="H38" s="31"/>
      <c r="I38" s="9"/>
      <c r="J38" s="9"/>
    </row>
    <row x14ac:dyDescent="0.25" r="39" customHeight="1" ht="17.25">
      <c r="A39" s="7"/>
      <c r="B39" s="7"/>
      <c r="C39" s="7"/>
      <c r="D39" s="7"/>
      <c r="E39" s="8"/>
      <c r="F39" s="9"/>
      <c r="G39" s="9"/>
      <c r="H39" s="31"/>
      <c r="I39" s="9"/>
      <c r="J39" s="9"/>
    </row>
    <row x14ac:dyDescent="0.25" r="40" customHeight="1" ht="17.25">
      <c r="A40" s="11" t="s">
        <v>12805</v>
      </c>
      <c r="B40" s="11"/>
      <c r="C40" s="11"/>
      <c r="D40" s="11"/>
      <c r="E40" s="12"/>
      <c r="F40" s="11"/>
      <c r="G40" s="11"/>
      <c r="H40" s="12"/>
      <c r="I40" s="11"/>
      <c r="J40" s="11"/>
    </row>
    <row x14ac:dyDescent="0.25" r="41" customHeight="1" ht="17.25">
      <c r="A41" s="14" t="s">
        <v>3</v>
      </c>
      <c r="B41" s="14" t="s">
        <v>4</v>
      </c>
      <c r="C41" s="14" t="s">
        <v>5</v>
      </c>
      <c r="D41" s="14" t="s">
        <v>6</v>
      </c>
      <c r="E41" s="15" t="s">
        <v>7</v>
      </c>
      <c r="F41" s="14" t="s">
        <v>8</v>
      </c>
      <c r="G41" s="14" t="s">
        <v>9</v>
      </c>
      <c r="H41" s="15" t="s">
        <v>10</v>
      </c>
      <c r="I41" s="14" t="s">
        <v>11</v>
      </c>
      <c r="J41" s="14" t="s">
        <v>12</v>
      </c>
    </row>
    <row x14ac:dyDescent="0.25" r="42" customHeight="1" ht="17.25">
      <c r="A42" s="17" t="s">
        <v>12806</v>
      </c>
      <c r="B42" s="17" t="s">
        <v>94</v>
      </c>
      <c r="C42" s="17" t="s">
        <v>95</v>
      </c>
      <c r="D42" s="17" t="s">
        <v>16</v>
      </c>
      <c r="E42" s="18">
        <f>ROUND(12086*1.05,2)</f>
      </c>
      <c r="F42" s="17" t="s">
        <v>17</v>
      </c>
      <c r="G42" s="17" t="s">
        <v>18</v>
      </c>
      <c r="H42" s="18">
        <f>ROUND(RAND()*4+6,1)</f>
      </c>
      <c r="I42" s="17" t="s">
        <v>19</v>
      </c>
      <c r="J42" s="19">
        <f>ROUND(77*1,0)&amp;"%"</f>
      </c>
    </row>
    <row x14ac:dyDescent="0.25" r="43" customHeight="1" ht="17.25">
      <c r="A43" s="20" t="s">
        <v>12807</v>
      </c>
      <c r="B43" s="20" t="s">
        <v>97</v>
      </c>
      <c r="C43" s="20" t="s">
        <v>95</v>
      </c>
      <c r="D43" s="20" t="s">
        <v>22</v>
      </c>
      <c r="E43" s="21">
        <f>ROUND(17512*1.05,2)</f>
      </c>
      <c r="F43" s="20" t="s">
        <v>23</v>
      </c>
      <c r="G43" s="20" t="s">
        <v>24</v>
      </c>
      <c r="H43" s="21">
        <f>ROUND(RAND()*4+6,1)</f>
      </c>
      <c r="I43" s="20" t="s">
        <v>25</v>
      </c>
      <c r="J43" s="23">
        <f>ROUND(74*1,0)&amp;"%"</f>
      </c>
    </row>
    <row x14ac:dyDescent="0.25" r="44" customHeight="1" ht="17.25">
      <c r="A44" s="17" t="s">
        <v>12808</v>
      </c>
      <c r="B44" s="17" t="s">
        <v>99</v>
      </c>
      <c r="C44" s="17" t="s">
        <v>95</v>
      </c>
      <c r="D44" s="17" t="s">
        <v>28</v>
      </c>
      <c r="E44" s="18">
        <f>ROUND(7861*1.05,2)</f>
      </c>
      <c r="F44" s="17" t="s">
        <v>29</v>
      </c>
      <c r="G44" s="17" t="s">
        <v>30</v>
      </c>
      <c r="H44" s="18">
        <f>ROUND(RAND()*4+6,1)</f>
      </c>
      <c r="I44" s="17" t="s">
        <v>31</v>
      </c>
      <c r="J44" s="19">
        <f>ROUND(79*1,0)&amp;"%"</f>
      </c>
    </row>
    <row x14ac:dyDescent="0.25" r="45" customHeight="1" ht="17.25">
      <c r="A45" s="20" t="s">
        <v>12809</v>
      </c>
      <c r="B45" s="20" t="s">
        <v>101</v>
      </c>
      <c r="C45" s="20" t="s">
        <v>95</v>
      </c>
      <c r="D45" s="20" t="s">
        <v>34</v>
      </c>
      <c r="E45" s="21">
        <f>ROUND(7269*1.05,2)</f>
      </c>
      <c r="F45" s="20" t="s">
        <v>35</v>
      </c>
      <c r="G45" s="20" t="s">
        <v>18</v>
      </c>
      <c r="H45" s="21">
        <f>ROUND(RAND()*4+6,1)</f>
      </c>
      <c r="I45" s="20" t="s">
        <v>36</v>
      </c>
      <c r="J45" s="23">
        <f>ROUND(91*1,0)&amp;"%"</f>
      </c>
    </row>
    <row x14ac:dyDescent="0.25" r="46" customHeight="1" ht="17.25">
      <c r="A46" s="17" t="s">
        <v>12810</v>
      </c>
      <c r="B46" s="17" t="s">
        <v>103</v>
      </c>
      <c r="C46" s="17" t="s">
        <v>95</v>
      </c>
      <c r="D46" s="17" t="s">
        <v>39</v>
      </c>
      <c r="E46" s="18">
        <f>ROUND(11302*1.05,2)</f>
      </c>
      <c r="F46" s="17" t="s">
        <v>40</v>
      </c>
      <c r="G46" s="17" t="s">
        <v>24</v>
      </c>
      <c r="H46" s="18">
        <f>ROUND(RAND()*4+6,1)</f>
      </c>
      <c r="I46" s="17" t="s">
        <v>41</v>
      </c>
      <c r="J46" s="19">
        <f>ROUND(61*1,0)&amp;"%"</f>
      </c>
    </row>
    <row x14ac:dyDescent="0.25" r="47" customHeight="1" ht="17.25">
      <c r="A47" s="20" t="s">
        <v>12811</v>
      </c>
      <c r="B47" s="20" t="s">
        <v>105</v>
      </c>
      <c r="C47" s="20" t="s">
        <v>95</v>
      </c>
      <c r="D47" s="20" t="s">
        <v>67</v>
      </c>
      <c r="E47" s="21">
        <f>ROUND(14743*1.05,2)</f>
      </c>
      <c r="F47" s="20" t="s">
        <v>44</v>
      </c>
      <c r="G47" s="20" t="s">
        <v>30</v>
      </c>
      <c r="H47" s="21">
        <f>ROUND(RAND()*4+6,1)</f>
      </c>
      <c r="I47" s="20" t="s">
        <v>45</v>
      </c>
      <c r="J47" s="23">
        <f>ROUND(85*1,0)&amp;"%"</f>
      </c>
    </row>
    <row x14ac:dyDescent="0.25" r="48" customHeight="1" ht="17.25">
      <c r="A48" s="17" t="s">
        <v>12812</v>
      </c>
      <c r="B48" s="17" t="s">
        <v>107</v>
      </c>
      <c r="C48" s="17" t="s">
        <v>95</v>
      </c>
      <c r="D48" s="17" t="s">
        <v>16</v>
      </c>
      <c r="E48" s="18">
        <f>ROUND(10235*1.05,2)</f>
      </c>
      <c r="F48" s="17" t="s">
        <v>48</v>
      </c>
      <c r="G48" s="17" t="s">
        <v>18</v>
      </c>
      <c r="H48" s="18">
        <f>ROUND(RAND()*4+6,1)</f>
      </c>
      <c r="I48" s="17" t="s">
        <v>19</v>
      </c>
      <c r="J48" s="19">
        <f>ROUND(91*1,0)&amp;"%"</f>
      </c>
    </row>
    <row x14ac:dyDescent="0.25" r="49" customHeight="1" ht="17.25">
      <c r="A49" s="20" t="s">
        <v>12813</v>
      </c>
      <c r="B49" s="20" t="s">
        <v>109</v>
      </c>
      <c r="C49" s="20" t="s">
        <v>95</v>
      </c>
      <c r="D49" s="20" t="s">
        <v>22</v>
      </c>
      <c r="E49" s="21">
        <f>ROUND(9912*1.05,2)</f>
      </c>
      <c r="F49" s="20" t="s">
        <v>51</v>
      </c>
      <c r="G49" s="20" t="s">
        <v>24</v>
      </c>
      <c r="H49" s="21">
        <f>ROUND(RAND()*4+6,1)</f>
      </c>
      <c r="I49" s="20" t="s">
        <v>25</v>
      </c>
      <c r="J49" s="23">
        <f>ROUND(72*1,0)&amp;"%"</f>
      </c>
    </row>
    <row x14ac:dyDescent="0.25" r="50" customHeight="1" ht="17.25">
      <c r="A50" s="24" t="s">
        <v>110</v>
      </c>
      <c r="B50" s="24"/>
      <c r="C50" s="24"/>
      <c r="D50" s="24"/>
      <c r="E50" s="25">
        <v>8</v>
      </c>
      <c r="F50" s="9"/>
      <c r="G50" s="9"/>
      <c r="H50" s="31"/>
      <c r="I50" s="9"/>
      <c r="J50" s="9"/>
    </row>
    <row x14ac:dyDescent="0.25" r="51" customHeight="1" ht="17.25">
      <c r="A51" s="7"/>
      <c r="B51" s="7"/>
      <c r="C51" s="7"/>
      <c r="D51" s="7"/>
      <c r="E51" s="8"/>
      <c r="F51" s="9"/>
      <c r="G51" s="9"/>
      <c r="H51" s="31"/>
      <c r="I51" s="9"/>
      <c r="J51" s="9"/>
    </row>
    <row x14ac:dyDescent="0.25" r="52" customHeight="1" ht="17.25">
      <c r="A52" s="11" t="s">
        <v>12814</v>
      </c>
      <c r="B52" s="11"/>
      <c r="C52" s="11"/>
      <c r="D52" s="11"/>
      <c r="E52" s="12"/>
      <c r="F52" s="11"/>
      <c r="G52" s="11"/>
      <c r="H52" s="12"/>
      <c r="I52" s="11"/>
      <c r="J52" s="11"/>
    </row>
    <row x14ac:dyDescent="0.25" r="53" customHeight="1" ht="17.25">
      <c r="A53" s="14" t="s">
        <v>3</v>
      </c>
      <c r="B53" s="14" t="s">
        <v>4</v>
      </c>
      <c r="C53" s="14" t="s">
        <v>5</v>
      </c>
      <c r="D53" s="14" t="s">
        <v>6</v>
      </c>
      <c r="E53" s="15" t="s">
        <v>7</v>
      </c>
      <c r="F53" s="14" t="s">
        <v>8</v>
      </c>
      <c r="G53" s="14" t="s">
        <v>9</v>
      </c>
      <c r="H53" s="15" t="s">
        <v>10</v>
      </c>
      <c r="I53" s="14" t="s">
        <v>11</v>
      </c>
      <c r="J53" s="14" t="s">
        <v>12</v>
      </c>
    </row>
    <row x14ac:dyDescent="0.25" r="54" customHeight="1" ht="17.25">
      <c r="A54" s="17" t="s">
        <v>12815</v>
      </c>
      <c r="B54" s="17" t="s">
        <v>113</v>
      </c>
      <c r="C54" s="17" t="s">
        <v>114</v>
      </c>
      <c r="D54" s="17" t="s">
        <v>16</v>
      </c>
      <c r="E54" s="18">
        <f>ROUND(6948*1.05,2)</f>
      </c>
      <c r="F54" s="17" t="s">
        <v>17</v>
      </c>
      <c r="G54" s="17" t="s">
        <v>18</v>
      </c>
      <c r="H54" s="18">
        <f>ROUND(RAND()*4+6,1)</f>
      </c>
      <c r="I54" s="17" t="s">
        <v>19</v>
      </c>
      <c r="J54" s="19">
        <f>ROUND(92*1,0)&amp;"%"</f>
      </c>
    </row>
    <row x14ac:dyDescent="0.25" r="55" customHeight="1" ht="17.25">
      <c r="A55" s="20" t="s">
        <v>12816</v>
      </c>
      <c r="B55" s="20" t="s">
        <v>116</v>
      </c>
      <c r="C55" s="20" t="s">
        <v>114</v>
      </c>
      <c r="D55" s="20" t="s">
        <v>22</v>
      </c>
      <c r="E55" s="21">
        <f>ROUND(12619*1.05,2)</f>
      </c>
      <c r="F55" s="20" t="s">
        <v>23</v>
      </c>
      <c r="G55" s="20" t="s">
        <v>24</v>
      </c>
      <c r="H55" s="22">
        <f>ROUND(RAND()*4+6,1)</f>
      </c>
      <c r="I55" s="20" t="s">
        <v>25</v>
      </c>
      <c r="J55" s="23">
        <f>ROUND(81*1,0)&amp;"%"</f>
      </c>
    </row>
    <row x14ac:dyDescent="0.25" r="56" customHeight="1" ht="17.25">
      <c r="A56" s="17" t="s">
        <v>12817</v>
      </c>
      <c r="B56" s="17" t="s">
        <v>118</v>
      </c>
      <c r="C56" s="17" t="s">
        <v>114</v>
      </c>
      <c r="D56" s="17" t="s">
        <v>28</v>
      </c>
      <c r="E56" s="18">
        <f>ROUND(14056*1.05,2)</f>
      </c>
      <c r="F56" s="17" t="s">
        <v>29</v>
      </c>
      <c r="G56" s="17" t="s">
        <v>30</v>
      </c>
      <c r="H56" s="18">
        <f>ROUND(RAND()*4+6,1)</f>
      </c>
      <c r="I56" s="17" t="s">
        <v>31</v>
      </c>
      <c r="J56" s="19">
        <f>ROUND(99*1,0)&amp;"%"</f>
      </c>
    </row>
    <row x14ac:dyDescent="0.25" r="57" customHeight="1" ht="17.25">
      <c r="A57" s="20" t="s">
        <v>12818</v>
      </c>
      <c r="B57" s="20" t="s">
        <v>120</v>
      </c>
      <c r="C57" s="20" t="s">
        <v>114</v>
      </c>
      <c r="D57" s="20" t="s">
        <v>34</v>
      </c>
      <c r="E57" s="21">
        <f>ROUND(14324*1.05,2)</f>
      </c>
      <c r="F57" s="20" t="s">
        <v>35</v>
      </c>
      <c r="G57" s="20" t="s">
        <v>18</v>
      </c>
      <c r="H57" s="21">
        <f>ROUND(RAND()*4+6,1)</f>
      </c>
      <c r="I57" s="20" t="s">
        <v>36</v>
      </c>
      <c r="J57" s="23">
        <f>ROUND(74*1,0)&amp;"%"</f>
      </c>
    </row>
    <row x14ac:dyDescent="0.25" r="58" customHeight="1" ht="17.25">
      <c r="A58" s="17" t="s">
        <v>12819</v>
      </c>
      <c r="B58" s="17" t="s">
        <v>122</v>
      </c>
      <c r="C58" s="17" t="s">
        <v>114</v>
      </c>
      <c r="D58" s="17" t="s">
        <v>39</v>
      </c>
      <c r="E58" s="18">
        <f>ROUND(4062*1.05,2)</f>
      </c>
      <c r="F58" s="17" t="s">
        <v>40</v>
      </c>
      <c r="G58" s="17" t="s">
        <v>24</v>
      </c>
      <c r="H58" s="18">
        <f>ROUND(RAND()*4+6,1)</f>
      </c>
      <c r="I58" s="17" t="s">
        <v>41</v>
      </c>
      <c r="J58" s="19">
        <f>ROUND(94*1,0)&amp;"%"</f>
      </c>
    </row>
    <row x14ac:dyDescent="0.25" r="59" customHeight="1" ht="17.25">
      <c r="A59" s="20" t="s">
        <v>12820</v>
      </c>
      <c r="B59" s="20" t="s">
        <v>124</v>
      </c>
      <c r="C59" s="20" t="s">
        <v>114</v>
      </c>
      <c r="D59" s="20" t="s">
        <v>67</v>
      </c>
      <c r="E59" s="21">
        <f>ROUND(9501*1.05,2)</f>
      </c>
      <c r="F59" s="20" t="s">
        <v>44</v>
      </c>
      <c r="G59" s="20" t="s">
        <v>30</v>
      </c>
      <c r="H59" s="21">
        <f>ROUND(RAND()*4+6,1)</f>
      </c>
      <c r="I59" s="20" t="s">
        <v>45</v>
      </c>
      <c r="J59" s="23">
        <f>ROUND(87*1,0)&amp;"%"</f>
      </c>
    </row>
    <row x14ac:dyDescent="0.25" r="60" customHeight="1" ht="17.25">
      <c r="A60" s="17" t="s">
        <v>12821</v>
      </c>
      <c r="B60" s="17" t="s">
        <v>126</v>
      </c>
      <c r="C60" s="17" t="s">
        <v>114</v>
      </c>
      <c r="D60" s="17" t="s">
        <v>16</v>
      </c>
      <c r="E60" s="18">
        <f>ROUND(12389*1.05,2)</f>
      </c>
      <c r="F60" s="17" t="s">
        <v>48</v>
      </c>
      <c r="G60" s="17" t="s">
        <v>18</v>
      </c>
      <c r="H60" s="18">
        <f>ROUND(RAND()*4+6,1)</f>
      </c>
      <c r="I60" s="17" t="s">
        <v>19</v>
      </c>
      <c r="J60" s="19">
        <f>ROUND(64*1,0)&amp;"%"</f>
      </c>
    </row>
    <row x14ac:dyDescent="0.25" r="61" customHeight="1" ht="17.25">
      <c r="A61" s="20" t="s">
        <v>12822</v>
      </c>
      <c r="B61" s="20" t="s">
        <v>128</v>
      </c>
      <c r="C61" s="20" t="s">
        <v>114</v>
      </c>
      <c r="D61" s="20" t="s">
        <v>22</v>
      </c>
      <c r="E61" s="21">
        <f>ROUND(10921*1.05,2)</f>
      </c>
      <c r="F61" s="20" t="s">
        <v>51</v>
      </c>
      <c r="G61" s="20" t="s">
        <v>24</v>
      </c>
      <c r="H61" s="21">
        <f>ROUND(RAND()*4+6,1)</f>
      </c>
      <c r="I61" s="20" t="s">
        <v>25</v>
      </c>
      <c r="J61" s="23">
        <f>ROUND(89*1,0)&amp;"%"</f>
      </c>
    </row>
    <row x14ac:dyDescent="0.25" r="62" customHeight="1" ht="17.25">
      <c r="A62" s="24" t="s">
        <v>129</v>
      </c>
      <c r="B62" s="24"/>
      <c r="C62" s="24"/>
      <c r="D62" s="24"/>
      <c r="E62" s="25">
        <v>8</v>
      </c>
      <c r="F62" s="9"/>
      <c r="G62" s="9"/>
      <c r="H62" s="31"/>
      <c r="I62" s="9"/>
      <c r="J62" s="9"/>
    </row>
    <row x14ac:dyDescent="0.25" r="63" customHeight="1" ht="17.25">
      <c r="A63" s="7"/>
      <c r="B63" s="7"/>
      <c r="C63" s="7"/>
      <c r="D63" s="7"/>
      <c r="E63" s="8"/>
      <c r="F63" s="9"/>
      <c r="G63" s="9"/>
      <c r="H63" s="31"/>
      <c r="I63" s="9"/>
      <c r="J63" s="9"/>
    </row>
    <row x14ac:dyDescent="0.25" r="64" customHeight="1" ht="17.25">
      <c r="A64" s="11" t="s">
        <v>12823</v>
      </c>
      <c r="B64" s="11"/>
      <c r="C64" s="11"/>
      <c r="D64" s="11"/>
      <c r="E64" s="12"/>
      <c r="F64" s="11"/>
      <c r="G64" s="11"/>
      <c r="H64" s="12"/>
      <c r="I64" s="11"/>
      <c r="J64" s="11"/>
    </row>
    <row x14ac:dyDescent="0.25" r="65" customHeight="1" ht="17.25">
      <c r="A65" s="14" t="s">
        <v>3</v>
      </c>
      <c r="B65" s="14" t="s">
        <v>4</v>
      </c>
      <c r="C65" s="14" t="s">
        <v>5</v>
      </c>
      <c r="D65" s="14" t="s">
        <v>6</v>
      </c>
      <c r="E65" s="15" t="s">
        <v>7</v>
      </c>
      <c r="F65" s="14" t="s">
        <v>8</v>
      </c>
      <c r="G65" s="14" t="s">
        <v>9</v>
      </c>
      <c r="H65" s="15" t="s">
        <v>10</v>
      </c>
      <c r="I65" s="14" t="s">
        <v>11</v>
      </c>
      <c r="J65" s="14" t="s">
        <v>12</v>
      </c>
    </row>
    <row x14ac:dyDescent="0.25" r="66" customHeight="1" ht="17.25">
      <c r="A66" s="17" t="s">
        <v>12824</v>
      </c>
      <c r="B66" s="17" t="s">
        <v>132</v>
      </c>
      <c r="C66" s="17" t="s">
        <v>133</v>
      </c>
      <c r="D66" s="17" t="s">
        <v>16</v>
      </c>
      <c r="E66" s="18">
        <f>ROUND(12232*1.05,2)</f>
      </c>
      <c r="F66" s="17" t="s">
        <v>17</v>
      </c>
      <c r="G66" s="17" t="s">
        <v>18</v>
      </c>
      <c r="H66" s="18">
        <f>ROUND(RAND()*4+6,1)</f>
      </c>
      <c r="I66" s="17" t="s">
        <v>19</v>
      </c>
      <c r="J66" s="19">
        <f>ROUND(87*1,0)&amp;"%"</f>
      </c>
    </row>
    <row x14ac:dyDescent="0.25" r="67" customHeight="1" ht="17.25">
      <c r="A67" s="20" t="s">
        <v>12825</v>
      </c>
      <c r="B67" s="20" t="s">
        <v>135</v>
      </c>
      <c r="C67" s="20" t="s">
        <v>133</v>
      </c>
      <c r="D67" s="20" t="s">
        <v>22</v>
      </c>
      <c r="E67" s="22">
        <f>ROUND(11200*1.05,2)</f>
      </c>
      <c r="F67" s="20" t="s">
        <v>23</v>
      </c>
      <c r="G67" s="20" t="s">
        <v>24</v>
      </c>
      <c r="H67" s="22">
        <f>ROUND(RAND()*4+6,1)</f>
      </c>
      <c r="I67" s="20" t="s">
        <v>25</v>
      </c>
      <c r="J67" s="23">
        <f>ROUND(67*1,0)&amp;"%"</f>
      </c>
    </row>
    <row x14ac:dyDescent="0.25" r="68" customHeight="1" ht="17.25">
      <c r="A68" s="17" t="s">
        <v>12826</v>
      </c>
      <c r="B68" s="17" t="s">
        <v>137</v>
      </c>
      <c r="C68" s="17" t="s">
        <v>133</v>
      </c>
      <c r="D68" s="17" t="s">
        <v>28</v>
      </c>
      <c r="E68" s="18">
        <f>ROUND(6833*1.05,2)</f>
      </c>
      <c r="F68" s="17" t="s">
        <v>29</v>
      </c>
      <c r="G68" s="17" t="s">
        <v>30</v>
      </c>
      <c r="H68" s="18">
        <f>ROUND(RAND()*4+6,1)</f>
      </c>
      <c r="I68" s="17" t="s">
        <v>31</v>
      </c>
      <c r="J68" s="19">
        <f>ROUND(90*1,0)&amp;"%"</f>
      </c>
    </row>
    <row x14ac:dyDescent="0.25" r="69" customHeight="1" ht="17.25">
      <c r="A69" s="20" t="s">
        <v>12827</v>
      </c>
      <c r="B69" s="20" t="s">
        <v>139</v>
      </c>
      <c r="C69" s="20" t="s">
        <v>133</v>
      </c>
      <c r="D69" s="20" t="s">
        <v>34</v>
      </c>
      <c r="E69" s="21">
        <f>ROUND(13144*1.05,2)</f>
      </c>
      <c r="F69" s="20" t="s">
        <v>35</v>
      </c>
      <c r="G69" s="20" t="s">
        <v>18</v>
      </c>
      <c r="H69" s="21">
        <f>ROUND(RAND()*4+6,1)</f>
      </c>
      <c r="I69" s="20" t="s">
        <v>36</v>
      </c>
      <c r="J69" s="23">
        <f>ROUND(89*1,0)&amp;"%"</f>
      </c>
    </row>
    <row x14ac:dyDescent="0.25" r="70" customHeight="1" ht="17.25">
      <c r="A70" s="17" t="s">
        <v>12828</v>
      </c>
      <c r="B70" s="17" t="s">
        <v>141</v>
      </c>
      <c r="C70" s="17" t="s">
        <v>133</v>
      </c>
      <c r="D70" s="17" t="s">
        <v>39</v>
      </c>
      <c r="E70" s="26">
        <f>ROUND(9880*1.05,2)</f>
      </c>
      <c r="F70" s="17" t="s">
        <v>40</v>
      </c>
      <c r="G70" s="17" t="s">
        <v>24</v>
      </c>
      <c r="H70" s="18">
        <f>ROUND(RAND()*4+6,1)</f>
      </c>
      <c r="I70" s="17" t="s">
        <v>41</v>
      </c>
      <c r="J70" s="19">
        <f>ROUND(94*1,0)&amp;"%"</f>
      </c>
    </row>
    <row x14ac:dyDescent="0.25" r="71" customHeight="1" ht="17.25">
      <c r="A71" s="20" t="s">
        <v>12829</v>
      </c>
      <c r="B71" s="20" t="s">
        <v>143</v>
      </c>
      <c r="C71" s="20" t="s">
        <v>133</v>
      </c>
      <c r="D71" s="20" t="s">
        <v>67</v>
      </c>
      <c r="E71" s="21">
        <f>ROUND(15808*1.05,2)</f>
      </c>
      <c r="F71" s="20" t="s">
        <v>44</v>
      </c>
      <c r="G71" s="20" t="s">
        <v>30</v>
      </c>
      <c r="H71" s="22">
        <f>ROUND(RAND()*4+6,1)</f>
      </c>
      <c r="I71" s="20" t="s">
        <v>45</v>
      </c>
      <c r="J71" s="23">
        <f>ROUND(73*1,0)&amp;"%"</f>
      </c>
    </row>
    <row x14ac:dyDescent="0.25" r="72" customHeight="1" ht="17.25">
      <c r="A72" s="17" t="s">
        <v>12830</v>
      </c>
      <c r="B72" s="17" t="s">
        <v>145</v>
      </c>
      <c r="C72" s="17" t="s">
        <v>133</v>
      </c>
      <c r="D72" s="17" t="s">
        <v>16</v>
      </c>
      <c r="E72" s="18">
        <f>ROUND(5664*1.05,2)</f>
      </c>
      <c r="F72" s="17" t="s">
        <v>48</v>
      </c>
      <c r="G72" s="17" t="s">
        <v>18</v>
      </c>
      <c r="H72" s="18">
        <f>ROUND(RAND()*4+6,1)</f>
      </c>
      <c r="I72" s="17" t="s">
        <v>19</v>
      </c>
      <c r="J72" s="19">
        <f>ROUND(81*1,0)&amp;"%"</f>
      </c>
    </row>
    <row x14ac:dyDescent="0.25" r="73" customHeight="1" ht="17.25">
      <c r="A73" s="20" t="s">
        <v>12831</v>
      </c>
      <c r="B73" s="20" t="s">
        <v>147</v>
      </c>
      <c r="C73" s="20" t="s">
        <v>133</v>
      </c>
      <c r="D73" s="20" t="s">
        <v>22</v>
      </c>
      <c r="E73" s="22">
        <f>ROUND(13080*1.05,2)</f>
      </c>
      <c r="F73" s="20" t="s">
        <v>51</v>
      </c>
      <c r="G73" s="20" t="s">
        <v>24</v>
      </c>
      <c r="H73" s="21">
        <f>ROUND(RAND()*4+6,1)</f>
      </c>
      <c r="I73" s="20" t="s">
        <v>25</v>
      </c>
      <c r="J73" s="23">
        <f>ROUND(69*1,0)&amp;"%"</f>
      </c>
    </row>
    <row x14ac:dyDescent="0.25" r="74" customHeight="1" ht="17.25">
      <c r="A74" s="24" t="s">
        <v>148</v>
      </c>
      <c r="B74" s="24"/>
      <c r="C74" s="24"/>
      <c r="D74" s="24"/>
      <c r="E74" s="25">
        <v>8</v>
      </c>
      <c r="F74" s="9"/>
      <c r="G74" s="9"/>
      <c r="H74" s="31"/>
      <c r="I74" s="9"/>
      <c r="J74" s="9"/>
    </row>
    <row x14ac:dyDescent="0.25" r="75" customHeight="1" ht="17.25">
      <c r="A75" s="7"/>
      <c r="B75" s="7"/>
      <c r="C75" s="7"/>
      <c r="D75" s="7"/>
      <c r="E75" s="8"/>
      <c r="F75" s="9"/>
      <c r="G75" s="9"/>
      <c r="H75" s="31"/>
      <c r="I75" s="9"/>
      <c r="J75" s="9"/>
    </row>
    <row x14ac:dyDescent="0.25" r="76" customHeight="1" ht="17.25">
      <c r="A76" s="11" t="s">
        <v>12832</v>
      </c>
      <c r="B76" s="11"/>
      <c r="C76" s="11"/>
      <c r="D76" s="11"/>
      <c r="E76" s="12"/>
      <c r="F76" s="11"/>
      <c r="G76" s="11"/>
      <c r="H76" s="12"/>
      <c r="I76" s="11"/>
      <c r="J76" s="11"/>
    </row>
    <row x14ac:dyDescent="0.25" r="77" customHeight="1" ht="17.25">
      <c r="A77" s="14" t="s">
        <v>3</v>
      </c>
      <c r="B77" s="14" t="s">
        <v>4</v>
      </c>
      <c r="C77" s="14" t="s">
        <v>5</v>
      </c>
      <c r="D77" s="14" t="s">
        <v>6</v>
      </c>
      <c r="E77" s="15" t="s">
        <v>7</v>
      </c>
      <c r="F77" s="14" t="s">
        <v>8</v>
      </c>
      <c r="G77" s="14" t="s">
        <v>9</v>
      </c>
      <c r="H77" s="15" t="s">
        <v>10</v>
      </c>
      <c r="I77" s="14" t="s">
        <v>11</v>
      </c>
      <c r="J77" s="14" t="s">
        <v>12</v>
      </c>
    </row>
    <row x14ac:dyDescent="0.25" r="78" customHeight="1" ht="17.25">
      <c r="A78" s="17" t="s">
        <v>12833</v>
      </c>
      <c r="B78" s="17" t="s">
        <v>151</v>
      </c>
      <c r="C78" s="17" t="s">
        <v>152</v>
      </c>
      <c r="D78" s="17" t="s">
        <v>16</v>
      </c>
      <c r="E78" s="18">
        <f>ROUND(12743*1.05,2)</f>
      </c>
      <c r="F78" s="17" t="s">
        <v>17</v>
      </c>
      <c r="G78" s="17" t="s">
        <v>18</v>
      </c>
      <c r="H78" s="18">
        <f>ROUND(RAND()*4+6,1)</f>
      </c>
      <c r="I78" s="17" t="s">
        <v>19</v>
      </c>
      <c r="J78" s="19">
        <f>ROUND(99*1,0)&amp;"%"</f>
      </c>
    </row>
    <row x14ac:dyDescent="0.25" r="79" customHeight="1" ht="17.25">
      <c r="A79" s="20" t="s">
        <v>12834</v>
      </c>
      <c r="B79" s="20" t="s">
        <v>154</v>
      </c>
      <c r="C79" s="20" t="s">
        <v>152</v>
      </c>
      <c r="D79" s="20" t="s">
        <v>22</v>
      </c>
      <c r="E79" s="21">
        <f>ROUND(5839*1.05,2)</f>
      </c>
      <c r="F79" s="20" t="s">
        <v>23</v>
      </c>
      <c r="G79" s="20" t="s">
        <v>24</v>
      </c>
      <c r="H79" s="21">
        <f>ROUND(RAND()*4+6,1)</f>
      </c>
      <c r="I79" s="20" t="s">
        <v>25</v>
      </c>
      <c r="J79" s="23">
        <f>ROUND(91*1,0)&amp;"%"</f>
      </c>
    </row>
    <row x14ac:dyDescent="0.25" r="80" customHeight="1" ht="17.25">
      <c r="A80" s="17" t="s">
        <v>12835</v>
      </c>
      <c r="B80" s="17" t="s">
        <v>156</v>
      </c>
      <c r="C80" s="17" t="s">
        <v>152</v>
      </c>
      <c r="D80" s="17" t="s">
        <v>28</v>
      </c>
      <c r="E80" s="18">
        <f>ROUND(13961*1.05,2)</f>
      </c>
      <c r="F80" s="17" t="s">
        <v>29</v>
      </c>
      <c r="G80" s="17" t="s">
        <v>30</v>
      </c>
      <c r="H80" s="18">
        <f>ROUND(RAND()*4+6,1)</f>
      </c>
      <c r="I80" s="17" t="s">
        <v>31</v>
      </c>
      <c r="J80" s="19">
        <f>ROUND(66*1,0)&amp;"%"</f>
      </c>
    </row>
    <row x14ac:dyDescent="0.25" r="81" customHeight="1" ht="17.25">
      <c r="A81" s="20" t="s">
        <v>12836</v>
      </c>
      <c r="B81" s="20" t="s">
        <v>158</v>
      </c>
      <c r="C81" s="20" t="s">
        <v>152</v>
      </c>
      <c r="D81" s="20" t="s">
        <v>34</v>
      </c>
      <c r="E81" s="21">
        <f>ROUND(5932*1.05,2)</f>
      </c>
      <c r="F81" s="20" t="s">
        <v>35</v>
      </c>
      <c r="G81" s="20" t="s">
        <v>18</v>
      </c>
      <c r="H81" s="21">
        <f>ROUND(RAND()*4+6,1)</f>
      </c>
      <c r="I81" s="20" t="s">
        <v>36</v>
      </c>
      <c r="J81" s="23">
        <f>ROUND(89*1,0)&amp;"%"</f>
      </c>
    </row>
    <row x14ac:dyDescent="0.25" r="82" customHeight="1" ht="17.25">
      <c r="A82" s="17" t="s">
        <v>12837</v>
      </c>
      <c r="B82" s="17" t="s">
        <v>160</v>
      </c>
      <c r="C82" s="17" t="s">
        <v>152</v>
      </c>
      <c r="D82" s="17" t="s">
        <v>39</v>
      </c>
      <c r="E82" s="18">
        <f>ROUND(5158*1.05,2)</f>
      </c>
      <c r="F82" s="17" t="s">
        <v>40</v>
      </c>
      <c r="G82" s="17" t="s">
        <v>24</v>
      </c>
      <c r="H82" s="18">
        <f>ROUND(RAND()*4+6,1)</f>
      </c>
      <c r="I82" s="17" t="s">
        <v>41</v>
      </c>
      <c r="J82" s="19">
        <f>ROUND(84*1,0)&amp;"%"</f>
      </c>
    </row>
    <row x14ac:dyDescent="0.25" r="83" customHeight="1" ht="17.25">
      <c r="A83" s="20" t="s">
        <v>12838</v>
      </c>
      <c r="B83" s="20" t="s">
        <v>162</v>
      </c>
      <c r="C83" s="20" t="s">
        <v>152</v>
      </c>
      <c r="D83" s="20" t="s">
        <v>67</v>
      </c>
      <c r="E83" s="21">
        <f>ROUND(7169*1.05,2)</f>
      </c>
      <c r="F83" s="20" t="s">
        <v>44</v>
      </c>
      <c r="G83" s="20" t="s">
        <v>30</v>
      </c>
      <c r="H83" s="21">
        <f>ROUND(RAND()*4+6,1)</f>
      </c>
      <c r="I83" s="20" t="s">
        <v>45</v>
      </c>
      <c r="J83" s="23">
        <f>ROUND(72*1,0)&amp;"%"</f>
      </c>
    </row>
    <row x14ac:dyDescent="0.25" r="84" customHeight="1" ht="17.25">
      <c r="A84" s="17" t="s">
        <v>12839</v>
      </c>
      <c r="B84" s="17" t="s">
        <v>164</v>
      </c>
      <c r="C84" s="17" t="s">
        <v>152</v>
      </c>
      <c r="D84" s="17" t="s">
        <v>16</v>
      </c>
      <c r="E84" s="18">
        <f>ROUND(8942*1.05,2)</f>
      </c>
      <c r="F84" s="17" t="s">
        <v>48</v>
      </c>
      <c r="G84" s="17" t="s">
        <v>18</v>
      </c>
      <c r="H84" s="18">
        <f>ROUND(RAND()*4+6,1)</f>
      </c>
      <c r="I84" s="17" t="s">
        <v>19</v>
      </c>
      <c r="J84" s="19">
        <f>ROUND(93*1,0)&amp;"%"</f>
      </c>
    </row>
    <row x14ac:dyDescent="0.25" r="85" customHeight="1" ht="17.25">
      <c r="A85" s="20" t="s">
        <v>12840</v>
      </c>
      <c r="B85" s="20" t="s">
        <v>166</v>
      </c>
      <c r="C85" s="20" t="s">
        <v>152</v>
      </c>
      <c r="D85" s="20" t="s">
        <v>22</v>
      </c>
      <c r="E85" s="21">
        <f>ROUND(12962*1.05,2)</f>
      </c>
      <c r="F85" s="20" t="s">
        <v>51</v>
      </c>
      <c r="G85" s="20" t="s">
        <v>24</v>
      </c>
      <c r="H85" s="21">
        <f>ROUND(RAND()*4+6,1)</f>
      </c>
      <c r="I85" s="20" t="s">
        <v>25</v>
      </c>
      <c r="J85" s="23">
        <f>ROUND(83*1,0)&amp;"%"</f>
      </c>
    </row>
    <row x14ac:dyDescent="0.25" r="86" customHeight="1" ht="17.25">
      <c r="A86" s="24" t="s">
        <v>167</v>
      </c>
      <c r="B86" s="24"/>
      <c r="C86" s="24"/>
      <c r="D86" s="24"/>
      <c r="E86" s="25">
        <v>8</v>
      </c>
      <c r="F86" s="9"/>
      <c r="G86" s="9"/>
      <c r="H86" s="31"/>
      <c r="I86" s="9"/>
      <c r="J86" s="9"/>
    </row>
    <row x14ac:dyDescent="0.25" r="87" customHeight="1" ht="17.25">
      <c r="A87" s="7"/>
      <c r="B87" s="7"/>
      <c r="C87" s="7"/>
      <c r="D87" s="7"/>
      <c r="E87" s="8"/>
      <c r="F87" s="9"/>
      <c r="G87" s="9"/>
      <c r="H87" s="31"/>
      <c r="I87" s="9"/>
      <c r="J87" s="9"/>
    </row>
    <row x14ac:dyDescent="0.25" r="88" customHeight="1" ht="17.25">
      <c r="A88" s="11" t="s">
        <v>12841</v>
      </c>
      <c r="B88" s="11"/>
      <c r="C88" s="11"/>
      <c r="D88" s="11"/>
      <c r="E88" s="12"/>
      <c r="F88" s="11"/>
      <c r="G88" s="11"/>
      <c r="H88" s="12"/>
      <c r="I88" s="11"/>
      <c r="J88" s="11"/>
    </row>
    <row x14ac:dyDescent="0.25" r="89" customHeight="1" ht="17.25">
      <c r="A89" s="14" t="s">
        <v>3</v>
      </c>
      <c r="B89" s="14" t="s">
        <v>4</v>
      </c>
      <c r="C89" s="14" t="s">
        <v>5</v>
      </c>
      <c r="D89" s="14" t="s">
        <v>6</v>
      </c>
      <c r="E89" s="15" t="s">
        <v>7</v>
      </c>
      <c r="F89" s="14" t="s">
        <v>8</v>
      </c>
      <c r="G89" s="14" t="s">
        <v>9</v>
      </c>
      <c r="H89" s="15" t="s">
        <v>10</v>
      </c>
      <c r="I89" s="14" t="s">
        <v>11</v>
      </c>
      <c r="J89" s="14" t="s">
        <v>12</v>
      </c>
    </row>
    <row x14ac:dyDescent="0.25" r="90" customHeight="1" ht="17.25">
      <c r="A90" s="17" t="s">
        <v>12842</v>
      </c>
      <c r="B90" s="17" t="s">
        <v>170</v>
      </c>
      <c r="C90" s="17" t="s">
        <v>15</v>
      </c>
      <c r="D90" s="17" t="s">
        <v>16</v>
      </c>
      <c r="E90" s="18">
        <f>ROUND(4176*1.05,2)</f>
      </c>
      <c r="F90" s="17" t="s">
        <v>17</v>
      </c>
      <c r="G90" s="17" t="s">
        <v>18</v>
      </c>
      <c r="H90" s="18">
        <f>ROUND(RAND()*4+6,1)</f>
      </c>
      <c r="I90" s="17" t="s">
        <v>19</v>
      </c>
      <c r="J90" s="19">
        <f>ROUND(65*1,0)&amp;"%"</f>
      </c>
    </row>
    <row x14ac:dyDescent="0.25" r="91" customHeight="1" ht="17.25">
      <c r="A91" s="20" t="s">
        <v>12843</v>
      </c>
      <c r="B91" s="20" t="s">
        <v>172</v>
      </c>
      <c r="C91" s="20" t="s">
        <v>15</v>
      </c>
      <c r="D91" s="20" t="s">
        <v>22</v>
      </c>
      <c r="E91" s="21">
        <f>ROUND(11669*1.05,2)</f>
      </c>
      <c r="F91" s="20" t="s">
        <v>23</v>
      </c>
      <c r="G91" s="20" t="s">
        <v>24</v>
      </c>
      <c r="H91" s="21">
        <f>ROUND(RAND()*4+6,1)</f>
      </c>
      <c r="I91" s="20" t="s">
        <v>25</v>
      </c>
      <c r="J91" s="23">
        <f>ROUND(100*1,0)&amp;"%"</f>
      </c>
    </row>
    <row x14ac:dyDescent="0.25" r="92" customHeight="1" ht="17.25">
      <c r="A92" s="17" t="s">
        <v>12844</v>
      </c>
      <c r="B92" s="17" t="s">
        <v>174</v>
      </c>
      <c r="C92" s="17" t="s">
        <v>15</v>
      </c>
      <c r="D92" s="17" t="s">
        <v>28</v>
      </c>
      <c r="E92" s="18">
        <f>ROUND(15362*1.05,2)</f>
      </c>
      <c r="F92" s="17" t="s">
        <v>29</v>
      </c>
      <c r="G92" s="17" t="s">
        <v>30</v>
      </c>
      <c r="H92" s="18">
        <f>ROUND(RAND()*4+6,1)</f>
      </c>
      <c r="I92" s="17" t="s">
        <v>31</v>
      </c>
      <c r="J92" s="19">
        <f>ROUND(97*1,0)&amp;"%"</f>
      </c>
    </row>
    <row x14ac:dyDescent="0.25" r="93" customHeight="1" ht="17.25">
      <c r="A93" s="20" t="s">
        <v>12845</v>
      </c>
      <c r="B93" s="20" t="s">
        <v>176</v>
      </c>
      <c r="C93" s="20" t="s">
        <v>15</v>
      </c>
      <c r="D93" s="20" t="s">
        <v>34</v>
      </c>
      <c r="E93" s="21">
        <f>ROUND(10366*1.05,2)</f>
      </c>
      <c r="F93" s="20" t="s">
        <v>35</v>
      </c>
      <c r="G93" s="20" t="s">
        <v>18</v>
      </c>
      <c r="H93" s="22">
        <f>ROUND(RAND()*4+6,1)</f>
      </c>
      <c r="I93" s="20" t="s">
        <v>36</v>
      </c>
      <c r="J93" s="23">
        <f>ROUND(82*1,0)&amp;"%"</f>
      </c>
    </row>
    <row x14ac:dyDescent="0.25" r="94" customHeight="1" ht="17.25">
      <c r="A94" s="17" t="s">
        <v>12846</v>
      </c>
      <c r="B94" s="17" t="s">
        <v>178</v>
      </c>
      <c r="C94" s="17" t="s">
        <v>15</v>
      </c>
      <c r="D94" s="17" t="s">
        <v>39</v>
      </c>
      <c r="E94" s="18">
        <f>ROUND(13344*1.05,2)</f>
      </c>
      <c r="F94" s="17" t="s">
        <v>40</v>
      </c>
      <c r="G94" s="17" t="s">
        <v>24</v>
      </c>
      <c r="H94" s="18">
        <f>ROUND(RAND()*4+6,1)</f>
      </c>
      <c r="I94" s="17" t="s">
        <v>41</v>
      </c>
      <c r="J94" s="19">
        <f>ROUND(92*1,0)&amp;"%"</f>
      </c>
    </row>
    <row x14ac:dyDescent="0.25" r="95" customHeight="1" ht="17.25">
      <c r="A95" s="20" t="s">
        <v>12847</v>
      </c>
      <c r="B95" s="20" t="s">
        <v>180</v>
      </c>
      <c r="C95" s="20" t="s">
        <v>15</v>
      </c>
      <c r="D95" s="20" t="s">
        <v>67</v>
      </c>
      <c r="E95" s="21">
        <f>ROUND(11723*1.05,2)</f>
      </c>
      <c r="F95" s="20" t="s">
        <v>44</v>
      </c>
      <c r="G95" s="20" t="s">
        <v>30</v>
      </c>
      <c r="H95" s="21">
        <f>ROUND(RAND()*4+6,1)</f>
      </c>
      <c r="I95" s="20" t="s">
        <v>45</v>
      </c>
      <c r="J95" s="23">
        <f>ROUND(75*1,0)&amp;"%"</f>
      </c>
    </row>
    <row x14ac:dyDescent="0.25" r="96" customHeight="1" ht="17.25">
      <c r="A96" s="17" t="s">
        <v>12848</v>
      </c>
      <c r="B96" s="17" t="s">
        <v>182</v>
      </c>
      <c r="C96" s="17" t="s">
        <v>15</v>
      </c>
      <c r="D96" s="17" t="s">
        <v>16</v>
      </c>
      <c r="E96" s="18">
        <f>ROUND(9886*1.05,2)</f>
      </c>
      <c r="F96" s="17" t="s">
        <v>48</v>
      </c>
      <c r="G96" s="17" t="s">
        <v>18</v>
      </c>
      <c r="H96" s="18">
        <f>ROUND(RAND()*4+6,1)</f>
      </c>
      <c r="I96" s="17" t="s">
        <v>19</v>
      </c>
      <c r="J96" s="19">
        <f>ROUND(92*1,0)&amp;"%"</f>
      </c>
    </row>
    <row x14ac:dyDescent="0.25" r="97" customHeight="1" ht="17.25">
      <c r="A97" s="20" t="s">
        <v>12849</v>
      </c>
      <c r="B97" s="20" t="s">
        <v>184</v>
      </c>
      <c r="C97" s="20" t="s">
        <v>15</v>
      </c>
      <c r="D97" s="20" t="s">
        <v>22</v>
      </c>
      <c r="E97" s="21">
        <f>ROUND(10850*1.05,2)</f>
      </c>
      <c r="F97" s="20" t="s">
        <v>51</v>
      </c>
      <c r="G97" s="20" t="s">
        <v>24</v>
      </c>
      <c r="H97" s="22">
        <f>ROUND(RAND()*4+6,1)</f>
      </c>
      <c r="I97" s="20" t="s">
        <v>25</v>
      </c>
      <c r="J97" s="23">
        <f>ROUND(98*1,0)&amp;"%"</f>
      </c>
    </row>
    <row x14ac:dyDescent="0.25" r="98" customHeight="1" ht="17.25">
      <c r="A98" s="24" t="s">
        <v>185</v>
      </c>
      <c r="B98" s="24"/>
      <c r="C98" s="24"/>
      <c r="D98" s="24"/>
      <c r="E98" s="25">
        <v>8</v>
      </c>
      <c r="F98" s="9"/>
      <c r="G98" s="9"/>
      <c r="H98" s="31"/>
      <c r="I98" s="9"/>
      <c r="J98" s="9"/>
    </row>
    <row x14ac:dyDescent="0.25" r="99" customHeight="1" ht="17.25">
      <c r="A99" s="7"/>
      <c r="B99" s="7"/>
      <c r="C99" s="7"/>
      <c r="D99" s="7"/>
      <c r="E99" s="8"/>
      <c r="F99" s="9"/>
      <c r="G99" s="9"/>
      <c r="H99" s="31"/>
      <c r="I99" s="9"/>
      <c r="J99" s="9"/>
    </row>
    <row x14ac:dyDescent="0.25" r="100" customHeight="1" ht="17.25">
      <c r="A100" s="11" t="s">
        <v>12850</v>
      </c>
      <c r="B100" s="11"/>
      <c r="C100" s="11"/>
      <c r="D100" s="11"/>
      <c r="E100" s="12"/>
      <c r="F100" s="11"/>
      <c r="G100" s="11"/>
      <c r="H100" s="12"/>
      <c r="I100" s="11"/>
      <c r="J100" s="11"/>
    </row>
    <row x14ac:dyDescent="0.25" r="101" customHeight="1" ht="17.25">
      <c r="A101" s="14" t="s">
        <v>3</v>
      </c>
      <c r="B101" s="14" t="s">
        <v>4</v>
      </c>
      <c r="C101" s="14" t="s">
        <v>5</v>
      </c>
      <c r="D101" s="14" t="s">
        <v>6</v>
      </c>
      <c r="E101" s="15" t="s">
        <v>7</v>
      </c>
      <c r="F101" s="14" t="s">
        <v>8</v>
      </c>
      <c r="G101" s="14" t="s">
        <v>9</v>
      </c>
      <c r="H101" s="15" t="s">
        <v>10</v>
      </c>
      <c r="I101" s="14" t="s">
        <v>11</v>
      </c>
      <c r="J101" s="14" t="s">
        <v>12</v>
      </c>
    </row>
    <row x14ac:dyDescent="0.25" r="102" customHeight="1" ht="17.25">
      <c r="A102" s="17" t="s">
        <v>12851</v>
      </c>
      <c r="B102" s="17" t="s">
        <v>188</v>
      </c>
      <c r="C102" s="17" t="s">
        <v>56</v>
      </c>
      <c r="D102" s="17" t="s">
        <v>16</v>
      </c>
      <c r="E102" s="18">
        <f>ROUND(17485*1.05,2)</f>
      </c>
      <c r="F102" s="17" t="s">
        <v>17</v>
      </c>
      <c r="G102" s="17" t="s">
        <v>18</v>
      </c>
      <c r="H102" s="18">
        <f>ROUND(RAND()*4+6,1)</f>
      </c>
      <c r="I102" s="17" t="s">
        <v>19</v>
      </c>
      <c r="J102" s="19">
        <f>ROUND(70*1,0)&amp;"%"</f>
      </c>
    </row>
    <row x14ac:dyDescent="0.25" r="103" customHeight="1" ht="17.25">
      <c r="A103" s="20" t="s">
        <v>12852</v>
      </c>
      <c r="B103" s="20" t="s">
        <v>190</v>
      </c>
      <c r="C103" s="20" t="s">
        <v>56</v>
      </c>
      <c r="D103" s="20" t="s">
        <v>22</v>
      </c>
      <c r="E103" s="21">
        <f>ROUND(12081*1.05,2)</f>
      </c>
      <c r="F103" s="20" t="s">
        <v>23</v>
      </c>
      <c r="G103" s="20" t="s">
        <v>24</v>
      </c>
      <c r="H103" s="22">
        <f>ROUND(RAND()*4+6,1)</f>
      </c>
      <c r="I103" s="20" t="s">
        <v>25</v>
      </c>
      <c r="J103" s="23">
        <f>ROUND(67*1,0)&amp;"%"</f>
      </c>
    </row>
    <row x14ac:dyDescent="0.25" r="104" customHeight="1" ht="17.25">
      <c r="A104" s="17" t="s">
        <v>12853</v>
      </c>
      <c r="B104" s="17" t="s">
        <v>192</v>
      </c>
      <c r="C104" s="17" t="s">
        <v>56</v>
      </c>
      <c r="D104" s="17" t="s">
        <v>28</v>
      </c>
      <c r="E104" s="18">
        <f>ROUND(8776*1.05,2)</f>
      </c>
      <c r="F104" s="17" t="s">
        <v>29</v>
      </c>
      <c r="G104" s="17" t="s">
        <v>30</v>
      </c>
      <c r="H104" s="18">
        <f>ROUND(RAND()*4+6,1)</f>
      </c>
      <c r="I104" s="17" t="s">
        <v>31</v>
      </c>
      <c r="J104" s="19">
        <f>ROUND(95*1,0)&amp;"%"</f>
      </c>
    </row>
    <row x14ac:dyDescent="0.25" r="105" customHeight="1" ht="17.25">
      <c r="A105" s="20" t="s">
        <v>12854</v>
      </c>
      <c r="B105" s="20" t="s">
        <v>194</v>
      </c>
      <c r="C105" s="20" t="s">
        <v>56</v>
      </c>
      <c r="D105" s="20" t="s">
        <v>34</v>
      </c>
      <c r="E105" s="21">
        <f>ROUND(12479*1.05,2)</f>
      </c>
      <c r="F105" s="20" t="s">
        <v>35</v>
      </c>
      <c r="G105" s="20" t="s">
        <v>18</v>
      </c>
      <c r="H105" s="22">
        <f>ROUND(RAND()*4+6,1)</f>
      </c>
      <c r="I105" s="20" t="s">
        <v>36</v>
      </c>
      <c r="J105" s="23">
        <f>ROUND(66*1,0)&amp;"%"</f>
      </c>
    </row>
    <row x14ac:dyDescent="0.25" r="106" customHeight="1" ht="17.25">
      <c r="A106" s="17" t="s">
        <v>12855</v>
      </c>
      <c r="B106" s="17" t="s">
        <v>196</v>
      </c>
      <c r="C106" s="17" t="s">
        <v>56</v>
      </c>
      <c r="D106" s="17" t="s">
        <v>39</v>
      </c>
      <c r="E106" s="18">
        <f>ROUND(11869*1.05,2)</f>
      </c>
      <c r="F106" s="17" t="s">
        <v>40</v>
      </c>
      <c r="G106" s="17" t="s">
        <v>24</v>
      </c>
      <c r="H106" s="18">
        <f>ROUND(RAND()*4+6,1)</f>
      </c>
      <c r="I106" s="17" t="s">
        <v>41</v>
      </c>
      <c r="J106" s="19">
        <f>ROUND(83*1,0)&amp;"%"</f>
      </c>
    </row>
    <row x14ac:dyDescent="0.25" r="107" customHeight="1" ht="17.25">
      <c r="A107" s="20" t="s">
        <v>12856</v>
      </c>
      <c r="B107" s="20" t="s">
        <v>198</v>
      </c>
      <c r="C107" s="20" t="s">
        <v>56</v>
      </c>
      <c r="D107" s="20" t="s">
        <v>67</v>
      </c>
      <c r="E107" s="21">
        <f>ROUND(8238*1.05,2)</f>
      </c>
      <c r="F107" s="20" t="s">
        <v>44</v>
      </c>
      <c r="G107" s="20" t="s">
        <v>30</v>
      </c>
      <c r="H107" s="21">
        <f>ROUND(RAND()*4+6,1)</f>
      </c>
      <c r="I107" s="20" t="s">
        <v>45</v>
      </c>
      <c r="J107" s="23">
        <f>ROUND(81*1,0)&amp;"%"</f>
      </c>
    </row>
    <row x14ac:dyDescent="0.25" r="108" customHeight="1" ht="17.25">
      <c r="A108" s="17" t="s">
        <v>12857</v>
      </c>
      <c r="B108" s="17" t="s">
        <v>200</v>
      </c>
      <c r="C108" s="17" t="s">
        <v>56</v>
      </c>
      <c r="D108" s="17" t="s">
        <v>16</v>
      </c>
      <c r="E108" s="18">
        <f>ROUND(6179*1.05,2)</f>
      </c>
      <c r="F108" s="17" t="s">
        <v>48</v>
      </c>
      <c r="G108" s="17" t="s">
        <v>18</v>
      </c>
      <c r="H108" s="18">
        <f>ROUND(RAND()*4+6,1)</f>
      </c>
      <c r="I108" s="17" t="s">
        <v>19</v>
      </c>
      <c r="J108" s="19">
        <f>ROUND(94*1,0)&amp;"%"</f>
      </c>
    </row>
    <row x14ac:dyDescent="0.25" r="109" customHeight="1" ht="17.25">
      <c r="A109" s="20" t="s">
        <v>12858</v>
      </c>
      <c r="B109" s="20" t="s">
        <v>202</v>
      </c>
      <c r="C109" s="20" t="s">
        <v>56</v>
      </c>
      <c r="D109" s="20" t="s">
        <v>22</v>
      </c>
      <c r="E109" s="21">
        <f>ROUND(14852*1.05,2)</f>
      </c>
      <c r="F109" s="20" t="s">
        <v>51</v>
      </c>
      <c r="G109" s="20" t="s">
        <v>24</v>
      </c>
      <c r="H109" s="21">
        <f>ROUND(RAND()*4+6,1)</f>
      </c>
      <c r="I109" s="20" t="s">
        <v>25</v>
      </c>
      <c r="J109" s="23">
        <f>ROUND(97*1,0)&amp;"%"</f>
      </c>
    </row>
    <row x14ac:dyDescent="0.25" r="110" customHeight="1" ht="17.25">
      <c r="A110" s="24" t="s">
        <v>203</v>
      </c>
      <c r="B110" s="24"/>
      <c r="C110" s="24"/>
      <c r="D110" s="24"/>
      <c r="E110" s="25">
        <v>8</v>
      </c>
      <c r="F110" s="9"/>
      <c r="G110" s="9"/>
      <c r="H110" s="31"/>
      <c r="I110" s="9"/>
      <c r="J110" s="9"/>
    </row>
    <row x14ac:dyDescent="0.25" r="111" customHeight="1" ht="17.25">
      <c r="A111" s="7"/>
      <c r="B111" s="7"/>
      <c r="C111" s="7"/>
      <c r="D111" s="7"/>
      <c r="E111" s="8"/>
      <c r="F111" s="9"/>
      <c r="G111" s="9"/>
      <c r="H111" s="31"/>
      <c r="I111" s="9"/>
      <c r="J111" s="9"/>
    </row>
    <row x14ac:dyDescent="0.25" r="112" customHeight="1" ht="17.25">
      <c r="A112" s="11" t="s">
        <v>12859</v>
      </c>
      <c r="B112" s="11"/>
      <c r="C112" s="11"/>
      <c r="D112" s="11"/>
      <c r="E112" s="12"/>
      <c r="F112" s="11"/>
      <c r="G112" s="11"/>
      <c r="H112" s="12"/>
      <c r="I112" s="11"/>
      <c r="J112" s="11"/>
    </row>
    <row x14ac:dyDescent="0.25" r="113" customHeight="1" ht="17.25">
      <c r="A113" s="14" t="s">
        <v>3</v>
      </c>
      <c r="B113" s="14" t="s">
        <v>4</v>
      </c>
      <c r="C113" s="14" t="s">
        <v>5</v>
      </c>
      <c r="D113" s="14" t="s">
        <v>6</v>
      </c>
      <c r="E113" s="15" t="s">
        <v>7</v>
      </c>
      <c r="F113" s="14" t="s">
        <v>8</v>
      </c>
      <c r="G113" s="14" t="s">
        <v>9</v>
      </c>
      <c r="H113" s="15" t="s">
        <v>10</v>
      </c>
      <c r="I113" s="14" t="s">
        <v>11</v>
      </c>
      <c r="J113" s="14" t="s">
        <v>12</v>
      </c>
    </row>
    <row x14ac:dyDescent="0.25" r="114" customHeight="1" ht="17.25">
      <c r="A114" s="17" t="s">
        <v>12860</v>
      </c>
      <c r="B114" s="17" t="s">
        <v>206</v>
      </c>
      <c r="C114" s="17" t="s">
        <v>76</v>
      </c>
      <c r="D114" s="17" t="s">
        <v>16</v>
      </c>
      <c r="E114" s="18">
        <f>ROUND(8890*1.05,2)</f>
      </c>
      <c r="F114" s="17" t="s">
        <v>17</v>
      </c>
      <c r="G114" s="17" t="s">
        <v>18</v>
      </c>
      <c r="H114" s="26">
        <f>ROUND(RAND()*4+6,1)</f>
      </c>
      <c r="I114" s="17" t="s">
        <v>19</v>
      </c>
      <c r="J114" s="19">
        <f>ROUND(70*1,0)&amp;"%"</f>
      </c>
    </row>
    <row x14ac:dyDescent="0.25" r="115" customHeight="1" ht="17.25">
      <c r="A115" s="20" t="s">
        <v>12861</v>
      </c>
      <c r="B115" s="20" t="s">
        <v>208</v>
      </c>
      <c r="C115" s="20" t="s">
        <v>76</v>
      </c>
      <c r="D115" s="20" t="s">
        <v>22</v>
      </c>
      <c r="E115" s="21">
        <f>ROUND(16274*1.05,2)</f>
      </c>
      <c r="F115" s="20" t="s">
        <v>23</v>
      </c>
      <c r="G115" s="20" t="s">
        <v>24</v>
      </c>
      <c r="H115" s="21">
        <f>ROUND(RAND()*4+6,1)</f>
      </c>
      <c r="I115" s="20" t="s">
        <v>25</v>
      </c>
      <c r="J115" s="23">
        <f>ROUND(65*1,0)&amp;"%"</f>
      </c>
    </row>
    <row x14ac:dyDescent="0.25" r="116" customHeight="1" ht="17.25">
      <c r="A116" s="17" t="s">
        <v>12862</v>
      </c>
      <c r="B116" s="17" t="s">
        <v>210</v>
      </c>
      <c r="C116" s="17" t="s">
        <v>76</v>
      </c>
      <c r="D116" s="17" t="s">
        <v>28</v>
      </c>
      <c r="E116" s="18">
        <f>ROUND(14977*1.05,2)</f>
      </c>
      <c r="F116" s="17" t="s">
        <v>29</v>
      </c>
      <c r="G116" s="17" t="s">
        <v>30</v>
      </c>
      <c r="H116" s="18">
        <f>ROUND(RAND()*4+6,1)</f>
      </c>
      <c r="I116" s="17" t="s">
        <v>31</v>
      </c>
      <c r="J116" s="19">
        <f>ROUND(76*1,0)&amp;"%"</f>
      </c>
    </row>
    <row x14ac:dyDescent="0.25" r="117" customHeight="1" ht="17.25">
      <c r="A117" s="20" t="s">
        <v>12863</v>
      </c>
      <c r="B117" s="20" t="s">
        <v>212</v>
      </c>
      <c r="C117" s="20" t="s">
        <v>76</v>
      </c>
      <c r="D117" s="20" t="s">
        <v>34</v>
      </c>
      <c r="E117" s="21">
        <f>ROUND(12214*1.05,2)</f>
      </c>
      <c r="F117" s="20" t="s">
        <v>35</v>
      </c>
      <c r="G117" s="20" t="s">
        <v>18</v>
      </c>
      <c r="H117" s="21">
        <f>ROUND(RAND()*4+6,1)</f>
      </c>
      <c r="I117" s="20" t="s">
        <v>36</v>
      </c>
      <c r="J117" s="23">
        <f>ROUND(65*1,0)&amp;"%"</f>
      </c>
    </row>
    <row x14ac:dyDescent="0.25" r="118" customHeight="1" ht="17.25">
      <c r="A118" s="17" t="s">
        <v>12864</v>
      </c>
      <c r="B118" s="17" t="s">
        <v>214</v>
      </c>
      <c r="C118" s="17" t="s">
        <v>76</v>
      </c>
      <c r="D118" s="17" t="s">
        <v>39</v>
      </c>
      <c r="E118" s="18">
        <f>ROUND(13127*1.05,2)</f>
      </c>
      <c r="F118" s="17" t="s">
        <v>40</v>
      </c>
      <c r="G118" s="17" t="s">
        <v>24</v>
      </c>
      <c r="H118" s="18">
        <f>ROUND(RAND()*4+6,1)</f>
      </c>
      <c r="I118" s="17" t="s">
        <v>41</v>
      </c>
      <c r="J118" s="19">
        <f>ROUND(92*1,0)&amp;"%"</f>
      </c>
    </row>
    <row x14ac:dyDescent="0.25" r="119" customHeight="1" ht="17.25">
      <c r="A119" s="20" t="s">
        <v>12865</v>
      </c>
      <c r="B119" s="20" t="s">
        <v>216</v>
      </c>
      <c r="C119" s="20" t="s">
        <v>76</v>
      </c>
      <c r="D119" s="20" t="s">
        <v>67</v>
      </c>
      <c r="E119" s="21">
        <f>ROUND(17650*1.05,2)</f>
      </c>
      <c r="F119" s="20" t="s">
        <v>44</v>
      </c>
      <c r="G119" s="20" t="s">
        <v>30</v>
      </c>
      <c r="H119" s="21">
        <f>ROUND(RAND()*4+6,1)</f>
      </c>
      <c r="I119" s="20" t="s">
        <v>45</v>
      </c>
      <c r="J119" s="23">
        <f>ROUND(72*1,0)&amp;"%"</f>
      </c>
    </row>
    <row x14ac:dyDescent="0.25" r="120" customHeight="1" ht="17.25">
      <c r="A120" s="17" t="s">
        <v>12866</v>
      </c>
      <c r="B120" s="17" t="s">
        <v>218</v>
      </c>
      <c r="C120" s="17" t="s">
        <v>76</v>
      </c>
      <c r="D120" s="17" t="s">
        <v>16</v>
      </c>
      <c r="E120" s="18">
        <f>ROUND(15889*1.05,2)</f>
      </c>
      <c r="F120" s="17" t="s">
        <v>48</v>
      </c>
      <c r="G120" s="17" t="s">
        <v>18</v>
      </c>
      <c r="H120" s="18">
        <f>ROUND(RAND()*4+6,1)</f>
      </c>
      <c r="I120" s="17" t="s">
        <v>19</v>
      </c>
      <c r="J120" s="19">
        <f>ROUND(89*1,0)&amp;"%"</f>
      </c>
    </row>
    <row x14ac:dyDescent="0.25" r="121" customHeight="1" ht="17.25">
      <c r="A121" s="20" t="s">
        <v>12867</v>
      </c>
      <c r="B121" s="20" t="s">
        <v>220</v>
      </c>
      <c r="C121" s="20" t="s">
        <v>76</v>
      </c>
      <c r="D121" s="20" t="s">
        <v>22</v>
      </c>
      <c r="E121" s="21">
        <f>ROUND(6247*1.05,2)</f>
      </c>
      <c r="F121" s="20" t="s">
        <v>51</v>
      </c>
      <c r="G121" s="20" t="s">
        <v>24</v>
      </c>
      <c r="H121" s="21">
        <f>ROUND(RAND()*4+6,1)</f>
      </c>
      <c r="I121" s="20" t="s">
        <v>25</v>
      </c>
      <c r="J121" s="23">
        <f>ROUND(67*1,0)&amp;"%"</f>
      </c>
    </row>
    <row x14ac:dyDescent="0.25" r="122" customHeight="1" ht="17.25">
      <c r="A122" s="24" t="s">
        <v>221</v>
      </c>
      <c r="B122" s="24"/>
      <c r="C122" s="24"/>
      <c r="D122" s="24"/>
      <c r="E122" s="25">
        <v>8</v>
      </c>
      <c r="F122" s="9"/>
      <c r="G122" s="9"/>
      <c r="H122" s="31"/>
      <c r="I122" s="9"/>
      <c r="J122" s="9"/>
    </row>
    <row x14ac:dyDescent="0.25" r="123" customHeight="1" ht="17.25">
      <c r="A123" s="7"/>
      <c r="B123" s="7"/>
      <c r="C123" s="7"/>
      <c r="D123" s="7"/>
      <c r="E123" s="8"/>
      <c r="F123" s="9"/>
      <c r="G123" s="9"/>
      <c r="H123" s="31"/>
      <c r="I123" s="9"/>
      <c r="J123" s="9"/>
    </row>
    <row x14ac:dyDescent="0.25" r="124" customHeight="1" ht="17.25">
      <c r="A124" s="11" t="s">
        <v>12868</v>
      </c>
      <c r="B124" s="11"/>
      <c r="C124" s="11"/>
      <c r="D124" s="11"/>
      <c r="E124" s="12"/>
      <c r="F124" s="11"/>
      <c r="G124" s="11"/>
      <c r="H124" s="12"/>
      <c r="I124" s="11"/>
      <c r="J124" s="11"/>
    </row>
    <row x14ac:dyDescent="0.25" r="125" customHeight="1" ht="17.25">
      <c r="A125" s="14" t="s">
        <v>3</v>
      </c>
      <c r="B125" s="14" t="s">
        <v>4</v>
      </c>
      <c r="C125" s="14" t="s">
        <v>5</v>
      </c>
      <c r="D125" s="14" t="s">
        <v>6</v>
      </c>
      <c r="E125" s="15" t="s">
        <v>7</v>
      </c>
      <c r="F125" s="14" t="s">
        <v>8</v>
      </c>
      <c r="G125" s="14" t="s">
        <v>9</v>
      </c>
      <c r="H125" s="15" t="s">
        <v>10</v>
      </c>
      <c r="I125" s="14" t="s">
        <v>11</v>
      </c>
      <c r="J125" s="14" t="s">
        <v>12</v>
      </c>
    </row>
    <row x14ac:dyDescent="0.25" r="126" customHeight="1" ht="17.25">
      <c r="A126" s="17" t="s">
        <v>12869</v>
      </c>
      <c r="B126" s="17" t="s">
        <v>224</v>
      </c>
      <c r="C126" s="17" t="s">
        <v>95</v>
      </c>
      <c r="D126" s="17" t="s">
        <v>16</v>
      </c>
      <c r="E126" s="18">
        <f>ROUND(16231*1.05,2)</f>
      </c>
      <c r="F126" s="17" t="s">
        <v>17</v>
      </c>
      <c r="G126" s="17" t="s">
        <v>18</v>
      </c>
      <c r="H126" s="18">
        <f>ROUND(RAND()*4+6,1)</f>
      </c>
      <c r="I126" s="17" t="s">
        <v>19</v>
      </c>
      <c r="J126" s="19">
        <f>ROUND(91*1,0)&amp;"%"</f>
      </c>
    </row>
    <row x14ac:dyDescent="0.25" r="127" customHeight="1" ht="17.25">
      <c r="A127" s="20" t="s">
        <v>12870</v>
      </c>
      <c r="B127" s="20" t="s">
        <v>226</v>
      </c>
      <c r="C127" s="20" t="s">
        <v>95</v>
      </c>
      <c r="D127" s="20" t="s">
        <v>22</v>
      </c>
      <c r="E127" s="21">
        <f>ROUND(14456*1.05,2)</f>
      </c>
      <c r="F127" s="20" t="s">
        <v>23</v>
      </c>
      <c r="G127" s="20" t="s">
        <v>24</v>
      </c>
      <c r="H127" s="21">
        <f>ROUND(RAND()*4+6,1)</f>
      </c>
      <c r="I127" s="20" t="s">
        <v>25</v>
      </c>
      <c r="J127" s="23">
        <f>ROUND(68*1,0)&amp;"%"</f>
      </c>
    </row>
    <row x14ac:dyDescent="0.25" r="128" customHeight="1" ht="17.25">
      <c r="A128" s="17" t="s">
        <v>12871</v>
      </c>
      <c r="B128" s="17" t="s">
        <v>228</v>
      </c>
      <c r="C128" s="17" t="s">
        <v>95</v>
      </c>
      <c r="D128" s="17" t="s">
        <v>28</v>
      </c>
      <c r="E128" s="18">
        <f>ROUND(8257*1.05,2)</f>
      </c>
      <c r="F128" s="17" t="s">
        <v>29</v>
      </c>
      <c r="G128" s="17" t="s">
        <v>30</v>
      </c>
      <c r="H128" s="18">
        <f>ROUND(RAND()*4+6,1)</f>
      </c>
      <c r="I128" s="17" t="s">
        <v>31</v>
      </c>
      <c r="J128" s="19">
        <f>ROUND(84*1,0)&amp;"%"</f>
      </c>
    </row>
    <row x14ac:dyDescent="0.25" r="129" customHeight="1" ht="17.25">
      <c r="A129" s="20" t="s">
        <v>12872</v>
      </c>
      <c r="B129" s="20" t="s">
        <v>230</v>
      </c>
      <c r="C129" s="20" t="s">
        <v>95</v>
      </c>
      <c r="D129" s="20" t="s">
        <v>34</v>
      </c>
      <c r="E129" s="21">
        <f>ROUND(17739*1.05,2)</f>
      </c>
      <c r="F129" s="20" t="s">
        <v>35</v>
      </c>
      <c r="G129" s="20" t="s">
        <v>18</v>
      </c>
      <c r="H129" s="21">
        <f>ROUND(RAND()*4+6,1)</f>
      </c>
      <c r="I129" s="20" t="s">
        <v>36</v>
      </c>
      <c r="J129" s="23">
        <f>ROUND(62*1,0)&amp;"%"</f>
      </c>
    </row>
    <row x14ac:dyDescent="0.25" r="130" customHeight="1" ht="17.25">
      <c r="A130" s="17" t="s">
        <v>12873</v>
      </c>
      <c r="B130" s="17" t="s">
        <v>232</v>
      </c>
      <c r="C130" s="17" t="s">
        <v>95</v>
      </c>
      <c r="D130" s="17" t="s">
        <v>39</v>
      </c>
      <c r="E130" s="18">
        <f>ROUND(8339*1.05,2)</f>
      </c>
      <c r="F130" s="17" t="s">
        <v>40</v>
      </c>
      <c r="G130" s="17" t="s">
        <v>24</v>
      </c>
      <c r="H130" s="18">
        <f>ROUND(RAND()*4+6,1)</f>
      </c>
      <c r="I130" s="17" t="s">
        <v>41</v>
      </c>
      <c r="J130" s="19">
        <f>ROUND(77*1,0)&amp;"%"</f>
      </c>
    </row>
    <row x14ac:dyDescent="0.25" r="131" customHeight="1" ht="17.25">
      <c r="A131" s="20" t="s">
        <v>12874</v>
      </c>
      <c r="B131" s="20" t="s">
        <v>234</v>
      </c>
      <c r="C131" s="20" t="s">
        <v>95</v>
      </c>
      <c r="D131" s="20" t="s">
        <v>67</v>
      </c>
      <c r="E131" s="21">
        <f>ROUND(5432*1.05,2)</f>
      </c>
      <c r="F131" s="20" t="s">
        <v>44</v>
      </c>
      <c r="G131" s="20" t="s">
        <v>30</v>
      </c>
      <c r="H131" s="21">
        <f>ROUND(RAND()*4+6,1)</f>
      </c>
      <c r="I131" s="20" t="s">
        <v>45</v>
      </c>
      <c r="J131" s="23">
        <f>ROUND(84*1,0)&amp;"%"</f>
      </c>
    </row>
    <row x14ac:dyDescent="0.25" r="132" customHeight="1" ht="17.25">
      <c r="A132" s="17" t="s">
        <v>12875</v>
      </c>
      <c r="B132" s="17" t="s">
        <v>236</v>
      </c>
      <c r="C132" s="17" t="s">
        <v>95</v>
      </c>
      <c r="D132" s="17" t="s">
        <v>16</v>
      </c>
      <c r="E132" s="18">
        <f>ROUND(17349*1.05,2)</f>
      </c>
      <c r="F132" s="17" t="s">
        <v>48</v>
      </c>
      <c r="G132" s="17" t="s">
        <v>18</v>
      </c>
      <c r="H132" s="18">
        <f>ROUND(RAND()*4+6,1)</f>
      </c>
      <c r="I132" s="17" t="s">
        <v>19</v>
      </c>
      <c r="J132" s="19">
        <f>ROUND(70*1,0)&amp;"%"</f>
      </c>
    </row>
    <row x14ac:dyDescent="0.25" r="133" customHeight="1" ht="17.25">
      <c r="A133" s="20" t="s">
        <v>12876</v>
      </c>
      <c r="B133" s="20" t="s">
        <v>238</v>
      </c>
      <c r="C133" s="20" t="s">
        <v>95</v>
      </c>
      <c r="D133" s="20" t="s">
        <v>22</v>
      </c>
      <c r="E133" s="21">
        <f>ROUND(6074*1.05,2)</f>
      </c>
      <c r="F133" s="20" t="s">
        <v>51</v>
      </c>
      <c r="G133" s="20" t="s">
        <v>24</v>
      </c>
      <c r="H133" s="21">
        <f>ROUND(RAND()*4+6,1)</f>
      </c>
      <c r="I133" s="20" t="s">
        <v>25</v>
      </c>
      <c r="J133" s="23">
        <f>ROUND(97*1,0)&amp;"%"</f>
      </c>
    </row>
    <row x14ac:dyDescent="0.25" r="134" customHeight="1" ht="17.25">
      <c r="A134" s="24" t="s">
        <v>239</v>
      </c>
      <c r="B134" s="24"/>
      <c r="C134" s="24"/>
      <c r="D134" s="24"/>
      <c r="E134" s="25">
        <v>8</v>
      </c>
      <c r="F134" s="9"/>
      <c r="G134" s="9"/>
      <c r="H134" s="31"/>
      <c r="I134" s="9"/>
      <c r="J134" s="9"/>
    </row>
    <row x14ac:dyDescent="0.25" r="135" customHeight="1" ht="17.25">
      <c r="A135" s="7"/>
      <c r="B135" s="7"/>
      <c r="C135" s="7"/>
      <c r="D135" s="7"/>
      <c r="E135" s="8"/>
      <c r="F135" s="9"/>
      <c r="G135" s="9"/>
      <c r="H135" s="31"/>
      <c r="I135" s="9"/>
      <c r="J135" s="9"/>
    </row>
    <row x14ac:dyDescent="0.25" r="136" customHeight="1" ht="17.25">
      <c r="A136" s="11" t="s">
        <v>12877</v>
      </c>
      <c r="B136" s="11"/>
      <c r="C136" s="11"/>
      <c r="D136" s="11"/>
      <c r="E136" s="12"/>
      <c r="F136" s="11"/>
      <c r="G136" s="11"/>
      <c r="H136" s="12"/>
      <c r="I136" s="11"/>
      <c r="J136" s="11"/>
    </row>
    <row x14ac:dyDescent="0.25" r="137" customHeight="1" ht="17.25">
      <c r="A137" s="14" t="s">
        <v>3</v>
      </c>
      <c r="B137" s="14" t="s">
        <v>4</v>
      </c>
      <c r="C137" s="14" t="s">
        <v>5</v>
      </c>
      <c r="D137" s="14" t="s">
        <v>6</v>
      </c>
      <c r="E137" s="15" t="s">
        <v>7</v>
      </c>
      <c r="F137" s="14" t="s">
        <v>8</v>
      </c>
      <c r="G137" s="14" t="s">
        <v>9</v>
      </c>
      <c r="H137" s="15" t="s">
        <v>10</v>
      </c>
      <c r="I137" s="14" t="s">
        <v>11</v>
      </c>
      <c r="J137" s="14" t="s">
        <v>12</v>
      </c>
    </row>
    <row x14ac:dyDescent="0.25" r="138" customHeight="1" ht="17.25">
      <c r="A138" s="17" t="s">
        <v>12878</v>
      </c>
      <c r="B138" s="17" t="s">
        <v>242</v>
      </c>
      <c r="C138" s="17" t="s">
        <v>114</v>
      </c>
      <c r="D138" s="17" t="s">
        <v>16</v>
      </c>
      <c r="E138" s="18">
        <f>ROUND(15881*1.05,2)</f>
      </c>
      <c r="F138" s="17" t="s">
        <v>17</v>
      </c>
      <c r="G138" s="17" t="s">
        <v>18</v>
      </c>
      <c r="H138" s="18">
        <f>ROUND(RAND()*4+6,1)</f>
      </c>
      <c r="I138" s="17" t="s">
        <v>19</v>
      </c>
      <c r="J138" s="19">
        <f>ROUND(66*1,0)&amp;"%"</f>
      </c>
    </row>
    <row x14ac:dyDescent="0.25" r="139" customHeight="1" ht="17.25">
      <c r="A139" s="20" t="s">
        <v>12879</v>
      </c>
      <c r="B139" s="20" t="s">
        <v>244</v>
      </c>
      <c r="C139" s="20" t="s">
        <v>114</v>
      </c>
      <c r="D139" s="20" t="s">
        <v>22</v>
      </c>
      <c r="E139" s="21">
        <f>ROUND(17345*1.05,2)</f>
      </c>
      <c r="F139" s="20" t="s">
        <v>23</v>
      </c>
      <c r="G139" s="20" t="s">
        <v>24</v>
      </c>
      <c r="H139" s="21">
        <f>ROUND(RAND()*4+6,1)</f>
      </c>
      <c r="I139" s="20" t="s">
        <v>25</v>
      </c>
      <c r="J139" s="23">
        <f>ROUND(88*1,0)&amp;"%"</f>
      </c>
    </row>
    <row x14ac:dyDescent="0.25" r="140" customHeight="1" ht="17.25">
      <c r="A140" s="17" t="s">
        <v>12880</v>
      </c>
      <c r="B140" s="17" t="s">
        <v>246</v>
      </c>
      <c r="C140" s="17" t="s">
        <v>114</v>
      </c>
      <c r="D140" s="17" t="s">
        <v>28</v>
      </c>
      <c r="E140" s="18">
        <f>ROUND(10818*1.05,2)</f>
      </c>
      <c r="F140" s="17" t="s">
        <v>29</v>
      </c>
      <c r="G140" s="17" t="s">
        <v>30</v>
      </c>
      <c r="H140" s="18">
        <f>ROUND(RAND()*4+6,1)</f>
      </c>
      <c r="I140" s="17" t="s">
        <v>31</v>
      </c>
      <c r="J140" s="19">
        <f>ROUND(94*1,0)&amp;"%"</f>
      </c>
    </row>
    <row x14ac:dyDescent="0.25" r="141" customHeight="1" ht="17.25">
      <c r="A141" s="20" t="s">
        <v>12881</v>
      </c>
      <c r="B141" s="20" t="s">
        <v>248</v>
      </c>
      <c r="C141" s="20" t="s">
        <v>114</v>
      </c>
      <c r="D141" s="20" t="s">
        <v>34</v>
      </c>
      <c r="E141" s="21">
        <f>ROUND(10508*1.05,2)</f>
      </c>
      <c r="F141" s="20" t="s">
        <v>35</v>
      </c>
      <c r="G141" s="20" t="s">
        <v>18</v>
      </c>
      <c r="H141" s="21">
        <f>ROUND(RAND()*4+6,1)</f>
      </c>
      <c r="I141" s="20" t="s">
        <v>36</v>
      </c>
      <c r="J141" s="23">
        <f>ROUND(77*1,0)&amp;"%"</f>
      </c>
    </row>
    <row x14ac:dyDescent="0.25" r="142" customHeight="1" ht="17.25">
      <c r="A142" s="17" t="s">
        <v>12882</v>
      </c>
      <c r="B142" s="17" t="s">
        <v>250</v>
      </c>
      <c r="C142" s="17" t="s">
        <v>114</v>
      </c>
      <c r="D142" s="17" t="s">
        <v>39</v>
      </c>
      <c r="E142" s="18">
        <f>ROUND(6503*1.05,2)</f>
      </c>
      <c r="F142" s="17" t="s">
        <v>40</v>
      </c>
      <c r="G142" s="17" t="s">
        <v>24</v>
      </c>
      <c r="H142" s="18">
        <f>ROUND(RAND()*4+6,1)</f>
      </c>
      <c r="I142" s="17" t="s">
        <v>41</v>
      </c>
      <c r="J142" s="19">
        <f>ROUND(70*1,0)&amp;"%"</f>
      </c>
    </row>
    <row x14ac:dyDescent="0.25" r="143" customHeight="1" ht="17.25">
      <c r="A143" s="20" t="s">
        <v>12883</v>
      </c>
      <c r="B143" s="20" t="s">
        <v>252</v>
      </c>
      <c r="C143" s="20" t="s">
        <v>114</v>
      </c>
      <c r="D143" s="20" t="s">
        <v>67</v>
      </c>
      <c r="E143" s="21">
        <f>ROUND(5821*1.05,2)</f>
      </c>
      <c r="F143" s="20" t="s">
        <v>44</v>
      </c>
      <c r="G143" s="20" t="s">
        <v>30</v>
      </c>
      <c r="H143" s="21">
        <f>ROUND(RAND()*4+6,1)</f>
      </c>
      <c r="I143" s="20" t="s">
        <v>45</v>
      </c>
      <c r="J143" s="23">
        <f>ROUND(65*1,0)&amp;"%"</f>
      </c>
    </row>
    <row x14ac:dyDescent="0.25" r="144" customHeight="1" ht="17.25">
      <c r="A144" s="17" t="s">
        <v>12884</v>
      </c>
      <c r="B144" s="17" t="s">
        <v>254</v>
      </c>
      <c r="C144" s="17" t="s">
        <v>114</v>
      </c>
      <c r="D144" s="17" t="s">
        <v>16</v>
      </c>
      <c r="E144" s="18">
        <f>ROUND(7554*1.05,2)</f>
      </c>
      <c r="F144" s="17" t="s">
        <v>48</v>
      </c>
      <c r="G144" s="17" t="s">
        <v>18</v>
      </c>
      <c r="H144" s="18">
        <f>ROUND(RAND()*4+6,1)</f>
      </c>
      <c r="I144" s="17" t="s">
        <v>19</v>
      </c>
      <c r="J144" s="19">
        <f>ROUND(74*1,0)&amp;"%"</f>
      </c>
    </row>
    <row x14ac:dyDescent="0.25" r="145" customHeight="1" ht="17.25">
      <c r="A145" s="20" t="s">
        <v>12885</v>
      </c>
      <c r="B145" s="20" t="s">
        <v>256</v>
      </c>
      <c r="C145" s="20" t="s">
        <v>114</v>
      </c>
      <c r="D145" s="20" t="s">
        <v>22</v>
      </c>
      <c r="E145" s="21">
        <f>ROUND(8599*1.05,2)</f>
      </c>
      <c r="F145" s="20" t="s">
        <v>51</v>
      </c>
      <c r="G145" s="20" t="s">
        <v>24</v>
      </c>
      <c r="H145" s="21">
        <f>ROUND(RAND()*4+6,1)</f>
      </c>
      <c r="I145" s="20" t="s">
        <v>25</v>
      </c>
      <c r="J145" s="23">
        <f>ROUND(88*1,0)&amp;"%"</f>
      </c>
    </row>
    <row x14ac:dyDescent="0.25" r="146" customHeight="1" ht="17.25">
      <c r="A146" s="24" t="s">
        <v>257</v>
      </c>
      <c r="B146" s="24"/>
      <c r="C146" s="24"/>
      <c r="D146" s="24"/>
      <c r="E146" s="25">
        <v>8</v>
      </c>
      <c r="F146" s="9"/>
      <c r="G146" s="9"/>
      <c r="H146" s="31"/>
      <c r="I146" s="9"/>
      <c r="J146" s="9"/>
    </row>
    <row x14ac:dyDescent="0.25" r="147" customHeight="1" ht="17.25">
      <c r="A147" s="7"/>
      <c r="B147" s="7"/>
      <c r="C147" s="7"/>
      <c r="D147" s="7"/>
      <c r="E147" s="8"/>
      <c r="F147" s="9"/>
      <c r="G147" s="9"/>
      <c r="H147" s="31"/>
      <c r="I147" s="9"/>
      <c r="J147" s="9"/>
    </row>
    <row x14ac:dyDescent="0.25" r="148" customHeight="1" ht="17.25">
      <c r="A148" s="11" t="s">
        <v>12886</v>
      </c>
      <c r="B148" s="11"/>
      <c r="C148" s="11"/>
      <c r="D148" s="11"/>
      <c r="E148" s="12"/>
      <c r="F148" s="11"/>
      <c r="G148" s="11"/>
      <c r="H148" s="12"/>
      <c r="I148" s="11"/>
      <c r="J148" s="11"/>
    </row>
    <row x14ac:dyDescent="0.25" r="149" customHeight="1" ht="17.25">
      <c r="A149" s="14" t="s">
        <v>3</v>
      </c>
      <c r="B149" s="14" t="s">
        <v>4</v>
      </c>
      <c r="C149" s="14" t="s">
        <v>5</v>
      </c>
      <c r="D149" s="14" t="s">
        <v>6</v>
      </c>
      <c r="E149" s="15" t="s">
        <v>7</v>
      </c>
      <c r="F149" s="14" t="s">
        <v>8</v>
      </c>
      <c r="G149" s="14" t="s">
        <v>9</v>
      </c>
      <c r="H149" s="15" t="s">
        <v>10</v>
      </c>
      <c r="I149" s="14" t="s">
        <v>11</v>
      </c>
      <c r="J149" s="14" t="s">
        <v>12</v>
      </c>
    </row>
    <row x14ac:dyDescent="0.25" r="150" customHeight="1" ht="17.25">
      <c r="A150" s="17" t="s">
        <v>12887</v>
      </c>
      <c r="B150" s="17" t="s">
        <v>260</v>
      </c>
      <c r="C150" s="17" t="s">
        <v>133</v>
      </c>
      <c r="D150" s="17" t="s">
        <v>16</v>
      </c>
      <c r="E150" s="18">
        <f>ROUND(7524*1.05,2)</f>
      </c>
      <c r="F150" s="17" t="s">
        <v>17</v>
      </c>
      <c r="G150" s="17" t="s">
        <v>18</v>
      </c>
      <c r="H150" s="18">
        <f>ROUND(RAND()*4+6,1)</f>
      </c>
      <c r="I150" s="17" t="s">
        <v>19</v>
      </c>
      <c r="J150" s="19">
        <f>ROUND(63*1,0)&amp;"%"</f>
      </c>
    </row>
    <row x14ac:dyDescent="0.25" r="151" customHeight="1" ht="17.25">
      <c r="A151" s="20" t="s">
        <v>12888</v>
      </c>
      <c r="B151" s="20" t="s">
        <v>262</v>
      </c>
      <c r="C151" s="20" t="s">
        <v>133</v>
      </c>
      <c r="D151" s="20" t="s">
        <v>22</v>
      </c>
      <c r="E151" s="21">
        <f>ROUND(16344*1.05,2)</f>
      </c>
      <c r="F151" s="20" t="s">
        <v>23</v>
      </c>
      <c r="G151" s="20" t="s">
        <v>24</v>
      </c>
      <c r="H151" s="21">
        <f>ROUND(RAND()*4+6,1)</f>
      </c>
      <c r="I151" s="20" t="s">
        <v>25</v>
      </c>
      <c r="J151" s="23">
        <f>ROUND(62*1,0)&amp;"%"</f>
      </c>
    </row>
    <row x14ac:dyDescent="0.25" r="152" customHeight="1" ht="17.25">
      <c r="A152" s="17" t="s">
        <v>12889</v>
      </c>
      <c r="B152" s="17" t="s">
        <v>264</v>
      </c>
      <c r="C152" s="17" t="s">
        <v>133</v>
      </c>
      <c r="D152" s="17" t="s">
        <v>28</v>
      </c>
      <c r="E152" s="18">
        <f>ROUND(8916*1.05,2)</f>
      </c>
      <c r="F152" s="17" t="s">
        <v>29</v>
      </c>
      <c r="G152" s="17" t="s">
        <v>30</v>
      </c>
      <c r="H152" s="18">
        <f>ROUND(RAND()*4+6,1)</f>
      </c>
      <c r="I152" s="17" t="s">
        <v>31</v>
      </c>
      <c r="J152" s="19">
        <f>ROUND(82*1,0)&amp;"%"</f>
      </c>
    </row>
    <row x14ac:dyDescent="0.25" r="153" customHeight="1" ht="17.25">
      <c r="A153" s="20" t="s">
        <v>12890</v>
      </c>
      <c r="B153" s="20" t="s">
        <v>266</v>
      </c>
      <c r="C153" s="20" t="s">
        <v>133</v>
      </c>
      <c r="D153" s="20" t="s">
        <v>34</v>
      </c>
      <c r="E153" s="21">
        <f>ROUND(11224*1.05,2)</f>
      </c>
      <c r="F153" s="20" t="s">
        <v>35</v>
      </c>
      <c r="G153" s="20" t="s">
        <v>18</v>
      </c>
      <c r="H153" s="21">
        <f>ROUND(RAND()*4+6,1)</f>
      </c>
      <c r="I153" s="20" t="s">
        <v>36</v>
      </c>
      <c r="J153" s="23">
        <f>ROUND(86*1,0)&amp;"%"</f>
      </c>
    </row>
    <row x14ac:dyDescent="0.25" r="154" customHeight="1" ht="17.25">
      <c r="A154" s="17" t="s">
        <v>12891</v>
      </c>
      <c r="B154" s="17" t="s">
        <v>268</v>
      </c>
      <c r="C154" s="17" t="s">
        <v>133</v>
      </c>
      <c r="D154" s="17" t="s">
        <v>39</v>
      </c>
      <c r="E154" s="18">
        <f>ROUND(16728*1.05,2)</f>
      </c>
      <c r="F154" s="17" t="s">
        <v>40</v>
      </c>
      <c r="G154" s="17" t="s">
        <v>24</v>
      </c>
      <c r="H154" s="18">
        <f>ROUND(RAND()*4+6,1)</f>
      </c>
      <c r="I154" s="17" t="s">
        <v>41</v>
      </c>
      <c r="J154" s="19">
        <f>ROUND(87*1,0)&amp;"%"</f>
      </c>
    </row>
    <row x14ac:dyDescent="0.25" r="155" customHeight="1" ht="17.25">
      <c r="A155" s="20" t="s">
        <v>12892</v>
      </c>
      <c r="B155" s="20" t="s">
        <v>270</v>
      </c>
      <c r="C155" s="20" t="s">
        <v>133</v>
      </c>
      <c r="D155" s="20" t="s">
        <v>67</v>
      </c>
      <c r="E155" s="21">
        <f>ROUND(12936*1.05,2)</f>
      </c>
      <c r="F155" s="20" t="s">
        <v>44</v>
      </c>
      <c r="G155" s="20" t="s">
        <v>30</v>
      </c>
      <c r="H155" s="21">
        <f>ROUND(RAND()*4+6,1)</f>
      </c>
      <c r="I155" s="20" t="s">
        <v>45</v>
      </c>
      <c r="J155" s="23">
        <f>ROUND(75*1,0)&amp;"%"</f>
      </c>
    </row>
    <row x14ac:dyDescent="0.25" r="156" customHeight="1" ht="17.25">
      <c r="A156" s="17" t="s">
        <v>12893</v>
      </c>
      <c r="B156" s="17" t="s">
        <v>272</v>
      </c>
      <c r="C156" s="17" t="s">
        <v>133</v>
      </c>
      <c r="D156" s="17" t="s">
        <v>16</v>
      </c>
      <c r="E156" s="18">
        <f>ROUND(8235*1.05,2)</f>
      </c>
      <c r="F156" s="17" t="s">
        <v>48</v>
      </c>
      <c r="G156" s="17" t="s">
        <v>18</v>
      </c>
      <c r="H156" s="18">
        <f>ROUND(RAND()*4+6,1)</f>
      </c>
      <c r="I156" s="17" t="s">
        <v>19</v>
      </c>
      <c r="J156" s="19">
        <f>ROUND(70*1,0)&amp;"%"</f>
      </c>
    </row>
    <row x14ac:dyDescent="0.25" r="157" customHeight="1" ht="17.25">
      <c r="A157" s="20" t="s">
        <v>12894</v>
      </c>
      <c r="B157" s="20" t="s">
        <v>274</v>
      </c>
      <c r="C157" s="20" t="s">
        <v>133</v>
      </c>
      <c r="D157" s="20" t="s">
        <v>22</v>
      </c>
      <c r="E157" s="21">
        <f>ROUND(12025*1.05,2)</f>
      </c>
      <c r="F157" s="20" t="s">
        <v>51</v>
      </c>
      <c r="G157" s="20" t="s">
        <v>24</v>
      </c>
      <c r="H157" s="21">
        <f>ROUND(RAND()*4+6,1)</f>
      </c>
      <c r="I157" s="20" t="s">
        <v>25</v>
      </c>
      <c r="J157" s="23">
        <f>ROUND(62*1,0)&amp;"%"</f>
      </c>
    </row>
    <row x14ac:dyDescent="0.25" r="158" customHeight="1" ht="17.25">
      <c r="A158" s="24" t="s">
        <v>275</v>
      </c>
      <c r="B158" s="24"/>
      <c r="C158" s="24"/>
      <c r="D158" s="24"/>
      <c r="E158" s="25">
        <v>8</v>
      </c>
      <c r="F158" s="9"/>
      <c r="G158" s="9"/>
      <c r="H158" s="31"/>
      <c r="I158" s="9"/>
      <c r="J158" s="9"/>
    </row>
    <row x14ac:dyDescent="0.25" r="159" customHeight="1" ht="17.25">
      <c r="A159" s="7"/>
      <c r="B159" s="7"/>
      <c r="C159" s="7"/>
      <c r="D159" s="7"/>
      <c r="E159" s="8"/>
      <c r="F159" s="9"/>
      <c r="G159" s="9"/>
      <c r="H159" s="31"/>
      <c r="I159" s="9"/>
      <c r="J159" s="9"/>
    </row>
    <row x14ac:dyDescent="0.25" r="160" customHeight="1" ht="17.25">
      <c r="A160" s="11" t="s">
        <v>12895</v>
      </c>
      <c r="B160" s="11"/>
      <c r="C160" s="11"/>
      <c r="D160" s="11"/>
      <c r="E160" s="12"/>
      <c r="F160" s="11"/>
      <c r="G160" s="11"/>
      <c r="H160" s="12"/>
      <c r="I160" s="11"/>
      <c r="J160" s="11"/>
    </row>
    <row x14ac:dyDescent="0.25" r="161" customHeight="1" ht="17.25">
      <c r="A161" s="14" t="s">
        <v>3</v>
      </c>
      <c r="B161" s="14" t="s">
        <v>4</v>
      </c>
      <c r="C161" s="14" t="s">
        <v>5</v>
      </c>
      <c r="D161" s="14" t="s">
        <v>6</v>
      </c>
      <c r="E161" s="15" t="s">
        <v>7</v>
      </c>
      <c r="F161" s="14" t="s">
        <v>8</v>
      </c>
      <c r="G161" s="14" t="s">
        <v>9</v>
      </c>
      <c r="H161" s="15" t="s">
        <v>10</v>
      </c>
      <c r="I161" s="14" t="s">
        <v>11</v>
      </c>
      <c r="J161" s="14" t="s">
        <v>12</v>
      </c>
    </row>
    <row x14ac:dyDescent="0.25" r="162" customHeight="1" ht="17.25">
      <c r="A162" s="17" t="s">
        <v>12896</v>
      </c>
      <c r="B162" s="17" t="s">
        <v>278</v>
      </c>
      <c r="C162" s="17" t="s">
        <v>152</v>
      </c>
      <c r="D162" s="17" t="s">
        <v>16</v>
      </c>
      <c r="E162" s="18">
        <f>ROUND(17248*1.05,2)</f>
      </c>
      <c r="F162" s="17" t="s">
        <v>17</v>
      </c>
      <c r="G162" s="17" t="s">
        <v>18</v>
      </c>
      <c r="H162" s="18">
        <f>ROUND(RAND()*4+6,1)</f>
      </c>
      <c r="I162" s="17" t="s">
        <v>19</v>
      </c>
      <c r="J162" s="19">
        <f>ROUND(99*1,0)&amp;"%"</f>
      </c>
    </row>
    <row x14ac:dyDescent="0.25" r="163" customHeight="1" ht="17.25">
      <c r="A163" s="20" t="s">
        <v>12897</v>
      </c>
      <c r="B163" s="20" t="s">
        <v>280</v>
      </c>
      <c r="C163" s="20" t="s">
        <v>152</v>
      </c>
      <c r="D163" s="20" t="s">
        <v>22</v>
      </c>
      <c r="E163" s="21">
        <f>ROUND(17923*1.05,2)</f>
      </c>
      <c r="F163" s="20" t="s">
        <v>23</v>
      </c>
      <c r="G163" s="20" t="s">
        <v>24</v>
      </c>
      <c r="H163" s="21">
        <f>ROUND(RAND()*4+6,1)</f>
      </c>
      <c r="I163" s="20" t="s">
        <v>25</v>
      </c>
      <c r="J163" s="23">
        <f>ROUND(99*1,0)&amp;"%"</f>
      </c>
    </row>
    <row x14ac:dyDescent="0.25" r="164" customHeight="1" ht="17.25">
      <c r="A164" s="17" t="s">
        <v>12898</v>
      </c>
      <c r="B164" s="17" t="s">
        <v>282</v>
      </c>
      <c r="C164" s="17" t="s">
        <v>152</v>
      </c>
      <c r="D164" s="17" t="s">
        <v>28</v>
      </c>
      <c r="E164" s="18">
        <f>ROUND(15897*1.05,2)</f>
      </c>
      <c r="F164" s="17" t="s">
        <v>29</v>
      </c>
      <c r="G164" s="17" t="s">
        <v>30</v>
      </c>
      <c r="H164" s="18">
        <f>ROUND(RAND()*4+6,1)</f>
      </c>
      <c r="I164" s="17" t="s">
        <v>31</v>
      </c>
      <c r="J164" s="19">
        <f>ROUND(88*1,0)&amp;"%"</f>
      </c>
    </row>
    <row x14ac:dyDescent="0.25" r="165" customHeight="1" ht="17.25">
      <c r="A165" s="20" t="s">
        <v>12899</v>
      </c>
      <c r="B165" s="20" t="s">
        <v>284</v>
      </c>
      <c r="C165" s="20" t="s">
        <v>152</v>
      </c>
      <c r="D165" s="20" t="s">
        <v>34</v>
      </c>
      <c r="E165" s="21">
        <f>ROUND(10498*1.05,2)</f>
      </c>
      <c r="F165" s="20" t="s">
        <v>35</v>
      </c>
      <c r="G165" s="20" t="s">
        <v>18</v>
      </c>
      <c r="H165" s="21">
        <f>ROUND(RAND()*4+6,1)</f>
      </c>
      <c r="I165" s="20" t="s">
        <v>36</v>
      </c>
      <c r="J165" s="23">
        <f>ROUND(84*1,0)&amp;"%"</f>
      </c>
    </row>
    <row x14ac:dyDescent="0.25" r="166" customHeight="1" ht="17.25">
      <c r="A166" s="17" t="s">
        <v>12900</v>
      </c>
      <c r="B166" s="17" t="s">
        <v>286</v>
      </c>
      <c r="C166" s="17" t="s">
        <v>152</v>
      </c>
      <c r="D166" s="17" t="s">
        <v>39</v>
      </c>
      <c r="E166" s="18">
        <f>ROUND(13634*1.05,2)</f>
      </c>
      <c r="F166" s="17" t="s">
        <v>40</v>
      </c>
      <c r="G166" s="17" t="s">
        <v>24</v>
      </c>
      <c r="H166" s="18">
        <f>ROUND(RAND()*4+6,1)</f>
      </c>
      <c r="I166" s="17" t="s">
        <v>41</v>
      </c>
      <c r="J166" s="19">
        <f>ROUND(84*1,0)&amp;"%"</f>
      </c>
    </row>
    <row x14ac:dyDescent="0.25" r="167" customHeight="1" ht="17.25">
      <c r="A167" s="20" t="s">
        <v>12901</v>
      </c>
      <c r="B167" s="20" t="s">
        <v>288</v>
      </c>
      <c r="C167" s="20" t="s">
        <v>152</v>
      </c>
      <c r="D167" s="20" t="s">
        <v>67</v>
      </c>
      <c r="E167" s="21">
        <f>ROUND(13959*1.05,2)</f>
      </c>
      <c r="F167" s="20" t="s">
        <v>44</v>
      </c>
      <c r="G167" s="20" t="s">
        <v>30</v>
      </c>
      <c r="H167" s="21">
        <f>ROUND(RAND()*4+6,1)</f>
      </c>
      <c r="I167" s="20" t="s">
        <v>45</v>
      </c>
      <c r="J167" s="23">
        <f>ROUND(92*1,0)&amp;"%"</f>
      </c>
    </row>
    <row x14ac:dyDescent="0.25" r="168" customHeight="1" ht="17.25">
      <c r="A168" s="17" t="s">
        <v>12902</v>
      </c>
      <c r="B168" s="17" t="s">
        <v>290</v>
      </c>
      <c r="C168" s="17" t="s">
        <v>152</v>
      </c>
      <c r="D168" s="17" t="s">
        <v>16</v>
      </c>
      <c r="E168" s="18">
        <f>ROUND(13889*1.05,2)</f>
      </c>
      <c r="F168" s="17" t="s">
        <v>48</v>
      </c>
      <c r="G168" s="17" t="s">
        <v>18</v>
      </c>
      <c r="H168" s="18">
        <f>ROUND(RAND()*4+6,1)</f>
      </c>
      <c r="I168" s="17" t="s">
        <v>19</v>
      </c>
      <c r="J168" s="19">
        <f>ROUND(85*1,0)&amp;"%"</f>
      </c>
    </row>
    <row x14ac:dyDescent="0.25" r="169" customHeight="1" ht="17.25">
      <c r="A169" s="20" t="s">
        <v>12903</v>
      </c>
      <c r="B169" s="20" t="s">
        <v>292</v>
      </c>
      <c r="C169" s="20" t="s">
        <v>152</v>
      </c>
      <c r="D169" s="20" t="s">
        <v>22</v>
      </c>
      <c r="E169" s="21">
        <f>ROUND(7012*1.05,2)</f>
      </c>
      <c r="F169" s="20" t="s">
        <v>51</v>
      </c>
      <c r="G169" s="20" t="s">
        <v>24</v>
      </c>
      <c r="H169" s="21">
        <f>ROUND(RAND()*4+6,1)</f>
      </c>
      <c r="I169" s="20" t="s">
        <v>25</v>
      </c>
      <c r="J169" s="23">
        <f>ROUND(64*1,0)&amp;"%"</f>
      </c>
    </row>
    <row x14ac:dyDescent="0.25" r="170" customHeight="1" ht="17.25">
      <c r="A170" s="24" t="s">
        <v>293</v>
      </c>
      <c r="B170" s="24"/>
      <c r="C170" s="24"/>
      <c r="D170" s="24"/>
      <c r="E170" s="25">
        <v>8</v>
      </c>
      <c r="F170" s="9"/>
      <c r="G170" s="9"/>
      <c r="H170" s="31"/>
      <c r="I170" s="9"/>
      <c r="J170" s="9"/>
    </row>
    <row x14ac:dyDescent="0.25" r="171" customHeight="1" ht="17.25">
      <c r="A171" s="7"/>
      <c r="B171" s="7"/>
      <c r="C171" s="7"/>
      <c r="D171" s="7"/>
      <c r="E171" s="8"/>
      <c r="F171" s="9"/>
      <c r="G171" s="9"/>
      <c r="H171" s="31"/>
      <c r="I171" s="9"/>
      <c r="J171" s="9"/>
    </row>
    <row x14ac:dyDescent="0.25" r="172" customHeight="1" ht="17.25">
      <c r="A172" s="11" t="s">
        <v>12904</v>
      </c>
      <c r="B172" s="11"/>
      <c r="C172" s="11"/>
      <c r="D172" s="11"/>
      <c r="E172" s="12"/>
      <c r="F172" s="11"/>
      <c r="G172" s="11"/>
      <c r="H172" s="12"/>
      <c r="I172" s="11"/>
      <c r="J172" s="11"/>
    </row>
    <row x14ac:dyDescent="0.25" r="173" customHeight="1" ht="17.25">
      <c r="A173" s="14" t="s">
        <v>3</v>
      </c>
      <c r="B173" s="14" t="s">
        <v>4</v>
      </c>
      <c r="C173" s="14" t="s">
        <v>5</v>
      </c>
      <c r="D173" s="14" t="s">
        <v>6</v>
      </c>
      <c r="E173" s="15" t="s">
        <v>7</v>
      </c>
      <c r="F173" s="14" t="s">
        <v>8</v>
      </c>
      <c r="G173" s="14" t="s">
        <v>9</v>
      </c>
      <c r="H173" s="15" t="s">
        <v>10</v>
      </c>
      <c r="I173" s="14" t="s">
        <v>11</v>
      </c>
      <c r="J173" s="14" t="s">
        <v>12</v>
      </c>
    </row>
    <row x14ac:dyDescent="0.25" r="174" customHeight="1" ht="17.25">
      <c r="A174" s="17" t="s">
        <v>12905</v>
      </c>
      <c r="B174" s="17" t="s">
        <v>296</v>
      </c>
      <c r="C174" s="17" t="s">
        <v>15</v>
      </c>
      <c r="D174" s="17" t="s">
        <v>16</v>
      </c>
      <c r="E174" s="18">
        <f>ROUND(4763*1.05,2)</f>
      </c>
      <c r="F174" s="17" t="s">
        <v>17</v>
      </c>
      <c r="G174" s="17" t="s">
        <v>18</v>
      </c>
      <c r="H174" s="18">
        <f>ROUND(RAND()*4+6,1)</f>
      </c>
      <c r="I174" s="17" t="s">
        <v>19</v>
      </c>
      <c r="J174" s="19">
        <f>ROUND(71*1,0)&amp;"%"</f>
      </c>
    </row>
    <row x14ac:dyDescent="0.25" r="175" customHeight="1" ht="17.25">
      <c r="A175" s="20" t="s">
        <v>12906</v>
      </c>
      <c r="B175" s="20" t="s">
        <v>298</v>
      </c>
      <c r="C175" s="20" t="s">
        <v>15</v>
      </c>
      <c r="D175" s="20" t="s">
        <v>22</v>
      </c>
      <c r="E175" s="21">
        <f>ROUND(10729*1.05,2)</f>
      </c>
      <c r="F175" s="20" t="s">
        <v>23</v>
      </c>
      <c r="G175" s="20" t="s">
        <v>24</v>
      </c>
      <c r="H175" s="21">
        <f>ROUND(RAND()*4+6,1)</f>
      </c>
      <c r="I175" s="20" t="s">
        <v>25</v>
      </c>
      <c r="J175" s="23">
        <f>ROUND(94*1,0)&amp;"%"</f>
      </c>
    </row>
    <row x14ac:dyDescent="0.25" r="176" customHeight="1" ht="17.25">
      <c r="A176" s="17" t="s">
        <v>12907</v>
      </c>
      <c r="B176" s="17" t="s">
        <v>300</v>
      </c>
      <c r="C176" s="17" t="s">
        <v>15</v>
      </c>
      <c r="D176" s="17" t="s">
        <v>28</v>
      </c>
      <c r="E176" s="18">
        <f>ROUND(15689*1.05,2)</f>
      </c>
      <c r="F176" s="17" t="s">
        <v>29</v>
      </c>
      <c r="G176" s="17" t="s">
        <v>30</v>
      </c>
      <c r="H176" s="18">
        <f>ROUND(RAND()*4+6,1)</f>
      </c>
      <c r="I176" s="17" t="s">
        <v>31</v>
      </c>
      <c r="J176" s="19">
        <f>ROUND(63*1,0)&amp;"%"</f>
      </c>
    </row>
    <row x14ac:dyDescent="0.25" r="177" customHeight="1" ht="17.25">
      <c r="A177" s="20" t="s">
        <v>12908</v>
      </c>
      <c r="B177" s="20" t="s">
        <v>302</v>
      </c>
      <c r="C177" s="20" t="s">
        <v>15</v>
      </c>
      <c r="D177" s="20" t="s">
        <v>34</v>
      </c>
      <c r="E177" s="21">
        <f>ROUND(11285*1.05,2)</f>
      </c>
      <c r="F177" s="20" t="s">
        <v>35</v>
      </c>
      <c r="G177" s="20" t="s">
        <v>18</v>
      </c>
      <c r="H177" s="21">
        <f>ROUND(RAND()*4+6,1)</f>
      </c>
      <c r="I177" s="20" t="s">
        <v>36</v>
      </c>
      <c r="J177" s="23">
        <f>ROUND(68*1,0)&amp;"%"</f>
      </c>
    </row>
    <row x14ac:dyDescent="0.25" r="178" customHeight="1" ht="17.25">
      <c r="A178" s="17" t="s">
        <v>12909</v>
      </c>
      <c r="B178" s="17" t="s">
        <v>304</v>
      </c>
      <c r="C178" s="17" t="s">
        <v>15</v>
      </c>
      <c r="D178" s="17" t="s">
        <v>39</v>
      </c>
      <c r="E178" s="18">
        <f>ROUND(6167*1.05,2)</f>
      </c>
      <c r="F178" s="17" t="s">
        <v>40</v>
      </c>
      <c r="G178" s="17" t="s">
        <v>24</v>
      </c>
      <c r="H178" s="26">
        <f>ROUND(RAND()*4+6,1)</f>
      </c>
      <c r="I178" s="17" t="s">
        <v>41</v>
      </c>
      <c r="J178" s="19">
        <f>ROUND(99*1,0)&amp;"%"</f>
      </c>
    </row>
    <row x14ac:dyDescent="0.25" r="179" customHeight="1" ht="17.25">
      <c r="A179" s="20" t="s">
        <v>12910</v>
      </c>
      <c r="B179" s="20" t="s">
        <v>306</v>
      </c>
      <c r="C179" s="20" t="s">
        <v>15</v>
      </c>
      <c r="D179" s="20" t="s">
        <v>67</v>
      </c>
      <c r="E179" s="21">
        <f>ROUND(15918*1.05,2)</f>
      </c>
      <c r="F179" s="20" t="s">
        <v>44</v>
      </c>
      <c r="G179" s="20" t="s">
        <v>30</v>
      </c>
      <c r="H179" s="21">
        <f>ROUND(RAND()*4+6,1)</f>
      </c>
      <c r="I179" s="20" t="s">
        <v>45</v>
      </c>
      <c r="J179" s="23">
        <f>ROUND(65*1,0)&amp;"%"</f>
      </c>
    </row>
    <row x14ac:dyDescent="0.25" r="180" customHeight="1" ht="17.25">
      <c r="A180" s="17" t="s">
        <v>12911</v>
      </c>
      <c r="B180" s="17" t="s">
        <v>308</v>
      </c>
      <c r="C180" s="17" t="s">
        <v>15</v>
      </c>
      <c r="D180" s="17" t="s">
        <v>16</v>
      </c>
      <c r="E180" s="18">
        <f>ROUND(10663*1.05,2)</f>
      </c>
      <c r="F180" s="17" t="s">
        <v>48</v>
      </c>
      <c r="G180" s="17" t="s">
        <v>18</v>
      </c>
      <c r="H180" s="26">
        <f>ROUND(RAND()*4+6,1)</f>
      </c>
      <c r="I180" s="17" t="s">
        <v>19</v>
      </c>
      <c r="J180" s="19">
        <f>ROUND(71*1,0)&amp;"%"</f>
      </c>
    </row>
    <row x14ac:dyDescent="0.25" r="181" customHeight="1" ht="17.25">
      <c r="A181" s="20" t="s">
        <v>12912</v>
      </c>
      <c r="B181" s="20" t="s">
        <v>310</v>
      </c>
      <c r="C181" s="20" t="s">
        <v>15</v>
      </c>
      <c r="D181" s="20" t="s">
        <v>22</v>
      </c>
      <c r="E181" s="21">
        <f>ROUND(12316*1.05,2)</f>
      </c>
      <c r="F181" s="20" t="s">
        <v>51</v>
      </c>
      <c r="G181" s="20" t="s">
        <v>24</v>
      </c>
      <c r="H181" s="21">
        <f>ROUND(RAND()*4+6,1)</f>
      </c>
      <c r="I181" s="20" t="s">
        <v>25</v>
      </c>
      <c r="J181" s="23">
        <f>ROUND(91*1,0)&amp;"%"</f>
      </c>
    </row>
    <row x14ac:dyDescent="0.25" r="182" customHeight="1" ht="17.25">
      <c r="A182" s="24" t="s">
        <v>311</v>
      </c>
      <c r="B182" s="24"/>
      <c r="C182" s="24"/>
      <c r="D182" s="24"/>
      <c r="E182" s="25">
        <v>8</v>
      </c>
      <c r="F182" s="9"/>
      <c r="G182" s="9"/>
      <c r="H182" s="31"/>
      <c r="I182" s="9"/>
      <c r="J182" s="9"/>
    </row>
    <row x14ac:dyDescent="0.25" r="183" customHeight="1" ht="17.25">
      <c r="A183" s="7"/>
      <c r="B183" s="7"/>
      <c r="C183" s="7"/>
      <c r="D183" s="7"/>
      <c r="E183" s="8"/>
      <c r="F183" s="9"/>
      <c r="G183" s="9"/>
      <c r="H183" s="31"/>
      <c r="I183" s="9"/>
      <c r="J183" s="9"/>
    </row>
    <row x14ac:dyDescent="0.25" r="184" customHeight="1" ht="17.25">
      <c r="A184" s="11" t="s">
        <v>12913</v>
      </c>
      <c r="B184" s="11"/>
      <c r="C184" s="11"/>
      <c r="D184" s="11"/>
      <c r="E184" s="12"/>
      <c r="F184" s="11"/>
      <c r="G184" s="11"/>
      <c r="H184" s="12"/>
      <c r="I184" s="11"/>
      <c r="J184" s="11"/>
    </row>
    <row x14ac:dyDescent="0.25" r="185" customHeight="1" ht="17.25">
      <c r="A185" s="14" t="s">
        <v>3</v>
      </c>
      <c r="B185" s="14" t="s">
        <v>4</v>
      </c>
      <c r="C185" s="14" t="s">
        <v>5</v>
      </c>
      <c r="D185" s="14" t="s">
        <v>6</v>
      </c>
      <c r="E185" s="15" t="s">
        <v>7</v>
      </c>
      <c r="F185" s="14" t="s">
        <v>8</v>
      </c>
      <c r="G185" s="14" t="s">
        <v>9</v>
      </c>
      <c r="H185" s="15" t="s">
        <v>10</v>
      </c>
      <c r="I185" s="14" t="s">
        <v>11</v>
      </c>
      <c r="J185" s="14" t="s">
        <v>12</v>
      </c>
    </row>
    <row x14ac:dyDescent="0.25" r="186" customHeight="1" ht="17.25">
      <c r="A186" s="17" t="s">
        <v>12914</v>
      </c>
      <c r="B186" s="17" t="s">
        <v>314</v>
      </c>
      <c r="C186" s="17" t="s">
        <v>56</v>
      </c>
      <c r="D186" s="17" t="s">
        <v>16</v>
      </c>
      <c r="E186" s="18">
        <f>ROUND(11729*1.05,2)</f>
      </c>
      <c r="F186" s="17" t="s">
        <v>17</v>
      </c>
      <c r="G186" s="17" t="s">
        <v>18</v>
      </c>
      <c r="H186" s="18">
        <f>ROUND(RAND()*4+6,1)</f>
      </c>
      <c r="I186" s="17" t="s">
        <v>19</v>
      </c>
      <c r="J186" s="19">
        <f>ROUND(88*1,0)&amp;"%"</f>
      </c>
    </row>
    <row x14ac:dyDescent="0.25" r="187" customHeight="1" ht="17.25">
      <c r="A187" s="20" t="s">
        <v>12915</v>
      </c>
      <c r="B187" s="20" t="s">
        <v>316</v>
      </c>
      <c r="C187" s="20" t="s">
        <v>56</v>
      </c>
      <c r="D187" s="20" t="s">
        <v>22</v>
      </c>
      <c r="E187" s="22">
        <f>ROUND(15540*1.05,2)</f>
      </c>
      <c r="F187" s="20" t="s">
        <v>23</v>
      </c>
      <c r="G187" s="20" t="s">
        <v>24</v>
      </c>
      <c r="H187" s="21">
        <f>ROUND(RAND()*4+6,1)</f>
      </c>
      <c r="I187" s="20" t="s">
        <v>25</v>
      </c>
      <c r="J187" s="23">
        <f>ROUND(73*1,0)&amp;"%"</f>
      </c>
    </row>
    <row x14ac:dyDescent="0.25" r="188" customHeight="1" ht="17.25">
      <c r="A188" s="17" t="s">
        <v>12916</v>
      </c>
      <c r="B188" s="17" t="s">
        <v>318</v>
      </c>
      <c r="C188" s="17" t="s">
        <v>56</v>
      </c>
      <c r="D188" s="17" t="s">
        <v>28</v>
      </c>
      <c r="E188" s="18">
        <f>ROUND(5946*1.05,2)</f>
      </c>
      <c r="F188" s="17" t="s">
        <v>29</v>
      </c>
      <c r="G188" s="17" t="s">
        <v>30</v>
      </c>
      <c r="H188" s="18">
        <f>ROUND(RAND()*4+6,1)</f>
      </c>
      <c r="I188" s="17" t="s">
        <v>31</v>
      </c>
      <c r="J188" s="19">
        <f>ROUND(60*1,0)&amp;"%"</f>
      </c>
    </row>
    <row x14ac:dyDescent="0.25" r="189" customHeight="1" ht="17.25">
      <c r="A189" s="20" t="s">
        <v>12917</v>
      </c>
      <c r="B189" s="20" t="s">
        <v>320</v>
      </c>
      <c r="C189" s="20" t="s">
        <v>56</v>
      </c>
      <c r="D189" s="20" t="s">
        <v>34</v>
      </c>
      <c r="E189" s="21">
        <f>ROUND(10893*1.05,2)</f>
      </c>
      <c r="F189" s="20" t="s">
        <v>35</v>
      </c>
      <c r="G189" s="20" t="s">
        <v>18</v>
      </c>
      <c r="H189" s="21">
        <f>ROUND(RAND()*4+6,1)</f>
      </c>
      <c r="I189" s="20" t="s">
        <v>36</v>
      </c>
      <c r="J189" s="23">
        <f>ROUND(100*1,0)&amp;"%"</f>
      </c>
    </row>
    <row x14ac:dyDescent="0.25" r="190" customHeight="1" ht="17.25">
      <c r="A190" s="17" t="s">
        <v>12918</v>
      </c>
      <c r="B190" s="17" t="s">
        <v>322</v>
      </c>
      <c r="C190" s="17" t="s">
        <v>56</v>
      </c>
      <c r="D190" s="17" t="s">
        <v>39</v>
      </c>
      <c r="E190" s="18">
        <f>ROUND(15914*1.05,2)</f>
      </c>
      <c r="F190" s="17" t="s">
        <v>40</v>
      </c>
      <c r="G190" s="17" t="s">
        <v>24</v>
      </c>
      <c r="H190" s="18">
        <f>ROUND(RAND()*4+6,1)</f>
      </c>
      <c r="I190" s="17" t="s">
        <v>41</v>
      </c>
      <c r="J190" s="19">
        <f>ROUND(61*1,0)&amp;"%"</f>
      </c>
    </row>
    <row x14ac:dyDescent="0.25" r="191" customHeight="1" ht="17.25">
      <c r="A191" s="20" t="s">
        <v>12919</v>
      </c>
      <c r="B191" s="20" t="s">
        <v>324</v>
      </c>
      <c r="C191" s="20" t="s">
        <v>56</v>
      </c>
      <c r="D191" s="20" t="s">
        <v>67</v>
      </c>
      <c r="E191" s="21">
        <f>ROUND(7946*1.05,2)</f>
      </c>
      <c r="F191" s="20" t="s">
        <v>44</v>
      </c>
      <c r="G191" s="20" t="s">
        <v>30</v>
      </c>
      <c r="H191" s="21">
        <f>ROUND(RAND()*4+6,1)</f>
      </c>
      <c r="I191" s="20" t="s">
        <v>45</v>
      </c>
      <c r="J191" s="23">
        <f>ROUND(79*1,0)&amp;"%"</f>
      </c>
    </row>
    <row x14ac:dyDescent="0.25" r="192" customHeight="1" ht="17.25">
      <c r="A192" s="17" t="s">
        <v>12920</v>
      </c>
      <c r="B192" s="17" t="s">
        <v>326</v>
      </c>
      <c r="C192" s="17" t="s">
        <v>56</v>
      </c>
      <c r="D192" s="17" t="s">
        <v>16</v>
      </c>
      <c r="E192" s="18">
        <f>ROUND(4476*1.05,2)</f>
      </c>
      <c r="F192" s="17" t="s">
        <v>48</v>
      </c>
      <c r="G192" s="17" t="s">
        <v>18</v>
      </c>
      <c r="H192" s="18">
        <f>ROUND(RAND()*4+6,1)</f>
      </c>
      <c r="I192" s="17" t="s">
        <v>19</v>
      </c>
      <c r="J192" s="19">
        <f>ROUND(87*1,0)&amp;"%"</f>
      </c>
    </row>
    <row x14ac:dyDescent="0.25" r="193" customHeight="1" ht="17.25">
      <c r="A193" s="20" t="s">
        <v>12921</v>
      </c>
      <c r="B193" s="20" t="s">
        <v>328</v>
      </c>
      <c r="C193" s="20" t="s">
        <v>56</v>
      </c>
      <c r="D193" s="20" t="s">
        <v>22</v>
      </c>
      <c r="E193" s="21">
        <f>ROUND(8843*1.05,2)</f>
      </c>
      <c r="F193" s="20" t="s">
        <v>51</v>
      </c>
      <c r="G193" s="20" t="s">
        <v>24</v>
      </c>
      <c r="H193" s="21">
        <f>ROUND(RAND()*4+6,1)</f>
      </c>
      <c r="I193" s="20" t="s">
        <v>25</v>
      </c>
      <c r="J193" s="23">
        <f>ROUND(64*1,0)&amp;"%"</f>
      </c>
    </row>
    <row x14ac:dyDescent="0.25" r="194" customHeight="1" ht="17.25">
      <c r="A194" s="24" t="s">
        <v>329</v>
      </c>
      <c r="B194" s="24"/>
      <c r="C194" s="24"/>
      <c r="D194" s="24"/>
      <c r="E194" s="25">
        <v>8</v>
      </c>
      <c r="F194" s="9"/>
      <c r="G194" s="9"/>
      <c r="H194" s="31"/>
      <c r="I194" s="9"/>
      <c r="J194" s="9"/>
    </row>
    <row x14ac:dyDescent="0.25" r="195" customHeight="1" ht="17.25">
      <c r="A195" s="7"/>
      <c r="B195" s="7"/>
      <c r="C195" s="7"/>
      <c r="D195" s="7"/>
      <c r="E195" s="8"/>
      <c r="F195" s="9"/>
      <c r="G195" s="9"/>
      <c r="H195" s="31"/>
      <c r="I195" s="9"/>
      <c r="J195" s="9"/>
    </row>
    <row x14ac:dyDescent="0.25" r="196" customHeight="1" ht="17.25">
      <c r="A196" s="11" t="s">
        <v>12922</v>
      </c>
      <c r="B196" s="11"/>
      <c r="C196" s="11"/>
      <c r="D196" s="11"/>
      <c r="E196" s="12"/>
      <c r="F196" s="11"/>
      <c r="G196" s="11"/>
      <c r="H196" s="12"/>
      <c r="I196" s="11"/>
      <c r="J196" s="11"/>
    </row>
    <row x14ac:dyDescent="0.25" r="197" customHeight="1" ht="17.25">
      <c r="A197" s="14" t="s">
        <v>3</v>
      </c>
      <c r="B197" s="14" t="s">
        <v>4</v>
      </c>
      <c r="C197" s="14" t="s">
        <v>5</v>
      </c>
      <c r="D197" s="14" t="s">
        <v>6</v>
      </c>
      <c r="E197" s="15" t="s">
        <v>7</v>
      </c>
      <c r="F197" s="14" t="s">
        <v>8</v>
      </c>
      <c r="G197" s="14" t="s">
        <v>9</v>
      </c>
      <c r="H197" s="15" t="s">
        <v>10</v>
      </c>
      <c r="I197" s="14" t="s">
        <v>11</v>
      </c>
      <c r="J197" s="14" t="s">
        <v>12</v>
      </c>
    </row>
    <row x14ac:dyDescent="0.25" r="198" customHeight="1" ht="17.25">
      <c r="A198" s="17" t="s">
        <v>12923</v>
      </c>
      <c r="B198" s="17" t="s">
        <v>332</v>
      </c>
      <c r="C198" s="17" t="s">
        <v>76</v>
      </c>
      <c r="D198" s="17" t="s">
        <v>16</v>
      </c>
      <c r="E198" s="18">
        <f>ROUND(9714*1.05,2)</f>
      </c>
      <c r="F198" s="17" t="s">
        <v>17</v>
      </c>
      <c r="G198" s="17" t="s">
        <v>18</v>
      </c>
      <c r="H198" s="18">
        <f>ROUND(RAND()*4+6,1)</f>
      </c>
      <c r="I198" s="17" t="s">
        <v>19</v>
      </c>
      <c r="J198" s="19">
        <f>ROUND(86*1,0)&amp;"%"</f>
      </c>
    </row>
    <row x14ac:dyDescent="0.25" r="199" customHeight="1" ht="17.25">
      <c r="A199" s="20" t="s">
        <v>12924</v>
      </c>
      <c r="B199" s="20" t="s">
        <v>334</v>
      </c>
      <c r="C199" s="20" t="s">
        <v>76</v>
      </c>
      <c r="D199" s="20" t="s">
        <v>22</v>
      </c>
      <c r="E199" s="21">
        <f>ROUND(8569*1.05,2)</f>
      </c>
      <c r="F199" s="20" t="s">
        <v>23</v>
      </c>
      <c r="G199" s="20" t="s">
        <v>24</v>
      </c>
      <c r="H199" s="21">
        <f>ROUND(RAND()*4+6,1)</f>
      </c>
      <c r="I199" s="20" t="s">
        <v>25</v>
      </c>
      <c r="J199" s="23">
        <f>ROUND(94*1,0)&amp;"%"</f>
      </c>
    </row>
    <row x14ac:dyDescent="0.25" r="200" customHeight="1" ht="17.25">
      <c r="A200" s="17" t="s">
        <v>12925</v>
      </c>
      <c r="B200" s="17" t="s">
        <v>336</v>
      </c>
      <c r="C200" s="17" t="s">
        <v>76</v>
      </c>
      <c r="D200" s="17" t="s">
        <v>28</v>
      </c>
      <c r="E200" s="18">
        <f>ROUND(7423*1.05,2)</f>
      </c>
      <c r="F200" s="17" t="s">
        <v>29</v>
      </c>
      <c r="G200" s="17" t="s">
        <v>30</v>
      </c>
      <c r="H200" s="18">
        <f>ROUND(RAND()*4+6,1)</f>
      </c>
      <c r="I200" s="17" t="s">
        <v>31</v>
      </c>
      <c r="J200" s="19">
        <f>ROUND(61*1,0)&amp;"%"</f>
      </c>
    </row>
    <row x14ac:dyDescent="0.25" r="201" customHeight="1" ht="17.25">
      <c r="A201" s="20" t="s">
        <v>12926</v>
      </c>
      <c r="B201" s="20" t="s">
        <v>338</v>
      </c>
      <c r="C201" s="20" t="s">
        <v>76</v>
      </c>
      <c r="D201" s="20" t="s">
        <v>34</v>
      </c>
      <c r="E201" s="21">
        <f>ROUND(14077*1.05,2)</f>
      </c>
      <c r="F201" s="20" t="s">
        <v>35</v>
      </c>
      <c r="G201" s="20" t="s">
        <v>18</v>
      </c>
      <c r="H201" s="21">
        <f>ROUND(RAND()*4+6,1)</f>
      </c>
      <c r="I201" s="20" t="s">
        <v>36</v>
      </c>
      <c r="J201" s="23">
        <f>ROUND(66*1,0)&amp;"%"</f>
      </c>
    </row>
    <row x14ac:dyDescent="0.25" r="202" customHeight="1" ht="17.25">
      <c r="A202" s="17" t="s">
        <v>12927</v>
      </c>
      <c r="B202" s="17" t="s">
        <v>340</v>
      </c>
      <c r="C202" s="17" t="s">
        <v>76</v>
      </c>
      <c r="D202" s="17" t="s">
        <v>39</v>
      </c>
      <c r="E202" s="18">
        <f>ROUND(16150*1.05,2)</f>
      </c>
      <c r="F202" s="17" t="s">
        <v>40</v>
      </c>
      <c r="G202" s="17" t="s">
        <v>24</v>
      </c>
      <c r="H202" s="18">
        <f>ROUND(RAND()*4+6,1)</f>
      </c>
      <c r="I202" s="17" t="s">
        <v>41</v>
      </c>
      <c r="J202" s="19">
        <f>ROUND(63*1,0)&amp;"%"</f>
      </c>
    </row>
    <row x14ac:dyDescent="0.25" r="203" customHeight="1" ht="17.25">
      <c r="A203" s="20" t="s">
        <v>12928</v>
      </c>
      <c r="B203" s="20" t="s">
        <v>342</v>
      </c>
      <c r="C203" s="20" t="s">
        <v>76</v>
      </c>
      <c r="D203" s="20" t="s">
        <v>67</v>
      </c>
      <c r="E203" s="21">
        <f>ROUND(7946*1.05,2)</f>
      </c>
      <c r="F203" s="20" t="s">
        <v>44</v>
      </c>
      <c r="G203" s="20" t="s">
        <v>30</v>
      </c>
      <c r="H203" s="21">
        <f>ROUND(RAND()*4+6,1)</f>
      </c>
      <c r="I203" s="20" t="s">
        <v>45</v>
      </c>
      <c r="J203" s="23">
        <f>ROUND(61*1,0)&amp;"%"</f>
      </c>
    </row>
    <row x14ac:dyDescent="0.25" r="204" customHeight="1" ht="17.25">
      <c r="A204" s="17" t="s">
        <v>12929</v>
      </c>
      <c r="B204" s="17" t="s">
        <v>344</v>
      </c>
      <c r="C204" s="17" t="s">
        <v>76</v>
      </c>
      <c r="D204" s="17" t="s">
        <v>16</v>
      </c>
      <c r="E204" s="18">
        <f>ROUND(7003*1.05,2)</f>
      </c>
      <c r="F204" s="17" t="s">
        <v>48</v>
      </c>
      <c r="G204" s="17" t="s">
        <v>18</v>
      </c>
      <c r="H204" s="18">
        <f>ROUND(RAND()*4+6,1)</f>
      </c>
      <c r="I204" s="17" t="s">
        <v>19</v>
      </c>
      <c r="J204" s="19">
        <f>ROUND(80*1,0)&amp;"%"</f>
      </c>
    </row>
    <row x14ac:dyDescent="0.25" r="205" customHeight="1" ht="17.25">
      <c r="A205" s="20" t="s">
        <v>12930</v>
      </c>
      <c r="B205" s="20" t="s">
        <v>346</v>
      </c>
      <c r="C205" s="20" t="s">
        <v>76</v>
      </c>
      <c r="D205" s="20" t="s">
        <v>22</v>
      </c>
      <c r="E205" s="21">
        <f>ROUND(4899*1.05,2)</f>
      </c>
      <c r="F205" s="20" t="s">
        <v>51</v>
      </c>
      <c r="G205" s="20" t="s">
        <v>24</v>
      </c>
      <c r="H205" s="21">
        <f>ROUND(RAND()*4+6,1)</f>
      </c>
      <c r="I205" s="20" t="s">
        <v>25</v>
      </c>
      <c r="J205" s="23">
        <f>ROUND(64*1,0)&amp;"%"</f>
      </c>
    </row>
    <row x14ac:dyDescent="0.25" r="206" customHeight="1" ht="17.25">
      <c r="A206" s="24" t="s">
        <v>347</v>
      </c>
      <c r="B206" s="24"/>
      <c r="C206" s="24"/>
      <c r="D206" s="24"/>
      <c r="E206" s="25">
        <v>8</v>
      </c>
      <c r="F206" s="9"/>
      <c r="G206" s="9"/>
      <c r="H206" s="31"/>
      <c r="I206" s="9"/>
      <c r="J206" s="9"/>
    </row>
    <row x14ac:dyDescent="0.25" r="207" customHeight="1" ht="17.25">
      <c r="A207" s="7"/>
      <c r="B207" s="7"/>
      <c r="C207" s="7"/>
      <c r="D207" s="7"/>
      <c r="E207" s="8"/>
      <c r="F207" s="9"/>
      <c r="G207" s="9"/>
      <c r="H207" s="31"/>
      <c r="I207" s="9"/>
      <c r="J207" s="9"/>
    </row>
    <row x14ac:dyDescent="0.25" r="208" customHeight="1" ht="17.25">
      <c r="A208" s="11" t="s">
        <v>12931</v>
      </c>
      <c r="B208" s="11"/>
      <c r="C208" s="11"/>
      <c r="D208" s="11"/>
      <c r="E208" s="12"/>
      <c r="F208" s="11"/>
      <c r="G208" s="11"/>
      <c r="H208" s="12"/>
      <c r="I208" s="11"/>
      <c r="J208" s="11"/>
    </row>
    <row x14ac:dyDescent="0.25" r="209" customHeight="1" ht="17.25">
      <c r="A209" s="14" t="s">
        <v>3</v>
      </c>
      <c r="B209" s="14" t="s">
        <v>4</v>
      </c>
      <c r="C209" s="14" t="s">
        <v>5</v>
      </c>
      <c r="D209" s="14" t="s">
        <v>6</v>
      </c>
      <c r="E209" s="15" t="s">
        <v>7</v>
      </c>
      <c r="F209" s="14" t="s">
        <v>8</v>
      </c>
      <c r="G209" s="14" t="s">
        <v>9</v>
      </c>
      <c r="H209" s="15" t="s">
        <v>10</v>
      </c>
      <c r="I209" s="14" t="s">
        <v>11</v>
      </c>
      <c r="J209" s="14" t="s">
        <v>12</v>
      </c>
    </row>
    <row x14ac:dyDescent="0.25" r="210" customHeight="1" ht="17.25">
      <c r="A210" s="17" t="s">
        <v>12932</v>
      </c>
      <c r="B210" s="17" t="s">
        <v>350</v>
      </c>
      <c r="C210" s="17" t="s">
        <v>95</v>
      </c>
      <c r="D210" s="17" t="s">
        <v>16</v>
      </c>
      <c r="E210" s="18">
        <f>ROUND(5977*1.05,2)</f>
      </c>
      <c r="F210" s="17" t="s">
        <v>17</v>
      </c>
      <c r="G210" s="17" t="s">
        <v>18</v>
      </c>
      <c r="H210" s="18">
        <f>ROUND(RAND()*4+6,1)</f>
      </c>
      <c r="I210" s="17" t="s">
        <v>19</v>
      </c>
      <c r="J210" s="19">
        <f>ROUND(93*1,0)&amp;"%"</f>
      </c>
    </row>
    <row x14ac:dyDescent="0.25" r="211" customHeight="1" ht="17.25">
      <c r="A211" s="20" t="s">
        <v>12933</v>
      </c>
      <c r="B211" s="20" t="s">
        <v>352</v>
      </c>
      <c r="C211" s="20" t="s">
        <v>95</v>
      </c>
      <c r="D211" s="20" t="s">
        <v>22</v>
      </c>
      <c r="E211" s="22">
        <f>ROUND(8800*1.05,2)</f>
      </c>
      <c r="F211" s="20" t="s">
        <v>23</v>
      </c>
      <c r="G211" s="20" t="s">
        <v>24</v>
      </c>
      <c r="H211" s="21">
        <f>ROUND(RAND()*4+6,1)</f>
      </c>
      <c r="I211" s="20" t="s">
        <v>25</v>
      </c>
      <c r="J211" s="23">
        <f>ROUND(100*1,0)&amp;"%"</f>
      </c>
    </row>
    <row x14ac:dyDescent="0.25" r="212" customHeight="1" ht="17.25">
      <c r="A212" s="17" t="s">
        <v>12934</v>
      </c>
      <c r="B212" s="17" t="s">
        <v>354</v>
      </c>
      <c r="C212" s="17" t="s">
        <v>95</v>
      </c>
      <c r="D212" s="17" t="s">
        <v>28</v>
      </c>
      <c r="E212" s="18">
        <f>ROUND(15425*1.05,2)</f>
      </c>
      <c r="F212" s="17" t="s">
        <v>29</v>
      </c>
      <c r="G212" s="17" t="s">
        <v>30</v>
      </c>
      <c r="H212" s="18">
        <f>ROUND(RAND()*4+6,1)</f>
      </c>
      <c r="I212" s="17" t="s">
        <v>31</v>
      </c>
      <c r="J212" s="19">
        <f>ROUND(78*1,0)&amp;"%"</f>
      </c>
    </row>
    <row x14ac:dyDescent="0.25" r="213" customHeight="1" ht="17.25">
      <c r="A213" s="20" t="s">
        <v>12935</v>
      </c>
      <c r="B213" s="20" t="s">
        <v>356</v>
      </c>
      <c r="C213" s="20" t="s">
        <v>95</v>
      </c>
      <c r="D213" s="20" t="s">
        <v>34</v>
      </c>
      <c r="E213" s="21">
        <f>ROUND(6930*1.05,2)</f>
      </c>
      <c r="F213" s="20" t="s">
        <v>35</v>
      </c>
      <c r="G213" s="20" t="s">
        <v>18</v>
      </c>
      <c r="H213" s="21">
        <f>ROUND(RAND()*4+6,1)</f>
      </c>
      <c r="I213" s="20" t="s">
        <v>36</v>
      </c>
      <c r="J213" s="23">
        <f>ROUND(95*1,0)&amp;"%"</f>
      </c>
    </row>
    <row x14ac:dyDescent="0.25" r="214" customHeight="1" ht="17.25">
      <c r="A214" s="17" t="s">
        <v>12936</v>
      </c>
      <c r="B214" s="17" t="s">
        <v>358</v>
      </c>
      <c r="C214" s="17" t="s">
        <v>95</v>
      </c>
      <c r="D214" s="17" t="s">
        <v>39</v>
      </c>
      <c r="E214" s="18">
        <f>ROUND(9853*1.05,2)</f>
      </c>
      <c r="F214" s="17" t="s">
        <v>40</v>
      </c>
      <c r="G214" s="17" t="s">
        <v>24</v>
      </c>
      <c r="H214" s="18">
        <f>ROUND(RAND()*4+6,1)</f>
      </c>
      <c r="I214" s="17" t="s">
        <v>41</v>
      </c>
      <c r="J214" s="19">
        <f>ROUND(96*1,0)&amp;"%"</f>
      </c>
    </row>
    <row x14ac:dyDescent="0.25" r="215" customHeight="1" ht="17.25">
      <c r="A215" s="20" t="s">
        <v>12937</v>
      </c>
      <c r="B215" s="20" t="s">
        <v>360</v>
      </c>
      <c r="C215" s="20" t="s">
        <v>95</v>
      </c>
      <c r="D215" s="20" t="s">
        <v>67</v>
      </c>
      <c r="E215" s="21">
        <f>ROUND(9992*1.05,2)</f>
      </c>
      <c r="F215" s="20" t="s">
        <v>44</v>
      </c>
      <c r="G215" s="20" t="s">
        <v>30</v>
      </c>
      <c r="H215" s="21">
        <f>ROUND(RAND()*4+6,1)</f>
      </c>
      <c r="I215" s="20" t="s">
        <v>45</v>
      </c>
      <c r="J215" s="23">
        <f>ROUND(98*1,0)&amp;"%"</f>
      </c>
    </row>
    <row x14ac:dyDescent="0.25" r="216" customHeight="1" ht="17.25">
      <c r="A216" s="17" t="s">
        <v>12938</v>
      </c>
      <c r="B216" s="17" t="s">
        <v>362</v>
      </c>
      <c r="C216" s="17" t="s">
        <v>95</v>
      </c>
      <c r="D216" s="17" t="s">
        <v>16</v>
      </c>
      <c r="E216" s="18">
        <f>ROUND(8832*1.05,2)</f>
      </c>
      <c r="F216" s="17" t="s">
        <v>48</v>
      </c>
      <c r="G216" s="17" t="s">
        <v>18</v>
      </c>
      <c r="H216" s="18">
        <f>ROUND(RAND()*4+6,1)</f>
      </c>
      <c r="I216" s="17" t="s">
        <v>19</v>
      </c>
      <c r="J216" s="19">
        <f>ROUND(67*1,0)&amp;"%"</f>
      </c>
    </row>
    <row x14ac:dyDescent="0.25" r="217" customHeight="1" ht="17.25">
      <c r="A217" s="20" t="s">
        <v>12939</v>
      </c>
      <c r="B217" s="20" t="s">
        <v>364</v>
      </c>
      <c r="C217" s="20" t="s">
        <v>95</v>
      </c>
      <c r="D217" s="20" t="s">
        <v>22</v>
      </c>
      <c r="E217" s="21">
        <f>ROUND(4150*1.05,2)</f>
      </c>
      <c r="F217" s="20" t="s">
        <v>51</v>
      </c>
      <c r="G217" s="20" t="s">
        <v>24</v>
      </c>
      <c r="H217" s="21">
        <f>ROUND(RAND()*4+6,1)</f>
      </c>
      <c r="I217" s="20" t="s">
        <v>25</v>
      </c>
      <c r="J217" s="23">
        <f>ROUND(71*1,0)&amp;"%"</f>
      </c>
    </row>
    <row x14ac:dyDescent="0.25" r="218" customHeight="1" ht="17.25">
      <c r="A218" s="24" t="s">
        <v>365</v>
      </c>
      <c r="B218" s="24"/>
      <c r="C218" s="24"/>
      <c r="D218" s="24"/>
      <c r="E218" s="25">
        <v>8</v>
      </c>
      <c r="F218" s="9"/>
      <c r="G218" s="9"/>
      <c r="H218" s="31"/>
      <c r="I218" s="9"/>
      <c r="J218" s="9"/>
    </row>
    <row x14ac:dyDescent="0.25" r="219" customHeight="1" ht="17.25">
      <c r="A219" s="7"/>
      <c r="B219" s="7"/>
      <c r="C219" s="7"/>
      <c r="D219" s="7"/>
      <c r="E219" s="8"/>
      <c r="F219" s="9"/>
      <c r="G219" s="9"/>
      <c r="H219" s="31"/>
      <c r="I219" s="9"/>
      <c r="J219" s="9"/>
    </row>
    <row x14ac:dyDescent="0.25" r="220" customHeight="1" ht="17.25">
      <c r="A220" s="11" t="s">
        <v>12940</v>
      </c>
      <c r="B220" s="11"/>
      <c r="C220" s="11"/>
      <c r="D220" s="11"/>
      <c r="E220" s="12"/>
      <c r="F220" s="11"/>
      <c r="G220" s="11"/>
      <c r="H220" s="12"/>
      <c r="I220" s="11"/>
      <c r="J220" s="11"/>
    </row>
    <row x14ac:dyDescent="0.25" r="221" customHeight="1" ht="17.25">
      <c r="A221" s="14" t="s">
        <v>3</v>
      </c>
      <c r="B221" s="14" t="s">
        <v>4</v>
      </c>
      <c r="C221" s="14" t="s">
        <v>5</v>
      </c>
      <c r="D221" s="14" t="s">
        <v>6</v>
      </c>
      <c r="E221" s="15" t="s">
        <v>7</v>
      </c>
      <c r="F221" s="14" t="s">
        <v>8</v>
      </c>
      <c r="G221" s="14" t="s">
        <v>9</v>
      </c>
      <c r="H221" s="15" t="s">
        <v>10</v>
      </c>
      <c r="I221" s="14" t="s">
        <v>11</v>
      </c>
      <c r="J221" s="14" t="s">
        <v>12</v>
      </c>
    </row>
    <row x14ac:dyDescent="0.25" r="222" customHeight="1" ht="17.25">
      <c r="A222" s="17" t="s">
        <v>12941</v>
      </c>
      <c r="B222" s="17" t="s">
        <v>368</v>
      </c>
      <c r="C222" s="17" t="s">
        <v>114</v>
      </c>
      <c r="D222" s="17" t="s">
        <v>16</v>
      </c>
      <c r="E222" s="18">
        <f>ROUND(5656*1.05,2)</f>
      </c>
      <c r="F222" s="17" t="s">
        <v>17</v>
      </c>
      <c r="G222" s="17" t="s">
        <v>18</v>
      </c>
      <c r="H222" s="18">
        <f>ROUND(RAND()*4+6,1)</f>
      </c>
      <c r="I222" s="17" t="s">
        <v>19</v>
      </c>
      <c r="J222" s="19">
        <f>ROUND(78*1,0)&amp;"%"</f>
      </c>
    </row>
    <row x14ac:dyDescent="0.25" r="223" customHeight="1" ht="17.25">
      <c r="A223" s="20" t="s">
        <v>12942</v>
      </c>
      <c r="B223" s="20" t="s">
        <v>370</v>
      </c>
      <c r="C223" s="20" t="s">
        <v>114</v>
      </c>
      <c r="D223" s="20" t="s">
        <v>22</v>
      </c>
      <c r="E223" s="21">
        <f>ROUND(15884*1.05,2)</f>
      </c>
      <c r="F223" s="20" t="s">
        <v>23</v>
      </c>
      <c r="G223" s="20" t="s">
        <v>24</v>
      </c>
      <c r="H223" s="21">
        <f>ROUND(RAND()*4+6,1)</f>
      </c>
      <c r="I223" s="20" t="s">
        <v>25</v>
      </c>
      <c r="J223" s="23">
        <f>ROUND(96*1,0)&amp;"%"</f>
      </c>
    </row>
    <row x14ac:dyDescent="0.25" r="224" customHeight="1" ht="17.25">
      <c r="A224" s="17" t="s">
        <v>12943</v>
      </c>
      <c r="B224" s="17" t="s">
        <v>372</v>
      </c>
      <c r="C224" s="17" t="s">
        <v>114</v>
      </c>
      <c r="D224" s="17" t="s">
        <v>28</v>
      </c>
      <c r="E224" s="18">
        <f>ROUND(11483*1.05,2)</f>
      </c>
      <c r="F224" s="17" t="s">
        <v>29</v>
      </c>
      <c r="G224" s="17" t="s">
        <v>30</v>
      </c>
      <c r="H224" s="18">
        <f>ROUND(RAND()*4+6,1)</f>
      </c>
      <c r="I224" s="17" t="s">
        <v>31</v>
      </c>
      <c r="J224" s="19">
        <f>ROUND(85*1,0)&amp;"%"</f>
      </c>
    </row>
    <row x14ac:dyDescent="0.25" r="225" customHeight="1" ht="17.25">
      <c r="A225" s="20" t="s">
        <v>12944</v>
      </c>
      <c r="B225" s="20" t="s">
        <v>374</v>
      </c>
      <c r="C225" s="20" t="s">
        <v>114</v>
      </c>
      <c r="D225" s="20" t="s">
        <v>34</v>
      </c>
      <c r="E225" s="21">
        <f>ROUND(5306*1.05,2)</f>
      </c>
      <c r="F225" s="20" t="s">
        <v>35</v>
      </c>
      <c r="G225" s="20" t="s">
        <v>18</v>
      </c>
      <c r="H225" s="21">
        <f>ROUND(RAND()*4+6,1)</f>
      </c>
      <c r="I225" s="20" t="s">
        <v>36</v>
      </c>
      <c r="J225" s="23">
        <f>ROUND(73*1,0)&amp;"%"</f>
      </c>
    </row>
    <row x14ac:dyDescent="0.25" r="226" customHeight="1" ht="17.25">
      <c r="A226" s="17" t="s">
        <v>12945</v>
      </c>
      <c r="B226" s="17" t="s">
        <v>376</v>
      </c>
      <c r="C226" s="17" t="s">
        <v>114</v>
      </c>
      <c r="D226" s="17" t="s">
        <v>39</v>
      </c>
      <c r="E226" s="18">
        <f>ROUND(14081*1.05,2)</f>
      </c>
      <c r="F226" s="17" t="s">
        <v>40</v>
      </c>
      <c r="G226" s="17" t="s">
        <v>24</v>
      </c>
      <c r="H226" s="18">
        <f>ROUND(RAND()*4+6,1)</f>
      </c>
      <c r="I226" s="17" t="s">
        <v>41</v>
      </c>
      <c r="J226" s="19">
        <f>ROUND(72*1,0)&amp;"%"</f>
      </c>
    </row>
    <row x14ac:dyDescent="0.25" r="227" customHeight="1" ht="17.25">
      <c r="A227" s="20" t="s">
        <v>12946</v>
      </c>
      <c r="B227" s="20" t="s">
        <v>378</v>
      </c>
      <c r="C227" s="20" t="s">
        <v>114</v>
      </c>
      <c r="D227" s="20" t="s">
        <v>67</v>
      </c>
      <c r="E227" s="21">
        <f>ROUND(7431*1.05,2)</f>
      </c>
      <c r="F227" s="20" t="s">
        <v>44</v>
      </c>
      <c r="G227" s="20" t="s">
        <v>30</v>
      </c>
      <c r="H227" s="21">
        <f>ROUND(RAND()*4+6,1)</f>
      </c>
      <c r="I227" s="20" t="s">
        <v>45</v>
      </c>
      <c r="J227" s="23">
        <f>ROUND(77*1,0)&amp;"%"</f>
      </c>
    </row>
    <row x14ac:dyDescent="0.25" r="228" customHeight="1" ht="17.25">
      <c r="A228" s="17" t="s">
        <v>12947</v>
      </c>
      <c r="B228" s="17" t="s">
        <v>380</v>
      </c>
      <c r="C228" s="17" t="s">
        <v>114</v>
      </c>
      <c r="D228" s="17" t="s">
        <v>16</v>
      </c>
      <c r="E228" s="18">
        <f>ROUND(5850*1.05,2)</f>
      </c>
      <c r="F228" s="17" t="s">
        <v>48</v>
      </c>
      <c r="G228" s="17" t="s">
        <v>18</v>
      </c>
      <c r="H228" s="26">
        <f>ROUND(RAND()*4+6,1)</f>
      </c>
      <c r="I228" s="17" t="s">
        <v>19</v>
      </c>
      <c r="J228" s="19">
        <f>ROUND(82*1,0)&amp;"%"</f>
      </c>
    </row>
    <row x14ac:dyDescent="0.25" r="229" customHeight="1" ht="17.25">
      <c r="A229" s="20" t="s">
        <v>12948</v>
      </c>
      <c r="B229" s="20" t="s">
        <v>382</v>
      </c>
      <c r="C229" s="20" t="s">
        <v>114</v>
      </c>
      <c r="D229" s="20" t="s">
        <v>22</v>
      </c>
      <c r="E229" s="22">
        <f>ROUND(8620*1.05,2)</f>
      </c>
      <c r="F229" s="20" t="s">
        <v>51</v>
      </c>
      <c r="G229" s="20" t="s">
        <v>24</v>
      </c>
      <c r="H229" s="21">
        <f>ROUND(RAND()*4+6,1)</f>
      </c>
      <c r="I229" s="20" t="s">
        <v>25</v>
      </c>
      <c r="J229" s="23">
        <f>ROUND(94*1,0)&amp;"%"</f>
      </c>
    </row>
    <row x14ac:dyDescent="0.25" r="230" customHeight="1" ht="17.25">
      <c r="A230" s="24" t="s">
        <v>383</v>
      </c>
      <c r="B230" s="24"/>
      <c r="C230" s="24"/>
      <c r="D230" s="24"/>
      <c r="E230" s="25">
        <v>8</v>
      </c>
      <c r="F230" s="9"/>
      <c r="G230" s="9"/>
      <c r="H230" s="31"/>
      <c r="I230" s="9"/>
      <c r="J230" s="9"/>
    </row>
    <row x14ac:dyDescent="0.25" r="231" customHeight="1" ht="17.25">
      <c r="A231" s="7"/>
      <c r="B231" s="7"/>
      <c r="C231" s="7"/>
      <c r="D231" s="7"/>
      <c r="E231" s="8"/>
      <c r="F231" s="9"/>
      <c r="G231" s="9"/>
      <c r="H231" s="31"/>
      <c r="I231" s="9"/>
      <c r="J231" s="9"/>
    </row>
    <row x14ac:dyDescent="0.25" r="232" customHeight="1" ht="17.25">
      <c r="A232" s="11" t="s">
        <v>12949</v>
      </c>
      <c r="B232" s="11"/>
      <c r="C232" s="11"/>
      <c r="D232" s="11"/>
      <c r="E232" s="12"/>
      <c r="F232" s="11"/>
      <c r="G232" s="11"/>
      <c r="H232" s="12"/>
      <c r="I232" s="11"/>
      <c r="J232" s="11"/>
    </row>
    <row x14ac:dyDescent="0.25" r="233" customHeight="1" ht="17.25">
      <c r="A233" s="14" t="s">
        <v>3</v>
      </c>
      <c r="B233" s="14" t="s">
        <v>4</v>
      </c>
      <c r="C233" s="14" t="s">
        <v>5</v>
      </c>
      <c r="D233" s="14" t="s">
        <v>6</v>
      </c>
      <c r="E233" s="15" t="s">
        <v>7</v>
      </c>
      <c r="F233" s="14" t="s">
        <v>8</v>
      </c>
      <c r="G233" s="14" t="s">
        <v>9</v>
      </c>
      <c r="H233" s="15" t="s">
        <v>10</v>
      </c>
      <c r="I233" s="14" t="s">
        <v>11</v>
      </c>
      <c r="J233" s="14" t="s">
        <v>12</v>
      </c>
    </row>
    <row x14ac:dyDescent="0.25" r="234" customHeight="1" ht="17.25">
      <c r="A234" s="17" t="s">
        <v>12950</v>
      </c>
      <c r="B234" s="17" t="s">
        <v>386</v>
      </c>
      <c r="C234" s="17" t="s">
        <v>133</v>
      </c>
      <c r="D234" s="17" t="s">
        <v>16</v>
      </c>
      <c r="E234" s="18">
        <f>ROUND(14744*1.05,2)</f>
      </c>
      <c r="F234" s="17" t="s">
        <v>17</v>
      </c>
      <c r="G234" s="17" t="s">
        <v>18</v>
      </c>
      <c r="H234" s="26">
        <f>ROUND(RAND()*4+6,1)</f>
      </c>
      <c r="I234" s="17" t="s">
        <v>19</v>
      </c>
      <c r="J234" s="19">
        <f>ROUND(79*1,0)&amp;"%"</f>
      </c>
    </row>
    <row x14ac:dyDescent="0.25" r="235" customHeight="1" ht="17.25">
      <c r="A235" s="20" t="s">
        <v>12951</v>
      </c>
      <c r="B235" s="20" t="s">
        <v>388</v>
      </c>
      <c r="C235" s="20" t="s">
        <v>133</v>
      </c>
      <c r="D235" s="20" t="s">
        <v>22</v>
      </c>
      <c r="E235" s="21">
        <f>ROUND(7814*1.05,2)</f>
      </c>
      <c r="F235" s="20" t="s">
        <v>23</v>
      </c>
      <c r="G235" s="20" t="s">
        <v>24</v>
      </c>
      <c r="H235" s="21">
        <f>ROUND(RAND()*4+6,1)</f>
      </c>
      <c r="I235" s="20" t="s">
        <v>25</v>
      </c>
      <c r="J235" s="23">
        <f>ROUND(78*1,0)&amp;"%"</f>
      </c>
    </row>
    <row x14ac:dyDescent="0.25" r="236" customHeight="1" ht="17.25">
      <c r="A236" s="17" t="s">
        <v>12952</v>
      </c>
      <c r="B236" s="17" t="s">
        <v>390</v>
      </c>
      <c r="C236" s="17" t="s">
        <v>133</v>
      </c>
      <c r="D236" s="17" t="s">
        <v>28</v>
      </c>
      <c r="E236" s="18">
        <f>ROUND(15398*1.05,2)</f>
      </c>
      <c r="F236" s="17" t="s">
        <v>29</v>
      </c>
      <c r="G236" s="17" t="s">
        <v>30</v>
      </c>
      <c r="H236" s="18">
        <f>ROUND(RAND()*4+6,1)</f>
      </c>
      <c r="I236" s="17" t="s">
        <v>31</v>
      </c>
      <c r="J236" s="19">
        <f>ROUND(67*1,0)&amp;"%"</f>
      </c>
    </row>
    <row x14ac:dyDescent="0.25" r="237" customHeight="1" ht="17.25">
      <c r="A237" s="20" t="s">
        <v>12953</v>
      </c>
      <c r="B237" s="20" t="s">
        <v>392</v>
      </c>
      <c r="C237" s="20" t="s">
        <v>133</v>
      </c>
      <c r="D237" s="20" t="s">
        <v>34</v>
      </c>
      <c r="E237" s="21">
        <f>ROUND(11295*1.05,2)</f>
      </c>
      <c r="F237" s="20" t="s">
        <v>35</v>
      </c>
      <c r="G237" s="20" t="s">
        <v>18</v>
      </c>
      <c r="H237" s="21">
        <f>ROUND(RAND()*4+6,1)</f>
      </c>
      <c r="I237" s="20" t="s">
        <v>36</v>
      </c>
      <c r="J237" s="23">
        <f>ROUND(66*1,0)&amp;"%"</f>
      </c>
    </row>
    <row x14ac:dyDescent="0.25" r="238" customHeight="1" ht="17.25">
      <c r="A238" s="17" t="s">
        <v>12954</v>
      </c>
      <c r="B238" s="17" t="s">
        <v>394</v>
      </c>
      <c r="C238" s="17" t="s">
        <v>133</v>
      </c>
      <c r="D238" s="17" t="s">
        <v>39</v>
      </c>
      <c r="E238" s="18">
        <f>ROUND(4392*1.05,2)</f>
      </c>
      <c r="F238" s="17" t="s">
        <v>40</v>
      </c>
      <c r="G238" s="17" t="s">
        <v>24</v>
      </c>
      <c r="H238" s="18">
        <f>ROUND(RAND()*4+6,1)</f>
      </c>
      <c r="I238" s="17" t="s">
        <v>41</v>
      </c>
      <c r="J238" s="19">
        <f>ROUND(79*1,0)&amp;"%"</f>
      </c>
    </row>
    <row x14ac:dyDescent="0.25" r="239" customHeight="1" ht="17.25">
      <c r="A239" s="20" t="s">
        <v>12955</v>
      </c>
      <c r="B239" s="20" t="s">
        <v>396</v>
      </c>
      <c r="C239" s="20" t="s">
        <v>133</v>
      </c>
      <c r="D239" s="20" t="s">
        <v>67</v>
      </c>
      <c r="E239" s="21">
        <f>ROUND(17417*1.05,2)</f>
      </c>
      <c r="F239" s="20" t="s">
        <v>44</v>
      </c>
      <c r="G239" s="20" t="s">
        <v>30</v>
      </c>
      <c r="H239" s="22">
        <f>ROUND(RAND()*4+6,1)</f>
      </c>
      <c r="I239" s="20" t="s">
        <v>45</v>
      </c>
      <c r="J239" s="23">
        <f>ROUND(79*1,0)&amp;"%"</f>
      </c>
    </row>
    <row x14ac:dyDescent="0.25" r="240" customHeight="1" ht="17.25">
      <c r="A240" s="17" t="s">
        <v>12956</v>
      </c>
      <c r="B240" s="17" t="s">
        <v>398</v>
      </c>
      <c r="C240" s="17" t="s">
        <v>133</v>
      </c>
      <c r="D240" s="17" t="s">
        <v>16</v>
      </c>
      <c r="E240" s="18">
        <f>ROUND(13635*1.05,2)</f>
      </c>
      <c r="F240" s="17" t="s">
        <v>48</v>
      </c>
      <c r="G240" s="17" t="s">
        <v>18</v>
      </c>
      <c r="H240" s="18">
        <f>ROUND(RAND()*4+6,1)</f>
      </c>
      <c r="I240" s="17" t="s">
        <v>19</v>
      </c>
      <c r="J240" s="19">
        <f>ROUND(66*1,0)&amp;"%"</f>
      </c>
    </row>
    <row x14ac:dyDescent="0.25" r="241" customHeight="1" ht="17.25">
      <c r="A241" s="20" t="s">
        <v>12957</v>
      </c>
      <c r="B241" s="20" t="s">
        <v>400</v>
      </c>
      <c r="C241" s="20" t="s">
        <v>133</v>
      </c>
      <c r="D241" s="20" t="s">
        <v>22</v>
      </c>
      <c r="E241" s="21">
        <f>ROUND(9219*1.05,2)</f>
      </c>
      <c r="F241" s="20" t="s">
        <v>51</v>
      </c>
      <c r="G241" s="20" t="s">
        <v>24</v>
      </c>
      <c r="H241" s="22">
        <f>ROUND(RAND()*4+6,1)</f>
      </c>
      <c r="I241" s="20" t="s">
        <v>25</v>
      </c>
      <c r="J241" s="23">
        <f>ROUND(60*1,0)&amp;"%"</f>
      </c>
    </row>
    <row x14ac:dyDescent="0.25" r="242" customHeight="1" ht="17.25">
      <c r="A242" s="24" t="s">
        <v>401</v>
      </c>
      <c r="B242" s="24"/>
      <c r="C242" s="24"/>
      <c r="D242" s="24"/>
      <c r="E242" s="25">
        <v>8</v>
      </c>
      <c r="F242" s="9"/>
      <c r="G242" s="9"/>
      <c r="H242" s="31"/>
      <c r="I242" s="9"/>
      <c r="J242" s="9"/>
    </row>
    <row x14ac:dyDescent="0.25" r="243" customHeight="1" ht="17.25">
      <c r="A243" s="7"/>
      <c r="B243" s="7"/>
      <c r="C243" s="7"/>
      <c r="D243" s="7"/>
      <c r="E243" s="8"/>
      <c r="F243" s="9"/>
      <c r="G243" s="9"/>
      <c r="H243" s="31"/>
      <c r="I243" s="9"/>
      <c r="J243" s="9"/>
    </row>
    <row x14ac:dyDescent="0.25" r="244" customHeight="1" ht="17.25">
      <c r="A244" s="11" t="s">
        <v>12958</v>
      </c>
      <c r="B244" s="11"/>
      <c r="C244" s="11"/>
      <c r="D244" s="11"/>
      <c r="E244" s="12"/>
      <c r="F244" s="11"/>
      <c r="G244" s="11"/>
      <c r="H244" s="12"/>
      <c r="I244" s="11"/>
      <c r="J244" s="11"/>
    </row>
    <row x14ac:dyDescent="0.25" r="245" customHeight="1" ht="17.25">
      <c r="A245" s="14" t="s">
        <v>3</v>
      </c>
      <c r="B245" s="14" t="s">
        <v>4</v>
      </c>
      <c r="C245" s="14" t="s">
        <v>5</v>
      </c>
      <c r="D245" s="14" t="s">
        <v>6</v>
      </c>
      <c r="E245" s="15" t="s">
        <v>7</v>
      </c>
      <c r="F245" s="14" t="s">
        <v>8</v>
      </c>
      <c r="G245" s="14" t="s">
        <v>9</v>
      </c>
      <c r="H245" s="15" t="s">
        <v>10</v>
      </c>
      <c r="I245" s="14" t="s">
        <v>11</v>
      </c>
      <c r="J245" s="14" t="s">
        <v>12</v>
      </c>
    </row>
    <row x14ac:dyDescent="0.25" r="246" customHeight="1" ht="17.25">
      <c r="A246" s="17" t="s">
        <v>12959</v>
      </c>
      <c r="B246" s="17" t="s">
        <v>404</v>
      </c>
      <c r="C246" s="17" t="s">
        <v>152</v>
      </c>
      <c r="D246" s="17" t="s">
        <v>16</v>
      </c>
      <c r="E246" s="18">
        <f>ROUND(8078*1.05,2)</f>
      </c>
      <c r="F246" s="17" t="s">
        <v>17</v>
      </c>
      <c r="G246" s="17" t="s">
        <v>18</v>
      </c>
      <c r="H246" s="18">
        <f>ROUND(RAND()*4+6,1)</f>
      </c>
      <c r="I246" s="17" t="s">
        <v>19</v>
      </c>
      <c r="J246" s="19">
        <f>ROUND(88*1,0)&amp;"%"</f>
      </c>
    </row>
    <row x14ac:dyDescent="0.25" r="247" customHeight="1" ht="17.25">
      <c r="A247" s="20" t="s">
        <v>12960</v>
      </c>
      <c r="B247" s="20" t="s">
        <v>406</v>
      </c>
      <c r="C247" s="20" t="s">
        <v>152</v>
      </c>
      <c r="D247" s="20" t="s">
        <v>22</v>
      </c>
      <c r="E247" s="21">
        <f>ROUND(11106*1.05,2)</f>
      </c>
      <c r="F247" s="20" t="s">
        <v>23</v>
      </c>
      <c r="G247" s="20" t="s">
        <v>24</v>
      </c>
      <c r="H247" s="22">
        <f>ROUND(RAND()*4+6,1)</f>
      </c>
      <c r="I247" s="20" t="s">
        <v>25</v>
      </c>
      <c r="J247" s="23">
        <f>ROUND(88*1,0)&amp;"%"</f>
      </c>
    </row>
    <row x14ac:dyDescent="0.25" r="248" customHeight="1" ht="17.25">
      <c r="A248" s="17" t="s">
        <v>12961</v>
      </c>
      <c r="B248" s="17" t="s">
        <v>408</v>
      </c>
      <c r="C248" s="17" t="s">
        <v>152</v>
      </c>
      <c r="D248" s="17" t="s">
        <v>28</v>
      </c>
      <c r="E248" s="18">
        <f>ROUND(8749*1.05,2)</f>
      </c>
      <c r="F248" s="17" t="s">
        <v>29</v>
      </c>
      <c r="G248" s="17" t="s">
        <v>30</v>
      </c>
      <c r="H248" s="18">
        <f>ROUND(RAND()*4+6,1)</f>
      </c>
      <c r="I248" s="17" t="s">
        <v>31</v>
      </c>
      <c r="J248" s="19">
        <f>ROUND(64*1,0)&amp;"%"</f>
      </c>
    </row>
    <row x14ac:dyDescent="0.25" r="249" customHeight="1" ht="17.25">
      <c r="A249" s="20" t="s">
        <v>12962</v>
      </c>
      <c r="B249" s="20" t="s">
        <v>410</v>
      </c>
      <c r="C249" s="20" t="s">
        <v>152</v>
      </c>
      <c r="D249" s="20" t="s">
        <v>34</v>
      </c>
      <c r="E249" s="21">
        <f>ROUND(17803*1.05,2)</f>
      </c>
      <c r="F249" s="20" t="s">
        <v>35</v>
      </c>
      <c r="G249" s="20" t="s">
        <v>18</v>
      </c>
      <c r="H249" s="21">
        <f>ROUND(RAND()*4+6,1)</f>
      </c>
      <c r="I249" s="20" t="s">
        <v>36</v>
      </c>
      <c r="J249" s="23">
        <f>ROUND(92*1,0)&amp;"%"</f>
      </c>
    </row>
    <row x14ac:dyDescent="0.25" r="250" customHeight="1" ht="17.25">
      <c r="A250" s="17" t="s">
        <v>12963</v>
      </c>
      <c r="B250" s="17" t="s">
        <v>412</v>
      </c>
      <c r="C250" s="17" t="s">
        <v>152</v>
      </c>
      <c r="D250" s="17" t="s">
        <v>39</v>
      </c>
      <c r="E250" s="18">
        <f>ROUND(11361*1.05,2)</f>
      </c>
      <c r="F250" s="17" t="s">
        <v>40</v>
      </c>
      <c r="G250" s="17" t="s">
        <v>24</v>
      </c>
      <c r="H250" s="18">
        <f>ROUND(RAND()*4+6,1)</f>
      </c>
      <c r="I250" s="17" t="s">
        <v>41</v>
      </c>
      <c r="J250" s="19">
        <f>ROUND(77*1,0)&amp;"%"</f>
      </c>
    </row>
    <row x14ac:dyDescent="0.25" r="251" customHeight="1" ht="17.25">
      <c r="A251" s="20" t="s">
        <v>12964</v>
      </c>
      <c r="B251" s="20" t="s">
        <v>414</v>
      </c>
      <c r="C251" s="20" t="s">
        <v>152</v>
      </c>
      <c r="D251" s="20" t="s">
        <v>67</v>
      </c>
      <c r="E251" s="21">
        <f>ROUND(13014*1.05,2)</f>
      </c>
      <c r="F251" s="20" t="s">
        <v>44</v>
      </c>
      <c r="G251" s="20" t="s">
        <v>30</v>
      </c>
      <c r="H251" s="21">
        <f>ROUND(RAND()*4+6,1)</f>
      </c>
      <c r="I251" s="20" t="s">
        <v>45</v>
      </c>
      <c r="J251" s="23">
        <f>ROUND(67*1,0)&amp;"%"</f>
      </c>
    </row>
    <row x14ac:dyDescent="0.25" r="252" customHeight="1" ht="17.25">
      <c r="A252" s="17" t="s">
        <v>12965</v>
      </c>
      <c r="B252" s="17" t="s">
        <v>416</v>
      </c>
      <c r="C252" s="17" t="s">
        <v>152</v>
      </c>
      <c r="D252" s="17" t="s">
        <v>16</v>
      </c>
      <c r="E252" s="18">
        <f>ROUND(16524*1.05,2)</f>
      </c>
      <c r="F252" s="17" t="s">
        <v>48</v>
      </c>
      <c r="G252" s="17" t="s">
        <v>18</v>
      </c>
      <c r="H252" s="18">
        <f>ROUND(RAND()*4+6,1)</f>
      </c>
      <c r="I252" s="17" t="s">
        <v>19</v>
      </c>
      <c r="J252" s="19">
        <f>ROUND(85*1,0)&amp;"%"</f>
      </c>
    </row>
    <row x14ac:dyDescent="0.25" r="253" customHeight="1" ht="17.25">
      <c r="A253" s="20" t="s">
        <v>12966</v>
      </c>
      <c r="B253" s="20" t="s">
        <v>418</v>
      </c>
      <c r="C253" s="20" t="s">
        <v>152</v>
      </c>
      <c r="D253" s="20" t="s">
        <v>22</v>
      </c>
      <c r="E253" s="21">
        <f>ROUND(9350*1.05,2)</f>
      </c>
      <c r="F253" s="20" t="s">
        <v>51</v>
      </c>
      <c r="G253" s="20" t="s">
        <v>24</v>
      </c>
      <c r="H253" s="21">
        <f>ROUND(RAND()*4+6,1)</f>
      </c>
      <c r="I253" s="20" t="s">
        <v>25</v>
      </c>
      <c r="J253" s="23">
        <f>ROUND(74*1,0)&amp;"%"</f>
      </c>
    </row>
    <row x14ac:dyDescent="0.25" r="254" customHeight="1" ht="17.25">
      <c r="A254" s="24" t="s">
        <v>419</v>
      </c>
      <c r="B254" s="24"/>
      <c r="C254" s="24"/>
      <c r="D254" s="24"/>
      <c r="E254" s="25">
        <v>8</v>
      </c>
      <c r="F254" s="9"/>
      <c r="G254" s="9"/>
      <c r="H254" s="31"/>
      <c r="I254" s="9"/>
      <c r="J254" s="9"/>
    </row>
    <row x14ac:dyDescent="0.25" r="255" customHeight="1" ht="17.25">
      <c r="A255" s="7"/>
      <c r="B255" s="7"/>
      <c r="C255" s="7"/>
      <c r="D255" s="7"/>
      <c r="E255" s="8"/>
      <c r="F255" s="9"/>
      <c r="G255" s="9"/>
      <c r="H255" s="31"/>
      <c r="I255" s="9"/>
      <c r="J255" s="9"/>
    </row>
    <row x14ac:dyDescent="0.25" r="256" customHeight="1" ht="17.25">
      <c r="A256" s="11" t="s">
        <v>12967</v>
      </c>
      <c r="B256" s="11"/>
      <c r="C256" s="11"/>
      <c r="D256" s="11"/>
      <c r="E256" s="12"/>
      <c r="F256" s="11"/>
      <c r="G256" s="11"/>
      <c r="H256" s="12"/>
      <c r="I256" s="11"/>
      <c r="J256" s="11"/>
    </row>
    <row x14ac:dyDescent="0.25" r="257" customHeight="1" ht="17.25">
      <c r="A257" s="14" t="s">
        <v>3</v>
      </c>
      <c r="B257" s="14" t="s">
        <v>4</v>
      </c>
      <c r="C257" s="14" t="s">
        <v>5</v>
      </c>
      <c r="D257" s="14" t="s">
        <v>6</v>
      </c>
      <c r="E257" s="15" t="s">
        <v>7</v>
      </c>
      <c r="F257" s="14" t="s">
        <v>8</v>
      </c>
      <c r="G257" s="14" t="s">
        <v>9</v>
      </c>
      <c r="H257" s="15" t="s">
        <v>10</v>
      </c>
      <c r="I257" s="14" t="s">
        <v>11</v>
      </c>
      <c r="J257" s="14" t="s">
        <v>12</v>
      </c>
    </row>
    <row x14ac:dyDescent="0.25" r="258" customHeight="1" ht="17.25">
      <c r="A258" s="17" t="s">
        <v>12968</v>
      </c>
      <c r="B258" s="17" t="s">
        <v>422</v>
      </c>
      <c r="C258" s="17" t="s">
        <v>15</v>
      </c>
      <c r="D258" s="17" t="s">
        <v>16</v>
      </c>
      <c r="E258" s="18">
        <f>ROUND(4527*1.05,2)</f>
      </c>
      <c r="F258" s="17" t="s">
        <v>17</v>
      </c>
      <c r="G258" s="17" t="s">
        <v>18</v>
      </c>
      <c r="H258" s="18">
        <f>ROUND(RAND()*4+6,1)</f>
      </c>
      <c r="I258" s="17" t="s">
        <v>19</v>
      </c>
      <c r="J258" s="19">
        <f>ROUND(96*1,0)&amp;"%"</f>
      </c>
    </row>
    <row x14ac:dyDescent="0.25" r="259" customHeight="1" ht="17.25">
      <c r="A259" s="20" t="s">
        <v>12969</v>
      </c>
      <c r="B259" s="20" t="s">
        <v>424</v>
      </c>
      <c r="C259" s="20" t="s">
        <v>15</v>
      </c>
      <c r="D259" s="20" t="s">
        <v>22</v>
      </c>
      <c r="E259" s="21">
        <f>ROUND(6741*1.05,2)</f>
      </c>
      <c r="F259" s="20" t="s">
        <v>23</v>
      </c>
      <c r="G259" s="20" t="s">
        <v>24</v>
      </c>
      <c r="H259" s="21">
        <f>ROUND(RAND()*4+6,1)</f>
      </c>
      <c r="I259" s="20" t="s">
        <v>25</v>
      </c>
      <c r="J259" s="23">
        <f>ROUND(84*1,0)&amp;"%"</f>
      </c>
    </row>
    <row x14ac:dyDescent="0.25" r="260" customHeight="1" ht="17.25">
      <c r="A260" s="17" t="s">
        <v>12970</v>
      </c>
      <c r="B260" s="17" t="s">
        <v>426</v>
      </c>
      <c r="C260" s="17" t="s">
        <v>15</v>
      </c>
      <c r="D260" s="17" t="s">
        <v>28</v>
      </c>
      <c r="E260" s="18">
        <f>ROUND(14441*1.05,2)</f>
      </c>
      <c r="F260" s="17" t="s">
        <v>29</v>
      </c>
      <c r="G260" s="17" t="s">
        <v>30</v>
      </c>
      <c r="H260" s="18">
        <f>ROUND(RAND()*4+6,1)</f>
      </c>
      <c r="I260" s="17" t="s">
        <v>31</v>
      </c>
      <c r="J260" s="19">
        <f>ROUND(89*1,0)&amp;"%"</f>
      </c>
    </row>
    <row x14ac:dyDescent="0.25" r="261" customHeight="1" ht="17.25">
      <c r="A261" s="20" t="s">
        <v>12971</v>
      </c>
      <c r="B261" s="20" t="s">
        <v>428</v>
      </c>
      <c r="C261" s="20" t="s">
        <v>15</v>
      </c>
      <c r="D261" s="20" t="s">
        <v>34</v>
      </c>
      <c r="E261" s="21">
        <f>ROUND(13602*1.05,2)</f>
      </c>
      <c r="F261" s="20" t="s">
        <v>35</v>
      </c>
      <c r="G261" s="20" t="s">
        <v>18</v>
      </c>
      <c r="H261" s="21">
        <f>ROUND(RAND()*4+6,1)</f>
      </c>
      <c r="I261" s="20" t="s">
        <v>36</v>
      </c>
      <c r="J261" s="23">
        <f>ROUND(90*1,0)&amp;"%"</f>
      </c>
    </row>
    <row x14ac:dyDescent="0.25" r="262" customHeight="1" ht="17.25">
      <c r="A262" s="17" t="s">
        <v>12972</v>
      </c>
      <c r="B262" s="17" t="s">
        <v>430</v>
      </c>
      <c r="C262" s="17" t="s">
        <v>15</v>
      </c>
      <c r="D262" s="17" t="s">
        <v>39</v>
      </c>
      <c r="E262" s="18">
        <f>ROUND(6424*1.05,2)</f>
      </c>
      <c r="F262" s="17" t="s">
        <v>40</v>
      </c>
      <c r="G262" s="17" t="s">
        <v>24</v>
      </c>
      <c r="H262" s="26">
        <f>ROUND(RAND()*4+6,1)</f>
      </c>
      <c r="I262" s="17" t="s">
        <v>41</v>
      </c>
      <c r="J262" s="19">
        <f>ROUND(68*1,0)&amp;"%"</f>
      </c>
    </row>
    <row x14ac:dyDescent="0.25" r="263" customHeight="1" ht="17.25">
      <c r="A263" s="20" t="s">
        <v>12973</v>
      </c>
      <c r="B263" s="20" t="s">
        <v>432</v>
      </c>
      <c r="C263" s="20" t="s">
        <v>15</v>
      </c>
      <c r="D263" s="20" t="s">
        <v>67</v>
      </c>
      <c r="E263" s="21">
        <f>ROUND(14713*1.05,2)</f>
      </c>
      <c r="F263" s="20" t="s">
        <v>44</v>
      </c>
      <c r="G263" s="20" t="s">
        <v>30</v>
      </c>
      <c r="H263" s="21">
        <f>ROUND(RAND()*4+6,1)</f>
      </c>
      <c r="I263" s="20" t="s">
        <v>45</v>
      </c>
      <c r="J263" s="23">
        <f>ROUND(61*1,0)&amp;"%"</f>
      </c>
    </row>
    <row x14ac:dyDescent="0.25" r="264" customHeight="1" ht="17.25">
      <c r="A264" s="17" t="s">
        <v>12974</v>
      </c>
      <c r="B264" s="17" t="s">
        <v>434</v>
      </c>
      <c r="C264" s="17" t="s">
        <v>15</v>
      </c>
      <c r="D264" s="17" t="s">
        <v>16</v>
      </c>
      <c r="E264" s="18">
        <f>ROUND(5977*1.05,2)</f>
      </c>
      <c r="F264" s="17" t="s">
        <v>48</v>
      </c>
      <c r="G264" s="17" t="s">
        <v>18</v>
      </c>
      <c r="H264" s="18">
        <f>ROUND(RAND()*4+6,1)</f>
      </c>
      <c r="I264" s="17" t="s">
        <v>19</v>
      </c>
      <c r="J264" s="19">
        <f>ROUND(96*1,0)&amp;"%"</f>
      </c>
    </row>
    <row x14ac:dyDescent="0.25" r="265" customHeight="1" ht="17.25">
      <c r="A265" s="20" t="s">
        <v>12975</v>
      </c>
      <c r="B265" s="20" t="s">
        <v>436</v>
      </c>
      <c r="C265" s="20" t="s">
        <v>15</v>
      </c>
      <c r="D265" s="20" t="s">
        <v>22</v>
      </c>
      <c r="E265" s="21">
        <f>ROUND(5869*1.05,2)</f>
      </c>
      <c r="F265" s="20" t="s">
        <v>51</v>
      </c>
      <c r="G265" s="20" t="s">
        <v>24</v>
      </c>
      <c r="H265" s="21">
        <f>ROUND(RAND()*4+6,1)</f>
      </c>
      <c r="I265" s="20" t="s">
        <v>25</v>
      </c>
      <c r="J265" s="23">
        <f>ROUND(85*1,0)&amp;"%"</f>
      </c>
    </row>
    <row x14ac:dyDescent="0.25" r="266" customHeight="1" ht="17.25">
      <c r="A266" s="24" t="s">
        <v>437</v>
      </c>
      <c r="B266" s="24"/>
      <c r="C266" s="24"/>
      <c r="D266" s="24"/>
      <c r="E266" s="25">
        <v>8</v>
      </c>
      <c r="F266" s="9"/>
      <c r="G266" s="9"/>
      <c r="H266" s="31"/>
      <c r="I266" s="9"/>
      <c r="J266" s="9"/>
    </row>
    <row x14ac:dyDescent="0.25" r="267" customHeight="1" ht="17.25">
      <c r="A267" s="7"/>
      <c r="B267" s="7"/>
      <c r="C267" s="7"/>
      <c r="D267" s="7"/>
      <c r="E267" s="8"/>
      <c r="F267" s="9"/>
      <c r="G267" s="9"/>
      <c r="H267" s="31"/>
      <c r="I267" s="9"/>
      <c r="J267" s="9"/>
    </row>
    <row x14ac:dyDescent="0.25" r="268" customHeight="1" ht="17.25">
      <c r="A268" s="11" t="s">
        <v>12976</v>
      </c>
      <c r="B268" s="11"/>
      <c r="C268" s="11"/>
      <c r="D268" s="11"/>
      <c r="E268" s="12"/>
      <c r="F268" s="11"/>
      <c r="G268" s="11"/>
      <c r="H268" s="12"/>
      <c r="I268" s="11"/>
      <c r="J268" s="11"/>
    </row>
    <row x14ac:dyDescent="0.25" r="269" customHeight="1" ht="17.25">
      <c r="A269" s="14" t="s">
        <v>3</v>
      </c>
      <c r="B269" s="14" t="s">
        <v>4</v>
      </c>
      <c r="C269" s="14" t="s">
        <v>5</v>
      </c>
      <c r="D269" s="14" t="s">
        <v>6</v>
      </c>
      <c r="E269" s="15" t="s">
        <v>7</v>
      </c>
      <c r="F269" s="14" t="s">
        <v>8</v>
      </c>
      <c r="G269" s="14" t="s">
        <v>9</v>
      </c>
      <c r="H269" s="15" t="s">
        <v>10</v>
      </c>
      <c r="I269" s="14" t="s">
        <v>11</v>
      </c>
      <c r="J269" s="14" t="s">
        <v>12</v>
      </c>
    </row>
    <row x14ac:dyDescent="0.25" r="270" customHeight="1" ht="17.25">
      <c r="A270" s="17" t="s">
        <v>12977</v>
      </c>
      <c r="B270" s="17" t="s">
        <v>440</v>
      </c>
      <c r="C270" s="17" t="s">
        <v>56</v>
      </c>
      <c r="D270" s="17" t="s">
        <v>16</v>
      </c>
      <c r="E270" s="18">
        <f>ROUND(9137*1.05,2)</f>
      </c>
      <c r="F270" s="17" t="s">
        <v>17</v>
      </c>
      <c r="G270" s="17" t="s">
        <v>18</v>
      </c>
      <c r="H270" s="18">
        <f>ROUND(RAND()*4+6,1)</f>
      </c>
      <c r="I270" s="17" t="s">
        <v>19</v>
      </c>
      <c r="J270" s="19">
        <f>ROUND(90*1,0)&amp;"%"</f>
      </c>
    </row>
    <row x14ac:dyDescent="0.25" r="271" customHeight="1" ht="17.25">
      <c r="A271" s="20" t="s">
        <v>12978</v>
      </c>
      <c r="B271" s="20" t="s">
        <v>442</v>
      </c>
      <c r="C271" s="20" t="s">
        <v>56</v>
      </c>
      <c r="D271" s="20" t="s">
        <v>22</v>
      </c>
      <c r="E271" s="21">
        <f>ROUND(15174*1.05,2)</f>
      </c>
      <c r="F271" s="20" t="s">
        <v>23</v>
      </c>
      <c r="G271" s="20" t="s">
        <v>24</v>
      </c>
      <c r="H271" s="21">
        <f>ROUND(RAND()*4+6,1)</f>
      </c>
      <c r="I271" s="20" t="s">
        <v>25</v>
      </c>
      <c r="J271" s="23">
        <f>ROUND(73*1,0)&amp;"%"</f>
      </c>
    </row>
    <row x14ac:dyDescent="0.25" r="272" customHeight="1" ht="17.25">
      <c r="A272" s="17" t="s">
        <v>12979</v>
      </c>
      <c r="B272" s="17" t="s">
        <v>444</v>
      </c>
      <c r="C272" s="17" t="s">
        <v>56</v>
      </c>
      <c r="D272" s="17" t="s">
        <v>28</v>
      </c>
      <c r="E272" s="18">
        <f>ROUND(10112*1.05,2)</f>
      </c>
      <c r="F272" s="17" t="s">
        <v>29</v>
      </c>
      <c r="G272" s="17" t="s">
        <v>30</v>
      </c>
      <c r="H272" s="26">
        <f>ROUND(RAND()*4+6,1)</f>
      </c>
      <c r="I272" s="17" t="s">
        <v>31</v>
      </c>
      <c r="J272" s="19">
        <f>ROUND(65*1,0)&amp;"%"</f>
      </c>
    </row>
    <row x14ac:dyDescent="0.25" r="273" customHeight="1" ht="17.25">
      <c r="A273" s="20" t="s">
        <v>12980</v>
      </c>
      <c r="B273" s="20" t="s">
        <v>446</v>
      </c>
      <c r="C273" s="20" t="s">
        <v>56</v>
      </c>
      <c r="D273" s="20" t="s">
        <v>34</v>
      </c>
      <c r="E273" s="21">
        <f>ROUND(5355*1.05,2)</f>
      </c>
      <c r="F273" s="20" t="s">
        <v>35</v>
      </c>
      <c r="G273" s="20" t="s">
        <v>18</v>
      </c>
      <c r="H273" s="21">
        <f>ROUND(RAND()*4+6,1)</f>
      </c>
      <c r="I273" s="20" t="s">
        <v>36</v>
      </c>
      <c r="J273" s="23">
        <f>ROUND(88*1,0)&amp;"%"</f>
      </c>
    </row>
    <row x14ac:dyDescent="0.25" r="274" customHeight="1" ht="17.25">
      <c r="A274" s="17" t="s">
        <v>12981</v>
      </c>
      <c r="B274" s="17" t="s">
        <v>448</v>
      </c>
      <c r="C274" s="17" t="s">
        <v>56</v>
      </c>
      <c r="D274" s="17" t="s">
        <v>39</v>
      </c>
      <c r="E274" s="18">
        <f>ROUND(6318*1.05,2)</f>
      </c>
      <c r="F274" s="17" t="s">
        <v>40</v>
      </c>
      <c r="G274" s="17" t="s">
        <v>24</v>
      </c>
      <c r="H274" s="18">
        <f>ROUND(RAND()*4+6,1)</f>
      </c>
      <c r="I274" s="17" t="s">
        <v>41</v>
      </c>
      <c r="J274" s="19">
        <f>ROUND(67*1,0)&amp;"%"</f>
      </c>
    </row>
    <row x14ac:dyDescent="0.25" r="275" customHeight="1" ht="17.25">
      <c r="A275" s="20" t="s">
        <v>12982</v>
      </c>
      <c r="B275" s="20" t="s">
        <v>450</v>
      </c>
      <c r="C275" s="20" t="s">
        <v>56</v>
      </c>
      <c r="D275" s="20" t="s">
        <v>67</v>
      </c>
      <c r="E275" s="21">
        <f>ROUND(4163*1.05,2)</f>
      </c>
      <c r="F275" s="20" t="s">
        <v>44</v>
      </c>
      <c r="G275" s="20" t="s">
        <v>30</v>
      </c>
      <c r="H275" s="21">
        <f>ROUND(RAND()*4+6,1)</f>
      </c>
      <c r="I275" s="20" t="s">
        <v>45</v>
      </c>
      <c r="J275" s="23">
        <f>ROUND(97*1,0)&amp;"%"</f>
      </c>
    </row>
    <row x14ac:dyDescent="0.25" r="276" customHeight="1" ht="17.25">
      <c r="A276" s="17" t="s">
        <v>12983</v>
      </c>
      <c r="B276" s="17" t="s">
        <v>452</v>
      </c>
      <c r="C276" s="17" t="s">
        <v>56</v>
      </c>
      <c r="D276" s="17" t="s">
        <v>16</v>
      </c>
      <c r="E276" s="18">
        <f>ROUND(6306*1.05,2)</f>
      </c>
      <c r="F276" s="17" t="s">
        <v>48</v>
      </c>
      <c r="G276" s="17" t="s">
        <v>18</v>
      </c>
      <c r="H276" s="18">
        <f>ROUND(RAND()*4+6,1)</f>
      </c>
      <c r="I276" s="17" t="s">
        <v>19</v>
      </c>
      <c r="J276" s="19">
        <f>ROUND(89*1,0)&amp;"%"</f>
      </c>
    </row>
    <row x14ac:dyDescent="0.25" r="277" customHeight="1" ht="17.25">
      <c r="A277" s="20" t="s">
        <v>12984</v>
      </c>
      <c r="B277" s="20" t="s">
        <v>454</v>
      </c>
      <c r="C277" s="20" t="s">
        <v>56</v>
      </c>
      <c r="D277" s="20" t="s">
        <v>22</v>
      </c>
      <c r="E277" s="21">
        <f>ROUND(16734*1.05,2)</f>
      </c>
      <c r="F277" s="20" t="s">
        <v>51</v>
      </c>
      <c r="G277" s="20" t="s">
        <v>24</v>
      </c>
      <c r="H277" s="21">
        <f>ROUND(RAND()*4+6,1)</f>
      </c>
      <c r="I277" s="20" t="s">
        <v>25</v>
      </c>
      <c r="J277" s="23">
        <f>ROUND(77*1,0)&amp;"%"</f>
      </c>
    </row>
    <row x14ac:dyDescent="0.25" r="278" customHeight="1" ht="17.25">
      <c r="A278" s="24" t="s">
        <v>455</v>
      </c>
      <c r="B278" s="24"/>
      <c r="C278" s="24"/>
      <c r="D278" s="24"/>
      <c r="E278" s="25">
        <v>8</v>
      </c>
      <c r="F278" s="9"/>
      <c r="G278" s="9"/>
      <c r="H278" s="31"/>
      <c r="I278" s="9"/>
      <c r="J278" s="9"/>
    </row>
    <row x14ac:dyDescent="0.25" r="279" customHeight="1" ht="17.25">
      <c r="A279" s="7"/>
      <c r="B279" s="7"/>
      <c r="C279" s="7"/>
      <c r="D279" s="7"/>
      <c r="E279" s="8"/>
      <c r="F279" s="9"/>
      <c r="G279" s="9"/>
      <c r="H279" s="31"/>
      <c r="I279" s="9"/>
      <c r="J279" s="9"/>
    </row>
    <row x14ac:dyDescent="0.25" r="280" customHeight="1" ht="17.25">
      <c r="A280" s="11" t="s">
        <v>12985</v>
      </c>
      <c r="B280" s="11"/>
      <c r="C280" s="11"/>
      <c r="D280" s="11"/>
      <c r="E280" s="12"/>
      <c r="F280" s="11"/>
      <c r="G280" s="11"/>
      <c r="H280" s="12"/>
      <c r="I280" s="11"/>
      <c r="J280" s="11"/>
    </row>
    <row x14ac:dyDescent="0.25" r="281" customHeight="1" ht="17.25">
      <c r="A281" s="14" t="s">
        <v>3</v>
      </c>
      <c r="B281" s="14" t="s">
        <v>4</v>
      </c>
      <c r="C281" s="14" t="s">
        <v>5</v>
      </c>
      <c r="D281" s="14" t="s">
        <v>6</v>
      </c>
      <c r="E281" s="15" t="s">
        <v>7</v>
      </c>
      <c r="F281" s="14" t="s">
        <v>8</v>
      </c>
      <c r="G281" s="14" t="s">
        <v>9</v>
      </c>
      <c r="H281" s="15" t="s">
        <v>10</v>
      </c>
      <c r="I281" s="14" t="s">
        <v>11</v>
      </c>
      <c r="J281" s="14" t="s">
        <v>12</v>
      </c>
    </row>
    <row x14ac:dyDescent="0.25" r="282" customHeight="1" ht="17.25">
      <c r="A282" s="17" t="s">
        <v>12986</v>
      </c>
      <c r="B282" s="17" t="s">
        <v>458</v>
      </c>
      <c r="C282" s="17" t="s">
        <v>76</v>
      </c>
      <c r="D282" s="17" t="s">
        <v>16</v>
      </c>
      <c r="E282" s="18">
        <f>ROUND(14589*1.05,2)</f>
      </c>
      <c r="F282" s="17" t="s">
        <v>17</v>
      </c>
      <c r="G282" s="17" t="s">
        <v>18</v>
      </c>
      <c r="H282" s="18">
        <f>ROUND(RAND()*4+6,1)</f>
      </c>
      <c r="I282" s="17" t="s">
        <v>19</v>
      </c>
      <c r="J282" s="19">
        <f>ROUND(66*1,0)&amp;"%"</f>
      </c>
    </row>
    <row x14ac:dyDescent="0.25" r="283" customHeight="1" ht="17.25">
      <c r="A283" s="20" t="s">
        <v>12987</v>
      </c>
      <c r="B283" s="20" t="s">
        <v>460</v>
      </c>
      <c r="C283" s="20" t="s">
        <v>76</v>
      </c>
      <c r="D283" s="20" t="s">
        <v>22</v>
      </c>
      <c r="E283" s="21">
        <f>ROUND(17361*1.05,2)</f>
      </c>
      <c r="F283" s="20" t="s">
        <v>23</v>
      </c>
      <c r="G283" s="20" t="s">
        <v>24</v>
      </c>
      <c r="H283" s="21">
        <f>ROUND(RAND()*4+6,1)</f>
      </c>
      <c r="I283" s="20" t="s">
        <v>25</v>
      </c>
      <c r="J283" s="23">
        <f>ROUND(79*1,0)&amp;"%"</f>
      </c>
    </row>
    <row x14ac:dyDescent="0.25" r="284" customHeight="1" ht="17.25">
      <c r="A284" s="17" t="s">
        <v>12988</v>
      </c>
      <c r="B284" s="17" t="s">
        <v>462</v>
      </c>
      <c r="C284" s="17" t="s">
        <v>76</v>
      </c>
      <c r="D284" s="17" t="s">
        <v>28</v>
      </c>
      <c r="E284" s="18">
        <f>ROUND(17804*1.05,2)</f>
      </c>
      <c r="F284" s="17" t="s">
        <v>29</v>
      </c>
      <c r="G284" s="17" t="s">
        <v>30</v>
      </c>
      <c r="H284" s="18">
        <f>ROUND(RAND()*4+6,1)</f>
      </c>
      <c r="I284" s="17" t="s">
        <v>31</v>
      </c>
      <c r="J284" s="19">
        <f>ROUND(98*1,0)&amp;"%"</f>
      </c>
    </row>
    <row x14ac:dyDescent="0.25" r="285" customHeight="1" ht="17.25">
      <c r="A285" s="20" t="s">
        <v>12989</v>
      </c>
      <c r="B285" s="20" t="s">
        <v>464</v>
      </c>
      <c r="C285" s="20" t="s">
        <v>76</v>
      </c>
      <c r="D285" s="20" t="s">
        <v>34</v>
      </c>
      <c r="E285" s="21">
        <f>ROUND(10705*1.05,2)</f>
      </c>
      <c r="F285" s="20" t="s">
        <v>35</v>
      </c>
      <c r="G285" s="20" t="s">
        <v>18</v>
      </c>
      <c r="H285" s="21">
        <f>ROUND(RAND()*4+6,1)</f>
      </c>
      <c r="I285" s="20" t="s">
        <v>36</v>
      </c>
      <c r="J285" s="23">
        <f>ROUND(68*1,0)&amp;"%"</f>
      </c>
    </row>
    <row x14ac:dyDescent="0.25" r="286" customHeight="1" ht="17.25">
      <c r="A286" s="17" t="s">
        <v>12990</v>
      </c>
      <c r="B286" s="17" t="s">
        <v>466</v>
      </c>
      <c r="C286" s="17" t="s">
        <v>76</v>
      </c>
      <c r="D286" s="17" t="s">
        <v>39</v>
      </c>
      <c r="E286" s="18">
        <f>ROUND(11966*1.05,2)</f>
      </c>
      <c r="F286" s="17" t="s">
        <v>40</v>
      </c>
      <c r="G286" s="17" t="s">
        <v>24</v>
      </c>
      <c r="H286" s="18">
        <f>ROUND(RAND()*4+6,1)</f>
      </c>
      <c r="I286" s="17" t="s">
        <v>41</v>
      </c>
      <c r="J286" s="19">
        <f>ROUND(82*1,0)&amp;"%"</f>
      </c>
    </row>
    <row x14ac:dyDescent="0.25" r="287" customHeight="1" ht="17.25">
      <c r="A287" s="20" t="s">
        <v>12991</v>
      </c>
      <c r="B287" s="20" t="s">
        <v>468</v>
      </c>
      <c r="C287" s="20" t="s">
        <v>76</v>
      </c>
      <c r="D287" s="20" t="s">
        <v>67</v>
      </c>
      <c r="E287" s="21">
        <f>ROUND(7495*1.05,2)</f>
      </c>
      <c r="F287" s="20" t="s">
        <v>44</v>
      </c>
      <c r="G287" s="20" t="s">
        <v>30</v>
      </c>
      <c r="H287" s="21">
        <f>ROUND(RAND()*4+6,1)</f>
      </c>
      <c r="I287" s="20" t="s">
        <v>45</v>
      </c>
      <c r="J287" s="23">
        <f>ROUND(100*1,0)&amp;"%"</f>
      </c>
    </row>
    <row x14ac:dyDescent="0.25" r="288" customHeight="1" ht="17.25">
      <c r="A288" s="17" t="s">
        <v>12992</v>
      </c>
      <c r="B288" s="17" t="s">
        <v>470</v>
      </c>
      <c r="C288" s="17" t="s">
        <v>76</v>
      </c>
      <c r="D288" s="17" t="s">
        <v>16</v>
      </c>
      <c r="E288" s="18">
        <f>ROUND(15941*1.05,2)</f>
      </c>
      <c r="F288" s="17" t="s">
        <v>48</v>
      </c>
      <c r="G288" s="17" t="s">
        <v>18</v>
      </c>
      <c r="H288" s="18">
        <f>ROUND(RAND()*4+6,1)</f>
      </c>
      <c r="I288" s="17" t="s">
        <v>19</v>
      </c>
      <c r="J288" s="19">
        <f>ROUND(63*1,0)&amp;"%"</f>
      </c>
    </row>
    <row x14ac:dyDescent="0.25" r="289" customHeight="1" ht="17.25">
      <c r="A289" s="20" t="s">
        <v>12993</v>
      </c>
      <c r="B289" s="20" t="s">
        <v>472</v>
      </c>
      <c r="C289" s="20" t="s">
        <v>76</v>
      </c>
      <c r="D289" s="20" t="s">
        <v>22</v>
      </c>
      <c r="E289" s="21">
        <f>ROUND(13055*1.05,2)</f>
      </c>
      <c r="F289" s="20" t="s">
        <v>51</v>
      </c>
      <c r="G289" s="20" t="s">
        <v>24</v>
      </c>
      <c r="H289" s="21">
        <f>ROUND(RAND()*4+6,1)</f>
      </c>
      <c r="I289" s="20" t="s">
        <v>25</v>
      </c>
      <c r="J289" s="23">
        <f>ROUND(82*1,0)&amp;"%"</f>
      </c>
    </row>
    <row x14ac:dyDescent="0.25" r="290" customHeight="1" ht="17.25">
      <c r="A290" s="24" t="s">
        <v>473</v>
      </c>
      <c r="B290" s="24"/>
      <c r="C290" s="24"/>
      <c r="D290" s="24"/>
      <c r="E290" s="25">
        <v>8</v>
      </c>
      <c r="F290" s="9"/>
      <c r="G290" s="9"/>
      <c r="H290" s="31"/>
      <c r="I290" s="9"/>
      <c r="J290" s="9"/>
    </row>
    <row x14ac:dyDescent="0.25" r="291" customHeight="1" ht="17.25">
      <c r="A291" s="7"/>
      <c r="B291" s="7"/>
      <c r="C291" s="7"/>
      <c r="D291" s="7"/>
      <c r="E291" s="8"/>
      <c r="F291" s="9"/>
      <c r="G291" s="9"/>
      <c r="H291" s="31"/>
      <c r="I291" s="9"/>
      <c r="J291" s="9"/>
    </row>
    <row x14ac:dyDescent="0.25" r="292" customHeight="1" ht="17.25">
      <c r="A292" s="11" t="s">
        <v>12994</v>
      </c>
      <c r="B292" s="11"/>
      <c r="C292" s="11"/>
      <c r="D292" s="11"/>
      <c r="E292" s="12"/>
      <c r="F292" s="11"/>
      <c r="G292" s="11"/>
      <c r="H292" s="12"/>
      <c r="I292" s="11"/>
      <c r="J292" s="11"/>
    </row>
    <row x14ac:dyDescent="0.25" r="293" customHeight="1" ht="17.25">
      <c r="A293" s="14" t="s">
        <v>3</v>
      </c>
      <c r="B293" s="14" t="s">
        <v>4</v>
      </c>
      <c r="C293" s="14" t="s">
        <v>5</v>
      </c>
      <c r="D293" s="14" t="s">
        <v>6</v>
      </c>
      <c r="E293" s="15" t="s">
        <v>7</v>
      </c>
      <c r="F293" s="14" t="s">
        <v>8</v>
      </c>
      <c r="G293" s="14" t="s">
        <v>9</v>
      </c>
      <c r="H293" s="15" t="s">
        <v>10</v>
      </c>
      <c r="I293" s="14" t="s">
        <v>11</v>
      </c>
      <c r="J293" s="14" t="s">
        <v>12</v>
      </c>
    </row>
    <row x14ac:dyDescent="0.25" r="294" customHeight="1" ht="17.25">
      <c r="A294" s="17" t="s">
        <v>12995</v>
      </c>
      <c r="B294" s="17" t="s">
        <v>476</v>
      </c>
      <c r="C294" s="17" t="s">
        <v>95</v>
      </c>
      <c r="D294" s="17" t="s">
        <v>16</v>
      </c>
      <c r="E294" s="18">
        <f>ROUND(15818*1.05,2)</f>
      </c>
      <c r="F294" s="17" t="s">
        <v>17</v>
      </c>
      <c r="G294" s="17" t="s">
        <v>18</v>
      </c>
      <c r="H294" s="18">
        <f>ROUND(RAND()*4+6,1)</f>
      </c>
      <c r="I294" s="17" t="s">
        <v>19</v>
      </c>
      <c r="J294" s="19">
        <f>ROUND(66*1,0)&amp;"%"</f>
      </c>
    </row>
    <row x14ac:dyDescent="0.25" r="295" customHeight="1" ht="17.25">
      <c r="A295" s="20" t="s">
        <v>12996</v>
      </c>
      <c r="B295" s="20" t="s">
        <v>478</v>
      </c>
      <c r="C295" s="20" t="s">
        <v>95</v>
      </c>
      <c r="D295" s="20" t="s">
        <v>22</v>
      </c>
      <c r="E295" s="21">
        <f>ROUND(9808*1.05,2)</f>
      </c>
      <c r="F295" s="20" t="s">
        <v>23</v>
      </c>
      <c r="G295" s="20" t="s">
        <v>24</v>
      </c>
      <c r="H295" s="21">
        <f>ROUND(RAND()*4+6,1)</f>
      </c>
      <c r="I295" s="20" t="s">
        <v>25</v>
      </c>
      <c r="J295" s="23">
        <f>ROUND(84*1,0)&amp;"%"</f>
      </c>
    </row>
    <row x14ac:dyDescent="0.25" r="296" customHeight="1" ht="17.25">
      <c r="A296" s="17" t="s">
        <v>12997</v>
      </c>
      <c r="B296" s="17" t="s">
        <v>480</v>
      </c>
      <c r="C296" s="17" t="s">
        <v>95</v>
      </c>
      <c r="D296" s="17" t="s">
        <v>28</v>
      </c>
      <c r="E296" s="18">
        <f>ROUND(17766*1.05,2)</f>
      </c>
      <c r="F296" s="17" t="s">
        <v>29</v>
      </c>
      <c r="G296" s="17" t="s">
        <v>30</v>
      </c>
      <c r="H296" s="26">
        <f>ROUND(RAND()*4+6,1)</f>
      </c>
      <c r="I296" s="17" t="s">
        <v>31</v>
      </c>
      <c r="J296" s="19">
        <f>ROUND(65*1,0)&amp;"%"</f>
      </c>
    </row>
    <row x14ac:dyDescent="0.25" r="297" customHeight="1" ht="17.25">
      <c r="A297" s="20" t="s">
        <v>12998</v>
      </c>
      <c r="B297" s="20" t="s">
        <v>482</v>
      </c>
      <c r="C297" s="20" t="s">
        <v>95</v>
      </c>
      <c r="D297" s="20" t="s">
        <v>34</v>
      </c>
      <c r="E297" s="21">
        <f>ROUND(15094*1.05,2)</f>
      </c>
      <c r="F297" s="20" t="s">
        <v>35</v>
      </c>
      <c r="G297" s="20" t="s">
        <v>18</v>
      </c>
      <c r="H297" s="21">
        <f>ROUND(RAND()*4+6,1)</f>
      </c>
      <c r="I297" s="20" t="s">
        <v>36</v>
      </c>
      <c r="J297" s="23">
        <f>ROUND(72*1,0)&amp;"%"</f>
      </c>
    </row>
    <row x14ac:dyDescent="0.25" r="298" customHeight="1" ht="17.25">
      <c r="A298" s="17" t="s">
        <v>12999</v>
      </c>
      <c r="B298" s="17" t="s">
        <v>484</v>
      </c>
      <c r="C298" s="17" t="s">
        <v>95</v>
      </c>
      <c r="D298" s="17" t="s">
        <v>39</v>
      </c>
      <c r="E298" s="18">
        <f>ROUND(4459*1.05,2)</f>
      </c>
      <c r="F298" s="17" t="s">
        <v>40</v>
      </c>
      <c r="G298" s="17" t="s">
        <v>24</v>
      </c>
      <c r="H298" s="18">
        <f>ROUND(RAND()*4+6,1)</f>
      </c>
      <c r="I298" s="17" t="s">
        <v>41</v>
      </c>
      <c r="J298" s="19">
        <f>ROUND(77*1,0)&amp;"%"</f>
      </c>
    </row>
    <row x14ac:dyDescent="0.25" r="299" customHeight="1" ht="17.25">
      <c r="A299" s="20" t="s">
        <v>13000</v>
      </c>
      <c r="B299" s="20" t="s">
        <v>486</v>
      </c>
      <c r="C299" s="20" t="s">
        <v>95</v>
      </c>
      <c r="D299" s="20" t="s">
        <v>67</v>
      </c>
      <c r="E299" s="21">
        <f>ROUND(14322*1.05,2)</f>
      </c>
      <c r="F299" s="20" t="s">
        <v>44</v>
      </c>
      <c r="G299" s="20" t="s">
        <v>30</v>
      </c>
      <c r="H299" s="21">
        <f>ROUND(RAND()*4+6,1)</f>
      </c>
      <c r="I299" s="20" t="s">
        <v>45</v>
      </c>
      <c r="J299" s="23">
        <f>ROUND(69*1,0)&amp;"%"</f>
      </c>
    </row>
    <row x14ac:dyDescent="0.25" r="300" customHeight="1" ht="17.25">
      <c r="A300" s="17" t="s">
        <v>13001</v>
      </c>
      <c r="B300" s="17" t="s">
        <v>488</v>
      </c>
      <c r="C300" s="17" t="s">
        <v>95</v>
      </c>
      <c r="D300" s="17" t="s">
        <v>16</v>
      </c>
      <c r="E300" s="18">
        <f>ROUND(11376*1.05,2)</f>
      </c>
      <c r="F300" s="17" t="s">
        <v>48</v>
      </c>
      <c r="G300" s="17" t="s">
        <v>18</v>
      </c>
      <c r="H300" s="18">
        <f>ROUND(RAND()*4+6,1)</f>
      </c>
      <c r="I300" s="17" t="s">
        <v>19</v>
      </c>
      <c r="J300" s="19">
        <f>ROUND(93*1,0)&amp;"%"</f>
      </c>
    </row>
    <row x14ac:dyDescent="0.25" r="301" customHeight="1" ht="17.25">
      <c r="A301" s="20" t="s">
        <v>13002</v>
      </c>
      <c r="B301" s="20" t="s">
        <v>490</v>
      </c>
      <c r="C301" s="20" t="s">
        <v>95</v>
      </c>
      <c r="D301" s="20" t="s">
        <v>22</v>
      </c>
      <c r="E301" s="21">
        <f>ROUND(10458*1.05,2)</f>
      </c>
      <c r="F301" s="20" t="s">
        <v>51</v>
      </c>
      <c r="G301" s="20" t="s">
        <v>24</v>
      </c>
      <c r="H301" s="21">
        <f>ROUND(RAND()*4+6,1)</f>
      </c>
      <c r="I301" s="20" t="s">
        <v>25</v>
      </c>
      <c r="J301" s="23">
        <f>ROUND(92*1,0)&amp;"%"</f>
      </c>
    </row>
    <row x14ac:dyDescent="0.25" r="302" customHeight="1" ht="17.25">
      <c r="A302" s="24" t="s">
        <v>491</v>
      </c>
      <c r="B302" s="24"/>
      <c r="C302" s="24"/>
      <c r="D302" s="24"/>
      <c r="E302" s="25">
        <v>8</v>
      </c>
      <c r="F302" s="9"/>
      <c r="G302" s="9"/>
      <c r="H302" s="31"/>
      <c r="I302" s="9"/>
      <c r="J302" s="9"/>
    </row>
    <row x14ac:dyDescent="0.25" r="303" customHeight="1" ht="17.25">
      <c r="A303" s="7"/>
      <c r="B303" s="7"/>
      <c r="C303" s="7"/>
      <c r="D303" s="7"/>
      <c r="E303" s="8"/>
      <c r="F303" s="9"/>
      <c r="G303" s="9"/>
      <c r="H303" s="31"/>
      <c r="I303" s="9"/>
      <c r="J303" s="9"/>
    </row>
    <row x14ac:dyDescent="0.25" r="304" customHeight="1" ht="17.25">
      <c r="A304" s="11" t="s">
        <v>13003</v>
      </c>
      <c r="B304" s="11"/>
      <c r="C304" s="11"/>
      <c r="D304" s="11"/>
      <c r="E304" s="12"/>
      <c r="F304" s="11"/>
      <c r="G304" s="11"/>
      <c r="H304" s="12"/>
      <c r="I304" s="11"/>
      <c r="J304" s="11"/>
    </row>
    <row x14ac:dyDescent="0.25" r="305" customHeight="1" ht="17.25">
      <c r="A305" s="14" t="s">
        <v>3</v>
      </c>
      <c r="B305" s="14" t="s">
        <v>4</v>
      </c>
      <c r="C305" s="14" t="s">
        <v>5</v>
      </c>
      <c r="D305" s="14" t="s">
        <v>6</v>
      </c>
      <c r="E305" s="15" t="s">
        <v>7</v>
      </c>
      <c r="F305" s="14" t="s">
        <v>8</v>
      </c>
      <c r="G305" s="14" t="s">
        <v>9</v>
      </c>
      <c r="H305" s="15" t="s">
        <v>10</v>
      </c>
      <c r="I305" s="14" t="s">
        <v>11</v>
      </c>
      <c r="J305" s="14" t="s">
        <v>12</v>
      </c>
    </row>
    <row x14ac:dyDescent="0.25" r="306" customHeight="1" ht="17.25">
      <c r="A306" s="17" t="s">
        <v>13004</v>
      </c>
      <c r="B306" s="17" t="s">
        <v>494</v>
      </c>
      <c r="C306" s="17" t="s">
        <v>114</v>
      </c>
      <c r="D306" s="17" t="s">
        <v>16</v>
      </c>
      <c r="E306" s="18">
        <f>ROUND(15859*1.05,2)</f>
      </c>
      <c r="F306" s="17" t="s">
        <v>17</v>
      </c>
      <c r="G306" s="17" t="s">
        <v>18</v>
      </c>
      <c r="H306" s="18">
        <f>ROUND(RAND()*4+6,1)</f>
      </c>
      <c r="I306" s="17" t="s">
        <v>19</v>
      </c>
      <c r="J306" s="19">
        <f>ROUND(94*1,0)&amp;"%"</f>
      </c>
    </row>
    <row x14ac:dyDescent="0.25" r="307" customHeight="1" ht="17.25">
      <c r="A307" s="20" t="s">
        <v>13005</v>
      </c>
      <c r="B307" s="20" t="s">
        <v>496</v>
      </c>
      <c r="C307" s="20" t="s">
        <v>114</v>
      </c>
      <c r="D307" s="20" t="s">
        <v>22</v>
      </c>
      <c r="E307" s="21">
        <f>ROUND(4605*1.05,2)</f>
      </c>
      <c r="F307" s="20" t="s">
        <v>23</v>
      </c>
      <c r="G307" s="20" t="s">
        <v>24</v>
      </c>
      <c r="H307" s="21">
        <f>ROUND(RAND()*4+6,1)</f>
      </c>
      <c r="I307" s="20" t="s">
        <v>25</v>
      </c>
      <c r="J307" s="23">
        <f>ROUND(92*1,0)&amp;"%"</f>
      </c>
    </row>
    <row x14ac:dyDescent="0.25" r="308" customHeight="1" ht="17.25">
      <c r="A308" s="17" t="s">
        <v>13006</v>
      </c>
      <c r="B308" s="17" t="s">
        <v>498</v>
      </c>
      <c r="C308" s="17" t="s">
        <v>114</v>
      </c>
      <c r="D308" s="17" t="s">
        <v>28</v>
      </c>
      <c r="E308" s="18">
        <f>ROUND(12415*1.05,2)</f>
      </c>
      <c r="F308" s="17" t="s">
        <v>29</v>
      </c>
      <c r="G308" s="17" t="s">
        <v>30</v>
      </c>
      <c r="H308" s="18">
        <f>ROUND(RAND()*4+6,1)</f>
      </c>
      <c r="I308" s="17" t="s">
        <v>31</v>
      </c>
      <c r="J308" s="19">
        <f>ROUND(98*1,0)&amp;"%"</f>
      </c>
    </row>
    <row x14ac:dyDescent="0.25" r="309" customHeight="1" ht="17.25">
      <c r="A309" s="20" t="s">
        <v>13007</v>
      </c>
      <c r="B309" s="20" t="s">
        <v>500</v>
      </c>
      <c r="C309" s="20" t="s">
        <v>114</v>
      </c>
      <c r="D309" s="20" t="s">
        <v>34</v>
      </c>
      <c r="E309" s="21">
        <f>ROUND(14739*1.05,2)</f>
      </c>
      <c r="F309" s="20" t="s">
        <v>35</v>
      </c>
      <c r="G309" s="20" t="s">
        <v>18</v>
      </c>
      <c r="H309" s="21">
        <f>ROUND(RAND()*4+6,1)</f>
      </c>
      <c r="I309" s="20" t="s">
        <v>36</v>
      </c>
      <c r="J309" s="23">
        <f>ROUND(78*1,0)&amp;"%"</f>
      </c>
    </row>
    <row x14ac:dyDescent="0.25" r="310" customHeight="1" ht="17.25">
      <c r="A310" s="17" t="s">
        <v>13008</v>
      </c>
      <c r="B310" s="17" t="s">
        <v>502</v>
      </c>
      <c r="C310" s="17" t="s">
        <v>114</v>
      </c>
      <c r="D310" s="17" t="s">
        <v>39</v>
      </c>
      <c r="E310" s="18">
        <f>ROUND(12913*1.05,2)</f>
      </c>
      <c r="F310" s="17" t="s">
        <v>40</v>
      </c>
      <c r="G310" s="17" t="s">
        <v>24</v>
      </c>
      <c r="H310" s="18">
        <f>ROUND(RAND()*4+6,1)</f>
      </c>
      <c r="I310" s="17" t="s">
        <v>41</v>
      </c>
      <c r="J310" s="19">
        <f>ROUND(84*1,0)&amp;"%"</f>
      </c>
    </row>
    <row x14ac:dyDescent="0.25" r="311" customHeight="1" ht="17.25">
      <c r="A311" s="20" t="s">
        <v>13009</v>
      </c>
      <c r="B311" s="20" t="s">
        <v>504</v>
      </c>
      <c r="C311" s="20" t="s">
        <v>114</v>
      </c>
      <c r="D311" s="20" t="s">
        <v>67</v>
      </c>
      <c r="E311" s="21">
        <f>ROUND(16593*1.05,2)</f>
      </c>
      <c r="F311" s="20" t="s">
        <v>44</v>
      </c>
      <c r="G311" s="20" t="s">
        <v>30</v>
      </c>
      <c r="H311" s="21">
        <f>ROUND(RAND()*4+6,1)</f>
      </c>
      <c r="I311" s="20" t="s">
        <v>45</v>
      </c>
      <c r="J311" s="23">
        <f>ROUND(71*1,0)&amp;"%"</f>
      </c>
    </row>
    <row x14ac:dyDescent="0.25" r="312" customHeight="1" ht="17.25">
      <c r="A312" s="17" t="s">
        <v>13010</v>
      </c>
      <c r="B312" s="17" t="s">
        <v>506</v>
      </c>
      <c r="C312" s="17" t="s">
        <v>114</v>
      </c>
      <c r="D312" s="17" t="s">
        <v>16</v>
      </c>
      <c r="E312" s="18">
        <f>ROUND(15833*1.05,2)</f>
      </c>
      <c r="F312" s="17" t="s">
        <v>48</v>
      </c>
      <c r="G312" s="17" t="s">
        <v>18</v>
      </c>
      <c r="H312" s="18">
        <f>ROUND(RAND()*4+6,1)</f>
      </c>
      <c r="I312" s="17" t="s">
        <v>19</v>
      </c>
      <c r="J312" s="19">
        <f>ROUND(94*1,0)&amp;"%"</f>
      </c>
    </row>
    <row x14ac:dyDescent="0.25" r="313" customHeight="1" ht="17.25">
      <c r="A313" s="20" t="s">
        <v>13011</v>
      </c>
      <c r="B313" s="20" t="s">
        <v>508</v>
      </c>
      <c r="C313" s="20" t="s">
        <v>114</v>
      </c>
      <c r="D313" s="20" t="s">
        <v>22</v>
      </c>
      <c r="E313" s="21">
        <f>ROUND(6493*1.05,2)</f>
      </c>
      <c r="F313" s="20" t="s">
        <v>51</v>
      </c>
      <c r="G313" s="20" t="s">
        <v>24</v>
      </c>
      <c r="H313" s="21">
        <f>ROUND(RAND()*4+6,1)</f>
      </c>
      <c r="I313" s="20" t="s">
        <v>25</v>
      </c>
      <c r="J313" s="23">
        <f>ROUND(98*1,0)&amp;"%"</f>
      </c>
    </row>
    <row x14ac:dyDescent="0.25" r="314" customHeight="1" ht="17.25">
      <c r="A314" s="24" t="s">
        <v>509</v>
      </c>
      <c r="B314" s="24"/>
      <c r="C314" s="24"/>
      <c r="D314" s="24"/>
      <c r="E314" s="25">
        <v>8</v>
      </c>
      <c r="F314" s="9"/>
      <c r="G314" s="9"/>
      <c r="H314" s="31"/>
      <c r="I314" s="9"/>
      <c r="J314" s="9"/>
    </row>
    <row x14ac:dyDescent="0.25" r="315" customHeight="1" ht="17.25">
      <c r="A315" s="7"/>
      <c r="B315" s="7"/>
      <c r="C315" s="7"/>
      <c r="D315" s="7"/>
      <c r="E315" s="8"/>
      <c r="F315" s="9"/>
      <c r="G315" s="9"/>
      <c r="H315" s="31"/>
      <c r="I315" s="9"/>
      <c r="J315" s="9"/>
    </row>
    <row x14ac:dyDescent="0.25" r="316" customHeight="1" ht="17.25">
      <c r="A316" s="11" t="s">
        <v>13012</v>
      </c>
      <c r="B316" s="11"/>
      <c r="C316" s="11"/>
      <c r="D316" s="11"/>
      <c r="E316" s="12"/>
      <c r="F316" s="11"/>
      <c r="G316" s="11"/>
      <c r="H316" s="12"/>
      <c r="I316" s="11"/>
      <c r="J316" s="11"/>
    </row>
    <row x14ac:dyDescent="0.25" r="317" customHeight="1" ht="17.25">
      <c r="A317" s="14" t="s">
        <v>3</v>
      </c>
      <c r="B317" s="14" t="s">
        <v>4</v>
      </c>
      <c r="C317" s="14" t="s">
        <v>5</v>
      </c>
      <c r="D317" s="14" t="s">
        <v>6</v>
      </c>
      <c r="E317" s="15" t="s">
        <v>7</v>
      </c>
      <c r="F317" s="14" t="s">
        <v>8</v>
      </c>
      <c r="G317" s="14" t="s">
        <v>9</v>
      </c>
      <c r="H317" s="15" t="s">
        <v>10</v>
      </c>
      <c r="I317" s="14" t="s">
        <v>11</v>
      </c>
      <c r="J317" s="14" t="s">
        <v>12</v>
      </c>
    </row>
    <row x14ac:dyDescent="0.25" r="318" customHeight="1" ht="17.25">
      <c r="A318" s="17" t="s">
        <v>13013</v>
      </c>
      <c r="B318" s="17" t="s">
        <v>512</v>
      </c>
      <c r="C318" s="17" t="s">
        <v>133</v>
      </c>
      <c r="D318" s="17" t="s">
        <v>16</v>
      </c>
      <c r="E318" s="18">
        <f>ROUND(14019*1.05,2)</f>
      </c>
      <c r="F318" s="17" t="s">
        <v>17</v>
      </c>
      <c r="G318" s="17" t="s">
        <v>18</v>
      </c>
      <c r="H318" s="18">
        <f>ROUND(RAND()*4+6,1)</f>
      </c>
      <c r="I318" s="17" t="s">
        <v>19</v>
      </c>
      <c r="J318" s="19">
        <f>ROUND(92*1,0)&amp;"%"</f>
      </c>
    </row>
    <row x14ac:dyDescent="0.25" r="319" customHeight="1" ht="17.25">
      <c r="A319" s="20" t="s">
        <v>13014</v>
      </c>
      <c r="B319" s="20" t="s">
        <v>514</v>
      </c>
      <c r="C319" s="20" t="s">
        <v>133</v>
      </c>
      <c r="D319" s="20" t="s">
        <v>22</v>
      </c>
      <c r="E319" s="21">
        <f>ROUND(15521*1.05,2)</f>
      </c>
      <c r="F319" s="20" t="s">
        <v>23</v>
      </c>
      <c r="G319" s="20" t="s">
        <v>24</v>
      </c>
      <c r="H319" s="22">
        <f>ROUND(RAND()*4+6,1)</f>
      </c>
      <c r="I319" s="20" t="s">
        <v>25</v>
      </c>
      <c r="J319" s="23">
        <f>ROUND(98*1,0)&amp;"%"</f>
      </c>
    </row>
    <row x14ac:dyDescent="0.25" r="320" customHeight="1" ht="17.25">
      <c r="A320" s="17" t="s">
        <v>13015</v>
      </c>
      <c r="B320" s="17" t="s">
        <v>516</v>
      </c>
      <c r="C320" s="17" t="s">
        <v>133</v>
      </c>
      <c r="D320" s="17" t="s">
        <v>28</v>
      </c>
      <c r="E320" s="18">
        <f>ROUND(10196*1.05,2)</f>
      </c>
      <c r="F320" s="17" t="s">
        <v>29</v>
      </c>
      <c r="G320" s="17" t="s">
        <v>30</v>
      </c>
      <c r="H320" s="18">
        <f>ROUND(RAND()*4+6,1)</f>
      </c>
      <c r="I320" s="17" t="s">
        <v>31</v>
      </c>
      <c r="J320" s="19">
        <f>ROUND(71*1,0)&amp;"%"</f>
      </c>
    </row>
    <row x14ac:dyDescent="0.25" r="321" customHeight="1" ht="17.25">
      <c r="A321" s="20" t="s">
        <v>13016</v>
      </c>
      <c r="B321" s="20" t="s">
        <v>518</v>
      </c>
      <c r="C321" s="20" t="s">
        <v>133</v>
      </c>
      <c r="D321" s="20" t="s">
        <v>34</v>
      </c>
      <c r="E321" s="21">
        <f>ROUND(12786*1.05,2)</f>
      </c>
      <c r="F321" s="20" t="s">
        <v>35</v>
      </c>
      <c r="G321" s="20" t="s">
        <v>18</v>
      </c>
      <c r="H321" s="21">
        <f>ROUND(RAND()*4+6,1)</f>
      </c>
      <c r="I321" s="20" t="s">
        <v>36</v>
      </c>
      <c r="J321" s="23">
        <f>ROUND(73*1,0)&amp;"%"</f>
      </c>
    </row>
    <row x14ac:dyDescent="0.25" r="322" customHeight="1" ht="17.25">
      <c r="A322" s="17" t="s">
        <v>13017</v>
      </c>
      <c r="B322" s="17" t="s">
        <v>520</v>
      </c>
      <c r="C322" s="17" t="s">
        <v>133</v>
      </c>
      <c r="D322" s="17" t="s">
        <v>39</v>
      </c>
      <c r="E322" s="18">
        <f>ROUND(8746*1.05,2)</f>
      </c>
      <c r="F322" s="17" t="s">
        <v>40</v>
      </c>
      <c r="G322" s="17" t="s">
        <v>24</v>
      </c>
      <c r="H322" s="18">
        <f>ROUND(RAND()*4+6,1)</f>
      </c>
      <c r="I322" s="17" t="s">
        <v>41</v>
      </c>
      <c r="J322" s="19">
        <f>ROUND(61*1,0)&amp;"%"</f>
      </c>
    </row>
    <row x14ac:dyDescent="0.25" r="323" customHeight="1" ht="17.25">
      <c r="A323" s="20" t="s">
        <v>13018</v>
      </c>
      <c r="B323" s="20" t="s">
        <v>522</v>
      </c>
      <c r="C323" s="20" t="s">
        <v>133</v>
      </c>
      <c r="D323" s="20" t="s">
        <v>67</v>
      </c>
      <c r="E323" s="21">
        <f>ROUND(10004*1.05,2)</f>
      </c>
      <c r="F323" s="20" t="s">
        <v>44</v>
      </c>
      <c r="G323" s="20" t="s">
        <v>30</v>
      </c>
      <c r="H323" s="21">
        <f>ROUND(RAND()*4+6,1)</f>
      </c>
      <c r="I323" s="20" t="s">
        <v>45</v>
      </c>
      <c r="J323" s="23">
        <f>ROUND(84*1,0)&amp;"%"</f>
      </c>
    </row>
    <row x14ac:dyDescent="0.25" r="324" customHeight="1" ht="17.25">
      <c r="A324" s="17" t="s">
        <v>13019</v>
      </c>
      <c r="B324" s="17" t="s">
        <v>524</v>
      </c>
      <c r="C324" s="17" t="s">
        <v>133</v>
      </c>
      <c r="D324" s="17" t="s">
        <v>16</v>
      </c>
      <c r="E324" s="18">
        <f>ROUND(7792*1.05,2)</f>
      </c>
      <c r="F324" s="17" t="s">
        <v>48</v>
      </c>
      <c r="G324" s="17" t="s">
        <v>18</v>
      </c>
      <c r="H324" s="18">
        <f>ROUND(RAND()*4+6,1)</f>
      </c>
      <c r="I324" s="17" t="s">
        <v>19</v>
      </c>
      <c r="J324" s="19">
        <f>ROUND(68*1,0)&amp;"%"</f>
      </c>
    </row>
    <row x14ac:dyDescent="0.25" r="325" customHeight="1" ht="17.25">
      <c r="A325" s="20" t="s">
        <v>13020</v>
      </c>
      <c r="B325" s="20" t="s">
        <v>526</v>
      </c>
      <c r="C325" s="20" t="s">
        <v>133</v>
      </c>
      <c r="D325" s="20" t="s">
        <v>22</v>
      </c>
      <c r="E325" s="21">
        <f>ROUND(7895*1.05,2)</f>
      </c>
      <c r="F325" s="20" t="s">
        <v>51</v>
      </c>
      <c r="G325" s="20" t="s">
        <v>24</v>
      </c>
      <c r="H325" s="22">
        <f>ROUND(RAND()*4+6,1)</f>
      </c>
      <c r="I325" s="20" t="s">
        <v>25</v>
      </c>
      <c r="J325" s="23">
        <f>ROUND(95*1,0)&amp;"%"</f>
      </c>
    </row>
    <row x14ac:dyDescent="0.25" r="326" customHeight="1" ht="17.25">
      <c r="A326" s="24" t="s">
        <v>527</v>
      </c>
      <c r="B326" s="24"/>
      <c r="C326" s="24"/>
      <c r="D326" s="24"/>
      <c r="E326" s="25">
        <v>8</v>
      </c>
      <c r="F326" s="9"/>
      <c r="G326" s="9"/>
      <c r="H326" s="31"/>
      <c r="I326" s="9"/>
      <c r="J326" s="9"/>
    </row>
    <row x14ac:dyDescent="0.25" r="327" customHeight="1" ht="17.25">
      <c r="A327" s="7"/>
      <c r="B327" s="7"/>
      <c r="C327" s="7"/>
      <c r="D327" s="7"/>
      <c r="E327" s="8"/>
      <c r="F327" s="9"/>
      <c r="G327" s="9"/>
      <c r="H327" s="31"/>
      <c r="I327" s="9"/>
      <c r="J327" s="9"/>
    </row>
    <row x14ac:dyDescent="0.25" r="328" customHeight="1" ht="17.25">
      <c r="A328" s="11" t="s">
        <v>13021</v>
      </c>
      <c r="B328" s="11"/>
      <c r="C328" s="11"/>
      <c r="D328" s="11"/>
      <c r="E328" s="12"/>
      <c r="F328" s="11"/>
      <c r="G328" s="11"/>
      <c r="H328" s="12"/>
      <c r="I328" s="11"/>
      <c r="J328" s="11"/>
    </row>
    <row x14ac:dyDescent="0.25" r="329" customHeight="1" ht="17.25">
      <c r="A329" s="14" t="s">
        <v>3</v>
      </c>
      <c r="B329" s="14" t="s">
        <v>4</v>
      </c>
      <c r="C329" s="14" t="s">
        <v>5</v>
      </c>
      <c r="D329" s="14" t="s">
        <v>6</v>
      </c>
      <c r="E329" s="15" t="s">
        <v>7</v>
      </c>
      <c r="F329" s="14" t="s">
        <v>8</v>
      </c>
      <c r="G329" s="14" t="s">
        <v>9</v>
      </c>
      <c r="H329" s="15" t="s">
        <v>10</v>
      </c>
      <c r="I329" s="14" t="s">
        <v>11</v>
      </c>
      <c r="J329" s="14" t="s">
        <v>12</v>
      </c>
    </row>
    <row x14ac:dyDescent="0.25" r="330" customHeight="1" ht="17.25">
      <c r="A330" s="17" t="s">
        <v>13022</v>
      </c>
      <c r="B330" s="17" t="s">
        <v>530</v>
      </c>
      <c r="C330" s="17" t="s">
        <v>152</v>
      </c>
      <c r="D330" s="17" t="s">
        <v>16</v>
      </c>
      <c r="E330" s="18">
        <f>ROUND(9072*1.05,2)</f>
      </c>
      <c r="F330" s="17" t="s">
        <v>17</v>
      </c>
      <c r="G330" s="17" t="s">
        <v>18</v>
      </c>
      <c r="H330" s="18">
        <f>ROUND(RAND()*4+6,1)</f>
      </c>
      <c r="I330" s="17" t="s">
        <v>19</v>
      </c>
      <c r="J330" s="19">
        <f>ROUND(72*1,0)&amp;"%"</f>
      </c>
    </row>
    <row x14ac:dyDescent="0.25" r="331" customHeight="1" ht="17.25">
      <c r="A331" s="20" t="s">
        <v>13023</v>
      </c>
      <c r="B331" s="20" t="s">
        <v>532</v>
      </c>
      <c r="C331" s="20" t="s">
        <v>152</v>
      </c>
      <c r="D331" s="20" t="s">
        <v>22</v>
      </c>
      <c r="E331" s="21">
        <f>ROUND(11981*1.05,2)</f>
      </c>
      <c r="F331" s="20" t="s">
        <v>23</v>
      </c>
      <c r="G331" s="20" t="s">
        <v>24</v>
      </c>
      <c r="H331" s="21">
        <f>ROUND(RAND()*4+6,1)</f>
      </c>
      <c r="I331" s="20" t="s">
        <v>25</v>
      </c>
      <c r="J331" s="23">
        <f>ROUND(97*1,0)&amp;"%"</f>
      </c>
    </row>
    <row x14ac:dyDescent="0.25" r="332" customHeight="1" ht="17.25">
      <c r="A332" s="17" t="s">
        <v>13024</v>
      </c>
      <c r="B332" s="17" t="s">
        <v>534</v>
      </c>
      <c r="C332" s="17" t="s">
        <v>152</v>
      </c>
      <c r="D332" s="17" t="s">
        <v>28</v>
      </c>
      <c r="E332" s="18">
        <f>ROUND(9486*1.05,2)</f>
      </c>
      <c r="F332" s="17" t="s">
        <v>29</v>
      </c>
      <c r="G332" s="17" t="s">
        <v>30</v>
      </c>
      <c r="H332" s="18">
        <f>ROUND(RAND()*4+6,1)</f>
      </c>
      <c r="I332" s="17" t="s">
        <v>31</v>
      </c>
      <c r="J332" s="19">
        <f>ROUND(91*1,0)&amp;"%"</f>
      </c>
    </row>
    <row x14ac:dyDescent="0.25" r="333" customHeight="1" ht="17.25">
      <c r="A333" s="20" t="s">
        <v>13025</v>
      </c>
      <c r="B333" s="20" t="s">
        <v>536</v>
      </c>
      <c r="C333" s="20" t="s">
        <v>152</v>
      </c>
      <c r="D333" s="20" t="s">
        <v>34</v>
      </c>
      <c r="E333" s="21">
        <f>ROUND(11993*1.05,2)</f>
      </c>
      <c r="F333" s="20" t="s">
        <v>35</v>
      </c>
      <c r="G333" s="20" t="s">
        <v>18</v>
      </c>
      <c r="H333" s="21">
        <f>ROUND(RAND()*4+6,1)</f>
      </c>
      <c r="I333" s="20" t="s">
        <v>36</v>
      </c>
      <c r="J333" s="23">
        <f>ROUND(60*1,0)&amp;"%"</f>
      </c>
    </row>
    <row x14ac:dyDescent="0.25" r="334" customHeight="1" ht="17.25">
      <c r="A334" s="17" t="s">
        <v>13026</v>
      </c>
      <c r="B334" s="17" t="s">
        <v>538</v>
      </c>
      <c r="C334" s="17" t="s">
        <v>152</v>
      </c>
      <c r="D334" s="17" t="s">
        <v>39</v>
      </c>
      <c r="E334" s="18">
        <f>ROUND(11044*1.05,2)</f>
      </c>
      <c r="F334" s="17" t="s">
        <v>40</v>
      </c>
      <c r="G334" s="17" t="s">
        <v>24</v>
      </c>
      <c r="H334" s="18">
        <f>ROUND(RAND()*4+6,1)</f>
      </c>
      <c r="I334" s="17" t="s">
        <v>41</v>
      </c>
      <c r="J334" s="19">
        <f>ROUND(97*1,0)&amp;"%"</f>
      </c>
    </row>
    <row x14ac:dyDescent="0.25" r="335" customHeight="1" ht="17.25">
      <c r="A335" s="20" t="s">
        <v>13027</v>
      </c>
      <c r="B335" s="20" t="s">
        <v>540</v>
      </c>
      <c r="C335" s="20" t="s">
        <v>152</v>
      </c>
      <c r="D335" s="20" t="s">
        <v>67</v>
      </c>
      <c r="E335" s="21">
        <f>ROUND(12490*1.05,2)</f>
      </c>
      <c r="F335" s="20" t="s">
        <v>44</v>
      </c>
      <c r="G335" s="20" t="s">
        <v>30</v>
      </c>
      <c r="H335" s="21">
        <f>ROUND(RAND()*4+6,1)</f>
      </c>
      <c r="I335" s="20" t="s">
        <v>45</v>
      </c>
      <c r="J335" s="23">
        <f>ROUND(76*1,0)&amp;"%"</f>
      </c>
    </row>
    <row x14ac:dyDescent="0.25" r="336" customHeight="1" ht="17.25">
      <c r="A336" s="17" t="s">
        <v>13028</v>
      </c>
      <c r="B336" s="17" t="s">
        <v>542</v>
      </c>
      <c r="C336" s="17" t="s">
        <v>152</v>
      </c>
      <c r="D336" s="17" t="s">
        <v>16</v>
      </c>
      <c r="E336" s="18">
        <f>ROUND(10639*1.05,2)</f>
      </c>
      <c r="F336" s="17" t="s">
        <v>48</v>
      </c>
      <c r="G336" s="17" t="s">
        <v>18</v>
      </c>
      <c r="H336" s="18">
        <f>ROUND(RAND()*4+6,1)</f>
      </c>
      <c r="I336" s="17" t="s">
        <v>19</v>
      </c>
      <c r="J336" s="19">
        <f>ROUND(60*1,0)&amp;"%"</f>
      </c>
    </row>
    <row x14ac:dyDescent="0.25" r="337" customHeight="1" ht="17.25">
      <c r="A337" s="20" t="s">
        <v>13029</v>
      </c>
      <c r="B337" s="20" t="s">
        <v>544</v>
      </c>
      <c r="C337" s="20" t="s">
        <v>152</v>
      </c>
      <c r="D337" s="20" t="s">
        <v>22</v>
      </c>
      <c r="E337" s="22">
        <f>ROUND(6220*1.05,2)</f>
      </c>
      <c r="F337" s="20" t="s">
        <v>51</v>
      </c>
      <c r="G337" s="20" t="s">
        <v>24</v>
      </c>
      <c r="H337" s="21">
        <f>ROUND(RAND()*4+6,1)</f>
      </c>
      <c r="I337" s="20" t="s">
        <v>25</v>
      </c>
      <c r="J337" s="23">
        <f>ROUND(93*1,0)&amp;"%"</f>
      </c>
    </row>
    <row x14ac:dyDescent="0.25" r="338" customHeight="1" ht="17.25">
      <c r="A338" s="24" t="s">
        <v>545</v>
      </c>
      <c r="B338" s="24"/>
      <c r="C338" s="24"/>
      <c r="D338" s="24"/>
      <c r="E338" s="25">
        <v>8</v>
      </c>
      <c r="F338" s="9"/>
      <c r="G338" s="9"/>
      <c r="H338" s="31"/>
      <c r="I338" s="9"/>
      <c r="J338" s="9"/>
    </row>
    <row x14ac:dyDescent="0.25" r="339" customHeight="1" ht="17.25">
      <c r="A339" s="7"/>
      <c r="B339" s="7"/>
      <c r="C339" s="7"/>
      <c r="D339" s="7"/>
      <c r="E339" s="8"/>
      <c r="F339" s="9"/>
      <c r="G339" s="9"/>
      <c r="H339" s="31"/>
      <c r="I339" s="9"/>
      <c r="J339" s="9"/>
    </row>
    <row x14ac:dyDescent="0.25" r="340" customHeight="1" ht="17.25">
      <c r="A340" s="11" t="s">
        <v>13030</v>
      </c>
      <c r="B340" s="11"/>
      <c r="C340" s="11"/>
      <c r="D340" s="11"/>
      <c r="E340" s="12"/>
      <c r="F340" s="11"/>
      <c r="G340" s="11"/>
      <c r="H340" s="12"/>
      <c r="I340" s="11"/>
      <c r="J340" s="11"/>
    </row>
    <row x14ac:dyDescent="0.25" r="341" customHeight="1" ht="17.25">
      <c r="A341" s="14" t="s">
        <v>3</v>
      </c>
      <c r="B341" s="14" t="s">
        <v>4</v>
      </c>
      <c r="C341" s="14" t="s">
        <v>5</v>
      </c>
      <c r="D341" s="14" t="s">
        <v>6</v>
      </c>
      <c r="E341" s="15" t="s">
        <v>7</v>
      </c>
      <c r="F341" s="14" t="s">
        <v>8</v>
      </c>
      <c r="G341" s="14" t="s">
        <v>9</v>
      </c>
      <c r="H341" s="15" t="s">
        <v>10</v>
      </c>
      <c r="I341" s="14" t="s">
        <v>11</v>
      </c>
      <c r="J341" s="14" t="s">
        <v>12</v>
      </c>
    </row>
    <row x14ac:dyDescent="0.25" r="342" customHeight="1" ht="17.25">
      <c r="A342" s="17" t="s">
        <v>13031</v>
      </c>
      <c r="B342" s="17" t="s">
        <v>548</v>
      </c>
      <c r="C342" s="17" t="s">
        <v>15</v>
      </c>
      <c r="D342" s="17" t="s">
        <v>16</v>
      </c>
      <c r="E342" s="18">
        <f>ROUND(4426*1.05,2)</f>
      </c>
      <c r="F342" s="17" t="s">
        <v>17</v>
      </c>
      <c r="G342" s="17" t="s">
        <v>18</v>
      </c>
      <c r="H342" s="18">
        <f>ROUND(RAND()*4+6,1)</f>
      </c>
      <c r="I342" s="17" t="s">
        <v>19</v>
      </c>
      <c r="J342" s="19">
        <f>ROUND(78*1,0)&amp;"%"</f>
      </c>
    </row>
    <row x14ac:dyDescent="0.25" r="343" customHeight="1" ht="17.25">
      <c r="A343" s="20" t="s">
        <v>13032</v>
      </c>
      <c r="B343" s="20" t="s">
        <v>550</v>
      </c>
      <c r="C343" s="20" t="s">
        <v>15</v>
      </c>
      <c r="D343" s="20" t="s">
        <v>22</v>
      </c>
      <c r="E343" s="21">
        <f>ROUND(11657*1.05,2)</f>
      </c>
      <c r="F343" s="20" t="s">
        <v>23</v>
      </c>
      <c r="G343" s="20" t="s">
        <v>24</v>
      </c>
      <c r="H343" s="21">
        <f>ROUND(RAND()*4+6,1)</f>
      </c>
      <c r="I343" s="20" t="s">
        <v>25</v>
      </c>
      <c r="J343" s="23">
        <f>ROUND(96*1,0)&amp;"%"</f>
      </c>
    </row>
    <row x14ac:dyDescent="0.25" r="344" customHeight="1" ht="17.25">
      <c r="A344" s="17" t="s">
        <v>13033</v>
      </c>
      <c r="B344" s="17" t="s">
        <v>552</v>
      </c>
      <c r="C344" s="17" t="s">
        <v>15</v>
      </c>
      <c r="D344" s="17" t="s">
        <v>28</v>
      </c>
      <c r="E344" s="18">
        <f>ROUND(7365*1.05,2)</f>
      </c>
      <c r="F344" s="17" t="s">
        <v>29</v>
      </c>
      <c r="G344" s="17" t="s">
        <v>30</v>
      </c>
      <c r="H344" s="18">
        <f>ROUND(RAND()*4+6,1)</f>
      </c>
      <c r="I344" s="17" t="s">
        <v>31</v>
      </c>
      <c r="J344" s="19">
        <f>ROUND(99*1,0)&amp;"%"</f>
      </c>
    </row>
    <row x14ac:dyDescent="0.25" r="345" customHeight="1" ht="17.25">
      <c r="A345" s="20" t="s">
        <v>13034</v>
      </c>
      <c r="B345" s="20" t="s">
        <v>554</v>
      </c>
      <c r="C345" s="20" t="s">
        <v>15</v>
      </c>
      <c r="D345" s="20" t="s">
        <v>34</v>
      </c>
      <c r="E345" s="21">
        <f>ROUND(14937*1.05,2)</f>
      </c>
      <c r="F345" s="20" t="s">
        <v>35</v>
      </c>
      <c r="G345" s="20" t="s">
        <v>18</v>
      </c>
      <c r="H345" s="21">
        <f>ROUND(RAND()*4+6,1)</f>
      </c>
      <c r="I345" s="20" t="s">
        <v>36</v>
      </c>
      <c r="J345" s="23">
        <f>ROUND(77*1,0)&amp;"%"</f>
      </c>
    </row>
    <row x14ac:dyDescent="0.25" r="346" customHeight="1" ht="17.25">
      <c r="A346" s="17" t="s">
        <v>13035</v>
      </c>
      <c r="B346" s="17" t="s">
        <v>556</v>
      </c>
      <c r="C346" s="17" t="s">
        <v>15</v>
      </c>
      <c r="D346" s="17" t="s">
        <v>39</v>
      </c>
      <c r="E346" s="18">
        <f>ROUND(8935*1.05,2)</f>
      </c>
      <c r="F346" s="17" t="s">
        <v>40</v>
      </c>
      <c r="G346" s="17" t="s">
        <v>24</v>
      </c>
      <c r="H346" s="18">
        <f>ROUND(RAND()*4+6,1)</f>
      </c>
      <c r="I346" s="17" t="s">
        <v>41</v>
      </c>
      <c r="J346" s="19">
        <f>ROUND(80*1,0)&amp;"%"</f>
      </c>
    </row>
    <row x14ac:dyDescent="0.25" r="347" customHeight="1" ht="17.25">
      <c r="A347" s="20" t="s">
        <v>13036</v>
      </c>
      <c r="B347" s="20" t="s">
        <v>558</v>
      </c>
      <c r="C347" s="20" t="s">
        <v>15</v>
      </c>
      <c r="D347" s="20" t="s">
        <v>67</v>
      </c>
      <c r="E347" s="21">
        <f>ROUND(6370*1.05,2)</f>
      </c>
      <c r="F347" s="20" t="s">
        <v>44</v>
      </c>
      <c r="G347" s="20" t="s">
        <v>30</v>
      </c>
      <c r="H347" s="21">
        <f>ROUND(RAND()*4+6,1)</f>
      </c>
      <c r="I347" s="20" t="s">
        <v>45</v>
      </c>
      <c r="J347" s="23">
        <f>ROUND(70*1,0)&amp;"%"</f>
      </c>
    </row>
    <row x14ac:dyDescent="0.25" r="348" customHeight="1" ht="17.25">
      <c r="A348" s="17" t="s">
        <v>13037</v>
      </c>
      <c r="B348" s="17" t="s">
        <v>560</v>
      </c>
      <c r="C348" s="17" t="s">
        <v>15</v>
      </c>
      <c r="D348" s="17" t="s">
        <v>16</v>
      </c>
      <c r="E348" s="18">
        <f>ROUND(5057*1.05,2)</f>
      </c>
      <c r="F348" s="17" t="s">
        <v>48</v>
      </c>
      <c r="G348" s="17" t="s">
        <v>18</v>
      </c>
      <c r="H348" s="18">
        <f>ROUND(RAND()*4+6,1)</f>
      </c>
      <c r="I348" s="17" t="s">
        <v>19</v>
      </c>
      <c r="J348" s="19">
        <f>ROUND(77*1,0)&amp;"%"</f>
      </c>
    </row>
    <row x14ac:dyDescent="0.25" r="349" customHeight="1" ht="17.25">
      <c r="A349" s="20" t="s">
        <v>13038</v>
      </c>
      <c r="B349" s="20" t="s">
        <v>562</v>
      </c>
      <c r="C349" s="20" t="s">
        <v>15</v>
      </c>
      <c r="D349" s="20" t="s">
        <v>22</v>
      </c>
      <c r="E349" s="21">
        <f>ROUND(17367*1.05,2)</f>
      </c>
      <c r="F349" s="20" t="s">
        <v>51</v>
      </c>
      <c r="G349" s="20" t="s">
        <v>24</v>
      </c>
      <c r="H349" s="21">
        <f>ROUND(RAND()*4+6,1)</f>
      </c>
      <c r="I349" s="20" t="s">
        <v>25</v>
      </c>
      <c r="J349" s="23">
        <f>ROUND(73*1,0)&amp;"%"</f>
      </c>
    </row>
    <row x14ac:dyDescent="0.25" r="350" customHeight="1" ht="17.25">
      <c r="A350" s="24" t="s">
        <v>563</v>
      </c>
      <c r="B350" s="24"/>
      <c r="C350" s="24"/>
      <c r="D350" s="24"/>
      <c r="E350" s="25">
        <v>8</v>
      </c>
      <c r="F350" s="9"/>
      <c r="G350" s="9"/>
      <c r="H350" s="31"/>
      <c r="I350" s="9"/>
      <c r="J350" s="9"/>
    </row>
    <row x14ac:dyDescent="0.25" r="351" customHeight="1" ht="17.25">
      <c r="A351" s="7"/>
      <c r="B351" s="7"/>
      <c r="C351" s="7"/>
      <c r="D351" s="7"/>
      <c r="E351" s="8"/>
      <c r="F351" s="9"/>
      <c r="G351" s="9"/>
      <c r="H351" s="31"/>
      <c r="I351" s="9"/>
      <c r="J351" s="9"/>
    </row>
    <row x14ac:dyDescent="0.25" r="352" customHeight="1" ht="17.25">
      <c r="A352" s="11" t="s">
        <v>13039</v>
      </c>
      <c r="B352" s="11"/>
      <c r="C352" s="11"/>
      <c r="D352" s="11"/>
      <c r="E352" s="12"/>
      <c r="F352" s="11"/>
      <c r="G352" s="11"/>
      <c r="H352" s="12"/>
      <c r="I352" s="11"/>
      <c r="J352" s="11"/>
    </row>
    <row x14ac:dyDescent="0.25" r="353" customHeight="1" ht="17.25">
      <c r="A353" s="14" t="s">
        <v>3</v>
      </c>
      <c r="B353" s="14" t="s">
        <v>4</v>
      </c>
      <c r="C353" s="14" t="s">
        <v>5</v>
      </c>
      <c r="D353" s="14" t="s">
        <v>6</v>
      </c>
      <c r="E353" s="15" t="s">
        <v>7</v>
      </c>
      <c r="F353" s="14" t="s">
        <v>8</v>
      </c>
      <c r="G353" s="14" t="s">
        <v>9</v>
      </c>
      <c r="H353" s="15" t="s">
        <v>10</v>
      </c>
      <c r="I353" s="14" t="s">
        <v>11</v>
      </c>
      <c r="J353" s="14" t="s">
        <v>12</v>
      </c>
    </row>
    <row x14ac:dyDescent="0.25" r="354" customHeight="1" ht="17.25">
      <c r="A354" s="17" t="s">
        <v>13040</v>
      </c>
      <c r="B354" s="17" t="s">
        <v>566</v>
      </c>
      <c r="C354" s="17" t="s">
        <v>56</v>
      </c>
      <c r="D354" s="17" t="s">
        <v>16</v>
      </c>
      <c r="E354" s="18">
        <f>ROUND(8057*1.05,2)</f>
      </c>
      <c r="F354" s="17" t="s">
        <v>17</v>
      </c>
      <c r="G354" s="17" t="s">
        <v>18</v>
      </c>
      <c r="H354" s="26">
        <f>ROUND(RAND()*4+6,1)</f>
      </c>
      <c r="I354" s="17" t="s">
        <v>19</v>
      </c>
      <c r="J354" s="19">
        <f>ROUND(75*1,0)&amp;"%"</f>
      </c>
    </row>
    <row x14ac:dyDescent="0.25" r="355" customHeight="1" ht="17.25">
      <c r="A355" s="20" t="s">
        <v>13041</v>
      </c>
      <c r="B355" s="20" t="s">
        <v>568</v>
      </c>
      <c r="C355" s="20" t="s">
        <v>56</v>
      </c>
      <c r="D355" s="20" t="s">
        <v>22</v>
      </c>
      <c r="E355" s="21">
        <f>ROUND(14841*1.05,2)</f>
      </c>
      <c r="F355" s="20" t="s">
        <v>23</v>
      </c>
      <c r="G355" s="20" t="s">
        <v>24</v>
      </c>
      <c r="H355" s="21">
        <f>ROUND(RAND()*4+6,1)</f>
      </c>
      <c r="I355" s="20" t="s">
        <v>25</v>
      </c>
      <c r="J355" s="23">
        <f>ROUND(86*1,0)&amp;"%"</f>
      </c>
    </row>
    <row x14ac:dyDescent="0.25" r="356" customHeight="1" ht="17.25">
      <c r="A356" s="17" t="s">
        <v>13042</v>
      </c>
      <c r="B356" s="17" t="s">
        <v>570</v>
      </c>
      <c r="C356" s="17" t="s">
        <v>56</v>
      </c>
      <c r="D356" s="17" t="s">
        <v>28</v>
      </c>
      <c r="E356" s="18">
        <f>ROUND(9807*1.05,2)</f>
      </c>
      <c r="F356" s="17" t="s">
        <v>29</v>
      </c>
      <c r="G356" s="17" t="s">
        <v>30</v>
      </c>
      <c r="H356" s="18">
        <f>ROUND(RAND()*4+6,1)</f>
      </c>
      <c r="I356" s="17" t="s">
        <v>31</v>
      </c>
      <c r="J356" s="19">
        <f>ROUND(90*1,0)&amp;"%"</f>
      </c>
    </row>
    <row x14ac:dyDescent="0.25" r="357" customHeight="1" ht="17.25">
      <c r="A357" s="20" t="s">
        <v>13043</v>
      </c>
      <c r="B357" s="20" t="s">
        <v>572</v>
      </c>
      <c r="C357" s="20" t="s">
        <v>56</v>
      </c>
      <c r="D357" s="20" t="s">
        <v>34</v>
      </c>
      <c r="E357" s="22">
        <f>ROUND(17900*1.05,2)</f>
      </c>
      <c r="F357" s="20" t="s">
        <v>35</v>
      </c>
      <c r="G357" s="20" t="s">
        <v>18</v>
      </c>
      <c r="H357" s="21">
        <f>ROUND(RAND()*4+6,1)</f>
      </c>
      <c r="I357" s="20" t="s">
        <v>36</v>
      </c>
      <c r="J357" s="23">
        <f>ROUND(96*1,0)&amp;"%"</f>
      </c>
    </row>
    <row x14ac:dyDescent="0.25" r="358" customHeight="1" ht="17.25">
      <c r="A358" s="17" t="s">
        <v>13044</v>
      </c>
      <c r="B358" s="17" t="s">
        <v>574</v>
      </c>
      <c r="C358" s="17" t="s">
        <v>56</v>
      </c>
      <c r="D358" s="17" t="s">
        <v>39</v>
      </c>
      <c r="E358" s="18">
        <f>ROUND(10099*1.05,2)</f>
      </c>
      <c r="F358" s="17" t="s">
        <v>40</v>
      </c>
      <c r="G358" s="17" t="s">
        <v>24</v>
      </c>
      <c r="H358" s="18">
        <f>ROUND(RAND()*4+6,1)</f>
      </c>
      <c r="I358" s="17" t="s">
        <v>41</v>
      </c>
      <c r="J358" s="19">
        <f>ROUND(96*1,0)&amp;"%"</f>
      </c>
    </row>
    <row x14ac:dyDescent="0.25" r="359" customHeight="1" ht="17.25">
      <c r="A359" s="20" t="s">
        <v>13045</v>
      </c>
      <c r="B359" s="20" t="s">
        <v>576</v>
      </c>
      <c r="C359" s="20" t="s">
        <v>56</v>
      </c>
      <c r="D359" s="20" t="s">
        <v>67</v>
      </c>
      <c r="E359" s="21">
        <f>ROUND(14268*1.05,2)</f>
      </c>
      <c r="F359" s="20" t="s">
        <v>44</v>
      </c>
      <c r="G359" s="20" t="s">
        <v>30</v>
      </c>
      <c r="H359" s="21">
        <f>ROUND(RAND()*4+6,1)</f>
      </c>
      <c r="I359" s="20" t="s">
        <v>45</v>
      </c>
      <c r="J359" s="23">
        <f>ROUND(60*1,0)&amp;"%"</f>
      </c>
    </row>
    <row x14ac:dyDescent="0.25" r="360" customHeight="1" ht="17.25">
      <c r="A360" s="17" t="s">
        <v>13046</v>
      </c>
      <c r="B360" s="17" t="s">
        <v>578</v>
      </c>
      <c r="C360" s="17" t="s">
        <v>56</v>
      </c>
      <c r="D360" s="17" t="s">
        <v>16</v>
      </c>
      <c r="E360" s="18">
        <f>ROUND(9029*1.05,2)</f>
      </c>
      <c r="F360" s="17" t="s">
        <v>48</v>
      </c>
      <c r="G360" s="17" t="s">
        <v>18</v>
      </c>
      <c r="H360" s="18">
        <f>ROUND(RAND()*4+6,1)</f>
      </c>
      <c r="I360" s="17" t="s">
        <v>19</v>
      </c>
      <c r="J360" s="19">
        <f>ROUND(99*1,0)&amp;"%"</f>
      </c>
    </row>
    <row x14ac:dyDescent="0.25" r="361" customHeight="1" ht="17.25">
      <c r="A361" s="20" t="s">
        <v>13047</v>
      </c>
      <c r="B361" s="20" t="s">
        <v>580</v>
      </c>
      <c r="C361" s="20" t="s">
        <v>56</v>
      </c>
      <c r="D361" s="20" t="s">
        <v>22</v>
      </c>
      <c r="E361" s="21">
        <f>ROUND(11014*1.05,2)</f>
      </c>
      <c r="F361" s="20" t="s">
        <v>51</v>
      </c>
      <c r="G361" s="20" t="s">
        <v>24</v>
      </c>
      <c r="H361" s="22">
        <f>ROUND(RAND()*4+6,1)</f>
      </c>
      <c r="I361" s="20" t="s">
        <v>25</v>
      </c>
      <c r="J361" s="23">
        <f>ROUND(83*1,0)&amp;"%"</f>
      </c>
    </row>
    <row x14ac:dyDescent="0.25" r="362" customHeight="1" ht="17.25">
      <c r="A362" s="24" t="s">
        <v>581</v>
      </c>
      <c r="B362" s="24"/>
      <c r="C362" s="24"/>
      <c r="D362" s="24"/>
      <c r="E362" s="25">
        <v>8</v>
      </c>
      <c r="F362" s="9"/>
      <c r="G362" s="9"/>
      <c r="H362" s="31"/>
      <c r="I362" s="9"/>
      <c r="J362" s="9"/>
    </row>
  </sheetData>
  <mergeCells count="62">
    <mergeCell ref="A1:J1"/>
    <mergeCell ref="A2:J2"/>
    <mergeCell ref="A4:J4"/>
    <mergeCell ref="A14:D14"/>
    <mergeCell ref="A16:J16"/>
    <mergeCell ref="A26:D26"/>
    <mergeCell ref="A28:J28"/>
    <mergeCell ref="A38:D38"/>
    <mergeCell ref="A40:J40"/>
    <mergeCell ref="A50:D50"/>
    <mergeCell ref="A52:J52"/>
    <mergeCell ref="A62:D62"/>
    <mergeCell ref="A64:J64"/>
    <mergeCell ref="A74:D74"/>
    <mergeCell ref="A76:J76"/>
    <mergeCell ref="A86:D86"/>
    <mergeCell ref="A88:J88"/>
    <mergeCell ref="A98:D98"/>
    <mergeCell ref="A100:J100"/>
    <mergeCell ref="A110:D110"/>
    <mergeCell ref="A112:J112"/>
    <mergeCell ref="A122:D122"/>
    <mergeCell ref="A124:J124"/>
    <mergeCell ref="A134:D134"/>
    <mergeCell ref="A136:J136"/>
    <mergeCell ref="A146:D146"/>
    <mergeCell ref="A148:J148"/>
    <mergeCell ref="A158:D158"/>
    <mergeCell ref="A160:J160"/>
    <mergeCell ref="A170:D170"/>
    <mergeCell ref="A172:J172"/>
    <mergeCell ref="A182:D182"/>
    <mergeCell ref="A184:J184"/>
    <mergeCell ref="A194:D194"/>
    <mergeCell ref="A196:J196"/>
    <mergeCell ref="A206:D206"/>
    <mergeCell ref="A208:J208"/>
    <mergeCell ref="A218:D218"/>
    <mergeCell ref="A220:J220"/>
    <mergeCell ref="A230:D230"/>
    <mergeCell ref="A232:J232"/>
    <mergeCell ref="A242:D242"/>
    <mergeCell ref="A244:J244"/>
    <mergeCell ref="A254:D254"/>
    <mergeCell ref="A256:J256"/>
    <mergeCell ref="A266:D266"/>
    <mergeCell ref="A268:J268"/>
    <mergeCell ref="A278:D278"/>
    <mergeCell ref="A280:J280"/>
    <mergeCell ref="A290:D290"/>
    <mergeCell ref="A292:J292"/>
    <mergeCell ref="A302:D302"/>
    <mergeCell ref="A304:J304"/>
    <mergeCell ref="A314:D314"/>
    <mergeCell ref="A316:J316"/>
    <mergeCell ref="A326:D326"/>
    <mergeCell ref="A328:J328"/>
    <mergeCell ref="A338:D338"/>
    <mergeCell ref="A340:J340"/>
    <mergeCell ref="A350:D350"/>
    <mergeCell ref="A352:J352"/>
    <mergeCell ref="A362:D36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J362"/>
  <sheetViews>
    <sheetView workbookViewId="0"/>
  </sheetViews>
  <sheetFormatPr defaultRowHeight="15" x14ac:dyDescent="0.25"/>
  <cols>
    <col min="1" max="1" style="27" width="8.005" customWidth="1" bestFit="1"/>
    <col min="2" max="2" style="27" width="22.005" customWidth="1" bestFit="1"/>
    <col min="3" max="3" style="27" width="16.005" customWidth="1" bestFit="1"/>
    <col min="4" max="4" style="27" width="14.005" customWidth="1" bestFit="1"/>
    <col min="5" max="5" style="28" width="12.005" customWidth="1" bestFit="1"/>
    <col min="6" max="6" style="29" width="16.005" customWidth="1" bestFit="1"/>
    <col min="7" max="7" style="29" width="10.005" customWidth="1" bestFit="1"/>
    <col min="8" max="8" style="30" width="10.005" customWidth="1" bestFit="1"/>
    <col min="9" max="9" style="29" width="14.005" customWidth="1" bestFit="1"/>
    <col min="10" max="10" style="29" width="8.005" customWidth="1" bestFit="1"/>
  </cols>
  <sheetData>
    <row x14ac:dyDescent="0.25" r="1" customHeight="1" ht="17.25">
      <c r="A1" s="1" t="s">
        <v>12506</v>
      </c>
      <c r="B1" s="1"/>
      <c r="C1" s="1"/>
      <c r="D1" s="1"/>
      <c r="E1" s="2"/>
      <c r="F1" s="1"/>
      <c r="G1" s="1"/>
      <c r="H1" s="3"/>
      <c r="I1" s="1"/>
      <c r="J1" s="1"/>
    </row>
    <row x14ac:dyDescent="0.25" r="2" customHeight="1" ht="17.25">
      <c r="A2" s="4" t="s">
        <v>1</v>
      </c>
      <c r="B2" s="4"/>
      <c r="C2" s="4"/>
      <c r="D2" s="4"/>
      <c r="E2" s="5"/>
      <c r="F2" s="4"/>
      <c r="G2" s="4"/>
      <c r="H2" s="6"/>
      <c r="I2" s="4"/>
      <c r="J2" s="4"/>
    </row>
    <row x14ac:dyDescent="0.25" r="3" customHeight="1" ht="17.25">
      <c r="A3" s="7"/>
      <c r="B3" s="7"/>
      <c r="C3" s="7"/>
      <c r="D3" s="7"/>
      <c r="E3" s="8"/>
      <c r="F3" s="9"/>
      <c r="G3" s="9"/>
      <c r="H3" s="10"/>
      <c r="I3" s="9"/>
      <c r="J3" s="9"/>
    </row>
    <row x14ac:dyDescent="0.25" r="4" customHeight="1" ht="17.25">
      <c r="A4" s="11" t="s">
        <v>12507</v>
      </c>
      <c r="B4" s="11"/>
      <c r="C4" s="11"/>
      <c r="D4" s="11"/>
      <c r="E4" s="12"/>
      <c r="F4" s="11"/>
      <c r="G4" s="11"/>
      <c r="H4" s="13"/>
      <c r="I4" s="11"/>
      <c r="J4" s="11"/>
    </row>
    <row x14ac:dyDescent="0.25" r="5" customHeight="1" ht="17.25">
      <c r="A5" s="14" t="s">
        <v>3</v>
      </c>
      <c r="B5" s="14" t="s">
        <v>4</v>
      </c>
      <c r="C5" s="14" t="s">
        <v>5</v>
      </c>
      <c r="D5" s="14" t="s">
        <v>6</v>
      </c>
      <c r="E5" s="15" t="s">
        <v>7</v>
      </c>
      <c r="F5" s="14" t="s">
        <v>8</v>
      </c>
      <c r="G5" s="14" t="s">
        <v>9</v>
      </c>
      <c r="H5" s="16" t="s">
        <v>10</v>
      </c>
      <c r="I5" s="14" t="s">
        <v>11</v>
      </c>
      <c r="J5" s="14" t="s">
        <v>12</v>
      </c>
    </row>
    <row x14ac:dyDescent="0.25" r="6" customHeight="1" ht="17.25">
      <c r="A6" s="17" t="s">
        <v>12508</v>
      </c>
      <c r="B6" s="17" t="s">
        <v>14</v>
      </c>
      <c r="C6" s="17" t="s">
        <v>15</v>
      </c>
      <c r="D6" s="17" t="s">
        <v>16</v>
      </c>
      <c r="E6" s="18">
        <f>ROUND(11103*1.05,2)</f>
      </c>
      <c r="F6" s="17" t="s">
        <v>17</v>
      </c>
      <c r="G6" s="17" t="s">
        <v>18</v>
      </c>
      <c r="H6" s="18">
        <f>ROUND(RAND()*4+6,1)</f>
      </c>
      <c r="I6" s="17" t="s">
        <v>19</v>
      </c>
      <c r="J6" s="19">
        <f>ROUND(81*1,0)&amp;"%"</f>
      </c>
    </row>
    <row x14ac:dyDescent="0.25" r="7" customHeight="1" ht="17.25">
      <c r="A7" s="20" t="s">
        <v>12509</v>
      </c>
      <c r="B7" s="20" t="s">
        <v>21</v>
      </c>
      <c r="C7" s="20" t="s">
        <v>15</v>
      </c>
      <c r="D7" s="20" t="s">
        <v>22</v>
      </c>
      <c r="E7" s="21">
        <f>ROUND(14939*1.05,2)</f>
      </c>
      <c r="F7" s="20" t="s">
        <v>23</v>
      </c>
      <c r="G7" s="20" t="s">
        <v>24</v>
      </c>
      <c r="H7" s="21">
        <f>ROUND(RAND()*4+6,1)</f>
      </c>
      <c r="I7" s="20" t="s">
        <v>25</v>
      </c>
      <c r="J7" s="23">
        <f>ROUND(92*1,0)&amp;"%"</f>
      </c>
    </row>
    <row x14ac:dyDescent="0.25" r="8" customHeight="1" ht="17.25">
      <c r="A8" s="17" t="s">
        <v>12510</v>
      </c>
      <c r="B8" s="17" t="s">
        <v>27</v>
      </c>
      <c r="C8" s="17" t="s">
        <v>15</v>
      </c>
      <c r="D8" s="17" t="s">
        <v>28</v>
      </c>
      <c r="E8" s="18">
        <f>ROUND(9630*1.05,2)</f>
      </c>
      <c r="F8" s="17" t="s">
        <v>29</v>
      </c>
      <c r="G8" s="17" t="s">
        <v>30</v>
      </c>
      <c r="H8" s="18">
        <f>ROUND(RAND()*4+6,1)</f>
      </c>
      <c r="I8" s="17" t="s">
        <v>31</v>
      </c>
      <c r="J8" s="19">
        <f>ROUND(81*1,0)&amp;"%"</f>
      </c>
    </row>
    <row x14ac:dyDescent="0.25" r="9" customHeight="1" ht="17.25">
      <c r="A9" s="20" t="s">
        <v>12511</v>
      </c>
      <c r="B9" s="20" t="s">
        <v>33</v>
      </c>
      <c r="C9" s="20" t="s">
        <v>15</v>
      </c>
      <c r="D9" s="20" t="s">
        <v>34</v>
      </c>
      <c r="E9" s="21">
        <f>ROUND(13034*1.05,2)</f>
      </c>
      <c r="F9" s="20" t="s">
        <v>35</v>
      </c>
      <c r="G9" s="20" t="s">
        <v>18</v>
      </c>
      <c r="H9" s="21">
        <f>ROUND(RAND()*4+6,1)</f>
      </c>
      <c r="I9" s="20" t="s">
        <v>36</v>
      </c>
      <c r="J9" s="23">
        <f>ROUND(61*1,0)&amp;"%"</f>
      </c>
    </row>
    <row x14ac:dyDescent="0.25" r="10" customHeight="1" ht="17.25">
      <c r="A10" s="17" t="s">
        <v>12512</v>
      </c>
      <c r="B10" s="17" t="s">
        <v>38</v>
      </c>
      <c r="C10" s="17" t="s">
        <v>15</v>
      </c>
      <c r="D10" s="17" t="s">
        <v>39</v>
      </c>
      <c r="E10" s="18">
        <f>ROUND(14343*1.05,2)</f>
      </c>
      <c r="F10" s="17" t="s">
        <v>40</v>
      </c>
      <c r="G10" s="17" t="s">
        <v>24</v>
      </c>
      <c r="H10" s="18">
        <f>ROUND(RAND()*4+6,1)</f>
      </c>
      <c r="I10" s="17" t="s">
        <v>41</v>
      </c>
      <c r="J10" s="19">
        <f>ROUND(77*1,0)&amp;"%"</f>
      </c>
    </row>
    <row x14ac:dyDescent="0.25" r="11" customHeight="1" ht="17.25">
      <c r="A11" s="20" t="s">
        <v>12513</v>
      </c>
      <c r="B11" s="20" t="s">
        <v>43</v>
      </c>
      <c r="C11" s="20" t="s">
        <v>15</v>
      </c>
      <c r="D11" s="20" t="s">
        <v>67</v>
      </c>
      <c r="E11" s="21">
        <f>ROUND(8546*1.05,2)</f>
      </c>
      <c r="F11" s="20" t="s">
        <v>44</v>
      </c>
      <c r="G11" s="20" t="s">
        <v>30</v>
      </c>
      <c r="H11" s="21">
        <f>ROUND(RAND()*4+6,1)</f>
      </c>
      <c r="I11" s="20" t="s">
        <v>45</v>
      </c>
      <c r="J11" s="23">
        <f>ROUND(80*1,0)&amp;"%"</f>
      </c>
    </row>
    <row x14ac:dyDescent="0.25" r="12" customHeight="1" ht="17.25">
      <c r="A12" s="17" t="s">
        <v>12514</v>
      </c>
      <c r="B12" s="17" t="s">
        <v>47</v>
      </c>
      <c r="C12" s="17" t="s">
        <v>15</v>
      </c>
      <c r="D12" s="17" t="s">
        <v>16</v>
      </c>
      <c r="E12" s="18">
        <f>ROUND(11617*1.05,2)</f>
      </c>
      <c r="F12" s="17" t="s">
        <v>48</v>
      </c>
      <c r="G12" s="17" t="s">
        <v>18</v>
      </c>
      <c r="H12" s="18">
        <f>ROUND(RAND()*4+6,1)</f>
      </c>
      <c r="I12" s="17" t="s">
        <v>19</v>
      </c>
      <c r="J12" s="19">
        <f>ROUND(61*1,0)&amp;"%"</f>
      </c>
    </row>
    <row x14ac:dyDescent="0.25" r="13" customHeight="1" ht="17.25">
      <c r="A13" s="20" t="s">
        <v>12515</v>
      </c>
      <c r="B13" s="20" t="s">
        <v>50</v>
      </c>
      <c r="C13" s="20" t="s">
        <v>15</v>
      </c>
      <c r="D13" s="20" t="s">
        <v>22</v>
      </c>
      <c r="E13" s="21">
        <f>ROUND(11279*1.05,2)</f>
      </c>
      <c r="F13" s="20" t="s">
        <v>51</v>
      </c>
      <c r="G13" s="20" t="s">
        <v>24</v>
      </c>
      <c r="H13" s="21">
        <f>ROUND(RAND()*4+6,1)</f>
      </c>
      <c r="I13" s="20" t="s">
        <v>25</v>
      </c>
      <c r="J13" s="23">
        <f>ROUND(92*1,0)&amp;"%"</f>
      </c>
    </row>
    <row x14ac:dyDescent="0.25" r="14" customHeight="1" ht="17.25">
      <c r="A14" s="24" t="s">
        <v>52</v>
      </c>
      <c r="B14" s="24"/>
      <c r="C14" s="24"/>
      <c r="D14" s="24"/>
      <c r="E14" s="25">
        <v>8</v>
      </c>
      <c r="F14" s="9"/>
      <c r="G14" s="9"/>
      <c r="H14" s="10"/>
      <c r="I14" s="9"/>
      <c r="J14" s="9"/>
    </row>
    <row x14ac:dyDescent="0.25" r="15" customHeight="1" ht="17.25">
      <c r="A15" s="7"/>
      <c r="B15" s="7"/>
      <c r="C15" s="7"/>
      <c r="D15" s="7"/>
      <c r="E15" s="8"/>
      <c r="F15" s="9"/>
      <c r="G15" s="9"/>
      <c r="H15" s="10"/>
      <c r="I15" s="9"/>
      <c r="J15" s="9"/>
    </row>
    <row x14ac:dyDescent="0.25" r="16" customHeight="1" ht="17.25">
      <c r="A16" s="11" t="s">
        <v>12516</v>
      </c>
      <c r="B16" s="11"/>
      <c r="C16" s="11"/>
      <c r="D16" s="11"/>
      <c r="E16" s="12"/>
      <c r="F16" s="11"/>
      <c r="G16" s="11"/>
      <c r="H16" s="13"/>
      <c r="I16" s="11"/>
      <c r="J16" s="11"/>
    </row>
    <row x14ac:dyDescent="0.25" r="17" customHeight="1" ht="17.25">
      <c r="A17" s="14" t="s">
        <v>3</v>
      </c>
      <c r="B17" s="14" t="s">
        <v>4</v>
      </c>
      <c r="C17" s="14" t="s">
        <v>5</v>
      </c>
      <c r="D17" s="14" t="s">
        <v>6</v>
      </c>
      <c r="E17" s="15" t="s">
        <v>7</v>
      </c>
      <c r="F17" s="14" t="s">
        <v>8</v>
      </c>
      <c r="G17" s="14" t="s">
        <v>9</v>
      </c>
      <c r="H17" s="16" t="s">
        <v>10</v>
      </c>
      <c r="I17" s="14" t="s">
        <v>11</v>
      </c>
      <c r="J17" s="14" t="s">
        <v>12</v>
      </c>
    </row>
    <row x14ac:dyDescent="0.25" r="18" customHeight="1" ht="17.25">
      <c r="A18" s="17" t="s">
        <v>12517</v>
      </c>
      <c r="B18" s="17" t="s">
        <v>55</v>
      </c>
      <c r="C18" s="17" t="s">
        <v>56</v>
      </c>
      <c r="D18" s="17" t="s">
        <v>16</v>
      </c>
      <c r="E18" s="18">
        <f>ROUND(14644*1.05,2)</f>
      </c>
      <c r="F18" s="17" t="s">
        <v>17</v>
      </c>
      <c r="G18" s="17" t="s">
        <v>18</v>
      </c>
      <c r="H18" s="18">
        <f>ROUND(RAND()*4+6,1)</f>
      </c>
      <c r="I18" s="17" t="s">
        <v>19</v>
      </c>
      <c r="J18" s="19">
        <f>ROUND(60*1,0)&amp;"%"</f>
      </c>
    </row>
    <row x14ac:dyDescent="0.25" r="19" customHeight="1" ht="17.25">
      <c r="A19" s="20" t="s">
        <v>12518</v>
      </c>
      <c r="B19" s="20" t="s">
        <v>58</v>
      </c>
      <c r="C19" s="20" t="s">
        <v>56</v>
      </c>
      <c r="D19" s="20" t="s">
        <v>22</v>
      </c>
      <c r="E19" s="21">
        <f>ROUND(11077*1.05,2)</f>
      </c>
      <c r="F19" s="20" t="s">
        <v>23</v>
      </c>
      <c r="G19" s="20" t="s">
        <v>24</v>
      </c>
      <c r="H19" s="21">
        <f>ROUND(RAND()*4+6,1)</f>
      </c>
      <c r="I19" s="20" t="s">
        <v>25</v>
      </c>
      <c r="J19" s="23">
        <f>ROUND(76*1,0)&amp;"%"</f>
      </c>
    </row>
    <row x14ac:dyDescent="0.25" r="20" customHeight="1" ht="17.25">
      <c r="A20" s="17" t="s">
        <v>12519</v>
      </c>
      <c r="B20" s="17" t="s">
        <v>60</v>
      </c>
      <c r="C20" s="17" t="s">
        <v>56</v>
      </c>
      <c r="D20" s="17" t="s">
        <v>28</v>
      </c>
      <c r="E20" s="18">
        <f>ROUND(17523*1.05,2)</f>
      </c>
      <c r="F20" s="17" t="s">
        <v>29</v>
      </c>
      <c r="G20" s="17" t="s">
        <v>30</v>
      </c>
      <c r="H20" s="18">
        <f>ROUND(RAND()*4+6,1)</f>
      </c>
      <c r="I20" s="17" t="s">
        <v>31</v>
      </c>
      <c r="J20" s="19">
        <f>ROUND(77*1,0)&amp;"%"</f>
      </c>
    </row>
    <row x14ac:dyDescent="0.25" r="21" customHeight="1" ht="17.25">
      <c r="A21" s="20" t="s">
        <v>12520</v>
      </c>
      <c r="B21" s="20" t="s">
        <v>62</v>
      </c>
      <c r="C21" s="20" t="s">
        <v>56</v>
      </c>
      <c r="D21" s="20" t="s">
        <v>34</v>
      </c>
      <c r="E21" s="21">
        <f>ROUND(10894*1.05,2)</f>
      </c>
      <c r="F21" s="20" t="s">
        <v>35</v>
      </c>
      <c r="G21" s="20" t="s">
        <v>18</v>
      </c>
      <c r="H21" s="21">
        <f>ROUND(RAND()*4+6,1)</f>
      </c>
      <c r="I21" s="20" t="s">
        <v>36</v>
      </c>
      <c r="J21" s="23">
        <f>ROUND(78*1,0)&amp;"%"</f>
      </c>
    </row>
    <row x14ac:dyDescent="0.25" r="22" customHeight="1" ht="17.25">
      <c r="A22" s="17" t="s">
        <v>12521</v>
      </c>
      <c r="B22" s="17" t="s">
        <v>64</v>
      </c>
      <c r="C22" s="17" t="s">
        <v>56</v>
      </c>
      <c r="D22" s="17" t="s">
        <v>39</v>
      </c>
      <c r="E22" s="18">
        <f>ROUND(8904*1.05,2)</f>
      </c>
      <c r="F22" s="17" t="s">
        <v>40</v>
      </c>
      <c r="G22" s="17" t="s">
        <v>24</v>
      </c>
      <c r="H22" s="26">
        <f>ROUND(RAND()*4+6,1)</f>
      </c>
      <c r="I22" s="17" t="s">
        <v>41</v>
      </c>
      <c r="J22" s="19">
        <f>ROUND(96*1,0)&amp;"%"</f>
      </c>
    </row>
    <row x14ac:dyDescent="0.25" r="23" customHeight="1" ht="17.25">
      <c r="A23" s="20" t="s">
        <v>12522</v>
      </c>
      <c r="B23" s="20" t="s">
        <v>66</v>
      </c>
      <c r="C23" s="20" t="s">
        <v>56</v>
      </c>
      <c r="D23" s="20" t="s">
        <v>67</v>
      </c>
      <c r="E23" s="21">
        <f>ROUND(13972*1.05,2)</f>
      </c>
      <c r="F23" s="20" t="s">
        <v>44</v>
      </c>
      <c r="G23" s="20" t="s">
        <v>30</v>
      </c>
      <c r="H23" s="21">
        <f>ROUND(RAND()*4+6,1)</f>
      </c>
      <c r="I23" s="20" t="s">
        <v>45</v>
      </c>
      <c r="J23" s="23">
        <f>ROUND(99*1,0)&amp;"%"</f>
      </c>
    </row>
    <row x14ac:dyDescent="0.25" r="24" customHeight="1" ht="17.25">
      <c r="A24" s="17" t="s">
        <v>12523</v>
      </c>
      <c r="B24" s="17" t="s">
        <v>69</v>
      </c>
      <c r="C24" s="17" t="s">
        <v>56</v>
      </c>
      <c r="D24" s="17" t="s">
        <v>16</v>
      </c>
      <c r="E24" s="18">
        <f>ROUND(17970*1.05,2)</f>
      </c>
      <c r="F24" s="17" t="s">
        <v>48</v>
      </c>
      <c r="G24" s="17" t="s">
        <v>18</v>
      </c>
      <c r="H24" s="26">
        <f>ROUND(RAND()*4+6,1)</f>
      </c>
      <c r="I24" s="17" t="s">
        <v>19</v>
      </c>
      <c r="J24" s="19">
        <f>ROUND(91*1,0)&amp;"%"</f>
      </c>
    </row>
    <row x14ac:dyDescent="0.25" r="25" customHeight="1" ht="17.25">
      <c r="A25" s="20" t="s">
        <v>12524</v>
      </c>
      <c r="B25" s="20" t="s">
        <v>71</v>
      </c>
      <c r="C25" s="20" t="s">
        <v>56</v>
      </c>
      <c r="D25" s="20" t="s">
        <v>22</v>
      </c>
      <c r="E25" s="21">
        <f>ROUND(16056*1.05,2)</f>
      </c>
      <c r="F25" s="20" t="s">
        <v>51</v>
      </c>
      <c r="G25" s="20" t="s">
        <v>24</v>
      </c>
      <c r="H25" s="21">
        <f>ROUND(RAND()*4+6,1)</f>
      </c>
      <c r="I25" s="20" t="s">
        <v>25</v>
      </c>
      <c r="J25" s="23">
        <f>ROUND(61*1,0)&amp;"%"</f>
      </c>
    </row>
    <row x14ac:dyDescent="0.25" r="26" customHeight="1" ht="17.25">
      <c r="A26" s="24" t="s">
        <v>72</v>
      </c>
      <c r="B26" s="24"/>
      <c r="C26" s="24"/>
      <c r="D26" s="24"/>
      <c r="E26" s="25">
        <v>8</v>
      </c>
      <c r="F26" s="9"/>
      <c r="G26" s="9"/>
      <c r="H26" s="10"/>
      <c r="I26" s="9"/>
      <c r="J26" s="9"/>
    </row>
    <row x14ac:dyDescent="0.25" r="27" customHeight="1" ht="17.25">
      <c r="A27" s="7"/>
      <c r="B27" s="7"/>
      <c r="C27" s="7"/>
      <c r="D27" s="7"/>
      <c r="E27" s="8"/>
      <c r="F27" s="9"/>
      <c r="G27" s="9"/>
      <c r="H27" s="10"/>
      <c r="I27" s="9"/>
      <c r="J27" s="9"/>
    </row>
    <row x14ac:dyDescent="0.25" r="28" customHeight="1" ht="17.25">
      <c r="A28" s="11" t="s">
        <v>12525</v>
      </c>
      <c r="B28" s="11"/>
      <c r="C28" s="11"/>
      <c r="D28" s="11"/>
      <c r="E28" s="12"/>
      <c r="F28" s="11"/>
      <c r="G28" s="11"/>
      <c r="H28" s="13"/>
      <c r="I28" s="11"/>
      <c r="J28" s="11"/>
    </row>
    <row x14ac:dyDescent="0.25" r="29" customHeight="1" ht="17.25">
      <c r="A29" s="14" t="s">
        <v>3</v>
      </c>
      <c r="B29" s="14" t="s">
        <v>4</v>
      </c>
      <c r="C29" s="14" t="s">
        <v>5</v>
      </c>
      <c r="D29" s="14" t="s">
        <v>6</v>
      </c>
      <c r="E29" s="15" t="s">
        <v>7</v>
      </c>
      <c r="F29" s="14" t="s">
        <v>8</v>
      </c>
      <c r="G29" s="14" t="s">
        <v>9</v>
      </c>
      <c r="H29" s="16" t="s">
        <v>10</v>
      </c>
      <c r="I29" s="14" t="s">
        <v>11</v>
      </c>
      <c r="J29" s="14" t="s">
        <v>12</v>
      </c>
    </row>
    <row x14ac:dyDescent="0.25" r="30" customHeight="1" ht="17.25">
      <c r="A30" s="17" t="s">
        <v>12526</v>
      </c>
      <c r="B30" s="17" t="s">
        <v>75</v>
      </c>
      <c r="C30" s="17" t="s">
        <v>76</v>
      </c>
      <c r="D30" s="17" t="s">
        <v>16</v>
      </c>
      <c r="E30" s="18">
        <f>ROUND(8006*1.05,2)</f>
      </c>
      <c r="F30" s="17" t="s">
        <v>17</v>
      </c>
      <c r="G30" s="17" t="s">
        <v>18</v>
      </c>
      <c r="H30" s="18">
        <f>ROUND(RAND()*4+6,1)</f>
      </c>
      <c r="I30" s="17" t="s">
        <v>19</v>
      </c>
      <c r="J30" s="19">
        <f>ROUND(77*1,0)&amp;"%"</f>
      </c>
    </row>
    <row x14ac:dyDescent="0.25" r="31" customHeight="1" ht="17.25">
      <c r="A31" s="20" t="s">
        <v>12527</v>
      </c>
      <c r="B31" s="20" t="s">
        <v>78</v>
      </c>
      <c r="C31" s="20" t="s">
        <v>76</v>
      </c>
      <c r="D31" s="20" t="s">
        <v>22</v>
      </c>
      <c r="E31" s="21">
        <f>ROUND(6521*1.05,2)</f>
      </c>
      <c r="F31" s="20" t="s">
        <v>23</v>
      </c>
      <c r="G31" s="20" t="s">
        <v>24</v>
      </c>
      <c r="H31" s="21">
        <f>ROUND(RAND()*4+6,1)</f>
      </c>
      <c r="I31" s="20" t="s">
        <v>25</v>
      </c>
      <c r="J31" s="23">
        <f>ROUND(87*1,0)&amp;"%"</f>
      </c>
    </row>
    <row x14ac:dyDescent="0.25" r="32" customHeight="1" ht="17.25">
      <c r="A32" s="17" t="s">
        <v>12528</v>
      </c>
      <c r="B32" s="17" t="s">
        <v>80</v>
      </c>
      <c r="C32" s="17" t="s">
        <v>76</v>
      </c>
      <c r="D32" s="17" t="s">
        <v>28</v>
      </c>
      <c r="E32" s="18">
        <f>ROUND(14248*1.05,2)</f>
      </c>
      <c r="F32" s="17" t="s">
        <v>29</v>
      </c>
      <c r="G32" s="17" t="s">
        <v>30</v>
      </c>
      <c r="H32" s="26">
        <f>ROUND(RAND()*4+6,1)</f>
      </c>
      <c r="I32" s="17" t="s">
        <v>31</v>
      </c>
      <c r="J32" s="19">
        <f>ROUND(75*1,0)&amp;"%"</f>
      </c>
    </row>
    <row x14ac:dyDescent="0.25" r="33" customHeight="1" ht="17.25">
      <c r="A33" s="20" t="s">
        <v>12529</v>
      </c>
      <c r="B33" s="20" t="s">
        <v>82</v>
      </c>
      <c r="C33" s="20" t="s">
        <v>76</v>
      </c>
      <c r="D33" s="20" t="s">
        <v>34</v>
      </c>
      <c r="E33" s="21">
        <f>ROUND(5689*1.05,2)</f>
      </c>
      <c r="F33" s="20" t="s">
        <v>35</v>
      </c>
      <c r="G33" s="20" t="s">
        <v>18</v>
      </c>
      <c r="H33" s="21">
        <f>ROUND(RAND()*4+6,1)</f>
      </c>
      <c r="I33" s="20" t="s">
        <v>36</v>
      </c>
      <c r="J33" s="23">
        <f>ROUND(85*1,0)&amp;"%"</f>
      </c>
    </row>
    <row x14ac:dyDescent="0.25" r="34" customHeight="1" ht="17.25">
      <c r="A34" s="17" t="s">
        <v>12530</v>
      </c>
      <c r="B34" s="17" t="s">
        <v>84</v>
      </c>
      <c r="C34" s="17" t="s">
        <v>76</v>
      </c>
      <c r="D34" s="17" t="s">
        <v>39</v>
      </c>
      <c r="E34" s="26">
        <f>ROUND(7760*1.05,2)</f>
      </c>
      <c r="F34" s="17" t="s">
        <v>40</v>
      </c>
      <c r="G34" s="17" t="s">
        <v>24</v>
      </c>
      <c r="H34" s="18">
        <f>ROUND(RAND()*4+6,1)</f>
      </c>
      <c r="I34" s="17" t="s">
        <v>41</v>
      </c>
      <c r="J34" s="19">
        <f>ROUND(76*1,0)&amp;"%"</f>
      </c>
    </row>
    <row x14ac:dyDescent="0.25" r="35" customHeight="1" ht="17.25">
      <c r="A35" s="20" t="s">
        <v>12531</v>
      </c>
      <c r="B35" s="20" t="s">
        <v>86</v>
      </c>
      <c r="C35" s="20" t="s">
        <v>76</v>
      </c>
      <c r="D35" s="20" t="s">
        <v>67</v>
      </c>
      <c r="E35" s="21">
        <f>ROUND(15083*1.05,2)</f>
      </c>
      <c r="F35" s="20" t="s">
        <v>44</v>
      </c>
      <c r="G35" s="20" t="s">
        <v>30</v>
      </c>
      <c r="H35" s="21">
        <f>ROUND(RAND()*4+6,1)</f>
      </c>
      <c r="I35" s="20" t="s">
        <v>45</v>
      </c>
      <c r="J35" s="23">
        <f>ROUND(67*1,0)&amp;"%"</f>
      </c>
    </row>
    <row x14ac:dyDescent="0.25" r="36" customHeight="1" ht="17.25">
      <c r="A36" s="17" t="s">
        <v>12532</v>
      </c>
      <c r="B36" s="17" t="s">
        <v>88</v>
      </c>
      <c r="C36" s="17" t="s">
        <v>76</v>
      </c>
      <c r="D36" s="17" t="s">
        <v>16</v>
      </c>
      <c r="E36" s="18">
        <f>ROUND(12419*1.05,2)</f>
      </c>
      <c r="F36" s="17" t="s">
        <v>48</v>
      </c>
      <c r="G36" s="17" t="s">
        <v>18</v>
      </c>
      <c r="H36" s="18">
        <f>ROUND(RAND()*4+6,1)</f>
      </c>
      <c r="I36" s="17" t="s">
        <v>19</v>
      </c>
      <c r="J36" s="19">
        <f>ROUND(89*1,0)&amp;"%"</f>
      </c>
    </row>
    <row x14ac:dyDescent="0.25" r="37" customHeight="1" ht="17.25">
      <c r="A37" s="20" t="s">
        <v>12533</v>
      </c>
      <c r="B37" s="20" t="s">
        <v>90</v>
      </c>
      <c r="C37" s="20" t="s">
        <v>76</v>
      </c>
      <c r="D37" s="20" t="s">
        <v>22</v>
      </c>
      <c r="E37" s="21">
        <f>ROUND(17626*1.05,2)</f>
      </c>
      <c r="F37" s="20" t="s">
        <v>51</v>
      </c>
      <c r="G37" s="20" t="s">
        <v>24</v>
      </c>
      <c r="H37" s="21">
        <f>ROUND(RAND()*4+6,1)</f>
      </c>
      <c r="I37" s="20" t="s">
        <v>25</v>
      </c>
      <c r="J37" s="23">
        <f>ROUND(71*1,0)&amp;"%"</f>
      </c>
    </row>
    <row x14ac:dyDescent="0.25" r="38" customHeight="1" ht="17.25">
      <c r="A38" s="24" t="s">
        <v>91</v>
      </c>
      <c r="B38" s="24"/>
      <c r="C38" s="24"/>
      <c r="D38" s="24"/>
      <c r="E38" s="25">
        <v>8</v>
      </c>
      <c r="F38" s="9"/>
      <c r="G38" s="9"/>
      <c r="H38" s="10"/>
      <c r="I38" s="9"/>
      <c r="J38" s="9"/>
    </row>
    <row x14ac:dyDescent="0.25" r="39" customHeight="1" ht="17.25">
      <c r="A39" s="7"/>
      <c r="B39" s="7"/>
      <c r="C39" s="7"/>
      <c r="D39" s="7"/>
      <c r="E39" s="8"/>
      <c r="F39" s="9"/>
      <c r="G39" s="9"/>
      <c r="H39" s="10"/>
      <c r="I39" s="9"/>
      <c r="J39" s="9"/>
    </row>
    <row x14ac:dyDescent="0.25" r="40" customHeight="1" ht="17.25">
      <c r="A40" s="11" t="s">
        <v>12534</v>
      </c>
      <c r="B40" s="11"/>
      <c r="C40" s="11"/>
      <c r="D40" s="11"/>
      <c r="E40" s="12"/>
      <c r="F40" s="11"/>
      <c r="G40" s="11"/>
      <c r="H40" s="13"/>
      <c r="I40" s="11"/>
      <c r="J40" s="11"/>
    </row>
    <row x14ac:dyDescent="0.25" r="41" customHeight="1" ht="17.25">
      <c r="A41" s="14" t="s">
        <v>3</v>
      </c>
      <c r="B41" s="14" t="s">
        <v>4</v>
      </c>
      <c r="C41" s="14" t="s">
        <v>5</v>
      </c>
      <c r="D41" s="14" t="s">
        <v>6</v>
      </c>
      <c r="E41" s="15" t="s">
        <v>7</v>
      </c>
      <c r="F41" s="14" t="s">
        <v>8</v>
      </c>
      <c r="G41" s="14" t="s">
        <v>9</v>
      </c>
      <c r="H41" s="16" t="s">
        <v>10</v>
      </c>
      <c r="I41" s="14" t="s">
        <v>11</v>
      </c>
      <c r="J41" s="14" t="s">
        <v>12</v>
      </c>
    </row>
    <row x14ac:dyDescent="0.25" r="42" customHeight="1" ht="17.25">
      <c r="A42" s="17" t="s">
        <v>12535</v>
      </c>
      <c r="B42" s="17" t="s">
        <v>94</v>
      </c>
      <c r="C42" s="17" t="s">
        <v>95</v>
      </c>
      <c r="D42" s="17" t="s">
        <v>16</v>
      </c>
      <c r="E42" s="18">
        <f>ROUND(12645*1.05,2)</f>
      </c>
      <c r="F42" s="17" t="s">
        <v>17</v>
      </c>
      <c r="G42" s="17" t="s">
        <v>18</v>
      </c>
      <c r="H42" s="18">
        <f>ROUND(RAND()*4+6,1)</f>
      </c>
      <c r="I42" s="17" t="s">
        <v>19</v>
      </c>
      <c r="J42" s="19">
        <f>ROUND(75*1,0)&amp;"%"</f>
      </c>
    </row>
    <row x14ac:dyDescent="0.25" r="43" customHeight="1" ht="17.25">
      <c r="A43" s="20" t="s">
        <v>12536</v>
      </c>
      <c r="B43" s="20" t="s">
        <v>97</v>
      </c>
      <c r="C43" s="20" t="s">
        <v>95</v>
      </c>
      <c r="D43" s="20" t="s">
        <v>22</v>
      </c>
      <c r="E43" s="21">
        <f>ROUND(13043*1.05,2)</f>
      </c>
      <c r="F43" s="20" t="s">
        <v>23</v>
      </c>
      <c r="G43" s="20" t="s">
        <v>24</v>
      </c>
      <c r="H43" s="21">
        <f>ROUND(RAND()*4+6,1)</f>
      </c>
      <c r="I43" s="20" t="s">
        <v>25</v>
      </c>
      <c r="J43" s="23">
        <f>ROUND(96*1,0)&amp;"%"</f>
      </c>
    </row>
    <row x14ac:dyDescent="0.25" r="44" customHeight="1" ht="17.25">
      <c r="A44" s="17" t="s">
        <v>12537</v>
      </c>
      <c r="B44" s="17" t="s">
        <v>99</v>
      </c>
      <c r="C44" s="17" t="s">
        <v>95</v>
      </c>
      <c r="D44" s="17" t="s">
        <v>28</v>
      </c>
      <c r="E44" s="18">
        <f>ROUND(8579*1.05,2)</f>
      </c>
      <c r="F44" s="17" t="s">
        <v>29</v>
      </c>
      <c r="G44" s="17" t="s">
        <v>30</v>
      </c>
      <c r="H44" s="18">
        <f>ROUND(RAND()*4+6,1)</f>
      </c>
      <c r="I44" s="17" t="s">
        <v>31</v>
      </c>
      <c r="J44" s="19">
        <f>ROUND(67*1,0)&amp;"%"</f>
      </c>
    </row>
    <row x14ac:dyDescent="0.25" r="45" customHeight="1" ht="17.25">
      <c r="A45" s="20" t="s">
        <v>12538</v>
      </c>
      <c r="B45" s="20" t="s">
        <v>101</v>
      </c>
      <c r="C45" s="20" t="s">
        <v>95</v>
      </c>
      <c r="D45" s="20" t="s">
        <v>34</v>
      </c>
      <c r="E45" s="21">
        <f>ROUND(4256*1.05,2)</f>
      </c>
      <c r="F45" s="20" t="s">
        <v>35</v>
      </c>
      <c r="G45" s="20" t="s">
        <v>18</v>
      </c>
      <c r="H45" s="21">
        <f>ROUND(RAND()*4+6,1)</f>
      </c>
      <c r="I45" s="20" t="s">
        <v>36</v>
      </c>
      <c r="J45" s="23">
        <f>ROUND(74*1,0)&amp;"%"</f>
      </c>
    </row>
    <row x14ac:dyDescent="0.25" r="46" customHeight="1" ht="17.25">
      <c r="A46" s="17" t="s">
        <v>12539</v>
      </c>
      <c r="B46" s="17" t="s">
        <v>103</v>
      </c>
      <c r="C46" s="17" t="s">
        <v>95</v>
      </c>
      <c r="D46" s="17" t="s">
        <v>39</v>
      </c>
      <c r="E46" s="18">
        <f>ROUND(11317*1.05,2)</f>
      </c>
      <c r="F46" s="17" t="s">
        <v>40</v>
      </c>
      <c r="G46" s="17" t="s">
        <v>24</v>
      </c>
      <c r="H46" s="18">
        <f>ROUND(RAND()*4+6,1)</f>
      </c>
      <c r="I46" s="17" t="s">
        <v>41</v>
      </c>
      <c r="J46" s="19">
        <f>ROUND(90*1,0)&amp;"%"</f>
      </c>
    </row>
    <row x14ac:dyDescent="0.25" r="47" customHeight="1" ht="17.25">
      <c r="A47" s="20" t="s">
        <v>12540</v>
      </c>
      <c r="B47" s="20" t="s">
        <v>105</v>
      </c>
      <c r="C47" s="20" t="s">
        <v>95</v>
      </c>
      <c r="D47" s="20" t="s">
        <v>67</v>
      </c>
      <c r="E47" s="21">
        <f>ROUND(16807*1.05,2)</f>
      </c>
      <c r="F47" s="20" t="s">
        <v>44</v>
      </c>
      <c r="G47" s="20" t="s">
        <v>30</v>
      </c>
      <c r="H47" s="21">
        <f>ROUND(RAND()*4+6,1)</f>
      </c>
      <c r="I47" s="20" t="s">
        <v>45</v>
      </c>
      <c r="J47" s="23">
        <f>ROUND(60*1,0)&amp;"%"</f>
      </c>
    </row>
    <row x14ac:dyDescent="0.25" r="48" customHeight="1" ht="17.25">
      <c r="A48" s="17" t="s">
        <v>12541</v>
      </c>
      <c r="B48" s="17" t="s">
        <v>107</v>
      </c>
      <c r="C48" s="17" t="s">
        <v>95</v>
      </c>
      <c r="D48" s="17" t="s">
        <v>16</v>
      </c>
      <c r="E48" s="18">
        <f>ROUND(15324*1.05,2)</f>
      </c>
      <c r="F48" s="17" t="s">
        <v>48</v>
      </c>
      <c r="G48" s="17" t="s">
        <v>18</v>
      </c>
      <c r="H48" s="18">
        <f>ROUND(RAND()*4+6,1)</f>
      </c>
      <c r="I48" s="17" t="s">
        <v>19</v>
      </c>
      <c r="J48" s="19">
        <f>ROUND(98*1,0)&amp;"%"</f>
      </c>
    </row>
    <row x14ac:dyDescent="0.25" r="49" customHeight="1" ht="17.25">
      <c r="A49" s="20" t="s">
        <v>12542</v>
      </c>
      <c r="B49" s="20" t="s">
        <v>109</v>
      </c>
      <c r="C49" s="20" t="s">
        <v>95</v>
      </c>
      <c r="D49" s="20" t="s">
        <v>22</v>
      </c>
      <c r="E49" s="21">
        <f>ROUND(6681*1.05,2)</f>
      </c>
      <c r="F49" s="20" t="s">
        <v>51</v>
      </c>
      <c r="G49" s="20" t="s">
        <v>24</v>
      </c>
      <c r="H49" s="21">
        <f>ROUND(RAND()*4+6,1)</f>
      </c>
      <c r="I49" s="20" t="s">
        <v>25</v>
      </c>
      <c r="J49" s="23">
        <f>ROUND(97*1,0)&amp;"%"</f>
      </c>
    </row>
    <row x14ac:dyDescent="0.25" r="50" customHeight="1" ht="17.25">
      <c r="A50" s="24" t="s">
        <v>110</v>
      </c>
      <c r="B50" s="24"/>
      <c r="C50" s="24"/>
      <c r="D50" s="24"/>
      <c r="E50" s="25">
        <v>8</v>
      </c>
      <c r="F50" s="9"/>
      <c r="G50" s="9"/>
      <c r="H50" s="10"/>
      <c r="I50" s="9"/>
      <c r="J50" s="9"/>
    </row>
    <row x14ac:dyDescent="0.25" r="51" customHeight="1" ht="17.25">
      <c r="A51" s="7"/>
      <c r="B51" s="7"/>
      <c r="C51" s="7"/>
      <c r="D51" s="7"/>
      <c r="E51" s="8"/>
      <c r="F51" s="9"/>
      <c r="G51" s="9"/>
      <c r="H51" s="10"/>
      <c r="I51" s="9"/>
      <c r="J51" s="9"/>
    </row>
    <row x14ac:dyDescent="0.25" r="52" customHeight="1" ht="17.25">
      <c r="A52" s="11" t="s">
        <v>12543</v>
      </c>
      <c r="B52" s="11"/>
      <c r="C52" s="11"/>
      <c r="D52" s="11"/>
      <c r="E52" s="12"/>
      <c r="F52" s="11"/>
      <c r="G52" s="11"/>
      <c r="H52" s="13"/>
      <c r="I52" s="11"/>
      <c r="J52" s="11"/>
    </row>
    <row x14ac:dyDescent="0.25" r="53" customHeight="1" ht="17.25">
      <c r="A53" s="14" t="s">
        <v>3</v>
      </c>
      <c r="B53" s="14" t="s">
        <v>4</v>
      </c>
      <c r="C53" s="14" t="s">
        <v>5</v>
      </c>
      <c r="D53" s="14" t="s">
        <v>6</v>
      </c>
      <c r="E53" s="15" t="s">
        <v>7</v>
      </c>
      <c r="F53" s="14" t="s">
        <v>8</v>
      </c>
      <c r="G53" s="14" t="s">
        <v>9</v>
      </c>
      <c r="H53" s="16" t="s">
        <v>10</v>
      </c>
      <c r="I53" s="14" t="s">
        <v>11</v>
      </c>
      <c r="J53" s="14" t="s">
        <v>12</v>
      </c>
    </row>
    <row x14ac:dyDescent="0.25" r="54" customHeight="1" ht="17.25">
      <c r="A54" s="17" t="s">
        <v>12544</v>
      </c>
      <c r="B54" s="17" t="s">
        <v>113</v>
      </c>
      <c r="C54" s="17" t="s">
        <v>114</v>
      </c>
      <c r="D54" s="17" t="s">
        <v>16</v>
      </c>
      <c r="E54" s="18">
        <f>ROUND(14358*1.05,2)</f>
      </c>
      <c r="F54" s="17" t="s">
        <v>17</v>
      </c>
      <c r="G54" s="17" t="s">
        <v>18</v>
      </c>
      <c r="H54" s="18">
        <f>ROUND(RAND()*4+6,1)</f>
      </c>
      <c r="I54" s="17" t="s">
        <v>19</v>
      </c>
      <c r="J54" s="19">
        <f>ROUND(93*1,0)&amp;"%"</f>
      </c>
    </row>
    <row x14ac:dyDescent="0.25" r="55" customHeight="1" ht="17.25">
      <c r="A55" s="20" t="s">
        <v>12545</v>
      </c>
      <c r="B55" s="20" t="s">
        <v>116</v>
      </c>
      <c r="C55" s="20" t="s">
        <v>114</v>
      </c>
      <c r="D55" s="20" t="s">
        <v>22</v>
      </c>
      <c r="E55" s="21">
        <f>ROUND(8743*1.05,2)</f>
      </c>
      <c r="F55" s="20" t="s">
        <v>23</v>
      </c>
      <c r="G55" s="20" t="s">
        <v>24</v>
      </c>
      <c r="H55" s="21">
        <f>ROUND(RAND()*4+6,1)</f>
      </c>
      <c r="I55" s="20" t="s">
        <v>25</v>
      </c>
      <c r="J55" s="23">
        <f>ROUND(76*1,0)&amp;"%"</f>
      </c>
    </row>
    <row x14ac:dyDescent="0.25" r="56" customHeight="1" ht="17.25">
      <c r="A56" s="17" t="s">
        <v>12546</v>
      </c>
      <c r="B56" s="17" t="s">
        <v>118</v>
      </c>
      <c r="C56" s="17" t="s">
        <v>114</v>
      </c>
      <c r="D56" s="17" t="s">
        <v>28</v>
      </c>
      <c r="E56" s="18">
        <f>ROUND(14934*1.05,2)</f>
      </c>
      <c r="F56" s="17" t="s">
        <v>29</v>
      </c>
      <c r="G56" s="17" t="s">
        <v>30</v>
      </c>
      <c r="H56" s="18">
        <f>ROUND(RAND()*4+6,1)</f>
      </c>
      <c r="I56" s="17" t="s">
        <v>31</v>
      </c>
      <c r="J56" s="19">
        <f>ROUND(72*1,0)&amp;"%"</f>
      </c>
    </row>
    <row x14ac:dyDescent="0.25" r="57" customHeight="1" ht="17.25">
      <c r="A57" s="20" t="s">
        <v>12547</v>
      </c>
      <c r="B57" s="20" t="s">
        <v>120</v>
      </c>
      <c r="C57" s="20" t="s">
        <v>114</v>
      </c>
      <c r="D57" s="20" t="s">
        <v>34</v>
      </c>
      <c r="E57" s="21">
        <f>ROUND(16412*1.05,2)</f>
      </c>
      <c r="F57" s="20" t="s">
        <v>35</v>
      </c>
      <c r="G57" s="20" t="s">
        <v>18</v>
      </c>
      <c r="H57" s="21">
        <f>ROUND(RAND()*4+6,1)</f>
      </c>
      <c r="I57" s="20" t="s">
        <v>36</v>
      </c>
      <c r="J57" s="23">
        <f>ROUND(67*1,0)&amp;"%"</f>
      </c>
    </row>
    <row x14ac:dyDescent="0.25" r="58" customHeight="1" ht="17.25">
      <c r="A58" s="17" t="s">
        <v>12548</v>
      </c>
      <c r="B58" s="17" t="s">
        <v>122</v>
      </c>
      <c r="C58" s="17" t="s">
        <v>114</v>
      </c>
      <c r="D58" s="17" t="s">
        <v>39</v>
      </c>
      <c r="E58" s="18">
        <f>ROUND(9382*1.05,2)</f>
      </c>
      <c r="F58" s="17" t="s">
        <v>40</v>
      </c>
      <c r="G58" s="17" t="s">
        <v>24</v>
      </c>
      <c r="H58" s="18">
        <f>ROUND(RAND()*4+6,1)</f>
      </c>
      <c r="I58" s="17" t="s">
        <v>41</v>
      </c>
      <c r="J58" s="19">
        <f>ROUND(82*1,0)&amp;"%"</f>
      </c>
    </row>
    <row x14ac:dyDescent="0.25" r="59" customHeight="1" ht="17.25">
      <c r="A59" s="20" t="s">
        <v>12549</v>
      </c>
      <c r="B59" s="20" t="s">
        <v>124</v>
      </c>
      <c r="C59" s="20" t="s">
        <v>114</v>
      </c>
      <c r="D59" s="20" t="s">
        <v>67</v>
      </c>
      <c r="E59" s="21">
        <f>ROUND(5407*1.05,2)</f>
      </c>
      <c r="F59" s="20" t="s">
        <v>44</v>
      </c>
      <c r="G59" s="20" t="s">
        <v>30</v>
      </c>
      <c r="H59" s="21">
        <f>ROUND(RAND()*4+6,1)</f>
      </c>
      <c r="I59" s="20" t="s">
        <v>45</v>
      </c>
      <c r="J59" s="23">
        <f>ROUND(73*1,0)&amp;"%"</f>
      </c>
    </row>
    <row x14ac:dyDescent="0.25" r="60" customHeight="1" ht="17.25">
      <c r="A60" s="17" t="s">
        <v>12550</v>
      </c>
      <c r="B60" s="17" t="s">
        <v>126</v>
      </c>
      <c r="C60" s="17" t="s">
        <v>114</v>
      </c>
      <c r="D60" s="17" t="s">
        <v>16</v>
      </c>
      <c r="E60" s="18">
        <f>ROUND(8642*1.05,2)</f>
      </c>
      <c r="F60" s="17" t="s">
        <v>48</v>
      </c>
      <c r="G60" s="17" t="s">
        <v>18</v>
      </c>
      <c r="H60" s="26">
        <f>ROUND(RAND()*4+6,1)</f>
      </c>
      <c r="I60" s="17" t="s">
        <v>19</v>
      </c>
      <c r="J60" s="19">
        <f>ROUND(96*1,0)&amp;"%"</f>
      </c>
    </row>
    <row x14ac:dyDescent="0.25" r="61" customHeight="1" ht="17.25">
      <c r="A61" s="20" t="s">
        <v>12551</v>
      </c>
      <c r="B61" s="20" t="s">
        <v>128</v>
      </c>
      <c r="C61" s="20" t="s">
        <v>114</v>
      </c>
      <c r="D61" s="20" t="s">
        <v>22</v>
      </c>
      <c r="E61" s="21">
        <f>ROUND(8859*1.05,2)</f>
      </c>
      <c r="F61" s="20" t="s">
        <v>51</v>
      </c>
      <c r="G61" s="20" t="s">
        <v>24</v>
      </c>
      <c r="H61" s="21">
        <f>ROUND(RAND()*4+6,1)</f>
      </c>
      <c r="I61" s="20" t="s">
        <v>25</v>
      </c>
      <c r="J61" s="23">
        <f>ROUND(96*1,0)&amp;"%"</f>
      </c>
    </row>
    <row x14ac:dyDescent="0.25" r="62" customHeight="1" ht="17.25">
      <c r="A62" s="24" t="s">
        <v>129</v>
      </c>
      <c r="B62" s="24"/>
      <c r="C62" s="24"/>
      <c r="D62" s="24"/>
      <c r="E62" s="25">
        <v>8</v>
      </c>
      <c r="F62" s="9"/>
      <c r="G62" s="9"/>
      <c r="H62" s="10"/>
      <c r="I62" s="9"/>
      <c r="J62" s="9"/>
    </row>
    <row x14ac:dyDescent="0.25" r="63" customHeight="1" ht="17.25">
      <c r="A63" s="7"/>
      <c r="B63" s="7"/>
      <c r="C63" s="7"/>
      <c r="D63" s="7"/>
      <c r="E63" s="8"/>
      <c r="F63" s="9"/>
      <c r="G63" s="9"/>
      <c r="H63" s="10"/>
      <c r="I63" s="9"/>
      <c r="J63" s="9"/>
    </row>
    <row x14ac:dyDescent="0.25" r="64" customHeight="1" ht="17.25">
      <c r="A64" s="11" t="s">
        <v>12552</v>
      </c>
      <c r="B64" s="11"/>
      <c r="C64" s="11"/>
      <c r="D64" s="11"/>
      <c r="E64" s="12"/>
      <c r="F64" s="11"/>
      <c r="G64" s="11"/>
      <c r="H64" s="13"/>
      <c r="I64" s="11"/>
      <c r="J64" s="11"/>
    </row>
    <row x14ac:dyDescent="0.25" r="65" customHeight="1" ht="17.25">
      <c r="A65" s="14" t="s">
        <v>3</v>
      </c>
      <c r="B65" s="14" t="s">
        <v>4</v>
      </c>
      <c r="C65" s="14" t="s">
        <v>5</v>
      </c>
      <c r="D65" s="14" t="s">
        <v>6</v>
      </c>
      <c r="E65" s="15" t="s">
        <v>7</v>
      </c>
      <c r="F65" s="14" t="s">
        <v>8</v>
      </c>
      <c r="G65" s="14" t="s">
        <v>9</v>
      </c>
      <c r="H65" s="16" t="s">
        <v>10</v>
      </c>
      <c r="I65" s="14" t="s">
        <v>11</v>
      </c>
      <c r="J65" s="14" t="s">
        <v>12</v>
      </c>
    </row>
    <row x14ac:dyDescent="0.25" r="66" customHeight="1" ht="17.25">
      <c r="A66" s="17" t="s">
        <v>12553</v>
      </c>
      <c r="B66" s="17" t="s">
        <v>132</v>
      </c>
      <c r="C66" s="17" t="s">
        <v>133</v>
      </c>
      <c r="D66" s="17" t="s">
        <v>16</v>
      </c>
      <c r="E66" s="26">
        <f>ROUND(16880*1.05,2)</f>
      </c>
      <c r="F66" s="17" t="s">
        <v>17</v>
      </c>
      <c r="G66" s="17" t="s">
        <v>18</v>
      </c>
      <c r="H66" s="18">
        <f>ROUND(RAND()*4+6,1)</f>
      </c>
      <c r="I66" s="17" t="s">
        <v>19</v>
      </c>
      <c r="J66" s="19">
        <f>ROUND(82*1,0)&amp;"%"</f>
      </c>
    </row>
    <row x14ac:dyDescent="0.25" r="67" customHeight="1" ht="17.25">
      <c r="A67" s="20" t="s">
        <v>12554</v>
      </c>
      <c r="B67" s="20" t="s">
        <v>135</v>
      </c>
      <c r="C67" s="20" t="s">
        <v>133</v>
      </c>
      <c r="D67" s="20" t="s">
        <v>22</v>
      </c>
      <c r="E67" s="21">
        <f>ROUND(13603*1.05,2)</f>
      </c>
      <c r="F67" s="20" t="s">
        <v>23</v>
      </c>
      <c r="G67" s="20" t="s">
        <v>24</v>
      </c>
      <c r="H67" s="21">
        <f>ROUND(RAND()*4+6,1)</f>
      </c>
      <c r="I67" s="20" t="s">
        <v>25</v>
      </c>
      <c r="J67" s="23">
        <f>ROUND(63*1,0)&amp;"%"</f>
      </c>
    </row>
    <row x14ac:dyDescent="0.25" r="68" customHeight="1" ht="17.25">
      <c r="A68" s="17" t="s">
        <v>12555</v>
      </c>
      <c r="B68" s="17" t="s">
        <v>137</v>
      </c>
      <c r="C68" s="17" t="s">
        <v>133</v>
      </c>
      <c r="D68" s="17" t="s">
        <v>28</v>
      </c>
      <c r="E68" s="18">
        <f>ROUND(16118*1.05,2)</f>
      </c>
      <c r="F68" s="17" t="s">
        <v>29</v>
      </c>
      <c r="G68" s="17" t="s">
        <v>30</v>
      </c>
      <c r="H68" s="18">
        <f>ROUND(RAND()*4+6,1)</f>
      </c>
      <c r="I68" s="17" t="s">
        <v>31</v>
      </c>
      <c r="J68" s="19">
        <f>ROUND(85*1,0)&amp;"%"</f>
      </c>
    </row>
    <row x14ac:dyDescent="0.25" r="69" customHeight="1" ht="17.25">
      <c r="A69" s="20" t="s">
        <v>12556</v>
      </c>
      <c r="B69" s="20" t="s">
        <v>139</v>
      </c>
      <c r="C69" s="20" t="s">
        <v>133</v>
      </c>
      <c r="D69" s="20" t="s">
        <v>34</v>
      </c>
      <c r="E69" s="21">
        <f>ROUND(16417*1.05,2)</f>
      </c>
      <c r="F69" s="20" t="s">
        <v>35</v>
      </c>
      <c r="G69" s="20" t="s">
        <v>18</v>
      </c>
      <c r="H69" s="21">
        <f>ROUND(RAND()*4+6,1)</f>
      </c>
      <c r="I69" s="20" t="s">
        <v>36</v>
      </c>
      <c r="J69" s="23">
        <f>ROUND(60*1,0)&amp;"%"</f>
      </c>
    </row>
    <row x14ac:dyDescent="0.25" r="70" customHeight="1" ht="17.25">
      <c r="A70" s="17" t="s">
        <v>12557</v>
      </c>
      <c r="B70" s="17" t="s">
        <v>141</v>
      </c>
      <c r="C70" s="17" t="s">
        <v>133</v>
      </c>
      <c r="D70" s="17" t="s">
        <v>39</v>
      </c>
      <c r="E70" s="18">
        <f>ROUND(12103*1.05,2)</f>
      </c>
      <c r="F70" s="17" t="s">
        <v>40</v>
      </c>
      <c r="G70" s="17" t="s">
        <v>24</v>
      </c>
      <c r="H70" s="18">
        <f>ROUND(RAND()*4+6,1)</f>
      </c>
      <c r="I70" s="17" t="s">
        <v>41</v>
      </c>
      <c r="J70" s="19">
        <f>ROUND(67*1,0)&amp;"%"</f>
      </c>
    </row>
    <row x14ac:dyDescent="0.25" r="71" customHeight="1" ht="17.25">
      <c r="A71" s="20" t="s">
        <v>12558</v>
      </c>
      <c r="B71" s="20" t="s">
        <v>143</v>
      </c>
      <c r="C71" s="20" t="s">
        <v>133</v>
      </c>
      <c r="D71" s="20" t="s">
        <v>67</v>
      </c>
      <c r="E71" s="21">
        <f>ROUND(10768*1.05,2)</f>
      </c>
      <c r="F71" s="20" t="s">
        <v>44</v>
      </c>
      <c r="G71" s="20" t="s">
        <v>30</v>
      </c>
      <c r="H71" s="21">
        <f>ROUND(RAND()*4+6,1)</f>
      </c>
      <c r="I71" s="20" t="s">
        <v>45</v>
      </c>
      <c r="J71" s="23">
        <f>ROUND(70*1,0)&amp;"%"</f>
      </c>
    </row>
    <row x14ac:dyDescent="0.25" r="72" customHeight="1" ht="17.25">
      <c r="A72" s="17" t="s">
        <v>12559</v>
      </c>
      <c r="B72" s="17" t="s">
        <v>145</v>
      </c>
      <c r="C72" s="17" t="s">
        <v>133</v>
      </c>
      <c r="D72" s="17" t="s">
        <v>16</v>
      </c>
      <c r="E72" s="18">
        <f>ROUND(13026*1.05,2)</f>
      </c>
      <c r="F72" s="17" t="s">
        <v>48</v>
      </c>
      <c r="G72" s="17" t="s">
        <v>18</v>
      </c>
      <c r="H72" s="18">
        <f>ROUND(RAND()*4+6,1)</f>
      </c>
      <c r="I72" s="17" t="s">
        <v>19</v>
      </c>
      <c r="J72" s="19">
        <f>ROUND(75*1,0)&amp;"%"</f>
      </c>
    </row>
    <row x14ac:dyDescent="0.25" r="73" customHeight="1" ht="17.25">
      <c r="A73" s="20" t="s">
        <v>12560</v>
      </c>
      <c r="B73" s="20" t="s">
        <v>147</v>
      </c>
      <c r="C73" s="20" t="s">
        <v>133</v>
      </c>
      <c r="D73" s="20" t="s">
        <v>22</v>
      </c>
      <c r="E73" s="21">
        <f>ROUND(10514*1.05,2)</f>
      </c>
      <c r="F73" s="20" t="s">
        <v>51</v>
      </c>
      <c r="G73" s="20" t="s">
        <v>24</v>
      </c>
      <c r="H73" s="21">
        <f>ROUND(RAND()*4+6,1)</f>
      </c>
      <c r="I73" s="20" t="s">
        <v>25</v>
      </c>
      <c r="J73" s="23">
        <f>ROUND(69*1,0)&amp;"%"</f>
      </c>
    </row>
    <row x14ac:dyDescent="0.25" r="74" customHeight="1" ht="17.25">
      <c r="A74" s="24" t="s">
        <v>148</v>
      </c>
      <c r="B74" s="24"/>
      <c r="C74" s="24"/>
      <c r="D74" s="24"/>
      <c r="E74" s="25">
        <v>8</v>
      </c>
      <c r="F74" s="9"/>
      <c r="G74" s="9"/>
      <c r="H74" s="10"/>
      <c r="I74" s="9"/>
      <c r="J74" s="9"/>
    </row>
    <row x14ac:dyDescent="0.25" r="75" customHeight="1" ht="17.25">
      <c r="A75" s="7"/>
      <c r="B75" s="7"/>
      <c r="C75" s="7"/>
      <c r="D75" s="7"/>
      <c r="E75" s="8"/>
      <c r="F75" s="9"/>
      <c r="G75" s="9"/>
      <c r="H75" s="10"/>
      <c r="I75" s="9"/>
      <c r="J75" s="9"/>
    </row>
    <row x14ac:dyDescent="0.25" r="76" customHeight="1" ht="17.25">
      <c r="A76" s="11" t="s">
        <v>12561</v>
      </c>
      <c r="B76" s="11"/>
      <c r="C76" s="11"/>
      <c r="D76" s="11"/>
      <c r="E76" s="12"/>
      <c r="F76" s="11"/>
      <c r="G76" s="11"/>
      <c r="H76" s="13"/>
      <c r="I76" s="11"/>
      <c r="J76" s="11"/>
    </row>
    <row x14ac:dyDescent="0.25" r="77" customHeight="1" ht="17.25">
      <c r="A77" s="14" t="s">
        <v>3</v>
      </c>
      <c r="B77" s="14" t="s">
        <v>4</v>
      </c>
      <c r="C77" s="14" t="s">
        <v>5</v>
      </c>
      <c r="D77" s="14" t="s">
        <v>6</v>
      </c>
      <c r="E77" s="15" t="s">
        <v>7</v>
      </c>
      <c r="F77" s="14" t="s">
        <v>8</v>
      </c>
      <c r="G77" s="14" t="s">
        <v>9</v>
      </c>
      <c r="H77" s="16" t="s">
        <v>10</v>
      </c>
      <c r="I77" s="14" t="s">
        <v>11</v>
      </c>
      <c r="J77" s="14" t="s">
        <v>12</v>
      </c>
    </row>
    <row x14ac:dyDescent="0.25" r="78" customHeight="1" ht="17.25">
      <c r="A78" s="17" t="s">
        <v>12562</v>
      </c>
      <c r="B78" s="17" t="s">
        <v>151</v>
      </c>
      <c r="C78" s="17" t="s">
        <v>152</v>
      </c>
      <c r="D78" s="17" t="s">
        <v>16</v>
      </c>
      <c r="E78" s="18">
        <f>ROUND(9159*1.05,2)</f>
      </c>
      <c r="F78" s="17" t="s">
        <v>17</v>
      </c>
      <c r="G78" s="17" t="s">
        <v>18</v>
      </c>
      <c r="H78" s="18">
        <f>ROUND(RAND()*4+6,1)</f>
      </c>
      <c r="I78" s="17" t="s">
        <v>19</v>
      </c>
      <c r="J78" s="19">
        <f>ROUND(61*1,0)&amp;"%"</f>
      </c>
    </row>
    <row x14ac:dyDescent="0.25" r="79" customHeight="1" ht="17.25">
      <c r="A79" s="20" t="s">
        <v>12563</v>
      </c>
      <c r="B79" s="20" t="s">
        <v>154</v>
      </c>
      <c r="C79" s="20" t="s">
        <v>152</v>
      </c>
      <c r="D79" s="20" t="s">
        <v>22</v>
      </c>
      <c r="E79" s="21">
        <f>ROUND(12026*1.05,2)</f>
      </c>
      <c r="F79" s="20" t="s">
        <v>23</v>
      </c>
      <c r="G79" s="20" t="s">
        <v>24</v>
      </c>
      <c r="H79" s="21">
        <f>ROUND(RAND()*4+6,1)</f>
      </c>
      <c r="I79" s="20" t="s">
        <v>25</v>
      </c>
      <c r="J79" s="23">
        <f>ROUND(89*1,0)&amp;"%"</f>
      </c>
    </row>
    <row x14ac:dyDescent="0.25" r="80" customHeight="1" ht="17.25">
      <c r="A80" s="17" t="s">
        <v>12564</v>
      </c>
      <c r="B80" s="17" t="s">
        <v>156</v>
      </c>
      <c r="C80" s="17" t="s">
        <v>152</v>
      </c>
      <c r="D80" s="17" t="s">
        <v>28</v>
      </c>
      <c r="E80" s="18">
        <f>ROUND(17355*1.05,2)</f>
      </c>
      <c r="F80" s="17" t="s">
        <v>29</v>
      </c>
      <c r="G80" s="17" t="s">
        <v>30</v>
      </c>
      <c r="H80" s="18">
        <f>ROUND(RAND()*4+6,1)</f>
      </c>
      <c r="I80" s="17" t="s">
        <v>31</v>
      </c>
      <c r="J80" s="19">
        <f>ROUND(79*1,0)&amp;"%"</f>
      </c>
    </row>
    <row x14ac:dyDescent="0.25" r="81" customHeight="1" ht="17.25">
      <c r="A81" s="20" t="s">
        <v>12565</v>
      </c>
      <c r="B81" s="20" t="s">
        <v>158</v>
      </c>
      <c r="C81" s="20" t="s">
        <v>152</v>
      </c>
      <c r="D81" s="20" t="s">
        <v>34</v>
      </c>
      <c r="E81" s="21">
        <f>ROUND(17513*1.05,2)</f>
      </c>
      <c r="F81" s="20" t="s">
        <v>35</v>
      </c>
      <c r="G81" s="20" t="s">
        <v>18</v>
      </c>
      <c r="H81" s="21">
        <f>ROUND(RAND()*4+6,1)</f>
      </c>
      <c r="I81" s="20" t="s">
        <v>36</v>
      </c>
      <c r="J81" s="23">
        <f>ROUND(64*1,0)&amp;"%"</f>
      </c>
    </row>
    <row x14ac:dyDescent="0.25" r="82" customHeight="1" ht="17.25">
      <c r="A82" s="17" t="s">
        <v>12566</v>
      </c>
      <c r="B82" s="17" t="s">
        <v>160</v>
      </c>
      <c r="C82" s="17" t="s">
        <v>152</v>
      </c>
      <c r="D82" s="17" t="s">
        <v>39</v>
      </c>
      <c r="E82" s="18">
        <f>ROUND(12565*1.05,2)</f>
      </c>
      <c r="F82" s="17" t="s">
        <v>40</v>
      </c>
      <c r="G82" s="17" t="s">
        <v>24</v>
      </c>
      <c r="H82" s="18">
        <f>ROUND(RAND()*4+6,1)</f>
      </c>
      <c r="I82" s="17" t="s">
        <v>41</v>
      </c>
      <c r="J82" s="19">
        <f>ROUND(69*1,0)&amp;"%"</f>
      </c>
    </row>
    <row x14ac:dyDescent="0.25" r="83" customHeight="1" ht="17.25">
      <c r="A83" s="20" t="s">
        <v>12567</v>
      </c>
      <c r="B83" s="20" t="s">
        <v>162</v>
      </c>
      <c r="C83" s="20" t="s">
        <v>152</v>
      </c>
      <c r="D83" s="20" t="s">
        <v>67</v>
      </c>
      <c r="E83" s="21">
        <f>ROUND(5991*1.05,2)</f>
      </c>
      <c r="F83" s="20" t="s">
        <v>44</v>
      </c>
      <c r="G83" s="20" t="s">
        <v>30</v>
      </c>
      <c r="H83" s="21">
        <f>ROUND(RAND()*4+6,1)</f>
      </c>
      <c r="I83" s="20" t="s">
        <v>45</v>
      </c>
      <c r="J83" s="23">
        <f>ROUND(69*1,0)&amp;"%"</f>
      </c>
    </row>
    <row x14ac:dyDescent="0.25" r="84" customHeight="1" ht="17.25">
      <c r="A84" s="17" t="s">
        <v>12568</v>
      </c>
      <c r="B84" s="17" t="s">
        <v>164</v>
      </c>
      <c r="C84" s="17" t="s">
        <v>152</v>
      </c>
      <c r="D84" s="17" t="s">
        <v>16</v>
      </c>
      <c r="E84" s="18">
        <f>ROUND(6487*1.05,2)</f>
      </c>
      <c r="F84" s="17" t="s">
        <v>48</v>
      </c>
      <c r="G84" s="17" t="s">
        <v>18</v>
      </c>
      <c r="H84" s="18">
        <f>ROUND(RAND()*4+6,1)</f>
      </c>
      <c r="I84" s="17" t="s">
        <v>19</v>
      </c>
      <c r="J84" s="19">
        <f>ROUND(69*1,0)&amp;"%"</f>
      </c>
    </row>
    <row x14ac:dyDescent="0.25" r="85" customHeight="1" ht="17.25">
      <c r="A85" s="20" t="s">
        <v>12569</v>
      </c>
      <c r="B85" s="20" t="s">
        <v>166</v>
      </c>
      <c r="C85" s="20" t="s">
        <v>152</v>
      </c>
      <c r="D85" s="20" t="s">
        <v>22</v>
      </c>
      <c r="E85" s="21">
        <f>ROUND(8490*1.05,2)</f>
      </c>
      <c r="F85" s="20" t="s">
        <v>51</v>
      </c>
      <c r="G85" s="20" t="s">
        <v>24</v>
      </c>
      <c r="H85" s="21">
        <f>ROUND(RAND()*4+6,1)</f>
      </c>
      <c r="I85" s="20" t="s">
        <v>25</v>
      </c>
      <c r="J85" s="23">
        <f>ROUND(79*1,0)&amp;"%"</f>
      </c>
    </row>
    <row x14ac:dyDescent="0.25" r="86" customHeight="1" ht="17.25">
      <c r="A86" s="24" t="s">
        <v>167</v>
      </c>
      <c r="B86" s="24"/>
      <c r="C86" s="24"/>
      <c r="D86" s="24"/>
      <c r="E86" s="25">
        <v>8</v>
      </c>
      <c r="F86" s="9"/>
      <c r="G86" s="9"/>
      <c r="H86" s="10"/>
      <c r="I86" s="9"/>
      <c r="J86" s="9"/>
    </row>
    <row x14ac:dyDescent="0.25" r="87" customHeight="1" ht="17.25">
      <c r="A87" s="7"/>
      <c r="B87" s="7"/>
      <c r="C87" s="7"/>
      <c r="D87" s="7"/>
      <c r="E87" s="8"/>
      <c r="F87" s="9"/>
      <c r="G87" s="9"/>
      <c r="H87" s="10"/>
      <c r="I87" s="9"/>
      <c r="J87" s="9"/>
    </row>
    <row x14ac:dyDescent="0.25" r="88" customHeight="1" ht="17.25">
      <c r="A88" s="11" t="s">
        <v>12570</v>
      </c>
      <c r="B88" s="11"/>
      <c r="C88" s="11"/>
      <c r="D88" s="11"/>
      <c r="E88" s="12"/>
      <c r="F88" s="11"/>
      <c r="G88" s="11"/>
      <c r="H88" s="13"/>
      <c r="I88" s="11"/>
      <c r="J88" s="11"/>
    </row>
    <row x14ac:dyDescent="0.25" r="89" customHeight="1" ht="17.25">
      <c r="A89" s="14" t="s">
        <v>3</v>
      </c>
      <c r="B89" s="14" t="s">
        <v>4</v>
      </c>
      <c r="C89" s="14" t="s">
        <v>5</v>
      </c>
      <c r="D89" s="14" t="s">
        <v>6</v>
      </c>
      <c r="E89" s="15" t="s">
        <v>7</v>
      </c>
      <c r="F89" s="14" t="s">
        <v>8</v>
      </c>
      <c r="G89" s="14" t="s">
        <v>9</v>
      </c>
      <c r="H89" s="16" t="s">
        <v>10</v>
      </c>
      <c r="I89" s="14" t="s">
        <v>11</v>
      </c>
      <c r="J89" s="14" t="s">
        <v>12</v>
      </c>
    </row>
    <row x14ac:dyDescent="0.25" r="90" customHeight="1" ht="17.25">
      <c r="A90" s="17" t="s">
        <v>12571</v>
      </c>
      <c r="B90" s="17" t="s">
        <v>170</v>
      </c>
      <c r="C90" s="17" t="s">
        <v>15</v>
      </c>
      <c r="D90" s="17" t="s">
        <v>16</v>
      </c>
      <c r="E90" s="18">
        <f>ROUND(11569*1.05,2)</f>
      </c>
      <c r="F90" s="17" t="s">
        <v>17</v>
      </c>
      <c r="G90" s="17" t="s">
        <v>18</v>
      </c>
      <c r="H90" s="26">
        <f>ROUND(RAND()*4+6,1)</f>
      </c>
      <c r="I90" s="17" t="s">
        <v>19</v>
      </c>
      <c r="J90" s="19">
        <f>ROUND(68*1,0)&amp;"%"</f>
      </c>
    </row>
    <row x14ac:dyDescent="0.25" r="91" customHeight="1" ht="17.25">
      <c r="A91" s="20" t="s">
        <v>12572</v>
      </c>
      <c r="B91" s="20" t="s">
        <v>172</v>
      </c>
      <c r="C91" s="20" t="s">
        <v>15</v>
      </c>
      <c r="D91" s="20" t="s">
        <v>22</v>
      </c>
      <c r="E91" s="21">
        <f>ROUND(5854*1.05,2)</f>
      </c>
      <c r="F91" s="20" t="s">
        <v>23</v>
      </c>
      <c r="G91" s="20" t="s">
        <v>24</v>
      </c>
      <c r="H91" s="21">
        <f>ROUND(RAND()*4+6,1)</f>
      </c>
      <c r="I91" s="20" t="s">
        <v>25</v>
      </c>
      <c r="J91" s="23">
        <f>ROUND(75*1,0)&amp;"%"</f>
      </c>
    </row>
    <row x14ac:dyDescent="0.25" r="92" customHeight="1" ht="17.25">
      <c r="A92" s="17" t="s">
        <v>12573</v>
      </c>
      <c r="B92" s="17" t="s">
        <v>174</v>
      </c>
      <c r="C92" s="17" t="s">
        <v>15</v>
      </c>
      <c r="D92" s="17" t="s">
        <v>28</v>
      </c>
      <c r="E92" s="18">
        <f>ROUND(13716*1.05,2)</f>
      </c>
      <c r="F92" s="17" t="s">
        <v>29</v>
      </c>
      <c r="G92" s="17" t="s">
        <v>30</v>
      </c>
      <c r="H92" s="18">
        <f>ROUND(RAND()*4+6,1)</f>
      </c>
      <c r="I92" s="17" t="s">
        <v>31</v>
      </c>
      <c r="J92" s="19">
        <f>ROUND(92*1,0)&amp;"%"</f>
      </c>
    </row>
    <row x14ac:dyDescent="0.25" r="93" customHeight="1" ht="17.25">
      <c r="A93" s="20" t="s">
        <v>12574</v>
      </c>
      <c r="B93" s="20" t="s">
        <v>176</v>
      </c>
      <c r="C93" s="20" t="s">
        <v>15</v>
      </c>
      <c r="D93" s="20" t="s">
        <v>34</v>
      </c>
      <c r="E93" s="21">
        <f>ROUND(7188*1.05,2)</f>
      </c>
      <c r="F93" s="20" t="s">
        <v>35</v>
      </c>
      <c r="G93" s="20" t="s">
        <v>18</v>
      </c>
      <c r="H93" s="21">
        <f>ROUND(RAND()*4+6,1)</f>
      </c>
      <c r="I93" s="20" t="s">
        <v>36</v>
      </c>
      <c r="J93" s="23">
        <f>ROUND(63*1,0)&amp;"%"</f>
      </c>
    </row>
    <row x14ac:dyDescent="0.25" r="94" customHeight="1" ht="17.25">
      <c r="A94" s="17" t="s">
        <v>12575</v>
      </c>
      <c r="B94" s="17" t="s">
        <v>178</v>
      </c>
      <c r="C94" s="17" t="s">
        <v>15</v>
      </c>
      <c r="D94" s="17" t="s">
        <v>39</v>
      </c>
      <c r="E94" s="18">
        <f>ROUND(10270*1.05,2)</f>
      </c>
      <c r="F94" s="17" t="s">
        <v>40</v>
      </c>
      <c r="G94" s="17" t="s">
        <v>24</v>
      </c>
      <c r="H94" s="18">
        <f>ROUND(RAND()*4+6,1)</f>
      </c>
      <c r="I94" s="17" t="s">
        <v>41</v>
      </c>
      <c r="J94" s="19">
        <f>ROUND(100*1,0)&amp;"%"</f>
      </c>
    </row>
    <row x14ac:dyDescent="0.25" r="95" customHeight="1" ht="17.25">
      <c r="A95" s="20" t="s">
        <v>12576</v>
      </c>
      <c r="B95" s="20" t="s">
        <v>180</v>
      </c>
      <c r="C95" s="20" t="s">
        <v>15</v>
      </c>
      <c r="D95" s="20" t="s">
        <v>67</v>
      </c>
      <c r="E95" s="21">
        <f>ROUND(4258*1.05,2)</f>
      </c>
      <c r="F95" s="20" t="s">
        <v>44</v>
      </c>
      <c r="G95" s="20" t="s">
        <v>30</v>
      </c>
      <c r="H95" s="21">
        <f>ROUND(RAND()*4+6,1)</f>
      </c>
      <c r="I95" s="20" t="s">
        <v>45</v>
      </c>
      <c r="J95" s="23">
        <f>ROUND(94*1,0)&amp;"%"</f>
      </c>
    </row>
    <row x14ac:dyDescent="0.25" r="96" customHeight="1" ht="17.25">
      <c r="A96" s="17" t="s">
        <v>12577</v>
      </c>
      <c r="B96" s="17" t="s">
        <v>182</v>
      </c>
      <c r="C96" s="17" t="s">
        <v>15</v>
      </c>
      <c r="D96" s="17" t="s">
        <v>16</v>
      </c>
      <c r="E96" s="18">
        <f>ROUND(7683*1.05,2)</f>
      </c>
      <c r="F96" s="17" t="s">
        <v>48</v>
      </c>
      <c r="G96" s="17" t="s">
        <v>18</v>
      </c>
      <c r="H96" s="18">
        <f>ROUND(RAND()*4+6,1)</f>
      </c>
      <c r="I96" s="17" t="s">
        <v>19</v>
      </c>
      <c r="J96" s="19">
        <f>ROUND(62*1,0)&amp;"%"</f>
      </c>
    </row>
    <row x14ac:dyDescent="0.25" r="97" customHeight="1" ht="17.25">
      <c r="A97" s="20" t="s">
        <v>12578</v>
      </c>
      <c r="B97" s="20" t="s">
        <v>184</v>
      </c>
      <c r="C97" s="20" t="s">
        <v>15</v>
      </c>
      <c r="D97" s="20" t="s">
        <v>22</v>
      </c>
      <c r="E97" s="21">
        <f>ROUND(16998*1.05,2)</f>
      </c>
      <c r="F97" s="20" t="s">
        <v>51</v>
      </c>
      <c r="G97" s="20" t="s">
        <v>24</v>
      </c>
      <c r="H97" s="21">
        <f>ROUND(RAND()*4+6,1)</f>
      </c>
      <c r="I97" s="20" t="s">
        <v>25</v>
      </c>
      <c r="J97" s="23">
        <f>ROUND(66*1,0)&amp;"%"</f>
      </c>
    </row>
    <row x14ac:dyDescent="0.25" r="98" customHeight="1" ht="17.25">
      <c r="A98" s="24" t="s">
        <v>185</v>
      </c>
      <c r="B98" s="24"/>
      <c r="C98" s="24"/>
      <c r="D98" s="24"/>
      <c r="E98" s="25">
        <v>8</v>
      </c>
      <c r="F98" s="9"/>
      <c r="G98" s="9"/>
      <c r="H98" s="10"/>
      <c r="I98" s="9"/>
      <c r="J98" s="9"/>
    </row>
    <row x14ac:dyDescent="0.25" r="99" customHeight="1" ht="17.25">
      <c r="A99" s="7"/>
      <c r="B99" s="7"/>
      <c r="C99" s="7"/>
      <c r="D99" s="7"/>
      <c r="E99" s="8"/>
      <c r="F99" s="9"/>
      <c r="G99" s="9"/>
      <c r="H99" s="10"/>
      <c r="I99" s="9"/>
      <c r="J99" s="9"/>
    </row>
    <row x14ac:dyDescent="0.25" r="100" customHeight="1" ht="17.25">
      <c r="A100" s="11" t="s">
        <v>12579</v>
      </c>
      <c r="B100" s="11"/>
      <c r="C100" s="11"/>
      <c r="D100" s="11"/>
      <c r="E100" s="12"/>
      <c r="F100" s="11"/>
      <c r="G100" s="11"/>
      <c r="H100" s="13"/>
      <c r="I100" s="11"/>
      <c r="J100" s="11"/>
    </row>
    <row x14ac:dyDescent="0.25" r="101" customHeight="1" ht="17.25">
      <c r="A101" s="14" t="s">
        <v>3</v>
      </c>
      <c r="B101" s="14" t="s">
        <v>4</v>
      </c>
      <c r="C101" s="14" t="s">
        <v>5</v>
      </c>
      <c r="D101" s="14" t="s">
        <v>6</v>
      </c>
      <c r="E101" s="15" t="s">
        <v>7</v>
      </c>
      <c r="F101" s="14" t="s">
        <v>8</v>
      </c>
      <c r="G101" s="14" t="s">
        <v>9</v>
      </c>
      <c r="H101" s="16" t="s">
        <v>10</v>
      </c>
      <c r="I101" s="14" t="s">
        <v>11</v>
      </c>
      <c r="J101" s="14" t="s">
        <v>12</v>
      </c>
    </row>
    <row x14ac:dyDescent="0.25" r="102" customHeight="1" ht="17.25">
      <c r="A102" s="17" t="s">
        <v>12580</v>
      </c>
      <c r="B102" s="17" t="s">
        <v>188</v>
      </c>
      <c r="C102" s="17" t="s">
        <v>56</v>
      </c>
      <c r="D102" s="17" t="s">
        <v>16</v>
      </c>
      <c r="E102" s="26">
        <f>ROUND(4240*1.05,2)</f>
      </c>
      <c r="F102" s="17" t="s">
        <v>17</v>
      </c>
      <c r="G102" s="17" t="s">
        <v>18</v>
      </c>
      <c r="H102" s="18">
        <f>ROUND(RAND()*4+6,1)</f>
      </c>
      <c r="I102" s="17" t="s">
        <v>19</v>
      </c>
      <c r="J102" s="19">
        <f>ROUND(70*1,0)&amp;"%"</f>
      </c>
    </row>
    <row x14ac:dyDescent="0.25" r="103" customHeight="1" ht="17.25">
      <c r="A103" s="20" t="s">
        <v>12581</v>
      </c>
      <c r="B103" s="20" t="s">
        <v>190</v>
      </c>
      <c r="C103" s="20" t="s">
        <v>56</v>
      </c>
      <c r="D103" s="20" t="s">
        <v>22</v>
      </c>
      <c r="E103" s="21">
        <f>ROUND(10231*1.05,2)</f>
      </c>
      <c r="F103" s="20" t="s">
        <v>23</v>
      </c>
      <c r="G103" s="20" t="s">
        <v>24</v>
      </c>
      <c r="H103" s="21">
        <f>ROUND(RAND()*4+6,1)</f>
      </c>
      <c r="I103" s="20" t="s">
        <v>25</v>
      </c>
      <c r="J103" s="23">
        <f>ROUND(70*1,0)&amp;"%"</f>
      </c>
    </row>
    <row x14ac:dyDescent="0.25" r="104" customHeight="1" ht="17.25">
      <c r="A104" s="17" t="s">
        <v>12582</v>
      </c>
      <c r="B104" s="17" t="s">
        <v>192</v>
      </c>
      <c r="C104" s="17" t="s">
        <v>56</v>
      </c>
      <c r="D104" s="17" t="s">
        <v>28</v>
      </c>
      <c r="E104" s="18">
        <f>ROUND(9423*1.05,2)</f>
      </c>
      <c r="F104" s="17" t="s">
        <v>29</v>
      </c>
      <c r="G104" s="17" t="s">
        <v>30</v>
      </c>
      <c r="H104" s="18">
        <f>ROUND(RAND()*4+6,1)</f>
      </c>
      <c r="I104" s="17" t="s">
        <v>31</v>
      </c>
      <c r="J104" s="19">
        <f>ROUND(63*1,0)&amp;"%"</f>
      </c>
    </row>
    <row x14ac:dyDescent="0.25" r="105" customHeight="1" ht="17.25">
      <c r="A105" s="20" t="s">
        <v>12583</v>
      </c>
      <c r="B105" s="20" t="s">
        <v>194</v>
      </c>
      <c r="C105" s="20" t="s">
        <v>56</v>
      </c>
      <c r="D105" s="20" t="s">
        <v>34</v>
      </c>
      <c r="E105" s="21">
        <f>ROUND(7127*1.05,2)</f>
      </c>
      <c r="F105" s="20" t="s">
        <v>35</v>
      </c>
      <c r="G105" s="20" t="s">
        <v>18</v>
      </c>
      <c r="H105" s="21">
        <f>ROUND(RAND()*4+6,1)</f>
      </c>
      <c r="I105" s="20" t="s">
        <v>36</v>
      </c>
      <c r="J105" s="23">
        <f>ROUND(85*1,0)&amp;"%"</f>
      </c>
    </row>
    <row x14ac:dyDescent="0.25" r="106" customHeight="1" ht="17.25">
      <c r="A106" s="17" t="s">
        <v>12584</v>
      </c>
      <c r="B106" s="17" t="s">
        <v>196</v>
      </c>
      <c r="C106" s="17" t="s">
        <v>56</v>
      </c>
      <c r="D106" s="17" t="s">
        <v>39</v>
      </c>
      <c r="E106" s="18">
        <f>ROUND(13821*1.05,2)</f>
      </c>
      <c r="F106" s="17" t="s">
        <v>40</v>
      </c>
      <c r="G106" s="17" t="s">
        <v>24</v>
      </c>
      <c r="H106" s="18">
        <f>ROUND(RAND()*4+6,1)</f>
      </c>
      <c r="I106" s="17" t="s">
        <v>41</v>
      </c>
      <c r="J106" s="19">
        <f>ROUND(94*1,0)&amp;"%"</f>
      </c>
    </row>
    <row x14ac:dyDescent="0.25" r="107" customHeight="1" ht="17.25">
      <c r="A107" s="20" t="s">
        <v>12585</v>
      </c>
      <c r="B107" s="20" t="s">
        <v>198</v>
      </c>
      <c r="C107" s="20" t="s">
        <v>56</v>
      </c>
      <c r="D107" s="20" t="s">
        <v>67</v>
      </c>
      <c r="E107" s="21">
        <f>ROUND(17024*1.05,2)</f>
      </c>
      <c r="F107" s="20" t="s">
        <v>44</v>
      </c>
      <c r="G107" s="20" t="s">
        <v>30</v>
      </c>
      <c r="H107" s="22">
        <f>ROUND(RAND()*4+6,1)</f>
      </c>
      <c r="I107" s="20" t="s">
        <v>45</v>
      </c>
      <c r="J107" s="23">
        <f>ROUND(78*1,0)&amp;"%"</f>
      </c>
    </row>
    <row x14ac:dyDescent="0.25" r="108" customHeight="1" ht="17.25">
      <c r="A108" s="17" t="s">
        <v>12586</v>
      </c>
      <c r="B108" s="17" t="s">
        <v>200</v>
      </c>
      <c r="C108" s="17" t="s">
        <v>56</v>
      </c>
      <c r="D108" s="17" t="s">
        <v>16</v>
      </c>
      <c r="E108" s="18">
        <f>ROUND(7317*1.05,2)</f>
      </c>
      <c r="F108" s="17" t="s">
        <v>48</v>
      </c>
      <c r="G108" s="17" t="s">
        <v>18</v>
      </c>
      <c r="H108" s="26">
        <f>ROUND(RAND()*4+6,1)</f>
      </c>
      <c r="I108" s="17" t="s">
        <v>19</v>
      </c>
      <c r="J108" s="19">
        <f>ROUND(81*1,0)&amp;"%"</f>
      </c>
    </row>
    <row x14ac:dyDescent="0.25" r="109" customHeight="1" ht="17.25">
      <c r="A109" s="20" t="s">
        <v>12587</v>
      </c>
      <c r="B109" s="20" t="s">
        <v>202</v>
      </c>
      <c r="C109" s="20" t="s">
        <v>56</v>
      </c>
      <c r="D109" s="20" t="s">
        <v>22</v>
      </c>
      <c r="E109" s="21">
        <f>ROUND(7864*1.05,2)</f>
      </c>
      <c r="F109" s="20" t="s">
        <v>51</v>
      </c>
      <c r="G109" s="20" t="s">
        <v>24</v>
      </c>
      <c r="H109" s="21">
        <f>ROUND(RAND()*4+6,1)</f>
      </c>
      <c r="I109" s="20" t="s">
        <v>25</v>
      </c>
      <c r="J109" s="23">
        <f>ROUND(88*1,0)&amp;"%"</f>
      </c>
    </row>
    <row x14ac:dyDescent="0.25" r="110" customHeight="1" ht="17.25">
      <c r="A110" s="24" t="s">
        <v>203</v>
      </c>
      <c r="B110" s="24"/>
      <c r="C110" s="24"/>
      <c r="D110" s="24"/>
      <c r="E110" s="25">
        <v>8</v>
      </c>
      <c r="F110" s="9"/>
      <c r="G110" s="9"/>
      <c r="H110" s="10"/>
      <c r="I110" s="9"/>
      <c r="J110" s="9"/>
    </row>
    <row x14ac:dyDescent="0.25" r="111" customHeight="1" ht="17.25">
      <c r="A111" s="7"/>
      <c r="B111" s="7"/>
      <c r="C111" s="7"/>
      <c r="D111" s="7"/>
      <c r="E111" s="8"/>
      <c r="F111" s="9"/>
      <c r="G111" s="9"/>
      <c r="H111" s="10"/>
      <c r="I111" s="9"/>
      <c r="J111" s="9"/>
    </row>
    <row x14ac:dyDescent="0.25" r="112" customHeight="1" ht="17.25">
      <c r="A112" s="11" t="s">
        <v>12588</v>
      </c>
      <c r="B112" s="11"/>
      <c r="C112" s="11"/>
      <c r="D112" s="11"/>
      <c r="E112" s="12"/>
      <c r="F112" s="11"/>
      <c r="G112" s="11"/>
      <c r="H112" s="13"/>
      <c r="I112" s="11"/>
      <c r="J112" s="11"/>
    </row>
    <row x14ac:dyDescent="0.25" r="113" customHeight="1" ht="17.25">
      <c r="A113" s="14" t="s">
        <v>3</v>
      </c>
      <c r="B113" s="14" t="s">
        <v>4</v>
      </c>
      <c r="C113" s="14" t="s">
        <v>5</v>
      </c>
      <c r="D113" s="14" t="s">
        <v>6</v>
      </c>
      <c r="E113" s="15" t="s">
        <v>7</v>
      </c>
      <c r="F113" s="14" t="s">
        <v>8</v>
      </c>
      <c r="G113" s="14" t="s">
        <v>9</v>
      </c>
      <c r="H113" s="16" t="s">
        <v>10</v>
      </c>
      <c r="I113" s="14" t="s">
        <v>11</v>
      </c>
      <c r="J113" s="14" t="s">
        <v>12</v>
      </c>
    </row>
    <row x14ac:dyDescent="0.25" r="114" customHeight="1" ht="17.25">
      <c r="A114" s="17" t="s">
        <v>12589</v>
      </c>
      <c r="B114" s="17" t="s">
        <v>206</v>
      </c>
      <c r="C114" s="17" t="s">
        <v>76</v>
      </c>
      <c r="D114" s="17" t="s">
        <v>16</v>
      </c>
      <c r="E114" s="18">
        <f>ROUND(5588*1.05,2)</f>
      </c>
      <c r="F114" s="17" t="s">
        <v>17</v>
      </c>
      <c r="G114" s="17" t="s">
        <v>18</v>
      </c>
      <c r="H114" s="18">
        <f>ROUND(RAND()*4+6,1)</f>
      </c>
      <c r="I114" s="17" t="s">
        <v>19</v>
      </c>
      <c r="J114" s="19">
        <f>ROUND(79*1,0)&amp;"%"</f>
      </c>
    </row>
    <row x14ac:dyDescent="0.25" r="115" customHeight="1" ht="17.25">
      <c r="A115" s="20" t="s">
        <v>12590</v>
      </c>
      <c r="B115" s="20" t="s">
        <v>208</v>
      </c>
      <c r="C115" s="20" t="s">
        <v>76</v>
      </c>
      <c r="D115" s="20" t="s">
        <v>22</v>
      </c>
      <c r="E115" s="21">
        <f>ROUND(10346*1.05,2)</f>
      </c>
      <c r="F115" s="20" t="s">
        <v>23</v>
      </c>
      <c r="G115" s="20" t="s">
        <v>24</v>
      </c>
      <c r="H115" s="21">
        <f>ROUND(RAND()*4+6,1)</f>
      </c>
      <c r="I115" s="20" t="s">
        <v>25</v>
      </c>
      <c r="J115" s="23">
        <f>ROUND(86*1,0)&amp;"%"</f>
      </c>
    </row>
    <row x14ac:dyDescent="0.25" r="116" customHeight="1" ht="17.25">
      <c r="A116" s="17" t="s">
        <v>12591</v>
      </c>
      <c r="B116" s="17" t="s">
        <v>210</v>
      </c>
      <c r="C116" s="17" t="s">
        <v>76</v>
      </c>
      <c r="D116" s="17" t="s">
        <v>28</v>
      </c>
      <c r="E116" s="18">
        <f>ROUND(8567*1.05,2)</f>
      </c>
      <c r="F116" s="17" t="s">
        <v>29</v>
      </c>
      <c r="G116" s="17" t="s">
        <v>30</v>
      </c>
      <c r="H116" s="18">
        <f>ROUND(RAND()*4+6,1)</f>
      </c>
      <c r="I116" s="17" t="s">
        <v>31</v>
      </c>
      <c r="J116" s="19">
        <f>ROUND(85*1,0)&amp;"%"</f>
      </c>
    </row>
    <row x14ac:dyDescent="0.25" r="117" customHeight="1" ht="17.25">
      <c r="A117" s="20" t="s">
        <v>12592</v>
      </c>
      <c r="B117" s="20" t="s">
        <v>212</v>
      </c>
      <c r="C117" s="20" t="s">
        <v>76</v>
      </c>
      <c r="D117" s="20" t="s">
        <v>34</v>
      </c>
      <c r="E117" s="21">
        <f>ROUND(8499*1.05,2)</f>
      </c>
      <c r="F117" s="20" t="s">
        <v>35</v>
      </c>
      <c r="G117" s="20" t="s">
        <v>18</v>
      </c>
      <c r="H117" s="21">
        <f>ROUND(RAND()*4+6,1)</f>
      </c>
      <c r="I117" s="20" t="s">
        <v>36</v>
      </c>
      <c r="J117" s="23">
        <f>ROUND(60*1,0)&amp;"%"</f>
      </c>
    </row>
    <row x14ac:dyDescent="0.25" r="118" customHeight="1" ht="17.25">
      <c r="A118" s="17" t="s">
        <v>12593</v>
      </c>
      <c r="B118" s="17" t="s">
        <v>214</v>
      </c>
      <c r="C118" s="17" t="s">
        <v>76</v>
      </c>
      <c r="D118" s="17" t="s">
        <v>39</v>
      </c>
      <c r="E118" s="18">
        <f>ROUND(14129*1.05,2)</f>
      </c>
      <c r="F118" s="17" t="s">
        <v>40</v>
      </c>
      <c r="G118" s="17" t="s">
        <v>24</v>
      </c>
      <c r="H118" s="18">
        <f>ROUND(RAND()*4+6,1)</f>
      </c>
      <c r="I118" s="17" t="s">
        <v>41</v>
      </c>
      <c r="J118" s="19">
        <f>ROUND(82*1,0)&amp;"%"</f>
      </c>
    </row>
    <row x14ac:dyDescent="0.25" r="119" customHeight="1" ht="17.25">
      <c r="A119" s="20" t="s">
        <v>12594</v>
      </c>
      <c r="B119" s="20" t="s">
        <v>216</v>
      </c>
      <c r="C119" s="20" t="s">
        <v>76</v>
      </c>
      <c r="D119" s="20" t="s">
        <v>67</v>
      </c>
      <c r="E119" s="21">
        <f>ROUND(9767*1.05,2)</f>
      </c>
      <c r="F119" s="20" t="s">
        <v>44</v>
      </c>
      <c r="G119" s="20" t="s">
        <v>30</v>
      </c>
      <c r="H119" s="21">
        <f>ROUND(RAND()*4+6,1)</f>
      </c>
      <c r="I119" s="20" t="s">
        <v>45</v>
      </c>
      <c r="J119" s="23">
        <f>ROUND(87*1,0)&amp;"%"</f>
      </c>
    </row>
    <row x14ac:dyDescent="0.25" r="120" customHeight="1" ht="17.25">
      <c r="A120" s="17" t="s">
        <v>12595</v>
      </c>
      <c r="B120" s="17" t="s">
        <v>218</v>
      </c>
      <c r="C120" s="17" t="s">
        <v>76</v>
      </c>
      <c r="D120" s="17" t="s">
        <v>16</v>
      </c>
      <c r="E120" s="18">
        <f>ROUND(10709*1.05,2)</f>
      </c>
      <c r="F120" s="17" t="s">
        <v>48</v>
      </c>
      <c r="G120" s="17" t="s">
        <v>18</v>
      </c>
      <c r="H120" s="26">
        <f>ROUND(RAND()*4+6,1)</f>
      </c>
      <c r="I120" s="17" t="s">
        <v>19</v>
      </c>
      <c r="J120" s="19">
        <f>ROUND(87*1,0)&amp;"%"</f>
      </c>
    </row>
    <row x14ac:dyDescent="0.25" r="121" customHeight="1" ht="17.25">
      <c r="A121" s="20" t="s">
        <v>12596</v>
      </c>
      <c r="B121" s="20" t="s">
        <v>220</v>
      </c>
      <c r="C121" s="20" t="s">
        <v>76</v>
      </c>
      <c r="D121" s="20" t="s">
        <v>22</v>
      </c>
      <c r="E121" s="21">
        <f>ROUND(5285*1.05,2)</f>
      </c>
      <c r="F121" s="20" t="s">
        <v>51</v>
      </c>
      <c r="G121" s="20" t="s">
        <v>24</v>
      </c>
      <c r="H121" s="21">
        <f>ROUND(RAND()*4+6,1)</f>
      </c>
      <c r="I121" s="20" t="s">
        <v>25</v>
      </c>
      <c r="J121" s="23">
        <f>ROUND(68*1,0)&amp;"%"</f>
      </c>
    </row>
    <row x14ac:dyDescent="0.25" r="122" customHeight="1" ht="17.25">
      <c r="A122" s="24" t="s">
        <v>221</v>
      </c>
      <c r="B122" s="24"/>
      <c r="C122" s="24"/>
      <c r="D122" s="24"/>
      <c r="E122" s="25">
        <v>8</v>
      </c>
      <c r="F122" s="9"/>
      <c r="G122" s="9"/>
      <c r="H122" s="10"/>
      <c r="I122" s="9"/>
      <c r="J122" s="9"/>
    </row>
    <row x14ac:dyDescent="0.25" r="123" customHeight="1" ht="17.25">
      <c r="A123" s="7"/>
      <c r="B123" s="7"/>
      <c r="C123" s="7"/>
      <c r="D123" s="7"/>
      <c r="E123" s="8"/>
      <c r="F123" s="9"/>
      <c r="G123" s="9"/>
      <c r="H123" s="10"/>
      <c r="I123" s="9"/>
      <c r="J123" s="9"/>
    </row>
    <row x14ac:dyDescent="0.25" r="124" customHeight="1" ht="17.25">
      <c r="A124" s="11" t="s">
        <v>12597</v>
      </c>
      <c r="B124" s="11"/>
      <c r="C124" s="11"/>
      <c r="D124" s="11"/>
      <c r="E124" s="12"/>
      <c r="F124" s="11"/>
      <c r="G124" s="11"/>
      <c r="H124" s="13"/>
      <c r="I124" s="11"/>
      <c r="J124" s="11"/>
    </row>
    <row x14ac:dyDescent="0.25" r="125" customHeight="1" ht="17.25">
      <c r="A125" s="14" t="s">
        <v>3</v>
      </c>
      <c r="B125" s="14" t="s">
        <v>4</v>
      </c>
      <c r="C125" s="14" t="s">
        <v>5</v>
      </c>
      <c r="D125" s="14" t="s">
        <v>6</v>
      </c>
      <c r="E125" s="15" t="s">
        <v>7</v>
      </c>
      <c r="F125" s="14" t="s">
        <v>8</v>
      </c>
      <c r="G125" s="14" t="s">
        <v>9</v>
      </c>
      <c r="H125" s="16" t="s">
        <v>10</v>
      </c>
      <c r="I125" s="14" t="s">
        <v>11</v>
      </c>
      <c r="J125" s="14" t="s">
        <v>12</v>
      </c>
    </row>
    <row x14ac:dyDescent="0.25" r="126" customHeight="1" ht="17.25">
      <c r="A126" s="17" t="s">
        <v>12598</v>
      </c>
      <c r="B126" s="17" t="s">
        <v>224</v>
      </c>
      <c r="C126" s="17" t="s">
        <v>95</v>
      </c>
      <c r="D126" s="17" t="s">
        <v>16</v>
      </c>
      <c r="E126" s="18">
        <f>ROUND(11154*1.05,2)</f>
      </c>
      <c r="F126" s="17" t="s">
        <v>17</v>
      </c>
      <c r="G126" s="17" t="s">
        <v>18</v>
      </c>
      <c r="H126" s="18">
        <f>ROUND(RAND()*4+6,1)</f>
      </c>
      <c r="I126" s="17" t="s">
        <v>19</v>
      </c>
      <c r="J126" s="19">
        <f>ROUND(60*1,0)&amp;"%"</f>
      </c>
    </row>
    <row x14ac:dyDescent="0.25" r="127" customHeight="1" ht="17.25">
      <c r="A127" s="20" t="s">
        <v>12599</v>
      </c>
      <c r="B127" s="20" t="s">
        <v>226</v>
      </c>
      <c r="C127" s="20" t="s">
        <v>95</v>
      </c>
      <c r="D127" s="20" t="s">
        <v>22</v>
      </c>
      <c r="E127" s="22">
        <f>ROUND(4600*1.05,2)</f>
      </c>
      <c r="F127" s="20" t="s">
        <v>23</v>
      </c>
      <c r="G127" s="20" t="s">
        <v>24</v>
      </c>
      <c r="H127" s="21">
        <f>ROUND(RAND()*4+6,1)</f>
      </c>
      <c r="I127" s="20" t="s">
        <v>25</v>
      </c>
      <c r="J127" s="23">
        <f>ROUND(100*1,0)&amp;"%"</f>
      </c>
    </row>
    <row x14ac:dyDescent="0.25" r="128" customHeight="1" ht="17.25">
      <c r="A128" s="17" t="s">
        <v>12600</v>
      </c>
      <c r="B128" s="17" t="s">
        <v>228</v>
      </c>
      <c r="C128" s="17" t="s">
        <v>95</v>
      </c>
      <c r="D128" s="17" t="s">
        <v>28</v>
      </c>
      <c r="E128" s="18">
        <f>ROUND(14093*1.05,2)</f>
      </c>
      <c r="F128" s="17" t="s">
        <v>29</v>
      </c>
      <c r="G128" s="17" t="s">
        <v>30</v>
      </c>
      <c r="H128" s="26">
        <f>ROUND(RAND()*4+6,1)</f>
      </c>
      <c r="I128" s="17" t="s">
        <v>31</v>
      </c>
      <c r="J128" s="19">
        <f>ROUND(95*1,0)&amp;"%"</f>
      </c>
    </row>
    <row x14ac:dyDescent="0.25" r="129" customHeight="1" ht="17.25">
      <c r="A129" s="20" t="s">
        <v>12601</v>
      </c>
      <c r="B129" s="20" t="s">
        <v>230</v>
      </c>
      <c r="C129" s="20" t="s">
        <v>95</v>
      </c>
      <c r="D129" s="20" t="s">
        <v>34</v>
      </c>
      <c r="E129" s="21">
        <f>ROUND(9581*1.05,2)</f>
      </c>
      <c r="F129" s="20" t="s">
        <v>35</v>
      </c>
      <c r="G129" s="20" t="s">
        <v>18</v>
      </c>
      <c r="H129" s="21">
        <f>ROUND(RAND()*4+6,1)</f>
      </c>
      <c r="I129" s="20" t="s">
        <v>36</v>
      </c>
      <c r="J129" s="23">
        <f>ROUND(96*1,0)&amp;"%"</f>
      </c>
    </row>
    <row x14ac:dyDescent="0.25" r="130" customHeight="1" ht="17.25">
      <c r="A130" s="17" t="s">
        <v>12602</v>
      </c>
      <c r="B130" s="17" t="s">
        <v>232</v>
      </c>
      <c r="C130" s="17" t="s">
        <v>95</v>
      </c>
      <c r="D130" s="17" t="s">
        <v>39</v>
      </c>
      <c r="E130" s="18">
        <f>ROUND(16217*1.05,2)</f>
      </c>
      <c r="F130" s="17" t="s">
        <v>40</v>
      </c>
      <c r="G130" s="17" t="s">
        <v>24</v>
      </c>
      <c r="H130" s="18">
        <f>ROUND(RAND()*4+6,1)</f>
      </c>
      <c r="I130" s="17" t="s">
        <v>41</v>
      </c>
      <c r="J130" s="19">
        <f>ROUND(72*1,0)&amp;"%"</f>
      </c>
    </row>
    <row x14ac:dyDescent="0.25" r="131" customHeight="1" ht="17.25">
      <c r="A131" s="20" t="s">
        <v>12603</v>
      </c>
      <c r="B131" s="20" t="s">
        <v>234</v>
      </c>
      <c r="C131" s="20" t="s">
        <v>95</v>
      </c>
      <c r="D131" s="20" t="s">
        <v>67</v>
      </c>
      <c r="E131" s="21">
        <f>ROUND(17169*1.05,2)</f>
      </c>
      <c r="F131" s="20" t="s">
        <v>44</v>
      </c>
      <c r="G131" s="20" t="s">
        <v>30</v>
      </c>
      <c r="H131" s="21">
        <f>ROUND(RAND()*4+6,1)</f>
      </c>
      <c r="I131" s="20" t="s">
        <v>45</v>
      </c>
      <c r="J131" s="23">
        <f>ROUND(61*1,0)&amp;"%"</f>
      </c>
    </row>
    <row x14ac:dyDescent="0.25" r="132" customHeight="1" ht="17.25">
      <c r="A132" s="17" t="s">
        <v>12604</v>
      </c>
      <c r="B132" s="17" t="s">
        <v>236</v>
      </c>
      <c r="C132" s="17" t="s">
        <v>95</v>
      </c>
      <c r="D132" s="17" t="s">
        <v>16</v>
      </c>
      <c r="E132" s="18">
        <f>ROUND(11803*1.05,2)</f>
      </c>
      <c r="F132" s="17" t="s">
        <v>48</v>
      </c>
      <c r="G132" s="17" t="s">
        <v>18</v>
      </c>
      <c r="H132" s="18">
        <f>ROUND(RAND()*4+6,1)</f>
      </c>
      <c r="I132" s="17" t="s">
        <v>19</v>
      </c>
      <c r="J132" s="19">
        <f>ROUND(83*1,0)&amp;"%"</f>
      </c>
    </row>
    <row x14ac:dyDescent="0.25" r="133" customHeight="1" ht="17.25">
      <c r="A133" s="20" t="s">
        <v>12605</v>
      </c>
      <c r="B133" s="20" t="s">
        <v>238</v>
      </c>
      <c r="C133" s="20" t="s">
        <v>95</v>
      </c>
      <c r="D133" s="20" t="s">
        <v>22</v>
      </c>
      <c r="E133" s="21">
        <f>ROUND(8963*1.05,2)</f>
      </c>
      <c r="F133" s="20" t="s">
        <v>51</v>
      </c>
      <c r="G133" s="20" t="s">
        <v>24</v>
      </c>
      <c r="H133" s="21">
        <f>ROUND(RAND()*4+6,1)</f>
      </c>
      <c r="I133" s="20" t="s">
        <v>25</v>
      </c>
      <c r="J133" s="23">
        <f>ROUND(76*1,0)&amp;"%"</f>
      </c>
    </row>
    <row x14ac:dyDescent="0.25" r="134" customHeight="1" ht="17.25">
      <c r="A134" s="24" t="s">
        <v>239</v>
      </c>
      <c r="B134" s="24"/>
      <c r="C134" s="24"/>
      <c r="D134" s="24"/>
      <c r="E134" s="25">
        <v>8</v>
      </c>
      <c r="F134" s="9"/>
      <c r="G134" s="9"/>
      <c r="H134" s="10"/>
      <c r="I134" s="9"/>
      <c r="J134" s="9"/>
    </row>
    <row x14ac:dyDescent="0.25" r="135" customHeight="1" ht="17.25">
      <c r="A135" s="7"/>
      <c r="B135" s="7"/>
      <c r="C135" s="7"/>
      <c r="D135" s="7"/>
      <c r="E135" s="8"/>
      <c r="F135" s="9"/>
      <c r="G135" s="9"/>
      <c r="H135" s="10"/>
      <c r="I135" s="9"/>
      <c r="J135" s="9"/>
    </row>
    <row x14ac:dyDescent="0.25" r="136" customHeight="1" ht="17.25">
      <c r="A136" s="11" t="s">
        <v>12606</v>
      </c>
      <c r="B136" s="11"/>
      <c r="C136" s="11"/>
      <c r="D136" s="11"/>
      <c r="E136" s="12"/>
      <c r="F136" s="11"/>
      <c r="G136" s="11"/>
      <c r="H136" s="13"/>
      <c r="I136" s="11"/>
      <c r="J136" s="11"/>
    </row>
    <row x14ac:dyDescent="0.25" r="137" customHeight="1" ht="17.25">
      <c r="A137" s="14" t="s">
        <v>3</v>
      </c>
      <c r="B137" s="14" t="s">
        <v>4</v>
      </c>
      <c r="C137" s="14" t="s">
        <v>5</v>
      </c>
      <c r="D137" s="14" t="s">
        <v>6</v>
      </c>
      <c r="E137" s="15" t="s">
        <v>7</v>
      </c>
      <c r="F137" s="14" t="s">
        <v>8</v>
      </c>
      <c r="G137" s="14" t="s">
        <v>9</v>
      </c>
      <c r="H137" s="16" t="s">
        <v>10</v>
      </c>
      <c r="I137" s="14" t="s">
        <v>11</v>
      </c>
      <c r="J137" s="14" t="s">
        <v>12</v>
      </c>
    </row>
    <row x14ac:dyDescent="0.25" r="138" customHeight="1" ht="17.25">
      <c r="A138" s="17" t="s">
        <v>12607</v>
      </c>
      <c r="B138" s="17" t="s">
        <v>242</v>
      </c>
      <c r="C138" s="17" t="s">
        <v>114</v>
      </c>
      <c r="D138" s="17" t="s">
        <v>16</v>
      </c>
      <c r="E138" s="18">
        <f>ROUND(16642*1.05,2)</f>
      </c>
      <c r="F138" s="17" t="s">
        <v>17</v>
      </c>
      <c r="G138" s="17" t="s">
        <v>18</v>
      </c>
      <c r="H138" s="18">
        <f>ROUND(RAND()*4+6,1)</f>
      </c>
      <c r="I138" s="17" t="s">
        <v>19</v>
      </c>
      <c r="J138" s="19">
        <f>ROUND(72*1,0)&amp;"%"</f>
      </c>
    </row>
    <row x14ac:dyDescent="0.25" r="139" customHeight="1" ht="17.25">
      <c r="A139" s="20" t="s">
        <v>12608</v>
      </c>
      <c r="B139" s="20" t="s">
        <v>244</v>
      </c>
      <c r="C139" s="20" t="s">
        <v>114</v>
      </c>
      <c r="D139" s="20" t="s">
        <v>22</v>
      </c>
      <c r="E139" s="21">
        <f>ROUND(17465*1.05,2)</f>
      </c>
      <c r="F139" s="20" t="s">
        <v>23</v>
      </c>
      <c r="G139" s="20" t="s">
        <v>24</v>
      </c>
      <c r="H139" s="21">
        <f>ROUND(RAND()*4+6,1)</f>
      </c>
      <c r="I139" s="20" t="s">
        <v>25</v>
      </c>
      <c r="J139" s="23">
        <f>ROUND(97*1,0)&amp;"%"</f>
      </c>
    </row>
    <row x14ac:dyDescent="0.25" r="140" customHeight="1" ht="17.25">
      <c r="A140" s="17" t="s">
        <v>12609</v>
      </c>
      <c r="B140" s="17" t="s">
        <v>246</v>
      </c>
      <c r="C140" s="17" t="s">
        <v>114</v>
      </c>
      <c r="D140" s="17" t="s">
        <v>28</v>
      </c>
      <c r="E140" s="18">
        <f>ROUND(5687*1.05,2)</f>
      </c>
      <c r="F140" s="17" t="s">
        <v>29</v>
      </c>
      <c r="G140" s="17" t="s">
        <v>30</v>
      </c>
      <c r="H140" s="18">
        <f>ROUND(RAND()*4+6,1)</f>
      </c>
      <c r="I140" s="17" t="s">
        <v>31</v>
      </c>
      <c r="J140" s="19">
        <f>ROUND(95*1,0)&amp;"%"</f>
      </c>
    </row>
    <row x14ac:dyDescent="0.25" r="141" customHeight="1" ht="17.25">
      <c r="A141" s="20" t="s">
        <v>12610</v>
      </c>
      <c r="B141" s="20" t="s">
        <v>248</v>
      </c>
      <c r="C141" s="20" t="s">
        <v>114</v>
      </c>
      <c r="D141" s="20" t="s">
        <v>34</v>
      </c>
      <c r="E141" s="21">
        <f>ROUND(5917*1.05,2)</f>
      </c>
      <c r="F141" s="20" t="s">
        <v>35</v>
      </c>
      <c r="G141" s="20" t="s">
        <v>18</v>
      </c>
      <c r="H141" s="21">
        <f>ROUND(RAND()*4+6,1)</f>
      </c>
      <c r="I141" s="20" t="s">
        <v>36</v>
      </c>
      <c r="J141" s="23">
        <f>ROUND(62*1,0)&amp;"%"</f>
      </c>
    </row>
    <row x14ac:dyDescent="0.25" r="142" customHeight="1" ht="17.25">
      <c r="A142" s="17" t="s">
        <v>12611</v>
      </c>
      <c r="B142" s="17" t="s">
        <v>250</v>
      </c>
      <c r="C142" s="17" t="s">
        <v>114</v>
      </c>
      <c r="D142" s="17" t="s">
        <v>39</v>
      </c>
      <c r="E142" s="18">
        <f>ROUND(8901*1.05,2)</f>
      </c>
      <c r="F142" s="17" t="s">
        <v>40</v>
      </c>
      <c r="G142" s="17" t="s">
        <v>24</v>
      </c>
      <c r="H142" s="18">
        <f>ROUND(RAND()*4+6,1)</f>
      </c>
      <c r="I142" s="17" t="s">
        <v>41</v>
      </c>
      <c r="J142" s="19">
        <f>ROUND(62*1,0)&amp;"%"</f>
      </c>
    </row>
    <row x14ac:dyDescent="0.25" r="143" customHeight="1" ht="17.25">
      <c r="A143" s="20" t="s">
        <v>12612</v>
      </c>
      <c r="B143" s="20" t="s">
        <v>252</v>
      </c>
      <c r="C143" s="20" t="s">
        <v>114</v>
      </c>
      <c r="D143" s="20" t="s">
        <v>67</v>
      </c>
      <c r="E143" s="21">
        <f>ROUND(5019*1.05,2)</f>
      </c>
      <c r="F143" s="20" t="s">
        <v>44</v>
      </c>
      <c r="G143" s="20" t="s">
        <v>30</v>
      </c>
      <c r="H143" s="21">
        <f>ROUND(RAND()*4+6,1)</f>
      </c>
      <c r="I143" s="20" t="s">
        <v>45</v>
      </c>
      <c r="J143" s="23">
        <f>ROUND(83*1,0)&amp;"%"</f>
      </c>
    </row>
    <row x14ac:dyDescent="0.25" r="144" customHeight="1" ht="17.25">
      <c r="A144" s="17" t="s">
        <v>12613</v>
      </c>
      <c r="B144" s="17" t="s">
        <v>254</v>
      </c>
      <c r="C144" s="17" t="s">
        <v>114</v>
      </c>
      <c r="D144" s="17" t="s">
        <v>16</v>
      </c>
      <c r="E144" s="18">
        <f>ROUND(9197*1.05,2)</f>
      </c>
      <c r="F144" s="17" t="s">
        <v>48</v>
      </c>
      <c r="G144" s="17" t="s">
        <v>18</v>
      </c>
      <c r="H144" s="18">
        <f>ROUND(RAND()*4+6,1)</f>
      </c>
      <c r="I144" s="17" t="s">
        <v>19</v>
      </c>
      <c r="J144" s="19">
        <f>ROUND(60*1,0)&amp;"%"</f>
      </c>
    </row>
    <row x14ac:dyDescent="0.25" r="145" customHeight="1" ht="17.25">
      <c r="A145" s="20" t="s">
        <v>12614</v>
      </c>
      <c r="B145" s="20" t="s">
        <v>256</v>
      </c>
      <c r="C145" s="20" t="s">
        <v>114</v>
      </c>
      <c r="D145" s="20" t="s">
        <v>22</v>
      </c>
      <c r="E145" s="21">
        <f>ROUND(8703*1.05,2)</f>
      </c>
      <c r="F145" s="20" t="s">
        <v>51</v>
      </c>
      <c r="G145" s="20" t="s">
        <v>24</v>
      </c>
      <c r="H145" s="21">
        <f>ROUND(RAND()*4+6,1)</f>
      </c>
      <c r="I145" s="20" t="s">
        <v>25</v>
      </c>
      <c r="J145" s="23">
        <f>ROUND(73*1,0)&amp;"%"</f>
      </c>
    </row>
    <row x14ac:dyDescent="0.25" r="146" customHeight="1" ht="17.25">
      <c r="A146" s="24" t="s">
        <v>257</v>
      </c>
      <c r="B146" s="24"/>
      <c r="C146" s="24"/>
      <c r="D146" s="24"/>
      <c r="E146" s="25">
        <v>8</v>
      </c>
      <c r="F146" s="9"/>
      <c r="G146" s="9"/>
      <c r="H146" s="10"/>
      <c r="I146" s="9"/>
      <c r="J146" s="9"/>
    </row>
    <row x14ac:dyDescent="0.25" r="147" customHeight="1" ht="17.25">
      <c r="A147" s="7"/>
      <c r="B147" s="7"/>
      <c r="C147" s="7"/>
      <c r="D147" s="7"/>
      <c r="E147" s="8"/>
      <c r="F147" s="9"/>
      <c r="G147" s="9"/>
      <c r="H147" s="10"/>
      <c r="I147" s="9"/>
      <c r="J147" s="9"/>
    </row>
    <row x14ac:dyDescent="0.25" r="148" customHeight="1" ht="17.25">
      <c r="A148" s="11" t="s">
        <v>12615</v>
      </c>
      <c r="B148" s="11"/>
      <c r="C148" s="11"/>
      <c r="D148" s="11"/>
      <c r="E148" s="12"/>
      <c r="F148" s="11"/>
      <c r="G148" s="11"/>
      <c r="H148" s="13"/>
      <c r="I148" s="11"/>
      <c r="J148" s="11"/>
    </row>
    <row x14ac:dyDescent="0.25" r="149" customHeight="1" ht="17.25">
      <c r="A149" s="14" t="s">
        <v>3</v>
      </c>
      <c r="B149" s="14" t="s">
        <v>4</v>
      </c>
      <c r="C149" s="14" t="s">
        <v>5</v>
      </c>
      <c r="D149" s="14" t="s">
        <v>6</v>
      </c>
      <c r="E149" s="15" t="s">
        <v>7</v>
      </c>
      <c r="F149" s="14" t="s">
        <v>8</v>
      </c>
      <c r="G149" s="14" t="s">
        <v>9</v>
      </c>
      <c r="H149" s="16" t="s">
        <v>10</v>
      </c>
      <c r="I149" s="14" t="s">
        <v>11</v>
      </c>
      <c r="J149" s="14" t="s">
        <v>12</v>
      </c>
    </row>
    <row x14ac:dyDescent="0.25" r="150" customHeight="1" ht="17.25">
      <c r="A150" s="17" t="s">
        <v>12616</v>
      </c>
      <c r="B150" s="17" t="s">
        <v>260</v>
      </c>
      <c r="C150" s="17" t="s">
        <v>133</v>
      </c>
      <c r="D150" s="17" t="s">
        <v>16</v>
      </c>
      <c r="E150" s="18">
        <f>ROUND(7231*1.05,2)</f>
      </c>
      <c r="F150" s="17" t="s">
        <v>17</v>
      </c>
      <c r="G150" s="17" t="s">
        <v>18</v>
      </c>
      <c r="H150" s="18">
        <f>ROUND(RAND()*4+6,1)</f>
      </c>
      <c r="I150" s="17" t="s">
        <v>19</v>
      </c>
      <c r="J150" s="19">
        <f>ROUND(87*1,0)&amp;"%"</f>
      </c>
    </row>
    <row x14ac:dyDescent="0.25" r="151" customHeight="1" ht="17.25">
      <c r="A151" s="20" t="s">
        <v>12617</v>
      </c>
      <c r="B151" s="20" t="s">
        <v>262</v>
      </c>
      <c r="C151" s="20" t="s">
        <v>133</v>
      </c>
      <c r="D151" s="20" t="s">
        <v>22</v>
      </c>
      <c r="E151" s="21">
        <f>ROUND(16885*1.05,2)</f>
      </c>
      <c r="F151" s="20" t="s">
        <v>23</v>
      </c>
      <c r="G151" s="20" t="s">
        <v>24</v>
      </c>
      <c r="H151" s="21">
        <f>ROUND(RAND()*4+6,1)</f>
      </c>
      <c r="I151" s="20" t="s">
        <v>25</v>
      </c>
      <c r="J151" s="23">
        <f>ROUND(66*1,0)&amp;"%"</f>
      </c>
    </row>
    <row x14ac:dyDescent="0.25" r="152" customHeight="1" ht="17.25">
      <c r="A152" s="17" t="s">
        <v>12618</v>
      </c>
      <c r="B152" s="17" t="s">
        <v>264</v>
      </c>
      <c r="C152" s="17" t="s">
        <v>133</v>
      </c>
      <c r="D152" s="17" t="s">
        <v>28</v>
      </c>
      <c r="E152" s="18">
        <f>ROUND(6895*1.05,2)</f>
      </c>
      <c r="F152" s="17" t="s">
        <v>29</v>
      </c>
      <c r="G152" s="17" t="s">
        <v>30</v>
      </c>
      <c r="H152" s="18">
        <f>ROUND(RAND()*4+6,1)</f>
      </c>
      <c r="I152" s="17" t="s">
        <v>31</v>
      </c>
      <c r="J152" s="19">
        <f>ROUND(92*1,0)&amp;"%"</f>
      </c>
    </row>
    <row x14ac:dyDescent="0.25" r="153" customHeight="1" ht="17.25">
      <c r="A153" s="20" t="s">
        <v>12619</v>
      </c>
      <c r="B153" s="20" t="s">
        <v>266</v>
      </c>
      <c r="C153" s="20" t="s">
        <v>133</v>
      </c>
      <c r="D153" s="20" t="s">
        <v>34</v>
      </c>
      <c r="E153" s="21">
        <f>ROUND(15875*1.05,2)</f>
      </c>
      <c r="F153" s="20" t="s">
        <v>35</v>
      </c>
      <c r="G153" s="20" t="s">
        <v>18</v>
      </c>
      <c r="H153" s="21">
        <f>ROUND(RAND()*4+6,1)</f>
      </c>
      <c r="I153" s="20" t="s">
        <v>36</v>
      </c>
      <c r="J153" s="23">
        <f>ROUND(93*1,0)&amp;"%"</f>
      </c>
    </row>
    <row x14ac:dyDescent="0.25" r="154" customHeight="1" ht="17.25">
      <c r="A154" s="17" t="s">
        <v>12620</v>
      </c>
      <c r="B154" s="17" t="s">
        <v>268</v>
      </c>
      <c r="C154" s="17" t="s">
        <v>133</v>
      </c>
      <c r="D154" s="17" t="s">
        <v>39</v>
      </c>
      <c r="E154" s="18">
        <f>ROUND(5365*1.05,2)</f>
      </c>
      <c r="F154" s="17" t="s">
        <v>40</v>
      </c>
      <c r="G154" s="17" t="s">
        <v>24</v>
      </c>
      <c r="H154" s="18">
        <f>ROUND(RAND()*4+6,1)</f>
      </c>
      <c r="I154" s="17" t="s">
        <v>41</v>
      </c>
      <c r="J154" s="19">
        <f>ROUND(91*1,0)&amp;"%"</f>
      </c>
    </row>
    <row x14ac:dyDescent="0.25" r="155" customHeight="1" ht="17.25">
      <c r="A155" s="20" t="s">
        <v>12621</v>
      </c>
      <c r="B155" s="20" t="s">
        <v>270</v>
      </c>
      <c r="C155" s="20" t="s">
        <v>133</v>
      </c>
      <c r="D155" s="20" t="s">
        <v>67</v>
      </c>
      <c r="E155" s="21">
        <f>ROUND(8202*1.05,2)</f>
      </c>
      <c r="F155" s="20" t="s">
        <v>44</v>
      </c>
      <c r="G155" s="20" t="s">
        <v>30</v>
      </c>
      <c r="H155" s="21">
        <f>ROUND(RAND()*4+6,1)</f>
      </c>
      <c r="I155" s="20" t="s">
        <v>45</v>
      </c>
      <c r="J155" s="23">
        <f>ROUND(99*1,0)&amp;"%"</f>
      </c>
    </row>
    <row x14ac:dyDescent="0.25" r="156" customHeight="1" ht="17.25">
      <c r="A156" s="17" t="s">
        <v>12622</v>
      </c>
      <c r="B156" s="17" t="s">
        <v>272</v>
      </c>
      <c r="C156" s="17" t="s">
        <v>133</v>
      </c>
      <c r="D156" s="17" t="s">
        <v>16</v>
      </c>
      <c r="E156" s="18">
        <f>ROUND(12754*1.05,2)</f>
      </c>
      <c r="F156" s="17" t="s">
        <v>48</v>
      </c>
      <c r="G156" s="17" t="s">
        <v>18</v>
      </c>
      <c r="H156" s="18">
        <f>ROUND(RAND()*4+6,1)</f>
      </c>
      <c r="I156" s="17" t="s">
        <v>19</v>
      </c>
      <c r="J156" s="19">
        <f>ROUND(94*1,0)&amp;"%"</f>
      </c>
    </row>
    <row x14ac:dyDescent="0.25" r="157" customHeight="1" ht="17.25">
      <c r="A157" s="20" t="s">
        <v>12623</v>
      </c>
      <c r="B157" s="20" t="s">
        <v>274</v>
      </c>
      <c r="C157" s="20" t="s">
        <v>133</v>
      </c>
      <c r="D157" s="20" t="s">
        <v>22</v>
      </c>
      <c r="E157" s="22">
        <f>ROUND(17500*1.05,2)</f>
      </c>
      <c r="F157" s="20" t="s">
        <v>51</v>
      </c>
      <c r="G157" s="20" t="s">
        <v>24</v>
      </c>
      <c r="H157" s="21">
        <f>ROUND(RAND()*4+6,1)</f>
      </c>
      <c r="I157" s="20" t="s">
        <v>25</v>
      </c>
      <c r="J157" s="23">
        <f>ROUND(88*1,0)&amp;"%"</f>
      </c>
    </row>
    <row x14ac:dyDescent="0.25" r="158" customHeight="1" ht="17.25">
      <c r="A158" s="24" t="s">
        <v>275</v>
      </c>
      <c r="B158" s="24"/>
      <c r="C158" s="24"/>
      <c r="D158" s="24"/>
      <c r="E158" s="25">
        <v>8</v>
      </c>
      <c r="F158" s="9"/>
      <c r="G158" s="9"/>
      <c r="H158" s="10"/>
      <c r="I158" s="9"/>
      <c r="J158" s="9"/>
    </row>
    <row x14ac:dyDescent="0.25" r="159" customHeight="1" ht="17.25">
      <c r="A159" s="7"/>
      <c r="B159" s="7"/>
      <c r="C159" s="7"/>
      <c r="D159" s="7"/>
      <c r="E159" s="8"/>
      <c r="F159" s="9"/>
      <c r="G159" s="9"/>
      <c r="H159" s="10"/>
      <c r="I159" s="9"/>
      <c r="J159" s="9"/>
    </row>
    <row x14ac:dyDescent="0.25" r="160" customHeight="1" ht="17.25">
      <c r="A160" s="11" t="s">
        <v>12624</v>
      </c>
      <c r="B160" s="11"/>
      <c r="C160" s="11"/>
      <c r="D160" s="11"/>
      <c r="E160" s="12"/>
      <c r="F160" s="11"/>
      <c r="G160" s="11"/>
      <c r="H160" s="13"/>
      <c r="I160" s="11"/>
      <c r="J160" s="11"/>
    </row>
    <row x14ac:dyDescent="0.25" r="161" customHeight="1" ht="17.25">
      <c r="A161" s="14" t="s">
        <v>3</v>
      </c>
      <c r="B161" s="14" t="s">
        <v>4</v>
      </c>
      <c r="C161" s="14" t="s">
        <v>5</v>
      </c>
      <c r="D161" s="14" t="s">
        <v>6</v>
      </c>
      <c r="E161" s="15" t="s">
        <v>7</v>
      </c>
      <c r="F161" s="14" t="s">
        <v>8</v>
      </c>
      <c r="G161" s="14" t="s">
        <v>9</v>
      </c>
      <c r="H161" s="16" t="s">
        <v>10</v>
      </c>
      <c r="I161" s="14" t="s">
        <v>11</v>
      </c>
      <c r="J161" s="14" t="s">
        <v>12</v>
      </c>
    </row>
    <row x14ac:dyDescent="0.25" r="162" customHeight="1" ht="17.25">
      <c r="A162" s="17" t="s">
        <v>12625</v>
      </c>
      <c r="B162" s="17" t="s">
        <v>278</v>
      </c>
      <c r="C162" s="17" t="s">
        <v>152</v>
      </c>
      <c r="D162" s="17" t="s">
        <v>16</v>
      </c>
      <c r="E162" s="18">
        <f>ROUND(14014*1.05,2)</f>
      </c>
      <c r="F162" s="17" t="s">
        <v>17</v>
      </c>
      <c r="G162" s="17" t="s">
        <v>18</v>
      </c>
      <c r="H162" s="18">
        <f>ROUND(RAND()*4+6,1)</f>
      </c>
      <c r="I162" s="17" t="s">
        <v>19</v>
      </c>
      <c r="J162" s="19">
        <f>ROUND(91*1,0)&amp;"%"</f>
      </c>
    </row>
    <row x14ac:dyDescent="0.25" r="163" customHeight="1" ht="17.25">
      <c r="A163" s="20" t="s">
        <v>12626</v>
      </c>
      <c r="B163" s="20" t="s">
        <v>280</v>
      </c>
      <c r="C163" s="20" t="s">
        <v>152</v>
      </c>
      <c r="D163" s="20" t="s">
        <v>22</v>
      </c>
      <c r="E163" s="21">
        <f>ROUND(13154*1.05,2)</f>
      </c>
      <c r="F163" s="20" t="s">
        <v>23</v>
      </c>
      <c r="G163" s="20" t="s">
        <v>24</v>
      </c>
      <c r="H163" s="21">
        <f>ROUND(RAND()*4+6,1)</f>
      </c>
      <c r="I163" s="20" t="s">
        <v>25</v>
      </c>
      <c r="J163" s="23">
        <f>ROUND(76*1,0)&amp;"%"</f>
      </c>
    </row>
    <row x14ac:dyDescent="0.25" r="164" customHeight="1" ht="17.25">
      <c r="A164" s="17" t="s">
        <v>12627</v>
      </c>
      <c r="B164" s="17" t="s">
        <v>282</v>
      </c>
      <c r="C164" s="17" t="s">
        <v>152</v>
      </c>
      <c r="D164" s="17" t="s">
        <v>28</v>
      </c>
      <c r="E164" s="18">
        <f>ROUND(5907*1.05,2)</f>
      </c>
      <c r="F164" s="17" t="s">
        <v>29</v>
      </c>
      <c r="G164" s="17" t="s">
        <v>30</v>
      </c>
      <c r="H164" s="18">
        <f>ROUND(RAND()*4+6,1)</f>
      </c>
      <c r="I164" s="17" t="s">
        <v>31</v>
      </c>
      <c r="J164" s="19">
        <f>ROUND(94*1,0)&amp;"%"</f>
      </c>
    </row>
    <row x14ac:dyDescent="0.25" r="165" customHeight="1" ht="17.25">
      <c r="A165" s="20" t="s">
        <v>12628</v>
      </c>
      <c r="B165" s="20" t="s">
        <v>284</v>
      </c>
      <c r="C165" s="20" t="s">
        <v>152</v>
      </c>
      <c r="D165" s="20" t="s">
        <v>34</v>
      </c>
      <c r="E165" s="21">
        <f>ROUND(7634*1.05,2)</f>
      </c>
      <c r="F165" s="20" t="s">
        <v>35</v>
      </c>
      <c r="G165" s="20" t="s">
        <v>18</v>
      </c>
      <c r="H165" s="21">
        <f>ROUND(RAND()*4+6,1)</f>
      </c>
      <c r="I165" s="20" t="s">
        <v>36</v>
      </c>
      <c r="J165" s="23">
        <f>ROUND(65*1,0)&amp;"%"</f>
      </c>
    </row>
    <row x14ac:dyDescent="0.25" r="166" customHeight="1" ht="17.25">
      <c r="A166" s="17" t="s">
        <v>12629</v>
      </c>
      <c r="B166" s="17" t="s">
        <v>286</v>
      </c>
      <c r="C166" s="17" t="s">
        <v>152</v>
      </c>
      <c r="D166" s="17" t="s">
        <v>39</v>
      </c>
      <c r="E166" s="18">
        <f>ROUND(13359*1.05,2)</f>
      </c>
      <c r="F166" s="17" t="s">
        <v>40</v>
      </c>
      <c r="G166" s="17" t="s">
        <v>24</v>
      </c>
      <c r="H166" s="26">
        <f>ROUND(RAND()*4+6,1)</f>
      </c>
      <c r="I166" s="17" t="s">
        <v>41</v>
      </c>
      <c r="J166" s="19">
        <f>ROUND(86*1,0)&amp;"%"</f>
      </c>
    </row>
    <row x14ac:dyDescent="0.25" r="167" customHeight="1" ht="17.25">
      <c r="A167" s="20" t="s">
        <v>12630</v>
      </c>
      <c r="B167" s="20" t="s">
        <v>288</v>
      </c>
      <c r="C167" s="20" t="s">
        <v>152</v>
      </c>
      <c r="D167" s="20" t="s">
        <v>67</v>
      </c>
      <c r="E167" s="21">
        <f>ROUND(15669*1.05,2)</f>
      </c>
      <c r="F167" s="20" t="s">
        <v>44</v>
      </c>
      <c r="G167" s="20" t="s">
        <v>30</v>
      </c>
      <c r="H167" s="21">
        <f>ROUND(RAND()*4+6,1)</f>
      </c>
      <c r="I167" s="20" t="s">
        <v>45</v>
      </c>
      <c r="J167" s="23">
        <f>ROUND(90*1,0)&amp;"%"</f>
      </c>
    </row>
    <row x14ac:dyDescent="0.25" r="168" customHeight="1" ht="17.25">
      <c r="A168" s="17" t="s">
        <v>12631</v>
      </c>
      <c r="B168" s="17" t="s">
        <v>290</v>
      </c>
      <c r="C168" s="17" t="s">
        <v>152</v>
      </c>
      <c r="D168" s="17" t="s">
        <v>16</v>
      </c>
      <c r="E168" s="18">
        <f>ROUND(11474*1.05,2)</f>
      </c>
      <c r="F168" s="17" t="s">
        <v>48</v>
      </c>
      <c r="G168" s="17" t="s">
        <v>18</v>
      </c>
      <c r="H168" s="18">
        <f>ROUND(RAND()*4+6,1)</f>
      </c>
      <c r="I168" s="17" t="s">
        <v>19</v>
      </c>
      <c r="J168" s="19">
        <f>ROUND(99*1,0)&amp;"%"</f>
      </c>
    </row>
    <row x14ac:dyDescent="0.25" r="169" customHeight="1" ht="17.25">
      <c r="A169" s="20" t="s">
        <v>12632</v>
      </c>
      <c r="B169" s="20" t="s">
        <v>292</v>
      </c>
      <c r="C169" s="20" t="s">
        <v>152</v>
      </c>
      <c r="D169" s="20" t="s">
        <v>22</v>
      </c>
      <c r="E169" s="21">
        <f>ROUND(14727*1.05,2)</f>
      </c>
      <c r="F169" s="20" t="s">
        <v>51</v>
      </c>
      <c r="G169" s="20" t="s">
        <v>24</v>
      </c>
      <c r="H169" s="21">
        <f>ROUND(RAND()*4+6,1)</f>
      </c>
      <c r="I169" s="20" t="s">
        <v>25</v>
      </c>
      <c r="J169" s="23">
        <f>ROUND(69*1,0)&amp;"%"</f>
      </c>
    </row>
    <row x14ac:dyDescent="0.25" r="170" customHeight="1" ht="17.25">
      <c r="A170" s="24" t="s">
        <v>293</v>
      </c>
      <c r="B170" s="24"/>
      <c r="C170" s="24"/>
      <c r="D170" s="24"/>
      <c r="E170" s="25">
        <v>8</v>
      </c>
      <c r="F170" s="9"/>
      <c r="G170" s="9"/>
      <c r="H170" s="10"/>
      <c r="I170" s="9"/>
      <c r="J170" s="9"/>
    </row>
    <row x14ac:dyDescent="0.25" r="171" customHeight="1" ht="17.25">
      <c r="A171" s="7"/>
      <c r="B171" s="7"/>
      <c r="C171" s="7"/>
      <c r="D171" s="7"/>
      <c r="E171" s="8"/>
      <c r="F171" s="9"/>
      <c r="G171" s="9"/>
      <c r="H171" s="10"/>
      <c r="I171" s="9"/>
      <c r="J171" s="9"/>
    </row>
    <row x14ac:dyDescent="0.25" r="172" customHeight="1" ht="17.25">
      <c r="A172" s="11" t="s">
        <v>12633</v>
      </c>
      <c r="B172" s="11"/>
      <c r="C172" s="11"/>
      <c r="D172" s="11"/>
      <c r="E172" s="12"/>
      <c r="F172" s="11"/>
      <c r="G172" s="11"/>
      <c r="H172" s="13"/>
      <c r="I172" s="11"/>
      <c r="J172" s="11"/>
    </row>
    <row x14ac:dyDescent="0.25" r="173" customHeight="1" ht="17.25">
      <c r="A173" s="14" t="s">
        <v>3</v>
      </c>
      <c r="B173" s="14" t="s">
        <v>4</v>
      </c>
      <c r="C173" s="14" t="s">
        <v>5</v>
      </c>
      <c r="D173" s="14" t="s">
        <v>6</v>
      </c>
      <c r="E173" s="15" t="s">
        <v>7</v>
      </c>
      <c r="F173" s="14" t="s">
        <v>8</v>
      </c>
      <c r="G173" s="14" t="s">
        <v>9</v>
      </c>
      <c r="H173" s="16" t="s">
        <v>10</v>
      </c>
      <c r="I173" s="14" t="s">
        <v>11</v>
      </c>
      <c r="J173" s="14" t="s">
        <v>12</v>
      </c>
    </row>
    <row x14ac:dyDescent="0.25" r="174" customHeight="1" ht="17.25">
      <c r="A174" s="17" t="s">
        <v>12634</v>
      </c>
      <c r="B174" s="17" t="s">
        <v>296</v>
      </c>
      <c r="C174" s="17" t="s">
        <v>15</v>
      </c>
      <c r="D174" s="17" t="s">
        <v>16</v>
      </c>
      <c r="E174" s="18">
        <f>ROUND(15957*1.05,2)</f>
      </c>
      <c r="F174" s="17" t="s">
        <v>17</v>
      </c>
      <c r="G174" s="17" t="s">
        <v>18</v>
      </c>
      <c r="H174" s="18">
        <f>ROUND(RAND()*4+6,1)</f>
      </c>
      <c r="I174" s="17" t="s">
        <v>19</v>
      </c>
      <c r="J174" s="19">
        <f>ROUND(91*1,0)&amp;"%"</f>
      </c>
    </row>
    <row x14ac:dyDescent="0.25" r="175" customHeight="1" ht="17.25">
      <c r="A175" s="20" t="s">
        <v>12635</v>
      </c>
      <c r="B175" s="20" t="s">
        <v>298</v>
      </c>
      <c r="C175" s="20" t="s">
        <v>15</v>
      </c>
      <c r="D175" s="20" t="s">
        <v>22</v>
      </c>
      <c r="E175" s="21">
        <f>ROUND(10213*1.05,2)</f>
      </c>
      <c r="F175" s="20" t="s">
        <v>23</v>
      </c>
      <c r="G175" s="20" t="s">
        <v>24</v>
      </c>
      <c r="H175" s="21">
        <f>ROUND(RAND()*4+6,1)</f>
      </c>
      <c r="I175" s="20" t="s">
        <v>25</v>
      </c>
      <c r="J175" s="23">
        <f>ROUND(65*1,0)&amp;"%"</f>
      </c>
    </row>
    <row x14ac:dyDescent="0.25" r="176" customHeight="1" ht="17.25">
      <c r="A176" s="17" t="s">
        <v>12636</v>
      </c>
      <c r="B176" s="17" t="s">
        <v>300</v>
      </c>
      <c r="C176" s="17" t="s">
        <v>15</v>
      </c>
      <c r="D176" s="17" t="s">
        <v>28</v>
      </c>
      <c r="E176" s="18">
        <f>ROUND(17314*1.05,2)</f>
      </c>
      <c r="F176" s="17" t="s">
        <v>29</v>
      </c>
      <c r="G176" s="17" t="s">
        <v>30</v>
      </c>
      <c r="H176" s="18">
        <f>ROUND(RAND()*4+6,1)</f>
      </c>
      <c r="I176" s="17" t="s">
        <v>31</v>
      </c>
      <c r="J176" s="19">
        <f>ROUND(80*1,0)&amp;"%"</f>
      </c>
    </row>
    <row x14ac:dyDescent="0.25" r="177" customHeight="1" ht="17.25">
      <c r="A177" s="20" t="s">
        <v>12637</v>
      </c>
      <c r="B177" s="20" t="s">
        <v>302</v>
      </c>
      <c r="C177" s="20" t="s">
        <v>15</v>
      </c>
      <c r="D177" s="20" t="s">
        <v>34</v>
      </c>
      <c r="E177" s="22">
        <f>ROUND(13240*1.05,2)</f>
      </c>
      <c r="F177" s="20" t="s">
        <v>35</v>
      </c>
      <c r="G177" s="20" t="s">
        <v>18</v>
      </c>
      <c r="H177" s="22">
        <f>ROUND(RAND()*4+6,1)</f>
      </c>
      <c r="I177" s="20" t="s">
        <v>36</v>
      </c>
      <c r="J177" s="23">
        <f>ROUND(75*1,0)&amp;"%"</f>
      </c>
    </row>
    <row x14ac:dyDescent="0.25" r="178" customHeight="1" ht="17.25">
      <c r="A178" s="17" t="s">
        <v>12638</v>
      </c>
      <c r="B178" s="17" t="s">
        <v>304</v>
      </c>
      <c r="C178" s="17" t="s">
        <v>15</v>
      </c>
      <c r="D178" s="17" t="s">
        <v>39</v>
      </c>
      <c r="E178" s="18">
        <f>ROUND(9848*1.05,2)</f>
      </c>
      <c r="F178" s="17" t="s">
        <v>40</v>
      </c>
      <c r="G178" s="17" t="s">
        <v>24</v>
      </c>
      <c r="H178" s="18">
        <f>ROUND(RAND()*4+6,1)</f>
      </c>
      <c r="I178" s="17" t="s">
        <v>41</v>
      </c>
      <c r="J178" s="19">
        <f>ROUND(100*1,0)&amp;"%"</f>
      </c>
    </row>
    <row x14ac:dyDescent="0.25" r="179" customHeight="1" ht="17.25">
      <c r="A179" s="20" t="s">
        <v>12639</v>
      </c>
      <c r="B179" s="20" t="s">
        <v>306</v>
      </c>
      <c r="C179" s="20" t="s">
        <v>15</v>
      </c>
      <c r="D179" s="20" t="s">
        <v>67</v>
      </c>
      <c r="E179" s="21">
        <f>ROUND(7475*1.05,2)</f>
      </c>
      <c r="F179" s="20" t="s">
        <v>44</v>
      </c>
      <c r="G179" s="20" t="s">
        <v>30</v>
      </c>
      <c r="H179" s="21">
        <f>ROUND(RAND()*4+6,1)</f>
      </c>
      <c r="I179" s="20" t="s">
        <v>45</v>
      </c>
      <c r="J179" s="23">
        <f>ROUND(70*1,0)&amp;"%"</f>
      </c>
    </row>
    <row x14ac:dyDescent="0.25" r="180" customHeight="1" ht="17.25">
      <c r="A180" s="17" t="s">
        <v>12640</v>
      </c>
      <c r="B180" s="17" t="s">
        <v>308</v>
      </c>
      <c r="C180" s="17" t="s">
        <v>15</v>
      </c>
      <c r="D180" s="17" t="s">
        <v>16</v>
      </c>
      <c r="E180" s="18">
        <f>ROUND(5275*1.05,2)</f>
      </c>
      <c r="F180" s="17" t="s">
        <v>48</v>
      </c>
      <c r="G180" s="17" t="s">
        <v>18</v>
      </c>
      <c r="H180" s="18">
        <f>ROUND(RAND()*4+6,1)</f>
      </c>
      <c r="I180" s="17" t="s">
        <v>19</v>
      </c>
      <c r="J180" s="19">
        <f>ROUND(65*1,0)&amp;"%"</f>
      </c>
    </row>
    <row x14ac:dyDescent="0.25" r="181" customHeight="1" ht="17.25">
      <c r="A181" s="20" t="s">
        <v>12641</v>
      </c>
      <c r="B181" s="20" t="s">
        <v>310</v>
      </c>
      <c r="C181" s="20" t="s">
        <v>15</v>
      </c>
      <c r="D181" s="20" t="s">
        <v>22</v>
      </c>
      <c r="E181" s="21">
        <f>ROUND(14810*1.05,2)</f>
      </c>
      <c r="F181" s="20" t="s">
        <v>51</v>
      </c>
      <c r="G181" s="20" t="s">
        <v>24</v>
      </c>
      <c r="H181" s="21">
        <f>ROUND(RAND()*4+6,1)</f>
      </c>
      <c r="I181" s="20" t="s">
        <v>25</v>
      </c>
      <c r="J181" s="23">
        <f>ROUND(98*1,0)&amp;"%"</f>
      </c>
    </row>
    <row x14ac:dyDescent="0.25" r="182" customHeight="1" ht="17.25">
      <c r="A182" s="24" t="s">
        <v>311</v>
      </c>
      <c r="B182" s="24"/>
      <c r="C182" s="24"/>
      <c r="D182" s="24"/>
      <c r="E182" s="25">
        <v>8</v>
      </c>
      <c r="F182" s="9"/>
      <c r="G182" s="9"/>
      <c r="H182" s="10"/>
      <c r="I182" s="9"/>
      <c r="J182" s="9"/>
    </row>
    <row x14ac:dyDescent="0.25" r="183" customHeight="1" ht="17.25">
      <c r="A183" s="7"/>
      <c r="B183" s="7"/>
      <c r="C183" s="7"/>
      <c r="D183" s="7"/>
      <c r="E183" s="8"/>
      <c r="F183" s="9"/>
      <c r="G183" s="9"/>
      <c r="H183" s="10"/>
      <c r="I183" s="9"/>
      <c r="J183" s="9"/>
    </row>
    <row x14ac:dyDescent="0.25" r="184" customHeight="1" ht="17.25">
      <c r="A184" s="11" t="s">
        <v>12642</v>
      </c>
      <c r="B184" s="11"/>
      <c r="C184" s="11"/>
      <c r="D184" s="11"/>
      <c r="E184" s="12"/>
      <c r="F184" s="11"/>
      <c r="G184" s="11"/>
      <c r="H184" s="13"/>
      <c r="I184" s="11"/>
      <c r="J184" s="11"/>
    </row>
    <row x14ac:dyDescent="0.25" r="185" customHeight="1" ht="17.25">
      <c r="A185" s="14" t="s">
        <v>3</v>
      </c>
      <c r="B185" s="14" t="s">
        <v>4</v>
      </c>
      <c r="C185" s="14" t="s">
        <v>5</v>
      </c>
      <c r="D185" s="14" t="s">
        <v>6</v>
      </c>
      <c r="E185" s="15" t="s">
        <v>7</v>
      </c>
      <c r="F185" s="14" t="s">
        <v>8</v>
      </c>
      <c r="G185" s="14" t="s">
        <v>9</v>
      </c>
      <c r="H185" s="16" t="s">
        <v>10</v>
      </c>
      <c r="I185" s="14" t="s">
        <v>11</v>
      </c>
      <c r="J185" s="14" t="s">
        <v>12</v>
      </c>
    </row>
    <row x14ac:dyDescent="0.25" r="186" customHeight="1" ht="17.25">
      <c r="A186" s="17" t="s">
        <v>12643</v>
      </c>
      <c r="B186" s="17" t="s">
        <v>314</v>
      </c>
      <c r="C186" s="17" t="s">
        <v>56</v>
      </c>
      <c r="D186" s="17" t="s">
        <v>16</v>
      </c>
      <c r="E186" s="18">
        <f>ROUND(5127*1.05,2)</f>
      </c>
      <c r="F186" s="17" t="s">
        <v>17</v>
      </c>
      <c r="G186" s="17" t="s">
        <v>18</v>
      </c>
      <c r="H186" s="18">
        <f>ROUND(RAND()*4+6,1)</f>
      </c>
      <c r="I186" s="17" t="s">
        <v>19</v>
      </c>
      <c r="J186" s="19">
        <f>ROUND(70*1,0)&amp;"%"</f>
      </c>
    </row>
    <row x14ac:dyDescent="0.25" r="187" customHeight="1" ht="17.25">
      <c r="A187" s="20" t="s">
        <v>12644</v>
      </c>
      <c r="B187" s="20" t="s">
        <v>316</v>
      </c>
      <c r="C187" s="20" t="s">
        <v>56</v>
      </c>
      <c r="D187" s="20" t="s">
        <v>22</v>
      </c>
      <c r="E187" s="21">
        <f>ROUND(13217*1.05,2)</f>
      </c>
      <c r="F187" s="20" t="s">
        <v>23</v>
      </c>
      <c r="G187" s="20" t="s">
        <v>24</v>
      </c>
      <c r="H187" s="21">
        <f>ROUND(RAND()*4+6,1)</f>
      </c>
      <c r="I187" s="20" t="s">
        <v>25</v>
      </c>
      <c r="J187" s="23">
        <f>ROUND(80*1,0)&amp;"%"</f>
      </c>
    </row>
    <row x14ac:dyDescent="0.25" r="188" customHeight="1" ht="17.25">
      <c r="A188" s="17" t="s">
        <v>12645</v>
      </c>
      <c r="B188" s="17" t="s">
        <v>318</v>
      </c>
      <c r="C188" s="17" t="s">
        <v>56</v>
      </c>
      <c r="D188" s="17" t="s">
        <v>28</v>
      </c>
      <c r="E188" s="18">
        <f>ROUND(6157*1.05,2)</f>
      </c>
      <c r="F188" s="17" t="s">
        <v>29</v>
      </c>
      <c r="G188" s="17" t="s">
        <v>30</v>
      </c>
      <c r="H188" s="26">
        <f>ROUND(RAND()*4+6,1)</f>
      </c>
      <c r="I188" s="17" t="s">
        <v>31</v>
      </c>
      <c r="J188" s="19">
        <f>ROUND(90*1,0)&amp;"%"</f>
      </c>
    </row>
    <row x14ac:dyDescent="0.25" r="189" customHeight="1" ht="17.25">
      <c r="A189" s="20" t="s">
        <v>12646</v>
      </c>
      <c r="B189" s="20" t="s">
        <v>320</v>
      </c>
      <c r="C189" s="20" t="s">
        <v>56</v>
      </c>
      <c r="D189" s="20" t="s">
        <v>34</v>
      </c>
      <c r="E189" s="21">
        <f>ROUND(10772*1.05,2)</f>
      </c>
      <c r="F189" s="20" t="s">
        <v>35</v>
      </c>
      <c r="G189" s="20" t="s">
        <v>18</v>
      </c>
      <c r="H189" s="21">
        <f>ROUND(RAND()*4+6,1)</f>
      </c>
      <c r="I189" s="20" t="s">
        <v>36</v>
      </c>
      <c r="J189" s="23">
        <f>ROUND(86*1,0)&amp;"%"</f>
      </c>
    </row>
    <row x14ac:dyDescent="0.25" r="190" customHeight="1" ht="17.25">
      <c r="A190" s="17" t="s">
        <v>12647</v>
      </c>
      <c r="B190" s="17" t="s">
        <v>322</v>
      </c>
      <c r="C190" s="17" t="s">
        <v>56</v>
      </c>
      <c r="D190" s="17" t="s">
        <v>39</v>
      </c>
      <c r="E190" s="18">
        <f>ROUND(11212*1.05,2)</f>
      </c>
      <c r="F190" s="17" t="s">
        <v>40</v>
      </c>
      <c r="G190" s="17" t="s">
        <v>24</v>
      </c>
      <c r="H190" s="18">
        <f>ROUND(RAND()*4+6,1)</f>
      </c>
      <c r="I190" s="17" t="s">
        <v>41</v>
      </c>
      <c r="J190" s="19">
        <f>ROUND(74*1,0)&amp;"%"</f>
      </c>
    </row>
    <row x14ac:dyDescent="0.25" r="191" customHeight="1" ht="17.25">
      <c r="A191" s="20" t="s">
        <v>12648</v>
      </c>
      <c r="B191" s="20" t="s">
        <v>324</v>
      </c>
      <c r="C191" s="20" t="s">
        <v>56</v>
      </c>
      <c r="D191" s="20" t="s">
        <v>67</v>
      </c>
      <c r="E191" s="21">
        <f>ROUND(17972*1.05,2)</f>
      </c>
      <c r="F191" s="20" t="s">
        <v>44</v>
      </c>
      <c r="G191" s="20" t="s">
        <v>30</v>
      </c>
      <c r="H191" s="21">
        <f>ROUND(RAND()*4+6,1)</f>
      </c>
      <c r="I191" s="20" t="s">
        <v>45</v>
      </c>
      <c r="J191" s="23">
        <f>ROUND(87*1,0)&amp;"%"</f>
      </c>
    </row>
    <row x14ac:dyDescent="0.25" r="192" customHeight="1" ht="17.25">
      <c r="A192" s="17" t="s">
        <v>12649</v>
      </c>
      <c r="B192" s="17" t="s">
        <v>326</v>
      </c>
      <c r="C192" s="17" t="s">
        <v>56</v>
      </c>
      <c r="D192" s="17" t="s">
        <v>16</v>
      </c>
      <c r="E192" s="18">
        <f>ROUND(14871*1.05,2)</f>
      </c>
      <c r="F192" s="17" t="s">
        <v>48</v>
      </c>
      <c r="G192" s="17" t="s">
        <v>18</v>
      </c>
      <c r="H192" s="18">
        <f>ROUND(RAND()*4+6,1)</f>
      </c>
      <c r="I192" s="17" t="s">
        <v>19</v>
      </c>
      <c r="J192" s="19">
        <f>ROUND(87*1,0)&amp;"%"</f>
      </c>
    </row>
    <row x14ac:dyDescent="0.25" r="193" customHeight="1" ht="17.25">
      <c r="A193" s="20" t="s">
        <v>12650</v>
      </c>
      <c r="B193" s="20" t="s">
        <v>328</v>
      </c>
      <c r="C193" s="20" t="s">
        <v>56</v>
      </c>
      <c r="D193" s="20" t="s">
        <v>22</v>
      </c>
      <c r="E193" s="21">
        <f>ROUND(5992*1.05,2)</f>
      </c>
      <c r="F193" s="20" t="s">
        <v>51</v>
      </c>
      <c r="G193" s="20" t="s">
        <v>24</v>
      </c>
      <c r="H193" s="21">
        <f>ROUND(RAND()*4+6,1)</f>
      </c>
      <c r="I193" s="20" t="s">
        <v>25</v>
      </c>
      <c r="J193" s="23">
        <f>ROUND(79*1,0)&amp;"%"</f>
      </c>
    </row>
    <row x14ac:dyDescent="0.25" r="194" customHeight="1" ht="17.25">
      <c r="A194" s="24" t="s">
        <v>329</v>
      </c>
      <c r="B194" s="24"/>
      <c r="C194" s="24"/>
      <c r="D194" s="24"/>
      <c r="E194" s="25">
        <v>8</v>
      </c>
      <c r="F194" s="9"/>
      <c r="G194" s="9"/>
      <c r="H194" s="10"/>
      <c r="I194" s="9"/>
      <c r="J194" s="9"/>
    </row>
    <row x14ac:dyDescent="0.25" r="195" customHeight="1" ht="17.25">
      <c r="A195" s="7"/>
      <c r="B195" s="7"/>
      <c r="C195" s="7"/>
      <c r="D195" s="7"/>
      <c r="E195" s="8"/>
      <c r="F195" s="9"/>
      <c r="G195" s="9"/>
      <c r="H195" s="10"/>
      <c r="I195" s="9"/>
      <c r="J195" s="9"/>
    </row>
    <row x14ac:dyDescent="0.25" r="196" customHeight="1" ht="17.25">
      <c r="A196" s="11" t="s">
        <v>12651</v>
      </c>
      <c r="B196" s="11"/>
      <c r="C196" s="11"/>
      <c r="D196" s="11"/>
      <c r="E196" s="12"/>
      <c r="F196" s="11"/>
      <c r="G196" s="11"/>
      <c r="H196" s="13"/>
      <c r="I196" s="11"/>
      <c r="J196" s="11"/>
    </row>
    <row x14ac:dyDescent="0.25" r="197" customHeight="1" ht="17.25">
      <c r="A197" s="14" t="s">
        <v>3</v>
      </c>
      <c r="B197" s="14" t="s">
        <v>4</v>
      </c>
      <c r="C197" s="14" t="s">
        <v>5</v>
      </c>
      <c r="D197" s="14" t="s">
        <v>6</v>
      </c>
      <c r="E197" s="15" t="s">
        <v>7</v>
      </c>
      <c r="F197" s="14" t="s">
        <v>8</v>
      </c>
      <c r="G197" s="14" t="s">
        <v>9</v>
      </c>
      <c r="H197" s="16" t="s">
        <v>10</v>
      </c>
      <c r="I197" s="14" t="s">
        <v>11</v>
      </c>
      <c r="J197" s="14" t="s">
        <v>12</v>
      </c>
    </row>
    <row x14ac:dyDescent="0.25" r="198" customHeight="1" ht="17.25">
      <c r="A198" s="17" t="s">
        <v>12652</v>
      </c>
      <c r="B198" s="17" t="s">
        <v>332</v>
      </c>
      <c r="C198" s="17" t="s">
        <v>76</v>
      </c>
      <c r="D198" s="17" t="s">
        <v>16</v>
      </c>
      <c r="E198" s="18">
        <f>ROUND(11166*1.05,2)</f>
      </c>
      <c r="F198" s="17" t="s">
        <v>17</v>
      </c>
      <c r="G198" s="17" t="s">
        <v>18</v>
      </c>
      <c r="H198" s="18">
        <f>ROUND(RAND()*4+6,1)</f>
      </c>
      <c r="I198" s="17" t="s">
        <v>19</v>
      </c>
      <c r="J198" s="19">
        <f>ROUND(87*1,0)&amp;"%"</f>
      </c>
    </row>
    <row x14ac:dyDescent="0.25" r="199" customHeight="1" ht="17.25">
      <c r="A199" s="20" t="s">
        <v>12653</v>
      </c>
      <c r="B199" s="20" t="s">
        <v>334</v>
      </c>
      <c r="C199" s="20" t="s">
        <v>76</v>
      </c>
      <c r="D199" s="20" t="s">
        <v>22</v>
      </c>
      <c r="E199" s="21">
        <f>ROUND(6462*1.05,2)</f>
      </c>
      <c r="F199" s="20" t="s">
        <v>23</v>
      </c>
      <c r="G199" s="20" t="s">
        <v>24</v>
      </c>
      <c r="H199" s="21">
        <f>ROUND(RAND()*4+6,1)</f>
      </c>
      <c r="I199" s="20" t="s">
        <v>25</v>
      </c>
      <c r="J199" s="23">
        <f>ROUND(81*1,0)&amp;"%"</f>
      </c>
    </row>
    <row x14ac:dyDescent="0.25" r="200" customHeight="1" ht="17.25">
      <c r="A200" s="17" t="s">
        <v>12654</v>
      </c>
      <c r="B200" s="17" t="s">
        <v>336</v>
      </c>
      <c r="C200" s="17" t="s">
        <v>76</v>
      </c>
      <c r="D200" s="17" t="s">
        <v>28</v>
      </c>
      <c r="E200" s="18">
        <f>ROUND(15539*1.05,2)</f>
      </c>
      <c r="F200" s="17" t="s">
        <v>29</v>
      </c>
      <c r="G200" s="17" t="s">
        <v>30</v>
      </c>
      <c r="H200" s="18">
        <f>ROUND(RAND()*4+6,1)</f>
      </c>
      <c r="I200" s="17" t="s">
        <v>31</v>
      </c>
      <c r="J200" s="19">
        <f>ROUND(87*1,0)&amp;"%"</f>
      </c>
    </row>
    <row x14ac:dyDescent="0.25" r="201" customHeight="1" ht="17.25">
      <c r="A201" s="20" t="s">
        <v>12655</v>
      </c>
      <c r="B201" s="20" t="s">
        <v>338</v>
      </c>
      <c r="C201" s="20" t="s">
        <v>76</v>
      </c>
      <c r="D201" s="20" t="s">
        <v>34</v>
      </c>
      <c r="E201" s="21">
        <f>ROUND(13875*1.05,2)</f>
      </c>
      <c r="F201" s="20" t="s">
        <v>35</v>
      </c>
      <c r="G201" s="20" t="s">
        <v>18</v>
      </c>
      <c r="H201" s="22">
        <f>ROUND(RAND()*4+6,1)</f>
      </c>
      <c r="I201" s="20" t="s">
        <v>36</v>
      </c>
      <c r="J201" s="23">
        <f>ROUND(63*1,0)&amp;"%"</f>
      </c>
    </row>
    <row x14ac:dyDescent="0.25" r="202" customHeight="1" ht="17.25">
      <c r="A202" s="17" t="s">
        <v>12656</v>
      </c>
      <c r="B202" s="17" t="s">
        <v>340</v>
      </c>
      <c r="C202" s="17" t="s">
        <v>76</v>
      </c>
      <c r="D202" s="17" t="s">
        <v>39</v>
      </c>
      <c r="E202" s="18">
        <f>ROUND(4391*1.05,2)</f>
      </c>
      <c r="F202" s="17" t="s">
        <v>40</v>
      </c>
      <c r="G202" s="17" t="s">
        <v>24</v>
      </c>
      <c r="H202" s="18">
        <f>ROUND(RAND()*4+6,1)</f>
      </c>
      <c r="I202" s="17" t="s">
        <v>41</v>
      </c>
      <c r="J202" s="19">
        <f>ROUND(79*1,0)&amp;"%"</f>
      </c>
    </row>
    <row x14ac:dyDescent="0.25" r="203" customHeight="1" ht="17.25">
      <c r="A203" s="20" t="s">
        <v>12657</v>
      </c>
      <c r="B203" s="20" t="s">
        <v>342</v>
      </c>
      <c r="C203" s="20" t="s">
        <v>76</v>
      </c>
      <c r="D203" s="20" t="s">
        <v>67</v>
      </c>
      <c r="E203" s="21">
        <f>ROUND(14955*1.05,2)</f>
      </c>
      <c r="F203" s="20" t="s">
        <v>44</v>
      </c>
      <c r="G203" s="20" t="s">
        <v>30</v>
      </c>
      <c r="H203" s="21">
        <f>ROUND(RAND()*4+6,1)</f>
      </c>
      <c r="I203" s="20" t="s">
        <v>45</v>
      </c>
      <c r="J203" s="23">
        <f>ROUND(95*1,0)&amp;"%"</f>
      </c>
    </row>
    <row x14ac:dyDescent="0.25" r="204" customHeight="1" ht="17.25">
      <c r="A204" s="17" t="s">
        <v>12658</v>
      </c>
      <c r="B204" s="17" t="s">
        <v>344</v>
      </c>
      <c r="C204" s="17" t="s">
        <v>76</v>
      </c>
      <c r="D204" s="17" t="s">
        <v>16</v>
      </c>
      <c r="E204" s="18">
        <f>ROUND(17106*1.05,2)</f>
      </c>
      <c r="F204" s="17" t="s">
        <v>48</v>
      </c>
      <c r="G204" s="17" t="s">
        <v>18</v>
      </c>
      <c r="H204" s="18">
        <f>ROUND(RAND()*4+6,1)</f>
      </c>
      <c r="I204" s="17" t="s">
        <v>19</v>
      </c>
      <c r="J204" s="19">
        <f>ROUND(90*1,0)&amp;"%"</f>
      </c>
    </row>
    <row x14ac:dyDescent="0.25" r="205" customHeight="1" ht="17.25">
      <c r="A205" s="20" t="s">
        <v>12659</v>
      </c>
      <c r="B205" s="20" t="s">
        <v>346</v>
      </c>
      <c r="C205" s="20" t="s">
        <v>76</v>
      </c>
      <c r="D205" s="20" t="s">
        <v>22</v>
      </c>
      <c r="E205" s="21">
        <f>ROUND(10103*1.05,2)</f>
      </c>
      <c r="F205" s="20" t="s">
        <v>51</v>
      </c>
      <c r="G205" s="20" t="s">
        <v>24</v>
      </c>
      <c r="H205" s="21">
        <f>ROUND(RAND()*4+6,1)</f>
      </c>
      <c r="I205" s="20" t="s">
        <v>25</v>
      </c>
      <c r="J205" s="23">
        <f>ROUND(86*1,0)&amp;"%"</f>
      </c>
    </row>
    <row x14ac:dyDescent="0.25" r="206" customHeight="1" ht="17.25">
      <c r="A206" s="24" t="s">
        <v>347</v>
      </c>
      <c r="B206" s="24"/>
      <c r="C206" s="24"/>
      <c r="D206" s="24"/>
      <c r="E206" s="25">
        <v>8</v>
      </c>
      <c r="F206" s="9"/>
      <c r="G206" s="9"/>
      <c r="H206" s="10"/>
      <c r="I206" s="9"/>
      <c r="J206" s="9"/>
    </row>
    <row x14ac:dyDescent="0.25" r="207" customHeight="1" ht="17.25">
      <c r="A207" s="7"/>
      <c r="B207" s="7"/>
      <c r="C207" s="7"/>
      <c r="D207" s="7"/>
      <c r="E207" s="8"/>
      <c r="F207" s="9"/>
      <c r="G207" s="9"/>
      <c r="H207" s="10"/>
      <c r="I207" s="9"/>
      <c r="J207" s="9"/>
    </row>
    <row x14ac:dyDescent="0.25" r="208" customHeight="1" ht="17.25">
      <c r="A208" s="11" t="s">
        <v>12660</v>
      </c>
      <c r="B208" s="11"/>
      <c r="C208" s="11"/>
      <c r="D208" s="11"/>
      <c r="E208" s="12"/>
      <c r="F208" s="11"/>
      <c r="G208" s="11"/>
      <c r="H208" s="13"/>
      <c r="I208" s="11"/>
      <c r="J208" s="11"/>
    </row>
    <row x14ac:dyDescent="0.25" r="209" customHeight="1" ht="17.25">
      <c r="A209" s="14" t="s">
        <v>3</v>
      </c>
      <c r="B209" s="14" t="s">
        <v>4</v>
      </c>
      <c r="C209" s="14" t="s">
        <v>5</v>
      </c>
      <c r="D209" s="14" t="s">
        <v>6</v>
      </c>
      <c r="E209" s="15" t="s">
        <v>7</v>
      </c>
      <c r="F209" s="14" t="s">
        <v>8</v>
      </c>
      <c r="G209" s="14" t="s">
        <v>9</v>
      </c>
      <c r="H209" s="16" t="s">
        <v>10</v>
      </c>
      <c r="I209" s="14" t="s">
        <v>11</v>
      </c>
      <c r="J209" s="14" t="s">
        <v>12</v>
      </c>
    </row>
    <row x14ac:dyDescent="0.25" r="210" customHeight="1" ht="17.25">
      <c r="A210" s="17" t="s">
        <v>12661</v>
      </c>
      <c r="B210" s="17" t="s">
        <v>350</v>
      </c>
      <c r="C210" s="17" t="s">
        <v>95</v>
      </c>
      <c r="D210" s="17" t="s">
        <v>16</v>
      </c>
      <c r="E210" s="18">
        <f>ROUND(14433*1.05,2)</f>
      </c>
      <c r="F210" s="17" t="s">
        <v>17</v>
      </c>
      <c r="G210" s="17" t="s">
        <v>18</v>
      </c>
      <c r="H210" s="18">
        <f>ROUND(RAND()*4+6,1)</f>
      </c>
      <c r="I210" s="17" t="s">
        <v>19</v>
      </c>
      <c r="J210" s="19">
        <f>ROUND(69*1,0)&amp;"%"</f>
      </c>
    </row>
    <row x14ac:dyDescent="0.25" r="211" customHeight="1" ht="17.25">
      <c r="A211" s="20" t="s">
        <v>12662</v>
      </c>
      <c r="B211" s="20" t="s">
        <v>352</v>
      </c>
      <c r="C211" s="20" t="s">
        <v>95</v>
      </c>
      <c r="D211" s="20" t="s">
        <v>22</v>
      </c>
      <c r="E211" s="21">
        <f>ROUND(16862*1.05,2)</f>
      </c>
      <c r="F211" s="20" t="s">
        <v>23</v>
      </c>
      <c r="G211" s="20" t="s">
        <v>24</v>
      </c>
      <c r="H211" s="21">
        <f>ROUND(RAND()*4+6,1)</f>
      </c>
      <c r="I211" s="20" t="s">
        <v>25</v>
      </c>
      <c r="J211" s="23">
        <f>ROUND(66*1,0)&amp;"%"</f>
      </c>
    </row>
    <row x14ac:dyDescent="0.25" r="212" customHeight="1" ht="17.25">
      <c r="A212" s="17" t="s">
        <v>12663</v>
      </c>
      <c r="B212" s="17" t="s">
        <v>354</v>
      </c>
      <c r="C212" s="17" t="s">
        <v>95</v>
      </c>
      <c r="D212" s="17" t="s">
        <v>28</v>
      </c>
      <c r="E212" s="18">
        <f>ROUND(9766*1.05,2)</f>
      </c>
      <c r="F212" s="17" t="s">
        <v>29</v>
      </c>
      <c r="G212" s="17" t="s">
        <v>30</v>
      </c>
      <c r="H212" s="18">
        <f>ROUND(RAND()*4+6,1)</f>
      </c>
      <c r="I212" s="17" t="s">
        <v>31</v>
      </c>
      <c r="J212" s="19">
        <f>ROUND(78*1,0)&amp;"%"</f>
      </c>
    </row>
    <row x14ac:dyDescent="0.25" r="213" customHeight="1" ht="17.25">
      <c r="A213" s="20" t="s">
        <v>12664</v>
      </c>
      <c r="B213" s="20" t="s">
        <v>356</v>
      </c>
      <c r="C213" s="20" t="s">
        <v>95</v>
      </c>
      <c r="D213" s="20" t="s">
        <v>34</v>
      </c>
      <c r="E213" s="21">
        <f>ROUND(4337*1.05,2)</f>
      </c>
      <c r="F213" s="20" t="s">
        <v>35</v>
      </c>
      <c r="G213" s="20" t="s">
        <v>18</v>
      </c>
      <c r="H213" s="21">
        <f>ROUND(RAND()*4+6,1)</f>
      </c>
      <c r="I213" s="20" t="s">
        <v>36</v>
      </c>
      <c r="J213" s="23">
        <f>ROUND(100*1,0)&amp;"%"</f>
      </c>
    </row>
    <row x14ac:dyDescent="0.25" r="214" customHeight="1" ht="17.25">
      <c r="A214" s="17" t="s">
        <v>12665</v>
      </c>
      <c r="B214" s="17" t="s">
        <v>358</v>
      </c>
      <c r="C214" s="17" t="s">
        <v>95</v>
      </c>
      <c r="D214" s="17" t="s">
        <v>39</v>
      </c>
      <c r="E214" s="18">
        <f>ROUND(6174*1.05,2)</f>
      </c>
      <c r="F214" s="17" t="s">
        <v>40</v>
      </c>
      <c r="G214" s="17" t="s">
        <v>24</v>
      </c>
      <c r="H214" s="18">
        <f>ROUND(RAND()*4+6,1)</f>
      </c>
      <c r="I214" s="17" t="s">
        <v>41</v>
      </c>
      <c r="J214" s="19">
        <f>ROUND(61*1,0)&amp;"%"</f>
      </c>
    </row>
    <row x14ac:dyDescent="0.25" r="215" customHeight="1" ht="17.25">
      <c r="A215" s="20" t="s">
        <v>12666</v>
      </c>
      <c r="B215" s="20" t="s">
        <v>360</v>
      </c>
      <c r="C215" s="20" t="s">
        <v>95</v>
      </c>
      <c r="D215" s="20" t="s">
        <v>67</v>
      </c>
      <c r="E215" s="22">
        <f>ROUND(15700*1.05,2)</f>
      </c>
      <c r="F215" s="20" t="s">
        <v>44</v>
      </c>
      <c r="G215" s="20" t="s">
        <v>30</v>
      </c>
      <c r="H215" s="21">
        <f>ROUND(RAND()*4+6,1)</f>
      </c>
      <c r="I215" s="20" t="s">
        <v>45</v>
      </c>
      <c r="J215" s="23">
        <f>ROUND(66*1,0)&amp;"%"</f>
      </c>
    </row>
    <row x14ac:dyDescent="0.25" r="216" customHeight="1" ht="17.25">
      <c r="A216" s="17" t="s">
        <v>12667</v>
      </c>
      <c r="B216" s="17" t="s">
        <v>362</v>
      </c>
      <c r="C216" s="17" t="s">
        <v>95</v>
      </c>
      <c r="D216" s="17" t="s">
        <v>16</v>
      </c>
      <c r="E216" s="18">
        <f>ROUND(14841*1.05,2)</f>
      </c>
      <c r="F216" s="17" t="s">
        <v>48</v>
      </c>
      <c r="G216" s="17" t="s">
        <v>18</v>
      </c>
      <c r="H216" s="18">
        <f>ROUND(RAND()*4+6,1)</f>
      </c>
      <c r="I216" s="17" t="s">
        <v>19</v>
      </c>
      <c r="J216" s="19">
        <f>ROUND(96*1,0)&amp;"%"</f>
      </c>
    </row>
    <row x14ac:dyDescent="0.25" r="217" customHeight="1" ht="17.25">
      <c r="A217" s="20" t="s">
        <v>12668</v>
      </c>
      <c r="B217" s="20" t="s">
        <v>364</v>
      </c>
      <c r="C217" s="20" t="s">
        <v>95</v>
      </c>
      <c r="D217" s="20" t="s">
        <v>22</v>
      </c>
      <c r="E217" s="21">
        <f>ROUND(11812*1.05,2)</f>
      </c>
      <c r="F217" s="20" t="s">
        <v>51</v>
      </c>
      <c r="G217" s="20" t="s">
        <v>24</v>
      </c>
      <c r="H217" s="21">
        <f>ROUND(RAND()*4+6,1)</f>
      </c>
      <c r="I217" s="20" t="s">
        <v>25</v>
      </c>
      <c r="J217" s="23">
        <f>ROUND(66*1,0)&amp;"%"</f>
      </c>
    </row>
    <row x14ac:dyDescent="0.25" r="218" customHeight="1" ht="17.25">
      <c r="A218" s="24" t="s">
        <v>365</v>
      </c>
      <c r="B218" s="24"/>
      <c r="C218" s="24"/>
      <c r="D218" s="24"/>
      <c r="E218" s="25">
        <v>8</v>
      </c>
      <c r="F218" s="9"/>
      <c r="G218" s="9"/>
      <c r="H218" s="10"/>
      <c r="I218" s="9"/>
      <c r="J218" s="9"/>
    </row>
    <row x14ac:dyDescent="0.25" r="219" customHeight="1" ht="17.25">
      <c r="A219" s="7"/>
      <c r="B219" s="7"/>
      <c r="C219" s="7"/>
      <c r="D219" s="7"/>
      <c r="E219" s="8"/>
      <c r="F219" s="9"/>
      <c r="G219" s="9"/>
      <c r="H219" s="10"/>
      <c r="I219" s="9"/>
      <c r="J219" s="9"/>
    </row>
    <row x14ac:dyDescent="0.25" r="220" customHeight="1" ht="17.25">
      <c r="A220" s="11" t="s">
        <v>12669</v>
      </c>
      <c r="B220" s="11"/>
      <c r="C220" s="11"/>
      <c r="D220" s="11"/>
      <c r="E220" s="12"/>
      <c r="F220" s="11"/>
      <c r="G220" s="11"/>
      <c r="H220" s="13"/>
      <c r="I220" s="11"/>
      <c r="J220" s="11"/>
    </row>
    <row x14ac:dyDescent="0.25" r="221" customHeight="1" ht="17.25">
      <c r="A221" s="14" t="s">
        <v>3</v>
      </c>
      <c r="B221" s="14" t="s">
        <v>4</v>
      </c>
      <c r="C221" s="14" t="s">
        <v>5</v>
      </c>
      <c r="D221" s="14" t="s">
        <v>6</v>
      </c>
      <c r="E221" s="15" t="s">
        <v>7</v>
      </c>
      <c r="F221" s="14" t="s">
        <v>8</v>
      </c>
      <c r="G221" s="14" t="s">
        <v>9</v>
      </c>
      <c r="H221" s="16" t="s">
        <v>10</v>
      </c>
      <c r="I221" s="14" t="s">
        <v>11</v>
      </c>
      <c r="J221" s="14" t="s">
        <v>12</v>
      </c>
    </row>
    <row x14ac:dyDescent="0.25" r="222" customHeight="1" ht="17.25">
      <c r="A222" s="17" t="s">
        <v>12670</v>
      </c>
      <c r="B222" s="17" t="s">
        <v>368</v>
      </c>
      <c r="C222" s="17" t="s">
        <v>114</v>
      </c>
      <c r="D222" s="17" t="s">
        <v>16</v>
      </c>
      <c r="E222" s="18">
        <f>ROUND(4992*1.05,2)</f>
      </c>
      <c r="F222" s="17" t="s">
        <v>17</v>
      </c>
      <c r="G222" s="17" t="s">
        <v>18</v>
      </c>
      <c r="H222" s="18">
        <f>ROUND(RAND()*4+6,1)</f>
      </c>
      <c r="I222" s="17" t="s">
        <v>19</v>
      </c>
      <c r="J222" s="19">
        <f>ROUND(60*1,0)&amp;"%"</f>
      </c>
    </row>
    <row x14ac:dyDescent="0.25" r="223" customHeight="1" ht="17.25">
      <c r="A223" s="20" t="s">
        <v>12671</v>
      </c>
      <c r="B223" s="20" t="s">
        <v>370</v>
      </c>
      <c r="C223" s="20" t="s">
        <v>114</v>
      </c>
      <c r="D223" s="20" t="s">
        <v>22</v>
      </c>
      <c r="E223" s="21">
        <f>ROUND(15986*1.05,2)</f>
      </c>
      <c r="F223" s="20" t="s">
        <v>23</v>
      </c>
      <c r="G223" s="20" t="s">
        <v>24</v>
      </c>
      <c r="H223" s="21">
        <f>ROUND(RAND()*4+6,1)</f>
      </c>
      <c r="I223" s="20" t="s">
        <v>25</v>
      </c>
      <c r="J223" s="23">
        <f>ROUND(82*1,0)&amp;"%"</f>
      </c>
    </row>
    <row x14ac:dyDescent="0.25" r="224" customHeight="1" ht="17.25">
      <c r="A224" s="17" t="s">
        <v>12672</v>
      </c>
      <c r="B224" s="17" t="s">
        <v>372</v>
      </c>
      <c r="C224" s="17" t="s">
        <v>114</v>
      </c>
      <c r="D224" s="17" t="s">
        <v>28</v>
      </c>
      <c r="E224" s="18">
        <f>ROUND(6511*1.05,2)</f>
      </c>
      <c r="F224" s="17" t="s">
        <v>29</v>
      </c>
      <c r="G224" s="17" t="s">
        <v>30</v>
      </c>
      <c r="H224" s="18">
        <f>ROUND(RAND()*4+6,1)</f>
      </c>
      <c r="I224" s="17" t="s">
        <v>31</v>
      </c>
      <c r="J224" s="19">
        <f>ROUND(77*1,0)&amp;"%"</f>
      </c>
    </row>
    <row x14ac:dyDescent="0.25" r="225" customHeight="1" ht="17.25">
      <c r="A225" s="20" t="s">
        <v>12673</v>
      </c>
      <c r="B225" s="20" t="s">
        <v>374</v>
      </c>
      <c r="C225" s="20" t="s">
        <v>114</v>
      </c>
      <c r="D225" s="20" t="s">
        <v>34</v>
      </c>
      <c r="E225" s="21">
        <f>ROUND(12884*1.05,2)</f>
      </c>
      <c r="F225" s="20" t="s">
        <v>35</v>
      </c>
      <c r="G225" s="20" t="s">
        <v>18</v>
      </c>
      <c r="H225" s="21">
        <f>ROUND(RAND()*4+6,1)</f>
      </c>
      <c r="I225" s="20" t="s">
        <v>36</v>
      </c>
      <c r="J225" s="23">
        <f>ROUND(71*1,0)&amp;"%"</f>
      </c>
    </row>
    <row x14ac:dyDescent="0.25" r="226" customHeight="1" ht="17.25">
      <c r="A226" s="17" t="s">
        <v>12674</v>
      </c>
      <c r="B226" s="17" t="s">
        <v>376</v>
      </c>
      <c r="C226" s="17" t="s">
        <v>114</v>
      </c>
      <c r="D226" s="17" t="s">
        <v>39</v>
      </c>
      <c r="E226" s="18">
        <f>ROUND(4050*1.05,2)</f>
      </c>
      <c r="F226" s="17" t="s">
        <v>40</v>
      </c>
      <c r="G226" s="17" t="s">
        <v>24</v>
      </c>
      <c r="H226" s="18">
        <f>ROUND(RAND()*4+6,1)</f>
      </c>
      <c r="I226" s="17" t="s">
        <v>41</v>
      </c>
      <c r="J226" s="19">
        <f>ROUND(81*1,0)&amp;"%"</f>
      </c>
    </row>
    <row x14ac:dyDescent="0.25" r="227" customHeight="1" ht="17.25">
      <c r="A227" s="20" t="s">
        <v>12675</v>
      </c>
      <c r="B227" s="20" t="s">
        <v>378</v>
      </c>
      <c r="C227" s="20" t="s">
        <v>114</v>
      </c>
      <c r="D227" s="20" t="s">
        <v>67</v>
      </c>
      <c r="E227" s="21">
        <f>ROUND(6393*1.05,2)</f>
      </c>
      <c r="F227" s="20" t="s">
        <v>44</v>
      </c>
      <c r="G227" s="20" t="s">
        <v>30</v>
      </c>
      <c r="H227" s="21">
        <f>ROUND(RAND()*4+6,1)</f>
      </c>
      <c r="I227" s="20" t="s">
        <v>45</v>
      </c>
      <c r="J227" s="23">
        <f>ROUND(75*1,0)&amp;"%"</f>
      </c>
    </row>
    <row x14ac:dyDescent="0.25" r="228" customHeight="1" ht="17.25">
      <c r="A228" s="17" t="s">
        <v>12676</v>
      </c>
      <c r="B228" s="17" t="s">
        <v>380</v>
      </c>
      <c r="C228" s="17" t="s">
        <v>114</v>
      </c>
      <c r="D228" s="17" t="s">
        <v>16</v>
      </c>
      <c r="E228" s="18">
        <f>ROUND(10503*1.05,2)</f>
      </c>
      <c r="F228" s="17" t="s">
        <v>48</v>
      </c>
      <c r="G228" s="17" t="s">
        <v>18</v>
      </c>
      <c r="H228" s="18">
        <f>ROUND(RAND()*4+6,1)</f>
      </c>
      <c r="I228" s="17" t="s">
        <v>19</v>
      </c>
      <c r="J228" s="19">
        <f>ROUND(93*1,0)&amp;"%"</f>
      </c>
    </row>
    <row x14ac:dyDescent="0.25" r="229" customHeight="1" ht="17.25">
      <c r="A229" s="20" t="s">
        <v>12677</v>
      </c>
      <c r="B229" s="20" t="s">
        <v>382</v>
      </c>
      <c r="C229" s="20" t="s">
        <v>114</v>
      </c>
      <c r="D229" s="20" t="s">
        <v>22</v>
      </c>
      <c r="E229" s="21">
        <f>ROUND(17368*1.05,2)</f>
      </c>
      <c r="F229" s="20" t="s">
        <v>51</v>
      </c>
      <c r="G229" s="20" t="s">
        <v>24</v>
      </c>
      <c r="H229" s="22">
        <f>ROUND(RAND()*4+6,1)</f>
      </c>
      <c r="I229" s="20" t="s">
        <v>25</v>
      </c>
      <c r="J229" s="23">
        <f>ROUND(94*1,0)&amp;"%"</f>
      </c>
    </row>
    <row x14ac:dyDescent="0.25" r="230" customHeight="1" ht="17.25">
      <c r="A230" s="24" t="s">
        <v>383</v>
      </c>
      <c r="B230" s="24"/>
      <c r="C230" s="24"/>
      <c r="D230" s="24"/>
      <c r="E230" s="25">
        <v>8</v>
      </c>
      <c r="F230" s="9"/>
      <c r="G230" s="9"/>
      <c r="H230" s="10"/>
      <c r="I230" s="9"/>
      <c r="J230" s="9"/>
    </row>
    <row x14ac:dyDescent="0.25" r="231" customHeight="1" ht="17.25">
      <c r="A231" s="7"/>
      <c r="B231" s="7"/>
      <c r="C231" s="7"/>
      <c r="D231" s="7"/>
      <c r="E231" s="8"/>
      <c r="F231" s="9"/>
      <c r="G231" s="9"/>
      <c r="H231" s="10"/>
      <c r="I231" s="9"/>
      <c r="J231" s="9"/>
    </row>
    <row x14ac:dyDescent="0.25" r="232" customHeight="1" ht="17.25">
      <c r="A232" s="11" t="s">
        <v>12678</v>
      </c>
      <c r="B232" s="11"/>
      <c r="C232" s="11"/>
      <c r="D232" s="11"/>
      <c r="E232" s="12"/>
      <c r="F232" s="11"/>
      <c r="G232" s="11"/>
      <c r="H232" s="13"/>
      <c r="I232" s="11"/>
      <c r="J232" s="11"/>
    </row>
    <row x14ac:dyDescent="0.25" r="233" customHeight="1" ht="17.25">
      <c r="A233" s="14" t="s">
        <v>3</v>
      </c>
      <c r="B233" s="14" t="s">
        <v>4</v>
      </c>
      <c r="C233" s="14" t="s">
        <v>5</v>
      </c>
      <c r="D233" s="14" t="s">
        <v>6</v>
      </c>
      <c r="E233" s="15" t="s">
        <v>7</v>
      </c>
      <c r="F233" s="14" t="s">
        <v>8</v>
      </c>
      <c r="G233" s="14" t="s">
        <v>9</v>
      </c>
      <c r="H233" s="16" t="s">
        <v>10</v>
      </c>
      <c r="I233" s="14" t="s">
        <v>11</v>
      </c>
      <c r="J233" s="14" t="s">
        <v>12</v>
      </c>
    </row>
    <row x14ac:dyDescent="0.25" r="234" customHeight="1" ht="17.25">
      <c r="A234" s="17" t="s">
        <v>12679</v>
      </c>
      <c r="B234" s="17" t="s">
        <v>386</v>
      </c>
      <c r="C234" s="17" t="s">
        <v>133</v>
      </c>
      <c r="D234" s="17" t="s">
        <v>16</v>
      </c>
      <c r="E234" s="18">
        <f>ROUND(17355*1.05,2)</f>
      </c>
      <c r="F234" s="17" t="s">
        <v>17</v>
      </c>
      <c r="G234" s="17" t="s">
        <v>18</v>
      </c>
      <c r="H234" s="18">
        <f>ROUND(RAND()*4+6,1)</f>
      </c>
      <c r="I234" s="17" t="s">
        <v>19</v>
      </c>
      <c r="J234" s="19">
        <f>ROUND(81*1,0)&amp;"%"</f>
      </c>
    </row>
    <row x14ac:dyDescent="0.25" r="235" customHeight="1" ht="17.25">
      <c r="A235" s="20" t="s">
        <v>12680</v>
      </c>
      <c r="B235" s="20" t="s">
        <v>388</v>
      </c>
      <c r="C235" s="20" t="s">
        <v>133</v>
      </c>
      <c r="D235" s="20" t="s">
        <v>22</v>
      </c>
      <c r="E235" s="21">
        <f>ROUND(13489*1.05,2)</f>
      </c>
      <c r="F235" s="20" t="s">
        <v>23</v>
      </c>
      <c r="G235" s="20" t="s">
        <v>24</v>
      </c>
      <c r="H235" s="21">
        <f>ROUND(RAND()*4+6,1)</f>
      </c>
      <c r="I235" s="20" t="s">
        <v>25</v>
      </c>
      <c r="J235" s="23">
        <f>ROUND(87*1,0)&amp;"%"</f>
      </c>
    </row>
    <row x14ac:dyDescent="0.25" r="236" customHeight="1" ht="17.25">
      <c r="A236" s="17" t="s">
        <v>12681</v>
      </c>
      <c r="B236" s="17" t="s">
        <v>390</v>
      </c>
      <c r="C236" s="17" t="s">
        <v>133</v>
      </c>
      <c r="D236" s="17" t="s">
        <v>28</v>
      </c>
      <c r="E236" s="18">
        <f>ROUND(11732*1.05,2)</f>
      </c>
      <c r="F236" s="17" t="s">
        <v>29</v>
      </c>
      <c r="G236" s="17" t="s">
        <v>30</v>
      </c>
      <c r="H236" s="18">
        <f>ROUND(RAND()*4+6,1)</f>
      </c>
      <c r="I236" s="17" t="s">
        <v>31</v>
      </c>
      <c r="J236" s="19">
        <f>ROUND(66*1,0)&amp;"%"</f>
      </c>
    </row>
    <row x14ac:dyDescent="0.25" r="237" customHeight="1" ht="17.25">
      <c r="A237" s="20" t="s">
        <v>12682</v>
      </c>
      <c r="B237" s="20" t="s">
        <v>392</v>
      </c>
      <c r="C237" s="20" t="s">
        <v>133</v>
      </c>
      <c r="D237" s="20" t="s">
        <v>34</v>
      </c>
      <c r="E237" s="22">
        <f>ROUND(5720*1.05,2)</f>
      </c>
      <c r="F237" s="20" t="s">
        <v>35</v>
      </c>
      <c r="G237" s="20" t="s">
        <v>18</v>
      </c>
      <c r="H237" s="21">
        <f>ROUND(RAND()*4+6,1)</f>
      </c>
      <c r="I237" s="20" t="s">
        <v>36</v>
      </c>
      <c r="J237" s="23">
        <f>ROUND(60*1,0)&amp;"%"</f>
      </c>
    </row>
    <row x14ac:dyDescent="0.25" r="238" customHeight="1" ht="17.25">
      <c r="A238" s="17" t="s">
        <v>12683</v>
      </c>
      <c r="B238" s="17" t="s">
        <v>394</v>
      </c>
      <c r="C238" s="17" t="s">
        <v>133</v>
      </c>
      <c r="D238" s="17" t="s">
        <v>39</v>
      </c>
      <c r="E238" s="18">
        <f>ROUND(14410*1.05,2)</f>
      </c>
      <c r="F238" s="17" t="s">
        <v>40</v>
      </c>
      <c r="G238" s="17" t="s">
        <v>24</v>
      </c>
      <c r="H238" s="18">
        <f>ROUND(RAND()*4+6,1)</f>
      </c>
      <c r="I238" s="17" t="s">
        <v>41</v>
      </c>
      <c r="J238" s="19">
        <f>ROUND(86*1,0)&amp;"%"</f>
      </c>
    </row>
    <row x14ac:dyDescent="0.25" r="239" customHeight="1" ht="17.25">
      <c r="A239" s="20" t="s">
        <v>12684</v>
      </c>
      <c r="B239" s="20" t="s">
        <v>396</v>
      </c>
      <c r="C239" s="20" t="s">
        <v>133</v>
      </c>
      <c r="D239" s="20" t="s">
        <v>67</v>
      </c>
      <c r="E239" s="21">
        <f>ROUND(17903*1.05,2)</f>
      </c>
      <c r="F239" s="20" t="s">
        <v>44</v>
      </c>
      <c r="G239" s="20" t="s">
        <v>30</v>
      </c>
      <c r="H239" s="21">
        <f>ROUND(RAND()*4+6,1)</f>
      </c>
      <c r="I239" s="20" t="s">
        <v>45</v>
      </c>
      <c r="J239" s="23">
        <f>ROUND(65*1,0)&amp;"%"</f>
      </c>
    </row>
    <row x14ac:dyDescent="0.25" r="240" customHeight="1" ht="17.25">
      <c r="A240" s="17" t="s">
        <v>12685</v>
      </c>
      <c r="B240" s="17" t="s">
        <v>398</v>
      </c>
      <c r="C240" s="17" t="s">
        <v>133</v>
      </c>
      <c r="D240" s="17" t="s">
        <v>16</v>
      </c>
      <c r="E240" s="18">
        <f>ROUND(13673*1.05,2)</f>
      </c>
      <c r="F240" s="17" t="s">
        <v>48</v>
      </c>
      <c r="G240" s="17" t="s">
        <v>18</v>
      </c>
      <c r="H240" s="18">
        <f>ROUND(RAND()*4+6,1)</f>
      </c>
      <c r="I240" s="17" t="s">
        <v>19</v>
      </c>
      <c r="J240" s="19">
        <f>ROUND(84*1,0)&amp;"%"</f>
      </c>
    </row>
    <row x14ac:dyDescent="0.25" r="241" customHeight="1" ht="17.25">
      <c r="A241" s="20" t="s">
        <v>12686</v>
      </c>
      <c r="B241" s="20" t="s">
        <v>400</v>
      </c>
      <c r="C241" s="20" t="s">
        <v>133</v>
      </c>
      <c r="D241" s="20" t="s">
        <v>22</v>
      </c>
      <c r="E241" s="21">
        <f>ROUND(9645*1.05,2)</f>
      </c>
      <c r="F241" s="20" t="s">
        <v>51</v>
      </c>
      <c r="G241" s="20" t="s">
        <v>24</v>
      </c>
      <c r="H241" s="21">
        <f>ROUND(RAND()*4+6,1)</f>
      </c>
      <c r="I241" s="20" t="s">
        <v>25</v>
      </c>
      <c r="J241" s="23">
        <f>ROUND(61*1,0)&amp;"%"</f>
      </c>
    </row>
    <row x14ac:dyDescent="0.25" r="242" customHeight="1" ht="17.25">
      <c r="A242" s="24" t="s">
        <v>401</v>
      </c>
      <c r="B242" s="24"/>
      <c r="C242" s="24"/>
      <c r="D242" s="24"/>
      <c r="E242" s="25">
        <v>8</v>
      </c>
      <c r="F242" s="9"/>
      <c r="G242" s="9"/>
      <c r="H242" s="10"/>
      <c r="I242" s="9"/>
      <c r="J242" s="9"/>
    </row>
    <row x14ac:dyDescent="0.25" r="243" customHeight="1" ht="17.25">
      <c r="A243" s="7"/>
      <c r="B243" s="7"/>
      <c r="C243" s="7"/>
      <c r="D243" s="7"/>
      <c r="E243" s="8"/>
      <c r="F243" s="9"/>
      <c r="G243" s="9"/>
      <c r="H243" s="10"/>
      <c r="I243" s="9"/>
      <c r="J243" s="9"/>
    </row>
    <row x14ac:dyDescent="0.25" r="244" customHeight="1" ht="17.25">
      <c r="A244" s="11" t="s">
        <v>12687</v>
      </c>
      <c r="B244" s="11"/>
      <c r="C244" s="11"/>
      <c r="D244" s="11"/>
      <c r="E244" s="12"/>
      <c r="F244" s="11"/>
      <c r="G244" s="11"/>
      <c r="H244" s="13"/>
      <c r="I244" s="11"/>
      <c r="J244" s="11"/>
    </row>
    <row x14ac:dyDescent="0.25" r="245" customHeight="1" ht="17.25">
      <c r="A245" s="14" t="s">
        <v>3</v>
      </c>
      <c r="B245" s="14" t="s">
        <v>4</v>
      </c>
      <c r="C245" s="14" t="s">
        <v>5</v>
      </c>
      <c r="D245" s="14" t="s">
        <v>6</v>
      </c>
      <c r="E245" s="15" t="s">
        <v>7</v>
      </c>
      <c r="F245" s="14" t="s">
        <v>8</v>
      </c>
      <c r="G245" s="14" t="s">
        <v>9</v>
      </c>
      <c r="H245" s="16" t="s">
        <v>10</v>
      </c>
      <c r="I245" s="14" t="s">
        <v>11</v>
      </c>
      <c r="J245" s="14" t="s">
        <v>12</v>
      </c>
    </row>
    <row x14ac:dyDescent="0.25" r="246" customHeight="1" ht="17.25">
      <c r="A246" s="17" t="s">
        <v>12688</v>
      </c>
      <c r="B246" s="17" t="s">
        <v>404</v>
      </c>
      <c r="C246" s="17" t="s">
        <v>152</v>
      </c>
      <c r="D246" s="17" t="s">
        <v>16</v>
      </c>
      <c r="E246" s="18">
        <f>ROUND(14864*1.05,2)</f>
      </c>
      <c r="F246" s="17" t="s">
        <v>17</v>
      </c>
      <c r="G246" s="17" t="s">
        <v>18</v>
      </c>
      <c r="H246" s="18">
        <f>ROUND(RAND()*4+6,1)</f>
      </c>
      <c r="I246" s="17" t="s">
        <v>19</v>
      </c>
      <c r="J246" s="19">
        <f>ROUND(92*1,0)&amp;"%"</f>
      </c>
    </row>
    <row x14ac:dyDescent="0.25" r="247" customHeight="1" ht="17.25">
      <c r="A247" s="20" t="s">
        <v>12689</v>
      </c>
      <c r="B247" s="20" t="s">
        <v>406</v>
      </c>
      <c r="C247" s="20" t="s">
        <v>152</v>
      </c>
      <c r="D247" s="20" t="s">
        <v>22</v>
      </c>
      <c r="E247" s="21">
        <f>ROUND(9878*1.05,2)</f>
      </c>
      <c r="F247" s="20" t="s">
        <v>23</v>
      </c>
      <c r="G247" s="20" t="s">
        <v>24</v>
      </c>
      <c r="H247" s="22">
        <f>ROUND(RAND()*4+6,1)</f>
      </c>
      <c r="I247" s="20" t="s">
        <v>25</v>
      </c>
      <c r="J247" s="23">
        <f>ROUND(86*1,0)&amp;"%"</f>
      </c>
    </row>
    <row x14ac:dyDescent="0.25" r="248" customHeight="1" ht="17.25">
      <c r="A248" s="17" t="s">
        <v>12690</v>
      </c>
      <c r="B248" s="17" t="s">
        <v>408</v>
      </c>
      <c r="C248" s="17" t="s">
        <v>152</v>
      </c>
      <c r="D248" s="17" t="s">
        <v>28</v>
      </c>
      <c r="E248" s="18">
        <f>ROUND(14469*1.05,2)</f>
      </c>
      <c r="F248" s="17" t="s">
        <v>29</v>
      </c>
      <c r="G248" s="17" t="s">
        <v>30</v>
      </c>
      <c r="H248" s="18">
        <f>ROUND(RAND()*4+6,1)</f>
      </c>
      <c r="I248" s="17" t="s">
        <v>31</v>
      </c>
      <c r="J248" s="19">
        <f>ROUND(74*1,0)&amp;"%"</f>
      </c>
    </row>
    <row x14ac:dyDescent="0.25" r="249" customHeight="1" ht="17.25">
      <c r="A249" s="20" t="s">
        <v>12691</v>
      </c>
      <c r="B249" s="20" t="s">
        <v>410</v>
      </c>
      <c r="C249" s="20" t="s">
        <v>152</v>
      </c>
      <c r="D249" s="20" t="s">
        <v>34</v>
      </c>
      <c r="E249" s="21">
        <f>ROUND(17618*1.05,2)</f>
      </c>
      <c r="F249" s="20" t="s">
        <v>35</v>
      </c>
      <c r="G249" s="20" t="s">
        <v>18</v>
      </c>
      <c r="H249" s="21">
        <f>ROUND(RAND()*4+6,1)</f>
      </c>
      <c r="I249" s="20" t="s">
        <v>36</v>
      </c>
      <c r="J249" s="23">
        <f>ROUND(89*1,0)&amp;"%"</f>
      </c>
    </row>
    <row x14ac:dyDescent="0.25" r="250" customHeight="1" ht="17.25">
      <c r="A250" s="17" t="s">
        <v>12692</v>
      </c>
      <c r="B250" s="17" t="s">
        <v>412</v>
      </c>
      <c r="C250" s="17" t="s">
        <v>152</v>
      </c>
      <c r="D250" s="17" t="s">
        <v>39</v>
      </c>
      <c r="E250" s="18">
        <f>ROUND(15956*1.05,2)</f>
      </c>
      <c r="F250" s="17" t="s">
        <v>40</v>
      </c>
      <c r="G250" s="17" t="s">
        <v>24</v>
      </c>
      <c r="H250" s="18">
        <f>ROUND(RAND()*4+6,1)</f>
      </c>
      <c r="I250" s="17" t="s">
        <v>41</v>
      </c>
      <c r="J250" s="19">
        <f>ROUND(60*1,0)&amp;"%"</f>
      </c>
    </row>
    <row x14ac:dyDescent="0.25" r="251" customHeight="1" ht="17.25">
      <c r="A251" s="20" t="s">
        <v>12693</v>
      </c>
      <c r="B251" s="20" t="s">
        <v>414</v>
      </c>
      <c r="C251" s="20" t="s">
        <v>152</v>
      </c>
      <c r="D251" s="20" t="s">
        <v>67</v>
      </c>
      <c r="E251" s="21">
        <f>ROUND(11266*1.05,2)</f>
      </c>
      <c r="F251" s="20" t="s">
        <v>44</v>
      </c>
      <c r="G251" s="20" t="s">
        <v>30</v>
      </c>
      <c r="H251" s="21">
        <f>ROUND(RAND()*4+6,1)</f>
      </c>
      <c r="I251" s="20" t="s">
        <v>45</v>
      </c>
      <c r="J251" s="23">
        <f>ROUND(88*1,0)&amp;"%"</f>
      </c>
    </row>
    <row x14ac:dyDescent="0.25" r="252" customHeight="1" ht="17.25">
      <c r="A252" s="17" t="s">
        <v>12694</v>
      </c>
      <c r="B252" s="17" t="s">
        <v>416</v>
      </c>
      <c r="C252" s="17" t="s">
        <v>152</v>
      </c>
      <c r="D252" s="17" t="s">
        <v>16</v>
      </c>
      <c r="E252" s="18">
        <f>ROUND(10481*1.05,2)</f>
      </c>
      <c r="F252" s="17" t="s">
        <v>48</v>
      </c>
      <c r="G252" s="17" t="s">
        <v>18</v>
      </c>
      <c r="H252" s="18">
        <f>ROUND(RAND()*4+6,1)</f>
      </c>
      <c r="I252" s="17" t="s">
        <v>19</v>
      </c>
      <c r="J252" s="19">
        <f>ROUND(75*1,0)&amp;"%"</f>
      </c>
    </row>
    <row x14ac:dyDescent="0.25" r="253" customHeight="1" ht="17.25">
      <c r="A253" s="20" t="s">
        <v>12695</v>
      </c>
      <c r="B253" s="20" t="s">
        <v>418</v>
      </c>
      <c r="C253" s="20" t="s">
        <v>152</v>
      </c>
      <c r="D253" s="20" t="s">
        <v>22</v>
      </c>
      <c r="E253" s="21">
        <f>ROUND(5635*1.05,2)</f>
      </c>
      <c r="F253" s="20" t="s">
        <v>51</v>
      </c>
      <c r="G253" s="20" t="s">
        <v>24</v>
      </c>
      <c r="H253" s="21">
        <f>ROUND(RAND()*4+6,1)</f>
      </c>
      <c r="I253" s="20" t="s">
        <v>25</v>
      </c>
      <c r="J253" s="23">
        <f>ROUND(78*1,0)&amp;"%"</f>
      </c>
    </row>
    <row x14ac:dyDescent="0.25" r="254" customHeight="1" ht="17.25">
      <c r="A254" s="24" t="s">
        <v>419</v>
      </c>
      <c r="B254" s="24"/>
      <c r="C254" s="24"/>
      <c r="D254" s="24"/>
      <c r="E254" s="25">
        <v>8</v>
      </c>
      <c r="F254" s="9"/>
      <c r="G254" s="9"/>
      <c r="H254" s="10"/>
      <c r="I254" s="9"/>
      <c r="J254" s="9"/>
    </row>
    <row x14ac:dyDescent="0.25" r="255" customHeight="1" ht="17.25">
      <c r="A255" s="7"/>
      <c r="B255" s="7"/>
      <c r="C255" s="7"/>
      <c r="D255" s="7"/>
      <c r="E255" s="8"/>
      <c r="F255" s="9"/>
      <c r="G255" s="9"/>
      <c r="H255" s="10"/>
      <c r="I255" s="9"/>
      <c r="J255" s="9"/>
    </row>
    <row x14ac:dyDescent="0.25" r="256" customHeight="1" ht="17.25">
      <c r="A256" s="11" t="s">
        <v>12696</v>
      </c>
      <c r="B256" s="11"/>
      <c r="C256" s="11"/>
      <c r="D256" s="11"/>
      <c r="E256" s="12"/>
      <c r="F256" s="11"/>
      <c r="G256" s="11"/>
      <c r="H256" s="13"/>
      <c r="I256" s="11"/>
      <c r="J256" s="11"/>
    </row>
    <row x14ac:dyDescent="0.25" r="257" customHeight="1" ht="17.25">
      <c r="A257" s="14" t="s">
        <v>3</v>
      </c>
      <c r="B257" s="14" t="s">
        <v>4</v>
      </c>
      <c r="C257" s="14" t="s">
        <v>5</v>
      </c>
      <c r="D257" s="14" t="s">
        <v>6</v>
      </c>
      <c r="E257" s="15" t="s">
        <v>7</v>
      </c>
      <c r="F257" s="14" t="s">
        <v>8</v>
      </c>
      <c r="G257" s="14" t="s">
        <v>9</v>
      </c>
      <c r="H257" s="16" t="s">
        <v>10</v>
      </c>
      <c r="I257" s="14" t="s">
        <v>11</v>
      </c>
      <c r="J257" s="14" t="s">
        <v>12</v>
      </c>
    </row>
    <row x14ac:dyDescent="0.25" r="258" customHeight="1" ht="17.25">
      <c r="A258" s="17" t="s">
        <v>12697</v>
      </c>
      <c r="B258" s="17" t="s">
        <v>422</v>
      </c>
      <c r="C258" s="17" t="s">
        <v>15</v>
      </c>
      <c r="D258" s="17" t="s">
        <v>16</v>
      </c>
      <c r="E258" s="18">
        <f>ROUND(14639*1.05,2)</f>
      </c>
      <c r="F258" s="17" t="s">
        <v>17</v>
      </c>
      <c r="G258" s="17" t="s">
        <v>18</v>
      </c>
      <c r="H258" s="18">
        <f>ROUND(RAND()*4+6,1)</f>
      </c>
      <c r="I258" s="17" t="s">
        <v>19</v>
      </c>
      <c r="J258" s="19">
        <f>ROUND(67*1,0)&amp;"%"</f>
      </c>
    </row>
    <row x14ac:dyDescent="0.25" r="259" customHeight="1" ht="17.25">
      <c r="A259" s="20" t="s">
        <v>12698</v>
      </c>
      <c r="B259" s="20" t="s">
        <v>424</v>
      </c>
      <c r="C259" s="20" t="s">
        <v>15</v>
      </c>
      <c r="D259" s="20" t="s">
        <v>22</v>
      </c>
      <c r="E259" s="21">
        <f>ROUND(9412*1.05,2)</f>
      </c>
      <c r="F259" s="20" t="s">
        <v>23</v>
      </c>
      <c r="G259" s="20" t="s">
        <v>24</v>
      </c>
      <c r="H259" s="21">
        <f>ROUND(RAND()*4+6,1)</f>
      </c>
      <c r="I259" s="20" t="s">
        <v>25</v>
      </c>
      <c r="J259" s="23">
        <f>ROUND(76*1,0)&amp;"%"</f>
      </c>
    </row>
    <row x14ac:dyDescent="0.25" r="260" customHeight="1" ht="17.25">
      <c r="A260" s="17" t="s">
        <v>12699</v>
      </c>
      <c r="B260" s="17" t="s">
        <v>426</v>
      </c>
      <c r="C260" s="17" t="s">
        <v>15</v>
      </c>
      <c r="D260" s="17" t="s">
        <v>28</v>
      </c>
      <c r="E260" s="18">
        <f>ROUND(7921*1.05,2)</f>
      </c>
      <c r="F260" s="17" t="s">
        <v>29</v>
      </c>
      <c r="G260" s="17" t="s">
        <v>30</v>
      </c>
      <c r="H260" s="18">
        <f>ROUND(RAND()*4+6,1)</f>
      </c>
      <c r="I260" s="17" t="s">
        <v>31</v>
      </c>
      <c r="J260" s="19">
        <f>ROUND(77*1,0)&amp;"%"</f>
      </c>
    </row>
    <row x14ac:dyDescent="0.25" r="261" customHeight="1" ht="17.25">
      <c r="A261" s="20" t="s">
        <v>12700</v>
      </c>
      <c r="B261" s="20" t="s">
        <v>428</v>
      </c>
      <c r="C261" s="20" t="s">
        <v>15</v>
      </c>
      <c r="D261" s="20" t="s">
        <v>34</v>
      </c>
      <c r="E261" s="21">
        <f>ROUND(17544*1.05,2)</f>
      </c>
      <c r="F261" s="20" t="s">
        <v>35</v>
      </c>
      <c r="G261" s="20" t="s">
        <v>18</v>
      </c>
      <c r="H261" s="21">
        <f>ROUND(RAND()*4+6,1)</f>
      </c>
      <c r="I261" s="20" t="s">
        <v>36</v>
      </c>
      <c r="J261" s="23">
        <f>ROUND(78*1,0)&amp;"%"</f>
      </c>
    </row>
    <row x14ac:dyDescent="0.25" r="262" customHeight="1" ht="17.25">
      <c r="A262" s="17" t="s">
        <v>12701</v>
      </c>
      <c r="B262" s="17" t="s">
        <v>430</v>
      </c>
      <c r="C262" s="17" t="s">
        <v>15</v>
      </c>
      <c r="D262" s="17" t="s">
        <v>39</v>
      </c>
      <c r="E262" s="18">
        <f>ROUND(5009*1.05,2)</f>
      </c>
      <c r="F262" s="17" t="s">
        <v>40</v>
      </c>
      <c r="G262" s="17" t="s">
        <v>24</v>
      </c>
      <c r="H262" s="18">
        <f>ROUND(RAND()*4+6,1)</f>
      </c>
      <c r="I262" s="17" t="s">
        <v>41</v>
      </c>
      <c r="J262" s="19">
        <f>ROUND(92*1,0)&amp;"%"</f>
      </c>
    </row>
    <row x14ac:dyDescent="0.25" r="263" customHeight="1" ht="17.25">
      <c r="A263" s="20" t="s">
        <v>12702</v>
      </c>
      <c r="B263" s="20" t="s">
        <v>432</v>
      </c>
      <c r="C263" s="20" t="s">
        <v>15</v>
      </c>
      <c r="D263" s="20" t="s">
        <v>67</v>
      </c>
      <c r="E263" s="21">
        <f>ROUND(12865*1.05,2)</f>
      </c>
      <c r="F263" s="20" t="s">
        <v>44</v>
      </c>
      <c r="G263" s="20" t="s">
        <v>30</v>
      </c>
      <c r="H263" s="21">
        <f>ROUND(RAND()*4+6,1)</f>
      </c>
      <c r="I263" s="20" t="s">
        <v>45</v>
      </c>
      <c r="J263" s="23">
        <f>ROUND(62*1,0)&amp;"%"</f>
      </c>
    </row>
    <row x14ac:dyDescent="0.25" r="264" customHeight="1" ht="17.25">
      <c r="A264" s="17" t="s">
        <v>12703</v>
      </c>
      <c r="B264" s="17" t="s">
        <v>434</v>
      </c>
      <c r="C264" s="17" t="s">
        <v>15</v>
      </c>
      <c r="D264" s="17" t="s">
        <v>16</v>
      </c>
      <c r="E264" s="18">
        <f>ROUND(7804*1.05,2)</f>
      </c>
      <c r="F264" s="17" t="s">
        <v>48</v>
      </c>
      <c r="G264" s="17" t="s">
        <v>18</v>
      </c>
      <c r="H264" s="18">
        <f>ROUND(RAND()*4+6,1)</f>
      </c>
      <c r="I264" s="17" t="s">
        <v>19</v>
      </c>
      <c r="J264" s="19">
        <f>ROUND(70*1,0)&amp;"%"</f>
      </c>
    </row>
    <row x14ac:dyDescent="0.25" r="265" customHeight="1" ht="17.25">
      <c r="A265" s="20" t="s">
        <v>12704</v>
      </c>
      <c r="B265" s="20" t="s">
        <v>436</v>
      </c>
      <c r="C265" s="20" t="s">
        <v>15</v>
      </c>
      <c r="D265" s="20" t="s">
        <v>22</v>
      </c>
      <c r="E265" s="21">
        <f>ROUND(8511*1.05,2)</f>
      </c>
      <c r="F265" s="20" t="s">
        <v>51</v>
      </c>
      <c r="G265" s="20" t="s">
        <v>24</v>
      </c>
      <c r="H265" s="21">
        <f>ROUND(RAND()*4+6,1)</f>
      </c>
      <c r="I265" s="20" t="s">
        <v>25</v>
      </c>
      <c r="J265" s="23">
        <f>ROUND(67*1,0)&amp;"%"</f>
      </c>
    </row>
    <row x14ac:dyDescent="0.25" r="266" customHeight="1" ht="17.25">
      <c r="A266" s="24" t="s">
        <v>437</v>
      </c>
      <c r="B266" s="24"/>
      <c r="C266" s="24"/>
      <c r="D266" s="24"/>
      <c r="E266" s="25">
        <v>8</v>
      </c>
      <c r="F266" s="9"/>
      <c r="G266" s="9"/>
      <c r="H266" s="10"/>
      <c r="I266" s="9"/>
      <c r="J266" s="9"/>
    </row>
    <row x14ac:dyDescent="0.25" r="267" customHeight="1" ht="17.25">
      <c r="A267" s="7"/>
      <c r="B267" s="7"/>
      <c r="C267" s="7"/>
      <c r="D267" s="7"/>
      <c r="E267" s="8"/>
      <c r="F267" s="9"/>
      <c r="G267" s="9"/>
      <c r="H267" s="10"/>
      <c r="I267" s="9"/>
      <c r="J267" s="9"/>
    </row>
    <row x14ac:dyDescent="0.25" r="268" customHeight="1" ht="17.25">
      <c r="A268" s="11" t="s">
        <v>12705</v>
      </c>
      <c r="B268" s="11"/>
      <c r="C268" s="11"/>
      <c r="D268" s="11"/>
      <c r="E268" s="12"/>
      <c r="F268" s="11"/>
      <c r="G268" s="11"/>
      <c r="H268" s="13"/>
      <c r="I268" s="11"/>
      <c r="J268" s="11"/>
    </row>
    <row x14ac:dyDescent="0.25" r="269" customHeight="1" ht="17.25">
      <c r="A269" s="14" t="s">
        <v>3</v>
      </c>
      <c r="B269" s="14" t="s">
        <v>4</v>
      </c>
      <c r="C269" s="14" t="s">
        <v>5</v>
      </c>
      <c r="D269" s="14" t="s">
        <v>6</v>
      </c>
      <c r="E269" s="15" t="s">
        <v>7</v>
      </c>
      <c r="F269" s="14" t="s">
        <v>8</v>
      </c>
      <c r="G269" s="14" t="s">
        <v>9</v>
      </c>
      <c r="H269" s="16" t="s">
        <v>10</v>
      </c>
      <c r="I269" s="14" t="s">
        <v>11</v>
      </c>
      <c r="J269" s="14" t="s">
        <v>12</v>
      </c>
    </row>
    <row x14ac:dyDescent="0.25" r="270" customHeight="1" ht="17.25">
      <c r="A270" s="17" t="s">
        <v>12706</v>
      </c>
      <c r="B270" s="17" t="s">
        <v>440</v>
      </c>
      <c r="C270" s="17" t="s">
        <v>56</v>
      </c>
      <c r="D270" s="17" t="s">
        <v>16</v>
      </c>
      <c r="E270" s="18">
        <f>ROUND(17364*1.05,2)</f>
      </c>
      <c r="F270" s="17" t="s">
        <v>17</v>
      </c>
      <c r="G270" s="17" t="s">
        <v>18</v>
      </c>
      <c r="H270" s="18">
        <f>ROUND(RAND()*4+6,1)</f>
      </c>
      <c r="I270" s="17" t="s">
        <v>19</v>
      </c>
      <c r="J270" s="19">
        <f>ROUND(72*1,0)&amp;"%"</f>
      </c>
    </row>
    <row x14ac:dyDescent="0.25" r="271" customHeight="1" ht="17.25">
      <c r="A271" s="20" t="s">
        <v>12707</v>
      </c>
      <c r="B271" s="20" t="s">
        <v>442</v>
      </c>
      <c r="C271" s="20" t="s">
        <v>56</v>
      </c>
      <c r="D271" s="20" t="s">
        <v>22</v>
      </c>
      <c r="E271" s="21">
        <f>ROUND(6001*1.05,2)</f>
      </c>
      <c r="F271" s="20" t="s">
        <v>23</v>
      </c>
      <c r="G271" s="20" t="s">
        <v>24</v>
      </c>
      <c r="H271" s="21">
        <f>ROUND(RAND()*4+6,1)</f>
      </c>
      <c r="I271" s="20" t="s">
        <v>25</v>
      </c>
      <c r="J271" s="23">
        <f>ROUND(81*1,0)&amp;"%"</f>
      </c>
    </row>
    <row x14ac:dyDescent="0.25" r="272" customHeight="1" ht="17.25">
      <c r="A272" s="17" t="s">
        <v>12708</v>
      </c>
      <c r="B272" s="17" t="s">
        <v>444</v>
      </c>
      <c r="C272" s="17" t="s">
        <v>56</v>
      </c>
      <c r="D272" s="17" t="s">
        <v>28</v>
      </c>
      <c r="E272" s="18">
        <f>ROUND(5903*1.05,2)</f>
      </c>
      <c r="F272" s="17" t="s">
        <v>29</v>
      </c>
      <c r="G272" s="17" t="s">
        <v>30</v>
      </c>
      <c r="H272" s="18">
        <f>ROUND(RAND()*4+6,1)</f>
      </c>
      <c r="I272" s="17" t="s">
        <v>31</v>
      </c>
      <c r="J272" s="19">
        <f>ROUND(77*1,0)&amp;"%"</f>
      </c>
    </row>
    <row x14ac:dyDescent="0.25" r="273" customHeight="1" ht="17.25">
      <c r="A273" s="20" t="s">
        <v>12709</v>
      </c>
      <c r="B273" s="20" t="s">
        <v>446</v>
      </c>
      <c r="C273" s="20" t="s">
        <v>56</v>
      </c>
      <c r="D273" s="20" t="s">
        <v>34</v>
      </c>
      <c r="E273" s="21">
        <f>ROUND(12069*1.05,2)</f>
      </c>
      <c r="F273" s="20" t="s">
        <v>35</v>
      </c>
      <c r="G273" s="20" t="s">
        <v>18</v>
      </c>
      <c r="H273" s="21">
        <f>ROUND(RAND()*4+6,1)</f>
      </c>
      <c r="I273" s="20" t="s">
        <v>36</v>
      </c>
      <c r="J273" s="23">
        <f>ROUND(90*1,0)&amp;"%"</f>
      </c>
    </row>
    <row x14ac:dyDescent="0.25" r="274" customHeight="1" ht="17.25">
      <c r="A274" s="17" t="s">
        <v>12710</v>
      </c>
      <c r="B274" s="17" t="s">
        <v>448</v>
      </c>
      <c r="C274" s="17" t="s">
        <v>56</v>
      </c>
      <c r="D274" s="17" t="s">
        <v>39</v>
      </c>
      <c r="E274" s="18">
        <f>ROUND(11036*1.05,2)</f>
      </c>
      <c r="F274" s="17" t="s">
        <v>40</v>
      </c>
      <c r="G274" s="17" t="s">
        <v>24</v>
      </c>
      <c r="H274" s="18">
        <f>ROUND(RAND()*4+6,1)</f>
      </c>
      <c r="I274" s="17" t="s">
        <v>41</v>
      </c>
      <c r="J274" s="19">
        <f>ROUND(99*1,0)&amp;"%"</f>
      </c>
    </row>
    <row x14ac:dyDescent="0.25" r="275" customHeight="1" ht="17.25">
      <c r="A275" s="20" t="s">
        <v>12711</v>
      </c>
      <c r="B275" s="20" t="s">
        <v>450</v>
      </c>
      <c r="C275" s="20" t="s">
        <v>56</v>
      </c>
      <c r="D275" s="20" t="s">
        <v>67</v>
      </c>
      <c r="E275" s="21">
        <f>ROUND(15959*1.05,2)</f>
      </c>
      <c r="F275" s="20" t="s">
        <v>44</v>
      </c>
      <c r="G275" s="20" t="s">
        <v>30</v>
      </c>
      <c r="H275" s="21">
        <f>ROUND(RAND()*4+6,1)</f>
      </c>
      <c r="I275" s="20" t="s">
        <v>45</v>
      </c>
      <c r="J275" s="23">
        <f>ROUND(88*1,0)&amp;"%"</f>
      </c>
    </row>
    <row x14ac:dyDescent="0.25" r="276" customHeight="1" ht="17.25">
      <c r="A276" s="17" t="s">
        <v>12712</v>
      </c>
      <c r="B276" s="17" t="s">
        <v>452</v>
      </c>
      <c r="C276" s="17" t="s">
        <v>56</v>
      </c>
      <c r="D276" s="17" t="s">
        <v>16</v>
      </c>
      <c r="E276" s="18">
        <f>ROUND(5322*1.05,2)</f>
      </c>
      <c r="F276" s="17" t="s">
        <v>48</v>
      </c>
      <c r="G276" s="17" t="s">
        <v>18</v>
      </c>
      <c r="H276" s="18">
        <f>ROUND(RAND()*4+6,1)</f>
      </c>
      <c r="I276" s="17" t="s">
        <v>19</v>
      </c>
      <c r="J276" s="19">
        <f>ROUND(100*1,0)&amp;"%"</f>
      </c>
    </row>
    <row x14ac:dyDescent="0.25" r="277" customHeight="1" ht="17.25">
      <c r="A277" s="20" t="s">
        <v>12713</v>
      </c>
      <c r="B277" s="20" t="s">
        <v>454</v>
      </c>
      <c r="C277" s="20" t="s">
        <v>56</v>
      </c>
      <c r="D277" s="20" t="s">
        <v>22</v>
      </c>
      <c r="E277" s="21">
        <f>ROUND(17694*1.05,2)</f>
      </c>
      <c r="F277" s="20" t="s">
        <v>51</v>
      </c>
      <c r="G277" s="20" t="s">
        <v>24</v>
      </c>
      <c r="H277" s="21">
        <f>ROUND(RAND()*4+6,1)</f>
      </c>
      <c r="I277" s="20" t="s">
        <v>25</v>
      </c>
      <c r="J277" s="23">
        <f>ROUND(73*1,0)&amp;"%"</f>
      </c>
    </row>
    <row x14ac:dyDescent="0.25" r="278" customHeight="1" ht="17.25">
      <c r="A278" s="24" t="s">
        <v>455</v>
      </c>
      <c r="B278" s="24"/>
      <c r="C278" s="24"/>
      <c r="D278" s="24"/>
      <c r="E278" s="25">
        <v>8</v>
      </c>
      <c r="F278" s="9"/>
      <c r="G278" s="9"/>
      <c r="H278" s="10"/>
      <c r="I278" s="9"/>
      <c r="J278" s="9"/>
    </row>
    <row x14ac:dyDescent="0.25" r="279" customHeight="1" ht="17.25">
      <c r="A279" s="7"/>
      <c r="B279" s="7"/>
      <c r="C279" s="7"/>
      <c r="D279" s="7"/>
      <c r="E279" s="8"/>
      <c r="F279" s="9"/>
      <c r="G279" s="9"/>
      <c r="H279" s="10"/>
      <c r="I279" s="9"/>
      <c r="J279" s="9"/>
    </row>
    <row x14ac:dyDescent="0.25" r="280" customHeight="1" ht="17.25">
      <c r="A280" s="11" t="s">
        <v>12714</v>
      </c>
      <c r="B280" s="11"/>
      <c r="C280" s="11"/>
      <c r="D280" s="11"/>
      <c r="E280" s="12"/>
      <c r="F280" s="11"/>
      <c r="G280" s="11"/>
      <c r="H280" s="13"/>
      <c r="I280" s="11"/>
      <c r="J280" s="11"/>
    </row>
    <row x14ac:dyDescent="0.25" r="281" customHeight="1" ht="17.25">
      <c r="A281" s="14" t="s">
        <v>3</v>
      </c>
      <c r="B281" s="14" t="s">
        <v>4</v>
      </c>
      <c r="C281" s="14" t="s">
        <v>5</v>
      </c>
      <c r="D281" s="14" t="s">
        <v>6</v>
      </c>
      <c r="E281" s="15" t="s">
        <v>7</v>
      </c>
      <c r="F281" s="14" t="s">
        <v>8</v>
      </c>
      <c r="G281" s="14" t="s">
        <v>9</v>
      </c>
      <c r="H281" s="16" t="s">
        <v>10</v>
      </c>
      <c r="I281" s="14" t="s">
        <v>11</v>
      </c>
      <c r="J281" s="14" t="s">
        <v>12</v>
      </c>
    </row>
    <row x14ac:dyDescent="0.25" r="282" customHeight="1" ht="17.25">
      <c r="A282" s="17" t="s">
        <v>12715</v>
      </c>
      <c r="B282" s="17" t="s">
        <v>458</v>
      </c>
      <c r="C282" s="17" t="s">
        <v>76</v>
      </c>
      <c r="D282" s="17" t="s">
        <v>16</v>
      </c>
      <c r="E282" s="18">
        <f>ROUND(7415*1.05,2)</f>
      </c>
      <c r="F282" s="17" t="s">
        <v>17</v>
      </c>
      <c r="G282" s="17" t="s">
        <v>18</v>
      </c>
      <c r="H282" s="18">
        <f>ROUND(RAND()*4+6,1)</f>
      </c>
      <c r="I282" s="17" t="s">
        <v>19</v>
      </c>
      <c r="J282" s="19">
        <f>ROUND(85*1,0)&amp;"%"</f>
      </c>
    </row>
    <row x14ac:dyDescent="0.25" r="283" customHeight="1" ht="17.25">
      <c r="A283" s="20" t="s">
        <v>12716</v>
      </c>
      <c r="B283" s="20" t="s">
        <v>460</v>
      </c>
      <c r="C283" s="20" t="s">
        <v>76</v>
      </c>
      <c r="D283" s="20" t="s">
        <v>22</v>
      </c>
      <c r="E283" s="21">
        <f>ROUND(10395*1.05,2)</f>
      </c>
      <c r="F283" s="20" t="s">
        <v>23</v>
      </c>
      <c r="G283" s="20" t="s">
        <v>24</v>
      </c>
      <c r="H283" s="21">
        <f>ROUND(RAND()*4+6,1)</f>
      </c>
      <c r="I283" s="20" t="s">
        <v>25</v>
      </c>
      <c r="J283" s="23">
        <f>ROUND(89*1,0)&amp;"%"</f>
      </c>
    </row>
    <row x14ac:dyDescent="0.25" r="284" customHeight="1" ht="17.25">
      <c r="A284" s="17" t="s">
        <v>12717</v>
      </c>
      <c r="B284" s="17" t="s">
        <v>462</v>
      </c>
      <c r="C284" s="17" t="s">
        <v>76</v>
      </c>
      <c r="D284" s="17" t="s">
        <v>28</v>
      </c>
      <c r="E284" s="18">
        <f>ROUND(13303*1.05,2)</f>
      </c>
      <c r="F284" s="17" t="s">
        <v>29</v>
      </c>
      <c r="G284" s="17" t="s">
        <v>30</v>
      </c>
      <c r="H284" s="18">
        <f>ROUND(RAND()*4+6,1)</f>
      </c>
      <c r="I284" s="17" t="s">
        <v>31</v>
      </c>
      <c r="J284" s="19">
        <f>ROUND(70*1,0)&amp;"%"</f>
      </c>
    </row>
    <row x14ac:dyDescent="0.25" r="285" customHeight="1" ht="17.25">
      <c r="A285" s="20" t="s">
        <v>12718</v>
      </c>
      <c r="B285" s="20" t="s">
        <v>464</v>
      </c>
      <c r="C285" s="20" t="s">
        <v>76</v>
      </c>
      <c r="D285" s="20" t="s">
        <v>34</v>
      </c>
      <c r="E285" s="21">
        <f>ROUND(9151*1.05,2)</f>
      </c>
      <c r="F285" s="20" t="s">
        <v>35</v>
      </c>
      <c r="G285" s="20" t="s">
        <v>18</v>
      </c>
      <c r="H285" s="21">
        <f>ROUND(RAND()*4+6,1)</f>
      </c>
      <c r="I285" s="20" t="s">
        <v>36</v>
      </c>
      <c r="J285" s="23">
        <f>ROUND(84*1,0)&amp;"%"</f>
      </c>
    </row>
    <row x14ac:dyDescent="0.25" r="286" customHeight="1" ht="17.25">
      <c r="A286" s="17" t="s">
        <v>12719</v>
      </c>
      <c r="B286" s="17" t="s">
        <v>466</v>
      </c>
      <c r="C286" s="17" t="s">
        <v>76</v>
      </c>
      <c r="D286" s="17" t="s">
        <v>39</v>
      </c>
      <c r="E286" s="18">
        <f>ROUND(12674*1.05,2)</f>
      </c>
      <c r="F286" s="17" t="s">
        <v>40</v>
      </c>
      <c r="G286" s="17" t="s">
        <v>24</v>
      </c>
      <c r="H286" s="18">
        <f>ROUND(RAND()*4+6,1)</f>
      </c>
      <c r="I286" s="17" t="s">
        <v>41</v>
      </c>
      <c r="J286" s="19">
        <f>ROUND(92*1,0)&amp;"%"</f>
      </c>
    </row>
    <row x14ac:dyDescent="0.25" r="287" customHeight="1" ht="17.25">
      <c r="A287" s="20" t="s">
        <v>12720</v>
      </c>
      <c r="B287" s="20" t="s">
        <v>468</v>
      </c>
      <c r="C287" s="20" t="s">
        <v>76</v>
      </c>
      <c r="D287" s="20" t="s">
        <v>67</v>
      </c>
      <c r="E287" s="21">
        <f>ROUND(5575*1.05,2)</f>
      </c>
      <c r="F287" s="20" t="s">
        <v>44</v>
      </c>
      <c r="G287" s="20" t="s">
        <v>30</v>
      </c>
      <c r="H287" s="21">
        <f>ROUND(RAND()*4+6,1)</f>
      </c>
      <c r="I287" s="20" t="s">
        <v>45</v>
      </c>
      <c r="J287" s="23">
        <f>ROUND(71*1,0)&amp;"%"</f>
      </c>
    </row>
    <row x14ac:dyDescent="0.25" r="288" customHeight="1" ht="17.25">
      <c r="A288" s="17" t="s">
        <v>12721</v>
      </c>
      <c r="B288" s="17" t="s">
        <v>470</v>
      </c>
      <c r="C288" s="17" t="s">
        <v>76</v>
      </c>
      <c r="D288" s="17" t="s">
        <v>16</v>
      </c>
      <c r="E288" s="18">
        <f>ROUND(7794*1.05,2)</f>
      </c>
      <c r="F288" s="17" t="s">
        <v>48</v>
      </c>
      <c r="G288" s="17" t="s">
        <v>18</v>
      </c>
      <c r="H288" s="18">
        <f>ROUND(RAND()*4+6,1)</f>
      </c>
      <c r="I288" s="17" t="s">
        <v>19</v>
      </c>
      <c r="J288" s="19">
        <f>ROUND(78*1,0)&amp;"%"</f>
      </c>
    </row>
    <row x14ac:dyDescent="0.25" r="289" customHeight="1" ht="17.25">
      <c r="A289" s="20" t="s">
        <v>12722</v>
      </c>
      <c r="B289" s="20" t="s">
        <v>472</v>
      </c>
      <c r="C289" s="20" t="s">
        <v>76</v>
      </c>
      <c r="D289" s="20" t="s">
        <v>22</v>
      </c>
      <c r="E289" s="21">
        <f>ROUND(12964*1.05,2)</f>
      </c>
      <c r="F289" s="20" t="s">
        <v>51</v>
      </c>
      <c r="G289" s="20" t="s">
        <v>24</v>
      </c>
      <c r="H289" s="21">
        <f>ROUND(RAND()*4+6,1)</f>
      </c>
      <c r="I289" s="20" t="s">
        <v>25</v>
      </c>
      <c r="J289" s="23">
        <f>ROUND(93*1,0)&amp;"%"</f>
      </c>
    </row>
    <row x14ac:dyDescent="0.25" r="290" customHeight="1" ht="17.25">
      <c r="A290" s="24" t="s">
        <v>473</v>
      </c>
      <c r="B290" s="24"/>
      <c r="C290" s="24"/>
      <c r="D290" s="24"/>
      <c r="E290" s="25">
        <v>8</v>
      </c>
      <c r="F290" s="9"/>
      <c r="G290" s="9"/>
      <c r="H290" s="10"/>
      <c r="I290" s="9"/>
      <c r="J290" s="9"/>
    </row>
    <row x14ac:dyDescent="0.25" r="291" customHeight="1" ht="17.25">
      <c r="A291" s="7"/>
      <c r="B291" s="7"/>
      <c r="C291" s="7"/>
      <c r="D291" s="7"/>
      <c r="E291" s="8"/>
      <c r="F291" s="9"/>
      <c r="G291" s="9"/>
      <c r="H291" s="10"/>
      <c r="I291" s="9"/>
      <c r="J291" s="9"/>
    </row>
    <row x14ac:dyDescent="0.25" r="292" customHeight="1" ht="17.25">
      <c r="A292" s="11" t="s">
        <v>12723</v>
      </c>
      <c r="B292" s="11"/>
      <c r="C292" s="11"/>
      <c r="D292" s="11"/>
      <c r="E292" s="12"/>
      <c r="F292" s="11"/>
      <c r="G292" s="11"/>
      <c r="H292" s="13"/>
      <c r="I292" s="11"/>
      <c r="J292" s="11"/>
    </row>
    <row x14ac:dyDescent="0.25" r="293" customHeight="1" ht="17.25">
      <c r="A293" s="14" t="s">
        <v>3</v>
      </c>
      <c r="B293" s="14" t="s">
        <v>4</v>
      </c>
      <c r="C293" s="14" t="s">
        <v>5</v>
      </c>
      <c r="D293" s="14" t="s">
        <v>6</v>
      </c>
      <c r="E293" s="15" t="s">
        <v>7</v>
      </c>
      <c r="F293" s="14" t="s">
        <v>8</v>
      </c>
      <c r="G293" s="14" t="s">
        <v>9</v>
      </c>
      <c r="H293" s="16" t="s">
        <v>10</v>
      </c>
      <c r="I293" s="14" t="s">
        <v>11</v>
      </c>
      <c r="J293" s="14" t="s">
        <v>12</v>
      </c>
    </row>
    <row x14ac:dyDescent="0.25" r="294" customHeight="1" ht="17.25">
      <c r="A294" s="17" t="s">
        <v>12724</v>
      </c>
      <c r="B294" s="17" t="s">
        <v>476</v>
      </c>
      <c r="C294" s="17" t="s">
        <v>95</v>
      </c>
      <c r="D294" s="17" t="s">
        <v>16</v>
      </c>
      <c r="E294" s="18">
        <f>ROUND(5755*1.05,2)</f>
      </c>
      <c r="F294" s="17" t="s">
        <v>17</v>
      </c>
      <c r="G294" s="17" t="s">
        <v>18</v>
      </c>
      <c r="H294" s="18">
        <f>ROUND(RAND()*4+6,1)</f>
      </c>
      <c r="I294" s="17" t="s">
        <v>19</v>
      </c>
      <c r="J294" s="19">
        <f>ROUND(97*1,0)&amp;"%"</f>
      </c>
    </row>
    <row x14ac:dyDescent="0.25" r="295" customHeight="1" ht="17.25">
      <c r="A295" s="20" t="s">
        <v>12725</v>
      </c>
      <c r="B295" s="20" t="s">
        <v>478</v>
      </c>
      <c r="C295" s="20" t="s">
        <v>95</v>
      </c>
      <c r="D295" s="20" t="s">
        <v>22</v>
      </c>
      <c r="E295" s="21">
        <f>ROUND(6188*1.05,2)</f>
      </c>
      <c r="F295" s="20" t="s">
        <v>23</v>
      </c>
      <c r="G295" s="20" t="s">
        <v>24</v>
      </c>
      <c r="H295" s="21">
        <f>ROUND(RAND()*4+6,1)</f>
      </c>
      <c r="I295" s="20" t="s">
        <v>25</v>
      </c>
      <c r="J295" s="23">
        <f>ROUND(64*1,0)&amp;"%"</f>
      </c>
    </row>
    <row x14ac:dyDescent="0.25" r="296" customHeight="1" ht="17.25">
      <c r="A296" s="17" t="s">
        <v>12726</v>
      </c>
      <c r="B296" s="17" t="s">
        <v>480</v>
      </c>
      <c r="C296" s="17" t="s">
        <v>95</v>
      </c>
      <c r="D296" s="17" t="s">
        <v>28</v>
      </c>
      <c r="E296" s="18">
        <f>ROUND(5491*1.05,2)</f>
      </c>
      <c r="F296" s="17" t="s">
        <v>29</v>
      </c>
      <c r="G296" s="17" t="s">
        <v>30</v>
      </c>
      <c r="H296" s="18">
        <f>ROUND(RAND()*4+6,1)</f>
      </c>
      <c r="I296" s="17" t="s">
        <v>31</v>
      </c>
      <c r="J296" s="19">
        <f>ROUND(70*1,0)&amp;"%"</f>
      </c>
    </row>
    <row x14ac:dyDescent="0.25" r="297" customHeight="1" ht="17.25">
      <c r="A297" s="20" t="s">
        <v>12727</v>
      </c>
      <c r="B297" s="20" t="s">
        <v>482</v>
      </c>
      <c r="C297" s="20" t="s">
        <v>95</v>
      </c>
      <c r="D297" s="20" t="s">
        <v>34</v>
      </c>
      <c r="E297" s="21">
        <f>ROUND(9639*1.05,2)</f>
      </c>
      <c r="F297" s="20" t="s">
        <v>35</v>
      </c>
      <c r="G297" s="20" t="s">
        <v>18</v>
      </c>
      <c r="H297" s="21">
        <f>ROUND(RAND()*4+6,1)</f>
      </c>
      <c r="I297" s="20" t="s">
        <v>36</v>
      </c>
      <c r="J297" s="23">
        <f>ROUND(62*1,0)&amp;"%"</f>
      </c>
    </row>
    <row x14ac:dyDescent="0.25" r="298" customHeight="1" ht="17.25">
      <c r="A298" s="17" t="s">
        <v>12728</v>
      </c>
      <c r="B298" s="17" t="s">
        <v>484</v>
      </c>
      <c r="C298" s="17" t="s">
        <v>95</v>
      </c>
      <c r="D298" s="17" t="s">
        <v>39</v>
      </c>
      <c r="E298" s="18">
        <f>ROUND(6717*1.05,2)</f>
      </c>
      <c r="F298" s="17" t="s">
        <v>40</v>
      </c>
      <c r="G298" s="17" t="s">
        <v>24</v>
      </c>
      <c r="H298" s="18">
        <f>ROUND(RAND()*4+6,1)</f>
      </c>
      <c r="I298" s="17" t="s">
        <v>41</v>
      </c>
      <c r="J298" s="19">
        <f>ROUND(76*1,0)&amp;"%"</f>
      </c>
    </row>
    <row x14ac:dyDescent="0.25" r="299" customHeight="1" ht="17.25">
      <c r="A299" s="20" t="s">
        <v>12729</v>
      </c>
      <c r="B299" s="20" t="s">
        <v>486</v>
      </c>
      <c r="C299" s="20" t="s">
        <v>95</v>
      </c>
      <c r="D299" s="20" t="s">
        <v>67</v>
      </c>
      <c r="E299" s="22">
        <f>ROUND(14260*1.05,2)</f>
      </c>
      <c r="F299" s="20" t="s">
        <v>44</v>
      </c>
      <c r="G299" s="20" t="s">
        <v>30</v>
      </c>
      <c r="H299" s="21">
        <f>ROUND(RAND()*4+6,1)</f>
      </c>
      <c r="I299" s="20" t="s">
        <v>45</v>
      </c>
      <c r="J299" s="23">
        <f>ROUND(90*1,0)&amp;"%"</f>
      </c>
    </row>
    <row x14ac:dyDescent="0.25" r="300" customHeight="1" ht="17.25">
      <c r="A300" s="17" t="s">
        <v>12730</v>
      </c>
      <c r="B300" s="17" t="s">
        <v>488</v>
      </c>
      <c r="C300" s="17" t="s">
        <v>95</v>
      </c>
      <c r="D300" s="17" t="s">
        <v>16</v>
      </c>
      <c r="E300" s="18">
        <f>ROUND(12657*1.05,2)</f>
      </c>
      <c r="F300" s="17" t="s">
        <v>48</v>
      </c>
      <c r="G300" s="17" t="s">
        <v>18</v>
      </c>
      <c r="H300" s="18">
        <f>ROUND(RAND()*4+6,1)</f>
      </c>
      <c r="I300" s="17" t="s">
        <v>19</v>
      </c>
      <c r="J300" s="19">
        <f>ROUND(63*1,0)&amp;"%"</f>
      </c>
    </row>
    <row x14ac:dyDescent="0.25" r="301" customHeight="1" ht="17.25">
      <c r="A301" s="20" t="s">
        <v>12731</v>
      </c>
      <c r="B301" s="20" t="s">
        <v>490</v>
      </c>
      <c r="C301" s="20" t="s">
        <v>95</v>
      </c>
      <c r="D301" s="20" t="s">
        <v>22</v>
      </c>
      <c r="E301" s="21">
        <f>ROUND(14047*1.05,2)</f>
      </c>
      <c r="F301" s="20" t="s">
        <v>51</v>
      </c>
      <c r="G301" s="20" t="s">
        <v>24</v>
      </c>
      <c r="H301" s="21">
        <f>ROUND(RAND()*4+6,1)</f>
      </c>
      <c r="I301" s="20" t="s">
        <v>25</v>
      </c>
      <c r="J301" s="23">
        <f>ROUND(65*1,0)&amp;"%"</f>
      </c>
    </row>
    <row x14ac:dyDescent="0.25" r="302" customHeight="1" ht="17.25">
      <c r="A302" s="24" t="s">
        <v>491</v>
      </c>
      <c r="B302" s="24"/>
      <c r="C302" s="24"/>
      <c r="D302" s="24"/>
      <c r="E302" s="25">
        <v>8</v>
      </c>
      <c r="F302" s="9"/>
      <c r="G302" s="9"/>
      <c r="H302" s="10"/>
      <c r="I302" s="9"/>
      <c r="J302" s="9"/>
    </row>
    <row x14ac:dyDescent="0.25" r="303" customHeight="1" ht="17.25">
      <c r="A303" s="7"/>
      <c r="B303" s="7"/>
      <c r="C303" s="7"/>
      <c r="D303" s="7"/>
      <c r="E303" s="8"/>
      <c r="F303" s="9"/>
      <c r="G303" s="9"/>
      <c r="H303" s="10"/>
      <c r="I303" s="9"/>
      <c r="J303" s="9"/>
    </row>
    <row x14ac:dyDescent="0.25" r="304" customHeight="1" ht="17.25">
      <c r="A304" s="11" t="s">
        <v>12732</v>
      </c>
      <c r="B304" s="11"/>
      <c r="C304" s="11"/>
      <c r="D304" s="11"/>
      <c r="E304" s="12"/>
      <c r="F304" s="11"/>
      <c r="G304" s="11"/>
      <c r="H304" s="13"/>
      <c r="I304" s="11"/>
      <c r="J304" s="11"/>
    </row>
    <row x14ac:dyDescent="0.25" r="305" customHeight="1" ht="17.25">
      <c r="A305" s="14" t="s">
        <v>3</v>
      </c>
      <c r="B305" s="14" t="s">
        <v>4</v>
      </c>
      <c r="C305" s="14" t="s">
        <v>5</v>
      </c>
      <c r="D305" s="14" t="s">
        <v>6</v>
      </c>
      <c r="E305" s="15" t="s">
        <v>7</v>
      </c>
      <c r="F305" s="14" t="s">
        <v>8</v>
      </c>
      <c r="G305" s="14" t="s">
        <v>9</v>
      </c>
      <c r="H305" s="16" t="s">
        <v>10</v>
      </c>
      <c r="I305" s="14" t="s">
        <v>11</v>
      </c>
      <c r="J305" s="14" t="s">
        <v>12</v>
      </c>
    </row>
    <row x14ac:dyDescent="0.25" r="306" customHeight="1" ht="17.25">
      <c r="A306" s="17" t="s">
        <v>12733</v>
      </c>
      <c r="B306" s="17" t="s">
        <v>494</v>
      </c>
      <c r="C306" s="17" t="s">
        <v>114</v>
      </c>
      <c r="D306" s="17" t="s">
        <v>16</v>
      </c>
      <c r="E306" s="18">
        <f>ROUND(16048*1.05,2)</f>
      </c>
      <c r="F306" s="17" t="s">
        <v>17</v>
      </c>
      <c r="G306" s="17" t="s">
        <v>18</v>
      </c>
      <c r="H306" s="26">
        <f>ROUND(RAND()*4+6,1)</f>
      </c>
      <c r="I306" s="17" t="s">
        <v>19</v>
      </c>
      <c r="J306" s="19">
        <f>ROUND(87*1,0)&amp;"%"</f>
      </c>
    </row>
    <row x14ac:dyDescent="0.25" r="307" customHeight="1" ht="17.25">
      <c r="A307" s="20" t="s">
        <v>12734</v>
      </c>
      <c r="B307" s="20" t="s">
        <v>496</v>
      </c>
      <c r="C307" s="20" t="s">
        <v>114</v>
      </c>
      <c r="D307" s="20" t="s">
        <v>22</v>
      </c>
      <c r="E307" s="21">
        <f>ROUND(12886*1.05,2)</f>
      </c>
      <c r="F307" s="20" t="s">
        <v>23</v>
      </c>
      <c r="G307" s="20" t="s">
        <v>24</v>
      </c>
      <c r="H307" s="21">
        <f>ROUND(RAND()*4+6,1)</f>
      </c>
      <c r="I307" s="20" t="s">
        <v>25</v>
      </c>
      <c r="J307" s="23">
        <f>ROUND(84*1,0)&amp;"%"</f>
      </c>
    </row>
    <row x14ac:dyDescent="0.25" r="308" customHeight="1" ht="17.25">
      <c r="A308" s="17" t="s">
        <v>12735</v>
      </c>
      <c r="B308" s="17" t="s">
        <v>498</v>
      </c>
      <c r="C308" s="17" t="s">
        <v>114</v>
      </c>
      <c r="D308" s="17" t="s">
        <v>28</v>
      </c>
      <c r="E308" s="18">
        <f>ROUND(7064*1.05,2)</f>
      </c>
      <c r="F308" s="17" t="s">
        <v>29</v>
      </c>
      <c r="G308" s="17" t="s">
        <v>30</v>
      </c>
      <c r="H308" s="18">
        <f>ROUND(RAND()*4+6,1)</f>
      </c>
      <c r="I308" s="17" t="s">
        <v>31</v>
      </c>
      <c r="J308" s="19">
        <f>ROUND(63*1,0)&amp;"%"</f>
      </c>
    </row>
    <row x14ac:dyDescent="0.25" r="309" customHeight="1" ht="17.25">
      <c r="A309" s="20" t="s">
        <v>12736</v>
      </c>
      <c r="B309" s="20" t="s">
        <v>500</v>
      </c>
      <c r="C309" s="20" t="s">
        <v>114</v>
      </c>
      <c r="D309" s="20" t="s">
        <v>34</v>
      </c>
      <c r="E309" s="21">
        <f>ROUND(13465*1.05,2)</f>
      </c>
      <c r="F309" s="20" t="s">
        <v>35</v>
      </c>
      <c r="G309" s="20" t="s">
        <v>18</v>
      </c>
      <c r="H309" s="21">
        <f>ROUND(RAND()*4+6,1)</f>
      </c>
      <c r="I309" s="20" t="s">
        <v>36</v>
      </c>
      <c r="J309" s="23">
        <f>ROUND(73*1,0)&amp;"%"</f>
      </c>
    </row>
    <row x14ac:dyDescent="0.25" r="310" customHeight="1" ht="17.25">
      <c r="A310" s="17" t="s">
        <v>12737</v>
      </c>
      <c r="B310" s="17" t="s">
        <v>502</v>
      </c>
      <c r="C310" s="17" t="s">
        <v>114</v>
      </c>
      <c r="D310" s="17" t="s">
        <v>39</v>
      </c>
      <c r="E310" s="18">
        <f>ROUND(12421*1.05,2)</f>
      </c>
      <c r="F310" s="17" t="s">
        <v>40</v>
      </c>
      <c r="G310" s="17" t="s">
        <v>24</v>
      </c>
      <c r="H310" s="18">
        <f>ROUND(RAND()*4+6,1)</f>
      </c>
      <c r="I310" s="17" t="s">
        <v>41</v>
      </c>
      <c r="J310" s="19">
        <f>ROUND(81*1,0)&amp;"%"</f>
      </c>
    </row>
    <row x14ac:dyDescent="0.25" r="311" customHeight="1" ht="17.25">
      <c r="A311" s="20" t="s">
        <v>12738</v>
      </c>
      <c r="B311" s="20" t="s">
        <v>504</v>
      </c>
      <c r="C311" s="20" t="s">
        <v>114</v>
      </c>
      <c r="D311" s="20" t="s">
        <v>67</v>
      </c>
      <c r="E311" s="21">
        <f>ROUND(12816*1.05,2)</f>
      </c>
      <c r="F311" s="20" t="s">
        <v>44</v>
      </c>
      <c r="G311" s="20" t="s">
        <v>30</v>
      </c>
      <c r="H311" s="21">
        <f>ROUND(RAND()*4+6,1)</f>
      </c>
      <c r="I311" s="20" t="s">
        <v>45</v>
      </c>
      <c r="J311" s="23">
        <f>ROUND(72*1,0)&amp;"%"</f>
      </c>
    </row>
    <row x14ac:dyDescent="0.25" r="312" customHeight="1" ht="17.25">
      <c r="A312" s="17" t="s">
        <v>12739</v>
      </c>
      <c r="B312" s="17" t="s">
        <v>506</v>
      </c>
      <c r="C312" s="17" t="s">
        <v>114</v>
      </c>
      <c r="D312" s="17" t="s">
        <v>16</v>
      </c>
      <c r="E312" s="18">
        <f>ROUND(11209*1.05,2)</f>
      </c>
      <c r="F312" s="17" t="s">
        <v>48</v>
      </c>
      <c r="G312" s="17" t="s">
        <v>18</v>
      </c>
      <c r="H312" s="18">
        <f>ROUND(RAND()*4+6,1)</f>
      </c>
      <c r="I312" s="17" t="s">
        <v>19</v>
      </c>
      <c r="J312" s="19">
        <f>ROUND(86*1,0)&amp;"%"</f>
      </c>
    </row>
    <row x14ac:dyDescent="0.25" r="313" customHeight="1" ht="17.25">
      <c r="A313" s="20" t="s">
        <v>12740</v>
      </c>
      <c r="B313" s="20" t="s">
        <v>508</v>
      </c>
      <c r="C313" s="20" t="s">
        <v>114</v>
      </c>
      <c r="D313" s="20" t="s">
        <v>22</v>
      </c>
      <c r="E313" s="21">
        <f>ROUND(10814*1.05,2)</f>
      </c>
      <c r="F313" s="20" t="s">
        <v>51</v>
      </c>
      <c r="G313" s="20" t="s">
        <v>24</v>
      </c>
      <c r="H313" s="21">
        <f>ROUND(RAND()*4+6,1)</f>
      </c>
      <c r="I313" s="20" t="s">
        <v>25</v>
      </c>
      <c r="J313" s="23">
        <f>ROUND(86*1,0)&amp;"%"</f>
      </c>
    </row>
    <row x14ac:dyDescent="0.25" r="314" customHeight="1" ht="17.25">
      <c r="A314" s="24" t="s">
        <v>509</v>
      </c>
      <c r="B314" s="24"/>
      <c r="C314" s="24"/>
      <c r="D314" s="24"/>
      <c r="E314" s="25">
        <v>8</v>
      </c>
      <c r="F314" s="9"/>
      <c r="G314" s="9"/>
      <c r="H314" s="10"/>
      <c r="I314" s="9"/>
      <c r="J314" s="9"/>
    </row>
    <row x14ac:dyDescent="0.25" r="315" customHeight="1" ht="17.25">
      <c r="A315" s="7"/>
      <c r="B315" s="7"/>
      <c r="C315" s="7"/>
      <c r="D315" s="7"/>
      <c r="E315" s="8"/>
      <c r="F315" s="9"/>
      <c r="G315" s="9"/>
      <c r="H315" s="10"/>
      <c r="I315" s="9"/>
      <c r="J315" s="9"/>
    </row>
    <row x14ac:dyDescent="0.25" r="316" customHeight="1" ht="17.25">
      <c r="A316" s="11" t="s">
        <v>12741</v>
      </c>
      <c r="B316" s="11"/>
      <c r="C316" s="11"/>
      <c r="D316" s="11"/>
      <c r="E316" s="12"/>
      <c r="F316" s="11"/>
      <c r="G316" s="11"/>
      <c r="H316" s="13"/>
      <c r="I316" s="11"/>
      <c r="J316" s="11"/>
    </row>
    <row x14ac:dyDescent="0.25" r="317" customHeight="1" ht="17.25">
      <c r="A317" s="14" t="s">
        <v>3</v>
      </c>
      <c r="B317" s="14" t="s">
        <v>4</v>
      </c>
      <c r="C317" s="14" t="s">
        <v>5</v>
      </c>
      <c r="D317" s="14" t="s">
        <v>6</v>
      </c>
      <c r="E317" s="15" t="s">
        <v>7</v>
      </c>
      <c r="F317" s="14" t="s">
        <v>8</v>
      </c>
      <c r="G317" s="14" t="s">
        <v>9</v>
      </c>
      <c r="H317" s="16" t="s">
        <v>10</v>
      </c>
      <c r="I317" s="14" t="s">
        <v>11</v>
      </c>
      <c r="J317" s="14" t="s">
        <v>12</v>
      </c>
    </row>
    <row x14ac:dyDescent="0.25" r="318" customHeight="1" ht="17.25">
      <c r="A318" s="17" t="s">
        <v>12742</v>
      </c>
      <c r="B318" s="17" t="s">
        <v>512</v>
      </c>
      <c r="C318" s="17" t="s">
        <v>133</v>
      </c>
      <c r="D318" s="17" t="s">
        <v>16</v>
      </c>
      <c r="E318" s="18">
        <f>ROUND(17945*1.05,2)</f>
      </c>
      <c r="F318" s="17" t="s">
        <v>17</v>
      </c>
      <c r="G318" s="17" t="s">
        <v>18</v>
      </c>
      <c r="H318" s="18">
        <f>ROUND(RAND()*4+6,1)</f>
      </c>
      <c r="I318" s="17" t="s">
        <v>19</v>
      </c>
      <c r="J318" s="19">
        <f>ROUND(91*1,0)&amp;"%"</f>
      </c>
    </row>
    <row x14ac:dyDescent="0.25" r="319" customHeight="1" ht="17.25">
      <c r="A319" s="20" t="s">
        <v>12743</v>
      </c>
      <c r="B319" s="20" t="s">
        <v>514</v>
      </c>
      <c r="C319" s="20" t="s">
        <v>133</v>
      </c>
      <c r="D319" s="20" t="s">
        <v>22</v>
      </c>
      <c r="E319" s="21">
        <f>ROUND(6849*1.05,2)</f>
      </c>
      <c r="F319" s="20" t="s">
        <v>23</v>
      </c>
      <c r="G319" s="20" t="s">
        <v>24</v>
      </c>
      <c r="H319" s="21">
        <f>ROUND(RAND()*4+6,1)</f>
      </c>
      <c r="I319" s="20" t="s">
        <v>25</v>
      </c>
      <c r="J319" s="23">
        <f>ROUND(79*1,0)&amp;"%"</f>
      </c>
    </row>
    <row x14ac:dyDescent="0.25" r="320" customHeight="1" ht="17.25">
      <c r="A320" s="17" t="s">
        <v>12744</v>
      </c>
      <c r="B320" s="17" t="s">
        <v>516</v>
      </c>
      <c r="C320" s="17" t="s">
        <v>133</v>
      </c>
      <c r="D320" s="17" t="s">
        <v>28</v>
      </c>
      <c r="E320" s="18">
        <f>ROUND(9588*1.05,2)</f>
      </c>
      <c r="F320" s="17" t="s">
        <v>29</v>
      </c>
      <c r="G320" s="17" t="s">
        <v>30</v>
      </c>
      <c r="H320" s="18">
        <f>ROUND(RAND()*4+6,1)</f>
      </c>
      <c r="I320" s="17" t="s">
        <v>31</v>
      </c>
      <c r="J320" s="19">
        <f>ROUND(76*1,0)&amp;"%"</f>
      </c>
    </row>
    <row x14ac:dyDescent="0.25" r="321" customHeight="1" ht="17.25">
      <c r="A321" s="20" t="s">
        <v>12745</v>
      </c>
      <c r="B321" s="20" t="s">
        <v>518</v>
      </c>
      <c r="C321" s="20" t="s">
        <v>133</v>
      </c>
      <c r="D321" s="20" t="s">
        <v>34</v>
      </c>
      <c r="E321" s="21">
        <f>ROUND(9767*1.05,2)</f>
      </c>
      <c r="F321" s="20" t="s">
        <v>35</v>
      </c>
      <c r="G321" s="20" t="s">
        <v>18</v>
      </c>
      <c r="H321" s="21">
        <f>ROUND(RAND()*4+6,1)</f>
      </c>
      <c r="I321" s="20" t="s">
        <v>36</v>
      </c>
      <c r="J321" s="23">
        <f>ROUND(75*1,0)&amp;"%"</f>
      </c>
    </row>
    <row x14ac:dyDescent="0.25" r="322" customHeight="1" ht="17.25">
      <c r="A322" s="17" t="s">
        <v>12746</v>
      </c>
      <c r="B322" s="17" t="s">
        <v>520</v>
      </c>
      <c r="C322" s="17" t="s">
        <v>133</v>
      </c>
      <c r="D322" s="17" t="s">
        <v>39</v>
      </c>
      <c r="E322" s="18">
        <f>ROUND(8449*1.05,2)</f>
      </c>
      <c r="F322" s="17" t="s">
        <v>40</v>
      </c>
      <c r="G322" s="17" t="s">
        <v>24</v>
      </c>
      <c r="H322" s="18">
        <f>ROUND(RAND()*4+6,1)</f>
      </c>
      <c r="I322" s="17" t="s">
        <v>41</v>
      </c>
      <c r="J322" s="19">
        <f>ROUND(63*1,0)&amp;"%"</f>
      </c>
    </row>
    <row x14ac:dyDescent="0.25" r="323" customHeight="1" ht="17.25">
      <c r="A323" s="20" t="s">
        <v>12747</v>
      </c>
      <c r="B323" s="20" t="s">
        <v>522</v>
      </c>
      <c r="C323" s="20" t="s">
        <v>133</v>
      </c>
      <c r="D323" s="20" t="s">
        <v>67</v>
      </c>
      <c r="E323" s="22">
        <f>ROUND(9440*1.05,2)</f>
      </c>
      <c r="F323" s="20" t="s">
        <v>44</v>
      </c>
      <c r="G323" s="20" t="s">
        <v>30</v>
      </c>
      <c r="H323" s="21">
        <f>ROUND(RAND()*4+6,1)</f>
      </c>
      <c r="I323" s="20" t="s">
        <v>45</v>
      </c>
      <c r="J323" s="23">
        <f>ROUND(74*1,0)&amp;"%"</f>
      </c>
    </row>
    <row x14ac:dyDescent="0.25" r="324" customHeight="1" ht="17.25">
      <c r="A324" s="17" t="s">
        <v>12748</v>
      </c>
      <c r="B324" s="17" t="s">
        <v>524</v>
      </c>
      <c r="C324" s="17" t="s">
        <v>133</v>
      </c>
      <c r="D324" s="17" t="s">
        <v>16</v>
      </c>
      <c r="E324" s="18">
        <f>ROUND(6256*1.05,2)</f>
      </c>
      <c r="F324" s="17" t="s">
        <v>48</v>
      </c>
      <c r="G324" s="17" t="s">
        <v>18</v>
      </c>
      <c r="H324" s="18">
        <f>ROUND(RAND()*4+6,1)</f>
      </c>
      <c r="I324" s="17" t="s">
        <v>19</v>
      </c>
      <c r="J324" s="19">
        <f>ROUND(65*1,0)&amp;"%"</f>
      </c>
    </row>
    <row x14ac:dyDescent="0.25" r="325" customHeight="1" ht="17.25">
      <c r="A325" s="20" t="s">
        <v>12749</v>
      </c>
      <c r="B325" s="20" t="s">
        <v>526</v>
      </c>
      <c r="C325" s="20" t="s">
        <v>133</v>
      </c>
      <c r="D325" s="20" t="s">
        <v>22</v>
      </c>
      <c r="E325" s="21">
        <f>ROUND(13232*1.05,2)</f>
      </c>
      <c r="F325" s="20" t="s">
        <v>51</v>
      </c>
      <c r="G325" s="20" t="s">
        <v>24</v>
      </c>
      <c r="H325" s="21">
        <f>ROUND(RAND()*4+6,1)</f>
      </c>
      <c r="I325" s="20" t="s">
        <v>25</v>
      </c>
      <c r="J325" s="23">
        <f>ROUND(76*1,0)&amp;"%"</f>
      </c>
    </row>
    <row x14ac:dyDescent="0.25" r="326" customHeight="1" ht="17.25">
      <c r="A326" s="24" t="s">
        <v>527</v>
      </c>
      <c r="B326" s="24"/>
      <c r="C326" s="24"/>
      <c r="D326" s="24"/>
      <c r="E326" s="25">
        <v>8</v>
      </c>
      <c r="F326" s="9"/>
      <c r="G326" s="9"/>
      <c r="H326" s="10"/>
      <c r="I326" s="9"/>
      <c r="J326" s="9"/>
    </row>
    <row x14ac:dyDescent="0.25" r="327" customHeight="1" ht="17.25">
      <c r="A327" s="7"/>
      <c r="B327" s="7"/>
      <c r="C327" s="7"/>
      <c r="D327" s="7"/>
      <c r="E327" s="8"/>
      <c r="F327" s="9"/>
      <c r="G327" s="9"/>
      <c r="H327" s="10"/>
      <c r="I327" s="9"/>
      <c r="J327" s="9"/>
    </row>
    <row x14ac:dyDescent="0.25" r="328" customHeight="1" ht="17.25">
      <c r="A328" s="11" t="s">
        <v>12750</v>
      </c>
      <c r="B328" s="11"/>
      <c r="C328" s="11"/>
      <c r="D328" s="11"/>
      <c r="E328" s="12"/>
      <c r="F328" s="11"/>
      <c r="G328" s="11"/>
      <c r="H328" s="13"/>
      <c r="I328" s="11"/>
      <c r="J328" s="11"/>
    </row>
    <row x14ac:dyDescent="0.25" r="329" customHeight="1" ht="17.25">
      <c r="A329" s="14" t="s">
        <v>3</v>
      </c>
      <c r="B329" s="14" t="s">
        <v>4</v>
      </c>
      <c r="C329" s="14" t="s">
        <v>5</v>
      </c>
      <c r="D329" s="14" t="s">
        <v>6</v>
      </c>
      <c r="E329" s="15" t="s">
        <v>7</v>
      </c>
      <c r="F329" s="14" t="s">
        <v>8</v>
      </c>
      <c r="G329" s="14" t="s">
        <v>9</v>
      </c>
      <c r="H329" s="16" t="s">
        <v>10</v>
      </c>
      <c r="I329" s="14" t="s">
        <v>11</v>
      </c>
      <c r="J329" s="14" t="s">
        <v>12</v>
      </c>
    </row>
    <row x14ac:dyDescent="0.25" r="330" customHeight="1" ht="17.25">
      <c r="A330" s="17" t="s">
        <v>12751</v>
      </c>
      <c r="B330" s="17" t="s">
        <v>530</v>
      </c>
      <c r="C330" s="17" t="s">
        <v>152</v>
      </c>
      <c r="D330" s="17" t="s">
        <v>16</v>
      </c>
      <c r="E330" s="18">
        <f>ROUND(8609*1.05,2)</f>
      </c>
      <c r="F330" s="17" t="s">
        <v>17</v>
      </c>
      <c r="G330" s="17" t="s">
        <v>18</v>
      </c>
      <c r="H330" s="18">
        <f>ROUND(RAND()*4+6,1)</f>
      </c>
      <c r="I330" s="17" t="s">
        <v>19</v>
      </c>
      <c r="J330" s="19">
        <f>ROUND(89*1,0)&amp;"%"</f>
      </c>
    </row>
    <row x14ac:dyDescent="0.25" r="331" customHeight="1" ht="17.25">
      <c r="A331" s="20" t="s">
        <v>12752</v>
      </c>
      <c r="B331" s="20" t="s">
        <v>532</v>
      </c>
      <c r="C331" s="20" t="s">
        <v>152</v>
      </c>
      <c r="D331" s="20" t="s">
        <v>22</v>
      </c>
      <c r="E331" s="21">
        <f>ROUND(14783*1.05,2)</f>
      </c>
      <c r="F331" s="20" t="s">
        <v>23</v>
      </c>
      <c r="G331" s="20" t="s">
        <v>24</v>
      </c>
      <c r="H331" s="22">
        <f>ROUND(RAND()*4+6,1)</f>
      </c>
      <c r="I331" s="20" t="s">
        <v>25</v>
      </c>
      <c r="J331" s="23">
        <f>ROUND(77*1,0)&amp;"%"</f>
      </c>
    </row>
    <row x14ac:dyDescent="0.25" r="332" customHeight="1" ht="17.25">
      <c r="A332" s="17" t="s">
        <v>12753</v>
      </c>
      <c r="B332" s="17" t="s">
        <v>534</v>
      </c>
      <c r="C332" s="17" t="s">
        <v>152</v>
      </c>
      <c r="D332" s="17" t="s">
        <v>28</v>
      </c>
      <c r="E332" s="18">
        <f>ROUND(8868*1.05,2)</f>
      </c>
      <c r="F332" s="17" t="s">
        <v>29</v>
      </c>
      <c r="G332" s="17" t="s">
        <v>30</v>
      </c>
      <c r="H332" s="18">
        <f>ROUND(RAND()*4+6,1)</f>
      </c>
      <c r="I332" s="17" t="s">
        <v>31</v>
      </c>
      <c r="J332" s="19">
        <f>ROUND(98*1,0)&amp;"%"</f>
      </c>
    </row>
    <row x14ac:dyDescent="0.25" r="333" customHeight="1" ht="17.25">
      <c r="A333" s="20" t="s">
        <v>12754</v>
      </c>
      <c r="B333" s="20" t="s">
        <v>536</v>
      </c>
      <c r="C333" s="20" t="s">
        <v>152</v>
      </c>
      <c r="D333" s="20" t="s">
        <v>34</v>
      </c>
      <c r="E333" s="22">
        <f>ROUND(12740*1.05,2)</f>
      </c>
      <c r="F333" s="20" t="s">
        <v>35</v>
      </c>
      <c r="G333" s="20" t="s">
        <v>18</v>
      </c>
      <c r="H333" s="22">
        <f>ROUND(RAND()*4+6,1)</f>
      </c>
      <c r="I333" s="20" t="s">
        <v>36</v>
      </c>
      <c r="J333" s="23">
        <f>ROUND(79*1,0)&amp;"%"</f>
      </c>
    </row>
    <row x14ac:dyDescent="0.25" r="334" customHeight="1" ht="17.25">
      <c r="A334" s="17" t="s">
        <v>12755</v>
      </c>
      <c r="B334" s="17" t="s">
        <v>538</v>
      </c>
      <c r="C334" s="17" t="s">
        <v>152</v>
      </c>
      <c r="D334" s="17" t="s">
        <v>39</v>
      </c>
      <c r="E334" s="18">
        <f>ROUND(16014*1.05,2)</f>
      </c>
      <c r="F334" s="17" t="s">
        <v>40</v>
      </c>
      <c r="G334" s="17" t="s">
        <v>24</v>
      </c>
      <c r="H334" s="18">
        <f>ROUND(RAND()*4+6,1)</f>
      </c>
      <c r="I334" s="17" t="s">
        <v>41</v>
      </c>
      <c r="J334" s="19">
        <f>ROUND(100*1,0)&amp;"%"</f>
      </c>
    </row>
    <row x14ac:dyDescent="0.25" r="335" customHeight="1" ht="17.25">
      <c r="A335" s="20" t="s">
        <v>12756</v>
      </c>
      <c r="B335" s="20" t="s">
        <v>540</v>
      </c>
      <c r="C335" s="20" t="s">
        <v>152</v>
      </c>
      <c r="D335" s="20" t="s">
        <v>67</v>
      </c>
      <c r="E335" s="21">
        <f>ROUND(9497*1.05,2)</f>
      </c>
      <c r="F335" s="20" t="s">
        <v>44</v>
      </c>
      <c r="G335" s="20" t="s">
        <v>30</v>
      </c>
      <c r="H335" s="21">
        <f>ROUND(RAND()*4+6,1)</f>
      </c>
      <c r="I335" s="20" t="s">
        <v>45</v>
      </c>
      <c r="J335" s="23">
        <f>ROUND(70*1,0)&amp;"%"</f>
      </c>
    </row>
    <row x14ac:dyDescent="0.25" r="336" customHeight="1" ht="17.25">
      <c r="A336" s="17" t="s">
        <v>12757</v>
      </c>
      <c r="B336" s="17" t="s">
        <v>542</v>
      </c>
      <c r="C336" s="17" t="s">
        <v>152</v>
      </c>
      <c r="D336" s="17" t="s">
        <v>16</v>
      </c>
      <c r="E336" s="18">
        <f>ROUND(5391*1.05,2)</f>
      </c>
      <c r="F336" s="17" t="s">
        <v>48</v>
      </c>
      <c r="G336" s="17" t="s">
        <v>18</v>
      </c>
      <c r="H336" s="18">
        <f>ROUND(RAND()*4+6,1)</f>
      </c>
      <c r="I336" s="17" t="s">
        <v>19</v>
      </c>
      <c r="J336" s="19">
        <f>ROUND(64*1,0)&amp;"%"</f>
      </c>
    </row>
    <row x14ac:dyDescent="0.25" r="337" customHeight="1" ht="17.25">
      <c r="A337" s="20" t="s">
        <v>12758</v>
      </c>
      <c r="B337" s="20" t="s">
        <v>544</v>
      </c>
      <c r="C337" s="20" t="s">
        <v>152</v>
      </c>
      <c r="D337" s="20" t="s">
        <v>22</v>
      </c>
      <c r="E337" s="21">
        <f>ROUND(14632*1.05,2)</f>
      </c>
      <c r="F337" s="20" t="s">
        <v>51</v>
      </c>
      <c r="G337" s="20" t="s">
        <v>24</v>
      </c>
      <c r="H337" s="21">
        <f>ROUND(RAND()*4+6,1)</f>
      </c>
      <c r="I337" s="20" t="s">
        <v>25</v>
      </c>
      <c r="J337" s="23">
        <f>ROUND(71*1,0)&amp;"%"</f>
      </c>
    </row>
    <row x14ac:dyDescent="0.25" r="338" customHeight="1" ht="17.25">
      <c r="A338" s="24" t="s">
        <v>545</v>
      </c>
      <c r="B338" s="24"/>
      <c r="C338" s="24"/>
      <c r="D338" s="24"/>
      <c r="E338" s="25">
        <v>8</v>
      </c>
      <c r="F338" s="9"/>
      <c r="G338" s="9"/>
      <c r="H338" s="10"/>
      <c r="I338" s="9"/>
      <c r="J338" s="9"/>
    </row>
    <row x14ac:dyDescent="0.25" r="339" customHeight="1" ht="17.25">
      <c r="A339" s="7"/>
      <c r="B339" s="7"/>
      <c r="C339" s="7"/>
      <c r="D339" s="7"/>
      <c r="E339" s="8"/>
      <c r="F339" s="9"/>
      <c r="G339" s="9"/>
      <c r="H339" s="10"/>
      <c r="I339" s="9"/>
      <c r="J339" s="9"/>
    </row>
    <row x14ac:dyDescent="0.25" r="340" customHeight="1" ht="17.25">
      <c r="A340" s="11" t="s">
        <v>12759</v>
      </c>
      <c r="B340" s="11"/>
      <c r="C340" s="11"/>
      <c r="D340" s="11"/>
      <c r="E340" s="12"/>
      <c r="F340" s="11"/>
      <c r="G340" s="11"/>
      <c r="H340" s="13"/>
      <c r="I340" s="11"/>
      <c r="J340" s="11"/>
    </row>
    <row x14ac:dyDescent="0.25" r="341" customHeight="1" ht="17.25">
      <c r="A341" s="14" t="s">
        <v>3</v>
      </c>
      <c r="B341" s="14" t="s">
        <v>4</v>
      </c>
      <c r="C341" s="14" t="s">
        <v>5</v>
      </c>
      <c r="D341" s="14" t="s">
        <v>6</v>
      </c>
      <c r="E341" s="15" t="s">
        <v>7</v>
      </c>
      <c r="F341" s="14" t="s">
        <v>8</v>
      </c>
      <c r="G341" s="14" t="s">
        <v>9</v>
      </c>
      <c r="H341" s="16" t="s">
        <v>10</v>
      </c>
      <c r="I341" s="14" t="s">
        <v>11</v>
      </c>
      <c r="J341" s="14" t="s">
        <v>12</v>
      </c>
    </row>
    <row x14ac:dyDescent="0.25" r="342" customHeight="1" ht="17.25">
      <c r="A342" s="17" t="s">
        <v>12760</v>
      </c>
      <c r="B342" s="17" t="s">
        <v>548</v>
      </c>
      <c r="C342" s="17" t="s">
        <v>15</v>
      </c>
      <c r="D342" s="17" t="s">
        <v>16</v>
      </c>
      <c r="E342" s="18">
        <f>ROUND(13506*1.05,2)</f>
      </c>
      <c r="F342" s="17" t="s">
        <v>17</v>
      </c>
      <c r="G342" s="17" t="s">
        <v>18</v>
      </c>
      <c r="H342" s="18">
        <f>ROUND(RAND()*4+6,1)</f>
      </c>
      <c r="I342" s="17" t="s">
        <v>19</v>
      </c>
      <c r="J342" s="19">
        <f>ROUND(61*1,0)&amp;"%"</f>
      </c>
    </row>
    <row x14ac:dyDescent="0.25" r="343" customHeight="1" ht="17.25">
      <c r="A343" s="20" t="s">
        <v>12761</v>
      </c>
      <c r="B343" s="20" t="s">
        <v>550</v>
      </c>
      <c r="C343" s="20" t="s">
        <v>15</v>
      </c>
      <c r="D343" s="20" t="s">
        <v>22</v>
      </c>
      <c r="E343" s="21">
        <f>ROUND(11914*1.05,2)</f>
      </c>
      <c r="F343" s="20" t="s">
        <v>23</v>
      </c>
      <c r="G343" s="20" t="s">
        <v>24</v>
      </c>
      <c r="H343" s="21">
        <f>ROUND(RAND()*4+6,1)</f>
      </c>
      <c r="I343" s="20" t="s">
        <v>25</v>
      </c>
      <c r="J343" s="23">
        <f>ROUND(65*1,0)&amp;"%"</f>
      </c>
    </row>
    <row x14ac:dyDescent="0.25" r="344" customHeight="1" ht="17.25">
      <c r="A344" s="17" t="s">
        <v>12762</v>
      </c>
      <c r="B344" s="17" t="s">
        <v>552</v>
      </c>
      <c r="C344" s="17" t="s">
        <v>15</v>
      </c>
      <c r="D344" s="17" t="s">
        <v>28</v>
      </c>
      <c r="E344" s="18">
        <f>ROUND(7618*1.05,2)</f>
      </c>
      <c r="F344" s="17" t="s">
        <v>29</v>
      </c>
      <c r="G344" s="17" t="s">
        <v>30</v>
      </c>
      <c r="H344" s="18">
        <f>ROUND(RAND()*4+6,1)</f>
      </c>
      <c r="I344" s="17" t="s">
        <v>31</v>
      </c>
      <c r="J344" s="19">
        <f>ROUND(97*1,0)&amp;"%"</f>
      </c>
    </row>
    <row x14ac:dyDescent="0.25" r="345" customHeight="1" ht="17.25">
      <c r="A345" s="20" t="s">
        <v>12763</v>
      </c>
      <c r="B345" s="20" t="s">
        <v>554</v>
      </c>
      <c r="C345" s="20" t="s">
        <v>15</v>
      </c>
      <c r="D345" s="20" t="s">
        <v>34</v>
      </c>
      <c r="E345" s="21">
        <f>ROUND(6774*1.05,2)</f>
      </c>
      <c r="F345" s="20" t="s">
        <v>35</v>
      </c>
      <c r="G345" s="20" t="s">
        <v>18</v>
      </c>
      <c r="H345" s="21">
        <f>ROUND(RAND()*4+6,1)</f>
      </c>
      <c r="I345" s="20" t="s">
        <v>36</v>
      </c>
      <c r="J345" s="23">
        <f>ROUND(75*1,0)&amp;"%"</f>
      </c>
    </row>
    <row x14ac:dyDescent="0.25" r="346" customHeight="1" ht="17.25">
      <c r="A346" s="17" t="s">
        <v>12764</v>
      </c>
      <c r="B346" s="17" t="s">
        <v>556</v>
      </c>
      <c r="C346" s="17" t="s">
        <v>15</v>
      </c>
      <c r="D346" s="17" t="s">
        <v>39</v>
      </c>
      <c r="E346" s="18">
        <f>ROUND(6705*1.05,2)</f>
      </c>
      <c r="F346" s="17" t="s">
        <v>40</v>
      </c>
      <c r="G346" s="17" t="s">
        <v>24</v>
      </c>
      <c r="H346" s="18">
        <f>ROUND(RAND()*4+6,1)</f>
      </c>
      <c r="I346" s="17" t="s">
        <v>41</v>
      </c>
      <c r="J346" s="19">
        <f>ROUND(82*1,0)&amp;"%"</f>
      </c>
    </row>
    <row x14ac:dyDescent="0.25" r="347" customHeight="1" ht="17.25">
      <c r="A347" s="20" t="s">
        <v>12765</v>
      </c>
      <c r="B347" s="20" t="s">
        <v>558</v>
      </c>
      <c r="C347" s="20" t="s">
        <v>15</v>
      </c>
      <c r="D347" s="20" t="s">
        <v>67</v>
      </c>
      <c r="E347" s="21">
        <f>ROUND(5304*1.05,2)</f>
      </c>
      <c r="F347" s="20" t="s">
        <v>44</v>
      </c>
      <c r="G347" s="20" t="s">
        <v>30</v>
      </c>
      <c r="H347" s="21">
        <f>ROUND(RAND()*4+6,1)</f>
      </c>
      <c r="I347" s="20" t="s">
        <v>45</v>
      </c>
      <c r="J347" s="23">
        <f>ROUND(64*1,0)&amp;"%"</f>
      </c>
    </row>
    <row x14ac:dyDescent="0.25" r="348" customHeight="1" ht="17.25">
      <c r="A348" s="17" t="s">
        <v>12766</v>
      </c>
      <c r="B348" s="17" t="s">
        <v>560</v>
      </c>
      <c r="C348" s="17" t="s">
        <v>15</v>
      </c>
      <c r="D348" s="17" t="s">
        <v>16</v>
      </c>
      <c r="E348" s="18">
        <f>ROUND(15617*1.05,2)</f>
      </c>
      <c r="F348" s="17" t="s">
        <v>48</v>
      </c>
      <c r="G348" s="17" t="s">
        <v>18</v>
      </c>
      <c r="H348" s="18">
        <f>ROUND(RAND()*4+6,1)</f>
      </c>
      <c r="I348" s="17" t="s">
        <v>19</v>
      </c>
      <c r="J348" s="19">
        <f>ROUND(71*1,0)&amp;"%"</f>
      </c>
    </row>
    <row x14ac:dyDescent="0.25" r="349" customHeight="1" ht="17.25">
      <c r="A349" s="20" t="s">
        <v>12767</v>
      </c>
      <c r="B349" s="20" t="s">
        <v>562</v>
      </c>
      <c r="C349" s="20" t="s">
        <v>15</v>
      </c>
      <c r="D349" s="20" t="s">
        <v>22</v>
      </c>
      <c r="E349" s="21">
        <f>ROUND(13004*1.05,2)</f>
      </c>
      <c r="F349" s="20" t="s">
        <v>51</v>
      </c>
      <c r="G349" s="20" t="s">
        <v>24</v>
      </c>
      <c r="H349" s="21">
        <f>ROUND(RAND()*4+6,1)</f>
      </c>
      <c r="I349" s="20" t="s">
        <v>25</v>
      </c>
      <c r="J349" s="23">
        <f>ROUND(70*1,0)&amp;"%"</f>
      </c>
    </row>
    <row x14ac:dyDescent="0.25" r="350" customHeight="1" ht="17.25">
      <c r="A350" s="24" t="s">
        <v>563</v>
      </c>
      <c r="B350" s="24"/>
      <c r="C350" s="24"/>
      <c r="D350" s="24"/>
      <c r="E350" s="25">
        <v>8</v>
      </c>
      <c r="F350" s="9"/>
      <c r="G350" s="9"/>
      <c r="H350" s="10"/>
      <c r="I350" s="9"/>
      <c r="J350" s="9"/>
    </row>
    <row x14ac:dyDescent="0.25" r="351" customHeight="1" ht="17.25">
      <c r="A351" s="7"/>
      <c r="B351" s="7"/>
      <c r="C351" s="7"/>
      <c r="D351" s="7"/>
      <c r="E351" s="8"/>
      <c r="F351" s="9"/>
      <c r="G351" s="9"/>
      <c r="H351" s="10"/>
      <c r="I351" s="9"/>
      <c r="J351" s="9"/>
    </row>
    <row x14ac:dyDescent="0.25" r="352" customHeight="1" ht="17.25">
      <c r="A352" s="11" t="s">
        <v>12768</v>
      </c>
      <c r="B352" s="11"/>
      <c r="C352" s="11"/>
      <c r="D352" s="11"/>
      <c r="E352" s="12"/>
      <c r="F352" s="11"/>
      <c r="G352" s="11"/>
      <c r="H352" s="13"/>
      <c r="I352" s="11"/>
      <c r="J352" s="11"/>
    </row>
    <row x14ac:dyDescent="0.25" r="353" customHeight="1" ht="17.25">
      <c r="A353" s="14" t="s">
        <v>3</v>
      </c>
      <c r="B353" s="14" t="s">
        <v>4</v>
      </c>
      <c r="C353" s="14" t="s">
        <v>5</v>
      </c>
      <c r="D353" s="14" t="s">
        <v>6</v>
      </c>
      <c r="E353" s="15" t="s">
        <v>7</v>
      </c>
      <c r="F353" s="14" t="s">
        <v>8</v>
      </c>
      <c r="G353" s="14" t="s">
        <v>9</v>
      </c>
      <c r="H353" s="16" t="s">
        <v>10</v>
      </c>
      <c r="I353" s="14" t="s">
        <v>11</v>
      </c>
      <c r="J353" s="14" t="s">
        <v>12</v>
      </c>
    </row>
    <row x14ac:dyDescent="0.25" r="354" customHeight="1" ht="17.25">
      <c r="A354" s="17" t="s">
        <v>12769</v>
      </c>
      <c r="B354" s="17" t="s">
        <v>566</v>
      </c>
      <c r="C354" s="17" t="s">
        <v>56</v>
      </c>
      <c r="D354" s="17" t="s">
        <v>16</v>
      </c>
      <c r="E354" s="18">
        <f>ROUND(11089*1.05,2)</f>
      </c>
      <c r="F354" s="17" t="s">
        <v>17</v>
      </c>
      <c r="G354" s="17" t="s">
        <v>18</v>
      </c>
      <c r="H354" s="18">
        <f>ROUND(RAND()*4+6,1)</f>
      </c>
      <c r="I354" s="17" t="s">
        <v>19</v>
      </c>
      <c r="J354" s="19">
        <f>ROUND(66*1,0)&amp;"%"</f>
      </c>
    </row>
    <row x14ac:dyDescent="0.25" r="355" customHeight="1" ht="17.25">
      <c r="A355" s="20" t="s">
        <v>12770</v>
      </c>
      <c r="B355" s="20" t="s">
        <v>568</v>
      </c>
      <c r="C355" s="20" t="s">
        <v>56</v>
      </c>
      <c r="D355" s="20" t="s">
        <v>22</v>
      </c>
      <c r="E355" s="21">
        <f>ROUND(12208*1.05,2)</f>
      </c>
      <c r="F355" s="20" t="s">
        <v>23</v>
      </c>
      <c r="G355" s="20" t="s">
        <v>24</v>
      </c>
      <c r="H355" s="21">
        <f>ROUND(RAND()*4+6,1)</f>
      </c>
      <c r="I355" s="20" t="s">
        <v>25</v>
      </c>
      <c r="J355" s="23">
        <f>ROUND(60*1,0)&amp;"%"</f>
      </c>
    </row>
    <row x14ac:dyDescent="0.25" r="356" customHeight="1" ht="17.25">
      <c r="A356" s="17" t="s">
        <v>12771</v>
      </c>
      <c r="B356" s="17" t="s">
        <v>570</v>
      </c>
      <c r="C356" s="17" t="s">
        <v>56</v>
      </c>
      <c r="D356" s="17" t="s">
        <v>28</v>
      </c>
      <c r="E356" s="18">
        <f>ROUND(9529*1.05,2)</f>
      </c>
      <c r="F356" s="17" t="s">
        <v>29</v>
      </c>
      <c r="G356" s="17" t="s">
        <v>30</v>
      </c>
      <c r="H356" s="18">
        <f>ROUND(RAND()*4+6,1)</f>
      </c>
      <c r="I356" s="17" t="s">
        <v>31</v>
      </c>
      <c r="J356" s="19">
        <f>ROUND(61*1,0)&amp;"%"</f>
      </c>
    </row>
    <row x14ac:dyDescent="0.25" r="357" customHeight="1" ht="17.25">
      <c r="A357" s="20" t="s">
        <v>12772</v>
      </c>
      <c r="B357" s="20" t="s">
        <v>572</v>
      </c>
      <c r="C357" s="20" t="s">
        <v>56</v>
      </c>
      <c r="D357" s="20" t="s">
        <v>34</v>
      </c>
      <c r="E357" s="21">
        <f>ROUND(9383*1.05,2)</f>
      </c>
      <c r="F357" s="20" t="s">
        <v>35</v>
      </c>
      <c r="G357" s="20" t="s">
        <v>18</v>
      </c>
      <c r="H357" s="21">
        <f>ROUND(RAND()*4+6,1)</f>
      </c>
      <c r="I357" s="20" t="s">
        <v>36</v>
      </c>
      <c r="J357" s="23">
        <f>ROUND(74*1,0)&amp;"%"</f>
      </c>
    </row>
    <row x14ac:dyDescent="0.25" r="358" customHeight="1" ht="17.25">
      <c r="A358" s="17" t="s">
        <v>12773</v>
      </c>
      <c r="B358" s="17" t="s">
        <v>574</v>
      </c>
      <c r="C358" s="17" t="s">
        <v>56</v>
      </c>
      <c r="D358" s="17" t="s">
        <v>39</v>
      </c>
      <c r="E358" s="18">
        <f>ROUND(13925*1.05,2)</f>
      </c>
      <c r="F358" s="17" t="s">
        <v>40</v>
      </c>
      <c r="G358" s="17" t="s">
        <v>24</v>
      </c>
      <c r="H358" s="26">
        <f>ROUND(RAND()*4+6,1)</f>
      </c>
      <c r="I358" s="17" t="s">
        <v>41</v>
      </c>
      <c r="J358" s="19">
        <f>ROUND(73*1,0)&amp;"%"</f>
      </c>
    </row>
    <row x14ac:dyDescent="0.25" r="359" customHeight="1" ht="17.25">
      <c r="A359" s="20" t="s">
        <v>12774</v>
      </c>
      <c r="B359" s="20" t="s">
        <v>576</v>
      </c>
      <c r="C359" s="20" t="s">
        <v>56</v>
      </c>
      <c r="D359" s="20" t="s">
        <v>67</v>
      </c>
      <c r="E359" s="21">
        <f>ROUND(7943*1.05,2)</f>
      </c>
      <c r="F359" s="20" t="s">
        <v>44</v>
      </c>
      <c r="G359" s="20" t="s">
        <v>30</v>
      </c>
      <c r="H359" s="21">
        <f>ROUND(RAND()*4+6,1)</f>
      </c>
      <c r="I359" s="20" t="s">
        <v>45</v>
      </c>
      <c r="J359" s="23">
        <f>ROUND(85*1,0)&amp;"%"</f>
      </c>
    </row>
    <row x14ac:dyDescent="0.25" r="360" customHeight="1" ht="17.25">
      <c r="A360" s="17" t="s">
        <v>12775</v>
      </c>
      <c r="B360" s="17" t="s">
        <v>578</v>
      </c>
      <c r="C360" s="17" t="s">
        <v>56</v>
      </c>
      <c r="D360" s="17" t="s">
        <v>16</v>
      </c>
      <c r="E360" s="18">
        <f>ROUND(11678*1.05,2)</f>
      </c>
      <c r="F360" s="17" t="s">
        <v>48</v>
      </c>
      <c r="G360" s="17" t="s">
        <v>18</v>
      </c>
      <c r="H360" s="18">
        <f>ROUND(RAND()*4+6,1)</f>
      </c>
      <c r="I360" s="17" t="s">
        <v>19</v>
      </c>
      <c r="J360" s="19">
        <f>ROUND(71*1,0)&amp;"%"</f>
      </c>
    </row>
    <row x14ac:dyDescent="0.25" r="361" customHeight="1" ht="17.25">
      <c r="A361" s="20" t="s">
        <v>12776</v>
      </c>
      <c r="B361" s="20" t="s">
        <v>580</v>
      </c>
      <c r="C361" s="20" t="s">
        <v>56</v>
      </c>
      <c r="D361" s="20" t="s">
        <v>22</v>
      </c>
      <c r="E361" s="21">
        <f>ROUND(7008*1.05,2)</f>
      </c>
      <c r="F361" s="20" t="s">
        <v>51</v>
      </c>
      <c r="G361" s="20" t="s">
        <v>24</v>
      </c>
      <c r="H361" s="21">
        <f>ROUND(RAND()*4+6,1)</f>
      </c>
      <c r="I361" s="20" t="s">
        <v>25</v>
      </c>
      <c r="J361" s="23">
        <f>ROUND(79*1,0)&amp;"%"</f>
      </c>
    </row>
    <row x14ac:dyDescent="0.25" r="362" customHeight="1" ht="17.25">
      <c r="A362" s="24" t="s">
        <v>581</v>
      </c>
      <c r="B362" s="24"/>
      <c r="C362" s="24"/>
      <c r="D362" s="24"/>
      <c r="E362" s="25">
        <v>8</v>
      </c>
      <c r="F362" s="9"/>
      <c r="G362" s="9"/>
      <c r="H362" s="10"/>
      <c r="I362" s="9"/>
      <c r="J362" s="9"/>
    </row>
  </sheetData>
  <mergeCells count="62">
    <mergeCell ref="A1:J1"/>
    <mergeCell ref="A2:J2"/>
    <mergeCell ref="A4:J4"/>
    <mergeCell ref="A14:D14"/>
    <mergeCell ref="A16:J16"/>
    <mergeCell ref="A26:D26"/>
    <mergeCell ref="A28:J28"/>
    <mergeCell ref="A38:D38"/>
    <mergeCell ref="A40:J40"/>
    <mergeCell ref="A50:D50"/>
    <mergeCell ref="A52:J52"/>
    <mergeCell ref="A62:D62"/>
    <mergeCell ref="A64:J64"/>
    <mergeCell ref="A74:D74"/>
    <mergeCell ref="A76:J76"/>
    <mergeCell ref="A86:D86"/>
    <mergeCell ref="A88:J88"/>
    <mergeCell ref="A98:D98"/>
    <mergeCell ref="A100:J100"/>
    <mergeCell ref="A110:D110"/>
    <mergeCell ref="A112:J112"/>
    <mergeCell ref="A122:D122"/>
    <mergeCell ref="A124:J124"/>
    <mergeCell ref="A134:D134"/>
    <mergeCell ref="A136:J136"/>
    <mergeCell ref="A146:D146"/>
    <mergeCell ref="A148:J148"/>
    <mergeCell ref="A158:D158"/>
    <mergeCell ref="A160:J160"/>
    <mergeCell ref="A170:D170"/>
    <mergeCell ref="A172:J172"/>
    <mergeCell ref="A182:D182"/>
    <mergeCell ref="A184:J184"/>
    <mergeCell ref="A194:D194"/>
    <mergeCell ref="A196:J196"/>
    <mergeCell ref="A206:D206"/>
    <mergeCell ref="A208:J208"/>
    <mergeCell ref="A218:D218"/>
    <mergeCell ref="A220:J220"/>
    <mergeCell ref="A230:D230"/>
    <mergeCell ref="A232:J232"/>
    <mergeCell ref="A242:D242"/>
    <mergeCell ref="A244:J244"/>
    <mergeCell ref="A254:D254"/>
    <mergeCell ref="A256:J256"/>
    <mergeCell ref="A266:D266"/>
    <mergeCell ref="A268:J268"/>
    <mergeCell ref="A278:D278"/>
    <mergeCell ref="A280:J280"/>
    <mergeCell ref="A290:D290"/>
    <mergeCell ref="A292:J292"/>
    <mergeCell ref="A302:D302"/>
    <mergeCell ref="A304:J304"/>
    <mergeCell ref="A314:D314"/>
    <mergeCell ref="A316:J316"/>
    <mergeCell ref="A326:D326"/>
    <mergeCell ref="A328:J328"/>
    <mergeCell ref="A338:D338"/>
    <mergeCell ref="A340:J340"/>
    <mergeCell ref="A350:D350"/>
    <mergeCell ref="A352:J352"/>
    <mergeCell ref="A362:D36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J362"/>
  <sheetViews>
    <sheetView workbookViewId="0"/>
  </sheetViews>
  <sheetFormatPr defaultRowHeight="15" x14ac:dyDescent="0.25"/>
  <cols>
    <col min="1" max="1" style="27" width="8.005" customWidth="1" bestFit="1"/>
    <col min="2" max="2" style="27" width="22.005" customWidth="1" bestFit="1"/>
    <col min="3" max="3" style="27" width="16.005" customWidth="1" bestFit="1"/>
    <col min="4" max="4" style="27" width="14.005" customWidth="1" bestFit="1"/>
    <col min="5" max="5" style="28" width="12.005" customWidth="1" bestFit="1"/>
    <col min="6" max="6" style="29" width="16.005" customWidth="1" bestFit="1"/>
    <col min="7" max="7" style="29" width="10.005" customWidth="1" bestFit="1"/>
    <col min="8" max="8" style="30" width="10.005" customWidth="1" bestFit="1"/>
    <col min="9" max="9" style="29" width="14.005" customWidth="1" bestFit="1"/>
    <col min="10" max="10" style="29" width="8.005" customWidth="1" bestFit="1"/>
  </cols>
  <sheetData>
    <row x14ac:dyDescent="0.25" r="1" customHeight="1" ht="17.25">
      <c r="A1" s="1" t="s">
        <v>12235</v>
      </c>
      <c r="B1" s="1"/>
      <c r="C1" s="1"/>
      <c r="D1" s="1"/>
      <c r="E1" s="2"/>
      <c r="F1" s="1"/>
      <c r="G1" s="1"/>
      <c r="H1" s="3"/>
      <c r="I1" s="1"/>
      <c r="J1" s="1"/>
    </row>
    <row x14ac:dyDescent="0.25" r="2" customHeight="1" ht="17.25">
      <c r="A2" s="4" t="s">
        <v>1</v>
      </c>
      <c r="B2" s="4"/>
      <c r="C2" s="4"/>
      <c r="D2" s="4"/>
      <c r="E2" s="5"/>
      <c r="F2" s="4"/>
      <c r="G2" s="4"/>
      <c r="H2" s="6"/>
      <c r="I2" s="4"/>
      <c r="J2" s="4"/>
    </row>
    <row x14ac:dyDescent="0.25" r="3" customHeight="1" ht="17.25">
      <c r="A3" s="7"/>
      <c r="B3" s="7"/>
      <c r="C3" s="7"/>
      <c r="D3" s="7"/>
      <c r="E3" s="8"/>
      <c r="F3" s="9"/>
      <c r="G3" s="9"/>
      <c r="H3" s="10"/>
      <c r="I3" s="9"/>
      <c r="J3" s="9"/>
    </row>
    <row x14ac:dyDescent="0.25" r="4" customHeight="1" ht="17.25">
      <c r="A4" s="11" t="s">
        <v>12236</v>
      </c>
      <c r="B4" s="11"/>
      <c r="C4" s="11"/>
      <c r="D4" s="11"/>
      <c r="E4" s="12"/>
      <c r="F4" s="11"/>
      <c r="G4" s="11"/>
      <c r="H4" s="13"/>
      <c r="I4" s="11"/>
      <c r="J4" s="11"/>
    </row>
    <row x14ac:dyDescent="0.25" r="5" customHeight="1" ht="17.25">
      <c r="A5" s="14" t="s">
        <v>3</v>
      </c>
      <c r="B5" s="14" t="s">
        <v>4</v>
      </c>
      <c r="C5" s="14" t="s">
        <v>5</v>
      </c>
      <c r="D5" s="14" t="s">
        <v>6</v>
      </c>
      <c r="E5" s="15" t="s">
        <v>7</v>
      </c>
      <c r="F5" s="14" t="s">
        <v>8</v>
      </c>
      <c r="G5" s="14" t="s">
        <v>9</v>
      </c>
      <c r="H5" s="16" t="s">
        <v>10</v>
      </c>
      <c r="I5" s="14" t="s">
        <v>11</v>
      </c>
      <c r="J5" s="14" t="s">
        <v>12</v>
      </c>
    </row>
    <row x14ac:dyDescent="0.25" r="6" customHeight="1" ht="17.25">
      <c r="A6" s="17" t="s">
        <v>12237</v>
      </c>
      <c r="B6" s="17" t="s">
        <v>14</v>
      </c>
      <c r="C6" s="17" t="s">
        <v>15</v>
      </c>
      <c r="D6" s="17" t="s">
        <v>16</v>
      </c>
      <c r="E6" s="18">
        <f>ROUND(12949*1.05,2)</f>
      </c>
      <c r="F6" s="17" t="s">
        <v>17</v>
      </c>
      <c r="G6" s="17" t="s">
        <v>18</v>
      </c>
      <c r="H6" s="18">
        <f>ROUND(RAND()*4+6,1)</f>
      </c>
      <c r="I6" s="17" t="s">
        <v>19</v>
      </c>
      <c r="J6" s="19">
        <f>ROUND(71*1,0)&amp;"%"</f>
      </c>
    </row>
    <row x14ac:dyDescent="0.25" r="7" customHeight="1" ht="17.25">
      <c r="A7" s="20" t="s">
        <v>12238</v>
      </c>
      <c r="B7" s="20" t="s">
        <v>21</v>
      </c>
      <c r="C7" s="20" t="s">
        <v>15</v>
      </c>
      <c r="D7" s="20" t="s">
        <v>22</v>
      </c>
      <c r="E7" s="21">
        <f>ROUND(10195*1.05,2)</f>
      </c>
      <c r="F7" s="20" t="s">
        <v>23</v>
      </c>
      <c r="G7" s="20" t="s">
        <v>24</v>
      </c>
      <c r="H7" s="21">
        <f>ROUND(RAND()*4+6,1)</f>
      </c>
      <c r="I7" s="20" t="s">
        <v>25</v>
      </c>
      <c r="J7" s="23">
        <f>ROUND(91*1,0)&amp;"%"</f>
      </c>
    </row>
    <row x14ac:dyDescent="0.25" r="8" customHeight="1" ht="17.25">
      <c r="A8" s="17" t="s">
        <v>12239</v>
      </c>
      <c r="B8" s="17" t="s">
        <v>27</v>
      </c>
      <c r="C8" s="17" t="s">
        <v>15</v>
      </c>
      <c r="D8" s="17" t="s">
        <v>28</v>
      </c>
      <c r="E8" s="18">
        <f>ROUND(16289*1.05,2)</f>
      </c>
      <c r="F8" s="17" t="s">
        <v>29</v>
      </c>
      <c r="G8" s="17" t="s">
        <v>30</v>
      </c>
      <c r="H8" s="26">
        <f>ROUND(RAND()*4+6,1)</f>
      </c>
      <c r="I8" s="17" t="s">
        <v>31</v>
      </c>
      <c r="J8" s="19">
        <f>ROUND(86*1,0)&amp;"%"</f>
      </c>
    </row>
    <row x14ac:dyDescent="0.25" r="9" customHeight="1" ht="17.25">
      <c r="A9" s="20" t="s">
        <v>12240</v>
      </c>
      <c r="B9" s="20" t="s">
        <v>33</v>
      </c>
      <c r="C9" s="20" t="s">
        <v>15</v>
      </c>
      <c r="D9" s="20" t="s">
        <v>34</v>
      </c>
      <c r="E9" s="21">
        <f>ROUND(10001*1.05,2)</f>
      </c>
      <c r="F9" s="20" t="s">
        <v>35</v>
      </c>
      <c r="G9" s="20" t="s">
        <v>18</v>
      </c>
      <c r="H9" s="21">
        <f>ROUND(RAND()*4+6,1)</f>
      </c>
      <c r="I9" s="20" t="s">
        <v>36</v>
      </c>
      <c r="J9" s="23">
        <f>ROUND(97*1,0)&amp;"%"</f>
      </c>
    </row>
    <row x14ac:dyDescent="0.25" r="10" customHeight="1" ht="17.25">
      <c r="A10" s="17" t="s">
        <v>12241</v>
      </c>
      <c r="B10" s="17" t="s">
        <v>38</v>
      </c>
      <c r="C10" s="17" t="s">
        <v>15</v>
      </c>
      <c r="D10" s="17" t="s">
        <v>39</v>
      </c>
      <c r="E10" s="18">
        <f>ROUND(8491*1.05,2)</f>
      </c>
      <c r="F10" s="17" t="s">
        <v>40</v>
      </c>
      <c r="G10" s="17" t="s">
        <v>24</v>
      </c>
      <c r="H10" s="18">
        <f>ROUND(RAND()*4+6,1)</f>
      </c>
      <c r="I10" s="17" t="s">
        <v>41</v>
      </c>
      <c r="J10" s="19">
        <f>ROUND(65*1,0)&amp;"%"</f>
      </c>
    </row>
    <row x14ac:dyDescent="0.25" r="11" customHeight="1" ht="17.25">
      <c r="A11" s="20" t="s">
        <v>12242</v>
      </c>
      <c r="B11" s="20" t="s">
        <v>43</v>
      </c>
      <c r="C11" s="20" t="s">
        <v>15</v>
      </c>
      <c r="D11" s="20" t="s">
        <v>67</v>
      </c>
      <c r="E11" s="21">
        <f>ROUND(15255*1.05,2)</f>
      </c>
      <c r="F11" s="20" t="s">
        <v>44</v>
      </c>
      <c r="G11" s="20" t="s">
        <v>30</v>
      </c>
      <c r="H11" s="21">
        <f>ROUND(RAND()*4+6,1)</f>
      </c>
      <c r="I11" s="20" t="s">
        <v>45</v>
      </c>
      <c r="J11" s="23">
        <f>ROUND(92*1,0)&amp;"%"</f>
      </c>
    </row>
    <row x14ac:dyDescent="0.25" r="12" customHeight="1" ht="17.25">
      <c r="A12" s="17" t="s">
        <v>12243</v>
      </c>
      <c r="B12" s="17" t="s">
        <v>47</v>
      </c>
      <c r="C12" s="17" t="s">
        <v>15</v>
      </c>
      <c r="D12" s="17" t="s">
        <v>16</v>
      </c>
      <c r="E12" s="18">
        <f>ROUND(5958*1.05,2)</f>
      </c>
      <c r="F12" s="17" t="s">
        <v>48</v>
      </c>
      <c r="G12" s="17" t="s">
        <v>18</v>
      </c>
      <c r="H12" s="18">
        <f>ROUND(RAND()*4+6,1)</f>
      </c>
      <c r="I12" s="17" t="s">
        <v>19</v>
      </c>
      <c r="J12" s="19">
        <f>ROUND(78*1,0)&amp;"%"</f>
      </c>
    </row>
    <row x14ac:dyDescent="0.25" r="13" customHeight="1" ht="17.25">
      <c r="A13" s="20" t="s">
        <v>12244</v>
      </c>
      <c r="B13" s="20" t="s">
        <v>50</v>
      </c>
      <c r="C13" s="20" t="s">
        <v>15</v>
      </c>
      <c r="D13" s="20" t="s">
        <v>22</v>
      </c>
      <c r="E13" s="21">
        <f>ROUND(6659*1.05,2)</f>
      </c>
      <c r="F13" s="20" t="s">
        <v>51</v>
      </c>
      <c r="G13" s="20" t="s">
        <v>24</v>
      </c>
      <c r="H13" s="21">
        <f>ROUND(RAND()*4+6,1)</f>
      </c>
      <c r="I13" s="20" t="s">
        <v>25</v>
      </c>
      <c r="J13" s="23">
        <f>ROUND(70*1,0)&amp;"%"</f>
      </c>
    </row>
    <row x14ac:dyDescent="0.25" r="14" customHeight="1" ht="17.25">
      <c r="A14" s="24" t="s">
        <v>52</v>
      </c>
      <c r="B14" s="24"/>
      <c r="C14" s="24"/>
      <c r="D14" s="24"/>
      <c r="E14" s="25">
        <v>8</v>
      </c>
      <c r="F14" s="9"/>
      <c r="G14" s="9"/>
      <c r="H14" s="10"/>
      <c r="I14" s="9"/>
      <c r="J14" s="9"/>
    </row>
    <row x14ac:dyDescent="0.25" r="15" customHeight="1" ht="17.25">
      <c r="A15" s="7"/>
      <c r="B15" s="7"/>
      <c r="C15" s="7"/>
      <c r="D15" s="7"/>
      <c r="E15" s="8"/>
      <c r="F15" s="9"/>
      <c r="G15" s="9"/>
      <c r="H15" s="10"/>
      <c r="I15" s="9"/>
      <c r="J15" s="9"/>
    </row>
    <row x14ac:dyDescent="0.25" r="16" customHeight="1" ht="17.25">
      <c r="A16" s="11" t="s">
        <v>12245</v>
      </c>
      <c r="B16" s="11"/>
      <c r="C16" s="11"/>
      <c r="D16" s="11"/>
      <c r="E16" s="12"/>
      <c r="F16" s="11"/>
      <c r="G16" s="11"/>
      <c r="H16" s="13"/>
      <c r="I16" s="11"/>
      <c r="J16" s="11"/>
    </row>
    <row x14ac:dyDescent="0.25" r="17" customHeight="1" ht="17.25">
      <c r="A17" s="14" t="s">
        <v>3</v>
      </c>
      <c r="B17" s="14" t="s">
        <v>4</v>
      </c>
      <c r="C17" s="14" t="s">
        <v>5</v>
      </c>
      <c r="D17" s="14" t="s">
        <v>6</v>
      </c>
      <c r="E17" s="15" t="s">
        <v>7</v>
      </c>
      <c r="F17" s="14" t="s">
        <v>8</v>
      </c>
      <c r="G17" s="14" t="s">
        <v>9</v>
      </c>
      <c r="H17" s="16" t="s">
        <v>10</v>
      </c>
      <c r="I17" s="14" t="s">
        <v>11</v>
      </c>
      <c r="J17" s="14" t="s">
        <v>12</v>
      </c>
    </row>
    <row x14ac:dyDescent="0.25" r="18" customHeight="1" ht="17.25">
      <c r="A18" s="17" t="s">
        <v>12246</v>
      </c>
      <c r="B18" s="17" t="s">
        <v>55</v>
      </c>
      <c r="C18" s="17" t="s">
        <v>56</v>
      </c>
      <c r="D18" s="17" t="s">
        <v>16</v>
      </c>
      <c r="E18" s="18">
        <f>ROUND(4475*1.05,2)</f>
      </c>
      <c r="F18" s="17" t="s">
        <v>17</v>
      </c>
      <c r="G18" s="17" t="s">
        <v>18</v>
      </c>
      <c r="H18" s="18">
        <f>ROUND(RAND()*4+6,1)</f>
      </c>
      <c r="I18" s="17" t="s">
        <v>19</v>
      </c>
      <c r="J18" s="19">
        <f>ROUND(80*1,0)&amp;"%"</f>
      </c>
    </row>
    <row x14ac:dyDescent="0.25" r="19" customHeight="1" ht="17.25">
      <c r="A19" s="20" t="s">
        <v>12247</v>
      </c>
      <c r="B19" s="20" t="s">
        <v>58</v>
      </c>
      <c r="C19" s="20" t="s">
        <v>56</v>
      </c>
      <c r="D19" s="20" t="s">
        <v>22</v>
      </c>
      <c r="E19" s="21">
        <f>ROUND(16702*1.05,2)</f>
      </c>
      <c r="F19" s="20" t="s">
        <v>23</v>
      </c>
      <c r="G19" s="20" t="s">
        <v>24</v>
      </c>
      <c r="H19" s="21">
        <f>ROUND(RAND()*4+6,1)</f>
      </c>
      <c r="I19" s="20" t="s">
        <v>25</v>
      </c>
      <c r="J19" s="23">
        <f>ROUND(100*1,0)&amp;"%"</f>
      </c>
    </row>
    <row x14ac:dyDescent="0.25" r="20" customHeight="1" ht="17.25">
      <c r="A20" s="17" t="s">
        <v>12248</v>
      </c>
      <c r="B20" s="17" t="s">
        <v>60</v>
      </c>
      <c r="C20" s="17" t="s">
        <v>56</v>
      </c>
      <c r="D20" s="17" t="s">
        <v>28</v>
      </c>
      <c r="E20" s="18">
        <f>ROUND(14199*1.05,2)</f>
      </c>
      <c r="F20" s="17" t="s">
        <v>29</v>
      </c>
      <c r="G20" s="17" t="s">
        <v>30</v>
      </c>
      <c r="H20" s="18">
        <f>ROUND(RAND()*4+6,1)</f>
      </c>
      <c r="I20" s="17" t="s">
        <v>31</v>
      </c>
      <c r="J20" s="19">
        <f>ROUND(64*1,0)&amp;"%"</f>
      </c>
    </row>
    <row x14ac:dyDescent="0.25" r="21" customHeight="1" ht="17.25">
      <c r="A21" s="20" t="s">
        <v>12249</v>
      </c>
      <c r="B21" s="20" t="s">
        <v>62</v>
      </c>
      <c r="C21" s="20" t="s">
        <v>56</v>
      </c>
      <c r="D21" s="20" t="s">
        <v>34</v>
      </c>
      <c r="E21" s="21">
        <f>ROUND(15489*1.05,2)</f>
      </c>
      <c r="F21" s="20" t="s">
        <v>35</v>
      </c>
      <c r="G21" s="20" t="s">
        <v>18</v>
      </c>
      <c r="H21" s="21">
        <f>ROUND(RAND()*4+6,1)</f>
      </c>
      <c r="I21" s="20" t="s">
        <v>36</v>
      </c>
      <c r="J21" s="23">
        <f>ROUND(88*1,0)&amp;"%"</f>
      </c>
    </row>
    <row x14ac:dyDescent="0.25" r="22" customHeight="1" ht="17.25">
      <c r="A22" s="17" t="s">
        <v>12250</v>
      </c>
      <c r="B22" s="17" t="s">
        <v>64</v>
      </c>
      <c r="C22" s="17" t="s">
        <v>56</v>
      </c>
      <c r="D22" s="17" t="s">
        <v>39</v>
      </c>
      <c r="E22" s="18">
        <f>ROUND(15031*1.05,2)</f>
      </c>
      <c r="F22" s="17" t="s">
        <v>40</v>
      </c>
      <c r="G22" s="17" t="s">
        <v>24</v>
      </c>
      <c r="H22" s="18">
        <f>ROUND(RAND()*4+6,1)</f>
      </c>
      <c r="I22" s="17" t="s">
        <v>41</v>
      </c>
      <c r="J22" s="19">
        <f>ROUND(62*1,0)&amp;"%"</f>
      </c>
    </row>
    <row x14ac:dyDescent="0.25" r="23" customHeight="1" ht="17.25">
      <c r="A23" s="20" t="s">
        <v>12251</v>
      </c>
      <c r="B23" s="20" t="s">
        <v>66</v>
      </c>
      <c r="C23" s="20" t="s">
        <v>56</v>
      </c>
      <c r="D23" s="20" t="s">
        <v>67</v>
      </c>
      <c r="E23" s="21">
        <f>ROUND(14709*1.05,2)</f>
      </c>
      <c r="F23" s="20" t="s">
        <v>44</v>
      </c>
      <c r="G23" s="20" t="s">
        <v>30</v>
      </c>
      <c r="H23" s="21">
        <f>ROUND(RAND()*4+6,1)</f>
      </c>
      <c r="I23" s="20" t="s">
        <v>45</v>
      </c>
      <c r="J23" s="23">
        <f>ROUND(60*1,0)&amp;"%"</f>
      </c>
    </row>
    <row x14ac:dyDescent="0.25" r="24" customHeight="1" ht="17.25">
      <c r="A24" s="17" t="s">
        <v>12252</v>
      </c>
      <c r="B24" s="17" t="s">
        <v>69</v>
      </c>
      <c r="C24" s="17" t="s">
        <v>56</v>
      </c>
      <c r="D24" s="17" t="s">
        <v>16</v>
      </c>
      <c r="E24" s="26">
        <f>ROUND(10520*1.05,2)</f>
      </c>
      <c r="F24" s="17" t="s">
        <v>48</v>
      </c>
      <c r="G24" s="17" t="s">
        <v>18</v>
      </c>
      <c r="H24" s="18">
        <f>ROUND(RAND()*4+6,1)</f>
      </c>
      <c r="I24" s="17" t="s">
        <v>19</v>
      </c>
      <c r="J24" s="19">
        <f>ROUND(88*1,0)&amp;"%"</f>
      </c>
    </row>
    <row x14ac:dyDescent="0.25" r="25" customHeight="1" ht="17.25">
      <c r="A25" s="20" t="s">
        <v>12253</v>
      </c>
      <c r="B25" s="20" t="s">
        <v>71</v>
      </c>
      <c r="C25" s="20" t="s">
        <v>56</v>
      </c>
      <c r="D25" s="20" t="s">
        <v>22</v>
      </c>
      <c r="E25" s="21">
        <f>ROUND(7368*1.05,2)</f>
      </c>
      <c r="F25" s="20" t="s">
        <v>51</v>
      </c>
      <c r="G25" s="20" t="s">
        <v>24</v>
      </c>
      <c r="H25" s="21">
        <f>ROUND(RAND()*4+6,1)</f>
      </c>
      <c r="I25" s="20" t="s">
        <v>25</v>
      </c>
      <c r="J25" s="23">
        <f>ROUND(75*1,0)&amp;"%"</f>
      </c>
    </row>
    <row x14ac:dyDescent="0.25" r="26" customHeight="1" ht="17.25">
      <c r="A26" s="24" t="s">
        <v>72</v>
      </c>
      <c r="B26" s="24"/>
      <c r="C26" s="24"/>
      <c r="D26" s="24"/>
      <c r="E26" s="25">
        <v>8</v>
      </c>
      <c r="F26" s="9"/>
      <c r="G26" s="9"/>
      <c r="H26" s="10"/>
      <c r="I26" s="9"/>
      <c r="J26" s="9"/>
    </row>
    <row x14ac:dyDescent="0.25" r="27" customHeight="1" ht="17.25">
      <c r="A27" s="7"/>
      <c r="B27" s="7"/>
      <c r="C27" s="7"/>
      <c r="D27" s="7"/>
      <c r="E27" s="8"/>
      <c r="F27" s="9"/>
      <c r="G27" s="9"/>
      <c r="H27" s="10"/>
      <c r="I27" s="9"/>
      <c r="J27" s="9"/>
    </row>
    <row x14ac:dyDescent="0.25" r="28" customHeight="1" ht="17.25">
      <c r="A28" s="11" t="s">
        <v>12254</v>
      </c>
      <c r="B28" s="11"/>
      <c r="C28" s="11"/>
      <c r="D28" s="11"/>
      <c r="E28" s="12"/>
      <c r="F28" s="11"/>
      <c r="G28" s="11"/>
      <c r="H28" s="13"/>
      <c r="I28" s="11"/>
      <c r="J28" s="11"/>
    </row>
    <row x14ac:dyDescent="0.25" r="29" customHeight="1" ht="17.25">
      <c r="A29" s="14" t="s">
        <v>3</v>
      </c>
      <c r="B29" s="14" t="s">
        <v>4</v>
      </c>
      <c r="C29" s="14" t="s">
        <v>5</v>
      </c>
      <c r="D29" s="14" t="s">
        <v>6</v>
      </c>
      <c r="E29" s="15" t="s">
        <v>7</v>
      </c>
      <c r="F29" s="14" t="s">
        <v>8</v>
      </c>
      <c r="G29" s="14" t="s">
        <v>9</v>
      </c>
      <c r="H29" s="16" t="s">
        <v>10</v>
      </c>
      <c r="I29" s="14" t="s">
        <v>11</v>
      </c>
      <c r="J29" s="14" t="s">
        <v>12</v>
      </c>
    </row>
    <row x14ac:dyDescent="0.25" r="30" customHeight="1" ht="17.25">
      <c r="A30" s="17" t="s">
        <v>12255</v>
      </c>
      <c r="B30" s="17" t="s">
        <v>75</v>
      </c>
      <c r="C30" s="17" t="s">
        <v>76</v>
      </c>
      <c r="D30" s="17" t="s">
        <v>16</v>
      </c>
      <c r="E30" s="26">
        <f>ROUND(11060*1.05,2)</f>
      </c>
      <c r="F30" s="17" t="s">
        <v>17</v>
      </c>
      <c r="G30" s="17" t="s">
        <v>18</v>
      </c>
      <c r="H30" s="18">
        <f>ROUND(RAND()*4+6,1)</f>
      </c>
      <c r="I30" s="17" t="s">
        <v>19</v>
      </c>
      <c r="J30" s="19">
        <f>ROUND(92*1,0)&amp;"%"</f>
      </c>
    </row>
    <row x14ac:dyDescent="0.25" r="31" customHeight="1" ht="17.25">
      <c r="A31" s="20" t="s">
        <v>12256</v>
      </c>
      <c r="B31" s="20" t="s">
        <v>78</v>
      </c>
      <c r="C31" s="20" t="s">
        <v>76</v>
      </c>
      <c r="D31" s="20" t="s">
        <v>22</v>
      </c>
      <c r="E31" s="21">
        <f>ROUND(10221*1.05,2)</f>
      </c>
      <c r="F31" s="20" t="s">
        <v>23</v>
      </c>
      <c r="G31" s="20" t="s">
        <v>24</v>
      </c>
      <c r="H31" s="21">
        <f>ROUND(RAND()*4+6,1)</f>
      </c>
      <c r="I31" s="20" t="s">
        <v>25</v>
      </c>
      <c r="J31" s="23">
        <f>ROUND(63*1,0)&amp;"%"</f>
      </c>
    </row>
    <row x14ac:dyDescent="0.25" r="32" customHeight="1" ht="17.25">
      <c r="A32" s="17" t="s">
        <v>12257</v>
      </c>
      <c r="B32" s="17" t="s">
        <v>80</v>
      </c>
      <c r="C32" s="17" t="s">
        <v>76</v>
      </c>
      <c r="D32" s="17" t="s">
        <v>28</v>
      </c>
      <c r="E32" s="18">
        <f>ROUND(10667*1.05,2)</f>
      </c>
      <c r="F32" s="17" t="s">
        <v>29</v>
      </c>
      <c r="G32" s="17" t="s">
        <v>30</v>
      </c>
      <c r="H32" s="18">
        <f>ROUND(RAND()*4+6,1)</f>
      </c>
      <c r="I32" s="17" t="s">
        <v>31</v>
      </c>
      <c r="J32" s="19">
        <f>ROUND(83*1,0)&amp;"%"</f>
      </c>
    </row>
    <row x14ac:dyDescent="0.25" r="33" customHeight="1" ht="17.25">
      <c r="A33" s="20" t="s">
        <v>12258</v>
      </c>
      <c r="B33" s="20" t="s">
        <v>82</v>
      </c>
      <c r="C33" s="20" t="s">
        <v>76</v>
      </c>
      <c r="D33" s="20" t="s">
        <v>34</v>
      </c>
      <c r="E33" s="21">
        <f>ROUND(10042*1.05,2)</f>
      </c>
      <c r="F33" s="20" t="s">
        <v>35</v>
      </c>
      <c r="G33" s="20" t="s">
        <v>18</v>
      </c>
      <c r="H33" s="21">
        <f>ROUND(RAND()*4+6,1)</f>
      </c>
      <c r="I33" s="20" t="s">
        <v>36</v>
      </c>
      <c r="J33" s="23">
        <f>ROUND(84*1,0)&amp;"%"</f>
      </c>
    </row>
    <row x14ac:dyDescent="0.25" r="34" customHeight="1" ht="17.25">
      <c r="A34" s="17" t="s">
        <v>12259</v>
      </c>
      <c r="B34" s="17" t="s">
        <v>84</v>
      </c>
      <c r="C34" s="17" t="s">
        <v>76</v>
      </c>
      <c r="D34" s="17" t="s">
        <v>39</v>
      </c>
      <c r="E34" s="18">
        <f>ROUND(12203*1.05,2)</f>
      </c>
      <c r="F34" s="17" t="s">
        <v>40</v>
      </c>
      <c r="G34" s="17" t="s">
        <v>24</v>
      </c>
      <c r="H34" s="18">
        <f>ROUND(RAND()*4+6,1)</f>
      </c>
      <c r="I34" s="17" t="s">
        <v>41</v>
      </c>
      <c r="J34" s="19">
        <f>ROUND(94*1,0)&amp;"%"</f>
      </c>
    </row>
    <row x14ac:dyDescent="0.25" r="35" customHeight="1" ht="17.25">
      <c r="A35" s="20" t="s">
        <v>12260</v>
      </c>
      <c r="B35" s="20" t="s">
        <v>86</v>
      </c>
      <c r="C35" s="20" t="s">
        <v>76</v>
      </c>
      <c r="D35" s="20" t="s">
        <v>67</v>
      </c>
      <c r="E35" s="21">
        <f>ROUND(16687*1.05,2)</f>
      </c>
      <c r="F35" s="20" t="s">
        <v>44</v>
      </c>
      <c r="G35" s="20" t="s">
        <v>30</v>
      </c>
      <c r="H35" s="21">
        <f>ROUND(RAND()*4+6,1)</f>
      </c>
      <c r="I35" s="20" t="s">
        <v>45</v>
      </c>
      <c r="J35" s="23">
        <f>ROUND(65*1,0)&amp;"%"</f>
      </c>
    </row>
    <row x14ac:dyDescent="0.25" r="36" customHeight="1" ht="17.25">
      <c r="A36" s="17" t="s">
        <v>12261</v>
      </c>
      <c r="B36" s="17" t="s">
        <v>88</v>
      </c>
      <c r="C36" s="17" t="s">
        <v>76</v>
      </c>
      <c r="D36" s="17" t="s">
        <v>16</v>
      </c>
      <c r="E36" s="18">
        <f>ROUND(6772*1.05,2)</f>
      </c>
      <c r="F36" s="17" t="s">
        <v>48</v>
      </c>
      <c r="G36" s="17" t="s">
        <v>18</v>
      </c>
      <c r="H36" s="18">
        <f>ROUND(RAND()*4+6,1)</f>
      </c>
      <c r="I36" s="17" t="s">
        <v>19</v>
      </c>
      <c r="J36" s="19">
        <f>ROUND(90*1,0)&amp;"%"</f>
      </c>
    </row>
    <row x14ac:dyDescent="0.25" r="37" customHeight="1" ht="17.25">
      <c r="A37" s="20" t="s">
        <v>12262</v>
      </c>
      <c r="B37" s="20" t="s">
        <v>90</v>
      </c>
      <c r="C37" s="20" t="s">
        <v>76</v>
      </c>
      <c r="D37" s="20" t="s">
        <v>22</v>
      </c>
      <c r="E37" s="21">
        <f>ROUND(15586*1.05,2)</f>
      </c>
      <c r="F37" s="20" t="s">
        <v>51</v>
      </c>
      <c r="G37" s="20" t="s">
        <v>24</v>
      </c>
      <c r="H37" s="21">
        <f>ROUND(RAND()*4+6,1)</f>
      </c>
      <c r="I37" s="20" t="s">
        <v>25</v>
      </c>
      <c r="J37" s="23">
        <f>ROUND(73*1,0)&amp;"%"</f>
      </c>
    </row>
    <row x14ac:dyDescent="0.25" r="38" customHeight="1" ht="17.25">
      <c r="A38" s="24" t="s">
        <v>91</v>
      </c>
      <c r="B38" s="24"/>
      <c r="C38" s="24"/>
      <c r="D38" s="24"/>
      <c r="E38" s="25">
        <v>8</v>
      </c>
      <c r="F38" s="9"/>
      <c r="G38" s="9"/>
      <c r="H38" s="10"/>
      <c r="I38" s="9"/>
      <c r="J38" s="9"/>
    </row>
    <row x14ac:dyDescent="0.25" r="39" customHeight="1" ht="17.25">
      <c r="A39" s="7"/>
      <c r="B39" s="7"/>
      <c r="C39" s="7"/>
      <c r="D39" s="7"/>
      <c r="E39" s="8"/>
      <c r="F39" s="9"/>
      <c r="G39" s="9"/>
      <c r="H39" s="10"/>
      <c r="I39" s="9"/>
      <c r="J39" s="9"/>
    </row>
    <row x14ac:dyDescent="0.25" r="40" customHeight="1" ht="17.25">
      <c r="A40" s="11" t="s">
        <v>12263</v>
      </c>
      <c r="B40" s="11"/>
      <c r="C40" s="11"/>
      <c r="D40" s="11"/>
      <c r="E40" s="12"/>
      <c r="F40" s="11"/>
      <c r="G40" s="11"/>
      <c r="H40" s="13"/>
      <c r="I40" s="11"/>
      <c r="J40" s="11"/>
    </row>
    <row x14ac:dyDescent="0.25" r="41" customHeight="1" ht="17.25">
      <c r="A41" s="14" t="s">
        <v>3</v>
      </c>
      <c r="B41" s="14" t="s">
        <v>4</v>
      </c>
      <c r="C41" s="14" t="s">
        <v>5</v>
      </c>
      <c r="D41" s="14" t="s">
        <v>6</v>
      </c>
      <c r="E41" s="15" t="s">
        <v>7</v>
      </c>
      <c r="F41" s="14" t="s">
        <v>8</v>
      </c>
      <c r="G41" s="14" t="s">
        <v>9</v>
      </c>
      <c r="H41" s="16" t="s">
        <v>10</v>
      </c>
      <c r="I41" s="14" t="s">
        <v>11</v>
      </c>
      <c r="J41" s="14" t="s">
        <v>12</v>
      </c>
    </row>
    <row x14ac:dyDescent="0.25" r="42" customHeight="1" ht="17.25">
      <c r="A42" s="17" t="s">
        <v>12264</v>
      </c>
      <c r="B42" s="17" t="s">
        <v>94</v>
      </c>
      <c r="C42" s="17" t="s">
        <v>95</v>
      </c>
      <c r="D42" s="17" t="s">
        <v>16</v>
      </c>
      <c r="E42" s="18">
        <f>ROUND(10438*1.05,2)</f>
      </c>
      <c r="F42" s="17" t="s">
        <v>17</v>
      </c>
      <c r="G42" s="17" t="s">
        <v>18</v>
      </c>
      <c r="H42" s="26">
        <f>ROUND(RAND()*4+6,1)</f>
      </c>
      <c r="I42" s="17" t="s">
        <v>19</v>
      </c>
      <c r="J42" s="19">
        <f>ROUND(66*1,0)&amp;"%"</f>
      </c>
    </row>
    <row x14ac:dyDescent="0.25" r="43" customHeight="1" ht="17.25">
      <c r="A43" s="20" t="s">
        <v>12265</v>
      </c>
      <c r="B43" s="20" t="s">
        <v>97</v>
      </c>
      <c r="C43" s="20" t="s">
        <v>95</v>
      </c>
      <c r="D43" s="20" t="s">
        <v>22</v>
      </c>
      <c r="E43" s="21">
        <f>ROUND(17447*1.05,2)</f>
      </c>
      <c r="F43" s="20" t="s">
        <v>23</v>
      </c>
      <c r="G43" s="20" t="s">
        <v>24</v>
      </c>
      <c r="H43" s="21">
        <f>ROUND(RAND()*4+6,1)</f>
      </c>
      <c r="I43" s="20" t="s">
        <v>25</v>
      </c>
      <c r="J43" s="23">
        <f>ROUND(98*1,0)&amp;"%"</f>
      </c>
    </row>
    <row x14ac:dyDescent="0.25" r="44" customHeight="1" ht="17.25">
      <c r="A44" s="17" t="s">
        <v>12266</v>
      </c>
      <c r="B44" s="17" t="s">
        <v>99</v>
      </c>
      <c r="C44" s="17" t="s">
        <v>95</v>
      </c>
      <c r="D44" s="17" t="s">
        <v>28</v>
      </c>
      <c r="E44" s="18">
        <f>ROUND(14874*1.05,2)</f>
      </c>
      <c r="F44" s="17" t="s">
        <v>29</v>
      </c>
      <c r="G44" s="17" t="s">
        <v>30</v>
      </c>
      <c r="H44" s="18">
        <f>ROUND(RAND()*4+6,1)</f>
      </c>
      <c r="I44" s="17" t="s">
        <v>31</v>
      </c>
      <c r="J44" s="19">
        <f>ROUND(90*1,0)&amp;"%"</f>
      </c>
    </row>
    <row x14ac:dyDescent="0.25" r="45" customHeight="1" ht="17.25">
      <c r="A45" s="20" t="s">
        <v>12267</v>
      </c>
      <c r="B45" s="20" t="s">
        <v>101</v>
      </c>
      <c r="C45" s="20" t="s">
        <v>95</v>
      </c>
      <c r="D45" s="20" t="s">
        <v>34</v>
      </c>
      <c r="E45" s="21">
        <f>ROUND(14464*1.05,2)</f>
      </c>
      <c r="F45" s="20" t="s">
        <v>35</v>
      </c>
      <c r="G45" s="20" t="s">
        <v>18</v>
      </c>
      <c r="H45" s="21">
        <f>ROUND(RAND()*4+6,1)</f>
      </c>
      <c r="I45" s="20" t="s">
        <v>36</v>
      </c>
      <c r="J45" s="23">
        <f>ROUND(76*1,0)&amp;"%"</f>
      </c>
    </row>
    <row x14ac:dyDescent="0.25" r="46" customHeight="1" ht="17.25">
      <c r="A46" s="17" t="s">
        <v>12268</v>
      </c>
      <c r="B46" s="17" t="s">
        <v>103</v>
      </c>
      <c r="C46" s="17" t="s">
        <v>95</v>
      </c>
      <c r="D46" s="17" t="s">
        <v>39</v>
      </c>
      <c r="E46" s="18">
        <f>ROUND(13627*1.05,2)</f>
      </c>
      <c r="F46" s="17" t="s">
        <v>40</v>
      </c>
      <c r="G46" s="17" t="s">
        <v>24</v>
      </c>
      <c r="H46" s="18">
        <f>ROUND(RAND()*4+6,1)</f>
      </c>
      <c r="I46" s="17" t="s">
        <v>41</v>
      </c>
      <c r="J46" s="19">
        <f>ROUND(74*1,0)&amp;"%"</f>
      </c>
    </row>
    <row x14ac:dyDescent="0.25" r="47" customHeight="1" ht="17.25">
      <c r="A47" s="20" t="s">
        <v>12269</v>
      </c>
      <c r="B47" s="20" t="s">
        <v>105</v>
      </c>
      <c r="C47" s="20" t="s">
        <v>95</v>
      </c>
      <c r="D47" s="20" t="s">
        <v>67</v>
      </c>
      <c r="E47" s="21">
        <f>ROUND(16801*1.05,2)</f>
      </c>
      <c r="F47" s="20" t="s">
        <v>44</v>
      </c>
      <c r="G47" s="20" t="s">
        <v>30</v>
      </c>
      <c r="H47" s="21">
        <f>ROUND(RAND()*4+6,1)</f>
      </c>
      <c r="I47" s="20" t="s">
        <v>45</v>
      </c>
      <c r="J47" s="23">
        <f>ROUND(74*1,0)&amp;"%"</f>
      </c>
    </row>
    <row x14ac:dyDescent="0.25" r="48" customHeight="1" ht="17.25">
      <c r="A48" s="17" t="s">
        <v>12270</v>
      </c>
      <c r="B48" s="17" t="s">
        <v>107</v>
      </c>
      <c r="C48" s="17" t="s">
        <v>95</v>
      </c>
      <c r="D48" s="17" t="s">
        <v>16</v>
      </c>
      <c r="E48" s="18">
        <f>ROUND(7019*1.05,2)</f>
      </c>
      <c r="F48" s="17" t="s">
        <v>48</v>
      </c>
      <c r="G48" s="17" t="s">
        <v>18</v>
      </c>
      <c r="H48" s="18">
        <f>ROUND(RAND()*4+6,1)</f>
      </c>
      <c r="I48" s="17" t="s">
        <v>19</v>
      </c>
      <c r="J48" s="19">
        <f>ROUND(66*1,0)&amp;"%"</f>
      </c>
    </row>
    <row x14ac:dyDescent="0.25" r="49" customHeight="1" ht="17.25">
      <c r="A49" s="20" t="s">
        <v>12271</v>
      </c>
      <c r="B49" s="20" t="s">
        <v>109</v>
      </c>
      <c r="C49" s="20" t="s">
        <v>95</v>
      </c>
      <c r="D49" s="20" t="s">
        <v>22</v>
      </c>
      <c r="E49" s="21">
        <f>ROUND(7625*1.05,2)</f>
      </c>
      <c r="F49" s="20" t="s">
        <v>51</v>
      </c>
      <c r="G49" s="20" t="s">
        <v>24</v>
      </c>
      <c r="H49" s="21">
        <f>ROUND(RAND()*4+6,1)</f>
      </c>
      <c r="I49" s="20" t="s">
        <v>25</v>
      </c>
      <c r="J49" s="23">
        <f>ROUND(69*1,0)&amp;"%"</f>
      </c>
    </row>
    <row x14ac:dyDescent="0.25" r="50" customHeight="1" ht="17.25">
      <c r="A50" s="24" t="s">
        <v>110</v>
      </c>
      <c r="B50" s="24"/>
      <c r="C50" s="24"/>
      <c r="D50" s="24"/>
      <c r="E50" s="25">
        <v>8</v>
      </c>
      <c r="F50" s="9"/>
      <c r="G50" s="9"/>
      <c r="H50" s="10"/>
      <c r="I50" s="9"/>
      <c r="J50" s="9"/>
    </row>
    <row x14ac:dyDescent="0.25" r="51" customHeight="1" ht="17.25">
      <c r="A51" s="7"/>
      <c r="B51" s="7"/>
      <c r="C51" s="7"/>
      <c r="D51" s="7"/>
      <c r="E51" s="8"/>
      <c r="F51" s="9"/>
      <c r="G51" s="9"/>
      <c r="H51" s="10"/>
      <c r="I51" s="9"/>
      <c r="J51" s="9"/>
    </row>
    <row x14ac:dyDescent="0.25" r="52" customHeight="1" ht="17.25">
      <c r="A52" s="11" t="s">
        <v>12272</v>
      </c>
      <c r="B52" s="11"/>
      <c r="C52" s="11"/>
      <c r="D52" s="11"/>
      <c r="E52" s="12"/>
      <c r="F52" s="11"/>
      <c r="G52" s="11"/>
      <c r="H52" s="13"/>
      <c r="I52" s="11"/>
      <c r="J52" s="11"/>
    </row>
    <row x14ac:dyDescent="0.25" r="53" customHeight="1" ht="17.25">
      <c r="A53" s="14" t="s">
        <v>3</v>
      </c>
      <c r="B53" s="14" t="s">
        <v>4</v>
      </c>
      <c r="C53" s="14" t="s">
        <v>5</v>
      </c>
      <c r="D53" s="14" t="s">
        <v>6</v>
      </c>
      <c r="E53" s="15" t="s">
        <v>7</v>
      </c>
      <c r="F53" s="14" t="s">
        <v>8</v>
      </c>
      <c r="G53" s="14" t="s">
        <v>9</v>
      </c>
      <c r="H53" s="16" t="s">
        <v>10</v>
      </c>
      <c r="I53" s="14" t="s">
        <v>11</v>
      </c>
      <c r="J53" s="14" t="s">
        <v>12</v>
      </c>
    </row>
    <row x14ac:dyDescent="0.25" r="54" customHeight="1" ht="17.25">
      <c r="A54" s="17" t="s">
        <v>12273</v>
      </c>
      <c r="B54" s="17" t="s">
        <v>113</v>
      </c>
      <c r="C54" s="17" t="s">
        <v>114</v>
      </c>
      <c r="D54" s="17" t="s">
        <v>16</v>
      </c>
      <c r="E54" s="18">
        <f>ROUND(16615*1.05,2)</f>
      </c>
      <c r="F54" s="17" t="s">
        <v>17</v>
      </c>
      <c r="G54" s="17" t="s">
        <v>18</v>
      </c>
      <c r="H54" s="18">
        <f>ROUND(RAND()*4+6,1)</f>
      </c>
      <c r="I54" s="17" t="s">
        <v>19</v>
      </c>
      <c r="J54" s="19">
        <f>ROUND(77*1,0)&amp;"%"</f>
      </c>
    </row>
    <row x14ac:dyDescent="0.25" r="55" customHeight="1" ht="17.25">
      <c r="A55" s="20" t="s">
        <v>12274</v>
      </c>
      <c r="B55" s="20" t="s">
        <v>116</v>
      </c>
      <c r="C55" s="20" t="s">
        <v>114</v>
      </c>
      <c r="D55" s="20" t="s">
        <v>22</v>
      </c>
      <c r="E55" s="21">
        <f>ROUND(13455*1.05,2)</f>
      </c>
      <c r="F55" s="20" t="s">
        <v>23</v>
      </c>
      <c r="G55" s="20" t="s">
        <v>24</v>
      </c>
      <c r="H55" s="21">
        <f>ROUND(RAND()*4+6,1)</f>
      </c>
      <c r="I55" s="20" t="s">
        <v>25</v>
      </c>
      <c r="J55" s="23">
        <f>ROUND(80*1,0)&amp;"%"</f>
      </c>
    </row>
    <row x14ac:dyDescent="0.25" r="56" customHeight="1" ht="17.25">
      <c r="A56" s="17" t="s">
        <v>12275</v>
      </c>
      <c r="B56" s="17" t="s">
        <v>118</v>
      </c>
      <c r="C56" s="17" t="s">
        <v>114</v>
      </c>
      <c r="D56" s="17" t="s">
        <v>28</v>
      </c>
      <c r="E56" s="18">
        <f>ROUND(10348*1.05,2)</f>
      </c>
      <c r="F56" s="17" t="s">
        <v>29</v>
      </c>
      <c r="G56" s="17" t="s">
        <v>30</v>
      </c>
      <c r="H56" s="18">
        <f>ROUND(RAND()*4+6,1)</f>
      </c>
      <c r="I56" s="17" t="s">
        <v>31</v>
      </c>
      <c r="J56" s="19">
        <f>ROUND(78*1,0)&amp;"%"</f>
      </c>
    </row>
    <row x14ac:dyDescent="0.25" r="57" customHeight="1" ht="17.25">
      <c r="A57" s="20" t="s">
        <v>12276</v>
      </c>
      <c r="B57" s="20" t="s">
        <v>120</v>
      </c>
      <c r="C57" s="20" t="s">
        <v>114</v>
      </c>
      <c r="D57" s="20" t="s">
        <v>34</v>
      </c>
      <c r="E57" s="21">
        <f>ROUND(7386*1.05,2)</f>
      </c>
      <c r="F57" s="20" t="s">
        <v>35</v>
      </c>
      <c r="G57" s="20" t="s">
        <v>18</v>
      </c>
      <c r="H57" s="21">
        <f>ROUND(RAND()*4+6,1)</f>
      </c>
      <c r="I57" s="20" t="s">
        <v>36</v>
      </c>
      <c r="J57" s="23">
        <f>ROUND(71*1,0)&amp;"%"</f>
      </c>
    </row>
    <row x14ac:dyDescent="0.25" r="58" customHeight="1" ht="17.25">
      <c r="A58" s="17" t="s">
        <v>12277</v>
      </c>
      <c r="B58" s="17" t="s">
        <v>122</v>
      </c>
      <c r="C58" s="17" t="s">
        <v>114</v>
      </c>
      <c r="D58" s="17" t="s">
        <v>39</v>
      </c>
      <c r="E58" s="18">
        <f>ROUND(8361*1.05,2)</f>
      </c>
      <c r="F58" s="17" t="s">
        <v>40</v>
      </c>
      <c r="G58" s="17" t="s">
        <v>24</v>
      </c>
      <c r="H58" s="26">
        <f>ROUND(RAND()*4+6,1)</f>
      </c>
      <c r="I58" s="17" t="s">
        <v>41</v>
      </c>
      <c r="J58" s="19">
        <f>ROUND(89*1,0)&amp;"%"</f>
      </c>
    </row>
    <row x14ac:dyDescent="0.25" r="59" customHeight="1" ht="17.25">
      <c r="A59" s="20" t="s">
        <v>12278</v>
      </c>
      <c r="B59" s="20" t="s">
        <v>124</v>
      </c>
      <c r="C59" s="20" t="s">
        <v>114</v>
      </c>
      <c r="D59" s="20" t="s">
        <v>67</v>
      </c>
      <c r="E59" s="21">
        <f>ROUND(12327*1.05,2)</f>
      </c>
      <c r="F59" s="20" t="s">
        <v>44</v>
      </c>
      <c r="G59" s="20" t="s">
        <v>30</v>
      </c>
      <c r="H59" s="21">
        <f>ROUND(RAND()*4+6,1)</f>
      </c>
      <c r="I59" s="20" t="s">
        <v>45</v>
      </c>
      <c r="J59" s="23">
        <f>ROUND(92*1,0)&amp;"%"</f>
      </c>
    </row>
    <row x14ac:dyDescent="0.25" r="60" customHeight="1" ht="17.25">
      <c r="A60" s="17" t="s">
        <v>12279</v>
      </c>
      <c r="B60" s="17" t="s">
        <v>126</v>
      </c>
      <c r="C60" s="17" t="s">
        <v>114</v>
      </c>
      <c r="D60" s="17" t="s">
        <v>16</v>
      </c>
      <c r="E60" s="18">
        <f>ROUND(15768*1.05,2)</f>
      </c>
      <c r="F60" s="17" t="s">
        <v>48</v>
      </c>
      <c r="G60" s="17" t="s">
        <v>18</v>
      </c>
      <c r="H60" s="18">
        <f>ROUND(RAND()*4+6,1)</f>
      </c>
      <c r="I60" s="17" t="s">
        <v>19</v>
      </c>
      <c r="J60" s="19">
        <f>ROUND(70*1,0)&amp;"%"</f>
      </c>
    </row>
    <row x14ac:dyDescent="0.25" r="61" customHeight="1" ht="17.25">
      <c r="A61" s="20" t="s">
        <v>12280</v>
      </c>
      <c r="B61" s="20" t="s">
        <v>128</v>
      </c>
      <c r="C61" s="20" t="s">
        <v>114</v>
      </c>
      <c r="D61" s="20" t="s">
        <v>22</v>
      </c>
      <c r="E61" s="21">
        <f>ROUND(9241*1.05,2)</f>
      </c>
      <c r="F61" s="20" t="s">
        <v>51</v>
      </c>
      <c r="G61" s="20" t="s">
        <v>24</v>
      </c>
      <c r="H61" s="21">
        <f>ROUND(RAND()*4+6,1)</f>
      </c>
      <c r="I61" s="20" t="s">
        <v>25</v>
      </c>
      <c r="J61" s="23">
        <f>ROUND(89*1,0)&amp;"%"</f>
      </c>
    </row>
    <row x14ac:dyDescent="0.25" r="62" customHeight="1" ht="17.25">
      <c r="A62" s="24" t="s">
        <v>129</v>
      </c>
      <c r="B62" s="24"/>
      <c r="C62" s="24"/>
      <c r="D62" s="24"/>
      <c r="E62" s="25">
        <v>8</v>
      </c>
      <c r="F62" s="9"/>
      <c r="G62" s="9"/>
      <c r="H62" s="10"/>
      <c r="I62" s="9"/>
      <c r="J62" s="9"/>
    </row>
    <row x14ac:dyDescent="0.25" r="63" customHeight="1" ht="17.25">
      <c r="A63" s="7"/>
      <c r="B63" s="7"/>
      <c r="C63" s="7"/>
      <c r="D63" s="7"/>
      <c r="E63" s="8"/>
      <c r="F63" s="9"/>
      <c r="G63" s="9"/>
      <c r="H63" s="10"/>
      <c r="I63" s="9"/>
      <c r="J63" s="9"/>
    </row>
    <row x14ac:dyDescent="0.25" r="64" customHeight="1" ht="17.25">
      <c r="A64" s="11" t="s">
        <v>12281</v>
      </c>
      <c r="B64" s="11"/>
      <c r="C64" s="11"/>
      <c r="D64" s="11"/>
      <c r="E64" s="12"/>
      <c r="F64" s="11"/>
      <c r="G64" s="11"/>
      <c r="H64" s="13"/>
      <c r="I64" s="11"/>
      <c r="J64" s="11"/>
    </row>
    <row x14ac:dyDescent="0.25" r="65" customHeight="1" ht="17.25">
      <c r="A65" s="14" t="s">
        <v>3</v>
      </c>
      <c r="B65" s="14" t="s">
        <v>4</v>
      </c>
      <c r="C65" s="14" t="s">
        <v>5</v>
      </c>
      <c r="D65" s="14" t="s">
        <v>6</v>
      </c>
      <c r="E65" s="15" t="s">
        <v>7</v>
      </c>
      <c r="F65" s="14" t="s">
        <v>8</v>
      </c>
      <c r="G65" s="14" t="s">
        <v>9</v>
      </c>
      <c r="H65" s="16" t="s">
        <v>10</v>
      </c>
      <c r="I65" s="14" t="s">
        <v>11</v>
      </c>
      <c r="J65" s="14" t="s">
        <v>12</v>
      </c>
    </row>
    <row x14ac:dyDescent="0.25" r="66" customHeight="1" ht="17.25">
      <c r="A66" s="17" t="s">
        <v>12282</v>
      </c>
      <c r="B66" s="17" t="s">
        <v>132</v>
      </c>
      <c r="C66" s="17" t="s">
        <v>133</v>
      </c>
      <c r="D66" s="17" t="s">
        <v>16</v>
      </c>
      <c r="E66" s="18">
        <f>ROUND(5559*1.05,2)</f>
      </c>
      <c r="F66" s="17" t="s">
        <v>17</v>
      </c>
      <c r="G66" s="17" t="s">
        <v>18</v>
      </c>
      <c r="H66" s="18">
        <f>ROUND(RAND()*4+6,1)</f>
      </c>
      <c r="I66" s="17" t="s">
        <v>19</v>
      </c>
      <c r="J66" s="19">
        <f>ROUND(80*1,0)&amp;"%"</f>
      </c>
    </row>
    <row x14ac:dyDescent="0.25" r="67" customHeight="1" ht="17.25">
      <c r="A67" s="20" t="s">
        <v>12283</v>
      </c>
      <c r="B67" s="20" t="s">
        <v>135</v>
      </c>
      <c r="C67" s="20" t="s">
        <v>133</v>
      </c>
      <c r="D67" s="20" t="s">
        <v>22</v>
      </c>
      <c r="E67" s="21">
        <f>ROUND(17832*1.05,2)</f>
      </c>
      <c r="F67" s="20" t="s">
        <v>23</v>
      </c>
      <c r="G67" s="20" t="s">
        <v>24</v>
      </c>
      <c r="H67" s="21">
        <f>ROUND(RAND()*4+6,1)</f>
      </c>
      <c r="I67" s="20" t="s">
        <v>25</v>
      </c>
      <c r="J67" s="23">
        <f>ROUND(62*1,0)&amp;"%"</f>
      </c>
    </row>
    <row x14ac:dyDescent="0.25" r="68" customHeight="1" ht="17.25">
      <c r="A68" s="17" t="s">
        <v>12284</v>
      </c>
      <c r="B68" s="17" t="s">
        <v>137</v>
      </c>
      <c r="C68" s="17" t="s">
        <v>133</v>
      </c>
      <c r="D68" s="17" t="s">
        <v>28</v>
      </c>
      <c r="E68" s="18">
        <f>ROUND(7369*1.05,2)</f>
      </c>
      <c r="F68" s="17" t="s">
        <v>29</v>
      </c>
      <c r="G68" s="17" t="s">
        <v>30</v>
      </c>
      <c r="H68" s="18">
        <f>ROUND(RAND()*4+6,1)</f>
      </c>
      <c r="I68" s="17" t="s">
        <v>31</v>
      </c>
      <c r="J68" s="19">
        <f>ROUND(65*1,0)&amp;"%"</f>
      </c>
    </row>
    <row x14ac:dyDescent="0.25" r="69" customHeight="1" ht="17.25">
      <c r="A69" s="20" t="s">
        <v>12285</v>
      </c>
      <c r="B69" s="20" t="s">
        <v>139</v>
      </c>
      <c r="C69" s="20" t="s">
        <v>133</v>
      </c>
      <c r="D69" s="20" t="s">
        <v>34</v>
      </c>
      <c r="E69" s="21">
        <f>ROUND(9416*1.05,2)</f>
      </c>
      <c r="F69" s="20" t="s">
        <v>35</v>
      </c>
      <c r="G69" s="20" t="s">
        <v>18</v>
      </c>
      <c r="H69" s="21">
        <f>ROUND(RAND()*4+6,1)</f>
      </c>
      <c r="I69" s="20" t="s">
        <v>36</v>
      </c>
      <c r="J69" s="23">
        <f>ROUND(84*1,0)&amp;"%"</f>
      </c>
    </row>
    <row x14ac:dyDescent="0.25" r="70" customHeight="1" ht="17.25">
      <c r="A70" s="17" t="s">
        <v>12286</v>
      </c>
      <c r="B70" s="17" t="s">
        <v>141</v>
      </c>
      <c r="C70" s="17" t="s">
        <v>133</v>
      </c>
      <c r="D70" s="17" t="s">
        <v>39</v>
      </c>
      <c r="E70" s="18">
        <f>ROUND(11256*1.05,2)</f>
      </c>
      <c r="F70" s="17" t="s">
        <v>40</v>
      </c>
      <c r="G70" s="17" t="s">
        <v>24</v>
      </c>
      <c r="H70" s="18">
        <f>ROUND(RAND()*4+6,1)</f>
      </c>
      <c r="I70" s="17" t="s">
        <v>41</v>
      </c>
      <c r="J70" s="19">
        <f>ROUND(80*1,0)&amp;"%"</f>
      </c>
    </row>
    <row x14ac:dyDescent="0.25" r="71" customHeight="1" ht="17.25">
      <c r="A71" s="20" t="s">
        <v>12287</v>
      </c>
      <c r="B71" s="20" t="s">
        <v>143</v>
      </c>
      <c r="C71" s="20" t="s">
        <v>133</v>
      </c>
      <c r="D71" s="20" t="s">
        <v>67</v>
      </c>
      <c r="E71" s="21">
        <f>ROUND(13157*1.05,2)</f>
      </c>
      <c r="F71" s="20" t="s">
        <v>44</v>
      </c>
      <c r="G71" s="20" t="s">
        <v>30</v>
      </c>
      <c r="H71" s="21">
        <f>ROUND(RAND()*4+6,1)</f>
      </c>
      <c r="I71" s="20" t="s">
        <v>45</v>
      </c>
      <c r="J71" s="23">
        <f>ROUND(66*1,0)&amp;"%"</f>
      </c>
    </row>
    <row x14ac:dyDescent="0.25" r="72" customHeight="1" ht="17.25">
      <c r="A72" s="17" t="s">
        <v>12288</v>
      </c>
      <c r="B72" s="17" t="s">
        <v>145</v>
      </c>
      <c r="C72" s="17" t="s">
        <v>133</v>
      </c>
      <c r="D72" s="17" t="s">
        <v>16</v>
      </c>
      <c r="E72" s="18">
        <f>ROUND(8241*1.05,2)</f>
      </c>
      <c r="F72" s="17" t="s">
        <v>48</v>
      </c>
      <c r="G72" s="17" t="s">
        <v>18</v>
      </c>
      <c r="H72" s="26">
        <f>ROUND(RAND()*4+6,1)</f>
      </c>
      <c r="I72" s="17" t="s">
        <v>19</v>
      </c>
      <c r="J72" s="19">
        <f>ROUND(70*1,0)&amp;"%"</f>
      </c>
    </row>
    <row x14ac:dyDescent="0.25" r="73" customHeight="1" ht="17.25">
      <c r="A73" s="20" t="s">
        <v>12289</v>
      </c>
      <c r="B73" s="20" t="s">
        <v>147</v>
      </c>
      <c r="C73" s="20" t="s">
        <v>133</v>
      </c>
      <c r="D73" s="20" t="s">
        <v>22</v>
      </c>
      <c r="E73" s="21">
        <f>ROUND(16769*1.05,2)</f>
      </c>
      <c r="F73" s="20" t="s">
        <v>51</v>
      </c>
      <c r="G73" s="20" t="s">
        <v>24</v>
      </c>
      <c r="H73" s="21">
        <f>ROUND(RAND()*4+6,1)</f>
      </c>
      <c r="I73" s="20" t="s">
        <v>25</v>
      </c>
      <c r="J73" s="23">
        <f>ROUND(96*1,0)&amp;"%"</f>
      </c>
    </row>
    <row x14ac:dyDescent="0.25" r="74" customHeight="1" ht="17.25">
      <c r="A74" s="24" t="s">
        <v>148</v>
      </c>
      <c r="B74" s="24"/>
      <c r="C74" s="24"/>
      <c r="D74" s="24"/>
      <c r="E74" s="25">
        <v>8</v>
      </c>
      <c r="F74" s="9"/>
      <c r="G74" s="9"/>
      <c r="H74" s="10"/>
      <c r="I74" s="9"/>
      <c r="J74" s="9"/>
    </row>
    <row x14ac:dyDescent="0.25" r="75" customHeight="1" ht="17.25">
      <c r="A75" s="7"/>
      <c r="B75" s="7"/>
      <c r="C75" s="7"/>
      <c r="D75" s="7"/>
      <c r="E75" s="8"/>
      <c r="F75" s="9"/>
      <c r="G75" s="9"/>
      <c r="H75" s="10"/>
      <c r="I75" s="9"/>
      <c r="J75" s="9"/>
    </row>
    <row x14ac:dyDescent="0.25" r="76" customHeight="1" ht="17.25">
      <c r="A76" s="11" t="s">
        <v>12290</v>
      </c>
      <c r="B76" s="11"/>
      <c r="C76" s="11"/>
      <c r="D76" s="11"/>
      <c r="E76" s="12"/>
      <c r="F76" s="11"/>
      <c r="G76" s="11"/>
      <c r="H76" s="13"/>
      <c r="I76" s="11"/>
      <c r="J76" s="11"/>
    </row>
    <row x14ac:dyDescent="0.25" r="77" customHeight="1" ht="17.25">
      <c r="A77" s="14" t="s">
        <v>3</v>
      </c>
      <c r="B77" s="14" t="s">
        <v>4</v>
      </c>
      <c r="C77" s="14" t="s">
        <v>5</v>
      </c>
      <c r="D77" s="14" t="s">
        <v>6</v>
      </c>
      <c r="E77" s="15" t="s">
        <v>7</v>
      </c>
      <c r="F77" s="14" t="s">
        <v>8</v>
      </c>
      <c r="G77" s="14" t="s">
        <v>9</v>
      </c>
      <c r="H77" s="16" t="s">
        <v>10</v>
      </c>
      <c r="I77" s="14" t="s">
        <v>11</v>
      </c>
      <c r="J77" s="14" t="s">
        <v>12</v>
      </c>
    </row>
    <row x14ac:dyDescent="0.25" r="78" customHeight="1" ht="17.25">
      <c r="A78" s="17" t="s">
        <v>12291</v>
      </c>
      <c r="B78" s="17" t="s">
        <v>151</v>
      </c>
      <c r="C78" s="17" t="s">
        <v>152</v>
      </c>
      <c r="D78" s="17" t="s">
        <v>16</v>
      </c>
      <c r="E78" s="18">
        <f>ROUND(6195*1.05,2)</f>
      </c>
      <c r="F78" s="17" t="s">
        <v>17</v>
      </c>
      <c r="G78" s="17" t="s">
        <v>18</v>
      </c>
      <c r="H78" s="26">
        <f>ROUND(RAND()*4+6,1)</f>
      </c>
      <c r="I78" s="17" t="s">
        <v>19</v>
      </c>
      <c r="J78" s="19">
        <f>ROUND(95*1,0)&amp;"%"</f>
      </c>
    </row>
    <row x14ac:dyDescent="0.25" r="79" customHeight="1" ht="17.25">
      <c r="A79" s="20" t="s">
        <v>12292</v>
      </c>
      <c r="B79" s="20" t="s">
        <v>154</v>
      </c>
      <c r="C79" s="20" t="s">
        <v>152</v>
      </c>
      <c r="D79" s="20" t="s">
        <v>22</v>
      </c>
      <c r="E79" s="21">
        <f>ROUND(12522*1.05,2)</f>
      </c>
      <c r="F79" s="20" t="s">
        <v>23</v>
      </c>
      <c r="G79" s="20" t="s">
        <v>24</v>
      </c>
      <c r="H79" s="21">
        <f>ROUND(RAND()*4+6,1)</f>
      </c>
      <c r="I79" s="20" t="s">
        <v>25</v>
      </c>
      <c r="J79" s="23">
        <f>ROUND(76*1,0)&amp;"%"</f>
      </c>
    </row>
    <row x14ac:dyDescent="0.25" r="80" customHeight="1" ht="17.25">
      <c r="A80" s="17" t="s">
        <v>12293</v>
      </c>
      <c r="B80" s="17" t="s">
        <v>156</v>
      </c>
      <c r="C80" s="17" t="s">
        <v>152</v>
      </c>
      <c r="D80" s="17" t="s">
        <v>28</v>
      </c>
      <c r="E80" s="18">
        <f>ROUND(15170*1.05,2)</f>
      </c>
      <c r="F80" s="17" t="s">
        <v>29</v>
      </c>
      <c r="G80" s="17" t="s">
        <v>30</v>
      </c>
      <c r="H80" s="18">
        <f>ROUND(RAND()*4+6,1)</f>
      </c>
      <c r="I80" s="17" t="s">
        <v>31</v>
      </c>
      <c r="J80" s="19">
        <f>ROUND(89*1,0)&amp;"%"</f>
      </c>
    </row>
    <row x14ac:dyDescent="0.25" r="81" customHeight="1" ht="17.25">
      <c r="A81" s="20" t="s">
        <v>12294</v>
      </c>
      <c r="B81" s="20" t="s">
        <v>158</v>
      </c>
      <c r="C81" s="20" t="s">
        <v>152</v>
      </c>
      <c r="D81" s="20" t="s">
        <v>34</v>
      </c>
      <c r="E81" s="21">
        <f>ROUND(6127*1.05,2)</f>
      </c>
      <c r="F81" s="20" t="s">
        <v>35</v>
      </c>
      <c r="G81" s="20" t="s">
        <v>18</v>
      </c>
      <c r="H81" s="21">
        <f>ROUND(RAND()*4+6,1)</f>
      </c>
      <c r="I81" s="20" t="s">
        <v>36</v>
      </c>
      <c r="J81" s="23">
        <f>ROUND(82*1,0)&amp;"%"</f>
      </c>
    </row>
    <row x14ac:dyDescent="0.25" r="82" customHeight="1" ht="17.25">
      <c r="A82" s="17" t="s">
        <v>12295</v>
      </c>
      <c r="B82" s="17" t="s">
        <v>160</v>
      </c>
      <c r="C82" s="17" t="s">
        <v>152</v>
      </c>
      <c r="D82" s="17" t="s">
        <v>39</v>
      </c>
      <c r="E82" s="18">
        <f>ROUND(7807*1.05,2)</f>
      </c>
      <c r="F82" s="17" t="s">
        <v>40</v>
      </c>
      <c r="G82" s="17" t="s">
        <v>24</v>
      </c>
      <c r="H82" s="18">
        <f>ROUND(RAND()*4+6,1)</f>
      </c>
      <c r="I82" s="17" t="s">
        <v>41</v>
      </c>
      <c r="J82" s="19">
        <f>ROUND(62*1,0)&amp;"%"</f>
      </c>
    </row>
    <row x14ac:dyDescent="0.25" r="83" customHeight="1" ht="17.25">
      <c r="A83" s="20" t="s">
        <v>12296</v>
      </c>
      <c r="B83" s="20" t="s">
        <v>162</v>
      </c>
      <c r="C83" s="20" t="s">
        <v>152</v>
      </c>
      <c r="D83" s="20" t="s">
        <v>67</v>
      </c>
      <c r="E83" s="21">
        <f>ROUND(6836*1.05,2)</f>
      </c>
      <c r="F83" s="20" t="s">
        <v>44</v>
      </c>
      <c r="G83" s="20" t="s">
        <v>30</v>
      </c>
      <c r="H83" s="21">
        <f>ROUND(RAND()*4+6,1)</f>
      </c>
      <c r="I83" s="20" t="s">
        <v>45</v>
      </c>
      <c r="J83" s="23">
        <f>ROUND(95*1,0)&amp;"%"</f>
      </c>
    </row>
    <row x14ac:dyDescent="0.25" r="84" customHeight="1" ht="17.25">
      <c r="A84" s="17" t="s">
        <v>12297</v>
      </c>
      <c r="B84" s="17" t="s">
        <v>164</v>
      </c>
      <c r="C84" s="17" t="s">
        <v>152</v>
      </c>
      <c r="D84" s="17" t="s">
        <v>16</v>
      </c>
      <c r="E84" s="18">
        <f>ROUND(9078*1.05,2)</f>
      </c>
      <c r="F84" s="17" t="s">
        <v>48</v>
      </c>
      <c r="G84" s="17" t="s">
        <v>18</v>
      </c>
      <c r="H84" s="26">
        <f>ROUND(RAND()*4+6,1)</f>
      </c>
      <c r="I84" s="17" t="s">
        <v>19</v>
      </c>
      <c r="J84" s="19">
        <f>ROUND(70*1,0)&amp;"%"</f>
      </c>
    </row>
    <row x14ac:dyDescent="0.25" r="85" customHeight="1" ht="17.25">
      <c r="A85" s="20" t="s">
        <v>12298</v>
      </c>
      <c r="B85" s="20" t="s">
        <v>166</v>
      </c>
      <c r="C85" s="20" t="s">
        <v>152</v>
      </c>
      <c r="D85" s="20" t="s">
        <v>22</v>
      </c>
      <c r="E85" s="21">
        <f>ROUND(17074*1.05,2)</f>
      </c>
      <c r="F85" s="20" t="s">
        <v>51</v>
      </c>
      <c r="G85" s="20" t="s">
        <v>24</v>
      </c>
      <c r="H85" s="21">
        <f>ROUND(RAND()*4+6,1)</f>
      </c>
      <c r="I85" s="20" t="s">
        <v>25</v>
      </c>
      <c r="J85" s="23">
        <f>ROUND(94*1,0)&amp;"%"</f>
      </c>
    </row>
    <row x14ac:dyDescent="0.25" r="86" customHeight="1" ht="17.25">
      <c r="A86" s="24" t="s">
        <v>167</v>
      </c>
      <c r="B86" s="24"/>
      <c r="C86" s="24"/>
      <c r="D86" s="24"/>
      <c r="E86" s="25">
        <v>8</v>
      </c>
      <c r="F86" s="9"/>
      <c r="G86" s="9"/>
      <c r="H86" s="10"/>
      <c r="I86" s="9"/>
      <c r="J86" s="9"/>
    </row>
    <row x14ac:dyDescent="0.25" r="87" customHeight="1" ht="17.25">
      <c r="A87" s="7"/>
      <c r="B87" s="7"/>
      <c r="C87" s="7"/>
      <c r="D87" s="7"/>
      <c r="E87" s="8"/>
      <c r="F87" s="9"/>
      <c r="G87" s="9"/>
      <c r="H87" s="10"/>
      <c r="I87" s="9"/>
      <c r="J87" s="9"/>
    </row>
    <row x14ac:dyDescent="0.25" r="88" customHeight="1" ht="17.25">
      <c r="A88" s="11" t="s">
        <v>12299</v>
      </c>
      <c r="B88" s="11"/>
      <c r="C88" s="11"/>
      <c r="D88" s="11"/>
      <c r="E88" s="12"/>
      <c r="F88" s="11"/>
      <c r="G88" s="11"/>
      <c r="H88" s="13"/>
      <c r="I88" s="11"/>
      <c r="J88" s="11"/>
    </row>
    <row x14ac:dyDescent="0.25" r="89" customHeight="1" ht="17.25">
      <c r="A89" s="14" t="s">
        <v>3</v>
      </c>
      <c r="B89" s="14" t="s">
        <v>4</v>
      </c>
      <c r="C89" s="14" t="s">
        <v>5</v>
      </c>
      <c r="D89" s="14" t="s">
        <v>6</v>
      </c>
      <c r="E89" s="15" t="s">
        <v>7</v>
      </c>
      <c r="F89" s="14" t="s">
        <v>8</v>
      </c>
      <c r="G89" s="14" t="s">
        <v>9</v>
      </c>
      <c r="H89" s="16" t="s">
        <v>10</v>
      </c>
      <c r="I89" s="14" t="s">
        <v>11</v>
      </c>
      <c r="J89" s="14" t="s">
        <v>12</v>
      </c>
    </row>
    <row x14ac:dyDescent="0.25" r="90" customHeight="1" ht="17.25">
      <c r="A90" s="17" t="s">
        <v>12300</v>
      </c>
      <c r="B90" s="17" t="s">
        <v>170</v>
      </c>
      <c r="C90" s="17" t="s">
        <v>15</v>
      </c>
      <c r="D90" s="17" t="s">
        <v>16</v>
      </c>
      <c r="E90" s="18">
        <f>ROUND(9813*1.05,2)</f>
      </c>
      <c r="F90" s="17" t="s">
        <v>17</v>
      </c>
      <c r="G90" s="17" t="s">
        <v>18</v>
      </c>
      <c r="H90" s="18">
        <f>ROUND(RAND()*4+6,1)</f>
      </c>
      <c r="I90" s="17" t="s">
        <v>19</v>
      </c>
      <c r="J90" s="19">
        <f>ROUND(66*1,0)&amp;"%"</f>
      </c>
    </row>
    <row x14ac:dyDescent="0.25" r="91" customHeight="1" ht="17.25">
      <c r="A91" s="20" t="s">
        <v>12301</v>
      </c>
      <c r="B91" s="20" t="s">
        <v>172</v>
      </c>
      <c r="C91" s="20" t="s">
        <v>15</v>
      </c>
      <c r="D91" s="20" t="s">
        <v>22</v>
      </c>
      <c r="E91" s="21">
        <f>ROUND(11667*1.05,2)</f>
      </c>
      <c r="F91" s="20" t="s">
        <v>23</v>
      </c>
      <c r="G91" s="20" t="s">
        <v>24</v>
      </c>
      <c r="H91" s="21">
        <f>ROUND(RAND()*4+6,1)</f>
      </c>
      <c r="I91" s="20" t="s">
        <v>25</v>
      </c>
      <c r="J91" s="23">
        <f>ROUND(69*1,0)&amp;"%"</f>
      </c>
    </row>
    <row x14ac:dyDescent="0.25" r="92" customHeight="1" ht="17.25">
      <c r="A92" s="17" t="s">
        <v>12302</v>
      </c>
      <c r="B92" s="17" t="s">
        <v>174</v>
      </c>
      <c r="C92" s="17" t="s">
        <v>15</v>
      </c>
      <c r="D92" s="17" t="s">
        <v>28</v>
      </c>
      <c r="E92" s="18">
        <f>ROUND(15828*1.05,2)</f>
      </c>
      <c r="F92" s="17" t="s">
        <v>29</v>
      </c>
      <c r="G92" s="17" t="s">
        <v>30</v>
      </c>
      <c r="H92" s="26">
        <f>ROUND(RAND()*4+6,1)</f>
      </c>
      <c r="I92" s="17" t="s">
        <v>31</v>
      </c>
      <c r="J92" s="19">
        <f>ROUND(92*1,0)&amp;"%"</f>
      </c>
    </row>
    <row x14ac:dyDescent="0.25" r="93" customHeight="1" ht="17.25">
      <c r="A93" s="20" t="s">
        <v>12303</v>
      </c>
      <c r="B93" s="20" t="s">
        <v>176</v>
      </c>
      <c r="C93" s="20" t="s">
        <v>15</v>
      </c>
      <c r="D93" s="20" t="s">
        <v>34</v>
      </c>
      <c r="E93" s="21">
        <f>ROUND(15143*1.05,2)</f>
      </c>
      <c r="F93" s="20" t="s">
        <v>35</v>
      </c>
      <c r="G93" s="20" t="s">
        <v>18</v>
      </c>
      <c r="H93" s="22">
        <f>ROUND(RAND()*4+6,1)</f>
      </c>
      <c r="I93" s="20" t="s">
        <v>36</v>
      </c>
      <c r="J93" s="23">
        <f>ROUND(63*1,0)&amp;"%"</f>
      </c>
    </row>
    <row x14ac:dyDescent="0.25" r="94" customHeight="1" ht="17.25">
      <c r="A94" s="17" t="s">
        <v>12304</v>
      </c>
      <c r="B94" s="17" t="s">
        <v>178</v>
      </c>
      <c r="C94" s="17" t="s">
        <v>15</v>
      </c>
      <c r="D94" s="17" t="s">
        <v>39</v>
      </c>
      <c r="E94" s="18">
        <f>ROUND(7375*1.05,2)</f>
      </c>
      <c r="F94" s="17" t="s">
        <v>40</v>
      </c>
      <c r="G94" s="17" t="s">
        <v>24</v>
      </c>
      <c r="H94" s="18">
        <f>ROUND(RAND()*4+6,1)</f>
      </c>
      <c r="I94" s="17" t="s">
        <v>41</v>
      </c>
      <c r="J94" s="19">
        <f>ROUND(85*1,0)&amp;"%"</f>
      </c>
    </row>
    <row x14ac:dyDescent="0.25" r="95" customHeight="1" ht="17.25">
      <c r="A95" s="20" t="s">
        <v>12305</v>
      </c>
      <c r="B95" s="20" t="s">
        <v>180</v>
      </c>
      <c r="C95" s="20" t="s">
        <v>15</v>
      </c>
      <c r="D95" s="20" t="s">
        <v>67</v>
      </c>
      <c r="E95" s="21">
        <f>ROUND(6146*1.05,2)</f>
      </c>
      <c r="F95" s="20" t="s">
        <v>44</v>
      </c>
      <c r="G95" s="20" t="s">
        <v>30</v>
      </c>
      <c r="H95" s="21">
        <f>ROUND(RAND()*4+6,1)</f>
      </c>
      <c r="I95" s="20" t="s">
        <v>45</v>
      </c>
      <c r="J95" s="23">
        <f>ROUND(65*1,0)&amp;"%"</f>
      </c>
    </row>
    <row x14ac:dyDescent="0.25" r="96" customHeight="1" ht="17.25">
      <c r="A96" s="17" t="s">
        <v>12306</v>
      </c>
      <c r="B96" s="17" t="s">
        <v>182</v>
      </c>
      <c r="C96" s="17" t="s">
        <v>15</v>
      </c>
      <c r="D96" s="17" t="s">
        <v>16</v>
      </c>
      <c r="E96" s="18">
        <f>ROUND(11730*1.05,2)</f>
      </c>
      <c r="F96" s="17" t="s">
        <v>48</v>
      </c>
      <c r="G96" s="17" t="s">
        <v>18</v>
      </c>
      <c r="H96" s="18">
        <f>ROUND(RAND()*4+6,1)</f>
      </c>
      <c r="I96" s="17" t="s">
        <v>19</v>
      </c>
      <c r="J96" s="19">
        <f>ROUND(88*1,0)&amp;"%"</f>
      </c>
    </row>
    <row x14ac:dyDescent="0.25" r="97" customHeight="1" ht="17.25">
      <c r="A97" s="20" t="s">
        <v>12307</v>
      </c>
      <c r="B97" s="20" t="s">
        <v>184</v>
      </c>
      <c r="C97" s="20" t="s">
        <v>15</v>
      </c>
      <c r="D97" s="20" t="s">
        <v>22</v>
      </c>
      <c r="E97" s="21">
        <f>ROUND(9133*1.05,2)</f>
      </c>
      <c r="F97" s="20" t="s">
        <v>51</v>
      </c>
      <c r="G97" s="20" t="s">
        <v>24</v>
      </c>
      <c r="H97" s="21">
        <f>ROUND(RAND()*4+6,1)</f>
      </c>
      <c r="I97" s="20" t="s">
        <v>25</v>
      </c>
      <c r="J97" s="23">
        <f>ROUND(61*1,0)&amp;"%"</f>
      </c>
    </row>
    <row x14ac:dyDescent="0.25" r="98" customHeight="1" ht="17.25">
      <c r="A98" s="24" t="s">
        <v>185</v>
      </c>
      <c r="B98" s="24"/>
      <c r="C98" s="24"/>
      <c r="D98" s="24"/>
      <c r="E98" s="25">
        <v>8</v>
      </c>
      <c r="F98" s="9"/>
      <c r="G98" s="9"/>
      <c r="H98" s="10"/>
      <c r="I98" s="9"/>
      <c r="J98" s="9"/>
    </row>
    <row x14ac:dyDescent="0.25" r="99" customHeight="1" ht="17.25">
      <c r="A99" s="7"/>
      <c r="B99" s="7"/>
      <c r="C99" s="7"/>
      <c r="D99" s="7"/>
      <c r="E99" s="8"/>
      <c r="F99" s="9"/>
      <c r="G99" s="9"/>
      <c r="H99" s="10"/>
      <c r="I99" s="9"/>
      <c r="J99" s="9"/>
    </row>
    <row x14ac:dyDescent="0.25" r="100" customHeight="1" ht="17.25">
      <c r="A100" s="11" t="s">
        <v>12308</v>
      </c>
      <c r="B100" s="11"/>
      <c r="C100" s="11"/>
      <c r="D100" s="11"/>
      <c r="E100" s="12"/>
      <c r="F100" s="11"/>
      <c r="G100" s="11"/>
      <c r="H100" s="13"/>
      <c r="I100" s="11"/>
      <c r="J100" s="11"/>
    </row>
    <row x14ac:dyDescent="0.25" r="101" customHeight="1" ht="17.25">
      <c r="A101" s="14" t="s">
        <v>3</v>
      </c>
      <c r="B101" s="14" t="s">
        <v>4</v>
      </c>
      <c r="C101" s="14" t="s">
        <v>5</v>
      </c>
      <c r="D101" s="14" t="s">
        <v>6</v>
      </c>
      <c r="E101" s="15" t="s">
        <v>7</v>
      </c>
      <c r="F101" s="14" t="s">
        <v>8</v>
      </c>
      <c r="G101" s="14" t="s">
        <v>9</v>
      </c>
      <c r="H101" s="16" t="s">
        <v>10</v>
      </c>
      <c r="I101" s="14" t="s">
        <v>11</v>
      </c>
      <c r="J101" s="14" t="s">
        <v>12</v>
      </c>
    </row>
    <row x14ac:dyDescent="0.25" r="102" customHeight="1" ht="17.25">
      <c r="A102" s="17" t="s">
        <v>12309</v>
      </c>
      <c r="B102" s="17" t="s">
        <v>188</v>
      </c>
      <c r="C102" s="17" t="s">
        <v>56</v>
      </c>
      <c r="D102" s="17" t="s">
        <v>16</v>
      </c>
      <c r="E102" s="18">
        <f>ROUND(15089*1.05,2)</f>
      </c>
      <c r="F102" s="17" t="s">
        <v>17</v>
      </c>
      <c r="G102" s="17" t="s">
        <v>18</v>
      </c>
      <c r="H102" s="18">
        <f>ROUND(RAND()*4+6,1)</f>
      </c>
      <c r="I102" s="17" t="s">
        <v>19</v>
      </c>
      <c r="J102" s="19">
        <f>ROUND(74*1,0)&amp;"%"</f>
      </c>
    </row>
    <row x14ac:dyDescent="0.25" r="103" customHeight="1" ht="17.25">
      <c r="A103" s="20" t="s">
        <v>12310</v>
      </c>
      <c r="B103" s="20" t="s">
        <v>190</v>
      </c>
      <c r="C103" s="20" t="s">
        <v>56</v>
      </c>
      <c r="D103" s="20" t="s">
        <v>22</v>
      </c>
      <c r="E103" s="21">
        <f>ROUND(8139*1.05,2)</f>
      </c>
      <c r="F103" s="20" t="s">
        <v>23</v>
      </c>
      <c r="G103" s="20" t="s">
        <v>24</v>
      </c>
      <c r="H103" s="22">
        <f>ROUND(RAND()*4+6,1)</f>
      </c>
      <c r="I103" s="20" t="s">
        <v>25</v>
      </c>
      <c r="J103" s="23">
        <f>ROUND(62*1,0)&amp;"%"</f>
      </c>
    </row>
    <row x14ac:dyDescent="0.25" r="104" customHeight="1" ht="17.25">
      <c r="A104" s="17" t="s">
        <v>12311</v>
      </c>
      <c r="B104" s="17" t="s">
        <v>192</v>
      </c>
      <c r="C104" s="17" t="s">
        <v>56</v>
      </c>
      <c r="D104" s="17" t="s">
        <v>28</v>
      </c>
      <c r="E104" s="18">
        <f>ROUND(14395*1.05,2)</f>
      </c>
      <c r="F104" s="17" t="s">
        <v>29</v>
      </c>
      <c r="G104" s="17" t="s">
        <v>30</v>
      </c>
      <c r="H104" s="18">
        <f>ROUND(RAND()*4+6,1)</f>
      </c>
      <c r="I104" s="17" t="s">
        <v>31</v>
      </c>
      <c r="J104" s="19">
        <f>ROUND(63*1,0)&amp;"%"</f>
      </c>
    </row>
    <row x14ac:dyDescent="0.25" r="105" customHeight="1" ht="17.25">
      <c r="A105" s="20" t="s">
        <v>12312</v>
      </c>
      <c r="B105" s="20" t="s">
        <v>194</v>
      </c>
      <c r="C105" s="20" t="s">
        <v>56</v>
      </c>
      <c r="D105" s="20" t="s">
        <v>34</v>
      </c>
      <c r="E105" s="21">
        <f>ROUND(13952*1.05,2)</f>
      </c>
      <c r="F105" s="20" t="s">
        <v>35</v>
      </c>
      <c r="G105" s="20" t="s">
        <v>18</v>
      </c>
      <c r="H105" s="22">
        <f>ROUND(RAND()*4+6,1)</f>
      </c>
      <c r="I105" s="20" t="s">
        <v>36</v>
      </c>
      <c r="J105" s="23">
        <f>ROUND(89*1,0)&amp;"%"</f>
      </c>
    </row>
    <row x14ac:dyDescent="0.25" r="106" customHeight="1" ht="17.25">
      <c r="A106" s="17" t="s">
        <v>12313</v>
      </c>
      <c r="B106" s="17" t="s">
        <v>196</v>
      </c>
      <c r="C106" s="17" t="s">
        <v>56</v>
      </c>
      <c r="D106" s="17" t="s">
        <v>39</v>
      </c>
      <c r="E106" s="18">
        <f>ROUND(11131*1.05,2)</f>
      </c>
      <c r="F106" s="17" t="s">
        <v>40</v>
      </c>
      <c r="G106" s="17" t="s">
        <v>24</v>
      </c>
      <c r="H106" s="26">
        <f>ROUND(RAND()*4+6,1)</f>
      </c>
      <c r="I106" s="17" t="s">
        <v>41</v>
      </c>
      <c r="J106" s="19">
        <f>ROUND(86*1,0)&amp;"%"</f>
      </c>
    </row>
    <row x14ac:dyDescent="0.25" r="107" customHeight="1" ht="17.25">
      <c r="A107" s="20" t="s">
        <v>12314</v>
      </c>
      <c r="B107" s="20" t="s">
        <v>198</v>
      </c>
      <c r="C107" s="20" t="s">
        <v>56</v>
      </c>
      <c r="D107" s="20" t="s">
        <v>67</v>
      </c>
      <c r="E107" s="21">
        <f>ROUND(8706*1.05,2)</f>
      </c>
      <c r="F107" s="20" t="s">
        <v>44</v>
      </c>
      <c r="G107" s="20" t="s">
        <v>30</v>
      </c>
      <c r="H107" s="21">
        <f>ROUND(RAND()*4+6,1)</f>
      </c>
      <c r="I107" s="20" t="s">
        <v>45</v>
      </c>
      <c r="J107" s="23">
        <f>ROUND(94*1,0)&amp;"%"</f>
      </c>
    </row>
    <row x14ac:dyDescent="0.25" r="108" customHeight="1" ht="17.25">
      <c r="A108" s="17" t="s">
        <v>12315</v>
      </c>
      <c r="B108" s="17" t="s">
        <v>200</v>
      </c>
      <c r="C108" s="17" t="s">
        <v>56</v>
      </c>
      <c r="D108" s="17" t="s">
        <v>16</v>
      </c>
      <c r="E108" s="18">
        <f>ROUND(4797*1.05,2)</f>
      </c>
      <c r="F108" s="17" t="s">
        <v>48</v>
      </c>
      <c r="G108" s="17" t="s">
        <v>18</v>
      </c>
      <c r="H108" s="18">
        <f>ROUND(RAND()*4+6,1)</f>
      </c>
      <c r="I108" s="17" t="s">
        <v>19</v>
      </c>
      <c r="J108" s="19">
        <f>ROUND(69*1,0)&amp;"%"</f>
      </c>
    </row>
    <row x14ac:dyDescent="0.25" r="109" customHeight="1" ht="17.25">
      <c r="A109" s="20" t="s">
        <v>12316</v>
      </c>
      <c r="B109" s="20" t="s">
        <v>202</v>
      </c>
      <c r="C109" s="20" t="s">
        <v>56</v>
      </c>
      <c r="D109" s="20" t="s">
        <v>22</v>
      </c>
      <c r="E109" s="21">
        <f>ROUND(11281*1.05,2)</f>
      </c>
      <c r="F109" s="20" t="s">
        <v>51</v>
      </c>
      <c r="G109" s="20" t="s">
        <v>24</v>
      </c>
      <c r="H109" s="21">
        <f>ROUND(RAND()*4+6,1)</f>
      </c>
      <c r="I109" s="20" t="s">
        <v>25</v>
      </c>
      <c r="J109" s="23">
        <f>ROUND(64*1,0)&amp;"%"</f>
      </c>
    </row>
    <row x14ac:dyDescent="0.25" r="110" customHeight="1" ht="17.25">
      <c r="A110" s="24" t="s">
        <v>203</v>
      </c>
      <c r="B110" s="24"/>
      <c r="C110" s="24"/>
      <c r="D110" s="24"/>
      <c r="E110" s="25">
        <v>8</v>
      </c>
      <c r="F110" s="9"/>
      <c r="G110" s="9"/>
      <c r="H110" s="10"/>
      <c r="I110" s="9"/>
      <c r="J110" s="9"/>
    </row>
    <row x14ac:dyDescent="0.25" r="111" customHeight="1" ht="17.25">
      <c r="A111" s="7"/>
      <c r="B111" s="7"/>
      <c r="C111" s="7"/>
      <c r="D111" s="7"/>
      <c r="E111" s="8"/>
      <c r="F111" s="9"/>
      <c r="G111" s="9"/>
      <c r="H111" s="10"/>
      <c r="I111" s="9"/>
      <c r="J111" s="9"/>
    </row>
    <row x14ac:dyDescent="0.25" r="112" customHeight="1" ht="17.25">
      <c r="A112" s="11" t="s">
        <v>12317</v>
      </c>
      <c r="B112" s="11"/>
      <c r="C112" s="11"/>
      <c r="D112" s="11"/>
      <c r="E112" s="12"/>
      <c r="F112" s="11"/>
      <c r="G112" s="11"/>
      <c r="H112" s="13"/>
      <c r="I112" s="11"/>
      <c r="J112" s="11"/>
    </row>
    <row x14ac:dyDescent="0.25" r="113" customHeight="1" ht="17.25">
      <c r="A113" s="14" t="s">
        <v>3</v>
      </c>
      <c r="B113" s="14" t="s">
        <v>4</v>
      </c>
      <c r="C113" s="14" t="s">
        <v>5</v>
      </c>
      <c r="D113" s="14" t="s">
        <v>6</v>
      </c>
      <c r="E113" s="15" t="s">
        <v>7</v>
      </c>
      <c r="F113" s="14" t="s">
        <v>8</v>
      </c>
      <c r="G113" s="14" t="s">
        <v>9</v>
      </c>
      <c r="H113" s="16" t="s">
        <v>10</v>
      </c>
      <c r="I113" s="14" t="s">
        <v>11</v>
      </c>
      <c r="J113" s="14" t="s">
        <v>12</v>
      </c>
    </row>
    <row x14ac:dyDescent="0.25" r="114" customHeight="1" ht="17.25">
      <c r="A114" s="17" t="s">
        <v>12318</v>
      </c>
      <c r="B114" s="17" t="s">
        <v>206</v>
      </c>
      <c r="C114" s="17" t="s">
        <v>76</v>
      </c>
      <c r="D114" s="17" t="s">
        <v>16</v>
      </c>
      <c r="E114" s="18">
        <f>ROUND(9703*1.05,2)</f>
      </c>
      <c r="F114" s="17" t="s">
        <v>17</v>
      </c>
      <c r="G114" s="17" t="s">
        <v>18</v>
      </c>
      <c r="H114" s="26">
        <f>ROUND(RAND()*4+6,1)</f>
      </c>
      <c r="I114" s="17" t="s">
        <v>19</v>
      </c>
      <c r="J114" s="19">
        <f>ROUND(77*1,0)&amp;"%"</f>
      </c>
    </row>
    <row x14ac:dyDescent="0.25" r="115" customHeight="1" ht="17.25">
      <c r="A115" s="20" t="s">
        <v>12319</v>
      </c>
      <c r="B115" s="20" t="s">
        <v>208</v>
      </c>
      <c r="C115" s="20" t="s">
        <v>76</v>
      </c>
      <c r="D115" s="20" t="s">
        <v>22</v>
      </c>
      <c r="E115" s="21">
        <f>ROUND(17715*1.05,2)</f>
      </c>
      <c r="F115" s="20" t="s">
        <v>23</v>
      </c>
      <c r="G115" s="20" t="s">
        <v>24</v>
      </c>
      <c r="H115" s="21">
        <f>ROUND(RAND()*4+6,1)</f>
      </c>
      <c r="I115" s="20" t="s">
        <v>25</v>
      </c>
      <c r="J115" s="23">
        <f>ROUND(69*1,0)&amp;"%"</f>
      </c>
    </row>
    <row x14ac:dyDescent="0.25" r="116" customHeight="1" ht="17.25">
      <c r="A116" s="17" t="s">
        <v>12320</v>
      </c>
      <c r="B116" s="17" t="s">
        <v>210</v>
      </c>
      <c r="C116" s="17" t="s">
        <v>76</v>
      </c>
      <c r="D116" s="17" t="s">
        <v>28</v>
      </c>
      <c r="E116" s="18">
        <f>ROUND(9402*1.05,2)</f>
      </c>
      <c r="F116" s="17" t="s">
        <v>29</v>
      </c>
      <c r="G116" s="17" t="s">
        <v>30</v>
      </c>
      <c r="H116" s="18">
        <f>ROUND(RAND()*4+6,1)</f>
      </c>
      <c r="I116" s="17" t="s">
        <v>31</v>
      </c>
      <c r="J116" s="19">
        <f>ROUND(83*1,0)&amp;"%"</f>
      </c>
    </row>
    <row x14ac:dyDescent="0.25" r="117" customHeight="1" ht="17.25">
      <c r="A117" s="20" t="s">
        <v>12321</v>
      </c>
      <c r="B117" s="20" t="s">
        <v>212</v>
      </c>
      <c r="C117" s="20" t="s">
        <v>76</v>
      </c>
      <c r="D117" s="20" t="s">
        <v>34</v>
      </c>
      <c r="E117" s="21">
        <f>ROUND(6083*1.05,2)</f>
      </c>
      <c r="F117" s="20" t="s">
        <v>35</v>
      </c>
      <c r="G117" s="20" t="s">
        <v>18</v>
      </c>
      <c r="H117" s="21">
        <f>ROUND(RAND()*4+6,1)</f>
      </c>
      <c r="I117" s="20" t="s">
        <v>36</v>
      </c>
      <c r="J117" s="23">
        <f>ROUND(80*1,0)&amp;"%"</f>
      </c>
    </row>
    <row x14ac:dyDescent="0.25" r="118" customHeight="1" ht="17.25">
      <c r="A118" s="17" t="s">
        <v>12322</v>
      </c>
      <c r="B118" s="17" t="s">
        <v>214</v>
      </c>
      <c r="C118" s="17" t="s">
        <v>76</v>
      </c>
      <c r="D118" s="17" t="s">
        <v>39</v>
      </c>
      <c r="E118" s="18">
        <f>ROUND(13653*1.05,2)</f>
      </c>
      <c r="F118" s="17" t="s">
        <v>40</v>
      </c>
      <c r="G118" s="17" t="s">
        <v>24</v>
      </c>
      <c r="H118" s="18">
        <f>ROUND(RAND()*4+6,1)</f>
      </c>
      <c r="I118" s="17" t="s">
        <v>41</v>
      </c>
      <c r="J118" s="19">
        <f>ROUND(72*1,0)&amp;"%"</f>
      </c>
    </row>
    <row x14ac:dyDescent="0.25" r="119" customHeight="1" ht="17.25">
      <c r="A119" s="20" t="s">
        <v>12323</v>
      </c>
      <c r="B119" s="20" t="s">
        <v>216</v>
      </c>
      <c r="C119" s="20" t="s">
        <v>76</v>
      </c>
      <c r="D119" s="20" t="s">
        <v>67</v>
      </c>
      <c r="E119" s="21">
        <f>ROUND(13497*1.05,2)</f>
      </c>
      <c r="F119" s="20" t="s">
        <v>44</v>
      </c>
      <c r="G119" s="20" t="s">
        <v>30</v>
      </c>
      <c r="H119" s="21">
        <f>ROUND(RAND()*4+6,1)</f>
      </c>
      <c r="I119" s="20" t="s">
        <v>45</v>
      </c>
      <c r="J119" s="23">
        <f>ROUND(74*1,0)&amp;"%"</f>
      </c>
    </row>
    <row x14ac:dyDescent="0.25" r="120" customHeight="1" ht="17.25">
      <c r="A120" s="17" t="s">
        <v>12324</v>
      </c>
      <c r="B120" s="17" t="s">
        <v>218</v>
      </c>
      <c r="C120" s="17" t="s">
        <v>76</v>
      </c>
      <c r="D120" s="17" t="s">
        <v>16</v>
      </c>
      <c r="E120" s="18">
        <f>ROUND(13695*1.05,2)</f>
      </c>
      <c r="F120" s="17" t="s">
        <v>48</v>
      </c>
      <c r="G120" s="17" t="s">
        <v>18</v>
      </c>
      <c r="H120" s="18">
        <f>ROUND(RAND()*4+6,1)</f>
      </c>
      <c r="I120" s="17" t="s">
        <v>19</v>
      </c>
      <c r="J120" s="19">
        <f>ROUND(79*1,0)&amp;"%"</f>
      </c>
    </row>
    <row x14ac:dyDescent="0.25" r="121" customHeight="1" ht="17.25">
      <c r="A121" s="20" t="s">
        <v>12325</v>
      </c>
      <c r="B121" s="20" t="s">
        <v>220</v>
      </c>
      <c r="C121" s="20" t="s">
        <v>76</v>
      </c>
      <c r="D121" s="20" t="s">
        <v>22</v>
      </c>
      <c r="E121" s="21">
        <f>ROUND(15754*1.05,2)</f>
      </c>
      <c r="F121" s="20" t="s">
        <v>51</v>
      </c>
      <c r="G121" s="20" t="s">
        <v>24</v>
      </c>
      <c r="H121" s="21">
        <f>ROUND(RAND()*4+6,1)</f>
      </c>
      <c r="I121" s="20" t="s">
        <v>25</v>
      </c>
      <c r="J121" s="23">
        <f>ROUND(75*1,0)&amp;"%"</f>
      </c>
    </row>
    <row x14ac:dyDescent="0.25" r="122" customHeight="1" ht="17.25">
      <c r="A122" s="24" t="s">
        <v>221</v>
      </c>
      <c r="B122" s="24"/>
      <c r="C122" s="24"/>
      <c r="D122" s="24"/>
      <c r="E122" s="25">
        <v>8</v>
      </c>
      <c r="F122" s="9"/>
      <c r="G122" s="9"/>
      <c r="H122" s="10"/>
      <c r="I122" s="9"/>
      <c r="J122" s="9"/>
    </row>
    <row x14ac:dyDescent="0.25" r="123" customHeight="1" ht="17.25">
      <c r="A123" s="7"/>
      <c r="B123" s="7"/>
      <c r="C123" s="7"/>
      <c r="D123" s="7"/>
      <c r="E123" s="8"/>
      <c r="F123" s="9"/>
      <c r="G123" s="9"/>
      <c r="H123" s="10"/>
      <c r="I123" s="9"/>
      <c r="J123" s="9"/>
    </row>
    <row x14ac:dyDescent="0.25" r="124" customHeight="1" ht="17.25">
      <c r="A124" s="11" t="s">
        <v>12326</v>
      </c>
      <c r="B124" s="11"/>
      <c r="C124" s="11"/>
      <c r="D124" s="11"/>
      <c r="E124" s="12"/>
      <c r="F124" s="11"/>
      <c r="G124" s="11"/>
      <c r="H124" s="13"/>
      <c r="I124" s="11"/>
      <c r="J124" s="11"/>
    </row>
    <row x14ac:dyDescent="0.25" r="125" customHeight="1" ht="17.25">
      <c r="A125" s="14" t="s">
        <v>3</v>
      </c>
      <c r="B125" s="14" t="s">
        <v>4</v>
      </c>
      <c r="C125" s="14" t="s">
        <v>5</v>
      </c>
      <c r="D125" s="14" t="s">
        <v>6</v>
      </c>
      <c r="E125" s="15" t="s">
        <v>7</v>
      </c>
      <c r="F125" s="14" t="s">
        <v>8</v>
      </c>
      <c r="G125" s="14" t="s">
        <v>9</v>
      </c>
      <c r="H125" s="16" t="s">
        <v>10</v>
      </c>
      <c r="I125" s="14" t="s">
        <v>11</v>
      </c>
      <c r="J125" s="14" t="s">
        <v>12</v>
      </c>
    </row>
    <row x14ac:dyDescent="0.25" r="126" customHeight="1" ht="17.25">
      <c r="A126" s="17" t="s">
        <v>12327</v>
      </c>
      <c r="B126" s="17" t="s">
        <v>224</v>
      </c>
      <c r="C126" s="17" t="s">
        <v>95</v>
      </c>
      <c r="D126" s="17" t="s">
        <v>16</v>
      </c>
      <c r="E126" s="18">
        <f>ROUND(15481*1.05,2)</f>
      </c>
      <c r="F126" s="17" t="s">
        <v>17</v>
      </c>
      <c r="G126" s="17" t="s">
        <v>18</v>
      </c>
      <c r="H126" s="18">
        <f>ROUND(RAND()*4+6,1)</f>
      </c>
      <c r="I126" s="17" t="s">
        <v>19</v>
      </c>
      <c r="J126" s="19">
        <f>ROUND(63*1,0)&amp;"%"</f>
      </c>
    </row>
    <row x14ac:dyDescent="0.25" r="127" customHeight="1" ht="17.25">
      <c r="A127" s="20" t="s">
        <v>12328</v>
      </c>
      <c r="B127" s="20" t="s">
        <v>226</v>
      </c>
      <c r="C127" s="20" t="s">
        <v>95</v>
      </c>
      <c r="D127" s="20" t="s">
        <v>22</v>
      </c>
      <c r="E127" s="21">
        <f>ROUND(10682*1.05,2)</f>
      </c>
      <c r="F127" s="20" t="s">
        <v>23</v>
      </c>
      <c r="G127" s="20" t="s">
        <v>24</v>
      </c>
      <c r="H127" s="21">
        <f>ROUND(RAND()*4+6,1)</f>
      </c>
      <c r="I127" s="20" t="s">
        <v>25</v>
      </c>
      <c r="J127" s="23">
        <f>ROUND(65*1,0)&amp;"%"</f>
      </c>
    </row>
    <row x14ac:dyDescent="0.25" r="128" customHeight="1" ht="17.25">
      <c r="A128" s="17" t="s">
        <v>12329</v>
      </c>
      <c r="B128" s="17" t="s">
        <v>228</v>
      </c>
      <c r="C128" s="17" t="s">
        <v>95</v>
      </c>
      <c r="D128" s="17" t="s">
        <v>28</v>
      </c>
      <c r="E128" s="18">
        <f>ROUND(12538*1.05,2)</f>
      </c>
      <c r="F128" s="17" t="s">
        <v>29</v>
      </c>
      <c r="G128" s="17" t="s">
        <v>30</v>
      </c>
      <c r="H128" s="18">
        <f>ROUND(RAND()*4+6,1)</f>
      </c>
      <c r="I128" s="17" t="s">
        <v>31</v>
      </c>
      <c r="J128" s="19">
        <f>ROUND(75*1,0)&amp;"%"</f>
      </c>
    </row>
    <row x14ac:dyDescent="0.25" r="129" customHeight="1" ht="17.25">
      <c r="A129" s="20" t="s">
        <v>12330</v>
      </c>
      <c r="B129" s="20" t="s">
        <v>230</v>
      </c>
      <c r="C129" s="20" t="s">
        <v>95</v>
      </c>
      <c r="D129" s="20" t="s">
        <v>34</v>
      </c>
      <c r="E129" s="21">
        <f>ROUND(13442*1.05,2)</f>
      </c>
      <c r="F129" s="20" t="s">
        <v>35</v>
      </c>
      <c r="G129" s="20" t="s">
        <v>18</v>
      </c>
      <c r="H129" s="21">
        <f>ROUND(RAND()*4+6,1)</f>
      </c>
      <c r="I129" s="20" t="s">
        <v>36</v>
      </c>
      <c r="J129" s="23">
        <f>ROUND(95*1,0)&amp;"%"</f>
      </c>
    </row>
    <row x14ac:dyDescent="0.25" r="130" customHeight="1" ht="17.25">
      <c r="A130" s="17" t="s">
        <v>12331</v>
      </c>
      <c r="B130" s="17" t="s">
        <v>232</v>
      </c>
      <c r="C130" s="17" t="s">
        <v>95</v>
      </c>
      <c r="D130" s="17" t="s">
        <v>39</v>
      </c>
      <c r="E130" s="18">
        <f>ROUND(8637*1.05,2)</f>
      </c>
      <c r="F130" s="17" t="s">
        <v>40</v>
      </c>
      <c r="G130" s="17" t="s">
        <v>24</v>
      </c>
      <c r="H130" s="26">
        <f>ROUND(RAND()*4+6,1)</f>
      </c>
      <c r="I130" s="17" t="s">
        <v>41</v>
      </c>
      <c r="J130" s="19">
        <f>ROUND(69*1,0)&amp;"%"</f>
      </c>
    </row>
    <row x14ac:dyDescent="0.25" r="131" customHeight="1" ht="17.25">
      <c r="A131" s="20" t="s">
        <v>12332</v>
      </c>
      <c r="B131" s="20" t="s">
        <v>234</v>
      </c>
      <c r="C131" s="20" t="s">
        <v>95</v>
      </c>
      <c r="D131" s="20" t="s">
        <v>67</v>
      </c>
      <c r="E131" s="21">
        <f>ROUND(10834*1.05,2)</f>
      </c>
      <c r="F131" s="20" t="s">
        <v>44</v>
      </c>
      <c r="G131" s="20" t="s">
        <v>30</v>
      </c>
      <c r="H131" s="21">
        <f>ROUND(RAND()*4+6,1)</f>
      </c>
      <c r="I131" s="20" t="s">
        <v>45</v>
      </c>
      <c r="J131" s="23">
        <f>ROUND(70*1,0)&amp;"%"</f>
      </c>
    </row>
    <row x14ac:dyDescent="0.25" r="132" customHeight="1" ht="17.25">
      <c r="A132" s="17" t="s">
        <v>12333</v>
      </c>
      <c r="B132" s="17" t="s">
        <v>236</v>
      </c>
      <c r="C132" s="17" t="s">
        <v>95</v>
      </c>
      <c r="D132" s="17" t="s">
        <v>16</v>
      </c>
      <c r="E132" s="18">
        <f>ROUND(6649*1.05,2)</f>
      </c>
      <c r="F132" s="17" t="s">
        <v>48</v>
      </c>
      <c r="G132" s="17" t="s">
        <v>18</v>
      </c>
      <c r="H132" s="18">
        <f>ROUND(RAND()*4+6,1)</f>
      </c>
      <c r="I132" s="17" t="s">
        <v>19</v>
      </c>
      <c r="J132" s="19">
        <f>ROUND(79*1,0)&amp;"%"</f>
      </c>
    </row>
    <row x14ac:dyDescent="0.25" r="133" customHeight="1" ht="17.25">
      <c r="A133" s="20" t="s">
        <v>12334</v>
      </c>
      <c r="B133" s="20" t="s">
        <v>238</v>
      </c>
      <c r="C133" s="20" t="s">
        <v>95</v>
      </c>
      <c r="D133" s="20" t="s">
        <v>22</v>
      </c>
      <c r="E133" s="21">
        <f>ROUND(9435*1.05,2)</f>
      </c>
      <c r="F133" s="20" t="s">
        <v>51</v>
      </c>
      <c r="G133" s="20" t="s">
        <v>24</v>
      </c>
      <c r="H133" s="21">
        <f>ROUND(RAND()*4+6,1)</f>
      </c>
      <c r="I133" s="20" t="s">
        <v>25</v>
      </c>
      <c r="J133" s="23">
        <f>ROUND(93*1,0)&amp;"%"</f>
      </c>
    </row>
    <row x14ac:dyDescent="0.25" r="134" customHeight="1" ht="17.25">
      <c r="A134" s="24" t="s">
        <v>239</v>
      </c>
      <c r="B134" s="24"/>
      <c r="C134" s="24"/>
      <c r="D134" s="24"/>
      <c r="E134" s="25">
        <v>8</v>
      </c>
      <c r="F134" s="9"/>
      <c r="G134" s="9"/>
      <c r="H134" s="10"/>
      <c r="I134" s="9"/>
      <c r="J134" s="9"/>
    </row>
    <row x14ac:dyDescent="0.25" r="135" customHeight="1" ht="17.25">
      <c r="A135" s="7"/>
      <c r="B135" s="7"/>
      <c r="C135" s="7"/>
      <c r="D135" s="7"/>
      <c r="E135" s="8"/>
      <c r="F135" s="9"/>
      <c r="G135" s="9"/>
      <c r="H135" s="10"/>
      <c r="I135" s="9"/>
      <c r="J135" s="9"/>
    </row>
    <row x14ac:dyDescent="0.25" r="136" customHeight="1" ht="17.25">
      <c r="A136" s="11" t="s">
        <v>12335</v>
      </c>
      <c r="B136" s="11"/>
      <c r="C136" s="11"/>
      <c r="D136" s="11"/>
      <c r="E136" s="12"/>
      <c r="F136" s="11"/>
      <c r="G136" s="11"/>
      <c r="H136" s="13"/>
      <c r="I136" s="11"/>
      <c r="J136" s="11"/>
    </row>
    <row x14ac:dyDescent="0.25" r="137" customHeight="1" ht="17.25">
      <c r="A137" s="14" t="s">
        <v>3</v>
      </c>
      <c r="B137" s="14" t="s">
        <v>4</v>
      </c>
      <c r="C137" s="14" t="s">
        <v>5</v>
      </c>
      <c r="D137" s="14" t="s">
        <v>6</v>
      </c>
      <c r="E137" s="15" t="s">
        <v>7</v>
      </c>
      <c r="F137" s="14" t="s">
        <v>8</v>
      </c>
      <c r="G137" s="14" t="s">
        <v>9</v>
      </c>
      <c r="H137" s="16" t="s">
        <v>10</v>
      </c>
      <c r="I137" s="14" t="s">
        <v>11</v>
      </c>
      <c r="J137" s="14" t="s">
        <v>12</v>
      </c>
    </row>
    <row x14ac:dyDescent="0.25" r="138" customHeight="1" ht="17.25">
      <c r="A138" s="17" t="s">
        <v>12336</v>
      </c>
      <c r="B138" s="17" t="s">
        <v>242</v>
      </c>
      <c r="C138" s="17" t="s">
        <v>114</v>
      </c>
      <c r="D138" s="17" t="s">
        <v>16</v>
      </c>
      <c r="E138" s="18">
        <f>ROUND(11293*1.05,2)</f>
      </c>
      <c r="F138" s="17" t="s">
        <v>17</v>
      </c>
      <c r="G138" s="17" t="s">
        <v>18</v>
      </c>
      <c r="H138" s="18">
        <f>ROUND(RAND()*4+6,1)</f>
      </c>
      <c r="I138" s="17" t="s">
        <v>19</v>
      </c>
      <c r="J138" s="19">
        <f>ROUND(93*1,0)&amp;"%"</f>
      </c>
    </row>
    <row x14ac:dyDescent="0.25" r="139" customHeight="1" ht="17.25">
      <c r="A139" s="20" t="s">
        <v>12337</v>
      </c>
      <c r="B139" s="20" t="s">
        <v>244</v>
      </c>
      <c r="C139" s="20" t="s">
        <v>114</v>
      </c>
      <c r="D139" s="20" t="s">
        <v>22</v>
      </c>
      <c r="E139" s="21">
        <f>ROUND(8797*1.05,2)</f>
      </c>
      <c r="F139" s="20" t="s">
        <v>23</v>
      </c>
      <c r="G139" s="20" t="s">
        <v>24</v>
      </c>
      <c r="H139" s="21">
        <f>ROUND(RAND()*4+6,1)</f>
      </c>
      <c r="I139" s="20" t="s">
        <v>25</v>
      </c>
      <c r="J139" s="23">
        <f>ROUND(65*1,0)&amp;"%"</f>
      </c>
    </row>
    <row x14ac:dyDescent="0.25" r="140" customHeight="1" ht="17.25">
      <c r="A140" s="17" t="s">
        <v>12338</v>
      </c>
      <c r="B140" s="17" t="s">
        <v>246</v>
      </c>
      <c r="C140" s="17" t="s">
        <v>114</v>
      </c>
      <c r="D140" s="17" t="s">
        <v>28</v>
      </c>
      <c r="E140" s="18">
        <f>ROUND(10839*1.05,2)</f>
      </c>
      <c r="F140" s="17" t="s">
        <v>29</v>
      </c>
      <c r="G140" s="17" t="s">
        <v>30</v>
      </c>
      <c r="H140" s="18">
        <f>ROUND(RAND()*4+6,1)</f>
      </c>
      <c r="I140" s="17" t="s">
        <v>31</v>
      </c>
      <c r="J140" s="19">
        <f>ROUND(88*1,0)&amp;"%"</f>
      </c>
    </row>
    <row x14ac:dyDescent="0.25" r="141" customHeight="1" ht="17.25">
      <c r="A141" s="20" t="s">
        <v>12339</v>
      </c>
      <c r="B141" s="20" t="s">
        <v>248</v>
      </c>
      <c r="C141" s="20" t="s">
        <v>114</v>
      </c>
      <c r="D141" s="20" t="s">
        <v>34</v>
      </c>
      <c r="E141" s="21">
        <f>ROUND(15965*1.05,2)</f>
      </c>
      <c r="F141" s="20" t="s">
        <v>35</v>
      </c>
      <c r="G141" s="20" t="s">
        <v>18</v>
      </c>
      <c r="H141" s="22">
        <f>ROUND(RAND()*4+6,1)</f>
      </c>
      <c r="I141" s="20" t="s">
        <v>36</v>
      </c>
      <c r="J141" s="23">
        <f>ROUND(82*1,0)&amp;"%"</f>
      </c>
    </row>
    <row x14ac:dyDescent="0.25" r="142" customHeight="1" ht="17.25">
      <c r="A142" s="17" t="s">
        <v>12340</v>
      </c>
      <c r="B142" s="17" t="s">
        <v>250</v>
      </c>
      <c r="C142" s="17" t="s">
        <v>114</v>
      </c>
      <c r="D142" s="17" t="s">
        <v>39</v>
      </c>
      <c r="E142" s="18">
        <f>ROUND(6339*1.05,2)</f>
      </c>
      <c r="F142" s="17" t="s">
        <v>40</v>
      </c>
      <c r="G142" s="17" t="s">
        <v>24</v>
      </c>
      <c r="H142" s="18">
        <f>ROUND(RAND()*4+6,1)</f>
      </c>
      <c r="I142" s="17" t="s">
        <v>41</v>
      </c>
      <c r="J142" s="19">
        <f>ROUND(100*1,0)&amp;"%"</f>
      </c>
    </row>
    <row x14ac:dyDescent="0.25" r="143" customHeight="1" ht="17.25">
      <c r="A143" s="20" t="s">
        <v>12341</v>
      </c>
      <c r="B143" s="20" t="s">
        <v>252</v>
      </c>
      <c r="C143" s="20" t="s">
        <v>114</v>
      </c>
      <c r="D143" s="20" t="s">
        <v>67</v>
      </c>
      <c r="E143" s="21">
        <f>ROUND(12059*1.05,2)</f>
      </c>
      <c r="F143" s="20" t="s">
        <v>44</v>
      </c>
      <c r="G143" s="20" t="s">
        <v>30</v>
      </c>
      <c r="H143" s="21">
        <f>ROUND(RAND()*4+6,1)</f>
      </c>
      <c r="I143" s="20" t="s">
        <v>45</v>
      </c>
      <c r="J143" s="23">
        <f>ROUND(78*1,0)&amp;"%"</f>
      </c>
    </row>
    <row x14ac:dyDescent="0.25" r="144" customHeight="1" ht="17.25">
      <c r="A144" s="17" t="s">
        <v>12342</v>
      </c>
      <c r="B144" s="17" t="s">
        <v>254</v>
      </c>
      <c r="C144" s="17" t="s">
        <v>114</v>
      </c>
      <c r="D144" s="17" t="s">
        <v>16</v>
      </c>
      <c r="E144" s="18">
        <f>ROUND(17321*1.05,2)</f>
      </c>
      <c r="F144" s="17" t="s">
        <v>48</v>
      </c>
      <c r="G144" s="17" t="s">
        <v>18</v>
      </c>
      <c r="H144" s="18">
        <f>ROUND(RAND()*4+6,1)</f>
      </c>
      <c r="I144" s="17" t="s">
        <v>19</v>
      </c>
      <c r="J144" s="19">
        <f>ROUND(91*1,0)&amp;"%"</f>
      </c>
    </row>
    <row x14ac:dyDescent="0.25" r="145" customHeight="1" ht="17.25">
      <c r="A145" s="20" t="s">
        <v>12343</v>
      </c>
      <c r="B145" s="20" t="s">
        <v>256</v>
      </c>
      <c r="C145" s="20" t="s">
        <v>114</v>
      </c>
      <c r="D145" s="20" t="s">
        <v>22</v>
      </c>
      <c r="E145" s="21">
        <f>ROUND(15759*1.05,2)</f>
      </c>
      <c r="F145" s="20" t="s">
        <v>51</v>
      </c>
      <c r="G145" s="20" t="s">
        <v>24</v>
      </c>
      <c r="H145" s="21">
        <f>ROUND(RAND()*4+6,1)</f>
      </c>
      <c r="I145" s="20" t="s">
        <v>25</v>
      </c>
      <c r="J145" s="23">
        <f>ROUND(83*1,0)&amp;"%"</f>
      </c>
    </row>
    <row x14ac:dyDescent="0.25" r="146" customHeight="1" ht="17.25">
      <c r="A146" s="24" t="s">
        <v>257</v>
      </c>
      <c r="B146" s="24"/>
      <c r="C146" s="24"/>
      <c r="D146" s="24"/>
      <c r="E146" s="25">
        <v>8</v>
      </c>
      <c r="F146" s="9"/>
      <c r="G146" s="9"/>
      <c r="H146" s="10"/>
      <c r="I146" s="9"/>
      <c r="J146" s="9"/>
    </row>
    <row x14ac:dyDescent="0.25" r="147" customHeight="1" ht="17.25">
      <c r="A147" s="7"/>
      <c r="B147" s="7"/>
      <c r="C147" s="7"/>
      <c r="D147" s="7"/>
      <c r="E147" s="8"/>
      <c r="F147" s="9"/>
      <c r="G147" s="9"/>
      <c r="H147" s="10"/>
      <c r="I147" s="9"/>
      <c r="J147" s="9"/>
    </row>
    <row x14ac:dyDescent="0.25" r="148" customHeight="1" ht="17.25">
      <c r="A148" s="11" t="s">
        <v>12344</v>
      </c>
      <c r="B148" s="11"/>
      <c r="C148" s="11"/>
      <c r="D148" s="11"/>
      <c r="E148" s="12"/>
      <c r="F148" s="11"/>
      <c r="G148" s="11"/>
      <c r="H148" s="13"/>
      <c r="I148" s="11"/>
      <c r="J148" s="11"/>
    </row>
    <row x14ac:dyDescent="0.25" r="149" customHeight="1" ht="17.25">
      <c r="A149" s="14" t="s">
        <v>3</v>
      </c>
      <c r="B149" s="14" t="s">
        <v>4</v>
      </c>
      <c r="C149" s="14" t="s">
        <v>5</v>
      </c>
      <c r="D149" s="14" t="s">
        <v>6</v>
      </c>
      <c r="E149" s="15" t="s">
        <v>7</v>
      </c>
      <c r="F149" s="14" t="s">
        <v>8</v>
      </c>
      <c r="G149" s="14" t="s">
        <v>9</v>
      </c>
      <c r="H149" s="16" t="s">
        <v>10</v>
      </c>
      <c r="I149" s="14" t="s">
        <v>11</v>
      </c>
      <c r="J149" s="14" t="s">
        <v>12</v>
      </c>
    </row>
    <row x14ac:dyDescent="0.25" r="150" customHeight="1" ht="17.25">
      <c r="A150" s="17" t="s">
        <v>12345</v>
      </c>
      <c r="B150" s="17" t="s">
        <v>260</v>
      </c>
      <c r="C150" s="17" t="s">
        <v>133</v>
      </c>
      <c r="D150" s="17" t="s">
        <v>16</v>
      </c>
      <c r="E150" s="18">
        <f>ROUND(17524*1.05,2)</f>
      </c>
      <c r="F150" s="17" t="s">
        <v>17</v>
      </c>
      <c r="G150" s="17" t="s">
        <v>18</v>
      </c>
      <c r="H150" s="18">
        <f>ROUND(RAND()*4+6,1)</f>
      </c>
      <c r="I150" s="17" t="s">
        <v>19</v>
      </c>
      <c r="J150" s="19">
        <f>ROUND(96*1,0)&amp;"%"</f>
      </c>
    </row>
    <row x14ac:dyDescent="0.25" r="151" customHeight="1" ht="17.25">
      <c r="A151" s="20" t="s">
        <v>12346</v>
      </c>
      <c r="B151" s="20" t="s">
        <v>262</v>
      </c>
      <c r="C151" s="20" t="s">
        <v>133</v>
      </c>
      <c r="D151" s="20" t="s">
        <v>22</v>
      </c>
      <c r="E151" s="21">
        <f>ROUND(12393*1.05,2)</f>
      </c>
      <c r="F151" s="20" t="s">
        <v>23</v>
      </c>
      <c r="G151" s="20" t="s">
        <v>24</v>
      </c>
      <c r="H151" s="21">
        <f>ROUND(RAND()*4+6,1)</f>
      </c>
      <c r="I151" s="20" t="s">
        <v>25</v>
      </c>
      <c r="J151" s="23">
        <f>ROUND(80*1,0)&amp;"%"</f>
      </c>
    </row>
    <row x14ac:dyDescent="0.25" r="152" customHeight="1" ht="17.25">
      <c r="A152" s="17" t="s">
        <v>12347</v>
      </c>
      <c r="B152" s="17" t="s">
        <v>264</v>
      </c>
      <c r="C152" s="17" t="s">
        <v>133</v>
      </c>
      <c r="D152" s="17" t="s">
        <v>28</v>
      </c>
      <c r="E152" s="18">
        <f>ROUND(7421*1.05,2)</f>
      </c>
      <c r="F152" s="17" t="s">
        <v>29</v>
      </c>
      <c r="G152" s="17" t="s">
        <v>30</v>
      </c>
      <c r="H152" s="18">
        <f>ROUND(RAND()*4+6,1)</f>
      </c>
      <c r="I152" s="17" t="s">
        <v>31</v>
      </c>
      <c r="J152" s="19">
        <f>ROUND(92*1,0)&amp;"%"</f>
      </c>
    </row>
    <row x14ac:dyDescent="0.25" r="153" customHeight="1" ht="17.25">
      <c r="A153" s="20" t="s">
        <v>12348</v>
      </c>
      <c r="B153" s="20" t="s">
        <v>266</v>
      </c>
      <c r="C153" s="20" t="s">
        <v>133</v>
      </c>
      <c r="D153" s="20" t="s">
        <v>34</v>
      </c>
      <c r="E153" s="21">
        <f>ROUND(8711*1.05,2)</f>
      </c>
      <c r="F153" s="20" t="s">
        <v>35</v>
      </c>
      <c r="G153" s="20" t="s">
        <v>18</v>
      </c>
      <c r="H153" s="21">
        <f>ROUND(RAND()*4+6,1)</f>
      </c>
      <c r="I153" s="20" t="s">
        <v>36</v>
      </c>
      <c r="J153" s="23">
        <f>ROUND(90*1,0)&amp;"%"</f>
      </c>
    </row>
    <row x14ac:dyDescent="0.25" r="154" customHeight="1" ht="17.25">
      <c r="A154" s="17" t="s">
        <v>12349</v>
      </c>
      <c r="B154" s="17" t="s">
        <v>268</v>
      </c>
      <c r="C154" s="17" t="s">
        <v>133</v>
      </c>
      <c r="D154" s="17" t="s">
        <v>39</v>
      </c>
      <c r="E154" s="18">
        <f>ROUND(12626*1.05,2)</f>
      </c>
      <c r="F154" s="17" t="s">
        <v>40</v>
      </c>
      <c r="G154" s="17" t="s">
        <v>24</v>
      </c>
      <c r="H154" s="18">
        <f>ROUND(RAND()*4+6,1)</f>
      </c>
      <c r="I154" s="17" t="s">
        <v>41</v>
      </c>
      <c r="J154" s="19">
        <f>ROUND(73*1,0)&amp;"%"</f>
      </c>
    </row>
    <row x14ac:dyDescent="0.25" r="155" customHeight="1" ht="17.25">
      <c r="A155" s="20" t="s">
        <v>12350</v>
      </c>
      <c r="B155" s="20" t="s">
        <v>270</v>
      </c>
      <c r="C155" s="20" t="s">
        <v>133</v>
      </c>
      <c r="D155" s="20" t="s">
        <v>67</v>
      </c>
      <c r="E155" s="21">
        <f>ROUND(4894*1.05,2)</f>
      </c>
      <c r="F155" s="20" t="s">
        <v>44</v>
      </c>
      <c r="G155" s="20" t="s">
        <v>30</v>
      </c>
      <c r="H155" s="21">
        <f>ROUND(RAND()*4+6,1)</f>
      </c>
      <c r="I155" s="20" t="s">
        <v>45</v>
      </c>
      <c r="J155" s="23">
        <f>ROUND(82*1,0)&amp;"%"</f>
      </c>
    </row>
    <row x14ac:dyDescent="0.25" r="156" customHeight="1" ht="17.25">
      <c r="A156" s="17" t="s">
        <v>12351</v>
      </c>
      <c r="B156" s="17" t="s">
        <v>272</v>
      </c>
      <c r="C156" s="17" t="s">
        <v>133</v>
      </c>
      <c r="D156" s="17" t="s">
        <v>16</v>
      </c>
      <c r="E156" s="18">
        <f>ROUND(15689*1.05,2)</f>
      </c>
      <c r="F156" s="17" t="s">
        <v>48</v>
      </c>
      <c r="G156" s="17" t="s">
        <v>18</v>
      </c>
      <c r="H156" s="18">
        <f>ROUND(RAND()*4+6,1)</f>
      </c>
      <c r="I156" s="17" t="s">
        <v>19</v>
      </c>
      <c r="J156" s="19">
        <f>ROUND(70*1,0)&amp;"%"</f>
      </c>
    </row>
    <row x14ac:dyDescent="0.25" r="157" customHeight="1" ht="17.25">
      <c r="A157" s="20" t="s">
        <v>12352</v>
      </c>
      <c r="B157" s="20" t="s">
        <v>274</v>
      </c>
      <c r="C157" s="20" t="s">
        <v>133</v>
      </c>
      <c r="D157" s="20" t="s">
        <v>22</v>
      </c>
      <c r="E157" s="21">
        <f>ROUND(12046*1.05,2)</f>
      </c>
      <c r="F157" s="20" t="s">
        <v>51</v>
      </c>
      <c r="G157" s="20" t="s">
        <v>24</v>
      </c>
      <c r="H157" s="21">
        <f>ROUND(RAND()*4+6,1)</f>
      </c>
      <c r="I157" s="20" t="s">
        <v>25</v>
      </c>
      <c r="J157" s="23">
        <f>ROUND(73*1,0)&amp;"%"</f>
      </c>
    </row>
    <row x14ac:dyDescent="0.25" r="158" customHeight="1" ht="17.25">
      <c r="A158" s="24" t="s">
        <v>275</v>
      </c>
      <c r="B158" s="24"/>
      <c r="C158" s="24"/>
      <c r="D158" s="24"/>
      <c r="E158" s="25">
        <v>8</v>
      </c>
      <c r="F158" s="9"/>
      <c r="G158" s="9"/>
      <c r="H158" s="10"/>
      <c r="I158" s="9"/>
      <c r="J158" s="9"/>
    </row>
    <row x14ac:dyDescent="0.25" r="159" customHeight="1" ht="17.25">
      <c r="A159" s="7"/>
      <c r="B159" s="7"/>
      <c r="C159" s="7"/>
      <c r="D159" s="7"/>
      <c r="E159" s="8"/>
      <c r="F159" s="9"/>
      <c r="G159" s="9"/>
      <c r="H159" s="10"/>
      <c r="I159" s="9"/>
      <c r="J159" s="9"/>
    </row>
    <row x14ac:dyDescent="0.25" r="160" customHeight="1" ht="17.25">
      <c r="A160" s="11" t="s">
        <v>12353</v>
      </c>
      <c r="B160" s="11"/>
      <c r="C160" s="11"/>
      <c r="D160" s="11"/>
      <c r="E160" s="12"/>
      <c r="F160" s="11"/>
      <c r="G160" s="11"/>
      <c r="H160" s="13"/>
      <c r="I160" s="11"/>
      <c r="J160" s="11"/>
    </row>
    <row x14ac:dyDescent="0.25" r="161" customHeight="1" ht="17.25">
      <c r="A161" s="14" t="s">
        <v>3</v>
      </c>
      <c r="B161" s="14" t="s">
        <v>4</v>
      </c>
      <c r="C161" s="14" t="s">
        <v>5</v>
      </c>
      <c r="D161" s="14" t="s">
        <v>6</v>
      </c>
      <c r="E161" s="15" t="s">
        <v>7</v>
      </c>
      <c r="F161" s="14" t="s">
        <v>8</v>
      </c>
      <c r="G161" s="14" t="s">
        <v>9</v>
      </c>
      <c r="H161" s="16" t="s">
        <v>10</v>
      </c>
      <c r="I161" s="14" t="s">
        <v>11</v>
      </c>
      <c r="J161" s="14" t="s">
        <v>12</v>
      </c>
    </row>
    <row x14ac:dyDescent="0.25" r="162" customHeight="1" ht="17.25">
      <c r="A162" s="17" t="s">
        <v>12354</v>
      </c>
      <c r="B162" s="17" t="s">
        <v>278</v>
      </c>
      <c r="C162" s="17" t="s">
        <v>152</v>
      </c>
      <c r="D162" s="17" t="s">
        <v>16</v>
      </c>
      <c r="E162" s="18">
        <f>ROUND(7858*1.05,2)</f>
      </c>
      <c r="F162" s="17" t="s">
        <v>17</v>
      </c>
      <c r="G162" s="17" t="s">
        <v>18</v>
      </c>
      <c r="H162" s="18">
        <f>ROUND(RAND()*4+6,1)</f>
      </c>
      <c r="I162" s="17" t="s">
        <v>19</v>
      </c>
      <c r="J162" s="19">
        <f>ROUND(97*1,0)&amp;"%"</f>
      </c>
    </row>
    <row x14ac:dyDescent="0.25" r="163" customHeight="1" ht="17.25">
      <c r="A163" s="20" t="s">
        <v>12355</v>
      </c>
      <c r="B163" s="20" t="s">
        <v>280</v>
      </c>
      <c r="C163" s="20" t="s">
        <v>152</v>
      </c>
      <c r="D163" s="20" t="s">
        <v>22</v>
      </c>
      <c r="E163" s="21">
        <f>ROUND(14749*1.05,2)</f>
      </c>
      <c r="F163" s="20" t="s">
        <v>23</v>
      </c>
      <c r="G163" s="20" t="s">
        <v>24</v>
      </c>
      <c r="H163" s="21">
        <f>ROUND(RAND()*4+6,1)</f>
      </c>
      <c r="I163" s="20" t="s">
        <v>25</v>
      </c>
      <c r="J163" s="23">
        <f>ROUND(77*1,0)&amp;"%"</f>
      </c>
    </row>
    <row x14ac:dyDescent="0.25" r="164" customHeight="1" ht="17.25">
      <c r="A164" s="17" t="s">
        <v>12356</v>
      </c>
      <c r="B164" s="17" t="s">
        <v>282</v>
      </c>
      <c r="C164" s="17" t="s">
        <v>152</v>
      </c>
      <c r="D164" s="17" t="s">
        <v>28</v>
      </c>
      <c r="E164" s="18">
        <f>ROUND(6188*1.05,2)</f>
      </c>
      <c r="F164" s="17" t="s">
        <v>29</v>
      </c>
      <c r="G164" s="17" t="s">
        <v>30</v>
      </c>
      <c r="H164" s="18">
        <f>ROUND(RAND()*4+6,1)</f>
      </c>
      <c r="I164" s="17" t="s">
        <v>31</v>
      </c>
      <c r="J164" s="19">
        <f>ROUND(75*1,0)&amp;"%"</f>
      </c>
    </row>
    <row x14ac:dyDescent="0.25" r="165" customHeight="1" ht="17.25">
      <c r="A165" s="20" t="s">
        <v>12357</v>
      </c>
      <c r="B165" s="20" t="s">
        <v>284</v>
      </c>
      <c r="C165" s="20" t="s">
        <v>152</v>
      </c>
      <c r="D165" s="20" t="s">
        <v>34</v>
      </c>
      <c r="E165" s="21">
        <f>ROUND(7819*1.05,2)</f>
      </c>
      <c r="F165" s="20" t="s">
        <v>35</v>
      </c>
      <c r="G165" s="20" t="s">
        <v>18</v>
      </c>
      <c r="H165" s="21">
        <f>ROUND(RAND()*4+6,1)</f>
      </c>
      <c r="I165" s="20" t="s">
        <v>36</v>
      </c>
      <c r="J165" s="23">
        <f>ROUND(69*1,0)&amp;"%"</f>
      </c>
    </row>
    <row x14ac:dyDescent="0.25" r="166" customHeight="1" ht="17.25">
      <c r="A166" s="17" t="s">
        <v>12358</v>
      </c>
      <c r="B166" s="17" t="s">
        <v>286</v>
      </c>
      <c r="C166" s="17" t="s">
        <v>152</v>
      </c>
      <c r="D166" s="17" t="s">
        <v>39</v>
      </c>
      <c r="E166" s="18">
        <f>ROUND(8074*1.05,2)</f>
      </c>
      <c r="F166" s="17" t="s">
        <v>40</v>
      </c>
      <c r="G166" s="17" t="s">
        <v>24</v>
      </c>
      <c r="H166" s="18">
        <f>ROUND(RAND()*4+6,1)</f>
      </c>
      <c r="I166" s="17" t="s">
        <v>41</v>
      </c>
      <c r="J166" s="19">
        <f>ROUND(96*1,0)&amp;"%"</f>
      </c>
    </row>
    <row x14ac:dyDescent="0.25" r="167" customHeight="1" ht="17.25">
      <c r="A167" s="20" t="s">
        <v>12359</v>
      </c>
      <c r="B167" s="20" t="s">
        <v>288</v>
      </c>
      <c r="C167" s="20" t="s">
        <v>152</v>
      </c>
      <c r="D167" s="20" t="s">
        <v>67</v>
      </c>
      <c r="E167" s="21">
        <f>ROUND(10052*1.05,2)</f>
      </c>
      <c r="F167" s="20" t="s">
        <v>44</v>
      </c>
      <c r="G167" s="20" t="s">
        <v>30</v>
      </c>
      <c r="H167" s="21">
        <f>ROUND(RAND()*4+6,1)</f>
      </c>
      <c r="I167" s="20" t="s">
        <v>45</v>
      </c>
      <c r="J167" s="23">
        <f>ROUND(91*1,0)&amp;"%"</f>
      </c>
    </row>
    <row x14ac:dyDescent="0.25" r="168" customHeight="1" ht="17.25">
      <c r="A168" s="17" t="s">
        <v>12360</v>
      </c>
      <c r="B168" s="17" t="s">
        <v>290</v>
      </c>
      <c r="C168" s="17" t="s">
        <v>152</v>
      </c>
      <c r="D168" s="17" t="s">
        <v>16</v>
      </c>
      <c r="E168" s="18">
        <f>ROUND(12222*1.05,2)</f>
      </c>
      <c r="F168" s="17" t="s">
        <v>48</v>
      </c>
      <c r="G168" s="17" t="s">
        <v>18</v>
      </c>
      <c r="H168" s="18">
        <f>ROUND(RAND()*4+6,1)</f>
      </c>
      <c r="I168" s="17" t="s">
        <v>19</v>
      </c>
      <c r="J168" s="19">
        <f>ROUND(67*1,0)&amp;"%"</f>
      </c>
    </row>
    <row x14ac:dyDescent="0.25" r="169" customHeight="1" ht="17.25">
      <c r="A169" s="20" t="s">
        <v>12361</v>
      </c>
      <c r="B169" s="20" t="s">
        <v>292</v>
      </c>
      <c r="C169" s="20" t="s">
        <v>152</v>
      </c>
      <c r="D169" s="20" t="s">
        <v>22</v>
      </c>
      <c r="E169" s="21">
        <f>ROUND(10181*1.05,2)</f>
      </c>
      <c r="F169" s="20" t="s">
        <v>51</v>
      </c>
      <c r="G169" s="20" t="s">
        <v>24</v>
      </c>
      <c r="H169" s="21">
        <f>ROUND(RAND()*4+6,1)</f>
      </c>
      <c r="I169" s="20" t="s">
        <v>25</v>
      </c>
      <c r="J169" s="23">
        <f>ROUND(91*1,0)&amp;"%"</f>
      </c>
    </row>
    <row x14ac:dyDescent="0.25" r="170" customHeight="1" ht="17.25">
      <c r="A170" s="24" t="s">
        <v>293</v>
      </c>
      <c r="B170" s="24"/>
      <c r="C170" s="24"/>
      <c r="D170" s="24"/>
      <c r="E170" s="25">
        <v>8</v>
      </c>
      <c r="F170" s="9"/>
      <c r="G170" s="9"/>
      <c r="H170" s="10"/>
      <c r="I170" s="9"/>
      <c r="J170" s="9"/>
    </row>
    <row x14ac:dyDescent="0.25" r="171" customHeight="1" ht="17.25">
      <c r="A171" s="7"/>
      <c r="B171" s="7"/>
      <c r="C171" s="7"/>
      <c r="D171" s="7"/>
      <c r="E171" s="8"/>
      <c r="F171" s="9"/>
      <c r="G171" s="9"/>
      <c r="H171" s="10"/>
      <c r="I171" s="9"/>
      <c r="J171" s="9"/>
    </row>
    <row x14ac:dyDescent="0.25" r="172" customHeight="1" ht="17.25">
      <c r="A172" s="11" t="s">
        <v>12362</v>
      </c>
      <c r="B172" s="11"/>
      <c r="C172" s="11"/>
      <c r="D172" s="11"/>
      <c r="E172" s="12"/>
      <c r="F172" s="11"/>
      <c r="G172" s="11"/>
      <c r="H172" s="13"/>
      <c r="I172" s="11"/>
      <c r="J172" s="11"/>
    </row>
    <row x14ac:dyDescent="0.25" r="173" customHeight="1" ht="17.25">
      <c r="A173" s="14" t="s">
        <v>3</v>
      </c>
      <c r="B173" s="14" t="s">
        <v>4</v>
      </c>
      <c r="C173" s="14" t="s">
        <v>5</v>
      </c>
      <c r="D173" s="14" t="s">
        <v>6</v>
      </c>
      <c r="E173" s="15" t="s">
        <v>7</v>
      </c>
      <c r="F173" s="14" t="s">
        <v>8</v>
      </c>
      <c r="G173" s="14" t="s">
        <v>9</v>
      </c>
      <c r="H173" s="16" t="s">
        <v>10</v>
      </c>
      <c r="I173" s="14" t="s">
        <v>11</v>
      </c>
      <c r="J173" s="14" t="s">
        <v>12</v>
      </c>
    </row>
    <row x14ac:dyDescent="0.25" r="174" customHeight="1" ht="17.25">
      <c r="A174" s="17" t="s">
        <v>12363</v>
      </c>
      <c r="B174" s="17" t="s">
        <v>296</v>
      </c>
      <c r="C174" s="17" t="s">
        <v>15</v>
      </c>
      <c r="D174" s="17" t="s">
        <v>16</v>
      </c>
      <c r="E174" s="18">
        <f>ROUND(13824*1.05,2)</f>
      </c>
      <c r="F174" s="17" t="s">
        <v>17</v>
      </c>
      <c r="G174" s="17" t="s">
        <v>18</v>
      </c>
      <c r="H174" s="18">
        <f>ROUND(RAND()*4+6,1)</f>
      </c>
      <c r="I174" s="17" t="s">
        <v>19</v>
      </c>
      <c r="J174" s="19">
        <f>ROUND(89*1,0)&amp;"%"</f>
      </c>
    </row>
    <row x14ac:dyDescent="0.25" r="175" customHeight="1" ht="17.25">
      <c r="A175" s="20" t="s">
        <v>12364</v>
      </c>
      <c r="B175" s="20" t="s">
        <v>298</v>
      </c>
      <c r="C175" s="20" t="s">
        <v>15</v>
      </c>
      <c r="D175" s="20" t="s">
        <v>22</v>
      </c>
      <c r="E175" s="21">
        <f>ROUND(11146*1.05,2)</f>
      </c>
      <c r="F175" s="20" t="s">
        <v>23</v>
      </c>
      <c r="G175" s="20" t="s">
        <v>24</v>
      </c>
      <c r="H175" s="21">
        <f>ROUND(RAND()*4+6,1)</f>
      </c>
      <c r="I175" s="20" t="s">
        <v>25</v>
      </c>
      <c r="J175" s="23">
        <f>ROUND(85*1,0)&amp;"%"</f>
      </c>
    </row>
    <row x14ac:dyDescent="0.25" r="176" customHeight="1" ht="17.25">
      <c r="A176" s="17" t="s">
        <v>12365</v>
      </c>
      <c r="B176" s="17" t="s">
        <v>300</v>
      </c>
      <c r="C176" s="17" t="s">
        <v>15</v>
      </c>
      <c r="D176" s="17" t="s">
        <v>28</v>
      </c>
      <c r="E176" s="18">
        <f>ROUND(5193*1.05,2)</f>
      </c>
      <c r="F176" s="17" t="s">
        <v>29</v>
      </c>
      <c r="G176" s="17" t="s">
        <v>30</v>
      </c>
      <c r="H176" s="18">
        <f>ROUND(RAND()*4+6,1)</f>
      </c>
      <c r="I176" s="17" t="s">
        <v>31</v>
      </c>
      <c r="J176" s="19">
        <f>ROUND(97*1,0)&amp;"%"</f>
      </c>
    </row>
    <row x14ac:dyDescent="0.25" r="177" customHeight="1" ht="17.25">
      <c r="A177" s="20" t="s">
        <v>12366</v>
      </c>
      <c r="B177" s="20" t="s">
        <v>302</v>
      </c>
      <c r="C177" s="20" t="s">
        <v>15</v>
      </c>
      <c r="D177" s="20" t="s">
        <v>34</v>
      </c>
      <c r="E177" s="21">
        <f>ROUND(17168*1.05,2)</f>
      </c>
      <c r="F177" s="20" t="s">
        <v>35</v>
      </c>
      <c r="G177" s="20" t="s">
        <v>18</v>
      </c>
      <c r="H177" s="21">
        <f>ROUND(RAND()*4+6,1)</f>
      </c>
      <c r="I177" s="20" t="s">
        <v>36</v>
      </c>
      <c r="J177" s="23">
        <f>ROUND(97*1,0)&amp;"%"</f>
      </c>
    </row>
    <row x14ac:dyDescent="0.25" r="178" customHeight="1" ht="17.25">
      <c r="A178" s="17" t="s">
        <v>12367</v>
      </c>
      <c r="B178" s="17" t="s">
        <v>304</v>
      </c>
      <c r="C178" s="17" t="s">
        <v>15</v>
      </c>
      <c r="D178" s="17" t="s">
        <v>39</v>
      </c>
      <c r="E178" s="18">
        <f>ROUND(16248*1.05,2)</f>
      </c>
      <c r="F178" s="17" t="s">
        <v>40</v>
      </c>
      <c r="G178" s="17" t="s">
        <v>24</v>
      </c>
      <c r="H178" s="18">
        <f>ROUND(RAND()*4+6,1)</f>
      </c>
      <c r="I178" s="17" t="s">
        <v>41</v>
      </c>
      <c r="J178" s="19">
        <f>ROUND(72*1,0)&amp;"%"</f>
      </c>
    </row>
    <row x14ac:dyDescent="0.25" r="179" customHeight="1" ht="17.25">
      <c r="A179" s="20" t="s">
        <v>12368</v>
      </c>
      <c r="B179" s="20" t="s">
        <v>306</v>
      </c>
      <c r="C179" s="20" t="s">
        <v>15</v>
      </c>
      <c r="D179" s="20" t="s">
        <v>67</v>
      </c>
      <c r="E179" s="21">
        <f>ROUND(13008*1.05,2)</f>
      </c>
      <c r="F179" s="20" t="s">
        <v>44</v>
      </c>
      <c r="G179" s="20" t="s">
        <v>30</v>
      </c>
      <c r="H179" s="22">
        <f>ROUND(RAND()*4+6,1)</f>
      </c>
      <c r="I179" s="20" t="s">
        <v>45</v>
      </c>
      <c r="J179" s="23">
        <f>ROUND(68*1,0)&amp;"%"</f>
      </c>
    </row>
    <row x14ac:dyDescent="0.25" r="180" customHeight="1" ht="17.25">
      <c r="A180" s="17" t="s">
        <v>12369</v>
      </c>
      <c r="B180" s="17" t="s">
        <v>308</v>
      </c>
      <c r="C180" s="17" t="s">
        <v>15</v>
      </c>
      <c r="D180" s="17" t="s">
        <v>16</v>
      </c>
      <c r="E180" s="18">
        <f>ROUND(9362*1.05,2)</f>
      </c>
      <c r="F180" s="17" t="s">
        <v>48</v>
      </c>
      <c r="G180" s="17" t="s">
        <v>18</v>
      </c>
      <c r="H180" s="18">
        <f>ROUND(RAND()*4+6,1)</f>
      </c>
      <c r="I180" s="17" t="s">
        <v>19</v>
      </c>
      <c r="J180" s="19">
        <f>ROUND(91*1,0)&amp;"%"</f>
      </c>
    </row>
    <row x14ac:dyDescent="0.25" r="181" customHeight="1" ht="17.25">
      <c r="A181" s="20" t="s">
        <v>12370</v>
      </c>
      <c r="B181" s="20" t="s">
        <v>310</v>
      </c>
      <c r="C181" s="20" t="s">
        <v>15</v>
      </c>
      <c r="D181" s="20" t="s">
        <v>22</v>
      </c>
      <c r="E181" s="21">
        <f>ROUND(11082*1.05,2)</f>
      </c>
      <c r="F181" s="20" t="s">
        <v>51</v>
      </c>
      <c r="G181" s="20" t="s">
        <v>24</v>
      </c>
      <c r="H181" s="21">
        <f>ROUND(RAND()*4+6,1)</f>
      </c>
      <c r="I181" s="20" t="s">
        <v>25</v>
      </c>
      <c r="J181" s="23">
        <f>ROUND(62*1,0)&amp;"%"</f>
      </c>
    </row>
    <row x14ac:dyDescent="0.25" r="182" customHeight="1" ht="17.25">
      <c r="A182" s="24" t="s">
        <v>311</v>
      </c>
      <c r="B182" s="24"/>
      <c r="C182" s="24"/>
      <c r="D182" s="24"/>
      <c r="E182" s="25">
        <v>8</v>
      </c>
      <c r="F182" s="9"/>
      <c r="G182" s="9"/>
      <c r="H182" s="10"/>
      <c r="I182" s="9"/>
      <c r="J182" s="9"/>
    </row>
    <row x14ac:dyDescent="0.25" r="183" customHeight="1" ht="17.25">
      <c r="A183" s="7"/>
      <c r="B183" s="7"/>
      <c r="C183" s="7"/>
      <c r="D183" s="7"/>
      <c r="E183" s="8"/>
      <c r="F183" s="9"/>
      <c r="G183" s="9"/>
      <c r="H183" s="10"/>
      <c r="I183" s="9"/>
      <c r="J183" s="9"/>
    </row>
    <row x14ac:dyDescent="0.25" r="184" customHeight="1" ht="17.25">
      <c r="A184" s="11" t="s">
        <v>12371</v>
      </c>
      <c r="B184" s="11"/>
      <c r="C184" s="11"/>
      <c r="D184" s="11"/>
      <c r="E184" s="12"/>
      <c r="F184" s="11"/>
      <c r="G184" s="11"/>
      <c r="H184" s="13"/>
      <c r="I184" s="11"/>
      <c r="J184" s="11"/>
    </row>
    <row x14ac:dyDescent="0.25" r="185" customHeight="1" ht="17.25">
      <c r="A185" s="14" t="s">
        <v>3</v>
      </c>
      <c r="B185" s="14" t="s">
        <v>4</v>
      </c>
      <c r="C185" s="14" t="s">
        <v>5</v>
      </c>
      <c r="D185" s="14" t="s">
        <v>6</v>
      </c>
      <c r="E185" s="15" t="s">
        <v>7</v>
      </c>
      <c r="F185" s="14" t="s">
        <v>8</v>
      </c>
      <c r="G185" s="14" t="s">
        <v>9</v>
      </c>
      <c r="H185" s="16" t="s">
        <v>10</v>
      </c>
      <c r="I185" s="14" t="s">
        <v>11</v>
      </c>
      <c r="J185" s="14" t="s">
        <v>12</v>
      </c>
    </row>
    <row x14ac:dyDescent="0.25" r="186" customHeight="1" ht="17.25">
      <c r="A186" s="17" t="s">
        <v>12372</v>
      </c>
      <c r="B186" s="17" t="s">
        <v>314</v>
      </c>
      <c r="C186" s="17" t="s">
        <v>56</v>
      </c>
      <c r="D186" s="17" t="s">
        <v>16</v>
      </c>
      <c r="E186" s="18">
        <f>ROUND(7203*1.05,2)</f>
      </c>
      <c r="F186" s="17" t="s">
        <v>17</v>
      </c>
      <c r="G186" s="17" t="s">
        <v>18</v>
      </c>
      <c r="H186" s="18">
        <f>ROUND(RAND()*4+6,1)</f>
      </c>
      <c r="I186" s="17" t="s">
        <v>19</v>
      </c>
      <c r="J186" s="19">
        <f>ROUND(96*1,0)&amp;"%"</f>
      </c>
    </row>
    <row x14ac:dyDescent="0.25" r="187" customHeight="1" ht="17.25">
      <c r="A187" s="20" t="s">
        <v>12373</v>
      </c>
      <c r="B187" s="20" t="s">
        <v>316</v>
      </c>
      <c r="C187" s="20" t="s">
        <v>56</v>
      </c>
      <c r="D187" s="20" t="s">
        <v>22</v>
      </c>
      <c r="E187" s="21">
        <f>ROUND(7848*1.05,2)</f>
      </c>
      <c r="F187" s="20" t="s">
        <v>23</v>
      </c>
      <c r="G187" s="20" t="s">
        <v>24</v>
      </c>
      <c r="H187" s="21">
        <f>ROUND(RAND()*4+6,1)</f>
      </c>
      <c r="I187" s="20" t="s">
        <v>25</v>
      </c>
      <c r="J187" s="23">
        <f>ROUND(77*1,0)&amp;"%"</f>
      </c>
    </row>
    <row x14ac:dyDescent="0.25" r="188" customHeight="1" ht="17.25">
      <c r="A188" s="17" t="s">
        <v>12374</v>
      </c>
      <c r="B188" s="17" t="s">
        <v>318</v>
      </c>
      <c r="C188" s="17" t="s">
        <v>56</v>
      </c>
      <c r="D188" s="17" t="s">
        <v>28</v>
      </c>
      <c r="E188" s="18">
        <f>ROUND(5344*1.05,2)</f>
      </c>
      <c r="F188" s="17" t="s">
        <v>29</v>
      </c>
      <c r="G188" s="17" t="s">
        <v>30</v>
      </c>
      <c r="H188" s="18">
        <f>ROUND(RAND()*4+6,1)</f>
      </c>
      <c r="I188" s="17" t="s">
        <v>31</v>
      </c>
      <c r="J188" s="19">
        <f>ROUND(61*1,0)&amp;"%"</f>
      </c>
    </row>
    <row x14ac:dyDescent="0.25" r="189" customHeight="1" ht="17.25">
      <c r="A189" s="20" t="s">
        <v>12375</v>
      </c>
      <c r="B189" s="20" t="s">
        <v>320</v>
      </c>
      <c r="C189" s="20" t="s">
        <v>56</v>
      </c>
      <c r="D189" s="20" t="s">
        <v>34</v>
      </c>
      <c r="E189" s="22">
        <f>ROUND(7880*1.05,2)</f>
      </c>
      <c r="F189" s="20" t="s">
        <v>35</v>
      </c>
      <c r="G189" s="20" t="s">
        <v>18</v>
      </c>
      <c r="H189" s="21">
        <f>ROUND(RAND()*4+6,1)</f>
      </c>
      <c r="I189" s="20" t="s">
        <v>36</v>
      </c>
      <c r="J189" s="23">
        <f>ROUND(89*1,0)&amp;"%"</f>
      </c>
    </row>
    <row x14ac:dyDescent="0.25" r="190" customHeight="1" ht="17.25">
      <c r="A190" s="17" t="s">
        <v>12376</v>
      </c>
      <c r="B190" s="17" t="s">
        <v>322</v>
      </c>
      <c r="C190" s="17" t="s">
        <v>56</v>
      </c>
      <c r="D190" s="17" t="s">
        <v>39</v>
      </c>
      <c r="E190" s="18">
        <f>ROUND(12429*1.05,2)</f>
      </c>
      <c r="F190" s="17" t="s">
        <v>40</v>
      </c>
      <c r="G190" s="17" t="s">
        <v>24</v>
      </c>
      <c r="H190" s="18">
        <f>ROUND(RAND()*4+6,1)</f>
      </c>
      <c r="I190" s="17" t="s">
        <v>41</v>
      </c>
      <c r="J190" s="19">
        <f>ROUND(77*1,0)&amp;"%"</f>
      </c>
    </row>
    <row x14ac:dyDescent="0.25" r="191" customHeight="1" ht="17.25">
      <c r="A191" s="20" t="s">
        <v>12377</v>
      </c>
      <c r="B191" s="20" t="s">
        <v>324</v>
      </c>
      <c r="C191" s="20" t="s">
        <v>56</v>
      </c>
      <c r="D191" s="20" t="s">
        <v>67</v>
      </c>
      <c r="E191" s="21">
        <f>ROUND(17594*1.05,2)</f>
      </c>
      <c r="F191" s="20" t="s">
        <v>44</v>
      </c>
      <c r="G191" s="20" t="s">
        <v>30</v>
      </c>
      <c r="H191" s="21">
        <f>ROUND(RAND()*4+6,1)</f>
      </c>
      <c r="I191" s="20" t="s">
        <v>45</v>
      </c>
      <c r="J191" s="23">
        <f>ROUND(60*1,0)&amp;"%"</f>
      </c>
    </row>
    <row x14ac:dyDescent="0.25" r="192" customHeight="1" ht="17.25">
      <c r="A192" s="17" t="s">
        <v>12378</v>
      </c>
      <c r="B192" s="17" t="s">
        <v>326</v>
      </c>
      <c r="C192" s="17" t="s">
        <v>56</v>
      </c>
      <c r="D192" s="17" t="s">
        <v>16</v>
      </c>
      <c r="E192" s="18">
        <f>ROUND(11809*1.05,2)</f>
      </c>
      <c r="F192" s="17" t="s">
        <v>48</v>
      </c>
      <c r="G192" s="17" t="s">
        <v>18</v>
      </c>
      <c r="H192" s="18">
        <f>ROUND(RAND()*4+6,1)</f>
      </c>
      <c r="I192" s="17" t="s">
        <v>19</v>
      </c>
      <c r="J192" s="19">
        <f>ROUND(67*1,0)&amp;"%"</f>
      </c>
    </row>
    <row x14ac:dyDescent="0.25" r="193" customHeight="1" ht="17.25">
      <c r="A193" s="20" t="s">
        <v>12379</v>
      </c>
      <c r="B193" s="20" t="s">
        <v>328</v>
      </c>
      <c r="C193" s="20" t="s">
        <v>56</v>
      </c>
      <c r="D193" s="20" t="s">
        <v>22</v>
      </c>
      <c r="E193" s="21">
        <f>ROUND(9453*1.05,2)</f>
      </c>
      <c r="F193" s="20" t="s">
        <v>51</v>
      </c>
      <c r="G193" s="20" t="s">
        <v>24</v>
      </c>
      <c r="H193" s="21">
        <f>ROUND(RAND()*4+6,1)</f>
      </c>
      <c r="I193" s="20" t="s">
        <v>25</v>
      </c>
      <c r="J193" s="23">
        <f>ROUND(87*1,0)&amp;"%"</f>
      </c>
    </row>
    <row x14ac:dyDescent="0.25" r="194" customHeight="1" ht="17.25">
      <c r="A194" s="24" t="s">
        <v>329</v>
      </c>
      <c r="B194" s="24"/>
      <c r="C194" s="24"/>
      <c r="D194" s="24"/>
      <c r="E194" s="25">
        <v>8</v>
      </c>
      <c r="F194" s="9"/>
      <c r="G194" s="9"/>
      <c r="H194" s="10"/>
      <c r="I194" s="9"/>
      <c r="J194" s="9"/>
    </row>
    <row x14ac:dyDescent="0.25" r="195" customHeight="1" ht="17.25">
      <c r="A195" s="7"/>
      <c r="B195" s="7"/>
      <c r="C195" s="7"/>
      <c r="D195" s="7"/>
      <c r="E195" s="8"/>
      <c r="F195" s="9"/>
      <c r="G195" s="9"/>
      <c r="H195" s="10"/>
      <c r="I195" s="9"/>
      <c r="J195" s="9"/>
    </row>
    <row x14ac:dyDescent="0.25" r="196" customHeight="1" ht="17.25">
      <c r="A196" s="11" t="s">
        <v>12380</v>
      </c>
      <c r="B196" s="11"/>
      <c r="C196" s="11"/>
      <c r="D196" s="11"/>
      <c r="E196" s="12"/>
      <c r="F196" s="11"/>
      <c r="G196" s="11"/>
      <c r="H196" s="13"/>
      <c r="I196" s="11"/>
      <c r="J196" s="11"/>
    </row>
    <row x14ac:dyDescent="0.25" r="197" customHeight="1" ht="17.25">
      <c r="A197" s="14" t="s">
        <v>3</v>
      </c>
      <c r="B197" s="14" t="s">
        <v>4</v>
      </c>
      <c r="C197" s="14" t="s">
        <v>5</v>
      </c>
      <c r="D197" s="14" t="s">
        <v>6</v>
      </c>
      <c r="E197" s="15" t="s">
        <v>7</v>
      </c>
      <c r="F197" s="14" t="s">
        <v>8</v>
      </c>
      <c r="G197" s="14" t="s">
        <v>9</v>
      </c>
      <c r="H197" s="16" t="s">
        <v>10</v>
      </c>
      <c r="I197" s="14" t="s">
        <v>11</v>
      </c>
      <c r="J197" s="14" t="s">
        <v>12</v>
      </c>
    </row>
    <row x14ac:dyDescent="0.25" r="198" customHeight="1" ht="17.25">
      <c r="A198" s="17" t="s">
        <v>12381</v>
      </c>
      <c r="B198" s="17" t="s">
        <v>332</v>
      </c>
      <c r="C198" s="17" t="s">
        <v>76</v>
      </c>
      <c r="D198" s="17" t="s">
        <v>16</v>
      </c>
      <c r="E198" s="18">
        <f>ROUND(8451*1.05,2)</f>
      </c>
      <c r="F198" s="17" t="s">
        <v>17</v>
      </c>
      <c r="G198" s="17" t="s">
        <v>18</v>
      </c>
      <c r="H198" s="18">
        <f>ROUND(RAND()*4+6,1)</f>
      </c>
      <c r="I198" s="17" t="s">
        <v>19</v>
      </c>
      <c r="J198" s="19">
        <f>ROUND(66*1,0)&amp;"%"</f>
      </c>
    </row>
    <row x14ac:dyDescent="0.25" r="199" customHeight="1" ht="17.25">
      <c r="A199" s="20" t="s">
        <v>12382</v>
      </c>
      <c r="B199" s="20" t="s">
        <v>334</v>
      </c>
      <c r="C199" s="20" t="s">
        <v>76</v>
      </c>
      <c r="D199" s="20" t="s">
        <v>22</v>
      </c>
      <c r="E199" s="21">
        <f>ROUND(9833*1.05,2)</f>
      </c>
      <c r="F199" s="20" t="s">
        <v>23</v>
      </c>
      <c r="G199" s="20" t="s">
        <v>24</v>
      </c>
      <c r="H199" s="21">
        <f>ROUND(RAND()*4+6,1)</f>
      </c>
      <c r="I199" s="20" t="s">
        <v>25</v>
      </c>
      <c r="J199" s="23">
        <f>ROUND(65*1,0)&amp;"%"</f>
      </c>
    </row>
    <row x14ac:dyDescent="0.25" r="200" customHeight="1" ht="17.25">
      <c r="A200" s="17" t="s">
        <v>12383</v>
      </c>
      <c r="B200" s="17" t="s">
        <v>336</v>
      </c>
      <c r="C200" s="17" t="s">
        <v>76</v>
      </c>
      <c r="D200" s="17" t="s">
        <v>28</v>
      </c>
      <c r="E200" s="18">
        <f>ROUND(15779*1.05,2)</f>
      </c>
      <c r="F200" s="17" t="s">
        <v>29</v>
      </c>
      <c r="G200" s="17" t="s">
        <v>30</v>
      </c>
      <c r="H200" s="18">
        <f>ROUND(RAND()*4+6,1)</f>
      </c>
      <c r="I200" s="17" t="s">
        <v>31</v>
      </c>
      <c r="J200" s="19">
        <f>ROUND(99*1,0)&amp;"%"</f>
      </c>
    </row>
    <row x14ac:dyDescent="0.25" r="201" customHeight="1" ht="17.25">
      <c r="A201" s="20" t="s">
        <v>12384</v>
      </c>
      <c r="B201" s="20" t="s">
        <v>338</v>
      </c>
      <c r="C201" s="20" t="s">
        <v>76</v>
      </c>
      <c r="D201" s="20" t="s">
        <v>34</v>
      </c>
      <c r="E201" s="21">
        <f>ROUND(13051*1.05,2)</f>
      </c>
      <c r="F201" s="20" t="s">
        <v>35</v>
      </c>
      <c r="G201" s="20" t="s">
        <v>18</v>
      </c>
      <c r="H201" s="21">
        <f>ROUND(RAND()*4+6,1)</f>
      </c>
      <c r="I201" s="20" t="s">
        <v>36</v>
      </c>
      <c r="J201" s="23">
        <f>ROUND(95*1,0)&amp;"%"</f>
      </c>
    </row>
    <row x14ac:dyDescent="0.25" r="202" customHeight="1" ht="17.25">
      <c r="A202" s="17" t="s">
        <v>12385</v>
      </c>
      <c r="B202" s="17" t="s">
        <v>340</v>
      </c>
      <c r="C202" s="17" t="s">
        <v>76</v>
      </c>
      <c r="D202" s="17" t="s">
        <v>39</v>
      </c>
      <c r="E202" s="18">
        <f>ROUND(15767*1.05,2)</f>
      </c>
      <c r="F202" s="17" t="s">
        <v>40</v>
      </c>
      <c r="G202" s="17" t="s">
        <v>24</v>
      </c>
      <c r="H202" s="18">
        <f>ROUND(RAND()*4+6,1)</f>
      </c>
      <c r="I202" s="17" t="s">
        <v>41</v>
      </c>
      <c r="J202" s="19">
        <f>ROUND(82*1,0)&amp;"%"</f>
      </c>
    </row>
    <row x14ac:dyDescent="0.25" r="203" customHeight="1" ht="17.25">
      <c r="A203" s="20" t="s">
        <v>12386</v>
      </c>
      <c r="B203" s="20" t="s">
        <v>342</v>
      </c>
      <c r="C203" s="20" t="s">
        <v>76</v>
      </c>
      <c r="D203" s="20" t="s">
        <v>67</v>
      </c>
      <c r="E203" s="21">
        <f>ROUND(11513*1.05,2)</f>
      </c>
      <c r="F203" s="20" t="s">
        <v>44</v>
      </c>
      <c r="G203" s="20" t="s">
        <v>30</v>
      </c>
      <c r="H203" s="21">
        <f>ROUND(RAND()*4+6,1)</f>
      </c>
      <c r="I203" s="20" t="s">
        <v>45</v>
      </c>
      <c r="J203" s="23">
        <f>ROUND(67*1,0)&amp;"%"</f>
      </c>
    </row>
    <row x14ac:dyDescent="0.25" r="204" customHeight="1" ht="17.25">
      <c r="A204" s="17" t="s">
        <v>12387</v>
      </c>
      <c r="B204" s="17" t="s">
        <v>344</v>
      </c>
      <c r="C204" s="17" t="s">
        <v>76</v>
      </c>
      <c r="D204" s="17" t="s">
        <v>16</v>
      </c>
      <c r="E204" s="26">
        <f>ROUND(4140*1.05,2)</f>
      </c>
      <c r="F204" s="17" t="s">
        <v>48</v>
      </c>
      <c r="G204" s="17" t="s">
        <v>18</v>
      </c>
      <c r="H204" s="18">
        <f>ROUND(RAND()*4+6,1)</f>
      </c>
      <c r="I204" s="17" t="s">
        <v>19</v>
      </c>
      <c r="J204" s="19">
        <f>ROUND(85*1,0)&amp;"%"</f>
      </c>
    </row>
    <row x14ac:dyDescent="0.25" r="205" customHeight="1" ht="17.25">
      <c r="A205" s="20" t="s">
        <v>12388</v>
      </c>
      <c r="B205" s="20" t="s">
        <v>346</v>
      </c>
      <c r="C205" s="20" t="s">
        <v>76</v>
      </c>
      <c r="D205" s="20" t="s">
        <v>22</v>
      </c>
      <c r="E205" s="21">
        <f>ROUND(12656*1.05,2)</f>
      </c>
      <c r="F205" s="20" t="s">
        <v>51</v>
      </c>
      <c r="G205" s="20" t="s">
        <v>24</v>
      </c>
      <c r="H205" s="21">
        <f>ROUND(RAND()*4+6,1)</f>
      </c>
      <c r="I205" s="20" t="s">
        <v>25</v>
      </c>
      <c r="J205" s="23">
        <f>ROUND(100*1,0)&amp;"%"</f>
      </c>
    </row>
    <row x14ac:dyDescent="0.25" r="206" customHeight="1" ht="17.25">
      <c r="A206" s="24" t="s">
        <v>347</v>
      </c>
      <c r="B206" s="24"/>
      <c r="C206" s="24"/>
      <c r="D206" s="24"/>
      <c r="E206" s="25">
        <v>8</v>
      </c>
      <c r="F206" s="9"/>
      <c r="G206" s="9"/>
      <c r="H206" s="10"/>
      <c r="I206" s="9"/>
      <c r="J206" s="9"/>
    </row>
    <row x14ac:dyDescent="0.25" r="207" customHeight="1" ht="17.25">
      <c r="A207" s="7"/>
      <c r="B207" s="7"/>
      <c r="C207" s="7"/>
      <c r="D207" s="7"/>
      <c r="E207" s="8"/>
      <c r="F207" s="9"/>
      <c r="G207" s="9"/>
      <c r="H207" s="10"/>
      <c r="I207" s="9"/>
      <c r="J207" s="9"/>
    </row>
    <row x14ac:dyDescent="0.25" r="208" customHeight="1" ht="17.25">
      <c r="A208" s="11" t="s">
        <v>12389</v>
      </c>
      <c r="B208" s="11"/>
      <c r="C208" s="11"/>
      <c r="D208" s="11"/>
      <c r="E208" s="12"/>
      <c r="F208" s="11"/>
      <c r="G208" s="11"/>
      <c r="H208" s="13"/>
      <c r="I208" s="11"/>
      <c r="J208" s="11"/>
    </row>
    <row x14ac:dyDescent="0.25" r="209" customHeight="1" ht="17.25">
      <c r="A209" s="14" t="s">
        <v>3</v>
      </c>
      <c r="B209" s="14" t="s">
        <v>4</v>
      </c>
      <c r="C209" s="14" t="s">
        <v>5</v>
      </c>
      <c r="D209" s="14" t="s">
        <v>6</v>
      </c>
      <c r="E209" s="15" t="s">
        <v>7</v>
      </c>
      <c r="F209" s="14" t="s">
        <v>8</v>
      </c>
      <c r="G209" s="14" t="s">
        <v>9</v>
      </c>
      <c r="H209" s="16" t="s">
        <v>10</v>
      </c>
      <c r="I209" s="14" t="s">
        <v>11</v>
      </c>
      <c r="J209" s="14" t="s">
        <v>12</v>
      </c>
    </row>
    <row x14ac:dyDescent="0.25" r="210" customHeight="1" ht="17.25">
      <c r="A210" s="17" t="s">
        <v>12390</v>
      </c>
      <c r="B210" s="17" t="s">
        <v>350</v>
      </c>
      <c r="C210" s="17" t="s">
        <v>95</v>
      </c>
      <c r="D210" s="17" t="s">
        <v>16</v>
      </c>
      <c r="E210" s="26">
        <f>ROUND(14500*1.05,2)</f>
      </c>
      <c r="F210" s="17" t="s">
        <v>17</v>
      </c>
      <c r="G210" s="17" t="s">
        <v>18</v>
      </c>
      <c r="H210" s="26">
        <f>ROUND(RAND()*4+6,1)</f>
      </c>
      <c r="I210" s="17" t="s">
        <v>19</v>
      </c>
      <c r="J210" s="19">
        <f>ROUND(78*1,0)&amp;"%"</f>
      </c>
    </row>
    <row x14ac:dyDescent="0.25" r="211" customHeight="1" ht="17.25">
      <c r="A211" s="20" t="s">
        <v>12391</v>
      </c>
      <c r="B211" s="20" t="s">
        <v>352</v>
      </c>
      <c r="C211" s="20" t="s">
        <v>95</v>
      </c>
      <c r="D211" s="20" t="s">
        <v>22</v>
      </c>
      <c r="E211" s="21">
        <f>ROUND(8534*1.05,2)</f>
      </c>
      <c r="F211" s="20" t="s">
        <v>23</v>
      </c>
      <c r="G211" s="20" t="s">
        <v>24</v>
      </c>
      <c r="H211" s="21">
        <f>ROUND(RAND()*4+6,1)</f>
      </c>
      <c r="I211" s="20" t="s">
        <v>25</v>
      </c>
      <c r="J211" s="23">
        <f>ROUND(84*1,0)&amp;"%"</f>
      </c>
    </row>
    <row x14ac:dyDescent="0.25" r="212" customHeight="1" ht="17.25">
      <c r="A212" s="17" t="s">
        <v>12392</v>
      </c>
      <c r="B212" s="17" t="s">
        <v>354</v>
      </c>
      <c r="C212" s="17" t="s">
        <v>95</v>
      </c>
      <c r="D212" s="17" t="s">
        <v>28</v>
      </c>
      <c r="E212" s="18">
        <f>ROUND(10207*1.05,2)</f>
      </c>
      <c r="F212" s="17" t="s">
        <v>29</v>
      </c>
      <c r="G212" s="17" t="s">
        <v>30</v>
      </c>
      <c r="H212" s="18">
        <f>ROUND(RAND()*4+6,1)</f>
      </c>
      <c r="I212" s="17" t="s">
        <v>31</v>
      </c>
      <c r="J212" s="19">
        <f>ROUND(64*1,0)&amp;"%"</f>
      </c>
    </row>
    <row x14ac:dyDescent="0.25" r="213" customHeight="1" ht="17.25">
      <c r="A213" s="20" t="s">
        <v>12393</v>
      </c>
      <c r="B213" s="20" t="s">
        <v>356</v>
      </c>
      <c r="C213" s="20" t="s">
        <v>95</v>
      </c>
      <c r="D213" s="20" t="s">
        <v>34</v>
      </c>
      <c r="E213" s="21">
        <f>ROUND(11063*1.05,2)</f>
      </c>
      <c r="F213" s="20" t="s">
        <v>35</v>
      </c>
      <c r="G213" s="20" t="s">
        <v>18</v>
      </c>
      <c r="H213" s="21">
        <f>ROUND(RAND()*4+6,1)</f>
      </c>
      <c r="I213" s="20" t="s">
        <v>36</v>
      </c>
      <c r="J213" s="23">
        <f>ROUND(89*1,0)&amp;"%"</f>
      </c>
    </row>
    <row x14ac:dyDescent="0.25" r="214" customHeight="1" ht="17.25">
      <c r="A214" s="17" t="s">
        <v>12394</v>
      </c>
      <c r="B214" s="17" t="s">
        <v>358</v>
      </c>
      <c r="C214" s="17" t="s">
        <v>95</v>
      </c>
      <c r="D214" s="17" t="s">
        <v>39</v>
      </c>
      <c r="E214" s="18">
        <f>ROUND(13808*1.05,2)</f>
      </c>
      <c r="F214" s="17" t="s">
        <v>40</v>
      </c>
      <c r="G214" s="17" t="s">
        <v>24</v>
      </c>
      <c r="H214" s="18">
        <f>ROUND(RAND()*4+6,1)</f>
      </c>
      <c r="I214" s="17" t="s">
        <v>41</v>
      </c>
      <c r="J214" s="19">
        <f>ROUND(67*1,0)&amp;"%"</f>
      </c>
    </row>
    <row x14ac:dyDescent="0.25" r="215" customHeight="1" ht="17.25">
      <c r="A215" s="20" t="s">
        <v>12395</v>
      </c>
      <c r="B215" s="20" t="s">
        <v>360</v>
      </c>
      <c r="C215" s="20" t="s">
        <v>95</v>
      </c>
      <c r="D215" s="20" t="s">
        <v>67</v>
      </c>
      <c r="E215" s="21">
        <f>ROUND(6197*1.05,2)</f>
      </c>
      <c r="F215" s="20" t="s">
        <v>44</v>
      </c>
      <c r="G215" s="20" t="s">
        <v>30</v>
      </c>
      <c r="H215" s="21">
        <f>ROUND(RAND()*4+6,1)</f>
      </c>
      <c r="I215" s="20" t="s">
        <v>45</v>
      </c>
      <c r="J215" s="23">
        <f>ROUND(97*1,0)&amp;"%"</f>
      </c>
    </row>
    <row x14ac:dyDescent="0.25" r="216" customHeight="1" ht="17.25">
      <c r="A216" s="17" t="s">
        <v>12396</v>
      </c>
      <c r="B216" s="17" t="s">
        <v>362</v>
      </c>
      <c r="C216" s="17" t="s">
        <v>95</v>
      </c>
      <c r="D216" s="17" t="s">
        <v>16</v>
      </c>
      <c r="E216" s="18">
        <f>ROUND(4610*1.05,2)</f>
      </c>
      <c r="F216" s="17" t="s">
        <v>48</v>
      </c>
      <c r="G216" s="17" t="s">
        <v>18</v>
      </c>
      <c r="H216" s="18">
        <f>ROUND(RAND()*4+6,1)</f>
      </c>
      <c r="I216" s="17" t="s">
        <v>19</v>
      </c>
      <c r="J216" s="19">
        <f>ROUND(99*1,0)&amp;"%"</f>
      </c>
    </row>
    <row x14ac:dyDescent="0.25" r="217" customHeight="1" ht="17.25">
      <c r="A217" s="20" t="s">
        <v>12397</v>
      </c>
      <c r="B217" s="20" t="s">
        <v>364</v>
      </c>
      <c r="C217" s="20" t="s">
        <v>95</v>
      </c>
      <c r="D217" s="20" t="s">
        <v>22</v>
      </c>
      <c r="E217" s="21">
        <f>ROUND(5526*1.05,2)</f>
      </c>
      <c r="F217" s="20" t="s">
        <v>51</v>
      </c>
      <c r="G217" s="20" t="s">
        <v>24</v>
      </c>
      <c r="H217" s="21">
        <f>ROUND(RAND()*4+6,1)</f>
      </c>
      <c r="I217" s="20" t="s">
        <v>25</v>
      </c>
      <c r="J217" s="23">
        <f>ROUND(68*1,0)&amp;"%"</f>
      </c>
    </row>
    <row x14ac:dyDescent="0.25" r="218" customHeight="1" ht="17.25">
      <c r="A218" s="24" t="s">
        <v>365</v>
      </c>
      <c r="B218" s="24"/>
      <c r="C218" s="24"/>
      <c r="D218" s="24"/>
      <c r="E218" s="25">
        <v>8</v>
      </c>
      <c r="F218" s="9"/>
      <c r="G218" s="9"/>
      <c r="H218" s="10"/>
      <c r="I218" s="9"/>
      <c r="J218" s="9"/>
    </row>
    <row x14ac:dyDescent="0.25" r="219" customHeight="1" ht="17.25">
      <c r="A219" s="7"/>
      <c r="B219" s="7"/>
      <c r="C219" s="7"/>
      <c r="D219" s="7"/>
      <c r="E219" s="8"/>
      <c r="F219" s="9"/>
      <c r="G219" s="9"/>
      <c r="H219" s="10"/>
      <c r="I219" s="9"/>
      <c r="J219" s="9"/>
    </row>
    <row x14ac:dyDescent="0.25" r="220" customHeight="1" ht="17.25">
      <c r="A220" s="11" t="s">
        <v>12398</v>
      </c>
      <c r="B220" s="11"/>
      <c r="C220" s="11"/>
      <c r="D220" s="11"/>
      <c r="E220" s="12"/>
      <c r="F220" s="11"/>
      <c r="G220" s="11"/>
      <c r="H220" s="13"/>
      <c r="I220" s="11"/>
      <c r="J220" s="11"/>
    </row>
    <row x14ac:dyDescent="0.25" r="221" customHeight="1" ht="17.25">
      <c r="A221" s="14" t="s">
        <v>3</v>
      </c>
      <c r="B221" s="14" t="s">
        <v>4</v>
      </c>
      <c r="C221" s="14" t="s">
        <v>5</v>
      </c>
      <c r="D221" s="14" t="s">
        <v>6</v>
      </c>
      <c r="E221" s="15" t="s">
        <v>7</v>
      </c>
      <c r="F221" s="14" t="s">
        <v>8</v>
      </c>
      <c r="G221" s="14" t="s">
        <v>9</v>
      </c>
      <c r="H221" s="16" t="s">
        <v>10</v>
      </c>
      <c r="I221" s="14" t="s">
        <v>11</v>
      </c>
      <c r="J221" s="14" t="s">
        <v>12</v>
      </c>
    </row>
    <row x14ac:dyDescent="0.25" r="222" customHeight="1" ht="17.25">
      <c r="A222" s="17" t="s">
        <v>12399</v>
      </c>
      <c r="B222" s="17" t="s">
        <v>368</v>
      </c>
      <c r="C222" s="17" t="s">
        <v>114</v>
      </c>
      <c r="D222" s="17" t="s">
        <v>16</v>
      </c>
      <c r="E222" s="18">
        <f>ROUND(6552*1.05,2)</f>
      </c>
      <c r="F222" s="17" t="s">
        <v>17</v>
      </c>
      <c r="G222" s="17" t="s">
        <v>18</v>
      </c>
      <c r="H222" s="26">
        <f>ROUND(RAND()*4+6,1)</f>
      </c>
      <c r="I222" s="17" t="s">
        <v>19</v>
      </c>
      <c r="J222" s="19">
        <f>ROUND(61*1,0)&amp;"%"</f>
      </c>
    </row>
    <row x14ac:dyDescent="0.25" r="223" customHeight="1" ht="17.25">
      <c r="A223" s="20" t="s">
        <v>12400</v>
      </c>
      <c r="B223" s="20" t="s">
        <v>370</v>
      </c>
      <c r="C223" s="20" t="s">
        <v>114</v>
      </c>
      <c r="D223" s="20" t="s">
        <v>22</v>
      </c>
      <c r="E223" s="21">
        <f>ROUND(17435*1.05,2)</f>
      </c>
      <c r="F223" s="20" t="s">
        <v>23</v>
      </c>
      <c r="G223" s="20" t="s">
        <v>24</v>
      </c>
      <c r="H223" s="21">
        <f>ROUND(RAND()*4+6,1)</f>
      </c>
      <c r="I223" s="20" t="s">
        <v>25</v>
      </c>
      <c r="J223" s="23">
        <f>ROUND(86*1,0)&amp;"%"</f>
      </c>
    </row>
    <row x14ac:dyDescent="0.25" r="224" customHeight="1" ht="17.25">
      <c r="A224" s="17" t="s">
        <v>12401</v>
      </c>
      <c r="B224" s="17" t="s">
        <v>372</v>
      </c>
      <c r="C224" s="17" t="s">
        <v>114</v>
      </c>
      <c r="D224" s="17" t="s">
        <v>28</v>
      </c>
      <c r="E224" s="18">
        <f>ROUND(7916*1.05,2)</f>
      </c>
      <c r="F224" s="17" t="s">
        <v>29</v>
      </c>
      <c r="G224" s="17" t="s">
        <v>30</v>
      </c>
      <c r="H224" s="18">
        <f>ROUND(RAND()*4+6,1)</f>
      </c>
      <c r="I224" s="17" t="s">
        <v>31</v>
      </c>
      <c r="J224" s="19">
        <f>ROUND(82*1,0)&amp;"%"</f>
      </c>
    </row>
    <row x14ac:dyDescent="0.25" r="225" customHeight="1" ht="17.25">
      <c r="A225" s="20" t="s">
        <v>12402</v>
      </c>
      <c r="B225" s="20" t="s">
        <v>374</v>
      </c>
      <c r="C225" s="20" t="s">
        <v>114</v>
      </c>
      <c r="D225" s="20" t="s">
        <v>34</v>
      </c>
      <c r="E225" s="21">
        <f>ROUND(11502*1.05,2)</f>
      </c>
      <c r="F225" s="20" t="s">
        <v>35</v>
      </c>
      <c r="G225" s="20" t="s">
        <v>18</v>
      </c>
      <c r="H225" s="21">
        <f>ROUND(RAND()*4+6,1)</f>
      </c>
      <c r="I225" s="20" t="s">
        <v>36</v>
      </c>
      <c r="J225" s="23">
        <f>ROUND(94*1,0)&amp;"%"</f>
      </c>
    </row>
    <row x14ac:dyDescent="0.25" r="226" customHeight="1" ht="17.25">
      <c r="A226" s="17" t="s">
        <v>12403</v>
      </c>
      <c r="B226" s="17" t="s">
        <v>376</v>
      </c>
      <c r="C226" s="17" t="s">
        <v>114</v>
      </c>
      <c r="D226" s="17" t="s">
        <v>39</v>
      </c>
      <c r="E226" s="18">
        <f>ROUND(15002*1.05,2)</f>
      </c>
      <c r="F226" s="17" t="s">
        <v>40</v>
      </c>
      <c r="G226" s="17" t="s">
        <v>24</v>
      </c>
      <c r="H226" s="18">
        <f>ROUND(RAND()*4+6,1)</f>
      </c>
      <c r="I226" s="17" t="s">
        <v>41</v>
      </c>
      <c r="J226" s="19">
        <f>ROUND(79*1,0)&amp;"%"</f>
      </c>
    </row>
    <row x14ac:dyDescent="0.25" r="227" customHeight="1" ht="17.25">
      <c r="A227" s="20" t="s">
        <v>12404</v>
      </c>
      <c r="B227" s="20" t="s">
        <v>378</v>
      </c>
      <c r="C227" s="20" t="s">
        <v>114</v>
      </c>
      <c r="D227" s="20" t="s">
        <v>67</v>
      </c>
      <c r="E227" s="21">
        <f>ROUND(6975*1.05,2)</f>
      </c>
      <c r="F227" s="20" t="s">
        <v>44</v>
      </c>
      <c r="G227" s="20" t="s">
        <v>30</v>
      </c>
      <c r="H227" s="21">
        <f>ROUND(RAND()*4+6,1)</f>
      </c>
      <c r="I227" s="20" t="s">
        <v>45</v>
      </c>
      <c r="J227" s="23">
        <f>ROUND(69*1,0)&amp;"%"</f>
      </c>
    </row>
    <row x14ac:dyDescent="0.25" r="228" customHeight="1" ht="17.25">
      <c r="A228" s="17" t="s">
        <v>12405</v>
      </c>
      <c r="B228" s="17" t="s">
        <v>380</v>
      </c>
      <c r="C228" s="17" t="s">
        <v>114</v>
      </c>
      <c r="D228" s="17" t="s">
        <v>16</v>
      </c>
      <c r="E228" s="18">
        <f>ROUND(12352*1.05,2)</f>
      </c>
      <c r="F228" s="17" t="s">
        <v>48</v>
      </c>
      <c r="G228" s="17" t="s">
        <v>18</v>
      </c>
      <c r="H228" s="18">
        <f>ROUND(RAND()*4+6,1)</f>
      </c>
      <c r="I228" s="17" t="s">
        <v>19</v>
      </c>
      <c r="J228" s="19">
        <f>ROUND(99*1,0)&amp;"%"</f>
      </c>
    </row>
    <row x14ac:dyDescent="0.25" r="229" customHeight="1" ht="17.25">
      <c r="A229" s="20" t="s">
        <v>12406</v>
      </c>
      <c r="B229" s="20" t="s">
        <v>382</v>
      </c>
      <c r="C229" s="20" t="s">
        <v>114</v>
      </c>
      <c r="D229" s="20" t="s">
        <v>22</v>
      </c>
      <c r="E229" s="21">
        <f>ROUND(11025*1.05,2)</f>
      </c>
      <c r="F229" s="20" t="s">
        <v>51</v>
      </c>
      <c r="G229" s="20" t="s">
        <v>24</v>
      </c>
      <c r="H229" s="21">
        <f>ROUND(RAND()*4+6,1)</f>
      </c>
      <c r="I229" s="20" t="s">
        <v>25</v>
      </c>
      <c r="J229" s="23">
        <f>ROUND(61*1,0)&amp;"%"</f>
      </c>
    </row>
    <row x14ac:dyDescent="0.25" r="230" customHeight="1" ht="17.25">
      <c r="A230" s="24" t="s">
        <v>383</v>
      </c>
      <c r="B230" s="24"/>
      <c r="C230" s="24"/>
      <c r="D230" s="24"/>
      <c r="E230" s="25">
        <v>8</v>
      </c>
      <c r="F230" s="9"/>
      <c r="G230" s="9"/>
      <c r="H230" s="10"/>
      <c r="I230" s="9"/>
      <c r="J230" s="9"/>
    </row>
    <row x14ac:dyDescent="0.25" r="231" customHeight="1" ht="17.25">
      <c r="A231" s="7"/>
      <c r="B231" s="7"/>
      <c r="C231" s="7"/>
      <c r="D231" s="7"/>
      <c r="E231" s="8"/>
      <c r="F231" s="9"/>
      <c r="G231" s="9"/>
      <c r="H231" s="10"/>
      <c r="I231" s="9"/>
      <c r="J231" s="9"/>
    </row>
    <row x14ac:dyDescent="0.25" r="232" customHeight="1" ht="17.25">
      <c r="A232" s="11" t="s">
        <v>12407</v>
      </c>
      <c r="B232" s="11"/>
      <c r="C232" s="11"/>
      <c r="D232" s="11"/>
      <c r="E232" s="12"/>
      <c r="F232" s="11"/>
      <c r="G232" s="11"/>
      <c r="H232" s="13"/>
      <c r="I232" s="11"/>
      <c r="J232" s="11"/>
    </row>
    <row x14ac:dyDescent="0.25" r="233" customHeight="1" ht="17.25">
      <c r="A233" s="14" t="s">
        <v>3</v>
      </c>
      <c r="B233" s="14" t="s">
        <v>4</v>
      </c>
      <c r="C233" s="14" t="s">
        <v>5</v>
      </c>
      <c r="D233" s="14" t="s">
        <v>6</v>
      </c>
      <c r="E233" s="15" t="s">
        <v>7</v>
      </c>
      <c r="F233" s="14" t="s">
        <v>8</v>
      </c>
      <c r="G233" s="14" t="s">
        <v>9</v>
      </c>
      <c r="H233" s="16" t="s">
        <v>10</v>
      </c>
      <c r="I233" s="14" t="s">
        <v>11</v>
      </c>
      <c r="J233" s="14" t="s">
        <v>12</v>
      </c>
    </row>
    <row x14ac:dyDescent="0.25" r="234" customHeight="1" ht="17.25">
      <c r="A234" s="17" t="s">
        <v>12408</v>
      </c>
      <c r="B234" s="17" t="s">
        <v>386</v>
      </c>
      <c r="C234" s="17" t="s">
        <v>133</v>
      </c>
      <c r="D234" s="17" t="s">
        <v>16</v>
      </c>
      <c r="E234" s="18">
        <f>ROUND(4501*1.05,2)</f>
      </c>
      <c r="F234" s="17" t="s">
        <v>17</v>
      </c>
      <c r="G234" s="17" t="s">
        <v>18</v>
      </c>
      <c r="H234" s="18">
        <f>ROUND(RAND()*4+6,1)</f>
      </c>
      <c r="I234" s="17" t="s">
        <v>19</v>
      </c>
      <c r="J234" s="19">
        <f>ROUND(93*1,0)&amp;"%"</f>
      </c>
    </row>
    <row x14ac:dyDescent="0.25" r="235" customHeight="1" ht="17.25">
      <c r="A235" s="20" t="s">
        <v>12409</v>
      </c>
      <c r="B235" s="20" t="s">
        <v>388</v>
      </c>
      <c r="C235" s="20" t="s">
        <v>133</v>
      </c>
      <c r="D235" s="20" t="s">
        <v>22</v>
      </c>
      <c r="E235" s="21">
        <f>ROUND(14482*1.05,2)</f>
      </c>
      <c r="F235" s="20" t="s">
        <v>23</v>
      </c>
      <c r="G235" s="20" t="s">
        <v>24</v>
      </c>
      <c r="H235" s="22">
        <f>ROUND(RAND()*4+6,1)</f>
      </c>
      <c r="I235" s="20" t="s">
        <v>25</v>
      </c>
      <c r="J235" s="23">
        <f>ROUND(100*1,0)&amp;"%"</f>
      </c>
    </row>
    <row x14ac:dyDescent="0.25" r="236" customHeight="1" ht="17.25">
      <c r="A236" s="17" t="s">
        <v>12410</v>
      </c>
      <c r="B236" s="17" t="s">
        <v>390</v>
      </c>
      <c r="C236" s="17" t="s">
        <v>133</v>
      </c>
      <c r="D236" s="17" t="s">
        <v>28</v>
      </c>
      <c r="E236" s="18">
        <f>ROUND(17987*1.05,2)</f>
      </c>
      <c r="F236" s="17" t="s">
        <v>29</v>
      </c>
      <c r="G236" s="17" t="s">
        <v>30</v>
      </c>
      <c r="H236" s="18">
        <f>ROUND(RAND()*4+6,1)</f>
      </c>
      <c r="I236" s="17" t="s">
        <v>31</v>
      </c>
      <c r="J236" s="19">
        <f>ROUND(78*1,0)&amp;"%"</f>
      </c>
    </row>
    <row x14ac:dyDescent="0.25" r="237" customHeight="1" ht="17.25">
      <c r="A237" s="20" t="s">
        <v>12411</v>
      </c>
      <c r="B237" s="20" t="s">
        <v>392</v>
      </c>
      <c r="C237" s="20" t="s">
        <v>133</v>
      </c>
      <c r="D237" s="20" t="s">
        <v>34</v>
      </c>
      <c r="E237" s="21">
        <f>ROUND(12869*1.05,2)</f>
      </c>
      <c r="F237" s="20" t="s">
        <v>35</v>
      </c>
      <c r="G237" s="20" t="s">
        <v>18</v>
      </c>
      <c r="H237" s="21">
        <f>ROUND(RAND()*4+6,1)</f>
      </c>
      <c r="I237" s="20" t="s">
        <v>36</v>
      </c>
      <c r="J237" s="23">
        <f>ROUND(84*1,0)&amp;"%"</f>
      </c>
    </row>
    <row x14ac:dyDescent="0.25" r="238" customHeight="1" ht="17.25">
      <c r="A238" s="17" t="s">
        <v>12412</v>
      </c>
      <c r="B238" s="17" t="s">
        <v>394</v>
      </c>
      <c r="C238" s="17" t="s">
        <v>133</v>
      </c>
      <c r="D238" s="17" t="s">
        <v>39</v>
      </c>
      <c r="E238" s="18">
        <f>ROUND(7021*1.05,2)</f>
      </c>
      <c r="F238" s="17" t="s">
        <v>40</v>
      </c>
      <c r="G238" s="17" t="s">
        <v>24</v>
      </c>
      <c r="H238" s="18">
        <f>ROUND(RAND()*4+6,1)</f>
      </c>
      <c r="I238" s="17" t="s">
        <v>41</v>
      </c>
      <c r="J238" s="19">
        <f>ROUND(80*1,0)&amp;"%"</f>
      </c>
    </row>
    <row x14ac:dyDescent="0.25" r="239" customHeight="1" ht="17.25">
      <c r="A239" s="20" t="s">
        <v>12413</v>
      </c>
      <c r="B239" s="20" t="s">
        <v>396</v>
      </c>
      <c r="C239" s="20" t="s">
        <v>133</v>
      </c>
      <c r="D239" s="20" t="s">
        <v>67</v>
      </c>
      <c r="E239" s="21">
        <f>ROUND(4819*1.05,2)</f>
      </c>
      <c r="F239" s="20" t="s">
        <v>44</v>
      </c>
      <c r="G239" s="20" t="s">
        <v>30</v>
      </c>
      <c r="H239" s="21">
        <f>ROUND(RAND()*4+6,1)</f>
      </c>
      <c r="I239" s="20" t="s">
        <v>45</v>
      </c>
      <c r="J239" s="23">
        <f>ROUND(75*1,0)&amp;"%"</f>
      </c>
    </row>
    <row x14ac:dyDescent="0.25" r="240" customHeight="1" ht="17.25">
      <c r="A240" s="17" t="s">
        <v>12414</v>
      </c>
      <c r="B240" s="17" t="s">
        <v>398</v>
      </c>
      <c r="C240" s="17" t="s">
        <v>133</v>
      </c>
      <c r="D240" s="17" t="s">
        <v>16</v>
      </c>
      <c r="E240" s="18">
        <f>ROUND(16821*1.05,2)</f>
      </c>
      <c r="F240" s="17" t="s">
        <v>48</v>
      </c>
      <c r="G240" s="17" t="s">
        <v>18</v>
      </c>
      <c r="H240" s="18">
        <f>ROUND(RAND()*4+6,1)</f>
      </c>
      <c r="I240" s="17" t="s">
        <v>19</v>
      </c>
      <c r="J240" s="19">
        <f>ROUND(95*1,0)&amp;"%"</f>
      </c>
    </row>
    <row x14ac:dyDescent="0.25" r="241" customHeight="1" ht="17.25">
      <c r="A241" s="20" t="s">
        <v>12415</v>
      </c>
      <c r="B241" s="20" t="s">
        <v>400</v>
      </c>
      <c r="C241" s="20" t="s">
        <v>133</v>
      </c>
      <c r="D241" s="20" t="s">
        <v>22</v>
      </c>
      <c r="E241" s="21">
        <f>ROUND(7858*1.05,2)</f>
      </c>
      <c r="F241" s="20" t="s">
        <v>51</v>
      </c>
      <c r="G241" s="20" t="s">
        <v>24</v>
      </c>
      <c r="H241" s="21">
        <f>ROUND(RAND()*4+6,1)</f>
      </c>
      <c r="I241" s="20" t="s">
        <v>25</v>
      </c>
      <c r="J241" s="23">
        <f>ROUND(60*1,0)&amp;"%"</f>
      </c>
    </row>
    <row x14ac:dyDescent="0.25" r="242" customHeight="1" ht="17.25">
      <c r="A242" s="24" t="s">
        <v>401</v>
      </c>
      <c r="B242" s="24"/>
      <c r="C242" s="24"/>
      <c r="D242" s="24"/>
      <c r="E242" s="25">
        <v>8</v>
      </c>
      <c r="F242" s="9"/>
      <c r="G242" s="9"/>
      <c r="H242" s="10"/>
      <c r="I242" s="9"/>
      <c r="J242" s="9"/>
    </row>
    <row x14ac:dyDescent="0.25" r="243" customHeight="1" ht="17.25">
      <c r="A243" s="7"/>
      <c r="B243" s="7"/>
      <c r="C243" s="7"/>
      <c r="D243" s="7"/>
      <c r="E243" s="8"/>
      <c r="F243" s="9"/>
      <c r="G243" s="9"/>
      <c r="H243" s="10"/>
      <c r="I243" s="9"/>
      <c r="J243" s="9"/>
    </row>
    <row x14ac:dyDescent="0.25" r="244" customHeight="1" ht="17.25">
      <c r="A244" s="11" t="s">
        <v>12416</v>
      </c>
      <c r="B244" s="11"/>
      <c r="C244" s="11"/>
      <c r="D244" s="11"/>
      <c r="E244" s="12"/>
      <c r="F244" s="11"/>
      <c r="G244" s="11"/>
      <c r="H244" s="13"/>
      <c r="I244" s="11"/>
      <c r="J244" s="11"/>
    </row>
    <row x14ac:dyDescent="0.25" r="245" customHeight="1" ht="17.25">
      <c r="A245" s="14" t="s">
        <v>3</v>
      </c>
      <c r="B245" s="14" t="s">
        <v>4</v>
      </c>
      <c r="C245" s="14" t="s">
        <v>5</v>
      </c>
      <c r="D245" s="14" t="s">
        <v>6</v>
      </c>
      <c r="E245" s="15" t="s">
        <v>7</v>
      </c>
      <c r="F245" s="14" t="s">
        <v>8</v>
      </c>
      <c r="G245" s="14" t="s">
        <v>9</v>
      </c>
      <c r="H245" s="16" t="s">
        <v>10</v>
      </c>
      <c r="I245" s="14" t="s">
        <v>11</v>
      </c>
      <c r="J245" s="14" t="s">
        <v>12</v>
      </c>
    </row>
    <row x14ac:dyDescent="0.25" r="246" customHeight="1" ht="17.25">
      <c r="A246" s="17" t="s">
        <v>12417</v>
      </c>
      <c r="B246" s="17" t="s">
        <v>404</v>
      </c>
      <c r="C246" s="17" t="s">
        <v>152</v>
      </c>
      <c r="D246" s="17" t="s">
        <v>16</v>
      </c>
      <c r="E246" s="18">
        <f>ROUND(15399*1.05,2)</f>
      </c>
      <c r="F246" s="17" t="s">
        <v>17</v>
      </c>
      <c r="G246" s="17" t="s">
        <v>18</v>
      </c>
      <c r="H246" s="26">
        <f>ROUND(RAND()*4+6,1)</f>
      </c>
      <c r="I246" s="17" t="s">
        <v>19</v>
      </c>
      <c r="J246" s="19">
        <f>ROUND(74*1,0)&amp;"%"</f>
      </c>
    </row>
    <row x14ac:dyDescent="0.25" r="247" customHeight="1" ht="17.25">
      <c r="A247" s="20" t="s">
        <v>12418</v>
      </c>
      <c r="B247" s="20" t="s">
        <v>406</v>
      </c>
      <c r="C247" s="20" t="s">
        <v>152</v>
      </c>
      <c r="D247" s="20" t="s">
        <v>22</v>
      </c>
      <c r="E247" s="21">
        <f>ROUND(8745*1.05,2)</f>
      </c>
      <c r="F247" s="20" t="s">
        <v>23</v>
      </c>
      <c r="G247" s="20" t="s">
        <v>24</v>
      </c>
      <c r="H247" s="21">
        <f>ROUND(RAND()*4+6,1)</f>
      </c>
      <c r="I247" s="20" t="s">
        <v>25</v>
      </c>
      <c r="J247" s="23">
        <f>ROUND(68*1,0)&amp;"%"</f>
      </c>
    </row>
    <row x14ac:dyDescent="0.25" r="248" customHeight="1" ht="17.25">
      <c r="A248" s="17" t="s">
        <v>12419</v>
      </c>
      <c r="B248" s="17" t="s">
        <v>408</v>
      </c>
      <c r="C248" s="17" t="s">
        <v>152</v>
      </c>
      <c r="D248" s="17" t="s">
        <v>28</v>
      </c>
      <c r="E248" s="18">
        <f>ROUND(17956*1.05,2)</f>
      </c>
      <c r="F248" s="17" t="s">
        <v>29</v>
      </c>
      <c r="G248" s="17" t="s">
        <v>30</v>
      </c>
      <c r="H248" s="18">
        <f>ROUND(RAND()*4+6,1)</f>
      </c>
      <c r="I248" s="17" t="s">
        <v>31</v>
      </c>
      <c r="J248" s="19">
        <f>ROUND(79*1,0)&amp;"%"</f>
      </c>
    </row>
    <row x14ac:dyDescent="0.25" r="249" customHeight="1" ht="17.25">
      <c r="A249" s="20" t="s">
        <v>12420</v>
      </c>
      <c r="B249" s="20" t="s">
        <v>410</v>
      </c>
      <c r="C249" s="20" t="s">
        <v>152</v>
      </c>
      <c r="D249" s="20" t="s">
        <v>34</v>
      </c>
      <c r="E249" s="21">
        <f>ROUND(4365*1.05,2)</f>
      </c>
      <c r="F249" s="20" t="s">
        <v>35</v>
      </c>
      <c r="G249" s="20" t="s">
        <v>18</v>
      </c>
      <c r="H249" s="22">
        <f>ROUND(RAND()*4+6,1)</f>
      </c>
      <c r="I249" s="20" t="s">
        <v>36</v>
      </c>
      <c r="J249" s="23">
        <f>ROUND(93*1,0)&amp;"%"</f>
      </c>
    </row>
    <row x14ac:dyDescent="0.25" r="250" customHeight="1" ht="17.25">
      <c r="A250" s="17" t="s">
        <v>12421</v>
      </c>
      <c r="B250" s="17" t="s">
        <v>412</v>
      </c>
      <c r="C250" s="17" t="s">
        <v>152</v>
      </c>
      <c r="D250" s="17" t="s">
        <v>39</v>
      </c>
      <c r="E250" s="18">
        <f>ROUND(15562*1.05,2)</f>
      </c>
      <c r="F250" s="17" t="s">
        <v>40</v>
      </c>
      <c r="G250" s="17" t="s">
        <v>24</v>
      </c>
      <c r="H250" s="18">
        <f>ROUND(RAND()*4+6,1)</f>
      </c>
      <c r="I250" s="17" t="s">
        <v>41</v>
      </c>
      <c r="J250" s="19">
        <f>ROUND(97*1,0)&amp;"%"</f>
      </c>
    </row>
    <row x14ac:dyDescent="0.25" r="251" customHeight="1" ht="17.25">
      <c r="A251" s="20" t="s">
        <v>12422</v>
      </c>
      <c r="B251" s="20" t="s">
        <v>414</v>
      </c>
      <c r="C251" s="20" t="s">
        <v>152</v>
      </c>
      <c r="D251" s="20" t="s">
        <v>67</v>
      </c>
      <c r="E251" s="21">
        <f>ROUND(9599*1.05,2)</f>
      </c>
      <c r="F251" s="20" t="s">
        <v>44</v>
      </c>
      <c r="G251" s="20" t="s">
        <v>30</v>
      </c>
      <c r="H251" s="22">
        <f>ROUND(RAND()*4+6,1)</f>
      </c>
      <c r="I251" s="20" t="s">
        <v>45</v>
      </c>
      <c r="J251" s="23">
        <f>ROUND(97*1,0)&amp;"%"</f>
      </c>
    </row>
    <row x14ac:dyDescent="0.25" r="252" customHeight="1" ht="17.25">
      <c r="A252" s="17" t="s">
        <v>12423</v>
      </c>
      <c r="B252" s="17" t="s">
        <v>416</v>
      </c>
      <c r="C252" s="17" t="s">
        <v>152</v>
      </c>
      <c r="D252" s="17" t="s">
        <v>16</v>
      </c>
      <c r="E252" s="18">
        <f>ROUND(8330*1.05,2)</f>
      </c>
      <c r="F252" s="17" t="s">
        <v>48</v>
      </c>
      <c r="G252" s="17" t="s">
        <v>18</v>
      </c>
      <c r="H252" s="18">
        <f>ROUND(RAND()*4+6,1)</f>
      </c>
      <c r="I252" s="17" t="s">
        <v>19</v>
      </c>
      <c r="J252" s="19">
        <f>ROUND(72*1,0)&amp;"%"</f>
      </c>
    </row>
    <row x14ac:dyDescent="0.25" r="253" customHeight="1" ht="17.25">
      <c r="A253" s="20" t="s">
        <v>12424</v>
      </c>
      <c r="B253" s="20" t="s">
        <v>418</v>
      </c>
      <c r="C253" s="20" t="s">
        <v>152</v>
      </c>
      <c r="D253" s="20" t="s">
        <v>22</v>
      </c>
      <c r="E253" s="21">
        <f>ROUND(7976*1.05,2)</f>
      </c>
      <c r="F253" s="20" t="s">
        <v>51</v>
      </c>
      <c r="G253" s="20" t="s">
        <v>24</v>
      </c>
      <c r="H253" s="21">
        <f>ROUND(RAND()*4+6,1)</f>
      </c>
      <c r="I253" s="20" t="s">
        <v>25</v>
      </c>
      <c r="J253" s="23">
        <f>ROUND(75*1,0)&amp;"%"</f>
      </c>
    </row>
    <row x14ac:dyDescent="0.25" r="254" customHeight="1" ht="17.25">
      <c r="A254" s="24" t="s">
        <v>419</v>
      </c>
      <c r="B254" s="24"/>
      <c r="C254" s="24"/>
      <c r="D254" s="24"/>
      <c r="E254" s="25">
        <v>8</v>
      </c>
      <c r="F254" s="9"/>
      <c r="G254" s="9"/>
      <c r="H254" s="10"/>
      <c r="I254" s="9"/>
      <c r="J254" s="9"/>
    </row>
    <row x14ac:dyDescent="0.25" r="255" customHeight="1" ht="17.25">
      <c r="A255" s="7"/>
      <c r="B255" s="7"/>
      <c r="C255" s="7"/>
      <c r="D255" s="7"/>
      <c r="E255" s="8"/>
      <c r="F255" s="9"/>
      <c r="G255" s="9"/>
      <c r="H255" s="10"/>
      <c r="I255" s="9"/>
      <c r="J255" s="9"/>
    </row>
    <row x14ac:dyDescent="0.25" r="256" customHeight="1" ht="17.25">
      <c r="A256" s="11" t="s">
        <v>12425</v>
      </c>
      <c r="B256" s="11"/>
      <c r="C256" s="11"/>
      <c r="D256" s="11"/>
      <c r="E256" s="12"/>
      <c r="F256" s="11"/>
      <c r="G256" s="11"/>
      <c r="H256" s="13"/>
      <c r="I256" s="11"/>
      <c r="J256" s="11"/>
    </row>
    <row x14ac:dyDescent="0.25" r="257" customHeight="1" ht="17.25">
      <c r="A257" s="14" t="s">
        <v>3</v>
      </c>
      <c r="B257" s="14" t="s">
        <v>4</v>
      </c>
      <c r="C257" s="14" t="s">
        <v>5</v>
      </c>
      <c r="D257" s="14" t="s">
        <v>6</v>
      </c>
      <c r="E257" s="15" t="s">
        <v>7</v>
      </c>
      <c r="F257" s="14" t="s">
        <v>8</v>
      </c>
      <c r="G257" s="14" t="s">
        <v>9</v>
      </c>
      <c r="H257" s="16" t="s">
        <v>10</v>
      </c>
      <c r="I257" s="14" t="s">
        <v>11</v>
      </c>
      <c r="J257" s="14" t="s">
        <v>12</v>
      </c>
    </row>
    <row x14ac:dyDescent="0.25" r="258" customHeight="1" ht="17.25">
      <c r="A258" s="17" t="s">
        <v>12426</v>
      </c>
      <c r="B258" s="17" t="s">
        <v>422</v>
      </c>
      <c r="C258" s="17" t="s">
        <v>15</v>
      </c>
      <c r="D258" s="17" t="s">
        <v>16</v>
      </c>
      <c r="E258" s="18">
        <f>ROUND(6926*1.05,2)</f>
      </c>
      <c r="F258" s="17" t="s">
        <v>17</v>
      </c>
      <c r="G258" s="17" t="s">
        <v>18</v>
      </c>
      <c r="H258" s="18">
        <f>ROUND(RAND()*4+6,1)</f>
      </c>
      <c r="I258" s="17" t="s">
        <v>19</v>
      </c>
      <c r="J258" s="19">
        <f>ROUND(74*1,0)&amp;"%"</f>
      </c>
    </row>
    <row x14ac:dyDescent="0.25" r="259" customHeight="1" ht="17.25">
      <c r="A259" s="20" t="s">
        <v>12427</v>
      </c>
      <c r="B259" s="20" t="s">
        <v>424</v>
      </c>
      <c r="C259" s="20" t="s">
        <v>15</v>
      </c>
      <c r="D259" s="20" t="s">
        <v>22</v>
      </c>
      <c r="E259" s="21">
        <f>ROUND(14867*1.05,2)</f>
      </c>
      <c r="F259" s="20" t="s">
        <v>23</v>
      </c>
      <c r="G259" s="20" t="s">
        <v>24</v>
      </c>
      <c r="H259" s="21">
        <f>ROUND(RAND()*4+6,1)</f>
      </c>
      <c r="I259" s="20" t="s">
        <v>25</v>
      </c>
      <c r="J259" s="23">
        <f>ROUND(86*1,0)&amp;"%"</f>
      </c>
    </row>
    <row x14ac:dyDescent="0.25" r="260" customHeight="1" ht="17.25">
      <c r="A260" s="17" t="s">
        <v>12428</v>
      </c>
      <c r="B260" s="17" t="s">
        <v>426</v>
      </c>
      <c r="C260" s="17" t="s">
        <v>15</v>
      </c>
      <c r="D260" s="17" t="s">
        <v>28</v>
      </c>
      <c r="E260" s="18">
        <f>ROUND(13744*1.05,2)</f>
      </c>
      <c r="F260" s="17" t="s">
        <v>29</v>
      </c>
      <c r="G260" s="17" t="s">
        <v>30</v>
      </c>
      <c r="H260" s="18">
        <f>ROUND(RAND()*4+6,1)</f>
      </c>
      <c r="I260" s="17" t="s">
        <v>31</v>
      </c>
      <c r="J260" s="19">
        <f>ROUND(66*1,0)&amp;"%"</f>
      </c>
    </row>
    <row x14ac:dyDescent="0.25" r="261" customHeight="1" ht="17.25">
      <c r="A261" s="20" t="s">
        <v>12429</v>
      </c>
      <c r="B261" s="20" t="s">
        <v>428</v>
      </c>
      <c r="C261" s="20" t="s">
        <v>15</v>
      </c>
      <c r="D261" s="20" t="s">
        <v>34</v>
      </c>
      <c r="E261" s="21">
        <f>ROUND(14875*1.05,2)</f>
      </c>
      <c r="F261" s="20" t="s">
        <v>35</v>
      </c>
      <c r="G261" s="20" t="s">
        <v>18</v>
      </c>
      <c r="H261" s="21">
        <f>ROUND(RAND()*4+6,1)</f>
      </c>
      <c r="I261" s="20" t="s">
        <v>36</v>
      </c>
      <c r="J261" s="23">
        <f>ROUND(85*1,0)&amp;"%"</f>
      </c>
    </row>
    <row x14ac:dyDescent="0.25" r="262" customHeight="1" ht="17.25">
      <c r="A262" s="17" t="s">
        <v>12430</v>
      </c>
      <c r="B262" s="17" t="s">
        <v>430</v>
      </c>
      <c r="C262" s="17" t="s">
        <v>15</v>
      </c>
      <c r="D262" s="17" t="s">
        <v>39</v>
      </c>
      <c r="E262" s="18">
        <f>ROUND(13884*1.05,2)</f>
      </c>
      <c r="F262" s="17" t="s">
        <v>40</v>
      </c>
      <c r="G262" s="17" t="s">
        <v>24</v>
      </c>
      <c r="H262" s="18">
        <f>ROUND(RAND()*4+6,1)</f>
      </c>
      <c r="I262" s="17" t="s">
        <v>41</v>
      </c>
      <c r="J262" s="19">
        <f>ROUND(94*1,0)&amp;"%"</f>
      </c>
    </row>
    <row x14ac:dyDescent="0.25" r="263" customHeight="1" ht="17.25">
      <c r="A263" s="20" t="s">
        <v>12431</v>
      </c>
      <c r="B263" s="20" t="s">
        <v>432</v>
      </c>
      <c r="C263" s="20" t="s">
        <v>15</v>
      </c>
      <c r="D263" s="20" t="s">
        <v>67</v>
      </c>
      <c r="E263" s="21">
        <f>ROUND(16798*1.05,2)</f>
      </c>
      <c r="F263" s="20" t="s">
        <v>44</v>
      </c>
      <c r="G263" s="20" t="s">
        <v>30</v>
      </c>
      <c r="H263" s="21">
        <f>ROUND(RAND()*4+6,1)</f>
      </c>
      <c r="I263" s="20" t="s">
        <v>45</v>
      </c>
      <c r="J263" s="23">
        <f>ROUND(92*1,0)&amp;"%"</f>
      </c>
    </row>
    <row x14ac:dyDescent="0.25" r="264" customHeight="1" ht="17.25">
      <c r="A264" s="17" t="s">
        <v>12432</v>
      </c>
      <c r="B264" s="17" t="s">
        <v>434</v>
      </c>
      <c r="C264" s="17" t="s">
        <v>15</v>
      </c>
      <c r="D264" s="17" t="s">
        <v>16</v>
      </c>
      <c r="E264" s="18">
        <f>ROUND(5726*1.05,2)</f>
      </c>
      <c r="F264" s="17" t="s">
        <v>48</v>
      </c>
      <c r="G264" s="17" t="s">
        <v>18</v>
      </c>
      <c r="H264" s="18">
        <f>ROUND(RAND()*4+6,1)</f>
      </c>
      <c r="I264" s="17" t="s">
        <v>19</v>
      </c>
      <c r="J264" s="19">
        <f>ROUND(100*1,0)&amp;"%"</f>
      </c>
    </row>
    <row x14ac:dyDescent="0.25" r="265" customHeight="1" ht="17.25">
      <c r="A265" s="20" t="s">
        <v>12433</v>
      </c>
      <c r="B265" s="20" t="s">
        <v>436</v>
      </c>
      <c r="C265" s="20" t="s">
        <v>15</v>
      </c>
      <c r="D265" s="20" t="s">
        <v>22</v>
      </c>
      <c r="E265" s="21">
        <f>ROUND(10837*1.05,2)</f>
      </c>
      <c r="F265" s="20" t="s">
        <v>51</v>
      </c>
      <c r="G265" s="20" t="s">
        <v>24</v>
      </c>
      <c r="H265" s="21">
        <f>ROUND(RAND()*4+6,1)</f>
      </c>
      <c r="I265" s="20" t="s">
        <v>25</v>
      </c>
      <c r="J265" s="23">
        <f>ROUND(68*1,0)&amp;"%"</f>
      </c>
    </row>
    <row x14ac:dyDescent="0.25" r="266" customHeight="1" ht="17.25">
      <c r="A266" s="24" t="s">
        <v>437</v>
      </c>
      <c r="B266" s="24"/>
      <c r="C266" s="24"/>
      <c r="D266" s="24"/>
      <c r="E266" s="25">
        <v>8</v>
      </c>
      <c r="F266" s="9"/>
      <c r="G266" s="9"/>
      <c r="H266" s="10"/>
      <c r="I266" s="9"/>
      <c r="J266" s="9"/>
    </row>
    <row x14ac:dyDescent="0.25" r="267" customHeight="1" ht="17.25">
      <c r="A267" s="7"/>
      <c r="B267" s="7"/>
      <c r="C267" s="7"/>
      <c r="D267" s="7"/>
      <c r="E267" s="8"/>
      <c r="F267" s="9"/>
      <c r="G267" s="9"/>
      <c r="H267" s="10"/>
      <c r="I267" s="9"/>
      <c r="J267" s="9"/>
    </row>
    <row x14ac:dyDescent="0.25" r="268" customHeight="1" ht="17.25">
      <c r="A268" s="11" t="s">
        <v>12434</v>
      </c>
      <c r="B268" s="11"/>
      <c r="C268" s="11"/>
      <c r="D268" s="11"/>
      <c r="E268" s="12"/>
      <c r="F268" s="11"/>
      <c r="G268" s="11"/>
      <c r="H268" s="13"/>
      <c r="I268" s="11"/>
      <c r="J268" s="11"/>
    </row>
    <row x14ac:dyDescent="0.25" r="269" customHeight="1" ht="17.25">
      <c r="A269" s="14" t="s">
        <v>3</v>
      </c>
      <c r="B269" s="14" t="s">
        <v>4</v>
      </c>
      <c r="C269" s="14" t="s">
        <v>5</v>
      </c>
      <c r="D269" s="14" t="s">
        <v>6</v>
      </c>
      <c r="E269" s="15" t="s">
        <v>7</v>
      </c>
      <c r="F269" s="14" t="s">
        <v>8</v>
      </c>
      <c r="G269" s="14" t="s">
        <v>9</v>
      </c>
      <c r="H269" s="16" t="s">
        <v>10</v>
      </c>
      <c r="I269" s="14" t="s">
        <v>11</v>
      </c>
      <c r="J269" s="14" t="s">
        <v>12</v>
      </c>
    </row>
    <row x14ac:dyDescent="0.25" r="270" customHeight="1" ht="17.25">
      <c r="A270" s="17" t="s">
        <v>12435</v>
      </c>
      <c r="B270" s="17" t="s">
        <v>440</v>
      </c>
      <c r="C270" s="17" t="s">
        <v>56</v>
      </c>
      <c r="D270" s="17" t="s">
        <v>16</v>
      </c>
      <c r="E270" s="18">
        <f>ROUND(16530*1.05,2)</f>
      </c>
      <c r="F270" s="17" t="s">
        <v>17</v>
      </c>
      <c r="G270" s="17" t="s">
        <v>18</v>
      </c>
      <c r="H270" s="18">
        <f>ROUND(RAND()*4+6,1)</f>
      </c>
      <c r="I270" s="17" t="s">
        <v>19</v>
      </c>
      <c r="J270" s="19">
        <f>ROUND(91*1,0)&amp;"%"</f>
      </c>
    </row>
    <row x14ac:dyDescent="0.25" r="271" customHeight="1" ht="17.25">
      <c r="A271" s="20" t="s">
        <v>12436</v>
      </c>
      <c r="B271" s="20" t="s">
        <v>442</v>
      </c>
      <c r="C271" s="20" t="s">
        <v>56</v>
      </c>
      <c r="D271" s="20" t="s">
        <v>22</v>
      </c>
      <c r="E271" s="21">
        <f>ROUND(14010*1.05,2)</f>
      </c>
      <c r="F271" s="20" t="s">
        <v>23</v>
      </c>
      <c r="G271" s="20" t="s">
        <v>24</v>
      </c>
      <c r="H271" s="21">
        <f>ROUND(RAND()*4+6,1)</f>
      </c>
      <c r="I271" s="20" t="s">
        <v>25</v>
      </c>
      <c r="J271" s="23">
        <f>ROUND(84*1,0)&amp;"%"</f>
      </c>
    </row>
    <row x14ac:dyDescent="0.25" r="272" customHeight="1" ht="17.25">
      <c r="A272" s="17" t="s">
        <v>12437</v>
      </c>
      <c r="B272" s="17" t="s">
        <v>444</v>
      </c>
      <c r="C272" s="17" t="s">
        <v>56</v>
      </c>
      <c r="D272" s="17" t="s">
        <v>28</v>
      </c>
      <c r="E272" s="18">
        <f>ROUND(4751*1.05,2)</f>
      </c>
      <c r="F272" s="17" t="s">
        <v>29</v>
      </c>
      <c r="G272" s="17" t="s">
        <v>30</v>
      </c>
      <c r="H272" s="18">
        <f>ROUND(RAND()*4+6,1)</f>
      </c>
      <c r="I272" s="17" t="s">
        <v>31</v>
      </c>
      <c r="J272" s="19">
        <f>ROUND(60*1,0)&amp;"%"</f>
      </c>
    </row>
    <row x14ac:dyDescent="0.25" r="273" customHeight="1" ht="17.25">
      <c r="A273" s="20" t="s">
        <v>12438</v>
      </c>
      <c r="B273" s="20" t="s">
        <v>446</v>
      </c>
      <c r="C273" s="20" t="s">
        <v>56</v>
      </c>
      <c r="D273" s="20" t="s">
        <v>34</v>
      </c>
      <c r="E273" s="21">
        <f>ROUND(14211*1.05,2)</f>
      </c>
      <c r="F273" s="20" t="s">
        <v>35</v>
      </c>
      <c r="G273" s="20" t="s">
        <v>18</v>
      </c>
      <c r="H273" s="21">
        <f>ROUND(RAND()*4+6,1)</f>
      </c>
      <c r="I273" s="20" t="s">
        <v>36</v>
      </c>
      <c r="J273" s="23">
        <f>ROUND(92*1,0)&amp;"%"</f>
      </c>
    </row>
    <row x14ac:dyDescent="0.25" r="274" customHeight="1" ht="17.25">
      <c r="A274" s="17" t="s">
        <v>12439</v>
      </c>
      <c r="B274" s="17" t="s">
        <v>448</v>
      </c>
      <c r="C274" s="17" t="s">
        <v>56</v>
      </c>
      <c r="D274" s="17" t="s">
        <v>39</v>
      </c>
      <c r="E274" s="18">
        <f>ROUND(14481*1.05,2)</f>
      </c>
      <c r="F274" s="17" t="s">
        <v>40</v>
      </c>
      <c r="G274" s="17" t="s">
        <v>24</v>
      </c>
      <c r="H274" s="18">
        <f>ROUND(RAND()*4+6,1)</f>
      </c>
      <c r="I274" s="17" t="s">
        <v>41</v>
      </c>
      <c r="J274" s="19">
        <f>ROUND(64*1,0)&amp;"%"</f>
      </c>
    </row>
    <row x14ac:dyDescent="0.25" r="275" customHeight="1" ht="17.25">
      <c r="A275" s="20" t="s">
        <v>12440</v>
      </c>
      <c r="B275" s="20" t="s">
        <v>450</v>
      </c>
      <c r="C275" s="20" t="s">
        <v>56</v>
      </c>
      <c r="D275" s="20" t="s">
        <v>67</v>
      </c>
      <c r="E275" s="22">
        <f>ROUND(4920*1.05,2)</f>
      </c>
      <c r="F275" s="20" t="s">
        <v>44</v>
      </c>
      <c r="G275" s="20" t="s">
        <v>30</v>
      </c>
      <c r="H275" s="21">
        <f>ROUND(RAND()*4+6,1)</f>
      </c>
      <c r="I275" s="20" t="s">
        <v>45</v>
      </c>
      <c r="J275" s="23">
        <f>ROUND(92*1,0)&amp;"%"</f>
      </c>
    </row>
    <row x14ac:dyDescent="0.25" r="276" customHeight="1" ht="17.25">
      <c r="A276" s="17" t="s">
        <v>12441</v>
      </c>
      <c r="B276" s="17" t="s">
        <v>452</v>
      </c>
      <c r="C276" s="17" t="s">
        <v>56</v>
      </c>
      <c r="D276" s="17" t="s">
        <v>16</v>
      </c>
      <c r="E276" s="18">
        <f>ROUND(4934*1.05,2)</f>
      </c>
      <c r="F276" s="17" t="s">
        <v>48</v>
      </c>
      <c r="G276" s="17" t="s">
        <v>18</v>
      </c>
      <c r="H276" s="18">
        <f>ROUND(RAND()*4+6,1)</f>
      </c>
      <c r="I276" s="17" t="s">
        <v>19</v>
      </c>
      <c r="J276" s="19">
        <f>ROUND(91*1,0)&amp;"%"</f>
      </c>
    </row>
    <row x14ac:dyDescent="0.25" r="277" customHeight="1" ht="17.25">
      <c r="A277" s="20" t="s">
        <v>12442</v>
      </c>
      <c r="B277" s="20" t="s">
        <v>454</v>
      </c>
      <c r="C277" s="20" t="s">
        <v>56</v>
      </c>
      <c r="D277" s="20" t="s">
        <v>22</v>
      </c>
      <c r="E277" s="21">
        <f>ROUND(13642*1.05,2)</f>
      </c>
      <c r="F277" s="20" t="s">
        <v>51</v>
      </c>
      <c r="G277" s="20" t="s">
        <v>24</v>
      </c>
      <c r="H277" s="21">
        <f>ROUND(RAND()*4+6,1)</f>
      </c>
      <c r="I277" s="20" t="s">
        <v>25</v>
      </c>
      <c r="J277" s="23">
        <f>ROUND(87*1,0)&amp;"%"</f>
      </c>
    </row>
    <row x14ac:dyDescent="0.25" r="278" customHeight="1" ht="17.25">
      <c r="A278" s="24" t="s">
        <v>455</v>
      </c>
      <c r="B278" s="24"/>
      <c r="C278" s="24"/>
      <c r="D278" s="24"/>
      <c r="E278" s="25">
        <v>8</v>
      </c>
      <c r="F278" s="9"/>
      <c r="G278" s="9"/>
      <c r="H278" s="10"/>
      <c r="I278" s="9"/>
      <c r="J278" s="9"/>
    </row>
    <row x14ac:dyDescent="0.25" r="279" customHeight="1" ht="17.25">
      <c r="A279" s="7"/>
      <c r="B279" s="7"/>
      <c r="C279" s="7"/>
      <c r="D279" s="7"/>
      <c r="E279" s="8"/>
      <c r="F279" s="9"/>
      <c r="G279" s="9"/>
      <c r="H279" s="10"/>
      <c r="I279" s="9"/>
      <c r="J279" s="9"/>
    </row>
    <row x14ac:dyDescent="0.25" r="280" customHeight="1" ht="17.25">
      <c r="A280" s="11" t="s">
        <v>12443</v>
      </c>
      <c r="B280" s="11"/>
      <c r="C280" s="11"/>
      <c r="D280" s="11"/>
      <c r="E280" s="12"/>
      <c r="F280" s="11"/>
      <c r="G280" s="11"/>
      <c r="H280" s="13"/>
      <c r="I280" s="11"/>
      <c r="J280" s="11"/>
    </row>
    <row x14ac:dyDescent="0.25" r="281" customHeight="1" ht="17.25">
      <c r="A281" s="14" t="s">
        <v>3</v>
      </c>
      <c r="B281" s="14" t="s">
        <v>4</v>
      </c>
      <c r="C281" s="14" t="s">
        <v>5</v>
      </c>
      <c r="D281" s="14" t="s">
        <v>6</v>
      </c>
      <c r="E281" s="15" t="s">
        <v>7</v>
      </c>
      <c r="F281" s="14" t="s">
        <v>8</v>
      </c>
      <c r="G281" s="14" t="s">
        <v>9</v>
      </c>
      <c r="H281" s="16" t="s">
        <v>10</v>
      </c>
      <c r="I281" s="14" t="s">
        <v>11</v>
      </c>
      <c r="J281" s="14" t="s">
        <v>12</v>
      </c>
    </row>
    <row x14ac:dyDescent="0.25" r="282" customHeight="1" ht="17.25">
      <c r="A282" s="17" t="s">
        <v>12444</v>
      </c>
      <c r="B282" s="17" t="s">
        <v>458</v>
      </c>
      <c r="C282" s="17" t="s">
        <v>76</v>
      </c>
      <c r="D282" s="17" t="s">
        <v>16</v>
      </c>
      <c r="E282" s="18">
        <f>ROUND(17430*1.05,2)</f>
      </c>
      <c r="F282" s="17" t="s">
        <v>17</v>
      </c>
      <c r="G282" s="17" t="s">
        <v>18</v>
      </c>
      <c r="H282" s="18">
        <f>ROUND(RAND()*4+6,1)</f>
      </c>
      <c r="I282" s="17" t="s">
        <v>19</v>
      </c>
      <c r="J282" s="19">
        <f>ROUND(96*1,0)&amp;"%"</f>
      </c>
    </row>
    <row x14ac:dyDescent="0.25" r="283" customHeight="1" ht="17.25">
      <c r="A283" s="20" t="s">
        <v>12445</v>
      </c>
      <c r="B283" s="20" t="s">
        <v>460</v>
      </c>
      <c r="C283" s="20" t="s">
        <v>76</v>
      </c>
      <c r="D283" s="20" t="s">
        <v>22</v>
      </c>
      <c r="E283" s="21">
        <f>ROUND(5293*1.05,2)</f>
      </c>
      <c r="F283" s="20" t="s">
        <v>23</v>
      </c>
      <c r="G283" s="20" t="s">
        <v>24</v>
      </c>
      <c r="H283" s="21">
        <f>ROUND(RAND()*4+6,1)</f>
      </c>
      <c r="I283" s="20" t="s">
        <v>25</v>
      </c>
      <c r="J283" s="23">
        <f>ROUND(64*1,0)&amp;"%"</f>
      </c>
    </row>
    <row x14ac:dyDescent="0.25" r="284" customHeight="1" ht="17.25">
      <c r="A284" s="17" t="s">
        <v>12446</v>
      </c>
      <c r="B284" s="17" t="s">
        <v>462</v>
      </c>
      <c r="C284" s="17" t="s">
        <v>76</v>
      </c>
      <c r="D284" s="17" t="s">
        <v>28</v>
      </c>
      <c r="E284" s="18">
        <f>ROUND(16373*1.05,2)</f>
      </c>
      <c r="F284" s="17" t="s">
        <v>29</v>
      </c>
      <c r="G284" s="17" t="s">
        <v>30</v>
      </c>
      <c r="H284" s="18">
        <f>ROUND(RAND()*4+6,1)</f>
      </c>
      <c r="I284" s="17" t="s">
        <v>31</v>
      </c>
      <c r="J284" s="19">
        <f>ROUND(65*1,0)&amp;"%"</f>
      </c>
    </row>
    <row x14ac:dyDescent="0.25" r="285" customHeight="1" ht="17.25">
      <c r="A285" s="20" t="s">
        <v>12447</v>
      </c>
      <c r="B285" s="20" t="s">
        <v>464</v>
      </c>
      <c r="C285" s="20" t="s">
        <v>76</v>
      </c>
      <c r="D285" s="20" t="s">
        <v>34</v>
      </c>
      <c r="E285" s="21">
        <f>ROUND(14047*1.05,2)</f>
      </c>
      <c r="F285" s="20" t="s">
        <v>35</v>
      </c>
      <c r="G285" s="20" t="s">
        <v>18</v>
      </c>
      <c r="H285" s="21">
        <f>ROUND(RAND()*4+6,1)</f>
      </c>
      <c r="I285" s="20" t="s">
        <v>36</v>
      </c>
      <c r="J285" s="23">
        <f>ROUND(97*1,0)&amp;"%"</f>
      </c>
    </row>
    <row x14ac:dyDescent="0.25" r="286" customHeight="1" ht="17.25">
      <c r="A286" s="17" t="s">
        <v>12448</v>
      </c>
      <c r="B286" s="17" t="s">
        <v>466</v>
      </c>
      <c r="C286" s="17" t="s">
        <v>76</v>
      </c>
      <c r="D286" s="17" t="s">
        <v>39</v>
      </c>
      <c r="E286" s="18">
        <f>ROUND(10165*1.05,2)</f>
      </c>
      <c r="F286" s="17" t="s">
        <v>40</v>
      </c>
      <c r="G286" s="17" t="s">
        <v>24</v>
      </c>
      <c r="H286" s="18">
        <f>ROUND(RAND()*4+6,1)</f>
      </c>
      <c r="I286" s="17" t="s">
        <v>41</v>
      </c>
      <c r="J286" s="19">
        <f>ROUND(89*1,0)&amp;"%"</f>
      </c>
    </row>
    <row x14ac:dyDescent="0.25" r="287" customHeight="1" ht="17.25">
      <c r="A287" s="20" t="s">
        <v>12449</v>
      </c>
      <c r="B287" s="20" t="s">
        <v>468</v>
      </c>
      <c r="C287" s="20" t="s">
        <v>76</v>
      </c>
      <c r="D287" s="20" t="s">
        <v>67</v>
      </c>
      <c r="E287" s="21">
        <f>ROUND(7611*1.05,2)</f>
      </c>
      <c r="F287" s="20" t="s">
        <v>44</v>
      </c>
      <c r="G287" s="20" t="s">
        <v>30</v>
      </c>
      <c r="H287" s="22">
        <f>ROUND(RAND()*4+6,1)</f>
      </c>
      <c r="I287" s="20" t="s">
        <v>45</v>
      </c>
      <c r="J287" s="23">
        <f>ROUND(75*1,0)&amp;"%"</f>
      </c>
    </row>
    <row x14ac:dyDescent="0.25" r="288" customHeight="1" ht="17.25">
      <c r="A288" s="17" t="s">
        <v>12450</v>
      </c>
      <c r="B288" s="17" t="s">
        <v>470</v>
      </c>
      <c r="C288" s="17" t="s">
        <v>76</v>
      </c>
      <c r="D288" s="17" t="s">
        <v>16</v>
      </c>
      <c r="E288" s="18">
        <f>ROUND(5841*1.05,2)</f>
      </c>
      <c r="F288" s="17" t="s">
        <v>48</v>
      </c>
      <c r="G288" s="17" t="s">
        <v>18</v>
      </c>
      <c r="H288" s="26">
        <f>ROUND(RAND()*4+6,1)</f>
      </c>
      <c r="I288" s="17" t="s">
        <v>19</v>
      </c>
      <c r="J288" s="19">
        <f>ROUND(88*1,0)&amp;"%"</f>
      </c>
    </row>
    <row x14ac:dyDescent="0.25" r="289" customHeight="1" ht="17.25">
      <c r="A289" s="20" t="s">
        <v>12451</v>
      </c>
      <c r="B289" s="20" t="s">
        <v>472</v>
      </c>
      <c r="C289" s="20" t="s">
        <v>76</v>
      </c>
      <c r="D289" s="20" t="s">
        <v>22</v>
      </c>
      <c r="E289" s="21">
        <f>ROUND(6238*1.05,2)</f>
      </c>
      <c r="F289" s="20" t="s">
        <v>51</v>
      </c>
      <c r="G289" s="20" t="s">
        <v>24</v>
      </c>
      <c r="H289" s="22">
        <f>ROUND(RAND()*4+6,1)</f>
      </c>
      <c r="I289" s="20" t="s">
        <v>25</v>
      </c>
      <c r="J289" s="23">
        <f>ROUND(76*1,0)&amp;"%"</f>
      </c>
    </row>
    <row x14ac:dyDescent="0.25" r="290" customHeight="1" ht="17.25">
      <c r="A290" s="24" t="s">
        <v>473</v>
      </c>
      <c r="B290" s="24"/>
      <c r="C290" s="24"/>
      <c r="D290" s="24"/>
      <c r="E290" s="25">
        <v>8</v>
      </c>
      <c r="F290" s="9"/>
      <c r="G290" s="9"/>
      <c r="H290" s="10"/>
      <c r="I290" s="9"/>
      <c r="J290" s="9"/>
    </row>
    <row x14ac:dyDescent="0.25" r="291" customHeight="1" ht="17.25">
      <c r="A291" s="7"/>
      <c r="B291" s="7"/>
      <c r="C291" s="7"/>
      <c r="D291" s="7"/>
      <c r="E291" s="8"/>
      <c r="F291" s="9"/>
      <c r="G291" s="9"/>
      <c r="H291" s="10"/>
      <c r="I291" s="9"/>
      <c r="J291" s="9"/>
    </row>
    <row x14ac:dyDescent="0.25" r="292" customHeight="1" ht="17.25">
      <c r="A292" s="11" t="s">
        <v>12452</v>
      </c>
      <c r="B292" s="11"/>
      <c r="C292" s="11"/>
      <c r="D292" s="11"/>
      <c r="E292" s="12"/>
      <c r="F292" s="11"/>
      <c r="G292" s="11"/>
      <c r="H292" s="13"/>
      <c r="I292" s="11"/>
      <c r="J292" s="11"/>
    </row>
    <row x14ac:dyDescent="0.25" r="293" customHeight="1" ht="17.25">
      <c r="A293" s="14" t="s">
        <v>3</v>
      </c>
      <c r="B293" s="14" t="s">
        <v>4</v>
      </c>
      <c r="C293" s="14" t="s">
        <v>5</v>
      </c>
      <c r="D293" s="14" t="s">
        <v>6</v>
      </c>
      <c r="E293" s="15" t="s">
        <v>7</v>
      </c>
      <c r="F293" s="14" t="s">
        <v>8</v>
      </c>
      <c r="G293" s="14" t="s">
        <v>9</v>
      </c>
      <c r="H293" s="16" t="s">
        <v>10</v>
      </c>
      <c r="I293" s="14" t="s">
        <v>11</v>
      </c>
      <c r="J293" s="14" t="s">
        <v>12</v>
      </c>
    </row>
    <row x14ac:dyDescent="0.25" r="294" customHeight="1" ht="17.25">
      <c r="A294" s="17" t="s">
        <v>12453</v>
      </c>
      <c r="B294" s="17" t="s">
        <v>476</v>
      </c>
      <c r="C294" s="17" t="s">
        <v>95</v>
      </c>
      <c r="D294" s="17" t="s">
        <v>16</v>
      </c>
      <c r="E294" s="18">
        <f>ROUND(4486*1.05,2)</f>
      </c>
      <c r="F294" s="17" t="s">
        <v>17</v>
      </c>
      <c r="G294" s="17" t="s">
        <v>18</v>
      </c>
      <c r="H294" s="18">
        <f>ROUND(RAND()*4+6,1)</f>
      </c>
      <c r="I294" s="17" t="s">
        <v>19</v>
      </c>
      <c r="J294" s="19">
        <f>ROUND(92*1,0)&amp;"%"</f>
      </c>
    </row>
    <row x14ac:dyDescent="0.25" r="295" customHeight="1" ht="17.25">
      <c r="A295" s="20" t="s">
        <v>12454</v>
      </c>
      <c r="B295" s="20" t="s">
        <v>478</v>
      </c>
      <c r="C295" s="20" t="s">
        <v>95</v>
      </c>
      <c r="D295" s="20" t="s">
        <v>22</v>
      </c>
      <c r="E295" s="21">
        <f>ROUND(8611*1.05,2)</f>
      </c>
      <c r="F295" s="20" t="s">
        <v>23</v>
      </c>
      <c r="G295" s="20" t="s">
        <v>24</v>
      </c>
      <c r="H295" s="21">
        <f>ROUND(RAND()*4+6,1)</f>
      </c>
      <c r="I295" s="20" t="s">
        <v>25</v>
      </c>
      <c r="J295" s="23">
        <f>ROUND(79*1,0)&amp;"%"</f>
      </c>
    </row>
    <row x14ac:dyDescent="0.25" r="296" customHeight="1" ht="17.25">
      <c r="A296" s="17" t="s">
        <v>12455</v>
      </c>
      <c r="B296" s="17" t="s">
        <v>480</v>
      </c>
      <c r="C296" s="17" t="s">
        <v>95</v>
      </c>
      <c r="D296" s="17" t="s">
        <v>28</v>
      </c>
      <c r="E296" s="26">
        <f>ROUND(13640*1.05,2)</f>
      </c>
      <c r="F296" s="17" t="s">
        <v>29</v>
      </c>
      <c r="G296" s="17" t="s">
        <v>30</v>
      </c>
      <c r="H296" s="18">
        <f>ROUND(RAND()*4+6,1)</f>
      </c>
      <c r="I296" s="17" t="s">
        <v>31</v>
      </c>
      <c r="J296" s="19">
        <f>ROUND(90*1,0)&amp;"%"</f>
      </c>
    </row>
    <row x14ac:dyDescent="0.25" r="297" customHeight="1" ht="17.25">
      <c r="A297" s="20" t="s">
        <v>12456</v>
      </c>
      <c r="B297" s="20" t="s">
        <v>482</v>
      </c>
      <c r="C297" s="20" t="s">
        <v>95</v>
      </c>
      <c r="D297" s="20" t="s">
        <v>34</v>
      </c>
      <c r="E297" s="21">
        <f>ROUND(11321*1.05,2)</f>
      </c>
      <c r="F297" s="20" t="s">
        <v>35</v>
      </c>
      <c r="G297" s="20" t="s">
        <v>18</v>
      </c>
      <c r="H297" s="21">
        <f>ROUND(RAND()*4+6,1)</f>
      </c>
      <c r="I297" s="20" t="s">
        <v>36</v>
      </c>
      <c r="J297" s="23">
        <f>ROUND(98*1,0)&amp;"%"</f>
      </c>
    </row>
    <row x14ac:dyDescent="0.25" r="298" customHeight="1" ht="17.25">
      <c r="A298" s="17" t="s">
        <v>12457</v>
      </c>
      <c r="B298" s="17" t="s">
        <v>484</v>
      </c>
      <c r="C298" s="17" t="s">
        <v>95</v>
      </c>
      <c r="D298" s="17" t="s">
        <v>39</v>
      </c>
      <c r="E298" s="18">
        <f>ROUND(6557*1.05,2)</f>
      </c>
      <c r="F298" s="17" t="s">
        <v>40</v>
      </c>
      <c r="G298" s="17" t="s">
        <v>24</v>
      </c>
      <c r="H298" s="18">
        <f>ROUND(RAND()*4+6,1)</f>
      </c>
      <c r="I298" s="17" t="s">
        <v>41</v>
      </c>
      <c r="J298" s="19">
        <f>ROUND(98*1,0)&amp;"%"</f>
      </c>
    </row>
    <row x14ac:dyDescent="0.25" r="299" customHeight="1" ht="17.25">
      <c r="A299" s="20" t="s">
        <v>12458</v>
      </c>
      <c r="B299" s="20" t="s">
        <v>486</v>
      </c>
      <c r="C299" s="20" t="s">
        <v>95</v>
      </c>
      <c r="D299" s="20" t="s">
        <v>67</v>
      </c>
      <c r="E299" s="21">
        <f>ROUND(10273*1.05,2)</f>
      </c>
      <c r="F299" s="20" t="s">
        <v>44</v>
      </c>
      <c r="G299" s="20" t="s">
        <v>30</v>
      </c>
      <c r="H299" s="21">
        <f>ROUND(RAND()*4+6,1)</f>
      </c>
      <c r="I299" s="20" t="s">
        <v>45</v>
      </c>
      <c r="J299" s="23">
        <f>ROUND(92*1,0)&amp;"%"</f>
      </c>
    </row>
    <row x14ac:dyDescent="0.25" r="300" customHeight="1" ht="17.25">
      <c r="A300" s="17" t="s">
        <v>12459</v>
      </c>
      <c r="B300" s="17" t="s">
        <v>488</v>
      </c>
      <c r="C300" s="17" t="s">
        <v>95</v>
      </c>
      <c r="D300" s="17" t="s">
        <v>16</v>
      </c>
      <c r="E300" s="18">
        <f>ROUND(16944*1.05,2)</f>
      </c>
      <c r="F300" s="17" t="s">
        <v>48</v>
      </c>
      <c r="G300" s="17" t="s">
        <v>18</v>
      </c>
      <c r="H300" s="18">
        <f>ROUND(RAND()*4+6,1)</f>
      </c>
      <c r="I300" s="17" t="s">
        <v>19</v>
      </c>
      <c r="J300" s="19">
        <f>ROUND(82*1,0)&amp;"%"</f>
      </c>
    </row>
    <row x14ac:dyDescent="0.25" r="301" customHeight="1" ht="17.25">
      <c r="A301" s="20" t="s">
        <v>12460</v>
      </c>
      <c r="B301" s="20" t="s">
        <v>490</v>
      </c>
      <c r="C301" s="20" t="s">
        <v>95</v>
      </c>
      <c r="D301" s="20" t="s">
        <v>22</v>
      </c>
      <c r="E301" s="21">
        <f>ROUND(8550*1.05,2)</f>
      </c>
      <c r="F301" s="20" t="s">
        <v>51</v>
      </c>
      <c r="G301" s="20" t="s">
        <v>24</v>
      </c>
      <c r="H301" s="21">
        <f>ROUND(RAND()*4+6,1)</f>
      </c>
      <c r="I301" s="20" t="s">
        <v>25</v>
      </c>
      <c r="J301" s="23">
        <f>ROUND(84*1,0)&amp;"%"</f>
      </c>
    </row>
    <row x14ac:dyDescent="0.25" r="302" customHeight="1" ht="17.25">
      <c r="A302" s="24" t="s">
        <v>491</v>
      </c>
      <c r="B302" s="24"/>
      <c r="C302" s="24"/>
      <c r="D302" s="24"/>
      <c r="E302" s="25">
        <v>8</v>
      </c>
      <c r="F302" s="9"/>
      <c r="G302" s="9"/>
      <c r="H302" s="10"/>
      <c r="I302" s="9"/>
      <c r="J302" s="9"/>
    </row>
    <row x14ac:dyDescent="0.25" r="303" customHeight="1" ht="17.25">
      <c r="A303" s="7"/>
      <c r="B303" s="7"/>
      <c r="C303" s="7"/>
      <c r="D303" s="7"/>
      <c r="E303" s="8"/>
      <c r="F303" s="9"/>
      <c r="G303" s="9"/>
      <c r="H303" s="10"/>
      <c r="I303" s="9"/>
      <c r="J303" s="9"/>
    </row>
    <row x14ac:dyDescent="0.25" r="304" customHeight="1" ht="17.25">
      <c r="A304" s="11" t="s">
        <v>12461</v>
      </c>
      <c r="B304" s="11"/>
      <c r="C304" s="11"/>
      <c r="D304" s="11"/>
      <c r="E304" s="12"/>
      <c r="F304" s="11"/>
      <c r="G304" s="11"/>
      <c r="H304" s="13"/>
      <c r="I304" s="11"/>
      <c r="J304" s="11"/>
    </row>
    <row x14ac:dyDescent="0.25" r="305" customHeight="1" ht="17.25">
      <c r="A305" s="14" t="s">
        <v>3</v>
      </c>
      <c r="B305" s="14" t="s">
        <v>4</v>
      </c>
      <c r="C305" s="14" t="s">
        <v>5</v>
      </c>
      <c r="D305" s="14" t="s">
        <v>6</v>
      </c>
      <c r="E305" s="15" t="s">
        <v>7</v>
      </c>
      <c r="F305" s="14" t="s">
        <v>8</v>
      </c>
      <c r="G305" s="14" t="s">
        <v>9</v>
      </c>
      <c r="H305" s="16" t="s">
        <v>10</v>
      </c>
      <c r="I305" s="14" t="s">
        <v>11</v>
      </c>
      <c r="J305" s="14" t="s">
        <v>12</v>
      </c>
    </row>
    <row x14ac:dyDescent="0.25" r="306" customHeight="1" ht="17.25">
      <c r="A306" s="17" t="s">
        <v>12462</v>
      </c>
      <c r="B306" s="17" t="s">
        <v>494</v>
      </c>
      <c r="C306" s="17" t="s">
        <v>114</v>
      </c>
      <c r="D306" s="17" t="s">
        <v>16</v>
      </c>
      <c r="E306" s="18">
        <f>ROUND(15288*1.05,2)</f>
      </c>
      <c r="F306" s="17" t="s">
        <v>17</v>
      </c>
      <c r="G306" s="17" t="s">
        <v>18</v>
      </c>
      <c r="H306" s="18">
        <f>ROUND(RAND()*4+6,1)</f>
      </c>
      <c r="I306" s="17" t="s">
        <v>19</v>
      </c>
      <c r="J306" s="19">
        <f>ROUND(76*1,0)&amp;"%"</f>
      </c>
    </row>
    <row x14ac:dyDescent="0.25" r="307" customHeight="1" ht="17.25">
      <c r="A307" s="20" t="s">
        <v>12463</v>
      </c>
      <c r="B307" s="20" t="s">
        <v>496</v>
      </c>
      <c r="C307" s="20" t="s">
        <v>114</v>
      </c>
      <c r="D307" s="20" t="s">
        <v>22</v>
      </c>
      <c r="E307" s="21">
        <f>ROUND(4024*1.05,2)</f>
      </c>
      <c r="F307" s="20" t="s">
        <v>23</v>
      </c>
      <c r="G307" s="20" t="s">
        <v>24</v>
      </c>
      <c r="H307" s="21">
        <f>ROUND(RAND()*4+6,1)</f>
      </c>
      <c r="I307" s="20" t="s">
        <v>25</v>
      </c>
      <c r="J307" s="23">
        <f>ROUND(88*1,0)&amp;"%"</f>
      </c>
    </row>
    <row x14ac:dyDescent="0.25" r="308" customHeight="1" ht="17.25">
      <c r="A308" s="17" t="s">
        <v>12464</v>
      </c>
      <c r="B308" s="17" t="s">
        <v>498</v>
      </c>
      <c r="C308" s="17" t="s">
        <v>114</v>
      </c>
      <c r="D308" s="17" t="s">
        <v>28</v>
      </c>
      <c r="E308" s="18">
        <f>ROUND(10585*1.05,2)</f>
      </c>
      <c r="F308" s="17" t="s">
        <v>29</v>
      </c>
      <c r="G308" s="17" t="s">
        <v>30</v>
      </c>
      <c r="H308" s="18">
        <f>ROUND(RAND()*4+6,1)</f>
      </c>
      <c r="I308" s="17" t="s">
        <v>31</v>
      </c>
      <c r="J308" s="19">
        <f>ROUND(66*1,0)&amp;"%"</f>
      </c>
    </row>
    <row x14ac:dyDescent="0.25" r="309" customHeight="1" ht="17.25">
      <c r="A309" s="20" t="s">
        <v>12465</v>
      </c>
      <c r="B309" s="20" t="s">
        <v>500</v>
      </c>
      <c r="C309" s="20" t="s">
        <v>114</v>
      </c>
      <c r="D309" s="20" t="s">
        <v>34</v>
      </c>
      <c r="E309" s="21">
        <f>ROUND(14362*1.05,2)</f>
      </c>
      <c r="F309" s="20" t="s">
        <v>35</v>
      </c>
      <c r="G309" s="20" t="s">
        <v>18</v>
      </c>
      <c r="H309" s="21">
        <f>ROUND(RAND()*4+6,1)</f>
      </c>
      <c r="I309" s="20" t="s">
        <v>36</v>
      </c>
      <c r="J309" s="23">
        <f>ROUND(94*1,0)&amp;"%"</f>
      </c>
    </row>
    <row x14ac:dyDescent="0.25" r="310" customHeight="1" ht="17.25">
      <c r="A310" s="17" t="s">
        <v>12466</v>
      </c>
      <c r="B310" s="17" t="s">
        <v>502</v>
      </c>
      <c r="C310" s="17" t="s">
        <v>114</v>
      </c>
      <c r="D310" s="17" t="s">
        <v>39</v>
      </c>
      <c r="E310" s="18">
        <f>ROUND(6768*1.05,2)</f>
      </c>
      <c r="F310" s="17" t="s">
        <v>40</v>
      </c>
      <c r="G310" s="17" t="s">
        <v>24</v>
      </c>
      <c r="H310" s="18">
        <f>ROUND(RAND()*4+6,1)</f>
      </c>
      <c r="I310" s="17" t="s">
        <v>41</v>
      </c>
      <c r="J310" s="19">
        <f>ROUND(74*1,0)&amp;"%"</f>
      </c>
    </row>
    <row x14ac:dyDescent="0.25" r="311" customHeight="1" ht="17.25">
      <c r="A311" s="20" t="s">
        <v>12467</v>
      </c>
      <c r="B311" s="20" t="s">
        <v>504</v>
      </c>
      <c r="C311" s="20" t="s">
        <v>114</v>
      </c>
      <c r="D311" s="20" t="s">
        <v>67</v>
      </c>
      <c r="E311" s="22">
        <f>ROUND(13520*1.05,2)</f>
      </c>
      <c r="F311" s="20" t="s">
        <v>44</v>
      </c>
      <c r="G311" s="20" t="s">
        <v>30</v>
      </c>
      <c r="H311" s="21">
        <f>ROUND(RAND()*4+6,1)</f>
      </c>
      <c r="I311" s="20" t="s">
        <v>45</v>
      </c>
      <c r="J311" s="23">
        <f>ROUND(85*1,0)&amp;"%"</f>
      </c>
    </row>
    <row x14ac:dyDescent="0.25" r="312" customHeight="1" ht="17.25">
      <c r="A312" s="17" t="s">
        <v>12468</v>
      </c>
      <c r="B312" s="17" t="s">
        <v>506</v>
      </c>
      <c r="C312" s="17" t="s">
        <v>114</v>
      </c>
      <c r="D312" s="17" t="s">
        <v>16</v>
      </c>
      <c r="E312" s="18">
        <f>ROUND(14830*1.05,2)</f>
      </c>
      <c r="F312" s="17" t="s">
        <v>48</v>
      </c>
      <c r="G312" s="17" t="s">
        <v>18</v>
      </c>
      <c r="H312" s="18">
        <f>ROUND(RAND()*4+6,1)</f>
      </c>
      <c r="I312" s="17" t="s">
        <v>19</v>
      </c>
      <c r="J312" s="19">
        <f>ROUND(91*1,0)&amp;"%"</f>
      </c>
    </row>
    <row x14ac:dyDescent="0.25" r="313" customHeight="1" ht="17.25">
      <c r="A313" s="20" t="s">
        <v>12469</v>
      </c>
      <c r="B313" s="20" t="s">
        <v>508</v>
      </c>
      <c r="C313" s="20" t="s">
        <v>114</v>
      </c>
      <c r="D313" s="20" t="s">
        <v>22</v>
      </c>
      <c r="E313" s="21">
        <f>ROUND(9946*1.05,2)</f>
      </c>
      <c r="F313" s="20" t="s">
        <v>51</v>
      </c>
      <c r="G313" s="20" t="s">
        <v>24</v>
      </c>
      <c r="H313" s="21">
        <f>ROUND(RAND()*4+6,1)</f>
      </c>
      <c r="I313" s="20" t="s">
        <v>25</v>
      </c>
      <c r="J313" s="23">
        <f>ROUND(83*1,0)&amp;"%"</f>
      </c>
    </row>
    <row x14ac:dyDescent="0.25" r="314" customHeight="1" ht="17.25">
      <c r="A314" s="24" t="s">
        <v>509</v>
      </c>
      <c r="B314" s="24"/>
      <c r="C314" s="24"/>
      <c r="D314" s="24"/>
      <c r="E314" s="25">
        <v>8</v>
      </c>
      <c r="F314" s="9"/>
      <c r="G314" s="9"/>
      <c r="H314" s="10"/>
      <c r="I314" s="9"/>
      <c r="J314" s="9"/>
    </row>
    <row x14ac:dyDescent="0.25" r="315" customHeight="1" ht="17.25">
      <c r="A315" s="7"/>
      <c r="B315" s="7"/>
      <c r="C315" s="7"/>
      <c r="D315" s="7"/>
      <c r="E315" s="8"/>
      <c r="F315" s="9"/>
      <c r="G315" s="9"/>
      <c r="H315" s="10"/>
      <c r="I315" s="9"/>
      <c r="J315" s="9"/>
    </row>
    <row x14ac:dyDescent="0.25" r="316" customHeight="1" ht="17.25">
      <c r="A316" s="11" t="s">
        <v>12470</v>
      </c>
      <c r="B316" s="11"/>
      <c r="C316" s="11"/>
      <c r="D316" s="11"/>
      <c r="E316" s="12"/>
      <c r="F316" s="11"/>
      <c r="G316" s="11"/>
      <c r="H316" s="13"/>
      <c r="I316" s="11"/>
      <c r="J316" s="11"/>
    </row>
    <row x14ac:dyDescent="0.25" r="317" customHeight="1" ht="17.25">
      <c r="A317" s="14" t="s">
        <v>3</v>
      </c>
      <c r="B317" s="14" t="s">
        <v>4</v>
      </c>
      <c r="C317" s="14" t="s">
        <v>5</v>
      </c>
      <c r="D317" s="14" t="s">
        <v>6</v>
      </c>
      <c r="E317" s="15" t="s">
        <v>7</v>
      </c>
      <c r="F317" s="14" t="s">
        <v>8</v>
      </c>
      <c r="G317" s="14" t="s">
        <v>9</v>
      </c>
      <c r="H317" s="16" t="s">
        <v>10</v>
      </c>
      <c r="I317" s="14" t="s">
        <v>11</v>
      </c>
      <c r="J317" s="14" t="s">
        <v>12</v>
      </c>
    </row>
    <row x14ac:dyDescent="0.25" r="318" customHeight="1" ht="17.25">
      <c r="A318" s="17" t="s">
        <v>12471</v>
      </c>
      <c r="B318" s="17" t="s">
        <v>512</v>
      </c>
      <c r="C318" s="17" t="s">
        <v>133</v>
      </c>
      <c r="D318" s="17" t="s">
        <v>16</v>
      </c>
      <c r="E318" s="18">
        <f>ROUND(15850*1.05,2)</f>
      </c>
      <c r="F318" s="17" t="s">
        <v>17</v>
      </c>
      <c r="G318" s="17" t="s">
        <v>18</v>
      </c>
      <c r="H318" s="18">
        <f>ROUND(RAND()*4+6,1)</f>
      </c>
      <c r="I318" s="17" t="s">
        <v>19</v>
      </c>
      <c r="J318" s="19">
        <f>ROUND(94*1,0)&amp;"%"</f>
      </c>
    </row>
    <row x14ac:dyDescent="0.25" r="319" customHeight="1" ht="17.25">
      <c r="A319" s="20" t="s">
        <v>12472</v>
      </c>
      <c r="B319" s="20" t="s">
        <v>514</v>
      </c>
      <c r="C319" s="20" t="s">
        <v>133</v>
      </c>
      <c r="D319" s="20" t="s">
        <v>22</v>
      </c>
      <c r="E319" s="21">
        <f>ROUND(13716*1.05,2)</f>
      </c>
      <c r="F319" s="20" t="s">
        <v>23</v>
      </c>
      <c r="G319" s="20" t="s">
        <v>24</v>
      </c>
      <c r="H319" s="21">
        <f>ROUND(RAND()*4+6,1)</f>
      </c>
      <c r="I319" s="20" t="s">
        <v>25</v>
      </c>
      <c r="J319" s="23">
        <f>ROUND(62*1,0)&amp;"%"</f>
      </c>
    </row>
    <row x14ac:dyDescent="0.25" r="320" customHeight="1" ht="17.25">
      <c r="A320" s="17" t="s">
        <v>12473</v>
      </c>
      <c r="B320" s="17" t="s">
        <v>516</v>
      </c>
      <c r="C320" s="17" t="s">
        <v>133</v>
      </c>
      <c r="D320" s="17" t="s">
        <v>28</v>
      </c>
      <c r="E320" s="18">
        <f>ROUND(9370*1.05,2)</f>
      </c>
      <c r="F320" s="17" t="s">
        <v>29</v>
      </c>
      <c r="G320" s="17" t="s">
        <v>30</v>
      </c>
      <c r="H320" s="18">
        <f>ROUND(RAND()*4+6,1)</f>
      </c>
      <c r="I320" s="17" t="s">
        <v>31</v>
      </c>
      <c r="J320" s="19">
        <f>ROUND(73*1,0)&amp;"%"</f>
      </c>
    </row>
    <row x14ac:dyDescent="0.25" r="321" customHeight="1" ht="17.25">
      <c r="A321" s="20" t="s">
        <v>12474</v>
      </c>
      <c r="B321" s="20" t="s">
        <v>518</v>
      </c>
      <c r="C321" s="20" t="s">
        <v>133</v>
      </c>
      <c r="D321" s="20" t="s">
        <v>34</v>
      </c>
      <c r="E321" s="21">
        <f>ROUND(9931*1.05,2)</f>
      </c>
      <c r="F321" s="20" t="s">
        <v>35</v>
      </c>
      <c r="G321" s="20" t="s">
        <v>18</v>
      </c>
      <c r="H321" s="21">
        <f>ROUND(RAND()*4+6,1)</f>
      </c>
      <c r="I321" s="20" t="s">
        <v>36</v>
      </c>
      <c r="J321" s="23">
        <f>ROUND(83*1,0)&amp;"%"</f>
      </c>
    </row>
    <row x14ac:dyDescent="0.25" r="322" customHeight="1" ht="17.25">
      <c r="A322" s="17" t="s">
        <v>12475</v>
      </c>
      <c r="B322" s="17" t="s">
        <v>520</v>
      </c>
      <c r="C322" s="17" t="s">
        <v>133</v>
      </c>
      <c r="D322" s="17" t="s">
        <v>39</v>
      </c>
      <c r="E322" s="18">
        <f>ROUND(13189*1.05,2)</f>
      </c>
      <c r="F322" s="17" t="s">
        <v>40</v>
      </c>
      <c r="G322" s="17" t="s">
        <v>24</v>
      </c>
      <c r="H322" s="18">
        <f>ROUND(RAND()*4+6,1)</f>
      </c>
      <c r="I322" s="17" t="s">
        <v>41</v>
      </c>
      <c r="J322" s="19">
        <f>ROUND(92*1,0)&amp;"%"</f>
      </c>
    </row>
    <row x14ac:dyDescent="0.25" r="323" customHeight="1" ht="17.25">
      <c r="A323" s="20" t="s">
        <v>12476</v>
      </c>
      <c r="B323" s="20" t="s">
        <v>522</v>
      </c>
      <c r="C323" s="20" t="s">
        <v>133</v>
      </c>
      <c r="D323" s="20" t="s">
        <v>67</v>
      </c>
      <c r="E323" s="21">
        <f>ROUND(17076*1.05,2)</f>
      </c>
      <c r="F323" s="20" t="s">
        <v>44</v>
      </c>
      <c r="G323" s="20" t="s">
        <v>30</v>
      </c>
      <c r="H323" s="21">
        <f>ROUND(RAND()*4+6,1)</f>
      </c>
      <c r="I323" s="20" t="s">
        <v>45</v>
      </c>
      <c r="J323" s="23">
        <f>ROUND(97*1,0)&amp;"%"</f>
      </c>
    </row>
    <row x14ac:dyDescent="0.25" r="324" customHeight="1" ht="17.25">
      <c r="A324" s="17" t="s">
        <v>12477</v>
      </c>
      <c r="B324" s="17" t="s">
        <v>524</v>
      </c>
      <c r="C324" s="17" t="s">
        <v>133</v>
      </c>
      <c r="D324" s="17" t="s">
        <v>16</v>
      </c>
      <c r="E324" s="18">
        <f>ROUND(14968*1.05,2)</f>
      </c>
      <c r="F324" s="17" t="s">
        <v>48</v>
      </c>
      <c r="G324" s="17" t="s">
        <v>18</v>
      </c>
      <c r="H324" s="18">
        <f>ROUND(RAND()*4+6,1)</f>
      </c>
      <c r="I324" s="17" t="s">
        <v>19</v>
      </c>
      <c r="J324" s="19">
        <f>ROUND(82*1,0)&amp;"%"</f>
      </c>
    </row>
    <row x14ac:dyDescent="0.25" r="325" customHeight="1" ht="17.25">
      <c r="A325" s="20" t="s">
        <v>12478</v>
      </c>
      <c r="B325" s="20" t="s">
        <v>526</v>
      </c>
      <c r="C325" s="20" t="s">
        <v>133</v>
      </c>
      <c r="D325" s="20" t="s">
        <v>22</v>
      </c>
      <c r="E325" s="21">
        <f>ROUND(9655*1.05,2)</f>
      </c>
      <c r="F325" s="20" t="s">
        <v>51</v>
      </c>
      <c r="G325" s="20" t="s">
        <v>24</v>
      </c>
      <c r="H325" s="21">
        <f>ROUND(RAND()*4+6,1)</f>
      </c>
      <c r="I325" s="20" t="s">
        <v>25</v>
      </c>
      <c r="J325" s="23">
        <f>ROUND(97*1,0)&amp;"%"</f>
      </c>
    </row>
    <row x14ac:dyDescent="0.25" r="326" customHeight="1" ht="17.25">
      <c r="A326" s="24" t="s">
        <v>527</v>
      </c>
      <c r="B326" s="24"/>
      <c r="C326" s="24"/>
      <c r="D326" s="24"/>
      <c r="E326" s="25">
        <v>8</v>
      </c>
      <c r="F326" s="9"/>
      <c r="G326" s="9"/>
      <c r="H326" s="10"/>
      <c r="I326" s="9"/>
      <c r="J326" s="9"/>
    </row>
    <row x14ac:dyDescent="0.25" r="327" customHeight="1" ht="17.25">
      <c r="A327" s="7"/>
      <c r="B327" s="7"/>
      <c r="C327" s="7"/>
      <c r="D327" s="7"/>
      <c r="E327" s="8"/>
      <c r="F327" s="9"/>
      <c r="G327" s="9"/>
      <c r="H327" s="10"/>
      <c r="I327" s="9"/>
      <c r="J327" s="9"/>
    </row>
    <row x14ac:dyDescent="0.25" r="328" customHeight="1" ht="17.25">
      <c r="A328" s="11" t="s">
        <v>12479</v>
      </c>
      <c r="B328" s="11"/>
      <c r="C328" s="11"/>
      <c r="D328" s="11"/>
      <c r="E328" s="12"/>
      <c r="F328" s="11"/>
      <c r="G328" s="11"/>
      <c r="H328" s="13"/>
      <c r="I328" s="11"/>
      <c r="J328" s="11"/>
    </row>
    <row x14ac:dyDescent="0.25" r="329" customHeight="1" ht="17.25">
      <c r="A329" s="14" t="s">
        <v>3</v>
      </c>
      <c r="B329" s="14" t="s">
        <v>4</v>
      </c>
      <c r="C329" s="14" t="s">
        <v>5</v>
      </c>
      <c r="D329" s="14" t="s">
        <v>6</v>
      </c>
      <c r="E329" s="15" t="s">
        <v>7</v>
      </c>
      <c r="F329" s="14" t="s">
        <v>8</v>
      </c>
      <c r="G329" s="14" t="s">
        <v>9</v>
      </c>
      <c r="H329" s="16" t="s">
        <v>10</v>
      </c>
      <c r="I329" s="14" t="s">
        <v>11</v>
      </c>
      <c r="J329" s="14" t="s">
        <v>12</v>
      </c>
    </row>
    <row x14ac:dyDescent="0.25" r="330" customHeight="1" ht="17.25">
      <c r="A330" s="17" t="s">
        <v>12480</v>
      </c>
      <c r="B330" s="17" t="s">
        <v>530</v>
      </c>
      <c r="C330" s="17" t="s">
        <v>152</v>
      </c>
      <c r="D330" s="17" t="s">
        <v>16</v>
      </c>
      <c r="E330" s="18">
        <f>ROUND(12184*1.05,2)</f>
      </c>
      <c r="F330" s="17" t="s">
        <v>17</v>
      </c>
      <c r="G330" s="17" t="s">
        <v>18</v>
      </c>
      <c r="H330" s="18">
        <f>ROUND(RAND()*4+6,1)</f>
      </c>
      <c r="I330" s="17" t="s">
        <v>19</v>
      </c>
      <c r="J330" s="19">
        <f>ROUND(75*1,0)&amp;"%"</f>
      </c>
    </row>
    <row x14ac:dyDescent="0.25" r="331" customHeight="1" ht="17.25">
      <c r="A331" s="20" t="s">
        <v>12481</v>
      </c>
      <c r="B331" s="20" t="s">
        <v>532</v>
      </c>
      <c r="C331" s="20" t="s">
        <v>152</v>
      </c>
      <c r="D331" s="20" t="s">
        <v>22</v>
      </c>
      <c r="E331" s="21">
        <f>ROUND(12565*1.05,2)</f>
      </c>
      <c r="F331" s="20" t="s">
        <v>23</v>
      </c>
      <c r="G331" s="20" t="s">
        <v>24</v>
      </c>
      <c r="H331" s="21">
        <f>ROUND(RAND()*4+6,1)</f>
      </c>
      <c r="I331" s="20" t="s">
        <v>25</v>
      </c>
      <c r="J331" s="23">
        <f>ROUND(83*1,0)&amp;"%"</f>
      </c>
    </row>
    <row x14ac:dyDescent="0.25" r="332" customHeight="1" ht="17.25">
      <c r="A332" s="17" t="s">
        <v>12482</v>
      </c>
      <c r="B332" s="17" t="s">
        <v>534</v>
      </c>
      <c r="C332" s="17" t="s">
        <v>152</v>
      </c>
      <c r="D332" s="17" t="s">
        <v>28</v>
      </c>
      <c r="E332" s="18">
        <f>ROUND(5852*1.05,2)</f>
      </c>
      <c r="F332" s="17" t="s">
        <v>29</v>
      </c>
      <c r="G332" s="17" t="s">
        <v>30</v>
      </c>
      <c r="H332" s="18">
        <f>ROUND(RAND()*4+6,1)</f>
      </c>
      <c r="I332" s="17" t="s">
        <v>31</v>
      </c>
      <c r="J332" s="19">
        <f>ROUND(94*1,0)&amp;"%"</f>
      </c>
    </row>
    <row x14ac:dyDescent="0.25" r="333" customHeight="1" ht="17.25">
      <c r="A333" s="20" t="s">
        <v>12483</v>
      </c>
      <c r="B333" s="20" t="s">
        <v>536</v>
      </c>
      <c r="C333" s="20" t="s">
        <v>152</v>
      </c>
      <c r="D333" s="20" t="s">
        <v>34</v>
      </c>
      <c r="E333" s="21">
        <f>ROUND(17869*1.05,2)</f>
      </c>
      <c r="F333" s="20" t="s">
        <v>35</v>
      </c>
      <c r="G333" s="20" t="s">
        <v>18</v>
      </c>
      <c r="H333" s="21">
        <f>ROUND(RAND()*4+6,1)</f>
      </c>
      <c r="I333" s="20" t="s">
        <v>36</v>
      </c>
      <c r="J333" s="23">
        <f>ROUND(82*1,0)&amp;"%"</f>
      </c>
    </row>
    <row x14ac:dyDescent="0.25" r="334" customHeight="1" ht="17.25">
      <c r="A334" s="17" t="s">
        <v>12484</v>
      </c>
      <c r="B334" s="17" t="s">
        <v>538</v>
      </c>
      <c r="C334" s="17" t="s">
        <v>152</v>
      </c>
      <c r="D334" s="17" t="s">
        <v>39</v>
      </c>
      <c r="E334" s="18">
        <f>ROUND(17769*1.05,2)</f>
      </c>
      <c r="F334" s="17" t="s">
        <v>40</v>
      </c>
      <c r="G334" s="17" t="s">
        <v>24</v>
      </c>
      <c r="H334" s="18">
        <f>ROUND(RAND()*4+6,1)</f>
      </c>
      <c r="I334" s="17" t="s">
        <v>41</v>
      </c>
      <c r="J334" s="19">
        <f>ROUND(94*1,0)&amp;"%"</f>
      </c>
    </row>
    <row x14ac:dyDescent="0.25" r="335" customHeight="1" ht="17.25">
      <c r="A335" s="20" t="s">
        <v>12485</v>
      </c>
      <c r="B335" s="20" t="s">
        <v>540</v>
      </c>
      <c r="C335" s="20" t="s">
        <v>152</v>
      </c>
      <c r="D335" s="20" t="s">
        <v>67</v>
      </c>
      <c r="E335" s="21">
        <f>ROUND(14257*1.05,2)</f>
      </c>
      <c r="F335" s="20" t="s">
        <v>44</v>
      </c>
      <c r="G335" s="20" t="s">
        <v>30</v>
      </c>
      <c r="H335" s="21">
        <f>ROUND(RAND()*4+6,1)</f>
      </c>
      <c r="I335" s="20" t="s">
        <v>45</v>
      </c>
      <c r="J335" s="23">
        <f>ROUND(64*1,0)&amp;"%"</f>
      </c>
    </row>
    <row x14ac:dyDescent="0.25" r="336" customHeight="1" ht="17.25">
      <c r="A336" s="17" t="s">
        <v>12486</v>
      </c>
      <c r="B336" s="17" t="s">
        <v>542</v>
      </c>
      <c r="C336" s="17" t="s">
        <v>152</v>
      </c>
      <c r="D336" s="17" t="s">
        <v>16</v>
      </c>
      <c r="E336" s="18">
        <f>ROUND(11641*1.05,2)</f>
      </c>
      <c r="F336" s="17" t="s">
        <v>48</v>
      </c>
      <c r="G336" s="17" t="s">
        <v>18</v>
      </c>
      <c r="H336" s="18">
        <f>ROUND(RAND()*4+6,1)</f>
      </c>
      <c r="I336" s="17" t="s">
        <v>19</v>
      </c>
      <c r="J336" s="19">
        <f>ROUND(90*1,0)&amp;"%"</f>
      </c>
    </row>
    <row x14ac:dyDescent="0.25" r="337" customHeight="1" ht="17.25">
      <c r="A337" s="20" t="s">
        <v>12487</v>
      </c>
      <c r="B337" s="20" t="s">
        <v>544</v>
      </c>
      <c r="C337" s="20" t="s">
        <v>152</v>
      </c>
      <c r="D337" s="20" t="s">
        <v>22</v>
      </c>
      <c r="E337" s="21">
        <f>ROUND(11139*1.05,2)</f>
      </c>
      <c r="F337" s="20" t="s">
        <v>51</v>
      </c>
      <c r="G337" s="20" t="s">
        <v>24</v>
      </c>
      <c r="H337" s="21">
        <f>ROUND(RAND()*4+6,1)</f>
      </c>
      <c r="I337" s="20" t="s">
        <v>25</v>
      </c>
      <c r="J337" s="23">
        <f>ROUND(93*1,0)&amp;"%"</f>
      </c>
    </row>
    <row x14ac:dyDescent="0.25" r="338" customHeight="1" ht="17.25">
      <c r="A338" s="24" t="s">
        <v>545</v>
      </c>
      <c r="B338" s="24"/>
      <c r="C338" s="24"/>
      <c r="D338" s="24"/>
      <c r="E338" s="25">
        <v>8</v>
      </c>
      <c r="F338" s="9"/>
      <c r="G338" s="9"/>
      <c r="H338" s="10"/>
      <c r="I338" s="9"/>
      <c r="J338" s="9"/>
    </row>
    <row x14ac:dyDescent="0.25" r="339" customHeight="1" ht="17.25">
      <c r="A339" s="7"/>
      <c r="B339" s="7"/>
      <c r="C339" s="7"/>
      <c r="D339" s="7"/>
      <c r="E339" s="8"/>
      <c r="F339" s="9"/>
      <c r="G339" s="9"/>
      <c r="H339" s="10"/>
      <c r="I339" s="9"/>
      <c r="J339" s="9"/>
    </row>
    <row x14ac:dyDescent="0.25" r="340" customHeight="1" ht="17.25">
      <c r="A340" s="11" t="s">
        <v>12488</v>
      </c>
      <c r="B340" s="11"/>
      <c r="C340" s="11"/>
      <c r="D340" s="11"/>
      <c r="E340" s="12"/>
      <c r="F340" s="11"/>
      <c r="G340" s="11"/>
      <c r="H340" s="13"/>
      <c r="I340" s="11"/>
      <c r="J340" s="11"/>
    </row>
    <row x14ac:dyDescent="0.25" r="341" customHeight="1" ht="17.25">
      <c r="A341" s="14" t="s">
        <v>3</v>
      </c>
      <c r="B341" s="14" t="s">
        <v>4</v>
      </c>
      <c r="C341" s="14" t="s">
        <v>5</v>
      </c>
      <c r="D341" s="14" t="s">
        <v>6</v>
      </c>
      <c r="E341" s="15" t="s">
        <v>7</v>
      </c>
      <c r="F341" s="14" t="s">
        <v>8</v>
      </c>
      <c r="G341" s="14" t="s">
        <v>9</v>
      </c>
      <c r="H341" s="16" t="s">
        <v>10</v>
      </c>
      <c r="I341" s="14" t="s">
        <v>11</v>
      </c>
      <c r="J341" s="14" t="s">
        <v>12</v>
      </c>
    </row>
    <row x14ac:dyDescent="0.25" r="342" customHeight="1" ht="17.25">
      <c r="A342" s="17" t="s">
        <v>12489</v>
      </c>
      <c r="B342" s="17" t="s">
        <v>548</v>
      </c>
      <c r="C342" s="17" t="s">
        <v>15</v>
      </c>
      <c r="D342" s="17" t="s">
        <v>16</v>
      </c>
      <c r="E342" s="18">
        <f>ROUND(4484*1.05,2)</f>
      </c>
      <c r="F342" s="17" t="s">
        <v>17</v>
      </c>
      <c r="G342" s="17" t="s">
        <v>18</v>
      </c>
      <c r="H342" s="26">
        <f>ROUND(RAND()*4+6,1)</f>
      </c>
      <c r="I342" s="17" t="s">
        <v>19</v>
      </c>
      <c r="J342" s="19">
        <f>ROUND(74*1,0)&amp;"%"</f>
      </c>
    </row>
    <row x14ac:dyDescent="0.25" r="343" customHeight="1" ht="17.25">
      <c r="A343" s="20" t="s">
        <v>12490</v>
      </c>
      <c r="B343" s="20" t="s">
        <v>550</v>
      </c>
      <c r="C343" s="20" t="s">
        <v>15</v>
      </c>
      <c r="D343" s="20" t="s">
        <v>22</v>
      </c>
      <c r="E343" s="21">
        <f>ROUND(17409*1.05,2)</f>
      </c>
      <c r="F343" s="20" t="s">
        <v>23</v>
      </c>
      <c r="G343" s="20" t="s">
        <v>24</v>
      </c>
      <c r="H343" s="21">
        <f>ROUND(RAND()*4+6,1)</f>
      </c>
      <c r="I343" s="20" t="s">
        <v>25</v>
      </c>
      <c r="J343" s="23">
        <f>ROUND(60*1,0)&amp;"%"</f>
      </c>
    </row>
    <row x14ac:dyDescent="0.25" r="344" customHeight="1" ht="17.25">
      <c r="A344" s="17" t="s">
        <v>12491</v>
      </c>
      <c r="B344" s="17" t="s">
        <v>552</v>
      </c>
      <c r="C344" s="17" t="s">
        <v>15</v>
      </c>
      <c r="D344" s="17" t="s">
        <v>28</v>
      </c>
      <c r="E344" s="26">
        <f>ROUND(6980*1.05,2)</f>
      </c>
      <c r="F344" s="17" t="s">
        <v>29</v>
      </c>
      <c r="G344" s="17" t="s">
        <v>30</v>
      </c>
      <c r="H344" s="18">
        <f>ROUND(RAND()*4+6,1)</f>
      </c>
      <c r="I344" s="17" t="s">
        <v>31</v>
      </c>
      <c r="J344" s="19">
        <f>ROUND(65*1,0)&amp;"%"</f>
      </c>
    </row>
    <row x14ac:dyDescent="0.25" r="345" customHeight="1" ht="17.25">
      <c r="A345" s="20" t="s">
        <v>12492</v>
      </c>
      <c r="B345" s="20" t="s">
        <v>554</v>
      </c>
      <c r="C345" s="20" t="s">
        <v>15</v>
      </c>
      <c r="D345" s="20" t="s">
        <v>34</v>
      </c>
      <c r="E345" s="21">
        <f>ROUND(12814*1.05,2)</f>
      </c>
      <c r="F345" s="20" t="s">
        <v>35</v>
      </c>
      <c r="G345" s="20" t="s">
        <v>18</v>
      </c>
      <c r="H345" s="21">
        <f>ROUND(RAND()*4+6,1)</f>
      </c>
      <c r="I345" s="20" t="s">
        <v>36</v>
      </c>
      <c r="J345" s="23">
        <f>ROUND(99*1,0)&amp;"%"</f>
      </c>
    </row>
    <row x14ac:dyDescent="0.25" r="346" customHeight="1" ht="17.25">
      <c r="A346" s="17" t="s">
        <v>12493</v>
      </c>
      <c r="B346" s="17" t="s">
        <v>556</v>
      </c>
      <c r="C346" s="17" t="s">
        <v>15</v>
      </c>
      <c r="D346" s="17" t="s">
        <v>39</v>
      </c>
      <c r="E346" s="18">
        <f>ROUND(17021*1.05,2)</f>
      </c>
      <c r="F346" s="17" t="s">
        <v>40</v>
      </c>
      <c r="G346" s="17" t="s">
        <v>24</v>
      </c>
      <c r="H346" s="18">
        <f>ROUND(RAND()*4+6,1)</f>
      </c>
      <c r="I346" s="17" t="s">
        <v>41</v>
      </c>
      <c r="J346" s="19">
        <f>ROUND(92*1,0)&amp;"%"</f>
      </c>
    </row>
    <row x14ac:dyDescent="0.25" r="347" customHeight="1" ht="17.25">
      <c r="A347" s="20" t="s">
        <v>12494</v>
      </c>
      <c r="B347" s="20" t="s">
        <v>558</v>
      </c>
      <c r="C347" s="20" t="s">
        <v>15</v>
      </c>
      <c r="D347" s="20" t="s">
        <v>67</v>
      </c>
      <c r="E347" s="21">
        <f>ROUND(15897*1.05,2)</f>
      </c>
      <c r="F347" s="20" t="s">
        <v>44</v>
      </c>
      <c r="G347" s="20" t="s">
        <v>30</v>
      </c>
      <c r="H347" s="21">
        <f>ROUND(RAND()*4+6,1)</f>
      </c>
      <c r="I347" s="20" t="s">
        <v>45</v>
      </c>
      <c r="J347" s="23">
        <f>ROUND(99*1,0)&amp;"%"</f>
      </c>
    </row>
    <row x14ac:dyDescent="0.25" r="348" customHeight="1" ht="17.25">
      <c r="A348" s="17" t="s">
        <v>12495</v>
      </c>
      <c r="B348" s="17" t="s">
        <v>560</v>
      </c>
      <c r="C348" s="17" t="s">
        <v>15</v>
      </c>
      <c r="D348" s="17" t="s">
        <v>16</v>
      </c>
      <c r="E348" s="18">
        <f>ROUND(10490*1.05,2)</f>
      </c>
      <c r="F348" s="17" t="s">
        <v>48</v>
      </c>
      <c r="G348" s="17" t="s">
        <v>18</v>
      </c>
      <c r="H348" s="18">
        <f>ROUND(RAND()*4+6,1)</f>
      </c>
      <c r="I348" s="17" t="s">
        <v>19</v>
      </c>
      <c r="J348" s="19">
        <f>ROUND(83*1,0)&amp;"%"</f>
      </c>
    </row>
    <row x14ac:dyDescent="0.25" r="349" customHeight="1" ht="17.25">
      <c r="A349" s="20" t="s">
        <v>12496</v>
      </c>
      <c r="B349" s="20" t="s">
        <v>562</v>
      </c>
      <c r="C349" s="20" t="s">
        <v>15</v>
      </c>
      <c r="D349" s="20" t="s">
        <v>22</v>
      </c>
      <c r="E349" s="21">
        <f>ROUND(16664*1.05,2)</f>
      </c>
      <c r="F349" s="20" t="s">
        <v>51</v>
      </c>
      <c r="G349" s="20" t="s">
        <v>24</v>
      </c>
      <c r="H349" s="21">
        <f>ROUND(RAND()*4+6,1)</f>
      </c>
      <c r="I349" s="20" t="s">
        <v>25</v>
      </c>
      <c r="J349" s="23">
        <f>ROUND(92*1,0)&amp;"%"</f>
      </c>
    </row>
    <row x14ac:dyDescent="0.25" r="350" customHeight="1" ht="17.25">
      <c r="A350" s="24" t="s">
        <v>563</v>
      </c>
      <c r="B350" s="24"/>
      <c r="C350" s="24"/>
      <c r="D350" s="24"/>
      <c r="E350" s="25">
        <v>8</v>
      </c>
      <c r="F350" s="9"/>
      <c r="G350" s="9"/>
      <c r="H350" s="10"/>
      <c r="I350" s="9"/>
      <c r="J350" s="9"/>
    </row>
    <row x14ac:dyDescent="0.25" r="351" customHeight="1" ht="17.25">
      <c r="A351" s="7"/>
      <c r="B351" s="7"/>
      <c r="C351" s="7"/>
      <c r="D351" s="7"/>
      <c r="E351" s="8"/>
      <c r="F351" s="9"/>
      <c r="G351" s="9"/>
      <c r="H351" s="10"/>
      <c r="I351" s="9"/>
      <c r="J351" s="9"/>
    </row>
    <row x14ac:dyDescent="0.25" r="352" customHeight="1" ht="17.25">
      <c r="A352" s="11" t="s">
        <v>12497</v>
      </c>
      <c r="B352" s="11"/>
      <c r="C352" s="11"/>
      <c r="D352" s="11"/>
      <c r="E352" s="12"/>
      <c r="F352" s="11"/>
      <c r="G352" s="11"/>
      <c r="H352" s="13"/>
      <c r="I352" s="11"/>
      <c r="J352" s="11"/>
    </row>
    <row x14ac:dyDescent="0.25" r="353" customHeight="1" ht="17.25">
      <c r="A353" s="14" t="s">
        <v>3</v>
      </c>
      <c r="B353" s="14" t="s">
        <v>4</v>
      </c>
      <c r="C353" s="14" t="s">
        <v>5</v>
      </c>
      <c r="D353" s="14" t="s">
        <v>6</v>
      </c>
      <c r="E353" s="15" t="s">
        <v>7</v>
      </c>
      <c r="F353" s="14" t="s">
        <v>8</v>
      </c>
      <c r="G353" s="14" t="s">
        <v>9</v>
      </c>
      <c r="H353" s="16" t="s">
        <v>10</v>
      </c>
      <c r="I353" s="14" t="s">
        <v>11</v>
      </c>
      <c r="J353" s="14" t="s">
        <v>12</v>
      </c>
    </row>
    <row x14ac:dyDescent="0.25" r="354" customHeight="1" ht="17.25">
      <c r="A354" s="17" t="s">
        <v>12498</v>
      </c>
      <c r="B354" s="17" t="s">
        <v>566</v>
      </c>
      <c r="C354" s="17" t="s">
        <v>56</v>
      </c>
      <c r="D354" s="17" t="s">
        <v>16</v>
      </c>
      <c r="E354" s="18">
        <f>ROUND(11957*1.05,2)</f>
      </c>
      <c r="F354" s="17" t="s">
        <v>17</v>
      </c>
      <c r="G354" s="17" t="s">
        <v>18</v>
      </c>
      <c r="H354" s="18">
        <f>ROUND(RAND()*4+6,1)</f>
      </c>
      <c r="I354" s="17" t="s">
        <v>19</v>
      </c>
      <c r="J354" s="19">
        <f>ROUND(87*1,0)&amp;"%"</f>
      </c>
    </row>
    <row x14ac:dyDescent="0.25" r="355" customHeight="1" ht="17.25">
      <c r="A355" s="20" t="s">
        <v>12499</v>
      </c>
      <c r="B355" s="20" t="s">
        <v>568</v>
      </c>
      <c r="C355" s="20" t="s">
        <v>56</v>
      </c>
      <c r="D355" s="20" t="s">
        <v>22</v>
      </c>
      <c r="E355" s="21">
        <f>ROUND(5066*1.05,2)</f>
      </c>
      <c r="F355" s="20" t="s">
        <v>23</v>
      </c>
      <c r="G355" s="20" t="s">
        <v>24</v>
      </c>
      <c r="H355" s="21">
        <f>ROUND(RAND()*4+6,1)</f>
      </c>
      <c r="I355" s="20" t="s">
        <v>25</v>
      </c>
      <c r="J355" s="23">
        <f>ROUND(74*1,0)&amp;"%"</f>
      </c>
    </row>
    <row x14ac:dyDescent="0.25" r="356" customHeight="1" ht="17.25">
      <c r="A356" s="17" t="s">
        <v>12500</v>
      </c>
      <c r="B356" s="17" t="s">
        <v>570</v>
      </c>
      <c r="C356" s="17" t="s">
        <v>56</v>
      </c>
      <c r="D356" s="17" t="s">
        <v>28</v>
      </c>
      <c r="E356" s="18">
        <f>ROUND(6076*1.05,2)</f>
      </c>
      <c r="F356" s="17" t="s">
        <v>29</v>
      </c>
      <c r="G356" s="17" t="s">
        <v>30</v>
      </c>
      <c r="H356" s="18">
        <f>ROUND(RAND()*4+6,1)</f>
      </c>
      <c r="I356" s="17" t="s">
        <v>31</v>
      </c>
      <c r="J356" s="19">
        <f>ROUND(85*1,0)&amp;"%"</f>
      </c>
    </row>
    <row x14ac:dyDescent="0.25" r="357" customHeight="1" ht="17.25">
      <c r="A357" s="20" t="s">
        <v>12501</v>
      </c>
      <c r="B357" s="20" t="s">
        <v>572</v>
      </c>
      <c r="C357" s="20" t="s">
        <v>56</v>
      </c>
      <c r="D357" s="20" t="s">
        <v>34</v>
      </c>
      <c r="E357" s="21">
        <f>ROUND(9362*1.05,2)</f>
      </c>
      <c r="F357" s="20" t="s">
        <v>35</v>
      </c>
      <c r="G357" s="20" t="s">
        <v>18</v>
      </c>
      <c r="H357" s="21">
        <f>ROUND(RAND()*4+6,1)</f>
      </c>
      <c r="I357" s="20" t="s">
        <v>36</v>
      </c>
      <c r="J357" s="23">
        <f>ROUND(90*1,0)&amp;"%"</f>
      </c>
    </row>
    <row x14ac:dyDescent="0.25" r="358" customHeight="1" ht="17.25">
      <c r="A358" s="17" t="s">
        <v>12502</v>
      </c>
      <c r="B358" s="17" t="s">
        <v>574</v>
      </c>
      <c r="C358" s="17" t="s">
        <v>56</v>
      </c>
      <c r="D358" s="17" t="s">
        <v>39</v>
      </c>
      <c r="E358" s="18">
        <f>ROUND(8265*1.05,2)</f>
      </c>
      <c r="F358" s="17" t="s">
        <v>40</v>
      </c>
      <c r="G358" s="17" t="s">
        <v>24</v>
      </c>
      <c r="H358" s="18">
        <f>ROUND(RAND()*4+6,1)</f>
      </c>
      <c r="I358" s="17" t="s">
        <v>41</v>
      </c>
      <c r="J358" s="19">
        <f>ROUND(77*1,0)&amp;"%"</f>
      </c>
    </row>
    <row x14ac:dyDescent="0.25" r="359" customHeight="1" ht="17.25">
      <c r="A359" s="20" t="s">
        <v>12503</v>
      </c>
      <c r="B359" s="20" t="s">
        <v>576</v>
      </c>
      <c r="C359" s="20" t="s">
        <v>56</v>
      </c>
      <c r="D359" s="20" t="s">
        <v>67</v>
      </c>
      <c r="E359" s="21">
        <f>ROUND(5483*1.05,2)</f>
      </c>
      <c r="F359" s="20" t="s">
        <v>44</v>
      </c>
      <c r="G359" s="20" t="s">
        <v>30</v>
      </c>
      <c r="H359" s="21">
        <f>ROUND(RAND()*4+6,1)</f>
      </c>
      <c r="I359" s="20" t="s">
        <v>45</v>
      </c>
      <c r="J359" s="23">
        <f>ROUND(65*1,0)&amp;"%"</f>
      </c>
    </row>
    <row x14ac:dyDescent="0.25" r="360" customHeight="1" ht="17.25">
      <c r="A360" s="17" t="s">
        <v>12504</v>
      </c>
      <c r="B360" s="17" t="s">
        <v>578</v>
      </c>
      <c r="C360" s="17" t="s">
        <v>56</v>
      </c>
      <c r="D360" s="17" t="s">
        <v>16</v>
      </c>
      <c r="E360" s="18">
        <f>ROUND(11978*1.05,2)</f>
      </c>
      <c r="F360" s="17" t="s">
        <v>48</v>
      </c>
      <c r="G360" s="17" t="s">
        <v>18</v>
      </c>
      <c r="H360" s="18">
        <f>ROUND(RAND()*4+6,1)</f>
      </c>
      <c r="I360" s="17" t="s">
        <v>19</v>
      </c>
      <c r="J360" s="19">
        <f>ROUND(81*1,0)&amp;"%"</f>
      </c>
    </row>
    <row x14ac:dyDescent="0.25" r="361" customHeight="1" ht="17.25">
      <c r="A361" s="20" t="s">
        <v>12505</v>
      </c>
      <c r="B361" s="20" t="s">
        <v>580</v>
      </c>
      <c r="C361" s="20" t="s">
        <v>56</v>
      </c>
      <c r="D361" s="20" t="s">
        <v>22</v>
      </c>
      <c r="E361" s="21">
        <f>ROUND(17381*1.05,2)</f>
      </c>
      <c r="F361" s="20" t="s">
        <v>51</v>
      </c>
      <c r="G361" s="20" t="s">
        <v>24</v>
      </c>
      <c r="H361" s="21">
        <f>ROUND(RAND()*4+6,1)</f>
      </c>
      <c r="I361" s="20" t="s">
        <v>25</v>
      </c>
      <c r="J361" s="23">
        <f>ROUND(75*1,0)&amp;"%"</f>
      </c>
    </row>
    <row x14ac:dyDescent="0.25" r="362" customHeight="1" ht="17.25">
      <c r="A362" s="24" t="s">
        <v>581</v>
      </c>
      <c r="B362" s="24"/>
      <c r="C362" s="24"/>
      <c r="D362" s="24"/>
      <c r="E362" s="25">
        <v>8</v>
      </c>
      <c r="F362" s="9"/>
      <c r="G362" s="9"/>
      <c r="H362" s="10"/>
      <c r="I362" s="9"/>
      <c r="J362" s="9"/>
    </row>
  </sheetData>
  <mergeCells count="62">
    <mergeCell ref="A1:J1"/>
    <mergeCell ref="A2:J2"/>
    <mergeCell ref="A4:J4"/>
    <mergeCell ref="A14:D14"/>
    <mergeCell ref="A16:J16"/>
    <mergeCell ref="A26:D26"/>
    <mergeCell ref="A28:J28"/>
    <mergeCell ref="A38:D38"/>
    <mergeCell ref="A40:J40"/>
    <mergeCell ref="A50:D50"/>
    <mergeCell ref="A52:J52"/>
    <mergeCell ref="A62:D62"/>
    <mergeCell ref="A64:J64"/>
    <mergeCell ref="A74:D74"/>
    <mergeCell ref="A76:J76"/>
    <mergeCell ref="A86:D86"/>
    <mergeCell ref="A88:J88"/>
    <mergeCell ref="A98:D98"/>
    <mergeCell ref="A100:J100"/>
    <mergeCell ref="A110:D110"/>
    <mergeCell ref="A112:J112"/>
    <mergeCell ref="A122:D122"/>
    <mergeCell ref="A124:J124"/>
    <mergeCell ref="A134:D134"/>
    <mergeCell ref="A136:J136"/>
    <mergeCell ref="A146:D146"/>
    <mergeCell ref="A148:J148"/>
    <mergeCell ref="A158:D158"/>
    <mergeCell ref="A160:J160"/>
    <mergeCell ref="A170:D170"/>
    <mergeCell ref="A172:J172"/>
    <mergeCell ref="A182:D182"/>
    <mergeCell ref="A184:J184"/>
    <mergeCell ref="A194:D194"/>
    <mergeCell ref="A196:J196"/>
    <mergeCell ref="A206:D206"/>
    <mergeCell ref="A208:J208"/>
    <mergeCell ref="A218:D218"/>
    <mergeCell ref="A220:J220"/>
    <mergeCell ref="A230:D230"/>
    <mergeCell ref="A232:J232"/>
    <mergeCell ref="A242:D242"/>
    <mergeCell ref="A244:J244"/>
    <mergeCell ref="A254:D254"/>
    <mergeCell ref="A256:J256"/>
    <mergeCell ref="A266:D266"/>
    <mergeCell ref="A268:J268"/>
    <mergeCell ref="A278:D278"/>
    <mergeCell ref="A280:J280"/>
    <mergeCell ref="A290:D290"/>
    <mergeCell ref="A292:J292"/>
    <mergeCell ref="A302:D302"/>
    <mergeCell ref="A304:J304"/>
    <mergeCell ref="A314:D314"/>
    <mergeCell ref="A316:J316"/>
    <mergeCell ref="A326:D326"/>
    <mergeCell ref="A328:J328"/>
    <mergeCell ref="A338:D338"/>
    <mergeCell ref="A340:J340"/>
    <mergeCell ref="A350:D350"/>
    <mergeCell ref="A352:J352"/>
    <mergeCell ref="A362:D36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J362"/>
  <sheetViews>
    <sheetView workbookViewId="0"/>
  </sheetViews>
  <sheetFormatPr defaultRowHeight="15" x14ac:dyDescent="0.25"/>
  <cols>
    <col min="1" max="1" style="27" width="8.005" customWidth="1" bestFit="1"/>
    <col min="2" max="2" style="27" width="22.005" customWidth="1" bestFit="1"/>
    <col min="3" max="3" style="27" width="16.005" customWidth="1" bestFit="1"/>
    <col min="4" max="4" style="27" width="14.005" customWidth="1" bestFit="1"/>
    <col min="5" max="5" style="28" width="12.005" customWidth="1" bestFit="1"/>
    <col min="6" max="6" style="29" width="16.005" customWidth="1" bestFit="1"/>
    <col min="7" max="7" style="29" width="10.005" customWidth="1" bestFit="1"/>
    <col min="8" max="8" style="30" width="10.005" customWidth="1" bestFit="1"/>
    <col min="9" max="9" style="29" width="14.005" customWidth="1" bestFit="1"/>
    <col min="10" max="10" style="29" width="8.005" customWidth="1" bestFit="1"/>
  </cols>
  <sheetData>
    <row x14ac:dyDescent="0.25" r="1" customHeight="1" ht="17.25">
      <c r="A1" s="1" t="s">
        <v>11964</v>
      </c>
      <c r="B1" s="1"/>
      <c r="C1" s="1"/>
      <c r="D1" s="1"/>
      <c r="E1" s="2"/>
      <c r="F1" s="1"/>
      <c r="G1" s="1"/>
      <c r="H1" s="3"/>
      <c r="I1" s="1"/>
      <c r="J1" s="1"/>
    </row>
    <row x14ac:dyDescent="0.25" r="2" customHeight="1" ht="17.25">
      <c r="A2" s="4" t="s">
        <v>1</v>
      </c>
      <c r="B2" s="4"/>
      <c r="C2" s="4"/>
      <c r="D2" s="4"/>
      <c r="E2" s="5"/>
      <c r="F2" s="4"/>
      <c r="G2" s="4"/>
      <c r="H2" s="6"/>
      <c r="I2" s="4"/>
      <c r="J2" s="4"/>
    </row>
    <row x14ac:dyDescent="0.25" r="3" customHeight="1" ht="17.25">
      <c r="A3" s="7"/>
      <c r="B3" s="7"/>
      <c r="C3" s="7"/>
      <c r="D3" s="7"/>
      <c r="E3" s="8"/>
      <c r="F3" s="9"/>
      <c r="G3" s="9"/>
      <c r="H3" s="10"/>
      <c r="I3" s="9"/>
      <c r="J3" s="9"/>
    </row>
    <row x14ac:dyDescent="0.25" r="4" customHeight="1" ht="17.25">
      <c r="A4" s="11" t="s">
        <v>11965</v>
      </c>
      <c r="B4" s="11"/>
      <c r="C4" s="11"/>
      <c r="D4" s="11"/>
      <c r="E4" s="12"/>
      <c r="F4" s="11"/>
      <c r="G4" s="11"/>
      <c r="H4" s="13"/>
      <c r="I4" s="11"/>
      <c r="J4" s="11"/>
    </row>
    <row x14ac:dyDescent="0.25" r="5" customHeight="1" ht="17.25">
      <c r="A5" s="14" t="s">
        <v>3</v>
      </c>
      <c r="B5" s="14" t="s">
        <v>4</v>
      </c>
      <c r="C5" s="14" t="s">
        <v>5</v>
      </c>
      <c r="D5" s="14" t="s">
        <v>6</v>
      </c>
      <c r="E5" s="15" t="s">
        <v>7</v>
      </c>
      <c r="F5" s="14" t="s">
        <v>8</v>
      </c>
      <c r="G5" s="14" t="s">
        <v>9</v>
      </c>
      <c r="H5" s="16" t="s">
        <v>10</v>
      </c>
      <c r="I5" s="14" t="s">
        <v>11</v>
      </c>
      <c r="J5" s="14" t="s">
        <v>12</v>
      </c>
    </row>
    <row x14ac:dyDescent="0.25" r="6" customHeight="1" ht="17.25">
      <c r="A6" s="17" t="s">
        <v>11966</v>
      </c>
      <c r="B6" s="17" t="s">
        <v>14</v>
      </c>
      <c r="C6" s="17" t="s">
        <v>15</v>
      </c>
      <c r="D6" s="17" t="s">
        <v>16</v>
      </c>
      <c r="E6" s="18">
        <f>ROUND(12196*1.05,2)</f>
      </c>
      <c r="F6" s="17" t="s">
        <v>17</v>
      </c>
      <c r="G6" s="17" t="s">
        <v>18</v>
      </c>
      <c r="H6" s="18">
        <f>ROUND(RAND()*4+6,1)</f>
      </c>
      <c r="I6" s="17" t="s">
        <v>19</v>
      </c>
      <c r="J6" s="19">
        <f>ROUND(68*1,0)&amp;"%"</f>
      </c>
    </row>
    <row x14ac:dyDescent="0.25" r="7" customHeight="1" ht="17.25">
      <c r="A7" s="20" t="s">
        <v>11967</v>
      </c>
      <c r="B7" s="20" t="s">
        <v>21</v>
      </c>
      <c r="C7" s="20" t="s">
        <v>15</v>
      </c>
      <c r="D7" s="20" t="s">
        <v>22</v>
      </c>
      <c r="E7" s="21">
        <f>ROUND(7739*1.05,2)</f>
      </c>
      <c r="F7" s="20" t="s">
        <v>23</v>
      </c>
      <c r="G7" s="20" t="s">
        <v>24</v>
      </c>
      <c r="H7" s="21">
        <f>ROUND(RAND()*4+6,1)</f>
      </c>
      <c r="I7" s="20" t="s">
        <v>25</v>
      </c>
      <c r="J7" s="23">
        <f>ROUND(88*1,0)&amp;"%"</f>
      </c>
    </row>
    <row x14ac:dyDescent="0.25" r="8" customHeight="1" ht="17.25">
      <c r="A8" s="17" t="s">
        <v>11968</v>
      </c>
      <c r="B8" s="17" t="s">
        <v>27</v>
      </c>
      <c r="C8" s="17" t="s">
        <v>15</v>
      </c>
      <c r="D8" s="17" t="s">
        <v>28</v>
      </c>
      <c r="E8" s="18">
        <f>ROUND(12453*1.05,2)</f>
      </c>
      <c r="F8" s="17" t="s">
        <v>29</v>
      </c>
      <c r="G8" s="17" t="s">
        <v>30</v>
      </c>
      <c r="H8" s="18">
        <f>ROUND(RAND()*4+6,1)</f>
      </c>
      <c r="I8" s="17" t="s">
        <v>31</v>
      </c>
      <c r="J8" s="19">
        <f>ROUND(95*1,0)&amp;"%"</f>
      </c>
    </row>
    <row x14ac:dyDescent="0.25" r="9" customHeight="1" ht="17.25">
      <c r="A9" s="20" t="s">
        <v>11969</v>
      </c>
      <c r="B9" s="20" t="s">
        <v>33</v>
      </c>
      <c r="C9" s="20" t="s">
        <v>15</v>
      </c>
      <c r="D9" s="20" t="s">
        <v>34</v>
      </c>
      <c r="E9" s="21">
        <f>ROUND(5377*1.05,2)</f>
      </c>
      <c r="F9" s="20" t="s">
        <v>35</v>
      </c>
      <c r="G9" s="20" t="s">
        <v>18</v>
      </c>
      <c r="H9" s="22">
        <f>ROUND(RAND()*4+6,1)</f>
      </c>
      <c r="I9" s="20" t="s">
        <v>36</v>
      </c>
      <c r="J9" s="23">
        <f>ROUND(71*1,0)&amp;"%"</f>
      </c>
    </row>
    <row x14ac:dyDescent="0.25" r="10" customHeight="1" ht="17.25">
      <c r="A10" s="17" t="s">
        <v>11970</v>
      </c>
      <c r="B10" s="17" t="s">
        <v>38</v>
      </c>
      <c r="C10" s="17" t="s">
        <v>15</v>
      </c>
      <c r="D10" s="17" t="s">
        <v>39</v>
      </c>
      <c r="E10" s="18">
        <f>ROUND(6563*1.05,2)</f>
      </c>
      <c r="F10" s="17" t="s">
        <v>40</v>
      </c>
      <c r="G10" s="17" t="s">
        <v>24</v>
      </c>
      <c r="H10" s="18">
        <f>ROUND(RAND()*4+6,1)</f>
      </c>
      <c r="I10" s="17" t="s">
        <v>41</v>
      </c>
      <c r="J10" s="19">
        <f>ROUND(67*1,0)&amp;"%"</f>
      </c>
    </row>
    <row x14ac:dyDescent="0.25" r="11" customHeight="1" ht="17.25">
      <c r="A11" s="20" t="s">
        <v>11971</v>
      </c>
      <c r="B11" s="20" t="s">
        <v>43</v>
      </c>
      <c r="C11" s="20" t="s">
        <v>15</v>
      </c>
      <c r="D11" s="20" t="s">
        <v>67</v>
      </c>
      <c r="E11" s="21">
        <f>ROUND(4382*1.05,2)</f>
      </c>
      <c r="F11" s="20" t="s">
        <v>44</v>
      </c>
      <c r="G11" s="20" t="s">
        <v>30</v>
      </c>
      <c r="H11" s="21">
        <f>ROUND(RAND()*4+6,1)</f>
      </c>
      <c r="I11" s="20" t="s">
        <v>45</v>
      </c>
      <c r="J11" s="23">
        <f>ROUND(77*1,0)&amp;"%"</f>
      </c>
    </row>
    <row x14ac:dyDescent="0.25" r="12" customHeight="1" ht="17.25">
      <c r="A12" s="17" t="s">
        <v>11972</v>
      </c>
      <c r="B12" s="17" t="s">
        <v>47</v>
      </c>
      <c r="C12" s="17" t="s">
        <v>15</v>
      </c>
      <c r="D12" s="17" t="s">
        <v>16</v>
      </c>
      <c r="E12" s="18">
        <f>ROUND(9326*1.05,2)</f>
      </c>
      <c r="F12" s="17" t="s">
        <v>48</v>
      </c>
      <c r="G12" s="17" t="s">
        <v>18</v>
      </c>
      <c r="H12" s="18">
        <f>ROUND(RAND()*4+6,1)</f>
      </c>
      <c r="I12" s="17" t="s">
        <v>19</v>
      </c>
      <c r="J12" s="19">
        <f>ROUND(67*1,0)&amp;"%"</f>
      </c>
    </row>
    <row x14ac:dyDescent="0.25" r="13" customHeight="1" ht="17.25">
      <c r="A13" s="20" t="s">
        <v>11973</v>
      </c>
      <c r="B13" s="20" t="s">
        <v>50</v>
      </c>
      <c r="C13" s="20" t="s">
        <v>15</v>
      </c>
      <c r="D13" s="20" t="s">
        <v>22</v>
      </c>
      <c r="E13" s="21">
        <f>ROUND(17741*1.05,2)</f>
      </c>
      <c r="F13" s="20" t="s">
        <v>51</v>
      </c>
      <c r="G13" s="20" t="s">
        <v>24</v>
      </c>
      <c r="H13" s="21">
        <f>ROUND(RAND()*4+6,1)</f>
      </c>
      <c r="I13" s="20" t="s">
        <v>25</v>
      </c>
      <c r="J13" s="23">
        <f>ROUND(67*1,0)&amp;"%"</f>
      </c>
    </row>
    <row x14ac:dyDescent="0.25" r="14" customHeight="1" ht="17.25">
      <c r="A14" s="24" t="s">
        <v>52</v>
      </c>
      <c r="B14" s="24"/>
      <c r="C14" s="24"/>
      <c r="D14" s="24"/>
      <c r="E14" s="25">
        <v>8</v>
      </c>
      <c r="F14" s="9"/>
      <c r="G14" s="9"/>
      <c r="H14" s="10"/>
      <c r="I14" s="9"/>
      <c r="J14" s="9"/>
    </row>
    <row x14ac:dyDescent="0.25" r="15" customHeight="1" ht="17.25">
      <c r="A15" s="7"/>
      <c r="B15" s="7"/>
      <c r="C15" s="7"/>
      <c r="D15" s="7"/>
      <c r="E15" s="8"/>
      <c r="F15" s="9"/>
      <c r="G15" s="9"/>
      <c r="H15" s="10"/>
      <c r="I15" s="9"/>
      <c r="J15" s="9"/>
    </row>
    <row x14ac:dyDescent="0.25" r="16" customHeight="1" ht="17.25">
      <c r="A16" s="11" t="s">
        <v>11974</v>
      </c>
      <c r="B16" s="11"/>
      <c r="C16" s="11"/>
      <c r="D16" s="11"/>
      <c r="E16" s="12"/>
      <c r="F16" s="11"/>
      <c r="G16" s="11"/>
      <c r="H16" s="13"/>
      <c r="I16" s="11"/>
      <c r="J16" s="11"/>
    </row>
    <row x14ac:dyDescent="0.25" r="17" customHeight="1" ht="17.25">
      <c r="A17" s="14" t="s">
        <v>3</v>
      </c>
      <c r="B17" s="14" t="s">
        <v>4</v>
      </c>
      <c r="C17" s="14" t="s">
        <v>5</v>
      </c>
      <c r="D17" s="14" t="s">
        <v>6</v>
      </c>
      <c r="E17" s="15" t="s">
        <v>7</v>
      </c>
      <c r="F17" s="14" t="s">
        <v>8</v>
      </c>
      <c r="G17" s="14" t="s">
        <v>9</v>
      </c>
      <c r="H17" s="16" t="s">
        <v>10</v>
      </c>
      <c r="I17" s="14" t="s">
        <v>11</v>
      </c>
      <c r="J17" s="14" t="s">
        <v>12</v>
      </c>
    </row>
    <row x14ac:dyDescent="0.25" r="18" customHeight="1" ht="17.25">
      <c r="A18" s="17" t="s">
        <v>11975</v>
      </c>
      <c r="B18" s="17" t="s">
        <v>55</v>
      </c>
      <c r="C18" s="17" t="s">
        <v>56</v>
      </c>
      <c r="D18" s="17" t="s">
        <v>16</v>
      </c>
      <c r="E18" s="18">
        <f>ROUND(8938*1.05,2)</f>
      </c>
      <c r="F18" s="17" t="s">
        <v>17</v>
      </c>
      <c r="G18" s="17" t="s">
        <v>18</v>
      </c>
      <c r="H18" s="18">
        <f>ROUND(RAND()*4+6,1)</f>
      </c>
      <c r="I18" s="17" t="s">
        <v>19</v>
      </c>
      <c r="J18" s="19">
        <f>ROUND(92*1,0)&amp;"%"</f>
      </c>
    </row>
    <row x14ac:dyDescent="0.25" r="19" customHeight="1" ht="17.25">
      <c r="A19" s="20" t="s">
        <v>11976</v>
      </c>
      <c r="B19" s="20" t="s">
        <v>58</v>
      </c>
      <c r="C19" s="20" t="s">
        <v>56</v>
      </c>
      <c r="D19" s="20" t="s">
        <v>22</v>
      </c>
      <c r="E19" s="22">
        <f>ROUND(16080*1.05,2)</f>
      </c>
      <c r="F19" s="20" t="s">
        <v>23</v>
      </c>
      <c r="G19" s="20" t="s">
        <v>24</v>
      </c>
      <c r="H19" s="21">
        <f>ROUND(RAND()*4+6,1)</f>
      </c>
      <c r="I19" s="20" t="s">
        <v>25</v>
      </c>
      <c r="J19" s="23">
        <f>ROUND(80*1,0)&amp;"%"</f>
      </c>
    </row>
    <row x14ac:dyDescent="0.25" r="20" customHeight="1" ht="17.25">
      <c r="A20" s="17" t="s">
        <v>11977</v>
      </c>
      <c r="B20" s="17" t="s">
        <v>60</v>
      </c>
      <c r="C20" s="17" t="s">
        <v>56</v>
      </c>
      <c r="D20" s="17" t="s">
        <v>28</v>
      </c>
      <c r="E20" s="18">
        <f>ROUND(4019*1.05,2)</f>
      </c>
      <c r="F20" s="17" t="s">
        <v>29</v>
      </c>
      <c r="G20" s="17" t="s">
        <v>30</v>
      </c>
      <c r="H20" s="18">
        <f>ROUND(RAND()*4+6,1)</f>
      </c>
      <c r="I20" s="17" t="s">
        <v>31</v>
      </c>
      <c r="J20" s="19">
        <f>ROUND(69*1,0)&amp;"%"</f>
      </c>
    </row>
    <row x14ac:dyDescent="0.25" r="21" customHeight="1" ht="17.25">
      <c r="A21" s="20" t="s">
        <v>11978</v>
      </c>
      <c r="B21" s="20" t="s">
        <v>62</v>
      </c>
      <c r="C21" s="20" t="s">
        <v>56</v>
      </c>
      <c r="D21" s="20" t="s">
        <v>34</v>
      </c>
      <c r="E21" s="22">
        <f>ROUND(16100*1.05,2)</f>
      </c>
      <c r="F21" s="20" t="s">
        <v>35</v>
      </c>
      <c r="G21" s="20" t="s">
        <v>18</v>
      </c>
      <c r="H21" s="21">
        <f>ROUND(RAND()*4+6,1)</f>
      </c>
      <c r="I21" s="20" t="s">
        <v>36</v>
      </c>
      <c r="J21" s="23">
        <f>ROUND(63*1,0)&amp;"%"</f>
      </c>
    </row>
    <row x14ac:dyDescent="0.25" r="22" customHeight="1" ht="17.25">
      <c r="A22" s="17" t="s">
        <v>11979</v>
      </c>
      <c r="B22" s="17" t="s">
        <v>64</v>
      </c>
      <c r="C22" s="17" t="s">
        <v>56</v>
      </c>
      <c r="D22" s="17" t="s">
        <v>39</v>
      </c>
      <c r="E22" s="18">
        <f>ROUND(11115*1.05,2)</f>
      </c>
      <c r="F22" s="17" t="s">
        <v>40</v>
      </c>
      <c r="G22" s="17" t="s">
        <v>24</v>
      </c>
      <c r="H22" s="18">
        <f>ROUND(RAND()*4+6,1)</f>
      </c>
      <c r="I22" s="17" t="s">
        <v>41</v>
      </c>
      <c r="J22" s="19">
        <f>ROUND(93*1,0)&amp;"%"</f>
      </c>
    </row>
    <row x14ac:dyDescent="0.25" r="23" customHeight="1" ht="17.25">
      <c r="A23" s="20" t="s">
        <v>11980</v>
      </c>
      <c r="B23" s="20" t="s">
        <v>66</v>
      </c>
      <c r="C23" s="20" t="s">
        <v>56</v>
      </c>
      <c r="D23" s="20" t="s">
        <v>67</v>
      </c>
      <c r="E23" s="21">
        <f>ROUND(8334*1.05,2)</f>
      </c>
      <c r="F23" s="20" t="s">
        <v>44</v>
      </c>
      <c r="G23" s="20" t="s">
        <v>30</v>
      </c>
      <c r="H23" s="21">
        <f>ROUND(RAND()*4+6,1)</f>
      </c>
      <c r="I23" s="20" t="s">
        <v>45</v>
      </c>
      <c r="J23" s="23">
        <f>ROUND(98*1,0)&amp;"%"</f>
      </c>
    </row>
    <row x14ac:dyDescent="0.25" r="24" customHeight="1" ht="17.25">
      <c r="A24" s="17" t="s">
        <v>11981</v>
      </c>
      <c r="B24" s="17" t="s">
        <v>69</v>
      </c>
      <c r="C24" s="17" t="s">
        <v>56</v>
      </c>
      <c r="D24" s="17" t="s">
        <v>16</v>
      </c>
      <c r="E24" s="18">
        <f>ROUND(17962*1.05,2)</f>
      </c>
      <c r="F24" s="17" t="s">
        <v>48</v>
      </c>
      <c r="G24" s="17" t="s">
        <v>18</v>
      </c>
      <c r="H24" s="18">
        <f>ROUND(RAND()*4+6,1)</f>
      </c>
      <c r="I24" s="17" t="s">
        <v>19</v>
      </c>
      <c r="J24" s="19">
        <f>ROUND(100*1,0)&amp;"%"</f>
      </c>
    </row>
    <row x14ac:dyDescent="0.25" r="25" customHeight="1" ht="17.25">
      <c r="A25" s="20" t="s">
        <v>11982</v>
      </c>
      <c r="B25" s="20" t="s">
        <v>71</v>
      </c>
      <c r="C25" s="20" t="s">
        <v>56</v>
      </c>
      <c r="D25" s="20" t="s">
        <v>22</v>
      </c>
      <c r="E25" s="21">
        <f>ROUND(6370*1.05,2)</f>
      </c>
      <c r="F25" s="20" t="s">
        <v>51</v>
      </c>
      <c r="G25" s="20" t="s">
        <v>24</v>
      </c>
      <c r="H25" s="21">
        <f>ROUND(RAND()*4+6,1)</f>
      </c>
      <c r="I25" s="20" t="s">
        <v>25</v>
      </c>
      <c r="J25" s="23">
        <f>ROUND(88*1,0)&amp;"%"</f>
      </c>
    </row>
    <row x14ac:dyDescent="0.25" r="26" customHeight="1" ht="17.25">
      <c r="A26" s="24" t="s">
        <v>72</v>
      </c>
      <c r="B26" s="24"/>
      <c r="C26" s="24"/>
      <c r="D26" s="24"/>
      <c r="E26" s="25">
        <v>8</v>
      </c>
      <c r="F26" s="9"/>
      <c r="G26" s="9"/>
      <c r="H26" s="10"/>
      <c r="I26" s="9"/>
      <c r="J26" s="9"/>
    </row>
    <row x14ac:dyDescent="0.25" r="27" customHeight="1" ht="17.25">
      <c r="A27" s="7"/>
      <c r="B27" s="7"/>
      <c r="C27" s="7"/>
      <c r="D27" s="7"/>
      <c r="E27" s="8"/>
      <c r="F27" s="9"/>
      <c r="G27" s="9"/>
      <c r="H27" s="10"/>
      <c r="I27" s="9"/>
      <c r="J27" s="9"/>
    </row>
    <row x14ac:dyDescent="0.25" r="28" customHeight="1" ht="17.25">
      <c r="A28" s="11" t="s">
        <v>11983</v>
      </c>
      <c r="B28" s="11"/>
      <c r="C28" s="11"/>
      <c r="D28" s="11"/>
      <c r="E28" s="12"/>
      <c r="F28" s="11"/>
      <c r="G28" s="11"/>
      <c r="H28" s="13"/>
      <c r="I28" s="11"/>
      <c r="J28" s="11"/>
    </row>
    <row x14ac:dyDescent="0.25" r="29" customHeight="1" ht="17.25">
      <c r="A29" s="14" t="s">
        <v>3</v>
      </c>
      <c r="B29" s="14" t="s">
        <v>4</v>
      </c>
      <c r="C29" s="14" t="s">
        <v>5</v>
      </c>
      <c r="D29" s="14" t="s">
        <v>6</v>
      </c>
      <c r="E29" s="15" t="s">
        <v>7</v>
      </c>
      <c r="F29" s="14" t="s">
        <v>8</v>
      </c>
      <c r="G29" s="14" t="s">
        <v>9</v>
      </c>
      <c r="H29" s="16" t="s">
        <v>10</v>
      </c>
      <c r="I29" s="14" t="s">
        <v>11</v>
      </c>
      <c r="J29" s="14" t="s">
        <v>12</v>
      </c>
    </row>
    <row x14ac:dyDescent="0.25" r="30" customHeight="1" ht="17.25">
      <c r="A30" s="17" t="s">
        <v>11984</v>
      </c>
      <c r="B30" s="17" t="s">
        <v>75</v>
      </c>
      <c r="C30" s="17" t="s">
        <v>76</v>
      </c>
      <c r="D30" s="17" t="s">
        <v>16</v>
      </c>
      <c r="E30" s="18">
        <f>ROUND(13744*1.05,2)</f>
      </c>
      <c r="F30" s="17" t="s">
        <v>17</v>
      </c>
      <c r="G30" s="17" t="s">
        <v>18</v>
      </c>
      <c r="H30" s="18">
        <f>ROUND(RAND()*4+6,1)</f>
      </c>
      <c r="I30" s="17" t="s">
        <v>19</v>
      </c>
      <c r="J30" s="19">
        <f>ROUND(88*1,0)&amp;"%"</f>
      </c>
    </row>
    <row x14ac:dyDescent="0.25" r="31" customHeight="1" ht="17.25">
      <c r="A31" s="20" t="s">
        <v>11985</v>
      </c>
      <c r="B31" s="20" t="s">
        <v>78</v>
      </c>
      <c r="C31" s="20" t="s">
        <v>76</v>
      </c>
      <c r="D31" s="20" t="s">
        <v>22</v>
      </c>
      <c r="E31" s="21">
        <f>ROUND(15055*1.05,2)</f>
      </c>
      <c r="F31" s="20" t="s">
        <v>23</v>
      </c>
      <c r="G31" s="20" t="s">
        <v>24</v>
      </c>
      <c r="H31" s="21">
        <f>ROUND(RAND()*4+6,1)</f>
      </c>
      <c r="I31" s="20" t="s">
        <v>25</v>
      </c>
      <c r="J31" s="23">
        <f>ROUND(87*1,0)&amp;"%"</f>
      </c>
    </row>
    <row x14ac:dyDescent="0.25" r="32" customHeight="1" ht="17.25">
      <c r="A32" s="17" t="s">
        <v>11986</v>
      </c>
      <c r="B32" s="17" t="s">
        <v>80</v>
      </c>
      <c r="C32" s="17" t="s">
        <v>76</v>
      </c>
      <c r="D32" s="17" t="s">
        <v>28</v>
      </c>
      <c r="E32" s="18">
        <f>ROUND(8256*1.05,2)</f>
      </c>
      <c r="F32" s="17" t="s">
        <v>29</v>
      </c>
      <c r="G32" s="17" t="s">
        <v>30</v>
      </c>
      <c r="H32" s="18">
        <f>ROUND(RAND()*4+6,1)</f>
      </c>
      <c r="I32" s="17" t="s">
        <v>31</v>
      </c>
      <c r="J32" s="19">
        <f>ROUND(63*1,0)&amp;"%"</f>
      </c>
    </row>
    <row x14ac:dyDescent="0.25" r="33" customHeight="1" ht="17.25">
      <c r="A33" s="20" t="s">
        <v>11987</v>
      </c>
      <c r="B33" s="20" t="s">
        <v>82</v>
      </c>
      <c r="C33" s="20" t="s">
        <v>76</v>
      </c>
      <c r="D33" s="20" t="s">
        <v>34</v>
      </c>
      <c r="E33" s="21">
        <f>ROUND(10292*1.05,2)</f>
      </c>
      <c r="F33" s="20" t="s">
        <v>35</v>
      </c>
      <c r="G33" s="20" t="s">
        <v>18</v>
      </c>
      <c r="H33" s="21">
        <f>ROUND(RAND()*4+6,1)</f>
      </c>
      <c r="I33" s="20" t="s">
        <v>36</v>
      </c>
      <c r="J33" s="23">
        <f>ROUND(95*1,0)&amp;"%"</f>
      </c>
    </row>
    <row x14ac:dyDescent="0.25" r="34" customHeight="1" ht="17.25">
      <c r="A34" s="17" t="s">
        <v>11988</v>
      </c>
      <c r="B34" s="17" t="s">
        <v>84</v>
      </c>
      <c r="C34" s="17" t="s">
        <v>76</v>
      </c>
      <c r="D34" s="17" t="s">
        <v>39</v>
      </c>
      <c r="E34" s="18">
        <f>ROUND(16846*1.05,2)</f>
      </c>
      <c r="F34" s="17" t="s">
        <v>40</v>
      </c>
      <c r="G34" s="17" t="s">
        <v>24</v>
      </c>
      <c r="H34" s="26">
        <f>ROUND(RAND()*4+6,1)</f>
      </c>
      <c r="I34" s="17" t="s">
        <v>41</v>
      </c>
      <c r="J34" s="19">
        <f>ROUND(84*1,0)&amp;"%"</f>
      </c>
    </row>
    <row x14ac:dyDescent="0.25" r="35" customHeight="1" ht="17.25">
      <c r="A35" s="20" t="s">
        <v>11989</v>
      </c>
      <c r="B35" s="20" t="s">
        <v>86</v>
      </c>
      <c r="C35" s="20" t="s">
        <v>76</v>
      </c>
      <c r="D35" s="20" t="s">
        <v>67</v>
      </c>
      <c r="E35" s="22">
        <f>ROUND(4340*1.05,2)</f>
      </c>
      <c r="F35" s="20" t="s">
        <v>44</v>
      </c>
      <c r="G35" s="20" t="s">
        <v>30</v>
      </c>
      <c r="H35" s="21">
        <f>ROUND(RAND()*4+6,1)</f>
      </c>
      <c r="I35" s="20" t="s">
        <v>45</v>
      </c>
      <c r="J35" s="23">
        <f>ROUND(84*1,0)&amp;"%"</f>
      </c>
    </row>
    <row x14ac:dyDescent="0.25" r="36" customHeight="1" ht="17.25">
      <c r="A36" s="17" t="s">
        <v>11990</v>
      </c>
      <c r="B36" s="17" t="s">
        <v>88</v>
      </c>
      <c r="C36" s="17" t="s">
        <v>76</v>
      </c>
      <c r="D36" s="17" t="s">
        <v>16</v>
      </c>
      <c r="E36" s="26">
        <f>ROUND(13540*1.05,2)</f>
      </c>
      <c r="F36" s="17" t="s">
        <v>48</v>
      </c>
      <c r="G36" s="17" t="s">
        <v>18</v>
      </c>
      <c r="H36" s="18">
        <f>ROUND(RAND()*4+6,1)</f>
      </c>
      <c r="I36" s="17" t="s">
        <v>19</v>
      </c>
      <c r="J36" s="19">
        <f>ROUND(82*1,0)&amp;"%"</f>
      </c>
    </row>
    <row x14ac:dyDescent="0.25" r="37" customHeight="1" ht="17.25">
      <c r="A37" s="20" t="s">
        <v>11991</v>
      </c>
      <c r="B37" s="20" t="s">
        <v>90</v>
      </c>
      <c r="C37" s="20" t="s">
        <v>76</v>
      </c>
      <c r="D37" s="20" t="s">
        <v>22</v>
      </c>
      <c r="E37" s="21">
        <f>ROUND(4614*1.05,2)</f>
      </c>
      <c r="F37" s="20" t="s">
        <v>51</v>
      </c>
      <c r="G37" s="20" t="s">
        <v>24</v>
      </c>
      <c r="H37" s="22">
        <f>ROUND(RAND()*4+6,1)</f>
      </c>
      <c r="I37" s="20" t="s">
        <v>25</v>
      </c>
      <c r="J37" s="23">
        <f>ROUND(91*1,0)&amp;"%"</f>
      </c>
    </row>
    <row x14ac:dyDescent="0.25" r="38" customHeight="1" ht="17.25">
      <c r="A38" s="24" t="s">
        <v>91</v>
      </c>
      <c r="B38" s="24"/>
      <c r="C38" s="24"/>
      <c r="D38" s="24"/>
      <c r="E38" s="25">
        <v>8</v>
      </c>
      <c r="F38" s="9"/>
      <c r="G38" s="9"/>
      <c r="H38" s="10"/>
      <c r="I38" s="9"/>
      <c r="J38" s="9"/>
    </row>
    <row x14ac:dyDescent="0.25" r="39" customHeight="1" ht="17.25">
      <c r="A39" s="7"/>
      <c r="B39" s="7"/>
      <c r="C39" s="7"/>
      <c r="D39" s="7"/>
      <c r="E39" s="8"/>
      <c r="F39" s="9"/>
      <c r="G39" s="9"/>
      <c r="H39" s="10"/>
      <c r="I39" s="9"/>
      <c r="J39" s="9"/>
    </row>
    <row x14ac:dyDescent="0.25" r="40" customHeight="1" ht="17.25">
      <c r="A40" s="11" t="s">
        <v>11992</v>
      </c>
      <c r="B40" s="11"/>
      <c r="C40" s="11"/>
      <c r="D40" s="11"/>
      <c r="E40" s="12"/>
      <c r="F40" s="11"/>
      <c r="G40" s="11"/>
      <c r="H40" s="13"/>
      <c r="I40" s="11"/>
      <c r="J40" s="11"/>
    </row>
    <row x14ac:dyDescent="0.25" r="41" customHeight="1" ht="17.25">
      <c r="A41" s="14" t="s">
        <v>3</v>
      </c>
      <c r="B41" s="14" t="s">
        <v>4</v>
      </c>
      <c r="C41" s="14" t="s">
        <v>5</v>
      </c>
      <c r="D41" s="14" t="s">
        <v>6</v>
      </c>
      <c r="E41" s="15" t="s">
        <v>7</v>
      </c>
      <c r="F41" s="14" t="s">
        <v>8</v>
      </c>
      <c r="G41" s="14" t="s">
        <v>9</v>
      </c>
      <c r="H41" s="16" t="s">
        <v>10</v>
      </c>
      <c r="I41" s="14" t="s">
        <v>11</v>
      </c>
      <c r="J41" s="14" t="s">
        <v>12</v>
      </c>
    </row>
    <row x14ac:dyDescent="0.25" r="42" customHeight="1" ht="17.25">
      <c r="A42" s="17" t="s">
        <v>11993</v>
      </c>
      <c r="B42" s="17" t="s">
        <v>94</v>
      </c>
      <c r="C42" s="17" t="s">
        <v>95</v>
      </c>
      <c r="D42" s="17" t="s">
        <v>16</v>
      </c>
      <c r="E42" s="18">
        <f>ROUND(12023*1.05,2)</f>
      </c>
      <c r="F42" s="17" t="s">
        <v>17</v>
      </c>
      <c r="G42" s="17" t="s">
        <v>18</v>
      </c>
      <c r="H42" s="18">
        <f>ROUND(RAND()*4+6,1)</f>
      </c>
      <c r="I42" s="17" t="s">
        <v>19</v>
      </c>
      <c r="J42" s="19">
        <f>ROUND(83*1,0)&amp;"%"</f>
      </c>
    </row>
    <row x14ac:dyDescent="0.25" r="43" customHeight="1" ht="17.25">
      <c r="A43" s="20" t="s">
        <v>11994</v>
      </c>
      <c r="B43" s="20" t="s">
        <v>97</v>
      </c>
      <c r="C43" s="20" t="s">
        <v>95</v>
      </c>
      <c r="D43" s="20" t="s">
        <v>22</v>
      </c>
      <c r="E43" s="21">
        <f>ROUND(9455*1.05,2)</f>
      </c>
      <c r="F43" s="20" t="s">
        <v>23</v>
      </c>
      <c r="G43" s="20" t="s">
        <v>24</v>
      </c>
      <c r="H43" s="21">
        <f>ROUND(RAND()*4+6,1)</f>
      </c>
      <c r="I43" s="20" t="s">
        <v>25</v>
      </c>
      <c r="J43" s="23">
        <f>ROUND(61*1,0)&amp;"%"</f>
      </c>
    </row>
    <row x14ac:dyDescent="0.25" r="44" customHeight="1" ht="17.25">
      <c r="A44" s="17" t="s">
        <v>11995</v>
      </c>
      <c r="B44" s="17" t="s">
        <v>99</v>
      </c>
      <c r="C44" s="17" t="s">
        <v>95</v>
      </c>
      <c r="D44" s="17" t="s">
        <v>28</v>
      </c>
      <c r="E44" s="18">
        <f>ROUND(7033*1.05,2)</f>
      </c>
      <c r="F44" s="17" t="s">
        <v>29</v>
      </c>
      <c r="G44" s="17" t="s">
        <v>30</v>
      </c>
      <c r="H44" s="18">
        <f>ROUND(RAND()*4+6,1)</f>
      </c>
      <c r="I44" s="17" t="s">
        <v>31</v>
      </c>
      <c r="J44" s="19">
        <f>ROUND(88*1,0)&amp;"%"</f>
      </c>
    </row>
    <row x14ac:dyDescent="0.25" r="45" customHeight="1" ht="17.25">
      <c r="A45" s="20" t="s">
        <v>11996</v>
      </c>
      <c r="B45" s="20" t="s">
        <v>101</v>
      </c>
      <c r="C45" s="20" t="s">
        <v>95</v>
      </c>
      <c r="D45" s="20" t="s">
        <v>34</v>
      </c>
      <c r="E45" s="21">
        <f>ROUND(9179*1.05,2)</f>
      </c>
      <c r="F45" s="20" t="s">
        <v>35</v>
      </c>
      <c r="G45" s="20" t="s">
        <v>18</v>
      </c>
      <c r="H45" s="22">
        <f>ROUND(RAND()*4+6,1)</f>
      </c>
      <c r="I45" s="20" t="s">
        <v>36</v>
      </c>
      <c r="J45" s="23">
        <f>ROUND(82*1,0)&amp;"%"</f>
      </c>
    </row>
    <row x14ac:dyDescent="0.25" r="46" customHeight="1" ht="17.25">
      <c r="A46" s="17" t="s">
        <v>11997</v>
      </c>
      <c r="B46" s="17" t="s">
        <v>103</v>
      </c>
      <c r="C46" s="17" t="s">
        <v>95</v>
      </c>
      <c r="D46" s="17" t="s">
        <v>39</v>
      </c>
      <c r="E46" s="18">
        <f>ROUND(9107*1.05,2)</f>
      </c>
      <c r="F46" s="17" t="s">
        <v>40</v>
      </c>
      <c r="G46" s="17" t="s">
        <v>24</v>
      </c>
      <c r="H46" s="18">
        <f>ROUND(RAND()*4+6,1)</f>
      </c>
      <c r="I46" s="17" t="s">
        <v>41</v>
      </c>
      <c r="J46" s="19">
        <f>ROUND(60*1,0)&amp;"%"</f>
      </c>
    </row>
    <row x14ac:dyDescent="0.25" r="47" customHeight="1" ht="17.25">
      <c r="A47" s="20" t="s">
        <v>11998</v>
      </c>
      <c r="B47" s="20" t="s">
        <v>105</v>
      </c>
      <c r="C47" s="20" t="s">
        <v>95</v>
      </c>
      <c r="D47" s="20" t="s">
        <v>67</v>
      </c>
      <c r="E47" s="21">
        <f>ROUND(15625*1.05,2)</f>
      </c>
      <c r="F47" s="20" t="s">
        <v>44</v>
      </c>
      <c r="G47" s="20" t="s">
        <v>30</v>
      </c>
      <c r="H47" s="21">
        <f>ROUND(RAND()*4+6,1)</f>
      </c>
      <c r="I47" s="20" t="s">
        <v>45</v>
      </c>
      <c r="J47" s="23">
        <f>ROUND(60*1,0)&amp;"%"</f>
      </c>
    </row>
    <row x14ac:dyDescent="0.25" r="48" customHeight="1" ht="17.25">
      <c r="A48" s="17" t="s">
        <v>11999</v>
      </c>
      <c r="B48" s="17" t="s">
        <v>107</v>
      </c>
      <c r="C48" s="17" t="s">
        <v>95</v>
      </c>
      <c r="D48" s="17" t="s">
        <v>16</v>
      </c>
      <c r="E48" s="18">
        <f>ROUND(14937*1.05,2)</f>
      </c>
      <c r="F48" s="17" t="s">
        <v>48</v>
      </c>
      <c r="G48" s="17" t="s">
        <v>18</v>
      </c>
      <c r="H48" s="18">
        <f>ROUND(RAND()*4+6,1)</f>
      </c>
      <c r="I48" s="17" t="s">
        <v>19</v>
      </c>
      <c r="J48" s="19">
        <f>ROUND(78*1,0)&amp;"%"</f>
      </c>
    </row>
    <row x14ac:dyDescent="0.25" r="49" customHeight="1" ht="17.25">
      <c r="A49" s="20" t="s">
        <v>12000</v>
      </c>
      <c r="B49" s="20" t="s">
        <v>109</v>
      </c>
      <c r="C49" s="20" t="s">
        <v>95</v>
      </c>
      <c r="D49" s="20" t="s">
        <v>22</v>
      </c>
      <c r="E49" s="21">
        <f>ROUND(12308*1.05,2)</f>
      </c>
      <c r="F49" s="20" t="s">
        <v>51</v>
      </c>
      <c r="G49" s="20" t="s">
        <v>24</v>
      </c>
      <c r="H49" s="21">
        <f>ROUND(RAND()*4+6,1)</f>
      </c>
      <c r="I49" s="20" t="s">
        <v>25</v>
      </c>
      <c r="J49" s="23">
        <f>ROUND(100*1,0)&amp;"%"</f>
      </c>
    </row>
    <row x14ac:dyDescent="0.25" r="50" customHeight="1" ht="17.25">
      <c r="A50" s="24" t="s">
        <v>110</v>
      </c>
      <c r="B50" s="24"/>
      <c r="C50" s="24"/>
      <c r="D50" s="24"/>
      <c r="E50" s="25">
        <v>8</v>
      </c>
      <c r="F50" s="9"/>
      <c r="G50" s="9"/>
      <c r="H50" s="10"/>
      <c r="I50" s="9"/>
      <c r="J50" s="9"/>
    </row>
    <row x14ac:dyDescent="0.25" r="51" customHeight="1" ht="17.25">
      <c r="A51" s="7"/>
      <c r="B51" s="7"/>
      <c r="C51" s="7"/>
      <c r="D51" s="7"/>
      <c r="E51" s="8"/>
      <c r="F51" s="9"/>
      <c r="G51" s="9"/>
      <c r="H51" s="10"/>
      <c r="I51" s="9"/>
      <c r="J51" s="9"/>
    </row>
    <row x14ac:dyDescent="0.25" r="52" customHeight="1" ht="17.25">
      <c r="A52" s="11" t="s">
        <v>12001</v>
      </c>
      <c r="B52" s="11"/>
      <c r="C52" s="11"/>
      <c r="D52" s="11"/>
      <c r="E52" s="12"/>
      <c r="F52" s="11"/>
      <c r="G52" s="11"/>
      <c r="H52" s="13"/>
      <c r="I52" s="11"/>
      <c r="J52" s="11"/>
    </row>
    <row x14ac:dyDescent="0.25" r="53" customHeight="1" ht="17.25">
      <c r="A53" s="14" t="s">
        <v>3</v>
      </c>
      <c r="B53" s="14" t="s">
        <v>4</v>
      </c>
      <c r="C53" s="14" t="s">
        <v>5</v>
      </c>
      <c r="D53" s="14" t="s">
        <v>6</v>
      </c>
      <c r="E53" s="15" t="s">
        <v>7</v>
      </c>
      <c r="F53" s="14" t="s">
        <v>8</v>
      </c>
      <c r="G53" s="14" t="s">
        <v>9</v>
      </c>
      <c r="H53" s="16" t="s">
        <v>10</v>
      </c>
      <c r="I53" s="14" t="s">
        <v>11</v>
      </c>
      <c r="J53" s="14" t="s">
        <v>12</v>
      </c>
    </row>
    <row x14ac:dyDescent="0.25" r="54" customHeight="1" ht="17.25">
      <c r="A54" s="17" t="s">
        <v>12002</v>
      </c>
      <c r="B54" s="17" t="s">
        <v>113</v>
      </c>
      <c r="C54" s="17" t="s">
        <v>114</v>
      </c>
      <c r="D54" s="17" t="s">
        <v>16</v>
      </c>
      <c r="E54" s="18">
        <f>ROUND(5974*1.05,2)</f>
      </c>
      <c r="F54" s="17" t="s">
        <v>17</v>
      </c>
      <c r="G54" s="17" t="s">
        <v>18</v>
      </c>
      <c r="H54" s="18">
        <f>ROUND(RAND()*4+6,1)</f>
      </c>
      <c r="I54" s="17" t="s">
        <v>19</v>
      </c>
      <c r="J54" s="19">
        <f>ROUND(85*1,0)&amp;"%"</f>
      </c>
    </row>
    <row x14ac:dyDescent="0.25" r="55" customHeight="1" ht="17.25">
      <c r="A55" s="20" t="s">
        <v>12003</v>
      </c>
      <c r="B55" s="20" t="s">
        <v>116</v>
      </c>
      <c r="C55" s="20" t="s">
        <v>114</v>
      </c>
      <c r="D55" s="20" t="s">
        <v>22</v>
      </c>
      <c r="E55" s="21">
        <f>ROUND(9484*1.05,2)</f>
      </c>
      <c r="F55" s="20" t="s">
        <v>23</v>
      </c>
      <c r="G55" s="20" t="s">
        <v>24</v>
      </c>
      <c r="H55" s="21">
        <f>ROUND(RAND()*4+6,1)</f>
      </c>
      <c r="I55" s="20" t="s">
        <v>25</v>
      </c>
      <c r="J55" s="23">
        <f>ROUND(89*1,0)&amp;"%"</f>
      </c>
    </row>
    <row x14ac:dyDescent="0.25" r="56" customHeight="1" ht="17.25">
      <c r="A56" s="17" t="s">
        <v>12004</v>
      </c>
      <c r="B56" s="17" t="s">
        <v>118</v>
      </c>
      <c r="C56" s="17" t="s">
        <v>114</v>
      </c>
      <c r="D56" s="17" t="s">
        <v>28</v>
      </c>
      <c r="E56" s="18">
        <f>ROUND(14939*1.05,2)</f>
      </c>
      <c r="F56" s="17" t="s">
        <v>29</v>
      </c>
      <c r="G56" s="17" t="s">
        <v>30</v>
      </c>
      <c r="H56" s="18">
        <f>ROUND(RAND()*4+6,1)</f>
      </c>
      <c r="I56" s="17" t="s">
        <v>31</v>
      </c>
      <c r="J56" s="19">
        <f>ROUND(82*1,0)&amp;"%"</f>
      </c>
    </row>
    <row x14ac:dyDescent="0.25" r="57" customHeight="1" ht="17.25">
      <c r="A57" s="20" t="s">
        <v>12005</v>
      </c>
      <c r="B57" s="20" t="s">
        <v>120</v>
      </c>
      <c r="C57" s="20" t="s">
        <v>114</v>
      </c>
      <c r="D57" s="20" t="s">
        <v>34</v>
      </c>
      <c r="E57" s="21">
        <f>ROUND(9231*1.05,2)</f>
      </c>
      <c r="F57" s="20" t="s">
        <v>35</v>
      </c>
      <c r="G57" s="20" t="s">
        <v>18</v>
      </c>
      <c r="H57" s="21">
        <f>ROUND(RAND()*4+6,1)</f>
      </c>
      <c r="I57" s="20" t="s">
        <v>36</v>
      </c>
      <c r="J57" s="23">
        <f>ROUND(83*1,0)&amp;"%"</f>
      </c>
    </row>
    <row x14ac:dyDescent="0.25" r="58" customHeight="1" ht="17.25">
      <c r="A58" s="17" t="s">
        <v>12006</v>
      </c>
      <c r="B58" s="17" t="s">
        <v>122</v>
      </c>
      <c r="C58" s="17" t="s">
        <v>114</v>
      </c>
      <c r="D58" s="17" t="s">
        <v>39</v>
      </c>
      <c r="E58" s="18">
        <f>ROUND(4824*1.05,2)</f>
      </c>
      <c r="F58" s="17" t="s">
        <v>40</v>
      </c>
      <c r="G58" s="17" t="s">
        <v>24</v>
      </c>
      <c r="H58" s="26">
        <f>ROUND(RAND()*4+6,1)</f>
      </c>
      <c r="I58" s="17" t="s">
        <v>41</v>
      </c>
      <c r="J58" s="19">
        <f>ROUND(77*1,0)&amp;"%"</f>
      </c>
    </row>
    <row x14ac:dyDescent="0.25" r="59" customHeight="1" ht="17.25">
      <c r="A59" s="20" t="s">
        <v>12007</v>
      </c>
      <c r="B59" s="20" t="s">
        <v>124</v>
      </c>
      <c r="C59" s="20" t="s">
        <v>114</v>
      </c>
      <c r="D59" s="20" t="s">
        <v>67</v>
      </c>
      <c r="E59" s="21">
        <f>ROUND(16714*1.05,2)</f>
      </c>
      <c r="F59" s="20" t="s">
        <v>44</v>
      </c>
      <c r="G59" s="20" t="s">
        <v>30</v>
      </c>
      <c r="H59" s="21">
        <f>ROUND(RAND()*4+6,1)</f>
      </c>
      <c r="I59" s="20" t="s">
        <v>45</v>
      </c>
      <c r="J59" s="23">
        <f>ROUND(64*1,0)&amp;"%"</f>
      </c>
    </row>
    <row x14ac:dyDescent="0.25" r="60" customHeight="1" ht="17.25">
      <c r="A60" s="17" t="s">
        <v>12008</v>
      </c>
      <c r="B60" s="17" t="s">
        <v>126</v>
      </c>
      <c r="C60" s="17" t="s">
        <v>114</v>
      </c>
      <c r="D60" s="17" t="s">
        <v>16</v>
      </c>
      <c r="E60" s="18">
        <f>ROUND(11887*1.05,2)</f>
      </c>
      <c r="F60" s="17" t="s">
        <v>48</v>
      </c>
      <c r="G60" s="17" t="s">
        <v>18</v>
      </c>
      <c r="H60" s="18">
        <f>ROUND(RAND()*4+6,1)</f>
      </c>
      <c r="I60" s="17" t="s">
        <v>19</v>
      </c>
      <c r="J60" s="19">
        <f>ROUND(84*1,0)&amp;"%"</f>
      </c>
    </row>
    <row x14ac:dyDescent="0.25" r="61" customHeight="1" ht="17.25">
      <c r="A61" s="20" t="s">
        <v>12009</v>
      </c>
      <c r="B61" s="20" t="s">
        <v>128</v>
      </c>
      <c r="C61" s="20" t="s">
        <v>114</v>
      </c>
      <c r="D61" s="20" t="s">
        <v>22</v>
      </c>
      <c r="E61" s="21">
        <f>ROUND(4710*1.05,2)</f>
      </c>
      <c r="F61" s="20" t="s">
        <v>51</v>
      </c>
      <c r="G61" s="20" t="s">
        <v>24</v>
      </c>
      <c r="H61" s="21">
        <f>ROUND(RAND()*4+6,1)</f>
      </c>
      <c r="I61" s="20" t="s">
        <v>25</v>
      </c>
      <c r="J61" s="23">
        <f>ROUND(75*1,0)&amp;"%"</f>
      </c>
    </row>
    <row x14ac:dyDescent="0.25" r="62" customHeight="1" ht="17.25">
      <c r="A62" s="24" t="s">
        <v>129</v>
      </c>
      <c r="B62" s="24"/>
      <c r="C62" s="24"/>
      <c r="D62" s="24"/>
      <c r="E62" s="25">
        <v>8</v>
      </c>
      <c r="F62" s="9"/>
      <c r="G62" s="9"/>
      <c r="H62" s="10"/>
      <c r="I62" s="9"/>
      <c r="J62" s="9"/>
    </row>
    <row x14ac:dyDescent="0.25" r="63" customHeight="1" ht="17.25">
      <c r="A63" s="7"/>
      <c r="B63" s="7"/>
      <c r="C63" s="7"/>
      <c r="D63" s="7"/>
      <c r="E63" s="8"/>
      <c r="F63" s="9"/>
      <c r="G63" s="9"/>
      <c r="H63" s="10"/>
      <c r="I63" s="9"/>
      <c r="J63" s="9"/>
    </row>
    <row x14ac:dyDescent="0.25" r="64" customHeight="1" ht="17.25">
      <c r="A64" s="11" t="s">
        <v>12010</v>
      </c>
      <c r="B64" s="11"/>
      <c r="C64" s="11"/>
      <c r="D64" s="11"/>
      <c r="E64" s="12"/>
      <c r="F64" s="11"/>
      <c r="G64" s="11"/>
      <c r="H64" s="13"/>
      <c r="I64" s="11"/>
      <c r="J64" s="11"/>
    </row>
    <row x14ac:dyDescent="0.25" r="65" customHeight="1" ht="17.25">
      <c r="A65" s="14" t="s">
        <v>3</v>
      </c>
      <c r="B65" s="14" t="s">
        <v>4</v>
      </c>
      <c r="C65" s="14" t="s">
        <v>5</v>
      </c>
      <c r="D65" s="14" t="s">
        <v>6</v>
      </c>
      <c r="E65" s="15" t="s">
        <v>7</v>
      </c>
      <c r="F65" s="14" t="s">
        <v>8</v>
      </c>
      <c r="G65" s="14" t="s">
        <v>9</v>
      </c>
      <c r="H65" s="16" t="s">
        <v>10</v>
      </c>
      <c r="I65" s="14" t="s">
        <v>11</v>
      </c>
      <c r="J65" s="14" t="s">
        <v>12</v>
      </c>
    </row>
    <row x14ac:dyDescent="0.25" r="66" customHeight="1" ht="17.25">
      <c r="A66" s="17" t="s">
        <v>12011</v>
      </c>
      <c r="B66" s="17" t="s">
        <v>132</v>
      </c>
      <c r="C66" s="17" t="s">
        <v>133</v>
      </c>
      <c r="D66" s="17" t="s">
        <v>16</v>
      </c>
      <c r="E66" s="18">
        <f>ROUND(16406*1.05,2)</f>
      </c>
      <c r="F66" s="17" t="s">
        <v>17</v>
      </c>
      <c r="G66" s="17" t="s">
        <v>18</v>
      </c>
      <c r="H66" s="18">
        <f>ROUND(RAND()*4+6,1)</f>
      </c>
      <c r="I66" s="17" t="s">
        <v>19</v>
      </c>
      <c r="J66" s="19">
        <f>ROUND(100*1,0)&amp;"%"</f>
      </c>
    </row>
    <row x14ac:dyDescent="0.25" r="67" customHeight="1" ht="17.25">
      <c r="A67" s="20" t="s">
        <v>12012</v>
      </c>
      <c r="B67" s="20" t="s">
        <v>135</v>
      </c>
      <c r="C67" s="20" t="s">
        <v>133</v>
      </c>
      <c r="D67" s="20" t="s">
        <v>22</v>
      </c>
      <c r="E67" s="21">
        <f>ROUND(6937*1.05,2)</f>
      </c>
      <c r="F67" s="20" t="s">
        <v>23</v>
      </c>
      <c r="G67" s="20" t="s">
        <v>24</v>
      </c>
      <c r="H67" s="22">
        <f>ROUND(RAND()*4+6,1)</f>
      </c>
      <c r="I67" s="20" t="s">
        <v>25</v>
      </c>
      <c r="J67" s="23">
        <f>ROUND(72*1,0)&amp;"%"</f>
      </c>
    </row>
    <row x14ac:dyDescent="0.25" r="68" customHeight="1" ht="17.25">
      <c r="A68" s="17" t="s">
        <v>12013</v>
      </c>
      <c r="B68" s="17" t="s">
        <v>137</v>
      </c>
      <c r="C68" s="17" t="s">
        <v>133</v>
      </c>
      <c r="D68" s="17" t="s">
        <v>28</v>
      </c>
      <c r="E68" s="18">
        <f>ROUND(8507*1.05,2)</f>
      </c>
      <c r="F68" s="17" t="s">
        <v>29</v>
      </c>
      <c r="G68" s="17" t="s">
        <v>30</v>
      </c>
      <c r="H68" s="18">
        <f>ROUND(RAND()*4+6,1)</f>
      </c>
      <c r="I68" s="17" t="s">
        <v>31</v>
      </c>
      <c r="J68" s="19">
        <f>ROUND(60*1,0)&amp;"%"</f>
      </c>
    </row>
    <row x14ac:dyDescent="0.25" r="69" customHeight="1" ht="17.25">
      <c r="A69" s="20" t="s">
        <v>12014</v>
      </c>
      <c r="B69" s="20" t="s">
        <v>139</v>
      </c>
      <c r="C69" s="20" t="s">
        <v>133</v>
      </c>
      <c r="D69" s="20" t="s">
        <v>34</v>
      </c>
      <c r="E69" s="21">
        <f>ROUND(17265*1.05,2)</f>
      </c>
      <c r="F69" s="20" t="s">
        <v>35</v>
      </c>
      <c r="G69" s="20" t="s">
        <v>18</v>
      </c>
      <c r="H69" s="21">
        <f>ROUND(RAND()*4+6,1)</f>
      </c>
      <c r="I69" s="20" t="s">
        <v>36</v>
      </c>
      <c r="J69" s="23">
        <f>ROUND(97*1,0)&amp;"%"</f>
      </c>
    </row>
    <row x14ac:dyDescent="0.25" r="70" customHeight="1" ht="17.25">
      <c r="A70" s="17" t="s">
        <v>12015</v>
      </c>
      <c r="B70" s="17" t="s">
        <v>141</v>
      </c>
      <c r="C70" s="17" t="s">
        <v>133</v>
      </c>
      <c r="D70" s="17" t="s">
        <v>39</v>
      </c>
      <c r="E70" s="18">
        <f>ROUND(13918*1.05,2)</f>
      </c>
      <c r="F70" s="17" t="s">
        <v>40</v>
      </c>
      <c r="G70" s="17" t="s">
        <v>24</v>
      </c>
      <c r="H70" s="18">
        <f>ROUND(RAND()*4+6,1)</f>
      </c>
      <c r="I70" s="17" t="s">
        <v>41</v>
      </c>
      <c r="J70" s="19">
        <f>ROUND(81*1,0)&amp;"%"</f>
      </c>
    </row>
    <row x14ac:dyDescent="0.25" r="71" customHeight="1" ht="17.25">
      <c r="A71" s="20" t="s">
        <v>12016</v>
      </c>
      <c r="B71" s="20" t="s">
        <v>143</v>
      </c>
      <c r="C71" s="20" t="s">
        <v>133</v>
      </c>
      <c r="D71" s="20" t="s">
        <v>67</v>
      </c>
      <c r="E71" s="21">
        <f>ROUND(11653*1.05,2)</f>
      </c>
      <c r="F71" s="20" t="s">
        <v>44</v>
      </c>
      <c r="G71" s="20" t="s">
        <v>30</v>
      </c>
      <c r="H71" s="21">
        <f>ROUND(RAND()*4+6,1)</f>
      </c>
      <c r="I71" s="20" t="s">
        <v>45</v>
      </c>
      <c r="J71" s="23">
        <f>ROUND(77*1,0)&amp;"%"</f>
      </c>
    </row>
    <row x14ac:dyDescent="0.25" r="72" customHeight="1" ht="17.25">
      <c r="A72" s="17" t="s">
        <v>12017</v>
      </c>
      <c r="B72" s="17" t="s">
        <v>145</v>
      </c>
      <c r="C72" s="17" t="s">
        <v>133</v>
      </c>
      <c r="D72" s="17" t="s">
        <v>16</v>
      </c>
      <c r="E72" s="18">
        <f>ROUND(16077*1.05,2)</f>
      </c>
      <c r="F72" s="17" t="s">
        <v>48</v>
      </c>
      <c r="G72" s="17" t="s">
        <v>18</v>
      </c>
      <c r="H72" s="18">
        <f>ROUND(RAND()*4+6,1)</f>
      </c>
      <c r="I72" s="17" t="s">
        <v>19</v>
      </c>
      <c r="J72" s="19">
        <f>ROUND(62*1,0)&amp;"%"</f>
      </c>
    </row>
    <row x14ac:dyDescent="0.25" r="73" customHeight="1" ht="17.25">
      <c r="A73" s="20" t="s">
        <v>12018</v>
      </c>
      <c r="B73" s="20" t="s">
        <v>147</v>
      </c>
      <c r="C73" s="20" t="s">
        <v>133</v>
      </c>
      <c r="D73" s="20" t="s">
        <v>22</v>
      </c>
      <c r="E73" s="21">
        <f>ROUND(12668*1.05,2)</f>
      </c>
      <c r="F73" s="20" t="s">
        <v>51</v>
      </c>
      <c r="G73" s="20" t="s">
        <v>24</v>
      </c>
      <c r="H73" s="21">
        <f>ROUND(RAND()*4+6,1)</f>
      </c>
      <c r="I73" s="20" t="s">
        <v>25</v>
      </c>
      <c r="J73" s="23">
        <f>ROUND(63*1,0)&amp;"%"</f>
      </c>
    </row>
    <row x14ac:dyDescent="0.25" r="74" customHeight="1" ht="17.25">
      <c r="A74" s="24" t="s">
        <v>148</v>
      </c>
      <c r="B74" s="24"/>
      <c r="C74" s="24"/>
      <c r="D74" s="24"/>
      <c r="E74" s="25">
        <v>8</v>
      </c>
      <c r="F74" s="9"/>
      <c r="G74" s="9"/>
      <c r="H74" s="10"/>
      <c r="I74" s="9"/>
      <c r="J74" s="9"/>
    </row>
    <row x14ac:dyDescent="0.25" r="75" customHeight="1" ht="17.25">
      <c r="A75" s="7"/>
      <c r="B75" s="7"/>
      <c r="C75" s="7"/>
      <c r="D75" s="7"/>
      <c r="E75" s="8"/>
      <c r="F75" s="9"/>
      <c r="G75" s="9"/>
      <c r="H75" s="10"/>
      <c r="I75" s="9"/>
      <c r="J75" s="9"/>
    </row>
    <row x14ac:dyDescent="0.25" r="76" customHeight="1" ht="17.25">
      <c r="A76" s="11" t="s">
        <v>12019</v>
      </c>
      <c r="B76" s="11"/>
      <c r="C76" s="11"/>
      <c r="D76" s="11"/>
      <c r="E76" s="12"/>
      <c r="F76" s="11"/>
      <c r="G76" s="11"/>
      <c r="H76" s="13"/>
      <c r="I76" s="11"/>
      <c r="J76" s="11"/>
    </row>
    <row x14ac:dyDescent="0.25" r="77" customHeight="1" ht="17.25">
      <c r="A77" s="14" t="s">
        <v>3</v>
      </c>
      <c r="B77" s="14" t="s">
        <v>4</v>
      </c>
      <c r="C77" s="14" t="s">
        <v>5</v>
      </c>
      <c r="D77" s="14" t="s">
        <v>6</v>
      </c>
      <c r="E77" s="15" t="s">
        <v>7</v>
      </c>
      <c r="F77" s="14" t="s">
        <v>8</v>
      </c>
      <c r="G77" s="14" t="s">
        <v>9</v>
      </c>
      <c r="H77" s="16" t="s">
        <v>10</v>
      </c>
      <c r="I77" s="14" t="s">
        <v>11</v>
      </c>
      <c r="J77" s="14" t="s">
        <v>12</v>
      </c>
    </row>
    <row x14ac:dyDescent="0.25" r="78" customHeight="1" ht="17.25">
      <c r="A78" s="17" t="s">
        <v>12020</v>
      </c>
      <c r="B78" s="17" t="s">
        <v>151</v>
      </c>
      <c r="C78" s="17" t="s">
        <v>152</v>
      </c>
      <c r="D78" s="17" t="s">
        <v>16</v>
      </c>
      <c r="E78" s="18">
        <f>ROUND(15576*1.05,2)</f>
      </c>
      <c r="F78" s="17" t="s">
        <v>17</v>
      </c>
      <c r="G78" s="17" t="s">
        <v>18</v>
      </c>
      <c r="H78" s="18">
        <f>ROUND(RAND()*4+6,1)</f>
      </c>
      <c r="I78" s="17" t="s">
        <v>19</v>
      </c>
      <c r="J78" s="19">
        <f>ROUND(87*1,0)&amp;"%"</f>
      </c>
    </row>
    <row x14ac:dyDescent="0.25" r="79" customHeight="1" ht="17.25">
      <c r="A79" s="20" t="s">
        <v>12021</v>
      </c>
      <c r="B79" s="20" t="s">
        <v>154</v>
      </c>
      <c r="C79" s="20" t="s">
        <v>152</v>
      </c>
      <c r="D79" s="20" t="s">
        <v>22</v>
      </c>
      <c r="E79" s="21">
        <f>ROUND(7469*1.05,2)</f>
      </c>
      <c r="F79" s="20" t="s">
        <v>23</v>
      </c>
      <c r="G79" s="20" t="s">
        <v>24</v>
      </c>
      <c r="H79" s="21">
        <f>ROUND(RAND()*4+6,1)</f>
      </c>
      <c r="I79" s="20" t="s">
        <v>25</v>
      </c>
      <c r="J79" s="23">
        <f>ROUND(65*1,0)&amp;"%"</f>
      </c>
    </row>
    <row x14ac:dyDescent="0.25" r="80" customHeight="1" ht="17.25">
      <c r="A80" s="17" t="s">
        <v>12022</v>
      </c>
      <c r="B80" s="17" t="s">
        <v>156</v>
      </c>
      <c r="C80" s="17" t="s">
        <v>152</v>
      </c>
      <c r="D80" s="17" t="s">
        <v>28</v>
      </c>
      <c r="E80" s="18">
        <f>ROUND(16302*1.05,2)</f>
      </c>
      <c r="F80" s="17" t="s">
        <v>29</v>
      </c>
      <c r="G80" s="17" t="s">
        <v>30</v>
      </c>
      <c r="H80" s="18">
        <f>ROUND(RAND()*4+6,1)</f>
      </c>
      <c r="I80" s="17" t="s">
        <v>31</v>
      </c>
      <c r="J80" s="19">
        <f>ROUND(63*1,0)&amp;"%"</f>
      </c>
    </row>
    <row x14ac:dyDescent="0.25" r="81" customHeight="1" ht="17.25">
      <c r="A81" s="20" t="s">
        <v>12023</v>
      </c>
      <c r="B81" s="20" t="s">
        <v>158</v>
      </c>
      <c r="C81" s="20" t="s">
        <v>152</v>
      </c>
      <c r="D81" s="20" t="s">
        <v>34</v>
      </c>
      <c r="E81" s="21">
        <f>ROUND(4475*1.05,2)</f>
      </c>
      <c r="F81" s="20" t="s">
        <v>35</v>
      </c>
      <c r="G81" s="20" t="s">
        <v>18</v>
      </c>
      <c r="H81" s="21">
        <f>ROUND(RAND()*4+6,1)</f>
      </c>
      <c r="I81" s="20" t="s">
        <v>36</v>
      </c>
      <c r="J81" s="23">
        <f>ROUND(69*1,0)&amp;"%"</f>
      </c>
    </row>
    <row x14ac:dyDescent="0.25" r="82" customHeight="1" ht="17.25">
      <c r="A82" s="17" t="s">
        <v>12024</v>
      </c>
      <c r="B82" s="17" t="s">
        <v>160</v>
      </c>
      <c r="C82" s="17" t="s">
        <v>152</v>
      </c>
      <c r="D82" s="17" t="s">
        <v>39</v>
      </c>
      <c r="E82" s="18">
        <f>ROUND(7215*1.05,2)</f>
      </c>
      <c r="F82" s="17" t="s">
        <v>40</v>
      </c>
      <c r="G82" s="17" t="s">
        <v>24</v>
      </c>
      <c r="H82" s="18">
        <f>ROUND(RAND()*4+6,1)</f>
      </c>
      <c r="I82" s="17" t="s">
        <v>41</v>
      </c>
      <c r="J82" s="19">
        <f>ROUND(71*1,0)&amp;"%"</f>
      </c>
    </row>
    <row x14ac:dyDescent="0.25" r="83" customHeight="1" ht="17.25">
      <c r="A83" s="20" t="s">
        <v>12025</v>
      </c>
      <c r="B83" s="20" t="s">
        <v>162</v>
      </c>
      <c r="C83" s="20" t="s">
        <v>152</v>
      </c>
      <c r="D83" s="20" t="s">
        <v>67</v>
      </c>
      <c r="E83" s="21">
        <f>ROUND(17919*1.05,2)</f>
      </c>
      <c r="F83" s="20" t="s">
        <v>44</v>
      </c>
      <c r="G83" s="20" t="s">
        <v>30</v>
      </c>
      <c r="H83" s="21">
        <f>ROUND(RAND()*4+6,1)</f>
      </c>
      <c r="I83" s="20" t="s">
        <v>45</v>
      </c>
      <c r="J83" s="23">
        <f>ROUND(87*1,0)&amp;"%"</f>
      </c>
    </row>
    <row x14ac:dyDescent="0.25" r="84" customHeight="1" ht="17.25">
      <c r="A84" s="17" t="s">
        <v>12026</v>
      </c>
      <c r="B84" s="17" t="s">
        <v>164</v>
      </c>
      <c r="C84" s="17" t="s">
        <v>152</v>
      </c>
      <c r="D84" s="17" t="s">
        <v>16</v>
      </c>
      <c r="E84" s="18">
        <f>ROUND(14571*1.05,2)</f>
      </c>
      <c r="F84" s="17" t="s">
        <v>48</v>
      </c>
      <c r="G84" s="17" t="s">
        <v>18</v>
      </c>
      <c r="H84" s="18">
        <f>ROUND(RAND()*4+6,1)</f>
      </c>
      <c r="I84" s="17" t="s">
        <v>19</v>
      </c>
      <c r="J84" s="19">
        <f>ROUND(95*1,0)&amp;"%"</f>
      </c>
    </row>
    <row x14ac:dyDescent="0.25" r="85" customHeight="1" ht="17.25">
      <c r="A85" s="20" t="s">
        <v>12027</v>
      </c>
      <c r="B85" s="20" t="s">
        <v>166</v>
      </c>
      <c r="C85" s="20" t="s">
        <v>152</v>
      </c>
      <c r="D85" s="20" t="s">
        <v>22</v>
      </c>
      <c r="E85" s="21">
        <f>ROUND(12043*1.05,2)</f>
      </c>
      <c r="F85" s="20" t="s">
        <v>51</v>
      </c>
      <c r="G85" s="20" t="s">
        <v>24</v>
      </c>
      <c r="H85" s="22">
        <f>ROUND(RAND()*4+6,1)</f>
      </c>
      <c r="I85" s="20" t="s">
        <v>25</v>
      </c>
      <c r="J85" s="23">
        <f>ROUND(70*1,0)&amp;"%"</f>
      </c>
    </row>
    <row x14ac:dyDescent="0.25" r="86" customHeight="1" ht="17.25">
      <c r="A86" s="24" t="s">
        <v>167</v>
      </c>
      <c r="B86" s="24"/>
      <c r="C86" s="24"/>
      <c r="D86" s="24"/>
      <c r="E86" s="25">
        <v>8</v>
      </c>
      <c r="F86" s="9"/>
      <c r="G86" s="9"/>
      <c r="H86" s="10"/>
      <c r="I86" s="9"/>
      <c r="J86" s="9"/>
    </row>
    <row x14ac:dyDescent="0.25" r="87" customHeight="1" ht="17.25">
      <c r="A87" s="7"/>
      <c r="B87" s="7"/>
      <c r="C87" s="7"/>
      <c r="D87" s="7"/>
      <c r="E87" s="8"/>
      <c r="F87" s="9"/>
      <c r="G87" s="9"/>
      <c r="H87" s="10"/>
      <c r="I87" s="9"/>
      <c r="J87" s="9"/>
    </row>
    <row x14ac:dyDescent="0.25" r="88" customHeight="1" ht="17.25">
      <c r="A88" s="11" t="s">
        <v>12028</v>
      </c>
      <c r="B88" s="11"/>
      <c r="C88" s="11"/>
      <c r="D88" s="11"/>
      <c r="E88" s="12"/>
      <c r="F88" s="11"/>
      <c r="G88" s="11"/>
      <c r="H88" s="13"/>
      <c r="I88" s="11"/>
      <c r="J88" s="11"/>
    </row>
    <row x14ac:dyDescent="0.25" r="89" customHeight="1" ht="17.25">
      <c r="A89" s="14" t="s">
        <v>3</v>
      </c>
      <c r="B89" s="14" t="s">
        <v>4</v>
      </c>
      <c r="C89" s="14" t="s">
        <v>5</v>
      </c>
      <c r="D89" s="14" t="s">
        <v>6</v>
      </c>
      <c r="E89" s="15" t="s">
        <v>7</v>
      </c>
      <c r="F89" s="14" t="s">
        <v>8</v>
      </c>
      <c r="G89" s="14" t="s">
        <v>9</v>
      </c>
      <c r="H89" s="16" t="s">
        <v>10</v>
      </c>
      <c r="I89" s="14" t="s">
        <v>11</v>
      </c>
      <c r="J89" s="14" t="s">
        <v>12</v>
      </c>
    </row>
    <row x14ac:dyDescent="0.25" r="90" customHeight="1" ht="17.25">
      <c r="A90" s="17" t="s">
        <v>12029</v>
      </c>
      <c r="B90" s="17" t="s">
        <v>170</v>
      </c>
      <c r="C90" s="17" t="s">
        <v>15</v>
      </c>
      <c r="D90" s="17" t="s">
        <v>16</v>
      </c>
      <c r="E90" s="26">
        <f>ROUND(5180*1.05,2)</f>
      </c>
      <c r="F90" s="17" t="s">
        <v>17</v>
      </c>
      <c r="G90" s="17" t="s">
        <v>18</v>
      </c>
      <c r="H90" s="18">
        <f>ROUND(RAND()*4+6,1)</f>
      </c>
      <c r="I90" s="17" t="s">
        <v>19</v>
      </c>
      <c r="J90" s="19">
        <f>ROUND(83*1,0)&amp;"%"</f>
      </c>
    </row>
    <row x14ac:dyDescent="0.25" r="91" customHeight="1" ht="17.25">
      <c r="A91" s="20" t="s">
        <v>12030</v>
      </c>
      <c r="B91" s="20" t="s">
        <v>172</v>
      </c>
      <c r="C91" s="20" t="s">
        <v>15</v>
      </c>
      <c r="D91" s="20" t="s">
        <v>22</v>
      </c>
      <c r="E91" s="21">
        <f>ROUND(9448*1.05,2)</f>
      </c>
      <c r="F91" s="20" t="s">
        <v>23</v>
      </c>
      <c r="G91" s="20" t="s">
        <v>24</v>
      </c>
      <c r="H91" s="21">
        <f>ROUND(RAND()*4+6,1)</f>
      </c>
      <c r="I91" s="20" t="s">
        <v>25</v>
      </c>
      <c r="J91" s="23">
        <f>ROUND(79*1,0)&amp;"%"</f>
      </c>
    </row>
    <row x14ac:dyDescent="0.25" r="92" customHeight="1" ht="17.25">
      <c r="A92" s="17" t="s">
        <v>12031</v>
      </c>
      <c r="B92" s="17" t="s">
        <v>174</v>
      </c>
      <c r="C92" s="17" t="s">
        <v>15</v>
      </c>
      <c r="D92" s="17" t="s">
        <v>28</v>
      </c>
      <c r="E92" s="18">
        <f>ROUND(7032*1.05,2)</f>
      </c>
      <c r="F92" s="17" t="s">
        <v>29</v>
      </c>
      <c r="G92" s="17" t="s">
        <v>30</v>
      </c>
      <c r="H92" s="18">
        <f>ROUND(RAND()*4+6,1)</f>
      </c>
      <c r="I92" s="17" t="s">
        <v>31</v>
      </c>
      <c r="J92" s="19">
        <f>ROUND(93*1,0)&amp;"%"</f>
      </c>
    </row>
    <row x14ac:dyDescent="0.25" r="93" customHeight="1" ht="17.25">
      <c r="A93" s="20" t="s">
        <v>12032</v>
      </c>
      <c r="B93" s="20" t="s">
        <v>176</v>
      </c>
      <c r="C93" s="20" t="s">
        <v>15</v>
      </c>
      <c r="D93" s="20" t="s">
        <v>34</v>
      </c>
      <c r="E93" s="22">
        <f>ROUND(4840*1.05,2)</f>
      </c>
      <c r="F93" s="20" t="s">
        <v>35</v>
      </c>
      <c r="G93" s="20" t="s">
        <v>18</v>
      </c>
      <c r="H93" s="21">
        <f>ROUND(RAND()*4+6,1)</f>
      </c>
      <c r="I93" s="20" t="s">
        <v>36</v>
      </c>
      <c r="J93" s="23">
        <f>ROUND(99*1,0)&amp;"%"</f>
      </c>
    </row>
    <row x14ac:dyDescent="0.25" r="94" customHeight="1" ht="17.25">
      <c r="A94" s="17" t="s">
        <v>12033</v>
      </c>
      <c r="B94" s="17" t="s">
        <v>178</v>
      </c>
      <c r="C94" s="17" t="s">
        <v>15</v>
      </c>
      <c r="D94" s="17" t="s">
        <v>39</v>
      </c>
      <c r="E94" s="18">
        <f>ROUND(13971*1.05,2)</f>
      </c>
      <c r="F94" s="17" t="s">
        <v>40</v>
      </c>
      <c r="G94" s="17" t="s">
        <v>24</v>
      </c>
      <c r="H94" s="18">
        <f>ROUND(RAND()*4+6,1)</f>
      </c>
      <c r="I94" s="17" t="s">
        <v>41</v>
      </c>
      <c r="J94" s="19">
        <f>ROUND(63*1,0)&amp;"%"</f>
      </c>
    </row>
    <row x14ac:dyDescent="0.25" r="95" customHeight="1" ht="17.25">
      <c r="A95" s="20" t="s">
        <v>12034</v>
      </c>
      <c r="B95" s="20" t="s">
        <v>180</v>
      </c>
      <c r="C95" s="20" t="s">
        <v>15</v>
      </c>
      <c r="D95" s="20" t="s">
        <v>67</v>
      </c>
      <c r="E95" s="21">
        <f>ROUND(12128*1.05,2)</f>
      </c>
      <c r="F95" s="20" t="s">
        <v>44</v>
      </c>
      <c r="G95" s="20" t="s">
        <v>30</v>
      </c>
      <c r="H95" s="21">
        <f>ROUND(RAND()*4+6,1)</f>
      </c>
      <c r="I95" s="20" t="s">
        <v>45</v>
      </c>
      <c r="J95" s="23">
        <f>ROUND(95*1,0)&amp;"%"</f>
      </c>
    </row>
    <row x14ac:dyDescent="0.25" r="96" customHeight="1" ht="17.25">
      <c r="A96" s="17" t="s">
        <v>12035</v>
      </c>
      <c r="B96" s="17" t="s">
        <v>182</v>
      </c>
      <c r="C96" s="17" t="s">
        <v>15</v>
      </c>
      <c r="D96" s="17" t="s">
        <v>16</v>
      </c>
      <c r="E96" s="18">
        <f>ROUND(6571*1.05,2)</f>
      </c>
      <c r="F96" s="17" t="s">
        <v>48</v>
      </c>
      <c r="G96" s="17" t="s">
        <v>18</v>
      </c>
      <c r="H96" s="18">
        <f>ROUND(RAND()*4+6,1)</f>
      </c>
      <c r="I96" s="17" t="s">
        <v>19</v>
      </c>
      <c r="J96" s="19">
        <f>ROUND(91*1,0)&amp;"%"</f>
      </c>
    </row>
    <row x14ac:dyDescent="0.25" r="97" customHeight="1" ht="17.25">
      <c r="A97" s="20" t="s">
        <v>12036</v>
      </c>
      <c r="B97" s="20" t="s">
        <v>184</v>
      </c>
      <c r="C97" s="20" t="s">
        <v>15</v>
      </c>
      <c r="D97" s="20" t="s">
        <v>22</v>
      </c>
      <c r="E97" s="21">
        <f>ROUND(17235*1.05,2)</f>
      </c>
      <c r="F97" s="20" t="s">
        <v>51</v>
      </c>
      <c r="G97" s="20" t="s">
        <v>24</v>
      </c>
      <c r="H97" s="21">
        <f>ROUND(RAND()*4+6,1)</f>
      </c>
      <c r="I97" s="20" t="s">
        <v>25</v>
      </c>
      <c r="J97" s="23">
        <f>ROUND(78*1,0)&amp;"%"</f>
      </c>
    </row>
    <row x14ac:dyDescent="0.25" r="98" customHeight="1" ht="17.25">
      <c r="A98" s="24" t="s">
        <v>185</v>
      </c>
      <c r="B98" s="24"/>
      <c r="C98" s="24"/>
      <c r="D98" s="24"/>
      <c r="E98" s="25">
        <v>8</v>
      </c>
      <c r="F98" s="9"/>
      <c r="G98" s="9"/>
      <c r="H98" s="10"/>
      <c r="I98" s="9"/>
      <c r="J98" s="9"/>
    </row>
    <row x14ac:dyDescent="0.25" r="99" customHeight="1" ht="17.25">
      <c r="A99" s="7"/>
      <c r="B99" s="7"/>
      <c r="C99" s="7"/>
      <c r="D99" s="7"/>
      <c r="E99" s="8"/>
      <c r="F99" s="9"/>
      <c r="G99" s="9"/>
      <c r="H99" s="10"/>
      <c r="I99" s="9"/>
      <c r="J99" s="9"/>
    </row>
    <row x14ac:dyDescent="0.25" r="100" customHeight="1" ht="17.25">
      <c r="A100" s="11" t="s">
        <v>12037</v>
      </c>
      <c r="B100" s="11"/>
      <c r="C100" s="11"/>
      <c r="D100" s="11"/>
      <c r="E100" s="12"/>
      <c r="F100" s="11"/>
      <c r="G100" s="11"/>
      <c r="H100" s="13"/>
      <c r="I100" s="11"/>
      <c r="J100" s="11"/>
    </row>
    <row x14ac:dyDescent="0.25" r="101" customHeight="1" ht="17.25">
      <c r="A101" s="14" t="s">
        <v>3</v>
      </c>
      <c r="B101" s="14" t="s">
        <v>4</v>
      </c>
      <c r="C101" s="14" t="s">
        <v>5</v>
      </c>
      <c r="D101" s="14" t="s">
        <v>6</v>
      </c>
      <c r="E101" s="15" t="s">
        <v>7</v>
      </c>
      <c r="F101" s="14" t="s">
        <v>8</v>
      </c>
      <c r="G101" s="14" t="s">
        <v>9</v>
      </c>
      <c r="H101" s="16" t="s">
        <v>10</v>
      </c>
      <c r="I101" s="14" t="s">
        <v>11</v>
      </c>
      <c r="J101" s="14" t="s">
        <v>12</v>
      </c>
    </row>
    <row x14ac:dyDescent="0.25" r="102" customHeight="1" ht="17.25">
      <c r="A102" s="17" t="s">
        <v>12038</v>
      </c>
      <c r="B102" s="17" t="s">
        <v>188</v>
      </c>
      <c r="C102" s="17" t="s">
        <v>56</v>
      </c>
      <c r="D102" s="17" t="s">
        <v>16</v>
      </c>
      <c r="E102" s="18">
        <f>ROUND(10225*1.05,2)</f>
      </c>
      <c r="F102" s="17" t="s">
        <v>17</v>
      </c>
      <c r="G102" s="17" t="s">
        <v>18</v>
      </c>
      <c r="H102" s="18">
        <f>ROUND(RAND()*4+6,1)</f>
      </c>
      <c r="I102" s="17" t="s">
        <v>19</v>
      </c>
      <c r="J102" s="19">
        <f>ROUND(66*1,0)&amp;"%"</f>
      </c>
    </row>
    <row x14ac:dyDescent="0.25" r="103" customHeight="1" ht="17.25">
      <c r="A103" s="20" t="s">
        <v>12039</v>
      </c>
      <c r="B103" s="20" t="s">
        <v>190</v>
      </c>
      <c r="C103" s="20" t="s">
        <v>56</v>
      </c>
      <c r="D103" s="20" t="s">
        <v>22</v>
      </c>
      <c r="E103" s="21">
        <f>ROUND(14850*1.05,2)</f>
      </c>
      <c r="F103" s="20" t="s">
        <v>23</v>
      </c>
      <c r="G103" s="20" t="s">
        <v>24</v>
      </c>
      <c r="H103" s="21">
        <f>ROUND(RAND()*4+6,1)</f>
      </c>
      <c r="I103" s="20" t="s">
        <v>25</v>
      </c>
      <c r="J103" s="23">
        <f>ROUND(66*1,0)&amp;"%"</f>
      </c>
    </row>
    <row x14ac:dyDescent="0.25" r="104" customHeight="1" ht="17.25">
      <c r="A104" s="17" t="s">
        <v>12040</v>
      </c>
      <c r="B104" s="17" t="s">
        <v>192</v>
      </c>
      <c r="C104" s="17" t="s">
        <v>56</v>
      </c>
      <c r="D104" s="17" t="s">
        <v>28</v>
      </c>
      <c r="E104" s="18">
        <f>ROUND(5163*1.05,2)</f>
      </c>
      <c r="F104" s="17" t="s">
        <v>29</v>
      </c>
      <c r="G104" s="17" t="s">
        <v>30</v>
      </c>
      <c r="H104" s="18">
        <f>ROUND(RAND()*4+6,1)</f>
      </c>
      <c r="I104" s="17" t="s">
        <v>31</v>
      </c>
      <c r="J104" s="19">
        <f>ROUND(70*1,0)&amp;"%"</f>
      </c>
    </row>
    <row x14ac:dyDescent="0.25" r="105" customHeight="1" ht="17.25">
      <c r="A105" s="20" t="s">
        <v>12041</v>
      </c>
      <c r="B105" s="20" t="s">
        <v>194</v>
      </c>
      <c r="C105" s="20" t="s">
        <v>56</v>
      </c>
      <c r="D105" s="20" t="s">
        <v>34</v>
      </c>
      <c r="E105" s="21">
        <f>ROUND(10205*1.05,2)</f>
      </c>
      <c r="F105" s="20" t="s">
        <v>35</v>
      </c>
      <c r="G105" s="20" t="s">
        <v>18</v>
      </c>
      <c r="H105" s="21">
        <f>ROUND(RAND()*4+6,1)</f>
      </c>
      <c r="I105" s="20" t="s">
        <v>36</v>
      </c>
      <c r="J105" s="23">
        <f>ROUND(61*1,0)&amp;"%"</f>
      </c>
    </row>
    <row x14ac:dyDescent="0.25" r="106" customHeight="1" ht="17.25">
      <c r="A106" s="17" t="s">
        <v>12042</v>
      </c>
      <c r="B106" s="17" t="s">
        <v>196</v>
      </c>
      <c r="C106" s="17" t="s">
        <v>56</v>
      </c>
      <c r="D106" s="17" t="s">
        <v>39</v>
      </c>
      <c r="E106" s="18">
        <f>ROUND(9114*1.05,2)</f>
      </c>
      <c r="F106" s="17" t="s">
        <v>40</v>
      </c>
      <c r="G106" s="17" t="s">
        <v>24</v>
      </c>
      <c r="H106" s="18">
        <f>ROUND(RAND()*4+6,1)</f>
      </c>
      <c r="I106" s="17" t="s">
        <v>41</v>
      </c>
      <c r="J106" s="19">
        <f>ROUND(86*1,0)&amp;"%"</f>
      </c>
    </row>
    <row x14ac:dyDescent="0.25" r="107" customHeight="1" ht="17.25">
      <c r="A107" s="20" t="s">
        <v>12043</v>
      </c>
      <c r="B107" s="20" t="s">
        <v>198</v>
      </c>
      <c r="C107" s="20" t="s">
        <v>56</v>
      </c>
      <c r="D107" s="20" t="s">
        <v>67</v>
      </c>
      <c r="E107" s="21">
        <f>ROUND(10138*1.05,2)</f>
      </c>
      <c r="F107" s="20" t="s">
        <v>44</v>
      </c>
      <c r="G107" s="20" t="s">
        <v>30</v>
      </c>
      <c r="H107" s="21">
        <f>ROUND(RAND()*4+6,1)</f>
      </c>
      <c r="I107" s="20" t="s">
        <v>45</v>
      </c>
      <c r="J107" s="23">
        <f>ROUND(76*1,0)&amp;"%"</f>
      </c>
    </row>
    <row x14ac:dyDescent="0.25" r="108" customHeight="1" ht="17.25">
      <c r="A108" s="17" t="s">
        <v>12044</v>
      </c>
      <c r="B108" s="17" t="s">
        <v>200</v>
      </c>
      <c r="C108" s="17" t="s">
        <v>56</v>
      </c>
      <c r="D108" s="17" t="s">
        <v>16</v>
      </c>
      <c r="E108" s="18">
        <f>ROUND(6548*1.05,2)</f>
      </c>
      <c r="F108" s="17" t="s">
        <v>48</v>
      </c>
      <c r="G108" s="17" t="s">
        <v>18</v>
      </c>
      <c r="H108" s="26">
        <f>ROUND(RAND()*4+6,1)</f>
      </c>
      <c r="I108" s="17" t="s">
        <v>19</v>
      </c>
      <c r="J108" s="19">
        <f>ROUND(77*1,0)&amp;"%"</f>
      </c>
    </row>
    <row x14ac:dyDescent="0.25" r="109" customHeight="1" ht="17.25">
      <c r="A109" s="20" t="s">
        <v>12045</v>
      </c>
      <c r="B109" s="20" t="s">
        <v>202</v>
      </c>
      <c r="C109" s="20" t="s">
        <v>56</v>
      </c>
      <c r="D109" s="20" t="s">
        <v>22</v>
      </c>
      <c r="E109" s="21">
        <f>ROUND(6332*1.05,2)</f>
      </c>
      <c r="F109" s="20" t="s">
        <v>51</v>
      </c>
      <c r="G109" s="20" t="s">
        <v>24</v>
      </c>
      <c r="H109" s="21">
        <f>ROUND(RAND()*4+6,1)</f>
      </c>
      <c r="I109" s="20" t="s">
        <v>25</v>
      </c>
      <c r="J109" s="23">
        <f>ROUND(66*1,0)&amp;"%"</f>
      </c>
    </row>
    <row x14ac:dyDescent="0.25" r="110" customHeight="1" ht="17.25">
      <c r="A110" s="24" t="s">
        <v>203</v>
      </c>
      <c r="B110" s="24"/>
      <c r="C110" s="24"/>
      <c r="D110" s="24"/>
      <c r="E110" s="25">
        <v>8</v>
      </c>
      <c r="F110" s="9"/>
      <c r="G110" s="9"/>
      <c r="H110" s="10"/>
      <c r="I110" s="9"/>
      <c r="J110" s="9"/>
    </row>
    <row x14ac:dyDescent="0.25" r="111" customHeight="1" ht="17.25">
      <c r="A111" s="7"/>
      <c r="B111" s="7"/>
      <c r="C111" s="7"/>
      <c r="D111" s="7"/>
      <c r="E111" s="8"/>
      <c r="F111" s="9"/>
      <c r="G111" s="9"/>
      <c r="H111" s="10"/>
      <c r="I111" s="9"/>
      <c r="J111" s="9"/>
    </row>
    <row x14ac:dyDescent="0.25" r="112" customHeight="1" ht="17.25">
      <c r="A112" s="11" t="s">
        <v>12046</v>
      </c>
      <c r="B112" s="11"/>
      <c r="C112" s="11"/>
      <c r="D112" s="11"/>
      <c r="E112" s="12"/>
      <c r="F112" s="11"/>
      <c r="G112" s="11"/>
      <c r="H112" s="13"/>
      <c r="I112" s="11"/>
      <c r="J112" s="11"/>
    </row>
    <row x14ac:dyDescent="0.25" r="113" customHeight="1" ht="17.25">
      <c r="A113" s="14" t="s">
        <v>3</v>
      </c>
      <c r="B113" s="14" t="s">
        <v>4</v>
      </c>
      <c r="C113" s="14" t="s">
        <v>5</v>
      </c>
      <c r="D113" s="14" t="s">
        <v>6</v>
      </c>
      <c r="E113" s="15" t="s">
        <v>7</v>
      </c>
      <c r="F113" s="14" t="s">
        <v>8</v>
      </c>
      <c r="G113" s="14" t="s">
        <v>9</v>
      </c>
      <c r="H113" s="16" t="s">
        <v>10</v>
      </c>
      <c r="I113" s="14" t="s">
        <v>11</v>
      </c>
      <c r="J113" s="14" t="s">
        <v>12</v>
      </c>
    </row>
    <row x14ac:dyDescent="0.25" r="114" customHeight="1" ht="17.25">
      <c r="A114" s="17" t="s">
        <v>12047</v>
      </c>
      <c r="B114" s="17" t="s">
        <v>206</v>
      </c>
      <c r="C114" s="17" t="s">
        <v>76</v>
      </c>
      <c r="D114" s="17" t="s">
        <v>16</v>
      </c>
      <c r="E114" s="18">
        <f>ROUND(9887*1.05,2)</f>
      </c>
      <c r="F114" s="17" t="s">
        <v>17</v>
      </c>
      <c r="G114" s="17" t="s">
        <v>18</v>
      </c>
      <c r="H114" s="18">
        <f>ROUND(RAND()*4+6,1)</f>
      </c>
      <c r="I114" s="17" t="s">
        <v>19</v>
      </c>
      <c r="J114" s="19">
        <f>ROUND(79*1,0)&amp;"%"</f>
      </c>
    </row>
    <row x14ac:dyDescent="0.25" r="115" customHeight="1" ht="17.25">
      <c r="A115" s="20" t="s">
        <v>12048</v>
      </c>
      <c r="B115" s="20" t="s">
        <v>208</v>
      </c>
      <c r="C115" s="20" t="s">
        <v>76</v>
      </c>
      <c r="D115" s="20" t="s">
        <v>22</v>
      </c>
      <c r="E115" s="21">
        <f>ROUND(9281*1.05,2)</f>
      </c>
      <c r="F115" s="20" t="s">
        <v>23</v>
      </c>
      <c r="G115" s="20" t="s">
        <v>24</v>
      </c>
      <c r="H115" s="22">
        <f>ROUND(RAND()*4+6,1)</f>
      </c>
      <c r="I115" s="20" t="s">
        <v>25</v>
      </c>
      <c r="J115" s="23">
        <f>ROUND(75*1,0)&amp;"%"</f>
      </c>
    </row>
    <row x14ac:dyDescent="0.25" r="116" customHeight="1" ht="17.25">
      <c r="A116" s="17" t="s">
        <v>12049</v>
      </c>
      <c r="B116" s="17" t="s">
        <v>210</v>
      </c>
      <c r="C116" s="17" t="s">
        <v>76</v>
      </c>
      <c r="D116" s="17" t="s">
        <v>28</v>
      </c>
      <c r="E116" s="18">
        <f>ROUND(11133*1.05,2)</f>
      </c>
      <c r="F116" s="17" t="s">
        <v>29</v>
      </c>
      <c r="G116" s="17" t="s">
        <v>30</v>
      </c>
      <c r="H116" s="18">
        <f>ROUND(RAND()*4+6,1)</f>
      </c>
      <c r="I116" s="17" t="s">
        <v>31</v>
      </c>
      <c r="J116" s="19">
        <f>ROUND(71*1,0)&amp;"%"</f>
      </c>
    </row>
    <row x14ac:dyDescent="0.25" r="117" customHeight="1" ht="17.25">
      <c r="A117" s="20" t="s">
        <v>12050</v>
      </c>
      <c r="B117" s="20" t="s">
        <v>212</v>
      </c>
      <c r="C117" s="20" t="s">
        <v>76</v>
      </c>
      <c r="D117" s="20" t="s">
        <v>34</v>
      </c>
      <c r="E117" s="21">
        <f>ROUND(15767*1.05,2)</f>
      </c>
      <c r="F117" s="20" t="s">
        <v>35</v>
      </c>
      <c r="G117" s="20" t="s">
        <v>18</v>
      </c>
      <c r="H117" s="21">
        <f>ROUND(RAND()*4+6,1)</f>
      </c>
      <c r="I117" s="20" t="s">
        <v>36</v>
      </c>
      <c r="J117" s="23">
        <f>ROUND(97*1,0)&amp;"%"</f>
      </c>
    </row>
    <row x14ac:dyDescent="0.25" r="118" customHeight="1" ht="17.25">
      <c r="A118" s="17" t="s">
        <v>12051</v>
      </c>
      <c r="B118" s="17" t="s">
        <v>214</v>
      </c>
      <c r="C118" s="17" t="s">
        <v>76</v>
      </c>
      <c r="D118" s="17" t="s">
        <v>39</v>
      </c>
      <c r="E118" s="18">
        <f>ROUND(10470*1.05,2)</f>
      </c>
      <c r="F118" s="17" t="s">
        <v>40</v>
      </c>
      <c r="G118" s="17" t="s">
        <v>24</v>
      </c>
      <c r="H118" s="18">
        <f>ROUND(RAND()*4+6,1)</f>
      </c>
      <c r="I118" s="17" t="s">
        <v>41</v>
      </c>
      <c r="J118" s="19">
        <f>ROUND(74*1,0)&amp;"%"</f>
      </c>
    </row>
    <row x14ac:dyDescent="0.25" r="119" customHeight="1" ht="17.25">
      <c r="A119" s="20" t="s">
        <v>12052</v>
      </c>
      <c r="B119" s="20" t="s">
        <v>216</v>
      </c>
      <c r="C119" s="20" t="s">
        <v>76</v>
      </c>
      <c r="D119" s="20" t="s">
        <v>67</v>
      </c>
      <c r="E119" s="22">
        <f>ROUND(9240*1.05,2)</f>
      </c>
      <c r="F119" s="20" t="s">
        <v>44</v>
      </c>
      <c r="G119" s="20" t="s">
        <v>30</v>
      </c>
      <c r="H119" s="21">
        <f>ROUND(RAND()*4+6,1)</f>
      </c>
      <c r="I119" s="20" t="s">
        <v>45</v>
      </c>
      <c r="J119" s="23">
        <f>ROUND(98*1,0)&amp;"%"</f>
      </c>
    </row>
    <row x14ac:dyDescent="0.25" r="120" customHeight="1" ht="17.25">
      <c r="A120" s="17" t="s">
        <v>12053</v>
      </c>
      <c r="B120" s="17" t="s">
        <v>218</v>
      </c>
      <c r="C120" s="17" t="s">
        <v>76</v>
      </c>
      <c r="D120" s="17" t="s">
        <v>16</v>
      </c>
      <c r="E120" s="18">
        <f>ROUND(11853*1.05,2)</f>
      </c>
      <c r="F120" s="17" t="s">
        <v>48</v>
      </c>
      <c r="G120" s="17" t="s">
        <v>18</v>
      </c>
      <c r="H120" s="18">
        <f>ROUND(RAND()*4+6,1)</f>
      </c>
      <c r="I120" s="17" t="s">
        <v>19</v>
      </c>
      <c r="J120" s="19">
        <f>ROUND(90*1,0)&amp;"%"</f>
      </c>
    </row>
    <row x14ac:dyDescent="0.25" r="121" customHeight="1" ht="17.25">
      <c r="A121" s="20" t="s">
        <v>12054</v>
      </c>
      <c r="B121" s="20" t="s">
        <v>220</v>
      </c>
      <c r="C121" s="20" t="s">
        <v>76</v>
      </c>
      <c r="D121" s="20" t="s">
        <v>22</v>
      </c>
      <c r="E121" s="21">
        <f>ROUND(12166*1.05,2)</f>
      </c>
      <c r="F121" s="20" t="s">
        <v>51</v>
      </c>
      <c r="G121" s="20" t="s">
        <v>24</v>
      </c>
      <c r="H121" s="21">
        <f>ROUND(RAND()*4+6,1)</f>
      </c>
      <c r="I121" s="20" t="s">
        <v>25</v>
      </c>
      <c r="J121" s="23">
        <f>ROUND(99*1,0)&amp;"%"</f>
      </c>
    </row>
    <row x14ac:dyDescent="0.25" r="122" customHeight="1" ht="17.25">
      <c r="A122" s="24" t="s">
        <v>221</v>
      </c>
      <c r="B122" s="24"/>
      <c r="C122" s="24"/>
      <c r="D122" s="24"/>
      <c r="E122" s="25">
        <v>8</v>
      </c>
      <c r="F122" s="9"/>
      <c r="G122" s="9"/>
      <c r="H122" s="10"/>
      <c r="I122" s="9"/>
      <c r="J122" s="9"/>
    </row>
    <row x14ac:dyDescent="0.25" r="123" customHeight="1" ht="17.25">
      <c r="A123" s="7"/>
      <c r="B123" s="7"/>
      <c r="C123" s="7"/>
      <c r="D123" s="7"/>
      <c r="E123" s="8"/>
      <c r="F123" s="9"/>
      <c r="G123" s="9"/>
      <c r="H123" s="10"/>
      <c r="I123" s="9"/>
      <c r="J123" s="9"/>
    </row>
    <row x14ac:dyDescent="0.25" r="124" customHeight="1" ht="17.25">
      <c r="A124" s="11" t="s">
        <v>12055</v>
      </c>
      <c r="B124" s="11"/>
      <c r="C124" s="11"/>
      <c r="D124" s="11"/>
      <c r="E124" s="12"/>
      <c r="F124" s="11"/>
      <c r="G124" s="11"/>
      <c r="H124" s="13"/>
      <c r="I124" s="11"/>
      <c r="J124" s="11"/>
    </row>
    <row x14ac:dyDescent="0.25" r="125" customHeight="1" ht="17.25">
      <c r="A125" s="14" t="s">
        <v>3</v>
      </c>
      <c r="B125" s="14" t="s">
        <v>4</v>
      </c>
      <c r="C125" s="14" t="s">
        <v>5</v>
      </c>
      <c r="D125" s="14" t="s">
        <v>6</v>
      </c>
      <c r="E125" s="15" t="s">
        <v>7</v>
      </c>
      <c r="F125" s="14" t="s">
        <v>8</v>
      </c>
      <c r="G125" s="14" t="s">
        <v>9</v>
      </c>
      <c r="H125" s="16" t="s">
        <v>10</v>
      </c>
      <c r="I125" s="14" t="s">
        <v>11</v>
      </c>
      <c r="J125" s="14" t="s">
        <v>12</v>
      </c>
    </row>
    <row x14ac:dyDescent="0.25" r="126" customHeight="1" ht="17.25">
      <c r="A126" s="17" t="s">
        <v>12056</v>
      </c>
      <c r="B126" s="17" t="s">
        <v>224</v>
      </c>
      <c r="C126" s="17" t="s">
        <v>95</v>
      </c>
      <c r="D126" s="17" t="s">
        <v>16</v>
      </c>
      <c r="E126" s="18">
        <f>ROUND(15294*1.05,2)</f>
      </c>
      <c r="F126" s="17" t="s">
        <v>17</v>
      </c>
      <c r="G126" s="17" t="s">
        <v>18</v>
      </c>
      <c r="H126" s="18">
        <f>ROUND(RAND()*4+6,1)</f>
      </c>
      <c r="I126" s="17" t="s">
        <v>19</v>
      </c>
      <c r="J126" s="19">
        <f>ROUND(91*1,0)&amp;"%"</f>
      </c>
    </row>
    <row x14ac:dyDescent="0.25" r="127" customHeight="1" ht="17.25">
      <c r="A127" s="20" t="s">
        <v>12057</v>
      </c>
      <c r="B127" s="20" t="s">
        <v>226</v>
      </c>
      <c r="C127" s="20" t="s">
        <v>95</v>
      </c>
      <c r="D127" s="20" t="s">
        <v>22</v>
      </c>
      <c r="E127" s="21">
        <f>ROUND(16409*1.05,2)</f>
      </c>
      <c r="F127" s="20" t="s">
        <v>23</v>
      </c>
      <c r="G127" s="20" t="s">
        <v>24</v>
      </c>
      <c r="H127" s="21">
        <f>ROUND(RAND()*4+6,1)</f>
      </c>
      <c r="I127" s="20" t="s">
        <v>25</v>
      </c>
      <c r="J127" s="23">
        <f>ROUND(92*1,0)&amp;"%"</f>
      </c>
    </row>
    <row x14ac:dyDescent="0.25" r="128" customHeight="1" ht="17.25">
      <c r="A128" s="17" t="s">
        <v>12058</v>
      </c>
      <c r="B128" s="17" t="s">
        <v>228</v>
      </c>
      <c r="C128" s="17" t="s">
        <v>95</v>
      </c>
      <c r="D128" s="17" t="s">
        <v>28</v>
      </c>
      <c r="E128" s="18">
        <f>ROUND(6617*1.05,2)</f>
      </c>
      <c r="F128" s="17" t="s">
        <v>29</v>
      </c>
      <c r="G128" s="17" t="s">
        <v>30</v>
      </c>
      <c r="H128" s="18">
        <f>ROUND(RAND()*4+6,1)</f>
      </c>
      <c r="I128" s="17" t="s">
        <v>31</v>
      </c>
      <c r="J128" s="19">
        <f>ROUND(80*1,0)&amp;"%"</f>
      </c>
    </row>
    <row x14ac:dyDescent="0.25" r="129" customHeight="1" ht="17.25">
      <c r="A129" s="20" t="s">
        <v>12059</v>
      </c>
      <c r="B129" s="20" t="s">
        <v>230</v>
      </c>
      <c r="C129" s="20" t="s">
        <v>95</v>
      </c>
      <c r="D129" s="20" t="s">
        <v>34</v>
      </c>
      <c r="E129" s="21">
        <f>ROUND(12283*1.05,2)</f>
      </c>
      <c r="F129" s="20" t="s">
        <v>35</v>
      </c>
      <c r="G129" s="20" t="s">
        <v>18</v>
      </c>
      <c r="H129" s="21">
        <f>ROUND(RAND()*4+6,1)</f>
      </c>
      <c r="I129" s="20" t="s">
        <v>36</v>
      </c>
      <c r="J129" s="23">
        <f>ROUND(79*1,0)&amp;"%"</f>
      </c>
    </row>
    <row x14ac:dyDescent="0.25" r="130" customHeight="1" ht="17.25">
      <c r="A130" s="17" t="s">
        <v>12060</v>
      </c>
      <c r="B130" s="17" t="s">
        <v>232</v>
      </c>
      <c r="C130" s="17" t="s">
        <v>95</v>
      </c>
      <c r="D130" s="17" t="s">
        <v>39</v>
      </c>
      <c r="E130" s="18">
        <f>ROUND(13262*1.05,2)</f>
      </c>
      <c r="F130" s="17" t="s">
        <v>40</v>
      </c>
      <c r="G130" s="17" t="s">
        <v>24</v>
      </c>
      <c r="H130" s="18">
        <f>ROUND(RAND()*4+6,1)</f>
      </c>
      <c r="I130" s="17" t="s">
        <v>41</v>
      </c>
      <c r="J130" s="19">
        <f>ROUND(91*1,0)&amp;"%"</f>
      </c>
    </row>
    <row x14ac:dyDescent="0.25" r="131" customHeight="1" ht="17.25">
      <c r="A131" s="20" t="s">
        <v>12061</v>
      </c>
      <c r="B131" s="20" t="s">
        <v>234</v>
      </c>
      <c r="C131" s="20" t="s">
        <v>95</v>
      </c>
      <c r="D131" s="20" t="s">
        <v>67</v>
      </c>
      <c r="E131" s="21">
        <f>ROUND(4037*1.05,2)</f>
      </c>
      <c r="F131" s="20" t="s">
        <v>44</v>
      </c>
      <c r="G131" s="20" t="s">
        <v>30</v>
      </c>
      <c r="H131" s="22">
        <f>ROUND(RAND()*4+6,1)</f>
      </c>
      <c r="I131" s="20" t="s">
        <v>45</v>
      </c>
      <c r="J131" s="23">
        <f>ROUND(79*1,0)&amp;"%"</f>
      </c>
    </row>
    <row x14ac:dyDescent="0.25" r="132" customHeight="1" ht="17.25">
      <c r="A132" s="17" t="s">
        <v>12062</v>
      </c>
      <c r="B132" s="17" t="s">
        <v>236</v>
      </c>
      <c r="C132" s="17" t="s">
        <v>95</v>
      </c>
      <c r="D132" s="17" t="s">
        <v>16</v>
      </c>
      <c r="E132" s="18">
        <f>ROUND(15747*1.05,2)</f>
      </c>
      <c r="F132" s="17" t="s">
        <v>48</v>
      </c>
      <c r="G132" s="17" t="s">
        <v>18</v>
      </c>
      <c r="H132" s="18">
        <f>ROUND(RAND()*4+6,1)</f>
      </c>
      <c r="I132" s="17" t="s">
        <v>19</v>
      </c>
      <c r="J132" s="19">
        <f>ROUND(73*1,0)&amp;"%"</f>
      </c>
    </row>
    <row x14ac:dyDescent="0.25" r="133" customHeight="1" ht="17.25">
      <c r="A133" s="20" t="s">
        <v>12063</v>
      </c>
      <c r="B133" s="20" t="s">
        <v>238</v>
      </c>
      <c r="C133" s="20" t="s">
        <v>95</v>
      </c>
      <c r="D133" s="20" t="s">
        <v>22</v>
      </c>
      <c r="E133" s="21">
        <f>ROUND(10072*1.05,2)</f>
      </c>
      <c r="F133" s="20" t="s">
        <v>51</v>
      </c>
      <c r="G133" s="20" t="s">
        <v>24</v>
      </c>
      <c r="H133" s="21">
        <f>ROUND(RAND()*4+6,1)</f>
      </c>
      <c r="I133" s="20" t="s">
        <v>25</v>
      </c>
      <c r="J133" s="23">
        <f>ROUND(61*1,0)&amp;"%"</f>
      </c>
    </row>
    <row x14ac:dyDescent="0.25" r="134" customHeight="1" ht="17.25">
      <c r="A134" s="24" t="s">
        <v>239</v>
      </c>
      <c r="B134" s="24"/>
      <c r="C134" s="24"/>
      <c r="D134" s="24"/>
      <c r="E134" s="25">
        <v>8</v>
      </c>
      <c r="F134" s="9"/>
      <c r="G134" s="9"/>
      <c r="H134" s="10"/>
      <c r="I134" s="9"/>
      <c r="J134" s="9"/>
    </row>
    <row x14ac:dyDescent="0.25" r="135" customHeight="1" ht="17.25">
      <c r="A135" s="7"/>
      <c r="B135" s="7"/>
      <c r="C135" s="7"/>
      <c r="D135" s="7"/>
      <c r="E135" s="8"/>
      <c r="F135" s="9"/>
      <c r="G135" s="9"/>
      <c r="H135" s="10"/>
      <c r="I135" s="9"/>
      <c r="J135" s="9"/>
    </row>
    <row x14ac:dyDescent="0.25" r="136" customHeight="1" ht="17.25">
      <c r="A136" s="11" t="s">
        <v>12064</v>
      </c>
      <c r="B136" s="11"/>
      <c r="C136" s="11"/>
      <c r="D136" s="11"/>
      <c r="E136" s="12"/>
      <c r="F136" s="11"/>
      <c r="G136" s="11"/>
      <c r="H136" s="13"/>
      <c r="I136" s="11"/>
      <c r="J136" s="11"/>
    </row>
    <row x14ac:dyDescent="0.25" r="137" customHeight="1" ht="17.25">
      <c r="A137" s="14" t="s">
        <v>3</v>
      </c>
      <c r="B137" s="14" t="s">
        <v>4</v>
      </c>
      <c r="C137" s="14" t="s">
        <v>5</v>
      </c>
      <c r="D137" s="14" t="s">
        <v>6</v>
      </c>
      <c r="E137" s="15" t="s">
        <v>7</v>
      </c>
      <c r="F137" s="14" t="s">
        <v>8</v>
      </c>
      <c r="G137" s="14" t="s">
        <v>9</v>
      </c>
      <c r="H137" s="16" t="s">
        <v>10</v>
      </c>
      <c r="I137" s="14" t="s">
        <v>11</v>
      </c>
      <c r="J137" s="14" t="s">
        <v>12</v>
      </c>
    </row>
    <row x14ac:dyDescent="0.25" r="138" customHeight="1" ht="17.25">
      <c r="A138" s="17" t="s">
        <v>12065</v>
      </c>
      <c r="B138" s="17" t="s">
        <v>242</v>
      </c>
      <c r="C138" s="17" t="s">
        <v>114</v>
      </c>
      <c r="D138" s="17" t="s">
        <v>16</v>
      </c>
      <c r="E138" s="18">
        <f>ROUND(15278*1.05,2)</f>
      </c>
      <c r="F138" s="17" t="s">
        <v>17</v>
      </c>
      <c r="G138" s="17" t="s">
        <v>18</v>
      </c>
      <c r="H138" s="18">
        <f>ROUND(RAND()*4+6,1)</f>
      </c>
      <c r="I138" s="17" t="s">
        <v>19</v>
      </c>
      <c r="J138" s="19">
        <f>ROUND(71*1,0)&amp;"%"</f>
      </c>
    </row>
    <row x14ac:dyDescent="0.25" r="139" customHeight="1" ht="17.25">
      <c r="A139" s="20" t="s">
        <v>12066</v>
      </c>
      <c r="B139" s="20" t="s">
        <v>244</v>
      </c>
      <c r="C139" s="20" t="s">
        <v>114</v>
      </c>
      <c r="D139" s="20" t="s">
        <v>22</v>
      </c>
      <c r="E139" s="21">
        <f>ROUND(13158*1.05,2)</f>
      </c>
      <c r="F139" s="20" t="s">
        <v>23</v>
      </c>
      <c r="G139" s="20" t="s">
        <v>24</v>
      </c>
      <c r="H139" s="21">
        <f>ROUND(RAND()*4+6,1)</f>
      </c>
      <c r="I139" s="20" t="s">
        <v>25</v>
      </c>
      <c r="J139" s="23">
        <f>ROUND(89*1,0)&amp;"%"</f>
      </c>
    </row>
    <row x14ac:dyDescent="0.25" r="140" customHeight="1" ht="17.25">
      <c r="A140" s="17" t="s">
        <v>12067</v>
      </c>
      <c r="B140" s="17" t="s">
        <v>246</v>
      </c>
      <c r="C140" s="17" t="s">
        <v>114</v>
      </c>
      <c r="D140" s="17" t="s">
        <v>28</v>
      </c>
      <c r="E140" s="18">
        <f>ROUND(17118*1.05,2)</f>
      </c>
      <c r="F140" s="17" t="s">
        <v>29</v>
      </c>
      <c r="G140" s="17" t="s">
        <v>30</v>
      </c>
      <c r="H140" s="18">
        <f>ROUND(RAND()*4+6,1)</f>
      </c>
      <c r="I140" s="17" t="s">
        <v>31</v>
      </c>
      <c r="J140" s="19">
        <f>ROUND(63*1,0)&amp;"%"</f>
      </c>
    </row>
    <row x14ac:dyDescent="0.25" r="141" customHeight="1" ht="17.25">
      <c r="A141" s="20" t="s">
        <v>12068</v>
      </c>
      <c r="B141" s="20" t="s">
        <v>248</v>
      </c>
      <c r="C141" s="20" t="s">
        <v>114</v>
      </c>
      <c r="D141" s="20" t="s">
        <v>34</v>
      </c>
      <c r="E141" s="21">
        <f>ROUND(8915*1.05,2)</f>
      </c>
      <c r="F141" s="20" t="s">
        <v>35</v>
      </c>
      <c r="G141" s="20" t="s">
        <v>18</v>
      </c>
      <c r="H141" s="21">
        <f>ROUND(RAND()*4+6,1)</f>
      </c>
      <c r="I141" s="20" t="s">
        <v>36</v>
      </c>
      <c r="J141" s="23">
        <f>ROUND(98*1,0)&amp;"%"</f>
      </c>
    </row>
    <row x14ac:dyDescent="0.25" r="142" customHeight="1" ht="17.25">
      <c r="A142" s="17" t="s">
        <v>12069</v>
      </c>
      <c r="B142" s="17" t="s">
        <v>250</v>
      </c>
      <c r="C142" s="17" t="s">
        <v>114</v>
      </c>
      <c r="D142" s="17" t="s">
        <v>39</v>
      </c>
      <c r="E142" s="18">
        <f>ROUND(16905*1.05,2)</f>
      </c>
      <c r="F142" s="17" t="s">
        <v>40</v>
      </c>
      <c r="G142" s="17" t="s">
        <v>24</v>
      </c>
      <c r="H142" s="18">
        <f>ROUND(RAND()*4+6,1)</f>
      </c>
      <c r="I142" s="17" t="s">
        <v>41</v>
      </c>
      <c r="J142" s="19">
        <f>ROUND(67*1,0)&amp;"%"</f>
      </c>
    </row>
    <row x14ac:dyDescent="0.25" r="143" customHeight="1" ht="17.25">
      <c r="A143" s="20" t="s">
        <v>12070</v>
      </c>
      <c r="B143" s="20" t="s">
        <v>252</v>
      </c>
      <c r="C143" s="20" t="s">
        <v>114</v>
      </c>
      <c r="D143" s="20" t="s">
        <v>67</v>
      </c>
      <c r="E143" s="21">
        <f>ROUND(5437*1.05,2)</f>
      </c>
      <c r="F143" s="20" t="s">
        <v>44</v>
      </c>
      <c r="G143" s="20" t="s">
        <v>30</v>
      </c>
      <c r="H143" s="21">
        <f>ROUND(RAND()*4+6,1)</f>
      </c>
      <c r="I143" s="20" t="s">
        <v>45</v>
      </c>
      <c r="J143" s="23">
        <f>ROUND(72*1,0)&amp;"%"</f>
      </c>
    </row>
    <row x14ac:dyDescent="0.25" r="144" customHeight="1" ht="17.25">
      <c r="A144" s="17" t="s">
        <v>12071</v>
      </c>
      <c r="B144" s="17" t="s">
        <v>254</v>
      </c>
      <c r="C144" s="17" t="s">
        <v>114</v>
      </c>
      <c r="D144" s="17" t="s">
        <v>16</v>
      </c>
      <c r="E144" s="18">
        <f>ROUND(12441*1.05,2)</f>
      </c>
      <c r="F144" s="17" t="s">
        <v>48</v>
      </c>
      <c r="G144" s="17" t="s">
        <v>18</v>
      </c>
      <c r="H144" s="18">
        <f>ROUND(RAND()*4+6,1)</f>
      </c>
      <c r="I144" s="17" t="s">
        <v>19</v>
      </c>
      <c r="J144" s="19">
        <f>ROUND(87*1,0)&amp;"%"</f>
      </c>
    </row>
    <row x14ac:dyDescent="0.25" r="145" customHeight="1" ht="17.25">
      <c r="A145" s="20" t="s">
        <v>12072</v>
      </c>
      <c r="B145" s="20" t="s">
        <v>256</v>
      </c>
      <c r="C145" s="20" t="s">
        <v>114</v>
      </c>
      <c r="D145" s="20" t="s">
        <v>22</v>
      </c>
      <c r="E145" s="21">
        <f>ROUND(8064*1.05,2)</f>
      </c>
      <c r="F145" s="20" t="s">
        <v>51</v>
      </c>
      <c r="G145" s="20" t="s">
        <v>24</v>
      </c>
      <c r="H145" s="21">
        <f>ROUND(RAND()*4+6,1)</f>
      </c>
      <c r="I145" s="20" t="s">
        <v>25</v>
      </c>
      <c r="J145" s="23">
        <f>ROUND(99*1,0)&amp;"%"</f>
      </c>
    </row>
    <row x14ac:dyDescent="0.25" r="146" customHeight="1" ht="17.25">
      <c r="A146" s="24" t="s">
        <v>257</v>
      </c>
      <c r="B146" s="24"/>
      <c r="C146" s="24"/>
      <c r="D146" s="24"/>
      <c r="E146" s="25">
        <v>8</v>
      </c>
      <c r="F146" s="9"/>
      <c r="G146" s="9"/>
      <c r="H146" s="10"/>
      <c r="I146" s="9"/>
      <c r="J146" s="9"/>
    </row>
    <row x14ac:dyDescent="0.25" r="147" customHeight="1" ht="17.25">
      <c r="A147" s="7"/>
      <c r="B147" s="7"/>
      <c r="C147" s="7"/>
      <c r="D147" s="7"/>
      <c r="E147" s="8"/>
      <c r="F147" s="9"/>
      <c r="G147" s="9"/>
      <c r="H147" s="10"/>
      <c r="I147" s="9"/>
      <c r="J147" s="9"/>
    </row>
    <row x14ac:dyDescent="0.25" r="148" customHeight="1" ht="17.25">
      <c r="A148" s="11" t="s">
        <v>12073</v>
      </c>
      <c r="B148" s="11"/>
      <c r="C148" s="11"/>
      <c r="D148" s="11"/>
      <c r="E148" s="12"/>
      <c r="F148" s="11"/>
      <c r="G148" s="11"/>
      <c r="H148" s="13"/>
      <c r="I148" s="11"/>
      <c r="J148" s="11"/>
    </row>
    <row x14ac:dyDescent="0.25" r="149" customHeight="1" ht="17.25">
      <c r="A149" s="14" t="s">
        <v>3</v>
      </c>
      <c r="B149" s="14" t="s">
        <v>4</v>
      </c>
      <c r="C149" s="14" t="s">
        <v>5</v>
      </c>
      <c r="D149" s="14" t="s">
        <v>6</v>
      </c>
      <c r="E149" s="15" t="s">
        <v>7</v>
      </c>
      <c r="F149" s="14" t="s">
        <v>8</v>
      </c>
      <c r="G149" s="14" t="s">
        <v>9</v>
      </c>
      <c r="H149" s="16" t="s">
        <v>10</v>
      </c>
      <c r="I149" s="14" t="s">
        <v>11</v>
      </c>
      <c r="J149" s="14" t="s">
        <v>12</v>
      </c>
    </row>
    <row x14ac:dyDescent="0.25" r="150" customHeight="1" ht="17.25">
      <c r="A150" s="17" t="s">
        <v>12074</v>
      </c>
      <c r="B150" s="17" t="s">
        <v>260</v>
      </c>
      <c r="C150" s="17" t="s">
        <v>133</v>
      </c>
      <c r="D150" s="17" t="s">
        <v>16</v>
      </c>
      <c r="E150" s="18">
        <f>ROUND(7939*1.05,2)</f>
      </c>
      <c r="F150" s="17" t="s">
        <v>17</v>
      </c>
      <c r="G150" s="17" t="s">
        <v>18</v>
      </c>
      <c r="H150" s="18">
        <f>ROUND(RAND()*4+6,1)</f>
      </c>
      <c r="I150" s="17" t="s">
        <v>19</v>
      </c>
      <c r="J150" s="19">
        <f>ROUND(63*1,0)&amp;"%"</f>
      </c>
    </row>
    <row x14ac:dyDescent="0.25" r="151" customHeight="1" ht="17.25">
      <c r="A151" s="20" t="s">
        <v>12075</v>
      </c>
      <c r="B151" s="20" t="s">
        <v>262</v>
      </c>
      <c r="C151" s="20" t="s">
        <v>133</v>
      </c>
      <c r="D151" s="20" t="s">
        <v>22</v>
      </c>
      <c r="E151" s="21">
        <f>ROUND(16811*1.05,2)</f>
      </c>
      <c r="F151" s="20" t="s">
        <v>23</v>
      </c>
      <c r="G151" s="20" t="s">
        <v>24</v>
      </c>
      <c r="H151" s="21">
        <f>ROUND(RAND()*4+6,1)</f>
      </c>
      <c r="I151" s="20" t="s">
        <v>25</v>
      </c>
      <c r="J151" s="23">
        <f>ROUND(97*1,0)&amp;"%"</f>
      </c>
    </row>
    <row x14ac:dyDescent="0.25" r="152" customHeight="1" ht="17.25">
      <c r="A152" s="17" t="s">
        <v>12076</v>
      </c>
      <c r="B152" s="17" t="s">
        <v>264</v>
      </c>
      <c r="C152" s="17" t="s">
        <v>133</v>
      </c>
      <c r="D152" s="17" t="s">
        <v>28</v>
      </c>
      <c r="E152" s="18">
        <f>ROUND(9367*1.05,2)</f>
      </c>
      <c r="F152" s="17" t="s">
        <v>29</v>
      </c>
      <c r="G152" s="17" t="s">
        <v>30</v>
      </c>
      <c r="H152" s="18">
        <f>ROUND(RAND()*4+6,1)</f>
      </c>
      <c r="I152" s="17" t="s">
        <v>31</v>
      </c>
      <c r="J152" s="19">
        <f>ROUND(88*1,0)&amp;"%"</f>
      </c>
    </row>
    <row x14ac:dyDescent="0.25" r="153" customHeight="1" ht="17.25">
      <c r="A153" s="20" t="s">
        <v>12077</v>
      </c>
      <c r="B153" s="20" t="s">
        <v>266</v>
      </c>
      <c r="C153" s="20" t="s">
        <v>133</v>
      </c>
      <c r="D153" s="20" t="s">
        <v>34</v>
      </c>
      <c r="E153" s="22">
        <f>ROUND(10040*1.05,2)</f>
      </c>
      <c r="F153" s="20" t="s">
        <v>35</v>
      </c>
      <c r="G153" s="20" t="s">
        <v>18</v>
      </c>
      <c r="H153" s="21">
        <f>ROUND(RAND()*4+6,1)</f>
      </c>
      <c r="I153" s="20" t="s">
        <v>36</v>
      </c>
      <c r="J153" s="23">
        <f>ROUND(63*1,0)&amp;"%"</f>
      </c>
    </row>
    <row x14ac:dyDescent="0.25" r="154" customHeight="1" ht="17.25">
      <c r="A154" s="17" t="s">
        <v>12078</v>
      </c>
      <c r="B154" s="17" t="s">
        <v>268</v>
      </c>
      <c r="C154" s="17" t="s">
        <v>133</v>
      </c>
      <c r="D154" s="17" t="s">
        <v>39</v>
      </c>
      <c r="E154" s="18">
        <f>ROUND(17264*1.05,2)</f>
      </c>
      <c r="F154" s="17" t="s">
        <v>40</v>
      </c>
      <c r="G154" s="17" t="s">
        <v>24</v>
      </c>
      <c r="H154" s="18">
        <f>ROUND(RAND()*4+6,1)</f>
      </c>
      <c r="I154" s="17" t="s">
        <v>41</v>
      </c>
      <c r="J154" s="19">
        <f>ROUND(71*1,0)&amp;"%"</f>
      </c>
    </row>
    <row x14ac:dyDescent="0.25" r="155" customHeight="1" ht="17.25">
      <c r="A155" s="20" t="s">
        <v>12079</v>
      </c>
      <c r="B155" s="20" t="s">
        <v>270</v>
      </c>
      <c r="C155" s="20" t="s">
        <v>133</v>
      </c>
      <c r="D155" s="20" t="s">
        <v>67</v>
      </c>
      <c r="E155" s="21">
        <f>ROUND(4042*1.05,2)</f>
      </c>
      <c r="F155" s="20" t="s">
        <v>44</v>
      </c>
      <c r="G155" s="20" t="s">
        <v>30</v>
      </c>
      <c r="H155" s="21">
        <f>ROUND(RAND()*4+6,1)</f>
      </c>
      <c r="I155" s="20" t="s">
        <v>45</v>
      </c>
      <c r="J155" s="23">
        <f>ROUND(85*1,0)&amp;"%"</f>
      </c>
    </row>
    <row x14ac:dyDescent="0.25" r="156" customHeight="1" ht="17.25">
      <c r="A156" s="17" t="s">
        <v>12080</v>
      </c>
      <c r="B156" s="17" t="s">
        <v>272</v>
      </c>
      <c r="C156" s="17" t="s">
        <v>133</v>
      </c>
      <c r="D156" s="17" t="s">
        <v>16</v>
      </c>
      <c r="E156" s="18">
        <f>ROUND(5475*1.05,2)</f>
      </c>
      <c r="F156" s="17" t="s">
        <v>48</v>
      </c>
      <c r="G156" s="17" t="s">
        <v>18</v>
      </c>
      <c r="H156" s="18">
        <f>ROUND(RAND()*4+6,1)</f>
      </c>
      <c r="I156" s="17" t="s">
        <v>19</v>
      </c>
      <c r="J156" s="19">
        <f>ROUND(89*1,0)&amp;"%"</f>
      </c>
    </row>
    <row x14ac:dyDescent="0.25" r="157" customHeight="1" ht="17.25">
      <c r="A157" s="20" t="s">
        <v>12081</v>
      </c>
      <c r="B157" s="20" t="s">
        <v>274</v>
      </c>
      <c r="C157" s="20" t="s">
        <v>133</v>
      </c>
      <c r="D157" s="20" t="s">
        <v>22</v>
      </c>
      <c r="E157" s="21">
        <f>ROUND(8747*1.05,2)</f>
      </c>
      <c r="F157" s="20" t="s">
        <v>51</v>
      </c>
      <c r="G157" s="20" t="s">
        <v>24</v>
      </c>
      <c r="H157" s="21">
        <f>ROUND(RAND()*4+6,1)</f>
      </c>
      <c r="I157" s="20" t="s">
        <v>25</v>
      </c>
      <c r="J157" s="23">
        <f>ROUND(90*1,0)&amp;"%"</f>
      </c>
    </row>
    <row x14ac:dyDescent="0.25" r="158" customHeight="1" ht="17.25">
      <c r="A158" s="24" t="s">
        <v>275</v>
      </c>
      <c r="B158" s="24"/>
      <c r="C158" s="24"/>
      <c r="D158" s="24"/>
      <c r="E158" s="25">
        <v>8</v>
      </c>
      <c r="F158" s="9"/>
      <c r="G158" s="9"/>
      <c r="H158" s="10"/>
      <c r="I158" s="9"/>
      <c r="J158" s="9"/>
    </row>
    <row x14ac:dyDescent="0.25" r="159" customHeight="1" ht="17.25">
      <c r="A159" s="7"/>
      <c r="B159" s="7"/>
      <c r="C159" s="7"/>
      <c r="D159" s="7"/>
      <c r="E159" s="8"/>
      <c r="F159" s="9"/>
      <c r="G159" s="9"/>
      <c r="H159" s="10"/>
      <c r="I159" s="9"/>
      <c r="J159" s="9"/>
    </row>
    <row x14ac:dyDescent="0.25" r="160" customHeight="1" ht="17.25">
      <c r="A160" s="11" t="s">
        <v>12082</v>
      </c>
      <c r="B160" s="11"/>
      <c r="C160" s="11"/>
      <c r="D160" s="11"/>
      <c r="E160" s="12"/>
      <c r="F160" s="11"/>
      <c r="G160" s="11"/>
      <c r="H160" s="13"/>
      <c r="I160" s="11"/>
      <c r="J160" s="11"/>
    </row>
    <row x14ac:dyDescent="0.25" r="161" customHeight="1" ht="17.25">
      <c r="A161" s="14" t="s">
        <v>3</v>
      </c>
      <c r="B161" s="14" t="s">
        <v>4</v>
      </c>
      <c r="C161" s="14" t="s">
        <v>5</v>
      </c>
      <c r="D161" s="14" t="s">
        <v>6</v>
      </c>
      <c r="E161" s="15" t="s">
        <v>7</v>
      </c>
      <c r="F161" s="14" t="s">
        <v>8</v>
      </c>
      <c r="G161" s="14" t="s">
        <v>9</v>
      </c>
      <c r="H161" s="16" t="s">
        <v>10</v>
      </c>
      <c r="I161" s="14" t="s">
        <v>11</v>
      </c>
      <c r="J161" s="14" t="s">
        <v>12</v>
      </c>
    </row>
    <row x14ac:dyDescent="0.25" r="162" customHeight="1" ht="17.25">
      <c r="A162" s="17" t="s">
        <v>12083</v>
      </c>
      <c r="B162" s="17" t="s">
        <v>278</v>
      </c>
      <c r="C162" s="17" t="s">
        <v>152</v>
      </c>
      <c r="D162" s="17" t="s">
        <v>16</v>
      </c>
      <c r="E162" s="18">
        <f>ROUND(12934*1.05,2)</f>
      </c>
      <c r="F162" s="17" t="s">
        <v>17</v>
      </c>
      <c r="G162" s="17" t="s">
        <v>18</v>
      </c>
      <c r="H162" s="18">
        <f>ROUND(RAND()*4+6,1)</f>
      </c>
      <c r="I162" s="17" t="s">
        <v>19</v>
      </c>
      <c r="J162" s="19">
        <f>ROUND(60*1,0)&amp;"%"</f>
      </c>
    </row>
    <row x14ac:dyDescent="0.25" r="163" customHeight="1" ht="17.25">
      <c r="A163" s="20" t="s">
        <v>12084</v>
      </c>
      <c r="B163" s="20" t="s">
        <v>280</v>
      </c>
      <c r="C163" s="20" t="s">
        <v>152</v>
      </c>
      <c r="D163" s="20" t="s">
        <v>22</v>
      </c>
      <c r="E163" s="21">
        <f>ROUND(9984*1.05,2)</f>
      </c>
      <c r="F163" s="20" t="s">
        <v>23</v>
      </c>
      <c r="G163" s="20" t="s">
        <v>24</v>
      </c>
      <c r="H163" s="22">
        <f>ROUND(RAND()*4+6,1)</f>
      </c>
      <c r="I163" s="20" t="s">
        <v>25</v>
      </c>
      <c r="J163" s="23">
        <f>ROUND(78*1,0)&amp;"%"</f>
      </c>
    </row>
    <row x14ac:dyDescent="0.25" r="164" customHeight="1" ht="17.25">
      <c r="A164" s="17" t="s">
        <v>12085</v>
      </c>
      <c r="B164" s="17" t="s">
        <v>282</v>
      </c>
      <c r="C164" s="17" t="s">
        <v>152</v>
      </c>
      <c r="D164" s="17" t="s">
        <v>28</v>
      </c>
      <c r="E164" s="18">
        <f>ROUND(13546*1.05,2)</f>
      </c>
      <c r="F164" s="17" t="s">
        <v>29</v>
      </c>
      <c r="G164" s="17" t="s">
        <v>30</v>
      </c>
      <c r="H164" s="18">
        <f>ROUND(RAND()*4+6,1)</f>
      </c>
      <c r="I164" s="17" t="s">
        <v>31</v>
      </c>
      <c r="J164" s="19">
        <f>ROUND(67*1,0)&amp;"%"</f>
      </c>
    </row>
    <row x14ac:dyDescent="0.25" r="165" customHeight="1" ht="17.25">
      <c r="A165" s="20" t="s">
        <v>12086</v>
      </c>
      <c r="B165" s="20" t="s">
        <v>284</v>
      </c>
      <c r="C165" s="20" t="s">
        <v>152</v>
      </c>
      <c r="D165" s="20" t="s">
        <v>34</v>
      </c>
      <c r="E165" s="21">
        <f>ROUND(10135*1.05,2)</f>
      </c>
      <c r="F165" s="20" t="s">
        <v>35</v>
      </c>
      <c r="G165" s="20" t="s">
        <v>18</v>
      </c>
      <c r="H165" s="21">
        <f>ROUND(RAND()*4+6,1)</f>
      </c>
      <c r="I165" s="20" t="s">
        <v>36</v>
      </c>
      <c r="J165" s="23">
        <f>ROUND(69*1,0)&amp;"%"</f>
      </c>
    </row>
    <row x14ac:dyDescent="0.25" r="166" customHeight="1" ht="17.25">
      <c r="A166" s="17" t="s">
        <v>12087</v>
      </c>
      <c r="B166" s="17" t="s">
        <v>286</v>
      </c>
      <c r="C166" s="17" t="s">
        <v>152</v>
      </c>
      <c r="D166" s="17" t="s">
        <v>39</v>
      </c>
      <c r="E166" s="18">
        <f>ROUND(16768*1.05,2)</f>
      </c>
      <c r="F166" s="17" t="s">
        <v>40</v>
      </c>
      <c r="G166" s="17" t="s">
        <v>24</v>
      </c>
      <c r="H166" s="18">
        <f>ROUND(RAND()*4+6,1)</f>
      </c>
      <c r="I166" s="17" t="s">
        <v>41</v>
      </c>
      <c r="J166" s="19">
        <f>ROUND(60*1,0)&amp;"%"</f>
      </c>
    </row>
    <row x14ac:dyDescent="0.25" r="167" customHeight="1" ht="17.25">
      <c r="A167" s="20" t="s">
        <v>12088</v>
      </c>
      <c r="B167" s="20" t="s">
        <v>288</v>
      </c>
      <c r="C167" s="20" t="s">
        <v>152</v>
      </c>
      <c r="D167" s="20" t="s">
        <v>67</v>
      </c>
      <c r="E167" s="21">
        <f>ROUND(16209*1.05,2)</f>
      </c>
      <c r="F167" s="20" t="s">
        <v>44</v>
      </c>
      <c r="G167" s="20" t="s">
        <v>30</v>
      </c>
      <c r="H167" s="21">
        <f>ROUND(RAND()*4+6,1)</f>
      </c>
      <c r="I167" s="20" t="s">
        <v>45</v>
      </c>
      <c r="J167" s="23">
        <f>ROUND(68*1,0)&amp;"%"</f>
      </c>
    </row>
    <row x14ac:dyDescent="0.25" r="168" customHeight="1" ht="17.25">
      <c r="A168" s="17" t="s">
        <v>12089</v>
      </c>
      <c r="B168" s="17" t="s">
        <v>290</v>
      </c>
      <c r="C168" s="17" t="s">
        <v>152</v>
      </c>
      <c r="D168" s="17" t="s">
        <v>16</v>
      </c>
      <c r="E168" s="18">
        <f>ROUND(10138*1.05,2)</f>
      </c>
      <c r="F168" s="17" t="s">
        <v>48</v>
      </c>
      <c r="G168" s="17" t="s">
        <v>18</v>
      </c>
      <c r="H168" s="18">
        <f>ROUND(RAND()*4+6,1)</f>
      </c>
      <c r="I168" s="17" t="s">
        <v>19</v>
      </c>
      <c r="J168" s="19">
        <f>ROUND(84*1,0)&amp;"%"</f>
      </c>
    </row>
    <row x14ac:dyDescent="0.25" r="169" customHeight="1" ht="17.25">
      <c r="A169" s="20" t="s">
        <v>12090</v>
      </c>
      <c r="B169" s="20" t="s">
        <v>292</v>
      </c>
      <c r="C169" s="20" t="s">
        <v>152</v>
      </c>
      <c r="D169" s="20" t="s">
        <v>22</v>
      </c>
      <c r="E169" s="21">
        <f>ROUND(10711*1.05,2)</f>
      </c>
      <c r="F169" s="20" t="s">
        <v>51</v>
      </c>
      <c r="G169" s="20" t="s">
        <v>24</v>
      </c>
      <c r="H169" s="21">
        <f>ROUND(RAND()*4+6,1)</f>
      </c>
      <c r="I169" s="20" t="s">
        <v>25</v>
      </c>
      <c r="J169" s="23">
        <f>ROUND(65*1,0)&amp;"%"</f>
      </c>
    </row>
    <row x14ac:dyDescent="0.25" r="170" customHeight="1" ht="17.25">
      <c r="A170" s="24" t="s">
        <v>293</v>
      </c>
      <c r="B170" s="24"/>
      <c r="C170" s="24"/>
      <c r="D170" s="24"/>
      <c r="E170" s="25">
        <v>8</v>
      </c>
      <c r="F170" s="9"/>
      <c r="G170" s="9"/>
      <c r="H170" s="10"/>
      <c r="I170" s="9"/>
      <c r="J170" s="9"/>
    </row>
    <row x14ac:dyDescent="0.25" r="171" customHeight="1" ht="17.25">
      <c r="A171" s="7"/>
      <c r="B171" s="7"/>
      <c r="C171" s="7"/>
      <c r="D171" s="7"/>
      <c r="E171" s="8"/>
      <c r="F171" s="9"/>
      <c r="G171" s="9"/>
      <c r="H171" s="10"/>
      <c r="I171" s="9"/>
      <c r="J171" s="9"/>
    </row>
    <row x14ac:dyDescent="0.25" r="172" customHeight="1" ht="17.25">
      <c r="A172" s="11" t="s">
        <v>12091</v>
      </c>
      <c r="B172" s="11"/>
      <c r="C172" s="11"/>
      <c r="D172" s="11"/>
      <c r="E172" s="12"/>
      <c r="F172" s="11"/>
      <c r="G172" s="11"/>
      <c r="H172" s="13"/>
      <c r="I172" s="11"/>
      <c r="J172" s="11"/>
    </row>
    <row x14ac:dyDescent="0.25" r="173" customHeight="1" ht="17.25">
      <c r="A173" s="14" t="s">
        <v>3</v>
      </c>
      <c r="B173" s="14" t="s">
        <v>4</v>
      </c>
      <c r="C173" s="14" t="s">
        <v>5</v>
      </c>
      <c r="D173" s="14" t="s">
        <v>6</v>
      </c>
      <c r="E173" s="15" t="s">
        <v>7</v>
      </c>
      <c r="F173" s="14" t="s">
        <v>8</v>
      </c>
      <c r="G173" s="14" t="s">
        <v>9</v>
      </c>
      <c r="H173" s="16" t="s">
        <v>10</v>
      </c>
      <c r="I173" s="14" t="s">
        <v>11</v>
      </c>
      <c r="J173" s="14" t="s">
        <v>12</v>
      </c>
    </row>
    <row x14ac:dyDescent="0.25" r="174" customHeight="1" ht="17.25">
      <c r="A174" s="17" t="s">
        <v>12092</v>
      </c>
      <c r="B174" s="17" t="s">
        <v>296</v>
      </c>
      <c r="C174" s="17" t="s">
        <v>15</v>
      </c>
      <c r="D174" s="17" t="s">
        <v>16</v>
      </c>
      <c r="E174" s="18">
        <f>ROUND(5698*1.05,2)</f>
      </c>
      <c r="F174" s="17" t="s">
        <v>17</v>
      </c>
      <c r="G174" s="17" t="s">
        <v>18</v>
      </c>
      <c r="H174" s="18">
        <f>ROUND(RAND()*4+6,1)</f>
      </c>
      <c r="I174" s="17" t="s">
        <v>19</v>
      </c>
      <c r="J174" s="19">
        <f>ROUND(63*1,0)&amp;"%"</f>
      </c>
    </row>
    <row x14ac:dyDescent="0.25" r="175" customHeight="1" ht="17.25">
      <c r="A175" s="20" t="s">
        <v>12093</v>
      </c>
      <c r="B175" s="20" t="s">
        <v>298</v>
      </c>
      <c r="C175" s="20" t="s">
        <v>15</v>
      </c>
      <c r="D175" s="20" t="s">
        <v>22</v>
      </c>
      <c r="E175" s="21">
        <f>ROUND(17946*1.05,2)</f>
      </c>
      <c r="F175" s="20" t="s">
        <v>23</v>
      </c>
      <c r="G175" s="20" t="s">
        <v>24</v>
      </c>
      <c r="H175" s="21">
        <f>ROUND(RAND()*4+6,1)</f>
      </c>
      <c r="I175" s="20" t="s">
        <v>25</v>
      </c>
      <c r="J175" s="23">
        <f>ROUND(94*1,0)&amp;"%"</f>
      </c>
    </row>
    <row x14ac:dyDescent="0.25" r="176" customHeight="1" ht="17.25">
      <c r="A176" s="17" t="s">
        <v>12094</v>
      </c>
      <c r="B176" s="17" t="s">
        <v>300</v>
      </c>
      <c r="C176" s="17" t="s">
        <v>15</v>
      </c>
      <c r="D176" s="17" t="s">
        <v>28</v>
      </c>
      <c r="E176" s="18">
        <f>ROUND(11925*1.05,2)</f>
      </c>
      <c r="F176" s="17" t="s">
        <v>29</v>
      </c>
      <c r="G176" s="17" t="s">
        <v>30</v>
      </c>
      <c r="H176" s="18">
        <f>ROUND(RAND()*4+6,1)</f>
      </c>
      <c r="I176" s="17" t="s">
        <v>31</v>
      </c>
      <c r="J176" s="19">
        <f>ROUND(68*1,0)&amp;"%"</f>
      </c>
    </row>
    <row x14ac:dyDescent="0.25" r="177" customHeight="1" ht="17.25">
      <c r="A177" s="20" t="s">
        <v>12095</v>
      </c>
      <c r="B177" s="20" t="s">
        <v>302</v>
      </c>
      <c r="C177" s="20" t="s">
        <v>15</v>
      </c>
      <c r="D177" s="20" t="s">
        <v>34</v>
      </c>
      <c r="E177" s="21">
        <f>ROUND(5831*1.05,2)</f>
      </c>
      <c r="F177" s="20" t="s">
        <v>35</v>
      </c>
      <c r="G177" s="20" t="s">
        <v>18</v>
      </c>
      <c r="H177" s="21">
        <f>ROUND(RAND()*4+6,1)</f>
      </c>
      <c r="I177" s="20" t="s">
        <v>36</v>
      </c>
      <c r="J177" s="23">
        <f>ROUND(67*1,0)&amp;"%"</f>
      </c>
    </row>
    <row x14ac:dyDescent="0.25" r="178" customHeight="1" ht="17.25">
      <c r="A178" s="17" t="s">
        <v>12096</v>
      </c>
      <c r="B178" s="17" t="s">
        <v>304</v>
      </c>
      <c r="C178" s="17" t="s">
        <v>15</v>
      </c>
      <c r="D178" s="17" t="s">
        <v>39</v>
      </c>
      <c r="E178" s="18">
        <f>ROUND(9495*1.05,2)</f>
      </c>
      <c r="F178" s="17" t="s">
        <v>40</v>
      </c>
      <c r="G178" s="17" t="s">
        <v>24</v>
      </c>
      <c r="H178" s="18">
        <f>ROUND(RAND()*4+6,1)</f>
      </c>
      <c r="I178" s="17" t="s">
        <v>41</v>
      </c>
      <c r="J178" s="19">
        <f>ROUND(88*1,0)&amp;"%"</f>
      </c>
    </row>
    <row x14ac:dyDescent="0.25" r="179" customHeight="1" ht="17.25">
      <c r="A179" s="20" t="s">
        <v>12097</v>
      </c>
      <c r="B179" s="20" t="s">
        <v>306</v>
      </c>
      <c r="C179" s="20" t="s">
        <v>15</v>
      </c>
      <c r="D179" s="20" t="s">
        <v>67</v>
      </c>
      <c r="E179" s="21">
        <f>ROUND(5473*1.05,2)</f>
      </c>
      <c r="F179" s="20" t="s">
        <v>44</v>
      </c>
      <c r="G179" s="20" t="s">
        <v>30</v>
      </c>
      <c r="H179" s="21">
        <f>ROUND(RAND()*4+6,1)</f>
      </c>
      <c r="I179" s="20" t="s">
        <v>45</v>
      </c>
      <c r="J179" s="23">
        <f>ROUND(86*1,0)&amp;"%"</f>
      </c>
    </row>
    <row x14ac:dyDescent="0.25" r="180" customHeight="1" ht="17.25">
      <c r="A180" s="17" t="s">
        <v>12098</v>
      </c>
      <c r="B180" s="17" t="s">
        <v>308</v>
      </c>
      <c r="C180" s="17" t="s">
        <v>15</v>
      </c>
      <c r="D180" s="17" t="s">
        <v>16</v>
      </c>
      <c r="E180" s="18">
        <f>ROUND(6570*1.05,2)</f>
      </c>
      <c r="F180" s="17" t="s">
        <v>48</v>
      </c>
      <c r="G180" s="17" t="s">
        <v>18</v>
      </c>
      <c r="H180" s="18">
        <f>ROUND(RAND()*4+6,1)</f>
      </c>
      <c r="I180" s="17" t="s">
        <v>19</v>
      </c>
      <c r="J180" s="19">
        <f>ROUND(89*1,0)&amp;"%"</f>
      </c>
    </row>
    <row x14ac:dyDescent="0.25" r="181" customHeight="1" ht="17.25">
      <c r="A181" s="20" t="s">
        <v>12099</v>
      </c>
      <c r="B181" s="20" t="s">
        <v>310</v>
      </c>
      <c r="C181" s="20" t="s">
        <v>15</v>
      </c>
      <c r="D181" s="20" t="s">
        <v>22</v>
      </c>
      <c r="E181" s="21">
        <f>ROUND(12841*1.05,2)</f>
      </c>
      <c r="F181" s="20" t="s">
        <v>51</v>
      </c>
      <c r="G181" s="20" t="s">
        <v>24</v>
      </c>
      <c r="H181" s="21">
        <f>ROUND(RAND()*4+6,1)</f>
      </c>
      <c r="I181" s="20" t="s">
        <v>25</v>
      </c>
      <c r="J181" s="23">
        <f>ROUND(69*1,0)&amp;"%"</f>
      </c>
    </row>
    <row x14ac:dyDescent="0.25" r="182" customHeight="1" ht="17.25">
      <c r="A182" s="24" t="s">
        <v>311</v>
      </c>
      <c r="B182" s="24"/>
      <c r="C182" s="24"/>
      <c r="D182" s="24"/>
      <c r="E182" s="25">
        <v>8</v>
      </c>
      <c r="F182" s="9"/>
      <c r="G182" s="9"/>
      <c r="H182" s="10"/>
      <c r="I182" s="9"/>
      <c r="J182" s="9"/>
    </row>
    <row x14ac:dyDescent="0.25" r="183" customHeight="1" ht="17.25">
      <c r="A183" s="7"/>
      <c r="B183" s="7"/>
      <c r="C183" s="7"/>
      <c r="D183" s="7"/>
      <c r="E183" s="8"/>
      <c r="F183" s="9"/>
      <c r="G183" s="9"/>
      <c r="H183" s="10"/>
      <c r="I183" s="9"/>
      <c r="J183" s="9"/>
    </row>
    <row x14ac:dyDescent="0.25" r="184" customHeight="1" ht="17.25">
      <c r="A184" s="11" t="s">
        <v>12100</v>
      </c>
      <c r="B184" s="11"/>
      <c r="C184" s="11"/>
      <c r="D184" s="11"/>
      <c r="E184" s="12"/>
      <c r="F184" s="11"/>
      <c r="G184" s="11"/>
      <c r="H184" s="13"/>
      <c r="I184" s="11"/>
      <c r="J184" s="11"/>
    </row>
    <row x14ac:dyDescent="0.25" r="185" customHeight="1" ht="17.25">
      <c r="A185" s="14" t="s">
        <v>3</v>
      </c>
      <c r="B185" s="14" t="s">
        <v>4</v>
      </c>
      <c r="C185" s="14" t="s">
        <v>5</v>
      </c>
      <c r="D185" s="14" t="s">
        <v>6</v>
      </c>
      <c r="E185" s="15" t="s">
        <v>7</v>
      </c>
      <c r="F185" s="14" t="s">
        <v>8</v>
      </c>
      <c r="G185" s="14" t="s">
        <v>9</v>
      </c>
      <c r="H185" s="16" t="s">
        <v>10</v>
      </c>
      <c r="I185" s="14" t="s">
        <v>11</v>
      </c>
      <c r="J185" s="14" t="s">
        <v>12</v>
      </c>
    </row>
    <row x14ac:dyDescent="0.25" r="186" customHeight="1" ht="17.25">
      <c r="A186" s="17" t="s">
        <v>12101</v>
      </c>
      <c r="B186" s="17" t="s">
        <v>314</v>
      </c>
      <c r="C186" s="17" t="s">
        <v>56</v>
      </c>
      <c r="D186" s="17" t="s">
        <v>16</v>
      </c>
      <c r="E186" s="18">
        <f>ROUND(7784*1.05,2)</f>
      </c>
      <c r="F186" s="17" t="s">
        <v>17</v>
      </c>
      <c r="G186" s="17" t="s">
        <v>18</v>
      </c>
      <c r="H186" s="18">
        <f>ROUND(RAND()*4+6,1)</f>
      </c>
      <c r="I186" s="17" t="s">
        <v>19</v>
      </c>
      <c r="J186" s="19">
        <f>ROUND(69*1,0)&amp;"%"</f>
      </c>
    </row>
    <row x14ac:dyDescent="0.25" r="187" customHeight="1" ht="17.25">
      <c r="A187" s="20" t="s">
        <v>12102</v>
      </c>
      <c r="B187" s="20" t="s">
        <v>316</v>
      </c>
      <c r="C187" s="20" t="s">
        <v>56</v>
      </c>
      <c r="D187" s="20" t="s">
        <v>22</v>
      </c>
      <c r="E187" s="21">
        <f>ROUND(15688*1.05,2)</f>
      </c>
      <c r="F187" s="20" t="s">
        <v>23</v>
      </c>
      <c r="G187" s="20" t="s">
        <v>24</v>
      </c>
      <c r="H187" s="21">
        <f>ROUND(RAND()*4+6,1)</f>
      </c>
      <c r="I187" s="20" t="s">
        <v>25</v>
      </c>
      <c r="J187" s="23">
        <f>ROUND(93*1,0)&amp;"%"</f>
      </c>
    </row>
    <row x14ac:dyDescent="0.25" r="188" customHeight="1" ht="17.25">
      <c r="A188" s="17" t="s">
        <v>12103</v>
      </c>
      <c r="B188" s="17" t="s">
        <v>318</v>
      </c>
      <c r="C188" s="17" t="s">
        <v>56</v>
      </c>
      <c r="D188" s="17" t="s">
        <v>28</v>
      </c>
      <c r="E188" s="18">
        <f>ROUND(9050*1.05,2)</f>
      </c>
      <c r="F188" s="17" t="s">
        <v>29</v>
      </c>
      <c r="G188" s="17" t="s">
        <v>30</v>
      </c>
      <c r="H188" s="26">
        <f>ROUND(RAND()*4+6,1)</f>
      </c>
      <c r="I188" s="17" t="s">
        <v>31</v>
      </c>
      <c r="J188" s="19">
        <f>ROUND(82*1,0)&amp;"%"</f>
      </c>
    </row>
    <row x14ac:dyDescent="0.25" r="189" customHeight="1" ht="17.25">
      <c r="A189" s="20" t="s">
        <v>12104</v>
      </c>
      <c r="B189" s="20" t="s">
        <v>320</v>
      </c>
      <c r="C189" s="20" t="s">
        <v>56</v>
      </c>
      <c r="D189" s="20" t="s">
        <v>34</v>
      </c>
      <c r="E189" s="21">
        <f>ROUND(4041*1.05,2)</f>
      </c>
      <c r="F189" s="20" t="s">
        <v>35</v>
      </c>
      <c r="G189" s="20" t="s">
        <v>18</v>
      </c>
      <c r="H189" s="22">
        <f>ROUND(RAND()*4+6,1)</f>
      </c>
      <c r="I189" s="20" t="s">
        <v>36</v>
      </c>
      <c r="J189" s="23">
        <f>ROUND(68*1,0)&amp;"%"</f>
      </c>
    </row>
    <row x14ac:dyDescent="0.25" r="190" customHeight="1" ht="17.25">
      <c r="A190" s="17" t="s">
        <v>12105</v>
      </c>
      <c r="B190" s="17" t="s">
        <v>322</v>
      </c>
      <c r="C190" s="17" t="s">
        <v>56</v>
      </c>
      <c r="D190" s="17" t="s">
        <v>39</v>
      </c>
      <c r="E190" s="18">
        <f>ROUND(4339*1.05,2)</f>
      </c>
      <c r="F190" s="17" t="s">
        <v>40</v>
      </c>
      <c r="G190" s="17" t="s">
        <v>24</v>
      </c>
      <c r="H190" s="18">
        <f>ROUND(RAND()*4+6,1)</f>
      </c>
      <c r="I190" s="17" t="s">
        <v>41</v>
      </c>
      <c r="J190" s="19">
        <f>ROUND(99*1,0)&amp;"%"</f>
      </c>
    </row>
    <row x14ac:dyDescent="0.25" r="191" customHeight="1" ht="17.25">
      <c r="A191" s="20" t="s">
        <v>12106</v>
      </c>
      <c r="B191" s="20" t="s">
        <v>324</v>
      </c>
      <c r="C191" s="20" t="s">
        <v>56</v>
      </c>
      <c r="D191" s="20" t="s">
        <v>67</v>
      </c>
      <c r="E191" s="21">
        <f>ROUND(16053*1.05,2)</f>
      </c>
      <c r="F191" s="20" t="s">
        <v>44</v>
      </c>
      <c r="G191" s="20" t="s">
        <v>30</v>
      </c>
      <c r="H191" s="21">
        <f>ROUND(RAND()*4+6,1)</f>
      </c>
      <c r="I191" s="20" t="s">
        <v>45</v>
      </c>
      <c r="J191" s="23">
        <f>ROUND(90*1,0)&amp;"%"</f>
      </c>
    </row>
    <row x14ac:dyDescent="0.25" r="192" customHeight="1" ht="17.25">
      <c r="A192" s="17" t="s">
        <v>12107</v>
      </c>
      <c r="B192" s="17" t="s">
        <v>326</v>
      </c>
      <c r="C192" s="17" t="s">
        <v>56</v>
      </c>
      <c r="D192" s="17" t="s">
        <v>16</v>
      </c>
      <c r="E192" s="18">
        <f>ROUND(5703*1.05,2)</f>
      </c>
      <c r="F192" s="17" t="s">
        <v>48</v>
      </c>
      <c r="G192" s="17" t="s">
        <v>18</v>
      </c>
      <c r="H192" s="18">
        <f>ROUND(RAND()*4+6,1)</f>
      </c>
      <c r="I192" s="17" t="s">
        <v>19</v>
      </c>
      <c r="J192" s="19">
        <f>ROUND(88*1,0)&amp;"%"</f>
      </c>
    </row>
    <row x14ac:dyDescent="0.25" r="193" customHeight="1" ht="17.25">
      <c r="A193" s="20" t="s">
        <v>12108</v>
      </c>
      <c r="B193" s="20" t="s">
        <v>328</v>
      </c>
      <c r="C193" s="20" t="s">
        <v>56</v>
      </c>
      <c r="D193" s="20" t="s">
        <v>22</v>
      </c>
      <c r="E193" s="21">
        <f>ROUND(16872*1.05,2)</f>
      </c>
      <c r="F193" s="20" t="s">
        <v>51</v>
      </c>
      <c r="G193" s="20" t="s">
        <v>24</v>
      </c>
      <c r="H193" s="21">
        <f>ROUND(RAND()*4+6,1)</f>
      </c>
      <c r="I193" s="20" t="s">
        <v>25</v>
      </c>
      <c r="J193" s="23">
        <f>ROUND(60*1,0)&amp;"%"</f>
      </c>
    </row>
    <row x14ac:dyDescent="0.25" r="194" customHeight="1" ht="17.25">
      <c r="A194" s="24" t="s">
        <v>329</v>
      </c>
      <c r="B194" s="24"/>
      <c r="C194" s="24"/>
      <c r="D194" s="24"/>
      <c r="E194" s="25">
        <v>8</v>
      </c>
      <c r="F194" s="9"/>
      <c r="G194" s="9"/>
      <c r="H194" s="10"/>
      <c r="I194" s="9"/>
      <c r="J194" s="9"/>
    </row>
    <row x14ac:dyDescent="0.25" r="195" customHeight="1" ht="17.25">
      <c r="A195" s="7"/>
      <c r="B195" s="7"/>
      <c r="C195" s="7"/>
      <c r="D195" s="7"/>
      <c r="E195" s="8"/>
      <c r="F195" s="9"/>
      <c r="G195" s="9"/>
      <c r="H195" s="10"/>
      <c r="I195" s="9"/>
      <c r="J195" s="9"/>
    </row>
    <row x14ac:dyDescent="0.25" r="196" customHeight="1" ht="17.25">
      <c r="A196" s="11" t="s">
        <v>12109</v>
      </c>
      <c r="B196" s="11"/>
      <c r="C196" s="11"/>
      <c r="D196" s="11"/>
      <c r="E196" s="12"/>
      <c r="F196" s="11"/>
      <c r="G196" s="11"/>
      <c r="H196" s="13"/>
      <c r="I196" s="11"/>
      <c r="J196" s="11"/>
    </row>
    <row x14ac:dyDescent="0.25" r="197" customHeight="1" ht="17.25">
      <c r="A197" s="14" t="s">
        <v>3</v>
      </c>
      <c r="B197" s="14" t="s">
        <v>4</v>
      </c>
      <c r="C197" s="14" t="s">
        <v>5</v>
      </c>
      <c r="D197" s="14" t="s">
        <v>6</v>
      </c>
      <c r="E197" s="15" t="s">
        <v>7</v>
      </c>
      <c r="F197" s="14" t="s">
        <v>8</v>
      </c>
      <c r="G197" s="14" t="s">
        <v>9</v>
      </c>
      <c r="H197" s="16" t="s">
        <v>10</v>
      </c>
      <c r="I197" s="14" t="s">
        <v>11</v>
      </c>
      <c r="J197" s="14" t="s">
        <v>12</v>
      </c>
    </row>
    <row x14ac:dyDescent="0.25" r="198" customHeight="1" ht="17.25">
      <c r="A198" s="17" t="s">
        <v>12110</v>
      </c>
      <c r="B198" s="17" t="s">
        <v>332</v>
      </c>
      <c r="C198" s="17" t="s">
        <v>76</v>
      </c>
      <c r="D198" s="17" t="s">
        <v>16</v>
      </c>
      <c r="E198" s="18">
        <f>ROUND(7731*1.05,2)</f>
      </c>
      <c r="F198" s="17" t="s">
        <v>17</v>
      </c>
      <c r="G198" s="17" t="s">
        <v>18</v>
      </c>
      <c r="H198" s="18">
        <f>ROUND(RAND()*4+6,1)</f>
      </c>
      <c r="I198" s="17" t="s">
        <v>19</v>
      </c>
      <c r="J198" s="19">
        <f>ROUND(64*1,0)&amp;"%"</f>
      </c>
    </row>
    <row x14ac:dyDescent="0.25" r="199" customHeight="1" ht="17.25">
      <c r="A199" s="20" t="s">
        <v>12111</v>
      </c>
      <c r="B199" s="20" t="s">
        <v>334</v>
      </c>
      <c r="C199" s="20" t="s">
        <v>76</v>
      </c>
      <c r="D199" s="20" t="s">
        <v>22</v>
      </c>
      <c r="E199" s="21">
        <f>ROUND(10562*1.05,2)</f>
      </c>
      <c r="F199" s="20" t="s">
        <v>23</v>
      </c>
      <c r="G199" s="20" t="s">
        <v>24</v>
      </c>
      <c r="H199" s="21">
        <f>ROUND(RAND()*4+6,1)</f>
      </c>
      <c r="I199" s="20" t="s">
        <v>25</v>
      </c>
      <c r="J199" s="23">
        <f>ROUND(96*1,0)&amp;"%"</f>
      </c>
    </row>
    <row x14ac:dyDescent="0.25" r="200" customHeight="1" ht="17.25">
      <c r="A200" s="17" t="s">
        <v>12112</v>
      </c>
      <c r="B200" s="17" t="s">
        <v>336</v>
      </c>
      <c r="C200" s="17" t="s">
        <v>76</v>
      </c>
      <c r="D200" s="17" t="s">
        <v>28</v>
      </c>
      <c r="E200" s="18">
        <f>ROUND(4322*1.05,2)</f>
      </c>
      <c r="F200" s="17" t="s">
        <v>29</v>
      </c>
      <c r="G200" s="17" t="s">
        <v>30</v>
      </c>
      <c r="H200" s="18">
        <f>ROUND(RAND()*4+6,1)</f>
      </c>
      <c r="I200" s="17" t="s">
        <v>31</v>
      </c>
      <c r="J200" s="19">
        <f>ROUND(80*1,0)&amp;"%"</f>
      </c>
    </row>
    <row x14ac:dyDescent="0.25" r="201" customHeight="1" ht="17.25">
      <c r="A201" s="20" t="s">
        <v>12113</v>
      </c>
      <c r="B201" s="20" t="s">
        <v>338</v>
      </c>
      <c r="C201" s="20" t="s">
        <v>76</v>
      </c>
      <c r="D201" s="20" t="s">
        <v>34</v>
      </c>
      <c r="E201" s="21">
        <f>ROUND(4689*1.05,2)</f>
      </c>
      <c r="F201" s="20" t="s">
        <v>35</v>
      </c>
      <c r="G201" s="20" t="s">
        <v>18</v>
      </c>
      <c r="H201" s="21">
        <f>ROUND(RAND()*4+6,1)</f>
      </c>
      <c r="I201" s="20" t="s">
        <v>36</v>
      </c>
      <c r="J201" s="23">
        <f>ROUND(81*1,0)&amp;"%"</f>
      </c>
    </row>
    <row x14ac:dyDescent="0.25" r="202" customHeight="1" ht="17.25">
      <c r="A202" s="17" t="s">
        <v>12114</v>
      </c>
      <c r="B202" s="17" t="s">
        <v>340</v>
      </c>
      <c r="C202" s="17" t="s">
        <v>76</v>
      </c>
      <c r="D202" s="17" t="s">
        <v>39</v>
      </c>
      <c r="E202" s="18">
        <f>ROUND(13657*1.05,2)</f>
      </c>
      <c r="F202" s="17" t="s">
        <v>40</v>
      </c>
      <c r="G202" s="17" t="s">
        <v>24</v>
      </c>
      <c r="H202" s="18">
        <f>ROUND(RAND()*4+6,1)</f>
      </c>
      <c r="I202" s="17" t="s">
        <v>41</v>
      </c>
      <c r="J202" s="19">
        <f>ROUND(78*1,0)&amp;"%"</f>
      </c>
    </row>
    <row x14ac:dyDescent="0.25" r="203" customHeight="1" ht="17.25">
      <c r="A203" s="20" t="s">
        <v>12115</v>
      </c>
      <c r="B203" s="20" t="s">
        <v>342</v>
      </c>
      <c r="C203" s="20" t="s">
        <v>76</v>
      </c>
      <c r="D203" s="20" t="s">
        <v>67</v>
      </c>
      <c r="E203" s="21">
        <f>ROUND(14513*1.05,2)</f>
      </c>
      <c r="F203" s="20" t="s">
        <v>44</v>
      </c>
      <c r="G203" s="20" t="s">
        <v>30</v>
      </c>
      <c r="H203" s="21">
        <f>ROUND(RAND()*4+6,1)</f>
      </c>
      <c r="I203" s="20" t="s">
        <v>45</v>
      </c>
      <c r="J203" s="23">
        <f>ROUND(72*1,0)&amp;"%"</f>
      </c>
    </row>
    <row x14ac:dyDescent="0.25" r="204" customHeight="1" ht="17.25">
      <c r="A204" s="17" t="s">
        <v>12116</v>
      </c>
      <c r="B204" s="17" t="s">
        <v>344</v>
      </c>
      <c r="C204" s="17" t="s">
        <v>76</v>
      </c>
      <c r="D204" s="17" t="s">
        <v>16</v>
      </c>
      <c r="E204" s="18">
        <f>ROUND(17342*1.05,2)</f>
      </c>
      <c r="F204" s="17" t="s">
        <v>48</v>
      </c>
      <c r="G204" s="17" t="s">
        <v>18</v>
      </c>
      <c r="H204" s="18">
        <f>ROUND(RAND()*4+6,1)</f>
      </c>
      <c r="I204" s="17" t="s">
        <v>19</v>
      </c>
      <c r="J204" s="19">
        <f>ROUND(69*1,0)&amp;"%"</f>
      </c>
    </row>
    <row x14ac:dyDescent="0.25" r="205" customHeight="1" ht="17.25">
      <c r="A205" s="20" t="s">
        <v>12117</v>
      </c>
      <c r="B205" s="20" t="s">
        <v>346</v>
      </c>
      <c r="C205" s="20" t="s">
        <v>76</v>
      </c>
      <c r="D205" s="20" t="s">
        <v>22</v>
      </c>
      <c r="E205" s="21">
        <f>ROUND(6296*1.05,2)</f>
      </c>
      <c r="F205" s="20" t="s">
        <v>51</v>
      </c>
      <c r="G205" s="20" t="s">
        <v>24</v>
      </c>
      <c r="H205" s="21">
        <f>ROUND(RAND()*4+6,1)</f>
      </c>
      <c r="I205" s="20" t="s">
        <v>25</v>
      </c>
      <c r="J205" s="23">
        <f>ROUND(96*1,0)&amp;"%"</f>
      </c>
    </row>
    <row x14ac:dyDescent="0.25" r="206" customHeight="1" ht="17.25">
      <c r="A206" s="24" t="s">
        <v>347</v>
      </c>
      <c r="B206" s="24"/>
      <c r="C206" s="24"/>
      <c r="D206" s="24"/>
      <c r="E206" s="25">
        <v>8</v>
      </c>
      <c r="F206" s="9"/>
      <c r="G206" s="9"/>
      <c r="H206" s="10"/>
      <c r="I206" s="9"/>
      <c r="J206" s="9"/>
    </row>
    <row x14ac:dyDescent="0.25" r="207" customHeight="1" ht="17.25">
      <c r="A207" s="7"/>
      <c r="B207" s="7"/>
      <c r="C207" s="7"/>
      <c r="D207" s="7"/>
      <c r="E207" s="8"/>
      <c r="F207" s="9"/>
      <c r="G207" s="9"/>
      <c r="H207" s="10"/>
      <c r="I207" s="9"/>
      <c r="J207" s="9"/>
    </row>
    <row x14ac:dyDescent="0.25" r="208" customHeight="1" ht="17.25">
      <c r="A208" s="11" t="s">
        <v>12118</v>
      </c>
      <c r="B208" s="11"/>
      <c r="C208" s="11"/>
      <c r="D208" s="11"/>
      <c r="E208" s="12"/>
      <c r="F208" s="11"/>
      <c r="G208" s="11"/>
      <c r="H208" s="13"/>
      <c r="I208" s="11"/>
      <c r="J208" s="11"/>
    </row>
    <row x14ac:dyDescent="0.25" r="209" customHeight="1" ht="17.25">
      <c r="A209" s="14" t="s">
        <v>3</v>
      </c>
      <c r="B209" s="14" t="s">
        <v>4</v>
      </c>
      <c r="C209" s="14" t="s">
        <v>5</v>
      </c>
      <c r="D209" s="14" t="s">
        <v>6</v>
      </c>
      <c r="E209" s="15" t="s">
        <v>7</v>
      </c>
      <c r="F209" s="14" t="s">
        <v>8</v>
      </c>
      <c r="G209" s="14" t="s">
        <v>9</v>
      </c>
      <c r="H209" s="16" t="s">
        <v>10</v>
      </c>
      <c r="I209" s="14" t="s">
        <v>11</v>
      </c>
      <c r="J209" s="14" t="s">
        <v>12</v>
      </c>
    </row>
    <row x14ac:dyDescent="0.25" r="210" customHeight="1" ht="17.25">
      <c r="A210" s="17" t="s">
        <v>12119</v>
      </c>
      <c r="B210" s="17" t="s">
        <v>350</v>
      </c>
      <c r="C210" s="17" t="s">
        <v>95</v>
      </c>
      <c r="D210" s="17" t="s">
        <v>16</v>
      </c>
      <c r="E210" s="18">
        <f>ROUND(7085*1.05,2)</f>
      </c>
      <c r="F210" s="17" t="s">
        <v>17</v>
      </c>
      <c r="G210" s="17" t="s">
        <v>18</v>
      </c>
      <c r="H210" s="18">
        <f>ROUND(RAND()*4+6,1)</f>
      </c>
      <c r="I210" s="17" t="s">
        <v>19</v>
      </c>
      <c r="J210" s="19">
        <f>ROUND(64*1,0)&amp;"%"</f>
      </c>
    </row>
    <row x14ac:dyDescent="0.25" r="211" customHeight="1" ht="17.25">
      <c r="A211" s="20" t="s">
        <v>12120</v>
      </c>
      <c r="B211" s="20" t="s">
        <v>352</v>
      </c>
      <c r="C211" s="20" t="s">
        <v>95</v>
      </c>
      <c r="D211" s="20" t="s">
        <v>22</v>
      </c>
      <c r="E211" s="21">
        <f>ROUND(11692*1.05,2)</f>
      </c>
      <c r="F211" s="20" t="s">
        <v>23</v>
      </c>
      <c r="G211" s="20" t="s">
        <v>24</v>
      </c>
      <c r="H211" s="21">
        <f>ROUND(RAND()*4+6,1)</f>
      </c>
      <c r="I211" s="20" t="s">
        <v>25</v>
      </c>
      <c r="J211" s="23">
        <f>ROUND(88*1,0)&amp;"%"</f>
      </c>
    </row>
    <row x14ac:dyDescent="0.25" r="212" customHeight="1" ht="17.25">
      <c r="A212" s="17" t="s">
        <v>12121</v>
      </c>
      <c r="B212" s="17" t="s">
        <v>354</v>
      </c>
      <c r="C212" s="17" t="s">
        <v>95</v>
      </c>
      <c r="D212" s="17" t="s">
        <v>28</v>
      </c>
      <c r="E212" s="18">
        <f>ROUND(10989*1.05,2)</f>
      </c>
      <c r="F212" s="17" t="s">
        <v>29</v>
      </c>
      <c r="G212" s="17" t="s">
        <v>30</v>
      </c>
      <c r="H212" s="18">
        <f>ROUND(RAND()*4+6,1)</f>
      </c>
      <c r="I212" s="17" t="s">
        <v>31</v>
      </c>
      <c r="J212" s="19">
        <f>ROUND(100*1,0)&amp;"%"</f>
      </c>
    </row>
    <row x14ac:dyDescent="0.25" r="213" customHeight="1" ht="17.25">
      <c r="A213" s="20" t="s">
        <v>12122</v>
      </c>
      <c r="B213" s="20" t="s">
        <v>356</v>
      </c>
      <c r="C213" s="20" t="s">
        <v>95</v>
      </c>
      <c r="D213" s="20" t="s">
        <v>34</v>
      </c>
      <c r="E213" s="21">
        <f>ROUND(9721*1.05,2)</f>
      </c>
      <c r="F213" s="20" t="s">
        <v>35</v>
      </c>
      <c r="G213" s="20" t="s">
        <v>18</v>
      </c>
      <c r="H213" s="22">
        <f>ROUND(RAND()*4+6,1)</f>
      </c>
      <c r="I213" s="20" t="s">
        <v>36</v>
      </c>
      <c r="J213" s="23">
        <f>ROUND(94*1,0)&amp;"%"</f>
      </c>
    </row>
    <row x14ac:dyDescent="0.25" r="214" customHeight="1" ht="17.25">
      <c r="A214" s="17" t="s">
        <v>12123</v>
      </c>
      <c r="B214" s="17" t="s">
        <v>358</v>
      </c>
      <c r="C214" s="17" t="s">
        <v>95</v>
      </c>
      <c r="D214" s="17" t="s">
        <v>39</v>
      </c>
      <c r="E214" s="18">
        <f>ROUND(4361*1.05,2)</f>
      </c>
      <c r="F214" s="17" t="s">
        <v>40</v>
      </c>
      <c r="G214" s="17" t="s">
        <v>24</v>
      </c>
      <c r="H214" s="18">
        <f>ROUND(RAND()*4+6,1)</f>
      </c>
      <c r="I214" s="17" t="s">
        <v>41</v>
      </c>
      <c r="J214" s="19">
        <f>ROUND(88*1,0)&amp;"%"</f>
      </c>
    </row>
    <row x14ac:dyDescent="0.25" r="215" customHeight="1" ht="17.25">
      <c r="A215" s="20" t="s">
        <v>12124</v>
      </c>
      <c r="B215" s="20" t="s">
        <v>360</v>
      </c>
      <c r="C215" s="20" t="s">
        <v>95</v>
      </c>
      <c r="D215" s="20" t="s">
        <v>67</v>
      </c>
      <c r="E215" s="21">
        <f>ROUND(6989*1.05,2)</f>
      </c>
      <c r="F215" s="20" t="s">
        <v>44</v>
      </c>
      <c r="G215" s="20" t="s">
        <v>30</v>
      </c>
      <c r="H215" s="22">
        <f>ROUND(RAND()*4+6,1)</f>
      </c>
      <c r="I215" s="20" t="s">
        <v>45</v>
      </c>
      <c r="J215" s="23">
        <f>ROUND(73*1,0)&amp;"%"</f>
      </c>
    </row>
    <row x14ac:dyDescent="0.25" r="216" customHeight="1" ht="17.25">
      <c r="A216" s="17" t="s">
        <v>12125</v>
      </c>
      <c r="B216" s="17" t="s">
        <v>362</v>
      </c>
      <c r="C216" s="17" t="s">
        <v>95</v>
      </c>
      <c r="D216" s="17" t="s">
        <v>16</v>
      </c>
      <c r="E216" s="18">
        <f>ROUND(8225*1.05,2)</f>
      </c>
      <c r="F216" s="17" t="s">
        <v>48</v>
      </c>
      <c r="G216" s="17" t="s">
        <v>18</v>
      </c>
      <c r="H216" s="26">
        <f>ROUND(RAND()*4+6,1)</f>
      </c>
      <c r="I216" s="17" t="s">
        <v>19</v>
      </c>
      <c r="J216" s="19">
        <f>ROUND(81*1,0)&amp;"%"</f>
      </c>
    </row>
    <row x14ac:dyDescent="0.25" r="217" customHeight="1" ht="17.25">
      <c r="A217" s="20" t="s">
        <v>12126</v>
      </c>
      <c r="B217" s="20" t="s">
        <v>364</v>
      </c>
      <c r="C217" s="20" t="s">
        <v>95</v>
      </c>
      <c r="D217" s="20" t="s">
        <v>22</v>
      </c>
      <c r="E217" s="21">
        <f>ROUND(8137*1.05,2)</f>
      </c>
      <c r="F217" s="20" t="s">
        <v>51</v>
      </c>
      <c r="G217" s="20" t="s">
        <v>24</v>
      </c>
      <c r="H217" s="21">
        <f>ROUND(RAND()*4+6,1)</f>
      </c>
      <c r="I217" s="20" t="s">
        <v>25</v>
      </c>
      <c r="J217" s="23">
        <f>ROUND(63*1,0)&amp;"%"</f>
      </c>
    </row>
    <row x14ac:dyDescent="0.25" r="218" customHeight="1" ht="17.25">
      <c r="A218" s="24" t="s">
        <v>365</v>
      </c>
      <c r="B218" s="24"/>
      <c r="C218" s="24"/>
      <c r="D218" s="24"/>
      <c r="E218" s="25">
        <v>8</v>
      </c>
      <c r="F218" s="9"/>
      <c r="G218" s="9"/>
      <c r="H218" s="10"/>
      <c r="I218" s="9"/>
      <c r="J218" s="9"/>
    </row>
    <row x14ac:dyDescent="0.25" r="219" customHeight="1" ht="17.25">
      <c r="A219" s="7"/>
      <c r="B219" s="7"/>
      <c r="C219" s="7"/>
      <c r="D219" s="7"/>
      <c r="E219" s="8"/>
      <c r="F219" s="9"/>
      <c r="G219" s="9"/>
      <c r="H219" s="10"/>
      <c r="I219" s="9"/>
      <c r="J219" s="9"/>
    </row>
    <row x14ac:dyDescent="0.25" r="220" customHeight="1" ht="17.25">
      <c r="A220" s="11" t="s">
        <v>12127</v>
      </c>
      <c r="B220" s="11"/>
      <c r="C220" s="11"/>
      <c r="D220" s="11"/>
      <c r="E220" s="12"/>
      <c r="F220" s="11"/>
      <c r="G220" s="11"/>
      <c r="H220" s="13"/>
      <c r="I220" s="11"/>
      <c r="J220" s="11"/>
    </row>
    <row x14ac:dyDescent="0.25" r="221" customHeight="1" ht="17.25">
      <c r="A221" s="14" t="s">
        <v>3</v>
      </c>
      <c r="B221" s="14" t="s">
        <v>4</v>
      </c>
      <c r="C221" s="14" t="s">
        <v>5</v>
      </c>
      <c r="D221" s="14" t="s">
        <v>6</v>
      </c>
      <c r="E221" s="15" t="s">
        <v>7</v>
      </c>
      <c r="F221" s="14" t="s">
        <v>8</v>
      </c>
      <c r="G221" s="14" t="s">
        <v>9</v>
      </c>
      <c r="H221" s="16" t="s">
        <v>10</v>
      </c>
      <c r="I221" s="14" t="s">
        <v>11</v>
      </c>
      <c r="J221" s="14" t="s">
        <v>12</v>
      </c>
    </row>
    <row x14ac:dyDescent="0.25" r="222" customHeight="1" ht="17.25">
      <c r="A222" s="17" t="s">
        <v>12128</v>
      </c>
      <c r="B222" s="17" t="s">
        <v>368</v>
      </c>
      <c r="C222" s="17" t="s">
        <v>114</v>
      </c>
      <c r="D222" s="17" t="s">
        <v>16</v>
      </c>
      <c r="E222" s="18">
        <f>ROUND(4438*1.05,2)</f>
      </c>
      <c r="F222" s="17" t="s">
        <v>17</v>
      </c>
      <c r="G222" s="17" t="s">
        <v>18</v>
      </c>
      <c r="H222" s="26">
        <f>ROUND(RAND()*4+6,1)</f>
      </c>
      <c r="I222" s="17" t="s">
        <v>19</v>
      </c>
      <c r="J222" s="19">
        <f>ROUND(89*1,0)&amp;"%"</f>
      </c>
    </row>
    <row x14ac:dyDescent="0.25" r="223" customHeight="1" ht="17.25">
      <c r="A223" s="20" t="s">
        <v>12129</v>
      </c>
      <c r="B223" s="20" t="s">
        <v>370</v>
      </c>
      <c r="C223" s="20" t="s">
        <v>114</v>
      </c>
      <c r="D223" s="20" t="s">
        <v>22</v>
      </c>
      <c r="E223" s="21">
        <f>ROUND(9761*1.05,2)</f>
      </c>
      <c r="F223" s="20" t="s">
        <v>23</v>
      </c>
      <c r="G223" s="20" t="s">
        <v>24</v>
      </c>
      <c r="H223" s="21">
        <f>ROUND(RAND()*4+6,1)</f>
      </c>
      <c r="I223" s="20" t="s">
        <v>25</v>
      </c>
      <c r="J223" s="23">
        <f>ROUND(95*1,0)&amp;"%"</f>
      </c>
    </row>
    <row x14ac:dyDescent="0.25" r="224" customHeight="1" ht="17.25">
      <c r="A224" s="17" t="s">
        <v>12130</v>
      </c>
      <c r="B224" s="17" t="s">
        <v>372</v>
      </c>
      <c r="C224" s="17" t="s">
        <v>114</v>
      </c>
      <c r="D224" s="17" t="s">
        <v>28</v>
      </c>
      <c r="E224" s="18">
        <f>ROUND(6189*1.05,2)</f>
      </c>
      <c r="F224" s="17" t="s">
        <v>29</v>
      </c>
      <c r="G224" s="17" t="s">
        <v>30</v>
      </c>
      <c r="H224" s="18">
        <f>ROUND(RAND()*4+6,1)</f>
      </c>
      <c r="I224" s="17" t="s">
        <v>31</v>
      </c>
      <c r="J224" s="19">
        <f>ROUND(96*1,0)&amp;"%"</f>
      </c>
    </row>
    <row x14ac:dyDescent="0.25" r="225" customHeight="1" ht="17.25">
      <c r="A225" s="20" t="s">
        <v>12131</v>
      </c>
      <c r="B225" s="20" t="s">
        <v>374</v>
      </c>
      <c r="C225" s="20" t="s">
        <v>114</v>
      </c>
      <c r="D225" s="20" t="s">
        <v>34</v>
      </c>
      <c r="E225" s="21">
        <f>ROUND(8626*1.05,2)</f>
      </c>
      <c r="F225" s="20" t="s">
        <v>35</v>
      </c>
      <c r="G225" s="20" t="s">
        <v>18</v>
      </c>
      <c r="H225" s="21">
        <f>ROUND(RAND()*4+6,1)</f>
      </c>
      <c r="I225" s="20" t="s">
        <v>36</v>
      </c>
      <c r="J225" s="23">
        <f>ROUND(94*1,0)&amp;"%"</f>
      </c>
    </row>
    <row x14ac:dyDescent="0.25" r="226" customHeight="1" ht="17.25">
      <c r="A226" s="17" t="s">
        <v>12132</v>
      </c>
      <c r="B226" s="17" t="s">
        <v>376</v>
      </c>
      <c r="C226" s="17" t="s">
        <v>114</v>
      </c>
      <c r="D226" s="17" t="s">
        <v>39</v>
      </c>
      <c r="E226" s="18">
        <f>ROUND(14702*1.05,2)</f>
      </c>
      <c r="F226" s="17" t="s">
        <v>40</v>
      </c>
      <c r="G226" s="17" t="s">
        <v>24</v>
      </c>
      <c r="H226" s="18">
        <f>ROUND(RAND()*4+6,1)</f>
      </c>
      <c r="I226" s="17" t="s">
        <v>41</v>
      </c>
      <c r="J226" s="19">
        <f>ROUND(69*1,0)&amp;"%"</f>
      </c>
    </row>
    <row x14ac:dyDescent="0.25" r="227" customHeight="1" ht="17.25">
      <c r="A227" s="20" t="s">
        <v>12133</v>
      </c>
      <c r="B227" s="20" t="s">
        <v>378</v>
      </c>
      <c r="C227" s="20" t="s">
        <v>114</v>
      </c>
      <c r="D227" s="20" t="s">
        <v>67</v>
      </c>
      <c r="E227" s="21">
        <f>ROUND(7368*1.05,2)</f>
      </c>
      <c r="F227" s="20" t="s">
        <v>44</v>
      </c>
      <c r="G227" s="20" t="s">
        <v>30</v>
      </c>
      <c r="H227" s="21">
        <f>ROUND(RAND()*4+6,1)</f>
      </c>
      <c r="I227" s="20" t="s">
        <v>45</v>
      </c>
      <c r="J227" s="23">
        <f>ROUND(79*1,0)&amp;"%"</f>
      </c>
    </row>
    <row x14ac:dyDescent="0.25" r="228" customHeight="1" ht="17.25">
      <c r="A228" s="17" t="s">
        <v>12134</v>
      </c>
      <c r="B228" s="17" t="s">
        <v>380</v>
      </c>
      <c r="C228" s="17" t="s">
        <v>114</v>
      </c>
      <c r="D228" s="17" t="s">
        <v>16</v>
      </c>
      <c r="E228" s="18">
        <f>ROUND(9439*1.05,2)</f>
      </c>
      <c r="F228" s="17" t="s">
        <v>48</v>
      </c>
      <c r="G228" s="17" t="s">
        <v>18</v>
      </c>
      <c r="H228" s="18">
        <f>ROUND(RAND()*4+6,1)</f>
      </c>
      <c r="I228" s="17" t="s">
        <v>19</v>
      </c>
      <c r="J228" s="19">
        <f>ROUND(65*1,0)&amp;"%"</f>
      </c>
    </row>
    <row x14ac:dyDescent="0.25" r="229" customHeight="1" ht="17.25">
      <c r="A229" s="20" t="s">
        <v>12135</v>
      </c>
      <c r="B229" s="20" t="s">
        <v>382</v>
      </c>
      <c r="C229" s="20" t="s">
        <v>114</v>
      </c>
      <c r="D229" s="20" t="s">
        <v>22</v>
      </c>
      <c r="E229" s="22">
        <f>ROUND(8780*1.05,2)</f>
      </c>
      <c r="F229" s="20" t="s">
        <v>51</v>
      </c>
      <c r="G229" s="20" t="s">
        <v>24</v>
      </c>
      <c r="H229" s="21">
        <f>ROUND(RAND()*4+6,1)</f>
      </c>
      <c r="I229" s="20" t="s">
        <v>25</v>
      </c>
      <c r="J229" s="23">
        <f>ROUND(78*1,0)&amp;"%"</f>
      </c>
    </row>
    <row x14ac:dyDescent="0.25" r="230" customHeight="1" ht="17.25">
      <c r="A230" s="24" t="s">
        <v>383</v>
      </c>
      <c r="B230" s="24"/>
      <c r="C230" s="24"/>
      <c r="D230" s="24"/>
      <c r="E230" s="25">
        <v>8</v>
      </c>
      <c r="F230" s="9"/>
      <c r="G230" s="9"/>
      <c r="H230" s="10"/>
      <c r="I230" s="9"/>
      <c r="J230" s="9"/>
    </row>
    <row x14ac:dyDescent="0.25" r="231" customHeight="1" ht="17.25">
      <c r="A231" s="7"/>
      <c r="B231" s="7"/>
      <c r="C231" s="7"/>
      <c r="D231" s="7"/>
      <c r="E231" s="8"/>
      <c r="F231" s="9"/>
      <c r="G231" s="9"/>
      <c r="H231" s="10"/>
      <c r="I231" s="9"/>
      <c r="J231" s="9"/>
    </row>
    <row x14ac:dyDescent="0.25" r="232" customHeight="1" ht="17.25">
      <c r="A232" s="11" t="s">
        <v>12136</v>
      </c>
      <c r="B232" s="11"/>
      <c r="C232" s="11"/>
      <c r="D232" s="11"/>
      <c r="E232" s="12"/>
      <c r="F232" s="11"/>
      <c r="G232" s="11"/>
      <c r="H232" s="13"/>
      <c r="I232" s="11"/>
      <c r="J232" s="11"/>
    </row>
    <row x14ac:dyDescent="0.25" r="233" customHeight="1" ht="17.25">
      <c r="A233" s="14" t="s">
        <v>3</v>
      </c>
      <c r="B233" s="14" t="s">
        <v>4</v>
      </c>
      <c r="C233" s="14" t="s">
        <v>5</v>
      </c>
      <c r="D233" s="14" t="s">
        <v>6</v>
      </c>
      <c r="E233" s="15" t="s">
        <v>7</v>
      </c>
      <c r="F233" s="14" t="s">
        <v>8</v>
      </c>
      <c r="G233" s="14" t="s">
        <v>9</v>
      </c>
      <c r="H233" s="16" t="s">
        <v>10</v>
      </c>
      <c r="I233" s="14" t="s">
        <v>11</v>
      </c>
      <c r="J233" s="14" t="s">
        <v>12</v>
      </c>
    </row>
    <row x14ac:dyDescent="0.25" r="234" customHeight="1" ht="17.25">
      <c r="A234" s="17" t="s">
        <v>12137</v>
      </c>
      <c r="B234" s="17" t="s">
        <v>386</v>
      </c>
      <c r="C234" s="17" t="s">
        <v>133</v>
      </c>
      <c r="D234" s="17" t="s">
        <v>16</v>
      </c>
      <c r="E234" s="18">
        <f>ROUND(13054*1.05,2)</f>
      </c>
      <c r="F234" s="17" t="s">
        <v>17</v>
      </c>
      <c r="G234" s="17" t="s">
        <v>18</v>
      </c>
      <c r="H234" s="18">
        <f>ROUND(RAND()*4+6,1)</f>
      </c>
      <c r="I234" s="17" t="s">
        <v>19</v>
      </c>
      <c r="J234" s="19">
        <f>ROUND(73*1,0)&amp;"%"</f>
      </c>
    </row>
    <row x14ac:dyDescent="0.25" r="235" customHeight="1" ht="17.25">
      <c r="A235" s="20" t="s">
        <v>12138</v>
      </c>
      <c r="B235" s="20" t="s">
        <v>388</v>
      </c>
      <c r="C235" s="20" t="s">
        <v>133</v>
      </c>
      <c r="D235" s="20" t="s">
        <v>22</v>
      </c>
      <c r="E235" s="21">
        <f>ROUND(16784*1.05,2)</f>
      </c>
      <c r="F235" s="20" t="s">
        <v>23</v>
      </c>
      <c r="G235" s="20" t="s">
        <v>24</v>
      </c>
      <c r="H235" s="21">
        <f>ROUND(RAND()*4+6,1)</f>
      </c>
      <c r="I235" s="20" t="s">
        <v>25</v>
      </c>
      <c r="J235" s="23">
        <f>ROUND(72*1,0)&amp;"%"</f>
      </c>
    </row>
    <row x14ac:dyDescent="0.25" r="236" customHeight="1" ht="17.25">
      <c r="A236" s="17" t="s">
        <v>12139</v>
      </c>
      <c r="B236" s="17" t="s">
        <v>390</v>
      </c>
      <c r="C236" s="17" t="s">
        <v>133</v>
      </c>
      <c r="D236" s="17" t="s">
        <v>28</v>
      </c>
      <c r="E236" s="18">
        <f>ROUND(17982*1.05,2)</f>
      </c>
      <c r="F236" s="17" t="s">
        <v>29</v>
      </c>
      <c r="G236" s="17" t="s">
        <v>30</v>
      </c>
      <c r="H236" s="18">
        <f>ROUND(RAND()*4+6,1)</f>
      </c>
      <c r="I236" s="17" t="s">
        <v>31</v>
      </c>
      <c r="J236" s="19">
        <f>ROUND(100*1,0)&amp;"%"</f>
      </c>
    </row>
    <row x14ac:dyDescent="0.25" r="237" customHeight="1" ht="17.25">
      <c r="A237" s="20" t="s">
        <v>12140</v>
      </c>
      <c r="B237" s="20" t="s">
        <v>392</v>
      </c>
      <c r="C237" s="20" t="s">
        <v>133</v>
      </c>
      <c r="D237" s="20" t="s">
        <v>34</v>
      </c>
      <c r="E237" s="21">
        <f>ROUND(16674*1.05,2)</f>
      </c>
      <c r="F237" s="20" t="s">
        <v>35</v>
      </c>
      <c r="G237" s="20" t="s">
        <v>18</v>
      </c>
      <c r="H237" s="22">
        <f>ROUND(RAND()*4+6,1)</f>
      </c>
      <c r="I237" s="20" t="s">
        <v>36</v>
      </c>
      <c r="J237" s="23">
        <f>ROUND(65*1,0)&amp;"%"</f>
      </c>
    </row>
    <row x14ac:dyDescent="0.25" r="238" customHeight="1" ht="17.25">
      <c r="A238" s="17" t="s">
        <v>12141</v>
      </c>
      <c r="B238" s="17" t="s">
        <v>394</v>
      </c>
      <c r="C238" s="17" t="s">
        <v>133</v>
      </c>
      <c r="D238" s="17" t="s">
        <v>39</v>
      </c>
      <c r="E238" s="18">
        <f>ROUND(12074*1.05,2)</f>
      </c>
      <c r="F238" s="17" t="s">
        <v>40</v>
      </c>
      <c r="G238" s="17" t="s">
        <v>24</v>
      </c>
      <c r="H238" s="18">
        <f>ROUND(RAND()*4+6,1)</f>
      </c>
      <c r="I238" s="17" t="s">
        <v>41</v>
      </c>
      <c r="J238" s="19">
        <f>ROUND(62*1,0)&amp;"%"</f>
      </c>
    </row>
    <row x14ac:dyDescent="0.25" r="239" customHeight="1" ht="17.25">
      <c r="A239" s="20" t="s">
        <v>12142</v>
      </c>
      <c r="B239" s="20" t="s">
        <v>396</v>
      </c>
      <c r="C239" s="20" t="s">
        <v>133</v>
      </c>
      <c r="D239" s="20" t="s">
        <v>67</v>
      </c>
      <c r="E239" s="21">
        <f>ROUND(14648*1.05,2)</f>
      </c>
      <c r="F239" s="20" t="s">
        <v>44</v>
      </c>
      <c r="G239" s="20" t="s">
        <v>30</v>
      </c>
      <c r="H239" s="21">
        <f>ROUND(RAND()*4+6,1)</f>
      </c>
      <c r="I239" s="20" t="s">
        <v>45</v>
      </c>
      <c r="J239" s="23">
        <f>ROUND(86*1,0)&amp;"%"</f>
      </c>
    </row>
    <row x14ac:dyDescent="0.25" r="240" customHeight="1" ht="17.25">
      <c r="A240" s="17" t="s">
        <v>12143</v>
      </c>
      <c r="B240" s="17" t="s">
        <v>398</v>
      </c>
      <c r="C240" s="17" t="s">
        <v>133</v>
      </c>
      <c r="D240" s="17" t="s">
        <v>16</v>
      </c>
      <c r="E240" s="26">
        <f>ROUND(16400*1.05,2)</f>
      </c>
      <c r="F240" s="17" t="s">
        <v>48</v>
      </c>
      <c r="G240" s="17" t="s">
        <v>18</v>
      </c>
      <c r="H240" s="18">
        <f>ROUND(RAND()*4+6,1)</f>
      </c>
      <c r="I240" s="17" t="s">
        <v>19</v>
      </c>
      <c r="J240" s="19">
        <f>ROUND(81*1,0)&amp;"%"</f>
      </c>
    </row>
    <row x14ac:dyDescent="0.25" r="241" customHeight="1" ht="17.25">
      <c r="A241" s="20" t="s">
        <v>12144</v>
      </c>
      <c r="B241" s="20" t="s">
        <v>400</v>
      </c>
      <c r="C241" s="20" t="s">
        <v>133</v>
      </c>
      <c r="D241" s="20" t="s">
        <v>22</v>
      </c>
      <c r="E241" s="21">
        <f>ROUND(13895*1.05,2)</f>
      </c>
      <c r="F241" s="20" t="s">
        <v>51</v>
      </c>
      <c r="G241" s="20" t="s">
        <v>24</v>
      </c>
      <c r="H241" s="21">
        <f>ROUND(RAND()*4+6,1)</f>
      </c>
      <c r="I241" s="20" t="s">
        <v>25</v>
      </c>
      <c r="J241" s="23">
        <f>ROUND(63*1,0)&amp;"%"</f>
      </c>
    </row>
    <row x14ac:dyDescent="0.25" r="242" customHeight="1" ht="17.25">
      <c r="A242" s="24" t="s">
        <v>401</v>
      </c>
      <c r="B242" s="24"/>
      <c r="C242" s="24"/>
      <c r="D242" s="24"/>
      <c r="E242" s="25">
        <v>8</v>
      </c>
      <c r="F242" s="9"/>
      <c r="G242" s="9"/>
      <c r="H242" s="10"/>
      <c r="I242" s="9"/>
      <c r="J242" s="9"/>
    </row>
    <row x14ac:dyDescent="0.25" r="243" customHeight="1" ht="17.25">
      <c r="A243" s="7"/>
      <c r="B243" s="7"/>
      <c r="C243" s="7"/>
      <c r="D243" s="7"/>
      <c r="E243" s="8"/>
      <c r="F243" s="9"/>
      <c r="G243" s="9"/>
      <c r="H243" s="10"/>
      <c r="I243" s="9"/>
      <c r="J243" s="9"/>
    </row>
    <row x14ac:dyDescent="0.25" r="244" customHeight="1" ht="17.25">
      <c r="A244" s="11" t="s">
        <v>12145</v>
      </c>
      <c r="B244" s="11"/>
      <c r="C244" s="11"/>
      <c r="D244" s="11"/>
      <c r="E244" s="12"/>
      <c r="F244" s="11"/>
      <c r="G244" s="11"/>
      <c r="H244" s="13"/>
      <c r="I244" s="11"/>
      <c r="J244" s="11"/>
    </row>
    <row x14ac:dyDescent="0.25" r="245" customHeight="1" ht="17.25">
      <c r="A245" s="14" t="s">
        <v>3</v>
      </c>
      <c r="B245" s="14" t="s">
        <v>4</v>
      </c>
      <c r="C245" s="14" t="s">
        <v>5</v>
      </c>
      <c r="D245" s="14" t="s">
        <v>6</v>
      </c>
      <c r="E245" s="15" t="s">
        <v>7</v>
      </c>
      <c r="F245" s="14" t="s">
        <v>8</v>
      </c>
      <c r="G245" s="14" t="s">
        <v>9</v>
      </c>
      <c r="H245" s="16" t="s">
        <v>10</v>
      </c>
      <c r="I245" s="14" t="s">
        <v>11</v>
      </c>
      <c r="J245" s="14" t="s">
        <v>12</v>
      </c>
    </row>
    <row x14ac:dyDescent="0.25" r="246" customHeight="1" ht="17.25">
      <c r="A246" s="17" t="s">
        <v>12146</v>
      </c>
      <c r="B246" s="17" t="s">
        <v>404</v>
      </c>
      <c r="C246" s="17" t="s">
        <v>152</v>
      </c>
      <c r="D246" s="17" t="s">
        <v>16</v>
      </c>
      <c r="E246" s="18">
        <f>ROUND(11986*1.05,2)</f>
      </c>
      <c r="F246" s="17" t="s">
        <v>17</v>
      </c>
      <c r="G246" s="17" t="s">
        <v>18</v>
      </c>
      <c r="H246" s="18">
        <f>ROUND(RAND()*4+6,1)</f>
      </c>
      <c r="I246" s="17" t="s">
        <v>19</v>
      </c>
      <c r="J246" s="19">
        <f>ROUND(83*1,0)&amp;"%"</f>
      </c>
    </row>
    <row x14ac:dyDescent="0.25" r="247" customHeight="1" ht="17.25">
      <c r="A247" s="20" t="s">
        <v>12147</v>
      </c>
      <c r="B247" s="20" t="s">
        <v>406</v>
      </c>
      <c r="C247" s="20" t="s">
        <v>152</v>
      </c>
      <c r="D247" s="20" t="s">
        <v>22</v>
      </c>
      <c r="E247" s="21">
        <f>ROUND(5157*1.05,2)</f>
      </c>
      <c r="F247" s="20" t="s">
        <v>23</v>
      </c>
      <c r="G247" s="20" t="s">
        <v>24</v>
      </c>
      <c r="H247" s="22">
        <f>ROUND(RAND()*4+6,1)</f>
      </c>
      <c r="I247" s="20" t="s">
        <v>25</v>
      </c>
      <c r="J247" s="23">
        <f>ROUND(63*1,0)&amp;"%"</f>
      </c>
    </row>
    <row x14ac:dyDescent="0.25" r="248" customHeight="1" ht="17.25">
      <c r="A248" s="17" t="s">
        <v>12148</v>
      </c>
      <c r="B248" s="17" t="s">
        <v>408</v>
      </c>
      <c r="C248" s="17" t="s">
        <v>152</v>
      </c>
      <c r="D248" s="17" t="s">
        <v>28</v>
      </c>
      <c r="E248" s="18">
        <f>ROUND(7391*1.05,2)</f>
      </c>
      <c r="F248" s="17" t="s">
        <v>29</v>
      </c>
      <c r="G248" s="17" t="s">
        <v>30</v>
      </c>
      <c r="H248" s="26">
        <f>ROUND(RAND()*4+6,1)</f>
      </c>
      <c r="I248" s="17" t="s">
        <v>31</v>
      </c>
      <c r="J248" s="19">
        <f>ROUND(93*1,0)&amp;"%"</f>
      </c>
    </row>
    <row x14ac:dyDescent="0.25" r="249" customHeight="1" ht="17.25">
      <c r="A249" s="20" t="s">
        <v>12149</v>
      </c>
      <c r="B249" s="20" t="s">
        <v>410</v>
      </c>
      <c r="C249" s="20" t="s">
        <v>152</v>
      </c>
      <c r="D249" s="20" t="s">
        <v>34</v>
      </c>
      <c r="E249" s="21">
        <f>ROUND(5105*1.05,2)</f>
      </c>
      <c r="F249" s="20" t="s">
        <v>35</v>
      </c>
      <c r="G249" s="20" t="s">
        <v>18</v>
      </c>
      <c r="H249" s="21">
        <f>ROUND(RAND()*4+6,1)</f>
      </c>
      <c r="I249" s="20" t="s">
        <v>36</v>
      </c>
      <c r="J249" s="23">
        <f>ROUND(61*1,0)&amp;"%"</f>
      </c>
    </row>
    <row x14ac:dyDescent="0.25" r="250" customHeight="1" ht="17.25">
      <c r="A250" s="17" t="s">
        <v>12150</v>
      </c>
      <c r="B250" s="17" t="s">
        <v>412</v>
      </c>
      <c r="C250" s="17" t="s">
        <v>152</v>
      </c>
      <c r="D250" s="17" t="s">
        <v>39</v>
      </c>
      <c r="E250" s="18">
        <f>ROUND(8251*1.05,2)</f>
      </c>
      <c r="F250" s="17" t="s">
        <v>40</v>
      </c>
      <c r="G250" s="17" t="s">
        <v>24</v>
      </c>
      <c r="H250" s="18">
        <f>ROUND(RAND()*4+6,1)</f>
      </c>
      <c r="I250" s="17" t="s">
        <v>41</v>
      </c>
      <c r="J250" s="19">
        <f>ROUND(79*1,0)&amp;"%"</f>
      </c>
    </row>
    <row x14ac:dyDescent="0.25" r="251" customHeight="1" ht="17.25">
      <c r="A251" s="20" t="s">
        <v>12151</v>
      </c>
      <c r="B251" s="20" t="s">
        <v>414</v>
      </c>
      <c r="C251" s="20" t="s">
        <v>152</v>
      </c>
      <c r="D251" s="20" t="s">
        <v>67</v>
      </c>
      <c r="E251" s="22">
        <f>ROUND(9600*1.05,2)</f>
      </c>
      <c r="F251" s="20" t="s">
        <v>44</v>
      </c>
      <c r="G251" s="20" t="s">
        <v>30</v>
      </c>
      <c r="H251" s="21">
        <f>ROUND(RAND()*4+6,1)</f>
      </c>
      <c r="I251" s="20" t="s">
        <v>45</v>
      </c>
      <c r="J251" s="23">
        <f>ROUND(98*1,0)&amp;"%"</f>
      </c>
    </row>
    <row x14ac:dyDescent="0.25" r="252" customHeight="1" ht="17.25">
      <c r="A252" s="17" t="s">
        <v>12152</v>
      </c>
      <c r="B252" s="17" t="s">
        <v>416</v>
      </c>
      <c r="C252" s="17" t="s">
        <v>152</v>
      </c>
      <c r="D252" s="17" t="s">
        <v>16</v>
      </c>
      <c r="E252" s="18">
        <f>ROUND(12995*1.05,2)</f>
      </c>
      <c r="F252" s="17" t="s">
        <v>48</v>
      </c>
      <c r="G252" s="17" t="s">
        <v>18</v>
      </c>
      <c r="H252" s="18">
        <f>ROUND(RAND()*4+6,1)</f>
      </c>
      <c r="I252" s="17" t="s">
        <v>19</v>
      </c>
      <c r="J252" s="19">
        <f>ROUND(72*1,0)&amp;"%"</f>
      </c>
    </row>
    <row x14ac:dyDescent="0.25" r="253" customHeight="1" ht="17.25">
      <c r="A253" s="20" t="s">
        <v>12153</v>
      </c>
      <c r="B253" s="20" t="s">
        <v>418</v>
      </c>
      <c r="C253" s="20" t="s">
        <v>152</v>
      </c>
      <c r="D253" s="20" t="s">
        <v>22</v>
      </c>
      <c r="E253" s="21">
        <f>ROUND(11651*1.05,2)</f>
      </c>
      <c r="F253" s="20" t="s">
        <v>51</v>
      </c>
      <c r="G253" s="20" t="s">
        <v>24</v>
      </c>
      <c r="H253" s="21">
        <f>ROUND(RAND()*4+6,1)</f>
      </c>
      <c r="I253" s="20" t="s">
        <v>25</v>
      </c>
      <c r="J253" s="23">
        <f>ROUND(85*1,0)&amp;"%"</f>
      </c>
    </row>
    <row x14ac:dyDescent="0.25" r="254" customHeight="1" ht="17.25">
      <c r="A254" s="24" t="s">
        <v>419</v>
      </c>
      <c r="B254" s="24"/>
      <c r="C254" s="24"/>
      <c r="D254" s="24"/>
      <c r="E254" s="25">
        <v>8</v>
      </c>
      <c r="F254" s="9"/>
      <c r="G254" s="9"/>
      <c r="H254" s="10"/>
      <c r="I254" s="9"/>
      <c r="J254" s="9"/>
    </row>
    <row x14ac:dyDescent="0.25" r="255" customHeight="1" ht="17.25">
      <c r="A255" s="7"/>
      <c r="B255" s="7"/>
      <c r="C255" s="7"/>
      <c r="D255" s="7"/>
      <c r="E255" s="8"/>
      <c r="F255" s="9"/>
      <c r="G255" s="9"/>
      <c r="H255" s="10"/>
      <c r="I255" s="9"/>
      <c r="J255" s="9"/>
    </row>
    <row x14ac:dyDescent="0.25" r="256" customHeight="1" ht="17.25">
      <c r="A256" s="11" t="s">
        <v>12154</v>
      </c>
      <c r="B256" s="11"/>
      <c r="C256" s="11"/>
      <c r="D256" s="11"/>
      <c r="E256" s="12"/>
      <c r="F256" s="11"/>
      <c r="G256" s="11"/>
      <c r="H256" s="13"/>
      <c r="I256" s="11"/>
      <c r="J256" s="11"/>
    </row>
    <row x14ac:dyDescent="0.25" r="257" customHeight="1" ht="17.25">
      <c r="A257" s="14" t="s">
        <v>3</v>
      </c>
      <c r="B257" s="14" t="s">
        <v>4</v>
      </c>
      <c r="C257" s="14" t="s">
        <v>5</v>
      </c>
      <c r="D257" s="14" t="s">
        <v>6</v>
      </c>
      <c r="E257" s="15" t="s">
        <v>7</v>
      </c>
      <c r="F257" s="14" t="s">
        <v>8</v>
      </c>
      <c r="G257" s="14" t="s">
        <v>9</v>
      </c>
      <c r="H257" s="16" t="s">
        <v>10</v>
      </c>
      <c r="I257" s="14" t="s">
        <v>11</v>
      </c>
      <c r="J257" s="14" t="s">
        <v>12</v>
      </c>
    </row>
    <row x14ac:dyDescent="0.25" r="258" customHeight="1" ht="17.25">
      <c r="A258" s="17" t="s">
        <v>12155</v>
      </c>
      <c r="B258" s="17" t="s">
        <v>422</v>
      </c>
      <c r="C258" s="17" t="s">
        <v>15</v>
      </c>
      <c r="D258" s="17" t="s">
        <v>16</v>
      </c>
      <c r="E258" s="18">
        <f>ROUND(12470*1.05,2)</f>
      </c>
      <c r="F258" s="17" t="s">
        <v>17</v>
      </c>
      <c r="G258" s="17" t="s">
        <v>18</v>
      </c>
      <c r="H258" s="18">
        <f>ROUND(RAND()*4+6,1)</f>
      </c>
      <c r="I258" s="17" t="s">
        <v>19</v>
      </c>
      <c r="J258" s="19">
        <f>ROUND(72*1,0)&amp;"%"</f>
      </c>
    </row>
    <row x14ac:dyDescent="0.25" r="259" customHeight="1" ht="17.25">
      <c r="A259" s="20" t="s">
        <v>12156</v>
      </c>
      <c r="B259" s="20" t="s">
        <v>424</v>
      </c>
      <c r="C259" s="20" t="s">
        <v>15</v>
      </c>
      <c r="D259" s="20" t="s">
        <v>22</v>
      </c>
      <c r="E259" s="21">
        <f>ROUND(16644*1.05,2)</f>
      </c>
      <c r="F259" s="20" t="s">
        <v>23</v>
      </c>
      <c r="G259" s="20" t="s">
        <v>24</v>
      </c>
      <c r="H259" s="21">
        <f>ROUND(RAND()*4+6,1)</f>
      </c>
      <c r="I259" s="20" t="s">
        <v>25</v>
      </c>
      <c r="J259" s="23">
        <f>ROUND(99*1,0)&amp;"%"</f>
      </c>
    </row>
    <row x14ac:dyDescent="0.25" r="260" customHeight="1" ht="17.25">
      <c r="A260" s="17" t="s">
        <v>12157</v>
      </c>
      <c r="B260" s="17" t="s">
        <v>426</v>
      </c>
      <c r="C260" s="17" t="s">
        <v>15</v>
      </c>
      <c r="D260" s="17" t="s">
        <v>28</v>
      </c>
      <c r="E260" s="18">
        <f>ROUND(9363*1.05,2)</f>
      </c>
      <c r="F260" s="17" t="s">
        <v>29</v>
      </c>
      <c r="G260" s="17" t="s">
        <v>30</v>
      </c>
      <c r="H260" s="18">
        <f>ROUND(RAND()*4+6,1)</f>
      </c>
      <c r="I260" s="17" t="s">
        <v>31</v>
      </c>
      <c r="J260" s="19">
        <f>ROUND(76*1,0)&amp;"%"</f>
      </c>
    </row>
    <row x14ac:dyDescent="0.25" r="261" customHeight="1" ht="17.25">
      <c r="A261" s="20" t="s">
        <v>12158</v>
      </c>
      <c r="B261" s="20" t="s">
        <v>428</v>
      </c>
      <c r="C261" s="20" t="s">
        <v>15</v>
      </c>
      <c r="D261" s="20" t="s">
        <v>34</v>
      </c>
      <c r="E261" s="21">
        <f>ROUND(13884*1.05,2)</f>
      </c>
      <c r="F261" s="20" t="s">
        <v>35</v>
      </c>
      <c r="G261" s="20" t="s">
        <v>18</v>
      </c>
      <c r="H261" s="22">
        <f>ROUND(RAND()*4+6,1)</f>
      </c>
      <c r="I261" s="20" t="s">
        <v>36</v>
      </c>
      <c r="J261" s="23">
        <f>ROUND(80*1,0)&amp;"%"</f>
      </c>
    </row>
    <row x14ac:dyDescent="0.25" r="262" customHeight="1" ht="17.25">
      <c r="A262" s="17" t="s">
        <v>12159</v>
      </c>
      <c r="B262" s="17" t="s">
        <v>430</v>
      </c>
      <c r="C262" s="17" t="s">
        <v>15</v>
      </c>
      <c r="D262" s="17" t="s">
        <v>39</v>
      </c>
      <c r="E262" s="18">
        <f>ROUND(11861*1.05,2)</f>
      </c>
      <c r="F262" s="17" t="s">
        <v>40</v>
      </c>
      <c r="G262" s="17" t="s">
        <v>24</v>
      </c>
      <c r="H262" s="18">
        <f>ROUND(RAND()*4+6,1)</f>
      </c>
      <c r="I262" s="17" t="s">
        <v>41</v>
      </c>
      <c r="J262" s="19">
        <f>ROUND(93*1,0)&amp;"%"</f>
      </c>
    </row>
    <row x14ac:dyDescent="0.25" r="263" customHeight="1" ht="17.25">
      <c r="A263" s="20" t="s">
        <v>12160</v>
      </c>
      <c r="B263" s="20" t="s">
        <v>432</v>
      </c>
      <c r="C263" s="20" t="s">
        <v>15</v>
      </c>
      <c r="D263" s="20" t="s">
        <v>67</v>
      </c>
      <c r="E263" s="21">
        <f>ROUND(11387*1.05,2)</f>
      </c>
      <c r="F263" s="20" t="s">
        <v>44</v>
      </c>
      <c r="G263" s="20" t="s">
        <v>30</v>
      </c>
      <c r="H263" s="21">
        <f>ROUND(RAND()*4+6,1)</f>
      </c>
      <c r="I263" s="20" t="s">
        <v>45</v>
      </c>
      <c r="J263" s="23">
        <f>ROUND(76*1,0)&amp;"%"</f>
      </c>
    </row>
    <row x14ac:dyDescent="0.25" r="264" customHeight="1" ht="17.25">
      <c r="A264" s="17" t="s">
        <v>12161</v>
      </c>
      <c r="B264" s="17" t="s">
        <v>434</v>
      </c>
      <c r="C264" s="17" t="s">
        <v>15</v>
      </c>
      <c r="D264" s="17" t="s">
        <v>16</v>
      </c>
      <c r="E264" s="18">
        <f>ROUND(7436*1.05,2)</f>
      </c>
      <c r="F264" s="17" t="s">
        <v>48</v>
      </c>
      <c r="G264" s="17" t="s">
        <v>18</v>
      </c>
      <c r="H264" s="26">
        <f>ROUND(RAND()*4+6,1)</f>
      </c>
      <c r="I264" s="17" t="s">
        <v>19</v>
      </c>
      <c r="J264" s="19">
        <f>ROUND(61*1,0)&amp;"%"</f>
      </c>
    </row>
    <row x14ac:dyDescent="0.25" r="265" customHeight="1" ht="17.25">
      <c r="A265" s="20" t="s">
        <v>12162</v>
      </c>
      <c r="B265" s="20" t="s">
        <v>436</v>
      </c>
      <c r="C265" s="20" t="s">
        <v>15</v>
      </c>
      <c r="D265" s="20" t="s">
        <v>22</v>
      </c>
      <c r="E265" s="21">
        <f>ROUND(12028*1.05,2)</f>
      </c>
      <c r="F265" s="20" t="s">
        <v>51</v>
      </c>
      <c r="G265" s="20" t="s">
        <v>24</v>
      </c>
      <c r="H265" s="21">
        <f>ROUND(RAND()*4+6,1)</f>
      </c>
      <c r="I265" s="20" t="s">
        <v>25</v>
      </c>
      <c r="J265" s="23">
        <f>ROUND(88*1,0)&amp;"%"</f>
      </c>
    </row>
    <row x14ac:dyDescent="0.25" r="266" customHeight="1" ht="17.25">
      <c r="A266" s="24" t="s">
        <v>437</v>
      </c>
      <c r="B266" s="24"/>
      <c r="C266" s="24"/>
      <c r="D266" s="24"/>
      <c r="E266" s="25">
        <v>8</v>
      </c>
      <c r="F266" s="9"/>
      <c r="G266" s="9"/>
      <c r="H266" s="10"/>
      <c r="I266" s="9"/>
      <c r="J266" s="9"/>
    </row>
    <row x14ac:dyDescent="0.25" r="267" customHeight="1" ht="17.25">
      <c r="A267" s="7"/>
      <c r="B267" s="7"/>
      <c r="C267" s="7"/>
      <c r="D267" s="7"/>
      <c r="E267" s="8"/>
      <c r="F267" s="9"/>
      <c r="G267" s="9"/>
      <c r="H267" s="10"/>
      <c r="I267" s="9"/>
      <c r="J267" s="9"/>
    </row>
    <row x14ac:dyDescent="0.25" r="268" customHeight="1" ht="17.25">
      <c r="A268" s="11" t="s">
        <v>12163</v>
      </c>
      <c r="B268" s="11"/>
      <c r="C268" s="11"/>
      <c r="D268" s="11"/>
      <c r="E268" s="12"/>
      <c r="F268" s="11"/>
      <c r="G268" s="11"/>
      <c r="H268" s="13"/>
      <c r="I268" s="11"/>
      <c r="J268" s="11"/>
    </row>
    <row x14ac:dyDescent="0.25" r="269" customHeight="1" ht="17.25">
      <c r="A269" s="14" t="s">
        <v>3</v>
      </c>
      <c r="B269" s="14" t="s">
        <v>4</v>
      </c>
      <c r="C269" s="14" t="s">
        <v>5</v>
      </c>
      <c r="D269" s="14" t="s">
        <v>6</v>
      </c>
      <c r="E269" s="15" t="s">
        <v>7</v>
      </c>
      <c r="F269" s="14" t="s">
        <v>8</v>
      </c>
      <c r="G269" s="14" t="s">
        <v>9</v>
      </c>
      <c r="H269" s="16" t="s">
        <v>10</v>
      </c>
      <c r="I269" s="14" t="s">
        <v>11</v>
      </c>
      <c r="J269" s="14" t="s">
        <v>12</v>
      </c>
    </row>
    <row x14ac:dyDescent="0.25" r="270" customHeight="1" ht="17.25">
      <c r="A270" s="17" t="s">
        <v>12164</v>
      </c>
      <c r="B270" s="17" t="s">
        <v>440</v>
      </c>
      <c r="C270" s="17" t="s">
        <v>56</v>
      </c>
      <c r="D270" s="17" t="s">
        <v>16</v>
      </c>
      <c r="E270" s="18">
        <f>ROUND(17033*1.05,2)</f>
      </c>
      <c r="F270" s="17" t="s">
        <v>17</v>
      </c>
      <c r="G270" s="17" t="s">
        <v>18</v>
      </c>
      <c r="H270" s="18">
        <f>ROUND(RAND()*4+6,1)</f>
      </c>
      <c r="I270" s="17" t="s">
        <v>19</v>
      </c>
      <c r="J270" s="19">
        <f>ROUND(80*1,0)&amp;"%"</f>
      </c>
    </row>
    <row x14ac:dyDescent="0.25" r="271" customHeight="1" ht="17.25">
      <c r="A271" s="20" t="s">
        <v>12165</v>
      </c>
      <c r="B271" s="20" t="s">
        <v>442</v>
      </c>
      <c r="C271" s="20" t="s">
        <v>56</v>
      </c>
      <c r="D271" s="20" t="s">
        <v>22</v>
      </c>
      <c r="E271" s="21">
        <f>ROUND(5563*1.05,2)</f>
      </c>
      <c r="F271" s="20" t="s">
        <v>23</v>
      </c>
      <c r="G271" s="20" t="s">
        <v>24</v>
      </c>
      <c r="H271" s="21">
        <f>ROUND(RAND()*4+6,1)</f>
      </c>
      <c r="I271" s="20" t="s">
        <v>25</v>
      </c>
      <c r="J271" s="23">
        <f>ROUND(70*1,0)&amp;"%"</f>
      </c>
    </row>
    <row x14ac:dyDescent="0.25" r="272" customHeight="1" ht="17.25">
      <c r="A272" s="17" t="s">
        <v>12166</v>
      </c>
      <c r="B272" s="17" t="s">
        <v>444</v>
      </c>
      <c r="C272" s="17" t="s">
        <v>56</v>
      </c>
      <c r="D272" s="17" t="s">
        <v>28</v>
      </c>
      <c r="E272" s="18">
        <f>ROUND(8981*1.05,2)</f>
      </c>
      <c r="F272" s="17" t="s">
        <v>29</v>
      </c>
      <c r="G272" s="17" t="s">
        <v>30</v>
      </c>
      <c r="H272" s="18">
        <f>ROUND(RAND()*4+6,1)</f>
      </c>
      <c r="I272" s="17" t="s">
        <v>31</v>
      </c>
      <c r="J272" s="19">
        <f>ROUND(92*1,0)&amp;"%"</f>
      </c>
    </row>
    <row x14ac:dyDescent="0.25" r="273" customHeight="1" ht="17.25">
      <c r="A273" s="20" t="s">
        <v>12167</v>
      </c>
      <c r="B273" s="20" t="s">
        <v>446</v>
      </c>
      <c r="C273" s="20" t="s">
        <v>56</v>
      </c>
      <c r="D273" s="20" t="s">
        <v>34</v>
      </c>
      <c r="E273" s="21">
        <f>ROUND(10515*1.05,2)</f>
      </c>
      <c r="F273" s="20" t="s">
        <v>35</v>
      </c>
      <c r="G273" s="20" t="s">
        <v>18</v>
      </c>
      <c r="H273" s="21">
        <f>ROUND(RAND()*4+6,1)</f>
      </c>
      <c r="I273" s="20" t="s">
        <v>36</v>
      </c>
      <c r="J273" s="23">
        <f>ROUND(83*1,0)&amp;"%"</f>
      </c>
    </row>
    <row x14ac:dyDescent="0.25" r="274" customHeight="1" ht="17.25">
      <c r="A274" s="17" t="s">
        <v>12168</v>
      </c>
      <c r="B274" s="17" t="s">
        <v>448</v>
      </c>
      <c r="C274" s="17" t="s">
        <v>56</v>
      </c>
      <c r="D274" s="17" t="s">
        <v>39</v>
      </c>
      <c r="E274" s="18">
        <f>ROUND(4934*1.05,2)</f>
      </c>
      <c r="F274" s="17" t="s">
        <v>40</v>
      </c>
      <c r="G274" s="17" t="s">
        <v>24</v>
      </c>
      <c r="H274" s="18">
        <f>ROUND(RAND()*4+6,1)</f>
      </c>
      <c r="I274" s="17" t="s">
        <v>41</v>
      </c>
      <c r="J274" s="19">
        <f>ROUND(95*1,0)&amp;"%"</f>
      </c>
    </row>
    <row x14ac:dyDescent="0.25" r="275" customHeight="1" ht="17.25">
      <c r="A275" s="20" t="s">
        <v>12169</v>
      </c>
      <c r="B275" s="20" t="s">
        <v>450</v>
      </c>
      <c r="C275" s="20" t="s">
        <v>56</v>
      </c>
      <c r="D275" s="20" t="s">
        <v>67</v>
      </c>
      <c r="E275" s="22">
        <f>ROUND(15620*1.05,2)</f>
      </c>
      <c r="F275" s="20" t="s">
        <v>44</v>
      </c>
      <c r="G275" s="20" t="s">
        <v>30</v>
      </c>
      <c r="H275" s="21">
        <f>ROUND(RAND()*4+6,1)</f>
      </c>
      <c r="I275" s="20" t="s">
        <v>45</v>
      </c>
      <c r="J275" s="23">
        <f>ROUND(72*1,0)&amp;"%"</f>
      </c>
    </row>
    <row x14ac:dyDescent="0.25" r="276" customHeight="1" ht="17.25">
      <c r="A276" s="17" t="s">
        <v>12170</v>
      </c>
      <c r="B276" s="17" t="s">
        <v>452</v>
      </c>
      <c r="C276" s="17" t="s">
        <v>56</v>
      </c>
      <c r="D276" s="17" t="s">
        <v>16</v>
      </c>
      <c r="E276" s="18">
        <f>ROUND(5531*1.05,2)</f>
      </c>
      <c r="F276" s="17" t="s">
        <v>48</v>
      </c>
      <c r="G276" s="17" t="s">
        <v>18</v>
      </c>
      <c r="H276" s="18">
        <f>ROUND(RAND()*4+6,1)</f>
      </c>
      <c r="I276" s="17" t="s">
        <v>19</v>
      </c>
      <c r="J276" s="19">
        <f>ROUND(84*1,0)&amp;"%"</f>
      </c>
    </row>
    <row x14ac:dyDescent="0.25" r="277" customHeight="1" ht="17.25">
      <c r="A277" s="20" t="s">
        <v>12171</v>
      </c>
      <c r="B277" s="20" t="s">
        <v>454</v>
      </c>
      <c r="C277" s="20" t="s">
        <v>56</v>
      </c>
      <c r="D277" s="20" t="s">
        <v>22</v>
      </c>
      <c r="E277" s="21">
        <f>ROUND(5082*1.05,2)</f>
      </c>
      <c r="F277" s="20" t="s">
        <v>51</v>
      </c>
      <c r="G277" s="20" t="s">
        <v>24</v>
      </c>
      <c r="H277" s="21">
        <f>ROUND(RAND()*4+6,1)</f>
      </c>
      <c r="I277" s="20" t="s">
        <v>25</v>
      </c>
      <c r="J277" s="23">
        <f>ROUND(63*1,0)&amp;"%"</f>
      </c>
    </row>
    <row x14ac:dyDescent="0.25" r="278" customHeight="1" ht="17.25">
      <c r="A278" s="24" t="s">
        <v>455</v>
      </c>
      <c r="B278" s="24"/>
      <c r="C278" s="24"/>
      <c r="D278" s="24"/>
      <c r="E278" s="25">
        <v>8</v>
      </c>
      <c r="F278" s="9"/>
      <c r="G278" s="9"/>
      <c r="H278" s="10"/>
      <c r="I278" s="9"/>
      <c r="J278" s="9"/>
    </row>
    <row x14ac:dyDescent="0.25" r="279" customHeight="1" ht="17.25">
      <c r="A279" s="7"/>
      <c r="B279" s="7"/>
      <c r="C279" s="7"/>
      <c r="D279" s="7"/>
      <c r="E279" s="8"/>
      <c r="F279" s="9"/>
      <c r="G279" s="9"/>
      <c r="H279" s="10"/>
      <c r="I279" s="9"/>
      <c r="J279" s="9"/>
    </row>
    <row x14ac:dyDescent="0.25" r="280" customHeight="1" ht="17.25">
      <c r="A280" s="11" t="s">
        <v>12172</v>
      </c>
      <c r="B280" s="11"/>
      <c r="C280" s="11"/>
      <c r="D280" s="11"/>
      <c r="E280" s="12"/>
      <c r="F280" s="11"/>
      <c r="G280" s="11"/>
      <c r="H280" s="13"/>
      <c r="I280" s="11"/>
      <c r="J280" s="11"/>
    </row>
    <row x14ac:dyDescent="0.25" r="281" customHeight="1" ht="17.25">
      <c r="A281" s="14" t="s">
        <v>3</v>
      </c>
      <c r="B281" s="14" t="s">
        <v>4</v>
      </c>
      <c r="C281" s="14" t="s">
        <v>5</v>
      </c>
      <c r="D281" s="14" t="s">
        <v>6</v>
      </c>
      <c r="E281" s="15" t="s">
        <v>7</v>
      </c>
      <c r="F281" s="14" t="s">
        <v>8</v>
      </c>
      <c r="G281" s="14" t="s">
        <v>9</v>
      </c>
      <c r="H281" s="16" t="s">
        <v>10</v>
      </c>
      <c r="I281" s="14" t="s">
        <v>11</v>
      </c>
      <c r="J281" s="14" t="s">
        <v>12</v>
      </c>
    </row>
    <row x14ac:dyDescent="0.25" r="282" customHeight="1" ht="17.25">
      <c r="A282" s="17" t="s">
        <v>12173</v>
      </c>
      <c r="B282" s="17" t="s">
        <v>458</v>
      </c>
      <c r="C282" s="17" t="s">
        <v>76</v>
      </c>
      <c r="D282" s="17" t="s">
        <v>16</v>
      </c>
      <c r="E282" s="18">
        <f>ROUND(17606*1.05,2)</f>
      </c>
      <c r="F282" s="17" t="s">
        <v>17</v>
      </c>
      <c r="G282" s="17" t="s">
        <v>18</v>
      </c>
      <c r="H282" s="18">
        <f>ROUND(RAND()*4+6,1)</f>
      </c>
      <c r="I282" s="17" t="s">
        <v>19</v>
      </c>
      <c r="J282" s="19">
        <f>ROUND(82*1,0)&amp;"%"</f>
      </c>
    </row>
    <row x14ac:dyDescent="0.25" r="283" customHeight="1" ht="17.25">
      <c r="A283" s="20" t="s">
        <v>12174</v>
      </c>
      <c r="B283" s="20" t="s">
        <v>460</v>
      </c>
      <c r="C283" s="20" t="s">
        <v>76</v>
      </c>
      <c r="D283" s="20" t="s">
        <v>22</v>
      </c>
      <c r="E283" s="21">
        <f>ROUND(14684*1.05,2)</f>
      </c>
      <c r="F283" s="20" t="s">
        <v>23</v>
      </c>
      <c r="G283" s="20" t="s">
        <v>24</v>
      </c>
      <c r="H283" s="21">
        <f>ROUND(RAND()*4+6,1)</f>
      </c>
      <c r="I283" s="20" t="s">
        <v>25</v>
      </c>
      <c r="J283" s="23">
        <f>ROUND(91*1,0)&amp;"%"</f>
      </c>
    </row>
    <row x14ac:dyDescent="0.25" r="284" customHeight="1" ht="17.25">
      <c r="A284" s="17" t="s">
        <v>12175</v>
      </c>
      <c r="B284" s="17" t="s">
        <v>462</v>
      </c>
      <c r="C284" s="17" t="s">
        <v>76</v>
      </c>
      <c r="D284" s="17" t="s">
        <v>28</v>
      </c>
      <c r="E284" s="18">
        <f>ROUND(5341*1.05,2)</f>
      </c>
      <c r="F284" s="17" t="s">
        <v>29</v>
      </c>
      <c r="G284" s="17" t="s">
        <v>30</v>
      </c>
      <c r="H284" s="18">
        <f>ROUND(RAND()*4+6,1)</f>
      </c>
      <c r="I284" s="17" t="s">
        <v>31</v>
      </c>
      <c r="J284" s="19">
        <f>ROUND(69*1,0)&amp;"%"</f>
      </c>
    </row>
    <row x14ac:dyDescent="0.25" r="285" customHeight="1" ht="17.25">
      <c r="A285" s="20" t="s">
        <v>12176</v>
      </c>
      <c r="B285" s="20" t="s">
        <v>464</v>
      </c>
      <c r="C285" s="20" t="s">
        <v>76</v>
      </c>
      <c r="D285" s="20" t="s">
        <v>34</v>
      </c>
      <c r="E285" s="21">
        <f>ROUND(15704*1.05,2)</f>
      </c>
      <c r="F285" s="20" t="s">
        <v>35</v>
      </c>
      <c r="G285" s="20" t="s">
        <v>18</v>
      </c>
      <c r="H285" s="21">
        <f>ROUND(RAND()*4+6,1)</f>
      </c>
      <c r="I285" s="20" t="s">
        <v>36</v>
      </c>
      <c r="J285" s="23">
        <f>ROUND(75*1,0)&amp;"%"</f>
      </c>
    </row>
    <row x14ac:dyDescent="0.25" r="286" customHeight="1" ht="17.25">
      <c r="A286" s="17" t="s">
        <v>12177</v>
      </c>
      <c r="B286" s="17" t="s">
        <v>466</v>
      </c>
      <c r="C286" s="17" t="s">
        <v>76</v>
      </c>
      <c r="D286" s="17" t="s">
        <v>39</v>
      </c>
      <c r="E286" s="18">
        <f>ROUND(4061*1.05,2)</f>
      </c>
      <c r="F286" s="17" t="s">
        <v>40</v>
      </c>
      <c r="G286" s="17" t="s">
        <v>24</v>
      </c>
      <c r="H286" s="18">
        <f>ROUND(RAND()*4+6,1)</f>
      </c>
      <c r="I286" s="17" t="s">
        <v>41</v>
      </c>
      <c r="J286" s="19">
        <f>ROUND(92*1,0)&amp;"%"</f>
      </c>
    </row>
    <row x14ac:dyDescent="0.25" r="287" customHeight="1" ht="17.25">
      <c r="A287" s="20" t="s">
        <v>12178</v>
      </c>
      <c r="B287" s="20" t="s">
        <v>468</v>
      </c>
      <c r="C287" s="20" t="s">
        <v>76</v>
      </c>
      <c r="D287" s="20" t="s">
        <v>67</v>
      </c>
      <c r="E287" s="21">
        <f>ROUND(9274*1.05,2)</f>
      </c>
      <c r="F287" s="20" t="s">
        <v>44</v>
      </c>
      <c r="G287" s="20" t="s">
        <v>30</v>
      </c>
      <c r="H287" s="21">
        <f>ROUND(RAND()*4+6,1)</f>
      </c>
      <c r="I287" s="20" t="s">
        <v>45</v>
      </c>
      <c r="J287" s="23">
        <f>ROUND(71*1,0)&amp;"%"</f>
      </c>
    </row>
    <row x14ac:dyDescent="0.25" r="288" customHeight="1" ht="17.25">
      <c r="A288" s="17" t="s">
        <v>12179</v>
      </c>
      <c r="B288" s="17" t="s">
        <v>470</v>
      </c>
      <c r="C288" s="17" t="s">
        <v>76</v>
      </c>
      <c r="D288" s="17" t="s">
        <v>16</v>
      </c>
      <c r="E288" s="18">
        <f>ROUND(13819*1.05,2)</f>
      </c>
      <c r="F288" s="17" t="s">
        <v>48</v>
      </c>
      <c r="G288" s="17" t="s">
        <v>18</v>
      </c>
      <c r="H288" s="18">
        <f>ROUND(RAND()*4+6,1)</f>
      </c>
      <c r="I288" s="17" t="s">
        <v>19</v>
      </c>
      <c r="J288" s="19">
        <f>ROUND(85*1,0)&amp;"%"</f>
      </c>
    </row>
    <row x14ac:dyDescent="0.25" r="289" customHeight="1" ht="17.25">
      <c r="A289" s="20" t="s">
        <v>12180</v>
      </c>
      <c r="B289" s="20" t="s">
        <v>472</v>
      </c>
      <c r="C289" s="20" t="s">
        <v>76</v>
      </c>
      <c r="D289" s="20" t="s">
        <v>22</v>
      </c>
      <c r="E289" s="21">
        <f>ROUND(10647*1.05,2)</f>
      </c>
      <c r="F289" s="20" t="s">
        <v>51</v>
      </c>
      <c r="G289" s="20" t="s">
        <v>24</v>
      </c>
      <c r="H289" s="21">
        <f>ROUND(RAND()*4+6,1)</f>
      </c>
      <c r="I289" s="20" t="s">
        <v>25</v>
      </c>
      <c r="J289" s="23">
        <f>ROUND(77*1,0)&amp;"%"</f>
      </c>
    </row>
    <row x14ac:dyDescent="0.25" r="290" customHeight="1" ht="17.25">
      <c r="A290" s="24" t="s">
        <v>473</v>
      </c>
      <c r="B290" s="24"/>
      <c r="C290" s="24"/>
      <c r="D290" s="24"/>
      <c r="E290" s="25">
        <v>8</v>
      </c>
      <c r="F290" s="9"/>
      <c r="G290" s="9"/>
      <c r="H290" s="10"/>
      <c r="I290" s="9"/>
      <c r="J290" s="9"/>
    </row>
    <row x14ac:dyDescent="0.25" r="291" customHeight="1" ht="17.25">
      <c r="A291" s="7"/>
      <c r="B291" s="7"/>
      <c r="C291" s="7"/>
      <c r="D291" s="7"/>
      <c r="E291" s="8"/>
      <c r="F291" s="9"/>
      <c r="G291" s="9"/>
      <c r="H291" s="10"/>
      <c r="I291" s="9"/>
      <c r="J291" s="9"/>
    </row>
    <row x14ac:dyDescent="0.25" r="292" customHeight="1" ht="17.25">
      <c r="A292" s="11" t="s">
        <v>12181</v>
      </c>
      <c r="B292" s="11"/>
      <c r="C292" s="11"/>
      <c r="D292" s="11"/>
      <c r="E292" s="12"/>
      <c r="F292" s="11"/>
      <c r="G292" s="11"/>
      <c r="H292" s="13"/>
      <c r="I292" s="11"/>
      <c r="J292" s="11"/>
    </row>
    <row x14ac:dyDescent="0.25" r="293" customHeight="1" ht="17.25">
      <c r="A293" s="14" t="s">
        <v>3</v>
      </c>
      <c r="B293" s="14" t="s">
        <v>4</v>
      </c>
      <c r="C293" s="14" t="s">
        <v>5</v>
      </c>
      <c r="D293" s="14" t="s">
        <v>6</v>
      </c>
      <c r="E293" s="15" t="s">
        <v>7</v>
      </c>
      <c r="F293" s="14" t="s">
        <v>8</v>
      </c>
      <c r="G293" s="14" t="s">
        <v>9</v>
      </c>
      <c r="H293" s="16" t="s">
        <v>10</v>
      </c>
      <c r="I293" s="14" t="s">
        <v>11</v>
      </c>
      <c r="J293" s="14" t="s">
        <v>12</v>
      </c>
    </row>
    <row x14ac:dyDescent="0.25" r="294" customHeight="1" ht="17.25">
      <c r="A294" s="17" t="s">
        <v>12182</v>
      </c>
      <c r="B294" s="17" t="s">
        <v>476</v>
      </c>
      <c r="C294" s="17" t="s">
        <v>95</v>
      </c>
      <c r="D294" s="17" t="s">
        <v>16</v>
      </c>
      <c r="E294" s="26">
        <f>ROUND(17060*1.05,2)</f>
      </c>
      <c r="F294" s="17" t="s">
        <v>17</v>
      </c>
      <c r="G294" s="17" t="s">
        <v>18</v>
      </c>
      <c r="H294" s="18">
        <f>ROUND(RAND()*4+6,1)</f>
      </c>
      <c r="I294" s="17" t="s">
        <v>19</v>
      </c>
      <c r="J294" s="19">
        <f>ROUND(89*1,0)&amp;"%"</f>
      </c>
    </row>
    <row x14ac:dyDescent="0.25" r="295" customHeight="1" ht="17.25">
      <c r="A295" s="20" t="s">
        <v>12183</v>
      </c>
      <c r="B295" s="20" t="s">
        <v>478</v>
      </c>
      <c r="C295" s="20" t="s">
        <v>95</v>
      </c>
      <c r="D295" s="20" t="s">
        <v>22</v>
      </c>
      <c r="E295" s="21">
        <f>ROUND(4255*1.05,2)</f>
      </c>
      <c r="F295" s="20" t="s">
        <v>23</v>
      </c>
      <c r="G295" s="20" t="s">
        <v>24</v>
      </c>
      <c r="H295" s="21">
        <f>ROUND(RAND()*4+6,1)</f>
      </c>
      <c r="I295" s="20" t="s">
        <v>25</v>
      </c>
      <c r="J295" s="23">
        <f>ROUND(96*1,0)&amp;"%"</f>
      </c>
    </row>
    <row x14ac:dyDescent="0.25" r="296" customHeight="1" ht="17.25">
      <c r="A296" s="17" t="s">
        <v>12184</v>
      </c>
      <c r="B296" s="17" t="s">
        <v>480</v>
      </c>
      <c r="C296" s="17" t="s">
        <v>95</v>
      </c>
      <c r="D296" s="17" t="s">
        <v>28</v>
      </c>
      <c r="E296" s="18">
        <f>ROUND(9294*1.05,2)</f>
      </c>
      <c r="F296" s="17" t="s">
        <v>29</v>
      </c>
      <c r="G296" s="17" t="s">
        <v>30</v>
      </c>
      <c r="H296" s="18">
        <f>ROUND(RAND()*4+6,1)</f>
      </c>
      <c r="I296" s="17" t="s">
        <v>31</v>
      </c>
      <c r="J296" s="19">
        <f>ROUND(77*1,0)&amp;"%"</f>
      </c>
    </row>
    <row x14ac:dyDescent="0.25" r="297" customHeight="1" ht="17.25">
      <c r="A297" s="20" t="s">
        <v>12185</v>
      </c>
      <c r="B297" s="20" t="s">
        <v>482</v>
      </c>
      <c r="C297" s="20" t="s">
        <v>95</v>
      </c>
      <c r="D297" s="20" t="s">
        <v>34</v>
      </c>
      <c r="E297" s="21">
        <f>ROUND(15487*1.05,2)</f>
      </c>
      <c r="F297" s="20" t="s">
        <v>35</v>
      </c>
      <c r="G297" s="20" t="s">
        <v>18</v>
      </c>
      <c r="H297" s="21">
        <f>ROUND(RAND()*4+6,1)</f>
      </c>
      <c r="I297" s="20" t="s">
        <v>36</v>
      </c>
      <c r="J297" s="23">
        <f>ROUND(81*1,0)&amp;"%"</f>
      </c>
    </row>
    <row x14ac:dyDescent="0.25" r="298" customHeight="1" ht="17.25">
      <c r="A298" s="17" t="s">
        <v>12186</v>
      </c>
      <c r="B298" s="17" t="s">
        <v>484</v>
      </c>
      <c r="C298" s="17" t="s">
        <v>95</v>
      </c>
      <c r="D298" s="17" t="s">
        <v>39</v>
      </c>
      <c r="E298" s="18">
        <f>ROUND(5863*1.05,2)</f>
      </c>
      <c r="F298" s="17" t="s">
        <v>40</v>
      </c>
      <c r="G298" s="17" t="s">
        <v>24</v>
      </c>
      <c r="H298" s="18">
        <f>ROUND(RAND()*4+6,1)</f>
      </c>
      <c r="I298" s="17" t="s">
        <v>41</v>
      </c>
      <c r="J298" s="19">
        <f>ROUND(65*1,0)&amp;"%"</f>
      </c>
    </row>
    <row x14ac:dyDescent="0.25" r="299" customHeight="1" ht="17.25">
      <c r="A299" s="20" t="s">
        <v>12187</v>
      </c>
      <c r="B299" s="20" t="s">
        <v>486</v>
      </c>
      <c r="C299" s="20" t="s">
        <v>95</v>
      </c>
      <c r="D299" s="20" t="s">
        <v>67</v>
      </c>
      <c r="E299" s="21">
        <f>ROUND(16128*1.05,2)</f>
      </c>
      <c r="F299" s="20" t="s">
        <v>44</v>
      </c>
      <c r="G299" s="20" t="s">
        <v>30</v>
      </c>
      <c r="H299" s="21">
        <f>ROUND(RAND()*4+6,1)</f>
      </c>
      <c r="I299" s="20" t="s">
        <v>45</v>
      </c>
      <c r="J299" s="23">
        <f>ROUND(79*1,0)&amp;"%"</f>
      </c>
    </row>
    <row x14ac:dyDescent="0.25" r="300" customHeight="1" ht="17.25">
      <c r="A300" s="17" t="s">
        <v>12188</v>
      </c>
      <c r="B300" s="17" t="s">
        <v>488</v>
      </c>
      <c r="C300" s="17" t="s">
        <v>95</v>
      </c>
      <c r="D300" s="17" t="s">
        <v>16</v>
      </c>
      <c r="E300" s="18">
        <f>ROUND(10903*1.05,2)</f>
      </c>
      <c r="F300" s="17" t="s">
        <v>48</v>
      </c>
      <c r="G300" s="17" t="s">
        <v>18</v>
      </c>
      <c r="H300" s="18">
        <f>ROUND(RAND()*4+6,1)</f>
      </c>
      <c r="I300" s="17" t="s">
        <v>19</v>
      </c>
      <c r="J300" s="19">
        <f>ROUND(82*1,0)&amp;"%"</f>
      </c>
    </row>
    <row x14ac:dyDescent="0.25" r="301" customHeight="1" ht="17.25">
      <c r="A301" s="20" t="s">
        <v>12189</v>
      </c>
      <c r="B301" s="20" t="s">
        <v>490</v>
      </c>
      <c r="C301" s="20" t="s">
        <v>95</v>
      </c>
      <c r="D301" s="20" t="s">
        <v>22</v>
      </c>
      <c r="E301" s="21">
        <f>ROUND(17808*1.05,2)</f>
      </c>
      <c r="F301" s="20" t="s">
        <v>51</v>
      </c>
      <c r="G301" s="20" t="s">
        <v>24</v>
      </c>
      <c r="H301" s="21">
        <f>ROUND(RAND()*4+6,1)</f>
      </c>
      <c r="I301" s="20" t="s">
        <v>25</v>
      </c>
      <c r="J301" s="23">
        <f>ROUND(64*1,0)&amp;"%"</f>
      </c>
    </row>
    <row x14ac:dyDescent="0.25" r="302" customHeight="1" ht="17.25">
      <c r="A302" s="24" t="s">
        <v>491</v>
      </c>
      <c r="B302" s="24"/>
      <c r="C302" s="24"/>
      <c r="D302" s="24"/>
      <c r="E302" s="25">
        <v>8</v>
      </c>
      <c r="F302" s="9"/>
      <c r="G302" s="9"/>
      <c r="H302" s="10"/>
      <c r="I302" s="9"/>
      <c r="J302" s="9"/>
    </row>
    <row x14ac:dyDescent="0.25" r="303" customHeight="1" ht="17.25">
      <c r="A303" s="7"/>
      <c r="B303" s="7"/>
      <c r="C303" s="7"/>
      <c r="D303" s="7"/>
      <c r="E303" s="8"/>
      <c r="F303" s="9"/>
      <c r="G303" s="9"/>
      <c r="H303" s="10"/>
      <c r="I303" s="9"/>
      <c r="J303" s="9"/>
    </row>
    <row x14ac:dyDescent="0.25" r="304" customHeight="1" ht="17.25">
      <c r="A304" s="11" t="s">
        <v>12190</v>
      </c>
      <c r="B304" s="11"/>
      <c r="C304" s="11"/>
      <c r="D304" s="11"/>
      <c r="E304" s="12"/>
      <c r="F304" s="11"/>
      <c r="G304" s="11"/>
      <c r="H304" s="13"/>
      <c r="I304" s="11"/>
      <c r="J304" s="11"/>
    </row>
    <row x14ac:dyDescent="0.25" r="305" customHeight="1" ht="17.25">
      <c r="A305" s="14" t="s">
        <v>3</v>
      </c>
      <c r="B305" s="14" t="s">
        <v>4</v>
      </c>
      <c r="C305" s="14" t="s">
        <v>5</v>
      </c>
      <c r="D305" s="14" t="s">
        <v>6</v>
      </c>
      <c r="E305" s="15" t="s">
        <v>7</v>
      </c>
      <c r="F305" s="14" t="s">
        <v>8</v>
      </c>
      <c r="G305" s="14" t="s">
        <v>9</v>
      </c>
      <c r="H305" s="16" t="s">
        <v>10</v>
      </c>
      <c r="I305" s="14" t="s">
        <v>11</v>
      </c>
      <c r="J305" s="14" t="s">
        <v>12</v>
      </c>
    </row>
    <row x14ac:dyDescent="0.25" r="306" customHeight="1" ht="17.25">
      <c r="A306" s="17" t="s">
        <v>12191</v>
      </c>
      <c r="B306" s="17" t="s">
        <v>494</v>
      </c>
      <c r="C306" s="17" t="s">
        <v>114</v>
      </c>
      <c r="D306" s="17" t="s">
        <v>16</v>
      </c>
      <c r="E306" s="18">
        <f>ROUND(15577*1.05,2)</f>
      </c>
      <c r="F306" s="17" t="s">
        <v>17</v>
      </c>
      <c r="G306" s="17" t="s">
        <v>18</v>
      </c>
      <c r="H306" s="18">
        <f>ROUND(RAND()*4+6,1)</f>
      </c>
      <c r="I306" s="17" t="s">
        <v>19</v>
      </c>
      <c r="J306" s="19">
        <f>ROUND(64*1,0)&amp;"%"</f>
      </c>
    </row>
    <row x14ac:dyDescent="0.25" r="307" customHeight="1" ht="17.25">
      <c r="A307" s="20" t="s">
        <v>12192</v>
      </c>
      <c r="B307" s="20" t="s">
        <v>496</v>
      </c>
      <c r="C307" s="20" t="s">
        <v>114</v>
      </c>
      <c r="D307" s="20" t="s">
        <v>22</v>
      </c>
      <c r="E307" s="21">
        <f>ROUND(5724*1.05,2)</f>
      </c>
      <c r="F307" s="20" t="s">
        <v>23</v>
      </c>
      <c r="G307" s="20" t="s">
        <v>24</v>
      </c>
      <c r="H307" s="21">
        <f>ROUND(RAND()*4+6,1)</f>
      </c>
      <c r="I307" s="20" t="s">
        <v>25</v>
      </c>
      <c r="J307" s="23">
        <f>ROUND(68*1,0)&amp;"%"</f>
      </c>
    </row>
    <row x14ac:dyDescent="0.25" r="308" customHeight="1" ht="17.25">
      <c r="A308" s="17" t="s">
        <v>12193</v>
      </c>
      <c r="B308" s="17" t="s">
        <v>498</v>
      </c>
      <c r="C308" s="17" t="s">
        <v>114</v>
      </c>
      <c r="D308" s="17" t="s">
        <v>28</v>
      </c>
      <c r="E308" s="18">
        <f>ROUND(5006*1.05,2)</f>
      </c>
      <c r="F308" s="17" t="s">
        <v>29</v>
      </c>
      <c r="G308" s="17" t="s">
        <v>30</v>
      </c>
      <c r="H308" s="18">
        <f>ROUND(RAND()*4+6,1)</f>
      </c>
      <c r="I308" s="17" t="s">
        <v>31</v>
      </c>
      <c r="J308" s="19">
        <f>ROUND(60*1,0)&amp;"%"</f>
      </c>
    </row>
    <row x14ac:dyDescent="0.25" r="309" customHeight="1" ht="17.25">
      <c r="A309" s="20" t="s">
        <v>12194</v>
      </c>
      <c r="B309" s="20" t="s">
        <v>500</v>
      </c>
      <c r="C309" s="20" t="s">
        <v>114</v>
      </c>
      <c r="D309" s="20" t="s">
        <v>34</v>
      </c>
      <c r="E309" s="21">
        <f>ROUND(12787*1.05,2)</f>
      </c>
      <c r="F309" s="20" t="s">
        <v>35</v>
      </c>
      <c r="G309" s="20" t="s">
        <v>18</v>
      </c>
      <c r="H309" s="21">
        <f>ROUND(RAND()*4+6,1)</f>
      </c>
      <c r="I309" s="20" t="s">
        <v>36</v>
      </c>
      <c r="J309" s="23">
        <f>ROUND(98*1,0)&amp;"%"</f>
      </c>
    </row>
    <row x14ac:dyDescent="0.25" r="310" customHeight="1" ht="17.25">
      <c r="A310" s="17" t="s">
        <v>12195</v>
      </c>
      <c r="B310" s="17" t="s">
        <v>502</v>
      </c>
      <c r="C310" s="17" t="s">
        <v>114</v>
      </c>
      <c r="D310" s="17" t="s">
        <v>39</v>
      </c>
      <c r="E310" s="18">
        <f>ROUND(12161*1.05,2)</f>
      </c>
      <c r="F310" s="17" t="s">
        <v>40</v>
      </c>
      <c r="G310" s="17" t="s">
        <v>24</v>
      </c>
      <c r="H310" s="26">
        <f>ROUND(RAND()*4+6,1)</f>
      </c>
      <c r="I310" s="17" t="s">
        <v>41</v>
      </c>
      <c r="J310" s="19">
        <f>ROUND(78*1,0)&amp;"%"</f>
      </c>
    </row>
    <row x14ac:dyDescent="0.25" r="311" customHeight="1" ht="17.25">
      <c r="A311" s="20" t="s">
        <v>12196</v>
      </c>
      <c r="B311" s="20" t="s">
        <v>504</v>
      </c>
      <c r="C311" s="20" t="s">
        <v>114</v>
      </c>
      <c r="D311" s="20" t="s">
        <v>67</v>
      </c>
      <c r="E311" s="21">
        <f>ROUND(4905*1.05,2)</f>
      </c>
      <c r="F311" s="20" t="s">
        <v>44</v>
      </c>
      <c r="G311" s="20" t="s">
        <v>30</v>
      </c>
      <c r="H311" s="21">
        <f>ROUND(RAND()*4+6,1)</f>
      </c>
      <c r="I311" s="20" t="s">
        <v>45</v>
      </c>
      <c r="J311" s="23">
        <f>ROUND(67*1,0)&amp;"%"</f>
      </c>
    </row>
    <row x14ac:dyDescent="0.25" r="312" customHeight="1" ht="17.25">
      <c r="A312" s="17" t="s">
        <v>12197</v>
      </c>
      <c r="B312" s="17" t="s">
        <v>506</v>
      </c>
      <c r="C312" s="17" t="s">
        <v>114</v>
      </c>
      <c r="D312" s="17" t="s">
        <v>16</v>
      </c>
      <c r="E312" s="18">
        <f>ROUND(14576*1.05,2)</f>
      </c>
      <c r="F312" s="17" t="s">
        <v>48</v>
      </c>
      <c r="G312" s="17" t="s">
        <v>18</v>
      </c>
      <c r="H312" s="18">
        <f>ROUND(RAND()*4+6,1)</f>
      </c>
      <c r="I312" s="17" t="s">
        <v>19</v>
      </c>
      <c r="J312" s="19">
        <f>ROUND(78*1,0)&amp;"%"</f>
      </c>
    </row>
    <row x14ac:dyDescent="0.25" r="313" customHeight="1" ht="17.25">
      <c r="A313" s="20" t="s">
        <v>12198</v>
      </c>
      <c r="B313" s="20" t="s">
        <v>508</v>
      </c>
      <c r="C313" s="20" t="s">
        <v>114</v>
      </c>
      <c r="D313" s="20" t="s">
        <v>22</v>
      </c>
      <c r="E313" s="21">
        <f>ROUND(16566*1.05,2)</f>
      </c>
      <c r="F313" s="20" t="s">
        <v>51</v>
      </c>
      <c r="G313" s="20" t="s">
        <v>24</v>
      </c>
      <c r="H313" s="21">
        <f>ROUND(RAND()*4+6,1)</f>
      </c>
      <c r="I313" s="20" t="s">
        <v>25</v>
      </c>
      <c r="J313" s="23">
        <f>ROUND(72*1,0)&amp;"%"</f>
      </c>
    </row>
    <row x14ac:dyDescent="0.25" r="314" customHeight="1" ht="17.25">
      <c r="A314" s="24" t="s">
        <v>509</v>
      </c>
      <c r="B314" s="24"/>
      <c r="C314" s="24"/>
      <c r="D314" s="24"/>
      <c r="E314" s="25">
        <v>8</v>
      </c>
      <c r="F314" s="9"/>
      <c r="G314" s="9"/>
      <c r="H314" s="10"/>
      <c r="I314" s="9"/>
      <c r="J314" s="9"/>
    </row>
    <row x14ac:dyDescent="0.25" r="315" customHeight="1" ht="17.25">
      <c r="A315" s="7"/>
      <c r="B315" s="7"/>
      <c r="C315" s="7"/>
      <c r="D315" s="7"/>
      <c r="E315" s="8"/>
      <c r="F315" s="9"/>
      <c r="G315" s="9"/>
      <c r="H315" s="10"/>
      <c r="I315" s="9"/>
      <c r="J315" s="9"/>
    </row>
    <row x14ac:dyDescent="0.25" r="316" customHeight="1" ht="17.25">
      <c r="A316" s="11" t="s">
        <v>12199</v>
      </c>
      <c r="B316" s="11"/>
      <c r="C316" s="11"/>
      <c r="D316" s="11"/>
      <c r="E316" s="12"/>
      <c r="F316" s="11"/>
      <c r="G316" s="11"/>
      <c r="H316" s="13"/>
      <c r="I316" s="11"/>
      <c r="J316" s="11"/>
    </row>
    <row x14ac:dyDescent="0.25" r="317" customHeight="1" ht="17.25">
      <c r="A317" s="14" t="s">
        <v>3</v>
      </c>
      <c r="B317" s="14" t="s">
        <v>4</v>
      </c>
      <c r="C317" s="14" t="s">
        <v>5</v>
      </c>
      <c r="D317" s="14" t="s">
        <v>6</v>
      </c>
      <c r="E317" s="15" t="s">
        <v>7</v>
      </c>
      <c r="F317" s="14" t="s">
        <v>8</v>
      </c>
      <c r="G317" s="14" t="s">
        <v>9</v>
      </c>
      <c r="H317" s="16" t="s">
        <v>10</v>
      </c>
      <c r="I317" s="14" t="s">
        <v>11</v>
      </c>
      <c r="J317" s="14" t="s">
        <v>12</v>
      </c>
    </row>
    <row x14ac:dyDescent="0.25" r="318" customHeight="1" ht="17.25">
      <c r="A318" s="17" t="s">
        <v>12200</v>
      </c>
      <c r="B318" s="17" t="s">
        <v>512</v>
      </c>
      <c r="C318" s="17" t="s">
        <v>133</v>
      </c>
      <c r="D318" s="17" t="s">
        <v>16</v>
      </c>
      <c r="E318" s="18">
        <f>ROUND(9074*1.05,2)</f>
      </c>
      <c r="F318" s="17" t="s">
        <v>17</v>
      </c>
      <c r="G318" s="17" t="s">
        <v>18</v>
      </c>
      <c r="H318" s="18">
        <f>ROUND(RAND()*4+6,1)</f>
      </c>
      <c r="I318" s="17" t="s">
        <v>19</v>
      </c>
      <c r="J318" s="19">
        <f>ROUND(73*1,0)&amp;"%"</f>
      </c>
    </row>
    <row x14ac:dyDescent="0.25" r="319" customHeight="1" ht="17.25">
      <c r="A319" s="20" t="s">
        <v>12201</v>
      </c>
      <c r="B319" s="20" t="s">
        <v>514</v>
      </c>
      <c r="C319" s="20" t="s">
        <v>133</v>
      </c>
      <c r="D319" s="20" t="s">
        <v>22</v>
      </c>
      <c r="E319" s="21">
        <f>ROUND(9242*1.05,2)</f>
      </c>
      <c r="F319" s="20" t="s">
        <v>23</v>
      </c>
      <c r="G319" s="20" t="s">
        <v>24</v>
      </c>
      <c r="H319" s="21">
        <f>ROUND(RAND()*4+6,1)</f>
      </c>
      <c r="I319" s="20" t="s">
        <v>25</v>
      </c>
      <c r="J319" s="23">
        <f>ROUND(62*1,0)&amp;"%"</f>
      </c>
    </row>
    <row x14ac:dyDescent="0.25" r="320" customHeight="1" ht="17.25">
      <c r="A320" s="17" t="s">
        <v>12202</v>
      </c>
      <c r="B320" s="17" t="s">
        <v>516</v>
      </c>
      <c r="C320" s="17" t="s">
        <v>133</v>
      </c>
      <c r="D320" s="17" t="s">
        <v>28</v>
      </c>
      <c r="E320" s="18">
        <f>ROUND(10717*1.05,2)</f>
      </c>
      <c r="F320" s="17" t="s">
        <v>29</v>
      </c>
      <c r="G320" s="17" t="s">
        <v>30</v>
      </c>
      <c r="H320" s="18">
        <f>ROUND(RAND()*4+6,1)</f>
      </c>
      <c r="I320" s="17" t="s">
        <v>31</v>
      </c>
      <c r="J320" s="19">
        <f>ROUND(85*1,0)&amp;"%"</f>
      </c>
    </row>
    <row x14ac:dyDescent="0.25" r="321" customHeight="1" ht="17.25">
      <c r="A321" s="20" t="s">
        <v>12203</v>
      </c>
      <c r="B321" s="20" t="s">
        <v>518</v>
      </c>
      <c r="C321" s="20" t="s">
        <v>133</v>
      </c>
      <c r="D321" s="20" t="s">
        <v>34</v>
      </c>
      <c r="E321" s="21">
        <f>ROUND(4044*1.05,2)</f>
      </c>
      <c r="F321" s="20" t="s">
        <v>35</v>
      </c>
      <c r="G321" s="20" t="s">
        <v>18</v>
      </c>
      <c r="H321" s="21">
        <f>ROUND(RAND()*4+6,1)</f>
      </c>
      <c r="I321" s="20" t="s">
        <v>36</v>
      </c>
      <c r="J321" s="23">
        <f>ROUND(62*1,0)&amp;"%"</f>
      </c>
    </row>
    <row x14ac:dyDescent="0.25" r="322" customHeight="1" ht="17.25">
      <c r="A322" s="17" t="s">
        <v>12204</v>
      </c>
      <c r="B322" s="17" t="s">
        <v>520</v>
      </c>
      <c r="C322" s="17" t="s">
        <v>133</v>
      </c>
      <c r="D322" s="17" t="s">
        <v>39</v>
      </c>
      <c r="E322" s="18">
        <f>ROUND(4170*1.05,2)</f>
      </c>
      <c r="F322" s="17" t="s">
        <v>40</v>
      </c>
      <c r="G322" s="17" t="s">
        <v>24</v>
      </c>
      <c r="H322" s="18">
        <f>ROUND(RAND()*4+6,1)</f>
      </c>
      <c r="I322" s="17" t="s">
        <v>41</v>
      </c>
      <c r="J322" s="19">
        <f>ROUND(75*1,0)&amp;"%"</f>
      </c>
    </row>
    <row x14ac:dyDescent="0.25" r="323" customHeight="1" ht="17.25">
      <c r="A323" s="20" t="s">
        <v>12205</v>
      </c>
      <c r="B323" s="20" t="s">
        <v>522</v>
      </c>
      <c r="C323" s="20" t="s">
        <v>133</v>
      </c>
      <c r="D323" s="20" t="s">
        <v>67</v>
      </c>
      <c r="E323" s="21">
        <f>ROUND(12386*1.05,2)</f>
      </c>
      <c r="F323" s="20" t="s">
        <v>44</v>
      </c>
      <c r="G323" s="20" t="s">
        <v>30</v>
      </c>
      <c r="H323" s="21">
        <f>ROUND(RAND()*4+6,1)</f>
      </c>
      <c r="I323" s="20" t="s">
        <v>45</v>
      </c>
      <c r="J323" s="23">
        <f>ROUND(78*1,0)&amp;"%"</f>
      </c>
    </row>
    <row x14ac:dyDescent="0.25" r="324" customHeight="1" ht="17.25">
      <c r="A324" s="17" t="s">
        <v>12206</v>
      </c>
      <c r="B324" s="17" t="s">
        <v>524</v>
      </c>
      <c r="C324" s="17" t="s">
        <v>133</v>
      </c>
      <c r="D324" s="17" t="s">
        <v>16</v>
      </c>
      <c r="E324" s="18">
        <f>ROUND(10268*1.05,2)</f>
      </c>
      <c r="F324" s="17" t="s">
        <v>48</v>
      </c>
      <c r="G324" s="17" t="s">
        <v>18</v>
      </c>
      <c r="H324" s="18">
        <f>ROUND(RAND()*4+6,1)</f>
      </c>
      <c r="I324" s="17" t="s">
        <v>19</v>
      </c>
      <c r="J324" s="19">
        <f>ROUND(71*1,0)&amp;"%"</f>
      </c>
    </row>
    <row x14ac:dyDescent="0.25" r="325" customHeight="1" ht="17.25">
      <c r="A325" s="20" t="s">
        <v>12207</v>
      </c>
      <c r="B325" s="20" t="s">
        <v>526</v>
      </c>
      <c r="C325" s="20" t="s">
        <v>133</v>
      </c>
      <c r="D325" s="20" t="s">
        <v>22</v>
      </c>
      <c r="E325" s="21">
        <f>ROUND(9287*1.05,2)</f>
      </c>
      <c r="F325" s="20" t="s">
        <v>51</v>
      </c>
      <c r="G325" s="20" t="s">
        <v>24</v>
      </c>
      <c r="H325" s="21">
        <f>ROUND(RAND()*4+6,1)</f>
      </c>
      <c r="I325" s="20" t="s">
        <v>25</v>
      </c>
      <c r="J325" s="23">
        <f>ROUND(79*1,0)&amp;"%"</f>
      </c>
    </row>
    <row x14ac:dyDescent="0.25" r="326" customHeight="1" ht="17.25">
      <c r="A326" s="24" t="s">
        <v>527</v>
      </c>
      <c r="B326" s="24"/>
      <c r="C326" s="24"/>
      <c r="D326" s="24"/>
      <c r="E326" s="25">
        <v>8</v>
      </c>
      <c r="F326" s="9"/>
      <c r="G326" s="9"/>
      <c r="H326" s="10"/>
      <c r="I326" s="9"/>
      <c r="J326" s="9"/>
    </row>
    <row x14ac:dyDescent="0.25" r="327" customHeight="1" ht="17.25">
      <c r="A327" s="7"/>
      <c r="B327" s="7"/>
      <c r="C327" s="7"/>
      <c r="D327" s="7"/>
      <c r="E327" s="8"/>
      <c r="F327" s="9"/>
      <c r="G327" s="9"/>
      <c r="H327" s="10"/>
      <c r="I327" s="9"/>
      <c r="J327" s="9"/>
    </row>
    <row x14ac:dyDescent="0.25" r="328" customHeight="1" ht="17.25">
      <c r="A328" s="11" t="s">
        <v>12208</v>
      </c>
      <c r="B328" s="11"/>
      <c r="C328" s="11"/>
      <c r="D328" s="11"/>
      <c r="E328" s="12"/>
      <c r="F328" s="11"/>
      <c r="G328" s="11"/>
      <c r="H328" s="13"/>
      <c r="I328" s="11"/>
      <c r="J328" s="11"/>
    </row>
    <row x14ac:dyDescent="0.25" r="329" customHeight="1" ht="17.25">
      <c r="A329" s="14" t="s">
        <v>3</v>
      </c>
      <c r="B329" s="14" t="s">
        <v>4</v>
      </c>
      <c r="C329" s="14" t="s">
        <v>5</v>
      </c>
      <c r="D329" s="14" t="s">
        <v>6</v>
      </c>
      <c r="E329" s="15" t="s">
        <v>7</v>
      </c>
      <c r="F329" s="14" t="s">
        <v>8</v>
      </c>
      <c r="G329" s="14" t="s">
        <v>9</v>
      </c>
      <c r="H329" s="16" t="s">
        <v>10</v>
      </c>
      <c r="I329" s="14" t="s">
        <v>11</v>
      </c>
      <c r="J329" s="14" t="s">
        <v>12</v>
      </c>
    </row>
    <row x14ac:dyDescent="0.25" r="330" customHeight="1" ht="17.25">
      <c r="A330" s="17" t="s">
        <v>12209</v>
      </c>
      <c r="B330" s="17" t="s">
        <v>530</v>
      </c>
      <c r="C330" s="17" t="s">
        <v>152</v>
      </c>
      <c r="D330" s="17" t="s">
        <v>16</v>
      </c>
      <c r="E330" s="26">
        <f>ROUND(14380*1.05,2)</f>
      </c>
      <c r="F330" s="17" t="s">
        <v>17</v>
      </c>
      <c r="G330" s="17" t="s">
        <v>18</v>
      </c>
      <c r="H330" s="18">
        <f>ROUND(RAND()*4+6,1)</f>
      </c>
      <c r="I330" s="17" t="s">
        <v>19</v>
      </c>
      <c r="J330" s="19">
        <f>ROUND(64*1,0)&amp;"%"</f>
      </c>
    </row>
    <row x14ac:dyDescent="0.25" r="331" customHeight="1" ht="17.25">
      <c r="A331" s="20" t="s">
        <v>12210</v>
      </c>
      <c r="B331" s="20" t="s">
        <v>532</v>
      </c>
      <c r="C331" s="20" t="s">
        <v>152</v>
      </c>
      <c r="D331" s="20" t="s">
        <v>22</v>
      </c>
      <c r="E331" s="21">
        <f>ROUND(4557*1.05,2)</f>
      </c>
      <c r="F331" s="20" t="s">
        <v>23</v>
      </c>
      <c r="G331" s="20" t="s">
        <v>24</v>
      </c>
      <c r="H331" s="21">
        <f>ROUND(RAND()*4+6,1)</f>
      </c>
      <c r="I331" s="20" t="s">
        <v>25</v>
      </c>
      <c r="J331" s="23">
        <f>ROUND(64*1,0)&amp;"%"</f>
      </c>
    </row>
    <row x14ac:dyDescent="0.25" r="332" customHeight="1" ht="17.25">
      <c r="A332" s="17" t="s">
        <v>12211</v>
      </c>
      <c r="B332" s="17" t="s">
        <v>534</v>
      </c>
      <c r="C332" s="17" t="s">
        <v>152</v>
      </c>
      <c r="D332" s="17" t="s">
        <v>28</v>
      </c>
      <c r="E332" s="18">
        <f>ROUND(14213*1.05,2)</f>
      </c>
      <c r="F332" s="17" t="s">
        <v>29</v>
      </c>
      <c r="G332" s="17" t="s">
        <v>30</v>
      </c>
      <c r="H332" s="18">
        <f>ROUND(RAND()*4+6,1)</f>
      </c>
      <c r="I332" s="17" t="s">
        <v>31</v>
      </c>
      <c r="J332" s="19">
        <f>ROUND(60*1,0)&amp;"%"</f>
      </c>
    </row>
    <row x14ac:dyDescent="0.25" r="333" customHeight="1" ht="17.25">
      <c r="A333" s="20" t="s">
        <v>12212</v>
      </c>
      <c r="B333" s="20" t="s">
        <v>536</v>
      </c>
      <c r="C333" s="20" t="s">
        <v>152</v>
      </c>
      <c r="D333" s="20" t="s">
        <v>34</v>
      </c>
      <c r="E333" s="21">
        <f>ROUND(12535*1.05,2)</f>
      </c>
      <c r="F333" s="20" t="s">
        <v>35</v>
      </c>
      <c r="G333" s="20" t="s">
        <v>18</v>
      </c>
      <c r="H333" s="21">
        <f>ROUND(RAND()*4+6,1)</f>
      </c>
      <c r="I333" s="20" t="s">
        <v>36</v>
      </c>
      <c r="J333" s="23">
        <f>ROUND(69*1,0)&amp;"%"</f>
      </c>
    </row>
    <row x14ac:dyDescent="0.25" r="334" customHeight="1" ht="17.25">
      <c r="A334" s="17" t="s">
        <v>12213</v>
      </c>
      <c r="B334" s="17" t="s">
        <v>538</v>
      </c>
      <c r="C334" s="17" t="s">
        <v>152</v>
      </c>
      <c r="D334" s="17" t="s">
        <v>39</v>
      </c>
      <c r="E334" s="18">
        <f>ROUND(11518*1.05,2)</f>
      </c>
      <c r="F334" s="17" t="s">
        <v>40</v>
      </c>
      <c r="G334" s="17" t="s">
        <v>24</v>
      </c>
      <c r="H334" s="18">
        <f>ROUND(RAND()*4+6,1)</f>
      </c>
      <c r="I334" s="17" t="s">
        <v>41</v>
      </c>
      <c r="J334" s="19">
        <f>ROUND(90*1,0)&amp;"%"</f>
      </c>
    </row>
    <row x14ac:dyDescent="0.25" r="335" customHeight="1" ht="17.25">
      <c r="A335" s="20" t="s">
        <v>12214</v>
      </c>
      <c r="B335" s="20" t="s">
        <v>540</v>
      </c>
      <c r="C335" s="20" t="s">
        <v>152</v>
      </c>
      <c r="D335" s="20" t="s">
        <v>67</v>
      </c>
      <c r="E335" s="21">
        <f>ROUND(7701*1.05,2)</f>
      </c>
      <c r="F335" s="20" t="s">
        <v>44</v>
      </c>
      <c r="G335" s="20" t="s">
        <v>30</v>
      </c>
      <c r="H335" s="21">
        <f>ROUND(RAND()*4+6,1)</f>
      </c>
      <c r="I335" s="20" t="s">
        <v>45</v>
      </c>
      <c r="J335" s="23">
        <f>ROUND(92*1,0)&amp;"%"</f>
      </c>
    </row>
    <row x14ac:dyDescent="0.25" r="336" customHeight="1" ht="17.25">
      <c r="A336" s="17" t="s">
        <v>12215</v>
      </c>
      <c r="B336" s="17" t="s">
        <v>542</v>
      </c>
      <c r="C336" s="17" t="s">
        <v>152</v>
      </c>
      <c r="D336" s="17" t="s">
        <v>16</v>
      </c>
      <c r="E336" s="18">
        <f>ROUND(6045*1.05,2)</f>
      </c>
      <c r="F336" s="17" t="s">
        <v>48</v>
      </c>
      <c r="G336" s="17" t="s">
        <v>18</v>
      </c>
      <c r="H336" s="18">
        <f>ROUND(RAND()*4+6,1)</f>
      </c>
      <c r="I336" s="17" t="s">
        <v>19</v>
      </c>
      <c r="J336" s="19">
        <f>ROUND(94*1,0)&amp;"%"</f>
      </c>
    </row>
    <row x14ac:dyDescent="0.25" r="337" customHeight="1" ht="17.25">
      <c r="A337" s="20" t="s">
        <v>12216</v>
      </c>
      <c r="B337" s="20" t="s">
        <v>544</v>
      </c>
      <c r="C337" s="20" t="s">
        <v>152</v>
      </c>
      <c r="D337" s="20" t="s">
        <v>22</v>
      </c>
      <c r="E337" s="21">
        <f>ROUND(16631*1.05,2)</f>
      </c>
      <c r="F337" s="20" t="s">
        <v>51</v>
      </c>
      <c r="G337" s="20" t="s">
        <v>24</v>
      </c>
      <c r="H337" s="21">
        <f>ROUND(RAND()*4+6,1)</f>
      </c>
      <c r="I337" s="20" t="s">
        <v>25</v>
      </c>
      <c r="J337" s="23">
        <f>ROUND(86*1,0)&amp;"%"</f>
      </c>
    </row>
    <row x14ac:dyDescent="0.25" r="338" customHeight="1" ht="17.25">
      <c r="A338" s="24" t="s">
        <v>545</v>
      </c>
      <c r="B338" s="24"/>
      <c r="C338" s="24"/>
      <c r="D338" s="24"/>
      <c r="E338" s="25">
        <v>8</v>
      </c>
      <c r="F338" s="9"/>
      <c r="G338" s="9"/>
      <c r="H338" s="10"/>
      <c r="I338" s="9"/>
      <c r="J338" s="9"/>
    </row>
    <row x14ac:dyDescent="0.25" r="339" customHeight="1" ht="17.25">
      <c r="A339" s="7"/>
      <c r="B339" s="7"/>
      <c r="C339" s="7"/>
      <c r="D339" s="7"/>
      <c r="E339" s="8"/>
      <c r="F339" s="9"/>
      <c r="G339" s="9"/>
      <c r="H339" s="10"/>
      <c r="I339" s="9"/>
      <c r="J339" s="9"/>
    </row>
    <row x14ac:dyDescent="0.25" r="340" customHeight="1" ht="17.25">
      <c r="A340" s="11" t="s">
        <v>12217</v>
      </c>
      <c r="B340" s="11"/>
      <c r="C340" s="11"/>
      <c r="D340" s="11"/>
      <c r="E340" s="12"/>
      <c r="F340" s="11"/>
      <c r="G340" s="11"/>
      <c r="H340" s="13"/>
      <c r="I340" s="11"/>
      <c r="J340" s="11"/>
    </row>
    <row x14ac:dyDescent="0.25" r="341" customHeight="1" ht="17.25">
      <c r="A341" s="14" t="s">
        <v>3</v>
      </c>
      <c r="B341" s="14" t="s">
        <v>4</v>
      </c>
      <c r="C341" s="14" t="s">
        <v>5</v>
      </c>
      <c r="D341" s="14" t="s">
        <v>6</v>
      </c>
      <c r="E341" s="15" t="s">
        <v>7</v>
      </c>
      <c r="F341" s="14" t="s">
        <v>8</v>
      </c>
      <c r="G341" s="14" t="s">
        <v>9</v>
      </c>
      <c r="H341" s="16" t="s">
        <v>10</v>
      </c>
      <c r="I341" s="14" t="s">
        <v>11</v>
      </c>
      <c r="J341" s="14" t="s">
        <v>12</v>
      </c>
    </row>
    <row x14ac:dyDescent="0.25" r="342" customHeight="1" ht="17.25">
      <c r="A342" s="17" t="s">
        <v>12218</v>
      </c>
      <c r="B342" s="17" t="s">
        <v>548</v>
      </c>
      <c r="C342" s="17" t="s">
        <v>15</v>
      </c>
      <c r="D342" s="17" t="s">
        <v>16</v>
      </c>
      <c r="E342" s="18">
        <f>ROUND(5795*1.05,2)</f>
      </c>
      <c r="F342" s="17" t="s">
        <v>17</v>
      </c>
      <c r="G342" s="17" t="s">
        <v>18</v>
      </c>
      <c r="H342" s="18">
        <f>ROUND(RAND()*4+6,1)</f>
      </c>
      <c r="I342" s="17" t="s">
        <v>19</v>
      </c>
      <c r="J342" s="19">
        <f>ROUND(64*1,0)&amp;"%"</f>
      </c>
    </row>
    <row x14ac:dyDescent="0.25" r="343" customHeight="1" ht="17.25">
      <c r="A343" s="20" t="s">
        <v>12219</v>
      </c>
      <c r="B343" s="20" t="s">
        <v>550</v>
      </c>
      <c r="C343" s="20" t="s">
        <v>15</v>
      </c>
      <c r="D343" s="20" t="s">
        <v>22</v>
      </c>
      <c r="E343" s="21">
        <f>ROUND(10930*1.05,2)</f>
      </c>
      <c r="F343" s="20" t="s">
        <v>23</v>
      </c>
      <c r="G343" s="20" t="s">
        <v>24</v>
      </c>
      <c r="H343" s="22">
        <f>ROUND(RAND()*4+6,1)</f>
      </c>
      <c r="I343" s="20" t="s">
        <v>25</v>
      </c>
      <c r="J343" s="23">
        <f>ROUND(94*1,0)&amp;"%"</f>
      </c>
    </row>
    <row x14ac:dyDescent="0.25" r="344" customHeight="1" ht="17.25">
      <c r="A344" s="17" t="s">
        <v>12220</v>
      </c>
      <c r="B344" s="17" t="s">
        <v>552</v>
      </c>
      <c r="C344" s="17" t="s">
        <v>15</v>
      </c>
      <c r="D344" s="17" t="s">
        <v>28</v>
      </c>
      <c r="E344" s="18">
        <f>ROUND(11867*1.05,2)</f>
      </c>
      <c r="F344" s="17" t="s">
        <v>29</v>
      </c>
      <c r="G344" s="17" t="s">
        <v>30</v>
      </c>
      <c r="H344" s="18">
        <f>ROUND(RAND()*4+6,1)</f>
      </c>
      <c r="I344" s="17" t="s">
        <v>31</v>
      </c>
      <c r="J344" s="19">
        <f>ROUND(65*1,0)&amp;"%"</f>
      </c>
    </row>
    <row x14ac:dyDescent="0.25" r="345" customHeight="1" ht="17.25">
      <c r="A345" s="20" t="s">
        <v>12221</v>
      </c>
      <c r="B345" s="20" t="s">
        <v>554</v>
      </c>
      <c r="C345" s="20" t="s">
        <v>15</v>
      </c>
      <c r="D345" s="20" t="s">
        <v>34</v>
      </c>
      <c r="E345" s="21">
        <f>ROUND(17933*1.05,2)</f>
      </c>
      <c r="F345" s="20" t="s">
        <v>35</v>
      </c>
      <c r="G345" s="20" t="s">
        <v>18</v>
      </c>
      <c r="H345" s="21">
        <f>ROUND(RAND()*4+6,1)</f>
      </c>
      <c r="I345" s="20" t="s">
        <v>36</v>
      </c>
      <c r="J345" s="23">
        <f>ROUND(75*1,0)&amp;"%"</f>
      </c>
    </row>
    <row x14ac:dyDescent="0.25" r="346" customHeight="1" ht="17.25">
      <c r="A346" s="17" t="s">
        <v>12222</v>
      </c>
      <c r="B346" s="17" t="s">
        <v>556</v>
      </c>
      <c r="C346" s="17" t="s">
        <v>15</v>
      </c>
      <c r="D346" s="17" t="s">
        <v>39</v>
      </c>
      <c r="E346" s="18">
        <f>ROUND(16539*1.05,2)</f>
      </c>
      <c r="F346" s="17" t="s">
        <v>40</v>
      </c>
      <c r="G346" s="17" t="s">
        <v>24</v>
      </c>
      <c r="H346" s="18">
        <f>ROUND(RAND()*4+6,1)</f>
      </c>
      <c r="I346" s="17" t="s">
        <v>41</v>
      </c>
      <c r="J346" s="19">
        <f>ROUND(79*1,0)&amp;"%"</f>
      </c>
    </row>
    <row x14ac:dyDescent="0.25" r="347" customHeight="1" ht="17.25">
      <c r="A347" s="20" t="s">
        <v>12223</v>
      </c>
      <c r="B347" s="20" t="s">
        <v>558</v>
      </c>
      <c r="C347" s="20" t="s">
        <v>15</v>
      </c>
      <c r="D347" s="20" t="s">
        <v>67</v>
      </c>
      <c r="E347" s="21">
        <f>ROUND(9184*1.05,2)</f>
      </c>
      <c r="F347" s="20" t="s">
        <v>44</v>
      </c>
      <c r="G347" s="20" t="s">
        <v>30</v>
      </c>
      <c r="H347" s="21">
        <f>ROUND(RAND()*4+6,1)</f>
      </c>
      <c r="I347" s="20" t="s">
        <v>45</v>
      </c>
      <c r="J347" s="23">
        <f>ROUND(100*1,0)&amp;"%"</f>
      </c>
    </row>
    <row x14ac:dyDescent="0.25" r="348" customHeight="1" ht="17.25">
      <c r="A348" s="17" t="s">
        <v>12224</v>
      </c>
      <c r="B348" s="17" t="s">
        <v>560</v>
      </c>
      <c r="C348" s="17" t="s">
        <v>15</v>
      </c>
      <c r="D348" s="17" t="s">
        <v>16</v>
      </c>
      <c r="E348" s="18">
        <f>ROUND(7490*1.05,2)</f>
      </c>
      <c r="F348" s="17" t="s">
        <v>48</v>
      </c>
      <c r="G348" s="17" t="s">
        <v>18</v>
      </c>
      <c r="H348" s="18">
        <f>ROUND(RAND()*4+6,1)</f>
      </c>
      <c r="I348" s="17" t="s">
        <v>19</v>
      </c>
      <c r="J348" s="19">
        <f>ROUND(78*1,0)&amp;"%"</f>
      </c>
    </row>
    <row x14ac:dyDescent="0.25" r="349" customHeight="1" ht="17.25">
      <c r="A349" s="20" t="s">
        <v>12225</v>
      </c>
      <c r="B349" s="20" t="s">
        <v>562</v>
      </c>
      <c r="C349" s="20" t="s">
        <v>15</v>
      </c>
      <c r="D349" s="20" t="s">
        <v>22</v>
      </c>
      <c r="E349" s="21">
        <f>ROUND(6906*1.05,2)</f>
      </c>
      <c r="F349" s="20" t="s">
        <v>51</v>
      </c>
      <c r="G349" s="20" t="s">
        <v>24</v>
      </c>
      <c r="H349" s="21">
        <f>ROUND(RAND()*4+6,1)</f>
      </c>
      <c r="I349" s="20" t="s">
        <v>25</v>
      </c>
      <c r="J349" s="23">
        <f>ROUND(83*1,0)&amp;"%"</f>
      </c>
    </row>
    <row x14ac:dyDescent="0.25" r="350" customHeight="1" ht="17.25">
      <c r="A350" s="24" t="s">
        <v>563</v>
      </c>
      <c r="B350" s="24"/>
      <c r="C350" s="24"/>
      <c r="D350" s="24"/>
      <c r="E350" s="25">
        <v>8</v>
      </c>
      <c r="F350" s="9"/>
      <c r="G350" s="9"/>
      <c r="H350" s="10"/>
      <c r="I350" s="9"/>
      <c r="J350" s="9"/>
    </row>
    <row x14ac:dyDescent="0.25" r="351" customHeight="1" ht="17.25">
      <c r="A351" s="7"/>
      <c r="B351" s="7"/>
      <c r="C351" s="7"/>
      <c r="D351" s="7"/>
      <c r="E351" s="8"/>
      <c r="F351" s="9"/>
      <c r="G351" s="9"/>
      <c r="H351" s="10"/>
      <c r="I351" s="9"/>
      <c r="J351" s="9"/>
    </row>
    <row x14ac:dyDescent="0.25" r="352" customHeight="1" ht="17.25">
      <c r="A352" s="11" t="s">
        <v>12226</v>
      </c>
      <c r="B352" s="11"/>
      <c r="C352" s="11"/>
      <c r="D352" s="11"/>
      <c r="E352" s="12"/>
      <c r="F352" s="11"/>
      <c r="G352" s="11"/>
      <c r="H352" s="13"/>
      <c r="I352" s="11"/>
      <c r="J352" s="11"/>
    </row>
    <row x14ac:dyDescent="0.25" r="353" customHeight="1" ht="17.25">
      <c r="A353" s="14" t="s">
        <v>3</v>
      </c>
      <c r="B353" s="14" t="s">
        <v>4</v>
      </c>
      <c r="C353" s="14" t="s">
        <v>5</v>
      </c>
      <c r="D353" s="14" t="s">
        <v>6</v>
      </c>
      <c r="E353" s="15" t="s">
        <v>7</v>
      </c>
      <c r="F353" s="14" t="s">
        <v>8</v>
      </c>
      <c r="G353" s="14" t="s">
        <v>9</v>
      </c>
      <c r="H353" s="16" t="s">
        <v>10</v>
      </c>
      <c r="I353" s="14" t="s">
        <v>11</v>
      </c>
      <c r="J353" s="14" t="s">
        <v>12</v>
      </c>
    </row>
    <row x14ac:dyDescent="0.25" r="354" customHeight="1" ht="17.25">
      <c r="A354" s="17" t="s">
        <v>12227</v>
      </c>
      <c r="B354" s="17" t="s">
        <v>566</v>
      </c>
      <c r="C354" s="17" t="s">
        <v>56</v>
      </c>
      <c r="D354" s="17" t="s">
        <v>16</v>
      </c>
      <c r="E354" s="18">
        <f>ROUND(9896*1.05,2)</f>
      </c>
      <c r="F354" s="17" t="s">
        <v>17</v>
      </c>
      <c r="G354" s="17" t="s">
        <v>18</v>
      </c>
      <c r="H354" s="18">
        <f>ROUND(RAND()*4+6,1)</f>
      </c>
      <c r="I354" s="17" t="s">
        <v>19</v>
      </c>
      <c r="J354" s="19">
        <f>ROUND(66*1,0)&amp;"%"</f>
      </c>
    </row>
    <row x14ac:dyDescent="0.25" r="355" customHeight="1" ht="17.25">
      <c r="A355" s="20" t="s">
        <v>12228</v>
      </c>
      <c r="B355" s="20" t="s">
        <v>568</v>
      </c>
      <c r="C355" s="20" t="s">
        <v>56</v>
      </c>
      <c r="D355" s="20" t="s">
        <v>22</v>
      </c>
      <c r="E355" s="21">
        <f>ROUND(10848*1.05,2)</f>
      </c>
      <c r="F355" s="20" t="s">
        <v>23</v>
      </c>
      <c r="G355" s="20" t="s">
        <v>24</v>
      </c>
      <c r="H355" s="21">
        <f>ROUND(RAND()*4+6,1)</f>
      </c>
      <c r="I355" s="20" t="s">
        <v>25</v>
      </c>
      <c r="J355" s="23">
        <f>ROUND(71*1,0)&amp;"%"</f>
      </c>
    </row>
    <row x14ac:dyDescent="0.25" r="356" customHeight="1" ht="17.25">
      <c r="A356" s="17" t="s">
        <v>12229</v>
      </c>
      <c r="B356" s="17" t="s">
        <v>570</v>
      </c>
      <c r="C356" s="17" t="s">
        <v>56</v>
      </c>
      <c r="D356" s="17" t="s">
        <v>28</v>
      </c>
      <c r="E356" s="18">
        <f>ROUND(6874*1.05,2)</f>
      </c>
      <c r="F356" s="17" t="s">
        <v>29</v>
      </c>
      <c r="G356" s="17" t="s">
        <v>30</v>
      </c>
      <c r="H356" s="18">
        <f>ROUND(RAND()*4+6,1)</f>
      </c>
      <c r="I356" s="17" t="s">
        <v>31</v>
      </c>
      <c r="J356" s="19">
        <f>ROUND(98*1,0)&amp;"%"</f>
      </c>
    </row>
    <row x14ac:dyDescent="0.25" r="357" customHeight="1" ht="17.25">
      <c r="A357" s="20" t="s">
        <v>12230</v>
      </c>
      <c r="B357" s="20" t="s">
        <v>572</v>
      </c>
      <c r="C357" s="20" t="s">
        <v>56</v>
      </c>
      <c r="D357" s="20" t="s">
        <v>34</v>
      </c>
      <c r="E357" s="21">
        <f>ROUND(8170*1.05,2)</f>
      </c>
      <c r="F357" s="20" t="s">
        <v>35</v>
      </c>
      <c r="G357" s="20" t="s">
        <v>18</v>
      </c>
      <c r="H357" s="22">
        <f>ROUND(RAND()*4+6,1)</f>
      </c>
      <c r="I357" s="20" t="s">
        <v>36</v>
      </c>
      <c r="J357" s="23">
        <f>ROUND(78*1,0)&amp;"%"</f>
      </c>
    </row>
    <row x14ac:dyDescent="0.25" r="358" customHeight="1" ht="17.25">
      <c r="A358" s="17" t="s">
        <v>12231</v>
      </c>
      <c r="B358" s="17" t="s">
        <v>574</v>
      </c>
      <c r="C358" s="17" t="s">
        <v>56</v>
      </c>
      <c r="D358" s="17" t="s">
        <v>39</v>
      </c>
      <c r="E358" s="18">
        <f>ROUND(10866*1.05,2)</f>
      </c>
      <c r="F358" s="17" t="s">
        <v>40</v>
      </c>
      <c r="G358" s="17" t="s">
        <v>24</v>
      </c>
      <c r="H358" s="18">
        <f>ROUND(RAND()*4+6,1)</f>
      </c>
      <c r="I358" s="17" t="s">
        <v>41</v>
      </c>
      <c r="J358" s="19">
        <f>ROUND(91*1,0)&amp;"%"</f>
      </c>
    </row>
    <row x14ac:dyDescent="0.25" r="359" customHeight="1" ht="17.25">
      <c r="A359" s="20" t="s">
        <v>12232</v>
      </c>
      <c r="B359" s="20" t="s">
        <v>576</v>
      </c>
      <c r="C359" s="20" t="s">
        <v>56</v>
      </c>
      <c r="D359" s="20" t="s">
        <v>67</v>
      </c>
      <c r="E359" s="21">
        <f>ROUND(14004*1.05,2)</f>
      </c>
      <c r="F359" s="20" t="s">
        <v>44</v>
      </c>
      <c r="G359" s="20" t="s">
        <v>30</v>
      </c>
      <c r="H359" s="22">
        <f>ROUND(RAND()*4+6,1)</f>
      </c>
      <c r="I359" s="20" t="s">
        <v>45</v>
      </c>
      <c r="J359" s="23">
        <f>ROUND(77*1,0)&amp;"%"</f>
      </c>
    </row>
    <row x14ac:dyDescent="0.25" r="360" customHeight="1" ht="17.25">
      <c r="A360" s="17" t="s">
        <v>12233</v>
      </c>
      <c r="B360" s="17" t="s">
        <v>578</v>
      </c>
      <c r="C360" s="17" t="s">
        <v>56</v>
      </c>
      <c r="D360" s="17" t="s">
        <v>16</v>
      </c>
      <c r="E360" s="18">
        <f>ROUND(4817*1.05,2)</f>
      </c>
      <c r="F360" s="17" t="s">
        <v>48</v>
      </c>
      <c r="G360" s="17" t="s">
        <v>18</v>
      </c>
      <c r="H360" s="18">
        <f>ROUND(RAND()*4+6,1)</f>
      </c>
      <c r="I360" s="17" t="s">
        <v>19</v>
      </c>
      <c r="J360" s="19">
        <f>ROUND(60*1,0)&amp;"%"</f>
      </c>
    </row>
    <row x14ac:dyDescent="0.25" r="361" customHeight="1" ht="17.25">
      <c r="A361" s="20" t="s">
        <v>12234</v>
      </c>
      <c r="B361" s="20" t="s">
        <v>580</v>
      </c>
      <c r="C361" s="20" t="s">
        <v>56</v>
      </c>
      <c r="D361" s="20" t="s">
        <v>22</v>
      </c>
      <c r="E361" s="21">
        <f>ROUND(4428*1.05,2)</f>
      </c>
      <c r="F361" s="20" t="s">
        <v>51</v>
      </c>
      <c r="G361" s="20" t="s">
        <v>24</v>
      </c>
      <c r="H361" s="21">
        <f>ROUND(RAND()*4+6,1)</f>
      </c>
      <c r="I361" s="20" t="s">
        <v>25</v>
      </c>
      <c r="J361" s="23">
        <f>ROUND(99*1,0)&amp;"%"</f>
      </c>
    </row>
    <row x14ac:dyDescent="0.25" r="362" customHeight="1" ht="17.25">
      <c r="A362" s="24" t="s">
        <v>581</v>
      </c>
      <c r="B362" s="24"/>
      <c r="C362" s="24"/>
      <c r="D362" s="24"/>
      <c r="E362" s="25">
        <v>8</v>
      </c>
      <c r="F362" s="9"/>
      <c r="G362" s="9"/>
      <c r="H362" s="10"/>
      <c r="I362" s="9"/>
      <c r="J362" s="9"/>
    </row>
  </sheetData>
  <mergeCells count="62">
    <mergeCell ref="A1:J1"/>
    <mergeCell ref="A2:J2"/>
    <mergeCell ref="A4:J4"/>
    <mergeCell ref="A14:D14"/>
    <mergeCell ref="A16:J16"/>
    <mergeCell ref="A26:D26"/>
    <mergeCell ref="A28:J28"/>
    <mergeCell ref="A38:D38"/>
    <mergeCell ref="A40:J40"/>
    <mergeCell ref="A50:D50"/>
    <mergeCell ref="A52:J52"/>
    <mergeCell ref="A62:D62"/>
    <mergeCell ref="A64:J64"/>
    <mergeCell ref="A74:D74"/>
    <mergeCell ref="A76:J76"/>
    <mergeCell ref="A86:D86"/>
    <mergeCell ref="A88:J88"/>
    <mergeCell ref="A98:D98"/>
    <mergeCell ref="A100:J100"/>
    <mergeCell ref="A110:D110"/>
    <mergeCell ref="A112:J112"/>
    <mergeCell ref="A122:D122"/>
    <mergeCell ref="A124:J124"/>
    <mergeCell ref="A134:D134"/>
    <mergeCell ref="A136:J136"/>
    <mergeCell ref="A146:D146"/>
    <mergeCell ref="A148:J148"/>
    <mergeCell ref="A158:D158"/>
    <mergeCell ref="A160:J160"/>
    <mergeCell ref="A170:D170"/>
    <mergeCell ref="A172:J172"/>
    <mergeCell ref="A182:D182"/>
    <mergeCell ref="A184:J184"/>
    <mergeCell ref="A194:D194"/>
    <mergeCell ref="A196:J196"/>
    <mergeCell ref="A206:D206"/>
    <mergeCell ref="A208:J208"/>
    <mergeCell ref="A218:D218"/>
    <mergeCell ref="A220:J220"/>
    <mergeCell ref="A230:D230"/>
    <mergeCell ref="A232:J232"/>
    <mergeCell ref="A242:D242"/>
    <mergeCell ref="A244:J244"/>
    <mergeCell ref="A254:D254"/>
    <mergeCell ref="A256:J256"/>
    <mergeCell ref="A266:D266"/>
    <mergeCell ref="A268:J268"/>
    <mergeCell ref="A278:D278"/>
    <mergeCell ref="A280:J280"/>
    <mergeCell ref="A290:D290"/>
    <mergeCell ref="A292:J292"/>
    <mergeCell ref="A302:D302"/>
    <mergeCell ref="A304:J304"/>
    <mergeCell ref="A314:D314"/>
    <mergeCell ref="A316:J316"/>
    <mergeCell ref="A326:D326"/>
    <mergeCell ref="A328:J328"/>
    <mergeCell ref="A338:D338"/>
    <mergeCell ref="A340:J340"/>
    <mergeCell ref="A350:D350"/>
    <mergeCell ref="A352:J352"/>
    <mergeCell ref="A362:D36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J362"/>
  <sheetViews>
    <sheetView workbookViewId="0"/>
  </sheetViews>
  <sheetFormatPr defaultRowHeight="15" x14ac:dyDescent="0.25"/>
  <cols>
    <col min="1" max="1" style="27" width="8.005" customWidth="1" bestFit="1"/>
    <col min="2" max="2" style="27" width="22.005" customWidth="1" bestFit="1"/>
    <col min="3" max="3" style="27" width="16.005" customWidth="1" bestFit="1"/>
    <col min="4" max="4" style="27" width="14.005" customWidth="1" bestFit="1"/>
    <col min="5" max="5" style="28" width="12.005" customWidth="1" bestFit="1"/>
    <col min="6" max="6" style="29" width="16.005" customWidth="1" bestFit="1"/>
    <col min="7" max="7" style="29" width="10.005" customWidth="1" bestFit="1"/>
    <col min="8" max="8" style="30" width="10.005" customWidth="1" bestFit="1"/>
    <col min="9" max="9" style="29" width="14.005" customWidth="1" bestFit="1"/>
    <col min="10" max="10" style="29" width="8.005" customWidth="1" bestFit="1"/>
  </cols>
  <sheetData>
    <row x14ac:dyDescent="0.25" r="1" customHeight="1" ht="17.25">
      <c r="A1" s="1" t="s">
        <v>11693</v>
      </c>
      <c r="B1" s="1"/>
      <c r="C1" s="1"/>
      <c r="D1" s="1"/>
      <c r="E1" s="2"/>
      <c r="F1" s="1"/>
      <c r="G1" s="1"/>
      <c r="H1" s="3"/>
      <c r="I1" s="1"/>
      <c r="J1" s="1"/>
    </row>
    <row x14ac:dyDescent="0.25" r="2" customHeight="1" ht="17.25">
      <c r="A2" s="4" t="s">
        <v>1</v>
      </c>
      <c r="B2" s="4"/>
      <c r="C2" s="4"/>
      <c r="D2" s="4"/>
      <c r="E2" s="5"/>
      <c r="F2" s="4"/>
      <c r="G2" s="4"/>
      <c r="H2" s="6"/>
      <c r="I2" s="4"/>
      <c r="J2" s="4"/>
    </row>
    <row x14ac:dyDescent="0.25" r="3" customHeight="1" ht="17.25">
      <c r="A3" s="7"/>
      <c r="B3" s="7"/>
      <c r="C3" s="7"/>
      <c r="D3" s="7"/>
      <c r="E3" s="8"/>
      <c r="F3" s="9"/>
      <c r="G3" s="9"/>
      <c r="H3" s="10"/>
      <c r="I3" s="9"/>
      <c r="J3" s="9"/>
    </row>
    <row x14ac:dyDescent="0.25" r="4" customHeight="1" ht="17.25">
      <c r="A4" s="11" t="s">
        <v>11694</v>
      </c>
      <c r="B4" s="11"/>
      <c r="C4" s="11"/>
      <c r="D4" s="11"/>
      <c r="E4" s="12"/>
      <c r="F4" s="11"/>
      <c r="G4" s="11"/>
      <c r="H4" s="13"/>
      <c r="I4" s="11"/>
      <c r="J4" s="11"/>
    </row>
    <row x14ac:dyDescent="0.25" r="5" customHeight="1" ht="17.25">
      <c r="A5" s="14" t="s">
        <v>3</v>
      </c>
      <c r="B5" s="14" t="s">
        <v>4</v>
      </c>
      <c r="C5" s="14" t="s">
        <v>5</v>
      </c>
      <c r="D5" s="14" t="s">
        <v>6</v>
      </c>
      <c r="E5" s="15" t="s">
        <v>7</v>
      </c>
      <c r="F5" s="14" t="s">
        <v>8</v>
      </c>
      <c r="G5" s="14" t="s">
        <v>9</v>
      </c>
      <c r="H5" s="16" t="s">
        <v>10</v>
      </c>
      <c r="I5" s="14" t="s">
        <v>11</v>
      </c>
      <c r="J5" s="14" t="s">
        <v>12</v>
      </c>
    </row>
    <row x14ac:dyDescent="0.25" r="6" customHeight="1" ht="17.25">
      <c r="A6" s="17" t="s">
        <v>11695</v>
      </c>
      <c r="B6" s="17" t="s">
        <v>14</v>
      </c>
      <c r="C6" s="17" t="s">
        <v>15</v>
      </c>
      <c r="D6" s="17" t="s">
        <v>16</v>
      </c>
      <c r="E6" s="18">
        <f>ROUND(15549*1.05,2)</f>
      </c>
      <c r="F6" s="17" t="s">
        <v>17</v>
      </c>
      <c r="G6" s="17" t="s">
        <v>18</v>
      </c>
      <c r="H6" s="18">
        <f>ROUND(RAND()*4+6,1)</f>
      </c>
      <c r="I6" s="17" t="s">
        <v>19</v>
      </c>
      <c r="J6" s="19">
        <f>ROUND(75*1,0)&amp;"%"</f>
      </c>
    </row>
    <row x14ac:dyDescent="0.25" r="7" customHeight="1" ht="17.25">
      <c r="A7" s="20" t="s">
        <v>11696</v>
      </c>
      <c r="B7" s="20" t="s">
        <v>21</v>
      </c>
      <c r="C7" s="20" t="s">
        <v>15</v>
      </c>
      <c r="D7" s="20" t="s">
        <v>22</v>
      </c>
      <c r="E7" s="21">
        <f>ROUND(6387*1.05,2)</f>
      </c>
      <c r="F7" s="20" t="s">
        <v>23</v>
      </c>
      <c r="G7" s="20" t="s">
        <v>24</v>
      </c>
      <c r="H7" s="21">
        <f>ROUND(RAND()*4+6,1)</f>
      </c>
      <c r="I7" s="20" t="s">
        <v>25</v>
      </c>
      <c r="J7" s="23">
        <f>ROUND(88*1,0)&amp;"%"</f>
      </c>
    </row>
    <row x14ac:dyDescent="0.25" r="8" customHeight="1" ht="17.25">
      <c r="A8" s="17" t="s">
        <v>11697</v>
      </c>
      <c r="B8" s="17" t="s">
        <v>27</v>
      </c>
      <c r="C8" s="17" t="s">
        <v>15</v>
      </c>
      <c r="D8" s="17" t="s">
        <v>28</v>
      </c>
      <c r="E8" s="26">
        <f>ROUND(8060*1.05,2)</f>
      </c>
      <c r="F8" s="17" t="s">
        <v>29</v>
      </c>
      <c r="G8" s="17" t="s">
        <v>30</v>
      </c>
      <c r="H8" s="18">
        <f>ROUND(RAND()*4+6,1)</f>
      </c>
      <c r="I8" s="17" t="s">
        <v>31</v>
      </c>
      <c r="J8" s="19">
        <f>ROUND(95*1,0)&amp;"%"</f>
      </c>
    </row>
    <row x14ac:dyDescent="0.25" r="9" customHeight="1" ht="17.25">
      <c r="A9" s="20" t="s">
        <v>11698</v>
      </c>
      <c r="B9" s="20" t="s">
        <v>33</v>
      </c>
      <c r="C9" s="20" t="s">
        <v>15</v>
      </c>
      <c r="D9" s="20" t="s">
        <v>34</v>
      </c>
      <c r="E9" s="21">
        <f>ROUND(17238*1.05,2)</f>
      </c>
      <c r="F9" s="20" t="s">
        <v>35</v>
      </c>
      <c r="G9" s="20" t="s">
        <v>18</v>
      </c>
      <c r="H9" s="21">
        <f>ROUND(RAND()*4+6,1)</f>
      </c>
      <c r="I9" s="20" t="s">
        <v>36</v>
      </c>
      <c r="J9" s="23">
        <f>ROUND(93*1,0)&amp;"%"</f>
      </c>
    </row>
    <row x14ac:dyDescent="0.25" r="10" customHeight="1" ht="17.25">
      <c r="A10" s="17" t="s">
        <v>11699</v>
      </c>
      <c r="B10" s="17" t="s">
        <v>38</v>
      </c>
      <c r="C10" s="17" t="s">
        <v>15</v>
      </c>
      <c r="D10" s="17" t="s">
        <v>39</v>
      </c>
      <c r="E10" s="18">
        <f>ROUND(8942*1.05,2)</f>
      </c>
      <c r="F10" s="17" t="s">
        <v>40</v>
      </c>
      <c r="G10" s="17" t="s">
        <v>24</v>
      </c>
      <c r="H10" s="18">
        <f>ROUND(RAND()*4+6,1)</f>
      </c>
      <c r="I10" s="17" t="s">
        <v>41</v>
      </c>
      <c r="J10" s="19">
        <f>ROUND(72*1,0)&amp;"%"</f>
      </c>
    </row>
    <row x14ac:dyDescent="0.25" r="11" customHeight="1" ht="17.25">
      <c r="A11" s="20" t="s">
        <v>11700</v>
      </c>
      <c r="B11" s="20" t="s">
        <v>43</v>
      </c>
      <c r="C11" s="20" t="s">
        <v>15</v>
      </c>
      <c r="D11" s="20" t="s">
        <v>67</v>
      </c>
      <c r="E11" s="21">
        <f>ROUND(9109*1.05,2)</f>
      </c>
      <c r="F11" s="20" t="s">
        <v>44</v>
      </c>
      <c r="G11" s="20" t="s">
        <v>30</v>
      </c>
      <c r="H11" s="21">
        <f>ROUND(RAND()*4+6,1)</f>
      </c>
      <c r="I11" s="20" t="s">
        <v>45</v>
      </c>
      <c r="J11" s="23">
        <f>ROUND(91*1,0)&amp;"%"</f>
      </c>
    </row>
    <row x14ac:dyDescent="0.25" r="12" customHeight="1" ht="17.25">
      <c r="A12" s="17" t="s">
        <v>11701</v>
      </c>
      <c r="B12" s="17" t="s">
        <v>47</v>
      </c>
      <c r="C12" s="17" t="s">
        <v>15</v>
      </c>
      <c r="D12" s="17" t="s">
        <v>16</v>
      </c>
      <c r="E12" s="18">
        <f>ROUND(4765*1.05,2)</f>
      </c>
      <c r="F12" s="17" t="s">
        <v>48</v>
      </c>
      <c r="G12" s="17" t="s">
        <v>18</v>
      </c>
      <c r="H12" s="18">
        <f>ROUND(RAND()*4+6,1)</f>
      </c>
      <c r="I12" s="17" t="s">
        <v>19</v>
      </c>
      <c r="J12" s="19">
        <f>ROUND(83*1,0)&amp;"%"</f>
      </c>
    </row>
    <row x14ac:dyDescent="0.25" r="13" customHeight="1" ht="17.25">
      <c r="A13" s="20" t="s">
        <v>11702</v>
      </c>
      <c r="B13" s="20" t="s">
        <v>50</v>
      </c>
      <c r="C13" s="20" t="s">
        <v>15</v>
      </c>
      <c r="D13" s="20" t="s">
        <v>22</v>
      </c>
      <c r="E13" s="21">
        <f>ROUND(13643*1.05,2)</f>
      </c>
      <c r="F13" s="20" t="s">
        <v>51</v>
      </c>
      <c r="G13" s="20" t="s">
        <v>24</v>
      </c>
      <c r="H13" s="22">
        <f>ROUND(RAND()*4+6,1)</f>
      </c>
      <c r="I13" s="20" t="s">
        <v>25</v>
      </c>
      <c r="J13" s="23">
        <f>ROUND(98*1,0)&amp;"%"</f>
      </c>
    </row>
    <row x14ac:dyDescent="0.25" r="14" customHeight="1" ht="17.25">
      <c r="A14" s="24" t="s">
        <v>52</v>
      </c>
      <c r="B14" s="24"/>
      <c r="C14" s="24"/>
      <c r="D14" s="24"/>
      <c r="E14" s="25">
        <v>8</v>
      </c>
      <c r="F14" s="9"/>
      <c r="G14" s="9"/>
      <c r="H14" s="10"/>
      <c r="I14" s="9"/>
      <c r="J14" s="9"/>
    </row>
    <row x14ac:dyDescent="0.25" r="15" customHeight="1" ht="17.25">
      <c r="A15" s="7"/>
      <c r="B15" s="7"/>
      <c r="C15" s="7"/>
      <c r="D15" s="7"/>
      <c r="E15" s="8"/>
      <c r="F15" s="9"/>
      <c r="G15" s="9"/>
      <c r="H15" s="10"/>
      <c r="I15" s="9"/>
      <c r="J15" s="9"/>
    </row>
    <row x14ac:dyDescent="0.25" r="16" customHeight="1" ht="17.25">
      <c r="A16" s="11" t="s">
        <v>11703</v>
      </c>
      <c r="B16" s="11"/>
      <c r="C16" s="11"/>
      <c r="D16" s="11"/>
      <c r="E16" s="12"/>
      <c r="F16" s="11"/>
      <c r="G16" s="11"/>
      <c r="H16" s="13"/>
      <c r="I16" s="11"/>
      <c r="J16" s="11"/>
    </row>
    <row x14ac:dyDescent="0.25" r="17" customHeight="1" ht="17.25">
      <c r="A17" s="14" t="s">
        <v>3</v>
      </c>
      <c r="B17" s="14" t="s">
        <v>4</v>
      </c>
      <c r="C17" s="14" t="s">
        <v>5</v>
      </c>
      <c r="D17" s="14" t="s">
        <v>6</v>
      </c>
      <c r="E17" s="15" t="s">
        <v>7</v>
      </c>
      <c r="F17" s="14" t="s">
        <v>8</v>
      </c>
      <c r="G17" s="14" t="s">
        <v>9</v>
      </c>
      <c r="H17" s="16" t="s">
        <v>10</v>
      </c>
      <c r="I17" s="14" t="s">
        <v>11</v>
      </c>
      <c r="J17" s="14" t="s">
        <v>12</v>
      </c>
    </row>
    <row x14ac:dyDescent="0.25" r="18" customHeight="1" ht="17.25">
      <c r="A18" s="17" t="s">
        <v>11704</v>
      </c>
      <c r="B18" s="17" t="s">
        <v>55</v>
      </c>
      <c r="C18" s="17" t="s">
        <v>56</v>
      </c>
      <c r="D18" s="17" t="s">
        <v>16</v>
      </c>
      <c r="E18" s="18">
        <f>ROUND(13797*1.05,2)</f>
      </c>
      <c r="F18" s="17" t="s">
        <v>17</v>
      </c>
      <c r="G18" s="17" t="s">
        <v>18</v>
      </c>
      <c r="H18" s="18">
        <f>ROUND(RAND()*4+6,1)</f>
      </c>
      <c r="I18" s="17" t="s">
        <v>19</v>
      </c>
      <c r="J18" s="19">
        <f>ROUND(99*1,0)&amp;"%"</f>
      </c>
    </row>
    <row x14ac:dyDescent="0.25" r="19" customHeight="1" ht="17.25">
      <c r="A19" s="20" t="s">
        <v>11705</v>
      </c>
      <c r="B19" s="20" t="s">
        <v>58</v>
      </c>
      <c r="C19" s="20" t="s">
        <v>56</v>
      </c>
      <c r="D19" s="20" t="s">
        <v>22</v>
      </c>
      <c r="E19" s="21">
        <f>ROUND(15442*1.05,2)</f>
      </c>
      <c r="F19" s="20" t="s">
        <v>23</v>
      </c>
      <c r="G19" s="20" t="s">
        <v>24</v>
      </c>
      <c r="H19" s="21">
        <f>ROUND(RAND()*4+6,1)</f>
      </c>
      <c r="I19" s="20" t="s">
        <v>25</v>
      </c>
      <c r="J19" s="23">
        <f>ROUND(94*1,0)&amp;"%"</f>
      </c>
    </row>
    <row x14ac:dyDescent="0.25" r="20" customHeight="1" ht="17.25">
      <c r="A20" s="17" t="s">
        <v>11706</v>
      </c>
      <c r="B20" s="17" t="s">
        <v>60</v>
      </c>
      <c r="C20" s="17" t="s">
        <v>56</v>
      </c>
      <c r="D20" s="17" t="s">
        <v>28</v>
      </c>
      <c r="E20" s="18">
        <f>ROUND(6523*1.05,2)</f>
      </c>
      <c r="F20" s="17" t="s">
        <v>29</v>
      </c>
      <c r="G20" s="17" t="s">
        <v>30</v>
      </c>
      <c r="H20" s="18">
        <f>ROUND(RAND()*4+6,1)</f>
      </c>
      <c r="I20" s="17" t="s">
        <v>31</v>
      </c>
      <c r="J20" s="19">
        <f>ROUND(82*1,0)&amp;"%"</f>
      </c>
    </row>
    <row x14ac:dyDescent="0.25" r="21" customHeight="1" ht="17.25">
      <c r="A21" s="20" t="s">
        <v>11707</v>
      </c>
      <c r="B21" s="20" t="s">
        <v>62</v>
      </c>
      <c r="C21" s="20" t="s">
        <v>56</v>
      </c>
      <c r="D21" s="20" t="s">
        <v>34</v>
      </c>
      <c r="E21" s="21">
        <f>ROUND(5282*1.05,2)</f>
      </c>
      <c r="F21" s="20" t="s">
        <v>35</v>
      </c>
      <c r="G21" s="20" t="s">
        <v>18</v>
      </c>
      <c r="H21" s="21">
        <f>ROUND(RAND()*4+6,1)</f>
      </c>
      <c r="I21" s="20" t="s">
        <v>36</v>
      </c>
      <c r="J21" s="23">
        <f>ROUND(71*1,0)&amp;"%"</f>
      </c>
    </row>
    <row x14ac:dyDescent="0.25" r="22" customHeight="1" ht="17.25">
      <c r="A22" s="17" t="s">
        <v>11708</v>
      </c>
      <c r="B22" s="17" t="s">
        <v>64</v>
      </c>
      <c r="C22" s="17" t="s">
        <v>56</v>
      </c>
      <c r="D22" s="17" t="s">
        <v>39</v>
      </c>
      <c r="E22" s="18">
        <f>ROUND(15425*1.05,2)</f>
      </c>
      <c r="F22" s="17" t="s">
        <v>40</v>
      </c>
      <c r="G22" s="17" t="s">
        <v>24</v>
      </c>
      <c r="H22" s="26">
        <f>ROUND(RAND()*4+6,1)</f>
      </c>
      <c r="I22" s="17" t="s">
        <v>41</v>
      </c>
      <c r="J22" s="19">
        <f>ROUND(69*1,0)&amp;"%"</f>
      </c>
    </row>
    <row x14ac:dyDescent="0.25" r="23" customHeight="1" ht="17.25">
      <c r="A23" s="20" t="s">
        <v>11709</v>
      </c>
      <c r="B23" s="20" t="s">
        <v>66</v>
      </c>
      <c r="C23" s="20" t="s">
        <v>56</v>
      </c>
      <c r="D23" s="20" t="s">
        <v>67</v>
      </c>
      <c r="E23" s="21">
        <f>ROUND(17399*1.05,2)</f>
      </c>
      <c r="F23" s="20" t="s">
        <v>44</v>
      </c>
      <c r="G23" s="20" t="s">
        <v>30</v>
      </c>
      <c r="H23" s="22">
        <f>ROUND(RAND()*4+6,1)</f>
      </c>
      <c r="I23" s="20" t="s">
        <v>45</v>
      </c>
      <c r="J23" s="23">
        <f>ROUND(66*1,0)&amp;"%"</f>
      </c>
    </row>
    <row x14ac:dyDescent="0.25" r="24" customHeight="1" ht="17.25">
      <c r="A24" s="17" t="s">
        <v>11710</v>
      </c>
      <c r="B24" s="17" t="s">
        <v>69</v>
      </c>
      <c r="C24" s="17" t="s">
        <v>56</v>
      </c>
      <c r="D24" s="17" t="s">
        <v>16</v>
      </c>
      <c r="E24" s="18">
        <f>ROUND(16112*1.05,2)</f>
      </c>
      <c r="F24" s="17" t="s">
        <v>48</v>
      </c>
      <c r="G24" s="17" t="s">
        <v>18</v>
      </c>
      <c r="H24" s="18">
        <f>ROUND(RAND()*4+6,1)</f>
      </c>
      <c r="I24" s="17" t="s">
        <v>19</v>
      </c>
      <c r="J24" s="19">
        <f>ROUND(79*1,0)&amp;"%"</f>
      </c>
    </row>
    <row x14ac:dyDescent="0.25" r="25" customHeight="1" ht="17.25">
      <c r="A25" s="20" t="s">
        <v>11711</v>
      </c>
      <c r="B25" s="20" t="s">
        <v>71</v>
      </c>
      <c r="C25" s="20" t="s">
        <v>56</v>
      </c>
      <c r="D25" s="20" t="s">
        <v>22</v>
      </c>
      <c r="E25" s="21">
        <f>ROUND(15376*1.05,2)</f>
      </c>
      <c r="F25" s="20" t="s">
        <v>51</v>
      </c>
      <c r="G25" s="20" t="s">
        <v>24</v>
      </c>
      <c r="H25" s="21">
        <f>ROUND(RAND()*4+6,1)</f>
      </c>
      <c r="I25" s="20" t="s">
        <v>25</v>
      </c>
      <c r="J25" s="23">
        <f>ROUND(77*1,0)&amp;"%"</f>
      </c>
    </row>
    <row x14ac:dyDescent="0.25" r="26" customHeight="1" ht="17.25">
      <c r="A26" s="24" t="s">
        <v>72</v>
      </c>
      <c r="B26" s="24"/>
      <c r="C26" s="24"/>
      <c r="D26" s="24"/>
      <c r="E26" s="25">
        <v>8</v>
      </c>
      <c r="F26" s="9"/>
      <c r="G26" s="9"/>
      <c r="H26" s="10"/>
      <c r="I26" s="9"/>
      <c r="J26" s="9"/>
    </row>
    <row x14ac:dyDescent="0.25" r="27" customHeight="1" ht="17.25">
      <c r="A27" s="7"/>
      <c r="B27" s="7"/>
      <c r="C27" s="7"/>
      <c r="D27" s="7"/>
      <c r="E27" s="8"/>
      <c r="F27" s="9"/>
      <c r="G27" s="9"/>
      <c r="H27" s="10"/>
      <c r="I27" s="9"/>
      <c r="J27" s="9"/>
    </row>
    <row x14ac:dyDescent="0.25" r="28" customHeight="1" ht="17.25">
      <c r="A28" s="11" t="s">
        <v>11712</v>
      </c>
      <c r="B28" s="11"/>
      <c r="C28" s="11"/>
      <c r="D28" s="11"/>
      <c r="E28" s="12"/>
      <c r="F28" s="11"/>
      <c r="G28" s="11"/>
      <c r="H28" s="13"/>
      <c r="I28" s="11"/>
      <c r="J28" s="11"/>
    </row>
    <row x14ac:dyDescent="0.25" r="29" customHeight="1" ht="17.25">
      <c r="A29" s="14" t="s">
        <v>3</v>
      </c>
      <c r="B29" s="14" t="s">
        <v>4</v>
      </c>
      <c r="C29" s="14" t="s">
        <v>5</v>
      </c>
      <c r="D29" s="14" t="s">
        <v>6</v>
      </c>
      <c r="E29" s="15" t="s">
        <v>7</v>
      </c>
      <c r="F29" s="14" t="s">
        <v>8</v>
      </c>
      <c r="G29" s="14" t="s">
        <v>9</v>
      </c>
      <c r="H29" s="16" t="s">
        <v>10</v>
      </c>
      <c r="I29" s="14" t="s">
        <v>11</v>
      </c>
      <c r="J29" s="14" t="s">
        <v>12</v>
      </c>
    </row>
    <row x14ac:dyDescent="0.25" r="30" customHeight="1" ht="17.25">
      <c r="A30" s="17" t="s">
        <v>11713</v>
      </c>
      <c r="B30" s="17" t="s">
        <v>75</v>
      </c>
      <c r="C30" s="17" t="s">
        <v>76</v>
      </c>
      <c r="D30" s="17" t="s">
        <v>16</v>
      </c>
      <c r="E30" s="18">
        <f>ROUND(15299*1.05,2)</f>
      </c>
      <c r="F30" s="17" t="s">
        <v>17</v>
      </c>
      <c r="G30" s="17" t="s">
        <v>18</v>
      </c>
      <c r="H30" s="18">
        <f>ROUND(RAND()*4+6,1)</f>
      </c>
      <c r="I30" s="17" t="s">
        <v>19</v>
      </c>
      <c r="J30" s="19">
        <f>ROUND(96*1,0)&amp;"%"</f>
      </c>
    </row>
    <row x14ac:dyDescent="0.25" r="31" customHeight="1" ht="17.25">
      <c r="A31" s="20" t="s">
        <v>11714</v>
      </c>
      <c r="B31" s="20" t="s">
        <v>78</v>
      </c>
      <c r="C31" s="20" t="s">
        <v>76</v>
      </c>
      <c r="D31" s="20" t="s">
        <v>22</v>
      </c>
      <c r="E31" s="21">
        <f>ROUND(16055*1.05,2)</f>
      </c>
      <c r="F31" s="20" t="s">
        <v>23</v>
      </c>
      <c r="G31" s="20" t="s">
        <v>24</v>
      </c>
      <c r="H31" s="21">
        <f>ROUND(RAND()*4+6,1)</f>
      </c>
      <c r="I31" s="20" t="s">
        <v>25</v>
      </c>
      <c r="J31" s="23">
        <f>ROUND(97*1,0)&amp;"%"</f>
      </c>
    </row>
    <row x14ac:dyDescent="0.25" r="32" customHeight="1" ht="17.25">
      <c r="A32" s="17" t="s">
        <v>11715</v>
      </c>
      <c r="B32" s="17" t="s">
        <v>80</v>
      </c>
      <c r="C32" s="17" t="s">
        <v>76</v>
      </c>
      <c r="D32" s="17" t="s">
        <v>28</v>
      </c>
      <c r="E32" s="18">
        <f>ROUND(6635*1.05,2)</f>
      </c>
      <c r="F32" s="17" t="s">
        <v>29</v>
      </c>
      <c r="G32" s="17" t="s">
        <v>30</v>
      </c>
      <c r="H32" s="26">
        <f>ROUND(RAND()*4+6,1)</f>
      </c>
      <c r="I32" s="17" t="s">
        <v>31</v>
      </c>
      <c r="J32" s="19">
        <f>ROUND(76*1,0)&amp;"%"</f>
      </c>
    </row>
    <row x14ac:dyDescent="0.25" r="33" customHeight="1" ht="17.25">
      <c r="A33" s="20" t="s">
        <v>11716</v>
      </c>
      <c r="B33" s="20" t="s">
        <v>82</v>
      </c>
      <c r="C33" s="20" t="s">
        <v>76</v>
      </c>
      <c r="D33" s="20" t="s">
        <v>34</v>
      </c>
      <c r="E33" s="22">
        <f>ROUND(15440*1.05,2)</f>
      </c>
      <c r="F33" s="20" t="s">
        <v>35</v>
      </c>
      <c r="G33" s="20" t="s">
        <v>18</v>
      </c>
      <c r="H33" s="21">
        <f>ROUND(RAND()*4+6,1)</f>
      </c>
      <c r="I33" s="20" t="s">
        <v>36</v>
      </c>
      <c r="J33" s="23">
        <f>ROUND(70*1,0)&amp;"%"</f>
      </c>
    </row>
    <row x14ac:dyDescent="0.25" r="34" customHeight="1" ht="17.25">
      <c r="A34" s="17" t="s">
        <v>11717</v>
      </c>
      <c r="B34" s="17" t="s">
        <v>84</v>
      </c>
      <c r="C34" s="17" t="s">
        <v>76</v>
      </c>
      <c r="D34" s="17" t="s">
        <v>39</v>
      </c>
      <c r="E34" s="18">
        <f>ROUND(9598*1.05,2)</f>
      </c>
      <c r="F34" s="17" t="s">
        <v>40</v>
      </c>
      <c r="G34" s="17" t="s">
        <v>24</v>
      </c>
      <c r="H34" s="18">
        <f>ROUND(RAND()*4+6,1)</f>
      </c>
      <c r="I34" s="17" t="s">
        <v>41</v>
      </c>
      <c r="J34" s="19">
        <f>ROUND(78*1,0)&amp;"%"</f>
      </c>
    </row>
    <row x14ac:dyDescent="0.25" r="35" customHeight="1" ht="17.25">
      <c r="A35" s="20" t="s">
        <v>11718</v>
      </c>
      <c r="B35" s="20" t="s">
        <v>86</v>
      </c>
      <c r="C35" s="20" t="s">
        <v>76</v>
      </c>
      <c r="D35" s="20" t="s">
        <v>67</v>
      </c>
      <c r="E35" s="21">
        <f>ROUND(5345*1.05,2)</f>
      </c>
      <c r="F35" s="20" t="s">
        <v>44</v>
      </c>
      <c r="G35" s="20" t="s">
        <v>30</v>
      </c>
      <c r="H35" s="21">
        <f>ROUND(RAND()*4+6,1)</f>
      </c>
      <c r="I35" s="20" t="s">
        <v>45</v>
      </c>
      <c r="J35" s="23">
        <f>ROUND(97*1,0)&amp;"%"</f>
      </c>
    </row>
    <row x14ac:dyDescent="0.25" r="36" customHeight="1" ht="17.25">
      <c r="A36" s="17" t="s">
        <v>11719</v>
      </c>
      <c r="B36" s="17" t="s">
        <v>88</v>
      </c>
      <c r="C36" s="17" t="s">
        <v>76</v>
      </c>
      <c r="D36" s="17" t="s">
        <v>16</v>
      </c>
      <c r="E36" s="26">
        <f>ROUND(7900*1.05,2)</f>
      </c>
      <c r="F36" s="17" t="s">
        <v>48</v>
      </c>
      <c r="G36" s="17" t="s">
        <v>18</v>
      </c>
      <c r="H36" s="18">
        <f>ROUND(RAND()*4+6,1)</f>
      </c>
      <c r="I36" s="17" t="s">
        <v>19</v>
      </c>
      <c r="J36" s="19">
        <f>ROUND(72*1,0)&amp;"%"</f>
      </c>
    </row>
    <row x14ac:dyDescent="0.25" r="37" customHeight="1" ht="17.25">
      <c r="A37" s="20" t="s">
        <v>11720</v>
      </c>
      <c r="B37" s="20" t="s">
        <v>90</v>
      </c>
      <c r="C37" s="20" t="s">
        <v>76</v>
      </c>
      <c r="D37" s="20" t="s">
        <v>22</v>
      </c>
      <c r="E37" s="21">
        <f>ROUND(14937*1.05,2)</f>
      </c>
      <c r="F37" s="20" t="s">
        <v>51</v>
      </c>
      <c r="G37" s="20" t="s">
        <v>24</v>
      </c>
      <c r="H37" s="21">
        <f>ROUND(RAND()*4+6,1)</f>
      </c>
      <c r="I37" s="20" t="s">
        <v>25</v>
      </c>
      <c r="J37" s="23">
        <f>ROUND(81*1,0)&amp;"%"</f>
      </c>
    </row>
    <row x14ac:dyDescent="0.25" r="38" customHeight="1" ht="17.25">
      <c r="A38" s="24" t="s">
        <v>91</v>
      </c>
      <c r="B38" s="24"/>
      <c r="C38" s="24"/>
      <c r="D38" s="24"/>
      <c r="E38" s="25">
        <v>8</v>
      </c>
      <c r="F38" s="9"/>
      <c r="G38" s="9"/>
      <c r="H38" s="10"/>
      <c r="I38" s="9"/>
      <c r="J38" s="9"/>
    </row>
    <row x14ac:dyDescent="0.25" r="39" customHeight="1" ht="17.25">
      <c r="A39" s="7"/>
      <c r="B39" s="7"/>
      <c r="C39" s="7"/>
      <c r="D39" s="7"/>
      <c r="E39" s="8"/>
      <c r="F39" s="9"/>
      <c r="G39" s="9"/>
      <c r="H39" s="10"/>
      <c r="I39" s="9"/>
      <c r="J39" s="9"/>
    </row>
    <row x14ac:dyDescent="0.25" r="40" customHeight="1" ht="17.25">
      <c r="A40" s="11" t="s">
        <v>11721</v>
      </c>
      <c r="B40" s="11"/>
      <c r="C40" s="11"/>
      <c r="D40" s="11"/>
      <c r="E40" s="12"/>
      <c r="F40" s="11"/>
      <c r="G40" s="11"/>
      <c r="H40" s="13"/>
      <c r="I40" s="11"/>
      <c r="J40" s="11"/>
    </row>
    <row x14ac:dyDescent="0.25" r="41" customHeight="1" ht="17.25">
      <c r="A41" s="14" t="s">
        <v>3</v>
      </c>
      <c r="B41" s="14" t="s">
        <v>4</v>
      </c>
      <c r="C41" s="14" t="s">
        <v>5</v>
      </c>
      <c r="D41" s="14" t="s">
        <v>6</v>
      </c>
      <c r="E41" s="15" t="s">
        <v>7</v>
      </c>
      <c r="F41" s="14" t="s">
        <v>8</v>
      </c>
      <c r="G41" s="14" t="s">
        <v>9</v>
      </c>
      <c r="H41" s="16" t="s">
        <v>10</v>
      </c>
      <c r="I41" s="14" t="s">
        <v>11</v>
      </c>
      <c r="J41" s="14" t="s">
        <v>12</v>
      </c>
    </row>
    <row x14ac:dyDescent="0.25" r="42" customHeight="1" ht="17.25">
      <c r="A42" s="17" t="s">
        <v>11722</v>
      </c>
      <c r="B42" s="17" t="s">
        <v>94</v>
      </c>
      <c r="C42" s="17" t="s">
        <v>95</v>
      </c>
      <c r="D42" s="17" t="s">
        <v>16</v>
      </c>
      <c r="E42" s="18">
        <f>ROUND(13169*1.05,2)</f>
      </c>
      <c r="F42" s="17" t="s">
        <v>17</v>
      </c>
      <c r="G42" s="17" t="s">
        <v>18</v>
      </c>
      <c r="H42" s="18">
        <f>ROUND(RAND()*4+6,1)</f>
      </c>
      <c r="I42" s="17" t="s">
        <v>19</v>
      </c>
      <c r="J42" s="19">
        <f>ROUND(91*1,0)&amp;"%"</f>
      </c>
    </row>
    <row x14ac:dyDescent="0.25" r="43" customHeight="1" ht="17.25">
      <c r="A43" s="20" t="s">
        <v>11723</v>
      </c>
      <c r="B43" s="20" t="s">
        <v>97</v>
      </c>
      <c r="C43" s="20" t="s">
        <v>95</v>
      </c>
      <c r="D43" s="20" t="s">
        <v>22</v>
      </c>
      <c r="E43" s="21">
        <f>ROUND(15243*1.05,2)</f>
      </c>
      <c r="F43" s="20" t="s">
        <v>23</v>
      </c>
      <c r="G43" s="20" t="s">
        <v>24</v>
      </c>
      <c r="H43" s="21">
        <f>ROUND(RAND()*4+6,1)</f>
      </c>
      <c r="I43" s="20" t="s">
        <v>25</v>
      </c>
      <c r="J43" s="23">
        <f>ROUND(69*1,0)&amp;"%"</f>
      </c>
    </row>
    <row x14ac:dyDescent="0.25" r="44" customHeight="1" ht="17.25">
      <c r="A44" s="17" t="s">
        <v>11724</v>
      </c>
      <c r="B44" s="17" t="s">
        <v>99</v>
      </c>
      <c r="C44" s="17" t="s">
        <v>95</v>
      </c>
      <c r="D44" s="17" t="s">
        <v>28</v>
      </c>
      <c r="E44" s="18">
        <f>ROUND(15949*1.05,2)</f>
      </c>
      <c r="F44" s="17" t="s">
        <v>29</v>
      </c>
      <c r="G44" s="17" t="s">
        <v>30</v>
      </c>
      <c r="H44" s="18">
        <f>ROUND(RAND()*4+6,1)</f>
      </c>
      <c r="I44" s="17" t="s">
        <v>31</v>
      </c>
      <c r="J44" s="19">
        <f>ROUND(73*1,0)&amp;"%"</f>
      </c>
    </row>
    <row x14ac:dyDescent="0.25" r="45" customHeight="1" ht="17.25">
      <c r="A45" s="20" t="s">
        <v>11725</v>
      </c>
      <c r="B45" s="20" t="s">
        <v>101</v>
      </c>
      <c r="C45" s="20" t="s">
        <v>95</v>
      </c>
      <c r="D45" s="20" t="s">
        <v>34</v>
      </c>
      <c r="E45" s="21">
        <f>ROUND(9134*1.05,2)</f>
      </c>
      <c r="F45" s="20" t="s">
        <v>35</v>
      </c>
      <c r="G45" s="20" t="s">
        <v>18</v>
      </c>
      <c r="H45" s="22">
        <f>ROUND(RAND()*4+6,1)</f>
      </c>
      <c r="I45" s="20" t="s">
        <v>36</v>
      </c>
      <c r="J45" s="23">
        <f>ROUND(78*1,0)&amp;"%"</f>
      </c>
    </row>
    <row x14ac:dyDescent="0.25" r="46" customHeight="1" ht="17.25">
      <c r="A46" s="17" t="s">
        <v>11726</v>
      </c>
      <c r="B46" s="17" t="s">
        <v>103</v>
      </c>
      <c r="C46" s="17" t="s">
        <v>95</v>
      </c>
      <c r="D46" s="17" t="s">
        <v>39</v>
      </c>
      <c r="E46" s="18">
        <f>ROUND(5531*1.05,2)</f>
      </c>
      <c r="F46" s="17" t="s">
        <v>40</v>
      </c>
      <c r="G46" s="17" t="s">
        <v>24</v>
      </c>
      <c r="H46" s="18">
        <f>ROUND(RAND()*4+6,1)</f>
      </c>
      <c r="I46" s="17" t="s">
        <v>41</v>
      </c>
      <c r="J46" s="19">
        <f>ROUND(90*1,0)&amp;"%"</f>
      </c>
    </row>
    <row x14ac:dyDescent="0.25" r="47" customHeight="1" ht="17.25">
      <c r="A47" s="20" t="s">
        <v>11727</v>
      </c>
      <c r="B47" s="20" t="s">
        <v>105</v>
      </c>
      <c r="C47" s="20" t="s">
        <v>95</v>
      </c>
      <c r="D47" s="20" t="s">
        <v>67</v>
      </c>
      <c r="E47" s="21">
        <f>ROUND(13963*1.05,2)</f>
      </c>
      <c r="F47" s="20" t="s">
        <v>44</v>
      </c>
      <c r="G47" s="20" t="s">
        <v>30</v>
      </c>
      <c r="H47" s="21">
        <f>ROUND(RAND()*4+6,1)</f>
      </c>
      <c r="I47" s="20" t="s">
        <v>45</v>
      </c>
      <c r="J47" s="23">
        <f>ROUND(76*1,0)&amp;"%"</f>
      </c>
    </row>
    <row x14ac:dyDescent="0.25" r="48" customHeight="1" ht="17.25">
      <c r="A48" s="17" t="s">
        <v>11728</v>
      </c>
      <c r="B48" s="17" t="s">
        <v>107</v>
      </c>
      <c r="C48" s="17" t="s">
        <v>95</v>
      </c>
      <c r="D48" s="17" t="s">
        <v>16</v>
      </c>
      <c r="E48" s="26">
        <f>ROUND(9620*1.05,2)</f>
      </c>
      <c r="F48" s="17" t="s">
        <v>48</v>
      </c>
      <c r="G48" s="17" t="s">
        <v>18</v>
      </c>
      <c r="H48" s="18">
        <f>ROUND(RAND()*4+6,1)</f>
      </c>
      <c r="I48" s="17" t="s">
        <v>19</v>
      </c>
      <c r="J48" s="19">
        <f>ROUND(71*1,0)&amp;"%"</f>
      </c>
    </row>
    <row x14ac:dyDescent="0.25" r="49" customHeight="1" ht="17.25">
      <c r="A49" s="20" t="s">
        <v>11729</v>
      </c>
      <c r="B49" s="20" t="s">
        <v>109</v>
      </c>
      <c r="C49" s="20" t="s">
        <v>95</v>
      </c>
      <c r="D49" s="20" t="s">
        <v>22</v>
      </c>
      <c r="E49" s="21">
        <f>ROUND(7089*1.05,2)</f>
      </c>
      <c r="F49" s="20" t="s">
        <v>51</v>
      </c>
      <c r="G49" s="20" t="s">
        <v>24</v>
      </c>
      <c r="H49" s="21">
        <f>ROUND(RAND()*4+6,1)</f>
      </c>
      <c r="I49" s="20" t="s">
        <v>25</v>
      </c>
      <c r="J49" s="23">
        <f>ROUND(94*1,0)&amp;"%"</f>
      </c>
    </row>
    <row x14ac:dyDescent="0.25" r="50" customHeight="1" ht="17.25">
      <c r="A50" s="24" t="s">
        <v>110</v>
      </c>
      <c r="B50" s="24"/>
      <c r="C50" s="24"/>
      <c r="D50" s="24"/>
      <c r="E50" s="25">
        <v>8</v>
      </c>
      <c r="F50" s="9"/>
      <c r="G50" s="9"/>
      <c r="H50" s="10"/>
      <c r="I50" s="9"/>
      <c r="J50" s="9"/>
    </row>
    <row x14ac:dyDescent="0.25" r="51" customHeight="1" ht="17.25">
      <c r="A51" s="7"/>
      <c r="B51" s="7"/>
      <c r="C51" s="7"/>
      <c r="D51" s="7"/>
      <c r="E51" s="8"/>
      <c r="F51" s="9"/>
      <c r="G51" s="9"/>
      <c r="H51" s="10"/>
      <c r="I51" s="9"/>
      <c r="J51" s="9"/>
    </row>
    <row x14ac:dyDescent="0.25" r="52" customHeight="1" ht="17.25">
      <c r="A52" s="11" t="s">
        <v>11730</v>
      </c>
      <c r="B52" s="11"/>
      <c r="C52" s="11"/>
      <c r="D52" s="11"/>
      <c r="E52" s="12"/>
      <c r="F52" s="11"/>
      <c r="G52" s="11"/>
      <c r="H52" s="13"/>
      <c r="I52" s="11"/>
      <c r="J52" s="11"/>
    </row>
    <row x14ac:dyDescent="0.25" r="53" customHeight="1" ht="17.25">
      <c r="A53" s="14" t="s">
        <v>3</v>
      </c>
      <c r="B53" s="14" t="s">
        <v>4</v>
      </c>
      <c r="C53" s="14" t="s">
        <v>5</v>
      </c>
      <c r="D53" s="14" t="s">
        <v>6</v>
      </c>
      <c r="E53" s="15" t="s">
        <v>7</v>
      </c>
      <c r="F53" s="14" t="s">
        <v>8</v>
      </c>
      <c r="G53" s="14" t="s">
        <v>9</v>
      </c>
      <c r="H53" s="16" t="s">
        <v>10</v>
      </c>
      <c r="I53" s="14" t="s">
        <v>11</v>
      </c>
      <c r="J53" s="14" t="s">
        <v>12</v>
      </c>
    </row>
    <row x14ac:dyDescent="0.25" r="54" customHeight="1" ht="17.25">
      <c r="A54" s="17" t="s">
        <v>11731</v>
      </c>
      <c r="B54" s="17" t="s">
        <v>113</v>
      </c>
      <c r="C54" s="17" t="s">
        <v>114</v>
      </c>
      <c r="D54" s="17" t="s">
        <v>16</v>
      </c>
      <c r="E54" s="18">
        <f>ROUND(14062*1.05,2)</f>
      </c>
      <c r="F54" s="17" t="s">
        <v>17</v>
      </c>
      <c r="G54" s="17" t="s">
        <v>18</v>
      </c>
      <c r="H54" s="18">
        <f>ROUND(RAND()*4+6,1)</f>
      </c>
      <c r="I54" s="17" t="s">
        <v>19</v>
      </c>
      <c r="J54" s="19">
        <f>ROUND(71*1,0)&amp;"%"</f>
      </c>
    </row>
    <row x14ac:dyDescent="0.25" r="55" customHeight="1" ht="17.25">
      <c r="A55" s="20" t="s">
        <v>11732</v>
      </c>
      <c r="B55" s="20" t="s">
        <v>116</v>
      </c>
      <c r="C55" s="20" t="s">
        <v>114</v>
      </c>
      <c r="D55" s="20" t="s">
        <v>22</v>
      </c>
      <c r="E55" s="21">
        <f>ROUND(11389*1.05,2)</f>
      </c>
      <c r="F55" s="20" t="s">
        <v>23</v>
      </c>
      <c r="G55" s="20" t="s">
        <v>24</v>
      </c>
      <c r="H55" s="21">
        <f>ROUND(RAND()*4+6,1)</f>
      </c>
      <c r="I55" s="20" t="s">
        <v>25</v>
      </c>
      <c r="J55" s="23">
        <f>ROUND(96*1,0)&amp;"%"</f>
      </c>
    </row>
    <row x14ac:dyDescent="0.25" r="56" customHeight="1" ht="17.25">
      <c r="A56" s="17" t="s">
        <v>11733</v>
      </c>
      <c r="B56" s="17" t="s">
        <v>118</v>
      </c>
      <c r="C56" s="17" t="s">
        <v>114</v>
      </c>
      <c r="D56" s="17" t="s">
        <v>28</v>
      </c>
      <c r="E56" s="18">
        <f>ROUND(10254*1.05,2)</f>
      </c>
      <c r="F56" s="17" t="s">
        <v>29</v>
      </c>
      <c r="G56" s="17" t="s">
        <v>30</v>
      </c>
      <c r="H56" s="18">
        <f>ROUND(RAND()*4+6,1)</f>
      </c>
      <c r="I56" s="17" t="s">
        <v>31</v>
      </c>
      <c r="J56" s="19">
        <f>ROUND(72*1,0)&amp;"%"</f>
      </c>
    </row>
    <row x14ac:dyDescent="0.25" r="57" customHeight="1" ht="17.25">
      <c r="A57" s="20" t="s">
        <v>11734</v>
      </c>
      <c r="B57" s="20" t="s">
        <v>120</v>
      </c>
      <c r="C57" s="20" t="s">
        <v>114</v>
      </c>
      <c r="D57" s="20" t="s">
        <v>34</v>
      </c>
      <c r="E57" s="21">
        <f>ROUND(13729*1.05,2)</f>
      </c>
      <c r="F57" s="20" t="s">
        <v>35</v>
      </c>
      <c r="G57" s="20" t="s">
        <v>18</v>
      </c>
      <c r="H57" s="21">
        <f>ROUND(RAND()*4+6,1)</f>
      </c>
      <c r="I57" s="20" t="s">
        <v>36</v>
      </c>
      <c r="J57" s="23">
        <f>ROUND(91*1,0)&amp;"%"</f>
      </c>
    </row>
    <row x14ac:dyDescent="0.25" r="58" customHeight="1" ht="17.25">
      <c r="A58" s="17" t="s">
        <v>11735</v>
      </c>
      <c r="B58" s="17" t="s">
        <v>122</v>
      </c>
      <c r="C58" s="17" t="s">
        <v>114</v>
      </c>
      <c r="D58" s="17" t="s">
        <v>39</v>
      </c>
      <c r="E58" s="18">
        <f>ROUND(9877*1.05,2)</f>
      </c>
      <c r="F58" s="17" t="s">
        <v>40</v>
      </c>
      <c r="G58" s="17" t="s">
        <v>24</v>
      </c>
      <c r="H58" s="18">
        <f>ROUND(RAND()*4+6,1)</f>
      </c>
      <c r="I58" s="17" t="s">
        <v>41</v>
      </c>
      <c r="J58" s="19">
        <f>ROUND(96*1,0)&amp;"%"</f>
      </c>
    </row>
    <row x14ac:dyDescent="0.25" r="59" customHeight="1" ht="17.25">
      <c r="A59" s="20" t="s">
        <v>11736</v>
      </c>
      <c r="B59" s="20" t="s">
        <v>124</v>
      </c>
      <c r="C59" s="20" t="s">
        <v>114</v>
      </c>
      <c r="D59" s="20" t="s">
        <v>67</v>
      </c>
      <c r="E59" s="21">
        <f>ROUND(13921*1.05,2)</f>
      </c>
      <c r="F59" s="20" t="s">
        <v>44</v>
      </c>
      <c r="G59" s="20" t="s">
        <v>30</v>
      </c>
      <c r="H59" s="22">
        <f>ROUND(RAND()*4+6,1)</f>
      </c>
      <c r="I59" s="20" t="s">
        <v>45</v>
      </c>
      <c r="J59" s="23">
        <f>ROUND(81*1,0)&amp;"%"</f>
      </c>
    </row>
    <row x14ac:dyDescent="0.25" r="60" customHeight="1" ht="17.25">
      <c r="A60" s="17" t="s">
        <v>11737</v>
      </c>
      <c r="B60" s="17" t="s">
        <v>126</v>
      </c>
      <c r="C60" s="17" t="s">
        <v>114</v>
      </c>
      <c r="D60" s="17" t="s">
        <v>16</v>
      </c>
      <c r="E60" s="18">
        <f>ROUND(4143*1.05,2)</f>
      </c>
      <c r="F60" s="17" t="s">
        <v>48</v>
      </c>
      <c r="G60" s="17" t="s">
        <v>18</v>
      </c>
      <c r="H60" s="18">
        <f>ROUND(RAND()*4+6,1)</f>
      </c>
      <c r="I60" s="17" t="s">
        <v>19</v>
      </c>
      <c r="J60" s="19">
        <f>ROUND(86*1,0)&amp;"%"</f>
      </c>
    </row>
    <row x14ac:dyDescent="0.25" r="61" customHeight="1" ht="17.25">
      <c r="A61" s="20" t="s">
        <v>11738</v>
      </c>
      <c r="B61" s="20" t="s">
        <v>128</v>
      </c>
      <c r="C61" s="20" t="s">
        <v>114</v>
      </c>
      <c r="D61" s="20" t="s">
        <v>22</v>
      </c>
      <c r="E61" s="21">
        <f>ROUND(7967*1.05,2)</f>
      </c>
      <c r="F61" s="20" t="s">
        <v>51</v>
      </c>
      <c r="G61" s="20" t="s">
        <v>24</v>
      </c>
      <c r="H61" s="22">
        <f>ROUND(RAND()*4+6,1)</f>
      </c>
      <c r="I61" s="20" t="s">
        <v>25</v>
      </c>
      <c r="J61" s="23">
        <f>ROUND(61*1,0)&amp;"%"</f>
      </c>
    </row>
    <row x14ac:dyDescent="0.25" r="62" customHeight="1" ht="17.25">
      <c r="A62" s="24" t="s">
        <v>129</v>
      </c>
      <c r="B62" s="24"/>
      <c r="C62" s="24"/>
      <c r="D62" s="24"/>
      <c r="E62" s="25">
        <v>8</v>
      </c>
      <c r="F62" s="9"/>
      <c r="G62" s="9"/>
      <c r="H62" s="10"/>
      <c r="I62" s="9"/>
      <c r="J62" s="9"/>
    </row>
    <row x14ac:dyDescent="0.25" r="63" customHeight="1" ht="17.25">
      <c r="A63" s="7"/>
      <c r="B63" s="7"/>
      <c r="C63" s="7"/>
      <c r="D63" s="7"/>
      <c r="E63" s="8"/>
      <c r="F63" s="9"/>
      <c r="G63" s="9"/>
      <c r="H63" s="10"/>
      <c r="I63" s="9"/>
      <c r="J63" s="9"/>
    </row>
    <row x14ac:dyDescent="0.25" r="64" customHeight="1" ht="17.25">
      <c r="A64" s="11" t="s">
        <v>11739</v>
      </c>
      <c r="B64" s="11"/>
      <c r="C64" s="11"/>
      <c r="D64" s="11"/>
      <c r="E64" s="12"/>
      <c r="F64" s="11"/>
      <c r="G64" s="11"/>
      <c r="H64" s="13"/>
      <c r="I64" s="11"/>
      <c r="J64" s="11"/>
    </row>
    <row x14ac:dyDescent="0.25" r="65" customHeight="1" ht="17.25">
      <c r="A65" s="14" t="s">
        <v>3</v>
      </c>
      <c r="B65" s="14" t="s">
        <v>4</v>
      </c>
      <c r="C65" s="14" t="s">
        <v>5</v>
      </c>
      <c r="D65" s="14" t="s">
        <v>6</v>
      </c>
      <c r="E65" s="15" t="s">
        <v>7</v>
      </c>
      <c r="F65" s="14" t="s">
        <v>8</v>
      </c>
      <c r="G65" s="14" t="s">
        <v>9</v>
      </c>
      <c r="H65" s="16" t="s">
        <v>10</v>
      </c>
      <c r="I65" s="14" t="s">
        <v>11</v>
      </c>
      <c r="J65" s="14" t="s">
        <v>12</v>
      </c>
    </row>
    <row x14ac:dyDescent="0.25" r="66" customHeight="1" ht="17.25">
      <c r="A66" s="17" t="s">
        <v>11740</v>
      </c>
      <c r="B66" s="17" t="s">
        <v>132</v>
      </c>
      <c r="C66" s="17" t="s">
        <v>133</v>
      </c>
      <c r="D66" s="17" t="s">
        <v>16</v>
      </c>
      <c r="E66" s="26">
        <f>ROUND(4280*1.05,2)</f>
      </c>
      <c r="F66" s="17" t="s">
        <v>17</v>
      </c>
      <c r="G66" s="17" t="s">
        <v>18</v>
      </c>
      <c r="H66" s="18">
        <f>ROUND(RAND()*4+6,1)</f>
      </c>
      <c r="I66" s="17" t="s">
        <v>19</v>
      </c>
      <c r="J66" s="19">
        <f>ROUND(73*1,0)&amp;"%"</f>
      </c>
    </row>
    <row x14ac:dyDescent="0.25" r="67" customHeight="1" ht="17.25">
      <c r="A67" s="20" t="s">
        <v>11741</v>
      </c>
      <c r="B67" s="20" t="s">
        <v>135</v>
      </c>
      <c r="C67" s="20" t="s">
        <v>133</v>
      </c>
      <c r="D67" s="20" t="s">
        <v>22</v>
      </c>
      <c r="E67" s="21">
        <f>ROUND(8596*1.05,2)</f>
      </c>
      <c r="F67" s="20" t="s">
        <v>23</v>
      </c>
      <c r="G67" s="20" t="s">
        <v>24</v>
      </c>
      <c r="H67" s="22">
        <f>ROUND(RAND()*4+6,1)</f>
      </c>
      <c r="I67" s="20" t="s">
        <v>25</v>
      </c>
      <c r="J67" s="23">
        <f>ROUND(74*1,0)&amp;"%"</f>
      </c>
    </row>
    <row x14ac:dyDescent="0.25" r="68" customHeight="1" ht="17.25">
      <c r="A68" s="17" t="s">
        <v>11742</v>
      </c>
      <c r="B68" s="17" t="s">
        <v>137</v>
      </c>
      <c r="C68" s="17" t="s">
        <v>133</v>
      </c>
      <c r="D68" s="17" t="s">
        <v>28</v>
      </c>
      <c r="E68" s="18">
        <f>ROUND(17552*1.05,2)</f>
      </c>
      <c r="F68" s="17" t="s">
        <v>29</v>
      </c>
      <c r="G68" s="17" t="s">
        <v>30</v>
      </c>
      <c r="H68" s="18">
        <f>ROUND(RAND()*4+6,1)</f>
      </c>
      <c r="I68" s="17" t="s">
        <v>31</v>
      </c>
      <c r="J68" s="19">
        <f>ROUND(95*1,0)&amp;"%"</f>
      </c>
    </row>
    <row x14ac:dyDescent="0.25" r="69" customHeight="1" ht="17.25">
      <c r="A69" s="20" t="s">
        <v>11743</v>
      </c>
      <c r="B69" s="20" t="s">
        <v>139</v>
      </c>
      <c r="C69" s="20" t="s">
        <v>133</v>
      </c>
      <c r="D69" s="20" t="s">
        <v>34</v>
      </c>
      <c r="E69" s="21">
        <f>ROUND(16865*1.05,2)</f>
      </c>
      <c r="F69" s="20" t="s">
        <v>35</v>
      </c>
      <c r="G69" s="20" t="s">
        <v>18</v>
      </c>
      <c r="H69" s="21">
        <f>ROUND(RAND()*4+6,1)</f>
      </c>
      <c r="I69" s="20" t="s">
        <v>36</v>
      </c>
      <c r="J69" s="23">
        <f>ROUND(83*1,0)&amp;"%"</f>
      </c>
    </row>
    <row x14ac:dyDescent="0.25" r="70" customHeight="1" ht="17.25">
      <c r="A70" s="17" t="s">
        <v>11744</v>
      </c>
      <c r="B70" s="17" t="s">
        <v>141</v>
      </c>
      <c r="C70" s="17" t="s">
        <v>133</v>
      </c>
      <c r="D70" s="17" t="s">
        <v>39</v>
      </c>
      <c r="E70" s="18">
        <f>ROUND(16127*1.05,2)</f>
      </c>
      <c r="F70" s="17" t="s">
        <v>40</v>
      </c>
      <c r="G70" s="17" t="s">
        <v>24</v>
      </c>
      <c r="H70" s="18">
        <f>ROUND(RAND()*4+6,1)</f>
      </c>
      <c r="I70" s="17" t="s">
        <v>41</v>
      </c>
      <c r="J70" s="19">
        <f>ROUND(69*1,0)&amp;"%"</f>
      </c>
    </row>
    <row x14ac:dyDescent="0.25" r="71" customHeight="1" ht="17.25">
      <c r="A71" s="20" t="s">
        <v>11745</v>
      </c>
      <c r="B71" s="20" t="s">
        <v>143</v>
      </c>
      <c r="C71" s="20" t="s">
        <v>133</v>
      </c>
      <c r="D71" s="20" t="s">
        <v>67</v>
      </c>
      <c r="E71" s="21">
        <f>ROUND(9790*1.05,2)</f>
      </c>
      <c r="F71" s="20" t="s">
        <v>44</v>
      </c>
      <c r="G71" s="20" t="s">
        <v>30</v>
      </c>
      <c r="H71" s="22">
        <f>ROUND(RAND()*4+6,1)</f>
      </c>
      <c r="I71" s="20" t="s">
        <v>45</v>
      </c>
      <c r="J71" s="23">
        <f>ROUND(72*1,0)&amp;"%"</f>
      </c>
    </row>
    <row x14ac:dyDescent="0.25" r="72" customHeight="1" ht="17.25">
      <c r="A72" s="17" t="s">
        <v>11746</v>
      </c>
      <c r="B72" s="17" t="s">
        <v>145</v>
      </c>
      <c r="C72" s="17" t="s">
        <v>133</v>
      </c>
      <c r="D72" s="17" t="s">
        <v>16</v>
      </c>
      <c r="E72" s="18">
        <f>ROUND(15152*1.05,2)</f>
      </c>
      <c r="F72" s="17" t="s">
        <v>48</v>
      </c>
      <c r="G72" s="17" t="s">
        <v>18</v>
      </c>
      <c r="H72" s="18">
        <f>ROUND(RAND()*4+6,1)</f>
      </c>
      <c r="I72" s="17" t="s">
        <v>19</v>
      </c>
      <c r="J72" s="19">
        <f>ROUND(61*1,0)&amp;"%"</f>
      </c>
    </row>
    <row x14ac:dyDescent="0.25" r="73" customHeight="1" ht="17.25">
      <c r="A73" s="20" t="s">
        <v>11747</v>
      </c>
      <c r="B73" s="20" t="s">
        <v>147</v>
      </c>
      <c r="C73" s="20" t="s">
        <v>133</v>
      </c>
      <c r="D73" s="20" t="s">
        <v>22</v>
      </c>
      <c r="E73" s="21">
        <f>ROUND(13883*1.05,2)</f>
      </c>
      <c r="F73" s="20" t="s">
        <v>51</v>
      </c>
      <c r="G73" s="20" t="s">
        <v>24</v>
      </c>
      <c r="H73" s="21">
        <f>ROUND(RAND()*4+6,1)</f>
      </c>
      <c r="I73" s="20" t="s">
        <v>25</v>
      </c>
      <c r="J73" s="23">
        <f>ROUND(80*1,0)&amp;"%"</f>
      </c>
    </row>
    <row x14ac:dyDescent="0.25" r="74" customHeight="1" ht="17.25">
      <c r="A74" s="24" t="s">
        <v>148</v>
      </c>
      <c r="B74" s="24"/>
      <c r="C74" s="24"/>
      <c r="D74" s="24"/>
      <c r="E74" s="25">
        <v>8</v>
      </c>
      <c r="F74" s="9"/>
      <c r="G74" s="9"/>
      <c r="H74" s="10"/>
      <c r="I74" s="9"/>
      <c r="J74" s="9"/>
    </row>
    <row x14ac:dyDescent="0.25" r="75" customHeight="1" ht="17.25">
      <c r="A75" s="7"/>
      <c r="B75" s="7"/>
      <c r="C75" s="7"/>
      <c r="D75" s="7"/>
      <c r="E75" s="8"/>
      <c r="F75" s="9"/>
      <c r="G75" s="9"/>
      <c r="H75" s="10"/>
      <c r="I75" s="9"/>
      <c r="J75" s="9"/>
    </row>
    <row x14ac:dyDescent="0.25" r="76" customHeight="1" ht="17.25">
      <c r="A76" s="11" t="s">
        <v>11748</v>
      </c>
      <c r="B76" s="11"/>
      <c r="C76" s="11"/>
      <c r="D76" s="11"/>
      <c r="E76" s="12"/>
      <c r="F76" s="11"/>
      <c r="G76" s="11"/>
      <c r="H76" s="13"/>
      <c r="I76" s="11"/>
      <c r="J76" s="11"/>
    </row>
    <row x14ac:dyDescent="0.25" r="77" customHeight="1" ht="17.25">
      <c r="A77" s="14" t="s">
        <v>3</v>
      </c>
      <c r="B77" s="14" t="s">
        <v>4</v>
      </c>
      <c r="C77" s="14" t="s">
        <v>5</v>
      </c>
      <c r="D77" s="14" t="s">
        <v>6</v>
      </c>
      <c r="E77" s="15" t="s">
        <v>7</v>
      </c>
      <c r="F77" s="14" t="s">
        <v>8</v>
      </c>
      <c r="G77" s="14" t="s">
        <v>9</v>
      </c>
      <c r="H77" s="16" t="s">
        <v>10</v>
      </c>
      <c r="I77" s="14" t="s">
        <v>11</v>
      </c>
      <c r="J77" s="14" t="s">
        <v>12</v>
      </c>
    </row>
    <row x14ac:dyDescent="0.25" r="78" customHeight="1" ht="17.25">
      <c r="A78" s="17" t="s">
        <v>11749</v>
      </c>
      <c r="B78" s="17" t="s">
        <v>151</v>
      </c>
      <c r="C78" s="17" t="s">
        <v>152</v>
      </c>
      <c r="D78" s="17" t="s">
        <v>16</v>
      </c>
      <c r="E78" s="18">
        <f>ROUND(4843*1.05,2)</f>
      </c>
      <c r="F78" s="17" t="s">
        <v>17</v>
      </c>
      <c r="G78" s="17" t="s">
        <v>18</v>
      </c>
      <c r="H78" s="18">
        <f>ROUND(RAND()*4+6,1)</f>
      </c>
      <c r="I78" s="17" t="s">
        <v>19</v>
      </c>
      <c r="J78" s="19">
        <f>ROUND(68*1,0)&amp;"%"</f>
      </c>
    </row>
    <row x14ac:dyDescent="0.25" r="79" customHeight="1" ht="17.25">
      <c r="A79" s="20" t="s">
        <v>11750</v>
      </c>
      <c r="B79" s="20" t="s">
        <v>154</v>
      </c>
      <c r="C79" s="20" t="s">
        <v>152</v>
      </c>
      <c r="D79" s="20" t="s">
        <v>22</v>
      </c>
      <c r="E79" s="21">
        <f>ROUND(13355*1.05,2)</f>
      </c>
      <c r="F79" s="20" t="s">
        <v>23</v>
      </c>
      <c r="G79" s="20" t="s">
        <v>24</v>
      </c>
      <c r="H79" s="21">
        <f>ROUND(RAND()*4+6,1)</f>
      </c>
      <c r="I79" s="20" t="s">
        <v>25</v>
      </c>
      <c r="J79" s="23">
        <f>ROUND(81*1,0)&amp;"%"</f>
      </c>
    </row>
    <row x14ac:dyDescent="0.25" r="80" customHeight="1" ht="17.25">
      <c r="A80" s="17" t="s">
        <v>11751</v>
      </c>
      <c r="B80" s="17" t="s">
        <v>156</v>
      </c>
      <c r="C80" s="17" t="s">
        <v>152</v>
      </c>
      <c r="D80" s="17" t="s">
        <v>28</v>
      </c>
      <c r="E80" s="18">
        <f>ROUND(6437*1.05,2)</f>
      </c>
      <c r="F80" s="17" t="s">
        <v>29</v>
      </c>
      <c r="G80" s="17" t="s">
        <v>30</v>
      </c>
      <c r="H80" s="26">
        <f>ROUND(RAND()*4+6,1)</f>
      </c>
      <c r="I80" s="17" t="s">
        <v>31</v>
      </c>
      <c r="J80" s="19">
        <f>ROUND(65*1,0)&amp;"%"</f>
      </c>
    </row>
    <row x14ac:dyDescent="0.25" r="81" customHeight="1" ht="17.25">
      <c r="A81" s="20" t="s">
        <v>11752</v>
      </c>
      <c r="B81" s="20" t="s">
        <v>158</v>
      </c>
      <c r="C81" s="20" t="s">
        <v>152</v>
      </c>
      <c r="D81" s="20" t="s">
        <v>34</v>
      </c>
      <c r="E81" s="22">
        <f>ROUND(10380*1.05,2)</f>
      </c>
      <c r="F81" s="20" t="s">
        <v>35</v>
      </c>
      <c r="G81" s="20" t="s">
        <v>18</v>
      </c>
      <c r="H81" s="21">
        <f>ROUND(RAND()*4+6,1)</f>
      </c>
      <c r="I81" s="20" t="s">
        <v>36</v>
      </c>
      <c r="J81" s="23">
        <f>ROUND(72*1,0)&amp;"%"</f>
      </c>
    </row>
    <row x14ac:dyDescent="0.25" r="82" customHeight="1" ht="17.25">
      <c r="A82" s="17" t="s">
        <v>11753</v>
      </c>
      <c r="B82" s="17" t="s">
        <v>160</v>
      </c>
      <c r="C82" s="17" t="s">
        <v>152</v>
      </c>
      <c r="D82" s="17" t="s">
        <v>39</v>
      </c>
      <c r="E82" s="18">
        <f>ROUND(14261*1.05,2)</f>
      </c>
      <c r="F82" s="17" t="s">
        <v>40</v>
      </c>
      <c r="G82" s="17" t="s">
        <v>24</v>
      </c>
      <c r="H82" s="18">
        <f>ROUND(RAND()*4+6,1)</f>
      </c>
      <c r="I82" s="17" t="s">
        <v>41</v>
      </c>
      <c r="J82" s="19">
        <f>ROUND(93*1,0)&amp;"%"</f>
      </c>
    </row>
    <row x14ac:dyDescent="0.25" r="83" customHeight="1" ht="17.25">
      <c r="A83" s="20" t="s">
        <v>11754</v>
      </c>
      <c r="B83" s="20" t="s">
        <v>162</v>
      </c>
      <c r="C83" s="20" t="s">
        <v>152</v>
      </c>
      <c r="D83" s="20" t="s">
        <v>67</v>
      </c>
      <c r="E83" s="21">
        <f>ROUND(13808*1.05,2)</f>
      </c>
      <c r="F83" s="20" t="s">
        <v>44</v>
      </c>
      <c r="G83" s="20" t="s">
        <v>30</v>
      </c>
      <c r="H83" s="21">
        <f>ROUND(RAND()*4+6,1)</f>
      </c>
      <c r="I83" s="20" t="s">
        <v>45</v>
      </c>
      <c r="J83" s="23">
        <f>ROUND(71*1,0)&amp;"%"</f>
      </c>
    </row>
    <row x14ac:dyDescent="0.25" r="84" customHeight="1" ht="17.25">
      <c r="A84" s="17" t="s">
        <v>11755</v>
      </c>
      <c r="B84" s="17" t="s">
        <v>164</v>
      </c>
      <c r="C84" s="17" t="s">
        <v>152</v>
      </c>
      <c r="D84" s="17" t="s">
        <v>16</v>
      </c>
      <c r="E84" s="26">
        <f>ROUND(14040*1.05,2)</f>
      </c>
      <c r="F84" s="17" t="s">
        <v>48</v>
      </c>
      <c r="G84" s="17" t="s">
        <v>18</v>
      </c>
      <c r="H84" s="18">
        <f>ROUND(RAND()*4+6,1)</f>
      </c>
      <c r="I84" s="17" t="s">
        <v>19</v>
      </c>
      <c r="J84" s="19">
        <f>ROUND(98*1,0)&amp;"%"</f>
      </c>
    </row>
    <row x14ac:dyDescent="0.25" r="85" customHeight="1" ht="17.25">
      <c r="A85" s="20" t="s">
        <v>11756</v>
      </c>
      <c r="B85" s="20" t="s">
        <v>166</v>
      </c>
      <c r="C85" s="20" t="s">
        <v>152</v>
      </c>
      <c r="D85" s="20" t="s">
        <v>22</v>
      </c>
      <c r="E85" s="21">
        <f>ROUND(11852*1.05,2)</f>
      </c>
      <c r="F85" s="20" t="s">
        <v>51</v>
      </c>
      <c r="G85" s="20" t="s">
        <v>24</v>
      </c>
      <c r="H85" s="22">
        <f>ROUND(RAND()*4+6,1)</f>
      </c>
      <c r="I85" s="20" t="s">
        <v>25</v>
      </c>
      <c r="J85" s="23">
        <f>ROUND(96*1,0)&amp;"%"</f>
      </c>
    </row>
    <row x14ac:dyDescent="0.25" r="86" customHeight="1" ht="17.25">
      <c r="A86" s="24" t="s">
        <v>167</v>
      </c>
      <c r="B86" s="24"/>
      <c r="C86" s="24"/>
      <c r="D86" s="24"/>
      <c r="E86" s="25">
        <v>8</v>
      </c>
      <c r="F86" s="9"/>
      <c r="G86" s="9"/>
      <c r="H86" s="10"/>
      <c r="I86" s="9"/>
      <c r="J86" s="9"/>
    </row>
    <row x14ac:dyDescent="0.25" r="87" customHeight="1" ht="17.25">
      <c r="A87" s="7"/>
      <c r="B87" s="7"/>
      <c r="C87" s="7"/>
      <c r="D87" s="7"/>
      <c r="E87" s="8"/>
      <c r="F87" s="9"/>
      <c r="G87" s="9"/>
      <c r="H87" s="10"/>
      <c r="I87" s="9"/>
      <c r="J87" s="9"/>
    </row>
    <row x14ac:dyDescent="0.25" r="88" customHeight="1" ht="17.25">
      <c r="A88" s="11" t="s">
        <v>11757</v>
      </c>
      <c r="B88" s="11"/>
      <c r="C88" s="11"/>
      <c r="D88" s="11"/>
      <c r="E88" s="12"/>
      <c r="F88" s="11"/>
      <c r="G88" s="11"/>
      <c r="H88" s="13"/>
      <c r="I88" s="11"/>
      <c r="J88" s="11"/>
    </row>
    <row x14ac:dyDescent="0.25" r="89" customHeight="1" ht="17.25">
      <c r="A89" s="14" t="s">
        <v>3</v>
      </c>
      <c r="B89" s="14" t="s">
        <v>4</v>
      </c>
      <c r="C89" s="14" t="s">
        <v>5</v>
      </c>
      <c r="D89" s="14" t="s">
        <v>6</v>
      </c>
      <c r="E89" s="15" t="s">
        <v>7</v>
      </c>
      <c r="F89" s="14" t="s">
        <v>8</v>
      </c>
      <c r="G89" s="14" t="s">
        <v>9</v>
      </c>
      <c r="H89" s="16" t="s">
        <v>10</v>
      </c>
      <c r="I89" s="14" t="s">
        <v>11</v>
      </c>
      <c r="J89" s="14" t="s">
        <v>12</v>
      </c>
    </row>
    <row x14ac:dyDescent="0.25" r="90" customHeight="1" ht="17.25">
      <c r="A90" s="17" t="s">
        <v>11758</v>
      </c>
      <c r="B90" s="17" t="s">
        <v>170</v>
      </c>
      <c r="C90" s="17" t="s">
        <v>15</v>
      </c>
      <c r="D90" s="17" t="s">
        <v>16</v>
      </c>
      <c r="E90" s="18">
        <f>ROUND(8939*1.05,2)</f>
      </c>
      <c r="F90" s="17" t="s">
        <v>17</v>
      </c>
      <c r="G90" s="17" t="s">
        <v>18</v>
      </c>
      <c r="H90" s="18">
        <f>ROUND(RAND()*4+6,1)</f>
      </c>
      <c r="I90" s="17" t="s">
        <v>19</v>
      </c>
      <c r="J90" s="19">
        <f>ROUND(68*1,0)&amp;"%"</f>
      </c>
    </row>
    <row x14ac:dyDescent="0.25" r="91" customHeight="1" ht="17.25">
      <c r="A91" s="20" t="s">
        <v>11759</v>
      </c>
      <c r="B91" s="20" t="s">
        <v>172</v>
      </c>
      <c r="C91" s="20" t="s">
        <v>15</v>
      </c>
      <c r="D91" s="20" t="s">
        <v>22</v>
      </c>
      <c r="E91" s="21">
        <f>ROUND(6762*1.05,2)</f>
      </c>
      <c r="F91" s="20" t="s">
        <v>23</v>
      </c>
      <c r="G91" s="20" t="s">
        <v>24</v>
      </c>
      <c r="H91" s="21">
        <f>ROUND(RAND()*4+6,1)</f>
      </c>
      <c r="I91" s="20" t="s">
        <v>25</v>
      </c>
      <c r="J91" s="23">
        <f>ROUND(85*1,0)&amp;"%"</f>
      </c>
    </row>
    <row x14ac:dyDescent="0.25" r="92" customHeight="1" ht="17.25">
      <c r="A92" s="17" t="s">
        <v>11760</v>
      </c>
      <c r="B92" s="17" t="s">
        <v>174</v>
      </c>
      <c r="C92" s="17" t="s">
        <v>15</v>
      </c>
      <c r="D92" s="17" t="s">
        <v>28</v>
      </c>
      <c r="E92" s="18">
        <f>ROUND(6938*1.05,2)</f>
      </c>
      <c r="F92" s="17" t="s">
        <v>29</v>
      </c>
      <c r="G92" s="17" t="s">
        <v>30</v>
      </c>
      <c r="H92" s="18">
        <f>ROUND(RAND()*4+6,1)</f>
      </c>
      <c r="I92" s="17" t="s">
        <v>31</v>
      </c>
      <c r="J92" s="19">
        <f>ROUND(71*1,0)&amp;"%"</f>
      </c>
    </row>
    <row x14ac:dyDescent="0.25" r="93" customHeight="1" ht="17.25">
      <c r="A93" s="20" t="s">
        <v>11761</v>
      </c>
      <c r="B93" s="20" t="s">
        <v>176</v>
      </c>
      <c r="C93" s="20" t="s">
        <v>15</v>
      </c>
      <c r="D93" s="20" t="s">
        <v>34</v>
      </c>
      <c r="E93" s="21">
        <f>ROUND(6799*1.05,2)</f>
      </c>
      <c r="F93" s="20" t="s">
        <v>35</v>
      </c>
      <c r="G93" s="20" t="s">
        <v>18</v>
      </c>
      <c r="H93" s="21">
        <f>ROUND(RAND()*4+6,1)</f>
      </c>
      <c r="I93" s="20" t="s">
        <v>36</v>
      </c>
      <c r="J93" s="23">
        <f>ROUND(79*1,0)&amp;"%"</f>
      </c>
    </row>
    <row x14ac:dyDescent="0.25" r="94" customHeight="1" ht="17.25">
      <c r="A94" s="17" t="s">
        <v>11762</v>
      </c>
      <c r="B94" s="17" t="s">
        <v>178</v>
      </c>
      <c r="C94" s="17" t="s">
        <v>15</v>
      </c>
      <c r="D94" s="17" t="s">
        <v>39</v>
      </c>
      <c r="E94" s="18">
        <f>ROUND(10082*1.05,2)</f>
      </c>
      <c r="F94" s="17" t="s">
        <v>40</v>
      </c>
      <c r="G94" s="17" t="s">
        <v>24</v>
      </c>
      <c r="H94" s="18">
        <f>ROUND(RAND()*4+6,1)</f>
      </c>
      <c r="I94" s="17" t="s">
        <v>41</v>
      </c>
      <c r="J94" s="19">
        <f>ROUND(80*1,0)&amp;"%"</f>
      </c>
    </row>
    <row x14ac:dyDescent="0.25" r="95" customHeight="1" ht="17.25">
      <c r="A95" s="20" t="s">
        <v>11763</v>
      </c>
      <c r="B95" s="20" t="s">
        <v>180</v>
      </c>
      <c r="C95" s="20" t="s">
        <v>15</v>
      </c>
      <c r="D95" s="20" t="s">
        <v>67</v>
      </c>
      <c r="E95" s="21">
        <f>ROUND(9721*1.05,2)</f>
      </c>
      <c r="F95" s="20" t="s">
        <v>44</v>
      </c>
      <c r="G95" s="20" t="s">
        <v>30</v>
      </c>
      <c r="H95" s="21">
        <f>ROUND(RAND()*4+6,1)</f>
      </c>
      <c r="I95" s="20" t="s">
        <v>45</v>
      </c>
      <c r="J95" s="23">
        <f>ROUND(73*1,0)&amp;"%"</f>
      </c>
    </row>
    <row x14ac:dyDescent="0.25" r="96" customHeight="1" ht="17.25">
      <c r="A96" s="17" t="s">
        <v>11764</v>
      </c>
      <c r="B96" s="17" t="s">
        <v>182</v>
      </c>
      <c r="C96" s="17" t="s">
        <v>15</v>
      </c>
      <c r="D96" s="17" t="s">
        <v>16</v>
      </c>
      <c r="E96" s="18">
        <f>ROUND(8689*1.05,2)</f>
      </c>
      <c r="F96" s="17" t="s">
        <v>48</v>
      </c>
      <c r="G96" s="17" t="s">
        <v>18</v>
      </c>
      <c r="H96" s="18">
        <f>ROUND(RAND()*4+6,1)</f>
      </c>
      <c r="I96" s="17" t="s">
        <v>19</v>
      </c>
      <c r="J96" s="19">
        <f>ROUND(92*1,0)&amp;"%"</f>
      </c>
    </row>
    <row x14ac:dyDescent="0.25" r="97" customHeight="1" ht="17.25">
      <c r="A97" s="20" t="s">
        <v>11765</v>
      </c>
      <c r="B97" s="20" t="s">
        <v>184</v>
      </c>
      <c r="C97" s="20" t="s">
        <v>15</v>
      </c>
      <c r="D97" s="20" t="s">
        <v>22</v>
      </c>
      <c r="E97" s="21">
        <f>ROUND(4746*1.05,2)</f>
      </c>
      <c r="F97" s="20" t="s">
        <v>51</v>
      </c>
      <c r="G97" s="20" t="s">
        <v>24</v>
      </c>
      <c r="H97" s="22">
        <f>ROUND(RAND()*4+6,1)</f>
      </c>
      <c r="I97" s="20" t="s">
        <v>25</v>
      </c>
      <c r="J97" s="23">
        <f>ROUND(73*1,0)&amp;"%"</f>
      </c>
    </row>
    <row x14ac:dyDescent="0.25" r="98" customHeight="1" ht="17.25">
      <c r="A98" s="24" t="s">
        <v>185</v>
      </c>
      <c r="B98" s="24"/>
      <c r="C98" s="24"/>
      <c r="D98" s="24"/>
      <c r="E98" s="25">
        <v>8</v>
      </c>
      <c r="F98" s="9"/>
      <c r="G98" s="9"/>
      <c r="H98" s="10"/>
      <c r="I98" s="9"/>
      <c r="J98" s="9"/>
    </row>
    <row x14ac:dyDescent="0.25" r="99" customHeight="1" ht="17.25">
      <c r="A99" s="7"/>
      <c r="B99" s="7"/>
      <c r="C99" s="7"/>
      <c r="D99" s="7"/>
      <c r="E99" s="8"/>
      <c r="F99" s="9"/>
      <c r="G99" s="9"/>
      <c r="H99" s="10"/>
      <c r="I99" s="9"/>
      <c r="J99" s="9"/>
    </row>
    <row x14ac:dyDescent="0.25" r="100" customHeight="1" ht="17.25">
      <c r="A100" s="11" t="s">
        <v>11766</v>
      </c>
      <c r="B100" s="11"/>
      <c r="C100" s="11"/>
      <c r="D100" s="11"/>
      <c r="E100" s="12"/>
      <c r="F100" s="11"/>
      <c r="G100" s="11"/>
      <c r="H100" s="13"/>
      <c r="I100" s="11"/>
      <c r="J100" s="11"/>
    </row>
    <row x14ac:dyDescent="0.25" r="101" customHeight="1" ht="17.25">
      <c r="A101" s="14" t="s">
        <v>3</v>
      </c>
      <c r="B101" s="14" t="s">
        <v>4</v>
      </c>
      <c r="C101" s="14" t="s">
        <v>5</v>
      </c>
      <c r="D101" s="14" t="s">
        <v>6</v>
      </c>
      <c r="E101" s="15" t="s">
        <v>7</v>
      </c>
      <c r="F101" s="14" t="s">
        <v>8</v>
      </c>
      <c r="G101" s="14" t="s">
        <v>9</v>
      </c>
      <c r="H101" s="16" t="s">
        <v>10</v>
      </c>
      <c r="I101" s="14" t="s">
        <v>11</v>
      </c>
      <c r="J101" s="14" t="s">
        <v>12</v>
      </c>
    </row>
    <row x14ac:dyDescent="0.25" r="102" customHeight="1" ht="17.25">
      <c r="A102" s="17" t="s">
        <v>11767</v>
      </c>
      <c r="B102" s="17" t="s">
        <v>188</v>
      </c>
      <c r="C102" s="17" t="s">
        <v>56</v>
      </c>
      <c r="D102" s="17" t="s">
        <v>16</v>
      </c>
      <c r="E102" s="18">
        <f>ROUND(6241*1.05,2)</f>
      </c>
      <c r="F102" s="17" t="s">
        <v>17</v>
      </c>
      <c r="G102" s="17" t="s">
        <v>18</v>
      </c>
      <c r="H102" s="18">
        <f>ROUND(RAND()*4+6,1)</f>
      </c>
      <c r="I102" s="17" t="s">
        <v>19</v>
      </c>
      <c r="J102" s="19">
        <f>ROUND(85*1,0)&amp;"%"</f>
      </c>
    </row>
    <row x14ac:dyDescent="0.25" r="103" customHeight="1" ht="17.25">
      <c r="A103" s="20" t="s">
        <v>11768</v>
      </c>
      <c r="B103" s="20" t="s">
        <v>190</v>
      </c>
      <c r="C103" s="20" t="s">
        <v>56</v>
      </c>
      <c r="D103" s="20" t="s">
        <v>22</v>
      </c>
      <c r="E103" s="21">
        <f>ROUND(12864*1.05,2)</f>
      </c>
      <c r="F103" s="20" t="s">
        <v>23</v>
      </c>
      <c r="G103" s="20" t="s">
        <v>24</v>
      </c>
      <c r="H103" s="21">
        <f>ROUND(RAND()*4+6,1)</f>
      </c>
      <c r="I103" s="20" t="s">
        <v>25</v>
      </c>
      <c r="J103" s="23">
        <f>ROUND(67*1,0)&amp;"%"</f>
      </c>
    </row>
    <row x14ac:dyDescent="0.25" r="104" customHeight="1" ht="17.25">
      <c r="A104" s="17" t="s">
        <v>11769</v>
      </c>
      <c r="B104" s="17" t="s">
        <v>192</v>
      </c>
      <c r="C104" s="17" t="s">
        <v>56</v>
      </c>
      <c r="D104" s="17" t="s">
        <v>28</v>
      </c>
      <c r="E104" s="18">
        <f>ROUND(14983*1.05,2)</f>
      </c>
      <c r="F104" s="17" t="s">
        <v>29</v>
      </c>
      <c r="G104" s="17" t="s">
        <v>30</v>
      </c>
      <c r="H104" s="18">
        <f>ROUND(RAND()*4+6,1)</f>
      </c>
      <c r="I104" s="17" t="s">
        <v>31</v>
      </c>
      <c r="J104" s="19">
        <f>ROUND(95*1,0)&amp;"%"</f>
      </c>
    </row>
    <row x14ac:dyDescent="0.25" r="105" customHeight="1" ht="17.25">
      <c r="A105" s="20" t="s">
        <v>11770</v>
      </c>
      <c r="B105" s="20" t="s">
        <v>194</v>
      </c>
      <c r="C105" s="20" t="s">
        <v>56</v>
      </c>
      <c r="D105" s="20" t="s">
        <v>34</v>
      </c>
      <c r="E105" s="21">
        <f>ROUND(9932*1.05,2)</f>
      </c>
      <c r="F105" s="20" t="s">
        <v>35</v>
      </c>
      <c r="G105" s="20" t="s">
        <v>18</v>
      </c>
      <c r="H105" s="21">
        <f>ROUND(RAND()*4+6,1)</f>
      </c>
      <c r="I105" s="20" t="s">
        <v>36</v>
      </c>
      <c r="J105" s="23">
        <f>ROUND(81*1,0)&amp;"%"</f>
      </c>
    </row>
    <row x14ac:dyDescent="0.25" r="106" customHeight="1" ht="17.25">
      <c r="A106" s="17" t="s">
        <v>11771</v>
      </c>
      <c r="B106" s="17" t="s">
        <v>196</v>
      </c>
      <c r="C106" s="17" t="s">
        <v>56</v>
      </c>
      <c r="D106" s="17" t="s">
        <v>39</v>
      </c>
      <c r="E106" s="18">
        <f>ROUND(10777*1.05,2)</f>
      </c>
      <c r="F106" s="17" t="s">
        <v>40</v>
      </c>
      <c r="G106" s="17" t="s">
        <v>24</v>
      </c>
      <c r="H106" s="18">
        <f>ROUND(RAND()*4+6,1)</f>
      </c>
      <c r="I106" s="17" t="s">
        <v>41</v>
      </c>
      <c r="J106" s="19">
        <f>ROUND(96*1,0)&amp;"%"</f>
      </c>
    </row>
    <row x14ac:dyDescent="0.25" r="107" customHeight="1" ht="17.25">
      <c r="A107" s="20" t="s">
        <v>11772</v>
      </c>
      <c r="B107" s="20" t="s">
        <v>198</v>
      </c>
      <c r="C107" s="20" t="s">
        <v>56</v>
      </c>
      <c r="D107" s="20" t="s">
        <v>67</v>
      </c>
      <c r="E107" s="21">
        <f>ROUND(13053*1.05,2)</f>
      </c>
      <c r="F107" s="20" t="s">
        <v>44</v>
      </c>
      <c r="G107" s="20" t="s">
        <v>30</v>
      </c>
      <c r="H107" s="22">
        <f>ROUND(RAND()*4+6,1)</f>
      </c>
      <c r="I107" s="20" t="s">
        <v>45</v>
      </c>
      <c r="J107" s="23">
        <f>ROUND(80*1,0)&amp;"%"</f>
      </c>
    </row>
    <row x14ac:dyDescent="0.25" r="108" customHeight="1" ht="17.25">
      <c r="A108" s="17" t="s">
        <v>11773</v>
      </c>
      <c r="B108" s="17" t="s">
        <v>200</v>
      </c>
      <c r="C108" s="17" t="s">
        <v>56</v>
      </c>
      <c r="D108" s="17" t="s">
        <v>16</v>
      </c>
      <c r="E108" s="18">
        <f>ROUND(8375*1.05,2)</f>
      </c>
      <c r="F108" s="17" t="s">
        <v>48</v>
      </c>
      <c r="G108" s="17" t="s">
        <v>18</v>
      </c>
      <c r="H108" s="18">
        <f>ROUND(RAND()*4+6,1)</f>
      </c>
      <c r="I108" s="17" t="s">
        <v>19</v>
      </c>
      <c r="J108" s="19">
        <f>ROUND(91*1,0)&amp;"%"</f>
      </c>
    </row>
    <row x14ac:dyDescent="0.25" r="109" customHeight="1" ht="17.25">
      <c r="A109" s="20" t="s">
        <v>11774</v>
      </c>
      <c r="B109" s="20" t="s">
        <v>202</v>
      </c>
      <c r="C109" s="20" t="s">
        <v>56</v>
      </c>
      <c r="D109" s="20" t="s">
        <v>22</v>
      </c>
      <c r="E109" s="21">
        <f>ROUND(17698*1.05,2)</f>
      </c>
      <c r="F109" s="20" t="s">
        <v>51</v>
      </c>
      <c r="G109" s="20" t="s">
        <v>24</v>
      </c>
      <c r="H109" s="21">
        <f>ROUND(RAND()*4+6,1)</f>
      </c>
      <c r="I109" s="20" t="s">
        <v>25</v>
      </c>
      <c r="J109" s="23">
        <f>ROUND(69*1,0)&amp;"%"</f>
      </c>
    </row>
    <row x14ac:dyDescent="0.25" r="110" customHeight="1" ht="17.25">
      <c r="A110" s="24" t="s">
        <v>203</v>
      </c>
      <c r="B110" s="24"/>
      <c r="C110" s="24"/>
      <c r="D110" s="24"/>
      <c r="E110" s="25">
        <v>8</v>
      </c>
      <c r="F110" s="9"/>
      <c r="G110" s="9"/>
      <c r="H110" s="10"/>
      <c r="I110" s="9"/>
      <c r="J110" s="9"/>
    </row>
    <row x14ac:dyDescent="0.25" r="111" customHeight="1" ht="17.25">
      <c r="A111" s="7"/>
      <c r="B111" s="7"/>
      <c r="C111" s="7"/>
      <c r="D111" s="7"/>
      <c r="E111" s="8"/>
      <c r="F111" s="9"/>
      <c r="G111" s="9"/>
      <c r="H111" s="10"/>
      <c r="I111" s="9"/>
      <c r="J111" s="9"/>
    </row>
    <row x14ac:dyDescent="0.25" r="112" customHeight="1" ht="17.25">
      <c r="A112" s="11" t="s">
        <v>11775</v>
      </c>
      <c r="B112" s="11"/>
      <c r="C112" s="11"/>
      <c r="D112" s="11"/>
      <c r="E112" s="12"/>
      <c r="F112" s="11"/>
      <c r="G112" s="11"/>
      <c r="H112" s="13"/>
      <c r="I112" s="11"/>
      <c r="J112" s="11"/>
    </row>
    <row x14ac:dyDescent="0.25" r="113" customHeight="1" ht="17.25">
      <c r="A113" s="14" t="s">
        <v>3</v>
      </c>
      <c r="B113" s="14" t="s">
        <v>4</v>
      </c>
      <c r="C113" s="14" t="s">
        <v>5</v>
      </c>
      <c r="D113" s="14" t="s">
        <v>6</v>
      </c>
      <c r="E113" s="15" t="s">
        <v>7</v>
      </c>
      <c r="F113" s="14" t="s">
        <v>8</v>
      </c>
      <c r="G113" s="14" t="s">
        <v>9</v>
      </c>
      <c r="H113" s="16" t="s">
        <v>10</v>
      </c>
      <c r="I113" s="14" t="s">
        <v>11</v>
      </c>
      <c r="J113" s="14" t="s">
        <v>12</v>
      </c>
    </row>
    <row x14ac:dyDescent="0.25" r="114" customHeight="1" ht="17.25">
      <c r="A114" s="17" t="s">
        <v>11776</v>
      </c>
      <c r="B114" s="17" t="s">
        <v>206</v>
      </c>
      <c r="C114" s="17" t="s">
        <v>76</v>
      </c>
      <c r="D114" s="17" t="s">
        <v>16</v>
      </c>
      <c r="E114" s="18">
        <f>ROUND(11167*1.05,2)</f>
      </c>
      <c r="F114" s="17" t="s">
        <v>17</v>
      </c>
      <c r="G114" s="17" t="s">
        <v>18</v>
      </c>
      <c r="H114" s="18">
        <f>ROUND(RAND()*4+6,1)</f>
      </c>
      <c r="I114" s="17" t="s">
        <v>19</v>
      </c>
      <c r="J114" s="19">
        <f>ROUND(72*1,0)&amp;"%"</f>
      </c>
    </row>
    <row x14ac:dyDescent="0.25" r="115" customHeight="1" ht="17.25">
      <c r="A115" s="20" t="s">
        <v>11777</v>
      </c>
      <c r="B115" s="20" t="s">
        <v>208</v>
      </c>
      <c r="C115" s="20" t="s">
        <v>76</v>
      </c>
      <c r="D115" s="20" t="s">
        <v>22</v>
      </c>
      <c r="E115" s="21">
        <f>ROUND(5742*1.05,2)</f>
      </c>
      <c r="F115" s="20" t="s">
        <v>23</v>
      </c>
      <c r="G115" s="20" t="s">
        <v>24</v>
      </c>
      <c r="H115" s="21">
        <f>ROUND(RAND()*4+6,1)</f>
      </c>
      <c r="I115" s="20" t="s">
        <v>25</v>
      </c>
      <c r="J115" s="23">
        <f>ROUND(100*1,0)&amp;"%"</f>
      </c>
    </row>
    <row x14ac:dyDescent="0.25" r="116" customHeight="1" ht="17.25">
      <c r="A116" s="17" t="s">
        <v>11778</v>
      </c>
      <c r="B116" s="17" t="s">
        <v>210</v>
      </c>
      <c r="C116" s="17" t="s">
        <v>76</v>
      </c>
      <c r="D116" s="17" t="s">
        <v>28</v>
      </c>
      <c r="E116" s="18">
        <f>ROUND(5305*1.05,2)</f>
      </c>
      <c r="F116" s="17" t="s">
        <v>29</v>
      </c>
      <c r="G116" s="17" t="s">
        <v>30</v>
      </c>
      <c r="H116" s="18">
        <f>ROUND(RAND()*4+6,1)</f>
      </c>
      <c r="I116" s="17" t="s">
        <v>31</v>
      </c>
      <c r="J116" s="19">
        <f>ROUND(66*1,0)&amp;"%"</f>
      </c>
    </row>
    <row x14ac:dyDescent="0.25" r="117" customHeight="1" ht="17.25">
      <c r="A117" s="20" t="s">
        <v>11779</v>
      </c>
      <c r="B117" s="20" t="s">
        <v>212</v>
      </c>
      <c r="C117" s="20" t="s">
        <v>76</v>
      </c>
      <c r="D117" s="20" t="s">
        <v>34</v>
      </c>
      <c r="E117" s="21">
        <f>ROUND(4147*1.05,2)</f>
      </c>
      <c r="F117" s="20" t="s">
        <v>35</v>
      </c>
      <c r="G117" s="20" t="s">
        <v>18</v>
      </c>
      <c r="H117" s="21">
        <f>ROUND(RAND()*4+6,1)</f>
      </c>
      <c r="I117" s="20" t="s">
        <v>36</v>
      </c>
      <c r="J117" s="23">
        <f>ROUND(63*1,0)&amp;"%"</f>
      </c>
    </row>
    <row x14ac:dyDescent="0.25" r="118" customHeight="1" ht="17.25">
      <c r="A118" s="17" t="s">
        <v>11780</v>
      </c>
      <c r="B118" s="17" t="s">
        <v>214</v>
      </c>
      <c r="C118" s="17" t="s">
        <v>76</v>
      </c>
      <c r="D118" s="17" t="s">
        <v>39</v>
      </c>
      <c r="E118" s="18">
        <f>ROUND(17725*1.05,2)</f>
      </c>
      <c r="F118" s="17" t="s">
        <v>40</v>
      </c>
      <c r="G118" s="17" t="s">
        <v>24</v>
      </c>
      <c r="H118" s="18">
        <f>ROUND(RAND()*4+6,1)</f>
      </c>
      <c r="I118" s="17" t="s">
        <v>41</v>
      </c>
      <c r="J118" s="19">
        <f>ROUND(61*1,0)&amp;"%"</f>
      </c>
    </row>
    <row x14ac:dyDescent="0.25" r="119" customHeight="1" ht="17.25">
      <c r="A119" s="20" t="s">
        <v>11781</v>
      </c>
      <c r="B119" s="20" t="s">
        <v>216</v>
      </c>
      <c r="C119" s="20" t="s">
        <v>76</v>
      </c>
      <c r="D119" s="20" t="s">
        <v>67</v>
      </c>
      <c r="E119" s="21">
        <f>ROUND(7656*1.05,2)</f>
      </c>
      <c r="F119" s="20" t="s">
        <v>44</v>
      </c>
      <c r="G119" s="20" t="s">
        <v>30</v>
      </c>
      <c r="H119" s="21">
        <f>ROUND(RAND()*4+6,1)</f>
      </c>
      <c r="I119" s="20" t="s">
        <v>45</v>
      </c>
      <c r="J119" s="23">
        <f>ROUND(97*1,0)&amp;"%"</f>
      </c>
    </row>
    <row x14ac:dyDescent="0.25" r="120" customHeight="1" ht="17.25">
      <c r="A120" s="17" t="s">
        <v>11782</v>
      </c>
      <c r="B120" s="17" t="s">
        <v>218</v>
      </c>
      <c r="C120" s="17" t="s">
        <v>76</v>
      </c>
      <c r="D120" s="17" t="s">
        <v>16</v>
      </c>
      <c r="E120" s="18">
        <f>ROUND(9641*1.05,2)</f>
      </c>
      <c r="F120" s="17" t="s">
        <v>48</v>
      </c>
      <c r="G120" s="17" t="s">
        <v>18</v>
      </c>
      <c r="H120" s="18">
        <f>ROUND(RAND()*4+6,1)</f>
      </c>
      <c r="I120" s="17" t="s">
        <v>19</v>
      </c>
      <c r="J120" s="19">
        <f>ROUND(78*1,0)&amp;"%"</f>
      </c>
    </row>
    <row x14ac:dyDescent="0.25" r="121" customHeight="1" ht="17.25">
      <c r="A121" s="20" t="s">
        <v>11783</v>
      </c>
      <c r="B121" s="20" t="s">
        <v>220</v>
      </c>
      <c r="C121" s="20" t="s">
        <v>76</v>
      </c>
      <c r="D121" s="20" t="s">
        <v>22</v>
      </c>
      <c r="E121" s="21">
        <f>ROUND(10541*1.05,2)</f>
      </c>
      <c r="F121" s="20" t="s">
        <v>51</v>
      </c>
      <c r="G121" s="20" t="s">
        <v>24</v>
      </c>
      <c r="H121" s="22">
        <f>ROUND(RAND()*4+6,1)</f>
      </c>
      <c r="I121" s="20" t="s">
        <v>25</v>
      </c>
      <c r="J121" s="23">
        <f>ROUND(78*1,0)&amp;"%"</f>
      </c>
    </row>
    <row x14ac:dyDescent="0.25" r="122" customHeight="1" ht="17.25">
      <c r="A122" s="24" t="s">
        <v>221</v>
      </c>
      <c r="B122" s="24"/>
      <c r="C122" s="24"/>
      <c r="D122" s="24"/>
      <c r="E122" s="25">
        <v>8</v>
      </c>
      <c r="F122" s="9"/>
      <c r="G122" s="9"/>
      <c r="H122" s="10"/>
      <c r="I122" s="9"/>
      <c r="J122" s="9"/>
    </row>
    <row x14ac:dyDescent="0.25" r="123" customHeight="1" ht="17.25">
      <c r="A123" s="7"/>
      <c r="B123" s="7"/>
      <c r="C123" s="7"/>
      <c r="D123" s="7"/>
      <c r="E123" s="8"/>
      <c r="F123" s="9"/>
      <c r="G123" s="9"/>
      <c r="H123" s="10"/>
      <c r="I123" s="9"/>
      <c r="J123" s="9"/>
    </row>
    <row x14ac:dyDescent="0.25" r="124" customHeight="1" ht="17.25">
      <c r="A124" s="11" t="s">
        <v>11784</v>
      </c>
      <c r="B124" s="11"/>
      <c r="C124" s="11"/>
      <c r="D124" s="11"/>
      <c r="E124" s="12"/>
      <c r="F124" s="11"/>
      <c r="G124" s="11"/>
      <c r="H124" s="13"/>
      <c r="I124" s="11"/>
      <c r="J124" s="11"/>
    </row>
    <row x14ac:dyDescent="0.25" r="125" customHeight="1" ht="17.25">
      <c r="A125" s="14" t="s">
        <v>3</v>
      </c>
      <c r="B125" s="14" t="s">
        <v>4</v>
      </c>
      <c r="C125" s="14" t="s">
        <v>5</v>
      </c>
      <c r="D125" s="14" t="s">
        <v>6</v>
      </c>
      <c r="E125" s="15" t="s">
        <v>7</v>
      </c>
      <c r="F125" s="14" t="s">
        <v>8</v>
      </c>
      <c r="G125" s="14" t="s">
        <v>9</v>
      </c>
      <c r="H125" s="16" t="s">
        <v>10</v>
      </c>
      <c r="I125" s="14" t="s">
        <v>11</v>
      </c>
      <c r="J125" s="14" t="s">
        <v>12</v>
      </c>
    </row>
    <row x14ac:dyDescent="0.25" r="126" customHeight="1" ht="17.25">
      <c r="A126" s="17" t="s">
        <v>11785</v>
      </c>
      <c r="B126" s="17" t="s">
        <v>224</v>
      </c>
      <c r="C126" s="17" t="s">
        <v>95</v>
      </c>
      <c r="D126" s="17" t="s">
        <v>16</v>
      </c>
      <c r="E126" s="26">
        <f>ROUND(7940*1.05,2)</f>
      </c>
      <c r="F126" s="17" t="s">
        <v>17</v>
      </c>
      <c r="G126" s="17" t="s">
        <v>18</v>
      </c>
      <c r="H126" s="18">
        <f>ROUND(RAND()*4+6,1)</f>
      </c>
      <c r="I126" s="17" t="s">
        <v>19</v>
      </c>
      <c r="J126" s="19">
        <f>ROUND(93*1,0)&amp;"%"</f>
      </c>
    </row>
    <row x14ac:dyDescent="0.25" r="127" customHeight="1" ht="17.25">
      <c r="A127" s="20" t="s">
        <v>11786</v>
      </c>
      <c r="B127" s="20" t="s">
        <v>226</v>
      </c>
      <c r="C127" s="20" t="s">
        <v>95</v>
      </c>
      <c r="D127" s="20" t="s">
        <v>22</v>
      </c>
      <c r="E127" s="21">
        <f>ROUND(4312*1.05,2)</f>
      </c>
      <c r="F127" s="20" t="s">
        <v>23</v>
      </c>
      <c r="G127" s="20" t="s">
        <v>24</v>
      </c>
      <c r="H127" s="21">
        <f>ROUND(RAND()*4+6,1)</f>
      </c>
      <c r="I127" s="20" t="s">
        <v>25</v>
      </c>
      <c r="J127" s="23">
        <f>ROUND(63*1,0)&amp;"%"</f>
      </c>
    </row>
    <row x14ac:dyDescent="0.25" r="128" customHeight="1" ht="17.25">
      <c r="A128" s="17" t="s">
        <v>11787</v>
      </c>
      <c r="B128" s="17" t="s">
        <v>228</v>
      </c>
      <c r="C128" s="17" t="s">
        <v>95</v>
      </c>
      <c r="D128" s="17" t="s">
        <v>28</v>
      </c>
      <c r="E128" s="26">
        <f>ROUND(8800*1.05,2)</f>
      </c>
      <c r="F128" s="17" t="s">
        <v>29</v>
      </c>
      <c r="G128" s="17" t="s">
        <v>30</v>
      </c>
      <c r="H128" s="18">
        <f>ROUND(RAND()*4+6,1)</f>
      </c>
      <c r="I128" s="17" t="s">
        <v>31</v>
      </c>
      <c r="J128" s="19">
        <f>ROUND(92*1,0)&amp;"%"</f>
      </c>
    </row>
    <row x14ac:dyDescent="0.25" r="129" customHeight="1" ht="17.25">
      <c r="A129" s="20" t="s">
        <v>11788</v>
      </c>
      <c r="B129" s="20" t="s">
        <v>230</v>
      </c>
      <c r="C129" s="20" t="s">
        <v>95</v>
      </c>
      <c r="D129" s="20" t="s">
        <v>34</v>
      </c>
      <c r="E129" s="21">
        <f>ROUND(13953*1.05,2)</f>
      </c>
      <c r="F129" s="20" t="s">
        <v>35</v>
      </c>
      <c r="G129" s="20" t="s">
        <v>18</v>
      </c>
      <c r="H129" s="21">
        <f>ROUND(RAND()*4+6,1)</f>
      </c>
      <c r="I129" s="20" t="s">
        <v>36</v>
      </c>
      <c r="J129" s="23">
        <f>ROUND(68*1,0)&amp;"%"</f>
      </c>
    </row>
    <row x14ac:dyDescent="0.25" r="130" customHeight="1" ht="17.25">
      <c r="A130" s="17" t="s">
        <v>11789</v>
      </c>
      <c r="B130" s="17" t="s">
        <v>232</v>
      </c>
      <c r="C130" s="17" t="s">
        <v>95</v>
      </c>
      <c r="D130" s="17" t="s">
        <v>39</v>
      </c>
      <c r="E130" s="26">
        <f>ROUND(17960*1.05,2)</f>
      </c>
      <c r="F130" s="17" t="s">
        <v>40</v>
      </c>
      <c r="G130" s="17" t="s">
        <v>24</v>
      </c>
      <c r="H130" s="18">
        <f>ROUND(RAND()*4+6,1)</f>
      </c>
      <c r="I130" s="17" t="s">
        <v>41</v>
      </c>
      <c r="J130" s="19">
        <f>ROUND(86*1,0)&amp;"%"</f>
      </c>
    </row>
    <row x14ac:dyDescent="0.25" r="131" customHeight="1" ht="17.25">
      <c r="A131" s="20" t="s">
        <v>11790</v>
      </c>
      <c r="B131" s="20" t="s">
        <v>234</v>
      </c>
      <c r="C131" s="20" t="s">
        <v>95</v>
      </c>
      <c r="D131" s="20" t="s">
        <v>67</v>
      </c>
      <c r="E131" s="21">
        <f>ROUND(15979*1.05,2)</f>
      </c>
      <c r="F131" s="20" t="s">
        <v>44</v>
      </c>
      <c r="G131" s="20" t="s">
        <v>30</v>
      </c>
      <c r="H131" s="22">
        <f>ROUND(RAND()*4+6,1)</f>
      </c>
      <c r="I131" s="20" t="s">
        <v>45</v>
      </c>
      <c r="J131" s="23">
        <f>ROUND(79*1,0)&amp;"%"</f>
      </c>
    </row>
    <row x14ac:dyDescent="0.25" r="132" customHeight="1" ht="17.25">
      <c r="A132" s="17" t="s">
        <v>11791</v>
      </c>
      <c r="B132" s="17" t="s">
        <v>236</v>
      </c>
      <c r="C132" s="17" t="s">
        <v>95</v>
      </c>
      <c r="D132" s="17" t="s">
        <v>16</v>
      </c>
      <c r="E132" s="26">
        <f>ROUND(10040*1.05,2)</f>
      </c>
      <c r="F132" s="17" t="s">
        <v>48</v>
      </c>
      <c r="G132" s="17" t="s">
        <v>18</v>
      </c>
      <c r="H132" s="18">
        <f>ROUND(RAND()*4+6,1)</f>
      </c>
      <c r="I132" s="17" t="s">
        <v>19</v>
      </c>
      <c r="J132" s="19">
        <f>ROUND(100*1,0)&amp;"%"</f>
      </c>
    </row>
    <row x14ac:dyDescent="0.25" r="133" customHeight="1" ht="17.25">
      <c r="A133" s="20" t="s">
        <v>11792</v>
      </c>
      <c r="B133" s="20" t="s">
        <v>238</v>
      </c>
      <c r="C133" s="20" t="s">
        <v>95</v>
      </c>
      <c r="D133" s="20" t="s">
        <v>22</v>
      </c>
      <c r="E133" s="21">
        <f>ROUND(5245*1.05,2)</f>
      </c>
      <c r="F133" s="20" t="s">
        <v>51</v>
      </c>
      <c r="G133" s="20" t="s">
        <v>24</v>
      </c>
      <c r="H133" s="21">
        <f>ROUND(RAND()*4+6,1)</f>
      </c>
      <c r="I133" s="20" t="s">
        <v>25</v>
      </c>
      <c r="J133" s="23">
        <f>ROUND(91*1,0)&amp;"%"</f>
      </c>
    </row>
    <row x14ac:dyDescent="0.25" r="134" customHeight="1" ht="17.25">
      <c r="A134" s="24" t="s">
        <v>239</v>
      </c>
      <c r="B134" s="24"/>
      <c r="C134" s="24"/>
      <c r="D134" s="24"/>
      <c r="E134" s="25">
        <v>8</v>
      </c>
      <c r="F134" s="9"/>
      <c r="G134" s="9"/>
      <c r="H134" s="10"/>
      <c r="I134" s="9"/>
      <c r="J134" s="9"/>
    </row>
    <row x14ac:dyDescent="0.25" r="135" customHeight="1" ht="17.25">
      <c r="A135" s="7"/>
      <c r="B135" s="7"/>
      <c r="C135" s="7"/>
      <c r="D135" s="7"/>
      <c r="E135" s="8"/>
      <c r="F135" s="9"/>
      <c r="G135" s="9"/>
      <c r="H135" s="10"/>
      <c r="I135" s="9"/>
      <c r="J135" s="9"/>
    </row>
    <row x14ac:dyDescent="0.25" r="136" customHeight="1" ht="17.25">
      <c r="A136" s="11" t="s">
        <v>11793</v>
      </c>
      <c r="B136" s="11"/>
      <c r="C136" s="11"/>
      <c r="D136" s="11"/>
      <c r="E136" s="12"/>
      <c r="F136" s="11"/>
      <c r="G136" s="11"/>
      <c r="H136" s="13"/>
      <c r="I136" s="11"/>
      <c r="J136" s="11"/>
    </row>
    <row x14ac:dyDescent="0.25" r="137" customHeight="1" ht="17.25">
      <c r="A137" s="14" t="s">
        <v>3</v>
      </c>
      <c r="B137" s="14" t="s">
        <v>4</v>
      </c>
      <c r="C137" s="14" t="s">
        <v>5</v>
      </c>
      <c r="D137" s="14" t="s">
        <v>6</v>
      </c>
      <c r="E137" s="15" t="s">
        <v>7</v>
      </c>
      <c r="F137" s="14" t="s">
        <v>8</v>
      </c>
      <c r="G137" s="14" t="s">
        <v>9</v>
      </c>
      <c r="H137" s="16" t="s">
        <v>10</v>
      </c>
      <c r="I137" s="14" t="s">
        <v>11</v>
      </c>
      <c r="J137" s="14" t="s">
        <v>12</v>
      </c>
    </row>
    <row x14ac:dyDescent="0.25" r="138" customHeight="1" ht="17.25">
      <c r="A138" s="17" t="s">
        <v>11794</v>
      </c>
      <c r="B138" s="17" t="s">
        <v>242</v>
      </c>
      <c r="C138" s="17" t="s">
        <v>114</v>
      </c>
      <c r="D138" s="17" t="s">
        <v>16</v>
      </c>
      <c r="E138" s="18">
        <f>ROUND(7921*1.05,2)</f>
      </c>
      <c r="F138" s="17" t="s">
        <v>17</v>
      </c>
      <c r="G138" s="17" t="s">
        <v>18</v>
      </c>
      <c r="H138" s="18">
        <f>ROUND(RAND()*4+6,1)</f>
      </c>
      <c r="I138" s="17" t="s">
        <v>19</v>
      </c>
      <c r="J138" s="19">
        <f>ROUND(78*1,0)&amp;"%"</f>
      </c>
    </row>
    <row x14ac:dyDescent="0.25" r="139" customHeight="1" ht="17.25">
      <c r="A139" s="20" t="s">
        <v>11795</v>
      </c>
      <c r="B139" s="20" t="s">
        <v>244</v>
      </c>
      <c r="C139" s="20" t="s">
        <v>114</v>
      </c>
      <c r="D139" s="20" t="s">
        <v>22</v>
      </c>
      <c r="E139" s="21">
        <f>ROUND(16019*1.05,2)</f>
      </c>
      <c r="F139" s="20" t="s">
        <v>23</v>
      </c>
      <c r="G139" s="20" t="s">
        <v>24</v>
      </c>
      <c r="H139" s="21">
        <f>ROUND(RAND()*4+6,1)</f>
      </c>
      <c r="I139" s="20" t="s">
        <v>25</v>
      </c>
      <c r="J139" s="23">
        <f>ROUND(95*1,0)&amp;"%"</f>
      </c>
    </row>
    <row x14ac:dyDescent="0.25" r="140" customHeight="1" ht="17.25">
      <c r="A140" s="17" t="s">
        <v>11796</v>
      </c>
      <c r="B140" s="17" t="s">
        <v>246</v>
      </c>
      <c r="C140" s="17" t="s">
        <v>114</v>
      </c>
      <c r="D140" s="17" t="s">
        <v>28</v>
      </c>
      <c r="E140" s="18">
        <f>ROUND(9087*1.05,2)</f>
      </c>
      <c r="F140" s="17" t="s">
        <v>29</v>
      </c>
      <c r="G140" s="17" t="s">
        <v>30</v>
      </c>
      <c r="H140" s="18">
        <f>ROUND(RAND()*4+6,1)</f>
      </c>
      <c r="I140" s="17" t="s">
        <v>31</v>
      </c>
      <c r="J140" s="19">
        <f>ROUND(95*1,0)&amp;"%"</f>
      </c>
    </row>
    <row x14ac:dyDescent="0.25" r="141" customHeight="1" ht="17.25">
      <c r="A141" s="20" t="s">
        <v>11797</v>
      </c>
      <c r="B141" s="20" t="s">
        <v>248</v>
      </c>
      <c r="C141" s="20" t="s">
        <v>114</v>
      </c>
      <c r="D141" s="20" t="s">
        <v>34</v>
      </c>
      <c r="E141" s="21">
        <f>ROUND(4163*1.05,2)</f>
      </c>
      <c r="F141" s="20" t="s">
        <v>35</v>
      </c>
      <c r="G141" s="20" t="s">
        <v>18</v>
      </c>
      <c r="H141" s="21">
        <f>ROUND(RAND()*4+6,1)</f>
      </c>
      <c r="I141" s="20" t="s">
        <v>36</v>
      </c>
      <c r="J141" s="23">
        <f>ROUND(88*1,0)&amp;"%"</f>
      </c>
    </row>
    <row x14ac:dyDescent="0.25" r="142" customHeight="1" ht="17.25">
      <c r="A142" s="17" t="s">
        <v>11798</v>
      </c>
      <c r="B142" s="17" t="s">
        <v>250</v>
      </c>
      <c r="C142" s="17" t="s">
        <v>114</v>
      </c>
      <c r="D142" s="17" t="s">
        <v>39</v>
      </c>
      <c r="E142" s="18">
        <f>ROUND(4825*1.05,2)</f>
      </c>
      <c r="F142" s="17" t="s">
        <v>40</v>
      </c>
      <c r="G142" s="17" t="s">
        <v>24</v>
      </c>
      <c r="H142" s="18">
        <f>ROUND(RAND()*4+6,1)</f>
      </c>
      <c r="I142" s="17" t="s">
        <v>41</v>
      </c>
      <c r="J142" s="19">
        <f>ROUND(83*1,0)&amp;"%"</f>
      </c>
    </row>
    <row x14ac:dyDescent="0.25" r="143" customHeight="1" ht="17.25">
      <c r="A143" s="20" t="s">
        <v>11799</v>
      </c>
      <c r="B143" s="20" t="s">
        <v>252</v>
      </c>
      <c r="C143" s="20" t="s">
        <v>114</v>
      </c>
      <c r="D143" s="20" t="s">
        <v>67</v>
      </c>
      <c r="E143" s="21">
        <f>ROUND(13954*1.05,2)</f>
      </c>
      <c r="F143" s="20" t="s">
        <v>44</v>
      </c>
      <c r="G143" s="20" t="s">
        <v>30</v>
      </c>
      <c r="H143" s="21">
        <f>ROUND(RAND()*4+6,1)</f>
      </c>
      <c r="I143" s="20" t="s">
        <v>45</v>
      </c>
      <c r="J143" s="23">
        <f>ROUND(94*1,0)&amp;"%"</f>
      </c>
    </row>
    <row x14ac:dyDescent="0.25" r="144" customHeight="1" ht="17.25">
      <c r="A144" s="17" t="s">
        <v>11800</v>
      </c>
      <c r="B144" s="17" t="s">
        <v>254</v>
      </c>
      <c r="C144" s="17" t="s">
        <v>114</v>
      </c>
      <c r="D144" s="17" t="s">
        <v>16</v>
      </c>
      <c r="E144" s="18">
        <f>ROUND(15813*1.05,2)</f>
      </c>
      <c r="F144" s="17" t="s">
        <v>48</v>
      </c>
      <c r="G144" s="17" t="s">
        <v>18</v>
      </c>
      <c r="H144" s="18">
        <f>ROUND(RAND()*4+6,1)</f>
      </c>
      <c r="I144" s="17" t="s">
        <v>19</v>
      </c>
      <c r="J144" s="19">
        <f>ROUND(99*1,0)&amp;"%"</f>
      </c>
    </row>
    <row x14ac:dyDescent="0.25" r="145" customHeight="1" ht="17.25">
      <c r="A145" s="20" t="s">
        <v>11801</v>
      </c>
      <c r="B145" s="20" t="s">
        <v>256</v>
      </c>
      <c r="C145" s="20" t="s">
        <v>114</v>
      </c>
      <c r="D145" s="20" t="s">
        <v>22</v>
      </c>
      <c r="E145" s="21">
        <f>ROUND(17558*1.05,2)</f>
      </c>
      <c r="F145" s="20" t="s">
        <v>51</v>
      </c>
      <c r="G145" s="20" t="s">
        <v>24</v>
      </c>
      <c r="H145" s="21">
        <f>ROUND(RAND()*4+6,1)</f>
      </c>
      <c r="I145" s="20" t="s">
        <v>25</v>
      </c>
      <c r="J145" s="23">
        <f>ROUND(92*1,0)&amp;"%"</f>
      </c>
    </row>
    <row x14ac:dyDescent="0.25" r="146" customHeight="1" ht="17.25">
      <c r="A146" s="24" t="s">
        <v>257</v>
      </c>
      <c r="B146" s="24"/>
      <c r="C146" s="24"/>
      <c r="D146" s="24"/>
      <c r="E146" s="25">
        <v>8</v>
      </c>
      <c r="F146" s="9"/>
      <c r="G146" s="9"/>
      <c r="H146" s="10"/>
      <c r="I146" s="9"/>
      <c r="J146" s="9"/>
    </row>
    <row x14ac:dyDescent="0.25" r="147" customHeight="1" ht="17.25">
      <c r="A147" s="7"/>
      <c r="B147" s="7"/>
      <c r="C147" s="7"/>
      <c r="D147" s="7"/>
      <c r="E147" s="8"/>
      <c r="F147" s="9"/>
      <c r="G147" s="9"/>
      <c r="H147" s="10"/>
      <c r="I147" s="9"/>
      <c r="J147" s="9"/>
    </row>
    <row x14ac:dyDescent="0.25" r="148" customHeight="1" ht="17.25">
      <c r="A148" s="11" t="s">
        <v>11802</v>
      </c>
      <c r="B148" s="11"/>
      <c r="C148" s="11"/>
      <c r="D148" s="11"/>
      <c r="E148" s="12"/>
      <c r="F148" s="11"/>
      <c r="G148" s="11"/>
      <c r="H148" s="13"/>
      <c r="I148" s="11"/>
      <c r="J148" s="11"/>
    </row>
    <row x14ac:dyDescent="0.25" r="149" customHeight="1" ht="17.25">
      <c r="A149" s="14" t="s">
        <v>3</v>
      </c>
      <c r="B149" s="14" t="s">
        <v>4</v>
      </c>
      <c r="C149" s="14" t="s">
        <v>5</v>
      </c>
      <c r="D149" s="14" t="s">
        <v>6</v>
      </c>
      <c r="E149" s="15" t="s">
        <v>7</v>
      </c>
      <c r="F149" s="14" t="s">
        <v>8</v>
      </c>
      <c r="G149" s="14" t="s">
        <v>9</v>
      </c>
      <c r="H149" s="16" t="s">
        <v>10</v>
      </c>
      <c r="I149" s="14" t="s">
        <v>11</v>
      </c>
      <c r="J149" s="14" t="s">
        <v>12</v>
      </c>
    </row>
    <row x14ac:dyDescent="0.25" r="150" customHeight="1" ht="17.25">
      <c r="A150" s="17" t="s">
        <v>11803</v>
      </c>
      <c r="B150" s="17" t="s">
        <v>260</v>
      </c>
      <c r="C150" s="17" t="s">
        <v>133</v>
      </c>
      <c r="D150" s="17" t="s">
        <v>16</v>
      </c>
      <c r="E150" s="18">
        <f>ROUND(6584*1.05,2)</f>
      </c>
      <c r="F150" s="17" t="s">
        <v>17</v>
      </c>
      <c r="G150" s="17" t="s">
        <v>18</v>
      </c>
      <c r="H150" s="18">
        <f>ROUND(RAND()*4+6,1)</f>
      </c>
      <c r="I150" s="17" t="s">
        <v>19</v>
      </c>
      <c r="J150" s="19">
        <f>ROUND(80*1,0)&amp;"%"</f>
      </c>
    </row>
    <row x14ac:dyDescent="0.25" r="151" customHeight="1" ht="17.25">
      <c r="A151" s="20" t="s">
        <v>11804</v>
      </c>
      <c r="B151" s="20" t="s">
        <v>262</v>
      </c>
      <c r="C151" s="20" t="s">
        <v>133</v>
      </c>
      <c r="D151" s="20" t="s">
        <v>22</v>
      </c>
      <c r="E151" s="21">
        <f>ROUND(16690*1.05,2)</f>
      </c>
      <c r="F151" s="20" t="s">
        <v>23</v>
      </c>
      <c r="G151" s="20" t="s">
        <v>24</v>
      </c>
      <c r="H151" s="21">
        <f>ROUND(RAND()*4+6,1)</f>
      </c>
      <c r="I151" s="20" t="s">
        <v>25</v>
      </c>
      <c r="J151" s="23">
        <f>ROUND(88*1,0)&amp;"%"</f>
      </c>
    </row>
    <row x14ac:dyDescent="0.25" r="152" customHeight="1" ht="17.25">
      <c r="A152" s="17" t="s">
        <v>11805</v>
      </c>
      <c r="B152" s="17" t="s">
        <v>264</v>
      </c>
      <c r="C152" s="17" t="s">
        <v>133</v>
      </c>
      <c r="D152" s="17" t="s">
        <v>28</v>
      </c>
      <c r="E152" s="18">
        <f>ROUND(5186*1.05,2)</f>
      </c>
      <c r="F152" s="17" t="s">
        <v>29</v>
      </c>
      <c r="G152" s="17" t="s">
        <v>30</v>
      </c>
      <c r="H152" s="18">
        <f>ROUND(RAND()*4+6,1)</f>
      </c>
      <c r="I152" s="17" t="s">
        <v>31</v>
      </c>
      <c r="J152" s="19">
        <f>ROUND(73*1,0)&amp;"%"</f>
      </c>
    </row>
    <row x14ac:dyDescent="0.25" r="153" customHeight="1" ht="17.25">
      <c r="A153" s="20" t="s">
        <v>11806</v>
      </c>
      <c r="B153" s="20" t="s">
        <v>266</v>
      </c>
      <c r="C153" s="20" t="s">
        <v>133</v>
      </c>
      <c r="D153" s="20" t="s">
        <v>34</v>
      </c>
      <c r="E153" s="21">
        <f>ROUND(16215*1.05,2)</f>
      </c>
      <c r="F153" s="20" t="s">
        <v>35</v>
      </c>
      <c r="G153" s="20" t="s">
        <v>18</v>
      </c>
      <c r="H153" s="21">
        <f>ROUND(RAND()*4+6,1)</f>
      </c>
      <c r="I153" s="20" t="s">
        <v>36</v>
      </c>
      <c r="J153" s="23">
        <f>ROUND(100*1,0)&amp;"%"</f>
      </c>
    </row>
    <row x14ac:dyDescent="0.25" r="154" customHeight="1" ht="17.25">
      <c r="A154" s="17" t="s">
        <v>11807</v>
      </c>
      <c r="B154" s="17" t="s">
        <v>268</v>
      </c>
      <c r="C154" s="17" t="s">
        <v>133</v>
      </c>
      <c r="D154" s="17" t="s">
        <v>39</v>
      </c>
      <c r="E154" s="18">
        <f>ROUND(16135*1.05,2)</f>
      </c>
      <c r="F154" s="17" t="s">
        <v>40</v>
      </c>
      <c r="G154" s="17" t="s">
        <v>24</v>
      </c>
      <c r="H154" s="18">
        <f>ROUND(RAND()*4+6,1)</f>
      </c>
      <c r="I154" s="17" t="s">
        <v>41</v>
      </c>
      <c r="J154" s="19">
        <f>ROUND(79*1,0)&amp;"%"</f>
      </c>
    </row>
    <row x14ac:dyDescent="0.25" r="155" customHeight="1" ht="17.25">
      <c r="A155" s="20" t="s">
        <v>11808</v>
      </c>
      <c r="B155" s="20" t="s">
        <v>270</v>
      </c>
      <c r="C155" s="20" t="s">
        <v>133</v>
      </c>
      <c r="D155" s="20" t="s">
        <v>67</v>
      </c>
      <c r="E155" s="21">
        <f>ROUND(8567*1.05,2)</f>
      </c>
      <c r="F155" s="20" t="s">
        <v>44</v>
      </c>
      <c r="G155" s="20" t="s">
        <v>30</v>
      </c>
      <c r="H155" s="21">
        <f>ROUND(RAND()*4+6,1)</f>
      </c>
      <c r="I155" s="20" t="s">
        <v>45</v>
      </c>
      <c r="J155" s="23">
        <f>ROUND(100*1,0)&amp;"%"</f>
      </c>
    </row>
    <row x14ac:dyDescent="0.25" r="156" customHeight="1" ht="17.25">
      <c r="A156" s="17" t="s">
        <v>11809</v>
      </c>
      <c r="B156" s="17" t="s">
        <v>272</v>
      </c>
      <c r="C156" s="17" t="s">
        <v>133</v>
      </c>
      <c r="D156" s="17" t="s">
        <v>16</v>
      </c>
      <c r="E156" s="18">
        <f>ROUND(6866*1.05,2)</f>
      </c>
      <c r="F156" s="17" t="s">
        <v>48</v>
      </c>
      <c r="G156" s="17" t="s">
        <v>18</v>
      </c>
      <c r="H156" s="18">
        <f>ROUND(RAND()*4+6,1)</f>
      </c>
      <c r="I156" s="17" t="s">
        <v>19</v>
      </c>
      <c r="J156" s="19">
        <f>ROUND(68*1,0)&amp;"%"</f>
      </c>
    </row>
    <row x14ac:dyDescent="0.25" r="157" customHeight="1" ht="17.25">
      <c r="A157" s="20" t="s">
        <v>11810</v>
      </c>
      <c r="B157" s="20" t="s">
        <v>274</v>
      </c>
      <c r="C157" s="20" t="s">
        <v>133</v>
      </c>
      <c r="D157" s="20" t="s">
        <v>22</v>
      </c>
      <c r="E157" s="21">
        <f>ROUND(11710*1.05,2)</f>
      </c>
      <c r="F157" s="20" t="s">
        <v>51</v>
      </c>
      <c r="G157" s="20" t="s">
        <v>24</v>
      </c>
      <c r="H157" s="21">
        <f>ROUND(RAND()*4+6,1)</f>
      </c>
      <c r="I157" s="20" t="s">
        <v>25</v>
      </c>
      <c r="J157" s="23">
        <f>ROUND(80*1,0)&amp;"%"</f>
      </c>
    </row>
    <row x14ac:dyDescent="0.25" r="158" customHeight="1" ht="17.25">
      <c r="A158" s="24" t="s">
        <v>275</v>
      </c>
      <c r="B158" s="24"/>
      <c r="C158" s="24"/>
      <c r="D158" s="24"/>
      <c r="E158" s="25">
        <v>8</v>
      </c>
      <c r="F158" s="9"/>
      <c r="G158" s="9"/>
      <c r="H158" s="10"/>
      <c r="I158" s="9"/>
      <c r="J158" s="9"/>
    </row>
    <row x14ac:dyDescent="0.25" r="159" customHeight="1" ht="17.25">
      <c r="A159" s="7"/>
      <c r="B159" s="7"/>
      <c r="C159" s="7"/>
      <c r="D159" s="7"/>
      <c r="E159" s="8"/>
      <c r="F159" s="9"/>
      <c r="G159" s="9"/>
      <c r="H159" s="10"/>
      <c r="I159" s="9"/>
      <c r="J159" s="9"/>
    </row>
    <row x14ac:dyDescent="0.25" r="160" customHeight="1" ht="17.25">
      <c r="A160" s="11" t="s">
        <v>11811</v>
      </c>
      <c r="B160" s="11"/>
      <c r="C160" s="11"/>
      <c r="D160" s="11"/>
      <c r="E160" s="12"/>
      <c r="F160" s="11"/>
      <c r="G160" s="11"/>
      <c r="H160" s="13"/>
      <c r="I160" s="11"/>
      <c r="J160" s="11"/>
    </row>
    <row x14ac:dyDescent="0.25" r="161" customHeight="1" ht="17.25">
      <c r="A161" s="14" t="s">
        <v>3</v>
      </c>
      <c r="B161" s="14" t="s">
        <v>4</v>
      </c>
      <c r="C161" s="14" t="s">
        <v>5</v>
      </c>
      <c r="D161" s="14" t="s">
        <v>6</v>
      </c>
      <c r="E161" s="15" t="s">
        <v>7</v>
      </c>
      <c r="F161" s="14" t="s">
        <v>8</v>
      </c>
      <c r="G161" s="14" t="s">
        <v>9</v>
      </c>
      <c r="H161" s="16" t="s">
        <v>10</v>
      </c>
      <c r="I161" s="14" t="s">
        <v>11</v>
      </c>
      <c r="J161" s="14" t="s">
        <v>12</v>
      </c>
    </row>
    <row x14ac:dyDescent="0.25" r="162" customHeight="1" ht="17.25">
      <c r="A162" s="17" t="s">
        <v>11812</v>
      </c>
      <c r="B162" s="17" t="s">
        <v>278</v>
      </c>
      <c r="C162" s="17" t="s">
        <v>152</v>
      </c>
      <c r="D162" s="17" t="s">
        <v>16</v>
      </c>
      <c r="E162" s="18">
        <f>ROUND(14637*1.05,2)</f>
      </c>
      <c r="F162" s="17" t="s">
        <v>17</v>
      </c>
      <c r="G162" s="17" t="s">
        <v>18</v>
      </c>
      <c r="H162" s="18">
        <f>ROUND(RAND()*4+6,1)</f>
      </c>
      <c r="I162" s="17" t="s">
        <v>19</v>
      </c>
      <c r="J162" s="19">
        <f>ROUND(96*1,0)&amp;"%"</f>
      </c>
    </row>
    <row x14ac:dyDescent="0.25" r="163" customHeight="1" ht="17.25">
      <c r="A163" s="20" t="s">
        <v>11813</v>
      </c>
      <c r="B163" s="20" t="s">
        <v>280</v>
      </c>
      <c r="C163" s="20" t="s">
        <v>152</v>
      </c>
      <c r="D163" s="20" t="s">
        <v>22</v>
      </c>
      <c r="E163" s="21">
        <f>ROUND(14710*1.05,2)</f>
      </c>
      <c r="F163" s="20" t="s">
        <v>23</v>
      </c>
      <c r="G163" s="20" t="s">
        <v>24</v>
      </c>
      <c r="H163" s="22">
        <f>ROUND(RAND()*4+6,1)</f>
      </c>
      <c r="I163" s="20" t="s">
        <v>25</v>
      </c>
      <c r="J163" s="23">
        <f>ROUND(82*1,0)&amp;"%"</f>
      </c>
    </row>
    <row x14ac:dyDescent="0.25" r="164" customHeight="1" ht="17.25">
      <c r="A164" s="17" t="s">
        <v>11814</v>
      </c>
      <c r="B164" s="17" t="s">
        <v>282</v>
      </c>
      <c r="C164" s="17" t="s">
        <v>152</v>
      </c>
      <c r="D164" s="17" t="s">
        <v>28</v>
      </c>
      <c r="E164" s="18">
        <f>ROUND(4167*1.05,2)</f>
      </c>
      <c r="F164" s="17" t="s">
        <v>29</v>
      </c>
      <c r="G164" s="17" t="s">
        <v>30</v>
      </c>
      <c r="H164" s="18">
        <f>ROUND(RAND()*4+6,1)</f>
      </c>
      <c r="I164" s="17" t="s">
        <v>31</v>
      </c>
      <c r="J164" s="19">
        <f>ROUND(66*1,0)&amp;"%"</f>
      </c>
    </row>
    <row x14ac:dyDescent="0.25" r="165" customHeight="1" ht="17.25">
      <c r="A165" s="20" t="s">
        <v>11815</v>
      </c>
      <c r="B165" s="20" t="s">
        <v>284</v>
      </c>
      <c r="C165" s="20" t="s">
        <v>152</v>
      </c>
      <c r="D165" s="20" t="s">
        <v>34</v>
      </c>
      <c r="E165" s="21">
        <f>ROUND(14024*1.05,2)</f>
      </c>
      <c r="F165" s="20" t="s">
        <v>35</v>
      </c>
      <c r="G165" s="20" t="s">
        <v>18</v>
      </c>
      <c r="H165" s="21">
        <f>ROUND(RAND()*4+6,1)</f>
      </c>
      <c r="I165" s="20" t="s">
        <v>36</v>
      </c>
      <c r="J165" s="23">
        <f>ROUND(61*1,0)&amp;"%"</f>
      </c>
    </row>
    <row x14ac:dyDescent="0.25" r="166" customHeight="1" ht="17.25">
      <c r="A166" s="17" t="s">
        <v>11816</v>
      </c>
      <c r="B166" s="17" t="s">
        <v>286</v>
      </c>
      <c r="C166" s="17" t="s">
        <v>152</v>
      </c>
      <c r="D166" s="17" t="s">
        <v>39</v>
      </c>
      <c r="E166" s="18">
        <f>ROUND(16163*1.05,2)</f>
      </c>
      <c r="F166" s="17" t="s">
        <v>40</v>
      </c>
      <c r="G166" s="17" t="s">
        <v>24</v>
      </c>
      <c r="H166" s="18">
        <f>ROUND(RAND()*4+6,1)</f>
      </c>
      <c r="I166" s="17" t="s">
        <v>41</v>
      </c>
      <c r="J166" s="19">
        <f>ROUND(93*1,0)&amp;"%"</f>
      </c>
    </row>
    <row x14ac:dyDescent="0.25" r="167" customHeight="1" ht="17.25">
      <c r="A167" s="20" t="s">
        <v>11817</v>
      </c>
      <c r="B167" s="20" t="s">
        <v>288</v>
      </c>
      <c r="C167" s="20" t="s">
        <v>152</v>
      </c>
      <c r="D167" s="20" t="s">
        <v>67</v>
      </c>
      <c r="E167" s="21">
        <f>ROUND(6403*1.05,2)</f>
      </c>
      <c r="F167" s="20" t="s">
        <v>44</v>
      </c>
      <c r="G167" s="20" t="s">
        <v>30</v>
      </c>
      <c r="H167" s="21">
        <f>ROUND(RAND()*4+6,1)</f>
      </c>
      <c r="I167" s="20" t="s">
        <v>45</v>
      </c>
      <c r="J167" s="23">
        <f>ROUND(70*1,0)&amp;"%"</f>
      </c>
    </row>
    <row x14ac:dyDescent="0.25" r="168" customHeight="1" ht="17.25">
      <c r="A168" s="17" t="s">
        <v>11818</v>
      </c>
      <c r="B168" s="17" t="s">
        <v>290</v>
      </c>
      <c r="C168" s="17" t="s">
        <v>152</v>
      </c>
      <c r="D168" s="17" t="s">
        <v>16</v>
      </c>
      <c r="E168" s="18">
        <f>ROUND(6170*1.05,2)</f>
      </c>
      <c r="F168" s="17" t="s">
        <v>48</v>
      </c>
      <c r="G168" s="17" t="s">
        <v>18</v>
      </c>
      <c r="H168" s="26">
        <f>ROUND(RAND()*4+6,1)</f>
      </c>
      <c r="I168" s="17" t="s">
        <v>19</v>
      </c>
      <c r="J168" s="19">
        <f>ROUND(75*1,0)&amp;"%"</f>
      </c>
    </row>
    <row x14ac:dyDescent="0.25" r="169" customHeight="1" ht="17.25">
      <c r="A169" s="20" t="s">
        <v>11819</v>
      </c>
      <c r="B169" s="20" t="s">
        <v>292</v>
      </c>
      <c r="C169" s="20" t="s">
        <v>152</v>
      </c>
      <c r="D169" s="20" t="s">
        <v>22</v>
      </c>
      <c r="E169" s="21">
        <f>ROUND(17166*1.05,2)</f>
      </c>
      <c r="F169" s="20" t="s">
        <v>51</v>
      </c>
      <c r="G169" s="20" t="s">
        <v>24</v>
      </c>
      <c r="H169" s="21">
        <f>ROUND(RAND()*4+6,1)</f>
      </c>
      <c r="I169" s="20" t="s">
        <v>25</v>
      </c>
      <c r="J169" s="23">
        <f>ROUND(78*1,0)&amp;"%"</f>
      </c>
    </row>
    <row x14ac:dyDescent="0.25" r="170" customHeight="1" ht="17.25">
      <c r="A170" s="24" t="s">
        <v>293</v>
      </c>
      <c r="B170" s="24"/>
      <c r="C170" s="24"/>
      <c r="D170" s="24"/>
      <c r="E170" s="25">
        <v>8</v>
      </c>
      <c r="F170" s="9"/>
      <c r="G170" s="9"/>
      <c r="H170" s="10"/>
      <c r="I170" s="9"/>
      <c r="J170" s="9"/>
    </row>
    <row x14ac:dyDescent="0.25" r="171" customHeight="1" ht="17.25">
      <c r="A171" s="7"/>
      <c r="B171" s="7"/>
      <c r="C171" s="7"/>
      <c r="D171" s="7"/>
      <c r="E171" s="8"/>
      <c r="F171" s="9"/>
      <c r="G171" s="9"/>
      <c r="H171" s="10"/>
      <c r="I171" s="9"/>
      <c r="J171" s="9"/>
    </row>
    <row x14ac:dyDescent="0.25" r="172" customHeight="1" ht="17.25">
      <c r="A172" s="11" t="s">
        <v>11820</v>
      </c>
      <c r="B172" s="11"/>
      <c r="C172" s="11"/>
      <c r="D172" s="11"/>
      <c r="E172" s="12"/>
      <c r="F172" s="11"/>
      <c r="G172" s="11"/>
      <c r="H172" s="13"/>
      <c r="I172" s="11"/>
      <c r="J172" s="11"/>
    </row>
    <row x14ac:dyDescent="0.25" r="173" customHeight="1" ht="17.25">
      <c r="A173" s="14" t="s">
        <v>3</v>
      </c>
      <c r="B173" s="14" t="s">
        <v>4</v>
      </c>
      <c r="C173" s="14" t="s">
        <v>5</v>
      </c>
      <c r="D173" s="14" t="s">
        <v>6</v>
      </c>
      <c r="E173" s="15" t="s">
        <v>7</v>
      </c>
      <c r="F173" s="14" t="s">
        <v>8</v>
      </c>
      <c r="G173" s="14" t="s">
        <v>9</v>
      </c>
      <c r="H173" s="16" t="s">
        <v>10</v>
      </c>
      <c r="I173" s="14" t="s">
        <v>11</v>
      </c>
      <c r="J173" s="14" t="s">
        <v>12</v>
      </c>
    </row>
    <row x14ac:dyDescent="0.25" r="174" customHeight="1" ht="17.25">
      <c r="A174" s="17" t="s">
        <v>11821</v>
      </c>
      <c r="B174" s="17" t="s">
        <v>296</v>
      </c>
      <c r="C174" s="17" t="s">
        <v>15</v>
      </c>
      <c r="D174" s="17" t="s">
        <v>16</v>
      </c>
      <c r="E174" s="18">
        <f>ROUND(6665*1.05,2)</f>
      </c>
      <c r="F174" s="17" t="s">
        <v>17</v>
      </c>
      <c r="G174" s="17" t="s">
        <v>18</v>
      </c>
      <c r="H174" s="18">
        <f>ROUND(RAND()*4+6,1)</f>
      </c>
      <c r="I174" s="17" t="s">
        <v>19</v>
      </c>
      <c r="J174" s="19">
        <f>ROUND(74*1,0)&amp;"%"</f>
      </c>
    </row>
    <row x14ac:dyDescent="0.25" r="175" customHeight="1" ht="17.25">
      <c r="A175" s="20" t="s">
        <v>11822</v>
      </c>
      <c r="B175" s="20" t="s">
        <v>298</v>
      </c>
      <c r="C175" s="20" t="s">
        <v>15</v>
      </c>
      <c r="D175" s="20" t="s">
        <v>22</v>
      </c>
      <c r="E175" s="21">
        <f>ROUND(17089*1.05,2)</f>
      </c>
      <c r="F175" s="20" t="s">
        <v>23</v>
      </c>
      <c r="G175" s="20" t="s">
        <v>24</v>
      </c>
      <c r="H175" s="21">
        <f>ROUND(RAND()*4+6,1)</f>
      </c>
      <c r="I175" s="20" t="s">
        <v>25</v>
      </c>
      <c r="J175" s="23">
        <f>ROUND(91*1,0)&amp;"%"</f>
      </c>
    </row>
    <row x14ac:dyDescent="0.25" r="176" customHeight="1" ht="17.25">
      <c r="A176" s="17" t="s">
        <v>11823</v>
      </c>
      <c r="B176" s="17" t="s">
        <v>300</v>
      </c>
      <c r="C176" s="17" t="s">
        <v>15</v>
      </c>
      <c r="D176" s="17" t="s">
        <v>28</v>
      </c>
      <c r="E176" s="18">
        <f>ROUND(14249*1.05,2)</f>
      </c>
      <c r="F176" s="17" t="s">
        <v>29</v>
      </c>
      <c r="G176" s="17" t="s">
        <v>30</v>
      </c>
      <c r="H176" s="18">
        <f>ROUND(RAND()*4+6,1)</f>
      </c>
      <c r="I176" s="17" t="s">
        <v>31</v>
      </c>
      <c r="J176" s="19">
        <f>ROUND(95*1,0)&amp;"%"</f>
      </c>
    </row>
    <row x14ac:dyDescent="0.25" r="177" customHeight="1" ht="17.25">
      <c r="A177" s="20" t="s">
        <v>11824</v>
      </c>
      <c r="B177" s="20" t="s">
        <v>302</v>
      </c>
      <c r="C177" s="20" t="s">
        <v>15</v>
      </c>
      <c r="D177" s="20" t="s">
        <v>34</v>
      </c>
      <c r="E177" s="21">
        <f>ROUND(13784*1.05,2)</f>
      </c>
      <c r="F177" s="20" t="s">
        <v>35</v>
      </c>
      <c r="G177" s="20" t="s">
        <v>18</v>
      </c>
      <c r="H177" s="21">
        <f>ROUND(RAND()*4+6,1)</f>
      </c>
      <c r="I177" s="20" t="s">
        <v>36</v>
      </c>
      <c r="J177" s="23">
        <f>ROUND(81*1,0)&amp;"%"</f>
      </c>
    </row>
    <row x14ac:dyDescent="0.25" r="178" customHeight="1" ht="17.25">
      <c r="A178" s="17" t="s">
        <v>11825</v>
      </c>
      <c r="B178" s="17" t="s">
        <v>304</v>
      </c>
      <c r="C178" s="17" t="s">
        <v>15</v>
      </c>
      <c r="D178" s="17" t="s">
        <v>39</v>
      </c>
      <c r="E178" s="18">
        <f>ROUND(4008*1.05,2)</f>
      </c>
      <c r="F178" s="17" t="s">
        <v>40</v>
      </c>
      <c r="G178" s="17" t="s">
        <v>24</v>
      </c>
      <c r="H178" s="18">
        <f>ROUND(RAND()*4+6,1)</f>
      </c>
      <c r="I178" s="17" t="s">
        <v>41</v>
      </c>
      <c r="J178" s="19">
        <f>ROUND(66*1,0)&amp;"%"</f>
      </c>
    </row>
    <row x14ac:dyDescent="0.25" r="179" customHeight="1" ht="17.25">
      <c r="A179" s="20" t="s">
        <v>11826</v>
      </c>
      <c r="B179" s="20" t="s">
        <v>306</v>
      </c>
      <c r="C179" s="20" t="s">
        <v>15</v>
      </c>
      <c r="D179" s="20" t="s">
        <v>67</v>
      </c>
      <c r="E179" s="21">
        <f>ROUND(4373*1.05,2)</f>
      </c>
      <c r="F179" s="20" t="s">
        <v>44</v>
      </c>
      <c r="G179" s="20" t="s">
        <v>30</v>
      </c>
      <c r="H179" s="21">
        <f>ROUND(RAND()*4+6,1)</f>
      </c>
      <c r="I179" s="20" t="s">
        <v>45</v>
      </c>
      <c r="J179" s="23">
        <f>ROUND(82*1,0)&amp;"%"</f>
      </c>
    </row>
    <row x14ac:dyDescent="0.25" r="180" customHeight="1" ht="17.25">
      <c r="A180" s="17" t="s">
        <v>11827</v>
      </c>
      <c r="B180" s="17" t="s">
        <v>308</v>
      </c>
      <c r="C180" s="17" t="s">
        <v>15</v>
      </c>
      <c r="D180" s="17" t="s">
        <v>16</v>
      </c>
      <c r="E180" s="18">
        <f>ROUND(6001*1.05,2)</f>
      </c>
      <c r="F180" s="17" t="s">
        <v>48</v>
      </c>
      <c r="G180" s="17" t="s">
        <v>18</v>
      </c>
      <c r="H180" s="18">
        <f>ROUND(RAND()*4+6,1)</f>
      </c>
      <c r="I180" s="17" t="s">
        <v>19</v>
      </c>
      <c r="J180" s="19">
        <f>ROUND(87*1,0)&amp;"%"</f>
      </c>
    </row>
    <row x14ac:dyDescent="0.25" r="181" customHeight="1" ht="17.25">
      <c r="A181" s="20" t="s">
        <v>11828</v>
      </c>
      <c r="B181" s="20" t="s">
        <v>310</v>
      </c>
      <c r="C181" s="20" t="s">
        <v>15</v>
      </c>
      <c r="D181" s="20" t="s">
        <v>22</v>
      </c>
      <c r="E181" s="21">
        <f>ROUND(10507*1.05,2)</f>
      </c>
      <c r="F181" s="20" t="s">
        <v>51</v>
      </c>
      <c r="G181" s="20" t="s">
        <v>24</v>
      </c>
      <c r="H181" s="22">
        <f>ROUND(RAND()*4+6,1)</f>
      </c>
      <c r="I181" s="20" t="s">
        <v>25</v>
      </c>
      <c r="J181" s="23">
        <f>ROUND(93*1,0)&amp;"%"</f>
      </c>
    </row>
    <row x14ac:dyDescent="0.25" r="182" customHeight="1" ht="17.25">
      <c r="A182" s="24" t="s">
        <v>311</v>
      </c>
      <c r="B182" s="24"/>
      <c r="C182" s="24"/>
      <c r="D182" s="24"/>
      <c r="E182" s="25">
        <v>8</v>
      </c>
      <c r="F182" s="9"/>
      <c r="G182" s="9"/>
      <c r="H182" s="10"/>
      <c r="I182" s="9"/>
      <c r="J182" s="9"/>
    </row>
    <row x14ac:dyDescent="0.25" r="183" customHeight="1" ht="17.25">
      <c r="A183" s="7"/>
      <c r="B183" s="7"/>
      <c r="C183" s="7"/>
      <c r="D183" s="7"/>
      <c r="E183" s="8"/>
      <c r="F183" s="9"/>
      <c r="G183" s="9"/>
      <c r="H183" s="10"/>
      <c r="I183" s="9"/>
      <c r="J183" s="9"/>
    </row>
    <row x14ac:dyDescent="0.25" r="184" customHeight="1" ht="17.25">
      <c r="A184" s="11" t="s">
        <v>11829</v>
      </c>
      <c r="B184" s="11"/>
      <c r="C184" s="11"/>
      <c r="D184" s="11"/>
      <c r="E184" s="12"/>
      <c r="F184" s="11"/>
      <c r="G184" s="11"/>
      <c r="H184" s="13"/>
      <c r="I184" s="11"/>
      <c r="J184" s="11"/>
    </row>
    <row x14ac:dyDescent="0.25" r="185" customHeight="1" ht="17.25">
      <c r="A185" s="14" t="s">
        <v>3</v>
      </c>
      <c r="B185" s="14" t="s">
        <v>4</v>
      </c>
      <c r="C185" s="14" t="s">
        <v>5</v>
      </c>
      <c r="D185" s="14" t="s">
        <v>6</v>
      </c>
      <c r="E185" s="15" t="s">
        <v>7</v>
      </c>
      <c r="F185" s="14" t="s">
        <v>8</v>
      </c>
      <c r="G185" s="14" t="s">
        <v>9</v>
      </c>
      <c r="H185" s="16" t="s">
        <v>10</v>
      </c>
      <c r="I185" s="14" t="s">
        <v>11</v>
      </c>
      <c r="J185" s="14" t="s">
        <v>12</v>
      </c>
    </row>
    <row x14ac:dyDescent="0.25" r="186" customHeight="1" ht="17.25">
      <c r="A186" s="17" t="s">
        <v>11830</v>
      </c>
      <c r="B186" s="17" t="s">
        <v>314</v>
      </c>
      <c r="C186" s="17" t="s">
        <v>56</v>
      </c>
      <c r="D186" s="17" t="s">
        <v>16</v>
      </c>
      <c r="E186" s="18">
        <f>ROUND(12961*1.05,2)</f>
      </c>
      <c r="F186" s="17" t="s">
        <v>17</v>
      </c>
      <c r="G186" s="17" t="s">
        <v>18</v>
      </c>
      <c r="H186" s="18">
        <f>ROUND(RAND()*4+6,1)</f>
      </c>
      <c r="I186" s="17" t="s">
        <v>19</v>
      </c>
      <c r="J186" s="19">
        <f>ROUND(98*1,0)&amp;"%"</f>
      </c>
    </row>
    <row x14ac:dyDescent="0.25" r="187" customHeight="1" ht="17.25">
      <c r="A187" s="20" t="s">
        <v>11831</v>
      </c>
      <c r="B187" s="20" t="s">
        <v>316</v>
      </c>
      <c r="C187" s="20" t="s">
        <v>56</v>
      </c>
      <c r="D187" s="20" t="s">
        <v>22</v>
      </c>
      <c r="E187" s="21">
        <f>ROUND(17943*1.05,2)</f>
      </c>
      <c r="F187" s="20" t="s">
        <v>23</v>
      </c>
      <c r="G187" s="20" t="s">
        <v>24</v>
      </c>
      <c r="H187" s="21">
        <f>ROUND(RAND()*4+6,1)</f>
      </c>
      <c r="I187" s="20" t="s">
        <v>25</v>
      </c>
      <c r="J187" s="23">
        <f>ROUND(94*1,0)&amp;"%"</f>
      </c>
    </row>
    <row x14ac:dyDescent="0.25" r="188" customHeight="1" ht="17.25">
      <c r="A188" s="17" t="s">
        <v>11832</v>
      </c>
      <c r="B188" s="17" t="s">
        <v>318</v>
      </c>
      <c r="C188" s="17" t="s">
        <v>56</v>
      </c>
      <c r="D188" s="17" t="s">
        <v>28</v>
      </c>
      <c r="E188" s="18">
        <f>ROUND(9285*1.05,2)</f>
      </c>
      <c r="F188" s="17" t="s">
        <v>29</v>
      </c>
      <c r="G188" s="17" t="s">
        <v>30</v>
      </c>
      <c r="H188" s="18">
        <f>ROUND(RAND()*4+6,1)</f>
      </c>
      <c r="I188" s="17" t="s">
        <v>31</v>
      </c>
      <c r="J188" s="19">
        <f>ROUND(92*1,0)&amp;"%"</f>
      </c>
    </row>
    <row x14ac:dyDescent="0.25" r="189" customHeight="1" ht="17.25">
      <c r="A189" s="20" t="s">
        <v>11833</v>
      </c>
      <c r="B189" s="20" t="s">
        <v>320</v>
      </c>
      <c r="C189" s="20" t="s">
        <v>56</v>
      </c>
      <c r="D189" s="20" t="s">
        <v>34</v>
      </c>
      <c r="E189" s="21">
        <f>ROUND(6973*1.05,2)</f>
      </c>
      <c r="F189" s="20" t="s">
        <v>35</v>
      </c>
      <c r="G189" s="20" t="s">
        <v>18</v>
      </c>
      <c r="H189" s="21">
        <f>ROUND(RAND()*4+6,1)</f>
      </c>
      <c r="I189" s="20" t="s">
        <v>36</v>
      </c>
      <c r="J189" s="23">
        <f>ROUND(94*1,0)&amp;"%"</f>
      </c>
    </row>
    <row x14ac:dyDescent="0.25" r="190" customHeight="1" ht="17.25">
      <c r="A190" s="17" t="s">
        <v>11834</v>
      </c>
      <c r="B190" s="17" t="s">
        <v>322</v>
      </c>
      <c r="C190" s="17" t="s">
        <v>56</v>
      </c>
      <c r="D190" s="17" t="s">
        <v>39</v>
      </c>
      <c r="E190" s="18">
        <f>ROUND(7494*1.05,2)</f>
      </c>
      <c r="F190" s="17" t="s">
        <v>40</v>
      </c>
      <c r="G190" s="17" t="s">
        <v>24</v>
      </c>
      <c r="H190" s="18">
        <f>ROUND(RAND()*4+6,1)</f>
      </c>
      <c r="I190" s="17" t="s">
        <v>41</v>
      </c>
      <c r="J190" s="19">
        <f>ROUND(80*1,0)&amp;"%"</f>
      </c>
    </row>
    <row x14ac:dyDescent="0.25" r="191" customHeight="1" ht="17.25">
      <c r="A191" s="20" t="s">
        <v>11835</v>
      </c>
      <c r="B191" s="20" t="s">
        <v>324</v>
      </c>
      <c r="C191" s="20" t="s">
        <v>56</v>
      </c>
      <c r="D191" s="20" t="s">
        <v>67</v>
      </c>
      <c r="E191" s="21">
        <f>ROUND(13610*1.05,2)</f>
      </c>
      <c r="F191" s="20" t="s">
        <v>44</v>
      </c>
      <c r="G191" s="20" t="s">
        <v>30</v>
      </c>
      <c r="H191" s="21">
        <f>ROUND(RAND()*4+6,1)</f>
      </c>
      <c r="I191" s="20" t="s">
        <v>45</v>
      </c>
      <c r="J191" s="23">
        <f>ROUND(73*1,0)&amp;"%"</f>
      </c>
    </row>
    <row x14ac:dyDescent="0.25" r="192" customHeight="1" ht="17.25">
      <c r="A192" s="17" t="s">
        <v>11836</v>
      </c>
      <c r="B192" s="17" t="s">
        <v>326</v>
      </c>
      <c r="C192" s="17" t="s">
        <v>56</v>
      </c>
      <c r="D192" s="17" t="s">
        <v>16</v>
      </c>
      <c r="E192" s="18">
        <f>ROUND(17049*1.05,2)</f>
      </c>
      <c r="F192" s="17" t="s">
        <v>48</v>
      </c>
      <c r="G192" s="17" t="s">
        <v>18</v>
      </c>
      <c r="H192" s="18">
        <f>ROUND(RAND()*4+6,1)</f>
      </c>
      <c r="I192" s="17" t="s">
        <v>19</v>
      </c>
      <c r="J192" s="19">
        <f>ROUND(75*1,0)&amp;"%"</f>
      </c>
    </row>
    <row x14ac:dyDescent="0.25" r="193" customHeight="1" ht="17.25">
      <c r="A193" s="20" t="s">
        <v>11837</v>
      </c>
      <c r="B193" s="20" t="s">
        <v>328</v>
      </c>
      <c r="C193" s="20" t="s">
        <v>56</v>
      </c>
      <c r="D193" s="20" t="s">
        <v>22</v>
      </c>
      <c r="E193" s="21">
        <f>ROUND(6190*1.05,2)</f>
      </c>
      <c r="F193" s="20" t="s">
        <v>51</v>
      </c>
      <c r="G193" s="20" t="s">
        <v>24</v>
      </c>
      <c r="H193" s="21">
        <f>ROUND(RAND()*4+6,1)</f>
      </c>
      <c r="I193" s="20" t="s">
        <v>25</v>
      </c>
      <c r="J193" s="23">
        <f>ROUND(74*1,0)&amp;"%"</f>
      </c>
    </row>
    <row x14ac:dyDescent="0.25" r="194" customHeight="1" ht="17.25">
      <c r="A194" s="24" t="s">
        <v>329</v>
      </c>
      <c r="B194" s="24"/>
      <c r="C194" s="24"/>
      <c r="D194" s="24"/>
      <c r="E194" s="25">
        <v>8</v>
      </c>
      <c r="F194" s="9"/>
      <c r="G194" s="9"/>
      <c r="H194" s="10"/>
      <c r="I194" s="9"/>
      <c r="J194" s="9"/>
    </row>
    <row x14ac:dyDescent="0.25" r="195" customHeight="1" ht="17.25">
      <c r="A195" s="7"/>
      <c r="B195" s="7"/>
      <c r="C195" s="7"/>
      <c r="D195" s="7"/>
      <c r="E195" s="8"/>
      <c r="F195" s="9"/>
      <c r="G195" s="9"/>
      <c r="H195" s="10"/>
      <c r="I195" s="9"/>
      <c r="J195" s="9"/>
    </row>
    <row x14ac:dyDescent="0.25" r="196" customHeight="1" ht="17.25">
      <c r="A196" s="11" t="s">
        <v>11838</v>
      </c>
      <c r="B196" s="11"/>
      <c r="C196" s="11"/>
      <c r="D196" s="11"/>
      <c r="E196" s="12"/>
      <c r="F196" s="11"/>
      <c r="G196" s="11"/>
      <c r="H196" s="13"/>
      <c r="I196" s="11"/>
      <c r="J196" s="11"/>
    </row>
    <row x14ac:dyDescent="0.25" r="197" customHeight="1" ht="17.25">
      <c r="A197" s="14" t="s">
        <v>3</v>
      </c>
      <c r="B197" s="14" t="s">
        <v>4</v>
      </c>
      <c r="C197" s="14" t="s">
        <v>5</v>
      </c>
      <c r="D197" s="14" t="s">
        <v>6</v>
      </c>
      <c r="E197" s="15" t="s">
        <v>7</v>
      </c>
      <c r="F197" s="14" t="s">
        <v>8</v>
      </c>
      <c r="G197" s="14" t="s">
        <v>9</v>
      </c>
      <c r="H197" s="16" t="s">
        <v>10</v>
      </c>
      <c r="I197" s="14" t="s">
        <v>11</v>
      </c>
      <c r="J197" s="14" t="s">
        <v>12</v>
      </c>
    </row>
    <row x14ac:dyDescent="0.25" r="198" customHeight="1" ht="17.25">
      <c r="A198" s="17" t="s">
        <v>11839</v>
      </c>
      <c r="B198" s="17" t="s">
        <v>332</v>
      </c>
      <c r="C198" s="17" t="s">
        <v>76</v>
      </c>
      <c r="D198" s="17" t="s">
        <v>16</v>
      </c>
      <c r="E198" s="18">
        <f>ROUND(13931*1.05,2)</f>
      </c>
      <c r="F198" s="17" t="s">
        <v>17</v>
      </c>
      <c r="G198" s="17" t="s">
        <v>18</v>
      </c>
      <c r="H198" s="18">
        <f>ROUND(RAND()*4+6,1)</f>
      </c>
      <c r="I198" s="17" t="s">
        <v>19</v>
      </c>
      <c r="J198" s="19">
        <f>ROUND(74*1,0)&amp;"%"</f>
      </c>
    </row>
    <row x14ac:dyDescent="0.25" r="199" customHeight="1" ht="17.25">
      <c r="A199" s="20" t="s">
        <v>11840</v>
      </c>
      <c r="B199" s="20" t="s">
        <v>334</v>
      </c>
      <c r="C199" s="20" t="s">
        <v>76</v>
      </c>
      <c r="D199" s="20" t="s">
        <v>22</v>
      </c>
      <c r="E199" s="21">
        <f>ROUND(12791*1.05,2)</f>
      </c>
      <c r="F199" s="20" t="s">
        <v>23</v>
      </c>
      <c r="G199" s="20" t="s">
        <v>24</v>
      </c>
      <c r="H199" s="22">
        <f>ROUND(RAND()*4+6,1)</f>
      </c>
      <c r="I199" s="20" t="s">
        <v>25</v>
      </c>
      <c r="J199" s="23">
        <f>ROUND(62*1,0)&amp;"%"</f>
      </c>
    </row>
    <row x14ac:dyDescent="0.25" r="200" customHeight="1" ht="17.25">
      <c r="A200" s="17" t="s">
        <v>11841</v>
      </c>
      <c r="B200" s="17" t="s">
        <v>336</v>
      </c>
      <c r="C200" s="17" t="s">
        <v>76</v>
      </c>
      <c r="D200" s="17" t="s">
        <v>28</v>
      </c>
      <c r="E200" s="18">
        <f>ROUND(7154*1.05,2)</f>
      </c>
      <c r="F200" s="17" t="s">
        <v>29</v>
      </c>
      <c r="G200" s="17" t="s">
        <v>30</v>
      </c>
      <c r="H200" s="26">
        <f>ROUND(RAND()*4+6,1)</f>
      </c>
      <c r="I200" s="17" t="s">
        <v>31</v>
      </c>
      <c r="J200" s="19">
        <f>ROUND(66*1,0)&amp;"%"</f>
      </c>
    </row>
    <row x14ac:dyDescent="0.25" r="201" customHeight="1" ht="17.25">
      <c r="A201" s="20" t="s">
        <v>11842</v>
      </c>
      <c r="B201" s="20" t="s">
        <v>338</v>
      </c>
      <c r="C201" s="20" t="s">
        <v>76</v>
      </c>
      <c r="D201" s="20" t="s">
        <v>34</v>
      </c>
      <c r="E201" s="21">
        <f>ROUND(8908*1.05,2)</f>
      </c>
      <c r="F201" s="20" t="s">
        <v>35</v>
      </c>
      <c r="G201" s="20" t="s">
        <v>18</v>
      </c>
      <c r="H201" s="21">
        <f>ROUND(RAND()*4+6,1)</f>
      </c>
      <c r="I201" s="20" t="s">
        <v>36</v>
      </c>
      <c r="J201" s="23">
        <f>ROUND(71*1,0)&amp;"%"</f>
      </c>
    </row>
    <row x14ac:dyDescent="0.25" r="202" customHeight="1" ht="17.25">
      <c r="A202" s="17" t="s">
        <v>11843</v>
      </c>
      <c r="B202" s="17" t="s">
        <v>340</v>
      </c>
      <c r="C202" s="17" t="s">
        <v>76</v>
      </c>
      <c r="D202" s="17" t="s">
        <v>39</v>
      </c>
      <c r="E202" s="18">
        <f>ROUND(7944*1.05,2)</f>
      </c>
      <c r="F202" s="17" t="s">
        <v>40</v>
      </c>
      <c r="G202" s="17" t="s">
        <v>24</v>
      </c>
      <c r="H202" s="18">
        <f>ROUND(RAND()*4+6,1)</f>
      </c>
      <c r="I202" s="17" t="s">
        <v>41</v>
      </c>
      <c r="J202" s="19">
        <f>ROUND(81*1,0)&amp;"%"</f>
      </c>
    </row>
    <row x14ac:dyDescent="0.25" r="203" customHeight="1" ht="17.25">
      <c r="A203" s="20" t="s">
        <v>11844</v>
      </c>
      <c r="B203" s="20" t="s">
        <v>342</v>
      </c>
      <c r="C203" s="20" t="s">
        <v>76</v>
      </c>
      <c r="D203" s="20" t="s">
        <v>67</v>
      </c>
      <c r="E203" s="21">
        <f>ROUND(11014*1.05,2)</f>
      </c>
      <c r="F203" s="20" t="s">
        <v>44</v>
      </c>
      <c r="G203" s="20" t="s">
        <v>30</v>
      </c>
      <c r="H203" s="21">
        <f>ROUND(RAND()*4+6,1)</f>
      </c>
      <c r="I203" s="20" t="s">
        <v>45</v>
      </c>
      <c r="J203" s="23">
        <f>ROUND(91*1,0)&amp;"%"</f>
      </c>
    </row>
    <row x14ac:dyDescent="0.25" r="204" customHeight="1" ht="17.25">
      <c r="A204" s="17" t="s">
        <v>11845</v>
      </c>
      <c r="B204" s="17" t="s">
        <v>344</v>
      </c>
      <c r="C204" s="17" t="s">
        <v>76</v>
      </c>
      <c r="D204" s="17" t="s">
        <v>16</v>
      </c>
      <c r="E204" s="18">
        <f>ROUND(15132*1.05,2)</f>
      </c>
      <c r="F204" s="17" t="s">
        <v>48</v>
      </c>
      <c r="G204" s="17" t="s">
        <v>18</v>
      </c>
      <c r="H204" s="18">
        <f>ROUND(RAND()*4+6,1)</f>
      </c>
      <c r="I204" s="17" t="s">
        <v>19</v>
      </c>
      <c r="J204" s="19">
        <f>ROUND(68*1,0)&amp;"%"</f>
      </c>
    </row>
    <row x14ac:dyDescent="0.25" r="205" customHeight="1" ht="17.25">
      <c r="A205" s="20" t="s">
        <v>11846</v>
      </c>
      <c r="B205" s="20" t="s">
        <v>346</v>
      </c>
      <c r="C205" s="20" t="s">
        <v>76</v>
      </c>
      <c r="D205" s="20" t="s">
        <v>22</v>
      </c>
      <c r="E205" s="21">
        <f>ROUND(13184*1.05,2)</f>
      </c>
      <c r="F205" s="20" t="s">
        <v>51</v>
      </c>
      <c r="G205" s="20" t="s">
        <v>24</v>
      </c>
      <c r="H205" s="21">
        <f>ROUND(RAND()*4+6,1)</f>
      </c>
      <c r="I205" s="20" t="s">
        <v>25</v>
      </c>
      <c r="J205" s="23">
        <f>ROUND(79*1,0)&amp;"%"</f>
      </c>
    </row>
    <row x14ac:dyDescent="0.25" r="206" customHeight="1" ht="17.25">
      <c r="A206" s="24" t="s">
        <v>347</v>
      </c>
      <c r="B206" s="24"/>
      <c r="C206" s="24"/>
      <c r="D206" s="24"/>
      <c r="E206" s="25">
        <v>8</v>
      </c>
      <c r="F206" s="9"/>
      <c r="G206" s="9"/>
      <c r="H206" s="10"/>
      <c r="I206" s="9"/>
      <c r="J206" s="9"/>
    </row>
    <row x14ac:dyDescent="0.25" r="207" customHeight="1" ht="17.25">
      <c r="A207" s="7"/>
      <c r="B207" s="7"/>
      <c r="C207" s="7"/>
      <c r="D207" s="7"/>
      <c r="E207" s="8"/>
      <c r="F207" s="9"/>
      <c r="G207" s="9"/>
      <c r="H207" s="10"/>
      <c r="I207" s="9"/>
      <c r="J207" s="9"/>
    </row>
    <row x14ac:dyDescent="0.25" r="208" customHeight="1" ht="17.25">
      <c r="A208" s="11" t="s">
        <v>11847</v>
      </c>
      <c r="B208" s="11"/>
      <c r="C208" s="11"/>
      <c r="D208" s="11"/>
      <c r="E208" s="12"/>
      <c r="F208" s="11"/>
      <c r="G208" s="11"/>
      <c r="H208" s="13"/>
      <c r="I208" s="11"/>
      <c r="J208" s="11"/>
    </row>
    <row x14ac:dyDescent="0.25" r="209" customHeight="1" ht="17.25">
      <c r="A209" s="14" t="s">
        <v>3</v>
      </c>
      <c r="B209" s="14" t="s">
        <v>4</v>
      </c>
      <c r="C209" s="14" t="s">
        <v>5</v>
      </c>
      <c r="D209" s="14" t="s">
        <v>6</v>
      </c>
      <c r="E209" s="15" t="s">
        <v>7</v>
      </c>
      <c r="F209" s="14" t="s">
        <v>8</v>
      </c>
      <c r="G209" s="14" t="s">
        <v>9</v>
      </c>
      <c r="H209" s="16" t="s">
        <v>10</v>
      </c>
      <c r="I209" s="14" t="s">
        <v>11</v>
      </c>
      <c r="J209" s="14" t="s">
        <v>12</v>
      </c>
    </row>
    <row x14ac:dyDescent="0.25" r="210" customHeight="1" ht="17.25">
      <c r="A210" s="17" t="s">
        <v>11848</v>
      </c>
      <c r="B210" s="17" t="s">
        <v>350</v>
      </c>
      <c r="C210" s="17" t="s">
        <v>95</v>
      </c>
      <c r="D210" s="17" t="s">
        <v>16</v>
      </c>
      <c r="E210" s="18">
        <f>ROUND(17810*1.05,2)</f>
      </c>
      <c r="F210" s="17" t="s">
        <v>17</v>
      </c>
      <c r="G210" s="17" t="s">
        <v>18</v>
      </c>
      <c r="H210" s="18">
        <f>ROUND(RAND()*4+6,1)</f>
      </c>
      <c r="I210" s="17" t="s">
        <v>19</v>
      </c>
      <c r="J210" s="19">
        <f>ROUND(97*1,0)&amp;"%"</f>
      </c>
    </row>
    <row x14ac:dyDescent="0.25" r="211" customHeight="1" ht="17.25">
      <c r="A211" s="20" t="s">
        <v>11849</v>
      </c>
      <c r="B211" s="20" t="s">
        <v>352</v>
      </c>
      <c r="C211" s="20" t="s">
        <v>95</v>
      </c>
      <c r="D211" s="20" t="s">
        <v>22</v>
      </c>
      <c r="E211" s="21">
        <f>ROUND(9545*1.05,2)</f>
      </c>
      <c r="F211" s="20" t="s">
        <v>23</v>
      </c>
      <c r="G211" s="20" t="s">
        <v>24</v>
      </c>
      <c r="H211" s="21">
        <f>ROUND(RAND()*4+6,1)</f>
      </c>
      <c r="I211" s="20" t="s">
        <v>25</v>
      </c>
      <c r="J211" s="23">
        <f>ROUND(95*1,0)&amp;"%"</f>
      </c>
    </row>
    <row x14ac:dyDescent="0.25" r="212" customHeight="1" ht="17.25">
      <c r="A212" s="17" t="s">
        <v>11850</v>
      </c>
      <c r="B212" s="17" t="s">
        <v>354</v>
      </c>
      <c r="C212" s="17" t="s">
        <v>95</v>
      </c>
      <c r="D212" s="17" t="s">
        <v>28</v>
      </c>
      <c r="E212" s="18">
        <f>ROUND(16368*1.05,2)</f>
      </c>
      <c r="F212" s="17" t="s">
        <v>29</v>
      </c>
      <c r="G212" s="17" t="s">
        <v>30</v>
      </c>
      <c r="H212" s="18">
        <f>ROUND(RAND()*4+6,1)</f>
      </c>
      <c r="I212" s="17" t="s">
        <v>31</v>
      </c>
      <c r="J212" s="19">
        <f>ROUND(99*1,0)&amp;"%"</f>
      </c>
    </row>
    <row x14ac:dyDescent="0.25" r="213" customHeight="1" ht="17.25">
      <c r="A213" s="20" t="s">
        <v>11851</v>
      </c>
      <c r="B213" s="20" t="s">
        <v>356</v>
      </c>
      <c r="C213" s="20" t="s">
        <v>95</v>
      </c>
      <c r="D213" s="20" t="s">
        <v>34</v>
      </c>
      <c r="E213" s="21">
        <f>ROUND(16524*1.05,2)</f>
      </c>
      <c r="F213" s="20" t="s">
        <v>35</v>
      </c>
      <c r="G213" s="20" t="s">
        <v>18</v>
      </c>
      <c r="H213" s="21">
        <f>ROUND(RAND()*4+6,1)</f>
      </c>
      <c r="I213" s="20" t="s">
        <v>36</v>
      </c>
      <c r="J213" s="23">
        <f>ROUND(81*1,0)&amp;"%"</f>
      </c>
    </row>
    <row x14ac:dyDescent="0.25" r="214" customHeight="1" ht="17.25">
      <c r="A214" s="17" t="s">
        <v>11852</v>
      </c>
      <c r="B214" s="17" t="s">
        <v>358</v>
      </c>
      <c r="C214" s="17" t="s">
        <v>95</v>
      </c>
      <c r="D214" s="17" t="s">
        <v>39</v>
      </c>
      <c r="E214" s="18">
        <f>ROUND(13184*1.05,2)</f>
      </c>
      <c r="F214" s="17" t="s">
        <v>40</v>
      </c>
      <c r="G214" s="17" t="s">
        <v>24</v>
      </c>
      <c r="H214" s="18">
        <f>ROUND(RAND()*4+6,1)</f>
      </c>
      <c r="I214" s="17" t="s">
        <v>41</v>
      </c>
      <c r="J214" s="19">
        <f>ROUND(68*1,0)&amp;"%"</f>
      </c>
    </row>
    <row x14ac:dyDescent="0.25" r="215" customHeight="1" ht="17.25">
      <c r="A215" s="20" t="s">
        <v>11853</v>
      </c>
      <c r="B215" s="20" t="s">
        <v>360</v>
      </c>
      <c r="C215" s="20" t="s">
        <v>95</v>
      </c>
      <c r="D215" s="20" t="s">
        <v>67</v>
      </c>
      <c r="E215" s="21">
        <f>ROUND(11529*1.05,2)</f>
      </c>
      <c r="F215" s="20" t="s">
        <v>44</v>
      </c>
      <c r="G215" s="20" t="s">
        <v>30</v>
      </c>
      <c r="H215" s="21">
        <f>ROUND(RAND()*4+6,1)</f>
      </c>
      <c r="I215" s="20" t="s">
        <v>45</v>
      </c>
      <c r="J215" s="23">
        <f>ROUND(91*1,0)&amp;"%"</f>
      </c>
    </row>
    <row x14ac:dyDescent="0.25" r="216" customHeight="1" ht="17.25">
      <c r="A216" s="17" t="s">
        <v>11854</v>
      </c>
      <c r="B216" s="17" t="s">
        <v>362</v>
      </c>
      <c r="C216" s="17" t="s">
        <v>95</v>
      </c>
      <c r="D216" s="17" t="s">
        <v>16</v>
      </c>
      <c r="E216" s="18">
        <f>ROUND(11916*1.05,2)</f>
      </c>
      <c r="F216" s="17" t="s">
        <v>48</v>
      </c>
      <c r="G216" s="17" t="s">
        <v>18</v>
      </c>
      <c r="H216" s="18">
        <f>ROUND(RAND()*4+6,1)</f>
      </c>
      <c r="I216" s="17" t="s">
        <v>19</v>
      </c>
      <c r="J216" s="19">
        <f>ROUND(79*1,0)&amp;"%"</f>
      </c>
    </row>
    <row x14ac:dyDescent="0.25" r="217" customHeight="1" ht="17.25">
      <c r="A217" s="20" t="s">
        <v>11855</v>
      </c>
      <c r="B217" s="20" t="s">
        <v>364</v>
      </c>
      <c r="C217" s="20" t="s">
        <v>95</v>
      </c>
      <c r="D217" s="20" t="s">
        <v>22</v>
      </c>
      <c r="E217" s="21">
        <f>ROUND(5959*1.05,2)</f>
      </c>
      <c r="F217" s="20" t="s">
        <v>51</v>
      </c>
      <c r="G217" s="20" t="s">
        <v>24</v>
      </c>
      <c r="H217" s="22">
        <f>ROUND(RAND()*4+6,1)</f>
      </c>
      <c r="I217" s="20" t="s">
        <v>25</v>
      </c>
      <c r="J217" s="23">
        <f>ROUND(82*1,0)&amp;"%"</f>
      </c>
    </row>
    <row x14ac:dyDescent="0.25" r="218" customHeight="1" ht="17.25">
      <c r="A218" s="24" t="s">
        <v>365</v>
      </c>
      <c r="B218" s="24"/>
      <c r="C218" s="24"/>
      <c r="D218" s="24"/>
      <c r="E218" s="25">
        <v>8</v>
      </c>
      <c r="F218" s="9"/>
      <c r="G218" s="9"/>
      <c r="H218" s="10"/>
      <c r="I218" s="9"/>
      <c r="J218" s="9"/>
    </row>
    <row x14ac:dyDescent="0.25" r="219" customHeight="1" ht="17.25">
      <c r="A219" s="7"/>
      <c r="B219" s="7"/>
      <c r="C219" s="7"/>
      <c r="D219" s="7"/>
      <c r="E219" s="8"/>
      <c r="F219" s="9"/>
      <c r="G219" s="9"/>
      <c r="H219" s="10"/>
      <c r="I219" s="9"/>
      <c r="J219" s="9"/>
    </row>
    <row x14ac:dyDescent="0.25" r="220" customHeight="1" ht="17.25">
      <c r="A220" s="11" t="s">
        <v>11856</v>
      </c>
      <c r="B220" s="11"/>
      <c r="C220" s="11"/>
      <c r="D220" s="11"/>
      <c r="E220" s="12"/>
      <c r="F220" s="11"/>
      <c r="G220" s="11"/>
      <c r="H220" s="13"/>
      <c r="I220" s="11"/>
      <c r="J220" s="11"/>
    </row>
    <row x14ac:dyDescent="0.25" r="221" customHeight="1" ht="17.25">
      <c r="A221" s="14" t="s">
        <v>3</v>
      </c>
      <c r="B221" s="14" t="s">
        <v>4</v>
      </c>
      <c r="C221" s="14" t="s">
        <v>5</v>
      </c>
      <c r="D221" s="14" t="s">
        <v>6</v>
      </c>
      <c r="E221" s="15" t="s">
        <v>7</v>
      </c>
      <c r="F221" s="14" t="s">
        <v>8</v>
      </c>
      <c r="G221" s="14" t="s">
        <v>9</v>
      </c>
      <c r="H221" s="16" t="s">
        <v>10</v>
      </c>
      <c r="I221" s="14" t="s">
        <v>11</v>
      </c>
      <c r="J221" s="14" t="s">
        <v>12</v>
      </c>
    </row>
    <row x14ac:dyDescent="0.25" r="222" customHeight="1" ht="17.25">
      <c r="A222" s="17" t="s">
        <v>11857</v>
      </c>
      <c r="B222" s="17" t="s">
        <v>368</v>
      </c>
      <c r="C222" s="17" t="s">
        <v>114</v>
      </c>
      <c r="D222" s="17" t="s">
        <v>16</v>
      </c>
      <c r="E222" s="18">
        <f>ROUND(5496*1.05,2)</f>
      </c>
      <c r="F222" s="17" t="s">
        <v>17</v>
      </c>
      <c r="G222" s="17" t="s">
        <v>18</v>
      </c>
      <c r="H222" s="18">
        <f>ROUND(RAND()*4+6,1)</f>
      </c>
      <c r="I222" s="17" t="s">
        <v>19</v>
      </c>
      <c r="J222" s="19">
        <f>ROUND(75*1,0)&amp;"%"</f>
      </c>
    </row>
    <row x14ac:dyDescent="0.25" r="223" customHeight="1" ht="17.25">
      <c r="A223" s="20" t="s">
        <v>11858</v>
      </c>
      <c r="B223" s="20" t="s">
        <v>370</v>
      </c>
      <c r="C223" s="20" t="s">
        <v>114</v>
      </c>
      <c r="D223" s="20" t="s">
        <v>22</v>
      </c>
      <c r="E223" s="22">
        <f>ROUND(10020*1.05,2)</f>
      </c>
      <c r="F223" s="20" t="s">
        <v>23</v>
      </c>
      <c r="G223" s="20" t="s">
        <v>24</v>
      </c>
      <c r="H223" s="21">
        <f>ROUND(RAND()*4+6,1)</f>
      </c>
      <c r="I223" s="20" t="s">
        <v>25</v>
      </c>
      <c r="J223" s="23">
        <f>ROUND(100*1,0)&amp;"%"</f>
      </c>
    </row>
    <row x14ac:dyDescent="0.25" r="224" customHeight="1" ht="17.25">
      <c r="A224" s="17" t="s">
        <v>11859</v>
      </c>
      <c r="B224" s="17" t="s">
        <v>372</v>
      </c>
      <c r="C224" s="17" t="s">
        <v>114</v>
      </c>
      <c r="D224" s="17" t="s">
        <v>28</v>
      </c>
      <c r="E224" s="18">
        <f>ROUND(8266*1.05,2)</f>
      </c>
      <c r="F224" s="17" t="s">
        <v>29</v>
      </c>
      <c r="G224" s="17" t="s">
        <v>30</v>
      </c>
      <c r="H224" s="18">
        <f>ROUND(RAND()*4+6,1)</f>
      </c>
      <c r="I224" s="17" t="s">
        <v>31</v>
      </c>
      <c r="J224" s="19">
        <f>ROUND(94*1,0)&amp;"%"</f>
      </c>
    </row>
    <row x14ac:dyDescent="0.25" r="225" customHeight="1" ht="17.25">
      <c r="A225" s="20" t="s">
        <v>11860</v>
      </c>
      <c r="B225" s="20" t="s">
        <v>374</v>
      </c>
      <c r="C225" s="20" t="s">
        <v>114</v>
      </c>
      <c r="D225" s="20" t="s">
        <v>34</v>
      </c>
      <c r="E225" s="21">
        <f>ROUND(15851*1.05,2)</f>
      </c>
      <c r="F225" s="20" t="s">
        <v>35</v>
      </c>
      <c r="G225" s="20" t="s">
        <v>18</v>
      </c>
      <c r="H225" s="21">
        <f>ROUND(RAND()*4+6,1)</f>
      </c>
      <c r="I225" s="20" t="s">
        <v>36</v>
      </c>
      <c r="J225" s="23">
        <f>ROUND(75*1,0)&amp;"%"</f>
      </c>
    </row>
    <row x14ac:dyDescent="0.25" r="226" customHeight="1" ht="17.25">
      <c r="A226" s="17" t="s">
        <v>11861</v>
      </c>
      <c r="B226" s="17" t="s">
        <v>376</v>
      </c>
      <c r="C226" s="17" t="s">
        <v>114</v>
      </c>
      <c r="D226" s="17" t="s">
        <v>39</v>
      </c>
      <c r="E226" s="18">
        <f>ROUND(16184*1.05,2)</f>
      </c>
      <c r="F226" s="17" t="s">
        <v>40</v>
      </c>
      <c r="G226" s="17" t="s">
        <v>24</v>
      </c>
      <c r="H226" s="18">
        <f>ROUND(RAND()*4+6,1)</f>
      </c>
      <c r="I226" s="17" t="s">
        <v>41</v>
      </c>
      <c r="J226" s="19">
        <f>ROUND(74*1,0)&amp;"%"</f>
      </c>
    </row>
    <row x14ac:dyDescent="0.25" r="227" customHeight="1" ht="17.25">
      <c r="A227" s="20" t="s">
        <v>11862</v>
      </c>
      <c r="B227" s="20" t="s">
        <v>378</v>
      </c>
      <c r="C227" s="20" t="s">
        <v>114</v>
      </c>
      <c r="D227" s="20" t="s">
        <v>67</v>
      </c>
      <c r="E227" s="21">
        <f>ROUND(14983*1.05,2)</f>
      </c>
      <c r="F227" s="20" t="s">
        <v>44</v>
      </c>
      <c r="G227" s="20" t="s">
        <v>30</v>
      </c>
      <c r="H227" s="21">
        <f>ROUND(RAND()*4+6,1)</f>
      </c>
      <c r="I227" s="20" t="s">
        <v>45</v>
      </c>
      <c r="J227" s="23">
        <f>ROUND(60*1,0)&amp;"%"</f>
      </c>
    </row>
    <row x14ac:dyDescent="0.25" r="228" customHeight="1" ht="17.25">
      <c r="A228" s="17" t="s">
        <v>11863</v>
      </c>
      <c r="B228" s="17" t="s">
        <v>380</v>
      </c>
      <c r="C228" s="17" t="s">
        <v>114</v>
      </c>
      <c r="D228" s="17" t="s">
        <v>16</v>
      </c>
      <c r="E228" s="18">
        <f>ROUND(15968*1.05,2)</f>
      </c>
      <c r="F228" s="17" t="s">
        <v>48</v>
      </c>
      <c r="G228" s="17" t="s">
        <v>18</v>
      </c>
      <c r="H228" s="18">
        <f>ROUND(RAND()*4+6,1)</f>
      </c>
      <c r="I228" s="17" t="s">
        <v>19</v>
      </c>
      <c r="J228" s="19">
        <f>ROUND(67*1,0)&amp;"%"</f>
      </c>
    </row>
    <row x14ac:dyDescent="0.25" r="229" customHeight="1" ht="17.25">
      <c r="A229" s="20" t="s">
        <v>11864</v>
      </c>
      <c r="B229" s="20" t="s">
        <v>382</v>
      </c>
      <c r="C229" s="20" t="s">
        <v>114</v>
      </c>
      <c r="D229" s="20" t="s">
        <v>22</v>
      </c>
      <c r="E229" s="21">
        <f>ROUND(7655*1.05,2)</f>
      </c>
      <c r="F229" s="20" t="s">
        <v>51</v>
      </c>
      <c r="G229" s="20" t="s">
        <v>24</v>
      </c>
      <c r="H229" s="21">
        <f>ROUND(RAND()*4+6,1)</f>
      </c>
      <c r="I229" s="20" t="s">
        <v>25</v>
      </c>
      <c r="J229" s="23">
        <f>ROUND(93*1,0)&amp;"%"</f>
      </c>
    </row>
    <row x14ac:dyDescent="0.25" r="230" customHeight="1" ht="17.25">
      <c r="A230" s="24" t="s">
        <v>383</v>
      </c>
      <c r="B230" s="24"/>
      <c r="C230" s="24"/>
      <c r="D230" s="24"/>
      <c r="E230" s="25">
        <v>8</v>
      </c>
      <c r="F230" s="9"/>
      <c r="G230" s="9"/>
      <c r="H230" s="10"/>
      <c r="I230" s="9"/>
      <c r="J230" s="9"/>
    </row>
    <row x14ac:dyDescent="0.25" r="231" customHeight="1" ht="17.25">
      <c r="A231" s="7"/>
      <c r="B231" s="7"/>
      <c r="C231" s="7"/>
      <c r="D231" s="7"/>
      <c r="E231" s="8"/>
      <c r="F231" s="9"/>
      <c r="G231" s="9"/>
      <c r="H231" s="10"/>
      <c r="I231" s="9"/>
      <c r="J231" s="9"/>
    </row>
    <row x14ac:dyDescent="0.25" r="232" customHeight="1" ht="17.25">
      <c r="A232" s="11" t="s">
        <v>11865</v>
      </c>
      <c r="B232" s="11"/>
      <c r="C232" s="11"/>
      <c r="D232" s="11"/>
      <c r="E232" s="12"/>
      <c r="F232" s="11"/>
      <c r="G232" s="11"/>
      <c r="H232" s="13"/>
      <c r="I232" s="11"/>
      <c r="J232" s="11"/>
    </row>
    <row x14ac:dyDescent="0.25" r="233" customHeight="1" ht="17.25">
      <c r="A233" s="14" t="s">
        <v>3</v>
      </c>
      <c r="B233" s="14" t="s">
        <v>4</v>
      </c>
      <c r="C233" s="14" t="s">
        <v>5</v>
      </c>
      <c r="D233" s="14" t="s">
        <v>6</v>
      </c>
      <c r="E233" s="15" t="s">
        <v>7</v>
      </c>
      <c r="F233" s="14" t="s">
        <v>8</v>
      </c>
      <c r="G233" s="14" t="s">
        <v>9</v>
      </c>
      <c r="H233" s="16" t="s">
        <v>10</v>
      </c>
      <c r="I233" s="14" t="s">
        <v>11</v>
      </c>
      <c r="J233" s="14" t="s">
        <v>12</v>
      </c>
    </row>
    <row x14ac:dyDescent="0.25" r="234" customHeight="1" ht="17.25">
      <c r="A234" s="17" t="s">
        <v>11866</v>
      </c>
      <c r="B234" s="17" t="s">
        <v>386</v>
      </c>
      <c r="C234" s="17" t="s">
        <v>133</v>
      </c>
      <c r="D234" s="17" t="s">
        <v>16</v>
      </c>
      <c r="E234" s="18">
        <f>ROUND(17083*1.05,2)</f>
      </c>
      <c r="F234" s="17" t="s">
        <v>17</v>
      </c>
      <c r="G234" s="17" t="s">
        <v>18</v>
      </c>
      <c r="H234" s="18">
        <f>ROUND(RAND()*4+6,1)</f>
      </c>
      <c r="I234" s="17" t="s">
        <v>19</v>
      </c>
      <c r="J234" s="19">
        <f>ROUND(66*1,0)&amp;"%"</f>
      </c>
    </row>
    <row x14ac:dyDescent="0.25" r="235" customHeight="1" ht="17.25">
      <c r="A235" s="20" t="s">
        <v>11867</v>
      </c>
      <c r="B235" s="20" t="s">
        <v>388</v>
      </c>
      <c r="C235" s="20" t="s">
        <v>133</v>
      </c>
      <c r="D235" s="20" t="s">
        <v>22</v>
      </c>
      <c r="E235" s="22">
        <f>ROUND(17560*1.05,2)</f>
      </c>
      <c r="F235" s="20" t="s">
        <v>23</v>
      </c>
      <c r="G235" s="20" t="s">
        <v>24</v>
      </c>
      <c r="H235" s="21">
        <f>ROUND(RAND()*4+6,1)</f>
      </c>
      <c r="I235" s="20" t="s">
        <v>25</v>
      </c>
      <c r="J235" s="23">
        <f>ROUND(66*1,0)&amp;"%"</f>
      </c>
    </row>
    <row x14ac:dyDescent="0.25" r="236" customHeight="1" ht="17.25">
      <c r="A236" s="17" t="s">
        <v>11868</v>
      </c>
      <c r="B236" s="17" t="s">
        <v>390</v>
      </c>
      <c r="C236" s="17" t="s">
        <v>133</v>
      </c>
      <c r="D236" s="17" t="s">
        <v>28</v>
      </c>
      <c r="E236" s="18">
        <f>ROUND(7131*1.05,2)</f>
      </c>
      <c r="F236" s="17" t="s">
        <v>29</v>
      </c>
      <c r="G236" s="17" t="s">
        <v>30</v>
      </c>
      <c r="H236" s="18">
        <f>ROUND(RAND()*4+6,1)</f>
      </c>
      <c r="I236" s="17" t="s">
        <v>31</v>
      </c>
      <c r="J236" s="19">
        <f>ROUND(87*1,0)&amp;"%"</f>
      </c>
    </row>
    <row x14ac:dyDescent="0.25" r="237" customHeight="1" ht="17.25">
      <c r="A237" s="20" t="s">
        <v>11869</v>
      </c>
      <c r="B237" s="20" t="s">
        <v>392</v>
      </c>
      <c r="C237" s="20" t="s">
        <v>133</v>
      </c>
      <c r="D237" s="20" t="s">
        <v>34</v>
      </c>
      <c r="E237" s="21">
        <f>ROUND(7288*1.05,2)</f>
      </c>
      <c r="F237" s="20" t="s">
        <v>35</v>
      </c>
      <c r="G237" s="20" t="s">
        <v>18</v>
      </c>
      <c r="H237" s="21">
        <f>ROUND(RAND()*4+6,1)</f>
      </c>
      <c r="I237" s="20" t="s">
        <v>36</v>
      </c>
      <c r="J237" s="23">
        <f>ROUND(66*1,0)&amp;"%"</f>
      </c>
    </row>
    <row x14ac:dyDescent="0.25" r="238" customHeight="1" ht="17.25">
      <c r="A238" s="17" t="s">
        <v>11870</v>
      </c>
      <c r="B238" s="17" t="s">
        <v>394</v>
      </c>
      <c r="C238" s="17" t="s">
        <v>133</v>
      </c>
      <c r="D238" s="17" t="s">
        <v>39</v>
      </c>
      <c r="E238" s="18">
        <f>ROUND(10563*1.05,2)</f>
      </c>
      <c r="F238" s="17" t="s">
        <v>40</v>
      </c>
      <c r="G238" s="17" t="s">
        <v>24</v>
      </c>
      <c r="H238" s="18">
        <f>ROUND(RAND()*4+6,1)</f>
      </c>
      <c r="I238" s="17" t="s">
        <v>41</v>
      </c>
      <c r="J238" s="19">
        <f>ROUND(77*1,0)&amp;"%"</f>
      </c>
    </row>
    <row x14ac:dyDescent="0.25" r="239" customHeight="1" ht="17.25">
      <c r="A239" s="20" t="s">
        <v>11871</v>
      </c>
      <c r="B239" s="20" t="s">
        <v>396</v>
      </c>
      <c r="C239" s="20" t="s">
        <v>133</v>
      </c>
      <c r="D239" s="20" t="s">
        <v>67</v>
      </c>
      <c r="E239" s="21">
        <f>ROUND(4519*1.05,2)</f>
      </c>
      <c r="F239" s="20" t="s">
        <v>44</v>
      </c>
      <c r="G239" s="20" t="s">
        <v>30</v>
      </c>
      <c r="H239" s="21">
        <f>ROUND(RAND()*4+6,1)</f>
      </c>
      <c r="I239" s="20" t="s">
        <v>45</v>
      </c>
      <c r="J239" s="23">
        <f>ROUND(62*1,0)&amp;"%"</f>
      </c>
    </row>
    <row x14ac:dyDescent="0.25" r="240" customHeight="1" ht="17.25">
      <c r="A240" s="17" t="s">
        <v>11872</v>
      </c>
      <c r="B240" s="17" t="s">
        <v>398</v>
      </c>
      <c r="C240" s="17" t="s">
        <v>133</v>
      </c>
      <c r="D240" s="17" t="s">
        <v>16</v>
      </c>
      <c r="E240" s="18">
        <f>ROUND(15831*1.05,2)</f>
      </c>
      <c r="F240" s="17" t="s">
        <v>48</v>
      </c>
      <c r="G240" s="17" t="s">
        <v>18</v>
      </c>
      <c r="H240" s="18">
        <f>ROUND(RAND()*4+6,1)</f>
      </c>
      <c r="I240" s="17" t="s">
        <v>19</v>
      </c>
      <c r="J240" s="19">
        <f>ROUND(88*1,0)&amp;"%"</f>
      </c>
    </row>
    <row x14ac:dyDescent="0.25" r="241" customHeight="1" ht="17.25">
      <c r="A241" s="20" t="s">
        <v>11873</v>
      </c>
      <c r="B241" s="20" t="s">
        <v>400</v>
      </c>
      <c r="C241" s="20" t="s">
        <v>133</v>
      </c>
      <c r="D241" s="20" t="s">
        <v>22</v>
      </c>
      <c r="E241" s="21">
        <f>ROUND(7723*1.05,2)</f>
      </c>
      <c r="F241" s="20" t="s">
        <v>51</v>
      </c>
      <c r="G241" s="20" t="s">
        <v>24</v>
      </c>
      <c r="H241" s="21">
        <f>ROUND(RAND()*4+6,1)</f>
      </c>
      <c r="I241" s="20" t="s">
        <v>25</v>
      </c>
      <c r="J241" s="23">
        <f>ROUND(98*1,0)&amp;"%"</f>
      </c>
    </row>
    <row x14ac:dyDescent="0.25" r="242" customHeight="1" ht="17.25">
      <c r="A242" s="24" t="s">
        <v>401</v>
      </c>
      <c r="B242" s="24"/>
      <c r="C242" s="24"/>
      <c r="D242" s="24"/>
      <c r="E242" s="25">
        <v>8</v>
      </c>
      <c r="F242" s="9"/>
      <c r="G242" s="9"/>
      <c r="H242" s="10"/>
      <c r="I242" s="9"/>
      <c r="J242" s="9"/>
    </row>
    <row x14ac:dyDescent="0.25" r="243" customHeight="1" ht="17.25">
      <c r="A243" s="7"/>
      <c r="B243" s="7"/>
      <c r="C243" s="7"/>
      <c r="D243" s="7"/>
      <c r="E243" s="8"/>
      <c r="F243" s="9"/>
      <c r="G243" s="9"/>
      <c r="H243" s="10"/>
      <c r="I243" s="9"/>
      <c r="J243" s="9"/>
    </row>
    <row x14ac:dyDescent="0.25" r="244" customHeight="1" ht="17.25">
      <c r="A244" s="11" t="s">
        <v>11874</v>
      </c>
      <c r="B244" s="11"/>
      <c r="C244" s="11"/>
      <c r="D244" s="11"/>
      <c r="E244" s="12"/>
      <c r="F244" s="11"/>
      <c r="G244" s="11"/>
      <c r="H244" s="13"/>
      <c r="I244" s="11"/>
      <c r="J244" s="11"/>
    </row>
    <row x14ac:dyDescent="0.25" r="245" customHeight="1" ht="17.25">
      <c r="A245" s="14" t="s">
        <v>3</v>
      </c>
      <c r="B245" s="14" t="s">
        <v>4</v>
      </c>
      <c r="C245" s="14" t="s">
        <v>5</v>
      </c>
      <c r="D245" s="14" t="s">
        <v>6</v>
      </c>
      <c r="E245" s="15" t="s">
        <v>7</v>
      </c>
      <c r="F245" s="14" t="s">
        <v>8</v>
      </c>
      <c r="G245" s="14" t="s">
        <v>9</v>
      </c>
      <c r="H245" s="16" t="s">
        <v>10</v>
      </c>
      <c r="I245" s="14" t="s">
        <v>11</v>
      </c>
      <c r="J245" s="14" t="s">
        <v>12</v>
      </c>
    </row>
    <row x14ac:dyDescent="0.25" r="246" customHeight="1" ht="17.25">
      <c r="A246" s="17" t="s">
        <v>11875</v>
      </c>
      <c r="B246" s="17" t="s">
        <v>404</v>
      </c>
      <c r="C246" s="17" t="s">
        <v>152</v>
      </c>
      <c r="D246" s="17" t="s">
        <v>16</v>
      </c>
      <c r="E246" s="18">
        <f>ROUND(4066*1.05,2)</f>
      </c>
      <c r="F246" s="17" t="s">
        <v>17</v>
      </c>
      <c r="G246" s="17" t="s">
        <v>18</v>
      </c>
      <c r="H246" s="18">
        <f>ROUND(RAND()*4+6,1)</f>
      </c>
      <c r="I246" s="17" t="s">
        <v>19</v>
      </c>
      <c r="J246" s="19">
        <f>ROUND(74*1,0)&amp;"%"</f>
      </c>
    </row>
    <row x14ac:dyDescent="0.25" r="247" customHeight="1" ht="17.25">
      <c r="A247" s="20" t="s">
        <v>11876</v>
      </c>
      <c r="B247" s="20" t="s">
        <v>406</v>
      </c>
      <c r="C247" s="20" t="s">
        <v>152</v>
      </c>
      <c r="D247" s="20" t="s">
        <v>22</v>
      </c>
      <c r="E247" s="21">
        <f>ROUND(11586*1.05,2)</f>
      </c>
      <c r="F247" s="20" t="s">
        <v>23</v>
      </c>
      <c r="G247" s="20" t="s">
        <v>24</v>
      </c>
      <c r="H247" s="21">
        <f>ROUND(RAND()*4+6,1)</f>
      </c>
      <c r="I247" s="20" t="s">
        <v>25</v>
      </c>
      <c r="J247" s="23">
        <f>ROUND(74*1,0)&amp;"%"</f>
      </c>
    </row>
    <row x14ac:dyDescent="0.25" r="248" customHeight="1" ht="17.25">
      <c r="A248" s="17" t="s">
        <v>11877</v>
      </c>
      <c r="B248" s="17" t="s">
        <v>408</v>
      </c>
      <c r="C248" s="17" t="s">
        <v>152</v>
      </c>
      <c r="D248" s="17" t="s">
        <v>28</v>
      </c>
      <c r="E248" s="18">
        <f>ROUND(17207*1.05,2)</f>
      </c>
      <c r="F248" s="17" t="s">
        <v>29</v>
      </c>
      <c r="G248" s="17" t="s">
        <v>30</v>
      </c>
      <c r="H248" s="18">
        <f>ROUND(RAND()*4+6,1)</f>
      </c>
      <c r="I248" s="17" t="s">
        <v>31</v>
      </c>
      <c r="J248" s="19">
        <f>ROUND(67*1,0)&amp;"%"</f>
      </c>
    </row>
    <row x14ac:dyDescent="0.25" r="249" customHeight="1" ht="17.25">
      <c r="A249" s="20" t="s">
        <v>11878</v>
      </c>
      <c r="B249" s="20" t="s">
        <v>410</v>
      </c>
      <c r="C249" s="20" t="s">
        <v>152</v>
      </c>
      <c r="D249" s="20" t="s">
        <v>34</v>
      </c>
      <c r="E249" s="21">
        <f>ROUND(10127*1.05,2)</f>
      </c>
      <c r="F249" s="20" t="s">
        <v>35</v>
      </c>
      <c r="G249" s="20" t="s">
        <v>18</v>
      </c>
      <c r="H249" s="21">
        <f>ROUND(RAND()*4+6,1)</f>
      </c>
      <c r="I249" s="20" t="s">
        <v>36</v>
      </c>
      <c r="J249" s="23">
        <f>ROUND(70*1,0)&amp;"%"</f>
      </c>
    </row>
    <row x14ac:dyDescent="0.25" r="250" customHeight="1" ht="17.25">
      <c r="A250" s="17" t="s">
        <v>11879</v>
      </c>
      <c r="B250" s="17" t="s">
        <v>412</v>
      </c>
      <c r="C250" s="17" t="s">
        <v>152</v>
      </c>
      <c r="D250" s="17" t="s">
        <v>39</v>
      </c>
      <c r="E250" s="18">
        <f>ROUND(4246*1.05,2)</f>
      </c>
      <c r="F250" s="17" t="s">
        <v>40</v>
      </c>
      <c r="G250" s="17" t="s">
        <v>24</v>
      </c>
      <c r="H250" s="18">
        <f>ROUND(RAND()*4+6,1)</f>
      </c>
      <c r="I250" s="17" t="s">
        <v>41</v>
      </c>
      <c r="J250" s="19">
        <f>ROUND(70*1,0)&amp;"%"</f>
      </c>
    </row>
    <row x14ac:dyDescent="0.25" r="251" customHeight="1" ht="17.25">
      <c r="A251" s="20" t="s">
        <v>11880</v>
      </c>
      <c r="B251" s="20" t="s">
        <v>414</v>
      </c>
      <c r="C251" s="20" t="s">
        <v>152</v>
      </c>
      <c r="D251" s="20" t="s">
        <v>67</v>
      </c>
      <c r="E251" s="21">
        <f>ROUND(15337*1.05,2)</f>
      </c>
      <c r="F251" s="20" t="s">
        <v>44</v>
      </c>
      <c r="G251" s="20" t="s">
        <v>30</v>
      </c>
      <c r="H251" s="21">
        <f>ROUND(RAND()*4+6,1)</f>
      </c>
      <c r="I251" s="20" t="s">
        <v>45</v>
      </c>
      <c r="J251" s="23">
        <f>ROUND(90*1,0)&amp;"%"</f>
      </c>
    </row>
    <row x14ac:dyDescent="0.25" r="252" customHeight="1" ht="17.25">
      <c r="A252" s="17" t="s">
        <v>11881</v>
      </c>
      <c r="B252" s="17" t="s">
        <v>416</v>
      </c>
      <c r="C252" s="17" t="s">
        <v>152</v>
      </c>
      <c r="D252" s="17" t="s">
        <v>16</v>
      </c>
      <c r="E252" s="18">
        <f>ROUND(9347*1.05,2)</f>
      </c>
      <c r="F252" s="17" t="s">
        <v>48</v>
      </c>
      <c r="G252" s="17" t="s">
        <v>18</v>
      </c>
      <c r="H252" s="18">
        <f>ROUND(RAND()*4+6,1)</f>
      </c>
      <c r="I252" s="17" t="s">
        <v>19</v>
      </c>
      <c r="J252" s="19">
        <f>ROUND(85*1,0)&amp;"%"</f>
      </c>
    </row>
    <row x14ac:dyDescent="0.25" r="253" customHeight="1" ht="17.25">
      <c r="A253" s="20" t="s">
        <v>11882</v>
      </c>
      <c r="B253" s="20" t="s">
        <v>418</v>
      </c>
      <c r="C253" s="20" t="s">
        <v>152</v>
      </c>
      <c r="D253" s="20" t="s">
        <v>22</v>
      </c>
      <c r="E253" s="21">
        <f>ROUND(13876*1.05,2)</f>
      </c>
      <c r="F253" s="20" t="s">
        <v>51</v>
      </c>
      <c r="G253" s="20" t="s">
        <v>24</v>
      </c>
      <c r="H253" s="21">
        <f>ROUND(RAND()*4+6,1)</f>
      </c>
      <c r="I253" s="20" t="s">
        <v>25</v>
      </c>
      <c r="J253" s="23">
        <f>ROUND(65*1,0)&amp;"%"</f>
      </c>
    </row>
    <row x14ac:dyDescent="0.25" r="254" customHeight="1" ht="17.25">
      <c r="A254" s="24" t="s">
        <v>419</v>
      </c>
      <c r="B254" s="24"/>
      <c r="C254" s="24"/>
      <c r="D254" s="24"/>
      <c r="E254" s="25">
        <v>8</v>
      </c>
      <c r="F254" s="9"/>
      <c r="G254" s="9"/>
      <c r="H254" s="10"/>
      <c r="I254" s="9"/>
      <c r="J254" s="9"/>
    </row>
    <row x14ac:dyDescent="0.25" r="255" customHeight="1" ht="17.25">
      <c r="A255" s="7"/>
      <c r="B255" s="7"/>
      <c r="C255" s="7"/>
      <c r="D255" s="7"/>
      <c r="E255" s="8"/>
      <c r="F255" s="9"/>
      <c r="G255" s="9"/>
      <c r="H255" s="10"/>
      <c r="I255" s="9"/>
      <c r="J255" s="9"/>
    </row>
    <row x14ac:dyDescent="0.25" r="256" customHeight="1" ht="17.25">
      <c r="A256" s="11" t="s">
        <v>11883</v>
      </c>
      <c r="B256" s="11"/>
      <c r="C256" s="11"/>
      <c r="D256" s="11"/>
      <c r="E256" s="12"/>
      <c r="F256" s="11"/>
      <c r="G256" s="11"/>
      <c r="H256" s="13"/>
      <c r="I256" s="11"/>
      <c r="J256" s="11"/>
    </row>
    <row x14ac:dyDescent="0.25" r="257" customHeight="1" ht="17.25">
      <c r="A257" s="14" t="s">
        <v>3</v>
      </c>
      <c r="B257" s="14" t="s">
        <v>4</v>
      </c>
      <c r="C257" s="14" t="s">
        <v>5</v>
      </c>
      <c r="D257" s="14" t="s">
        <v>6</v>
      </c>
      <c r="E257" s="15" t="s">
        <v>7</v>
      </c>
      <c r="F257" s="14" t="s">
        <v>8</v>
      </c>
      <c r="G257" s="14" t="s">
        <v>9</v>
      </c>
      <c r="H257" s="16" t="s">
        <v>10</v>
      </c>
      <c r="I257" s="14" t="s">
        <v>11</v>
      </c>
      <c r="J257" s="14" t="s">
        <v>12</v>
      </c>
    </row>
    <row x14ac:dyDescent="0.25" r="258" customHeight="1" ht="17.25">
      <c r="A258" s="17" t="s">
        <v>11884</v>
      </c>
      <c r="B258" s="17" t="s">
        <v>422</v>
      </c>
      <c r="C258" s="17" t="s">
        <v>15</v>
      </c>
      <c r="D258" s="17" t="s">
        <v>16</v>
      </c>
      <c r="E258" s="18">
        <f>ROUND(11417*1.05,2)</f>
      </c>
      <c r="F258" s="17" t="s">
        <v>17</v>
      </c>
      <c r="G258" s="17" t="s">
        <v>18</v>
      </c>
      <c r="H258" s="18">
        <f>ROUND(RAND()*4+6,1)</f>
      </c>
      <c r="I258" s="17" t="s">
        <v>19</v>
      </c>
      <c r="J258" s="19">
        <f>ROUND(99*1,0)&amp;"%"</f>
      </c>
    </row>
    <row x14ac:dyDescent="0.25" r="259" customHeight="1" ht="17.25">
      <c r="A259" s="20" t="s">
        <v>11885</v>
      </c>
      <c r="B259" s="20" t="s">
        <v>424</v>
      </c>
      <c r="C259" s="20" t="s">
        <v>15</v>
      </c>
      <c r="D259" s="20" t="s">
        <v>22</v>
      </c>
      <c r="E259" s="21">
        <f>ROUND(11401*1.05,2)</f>
      </c>
      <c r="F259" s="20" t="s">
        <v>23</v>
      </c>
      <c r="G259" s="20" t="s">
        <v>24</v>
      </c>
      <c r="H259" s="21">
        <f>ROUND(RAND()*4+6,1)</f>
      </c>
      <c r="I259" s="20" t="s">
        <v>25</v>
      </c>
      <c r="J259" s="23">
        <f>ROUND(99*1,0)&amp;"%"</f>
      </c>
    </row>
    <row x14ac:dyDescent="0.25" r="260" customHeight="1" ht="17.25">
      <c r="A260" s="17" t="s">
        <v>11886</v>
      </c>
      <c r="B260" s="17" t="s">
        <v>426</v>
      </c>
      <c r="C260" s="17" t="s">
        <v>15</v>
      </c>
      <c r="D260" s="17" t="s">
        <v>28</v>
      </c>
      <c r="E260" s="18">
        <f>ROUND(10726*1.05,2)</f>
      </c>
      <c r="F260" s="17" t="s">
        <v>29</v>
      </c>
      <c r="G260" s="17" t="s">
        <v>30</v>
      </c>
      <c r="H260" s="18">
        <f>ROUND(RAND()*4+6,1)</f>
      </c>
      <c r="I260" s="17" t="s">
        <v>31</v>
      </c>
      <c r="J260" s="19">
        <f>ROUND(60*1,0)&amp;"%"</f>
      </c>
    </row>
    <row x14ac:dyDescent="0.25" r="261" customHeight="1" ht="17.25">
      <c r="A261" s="20" t="s">
        <v>11887</v>
      </c>
      <c r="B261" s="20" t="s">
        <v>428</v>
      </c>
      <c r="C261" s="20" t="s">
        <v>15</v>
      </c>
      <c r="D261" s="20" t="s">
        <v>34</v>
      </c>
      <c r="E261" s="21">
        <f>ROUND(17646*1.05,2)</f>
      </c>
      <c r="F261" s="20" t="s">
        <v>35</v>
      </c>
      <c r="G261" s="20" t="s">
        <v>18</v>
      </c>
      <c r="H261" s="21">
        <f>ROUND(RAND()*4+6,1)</f>
      </c>
      <c r="I261" s="20" t="s">
        <v>36</v>
      </c>
      <c r="J261" s="23">
        <f>ROUND(71*1,0)&amp;"%"</f>
      </c>
    </row>
    <row x14ac:dyDescent="0.25" r="262" customHeight="1" ht="17.25">
      <c r="A262" s="17" t="s">
        <v>11888</v>
      </c>
      <c r="B262" s="17" t="s">
        <v>430</v>
      </c>
      <c r="C262" s="17" t="s">
        <v>15</v>
      </c>
      <c r="D262" s="17" t="s">
        <v>39</v>
      </c>
      <c r="E262" s="18">
        <f>ROUND(9239*1.05,2)</f>
      </c>
      <c r="F262" s="17" t="s">
        <v>40</v>
      </c>
      <c r="G262" s="17" t="s">
        <v>24</v>
      </c>
      <c r="H262" s="18">
        <f>ROUND(RAND()*4+6,1)</f>
      </c>
      <c r="I262" s="17" t="s">
        <v>41</v>
      </c>
      <c r="J262" s="19">
        <f>ROUND(66*1,0)&amp;"%"</f>
      </c>
    </row>
    <row x14ac:dyDescent="0.25" r="263" customHeight="1" ht="17.25">
      <c r="A263" s="20" t="s">
        <v>11889</v>
      </c>
      <c r="B263" s="20" t="s">
        <v>432</v>
      </c>
      <c r="C263" s="20" t="s">
        <v>15</v>
      </c>
      <c r="D263" s="20" t="s">
        <v>67</v>
      </c>
      <c r="E263" s="21">
        <f>ROUND(5117*1.05,2)</f>
      </c>
      <c r="F263" s="20" t="s">
        <v>44</v>
      </c>
      <c r="G263" s="20" t="s">
        <v>30</v>
      </c>
      <c r="H263" s="21">
        <f>ROUND(RAND()*4+6,1)</f>
      </c>
      <c r="I263" s="20" t="s">
        <v>45</v>
      </c>
      <c r="J263" s="23">
        <f>ROUND(85*1,0)&amp;"%"</f>
      </c>
    </row>
    <row x14ac:dyDescent="0.25" r="264" customHeight="1" ht="17.25">
      <c r="A264" s="17" t="s">
        <v>11890</v>
      </c>
      <c r="B264" s="17" t="s">
        <v>434</v>
      </c>
      <c r="C264" s="17" t="s">
        <v>15</v>
      </c>
      <c r="D264" s="17" t="s">
        <v>16</v>
      </c>
      <c r="E264" s="18">
        <f>ROUND(5286*1.05,2)</f>
      </c>
      <c r="F264" s="17" t="s">
        <v>48</v>
      </c>
      <c r="G264" s="17" t="s">
        <v>18</v>
      </c>
      <c r="H264" s="18">
        <f>ROUND(RAND()*4+6,1)</f>
      </c>
      <c r="I264" s="17" t="s">
        <v>19</v>
      </c>
      <c r="J264" s="19">
        <f>ROUND(100*1,0)&amp;"%"</f>
      </c>
    </row>
    <row x14ac:dyDescent="0.25" r="265" customHeight="1" ht="17.25">
      <c r="A265" s="20" t="s">
        <v>11891</v>
      </c>
      <c r="B265" s="20" t="s">
        <v>436</v>
      </c>
      <c r="C265" s="20" t="s">
        <v>15</v>
      </c>
      <c r="D265" s="20" t="s">
        <v>22</v>
      </c>
      <c r="E265" s="21">
        <f>ROUND(7974*1.05,2)</f>
      </c>
      <c r="F265" s="20" t="s">
        <v>51</v>
      </c>
      <c r="G265" s="20" t="s">
        <v>24</v>
      </c>
      <c r="H265" s="21">
        <f>ROUND(RAND()*4+6,1)</f>
      </c>
      <c r="I265" s="20" t="s">
        <v>25</v>
      </c>
      <c r="J265" s="23">
        <f>ROUND(84*1,0)&amp;"%"</f>
      </c>
    </row>
    <row x14ac:dyDescent="0.25" r="266" customHeight="1" ht="17.25">
      <c r="A266" s="24" t="s">
        <v>437</v>
      </c>
      <c r="B266" s="24"/>
      <c r="C266" s="24"/>
      <c r="D266" s="24"/>
      <c r="E266" s="25">
        <v>8</v>
      </c>
      <c r="F266" s="9"/>
      <c r="G266" s="9"/>
      <c r="H266" s="10"/>
      <c r="I266" s="9"/>
      <c r="J266" s="9"/>
    </row>
    <row x14ac:dyDescent="0.25" r="267" customHeight="1" ht="17.25">
      <c r="A267" s="7"/>
      <c r="B267" s="7"/>
      <c r="C267" s="7"/>
      <c r="D267" s="7"/>
      <c r="E267" s="8"/>
      <c r="F267" s="9"/>
      <c r="G267" s="9"/>
      <c r="H267" s="10"/>
      <c r="I267" s="9"/>
      <c r="J267" s="9"/>
    </row>
    <row x14ac:dyDescent="0.25" r="268" customHeight="1" ht="17.25">
      <c r="A268" s="11" t="s">
        <v>11892</v>
      </c>
      <c r="B268" s="11"/>
      <c r="C268" s="11"/>
      <c r="D268" s="11"/>
      <c r="E268" s="12"/>
      <c r="F268" s="11"/>
      <c r="G268" s="11"/>
      <c r="H268" s="13"/>
      <c r="I268" s="11"/>
      <c r="J268" s="11"/>
    </row>
    <row x14ac:dyDescent="0.25" r="269" customHeight="1" ht="17.25">
      <c r="A269" s="14" t="s">
        <v>3</v>
      </c>
      <c r="B269" s="14" t="s">
        <v>4</v>
      </c>
      <c r="C269" s="14" t="s">
        <v>5</v>
      </c>
      <c r="D269" s="14" t="s">
        <v>6</v>
      </c>
      <c r="E269" s="15" t="s">
        <v>7</v>
      </c>
      <c r="F269" s="14" t="s">
        <v>8</v>
      </c>
      <c r="G269" s="14" t="s">
        <v>9</v>
      </c>
      <c r="H269" s="16" t="s">
        <v>10</v>
      </c>
      <c r="I269" s="14" t="s">
        <v>11</v>
      </c>
      <c r="J269" s="14" t="s">
        <v>12</v>
      </c>
    </row>
    <row x14ac:dyDescent="0.25" r="270" customHeight="1" ht="17.25">
      <c r="A270" s="17" t="s">
        <v>11893</v>
      </c>
      <c r="B270" s="17" t="s">
        <v>440</v>
      </c>
      <c r="C270" s="17" t="s">
        <v>56</v>
      </c>
      <c r="D270" s="17" t="s">
        <v>16</v>
      </c>
      <c r="E270" s="18">
        <f>ROUND(12933*1.05,2)</f>
      </c>
      <c r="F270" s="17" t="s">
        <v>17</v>
      </c>
      <c r="G270" s="17" t="s">
        <v>18</v>
      </c>
      <c r="H270" s="18">
        <f>ROUND(RAND()*4+6,1)</f>
      </c>
      <c r="I270" s="17" t="s">
        <v>19</v>
      </c>
      <c r="J270" s="19">
        <f>ROUND(92*1,0)&amp;"%"</f>
      </c>
    </row>
    <row x14ac:dyDescent="0.25" r="271" customHeight="1" ht="17.25">
      <c r="A271" s="20" t="s">
        <v>11894</v>
      </c>
      <c r="B271" s="20" t="s">
        <v>442</v>
      </c>
      <c r="C271" s="20" t="s">
        <v>56</v>
      </c>
      <c r="D271" s="20" t="s">
        <v>22</v>
      </c>
      <c r="E271" s="21">
        <f>ROUND(10493*1.05,2)</f>
      </c>
      <c r="F271" s="20" t="s">
        <v>23</v>
      </c>
      <c r="G271" s="20" t="s">
        <v>24</v>
      </c>
      <c r="H271" s="21">
        <f>ROUND(RAND()*4+6,1)</f>
      </c>
      <c r="I271" s="20" t="s">
        <v>25</v>
      </c>
      <c r="J271" s="23">
        <f>ROUND(89*1,0)&amp;"%"</f>
      </c>
    </row>
    <row x14ac:dyDescent="0.25" r="272" customHeight="1" ht="17.25">
      <c r="A272" s="17" t="s">
        <v>11895</v>
      </c>
      <c r="B272" s="17" t="s">
        <v>444</v>
      </c>
      <c r="C272" s="17" t="s">
        <v>56</v>
      </c>
      <c r="D272" s="17" t="s">
        <v>28</v>
      </c>
      <c r="E272" s="18">
        <f>ROUND(11951*1.05,2)</f>
      </c>
      <c r="F272" s="17" t="s">
        <v>29</v>
      </c>
      <c r="G272" s="17" t="s">
        <v>30</v>
      </c>
      <c r="H272" s="18">
        <f>ROUND(RAND()*4+6,1)</f>
      </c>
      <c r="I272" s="17" t="s">
        <v>31</v>
      </c>
      <c r="J272" s="19">
        <f>ROUND(69*1,0)&amp;"%"</f>
      </c>
    </row>
    <row x14ac:dyDescent="0.25" r="273" customHeight="1" ht="17.25">
      <c r="A273" s="20" t="s">
        <v>11896</v>
      </c>
      <c r="B273" s="20" t="s">
        <v>446</v>
      </c>
      <c r="C273" s="20" t="s">
        <v>56</v>
      </c>
      <c r="D273" s="20" t="s">
        <v>34</v>
      </c>
      <c r="E273" s="21">
        <f>ROUND(14761*1.05,2)</f>
      </c>
      <c r="F273" s="20" t="s">
        <v>35</v>
      </c>
      <c r="G273" s="20" t="s">
        <v>18</v>
      </c>
      <c r="H273" s="21">
        <f>ROUND(RAND()*4+6,1)</f>
      </c>
      <c r="I273" s="20" t="s">
        <v>36</v>
      </c>
      <c r="J273" s="23">
        <f>ROUND(84*1,0)&amp;"%"</f>
      </c>
    </row>
    <row x14ac:dyDescent="0.25" r="274" customHeight="1" ht="17.25">
      <c r="A274" s="17" t="s">
        <v>11897</v>
      </c>
      <c r="B274" s="17" t="s">
        <v>448</v>
      </c>
      <c r="C274" s="17" t="s">
        <v>56</v>
      </c>
      <c r="D274" s="17" t="s">
        <v>39</v>
      </c>
      <c r="E274" s="18">
        <f>ROUND(6831*1.05,2)</f>
      </c>
      <c r="F274" s="17" t="s">
        <v>40</v>
      </c>
      <c r="G274" s="17" t="s">
        <v>24</v>
      </c>
      <c r="H274" s="18">
        <f>ROUND(RAND()*4+6,1)</f>
      </c>
      <c r="I274" s="17" t="s">
        <v>41</v>
      </c>
      <c r="J274" s="19">
        <f>ROUND(91*1,0)&amp;"%"</f>
      </c>
    </row>
    <row x14ac:dyDescent="0.25" r="275" customHeight="1" ht="17.25">
      <c r="A275" s="20" t="s">
        <v>11898</v>
      </c>
      <c r="B275" s="20" t="s">
        <v>450</v>
      </c>
      <c r="C275" s="20" t="s">
        <v>56</v>
      </c>
      <c r="D275" s="20" t="s">
        <v>67</v>
      </c>
      <c r="E275" s="21">
        <f>ROUND(13649*1.05,2)</f>
      </c>
      <c r="F275" s="20" t="s">
        <v>44</v>
      </c>
      <c r="G275" s="20" t="s">
        <v>30</v>
      </c>
      <c r="H275" s="21">
        <f>ROUND(RAND()*4+6,1)</f>
      </c>
      <c r="I275" s="20" t="s">
        <v>45</v>
      </c>
      <c r="J275" s="23">
        <f>ROUND(98*1,0)&amp;"%"</f>
      </c>
    </row>
    <row x14ac:dyDescent="0.25" r="276" customHeight="1" ht="17.25">
      <c r="A276" s="17" t="s">
        <v>11899</v>
      </c>
      <c r="B276" s="17" t="s">
        <v>452</v>
      </c>
      <c r="C276" s="17" t="s">
        <v>56</v>
      </c>
      <c r="D276" s="17" t="s">
        <v>16</v>
      </c>
      <c r="E276" s="18">
        <f>ROUND(10169*1.05,2)</f>
      </c>
      <c r="F276" s="17" t="s">
        <v>48</v>
      </c>
      <c r="G276" s="17" t="s">
        <v>18</v>
      </c>
      <c r="H276" s="18">
        <f>ROUND(RAND()*4+6,1)</f>
      </c>
      <c r="I276" s="17" t="s">
        <v>19</v>
      </c>
      <c r="J276" s="19">
        <f>ROUND(84*1,0)&amp;"%"</f>
      </c>
    </row>
    <row x14ac:dyDescent="0.25" r="277" customHeight="1" ht="17.25">
      <c r="A277" s="20" t="s">
        <v>11900</v>
      </c>
      <c r="B277" s="20" t="s">
        <v>454</v>
      </c>
      <c r="C277" s="20" t="s">
        <v>56</v>
      </c>
      <c r="D277" s="20" t="s">
        <v>22</v>
      </c>
      <c r="E277" s="21">
        <f>ROUND(17446*1.05,2)</f>
      </c>
      <c r="F277" s="20" t="s">
        <v>51</v>
      </c>
      <c r="G277" s="20" t="s">
        <v>24</v>
      </c>
      <c r="H277" s="21">
        <f>ROUND(RAND()*4+6,1)</f>
      </c>
      <c r="I277" s="20" t="s">
        <v>25</v>
      </c>
      <c r="J277" s="23">
        <f>ROUND(96*1,0)&amp;"%"</f>
      </c>
    </row>
    <row x14ac:dyDescent="0.25" r="278" customHeight="1" ht="17.25">
      <c r="A278" s="24" t="s">
        <v>455</v>
      </c>
      <c r="B278" s="24"/>
      <c r="C278" s="24"/>
      <c r="D278" s="24"/>
      <c r="E278" s="25">
        <v>8</v>
      </c>
      <c r="F278" s="9"/>
      <c r="G278" s="9"/>
      <c r="H278" s="10"/>
      <c r="I278" s="9"/>
      <c r="J278" s="9"/>
    </row>
    <row x14ac:dyDescent="0.25" r="279" customHeight="1" ht="17.25">
      <c r="A279" s="7"/>
      <c r="B279" s="7"/>
      <c r="C279" s="7"/>
      <c r="D279" s="7"/>
      <c r="E279" s="8"/>
      <c r="F279" s="9"/>
      <c r="G279" s="9"/>
      <c r="H279" s="10"/>
      <c r="I279" s="9"/>
      <c r="J279" s="9"/>
    </row>
    <row x14ac:dyDescent="0.25" r="280" customHeight="1" ht="17.25">
      <c r="A280" s="11" t="s">
        <v>11901</v>
      </c>
      <c r="B280" s="11"/>
      <c r="C280" s="11"/>
      <c r="D280" s="11"/>
      <c r="E280" s="12"/>
      <c r="F280" s="11"/>
      <c r="G280" s="11"/>
      <c r="H280" s="13"/>
      <c r="I280" s="11"/>
      <c r="J280" s="11"/>
    </row>
    <row x14ac:dyDescent="0.25" r="281" customHeight="1" ht="17.25">
      <c r="A281" s="14" t="s">
        <v>3</v>
      </c>
      <c r="B281" s="14" t="s">
        <v>4</v>
      </c>
      <c r="C281" s="14" t="s">
        <v>5</v>
      </c>
      <c r="D281" s="14" t="s">
        <v>6</v>
      </c>
      <c r="E281" s="15" t="s">
        <v>7</v>
      </c>
      <c r="F281" s="14" t="s">
        <v>8</v>
      </c>
      <c r="G281" s="14" t="s">
        <v>9</v>
      </c>
      <c r="H281" s="16" t="s">
        <v>10</v>
      </c>
      <c r="I281" s="14" t="s">
        <v>11</v>
      </c>
      <c r="J281" s="14" t="s">
        <v>12</v>
      </c>
    </row>
    <row x14ac:dyDescent="0.25" r="282" customHeight="1" ht="17.25">
      <c r="A282" s="17" t="s">
        <v>11902</v>
      </c>
      <c r="B282" s="17" t="s">
        <v>458</v>
      </c>
      <c r="C282" s="17" t="s">
        <v>76</v>
      </c>
      <c r="D282" s="17" t="s">
        <v>16</v>
      </c>
      <c r="E282" s="26">
        <f>ROUND(17760*1.05,2)</f>
      </c>
      <c r="F282" s="17" t="s">
        <v>17</v>
      </c>
      <c r="G282" s="17" t="s">
        <v>18</v>
      </c>
      <c r="H282" s="18">
        <f>ROUND(RAND()*4+6,1)</f>
      </c>
      <c r="I282" s="17" t="s">
        <v>19</v>
      </c>
      <c r="J282" s="19">
        <f>ROUND(65*1,0)&amp;"%"</f>
      </c>
    </row>
    <row x14ac:dyDescent="0.25" r="283" customHeight="1" ht="17.25">
      <c r="A283" s="20" t="s">
        <v>11903</v>
      </c>
      <c r="B283" s="20" t="s">
        <v>460</v>
      </c>
      <c r="C283" s="20" t="s">
        <v>76</v>
      </c>
      <c r="D283" s="20" t="s">
        <v>22</v>
      </c>
      <c r="E283" s="21">
        <f>ROUND(12128*1.05,2)</f>
      </c>
      <c r="F283" s="20" t="s">
        <v>23</v>
      </c>
      <c r="G283" s="20" t="s">
        <v>24</v>
      </c>
      <c r="H283" s="21">
        <f>ROUND(RAND()*4+6,1)</f>
      </c>
      <c r="I283" s="20" t="s">
        <v>25</v>
      </c>
      <c r="J283" s="23">
        <f>ROUND(75*1,0)&amp;"%"</f>
      </c>
    </row>
    <row x14ac:dyDescent="0.25" r="284" customHeight="1" ht="17.25">
      <c r="A284" s="17" t="s">
        <v>11904</v>
      </c>
      <c r="B284" s="17" t="s">
        <v>462</v>
      </c>
      <c r="C284" s="17" t="s">
        <v>76</v>
      </c>
      <c r="D284" s="17" t="s">
        <v>28</v>
      </c>
      <c r="E284" s="18">
        <f>ROUND(12186*1.05,2)</f>
      </c>
      <c r="F284" s="17" t="s">
        <v>29</v>
      </c>
      <c r="G284" s="17" t="s">
        <v>30</v>
      </c>
      <c r="H284" s="18">
        <f>ROUND(RAND()*4+6,1)</f>
      </c>
      <c r="I284" s="17" t="s">
        <v>31</v>
      </c>
      <c r="J284" s="19">
        <f>ROUND(63*1,0)&amp;"%"</f>
      </c>
    </row>
    <row x14ac:dyDescent="0.25" r="285" customHeight="1" ht="17.25">
      <c r="A285" s="20" t="s">
        <v>11905</v>
      </c>
      <c r="B285" s="20" t="s">
        <v>464</v>
      </c>
      <c r="C285" s="20" t="s">
        <v>76</v>
      </c>
      <c r="D285" s="20" t="s">
        <v>34</v>
      </c>
      <c r="E285" s="21">
        <f>ROUND(14350*1.05,2)</f>
      </c>
      <c r="F285" s="20" t="s">
        <v>35</v>
      </c>
      <c r="G285" s="20" t="s">
        <v>18</v>
      </c>
      <c r="H285" s="21">
        <f>ROUND(RAND()*4+6,1)</f>
      </c>
      <c r="I285" s="20" t="s">
        <v>36</v>
      </c>
      <c r="J285" s="23">
        <f>ROUND(73*1,0)&amp;"%"</f>
      </c>
    </row>
    <row x14ac:dyDescent="0.25" r="286" customHeight="1" ht="17.25">
      <c r="A286" s="17" t="s">
        <v>11906</v>
      </c>
      <c r="B286" s="17" t="s">
        <v>466</v>
      </c>
      <c r="C286" s="17" t="s">
        <v>76</v>
      </c>
      <c r="D286" s="17" t="s">
        <v>39</v>
      </c>
      <c r="E286" s="18">
        <f>ROUND(14547*1.05,2)</f>
      </c>
      <c r="F286" s="17" t="s">
        <v>40</v>
      </c>
      <c r="G286" s="17" t="s">
        <v>24</v>
      </c>
      <c r="H286" s="18">
        <f>ROUND(RAND()*4+6,1)</f>
      </c>
      <c r="I286" s="17" t="s">
        <v>41</v>
      </c>
      <c r="J286" s="19">
        <f>ROUND(95*1,0)&amp;"%"</f>
      </c>
    </row>
    <row x14ac:dyDescent="0.25" r="287" customHeight="1" ht="17.25">
      <c r="A287" s="20" t="s">
        <v>11907</v>
      </c>
      <c r="B287" s="20" t="s">
        <v>468</v>
      </c>
      <c r="C287" s="20" t="s">
        <v>76</v>
      </c>
      <c r="D287" s="20" t="s">
        <v>67</v>
      </c>
      <c r="E287" s="21">
        <f>ROUND(6728*1.05,2)</f>
      </c>
      <c r="F287" s="20" t="s">
        <v>44</v>
      </c>
      <c r="G287" s="20" t="s">
        <v>30</v>
      </c>
      <c r="H287" s="21">
        <f>ROUND(RAND()*4+6,1)</f>
      </c>
      <c r="I287" s="20" t="s">
        <v>45</v>
      </c>
      <c r="J287" s="23">
        <f>ROUND(74*1,0)&amp;"%"</f>
      </c>
    </row>
    <row x14ac:dyDescent="0.25" r="288" customHeight="1" ht="17.25">
      <c r="A288" s="17" t="s">
        <v>11908</v>
      </c>
      <c r="B288" s="17" t="s">
        <v>470</v>
      </c>
      <c r="C288" s="17" t="s">
        <v>76</v>
      </c>
      <c r="D288" s="17" t="s">
        <v>16</v>
      </c>
      <c r="E288" s="18">
        <f>ROUND(10010*1.05,2)</f>
      </c>
      <c r="F288" s="17" t="s">
        <v>48</v>
      </c>
      <c r="G288" s="17" t="s">
        <v>18</v>
      </c>
      <c r="H288" s="18">
        <f>ROUND(RAND()*4+6,1)</f>
      </c>
      <c r="I288" s="17" t="s">
        <v>19</v>
      </c>
      <c r="J288" s="19">
        <f>ROUND(91*1,0)&amp;"%"</f>
      </c>
    </row>
    <row x14ac:dyDescent="0.25" r="289" customHeight="1" ht="17.25">
      <c r="A289" s="20" t="s">
        <v>11909</v>
      </c>
      <c r="B289" s="20" t="s">
        <v>472</v>
      </c>
      <c r="C289" s="20" t="s">
        <v>76</v>
      </c>
      <c r="D289" s="20" t="s">
        <v>22</v>
      </c>
      <c r="E289" s="21">
        <f>ROUND(6962*1.05,2)</f>
      </c>
      <c r="F289" s="20" t="s">
        <v>51</v>
      </c>
      <c r="G289" s="20" t="s">
        <v>24</v>
      </c>
      <c r="H289" s="21">
        <f>ROUND(RAND()*4+6,1)</f>
      </c>
      <c r="I289" s="20" t="s">
        <v>25</v>
      </c>
      <c r="J289" s="23">
        <f>ROUND(89*1,0)&amp;"%"</f>
      </c>
    </row>
    <row x14ac:dyDescent="0.25" r="290" customHeight="1" ht="17.25">
      <c r="A290" s="24" t="s">
        <v>473</v>
      </c>
      <c r="B290" s="24"/>
      <c r="C290" s="24"/>
      <c r="D290" s="24"/>
      <c r="E290" s="25">
        <v>8</v>
      </c>
      <c r="F290" s="9"/>
      <c r="G290" s="9"/>
      <c r="H290" s="10"/>
      <c r="I290" s="9"/>
      <c r="J290" s="9"/>
    </row>
    <row x14ac:dyDescent="0.25" r="291" customHeight="1" ht="17.25">
      <c r="A291" s="7"/>
      <c r="B291" s="7"/>
      <c r="C291" s="7"/>
      <c r="D291" s="7"/>
      <c r="E291" s="8"/>
      <c r="F291" s="9"/>
      <c r="G291" s="9"/>
      <c r="H291" s="10"/>
      <c r="I291" s="9"/>
      <c r="J291" s="9"/>
    </row>
    <row x14ac:dyDescent="0.25" r="292" customHeight="1" ht="17.25">
      <c r="A292" s="11" t="s">
        <v>11910</v>
      </c>
      <c r="B292" s="11"/>
      <c r="C292" s="11"/>
      <c r="D292" s="11"/>
      <c r="E292" s="12"/>
      <c r="F292" s="11"/>
      <c r="G292" s="11"/>
      <c r="H292" s="13"/>
      <c r="I292" s="11"/>
      <c r="J292" s="11"/>
    </row>
    <row x14ac:dyDescent="0.25" r="293" customHeight="1" ht="17.25">
      <c r="A293" s="14" t="s">
        <v>3</v>
      </c>
      <c r="B293" s="14" t="s">
        <v>4</v>
      </c>
      <c r="C293" s="14" t="s">
        <v>5</v>
      </c>
      <c r="D293" s="14" t="s">
        <v>6</v>
      </c>
      <c r="E293" s="15" t="s">
        <v>7</v>
      </c>
      <c r="F293" s="14" t="s">
        <v>8</v>
      </c>
      <c r="G293" s="14" t="s">
        <v>9</v>
      </c>
      <c r="H293" s="16" t="s">
        <v>10</v>
      </c>
      <c r="I293" s="14" t="s">
        <v>11</v>
      </c>
      <c r="J293" s="14" t="s">
        <v>12</v>
      </c>
    </row>
    <row x14ac:dyDescent="0.25" r="294" customHeight="1" ht="17.25">
      <c r="A294" s="17" t="s">
        <v>11911</v>
      </c>
      <c r="B294" s="17" t="s">
        <v>476</v>
      </c>
      <c r="C294" s="17" t="s">
        <v>95</v>
      </c>
      <c r="D294" s="17" t="s">
        <v>16</v>
      </c>
      <c r="E294" s="18">
        <f>ROUND(16621*1.05,2)</f>
      </c>
      <c r="F294" s="17" t="s">
        <v>17</v>
      </c>
      <c r="G294" s="17" t="s">
        <v>18</v>
      </c>
      <c r="H294" s="18">
        <f>ROUND(RAND()*4+6,1)</f>
      </c>
      <c r="I294" s="17" t="s">
        <v>19</v>
      </c>
      <c r="J294" s="19">
        <f>ROUND(66*1,0)&amp;"%"</f>
      </c>
    </row>
    <row x14ac:dyDescent="0.25" r="295" customHeight="1" ht="17.25">
      <c r="A295" s="20" t="s">
        <v>11912</v>
      </c>
      <c r="B295" s="20" t="s">
        <v>478</v>
      </c>
      <c r="C295" s="20" t="s">
        <v>95</v>
      </c>
      <c r="D295" s="20" t="s">
        <v>22</v>
      </c>
      <c r="E295" s="21">
        <f>ROUND(8096*1.05,2)</f>
      </c>
      <c r="F295" s="20" t="s">
        <v>23</v>
      </c>
      <c r="G295" s="20" t="s">
        <v>24</v>
      </c>
      <c r="H295" s="21">
        <f>ROUND(RAND()*4+6,1)</f>
      </c>
      <c r="I295" s="20" t="s">
        <v>25</v>
      </c>
      <c r="J295" s="23">
        <f>ROUND(97*1,0)&amp;"%"</f>
      </c>
    </row>
    <row x14ac:dyDescent="0.25" r="296" customHeight="1" ht="17.25">
      <c r="A296" s="17" t="s">
        <v>11913</v>
      </c>
      <c r="B296" s="17" t="s">
        <v>480</v>
      </c>
      <c r="C296" s="17" t="s">
        <v>95</v>
      </c>
      <c r="D296" s="17" t="s">
        <v>28</v>
      </c>
      <c r="E296" s="18">
        <f>ROUND(12312*1.05,2)</f>
      </c>
      <c r="F296" s="17" t="s">
        <v>29</v>
      </c>
      <c r="G296" s="17" t="s">
        <v>30</v>
      </c>
      <c r="H296" s="18">
        <f>ROUND(RAND()*4+6,1)</f>
      </c>
      <c r="I296" s="17" t="s">
        <v>31</v>
      </c>
      <c r="J296" s="19">
        <f>ROUND(95*1,0)&amp;"%"</f>
      </c>
    </row>
    <row x14ac:dyDescent="0.25" r="297" customHeight="1" ht="17.25">
      <c r="A297" s="20" t="s">
        <v>11914</v>
      </c>
      <c r="B297" s="20" t="s">
        <v>482</v>
      </c>
      <c r="C297" s="20" t="s">
        <v>95</v>
      </c>
      <c r="D297" s="20" t="s">
        <v>34</v>
      </c>
      <c r="E297" s="21">
        <f>ROUND(6481*1.05,2)</f>
      </c>
      <c r="F297" s="20" t="s">
        <v>35</v>
      </c>
      <c r="G297" s="20" t="s">
        <v>18</v>
      </c>
      <c r="H297" s="21">
        <f>ROUND(RAND()*4+6,1)</f>
      </c>
      <c r="I297" s="20" t="s">
        <v>36</v>
      </c>
      <c r="J297" s="23">
        <f>ROUND(62*1,0)&amp;"%"</f>
      </c>
    </row>
    <row x14ac:dyDescent="0.25" r="298" customHeight="1" ht="17.25">
      <c r="A298" s="17" t="s">
        <v>11915</v>
      </c>
      <c r="B298" s="17" t="s">
        <v>484</v>
      </c>
      <c r="C298" s="17" t="s">
        <v>95</v>
      </c>
      <c r="D298" s="17" t="s">
        <v>39</v>
      </c>
      <c r="E298" s="18">
        <f>ROUND(16030*1.05,2)</f>
      </c>
      <c r="F298" s="17" t="s">
        <v>40</v>
      </c>
      <c r="G298" s="17" t="s">
        <v>24</v>
      </c>
      <c r="H298" s="26">
        <f>ROUND(RAND()*4+6,1)</f>
      </c>
      <c r="I298" s="17" t="s">
        <v>41</v>
      </c>
      <c r="J298" s="19">
        <f>ROUND(83*1,0)&amp;"%"</f>
      </c>
    </row>
    <row x14ac:dyDescent="0.25" r="299" customHeight="1" ht="17.25">
      <c r="A299" s="20" t="s">
        <v>11916</v>
      </c>
      <c r="B299" s="20" t="s">
        <v>486</v>
      </c>
      <c r="C299" s="20" t="s">
        <v>95</v>
      </c>
      <c r="D299" s="20" t="s">
        <v>67</v>
      </c>
      <c r="E299" s="21">
        <f>ROUND(16497*1.05,2)</f>
      </c>
      <c r="F299" s="20" t="s">
        <v>44</v>
      </c>
      <c r="G299" s="20" t="s">
        <v>30</v>
      </c>
      <c r="H299" s="21">
        <f>ROUND(RAND()*4+6,1)</f>
      </c>
      <c r="I299" s="20" t="s">
        <v>45</v>
      </c>
      <c r="J299" s="23">
        <f>ROUND(68*1,0)&amp;"%"</f>
      </c>
    </row>
    <row x14ac:dyDescent="0.25" r="300" customHeight="1" ht="17.25">
      <c r="A300" s="17" t="s">
        <v>11917</v>
      </c>
      <c r="B300" s="17" t="s">
        <v>488</v>
      </c>
      <c r="C300" s="17" t="s">
        <v>95</v>
      </c>
      <c r="D300" s="17" t="s">
        <v>16</v>
      </c>
      <c r="E300" s="18">
        <f>ROUND(9233*1.05,2)</f>
      </c>
      <c r="F300" s="17" t="s">
        <v>48</v>
      </c>
      <c r="G300" s="17" t="s">
        <v>18</v>
      </c>
      <c r="H300" s="26">
        <f>ROUND(RAND()*4+6,1)</f>
      </c>
      <c r="I300" s="17" t="s">
        <v>19</v>
      </c>
      <c r="J300" s="19">
        <f>ROUND(75*1,0)&amp;"%"</f>
      </c>
    </row>
    <row x14ac:dyDescent="0.25" r="301" customHeight="1" ht="17.25">
      <c r="A301" s="20" t="s">
        <v>11918</v>
      </c>
      <c r="B301" s="20" t="s">
        <v>490</v>
      </c>
      <c r="C301" s="20" t="s">
        <v>95</v>
      </c>
      <c r="D301" s="20" t="s">
        <v>22</v>
      </c>
      <c r="E301" s="21">
        <f>ROUND(4864*1.05,2)</f>
      </c>
      <c r="F301" s="20" t="s">
        <v>51</v>
      </c>
      <c r="G301" s="20" t="s">
        <v>24</v>
      </c>
      <c r="H301" s="21">
        <f>ROUND(RAND()*4+6,1)</f>
      </c>
      <c r="I301" s="20" t="s">
        <v>25</v>
      </c>
      <c r="J301" s="23">
        <f>ROUND(77*1,0)&amp;"%"</f>
      </c>
    </row>
    <row x14ac:dyDescent="0.25" r="302" customHeight="1" ht="17.25">
      <c r="A302" s="24" t="s">
        <v>491</v>
      </c>
      <c r="B302" s="24"/>
      <c r="C302" s="24"/>
      <c r="D302" s="24"/>
      <c r="E302" s="25">
        <v>8</v>
      </c>
      <c r="F302" s="9"/>
      <c r="G302" s="9"/>
      <c r="H302" s="10"/>
      <c r="I302" s="9"/>
      <c r="J302" s="9"/>
    </row>
    <row x14ac:dyDescent="0.25" r="303" customHeight="1" ht="17.25">
      <c r="A303" s="7"/>
      <c r="B303" s="7"/>
      <c r="C303" s="7"/>
      <c r="D303" s="7"/>
      <c r="E303" s="8"/>
      <c r="F303" s="9"/>
      <c r="G303" s="9"/>
      <c r="H303" s="10"/>
      <c r="I303" s="9"/>
      <c r="J303" s="9"/>
    </row>
    <row x14ac:dyDescent="0.25" r="304" customHeight="1" ht="17.25">
      <c r="A304" s="11" t="s">
        <v>11919</v>
      </c>
      <c r="B304" s="11"/>
      <c r="C304" s="11"/>
      <c r="D304" s="11"/>
      <c r="E304" s="12"/>
      <c r="F304" s="11"/>
      <c r="G304" s="11"/>
      <c r="H304" s="13"/>
      <c r="I304" s="11"/>
      <c r="J304" s="11"/>
    </row>
    <row x14ac:dyDescent="0.25" r="305" customHeight="1" ht="17.25">
      <c r="A305" s="14" t="s">
        <v>3</v>
      </c>
      <c r="B305" s="14" t="s">
        <v>4</v>
      </c>
      <c r="C305" s="14" t="s">
        <v>5</v>
      </c>
      <c r="D305" s="14" t="s">
        <v>6</v>
      </c>
      <c r="E305" s="15" t="s">
        <v>7</v>
      </c>
      <c r="F305" s="14" t="s">
        <v>8</v>
      </c>
      <c r="G305" s="14" t="s">
        <v>9</v>
      </c>
      <c r="H305" s="16" t="s">
        <v>10</v>
      </c>
      <c r="I305" s="14" t="s">
        <v>11</v>
      </c>
      <c r="J305" s="14" t="s">
        <v>12</v>
      </c>
    </row>
    <row x14ac:dyDescent="0.25" r="306" customHeight="1" ht="17.25">
      <c r="A306" s="17" t="s">
        <v>11920</v>
      </c>
      <c r="B306" s="17" t="s">
        <v>494</v>
      </c>
      <c r="C306" s="17" t="s">
        <v>114</v>
      </c>
      <c r="D306" s="17" t="s">
        <v>16</v>
      </c>
      <c r="E306" s="18">
        <f>ROUND(4744*1.05,2)</f>
      </c>
      <c r="F306" s="17" t="s">
        <v>17</v>
      </c>
      <c r="G306" s="17" t="s">
        <v>18</v>
      </c>
      <c r="H306" s="18">
        <f>ROUND(RAND()*4+6,1)</f>
      </c>
      <c r="I306" s="17" t="s">
        <v>19</v>
      </c>
      <c r="J306" s="19">
        <f>ROUND(83*1,0)&amp;"%"</f>
      </c>
    </row>
    <row x14ac:dyDescent="0.25" r="307" customHeight="1" ht="17.25">
      <c r="A307" s="20" t="s">
        <v>11921</v>
      </c>
      <c r="B307" s="20" t="s">
        <v>496</v>
      </c>
      <c r="C307" s="20" t="s">
        <v>114</v>
      </c>
      <c r="D307" s="20" t="s">
        <v>22</v>
      </c>
      <c r="E307" s="21">
        <f>ROUND(6478*1.05,2)</f>
      </c>
      <c r="F307" s="20" t="s">
        <v>23</v>
      </c>
      <c r="G307" s="20" t="s">
        <v>24</v>
      </c>
      <c r="H307" s="21">
        <f>ROUND(RAND()*4+6,1)</f>
      </c>
      <c r="I307" s="20" t="s">
        <v>25</v>
      </c>
      <c r="J307" s="23">
        <f>ROUND(71*1,0)&amp;"%"</f>
      </c>
    </row>
    <row x14ac:dyDescent="0.25" r="308" customHeight="1" ht="17.25">
      <c r="A308" s="17" t="s">
        <v>11922</v>
      </c>
      <c r="B308" s="17" t="s">
        <v>498</v>
      </c>
      <c r="C308" s="17" t="s">
        <v>114</v>
      </c>
      <c r="D308" s="17" t="s">
        <v>28</v>
      </c>
      <c r="E308" s="18">
        <f>ROUND(10579*1.05,2)</f>
      </c>
      <c r="F308" s="17" t="s">
        <v>29</v>
      </c>
      <c r="G308" s="17" t="s">
        <v>30</v>
      </c>
      <c r="H308" s="18">
        <f>ROUND(RAND()*4+6,1)</f>
      </c>
      <c r="I308" s="17" t="s">
        <v>31</v>
      </c>
      <c r="J308" s="19">
        <f>ROUND(86*1,0)&amp;"%"</f>
      </c>
    </row>
    <row x14ac:dyDescent="0.25" r="309" customHeight="1" ht="17.25">
      <c r="A309" s="20" t="s">
        <v>11923</v>
      </c>
      <c r="B309" s="20" t="s">
        <v>500</v>
      </c>
      <c r="C309" s="20" t="s">
        <v>114</v>
      </c>
      <c r="D309" s="20" t="s">
        <v>34</v>
      </c>
      <c r="E309" s="21">
        <f>ROUND(13890*1.05,2)</f>
      </c>
      <c r="F309" s="20" t="s">
        <v>35</v>
      </c>
      <c r="G309" s="20" t="s">
        <v>18</v>
      </c>
      <c r="H309" s="21">
        <f>ROUND(RAND()*4+6,1)</f>
      </c>
      <c r="I309" s="20" t="s">
        <v>36</v>
      </c>
      <c r="J309" s="23">
        <f>ROUND(80*1,0)&amp;"%"</f>
      </c>
    </row>
    <row x14ac:dyDescent="0.25" r="310" customHeight="1" ht="17.25">
      <c r="A310" s="17" t="s">
        <v>11924</v>
      </c>
      <c r="B310" s="17" t="s">
        <v>502</v>
      </c>
      <c r="C310" s="17" t="s">
        <v>114</v>
      </c>
      <c r="D310" s="17" t="s">
        <v>39</v>
      </c>
      <c r="E310" s="18">
        <f>ROUND(17293*1.05,2)</f>
      </c>
      <c r="F310" s="17" t="s">
        <v>40</v>
      </c>
      <c r="G310" s="17" t="s">
        <v>24</v>
      </c>
      <c r="H310" s="18">
        <f>ROUND(RAND()*4+6,1)</f>
      </c>
      <c r="I310" s="17" t="s">
        <v>41</v>
      </c>
      <c r="J310" s="19">
        <f>ROUND(64*1,0)&amp;"%"</f>
      </c>
    </row>
    <row x14ac:dyDescent="0.25" r="311" customHeight="1" ht="17.25">
      <c r="A311" s="20" t="s">
        <v>11925</v>
      </c>
      <c r="B311" s="20" t="s">
        <v>504</v>
      </c>
      <c r="C311" s="20" t="s">
        <v>114</v>
      </c>
      <c r="D311" s="20" t="s">
        <v>67</v>
      </c>
      <c r="E311" s="21">
        <f>ROUND(8819*1.05,2)</f>
      </c>
      <c r="F311" s="20" t="s">
        <v>44</v>
      </c>
      <c r="G311" s="20" t="s">
        <v>30</v>
      </c>
      <c r="H311" s="21">
        <f>ROUND(RAND()*4+6,1)</f>
      </c>
      <c r="I311" s="20" t="s">
        <v>45</v>
      </c>
      <c r="J311" s="23">
        <f>ROUND(64*1,0)&amp;"%"</f>
      </c>
    </row>
    <row x14ac:dyDescent="0.25" r="312" customHeight="1" ht="17.25">
      <c r="A312" s="17" t="s">
        <v>11926</v>
      </c>
      <c r="B312" s="17" t="s">
        <v>506</v>
      </c>
      <c r="C312" s="17" t="s">
        <v>114</v>
      </c>
      <c r="D312" s="17" t="s">
        <v>16</v>
      </c>
      <c r="E312" s="18">
        <f>ROUND(10305*1.05,2)</f>
      </c>
      <c r="F312" s="17" t="s">
        <v>48</v>
      </c>
      <c r="G312" s="17" t="s">
        <v>18</v>
      </c>
      <c r="H312" s="18">
        <f>ROUND(RAND()*4+6,1)</f>
      </c>
      <c r="I312" s="17" t="s">
        <v>19</v>
      </c>
      <c r="J312" s="19">
        <f>ROUND(82*1,0)&amp;"%"</f>
      </c>
    </row>
    <row x14ac:dyDescent="0.25" r="313" customHeight="1" ht="17.25">
      <c r="A313" s="20" t="s">
        <v>11927</v>
      </c>
      <c r="B313" s="20" t="s">
        <v>508</v>
      </c>
      <c r="C313" s="20" t="s">
        <v>114</v>
      </c>
      <c r="D313" s="20" t="s">
        <v>22</v>
      </c>
      <c r="E313" s="21">
        <f>ROUND(8808*1.05,2)</f>
      </c>
      <c r="F313" s="20" t="s">
        <v>51</v>
      </c>
      <c r="G313" s="20" t="s">
        <v>24</v>
      </c>
      <c r="H313" s="21">
        <f>ROUND(RAND()*4+6,1)</f>
      </c>
      <c r="I313" s="20" t="s">
        <v>25</v>
      </c>
      <c r="J313" s="23">
        <f>ROUND(74*1,0)&amp;"%"</f>
      </c>
    </row>
    <row x14ac:dyDescent="0.25" r="314" customHeight="1" ht="17.25">
      <c r="A314" s="24" t="s">
        <v>509</v>
      </c>
      <c r="B314" s="24"/>
      <c r="C314" s="24"/>
      <c r="D314" s="24"/>
      <c r="E314" s="25">
        <v>8</v>
      </c>
      <c r="F314" s="9"/>
      <c r="G314" s="9"/>
      <c r="H314" s="10"/>
      <c r="I314" s="9"/>
      <c r="J314" s="9"/>
    </row>
    <row x14ac:dyDescent="0.25" r="315" customHeight="1" ht="17.25">
      <c r="A315" s="7"/>
      <c r="B315" s="7"/>
      <c r="C315" s="7"/>
      <c r="D315" s="7"/>
      <c r="E315" s="8"/>
      <c r="F315" s="9"/>
      <c r="G315" s="9"/>
      <c r="H315" s="10"/>
      <c r="I315" s="9"/>
      <c r="J315" s="9"/>
    </row>
    <row x14ac:dyDescent="0.25" r="316" customHeight="1" ht="17.25">
      <c r="A316" s="11" t="s">
        <v>11928</v>
      </c>
      <c r="B316" s="11"/>
      <c r="C316" s="11"/>
      <c r="D316" s="11"/>
      <c r="E316" s="12"/>
      <c r="F316" s="11"/>
      <c r="G316" s="11"/>
      <c r="H316" s="13"/>
      <c r="I316" s="11"/>
      <c r="J316" s="11"/>
    </row>
    <row x14ac:dyDescent="0.25" r="317" customHeight="1" ht="17.25">
      <c r="A317" s="14" t="s">
        <v>3</v>
      </c>
      <c r="B317" s="14" t="s">
        <v>4</v>
      </c>
      <c r="C317" s="14" t="s">
        <v>5</v>
      </c>
      <c r="D317" s="14" t="s">
        <v>6</v>
      </c>
      <c r="E317" s="15" t="s">
        <v>7</v>
      </c>
      <c r="F317" s="14" t="s">
        <v>8</v>
      </c>
      <c r="G317" s="14" t="s">
        <v>9</v>
      </c>
      <c r="H317" s="16" t="s">
        <v>10</v>
      </c>
      <c r="I317" s="14" t="s">
        <v>11</v>
      </c>
      <c r="J317" s="14" t="s">
        <v>12</v>
      </c>
    </row>
    <row x14ac:dyDescent="0.25" r="318" customHeight="1" ht="17.25">
      <c r="A318" s="17" t="s">
        <v>11929</v>
      </c>
      <c r="B318" s="17" t="s">
        <v>512</v>
      </c>
      <c r="C318" s="17" t="s">
        <v>133</v>
      </c>
      <c r="D318" s="17" t="s">
        <v>16</v>
      </c>
      <c r="E318" s="18">
        <f>ROUND(17483*1.05,2)</f>
      </c>
      <c r="F318" s="17" t="s">
        <v>17</v>
      </c>
      <c r="G318" s="17" t="s">
        <v>18</v>
      </c>
      <c r="H318" s="18">
        <f>ROUND(RAND()*4+6,1)</f>
      </c>
      <c r="I318" s="17" t="s">
        <v>19</v>
      </c>
      <c r="J318" s="19">
        <f>ROUND(63*1,0)&amp;"%"</f>
      </c>
    </row>
    <row x14ac:dyDescent="0.25" r="319" customHeight="1" ht="17.25">
      <c r="A319" s="20" t="s">
        <v>11930</v>
      </c>
      <c r="B319" s="20" t="s">
        <v>514</v>
      </c>
      <c r="C319" s="20" t="s">
        <v>133</v>
      </c>
      <c r="D319" s="20" t="s">
        <v>22</v>
      </c>
      <c r="E319" s="22">
        <f>ROUND(6180*1.05,2)</f>
      </c>
      <c r="F319" s="20" t="s">
        <v>23</v>
      </c>
      <c r="G319" s="20" t="s">
        <v>24</v>
      </c>
      <c r="H319" s="21">
        <f>ROUND(RAND()*4+6,1)</f>
      </c>
      <c r="I319" s="20" t="s">
        <v>25</v>
      </c>
      <c r="J319" s="23">
        <f>ROUND(79*1,0)&amp;"%"</f>
      </c>
    </row>
    <row x14ac:dyDescent="0.25" r="320" customHeight="1" ht="17.25">
      <c r="A320" s="17" t="s">
        <v>11931</v>
      </c>
      <c r="B320" s="17" t="s">
        <v>516</v>
      </c>
      <c r="C320" s="17" t="s">
        <v>133</v>
      </c>
      <c r="D320" s="17" t="s">
        <v>28</v>
      </c>
      <c r="E320" s="18">
        <f>ROUND(17593*1.05,2)</f>
      </c>
      <c r="F320" s="17" t="s">
        <v>29</v>
      </c>
      <c r="G320" s="17" t="s">
        <v>30</v>
      </c>
      <c r="H320" s="18">
        <f>ROUND(RAND()*4+6,1)</f>
      </c>
      <c r="I320" s="17" t="s">
        <v>31</v>
      </c>
      <c r="J320" s="19">
        <f>ROUND(77*1,0)&amp;"%"</f>
      </c>
    </row>
    <row x14ac:dyDescent="0.25" r="321" customHeight="1" ht="17.25">
      <c r="A321" s="20" t="s">
        <v>11932</v>
      </c>
      <c r="B321" s="20" t="s">
        <v>518</v>
      </c>
      <c r="C321" s="20" t="s">
        <v>133</v>
      </c>
      <c r="D321" s="20" t="s">
        <v>34</v>
      </c>
      <c r="E321" s="21">
        <f>ROUND(11593*1.05,2)</f>
      </c>
      <c r="F321" s="20" t="s">
        <v>35</v>
      </c>
      <c r="G321" s="20" t="s">
        <v>18</v>
      </c>
      <c r="H321" s="21">
        <f>ROUND(RAND()*4+6,1)</f>
      </c>
      <c r="I321" s="20" t="s">
        <v>36</v>
      </c>
      <c r="J321" s="23">
        <f>ROUND(83*1,0)&amp;"%"</f>
      </c>
    </row>
    <row x14ac:dyDescent="0.25" r="322" customHeight="1" ht="17.25">
      <c r="A322" s="17" t="s">
        <v>11933</v>
      </c>
      <c r="B322" s="17" t="s">
        <v>520</v>
      </c>
      <c r="C322" s="17" t="s">
        <v>133</v>
      </c>
      <c r="D322" s="17" t="s">
        <v>39</v>
      </c>
      <c r="E322" s="18">
        <f>ROUND(7383*1.05,2)</f>
      </c>
      <c r="F322" s="17" t="s">
        <v>40</v>
      </c>
      <c r="G322" s="17" t="s">
        <v>24</v>
      </c>
      <c r="H322" s="18">
        <f>ROUND(RAND()*4+6,1)</f>
      </c>
      <c r="I322" s="17" t="s">
        <v>41</v>
      </c>
      <c r="J322" s="19">
        <f>ROUND(67*1,0)&amp;"%"</f>
      </c>
    </row>
    <row x14ac:dyDescent="0.25" r="323" customHeight="1" ht="17.25">
      <c r="A323" s="20" t="s">
        <v>11934</v>
      </c>
      <c r="B323" s="20" t="s">
        <v>522</v>
      </c>
      <c r="C323" s="20" t="s">
        <v>133</v>
      </c>
      <c r="D323" s="20" t="s">
        <v>67</v>
      </c>
      <c r="E323" s="21">
        <f>ROUND(10621*1.05,2)</f>
      </c>
      <c r="F323" s="20" t="s">
        <v>44</v>
      </c>
      <c r="G323" s="20" t="s">
        <v>30</v>
      </c>
      <c r="H323" s="21">
        <f>ROUND(RAND()*4+6,1)</f>
      </c>
      <c r="I323" s="20" t="s">
        <v>45</v>
      </c>
      <c r="J323" s="23">
        <f>ROUND(61*1,0)&amp;"%"</f>
      </c>
    </row>
    <row x14ac:dyDescent="0.25" r="324" customHeight="1" ht="17.25">
      <c r="A324" s="17" t="s">
        <v>11935</v>
      </c>
      <c r="B324" s="17" t="s">
        <v>524</v>
      </c>
      <c r="C324" s="17" t="s">
        <v>133</v>
      </c>
      <c r="D324" s="17" t="s">
        <v>16</v>
      </c>
      <c r="E324" s="18">
        <f>ROUND(9537*1.05,2)</f>
      </c>
      <c r="F324" s="17" t="s">
        <v>48</v>
      </c>
      <c r="G324" s="17" t="s">
        <v>18</v>
      </c>
      <c r="H324" s="18">
        <f>ROUND(RAND()*4+6,1)</f>
      </c>
      <c r="I324" s="17" t="s">
        <v>19</v>
      </c>
      <c r="J324" s="19">
        <f>ROUND(99*1,0)&amp;"%"</f>
      </c>
    </row>
    <row x14ac:dyDescent="0.25" r="325" customHeight="1" ht="17.25">
      <c r="A325" s="20" t="s">
        <v>11936</v>
      </c>
      <c r="B325" s="20" t="s">
        <v>526</v>
      </c>
      <c r="C325" s="20" t="s">
        <v>133</v>
      </c>
      <c r="D325" s="20" t="s">
        <v>22</v>
      </c>
      <c r="E325" s="21">
        <f>ROUND(17368*1.05,2)</f>
      </c>
      <c r="F325" s="20" t="s">
        <v>51</v>
      </c>
      <c r="G325" s="20" t="s">
        <v>24</v>
      </c>
      <c r="H325" s="21">
        <f>ROUND(RAND()*4+6,1)</f>
      </c>
      <c r="I325" s="20" t="s">
        <v>25</v>
      </c>
      <c r="J325" s="23">
        <f>ROUND(94*1,0)&amp;"%"</f>
      </c>
    </row>
    <row x14ac:dyDescent="0.25" r="326" customHeight="1" ht="17.25">
      <c r="A326" s="24" t="s">
        <v>527</v>
      </c>
      <c r="B326" s="24"/>
      <c r="C326" s="24"/>
      <c r="D326" s="24"/>
      <c r="E326" s="25">
        <v>8</v>
      </c>
      <c r="F326" s="9"/>
      <c r="G326" s="9"/>
      <c r="H326" s="10"/>
      <c r="I326" s="9"/>
      <c r="J326" s="9"/>
    </row>
    <row x14ac:dyDescent="0.25" r="327" customHeight="1" ht="17.25">
      <c r="A327" s="7"/>
      <c r="B327" s="7"/>
      <c r="C327" s="7"/>
      <c r="D327" s="7"/>
      <c r="E327" s="8"/>
      <c r="F327" s="9"/>
      <c r="G327" s="9"/>
      <c r="H327" s="10"/>
      <c r="I327" s="9"/>
      <c r="J327" s="9"/>
    </row>
    <row x14ac:dyDescent="0.25" r="328" customHeight="1" ht="17.25">
      <c r="A328" s="11" t="s">
        <v>11937</v>
      </c>
      <c r="B328" s="11"/>
      <c r="C328" s="11"/>
      <c r="D328" s="11"/>
      <c r="E328" s="12"/>
      <c r="F328" s="11"/>
      <c r="G328" s="11"/>
      <c r="H328" s="13"/>
      <c r="I328" s="11"/>
      <c r="J328" s="11"/>
    </row>
    <row x14ac:dyDescent="0.25" r="329" customHeight="1" ht="17.25">
      <c r="A329" s="14" t="s">
        <v>3</v>
      </c>
      <c r="B329" s="14" t="s">
        <v>4</v>
      </c>
      <c r="C329" s="14" t="s">
        <v>5</v>
      </c>
      <c r="D329" s="14" t="s">
        <v>6</v>
      </c>
      <c r="E329" s="15" t="s">
        <v>7</v>
      </c>
      <c r="F329" s="14" t="s">
        <v>8</v>
      </c>
      <c r="G329" s="14" t="s">
        <v>9</v>
      </c>
      <c r="H329" s="16" t="s">
        <v>10</v>
      </c>
      <c r="I329" s="14" t="s">
        <v>11</v>
      </c>
      <c r="J329" s="14" t="s">
        <v>12</v>
      </c>
    </row>
    <row x14ac:dyDescent="0.25" r="330" customHeight="1" ht="17.25">
      <c r="A330" s="17" t="s">
        <v>11938</v>
      </c>
      <c r="B330" s="17" t="s">
        <v>530</v>
      </c>
      <c r="C330" s="17" t="s">
        <v>152</v>
      </c>
      <c r="D330" s="17" t="s">
        <v>16</v>
      </c>
      <c r="E330" s="18">
        <f>ROUND(15361*1.05,2)</f>
      </c>
      <c r="F330" s="17" t="s">
        <v>17</v>
      </c>
      <c r="G330" s="17" t="s">
        <v>18</v>
      </c>
      <c r="H330" s="18">
        <f>ROUND(RAND()*4+6,1)</f>
      </c>
      <c r="I330" s="17" t="s">
        <v>19</v>
      </c>
      <c r="J330" s="19">
        <f>ROUND(74*1,0)&amp;"%"</f>
      </c>
    </row>
    <row x14ac:dyDescent="0.25" r="331" customHeight="1" ht="17.25">
      <c r="A331" s="20" t="s">
        <v>11939</v>
      </c>
      <c r="B331" s="20" t="s">
        <v>532</v>
      </c>
      <c r="C331" s="20" t="s">
        <v>152</v>
      </c>
      <c r="D331" s="20" t="s">
        <v>22</v>
      </c>
      <c r="E331" s="21">
        <f>ROUND(8434*1.05,2)</f>
      </c>
      <c r="F331" s="20" t="s">
        <v>23</v>
      </c>
      <c r="G331" s="20" t="s">
        <v>24</v>
      </c>
      <c r="H331" s="21">
        <f>ROUND(RAND()*4+6,1)</f>
      </c>
      <c r="I331" s="20" t="s">
        <v>25</v>
      </c>
      <c r="J331" s="23">
        <f>ROUND(65*1,0)&amp;"%"</f>
      </c>
    </row>
    <row x14ac:dyDescent="0.25" r="332" customHeight="1" ht="17.25">
      <c r="A332" s="17" t="s">
        <v>11940</v>
      </c>
      <c r="B332" s="17" t="s">
        <v>534</v>
      </c>
      <c r="C332" s="17" t="s">
        <v>152</v>
      </c>
      <c r="D332" s="17" t="s">
        <v>28</v>
      </c>
      <c r="E332" s="18">
        <f>ROUND(10725*1.05,2)</f>
      </c>
      <c r="F332" s="17" t="s">
        <v>29</v>
      </c>
      <c r="G332" s="17" t="s">
        <v>30</v>
      </c>
      <c r="H332" s="18">
        <f>ROUND(RAND()*4+6,1)</f>
      </c>
      <c r="I332" s="17" t="s">
        <v>31</v>
      </c>
      <c r="J332" s="19">
        <f>ROUND(91*1,0)&amp;"%"</f>
      </c>
    </row>
    <row x14ac:dyDescent="0.25" r="333" customHeight="1" ht="17.25">
      <c r="A333" s="20" t="s">
        <v>11941</v>
      </c>
      <c r="B333" s="20" t="s">
        <v>536</v>
      </c>
      <c r="C333" s="20" t="s">
        <v>152</v>
      </c>
      <c r="D333" s="20" t="s">
        <v>34</v>
      </c>
      <c r="E333" s="21">
        <f>ROUND(15595*1.05,2)</f>
      </c>
      <c r="F333" s="20" t="s">
        <v>35</v>
      </c>
      <c r="G333" s="20" t="s">
        <v>18</v>
      </c>
      <c r="H333" s="21">
        <f>ROUND(RAND()*4+6,1)</f>
      </c>
      <c r="I333" s="20" t="s">
        <v>36</v>
      </c>
      <c r="J333" s="23">
        <f>ROUND(98*1,0)&amp;"%"</f>
      </c>
    </row>
    <row x14ac:dyDescent="0.25" r="334" customHeight="1" ht="17.25">
      <c r="A334" s="17" t="s">
        <v>11942</v>
      </c>
      <c r="B334" s="17" t="s">
        <v>538</v>
      </c>
      <c r="C334" s="17" t="s">
        <v>152</v>
      </c>
      <c r="D334" s="17" t="s">
        <v>39</v>
      </c>
      <c r="E334" s="18">
        <f>ROUND(10706*1.05,2)</f>
      </c>
      <c r="F334" s="17" t="s">
        <v>40</v>
      </c>
      <c r="G334" s="17" t="s">
        <v>24</v>
      </c>
      <c r="H334" s="18">
        <f>ROUND(RAND()*4+6,1)</f>
      </c>
      <c r="I334" s="17" t="s">
        <v>41</v>
      </c>
      <c r="J334" s="19">
        <f>ROUND(97*1,0)&amp;"%"</f>
      </c>
    </row>
    <row x14ac:dyDescent="0.25" r="335" customHeight="1" ht="17.25">
      <c r="A335" s="20" t="s">
        <v>11943</v>
      </c>
      <c r="B335" s="20" t="s">
        <v>540</v>
      </c>
      <c r="C335" s="20" t="s">
        <v>152</v>
      </c>
      <c r="D335" s="20" t="s">
        <v>67</v>
      </c>
      <c r="E335" s="21">
        <f>ROUND(9839*1.05,2)</f>
      </c>
      <c r="F335" s="20" t="s">
        <v>44</v>
      </c>
      <c r="G335" s="20" t="s">
        <v>30</v>
      </c>
      <c r="H335" s="22">
        <f>ROUND(RAND()*4+6,1)</f>
      </c>
      <c r="I335" s="20" t="s">
        <v>45</v>
      </c>
      <c r="J335" s="23">
        <f>ROUND(92*1,0)&amp;"%"</f>
      </c>
    </row>
    <row x14ac:dyDescent="0.25" r="336" customHeight="1" ht="17.25">
      <c r="A336" s="17" t="s">
        <v>11944</v>
      </c>
      <c r="B336" s="17" t="s">
        <v>542</v>
      </c>
      <c r="C336" s="17" t="s">
        <v>152</v>
      </c>
      <c r="D336" s="17" t="s">
        <v>16</v>
      </c>
      <c r="E336" s="18">
        <f>ROUND(14588*1.05,2)</f>
      </c>
      <c r="F336" s="17" t="s">
        <v>48</v>
      </c>
      <c r="G336" s="17" t="s">
        <v>18</v>
      </c>
      <c r="H336" s="18">
        <f>ROUND(RAND()*4+6,1)</f>
      </c>
      <c r="I336" s="17" t="s">
        <v>19</v>
      </c>
      <c r="J336" s="19">
        <f>ROUND(78*1,0)&amp;"%"</f>
      </c>
    </row>
    <row x14ac:dyDescent="0.25" r="337" customHeight="1" ht="17.25">
      <c r="A337" s="20" t="s">
        <v>11945</v>
      </c>
      <c r="B337" s="20" t="s">
        <v>544</v>
      </c>
      <c r="C337" s="20" t="s">
        <v>152</v>
      </c>
      <c r="D337" s="20" t="s">
        <v>22</v>
      </c>
      <c r="E337" s="21">
        <f>ROUND(14793*1.05,2)</f>
      </c>
      <c r="F337" s="20" t="s">
        <v>51</v>
      </c>
      <c r="G337" s="20" t="s">
        <v>24</v>
      </c>
      <c r="H337" s="21">
        <f>ROUND(RAND()*4+6,1)</f>
      </c>
      <c r="I337" s="20" t="s">
        <v>25</v>
      </c>
      <c r="J337" s="23">
        <f>ROUND(79*1,0)&amp;"%"</f>
      </c>
    </row>
    <row x14ac:dyDescent="0.25" r="338" customHeight="1" ht="17.25">
      <c r="A338" s="24" t="s">
        <v>545</v>
      </c>
      <c r="B338" s="24"/>
      <c r="C338" s="24"/>
      <c r="D338" s="24"/>
      <c r="E338" s="25">
        <v>8</v>
      </c>
      <c r="F338" s="9"/>
      <c r="G338" s="9"/>
      <c r="H338" s="10"/>
      <c r="I338" s="9"/>
      <c r="J338" s="9"/>
    </row>
    <row x14ac:dyDescent="0.25" r="339" customHeight="1" ht="17.25">
      <c r="A339" s="7"/>
      <c r="B339" s="7"/>
      <c r="C339" s="7"/>
      <c r="D339" s="7"/>
      <c r="E339" s="8"/>
      <c r="F339" s="9"/>
      <c r="G339" s="9"/>
      <c r="H339" s="10"/>
      <c r="I339" s="9"/>
      <c r="J339" s="9"/>
    </row>
    <row x14ac:dyDescent="0.25" r="340" customHeight="1" ht="17.25">
      <c r="A340" s="11" t="s">
        <v>11946</v>
      </c>
      <c r="B340" s="11"/>
      <c r="C340" s="11"/>
      <c r="D340" s="11"/>
      <c r="E340" s="12"/>
      <c r="F340" s="11"/>
      <c r="G340" s="11"/>
      <c r="H340" s="13"/>
      <c r="I340" s="11"/>
      <c r="J340" s="11"/>
    </row>
    <row x14ac:dyDescent="0.25" r="341" customHeight="1" ht="17.25">
      <c r="A341" s="14" t="s">
        <v>3</v>
      </c>
      <c r="B341" s="14" t="s">
        <v>4</v>
      </c>
      <c r="C341" s="14" t="s">
        <v>5</v>
      </c>
      <c r="D341" s="14" t="s">
        <v>6</v>
      </c>
      <c r="E341" s="15" t="s">
        <v>7</v>
      </c>
      <c r="F341" s="14" t="s">
        <v>8</v>
      </c>
      <c r="G341" s="14" t="s">
        <v>9</v>
      </c>
      <c r="H341" s="16" t="s">
        <v>10</v>
      </c>
      <c r="I341" s="14" t="s">
        <v>11</v>
      </c>
      <c r="J341" s="14" t="s">
        <v>12</v>
      </c>
    </row>
    <row x14ac:dyDescent="0.25" r="342" customHeight="1" ht="17.25">
      <c r="A342" s="17" t="s">
        <v>11947</v>
      </c>
      <c r="B342" s="17" t="s">
        <v>548</v>
      </c>
      <c r="C342" s="17" t="s">
        <v>15</v>
      </c>
      <c r="D342" s="17" t="s">
        <v>16</v>
      </c>
      <c r="E342" s="18">
        <f>ROUND(4736*1.05,2)</f>
      </c>
      <c r="F342" s="17" t="s">
        <v>17</v>
      </c>
      <c r="G342" s="17" t="s">
        <v>18</v>
      </c>
      <c r="H342" s="18">
        <f>ROUND(RAND()*4+6,1)</f>
      </c>
      <c r="I342" s="17" t="s">
        <v>19</v>
      </c>
      <c r="J342" s="19">
        <f>ROUND(72*1,0)&amp;"%"</f>
      </c>
    </row>
    <row x14ac:dyDescent="0.25" r="343" customHeight="1" ht="17.25">
      <c r="A343" s="20" t="s">
        <v>11948</v>
      </c>
      <c r="B343" s="20" t="s">
        <v>550</v>
      </c>
      <c r="C343" s="20" t="s">
        <v>15</v>
      </c>
      <c r="D343" s="20" t="s">
        <v>22</v>
      </c>
      <c r="E343" s="21">
        <f>ROUND(16802*1.05,2)</f>
      </c>
      <c r="F343" s="20" t="s">
        <v>23</v>
      </c>
      <c r="G343" s="20" t="s">
        <v>24</v>
      </c>
      <c r="H343" s="21">
        <f>ROUND(RAND()*4+6,1)</f>
      </c>
      <c r="I343" s="20" t="s">
        <v>25</v>
      </c>
      <c r="J343" s="23">
        <f>ROUND(67*1,0)&amp;"%"</f>
      </c>
    </row>
    <row x14ac:dyDescent="0.25" r="344" customHeight="1" ht="17.25">
      <c r="A344" s="17" t="s">
        <v>11949</v>
      </c>
      <c r="B344" s="17" t="s">
        <v>552</v>
      </c>
      <c r="C344" s="17" t="s">
        <v>15</v>
      </c>
      <c r="D344" s="17" t="s">
        <v>28</v>
      </c>
      <c r="E344" s="18">
        <f>ROUND(11769*1.05,2)</f>
      </c>
      <c r="F344" s="17" t="s">
        <v>29</v>
      </c>
      <c r="G344" s="17" t="s">
        <v>30</v>
      </c>
      <c r="H344" s="18">
        <f>ROUND(RAND()*4+6,1)</f>
      </c>
      <c r="I344" s="17" t="s">
        <v>31</v>
      </c>
      <c r="J344" s="19">
        <f>ROUND(63*1,0)&amp;"%"</f>
      </c>
    </row>
    <row x14ac:dyDescent="0.25" r="345" customHeight="1" ht="17.25">
      <c r="A345" s="20" t="s">
        <v>11950</v>
      </c>
      <c r="B345" s="20" t="s">
        <v>554</v>
      </c>
      <c r="C345" s="20" t="s">
        <v>15</v>
      </c>
      <c r="D345" s="20" t="s">
        <v>34</v>
      </c>
      <c r="E345" s="21">
        <f>ROUND(17947*1.05,2)</f>
      </c>
      <c r="F345" s="20" t="s">
        <v>35</v>
      </c>
      <c r="G345" s="20" t="s">
        <v>18</v>
      </c>
      <c r="H345" s="21">
        <f>ROUND(RAND()*4+6,1)</f>
      </c>
      <c r="I345" s="20" t="s">
        <v>36</v>
      </c>
      <c r="J345" s="23">
        <f>ROUND(82*1,0)&amp;"%"</f>
      </c>
    </row>
    <row x14ac:dyDescent="0.25" r="346" customHeight="1" ht="17.25">
      <c r="A346" s="17" t="s">
        <v>11951</v>
      </c>
      <c r="B346" s="17" t="s">
        <v>556</v>
      </c>
      <c r="C346" s="17" t="s">
        <v>15</v>
      </c>
      <c r="D346" s="17" t="s">
        <v>39</v>
      </c>
      <c r="E346" s="18">
        <f>ROUND(9688*1.05,2)</f>
      </c>
      <c r="F346" s="17" t="s">
        <v>40</v>
      </c>
      <c r="G346" s="17" t="s">
        <v>24</v>
      </c>
      <c r="H346" s="18">
        <f>ROUND(RAND()*4+6,1)</f>
      </c>
      <c r="I346" s="17" t="s">
        <v>41</v>
      </c>
      <c r="J346" s="19">
        <f>ROUND(97*1,0)&amp;"%"</f>
      </c>
    </row>
    <row x14ac:dyDescent="0.25" r="347" customHeight="1" ht="17.25">
      <c r="A347" s="20" t="s">
        <v>11952</v>
      </c>
      <c r="B347" s="20" t="s">
        <v>558</v>
      </c>
      <c r="C347" s="20" t="s">
        <v>15</v>
      </c>
      <c r="D347" s="20" t="s">
        <v>67</v>
      </c>
      <c r="E347" s="21">
        <f>ROUND(15449*1.05,2)</f>
      </c>
      <c r="F347" s="20" t="s">
        <v>44</v>
      </c>
      <c r="G347" s="20" t="s">
        <v>30</v>
      </c>
      <c r="H347" s="22">
        <f>ROUND(RAND()*4+6,1)</f>
      </c>
      <c r="I347" s="20" t="s">
        <v>45</v>
      </c>
      <c r="J347" s="23">
        <f>ROUND(99*1,0)&amp;"%"</f>
      </c>
    </row>
    <row x14ac:dyDescent="0.25" r="348" customHeight="1" ht="17.25">
      <c r="A348" s="17" t="s">
        <v>11953</v>
      </c>
      <c r="B348" s="17" t="s">
        <v>560</v>
      </c>
      <c r="C348" s="17" t="s">
        <v>15</v>
      </c>
      <c r="D348" s="17" t="s">
        <v>16</v>
      </c>
      <c r="E348" s="18">
        <f>ROUND(13293*1.05,2)</f>
      </c>
      <c r="F348" s="17" t="s">
        <v>48</v>
      </c>
      <c r="G348" s="17" t="s">
        <v>18</v>
      </c>
      <c r="H348" s="18">
        <f>ROUND(RAND()*4+6,1)</f>
      </c>
      <c r="I348" s="17" t="s">
        <v>19</v>
      </c>
      <c r="J348" s="19">
        <f>ROUND(73*1,0)&amp;"%"</f>
      </c>
    </row>
    <row x14ac:dyDescent="0.25" r="349" customHeight="1" ht="17.25">
      <c r="A349" s="20" t="s">
        <v>11954</v>
      </c>
      <c r="B349" s="20" t="s">
        <v>562</v>
      </c>
      <c r="C349" s="20" t="s">
        <v>15</v>
      </c>
      <c r="D349" s="20" t="s">
        <v>22</v>
      </c>
      <c r="E349" s="21">
        <f>ROUND(14846*1.05,2)</f>
      </c>
      <c r="F349" s="20" t="s">
        <v>51</v>
      </c>
      <c r="G349" s="20" t="s">
        <v>24</v>
      </c>
      <c r="H349" s="22">
        <f>ROUND(RAND()*4+6,1)</f>
      </c>
      <c r="I349" s="20" t="s">
        <v>25</v>
      </c>
      <c r="J349" s="23">
        <f>ROUND(74*1,0)&amp;"%"</f>
      </c>
    </row>
    <row x14ac:dyDescent="0.25" r="350" customHeight="1" ht="17.25">
      <c r="A350" s="24" t="s">
        <v>563</v>
      </c>
      <c r="B350" s="24"/>
      <c r="C350" s="24"/>
      <c r="D350" s="24"/>
      <c r="E350" s="25">
        <v>8</v>
      </c>
      <c r="F350" s="9"/>
      <c r="G350" s="9"/>
      <c r="H350" s="10"/>
      <c r="I350" s="9"/>
      <c r="J350" s="9"/>
    </row>
    <row x14ac:dyDescent="0.25" r="351" customHeight="1" ht="17.25">
      <c r="A351" s="7"/>
      <c r="B351" s="7"/>
      <c r="C351" s="7"/>
      <c r="D351" s="7"/>
      <c r="E351" s="8"/>
      <c r="F351" s="9"/>
      <c r="G351" s="9"/>
      <c r="H351" s="10"/>
      <c r="I351" s="9"/>
      <c r="J351" s="9"/>
    </row>
    <row x14ac:dyDescent="0.25" r="352" customHeight="1" ht="17.25">
      <c r="A352" s="11" t="s">
        <v>11955</v>
      </c>
      <c r="B352" s="11"/>
      <c r="C352" s="11"/>
      <c r="D352" s="11"/>
      <c r="E352" s="12"/>
      <c r="F352" s="11"/>
      <c r="G352" s="11"/>
      <c r="H352" s="13"/>
      <c r="I352" s="11"/>
      <c r="J352" s="11"/>
    </row>
    <row x14ac:dyDescent="0.25" r="353" customHeight="1" ht="17.25">
      <c r="A353" s="14" t="s">
        <v>3</v>
      </c>
      <c r="B353" s="14" t="s">
        <v>4</v>
      </c>
      <c r="C353" s="14" t="s">
        <v>5</v>
      </c>
      <c r="D353" s="14" t="s">
        <v>6</v>
      </c>
      <c r="E353" s="15" t="s">
        <v>7</v>
      </c>
      <c r="F353" s="14" t="s">
        <v>8</v>
      </c>
      <c r="G353" s="14" t="s">
        <v>9</v>
      </c>
      <c r="H353" s="16" t="s">
        <v>10</v>
      </c>
      <c r="I353" s="14" t="s">
        <v>11</v>
      </c>
      <c r="J353" s="14" t="s">
        <v>12</v>
      </c>
    </row>
    <row x14ac:dyDescent="0.25" r="354" customHeight="1" ht="17.25">
      <c r="A354" s="17" t="s">
        <v>11956</v>
      </c>
      <c r="B354" s="17" t="s">
        <v>566</v>
      </c>
      <c r="C354" s="17" t="s">
        <v>56</v>
      </c>
      <c r="D354" s="17" t="s">
        <v>16</v>
      </c>
      <c r="E354" s="18">
        <f>ROUND(6435*1.05,2)</f>
      </c>
      <c r="F354" s="17" t="s">
        <v>17</v>
      </c>
      <c r="G354" s="17" t="s">
        <v>18</v>
      </c>
      <c r="H354" s="18">
        <f>ROUND(RAND()*4+6,1)</f>
      </c>
      <c r="I354" s="17" t="s">
        <v>19</v>
      </c>
      <c r="J354" s="19">
        <f>ROUND(77*1,0)&amp;"%"</f>
      </c>
    </row>
    <row x14ac:dyDescent="0.25" r="355" customHeight="1" ht="17.25">
      <c r="A355" s="20" t="s">
        <v>11957</v>
      </c>
      <c r="B355" s="20" t="s">
        <v>568</v>
      </c>
      <c r="C355" s="20" t="s">
        <v>56</v>
      </c>
      <c r="D355" s="20" t="s">
        <v>22</v>
      </c>
      <c r="E355" s="21">
        <f>ROUND(16743*1.05,2)</f>
      </c>
      <c r="F355" s="20" t="s">
        <v>23</v>
      </c>
      <c r="G355" s="20" t="s">
        <v>24</v>
      </c>
      <c r="H355" s="22">
        <f>ROUND(RAND()*4+6,1)</f>
      </c>
      <c r="I355" s="20" t="s">
        <v>25</v>
      </c>
      <c r="J355" s="23">
        <f>ROUND(97*1,0)&amp;"%"</f>
      </c>
    </row>
    <row x14ac:dyDescent="0.25" r="356" customHeight="1" ht="17.25">
      <c r="A356" s="17" t="s">
        <v>11958</v>
      </c>
      <c r="B356" s="17" t="s">
        <v>570</v>
      </c>
      <c r="C356" s="17" t="s">
        <v>56</v>
      </c>
      <c r="D356" s="17" t="s">
        <v>28</v>
      </c>
      <c r="E356" s="18">
        <f>ROUND(13619*1.05,2)</f>
      </c>
      <c r="F356" s="17" t="s">
        <v>29</v>
      </c>
      <c r="G356" s="17" t="s">
        <v>30</v>
      </c>
      <c r="H356" s="18">
        <f>ROUND(RAND()*4+6,1)</f>
      </c>
      <c r="I356" s="17" t="s">
        <v>31</v>
      </c>
      <c r="J356" s="19">
        <f>ROUND(80*1,0)&amp;"%"</f>
      </c>
    </row>
    <row x14ac:dyDescent="0.25" r="357" customHeight="1" ht="17.25">
      <c r="A357" s="20" t="s">
        <v>11959</v>
      </c>
      <c r="B357" s="20" t="s">
        <v>572</v>
      </c>
      <c r="C357" s="20" t="s">
        <v>56</v>
      </c>
      <c r="D357" s="20" t="s">
        <v>34</v>
      </c>
      <c r="E357" s="21">
        <f>ROUND(12809*1.05,2)</f>
      </c>
      <c r="F357" s="20" t="s">
        <v>35</v>
      </c>
      <c r="G357" s="20" t="s">
        <v>18</v>
      </c>
      <c r="H357" s="21">
        <f>ROUND(RAND()*4+6,1)</f>
      </c>
      <c r="I357" s="20" t="s">
        <v>36</v>
      </c>
      <c r="J357" s="23">
        <f>ROUND(78*1,0)&amp;"%"</f>
      </c>
    </row>
    <row x14ac:dyDescent="0.25" r="358" customHeight="1" ht="17.25">
      <c r="A358" s="17" t="s">
        <v>11960</v>
      </c>
      <c r="B358" s="17" t="s">
        <v>574</v>
      </c>
      <c r="C358" s="17" t="s">
        <v>56</v>
      </c>
      <c r="D358" s="17" t="s">
        <v>39</v>
      </c>
      <c r="E358" s="18">
        <f>ROUND(17867*1.05,2)</f>
      </c>
      <c r="F358" s="17" t="s">
        <v>40</v>
      </c>
      <c r="G358" s="17" t="s">
        <v>24</v>
      </c>
      <c r="H358" s="26">
        <f>ROUND(RAND()*4+6,1)</f>
      </c>
      <c r="I358" s="17" t="s">
        <v>41</v>
      </c>
      <c r="J358" s="19">
        <f>ROUND(90*1,0)&amp;"%"</f>
      </c>
    </row>
    <row x14ac:dyDescent="0.25" r="359" customHeight="1" ht="17.25">
      <c r="A359" s="20" t="s">
        <v>11961</v>
      </c>
      <c r="B359" s="20" t="s">
        <v>576</v>
      </c>
      <c r="C359" s="20" t="s">
        <v>56</v>
      </c>
      <c r="D359" s="20" t="s">
        <v>67</v>
      </c>
      <c r="E359" s="21">
        <f>ROUND(17455*1.05,2)</f>
      </c>
      <c r="F359" s="20" t="s">
        <v>44</v>
      </c>
      <c r="G359" s="20" t="s">
        <v>30</v>
      </c>
      <c r="H359" s="21">
        <f>ROUND(RAND()*4+6,1)</f>
      </c>
      <c r="I359" s="20" t="s">
        <v>45</v>
      </c>
      <c r="J359" s="23">
        <f>ROUND(70*1,0)&amp;"%"</f>
      </c>
    </row>
    <row x14ac:dyDescent="0.25" r="360" customHeight="1" ht="17.25">
      <c r="A360" s="17" t="s">
        <v>11962</v>
      </c>
      <c r="B360" s="17" t="s">
        <v>578</v>
      </c>
      <c r="C360" s="17" t="s">
        <v>56</v>
      </c>
      <c r="D360" s="17" t="s">
        <v>16</v>
      </c>
      <c r="E360" s="18">
        <f>ROUND(9549*1.05,2)</f>
      </c>
      <c r="F360" s="17" t="s">
        <v>48</v>
      </c>
      <c r="G360" s="17" t="s">
        <v>18</v>
      </c>
      <c r="H360" s="18">
        <f>ROUND(RAND()*4+6,1)</f>
      </c>
      <c r="I360" s="17" t="s">
        <v>19</v>
      </c>
      <c r="J360" s="19">
        <f>ROUND(61*1,0)&amp;"%"</f>
      </c>
    </row>
    <row x14ac:dyDescent="0.25" r="361" customHeight="1" ht="17.25">
      <c r="A361" s="20" t="s">
        <v>11963</v>
      </c>
      <c r="B361" s="20" t="s">
        <v>580</v>
      </c>
      <c r="C361" s="20" t="s">
        <v>56</v>
      </c>
      <c r="D361" s="20" t="s">
        <v>22</v>
      </c>
      <c r="E361" s="21">
        <f>ROUND(13058*1.05,2)</f>
      </c>
      <c r="F361" s="20" t="s">
        <v>51</v>
      </c>
      <c r="G361" s="20" t="s">
        <v>24</v>
      </c>
      <c r="H361" s="21">
        <f>ROUND(RAND()*4+6,1)</f>
      </c>
      <c r="I361" s="20" t="s">
        <v>25</v>
      </c>
      <c r="J361" s="23">
        <f>ROUND(91*1,0)&amp;"%"</f>
      </c>
    </row>
    <row x14ac:dyDescent="0.25" r="362" customHeight="1" ht="17.25">
      <c r="A362" s="24" t="s">
        <v>581</v>
      </c>
      <c r="B362" s="24"/>
      <c r="C362" s="24"/>
      <c r="D362" s="24"/>
      <c r="E362" s="25">
        <v>8</v>
      </c>
      <c r="F362" s="9"/>
      <c r="G362" s="9"/>
      <c r="H362" s="10"/>
      <c r="I362" s="9"/>
      <c r="J362" s="9"/>
    </row>
  </sheetData>
  <mergeCells count="62">
    <mergeCell ref="A1:J1"/>
    <mergeCell ref="A2:J2"/>
    <mergeCell ref="A4:J4"/>
    <mergeCell ref="A14:D14"/>
    <mergeCell ref="A16:J16"/>
    <mergeCell ref="A26:D26"/>
    <mergeCell ref="A28:J28"/>
    <mergeCell ref="A38:D38"/>
    <mergeCell ref="A40:J40"/>
    <mergeCell ref="A50:D50"/>
    <mergeCell ref="A52:J52"/>
    <mergeCell ref="A62:D62"/>
    <mergeCell ref="A64:J64"/>
    <mergeCell ref="A74:D74"/>
    <mergeCell ref="A76:J76"/>
    <mergeCell ref="A86:D86"/>
    <mergeCell ref="A88:J88"/>
    <mergeCell ref="A98:D98"/>
    <mergeCell ref="A100:J100"/>
    <mergeCell ref="A110:D110"/>
    <mergeCell ref="A112:J112"/>
    <mergeCell ref="A122:D122"/>
    <mergeCell ref="A124:J124"/>
    <mergeCell ref="A134:D134"/>
    <mergeCell ref="A136:J136"/>
    <mergeCell ref="A146:D146"/>
    <mergeCell ref="A148:J148"/>
    <mergeCell ref="A158:D158"/>
    <mergeCell ref="A160:J160"/>
    <mergeCell ref="A170:D170"/>
    <mergeCell ref="A172:J172"/>
    <mergeCell ref="A182:D182"/>
    <mergeCell ref="A184:J184"/>
    <mergeCell ref="A194:D194"/>
    <mergeCell ref="A196:J196"/>
    <mergeCell ref="A206:D206"/>
    <mergeCell ref="A208:J208"/>
    <mergeCell ref="A218:D218"/>
    <mergeCell ref="A220:J220"/>
    <mergeCell ref="A230:D230"/>
    <mergeCell ref="A232:J232"/>
    <mergeCell ref="A242:D242"/>
    <mergeCell ref="A244:J244"/>
    <mergeCell ref="A254:D254"/>
    <mergeCell ref="A256:J256"/>
    <mergeCell ref="A266:D266"/>
    <mergeCell ref="A268:J268"/>
    <mergeCell ref="A278:D278"/>
    <mergeCell ref="A280:J280"/>
    <mergeCell ref="A290:D290"/>
    <mergeCell ref="A292:J292"/>
    <mergeCell ref="A302:D302"/>
    <mergeCell ref="A304:J304"/>
    <mergeCell ref="A314:D314"/>
    <mergeCell ref="A316:J316"/>
    <mergeCell ref="A326:D326"/>
    <mergeCell ref="A328:J328"/>
    <mergeCell ref="A338:D338"/>
    <mergeCell ref="A340:J340"/>
    <mergeCell ref="A350:D350"/>
    <mergeCell ref="A352:J352"/>
    <mergeCell ref="A362:D36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J362"/>
  <sheetViews>
    <sheetView workbookViewId="0"/>
  </sheetViews>
  <sheetFormatPr defaultRowHeight="15" x14ac:dyDescent="0.25"/>
  <cols>
    <col min="1" max="1" style="27" width="8.005" customWidth="1" bestFit="1"/>
    <col min="2" max="2" style="27" width="22.005" customWidth="1" bestFit="1"/>
    <col min="3" max="3" style="27" width="16.005" customWidth="1" bestFit="1"/>
    <col min="4" max="4" style="27" width="14.005" customWidth="1" bestFit="1"/>
    <col min="5" max="5" style="28" width="12.005" customWidth="1" bestFit="1"/>
    <col min="6" max="6" style="29" width="16.005" customWidth="1" bestFit="1"/>
    <col min="7" max="7" style="29" width="10.005" customWidth="1" bestFit="1"/>
    <col min="8" max="8" style="30" width="10.005" customWidth="1" bestFit="1"/>
    <col min="9" max="9" style="29" width="14.005" customWidth="1" bestFit="1"/>
    <col min="10" max="10" style="29" width="8.005" customWidth="1" bestFit="1"/>
  </cols>
  <sheetData>
    <row x14ac:dyDescent="0.25" r="1" customHeight="1" ht="17.25">
      <c r="A1" s="1" t="s">
        <v>11422</v>
      </c>
      <c r="B1" s="1"/>
      <c r="C1" s="1"/>
      <c r="D1" s="1"/>
      <c r="E1" s="2"/>
      <c r="F1" s="1"/>
      <c r="G1" s="1"/>
      <c r="H1" s="3"/>
      <c r="I1" s="1"/>
      <c r="J1" s="1"/>
    </row>
    <row x14ac:dyDescent="0.25" r="2" customHeight="1" ht="17.25">
      <c r="A2" s="4" t="s">
        <v>1</v>
      </c>
      <c r="B2" s="4"/>
      <c r="C2" s="4"/>
      <c r="D2" s="4"/>
      <c r="E2" s="5"/>
      <c r="F2" s="4"/>
      <c r="G2" s="4"/>
      <c r="H2" s="6"/>
      <c r="I2" s="4"/>
      <c r="J2" s="4"/>
    </row>
    <row x14ac:dyDescent="0.25" r="3" customHeight="1" ht="17.25">
      <c r="A3" s="7"/>
      <c r="B3" s="7"/>
      <c r="C3" s="7"/>
      <c r="D3" s="7"/>
      <c r="E3" s="8"/>
      <c r="F3" s="9"/>
      <c r="G3" s="9"/>
      <c r="H3" s="10"/>
      <c r="I3" s="9"/>
      <c r="J3" s="9"/>
    </row>
    <row x14ac:dyDescent="0.25" r="4" customHeight="1" ht="17.25">
      <c r="A4" s="11" t="s">
        <v>11423</v>
      </c>
      <c r="B4" s="11"/>
      <c r="C4" s="11"/>
      <c r="D4" s="11"/>
      <c r="E4" s="12"/>
      <c r="F4" s="11"/>
      <c r="G4" s="11"/>
      <c r="H4" s="13"/>
      <c r="I4" s="11"/>
      <c r="J4" s="11"/>
    </row>
    <row x14ac:dyDescent="0.25" r="5" customHeight="1" ht="17.25">
      <c r="A5" s="14" t="s">
        <v>3</v>
      </c>
      <c r="B5" s="14" t="s">
        <v>4</v>
      </c>
      <c r="C5" s="14" t="s">
        <v>5</v>
      </c>
      <c r="D5" s="14" t="s">
        <v>6</v>
      </c>
      <c r="E5" s="15" t="s">
        <v>7</v>
      </c>
      <c r="F5" s="14" t="s">
        <v>8</v>
      </c>
      <c r="G5" s="14" t="s">
        <v>9</v>
      </c>
      <c r="H5" s="16" t="s">
        <v>10</v>
      </c>
      <c r="I5" s="14" t="s">
        <v>11</v>
      </c>
      <c r="J5" s="14" t="s">
        <v>12</v>
      </c>
    </row>
    <row x14ac:dyDescent="0.25" r="6" customHeight="1" ht="17.25">
      <c r="A6" s="17" t="s">
        <v>11424</v>
      </c>
      <c r="B6" s="17" t="s">
        <v>14</v>
      </c>
      <c r="C6" s="17" t="s">
        <v>15</v>
      </c>
      <c r="D6" s="17" t="s">
        <v>16</v>
      </c>
      <c r="E6" s="18">
        <f>ROUND(7867*1.05,2)</f>
      </c>
      <c r="F6" s="17" t="s">
        <v>17</v>
      </c>
      <c r="G6" s="17" t="s">
        <v>18</v>
      </c>
      <c r="H6" s="18">
        <f>ROUND(RAND()*4+6,1)</f>
      </c>
      <c r="I6" s="17" t="s">
        <v>19</v>
      </c>
      <c r="J6" s="19">
        <f>ROUND(83*1,0)&amp;"%"</f>
      </c>
    </row>
    <row x14ac:dyDescent="0.25" r="7" customHeight="1" ht="17.25">
      <c r="A7" s="20" t="s">
        <v>11425</v>
      </c>
      <c r="B7" s="20" t="s">
        <v>21</v>
      </c>
      <c r="C7" s="20" t="s">
        <v>15</v>
      </c>
      <c r="D7" s="20" t="s">
        <v>22</v>
      </c>
      <c r="E7" s="21">
        <f>ROUND(15056*1.05,2)</f>
      </c>
      <c r="F7" s="20" t="s">
        <v>23</v>
      </c>
      <c r="G7" s="20" t="s">
        <v>24</v>
      </c>
      <c r="H7" s="21">
        <f>ROUND(RAND()*4+6,1)</f>
      </c>
      <c r="I7" s="20" t="s">
        <v>25</v>
      </c>
      <c r="J7" s="23">
        <f>ROUND(67*1,0)&amp;"%"</f>
      </c>
    </row>
    <row x14ac:dyDescent="0.25" r="8" customHeight="1" ht="17.25">
      <c r="A8" s="17" t="s">
        <v>11426</v>
      </c>
      <c r="B8" s="17" t="s">
        <v>27</v>
      </c>
      <c r="C8" s="17" t="s">
        <v>15</v>
      </c>
      <c r="D8" s="17" t="s">
        <v>28</v>
      </c>
      <c r="E8" s="18">
        <f>ROUND(17184*1.05,2)</f>
      </c>
      <c r="F8" s="17" t="s">
        <v>29</v>
      </c>
      <c r="G8" s="17" t="s">
        <v>30</v>
      </c>
      <c r="H8" s="18">
        <f>ROUND(RAND()*4+6,1)</f>
      </c>
      <c r="I8" s="17" t="s">
        <v>31</v>
      </c>
      <c r="J8" s="19">
        <f>ROUND(84*1,0)&amp;"%"</f>
      </c>
    </row>
    <row x14ac:dyDescent="0.25" r="9" customHeight="1" ht="17.25">
      <c r="A9" s="20" t="s">
        <v>11427</v>
      </c>
      <c r="B9" s="20" t="s">
        <v>33</v>
      </c>
      <c r="C9" s="20" t="s">
        <v>15</v>
      </c>
      <c r="D9" s="20" t="s">
        <v>34</v>
      </c>
      <c r="E9" s="21">
        <f>ROUND(5075*1.05,2)</f>
      </c>
      <c r="F9" s="20" t="s">
        <v>35</v>
      </c>
      <c r="G9" s="20" t="s">
        <v>18</v>
      </c>
      <c r="H9" s="21">
        <f>ROUND(RAND()*4+6,1)</f>
      </c>
      <c r="I9" s="20" t="s">
        <v>36</v>
      </c>
      <c r="J9" s="23">
        <f>ROUND(97*1,0)&amp;"%"</f>
      </c>
    </row>
    <row x14ac:dyDescent="0.25" r="10" customHeight="1" ht="17.25">
      <c r="A10" s="17" t="s">
        <v>11428</v>
      </c>
      <c r="B10" s="17" t="s">
        <v>38</v>
      </c>
      <c r="C10" s="17" t="s">
        <v>15</v>
      </c>
      <c r="D10" s="17" t="s">
        <v>39</v>
      </c>
      <c r="E10" s="18">
        <f>ROUND(14126*1.05,2)</f>
      </c>
      <c r="F10" s="17" t="s">
        <v>40</v>
      </c>
      <c r="G10" s="17" t="s">
        <v>24</v>
      </c>
      <c r="H10" s="18">
        <f>ROUND(RAND()*4+6,1)</f>
      </c>
      <c r="I10" s="17" t="s">
        <v>41</v>
      </c>
      <c r="J10" s="19">
        <f>ROUND(67*1,0)&amp;"%"</f>
      </c>
    </row>
    <row x14ac:dyDescent="0.25" r="11" customHeight="1" ht="17.25">
      <c r="A11" s="20" t="s">
        <v>11429</v>
      </c>
      <c r="B11" s="20" t="s">
        <v>43</v>
      </c>
      <c r="C11" s="20" t="s">
        <v>15</v>
      </c>
      <c r="D11" s="20" t="s">
        <v>67</v>
      </c>
      <c r="E11" s="21">
        <f>ROUND(15335*1.05,2)</f>
      </c>
      <c r="F11" s="20" t="s">
        <v>44</v>
      </c>
      <c r="G11" s="20" t="s">
        <v>30</v>
      </c>
      <c r="H11" s="21">
        <f>ROUND(RAND()*4+6,1)</f>
      </c>
      <c r="I11" s="20" t="s">
        <v>45</v>
      </c>
      <c r="J11" s="23">
        <f>ROUND(78*1,0)&amp;"%"</f>
      </c>
    </row>
    <row x14ac:dyDescent="0.25" r="12" customHeight="1" ht="17.25">
      <c r="A12" s="17" t="s">
        <v>11430</v>
      </c>
      <c r="B12" s="17" t="s">
        <v>47</v>
      </c>
      <c r="C12" s="17" t="s">
        <v>15</v>
      </c>
      <c r="D12" s="17" t="s">
        <v>16</v>
      </c>
      <c r="E12" s="26">
        <f>ROUND(17120*1.05,2)</f>
      </c>
      <c r="F12" s="17" t="s">
        <v>48</v>
      </c>
      <c r="G12" s="17" t="s">
        <v>18</v>
      </c>
      <c r="H12" s="26">
        <f>ROUND(RAND()*4+6,1)</f>
      </c>
      <c r="I12" s="17" t="s">
        <v>19</v>
      </c>
      <c r="J12" s="19">
        <f>ROUND(75*1,0)&amp;"%"</f>
      </c>
    </row>
    <row x14ac:dyDescent="0.25" r="13" customHeight="1" ht="17.25">
      <c r="A13" s="20" t="s">
        <v>11431</v>
      </c>
      <c r="B13" s="20" t="s">
        <v>50</v>
      </c>
      <c r="C13" s="20" t="s">
        <v>15</v>
      </c>
      <c r="D13" s="20" t="s">
        <v>22</v>
      </c>
      <c r="E13" s="21">
        <f>ROUND(8248*1.05,2)</f>
      </c>
      <c r="F13" s="20" t="s">
        <v>51</v>
      </c>
      <c r="G13" s="20" t="s">
        <v>24</v>
      </c>
      <c r="H13" s="21">
        <f>ROUND(RAND()*4+6,1)</f>
      </c>
      <c r="I13" s="20" t="s">
        <v>25</v>
      </c>
      <c r="J13" s="23">
        <f>ROUND(78*1,0)&amp;"%"</f>
      </c>
    </row>
    <row x14ac:dyDescent="0.25" r="14" customHeight="1" ht="17.25">
      <c r="A14" s="24" t="s">
        <v>52</v>
      </c>
      <c r="B14" s="24"/>
      <c r="C14" s="24"/>
      <c r="D14" s="24"/>
      <c r="E14" s="25">
        <v>8</v>
      </c>
      <c r="F14" s="9"/>
      <c r="G14" s="9"/>
      <c r="H14" s="10"/>
      <c r="I14" s="9"/>
      <c r="J14" s="9"/>
    </row>
    <row x14ac:dyDescent="0.25" r="15" customHeight="1" ht="17.25">
      <c r="A15" s="7"/>
      <c r="B15" s="7"/>
      <c r="C15" s="7"/>
      <c r="D15" s="7"/>
      <c r="E15" s="8"/>
      <c r="F15" s="9"/>
      <c r="G15" s="9"/>
      <c r="H15" s="10"/>
      <c r="I15" s="9"/>
      <c r="J15" s="9"/>
    </row>
    <row x14ac:dyDescent="0.25" r="16" customHeight="1" ht="17.25">
      <c r="A16" s="11" t="s">
        <v>11432</v>
      </c>
      <c r="B16" s="11"/>
      <c r="C16" s="11"/>
      <c r="D16" s="11"/>
      <c r="E16" s="12"/>
      <c r="F16" s="11"/>
      <c r="G16" s="11"/>
      <c r="H16" s="13"/>
      <c r="I16" s="11"/>
      <c r="J16" s="11"/>
    </row>
    <row x14ac:dyDescent="0.25" r="17" customHeight="1" ht="17.25">
      <c r="A17" s="14" t="s">
        <v>3</v>
      </c>
      <c r="B17" s="14" t="s">
        <v>4</v>
      </c>
      <c r="C17" s="14" t="s">
        <v>5</v>
      </c>
      <c r="D17" s="14" t="s">
        <v>6</v>
      </c>
      <c r="E17" s="15" t="s">
        <v>7</v>
      </c>
      <c r="F17" s="14" t="s">
        <v>8</v>
      </c>
      <c r="G17" s="14" t="s">
        <v>9</v>
      </c>
      <c r="H17" s="16" t="s">
        <v>10</v>
      </c>
      <c r="I17" s="14" t="s">
        <v>11</v>
      </c>
      <c r="J17" s="14" t="s">
        <v>12</v>
      </c>
    </row>
    <row x14ac:dyDescent="0.25" r="18" customHeight="1" ht="17.25">
      <c r="A18" s="17" t="s">
        <v>11433</v>
      </c>
      <c r="B18" s="17" t="s">
        <v>55</v>
      </c>
      <c r="C18" s="17" t="s">
        <v>56</v>
      </c>
      <c r="D18" s="17" t="s">
        <v>16</v>
      </c>
      <c r="E18" s="18">
        <f>ROUND(11191*1.05,2)</f>
      </c>
      <c r="F18" s="17" t="s">
        <v>17</v>
      </c>
      <c r="G18" s="17" t="s">
        <v>18</v>
      </c>
      <c r="H18" s="26">
        <f>ROUND(RAND()*4+6,1)</f>
      </c>
      <c r="I18" s="17" t="s">
        <v>19</v>
      </c>
      <c r="J18" s="19">
        <f>ROUND(92*1,0)&amp;"%"</f>
      </c>
    </row>
    <row x14ac:dyDescent="0.25" r="19" customHeight="1" ht="17.25">
      <c r="A19" s="20" t="s">
        <v>11434</v>
      </c>
      <c r="B19" s="20" t="s">
        <v>58</v>
      </c>
      <c r="C19" s="20" t="s">
        <v>56</v>
      </c>
      <c r="D19" s="20" t="s">
        <v>22</v>
      </c>
      <c r="E19" s="21">
        <f>ROUND(17811*1.05,2)</f>
      </c>
      <c r="F19" s="20" t="s">
        <v>23</v>
      </c>
      <c r="G19" s="20" t="s">
        <v>24</v>
      </c>
      <c r="H19" s="21">
        <f>ROUND(RAND()*4+6,1)</f>
      </c>
      <c r="I19" s="20" t="s">
        <v>25</v>
      </c>
      <c r="J19" s="23">
        <f>ROUND(83*1,0)&amp;"%"</f>
      </c>
    </row>
    <row x14ac:dyDescent="0.25" r="20" customHeight="1" ht="17.25">
      <c r="A20" s="17" t="s">
        <v>11435</v>
      </c>
      <c r="B20" s="17" t="s">
        <v>60</v>
      </c>
      <c r="C20" s="17" t="s">
        <v>56</v>
      </c>
      <c r="D20" s="17" t="s">
        <v>28</v>
      </c>
      <c r="E20" s="18">
        <f>ROUND(6348*1.05,2)</f>
      </c>
      <c r="F20" s="17" t="s">
        <v>29</v>
      </c>
      <c r="G20" s="17" t="s">
        <v>30</v>
      </c>
      <c r="H20" s="18">
        <f>ROUND(RAND()*4+6,1)</f>
      </c>
      <c r="I20" s="17" t="s">
        <v>31</v>
      </c>
      <c r="J20" s="19">
        <f>ROUND(75*1,0)&amp;"%"</f>
      </c>
    </row>
    <row x14ac:dyDescent="0.25" r="21" customHeight="1" ht="17.25">
      <c r="A21" s="20" t="s">
        <v>11436</v>
      </c>
      <c r="B21" s="20" t="s">
        <v>62</v>
      </c>
      <c r="C21" s="20" t="s">
        <v>56</v>
      </c>
      <c r="D21" s="20" t="s">
        <v>34</v>
      </c>
      <c r="E21" s="21">
        <f>ROUND(12253*1.05,2)</f>
      </c>
      <c r="F21" s="20" t="s">
        <v>35</v>
      </c>
      <c r="G21" s="20" t="s">
        <v>18</v>
      </c>
      <c r="H21" s="22">
        <f>ROUND(RAND()*4+6,1)</f>
      </c>
      <c r="I21" s="20" t="s">
        <v>36</v>
      </c>
      <c r="J21" s="23">
        <f>ROUND(66*1,0)&amp;"%"</f>
      </c>
    </row>
    <row x14ac:dyDescent="0.25" r="22" customHeight="1" ht="17.25">
      <c r="A22" s="17" t="s">
        <v>11437</v>
      </c>
      <c r="B22" s="17" t="s">
        <v>64</v>
      </c>
      <c r="C22" s="17" t="s">
        <v>56</v>
      </c>
      <c r="D22" s="17" t="s">
        <v>39</v>
      </c>
      <c r="E22" s="18">
        <f>ROUND(6892*1.05,2)</f>
      </c>
      <c r="F22" s="17" t="s">
        <v>40</v>
      </c>
      <c r="G22" s="17" t="s">
        <v>24</v>
      </c>
      <c r="H22" s="26">
        <f>ROUND(RAND()*4+6,1)</f>
      </c>
      <c r="I22" s="17" t="s">
        <v>41</v>
      </c>
      <c r="J22" s="19">
        <f>ROUND(72*1,0)&amp;"%"</f>
      </c>
    </row>
    <row x14ac:dyDescent="0.25" r="23" customHeight="1" ht="17.25">
      <c r="A23" s="20" t="s">
        <v>11438</v>
      </c>
      <c r="B23" s="20" t="s">
        <v>66</v>
      </c>
      <c r="C23" s="20" t="s">
        <v>56</v>
      </c>
      <c r="D23" s="20" t="s">
        <v>67</v>
      </c>
      <c r="E23" s="21">
        <f>ROUND(12855*1.05,2)</f>
      </c>
      <c r="F23" s="20" t="s">
        <v>44</v>
      </c>
      <c r="G23" s="20" t="s">
        <v>30</v>
      </c>
      <c r="H23" s="21">
        <f>ROUND(RAND()*4+6,1)</f>
      </c>
      <c r="I23" s="20" t="s">
        <v>45</v>
      </c>
      <c r="J23" s="23">
        <f>ROUND(64*1,0)&amp;"%"</f>
      </c>
    </row>
    <row x14ac:dyDescent="0.25" r="24" customHeight="1" ht="17.25">
      <c r="A24" s="17" t="s">
        <v>11439</v>
      </c>
      <c r="B24" s="17" t="s">
        <v>69</v>
      </c>
      <c r="C24" s="17" t="s">
        <v>56</v>
      </c>
      <c r="D24" s="17" t="s">
        <v>16</v>
      </c>
      <c r="E24" s="18">
        <f>ROUND(17161*1.05,2)</f>
      </c>
      <c r="F24" s="17" t="s">
        <v>48</v>
      </c>
      <c r="G24" s="17" t="s">
        <v>18</v>
      </c>
      <c r="H24" s="26">
        <f>ROUND(RAND()*4+6,1)</f>
      </c>
      <c r="I24" s="17" t="s">
        <v>19</v>
      </c>
      <c r="J24" s="19">
        <f>ROUND(60*1,0)&amp;"%"</f>
      </c>
    </row>
    <row x14ac:dyDescent="0.25" r="25" customHeight="1" ht="17.25">
      <c r="A25" s="20" t="s">
        <v>11440</v>
      </c>
      <c r="B25" s="20" t="s">
        <v>71</v>
      </c>
      <c r="C25" s="20" t="s">
        <v>56</v>
      </c>
      <c r="D25" s="20" t="s">
        <v>22</v>
      </c>
      <c r="E25" s="21">
        <f>ROUND(5262*1.05,2)</f>
      </c>
      <c r="F25" s="20" t="s">
        <v>51</v>
      </c>
      <c r="G25" s="20" t="s">
        <v>24</v>
      </c>
      <c r="H25" s="21">
        <f>ROUND(RAND()*4+6,1)</f>
      </c>
      <c r="I25" s="20" t="s">
        <v>25</v>
      </c>
      <c r="J25" s="23">
        <f>ROUND(66*1,0)&amp;"%"</f>
      </c>
    </row>
    <row x14ac:dyDescent="0.25" r="26" customHeight="1" ht="17.25">
      <c r="A26" s="24" t="s">
        <v>72</v>
      </c>
      <c r="B26" s="24"/>
      <c r="C26" s="24"/>
      <c r="D26" s="24"/>
      <c r="E26" s="25">
        <v>8</v>
      </c>
      <c r="F26" s="9"/>
      <c r="G26" s="9"/>
      <c r="H26" s="10"/>
      <c r="I26" s="9"/>
      <c r="J26" s="9"/>
    </row>
    <row x14ac:dyDescent="0.25" r="27" customHeight="1" ht="17.25">
      <c r="A27" s="7"/>
      <c r="B27" s="7"/>
      <c r="C27" s="7"/>
      <c r="D27" s="7"/>
      <c r="E27" s="8"/>
      <c r="F27" s="9"/>
      <c r="G27" s="9"/>
      <c r="H27" s="10"/>
      <c r="I27" s="9"/>
      <c r="J27" s="9"/>
    </row>
    <row x14ac:dyDescent="0.25" r="28" customHeight="1" ht="17.25">
      <c r="A28" s="11" t="s">
        <v>11441</v>
      </c>
      <c r="B28" s="11"/>
      <c r="C28" s="11"/>
      <c r="D28" s="11"/>
      <c r="E28" s="12"/>
      <c r="F28" s="11"/>
      <c r="G28" s="11"/>
      <c r="H28" s="13"/>
      <c r="I28" s="11"/>
      <c r="J28" s="11"/>
    </row>
    <row x14ac:dyDescent="0.25" r="29" customHeight="1" ht="17.25">
      <c r="A29" s="14" t="s">
        <v>3</v>
      </c>
      <c r="B29" s="14" t="s">
        <v>4</v>
      </c>
      <c r="C29" s="14" t="s">
        <v>5</v>
      </c>
      <c r="D29" s="14" t="s">
        <v>6</v>
      </c>
      <c r="E29" s="15" t="s">
        <v>7</v>
      </c>
      <c r="F29" s="14" t="s">
        <v>8</v>
      </c>
      <c r="G29" s="14" t="s">
        <v>9</v>
      </c>
      <c r="H29" s="16" t="s">
        <v>10</v>
      </c>
      <c r="I29" s="14" t="s">
        <v>11</v>
      </c>
      <c r="J29" s="14" t="s">
        <v>12</v>
      </c>
    </row>
    <row x14ac:dyDescent="0.25" r="30" customHeight="1" ht="17.25">
      <c r="A30" s="17" t="s">
        <v>11442</v>
      </c>
      <c r="B30" s="17" t="s">
        <v>75</v>
      </c>
      <c r="C30" s="17" t="s">
        <v>76</v>
      </c>
      <c r="D30" s="17" t="s">
        <v>16</v>
      </c>
      <c r="E30" s="18">
        <f>ROUND(12135*1.05,2)</f>
      </c>
      <c r="F30" s="17" t="s">
        <v>17</v>
      </c>
      <c r="G30" s="17" t="s">
        <v>18</v>
      </c>
      <c r="H30" s="26">
        <f>ROUND(RAND()*4+6,1)</f>
      </c>
      <c r="I30" s="17" t="s">
        <v>19</v>
      </c>
      <c r="J30" s="19">
        <f>ROUND(68*1,0)&amp;"%"</f>
      </c>
    </row>
    <row x14ac:dyDescent="0.25" r="31" customHeight="1" ht="17.25">
      <c r="A31" s="20" t="s">
        <v>11443</v>
      </c>
      <c r="B31" s="20" t="s">
        <v>78</v>
      </c>
      <c r="C31" s="20" t="s">
        <v>76</v>
      </c>
      <c r="D31" s="20" t="s">
        <v>22</v>
      </c>
      <c r="E31" s="21">
        <f>ROUND(4675*1.05,2)</f>
      </c>
      <c r="F31" s="20" t="s">
        <v>23</v>
      </c>
      <c r="G31" s="20" t="s">
        <v>24</v>
      </c>
      <c r="H31" s="21">
        <f>ROUND(RAND()*4+6,1)</f>
      </c>
      <c r="I31" s="20" t="s">
        <v>25</v>
      </c>
      <c r="J31" s="23">
        <f>ROUND(92*1,0)&amp;"%"</f>
      </c>
    </row>
    <row x14ac:dyDescent="0.25" r="32" customHeight="1" ht="17.25">
      <c r="A32" s="17" t="s">
        <v>11444</v>
      </c>
      <c r="B32" s="17" t="s">
        <v>80</v>
      </c>
      <c r="C32" s="17" t="s">
        <v>76</v>
      </c>
      <c r="D32" s="17" t="s">
        <v>28</v>
      </c>
      <c r="E32" s="18">
        <f>ROUND(13492*1.05,2)</f>
      </c>
      <c r="F32" s="17" t="s">
        <v>29</v>
      </c>
      <c r="G32" s="17" t="s">
        <v>30</v>
      </c>
      <c r="H32" s="18">
        <f>ROUND(RAND()*4+6,1)</f>
      </c>
      <c r="I32" s="17" t="s">
        <v>31</v>
      </c>
      <c r="J32" s="19">
        <f>ROUND(77*1,0)&amp;"%"</f>
      </c>
    </row>
    <row x14ac:dyDescent="0.25" r="33" customHeight="1" ht="17.25">
      <c r="A33" s="20" t="s">
        <v>11445</v>
      </c>
      <c r="B33" s="20" t="s">
        <v>82</v>
      </c>
      <c r="C33" s="20" t="s">
        <v>76</v>
      </c>
      <c r="D33" s="20" t="s">
        <v>34</v>
      </c>
      <c r="E33" s="21">
        <f>ROUND(8686*1.05,2)</f>
      </c>
      <c r="F33" s="20" t="s">
        <v>35</v>
      </c>
      <c r="G33" s="20" t="s">
        <v>18</v>
      </c>
      <c r="H33" s="21">
        <f>ROUND(RAND()*4+6,1)</f>
      </c>
      <c r="I33" s="20" t="s">
        <v>36</v>
      </c>
      <c r="J33" s="23">
        <f>ROUND(67*1,0)&amp;"%"</f>
      </c>
    </row>
    <row x14ac:dyDescent="0.25" r="34" customHeight="1" ht="17.25">
      <c r="A34" s="17" t="s">
        <v>11446</v>
      </c>
      <c r="B34" s="17" t="s">
        <v>84</v>
      </c>
      <c r="C34" s="17" t="s">
        <v>76</v>
      </c>
      <c r="D34" s="17" t="s">
        <v>39</v>
      </c>
      <c r="E34" s="18">
        <f>ROUND(13949*1.05,2)</f>
      </c>
      <c r="F34" s="17" t="s">
        <v>40</v>
      </c>
      <c r="G34" s="17" t="s">
        <v>24</v>
      </c>
      <c r="H34" s="18">
        <f>ROUND(RAND()*4+6,1)</f>
      </c>
      <c r="I34" s="17" t="s">
        <v>41</v>
      </c>
      <c r="J34" s="19">
        <f>ROUND(67*1,0)&amp;"%"</f>
      </c>
    </row>
    <row x14ac:dyDescent="0.25" r="35" customHeight="1" ht="17.25">
      <c r="A35" s="20" t="s">
        <v>11447</v>
      </c>
      <c r="B35" s="20" t="s">
        <v>86</v>
      </c>
      <c r="C35" s="20" t="s">
        <v>76</v>
      </c>
      <c r="D35" s="20" t="s">
        <v>67</v>
      </c>
      <c r="E35" s="21">
        <f>ROUND(10273*1.05,2)</f>
      </c>
      <c r="F35" s="20" t="s">
        <v>44</v>
      </c>
      <c r="G35" s="20" t="s">
        <v>30</v>
      </c>
      <c r="H35" s="21">
        <f>ROUND(RAND()*4+6,1)</f>
      </c>
      <c r="I35" s="20" t="s">
        <v>45</v>
      </c>
      <c r="J35" s="23">
        <f>ROUND(74*1,0)&amp;"%"</f>
      </c>
    </row>
    <row x14ac:dyDescent="0.25" r="36" customHeight="1" ht="17.25">
      <c r="A36" s="17" t="s">
        <v>11448</v>
      </c>
      <c r="B36" s="17" t="s">
        <v>88</v>
      </c>
      <c r="C36" s="17" t="s">
        <v>76</v>
      </c>
      <c r="D36" s="17" t="s">
        <v>16</v>
      </c>
      <c r="E36" s="18">
        <f>ROUND(14476*1.05,2)</f>
      </c>
      <c r="F36" s="17" t="s">
        <v>48</v>
      </c>
      <c r="G36" s="17" t="s">
        <v>18</v>
      </c>
      <c r="H36" s="18">
        <f>ROUND(RAND()*4+6,1)</f>
      </c>
      <c r="I36" s="17" t="s">
        <v>19</v>
      </c>
      <c r="J36" s="19">
        <f>ROUND(70*1,0)&amp;"%"</f>
      </c>
    </row>
    <row x14ac:dyDescent="0.25" r="37" customHeight="1" ht="17.25">
      <c r="A37" s="20" t="s">
        <v>11449</v>
      </c>
      <c r="B37" s="20" t="s">
        <v>90</v>
      </c>
      <c r="C37" s="20" t="s">
        <v>76</v>
      </c>
      <c r="D37" s="20" t="s">
        <v>22</v>
      </c>
      <c r="E37" s="21">
        <f>ROUND(15495*1.05,2)</f>
      </c>
      <c r="F37" s="20" t="s">
        <v>51</v>
      </c>
      <c r="G37" s="20" t="s">
        <v>24</v>
      </c>
      <c r="H37" s="21">
        <f>ROUND(RAND()*4+6,1)</f>
      </c>
      <c r="I37" s="20" t="s">
        <v>25</v>
      </c>
      <c r="J37" s="23">
        <f>ROUND(61*1,0)&amp;"%"</f>
      </c>
    </row>
    <row x14ac:dyDescent="0.25" r="38" customHeight="1" ht="17.25">
      <c r="A38" s="24" t="s">
        <v>91</v>
      </c>
      <c r="B38" s="24"/>
      <c r="C38" s="24"/>
      <c r="D38" s="24"/>
      <c r="E38" s="25">
        <v>8</v>
      </c>
      <c r="F38" s="9"/>
      <c r="G38" s="9"/>
      <c r="H38" s="10"/>
      <c r="I38" s="9"/>
      <c r="J38" s="9"/>
    </row>
    <row x14ac:dyDescent="0.25" r="39" customHeight="1" ht="17.25">
      <c r="A39" s="7"/>
      <c r="B39" s="7"/>
      <c r="C39" s="7"/>
      <c r="D39" s="7"/>
      <c r="E39" s="8"/>
      <c r="F39" s="9"/>
      <c r="G39" s="9"/>
      <c r="H39" s="10"/>
      <c r="I39" s="9"/>
      <c r="J39" s="9"/>
    </row>
    <row x14ac:dyDescent="0.25" r="40" customHeight="1" ht="17.25">
      <c r="A40" s="11" t="s">
        <v>11450</v>
      </c>
      <c r="B40" s="11"/>
      <c r="C40" s="11"/>
      <c r="D40" s="11"/>
      <c r="E40" s="12"/>
      <c r="F40" s="11"/>
      <c r="G40" s="11"/>
      <c r="H40" s="13"/>
      <c r="I40" s="11"/>
      <c r="J40" s="11"/>
    </row>
    <row x14ac:dyDescent="0.25" r="41" customHeight="1" ht="17.25">
      <c r="A41" s="14" t="s">
        <v>3</v>
      </c>
      <c r="B41" s="14" t="s">
        <v>4</v>
      </c>
      <c r="C41" s="14" t="s">
        <v>5</v>
      </c>
      <c r="D41" s="14" t="s">
        <v>6</v>
      </c>
      <c r="E41" s="15" t="s">
        <v>7</v>
      </c>
      <c r="F41" s="14" t="s">
        <v>8</v>
      </c>
      <c r="G41" s="14" t="s">
        <v>9</v>
      </c>
      <c r="H41" s="16" t="s">
        <v>10</v>
      </c>
      <c r="I41" s="14" t="s">
        <v>11</v>
      </c>
      <c r="J41" s="14" t="s">
        <v>12</v>
      </c>
    </row>
    <row x14ac:dyDescent="0.25" r="42" customHeight="1" ht="17.25">
      <c r="A42" s="17" t="s">
        <v>11451</v>
      </c>
      <c r="B42" s="17" t="s">
        <v>94</v>
      </c>
      <c r="C42" s="17" t="s">
        <v>95</v>
      </c>
      <c r="D42" s="17" t="s">
        <v>16</v>
      </c>
      <c r="E42" s="18">
        <f>ROUND(9071*1.05,2)</f>
      </c>
      <c r="F42" s="17" t="s">
        <v>17</v>
      </c>
      <c r="G42" s="17" t="s">
        <v>18</v>
      </c>
      <c r="H42" s="18">
        <f>ROUND(RAND()*4+6,1)</f>
      </c>
      <c r="I42" s="17" t="s">
        <v>19</v>
      </c>
      <c r="J42" s="19">
        <f>ROUND(96*1,0)&amp;"%"</f>
      </c>
    </row>
    <row x14ac:dyDescent="0.25" r="43" customHeight="1" ht="17.25">
      <c r="A43" s="20" t="s">
        <v>11452</v>
      </c>
      <c r="B43" s="20" t="s">
        <v>97</v>
      </c>
      <c r="C43" s="20" t="s">
        <v>95</v>
      </c>
      <c r="D43" s="20" t="s">
        <v>22</v>
      </c>
      <c r="E43" s="21">
        <f>ROUND(5401*1.05,2)</f>
      </c>
      <c r="F43" s="20" t="s">
        <v>23</v>
      </c>
      <c r="G43" s="20" t="s">
        <v>24</v>
      </c>
      <c r="H43" s="21">
        <f>ROUND(RAND()*4+6,1)</f>
      </c>
      <c r="I43" s="20" t="s">
        <v>25</v>
      </c>
      <c r="J43" s="23">
        <f>ROUND(64*1,0)&amp;"%"</f>
      </c>
    </row>
    <row x14ac:dyDescent="0.25" r="44" customHeight="1" ht="17.25">
      <c r="A44" s="17" t="s">
        <v>11453</v>
      </c>
      <c r="B44" s="17" t="s">
        <v>99</v>
      </c>
      <c r="C44" s="17" t="s">
        <v>95</v>
      </c>
      <c r="D44" s="17" t="s">
        <v>28</v>
      </c>
      <c r="E44" s="18">
        <f>ROUND(15839*1.05,2)</f>
      </c>
      <c r="F44" s="17" t="s">
        <v>29</v>
      </c>
      <c r="G44" s="17" t="s">
        <v>30</v>
      </c>
      <c r="H44" s="18">
        <f>ROUND(RAND()*4+6,1)</f>
      </c>
      <c r="I44" s="17" t="s">
        <v>31</v>
      </c>
      <c r="J44" s="19">
        <f>ROUND(80*1,0)&amp;"%"</f>
      </c>
    </row>
    <row x14ac:dyDescent="0.25" r="45" customHeight="1" ht="17.25">
      <c r="A45" s="20" t="s">
        <v>11454</v>
      </c>
      <c r="B45" s="20" t="s">
        <v>101</v>
      </c>
      <c r="C45" s="20" t="s">
        <v>95</v>
      </c>
      <c r="D45" s="20" t="s">
        <v>34</v>
      </c>
      <c r="E45" s="21">
        <f>ROUND(16785*1.05,2)</f>
      </c>
      <c r="F45" s="20" t="s">
        <v>35</v>
      </c>
      <c r="G45" s="20" t="s">
        <v>18</v>
      </c>
      <c r="H45" s="21">
        <f>ROUND(RAND()*4+6,1)</f>
      </c>
      <c r="I45" s="20" t="s">
        <v>36</v>
      </c>
      <c r="J45" s="23">
        <f>ROUND(87*1,0)&amp;"%"</f>
      </c>
    </row>
    <row x14ac:dyDescent="0.25" r="46" customHeight="1" ht="17.25">
      <c r="A46" s="17" t="s">
        <v>11455</v>
      </c>
      <c r="B46" s="17" t="s">
        <v>103</v>
      </c>
      <c r="C46" s="17" t="s">
        <v>95</v>
      </c>
      <c r="D46" s="17" t="s">
        <v>39</v>
      </c>
      <c r="E46" s="18">
        <f>ROUND(17595*1.05,2)</f>
      </c>
      <c r="F46" s="17" t="s">
        <v>40</v>
      </c>
      <c r="G46" s="17" t="s">
        <v>24</v>
      </c>
      <c r="H46" s="18">
        <f>ROUND(RAND()*4+6,1)</f>
      </c>
      <c r="I46" s="17" t="s">
        <v>41</v>
      </c>
      <c r="J46" s="19">
        <f>ROUND(72*1,0)&amp;"%"</f>
      </c>
    </row>
    <row x14ac:dyDescent="0.25" r="47" customHeight="1" ht="17.25">
      <c r="A47" s="20" t="s">
        <v>11456</v>
      </c>
      <c r="B47" s="20" t="s">
        <v>105</v>
      </c>
      <c r="C47" s="20" t="s">
        <v>95</v>
      </c>
      <c r="D47" s="20" t="s">
        <v>67</v>
      </c>
      <c r="E47" s="21">
        <f>ROUND(11987*1.05,2)</f>
      </c>
      <c r="F47" s="20" t="s">
        <v>44</v>
      </c>
      <c r="G47" s="20" t="s">
        <v>30</v>
      </c>
      <c r="H47" s="21">
        <f>ROUND(RAND()*4+6,1)</f>
      </c>
      <c r="I47" s="20" t="s">
        <v>45</v>
      </c>
      <c r="J47" s="23">
        <f>ROUND(89*1,0)&amp;"%"</f>
      </c>
    </row>
    <row x14ac:dyDescent="0.25" r="48" customHeight="1" ht="17.25">
      <c r="A48" s="17" t="s">
        <v>11457</v>
      </c>
      <c r="B48" s="17" t="s">
        <v>107</v>
      </c>
      <c r="C48" s="17" t="s">
        <v>95</v>
      </c>
      <c r="D48" s="17" t="s">
        <v>16</v>
      </c>
      <c r="E48" s="18">
        <f>ROUND(7019*1.05,2)</f>
      </c>
      <c r="F48" s="17" t="s">
        <v>48</v>
      </c>
      <c r="G48" s="17" t="s">
        <v>18</v>
      </c>
      <c r="H48" s="18">
        <f>ROUND(RAND()*4+6,1)</f>
      </c>
      <c r="I48" s="17" t="s">
        <v>19</v>
      </c>
      <c r="J48" s="19">
        <f>ROUND(96*1,0)&amp;"%"</f>
      </c>
    </row>
    <row x14ac:dyDescent="0.25" r="49" customHeight="1" ht="17.25">
      <c r="A49" s="20" t="s">
        <v>11458</v>
      </c>
      <c r="B49" s="20" t="s">
        <v>109</v>
      </c>
      <c r="C49" s="20" t="s">
        <v>95</v>
      </c>
      <c r="D49" s="20" t="s">
        <v>22</v>
      </c>
      <c r="E49" s="21">
        <f>ROUND(6191*1.05,2)</f>
      </c>
      <c r="F49" s="20" t="s">
        <v>51</v>
      </c>
      <c r="G49" s="20" t="s">
        <v>24</v>
      </c>
      <c r="H49" s="21">
        <f>ROUND(RAND()*4+6,1)</f>
      </c>
      <c r="I49" s="20" t="s">
        <v>25</v>
      </c>
      <c r="J49" s="23">
        <f>ROUND(91*1,0)&amp;"%"</f>
      </c>
    </row>
    <row x14ac:dyDescent="0.25" r="50" customHeight="1" ht="17.25">
      <c r="A50" s="24" t="s">
        <v>110</v>
      </c>
      <c r="B50" s="24"/>
      <c r="C50" s="24"/>
      <c r="D50" s="24"/>
      <c r="E50" s="25">
        <v>8</v>
      </c>
      <c r="F50" s="9"/>
      <c r="G50" s="9"/>
      <c r="H50" s="10"/>
      <c r="I50" s="9"/>
      <c r="J50" s="9"/>
    </row>
    <row x14ac:dyDescent="0.25" r="51" customHeight="1" ht="17.25">
      <c r="A51" s="7"/>
      <c r="B51" s="7"/>
      <c r="C51" s="7"/>
      <c r="D51" s="7"/>
      <c r="E51" s="8"/>
      <c r="F51" s="9"/>
      <c r="G51" s="9"/>
      <c r="H51" s="10"/>
      <c r="I51" s="9"/>
      <c r="J51" s="9"/>
    </row>
    <row x14ac:dyDescent="0.25" r="52" customHeight="1" ht="17.25">
      <c r="A52" s="11" t="s">
        <v>11459</v>
      </c>
      <c r="B52" s="11"/>
      <c r="C52" s="11"/>
      <c r="D52" s="11"/>
      <c r="E52" s="12"/>
      <c r="F52" s="11"/>
      <c r="G52" s="11"/>
      <c r="H52" s="13"/>
      <c r="I52" s="11"/>
      <c r="J52" s="11"/>
    </row>
    <row x14ac:dyDescent="0.25" r="53" customHeight="1" ht="17.25">
      <c r="A53" s="14" t="s">
        <v>3</v>
      </c>
      <c r="B53" s="14" t="s">
        <v>4</v>
      </c>
      <c r="C53" s="14" t="s">
        <v>5</v>
      </c>
      <c r="D53" s="14" t="s">
        <v>6</v>
      </c>
      <c r="E53" s="15" t="s">
        <v>7</v>
      </c>
      <c r="F53" s="14" t="s">
        <v>8</v>
      </c>
      <c r="G53" s="14" t="s">
        <v>9</v>
      </c>
      <c r="H53" s="16" t="s">
        <v>10</v>
      </c>
      <c r="I53" s="14" t="s">
        <v>11</v>
      </c>
      <c r="J53" s="14" t="s">
        <v>12</v>
      </c>
    </row>
    <row x14ac:dyDescent="0.25" r="54" customHeight="1" ht="17.25">
      <c r="A54" s="17" t="s">
        <v>11460</v>
      </c>
      <c r="B54" s="17" t="s">
        <v>113</v>
      </c>
      <c r="C54" s="17" t="s">
        <v>114</v>
      </c>
      <c r="D54" s="17" t="s">
        <v>16</v>
      </c>
      <c r="E54" s="18">
        <f>ROUND(6433*1.05,2)</f>
      </c>
      <c r="F54" s="17" t="s">
        <v>17</v>
      </c>
      <c r="G54" s="17" t="s">
        <v>18</v>
      </c>
      <c r="H54" s="18">
        <f>ROUND(RAND()*4+6,1)</f>
      </c>
      <c r="I54" s="17" t="s">
        <v>19</v>
      </c>
      <c r="J54" s="19">
        <f>ROUND(82*1,0)&amp;"%"</f>
      </c>
    </row>
    <row x14ac:dyDescent="0.25" r="55" customHeight="1" ht="17.25">
      <c r="A55" s="20" t="s">
        <v>11461</v>
      </c>
      <c r="B55" s="20" t="s">
        <v>116</v>
      </c>
      <c r="C55" s="20" t="s">
        <v>114</v>
      </c>
      <c r="D55" s="20" t="s">
        <v>22</v>
      </c>
      <c r="E55" s="21">
        <f>ROUND(12206*1.05,2)</f>
      </c>
      <c r="F55" s="20" t="s">
        <v>23</v>
      </c>
      <c r="G55" s="20" t="s">
        <v>24</v>
      </c>
      <c r="H55" s="21">
        <f>ROUND(RAND()*4+6,1)</f>
      </c>
      <c r="I55" s="20" t="s">
        <v>25</v>
      </c>
      <c r="J55" s="23">
        <f>ROUND(65*1,0)&amp;"%"</f>
      </c>
    </row>
    <row x14ac:dyDescent="0.25" r="56" customHeight="1" ht="17.25">
      <c r="A56" s="17" t="s">
        <v>11462</v>
      </c>
      <c r="B56" s="17" t="s">
        <v>118</v>
      </c>
      <c r="C56" s="17" t="s">
        <v>114</v>
      </c>
      <c r="D56" s="17" t="s">
        <v>28</v>
      </c>
      <c r="E56" s="18">
        <f>ROUND(5499*1.05,2)</f>
      </c>
      <c r="F56" s="17" t="s">
        <v>29</v>
      </c>
      <c r="G56" s="17" t="s">
        <v>30</v>
      </c>
      <c r="H56" s="18">
        <f>ROUND(RAND()*4+6,1)</f>
      </c>
      <c r="I56" s="17" t="s">
        <v>31</v>
      </c>
      <c r="J56" s="19">
        <f>ROUND(92*1,0)&amp;"%"</f>
      </c>
    </row>
    <row x14ac:dyDescent="0.25" r="57" customHeight="1" ht="17.25">
      <c r="A57" s="20" t="s">
        <v>11463</v>
      </c>
      <c r="B57" s="20" t="s">
        <v>120</v>
      </c>
      <c r="C57" s="20" t="s">
        <v>114</v>
      </c>
      <c r="D57" s="20" t="s">
        <v>34</v>
      </c>
      <c r="E57" s="21">
        <f>ROUND(14281*1.05,2)</f>
      </c>
      <c r="F57" s="20" t="s">
        <v>35</v>
      </c>
      <c r="G57" s="20" t="s">
        <v>18</v>
      </c>
      <c r="H57" s="21">
        <f>ROUND(RAND()*4+6,1)</f>
      </c>
      <c r="I57" s="20" t="s">
        <v>36</v>
      </c>
      <c r="J57" s="23">
        <f>ROUND(62*1,0)&amp;"%"</f>
      </c>
    </row>
    <row x14ac:dyDescent="0.25" r="58" customHeight="1" ht="17.25">
      <c r="A58" s="17" t="s">
        <v>11464</v>
      </c>
      <c r="B58" s="17" t="s">
        <v>122</v>
      </c>
      <c r="C58" s="17" t="s">
        <v>114</v>
      </c>
      <c r="D58" s="17" t="s">
        <v>39</v>
      </c>
      <c r="E58" s="18">
        <f>ROUND(4795*1.05,2)</f>
      </c>
      <c r="F58" s="17" t="s">
        <v>40</v>
      </c>
      <c r="G58" s="17" t="s">
        <v>24</v>
      </c>
      <c r="H58" s="18">
        <f>ROUND(RAND()*4+6,1)</f>
      </c>
      <c r="I58" s="17" t="s">
        <v>41</v>
      </c>
      <c r="J58" s="19">
        <f>ROUND(90*1,0)&amp;"%"</f>
      </c>
    </row>
    <row x14ac:dyDescent="0.25" r="59" customHeight="1" ht="17.25">
      <c r="A59" s="20" t="s">
        <v>11465</v>
      </c>
      <c r="B59" s="20" t="s">
        <v>124</v>
      </c>
      <c r="C59" s="20" t="s">
        <v>114</v>
      </c>
      <c r="D59" s="20" t="s">
        <v>67</v>
      </c>
      <c r="E59" s="21">
        <f>ROUND(15645*1.05,2)</f>
      </c>
      <c r="F59" s="20" t="s">
        <v>44</v>
      </c>
      <c r="G59" s="20" t="s">
        <v>30</v>
      </c>
      <c r="H59" s="21">
        <f>ROUND(RAND()*4+6,1)</f>
      </c>
      <c r="I59" s="20" t="s">
        <v>45</v>
      </c>
      <c r="J59" s="23">
        <f>ROUND(84*1,0)&amp;"%"</f>
      </c>
    </row>
    <row x14ac:dyDescent="0.25" r="60" customHeight="1" ht="17.25">
      <c r="A60" s="17" t="s">
        <v>11466</v>
      </c>
      <c r="B60" s="17" t="s">
        <v>126</v>
      </c>
      <c r="C60" s="17" t="s">
        <v>114</v>
      </c>
      <c r="D60" s="17" t="s">
        <v>16</v>
      </c>
      <c r="E60" s="18">
        <f>ROUND(16603*1.05,2)</f>
      </c>
      <c r="F60" s="17" t="s">
        <v>48</v>
      </c>
      <c r="G60" s="17" t="s">
        <v>18</v>
      </c>
      <c r="H60" s="18">
        <f>ROUND(RAND()*4+6,1)</f>
      </c>
      <c r="I60" s="17" t="s">
        <v>19</v>
      </c>
      <c r="J60" s="19">
        <f>ROUND(68*1,0)&amp;"%"</f>
      </c>
    </row>
    <row x14ac:dyDescent="0.25" r="61" customHeight="1" ht="17.25">
      <c r="A61" s="20" t="s">
        <v>11467</v>
      </c>
      <c r="B61" s="20" t="s">
        <v>128</v>
      </c>
      <c r="C61" s="20" t="s">
        <v>114</v>
      </c>
      <c r="D61" s="20" t="s">
        <v>22</v>
      </c>
      <c r="E61" s="21">
        <f>ROUND(15281*1.05,2)</f>
      </c>
      <c r="F61" s="20" t="s">
        <v>51</v>
      </c>
      <c r="G61" s="20" t="s">
        <v>24</v>
      </c>
      <c r="H61" s="21">
        <f>ROUND(RAND()*4+6,1)</f>
      </c>
      <c r="I61" s="20" t="s">
        <v>25</v>
      </c>
      <c r="J61" s="23">
        <f>ROUND(76*1,0)&amp;"%"</f>
      </c>
    </row>
    <row x14ac:dyDescent="0.25" r="62" customHeight="1" ht="17.25">
      <c r="A62" s="24" t="s">
        <v>129</v>
      </c>
      <c r="B62" s="24"/>
      <c r="C62" s="24"/>
      <c r="D62" s="24"/>
      <c r="E62" s="25">
        <v>8</v>
      </c>
      <c r="F62" s="9"/>
      <c r="G62" s="9"/>
      <c r="H62" s="10"/>
      <c r="I62" s="9"/>
      <c r="J62" s="9"/>
    </row>
    <row x14ac:dyDescent="0.25" r="63" customHeight="1" ht="17.25">
      <c r="A63" s="7"/>
      <c r="B63" s="7"/>
      <c r="C63" s="7"/>
      <c r="D63" s="7"/>
      <c r="E63" s="8"/>
      <c r="F63" s="9"/>
      <c r="G63" s="9"/>
      <c r="H63" s="10"/>
      <c r="I63" s="9"/>
      <c r="J63" s="9"/>
    </row>
    <row x14ac:dyDescent="0.25" r="64" customHeight="1" ht="17.25">
      <c r="A64" s="11" t="s">
        <v>11468</v>
      </c>
      <c r="B64" s="11"/>
      <c r="C64" s="11"/>
      <c r="D64" s="11"/>
      <c r="E64" s="12"/>
      <c r="F64" s="11"/>
      <c r="G64" s="11"/>
      <c r="H64" s="13"/>
      <c r="I64" s="11"/>
      <c r="J64" s="11"/>
    </row>
    <row x14ac:dyDescent="0.25" r="65" customHeight="1" ht="17.25">
      <c r="A65" s="14" t="s">
        <v>3</v>
      </c>
      <c r="B65" s="14" t="s">
        <v>4</v>
      </c>
      <c r="C65" s="14" t="s">
        <v>5</v>
      </c>
      <c r="D65" s="14" t="s">
        <v>6</v>
      </c>
      <c r="E65" s="15" t="s">
        <v>7</v>
      </c>
      <c r="F65" s="14" t="s">
        <v>8</v>
      </c>
      <c r="G65" s="14" t="s">
        <v>9</v>
      </c>
      <c r="H65" s="16" t="s">
        <v>10</v>
      </c>
      <c r="I65" s="14" t="s">
        <v>11</v>
      </c>
      <c r="J65" s="14" t="s">
        <v>12</v>
      </c>
    </row>
    <row x14ac:dyDescent="0.25" r="66" customHeight="1" ht="17.25">
      <c r="A66" s="17" t="s">
        <v>11469</v>
      </c>
      <c r="B66" s="17" t="s">
        <v>132</v>
      </c>
      <c r="C66" s="17" t="s">
        <v>133</v>
      </c>
      <c r="D66" s="17" t="s">
        <v>16</v>
      </c>
      <c r="E66" s="18">
        <f>ROUND(6154*1.05,2)</f>
      </c>
      <c r="F66" s="17" t="s">
        <v>17</v>
      </c>
      <c r="G66" s="17" t="s">
        <v>18</v>
      </c>
      <c r="H66" s="18">
        <f>ROUND(RAND()*4+6,1)</f>
      </c>
      <c r="I66" s="17" t="s">
        <v>19</v>
      </c>
      <c r="J66" s="19">
        <f>ROUND(88*1,0)&amp;"%"</f>
      </c>
    </row>
    <row x14ac:dyDescent="0.25" r="67" customHeight="1" ht="17.25">
      <c r="A67" s="20" t="s">
        <v>11470</v>
      </c>
      <c r="B67" s="20" t="s">
        <v>135</v>
      </c>
      <c r="C67" s="20" t="s">
        <v>133</v>
      </c>
      <c r="D67" s="20" t="s">
        <v>22</v>
      </c>
      <c r="E67" s="21">
        <f>ROUND(13516*1.05,2)</f>
      </c>
      <c r="F67" s="20" t="s">
        <v>23</v>
      </c>
      <c r="G67" s="20" t="s">
        <v>24</v>
      </c>
      <c r="H67" s="21">
        <f>ROUND(RAND()*4+6,1)</f>
      </c>
      <c r="I67" s="20" t="s">
        <v>25</v>
      </c>
      <c r="J67" s="23">
        <f>ROUND(74*1,0)&amp;"%"</f>
      </c>
    </row>
    <row x14ac:dyDescent="0.25" r="68" customHeight="1" ht="17.25">
      <c r="A68" s="17" t="s">
        <v>11471</v>
      </c>
      <c r="B68" s="17" t="s">
        <v>137</v>
      </c>
      <c r="C68" s="17" t="s">
        <v>133</v>
      </c>
      <c r="D68" s="17" t="s">
        <v>28</v>
      </c>
      <c r="E68" s="18">
        <f>ROUND(10636*1.05,2)</f>
      </c>
      <c r="F68" s="17" t="s">
        <v>29</v>
      </c>
      <c r="G68" s="17" t="s">
        <v>30</v>
      </c>
      <c r="H68" s="26">
        <f>ROUND(RAND()*4+6,1)</f>
      </c>
      <c r="I68" s="17" t="s">
        <v>31</v>
      </c>
      <c r="J68" s="19">
        <f>ROUND(62*1,0)&amp;"%"</f>
      </c>
    </row>
    <row x14ac:dyDescent="0.25" r="69" customHeight="1" ht="17.25">
      <c r="A69" s="20" t="s">
        <v>11472</v>
      </c>
      <c r="B69" s="20" t="s">
        <v>139</v>
      </c>
      <c r="C69" s="20" t="s">
        <v>133</v>
      </c>
      <c r="D69" s="20" t="s">
        <v>34</v>
      </c>
      <c r="E69" s="21">
        <f>ROUND(6324*1.05,2)</f>
      </c>
      <c r="F69" s="20" t="s">
        <v>35</v>
      </c>
      <c r="G69" s="20" t="s">
        <v>18</v>
      </c>
      <c r="H69" s="21">
        <f>ROUND(RAND()*4+6,1)</f>
      </c>
      <c r="I69" s="20" t="s">
        <v>36</v>
      </c>
      <c r="J69" s="23">
        <f>ROUND(89*1,0)&amp;"%"</f>
      </c>
    </row>
    <row x14ac:dyDescent="0.25" r="70" customHeight="1" ht="17.25">
      <c r="A70" s="17" t="s">
        <v>11473</v>
      </c>
      <c r="B70" s="17" t="s">
        <v>141</v>
      </c>
      <c r="C70" s="17" t="s">
        <v>133</v>
      </c>
      <c r="D70" s="17" t="s">
        <v>39</v>
      </c>
      <c r="E70" s="18">
        <f>ROUND(14833*1.05,2)</f>
      </c>
      <c r="F70" s="17" t="s">
        <v>40</v>
      </c>
      <c r="G70" s="17" t="s">
        <v>24</v>
      </c>
      <c r="H70" s="18">
        <f>ROUND(RAND()*4+6,1)</f>
      </c>
      <c r="I70" s="17" t="s">
        <v>41</v>
      </c>
      <c r="J70" s="19">
        <f>ROUND(85*1,0)&amp;"%"</f>
      </c>
    </row>
    <row x14ac:dyDescent="0.25" r="71" customHeight="1" ht="17.25">
      <c r="A71" s="20" t="s">
        <v>11474</v>
      </c>
      <c r="B71" s="20" t="s">
        <v>143</v>
      </c>
      <c r="C71" s="20" t="s">
        <v>133</v>
      </c>
      <c r="D71" s="20" t="s">
        <v>67</v>
      </c>
      <c r="E71" s="21">
        <f>ROUND(12549*1.05,2)</f>
      </c>
      <c r="F71" s="20" t="s">
        <v>44</v>
      </c>
      <c r="G71" s="20" t="s">
        <v>30</v>
      </c>
      <c r="H71" s="21">
        <f>ROUND(RAND()*4+6,1)</f>
      </c>
      <c r="I71" s="20" t="s">
        <v>45</v>
      </c>
      <c r="J71" s="23">
        <f>ROUND(69*1,0)&amp;"%"</f>
      </c>
    </row>
    <row x14ac:dyDescent="0.25" r="72" customHeight="1" ht="17.25">
      <c r="A72" s="17" t="s">
        <v>11475</v>
      </c>
      <c r="B72" s="17" t="s">
        <v>145</v>
      </c>
      <c r="C72" s="17" t="s">
        <v>133</v>
      </c>
      <c r="D72" s="17" t="s">
        <v>16</v>
      </c>
      <c r="E72" s="18">
        <f>ROUND(4350*1.05,2)</f>
      </c>
      <c r="F72" s="17" t="s">
        <v>48</v>
      </c>
      <c r="G72" s="17" t="s">
        <v>18</v>
      </c>
      <c r="H72" s="18">
        <f>ROUND(RAND()*4+6,1)</f>
      </c>
      <c r="I72" s="17" t="s">
        <v>19</v>
      </c>
      <c r="J72" s="19">
        <f>ROUND(78*1,0)&amp;"%"</f>
      </c>
    </row>
    <row x14ac:dyDescent="0.25" r="73" customHeight="1" ht="17.25">
      <c r="A73" s="20" t="s">
        <v>11476</v>
      </c>
      <c r="B73" s="20" t="s">
        <v>147</v>
      </c>
      <c r="C73" s="20" t="s">
        <v>133</v>
      </c>
      <c r="D73" s="20" t="s">
        <v>22</v>
      </c>
      <c r="E73" s="21">
        <f>ROUND(4485*1.05,2)</f>
      </c>
      <c r="F73" s="20" t="s">
        <v>51</v>
      </c>
      <c r="G73" s="20" t="s">
        <v>24</v>
      </c>
      <c r="H73" s="21">
        <f>ROUND(RAND()*4+6,1)</f>
      </c>
      <c r="I73" s="20" t="s">
        <v>25</v>
      </c>
      <c r="J73" s="23">
        <f>ROUND(92*1,0)&amp;"%"</f>
      </c>
    </row>
    <row x14ac:dyDescent="0.25" r="74" customHeight="1" ht="17.25">
      <c r="A74" s="24" t="s">
        <v>148</v>
      </c>
      <c r="B74" s="24"/>
      <c r="C74" s="24"/>
      <c r="D74" s="24"/>
      <c r="E74" s="25">
        <v>8</v>
      </c>
      <c r="F74" s="9"/>
      <c r="G74" s="9"/>
      <c r="H74" s="10"/>
      <c r="I74" s="9"/>
      <c r="J74" s="9"/>
    </row>
    <row x14ac:dyDescent="0.25" r="75" customHeight="1" ht="17.25">
      <c r="A75" s="7"/>
      <c r="B75" s="7"/>
      <c r="C75" s="7"/>
      <c r="D75" s="7"/>
      <c r="E75" s="8"/>
      <c r="F75" s="9"/>
      <c r="G75" s="9"/>
      <c r="H75" s="10"/>
      <c r="I75" s="9"/>
      <c r="J75" s="9"/>
    </row>
    <row x14ac:dyDescent="0.25" r="76" customHeight="1" ht="17.25">
      <c r="A76" s="11" t="s">
        <v>11477</v>
      </c>
      <c r="B76" s="11"/>
      <c r="C76" s="11"/>
      <c r="D76" s="11"/>
      <c r="E76" s="12"/>
      <c r="F76" s="11"/>
      <c r="G76" s="11"/>
      <c r="H76" s="13"/>
      <c r="I76" s="11"/>
      <c r="J76" s="11"/>
    </row>
    <row x14ac:dyDescent="0.25" r="77" customHeight="1" ht="17.25">
      <c r="A77" s="14" t="s">
        <v>3</v>
      </c>
      <c r="B77" s="14" t="s">
        <v>4</v>
      </c>
      <c r="C77" s="14" t="s">
        <v>5</v>
      </c>
      <c r="D77" s="14" t="s">
        <v>6</v>
      </c>
      <c r="E77" s="15" t="s">
        <v>7</v>
      </c>
      <c r="F77" s="14" t="s">
        <v>8</v>
      </c>
      <c r="G77" s="14" t="s">
        <v>9</v>
      </c>
      <c r="H77" s="16" t="s">
        <v>10</v>
      </c>
      <c r="I77" s="14" t="s">
        <v>11</v>
      </c>
      <c r="J77" s="14" t="s">
        <v>12</v>
      </c>
    </row>
    <row x14ac:dyDescent="0.25" r="78" customHeight="1" ht="17.25">
      <c r="A78" s="17" t="s">
        <v>11478</v>
      </c>
      <c r="B78" s="17" t="s">
        <v>151</v>
      </c>
      <c r="C78" s="17" t="s">
        <v>152</v>
      </c>
      <c r="D78" s="17" t="s">
        <v>16</v>
      </c>
      <c r="E78" s="18">
        <f>ROUND(11294*1.05,2)</f>
      </c>
      <c r="F78" s="17" t="s">
        <v>17</v>
      </c>
      <c r="G78" s="17" t="s">
        <v>18</v>
      </c>
      <c r="H78" s="18">
        <f>ROUND(RAND()*4+6,1)</f>
      </c>
      <c r="I78" s="17" t="s">
        <v>19</v>
      </c>
      <c r="J78" s="19">
        <f>ROUND(87*1,0)&amp;"%"</f>
      </c>
    </row>
    <row x14ac:dyDescent="0.25" r="79" customHeight="1" ht="17.25">
      <c r="A79" s="20" t="s">
        <v>11479</v>
      </c>
      <c r="B79" s="20" t="s">
        <v>154</v>
      </c>
      <c r="C79" s="20" t="s">
        <v>152</v>
      </c>
      <c r="D79" s="20" t="s">
        <v>22</v>
      </c>
      <c r="E79" s="21">
        <f>ROUND(14157*1.05,2)</f>
      </c>
      <c r="F79" s="20" t="s">
        <v>23</v>
      </c>
      <c r="G79" s="20" t="s">
        <v>24</v>
      </c>
      <c r="H79" s="21">
        <f>ROUND(RAND()*4+6,1)</f>
      </c>
      <c r="I79" s="20" t="s">
        <v>25</v>
      </c>
      <c r="J79" s="23">
        <f>ROUND(69*1,0)&amp;"%"</f>
      </c>
    </row>
    <row x14ac:dyDescent="0.25" r="80" customHeight="1" ht="17.25">
      <c r="A80" s="17" t="s">
        <v>11480</v>
      </c>
      <c r="B80" s="17" t="s">
        <v>156</v>
      </c>
      <c r="C80" s="17" t="s">
        <v>152</v>
      </c>
      <c r="D80" s="17" t="s">
        <v>28</v>
      </c>
      <c r="E80" s="18">
        <f>ROUND(16011*1.05,2)</f>
      </c>
      <c r="F80" s="17" t="s">
        <v>29</v>
      </c>
      <c r="G80" s="17" t="s">
        <v>30</v>
      </c>
      <c r="H80" s="18">
        <f>ROUND(RAND()*4+6,1)</f>
      </c>
      <c r="I80" s="17" t="s">
        <v>31</v>
      </c>
      <c r="J80" s="19">
        <f>ROUND(76*1,0)&amp;"%"</f>
      </c>
    </row>
    <row x14ac:dyDescent="0.25" r="81" customHeight="1" ht="17.25">
      <c r="A81" s="20" t="s">
        <v>11481</v>
      </c>
      <c r="B81" s="20" t="s">
        <v>158</v>
      </c>
      <c r="C81" s="20" t="s">
        <v>152</v>
      </c>
      <c r="D81" s="20" t="s">
        <v>34</v>
      </c>
      <c r="E81" s="21">
        <f>ROUND(14927*1.05,2)</f>
      </c>
      <c r="F81" s="20" t="s">
        <v>35</v>
      </c>
      <c r="G81" s="20" t="s">
        <v>18</v>
      </c>
      <c r="H81" s="21">
        <f>ROUND(RAND()*4+6,1)</f>
      </c>
      <c r="I81" s="20" t="s">
        <v>36</v>
      </c>
      <c r="J81" s="23">
        <f>ROUND(74*1,0)&amp;"%"</f>
      </c>
    </row>
    <row x14ac:dyDescent="0.25" r="82" customHeight="1" ht="17.25">
      <c r="A82" s="17" t="s">
        <v>11482</v>
      </c>
      <c r="B82" s="17" t="s">
        <v>160</v>
      </c>
      <c r="C82" s="17" t="s">
        <v>152</v>
      </c>
      <c r="D82" s="17" t="s">
        <v>39</v>
      </c>
      <c r="E82" s="18">
        <f>ROUND(9887*1.05,2)</f>
      </c>
      <c r="F82" s="17" t="s">
        <v>40</v>
      </c>
      <c r="G82" s="17" t="s">
        <v>24</v>
      </c>
      <c r="H82" s="18">
        <f>ROUND(RAND()*4+6,1)</f>
      </c>
      <c r="I82" s="17" t="s">
        <v>41</v>
      </c>
      <c r="J82" s="19">
        <f>ROUND(86*1,0)&amp;"%"</f>
      </c>
    </row>
    <row x14ac:dyDescent="0.25" r="83" customHeight="1" ht="17.25">
      <c r="A83" s="20" t="s">
        <v>11483</v>
      </c>
      <c r="B83" s="20" t="s">
        <v>162</v>
      </c>
      <c r="C83" s="20" t="s">
        <v>152</v>
      </c>
      <c r="D83" s="20" t="s">
        <v>67</v>
      </c>
      <c r="E83" s="21">
        <f>ROUND(9938*1.05,2)</f>
      </c>
      <c r="F83" s="20" t="s">
        <v>44</v>
      </c>
      <c r="G83" s="20" t="s">
        <v>30</v>
      </c>
      <c r="H83" s="21">
        <f>ROUND(RAND()*4+6,1)</f>
      </c>
      <c r="I83" s="20" t="s">
        <v>45</v>
      </c>
      <c r="J83" s="23">
        <f>ROUND(76*1,0)&amp;"%"</f>
      </c>
    </row>
    <row x14ac:dyDescent="0.25" r="84" customHeight="1" ht="17.25">
      <c r="A84" s="17" t="s">
        <v>11484</v>
      </c>
      <c r="B84" s="17" t="s">
        <v>164</v>
      </c>
      <c r="C84" s="17" t="s">
        <v>152</v>
      </c>
      <c r="D84" s="17" t="s">
        <v>16</v>
      </c>
      <c r="E84" s="18">
        <f>ROUND(15444*1.05,2)</f>
      </c>
      <c r="F84" s="17" t="s">
        <v>48</v>
      </c>
      <c r="G84" s="17" t="s">
        <v>18</v>
      </c>
      <c r="H84" s="18">
        <f>ROUND(RAND()*4+6,1)</f>
      </c>
      <c r="I84" s="17" t="s">
        <v>19</v>
      </c>
      <c r="J84" s="19">
        <f>ROUND(67*1,0)&amp;"%"</f>
      </c>
    </row>
    <row x14ac:dyDescent="0.25" r="85" customHeight="1" ht="17.25">
      <c r="A85" s="20" t="s">
        <v>11485</v>
      </c>
      <c r="B85" s="20" t="s">
        <v>166</v>
      </c>
      <c r="C85" s="20" t="s">
        <v>152</v>
      </c>
      <c r="D85" s="20" t="s">
        <v>22</v>
      </c>
      <c r="E85" s="21">
        <f>ROUND(10124*1.05,2)</f>
      </c>
      <c r="F85" s="20" t="s">
        <v>51</v>
      </c>
      <c r="G85" s="20" t="s">
        <v>24</v>
      </c>
      <c r="H85" s="21">
        <f>ROUND(RAND()*4+6,1)</f>
      </c>
      <c r="I85" s="20" t="s">
        <v>25</v>
      </c>
      <c r="J85" s="23">
        <f>ROUND(94*1,0)&amp;"%"</f>
      </c>
    </row>
    <row x14ac:dyDescent="0.25" r="86" customHeight="1" ht="17.25">
      <c r="A86" s="24" t="s">
        <v>167</v>
      </c>
      <c r="B86" s="24"/>
      <c r="C86" s="24"/>
      <c r="D86" s="24"/>
      <c r="E86" s="25">
        <v>8</v>
      </c>
      <c r="F86" s="9"/>
      <c r="G86" s="9"/>
      <c r="H86" s="10"/>
      <c r="I86" s="9"/>
      <c r="J86" s="9"/>
    </row>
    <row x14ac:dyDescent="0.25" r="87" customHeight="1" ht="17.25">
      <c r="A87" s="7"/>
      <c r="B87" s="7"/>
      <c r="C87" s="7"/>
      <c r="D87" s="7"/>
      <c r="E87" s="8"/>
      <c r="F87" s="9"/>
      <c r="G87" s="9"/>
      <c r="H87" s="10"/>
      <c r="I87" s="9"/>
      <c r="J87" s="9"/>
    </row>
    <row x14ac:dyDescent="0.25" r="88" customHeight="1" ht="17.25">
      <c r="A88" s="11" t="s">
        <v>11486</v>
      </c>
      <c r="B88" s="11"/>
      <c r="C88" s="11"/>
      <c r="D88" s="11"/>
      <c r="E88" s="12"/>
      <c r="F88" s="11"/>
      <c r="G88" s="11"/>
      <c r="H88" s="13"/>
      <c r="I88" s="11"/>
      <c r="J88" s="11"/>
    </row>
    <row x14ac:dyDescent="0.25" r="89" customHeight="1" ht="17.25">
      <c r="A89" s="14" t="s">
        <v>3</v>
      </c>
      <c r="B89" s="14" t="s">
        <v>4</v>
      </c>
      <c r="C89" s="14" t="s">
        <v>5</v>
      </c>
      <c r="D89" s="14" t="s">
        <v>6</v>
      </c>
      <c r="E89" s="15" t="s">
        <v>7</v>
      </c>
      <c r="F89" s="14" t="s">
        <v>8</v>
      </c>
      <c r="G89" s="14" t="s">
        <v>9</v>
      </c>
      <c r="H89" s="16" t="s">
        <v>10</v>
      </c>
      <c r="I89" s="14" t="s">
        <v>11</v>
      </c>
      <c r="J89" s="14" t="s">
        <v>12</v>
      </c>
    </row>
    <row x14ac:dyDescent="0.25" r="90" customHeight="1" ht="17.25">
      <c r="A90" s="17" t="s">
        <v>11487</v>
      </c>
      <c r="B90" s="17" t="s">
        <v>170</v>
      </c>
      <c r="C90" s="17" t="s">
        <v>15</v>
      </c>
      <c r="D90" s="17" t="s">
        <v>16</v>
      </c>
      <c r="E90" s="18">
        <f>ROUND(16408*1.05,2)</f>
      </c>
      <c r="F90" s="17" t="s">
        <v>17</v>
      </c>
      <c r="G90" s="17" t="s">
        <v>18</v>
      </c>
      <c r="H90" s="18">
        <f>ROUND(RAND()*4+6,1)</f>
      </c>
      <c r="I90" s="17" t="s">
        <v>19</v>
      </c>
      <c r="J90" s="19">
        <f>ROUND(77*1,0)&amp;"%"</f>
      </c>
    </row>
    <row x14ac:dyDescent="0.25" r="91" customHeight="1" ht="17.25">
      <c r="A91" s="20" t="s">
        <v>11488</v>
      </c>
      <c r="B91" s="20" t="s">
        <v>172</v>
      </c>
      <c r="C91" s="20" t="s">
        <v>15</v>
      </c>
      <c r="D91" s="20" t="s">
        <v>22</v>
      </c>
      <c r="E91" s="21">
        <f>ROUND(15798*1.05,2)</f>
      </c>
      <c r="F91" s="20" t="s">
        <v>23</v>
      </c>
      <c r="G91" s="20" t="s">
        <v>24</v>
      </c>
      <c r="H91" s="21">
        <f>ROUND(RAND()*4+6,1)</f>
      </c>
      <c r="I91" s="20" t="s">
        <v>25</v>
      </c>
      <c r="J91" s="23">
        <f>ROUND(62*1,0)&amp;"%"</f>
      </c>
    </row>
    <row x14ac:dyDescent="0.25" r="92" customHeight="1" ht="17.25">
      <c r="A92" s="17" t="s">
        <v>11489</v>
      </c>
      <c r="B92" s="17" t="s">
        <v>174</v>
      </c>
      <c r="C92" s="17" t="s">
        <v>15</v>
      </c>
      <c r="D92" s="17" t="s">
        <v>28</v>
      </c>
      <c r="E92" s="18">
        <f>ROUND(15241*1.05,2)</f>
      </c>
      <c r="F92" s="17" t="s">
        <v>29</v>
      </c>
      <c r="G92" s="17" t="s">
        <v>30</v>
      </c>
      <c r="H92" s="18">
        <f>ROUND(RAND()*4+6,1)</f>
      </c>
      <c r="I92" s="17" t="s">
        <v>31</v>
      </c>
      <c r="J92" s="19">
        <f>ROUND(73*1,0)&amp;"%"</f>
      </c>
    </row>
    <row x14ac:dyDescent="0.25" r="93" customHeight="1" ht="17.25">
      <c r="A93" s="20" t="s">
        <v>11490</v>
      </c>
      <c r="B93" s="20" t="s">
        <v>176</v>
      </c>
      <c r="C93" s="20" t="s">
        <v>15</v>
      </c>
      <c r="D93" s="20" t="s">
        <v>34</v>
      </c>
      <c r="E93" s="21">
        <f>ROUND(6458*1.05,2)</f>
      </c>
      <c r="F93" s="20" t="s">
        <v>35</v>
      </c>
      <c r="G93" s="20" t="s">
        <v>18</v>
      </c>
      <c r="H93" s="22">
        <f>ROUND(RAND()*4+6,1)</f>
      </c>
      <c r="I93" s="20" t="s">
        <v>36</v>
      </c>
      <c r="J93" s="23">
        <f>ROUND(82*1,0)&amp;"%"</f>
      </c>
    </row>
    <row x14ac:dyDescent="0.25" r="94" customHeight="1" ht="17.25">
      <c r="A94" s="17" t="s">
        <v>11491</v>
      </c>
      <c r="B94" s="17" t="s">
        <v>178</v>
      </c>
      <c r="C94" s="17" t="s">
        <v>15</v>
      </c>
      <c r="D94" s="17" t="s">
        <v>39</v>
      </c>
      <c r="E94" s="18">
        <f>ROUND(7582*1.05,2)</f>
      </c>
      <c r="F94" s="17" t="s">
        <v>40</v>
      </c>
      <c r="G94" s="17" t="s">
        <v>24</v>
      </c>
      <c r="H94" s="18">
        <f>ROUND(RAND()*4+6,1)</f>
      </c>
      <c r="I94" s="17" t="s">
        <v>41</v>
      </c>
      <c r="J94" s="19">
        <f>ROUND(85*1,0)&amp;"%"</f>
      </c>
    </row>
    <row x14ac:dyDescent="0.25" r="95" customHeight="1" ht="17.25">
      <c r="A95" s="20" t="s">
        <v>11492</v>
      </c>
      <c r="B95" s="20" t="s">
        <v>180</v>
      </c>
      <c r="C95" s="20" t="s">
        <v>15</v>
      </c>
      <c r="D95" s="20" t="s">
        <v>67</v>
      </c>
      <c r="E95" s="21">
        <f>ROUND(12767*1.05,2)</f>
      </c>
      <c r="F95" s="20" t="s">
        <v>44</v>
      </c>
      <c r="G95" s="20" t="s">
        <v>30</v>
      </c>
      <c r="H95" s="21">
        <f>ROUND(RAND()*4+6,1)</f>
      </c>
      <c r="I95" s="20" t="s">
        <v>45</v>
      </c>
      <c r="J95" s="23">
        <f>ROUND(62*1,0)&amp;"%"</f>
      </c>
    </row>
    <row x14ac:dyDescent="0.25" r="96" customHeight="1" ht="17.25">
      <c r="A96" s="17" t="s">
        <v>11493</v>
      </c>
      <c r="B96" s="17" t="s">
        <v>182</v>
      </c>
      <c r="C96" s="17" t="s">
        <v>15</v>
      </c>
      <c r="D96" s="17" t="s">
        <v>16</v>
      </c>
      <c r="E96" s="18">
        <f>ROUND(11206*1.05,2)</f>
      </c>
      <c r="F96" s="17" t="s">
        <v>48</v>
      </c>
      <c r="G96" s="17" t="s">
        <v>18</v>
      </c>
      <c r="H96" s="18">
        <f>ROUND(RAND()*4+6,1)</f>
      </c>
      <c r="I96" s="17" t="s">
        <v>19</v>
      </c>
      <c r="J96" s="19">
        <f>ROUND(66*1,0)&amp;"%"</f>
      </c>
    </row>
    <row x14ac:dyDescent="0.25" r="97" customHeight="1" ht="17.25">
      <c r="A97" s="20" t="s">
        <v>11494</v>
      </c>
      <c r="B97" s="20" t="s">
        <v>184</v>
      </c>
      <c r="C97" s="20" t="s">
        <v>15</v>
      </c>
      <c r="D97" s="20" t="s">
        <v>22</v>
      </c>
      <c r="E97" s="21">
        <f>ROUND(10265*1.05,2)</f>
      </c>
      <c r="F97" s="20" t="s">
        <v>51</v>
      </c>
      <c r="G97" s="20" t="s">
        <v>24</v>
      </c>
      <c r="H97" s="21">
        <f>ROUND(RAND()*4+6,1)</f>
      </c>
      <c r="I97" s="20" t="s">
        <v>25</v>
      </c>
      <c r="J97" s="23">
        <f>ROUND(83*1,0)&amp;"%"</f>
      </c>
    </row>
    <row x14ac:dyDescent="0.25" r="98" customHeight="1" ht="17.25">
      <c r="A98" s="24" t="s">
        <v>185</v>
      </c>
      <c r="B98" s="24"/>
      <c r="C98" s="24"/>
      <c r="D98" s="24"/>
      <c r="E98" s="25">
        <v>8</v>
      </c>
      <c r="F98" s="9"/>
      <c r="G98" s="9"/>
      <c r="H98" s="10"/>
      <c r="I98" s="9"/>
      <c r="J98" s="9"/>
    </row>
    <row x14ac:dyDescent="0.25" r="99" customHeight="1" ht="17.25">
      <c r="A99" s="7"/>
      <c r="B99" s="7"/>
      <c r="C99" s="7"/>
      <c r="D99" s="7"/>
      <c r="E99" s="8"/>
      <c r="F99" s="9"/>
      <c r="G99" s="9"/>
      <c r="H99" s="10"/>
      <c r="I99" s="9"/>
      <c r="J99" s="9"/>
    </row>
    <row x14ac:dyDescent="0.25" r="100" customHeight="1" ht="17.25">
      <c r="A100" s="11" t="s">
        <v>11495</v>
      </c>
      <c r="B100" s="11"/>
      <c r="C100" s="11"/>
      <c r="D100" s="11"/>
      <c r="E100" s="12"/>
      <c r="F100" s="11"/>
      <c r="G100" s="11"/>
      <c r="H100" s="13"/>
      <c r="I100" s="11"/>
      <c r="J100" s="11"/>
    </row>
    <row x14ac:dyDescent="0.25" r="101" customHeight="1" ht="17.25">
      <c r="A101" s="14" t="s">
        <v>3</v>
      </c>
      <c r="B101" s="14" t="s">
        <v>4</v>
      </c>
      <c r="C101" s="14" t="s">
        <v>5</v>
      </c>
      <c r="D101" s="14" t="s">
        <v>6</v>
      </c>
      <c r="E101" s="15" t="s">
        <v>7</v>
      </c>
      <c r="F101" s="14" t="s">
        <v>8</v>
      </c>
      <c r="G101" s="14" t="s">
        <v>9</v>
      </c>
      <c r="H101" s="16" t="s">
        <v>10</v>
      </c>
      <c r="I101" s="14" t="s">
        <v>11</v>
      </c>
      <c r="J101" s="14" t="s">
        <v>12</v>
      </c>
    </row>
    <row x14ac:dyDescent="0.25" r="102" customHeight="1" ht="17.25">
      <c r="A102" s="17" t="s">
        <v>11496</v>
      </c>
      <c r="B102" s="17" t="s">
        <v>188</v>
      </c>
      <c r="C102" s="17" t="s">
        <v>56</v>
      </c>
      <c r="D102" s="17" t="s">
        <v>16</v>
      </c>
      <c r="E102" s="18">
        <f>ROUND(9676*1.05,2)</f>
      </c>
      <c r="F102" s="17" t="s">
        <v>17</v>
      </c>
      <c r="G102" s="17" t="s">
        <v>18</v>
      </c>
      <c r="H102" s="18">
        <f>ROUND(RAND()*4+6,1)</f>
      </c>
      <c r="I102" s="17" t="s">
        <v>19</v>
      </c>
      <c r="J102" s="19">
        <f>ROUND(93*1,0)&amp;"%"</f>
      </c>
    </row>
    <row x14ac:dyDescent="0.25" r="103" customHeight="1" ht="17.25">
      <c r="A103" s="20" t="s">
        <v>11497</v>
      </c>
      <c r="B103" s="20" t="s">
        <v>190</v>
      </c>
      <c r="C103" s="20" t="s">
        <v>56</v>
      </c>
      <c r="D103" s="20" t="s">
        <v>22</v>
      </c>
      <c r="E103" s="21">
        <f>ROUND(10438*1.05,2)</f>
      </c>
      <c r="F103" s="20" t="s">
        <v>23</v>
      </c>
      <c r="G103" s="20" t="s">
        <v>24</v>
      </c>
      <c r="H103" s="21">
        <f>ROUND(RAND()*4+6,1)</f>
      </c>
      <c r="I103" s="20" t="s">
        <v>25</v>
      </c>
      <c r="J103" s="23">
        <f>ROUND(73*1,0)&amp;"%"</f>
      </c>
    </row>
    <row x14ac:dyDescent="0.25" r="104" customHeight="1" ht="17.25">
      <c r="A104" s="17" t="s">
        <v>11498</v>
      </c>
      <c r="B104" s="17" t="s">
        <v>192</v>
      </c>
      <c r="C104" s="17" t="s">
        <v>56</v>
      </c>
      <c r="D104" s="17" t="s">
        <v>28</v>
      </c>
      <c r="E104" s="18">
        <f>ROUND(16751*1.05,2)</f>
      </c>
      <c r="F104" s="17" t="s">
        <v>29</v>
      </c>
      <c r="G104" s="17" t="s">
        <v>30</v>
      </c>
      <c r="H104" s="18">
        <f>ROUND(RAND()*4+6,1)</f>
      </c>
      <c r="I104" s="17" t="s">
        <v>31</v>
      </c>
      <c r="J104" s="19">
        <f>ROUND(75*1,0)&amp;"%"</f>
      </c>
    </row>
    <row x14ac:dyDescent="0.25" r="105" customHeight="1" ht="17.25">
      <c r="A105" s="20" t="s">
        <v>11499</v>
      </c>
      <c r="B105" s="20" t="s">
        <v>194</v>
      </c>
      <c r="C105" s="20" t="s">
        <v>56</v>
      </c>
      <c r="D105" s="20" t="s">
        <v>34</v>
      </c>
      <c r="E105" s="21">
        <f>ROUND(16118*1.05,2)</f>
      </c>
      <c r="F105" s="20" t="s">
        <v>35</v>
      </c>
      <c r="G105" s="20" t="s">
        <v>18</v>
      </c>
      <c r="H105" s="21">
        <f>ROUND(RAND()*4+6,1)</f>
      </c>
      <c r="I105" s="20" t="s">
        <v>36</v>
      </c>
      <c r="J105" s="23">
        <f>ROUND(74*1,0)&amp;"%"</f>
      </c>
    </row>
    <row x14ac:dyDescent="0.25" r="106" customHeight="1" ht="17.25">
      <c r="A106" s="17" t="s">
        <v>11500</v>
      </c>
      <c r="B106" s="17" t="s">
        <v>196</v>
      </c>
      <c r="C106" s="17" t="s">
        <v>56</v>
      </c>
      <c r="D106" s="17" t="s">
        <v>39</v>
      </c>
      <c r="E106" s="18">
        <f>ROUND(15851*1.05,2)</f>
      </c>
      <c r="F106" s="17" t="s">
        <v>40</v>
      </c>
      <c r="G106" s="17" t="s">
        <v>24</v>
      </c>
      <c r="H106" s="26">
        <f>ROUND(RAND()*4+6,1)</f>
      </c>
      <c r="I106" s="17" t="s">
        <v>41</v>
      </c>
      <c r="J106" s="19">
        <f>ROUND(87*1,0)&amp;"%"</f>
      </c>
    </row>
    <row x14ac:dyDescent="0.25" r="107" customHeight="1" ht="17.25">
      <c r="A107" s="20" t="s">
        <v>11501</v>
      </c>
      <c r="B107" s="20" t="s">
        <v>198</v>
      </c>
      <c r="C107" s="20" t="s">
        <v>56</v>
      </c>
      <c r="D107" s="20" t="s">
        <v>67</v>
      </c>
      <c r="E107" s="21">
        <f>ROUND(4299*1.05,2)</f>
      </c>
      <c r="F107" s="20" t="s">
        <v>44</v>
      </c>
      <c r="G107" s="20" t="s">
        <v>30</v>
      </c>
      <c r="H107" s="21">
        <f>ROUND(RAND()*4+6,1)</f>
      </c>
      <c r="I107" s="20" t="s">
        <v>45</v>
      </c>
      <c r="J107" s="23">
        <f>ROUND(84*1,0)&amp;"%"</f>
      </c>
    </row>
    <row x14ac:dyDescent="0.25" r="108" customHeight="1" ht="17.25">
      <c r="A108" s="17" t="s">
        <v>11502</v>
      </c>
      <c r="B108" s="17" t="s">
        <v>200</v>
      </c>
      <c r="C108" s="17" t="s">
        <v>56</v>
      </c>
      <c r="D108" s="17" t="s">
        <v>16</v>
      </c>
      <c r="E108" s="26">
        <f>ROUND(11680*1.05,2)</f>
      </c>
      <c r="F108" s="17" t="s">
        <v>48</v>
      </c>
      <c r="G108" s="17" t="s">
        <v>18</v>
      </c>
      <c r="H108" s="18">
        <f>ROUND(RAND()*4+6,1)</f>
      </c>
      <c r="I108" s="17" t="s">
        <v>19</v>
      </c>
      <c r="J108" s="19">
        <f>ROUND(87*1,0)&amp;"%"</f>
      </c>
    </row>
    <row x14ac:dyDescent="0.25" r="109" customHeight="1" ht="17.25">
      <c r="A109" s="20" t="s">
        <v>11503</v>
      </c>
      <c r="B109" s="20" t="s">
        <v>202</v>
      </c>
      <c r="C109" s="20" t="s">
        <v>56</v>
      </c>
      <c r="D109" s="20" t="s">
        <v>22</v>
      </c>
      <c r="E109" s="21">
        <f>ROUND(12559*1.05,2)</f>
      </c>
      <c r="F109" s="20" t="s">
        <v>51</v>
      </c>
      <c r="G109" s="20" t="s">
        <v>24</v>
      </c>
      <c r="H109" s="21">
        <f>ROUND(RAND()*4+6,1)</f>
      </c>
      <c r="I109" s="20" t="s">
        <v>25</v>
      </c>
      <c r="J109" s="23">
        <f>ROUND(72*1,0)&amp;"%"</f>
      </c>
    </row>
    <row x14ac:dyDescent="0.25" r="110" customHeight="1" ht="17.25">
      <c r="A110" s="24" t="s">
        <v>203</v>
      </c>
      <c r="B110" s="24"/>
      <c r="C110" s="24"/>
      <c r="D110" s="24"/>
      <c r="E110" s="25">
        <v>8</v>
      </c>
      <c r="F110" s="9"/>
      <c r="G110" s="9"/>
      <c r="H110" s="10"/>
      <c r="I110" s="9"/>
      <c r="J110" s="9"/>
    </row>
    <row x14ac:dyDescent="0.25" r="111" customHeight="1" ht="17.25">
      <c r="A111" s="7"/>
      <c r="B111" s="7"/>
      <c r="C111" s="7"/>
      <c r="D111" s="7"/>
      <c r="E111" s="8"/>
      <c r="F111" s="9"/>
      <c r="G111" s="9"/>
      <c r="H111" s="10"/>
      <c r="I111" s="9"/>
      <c r="J111" s="9"/>
    </row>
    <row x14ac:dyDescent="0.25" r="112" customHeight="1" ht="17.25">
      <c r="A112" s="11" t="s">
        <v>11504</v>
      </c>
      <c r="B112" s="11"/>
      <c r="C112" s="11"/>
      <c r="D112" s="11"/>
      <c r="E112" s="12"/>
      <c r="F112" s="11"/>
      <c r="G112" s="11"/>
      <c r="H112" s="13"/>
      <c r="I112" s="11"/>
      <c r="J112" s="11"/>
    </row>
    <row x14ac:dyDescent="0.25" r="113" customHeight="1" ht="17.25">
      <c r="A113" s="14" t="s">
        <v>3</v>
      </c>
      <c r="B113" s="14" t="s">
        <v>4</v>
      </c>
      <c r="C113" s="14" t="s">
        <v>5</v>
      </c>
      <c r="D113" s="14" t="s">
        <v>6</v>
      </c>
      <c r="E113" s="15" t="s">
        <v>7</v>
      </c>
      <c r="F113" s="14" t="s">
        <v>8</v>
      </c>
      <c r="G113" s="14" t="s">
        <v>9</v>
      </c>
      <c r="H113" s="16" t="s">
        <v>10</v>
      </c>
      <c r="I113" s="14" t="s">
        <v>11</v>
      </c>
      <c r="J113" s="14" t="s">
        <v>12</v>
      </c>
    </row>
    <row x14ac:dyDescent="0.25" r="114" customHeight="1" ht="17.25">
      <c r="A114" s="17" t="s">
        <v>11505</v>
      </c>
      <c r="B114" s="17" t="s">
        <v>206</v>
      </c>
      <c r="C114" s="17" t="s">
        <v>76</v>
      </c>
      <c r="D114" s="17" t="s">
        <v>16</v>
      </c>
      <c r="E114" s="18">
        <f>ROUND(15187*1.05,2)</f>
      </c>
      <c r="F114" s="17" t="s">
        <v>17</v>
      </c>
      <c r="G114" s="17" t="s">
        <v>18</v>
      </c>
      <c r="H114" s="26">
        <f>ROUND(RAND()*4+6,1)</f>
      </c>
      <c r="I114" s="17" t="s">
        <v>19</v>
      </c>
      <c r="J114" s="19">
        <f>ROUND(88*1,0)&amp;"%"</f>
      </c>
    </row>
    <row x14ac:dyDescent="0.25" r="115" customHeight="1" ht="17.25">
      <c r="A115" s="20" t="s">
        <v>11506</v>
      </c>
      <c r="B115" s="20" t="s">
        <v>208</v>
      </c>
      <c r="C115" s="20" t="s">
        <v>76</v>
      </c>
      <c r="D115" s="20" t="s">
        <v>22</v>
      </c>
      <c r="E115" s="21">
        <f>ROUND(6044*1.05,2)</f>
      </c>
      <c r="F115" s="20" t="s">
        <v>23</v>
      </c>
      <c r="G115" s="20" t="s">
        <v>24</v>
      </c>
      <c r="H115" s="21">
        <f>ROUND(RAND()*4+6,1)</f>
      </c>
      <c r="I115" s="20" t="s">
        <v>25</v>
      </c>
      <c r="J115" s="23">
        <f>ROUND(84*1,0)&amp;"%"</f>
      </c>
    </row>
    <row x14ac:dyDescent="0.25" r="116" customHeight="1" ht="17.25">
      <c r="A116" s="17" t="s">
        <v>11507</v>
      </c>
      <c r="B116" s="17" t="s">
        <v>210</v>
      </c>
      <c r="C116" s="17" t="s">
        <v>76</v>
      </c>
      <c r="D116" s="17" t="s">
        <v>28</v>
      </c>
      <c r="E116" s="26">
        <f>ROUND(11420*1.05,2)</f>
      </c>
      <c r="F116" s="17" t="s">
        <v>29</v>
      </c>
      <c r="G116" s="17" t="s">
        <v>30</v>
      </c>
      <c r="H116" s="18">
        <f>ROUND(RAND()*4+6,1)</f>
      </c>
      <c r="I116" s="17" t="s">
        <v>31</v>
      </c>
      <c r="J116" s="19">
        <f>ROUND(68*1,0)&amp;"%"</f>
      </c>
    </row>
    <row x14ac:dyDescent="0.25" r="117" customHeight="1" ht="17.25">
      <c r="A117" s="20" t="s">
        <v>11508</v>
      </c>
      <c r="B117" s="20" t="s">
        <v>212</v>
      </c>
      <c r="C117" s="20" t="s">
        <v>76</v>
      </c>
      <c r="D117" s="20" t="s">
        <v>34</v>
      </c>
      <c r="E117" s="21">
        <f>ROUND(6176*1.05,2)</f>
      </c>
      <c r="F117" s="20" t="s">
        <v>35</v>
      </c>
      <c r="G117" s="20" t="s">
        <v>18</v>
      </c>
      <c r="H117" s="21">
        <f>ROUND(RAND()*4+6,1)</f>
      </c>
      <c r="I117" s="20" t="s">
        <v>36</v>
      </c>
      <c r="J117" s="23">
        <f>ROUND(80*1,0)&amp;"%"</f>
      </c>
    </row>
    <row x14ac:dyDescent="0.25" r="118" customHeight="1" ht="17.25">
      <c r="A118" s="17" t="s">
        <v>11509</v>
      </c>
      <c r="B118" s="17" t="s">
        <v>214</v>
      </c>
      <c r="C118" s="17" t="s">
        <v>76</v>
      </c>
      <c r="D118" s="17" t="s">
        <v>39</v>
      </c>
      <c r="E118" s="18">
        <f>ROUND(12515*1.05,2)</f>
      </c>
      <c r="F118" s="17" t="s">
        <v>40</v>
      </c>
      <c r="G118" s="17" t="s">
        <v>24</v>
      </c>
      <c r="H118" s="18">
        <f>ROUND(RAND()*4+6,1)</f>
      </c>
      <c r="I118" s="17" t="s">
        <v>41</v>
      </c>
      <c r="J118" s="19">
        <f>ROUND(87*1,0)&amp;"%"</f>
      </c>
    </row>
    <row x14ac:dyDescent="0.25" r="119" customHeight="1" ht="17.25">
      <c r="A119" s="20" t="s">
        <v>11510</v>
      </c>
      <c r="B119" s="20" t="s">
        <v>216</v>
      </c>
      <c r="C119" s="20" t="s">
        <v>76</v>
      </c>
      <c r="D119" s="20" t="s">
        <v>67</v>
      </c>
      <c r="E119" s="22">
        <f>ROUND(16960*1.05,2)</f>
      </c>
      <c r="F119" s="20" t="s">
        <v>44</v>
      </c>
      <c r="G119" s="20" t="s">
        <v>30</v>
      </c>
      <c r="H119" s="21">
        <f>ROUND(RAND()*4+6,1)</f>
      </c>
      <c r="I119" s="20" t="s">
        <v>45</v>
      </c>
      <c r="J119" s="23">
        <f>ROUND(67*1,0)&amp;"%"</f>
      </c>
    </row>
    <row x14ac:dyDescent="0.25" r="120" customHeight="1" ht="17.25">
      <c r="A120" s="17" t="s">
        <v>11511</v>
      </c>
      <c r="B120" s="17" t="s">
        <v>218</v>
      </c>
      <c r="C120" s="17" t="s">
        <v>76</v>
      </c>
      <c r="D120" s="17" t="s">
        <v>16</v>
      </c>
      <c r="E120" s="18">
        <f>ROUND(7001*1.05,2)</f>
      </c>
      <c r="F120" s="17" t="s">
        <v>48</v>
      </c>
      <c r="G120" s="17" t="s">
        <v>18</v>
      </c>
      <c r="H120" s="18">
        <f>ROUND(RAND()*4+6,1)</f>
      </c>
      <c r="I120" s="17" t="s">
        <v>19</v>
      </c>
      <c r="J120" s="19">
        <f>ROUND(73*1,0)&amp;"%"</f>
      </c>
    </row>
    <row x14ac:dyDescent="0.25" r="121" customHeight="1" ht="17.25">
      <c r="A121" s="20" t="s">
        <v>11512</v>
      </c>
      <c r="B121" s="20" t="s">
        <v>220</v>
      </c>
      <c r="C121" s="20" t="s">
        <v>76</v>
      </c>
      <c r="D121" s="20" t="s">
        <v>22</v>
      </c>
      <c r="E121" s="21">
        <f>ROUND(14528*1.05,2)</f>
      </c>
      <c r="F121" s="20" t="s">
        <v>51</v>
      </c>
      <c r="G121" s="20" t="s">
        <v>24</v>
      </c>
      <c r="H121" s="21">
        <f>ROUND(RAND()*4+6,1)</f>
      </c>
      <c r="I121" s="20" t="s">
        <v>25</v>
      </c>
      <c r="J121" s="23">
        <f>ROUND(100*1,0)&amp;"%"</f>
      </c>
    </row>
    <row x14ac:dyDescent="0.25" r="122" customHeight="1" ht="17.25">
      <c r="A122" s="24" t="s">
        <v>221</v>
      </c>
      <c r="B122" s="24"/>
      <c r="C122" s="24"/>
      <c r="D122" s="24"/>
      <c r="E122" s="25">
        <v>8</v>
      </c>
      <c r="F122" s="9"/>
      <c r="G122" s="9"/>
      <c r="H122" s="10"/>
      <c r="I122" s="9"/>
      <c r="J122" s="9"/>
    </row>
    <row x14ac:dyDescent="0.25" r="123" customHeight="1" ht="17.25">
      <c r="A123" s="7"/>
      <c r="B123" s="7"/>
      <c r="C123" s="7"/>
      <c r="D123" s="7"/>
      <c r="E123" s="8"/>
      <c r="F123" s="9"/>
      <c r="G123" s="9"/>
      <c r="H123" s="10"/>
      <c r="I123" s="9"/>
      <c r="J123" s="9"/>
    </row>
    <row x14ac:dyDescent="0.25" r="124" customHeight="1" ht="17.25">
      <c r="A124" s="11" t="s">
        <v>11513</v>
      </c>
      <c r="B124" s="11"/>
      <c r="C124" s="11"/>
      <c r="D124" s="11"/>
      <c r="E124" s="12"/>
      <c r="F124" s="11"/>
      <c r="G124" s="11"/>
      <c r="H124" s="13"/>
      <c r="I124" s="11"/>
      <c r="J124" s="11"/>
    </row>
    <row x14ac:dyDescent="0.25" r="125" customHeight="1" ht="17.25">
      <c r="A125" s="14" t="s">
        <v>3</v>
      </c>
      <c r="B125" s="14" t="s">
        <v>4</v>
      </c>
      <c r="C125" s="14" t="s">
        <v>5</v>
      </c>
      <c r="D125" s="14" t="s">
        <v>6</v>
      </c>
      <c r="E125" s="15" t="s">
        <v>7</v>
      </c>
      <c r="F125" s="14" t="s">
        <v>8</v>
      </c>
      <c r="G125" s="14" t="s">
        <v>9</v>
      </c>
      <c r="H125" s="16" t="s">
        <v>10</v>
      </c>
      <c r="I125" s="14" t="s">
        <v>11</v>
      </c>
      <c r="J125" s="14" t="s">
        <v>12</v>
      </c>
    </row>
    <row x14ac:dyDescent="0.25" r="126" customHeight="1" ht="17.25">
      <c r="A126" s="17" t="s">
        <v>11514</v>
      </c>
      <c r="B126" s="17" t="s">
        <v>224</v>
      </c>
      <c r="C126" s="17" t="s">
        <v>95</v>
      </c>
      <c r="D126" s="17" t="s">
        <v>16</v>
      </c>
      <c r="E126" s="18">
        <f>ROUND(12572*1.05,2)</f>
      </c>
      <c r="F126" s="17" t="s">
        <v>17</v>
      </c>
      <c r="G126" s="17" t="s">
        <v>18</v>
      </c>
      <c r="H126" s="18">
        <f>ROUND(RAND()*4+6,1)</f>
      </c>
      <c r="I126" s="17" t="s">
        <v>19</v>
      </c>
      <c r="J126" s="19">
        <f>ROUND(87*1,0)&amp;"%"</f>
      </c>
    </row>
    <row x14ac:dyDescent="0.25" r="127" customHeight="1" ht="17.25">
      <c r="A127" s="20" t="s">
        <v>11515</v>
      </c>
      <c r="B127" s="20" t="s">
        <v>226</v>
      </c>
      <c r="C127" s="20" t="s">
        <v>95</v>
      </c>
      <c r="D127" s="20" t="s">
        <v>22</v>
      </c>
      <c r="E127" s="21">
        <f>ROUND(16494*1.05,2)</f>
      </c>
      <c r="F127" s="20" t="s">
        <v>23</v>
      </c>
      <c r="G127" s="20" t="s">
        <v>24</v>
      </c>
      <c r="H127" s="21">
        <f>ROUND(RAND()*4+6,1)</f>
      </c>
      <c r="I127" s="20" t="s">
        <v>25</v>
      </c>
      <c r="J127" s="23">
        <f>ROUND(95*1,0)&amp;"%"</f>
      </c>
    </row>
    <row x14ac:dyDescent="0.25" r="128" customHeight="1" ht="17.25">
      <c r="A128" s="17" t="s">
        <v>11516</v>
      </c>
      <c r="B128" s="17" t="s">
        <v>228</v>
      </c>
      <c r="C128" s="17" t="s">
        <v>95</v>
      </c>
      <c r="D128" s="17" t="s">
        <v>28</v>
      </c>
      <c r="E128" s="18">
        <f>ROUND(16538*1.05,2)</f>
      </c>
      <c r="F128" s="17" t="s">
        <v>29</v>
      </c>
      <c r="G128" s="17" t="s">
        <v>30</v>
      </c>
      <c r="H128" s="18">
        <f>ROUND(RAND()*4+6,1)</f>
      </c>
      <c r="I128" s="17" t="s">
        <v>31</v>
      </c>
      <c r="J128" s="19">
        <f>ROUND(80*1,0)&amp;"%"</f>
      </c>
    </row>
    <row x14ac:dyDescent="0.25" r="129" customHeight="1" ht="17.25">
      <c r="A129" s="20" t="s">
        <v>11517</v>
      </c>
      <c r="B129" s="20" t="s">
        <v>230</v>
      </c>
      <c r="C129" s="20" t="s">
        <v>95</v>
      </c>
      <c r="D129" s="20" t="s">
        <v>34</v>
      </c>
      <c r="E129" s="21">
        <f>ROUND(10485*1.05,2)</f>
      </c>
      <c r="F129" s="20" t="s">
        <v>35</v>
      </c>
      <c r="G129" s="20" t="s">
        <v>18</v>
      </c>
      <c r="H129" s="21">
        <f>ROUND(RAND()*4+6,1)</f>
      </c>
      <c r="I129" s="20" t="s">
        <v>36</v>
      </c>
      <c r="J129" s="23">
        <f>ROUND(95*1,0)&amp;"%"</f>
      </c>
    </row>
    <row x14ac:dyDescent="0.25" r="130" customHeight="1" ht="17.25">
      <c r="A130" s="17" t="s">
        <v>11518</v>
      </c>
      <c r="B130" s="17" t="s">
        <v>232</v>
      </c>
      <c r="C130" s="17" t="s">
        <v>95</v>
      </c>
      <c r="D130" s="17" t="s">
        <v>39</v>
      </c>
      <c r="E130" s="18">
        <f>ROUND(7047*1.05,2)</f>
      </c>
      <c r="F130" s="17" t="s">
        <v>40</v>
      </c>
      <c r="G130" s="17" t="s">
        <v>24</v>
      </c>
      <c r="H130" s="18">
        <f>ROUND(RAND()*4+6,1)</f>
      </c>
      <c r="I130" s="17" t="s">
        <v>41</v>
      </c>
      <c r="J130" s="19">
        <f>ROUND(84*1,0)&amp;"%"</f>
      </c>
    </row>
    <row x14ac:dyDescent="0.25" r="131" customHeight="1" ht="17.25">
      <c r="A131" s="20" t="s">
        <v>11519</v>
      </c>
      <c r="B131" s="20" t="s">
        <v>234</v>
      </c>
      <c r="C131" s="20" t="s">
        <v>95</v>
      </c>
      <c r="D131" s="20" t="s">
        <v>67</v>
      </c>
      <c r="E131" s="21">
        <f>ROUND(9434*1.05,2)</f>
      </c>
      <c r="F131" s="20" t="s">
        <v>44</v>
      </c>
      <c r="G131" s="20" t="s">
        <v>30</v>
      </c>
      <c r="H131" s="21">
        <f>ROUND(RAND()*4+6,1)</f>
      </c>
      <c r="I131" s="20" t="s">
        <v>45</v>
      </c>
      <c r="J131" s="23">
        <f>ROUND(76*1,0)&amp;"%"</f>
      </c>
    </row>
    <row x14ac:dyDescent="0.25" r="132" customHeight="1" ht="17.25">
      <c r="A132" s="17" t="s">
        <v>11520</v>
      </c>
      <c r="B132" s="17" t="s">
        <v>236</v>
      </c>
      <c r="C132" s="17" t="s">
        <v>95</v>
      </c>
      <c r="D132" s="17" t="s">
        <v>16</v>
      </c>
      <c r="E132" s="18">
        <f>ROUND(9134*1.05,2)</f>
      </c>
      <c r="F132" s="17" t="s">
        <v>48</v>
      </c>
      <c r="G132" s="17" t="s">
        <v>18</v>
      </c>
      <c r="H132" s="26">
        <f>ROUND(RAND()*4+6,1)</f>
      </c>
      <c r="I132" s="17" t="s">
        <v>19</v>
      </c>
      <c r="J132" s="19">
        <f>ROUND(93*1,0)&amp;"%"</f>
      </c>
    </row>
    <row x14ac:dyDescent="0.25" r="133" customHeight="1" ht="17.25">
      <c r="A133" s="20" t="s">
        <v>11521</v>
      </c>
      <c r="B133" s="20" t="s">
        <v>238</v>
      </c>
      <c r="C133" s="20" t="s">
        <v>95</v>
      </c>
      <c r="D133" s="20" t="s">
        <v>22</v>
      </c>
      <c r="E133" s="21">
        <f>ROUND(10731*1.05,2)</f>
      </c>
      <c r="F133" s="20" t="s">
        <v>51</v>
      </c>
      <c r="G133" s="20" t="s">
        <v>24</v>
      </c>
      <c r="H133" s="22">
        <f>ROUND(RAND()*4+6,1)</f>
      </c>
      <c r="I133" s="20" t="s">
        <v>25</v>
      </c>
      <c r="J133" s="23">
        <f>ROUND(72*1,0)&amp;"%"</f>
      </c>
    </row>
    <row x14ac:dyDescent="0.25" r="134" customHeight="1" ht="17.25">
      <c r="A134" s="24" t="s">
        <v>239</v>
      </c>
      <c r="B134" s="24"/>
      <c r="C134" s="24"/>
      <c r="D134" s="24"/>
      <c r="E134" s="25">
        <v>8</v>
      </c>
      <c r="F134" s="9"/>
      <c r="G134" s="9"/>
      <c r="H134" s="10"/>
      <c r="I134" s="9"/>
      <c r="J134" s="9"/>
    </row>
    <row x14ac:dyDescent="0.25" r="135" customHeight="1" ht="17.25">
      <c r="A135" s="7"/>
      <c r="B135" s="7"/>
      <c r="C135" s="7"/>
      <c r="D135" s="7"/>
      <c r="E135" s="8"/>
      <c r="F135" s="9"/>
      <c r="G135" s="9"/>
      <c r="H135" s="10"/>
      <c r="I135" s="9"/>
      <c r="J135" s="9"/>
    </row>
    <row x14ac:dyDescent="0.25" r="136" customHeight="1" ht="17.25">
      <c r="A136" s="11" t="s">
        <v>11522</v>
      </c>
      <c r="B136" s="11"/>
      <c r="C136" s="11"/>
      <c r="D136" s="11"/>
      <c r="E136" s="12"/>
      <c r="F136" s="11"/>
      <c r="G136" s="11"/>
      <c r="H136" s="13"/>
      <c r="I136" s="11"/>
      <c r="J136" s="11"/>
    </row>
    <row x14ac:dyDescent="0.25" r="137" customHeight="1" ht="17.25">
      <c r="A137" s="14" t="s">
        <v>3</v>
      </c>
      <c r="B137" s="14" t="s">
        <v>4</v>
      </c>
      <c r="C137" s="14" t="s">
        <v>5</v>
      </c>
      <c r="D137" s="14" t="s">
        <v>6</v>
      </c>
      <c r="E137" s="15" t="s">
        <v>7</v>
      </c>
      <c r="F137" s="14" t="s">
        <v>8</v>
      </c>
      <c r="G137" s="14" t="s">
        <v>9</v>
      </c>
      <c r="H137" s="16" t="s">
        <v>10</v>
      </c>
      <c r="I137" s="14" t="s">
        <v>11</v>
      </c>
      <c r="J137" s="14" t="s">
        <v>12</v>
      </c>
    </row>
    <row x14ac:dyDescent="0.25" r="138" customHeight="1" ht="17.25">
      <c r="A138" s="17" t="s">
        <v>11523</v>
      </c>
      <c r="B138" s="17" t="s">
        <v>242</v>
      </c>
      <c r="C138" s="17" t="s">
        <v>114</v>
      </c>
      <c r="D138" s="17" t="s">
        <v>16</v>
      </c>
      <c r="E138" s="18">
        <f>ROUND(15010*1.05,2)</f>
      </c>
      <c r="F138" s="17" t="s">
        <v>17</v>
      </c>
      <c r="G138" s="17" t="s">
        <v>18</v>
      </c>
      <c r="H138" s="18">
        <f>ROUND(RAND()*4+6,1)</f>
      </c>
      <c r="I138" s="17" t="s">
        <v>19</v>
      </c>
      <c r="J138" s="19">
        <f>ROUND(84*1,0)&amp;"%"</f>
      </c>
    </row>
    <row x14ac:dyDescent="0.25" r="139" customHeight="1" ht="17.25">
      <c r="A139" s="20" t="s">
        <v>11524</v>
      </c>
      <c r="B139" s="20" t="s">
        <v>244</v>
      </c>
      <c r="C139" s="20" t="s">
        <v>114</v>
      </c>
      <c r="D139" s="20" t="s">
        <v>22</v>
      </c>
      <c r="E139" s="21">
        <f>ROUND(17630*1.05,2)</f>
      </c>
      <c r="F139" s="20" t="s">
        <v>23</v>
      </c>
      <c r="G139" s="20" t="s">
        <v>24</v>
      </c>
      <c r="H139" s="21">
        <f>ROUND(RAND()*4+6,1)</f>
      </c>
      <c r="I139" s="20" t="s">
        <v>25</v>
      </c>
      <c r="J139" s="23">
        <f>ROUND(98*1,0)&amp;"%"</f>
      </c>
    </row>
    <row x14ac:dyDescent="0.25" r="140" customHeight="1" ht="17.25">
      <c r="A140" s="17" t="s">
        <v>11525</v>
      </c>
      <c r="B140" s="17" t="s">
        <v>246</v>
      </c>
      <c r="C140" s="17" t="s">
        <v>114</v>
      </c>
      <c r="D140" s="17" t="s">
        <v>28</v>
      </c>
      <c r="E140" s="26">
        <f>ROUND(15440*1.05,2)</f>
      </c>
      <c r="F140" s="17" t="s">
        <v>29</v>
      </c>
      <c r="G140" s="17" t="s">
        <v>30</v>
      </c>
      <c r="H140" s="26">
        <f>ROUND(RAND()*4+6,1)</f>
      </c>
      <c r="I140" s="17" t="s">
        <v>31</v>
      </c>
      <c r="J140" s="19">
        <f>ROUND(79*1,0)&amp;"%"</f>
      </c>
    </row>
    <row x14ac:dyDescent="0.25" r="141" customHeight="1" ht="17.25">
      <c r="A141" s="20" t="s">
        <v>11526</v>
      </c>
      <c r="B141" s="20" t="s">
        <v>248</v>
      </c>
      <c r="C141" s="20" t="s">
        <v>114</v>
      </c>
      <c r="D141" s="20" t="s">
        <v>34</v>
      </c>
      <c r="E141" s="21">
        <f>ROUND(10876*1.05,2)</f>
      </c>
      <c r="F141" s="20" t="s">
        <v>35</v>
      </c>
      <c r="G141" s="20" t="s">
        <v>18</v>
      </c>
      <c r="H141" s="21">
        <f>ROUND(RAND()*4+6,1)</f>
      </c>
      <c r="I141" s="20" t="s">
        <v>36</v>
      </c>
      <c r="J141" s="23">
        <f>ROUND(80*1,0)&amp;"%"</f>
      </c>
    </row>
    <row x14ac:dyDescent="0.25" r="142" customHeight="1" ht="17.25">
      <c r="A142" s="17" t="s">
        <v>11527</v>
      </c>
      <c r="B142" s="17" t="s">
        <v>250</v>
      </c>
      <c r="C142" s="17" t="s">
        <v>114</v>
      </c>
      <c r="D142" s="17" t="s">
        <v>39</v>
      </c>
      <c r="E142" s="18">
        <f>ROUND(7464*1.05,2)</f>
      </c>
      <c r="F142" s="17" t="s">
        <v>40</v>
      </c>
      <c r="G142" s="17" t="s">
        <v>24</v>
      </c>
      <c r="H142" s="18">
        <f>ROUND(RAND()*4+6,1)</f>
      </c>
      <c r="I142" s="17" t="s">
        <v>41</v>
      </c>
      <c r="J142" s="19">
        <f>ROUND(82*1,0)&amp;"%"</f>
      </c>
    </row>
    <row x14ac:dyDescent="0.25" r="143" customHeight="1" ht="17.25">
      <c r="A143" s="20" t="s">
        <v>11528</v>
      </c>
      <c r="B143" s="20" t="s">
        <v>252</v>
      </c>
      <c r="C143" s="20" t="s">
        <v>114</v>
      </c>
      <c r="D143" s="20" t="s">
        <v>67</v>
      </c>
      <c r="E143" s="21">
        <f>ROUND(10606*1.05,2)</f>
      </c>
      <c r="F143" s="20" t="s">
        <v>44</v>
      </c>
      <c r="G143" s="20" t="s">
        <v>30</v>
      </c>
      <c r="H143" s="21">
        <f>ROUND(RAND()*4+6,1)</f>
      </c>
      <c r="I143" s="20" t="s">
        <v>45</v>
      </c>
      <c r="J143" s="23">
        <f>ROUND(75*1,0)&amp;"%"</f>
      </c>
    </row>
    <row x14ac:dyDescent="0.25" r="144" customHeight="1" ht="17.25">
      <c r="A144" s="17" t="s">
        <v>11529</v>
      </c>
      <c r="B144" s="17" t="s">
        <v>254</v>
      </c>
      <c r="C144" s="17" t="s">
        <v>114</v>
      </c>
      <c r="D144" s="17" t="s">
        <v>16</v>
      </c>
      <c r="E144" s="26">
        <f>ROUND(11200*1.05,2)</f>
      </c>
      <c r="F144" s="17" t="s">
        <v>48</v>
      </c>
      <c r="G144" s="17" t="s">
        <v>18</v>
      </c>
      <c r="H144" s="18">
        <f>ROUND(RAND()*4+6,1)</f>
      </c>
      <c r="I144" s="17" t="s">
        <v>19</v>
      </c>
      <c r="J144" s="19">
        <f>ROUND(63*1,0)&amp;"%"</f>
      </c>
    </row>
    <row x14ac:dyDescent="0.25" r="145" customHeight="1" ht="17.25">
      <c r="A145" s="20" t="s">
        <v>11530</v>
      </c>
      <c r="B145" s="20" t="s">
        <v>256</v>
      </c>
      <c r="C145" s="20" t="s">
        <v>114</v>
      </c>
      <c r="D145" s="20" t="s">
        <v>22</v>
      </c>
      <c r="E145" s="21">
        <f>ROUND(15383*1.05,2)</f>
      </c>
      <c r="F145" s="20" t="s">
        <v>51</v>
      </c>
      <c r="G145" s="20" t="s">
        <v>24</v>
      </c>
      <c r="H145" s="21">
        <f>ROUND(RAND()*4+6,1)</f>
      </c>
      <c r="I145" s="20" t="s">
        <v>25</v>
      </c>
      <c r="J145" s="23">
        <f>ROUND(74*1,0)&amp;"%"</f>
      </c>
    </row>
    <row x14ac:dyDescent="0.25" r="146" customHeight="1" ht="17.25">
      <c r="A146" s="24" t="s">
        <v>257</v>
      </c>
      <c r="B146" s="24"/>
      <c r="C146" s="24"/>
      <c r="D146" s="24"/>
      <c r="E146" s="25">
        <v>8</v>
      </c>
      <c r="F146" s="9"/>
      <c r="G146" s="9"/>
      <c r="H146" s="10"/>
      <c r="I146" s="9"/>
      <c r="J146" s="9"/>
    </row>
    <row x14ac:dyDescent="0.25" r="147" customHeight="1" ht="17.25">
      <c r="A147" s="7"/>
      <c r="B147" s="7"/>
      <c r="C147" s="7"/>
      <c r="D147" s="7"/>
      <c r="E147" s="8"/>
      <c r="F147" s="9"/>
      <c r="G147" s="9"/>
      <c r="H147" s="10"/>
      <c r="I147" s="9"/>
      <c r="J147" s="9"/>
    </row>
    <row x14ac:dyDescent="0.25" r="148" customHeight="1" ht="17.25">
      <c r="A148" s="11" t="s">
        <v>11531</v>
      </c>
      <c r="B148" s="11"/>
      <c r="C148" s="11"/>
      <c r="D148" s="11"/>
      <c r="E148" s="12"/>
      <c r="F148" s="11"/>
      <c r="G148" s="11"/>
      <c r="H148" s="13"/>
      <c r="I148" s="11"/>
      <c r="J148" s="11"/>
    </row>
    <row x14ac:dyDescent="0.25" r="149" customHeight="1" ht="17.25">
      <c r="A149" s="14" t="s">
        <v>3</v>
      </c>
      <c r="B149" s="14" t="s">
        <v>4</v>
      </c>
      <c r="C149" s="14" t="s">
        <v>5</v>
      </c>
      <c r="D149" s="14" t="s">
        <v>6</v>
      </c>
      <c r="E149" s="15" t="s">
        <v>7</v>
      </c>
      <c r="F149" s="14" t="s">
        <v>8</v>
      </c>
      <c r="G149" s="14" t="s">
        <v>9</v>
      </c>
      <c r="H149" s="16" t="s">
        <v>10</v>
      </c>
      <c r="I149" s="14" t="s">
        <v>11</v>
      </c>
      <c r="J149" s="14" t="s">
        <v>12</v>
      </c>
    </row>
    <row x14ac:dyDescent="0.25" r="150" customHeight="1" ht="17.25">
      <c r="A150" s="17" t="s">
        <v>11532</v>
      </c>
      <c r="B150" s="17" t="s">
        <v>260</v>
      </c>
      <c r="C150" s="17" t="s">
        <v>133</v>
      </c>
      <c r="D150" s="17" t="s">
        <v>16</v>
      </c>
      <c r="E150" s="18">
        <f>ROUND(4003*1.05,2)</f>
      </c>
      <c r="F150" s="17" t="s">
        <v>17</v>
      </c>
      <c r="G150" s="17" t="s">
        <v>18</v>
      </c>
      <c r="H150" s="18">
        <f>ROUND(RAND()*4+6,1)</f>
      </c>
      <c r="I150" s="17" t="s">
        <v>19</v>
      </c>
      <c r="J150" s="19">
        <f>ROUND(95*1,0)&amp;"%"</f>
      </c>
    </row>
    <row x14ac:dyDescent="0.25" r="151" customHeight="1" ht="17.25">
      <c r="A151" s="20" t="s">
        <v>11533</v>
      </c>
      <c r="B151" s="20" t="s">
        <v>262</v>
      </c>
      <c r="C151" s="20" t="s">
        <v>133</v>
      </c>
      <c r="D151" s="20" t="s">
        <v>22</v>
      </c>
      <c r="E151" s="21">
        <f>ROUND(15052*1.05,2)</f>
      </c>
      <c r="F151" s="20" t="s">
        <v>23</v>
      </c>
      <c r="G151" s="20" t="s">
        <v>24</v>
      </c>
      <c r="H151" s="21">
        <f>ROUND(RAND()*4+6,1)</f>
      </c>
      <c r="I151" s="20" t="s">
        <v>25</v>
      </c>
      <c r="J151" s="23">
        <f>ROUND(77*1,0)&amp;"%"</f>
      </c>
    </row>
    <row x14ac:dyDescent="0.25" r="152" customHeight="1" ht="17.25">
      <c r="A152" s="17" t="s">
        <v>11534</v>
      </c>
      <c r="B152" s="17" t="s">
        <v>264</v>
      </c>
      <c r="C152" s="17" t="s">
        <v>133</v>
      </c>
      <c r="D152" s="17" t="s">
        <v>28</v>
      </c>
      <c r="E152" s="18">
        <f>ROUND(11638*1.05,2)</f>
      </c>
      <c r="F152" s="17" t="s">
        <v>29</v>
      </c>
      <c r="G152" s="17" t="s">
        <v>30</v>
      </c>
      <c r="H152" s="18">
        <f>ROUND(RAND()*4+6,1)</f>
      </c>
      <c r="I152" s="17" t="s">
        <v>31</v>
      </c>
      <c r="J152" s="19">
        <f>ROUND(97*1,0)&amp;"%"</f>
      </c>
    </row>
    <row x14ac:dyDescent="0.25" r="153" customHeight="1" ht="17.25">
      <c r="A153" s="20" t="s">
        <v>11535</v>
      </c>
      <c r="B153" s="20" t="s">
        <v>266</v>
      </c>
      <c r="C153" s="20" t="s">
        <v>133</v>
      </c>
      <c r="D153" s="20" t="s">
        <v>34</v>
      </c>
      <c r="E153" s="21">
        <f>ROUND(12842*1.05,2)</f>
      </c>
      <c r="F153" s="20" t="s">
        <v>35</v>
      </c>
      <c r="G153" s="20" t="s">
        <v>18</v>
      </c>
      <c r="H153" s="21">
        <f>ROUND(RAND()*4+6,1)</f>
      </c>
      <c r="I153" s="20" t="s">
        <v>36</v>
      </c>
      <c r="J153" s="23">
        <f>ROUND(93*1,0)&amp;"%"</f>
      </c>
    </row>
    <row x14ac:dyDescent="0.25" r="154" customHeight="1" ht="17.25">
      <c r="A154" s="17" t="s">
        <v>11536</v>
      </c>
      <c r="B154" s="17" t="s">
        <v>268</v>
      </c>
      <c r="C154" s="17" t="s">
        <v>133</v>
      </c>
      <c r="D154" s="17" t="s">
        <v>39</v>
      </c>
      <c r="E154" s="18">
        <f>ROUND(15492*1.05,2)</f>
      </c>
      <c r="F154" s="17" t="s">
        <v>40</v>
      </c>
      <c r="G154" s="17" t="s">
        <v>24</v>
      </c>
      <c r="H154" s="18">
        <f>ROUND(RAND()*4+6,1)</f>
      </c>
      <c r="I154" s="17" t="s">
        <v>41</v>
      </c>
      <c r="J154" s="19">
        <f>ROUND(64*1,0)&amp;"%"</f>
      </c>
    </row>
    <row x14ac:dyDescent="0.25" r="155" customHeight="1" ht="17.25">
      <c r="A155" s="20" t="s">
        <v>11537</v>
      </c>
      <c r="B155" s="20" t="s">
        <v>270</v>
      </c>
      <c r="C155" s="20" t="s">
        <v>133</v>
      </c>
      <c r="D155" s="20" t="s">
        <v>67</v>
      </c>
      <c r="E155" s="21">
        <f>ROUND(16011*1.05,2)</f>
      </c>
      <c r="F155" s="20" t="s">
        <v>44</v>
      </c>
      <c r="G155" s="20" t="s">
        <v>30</v>
      </c>
      <c r="H155" s="21">
        <f>ROUND(RAND()*4+6,1)</f>
      </c>
      <c r="I155" s="20" t="s">
        <v>45</v>
      </c>
      <c r="J155" s="23">
        <f>ROUND(63*1,0)&amp;"%"</f>
      </c>
    </row>
    <row x14ac:dyDescent="0.25" r="156" customHeight="1" ht="17.25">
      <c r="A156" s="17" t="s">
        <v>11538</v>
      </c>
      <c r="B156" s="17" t="s">
        <v>272</v>
      </c>
      <c r="C156" s="17" t="s">
        <v>133</v>
      </c>
      <c r="D156" s="17" t="s">
        <v>16</v>
      </c>
      <c r="E156" s="18">
        <f>ROUND(14135*1.05,2)</f>
      </c>
      <c r="F156" s="17" t="s">
        <v>48</v>
      </c>
      <c r="G156" s="17" t="s">
        <v>18</v>
      </c>
      <c r="H156" s="18">
        <f>ROUND(RAND()*4+6,1)</f>
      </c>
      <c r="I156" s="17" t="s">
        <v>19</v>
      </c>
      <c r="J156" s="19">
        <f>ROUND(86*1,0)&amp;"%"</f>
      </c>
    </row>
    <row x14ac:dyDescent="0.25" r="157" customHeight="1" ht="17.25">
      <c r="A157" s="20" t="s">
        <v>11539</v>
      </c>
      <c r="B157" s="20" t="s">
        <v>274</v>
      </c>
      <c r="C157" s="20" t="s">
        <v>133</v>
      </c>
      <c r="D157" s="20" t="s">
        <v>22</v>
      </c>
      <c r="E157" s="21">
        <f>ROUND(15864*1.05,2)</f>
      </c>
      <c r="F157" s="20" t="s">
        <v>51</v>
      </c>
      <c r="G157" s="20" t="s">
        <v>24</v>
      </c>
      <c r="H157" s="21">
        <f>ROUND(RAND()*4+6,1)</f>
      </c>
      <c r="I157" s="20" t="s">
        <v>25</v>
      </c>
      <c r="J157" s="23">
        <f>ROUND(93*1,0)&amp;"%"</f>
      </c>
    </row>
    <row x14ac:dyDescent="0.25" r="158" customHeight="1" ht="17.25">
      <c r="A158" s="24" t="s">
        <v>275</v>
      </c>
      <c r="B158" s="24"/>
      <c r="C158" s="24"/>
      <c r="D158" s="24"/>
      <c r="E158" s="25">
        <v>8</v>
      </c>
      <c r="F158" s="9"/>
      <c r="G158" s="9"/>
      <c r="H158" s="10"/>
      <c r="I158" s="9"/>
      <c r="J158" s="9"/>
    </row>
    <row x14ac:dyDescent="0.25" r="159" customHeight="1" ht="17.25">
      <c r="A159" s="7"/>
      <c r="B159" s="7"/>
      <c r="C159" s="7"/>
      <c r="D159" s="7"/>
      <c r="E159" s="8"/>
      <c r="F159" s="9"/>
      <c r="G159" s="9"/>
      <c r="H159" s="10"/>
      <c r="I159" s="9"/>
      <c r="J159" s="9"/>
    </row>
    <row x14ac:dyDescent="0.25" r="160" customHeight="1" ht="17.25">
      <c r="A160" s="11" t="s">
        <v>11540</v>
      </c>
      <c r="B160" s="11"/>
      <c r="C160" s="11"/>
      <c r="D160" s="11"/>
      <c r="E160" s="12"/>
      <c r="F160" s="11"/>
      <c r="G160" s="11"/>
      <c r="H160" s="13"/>
      <c r="I160" s="11"/>
      <c r="J160" s="11"/>
    </row>
    <row x14ac:dyDescent="0.25" r="161" customHeight="1" ht="17.25">
      <c r="A161" s="14" t="s">
        <v>3</v>
      </c>
      <c r="B161" s="14" t="s">
        <v>4</v>
      </c>
      <c r="C161" s="14" t="s">
        <v>5</v>
      </c>
      <c r="D161" s="14" t="s">
        <v>6</v>
      </c>
      <c r="E161" s="15" t="s">
        <v>7</v>
      </c>
      <c r="F161" s="14" t="s">
        <v>8</v>
      </c>
      <c r="G161" s="14" t="s">
        <v>9</v>
      </c>
      <c r="H161" s="16" t="s">
        <v>10</v>
      </c>
      <c r="I161" s="14" t="s">
        <v>11</v>
      </c>
      <c r="J161" s="14" t="s">
        <v>12</v>
      </c>
    </row>
    <row x14ac:dyDescent="0.25" r="162" customHeight="1" ht="17.25">
      <c r="A162" s="17" t="s">
        <v>11541</v>
      </c>
      <c r="B162" s="17" t="s">
        <v>278</v>
      </c>
      <c r="C162" s="17" t="s">
        <v>152</v>
      </c>
      <c r="D162" s="17" t="s">
        <v>16</v>
      </c>
      <c r="E162" s="18">
        <f>ROUND(11765*1.05,2)</f>
      </c>
      <c r="F162" s="17" t="s">
        <v>17</v>
      </c>
      <c r="G162" s="17" t="s">
        <v>18</v>
      </c>
      <c r="H162" s="26">
        <f>ROUND(RAND()*4+6,1)</f>
      </c>
      <c r="I162" s="17" t="s">
        <v>19</v>
      </c>
      <c r="J162" s="19">
        <f>ROUND(89*1,0)&amp;"%"</f>
      </c>
    </row>
    <row x14ac:dyDescent="0.25" r="163" customHeight="1" ht="17.25">
      <c r="A163" s="20" t="s">
        <v>11542</v>
      </c>
      <c r="B163" s="20" t="s">
        <v>280</v>
      </c>
      <c r="C163" s="20" t="s">
        <v>152</v>
      </c>
      <c r="D163" s="20" t="s">
        <v>22</v>
      </c>
      <c r="E163" s="21">
        <f>ROUND(11599*1.05,2)</f>
      </c>
      <c r="F163" s="20" t="s">
        <v>23</v>
      </c>
      <c r="G163" s="20" t="s">
        <v>24</v>
      </c>
      <c r="H163" s="21">
        <f>ROUND(RAND()*4+6,1)</f>
      </c>
      <c r="I163" s="20" t="s">
        <v>25</v>
      </c>
      <c r="J163" s="23">
        <f>ROUND(98*1,0)&amp;"%"</f>
      </c>
    </row>
    <row x14ac:dyDescent="0.25" r="164" customHeight="1" ht="17.25">
      <c r="A164" s="17" t="s">
        <v>11543</v>
      </c>
      <c r="B164" s="17" t="s">
        <v>282</v>
      </c>
      <c r="C164" s="17" t="s">
        <v>152</v>
      </c>
      <c r="D164" s="17" t="s">
        <v>28</v>
      </c>
      <c r="E164" s="18">
        <f>ROUND(12631*1.05,2)</f>
      </c>
      <c r="F164" s="17" t="s">
        <v>29</v>
      </c>
      <c r="G164" s="17" t="s">
        <v>30</v>
      </c>
      <c r="H164" s="18">
        <f>ROUND(RAND()*4+6,1)</f>
      </c>
      <c r="I164" s="17" t="s">
        <v>31</v>
      </c>
      <c r="J164" s="19">
        <f>ROUND(78*1,0)&amp;"%"</f>
      </c>
    </row>
    <row x14ac:dyDescent="0.25" r="165" customHeight="1" ht="17.25">
      <c r="A165" s="20" t="s">
        <v>11544</v>
      </c>
      <c r="B165" s="20" t="s">
        <v>284</v>
      </c>
      <c r="C165" s="20" t="s">
        <v>152</v>
      </c>
      <c r="D165" s="20" t="s">
        <v>34</v>
      </c>
      <c r="E165" s="21">
        <f>ROUND(15369*1.05,2)</f>
      </c>
      <c r="F165" s="20" t="s">
        <v>35</v>
      </c>
      <c r="G165" s="20" t="s">
        <v>18</v>
      </c>
      <c r="H165" s="21">
        <f>ROUND(RAND()*4+6,1)</f>
      </c>
      <c r="I165" s="20" t="s">
        <v>36</v>
      </c>
      <c r="J165" s="23">
        <f>ROUND(80*1,0)&amp;"%"</f>
      </c>
    </row>
    <row x14ac:dyDescent="0.25" r="166" customHeight="1" ht="17.25">
      <c r="A166" s="17" t="s">
        <v>11545</v>
      </c>
      <c r="B166" s="17" t="s">
        <v>286</v>
      </c>
      <c r="C166" s="17" t="s">
        <v>152</v>
      </c>
      <c r="D166" s="17" t="s">
        <v>39</v>
      </c>
      <c r="E166" s="18">
        <f>ROUND(12199*1.05,2)</f>
      </c>
      <c r="F166" s="17" t="s">
        <v>40</v>
      </c>
      <c r="G166" s="17" t="s">
        <v>24</v>
      </c>
      <c r="H166" s="18">
        <f>ROUND(RAND()*4+6,1)</f>
      </c>
      <c r="I166" s="17" t="s">
        <v>41</v>
      </c>
      <c r="J166" s="19">
        <f>ROUND(95*1,0)&amp;"%"</f>
      </c>
    </row>
    <row x14ac:dyDescent="0.25" r="167" customHeight="1" ht="17.25">
      <c r="A167" s="20" t="s">
        <v>11546</v>
      </c>
      <c r="B167" s="20" t="s">
        <v>288</v>
      </c>
      <c r="C167" s="20" t="s">
        <v>152</v>
      </c>
      <c r="D167" s="20" t="s">
        <v>67</v>
      </c>
      <c r="E167" s="22">
        <f>ROUND(16440*1.05,2)</f>
      </c>
      <c r="F167" s="20" t="s">
        <v>44</v>
      </c>
      <c r="G167" s="20" t="s">
        <v>30</v>
      </c>
      <c r="H167" s="21">
        <f>ROUND(RAND()*4+6,1)</f>
      </c>
      <c r="I167" s="20" t="s">
        <v>45</v>
      </c>
      <c r="J167" s="23">
        <f>ROUND(65*1,0)&amp;"%"</f>
      </c>
    </row>
    <row x14ac:dyDescent="0.25" r="168" customHeight="1" ht="17.25">
      <c r="A168" s="17" t="s">
        <v>11547</v>
      </c>
      <c r="B168" s="17" t="s">
        <v>290</v>
      </c>
      <c r="C168" s="17" t="s">
        <v>152</v>
      </c>
      <c r="D168" s="17" t="s">
        <v>16</v>
      </c>
      <c r="E168" s="18">
        <f>ROUND(12735*1.05,2)</f>
      </c>
      <c r="F168" s="17" t="s">
        <v>48</v>
      </c>
      <c r="G168" s="17" t="s">
        <v>18</v>
      </c>
      <c r="H168" s="18">
        <f>ROUND(RAND()*4+6,1)</f>
      </c>
      <c r="I168" s="17" t="s">
        <v>19</v>
      </c>
      <c r="J168" s="19">
        <f>ROUND(68*1,0)&amp;"%"</f>
      </c>
    </row>
    <row x14ac:dyDescent="0.25" r="169" customHeight="1" ht="17.25">
      <c r="A169" s="20" t="s">
        <v>11548</v>
      </c>
      <c r="B169" s="20" t="s">
        <v>292</v>
      </c>
      <c r="C169" s="20" t="s">
        <v>152</v>
      </c>
      <c r="D169" s="20" t="s">
        <v>22</v>
      </c>
      <c r="E169" s="21">
        <f>ROUND(13992*1.05,2)</f>
      </c>
      <c r="F169" s="20" t="s">
        <v>51</v>
      </c>
      <c r="G169" s="20" t="s">
        <v>24</v>
      </c>
      <c r="H169" s="22">
        <f>ROUND(RAND()*4+6,1)</f>
      </c>
      <c r="I169" s="20" t="s">
        <v>25</v>
      </c>
      <c r="J169" s="23">
        <f>ROUND(64*1,0)&amp;"%"</f>
      </c>
    </row>
    <row x14ac:dyDescent="0.25" r="170" customHeight="1" ht="17.25">
      <c r="A170" s="24" t="s">
        <v>293</v>
      </c>
      <c r="B170" s="24"/>
      <c r="C170" s="24"/>
      <c r="D170" s="24"/>
      <c r="E170" s="25">
        <v>8</v>
      </c>
      <c r="F170" s="9"/>
      <c r="G170" s="9"/>
      <c r="H170" s="10"/>
      <c r="I170" s="9"/>
      <c r="J170" s="9"/>
    </row>
    <row x14ac:dyDescent="0.25" r="171" customHeight="1" ht="17.25">
      <c r="A171" s="7"/>
      <c r="B171" s="7"/>
      <c r="C171" s="7"/>
      <c r="D171" s="7"/>
      <c r="E171" s="8"/>
      <c r="F171" s="9"/>
      <c r="G171" s="9"/>
      <c r="H171" s="10"/>
      <c r="I171" s="9"/>
      <c r="J171" s="9"/>
    </row>
    <row x14ac:dyDescent="0.25" r="172" customHeight="1" ht="17.25">
      <c r="A172" s="11" t="s">
        <v>11549</v>
      </c>
      <c r="B172" s="11"/>
      <c r="C172" s="11"/>
      <c r="D172" s="11"/>
      <c r="E172" s="12"/>
      <c r="F172" s="11"/>
      <c r="G172" s="11"/>
      <c r="H172" s="13"/>
      <c r="I172" s="11"/>
      <c r="J172" s="11"/>
    </row>
    <row x14ac:dyDescent="0.25" r="173" customHeight="1" ht="17.25">
      <c r="A173" s="14" t="s">
        <v>3</v>
      </c>
      <c r="B173" s="14" t="s">
        <v>4</v>
      </c>
      <c r="C173" s="14" t="s">
        <v>5</v>
      </c>
      <c r="D173" s="14" t="s">
        <v>6</v>
      </c>
      <c r="E173" s="15" t="s">
        <v>7</v>
      </c>
      <c r="F173" s="14" t="s">
        <v>8</v>
      </c>
      <c r="G173" s="14" t="s">
        <v>9</v>
      </c>
      <c r="H173" s="16" t="s">
        <v>10</v>
      </c>
      <c r="I173" s="14" t="s">
        <v>11</v>
      </c>
      <c r="J173" s="14" t="s">
        <v>12</v>
      </c>
    </row>
    <row x14ac:dyDescent="0.25" r="174" customHeight="1" ht="17.25">
      <c r="A174" s="17" t="s">
        <v>11550</v>
      </c>
      <c r="B174" s="17" t="s">
        <v>296</v>
      </c>
      <c r="C174" s="17" t="s">
        <v>15</v>
      </c>
      <c r="D174" s="17" t="s">
        <v>16</v>
      </c>
      <c r="E174" s="18">
        <f>ROUND(4179*1.05,2)</f>
      </c>
      <c r="F174" s="17" t="s">
        <v>17</v>
      </c>
      <c r="G174" s="17" t="s">
        <v>18</v>
      </c>
      <c r="H174" s="18">
        <f>ROUND(RAND()*4+6,1)</f>
      </c>
      <c r="I174" s="17" t="s">
        <v>19</v>
      </c>
      <c r="J174" s="19">
        <f>ROUND(97*1,0)&amp;"%"</f>
      </c>
    </row>
    <row x14ac:dyDescent="0.25" r="175" customHeight="1" ht="17.25">
      <c r="A175" s="20" t="s">
        <v>11551</v>
      </c>
      <c r="B175" s="20" t="s">
        <v>298</v>
      </c>
      <c r="C175" s="20" t="s">
        <v>15</v>
      </c>
      <c r="D175" s="20" t="s">
        <v>22</v>
      </c>
      <c r="E175" s="21">
        <f>ROUND(5186*1.05,2)</f>
      </c>
      <c r="F175" s="20" t="s">
        <v>23</v>
      </c>
      <c r="G175" s="20" t="s">
        <v>24</v>
      </c>
      <c r="H175" s="21">
        <f>ROUND(RAND()*4+6,1)</f>
      </c>
      <c r="I175" s="20" t="s">
        <v>25</v>
      </c>
      <c r="J175" s="23">
        <f>ROUND(98*1,0)&amp;"%"</f>
      </c>
    </row>
    <row x14ac:dyDescent="0.25" r="176" customHeight="1" ht="17.25">
      <c r="A176" s="17" t="s">
        <v>11552</v>
      </c>
      <c r="B176" s="17" t="s">
        <v>300</v>
      </c>
      <c r="C176" s="17" t="s">
        <v>15</v>
      </c>
      <c r="D176" s="17" t="s">
        <v>28</v>
      </c>
      <c r="E176" s="18">
        <f>ROUND(14422*1.05,2)</f>
      </c>
      <c r="F176" s="17" t="s">
        <v>29</v>
      </c>
      <c r="G176" s="17" t="s">
        <v>30</v>
      </c>
      <c r="H176" s="18">
        <f>ROUND(RAND()*4+6,1)</f>
      </c>
      <c r="I176" s="17" t="s">
        <v>31</v>
      </c>
      <c r="J176" s="19">
        <f>ROUND(77*1,0)&amp;"%"</f>
      </c>
    </row>
    <row x14ac:dyDescent="0.25" r="177" customHeight="1" ht="17.25">
      <c r="A177" s="20" t="s">
        <v>11553</v>
      </c>
      <c r="B177" s="20" t="s">
        <v>302</v>
      </c>
      <c r="C177" s="20" t="s">
        <v>15</v>
      </c>
      <c r="D177" s="20" t="s">
        <v>34</v>
      </c>
      <c r="E177" s="21">
        <f>ROUND(6753*1.05,2)</f>
      </c>
      <c r="F177" s="20" t="s">
        <v>35</v>
      </c>
      <c r="G177" s="20" t="s">
        <v>18</v>
      </c>
      <c r="H177" s="21">
        <f>ROUND(RAND()*4+6,1)</f>
      </c>
      <c r="I177" s="20" t="s">
        <v>36</v>
      </c>
      <c r="J177" s="23">
        <f>ROUND(93*1,0)&amp;"%"</f>
      </c>
    </row>
    <row x14ac:dyDescent="0.25" r="178" customHeight="1" ht="17.25">
      <c r="A178" s="17" t="s">
        <v>11554</v>
      </c>
      <c r="B178" s="17" t="s">
        <v>304</v>
      </c>
      <c r="C178" s="17" t="s">
        <v>15</v>
      </c>
      <c r="D178" s="17" t="s">
        <v>39</v>
      </c>
      <c r="E178" s="18">
        <f>ROUND(16976*1.05,2)</f>
      </c>
      <c r="F178" s="17" t="s">
        <v>40</v>
      </c>
      <c r="G178" s="17" t="s">
        <v>24</v>
      </c>
      <c r="H178" s="18">
        <f>ROUND(RAND()*4+6,1)</f>
      </c>
      <c r="I178" s="17" t="s">
        <v>41</v>
      </c>
      <c r="J178" s="19">
        <f>ROUND(96*1,0)&amp;"%"</f>
      </c>
    </row>
    <row x14ac:dyDescent="0.25" r="179" customHeight="1" ht="17.25">
      <c r="A179" s="20" t="s">
        <v>11555</v>
      </c>
      <c r="B179" s="20" t="s">
        <v>306</v>
      </c>
      <c r="C179" s="20" t="s">
        <v>15</v>
      </c>
      <c r="D179" s="20" t="s">
        <v>67</v>
      </c>
      <c r="E179" s="21">
        <f>ROUND(12957*1.05,2)</f>
      </c>
      <c r="F179" s="20" t="s">
        <v>44</v>
      </c>
      <c r="G179" s="20" t="s">
        <v>30</v>
      </c>
      <c r="H179" s="21">
        <f>ROUND(RAND()*4+6,1)</f>
      </c>
      <c r="I179" s="20" t="s">
        <v>45</v>
      </c>
      <c r="J179" s="23">
        <f>ROUND(97*1,0)&amp;"%"</f>
      </c>
    </row>
    <row x14ac:dyDescent="0.25" r="180" customHeight="1" ht="17.25">
      <c r="A180" s="17" t="s">
        <v>11556</v>
      </c>
      <c r="B180" s="17" t="s">
        <v>308</v>
      </c>
      <c r="C180" s="17" t="s">
        <v>15</v>
      </c>
      <c r="D180" s="17" t="s">
        <v>16</v>
      </c>
      <c r="E180" s="18">
        <f>ROUND(11657*1.05,2)</f>
      </c>
      <c r="F180" s="17" t="s">
        <v>48</v>
      </c>
      <c r="G180" s="17" t="s">
        <v>18</v>
      </c>
      <c r="H180" s="26">
        <f>ROUND(RAND()*4+6,1)</f>
      </c>
      <c r="I180" s="17" t="s">
        <v>19</v>
      </c>
      <c r="J180" s="19">
        <f>ROUND(69*1,0)&amp;"%"</f>
      </c>
    </row>
    <row x14ac:dyDescent="0.25" r="181" customHeight="1" ht="17.25">
      <c r="A181" s="20" t="s">
        <v>11557</v>
      </c>
      <c r="B181" s="20" t="s">
        <v>310</v>
      </c>
      <c r="C181" s="20" t="s">
        <v>15</v>
      </c>
      <c r="D181" s="20" t="s">
        <v>22</v>
      </c>
      <c r="E181" s="22">
        <f>ROUND(8680*1.05,2)</f>
      </c>
      <c r="F181" s="20" t="s">
        <v>51</v>
      </c>
      <c r="G181" s="20" t="s">
        <v>24</v>
      </c>
      <c r="H181" s="21">
        <f>ROUND(RAND()*4+6,1)</f>
      </c>
      <c r="I181" s="20" t="s">
        <v>25</v>
      </c>
      <c r="J181" s="23">
        <f>ROUND(63*1,0)&amp;"%"</f>
      </c>
    </row>
    <row x14ac:dyDescent="0.25" r="182" customHeight="1" ht="17.25">
      <c r="A182" s="24" t="s">
        <v>311</v>
      </c>
      <c r="B182" s="24"/>
      <c r="C182" s="24"/>
      <c r="D182" s="24"/>
      <c r="E182" s="25">
        <v>8</v>
      </c>
      <c r="F182" s="9"/>
      <c r="G182" s="9"/>
      <c r="H182" s="10"/>
      <c r="I182" s="9"/>
      <c r="J182" s="9"/>
    </row>
    <row x14ac:dyDescent="0.25" r="183" customHeight="1" ht="17.25">
      <c r="A183" s="7"/>
      <c r="B183" s="7"/>
      <c r="C183" s="7"/>
      <c r="D183" s="7"/>
      <c r="E183" s="8"/>
      <c r="F183" s="9"/>
      <c r="G183" s="9"/>
      <c r="H183" s="10"/>
      <c r="I183" s="9"/>
      <c r="J183" s="9"/>
    </row>
    <row x14ac:dyDescent="0.25" r="184" customHeight="1" ht="17.25">
      <c r="A184" s="11" t="s">
        <v>11558</v>
      </c>
      <c r="B184" s="11"/>
      <c r="C184" s="11"/>
      <c r="D184" s="11"/>
      <c r="E184" s="12"/>
      <c r="F184" s="11"/>
      <c r="G184" s="11"/>
      <c r="H184" s="13"/>
      <c r="I184" s="11"/>
      <c r="J184" s="11"/>
    </row>
    <row x14ac:dyDescent="0.25" r="185" customHeight="1" ht="17.25">
      <c r="A185" s="14" t="s">
        <v>3</v>
      </c>
      <c r="B185" s="14" t="s">
        <v>4</v>
      </c>
      <c r="C185" s="14" t="s">
        <v>5</v>
      </c>
      <c r="D185" s="14" t="s">
        <v>6</v>
      </c>
      <c r="E185" s="15" t="s">
        <v>7</v>
      </c>
      <c r="F185" s="14" t="s">
        <v>8</v>
      </c>
      <c r="G185" s="14" t="s">
        <v>9</v>
      </c>
      <c r="H185" s="16" t="s">
        <v>10</v>
      </c>
      <c r="I185" s="14" t="s">
        <v>11</v>
      </c>
      <c r="J185" s="14" t="s">
        <v>12</v>
      </c>
    </row>
    <row x14ac:dyDescent="0.25" r="186" customHeight="1" ht="17.25">
      <c r="A186" s="17" t="s">
        <v>11559</v>
      </c>
      <c r="B186" s="17" t="s">
        <v>314</v>
      </c>
      <c r="C186" s="17" t="s">
        <v>56</v>
      </c>
      <c r="D186" s="17" t="s">
        <v>16</v>
      </c>
      <c r="E186" s="18">
        <f>ROUND(7407*1.05,2)</f>
      </c>
      <c r="F186" s="17" t="s">
        <v>17</v>
      </c>
      <c r="G186" s="17" t="s">
        <v>18</v>
      </c>
      <c r="H186" s="18">
        <f>ROUND(RAND()*4+6,1)</f>
      </c>
      <c r="I186" s="17" t="s">
        <v>19</v>
      </c>
      <c r="J186" s="19">
        <f>ROUND(100*1,0)&amp;"%"</f>
      </c>
    </row>
    <row x14ac:dyDescent="0.25" r="187" customHeight="1" ht="17.25">
      <c r="A187" s="20" t="s">
        <v>11560</v>
      </c>
      <c r="B187" s="20" t="s">
        <v>316</v>
      </c>
      <c r="C187" s="20" t="s">
        <v>56</v>
      </c>
      <c r="D187" s="20" t="s">
        <v>22</v>
      </c>
      <c r="E187" s="21">
        <f>ROUND(6287*1.05,2)</f>
      </c>
      <c r="F187" s="20" t="s">
        <v>23</v>
      </c>
      <c r="G187" s="20" t="s">
        <v>24</v>
      </c>
      <c r="H187" s="21">
        <f>ROUND(RAND()*4+6,1)</f>
      </c>
      <c r="I187" s="20" t="s">
        <v>25</v>
      </c>
      <c r="J187" s="23">
        <f>ROUND(93*1,0)&amp;"%"</f>
      </c>
    </row>
    <row x14ac:dyDescent="0.25" r="188" customHeight="1" ht="17.25">
      <c r="A188" s="17" t="s">
        <v>11561</v>
      </c>
      <c r="B188" s="17" t="s">
        <v>318</v>
      </c>
      <c r="C188" s="17" t="s">
        <v>56</v>
      </c>
      <c r="D188" s="17" t="s">
        <v>28</v>
      </c>
      <c r="E188" s="18">
        <f>ROUND(8008*1.05,2)</f>
      </c>
      <c r="F188" s="17" t="s">
        <v>29</v>
      </c>
      <c r="G188" s="17" t="s">
        <v>30</v>
      </c>
      <c r="H188" s="18">
        <f>ROUND(RAND()*4+6,1)</f>
      </c>
      <c r="I188" s="17" t="s">
        <v>31</v>
      </c>
      <c r="J188" s="19">
        <f>ROUND(94*1,0)&amp;"%"</f>
      </c>
    </row>
    <row x14ac:dyDescent="0.25" r="189" customHeight="1" ht="17.25">
      <c r="A189" s="20" t="s">
        <v>11562</v>
      </c>
      <c r="B189" s="20" t="s">
        <v>320</v>
      </c>
      <c r="C189" s="20" t="s">
        <v>56</v>
      </c>
      <c r="D189" s="20" t="s">
        <v>34</v>
      </c>
      <c r="E189" s="21">
        <f>ROUND(12913*1.05,2)</f>
      </c>
      <c r="F189" s="20" t="s">
        <v>35</v>
      </c>
      <c r="G189" s="20" t="s">
        <v>18</v>
      </c>
      <c r="H189" s="21">
        <f>ROUND(RAND()*4+6,1)</f>
      </c>
      <c r="I189" s="20" t="s">
        <v>36</v>
      </c>
      <c r="J189" s="23">
        <f>ROUND(64*1,0)&amp;"%"</f>
      </c>
    </row>
    <row x14ac:dyDescent="0.25" r="190" customHeight="1" ht="17.25">
      <c r="A190" s="17" t="s">
        <v>11563</v>
      </c>
      <c r="B190" s="17" t="s">
        <v>322</v>
      </c>
      <c r="C190" s="17" t="s">
        <v>56</v>
      </c>
      <c r="D190" s="17" t="s">
        <v>39</v>
      </c>
      <c r="E190" s="18">
        <f>ROUND(7067*1.05,2)</f>
      </c>
      <c r="F190" s="17" t="s">
        <v>40</v>
      </c>
      <c r="G190" s="17" t="s">
        <v>24</v>
      </c>
      <c r="H190" s="18">
        <f>ROUND(RAND()*4+6,1)</f>
      </c>
      <c r="I190" s="17" t="s">
        <v>41</v>
      </c>
      <c r="J190" s="19">
        <f>ROUND(69*1,0)&amp;"%"</f>
      </c>
    </row>
    <row x14ac:dyDescent="0.25" r="191" customHeight="1" ht="17.25">
      <c r="A191" s="20" t="s">
        <v>11564</v>
      </c>
      <c r="B191" s="20" t="s">
        <v>324</v>
      </c>
      <c r="C191" s="20" t="s">
        <v>56</v>
      </c>
      <c r="D191" s="20" t="s">
        <v>67</v>
      </c>
      <c r="E191" s="21">
        <f>ROUND(11869*1.05,2)</f>
      </c>
      <c r="F191" s="20" t="s">
        <v>44</v>
      </c>
      <c r="G191" s="20" t="s">
        <v>30</v>
      </c>
      <c r="H191" s="21">
        <f>ROUND(RAND()*4+6,1)</f>
      </c>
      <c r="I191" s="20" t="s">
        <v>45</v>
      </c>
      <c r="J191" s="23">
        <f>ROUND(74*1,0)&amp;"%"</f>
      </c>
    </row>
    <row x14ac:dyDescent="0.25" r="192" customHeight="1" ht="17.25">
      <c r="A192" s="17" t="s">
        <v>11565</v>
      </c>
      <c r="B192" s="17" t="s">
        <v>326</v>
      </c>
      <c r="C192" s="17" t="s">
        <v>56</v>
      </c>
      <c r="D192" s="17" t="s">
        <v>16</v>
      </c>
      <c r="E192" s="18">
        <f>ROUND(10285*1.05,2)</f>
      </c>
      <c r="F192" s="17" t="s">
        <v>48</v>
      </c>
      <c r="G192" s="17" t="s">
        <v>18</v>
      </c>
      <c r="H192" s="18">
        <f>ROUND(RAND()*4+6,1)</f>
      </c>
      <c r="I192" s="17" t="s">
        <v>19</v>
      </c>
      <c r="J192" s="19">
        <f>ROUND(98*1,0)&amp;"%"</f>
      </c>
    </row>
    <row x14ac:dyDescent="0.25" r="193" customHeight="1" ht="17.25">
      <c r="A193" s="20" t="s">
        <v>11566</v>
      </c>
      <c r="B193" s="20" t="s">
        <v>328</v>
      </c>
      <c r="C193" s="20" t="s">
        <v>56</v>
      </c>
      <c r="D193" s="20" t="s">
        <v>22</v>
      </c>
      <c r="E193" s="21">
        <f>ROUND(13193*1.05,2)</f>
      </c>
      <c r="F193" s="20" t="s">
        <v>51</v>
      </c>
      <c r="G193" s="20" t="s">
        <v>24</v>
      </c>
      <c r="H193" s="21">
        <f>ROUND(RAND()*4+6,1)</f>
      </c>
      <c r="I193" s="20" t="s">
        <v>25</v>
      </c>
      <c r="J193" s="23">
        <f>ROUND(60*1,0)&amp;"%"</f>
      </c>
    </row>
    <row x14ac:dyDescent="0.25" r="194" customHeight="1" ht="17.25">
      <c r="A194" s="24" t="s">
        <v>329</v>
      </c>
      <c r="B194" s="24"/>
      <c r="C194" s="24"/>
      <c r="D194" s="24"/>
      <c r="E194" s="25">
        <v>8</v>
      </c>
      <c r="F194" s="9"/>
      <c r="G194" s="9"/>
      <c r="H194" s="10"/>
      <c r="I194" s="9"/>
      <c r="J194" s="9"/>
    </row>
    <row x14ac:dyDescent="0.25" r="195" customHeight="1" ht="17.25">
      <c r="A195" s="7"/>
      <c r="B195" s="7"/>
      <c r="C195" s="7"/>
      <c r="D195" s="7"/>
      <c r="E195" s="8"/>
      <c r="F195" s="9"/>
      <c r="G195" s="9"/>
      <c r="H195" s="10"/>
      <c r="I195" s="9"/>
      <c r="J195" s="9"/>
    </row>
    <row x14ac:dyDescent="0.25" r="196" customHeight="1" ht="17.25">
      <c r="A196" s="11" t="s">
        <v>11567</v>
      </c>
      <c r="B196" s="11"/>
      <c r="C196" s="11"/>
      <c r="D196" s="11"/>
      <c r="E196" s="12"/>
      <c r="F196" s="11"/>
      <c r="G196" s="11"/>
      <c r="H196" s="13"/>
      <c r="I196" s="11"/>
      <c r="J196" s="11"/>
    </row>
    <row x14ac:dyDescent="0.25" r="197" customHeight="1" ht="17.25">
      <c r="A197" s="14" t="s">
        <v>3</v>
      </c>
      <c r="B197" s="14" t="s">
        <v>4</v>
      </c>
      <c r="C197" s="14" t="s">
        <v>5</v>
      </c>
      <c r="D197" s="14" t="s">
        <v>6</v>
      </c>
      <c r="E197" s="15" t="s">
        <v>7</v>
      </c>
      <c r="F197" s="14" t="s">
        <v>8</v>
      </c>
      <c r="G197" s="14" t="s">
        <v>9</v>
      </c>
      <c r="H197" s="16" t="s">
        <v>10</v>
      </c>
      <c r="I197" s="14" t="s">
        <v>11</v>
      </c>
      <c r="J197" s="14" t="s">
        <v>12</v>
      </c>
    </row>
    <row x14ac:dyDescent="0.25" r="198" customHeight="1" ht="17.25">
      <c r="A198" s="17" t="s">
        <v>11568</v>
      </c>
      <c r="B198" s="17" t="s">
        <v>332</v>
      </c>
      <c r="C198" s="17" t="s">
        <v>76</v>
      </c>
      <c r="D198" s="17" t="s">
        <v>16</v>
      </c>
      <c r="E198" s="18">
        <f>ROUND(6407*1.05,2)</f>
      </c>
      <c r="F198" s="17" t="s">
        <v>17</v>
      </c>
      <c r="G198" s="17" t="s">
        <v>18</v>
      </c>
      <c r="H198" s="18">
        <f>ROUND(RAND()*4+6,1)</f>
      </c>
      <c r="I198" s="17" t="s">
        <v>19</v>
      </c>
      <c r="J198" s="19">
        <f>ROUND(94*1,0)&amp;"%"</f>
      </c>
    </row>
    <row x14ac:dyDescent="0.25" r="199" customHeight="1" ht="17.25">
      <c r="A199" s="20" t="s">
        <v>11569</v>
      </c>
      <c r="B199" s="20" t="s">
        <v>334</v>
      </c>
      <c r="C199" s="20" t="s">
        <v>76</v>
      </c>
      <c r="D199" s="20" t="s">
        <v>22</v>
      </c>
      <c r="E199" s="22">
        <f>ROUND(6940*1.05,2)</f>
      </c>
      <c r="F199" s="20" t="s">
        <v>23</v>
      </c>
      <c r="G199" s="20" t="s">
        <v>24</v>
      </c>
      <c r="H199" s="22">
        <f>ROUND(RAND()*4+6,1)</f>
      </c>
      <c r="I199" s="20" t="s">
        <v>25</v>
      </c>
      <c r="J199" s="23">
        <f>ROUND(75*1,0)&amp;"%"</f>
      </c>
    </row>
    <row x14ac:dyDescent="0.25" r="200" customHeight="1" ht="17.25">
      <c r="A200" s="17" t="s">
        <v>11570</v>
      </c>
      <c r="B200" s="17" t="s">
        <v>336</v>
      </c>
      <c r="C200" s="17" t="s">
        <v>76</v>
      </c>
      <c r="D200" s="17" t="s">
        <v>28</v>
      </c>
      <c r="E200" s="18">
        <f>ROUND(6730*1.05,2)</f>
      </c>
      <c r="F200" s="17" t="s">
        <v>29</v>
      </c>
      <c r="G200" s="17" t="s">
        <v>30</v>
      </c>
      <c r="H200" s="18">
        <f>ROUND(RAND()*4+6,1)</f>
      </c>
      <c r="I200" s="17" t="s">
        <v>31</v>
      </c>
      <c r="J200" s="19">
        <f>ROUND(67*1,0)&amp;"%"</f>
      </c>
    </row>
    <row x14ac:dyDescent="0.25" r="201" customHeight="1" ht="17.25">
      <c r="A201" s="20" t="s">
        <v>11571</v>
      </c>
      <c r="B201" s="20" t="s">
        <v>338</v>
      </c>
      <c r="C201" s="20" t="s">
        <v>76</v>
      </c>
      <c r="D201" s="20" t="s">
        <v>34</v>
      </c>
      <c r="E201" s="21">
        <f>ROUND(4911*1.05,2)</f>
      </c>
      <c r="F201" s="20" t="s">
        <v>35</v>
      </c>
      <c r="G201" s="20" t="s">
        <v>18</v>
      </c>
      <c r="H201" s="22">
        <f>ROUND(RAND()*4+6,1)</f>
      </c>
      <c r="I201" s="20" t="s">
        <v>36</v>
      </c>
      <c r="J201" s="23">
        <f>ROUND(98*1,0)&amp;"%"</f>
      </c>
    </row>
    <row x14ac:dyDescent="0.25" r="202" customHeight="1" ht="17.25">
      <c r="A202" s="17" t="s">
        <v>11572</v>
      </c>
      <c r="B202" s="17" t="s">
        <v>340</v>
      </c>
      <c r="C202" s="17" t="s">
        <v>76</v>
      </c>
      <c r="D202" s="17" t="s">
        <v>39</v>
      </c>
      <c r="E202" s="18">
        <f>ROUND(6496*1.05,2)</f>
      </c>
      <c r="F202" s="17" t="s">
        <v>40</v>
      </c>
      <c r="G202" s="17" t="s">
        <v>24</v>
      </c>
      <c r="H202" s="18">
        <f>ROUND(RAND()*4+6,1)</f>
      </c>
      <c r="I202" s="17" t="s">
        <v>41</v>
      </c>
      <c r="J202" s="19">
        <f>ROUND(73*1,0)&amp;"%"</f>
      </c>
    </row>
    <row x14ac:dyDescent="0.25" r="203" customHeight="1" ht="17.25">
      <c r="A203" s="20" t="s">
        <v>11573</v>
      </c>
      <c r="B203" s="20" t="s">
        <v>342</v>
      </c>
      <c r="C203" s="20" t="s">
        <v>76</v>
      </c>
      <c r="D203" s="20" t="s">
        <v>67</v>
      </c>
      <c r="E203" s="21">
        <f>ROUND(17993*1.05,2)</f>
      </c>
      <c r="F203" s="20" t="s">
        <v>44</v>
      </c>
      <c r="G203" s="20" t="s">
        <v>30</v>
      </c>
      <c r="H203" s="21">
        <f>ROUND(RAND()*4+6,1)</f>
      </c>
      <c r="I203" s="20" t="s">
        <v>45</v>
      </c>
      <c r="J203" s="23">
        <f>ROUND(96*1,0)&amp;"%"</f>
      </c>
    </row>
    <row x14ac:dyDescent="0.25" r="204" customHeight="1" ht="17.25">
      <c r="A204" s="17" t="s">
        <v>11574</v>
      </c>
      <c r="B204" s="17" t="s">
        <v>344</v>
      </c>
      <c r="C204" s="17" t="s">
        <v>76</v>
      </c>
      <c r="D204" s="17" t="s">
        <v>16</v>
      </c>
      <c r="E204" s="18">
        <f>ROUND(6959*1.05,2)</f>
      </c>
      <c r="F204" s="17" t="s">
        <v>48</v>
      </c>
      <c r="G204" s="17" t="s">
        <v>18</v>
      </c>
      <c r="H204" s="18">
        <f>ROUND(RAND()*4+6,1)</f>
      </c>
      <c r="I204" s="17" t="s">
        <v>19</v>
      </c>
      <c r="J204" s="19">
        <f>ROUND(67*1,0)&amp;"%"</f>
      </c>
    </row>
    <row x14ac:dyDescent="0.25" r="205" customHeight="1" ht="17.25">
      <c r="A205" s="20" t="s">
        <v>11575</v>
      </c>
      <c r="B205" s="20" t="s">
        <v>346</v>
      </c>
      <c r="C205" s="20" t="s">
        <v>76</v>
      </c>
      <c r="D205" s="20" t="s">
        <v>22</v>
      </c>
      <c r="E205" s="21">
        <f>ROUND(12388*1.05,2)</f>
      </c>
      <c r="F205" s="20" t="s">
        <v>51</v>
      </c>
      <c r="G205" s="20" t="s">
        <v>24</v>
      </c>
      <c r="H205" s="21">
        <f>ROUND(RAND()*4+6,1)</f>
      </c>
      <c r="I205" s="20" t="s">
        <v>25</v>
      </c>
      <c r="J205" s="23">
        <f>ROUND(69*1,0)&amp;"%"</f>
      </c>
    </row>
    <row x14ac:dyDescent="0.25" r="206" customHeight="1" ht="17.25">
      <c r="A206" s="24" t="s">
        <v>347</v>
      </c>
      <c r="B206" s="24"/>
      <c r="C206" s="24"/>
      <c r="D206" s="24"/>
      <c r="E206" s="25">
        <v>8</v>
      </c>
      <c r="F206" s="9"/>
      <c r="G206" s="9"/>
      <c r="H206" s="10"/>
      <c r="I206" s="9"/>
      <c r="J206" s="9"/>
    </row>
    <row x14ac:dyDescent="0.25" r="207" customHeight="1" ht="17.25">
      <c r="A207" s="7"/>
      <c r="B207" s="7"/>
      <c r="C207" s="7"/>
      <c r="D207" s="7"/>
      <c r="E207" s="8"/>
      <c r="F207" s="9"/>
      <c r="G207" s="9"/>
      <c r="H207" s="10"/>
      <c r="I207" s="9"/>
      <c r="J207" s="9"/>
    </row>
    <row x14ac:dyDescent="0.25" r="208" customHeight="1" ht="17.25">
      <c r="A208" s="11" t="s">
        <v>11576</v>
      </c>
      <c r="B208" s="11"/>
      <c r="C208" s="11"/>
      <c r="D208" s="11"/>
      <c r="E208" s="12"/>
      <c r="F208" s="11"/>
      <c r="G208" s="11"/>
      <c r="H208" s="13"/>
      <c r="I208" s="11"/>
      <c r="J208" s="11"/>
    </row>
    <row x14ac:dyDescent="0.25" r="209" customHeight="1" ht="17.25">
      <c r="A209" s="14" t="s">
        <v>3</v>
      </c>
      <c r="B209" s="14" t="s">
        <v>4</v>
      </c>
      <c r="C209" s="14" t="s">
        <v>5</v>
      </c>
      <c r="D209" s="14" t="s">
        <v>6</v>
      </c>
      <c r="E209" s="15" t="s">
        <v>7</v>
      </c>
      <c r="F209" s="14" t="s">
        <v>8</v>
      </c>
      <c r="G209" s="14" t="s">
        <v>9</v>
      </c>
      <c r="H209" s="16" t="s">
        <v>10</v>
      </c>
      <c r="I209" s="14" t="s">
        <v>11</v>
      </c>
      <c r="J209" s="14" t="s">
        <v>12</v>
      </c>
    </row>
    <row x14ac:dyDescent="0.25" r="210" customHeight="1" ht="17.25">
      <c r="A210" s="17" t="s">
        <v>11577</v>
      </c>
      <c r="B210" s="17" t="s">
        <v>350</v>
      </c>
      <c r="C210" s="17" t="s">
        <v>95</v>
      </c>
      <c r="D210" s="17" t="s">
        <v>16</v>
      </c>
      <c r="E210" s="18">
        <f>ROUND(14506*1.05,2)</f>
      </c>
      <c r="F210" s="17" t="s">
        <v>17</v>
      </c>
      <c r="G210" s="17" t="s">
        <v>18</v>
      </c>
      <c r="H210" s="18">
        <f>ROUND(RAND()*4+6,1)</f>
      </c>
      <c r="I210" s="17" t="s">
        <v>19</v>
      </c>
      <c r="J210" s="19">
        <f>ROUND(63*1,0)&amp;"%"</f>
      </c>
    </row>
    <row x14ac:dyDescent="0.25" r="211" customHeight="1" ht="17.25">
      <c r="A211" s="20" t="s">
        <v>11578</v>
      </c>
      <c r="B211" s="20" t="s">
        <v>352</v>
      </c>
      <c r="C211" s="20" t="s">
        <v>95</v>
      </c>
      <c r="D211" s="20" t="s">
        <v>22</v>
      </c>
      <c r="E211" s="21">
        <f>ROUND(9829*1.05,2)</f>
      </c>
      <c r="F211" s="20" t="s">
        <v>23</v>
      </c>
      <c r="G211" s="20" t="s">
        <v>24</v>
      </c>
      <c r="H211" s="21">
        <f>ROUND(RAND()*4+6,1)</f>
      </c>
      <c r="I211" s="20" t="s">
        <v>25</v>
      </c>
      <c r="J211" s="23">
        <f>ROUND(79*1,0)&amp;"%"</f>
      </c>
    </row>
    <row x14ac:dyDescent="0.25" r="212" customHeight="1" ht="17.25">
      <c r="A212" s="17" t="s">
        <v>11579</v>
      </c>
      <c r="B212" s="17" t="s">
        <v>354</v>
      </c>
      <c r="C212" s="17" t="s">
        <v>95</v>
      </c>
      <c r="D212" s="17" t="s">
        <v>28</v>
      </c>
      <c r="E212" s="18">
        <f>ROUND(9336*1.05,2)</f>
      </c>
      <c r="F212" s="17" t="s">
        <v>29</v>
      </c>
      <c r="G212" s="17" t="s">
        <v>30</v>
      </c>
      <c r="H212" s="18">
        <f>ROUND(RAND()*4+6,1)</f>
      </c>
      <c r="I212" s="17" t="s">
        <v>31</v>
      </c>
      <c r="J212" s="19">
        <f>ROUND(60*1,0)&amp;"%"</f>
      </c>
    </row>
    <row x14ac:dyDescent="0.25" r="213" customHeight="1" ht="17.25">
      <c r="A213" s="20" t="s">
        <v>11580</v>
      </c>
      <c r="B213" s="20" t="s">
        <v>356</v>
      </c>
      <c r="C213" s="20" t="s">
        <v>95</v>
      </c>
      <c r="D213" s="20" t="s">
        <v>34</v>
      </c>
      <c r="E213" s="21">
        <f>ROUND(13927*1.05,2)</f>
      </c>
      <c r="F213" s="20" t="s">
        <v>35</v>
      </c>
      <c r="G213" s="20" t="s">
        <v>18</v>
      </c>
      <c r="H213" s="21">
        <f>ROUND(RAND()*4+6,1)</f>
      </c>
      <c r="I213" s="20" t="s">
        <v>36</v>
      </c>
      <c r="J213" s="23">
        <f>ROUND(62*1,0)&amp;"%"</f>
      </c>
    </row>
    <row x14ac:dyDescent="0.25" r="214" customHeight="1" ht="17.25">
      <c r="A214" s="17" t="s">
        <v>11581</v>
      </c>
      <c r="B214" s="17" t="s">
        <v>358</v>
      </c>
      <c r="C214" s="17" t="s">
        <v>95</v>
      </c>
      <c r="D214" s="17" t="s">
        <v>39</v>
      </c>
      <c r="E214" s="18">
        <f>ROUND(9014*1.05,2)</f>
      </c>
      <c r="F214" s="17" t="s">
        <v>40</v>
      </c>
      <c r="G214" s="17" t="s">
        <v>24</v>
      </c>
      <c r="H214" s="18">
        <f>ROUND(RAND()*4+6,1)</f>
      </c>
      <c r="I214" s="17" t="s">
        <v>41</v>
      </c>
      <c r="J214" s="19">
        <f>ROUND(89*1,0)&amp;"%"</f>
      </c>
    </row>
    <row x14ac:dyDescent="0.25" r="215" customHeight="1" ht="17.25">
      <c r="A215" s="20" t="s">
        <v>11582</v>
      </c>
      <c r="B215" s="20" t="s">
        <v>360</v>
      </c>
      <c r="C215" s="20" t="s">
        <v>95</v>
      </c>
      <c r="D215" s="20" t="s">
        <v>67</v>
      </c>
      <c r="E215" s="21">
        <f>ROUND(6841*1.05,2)</f>
      </c>
      <c r="F215" s="20" t="s">
        <v>44</v>
      </c>
      <c r="G215" s="20" t="s">
        <v>30</v>
      </c>
      <c r="H215" s="21">
        <f>ROUND(RAND()*4+6,1)</f>
      </c>
      <c r="I215" s="20" t="s">
        <v>45</v>
      </c>
      <c r="J215" s="23">
        <f>ROUND(65*1,0)&amp;"%"</f>
      </c>
    </row>
    <row x14ac:dyDescent="0.25" r="216" customHeight="1" ht="17.25">
      <c r="A216" s="17" t="s">
        <v>11583</v>
      </c>
      <c r="B216" s="17" t="s">
        <v>362</v>
      </c>
      <c r="C216" s="17" t="s">
        <v>95</v>
      </c>
      <c r="D216" s="17" t="s">
        <v>16</v>
      </c>
      <c r="E216" s="18">
        <f>ROUND(10539*1.05,2)</f>
      </c>
      <c r="F216" s="17" t="s">
        <v>48</v>
      </c>
      <c r="G216" s="17" t="s">
        <v>18</v>
      </c>
      <c r="H216" s="18">
        <f>ROUND(RAND()*4+6,1)</f>
      </c>
      <c r="I216" s="17" t="s">
        <v>19</v>
      </c>
      <c r="J216" s="19">
        <f>ROUND(73*1,0)&amp;"%"</f>
      </c>
    </row>
    <row x14ac:dyDescent="0.25" r="217" customHeight="1" ht="17.25">
      <c r="A217" s="20" t="s">
        <v>11584</v>
      </c>
      <c r="B217" s="20" t="s">
        <v>364</v>
      </c>
      <c r="C217" s="20" t="s">
        <v>95</v>
      </c>
      <c r="D217" s="20" t="s">
        <v>22</v>
      </c>
      <c r="E217" s="21">
        <f>ROUND(8003*1.05,2)</f>
      </c>
      <c r="F217" s="20" t="s">
        <v>51</v>
      </c>
      <c r="G217" s="20" t="s">
        <v>24</v>
      </c>
      <c r="H217" s="21">
        <f>ROUND(RAND()*4+6,1)</f>
      </c>
      <c r="I217" s="20" t="s">
        <v>25</v>
      </c>
      <c r="J217" s="23">
        <f>ROUND(69*1,0)&amp;"%"</f>
      </c>
    </row>
    <row x14ac:dyDescent="0.25" r="218" customHeight="1" ht="17.25">
      <c r="A218" s="24" t="s">
        <v>365</v>
      </c>
      <c r="B218" s="24"/>
      <c r="C218" s="24"/>
      <c r="D218" s="24"/>
      <c r="E218" s="25">
        <v>8</v>
      </c>
      <c r="F218" s="9"/>
      <c r="G218" s="9"/>
      <c r="H218" s="10"/>
      <c r="I218" s="9"/>
      <c r="J218" s="9"/>
    </row>
    <row x14ac:dyDescent="0.25" r="219" customHeight="1" ht="17.25">
      <c r="A219" s="7"/>
      <c r="B219" s="7"/>
      <c r="C219" s="7"/>
      <c r="D219" s="7"/>
      <c r="E219" s="8"/>
      <c r="F219" s="9"/>
      <c r="G219" s="9"/>
      <c r="H219" s="10"/>
      <c r="I219" s="9"/>
      <c r="J219" s="9"/>
    </row>
    <row x14ac:dyDescent="0.25" r="220" customHeight="1" ht="17.25">
      <c r="A220" s="11" t="s">
        <v>11585</v>
      </c>
      <c r="B220" s="11"/>
      <c r="C220" s="11"/>
      <c r="D220" s="11"/>
      <c r="E220" s="12"/>
      <c r="F220" s="11"/>
      <c r="G220" s="11"/>
      <c r="H220" s="13"/>
      <c r="I220" s="11"/>
      <c r="J220" s="11"/>
    </row>
    <row x14ac:dyDescent="0.25" r="221" customHeight="1" ht="17.25">
      <c r="A221" s="14" t="s">
        <v>3</v>
      </c>
      <c r="B221" s="14" t="s">
        <v>4</v>
      </c>
      <c r="C221" s="14" t="s">
        <v>5</v>
      </c>
      <c r="D221" s="14" t="s">
        <v>6</v>
      </c>
      <c r="E221" s="15" t="s">
        <v>7</v>
      </c>
      <c r="F221" s="14" t="s">
        <v>8</v>
      </c>
      <c r="G221" s="14" t="s">
        <v>9</v>
      </c>
      <c r="H221" s="16" t="s">
        <v>10</v>
      </c>
      <c r="I221" s="14" t="s">
        <v>11</v>
      </c>
      <c r="J221" s="14" t="s">
        <v>12</v>
      </c>
    </row>
    <row x14ac:dyDescent="0.25" r="222" customHeight="1" ht="17.25">
      <c r="A222" s="17" t="s">
        <v>11586</v>
      </c>
      <c r="B222" s="17" t="s">
        <v>368</v>
      </c>
      <c r="C222" s="17" t="s">
        <v>114</v>
      </c>
      <c r="D222" s="17" t="s">
        <v>16</v>
      </c>
      <c r="E222" s="18">
        <f>ROUND(14449*1.05,2)</f>
      </c>
      <c r="F222" s="17" t="s">
        <v>17</v>
      </c>
      <c r="G222" s="17" t="s">
        <v>18</v>
      </c>
      <c r="H222" s="18">
        <f>ROUND(RAND()*4+6,1)</f>
      </c>
      <c r="I222" s="17" t="s">
        <v>19</v>
      </c>
      <c r="J222" s="19">
        <f>ROUND(66*1,0)&amp;"%"</f>
      </c>
    </row>
    <row x14ac:dyDescent="0.25" r="223" customHeight="1" ht="17.25">
      <c r="A223" s="20" t="s">
        <v>11587</v>
      </c>
      <c r="B223" s="20" t="s">
        <v>370</v>
      </c>
      <c r="C223" s="20" t="s">
        <v>114</v>
      </c>
      <c r="D223" s="20" t="s">
        <v>22</v>
      </c>
      <c r="E223" s="21">
        <f>ROUND(6753*1.05,2)</f>
      </c>
      <c r="F223" s="20" t="s">
        <v>23</v>
      </c>
      <c r="G223" s="20" t="s">
        <v>24</v>
      </c>
      <c r="H223" s="21">
        <f>ROUND(RAND()*4+6,1)</f>
      </c>
      <c r="I223" s="20" t="s">
        <v>25</v>
      </c>
      <c r="J223" s="23">
        <f>ROUND(99*1,0)&amp;"%"</f>
      </c>
    </row>
    <row x14ac:dyDescent="0.25" r="224" customHeight="1" ht="17.25">
      <c r="A224" s="17" t="s">
        <v>11588</v>
      </c>
      <c r="B224" s="17" t="s">
        <v>372</v>
      </c>
      <c r="C224" s="17" t="s">
        <v>114</v>
      </c>
      <c r="D224" s="17" t="s">
        <v>28</v>
      </c>
      <c r="E224" s="18">
        <f>ROUND(8671*1.05,2)</f>
      </c>
      <c r="F224" s="17" t="s">
        <v>29</v>
      </c>
      <c r="G224" s="17" t="s">
        <v>30</v>
      </c>
      <c r="H224" s="18">
        <f>ROUND(RAND()*4+6,1)</f>
      </c>
      <c r="I224" s="17" t="s">
        <v>31</v>
      </c>
      <c r="J224" s="19">
        <f>ROUND(88*1,0)&amp;"%"</f>
      </c>
    </row>
    <row x14ac:dyDescent="0.25" r="225" customHeight="1" ht="17.25">
      <c r="A225" s="20" t="s">
        <v>11589</v>
      </c>
      <c r="B225" s="20" t="s">
        <v>374</v>
      </c>
      <c r="C225" s="20" t="s">
        <v>114</v>
      </c>
      <c r="D225" s="20" t="s">
        <v>34</v>
      </c>
      <c r="E225" s="21">
        <f>ROUND(4379*1.05,2)</f>
      </c>
      <c r="F225" s="20" t="s">
        <v>35</v>
      </c>
      <c r="G225" s="20" t="s">
        <v>18</v>
      </c>
      <c r="H225" s="21">
        <f>ROUND(RAND()*4+6,1)</f>
      </c>
      <c r="I225" s="20" t="s">
        <v>36</v>
      </c>
      <c r="J225" s="23">
        <f>ROUND(78*1,0)&amp;"%"</f>
      </c>
    </row>
    <row x14ac:dyDescent="0.25" r="226" customHeight="1" ht="17.25">
      <c r="A226" s="17" t="s">
        <v>11590</v>
      </c>
      <c r="B226" s="17" t="s">
        <v>376</v>
      </c>
      <c r="C226" s="17" t="s">
        <v>114</v>
      </c>
      <c r="D226" s="17" t="s">
        <v>39</v>
      </c>
      <c r="E226" s="18">
        <f>ROUND(5621*1.05,2)</f>
      </c>
      <c r="F226" s="17" t="s">
        <v>40</v>
      </c>
      <c r="G226" s="17" t="s">
        <v>24</v>
      </c>
      <c r="H226" s="18">
        <f>ROUND(RAND()*4+6,1)</f>
      </c>
      <c r="I226" s="17" t="s">
        <v>41</v>
      </c>
      <c r="J226" s="19">
        <f>ROUND(72*1,0)&amp;"%"</f>
      </c>
    </row>
    <row x14ac:dyDescent="0.25" r="227" customHeight="1" ht="17.25">
      <c r="A227" s="20" t="s">
        <v>11591</v>
      </c>
      <c r="B227" s="20" t="s">
        <v>378</v>
      </c>
      <c r="C227" s="20" t="s">
        <v>114</v>
      </c>
      <c r="D227" s="20" t="s">
        <v>67</v>
      </c>
      <c r="E227" s="21">
        <f>ROUND(4711*1.05,2)</f>
      </c>
      <c r="F227" s="20" t="s">
        <v>44</v>
      </c>
      <c r="G227" s="20" t="s">
        <v>30</v>
      </c>
      <c r="H227" s="21">
        <f>ROUND(RAND()*4+6,1)</f>
      </c>
      <c r="I227" s="20" t="s">
        <v>45</v>
      </c>
      <c r="J227" s="23">
        <f>ROUND(97*1,0)&amp;"%"</f>
      </c>
    </row>
    <row x14ac:dyDescent="0.25" r="228" customHeight="1" ht="17.25">
      <c r="A228" s="17" t="s">
        <v>11592</v>
      </c>
      <c r="B228" s="17" t="s">
        <v>380</v>
      </c>
      <c r="C228" s="17" t="s">
        <v>114</v>
      </c>
      <c r="D228" s="17" t="s">
        <v>16</v>
      </c>
      <c r="E228" s="18">
        <f>ROUND(8971*1.05,2)</f>
      </c>
      <c r="F228" s="17" t="s">
        <v>48</v>
      </c>
      <c r="G228" s="17" t="s">
        <v>18</v>
      </c>
      <c r="H228" s="26">
        <f>ROUND(RAND()*4+6,1)</f>
      </c>
      <c r="I228" s="17" t="s">
        <v>19</v>
      </c>
      <c r="J228" s="19">
        <f>ROUND(63*1,0)&amp;"%"</f>
      </c>
    </row>
    <row x14ac:dyDescent="0.25" r="229" customHeight="1" ht="17.25">
      <c r="A229" s="20" t="s">
        <v>11593</v>
      </c>
      <c r="B229" s="20" t="s">
        <v>382</v>
      </c>
      <c r="C229" s="20" t="s">
        <v>114</v>
      </c>
      <c r="D229" s="20" t="s">
        <v>22</v>
      </c>
      <c r="E229" s="21">
        <f>ROUND(12105*1.05,2)</f>
      </c>
      <c r="F229" s="20" t="s">
        <v>51</v>
      </c>
      <c r="G229" s="20" t="s">
        <v>24</v>
      </c>
      <c r="H229" s="21">
        <f>ROUND(RAND()*4+6,1)</f>
      </c>
      <c r="I229" s="20" t="s">
        <v>25</v>
      </c>
      <c r="J229" s="23">
        <f>ROUND(79*1,0)&amp;"%"</f>
      </c>
    </row>
    <row x14ac:dyDescent="0.25" r="230" customHeight="1" ht="17.25">
      <c r="A230" s="24" t="s">
        <v>383</v>
      </c>
      <c r="B230" s="24"/>
      <c r="C230" s="24"/>
      <c r="D230" s="24"/>
      <c r="E230" s="25">
        <v>8</v>
      </c>
      <c r="F230" s="9"/>
      <c r="G230" s="9"/>
      <c r="H230" s="10"/>
      <c r="I230" s="9"/>
      <c r="J230" s="9"/>
    </row>
    <row x14ac:dyDescent="0.25" r="231" customHeight="1" ht="17.25">
      <c r="A231" s="7"/>
      <c r="B231" s="7"/>
      <c r="C231" s="7"/>
      <c r="D231" s="7"/>
      <c r="E231" s="8"/>
      <c r="F231" s="9"/>
      <c r="G231" s="9"/>
      <c r="H231" s="10"/>
      <c r="I231" s="9"/>
      <c r="J231" s="9"/>
    </row>
    <row x14ac:dyDescent="0.25" r="232" customHeight="1" ht="17.25">
      <c r="A232" s="11" t="s">
        <v>11594</v>
      </c>
      <c r="B232" s="11"/>
      <c r="C232" s="11"/>
      <c r="D232" s="11"/>
      <c r="E232" s="12"/>
      <c r="F232" s="11"/>
      <c r="G232" s="11"/>
      <c r="H232" s="13"/>
      <c r="I232" s="11"/>
      <c r="J232" s="11"/>
    </row>
    <row x14ac:dyDescent="0.25" r="233" customHeight="1" ht="17.25">
      <c r="A233" s="14" t="s">
        <v>3</v>
      </c>
      <c r="B233" s="14" t="s">
        <v>4</v>
      </c>
      <c r="C233" s="14" t="s">
        <v>5</v>
      </c>
      <c r="D233" s="14" t="s">
        <v>6</v>
      </c>
      <c r="E233" s="15" t="s">
        <v>7</v>
      </c>
      <c r="F233" s="14" t="s">
        <v>8</v>
      </c>
      <c r="G233" s="14" t="s">
        <v>9</v>
      </c>
      <c r="H233" s="16" t="s">
        <v>10</v>
      </c>
      <c r="I233" s="14" t="s">
        <v>11</v>
      </c>
      <c r="J233" s="14" t="s">
        <v>12</v>
      </c>
    </row>
    <row x14ac:dyDescent="0.25" r="234" customHeight="1" ht="17.25">
      <c r="A234" s="17" t="s">
        <v>11595</v>
      </c>
      <c r="B234" s="17" t="s">
        <v>386</v>
      </c>
      <c r="C234" s="17" t="s">
        <v>133</v>
      </c>
      <c r="D234" s="17" t="s">
        <v>16</v>
      </c>
      <c r="E234" s="18">
        <f>ROUND(14076*1.05,2)</f>
      </c>
      <c r="F234" s="17" t="s">
        <v>17</v>
      </c>
      <c r="G234" s="17" t="s">
        <v>18</v>
      </c>
      <c r="H234" s="18">
        <f>ROUND(RAND()*4+6,1)</f>
      </c>
      <c r="I234" s="17" t="s">
        <v>19</v>
      </c>
      <c r="J234" s="19">
        <f>ROUND(67*1,0)&amp;"%"</f>
      </c>
    </row>
    <row x14ac:dyDescent="0.25" r="235" customHeight="1" ht="17.25">
      <c r="A235" s="20" t="s">
        <v>11596</v>
      </c>
      <c r="B235" s="20" t="s">
        <v>388</v>
      </c>
      <c r="C235" s="20" t="s">
        <v>133</v>
      </c>
      <c r="D235" s="20" t="s">
        <v>22</v>
      </c>
      <c r="E235" s="21">
        <f>ROUND(16549*1.05,2)</f>
      </c>
      <c r="F235" s="20" t="s">
        <v>23</v>
      </c>
      <c r="G235" s="20" t="s">
        <v>24</v>
      </c>
      <c r="H235" s="21">
        <f>ROUND(RAND()*4+6,1)</f>
      </c>
      <c r="I235" s="20" t="s">
        <v>25</v>
      </c>
      <c r="J235" s="23">
        <f>ROUND(71*1,0)&amp;"%"</f>
      </c>
    </row>
    <row x14ac:dyDescent="0.25" r="236" customHeight="1" ht="17.25">
      <c r="A236" s="17" t="s">
        <v>11597</v>
      </c>
      <c r="B236" s="17" t="s">
        <v>390</v>
      </c>
      <c r="C236" s="17" t="s">
        <v>133</v>
      </c>
      <c r="D236" s="17" t="s">
        <v>28</v>
      </c>
      <c r="E236" s="18">
        <f>ROUND(6250*1.05,2)</f>
      </c>
      <c r="F236" s="17" t="s">
        <v>29</v>
      </c>
      <c r="G236" s="17" t="s">
        <v>30</v>
      </c>
      <c r="H236" s="18">
        <f>ROUND(RAND()*4+6,1)</f>
      </c>
      <c r="I236" s="17" t="s">
        <v>31</v>
      </c>
      <c r="J236" s="19">
        <f>ROUND(75*1,0)&amp;"%"</f>
      </c>
    </row>
    <row x14ac:dyDescent="0.25" r="237" customHeight="1" ht="17.25">
      <c r="A237" s="20" t="s">
        <v>11598</v>
      </c>
      <c r="B237" s="20" t="s">
        <v>392</v>
      </c>
      <c r="C237" s="20" t="s">
        <v>133</v>
      </c>
      <c r="D237" s="20" t="s">
        <v>34</v>
      </c>
      <c r="E237" s="21">
        <f>ROUND(12728*1.05,2)</f>
      </c>
      <c r="F237" s="20" t="s">
        <v>35</v>
      </c>
      <c r="G237" s="20" t="s">
        <v>18</v>
      </c>
      <c r="H237" s="21">
        <f>ROUND(RAND()*4+6,1)</f>
      </c>
      <c r="I237" s="20" t="s">
        <v>36</v>
      </c>
      <c r="J237" s="23">
        <f>ROUND(78*1,0)&amp;"%"</f>
      </c>
    </row>
    <row x14ac:dyDescent="0.25" r="238" customHeight="1" ht="17.25">
      <c r="A238" s="17" t="s">
        <v>11599</v>
      </c>
      <c r="B238" s="17" t="s">
        <v>394</v>
      </c>
      <c r="C238" s="17" t="s">
        <v>133</v>
      </c>
      <c r="D238" s="17" t="s">
        <v>39</v>
      </c>
      <c r="E238" s="18">
        <f>ROUND(11342*1.05,2)</f>
      </c>
      <c r="F238" s="17" t="s">
        <v>40</v>
      </c>
      <c r="G238" s="17" t="s">
        <v>24</v>
      </c>
      <c r="H238" s="18">
        <f>ROUND(RAND()*4+6,1)</f>
      </c>
      <c r="I238" s="17" t="s">
        <v>41</v>
      </c>
      <c r="J238" s="19">
        <f>ROUND(79*1,0)&amp;"%"</f>
      </c>
    </row>
    <row x14ac:dyDescent="0.25" r="239" customHeight="1" ht="17.25">
      <c r="A239" s="20" t="s">
        <v>11600</v>
      </c>
      <c r="B239" s="20" t="s">
        <v>396</v>
      </c>
      <c r="C239" s="20" t="s">
        <v>133</v>
      </c>
      <c r="D239" s="20" t="s">
        <v>67</v>
      </c>
      <c r="E239" s="21">
        <f>ROUND(9727*1.05,2)</f>
      </c>
      <c r="F239" s="20" t="s">
        <v>44</v>
      </c>
      <c r="G239" s="20" t="s">
        <v>30</v>
      </c>
      <c r="H239" s="21">
        <f>ROUND(RAND()*4+6,1)</f>
      </c>
      <c r="I239" s="20" t="s">
        <v>45</v>
      </c>
      <c r="J239" s="23">
        <f>ROUND(64*1,0)&amp;"%"</f>
      </c>
    </row>
    <row x14ac:dyDescent="0.25" r="240" customHeight="1" ht="17.25">
      <c r="A240" s="17" t="s">
        <v>11601</v>
      </c>
      <c r="B240" s="17" t="s">
        <v>398</v>
      </c>
      <c r="C240" s="17" t="s">
        <v>133</v>
      </c>
      <c r="D240" s="17" t="s">
        <v>16</v>
      </c>
      <c r="E240" s="18">
        <f>ROUND(11857*1.05,2)</f>
      </c>
      <c r="F240" s="17" t="s">
        <v>48</v>
      </c>
      <c r="G240" s="17" t="s">
        <v>18</v>
      </c>
      <c r="H240" s="18">
        <f>ROUND(RAND()*4+6,1)</f>
      </c>
      <c r="I240" s="17" t="s">
        <v>19</v>
      </c>
      <c r="J240" s="19">
        <f>ROUND(99*1,0)&amp;"%"</f>
      </c>
    </row>
    <row x14ac:dyDescent="0.25" r="241" customHeight="1" ht="17.25">
      <c r="A241" s="20" t="s">
        <v>11602</v>
      </c>
      <c r="B241" s="20" t="s">
        <v>400</v>
      </c>
      <c r="C241" s="20" t="s">
        <v>133</v>
      </c>
      <c r="D241" s="20" t="s">
        <v>22</v>
      </c>
      <c r="E241" s="21">
        <f>ROUND(9770*1.05,2)</f>
      </c>
      <c r="F241" s="20" t="s">
        <v>51</v>
      </c>
      <c r="G241" s="20" t="s">
        <v>24</v>
      </c>
      <c r="H241" s="21">
        <f>ROUND(RAND()*4+6,1)</f>
      </c>
      <c r="I241" s="20" t="s">
        <v>25</v>
      </c>
      <c r="J241" s="23">
        <f>ROUND(69*1,0)&amp;"%"</f>
      </c>
    </row>
    <row x14ac:dyDescent="0.25" r="242" customHeight="1" ht="17.25">
      <c r="A242" s="24" t="s">
        <v>401</v>
      </c>
      <c r="B242" s="24"/>
      <c r="C242" s="24"/>
      <c r="D242" s="24"/>
      <c r="E242" s="25">
        <v>8</v>
      </c>
      <c r="F242" s="9"/>
      <c r="G242" s="9"/>
      <c r="H242" s="10"/>
      <c r="I242" s="9"/>
      <c r="J242" s="9"/>
    </row>
    <row x14ac:dyDescent="0.25" r="243" customHeight="1" ht="17.25">
      <c r="A243" s="7"/>
      <c r="B243" s="7"/>
      <c r="C243" s="7"/>
      <c r="D243" s="7"/>
      <c r="E243" s="8"/>
      <c r="F243" s="9"/>
      <c r="G243" s="9"/>
      <c r="H243" s="10"/>
      <c r="I243" s="9"/>
      <c r="J243" s="9"/>
    </row>
    <row x14ac:dyDescent="0.25" r="244" customHeight="1" ht="17.25">
      <c r="A244" s="11" t="s">
        <v>11603</v>
      </c>
      <c r="B244" s="11"/>
      <c r="C244" s="11"/>
      <c r="D244" s="11"/>
      <c r="E244" s="12"/>
      <c r="F244" s="11"/>
      <c r="G244" s="11"/>
      <c r="H244" s="13"/>
      <c r="I244" s="11"/>
      <c r="J244" s="11"/>
    </row>
    <row x14ac:dyDescent="0.25" r="245" customHeight="1" ht="17.25">
      <c r="A245" s="14" t="s">
        <v>3</v>
      </c>
      <c r="B245" s="14" t="s">
        <v>4</v>
      </c>
      <c r="C245" s="14" t="s">
        <v>5</v>
      </c>
      <c r="D245" s="14" t="s">
        <v>6</v>
      </c>
      <c r="E245" s="15" t="s">
        <v>7</v>
      </c>
      <c r="F245" s="14" t="s">
        <v>8</v>
      </c>
      <c r="G245" s="14" t="s">
        <v>9</v>
      </c>
      <c r="H245" s="16" t="s">
        <v>10</v>
      </c>
      <c r="I245" s="14" t="s">
        <v>11</v>
      </c>
      <c r="J245" s="14" t="s">
        <v>12</v>
      </c>
    </row>
    <row x14ac:dyDescent="0.25" r="246" customHeight="1" ht="17.25">
      <c r="A246" s="17" t="s">
        <v>11604</v>
      </c>
      <c r="B246" s="17" t="s">
        <v>404</v>
      </c>
      <c r="C246" s="17" t="s">
        <v>152</v>
      </c>
      <c r="D246" s="17" t="s">
        <v>16</v>
      </c>
      <c r="E246" s="18">
        <f>ROUND(16727*1.05,2)</f>
      </c>
      <c r="F246" s="17" t="s">
        <v>17</v>
      </c>
      <c r="G246" s="17" t="s">
        <v>18</v>
      </c>
      <c r="H246" s="18">
        <f>ROUND(RAND()*4+6,1)</f>
      </c>
      <c r="I246" s="17" t="s">
        <v>19</v>
      </c>
      <c r="J246" s="19">
        <f>ROUND(88*1,0)&amp;"%"</f>
      </c>
    </row>
    <row x14ac:dyDescent="0.25" r="247" customHeight="1" ht="17.25">
      <c r="A247" s="20" t="s">
        <v>11605</v>
      </c>
      <c r="B247" s="20" t="s">
        <v>406</v>
      </c>
      <c r="C247" s="20" t="s">
        <v>152</v>
      </c>
      <c r="D247" s="20" t="s">
        <v>22</v>
      </c>
      <c r="E247" s="21">
        <f>ROUND(10378*1.05,2)</f>
      </c>
      <c r="F247" s="20" t="s">
        <v>23</v>
      </c>
      <c r="G247" s="20" t="s">
        <v>24</v>
      </c>
      <c r="H247" s="21">
        <f>ROUND(RAND()*4+6,1)</f>
      </c>
      <c r="I247" s="20" t="s">
        <v>25</v>
      </c>
      <c r="J247" s="23">
        <f>ROUND(98*1,0)&amp;"%"</f>
      </c>
    </row>
    <row x14ac:dyDescent="0.25" r="248" customHeight="1" ht="17.25">
      <c r="A248" s="17" t="s">
        <v>11606</v>
      </c>
      <c r="B248" s="17" t="s">
        <v>408</v>
      </c>
      <c r="C248" s="17" t="s">
        <v>152</v>
      </c>
      <c r="D248" s="17" t="s">
        <v>28</v>
      </c>
      <c r="E248" s="18">
        <f>ROUND(10325*1.05,2)</f>
      </c>
      <c r="F248" s="17" t="s">
        <v>29</v>
      </c>
      <c r="G248" s="17" t="s">
        <v>30</v>
      </c>
      <c r="H248" s="18">
        <f>ROUND(RAND()*4+6,1)</f>
      </c>
      <c r="I248" s="17" t="s">
        <v>31</v>
      </c>
      <c r="J248" s="19">
        <f>ROUND(62*1,0)&amp;"%"</f>
      </c>
    </row>
    <row x14ac:dyDescent="0.25" r="249" customHeight="1" ht="17.25">
      <c r="A249" s="20" t="s">
        <v>11607</v>
      </c>
      <c r="B249" s="20" t="s">
        <v>410</v>
      </c>
      <c r="C249" s="20" t="s">
        <v>152</v>
      </c>
      <c r="D249" s="20" t="s">
        <v>34</v>
      </c>
      <c r="E249" s="21">
        <f>ROUND(4659*1.05,2)</f>
      </c>
      <c r="F249" s="20" t="s">
        <v>35</v>
      </c>
      <c r="G249" s="20" t="s">
        <v>18</v>
      </c>
      <c r="H249" s="21">
        <f>ROUND(RAND()*4+6,1)</f>
      </c>
      <c r="I249" s="20" t="s">
        <v>36</v>
      </c>
      <c r="J249" s="23">
        <f>ROUND(88*1,0)&amp;"%"</f>
      </c>
    </row>
    <row x14ac:dyDescent="0.25" r="250" customHeight="1" ht="17.25">
      <c r="A250" s="17" t="s">
        <v>11608</v>
      </c>
      <c r="B250" s="17" t="s">
        <v>412</v>
      </c>
      <c r="C250" s="17" t="s">
        <v>152</v>
      </c>
      <c r="D250" s="17" t="s">
        <v>39</v>
      </c>
      <c r="E250" s="18">
        <f>ROUND(7362*1.05,2)</f>
      </c>
      <c r="F250" s="17" t="s">
        <v>40</v>
      </c>
      <c r="G250" s="17" t="s">
        <v>24</v>
      </c>
      <c r="H250" s="18">
        <f>ROUND(RAND()*4+6,1)</f>
      </c>
      <c r="I250" s="17" t="s">
        <v>41</v>
      </c>
      <c r="J250" s="19">
        <f>ROUND(60*1,0)&amp;"%"</f>
      </c>
    </row>
    <row x14ac:dyDescent="0.25" r="251" customHeight="1" ht="17.25">
      <c r="A251" s="20" t="s">
        <v>11609</v>
      </c>
      <c r="B251" s="20" t="s">
        <v>414</v>
      </c>
      <c r="C251" s="20" t="s">
        <v>152</v>
      </c>
      <c r="D251" s="20" t="s">
        <v>67</v>
      </c>
      <c r="E251" s="21">
        <f>ROUND(14638*1.05,2)</f>
      </c>
      <c r="F251" s="20" t="s">
        <v>44</v>
      </c>
      <c r="G251" s="20" t="s">
        <v>30</v>
      </c>
      <c r="H251" s="21">
        <f>ROUND(RAND()*4+6,1)</f>
      </c>
      <c r="I251" s="20" t="s">
        <v>45</v>
      </c>
      <c r="J251" s="23">
        <f>ROUND(73*1,0)&amp;"%"</f>
      </c>
    </row>
    <row x14ac:dyDescent="0.25" r="252" customHeight="1" ht="17.25">
      <c r="A252" s="17" t="s">
        <v>11610</v>
      </c>
      <c r="B252" s="17" t="s">
        <v>416</v>
      </c>
      <c r="C252" s="17" t="s">
        <v>152</v>
      </c>
      <c r="D252" s="17" t="s">
        <v>16</v>
      </c>
      <c r="E252" s="18">
        <f>ROUND(12337*1.05,2)</f>
      </c>
      <c r="F252" s="17" t="s">
        <v>48</v>
      </c>
      <c r="G252" s="17" t="s">
        <v>18</v>
      </c>
      <c r="H252" s="18">
        <f>ROUND(RAND()*4+6,1)</f>
      </c>
      <c r="I252" s="17" t="s">
        <v>19</v>
      </c>
      <c r="J252" s="19">
        <f>ROUND(73*1,0)&amp;"%"</f>
      </c>
    </row>
    <row x14ac:dyDescent="0.25" r="253" customHeight="1" ht="17.25">
      <c r="A253" s="20" t="s">
        <v>11611</v>
      </c>
      <c r="B253" s="20" t="s">
        <v>418</v>
      </c>
      <c r="C253" s="20" t="s">
        <v>152</v>
      </c>
      <c r="D253" s="20" t="s">
        <v>22</v>
      </c>
      <c r="E253" s="21">
        <f>ROUND(6114*1.05,2)</f>
      </c>
      <c r="F253" s="20" t="s">
        <v>51</v>
      </c>
      <c r="G253" s="20" t="s">
        <v>24</v>
      </c>
      <c r="H253" s="21">
        <f>ROUND(RAND()*4+6,1)</f>
      </c>
      <c r="I253" s="20" t="s">
        <v>25</v>
      </c>
      <c r="J253" s="23">
        <f>ROUND(65*1,0)&amp;"%"</f>
      </c>
    </row>
    <row x14ac:dyDescent="0.25" r="254" customHeight="1" ht="17.25">
      <c r="A254" s="24" t="s">
        <v>419</v>
      </c>
      <c r="B254" s="24"/>
      <c r="C254" s="24"/>
      <c r="D254" s="24"/>
      <c r="E254" s="25">
        <v>8</v>
      </c>
      <c r="F254" s="9"/>
      <c r="G254" s="9"/>
      <c r="H254" s="10"/>
      <c r="I254" s="9"/>
      <c r="J254" s="9"/>
    </row>
    <row x14ac:dyDescent="0.25" r="255" customHeight="1" ht="17.25">
      <c r="A255" s="7"/>
      <c r="B255" s="7"/>
      <c r="C255" s="7"/>
      <c r="D255" s="7"/>
      <c r="E255" s="8"/>
      <c r="F255" s="9"/>
      <c r="G255" s="9"/>
      <c r="H255" s="10"/>
      <c r="I255" s="9"/>
      <c r="J255" s="9"/>
    </row>
    <row x14ac:dyDescent="0.25" r="256" customHeight="1" ht="17.25">
      <c r="A256" s="11" t="s">
        <v>11612</v>
      </c>
      <c r="B256" s="11"/>
      <c r="C256" s="11"/>
      <c r="D256" s="11"/>
      <c r="E256" s="12"/>
      <c r="F256" s="11"/>
      <c r="G256" s="11"/>
      <c r="H256" s="13"/>
      <c r="I256" s="11"/>
      <c r="J256" s="11"/>
    </row>
    <row x14ac:dyDescent="0.25" r="257" customHeight="1" ht="17.25">
      <c r="A257" s="14" t="s">
        <v>3</v>
      </c>
      <c r="B257" s="14" t="s">
        <v>4</v>
      </c>
      <c r="C257" s="14" t="s">
        <v>5</v>
      </c>
      <c r="D257" s="14" t="s">
        <v>6</v>
      </c>
      <c r="E257" s="15" t="s">
        <v>7</v>
      </c>
      <c r="F257" s="14" t="s">
        <v>8</v>
      </c>
      <c r="G257" s="14" t="s">
        <v>9</v>
      </c>
      <c r="H257" s="16" t="s">
        <v>10</v>
      </c>
      <c r="I257" s="14" t="s">
        <v>11</v>
      </c>
      <c r="J257" s="14" t="s">
        <v>12</v>
      </c>
    </row>
    <row x14ac:dyDescent="0.25" r="258" customHeight="1" ht="17.25">
      <c r="A258" s="17" t="s">
        <v>11613</v>
      </c>
      <c r="B258" s="17" t="s">
        <v>422</v>
      </c>
      <c r="C258" s="17" t="s">
        <v>15</v>
      </c>
      <c r="D258" s="17" t="s">
        <v>16</v>
      </c>
      <c r="E258" s="18">
        <f>ROUND(8256*1.05,2)</f>
      </c>
      <c r="F258" s="17" t="s">
        <v>17</v>
      </c>
      <c r="G258" s="17" t="s">
        <v>18</v>
      </c>
      <c r="H258" s="26">
        <f>ROUND(RAND()*4+6,1)</f>
      </c>
      <c r="I258" s="17" t="s">
        <v>19</v>
      </c>
      <c r="J258" s="19">
        <f>ROUND(68*1,0)&amp;"%"</f>
      </c>
    </row>
    <row x14ac:dyDescent="0.25" r="259" customHeight="1" ht="17.25">
      <c r="A259" s="20" t="s">
        <v>11614</v>
      </c>
      <c r="B259" s="20" t="s">
        <v>424</v>
      </c>
      <c r="C259" s="20" t="s">
        <v>15</v>
      </c>
      <c r="D259" s="20" t="s">
        <v>22</v>
      </c>
      <c r="E259" s="21">
        <f>ROUND(12127*1.05,2)</f>
      </c>
      <c r="F259" s="20" t="s">
        <v>23</v>
      </c>
      <c r="G259" s="20" t="s">
        <v>24</v>
      </c>
      <c r="H259" s="21">
        <f>ROUND(RAND()*4+6,1)</f>
      </c>
      <c r="I259" s="20" t="s">
        <v>25</v>
      </c>
      <c r="J259" s="23">
        <f>ROUND(74*1,0)&amp;"%"</f>
      </c>
    </row>
    <row x14ac:dyDescent="0.25" r="260" customHeight="1" ht="17.25">
      <c r="A260" s="17" t="s">
        <v>11615</v>
      </c>
      <c r="B260" s="17" t="s">
        <v>426</v>
      </c>
      <c r="C260" s="17" t="s">
        <v>15</v>
      </c>
      <c r="D260" s="17" t="s">
        <v>28</v>
      </c>
      <c r="E260" s="18">
        <f>ROUND(13425*1.05,2)</f>
      </c>
      <c r="F260" s="17" t="s">
        <v>29</v>
      </c>
      <c r="G260" s="17" t="s">
        <v>30</v>
      </c>
      <c r="H260" s="18">
        <f>ROUND(RAND()*4+6,1)</f>
      </c>
      <c r="I260" s="17" t="s">
        <v>31</v>
      </c>
      <c r="J260" s="19">
        <f>ROUND(99*1,0)&amp;"%"</f>
      </c>
    </row>
    <row x14ac:dyDescent="0.25" r="261" customHeight="1" ht="17.25">
      <c r="A261" s="20" t="s">
        <v>11616</v>
      </c>
      <c r="B261" s="20" t="s">
        <v>428</v>
      </c>
      <c r="C261" s="20" t="s">
        <v>15</v>
      </c>
      <c r="D261" s="20" t="s">
        <v>34</v>
      </c>
      <c r="E261" s="21">
        <f>ROUND(11379*1.05,2)</f>
      </c>
      <c r="F261" s="20" t="s">
        <v>35</v>
      </c>
      <c r="G261" s="20" t="s">
        <v>18</v>
      </c>
      <c r="H261" s="21">
        <f>ROUND(RAND()*4+6,1)</f>
      </c>
      <c r="I261" s="20" t="s">
        <v>36</v>
      </c>
      <c r="J261" s="23">
        <f>ROUND(89*1,0)&amp;"%"</f>
      </c>
    </row>
    <row x14ac:dyDescent="0.25" r="262" customHeight="1" ht="17.25">
      <c r="A262" s="17" t="s">
        <v>11617</v>
      </c>
      <c r="B262" s="17" t="s">
        <v>430</v>
      </c>
      <c r="C262" s="17" t="s">
        <v>15</v>
      </c>
      <c r="D262" s="17" t="s">
        <v>39</v>
      </c>
      <c r="E262" s="18">
        <f>ROUND(17676*1.05,2)</f>
      </c>
      <c r="F262" s="17" t="s">
        <v>40</v>
      </c>
      <c r="G262" s="17" t="s">
        <v>24</v>
      </c>
      <c r="H262" s="18">
        <f>ROUND(RAND()*4+6,1)</f>
      </c>
      <c r="I262" s="17" t="s">
        <v>41</v>
      </c>
      <c r="J262" s="19">
        <f>ROUND(96*1,0)&amp;"%"</f>
      </c>
    </row>
    <row x14ac:dyDescent="0.25" r="263" customHeight="1" ht="17.25">
      <c r="A263" s="20" t="s">
        <v>11618</v>
      </c>
      <c r="B263" s="20" t="s">
        <v>432</v>
      </c>
      <c r="C263" s="20" t="s">
        <v>15</v>
      </c>
      <c r="D263" s="20" t="s">
        <v>67</v>
      </c>
      <c r="E263" s="21">
        <f>ROUND(8450*1.05,2)</f>
      </c>
      <c r="F263" s="20" t="s">
        <v>44</v>
      </c>
      <c r="G263" s="20" t="s">
        <v>30</v>
      </c>
      <c r="H263" s="21">
        <f>ROUND(RAND()*4+6,1)</f>
      </c>
      <c r="I263" s="20" t="s">
        <v>45</v>
      </c>
      <c r="J263" s="23">
        <f>ROUND(80*1,0)&amp;"%"</f>
      </c>
    </row>
    <row x14ac:dyDescent="0.25" r="264" customHeight="1" ht="17.25">
      <c r="A264" s="17" t="s">
        <v>11619</v>
      </c>
      <c r="B264" s="17" t="s">
        <v>434</v>
      </c>
      <c r="C264" s="17" t="s">
        <v>15</v>
      </c>
      <c r="D264" s="17" t="s">
        <v>16</v>
      </c>
      <c r="E264" s="18">
        <f>ROUND(13738*1.05,2)</f>
      </c>
      <c r="F264" s="17" t="s">
        <v>48</v>
      </c>
      <c r="G264" s="17" t="s">
        <v>18</v>
      </c>
      <c r="H264" s="26">
        <f>ROUND(RAND()*4+6,1)</f>
      </c>
      <c r="I264" s="17" t="s">
        <v>19</v>
      </c>
      <c r="J264" s="19">
        <f>ROUND(85*1,0)&amp;"%"</f>
      </c>
    </row>
    <row x14ac:dyDescent="0.25" r="265" customHeight="1" ht="17.25">
      <c r="A265" s="20" t="s">
        <v>11620</v>
      </c>
      <c r="B265" s="20" t="s">
        <v>436</v>
      </c>
      <c r="C265" s="20" t="s">
        <v>15</v>
      </c>
      <c r="D265" s="20" t="s">
        <v>22</v>
      </c>
      <c r="E265" s="21">
        <f>ROUND(14454*1.05,2)</f>
      </c>
      <c r="F265" s="20" t="s">
        <v>51</v>
      </c>
      <c r="G265" s="20" t="s">
        <v>24</v>
      </c>
      <c r="H265" s="21">
        <f>ROUND(RAND()*4+6,1)</f>
      </c>
      <c r="I265" s="20" t="s">
        <v>25</v>
      </c>
      <c r="J265" s="23">
        <f>ROUND(67*1,0)&amp;"%"</f>
      </c>
    </row>
    <row x14ac:dyDescent="0.25" r="266" customHeight="1" ht="17.25">
      <c r="A266" s="24" t="s">
        <v>437</v>
      </c>
      <c r="B266" s="24"/>
      <c r="C266" s="24"/>
      <c r="D266" s="24"/>
      <c r="E266" s="25">
        <v>8</v>
      </c>
      <c r="F266" s="9"/>
      <c r="G266" s="9"/>
      <c r="H266" s="10"/>
      <c r="I266" s="9"/>
      <c r="J266" s="9"/>
    </row>
    <row x14ac:dyDescent="0.25" r="267" customHeight="1" ht="17.25">
      <c r="A267" s="7"/>
      <c r="B267" s="7"/>
      <c r="C267" s="7"/>
      <c r="D267" s="7"/>
      <c r="E267" s="8"/>
      <c r="F267" s="9"/>
      <c r="G267" s="9"/>
      <c r="H267" s="10"/>
      <c r="I267" s="9"/>
      <c r="J267" s="9"/>
    </row>
    <row x14ac:dyDescent="0.25" r="268" customHeight="1" ht="17.25">
      <c r="A268" s="11" t="s">
        <v>11621</v>
      </c>
      <c r="B268" s="11"/>
      <c r="C268" s="11"/>
      <c r="D268" s="11"/>
      <c r="E268" s="12"/>
      <c r="F268" s="11"/>
      <c r="G268" s="11"/>
      <c r="H268" s="13"/>
      <c r="I268" s="11"/>
      <c r="J268" s="11"/>
    </row>
    <row x14ac:dyDescent="0.25" r="269" customHeight="1" ht="17.25">
      <c r="A269" s="14" t="s">
        <v>3</v>
      </c>
      <c r="B269" s="14" t="s">
        <v>4</v>
      </c>
      <c r="C269" s="14" t="s">
        <v>5</v>
      </c>
      <c r="D269" s="14" t="s">
        <v>6</v>
      </c>
      <c r="E269" s="15" t="s">
        <v>7</v>
      </c>
      <c r="F269" s="14" t="s">
        <v>8</v>
      </c>
      <c r="G269" s="14" t="s">
        <v>9</v>
      </c>
      <c r="H269" s="16" t="s">
        <v>10</v>
      </c>
      <c r="I269" s="14" t="s">
        <v>11</v>
      </c>
      <c r="J269" s="14" t="s">
        <v>12</v>
      </c>
    </row>
    <row x14ac:dyDescent="0.25" r="270" customHeight="1" ht="17.25">
      <c r="A270" s="17" t="s">
        <v>11622</v>
      </c>
      <c r="B270" s="17" t="s">
        <v>440</v>
      </c>
      <c r="C270" s="17" t="s">
        <v>56</v>
      </c>
      <c r="D270" s="17" t="s">
        <v>16</v>
      </c>
      <c r="E270" s="18">
        <f>ROUND(15335*1.05,2)</f>
      </c>
      <c r="F270" s="17" t="s">
        <v>17</v>
      </c>
      <c r="G270" s="17" t="s">
        <v>18</v>
      </c>
      <c r="H270" s="18">
        <f>ROUND(RAND()*4+6,1)</f>
      </c>
      <c r="I270" s="17" t="s">
        <v>19</v>
      </c>
      <c r="J270" s="19">
        <f>ROUND(82*1,0)&amp;"%"</f>
      </c>
    </row>
    <row x14ac:dyDescent="0.25" r="271" customHeight="1" ht="17.25">
      <c r="A271" s="20" t="s">
        <v>11623</v>
      </c>
      <c r="B271" s="20" t="s">
        <v>442</v>
      </c>
      <c r="C271" s="20" t="s">
        <v>56</v>
      </c>
      <c r="D271" s="20" t="s">
        <v>22</v>
      </c>
      <c r="E271" s="21">
        <f>ROUND(16636*1.05,2)</f>
      </c>
      <c r="F271" s="20" t="s">
        <v>23</v>
      </c>
      <c r="G271" s="20" t="s">
        <v>24</v>
      </c>
      <c r="H271" s="21">
        <f>ROUND(RAND()*4+6,1)</f>
      </c>
      <c r="I271" s="20" t="s">
        <v>25</v>
      </c>
      <c r="J271" s="23">
        <f>ROUND(65*1,0)&amp;"%"</f>
      </c>
    </row>
    <row x14ac:dyDescent="0.25" r="272" customHeight="1" ht="17.25">
      <c r="A272" s="17" t="s">
        <v>11624</v>
      </c>
      <c r="B272" s="17" t="s">
        <v>444</v>
      </c>
      <c r="C272" s="17" t="s">
        <v>56</v>
      </c>
      <c r="D272" s="17" t="s">
        <v>28</v>
      </c>
      <c r="E272" s="18">
        <f>ROUND(17644*1.05,2)</f>
      </c>
      <c r="F272" s="17" t="s">
        <v>29</v>
      </c>
      <c r="G272" s="17" t="s">
        <v>30</v>
      </c>
      <c r="H272" s="18">
        <f>ROUND(RAND()*4+6,1)</f>
      </c>
      <c r="I272" s="17" t="s">
        <v>31</v>
      </c>
      <c r="J272" s="19">
        <f>ROUND(95*1,0)&amp;"%"</f>
      </c>
    </row>
    <row x14ac:dyDescent="0.25" r="273" customHeight="1" ht="17.25">
      <c r="A273" s="20" t="s">
        <v>11625</v>
      </c>
      <c r="B273" s="20" t="s">
        <v>446</v>
      </c>
      <c r="C273" s="20" t="s">
        <v>56</v>
      </c>
      <c r="D273" s="20" t="s">
        <v>34</v>
      </c>
      <c r="E273" s="21">
        <f>ROUND(14576*1.05,2)</f>
      </c>
      <c r="F273" s="20" t="s">
        <v>35</v>
      </c>
      <c r="G273" s="20" t="s">
        <v>18</v>
      </c>
      <c r="H273" s="21">
        <f>ROUND(RAND()*4+6,1)</f>
      </c>
      <c r="I273" s="20" t="s">
        <v>36</v>
      </c>
      <c r="J273" s="23">
        <f>ROUND(91*1,0)&amp;"%"</f>
      </c>
    </row>
    <row x14ac:dyDescent="0.25" r="274" customHeight="1" ht="17.25">
      <c r="A274" s="17" t="s">
        <v>11626</v>
      </c>
      <c r="B274" s="17" t="s">
        <v>448</v>
      </c>
      <c r="C274" s="17" t="s">
        <v>56</v>
      </c>
      <c r="D274" s="17" t="s">
        <v>39</v>
      </c>
      <c r="E274" s="18">
        <f>ROUND(14132*1.05,2)</f>
      </c>
      <c r="F274" s="17" t="s">
        <v>40</v>
      </c>
      <c r="G274" s="17" t="s">
        <v>24</v>
      </c>
      <c r="H274" s="18">
        <f>ROUND(RAND()*4+6,1)</f>
      </c>
      <c r="I274" s="17" t="s">
        <v>41</v>
      </c>
      <c r="J274" s="19">
        <f>ROUND(68*1,0)&amp;"%"</f>
      </c>
    </row>
    <row x14ac:dyDescent="0.25" r="275" customHeight="1" ht="17.25">
      <c r="A275" s="20" t="s">
        <v>11627</v>
      </c>
      <c r="B275" s="20" t="s">
        <v>450</v>
      </c>
      <c r="C275" s="20" t="s">
        <v>56</v>
      </c>
      <c r="D275" s="20" t="s">
        <v>67</v>
      </c>
      <c r="E275" s="21">
        <f>ROUND(13682*1.05,2)</f>
      </c>
      <c r="F275" s="20" t="s">
        <v>44</v>
      </c>
      <c r="G275" s="20" t="s">
        <v>30</v>
      </c>
      <c r="H275" s="21">
        <f>ROUND(RAND()*4+6,1)</f>
      </c>
      <c r="I275" s="20" t="s">
        <v>45</v>
      </c>
      <c r="J275" s="23">
        <f>ROUND(82*1,0)&amp;"%"</f>
      </c>
    </row>
    <row x14ac:dyDescent="0.25" r="276" customHeight="1" ht="17.25">
      <c r="A276" s="17" t="s">
        <v>11628</v>
      </c>
      <c r="B276" s="17" t="s">
        <v>452</v>
      </c>
      <c r="C276" s="17" t="s">
        <v>56</v>
      </c>
      <c r="D276" s="17" t="s">
        <v>16</v>
      </c>
      <c r="E276" s="18">
        <f>ROUND(12335*1.05,2)</f>
      </c>
      <c r="F276" s="17" t="s">
        <v>48</v>
      </c>
      <c r="G276" s="17" t="s">
        <v>18</v>
      </c>
      <c r="H276" s="18">
        <f>ROUND(RAND()*4+6,1)</f>
      </c>
      <c r="I276" s="17" t="s">
        <v>19</v>
      </c>
      <c r="J276" s="19">
        <f>ROUND(79*1,0)&amp;"%"</f>
      </c>
    </row>
    <row x14ac:dyDescent="0.25" r="277" customHeight="1" ht="17.25">
      <c r="A277" s="20" t="s">
        <v>11629</v>
      </c>
      <c r="B277" s="20" t="s">
        <v>454</v>
      </c>
      <c r="C277" s="20" t="s">
        <v>56</v>
      </c>
      <c r="D277" s="20" t="s">
        <v>22</v>
      </c>
      <c r="E277" s="21">
        <f>ROUND(9634*1.05,2)</f>
      </c>
      <c r="F277" s="20" t="s">
        <v>51</v>
      </c>
      <c r="G277" s="20" t="s">
        <v>24</v>
      </c>
      <c r="H277" s="21">
        <f>ROUND(RAND()*4+6,1)</f>
      </c>
      <c r="I277" s="20" t="s">
        <v>25</v>
      </c>
      <c r="J277" s="23">
        <f>ROUND(72*1,0)&amp;"%"</f>
      </c>
    </row>
    <row x14ac:dyDescent="0.25" r="278" customHeight="1" ht="17.25">
      <c r="A278" s="24" t="s">
        <v>455</v>
      </c>
      <c r="B278" s="24"/>
      <c r="C278" s="24"/>
      <c r="D278" s="24"/>
      <c r="E278" s="25">
        <v>8</v>
      </c>
      <c r="F278" s="9"/>
      <c r="G278" s="9"/>
      <c r="H278" s="10"/>
      <c r="I278" s="9"/>
      <c r="J278" s="9"/>
    </row>
    <row x14ac:dyDescent="0.25" r="279" customHeight="1" ht="17.25">
      <c r="A279" s="7"/>
      <c r="B279" s="7"/>
      <c r="C279" s="7"/>
      <c r="D279" s="7"/>
      <c r="E279" s="8"/>
      <c r="F279" s="9"/>
      <c r="G279" s="9"/>
      <c r="H279" s="10"/>
      <c r="I279" s="9"/>
      <c r="J279" s="9"/>
    </row>
    <row x14ac:dyDescent="0.25" r="280" customHeight="1" ht="17.25">
      <c r="A280" s="11" t="s">
        <v>11630</v>
      </c>
      <c r="B280" s="11"/>
      <c r="C280" s="11"/>
      <c r="D280" s="11"/>
      <c r="E280" s="12"/>
      <c r="F280" s="11"/>
      <c r="G280" s="11"/>
      <c r="H280" s="13"/>
      <c r="I280" s="11"/>
      <c r="J280" s="11"/>
    </row>
    <row x14ac:dyDescent="0.25" r="281" customHeight="1" ht="17.25">
      <c r="A281" s="14" t="s">
        <v>3</v>
      </c>
      <c r="B281" s="14" t="s">
        <v>4</v>
      </c>
      <c r="C281" s="14" t="s">
        <v>5</v>
      </c>
      <c r="D281" s="14" t="s">
        <v>6</v>
      </c>
      <c r="E281" s="15" t="s">
        <v>7</v>
      </c>
      <c r="F281" s="14" t="s">
        <v>8</v>
      </c>
      <c r="G281" s="14" t="s">
        <v>9</v>
      </c>
      <c r="H281" s="16" t="s">
        <v>10</v>
      </c>
      <c r="I281" s="14" t="s">
        <v>11</v>
      </c>
      <c r="J281" s="14" t="s">
        <v>12</v>
      </c>
    </row>
    <row x14ac:dyDescent="0.25" r="282" customHeight="1" ht="17.25">
      <c r="A282" s="17" t="s">
        <v>11631</v>
      </c>
      <c r="B282" s="17" t="s">
        <v>458</v>
      </c>
      <c r="C282" s="17" t="s">
        <v>76</v>
      </c>
      <c r="D282" s="17" t="s">
        <v>16</v>
      </c>
      <c r="E282" s="18">
        <f>ROUND(11930*1.05,2)</f>
      </c>
      <c r="F282" s="17" t="s">
        <v>17</v>
      </c>
      <c r="G282" s="17" t="s">
        <v>18</v>
      </c>
      <c r="H282" s="18">
        <f>ROUND(RAND()*4+6,1)</f>
      </c>
      <c r="I282" s="17" t="s">
        <v>19</v>
      </c>
      <c r="J282" s="19">
        <f>ROUND(71*1,0)&amp;"%"</f>
      </c>
    </row>
    <row x14ac:dyDescent="0.25" r="283" customHeight="1" ht="17.25">
      <c r="A283" s="20" t="s">
        <v>11632</v>
      </c>
      <c r="B283" s="20" t="s">
        <v>460</v>
      </c>
      <c r="C283" s="20" t="s">
        <v>76</v>
      </c>
      <c r="D283" s="20" t="s">
        <v>22</v>
      </c>
      <c r="E283" s="21">
        <f>ROUND(7907*1.05,2)</f>
      </c>
      <c r="F283" s="20" t="s">
        <v>23</v>
      </c>
      <c r="G283" s="20" t="s">
        <v>24</v>
      </c>
      <c r="H283" s="21">
        <f>ROUND(RAND()*4+6,1)</f>
      </c>
      <c r="I283" s="20" t="s">
        <v>25</v>
      </c>
      <c r="J283" s="23">
        <f>ROUND(81*1,0)&amp;"%"</f>
      </c>
    </row>
    <row x14ac:dyDescent="0.25" r="284" customHeight="1" ht="17.25">
      <c r="A284" s="17" t="s">
        <v>11633</v>
      </c>
      <c r="B284" s="17" t="s">
        <v>462</v>
      </c>
      <c r="C284" s="17" t="s">
        <v>76</v>
      </c>
      <c r="D284" s="17" t="s">
        <v>28</v>
      </c>
      <c r="E284" s="18">
        <f>ROUND(9684*1.05,2)</f>
      </c>
      <c r="F284" s="17" t="s">
        <v>29</v>
      </c>
      <c r="G284" s="17" t="s">
        <v>30</v>
      </c>
      <c r="H284" s="18">
        <f>ROUND(RAND()*4+6,1)</f>
      </c>
      <c r="I284" s="17" t="s">
        <v>31</v>
      </c>
      <c r="J284" s="19">
        <f>ROUND(72*1,0)&amp;"%"</f>
      </c>
    </row>
    <row x14ac:dyDescent="0.25" r="285" customHeight="1" ht="17.25">
      <c r="A285" s="20" t="s">
        <v>11634</v>
      </c>
      <c r="B285" s="20" t="s">
        <v>464</v>
      </c>
      <c r="C285" s="20" t="s">
        <v>76</v>
      </c>
      <c r="D285" s="20" t="s">
        <v>34</v>
      </c>
      <c r="E285" s="21">
        <f>ROUND(16011*1.05,2)</f>
      </c>
      <c r="F285" s="20" t="s">
        <v>35</v>
      </c>
      <c r="G285" s="20" t="s">
        <v>18</v>
      </c>
      <c r="H285" s="21">
        <f>ROUND(RAND()*4+6,1)</f>
      </c>
      <c r="I285" s="20" t="s">
        <v>36</v>
      </c>
      <c r="J285" s="23">
        <f>ROUND(96*1,0)&amp;"%"</f>
      </c>
    </row>
    <row x14ac:dyDescent="0.25" r="286" customHeight="1" ht="17.25">
      <c r="A286" s="17" t="s">
        <v>11635</v>
      </c>
      <c r="B286" s="17" t="s">
        <v>466</v>
      </c>
      <c r="C286" s="17" t="s">
        <v>76</v>
      </c>
      <c r="D286" s="17" t="s">
        <v>39</v>
      </c>
      <c r="E286" s="18">
        <f>ROUND(10762*1.05,2)</f>
      </c>
      <c r="F286" s="17" t="s">
        <v>40</v>
      </c>
      <c r="G286" s="17" t="s">
        <v>24</v>
      </c>
      <c r="H286" s="18">
        <f>ROUND(RAND()*4+6,1)</f>
      </c>
      <c r="I286" s="17" t="s">
        <v>41</v>
      </c>
      <c r="J286" s="19">
        <f>ROUND(74*1,0)&amp;"%"</f>
      </c>
    </row>
    <row x14ac:dyDescent="0.25" r="287" customHeight="1" ht="17.25">
      <c r="A287" s="20" t="s">
        <v>11636</v>
      </c>
      <c r="B287" s="20" t="s">
        <v>468</v>
      </c>
      <c r="C287" s="20" t="s">
        <v>76</v>
      </c>
      <c r="D287" s="20" t="s">
        <v>67</v>
      </c>
      <c r="E287" s="21">
        <f>ROUND(8655*1.05,2)</f>
      </c>
      <c r="F287" s="20" t="s">
        <v>44</v>
      </c>
      <c r="G287" s="20" t="s">
        <v>30</v>
      </c>
      <c r="H287" s="21">
        <f>ROUND(RAND()*4+6,1)</f>
      </c>
      <c r="I287" s="20" t="s">
        <v>45</v>
      </c>
      <c r="J287" s="23">
        <f>ROUND(93*1,0)&amp;"%"</f>
      </c>
    </row>
    <row x14ac:dyDescent="0.25" r="288" customHeight="1" ht="17.25">
      <c r="A288" s="17" t="s">
        <v>11637</v>
      </c>
      <c r="B288" s="17" t="s">
        <v>470</v>
      </c>
      <c r="C288" s="17" t="s">
        <v>76</v>
      </c>
      <c r="D288" s="17" t="s">
        <v>16</v>
      </c>
      <c r="E288" s="18">
        <f>ROUND(14604*1.05,2)</f>
      </c>
      <c r="F288" s="17" t="s">
        <v>48</v>
      </c>
      <c r="G288" s="17" t="s">
        <v>18</v>
      </c>
      <c r="H288" s="18">
        <f>ROUND(RAND()*4+6,1)</f>
      </c>
      <c r="I288" s="17" t="s">
        <v>19</v>
      </c>
      <c r="J288" s="19">
        <f>ROUND(91*1,0)&amp;"%"</f>
      </c>
    </row>
    <row x14ac:dyDescent="0.25" r="289" customHeight="1" ht="17.25">
      <c r="A289" s="20" t="s">
        <v>11638</v>
      </c>
      <c r="B289" s="20" t="s">
        <v>472</v>
      </c>
      <c r="C289" s="20" t="s">
        <v>76</v>
      </c>
      <c r="D289" s="20" t="s">
        <v>22</v>
      </c>
      <c r="E289" s="21">
        <f>ROUND(17192*1.05,2)</f>
      </c>
      <c r="F289" s="20" t="s">
        <v>51</v>
      </c>
      <c r="G289" s="20" t="s">
        <v>24</v>
      </c>
      <c r="H289" s="21">
        <f>ROUND(RAND()*4+6,1)</f>
      </c>
      <c r="I289" s="20" t="s">
        <v>25</v>
      </c>
      <c r="J289" s="23">
        <f>ROUND(73*1,0)&amp;"%"</f>
      </c>
    </row>
    <row x14ac:dyDescent="0.25" r="290" customHeight="1" ht="17.25">
      <c r="A290" s="24" t="s">
        <v>473</v>
      </c>
      <c r="B290" s="24"/>
      <c r="C290" s="24"/>
      <c r="D290" s="24"/>
      <c r="E290" s="25">
        <v>8</v>
      </c>
      <c r="F290" s="9"/>
      <c r="G290" s="9"/>
      <c r="H290" s="10"/>
      <c r="I290" s="9"/>
      <c r="J290" s="9"/>
    </row>
    <row x14ac:dyDescent="0.25" r="291" customHeight="1" ht="17.25">
      <c r="A291" s="7"/>
      <c r="B291" s="7"/>
      <c r="C291" s="7"/>
      <c r="D291" s="7"/>
      <c r="E291" s="8"/>
      <c r="F291" s="9"/>
      <c r="G291" s="9"/>
      <c r="H291" s="10"/>
      <c r="I291" s="9"/>
      <c r="J291" s="9"/>
    </row>
    <row x14ac:dyDescent="0.25" r="292" customHeight="1" ht="17.25">
      <c r="A292" s="11" t="s">
        <v>11639</v>
      </c>
      <c r="B292" s="11"/>
      <c r="C292" s="11"/>
      <c r="D292" s="11"/>
      <c r="E292" s="12"/>
      <c r="F292" s="11"/>
      <c r="G292" s="11"/>
      <c r="H292" s="13"/>
      <c r="I292" s="11"/>
      <c r="J292" s="11"/>
    </row>
    <row x14ac:dyDescent="0.25" r="293" customHeight="1" ht="17.25">
      <c r="A293" s="14" t="s">
        <v>3</v>
      </c>
      <c r="B293" s="14" t="s">
        <v>4</v>
      </c>
      <c r="C293" s="14" t="s">
        <v>5</v>
      </c>
      <c r="D293" s="14" t="s">
        <v>6</v>
      </c>
      <c r="E293" s="15" t="s">
        <v>7</v>
      </c>
      <c r="F293" s="14" t="s">
        <v>8</v>
      </c>
      <c r="G293" s="14" t="s">
        <v>9</v>
      </c>
      <c r="H293" s="16" t="s">
        <v>10</v>
      </c>
      <c r="I293" s="14" t="s">
        <v>11</v>
      </c>
      <c r="J293" s="14" t="s">
        <v>12</v>
      </c>
    </row>
    <row x14ac:dyDescent="0.25" r="294" customHeight="1" ht="17.25">
      <c r="A294" s="17" t="s">
        <v>11640</v>
      </c>
      <c r="B294" s="17" t="s">
        <v>476</v>
      </c>
      <c r="C294" s="17" t="s">
        <v>95</v>
      </c>
      <c r="D294" s="17" t="s">
        <v>16</v>
      </c>
      <c r="E294" s="18">
        <f>ROUND(15627*1.05,2)</f>
      </c>
      <c r="F294" s="17" t="s">
        <v>17</v>
      </c>
      <c r="G294" s="17" t="s">
        <v>18</v>
      </c>
      <c r="H294" s="26">
        <f>ROUND(RAND()*4+6,1)</f>
      </c>
      <c r="I294" s="17" t="s">
        <v>19</v>
      </c>
      <c r="J294" s="19">
        <f>ROUND(85*1,0)&amp;"%"</f>
      </c>
    </row>
    <row x14ac:dyDescent="0.25" r="295" customHeight="1" ht="17.25">
      <c r="A295" s="20" t="s">
        <v>11641</v>
      </c>
      <c r="B295" s="20" t="s">
        <v>478</v>
      </c>
      <c r="C295" s="20" t="s">
        <v>95</v>
      </c>
      <c r="D295" s="20" t="s">
        <v>22</v>
      </c>
      <c r="E295" s="21">
        <f>ROUND(4816*1.05,2)</f>
      </c>
      <c r="F295" s="20" t="s">
        <v>23</v>
      </c>
      <c r="G295" s="20" t="s">
        <v>24</v>
      </c>
      <c r="H295" s="21">
        <f>ROUND(RAND()*4+6,1)</f>
      </c>
      <c r="I295" s="20" t="s">
        <v>25</v>
      </c>
      <c r="J295" s="23">
        <f>ROUND(95*1,0)&amp;"%"</f>
      </c>
    </row>
    <row x14ac:dyDescent="0.25" r="296" customHeight="1" ht="17.25">
      <c r="A296" s="17" t="s">
        <v>11642</v>
      </c>
      <c r="B296" s="17" t="s">
        <v>480</v>
      </c>
      <c r="C296" s="17" t="s">
        <v>95</v>
      </c>
      <c r="D296" s="17" t="s">
        <v>28</v>
      </c>
      <c r="E296" s="18">
        <f>ROUND(9188*1.05,2)</f>
      </c>
      <c r="F296" s="17" t="s">
        <v>29</v>
      </c>
      <c r="G296" s="17" t="s">
        <v>30</v>
      </c>
      <c r="H296" s="18">
        <f>ROUND(RAND()*4+6,1)</f>
      </c>
      <c r="I296" s="17" t="s">
        <v>31</v>
      </c>
      <c r="J296" s="19">
        <f>ROUND(66*1,0)&amp;"%"</f>
      </c>
    </row>
    <row x14ac:dyDescent="0.25" r="297" customHeight="1" ht="17.25">
      <c r="A297" s="20" t="s">
        <v>11643</v>
      </c>
      <c r="B297" s="20" t="s">
        <v>482</v>
      </c>
      <c r="C297" s="20" t="s">
        <v>95</v>
      </c>
      <c r="D297" s="20" t="s">
        <v>34</v>
      </c>
      <c r="E297" s="22">
        <f>ROUND(15380*1.05,2)</f>
      </c>
      <c r="F297" s="20" t="s">
        <v>35</v>
      </c>
      <c r="G297" s="20" t="s">
        <v>18</v>
      </c>
      <c r="H297" s="21">
        <f>ROUND(RAND()*4+6,1)</f>
      </c>
      <c r="I297" s="20" t="s">
        <v>36</v>
      </c>
      <c r="J297" s="23">
        <f>ROUND(70*1,0)&amp;"%"</f>
      </c>
    </row>
    <row x14ac:dyDescent="0.25" r="298" customHeight="1" ht="17.25">
      <c r="A298" s="17" t="s">
        <v>11644</v>
      </c>
      <c r="B298" s="17" t="s">
        <v>484</v>
      </c>
      <c r="C298" s="17" t="s">
        <v>95</v>
      </c>
      <c r="D298" s="17" t="s">
        <v>39</v>
      </c>
      <c r="E298" s="18">
        <f>ROUND(6272*1.05,2)</f>
      </c>
      <c r="F298" s="17" t="s">
        <v>40</v>
      </c>
      <c r="G298" s="17" t="s">
        <v>24</v>
      </c>
      <c r="H298" s="18">
        <f>ROUND(RAND()*4+6,1)</f>
      </c>
      <c r="I298" s="17" t="s">
        <v>41</v>
      </c>
      <c r="J298" s="19">
        <f>ROUND(92*1,0)&amp;"%"</f>
      </c>
    </row>
    <row x14ac:dyDescent="0.25" r="299" customHeight="1" ht="17.25">
      <c r="A299" s="20" t="s">
        <v>11645</v>
      </c>
      <c r="B299" s="20" t="s">
        <v>486</v>
      </c>
      <c r="C299" s="20" t="s">
        <v>95</v>
      </c>
      <c r="D299" s="20" t="s">
        <v>67</v>
      </c>
      <c r="E299" s="21">
        <f>ROUND(12164*1.05,2)</f>
      </c>
      <c r="F299" s="20" t="s">
        <v>44</v>
      </c>
      <c r="G299" s="20" t="s">
        <v>30</v>
      </c>
      <c r="H299" s="21">
        <f>ROUND(RAND()*4+6,1)</f>
      </c>
      <c r="I299" s="20" t="s">
        <v>45</v>
      </c>
      <c r="J299" s="23">
        <f>ROUND(80*1,0)&amp;"%"</f>
      </c>
    </row>
    <row x14ac:dyDescent="0.25" r="300" customHeight="1" ht="17.25">
      <c r="A300" s="17" t="s">
        <v>11646</v>
      </c>
      <c r="B300" s="17" t="s">
        <v>488</v>
      </c>
      <c r="C300" s="17" t="s">
        <v>95</v>
      </c>
      <c r="D300" s="17" t="s">
        <v>16</v>
      </c>
      <c r="E300" s="18">
        <f>ROUND(16379*1.05,2)</f>
      </c>
      <c r="F300" s="17" t="s">
        <v>48</v>
      </c>
      <c r="G300" s="17" t="s">
        <v>18</v>
      </c>
      <c r="H300" s="18">
        <f>ROUND(RAND()*4+6,1)</f>
      </c>
      <c r="I300" s="17" t="s">
        <v>19</v>
      </c>
      <c r="J300" s="19">
        <f>ROUND(92*1,0)&amp;"%"</f>
      </c>
    </row>
    <row x14ac:dyDescent="0.25" r="301" customHeight="1" ht="17.25">
      <c r="A301" s="20" t="s">
        <v>11647</v>
      </c>
      <c r="B301" s="20" t="s">
        <v>490</v>
      </c>
      <c r="C301" s="20" t="s">
        <v>95</v>
      </c>
      <c r="D301" s="20" t="s">
        <v>22</v>
      </c>
      <c r="E301" s="21">
        <f>ROUND(6005*1.05,2)</f>
      </c>
      <c r="F301" s="20" t="s">
        <v>51</v>
      </c>
      <c r="G301" s="20" t="s">
        <v>24</v>
      </c>
      <c r="H301" s="21">
        <f>ROUND(RAND()*4+6,1)</f>
      </c>
      <c r="I301" s="20" t="s">
        <v>25</v>
      </c>
      <c r="J301" s="23">
        <f>ROUND(69*1,0)&amp;"%"</f>
      </c>
    </row>
    <row x14ac:dyDescent="0.25" r="302" customHeight="1" ht="17.25">
      <c r="A302" s="24" t="s">
        <v>491</v>
      </c>
      <c r="B302" s="24"/>
      <c r="C302" s="24"/>
      <c r="D302" s="24"/>
      <c r="E302" s="25">
        <v>8</v>
      </c>
      <c r="F302" s="9"/>
      <c r="G302" s="9"/>
      <c r="H302" s="10"/>
      <c r="I302" s="9"/>
      <c r="J302" s="9"/>
    </row>
    <row x14ac:dyDescent="0.25" r="303" customHeight="1" ht="17.25">
      <c r="A303" s="7"/>
      <c r="B303" s="7"/>
      <c r="C303" s="7"/>
      <c r="D303" s="7"/>
      <c r="E303" s="8"/>
      <c r="F303" s="9"/>
      <c r="G303" s="9"/>
      <c r="H303" s="10"/>
      <c r="I303" s="9"/>
      <c r="J303" s="9"/>
    </row>
    <row x14ac:dyDescent="0.25" r="304" customHeight="1" ht="17.25">
      <c r="A304" s="11" t="s">
        <v>11648</v>
      </c>
      <c r="B304" s="11"/>
      <c r="C304" s="11"/>
      <c r="D304" s="11"/>
      <c r="E304" s="12"/>
      <c r="F304" s="11"/>
      <c r="G304" s="11"/>
      <c r="H304" s="13"/>
      <c r="I304" s="11"/>
      <c r="J304" s="11"/>
    </row>
    <row x14ac:dyDescent="0.25" r="305" customHeight="1" ht="17.25">
      <c r="A305" s="14" t="s">
        <v>3</v>
      </c>
      <c r="B305" s="14" t="s">
        <v>4</v>
      </c>
      <c r="C305" s="14" t="s">
        <v>5</v>
      </c>
      <c r="D305" s="14" t="s">
        <v>6</v>
      </c>
      <c r="E305" s="15" t="s">
        <v>7</v>
      </c>
      <c r="F305" s="14" t="s">
        <v>8</v>
      </c>
      <c r="G305" s="14" t="s">
        <v>9</v>
      </c>
      <c r="H305" s="16" t="s">
        <v>10</v>
      </c>
      <c r="I305" s="14" t="s">
        <v>11</v>
      </c>
      <c r="J305" s="14" t="s">
        <v>12</v>
      </c>
    </row>
    <row x14ac:dyDescent="0.25" r="306" customHeight="1" ht="17.25">
      <c r="A306" s="17" t="s">
        <v>11649</v>
      </c>
      <c r="B306" s="17" t="s">
        <v>494</v>
      </c>
      <c r="C306" s="17" t="s">
        <v>114</v>
      </c>
      <c r="D306" s="17" t="s">
        <v>16</v>
      </c>
      <c r="E306" s="18">
        <f>ROUND(4017*1.05,2)</f>
      </c>
      <c r="F306" s="17" t="s">
        <v>17</v>
      </c>
      <c r="G306" s="17" t="s">
        <v>18</v>
      </c>
      <c r="H306" s="18">
        <f>ROUND(RAND()*4+6,1)</f>
      </c>
      <c r="I306" s="17" t="s">
        <v>19</v>
      </c>
      <c r="J306" s="19">
        <f>ROUND(63*1,0)&amp;"%"</f>
      </c>
    </row>
    <row x14ac:dyDescent="0.25" r="307" customHeight="1" ht="17.25">
      <c r="A307" s="20" t="s">
        <v>11650</v>
      </c>
      <c r="B307" s="20" t="s">
        <v>496</v>
      </c>
      <c r="C307" s="20" t="s">
        <v>114</v>
      </c>
      <c r="D307" s="20" t="s">
        <v>22</v>
      </c>
      <c r="E307" s="21">
        <f>ROUND(14511*1.05,2)</f>
      </c>
      <c r="F307" s="20" t="s">
        <v>23</v>
      </c>
      <c r="G307" s="20" t="s">
        <v>24</v>
      </c>
      <c r="H307" s="21">
        <f>ROUND(RAND()*4+6,1)</f>
      </c>
      <c r="I307" s="20" t="s">
        <v>25</v>
      </c>
      <c r="J307" s="23">
        <f>ROUND(69*1,0)&amp;"%"</f>
      </c>
    </row>
    <row x14ac:dyDescent="0.25" r="308" customHeight="1" ht="17.25">
      <c r="A308" s="17" t="s">
        <v>11651</v>
      </c>
      <c r="B308" s="17" t="s">
        <v>498</v>
      </c>
      <c r="C308" s="17" t="s">
        <v>114</v>
      </c>
      <c r="D308" s="17" t="s">
        <v>28</v>
      </c>
      <c r="E308" s="18">
        <f>ROUND(16492*1.05,2)</f>
      </c>
      <c r="F308" s="17" t="s">
        <v>29</v>
      </c>
      <c r="G308" s="17" t="s">
        <v>30</v>
      </c>
      <c r="H308" s="26">
        <f>ROUND(RAND()*4+6,1)</f>
      </c>
      <c r="I308" s="17" t="s">
        <v>31</v>
      </c>
      <c r="J308" s="19">
        <f>ROUND(64*1,0)&amp;"%"</f>
      </c>
    </row>
    <row x14ac:dyDescent="0.25" r="309" customHeight="1" ht="17.25">
      <c r="A309" s="20" t="s">
        <v>11652</v>
      </c>
      <c r="B309" s="20" t="s">
        <v>500</v>
      </c>
      <c r="C309" s="20" t="s">
        <v>114</v>
      </c>
      <c r="D309" s="20" t="s">
        <v>34</v>
      </c>
      <c r="E309" s="21">
        <f>ROUND(12531*1.05,2)</f>
      </c>
      <c r="F309" s="20" t="s">
        <v>35</v>
      </c>
      <c r="G309" s="20" t="s">
        <v>18</v>
      </c>
      <c r="H309" s="21">
        <f>ROUND(RAND()*4+6,1)</f>
      </c>
      <c r="I309" s="20" t="s">
        <v>36</v>
      </c>
      <c r="J309" s="23">
        <f>ROUND(65*1,0)&amp;"%"</f>
      </c>
    </row>
    <row x14ac:dyDescent="0.25" r="310" customHeight="1" ht="17.25">
      <c r="A310" s="17" t="s">
        <v>11653</v>
      </c>
      <c r="B310" s="17" t="s">
        <v>502</v>
      </c>
      <c r="C310" s="17" t="s">
        <v>114</v>
      </c>
      <c r="D310" s="17" t="s">
        <v>39</v>
      </c>
      <c r="E310" s="18">
        <f>ROUND(9255*1.05,2)</f>
      </c>
      <c r="F310" s="17" t="s">
        <v>40</v>
      </c>
      <c r="G310" s="17" t="s">
        <v>24</v>
      </c>
      <c r="H310" s="18">
        <f>ROUND(RAND()*4+6,1)</f>
      </c>
      <c r="I310" s="17" t="s">
        <v>41</v>
      </c>
      <c r="J310" s="19">
        <f>ROUND(88*1,0)&amp;"%"</f>
      </c>
    </row>
    <row x14ac:dyDescent="0.25" r="311" customHeight="1" ht="17.25">
      <c r="A311" s="20" t="s">
        <v>11654</v>
      </c>
      <c r="B311" s="20" t="s">
        <v>504</v>
      </c>
      <c r="C311" s="20" t="s">
        <v>114</v>
      </c>
      <c r="D311" s="20" t="s">
        <v>67</v>
      </c>
      <c r="E311" s="21">
        <f>ROUND(7302*1.05,2)</f>
      </c>
      <c r="F311" s="20" t="s">
        <v>44</v>
      </c>
      <c r="G311" s="20" t="s">
        <v>30</v>
      </c>
      <c r="H311" s="21">
        <f>ROUND(RAND()*4+6,1)</f>
      </c>
      <c r="I311" s="20" t="s">
        <v>45</v>
      </c>
      <c r="J311" s="23">
        <f>ROUND(79*1,0)&amp;"%"</f>
      </c>
    </row>
    <row x14ac:dyDescent="0.25" r="312" customHeight="1" ht="17.25">
      <c r="A312" s="17" t="s">
        <v>11655</v>
      </c>
      <c r="B312" s="17" t="s">
        <v>506</v>
      </c>
      <c r="C312" s="17" t="s">
        <v>114</v>
      </c>
      <c r="D312" s="17" t="s">
        <v>16</v>
      </c>
      <c r="E312" s="18">
        <f>ROUND(5142*1.05,2)</f>
      </c>
      <c r="F312" s="17" t="s">
        <v>48</v>
      </c>
      <c r="G312" s="17" t="s">
        <v>18</v>
      </c>
      <c r="H312" s="18">
        <f>ROUND(RAND()*4+6,1)</f>
      </c>
      <c r="I312" s="17" t="s">
        <v>19</v>
      </c>
      <c r="J312" s="19">
        <f>ROUND(75*1,0)&amp;"%"</f>
      </c>
    </row>
    <row x14ac:dyDescent="0.25" r="313" customHeight="1" ht="17.25">
      <c r="A313" s="20" t="s">
        <v>11656</v>
      </c>
      <c r="B313" s="20" t="s">
        <v>508</v>
      </c>
      <c r="C313" s="20" t="s">
        <v>114</v>
      </c>
      <c r="D313" s="20" t="s">
        <v>22</v>
      </c>
      <c r="E313" s="21">
        <f>ROUND(15613*1.05,2)</f>
      </c>
      <c r="F313" s="20" t="s">
        <v>51</v>
      </c>
      <c r="G313" s="20" t="s">
        <v>24</v>
      </c>
      <c r="H313" s="21">
        <f>ROUND(RAND()*4+6,1)</f>
      </c>
      <c r="I313" s="20" t="s">
        <v>25</v>
      </c>
      <c r="J313" s="23">
        <f>ROUND(90*1,0)&amp;"%"</f>
      </c>
    </row>
    <row x14ac:dyDescent="0.25" r="314" customHeight="1" ht="17.25">
      <c r="A314" s="24" t="s">
        <v>509</v>
      </c>
      <c r="B314" s="24"/>
      <c r="C314" s="24"/>
      <c r="D314" s="24"/>
      <c r="E314" s="25">
        <v>8</v>
      </c>
      <c r="F314" s="9"/>
      <c r="G314" s="9"/>
      <c r="H314" s="10"/>
      <c r="I314" s="9"/>
      <c r="J314" s="9"/>
    </row>
    <row x14ac:dyDescent="0.25" r="315" customHeight="1" ht="17.25">
      <c r="A315" s="7"/>
      <c r="B315" s="7"/>
      <c r="C315" s="7"/>
      <c r="D315" s="7"/>
      <c r="E315" s="8"/>
      <c r="F315" s="9"/>
      <c r="G315" s="9"/>
      <c r="H315" s="10"/>
      <c r="I315" s="9"/>
      <c r="J315" s="9"/>
    </row>
    <row x14ac:dyDescent="0.25" r="316" customHeight="1" ht="17.25">
      <c r="A316" s="11" t="s">
        <v>11657</v>
      </c>
      <c r="B316" s="11"/>
      <c r="C316" s="11"/>
      <c r="D316" s="11"/>
      <c r="E316" s="12"/>
      <c r="F316" s="11"/>
      <c r="G316" s="11"/>
      <c r="H316" s="13"/>
      <c r="I316" s="11"/>
      <c r="J316" s="11"/>
    </row>
    <row x14ac:dyDescent="0.25" r="317" customHeight="1" ht="17.25">
      <c r="A317" s="14" t="s">
        <v>3</v>
      </c>
      <c r="B317" s="14" t="s">
        <v>4</v>
      </c>
      <c r="C317" s="14" t="s">
        <v>5</v>
      </c>
      <c r="D317" s="14" t="s">
        <v>6</v>
      </c>
      <c r="E317" s="15" t="s">
        <v>7</v>
      </c>
      <c r="F317" s="14" t="s">
        <v>8</v>
      </c>
      <c r="G317" s="14" t="s">
        <v>9</v>
      </c>
      <c r="H317" s="16" t="s">
        <v>10</v>
      </c>
      <c r="I317" s="14" t="s">
        <v>11</v>
      </c>
      <c r="J317" s="14" t="s">
        <v>12</v>
      </c>
    </row>
    <row x14ac:dyDescent="0.25" r="318" customHeight="1" ht="17.25">
      <c r="A318" s="17" t="s">
        <v>11658</v>
      </c>
      <c r="B318" s="17" t="s">
        <v>512</v>
      </c>
      <c r="C318" s="17" t="s">
        <v>133</v>
      </c>
      <c r="D318" s="17" t="s">
        <v>16</v>
      </c>
      <c r="E318" s="18">
        <f>ROUND(15724*1.05,2)</f>
      </c>
      <c r="F318" s="17" t="s">
        <v>17</v>
      </c>
      <c r="G318" s="17" t="s">
        <v>18</v>
      </c>
      <c r="H318" s="18">
        <f>ROUND(RAND()*4+6,1)</f>
      </c>
      <c r="I318" s="17" t="s">
        <v>19</v>
      </c>
      <c r="J318" s="19">
        <f>ROUND(93*1,0)&amp;"%"</f>
      </c>
    </row>
    <row x14ac:dyDescent="0.25" r="319" customHeight="1" ht="17.25">
      <c r="A319" s="20" t="s">
        <v>11659</v>
      </c>
      <c r="B319" s="20" t="s">
        <v>514</v>
      </c>
      <c r="C319" s="20" t="s">
        <v>133</v>
      </c>
      <c r="D319" s="20" t="s">
        <v>22</v>
      </c>
      <c r="E319" s="22">
        <f>ROUND(10920*1.05,2)</f>
      </c>
      <c r="F319" s="20" t="s">
        <v>23</v>
      </c>
      <c r="G319" s="20" t="s">
        <v>24</v>
      </c>
      <c r="H319" s="21">
        <f>ROUND(RAND()*4+6,1)</f>
      </c>
      <c r="I319" s="20" t="s">
        <v>25</v>
      </c>
      <c r="J319" s="23">
        <f>ROUND(89*1,0)&amp;"%"</f>
      </c>
    </row>
    <row x14ac:dyDescent="0.25" r="320" customHeight="1" ht="17.25">
      <c r="A320" s="17" t="s">
        <v>11660</v>
      </c>
      <c r="B320" s="17" t="s">
        <v>516</v>
      </c>
      <c r="C320" s="17" t="s">
        <v>133</v>
      </c>
      <c r="D320" s="17" t="s">
        <v>28</v>
      </c>
      <c r="E320" s="18">
        <f>ROUND(8437*1.05,2)</f>
      </c>
      <c r="F320" s="17" t="s">
        <v>29</v>
      </c>
      <c r="G320" s="17" t="s">
        <v>30</v>
      </c>
      <c r="H320" s="18">
        <f>ROUND(RAND()*4+6,1)</f>
      </c>
      <c r="I320" s="17" t="s">
        <v>31</v>
      </c>
      <c r="J320" s="19">
        <f>ROUND(84*1,0)&amp;"%"</f>
      </c>
    </row>
    <row x14ac:dyDescent="0.25" r="321" customHeight="1" ht="17.25">
      <c r="A321" s="20" t="s">
        <v>11661</v>
      </c>
      <c r="B321" s="20" t="s">
        <v>518</v>
      </c>
      <c r="C321" s="20" t="s">
        <v>133</v>
      </c>
      <c r="D321" s="20" t="s">
        <v>34</v>
      </c>
      <c r="E321" s="21">
        <f>ROUND(7543*1.05,2)</f>
      </c>
      <c r="F321" s="20" t="s">
        <v>35</v>
      </c>
      <c r="G321" s="20" t="s">
        <v>18</v>
      </c>
      <c r="H321" s="21">
        <f>ROUND(RAND()*4+6,1)</f>
      </c>
      <c r="I321" s="20" t="s">
        <v>36</v>
      </c>
      <c r="J321" s="23">
        <f>ROUND(80*1,0)&amp;"%"</f>
      </c>
    </row>
    <row x14ac:dyDescent="0.25" r="322" customHeight="1" ht="17.25">
      <c r="A322" s="17" t="s">
        <v>11662</v>
      </c>
      <c r="B322" s="17" t="s">
        <v>520</v>
      </c>
      <c r="C322" s="17" t="s">
        <v>133</v>
      </c>
      <c r="D322" s="17" t="s">
        <v>39</v>
      </c>
      <c r="E322" s="18">
        <f>ROUND(12837*1.05,2)</f>
      </c>
      <c r="F322" s="17" t="s">
        <v>40</v>
      </c>
      <c r="G322" s="17" t="s">
        <v>24</v>
      </c>
      <c r="H322" s="18">
        <f>ROUND(RAND()*4+6,1)</f>
      </c>
      <c r="I322" s="17" t="s">
        <v>41</v>
      </c>
      <c r="J322" s="19">
        <f>ROUND(68*1,0)&amp;"%"</f>
      </c>
    </row>
    <row x14ac:dyDescent="0.25" r="323" customHeight="1" ht="17.25">
      <c r="A323" s="20" t="s">
        <v>11663</v>
      </c>
      <c r="B323" s="20" t="s">
        <v>522</v>
      </c>
      <c r="C323" s="20" t="s">
        <v>133</v>
      </c>
      <c r="D323" s="20" t="s">
        <v>67</v>
      </c>
      <c r="E323" s="21">
        <f>ROUND(6085*1.05,2)</f>
      </c>
      <c r="F323" s="20" t="s">
        <v>44</v>
      </c>
      <c r="G323" s="20" t="s">
        <v>30</v>
      </c>
      <c r="H323" s="21">
        <f>ROUND(RAND()*4+6,1)</f>
      </c>
      <c r="I323" s="20" t="s">
        <v>45</v>
      </c>
      <c r="J323" s="23">
        <f>ROUND(99*1,0)&amp;"%"</f>
      </c>
    </row>
    <row x14ac:dyDescent="0.25" r="324" customHeight="1" ht="17.25">
      <c r="A324" s="17" t="s">
        <v>11664</v>
      </c>
      <c r="B324" s="17" t="s">
        <v>524</v>
      </c>
      <c r="C324" s="17" t="s">
        <v>133</v>
      </c>
      <c r="D324" s="17" t="s">
        <v>16</v>
      </c>
      <c r="E324" s="18">
        <f>ROUND(16814*1.05,2)</f>
      </c>
      <c r="F324" s="17" t="s">
        <v>48</v>
      </c>
      <c r="G324" s="17" t="s">
        <v>18</v>
      </c>
      <c r="H324" s="18">
        <f>ROUND(RAND()*4+6,1)</f>
      </c>
      <c r="I324" s="17" t="s">
        <v>19</v>
      </c>
      <c r="J324" s="19">
        <f>ROUND(61*1,0)&amp;"%"</f>
      </c>
    </row>
    <row x14ac:dyDescent="0.25" r="325" customHeight="1" ht="17.25">
      <c r="A325" s="20" t="s">
        <v>11665</v>
      </c>
      <c r="B325" s="20" t="s">
        <v>526</v>
      </c>
      <c r="C325" s="20" t="s">
        <v>133</v>
      </c>
      <c r="D325" s="20" t="s">
        <v>22</v>
      </c>
      <c r="E325" s="21">
        <f>ROUND(5167*1.05,2)</f>
      </c>
      <c r="F325" s="20" t="s">
        <v>51</v>
      </c>
      <c r="G325" s="20" t="s">
        <v>24</v>
      </c>
      <c r="H325" s="21">
        <f>ROUND(RAND()*4+6,1)</f>
      </c>
      <c r="I325" s="20" t="s">
        <v>25</v>
      </c>
      <c r="J325" s="23">
        <f>ROUND(94*1,0)&amp;"%"</f>
      </c>
    </row>
    <row x14ac:dyDescent="0.25" r="326" customHeight="1" ht="17.25">
      <c r="A326" s="24" t="s">
        <v>527</v>
      </c>
      <c r="B326" s="24"/>
      <c r="C326" s="24"/>
      <c r="D326" s="24"/>
      <c r="E326" s="25">
        <v>8</v>
      </c>
      <c r="F326" s="9"/>
      <c r="G326" s="9"/>
      <c r="H326" s="10"/>
      <c r="I326" s="9"/>
      <c r="J326" s="9"/>
    </row>
    <row x14ac:dyDescent="0.25" r="327" customHeight="1" ht="17.25">
      <c r="A327" s="7"/>
      <c r="B327" s="7"/>
      <c r="C327" s="7"/>
      <c r="D327" s="7"/>
      <c r="E327" s="8"/>
      <c r="F327" s="9"/>
      <c r="G327" s="9"/>
      <c r="H327" s="10"/>
      <c r="I327" s="9"/>
      <c r="J327" s="9"/>
    </row>
    <row x14ac:dyDescent="0.25" r="328" customHeight="1" ht="17.25">
      <c r="A328" s="11" t="s">
        <v>11666</v>
      </c>
      <c r="B328" s="11"/>
      <c r="C328" s="11"/>
      <c r="D328" s="11"/>
      <c r="E328" s="12"/>
      <c r="F328" s="11"/>
      <c r="G328" s="11"/>
      <c r="H328" s="13"/>
      <c r="I328" s="11"/>
      <c r="J328" s="11"/>
    </row>
    <row x14ac:dyDescent="0.25" r="329" customHeight="1" ht="17.25">
      <c r="A329" s="14" t="s">
        <v>3</v>
      </c>
      <c r="B329" s="14" t="s">
        <v>4</v>
      </c>
      <c r="C329" s="14" t="s">
        <v>5</v>
      </c>
      <c r="D329" s="14" t="s">
        <v>6</v>
      </c>
      <c r="E329" s="15" t="s">
        <v>7</v>
      </c>
      <c r="F329" s="14" t="s">
        <v>8</v>
      </c>
      <c r="G329" s="14" t="s">
        <v>9</v>
      </c>
      <c r="H329" s="16" t="s">
        <v>10</v>
      </c>
      <c r="I329" s="14" t="s">
        <v>11</v>
      </c>
      <c r="J329" s="14" t="s">
        <v>12</v>
      </c>
    </row>
    <row x14ac:dyDescent="0.25" r="330" customHeight="1" ht="17.25">
      <c r="A330" s="17" t="s">
        <v>11667</v>
      </c>
      <c r="B330" s="17" t="s">
        <v>530</v>
      </c>
      <c r="C330" s="17" t="s">
        <v>152</v>
      </c>
      <c r="D330" s="17" t="s">
        <v>16</v>
      </c>
      <c r="E330" s="18">
        <f>ROUND(8717*1.05,2)</f>
      </c>
      <c r="F330" s="17" t="s">
        <v>17</v>
      </c>
      <c r="G330" s="17" t="s">
        <v>18</v>
      </c>
      <c r="H330" s="18">
        <f>ROUND(RAND()*4+6,1)</f>
      </c>
      <c r="I330" s="17" t="s">
        <v>19</v>
      </c>
      <c r="J330" s="19">
        <f>ROUND(97*1,0)&amp;"%"</f>
      </c>
    </row>
    <row x14ac:dyDescent="0.25" r="331" customHeight="1" ht="17.25">
      <c r="A331" s="20" t="s">
        <v>11668</v>
      </c>
      <c r="B331" s="20" t="s">
        <v>532</v>
      </c>
      <c r="C331" s="20" t="s">
        <v>152</v>
      </c>
      <c r="D331" s="20" t="s">
        <v>22</v>
      </c>
      <c r="E331" s="21">
        <f>ROUND(16809*1.05,2)</f>
      </c>
      <c r="F331" s="20" t="s">
        <v>23</v>
      </c>
      <c r="G331" s="20" t="s">
        <v>24</v>
      </c>
      <c r="H331" s="21">
        <f>ROUND(RAND()*4+6,1)</f>
      </c>
      <c r="I331" s="20" t="s">
        <v>25</v>
      </c>
      <c r="J331" s="23">
        <f>ROUND(83*1,0)&amp;"%"</f>
      </c>
    </row>
    <row x14ac:dyDescent="0.25" r="332" customHeight="1" ht="17.25">
      <c r="A332" s="17" t="s">
        <v>11669</v>
      </c>
      <c r="B332" s="17" t="s">
        <v>534</v>
      </c>
      <c r="C332" s="17" t="s">
        <v>152</v>
      </c>
      <c r="D332" s="17" t="s">
        <v>28</v>
      </c>
      <c r="E332" s="18">
        <f>ROUND(5730*1.05,2)</f>
      </c>
      <c r="F332" s="17" t="s">
        <v>29</v>
      </c>
      <c r="G332" s="17" t="s">
        <v>30</v>
      </c>
      <c r="H332" s="18">
        <f>ROUND(RAND()*4+6,1)</f>
      </c>
      <c r="I332" s="17" t="s">
        <v>31</v>
      </c>
      <c r="J332" s="19">
        <f>ROUND(86*1,0)&amp;"%"</f>
      </c>
    </row>
    <row x14ac:dyDescent="0.25" r="333" customHeight="1" ht="17.25">
      <c r="A333" s="20" t="s">
        <v>11670</v>
      </c>
      <c r="B333" s="20" t="s">
        <v>536</v>
      </c>
      <c r="C333" s="20" t="s">
        <v>152</v>
      </c>
      <c r="D333" s="20" t="s">
        <v>34</v>
      </c>
      <c r="E333" s="21">
        <f>ROUND(16384*1.05,2)</f>
      </c>
      <c r="F333" s="20" t="s">
        <v>35</v>
      </c>
      <c r="G333" s="20" t="s">
        <v>18</v>
      </c>
      <c r="H333" s="21">
        <f>ROUND(RAND()*4+6,1)</f>
      </c>
      <c r="I333" s="20" t="s">
        <v>36</v>
      </c>
      <c r="J333" s="23">
        <f>ROUND(86*1,0)&amp;"%"</f>
      </c>
    </row>
    <row x14ac:dyDescent="0.25" r="334" customHeight="1" ht="17.25">
      <c r="A334" s="17" t="s">
        <v>11671</v>
      </c>
      <c r="B334" s="17" t="s">
        <v>538</v>
      </c>
      <c r="C334" s="17" t="s">
        <v>152</v>
      </c>
      <c r="D334" s="17" t="s">
        <v>39</v>
      </c>
      <c r="E334" s="18">
        <f>ROUND(11852*1.05,2)</f>
      </c>
      <c r="F334" s="17" t="s">
        <v>40</v>
      </c>
      <c r="G334" s="17" t="s">
        <v>24</v>
      </c>
      <c r="H334" s="18">
        <f>ROUND(RAND()*4+6,1)</f>
      </c>
      <c r="I334" s="17" t="s">
        <v>41</v>
      </c>
      <c r="J334" s="19">
        <f>ROUND(90*1,0)&amp;"%"</f>
      </c>
    </row>
    <row x14ac:dyDescent="0.25" r="335" customHeight="1" ht="17.25">
      <c r="A335" s="20" t="s">
        <v>11672</v>
      </c>
      <c r="B335" s="20" t="s">
        <v>540</v>
      </c>
      <c r="C335" s="20" t="s">
        <v>152</v>
      </c>
      <c r="D335" s="20" t="s">
        <v>67</v>
      </c>
      <c r="E335" s="21">
        <f>ROUND(9336*1.05,2)</f>
      </c>
      <c r="F335" s="20" t="s">
        <v>44</v>
      </c>
      <c r="G335" s="20" t="s">
        <v>30</v>
      </c>
      <c r="H335" s="21">
        <f>ROUND(RAND()*4+6,1)</f>
      </c>
      <c r="I335" s="20" t="s">
        <v>45</v>
      </c>
      <c r="J335" s="23">
        <f>ROUND(86*1,0)&amp;"%"</f>
      </c>
    </row>
    <row x14ac:dyDescent="0.25" r="336" customHeight="1" ht="17.25">
      <c r="A336" s="17" t="s">
        <v>11673</v>
      </c>
      <c r="B336" s="17" t="s">
        <v>542</v>
      </c>
      <c r="C336" s="17" t="s">
        <v>152</v>
      </c>
      <c r="D336" s="17" t="s">
        <v>16</v>
      </c>
      <c r="E336" s="18">
        <f>ROUND(14205*1.05,2)</f>
      </c>
      <c r="F336" s="17" t="s">
        <v>48</v>
      </c>
      <c r="G336" s="17" t="s">
        <v>18</v>
      </c>
      <c r="H336" s="18">
        <f>ROUND(RAND()*4+6,1)</f>
      </c>
      <c r="I336" s="17" t="s">
        <v>19</v>
      </c>
      <c r="J336" s="19">
        <f>ROUND(69*1,0)&amp;"%"</f>
      </c>
    </row>
    <row x14ac:dyDescent="0.25" r="337" customHeight="1" ht="17.25">
      <c r="A337" s="20" t="s">
        <v>11674</v>
      </c>
      <c r="B337" s="20" t="s">
        <v>544</v>
      </c>
      <c r="C337" s="20" t="s">
        <v>152</v>
      </c>
      <c r="D337" s="20" t="s">
        <v>22</v>
      </c>
      <c r="E337" s="21">
        <f>ROUND(4317*1.05,2)</f>
      </c>
      <c r="F337" s="20" t="s">
        <v>51</v>
      </c>
      <c r="G337" s="20" t="s">
        <v>24</v>
      </c>
      <c r="H337" s="21">
        <f>ROUND(RAND()*4+6,1)</f>
      </c>
      <c r="I337" s="20" t="s">
        <v>25</v>
      </c>
      <c r="J337" s="23">
        <f>ROUND(99*1,0)&amp;"%"</f>
      </c>
    </row>
    <row x14ac:dyDescent="0.25" r="338" customHeight="1" ht="17.25">
      <c r="A338" s="24" t="s">
        <v>545</v>
      </c>
      <c r="B338" s="24"/>
      <c r="C338" s="24"/>
      <c r="D338" s="24"/>
      <c r="E338" s="25">
        <v>8</v>
      </c>
      <c r="F338" s="9"/>
      <c r="G338" s="9"/>
      <c r="H338" s="10"/>
      <c r="I338" s="9"/>
      <c r="J338" s="9"/>
    </row>
    <row x14ac:dyDescent="0.25" r="339" customHeight="1" ht="17.25">
      <c r="A339" s="7"/>
      <c r="B339" s="7"/>
      <c r="C339" s="7"/>
      <c r="D339" s="7"/>
      <c r="E339" s="8"/>
      <c r="F339" s="9"/>
      <c r="G339" s="9"/>
      <c r="H339" s="10"/>
      <c r="I339" s="9"/>
      <c r="J339" s="9"/>
    </row>
    <row x14ac:dyDescent="0.25" r="340" customHeight="1" ht="17.25">
      <c r="A340" s="11" t="s">
        <v>11675</v>
      </c>
      <c r="B340" s="11"/>
      <c r="C340" s="11"/>
      <c r="D340" s="11"/>
      <c r="E340" s="12"/>
      <c r="F340" s="11"/>
      <c r="G340" s="11"/>
      <c r="H340" s="13"/>
      <c r="I340" s="11"/>
      <c r="J340" s="11"/>
    </row>
    <row x14ac:dyDescent="0.25" r="341" customHeight="1" ht="17.25">
      <c r="A341" s="14" t="s">
        <v>3</v>
      </c>
      <c r="B341" s="14" t="s">
        <v>4</v>
      </c>
      <c r="C341" s="14" t="s">
        <v>5</v>
      </c>
      <c r="D341" s="14" t="s">
        <v>6</v>
      </c>
      <c r="E341" s="15" t="s">
        <v>7</v>
      </c>
      <c r="F341" s="14" t="s">
        <v>8</v>
      </c>
      <c r="G341" s="14" t="s">
        <v>9</v>
      </c>
      <c r="H341" s="16" t="s">
        <v>10</v>
      </c>
      <c r="I341" s="14" t="s">
        <v>11</v>
      </c>
      <c r="J341" s="14" t="s">
        <v>12</v>
      </c>
    </row>
    <row x14ac:dyDescent="0.25" r="342" customHeight="1" ht="17.25">
      <c r="A342" s="17" t="s">
        <v>11676</v>
      </c>
      <c r="B342" s="17" t="s">
        <v>548</v>
      </c>
      <c r="C342" s="17" t="s">
        <v>15</v>
      </c>
      <c r="D342" s="17" t="s">
        <v>16</v>
      </c>
      <c r="E342" s="18">
        <f>ROUND(11849*1.05,2)</f>
      </c>
      <c r="F342" s="17" t="s">
        <v>17</v>
      </c>
      <c r="G342" s="17" t="s">
        <v>18</v>
      </c>
      <c r="H342" s="18">
        <f>ROUND(RAND()*4+6,1)</f>
      </c>
      <c r="I342" s="17" t="s">
        <v>19</v>
      </c>
      <c r="J342" s="19">
        <f>ROUND(70*1,0)&amp;"%"</f>
      </c>
    </row>
    <row x14ac:dyDescent="0.25" r="343" customHeight="1" ht="17.25">
      <c r="A343" s="20" t="s">
        <v>11677</v>
      </c>
      <c r="B343" s="20" t="s">
        <v>550</v>
      </c>
      <c r="C343" s="20" t="s">
        <v>15</v>
      </c>
      <c r="D343" s="20" t="s">
        <v>22</v>
      </c>
      <c r="E343" s="21">
        <f>ROUND(6718*1.05,2)</f>
      </c>
      <c r="F343" s="20" t="s">
        <v>23</v>
      </c>
      <c r="G343" s="20" t="s">
        <v>24</v>
      </c>
      <c r="H343" s="21">
        <f>ROUND(RAND()*4+6,1)</f>
      </c>
      <c r="I343" s="20" t="s">
        <v>25</v>
      </c>
      <c r="J343" s="23">
        <f>ROUND(74*1,0)&amp;"%"</f>
      </c>
    </row>
    <row x14ac:dyDescent="0.25" r="344" customHeight="1" ht="17.25">
      <c r="A344" s="17" t="s">
        <v>11678</v>
      </c>
      <c r="B344" s="17" t="s">
        <v>552</v>
      </c>
      <c r="C344" s="17" t="s">
        <v>15</v>
      </c>
      <c r="D344" s="17" t="s">
        <v>28</v>
      </c>
      <c r="E344" s="18">
        <f>ROUND(12477*1.05,2)</f>
      </c>
      <c r="F344" s="17" t="s">
        <v>29</v>
      </c>
      <c r="G344" s="17" t="s">
        <v>30</v>
      </c>
      <c r="H344" s="26">
        <f>ROUND(RAND()*4+6,1)</f>
      </c>
      <c r="I344" s="17" t="s">
        <v>31</v>
      </c>
      <c r="J344" s="19">
        <f>ROUND(78*1,0)&amp;"%"</f>
      </c>
    </row>
    <row x14ac:dyDescent="0.25" r="345" customHeight="1" ht="17.25">
      <c r="A345" s="20" t="s">
        <v>11679</v>
      </c>
      <c r="B345" s="20" t="s">
        <v>554</v>
      </c>
      <c r="C345" s="20" t="s">
        <v>15</v>
      </c>
      <c r="D345" s="20" t="s">
        <v>34</v>
      </c>
      <c r="E345" s="21">
        <f>ROUND(4590*1.05,2)</f>
      </c>
      <c r="F345" s="20" t="s">
        <v>35</v>
      </c>
      <c r="G345" s="20" t="s">
        <v>18</v>
      </c>
      <c r="H345" s="21">
        <f>ROUND(RAND()*4+6,1)</f>
      </c>
      <c r="I345" s="20" t="s">
        <v>36</v>
      </c>
      <c r="J345" s="23">
        <f>ROUND(69*1,0)&amp;"%"</f>
      </c>
    </row>
    <row x14ac:dyDescent="0.25" r="346" customHeight="1" ht="17.25">
      <c r="A346" s="17" t="s">
        <v>11680</v>
      </c>
      <c r="B346" s="17" t="s">
        <v>556</v>
      </c>
      <c r="C346" s="17" t="s">
        <v>15</v>
      </c>
      <c r="D346" s="17" t="s">
        <v>39</v>
      </c>
      <c r="E346" s="18">
        <f>ROUND(6443*1.05,2)</f>
      </c>
      <c r="F346" s="17" t="s">
        <v>40</v>
      </c>
      <c r="G346" s="17" t="s">
        <v>24</v>
      </c>
      <c r="H346" s="18">
        <f>ROUND(RAND()*4+6,1)</f>
      </c>
      <c r="I346" s="17" t="s">
        <v>41</v>
      </c>
      <c r="J346" s="19">
        <f>ROUND(80*1,0)&amp;"%"</f>
      </c>
    </row>
    <row x14ac:dyDescent="0.25" r="347" customHeight="1" ht="17.25">
      <c r="A347" s="20" t="s">
        <v>11681</v>
      </c>
      <c r="B347" s="20" t="s">
        <v>558</v>
      </c>
      <c r="C347" s="20" t="s">
        <v>15</v>
      </c>
      <c r="D347" s="20" t="s">
        <v>67</v>
      </c>
      <c r="E347" s="21">
        <f>ROUND(7892*1.05,2)</f>
      </c>
      <c r="F347" s="20" t="s">
        <v>44</v>
      </c>
      <c r="G347" s="20" t="s">
        <v>30</v>
      </c>
      <c r="H347" s="21">
        <f>ROUND(RAND()*4+6,1)</f>
      </c>
      <c r="I347" s="20" t="s">
        <v>45</v>
      </c>
      <c r="J347" s="23">
        <f>ROUND(76*1,0)&amp;"%"</f>
      </c>
    </row>
    <row x14ac:dyDescent="0.25" r="348" customHeight="1" ht="17.25">
      <c r="A348" s="17" t="s">
        <v>11682</v>
      </c>
      <c r="B348" s="17" t="s">
        <v>560</v>
      </c>
      <c r="C348" s="17" t="s">
        <v>15</v>
      </c>
      <c r="D348" s="17" t="s">
        <v>16</v>
      </c>
      <c r="E348" s="18">
        <f>ROUND(6042*1.05,2)</f>
      </c>
      <c r="F348" s="17" t="s">
        <v>48</v>
      </c>
      <c r="G348" s="17" t="s">
        <v>18</v>
      </c>
      <c r="H348" s="26">
        <f>ROUND(RAND()*4+6,1)</f>
      </c>
      <c r="I348" s="17" t="s">
        <v>19</v>
      </c>
      <c r="J348" s="19">
        <f>ROUND(74*1,0)&amp;"%"</f>
      </c>
    </row>
    <row x14ac:dyDescent="0.25" r="349" customHeight="1" ht="17.25">
      <c r="A349" s="20" t="s">
        <v>11683</v>
      </c>
      <c r="B349" s="20" t="s">
        <v>562</v>
      </c>
      <c r="C349" s="20" t="s">
        <v>15</v>
      </c>
      <c r="D349" s="20" t="s">
        <v>22</v>
      </c>
      <c r="E349" s="21">
        <f>ROUND(16488*1.05,2)</f>
      </c>
      <c r="F349" s="20" t="s">
        <v>51</v>
      </c>
      <c r="G349" s="20" t="s">
        <v>24</v>
      </c>
      <c r="H349" s="21">
        <f>ROUND(RAND()*4+6,1)</f>
      </c>
      <c r="I349" s="20" t="s">
        <v>25</v>
      </c>
      <c r="J349" s="23">
        <f>ROUND(76*1,0)&amp;"%"</f>
      </c>
    </row>
    <row x14ac:dyDescent="0.25" r="350" customHeight="1" ht="17.25">
      <c r="A350" s="24" t="s">
        <v>563</v>
      </c>
      <c r="B350" s="24"/>
      <c r="C350" s="24"/>
      <c r="D350" s="24"/>
      <c r="E350" s="25">
        <v>8</v>
      </c>
      <c r="F350" s="9"/>
      <c r="G350" s="9"/>
      <c r="H350" s="10"/>
      <c r="I350" s="9"/>
      <c r="J350" s="9"/>
    </row>
    <row x14ac:dyDescent="0.25" r="351" customHeight="1" ht="17.25">
      <c r="A351" s="7"/>
      <c r="B351" s="7"/>
      <c r="C351" s="7"/>
      <c r="D351" s="7"/>
      <c r="E351" s="8"/>
      <c r="F351" s="9"/>
      <c r="G351" s="9"/>
      <c r="H351" s="10"/>
      <c r="I351" s="9"/>
      <c r="J351" s="9"/>
    </row>
    <row x14ac:dyDescent="0.25" r="352" customHeight="1" ht="17.25">
      <c r="A352" s="11" t="s">
        <v>11684</v>
      </c>
      <c r="B352" s="11"/>
      <c r="C352" s="11"/>
      <c r="D352" s="11"/>
      <c r="E352" s="12"/>
      <c r="F352" s="11"/>
      <c r="G352" s="11"/>
      <c r="H352" s="13"/>
      <c r="I352" s="11"/>
      <c r="J352" s="11"/>
    </row>
    <row x14ac:dyDescent="0.25" r="353" customHeight="1" ht="17.25">
      <c r="A353" s="14" t="s">
        <v>3</v>
      </c>
      <c r="B353" s="14" t="s">
        <v>4</v>
      </c>
      <c r="C353" s="14" t="s">
        <v>5</v>
      </c>
      <c r="D353" s="14" t="s">
        <v>6</v>
      </c>
      <c r="E353" s="15" t="s">
        <v>7</v>
      </c>
      <c r="F353" s="14" t="s">
        <v>8</v>
      </c>
      <c r="G353" s="14" t="s">
        <v>9</v>
      </c>
      <c r="H353" s="16" t="s">
        <v>10</v>
      </c>
      <c r="I353" s="14" t="s">
        <v>11</v>
      </c>
      <c r="J353" s="14" t="s">
        <v>12</v>
      </c>
    </row>
    <row x14ac:dyDescent="0.25" r="354" customHeight="1" ht="17.25">
      <c r="A354" s="17" t="s">
        <v>11685</v>
      </c>
      <c r="B354" s="17" t="s">
        <v>566</v>
      </c>
      <c r="C354" s="17" t="s">
        <v>56</v>
      </c>
      <c r="D354" s="17" t="s">
        <v>16</v>
      </c>
      <c r="E354" s="18">
        <f>ROUND(10193*1.05,2)</f>
      </c>
      <c r="F354" s="17" t="s">
        <v>17</v>
      </c>
      <c r="G354" s="17" t="s">
        <v>18</v>
      </c>
      <c r="H354" s="26">
        <f>ROUND(RAND()*4+6,1)</f>
      </c>
      <c r="I354" s="17" t="s">
        <v>19</v>
      </c>
      <c r="J354" s="19">
        <f>ROUND(87*1,0)&amp;"%"</f>
      </c>
    </row>
    <row x14ac:dyDescent="0.25" r="355" customHeight="1" ht="17.25">
      <c r="A355" s="20" t="s">
        <v>11686</v>
      </c>
      <c r="B355" s="20" t="s">
        <v>568</v>
      </c>
      <c r="C355" s="20" t="s">
        <v>56</v>
      </c>
      <c r="D355" s="20" t="s">
        <v>22</v>
      </c>
      <c r="E355" s="21">
        <f>ROUND(14850*1.05,2)</f>
      </c>
      <c r="F355" s="20" t="s">
        <v>23</v>
      </c>
      <c r="G355" s="20" t="s">
        <v>24</v>
      </c>
      <c r="H355" s="21">
        <f>ROUND(RAND()*4+6,1)</f>
      </c>
      <c r="I355" s="20" t="s">
        <v>25</v>
      </c>
      <c r="J355" s="23">
        <f>ROUND(84*1,0)&amp;"%"</f>
      </c>
    </row>
    <row x14ac:dyDescent="0.25" r="356" customHeight="1" ht="17.25">
      <c r="A356" s="17" t="s">
        <v>11687</v>
      </c>
      <c r="B356" s="17" t="s">
        <v>570</v>
      </c>
      <c r="C356" s="17" t="s">
        <v>56</v>
      </c>
      <c r="D356" s="17" t="s">
        <v>28</v>
      </c>
      <c r="E356" s="18">
        <f>ROUND(14446*1.05,2)</f>
      </c>
      <c r="F356" s="17" t="s">
        <v>29</v>
      </c>
      <c r="G356" s="17" t="s">
        <v>30</v>
      </c>
      <c r="H356" s="18">
        <f>ROUND(RAND()*4+6,1)</f>
      </c>
      <c r="I356" s="17" t="s">
        <v>31</v>
      </c>
      <c r="J356" s="19">
        <f>ROUND(85*1,0)&amp;"%"</f>
      </c>
    </row>
    <row x14ac:dyDescent="0.25" r="357" customHeight="1" ht="17.25">
      <c r="A357" s="20" t="s">
        <v>11688</v>
      </c>
      <c r="B357" s="20" t="s">
        <v>572</v>
      </c>
      <c r="C357" s="20" t="s">
        <v>56</v>
      </c>
      <c r="D357" s="20" t="s">
        <v>34</v>
      </c>
      <c r="E357" s="21">
        <f>ROUND(6034*1.05,2)</f>
      </c>
      <c r="F357" s="20" t="s">
        <v>35</v>
      </c>
      <c r="G357" s="20" t="s">
        <v>18</v>
      </c>
      <c r="H357" s="22">
        <f>ROUND(RAND()*4+6,1)</f>
      </c>
      <c r="I357" s="20" t="s">
        <v>36</v>
      </c>
      <c r="J357" s="23">
        <f>ROUND(79*1,0)&amp;"%"</f>
      </c>
    </row>
    <row x14ac:dyDescent="0.25" r="358" customHeight="1" ht="17.25">
      <c r="A358" s="17" t="s">
        <v>11689</v>
      </c>
      <c r="B358" s="17" t="s">
        <v>574</v>
      </c>
      <c r="C358" s="17" t="s">
        <v>56</v>
      </c>
      <c r="D358" s="17" t="s">
        <v>39</v>
      </c>
      <c r="E358" s="18">
        <f>ROUND(14812*1.05,2)</f>
      </c>
      <c r="F358" s="17" t="s">
        <v>40</v>
      </c>
      <c r="G358" s="17" t="s">
        <v>24</v>
      </c>
      <c r="H358" s="18">
        <f>ROUND(RAND()*4+6,1)</f>
      </c>
      <c r="I358" s="17" t="s">
        <v>41</v>
      </c>
      <c r="J358" s="19">
        <f>ROUND(99*1,0)&amp;"%"</f>
      </c>
    </row>
    <row x14ac:dyDescent="0.25" r="359" customHeight="1" ht="17.25">
      <c r="A359" s="20" t="s">
        <v>11690</v>
      </c>
      <c r="B359" s="20" t="s">
        <v>576</v>
      </c>
      <c r="C359" s="20" t="s">
        <v>56</v>
      </c>
      <c r="D359" s="20" t="s">
        <v>67</v>
      </c>
      <c r="E359" s="21">
        <f>ROUND(6371*1.05,2)</f>
      </c>
      <c r="F359" s="20" t="s">
        <v>44</v>
      </c>
      <c r="G359" s="20" t="s">
        <v>30</v>
      </c>
      <c r="H359" s="21">
        <f>ROUND(RAND()*4+6,1)</f>
      </c>
      <c r="I359" s="20" t="s">
        <v>45</v>
      </c>
      <c r="J359" s="23">
        <f>ROUND(98*1,0)&amp;"%"</f>
      </c>
    </row>
    <row x14ac:dyDescent="0.25" r="360" customHeight="1" ht="17.25">
      <c r="A360" s="17" t="s">
        <v>11691</v>
      </c>
      <c r="B360" s="17" t="s">
        <v>578</v>
      </c>
      <c r="C360" s="17" t="s">
        <v>56</v>
      </c>
      <c r="D360" s="17" t="s">
        <v>16</v>
      </c>
      <c r="E360" s="18">
        <f>ROUND(16245*1.05,2)</f>
      </c>
      <c r="F360" s="17" t="s">
        <v>48</v>
      </c>
      <c r="G360" s="17" t="s">
        <v>18</v>
      </c>
      <c r="H360" s="18">
        <f>ROUND(RAND()*4+6,1)</f>
      </c>
      <c r="I360" s="17" t="s">
        <v>19</v>
      </c>
      <c r="J360" s="19">
        <f>ROUND(76*1,0)&amp;"%"</f>
      </c>
    </row>
    <row x14ac:dyDescent="0.25" r="361" customHeight="1" ht="17.25">
      <c r="A361" s="20" t="s">
        <v>11692</v>
      </c>
      <c r="B361" s="20" t="s">
        <v>580</v>
      </c>
      <c r="C361" s="20" t="s">
        <v>56</v>
      </c>
      <c r="D361" s="20" t="s">
        <v>22</v>
      </c>
      <c r="E361" s="21">
        <f>ROUND(5616*1.05,2)</f>
      </c>
      <c r="F361" s="20" t="s">
        <v>51</v>
      </c>
      <c r="G361" s="20" t="s">
        <v>24</v>
      </c>
      <c r="H361" s="21">
        <f>ROUND(RAND()*4+6,1)</f>
      </c>
      <c r="I361" s="20" t="s">
        <v>25</v>
      </c>
      <c r="J361" s="23">
        <f>ROUND(77*1,0)&amp;"%"</f>
      </c>
    </row>
    <row x14ac:dyDescent="0.25" r="362" customHeight="1" ht="17.25">
      <c r="A362" s="24" t="s">
        <v>581</v>
      </c>
      <c r="B362" s="24"/>
      <c r="C362" s="24"/>
      <c r="D362" s="24"/>
      <c r="E362" s="25">
        <v>8</v>
      </c>
      <c r="F362" s="9"/>
      <c r="G362" s="9"/>
      <c r="H362" s="10"/>
      <c r="I362" s="9"/>
      <c r="J362" s="9"/>
    </row>
  </sheetData>
  <mergeCells count="62">
    <mergeCell ref="A1:J1"/>
    <mergeCell ref="A2:J2"/>
    <mergeCell ref="A4:J4"/>
    <mergeCell ref="A14:D14"/>
    <mergeCell ref="A16:J16"/>
    <mergeCell ref="A26:D26"/>
    <mergeCell ref="A28:J28"/>
    <mergeCell ref="A38:D38"/>
    <mergeCell ref="A40:J40"/>
    <mergeCell ref="A50:D50"/>
    <mergeCell ref="A52:J52"/>
    <mergeCell ref="A62:D62"/>
    <mergeCell ref="A64:J64"/>
    <mergeCell ref="A74:D74"/>
    <mergeCell ref="A76:J76"/>
    <mergeCell ref="A86:D86"/>
    <mergeCell ref="A88:J88"/>
    <mergeCell ref="A98:D98"/>
    <mergeCell ref="A100:J100"/>
    <mergeCell ref="A110:D110"/>
    <mergeCell ref="A112:J112"/>
    <mergeCell ref="A122:D122"/>
    <mergeCell ref="A124:J124"/>
    <mergeCell ref="A134:D134"/>
    <mergeCell ref="A136:J136"/>
    <mergeCell ref="A146:D146"/>
    <mergeCell ref="A148:J148"/>
    <mergeCell ref="A158:D158"/>
    <mergeCell ref="A160:J160"/>
    <mergeCell ref="A170:D170"/>
    <mergeCell ref="A172:J172"/>
    <mergeCell ref="A182:D182"/>
    <mergeCell ref="A184:J184"/>
    <mergeCell ref="A194:D194"/>
    <mergeCell ref="A196:J196"/>
    <mergeCell ref="A206:D206"/>
    <mergeCell ref="A208:J208"/>
    <mergeCell ref="A218:D218"/>
    <mergeCell ref="A220:J220"/>
    <mergeCell ref="A230:D230"/>
    <mergeCell ref="A232:J232"/>
    <mergeCell ref="A242:D242"/>
    <mergeCell ref="A244:J244"/>
    <mergeCell ref="A254:D254"/>
    <mergeCell ref="A256:J256"/>
    <mergeCell ref="A266:D266"/>
    <mergeCell ref="A268:J268"/>
    <mergeCell ref="A278:D278"/>
    <mergeCell ref="A280:J280"/>
    <mergeCell ref="A290:D290"/>
    <mergeCell ref="A292:J292"/>
    <mergeCell ref="A302:D302"/>
    <mergeCell ref="A304:J304"/>
    <mergeCell ref="A314:D314"/>
    <mergeCell ref="A316:J316"/>
    <mergeCell ref="A326:D326"/>
    <mergeCell ref="A328:J328"/>
    <mergeCell ref="A338:D338"/>
    <mergeCell ref="A340:J340"/>
    <mergeCell ref="A350:D350"/>
    <mergeCell ref="A352:J352"/>
    <mergeCell ref="A362:D36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J362"/>
  <sheetViews>
    <sheetView workbookViewId="0"/>
  </sheetViews>
  <sheetFormatPr defaultRowHeight="15" x14ac:dyDescent="0.25"/>
  <cols>
    <col min="1" max="1" style="27" width="8.005" customWidth="1" bestFit="1"/>
    <col min="2" max="2" style="27" width="22.005" customWidth="1" bestFit="1"/>
    <col min="3" max="3" style="27" width="16.005" customWidth="1" bestFit="1"/>
    <col min="4" max="4" style="27" width="14.005" customWidth="1" bestFit="1"/>
    <col min="5" max="5" style="28" width="12.005" customWidth="1" bestFit="1"/>
    <col min="6" max="6" style="29" width="16.005" customWidth="1" bestFit="1"/>
    <col min="7" max="7" style="29" width="10.005" customWidth="1" bestFit="1"/>
    <col min="8" max="8" style="30" width="10.005" customWidth="1" bestFit="1"/>
    <col min="9" max="9" style="29" width="14.005" customWidth="1" bestFit="1"/>
    <col min="10" max="10" style="29" width="8.005" customWidth="1" bestFit="1"/>
  </cols>
  <sheetData>
    <row x14ac:dyDescent="0.25" r="1" customHeight="1" ht="17.25">
      <c r="A1" s="1" t="s">
        <v>11151</v>
      </c>
      <c r="B1" s="1"/>
      <c r="C1" s="1"/>
      <c r="D1" s="1"/>
      <c r="E1" s="2"/>
      <c r="F1" s="1"/>
      <c r="G1" s="1"/>
      <c r="H1" s="3"/>
      <c r="I1" s="1"/>
      <c r="J1" s="1"/>
    </row>
    <row x14ac:dyDescent="0.25" r="2" customHeight="1" ht="17.25">
      <c r="A2" s="4" t="s">
        <v>1</v>
      </c>
      <c r="B2" s="4"/>
      <c r="C2" s="4"/>
      <c r="D2" s="4"/>
      <c r="E2" s="5"/>
      <c r="F2" s="4"/>
      <c r="G2" s="4"/>
      <c r="H2" s="6"/>
      <c r="I2" s="4"/>
      <c r="J2" s="4"/>
    </row>
    <row x14ac:dyDescent="0.25" r="3" customHeight="1" ht="17.25">
      <c r="A3" s="7"/>
      <c r="B3" s="7"/>
      <c r="C3" s="7"/>
      <c r="D3" s="7"/>
      <c r="E3" s="8"/>
      <c r="F3" s="9"/>
      <c r="G3" s="9"/>
      <c r="H3" s="10"/>
      <c r="I3" s="9"/>
      <c r="J3" s="9"/>
    </row>
    <row x14ac:dyDescent="0.25" r="4" customHeight="1" ht="17.25">
      <c r="A4" s="11" t="s">
        <v>11152</v>
      </c>
      <c r="B4" s="11"/>
      <c r="C4" s="11"/>
      <c r="D4" s="11"/>
      <c r="E4" s="12"/>
      <c r="F4" s="11"/>
      <c r="G4" s="11"/>
      <c r="H4" s="13"/>
      <c r="I4" s="11"/>
      <c r="J4" s="11"/>
    </row>
    <row x14ac:dyDescent="0.25" r="5" customHeight="1" ht="17.25">
      <c r="A5" s="14" t="s">
        <v>3</v>
      </c>
      <c r="B5" s="14" t="s">
        <v>4</v>
      </c>
      <c r="C5" s="14" t="s">
        <v>5</v>
      </c>
      <c r="D5" s="14" t="s">
        <v>6</v>
      </c>
      <c r="E5" s="15" t="s">
        <v>7</v>
      </c>
      <c r="F5" s="14" t="s">
        <v>8</v>
      </c>
      <c r="G5" s="14" t="s">
        <v>9</v>
      </c>
      <c r="H5" s="16" t="s">
        <v>10</v>
      </c>
      <c r="I5" s="14" t="s">
        <v>11</v>
      </c>
      <c r="J5" s="14" t="s">
        <v>12</v>
      </c>
    </row>
    <row x14ac:dyDescent="0.25" r="6" customHeight="1" ht="17.25">
      <c r="A6" s="17" t="s">
        <v>11153</v>
      </c>
      <c r="B6" s="17" t="s">
        <v>14</v>
      </c>
      <c r="C6" s="17" t="s">
        <v>15</v>
      </c>
      <c r="D6" s="17" t="s">
        <v>16</v>
      </c>
      <c r="E6" s="18">
        <f>ROUND(4487*1.05,2)</f>
      </c>
      <c r="F6" s="17" t="s">
        <v>17</v>
      </c>
      <c r="G6" s="17" t="s">
        <v>18</v>
      </c>
      <c r="H6" s="18">
        <f>ROUND(RAND()*4+6,1)</f>
      </c>
      <c r="I6" s="17" t="s">
        <v>19</v>
      </c>
      <c r="J6" s="19">
        <f>ROUND(60*1,0)&amp;"%"</f>
      </c>
    </row>
    <row x14ac:dyDescent="0.25" r="7" customHeight="1" ht="17.25">
      <c r="A7" s="20" t="s">
        <v>11154</v>
      </c>
      <c r="B7" s="20" t="s">
        <v>21</v>
      </c>
      <c r="C7" s="20" t="s">
        <v>15</v>
      </c>
      <c r="D7" s="20" t="s">
        <v>22</v>
      </c>
      <c r="E7" s="21">
        <f>ROUND(11889*1.05,2)</f>
      </c>
      <c r="F7" s="20" t="s">
        <v>23</v>
      </c>
      <c r="G7" s="20" t="s">
        <v>24</v>
      </c>
      <c r="H7" s="21">
        <f>ROUND(RAND()*4+6,1)</f>
      </c>
      <c r="I7" s="20" t="s">
        <v>25</v>
      </c>
      <c r="J7" s="23">
        <f>ROUND(94*1,0)&amp;"%"</f>
      </c>
    </row>
    <row x14ac:dyDescent="0.25" r="8" customHeight="1" ht="17.25">
      <c r="A8" s="17" t="s">
        <v>11155</v>
      </c>
      <c r="B8" s="17" t="s">
        <v>27</v>
      </c>
      <c r="C8" s="17" t="s">
        <v>15</v>
      </c>
      <c r="D8" s="17" t="s">
        <v>28</v>
      </c>
      <c r="E8" s="18">
        <f>ROUND(11129*1.05,2)</f>
      </c>
      <c r="F8" s="17" t="s">
        <v>29</v>
      </c>
      <c r="G8" s="17" t="s">
        <v>30</v>
      </c>
      <c r="H8" s="18">
        <f>ROUND(RAND()*4+6,1)</f>
      </c>
      <c r="I8" s="17" t="s">
        <v>31</v>
      </c>
      <c r="J8" s="19">
        <f>ROUND(67*1,0)&amp;"%"</f>
      </c>
    </row>
    <row x14ac:dyDescent="0.25" r="9" customHeight="1" ht="17.25">
      <c r="A9" s="20" t="s">
        <v>11156</v>
      </c>
      <c r="B9" s="20" t="s">
        <v>33</v>
      </c>
      <c r="C9" s="20" t="s">
        <v>15</v>
      </c>
      <c r="D9" s="20" t="s">
        <v>34</v>
      </c>
      <c r="E9" s="21">
        <f>ROUND(16894*1.05,2)</f>
      </c>
      <c r="F9" s="20" t="s">
        <v>35</v>
      </c>
      <c r="G9" s="20" t="s">
        <v>18</v>
      </c>
      <c r="H9" s="21">
        <f>ROUND(RAND()*4+6,1)</f>
      </c>
      <c r="I9" s="20" t="s">
        <v>36</v>
      </c>
      <c r="J9" s="23">
        <f>ROUND(96*1,0)&amp;"%"</f>
      </c>
    </row>
    <row x14ac:dyDescent="0.25" r="10" customHeight="1" ht="17.25">
      <c r="A10" s="17" t="s">
        <v>11157</v>
      </c>
      <c r="B10" s="17" t="s">
        <v>38</v>
      </c>
      <c r="C10" s="17" t="s">
        <v>15</v>
      </c>
      <c r="D10" s="17" t="s">
        <v>39</v>
      </c>
      <c r="E10" s="18">
        <f>ROUND(11781*1.05,2)</f>
      </c>
      <c r="F10" s="17" t="s">
        <v>40</v>
      </c>
      <c r="G10" s="17" t="s">
        <v>24</v>
      </c>
      <c r="H10" s="18">
        <f>ROUND(RAND()*4+6,1)</f>
      </c>
      <c r="I10" s="17" t="s">
        <v>41</v>
      </c>
      <c r="J10" s="19">
        <f>ROUND(86*1,0)&amp;"%"</f>
      </c>
    </row>
    <row x14ac:dyDescent="0.25" r="11" customHeight="1" ht="17.25">
      <c r="A11" s="20" t="s">
        <v>11158</v>
      </c>
      <c r="B11" s="20" t="s">
        <v>43</v>
      </c>
      <c r="C11" s="20" t="s">
        <v>15</v>
      </c>
      <c r="D11" s="20" t="s">
        <v>67</v>
      </c>
      <c r="E11" s="21">
        <f>ROUND(17221*1.05,2)</f>
      </c>
      <c r="F11" s="20" t="s">
        <v>44</v>
      </c>
      <c r="G11" s="20" t="s">
        <v>30</v>
      </c>
      <c r="H11" s="21">
        <f>ROUND(RAND()*4+6,1)</f>
      </c>
      <c r="I11" s="20" t="s">
        <v>45</v>
      </c>
      <c r="J11" s="23">
        <f>ROUND(78*1,0)&amp;"%"</f>
      </c>
    </row>
    <row x14ac:dyDescent="0.25" r="12" customHeight="1" ht="17.25">
      <c r="A12" s="17" t="s">
        <v>11159</v>
      </c>
      <c r="B12" s="17" t="s">
        <v>47</v>
      </c>
      <c r="C12" s="17" t="s">
        <v>15</v>
      </c>
      <c r="D12" s="17" t="s">
        <v>16</v>
      </c>
      <c r="E12" s="18">
        <f>ROUND(10235*1.05,2)</f>
      </c>
      <c r="F12" s="17" t="s">
        <v>48</v>
      </c>
      <c r="G12" s="17" t="s">
        <v>18</v>
      </c>
      <c r="H12" s="18">
        <f>ROUND(RAND()*4+6,1)</f>
      </c>
      <c r="I12" s="17" t="s">
        <v>19</v>
      </c>
      <c r="J12" s="19">
        <f>ROUND(87*1,0)&amp;"%"</f>
      </c>
    </row>
    <row x14ac:dyDescent="0.25" r="13" customHeight="1" ht="17.25">
      <c r="A13" s="20" t="s">
        <v>11160</v>
      </c>
      <c r="B13" s="20" t="s">
        <v>50</v>
      </c>
      <c r="C13" s="20" t="s">
        <v>15</v>
      </c>
      <c r="D13" s="20" t="s">
        <v>22</v>
      </c>
      <c r="E13" s="21">
        <f>ROUND(8307*1.05,2)</f>
      </c>
      <c r="F13" s="20" t="s">
        <v>51</v>
      </c>
      <c r="G13" s="20" t="s">
        <v>24</v>
      </c>
      <c r="H13" s="22">
        <f>ROUND(RAND()*4+6,1)</f>
      </c>
      <c r="I13" s="20" t="s">
        <v>25</v>
      </c>
      <c r="J13" s="23">
        <f>ROUND(92*1,0)&amp;"%"</f>
      </c>
    </row>
    <row x14ac:dyDescent="0.25" r="14" customHeight="1" ht="17.25">
      <c r="A14" s="24" t="s">
        <v>52</v>
      </c>
      <c r="B14" s="24"/>
      <c r="C14" s="24"/>
      <c r="D14" s="24"/>
      <c r="E14" s="25">
        <v>8</v>
      </c>
      <c r="F14" s="9"/>
      <c r="G14" s="9"/>
      <c r="H14" s="10"/>
      <c r="I14" s="9"/>
      <c r="J14" s="9"/>
    </row>
    <row x14ac:dyDescent="0.25" r="15" customHeight="1" ht="17.25">
      <c r="A15" s="7"/>
      <c r="B15" s="7"/>
      <c r="C15" s="7"/>
      <c r="D15" s="7"/>
      <c r="E15" s="8"/>
      <c r="F15" s="9"/>
      <c r="G15" s="9"/>
      <c r="H15" s="10"/>
      <c r="I15" s="9"/>
      <c r="J15" s="9"/>
    </row>
    <row x14ac:dyDescent="0.25" r="16" customHeight="1" ht="17.25">
      <c r="A16" s="11" t="s">
        <v>11161</v>
      </c>
      <c r="B16" s="11"/>
      <c r="C16" s="11"/>
      <c r="D16" s="11"/>
      <c r="E16" s="12"/>
      <c r="F16" s="11"/>
      <c r="G16" s="11"/>
      <c r="H16" s="13"/>
      <c r="I16" s="11"/>
      <c r="J16" s="11"/>
    </row>
    <row x14ac:dyDescent="0.25" r="17" customHeight="1" ht="17.25">
      <c r="A17" s="14" t="s">
        <v>3</v>
      </c>
      <c r="B17" s="14" t="s">
        <v>4</v>
      </c>
      <c r="C17" s="14" t="s">
        <v>5</v>
      </c>
      <c r="D17" s="14" t="s">
        <v>6</v>
      </c>
      <c r="E17" s="15" t="s">
        <v>7</v>
      </c>
      <c r="F17" s="14" t="s">
        <v>8</v>
      </c>
      <c r="G17" s="14" t="s">
        <v>9</v>
      </c>
      <c r="H17" s="16" t="s">
        <v>10</v>
      </c>
      <c r="I17" s="14" t="s">
        <v>11</v>
      </c>
      <c r="J17" s="14" t="s">
        <v>12</v>
      </c>
    </row>
    <row x14ac:dyDescent="0.25" r="18" customHeight="1" ht="17.25">
      <c r="A18" s="17" t="s">
        <v>11162</v>
      </c>
      <c r="B18" s="17" t="s">
        <v>55</v>
      </c>
      <c r="C18" s="17" t="s">
        <v>56</v>
      </c>
      <c r="D18" s="17" t="s">
        <v>16</v>
      </c>
      <c r="E18" s="18">
        <f>ROUND(5482*1.05,2)</f>
      </c>
      <c r="F18" s="17" t="s">
        <v>17</v>
      </c>
      <c r="G18" s="17" t="s">
        <v>18</v>
      </c>
      <c r="H18" s="18">
        <f>ROUND(RAND()*4+6,1)</f>
      </c>
      <c r="I18" s="17" t="s">
        <v>19</v>
      </c>
      <c r="J18" s="19">
        <f>ROUND(90*1,0)&amp;"%"</f>
      </c>
    </row>
    <row x14ac:dyDescent="0.25" r="19" customHeight="1" ht="17.25">
      <c r="A19" s="20" t="s">
        <v>11163</v>
      </c>
      <c r="B19" s="20" t="s">
        <v>58</v>
      </c>
      <c r="C19" s="20" t="s">
        <v>56</v>
      </c>
      <c r="D19" s="20" t="s">
        <v>22</v>
      </c>
      <c r="E19" s="21">
        <f>ROUND(4876*1.05,2)</f>
      </c>
      <c r="F19" s="20" t="s">
        <v>23</v>
      </c>
      <c r="G19" s="20" t="s">
        <v>24</v>
      </c>
      <c r="H19" s="21">
        <f>ROUND(RAND()*4+6,1)</f>
      </c>
      <c r="I19" s="20" t="s">
        <v>25</v>
      </c>
      <c r="J19" s="23">
        <f>ROUND(97*1,0)&amp;"%"</f>
      </c>
    </row>
    <row x14ac:dyDescent="0.25" r="20" customHeight="1" ht="17.25">
      <c r="A20" s="17" t="s">
        <v>11164</v>
      </c>
      <c r="B20" s="17" t="s">
        <v>60</v>
      </c>
      <c r="C20" s="17" t="s">
        <v>56</v>
      </c>
      <c r="D20" s="17" t="s">
        <v>28</v>
      </c>
      <c r="E20" s="18">
        <f>ROUND(17145*1.05,2)</f>
      </c>
      <c r="F20" s="17" t="s">
        <v>29</v>
      </c>
      <c r="G20" s="17" t="s">
        <v>30</v>
      </c>
      <c r="H20" s="18">
        <f>ROUND(RAND()*4+6,1)</f>
      </c>
      <c r="I20" s="17" t="s">
        <v>31</v>
      </c>
      <c r="J20" s="19">
        <f>ROUND(100*1,0)&amp;"%"</f>
      </c>
    </row>
    <row x14ac:dyDescent="0.25" r="21" customHeight="1" ht="17.25">
      <c r="A21" s="20" t="s">
        <v>11165</v>
      </c>
      <c r="B21" s="20" t="s">
        <v>62</v>
      </c>
      <c r="C21" s="20" t="s">
        <v>56</v>
      </c>
      <c r="D21" s="20" t="s">
        <v>34</v>
      </c>
      <c r="E21" s="21">
        <f>ROUND(9961*1.05,2)</f>
      </c>
      <c r="F21" s="20" t="s">
        <v>35</v>
      </c>
      <c r="G21" s="20" t="s">
        <v>18</v>
      </c>
      <c r="H21" s="21">
        <f>ROUND(RAND()*4+6,1)</f>
      </c>
      <c r="I21" s="20" t="s">
        <v>36</v>
      </c>
      <c r="J21" s="23">
        <f>ROUND(80*1,0)&amp;"%"</f>
      </c>
    </row>
    <row x14ac:dyDescent="0.25" r="22" customHeight="1" ht="17.25">
      <c r="A22" s="17" t="s">
        <v>11166</v>
      </c>
      <c r="B22" s="17" t="s">
        <v>64</v>
      </c>
      <c r="C22" s="17" t="s">
        <v>56</v>
      </c>
      <c r="D22" s="17" t="s">
        <v>39</v>
      </c>
      <c r="E22" s="18">
        <f>ROUND(9763*1.05,2)</f>
      </c>
      <c r="F22" s="17" t="s">
        <v>40</v>
      </c>
      <c r="G22" s="17" t="s">
        <v>24</v>
      </c>
      <c r="H22" s="18">
        <f>ROUND(RAND()*4+6,1)</f>
      </c>
      <c r="I22" s="17" t="s">
        <v>41</v>
      </c>
      <c r="J22" s="19">
        <f>ROUND(65*1,0)&amp;"%"</f>
      </c>
    </row>
    <row x14ac:dyDescent="0.25" r="23" customHeight="1" ht="17.25">
      <c r="A23" s="20" t="s">
        <v>11167</v>
      </c>
      <c r="B23" s="20" t="s">
        <v>66</v>
      </c>
      <c r="C23" s="20" t="s">
        <v>56</v>
      </c>
      <c r="D23" s="20" t="s">
        <v>67</v>
      </c>
      <c r="E23" s="21">
        <f>ROUND(5168*1.05,2)</f>
      </c>
      <c r="F23" s="20" t="s">
        <v>44</v>
      </c>
      <c r="G23" s="20" t="s">
        <v>30</v>
      </c>
      <c r="H23" s="21">
        <f>ROUND(RAND()*4+6,1)</f>
      </c>
      <c r="I23" s="20" t="s">
        <v>45</v>
      </c>
      <c r="J23" s="23">
        <f>ROUND(91*1,0)&amp;"%"</f>
      </c>
    </row>
    <row x14ac:dyDescent="0.25" r="24" customHeight="1" ht="17.25">
      <c r="A24" s="17" t="s">
        <v>11168</v>
      </c>
      <c r="B24" s="17" t="s">
        <v>69</v>
      </c>
      <c r="C24" s="17" t="s">
        <v>56</v>
      </c>
      <c r="D24" s="17" t="s">
        <v>16</v>
      </c>
      <c r="E24" s="18">
        <f>ROUND(11503*1.05,2)</f>
      </c>
      <c r="F24" s="17" t="s">
        <v>48</v>
      </c>
      <c r="G24" s="17" t="s">
        <v>18</v>
      </c>
      <c r="H24" s="18">
        <f>ROUND(RAND()*4+6,1)</f>
      </c>
      <c r="I24" s="17" t="s">
        <v>19</v>
      </c>
      <c r="J24" s="19">
        <f>ROUND(89*1,0)&amp;"%"</f>
      </c>
    </row>
    <row x14ac:dyDescent="0.25" r="25" customHeight="1" ht="17.25">
      <c r="A25" s="20" t="s">
        <v>11169</v>
      </c>
      <c r="B25" s="20" t="s">
        <v>71</v>
      </c>
      <c r="C25" s="20" t="s">
        <v>56</v>
      </c>
      <c r="D25" s="20" t="s">
        <v>22</v>
      </c>
      <c r="E25" s="22">
        <f>ROUND(4880*1.05,2)</f>
      </c>
      <c r="F25" s="20" t="s">
        <v>51</v>
      </c>
      <c r="G25" s="20" t="s">
        <v>24</v>
      </c>
      <c r="H25" s="21">
        <f>ROUND(RAND()*4+6,1)</f>
      </c>
      <c r="I25" s="20" t="s">
        <v>25</v>
      </c>
      <c r="J25" s="23">
        <f>ROUND(62*1,0)&amp;"%"</f>
      </c>
    </row>
    <row x14ac:dyDescent="0.25" r="26" customHeight="1" ht="17.25">
      <c r="A26" s="24" t="s">
        <v>72</v>
      </c>
      <c r="B26" s="24"/>
      <c r="C26" s="24"/>
      <c r="D26" s="24"/>
      <c r="E26" s="25">
        <v>8</v>
      </c>
      <c r="F26" s="9"/>
      <c r="G26" s="9"/>
      <c r="H26" s="10"/>
      <c r="I26" s="9"/>
      <c r="J26" s="9"/>
    </row>
    <row x14ac:dyDescent="0.25" r="27" customHeight="1" ht="17.25">
      <c r="A27" s="7"/>
      <c r="B27" s="7"/>
      <c r="C27" s="7"/>
      <c r="D27" s="7"/>
      <c r="E27" s="8"/>
      <c r="F27" s="9"/>
      <c r="G27" s="9"/>
      <c r="H27" s="10"/>
      <c r="I27" s="9"/>
      <c r="J27" s="9"/>
    </row>
    <row x14ac:dyDescent="0.25" r="28" customHeight="1" ht="17.25">
      <c r="A28" s="11" t="s">
        <v>11170</v>
      </c>
      <c r="B28" s="11"/>
      <c r="C28" s="11"/>
      <c r="D28" s="11"/>
      <c r="E28" s="12"/>
      <c r="F28" s="11"/>
      <c r="G28" s="11"/>
      <c r="H28" s="13"/>
      <c r="I28" s="11"/>
      <c r="J28" s="11"/>
    </row>
    <row x14ac:dyDescent="0.25" r="29" customHeight="1" ht="17.25">
      <c r="A29" s="14" t="s">
        <v>3</v>
      </c>
      <c r="B29" s="14" t="s">
        <v>4</v>
      </c>
      <c r="C29" s="14" t="s">
        <v>5</v>
      </c>
      <c r="D29" s="14" t="s">
        <v>6</v>
      </c>
      <c r="E29" s="15" t="s">
        <v>7</v>
      </c>
      <c r="F29" s="14" t="s">
        <v>8</v>
      </c>
      <c r="G29" s="14" t="s">
        <v>9</v>
      </c>
      <c r="H29" s="16" t="s">
        <v>10</v>
      </c>
      <c r="I29" s="14" t="s">
        <v>11</v>
      </c>
      <c r="J29" s="14" t="s">
        <v>12</v>
      </c>
    </row>
    <row x14ac:dyDescent="0.25" r="30" customHeight="1" ht="17.25">
      <c r="A30" s="17" t="s">
        <v>11171</v>
      </c>
      <c r="B30" s="17" t="s">
        <v>75</v>
      </c>
      <c r="C30" s="17" t="s">
        <v>76</v>
      </c>
      <c r="D30" s="17" t="s">
        <v>16</v>
      </c>
      <c r="E30" s="18">
        <f>ROUND(17130*1.05,2)</f>
      </c>
      <c r="F30" s="17" t="s">
        <v>17</v>
      </c>
      <c r="G30" s="17" t="s">
        <v>18</v>
      </c>
      <c r="H30" s="18">
        <f>ROUND(RAND()*4+6,1)</f>
      </c>
      <c r="I30" s="17" t="s">
        <v>19</v>
      </c>
      <c r="J30" s="19">
        <f>ROUND(75*1,0)&amp;"%"</f>
      </c>
    </row>
    <row x14ac:dyDescent="0.25" r="31" customHeight="1" ht="17.25">
      <c r="A31" s="20" t="s">
        <v>11172</v>
      </c>
      <c r="B31" s="20" t="s">
        <v>78</v>
      </c>
      <c r="C31" s="20" t="s">
        <v>76</v>
      </c>
      <c r="D31" s="20" t="s">
        <v>22</v>
      </c>
      <c r="E31" s="21">
        <f>ROUND(5399*1.05,2)</f>
      </c>
      <c r="F31" s="20" t="s">
        <v>23</v>
      </c>
      <c r="G31" s="20" t="s">
        <v>24</v>
      </c>
      <c r="H31" s="22">
        <f>ROUND(RAND()*4+6,1)</f>
      </c>
      <c r="I31" s="20" t="s">
        <v>25</v>
      </c>
      <c r="J31" s="23">
        <f>ROUND(83*1,0)&amp;"%"</f>
      </c>
    </row>
    <row x14ac:dyDescent="0.25" r="32" customHeight="1" ht="17.25">
      <c r="A32" s="17" t="s">
        <v>11173</v>
      </c>
      <c r="B32" s="17" t="s">
        <v>80</v>
      </c>
      <c r="C32" s="17" t="s">
        <v>76</v>
      </c>
      <c r="D32" s="17" t="s">
        <v>28</v>
      </c>
      <c r="E32" s="18">
        <f>ROUND(15339*1.05,2)</f>
      </c>
      <c r="F32" s="17" t="s">
        <v>29</v>
      </c>
      <c r="G32" s="17" t="s">
        <v>30</v>
      </c>
      <c r="H32" s="18">
        <f>ROUND(RAND()*4+6,1)</f>
      </c>
      <c r="I32" s="17" t="s">
        <v>31</v>
      </c>
      <c r="J32" s="19">
        <f>ROUND(79*1,0)&amp;"%"</f>
      </c>
    </row>
    <row x14ac:dyDescent="0.25" r="33" customHeight="1" ht="17.25">
      <c r="A33" s="20" t="s">
        <v>11174</v>
      </c>
      <c r="B33" s="20" t="s">
        <v>82</v>
      </c>
      <c r="C33" s="20" t="s">
        <v>76</v>
      </c>
      <c r="D33" s="20" t="s">
        <v>34</v>
      </c>
      <c r="E33" s="21">
        <f>ROUND(10365*1.05,2)</f>
      </c>
      <c r="F33" s="20" t="s">
        <v>35</v>
      </c>
      <c r="G33" s="20" t="s">
        <v>18</v>
      </c>
      <c r="H33" s="21">
        <f>ROUND(RAND()*4+6,1)</f>
      </c>
      <c r="I33" s="20" t="s">
        <v>36</v>
      </c>
      <c r="J33" s="23">
        <f>ROUND(97*1,0)&amp;"%"</f>
      </c>
    </row>
    <row x14ac:dyDescent="0.25" r="34" customHeight="1" ht="17.25">
      <c r="A34" s="17" t="s">
        <v>11175</v>
      </c>
      <c r="B34" s="17" t="s">
        <v>84</v>
      </c>
      <c r="C34" s="17" t="s">
        <v>76</v>
      </c>
      <c r="D34" s="17" t="s">
        <v>39</v>
      </c>
      <c r="E34" s="18">
        <f>ROUND(15970*1.05,2)</f>
      </c>
      <c r="F34" s="17" t="s">
        <v>40</v>
      </c>
      <c r="G34" s="17" t="s">
        <v>24</v>
      </c>
      <c r="H34" s="18">
        <f>ROUND(RAND()*4+6,1)</f>
      </c>
      <c r="I34" s="17" t="s">
        <v>41</v>
      </c>
      <c r="J34" s="19">
        <f>ROUND(72*1,0)&amp;"%"</f>
      </c>
    </row>
    <row x14ac:dyDescent="0.25" r="35" customHeight="1" ht="17.25">
      <c r="A35" s="20" t="s">
        <v>11176</v>
      </c>
      <c r="B35" s="20" t="s">
        <v>86</v>
      </c>
      <c r="C35" s="20" t="s">
        <v>76</v>
      </c>
      <c r="D35" s="20" t="s">
        <v>67</v>
      </c>
      <c r="E35" s="21">
        <f>ROUND(16307*1.05,2)</f>
      </c>
      <c r="F35" s="20" t="s">
        <v>44</v>
      </c>
      <c r="G35" s="20" t="s">
        <v>30</v>
      </c>
      <c r="H35" s="21">
        <f>ROUND(RAND()*4+6,1)</f>
      </c>
      <c r="I35" s="20" t="s">
        <v>45</v>
      </c>
      <c r="J35" s="23">
        <f>ROUND(63*1,0)&amp;"%"</f>
      </c>
    </row>
    <row x14ac:dyDescent="0.25" r="36" customHeight="1" ht="17.25">
      <c r="A36" s="17" t="s">
        <v>11177</v>
      </c>
      <c r="B36" s="17" t="s">
        <v>88</v>
      </c>
      <c r="C36" s="17" t="s">
        <v>76</v>
      </c>
      <c r="D36" s="17" t="s">
        <v>16</v>
      </c>
      <c r="E36" s="18">
        <f>ROUND(7082*1.05,2)</f>
      </c>
      <c r="F36" s="17" t="s">
        <v>48</v>
      </c>
      <c r="G36" s="17" t="s">
        <v>18</v>
      </c>
      <c r="H36" s="18">
        <f>ROUND(RAND()*4+6,1)</f>
      </c>
      <c r="I36" s="17" t="s">
        <v>19</v>
      </c>
      <c r="J36" s="19">
        <f>ROUND(80*1,0)&amp;"%"</f>
      </c>
    </row>
    <row x14ac:dyDescent="0.25" r="37" customHeight="1" ht="17.25">
      <c r="A37" s="20" t="s">
        <v>11178</v>
      </c>
      <c r="B37" s="20" t="s">
        <v>90</v>
      </c>
      <c r="C37" s="20" t="s">
        <v>76</v>
      </c>
      <c r="D37" s="20" t="s">
        <v>22</v>
      </c>
      <c r="E37" s="21">
        <f>ROUND(10578*1.05,2)</f>
      </c>
      <c r="F37" s="20" t="s">
        <v>51</v>
      </c>
      <c r="G37" s="20" t="s">
        <v>24</v>
      </c>
      <c r="H37" s="21">
        <f>ROUND(RAND()*4+6,1)</f>
      </c>
      <c r="I37" s="20" t="s">
        <v>25</v>
      </c>
      <c r="J37" s="23">
        <f>ROUND(78*1,0)&amp;"%"</f>
      </c>
    </row>
    <row x14ac:dyDescent="0.25" r="38" customHeight="1" ht="17.25">
      <c r="A38" s="24" t="s">
        <v>91</v>
      </c>
      <c r="B38" s="24"/>
      <c r="C38" s="24"/>
      <c r="D38" s="24"/>
      <c r="E38" s="25">
        <v>8</v>
      </c>
      <c r="F38" s="9"/>
      <c r="G38" s="9"/>
      <c r="H38" s="10"/>
      <c r="I38" s="9"/>
      <c r="J38" s="9"/>
    </row>
    <row x14ac:dyDescent="0.25" r="39" customHeight="1" ht="17.25">
      <c r="A39" s="7"/>
      <c r="B39" s="7"/>
      <c r="C39" s="7"/>
      <c r="D39" s="7"/>
      <c r="E39" s="8"/>
      <c r="F39" s="9"/>
      <c r="G39" s="9"/>
      <c r="H39" s="10"/>
      <c r="I39" s="9"/>
      <c r="J39" s="9"/>
    </row>
    <row x14ac:dyDescent="0.25" r="40" customHeight="1" ht="17.25">
      <c r="A40" s="11" t="s">
        <v>11179</v>
      </c>
      <c r="B40" s="11"/>
      <c r="C40" s="11"/>
      <c r="D40" s="11"/>
      <c r="E40" s="12"/>
      <c r="F40" s="11"/>
      <c r="G40" s="11"/>
      <c r="H40" s="13"/>
      <c r="I40" s="11"/>
      <c r="J40" s="11"/>
    </row>
    <row x14ac:dyDescent="0.25" r="41" customHeight="1" ht="17.25">
      <c r="A41" s="14" t="s">
        <v>3</v>
      </c>
      <c r="B41" s="14" t="s">
        <v>4</v>
      </c>
      <c r="C41" s="14" t="s">
        <v>5</v>
      </c>
      <c r="D41" s="14" t="s">
        <v>6</v>
      </c>
      <c r="E41" s="15" t="s">
        <v>7</v>
      </c>
      <c r="F41" s="14" t="s">
        <v>8</v>
      </c>
      <c r="G41" s="14" t="s">
        <v>9</v>
      </c>
      <c r="H41" s="16" t="s">
        <v>10</v>
      </c>
      <c r="I41" s="14" t="s">
        <v>11</v>
      </c>
      <c r="J41" s="14" t="s">
        <v>12</v>
      </c>
    </row>
    <row x14ac:dyDescent="0.25" r="42" customHeight="1" ht="17.25">
      <c r="A42" s="17" t="s">
        <v>11180</v>
      </c>
      <c r="B42" s="17" t="s">
        <v>94</v>
      </c>
      <c r="C42" s="17" t="s">
        <v>95</v>
      </c>
      <c r="D42" s="17" t="s">
        <v>16</v>
      </c>
      <c r="E42" s="18">
        <f>ROUND(14588*1.05,2)</f>
      </c>
      <c r="F42" s="17" t="s">
        <v>17</v>
      </c>
      <c r="G42" s="17" t="s">
        <v>18</v>
      </c>
      <c r="H42" s="18">
        <f>ROUND(RAND()*4+6,1)</f>
      </c>
      <c r="I42" s="17" t="s">
        <v>19</v>
      </c>
      <c r="J42" s="19">
        <f>ROUND(100*1,0)&amp;"%"</f>
      </c>
    </row>
    <row x14ac:dyDescent="0.25" r="43" customHeight="1" ht="17.25">
      <c r="A43" s="20" t="s">
        <v>11181</v>
      </c>
      <c r="B43" s="20" t="s">
        <v>97</v>
      </c>
      <c r="C43" s="20" t="s">
        <v>95</v>
      </c>
      <c r="D43" s="20" t="s">
        <v>22</v>
      </c>
      <c r="E43" s="21">
        <f>ROUND(9414*1.05,2)</f>
      </c>
      <c r="F43" s="20" t="s">
        <v>23</v>
      </c>
      <c r="G43" s="20" t="s">
        <v>24</v>
      </c>
      <c r="H43" s="21">
        <f>ROUND(RAND()*4+6,1)</f>
      </c>
      <c r="I43" s="20" t="s">
        <v>25</v>
      </c>
      <c r="J43" s="23">
        <f>ROUND(75*1,0)&amp;"%"</f>
      </c>
    </row>
    <row x14ac:dyDescent="0.25" r="44" customHeight="1" ht="17.25">
      <c r="A44" s="17" t="s">
        <v>11182</v>
      </c>
      <c r="B44" s="17" t="s">
        <v>99</v>
      </c>
      <c r="C44" s="17" t="s">
        <v>95</v>
      </c>
      <c r="D44" s="17" t="s">
        <v>28</v>
      </c>
      <c r="E44" s="18">
        <f>ROUND(14989*1.05,2)</f>
      </c>
      <c r="F44" s="17" t="s">
        <v>29</v>
      </c>
      <c r="G44" s="17" t="s">
        <v>30</v>
      </c>
      <c r="H44" s="18">
        <f>ROUND(RAND()*4+6,1)</f>
      </c>
      <c r="I44" s="17" t="s">
        <v>31</v>
      </c>
      <c r="J44" s="19">
        <f>ROUND(78*1,0)&amp;"%"</f>
      </c>
    </row>
    <row x14ac:dyDescent="0.25" r="45" customHeight="1" ht="17.25">
      <c r="A45" s="20" t="s">
        <v>11183</v>
      </c>
      <c r="B45" s="20" t="s">
        <v>101</v>
      </c>
      <c r="C45" s="20" t="s">
        <v>95</v>
      </c>
      <c r="D45" s="20" t="s">
        <v>34</v>
      </c>
      <c r="E45" s="21">
        <f>ROUND(6651*1.05,2)</f>
      </c>
      <c r="F45" s="20" t="s">
        <v>35</v>
      </c>
      <c r="G45" s="20" t="s">
        <v>18</v>
      </c>
      <c r="H45" s="21">
        <f>ROUND(RAND()*4+6,1)</f>
      </c>
      <c r="I45" s="20" t="s">
        <v>36</v>
      </c>
      <c r="J45" s="23">
        <f>ROUND(69*1,0)&amp;"%"</f>
      </c>
    </row>
    <row x14ac:dyDescent="0.25" r="46" customHeight="1" ht="17.25">
      <c r="A46" s="17" t="s">
        <v>11184</v>
      </c>
      <c r="B46" s="17" t="s">
        <v>103</v>
      </c>
      <c r="C46" s="17" t="s">
        <v>95</v>
      </c>
      <c r="D46" s="17" t="s">
        <v>39</v>
      </c>
      <c r="E46" s="18">
        <f>ROUND(16846*1.05,2)</f>
      </c>
      <c r="F46" s="17" t="s">
        <v>40</v>
      </c>
      <c r="G46" s="17" t="s">
        <v>24</v>
      </c>
      <c r="H46" s="18">
        <f>ROUND(RAND()*4+6,1)</f>
      </c>
      <c r="I46" s="17" t="s">
        <v>41</v>
      </c>
      <c r="J46" s="19">
        <f>ROUND(75*1,0)&amp;"%"</f>
      </c>
    </row>
    <row x14ac:dyDescent="0.25" r="47" customHeight="1" ht="17.25">
      <c r="A47" s="20" t="s">
        <v>11185</v>
      </c>
      <c r="B47" s="20" t="s">
        <v>105</v>
      </c>
      <c r="C47" s="20" t="s">
        <v>95</v>
      </c>
      <c r="D47" s="20" t="s">
        <v>67</v>
      </c>
      <c r="E47" s="21">
        <f>ROUND(7446*1.05,2)</f>
      </c>
      <c r="F47" s="20" t="s">
        <v>44</v>
      </c>
      <c r="G47" s="20" t="s">
        <v>30</v>
      </c>
      <c r="H47" s="21">
        <f>ROUND(RAND()*4+6,1)</f>
      </c>
      <c r="I47" s="20" t="s">
        <v>45</v>
      </c>
      <c r="J47" s="23">
        <f>ROUND(90*1,0)&amp;"%"</f>
      </c>
    </row>
    <row x14ac:dyDescent="0.25" r="48" customHeight="1" ht="17.25">
      <c r="A48" s="17" t="s">
        <v>11186</v>
      </c>
      <c r="B48" s="17" t="s">
        <v>107</v>
      </c>
      <c r="C48" s="17" t="s">
        <v>95</v>
      </c>
      <c r="D48" s="17" t="s">
        <v>16</v>
      </c>
      <c r="E48" s="18">
        <f>ROUND(14654*1.05,2)</f>
      </c>
      <c r="F48" s="17" t="s">
        <v>48</v>
      </c>
      <c r="G48" s="17" t="s">
        <v>18</v>
      </c>
      <c r="H48" s="18">
        <f>ROUND(RAND()*4+6,1)</f>
      </c>
      <c r="I48" s="17" t="s">
        <v>19</v>
      </c>
      <c r="J48" s="19">
        <f>ROUND(60*1,0)&amp;"%"</f>
      </c>
    </row>
    <row x14ac:dyDescent="0.25" r="49" customHeight="1" ht="17.25">
      <c r="A49" s="20" t="s">
        <v>11187</v>
      </c>
      <c r="B49" s="20" t="s">
        <v>109</v>
      </c>
      <c r="C49" s="20" t="s">
        <v>95</v>
      </c>
      <c r="D49" s="20" t="s">
        <v>22</v>
      </c>
      <c r="E49" s="21">
        <f>ROUND(9522*1.05,2)</f>
      </c>
      <c r="F49" s="20" t="s">
        <v>51</v>
      </c>
      <c r="G49" s="20" t="s">
        <v>24</v>
      </c>
      <c r="H49" s="21">
        <f>ROUND(RAND()*4+6,1)</f>
      </c>
      <c r="I49" s="20" t="s">
        <v>25</v>
      </c>
      <c r="J49" s="23">
        <f>ROUND(92*1,0)&amp;"%"</f>
      </c>
    </row>
    <row x14ac:dyDescent="0.25" r="50" customHeight="1" ht="17.25">
      <c r="A50" s="24" t="s">
        <v>110</v>
      </c>
      <c r="B50" s="24"/>
      <c r="C50" s="24"/>
      <c r="D50" s="24"/>
      <c r="E50" s="25">
        <v>8</v>
      </c>
      <c r="F50" s="9"/>
      <c r="G50" s="9"/>
      <c r="H50" s="10"/>
      <c r="I50" s="9"/>
      <c r="J50" s="9"/>
    </row>
    <row x14ac:dyDescent="0.25" r="51" customHeight="1" ht="17.25">
      <c r="A51" s="7"/>
      <c r="B51" s="7"/>
      <c r="C51" s="7"/>
      <c r="D51" s="7"/>
      <c r="E51" s="8"/>
      <c r="F51" s="9"/>
      <c r="G51" s="9"/>
      <c r="H51" s="10"/>
      <c r="I51" s="9"/>
      <c r="J51" s="9"/>
    </row>
    <row x14ac:dyDescent="0.25" r="52" customHeight="1" ht="17.25">
      <c r="A52" s="11" t="s">
        <v>11188</v>
      </c>
      <c r="B52" s="11"/>
      <c r="C52" s="11"/>
      <c r="D52" s="11"/>
      <c r="E52" s="12"/>
      <c r="F52" s="11"/>
      <c r="G52" s="11"/>
      <c r="H52" s="13"/>
      <c r="I52" s="11"/>
      <c r="J52" s="11"/>
    </row>
    <row x14ac:dyDescent="0.25" r="53" customHeight="1" ht="17.25">
      <c r="A53" s="14" t="s">
        <v>3</v>
      </c>
      <c r="B53" s="14" t="s">
        <v>4</v>
      </c>
      <c r="C53" s="14" t="s">
        <v>5</v>
      </c>
      <c r="D53" s="14" t="s">
        <v>6</v>
      </c>
      <c r="E53" s="15" t="s">
        <v>7</v>
      </c>
      <c r="F53" s="14" t="s">
        <v>8</v>
      </c>
      <c r="G53" s="14" t="s">
        <v>9</v>
      </c>
      <c r="H53" s="16" t="s">
        <v>10</v>
      </c>
      <c r="I53" s="14" t="s">
        <v>11</v>
      </c>
      <c r="J53" s="14" t="s">
        <v>12</v>
      </c>
    </row>
    <row x14ac:dyDescent="0.25" r="54" customHeight="1" ht="17.25">
      <c r="A54" s="17" t="s">
        <v>11189</v>
      </c>
      <c r="B54" s="17" t="s">
        <v>113</v>
      </c>
      <c r="C54" s="17" t="s">
        <v>114</v>
      </c>
      <c r="D54" s="17" t="s">
        <v>16</v>
      </c>
      <c r="E54" s="18">
        <f>ROUND(14199*1.05,2)</f>
      </c>
      <c r="F54" s="17" t="s">
        <v>17</v>
      </c>
      <c r="G54" s="17" t="s">
        <v>18</v>
      </c>
      <c r="H54" s="18">
        <f>ROUND(RAND()*4+6,1)</f>
      </c>
      <c r="I54" s="17" t="s">
        <v>19</v>
      </c>
      <c r="J54" s="19">
        <f>ROUND(88*1,0)&amp;"%"</f>
      </c>
    </row>
    <row x14ac:dyDescent="0.25" r="55" customHeight="1" ht="17.25">
      <c r="A55" s="20" t="s">
        <v>11190</v>
      </c>
      <c r="B55" s="20" t="s">
        <v>116</v>
      </c>
      <c r="C55" s="20" t="s">
        <v>114</v>
      </c>
      <c r="D55" s="20" t="s">
        <v>22</v>
      </c>
      <c r="E55" s="21">
        <f>ROUND(17249*1.05,2)</f>
      </c>
      <c r="F55" s="20" t="s">
        <v>23</v>
      </c>
      <c r="G55" s="20" t="s">
        <v>24</v>
      </c>
      <c r="H55" s="21">
        <f>ROUND(RAND()*4+6,1)</f>
      </c>
      <c r="I55" s="20" t="s">
        <v>25</v>
      </c>
      <c r="J55" s="23">
        <f>ROUND(91*1,0)&amp;"%"</f>
      </c>
    </row>
    <row x14ac:dyDescent="0.25" r="56" customHeight="1" ht="17.25">
      <c r="A56" s="17" t="s">
        <v>11191</v>
      </c>
      <c r="B56" s="17" t="s">
        <v>118</v>
      </c>
      <c r="C56" s="17" t="s">
        <v>114</v>
      </c>
      <c r="D56" s="17" t="s">
        <v>28</v>
      </c>
      <c r="E56" s="18">
        <f>ROUND(6422*1.05,2)</f>
      </c>
      <c r="F56" s="17" t="s">
        <v>29</v>
      </c>
      <c r="G56" s="17" t="s">
        <v>30</v>
      </c>
      <c r="H56" s="26">
        <f>ROUND(RAND()*4+6,1)</f>
      </c>
      <c r="I56" s="17" t="s">
        <v>31</v>
      </c>
      <c r="J56" s="19">
        <f>ROUND(68*1,0)&amp;"%"</f>
      </c>
    </row>
    <row x14ac:dyDescent="0.25" r="57" customHeight="1" ht="17.25">
      <c r="A57" s="20" t="s">
        <v>11192</v>
      </c>
      <c r="B57" s="20" t="s">
        <v>120</v>
      </c>
      <c r="C57" s="20" t="s">
        <v>114</v>
      </c>
      <c r="D57" s="20" t="s">
        <v>34</v>
      </c>
      <c r="E57" s="21">
        <f>ROUND(12130*1.05,2)</f>
      </c>
      <c r="F57" s="20" t="s">
        <v>35</v>
      </c>
      <c r="G57" s="20" t="s">
        <v>18</v>
      </c>
      <c r="H57" s="21">
        <f>ROUND(RAND()*4+6,1)</f>
      </c>
      <c r="I57" s="20" t="s">
        <v>36</v>
      </c>
      <c r="J57" s="23">
        <f>ROUND(67*1,0)&amp;"%"</f>
      </c>
    </row>
    <row x14ac:dyDescent="0.25" r="58" customHeight="1" ht="17.25">
      <c r="A58" s="17" t="s">
        <v>11193</v>
      </c>
      <c r="B58" s="17" t="s">
        <v>122</v>
      </c>
      <c r="C58" s="17" t="s">
        <v>114</v>
      </c>
      <c r="D58" s="17" t="s">
        <v>39</v>
      </c>
      <c r="E58" s="18">
        <f>ROUND(7608*1.05,2)</f>
      </c>
      <c r="F58" s="17" t="s">
        <v>40</v>
      </c>
      <c r="G58" s="17" t="s">
        <v>24</v>
      </c>
      <c r="H58" s="18">
        <f>ROUND(RAND()*4+6,1)</f>
      </c>
      <c r="I58" s="17" t="s">
        <v>41</v>
      </c>
      <c r="J58" s="19">
        <f>ROUND(75*1,0)&amp;"%"</f>
      </c>
    </row>
    <row x14ac:dyDescent="0.25" r="59" customHeight="1" ht="17.25">
      <c r="A59" s="20" t="s">
        <v>11194</v>
      </c>
      <c r="B59" s="20" t="s">
        <v>124</v>
      </c>
      <c r="C59" s="20" t="s">
        <v>114</v>
      </c>
      <c r="D59" s="20" t="s">
        <v>67</v>
      </c>
      <c r="E59" s="21">
        <f>ROUND(5215*1.05,2)</f>
      </c>
      <c r="F59" s="20" t="s">
        <v>44</v>
      </c>
      <c r="G59" s="20" t="s">
        <v>30</v>
      </c>
      <c r="H59" s="21">
        <f>ROUND(RAND()*4+6,1)</f>
      </c>
      <c r="I59" s="20" t="s">
        <v>45</v>
      </c>
      <c r="J59" s="23">
        <f>ROUND(100*1,0)&amp;"%"</f>
      </c>
    </row>
    <row x14ac:dyDescent="0.25" r="60" customHeight="1" ht="17.25">
      <c r="A60" s="17" t="s">
        <v>11195</v>
      </c>
      <c r="B60" s="17" t="s">
        <v>126</v>
      </c>
      <c r="C60" s="17" t="s">
        <v>114</v>
      </c>
      <c r="D60" s="17" t="s">
        <v>16</v>
      </c>
      <c r="E60" s="18">
        <f>ROUND(8288*1.05,2)</f>
      </c>
      <c r="F60" s="17" t="s">
        <v>48</v>
      </c>
      <c r="G60" s="17" t="s">
        <v>18</v>
      </c>
      <c r="H60" s="18">
        <f>ROUND(RAND()*4+6,1)</f>
      </c>
      <c r="I60" s="17" t="s">
        <v>19</v>
      </c>
      <c r="J60" s="19">
        <f>ROUND(64*1,0)&amp;"%"</f>
      </c>
    </row>
    <row x14ac:dyDescent="0.25" r="61" customHeight="1" ht="17.25">
      <c r="A61" s="20" t="s">
        <v>11196</v>
      </c>
      <c r="B61" s="20" t="s">
        <v>128</v>
      </c>
      <c r="C61" s="20" t="s">
        <v>114</v>
      </c>
      <c r="D61" s="20" t="s">
        <v>22</v>
      </c>
      <c r="E61" s="21">
        <f>ROUND(8587*1.05,2)</f>
      </c>
      <c r="F61" s="20" t="s">
        <v>51</v>
      </c>
      <c r="G61" s="20" t="s">
        <v>24</v>
      </c>
      <c r="H61" s="21">
        <f>ROUND(RAND()*4+6,1)</f>
      </c>
      <c r="I61" s="20" t="s">
        <v>25</v>
      </c>
      <c r="J61" s="23">
        <f>ROUND(73*1,0)&amp;"%"</f>
      </c>
    </row>
    <row x14ac:dyDescent="0.25" r="62" customHeight="1" ht="17.25">
      <c r="A62" s="24" t="s">
        <v>129</v>
      </c>
      <c r="B62" s="24"/>
      <c r="C62" s="24"/>
      <c r="D62" s="24"/>
      <c r="E62" s="25">
        <v>8</v>
      </c>
      <c r="F62" s="9"/>
      <c r="G62" s="9"/>
      <c r="H62" s="10"/>
      <c r="I62" s="9"/>
      <c r="J62" s="9"/>
    </row>
    <row x14ac:dyDescent="0.25" r="63" customHeight="1" ht="17.25">
      <c r="A63" s="7"/>
      <c r="B63" s="7"/>
      <c r="C63" s="7"/>
      <c r="D63" s="7"/>
      <c r="E63" s="8"/>
      <c r="F63" s="9"/>
      <c r="G63" s="9"/>
      <c r="H63" s="10"/>
      <c r="I63" s="9"/>
      <c r="J63" s="9"/>
    </row>
    <row x14ac:dyDescent="0.25" r="64" customHeight="1" ht="17.25">
      <c r="A64" s="11" t="s">
        <v>11197</v>
      </c>
      <c r="B64" s="11"/>
      <c r="C64" s="11"/>
      <c r="D64" s="11"/>
      <c r="E64" s="12"/>
      <c r="F64" s="11"/>
      <c r="G64" s="11"/>
      <c r="H64" s="13"/>
      <c r="I64" s="11"/>
      <c r="J64" s="11"/>
    </row>
    <row x14ac:dyDescent="0.25" r="65" customHeight="1" ht="17.25">
      <c r="A65" s="14" t="s">
        <v>3</v>
      </c>
      <c r="B65" s="14" t="s">
        <v>4</v>
      </c>
      <c r="C65" s="14" t="s">
        <v>5</v>
      </c>
      <c r="D65" s="14" t="s">
        <v>6</v>
      </c>
      <c r="E65" s="15" t="s">
        <v>7</v>
      </c>
      <c r="F65" s="14" t="s">
        <v>8</v>
      </c>
      <c r="G65" s="14" t="s">
        <v>9</v>
      </c>
      <c r="H65" s="16" t="s">
        <v>10</v>
      </c>
      <c r="I65" s="14" t="s">
        <v>11</v>
      </c>
      <c r="J65" s="14" t="s">
        <v>12</v>
      </c>
    </row>
    <row x14ac:dyDescent="0.25" r="66" customHeight="1" ht="17.25">
      <c r="A66" s="17" t="s">
        <v>11198</v>
      </c>
      <c r="B66" s="17" t="s">
        <v>132</v>
      </c>
      <c r="C66" s="17" t="s">
        <v>133</v>
      </c>
      <c r="D66" s="17" t="s">
        <v>16</v>
      </c>
      <c r="E66" s="18">
        <f>ROUND(8139*1.05,2)</f>
      </c>
      <c r="F66" s="17" t="s">
        <v>17</v>
      </c>
      <c r="G66" s="17" t="s">
        <v>18</v>
      </c>
      <c r="H66" s="18">
        <f>ROUND(RAND()*4+6,1)</f>
      </c>
      <c r="I66" s="17" t="s">
        <v>19</v>
      </c>
      <c r="J66" s="19">
        <f>ROUND(79*1,0)&amp;"%"</f>
      </c>
    </row>
    <row x14ac:dyDescent="0.25" r="67" customHeight="1" ht="17.25">
      <c r="A67" s="20" t="s">
        <v>11199</v>
      </c>
      <c r="B67" s="20" t="s">
        <v>135</v>
      </c>
      <c r="C67" s="20" t="s">
        <v>133</v>
      </c>
      <c r="D67" s="20" t="s">
        <v>22</v>
      </c>
      <c r="E67" s="21">
        <f>ROUND(17630*1.05,2)</f>
      </c>
      <c r="F67" s="20" t="s">
        <v>23</v>
      </c>
      <c r="G67" s="20" t="s">
        <v>24</v>
      </c>
      <c r="H67" s="21">
        <f>ROUND(RAND()*4+6,1)</f>
      </c>
      <c r="I67" s="20" t="s">
        <v>25</v>
      </c>
      <c r="J67" s="23">
        <f>ROUND(76*1,0)&amp;"%"</f>
      </c>
    </row>
    <row x14ac:dyDescent="0.25" r="68" customHeight="1" ht="17.25">
      <c r="A68" s="17" t="s">
        <v>11200</v>
      </c>
      <c r="B68" s="17" t="s">
        <v>137</v>
      </c>
      <c r="C68" s="17" t="s">
        <v>133</v>
      </c>
      <c r="D68" s="17" t="s">
        <v>28</v>
      </c>
      <c r="E68" s="18">
        <f>ROUND(15067*1.05,2)</f>
      </c>
      <c r="F68" s="17" t="s">
        <v>29</v>
      </c>
      <c r="G68" s="17" t="s">
        <v>30</v>
      </c>
      <c r="H68" s="18">
        <f>ROUND(RAND()*4+6,1)</f>
      </c>
      <c r="I68" s="17" t="s">
        <v>31</v>
      </c>
      <c r="J68" s="19">
        <f>ROUND(73*1,0)&amp;"%"</f>
      </c>
    </row>
    <row x14ac:dyDescent="0.25" r="69" customHeight="1" ht="17.25">
      <c r="A69" s="20" t="s">
        <v>11201</v>
      </c>
      <c r="B69" s="20" t="s">
        <v>139</v>
      </c>
      <c r="C69" s="20" t="s">
        <v>133</v>
      </c>
      <c r="D69" s="20" t="s">
        <v>34</v>
      </c>
      <c r="E69" s="21">
        <f>ROUND(17668*1.05,2)</f>
      </c>
      <c r="F69" s="20" t="s">
        <v>35</v>
      </c>
      <c r="G69" s="20" t="s">
        <v>18</v>
      </c>
      <c r="H69" s="21">
        <f>ROUND(RAND()*4+6,1)</f>
      </c>
      <c r="I69" s="20" t="s">
        <v>36</v>
      </c>
      <c r="J69" s="23">
        <f>ROUND(71*1,0)&amp;"%"</f>
      </c>
    </row>
    <row x14ac:dyDescent="0.25" r="70" customHeight="1" ht="17.25">
      <c r="A70" s="17" t="s">
        <v>11202</v>
      </c>
      <c r="B70" s="17" t="s">
        <v>141</v>
      </c>
      <c r="C70" s="17" t="s">
        <v>133</v>
      </c>
      <c r="D70" s="17" t="s">
        <v>39</v>
      </c>
      <c r="E70" s="18">
        <f>ROUND(10277*1.05,2)</f>
      </c>
      <c r="F70" s="17" t="s">
        <v>40</v>
      </c>
      <c r="G70" s="17" t="s">
        <v>24</v>
      </c>
      <c r="H70" s="18">
        <f>ROUND(RAND()*4+6,1)</f>
      </c>
      <c r="I70" s="17" t="s">
        <v>41</v>
      </c>
      <c r="J70" s="19">
        <f>ROUND(89*1,0)&amp;"%"</f>
      </c>
    </row>
    <row x14ac:dyDescent="0.25" r="71" customHeight="1" ht="17.25">
      <c r="A71" s="20" t="s">
        <v>11203</v>
      </c>
      <c r="B71" s="20" t="s">
        <v>143</v>
      </c>
      <c r="C71" s="20" t="s">
        <v>133</v>
      </c>
      <c r="D71" s="20" t="s">
        <v>67</v>
      </c>
      <c r="E71" s="21">
        <f>ROUND(5755*1.05,2)</f>
      </c>
      <c r="F71" s="20" t="s">
        <v>44</v>
      </c>
      <c r="G71" s="20" t="s">
        <v>30</v>
      </c>
      <c r="H71" s="21">
        <f>ROUND(RAND()*4+6,1)</f>
      </c>
      <c r="I71" s="20" t="s">
        <v>45</v>
      </c>
      <c r="J71" s="23">
        <f>ROUND(60*1,0)&amp;"%"</f>
      </c>
    </row>
    <row x14ac:dyDescent="0.25" r="72" customHeight="1" ht="17.25">
      <c r="A72" s="17" t="s">
        <v>11204</v>
      </c>
      <c r="B72" s="17" t="s">
        <v>145</v>
      </c>
      <c r="C72" s="17" t="s">
        <v>133</v>
      </c>
      <c r="D72" s="17" t="s">
        <v>16</v>
      </c>
      <c r="E72" s="18">
        <f>ROUND(13702*1.05,2)</f>
      </c>
      <c r="F72" s="17" t="s">
        <v>48</v>
      </c>
      <c r="G72" s="17" t="s">
        <v>18</v>
      </c>
      <c r="H72" s="18">
        <f>ROUND(RAND()*4+6,1)</f>
      </c>
      <c r="I72" s="17" t="s">
        <v>19</v>
      </c>
      <c r="J72" s="19">
        <f>ROUND(77*1,0)&amp;"%"</f>
      </c>
    </row>
    <row x14ac:dyDescent="0.25" r="73" customHeight="1" ht="17.25">
      <c r="A73" s="20" t="s">
        <v>11205</v>
      </c>
      <c r="B73" s="20" t="s">
        <v>147</v>
      </c>
      <c r="C73" s="20" t="s">
        <v>133</v>
      </c>
      <c r="D73" s="20" t="s">
        <v>22</v>
      </c>
      <c r="E73" s="21">
        <f>ROUND(7792*1.05,2)</f>
      </c>
      <c r="F73" s="20" t="s">
        <v>51</v>
      </c>
      <c r="G73" s="20" t="s">
        <v>24</v>
      </c>
      <c r="H73" s="21">
        <f>ROUND(RAND()*4+6,1)</f>
      </c>
      <c r="I73" s="20" t="s">
        <v>25</v>
      </c>
      <c r="J73" s="23">
        <f>ROUND(67*1,0)&amp;"%"</f>
      </c>
    </row>
    <row x14ac:dyDescent="0.25" r="74" customHeight="1" ht="17.25">
      <c r="A74" s="24" t="s">
        <v>148</v>
      </c>
      <c r="B74" s="24"/>
      <c r="C74" s="24"/>
      <c r="D74" s="24"/>
      <c r="E74" s="25">
        <v>8</v>
      </c>
      <c r="F74" s="9"/>
      <c r="G74" s="9"/>
      <c r="H74" s="10"/>
      <c r="I74" s="9"/>
      <c r="J74" s="9"/>
    </row>
    <row x14ac:dyDescent="0.25" r="75" customHeight="1" ht="17.25">
      <c r="A75" s="7"/>
      <c r="B75" s="7"/>
      <c r="C75" s="7"/>
      <c r="D75" s="7"/>
      <c r="E75" s="8"/>
      <c r="F75" s="9"/>
      <c r="G75" s="9"/>
      <c r="H75" s="10"/>
      <c r="I75" s="9"/>
      <c r="J75" s="9"/>
    </row>
    <row x14ac:dyDescent="0.25" r="76" customHeight="1" ht="17.25">
      <c r="A76" s="11" t="s">
        <v>11206</v>
      </c>
      <c r="B76" s="11"/>
      <c r="C76" s="11"/>
      <c r="D76" s="11"/>
      <c r="E76" s="12"/>
      <c r="F76" s="11"/>
      <c r="G76" s="11"/>
      <c r="H76" s="13"/>
      <c r="I76" s="11"/>
      <c r="J76" s="11"/>
    </row>
    <row x14ac:dyDescent="0.25" r="77" customHeight="1" ht="17.25">
      <c r="A77" s="14" t="s">
        <v>3</v>
      </c>
      <c r="B77" s="14" t="s">
        <v>4</v>
      </c>
      <c r="C77" s="14" t="s">
        <v>5</v>
      </c>
      <c r="D77" s="14" t="s">
        <v>6</v>
      </c>
      <c r="E77" s="15" t="s">
        <v>7</v>
      </c>
      <c r="F77" s="14" t="s">
        <v>8</v>
      </c>
      <c r="G77" s="14" t="s">
        <v>9</v>
      </c>
      <c r="H77" s="16" t="s">
        <v>10</v>
      </c>
      <c r="I77" s="14" t="s">
        <v>11</v>
      </c>
      <c r="J77" s="14" t="s">
        <v>12</v>
      </c>
    </row>
    <row x14ac:dyDescent="0.25" r="78" customHeight="1" ht="17.25">
      <c r="A78" s="17" t="s">
        <v>11207</v>
      </c>
      <c r="B78" s="17" t="s">
        <v>151</v>
      </c>
      <c r="C78" s="17" t="s">
        <v>152</v>
      </c>
      <c r="D78" s="17" t="s">
        <v>16</v>
      </c>
      <c r="E78" s="18">
        <f>ROUND(10164*1.05,2)</f>
      </c>
      <c r="F78" s="17" t="s">
        <v>17</v>
      </c>
      <c r="G78" s="17" t="s">
        <v>18</v>
      </c>
      <c r="H78" s="18">
        <f>ROUND(RAND()*4+6,1)</f>
      </c>
      <c r="I78" s="17" t="s">
        <v>19</v>
      </c>
      <c r="J78" s="19">
        <f>ROUND(97*1,0)&amp;"%"</f>
      </c>
    </row>
    <row x14ac:dyDescent="0.25" r="79" customHeight="1" ht="17.25">
      <c r="A79" s="20" t="s">
        <v>11208</v>
      </c>
      <c r="B79" s="20" t="s">
        <v>154</v>
      </c>
      <c r="C79" s="20" t="s">
        <v>152</v>
      </c>
      <c r="D79" s="20" t="s">
        <v>22</v>
      </c>
      <c r="E79" s="21">
        <f>ROUND(10525*1.05,2)</f>
      </c>
      <c r="F79" s="20" t="s">
        <v>23</v>
      </c>
      <c r="G79" s="20" t="s">
        <v>24</v>
      </c>
      <c r="H79" s="21">
        <f>ROUND(RAND()*4+6,1)</f>
      </c>
      <c r="I79" s="20" t="s">
        <v>25</v>
      </c>
      <c r="J79" s="23">
        <f>ROUND(87*1,0)&amp;"%"</f>
      </c>
    </row>
    <row x14ac:dyDescent="0.25" r="80" customHeight="1" ht="17.25">
      <c r="A80" s="17" t="s">
        <v>11209</v>
      </c>
      <c r="B80" s="17" t="s">
        <v>156</v>
      </c>
      <c r="C80" s="17" t="s">
        <v>152</v>
      </c>
      <c r="D80" s="17" t="s">
        <v>28</v>
      </c>
      <c r="E80" s="18">
        <f>ROUND(9178*1.05,2)</f>
      </c>
      <c r="F80" s="17" t="s">
        <v>29</v>
      </c>
      <c r="G80" s="17" t="s">
        <v>30</v>
      </c>
      <c r="H80" s="18">
        <f>ROUND(RAND()*4+6,1)</f>
      </c>
      <c r="I80" s="17" t="s">
        <v>31</v>
      </c>
      <c r="J80" s="19">
        <f>ROUND(96*1,0)&amp;"%"</f>
      </c>
    </row>
    <row x14ac:dyDescent="0.25" r="81" customHeight="1" ht="17.25">
      <c r="A81" s="20" t="s">
        <v>11210</v>
      </c>
      <c r="B81" s="20" t="s">
        <v>158</v>
      </c>
      <c r="C81" s="20" t="s">
        <v>152</v>
      </c>
      <c r="D81" s="20" t="s">
        <v>34</v>
      </c>
      <c r="E81" s="21">
        <f>ROUND(16232*1.05,2)</f>
      </c>
      <c r="F81" s="20" t="s">
        <v>35</v>
      </c>
      <c r="G81" s="20" t="s">
        <v>18</v>
      </c>
      <c r="H81" s="21">
        <f>ROUND(RAND()*4+6,1)</f>
      </c>
      <c r="I81" s="20" t="s">
        <v>36</v>
      </c>
      <c r="J81" s="23">
        <f>ROUND(65*1,0)&amp;"%"</f>
      </c>
    </row>
    <row x14ac:dyDescent="0.25" r="82" customHeight="1" ht="17.25">
      <c r="A82" s="17" t="s">
        <v>11211</v>
      </c>
      <c r="B82" s="17" t="s">
        <v>160</v>
      </c>
      <c r="C82" s="17" t="s">
        <v>152</v>
      </c>
      <c r="D82" s="17" t="s">
        <v>39</v>
      </c>
      <c r="E82" s="18">
        <f>ROUND(5612*1.05,2)</f>
      </c>
      <c r="F82" s="17" t="s">
        <v>40</v>
      </c>
      <c r="G82" s="17" t="s">
        <v>24</v>
      </c>
      <c r="H82" s="18">
        <f>ROUND(RAND()*4+6,1)</f>
      </c>
      <c r="I82" s="17" t="s">
        <v>41</v>
      </c>
      <c r="J82" s="19">
        <f>ROUND(69*1,0)&amp;"%"</f>
      </c>
    </row>
    <row x14ac:dyDescent="0.25" r="83" customHeight="1" ht="17.25">
      <c r="A83" s="20" t="s">
        <v>11212</v>
      </c>
      <c r="B83" s="20" t="s">
        <v>162</v>
      </c>
      <c r="C83" s="20" t="s">
        <v>152</v>
      </c>
      <c r="D83" s="20" t="s">
        <v>67</v>
      </c>
      <c r="E83" s="21">
        <f>ROUND(13683*1.05,2)</f>
      </c>
      <c r="F83" s="20" t="s">
        <v>44</v>
      </c>
      <c r="G83" s="20" t="s">
        <v>30</v>
      </c>
      <c r="H83" s="21">
        <f>ROUND(RAND()*4+6,1)</f>
      </c>
      <c r="I83" s="20" t="s">
        <v>45</v>
      </c>
      <c r="J83" s="23">
        <f>ROUND(100*1,0)&amp;"%"</f>
      </c>
    </row>
    <row x14ac:dyDescent="0.25" r="84" customHeight="1" ht="17.25">
      <c r="A84" s="17" t="s">
        <v>11213</v>
      </c>
      <c r="B84" s="17" t="s">
        <v>164</v>
      </c>
      <c r="C84" s="17" t="s">
        <v>152</v>
      </c>
      <c r="D84" s="17" t="s">
        <v>16</v>
      </c>
      <c r="E84" s="18">
        <f>ROUND(13665*1.05,2)</f>
      </c>
      <c r="F84" s="17" t="s">
        <v>48</v>
      </c>
      <c r="G84" s="17" t="s">
        <v>18</v>
      </c>
      <c r="H84" s="18">
        <f>ROUND(RAND()*4+6,1)</f>
      </c>
      <c r="I84" s="17" t="s">
        <v>19</v>
      </c>
      <c r="J84" s="19">
        <f>ROUND(98*1,0)&amp;"%"</f>
      </c>
    </row>
    <row x14ac:dyDescent="0.25" r="85" customHeight="1" ht="17.25">
      <c r="A85" s="20" t="s">
        <v>11214</v>
      </c>
      <c r="B85" s="20" t="s">
        <v>166</v>
      </c>
      <c r="C85" s="20" t="s">
        <v>152</v>
      </c>
      <c r="D85" s="20" t="s">
        <v>22</v>
      </c>
      <c r="E85" s="21">
        <f>ROUND(16754*1.05,2)</f>
      </c>
      <c r="F85" s="20" t="s">
        <v>51</v>
      </c>
      <c r="G85" s="20" t="s">
        <v>24</v>
      </c>
      <c r="H85" s="21">
        <f>ROUND(RAND()*4+6,1)</f>
      </c>
      <c r="I85" s="20" t="s">
        <v>25</v>
      </c>
      <c r="J85" s="23">
        <f>ROUND(97*1,0)&amp;"%"</f>
      </c>
    </row>
    <row x14ac:dyDescent="0.25" r="86" customHeight="1" ht="17.25">
      <c r="A86" s="24" t="s">
        <v>167</v>
      </c>
      <c r="B86" s="24"/>
      <c r="C86" s="24"/>
      <c r="D86" s="24"/>
      <c r="E86" s="25">
        <v>8</v>
      </c>
      <c r="F86" s="9"/>
      <c r="G86" s="9"/>
      <c r="H86" s="10"/>
      <c r="I86" s="9"/>
      <c r="J86" s="9"/>
    </row>
    <row x14ac:dyDescent="0.25" r="87" customHeight="1" ht="17.25">
      <c r="A87" s="7"/>
      <c r="B87" s="7"/>
      <c r="C87" s="7"/>
      <c r="D87" s="7"/>
      <c r="E87" s="8"/>
      <c r="F87" s="9"/>
      <c r="G87" s="9"/>
      <c r="H87" s="10"/>
      <c r="I87" s="9"/>
      <c r="J87" s="9"/>
    </row>
    <row x14ac:dyDescent="0.25" r="88" customHeight="1" ht="17.25">
      <c r="A88" s="11" t="s">
        <v>11215</v>
      </c>
      <c r="B88" s="11"/>
      <c r="C88" s="11"/>
      <c r="D88" s="11"/>
      <c r="E88" s="12"/>
      <c r="F88" s="11"/>
      <c r="G88" s="11"/>
      <c r="H88" s="13"/>
      <c r="I88" s="11"/>
      <c r="J88" s="11"/>
    </row>
    <row x14ac:dyDescent="0.25" r="89" customHeight="1" ht="17.25">
      <c r="A89" s="14" t="s">
        <v>3</v>
      </c>
      <c r="B89" s="14" t="s">
        <v>4</v>
      </c>
      <c r="C89" s="14" t="s">
        <v>5</v>
      </c>
      <c r="D89" s="14" t="s">
        <v>6</v>
      </c>
      <c r="E89" s="15" t="s">
        <v>7</v>
      </c>
      <c r="F89" s="14" t="s">
        <v>8</v>
      </c>
      <c r="G89" s="14" t="s">
        <v>9</v>
      </c>
      <c r="H89" s="16" t="s">
        <v>10</v>
      </c>
      <c r="I89" s="14" t="s">
        <v>11</v>
      </c>
      <c r="J89" s="14" t="s">
        <v>12</v>
      </c>
    </row>
    <row x14ac:dyDescent="0.25" r="90" customHeight="1" ht="17.25">
      <c r="A90" s="17" t="s">
        <v>11216</v>
      </c>
      <c r="B90" s="17" t="s">
        <v>170</v>
      </c>
      <c r="C90" s="17" t="s">
        <v>15</v>
      </c>
      <c r="D90" s="17" t="s">
        <v>16</v>
      </c>
      <c r="E90" s="18">
        <f>ROUND(12373*1.05,2)</f>
      </c>
      <c r="F90" s="17" t="s">
        <v>17</v>
      </c>
      <c r="G90" s="17" t="s">
        <v>18</v>
      </c>
      <c r="H90" s="26">
        <f>ROUND(RAND()*4+6,1)</f>
      </c>
      <c r="I90" s="17" t="s">
        <v>19</v>
      </c>
      <c r="J90" s="19">
        <f>ROUND(93*1,0)&amp;"%"</f>
      </c>
    </row>
    <row x14ac:dyDescent="0.25" r="91" customHeight="1" ht="17.25">
      <c r="A91" s="20" t="s">
        <v>11217</v>
      </c>
      <c r="B91" s="20" t="s">
        <v>172</v>
      </c>
      <c r="C91" s="20" t="s">
        <v>15</v>
      </c>
      <c r="D91" s="20" t="s">
        <v>22</v>
      </c>
      <c r="E91" s="22">
        <f>ROUND(6420*1.05,2)</f>
      </c>
      <c r="F91" s="20" t="s">
        <v>23</v>
      </c>
      <c r="G91" s="20" t="s">
        <v>24</v>
      </c>
      <c r="H91" s="21">
        <f>ROUND(RAND()*4+6,1)</f>
      </c>
      <c r="I91" s="20" t="s">
        <v>25</v>
      </c>
      <c r="J91" s="23">
        <f>ROUND(65*1,0)&amp;"%"</f>
      </c>
    </row>
    <row x14ac:dyDescent="0.25" r="92" customHeight="1" ht="17.25">
      <c r="A92" s="17" t="s">
        <v>11218</v>
      </c>
      <c r="B92" s="17" t="s">
        <v>174</v>
      </c>
      <c r="C92" s="17" t="s">
        <v>15</v>
      </c>
      <c r="D92" s="17" t="s">
        <v>28</v>
      </c>
      <c r="E92" s="18">
        <f>ROUND(10734*1.05,2)</f>
      </c>
      <c r="F92" s="17" t="s">
        <v>29</v>
      </c>
      <c r="G92" s="17" t="s">
        <v>30</v>
      </c>
      <c r="H92" s="26">
        <f>ROUND(RAND()*4+6,1)</f>
      </c>
      <c r="I92" s="17" t="s">
        <v>31</v>
      </c>
      <c r="J92" s="19">
        <f>ROUND(80*1,0)&amp;"%"</f>
      </c>
    </row>
    <row x14ac:dyDescent="0.25" r="93" customHeight="1" ht="17.25">
      <c r="A93" s="20" t="s">
        <v>11219</v>
      </c>
      <c r="B93" s="20" t="s">
        <v>176</v>
      </c>
      <c r="C93" s="20" t="s">
        <v>15</v>
      </c>
      <c r="D93" s="20" t="s">
        <v>34</v>
      </c>
      <c r="E93" s="21">
        <f>ROUND(5786*1.05,2)</f>
      </c>
      <c r="F93" s="20" t="s">
        <v>35</v>
      </c>
      <c r="G93" s="20" t="s">
        <v>18</v>
      </c>
      <c r="H93" s="21">
        <f>ROUND(RAND()*4+6,1)</f>
      </c>
      <c r="I93" s="20" t="s">
        <v>36</v>
      </c>
      <c r="J93" s="23">
        <f>ROUND(70*1,0)&amp;"%"</f>
      </c>
    </row>
    <row x14ac:dyDescent="0.25" r="94" customHeight="1" ht="17.25">
      <c r="A94" s="17" t="s">
        <v>11220</v>
      </c>
      <c r="B94" s="17" t="s">
        <v>178</v>
      </c>
      <c r="C94" s="17" t="s">
        <v>15</v>
      </c>
      <c r="D94" s="17" t="s">
        <v>39</v>
      </c>
      <c r="E94" s="18">
        <f>ROUND(14359*1.05,2)</f>
      </c>
      <c r="F94" s="17" t="s">
        <v>40</v>
      </c>
      <c r="G94" s="17" t="s">
        <v>24</v>
      </c>
      <c r="H94" s="18">
        <f>ROUND(RAND()*4+6,1)</f>
      </c>
      <c r="I94" s="17" t="s">
        <v>41</v>
      </c>
      <c r="J94" s="19">
        <f>ROUND(65*1,0)&amp;"%"</f>
      </c>
    </row>
    <row x14ac:dyDescent="0.25" r="95" customHeight="1" ht="17.25">
      <c r="A95" s="20" t="s">
        <v>11221</v>
      </c>
      <c r="B95" s="20" t="s">
        <v>180</v>
      </c>
      <c r="C95" s="20" t="s">
        <v>15</v>
      </c>
      <c r="D95" s="20" t="s">
        <v>67</v>
      </c>
      <c r="E95" s="22">
        <f>ROUND(16940*1.05,2)</f>
      </c>
      <c r="F95" s="20" t="s">
        <v>44</v>
      </c>
      <c r="G95" s="20" t="s">
        <v>30</v>
      </c>
      <c r="H95" s="21">
        <f>ROUND(RAND()*4+6,1)</f>
      </c>
      <c r="I95" s="20" t="s">
        <v>45</v>
      </c>
      <c r="J95" s="23">
        <f>ROUND(71*1,0)&amp;"%"</f>
      </c>
    </row>
    <row x14ac:dyDescent="0.25" r="96" customHeight="1" ht="17.25">
      <c r="A96" s="17" t="s">
        <v>11222</v>
      </c>
      <c r="B96" s="17" t="s">
        <v>182</v>
      </c>
      <c r="C96" s="17" t="s">
        <v>15</v>
      </c>
      <c r="D96" s="17" t="s">
        <v>16</v>
      </c>
      <c r="E96" s="18">
        <f>ROUND(12534*1.05,2)</f>
      </c>
      <c r="F96" s="17" t="s">
        <v>48</v>
      </c>
      <c r="G96" s="17" t="s">
        <v>18</v>
      </c>
      <c r="H96" s="18">
        <f>ROUND(RAND()*4+6,1)</f>
      </c>
      <c r="I96" s="17" t="s">
        <v>19</v>
      </c>
      <c r="J96" s="19">
        <f>ROUND(99*1,0)&amp;"%"</f>
      </c>
    </row>
    <row x14ac:dyDescent="0.25" r="97" customHeight="1" ht="17.25">
      <c r="A97" s="20" t="s">
        <v>11223</v>
      </c>
      <c r="B97" s="20" t="s">
        <v>184</v>
      </c>
      <c r="C97" s="20" t="s">
        <v>15</v>
      </c>
      <c r="D97" s="20" t="s">
        <v>22</v>
      </c>
      <c r="E97" s="21">
        <f>ROUND(6815*1.05,2)</f>
      </c>
      <c r="F97" s="20" t="s">
        <v>51</v>
      </c>
      <c r="G97" s="20" t="s">
        <v>24</v>
      </c>
      <c r="H97" s="21">
        <f>ROUND(RAND()*4+6,1)</f>
      </c>
      <c r="I97" s="20" t="s">
        <v>25</v>
      </c>
      <c r="J97" s="23">
        <f>ROUND(79*1,0)&amp;"%"</f>
      </c>
    </row>
    <row x14ac:dyDescent="0.25" r="98" customHeight="1" ht="17.25">
      <c r="A98" s="24" t="s">
        <v>185</v>
      </c>
      <c r="B98" s="24"/>
      <c r="C98" s="24"/>
      <c r="D98" s="24"/>
      <c r="E98" s="25">
        <v>8</v>
      </c>
      <c r="F98" s="9"/>
      <c r="G98" s="9"/>
      <c r="H98" s="10"/>
      <c r="I98" s="9"/>
      <c r="J98" s="9"/>
    </row>
    <row x14ac:dyDescent="0.25" r="99" customHeight="1" ht="17.25">
      <c r="A99" s="7"/>
      <c r="B99" s="7"/>
      <c r="C99" s="7"/>
      <c r="D99" s="7"/>
      <c r="E99" s="8"/>
      <c r="F99" s="9"/>
      <c r="G99" s="9"/>
      <c r="H99" s="10"/>
      <c r="I99" s="9"/>
      <c r="J99" s="9"/>
    </row>
    <row x14ac:dyDescent="0.25" r="100" customHeight="1" ht="17.25">
      <c r="A100" s="11" t="s">
        <v>11224</v>
      </c>
      <c r="B100" s="11"/>
      <c r="C100" s="11"/>
      <c r="D100" s="11"/>
      <c r="E100" s="12"/>
      <c r="F100" s="11"/>
      <c r="G100" s="11"/>
      <c r="H100" s="13"/>
      <c r="I100" s="11"/>
      <c r="J100" s="11"/>
    </row>
    <row x14ac:dyDescent="0.25" r="101" customHeight="1" ht="17.25">
      <c r="A101" s="14" t="s">
        <v>3</v>
      </c>
      <c r="B101" s="14" t="s">
        <v>4</v>
      </c>
      <c r="C101" s="14" t="s">
        <v>5</v>
      </c>
      <c r="D101" s="14" t="s">
        <v>6</v>
      </c>
      <c r="E101" s="15" t="s">
        <v>7</v>
      </c>
      <c r="F101" s="14" t="s">
        <v>8</v>
      </c>
      <c r="G101" s="14" t="s">
        <v>9</v>
      </c>
      <c r="H101" s="16" t="s">
        <v>10</v>
      </c>
      <c r="I101" s="14" t="s">
        <v>11</v>
      </c>
      <c r="J101" s="14" t="s">
        <v>12</v>
      </c>
    </row>
    <row x14ac:dyDescent="0.25" r="102" customHeight="1" ht="17.25">
      <c r="A102" s="17" t="s">
        <v>11225</v>
      </c>
      <c r="B102" s="17" t="s">
        <v>188</v>
      </c>
      <c r="C102" s="17" t="s">
        <v>56</v>
      </c>
      <c r="D102" s="17" t="s">
        <v>16</v>
      </c>
      <c r="E102" s="18">
        <f>ROUND(14171*1.05,2)</f>
      </c>
      <c r="F102" s="17" t="s">
        <v>17</v>
      </c>
      <c r="G102" s="17" t="s">
        <v>18</v>
      </c>
      <c r="H102" s="18">
        <f>ROUND(RAND()*4+6,1)</f>
      </c>
      <c r="I102" s="17" t="s">
        <v>19</v>
      </c>
      <c r="J102" s="19">
        <f>ROUND(65*1,0)&amp;"%"</f>
      </c>
    </row>
    <row x14ac:dyDescent="0.25" r="103" customHeight="1" ht="17.25">
      <c r="A103" s="20" t="s">
        <v>11226</v>
      </c>
      <c r="B103" s="20" t="s">
        <v>190</v>
      </c>
      <c r="C103" s="20" t="s">
        <v>56</v>
      </c>
      <c r="D103" s="20" t="s">
        <v>22</v>
      </c>
      <c r="E103" s="21">
        <f>ROUND(9386*1.05,2)</f>
      </c>
      <c r="F103" s="20" t="s">
        <v>23</v>
      </c>
      <c r="G103" s="20" t="s">
        <v>24</v>
      </c>
      <c r="H103" s="21">
        <f>ROUND(RAND()*4+6,1)</f>
      </c>
      <c r="I103" s="20" t="s">
        <v>25</v>
      </c>
      <c r="J103" s="23">
        <f>ROUND(77*1,0)&amp;"%"</f>
      </c>
    </row>
    <row x14ac:dyDescent="0.25" r="104" customHeight="1" ht="17.25">
      <c r="A104" s="17" t="s">
        <v>11227</v>
      </c>
      <c r="B104" s="17" t="s">
        <v>192</v>
      </c>
      <c r="C104" s="17" t="s">
        <v>56</v>
      </c>
      <c r="D104" s="17" t="s">
        <v>28</v>
      </c>
      <c r="E104" s="18">
        <f>ROUND(9634*1.05,2)</f>
      </c>
      <c r="F104" s="17" t="s">
        <v>29</v>
      </c>
      <c r="G104" s="17" t="s">
        <v>30</v>
      </c>
      <c r="H104" s="18">
        <f>ROUND(RAND()*4+6,1)</f>
      </c>
      <c r="I104" s="17" t="s">
        <v>31</v>
      </c>
      <c r="J104" s="19">
        <f>ROUND(94*1,0)&amp;"%"</f>
      </c>
    </row>
    <row x14ac:dyDescent="0.25" r="105" customHeight="1" ht="17.25">
      <c r="A105" s="20" t="s">
        <v>11228</v>
      </c>
      <c r="B105" s="20" t="s">
        <v>194</v>
      </c>
      <c r="C105" s="20" t="s">
        <v>56</v>
      </c>
      <c r="D105" s="20" t="s">
        <v>34</v>
      </c>
      <c r="E105" s="21">
        <f>ROUND(11213*1.05,2)</f>
      </c>
      <c r="F105" s="20" t="s">
        <v>35</v>
      </c>
      <c r="G105" s="20" t="s">
        <v>18</v>
      </c>
      <c r="H105" s="21">
        <f>ROUND(RAND()*4+6,1)</f>
      </c>
      <c r="I105" s="20" t="s">
        <v>36</v>
      </c>
      <c r="J105" s="23">
        <f>ROUND(89*1,0)&amp;"%"</f>
      </c>
    </row>
    <row x14ac:dyDescent="0.25" r="106" customHeight="1" ht="17.25">
      <c r="A106" s="17" t="s">
        <v>11229</v>
      </c>
      <c r="B106" s="17" t="s">
        <v>196</v>
      </c>
      <c r="C106" s="17" t="s">
        <v>56</v>
      </c>
      <c r="D106" s="17" t="s">
        <v>39</v>
      </c>
      <c r="E106" s="18">
        <f>ROUND(11123*1.05,2)</f>
      </c>
      <c r="F106" s="17" t="s">
        <v>40</v>
      </c>
      <c r="G106" s="17" t="s">
        <v>24</v>
      </c>
      <c r="H106" s="18">
        <f>ROUND(RAND()*4+6,1)</f>
      </c>
      <c r="I106" s="17" t="s">
        <v>41</v>
      </c>
      <c r="J106" s="19">
        <f>ROUND(60*1,0)&amp;"%"</f>
      </c>
    </row>
    <row x14ac:dyDescent="0.25" r="107" customHeight="1" ht="17.25">
      <c r="A107" s="20" t="s">
        <v>11230</v>
      </c>
      <c r="B107" s="20" t="s">
        <v>198</v>
      </c>
      <c r="C107" s="20" t="s">
        <v>56</v>
      </c>
      <c r="D107" s="20" t="s">
        <v>67</v>
      </c>
      <c r="E107" s="21">
        <f>ROUND(11944*1.05,2)</f>
      </c>
      <c r="F107" s="20" t="s">
        <v>44</v>
      </c>
      <c r="G107" s="20" t="s">
        <v>30</v>
      </c>
      <c r="H107" s="21">
        <f>ROUND(RAND()*4+6,1)</f>
      </c>
      <c r="I107" s="20" t="s">
        <v>45</v>
      </c>
      <c r="J107" s="23">
        <f>ROUND(77*1,0)&amp;"%"</f>
      </c>
    </row>
    <row x14ac:dyDescent="0.25" r="108" customHeight="1" ht="17.25">
      <c r="A108" s="17" t="s">
        <v>11231</v>
      </c>
      <c r="B108" s="17" t="s">
        <v>200</v>
      </c>
      <c r="C108" s="17" t="s">
        <v>56</v>
      </c>
      <c r="D108" s="17" t="s">
        <v>16</v>
      </c>
      <c r="E108" s="18">
        <f>ROUND(12124*1.05,2)</f>
      </c>
      <c r="F108" s="17" t="s">
        <v>48</v>
      </c>
      <c r="G108" s="17" t="s">
        <v>18</v>
      </c>
      <c r="H108" s="18">
        <f>ROUND(RAND()*4+6,1)</f>
      </c>
      <c r="I108" s="17" t="s">
        <v>19</v>
      </c>
      <c r="J108" s="19">
        <f>ROUND(60*1,0)&amp;"%"</f>
      </c>
    </row>
    <row x14ac:dyDescent="0.25" r="109" customHeight="1" ht="17.25">
      <c r="A109" s="20" t="s">
        <v>11232</v>
      </c>
      <c r="B109" s="20" t="s">
        <v>202</v>
      </c>
      <c r="C109" s="20" t="s">
        <v>56</v>
      </c>
      <c r="D109" s="20" t="s">
        <v>22</v>
      </c>
      <c r="E109" s="21">
        <f>ROUND(9037*1.05,2)</f>
      </c>
      <c r="F109" s="20" t="s">
        <v>51</v>
      </c>
      <c r="G109" s="20" t="s">
        <v>24</v>
      </c>
      <c r="H109" s="21">
        <f>ROUND(RAND()*4+6,1)</f>
      </c>
      <c r="I109" s="20" t="s">
        <v>25</v>
      </c>
      <c r="J109" s="23">
        <f>ROUND(100*1,0)&amp;"%"</f>
      </c>
    </row>
    <row x14ac:dyDescent="0.25" r="110" customHeight="1" ht="17.25">
      <c r="A110" s="24" t="s">
        <v>203</v>
      </c>
      <c r="B110" s="24"/>
      <c r="C110" s="24"/>
      <c r="D110" s="24"/>
      <c r="E110" s="25">
        <v>8</v>
      </c>
      <c r="F110" s="9"/>
      <c r="G110" s="9"/>
      <c r="H110" s="10"/>
      <c r="I110" s="9"/>
      <c r="J110" s="9"/>
    </row>
    <row x14ac:dyDescent="0.25" r="111" customHeight="1" ht="17.25">
      <c r="A111" s="7"/>
      <c r="B111" s="7"/>
      <c r="C111" s="7"/>
      <c r="D111" s="7"/>
      <c r="E111" s="8"/>
      <c r="F111" s="9"/>
      <c r="G111" s="9"/>
      <c r="H111" s="10"/>
      <c r="I111" s="9"/>
      <c r="J111" s="9"/>
    </row>
    <row x14ac:dyDescent="0.25" r="112" customHeight="1" ht="17.25">
      <c r="A112" s="11" t="s">
        <v>11233</v>
      </c>
      <c r="B112" s="11"/>
      <c r="C112" s="11"/>
      <c r="D112" s="11"/>
      <c r="E112" s="12"/>
      <c r="F112" s="11"/>
      <c r="G112" s="11"/>
      <c r="H112" s="13"/>
      <c r="I112" s="11"/>
      <c r="J112" s="11"/>
    </row>
    <row x14ac:dyDescent="0.25" r="113" customHeight="1" ht="17.25">
      <c r="A113" s="14" t="s">
        <v>3</v>
      </c>
      <c r="B113" s="14" t="s">
        <v>4</v>
      </c>
      <c r="C113" s="14" t="s">
        <v>5</v>
      </c>
      <c r="D113" s="14" t="s">
        <v>6</v>
      </c>
      <c r="E113" s="15" t="s">
        <v>7</v>
      </c>
      <c r="F113" s="14" t="s">
        <v>8</v>
      </c>
      <c r="G113" s="14" t="s">
        <v>9</v>
      </c>
      <c r="H113" s="16" t="s">
        <v>10</v>
      </c>
      <c r="I113" s="14" t="s">
        <v>11</v>
      </c>
      <c r="J113" s="14" t="s">
        <v>12</v>
      </c>
    </row>
    <row x14ac:dyDescent="0.25" r="114" customHeight="1" ht="17.25">
      <c r="A114" s="17" t="s">
        <v>11234</v>
      </c>
      <c r="B114" s="17" t="s">
        <v>206</v>
      </c>
      <c r="C114" s="17" t="s">
        <v>76</v>
      </c>
      <c r="D114" s="17" t="s">
        <v>16</v>
      </c>
      <c r="E114" s="18">
        <f>ROUND(12081*1.05,2)</f>
      </c>
      <c r="F114" s="17" t="s">
        <v>17</v>
      </c>
      <c r="G114" s="17" t="s">
        <v>18</v>
      </c>
      <c r="H114" s="18">
        <f>ROUND(RAND()*4+6,1)</f>
      </c>
      <c r="I114" s="17" t="s">
        <v>19</v>
      </c>
      <c r="J114" s="19">
        <f>ROUND(83*1,0)&amp;"%"</f>
      </c>
    </row>
    <row x14ac:dyDescent="0.25" r="115" customHeight="1" ht="17.25">
      <c r="A115" s="20" t="s">
        <v>11235</v>
      </c>
      <c r="B115" s="20" t="s">
        <v>208</v>
      </c>
      <c r="C115" s="20" t="s">
        <v>76</v>
      </c>
      <c r="D115" s="20" t="s">
        <v>22</v>
      </c>
      <c r="E115" s="21">
        <f>ROUND(4042*1.05,2)</f>
      </c>
      <c r="F115" s="20" t="s">
        <v>23</v>
      </c>
      <c r="G115" s="20" t="s">
        <v>24</v>
      </c>
      <c r="H115" s="21">
        <f>ROUND(RAND()*4+6,1)</f>
      </c>
      <c r="I115" s="20" t="s">
        <v>25</v>
      </c>
      <c r="J115" s="23">
        <f>ROUND(78*1,0)&amp;"%"</f>
      </c>
    </row>
    <row x14ac:dyDescent="0.25" r="116" customHeight="1" ht="17.25">
      <c r="A116" s="17" t="s">
        <v>11236</v>
      </c>
      <c r="B116" s="17" t="s">
        <v>210</v>
      </c>
      <c r="C116" s="17" t="s">
        <v>76</v>
      </c>
      <c r="D116" s="17" t="s">
        <v>28</v>
      </c>
      <c r="E116" s="18">
        <f>ROUND(12018*1.05,2)</f>
      </c>
      <c r="F116" s="17" t="s">
        <v>29</v>
      </c>
      <c r="G116" s="17" t="s">
        <v>30</v>
      </c>
      <c r="H116" s="18">
        <f>ROUND(RAND()*4+6,1)</f>
      </c>
      <c r="I116" s="17" t="s">
        <v>31</v>
      </c>
      <c r="J116" s="19">
        <f>ROUND(71*1,0)&amp;"%"</f>
      </c>
    </row>
    <row x14ac:dyDescent="0.25" r="117" customHeight="1" ht="17.25">
      <c r="A117" s="20" t="s">
        <v>11237</v>
      </c>
      <c r="B117" s="20" t="s">
        <v>212</v>
      </c>
      <c r="C117" s="20" t="s">
        <v>76</v>
      </c>
      <c r="D117" s="20" t="s">
        <v>34</v>
      </c>
      <c r="E117" s="21">
        <f>ROUND(4519*1.05,2)</f>
      </c>
      <c r="F117" s="20" t="s">
        <v>35</v>
      </c>
      <c r="G117" s="20" t="s">
        <v>18</v>
      </c>
      <c r="H117" s="22">
        <f>ROUND(RAND()*4+6,1)</f>
      </c>
      <c r="I117" s="20" t="s">
        <v>36</v>
      </c>
      <c r="J117" s="23">
        <f>ROUND(74*1,0)&amp;"%"</f>
      </c>
    </row>
    <row x14ac:dyDescent="0.25" r="118" customHeight="1" ht="17.25">
      <c r="A118" s="17" t="s">
        <v>11238</v>
      </c>
      <c r="B118" s="17" t="s">
        <v>214</v>
      </c>
      <c r="C118" s="17" t="s">
        <v>76</v>
      </c>
      <c r="D118" s="17" t="s">
        <v>39</v>
      </c>
      <c r="E118" s="18">
        <f>ROUND(4569*1.05,2)</f>
      </c>
      <c r="F118" s="17" t="s">
        <v>40</v>
      </c>
      <c r="G118" s="17" t="s">
        <v>24</v>
      </c>
      <c r="H118" s="18">
        <f>ROUND(RAND()*4+6,1)</f>
      </c>
      <c r="I118" s="17" t="s">
        <v>41</v>
      </c>
      <c r="J118" s="19">
        <f>ROUND(95*1,0)&amp;"%"</f>
      </c>
    </row>
    <row x14ac:dyDescent="0.25" r="119" customHeight="1" ht="17.25">
      <c r="A119" s="20" t="s">
        <v>11239</v>
      </c>
      <c r="B119" s="20" t="s">
        <v>216</v>
      </c>
      <c r="C119" s="20" t="s">
        <v>76</v>
      </c>
      <c r="D119" s="20" t="s">
        <v>67</v>
      </c>
      <c r="E119" s="21">
        <f>ROUND(14330*1.05,2)</f>
      </c>
      <c r="F119" s="20" t="s">
        <v>44</v>
      </c>
      <c r="G119" s="20" t="s">
        <v>30</v>
      </c>
      <c r="H119" s="21">
        <f>ROUND(RAND()*4+6,1)</f>
      </c>
      <c r="I119" s="20" t="s">
        <v>45</v>
      </c>
      <c r="J119" s="23">
        <f>ROUND(67*1,0)&amp;"%"</f>
      </c>
    </row>
    <row x14ac:dyDescent="0.25" r="120" customHeight="1" ht="17.25">
      <c r="A120" s="17" t="s">
        <v>11240</v>
      </c>
      <c r="B120" s="17" t="s">
        <v>218</v>
      </c>
      <c r="C120" s="17" t="s">
        <v>76</v>
      </c>
      <c r="D120" s="17" t="s">
        <v>16</v>
      </c>
      <c r="E120" s="18">
        <f>ROUND(12479*1.05,2)</f>
      </c>
      <c r="F120" s="17" t="s">
        <v>48</v>
      </c>
      <c r="G120" s="17" t="s">
        <v>18</v>
      </c>
      <c r="H120" s="18">
        <f>ROUND(RAND()*4+6,1)</f>
      </c>
      <c r="I120" s="17" t="s">
        <v>19</v>
      </c>
      <c r="J120" s="19">
        <f>ROUND(85*1,0)&amp;"%"</f>
      </c>
    </row>
    <row x14ac:dyDescent="0.25" r="121" customHeight="1" ht="17.25">
      <c r="A121" s="20" t="s">
        <v>11241</v>
      </c>
      <c r="B121" s="20" t="s">
        <v>220</v>
      </c>
      <c r="C121" s="20" t="s">
        <v>76</v>
      </c>
      <c r="D121" s="20" t="s">
        <v>22</v>
      </c>
      <c r="E121" s="21">
        <f>ROUND(17854*1.05,2)</f>
      </c>
      <c r="F121" s="20" t="s">
        <v>51</v>
      </c>
      <c r="G121" s="20" t="s">
        <v>24</v>
      </c>
      <c r="H121" s="21">
        <f>ROUND(RAND()*4+6,1)</f>
      </c>
      <c r="I121" s="20" t="s">
        <v>25</v>
      </c>
      <c r="J121" s="23">
        <f>ROUND(96*1,0)&amp;"%"</f>
      </c>
    </row>
    <row x14ac:dyDescent="0.25" r="122" customHeight="1" ht="17.25">
      <c r="A122" s="24" t="s">
        <v>221</v>
      </c>
      <c r="B122" s="24"/>
      <c r="C122" s="24"/>
      <c r="D122" s="24"/>
      <c r="E122" s="25">
        <v>8</v>
      </c>
      <c r="F122" s="9"/>
      <c r="G122" s="9"/>
      <c r="H122" s="10"/>
      <c r="I122" s="9"/>
      <c r="J122" s="9"/>
    </row>
    <row x14ac:dyDescent="0.25" r="123" customHeight="1" ht="17.25">
      <c r="A123" s="7"/>
      <c r="B123" s="7"/>
      <c r="C123" s="7"/>
      <c r="D123" s="7"/>
      <c r="E123" s="8"/>
      <c r="F123" s="9"/>
      <c r="G123" s="9"/>
      <c r="H123" s="10"/>
      <c r="I123" s="9"/>
      <c r="J123" s="9"/>
    </row>
    <row x14ac:dyDescent="0.25" r="124" customHeight="1" ht="17.25">
      <c r="A124" s="11" t="s">
        <v>11242</v>
      </c>
      <c r="B124" s="11"/>
      <c r="C124" s="11"/>
      <c r="D124" s="11"/>
      <c r="E124" s="12"/>
      <c r="F124" s="11"/>
      <c r="G124" s="11"/>
      <c r="H124" s="13"/>
      <c r="I124" s="11"/>
      <c r="J124" s="11"/>
    </row>
    <row x14ac:dyDescent="0.25" r="125" customHeight="1" ht="17.25">
      <c r="A125" s="14" t="s">
        <v>3</v>
      </c>
      <c r="B125" s="14" t="s">
        <v>4</v>
      </c>
      <c r="C125" s="14" t="s">
        <v>5</v>
      </c>
      <c r="D125" s="14" t="s">
        <v>6</v>
      </c>
      <c r="E125" s="15" t="s">
        <v>7</v>
      </c>
      <c r="F125" s="14" t="s">
        <v>8</v>
      </c>
      <c r="G125" s="14" t="s">
        <v>9</v>
      </c>
      <c r="H125" s="16" t="s">
        <v>10</v>
      </c>
      <c r="I125" s="14" t="s">
        <v>11</v>
      </c>
      <c r="J125" s="14" t="s">
        <v>12</v>
      </c>
    </row>
    <row x14ac:dyDescent="0.25" r="126" customHeight="1" ht="17.25">
      <c r="A126" s="17" t="s">
        <v>11243</v>
      </c>
      <c r="B126" s="17" t="s">
        <v>224</v>
      </c>
      <c r="C126" s="17" t="s">
        <v>95</v>
      </c>
      <c r="D126" s="17" t="s">
        <v>16</v>
      </c>
      <c r="E126" s="18">
        <f>ROUND(6761*1.05,2)</f>
      </c>
      <c r="F126" s="17" t="s">
        <v>17</v>
      </c>
      <c r="G126" s="17" t="s">
        <v>18</v>
      </c>
      <c r="H126" s="18">
        <f>ROUND(RAND()*4+6,1)</f>
      </c>
      <c r="I126" s="17" t="s">
        <v>19</v>
      </c>
      <c r="J126" s="19">
        <f>ROUND(81*1,0)&amp;"%"</f>
      </c>
    </row>
    <row x14ac:dyDescent="0.25" r="127" customHeight="1" ht="17.25">
      <c r="A127" s="20" t="s">
        <v>11244</v>
      </c>
      <c r="B127" s="20" t="s">
        <v>226</v>
      </c>
      <c r="C127" s="20" t="s">
        <v>95</v>
      </c>
      <c r="D127" s="20" t="s">
        <v>22</v>
      </c>
      <c r="E127" s="21">
        <f>ROUND(11008*1.05,2)</f>
      </c>
      <c r="F127" s="20" t="s">
        <v>23</v>
      </c>
      <c r="G127" s="20" t="s">
        <v>24</v>
      </c>
      <c r="H127" s="21">
        <f>ROUND(RAND()*4+6,1)</f>
      </c>
      <c r="I127" s="20" t="s">
        <v>25</v>
      </c>
      <c r="J127" s="23">
        <f>ROUND(94*1,0)&amp;"%"</f>
      </c>
    </row>
    <row x14ac:dyDescent="0.25" r="128" customHeight="1" ht="17.25">
      <c r="A128" s="17" t="s">
        <v>11245</v>
      </c>
      <c r="B128" s="17" t="s">
        <v>228</v>
      </c>
      <c r="C128" s="17" t="s">
        <v>95</v>
      </c>
      <c r="D128" s="17" t="s">
        <v>28</v>
      </c>
      <c r="E128" s="18">
        <f>ROUND(5055*1.05,2)</f>
      </c>
      <c r="F128" s="17" t="s">
        <v>29</v>
      </c>
      <c r="G128" s="17" t="s">
        <v>30</v>
      </c>
      <c r="H128" s="18">
        <f>ROUND(RAND()*4+6,1)</f>
      </c>
      <c r="I128" s="17" t="s">
        <v>31</v>
      </c>
      <c r="J128" s="19">
        <f>ROUND(85*1,0)&amp;"%"</f>
      </c>
    </row>
    <row x14ac:dyDescent="0.25" r="129" customHeight="1" ht="17.25">
      <c r="A129" s="20" t="s">
        <v>11246</v>
      </c>
      <c r="B129" s="20" t="s">
        <v>230</v>
      </c>
      <c r="C129" s="20" t="s">
        <v>95</v>
      </c>
      <c r="D129" s="20" t="s">
        <v>34</v>
      </c>
      <c r="E129" s="21">
        <f>ROUND(9103*1.05,2)</f>
      </c>
      <c r="F129" s="20" t="s">
        <v>35</v>
      </c>
      <c r="G129" s="20" t="s">
        <v>18</v>
      </c>
      <c r="H129" s="21">
        <f>ROUND(RAND()*4+6,1)</f>
      </c>
      <c r="I129" s="20" t="s">
        <v>36</v>
      </c>
      <c r="J129" s="23">
        <f>ROUND(86*1,0)&amp;"%"</f>
      </c>
    </row>
    <row x14ac:dyDescent="0.25" r="130" customHeight="1" ht="17.25">
      <c r="A130" s="17" t="s">
        <v>11247</v>
      </c>
      <c r="B130" s="17" t="s">
        <v>232</v>
      </c>
      <c r="C130" s="17" t="s">
        <v>95</v>
      </c>
      <c r="D130" s="17" t="s">
        <v>39</v>
      </c>
      <c r="E130" s="18">
        <f>ROUND(13071*1.05,2)</f>
      </c>
      <c r="F130" s="17" t="s">
        <v>40</v>
      </c>
      <c r="G130" s="17" t="s">
        <v>24</v>
      </c>
      <c r="H130" s="18">
        <f>ROUND(RAND()*4+6,1)</f>
      </c>
      <c r="I130" s="17" t="s">
        <v>41</v>
      </c>
      <c r="J130" s="19">
        <f>ROUND(63*1,0)&amp;"%"</f>
      </c>
    </row>
    <row x14ac:dyDescent="0.25" r="131" customHeight="1" ht="17.25">
      <c r="A131" s="20" t="s">
        <v>11248</v>
      </c>
      <c r="B131" s="20" t="s">
        <v>234</v>
      </c>
      <c r="C131" s="20" t="s">
        <v>95</v>
      </c>
      <c r="D131" s="20" t="s">
        <v>67</v>
      </c>
      <c r="E131" s="21">
        <f>ROUND(16999*1.05,2)</f>
      </c>
      <c r="F131" s="20" t="s">
        <v>44</v>
      </c>
      <c r="G131" s="20" t="s">
        <v>30</v>
      </c>
      <c r="H131" s="21">
        <f>ROUND(RAND()*4+6,1)</f>
      </c>
      <c r="I131" s="20" t="s">
        <v>45</v>
      </c>
      <c r="J131" s="23">
        <f>ROUND(95*1,0)&amp;"%"</f>
      </c>
    </row>
    <row x14ac:dyDescent="0.25" r="132" customHeight="1" ht="17.25">
      <c r="A132" s="17" t="s">
        <v>11249</v>
      </c>
      <c r="B132" s="17" t="s">
        <v>236</v>
      </c>
      <c r="C132" s="17" t="s">
        <v>95</v>
      </c>
      <c r="D132" s="17" t="s">
        <v>16</v>
      </c>
      <c r="E132" s="18">
        <f>ROUND(10438*1.05,2)</f>
      </c>
      <c r="F132" s="17" t="s">
        <v>48</v>
      </c>
      <c r="G132" s="17" t="s">
        <v>18</v>
      </c>
      <c r="H132" s="18">
        <f>ROUND(RAND()*4+6,1)</f>
      </c>
      <c r="I132" s="17" t="s">
        <v>19</v>
      </c>
      <c r="J132" s="19">
        <f>ROUND(74*1,0)&amp;"%"</f>
      </c>
    </row>
    <row x14ac:dyDescent="0.25" r="133" customHeight="1" ht="17.25">
      <c r="A133" s="20" t="s">
        <v>11250</v>
      </c>
      <c r="B133" s="20" t="s">
        <v>238</v>
      </c>
      <c r="C133" s="20" t="s">
        <v>95</v>
      </c>
      <c r="D133" s="20" t="s">
        <v>22</v>
      </c>
      <c r="E133" s="21">
        <f>ROUND(6867*1.05,2)</f>
      </c>
      <c r="F133" s="20" t="s">
        <v>51</v>
      </c>
      <c r="G133" s="20" t="s">
        <v>24</v>
      </c>
      <c r="H133" s="21">
        <f>ROUND(RAND()*4+6,1)</f>
      </c>
      <c r="I133" s="20" t="s">
        <v>25</v>
      </c>
      <c r="J133" s="23">
        <f>ROUND(73*1,0)&amp;"%"</f>
      </c>
    </row>
    <row x14ac:dyDescent="0.25" r="134" customHeight="1" ht="17.25">
      <c r="A134" s="24" t="s">
        <v>239</v>
      </c>
      <c r="B134" s="24"/>
      <c r="C134" s="24"/>
      <c r="D134" s="24"/>
      <c r="E134" s="25">
        <v>8</v>
      </c>
      <c r="F134" s="9"/>
      <c r="G134" s="9"/>
      <c r="H134" s="10"/>
      <c r="I134" s="9"/>
      <c r="J134" s="9"/>
    </row>
    <row x14ac:dyDescent="0.25" r="135" customHeight="1" ht="17.25">
      <c r="A135" s="7"/>
      <c r="B135" s="7"/>
      <c r="C135" s="7"/>
      <c r="D135" s="7"/>
      <c r="E135" s="8"/>
      <c r="F135" s="9"/>
      <c r="G135" s="9"/>
      <c r="H135" s="10"/>
      <c r="I135" s="9"/>
      <c r="J135" s="9"/>
    </row>
    <row x14ac:dyDescent="0.25" r="136" customHeight="1" ht="17.25">
      <c r="A136" s="11" t="s">
        <v>11251</v>
      </c>
      <c r="B136" s="11"/>
      <c r="C136" s="11"/>
      <c r="D136" s="11"/>
      <c r="E136" s="12"/>
      <c r="F136" s="11"/>
      <c r="G136" s="11"/>
      <c r="H136" s="13"/>
      <c r="I136" s="11"/>
      <c r="J136" s="11"/>
    </row>
    <row x14ac:dyDescent="0.25" r="137" customHeight="1" ht="17.25">
      <c r="A137" s="14" t="s">
        <v>3</v>
      </c>
      <c r="B137" s="14" t="s">
        <v>4</v>
      </c>
      <c r="C137" s="14" t="s">
        <v>5</v>
      </c>
      <c r="D137" s="14" t="s">
        <v>6</v>
      </c>
      <c r="E137" s="15" t="s">
        <v>7</v>
      </c>
      <c r="F137" s="14" t="s">
        <v>8</v>
      </c>
      <c r="G137" s="14" t="s">
        <v>9</v>
      </c>
      <c r="H137" s="16" t="s">
        <v>10</v>
      </c>
      <c r="I137" s="14" t="s">
        <v>11</v>
      </c>
      <c r="J137" s="14" t="s">
        <v>12</v>
      </c>
    </row>
    <row x14ac:dyDescent="0.25" r="138" customHeight="1" ht="17.25">
      <c r="A138" s="17" t="s">
        <v>11252</v>
      </c>
      <c r="B138" s="17" t="s">
        <v>242</v>
      </c>
      <c r="C138" s="17" t="s">
        <v>114</v>
      </c>
      <c r="D138" s="17" t="s">
        <v>16</v>
      </c>
      <c r="E138" s="26">
        <f>ROUND(6860*1.05,2)</f>
      </c>
      <c r="F138" s="17" t="s">
        <v>17</v>
      </c>
      <c r="G138" s="17" t="s">
        <v>18</v>
      </c>
      <c r="H138" s="18">
        <f>ROUND(RAND()*4+6,1)</f>
      </c>
      <c r="I138" s="17" t="s">
        <v>19</v>
      </c>
      <c r="J138" s="19">
        <f>ROUND(81*1,0)&amp;"%"</f>
      </c>
    </row>
    <row x14ac:dyDescent="0.25" r="139" customHeight="1" ht="17.25">
      <c r="A139" s="20" t="s">
        <v>11253</v>
      </c>
      <c r="B139" s="20" t="s">
        <v>244</v>
      </c>
      <c r="C139" s="20" t="s">
        <v>114</v>
      </c>
      <c r="D139" s="20" t="s">
        <v>22</v>
      </c>
      <c r="E139" s="21">
        <f>ROUND(7423*1.05,2)</f>
      </c>
      <c r="F139" s="20" t="s">
        <v>23</v>
      </c>
      <c r="G139" s="20" t="s">
        <v>24</v>
      </c>
      <c r="H139" s="21">
        <f>ROUND(RAND()*4+6,1)</f>
      </c>
      <c r="I139" s="20" t="s">
        <v>25</v>
      </c>
      <c r="J139" s="23">
        <f>ROUND(80*1,0)&amp;"%"</f>
      </c>
    </row>
    <row x14ac:dyDescent="0.25" r="140" customHeight="1" ht="17.25">
      <c r="A140" s="17" t="s">
        <v>11254</v>
      </c>
      <c r="B140" s="17" t="s">
        <v>246</v>
      </c>
      <c r="C140" s="17" t="s">
        <v>114</v>
      </c>
      <c r="D140" s="17" t="s">
        <v>28</v>
      </c>
      <c r="E140" s="18">
        <f>ROUND(9065*1.05,2)</f>
      </c>
      <c r="F140" s="17" t="s">
        <v>29</v>
      </c>
      <c r="G140" s="17" t="s">
        <v>30</v>
      </c>
      <c r="H140" s="18">
        <f>ROUND(RAND()*4+6,1)</f>
      </c>
      <c r="I140" s="17" t="s">
        <v>31</v>
      </c>
      <c r="J140" s="19">
        <f>ROUND(82*1,0)&amp;"%"</f>
      </c>
    </row>
    <row x14ac:dyDescent="0.25" r="141" customHeight="1" ht="17.25">
      <c r="A141" s="20" t="s">
        <v>11255</v>
      </c>
      <c r="B141" s="20" t="s">
        <v>248</v>
      </c>
      <c r="C141" s="20" t="s">
        <v>114</v>
      </c>
      <c r="D141" s="20" t="s">
        <v>34</v>
      </c>
      <c r="E141" s="21">
        <f>ROUND(12632*1.05,2)</f>
      </c>
      <c r="F141" s="20" t="s">
        <v>35</v>
      </c>
      <c r="G141" s="20" t="s">
        <v>18</v>
      </c>
      <c r="H141" s="21">
        <f>ROUND(RAND()*4+6,1)</f>
      </c>
      <c r="I141" s="20" t="s">
        <v>36</v>
      </c>
      <c r="J141" s="23">
        <f>ROUND(60*1,0)&amp;"%"</f>
      </c>
    </row>
    <row x14ac:dyDescent="0.25" r="142" customHeight="1" ht="17.25">
      <c r="A142" s="17" t="s">
        <v>11256</v>
      </c>
      <c r="B142" s="17" t="s">
        <v>250</v>
      </c>
      <c r="C142" s="17" t="s">
        <v>114</v>
      </c>
      <c r="D142" s="17" t="s">
        <v>39</v>
      </c>
      <c r="E142" s="18">
        <f>ROUND(9359*1.05,2)</f>
      </c>
      <c r="F142" s="17" t="s">
        <v>40</v>
      </c>
      <c r="G142" s="17" t="s">
        <v>24</v>
      </c>
      <c r="H142" s="18">
        <f>ROUND(RAND()*4+6,1)</f>
      </c>
      <c r="I142" s="17" t="s">
        <v>41</v>
      </c>
      <c r="J142" s="19">
        <f>ROUND(89*1,0)&amp;"%"</f>
      </c>
    </row>
    <row x14ac:dyDescent="0.25" r="143" customHeight="1" ht="17.25">
      <c r="A143" s="20" t="s">
        <v>11257</v>
      </c>
      <c r="B143" s="20" t="s">
        <v>252</v>
      </c>
      <c r="C143" s="20" t="s">
        <v>114</v>
      </c>
      <c r="D143" s="20" t="s">
        <v>67</v>
      </c>
      <c r="E143" s="21">
        <f>ROUND(11527*1.05,2)</f>
      </c>
      <c r="F143" s="20" t="s">
        <v>44</v>
      </c>
      <c r="G143" s="20" t="s">
        <v>30</v>
      </c>
      <c r="H143" s="21">
        <f>ROUND(RAND()*4+6,1)</f>
      </c>
      <c r="I143" s="20" t="s">
        <v>45</v>
      </c>
      <c r="J143" s="23">
        <f>ROUND(75*1,0)&amp;"%"</f>
      </c>
    </row>
    <row x14ac:dyDescent="0.25" r="144" customHeight="1" ht="17.25">
      <c r="A144" s="17" t="s">
        <v>11258</v>
      </c>
      <c r="B144" s="17" t="s">
        <v>254</v>
      </c>
      <c r="C144" s="17" t="s">
        <v>114</v>
      </c>
      <c r="D144" s="17" t="s">
        <v>16</v>
      </c>
      <c r="E144" s="18">
        <f>ROUND(8245*1.05,2)</f>
      </c>
      <c r="F144" s="17" t="s">
        <v>48</v>
      </c>
      <c r="G144" s="17" t="s">
        <v>18</v>
      </c>
      <c r="H144" s="18">
        <f>ROUND(RAND()*4+6,1)</f>
      </c>
      <c r="I144" s="17" t="s">
        <v>19</v>
      </c>
      <c r="J144" s="19">
        <f>ROUND(70*1,0)&amp;"%"</f>
      </c>
    </row>
    <row x14ac:dyDescent="0.25" r="145" customHeight="1" ht="17.25">
      <c r="A145" s="20" t="s">
        <v>11259</v>
      </c>
      <c r="B145" s="20" t="s">
        <v>256</v>
      </c>
      <c r="C145" s="20" t="s">
        <v>114</v>
      </c>
      <c r="D145" s="20" t="s">
        <v>22</v>
      </c>
      <c r="E145" s="21">
        <f>ROUND(5024*1.05,2)</f>
      </c>
      <c r="F145" s="20" t="s">
        <v>51</v>
      </c>
      <c r="G145" s="20" t="s">
        <v>24</v>
      </c>
      <c r="H145" s="21">
        <f>ROUND(RAND()*4+6,1)</f>
      </c>
      <c r="I145" s="20" t="s">
        <v>25</v>
      </c>
      <c r="J145" s="23">
        <f>ROUND(63*1,0)&amp;"%"</f>
      </c>
    </row>
    <row x14ac:dyDescent="0.25" r="146" customHeight="1" ht="17.25">
      <c r="A146" s="24" t="s">
        <v>257</v>
      </c>
      <c r="B146" s="24"/>
      <c r="C146" s="24"/>
      <c r="D146" s="24"/>
      <c r="E146" s="25">
        <v>8</v>
      </c>
      <c r="F146" s="9"/>
      <c r="G146" s="9"/>
      <c r="H146" s="10"/>
      <c r="I146" s="9"/>
      <c r="J146" s="9"/>
    </row>
    <row x14ac:dyDescent="0.25" r="147" customHeight="1" ht="17.25">
      <c r="A147" s="7"/>
      <c r="B147" s="7"/>
      <c r="C147" s="7"/>
      <c r="D147" s="7"/>
      <c r="E147" s="8"/>
      <c r="F147" s="9"/>
      <c r="G147" s="9"/>
      <c r="H147" s="10"/>
      <c r="I147" s="9"/>
      <c r="J147" s="9"/>
    </row>
    <row x14ac:dyDescent="0.25" r="148" customHeight="1" ht="17.25">
      <c r="A148" s="11" t="s">
        <v>11260</v>
      </c>
      <c r="B148" s="11"/>
      <c r="C148" s="11"/>
      <c r="D148" s="11"/>
      <c r="E148" s="12"/>
      <c r="F148" s="11"/>
      <c r="G148" s="11"/>
      <c r="H148" s="13"/>
      <c r="I148" s="11"/>
      <c r="J148" s="11"/>
    </row>
    <row x14ac:dyDescent="0.25" r="149" customHeight="1" ht="17.25">
      <c r="A149" s="14" t="s">
        <v>3</v>
      </c>
      <c r="B149" s="14" t="s">
        <v>4</v>
      </c>
      <c r="C149" s="14" t="s">
        <v>5</v>
      </c>
      <c r="D149" s="14" t="s">
        <v>6</v>
      </c>
      <c r="E149" s="15" t="s">
        <v>7</v>
      </c>
      <c r="F149" s="14" t="s">
        <v>8</v>
      </c>
      <c r="G149" s="14" t="s">
        <v>9</v>
      </c>
      <c r="H149" s="16" t="s">
        <v>10</v>
      </c>
      <c r="I149" s="14" t="s">
        <v>11</v>
      </c>
      <c r="J149" s="14" t="s">
        <v>12</v>
      </c>
    </row>
    <row x14ac:dyDescent="0.25" r="150" customHeight="1" ht="17.25">
      <c r="A150" s="17" t="s">
        <v>11261</v>
      </c>
      <c r="B150" s="17" t="s">
        <v>260</v>
      </c>
      <c r="C150" s="17" t="s">
        <v>133</v>
      </c>
      <c r="D150" s="17" t="s">
        <v>16</v>
      </c>
      <c r="E150" s="18">
        <f>ROUND(6403*1.05,2)</f>
      </c>
      <c r="F150" s="17" t="s">
        <v>17</v>
      </c>
      <c r="G150" s="17" t="s">
        <v>18</v>
      </c>
      <c r="H150" s="18">
        <f>ROUND(RAND()*4+6,1)</f>
      </c>
      <c r="I150" s="17" t="s">
        <v>19</v>
      </c>
      <c r="J150" s="19">
        <f>ROUND(73*1,0)&amp;"%"</f>
      </c>
    </row>
    <row x14ac:dyDescent="0.25" r="151" customHeight="1" ht="17.25">
      <c r="A151" s="20" t="s">
        <v>11262</v>
      </c>
      <c r="B151" s="20" t="s">
        <v>262</v>
      </c>
      <c r="C151" s="20" t="s">
        <v>133</v>
      </c>
      <c r="D151" s="20" t="s">
        <v>22</v>
      </c>
      <c r="E151" s="21">
        <f>ROUND(7808*1.05,2)</f>
      </c>
      <c r="F151" s="20" t="s">
        <v>23</v>
      </c>
      <c r="G151" s="20" t="s">
        <v>24</v>
      </c>
      <c r="H151" s="21">
        <f>ROUND(RAND()*4+6,1)</f>
      </c>
      <c r="I151" s="20" t="s">
        <v>25</v>
      </c>
      <c r="J151" s="23">
        <f>ROUND(86*1,0)&amp;"%"</f>
      </c>
    </row>
    <row x14ac:dyDescent="0.25" r="152" customHeight="1" ht="17.25">
      <c r="A152" s="17" t="s">
        <v>11263</v>
      </c>
      <c r="B152" s="17" t="s">
        <v>264</v>
      </c>
      <c r="C152" s="17" t="s">
        <v>133</v>
      </c>
      <c r="D152" s="17" t="s">
        <v>28</v>
      </c>
      <c r="E152" s="18">
        <f>ROUND(9497*1.05,2)</f>
      </c>
      <c r="F152" s="17" t="s">
        <v>29</v>
      </c>
      <c r="G152" s="17" t="s">
        <v>30</v>
      </c>
      <c r="H152" s="18">
        <f>ROUND(RAND()*4+6,1)</f>
      </c>
      <c r="I152" s="17" t="s">
        <v>31</v>
      </c>
      <c r="J152" s="19">
        <f>ROUND(99*1,0)&amp;"%"</f>
      </c>
    </row>
    <row x14ac:dyDescent="0.25" r="153" customHeight="1" ht="17.25">
      <c r="A153" s="20" t="s">
        <v>11264</v>
      </c>
      <c r="B153" s="20" t="s">
        <v>266</v>
      </c>
      <c r="C153" s="20" t="s">
        <v>133</v>
      </c>
      <c r="D153" s="20" t="s">
        <v>34</v>
      </c>
      <c r="E153" s="21">
        <f>ROUND(6127*1.05,2)</f>
      </c>
      <c r="F153" s="20" t="s">
        <v>35</v>
      </c>
      <c r="G153" s="20" t="s">
        <v>18</v>
      </c>
      <c r="H153" s="22">
        <f>ROUND(RAND()*4+6,1)</f>
      </c>
      <c r="I153" s="20" t="s">
        <v>36</v>
      </c>
      <c r="J153" s="23">
        <f>ROUND(91*1,0)&amp;"%"</f>
      </c>
    </row>
    <row x14ac:dyDescent="0.25" r="154" customHeight="1" ht="17.25">
      <c r="A154" s="17" t="s">
        <v>11265</v>
      </c>
      <c r="B154" s="17" t="s">
        <v>268</v>
      </c>
      <c r="C154" s="17" t="s">
        <v>133</v>
      </c>
      <c r="D154" s="17" t="s">
        <v>39</v>
      </c>
      <c r="E154" s="18">
        <f>ROUND(4093*1.05,2)</f>
      </c>
      <c r="F154" s="17" t="s">
        <v>40</v>
      </c>
      <c r="G154" s="17" t="s">
        <v>24</v>
      </c>
      <c r="H154" s="18">
        <f>ROUND(RAND()*4+6,1)</f>
      </c>
      <c r="I154" s="17" t="s">
        <v>41</v>
      </c>
      <c r="J154" s="19">
        <f>ROUND(77*1,0)&amp;"%"</f>
      </c>
    </row>
    <row x14ac:dyDescent="0.25" r="155" customHeight="1" ht="17.25">
      <c r="A155" s="20" t="s">
        <v>11266</v>
      </c>
      <c r="B155" s="20" t="s">
        <v>270</v>
      </c>
      <c r="C155" s="20" t="s">
        <v>133</v>
      </c>
      <c r="D155" s="20" t="s">
        <v>67</v>
      </c>
      <c r="E155" s="21">
        <f>ROUND(14184*1.05,2)</f>
      </c>
      <c r="F155" s="20" t="s">
        <v>44</v>
      </c>
      <c r="G155" s="20" t="s">
        <v>30</v>
      </c>
      <c r="H155" s="21">
        <f>ROUND(RAND()*4+6,1)</f>
      </c>
      <c r="I155" s="20" t="s">
        <v>45</v>
      </c>
      <c r="J155" s="23">
        <f>ROUND(69*1,0)&amp;"%"</f>
      </c>
    </row>
    <row x14ac:dyDescent="0.25" r="156" customHeight="1" ht="17.25">
      <c r="A156" s="17" t="s">
        <v>11267</v>
      </c>
      <c r="B156" s="17" t="s">
        <v>272</v>
      </c>
      <c r="C156" s="17" t="s">
        <v>133</v>
      </c>
      <c r="D156" s="17" t="s">
        <v>16</v>
      </c>
      <c r="E156" s="18">
        <f>ROUND(16350*1.05,2)</f>
      </c>
      <c r="F156" s="17" t="s">
        <v>48</v>
      </c>
      <c r="G156" s="17" t="s">
        <v>18</v>
      </c>
      <c r="H156" s="18">
        <f>ROUND(RAND()*4+6,1)</f>
      </c>
      <c r="I156" s="17" t="s">
        <v>19</v>
      </c>
      <c r="J156" s="19">
        <f>ROUND(68*1,0)&amp;"%"</f>
      </c>
    </row>
    <row x14ac:dyDescent="0.25" r="157" customHeight="1" ht="17.25">
      <c r="A157" s="20" t="s">
        <v>11268</v>
      </c>
      <c r="B157" s="20" t="s">
        <v>274</v>
      </c>
      <c r="C157" s="20" t="s">
        <v>133</v>
      </c>
      <c r="D157" s="20" t="s">
        <v>22</v>
      </c>
      <c r="E157" s="21">
        <f>ROUND(6969*1.05,2)</f>
      </c>
      <c r="F157" s="20" t="s">
        <v>51</v>
      </c>
      <c r="G157" s="20" t="s">
        <v>24</v>
      </c>
      <c r="H157" s="21">
        <f>ROUND(RAND()*4+6,1)</f>
      </c>
      <c r="I157" s="20" t="s">
        <v>25</v>
      </c>
      <c r="J157" s="23">
        <f>ROUND(99*1,0)&amp;"%"</f>
      </c>
    </row>
    <row x14ac:dyDescent="0.25" r="158" customHeight="1" ht="17.25">
      <c r="A158" s="24" t="s">
        <v>275</v>
      </c>
      <c r="B158" s="24"/>
      <c r="C158" s="24"/>
      <c r="D158" s="24"/>
      <c r="E158" s="25">
        <v>8</v>
      </c>
      <c r="F158" s="9"/>
      <c r="G158" s="9"/>
      <c r="H158" s="10"/>
      <c r="I158" s="9"/>
      <c r="J158" s="9"/>
    </row>
    <row x14ac:dyDescent="0.25" r="159" customHeight="1" ht="17.25">
      <c r="A159" s="7"/>
      <c r="B159" s="7"/>
      <c r="C159" s="7"/>
      <c r="D159" s="7"/>
      <c r="E159" s="8"/>
      <c r="F159" s="9"/>
      <c r="G159" s="9"/>
      <c r="H159" s="10"/>
      <c r="I159" s="9"/>
      <c r="J159" s="9"/>
    </row>
    <row x14ac:dyDescent="0.25" r="160" customHeight="1" ht="17.25">
      <c r="A160" s="11" t="s">
        <v>11269</v>
      </c>
      <c r="B160" s="11"/>
      <c r="C160" s="11"/>
      <c r="D160" s="11"/>
      <c r="E160" s="12"/>
      <c r="F160" s="11"/>
      <c r="G160" s="11"/>
      <c r="H160" s="13"/>
      <c r="I160" s="11"/>
      <c r="J160" s="11"/>
    </row>
    <row x14ac:dyDescent="0.25" r="161" customHeight="1" ht="17.25">
      <c r="A161" s="14" t="s">
        <v>3</v>
      </c>
      <c r="B161" s="14" t="s">
        <v>4</v>
      </c>
      <c r="C161" s="14" t="s">
        <v>5</v>
      </c>
      <c r="D161" s="14" t="s">
        <v>6</v>
      </c>
      <c r="E161" s="15" t="s">
        <v>7</v>
      </c>
      <c r="F161" s="14" t="s">
        <v>8</v>
      </c>
      <c r="G161" s="14" t="s">
        <v>9</v>
      </c>
      <c r="H161" s="16" t="s">
        <v>10</v>
      </c>
      <c r="I161" s="14" t="s">
        <v>11</v>
      </c>
      <c r="J161" s="14" t="s">
        <v>12</v>
      </c>
    </row>
    <row x14ac:dyDescent="0.25" r="162" customHeight="1" ht="17.25">
      <c r="A162" s="17" t="s">
        <v>11270</v>
      </c>
      <c r="B162" s="17" t="s">
        <v>278</v>
      </c>
      <c r="C162" s="17" t="s">
        <v>152</v>
      </c>
      <c r="D162" s="17" t="s">
        <v>16</v>
      </c>
      <c r="E162" s="18">
        <f>ROUND(9547*1.05,2)</f>
      </c>
      <c r="F162" s="17" t="s">
        <v>17</v>
      </c>
      <c r="G162" s="17" t="s">
        <v>18</v>
      </c>
      <c r="H162" s="18">
        <f>ROUND(RAND()*4+6,1)</f>
      </c>
      <c r="I162" s="17" t="s">
        <v>19</v>
      </c>
      <c r="J162" s="19">
        <f>ROUND(81*1,0)&amp;"%"</f>
      </c>
    </row>
    <row x14ac:dyDescent="0.25" r="163" customHeight="1" ht="17.25">
      <c r="A163" s="20" t="s">
        <v>11271</v>
      </c>
      <c r="B163" s="20" t="s">
        <v>280</v>
      </c>
      <c r="C163" s="20" t="s">
        <v>152</v>
      </c>
      <c r="D163" s="20" t="s">
        <v>22</v>
      </c>
      <c r="E163" s="21">
        <f>ROUND(13726*1.05,2)</f>
      </c>
      <c r="F163" s="20" t="s">
        <v>23</v>
      </c>
      <c r="G163" s="20" t="s">
        <v>24</v>
      </c>
      <c r="H163" s="21">
        <f>ROUND(RAND()*4+6,1)</f>
      </c>
      <c r="I163" s="20" t="s">
        <v>25</v>
      </c>
      <c r="J163" s="23">
        <f>ROUND(83*1,0)&amp;"%"</f>
      </c>
    </row>
    <row x14ac:dyDescent="0.25" r="164" customHeight="1" ht="17.25">
      <c r="A164" s="17" t="s">
        <v>11272</v>
      </c>
      <c r="B164" s="17" t="s">
        <v>282</v>
      </c>
      <c r="C164" s="17" t="s">
        <v>152</v>
      </c>
      <c r="D164" s="17" t="s">
        <v>28</v>
      </c>
      <c r="E164" s="18">
        <f>ROUND(13382*1.05,2)</f>
      </c>
      <c r="F164" s="17" t="s">
        <v>29</v>
      </c>
      <c r="G164" s="17" t="s">
        <v>30</v>
      </c>
      <c r="H164" s="18">
        <f>ROUND(RAND()*4+6,1)</f>
      </c>
      <c r="I164" s="17" t="s">
        <v>31</v>
      </c>
      <c r="J164" s="19">
        <f>ROUND(73*1,0)&amp;"%"</f>
      </c>
    </row>
    <row x14ac:dyDescent="0.25" r="165" customHeight="1" ht="17.25">
      <c r="A165" s="20" t="s">
        <v>11273</v>
      </c>
      <c r="B165" s="20" t="s">
        <v>284</v>
      </c>
      <c r="C165" s="20" t="s">
        <v>152</v>
      </c>
      <c r="D165" s="20" t="s">
        <v>34</v>
      </c>
      <c r="E165" s="21">
        <f>ROUND(17106*1.05,2)</f>
      </c>
      <c r="F165" s="20" t="s">
        <v>35</v>
      </c>
      <c r="G165" s="20" t="s">
        <v>18</v>
      </c>
      <c r="H165" s="21">
        <f>ROUND(RAND()*4+6,1)</f>
      </c>
      <c r="I165" s="20" t="s">
        <v>36</v>
      </c>
      <c r="J165" s="23">
        <f>ROUND(75*1,0)&amp;"%"</f>
      </c>
    </row>
    <row x14ac:dyDescent="0.25" r="166" customHeight="1" ht="17.25">
      <c r="A166" s="17" t="s">
        <v>11274</v>
      </c>
      <c r="B166" s="17" t="s">
        <v>286</v>
      </c>
      <c r="C166" s="17" t="s">
        <v>152</v>
      </c>
      <c r="D166" s="17" t="s">
        <v>39</v>
      </c>
      <c r="E166" s="26">
        <f>ROUND(14200*1.05,2)</f>
      </c>
      <c r="F166" s="17" t="s">
        <v>40</v>
      </c>
      <c r="G166" s="17" t="s">
        <v>24</v>
      </c>
      <c r="H166" s="26">
        <f>ROUND(RAND()*4+6,1)</f>
      </c>
      <c r="I166" s="17" t="s">
        <v>41</v>
      </c>
      <c r="J166" s="19">
        <f>ROUND(65*1,0)&amp;"%"</f>
      </c>
    </row>
    <row x14ac:dyDescent="0.25" r="167" customHeight="1" ht="17.25">
      <c r="A167" s="20" t="s">
        <v>11275</v>
      </c>
      <c r="B167" s="20" t="s">
        <v>288</v>
      </c>
      <c r="C167" s="20" t="s">
        <v>152</v>
      </c>
      <c r="D167" s="20" t="s">
        <v>67</v>
      </c>
      <c r="E167" s="21">
        <f>ROUND(16237*1.05,2)</f>
      </c>
      <c r="F167" s="20" t="s">
        <v>44</v>
      </c>
      <c r="G167" s="20" t="s">
        <v>30</v>
      </c>
      <c r="H167" s="21">
        <f>ROUND(RAND()*4+6,1)</f>
      </c>
      <c r="I167" s="20" t="s">
        <v>45</v>
      </c>
      <c r="J167" s="23">
        <f>ROUND(93*1,0)&amp;"%"</f>
      </c>
    </row>
    <row x14ac:dyDescent="0.25" r="168" customHeight="1" ht="17.25">
      <c r="A168" s="17" t="s">
        <v>11276</v>
      </c>
      <c r="B168" s="17" t="s">
        <v>290</v>
      </c>
      <c r="C168" s="17" t="s">
        <v>152</v>
      </c>
      <c r="D168" s="17" t="s">
        <v>16</v>
      </c>
      <c r="E168" s="18">
        <f>ROUND(4431*1.05,2)</f>
      </c>
      <c r="F168" s="17" t="s">
        <v>48</v>
      </c>
      <c r="G168" s="17" t="s">
        <v>18</v>
      </c>
      <c r="H168" s="18">
        <f>ROUND(RAND()*4+6,1)</f>
      </c>
      <c r="I168" s="17" t="s">
        <v>19</v>
      </c>
      <c r="J168" s="19">
        <f>ROUND(86*1,0)&amp;"%"</f>
      </c>
    </row>
    <row x14ac:dyDescent="0.25" r="169" customHeight="1" ht="17.25">
      <c r="A169" s="20" t="s">
        <v>11277</v>
      </c>
      <c r="B169" s="20" t="s">
        <v>292</v>
      </c>
      <c r="C169" s="20" t="s">
        <v>152</v>
      </c>
      <c r="D169" s="20" t="s">
        <v>22</v>
      </c>
      <c r="E169" s="21">
        <f>ROUND(16774*1.05,2)</f>
      </c>
      <c r="F169" s="20" t="s">
        <v>51</v>
      </c>
      <c r="G169" s="20" t="s">
        <v>24</v>
      </c>
      <c r="H169" s="21">
        <f>ROUND(RAND()*4+6,1)</f>
      </c>
      <c r="I169" s="20" t="s">
        <v>25</v>
      </c>
      <c r="J169" s="23">
        <f>ROUND(61*1,0)&amp;"%"</f>
      </c>
    </row>
    <row x14ac:dyDescent="0.25" r="170" customHeight="1" ht="17.25">
      <c r="A170" s="24" t="s">
        <v>293</v>
      </c>
      <c r="B170" s="24"/>
      <c r="C170" s="24"/>
      <c r="D170" s="24"/>
      <c r="E170" s="25">
        <v>8</v>
      </c>
      <c r="F170" s="9"/>
      <c r="G170" s="9"/>
      <c r="H170" s="10"/>
      <c r="I170" s="9"/>
      <c r="J170" s="9"/>
    </row>
    <row x14ac:dyDescent="0.25" r="171" customHeight="1" ht="17.25">
      <c r="A171" s="7"/>
      <c r="B171" s="7"/>
      <c r="C171" s="7"/>
      <c r="D171" s="7"/>
      <c r="E171" s="8"/>
      <c r="F171" s="9"/>
      <c r="G171" s="9"/>
      <c r="H171" s="10"/>
      <c r="I171" s="9"/>
      <c r="J171" s="9"/>
    </row>
    <row x14ac:dyDescent="0.25" r="172" customHeight="1" ht="17.25">
      <c r="A172" s="11" t="s">
        <v>11278</v>
      </c>
      <c r="B172" s="11"/>
      <c r="C172" s="11"/>
      <c r="D172" s="11"/>
      <c r="E172" s="12"/>
      <c r="F172" s="11"/>
      <c r="G172" s="11"/>
      <c r="H172" s="13"/>
      <c r="I172" s="11"/>
      <c r="J172" s="11"/>
    </row>
    <row x14ac:dyDescent="0.25" r="173" customHeight="1" ht="17.25">
      <c r="A173" s="14" t="s">
        <v>3</v>
      </c>
      <c r="B173" s="14" t="s">
        <v>4</v>
      </c>
      <c r="C173" s="14" t="s">
        <v>5</v>
      </c>
      <c r="D173" s="14" t="s">
        <v>6</v>
      </c>
      <c r="E173" s="15" t="s">
        <v>7</v>
      </c>
      <c r="F173" s="14" t="s">
        <v>8</v>
      </c>
      <c r="G173" s="14" t="s">
        <v>9</v>
      </c>
      <c r="H173" s="16" t="s">
        <v>10</v>
      </c>
      <c r="I173" s="14" t="s">
        <v>11</v>
      </c>
      <c r="J173" s="14" t="s">
        <v>12</v>
      </c>
    </row>
    <row x14ac:dyDescent="0.25" r="174" customHeight="1" ht="17.25">
      <c r="A174" s="17" t="s">
        <v>11279</v>
      </c>
      <c r="B174" s="17" t="s">
        <v>296</v>
      </c>
      <c r="C174" s="17" t="s">
        <v>15</v>
      </c>
      <c r="D174" s="17" t="s">
        <v>16</v>
      </c>
      <c r="E174" s="18">
        <f>ROUND(10996*1.05,2)</f>
      </c>
      <c r="F174" s="17" t="s">
        <v>17</v>
      </c>
      <c r="G174" s="17" t="s">
        <v>18</v>
      </c>
      <c r="H174" s="18">
        <f>ROUND(RAND()*4+6,1)</f>
      </c>
      <c r="I174" s="17" t="s">
        <v>19</v>
      </c>
      <c r="J174" s="19">
        <f>ROUND(69*1,0)&amp;"%"</f>
      </c>
    </row>
    <row x14ac:dyDescent="0.25" r="175" customHeight="1" ht="17.25">
      <c r="A175" s="20" t="s">
        <v>11280</v>
      </c>
      <c r="B175" s="20" t="s">
        <v>298</v>
      </c>
      <c r="C175" s="20" t="s">
        <v>15</v>
      </c>
      <c r="D175" s="20" t="s">
        <v>22</v>
      </c>
      <c r="E175" s="21">
        <f>ROUND(4323*1.05,2)</f>
      </c>
      <c r="F175" s="20" t="s">
        <v>23</v>
      </c>
      <c r="G175" s="20" t="s">
        <v>24</v>
      </c>
      <c r="H175" s="21">
        <f>ROUND(RAND()*4+6,1)</f>
      </c>
      <c r="I175" s="20" t="s">
        <v>25</v>
      </c>
      <c r="J175" s="23">
        <f>ROUND(73*1,0)&amp;"%"</f>
      </c>
    </row>
    <row x14ac:dyDescent="0.25" r="176" customHeight="1" ht="17.25">
      <c r="A176" s="17" t="s">
        <v>11281</v>
      </c>
      <c r="B176" s="17" t="s">
        <v>300</v>
      </c>
      <c r="C176" s="17" t="s">
        <v>15</v>
      </c>
      <c r="D176" s="17" t="s">
        <v>28</v>
      </c>
      <c r="E176" s="18">
        <f>ROUND(7879*1.05,2)</f>
      </c>
      <c r="F176" s="17" t="s">
        <v>29</v>
      </c>
      <c r="G176" s="17" t="s">
        <v>30</v>
      </c>
      <c r="H176" s="18">
        <f>ROUND(RAND()*4+6,1)</f>
      </c>
      <c r="I176" s="17" t="s">
        <v>31</v>
      </c>
      <c r="J176" s="19">
        <f>ROUND(89*1,0)&amp;"%"</f>
      </c>
    </row>
    <row x14ac:dyDescent="0.25" r="177" customHeight="1" ht="17.25">
      <c r="A177" s="20" t="s">
        <v>11282</v>
      </c>
      <c r="B177" s="20" t="s">
        <v>302</v>
      </c>
      <c r="C177" s="20" t="s">
        <v>15</v>
      </c>
      <c r="D177" s="20" t="s">
        <v>34</v>
      </c>
      <c r="E177" s="21">
        <f>ROUND(11463*1.05,2)</f>
      </c>
      <c r="F177" s="20" t="s">
        <v>35</v>
      </c>
      <c r="G177" s="20" t="s">
        <v>18</v>
      </c>
      <c r="H177" s="21">
        <f>ROUND(RAND()*4+6,1)</f>
      </c>
      <c r="I177" s="20" t="s">
        <v>36</v>
      </c>
      <c r="J177" s="23">
        <f>ROUND(61*1,0)&amp;"%"</f>
      </c>
    </row>
    <row x14ac:dyDescent="0.25" r="178" customHeight="1" ht="17.25">
      <c r="A178" s="17" t="s">
        <v>11283</v>
      </c>
      <c r="B178" s="17" t="s">
        <v>304</v>
      </c>
      <c r="C178" s="17" t="s">
        <v>15</v>
      </c>
      <c r="D178" s="17" t="s">
        <v>39</v>
      </c>
      <c r="E178" s="18">
        <f>ROUND(15119*1.05,2)</f>
      </c>
      <c r="F178" s="17" t="s">
        <v>40</v>
      </c>
      <c r="G178" s="17" t="s">
        <v>24</v>
      </c>
      <c r="H178" s="18">
        <f>ROUND(RAND()*4+6,1)</f>
      </c>
      <c r="I178" s="17" t="s">
        <v>41</v>
      </c>
      <c r="J178" s="19">
        <f>ROUND(95*1,0)&amp;"%"</f>
      </c>
    </row>
    <row x14ac:dyDescent="0.25" r="179" customHeight="1" ht="17.25">
      <c r="A179" s="20" t="s">
        <v>11284</v>
      </c>
      <c r="B179" s="20" t="s">
        <v>306</v>
      </c>
      <c r="C179" s="20" t="s">
        <v>15</v>
      </c>
      <c r="D179" s="20" t="s">
        <v>67</v>
      </c>
      <c r="E179" s="21">
        <f>ROUND(12439*1.05,2)</f>
      </c>
      <c r="F179" s="20" t="s">
        <v>44</v>
      </c>
      <c r="G179" s="20" t="s">
        <v>30</v>
      </c>
      <c r="H179" s="21">
        <f>ROUND(RAND()*4+6,1)</f>
      </c>
      <c r="I179" s="20" t="s">
        <v>45</v>
      </c>
      <c r="J179" s="23">
        <f>ROUND(95*1,0)&amp;"%"</f>
      </c>
    </row>
    <row x14ac:dyDescent="0.25" r="180" customHeight="1" ht="17.25">
      <c r="A180" s="17" t="s">
        <v>11285</v>
      </c>
      <c r="B180" s="17" t="s">
        <v>308</v>
      </c>
      <c r="C180" s="17" t="s">
        <v>15</v>
      </c>
      <c r="D180" s="17" t="s">
        <v>16</v>
      </c>
      <c r="E180" s="18">
        <f>ROUND(4734*1.05,2)</f>
      </c>
      <c r="F180" s="17" t="s">
        <v>48</v>
      </c>
      <c r="G180" s="17" t="s">
        <v>18</v>
      </c>
      <c r="H180" s="26">
        <f>ROUND(RAND()*4+6,1)</f>
      </c>
      <c r="I180" s="17" t="s">
        <v>19</v>
      </c>
      <c r="J180" s="19">
        <f>ROUND(98*1,0)&amp;"%"</f>
      </c>
    </row>
    <row x14ac:dyDescent="0.25" r="181" customHeight="1" ht="17.25">
      <c r="A181" s="20" t="s">
        <v>11286</v>
      </c>
      <c r="B181" s="20" t="s">
        <v>310</v>
      </c>
      <c r="C181" s="20" t="s">
        <v>15</v>
      </c>
      <c r="D181" s="20" t="s">
        <v>22</v>
      </c>
      <c r="E181" s="21">
        <f>ROUND(16296*1.05,2)</f>
      </c>
      <c r="F181" s="20" t="s">
        <v>51</v>
      </c>
      <c r="G181" s="20" t="s">
        <v>24</v>
      </c>
      <c r="H181" s="21">
        <f>ROUND(RAND()*4+6,1)</f>
      </c>
      <c r="I181" s="20" t="s">
        <v>25</v>
      </c>
      <c r="J181" s="23">
        <f>ROUND(88*1,0)&amp;"%"</f>
      </c>
    </row>
    <row x14ac:dyDescent="0.25" r="182" customHeight="1" ht="17.25">
      <c r="A182" s="24" t="s">
        <v>311</v>
      </c>
      <c r="B182" s="24"/>
      <c r="C182" s="24"/>
      <c r="D182" s="24"/>
      <c r="E182" s="25">
        <v>8</v>
      </c>
      <c r="F182" s="9"/>
      <c r="G182" s="9"/>
      <c r="H182" s="10"/>
      <c r="I182" s="9"/>
      <c r="J182" s="9"/>
    </row>
    <row x14ac:dyDescent="0.25" r="183" customHeight="1" ht="17.25">
      <c r="A183" s="7"/>
      <c r="B183" s="7"/>
      <c r="C183" s="7"/>
      <c r="D183" s="7"/>
      <c r="E183" s="8"/>
      <c r="F183" s="9"/>
      <c r="G183" s="9"/>
      <c r="H183" s="10"/>
      <c r="I183" s="9"/>
      <c r="J183" s="9"/>
    </row>
    <row x14ac:dyDescent="0.25" r="184" customHeight="1" ht="17.25">
      <c r="A184" s="11" t="s">
        <v>11287</v>
      </c>
      <c r="B184" s="11"/>
      <c r="C184" s="11"/>
      <c r="D184" s="11"/>
      <c r="E184" s="12"/>
      <c r="F184" s="11"/>
      <c r="G184" s="11"/>
      <c r="H184" s="13"/>
      <c r="I184" s="11"/>
      <c r="J184" s="11"/>
    </row>
    <row x14ac:dyDescent="0.25" r="185" customHeight="1" ht="17.25">
      <c r="A185" s="14" t="s">
        <v>3</v>
      </c>
      <c r="B185" s="14" t="s">
        <v>4</v>
      </c>
      <c r="C185" s="14" t="s">
        <v>5</v>
      </c>
      <c r="D185" s="14" t="s">
        <v>6</v>
      </c>
      <c r="E185" s="15" t="s">
        <v>7</v>
      </c>
      <c r="F185" s="14" t="s">
        <v>8</v>
      </c>
      <c r="G185" s="14" t="s">
        <v>9</v>
      </c>
      <c r="H185" s="16" t="s">
        <v>10</v>
      </c>
      <c r="I185" s="14" t="s">
        <v>11</v>
      </c>
      <c r="J185" s="14" t="s">
        <v>12</v>
      </c>
    </row>
    <row x14ac:dyDescent="0.25" r="186" customHeight="1" ht="17.25">
      <c r="A186" s="17" t="s">
        <v>11288</v>
      </c>
      <c r="B186" s="17" t="s">
        <v>314</v>
      </c>
      <c r="C186" s="17" t="s">
        <v>56</v>
      </c>
      <c r="D186" s="17" t="s">
        <v>16</v>
      </c>
      <c r="E186" s="18">
        <f>ROUND(15618*1.05,2)</f>
      </c>
      <c r="F186" s="17" t="s">
        <v>17</v>
      </c>
      <c r="G186" s="17" t="s">
        <v>18</v>
      </c>
      <c r="H186" s="26">
        <f>ROUND(RAND()*4+6,1)</f>
      </c>
      <c r="I186" s="17" t="s">
        <v>19</v>
      </c>
      <c r="J186" s="19">
        <f>ROUND(64*1,0)&amp;"%"</f>
      </c>
    </row>
    <row x14ac:dyDescent="0.25" r="187" customHeight="1" ht="17.25">
      <c r="A187" s="20" t="s">
        <v>11289</v>
      </c>
      <c r="B187" s="20" t="s">
        <v>316</v>
      </c>
      <c r="C187" s="20" t="s">
        <v>56</v>
      </c>
      <c r="D187" s="20" t="s">
        <v>22</v>
      </c>
      <c r="E187" s="21">
        <f>ROUND(14597*1.05,2)</f>
      </c>
      <c r="F187" s="20" t="s">
        <v>23</v>
      </c>
      <c r="G187" s="20" t="s">
        <v>24</v>
      </c>
      <c r="H187" s="21">
        <f>ROUND(RAND()*4+6,1)</f>
      </c>
      <c r="I187" s="20" t="s">
        <v>25</v>
      </c>
      <c r="J187" s="23">
        <f>ROUND(92*1,0)&amp;"%"</f>
      </c>
    </row>
    <row x14ac:dyDescent="0.25" r="188" customHeight="1" ht="17.25">
      <c r="A188" s="17" t="s">
        <v>11290</v>
      </c>
      <c r="B188" s="17" t="s">
        <v>318</v>
      </c>
      <c r="C188" s="17" t="s">
        <v>56</v>
      </c>
      <c r="D188" s="17" t="s">
        <v>28</v>
      </c>
      <c r="E188" s="18">
        <f>ROUND(6075*1.05,2)</f>
      </c>
      <c r="F188" s="17" t="s">
        <v>29</v>
      </c>
      <c r="G188" s="17" t="s">
        <v>30</v>
      </c>
      <c r="H188" s="18">
        <f>ROUND(RAND()*4+6,1)</f>
      </c>
      <c r="I188" s="17" t="s">
        <v>31</v>
      </c>
      <c r="J188" s="19">
        <f>ROUND(69*1,0)&amp;"%"</f>
      </c>
    </row>
    <row x14ac:dyDescent="0.25" r="189" customHeight="1" ht="17.25">
      <c r="A189" s="20" t="s">
        <v>11291</v>
      </c>
      <c r="B189" s="20" t="s">
        <v>320</v>
      </c>
      <c r="C189" s="20" t="s">
        <v>56</v>
      </c>
      <c r="D189" s="20" t="s">
        <v>34</v>
      </c>
      <c r="E189" s="21">
        <f>ROUND(13885*1.05,2)</f>
      </c>
      <c r="F189" s="20" t="s">
        <v>35</v>
      </c>
      <c r="G189" s="20" t="s">
        <v>18</v>
      </c>
      <c r="H189" s="21">
        <f>ROUND(RAND()*4+6,1)</f>
      </c>
      <c r="I189" s="20" t="s">
        <v>36</v>
      </c>
      <c r="J189" s="23">
        <f>ROUND(72*1,0)&amp;"%"</f>
      </c>
    </row>
    <row x14ac:dyDescent="0.25" r="190" customHeight="1" ht="17.25">
      <c r="A190" s="17" t="s">
        <v>11292</v>
      </c>
      <c r="B190" s="17" t="s">
        <v>322</v>
      </c>
      <c r="C190" s="17" t="s">
        <v>56</v>
      </c>
      <c r="D190" s="17" t="s">
        <v>39</v>
      </c>
      <c r="E190" s="18">
        <f>ROUND(6217*1.05,2)</f>
      </c>
      <c r="F190" s="17" t="s">
        <v>40</v>
      </c>
      <c r="G190" s="17" t="s">
        <v>24</v>
      </c>
      <c r="H190" s="18">
        <f>ROUND(RAND()*4+6,1)</f>
      </c>
      <c r="I190" s="17" t="s">
        <v>41</v>
      </c>
      <c r="J190" s="19">
        <f>ROUND(78*1,0)&amp;"%"</f>
      </c>
    </row>
    <row x14ac:dyDescent="0.25" r="191" customHeight="1" ht="17.25">
      <c r="A191" s="20" t="s">
        <v>11293</v>
      </c>
      <c r="B191" s="20" t="s">
        <v>324</v>
      </c>
      <c r="C191" s="20" t="s">
        <v>56</v>
      </c>
      <c r="D191" s="20" t="s">
        <v>67</v>
      </c>
      <c r="E191" s="21">
        <f>ROUND(16074*1.05,2)</f>
      </c>
      <c r="F191" s="20" t="s">
        <v>44</v>
      </c>
      <c r="G191" s="20" t="s">
        <v>30</v>
      </c>
      <c r="H191" s="21">
        <f>ROUND(RAND()*4+6,1)</f>
      </c>
      <c r="I191" s="20" t="s">
        <v>45</v>
      </c>
      <c r="J191" s="23">
        <f>ROUND(79*1,0)&amp;"%"</f>
      </c>
    </row>
    <row x14ac:dyDescent="0.25" r="192" customHeight="1" ht="17.25">
      <c r="A192" s="17" t="s">
        <v>11294</v>
      </c>
      <c r="B192" s="17" t="s">
        <v>326</v>
      </c>
      <c r="C192" s="17" t="s">
        <v>56</v>
      </c>
      <c r="D192" s="17" t="s">
        <v>16</v>
      </c>
      <c r="E192" s="18">
        <f>ROUND(6795*1.05,2)</f>
      </c>
      <c r="F192" s="17" t="s">
        <v>48</v>
      </c>
      <c r="G192" s="17" t="s">
        <v>18</v>
      </c>
      <c r="H192" s="18">
        <f>ROUND(RAND()*4+6,1)</f>
      </c>
      <c r="I192" s="17" t="s">
        <v>19</v>
      </c>
      <c r="J192" s="19">
        <f>ROUND(93*1,0)&amp;"%"</f>
      </c>
    </row>
    <row x14ac:dyDescent="0.25" r="193" customHeight="1" ht="17.25">
      <c r="A193" s="20" t="s">
        <v>11295</v>
      </c>
      <c r="B193" s="20" t="s">
        <v>328</v>
      </c>
      <c r="C193" s="20" t="s">
        <v>56</v>
      </c>
      <c r="D193" s="20" t="s">
        <v>22</v>
      </c>
      <c r="E193" s="21">
        <f>ROUND(11315*1.05,2)</f>
      </c>
      <c r="F193" s="20" t="s">
        <v>51</v>
      </c>
      <c r="G193" s="20" t="s">
        <v>24</v>
      </c>
      <c r="H193" s="21">
        <f>ROUND(RAND()*4+6,1)</f>
      </c>
      <c r="I193" s="20" t="s">
        <v>25</v>
      </c>
      <c r="J193" s="23">
        <f>ROUND(91*1,0)&amp;"%"</f>
      </c>
    </row>
    <row x14ac:dyDescent="0.25" r="194" customHeight="1" ht="17.25">
      <c r="A194" s="24" t="s">
        <v>329</v>
      </c>
      <c r="B194" s="24"/>
      <c r="C194" s="24"/>
      <c r="D194" s="24"/>
      <c r="E194" s="25">
        <v>8</v>
      </c>
      <c r="F194" s="9"/>
      <c r="G194" s="9"/>
      <c r="H194" s="10"/>
      <c r="I194" s="9"/>
      <c r="J194" s="9"/>
    </row>
    <row x14ac:dyDescent="0.25" r="195" customHeight="1" ht="17.25">
      <c r="A195" s="7"/>
      <c r="B195" s="7"/>
      <c r="C195" s="7"/>
      <c r="D195" s="7"/>
      <c r="E195" s="8"/>
      <c r="F195" s="9"/>
      <c r="G195" s="9"/>
      <c r="H195" s="10"/>
      <c r="I195" s="9"/>
      <c r="J195" s="9"/>
    </row>
    <row x14ac:dyDescent="0.25" r="196" customHeight="1" ht="17.25">
      <c r="A196" s="11" t="s">
        <v>11296</v>
      </c>
      <c r="B196" s="11"/>
      <c r="C196" s="11"/>
      <c r="D196" s="11"/>
      <c r="E196" s="12"/>
      <c r="F196" s="11"/>
      <c r="G196" s="11"/>
      <c r="H196" s="13"/>
      <c r="I196" s="11"/>
      <c r="J196" s="11"/>
    </row>
    <row x14ac:dyDescent="0.25" r="197" customHeight="1" ht="17.25">
      <c r="A197" s="14" t="s">
        <v>3</v>
      </c>
      <c r="B197" s="14" t="s">
        <v>4</v>
      </c>
      <c r="C197" s="14" t="s">
        <v>5</v>
      </c>
      <c r="D197" s="14" t="s">
        <v>6</v>
      </c>
      <c r="E197" s="15" t="s">
        <v>7</v>
      </c>
      <c r="F197" s="14" t="s">
        <v>8</v>
      </c>
      <c r="G197" s="14" t="s">
        <v>9</v>
      </c>
      <c r="H197" s="16" t="s">
        <v>10</v>
      </c>
      <c r="I197" s="14" t="s">
        <v>11</v>
      </c>
      <c r="J197" s="14" t="s">
        <v>12</v>
      </c>
    </row>
    <row x14ac:dyDescent="0.25" r="198" customHeight="1" ht="17.25">
      <c r="A198" s="17" t="s">
        <v>11297</v>
      </c>
      <c r="B198" s="17" t="s">
        <v>332</v>
      </c>
      <c r="C198" s="17" t="s">
        <v>76</v>
      </c>
      <c r="D198" s="17" t="s">
        <v>16</v>
      </c>
      <c r="E198" s="18">
        <f>ROUND(9042*1.05,2)</f>
      </c>
      <c r="F198" s="17" t="s">
        <v>17</v>
      </c>
      <c r="G198" s="17" t="s">
        <v>18</v>
      </c>
      <c r="H198" s="18">
        <f>ROUND(RAND()*4+6,1)</f>
      </c>
      <c r="I198" s="17" t="s">
        <v>19</v>
      </c>
      <c r="J198" s="19">
        <f>ROUND(97*1,0)&amp;"%"</f>
      </c>
    </row>
    <row x14ac:dyDescent="0.25" r="199" customHeight="1" ht="17.25">
      <c r="A199" s="20" t="s">
        <v>11298</v>
      </c>
      <c r="B199" s="20" t="s">
        <v>334</v>
      </c>
      <c r="C199" s="20" t="s">
        <v>76</v>
      </c>
      <c r="D199" s="20" t="s">
        <v>22</v>
      </c>
      <c r="E199" s="21">
        <f>ROUND(12098*1.05,2)</f>
      </c>
      <c r="F199" s="20" t="s">
        <v>23</v>
      </c>
      <c r="G199" s="20" t="s">
        <v>24</v>
      </c>
      <c r="H199" s="21">
        <f>ROUND(RAND()*4+6,1)</f>
      </c>
      <c r="I199" s="20" t="s">
        <v>25</v>
      </c>
      <c r="J199" s="23">
        <f>ROUND(91*1,0)&amp;"%"</f>
      </c>
    </row>
    <row x14ac:dyDescent="0.25" r="200" customHeight="1" ht="17.25">
      <c r="A200" s="17" t="s">
        <v>11299</v>
      </c>
      <c r="B200" s="17" t="s">
        <v>336</v>
      </c>
      <c r="C200" s="17" t="s">
        <v>76</v>
      </c>
      <c r="D200" s="17" t="s">
        <v>28</v>
      </c>
      <c r="E200" s="18">
        <f>ROUND(14896*1.05,2)</f>
      </c>
      <c r="F200" s="17" t="s">
        <v>29</v>
      </c>
      <c r="G200" s="17" t="s">
        <v>30</v>
      </c>
      <c r="H200" s="18">
        <f>ROUND(RAND()*4+6,1)</f>
      </c>
      <c r="I200" s="17" t="s">
        <v>31</v>
      </c>
      <c r="J200" s="19">
        <f>ROUND(83*1,0)&amp;"%"</f>
      </c>
    </row>
    <row x14ac:dyDescent="0.25" r="201" customHeight="1" ht="17.25">
      <c r="A201" s="20" t="s">
        <v>11300</v>
      </c>
      <c r="B201" s="20" t="s">
        <v>338</v>
      </c>
      <c r="C201" s="20" t="s">
        <v>76</v>
      </c>
      <c r="D201" s="20" t="s">
        <v>34</v>
      </c>
      <c r="E201" s="21">
        <f>ROUND(11299*1.05,2)</f>
      </c>
      <c r="F201" s="20" t="s">
        <v>35</v>
      </c>
      <c r="G201" s="20" t="s">
        <v>18</v>
      </c>
      <c r="H201" s="22">
        <f>ROUND(RAND()*4+6,1)</f>
      </c>
      <c r="I201" s="20" t="s">
        <v>36</v>
      </c>
      <c r="J201" s="23">
        <f>ROUND(94*1,0)&amp;"%"</f>
      </c>
    </row>
    <row x14ac:dyDescent="0.25" r="202" customHeight="1" ht="17.25">
      <c r="A202" s="17" t="s">
        <v>11301</v>
      </c>
      <c r="B202" s="17" t="s">
        <v>340</v>
      </c>
      <c r="C202" s="17" t="s">
        <v>76</v>
      </c>
      <c r="D202" s="17" t="s">
        <v>39</v>
      </c>
      <c r="E202" s="18">
        <f>ROUND(10831*1.05,2)</f>
      </c>
      <c r="F202" s="17" t="s">
        <v>40</v>
      </c>
      <c r="G202" s="17" t="s">
        <v>24</v>
      </c>
      <c r="H202" s="18">
        <f>ROUND(RAND()*4+6,1)</f>
      </c>
      <c r="I202" s="17" t="s">
        <v>41</v>
      </c>
      <c r="J202" s="19">
        <f>ROUND(96*1,0)&amp;"%"</f>
      </c>
    </row>
    <row x14ac:dyDescent="0.25" r="203" customHeight="1" ht="17.25">
      <c r="A203" s="20" t="s">
        <v>11302</v>
      </c>
      <c r="B203" s="20" t="s">
        <v>342</v>
      </c>
      <c r="C203" s="20" t="s">
        <v>76</v>
      </c>
      <c r="D203" s="20" t="s">
        <v>67</v>
      </c>
      <c r="E203" s="21">
        <f>ROUND(4494*1.05,2)</f>
      </c>
      <c r="F203" s="20" t="s">
        <v>44</v>
      </c>
      <c r="G203" s="20" t="s">
        <v>30</v>
      </c>
      <c r="H203" s="21">
        <f>ROUND(RAND()*4+6,1)</f>
      </c>
      <c r="I203" s="20" t="s">
        <v>45</v>
      </c>
      <c r="J203" s="23">
        <f>ROUND(93*1,0)&amp;"%"</f>
      </c>
    </row>
    <row x14ac:dyDescent="0.25" r="204" customHeight="1" ht="17.25">
      <c r="A204" s="17" t="s">
        <v>11303</v>
      </c>
      <c r="B204" s="17" t="s">
        <v>344</v>
      </c>
      <c r="C204" s="17" t="s">
        <v>76</v>
      </c>
      <c r="D204" s="17" t="s">
        <v>16</v>
      </c>
      <c r="E204" s="18">
        <f>ROUND(16676*1.05,2)</f>
      </c>
      <c r="F204" s="17" t="s">
        <v>48</v>
      </c>
      <c r="G204" s="17" t="s">
        <v>18</v>
      </c>
      <c r="H204" s="18">
        <f>ROUND(RAND()*4+6,1)</f>
      </c>
      <c r="I204" s="17" t="s">
        <v>19</v>
      </c>
      <c r="J204" s="19">
        <f>ROUND(93*1,0)&amp;"%"</f>
      </c>
    </row>
    <row x14ac:dyDescent="0.25" r="205" customHeight="1" ht="17.25">
      <c r="A205" s="20" t="s">
        <v>11304</v>
      </c>
      <c r="B205" s="20" t="s">
        <v>346</v>
      </c>
      <c r="C205" s="20" t="s">
        <v>76</v>
      </c>
      <c r="D205" s="20" t="s">
        <v>22</v>
      </c>
      <c r="E205" s="21">
        <f>ROUND(4127*1.05,2)</f>
      </c>
      <c r="F205" s="20" t="s">
        <v>51</v>
      </c>
      <c r="G205" s="20" t="s">
        <v>24</v>
      </c>
      <c r="H205" s="21">
        <f>ROUND(RAND()*4+6,1)</f>
      </c>
      <c r="I205" s="20" t="s">
        <v>25</v>
      </c>
      <c r="J205" s="23">
        <f>ROUND(83*1,0)&amp;"%"</f>
      </c>
    </row>
    <row x14ac:dyDescent="0.25" r="206" customHeight="1" ht="17.25">
      <c r="A206" s="24" t="s">
        <v>347</v>
      </c>
      <c r="B206" s="24"/>
      <c r="C206" s="24"/>
      <c r="D206" s="24"/>
      <c r="E206" s="25">
        <v>8</v>
      </c>
      <c r="F206" s="9"/>
      <c r="G206" s="9"/>
      <c r="H206" s="10"/>
      <c r="I206" s="9"/>
      <c r="J206" s="9"/>
    </row>
    <row x14ac:dyDescent="0.25" r="207" customHeight="1" ht="17.25">
      <c r="A207" s="7"/>
      <c r="B207" s="7"/>
      <c r="C207" s="7"/>
      <c r="D207" s="7"/>
      <c r="E207" s="8"/>
      <c r="F207" s="9"/>
      <c r="G207" s="9"/>
      <c r="H207" s="10"/>
      <c r="I207" s="9"/>
      <c r="J207" s="9"/>
    </row>
    <row x14ac:dyDescent="0.25" r="208" customHeight="1" ht="17.25">
      <c r="A208" s="11" t="s">
        <v>11305</v>
      </c>
      <c r="B208" s="11"/>
      <c r="C208" s="11"/>
      <c r="D208" s="11"/>
      <c r="E208" s="12"/>
      <c r="F208" s="11"/>
      <c r="G208" s="11"/>
      <c r="H208" s="13"/>
      <c r="I208" s="11"/>
      <c r="J208" s="11"/>
    </row>
    <row x14ac:dyDescent="0.25" r="209" customHeight="1" ht="17.25">
      <c r="A209" s="14" t="s">
        <v>3</v>
      </c>
      <c r="B209" s="14" t="s">
        <v>4</v>
      </c>
      <c r="C209" s="14" t="s">
        <v>5</v>
      </c>
      <c r="D209" s="14" t="s">
        <v>6</v>
      </c>
      <c r="E209" s="15" t="s">
        <v>7</v>
      </c>
      <c r="F209" s="14" t="s">
        <v>8</v>
      </c>
      <c r="G209" s="14" t="s">
        <v>9</v>
      </c>
      <c r="H209" s="16" t="s">
        <v>10</v>
      </c>
      <c r="I209" s="14" t="s">
        <v>11</v>
      </c>
      <c r="J209" s="14" t="s">
        <v>12</v>
      </c>
    </row>
    <row x14ac:dyDescent="0.25" r="210" customHeight="1" ht="17.25">
      <c r="A210" s="17" t="s">
        <v>11306</v>
      </c>
      <c r="B210" s="17" t="s">
        <v>350</v>
      </c>
      <c r="C210" s="17" t="s">
        <v>95</v>
      </c>
      <c r="D210" s="17" t="s">
        <v>16</v>
      </c>
      <c r="E210" s="26">
        <f>ROUND(4020*1.05,2)</f>
      </c>
      <c r="F210" s="17" t="s">
        <v>17</v>
      </c>
      <c r="G210" s="17" t="s">
        <v>18</v>
      </c>
      <c r="H210" s="18">
        <f>ROUND(RAND()*4+6,1)</f>
      </c>
      <c r="I210" s="17" t="s">
        <v>19</v>
      </c>
      <c r="J210" s="19">
        <f>ROUND(81*1,0)&amp;"%"</f>
      </c>
    </row>
    <row x14ac:dyDescent="0.25" r="211" customHeight="1" ht="17.25">
      <c r="A211" s="20" t="s">
        <v>11307</v>
      </c>
      <c r="B211" s="20" t="s">
        <v>352</v>
      </c>
      <c r="C211" s="20" t="s">
        <v>95</v>
      </c>
      <c r="D211" s="20" t="s">
        <v>22</v>
      </c>
      <c r="E211" s="21">
        <f>ROUND(4451*1.05,2)</f>
      </c>
      <c r="F211" s="20" t="s">
        <v>23</v>
      </c>
      <c r="G211" s="20" t="s">
        <v>24</v>
      </c>
      <c r="H211" s="21">
        <f>ROUND(RAND()*4+6,1)</f>
      </c>
      <c r="I211" s="20" t="s">
        <v>25</v>
      </c>
      <c r="J211" s="23">
        <f>ROUND(66*1,0)&amp;"%"</f>
      </c>
    </row>
    <row x14ac:dyDescent="0.25" r="212" customHeight="1" ht="17.25">
      <c r="A212" s="17" t="s">
        <v>11308</v>
      </c>
      <c r="B212" s="17" t="s">
        <v>354</v>
      </c>
      <c r="C212" s="17" t="s">
        <v>95</v>
      </c>
      <c r="D212" s="17" t="s">
        <v>28</v>
      </c>
      <c r="E212" s="26">
        <f>ROUND(11040*1.05,2)</f>
      </c>
      <c r="F212" s="17" t="s">
        <v>29</v>
      </c>
      <c r="G212" s="17" t="s">
        <v>30</v>
      </c>
      <c r="H212" s="18">
        <f>ROUND(RAND()*4+6,1)</f>
      </c>
      <c r="I212" s="17" t="s">
        <v>31</v>
      </c>
      <c r="J212" s="19">
        <f>ROUND(65*1,0)&amp;"%"</f>
      </c>
    </row>
    <row x14ac:dyDescent="0.25" r="213" customHeight="1" ht="17.25">
      <c r="A213" s="20" t="s">
        <v>11309</v>
      </c>
      <c r="B213" s="20" t="s">
        <v>356</v>
      </c>
      <c r="C213" s="20" t="s">
        <v>95</v>
      </c>
      <c r="D213" s="20" t="s">
        <v>34</v>
      </c>
      <c r="E213" s="21">
        <f>ROUND(6083*1.05,2)</f>
      </c>
      <c r="F213" s="20" t="s">
        <v>35</v>
      </c>
      <c r="G213" s="20" t="s">
        <v>18</v>
      </c>
      <c r="H213" s="21">
        <f>ROUND(RAND()*4+6,1)</f>
      </c>
      <c r="I213" s="20" t="s">
        <v>36</v>
      </c>
      <c r="J213" s="23">
        <f>ROUND(76*1,0)&amp;"%"</f>
      </c>
    </row>
    <row x14ac:dyDescent="0.25" r="214" customHeight="1" ht="17.25">
      <c r="A214" s="17" t="s">
        <v>11310</v>
      </c>
      <c r="B214" s="17" t="s">
        <v>358</v>
      </c>
      <c r="C214" s="17" t="s">
        <v>95</v>
      </c>
      <c r="D214" s="17" t="s">
        <v>39</v>
      </c>
      <c r="E214" s="18">
        <f>ROUND(15302*1.05,2)</f>
      </c>
      <c r="F214" s="17" t="s">
        <v>40</v>
      </c>
      <c r="G214" s="17" t="s">
        <v>24</v>
      </c>
      <c r="H214" s="18">
        <f>ROUND(RAND()*4+6,1)</f>
      </c>
      <c r="I214" s="17" t="s">
        <v>41</v>
      </c>
      <c r="J214" s="19">
        <f>ROUND(91*1,0)&amp;"%"</f>
      </c>
    </row>
    <row x14ac:dyDescent="0.25" r="215" customHeight="1" ht="17.25">
      <c r="A215" s="20" t="s">
        <v>11311</v>
      </c>
      <c r="B215" s="20" t="s">
        <v>360</v>
      </c>
      <c r="C215" s="20" t="s">
        <v>95</v>
      </c>
      <c r="D215" s="20" t="s">
        <v>67</v>
      </c>
      <c r="E215" s="21">
        <f>ROUND(14685*1.05,2)</f>
      </c>
      <c r="F215" s="20" t="s">
        <v>44</v>
      </c>
      <c r="G215" s="20" t="s">
        <v>30</v>
      </c>
      <c r="H215" s="22">
        <f>ROUND(RAND()*4+6,1)</f>
      </c>
      <c r="I215" s="20" t="s">
        <v>45</v>
      </c>
      <c r="J215" s="23">
        <f>ROUND(78*1,0)&amp;"%"</f>
      </c>
    </row>
    <row x14ac:dyDescent="0.25" r="216" customHeight="1" ht="17.25">
      <c r="A216" s="17" t="s">
        <v>11312</v>
      </c>
      <c r="B216" s="17" t="s">
        <v>362</v>
      </c>
      <c r="C216" s="17" t="s">
        <v>95</v>
      </c>
      <c r="D216" s="17" t="s">
        <v>16</v>
      </c>
      <c r="E216" s="18">
        <f>ROUND(11304*1.05,2)</f>
      </c>
      <c r="F216" s="17" t="s">
        <v>48</v>
      </c>
      <c r="G216" s="17" t="s">
        <v>18</v>
      </c>
      <c r="H216" s="18">
        <f>ROUND(RAND()*4+6,1)</f>
      </c>
      <c r="I216" s="17" t="s">
        <v>19</v>
      </c>
      <c r="J216" s="19">
        <f>ROUND(83*1,0)&amp;"%"</f>
      </c>
    </row>
    <row x14ac:dyDescent="0.25" r="217" customHeight="1" ht="17.25">
      <c r="A217" s="20" t="s">
        <v>11313</v>
      </c>
      <c r="B217" s="20" t="s">
        <v>364</v>
      </c>
      <c r="C217" s="20" t="s">
        <v>95</v>
      </c>
      <c r="D217" s="20" t="s">
        <v>22</v>
      </c>
      <c r="E217" s="21">
        <f>ROUND(14959*1.05,2)</f>
      </c>
      <c r="F217" s="20" t="s">
        <v>51</v>
      </c>
      <c r="G217" s="20" t="s">
        <v>24</v>
      </c>
      <c r="H217" s="21">
        <f>ROUND(RAND()*4+6,1)</f>
      </c>
      <c r="I217" s="20" t="s">
        <v>25</v>
      </c>
      <c r="J217" s="23">
        <f>ROUND(75*1,0)&amp;"%"</f>
      </c>
    </row>
    <row x14ac:dyDescent="0.25" r="218" customHeight="1" ht="17.25">
      <c r="A218" s="24" t="s">
        <v>365</v>
      </c>
      <c r="B218" s="24"/>
      <c r="C218" s="24"/>
      <c r="D218" s="24"/>
      <c r="E218" s="25">
        <v>8</v>
      </c>
      <c r="F218" s="9"/>
      <c r="G218" s="9"/>
      <c r="H218" s="10"/>
      <c r="I218" s="9"/>
      <c r="J218" s="9"/>
    </row>
    <row x14ac:dyDescent="0.25" r="219" customHeight="1" ht="17.25">
      <c r="A219" s="7"/>
      <c r="B219" s="7"/>
      <c r="C219" s="7"/>
      <c r="D219" s="7"/>
      <c r="E219" s="8"/>
      <c r="F219" s="9"/>
      <c r="G219" s="9"/>
      <c r="H219" s="10"/>
      <c r="I219" s="9"/>
      <c r="J219" s="9"/>
    </row>
    <row x14ac:dyDescent="0.25" r="220" customHeight="1" ht="17.25">
      <c r="A220" s="11" t="s">
        <v>11314</v>
      </c>
      <c r="B220" s="11"/>
      <c r="C220" s="11"/>
      <c r="D220" s="11"/>
      <c r="E220" s="12"/>
      <c r="F220" s="11"/>
      <c r="G220" s="11"/>
      <c r="H220" s="13"/>
      <c r="I220" s="11"/>
      <c r="J220" s="11"/>
    </row>
    <row x14ac:dyDescent="0.25" r="221" customHeight="1" ht="17.25">
      <c r="A221" s="14" t="s">
        <v>3</v>
      </c>
      <c r="B221" s="14" t="s">
        <v>4</v>
      </c>
      <c r="C221" s="14" t="s">
        <v>5</v>
      </c>
      <c r="D221" s="14" t="s">
        <v>6</v>
      </c>
      <c r="E221" s="15" t="s">
        <v>7</v>
      </c>
      <c r="F221" s="14" t="s">
        <v>8</v>
      </c>
      <c r="G221" s="14" t="s">
        <v>9</v>
      </c>
      <c r="H221" s="16" t="s">
        <v>10</v>
      </c>
      <c r="I221" s="14" t="s">
        <v>11</v>
      </c>
      <c r="J221" s="14" t="s">
        <v>12</v>
      </c>
    </row>
    <row x14ac:dyDescent="0.25" r="222" customHeight="1" ht="17.25">
      <c r="A222" s="17" t="s">
        <v>11315</v>
      </c>
      <c r="B222" s="17" t="s">
        <v>368</v>
      </c>
      <c r="C222" s="17" t="s">
        <v>114</v>
      </c>
      <c r="D222" s="17" t="s">
        <v>16</v>
      </c>
      <c r="E222" s="18">
        <f>ROUND(12528*1.05,2)</f>
      </c>
      <c r="F222" s="17" t="s">
        <v>17</v>
      </c>
      <c r="G222" s="17" t="s">
        <v>18</v>
      </c>
      <c r="H222" s="18">
        <f>ROUND(RAND()*4+6,1)</f>
      </c>
      <c r="I222" s="17" t="s">
        <v>19</v>
      </c>
      <c r="J222" s="19">
        <f>ROUND(68*1,0)&amp;"%"</f>
      </c>
    </row>
    <row x14ac:dyDescent="0.25" r="223" customHeight="1" ht="17.25">
      <c r="A223" s="20" t="s">
        <v>11316</v>
      </c>
      <c r="B223" s="20" t="s">
        <v>370</v>
      </c>
      <c r="C223" s="20" t="s">
        <v>114</v>
      </c>
      <c r="D223" s="20" t="s">
        <v>22</v>
      </c>
      <c r="E223" s="21">
        <f>ROUND(7787*1.05,2)</f>
      </c>
      <c r="F223" s="20" t="s">
        <v>23</v>
      </c>
      <c r="G223" s="20" t="s">
        <v>24</v>
      </c>
      <c r="H223" s="21">
        <f>ROUND(RAND()*4+6,1)</f>
      </c>
      <c r="I223" s="20" t="s">
        <v>25</v>
      </c>
      <c r="J223" s="23">
        <f>ROUND(91*1,0)&amp;"%"</f>
      </c>
    </row>
    <row x14ac:dyDescent="0.25" r="224" customHeight="1" ht="17.25">
      <c r="A224" s="17" t="s">
        <v>11317</v>
      </c>
      <c r="B224" s="17" t="s">
        <v>372</v>
      </c>
      <c r="C224" s="17" t="s">
        <v>114</v>
      </c>
      <c r="D224" s="17" t="s">
        <v>28</v>
      </c>
      <c r="E224" s="18">
        <f>ROUND(6462*1.05,2)</f>
      </c>
      <c r="F224" s="17" t="s">
        <v>29</v>
      </c>
      <c r="G224" s="17" t="s">
        <v>30</v>
      </c>
      <c r="H224" s="26">
        <f>ROUND(RAND()*4+6,1)</f>
      </c>
      <c r="I224" s="17" t="s">
        <v>31</v>
      </c>
      <c r="J224" s="19">
        <f>ROUND(96*1,0)&amp;"%"</f>
      </c>
    </row>
    <row x14ac:dyDescent="0.25" r="225" customHeight="1" ht="17.25">
      <c r="A225" s="20" t="s">
        <v>11318</v>
      </c>
      <c r="B225" s="20" t="s">
        <v>374</v>
      </c>
      <c r="C225" s="20" t="s">
        <v>114</v>
      </c>
      <c r="D225" s="20" t="s">
        <v>34</v>
      </c>
      <c r="E225" s="21">
        <f>ROUND(10941*1.05,2)</f>
      </c>
      <c r="F225" s="20" t="s">
        <v>35</v>
      </c>
      <c r="G225" s="20" t="s">
        <v>18</v>
      </c>
      <c r="H225" s="21">
        <f>ROUND(RAND()*4+6,1)</f>
      </c>
      <c r="I225" s="20" t="s">
        <v>36</v>
      </c>
      <c r="J225" s="23">
        <f>ROUND(70*1,0)&amp;"%"</f>
      </c>
    </row>
    <row x14ac:dyDescent="0.25" r="226" customHeight="1" ht="17.25">
      <c r="A226" s="17" t="s">
        <v>11319</v>
      </c>
      <c r="B226" s="17" t="s">
        <v>376</v>
      </c>
      <c r="C226" s="17" t="s">
        <v>114</v>
      </c>
      <c r="D226" s="17" t="s">
        <v>39</v>
      </c>
      <c r="E226" s="18">
        <f>ROUND(12944*1.05,2)</f>
      </c>
      <c r="F226" s="17" t="s">
        <v>40</v>
      </c>
      <c r="G226" s="17" t="s">
        <v>24</v>
      </c>
      <c r="H226" s="18">
        <f>ROUND(RAND()*4+6,1)</f>
      </c>
      <c r="I226" s="17" t="s">
        <v>41</v>
      </c>
      <c r="J226" s="19">
        <f>ROUND(60*1,0)&amp;"%"</f>
      </c>
    </row>
    <row x14ac:dyDescent="0.25" r="227" customHeight="1" ht="17.25">
      <c r="A227" s="20" t="s">
        <v>11320</v>
      </c>
      <c r="B227" s="20" t="s">
        <v>378</v>
      </c>
      <c r="C227" s="20" t="s">
        <v>114</v>
      </c>
      <c r="D227" s="20" t="s">
        <v>67</v>
      </c>
      <c r="E227" s="21">
        <f>ROUND(7532*1.05,2)</f>
      </c>
      <c r="F227" s="20" t="s">
        <v>44</v>
      </c>
      <c r="G227" s="20" t="s">
        <v>30</v>
      </c>
      <c r="H227" s="21">
        <f>ROUND(RAND()*4+6,1)</f>
      </c>
      <c r="I227" s="20" t="s">
        <v>45</v>
      </c>
      <c r="J227" s="23">
        <f>ROUND(79*1,0)&amp;"%"</f>
      </c>
    </row>
    <row x14ac:dyDescent="0.25" r="228" customHeight="1" ht="17.25">
      <c r="A228" s="17" t="s">
        <v>11321</v>
      </c>
      <c r="B228" s="17" t="s">
        <v>380</v>
      </c>
      <c r="C228" s="17" t="s">
        <v>114</v>
      </c>
      <c r="D228" s="17" t="s">
        <v>16</v>
      </c>
      <c r="E228" s="18">
        <f>ROUND(16544*1.05,2)</f>
      </c>
      <c r="F228" s="17" t="s">
        <v>48</v>
      </c>
      <c r="G228" s="17" t="s">
        <v>18</v>
      </c>
      <c r="H228" s="18">
        <f>ROUND(RAND()*4+6,1)</f>
      </c>
      <c r="I228" s="17" t="s">
        <v>19</v>
      </c>
      <c r="J228" s="19">
        <f>ROUND(83*1,0)&amp;"%"</f>
      </c>
    </row>
    <row x14ac:dyDescent="0.25" r="229" customHeight="1" ht="17.25">
      <c r="A229" s="20" t="s">
        <v>11322</v>
      </c>
      <c r="B229" s="20" t="s">
        <v>382</v>
      </c>
      <c r="C229" s="20" t="s">
        <v>114</v>
      </c>
      <c r="D229" s="20" t="s">
        <v>22</v>
      </c>
      <c r="E229" s="21">
        <f>ROUND(5901*1.05,2)</f>
      </c>
      <c r="F229" s="20" t="s">
        <v>51</v>
      </c>
      <c r="G229" s="20" t="s">
        <v>24</v>
      </c>
      <c r="H229" s="21">
        <f>ROUND(RAND()*4+6,1)</f>
      </c>
      <c r="I229" s="20" t="s">
        <v>25</v>
      </c>
      <c r="J229" s="23">
        <f>ROUND(90*1,0)&amp;"%"</f>
      </c>
    </row>
    <row x14ac:dyDescent="0.25" r="230" customHeight="1" ht="17.25">
      <c r="A230" s="24" t="s">
        <v>383</v>
      </c>
      <c r="B230" s="24"/>
      <c r="C230" s="24"/>
      <c r="D230" s="24"/>
      <c r="E230" s="25">
        <v>8</v>
      </c>
      <c r="F230" s="9"/>
      <c r="G230" s="9"/>
      <c r="H230" s="10"/>
      <c r="I230" s="9"/>
      <c r="J230" s="9"/>
    </row>
    <row x14ac:dyDescent="0.25" r="231" customHeight="1" ht="17.25">
      <c r="A231" s="7"/>
      <c r="B231" s="7"/>
      <c r="C231" s="7"/>
      <c r="D231" s="7"/>
      <c r="E231" s="8"/>
      <c r="F231" s="9"/>
      <c r="G231" s="9"/>
      <c r="H231" s="10"/>
      <c r="I231" s="9"/>
      <c r="J231" s="9"/>
    </row>
    <row x14ac:dyDescent="0.25" r="232" customHeight="1" ht="17.25">
      <c r="A232" s="11" t="s">
        <v>11323</v>
      </c>
      <c r="B232" s="11"/>
      <c r="C232" s="11"/>
      <c r="D232" s="11"/>
      <c r="E232" s="12"/>
      <c r="F232" s="11"/>
      <c r="G232" s="11"/>
      <c r="H232" s="13"/>
      <c r="I232" s="11"/>
      <c r="J232" s="11"/>
    </row>
    <row x14ac:dyDescent="0.25" r="233" customHeight="1" ht="17.25">
      <c r="A233" s="14" t="s">
        <v>3</v>
      </c>
      <c r="B233" s="14" t="s">
        <v>4</v>
      </c>
      <c r="C233" s="14" t="s">
        <v>5</v>
      </c>
      <c r="D233" s="14" t="s">
        <v>6</v>
      </c>
      <c r="E233" s="15" t="s">
        <v>7</v>
      </c>
      <c r="F233" s="14" t="s">
        <v>8</v>
      </c>
      <c r="G233" s="14" t="s">
        <v>9</v>
      </c>
      <c r="H233" s="16" t="s">
        <v>10</v>
      </c>
      <c r="I233" s="14" t="s">
        <v>11</v>
      </c>
      <c r="J233" s="14" t="s">
        <v>12</v>
      </c>
    </row>
    <row x14ac:dyDescent="0.25" r="234" customHeight="1" ht="17.25">
      <c r="A234" s="17" t="s">
        <v>11324</v>
      </c>
      <c r="B234" s="17" t="s">
        <v>386</v>
      </c>
      <c r="C234" s="17" t="s">
        <v>133</v>
      </c>
      <c r="D234" s="17" t="s">
        <v>16</v>
      </c>
      <c r="E234" s="18">
        <f>ROUND(13042*1.05,2)</f>
      </c>
      <c r="F234" s="17" t="s">
        <v>17</v>
      </c>
      <c r="G234" s="17" t="s">
        <v>18</v>
      </c>
      <c r="H234" s="18">
        <f>ROUND(RAND()*4+6,1)</f>
      </c>
      <c r="I234" s="17" t="s">
        <v>19</v>
      </c>
      <c r="J234" s="19">
        <f>ROUND(90*1,0)&amp;"%"</f>
      </c>
    </row>
    <row x14ac:dyDescent="0.25" r="235" customHeight="1" ht="17.25">
      <c r="A235" s="20" t="s">
        <v>11325</v>
      </c>
      <c r="B235" s="20" t="s">
        <v>388</v>
      </c>
      <c r="C235" s="20" t="s">
        <v>133</v>
      </c>
      <c r="D235" s="20" t="s">
        <v>22</v>
      </c>
      <c r="E235" s="21">
        <f>ROUND(6790*1.05,2)</f>
      </c>
      <c r="F235" s="20" t="s">
        <v>23</v>
      </c>
      <c r="G235" s="20" t="s">
        <v>24</v>
      </c>
      <c r="H235" s="21">
        <f>ROUND(RAND()*4+6,1)</f>
      </c>
      <c r="I235" s="20" t="s">
        <v>25</v>
      </c>
      <c r="J235" s="23">
        <f>ROUND(86*1,0)&amp;"%"</f>
      </c>
    </row>
    <row x14ac:dyDescent="0.25" r="236" customHeight="1" ht="17.25">
      <c r="A236" s="17" t="s">
        <v>11326</v>
      </c>
      <c r="B236" s="17" t="s">
        <v>390</v>
      </c>
      <c r="C236" s="17" t="s">
        <v>133</v>
      </c>
      <c r="D236" s="17" t="s">
        <v>28</v>
      </c>
      <c r="E236" s="18">
        <f>ROUND(10118*1.05,2)</f>
      </c>
      <c r="F236" s="17" t="s">
        <v>29</v>
      </c>
      <c r="G236" s="17" t="s">
        <v>30</v>
      </c>
      <c r="H236" s="18">
        <f>ROUND(RAND()*4+6,1)</f>
      </c>
      <c r="I236" s="17" t="s">
        <v>31</v>
      </c>
      <c r="J236" s="19">
        <f>ROUND(98*1,0)&amp;"%"</f>
      </c>
    </row>
    <row x14ac:dyDescent="0.25" r="237" customHeight="1" ht="17.25">
      <c r="A237" s="20" t="s">
        <v>11327</v>
      </c>
      <c r="B237" s="20" t="s">
        <v>392</v>
      </c>
      <c r="C237" s="20" t="s">
        <v>133</v>
      </c>
      <c r="D237" s="20" t="s">
        <v>34</v>
      </c>
      <c r="E237" s="21">
        <f>ROUND(8689*1.05,2)</f>
      </c>
      <c r="F237" s="20" t="s">
        <v>35</v>
      </c>
      <c r="G237" s="20" t="s">
        <v>18</v>
      </c>
      <c r="H237" s="22">
        <f>ROUND(RAND()*4+6,1)</f>
      </c>
      <c r="I237" s="20" t="s">
        <v>36</v>
      </c>
      <c r="J237" s="23">
        <f>ROUND(96*1,0)&amp;"%"</f>
      </c>
    </row>
    <row x14ac:dyDescent="0.25" r="238" customHeight="1" ht="17.25">
      <c r="A238" s="17" t="s">
        <v>11328</v>
      </c>
      <c r="B238" s="17" t="s">
        <v>394</v>
      </c>
      <c r="C238" s="17" t="s">
        <v>133</v>
      </c>
      <c r="D238" s="17" t="s">
        <v>39</v>
      </c>
      <c r="E238" s="18">
        <f>ROUND(10167*1.05,2)</f>
      </c>
      <c r="F238" s="17" t="s">
        <v>40</v>
      </c>
      <c r="G238" s="17" t="s">
        <v>24</v>
      </c>
      <c r="H238" s="18">
        <f>ROUND(RAND()*4+6,1)</f>
      </c>
      <c r="I238" s="17" t="s">
        <v>41</v>
      </c>
      <c r="J238" s="19">
        <f>ROUND(72*1,0)&amp;"%"</f>
      </c>
    </row>
    <row x14ac:dyDescent="0.25" r="239" customHeight="1" ht="17.25">
      <c r="A239" s="20" t="s">
        <v>11329</v>
      </c>
      <c r="B239" s="20" t="s">
        <v>396</v>
      </c>
      <c r="C239" s="20" t="s">
        <v>133</v>
      </c>
      <c r="D239" s="20" t="s">
        <v>67</v>
      </c>
      <c r="E239" s="21">
        <f>ROUND(13764*1.05,2)</f>
      </c>
      <c r="F239" s="20" t="s">
        <v>44</v>
      </c>
      <c r="G239" s="20" t="s">
        <v>30</v>
      </c>
      <c r="H239" s="21">
        <f>ROUND(RAND()*4+6,1)</f>
      </c>
      <c r="I239" s="20" t="s">
        <v>45</v>
      </c>
      <c r="J239" s="23">
        <f>ROUND(68*1,0)&amp;"%"</f>
      </c>
    </row>
    <row x14ac:dyDescent="0.25" r="240" customHeight="1" ht="17.25">
      <c r="A240" s="17" t="s">
        <v>11330</v>
      </c>
      <c r="B240" s="17" t="s">
        <v>398</v>
      </c>
      <c r="C240" s="17" t="s">
        <v>133</v>
      </c>
      <c r="D240" s="17" t="s">
        <v>16</v>
      </c>
      <c r="E240" s="26">
        <f>ROUND(12800*1.05,2)</f>
      </c>
      <c r="F240" s="17" t="s">
        <v>48</v>
      </c>
      <c r="G240" s="17" t="s">
        <v>18</v>
      </c>
      <c r="H240" s="18">
        <f>ROUND(RAND()*4+6,1)</f>
      </c>
      <c r="I240" s="17" t="s">
        <v>19</v>
      </c>
      <c r="J240" s="19">
        <f>ROUND(74*1,0)&amp;"%"</f>
      </c>
    </row>
    <row x14ac:dyDescent="0.25" r="241" customHeight="1" ht="17.25">
      <c r="A241" s="20" t="s">
        <v>11331</v>
      </c>
      <c r="B241" s="20" t="s">
        <v>400</v>
      </c>
      <c r="C241" s="20" t="s">
        <v>133</v>
      </c>
      <c r="D241" s="20" t="s">
        <v>22</v>
      </c>
      <c r="E241" s="21">
        <f>ROUND(12112*1.05,2)</f>
      </c>
      <c r="F241" s="20" t="s">
        <v>51</v>
      </c>
      <c r="G241" s="20" t="s">
        <v>24</v>
      </c>
      <c r="H241" s="21">
        <f>ROUND(RAND()*4+6,1)</f>
      </c>
      <c r="I241" s="20" t="s">
        <v>25</v>
      </c>
      <c r="J241" s="23">
        <f>ROUND(95*1,0)&amp;"%"</f>
      </c>
    </row>
    <row x14ac:dyDescent="0.25" r="242" customHeight="1" ht="17.25">
      <c r="A242" s="24" t="s">
        <v>401</v>
      </c>
      <c r="B242" s="24"/>
      <c r="C242" s="24"/>
      <c r="D242" s="24"/>
      <c r="E242" s="25">
        <v>8</v>
      </c>
      <c r="F242" s="9"/>
      <c r="G242" s="9"/>
      <c r="H242" s="10"/>
      <c r="I242" s="9"/>
      <c r="J242" s="9"/>
    </row>
    <row x14ac:dyDescent="0.25" r="243" customHeight="1" ht="17.25">
      <c r="A243" s="7"/>
      <c r="B243" s="7"/>
      <c r="C243" s="7"/>
      <c r="D243" s="7"/>
      <c r="E243" s="8"/>
      <c r="F243" s="9"/>
      <c r="G243" s="9"/>
      <c r="H243" s="10"/>
      <c r="I243" s="9"/>
      <c r="J243" s="9"/>
    </row>
    <row x14ac:dyDescent="0.25" r="244" customHeight="1" ht="17.25">
      <c r="A244" s="11" t="s">
        <v>11332</v>
      </c>
      <c r="B244" s="11"/>
      <c r="C244" s="11"/>
      <c r="D244" s="11"/>
      <c r="E244" s="12"/>
      <c r="F244" s="11"/>
      <c r="G244" s="11"/>
      <c r="H244" s="13"/>
      <c r="I244" s="11"/>
      <c r="J244" s="11"/>
    </row>
    <row x14ac:dyDescent="0.25" r="245" customHeight="1" ht="17.25">
      <c r="A245" s="14" t="s">
        <v>3</v>
      </c>
      <c r="B245" s="14" t="s">
        <v>4</v>
      </c>
      <c r="C245" s="14" t="s">
        <v>5</v>
      </c>
      <c r="D245" s="14" t="s">
        <v>6</v>
      </c>
      <c r="E245" s="15" t="s">
        <v>7</v>
      </c>
      <c r="F245" s="14" t="s">
        <v>8</v>
      </c>
      <c r="G245" s="14" t="s">
        <v>9</v>
      </c>
      <c r="H245" s="16" t="s">
        <v>10</v>
      </c>
      <c r="I245" s="14" t="s">
        <v>11</v>
      </c>
      <c r="J245" s="14" t="s">
        <v>12</v>
      </c>
    </row>
    <row x14ac:dyDescent="0.25" r="246" customHeight="1" ht="17.25">
      <c r="A246" s="17" t="s">
        <v>11333</v>
      </c>
      <c r="B246" s="17" t="s">
        <v>404</v>
      </c>
      <c r="C246" s="17" t="s">
        <v>152</v>
      </c>
      <c r="D246" s="17" t="s">
        <v>16</v>
      </c>
      <c r="E246" s="18">
        <f>ROUND(12251*1.05,2)</f>
      </c>
      <c r="F246" s="17" t="s">
        <v>17</v>
      </c>
      <c r="G246" s="17" t="s">
        <v>18</v>
      </c>
      <c r="H246" s="18">
        <f>ROUND(RAND()*4+6,1)</f>
      </c>
      <c r="I246" s="17" t="s">
        <v>19</v>
      </c>
      <c r="J246" s="19">
        <f>ROUND(75*1,0)&amp;"%"</f>
      </c>
    </row>
    <row x14ac:dyDescent="0.25" r="247" customHeight="1" ht="17.25">
      <c r="A247" s="20" t="s">
        <v>11334</v>
      </c>
      <c r="B247" s="20" t="s">
        <v>406</v>
      </c>
      <c r="C247" s="20" t="s">
        <v>152</v>
      </c>
      <c r="D247" s="20" t="s">
        <v>22</v>
      </c>
      <c r="E247" s="21">
        <f>ROUND(5466*1.05,2)</f>
      </c>
      <c r="F247" s="20" t="s">
        <v>23</v>
      </c>
      <c r="G247" s="20" t="s">
        <v>24</v>
      </c>
      <c r="H247" s="21">
        <f>ROUND(RAND()*4+6,1)</f>
      </c>
      <c r="I247" s="20" t="s">
        <v>25</v>
      </c>
      <c r="J247" s="23">
        <f>ROUND(72*1,0)&amp;"%"</f>
      </c>
    </row>
    <row x14ac:dyDescent="0.25" r="248" customHeight="1" ht="17.25">
      <c r="A248" s="17" t="s">
        <v>11335</v>
      </c>
      <c r="B248" s="17" t="s">
        <v>408</v>
      </c>
      <c r="C248" s="17" t="s">
        <v>152</v>
      </c>
      <c r="D248" s="17" t="s">
        <v>28</v>
      </c>
      <c r="E248" s="18">
        <f>ROUND(5888*1.05,2)</f>
      </c>
      <c r="F248" s="17" t="s">
        <v>29</v>
      </c>
      <c r="G248" s="17" t="s">
        <v>30</v>
      </c>
      <c r="H248" s="18">
        <f>ROUND(RAND()*4+6,1)</f>
      </c>
      <c r="I248" s="17" t="s">
        <v>31</v>
      </c>
      <c r="J248" s="19">
        <f>ROUND(60*1,0)&amp;"%"</f>
      </c>
    </row>
    <row x14ac:dyDescent="0.25" r="249" customHeight="1" ht="17.25">
      <c r="A249" s="20" t="s">
        <v>11336</v>
      </c>
      <c r="B249" s="20" t="s">
        <v>410</v>
      </c>
      <c r="C249" s="20" t="s">
        <v>152</v>
      </c>
      <c r="D249" s="20" t="s">
        <v>34</v>
      </c>
      <c r="E249" s="21">
        <f>ROUND(13477*1.05,2)</f>
      </c>
      <c r="F249" s="20" t="s">
        <v>35</v>
      </c>
      <c r="G249" s="20" t="s">
        <v>18</v>
      </c>
      <c r="H249" s="21">
        <f>ROUND(RAND()*4+6,1)</f>
      </c>
      <c r="I249" s="20" t="s">
        <v>36</v>
      </c>
      <c r="J249" s="23">
        <f>ROUND(68*1,0)&amp;"%"</f>
      </c>
    </row>
    <row x14ac:dyDescent="0.25" r="250" customHeight="1" ht="17.25">
      <c r="A250" s="17" t="s">
        <v>11337</v>
      </c>
      <c r="B250" s="17" t="s">
        <v>412</v>
      </c>
      <c r="C250" s="17" t="s">
        <v>152</v>
      </c>
      <c r="D250" s="17" t="s">
        <v>39</v>
      </c>
      <c r="E250" s="18">
        <f>ROUND(4524*1.05,2)</f>
      </c>
      <c r="F250" s="17" t="s">
        <v>40</v>
      </c>
      <c r="G250" s="17" t="s">
        <v>24</v>
      </c>
      <c r="H250" s="18">
        <f>ROUND(RAND()*4+6,1)</f>
      </c>
      <c r="I250" s="17" t="s">
        <v>41</v>
      </c>
      <c r="J250" s="19">
        <f>ROUND(64*1,0)&amp;"%"</f>
      </c>
    </row>
    <row x14ac:dyDescent="0.25" r="251" customHeight="1" ht="17.25">
      <c r="A251" s="20" t="s">
        <v>11338</v>
      </c>
      <c r="B251" s="20" t="s">
        <v>414</v>
      </c>
      <c r="C251" s="20" t="s">
        <v>152</v>
      </c>
      <c r="D251" s="20" t="s">
        <v>67</v>
      </c>
      <c r="E251" s="21">
        <f>ROUND(13359*1.05,2)</f>
      </c>
      <c r="F251" s="20" t="s">
        <v>44</v>
      </c>
      <c r="G251" s="20" t="s">
        <v>30</v>
      </c>
      <c r="H251" s="21">
        <f>ROUND(RAND()*4+6,1)</f>
      </c>
      <c r="I251" s="20" t="s">
        <v>45</v>
      </c>
      <c r="J251" s="23">
        <f>ROUND(75*1,0)&amp;"%"</f>
      </c>
    </row>
    <row x14ac:dyDescent="0.25" r="252" customHeight="1" ht="17.25">
      <c r="A252" s="17" t="s">
        <v>11339</v>
      </c>
      <c r="B252" s="17" t="s">
        <v>416</v>
      </c>
      <c r="C252" s="17" t="s">
        <v>152</v>
      </c>
      <c r="D252" s="17" t="s">
        <v>16</v>
      </c>
      <c r="E252" s="18">
        <f>ROUND(8497*1.05,2)</f>
      </c>
      <c r="F252" s="17" t="s">
        <v>48</v>
      </c>
      <c r="G252" s="17" t="s">
        <v>18</v>
      </c>
      <c r="H252" s="18">
        <f>ROUND(RAND()*4+6,1)</f>
      </c>
      <c r="I252" s="17" t="s">
        <v>19</v>
      </c>
      <c r="J252" s="19">
        <f>ROUND(75*1,0)&amp;"%"</f>
      </c>
    </row>
    <row x14ac:dyDescent="0.25" r="253" customHeight="1" ht="17.25">
      <c r="A253" s="20" t="s">
        <v>11340</v>
      </c>
      <c r="B253" s="20" t="s">
        <v>418</v>
      </c>
      <c r="C253" s="20" t="s">
        <v>152</v>
      </c>
      <c r="D253" s="20" t="s">
        <v>22</v>
      </c>
      <c r="E253" s="21">
        <f>ROUND(16479*1.05,2)</f>
      </c>
      <c r="F253" s="20" t="s">
        <v>51</v>
      </c>
      <c r="G253" s="20" t="s">
        <v>24</v>
      </c>
      <c r="H253" s="21">
        <f>ROUND(RAND()*4+6,1)</f>
      </c>
      <c r="I253" s="20" t="s">
        <v>25</v>
      </c>
      <c r="J253" s="23">
        <f>ROUND(90*1,0)&amp;"%"</f>
      </c>
    </row>
    <row x14ac:dyDescent="0.25" r="254" customHeight="1" ht="17.25">
      <c r="A254" s="24" t="s">
        <v>419</v>
      </c>
      <c r="B254" s="24"/>
      <c r="C254" s="24"/>
      <c r="D254" s="24"/>
      <c r="E254" s="25">
        <v>8</v>
      </c>
      <c r="F254" s="9"/>
      <c r="G254" s="9"/>
      <c r="H254" s="10"/>
      <c r="I254" s="9"/>
      <c r="J254" s="9"/>
    </row>
    <row x14ac:dyDescent="0.25" r="255" customHeight="1" ht="17.25">
      <c r="A255" s="7"/>
      <c r="B255" s="7"/>
      <c r="C255" s="7"/>
      <c r="D255" s="7"/>
      <c r="E255" s="8"/>
      <c r="F255" s="9"/>
      <c r="G255" s="9"/>
      <c r="H255" s="10"/>
      <c r="I255" s="9"/>
      <c r="J255" s="9"/>
    </row>
    <row x14ac:dyDescent="0.25" r="256" customHeight="1" ht="17.25">
      <c r="A256" s="11" t="s">
        <v>11341</v>
      </c>
      <c r="B256" s="11"/>
      <c r="C256" s="11"/>
      <c r="D256" s="11"/>
      <c r="E256" s="12"/>
      <c r="F256" s="11"/>
      <c r="G256" s="11"/>
      <c r="H256" s="13"/>
      <c r="I256" s="11"/>
      <c r="J256" s="11"/>
    </row>
    <row x14ac:dyDescent="0.25" r="257" customHeight="1" ht="17.25">
      <c r="A257" s="14" t="s">
        <v>3</v>
      </c>
      <c r="B257" s="14" t="s">
        <v>4</v>
      </c>
      <c r="C257" s="14" t="s">
        <v>5</v>
      </c>
      <c r="D257" s="14" t="s">
        <v>6</v>
      </c>
      <c r="E257" s="15" t="s">
        <v>7</v>
      </c>
      <c r="F257" s="14" t="s">
        <v>8</v>
      </c>
      <c r="G257" s="14" t="s">
        <v>9</v>
      </c>
      <c r="H257" s="16" t="s">
        <v>10</v>
      </c>
      <c r="I257" s="14" t="s">
        <v>11</v>
      </c>
      <c r="J257" s="14" t="s">
        <v>12</v>
      </c>
    </row>
    <row x14ac:dyDescent="0.25" r="258" customHeight="1" ht="17.25">
      <c r="A258" s="17" t="s">
        <v>11342</v>
      </c>
      <c r="B258" s="17" t="s">
        <v>422</v>
      </c>
      <c r="C258" s="17" t="s">
        <v>15</v>
      </c>
      <c r="D258" s="17" t="s">
        <v>16</v>
      </c>
      <c r="E258" s="18">
        <f>ROUND(4817*1.05,2)</f>
      </c>
      <c r="F258" s="17" t="s">
        <v>17</v>
      </c>
      <c r="G258" s="17" t="s">
        <v>18</v>
      </c>
      <c r="H258" s="18">
        <f>ROUND(RAND()*4+6,1)</f>
      </c>
      <c r="I258" s="17" t="s">
        <v>19</v>
      </c>
      <c r="J258" s="19">
        <f>ROUND(92*1,0)&amp;"%"</f>
      </c>
    </row>
    <row x14ac:dyDescent="0.25" r="259" customHeight="1" ht="17.25">
      <c r="A259" s="20" t="s">
        <v>11343</v>
      </c>
      <c r="B259" s="20" t="s">
        <v>424</v>
      </c>
      <c r="C259" s="20" t="s">
        <v>15</v>
      </c>
      <c r="D259" s="20" t="s">
        <v>22</v>
      </c>
      <c r="E259" s="21">
        <f>ROUND(11129*1.05,2)</f>
      </c>
      <c r="F259" s="20" t="s">
        <v>23</v>
      </c>
      <c r="G259" s="20" t="s">
        <v>24</v>
      </c>
      <c r="H259" s="21">
        <f>ROUND(RAND()*4+6,1)</f>
      </c>
      <c r="I259" s="20" t="s">
        <v>25</v>
      </c>
      <c r="J259" s="23">
        <f>ROUND(81*1,0)&amp;"%"</f>
      </c>
    </row>
    <row x14ac:dyDescent="0.25" r="260" customHeight="1" ht="17.25">
      <c r="A260" s="17" t="s">
        <v>11344</v>
      </c>
      <c r="B260" s="17" t="s">
        <v>426</v>
      </c>
      <c r="C260" s="17" t="s">
        <v>15</v>
      </c>
      <c r="D260" s="17" t="s">
        <v>28</v>
      </c>
      <c r="E260" s="18">
        <f>ROUND(10338*1.05,2)</f>
      </c>
      <c r="F260" s="17" t="s">
        <v>29</v>
      </c>
      <c r="G260" s="17" t="s">
        <v>30</v>
      </c>
      <c r="H260" s="18">
        <f>ROUND(RAND()*4+6,1)</f>
      </c>
      <c r="I260" s="17" t="s">
        <v>31</v>
      </c>
      <c r="J260" s="19">
        <f>ROUND(82*1,0)&amp;"%"</f>
      </c>
    </row>
    <row x14ac:dyDescent="0.25" r="261" customHeight="1" ht="17.25">
      <c r="A261" s="20" t="s">
        <v>11345</v>
      </c>
      <c r="B261" s="20" t="s">
        <v>428</v>
      </c>
      <c r="C261" s="20" t="s">
        <v>15</v>
      </c>
      <c r="D261" s="20" t="s">
        <v>34</v>
      </c>
      <c r="E261" s="21">
        <f>ROUND(12381*1.05,2)</f>
      </c>
      <c r="F261" s="20" t="s">
        <v>35</v>
      </c>
      <c r="G261" s="20" t="s">
        <v>18</v>
      </c>
      <c r="H261" s="21">
        <f>ROUND(RAND()*4+6,1)</f>
      </c>
      <c r="I261" s="20" t="s">
        <v>36</v>
      </c>
      <c r="J261" s="23">
        <f>ROUND(69*1,0)&amp;"%"</f>
      </c>
    </row>
    <row x14ac:dyDescent="0.25" r="262" customHeight="1" ht="17.25">
      <c r="A262" s="17" t="s">
        <v>11346</v>
      </c>
      <c r="B262" s="17" t="s">
        <v>430</v>
      </c>
      <c r="C262" s="17" t="s">
        <v>15</v>
      </c>
      <c r="D262" s="17" t="s">
        <v>39</v>
      </c>
      <c r="E262" s="18">
        <f>ROUND(10463*1.05,2)</f>
      </c>
      <c r="F262" s="17" t="s">
        <v>40</v>
      </c>
      <c r="G262" s="17" t="s">
        <v>24</v>
      </c>
      <c r="H262" s="26">
        <f>ROUND(RAND()*4+6,1)</f>
      </c>
      <c r="I262" s="17" t="s">
        <v>41</v>
      </c>
      <c r="J262" s="19">
        <f>ROUND(99*1,0)&amp;"%"</f>
      </c>
    </row>
    <row x14ac:dyDescent="0.25" r="263" customHeight="1" ht="17.25">
      <c r="A263" s="20" t="s">
        <v>11347</v>
      </c>
      <c r="B263" s="20" t="s">
        <v>432</v>
      </c>
      <c r="C263" s="20" t="s">
        <v>15</v>
      </c>
      <c r="D263" s="20" t="s">
        <v>67</v>
      </c>
      <c r="E263" s="21">
        <f>ROUND(15201*1.05,2)</f>
      </c>
      <c r="F263" s="20" t="s">
        <v>44</v>
      </c>
      <c r="G263" s="20" t="s">
        <v>30</v>
      </c>
      <c r="H263" s="21">
        <f>ROUND(RAND()*4+6,1)</f>
      </c>
      <c r="I263" s="20" t="s">
        <v>45</v>
      </c>
      <c r="J263" s="23">
        <f>ROUND(66*1,0)&amp;"%"</f>
      </c>
    </row>
    <row x14ac:dyDescent="0.25" r="264" customHeight="1" ht="17.25">
      <c r="A264" s="17" t="s">
        <v>11348</v>
      </c>
      <c r="B264" s="17" t="s">
        <v>434</v>
      </c>
      <c r="C264" s="17" t="s">
        <v>15</v>
      </c>
      <c r="D264" s="17" t="s">
        <v>16</v>
      </c>
      <c r="E264" s="18">
        <f>ROUND(9723*1.05,2)</f>
      </c>
      <c r="F264" s="17" t="s">
        <v>48</v>
      </c>
      <c r="G264" s="17" t="s">
        <v>18</v>
      </c>
      <c r="H264" s="18">
        <f>ROUND(RAND()*4+6,1)</f>
      </c>
      <c r="I264" s="17" t="s">
        <v>19</v>
      </c>
      <c r="J264" s="19">
        <f>ROUND(96*1,0)&amp;"%"</f>
      </c>
    </row>
    <row x14ac:dyDescent="0.25" r="265" customHeight="1" ht="17.25">
      <c r="A265" s="20" t="s">
        <v>11349</v>
      </c>
      <c r="B265" s="20" t="s">
        <v>436</v>
      </c>
      <c r="C265" s="20" t="s">
        <v>15</v>
      </c>
      <c r="D265" s="20" t="s">
        <v>22</v>
      </c>
      <c r="E265" s="21">
        <f>ROUND(17929*1.05,2)</f>
      </c>
      <c r="F265" s="20" t="s">
        <v>51</v>
      </c>
      <c r="G265" s="20" t="s">
        <v>24</v>
      </c>
      <c r="H265" s="21">
        <f>ROUND(RAND()*4+6,1)</f>
      </c>
      <c r="I265" s="20" t="s">
        <v>25</v>
      </c>
      <c r="J265" s="23">
        <f>ROUND(87*1,0)&amp;"%"</f>
      </c>
    </row>
    <row x14ac:dyDescent="0.25" r="266" customHeight="1" ht="17.25">
      <c r="A266" s="24" t="s">
        <v>437</v>
      </c>
      <c r="B266" s="24"/>
      <c r="C266" s="24"/>
      <c r="D266" s="24"/>
      <c r="E266" s="25">
        <v>8</v>
      </c>
      <c r="F266" s="9"/>
      <c r="G266" s="9"/>
      <c r="H266" s="10"/>
      <c r="I266" s="9"/>
      <c r="J266" s="9"/>
    </row>
    <row x14ac:dyDescent="0.25" r="267" customHeight="1" ht="17.25">
      <c r="A267" s="7"/>
      <c r="B267" s="7"/>
      <c r="C267" s="7"/>
      <c r="D267" s="7"/>
      <c r="E267" s="8"/>
      <c r="F267" s="9"/>
      <c r="G267" s="9"/>
      <c r="H267" s="10"/>
      <c r="I267" s="9"/>
      <c r="J267" s="9"/>
    </row>
    <row x14ac:dyDescent="0.25" r="268" customHeight="1" ht="17.25">
      <c r="A268" s="11" t="s">
        <v>11350</v>
      </c>
      <c r="B268" s="11"/>
      <c r="C268" s="11"/>
      <c r="D268" s="11"/>
      <c r="E268" s="12"/>
      <c r="F268" s="11"/>
      <c r="G268" s="11"/>
      <c r="H268" s="13"/>
      <c r="I268" s="11"/>
      <c r="J268" s="11"/>
    </row>
    <row x14ac:dyDescent="0.25" r="269" customHeight="1" ht="17.25">
      <c r="A269" s="14" t="s">
        <v>3</v>
      </c>
      <c r="B269" s="14" t="s">
        <v>4</v>
      </c>
      <c r="C269" s="14" t="s">
        <v>5</v>
      </c>
      <c r="D269" s="14" t="s">
        <v>6</v>
      </c>
      <c r="E269" s="15" t="s">
        <v>7</v>
      </c>
      <c r="F269" s="14" t="s">
        <v>8</v>
      </c>
      <c r="G269" s="14" t="s">
        <v>9</v>
      </c>
      <c r="H269" s="16" t="s">
        <v>10</v>
      </c>
      <c r="I269" s="14" t="s">
        <v>11</v>
      </c>
      <c r="J269" s="14" t="s">
        <v>12</v>
      </c>
    </row>
    <row x14ac:dyDescent="0.25" r="270" customHeight="1" ht="17.25">
      <c r="A270" s="17" t="s">
        <v>11351</v>
      </c>
      <c r="B270" s="17" t="s">
        <v>440</v>
      </c>
      <c r="C270" s="17" t="s">
        <v>56</v>
      </c>
      <c r="D270" s="17" t="s">
        <v>16</v>
      </c>
      <c r="E270" s="18">
        <f>ROUND(8311*1.05,2)</f>
      </c>
      <c r="F270" s="17" t="s">
        <v>17</v>
      </c>
      <c r="G270" s="17" t="s">
        <v>18</v>
      </c>
      <c r="H270" s="18">
        <f>ROUND(RAND()*4+6,1)</f>
      </c>
      <c r="I270" s="17" t="s">
        <v>19</v>
      </c>
      <c r="J270" s="19">
        <f>ROUND(89*1,0)&amp;"%"</f>
      </c>
    </row>
    <row x14ac:dyDescent="0.25" r="271" customHeight="1" ht="17.25">
      <c r="A271" s="20" t="s">
        <v>11352</v>
      </c>
      <c r="B271" s="20" t="s">
        <v>442</v>
      </c>
      <c r="C271" s="20" t="s">
        <v>56</v>
      </c>
      <c r="D271" s="20" t="s">
        <v>22</v>
      </c>
      <c r="E271" s="21">
        <f>ROUND(7794*1.05,2)</f>
      </c>
      <c r="F271" s="20" t="s">
        <v>23</v>
      </c>
      <c r="G271" s="20" t="s">
        <v>24</v>
      </c>
      <c r="H271" s="21">
        <f>ROUND(RAND()*4+6,1)</f>
      </c>
      <c r="I271" s="20" t="s">
        <v>25</v>
      </c>
      <c r="J271" s="23">
        <f>ROUND(69*1,0)&amp;"%"</f>
      </c>
    </row>
    <row x14ac:dyDescent="0.25" r="272" customHeight="1" ht="17.25">
      <c r="A272" s="17" t="s">
        <v>11353</v>
      </c>
      <c r="B272" s="17" t="s">
        <v>444</v>
      </c>
      <c r="C272" s="17" t="s">
        <v>56</v>
      </c>
      <c r="D272" s="17" t="s">
        <v>28</v>
      </c>
      <c r="E272" s="18">
        <f>ROUND(9289*1.05,2)</f>
      </c>
      <c r="F272" s="17" t="s">
        <v>29</v>
      </c>
      <c r="G272" s="17" t="s">
        <v>30</v>
      </c>
      <c r="H272" s="18">
        <f>ROUND(RAND()*4+6,1)</f>
      </c>
      <c r="I272" s="17" t="s">
        <v>31</v>
      </c>
      <c r="J272" s="19">
        <f>ROUND(67*1,0)&amp;"%"</f>
      </c>
    </row>
    <row x14ac:dyDescent="0.25" r="273" customHeight="1" ht="17.25">
      <c r="A273" s="20" t="s">
        <v>11354</v>
      </c>
      <c r="B273" s="20" t="s">
        <v>446</v>
      </c>
      <c r="C273" s="20" t="s">
        <v>56</v>
      </c>
      <c r="D273" s="20" t="s">
        <v>34</v>
      </c>
      <c r="E273" s="22">
        <f>ROUND(6200*1.05,2)</f>
      </c>
      <c r="F273" s="20" t="s">
        <v>35</v>
      </c>
      <c r="G273" s="20" t="s">
        <v>18</v>
      </c>
      <c r="H273" s="21">
        <f>ROUND(RAND()*4+6,1)</f>
      </c>
      <c r="I273" s="20" t="s">
        <v>36</v>
      </c>
      <c r="J273" s="23">
        <f>ROUND(92*1,0)&amp;"%"</f>
      </c>
    </row>
    <row x14ac:dyDescent="0.25" r="274" customHeight="1" ht="17.25">
      <c r="A274" s="17" t="s">
        <v>11355</v>
      </c>
      <c r="B274" s="17" t="s">
        <v>448</v>
      </c>
      <c r="C274" s="17" t="s">
        <v>56</v>
      </c>
      <c r="D274" s="17" t="s">
        <v>39</v>
      </c>
      <c r="E274" s="18">
        <f>ROUND(14881*1.05,2)</f>
      </c>
      <c r="F274" s="17" t="s">
        <v>40</v>
      </c>
      <c r="G274" s="17" t="s">
        <v>24</v>
      </c>
      <c r="H274" s="18">
        <f>ROUND(RAND()*4+6,1)</f>
      </c>
      <c r="I274" s="17" t="s">
        <v>41</v>
      </c>
      <c r="J274" s="19">
        <f>ROUND(67*1,0)&amp;"%"</f>
      </c>
    </row>
    <row x14ac:dyDescent="0.25" r="275" customHeight="1" ht="17.25">
      <c r="A275" s="20" t="s">
        <v>11356</v>
      </c>
      <c r="B275" s="20" t="s">
        <v>450</v>
      </c>
      <c r="C275" s="20" t="s">
        <v>56</v>
      </c>
      <c r="D275" s="20" t="s">
        <v>67</v>
      </c>
      <c r="E275" s="21">
        <f>ROUND(10915*1.05,2)</f>
      </c>
      <c r="F275" s="20" t="s">
        <v>44</v>
      </c>
      <c r="G275" s="20" t="s">
        <v>30</v>
      </c>
      <c r="H275" s="21">
        <f>ROUND(RAND()*4+6,1)</f>
      </c>
      <c r="I275" s="20" t="s">
        <v>45</v>
      </c>
      <c r="J275" s="23">
        <f>ROUND(85*1,0)&amp;"%"</f>
      </c>
    </row>
    <row x14ac:dyDescent="0.25" r="276" customHeight="1" ht="17.25">
      <c r="A276" s="17" t="s">
        <v>11357</v>
      </c>
      <c r="B276" s="17" t="s">
        <v>452</v>
      </c>
      <c r="C276" s="17" t="s">
        <v>56</v>
      </c>
      <c r="D276" s="17" t="s">
        <v>16</v>
      </c>
      <c r="E276" s="18">
        <f>ROUND(12358*1.05,2)</f>
      </c>
      <c r="F276" s="17" t="s">
        <v>48</v>
      </c>
      <c r="G276" s="17" t="s">
        <v>18</v>
      </c>
      <c r="H276" s="18">
        <f>ROUND(RAND()*4+6,1)</f>
      </c>
      <c r="I276" s="17" t="s">
        <v>19</v>
      </c>
      <c r="J276" s="19">
        <f>ROUND(74*1,0)&amp;"%"</f>
      </c>
    </row>
    <row x14ac:dyDescent="0.25" r="277" customHeight="1" ht="17.25">
      <c r="A277" s="20" t="s">
        <v>11358</v>
      </c>
      <c r="B277" s="20" t="s">
        <v>454</v>
      </c>
      <c r="C277" s="20" t="s">
        <v>56</v>
      </c>
      <c r="D277" s="20" t="s">
        <v>22</v>
      </c>
      <c r="E277" s="21">
        <f>ROUND(9935*1.05,2)</f>
      </c>
      <c r="F277" s="20" t="s">
        <v>51</v>
      </c>
      <c r="G277" s="20" t="s">
        <v>24</v>
      </c>
      <c r="H277" s="21">
        <f>ROUND(RAND()*4+6,1)</f>
      </c>
      <c r="I277" s="20" t="s">
        <v>25</v>
      </c>
      <c r="J277" s="23">
        <f>ROUND(97*1,0)&amp;"%"</f>
      </c>
    </row>
    <row x14ac:dyDescent="0.25" r="278" customHeight="1" ht="17.25">
      <c r="A278" s="24" t="s">
        <v>455</v>
      </c>
      <c r="B278" s="24"/>
      <c r="C278" s="24"/>
      <c r="D278" s="24"/>
      <c r="E278" s="25">
        <v>8</v>
      </c>
      <c r="F278" s="9"/>
      <c r="G278" s="9"/>
      <c r="H278" s="10"/>
      <c r="I278" s="9"/>
      <c r="J278" s="9"/>
    </row>
    <row x14ac:dyDescent="0.25" r="279" customHeight="1" ht="17.25">
      <c r="A279" s="7"/>
      <c r="B279" s="7"/>
      <c r="C279" s="7"/>
      <c r="D279" s="7"/>
      <c r="E279" s="8"/>
      <c r="F279" s="9"/>
      <c r="G279" s="9"/>
      <c r="H279" s="10"/>
      <c r="I279" s="9"/>
      <c r="J279" s="9"/>
    </row>
    <row x14ac:dyDescent="0.25" r="280" customHeight="1" ht="17.25">
      <c r="A280" s="11" t="s">
        <v>11359</v>
      </c>
      <c r="B280" s="11"/>
      <c r="C280" s="11"/>
      <c r="D280" s="11"/>
      <c r="E280" s="12"/>
      <c r="F280" s="11"/>
      <c r="G280" s="11"/>
      <c r="H280" s="13"/>
      <c r="I280" s="11"/>
      <c r="J280" s="11"/>
    </row>
    <row x14ac:dyDescent="0.25" r="281" customHeight="1" ht="17.25">
      <c r="A281" s="14" t="s">
        <v>3</v>
      </c>
      <c r="B281" s="14" t="s">
        <v>4</v>
      </c>
      <c r="C281" s="14" t="s">
        <v>5</v>
      </c>
      <c r="D281" s="14" t="s">
        <v>6</v>
      </c>
      <c r="E281" s="15" t="s">
        <v>7</v>
      </c>
      <c r="F281" s="14" t="s">
        <v>8</v>
      </c>
      <c r="G281" s="14" t="s">
        <v>9</v>
      </c>
      <c r="H281" s="16" t="s">
        <v>10</v>
      </c>
      <c r="I281" s="14" t="s">
        <v>11</v>
      </c>
      <c r="J281" s="14" t="s">
        <v>12</v>
      </c>
    </row>
    <row x14ac:dyDescent="0.25" r="282" customHeight="1" ht="17.25">
      <c r="A282" s="17" t="s">
        <v>11360</v>
      </c>
      <c r="B282" s="17" t="s">
        <v>458</v>
      </c>
      <c r="C282" s="17" t="s">
        <v>76</v>
      </c>
      <c r="D282" s="17" t="s">
        <v>16</v>
      </c>
      <c r="E282" s="18">
        <f>ROUND(12145*1.05,2)</f>
      </c>
      <c r="F282" s="17" t="s">
        <v>17</v>
      </c>
      <c r="G282" s="17" t="s">
        <v>18</v>
      </c>
      <c r="H282" s="18">
        <f>ROUND(RAND()*4+6,1)</f>
      </c>
      <c r="I282" s="17" t="s">
        <v>19</v>
      </c>
      <c r="J282" s="19">
        <f>ROUND(73*1,0)&amp;"%"</f>
      </c>
    </row>
    <row x14ac:dyDescent="0.25" r="283" customHeight="1" ht="17.25">
      <c r="A283" s="20" t="s">
        <v>11361</v>
      </c>
      <c r="B283" s="20" t="s">
        <v>460</v>
      </c>
      <c r="C283" s="20" t="s">
        <v>76</v>
      </c>
      <c r="D283" s="20" t="s">
        <v>22</v>
      </c>
      <c r="E283" s="21">
        <f>ROUND(13802*1.05,2)</f>
      </c>
      <c r="F283" s="20" t="s">
        <v>23</v>
      </c>
      <c r="G283" s="20" t="s">
        <v>24</v>
      </c>
      <c r="H283" s="21">
        <f>ROUND(RAND()*4+6,1)</f>
      </c>
      <c r="I283" s="20" t="s">
        <v>25</v>
      </c>
      <c r="J283" s="23">
        <f>ROUND(98*1,0)&amp;"%"</f>
      </c>
    </row>
    <row x14ac:dyDescent="0.25" r="284" customHeight="1" ht="17.25">
      <c r="A284" s="17" t="s">
        <v>11362</v>
      </c>
      <c r="B284" s="17" t="s">
        <v>462</v>
      </c>
      <c r="C284" s="17" t="s">
        <v>76</v>
      </c>
      <c r="D284" s="17" t="s">
        <v>28</v>
      </c>
      <c r="E284" s="18">
        <f>ROUND(8037*1.05,2)</f>
      </c>
      <c r="F284" s="17" t="s">
        <v>29</v>
      </c>
      <c r="G284" s="17" t="s">
        <v>30</v>
      </c>
      <c r="H284" s="18">
        <f>ROUND(RAND()*4+6,1)</f>
      </c>
      <c r="I284" s="17" t="s">
        <v>31</v>
      </c>
      <c r="J284" s="19">
        <f>ROUND(84*1,0)&amp;"%"</f>
      </c>
    </row>
    <row x14ac:dyDescent="0.25" r="285" customHeight="1" ht="17.25">
      <c r="A285" s="20" t="s">
        <v>11363</v>
      </c>
      <c r="B285" s="20" t="s">
        <v>464</v>
      </c>
      <c r="C285" s="20" t="s">
        <v>76</v>
      </c>
      <c r="D285" s="20" t="s">
        <v>34</v>
      </c>
      <c r="E285" s="21">
        <f>ROUND(5293*1.05,2)</f>
      </c>
      <c r="F285" s="20" t="s">
        <v>35</v>
      </c>
      <c r="G285" s="20" t="s">
        <v>18</v>
      </c>
      <c r="H285" s="22">
        <f>ROUND(RAND()*4+6,1)</f>
      </c>
      <c r="I285" s="20" t="s">
        <v>36</v>
      </c>
      <c r="J285" s="23">
        <f>ROUND(87*1,0)&amp;"%"</f>
      </c>
    </row>
    <row x14ac:dyDescent="0.25" r="286" customHeight="1" ht="17.25">
      <c r="A286" s="17" t="s">
        <v>11364</v>
      </c>
      <c r="B286" s="17" t="s">
        <v>466</v>
      </c>
      <c r="C286" s="17" t="s">
        <v>76</v>
      </c>
      <c r="D286" s="17" t="s">
        <v>39</v>
      </c>
      <c r="E286" s="18">
        <f>ROUND(13542*1.05,2)</f>
      </c>
      <c r="F286" s="17" t="s">
        <v>40</v>
      </c>
      <c r="G286" s="17" t="s">
        <v>24</v>
      </c>
      <c r="H286" s="18">
        <f>ROUND(RAND()*4+6,1)</f>
      </c>
      <c r="I286" s="17" t="s">
        <v>41</v>
      </c>
      <c r="J286" s="19">
        <f>ROUND(83*1,0)&amp;"%"</f>
      </c>
    </row>
    <row x14ac:dyDescent="0.25" r="287" customHeight="1" ht="17.25">
      <c r="A287" s="20" t="s">
        <v>11365</v>
      </c>
      <c r="B287" s="20" t="s">
        <v>468</v>
      </c>
      <c r="C287" s="20" t="s">
        <v>76</v>
      </c>
      <c r="D287" s="20" t="s">
        <v>67</v>
      </c>
      <c r="E287" s="21">
        <f>ROUND(5944*1.05,2)</f>
      </c>
      <c r="F287" s="20" t="s">
        <v>44</v>
      </c>
      <c r="G287" s="20" t="s">
        <v>30</v>
      </c>
      <c r="H287" s="21">
        <f>ROUND(RAND()*4+6,1)</f>
      </c>
      <c r="I287" s="20" t="s">
        <v>45</v>
      </c>
      <c r="J287" s="23">
        <f>ROUND(69*1,0)&amp;"%"</f>
      </c>
    </row>
    <row x14ac:dyDescent="0.25" r="288" customHeight="1" ht="17.25">
      <c r="A288" s="17" t="s">
        <v>11366</v>
      </c>
      <c r="B288" s="17" t="s">
        <v>470</v>
      </c>
      <c r="C288" s="17" t="s">
        <v>76</v>
      </c>
      <c r="D288" s="17" t="s">
        <v>16</v>
      </c>
      <c r="E288" s="18">
        <f>ROUND(14742*1.05,2)</f>
      </c>
      <c r="F288" s="17" t="s">
        <v>48</v>
      </c>
      <c r="G288" s="17" t="s">
        <v>18</v>
      </c>
      <c r="H288" s="18">
        <f>ROUND(RAND()*4+6,1)</f>
      </c>
      <c r="I288" s="17" t="s">
        <v>19</v>
      </c>
      <c r="J288" s="19">
        <f>ROUND(70*1,0)&amp;"%"</f>
      </c>
    </row>
    <row x14ac:dyDescent="0.25" r="289" customHeight="1" ht="17.25">
      <c r="A289" s="20" t="s">
        <v>11367</v>
      </c>
      <c r="B289" s="20" t="s">
        <v>472</v>
      </c>
      <c r="C289" s="20" t="s">
        <v>76</v>
      </c>
      <c r="D289" s="20" t="s">
        <v>22</v>
      </c>
      <c r="E289" s="21">
        <f>ROUND(14985*1.05,2)</f>
      </c>
      <c r="F289" s="20" t="s">
        <v>51</v>
      </c>
      <c r="G289" s="20" t="s">
        <v>24</v>
      </c>
      <c r="H289" s="21">
        <f>ROUND(RAND()*4+6,1)</f>
      </c>
      <c r="I289" s="20" t="s">
        <v>25</v>
      </c>
      <c r="J289" s="23">
        <f>ROUND(61*1,0)&amp;"%"</f>
      </c>
    </row>
    <row x14ac:dyDescent="0.25" r="290" customHeight="1" ht="17.25">
      <c r="A290" s="24" t="s">
        <v>473</v>
      </c>
      <c r="B290" s="24"/>
      <c r="C290" s="24"/>
      <c r="D290" s="24"/>
      <c r="E290" s="25">
        <v>8</v>
      </c>
      <c r="F290" s="9"/>
      <c r="G290" s="9"/>
      <c r="H290" s="10"/>
      <c r="I290" s="9"/>
      <c r="J290" s="9"/>
    </row>
    <row x14ac:dyDescent="0.25" r="291" customHeight="1" ht="17.25">
      <c r="A291" s="7"/>
      <c r="B291" s="7"/>
      <c r="C291" s="7"/>
      <c r="D291" s="7"/>
      <c r="E291" s="8"/>
      <c r="F291" s="9"/>
      <c r="G291" s="9"/>
      <c r="H291" s="10"/>
      <c r="I291" s="9"/>
      <c r="J291" s="9"/>
    </row>
    <row x14ac:dyDescent="0.25" r="292" customHeight="1" ht="17.25">
      <c r="A292" s="11" t="s">
        <v>11368</v>
      </c>
      <c r="B292" s="11"/>
      <c r="C292" s="11"/>
      <c r="D292" s="11"/>
      <c r="E292" s="12"/>
      <c r="F292" s="11"/>
      <c r="G292" s="11"/>
      <c r="H292" s="13"/>
      <c r="I292" s="11"/>
      <c r="J292" s="11"/>
    </row>
    <row x14ac:dyDescent="0.25" r="293" customHeight="1" ht="17.25">
      <c r="A293" s="14" t="s">
        <v>3</v>
      </c>
      <c r="B293" s="14" t="s">
        <v>4</v>
      </c>
      <c r="C293" s="14" t="s">
        <v>5</v>
      </c>
      <c r="D293" s="14" t="s">
        <v>6</v>
      </c>
      <c r="E293" s="15" t="s">
        <v>7</v>
      </c>
      <c r="F293" s="14" t="s">
        <v>8</v>
      </c>
      <c r="G293" s="14" t="s">
        <v>9</v>
      </c>
      <c r="H293" s="16" t="s">
        <v>10</v>
      </c>
      <c r="I293" s="14" t="s">
        <v>11</v>
      </c>
      <c r="J293" s="14" t="s">
        <v>12</v>
      </c>
    </row>
    <row x14ac:dyDescent="0.25" r="294" customHeight="1" ht="17.25">
      <c r="A294" s="17" t="s">
        <v>11369</v>
      </c>
      <c r="B294" s="17" t="s">
        <v>476</v>
      </c>
      <c r="C294" s="17" t="s">
        <v>95</v>
      </c>
      <c r="D294" s="17" t="s">
        <v>16</v>
      </c>
      <c r="E294" s="18">
        <f>ROUND(4830*1.05,2)</f>
      </c>
      <c r="F294" s="17" t="s">
        <v>17</v>
      </c>
      <c r="G294" s="17" t="s">
        <v>18</v>
      </c>
      <c r="H294" s="18">
        <f>ROUND(RAND()*4+6,1)</f>
      </c>
      <c r="I294" s="17" t="s">
        <v>19</v>
      </c>
      <c r="J294" s="19">
        <f>ROUND(75*1,0)&amp;"%"</f>
      </c>
    </row>
    <row x14ac:dyDescent="0.25" r="295" customHeight="1" ht="17.25">
      <c r="A295" s="20" t="s">
        <v>11370</v>
      </c>
      <c r="B295" s="20" t="s">
        <v>478</v>
      </c>
      <c r="C295" s="20" t="s">
        <v>95</v>
      </c>
      <c r="D295" s="20" t="s">
        <v>22</v>
      </c>
      <c r="E295" s="21">
        <f>ROUND(15975*1.05,2)</f>
      </c>
      <c r="F295" s="20" t="s">
        <v>23</v>
      </c>
      <c r="G295" s="20" t="s">
        <v>24</v>
      </c>
      <c r="H295" s="21">
        <f>ROUND(RAND()*4+6,1)</f>
      </c>
      <c r="I295" s="20" t="s">
        <v>25</v>
      </c>
      <c r="J295" s="23">
        <f>ROUND(95*1,0)&amp;"%"</f>
      </c>
    </row>
    <row x14ac:dyDescent="0.25" r="296" customHeight="1" ht="17.25">
      <c r="A296" s="17" t="s">
        <v>11371</v>
      </c>
      <c r="B296" s="17" t="s">
        <v>480</v>
      </c>
      <c r="C296" s="17" t="s">
        <v>95</v>
      </c>
      <c r="D296" s="17" t="s">
        <v>28</v>
      </c>
      <c r="E296" s="18">
        <f>ROUND(15616*1.05,2)</f>
      </c>
      <c r="F296" s="17" t="s">
        <v>29</v>
      </c>
      <c r="G296" s="17" t="s">
        <v>30</v>
      </c>
      <c r="H296" s="26">
        <f>ROUND(RAND()*4+6,1)</f>
      </c>
      <c r="I296" s="17" t="s">
        <v>31</v>
      </c>
      <c r="J296" s="19">
        <f>ROUND(78*1,0)&amp;"%"</f>
      </c>
    </row>
    <row x14ac:dyDescent="0.25" r="297" customHeight="1" ht="17.25">
      <c r="A297" s="20" t="s">
        <v>11372</v>
      </c>
      <c r="B297" s="20" t="s">
        <v>482</v>
      </c>
      <c r="C297" s="20" t="s">
        <v>95</v>
      </c>
      <c r="D297" s="20" t="s">
        <v>34</v>
      </c>
      <c r="E297" s="22">
        <f>ROUND(16460*1.05,2)</f>
      </c>
      <c r="F297" s="20" t="s">
        <v>35</v>
      </c>
      <c r="G297" s="20" t="s">
        <v>18</v>
      </c>
      <c r="H297" s="21">
        <f>ROUND(RAND()*4+6,1)</f>
      </c>
      <c r="I297" s="20" t="s">
        <v>36</v>
      </c>
      <c r="J297" s="23">
        <f>ROUND(83*1,0)&amp;"%"</f>
      </c>
    </row>
    <row x14ac:dyDescent="0.25" r="298" customHeight="1" ht="17.25">
      <c r="A298" s="17" t="s">
        <v>11373</v>
      </c>
      <c r="B298" s="17" t="s">
        <v>484</v>
      </c>
      <c r="C298" s="17" t="s">
        <v>95</v>
      </c>
      <c r="D298" s="17" t="s">
        <v>39</v>
      </c>
      <c r="E298" s="18">
        <f>ROUND(15052*1.05,2)</f>
      </c>
      <c r="F298" s="17" t="s">
        <v>40</v>
      </c>
      <c r="G298" s="17" t="s">
        <v>24</v>
      </c>
      <c r="H298" s="18">
        <f>ROUND(RAND()*4+6,1)</f>
      </c>
      <c r="I298" s="17" t="s">
        <v>41</v>
      </c>
      <c r="J298" s="19">
        <f>ROUND(67*1,0)&amp;"%"</f>
      </c>
    </row>
    <row x14ac:dyDescent="0.25" r="299" customHeight="1" ht="17.25">
      <c r="A299" s="20" t="s">
        <v>11374</v>
      </c>
      <c r="B299" s="20" t="s">
        <v>486</v>
      </c>
      <c r="C299" s="20" t="s">
        <v>95</v>
      </c>
      <c r="D299" s="20" t="s">
        <v>67</v>
      </c>
      <c r="E299" s="21">
        <f>ROUND(13241*1.05,2)</f>
      </c>
      <c r="F299" s="20" t="s">
        <v>44</v>
      </c>
      <c r="G299" s="20" t="s">
        <v>30</v>
      </c>
      <c r="H299" s="21">
        <f>ROUND(RAND()*4+6,1)</f>
      </c>
      <c r="I299" s="20" t="s">
        <v>45</v>
      </c>
      <c r="J299" s="23">
        <f>ROUND(74*1,0)&amp;"%"</f>
      </c>
    </row>
    <row x14ac:dyDescent="0.25" r="300" customHeight="1" ht="17.25">
      <c r="A300" s="17" t="s">
        <v>11375</v>
      </c>
      <c r="B300" s="17" t="s">
        <v>488</v>
      </c>
      <c r="C300" s="17" t="s">
        <v>95</v>
      </c>
      <c r="D300" s="17" t="s">
        <v>16</v>
      </c>
      <c r="E300" s="18">
        <f>ROUND(9455*1.05,2)</f>
      </c>
      <c r="F300" s="17" t="s">
        <v>48</v>
      </c>
      <c r="G300" s="17" t="s">
        <v>18</v>
      </c>
      <c r="H300" s="18">
        <f>ROUND(RAND()*4+6,1)</f>
      </c>
      <c r="I300" s="17" t="s">
        <v>19</v>
      </c>
      <c r="J300" s="19">
        <f>ROUND(89*1,0)&amp;"%"</f>
      </c>
    </row>
    <row x14ac:dyDescent="0.25" r="301" customHeight="1" ht="17.25">
      <c r="A301" s="20" t="s">
        <v>11376</v>
      </c>
      <c r="B301" s="20" t="s">
        <v>490</v>
      </c>
      <c r="C301" s="20" t="s">
        <v>95</v>
      </c>
      <c r="D301" s="20" t="s">
        <v>22</v>
      </c>
      <c r="E301" s="21">
        <f>ROUND(6751*1.05,2)</f>
      </c>
      <c r="F301" s="20" t="s">
        <v>51</v>
      </c>
      <c r="G301" s="20" t="s">
        <v>24</v>
      </c>
      <c r="H301" s="21">
        <f>ROUND(RAND()*4+6,1)</f>
      </c>
      <c r="I301" s="20" t="s">
        <v>25</v>
      </c>
      <c r="J301" s="23">
        <f>ROUND(64*1,0)&amp;"%"</f>
      </c>
    </row>
    <row x14ac:dyDescent="0.25" r="302" customHeight="1" ht="17.25">
      <c r="A302" s="24" t="s">
        <v>491</v>
      </c>
      <c r="B302" s="24"/>
      <c r="C302" s="24"/>
      <c r="D302" s="24"/>
      <c r="E302" s="25">
        <v>8</v>
      </c>
      <c r="F302" s="9"/>
      <c r="G302" s="9"/>
      <c r="H302" s="10"/>
      <c r="I302" s="9"/>
      <c r="J302" s="9"/>
    </row>
    <row x14ac:dyDescent="0.25" r="303" customHeight="1" ht="17.25">
      <c r="A303" s="7"/>
      <c r="B303" s="7"/>
      <c r="C303" s="7"/>
      <c r="D303" s="7"/>
      <c r="E303" s="8"/>
      <c r="F303" s="9"/>
      <c r="G303" s="9"/>
      <c r="H303" s="10"/>
      <c r="I303" s="9"/>
      <c r="J303" s="9"/>
    </row>
    <row x14ac:dyDescent="0.25" r="304" customHeight="1" ht="17.25">
      <c r="A304" s="11" t="s">
        <v>11377</v>
      </c>
      <c r="B304" s="11"/>
      <c r="C304" s="11"/>
      <c r="D304" s="11"/>
      <c r="E304" s="12"/>
      <c r="F304" s="11"/>
      <c r="G304" s="11"/>
      <c r="H304" s="13"/>
      <c r="I304" s="11"/>
      <c r="J304" s="11"/>
    </row>
    <row x14ac:dyDescent="0.25" r="305" customHeight="1" ht="17.25">
      <c r="A305" s="14" t="s">
        <v>3</v>
      </c>
      <c r="B305" s="14" t="s">
        <v>4</v>
      </c>
      <c r="C305" s="14" t="s">
        <v>5</v>
      </c>
      <c r="D305" s="14" t="s">
        <v>6</v>
      </c>
      <c r="E305" s="15" t="s">
        <v>7</v>
      </c>
      <c r="F305" s="14" t="s">
        <v>8</v>
      </c>
      <c r="G305" s="14" t="s">
        <v>9</v>
      </c>
      <c r="H305" s="16" t="s">
        <v>10</v>
      </c>
      <c r="I305" s="14" t="s">
        <v>11</v>
      </c>
      <c r="J305" s="14" t="s">
        <v>12</v>
      </c>
    </row>
    <row x14ac:dyDescent="0.25" r="306" customHeight="1" ht="17.25">
      <c r="A306" s="17" t="s">
        <v>11378</v>
      </c>
      <c r="B306" s="17" t="s">
        <v>494</v>
      </c>
      <c r="C306" s="17" t="s">
        <v>114</v>
      </c>
      <c r="D306" s="17" t="s">
        <v>16</v>
      </c>
      <c r="E306" s="18">
        <f>ROUND(12904*1.05,2)</f>
      </c>
      <c r="F306" s="17" t="s">
        <v>17</v>
      </c>
      <c r="G306" s="17" t="s">
        <v>18</v>
      </c>
      <c r="H306" s="18">
        <f>ROUND(RAND()*4+6,1)</f>
      </c>
      <c r="I306" s="17" t="s">
        <v>19</v>
      </c>
      <c r="J306" s="19">
        <f>ROUND(91*1,0)&amp;"%"</f>
      </c>
    </row>
    <row x14ac:dyDescent="0.25" r="307" customHeight="1" ht="17.25">
      <c r="A307" s="20" t="s">
        <v>11379</v>
      </c>
      <c r="B307" s="20" t="s">
        <v>496</v>
      </c>
      <c r="C307" s="20" t="s">
        <v>114</v>
      </c>
      <c r="D307" s="20" t="s">
        <v>22</v>
      </c>
      <c r="E307" s="21">
        <f>ROUND(14054*1.05,2)</f>
      </c>
      <c r="F307" s="20" t="s">
        <v>23</v>
      </c>
      <c r="G307" s="20" t="s">
        <v>24</v>
      </c>
      <c r="H307" s="21">
        <f>ROUND(RAND()*4+6,1)</f>
      </c>
      <c r="I307" s="20" t="s">
        <v>25</v>
      </c>
      <c r="J307" s="23">
        <f>ROUND(96*1,0)&amp;"%"</f>
      </c>
    </row>
    <row x14ac:dyDescent="0.25" r="308" customHeight="1" ht="17.25">
      <c r="A308" s="17" t="s">
        <v>11380</v>
      </c>
      <c r="B308" s="17" t="s">
        <v>498</v>
      </c>
      <c r="C308" s="17" t="s">
        <v>114</v>
      </c>
      <c r="D308" s="17" t="s">
        <v>28</v>
      </c>
      <c r="E308" s="18">
        <f>ROUND(6004*1.05,2)</f>
      </c>
      <c r="F308" s="17" t="s">
        <v>29</v>
      </c>
      <c r="G308" s="17" t="s">
        <v>30</v>
      </c>
      <c r="H308" s="18">
        <f>ROUND(RAND()*4+6,1)</f>
      </c>
      <c r="I308" s="17" t="s">
        <v>31</v>
      </c>
      <c r="J308" s="19">
        <f>ROUND(83*1,0)&amp;"%"</f>
      </c>
    </row>
    <row x14ac:dyDescent="0.25" r="309" customHeight="1" ht="17.25">
      <c r="A309" s="20" t="s">
        <v>11381</v>
      </c>
      <c r="B309" s="20" t="s">
        <v>500</v>
      </c>
      <c r="C309" s="20" t="s">
        <v>114</v>
      </c>
      <c r="D309" s="20" t="s">
        <v>34</v>
      </c>
      <c r="E309" s="21">
        <f>ROUND(15561*1.05,2)</f>
      </c>
      <c r="F309" s="20" t="s">
        <v>35</v>
      </c>
      <c r="G309" s="20" t="s">
        <v>18</v>
      </c>
      <c r="H309" s="21">
        <f>ROUND(RAND()*4+6,1)</f>
      </c>
      <c r="I309" s="20" t="s">
        <v>36</v>
      </c>
      <c r="J309" s="23">
        <f>ROUND(80*1,0)&amp;"%"</f>
      </c>
    </row>
    <row x14ac:dyDescent="0.25" r="310" customHeight="1" ht="17.25">
      <c r="A310" s="17" t="s">
        <v>11382</v>
      </c>
      <c r="B310" s="17" t="s">
        <v>502</v>
      </c>
      <c r="C310" s="17" t="s">
        <v>114</v>
      </c>
      <c r="D310" s="17" t="s">
        <v>39</v>
      </c>
      <c r="E310" s="18">
        <f>ROUND(6195*1.05,2)</f>
      </c>
      <c r="F310" s="17" t="s">
        <v>40</v>
      </c>
      <c r="G310" s="17" t="s">
        <v>24</v>
      </c>
      <c r="H310" s="18">
        <f>ROUND(RAND()*4+6,1)</f>
      </c>
      <c r="I310" s="17" t="s">
        <v>41</v>
      </c>
      <c r="J310" s="19">
        <f>ROUND(95*1,0)&amp;"%"</f>
      </c>
    </row>
    <row x14ac:dyDescent="0.25" r="311" customHeight="1" ht="17.25">
      <c r="A311" s="20" t="s">
        <v>11383</v>
      </c>
      <c r="B311" s="20" t="s">
        <v>504</v>
      </c>
      <c r="C311" s="20" t="s">
        <v>114</v>
      </c>
      <c r="D311" s="20" t="s">
        <v>67</v>
      </c>
      <c r="E311" s="21">
        <f>ROUND(5325*1.05,2)</f>
      </c>
      <c r="F311" s="20" t="s">
        <v>44</v>
      </c>
      <c r="G311" s="20" t="s">
        <v>30</v>
      </c>
      <c r="H311" s="21">
        <f>ROUND(RAND()*4+6,1)</f>
      </c>
      <c r="I311" s="20" t="s">
        <v>45</v>
      </c>
      <c r="J311" s="23">
        <f>ROUND(82*1,0)&amp;"%"</f>
      </c>
    </row>
    <row x14ac:dyDescent="0.25" r="312" customHeight="1" ht="17.25">
      <c r="A312" s="17" t="s">
        <v>11384</v>
      </c>
      <c r="B312" s="17" t="s">
        <v>506</v>
      </c>
      <c r="C312" s="17" t="s">
        <v>114</v>
      </c>
      <c r="D312" s="17" t="s">
        <v>16</v>
      </c>
      <c r="E312" s="18">
        <f>ROUND(15850*1.05,2)</f>
      </c>
      <c r="F312" s="17" t="s">
        <v>48</v>
      </c>
      <c r="G312" s="17" t="s">
        <v>18</v>
      </c>
      <c r="H312" s="18">
        <f>ROUND(RAND()*4+6,1)</f>
      </c>
      <c r="I312" s="17" t="s">
        <v>19</v>
      </c>
      <c r="J312" s="19">
        <f>ROUND(91*1,0)&amp;"%"</f>
      </c>
    </row>
    <row x14ac:dyDescent="0.25" r="313" customHeight="1" ht="17.25">
      <c r="A313" s="20" t="s">
        <v>11385</v>
      </c>
      <c r="B313" s="20" t="s">
        <v>508</v>
      </c>
      <c r="C313" s="20" t="s">
        <v>114</v>
      </c>
      <c r="D313" s="20" t="s">
        <v>22</v>
      </c>
      <c r="E313" s="21">
        <f>ROUND(8707*1.05,2)</f>
      </c>
      <c r="F313" s="20" t="s">
        <v>51</v>
      </c>
      <c r="G313" s="20" t="s">
        <v>24</v>
      </c>
      <c r="H313" s="22">
        <f>ROUND(RAND()*4+6,1)</f>
      </c>
      <c r="I313" s="20" t="s">
        <v>25</v>
      </c>
      <c r="J313" s="23">
        <f>ROUND(95*1,0)&amp;"%"</f>
      </c>
    </row>
    <row x14ac:dyDescent="0.25" r="314" customHeight="1" ht="17.25">
      <c r="A314" s="24" t="s">
        <v>509</v>
      </c>
      <c r="B314" s="24"/>
      <c r="C314" s="24"/>
      <c r="D314" s="24"/>
      <c r="E314" s="25">
        <v>8</v>
      </c>
      <c r="F314" s="9"/>
      <c r="G314" s="9"/>
      <c r="H314" s="10"/>
      <c r="I314" s="9"/>
      <c r="J314" s="9"/>
    </row>
    <row x14ac:dyDescent="0.25" r="315" customHeight="1" ht="17.25">
      <c r="A315" s="7"/>
      <c r="B315" s="7"/>
      <c r="C315" s="7"/>
      <c r="D315" s="7"/>
      <c r="E315" s="8"/>
      <c r="F315" s="9"/>
      <c r="G315" s="9"/>
      <c r="H315" s="10"/>
      <c r="I315" s="9"/>
      <c r="J315" s="9"/>
    </row>
    <row x14ac:dyDescent="0.25" r="316" customHeight="1" ht="17.25">
      <c r="A316" s="11" t="s">
        <v>11386</v>
      </c>
      <c r="B316" s="11"/>
      <c r="C316" s="11"/>
      <c r="D316" s="11"/>
      <c r="E316" s="12"/>
      <c r="F316" s="11"/>
      <c r="G316" s="11"/>
      <c r="H316" s="13"/>
      <c r="I316" s="11"/>
      <c r="J316" s="11"/>
    </row>
    <row x14ac:dyDescent="0.25" r="317" customHeight="1" ht="17.25">
      <c r="A317" s="14" t="s">
        <v>3</v>
      </c>
      <c r="B317" s="14" t="s">
        <v>4</v>
      </c>
      <c r="C317" s="14" t="s">
        <v>5</v>
      </c>
      <c r="D317" s="14" t="s">
        <v>6</v>
      </c>
      <c r="E317" s="15" t="s">
        <v>7</v>
      </c>
      <c r="F317" s="14" t="s">
        <v>8</v>
      </c>
      <c r="G317" s="14" t="s">
        <v>9</v>
      </c>
      <c r="H317" s="16" t="s">
        <v>10</v>
      </c>
      <c r="I317" s="14" t="s">
        <v>11</v>
      </c>
      <c r="J317" s="14" t="s">
        <v>12</v>
      </c>
    </row>
    <row x14ac:dyDescent="0.25" r="318" customHeight="1" ht="17.25">
      <c r="A318" s="17" t="s">
        <v>11387</v>
      </c>
      <c r="B318" s="17" t="s">
        <v>512</v>
      </c>
      <c r="C318" s="17" t="s">
        <v>133</v>
      </c>
      <c r="D318" s="17" t="s">
        <v>16</v>
      </c>
      <c r="E318" s="18">
        <f>ROUND(4672*1.05,2)</f>
      </c>
      <c r="F318" s="17" t="s">
        <v>17</v>
      </c>
      <c r="G318" s="17" t="s">
        <v>18</v>
      </c>
      <c r="H318" s="18">
        <f>ROUND(RAND()*4+6,1)</f>
      </c>
      <c r="I318" s="17" t="s">
        <v>19</v>
      </c>
      <c r="J318" s="19">
        <f>ROUND(96*1,0)&amp;"%"</f>
      </c>
    </row>
    <row x14ac:dyDescent="0.25" r="319" customHeight="1" ht="17.25">
      <c r="A319" s="20" t="s">
        <v>11388</v>
      </c>
      <c r="B319" s="20" t="s">
        <v>514</v>
      </c>
      <c r="C319" s="20" t="s">
        <v>133</v>
      </c>
      <c r="D319" s="20" t="s">
        <v>22</v>
      </c>
      <c r="E319" s="21">
        <f>ROUND(8915*1.05,2)</f>
      </c>
      <c r="F319" s="20" t="s">
        <v>23</v>
      </c>
      <c r="G319" s="20" t="s">
        <v>24</v>
      </c>
      <c r="H319" s="21">
        <f>ROUND(RAND()*4+6,1)</f>
      </c>
      <c r="I319" s="20" t="s">
        <v>25</v>
      </c>
      <c r="J319" s="23">
        <f>ROUND(77*1,0)&amp;"%"</f>
      </c>
    </row>
    <row x14ac:dyDescent="0.25" r="320" customHeight="1" ht="17.25">
      <c r="A320" s="17" t="s">
        <v>11389</v>
      </c>
      <c r="B320" s="17" t="s">
        <v>516</v>
      </c>
      <c r="C320" s="17" t="s">
        <v>133</v>
      </c>
      <c r="D320" s="17" t="s">
        <v>28</v>
      </c>
      <c r="E320" s="18">
        <f>ROUND(15874*1.05,2)</f>
      </c>
      <c r="F320" s="17" t="s">
        <v>29</v>
      </c>
      <c r="G320" s="17" t="s">
        <v>30</v>
      </c>
      <c r="H320" s="18">
        <f>ROUND(RAND()*4+6,1)</f>
      </c>
      <c r="I320" s="17" t="s">
        <v>31</v>
      </c>
      <c r="J320" s="19">
        <f>ROUND(95*1,0)&amp;"%"</f>
      </c>
    </row>
    <row x14ac:dyDescent="0.25" r="321" customHeight="1" ht="17.25">
      <c r="A321" s="20" t="s">
        <v>11390</v>
      </c>
      <c r="B321" s="20" t="s">
        <v>518</v>
      </c>
      <c r="C321" s="20" t="s">
        <v>133</v>
      </c>
      <c r="D321" s="20" t="s">
        <v>34</v>
      </c>
      <c r="E321" s="21">
        <f>ROUND(4338*1.05,2)</f>
      </c>
      <c r="F321" s="20" t="s">
        <v>35</v>
      </c>
      <c r="G321" s="20" t="s">
        <v>18</v>
      </c>
      <c r="H321" s="21">
        <f>ROUND(RAND()*4+6,1)</f>
      </c>
      <c r="I321" s="20" t="s">
        <v>36</v>
      </c>
      <c r="J321" s="23">
        <f>ROUND(96*1,0)&amp;"%"</f>
      </c>
    </row>
    <row x14ac:dyDescent="0.25" r="322" customHeight="1" ht="17.25">
      <c r="A322" s="17" t="s">
        <v>11391</v>
      </c>
      <c r="B322" s="17" t="s">
        <v>520</v>
      </c>
      <c r="C322" s="17" t="s">
        <v>133</v>
      </c>
      <c r="D322" s="17" t="s">
        <v>39</v>
      </c>
      <c r="E322" s="18">
        <f>ROUND(9554*1.05,2)</f>
      </c>
      <c r="F322" s="17" t="s">
        <v>40</v>
      </c>
      <c r="G322" s="17" t="s">
        <v>24</v>
      </c>
      <c r="H322" s="18">
        <f>ROUND(RAND()*4+6,1)</f>
      </c>
      <c r="I322" s="17" t="s">
        <v>41</v>
      </c>
      <c r="J322" s="19">
        <f>ROUND(87*1,0)&amp;"%"</f>
      </c>
    </row>
    <row x14ac:dyDescent="0.25" r="323" customHeight="1" ht="17.25">
      <c r="A323" s="20" t="s">
        <v>11392</v>
      </c>
      <c r="B323" s="20" t="s">
        <v>522</v>
      </c>
      <c r="C323" s="20" t="s">
        <v>133</v>
      </c>
      <c r="D323" s="20" t="s">
        <v>67</v>
      </c>
      <c r="E323" s="21">
        <f>ROUND(11808*1.05,2)</f>
      </c>
      <c r="F323" s="20" t="s">
        <v>44</v>
      </c>
      <c r="G323" s="20" t="s">
        <v>30</v>
      </c>
      <c r="H323" s="21">
        <f>ROUND(RAND()*4+6,1)</f>
      </c>
      <c r="I323" s="20" t="s">
        <v>45</v>
      </c>
      <c r="J323" s="23">
        <f>ROUND(76*1,0)&amp;"%"</f>
      </c>
    </row>
    <row x14ac:dyDescent="0.25" r="324" customHeight="1" ht="17.25">
      <c r="A324" s="17" t="s">
        <v>11393</v>
      </c>
      <c r="B324" s="17" t="s">
        <v>524</v>
      </c>
      <c r="C324" s="17" t="s">
        <v>133</v>
      </c>
      <c r="D324" s="17" t="s">
        <v>16</v>
      </c>
      <c r="E324" s="26">
        <f>ROUND(10540*1.05,2)</f>
      </c>
      <c r="F324" s="17" t="s">
        <v>48</v>
      </c>
      <c r="G324" s="17" t="s">
        <v>18</v>
      </c>
      <c r="H324" s="18">
        <f>ROUND(RAND()*4+6,1)</f>
      </c>
      <c r="I324" s="17" t="s">
        <v>19</v>
      </c>
      <c r="J324" s="19">
        <f>ROUND(64*1,0)&amp;"%"</f>
      </c>
    </row>
    <row x14ac:dyDescent="0.25" r="325" customHeight="1" ht="17.25">
      <c r="A325" s="20" t="s">
        <v>11394</v>
      </c>
      <c r="B325" s="20" t="s">
        <v>526</v>
      </c>
      <c r="C325" s="20" t="s">
        <v>133</v>
      </c>
      <c r="D325" s="20" t="s">
        <v>22</v>
      </c>
      <c r="E325" s="21">
        <f>ROUND(12652*1.05,2)</f>
      </c>
      <c r="F325" s="20" t="s">
        <v>51</v>
      </c>
      <c r="G325" s="20" t="s">
        <v>24</v>
      </c>
      <c r="H325" s="21">
        <f>ROUND(RAND()*4+6,1)</f>
      </c>
      <c r="I325" s="20" t="s">
        <v>25</v>
      </c>
      <c r="J325" s="23">
        <f>ROUND(88*1,0)&amp;"%"</f>
      </c>
    </row>
    <row x14ac:dyDescent="0.25" r="326" customHeight="1" ht="17.25">
      <c r="A326" s="24" t="s">
        <v>527</v>
      </c>
      <c r="B326" s="24"/>
      <c r="C326" s="24"/>
      <c r="D326" s="24"/>
      <c r="E326" s="25">
        <v>8</v>
      </c>
      <c r="F326" s="9"/>
      <c r="G326" s="9"/>
      <c r="H326" s="10"/>
      <c r="I326" s="9"/>
      <c r="J326" s="9"/>
    </row>
    <row x14ac:dyDescent="0.25" r="327" customHeight="1" ht="17.25">
      <c r="A327" s="7"/>
      <c r="B327" s="7"/>
      <c r="C327" s="7"/>
      <c r="D327" s="7"/>
      <c r="E327" s="8"/>
      <c r="F327" s="9"/>
      <c r="G327" s="9"/>
      <c r="H327" s="10"/>
      <c r="I327" s="9"/>
      <c r="J327" s="9"/>
    </row>
    <row x14ac:dyDescent="0.25" r="328" customHeight="1" ht="17.25">
      <c r="A328" s="11" t="s">
        <v>11395</v>
      </c>
      <c r="B328" s="11"/>
      <c r="C328" s="11"/>
      <c r="D328" s="11"/>
      <c r="E328" s="12"/>
      <c r="F328" s="11"/>
      <c r="G328" s="11"/>
      <c r="H328" s="13"/>
      <c r="I328" s="11"/>
      <c r="J328" s="11"/>
    </row>
    <row x14ac:dyDescent="0.25" r="329" customHeight="1" ht="17.25">
      <c r="A329" s="14" t="s">
        <v>3</v>
      </c>
      <c r="B329" s="14" t="s">
        <v>4</v>
      </c>
      <c r="C329" s="14" t="s">
        <v>5</v>
      </c>
      <c r="D329" s="14" t="s">
        <v>6</v>
      </c>
      <c r="E329" s="15" t="s">
        <v>7</v>
      </c>
      <c r="F329" s="14" t="s">
        <v>8</v>
      </c>
      <c r="G329" s="14" t="s">
        <v>9</v>
      </c>
      <c r="H329" s="16" t="s">
        <v>10</v>
      </c>
      <c r="I329" s="14" t="s">
        <v>11</v>
      </c>
      <c r="J329" s="14" t="s">
        <v>12</v>
      </c>
    </row>
    <row x14ac:dyDescent="0.25" r="330" customHeight="1" ht="17.25">
      <c r="A330" s="17" t="s">
        <v>11396</v>
      </c>
      <c r="B330" s="17" t="s">
        <v>530</v>
      </c>
      <c r="C330" s="17" t="s">
        <v>152</v>
      </c>
      <c r="D330" s="17" t="s">
        <v>16</v>
      </c>
      <c r="E330" s="18">
        <f>ROUND(4566*1.05,2)</f>
      </c>
      <c r="F330" s="17" t="s">
        <v>17</v>
      </c>
      <c r="G330" s="17" t="s">
        <v>18</v>
      </c>
      <c r="H330" s="18">
        <f>ROUND(RAND()*4+6,1)</f>
      </c>
      <c r="I330" s="17" t="s">
        <v>19</v>
      </c>
      <c r="J330" s="19">
        <f>ROUND(99*1,0)&amp;"%"</f>
      </c>
    </row>
    <row x14ac:dyDescent="0.25" r="331" customHeight="1" ht="17.25">
      <c r="A331" s="20" t="s">
        <v>11397</v>
      </c>
      <c r="B331" s="20" t="s">
        <v>532</v>
      </c>
      <c r="C331" s="20" t="s">
        <v>152</v>
      </c>
      <c r="D331" s="20" t="s">
        <v>22</v>
      </c>
      <c r="E331" s="21">
        <f>ROUND(9803*1.05,2)</f>
      </c>
      <c r="F331" s="20" t="s">
        <v>23</v>
      </c>
      <c r="G331" s="20" t="s">
        <v>24</v>
      </c>
      <c r="H331" s="21">
        <f>ROUND(RAND()*4+6,1)</f>
      </c>
      <c r="I331" s="20" t="s">
        <v>25</v>
      </c>
      <c r="J331" s="23">
        <f>ROUND(74*1,0)&amp;"%"</f>
      </c>
    </row>
    <row x14ac:dyDescent="0.25" r="332" customHeight="1" ht="17.25">
      <c r="A332" s="17" t="s">
        <v>11398</v>
      </c>
      <c r="B332" s="17" t="s">
        <v>534</v>
      </c>
      <c r="C332" s="17" t="s">
        <v>152</v>
      </c>
      <c r="D332" s="17" t="s">
        <v>28</v>
      </c>
      <c r="E332" s="18">
        <f>ROUND(4645*1.05,2)</f>
      </c>
      <c r="F332" s="17" t="s">
        <v>29</v>
      </c>
      <c r="G332" s="17" t="s">
        <v>30</v>
      </c>
      <c r="H332" s="18">
        <f>ROUND(RAND()*4+6,1)</f>
      </c>
      <c r="I332" s="17" t="s">
        <v>31</v>
      </c>
      <c r="J332" s="19">
        <f>ROUND(61*1,0)&amp;"%"</f>
      </c>
    </row>
    <row x14ac:dyDescent="0.25" r="333" customHeight="1" ht="17.25">
      <c r="A333" s="20" t="s">
        <v>11399</v>
      </c>
      <c r="B333" s="20" t="s">
        <v>536</v>
      </c>
      <c r="C333" s="20" t="s">
        <v>152</v>
      </c>
      <c r="D333" s="20" t="s">
        <v>34</v>
      </c>
      <c r="E333" s="21">
        <f>ROUND(9390*1.05,2)</f>
      </c>
      <c r="F333" s="20" t="s">
        <v>35</v>
      </c>
      <c r="G333" s="20" t="s">
        <v>18</v>
      </c>
      <c r="H333" s="21">
        <f>ROUND(RAND()*4+6,1)</f>
      </c>
      <c r="I333" s="20" t="s">
        <v>36</v>
      </c>
      <c r="J333" s="23">
        <f>ROUND(71*1,0)&amp;"%"</f>
      </c>
    </row>
    <row x14ac:dyDescent="0.25" r="334" customHeight="1" ht="17.25">
      <c r="A334" s="17" t="s">
        <v>11400</v>
      </c>
      <c r="B334" s="17" t="s">
        <v>538</v>
      </c>
      <c r="C334" s="17" t="s">
        <v>152</v>
      </c>
      <c r="D334" s="17" t="s">
        <v>39</v>
      </c>
      <c r="E334" s="18">
        <f>ROUND(6210*1.05,2)</f>
      </c>
      <c r="F334" s="17" t="s">
        <v>40</v>
      </c>
      <c r="G334" s="17" t="s">
        <v>24</v>
      </c>
      <c r="H334" s="18">
        <f>ROUND(RAND()*4+6,1)</f>
      </c>
      <c r="I334" s="17" t="s">
        <v>41</v>
      </c>
      <c r="J334" s="19">
        <f>ROUND(62*1,0)&amp;"%"</f>
      </c>
    </row>
    <row x14ac:dyDescent="0.25" r="335" customHeight="1" ht="17.25">
      <c r="A335" s="20" t="s">
        <v>11401</v>
      </c>
      <c r="B335" s="20" t="s">
        <v>540</v>
      </c>
      <c r="C335" s="20" t="s">
        <v>152</v>
      </c>
      <c r="D335" s="20" t="s">
        <v>67</v>
      </c>
      <c r="E335" s="21">
        <f>ROUND(14854*1.05,2)</f>
      </c>
      <c r="F335" s="20" t="s">
        <v>44</v>
      </c>
      <c r="G335" s="20" t="s">
        <v>30</v>
      </c>
      <c r="H335" s="21">
        <f>ROUND(RAND()*4+6,1)</f>
      </c>
      <c r="I335" s="20" t="s">
        <v>45</v>
      </c>
      <c r="J335" s="23">
        <f>ROUND(71*1,0)&amp;"%"</f>
      </c>
    </row>
    <row x14ac:dyDescent="0.25" r="336" customHeight="1" ht="17.25">
      <c r="A336" s="17" t="s">
        <v>11402</v>
      </c>
      <c r="B336" s="17" t="s">
        <v>542</v>
      </c>
      <c r="C336" s="17" t="s">
        <v>152</v>
      </c>
      <c r="D336" s="17" t="s">
        <v>16</v>
      </c>
      <c r="E336" s="18">
        <f>ROUND(17844*1.05,2)</f>
      </c>
      <c r="F336" s="17" t="s">
        <v>48</v>
      </c>
      <c r="G336" s="17" t="s">
        <v>18</v>
      </c>
      <c r="H336" s="18">
        <f>ROUND(RAND()*4+6,1)</f>
      </c>
      <c r="I336" s="17" t="s">
        <v>19</v>
      </c>
      <c r="J336" s="19">
        <f>ROUND(81*1,0)&amp;"%"</f>
      </c>
    </row>
    <row x14ac:dyDescent="0.25" r="337" customHeight="1" ht="17.25">
      <c r="A337" s="20" t="s">
        <v>11403</v>
      </c>
      <c r="B337" s="20" t="s">
        <v>544</v>
      </c>
      <c r="C337" s="20" t="s">
        <v>152</v>
      </c>
      <c r="D337" s="20" t="s">
        <v>22</v>
      </c>
      <c r="E337" s="21">
        <f>ROUND(14729*1.05,2)</f>
      </c>
      <c r="F337" s="20" t="s">
        <v>51</v>
      </c>
      <c r="G337" s="20" t="s">
        <v>24</v>
      </c>
      <c r="H337" s="21">
        <f>ROUND(RAND()*4+6,1)</f>
      </c>
      <c r="I337" s="20" t="s">
        <v>25</v>
      </c>
      <c r="J337" s="23">
        <f>ROUND(96*1,0)&amp;"%"</f>
      </c>
    </row>
    <row x14ac:dyDescent="0.25" r="338" customHeight="1" ht="17.25">
      <c r="A338" s="24" t="s">
        <v>545</v>
      </c>
      <c r="B338" s="24"/>
      <c r="C338" s="24"/>
      <c r="D338" s="24"/>
      <c r="E338" s="25">
        <v>8</v>
      </c>
      <c r="F338" s="9"/>
      <c r="G338" s="9"/>
      <c r="H338" s="10"/>
      <c r="I338" s="9"/>
      <c r="J338" s="9"/>
    </row>
    <row x14ac:dyDescent="0.25" r="339" customHeight="1" ht="17.25">
      <c r="A339" s="7"/>
      <c r="B339" s="7"/>
      <c r="C339" s="7"/>
      <c r="D339" s="7"/>
      <c r="E339" s="8"/>
      <c r="F339" s="9"/>
      <c r="G339" s="9"/>
      <c r="H339" s="10"/>
      <c r="I339" s="9"/>
      <c r="J339" s="9"/>
    </row>
    <row x14ac:dyDescent="0.25" r="340" customHeight="1" ht="17.25">
      <c r="A340" s="11" t="s">
        <v>11404</v>
      </c>
      <c r="B340" s="11"/>
      <c r="C340" s="11"/>
      <c r="D340" s="11"/>
      <c r="E340" s="12"/>
      <c r="F340" s="11"/>
      <c r="G340" s="11"/>
      <c r="H340" s="13"/>
      <c r="I340" s="11"/>
      <c r="J340" s="11"/>
    </row>
    <row x14ac:dyDescent="0.25" r="341" customHeight="1" ht="17.25">
      <c r="A341" s="14" t="s">
        <v>3</v>
      </c>
      <c r="B341" s="14" t="s">
        <v>4</v>
      </c>
      <c r="C341" s="14" t="s">
        <v>5</v>
      </c>
      <c r="D341" s="14" t="s">
        <v>6</v>
      </c>
      <c r="E341" s="15" t="s">
        <v>7</v>
      </c>
      <c r="F341" s="14" t="s">
        <v>8</v>
      </c>
      <c r="G341" s="14" t="s">
        <v>9</v>
      </c>
      <c r="H341" s="16" t="s">
        <v>10</v>
      </c>
      <c r="I341" s="14" t="s">
        <v>11</v>
      </c>
      <c r="J341" s="14" t="s">
        <v>12</v>
      </c>
    </row>
    <row x14ac:dyDescent="0.25" r="342" customHeight="1" ht="17.25">
      <c r="A342" s="17" t="s">
        <v>11405</v>
      </c>
      <c r="B342" s="17" t="s">
        <v>548</v>
      </c>
      <c r="C342" s="17" t="s">
        <v>15</v>
      </c>
      <c r="D342" s="17" t="s">
        <v>16</v>
      </c>
      <c r="E342" s="18">
        <f>ROUND(4734*1.05,2)</f>
      </c>
      <c r="F342" s="17" t="s">
        <v>17</v>
      </c>
      <c r="G342" s="17" t="s">
        <v>18</v>
      </c>
      <c r="H342" s="18">
        <f>ROUND(RAND()*4+6,1)</f>
      </c>
      <c r="I342" s="17" t="s">
        <v>19</v>
      </c>
      <c r="J342" s="19">
        <f>ROUND(82*1,0)&amp;"%"</f>
      </c>
    </row>
    <row x14ac:dyDescent="0.25" r="343" customHeight="1" ht="17.25">
      <c r="A343" s="20" t="s">
        <v>11406</v>
      </c>
      <c r="B343" s="20" t="s">
        <v>550</v>
      </c>
      <c r="C343" s="20" t="s">
        <v>15</v>
      </c>
      <c r="D343" s="20" t="s">
        <v>22</v>
      </c>
      <c r="E343" s="21">
        <f>ROUND(13507*1.05,2)</f>
      </c>
      <c r="F343" s="20" t="s">
        <v>23</v>
      </c>
      <c r="G343" s="20" t="s">
        <v>24</v>
      </c>
      <c r="H343" s="21">
        <f>ROUND(RAND()*4+6,1)</f>
      </c>
      <c r="I343" s="20" t="s">
        <v>25</v>
      </c>
      <c r="J343" s="23">
        <f>ROUND(96*1,0)&amp;"%"</f>
      </c>
    </row>
    <row x14ac:dyDescent="0.25" r="344" customHeight="1" ht="17.25">
      <c r="A344" s="17" t="s">
        <v>11407</v>
      </c>
      <c r="B344" s="17" t="s">
        <v>552</v>
      </c>
      <c r="C344" s="17" t="s">
        <v>15</v>
      </c>
      <c r="D344" s="17" t="s">
        <v>28</v>
      </c>
      <c r="E344" s="18">
        <f>ROUND(17336*1.05,2)</f>
      </c>
      <c r="F344" s="17" t="s">
        <v>29</v>
      </c>
      <c r="G344" s="17" t="s">
        <v>30</v>
      </c>
      <c r="H344" s="18">
        <f>ROUND(RAND()*4+6,1)</f>
      </c>
      <c r="I344" s="17" t="s">
        <v>31</v>
      </c>
      <c r="J344" s="19">
        <f>ROUND(89*1,0)&amp;"%"</f>
      </c>
    </row>
    <row x14ac:dyDescent="0.25" r="345" customHeight="1" ht="17.25">
      <c r="A345" s="20" t="s">
        <v>11408</v>
      </c>
      <c r="B345" s="20" t="s">
        <v>554</v>
      </c>
      <c r="C345" s="20" t="s">
        <v>15</v>
      </c>
      <c r="D345" s="20" t="s">
        <v>34</v>
      </c>
      <c r="E345" s="21">
        <f>ROUND(7850*1.05,2)</f>
      </c>
      <c r="F345" s="20" t="s">
        <v>35</v>
      </c>
      <c r="G345" s="20" t="s">
        <v>18</v>
      </c>
      <c r="H345" s="21">
        <f>ROUND(RAND()*4+6,1)</f>
      </c>
      <c r="I345" s="20" t="s">
        <v>36</v>
      </c>
      <c r="J345" s="23">
        <f>ROUND(96*1,0)&amp;"%"</f>
      </c>
    </row>
    <row x14ac:dyDescent="0.25" r="346" customHeight="1" ht="17.25">
      <c r="A346" s="17" t="s">
        <v>11409</v>
      </c>
      <c r="B346" s="17" t="s">
        <v>556</v>
      </c>
      <c r="C346" s="17" t="s">
        <v>15</v>
      </c>
      <c r="D346" s="17" t="s">
        <v>39</v>
      </c>
      <c r="E346" s="26">
        <f>ROUND(11260*1.05,2)</f>
      </c>
      <c r="F346" s="17" t="s">
        <v>40</v>
      </c>
      <c r="G346" s="17" t="s">
        <v>24</v>
      </c>
      <c r="H346" s="26">
        <f>ROUND(RAND()*4+6,1)</f>
      </c>
      <c r="I346" s="17" t="s">
        <v>41</v>
      </c>
      <c r="J346" s="19">
        <f>ROUND(64*1,0)&amp;"%"</f>
      </c>
    </row>
    <row x14ac:dyDescent="0.25" r="347" customHeight="1" ht="17.25">
      <c r="A347" s="20" t="s">
        <v>11410</v>
      </c>
      <c r="B347" s="20" t="s">
        <v>558</v>
      </c>
      <c r="C347" s="20" t="s">
        <v>15</v>
      </c>
      <c r="D347" s="20" t="s">
        <v>67</v>
      </c>
      <c r="E347" s="21">
        <f>ROUND(14587*1.05,2)</f>
      </c>
      <c r="F347" s="20" t="s">
        <v>44</v>
      </c>
      <c r="G347" s="20" t="s">
        <v>30</v>
      </c>
      <c r="H347" s="22">
        <f>ROUND(RAND()*4+6,1)</f>
      </c>
      <c r="I347" s="20" t="s">
        <v>45</v>
      </c>
      <c r="J347" s="23">
        <f>ROUND(76*1,0)&amp;"%"</f>
      </c>
    </row>
    <row x14ac:dyDescent="0.25" r="348" customHeight="1" ht="17.25">
      <c r="A348" s="17" t="s">
        <v>11411</v>
      </c>
      <c r="B348" s="17" t="s">
        <v>560</v>
      </c>
      <c r="C348" s="17" t="s">
        <v>15</v>
      </c>
      <c r="D348" s="17" t="s">
        <v>16</v>
      </c>
      <c r="E348" s="18">
        <f>ROUND(13572*1.05,2)</f>
      </c>
      <c r="F348" s="17" t="s">
        <v>48</v>
      </c>
      <c r="G348" s="17" t="s">
        <v>18</v>
      </c>
      <c r="H348" s="18">
        <f>ROUND(RAND()*4+6,1)</f>
      </c>
      <c r="I348" s="17" t="s">
        <v>19</v>
      </c>
      <c r="J348" s="19">
        <f>ROUND(93*1,0)&amp;"%"</f>
      </c>
    </row>
    <row x14ac:dyDescent="0.25" r="349" customHeight="1" ht="17.25">
      <c r="A349" s="20" t="s">
        <v>11412</v>
      </c>
      <c r="B349" s="20" t="s">
        <v>562</v>
      </c>
      <c r="C349" s="20" t="s">
        <v>15</v>
      </c>
      <c r="D349" s="20" t="s">
        <v>22</v>
      </c>
      <c r="E349" s="21">
        <f>ROUND(17536*1.05,2)</f>
      </c>
      <c r="F349" s="20" t="s">
        <v>51</v>
      </c>
      <c r="G349" s="20" t="s">
        <v>24</v>
      </c>
      <c r="H349" s="21">
        <f>ROUND(RAND()*4+6,1)</f>
      </c>
      <c r="I349" s="20" t="s">
        <v>25</v>
      </c>
      <c r="J349" s="23">
        <f>ROUND(85*1,0)&amp;"%"</f>
      </c>
    </row>
    <row x14ac:dyDescent="0.25" r="350" customHeight="1" ht="17.25">
      <c r="A350" s="24" t="s">
        <v>563</v>
      </c>
      <c r="B350" s="24"/>
      <c r="C350" s="24"/>
      <c r="D350" s="24"/>
      <c r="E350" s="25">
        <v>8</v>
      </c>
      <c r="F350" s="9"/>
      <c r="G350" s="9"/>
      <c r="H350" s="10"/>
      <c r="I350" s="9"/>
      <c r="J350" s="9"/>
    </row>
    <row x14ac:dyDescent="0.25" r="351" customHeight="1" ht="17.25">
      <c r="A351" s="7"/>
      <c r="B351" s="7"/>
      <c r="C351" s="7"/>
      <c r="D351" s="7"/>
      <c r="E351" s="8"/>
      <c r="F351" s="9"/>
      <c r="G351" s="9"/>
      <c r="H351" s="10"/>
      <c r="I351" s="9"/>
      <c r="J351" s="9"/>
    </row>
    <row x14ac:dyDescent="0.25" r="352" customHeight="1" ht="17.25">
      <c r="A352" s="11" t="s">
        <v>11413</v>
      </c>
      <c r="B352" s="11"/>
      <c r="C352" s="11"/>
      <c r="D352" s="11"/>
      <c r="E352" s="12"/>
      <c r="F352" s="11"/>
      <c r="G352" s="11"/>
      <c r="H352" s="13"/>
      <c r="I352" s="11"/>
      <c r="J352" s="11"/>
    </row>
    <row x14ac:dyDescent="0.25" r="353" customHeight="1" ht="17.25">
      <c r="A353" s="14" t="s">
        <v>3</v>
      </c>
      <c r="B353" s="14" t="s">
        <v>4</v>
      </c>
      <c r="C353" s="14" t="s">
        <v>5</v>
      </c>
      <c r="D353" s="14" t="s">
        <v>6</v>
      </c>
      <c r="E353" s="15" t="s">
        <v>7</v>
      </c>
      <c r="F353" s="14" t="s">
        <v>8</v>
      </c>
      <c r="G353" s="14" t="s">
        <v>9</v>
      </c>
      <c r="H353" s="16" t="s">
        <v>10</v>
      </c>
      <c r="I353" s="14" t="s">
        <v>11</v>
      </c>
      <c r="J353" s="14" t="s">
        <v>12</v>
      </c>
    </row>
    <row x14ac:dyDescent="0.25" r="354" customHeight="1" ht="17.25">
      <c r="A354" s="17" t="s">
        <v>11414</v>
      </c>
      <c r="B354" s="17" t="s">
        <v>566</v>
      </c>
      <c r="C354" s="17" t="s">
        <v>56</v>
      </c>
      <c r="D354" s="17" t="s">
        <v>16</v>
      </c>
      <c r="E354" s="18">
        <f>ROUND(5513*1.05,2)</f>
      </c>
      <c r="F354" s="17" t="s">
        <v>17</v>
      </c>
      <c r="G354" s="17" t="s">
        <v>18</v>
      </c>
      <c r="H354" s="18">
        <f>ROUND(RAND()*4+6,1)</f>
      </c>
      <c r="I354" s="17" t="s">
        <v>19</v>
      </c>
      <c r="J354" s="19">
        <f>ROUND(69*1,0)&amp;"%"</f>
      </c>
    </row>
    <row x14ac:dyDescent="0.25" r="355" customHeight="1" ht="17.25">
      <c r="A355" s="20" t="s">
        <v>11415</v>
      </c>
      <c r="B355" s="20" t="s">
        <v>568</v>
      </c>
      <c r="C355" s="20" t="s">
        <v>56</v>
      </c>
      <c r="D355" s="20" t="s">
        <v>22</v>
      </c>
      <c r="E355" s="22">
        <f>ROUND(16900*1.05,2)</f>
      </c>
      <c r="F355" s="20" t="s">
        <v>23</v>
      </c>
      <c r="G355" s="20" t="s">
        <v>24</v>
      </c>
      <c r="H355" s="21">
        <f>ROUND(RAND()*4+6,1)</f>
      </c>
      <c r="I355" s="20" t="s">
        <v>25</v>
      </c>
      <c r="J355" s="23">
        <f>ROUND(82*1,0)&amp;"%"</f>
      </c>
    </row>
    <row x14ac:dyDescent="0.25" r="356" customHeight="1" ht="17.25">
      <c r="A356" s="17" t="s">
        <v>11416</v>
      </c>
      <c r="B356" s="17" t="s">
        <v>570</v>
      </c>
      <c r="C356" s="17" t="s">
        <v>56</v>
      </c>
      <c r="D356" s="17" t="s">
        <v>28</v>
      </c>
      <c r="E356" s="18">
        <f>ROUND(9770*1.05,2)</f>
      </c>
      <c r="F356" s="17" t="s">
        <v>29</v>
      </c>
      <c r="G356" s="17" t="s">
        <v>30</v>
      </c>
      <c r="H356" s="18">
        <f>ROUND(RAND()*4+6,1)</f>
      </c>
      <c r="I356" s="17" t="s">
        <v>31</v>
      </c>
      <c r="J356" s="19">
        <f>ROUND(88*1,0)&amp;"%"</f>
      </c>
    </row>
    <row x14ac:dyDescent="0.25" r="357" customHeight="1" ht="17.25">
      <c r="A357" s="20" t="s">
        <v>11417</v>
      </c>
      <c r="B357" s="20" t="s">
        <v>572</v>
      </c>
      <c r="C357" s="20" t="s">
        <v>56</v>
      </c>
      <c r="D357" s="20" t="s">
        <v>34</v>
      </c>
      <c r="E357" s="22">
        <f>ROUND(7060*1.05,2)</f>
      </c>
      <c r="F357" s="20" t="s">
        <v>35</v>
      </c>
      <c r="G357" s="20" t="s">
        <v>18</v>
      </c>
      <c r="H357" s="21">
        <f>ROUND(RAND()*4+6,1)</f>
      </c>
      <c r="I357" s="20" t="s">
        <v>36</v>
      </c>
      <c r="J357" s="23">
        <f>ROUND(72*1,0)&amp;"%"</f>
      </c>
    </row>
    <row x14ac:dyDescent="0.25" r="358" customHeight="1" ht="17.25">
      <c r="A358" s="17" t="s">
        <v>11418</v>
      </c>
      <c r="B358" s="17" t="s">
        <v>574</v>
      </c>
      <c r="C358" s="17" t="s">
        <v>56</v>
      </c>
      <c r="D358" s="17" t="s">
        <v>39</v>
      </c>
      <c r="E358" s="18">
        <f>ROUND(17863*1.05,2)</f>
      </c>
      <c r="F358" s="17" t="s">
        <v>40</v>
      </c>
      <c r="G358" s="17" t="s">
        <v>24</v>
      </c>
      <c r="H358" s="18">
        <f>ROUND(RAND()*4+6,1)</f>
      </c>
      <c r="I358" s="17" t="s">
        <v>41</v>
      </c>
      <c r="J358" s="19">
        <f>ROUND(100*1,0)&amp;"%"</f>
      </c>
    </row>
    <row x14ac:dyDescent="0.25" r="359" customHeight="1" ht="17.25">
      <c r="A359" s="20" t="s">
        <v>11419</v>
      </c>
      <c r="B359" s="20" t="s">
        <v>576</v>
      </c>
      <c r="C359" s="20" t="s">
        <v>56</v>
      </c>
      <c r="D359" s="20" t="s">
        <v>67</v>
      </c>
      <c r="E359" s="21">
        <f>ROUND(10463*1.05,2)</f>
      </c>
      <c r="F359" s="20" t="s">
        <v>44</v>
      </c>
      <c r="G359" s="20" t="s">
        <v>30</v>
      </c>
      <c r="H359" s="21">
        <f>ROUND(RAND()*4+6,1)</f>
      </c>
      <c r="I359" s="20" t="s">
        <v>45</v>
      </c>
      <c r="J359" s="23">
        <f>ROUND(100*1,0)&amp;"%"</f>
      </c>
    </row>
    <row x14ac:dyDescent="0.25" r="360" customHeight="1" ht="17.25">
      <c r="A360" s="17" t="s">
        <v>11420</v>
      </c>
      <c r="B360" s="17" t="s">
        <v>578</v>
      </c>
      <c r="C360" s="17" t="s">
        <v>56</v>
      </c>
      <c r="D360" s="17" t="s">
        <v>16</v>
      </c>
      <c r="E360" s="18">
        <f>ROUND(17574*1.05,2)</f>
      </c>
      <c r="F360" s="17" t="s">
        <v>48</v>
      </c>
      <c r="G360" s="17" t="s">
        <v>18</v>
      </c>
      <c r="H360" s="18">
        <f>ROUND(RAND()*4+6,1)</f>
      </c>
      <c r="I360" s="17" t="s">
        <v>19</v>
      </c>
      <c r="J360" s="19">
        <f>ROUND(72*1,0)&amp;"%"</f>
      </c>
    </row>
    <row x14ac:dyDescent="0.25" r="361" customHeight="1" ht="17.25">
      <c r="A361" s="20" t="s">
        <v>11421</v>
      </c>
      <c r="B361" s="20" t="s">
        <v>580</v>
      </c>
      <c r="C361" s="20" t="s">
        <v>56</v>
      </c>
      <c r="D361" s="20" t="s">
        <v>22</v>
      </c>
      <c r="E361" s="21">
        <f>ROUND(15379*1.05,2)</f>
      </c>
      <c r="F361" s="20" t="s">
        <v>51</v>
      </c>
      <c r="G361" s="20" t="s">
        <v>24</v>
      </c>
      <c r="H361" s="21">
        <f>ROUND(RAND()*4+6,1)</f>
      </c>
      <c r="I361" s="20" t="s">
        <v>25</v>
      </c>
      <c r="J361" s="23">
        <f>ROUND(62*1,0)&amp;"%"</f>
      </c>
    </row>
    <row x14ac:dyDescent="0.25" r="362" customHeight="1" ht="17.25">
      <c r="A362" s="24" t="s">
        <v>581</v>
      </c>
      <c r="B362" s="24"/>
      <c r="C362" s="24"/>
      <c r="D362" s="24"/>
      <c r="E362" s="25">
        <v>8</v>
      </c>
      <c r="F362" s="9"/>
      <c r="G362" s="9"/>
      <c r="H362" s="10"/>
      <c r="I362" s="9"/>
      <c r="J362" s="9"/>
    </row>
  </sheetData>
  <mergeCells count="62">
    <mergeCell ref="A1:J1"/>
    <mergeCell ref="A2:J2"/>
    <mergeCell ref="A4:J4"/>
    <mergeCell ref="A14:D14"/>
    <mergeCell ref="A16:J16"/>
    <mergeCell ref="A26:D26"/>
    <mergeCell ref="A28:J28"/>
    <mergeCell ref="A38:D38"/>
    <mergeCell ref="A40:J40"/>
    <mergeCell ref="A50:D50"/>
    <mergeCell ref="A52:J52"/>
    <mergeCell ref="A62:D62"/>
    <mergeCell ref="A64:J64"/>
    <mergeCell ref="A74:D74"/>
    <mergeCell ref="A76:J76"/>
    <mergeCell ref="A86:D86"/>
    <mergeCell ref="A88:J88"/>
    <mergeCell ref="A98:D98"/>
    <mergeCell ref="A100:J100"/>
    <mergeCell ref="A110:D110"/>
    <mergeCell ref="A112:J112"/>
    <mergeCell ref="A122:D122"/>
    <mergeCell ref="A124:J124"/>
    <mergeCell ref="A134:D134"/>
    <mergeCell ref="A136:J136"/>
    <mergeCell ref="A146:D146"/>
    <mergeCell ref="A148:J148"/>
    <mergeCell ref="A158:D158"/>
    <mergeCell ref="A160:J160"/>
    <mergeCell ref="A170:D170"/>
    <mergeCell ref="A172:J172"/>
    <mergeCell ref="A182:D182"/>
    <mergeCell ref="A184:J184"/>
    <mergeCell ref="A194:D194"/>
    <mergeCell ref="A196:J196"/>
    <mergeCell ref="A206:D206"/>
    <mergeCell ref="A208:J208"/>
    <mergeCell ref="A218:D218"/>
    <mergeCell ref="A220:J220"/>
    <mergeCell ref="A230:D230"/>
    <mergeCell ref="A232:J232"/>
    <mergeCell ref="A242:D242"/>
    <mergeCell ref="A244:J244"/>
    <mergeCell ref="A254:D254"/>
    <mergeCell ref="A256:J256"/>
    <mergeCell ref="A266:D266"/>
    <mergeCell ref="A268:J268"/>
    <mergeCell ref="A278:D278"/>
    <mergeCell ref="A280:J280"/>
    <mergeCell ref="A290:D290"/>
    <mergeCell ref="A292:J292"/>
    <mergeCell ref="A302:D302"/>
    <mergeCell ref="A304:J304"/>
    <mergeCell ref="A314:D314"/>
    <mergeCell ref="A316:J316"/>
    <mergeCell ref="A326:D326"/>
    <mergeCell ref="A328:J328"/>
    <mergeCell ref="A338:D338"/>
    <mergeCell ref="A340:J340"/>
    <mergeCell ref="A350:D350"/>
    <mergeCell ref="A352:J352"/>
    <mergeCell ref="A362:D36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J362"/>
  <sheetViews>
    <sheetView workbookViewId="0"/>
  </sheetViews>
  <sheetFormatPr defaultRowHeight="15" x14ac:dyDescent="0.25"/>
  <cols>
    <col min="1" max="1" style="27" width="8.005" customWidth="1" bestFit="1"/>
    <col min="2" max="2" style="27" width="22.005" customWidth="1" bestFit="1"/>
    <col min="3" max="3" style="27" width="16.005" customWidth="1" bestFit="1"/>
    <col min="4" max="4" style="27" width="14.005" customWidth="1" bestFit="1"/>
    <col min="5" max="5" style="28" width="12.005" customWidth="1" bestFit="1"/>
    <col min="6" max="6" style="29" width="16.005" customWidth="1" bestFit="1"/>
    <col min="7" max="7" style="29" width="10.005" customWidth="1" bestFit="1"/>
    <col min="8" max="8" style="30" width="10.005" customWidth="1" bestFit="1"/>
    <col min="9" max="9" style="29" width="14.005" customWidth="1" bestFit="1"/>
    <col min="10" max="10" style="29" width="8.005" customWidth="1" bestFit="1"/>
  </cols>
  <sheetData>
    <row x14ac:dyDescent="0.25" r="1" customHeight="1" ht="17.25">
      <c r="A1" s="1" t="s">
        <v>10880</v>
      </c>
      <c r="B1" s="1"/>
      <c r="C1" s="1"/>
      <c r="D1" s="1"/>
      <c r="E1" s="2"/>
      <c r="F1" s="1"/>
      <c r="G1" s="1"/>
      <c r="H1" s="3"/>
      <c r="I1" s="1"/>
      <c r="J1" s="1"/>
    </row>
    <row x14ac:dyDescent="0.25" r="2" customHeight="1" ht="17.25">
      <c r="A2" s="4" t="s">
        <v>1</v>
      </c>
      <c r="B2" s="4"/>
      <c r="C2" s="4"/>
      <c r="D2" s="4"/>
      <c r="E2" s="5"/>
      <c r="F2" s="4"/>
      <c r="G2" s="4"/>
      <c r="H2" s="6"/>
      <c r="I2" s="4"/>
      <c r="J2" s="4"/>
    </row>
    <row x14ac:dyDescent="0.25" r="3" customHeight="1" ht="17.25">
      <c r="A3" s="7"/>
      <c r="B3" s="7"/>
      <c r="C3" s="7"/>
      <c r="D3" s="7"/>
      <c r="E3" s="8"/>
      <c r="F3" s="9"/>
      <c r="G3" s="9"/>
      <c r="H3" s="10"/>
      <c r="I3" s="9"/>
      <c r="J3" s="9"/>
    </row>
    <row x14ac:dyDescent="0.25" r="4" customHeight="1" ht="17.25">
      <c r="A4" s="11" t="s">
        <v>10881</v>
      </c>
      <c r="B4" s="11"/>
      <c r="C4" s="11"/>
      <c r="D4" s="11"/>
      <c r="E4" s="12"/>
      <c r="F4" s="11"/>
      <c r="G4" s="11"/>
      <c r="H4" s="13"/>
      <c r="I4" s="11"/>
      <c r="J4" s="11"/>
    </row>
    <row x14ac:dyDescent="0.25" r="5" customHeight="1" ht="17.25">
      <c r="A5" s="14" t="s">
        <v>3</v>
      </c>
      <c r="B5" s="14" t="s">
        <v>4</v>
      </c>
      <c r="C5" s="14" t="s">
        <v>5</v>
      </c>
      <c r="D5" s="14" t="s">
        <v>6</v>
      </c>
      <c r="E5" s="15" t="s">
        <v>7</v>
      </c>
      <c r="F5" s="14" t="s">
        <v>8</v>
      </c>
      <c r="G5" s="14" t="s">
        <v>9</v>
      </c>
      <c r="H5" s="16" t="s">
        <v>10</v>
      </c>
      <c r="I5" s="14" t="s">
        <v>11</v>
      </c>
      <c r="J5" s="14" t="s">
        <v>12</v>
      </c>
    </row>
    <row x14ac:dyDescent="0.25" r="6" customHeight="1" ht="17.25">
      <c r="A6" s="17" t="s">
        <v>10882</v>
      </c>
      <c r="B6" s="17" t="s">
        <v>14</v>
      </c>
      <c r="C6" s="17" t="s">
        <v>15</v>
      </c>
      <c r="D6" s="17" t="s">
        <v>16</v>
      </c>
      <c r="E6" s="18">
        <f>ROUND(17394*1.05,2)</f>
      </c>
      <c r="F6" s="17" t="s">
        <v>17</v>
      </c>
      <c r="G6" s="17" t="s">
        <v>18</v>
      </c>
      <c r="H6" s="26">
        <f>ROUND(RAND()*4+6,1)</f>
      </c>
      <c r="I6" s="17" t="s">
        <v>19</v>
      </c>
      <c r="J6" s="19">
        <f>ROUND(97*1,0)&amp;"%"</f>
      </c>
    </row>
    <row x14ac:dyDescent="0.25" r="7" customHeight="1" ht="17.25">
      <c r="A7" s="20" t="s">
        <v>10883</v>
      </c>
      <c r="B7" s="20" t="s">
        <v>21</v>
      </c>
      <c r="C7" s="20" t="s">
        <v>15</v>
      </c>
      <c r="D7" s="20" t="s">
        <v>22</v>
      </c>
      <c r="E7" s="21">
        <f>ROUND(11694*1.05,2)</f>
      </c>
      <c r="F7" s="20" t="s">
        <v>23</v>
      </c>
      <c r="G7" s="20" t="s">
        <v>24</v>
      </c>
      <c r="H7" s="21">
        <f>ROUND(RAND()*4+6,1)</f>
      </c>
      <c r="I7" s="20" t="s">
        <v>25</v>
      </c>
      <c r="J7" s="23">
        <f>ROUND(72*1,0)&amp;"%"</f>
      </c>
    </row>
    <row x14ac:dyDescent="0.25" r="8" customHeight="1" ht="17.25">
      <c r="A8" s="17" t="s">
        <v>10884</v>
      </c>
      <c r="B8" s="17" t="s">
        <v>27</v>
      </c>
      <c r="C8" s="17" t="s">
        <v>15</v>
      </c>
      <c r="D8" s="17" t="s">
        <v>28</v>
      </c>
      <c r="E8" s="18">
        <f>ROUND(5074*1.05,2)</f>
      </c>
      <c r="F8" s="17" t="s">
        <v>29</v>
      </c>
      <c r="G8" s="17" t="s">
        <v>30</v>
      </c>
      <c r="H8" s="18">
        <f>ROUND(RAND()*4+6,1)</f>
      </c>
      <c r="I8" s="17" t="s">
        <v>31</v>
      </c>
      <c r="J8" s="19">
        <f>ROUND(82*1,0)&amp;"%"</f>
      </c>
    </row>
    <row x14ac:dyDescent="0.25" r="9" customHeight="1" ht="17.25">
      <c r="A9" s="20" t="s">
        <v>10885</v>
      </c>
      <c r="B9" s="20" t="s">
        <v>33</v>
      </c>
      <c r="C9" s="20" t="s">
        <v>15</v>
      </c>
      <c r="D9" s="20" t="s">
        <v>34</v>
      </c>
      <c r="E9" s="21">
        <f>ROUND(9613*1.05,2)</f>
      </c>
      <c r="F9" s="20" t="s">
        <v>35</v>
      </c>
      <c r="G9" s="20" t="s">
        <v>18</v>
      </c>
      <c r="H9" s="21">
        <f>ROUND(RAND()*4+6,1)</f>
      </c>
      <c r="I9" s="20" t="s">
        <v>36</v>
      </c>
      <c r="J9" s="23">
        <f>ROUND(74*1,0)&amp;"%"</f>
      </c>
    </row>
    <row x14ac:dyDescent="0.25" r="10" customHeight="1" ht="17.25">
      <c r="A10" s="17" t="s">
        <v>10886</v>
      </c>
      <c r="B10" s="17" t="s">
        <v>38</v>
      </c>
      <c r="C10" s="17" t="s">
        <v>15</v>
      </c>
      <c r="D10" s="17" t="s">
        <v>39</v>
      </c>
      <c r="E10" s="18">
        <f>ROUND(5336*1.05,2)</f>
      </c>
      <c r="F10" s="17" t="s">
        <v>40</v>
      </c>
      <c r="G10" s="17" t="s">
        <v>24</v>
      </c>
      <c r="H10" s="18">
        <f>ROUND(RAND()*4+6,1)</f>
      </c>
      <c r="I10" s="17" t="s">
        <v>41</v>
      </c>
      <c r="J10" s="19">
        <f>ROUND(74*1,0)&amp;"%"</f>
      </c>
    </row>
    <row x14ac:dyDescent="0.25" r="11" customHeight="1" ht="17.25">
      <c r="A11" s="20" t="s">
        <v>10887</v>
      </c>
      <c r="B11" s="20" t="s">
        <v>43</v>
      </c>
      <c r="C11" s="20" t="s">
        <v>15</v>
      </c>
      <c r="D11" s="20" t="s">
        <v>67</v>
      </c>
      <c r="E11" s="21">
        <f>ROUND(13197*1.05,2)</f>
      </c>
      <c r="F11" s="20" t="s">
        <v>44</v>
      </c>
      <c r="G11" s="20" t="s">
        <v>30</v>
      </c>
      <c r="H11" s="22">
        <f>ROUND(RAND()*4+6,1)</f>
      </c>
      <c r="I11" s="20" t="s">
        <v>45</v>
      </c>
      <c r="J11" s="23">
        <f>ROUND(97*1,0)&amp;"%"</f>
      </c>
    </row>
    <row x14ac:dyDescent="0.25" r="12" customHeight="1" ht="17.25">
      <c r="A12" s="17" t="s">
        <v>10888</v>
      </c>
      <c r="B12" s="17" t="s">
        <v>47</v>
      </c>
      <c r="C12" s="17" t="s">
        <v>15</v>
      </c>
      <c r="D12" s="17" t="s">
        <v>16</v>
      </c>
      <c r="E12" s="18">
        <f>ROUND(16470*1.05,2)</f>
      </c>
      <c r="F12" s="17" t="s">
        <v>48</v>
      </c>
      <c r="G12" s="17" t="s">
        <v>18</v>
      </c>
      <c r="H12" s="18">
        <f>ROUND(RAND()*4+6,1)</f>
      </c>
      <c r="I12" s="17" t="s">
        <v>19</v>
      </c>
      <c r="J12" s="19">
        <f>ROUND(89*1,0)&amp;"%"</f>
      </c>
    </row>
    <row x14ac:dyDescent="0.25" r="13" customHeight="1" ht="17.25">
      <c r="A13" s="20" t="s">
        <v>10889</v>
      </c>
      <c r="B13" s="20" t="s">
        <v>50</v>
      </c>
      <c r="C13" s="20" t="s">
        <v>15</v>
      </c>
      <c r="D13" s="20" t="s">
        <v>22</v>
      </c>
      <c r="E13" s="21">
        <f>ROUND(13804*1.05,2)</f>
      </c>
      <c r="F13" s="20" t="s">
        <v>51</v>
      </c>
      <c r="G13" s="20" t="s">
        <v>24</v>
      </c>
      <c r="H13" s="21">
        <f>ROUND(RAND()*4+6,1)</f>
      </c>
      <c r="I13" s="20" t="s">
        <v>25</v>
      </c>
      <c r="J13" s="23">
        <f>ROUND(93*1,0)&amp;"%"</f>
      </c>
    </row>
    <row x14ac:dyDescent="0.25" r="14" customHeight="1" ht="17.25">
      <c r="A14" s="24" t="s">
        <v>52</v>
      </c>
      <c r="B14" s="24"/>
      <c r="C14" s="24"/>
      <c r="D14" s="24"/>
      <c r="E14" s="25">
        <v>8</v>
      </c>
      <c r="F14" s="9"/>
      <c r="G14" s="9"/>
      <c r="H14" s="10"/>
      <c r="I14" s="9"/>
      <c r="J14" s="9"/>
    </row>
    <row x14ac:dyDescent="0.25" r="15" customHeight="1" ht="17.25">
      <c r="A15" s="7"/>
      <c r="B15" s="7"/>
      <c r="C15" s="7"/>
      <c r="D15" s="7"/>
      <c r="E15" s="8"/>
      <c r="F15" s="9"/>
      <c r="G15" s="9"/>
      <c r="H15" s="10"/>
      <c r="I15" s="9"/>
      <c r="J15" s="9"/>
    </row>
    <row x14ac:dyDescent="0.25" r="16" customHeight="1" ht="17.25">
      <c r="A16" s="11" t="s">
        <v>10890</v>
      </c>
      <c r="B16" s="11"/>
      <c r="C16" s="11"/>
      <c r="D16" s="11"/>
      <c r="E16" s="12"/>
      <c r="F16" s="11"/>
      <c r="G16" s="11"/>
      <c r="H16" s="13"/>
      <c r="I16" s="11"/>
      <c r="J16" s="11"/>
    </row>
    <row x14ac:dyDescent="0.25" r="17" customHeight="1" ht="17.25">
      <c r="A17" s="14" t="s">
        <v>3</v>
      </c>
      <c r="B17" s="14" t="s">
        <v>4</v>
      </c>
      <c r="C17" s="14" t="s">
        <v>5</v>
      </c>
      <c r="D17" s="14" t="s">
        <v>6</v>
      </c>
      <c r="E17" s="15" t="s">
        <v>7</v>
      </c>
      <c r="F17" s="14" t="s">
        <v>8</v>
      </c>
      <c r="G17" s="14" t="s">
        <v>9</v>
      </c>
      <c r="H17" s="16" t="s">
        <v>10</v>
      </c>
      <c r="I17" s="14" t="s">
        <v>11</v>
      </c>
      <c r="J17" s="14" t="s">
        <v>12</v>
      </c>
    </row>
    <row x14ac:dyDescent="0.25" r="18" customHeight="1" ht="17.25">
      <c r="A18" s="17" t="s">
        <v>10891</v>
      </c>
      <c r="B18" s="17" t="s">
        <v>55</v>
      </c>
      <c r="C18" s="17" t="s">
        <v>56</v>
      </c>
      <c r="D18" s="17" t="s">
        <v>16</v>
      </c>
      <c r="E18" s="18">
        <f>ROUND(4290*1.05,2)</f>
      </c>
      <c r="F18" s="17" t="s">
        <v>17</v>
      </c>
      <c r="G18" s="17" t="s">
        <v>18</v>
      </c>
      <c r="H18" s="18">
        <f>ROUND(RAND()*4+6,1)</f>
      </c>
      <c r="I18" s="17" t="s">
        <v>19</v>
      </c>
      <c r="J18" s="19">
        <f>ROUND(64*1,0)&amp;"%"</f>
      </c>
    </row>
    <row x14ac:dyDescent="0.25" r="19" customHeight="1" ht="17.25">
      <c r="A19" s="20" t="s">
        <v>10892</v>
      </c>
      <c r="B19" s="20" t="s">
        <v>58</v>
      </c>
      <c r="C19" s="20" t="s">
        <v>56</v>
      </c>
      <c r="D19" s="20" t="s">
        <v>22</v>
      </c>
      <c r="E19" s="21">
        <f>ROUND(10296*1.05,2)</f>
      </c>
      <c r="F19" s="20" t="s">
        <v>23</v>
      </c>
      <c r="G19" s="20" t="s">
        <v>24</v>
      </c>
      <c r="H19" s="21">
        <f>ROUND(RAND()*4+6,1)</f>
      </c>
      <c r="I19" s="20" t="s">
        <v>25</v>
      </c>
      <c r="J19" s="23">
        <f>ROUND(64*1,0)&amp;"%"</f>
      </c>
    </row>
    <row x14ac:dyDescent="0.25" r="20" customHeight="1" ht="17.25">
      <c r="A20" s="17" t="s">
        <v>10893</v>
      </c>
      <c r="B20" s="17" t="s">
        <v>60</v>
      </c>
      <c r="C20" s="17" t="s">
        <v>56</v>
      </c>
      <c r="D20" s="17" t="s">
        <v>28</v>
      </c>
      <c r="E20" s="18">
        <f>ROUND(11579*1.05,2)</f>
      </c>
      <c r="F20" s="17" t="s">
        <v>29</v>
      </c>
      <c r="G20" s="17" t="s">
        <v>30</v>
      </c>
      <c r="H20" s="26">
        <f>ROUND(RAND()*4+6,1)</f>
      </c>
      <c r="I20" s="17" t="s">
        <v>31</v>
      </c>
      <c r="J20" s="19">
        <f>ROUND(90*1,0)&amp;"%"</f>
      </c>
    </row>
    <row x14ac:dyDescent="0.25" r="21" customHeight="1" ht="17.25">
      <c r="A21" s="20" t="s">
        <v>10894</v>
      </c>
      <c r="B21" s="20" t="s">
        <v>62</v>
      </c>
      <c r="C21" s="20" t="s">
        <v>56</v>
      </c>
      <c r="D21" s="20" t="s">
        <v>34</v>
      </c>
      <c r="E21" s="21">
        <f>ROUND(9329*1.05,2)</f>
      </c>
      <c r="F21" s="20" t="s">
        <v>35</v>
      </c>
      <c r="G21" s="20" t="s">
        <v>18</v>
      </c>
      <c r="H21" s="21">
        <f>ROUND(RAND()*4+6,1)</f>
      </c>
      <c r="I21" s="20" t="s">
        <v>36</v>
      </c>
      <c r="J21" s="23">
        <f>ROUND(79*1,0)&amp;"%"</f>
      </c>
    </row>
    <row x14ac:dyDescent="0.25" r="22" customHeight="1" ht="17.25">
      <c r="A22" s="17" t="s">
        <v>10895</v>
      </c>
      <c r="B22" s="17" t="s">
        <v>64</v>
      </c>
      <c r="C22" s="17" t="s">
        <v>56</v>
      </c>
      <c r="D22" s="17" t="s">
        <v>39</v>
      </c>
      <c r="E22" s="18">
        <f>ROUND(11647*1.05,2)</f>
      </c>
      <c r="F22" s="17" t="s">
        <v>40</v>
      </c>
      <c r="G22" s="17" t="s">
        <v>24</v>
      </c>
      <c r="H22" s="18">
        <f>ROUND(RAND()*4+6,1)</f>
      </c>
      <c r="I22" s="17" t="s">
        <v>41</v>
      </c>
      <c r="J22" s="19">
        <f>ROUND(87*1,0)&amp;"%"</f>
      </c>
    </row>
    <row x14ac:dyDescent="0.25" r="23" customHeight="1" ht="17.25">
      <c r="A23" s="20" t="s">
        <v>10896</v>
      </c>
      <c r="B23" s="20" t="s">
        <v>66</v>
      </c>
      <c r="C23" s="20" t="s">
        <v>56</v>
      </c>
      <c r="D23" s="20" t="s">
        <v>67</v>
      </c>
      <c r="E23" s="21">
        <f>ROUND(8742*1.05,2)</f>
      </c>
      <c r="F23" s="20" t="s">
        <v>44</v>
      </c>
      <c r="G23" s="20" t="s">
        <v>30</v>
      </c>
      <c r="H23" s="21">
        <f>ROUND(RAND()*4+6,1)</f>
      </c>
      <c r="I23" s="20" t="s">
        <v>45</v>
      </c>
      <c r="J23" s="23">
        <f>ROUND(80*1,0)&amp;"%"</f>
      </c>
    </row>
    <row x14ac:dyDescent="0.25" r="24" customHeight="1" ht="17.25">
      <c r="A24" s="17" t="s">
        <v>10897</v>
      </c>
      <c r="B24" s="17" t="s">
        <v>69</v>
      </c>
      <c r="C24" s="17" t="s">
        <v>56</v>
      </c>
      <c r="D24" s="17" t="s">
        <v>16</v>
      </c>
      <c r="E24" s="18">
        <f>ROUND(11746*1.05,2)</f>
      </c>
      <c r="F24" s="17" t="s">
        <v>48</v>
      </c>
      <c r="G24" s="17" t="s">
        <v>18</v>
      </c>
      <c r="H24" s="18">
        <f>ROUND(RAND()*4+6,1)</f>
      </c>
      <c r="I24" s="17" t="s">
        <v>19</v>
      </c>
      <c r="J24" s="19">
        <f>ROUND(79*1,0)&amp;"%"</f>
      </c>
    </row>
    <row x14ac:dyDescent="0.25" r="25" customHeight="1" ht="17.25">
      <c r="A25" s="20" t="s">
        <v>10898</v>
      </c>
      <c r="B25" s="20" t="s">
        <v>71</v>
      </c>
      <c r="C25" s="20" t="s">
        <v>56</v>
      </c>
      <c r="D25" s="20" t="s">
        <v>22</v>
      </c>
      <c r="E25" s="21">
        <f>ROUND(5741*1.05,2)</f>
      </c>
      <c r="F25" s="20" t="s">
        <v>51</v>
      </c>
      <c r="G25" s="20" t="s">
        <v>24</v>
      </c>
      <c r="H25" s="21">
        <f>ROUND(RAND()*4+6,1)</f>
      </c>
      <c r="I25" s="20" t="s">
        <v>25</v>
      </c>
      <c r="J25" s="23">
        <f>ROUND(68*1,0)&amp;"%"</f>
      </c>
    </row>
    <row x14ac:dyDescent="0.25" r="26" customHeight="1" ht="17.25">
      <c r="A26" s="24" t="s">
        <v>72</v>
      </c>
      <c r="B26" s="24"/>
      <c r="C26" s="24"/>
      <c r="D26" s="24"/>
      <c r="E26" s="25">
        <v>8</v>
      </c>
      <c r="F26" s="9"/>
      <c r="G26" s="9"/>
      <c r="H26" s="10"/>
      <c r="I26" s="9"/>
      <c r="J26" s="9"/>
    </row>
    <row x14ac:dyDescent="0.25" r="27" customHeight="1" ht="17.25">
      <c r="A27" s="7"/>
      <c r="B27" s="7"/>
      <c r="C27" s="7"/>
      <c r="D27" s="7"/>
      <c r="E27" s="8"/>
      <c r="F27" s="9"/>
      <c r="G27" s="9"/>
      <c r="H27" s="10"/>
      <c r="I27" s="9"/>
      <c r="J27" s="9"/>
    </row>
    <row x14ac:dyDescent="0.25" r="28" customHeight="1" ht="17.25">
      <c r="A28" s="11" t="s">
        <v>10899</v>
      </c>
      <c r="B28" s="11"/>
      <c r="C28" s="11"/>
      <c r="D28" s="11"/>
      <c r="E28" s="12"/>
      <c r="F28" s="11"/>
      <c r="G28" s="11"/>
      <c r="H28" s="13"/>
      <c r="I28" s="11"/>
      <c r="J28" s="11"/>
    </row>
    <row x14ac:dyDescent="0.25" r="29" customHeight="1" ht="17.25">
      <c r="A29" s="14" t="s">
        <v>3</v>
      </c>
      <c r="B29" s="14" t="s">
        <v>4</v>
      </c>
      <c r="C29" s="14" t="s">
        <v>5</v>
      </c>
      <c r="D29" s="14" t="s">
        <v>6</v>
      </c>
      <c r="E29" s="15" t="s">
        <v>7</v>
      </c>
      <c r="F29" s="14" t="s">
        <v>8</v>
      </c>
      <c r="G29" s="14" t="s">
        <v>9</v>
      </c>
      <c r="H29" s="16" t="s">
        <v>10</v>
      </c>
      <c r="I29" s="14" t="s">
        <v>11</v>
      </c>
      <c r="J29" s="14" t="s">
        <v>12</v>
      </c>
    </row>
    <row x14ac:dyDescent="0.25" r="30" customHeight="1" ht="17.25">
      <c r="A30" s="17" t="s">
        <v>10900</v>
      </c>
      <c r="B30" s="17" t="s">
        <v>75</v>
      </c>
      <c r="C30" s="17" t="s">
        <v>76</v>
      </c>
      <c r="D30" s="17" t="s">
        <v>16</v>
      </c>
      <c r="E30" s="18">
        <f>ROUND(13011*1.05,2)</f>
      </c>
      <c r="F30" s="17" t="s">
        <v>17</v>
      </c>
      <c r="G30" s="17" t="s">
        <v>18</v>
      </c>
      <c r="H30" s="26">
        <f>ROUND(RAND()*4+6,1)</f>
      </c>
      <c r="I30" s="17" t="s">
        <v>19</v>
      </c>
      <c r="J30" s="19">
        <f>ROUND(68*1,0)&amp;"%"</f>
      </c>
    </row>
    <row x14ac:dyDescent="0.25" r="31" customHeight="1" ht="17.25">
      <c r="A31" s="20" t="s">
        <v>10901</v>
      </c>
      <c r="B31" s="20" t="s">
        <v>78</v>
      </c>
      <c r="C31" s="20" t="s">
        <v>76</v>
      </c>
      <c r="D31" s="20" t="s">
        <v>22</v>
      </c>
      <c r="E31" s="21">
        <f>ROUND(12385*1.05,2)</f>
      </c>
      <c r="F31" s="20" t="s">
        <v>23</v>
      </c>
      <c r="G31" s="20" t="s">
        <v>24</v>
      </c>
      <c r="H31" s="21">
        <f>ROUND(RAND()*4+6,1)</f>
      </c>
      <c r="I31" s="20" t="s">
        <v>25</v>
      </c>
      <c r="J31" s="23">
        <f>ROUND(60*1,0)&amp;"%"</f>
      </c>
    </row>
    <row x14ac:dyDescent="0.25" r="32" customHeight="1" ht="17.25">
      <c r="A32" s="17" t="s">
        <v>10902</v>
      </c>
      <c r="B32" s="17" t="s">
        <v>80</v>
      </c>
      <c r="C32" s="17" t="s">
        <v>76</v>
      </c>
      <c r="D32" s="17" t="s">
        <v>28</v>
      </c>
      <c r="E32" s="18">
        <f>ROUND(10367*1.05,2)</f>
      </c>
      <c r="F32" s="17" t="s">
        <v>29</v>
      </c>
      <c r="G32" s="17" t="s">
        <v>30</v>
      </c>
      <c r="H32" s="18">
        <f>ROUND(RAND()*4+6,1)</f>
      </c>
      <c r="I32" s="17" t="s">
        <v>31</v>
      </c>
      <c r="J32" s="19">
        <f>ROUND(91*1,0)&amp;"%"</f>
      </c>
    </row>
    <row x14ac:dyDescent="0.25" r="33" customHeight="1" ht="17.25">
      <c r="A33" s="20" t="s">
        <v>10903</v>
      </c>
      <c r="B33" s="20" t="s">
        <v>82</v>
      </c>
      <c r="C33" s="20" t="s">
        <v>76</v>
      </c>
      <c r="D33" s="20" t="s">
        <v>34</v>
      </c>
      <c r="E33" s="21">
        <f>ROUND(13037*1.05,2)</f>
      </c>
      <c r="F33" s="20" t="s">
        <v>35</v>
      </c>
      <c r="G33" s="20" t="s">
        <v>18</v>
      </c>
      <c r="H33" s="21">
        <f>ROUND(RAND()*4+6,1)</f>
      </c>
      <c r="I33" s="20" t="s">
        <v>36</v>
      </c>
      <c r="J33" s="23">
        <f>ROUND(89*1,0)&amp;"%"</f>
      </c>
    </row>
    <row x14ac:dyDescent="0.25" r="34" customHeight="1" ht="17.25">
      <c r="A34" s="17" t="s">
        <v>10904</v>
      </c>
      <c r="B34" s="17" t="s">
        <v>84</v>
      </c>
      <c r="C34" s="17" t="s">
        <v>76</v>
      </c>
      <c r="D34" s="17" t="s">
        <v>39</v>
      </c>
      <c r="E34" s="18">
        <f>ROUND(14436*1.05,2)</f>
      </c>
      <c r="F34" s="17" t="s">
        <v>40</v>
      </c>
      <c r="G34" s="17" t="s">
        <v>24</v>
      </c>
      <c r="H34" s="26">
        <f>ROUND(RAND()*4+6,1)</f>
      </c>
      <c r="I34" s="17" t="s">
        <v>41</v>
      </c>
      <c r="J34" s="19">
        <f>ROUND(84*1,0)&amp;"%"</f>
      </c>
    </row>
    <row x14ac:dyDescent="0.25" r="35" customHeight="1" ht="17.25">
      <c r="A35" s="20" t="s">
        <v>10905</v>
      </c>
      <c r="B35" s="20" t="s">
        <v>86</v>
      </c>
      <c r="C35" s="20" t="s">
        <v>76</v>
      </c>
      <c r="D35" s="20" t="s">
        <v>67</v>
      </c>
      <c r="E35" s="21">
        <f>ROUND(12318*1.05,2)</f>
      </c>
      <c r="F35" s="20" t="s">
        <v>44</v>
      </c>
      <c r="G35" s="20" t="s">
        <v>30</v>
      </c>
      <c r="H35" s="21">
        <f>ROUND(RAND()*4+6,1)</f>
      </c>
      <c r="I35" s="20" t="s">
        <v>45</v>
      </c>
      <c r="J35" s="23">
        <f>ROUND(95*1,0)&amp;"%"</f>
      </c>
    </row>
    <row x14ac:dyDescent="0.25" r="36" customHeight="1" ht="17.25">
      <c r="A36" s="17" t="s">
        <v>10906</v>
      </c>
      <c r="B36" s="17" t="s">
        <v>88</v>
      </c>
      <c r="C36" s="17" t="s">
        <v>76</v>
      </c>
      <c r="D36" s="17" t="s">
        <v>16</v>
      </c>
      <c r="E36" s="26">
        <f>ROUND(4200*1.05,2)</f>
      </c>
      <c r="F36" s="17" t="s">
        <v>48</v>
      </c>
      <c r="G36" s="17" t="s">
        <v>18</v>
      </c>
      <c r="H36" s="18">
        <f>ROUND(RAND()*4+6,1)</f>
      </c>
      <c r="I36" s="17" t="s">
        <v>19</v>
      </c>
      <c r="J36" s="19">
        <f>ROUND(75*1,0)&amp;"%"</f>
      </c>
    </row>
    <row x14ac:dyDescent="0.25" r="37" customHeight="1" ht="17.25">
      <c r="A37" s="20" t="s">
        <v>10907</v>
      </c>
      <c r="B37" s="20" t="s">
        <v>90</v>
      </c>
      <c r="C37" s="20" t="s">
        <v>76</v>
      </c>
      <c r="D37" s="20" t="s">
        <v>22</v>
      </c>
      <c r="E37" s="21">
        <f>ROUND(11129*1.05,2)</f>
      </c>
      <c r="F37" s="20" t="s">
        <v>51</v>
      </c>
      <c r="G37" s="20" t="s">
        <v>24</v>
      </c>
      <c r="H37" s="21">
        <f>ROUND(RAND()*4+6,1)</f>
      </c>
      <c r="I37" s="20" t="s">
        <v>25</v>
      </c>
      <c r="J37" s="23">
        <f>ROUND(72*1,0)&amp;"%"</f>
      </c>
    </row>
    <row x14ac:dyDescent="0.25" r="38" customHeight="1" ht="17.25">
      <c r="A38" s="24" t="s">
        <v>91</v>
      </c>
      <c r="B38" s="24"/>
      <c r="C38" s="24"/>
      <c r="D38" s="24"/>
      <c r="E38" s="25">
        <v>8</v>
      </c>
      <c r="F38" s="9"/>
      <c r="G38" s="9"/>
      <c r="H38" s="10"/>
      <c r="I38" s="9"/>
      <c r="J38" s="9"/>
    </row>
    <row x14ac:dyDescent="0.25" r="39" customHeight="1" ht="17.25">
      <c r="A39" s="7"/>
      <c r="B39" s="7"/>
      <c r="C39" s="7"/>
      <c r="D39" s="7"/>
      <c r="E39" s="8"/>
      <c r="F39" s="9"/>
      <c r="G39" s="9"/>
      <c r="H39" s="10"/>
      <c r="I39" s="9"/>
      <c r="J39" s="9"/>
    </row>
    <row x14ac:dyDescent="0.25" r="40" customHeight="1" ht="17.25">
      <c r="A40" s="11" t="s">
        <v>10908</v>
      </c>
      <c r="B40" s="11"/>
      <c r="C40" s="11"/>
      <c r="D40" s="11"/>
      <c r="E40" s="12"/>
      <c r="F40" s="11"/>
      <c r="G40" s="11"/>
      <c r="H40" s="13"/>
      <c r="I40" s="11"/>
      <c r="J40" s="11"/>
    </row>
    <row x14ac:dyDescent="0.25" r="41" customHeight="1" ht="17.25">
      <c r="A41" s="14" t="s">
        <v>3</v>
      </c>
      <c r="B41" s="14" t="s">
        <v>4</v>
      </c>
      <c r="C41" s="14" t="s">
        <v>5</v>
      </c>
      <c r="D41" s="14" t="s">
        <v>6</v>
      </c>
      <c r="E41" s="15" t="s">
        <v>7</v>
      </c>
      <c r="F41" s="14" t="s">
        <v>8</v>
      </c>
      <c r="G41" s="14" t="s">
        <v>9</v>
      </c>
      <c r="H41" s="16" t="s">
        <v>10</v>
      </c>
      <c r="I41" s="14" t="s">
        <v>11</v>
      </c>
      <c r="J41" s="14" t="s">
        <v>12</v>
      </c>
    </row>
    <row x14ac:dyDescent="0.25" r="42" customHeight="1" ht="17.25">
      <c r="A42" s="17" t="s">
        <v>10909</v>
      </c>
      <c r="B42" s="17" t="s">
        <v>94</v>
      </c>
      <c r="C42" s="17" t="s">
        <v>95</v>
      </c>
      <c r="D42" s="17" t="s">
        <v>16</v>
      </c>
      <c r="E42" s="18">
        <f>ROUND(13994*1.05,2)</f>
      </c>
      <c r="F42" s="17" t="s">
        <v>17</v>
      </c>
      <c r="G42" s="17" t="s">
        <v>18</v>
      </c>
      <c r="H42" s="18">
        <f>ROUND(RAND()*4+6,1)</f>
      </c>
      <c r="I42" s="17" t="s">
        <v>19</v>
      </c>
      <c r="J42" s="19">
        <f>ROUND(98*1,0)&amp;"%"</f>
      </c>
    </row>
    <row x14ac:dyDescent="0.25" r="43" customHeight="1" ht="17.25">
      <c r="A43" s="20" t="s">
        <v>10910</v>
      </c>
      <c r="B43" s="20" t="s">
        <v>97</v>
      </c>
      <c r="C43" s="20" t="s">
        <v>95</v>
      </c>
      <c r="D43" s="20" t="s">
        <v>22</v>
      </c>
      <c r="E43" s="22">
        <f>ROUND(16320*1.05,2)</f>
      </c>
      <c r="F43" s="20" t="s">
        <v>23</v>
      </c>
      <c r="G43" s="20" t="s">
        <v>24</v>
      </c>
      <c r="H43" s="21">
        <f>ROUND(RAND()*4+6,1)</f>
      </c>
      <c r="I43" s="20" t="s">
        <v>25</v>
      </c>
      <c r="J43" s="23">
        <f>ROUND(62*1,0)&amp;"%"</f>
      </c>
    </row>
    <row x14ac:dyDescent="0.25" r="44" customHeight="1" ht="17.25">
      <c r="A44" s="17" t="s">
        <v>10911</v>
      </c>
      <c r="B44" s="17" t="s">
        <v>99</v>
      </c>
      <c r="C44" s="17" t="s">
        <v>95</v>
      </c>
      <c r="D44" s="17" t="s">
        <v>28</v>
      </c>
      <c r="E44" s="18">
        <f>ROUND(17379*1.05,2)</f>
      </c>
      <c r="F44" s="17" t="s">
        <v>29</v>
      </c>
      <c r="G44" s="17" t="s">
        <v>30</v>
      </c>
      <c r="H44" s="18">
        <f>ROUND(RAND()*4+6,1)</f>
      </c>
      <c r="I44" s="17" t="s">
        <v>31</v>
      </c>
      <c r="J44" s="19">
        <f>ROUND(60*1,0)&amp;"%"</f>
      </c>
    </row>
    <row x14ac:dyDescent="0.25" r="45" customHeight="1" ht="17.25">
      <c r="A45" s="20" t="s">
        <v>10912</v>
      </c>
      <c r="B45" s="20" t="s">
        <v>101</v>
      </c>
      <c r="C45" s="20" t="s">
        <v>95</v>
      </c>
      <c r="D45" s="20" t="s">
        <v>34</v>
      </c>
      <c r="E45" s="21">
        <f>ROUND(15154*1.05,2)</f>
      </c>
      <c r="F45" s="20" t="s">
        <v>35</v>
      </c>
      <c r="G45" s="20" t="s">
        <v>18</v>
      </c>
      <c r="H45" s="21">
        <f>ROUND(RAND()*4+6,1)</f>
      </c>
      <c r="I45" s="20" t="s">
        <v>36</v>
      </c>
      <c r="J45" s="23">
        <f>ROUND(75*1,0)&amp;"%"</f>
      </c>
    </row>
    <row x14ac:dyDescent="0.25" r="46" customHeight="1" ht="17.25">
      <c r="A46" s="17" t="s">
        <v>10913</v>
      </c>
      <c r="B46" s="17" t="s">
        <v>103</v>
      </c>
      <c r="C46" s="17" t="s">
        <v>95</v>
      </c>
      <c r="D46" s="17" t="s">
        <v>39</v>
      </c>
      <c r="E46" s="18">
        <f>ROUND(8071*1.05,2)</f>
      </c>
      <c r="F46" s="17" t="s">
        <v>40</v>
      </c>
      <c r="G46" s="17" t="s">
        <v>24</v>
      </c>
      <c r="H46" s="18">
        <f>ROUND(RAND()*4+6,1)</f>
      </c>
      <c r="I46" s="17" t="s">
        <v>41</v>
      </c>
      <c r="J46" s="19">
        <f>ROUND(96*1,0)&amp;"%"</f>
      </c>
    </row>
    <row x14ac:dyDescent="0.25" r="47" customHeight="1" ht="17.25">
      <c r="A47" s="20" t="s">
        <v>10914</v>
      </c>
      <c r="B47" s="20" t="s">
        <v>105</v>
      </c>
      <c r="C47" s="20" t="s">
        <v>95</v>
      </c>
      <c r="D47" s="20" t="s">
        <v>67</v>
      </c>
      <c r="E47" s="21">
        <f>ROUND(5587*1.05,2)</f>
      </c>
      <c r="F47" s="20" t="s">
        <v>44</v>
      </c>
      <c r="G47" s="20" t="s">
        <v>30</v>
      </c>
      <c r="H47" s="21">
        <f>ROUND(RAND()*4+6,1)</f>
      </c>
      <c r="I47" s="20" t="s">
        <v>45</v>
      </c>
      <c r="J47" s="23">
        <f>ROUND(84*1,0)&amp;"%"</f>
      </c>
    </row>
    <row x14ac:dyDescent="0.25" r="48" customHeight="1" ht="17.25">
      <c r="A48" s="17" t="s">
        <v>10915</v>
      </c>
      <c r="B48" s="17" t="s">
        <v>107</v>
      </c>
      <c r="C48" s="17" t="s">
        <v>95</v>
      </c>
      <c r="D48" s="17" t="s">
        <v>16</v>
      </c>
      <c r="E48" s="18">
        <f>ROUND(13230*1.05,2)</f>
      </c>
      <c r="F48" s="17" t="s">
        <v>48</v>
      </c>
      <c r="G48" s="17" t="s">
        <v>18</v>
      </c>
      <c r="H48" s="18">
        <f>ROUND(RAND()*4+6,1)</f>
      </c>
      <c r="I48" s="17" t="s">
        <v>19</v>
      </c>
      <c r="J48" s="19">
        <f>ROUND(65*1,0)&amp;"%"</f>
      </c>
    </row>
    <row x14ac:dyDescent="0.25" r="49" customHeight="1" ht="17.25">
      <c r="A49" s="20" t="s">
        <v>10916</v>
      </c>
      <c r="B49" s="20" t="s">
        <v>109</v>
      </c>
      <c r="C49" s="20" t="s">
        <v>95</v>
      </c>
      <c r="D49" s="20" t="s">
        <v>22</v>
      </c>
      <c r="E49" s="21">
        <f>ROUND(13178*1.05,2)</f>
      </c>
      <c r="F49" s="20" t="s">
        <v>51</v>
      </c>
      <c r="G49" s="20" t="s">
        <v>24</v>
      </c>
      <c r="H49" s="21">
        <f>ROUND(RAND()*4+6,1)</f>
      </c>
      <c r="I49" s="20" t="s">
        <v>25</v>
      </c>
      <c r="J49" s="23">
        <f>ROUND(81*1,0)&amp;"%"</f>
      </c>
    </row>
    <row x14ac:dyDescent="0.25" r="50" customHeight="1" ht="17.25">
      <c r="A50" s="24" t="s">
        <v>110</v>
      </c>
      <c r="B50" s="24"/>
      <c r="C50" s="24"/>
      <c r="D50" s="24"/>
      <c r="E50" s="25">
        <v>8</v>
      </c>
      <c r="F50" s="9"/>
      <c r="G50" s="9"/>
      <c r="H50" s="10"/>
      <c r="I50" s="9"/>
      <c r="J50" s="9"/>
    </row>
    <row x14ac:dyDescent="0.25" r="51" customHeight="1" ht="17.25">
      <c r="A51" s="7"/>
      <c r="B51" s="7"/>
      <c r="C51" s="7"/>
      <c r="D51" s="7"/>
      <c r="E51" s="8"/>
      <c r="F51" s="9"/>
      <c r="G51" s="9"/>
      <c r="H51" s="10"/>
      <c r="I51" s="9"/>
      <c r="J51" s="9"/>
    </row>
    <row x14ac:dyDescent="0.25" r="52" customHeight="1" ht="17.25">
      <c r="A52" s="11" t="s">
        <v>10917</v>
      </c>
      <c r="B52" s="11"/>
      <c r="C52" s="11"/>
      <c r="D52" s="11"/>
      <c r="E52" s="12"/>
      <c r="F52" s="11"/>
      <c r="G52" s="11"/>
      <c r="H52" s="13"/>
      <c r="I52" s="11"/>
      <c r="J52" s="11"/>
    </row>
    <row x14ac:dyDescent="0.25" r="53" customHeight="1" ht="17.25">
      <c r="A53" s="14" t="s">
        <v>3</v>
      </c>
      <c r="B53" s="14" t="s">
        <v>4</v>
      </c>
      <c r="C53" s="14" t="s">
        <v>5</v>
      </c>
      <c r="D53" s="14" t="s">
        <v>6</v>
      </c>
      <c r="E53" s="15" t="s">
        <v>7</v>
      </c>
      <c r="F53" s="14" t="s">
        <v>8</v>
      </c>
      <c r="G53" s="14" t="s">
        <v>9</v>
      </c>
      <c r="H53" s="16" t="s">
        <v>10</v>
      </c>
      <c r="I53" s="14" t="s">
        <v>11</v>
      </c>
      <c r="J53" s="14" t="s">
        <v>12</v>
      </c>
    </row>
    <row x14ac:dyDescent="0.25" r="54" customHeight="1" ht="17.25">
      <c r="A54" s="17" t="s">
        <v>10918</v>
      </c>
      <c r="B54" s="17" t="s">
        <v>113</v>
      </c>
      <c r="C54" s="17" t="s">
        <v>114</v>
      </c>
      <c r="D54" s="17" t="s">
        <v>16</v>
      </c>
      <c r="E54" s="18">
        <f>ROUND(4746*1.05,2)</f>
      </c>
      <c r="F54" s="17" t="s">
        <v>17</v>
      </c>
      <c r="G54" s="17" t="s">
        <v>18</v>
      </c>
      <c r="H54" s="18">
        <f>ROUND(RAND()*4+6,1)</f>
      </c>
      <c r="I54" s="17" t="s">
        <v>19</v>
      </c>
      <c r="J54" s="19">
        <f>ROUND(85*1,0)&amp;"%"</f>
      </c>
    </row>
    <row x14ac:dyDescent="0.25" r="55" customHeight="1" ht="17.25">
      <c r="A55" s="20" t="s">
        <v>10919</v>
      </c>
      <c r="B55" s="20" t="s">
        <v>116</v>
      </c>
      <c r="C55" s="20" t="s">
        <v>114</v>
      </c>
      <c r="D55" s="20" t="s">
        <v>22</v>
      </c>
      <c r="E55" s="21">
        <f>ROUND(5957*1.05,2)</f>
      </c>
      <c r="F55" s="20" t="s">
        <v>23</v>
      </c>
      <c r="G55" s="20" t="s">
        <v>24</v>
      </c>
      <c r="H55" s="21">
        <f>ROUND(RAND()*4+6,1)</f>
      </c>
      <c r="I55" s="20" t="s">
        <v>25</v>
      </c>
      <c r="J55" s="23">
        <f>ROUND(96*1,0)&amp;"%"</f>
      </c>
    </row>
    <row x14ac:dyDescent="0.25" r="56" customHeight="1" ht="17.25">
      <c r="A56" s="17" t="s">
        <v>10920</v>
      </c>
      <c r="B56" s="17" t="s">
        <v>118</v>
      </c>
      <c r="C56" s="17" t="s">
        <v>114</v>
      </c>
      <c r="D56" s="17" t="s">
        <v>28</v>
      </c>
      <c r="E56" s="18">
        <f>ROUND(16025*1.05,2)</f>
      </c>
      <c r="F56" s="17" t="s">
        <v>29</v>
      </c>
      <c r="G56" s="17" t="s">
        <v>30</v>
      </c>
      <c r="H56" s="18">
        <f>ROUND(RAND()*4+6,1)</f>
      </c>
      <c r="I56" s="17" t="s">
        <v>31</v>
      </c>
      <c r="J56" s="19">
        <f>ROUND(81*1,0)&amp;"%"</f>
      </c>
    </row>
    <row x14ac:dyDescent="0.25" r="57" customHeight="1" ht="17.25">
      <c r="A57" s="20" t="s">
        <v>10921</v>
      </c>
      <c r="B57" s="20" t="s">
        <v>120</v>
      </c>
      <c r="C57" s="20" t="s">
        <v>114</v>
      </c>
      <c r="D57" s="20" t="s">
        <v>34</v>
      </c>
      <c r="E57" s="21">
        <f>ROUND(11435*1.05,2)</f>
      </c>
      <c r="F57" s="20" t="s">
        <v>35</v>
      </c>
      <c r="G57" s="20" t="s">
        <v>18</v>
      </c>
      <c r="H57" s="21">
        <f>ROUND(RAND()*4+6,1)</f>
      </c>
      <c r="I57" s="20" t="s">
        <v>36</v>
      </c>
      <c r="J57" s="23">
        <f>ROUND(62*1,0)&amp;"%"</f>
      </c>
    </row>
    <row x14ac:dyDescent="0.25" r="58" customHeight="1" ht="17.25">
      <c r="A58" s="17" t="s">
        <v>10922</v>
      </c>
      <c r="B58" s="17" t="s">
        <v>122</v>
      </c>
      <c r="C58" s="17" t="s">
        <v>114</v>
      </c>
      <c r="D58" s="17" t="s">
        <v>39</v>
      </c>
      <c r="E58" s="18">
        <f>ROUND(4381*1.05,2)</f>
      </c>
      <c r="F58" s="17" t="s">
        <v>40</v>
      </c>
      <c r="G58" s="17" t="s">
        <v>24</v>
      </c>
      <c r="H58" s="18">
        <f>ROUND(RAND()*4+6,1)</f>
      </c>
      <c r="I58" s="17" t="s">
        <v>41</v>
      </c>
      <c r="J58" s="19">
        <f>ROUND(74*1,0)&amp;"%"</f>
      </c>
    </row>
    <row x14ac:dyDescent="0.25" r="59" customHeight="1" ht="17.25">
      <c r="A59" s="20" t="s">
        <v>10923</v>
      </c>
      <c r="B59" s="20" t="s">
        <v>124</v>
      </c>
      <c r="C59" s="20" t="s">
        <v>114</v>
      </c>
      <c r="D59" s="20" t="s">
        <v>67</v>
      </c>
      <c r="E59" s="21">
        <f>ROUND(14250*1.05,2)</f>
      </c>
      <c r="F59" s="20" t="s">
        <v>44</v>
      </c>
      <c r="G59" s="20" t="s">
        <v>30</v>
      </c>
      <c r="H59" s="21">
        <f>ROUND(RAND()*4+6,1)</f>
      </c>
      <c r="I59" s="20" t="s">
        <v>45</v>
      </c>
      <c r="J59" s="23">
        <f>ROUND(82*1,0)&amp;"%"</f>
      </c>
    </row>
    <row x14ac:dyDescent="0.25" r="60" customHeight="1" ht="17.25">
      <c r="A60" s="17" t="s">
        <v>10924</v>
      </c>
      <c r="B60" s="17" t="s">
        <v>126</v>
      </c>
      <c r="C60" s="17" t="s">
        <v>114</v>
      </c>
      <c r="D60" s="17" t="s">
        <v>16</v>
      </c>
      <c r="E60" s="18">
        <f>ROUND(10898*1.05,2)</f>
      </c>
      <c r="F60" s="17" t="s">
        <v>48</v>
      </c>
      <c r="G60" s="17" t="s">
        <v>18</v>
      </c>
      <c r="H60" s="18">
        <f>ROUND(RAND()*4+6,1)</f>
      </c>
      <c r="I60" s="17" t="s">
        <v>19</v>
      </c>
      <c r="J60" s="19">
        <f>ROUND(73*1,0)&amp;"%"</f>
      </c>
    </row>
    <row x14ac:dyDescent="0.25" r="61" customHeight="1" ht="17.25">
      <c r="A61" s="20" t="s">
        <v>10925</v>
      </c>
      <c r="B61" s="20" t="s">
        <v>128</v>
      </c>
      <c r="C61" s="20" t="s">
        <v>114</v>
      </c>
      <c r="D61" s="20" t="s">
        <v>22</v>
      </c>
      <c r="E61" s="21">
        <f>ROUND(9797*1.05,2)</f>
      </c>
      <c r="F61" s="20" t="s">
        <v>51</v>
      </c>
      <c r="G61" s="20" t="s">
        <v>24</v>
      </c>
      <c r="H61" s="21">
        <f>ROUND(RAND()*4+6,1)</f>
      </c>
      <c r="I61" s="20" t="s">
        <v>25</v>
      </c>
      <c r="J61" s="23">
        <f>ROUND(91*1,0)&amp;"%"</f>
      </c>
    </row>
    <row x14ac:dyDescent="0.25" r="62" customHeight="1" ht="17.25">
      <c r="A62" s="24" t="s">
        <v>129</v>
      </c>
      <c r="B62" s="24"/>
      <c r="C62" s="24"/>
      <c r="D62" s="24"/>
      <c r="E62" s="25">
        <v>8</v>
      </c>
      <c r="F62" s="9"/>
      <c r="G62" s="9"/>
      <c r="H62" s="10"/>
      <c r="I62" s="9"/>
      <c r="J62" s="9"/>
    </row>
    <row x14ac:dyDescent="0.25" r="63" customHeight="1" ht="17.25">
      <c r="A63" s="7"/>
      <c r="B63" s="7"/>
      <c r="C63" s="7"/>
      <c r="D63" s="7"/>
      <c r="E63" s="8"/>
      <c r="F63" s="9"/>
      <c r="G63" s="9"/>
      <c r="H63" s="10"/>
      <c r="I63" s="9"/>
      <c r="J63" s="9"/>
    </row>
    <row x14ac:dyDescent="0.25" r="64" customHeight="1" ht="17.25">
      <c r="A64" s="11" t="s">
        <v>10926</v>
      </c>
      <c r="B64" s="11"/>
      <c r="C64" s="11"/>
      <c r="D64" s="11"/>
      <c r="E64" s="12"/>
      <c r="F64" s="11"/>
      <c r="G64" s="11"/>
      <c r="H64" s="13"/>
      <c r="I64" s="11"/>
      <c r="J64" s="11"/>
    </row>
    <row x14ac:dyDescent="0.25" r="65" customHeight="1" ht="17.25">
      <c r="A65" s="14" t="s">
        <v>3</v>
      </c>
      <c r="B65" s="14" t="s">
        <v>4</v>
      </c>
      <c r="C65" s="14" t="s">
        <v>5</v>
      </c>
      <c r="D65" s="14" t="s">
        <v>6</v>
      </c>
      <c r="E65" s="15" t="s">
        <v>7</v>
      </c>
      <c r="F65" s="14" t="s">
        <v>8</v>
      </c>
      <c r="G65" s="14" t="s">
        <v>9</v>
      </c>
      <c r="H65" s="16" t="s">
        <v>10</v>
      </c>
      <c r="I65" s="14" t="s">
        <v>11</v>
      </c>
      <c r="J65" s="14" t="s">
        <v>12</v>
      </c>
    </row>
    <row x14ac:dyDescent="0.25" r="66" customHeight="1" ht="17.25">
      <c r="A66" s="17" t="s">
        <v>10927</v>
      </c>
      <c r="B66" s="17" t="s">
        <v>132</v>
      </c>
      <c r="C66" s="17" t="s">
        <v>133</v>
      </c>
      <c r="D66" s="17" t="s">
        <v>16</v>
      </c>
      <c r="E66" s="18">
        <f>ROUND(5790*1.05,2)</f>
      </c>
      <c r="F66" s="17" t="s">
        <v>17</v>
      </c>
      <c r="G66" s="17" t="s">
        <v>18</v>
      </c>
      <c r="H66" s="18">
        <f>ROUND(RAND()*4+6,1)</f>
      </c>
      <c r="I66" s="17" t="s">
        <v>19</v>
      </c>
      <c r="J66" s="19">
        <f>ROUND(64*1,0)&amp;"%"</f>
      </c>
    </row>
    <row x14ac:dyDescent="0.25" r="67" customHeight="1" ht="17.25">
      <c r="A67" s="20" t="s">
        <v>10928</v>
      </c>
      <c r="B67" s="20" t="s">
        <v>135</v>
      </c>
      <c r="C67" s="20" t="s">
        <v>133</v>
      </c>
      <c r="D67" s="20" t="s">
        <v>22</v>
      </c>
      <c r="E67" s="21">
        <f>ROUND(10816*1.05,2)</f>
      </c>
      <c r="F67" s="20" t="s">
        <v>23</v>
      </c>
      <c r="G67" s="20" t="s">
        <v>24</v>
      </c>
      <c r="H67" s="21">
        <f>ROUND(RAND()*4+6,1)</f>
      </c>
      <c r="I67" s="20" t="s">
        <v>25</v>
      </c>
      <c r="J67" s="23">
        <f>ROUND(87*1,0)&amp;"%"</f>
      </c>
    </row>
    <row x14ac:dyDescent="0.25" r="68" customHeight="1" ht="17.25">
      <c r="A68" s="17" t="s">
        <v>10929</v>
      </c>
      <c r="B68" s="17" t="s">
        <v>137</v>
      </c>
      <c r="C68" s="17" t="s">
        <v>133</v>
      </c>
      <c r="D68" s="17" t="s">
        <v>28</v>
      </c>
      <c r="E68" s="18">
        <f>ROUND(6264*1.05,2)</f>
      </c>
      <c r="F68" s="17" t="s">
        <v>29</v>
      </c>
      <c r="G68" s="17" t="s">
        <v>30</v>
      </c>
      <c r="H68" s="26">
        <f>ROUND(RAND()*4+6,1)</f>
      </c>
      <c r="I68" s="17" t="s">
        <v>31</v>
      </c>
      <c r="J68" s="19">
        <f>ROUND(98*1,0)&amp;"%"</f>
      </c>
    </row>
    <row x14ac:dyDescent="0.25" r="69" customHeight="1" ht="17.25">
      <c r="A69" s="20" t="s">
        <v>10930</v>
      </c>
      <c r="B69" s="20" t="s">
        <v>139</v>
      </c>
      <c r="C69" s="20" t="s">
        <v>133</v>
      </c>
      <c r="D69" s="20" t="s">
        <v>34</v>
      </c>
      <c r="E69" s="22">
        <f>ROUND(12960*1.05,2)</f>
      </c>
      <c r="F69" s="20" t="s">
        <v>35</v>
      </c>
      <c r="G69" s="20" t="s">
        <v>18</v>
      </c>
      <c r="H69" s="21">
        <f>ROUND(RAND()*4+6,1)</f>
      </c>
      <c r="I69" s="20" t="s">
        <v>36</v>
      </c>
      <c r="J69" s="23">
        <f>ROUND(69*1,0)&amp;"%"</f>
      </c>
    </row>
    <row x14ac:dyDescent="0.25" r="70" customHeight="1" ht="17.25">
      <c r="A70" s="17" t="s">
        <v>10931</v>
      </c>
      <c r="B70" s="17" t="s">
        <v>141</v>
      </c>
      <c r="C70" s="17" t="s">
        <v>133</v>
      </c>
      <c r="D70" s="17" t="s">
        <v>39</v>
      </c>
      <c r="E70" s="18">
        <f>ROUND(11394*1.05,2)</f>
      </c>
      <c r="F70" s="17" t="s">
        <v>40</v>
      </c>
      <c r="G70" s="17" t="s">
        <v>24</v>
      </c>
      <c r="H70" s="18">
        <f>ROUND(RAND()*4+6,1)</f>
      </c>
      <c r="I70" s="17" t="s">
        <v>41</v>
      </c>
      <c r="J70" s="19">
        <f>ROUND(90*1,0)&amp;"%"</f>
      </c>
    </row>
    <row x14ac:dyDescent="0.25" r="71" customHeight="1" ht="17.25">
      <c r="A71" s="20" t="s">
        <v>10932</v>
      </c>
      <c r="B71" s="20" t="s">
        <v>143</v>
      </c>
      <c r="C71" s="20" t="s">
        <v>133</v>
      </c>
      <c r="D71" s="20" t="s">
        <v>67</v>
      </c>
      <c r="E71" s="21">
        <f>ROUND(13455*1.05,2)</f>
      </c>
      <c r="F71" s="20" t="s">
        <v>44</v>
      </c>
      <c r="G71" s="20" t="s">
        <v>30</v>
      </c>
      <c r="H71" s="21">
        <f>ROUND(RAND()*4+6,1)</f>
      </c>
      <c r="I71" s="20" t="s">
        <v>45</v>
      </c>
      <c r="J71" s="23">
        <f>ROUND(89*1,0)&amp;"%"</f>
      </c>
    </row>
    <row x14ac:dyDescent="0.25" r="72" customHeight="1" ht="17.25">
      <c r="A72" s="17" t="s">
        <v>10933</v>
      </c>
      <c r="B72" s="17" t="s">
        <v>145</v>
      </c>
      <c r="C72" s="17" t="s">
        <v>133</v>
      </c>
      <c r="D72" s="17" t="s">
        <v>16</v>
      </c>
      <c r="E72" s="18">
        <f>ROUND(8739*1.05,2)</f>
      </c>
      <c r="F72" s="17" t="s">
        <v>48</v>
      </c>
      <c r="G72" s="17" t="s">
        <v>18</v>
      </c>
      <c r="H72" s="18">
        <f>ROUND(RAND()*4+6,1)</f>
      </c>
      <c r="I72" s="17" t="s">
        <v>19</v>
      </c>
      <c r="J72" s="19">
        <f>ROUND(62*1,0)&amp;"%"</f>
      </c>
    </row>
    <row x14ac:dyDescent="0.25" r="73" customHeight="1" ht="17.25">
      <c r="A73" s="20" t="s">
        <v>10934</v>
      </c>
      <c r="B73" s="20" t="s">
        <v>147</v>
      </c>
      <c r="C73" s="20" t="s">
        <v>133</v>
      </c>
      <c r="D73" s="20" t="s">
        <v>22</v>
      </c>
      <c r="E73" s="21">
        <f>ROUND(9393*1.05,2)</f>
      </c>
      <c r="F73" s="20" t="s">
        <v>51</v>
      </c>
      <c r="G73" s="20" t="s">
        <v>24</v>
      </c>
      <c r="H73" s="21">
        <f>ROUND(RAND()*4+6,1)</f>
      </c>
      <c r="I73" s="20" t="s">
        <v>25</v>
      </c>
      <c r="J73" s="23">
        <f>ROUND(89*1,0)&amp;"%"</f>
      </c>
    </row>
    <row x14ac:dyDescent="0.25" r="74" customHeight="1" ht="17.25">
      <c r="A74" s="24" t="s">
        <v>148</v>
      </c>
      <c r="B74" s="24"/>
      <c r="C74" s="24"/>
      <c r="D74" s="24"/>
      <c r="E74" s="25">
        <v>8</v>
      </c>
      <c r="F74" s="9"/>
      <c r="G74" s="9"/>
      <c r="H74" s="10"/>
      <c r="I74" s="9"/>
      <c r="J74" s="9"/>
    </row>
    <row x14ac:dyDescent="0.25" r="75" customHeight="1" ht="17.25">
      <c r="A75" s="7"/>
      <c r="B75" s="7"/>
      <c r="C75" s="7"/>
      <c r="D75" s="7"/>
      <c r="E75" s="8"/>
      <c r="F75" s="9"/>
      <c r="G75" s="9"/>
      <c r="H75" s="10"/>
      <c r="I75" s="9"/>
      <c r="J75" s="9"/>
    </row>
    <row x14ac:dyDescent="0.25" r="76" customHeight="1" ht="17.25">
      <c r="A76" s="11" t="s">
        <v>10935</v>
      </c>
      <c r="B76" s="11"/>
      <c r="C76" s="11"/>
      <c r="D76" s="11"/>
      <c r="E76" s="12"/>
      <c r="F76" s="11"/>
      <c r="G76" s="11"/>
      <c r="H76" s="13"/>
      <c r="I76" s="11"/>
      <c r="J76" s="11"/>
    </row>
    <row x14ac:dyDescent="0.25" r="77" customHeight="1" ht="17.25">
      <c r="A77" s="14" t="s">
        <v>3</v>
      </c>
      <c r="B77" s="14" t="s">
        <v>4</v>
      </c>
      <c r="C77" s="14" t="s">
        <v>5</v>
      </c>
      <c r="D77" s="14" t="s">
        <v>6</v>
      </c>
      <c r="E77" s="15" t="s">
        <v>7</v>
      </c>
      <c r="F77" s="14" t="s">
        <v>8</v>
      </c>
      <c r="G77" s="14" t="s">
        <v>9</v>
      </c>
      <c r="H77" s="16" t="s">
        <v>10</v>
      </c>
      <c r="I77" s="14" t="s">
        <v>11</v>
      </c>
      <c r="J77" s="14" t="s">
        <v>12</v>
      </c>
    </row>
    <row x14ac:dyDescent="0.25" r="78" customHeight="1" ht="17.25">
      <c r="A78" s="17" t="s">
        <v>10936</v>
      </c>
      <c r="B78" s="17" t="s">
        <v>151</v>
      </c>
      <c r="C78" s="17" t="s">
        <v>152</v>
      </c>
      <c r="D78" s="17" t="s">
        <v>16</v>
      </c>
      <c r="E78" s="18">
        <f>ROUND(16151*1.05,2)</f>
      </c>
      <c r="F78" s="17" t="s">
        <v>17</v>
      </c>
      <c r="G78" s="17" t="s">
        <v>18</v>
      </c>
      <c r="H78" s="18">
        <f>ROUND(RAND()*4+6,1)</f>
      </c>
      <c r="I78" s="17" t="s">
        <v>19</v>
      </c>
      <c r="J78" s="19">
        <f>ROUND(70*1,0)&amp;"%"</f>
      </c>
    </row>
    <row x14ac:dyDescent="0.25" r="79" customHeight="1" ht="17.25">
      <c r="A79" s="20" t="s">
        <v>10937</v>
      </c>
      <c r="B79" s="20" t="s">
        <v>154</v>
      </c>
      <c r="C79" s="20" t="s">
        <v>152</v>
      </c>
      <c r="D79" s="20" t="s">
        <v>22</v>
      </c>
      <c r="E79" s="21">
        <f>ROUND(11964*1.05,2)</f>
      </c>
      <c r="F79" s="20" t="s">
        <v>23</v>
      </c>
      <c r="G79" s="20" t="s">
        <v>24</v>
      </c>
      <c r="H79" s="21">
        <f>ROUND(RAND()*4+6,1)</f>
      </c>
      <c r="I79" s="20" t="s">
        <v>25</v>
      </c>
      <c r="J79" s="23">
        <f>ROUND(95*1,0)&amp;"%"</f>
      </c>
    </row>
    <row x14ac:dyDescent="0.25" r="80" customHeight="1" ht="17.25">
      <c r="A80" s="17" t="s">
        <v>10938</v>
      </c>
      <c r="B80" s="17" t="s">
        <v>156</v>
      </c>
      <c r="C80" s="17" t="s">
        <v>152</v>
      </c>
      <c r="D80" s="17" t="s">
        <v>28</v>
      </c>
      <c r="E80" s="18">
        <f>ROUND(6032*1.05,2)</f>
      </c>
      <c r="F80" s="17" t="s">
        <v>29</v>
      </c>
      <c r="G80" s="17" t="s">
        <v>30</v>
      </c>
      <c r="H80" s="18">
        <f>ROUND(RAND()*4+6,1)</f>
      </c>
      <c r="I80" s="17" t="s">
        <v>31</v>
      </c>
      <c r="J80" s="19">
        <f>ROUND(73*1,0)&amp;"%"</f>
      </c>
    </row>
    <row x14ac:dyDescent="0.25" r="81" customHeight="1" ht="17.25">
      <c r="A81" s="20" t="s">
        <v>10939</v>
      </c>
      <c r="B81" s="20" t="s">
        <v>158</v>
      </c>
      <c r="C81" s="20" t="s">
        <v>152</v>
      </c>
      <c r="D81" s="20" t="s">
        <v>34</v>
      </c>
      <c r="E81" s="22">
        <f>ROUND(10880*1.05,2)</f>
      </c>
      <c r="F81" s="20" t="s">
        <v>35</v>
      </c>
      <c r="G81" s="20" t="s">
        <v>18</v>
      </c>
      <c r="H81" s="21">
        <f>ROUND(RAND()*4+6,1)</f>
      </c>
      <c r="I81" s="20" t="s">
        <v>36</v>
      </c>
      <c r="J81" s="23">
        <f>ROUND(67*1,0)&amp;"%"</f>
      </c>
    </row>
    <row x14ac:dyDescent="0.25" r="82" customHeight="1" ht="17.25">
      <c r="A82" s="17" t="s">
        <v>10940</v>
      </c>
      <c r="B82" s="17" t="s">
        <v>160</v>
      </c>
      <c r="C82" s="17" t="s">
        <v>152</v>
      </c>
      <c r="D82" s="17" t="s">
        <v>39</v>
      </c>
      <c r="E82" s="18">
        <f>ROUND(15692*1.05,2)</f>
      </c>
      <c r="F82" s="17" t="s">
        <v>40</v>
      </c>
      <c r="G82" s="17" t="s">
        <v>24</v>
      </c>
      <c r="H82" s="18">
        <f>ROUND(RAND()*4+6,1)</f>
      </c>
      <c r="I82" s="17" t="s">
        <v>41</v>
      </c>
      <c r="J82" s="19">
        <f>ROUND(87*1,0)&amp;"%"</f>
      </c>
    </row>
    <row x14ac:dyDescent="0.25" r="83" customHeight="1" ht="17.25">
      <c r="A83" s="20" t="s">
        <v>10941</v>
      </c>
      <c r="B83" s="20" t="s">
        <v>162</v>
      </c>
      <c r="C83" s="20" t="s">
        <v>152</v>
      </c>
      <c r="D83" s="20" t="s">
        <v>67</v>
      </c>
      <c r="E83" s="21">
        <f>ROUND(17685*1.05,2)</f>
      </c>
      <c r="F83" s="20" t="s">
        <v>44</v>
      </c>
      <c r="G83" s="20" t="s">
        <v>30</v>
      </c>
      <c r="H83" s="21">
        <f>ROUND(RAND()*4+6,1)</f>
      </c>
      <c r="I83" s="20" t="s">
        <v>45</v>
      </c>
      <c r="J83" s="23">
        <f>ROUND(68*1,0)&amp;"%"</f>
      </c>
    </row>
    <row x14ac:dyDescent="0.25" r="84" customHeight="1" ht="17.25">
      <c r="A84" s="17" t="s">
        <v>10942</v>
      </c>
      <c r="B84" s="17" t="s">
        <v>164</v>
      </c>
      <c r="C84" s="17" t="s">
        <v>152</v>
      </c>
      <c r="D84" s="17" t="s">
        <v>16</v>
      </c>
      <c r="E84" s="26">
        <f>ROUND(17320*1.05,2)</f>
      </c>
      <c r="F84" s="17" t="s">
        <v>48</v>
      </c>
      <c r="G84" s="17" t="s">
        <v>18</v>
      </c>
      <c r="H84" s="18">
        <f>ROUND(RAND()*4+6,1)</f>
      </c>
      <c r="I84" s="17" t="s">
        <v>19</v>
      </c>
      <c r="J84" s="19">
        <f>ROUND(90*1,0)&amp;"%"</f>
      </c>
    </row>
    <row x14ac:dyDescent="0.25" r="85" customHeight="1" ht="17.25">
      <c r="A85" s="20" t="s">
        <v>10943</v>
      </c>
      <c r="B85" s="20" t="s">
        <v>166</v>
      </c>
      <c r="C85" s="20" t="s">
        <v>152</v>
      </c>
      <c r="D85" s="20" t="s">
        <v>22</v>
      </c>
      <c r="E85" s="21">
        <f>ROUND(9454*1.05,2)</f>
      </c>
      <c r="F85" s="20" t="s">
        <v>51</v>
      </c>
      <c r="G85" s="20" t="s">
        <v>24</v>
      </c>
      <c r="H85" s="21">
        <f>ROUND(RAND()*4+6,1)</f>
      </c>
      <c r="I85" s="20" t="s">
        <v>25</v>
      </c>
      <c r="J85" s="23">
        <f>ROUND(75*1,0)&amp;"%"</f>
      </c>
    </row>
    <row x14ac:dyDescent="0.25" r="86" customHeight="1" ht="17.25">
      <c r="A86" s="24" t="s">
        <v>167</v>
      </c>
      <c r="B86" s="24"/>
      <c r="C86" s="24"/>
      <c r="D86" s="24"/>
      <c r="E86" s="25">
        <v>8</v>
      </c>
      <c r="F86" s="9"/>
      <c r="G86" s="9"/>
      <c r="H86" s="10"/>
      <c r="I86" s="9"/>
      <c r="J86" s="9"/>
    </row>
    <row x14ac:dyDescent="0.25" r="87" customHeight="1" ht="17.25">
      <c r="A87" s="7"/>
      <c r="B87" s="7"/>
      <c r="C87" s="7"/>
      <c r="D87" s="7"/>
      <c r="E87" s="8"/>
      <c r="F87" s="9"/>
      <c r="G87" s="9"/>
      <c r="H87" s="10"/>
      <c r="I87" s="9"/>
      <c r="J87" s="9"/>
    </row>
    <row x14ac:dyDescent="0.25" r="88" customHeight="1" ht="17.25">
      <c r="A88" s="11" t="s">
        <v>10944</v>
      </c>
      <c r="B88" s="11"/>
      <c r="C88" s="11"/>
      <c r="D88" s="11"/>
      <c r="E88" s="12"/>
      <c r="F88" s="11"/>
      <c r="G88" s="11"/>
      <c r="H88" s="13"/>
      <c r="I88" s="11"/>
      <c r="J88" s="11"/>
    </row>
    <row x14ac:dyDescent="0.25" r="89" customHeight="1" ht="17.25">
      <c r="A89" s="14" t="s">
        <v>3</v>
      </c>
      <c r="B89" s="14" t="s">
        <v>4</v>
      </c>
      <c r="C89" s="14" t="s">
        <v>5</v>
      </c>
      <c r="D89" s="14" t="s">
        <v>6</v>
      </c>
      <c r="E89" s="15" t="s">
        <v>7</v>
      </c>
      <c r="F89" s="14" t="s">
        <v>8</v>
      </c>
      <c r="G89" s="14" t="s">
        <v>9</v>
      </c>
      <c r="H89" s="16" t="s">
        <v>10</v>
      </c>
      <c r="I89" s="14" t="s">
        <v>11</v>
      </c>
      <c r="J89" s="14" t="s">
        <v>12</v>
      </c>
    </row>
    <row x14ac:dyDescent="0.25" r="90" customHeight="1" ht="17.25">
      <c r="A90" s="17" t="s">
        <v>10945</v>
      </c>
      <c r="B90" s="17" t="s">
        <v>170</v>
      </c>
      <c r="C90" s="17" t="s">
        <v>15</v>
      </c>
      <c r="D90" s="17" t="s">
        <v>16</v>
      </c>
      <c r="E90" s="18">
        <f>ROUND(11748*1.05,2)</f>
      </c>
      <c r="F90" s="17" t="s">
        <v>17</v>
      </c>
      <c r="G90" s="17" t="s">
        <v>18</v>
      </c>
      <c r="H90" s="18">
        <f>ROUND(RAND()*4+6,1)</f>
      </c>
      <c r="I90" s="17" t="s">
        <v>19</v>
      </c>
      <c r="J90" s="19">
        <f>ROUND(93*1,0)&amp;"%"</f>
      </c>
    </row>
    <row x14ac:dyDescent="0.25" r="91" customHeight="1" ht="17.25">
      <c r="A91" s="20" t="s">
        <v>10946</v>
      </c>
      <c r="B91" s="20" t="s">
        <v>172</v>
      </c>
      <c r="C91" s="20" t="s">
        <v>15</v>
      </c>
      <c r="D91" s="20" t="s">
        <v>22</v>
      </c>
      <c r="E91" s="21">
        <f>ROUND(8087*1.05,2)</f>
      </c>
      <c r="F91" s="20" t="s">
        <v>23</v>
      </c>
      <c r="G91" s="20" t="s">
        <v>24</v>
      </c>
      <c r="H91" s="21">
        <f>ROUND(RAND()*4+6,1)</f>
      </c>
      <c r="I91" s="20" t="s">
        <v>25</v>
      </c>
      <c r="J91" s="23">
        <f>ROUND(86*1,0)&amp;"%"</f>
      </c>
    </row>
    <row x14ac:dyDescent="0.25" r="92" customHeight="1" ht="17.25">
      <c r="A92" s="17" t="s">
        <v>10947</v>
      </c>
      <c r="B92" s="17" t="s">
        <v>174</v>
      </c>
      <c r="C92" s="17" t="s">
        <v>15</v>
      </c>
      <c r="D92" s="17" t="s">
        <v>28</v>
      </c>
      <c r="E92" s="18">
        <f>ROUND(6607*1.05,2)</f>
      </c>
      <c r="F92" s="17" t="s">
        <v>29</v>
      </c>
      <c r="G92" s="17" t="s">
        <v>30</v>
      </c>
      <c r="H92" s="18">
        <f>ROUND(RAND()*4+6,1)</f>
      </c>
      <c r="I92" s="17" t="s">
        <v>31</v>
      </c>
      <c r="J92" s="19">
        <f>ROUND(94*1,0)&amp;"%"</f>
      </c>
    </row>
    <row x14ac:dyDescent="0.25" r="93" customHeight="1" ht="17.25">
      <c r="A93" s="20" t="s">
        <v>10948</v>
      </c>
      <c r="B93" s="20" t="s">
        <v>176</v>
      </c>
      <c r="C93" s="20" t="s">
        <v>15</v>
      </c>
      <c r="D93" s="20" t="s">
        <v>34</v>
      </c>
      <c r="E93" s="21">
        <f>ROUND(17869*1.05,2)</f>
      </c>
      <c r="F93" s="20" t="s">
        <v>35</v>
      </c>
      <c r="G93" s="20" t="s">
        <v>18</v>
      </c>
      <c r="H93" s="21">
        <f>ROUND(RAND()*4+6,1)</f>
      </c>
      <c r="I93" s="20" t="s">
        <v>36</v>
      </c>
      <c r="J93" s="23">
        <f>ROUND(77*1,0)&amp;"%"</f>
      </c>
    </row>
    <row x14ac:dyDescent="0.25" r="94" customHeight="1" ht="17.25">
      <c r="A94" s="17" t="s">
        <v>10949</v>
      </c>
      <c r="B94" s="17" t="s">
        <v>178</v>
      </c>
      <c r="C94" s="17" t="s">
        <v>15</v>
      </c>
      <c r="D94" s="17" t="s">
        <v>39</v>
      </c>
      <c r="E94" s="26">
        <f>ROUND(5480*1.05,2)</f>
      </c>
      <c r="F94" s="17" t="s">
        <v>40</v>
      </c>
      <c r="G94" s="17" t="s">
        <v>24</v>
      </c>
      <c r="H94" s="18">
        <f>ROUND(RAND()*4+6,1)</f>
      </c>
      <c r="I94" s="17" t="s">
        <v>41</v>
      </c>
      <c r="J94" s="19">
        <f>ROUND(96*1,0)&amp;"%"</f>
      </c>
    </row>
    <row x14ac:dyDescent="0.25" r="95" customHeight="1" ht="17.25">
      <c r="A95" s="20" t="s">
        <v>10950</v>
      </c>
      <c r="B95" s="20" t="s">
        <v>180</v>
      </c>
      <c r="C95" s="20" t="s">
        <v>15</v>
      </c>
      <c r="D95" s="20" t="s">
        <v>67</v>
      </c>
      <c r="E95" s="21">
        <f>ROUND(6643*1.05,2)</f>
      </c>
      <c r="F95" s="20" t="s">
        <v>44</v>
      </c>
      <c r="G95" s="20" t="s">
        <v>30</v>
      </c>
      <c r="H95" s="22">
        <f>ROUND(RAND()*4+6,1)</f>
      </c>
      <c r="I95" s="20" t="s">
        <v>45</v>
      </c>
      <c r="J95" s="23">
        <f>ROUND(91*1,0)&amp;"%"</f>
      </c>
    </row>
    <row x14ac:dyDescent="0.25" r="96" customHeight="1" ht="17.25">
      <c r="A96" s="17" t="s">
        <v>10951</v>
      </c>
      <c r="B96" s="17" t="s">
        <v>182</v>
      </c>
      <c r="C96" s="17" t="s">
        <v>15</v>
      </c>
      <c r="D96" s="17" t="s">
        <v>16</v>
      </c>
      <c r="E96" s="18">
        <f>ROUND(10242*1.05,2)</f>
      </c>
      <c r="F96" s="17" t="s">
        <v>48</v>
      </c>
      <c r="G96" s="17" t="s">
        <v>18</v>
      </c>
      <c r="H96" s="18">
        <f>ROUND(RAND()*4+6,1)</f>
      </c>
      <c r="I96" s="17" t="s">
        <v>19</v>
      </c>
      <c r="J96" s="19">
        <f>ROUND(97*1,0)&amp;"%"</f>
      </c>
    </row>
    <row x14ac:dyDescent="0.25" r="97" customHeight="1" ht="17.25">
      <c r="A97" s="20" t="s">
        <v>10952</v>
      </c>
      <c r="B97" s="20" t="s">
        <v>184</v>
      </c>
      <c r="C97" s="20" t="s">
        <v>15</v>
      </c>
      <c r="D97" s="20" t="s">
        <v>22</v>
      </c>
      <c r="E97" s="21">
        <f>ROUND(5885*1.05,2)</f>
      </c>
      <c r="F97" s="20" t="s">
        <v>51</v>
      </c>
      <c r="G97" s="20" t="s">
        <v>24</v>
      </c>
      <c r="H97" s="21">
        <f>ROUND(RAND()*4+6,1)</f>
      </c>
      <c r="I97" s="20" t="s">
        <v>25</v>
      </c>
      <c r="J97" s="23">
        <f>ROUND(93*1,0)&amp;"%"</f>
      </c>
    </row>
    <row x14ac:dyDescent="0.25" r="98" customHeight="1" ht="17.25">
      <c r="A98" s="24" t="s">
        <v>185</v>
      </c>
      <c r="B98" s="24"/>
      <c r="C98" s="24"/>
      <c r="D98" s="24"/>
      <c r="E98" s="25">
        <v>8</v>
      </c>
      <c r="F98" s="9"/>
      <c r="G98" s="9"/>
      <c r="H98" s="10"/>
      <c r="I98" s="9"/>
      <c r="J98" s="9"/>
    </row>
    <row x14ac:dyDescent="0.25" r="99" customHeight="1" ht="17.25">
      <c r="A99" s="7"/>
      <c r="B99" s="7"/>
      <c r="C99" s="7"/>
      <c r="D99" s="7"/>
      <c r="E99" s="8"/>
      <c r="F99" s="9"/>
      <c r="G99" s="9"/>
      <c r="H99" s="10"/>
      <c r="I99" s="9"/>
      <c r="J99" s="9"/>
    </row>
    <row x14ac:dyDescent="0.25" r="100" customHeight="1" ht="17.25">
      <c r="A100" s="11" t="s">
        <v>10953</v>
      </c>
      <c r="B100" s="11"/>
      <c r="C100" s="11"/>
      <c r="D100" s="11"/>
      <c r="E100" s="12"/>
      <c r="F100" s="11"/>
      <c r="G100" s="11"/>
      <c r="H100" s="13"/>
      <c r="I100" s="11"/>
      <c r="J100" s="11"/>
    </row>
    <row x14ac:dyDescent="0.25" r="101" customHeight="1" ht="17.25">
      <c r="A101" s="14" t="s">
        <v>3</v>
      </c>
      <c r="B101" s="14" t="s">
        <v>4</v>
      </c>
      <c r="C101" s="14" t="s">
        <v>5</v>
      </c>
      <c r="D101" s="14" t="s">
        <v>6</v>
      </c>
      <c r="E101" s="15" t="s">
        <v>7</v>
      </c>
      <c r="F101" s="14" t="s">
        <v>8</v>
      </c>
      <c r="G101" s="14" t="s">
        <v>9</v>
      </c>
      <c r="H101" s="16" t="s">
        <v>10</v>
      </c>
      <c r="I101" s="14" t="s">
        <v>11</v>
      </c>
      <c r="J101" s="14" t="s">
        <v>12</v>
      </c>
    </row>
    <row x14ac:dyDescent="0.25" r="102" customHeight="1" ht="17.25">
      <c r="A102" s="17" t="s">
        <v>10954</v>
      </c>
      <c r="B102" s="17" t="s">
        <v>188</v>
      </c>
      <c r="C102" s="17" t="s">
        <v>56</v>
      </c>
      <c r="D102" s="17" t="s">
        <v>16</v>
      </c>
      <c r="E102" s="18">
        <f>ROUND(5102*1.05,2)</f>
      </c>
      <c r="F102" s="17" t="s">
        <v>17</v>
      </c>
      <c r="G102" s="17" t="s">
        <v>18</v>
      </c>
      <c r="H102" s="18">
        <f>ROUND(RAND()*4+6,1)</f>
      </c>
      <c r="I102" s="17" t="s">
        <v>19</v>
      </c>
      <c r="J102" s="19">
        <f>ROUND(75*1,0)&amp;"%"</f>
      </c>
    </row>
    <row x14ac:dyDescent="0.25" r="103" customHeight="1" ht="17.25">
      <c r="A103" s="20" t="s">
        <v>10955</v>
      </c>
      <c r="B103" s="20" t="s">
        <v>190</v>
      </c>
      <c r="C103" s="20" t="s">
        <v>56</v>
      </c>
      <c r="D103" s="20" t="s">
        <v>22</v>
      </c>
      <c r="E103" s="21">
        <f>ROUND(8281*1.05,2)</f>
      </c>
      <c r="F103" s="20" t="s">
        <v>23</v>
      </c>
      <c r="G103" s="20" t="s">
        <v>24</v>
      </c>
      <c r="H103" s="21">
        <f>ROUND(RAND()*4+6,1)</f>
      </c>
      <c r="I103" s="20" t="s">
        <v>25</v>
      </c>
      <c r="J103" s="23">
        <f>ROUND(74*1,0)&amp;"%"</f>
      </c>
    </row>
    <row x14ac:dyDescent="0.25" r="104" customHeight="1" ht="17.25">
      <c r="A104" s="17" t="s">
        <v>10956</v>
      </c>
      <c r="B104" s="17" t="s">
        <v>192</v>
      </c>
      <c r="C104" s="17" t="s">
        <v>56</v>
      </c>
      <c r="D104" s="17" t="s">
        <v>28</v>
      </c>
      <c r="E104" s="18">
        <f>ROUND(7463*1.05,2)</f>
      </c>
      <c r="F104" s="17" t="s">
        <v>29</v>
      </c>
      <c r="G104" s="17" t="s">
        <v>30</v>
      </c>
      <c r="H104" s="18">
        <f>ROUND(RAND()*4+6,1)</f>
      </c>
      <c r="I104" s="17" t="s">
        <v>31</v>
      </c>
      <c r="J104" s="19">
        <f>ROUND(78*1,0)&amp;"%"</f>
      </c>
    </row>
    <row x14ac:dyDescent="0.25" r="105" customHeight="1" ht="17.25">
      <c r="A105" s="20" t="s">
        <v>10957</v>
      </c>
      <c r="B105" s="20" t="s">
        <v>194</v>
      </c>
      <c r="C105" s="20" t="s">
        <v>56</v>
      </c>
      <c r="D105" s="20" t="s">
        <v>34</v>
      </c>
      <c r="E105" s="21">
        <f>ROUND(13167*1.05,2)</f>
      </c>
      <c r="F105" s="20" t="s">
        <v>35</v>
      </c>
      <c r="G105" s="20" t="s">
        <v>18</v>
      </c>
      <c r="H105" s="21">
        <f>ROUND(RAND()*4+6,1)</f>
      </c>
      <c r="I105" s="20" t="s">
        <v>36</v>
      </c>
      <c r="J105" s="23">
        <f>ROUND(73*1,0)&amp;"%"</f>
      </c>
    </row>
    <row x14ac:dyDescent="0.25" r="106" customHeight="1" ht="17.25">
      <c r="A106" s="17" t="s">
        <v>10958</v>
      </c>
      <c r="B106" s="17" t="s">
        <v>196</v>
      </c>
      <c r="C106" s="17" t="s">
        <v>56</v>
      </c>
      <c r="D106" s="17" t="s">
        <v>39</v>
      </c>
      <c r="E106" s="26">
        <f>ROUND(15180*1.05,2)</f>
      </c>
      <c r="F106" s="17" t="s">
        <v>40</v>
      </c>
      <c r="G106" s="17" t="s">
        <v>24</v>
      </c>
      <c r="H106" s="18">
        <f>ROUND(RAND()*4+6,1)</f>
      </c>
      <c r="I106" s="17" t="s">
        <v>41</v>
      </c>
      <c r="J106" s="19">
        <f>ROUND(74*1,0)&amp;"%"</f>
      </c>
    </row>
    <row x14ac:dyDescent="0.25" r="107" customHeight="1" ht="17.25">
      <c r="A107" s="20" t="s">
        <v>10959</v>
      </c>
      <c r="B107" s="20" t="s">
        <v>198</v>
      </c>
      <c r="C107" s="20" t="s">
        <v>56</v>
      </c>
      <c r="D107" s="20" t="s">
        <v>67</v>
      </c>
      <c r="E107" s="21">
        <f>ROUND(10750*1.05,2)</f>
      </c>
      <c r="F107" s="20" t="s">
        <v>44</v>
      </c>
      <c r="G107" s="20" t="s">
        <v>30</v>
      </c>
      <c r="H107" s="21">
        <f>ROUND(RAND()*4+6,1)</f>
      </c>
      <c r="I107" s="20" t="s">
        <v>45</v>
      </c>
      <c r="J107" s="23">
        <f>ROUND(76*1,0)&amp;"%"</f>
      </c>
    </row>
    <row x14ac:dyDescent="0.25" r="108" customHeight="1" ht="17.25">
      <c r="A108" s="17" t="s">
        <v>10960</v>
      </c>
      <c r="B108" s="17" t="s">
        <v>200</v>
      </c>
      <c r="C108" s="17" t="s">
        <v>56</v>
      </c>
      <c r="D108" s="17" t="s">
        <v>16</v>
      </c>
      <c r="E108" s="18">
        <f>ROUND(12372*1.05,2)</f>
      </c>
      <c r="F108" s="17" t="s">
        <v>48</v>
      </c>
      <c r="G108" s="17" t="s">
        <v>18</v>
      </c>
      <c r="H108" s="18">
        <f>ROUND(RAND()*4+6,1)</f>
      </c>
      <c r="I108" s="17" t="s">
        <v>19</v>
      </c>
      <c r="J108" s="19">
        <f>ROUND(89*1,0)&amp;"%"</f>
      </c>
    </row>
    <row x14ac:dyDescent="0.25" r="109" customHeight="1" ht="17.25">
      <c r="A109" s="20" t="s">
        <v>10961</v>
      </c>
      <c r="B109" s="20" t="s">
        <v>202</v>
      </c>
      <c r="C109" s="20" t="s">
        <v>56</v>
      </c>
      <c r="D109" s="20" t="s">
        <v>22</v>
      </c>
      <c r="E109" s="21">
        <f>ROUND(13783*1.05,2)</f>
      </c>
      <c r="F109" s="20" t="s">
        <v>51</v>
      </c>
      <c r="G109" s="20" t="s">
        <v>24</v>
      </c>
      <c r="H109" s="21">
        <f>ROUND(RAND()*4+6,1)</f>
      </c>
      <c r="I109" s="20" t="s">
        <v>25</v>
      </c>
      <c r="J109" s="23">
        <f>ROUND(81*1,0)&amp;"%"</f>
      </c>
    </row>
    <row x14ac:dyDescent="0.25" r="110" customHeight="1" ht="17.25">
      <c r="A110" s="24" t="s">
        <v>203</v>
      </c>
      <c r="B110" s="24"/>
      <c r="C110" s="24"/>
      <c r="D110" s="24"/>
      <c r="E110" s="25">
        <v>8</v>
      </c>
      <c r="F110" s="9"/>
      <c r="G110" s="9"/>
      <c r="H110" s="10"/>
      <c r="I110" s="9"/>
      <c r="J110" s="9"/>
    </row>
    <row x14ac:dyDescent="0.25" r="111" customHeight="1" ht="17.25">
      <c r="A111" s="7"/>
      <c r="B111" s="7"/>
      <c r="C111" s="7"/>
      <c r="D111" s="7"/>
      <c r="E111" s="8"/>
      <c r="F111" s="9"/>
      <c r="G111" s="9"/>
      <c r="H111" s="10"/>
      <c r="I111" s="9"/>
      <c r="J111" s="9"/>
    </row>
    <row x14ac:dyDescent="0.25" r="112" customHeight="1" ht="17.25">
      <c r="A112" s="11" t="s">
        <v>10962</v>
      </c>
      <c r="B112" s="11"/>
      <c r="C112" s="11"/>
      <c r="D112" s="11"/>
      <c r="E112" s="12"/>
      <c r="F112" s="11"/>
      <c r="G112" s="11"/>
      <c r="H112" s="13"/>
      <c r="I112" s="11"/>
      <c r="J112" s="11"/>
    </row>
    <row x14ac:dyDescent="0.25" r="113" customHeight="1" ht="17.25">
      <c r="A113" s="14" t="s">
        <v>3</v>
      </c>
      <c r="B113" s="14" t="s">
        <v>4</v>
      </c>
      <c r="C113" s="14" t="s">
        <v>5</v>
      </c>
      <c r="D113" s="14" t="s">
        <v>6</v>
      </c>
      <c r="E113" s="15" t="s">
        <v>7</v>
      </c>
      <c r="F113" s="14" t="s">
        <v>8</v>
      </c>
      <c r="G113" s="14" t="s">
        <v>9</v>
      </c>
      <c r="H113" s="16" t="s">
        <v>10</v>
      </c>
      <c r="I113" s="14" t="s">
        <v>11</v>
      </c>
      <c r="J113" s="14" t="s">
        <v>12</v>
      </c>
    </row>
    <row x14ac:dyDescent="0.25" r="114" customHeight="1" ht="17.25">
      <c r="A114" s="17" t="s">
        <v>10963</v>
      </c>
      <c r="B114" s="17" t="s">
        <v>206</v>
      </c>
      <c r="C114" s="17" t="s">
        <v>76</v>
      </c>
      <c r="D114" s="17" t="s">
        <v>16</v>
      </c>
      <c r="E114" s="18">
        <f>ROUND(5996*1.05,2)</f>
      </c>
      <c r="F114" s="17" t="s">
        <v>17</v>
      </c>
      <c r="G114" s="17" t="s">
        <v>18</v>
      </c>
      <c r="H114" s="18">
        <f>ROUND(RAND()*4+6,1)</f>
      </c>
      <c r="I114" s="17" t="s">
        <v>19</v>
      </c>
      <c r="J114" s="19">
        <f>ROUND(94*1,0)&amp;"%"</f>
      </c>
    </row>
    <row x14ac:dyDescent="0.25" r="115" customHeight="1" ht="17.25">
      <c r="A115" s="20" t="s">
        <v>10964</v>
      </c>
      <c r="B115" s="20" t="s">
        <v>208</v>
      </c>
      <c r="C115" s="20" t="s">
        <v>76</v>
      </c>
      <c r="D115" s="20" t="s">
        <v>22</v>
      </c>
      <c r="E115" s="21">
        <f>ROUND(11841*1.05,2)</f>
      </c>
      <c r="F115" s="20" t="s">
        <v>23</v>
      </c>
      <c r="G115" s="20" t="s">
        <v>24</v>
      </c>
      <c r="H115" s="21">
        <f>ROUND(RAND()*4+6,1)</f>
      </c>
      <c r="I115" s="20" t="s">
        <v>25</v>
      </c>
      <c r="J115" s="23">
        <f>ROUND(88*1,0)&amp;"%"</f>
      </c>
    </row>
    <row x14ac:dyDescent="0.25" r="116" customHeight="1" ht="17.25">
      <c r="A116" s="17" t="s">
        <v>10965</v>
      </c>
      <c r="B116" s="17" t="s">
        <v>210</v>
      </c>
      <c r="C116" s="17" t="s">
        <v>76</v>
      </c>
      <c r="D116" s="17" t="s">
        <v>28</v>
      </c>
      <c r="E116" s="18">
        <f>ROUND(9177*1.05,2)</f>
      </c>
      <c r="F116" s="17" t="s">
        <v>29</v>
      </c>
      <c r="G116" s="17" t="s">
        <v>30</v>
      </c>
      <c r="H116" s="18">
        <f>ROUND(RAND()*4+6,1)</f>
      </c>
      <c r="I116" s="17" t="s">
        <v>31</v>
      </c>
      <c r="J116" s="19">
        <f>ROUND(64*1,0)&amp;"%"</f>
      </c>
    </row>
    <row x14ac:dyDescent="0.25" r="117" customHeight="1" ht="17.25">
      <c r="A117" s="20" t="s">
        <v>10966</v>
      </c>
      <c r="B117" s="20" t="s">
        <v>212</v>
      </c>
      <c r="C117" s="20" t="s">
        <v>76</v>
      </c>
      <c r="D117" s="20" t="s">
        <v>34</v>
      </c>
      <c r="E117" s="21">
        <f>ROUND(10852*1.05,2)</f>
      </c>
      <c r="F117" s="20" t="s">
        <v>35</v>
      </c>
      <c r="G117" s="20" t="s">
        <v>18</v>
      </c>
      <c r="H117" s="21">
        <f>ROUND(RAND()*4+6,1)</f>
      </c>
      <c r="I117" s="20" t="s">
        <v>36</v>
      </c>
      <c r="J117" s="23">
        <f>ROUND(92*1,0)&amp;"%"</f>
      </c>
    </row>
    <row x14ac:dyDescent="0.25" r="118" customHeight="1" ht="17.25">
      <c r="A118" s="17" t="s">
        <v>10967</v>
      </c>
      <c r="B118" s="17" t="s">
        <v>214</v>
      </c>
      <c r="C118" s="17" t="s">
        <v>76</v>
      </c>
      <c r="D118" s="17" t="s">
        <v>39</v>
      </c>
      <c r="E118" s="18">
        <f>ROUND(12001*1.05,2)</f>
      </c>
      <c r="F118" s="17" t="s">
        <v>40</v>
      </c>
      <c r="G118" s="17" t="s">
        <v>24</v>
      </c>
      <c r="H118" s="18">
        <f>ROUND(RAND()*4+6,1)</f>
      </c>
      <c r="I118" s="17" t="s">
        <v>41</v>
      </c>
      <c r="J118" s="19">
        <f>ROUND(92*1,0)&amp;"%"</f>
      </c>
    </row>
    <row x14ac:dyDescent="0.25" r="119" customHeight="1" ht="17.25">
      <c r="A119" s="20" t="s">
        <v>10968</v>
      </c>
      <c r="B119" s="20" t="s">
        <v>216</v>
      </c>
      <c r="C119" s="20" t="s">
        <v>76</v>
      </c>
      <c r="D119" s="20" t="s">
        <v>67</v>
      </c>
      <c r="E119" s="21">
        <f>ROUND(14919*1.05,2)</f>
      </c>
      <c r="F119" s="20" t="s">
        <v>44</v>
      </c>
      <c r="G119" s="20" t="s">
        <v>30</v>
      </c>
      <c r="H119" s="21">
        <f>ROUND(RAND()*4+6,1)</f>
      </c>
      <c r="I119" s="20" t="s">
        <v>45</v>
      </c>
      <c r="J119" s="23">
        <f>ROUND(93*1,0)&amp;"%"</f>
      </c>
    </row>
    <row x14ac:dyDescent="0.25" r="120" customHeight="1" ht="17.25">
      <c r="A120" s="17" t="s">
        <v>10969</v>
      </c>
      <c r="B120" s="17" t="s">
        <v>218</v>
      </c>
      <c r="C120" s="17" t="s">
        <v>76</v>
      </c>
      <c r="D120" s="17" t="s">
        <v>16</v>
      </c>
      <c r="E120" s="18">
        <f>ROUND(12595*1.05,2)</f>
      </c>
      <c r="F120" s="17" t="s">
        <v>48</v>
      </c>
      <c r="G120" s="17" t="s">
        <v>18</v>
      </c>
      <c r="H120" s="18">
        <f>ROUND(RAND()*4+6,1)</f>
      </c>
      <c r="I120" s="17" t="s">
        <v>19</v>
      </c>
      <c r="J120" s="19">
        <f>ROUND(63*1,0)&amp;"%"</f>
      </c>
    </row>
    <row x14ac:dyDescent="0.25" r="121" customHeight="1" ht="17.25">
      <c r="A121" s="20" t="s">
        <v>10970</v>
      </c>
      <c r="B121" s="20" t="s">
        <v>220</v>
      </c>
      <c r="C121" s="20" t="s">
        <v>76</v>
      </c>
      <c r="D121" s="20" t="s">
        <v>22</v>
      </c>
      <c r="E121" s="21">
        <f>ROUND(13286*1.05,2)</f>
      </c>
      <c r="F121" s="20" t="s">
        <v>51</v>
      </c>
      <c r="G121" s="20" t="s">
        <v>24</v>
      </c>
      <c r="H121" s="21">
        <f>ROUND(RAND()*4+6,1)</f>
      </c>
      <c r="I121" s="20" t="s">
        <v>25</v>
      </c>
      <c r="J121" s="23">
        <f>ROUND(73*1,0)&amp;"%"</f>
      </c>
    </row>
    <row x14ac:dyDescent="0.25" r="122" customHeight="1" ht="17.25">
      <c r="A122" s="24" t="s">
        <v>221</v>
      </c>
      <c r="B122" s="24"/>
      <c r="C122" s="24"/>
      <c r="D122" s="24"/>
      <c r="E122" s="25">
        <v>8</v>
      </c>
      <c r="F122" s="9"/>
      <c r="G122" s="9"/>
      <c r="H122" s="10"/>
      <c r="I122" s="9"/>
      <c r="J122" s="9"/>
    </row>
    <row x14ac:dyDescent="0.25" r="123" customHeight="1" ht="17.25">
      <c r="A123" s="7"/>
      <c r="B123" s="7"/>
      <c r="C123" s="7"/>
      <c r="D123" s="7"/>
      <c r="E123" s="8"/>
      <c r="F123" s="9"/>
      <c r="G123" s="9"/>
      <c r="H123" s="10"/>
      <c r="I123" s="9"/>
      <c r="J123" s="9"/>
    </row>
    <row x14ac:dyDescent="0.25" r="124" customHeight="1" ht="17.25">
      <c r="A124" s="11" t="s">
        <v>10971</v>
      </c>
      <c r="B124" s="11"/>
      <c r="C124" s="11"/>
      <c r="D124" s="11"/>
      <c r="E124" s="12"/>
      <c r="F124" s="11"/>
      <c r="G124" s="11"/>
      <c r="H124" s="13"/>
      <c r="I124" s="11"/>
      <c r="J124" s="11"/>
    </row>
    <row x14ac:dyDescent="0.25" r="125" customHeight="1" ht="17.25">
      <c r="A125" s="14" t="s">
        <v>3</v>
      </c>
      <c r="B125" s="14" t="s">
        <v>4</v>
      </c>
      <c r="C125" s="14" t="s">
        <v>5</v>
      </c>
      <c r="D125" s="14" t="s">
        <v>6</v>
      </c>
      <c r="E125" s="15" t="s">
        <v>7</v>
      </c>
      <c r="F125" s="14" t="s">
        <v>8</v>
      </c>
      <c r="G125" s="14" t="s">
        <v>9</v>
      </c>
      <c r="H125" s="16" t="s">
        <v>10</v>
      </c>
      <c r="I125" s="14" t="s">
        <v>11</v>
      </c>
      <c r="J125" s="14" t="s">
        <v>12</v>
      </c>
    </row>
    <row x14ac:dyDescent="0.25" r="126" customHeight="1" ht="17.25">
      <c r="A126" s="17" t="s">
        <v>10972</v>
      </c>
      <c r="B126" s="17" t="s">
        <v>224</v>
      </c>
      <c r="C126" s="17" t="s">
        <v>95</v>
      </c>
      <c r="D126" s="17" t="s">
        <v>16</v>
      </c>
      <c r="E126" s="18">
        <f>ROUND(11472*1.05,2)</f>
      </c>
      <c r="F126" s="17" t="s">
        <v>17</v>
      </c>
      <c r="G126" s="17" t="s">
        <v>18</v>
      </c>
      <c r="H126" s="18">
        <f>ROUND(RAND()*4+6,1)</f>
      </c>
      <c r="I126" s="17" t="s">
        <v>19</v>
      </c>
      <c r="J126" s="19">
        <f>ROUND(67*1,0)&amp;"%"</f>
      </c>
    </row>
    <row x14ac:dyDescent="0.25" r="127" customHeight="1" ht="17.25">
      <c r="A127" s="20" t="s">
        <v>10973</v>
      </c>
      <c r="B127" s="20" t="s">
        <v>226</v>
      </c>
      <c r="C127" s="20" t="s">
        <v>95</v>
      </c>
      <c r="D127" s="20" t="s">
        <v>22</v>
      </c>
      <c r="E127" s="21">
        <f>ROUND(8225*1.05,2)</f>
      </c>
      <c r="F127" s="20" t="s">
        <v>23</v>
      </c>
      <c r="G127" s="20" t="s">
        <v>24</v>
      </c>
      <c r="H127" s="21">
        <f>ROUND(RAND()*4+6,1)</f>
      </c>
      <c r="I127" s="20" t="s">
        <v>25</v>
      </c>
      <c r="J127" s="23">
        <f>ROUND(93*1,0)&amp;"%"</f>
      </c>
    </row>
    <row x14ac:dyDescent="0.25" r="128" customHeight="1" ht="17.25">
      <c r="A128" s="17" t="s">
        <v>10974</v>
      </c>
      <c r="B128" s="17" t="s">
        <v>228</v>
      </c>
      <c r="C128" s="17" t="s">
        <v>95</v>
      </c>
      <c r="D128" s="17" t="s">
        <v>28</v>
      </c>
      <c r="E128" s="18">
        <f>ROUND(15477*1.05,2)</f>
      </c>
      <c r="F128" s="17" t="s">
        <v>29</v>
      </c>
      <c r="G128" s="17" t="s">
        <v>30</v>
      </c>
      <c r="H128" s="18">
        <f>ROUND(RAND()*4+6,1)</f>
      </c>
      <c r="I128" s="17" t="s">
        <v>31</v>
      </c>
      <c r="J128" s="19">
        <f>ROUND(85*1,0)&amp;"%"</f>
      </c>
    </row>
    <row x14ac:dyDescent="0.25" r="129" customHeight="1" ht="17.25">
      <c r="A129" s="20" t="s">
        <v>10975</v>
      </c>
      <c r="B129" s="20" t="s">
        <v>230</v>
      </c>
      <c r="C129" s="20" t="s">
        <v>95</v>
      </c>
      <c r="D129" s="20" t="s">
        <v>34</v>
      </c>
      <c r="E129" s="21">
        <f>ROUND(10725*1.05,2)</f>
      </c>
      <c r="F129" s="20" t="s">
        <v>35</v>
      </c>
      <c r="G129" s="20" t="s">
        <v>18</v>
      </c>
      <c r="H129" s="21">
        <f>ROUND(RAND()*4+6,1)</f>
      </c>
      <c r="I129" s="20" t="s">
        <v>36</v>
      </c>
      <c r="J129" s="23">
        <f>ROUND(84*1,0)&amp;"%"</f>
      </c>
    </row>
    <row x14ac:dyDescent="0.25" r="130" customHeight="1" ht="17.25">
      <c r="A130" s="17" t="s">
        <v>10976</v>
      </c>
      <c r="B130" s="17" t="s">
        <v>232</v>
      </c>
      <c r="C130" s="17" t="s">
        <v>95</v>
      </c>
      <c r="D130" s="17" t="s">
        <v>39</v>
      </c>
      <c r="E130" s="18">
        <f>ROUND(5644*1.05,2)</f>
      </c>
      <c r="F130" s="17" t="s">
        <v>40</v>
      </c>
      <c r="G130" s="17" t="s">
        <v>24</v>
      </c>
      <c r="H130" s="26">
        <f>ROUND(RAND()*4+6,1)</f>
      </c>
      <c r="I130" s="17" t="s">
        <v>41</v>
      </c>
      <c r="J130" s="19">
        <f>ROUND(82*1,0)&amp;"%"</f>
      </c>
    </row>
    <row x14ac:dyDescent="0.25" r="131" customHeight="1" ht="17.25">
      <c r="A131" s="20" t="s">
        <v>10977</v>
      </c>
      <c r="B131" s="20" t="s">
        <v>234</v>
      </c>
      <c r="C131" s="20" t="s">
        <v>95</v>
      </c>
      <c r="D131" s="20" t="s">
        <v>67</v>
      </c>
      <c r="E131" s="22">
        <f>ROUND(17300*1.05,2)</f>
      </c>
      <c r="F131" s="20" t="s">
        <v>44</v>
      </c>
      <c r="G131" s="20" t="s">
        <v>30</v>
      </c>
      <c r="H131" s="22">
        <f>ROUND(RAND()*4+6,1)</f>
      </c>
      <c r="I131" s="20" t="s">
        <v>45</v>
      </c>
      <c r="J131" s="23">
        <f>ROUND(61*1,0)&amp;"%"</f>
      </c>
    </row>
    <row x14ac:dyDescent="0.25" r="132" customHeight="1" ht="17.25">
      <c r="A132" s="17" t="s">
        <v>10978</v>
      </c>
      <c r="B132" s="17" t="s">
        <v>236</v>
      </c>
      <c r="C132" s="17" t="s">
        <v>95</v>
      </c>
      <c r="D132" s="17" t="s">
        <v>16</v>
      </c>
      <c r="E132" s="26">
        <f>ROUND(10540*1.05,2)</f>
      </c>
      <c r="F132" s="17" t="s">
        <v>48</v>
      </c>
      <c r="G132" s="17" t="s">
        <v>18</v>
      </c>
      <c r="H132" s="18">
        <f>ROUND(RAND()*4+6,1)</f>
      </c>
      <c r="I132" s="17" t="s">
        <v>19</v>
      </c>
      <c r="J132" s="19">
        <f>ROUND(96*1,0)&amp;"%"</f>
      </c>
    </row>
    <row x14ac:dyDescent="0.25" r="133" customHeight="1" ht="17.25">
      <c r="A133" s="20" t="s">
        <v>10979</v>
      </c>
      <c r="B133" s="20" t="s">
        <v>238</v>
      </c>
      <c r="C133" s="20" t="s">
        <v>95</v>
      </c>
      <c r="D133" s="20" t="s">
        <v>22</v>
      </c>
      <c r="E133" s="21">
        <f>ROUND(4786*1.05,2)</f>
      </c>
      <c r="F133" s="20" t="s">
        <v>51</v>
      </c>
      <c r="G133" s="20" t="s">
        <v>24</v>
      </c>
      <c r="H133" s="22">
        <f>ROUND(RAND()*4+6,1)</f>
      </c>
      <c r="I133" s="20" t="s">
        <v>25</v>
      </c>
      <c r="J133" s="23">
        <f>ROUND(77*1,0)&amp;"%"</f>
      </c>
    </row>
    <row x14ac:dyDescent="0.25" r="134" customHeight="1" ht="17.25">
      <c r="A134" s="24" t="s">
        <v>239</v>
      </c>
      <c r="B134" s="24"/>
      <c r="C134" s="24"/>
      <c r="D134" s="24"/>
      <c r="E134" s="25">
        <v>8</v>
      </c>
      <c r="F134" s="9"/>
      <c r="G134" s="9"/>
      <c r="H134" s="10"/>
      <c r="I134" s="9"/>
      <c r="J134" s="9"/>
    </row>
    <row x14ac:dyDescent="0.25" r="135" customHeight="1" ht="17.25">
      <c r="A135" s="7"/>
      <c r="B135" s="7"/>
      <c r="C135" s="7"/>
      <c r="D135" s="7"/>
      <c r="E135" s="8"/>
      <c r="F135" s="9"/>
      <c r="G135" s="9"/>
      <c r="H135" s="10"/>
      <c r="I135" s="9"/>
      <c r="J135" s="9"/>
    </row>
    <row x14ac:dyDescent="0.25" r="136" customHeight="1" ht="17.25">
      <c r="A136" s="11" t="s">
        <v>10980</v>
      </c>
      <c r="B136" s="11"/>
      <c r="C136" s="11"/>
      <c r="D136" s="11"/>
      <c r="E136" s="12"/>
      <c r="F136" s="11"/>
      <c r="G136" s="11"/>
      <c r="H136" s="13"/>
      <c r="I136" s="11"/>
      <c r="J136" s="11"/>
    </row>
    <row x14ac:dyDescent="0.25" r="137" customHeight="1" ht="17.25">
      <c r="A137" s="14" t="s">
        <v>3</v>
      </c>
      <c r="B137" s="14" t="s">
        <v>4</v>
      </c>
      <c r="C137" s="14" t="s">
        <v>5</v>
      </c>
      <c r="D137" s="14" t="s">
        <v>6</v>
      </c>
      <c r="E137" s="15" t="s">
        <v>7</v>
      </c>
      <c r="F137" s="14" t="s">
        <v>8</v>
      </c>
      <c r="G137" s="14" t="s">
        <v>9</v>
      </c>
      <c r="H137" s="16" t="s">
        <v>10</v>
      </c>
      <c r="I137" s="14" t="s">
        <v>11</v>
      </c>
      <c r="J137" s="14" t="s">
        <v>12</v>
      </c>
    </row>
    <row x14ac:dyDescent="0.25" r="138" customHeight="1" ht="17.25">
      <c r="A138" s="17" t="s">
        <v>10981</v>
      </c>
      <c r="B138" s="17" t="s">
        <v>242</v>
      </c>
      <c r="C138" s="17" t="s">
        <v>114</v>
      </c>
      <c r="D138" s="17" t="s">
        <v>16</v>
      </c>
      <c r="E138" s="18">
        <f>ROUND(9911*1.05,2)</f>
      </c>
      <c r="F138" s="17" t="s">
        <v>17</v>
      </c>
      <c r="G138" s="17" t="s">
        <v>18</v>
      </c>
      <c r="H138" s="18">
        <f>ROUND(RAND()*4+6,1)</f>
      </c>
      <c r="I138" s="17" t="s">
        <v>19</v>
      </c>
      <c r="J138" s="19">
        <f>ROUND(78*1,0)&amp;"%"</f>
      </c>
    </row>
    <row x14ac:dyDescent="0.25" r="139" customHeight="1" ht="17.25">
      <c r="A139" s="20" t="s">
        <v>10982</v>
      </c>
      <c r="B139" s="20" t="s">
        <v>244</v>
      </c>
      <c r="C139" s="20" t="s">
        <v>114</v>
      </c>
      <c r="D139" s="20" t="s">
        <v>22</v>
      </c>
      <c r="E139" s="21">
        <f>ROUND(17809*1.05,2)</f>
      </c>
      <c r="F139" s="20" t="s">
        <v>23</v>
      </c>
      <c r="G139" s="20" t="s">
        <v>24</v>
      </c>
      <c r="H139" s="22">
        <f>ROUND(RAND()*4+6,1)</f>
      </c>
      <c r="I139" s="20" t="s">
        <v>25</v>
      </c>
      <c r="J139" s="23">
        <f>ROUND(90*1,0)&amp;"%"</f>
      </c>
    </row>
    <row x14ac:dyDescent="0.25" r="140" customHeight="1" ht="17.25">
      <c r="A140" s="17" t="s">
        <v>10983</v>
      </c>
      <c r="B140" s="17" t="s">
        <v>246</v>
      </c>
      <c r="C140" s="17" t="s">
        <v>114</v>
      </c>
      <c r="D140" s="17" t="s">
        <v>28</v>
      </c>
      <c r="E140" s="26">
        <f>ROUND(15340*1.05,2)</f>
      </c>
      <c r="F140" s="17" t="s">
        <v>29</v>
      </c>
      <c r="G140" s="17" t="s">
        <v>30</v>
      </c>
      <c r="H140" s="18">
        <f>ROUND(RAND()*4+6,1)</f>
      </c>
      <c r="I140" s="17" t="s">
        <v>31</v>
      </c>
      <c r="J140" s="19">
        <f>ROUND(86*1,0)&amp;"%"</f>
      </c>
    </row>
    <row x14ac:dyDescent="0.25" r="141" customHeight="1" ht="17.25">
      <c r="A141" s="20" t="s">
        <v>10984</v>
      </c>
      <c r="B141" s="20" t="s">
        <v>248</v>
      </c>
      <c r="C141" s="20" t="s">
        <v>114</v>
      </c>
      <c r="D141" s="20" t="s">
        <v>34</v>
      </c>
      <c r="E141" s="21">
        <f>ROUND(6128*1.05,2)</f>
      </c>
      <c r="F141" s="20" t="s">
        <v>35</v>
      </c>
      <c r="G141" s="20" t="s">
        <v>18</v>
      </c>
      <c r="H141" s="22">
        <f>ROUND(RAND()*4+6,1)</f>
      </c>
      <c r="I141" s="20" t="s">
        <v>36</v>
      </c>
      <c r="J141" s="23">
        <f>ROUND(80*1,0)&amp;"%"</f>
      </c>
    </row>
    <row x14ac:dyDescent="0.25" r="142" customHeight="1" ht="17.25">
      <c r="A142" s="17" t="s">
        <v>10985</v>
      </c>
      <c r="B142" s="17" t="s">
        <v>250</v>
      </c>
      <c r="C142" s="17" t="s">
        <v>114</v>
      </c>
      <c r="D142" s="17" t="s">
        <v>39</v>
      </c>
      <c r="E142" s="18">
        <f>ROUND(13696*1.05,2)</f>
      </c>
      <c r="F142" s="17" t="s">
        <v>40</v>
      </c>
      <c r="G142" s="17" t="s">
        <v>24</v>
      </c>
      <c r="H142" s="18">
        <f>ROUND(RAND()*4+6,1)</f>
      </c>
      <c r="I142" s="17" t="s">
        <v>41</v>
      </c>
      <c r="J142" s="19">
        <f>ROUND(66*1,0)&amp;"%"</f>
      </c>
    </row>
    <row x14ac:dyDescent="0.25" r="143" customHeight="1" ht="17.25">
      <c r="A143" s="20" t="s">
        <v>10986</v>
      </c>
      <c r="B143" s="20" t="s">
        <v>252</v>
      </c>
      <c r="C143" s="20" t="s">
        <v>114</v>
      </c>
      <c r="D143" s="20" t="s">
        <v>67</v>
      </c>
      <c r="E143" s="21">
        <f>ROUND(8744*1.05,2)</f>
      </c>
      <c r="F143" s="20" t="s">
        <v>44</v>
      </c>
      <c r="G143" s="20" t="s">
        <v>30</v>
      </c>
      <c r="H143" s="21">
        <f>ROUND(RAND()*4+6,1)</f>
      </c>
      <c r="I143" s="20" t="s">
        <v>45</v>
      </c>
      <c r="J143" s="23">
        <f>ROUND(99*1,0)&amp;"%"</f>
      </c>
    </row>
    <row x14ac:dyDescent="0.25" r="144" customHeight="1" ht="17.25">
      <c r="A144" s="17" t="s">
        <v>10987</v>
      </c>
      <c r="B144" s="17" t="s">
        <v>254</v>
      </c>
      <c r="C144" s="17" t="s">
        <v>114</v>
      </c>
      <c r="D144" s="17" t="s">
        <v>16</v>
      </c>
      <c r="E144" s="18">
        <f>ROUND(10985*1.05,2)</f>
      </c>
      <c r="F144" s="17" t="s">
        <v>48</v>
      </c>
      <c r="G144" s="17" t="s">
        <v>18</v>
      </c>
      <c r="H144" s="18">
        <f>ROUND(RAND()*4+6,1)</f>
      </c>
      <c r="I144" s="17" t="s">
        <v>19</v>
      </c>
      <c r="J144" s="19">
        <f>ROUND(64*1,0)&amp;"%"</f>
      </c>
    </row>
    <row x14ac:dyDescent="0.25" r="145" customHeight="1" ht="17.25">
      <c r="A145" s="20" t="s">
        <v>10988</v>
      </c>
      <c r="B145" s="20" t="s">
        <v>256</v>
      </c>
      <c r="C145" s="20" t="s">
        <v>114</v>
      </c>
      <c r="D145" s="20" t="s">
        <v>22</v>
      </c>
      <c r="E145" s="21">
        <f>ROUND(6789*1.05,2)</f>
      </c>
      <c r="F145" s="20" t="s">
        <v>51</v>
      </c>
      <c r="G145" s="20" t="s">
        <v>24</v>
      </c>
      <c r="H145" s="21">
        <f>ROUND(RAND()*4+6,1)</f>
      </c>
      <c r="I145" s="20" t="s">
        <v>25</v>
      </c>
      <c r="J145" s="23">
        <f>ROUND(72*1,0)&amp;"%"</f>
      </c>
    </row>
    <row x14ac:dyDescent="0.25" r="146" customHeight="1" ht="17.25">
      <c r="A146" s="24" t="s">
        <v>257</v>
      </c>
      <c r="B146" s="24"/>
      <c r="C146" s="24"/>
      <c r="D146" s="24"/>
      <c r="E146" s="25">
        <v>8</v>
      </c>
      <c r="F146" s="9"/>
      <c r="G146" s="9"/>
      <c r="H146" s="10"/>
      <c r="I146" s="9"/>
      <c r="J146" s="9"/>
    </row>
    <row x14ac:dyDescent="0.25" r="147" customHeight="1" ht="17.25">
      <c r="A147" s="7"/>
      <c r="B147" s="7"/>
      <c r="C147" s="7"/>
      <c r="D147" s="7"/>
      <c r="E147" s="8"/>
      <c r="F147" s="9"/>
      <c r="G147" s="9"/>
      <c r="H147" s="10"/>
      <c r="I147" s="9"/>
      <c r="J147" s="9"/>
    </row>
    <row x14ac:dyDescent="0.25" r="148" customHeight="1" ht="17.25">
      <c r="A148" s="11" t="s">
        <v>10989</v>
      </c>
      <c r="B148" s="11"/>
      <c r="C148" s="11"/>
      <c r="D148" s="11"/>
      <c r="E148" s="12"/>
      <c r="F148" s="11"/>
      <c r="G148" s="11"/>
      <c r="H148" s="13"/>
      <c r="I148" s="11"/>
      <c r="J148" s="11"/>
    </row>
    <row x14ac:dyDescent="0.25" r="149" customHeight="1" ht="17.25">
      <c r="A149" s="14" t="s">
        <v>3</v>
      </c>
      <c r="B149" s="14" t="s">
        <v>4</v>
      </c>
      <c r="C149" s="14" t="s">
        <v>5</v>
      </c>
      <c r="D149" s="14" t="s">
        <v>6</v>
      </c>
      <c r="E149" s="15" t="s">
        <v>7</v>
      </c>
      <c r="F149" s="14" t="s">
        <v>8</v>
      </c>
      <c r="G149" s="14" t="s">
        <v>9</v>
      </c>
      <c r="H149" s="16" t="s">
        <v>10</v>
      </c>
      <c r="I149" s="14" t="s">
        <v>11</v>
      </c>
      <c r="J149" s="14" t="s">
        <v>12</v>
      </c>
    </row>
    <row x14ac:dyDescent="0.25" r="150" customHeight="1" ht="17.25">
      <c r="A150" s="17" t="s">
        <v>10990</v>
      </c>
      <c r="B150" s="17" t="s">
        <v>260</v>
      </c>
      <c r="C150" s="17" t="s">
        <v>133</v>
      </c>
      <c r="D150" s="17" t="s">
        <v>16</v>
      </c>
      <c r="E150" s="18">
        <f>ROUND(6446*1.05,2)</f>
      </c>
      <c r="F150" s="17" t="s">
        <v>17</v>
      </c>
      <c r="G150" s="17" t="s">
        <v>18</v>
      </c>
      <c r="H150" s="18">
        <f>ROUND(RAND()*4+6,1)</f>
      </c>
      <c r="I150" s="17" t="s">
        <v>19</v>
      </c>
      <c r="J150" s="19">
        <f>ROUND(78*1,0)&amp;"%"</f>
      </c>
    </row>
    <row x14ac:dyDescent="0.25" r="151" customHeight="1" ht="17.25">
      <c r="A151" s="20" t="s">
        <v>10991</v>
      </c>
      <c r="B151" s="20" t="s">
        <v>262</v>
      </c>
      <c r="C151" s="20" t="s">
        <v>133</v>
      </c>
      <c r="D151" s="20" t="s">
        <v>22</v>
      </c>
      <c r="E151" s="21">
        <f>ROUND(10056*1.05,2)</f>
      </c>
      <c r="F151" s="20" t="s">
        <v>23</v>
      </c>
      <c r="G151" s="20" t="s">
        <v>24</v>
      </c>
      <c r="H151" s="21">
        <f>ROUND(RAND()*4+6,1)</f>
      </c>
      <c r="I151" s="20" t="s">
        <v>25</v>
      </c>
      <c r="J151" s="23">
        <f>ROUND(80*1,0)&amp;"%"</f>
      </c>
    </row>
    <row x14ac:dyDescent="0.25" r="152" customHeight="1" ht="17.25">
      <c r="A152" s="17" t="s">
        <v>10992</v>
      </c>
      <c r="B152" s="17" t="s">
        <v>264</v>
      </c>
      <c r="C152" s="17" t="s">
        <v>133</v>
      </c>
      <c r="D152" s="17" t="s">
        <v>28</v>
      </c>
      <c r="E152" s="18">
        <f>ROUND(7335*1.05,2)</f>
      </c>
      <c r="F152" s="17" t="s">
        <v>29</v>
      </c>
      <c r="G152" s="17" t="s">
        <v>30</v>
      </c>
      <c r="H152" s="18">
        <f>ROUND(RAND()*4+6,1)</f>
      </c>
      <c r="I152" s="17" t="s">
        <v>31</v>
      </c>
      <c r="J152" s="19">
        <f>ROUND(91*1,0)&amp;"%"</f>
      </c>
    </row>
    <row x14ac:dyDescent="0.25" r="153" customHeight="1" ht="17.25">
      <c r="A153" s="20" t="s">
        <v>10993</v>
      </c>
      <c r="B153" s="20" t="s">
        <v>266</v>
      </c>
      <c r="C153" s="20" t="s">
        <v>133</v>
      </c>
      <c r="D153" s="20" t="s">
        <v>34</v>
      </c>
      <c r="E153" s="21">
        <f>ROUND(14852*1.05,2)</f>
      </c>
      <c r="F153" s="20" t="s">
        <v>35</v>
      </c>
      <c r="G153" s="20" t="s">
        <v>18</v>
      </c>
      <c r="H153" s="21">
        <f>ROUND(RAND()*4+6,1)</f>
      </c>
      <c r="I153" s="20" t="s">
        <v>36</v>
      </c>
      <c r="J153" s="23">
        <f>ROUND(98*1,0)&amp;"%"</f>
      </c>
    </row>
    <row x14ac:dyDescent="0.25" r="154" customHeight="1" ht="17.25">
      <c r="A154" s="17" t="s">
        <v>10994</v>
      </c>
      <c r="B154" s="17" t="s">
        <v>268</v>
      </c>
      <c r="C154" s="17" t="s">
        <v>133</v>
      </c>
      <c r="D154" s="17" t="s">
        <v>39</v>
      </c>
      <c r="E154" s="18">
        <f>ROUND(12027*1.05,2)</f>
      </c>
      <c r="F154" s="17" t="s">
        <v>40</v>
      </c>
      <c r="G154" s="17" t="s">
        <v>24</v>
      </c>
      <c r="H154" s="18">
        <f>ROUND(RAND()*4+6,1)</f>
      </c>
      <c r="I154" s="17" t="s">
        <v>41</v>
      </c>
      <c r="J154" s="19">
        <f>ROUND(77*1,0)&amp;"%"</f>
      </c>
    </row>
    <row x14ac:dyDescent="0.25" r="155" customHeight="1" ht="17.25">
      <c r="A155" s="20" t="s">
        <v>10995</v>
      </c>
      <c r="B155" s="20" t="s">
        <v>270</v>
      </c>
      <c r="C155" s="20" t="s">
        <v>133</v>
      </c>
      <c r="D155" s="20" t="s">
        <v>67</v>
      </c>
      <c r="E155" s="21">
        <f>ROUND(7737*1.05,2)</f>
      </c>
      <c r="F155" s="20" t="s">
        <v>44</v>
      </c>
      <c r="G155" s="20" t="s">
        <v>30</v>
      </c>
      <c r="H155" s="21">
        <f>ROUND(RAND()*4+6,1)</f>
      </c>
      <c r="I155" s="20" t="s">
        <v>45</v>
      </c>
      <c r="J155" s="23">
        <f>ROUND(72*1,0)&amp;"%"</f>
      </c>
    </row>
    <row x14ac:dyDescent="0.25" r="156" customHeight="1" ht="17.25">
      <c r="A156" s="17" t="s">
        <v>10996</v>
      </c>
      <c r="B156" s="17" t="s">
        <v>272</v>
      </c>
      <c r="C156" s="17" t="s">
        <v>133</v>
      </c>
      <c r="D156" s="17" t="s">
        <v>16</v>
      </c>
      <c r="E156" s="18">
        <f>ROUND(8509*1.05,2)</f>
      </c>
      <c r="F156" s="17" t="s">
        <v>48</v>
      </c>
      <c r="G156" s="17" t="s">
        <v>18</v>
      </c>
      <c r="H156" s="18">
        <f>ROUND(RAND()*4+6,1)</f>
      </c>
      <c r="I156" s="17" t="s">
        <v>19</v>
      </c>
      <c r="J156" s="19">
        <f>ROUND(83*1,0)&amp;"%"</f>
      </c>
    </row>
    <row x14ac:dyDescent="0.25" r="157" customHeight="1" ht="17.25">
      <c r="A157" s="20" t="s">
        <v>10997</v>
      </c>
      <c r="B157" s="20" t="s">
        <v>274</v>
      </c>
      <c r="C157" s="20" t="s">
        <v>133</v>
      </c>
      <c r="D157" s="20" t="s">
        <v>22</v>
      </c>
      <c r="E157" s="21">
        <f>ROUND(8594*1.05,2)</f>
      </c>
      <c r="F157" s="20" t="s">
        <v>51</v>
      </c>
      <c r="G157" s="20" t="s">
        <v>24</v>
      </c>
      <c r="H157" s="21">
        <f>ROUND(RAND()*4+6,1)</f>
      </c>
      <c r="I157" s="20" t="s">
        <v>25</v>
      </c>
      <c r="J157" s="23">
        <f>ROUND(68*1,0)&amp;"%"</f>
      </c>
    </row>
    <row x14ac:dyDescent="0.25" r="158" customHeight="1" ht="17.25">
      <c r="A158" s="24" t="s">
        <v>275</v>
      </c>
      <c r="B158" s="24"/>
      <c r="C158" s="24"/>
      <c r="D158" s="24"/>
      <c r="E158" s="25">
        <v>8</v>
      </c>
      <c r="F158" s="9"/>
      <c r="G158" s="9"/>
      <c r="H158" s="10"/>
      <c r="I158" s="9"/>
      <c r="J158" s="9"/>
    </row>
    <row x14ac:dyDescent="0.25" r="159" customHeight="1" ht="17.25">
      <c r="A159" s="7"/>
      <c r="B159" s="7"/>
      <c r="C159" s="7"/>
      <c r="D159" s="7"/>
      <c r="E159" s="8"/>
      <c r="F159" s="9"/>
      <c r="G159" s="9"/>
      <c r="H159" s="10"/>
      <c r="I159" s="9"/>
      <c r="J159" s="9"/>
    </row>
    <row x14ac:dyDescent="0.25" r="160" customHeight="1" ht="17.25">
      <c r="A160" s="11" t="s">
        <v>10998</v>
      </c>
      <c r="B160" s="11"/>
      <c r="C160" s="11"/>
      <c r="D160" s="11"/>
      <c r="E160" s="12"/>
      <c r="F160" s="11"/>
      <c r="G160" s="11"/>
      <c r="H160" s="13"/>
      <c r="I160" s="11"/>
      <c r="J160" s="11"/>
    </row>
    <row x14ac:dyDescent="0.25" r="161" customHeight="1" ht="17.25">
      <c r="A161" s="14" t="s">
        <v>3</v>
      </c>
      <c r="B161" s="14" t="s">
        <v>4</v>
      </c>
      <c r="C161" s="14" t="s">
        <v>5</v>
      </c>
      <c r="D161" s="14" t="s">
        <v>6</v>
      </c>
      <c r="E161" s="15" t="s">
        <v>7</v>
      </c>
      <c r="F161" s="14" t="s">
        <v>8</v>
      </c>
      <c r="G161" s="14" t="s">
        <v>9</v>
      </c>
      <c r="H161" s="16" t="s">
        <v>10</v>
      </c>
      <c r="I161" s="14" t="s">
        <v>11</v>
      </c>
      <c r="J161" s="14" t="s">
        <v>12</v>
      </c>
    </row>
    <row x14ac:dyDescent="0.25" r="162" customHeight="1" ht="17.25">
      <c r="A162" s="17" t="s">
        <v>10999</v>
      </c>
      <c r="B162" s="17" t="s">
        <v>278</v>
      </c>
      <c r="C162" s="17" t="s">
        <v>152</v>
      </c>
      <c r="D162" s="17" t="s">
        <v>16</v>
      </c>
      <c r="E162" s="18">
        <f>ROUND(12830*1.05,2)</f>
      </c>
      <c r="F162" s="17" t="s">
        <v>17</v>
      </c>
      <c r="G162" s="17" t="s">
        <v>18</v>
      </c>
      <c r="H162" s="18">
        <f>ROUND(RAND()*4+6,1)</f>
      </c>
      <c r="I162" s="17" t="s">
        <v>19</v>
      </c>
      <c r="J162" s="19">
        <f>ROUND(68*1,0)&amp;"%"</f>
      </c>
    </row>
    <row x14ac:dyDescent="0.25" r="163" customHeight="1" ht="17.25">
      <c r="A163" s="20" t="s">
        <v>11000</v>
      </c>
      <c r="B163" s="20" t="s">
        <v>280</v>
      </c>
      <c r="C163" s="20" t="s">
        <v>152</v>
      </c>
      <c r="D163" s="20" t="s">
        <v>22</v>
      </c>
      <c r="E163" s="21">
        <f>ROUND(7130*1.05,2)</f>
      </c>
      <c r="F163" s="20" t="s">
        <v>23</v>
      </c>
      <c r="G163" s="20" t="s">
        <v>24</v>
      </c>
      <c r="H163" s="21">
        <f>ROUND(RAND()*4+6,1)</f>
      </c>
      <c r="I163" s="20" t="s">
        <v>25</v>
      </c>
      <c r="J163" s="23">
        <f>ROUND(60*1,0)&amp;"%"</f>
      </c>
    </row>
    <row x14ac:dyDescent="0.25" r="164" customHeight="1" ht="17.25">
      <c r="A164" s="17" t="s">
        <v>11001</v>
      </c>
      <c r="B164" s="17" t="s">
        <v>282</v>
      </c>
      <c r="C164" s="17" t="s">
        <v>152</v>
      </c>
      <c r="D164" s="17" t="s">
        <v>28</v>
      </c>
      <c r="E164" s="18">
        <f>ROUND(4985*1.05,2)</f>
      </c>
      <c r="F164" s="17" t="s">
        <v>29</v>
      </c>
      <c r="G164" s="17" t="s">
        <v>30</v>
      </c>
      <c r="H164" s="18">
        <f>ROUND(RAND()*4+6,1)</f>
      </c>
      <c r="I164" s="17" t="s">
        <v>31</v>
      </c>
      <c r="J164" s="19">
        <f>ROUND(97*1,0)&amp;"%"</f>
      </c>
    </row>
    <row x14ac:dyDescent="0.25" r="165" customHeight="1" ht="17.25">
      <c r="A165" s="20" t="s">
        <v>11002</v>
      </c>
      <c r="B165" s="20" t="s">
        <v>284</v>
      </c>
      <c r="C165" s="20" t="s">
        <v>152</v>
      </c>
      <c r="D165" s="20" t="s">
        <v>34</v>
      </c>
      <c r="E165" s="21">
        <f>ROUND(6824*1.05,2)</f>
      </c>
      <c r="F165" s="20" t="s">
        <v>35</v>
      </c>
      <c r="G165" s="20" t="s">
        <v>18</v>
      </c>
      <c r="H165" s="21">
        <f>ROUND(RAND()*4+6,1)</f>
      </c>
      <c r="I165" s="20" t="s">
        <v>36</v>
      </c>
      <c r="J165" s="23">
        <f>ROUND(98*1,0)&amp;"%"</f>
      </c>
    </row>
    <row x14ac:dyDescent="0.25" r="166" customHeight="1" ht="17.25">
      <c r="A166" s="17" t="s">
        <v>11003</v>
      </c>
      <c r="B166" s="17" t="s">
        <v>286</v>
      </c>
      <c r="C166" s="17" t="s">
        <v>152</v>
      </c>
      <c r="D166" s="17" t="s">
        <v>39</v>
      </c>
      <c r="E166" s="18">
        <f>ROUND(12257*1.05,2)</f>
      </c>
      <c r="F166" s="17" t="s">
        <v>40</v>
      </c>
      <c r="G166" s="17" t="s">
        <v>24</v>
      </c>
      <c r="H166" s="18">
        <f>ROUND(RAND()*4+6,1)</f>
      </c>
      <c r="I166" s="17" t="s">
        <v>41</v>
      </c>
      <c r="J166" s="19">
        <f>ROUND(95*1,0)&amp;"%"</f>
      </c>
    </row>
    <row x14ac:dyDescent="0.25" r="167" customHeight="1" ht="17.25">
      <c r="A167" s="20" t="s">
        <v>11004</v>
      </c>
      <c r="B167" s="20" t="s">
        <v>288</v>
      </c>
      <c r="C167" s="20" t="s">
        <v>152</v>
      </c>
      <c r="D167" s="20" t="s">
        <v>67</v>
      </c>
      <c r="E167" s="21">
        <f>ROUND(13001*1.05,2)</f>
      </c>
      <c r="F167" s="20" t="s">
        <v>44</v>
      </c>
      <c r="G167" s="20" t="s">
        <v>30</v>
      </c>
      <c r="H167" s="21">
        <f>ROUND(RAND()*4+6,1)</f>
      </c>
      <c r="I167" s="20" t="s">
        <v>45</v>
      </c>
      <c r="J167" s="23">
        <f>ROUND(85*1,0)&amp;"%"</f>
      </c>
    </row>
    <row x14ac:dyDescent="0.25" r="168" customHeight="1" ht="17.25">
      <c r="A168" s="17" t="s">
        <v>11005</v>
      </c>
      <c r="B168" s="17" t="s">
        <v>290</v>
      </c>
      <c r="C168" s="17" t="s">
        <v>152</v>
      </c>
      <c r="D168" s="17" t="s">
        <v>16</v>
      </c>
      <c r="E168" s="18">
        <f>ROUND(13006*1.05,2)</f>
      </c>
      <c r="F168" s="17" t="s">
        <v>48</v>
      </c>
      <c r="G168" s="17" t="s">
        <v>18</v>
      </c>
      <c r="H168" s="18">
        <f>ROUND(RAND()*4+6,1)</f>
      </c>
      <c r="I168" s="17" t="s">
        <v>19</v>
      </c>
      <c r="J168" s="19">
        <f>ROUND(70*1,0)&amp;"%"</f>
      </c>
    </row>
    <row x14ac:dyDescent="0.25" r="169" customHeight="1" ht="17.25">
      <c r="A169" s="20" t="s">
        <v>11006</v>
      </c>
      <c r="B169" s="20" t="s">
        <v>292</v>
      </c>
      <c r="C169" s="20" t="s">
        <v>152</v>
      </c>
      <c r="D169" s="20" t="s">
        <v>22</v>
      </c>
      <c r="E169" s="21">
        <f>ROUND(14422*1.05,2)</f>
      </c>
      <c r="F169" s="20" t="s">
        <v>51</v>
      </c>
      <c r="G169" s="20" t="s">
        <v>24</v>
      </c>
      <c r="H169" s="21">
        <f>ROUND(RAND()*4+6,1)</f>
      </c>
      <c r="I169" s="20" t="s">
        <v>25</v>
      </c>
      <c r="J169" s="23">
        <f>ROUND(70*1,0)&amp;"%"</f>
      </c>
    </row>
    <row x14ac:dyDescent="0.25" r="170" customHeight="1" ht="17.25">
      <c r="A170" s="24" t="s">
        <v>293</v>
      </c>
      <c r="B170" s="24"/>
      <c r="C170" s="24"/>
      <c r="D170" s="24"/>
      <c r="E170" s="25">
        <v>8</v>
      </c>
      <c r="F170" s="9"/>
      <c r="G170" s="9"/>
      <c r="H170" s="10"/>
      <c r="I170" s="9"/>
      <c r="J170" s="9"/>
    </row>
    <row x14ac:dyDescent="0.25" r="171" customHeight="1" ht="17.25">
      <c r="A171" s="7"/>
      <c r="B171" s="7"/>
      <c r="C171" s="7"/>
      <c r="D171" s="7"/>
      <c r="E171" s="8"/>
      <c r="F171" s="9"/>
      <c r="G171" s="9"/>
      <c r="H171" s="10"/>
      <c r="I171" s="9"/>
      <c r="J171" s="9"/>
    </row>
    <row x14ac:dyDescent="0.25" r="172" customHeight="1" ht="17.25">
      <c r="A172" s="11" t="s">
        <v>11007</v>
      </c>
      <c r="B172" s="11"/>
      <c r="C172" s="11"/>
      <c r="D172" s="11"/>
      <c r="E172" s="12"/>
      <c r="F172" s="11"/>
      <c r="G172" s="11"/>
      <c r="H172" s="13"/>
      <c r="I172" s="11"/>
      <c r="J172" s="11"/>
    </row>
    <row x14ac:dyDescent="0.25" r="173" customHeight="1" ht="17.25">
      <c r="A173" s="14" t="s">
        <v>3</v>
      </c>
      <c r="B173" s="14" t="s">
        <v>4</v>
      </c>
      <c r="C173" s="14" t="s">
        <v>5</v>
      </c>
      <c r="D173" s="14" t="s">
        <v>6</v>
      </c>
      <c r="E173" s="15" t="s">
        <v>7</v>
      </c>
      <c r="F173" s="14" t="s">
        <v>8</v>
      </c>
      <c r="G173" s="14" t="s">
        <v>9</v>
      </c>
      <c r="H173" s="16" t="s">
        <v>10</v>
      </c>
      <c r="I173" s="14" t="s">
        <v>11</v>
      </c>
      <c r="J173" s="14" t="s">
        <v>12</v>
      </c>
    </row>
    <row x14ac:dyDescent="0.25" r="174" customHeight="1" ht="17.25">
      <c r="A174" s="17" t="s">
        <v>11008</v>
      </c>
      <c r="B174" s="17" t="s">
        <v>296</v>
      </c>
      <c r="C174" s="17" t="s">
        <v>15</v>
      </c>
      <c r="D174" s="17" t="s">
        <v>16</v>
      </c>
      <c r="E174" s="18">
        <f>ROUND(4027*1.05,2)</f>
      </c>
      <c r="F174" s="17" t="s">
        <v>17</v>
      </c>
      <c r="G174" s="17" t="s">
        <v>18</v>
      </c>
      <c r="H174" s="18">
        <f>ROUND(RAND()*4+6,1)</f>
      </c>
      <c r="I174" s="17" t="s">
        <v>19</v>
      </c>
      <c r="J174" s="19">
        <f>ROUND(70*1,0)&amp;"%"</f>
      </c>
    </row>
    <row x14ac:dyDescent="0.25" r="175" customHeight="1" ht="17.25">
      <c r="A175" s="20" t="s">
        <v>11009</v>
      </c>
      <c r="B175" s="20" t="s">
        <v>298</v>
      </c>
      <c r="C175" s="20" t="s">
        <v>15</v>
      </c>
      <c r="D175" s="20" t="s">
        <v>22</v>
      </c>
      <c r="E175" s="21">
        <f>ROUND(4948*1.05,2)</f>
      </c>
      <c r="F175" s="20" t="s">
        <v>23</v>
      </c>
      <c r="G175" s="20" t="s">
        <v>24</v>
      </c>
      <c r="H175" s="21">
        <f>ROUND(RAND()*4+6,1)</f>
      </c>
      <c r="I175" s="20" t="s">
        <v>25</v>
      </c>
      <c r="J175" s="23">
        <f>ROUND(76*1,0)&amp;"%"</f>
      </c>
    </row>
    <row x14ac:dyDescent="0.25" r="176" customHeight="1" ht="17.25">
      <c r="A176" s="17" t="s">
        <v>11010</v>
      </c>
      <c r="B176" s="17" t="s">
        <v>300</v>
      </c>
      <c r="C176" s="17" t="s">
        <v>15</v>
      </c>
      <c r="D176" s="17" t="s">
        <v>28</v>
      </c>
      <c r="E176" s="26">
        <f>ROUND(16240*1.05,2)</f>
      </c>
      <c r="F176" s="17" t="s">
        <v>29</v>
      </c>
      <c r="G176" s="17" t="s">
        <v>30</v>
      </c>
      <c r="H176" s="18">
        <f>ROUND(RAND()*4+6,1)</f>
      </c>
      <c r="I176" s="17" t="s">
        <v>31</v>
      </c>
      <c r="J176" s="19">
        <f>ROUND(86*1,0)&amp;"%"</f>
      </c>
    </row>
    <row x14ac:dyDescent="0.25" r="177" customHeight="1" ht="17.25">
      <c r="A177" s="20" t="s">
        <v>11011</v>
      </c>
      <c r="B177" s="20" t="s">
        <v>302</v>
      </c>
      <c r="C177" s="20" t="s">
        <v>15</v>
      </c>
      <c r="D177" s="20" t="s">
        <v>34</v>
      </c>
      <c r="E177" s="21">
        <f>ROUND(11823*1.05,2)</f>
      </c>
      <c r="F177" s="20" t="s">
        <v>35</v>
      </c>
      <c r="G177" s="20" t="s">
        <v>18</v>
      </c>
      <c r="H177" s="21">
        <f>ROUND(RAND()*4+6,1)</f>
      </c>
      <c r="I177" s="20" t="s">
        <v>36</v>
      </c>
      <c r="J177" s="23">
        <f>ROUND(100*1,0)&amp;"%"</f>
      </c>
    </row>
    <row x14ac:dyDescent="0.25" r="178" customHeight="1" ht="17.25">
      <c r="A178" s="17" t="s">
        <v>11012</v>
      </c>
      <c r="B178" s="17" t="s">
        <v>304</v>
      </c>
      <c r="C178" s="17" t="s">
        <v>15</v>
      </c>
      <c r="D178" s="17" t="s">
        <v>39</v>
      </c>
      <c r="E178" s="26">
        <f>ROUND(4980*1.05,2)</f>
      </c>
      <c r="F178" s="17" t="s">
        <v>40</v>
      </c>
      <c r="G178" s="17" t="s">
        <v>24</v>
      </c>
      <c r="H178" s="18">
        <f>ROUND(RAND()*4+6,1)</f>
      </c>
      <c r="I178" s="17" t="s">
        <v>41</v>
      </c>
      <c r="J178" s="19">
        <f>ROUND(75*1,0)&amp;"%"</f>
      </c>
    </row>
    <row x14ac:dyDescent="0.25" r="179" customHeight="1" ht="17.25">
      <c r="A179" s="20" t="s">
        <v>11013</v>
      </c>
      <c r="B179" s="20" t="s">
        <v>306</v>
      </c>
      <c r="C179" s="20" t="s">
        <v>15</v>
      </c>
      <c r="D179" s="20" t="s">
        <v>67</v>
      </c>
      <c r="E179" s="21">
        <f>ROUND(15002*1.05,2)</f>
      </c>
      <c r="F179" s="20" t="s">
        <v>44</v>
      </c>
      <c r="G179" s="20" t="s">
        <v>30</v>
      </c>
      <c r="H179" s="21">
        <f>ROUND(RAND()*4+6,1)</f>
      </c>
      <c r="I179" s="20" t="s">
        <v>45</v>
      </c>
      <c r="J179" s="23">
        <f>ROUND(81*1,0)&amp;"%"</f>
      </c>
    </row>
    <row x14ac:dyDescent="0.25" r="180" customHeight="1" ht="17.25">
      <c r="A180" s="17" t="s">
        <v>11014</v>
      </c>
      <c r="B180" s="17" t="s">
        <v>308</v>
      </c>
      <c r="C180" s="17" t="s">
        <v>15</v>
      </c>
      <c r="D180" s="17" t="s">
        <v>16</v>
      </c>
      <c r="E180" s="18">
        <f>ROUND(15677*1.05,2)</f>
      </c>
      <c r="F180" s="17" t="s">
        <v>48</v>
      </c>
      <c r="G180" s="17" t="s">
        <v>18</v>
      </c>
      <c r="H180" s="18">
        <f>ROUND(RAND()*4+6,1)</f>
      </c>
      <c r="I180" s="17" t="s">
        <v>19</v>
      </c>
      <c r="J180" s="19">
        <f>ROUND(99*1,0)&amp;"%"</f>
      </c>
    </row>
    <row x14ac:dyDescent="0.25" r="181" customHeight="1" ht="17.25">
      <c r="A181" s="20" t="s">
        <v>11015</v>
      </c>
      <c r="B181" s="20" t="s">
        <v>310</v>
      </c>
      <c r="C181" s="20" t="s">
        <v>15</v>
      </c>
      <c r="D181" s="20" t="s">
        <v>22</v>
      </c>
      <c r="E181" s="21">
        <f>ROUND(6194*1.05,2)</f>
      </c>
      <c r="F181" s="20" t="s">
        <v>51</v>
      </c>
      <c r="G181" s="20" t="s">
        <v>24</v>
      </c>
      <c r="H181" s="21">
        <f>ROUND(RAND()*4+6,1)</f>
      </c>
      <c r="I181" s="20" t="s">
        <v>25</v>
      </c>
      <c r="J181" s="23">
        <f>ROUND(62*1,0)&amp;"%"</f>
      </c>
    </row>
    <row x14ac:dyDescent="0.25" r="182" customHeight="1" ht="17.25">
      <c r="A182" s="24" t="s">
        <v>311</v>
      </c>
      <c r="B182" s="24"/>
      <c r="C182" s="24"/>
      <c r="D182" s="24"/>
      <c r="E182" s="25">
        <v>8</v>
      </c>
      <c r="F182" s="9"/>
      <c r="G182" s="9"/>
      <c r="H182" s="10"/>
      <c r="I182" s="9"/>
      <c r="J182" s="9"/>
    </row>
    <row x14ac:dyDescent="0.25" r="183" customHeight="1" ht="17.25">
      <c r="A183" s="7"/>
      <c r="B183" s="7"/>
      <c r="C183" s="7"/>
      <c r="D183" s="7"/>
      <c r="E183" s="8"/>
      <c r="F183" s="9"/>
      <c r="G183" s="9"/>
      <c r="H183" s="10"/>
      <c r="I183" s="9"/>
      <c r="J183" s="9"/>
    </row>
    <row x14ac:dyDescent="0.25" r="184" customHeight="1" ht="17.25">
      <c r="A184" s="11" t="s">
        <v>11016</v>
      </c>
      <c r="B184" s="11"/>
      <c r="C184" s="11"/>
      <c r="D184" s="11"/>
      <c r="E184" s="12"/>
      <c r="F184" s="11"/>
      <c r="G184" s="11"/>
      <c r="H184" s="13"/>
      <c r="I184" s="11"/>
      <c r="J184" s="11"/>
    </row>
    <row x14ac:dyDescent="0.25" r="185" customHeight="1" ht="17.25">
      <c r="A185" s="14" t="s">
        <v>3</v>
      </c>
      <c r="B185" s="14" t="s">
        <v>4</v>
      </c>
      <c r="C185" s="14" t="s">
        <v>5</v>
      </c>
      <c r="D185" s="14" t="s">
        <v>6</v>
      </c>
      <c r="E185" s="15" t="s">
        <v>7</v>
      </c>
      <c r="F185" s="14" t="s">
        <v>8</v>
      </c>
      <c r="G185" s="14" t="s">
        <v>9</v>
      </c>
      <c r="H185" s="16" t="s">
        <v>10</v>
      </c>
      <c r="I185" s="14" t="s">
        <v>11</v>
      </c>
      <c r="J185" s="14" t="s">
        <v>12</v>
      </c>
    </row>
    <row x14ac:dyDescent="0.25" r="186" customHeight="1" ht="17.25">
      <c r="A186" s="17" t="s">
        <v>11017</v>
      </c>
      <c r="B186" s="17" t="s">
        <v>314</v>
      </c>
      <c r="C186" s="17" t="s">
        <v>56</v>
      </c>
      <c r="D186" s="17" t="s">
        <v>16</v>
      </c>
      <c r="E186" s="18">
        <f>ROUND(13138*1.05,2)</f>
      </c>
      <c r="F186" s="17" t="s">
        <v>17</v>
      </c>
      <c r="G186" s="17" t="s">
        <v>18</v>
      </c>
      <c r="H186" s="18">
        <f>ROUND(RAND()*4+6,1)</f>
      </c>
      <c r="I186" s="17" t="s">
        <v>19</v>
      </c>
      <c r="J186" s="19">
        <f>ROUND(91*1,0)&amp;"%"</f>
      </c>
    </row>
    <row x14ac:dyDescent="0.25" r="187" customHeight="1" ht="17.25">
      <c r="A187" s="20" t="s">
        <v>11018</v>
      </c>
      <c r="B187" s="20" t="s">
        <v>316</v>
      </c>
      <c r="C187" s="20" t="s">
        <v>56</v>
      </c>
      <c r="D187" s="20" t="s">
        <v>22</v>
      </c>
      <c r="E187" s="21">
        <f>ROUND(15929*1.05,2)</f>
      </c>
      <c r="F187" s="20" t="s">
        <v>23</v>
      </c>
      <c r="G187" s="20" t="s">
        <v>24</v>
      </c>
      <c r="H187" s="21">
        <f>ROUND(RAND()*4+6,1)</f>
      </c>
      <c r="I187" s="20" t="s">
        <v>25</v>
      </c>
      <c r="J187" s="23">
        <f>ROUND(65*1,0)&amp;"%"</f>
      </c>
    </row>
    <row x14ac:dyDescent="0.25" r="188" customHeight="1" ht="17.25">
      <c r="A188" s="17" t="s">
        <v>11019</v>
      </c>
      <c r="B188" s="17" t="s">
        <v>318</v>
      </c>
      <c r="C188" s="17" t="s">
        <v>56</v>
      </c>
      <c r="D188" s="17" t="s">
        <v>28</v>
      </c>
      <c r="E188" s="18">
        <f>ROUND(8623*1.05,2)</f>
      </c>
      <c r="F188" s="17" t="s">
        <v>29</v>
      </c>
      <c r="G188" s="17" t="s">
        <v>30</v>
      </c>
      <c r="H188" s="18">
        <f>ROUND(RAND()*4+6,1)</f>
      </c>
      <c r="I188" s="17" t="s">
        <v>31</v>
      </c>
      <c r="J188" s="19">
        <f>ROUND(99*1,0)&amp;"%"</f>
      </c>
    </row>
    <row x14ac:dyDescent="0.25" r="189" customHeight="1" ht="17.25">
      <c r="A189" s="20" t="s">
        <v>11020</v>
      </c>
      <c r="B189" s="20" t="s">
        <v>320</v>
      </c>
      <c r="C189" s="20" t="s">
        <v>56</v>
      </c>
      <c r="D189" s="20" t="s">
        <v>34</v>
      </c>
      <c r="E189" s="21">
        <f>ROUND(15808*1.05,2)</f>
      </c>
      <c r="F189" s="20" t="s">
        <v>35</v>
      </c>
      <c r="G189" s="20" t="s">
        <v>18</v>
      </c>
      <c r="H189" s="22">
        <f>ROUND(RAND()*4+6,1)</f>
      </c>
      <c r="I189" s="20" t="s">
        <v>36</v>
      </c>
      <c r="J189" s="23">
        <f>ROUND(96*1,0)&amp;"%"</f>
      </c>
    </row>
    <row x14ac:dyDescent="0.25" r="190" customHeight="1" ht="17.25">
      <c r="A190" s="17" t="s">
        <v>11021</v>
      </c>
      <c r="B190" s="17" t="s">
        <v>322</v>
      </c>
      <c r="C190" s="17" t="s">
        <v>56</v>
      </c>
      <c r="D190" s="17" t="s">
        <v>39</v>
      </c>
      <c r="E190" s="18">
        <f>ROUND(10093*1.05,2)</f>
      </c>
      <c r="F190" s="17" t="s">
        <v>40</v>
      </c>
      <c r="G190" s="17" t="s">
        <v>24</v>
      </c>
      <c r="H190" s="18">
        <f>ROUND(RAND()*4+6,1)</f>
      </c>
      <c r="I190" s="17" t="s">
        <v>41</v>
      </c>
      <c r="J190" s="19">
        <f>ROUND(80*1,0)&amp;"%"</f>
      </c>
    </row>
    <row x14ac:dyDescent="0.25" r="191" customHeight="1" ht="17.25">
      <c r="A191" s="20" t="s">
        <v>11022</v>
      </c>
      <c r="B191" s="20" t="s">
        <v>324</v>
      </c>
      <c r="C191" s="20" t="s">
        <v>56</v>
      </c>
      <c r="D191" s="20" t="s">
        <v>67</v>
      </c>
      <c r="E191" s="21">
        <f>ROUND(4414*1.05,2)</f>
      </c>
      <c r="F191" s="20" t="s">
        <v>44</v>
      </c>
      <c r="G191" s="20" t="s">
        <v>30</v>
      </c>
      <c r="H191" s="21">
        <f>ROUND(RAND()*4+6,1)</f>
      </c>
      <c r="I191" s="20" t="s">
        <v>45</v>
      </c>
      <c r="J191" s="23">
        <f>ROUND(88*1,0)&amp;"%"</f>
      </c>
    </row>
    <row x14ac:dyDescent="0.25" r="192" customHeight="1" ht="17.25">
      <c r="A192" s="17" t="s">
        <v>11023</v>
      </c>
      <c r="B192" s="17" t="s">
        <v>326</v>
      </c>
      <c r="C192" s="17" t="s">
        <v>56</v>
      </c>
      <c r="D192" s="17" t="s">
        <v>16</v>
      </c>
      <c r="E192" s="18">
        <f>ROUND(14765*1.05,2)</f>
      </c>
      <c r="F192" s="17" t="s">
        <v>48</v>
      </c>
      <c r="G192" s="17" t="s">
        <v>18</v>
      </c>
      <c r="H192" s="18">
        <f>ROUND(RAND()*4+6,1)</f>
      </c>
      <c r="I192" s="17" t="s">
        <v>19</v>
      </c>
      <c r="J192" s="19">
        <f>ROUND(83*1,0)&amp;"%"</f>
      </c>
    </row>
    <row x14ac:dyDescent="0.25" r="193" customHeight="1" ht="17.25">
      <c r="A193" s="20" t="s">
        <v>11024</v>
      </c>
      <c r="B193" s="20" t="s">
        <v>328</v>
      </c>
      <c r="C193" s="20" t="s">
        <v>56</v>
      </c>
      <c r="D193" s="20" t="s">
        <v>22</v>
      </c>
      <c r="E193" s="21">
        <f>ROUND(9472*1.05,2)</f>
      </c>
      <c r="F193" s="20" t="s">
        <v>51</v>
      </c>
      <c r="G193" s="20" t="s">
        <v>24</v>
      </c>
      <c r="H193" s="21">
        <f>ROUND(RAND()*4+6,1)</f>
      </c>
      <c r="I193" s="20" t="s">
        <v>25</v>
      </c>
      <c r="J193" s="23">
        <f>ROUND(75*1,0)&amp;"%"</f>
      </c>
    </row>
    <row x14ac:dyDescent="0.25" r="194" customHeight="1" ht="17.25">
      <c r="A194" s="24" t="s">
        <v>329</v>
      </c>
      <c r="B194" s="24"/>
      <c r="C194" s="24"/>
      <c r="D194" s="24"/>
      <c r="E194" s="25">
        <v>8</v>
      </c>
      <c r="F194" s="9"/>
      <c r="G194" s="9"/>
      <c r="H194" s="10"/>
      <c r="I194" s="9"/>
      <c r="J194" s="9"/>
    </row>
    <row x14ac:dyDescent="0.25" r="195" customHeight="1" ht="17.25">
      <c r="A195" s="7"/>
      <c r="B195" s="7"/>
      <c r="C195" s="7"/>
      <c r="D195" s="7"/>
      <c r="E195" s="8"/>
      <c r="F195" s="9"/>
      <c r="G195" s="9"/>
      <c r="H195" s="10"/>
      <c r="I195" s="9"/>
      <c r="J195" s="9"/>
    </row>
    <row x14ac:dyDescent="0.25" r="196" customHeight="1" ht="17.25">
      <c r="A196" s="11" t="s">
        <v>11025</v>
      </c>
      <c r="B196" s="11"/>
      <c r="C196" s="11"/>
      <c r="D196" s="11"/>
      <c r="E196" s="12"/>
      <c r="F196" s="11"/>
      <c r="G196" s="11"/>
      <c r="H196" s="13"/>
      <c r="I196" s="11"/>
      <c r="J196" s="11"/>
    </row>
    <row x14ac:dyDescent="0.25" r="197" customHeight="1" ht="17.25">
      <c r="A197" s="14" t="s">
        <v>3</v>
      </c>
      <c r="B197" s="14" t="s">
        <v>4</v>
      </c>
      <c r="C197" s="14" t="s">
        <v>5</v>
      </c>
      <c r="D197" s="14" t="s">
        <v>6</v>
      </c>
      <c r="E197" s="15" t="s">
        <v>7</v>
      </c>
      <c r="F197" s="14" t="s">
        <v>8</v>
      </c>
      <c r="G197" s="14" t="s">
        <v>9</v>
      </c>
      <c r="H197" s="16" t="s">
        <v>10</v>
      </c>
      <c r="I197" s="14" t="s">
        <v>11</v>
      </c>
      <c r="J197" s="14" t="s">
        <v>12</v>
      </c>
    </row>
    <row x14ac:dyDescent="0.25" r="198" customHeight="1" ht="17.25">
      <c r="A198" s="17" t="s">
        <v>11026</v>
      </c>
      <c r="B198" s="17" t="s">
        <v>332</v>
      </c>
      <c r="C198" s="17" t="s">
        <v>76</v>
      </c>
      <c r="D198" s="17" t="s">
        <v>16</v>
      </c>
      <c r="E198" s="18">
        <f>ROUND(14967*1.05,2)</f>
      </c>
      <c r="F198" s="17" t="s">
        <v>17</v>
      </c>
      <c r="G198" s="17" t="s">
        <v>18</v>
      </c>
      <c r="H198" s="18">
        <f>ROUND(RAND()*4+6,1)</f>
      </c>
      <c r="I198" s="17" t="s">
        <v>19</v>
      </c>
      <c r="J198" s="19">
        <f>ROUND(83*1,0)&amp;"%"</f>
      </c>
    </row>
    <row x14ac:dyDescent="0.25" r="199" customHeight="1" ht="17.25">
      <c r="A199" s="20" t="s">
        <v>11027</v>
      </c>
      <c r="B199" s="20" t="s">
        <v>334</v>
      </c>
      <c r="C199" s="20" t="s">
        <v>76</v>
      </c>
      <c r="D199" s="20" t="s">
        <v>22</v>
      </c>
      <c r="E199" s="21">
        <f>ROUND(11122*1.05,2)</f>
      </c>
      <c r="F199" s="20" t="s">
        <v>23</v>
      </c>
      <c r="G199" s="20" t="s">
        <v>24</v>
      </c>
      <c r="H199" s="21">
        <f>ROUND(RAND()*4+6,1)</f>
      </c>
      <c r="I199" s="20" t="s">
        <v>25</v>
      </c>
      <c r="J199" s="23">
        <f>ROUND(61*1,0)&amp;"%"</f>
      </c>
    </row>
    <row x14ac:dyDescent="0.25" r="200" customHeight="1" ht="17.25">
      <c r="A200" s="17" t="s">
        <v>11028</v>
      </c>
      <c r="B200" s="17" t="s">
        <v>336</v>
      </c>
      <c r="C200" s="17" t="s">
        <v>76</v>
      </c>
      <c r="D200" s="17" t="s">
        <v>28</v>
      </c>
      <c r="E200" s="18">
        <f>ROUND(11203*1.05,2)</f>
      </c>
      <c r="F200" s="17" t="s">
        <v>29</v>
      </c>
      <c r="G200" s="17" t="s">
        <v>30</v>
      </c>
      <c r="H200" s="18">
        <f>ROUND(RAND()*4+6,1)</f>
      </c>
      <c r="I200" s="17" t="s">
        <v>31</v>
      </c>
      <c r="J200" s="19">
        <f>ROUND(75*1,0)&amp;"%"</f>
      </c>
    </row>
    <row x14ac:dyDescent="0.25" r="201" customHeight="1" ht="17.25">
      <c r="A201" s="20" t="s">
        <v>11029</v>
      </c>
      <c r="B201" s="20" t="s">
        <v>338</v>
      </c>
      <c r="C201" s="20" t="s">
        <v>76</v>
      </c>
      <c r="D201" s="20" t="s">
        <v>34</v>
      </c>
      <c r="E201" s="21">
        <f>ROUND(11661*1.05,2)</f>
      </c>
      <c r="F201" s="20" t="s">
        <v>35</v>
      </c>
      <c r="G201" s="20" t="s">
        <v>18</v>
      </c>
      <c r="H201" s="21">
        <f>ROUND(RAND()*4+6,1)</f>
      </c>
      <c r="I201" s="20" t="s">
        <v>36</v>
      </c>
      <c r="J201" s="23">
        <f>ROUND(77*1,0)&amp;"%"</f>
      </c>
    </row>
    <row x14ac:dyDescent="0.25" r="202" customHeight="1" ht="17.25">
      <c r="A202" s="17" t="s">
        <v>11030</v>
      </c>
      <c r="B202" s="17" t="s">
        <v>340</v>
      </c>
      <c r="C202" s="17" t="s">
        <v>76</v>
      </c>
      <c r="D202" s="17" t="s">
        <v>39</v>
      </c>
      <c r="E202" s="18">
        <f>ROUND(6818*1.05,2)</f>
      </c>
      <c r="F202" s="17" t="s">
        <v>40</v>
      </c>
      <c r="G202" s="17" t="s">
        <v>24</v>
      </c>
      <c r="H202" s="18">
        <f>ROUND(RAND()*4+6,1)</f>
      </c>
      <c r="I202" s="17" t="s">
        <v>41</v>
      </c>
      <c r="J202" s="19">
        <f>ROUND(74*1,0)&amp;"%"</f>
      </c>
    </row>
    <row x14ac:dyDescent="0.25" r="203" customHeight="1" ht="17.25">
      <c r="A203" s="20" t="s">
        <v>11031</v>
      </c>
      <c r="B203" s="20" t="s">
        <v>342</v>
      </c>
      <c r="C203" s="20" t="s">
        <v>76</v>
      </c>
      <c r="D203" s="20" t="s">
        <v>67</v>
      </c>
      <c r="E203" s="21">
        <f>ROUND(16657*1.05,2)</f>
      </c>
      <c r="F203" s="20" t="s">
        <v>44</v>
      </c>
      <c r="G203" s="20" t="s">
        <v>30</v>
      </c>
      <c r="H203" s="21">
        <f>ROUND(RAND()*4+6,1)</f>
      </c>
      <c r="I203" s="20" t="s">
        <v>45</v>
      </c>
      <c r="J203" s="23">
        <f>ROUND(83*1,0)&amp;"%"</f>
      </c>
    </row>
    <row x14ac:dyDescent="0.25" r="204" customHeight="1" ht="17.25">
      <c r="A204" s="17" t="s">
        <v>11032</v>
      </c>
      <c r="B204" s="17" t="s">
        <v>344</v>
      </c>
      <c r="C204" s="17" t="s">
        <v>76</v>
      </c>
      <c r="D204" s="17" t="s">
        <v>16</v>
      </c>
      <c r="E204" s="18">
        <f>ROUND(14149*1.05,2)</f>
      </c>
      <c r="F204" s="17" t="s">
        <v>48</v>
      </c>
      <c r="G204" s="17" t="s">
        <v>18</v>
      </c>
      <c r="H204" s="18">
        <f>ROUND(RAND()*4+6,1)</f>
      </c>
      <c r="I204" s="17" t="s">
        <v>19</v>
      </c>
      <c r="J204" s="19">
        <f>ROUND(95*1,0)&amp;"%"</f>
      </c>
    </row>
    <row x14ac:dyDescent="0.25" r="205" customHeight="1" ht="17.25">
      <c r="A205" s="20" t="s">
        <v>11033</v>
      </c>
      <c r="B205" s="20" t="s">
        <v>346</v>
      </c>
      <c r="C205" s="20" t="s">
        <v>76</v>
      </c>
      <c r="D205" s="20" t="s">
        <v>22</v>
      </c>
      <c r="E205" s="21">
        <f>ROUND(14958*1.05,2)</f>
      </c>
      <c r="F205" s="20" t="s">
        <v>51</v>
      </c>
      <c r="G205" s="20" t="s">
        <v>24</v>
      </c>
      <c r="H205" s="21">
        <f>ROUND(RAND()*4+6,1)</f>
      </c>
      <c r="I205" s="20" t="s">
        <v>25</v>
      </c>
      <c r="J205" s="23">
        <f>ROUND(73*1,0)&amp;"%"</f>
      </c>
    </row>
    <row x14ac:dyDescent="0.25" r="206" customHeight="1" ht="17.25">
      <c r="A206" s="24" t="s">
        <v>347</v>
      </c>
      <c r="B206" s="24"/>
      <c r="C206" s="24"/>
      <c r="D206" s="24"/>
      <c r="E206" s="25">
        <v>8</v>
      </c>
      <c r="F206" s="9"/>
      <c r="G206" s="9"/>
      <c r="H206" s="10"/>
      <c r="I206" s="9"/>
      <c r="J206" s="9"/>
    </row>
    <row x14ac:dyDescent="0.25" r="207" customHeight="1" ht="17.25">
      <c r="A207" s="7"/>
      <c r="B207" s="7"/>
      <c r="C207" s="7"/>
      <c r="D207" s="7"/>
      <c r="E207" s="8"/>
      <c r="F207" s="9"/>
      <c r="G207" s="9"/>
      <c r="H207" s="10"/>
      <c r="I207" s="9"/>
      <c r="J207" s="9"/>
    </row>
    <row x14ac:dyDescent="0.25" r="208" customHeight="1" ht="17.25">
      <c r="A208" s="11" t="s">
        <v>11034</v>
      </c>
      <c r="B208" s="11"/>
      <c r="C208" s="11"/>
      <c r="D208" s="11"/>
      <c r="E208" s="12"/>
      <c r="F208" s="11"/>
      <c r="G208" s="11"/>
      <c r="H208" s="13"/>
      <c r="I208" s="11"/>
      <c r="J208" s="11"/>
    </row>
    <row x14ac:dyDescent="0.25" r="209" customHeight="1" ht="17.25">
      <c r="A209" s="14" t="s">
        <v>3</v>
      </c>
      <c r="B209" s="14" t="s">
        <v>4</v>
      </c>
      <c r="C209" s="14" t="s">
        <v>5</v>
      </c>
      <c r="D209" s="14" t="s">
        <v>6</v>
      </c>
      <c r="E209" s="15" t="s">
        <v>7</v>
      </c>
      <c r="F209" s="14" t="s">
        <v>8</v>
      </c>
      <c r="G209" s="14" t="s">
        <v>9</v>
      </c>
      <c r="H209" s="16" t="s">
        <v>10</v>
      </c>
      <c r="I209" s="14" t="s">
        <v>11</v>
      </c>
      <c r="J209" s="14" t="s">
        <v>12</v>
      </c>
    </row>
    <row x14ac:dyDescent="0.25" r="210" customHeight="1" ht="17.25">
      <c r="A210" s="17" t="s">
        <v>11035</v>
      </c>
      <c r="B210" s="17" t="s">
        <v>350</v>
      </c>
      <c r="C210" s="17" t="s">
        <v>95</v>
      </c>
      <c r="D210" s="17" t="s">
        <v>16</v>
      </c>
      <c r="E210" s="18">
        <f>ROUND(14829*1.05,2)</f>
      </c>
      <c r="F210" s="17" t="s">
        <v>17</v>
      </c>
      <c r="G210" s="17" t="s">
        <v>18</v>
      </c>
      <c r="H210" s="18">
        <f>ROUND(RAND()*4+6,1)</f>
      </c>
      <c r="I210" s="17" t="s">
        <v>19</v>
      </c>
      <c r="J210" s="19">
        <f>ROUND(87*1,0)&amp;"%"</f>
      </c>
    </row>
    <row x14ac:dyDescent="0.25" r="211" customHeight="1" ht="17.25">
      <c r="A211" s="20" t="s">
        <v>11036</v>
      </c>
      <c r="B211" s="20" t="s">
        <v>352</v>
      </c>
      <c r="C211" s="20" t="s">
        <v>95</v>
      </c>
      <c r="D211" s="20" t="s">
        <v>22</v>
      </c>
      <c r="E211" s="21">
        <f>ROUND(12282*1.05,2)</f>
      </c>
      <c r="F211" s="20" t="s">
        <v>23</v>
      </c>
      <c r="G211" s="20" t="s">
        <v>24</v>
      </c>
      <c r="H211" s="22">
        <f>ROUND(RAND()*4+6,1)</f>
      </c>
      <c r="I211" s="20" t="s">
        <v>25</v>
      </c>
      <c r="J211" s="23">
        <f>ROUND(69*1,0)&amp;"%"</f>
      </c>
    </row>
    <row x14ac:dyDescent="0.25" r="212" customHeight="1" ht="17.25">
      <c r="A212" s="17" t="s">
        <v>11037</v>
      </c>
      <c r="B212" s="17" t="s">
        <v>354</v>
      </c>
      <c r="C212" s="17" t="s">
        <v>95</v>
      </c>
      <c r="D212" s="17" t="s">
        <v>28</v>
      </c>
      <c r="E212" s="18">
        <f>ROUND(7249*1.05,2)</f>
      </c>
      <c r="F212" s="17" t="s">
        <v>29</v>
      </c>
      <c r="G212" s="17" t="s">
        <v>30</v>
      </c>
      <c r="H212" s="18">
        <f>ROUND(RAND()*4+6,1)</f>
      </c>
      <c r="I212" s="17" t="s">
        <v>31</v>
      </c>
      <c r="J212" s="19">
        <f>ROUND(76*1,0)&amp;"%"</f>
      </c>
    </row>
    <row x14ac:dyDescent="0.25" r="213" customHeight="1" ht="17.25">
      <c r="A213" s="20" t="s">
        <v>11038</v>
      </c>
      <c r="B213" s="20" t="s">
        <v>356</v>
      </c>
      <c r="C213" s="20" t="s">
        <v>95</v>
      </c>
      <c r="D213" s="20" t="s">
        <v>34</v>
      </c>
      <c r="E213" s="21">
        <f>ROUND(5587*1.05,2)</f>
      </c>
      <c r="F213" s="20" t="s">
        <v>35</v>
      </c>
      <c r="G213" s="20" t="s">
        <v>18</v>
      </c>
      <c r="H213" s="21">
        <f>ROUND(RAND()*4+6,1)</f>
      </c>
      <c r="I213" s="20" t="s">
        <v>36</v>
      </c>
      <c r="J213" s="23">
        <f>ROUND(97*1,0)&amp;"%"</f>
      </c>
    </row>
    <row x14ac:dyDescent="0.25" r="214" customHeight="1" ht="17.25">
      <c r="A214" s="17" t="s">
        <v>11039</v>
      </c>
      <c r="B214" s="17" t="s">
        <v>358</v>
      </c>
      <c r="C214" s="17" t="s">
        <v>95</v>
      </c>
      <c r="D214" s="17" t="s">
        <v>39</v>
      </c>
      <c r="E214" s="18">
        <f>ROUND(15825*1.05,2)</f>
      </c>
      <c r="F214" s="17" t="s">
        <v>40</v>
      </c>
      <c r="G214" s="17" t="s">
        <v>24</v>
      </c>
      <c r="H214" s="18">
        <f>ROUND(RAND()*4+6,1)</f>
      </c>
      <c r="I214" s="17" t="s">
        <v>41</v>
      </c>
      <c r="J214" s="19">
        <f>ROUND(89*1,0)&amp;"%"</f>
      </c>
    </row>
    <row x14ac:dyDescent="0.25" r="215" customHeight="1" ht="17.25">
      <c r="A215" s="20" t="s">
        <v>11040</v>
      </c>
      <c r="B215" s="20" t="s">
        <v>360</v>
      </c>
      <c r="C215" s="20" t="s">
        <v>95</v>
      </c>
      <c r="D215" s="20" t="s">
        <v>67</v>
      </c>
      <c r="E215" s="21">
        <f>ROUND(6661*1.05,2)</f>
      </c>
      <c r="F215" s="20" t="s">
        <v>44</v>
      </c>
      <c r="G215" s="20" t="s">
        <v>30</v>
      </c>
      <c r="H215" s="22">
        <f>ROUND(RAND()*4+6,1)</f>
      </c>
      <c r="I215" s="20" t="s">
        <v>45</v>
      </c>
      <c r="J215" s="23">
        <f>ROUND(100*1,0)&amp;"%"</f>
      </c>
    </row>
    <row x14ac:dyDescent="0.25" r="216" customHeight="1" ht="17.25">
      <c r="A216" s="17" t="s">
        <v>11041</v>
      </c>
      <c r="B216" s="17" t="s">
        <v>362</v>
      </c>
      <c r="C216" s="17" t="s">
        <v>95</v>
      </c>
      <c r="D216" s="17" t="s">
        <v>16</v>
      </c>
      <c r="E216" s="18">
        <f>ROUND(9106*1.05,2)</f>
      </c>
      <c r="F216" s="17" t="s">
        <v>48</v>
      </c>
      <c r="G216" s="17" t="s">
        <v>18</v>
      </c>
      <c r="H216" s="18">
        <f>ROUND(RAND()*4+6,1)</f>
      </c>
      <c r="I216" s="17" t="s">
        <v>19</v>
      </c>
      <c r="J216" s="19">
        <f>ROUND(98*1,0)&amp;"%"</f>
      </c>
    </row>
    <row x14ac:dyDescent="0.25" r="217" customHeight="1" ht="17.25">
      <c r="A217" s="20" t="s">
        <v>11042</v>
      </c>
      <c r="B217" s="20" t="s">
        <v>364</v>
      </c>
      <c r="C217" s="20" t="s">
        <v>95</v>
      </c>
      <c r="D217" s="20" t="s">
        <v>22</v>
      </c>
      <c r="E217" s="21">
        <f>ROUND(7016*1.05,2)</f>
      </c>
      <c r="F217" s="20" t="s">
        <v>51</v>
      </c>
      <c r="G217" s="20" t="s">
        <v>24</v>
      </c>
      <c r="H217" s="21">
        <f>ROUND(RAND()*4+6,1)</f>
      </c>
      <c r="I217" s="20" t="s">
        <v>25</v>
      </c>
      <c r="J217" s="23">
        <f>ROUND(63*1,0)&amp;"%"</f>
      </c>
    </row>
    <row x14ac:dyDescent="0.25" r="218" customHeight="1" ht="17.25">
      <c r="A218" s="24" t="s">
        <v>365</v>
      </c>
      <c r="B218" s="24"/>
      <c r="C218" s="24"/>
      <c r="D218" s="24"/>
      <c r="E218" s="25">
        <v>8</v>
      </c>
      <c r="F218" s="9"/>
      <c r="G218" s="9"/>
      <c r="H218" s="10"/>
      <c r="I218" s="9"/>
      <c r="J218" s="9"/>
    </row>
    <row x14ac:dyDescent="0.25" r="219" customHeight="1" ht="17.25">
      <c r="A219" s="7"/>
      <c r="B219" s="7"/>
      <c r="C219" s="7"/>
      <c r="D219" s="7"/>
      <c r="E219" s="8"/>
      <c r="F219" s="9"/>
      <c r="G219" s="9"/>
      <c r="H219" s="10"/>
      <c r="I219" s="9"/>
      <c r="J219" s="9"/>
    </row>
    <row x14ac:dyDescent="0.25" r="220" customHeight="1" ht="17.25">
      <c r="A220" s="11" t="s">
        <v>11043</v>
      </c>
      <c r="B220" s="11"/>
      <c r="C220" s="11"/>
      <c r="D220" s="11"/>
      <c r="E220" s="12"/>
      <c r="F220" s="11"/>
      <c r="G220" s="11"/>
      <c r="H220" s="13"/>
      <c r="I220" s="11"/>
      <c r="J220" s="11"/>
    </row>
    <row x14ac:dyDescent="0.25" r="221" customHeight="1" ht="17.25">
      <c r="A221" s="14" t="s">
        <v>3</v>
      </c>
      <c r="B221" s="14" t="s">
        <v>4</v>
      </c>
      <c r="C221" s="14" t="s">
        <v>5</v>
      </c>
      <c r="D221" s="14" t="s">
        <v>6</v>
      </c>
      <c r="E221" s="15" t="s">
        <v>7</v>
      </c>
      <c r="F221" s="14" t="s">
        <v>8</v>
      </c>
      <c r="G221" s="14" t="s">
        <v>9</v>
      </c>
      <c r="H221" s="16" t="s">
        <v>10</v>
      </c>
      <c r="I221" s="14" t="s">
        <v>11</v>
      </c>
      <c r="J221" s="14" t="s">
        <v>12</v>
      </c>
    </row>
    <row x14ac:dyDescent="0.25" r="222" customHeight="1" ht="17.25">
      <c r="A222" s="17" t="s">
        <v>11044</v>
      </c>
      <c r="B222" s="17" t="s">
        <v>368</v>
      </c>
      <c r="C222" s="17" t="s">
        <v>114</v>
      </c>
      <c r="D222" s="17" t="s">
        <v>16</v>
      </c>
      <c r="E222" s="18">
        <f>ROUND(6630*1.05,2)</f>
      </c>
      <c r="F222" s="17" t="s">
        <v>17</v>
      </c>
      <c r="G222" s="17" t="s">
        <v>18</v>
      </c>
      <c r="H222" s="18">
        <f>ROUND(RAND()*4+6,1)</f>
      </c>
      <c r="I222" s="17" t="s">
        <v>19</v>
      </c>
      <c r="J222" s="19">
        <f>ROUND(77*1,0)&amp;"%"</f>
      </c>
    </row>
    <row x14ac:dyDescent="0.25" r="223" customHeight="1" ht="17.25">
      <c r="A223" s="20" t="s">
        <v>11045</v>
      </c>
      <c r="B223" s="20" t="s">
        <v>370</v>
      </c>
      <c r="C223" s="20" t="s">
        <v>114</v>
      </c>
      <c r="D223" s="20" t="s">
        <v>22</v>
      </c>
      <c r="E223" s="21">
        <f>ROUND(15417*1.05,2)</f>
      </c>
      <c r="F223" s="20" t="s">
        <v>23</v>
      </c>
      <c r="G223" s="20" t="s">
        <v>24</v>
      </c>
      <c r="H223" s="21">
        <f>ROUND(RAND()*4+6,1)</f>
      </c>
      <c r="I223" s="20" t="s">
        <v>25</v>
      </c>
      <c r="J223" s="23">
        <f>ROUND(97*1,0)&amp;"%"</f>
      </c>
    </row>
    <row x14ac:dyDescent="0.25" r="224" customHeight="1" ht="17.25">
      <c r="A224" s="17" t="s">
        <v>11046</v>
      </c>
      <c r="B224" s="17" t="s">
        <v>372</v>
      </c>
      <c r="C224" s="17" t="s">
        <v>114</v>
      </c>
      <c r="D224" s="17" t="s">
        <v>28</v>
      </c>
      <c r="E224" s="18">
        <f>ROUND(9404*1.05,2)</f>
      </c>
      <c r="F224" s="17" t="s">
        <v>29</v>
      </c>
      <c r="G224" s="17" t="s">
        <v>30</v>
      </c>
      <c r="H224" s="18">
        <f>ROUND(RAND()*4+6,1)</f>
      </c>
      <c r="I224" s="17" t="s">
        <v>31</v>
      </c>
      <c r="J224" s="19">
        <f>ROUND(92*1,0)&amp;"%"</f>
      </c>
    </row>
    <row x14ac:dyDescent="0.25" r="225" customHeight="1" ht="17.25">
      <c r="A225" s="20" t="s">
        <v>11047</v>
      </c>
      <c r="B225" s="20" t="s">
        <v>374</v>
      </c>
      <c r="C225" s="20" t="s">
        <v>114</v>
      </c>
      <c r="D225" s="20" t="s">
        <v>34</v>
      </c>
      <c r="E225" s="21">
        <f>ROUND(9166*1.05,2)</f>
      </c>
      <c r="F225" s="20" t="s">
        <v>35</v>
      </c>
      <c r="G225" s="20" t="s">
        <v>18</v>
      </c>
      <c r="H225" s="21">
        <f>ROUND(RAND()*4+6,1)</f>
      </c>
      <c r="I225" s="20" t="s">
        <v>36</v>
      </c>
      <c r="J225" s="23">
        <f>ROUND(89*1,0)&amp;"%"</f>
      </c>
    </row>
    <row x14ac:dyDescent="0.25" r="226" customHeight="1" ht="17.25">
      <c r="A226" s="17" t="s">
        <v>11048</v>
      </c>
      <c r="B226" s="17" t="s">
        <v>376</v>
      </c>
      <c r="C226" s="17" t="s">
        <v>114</v>
      </c>
      <c r="D226" s="17" t="s">
        <v>39</v>
      </c>
      <c r="E226" s="18">
        <f>ROUND(4450*1.05,2)</f>
      </c>
      <c r="F226" s="17" t="s">
        <v>40</v>
      </c>
      <c r="G226" s="17" t="s">
        <v>24</v>
      </c>
      <c r="H226" s="18">
        <f>ROUND(RAND()*4+6,1)</f>
      </c>
      <c r="I226" s="17" t="s">
        <v>41</v>
      </c>
      <c r="J226" s="19">
        <f>ROUND(83*1,0)&amp;"%"</f>
      </c>
    </row>
    <row x14ac:dyDescent="0.25" r="227" customHeight="1" ht="17.25">
      <c r="A227" s="20" t="s">
        <v>11049</v>
      </c>
      <c r="B227" s="20" t="s">
        <v>378</v>
      </c>
      <c r="C227" s="20" t="s">
        <v>114</v>
      </c>
      <c r="D227" s="20" t="s">
        <v>67</v>
      </c>
      <c r="E227" s="21">
        <f>ROUND(15382*1.05,2)</f>
      </c>
      <c r="F227" s="20" t="s">
        <v>44</v>
      </c>
      <c r="G227" s="20" t="s">
        <v>30</v>
      </c>
      <c r="H227" s="21">
        <f>ROUND(RAND()*4+6,1)</f>
      </c>
      <c r="I227" s="20" t="s">
        <v>45</v>
      </c>
      <c r="J227" s="23">
        <f>ROUND(81*1,0)&amp;"%"</f>
      </c>
    </row>
    <row x14ac:dyDescent="0.25" r="228" customHeight="1" ht="17.25">
      <c r="A228" s="17" t="s">
        <v>11050</v>
      </c>
      <c r="B228" s="17" t="s">
        <v>380</v>
      </c>
      <c r="C228" s="17" t="s">
        <v>114</v>
      </c>
      <c r="D228" s="17" t="s">
        <v>16</v>
      </c>
      <c r="E228" s="18">
        <f>ROUND(9601*1.05,2)</f>
      </c>
      <c r="F228" s="17" t="s">
        <v>48</v>
      </c>
      <c r="G228" s="17" t="s">
        <v>18</v>
      </c>
      <c r="H228" s="18">
        <f>ROUND(RAND()*4+6,1)</f>
      </c>
      <c r="I228" s="17" t="s">
        <v>19</v>
      </c>
      <c r="J228" s="19">
        <f>ROUND(78*1,0)&amp;"%"</f>
      </c>
    </row>
    <row x14ac:dyDescent="0.25" r="229" customHeight="1" ht="17.25">
      <c r="A229" s="20" t="s">
        <v>11051</v>
      </c>
      <c r="B229" s="20" t="s">
        <v>382</v>
      </c>
      <c r="C229" s="20" t="s">
        <v>114</v>
      </c>
      <c r="D229" s="20" t="s">
        <v>22</v>
      </c>
      <c r="E229" s="21">
        <f>ROUND(15763*1.05,2)</f>
      </c>
      <c r="F229" s="20" t="s">
        <v>51</v>
      </c>
      <c r="G229" s="20" t="s">
        <v>24</v>
      </c>
      <c r="H229" s="21">
        <f>ROUND(RAND()*4+6,1)</f>
      </c>
      <c r="I229" s="20" t="s">
        <v>25</v>
      </c>
      <c r="J229" s="23">
        <f>ROUND(91*1,0)&amp;"%"</f>
      </c>
    </row>
    <row x14ac:dyDescent="0.25" r="230" customHeight="1" ht="17.25">
      <c r="A230" s="24" t="s">
        <v>383</v>
      </c>
      <c r="B230" s="24"/>
      <c r="C230" s="24"/>
      <c r="D230" s="24"/>
      <c r="E230" s="25">
        <v>8</v>
      </c>
      <c r="F230" s="9"/>
      <c r="G230" s="9"/>
      <c r="H230" s="10"/>
      <c r="I230" s="9"/>
      <c r="J230" s="9"/>
    </row>
    <row x14ac:dyDescent="0.25" r="231" customHeight="1" ht="17.25">
      <c r="A231" s="7"/>
      <c r="B231" s="7"/>
      <c r="C231" s="7"/>
      <c r="D231" s="7"/>
      <c r="E231" s="8"/>
      <c r="F231" s="9"/>
      <c r="G231" s="9"/>
      <c r="H231" s="10"/>
      <c r="I231" s="9"/>
      <c r="J231" s="9"/>
    </row>
    <row x14ac:dyDescent="0.25" r="232" customHeight="1" ht="17.25">
      <c r="A232" s="11" t="s">
        <v>11052</v>
      </c>
      <c r="B232" s="11"/>
      <c r="C232" s="11"/>
      <c r="D232" s="11"/>
      <c r="E232" s="12"/>
      <c r="F232" s="11"/>
      <c r="G232" s="11"/>
      <c r="H232" s="13"/>
      <c r="I232" s="11"/>
      <c r="J232" s="11"/>
    </row>
    <row x14ac:dyDescent="0.25" r="233" customHeight="1" ht="17.25">
      <c r="A233" s="14" t="s">
        <v>3</v>
      </c>
      <c r="B233" s="14" t="s">
        <v>4</v>
      </c>
      <c r="C233" s="14" t="s">
        <v>5</v>
      </c>
      <c r="D233" s="14" t="s">
        <v>6</v>
      </c>
      <c r="E233" s="15" t="s">
        <v>7</v>
      </c>
      <c r="F233" s="14" t="s">
        <v>8</v>
      </c>
      <c r="G233" s="14" t="s">
        <v>9</v>
      </c>
      <c r="H233" s="16" t="s">
        <v>10</v>
      </c>
      <c r="I233" s="14" t="s">
        <v>11</v>
      </c>
      <c r="J233" s="14" t="s">
        <v>12</v>
      </c>
    </row>
    <row x14ac:dyDescent="0.25" r="234" customHeight="1" ht="17.25">
      <c r="A234" s="17" t="s">
        <v>11053</v>
      </c>
      <c r="B234" s="17" t="s">
        <v>386</v>
      </c>
      <c r="C234" s="17" t="s">
        <v>133</v>
      </c>
      <c r="D234" s="17" t="s">
        <v>16</v>
      </c>
      <c r="E234" s="18">
        <f>ROUND(13886*1.05,2)</f>
      </c>
      <c r="F234" s="17" t="s">
        <v>17</v>
      </c>
      <c r="G234" s="17" t="s">
        <v>18</v>
      </c>
      <c r="H234" s="18">
        <f>ROUND(RAND()*4+6,1)</f>
      </c>
      <c r="I234" s="17" t="s">
        <v>19</v>
      </c>
      <c r="J234" s="19">
        <f>ROUND(79*1,0)&amp;"%"</f>
      </c>
    </row>
    <row x14ac:dyDescent="0.25" r="235" customHeight="1" ht="17.25">
      <c r="A235" s="20" t="s">
        <v>11054</v>
      </c>
      <c r="B235" s="20" t="s">
        <v>388</v>
      </c>
      <c r="C235" s="20" t="s">
        <v>133</v>
      </c>
      <c r="D235" s="20" t="s">
        <v>22</v>
      </c>
      <c r="E235" s="21">
        <f>ROUND(11581*1.05,2)</f>
      </c>
      <c r="F235" s="20" t="s">
        <v>23</v>
      </c>
      <c r="G235" s="20" t="s">
        <v>24</v>
      </c>
      <c r="H235" s="22">
        <f>ROUND(RAND()*4+6,1)</f>
      </c>
      <c r="I235" s="20" t="s">
        <v>25</v>
      </c>
      <c r="J235" s="23">
        <f>ROUND(70*1,0)&amp;"%"</f>
      </c>
    </row>
    <row x14ac:dyDescent="0.25" r="236" customHeight="1" ht="17.25">
      <c r="A236" s="17" t="s">
        <v>11055</v>
      </c>
      <c r="B236" s="17" t="s">
        <v>390</v>
      </c>
      <c r="C236" s="17" t="s">
        <v>133</v>
      </c>
      <c r="D236" s="17" t="s">
        <v>28</v>
      </c>
      <c r="E236" s="18">
        <f>ROUND(14422*1.05,2)</f>
      </c>
      <c r="F236" s="17" t="s">
        <v>29</v>
      </c>
      <c r="G236" s="17" t="s">
        <v>30</v>
      </c>
      <c r="H236" s="18">
        <f>ROUND(RAND()*4+6,1)</f>
      </c>
      <c r="I236" s="17" t="s">
        <v>31</v>
      </c>
      <c r="J236" s="19">
        <f>ROUND(81*1,0)&amp;"%"</f>
      </c>
    </row>
    <row x14ac:dyDescent="0.25" r="237" customHeight="1" ht="17.25">
      <c r="A237" s="20" t="s">
        <v>11056</v>
      </c>
      <c r="B237" s="20" t="s">
        <v>392</v>
      </c>
      <c r="C237" s="20" t="s">
        <v>133</v>
      </c>
      <c r="D237" s="20" t="s">
        <v>34</v>
      </c>
      <c r="E237" s="21">
        <f>ROUND(17955*1.05,2)</f>
      </c>
      <c r="F237" s="20" t="s">
        <v>35</v>
      </c>
      <c r="G237" s="20" t="s">
        <v>18</v>
      </c>
      <c r="H237" s="21">
        <f>ROUND(RAND()*4+6,1)</f>
      </c>
      <c r="I237" s="20" t="s">
        <v>36</v>
      </c>
      <c r="J237" s="23">
        <f>ROUND(74*1,0)&amp;"%"</f>
      </c>
    </row>
    <row x14ac:dyDescent="0.25" r="238" customHeight="1" ht="17.25">
      <c r="A238" s="17" t="s">
        <v>11057</v>
      </c>
      <c r="B238" s="17" t="s">
        <v>394</v>
      </c>
      <c r="C238" s="17" t="s">
        <v>133</v>
      </c>
      <c r="D238" s="17" t="s">
        <v>39</v>
      </c>
      <c r="E238" s="18">
        <f>ROUND(14777*1.05,2)</f>
      </c>
      <c r="F238" s="17" t="s">
        <v>40</v>
      </c>
      <c r="G238" s="17" t="s">
        <v>24</v>
      </c>
      <c r="H238" s="18">
        <f>ROUND(RAND()*4+6,1)</f>
      </c>
      <c r="I238" s="17" t="s">
        <v>41</v>
      </c>
      <c r="J238" s="19">
        <f>ROUND(94*1,0)&amp;"%"</f>
      </c>
    </row>
    <row x14ac:dyDescent="0.25" r="239" customHeight="1" ht="17.25">
      <c r="A239" s="20" t="s">
        <v>11058</v>
      </c>
      <c r="B239" s="20" t="s">
        <v>396</v>
      </c>
      <c r="C239" s="20" t="s">
        <v>133</v>
      </c>
      <c r="D239" s="20" t="s">
        <v>67</v>
      </c>
      <c r="E239" s="21">
        <f>ROUND(13197*1.05,2)</f>
      </c>
      <c r="F239" s="20" t="s">
        <v>44</v>
      </c>
      <c r="G239" s="20" t="s">
        <v>30</v>
      </c>
      <c r="H239" s="21">
        <f>ROUND(RAND()*4+6,1)</f>
      </c>
      <c r="I239" s="20" t="s">
        <v>45</v>
      </c>
      <c r="J239" s="23">
        <f>ROUND(99*1,0)&amp;"%"</f>
      </c>
    </row>
    <row x14ac:dyDescent="0.25" r="240" customHeight="1" ht="17.25">
      <c r="A240" s="17" t="s">
        <v>11059</v>
      </c>
      <c r="B240" s="17" t="s">
        <v>398</v>
      </c>
      <c r="C240" s="17" t="s">
        <v>133</v>
      </c>
      <c r="D240" s="17" t="s">
        <v>16</v>
      </c>
      <c r="E240" s="18">
        <f>ROUND(17567*1.05,2)</f>
      </c>
      <c r="F240" s="17" t="s">
        <v>48</v>
      </c>
      <c r="G240" s="17" t="s">
        <v>18</v>
      </c>
      <c r="H240" s="18">
        <f>ROUND(RAND()*4+6,1)</f>
      </c>
      <c r="I240" s="17" t="s">
        <v>19</v>
      </c>
      <c r="J240" s="19">
        <f>ROUND(98*1,0)&amp;"%"</f>
      </c>
    </row>
    <row x14ac:dyDescent="0.25" r="241" customHeight="1" ht="17.25">
      <c r="A241" s="20" t="s">
        <v>11060</v>
      </c>
      <c r="B241" s="20" t="s">
        <v>400</v>
      </c>
      <c r="C241" s="20" t="s">
        <v>133</v>
      </c>
      <c r="D241" s="20" t="s">
        <v>22</v>
      </c>
      <c r="E241" s="21">
        <f>ROUND(14190*1.05,2)</f>
      </c>
      <c r="F241" s="20" t="s">
        <v>51</v>
      </c>
      <c r="G241" s="20" t="s">
        <v>24</v>
      </c>
      <c r="H241" s="21">
        <f>ROUND(RAND()*4+6,1)</f>
      </c>
      <c r="I241" s="20" t="s">
        <v>25</v>
      </c>
      <c r="J241" s="23">
        <f>ROUND(66*1,0)&amp;"%"</f>
      </c>
    </row>
    <row x14ac:dyDescent="0.25" r="242" customHeight="1" ht="17.25">
      <c r="A242" s="24" t="s">
        <v>401</v>
      </c>
      <c r="B242" s="24"/>
      <c r="C242" s="24"/>
      <c r="D242" s="24"/>
      <c r="E242" s="25">
        <v>8</v>
      </c>
      <c r="F242" s="9"/>
      <c r="G242" s="9"/>
      <c r="H242" s="10"/>
      <c r="I242" s="9"/>
      <c r="J242" s="9"/>
    </row>
    <row x14ac:dyDescent="0.25" r="243" customHeight="1" ht="17.25">
      <c r="A243" s="7"/>
      <c r="B243" s="7"/>
      <c r="C243" s="7"/>
      <c r="D243" s="7"/>
      <c r="E243" s="8"/>
      <c r="F243" s="9"/>
      <c r="G243" s="9"/>
      <c r="H243" s="10"/>
      <c r="I243" s="9"/>
      <c r="J243" s="9"/>
    </row>
    <row x14ac:dyDescent="0.25" r="244" customHeight="1" ht="17.25">
      <c r="A244" s="11" t="s">
        <v>11061</v>
      </c>
      <c r="B244" s="11"/>
      <c r="C244" s="11"/>
      <c r="D244" s="11"/>
      <c r="E244" s="12"/>
      <c r="F244" s="11"/>
      <c r="G244" s="11"/>
      <c r="H244" s="13"/>
      <c r="I244" s="11"/>
      <c r="J244" s="11"/>
    </row>
    <row x14ac:dyDescent="0.25" r="245" customHeight="1" ht="17.25">
      <c r="A245" s="14" t="s">
        <v>3</v>
      </c>
      <c r="B245" s="14" t="s">
        <v>4</v>
      </c>
      <c r="C245" s="14" t="s">
        <v>5</v>
      </c>
      <c r="D245" s="14" t="s">
        <v>6</v>
      </c>
      <c r="E245" s="15" t="s">
        <v>7</v>
      </c>
      <c r="F245" s="14" t="s">
        <v>8</v>
      </c>
      <c r="G245" s="14" t="s">
        <v>9</v>
      </c>
      <c r="H245" s="16" t="s">
        <v>10</v>
      </c>
      <c r="I245" s="14" t="s">
        <v>11</v>
      </c>
      <c r="J245" s="14" t="s">
        <v>12</v>
      </c>
    </row>
    <row x14ac:dyDescent="0.25" r="246" customHeight="1" ht="17.25">
      <c r="A246" s="17" t="s">
        <v>11062</v>
      </c>
      <c r="B246" s="17" t="s">
        <v>404</v>
      </c>
      <c r="C246" s="17" t="s">
        <v>152</v>
      </c>
      <c r="D246" s="17" t="s">
        <v>16</v>
      </c>
      <c r="E246" s="18">
        <f>ROUND(9562*1.05,2)</f>
      </c>
      <c r="F246" s="17" t="s">
        <v>17</v>
      </c>
      <c r="G246" s="17" t="s">
        <v>18</v>
      </c>
      <c r="H246" s="18">
        <f>ROUND(RAND()*4+6,1)</f>
      </c>
      <c r="I246" s="17" t="s">
        <v>19</v>
      </c>
      <c r="J246" s="19">
        <f>ROUND(99*1,0)&amp;"%"</f>
      </c>
    </row>
    <row x14ac:dyDescent="0.25" r="247" customHeight="1" ht="17.25">
      <c r="A247" s="20" t="s">
        <v>11063</v>
      </c>
      <c r="B247" s="20" t="s">
        <v>406</v>
      </c>
      <c r="C247" s="20" t="s">
        <v>152</v>
      </c>
      <c r="D247" s="20" t="s">
        <v>22</v>
      </c>
      <c r="E247" s="21">
        <f>ROUND(5655*1.05,2)</f>
      </c>
      <c r="F247" s="20" t="s">
        <v>23</v>
      </c>
      <c r="G247" s="20" t="s">
        <v>24</v>
      </c>
      <c r="H247" s="21">
        <f>ROUND(RAND()*4+6,1)</f>
      </c>
      <c r="I247" s="20" t="s">
        <v>25</v>
      </c>
      <c r="J247" s="23">
        <f>ROUND(85*1,0)&amp;"%"</f>
      </c>
    </row>
    <row x14ac:dyDescent="0.25" r="248" customHeight="1" ht="17.25">
      <c r="A248" s="17" t="s">
        <v>11064</v>
      </c>
      <c r="B248" s="17" t="s">
        <v>408</v>
      </c>
      <c r="C248" s="17" t="s">
        <v>152</v>
      </c>
      <c r="D248" s="17" t="s">
        <v>28</v>
      </c>
      <c r="E248" s="26">
        <f>ROUND(4980*1.05,2)</f>
      </c>
      <c r="F248" s="17" t="s">
        <v>29</v>
      </c>
      <c r="G248" s="17" t="s">
        <v>30</v>
      </c>
      <c r="H248" s="18">
        <f>ROUND(RAND()*4+6,1)</f>
      </c>
      <c r="I248" s="17" t="s">
        <v>31</v>
      </c>
      <c r="J248" s="19">
        <f>ROUND(73*1,0)&amp;"%"</f>
      </c>
    </row>
    <row x14ac:dyDescent="0.25" r="249" customHeight="1" ht="17.25">
      <c r="A249" s="20" t="s">
        <v>11065</v>
      </c>
      <c r="B249" s="20" t="s">
        <v>410</v>
      </c>
      <c r="C249" s="20" t="s">
        <v>152</v>
      </c>
      <c r="D249" s="20" t="s">
        <v>34</v>
      </c>
      <c r="E249" s="21">
        <f>ROUND(14550*1.05,2)</f>
      </c>
      <c r="F249" s="20" t="s">
        <v>35</v>
      </c>
      <c r="G249" s="20" t="s">
        <v>18</v>
      </c>
      <c r="H249" s="21">
        <f>ROUND(RAND()*4+6,1)</f>
      </c>
      <c r="I249" s="20" t="s">
        <v>36</v>
      </c>
      <c r="J249" s="23">
        <f>ROUND(78*1,0)&amp;"%"</f>
      </c>
    </row>
    <row x14ac:dyDescent="0.25" r="250" customHeight="1" ht="17.25">
      <c r="A250" s="17" t="s">
        <v>11066</v>
      </c>
      <c r="B250" s="17" t="s">
        <v>412</v>
      </c>
      <c r="C250" s="17" t="s">
        <v>152</v>
      </c>
      <c r="D250" s="17" t="s">
        <v>39</v>
      </c>
      <c r="E250" s="18">
        <f>ROUND(11541*1.05,2)</f>
      </c>
      <c r="F250" s="17" t="s">
        <v>40</v>
      </c>
      <c r="G250" s="17" t="s">
        <v>24</v>
      </c>
      <c r="H250" s="18">
        <f>ROUND(RAND()*4+6,1)</f>
      </c>
      <c r="I250" s="17" t="s">
        <v>41</v>
      </c>
      <c r="J250" s="19">
        <f>ROUND(87*1,0)&amp;"%"</f>
      </c>
    </row>
    <row x14ac:dyDescent="0.25" r="251" customHeight="1" ht="17.25">
      <c r="A251" s="20" t="s">
        <v>11067</v>
      </c>
      <c r="B251" s="20" t="s">
        <v>414</v>
      </c>
      <c r="C251" s="20" t="s">
        <v>152</v>
      </c>
      <c r="D251" s="20" t="s">
        <v>67</v>
      </c>
      <c r="E251" s="21">
        <f>ROUND(13387*1.05,2)</f>
      </c>
      <c r="F251" s="20" t="s">
        <v>44</v>
      </c>
      <c r="G251" s="20" t="s">
        <v>30</v>
      </c>
      <c r="H251" s="22">
        <f>ROUND(RAND()*4+6,1)</f>
      </c>
      <c r="I251" s="20" t="s">
        <v>45</v>
      </c>
      <c r="J251" s="23">
        <f>ROUND(81*1,0)&amp;"%"</f>
      </c>
    </row>
    <row x14ac:dyDescent="0.25" r="252" customHeight="1" ht="17.25">
      <c r="A252" s="17" t="s">
        <v>11068</v>
      </c>
      <c r="B252" s="17" t="s">
        <v>416</v>
      </c>
      <c r="C252" s="17" t="s">
        <v>152</v>
      </c>
      <c r="D252" s="17" t="s">
        <v>16</v>
      </c>
      <c r="E252" s="18">
        <f>ROUND(14830*1.05,2)</f>
      </c>
      <c r="F252" s="17" t="s">
        <v>48</v>
      </c>
      <c r="G252" s="17" t="s">
        <v>18</v>
      </c>
      <c r="H252" s="18">
        <f>ROUND(RAND()*4+6,1)</f>
      </c>
      <c r="I252" s="17" t="s">
        <v>19</v>
      </c>
      <c r="J252" s="19">
        <f>ROUND(95*1,0)&amp;"%"</f>
      </c>
    </row>
    <row x14ac:dyDescent="0.25" r="253" customHeight="1" ht="17.25">
      <c r="A253" s="20" t="s">
        <v>11069</v>
      </c>
      <c r="B253" s="20" t="s">
        <v>418</v>
      </c>
      <c r="C253" s="20" t="s">
        <v>152</v>
      </c>
      <c r="D253" s="20" t="s">
        <v>22</v>
      </c>
      <c r="E253" s="21">
        <f>ROUND(9052*1.05,2)</f>
      </c>
      <c r="F253" s="20" t="s">
        <v>51</v>
      </c>
      <c r="G253" s="20" t="s">
        <v>24</v>
      </c>
      <c r="H253" s="21">
        <f>ROUND(RAND()*4+6,1)</f>
      </c>
      <c r="I253" s="20" t="s">
        <v>25</v>
      </c>
      <c r="J253" s="23">
        <f>ROUND(80*1,0)&amp;"%"</f>
      </c>
    </row>
    <row x14ac:dyDescent="0.25" r="254" customHeight="1" ht="17.25">
      <c r="A254" s="24" t="s">
        <v>419</v>
      </c>
      <c r="B254" s="24"/>
      <c r="C254" s="24"/>
      <c r="D254" s="24"/>
      <c r="E254" s="25">
        <v>8</v>
      </c>
      <c r="F254" s="9"/>
      <c r="G254" s="9"/>
      <c r="H254" s="10"/>
      <c r="I254" s="9"/>
      <c r="J254" s="9"/>
    </row>
    <row x14ac:dyDescent="0.25" r="255" customHeight="1" ht="17.25">
      <c r="A255" s="7"/>
      <c r="B255" s="7"/>
      <c r="C255" s="7"/>
      <c r="D255" s="7"/>
      <c r="E255" s="8"/>
      <c r="F255" s="9"/>
      <c r="G255" s="9"/>
      <c r="H255" s="10"/>
      <c r="I255" s="9"/>
      <c r="J255" s="9"/>
    </row>
    <row x14ac:dyDescent="0.25" r="256" customHeight="1" ht="17.25">
      <c r="A256" s="11" t="s">
        <v>11070</v>
      </c>
      <c r="B256" s="11"/>
      <c r="C256" s="11"/>
      <c r="D256" s="11"/>
      <c r="E256" s="12"/>
      <c r="F256" s="11"/>
      <c r="G256" s="11"/>
      <c r="H256" s="13"/>
      <c r="I256" s="11"/>
      <c r="J256" s="11"/>
    </row>
    <row x14ac:dyDescent="0.25" r="257" customHeight="1" ht="17.25">
      <c r="A257" s="14" t="s">
        <v>3</v>
      </c>
      <c r="B257" s="14" t="s">
        <v>4</v>
      </c>
      <c r="C257" s="14" t="s">
        <v>5</v>
      </c>
      <c r="D257" s="14" t="s">
        <v>6</v>
      </c>
      <c r="E257" s="15" t="s">
        <v>7</v>
      </c>
      <c r="F257" s="14" t="s">
        <v>8</v>
      </c>
      <c r="G257" s="14" t="s">
        <v>9</v>
      </c>
      <c r="H257" s="16" t="s">
        <v>10</v>
      </c>
      <c r="I257" s="14" t="s">
        <v>11</v>
      </c>
      <c r="J257" s="14" t="s">
        <v>12</v>
      </c>
    </row>
    <row x14ac:dyDescent="0.25" r="258" customHeight="1" ht="17.25">
      <c r="A258" s="17" t="s">
        <v>11071</v>
      </c>
      <c r="B258" s="17" t="s">
        <v>422</v>
      </c>
      <c r="C258" s="17" t="s">
        <v>15</v>
      </c>
      <c r="D258" s="17" t="s">
        <v>16</v>
      </c>
      <c r="E258" s="18">
        <f>ROUND(7805*1.05,2)</f>
      </c>
      <c r="F258" s="17" t="s">
        <v>17</v>
      </c>
      <c r="G258" s="17" t="s">
        <v>18</v>
      </c>
      <c r="H258" s="18">
        <f>ROUND(RAND()*4+6,1)</f>
      </c>
      <c r="I258" s="17" t="s">
        <v>19</v>
      </c>
      <c r="J258" s="19">
        <f>ROUND(96*1,0)&amp;"%"</f>
      </c>
    </row>
    <row x14ac:dyDescent="0.25" r="259" customHeight="1" ht="17.25">
      <c r="A259" s="20" t="s">
        <v>11072</v>
      </c>
      <c r="B259" s="20" t="s">
        <v>424</v>
      </c>
      <c r="C259" s="20" t="s">
        <v>15</v>
      </c>
      <c r="D259" s="20" t="s">
        <v>22</v>
      </c>
      <c r="E259" s="21">
        <f>ROUND(5715*1.05,2)</f>
      </c>
      <c r="F259" s="20" t="s">
        <v>23</v>
      </c>
      <c r="G259" s="20" t="s">
        <v>24</v>
      </c>
      <c r="H259" s="21">
        <f>ROUND(RAND()*4+6,1)</f>
      </c>
      <c r="I259" s="20" t="s">
        <v>25</v>
      </c>
      <c r="J259" s="23">
        <f>ROUND(90*1,0)&amp;"%"</f>
      </c>
    </row>
    <row x14ac:dyDescent="0.25" r="260" customHeight="1" ht="17.25">
      <c r="A260" s="17" t="s">
        <v>11073</v>
      </c>
      <c r="B260" s="17" t="s">
        <v>426</v>
      </c>
      <c r="C260" s="17" t="s">
        <v>15</v>
      </c>
      <c r="D260" s="17" t="s">
        <v>28</v>
      </c>
      <c r="E260" s="18">
        <f>ROUND(9096*1.05,2)</f>
      </c>
      <c r="F260" s="17" t="s">
        <v>29</v>
      </c>
      <c r="G260" s="17" t="s">
        <v>30</v>
      </c>
      <c r="H260" s="18">
        <f>ROUND(RAND()*4+6,1)</f>
      </c>
      <c r="I260" s="17" t="s">
        <v>31</v>
      </c>
      <c r="J260" s="19">
        <f>ROUND(89*1,0)&amp;"%"</f>
      </c>
    </row>
    <row x14ac:dyDescent="0.25" r="261" customHeight="1" ht="17.25">
      <c r="A261" s="20" t="s">
        <v>11074</v>
      </c>
      <c r="B261" s="20" t="s">
        <v>428</v>
      </c>
      <c r="C261" s="20" t="s">
        <v>15</v>
      </c>
      <c r="D261" s="20" t="s">
        <v>34</v>
      </c>
      <c r="E261" s="21">
        <f>ROUND(17831*1.05,2)</f>
      </c>
      <c r="F261" s="20" t="s">
        <v>35</v>
      </c>
      <c r="G261" s="20" t="s">
        <v>18</v>
      </c>
      <c r="H261" s="21">
        <f>ROUND(RAND()*4+6,1)</f>
      </c>
      <c r="I261" s="20" t="s">
        <v>36</v>
      </c>
      <c r="J261" s="23">
        <f>ROUND(85*1,0)&amp;"%"</f>
      </c>
    </row>
    <row x14ac:dyDescent="0.25" r="262" customHeight="1" ht="17.25">
      <c r="A262" s="17" t="s">
        <v>11075</v>
      </c>
      <c r="B262" s="17" t="s">
        <v>430</v>
      </c>
      <c r="C262" s="17" t="s">
        <v>15</v>
      </c>
      <c r="D262" s="17" t="s">
        <v>39</v>
      </c>
      <c r="E262" s="18">
        <f>ROUND(8181*1.05,2)</f>
      </c>
      <c r="F262" s="17" t="s">
        <v>40</v>
      </c>
      <c r="G262" s="17" t="s">
        <v>24</v>
      </c>
      <c r="H262" s="18">
        <f>ROUND(RAND()*4+6,1)</f>
      </c>
      <c r="I262" s="17" t="s">
        <v>41</v>
      </c>
      <c r="J262" s="19">
        <f>ROUND(92*1,0)&amp;"%"</f>
      </c>
    </row>
    <row x14ac:dyDescent="0.25" r="263" customHeight="1" ht="17.25">
      <c r="A263" s="20" t="s">
        <v>11076</v>
      </c>
      <c r="B263" s="20" t="s">
        <v>432</v>
      </c>
      <c r="C263" s="20" t="s">
        <v>15</v>
      </c>
      <c r="D263" s="20" t="s">
        <v>67</v>
      </c>
      <c r="E263" s="21">
        <f>ROUND(7864*1.05,2)</f>
      </c>
      <c r="F263" s="20" t="s">
        <v>44</v>
      </c>
      <c r="G263" s="20" t="s">
        <v>30</v>
      </c>
      <c r="H263" s="21">
        <f>ROUND(RAND()*4+6,1)</f>
      </c>
      <c r="I263" s="20" t="s">
        <v>45</v>
      </c>
      <c r="J263" s="23">
        <f>ROUND(65*1,0)&amp;"%"</f>
      </c>
    </row>
    <row x14ac:dyDescent="0.25" r="264" customHeight="1" ht="17.25">
      <c r="A264" s="17" t="s">
        <v>11077</v>
      </c>
      <c r="B264" s="17" t="s">
        <v>434</v>
      </c>
      <c r="C264" s="17" t="s">
        <v>15</v>
      </c>
      <c r="D264" s="17" t="s">
        <v>16</v>
      </c>
      <c r="E264" s="18">
        <f>ROUND(9765*1.05,2)</f>
      </c>
      <c r="F264" s="17" t="s">
        <v>48</v>
      </c>
      <c r="G264" s="17" t="s">
        <v>18</v>
      </c>
      <c r="H264" s="18">
        <f>ROUND(RAND()*4+6,1)</f>
      </c>
      <c r="I264" s="17" t="s">
        <v>19</v>
      </c>
      <c r="J264" s="19">
        <f>ROUND(86*1,0)&amp;"%"</f>
      </c>
    </row>
    <row x14ac:dyDescent="0.25" r="265" customHeight="1" ht="17.25">
      <c r="A265" s="20" t="s">
        <v>11078</v>
      </c>
      <c r="B265" s="20" t="s">
        <v>436</v>
      </c>
      <c r="C265" s="20" t="s">
        <v>15</v>
      </c>
      <c r="D265" s="20" t="s">
        <v>22</v>
      </c>
      <c r="E265" s="21">
        <f>ROUND(16347*1.05,2)</f>
      </c>
      <c r="F265" s="20" t="s">
        <v>51</v>
      </c>
      <c r="G265" s="20" t="s">
        <v>24</v>
      </c>
      <c r="H265" s="21">
        <f>ROUND(RAND()*4+6,1)</f>
      </c>
      <c r="I265" s="20" t="s">
        <v>25</v>
      </c>
      <c r="J265" s="23">
        <f>ROUND(73*1,0)&amp;"%"</f>
      </c>
    </row>
    <row x14ac:dyDescent="0.25" r="266" customHeight="1" ht="17.25">
      <c r="A266" s="24" t="s">
        <v>437</v>
      </c>
      <c r="B266" s="24"/>
      <c r="C266" s="24"/>
      <c r="D266" s="24"/>
      <c r="E266" s="25">
        <v>8</v>
      </c>
      <c r="F266" s="9"/>
      <c r="G266" s="9"/>
      <c r="H266" s="10"/>
      <c r="I266" s="9"/>
      <c r="J266" s="9"/>
    </row>
    <row x14ac:dyDescent="0.25" r="267" customHeight="1" ht="17.25">
      <c r="A267" s="7"/>
      <c r="B267" s="7"/>
      <c r="C267" s="7"/>
      <c r="D267" s="7"/>
      <c r="E267" s="8"/>
      <c r="F267" s="9"/>
      <c r="G267" s="9"/>
      <c r="H267" s="10"/>
      <c r="I267" s="9"/>
      <c r="J267" s="9"/>
    </row>
    <row x14ac:dyDescent="0.25" r="268" customHeight="1" ht="17.25">
      <c r="A268" s="11" t="s">
        <v>11079</v>
      </c>
      <c r="B268" s="11"/>
      <c r="C268" s="11"/>
      <c r="D268" s="11"/>
      <c r="E268" s="12"/>
      <c r="F268" s="11"/>
      <c r="G268" s="11"/>
      <c r="H268" s="13"/>
      <c r="I268" s="11"/>
      <c r="J268" s="11"/>
    </row>
    <row x14ac:dyDescent="0.25" r="269" customHeight="1" ht="17.25">
      <c r="A269" s="14" t="s">
        <v>3</v>
      </c>
      <c r="B269" s="14" t="s">
        <v>4</v>
      </c>
      <c r="C269" s="14" t="s">
        <v>5</v>
      </c>
      <c r="D269" s="14" t="s">
        <v>6</v>
      </c>
      <c r="E269" s="15" t="s">
        <v>7</v>
      </c>
      <c r="F269" s="14" t="s">
        <v>8</v>
      </c>
      <c r="G269" s="14" t="s">
        <v>9</v>
      </c>
      <c r="H269" s="16" t="s">
        <v>10</v>
      </c>
      <c r="I269" s="14" t="s">
        <v>11</v>
      </c>
      <c r="J269" s="14" t="s">
        <v>12</v>
      </c>
    </row>
    <row x14ac:dyDescent="0.25" r="270" customHeight="1" ht="17.25">
      <c r="A270" s="17" t="s">
        <v>11080</v>
      </c>
      <c r="B270" s="17" t="s">
        <v>440</v>
      </c>
      <c r="C270" s="17" t="s">
        <v>56</v>
      </c>
      <c r="D270" s="17" t="s">
        <v>16</v>
      </c>
      <c r="E270" s="18">
        <f>ROUND(15322*1.05,2)</f>
      </c>
      <c r="F270" s="17" t="s">
        <v>17</v>
      </c>
      <c r="G270" s="17" t="s">
        <v>18</v>
      </c>
      <c r="H270" s="18">
        <f>ROUND(RAND()*4+6,1)</f>
      </c>
      <c r="I270" s="17" t="s">
        <v>19</v>
      </c>
      <c r="J270" s="19">
        <f>ROUND(93*1,0)&amp;"%"</f>
      </c>
    </row>
    <row x14ac:dyDescent="0.25" r="271" customHeight="1" ht="17.25">
      <c r="A271" s="20" t="s">
        <v>11081</v>
      </c>
      <c r="B271" s="20" t="s">
        <v>442</v>
      </c>
      <c r="C271" s="20" t="s">
        <v>56</v>
      </c>
      <c r="D271" s="20" t="s">
        <v>22</v>
      </c>
      <c r="E271" s="21">
        <f>ROUND(15057*1.05,2)</f>
      </c>
      <c r="F271" s="20" t="s">
        <v>23</v>
      </c>
      <c r="G271" s="20" t="s">
        <v>24</v>
      </c>
      <c r="H271" s="21">
        <f>ROUND(RAND()*4+6,1)</f>
      </c>
      <c r="I271" s="20" t="s">
        <v>25</v>
      </c>
      <c r="J271" s="23">
        <f>ROUND(62*1,0)&amp;"%"</f>
      </c>
    </row>
    <row x14ac:dyDescent="0.25" r="272" customHeight="1" ht="17.25">
      <c r="A272" s="17" t="s">
        <v>11082</v>
      </c>
      <c r="B272" s="17" t="s">
        <v>444</v>
      </c>
      <c r="C272" s="17" t="s">
        <v>56</v>
      </c>
      <c r="D272" s="17" t="s">
        <v>28</v>
      </c>
      <c r="E272" s="18">
        <f>ROUND(12301*1.05,2)</f>
      </c>
      <c r="F272" s="17" t="s">
        <v>29</v>
      </c>
      <c r="G272" s="17" t="s">
        <v>30</v>
      </c>
      <c r="H272" s="18">
        <f>ROUND(RAND()*4+6,1)</f>
      </c>
      <c r="I272" s="17" t="s">
        <v>31</v>
      </c>
      <c r="J272" s="19">
        <f>ROUND(69*1,0)&amp;"%"</f>
      </c>
    </row>
    <row x14ac:dyDescent="0.25" r="273" customHeight="1" ht="17.25">
      <c r="A273" s="20" t="s">
        <v>11083</v>
      </c>
      <c r="B273" s="20" t="s">
        <v>446</v>
      </c>
      <c r="C273" s="20" t="s">
        <v>56</v>
      </c>
      <c r="D273" s="20" t="s">
        <v>34</v>
      </c>
      <c r="E273" s="21">
        <f>ROUND(12086*1.05,2)</f>
      </c>
      <c r="F273" s="20" t="s">
        <v>35</v>
      </c>
      <c r="G273" s="20" t="s">
        <v>18</v>
      </c>
      <c r="H273" s="21">
        <f>ROUND(RAND()*4+6,1)</f>
      </c>
      <c r="I273" s="20" t="s">
        <v>36</v>
      </c>
      <c r="J273" s="23">
        <f>ROUND(95*1,0)&amp;"%"</f>
      </c>
    </row>
    <row x14ac:dyDescent="0.25" r="274" customHeight="1" ht="17.25">
      <c r="A274" s="17" t="s">
        <v>11084</v>
      </c>
      <c r="B274" s="17" t="s">
        <v>448</v>
      </c>
      <c r="C274" s="17" t="s">
        <v>56</v>
      </c>
      <c r="D274" s="17" t="s">
        <v>39</v>
      </c>
      <c r="E274" s="18">
        <f>ROUND(10157*1.05,2)</f>
      </c>
      <c r="F274" s="17" t="s">
        <v>40</v>
      </c>
      <c r="G274" s="17" t="s">
        <v>24</v>
      </c>
      <c r="H274" s="18">
        <f>ROUND(RAND()*4+6,1)</f>
      </c>
      <c r="I274" s="17" t="s">
        <v>41</v>
      </c>
      <c r="J274" s="19">
        <f>ROUND(89*1,0)&amp;"%"</f>
      </c>
    </row>
    <row x14ac:dyDescent="0.25" r="275" customHeight="1" ht="17.25">
      <c r="A275" s="20" t="s">
        <v>11085</v>
      </c>
      <c r="B275" s="20" t="s">
        <v>450</v>
      </c>
      <c r="C275" s="20" t="s">
        <v>56</v>
      </c>
      <c r="D275" s="20" t="s">
        <v>67</v>
      </c>
      <c r="E275" s="21">
        <f>ROUND(7371*1.05,2)</f>
      </c>
      <c r="F275" s="20" t="s">
        <v>44</v>
      </c>
      <c r="G275" s="20" t="s">
        <v>30</v>
      </c>
      <c r="H275" s="21">
        <f>ROUND(RAND()*4+6,1)</f>
      </c>
      <c r="I275" s="20" t="s">
        <v>45</v>
      </c>
      <c r="J275" s="23">
        <f>ROUND(92*1,0)&amp;"%"</f>
      </c>
    </row>
    <row x14ac:dyDescent="0.25" r="276" customHeight="1" ht="17.25">
      <c r="A276" s="17" t="s">
        <v>11086</v>
      </c>
      <c r="B276" s="17" t="s">
        <v>452</v>
      </c>
      <c r="C276" s="17" t="s">
        <v>56</v>
      </c>
      <c r="D276" s="17" t="s">
        <v>16</v>
      </c>
      <c r="E276" s="18">
        <f>ROUND(7076*1.05,2)</f>
      </c>
      <c r="F276" s="17" t="s">
        <v>48</v>
      </c>
      <c r="G276" s="17" t="s">
        <v>18</v>
      </c>
      <c r="H276" s="18">
        <f>ROUND(RAND()*4+6,1)</f>
      </c>
      <c r="I276" s="17" t="s">
        <v>19</v>
      </c>
      <c r="J276" s="19">
        <f>ROUND(61*1,0)&amp;"%"</f>
      </c>
    </row>
    <row x14ac:dyDescent="0.25" r="277" customHeight="1" ht="17.25">
      <c r="A277" s="20" t="s">
        <v>11087</v>
      </c>
      <c r="B277" s="20" t="s">
        <v>454</v>
      </c>
      <c r="C277" s="20" t="s">
        <v>56</v>
      </c>
      <c r="D277" s="20" t="s">
        <v>22</v>
      </c>
      <c r="E277" s="22">
        <f>ROUND(10880*1.05,2)</f>
      </c>
      <c r="F277" s="20" t="s">
        <v>51</v>
      </c>
      <c r="G277" s="20" t="s">
        <v>24</v>
      </c>
      <c r="H277" s="21">
        <f>ROUND(RAND()*4+6,1)</f>
      </c>
      <c r="I277" s="20" t="s">
        <v>25</v>
      </c>
      <c r="J277" s="23">
        <f>ROUND(68*1,0)&amp;"%"</f>
      </c>
    </row>
    <row x14ac:dyDescent="0.25" r="278" customHeight="1" ht="17.25">
      <c r="A278" s="24" t="s">
        <v>455</v>
      </c>
      <c r="B278" s="24"/>
      <c r="C278" s="24"/>
      <c r="D278" s="24"/>
      <c r="E278" s="25">
        <v>8</v>
      </c>
      <c r="F278" s="9"/>
      <c r="G278" s="9"/>
      <c r="H278" s="10"/>
      <c r="I278" s="9"/>
      <c r="J278" s="9"/>
    </row>
    <row x14ac:dyDescent="0.25" r="279" customHeight="1" ht="17.25">
      <c r="A279" s="7"/>
      <c r="B279" s="7"/>
      <c r="C279" s="7"/>
      <c r="D279" s="7"/>
      <c r="E279" s="8"/>
      <c r="F279" s="9"/>
      <c r="G279" s="9"/>
      <c r="H279" s="10"/>
      <c r="I279" s="9"/>
      <c r="J279" s="9"/>
    </row>
    <row x14ac:dyDescent="0.25" r="280" customHeight="1" ht="17.25">
      <c r="A280" s="11" t="s">
        <v>11088</v>
      </c>
      <c r="B280" s="11"/>
      <c r="C280" s="11"/>
      <c r="D280" s="11"/>
      <c r="E280" s="12"/>
      <c r="F280" s="11"/>
      <c r="G280" s="11"/>
      <c r="H280" s="13"/>
      <c r="I280" s="11"/>
      <c r="J280" s="11"/>
    </row>
    <row x14ac:dyDescent="0.25" r="281" customHeight="1" ht="17.25">
      <c r="A281" s="14" t="s">
        <v>3</v>
      </c>
      <c r="B281" s="14" t="s">
        <v>4</v>
      </c>
      <c r="C281" s="14" t="s">
        <v>5</v>
      </c>
      <c r="D281" s="14" t="s">
        <v>6</v>
      </c>
      <c r="E281" s="15" t="s">
        <v>7</v>
      </c>
      <c r="F281" s="14" t="s">
        <v>8</v>
      </c>
      <c r="G281" s="14" t="s">
        <v>9</v>
      </c>
      <c r="H281" s="16" t="s">
        <v>10</v>
      </c>
      <c r="I281" s="14" t="s">
        <v>11</v>
      </c>
      <c r="J281" s="14" t="s">
        <v>12</v>
      </c>
    </row>
    <row x14ac:dyDescent="0.25" r="282" customHeight="1" ht="17.25">
      <c r="A282" s="17" t="s">
        <v>11089</v>
      </c>
      <c r="B282" s="17" t="s">
        <v>458</v>
      </c>
      <c r="C282" s="17" t="s">
        <v>76</v>
      </c>
      <c r="D282" s="17" t="s">
        <v>16</v>
      </c>
      <c r="E282" s="18">
        <f>ROUND(17278*1.05,2)</f>
      </c>
      <c r="F282" s="17" t="s">
        <v>17</v>
      </c>
      <c r="G282" s="17" t="s">
        <v>18</v>
      </c>
      <c r="H282" s="18">
        <f>ROUND(RAND()*4+6,1)</f>
      </c>
      <c r="I282" s="17" t="s">
        <v>19</v>
      </c>
      <c r="J282" s="19">
        <f>ROUND(94*1,0)&amp;"%"</f>
      </c>
    </row>
    <row x14ac:dyDescent="0.25" r="283" customHeight="1" ht="17.25">
      <c r="A283" s="20" t="s">
        <v>11090</v>
      </c>
      <c r="B283" s="20" t="s">
        <v>460</v>
      </c>
      <c r="C283" s="20" t="s">
        <v>76</v>
      </c>
      <c r="D283" s="20" t="s">
        <v>22</v>
      </c>
      <c r="E283" s="21">
        <f>ROUND(15221*1.05,2)</f>
      </c>
      <c r="F283" s="20" t="s">
        <v>23</v>
      </c>
      <c r="G283" s="20" t="s">
        <v>24</v>
      </c>
      <c r="H283" s="21">
        <f>ROUND(RAND()*4+6,1)</f>
      </c>
      <c r="I283" s="20" t="s">
        <v>25</v>
      </c>
      <c r="J283" s="23">
        <f>ROUND(64*1,0)&amp;"%"</f>
      </c>
    </row>
    <row x14ac:dyDescent="0.25" r="284" customHeight="1" ht="17.25">
      <c r="A284" s="17" t="s">
        <v>11091</v>
      </c>
      <c r="B284" s="17" t="s">
        <v>462</v>
      </c>
      <c r="C284" s="17" t="s">
        <v>76</v>
      </c>
      <c r="D284" s="17" t="s">
        <v>28</v>
      </c>
      <c r="E284" s="18">
        <f>ROUND(15688*1.05,2)</f>
      </c>
      <c r="F284" s="17" t="s">
        <v>29</v>
      </c>
      <c r="G284" s="17" t="s">
        <v>30</v>
      </c>
      <c r="H284" s="18">
        <f>ROUND(RAND()*4+6,1)</f>
      </c>
      <c r="I284" s="17" t="s">
        <v>31</v>
      </c>
      <c r="J284" s="19">
        <f>ROUND(90*1,0)&amp;"%"</f>
      </c>
    </row>
    <row x14ac:dyDescent="0.25" r="285" customHeight="1" ht="17.25">
      <c r="A285" s="20" t="s">
        <v>11092</v>
      </c>
      <c r="B285" s="20" t="s">
        <v>464</v>
      </c>
      <c r="C285" s="20" t="s">
        <v>76</v>
      </c>
      <c r="D285" s="20" t="s">
        <v>34</v>
      </c>
      <c r="E285" s="21">
        <f>ROUND(12597*1.05,2)</f>
      </c>
      <c r="F285" s="20" t="s">
        <v>35</v>
      </c>
      <c r="G285" s="20" t="s">
        <v>18</v>
      </c>
      <c r="H285" s="21">
        <f>ROUND(RAND()*4+6,1)</f>
      </c>
      <c r="I285" s="20" t="s">
        <v>36</v>
      </c>
      <c r="J285" s="23">
        <f>ROUND(66*1,0)&amp;"%"</f>
      </c>
    </row>
    <row x14ac:dyDescent="0.25" r="286" customHeight="1" ht="17.25">
      <c r="A286" s="17" t="s">
        <v>11093</v>
      </c>
      <c r="B286" s="17" t="s">
        <v>466</v>
      </c>
      <c r="C286" s="17" t="s">
        <v>76</v>
      </c>
      <c r="D286" s="17" t="s">
        <v>39</v>
      </c>
      <c r="E286" s="18">
        <f>ROUND(13531*1.05,2)</f>
      </c>
      <c r="F286" s="17" t="s">
        <v>40</v>
      </c>
      <c r="G286" s="17" t="s">
        <v>24</v>
      </c>
      <c r="H286" s="18">
        <f>ROUND(RAND()*4+6,1)</f>
      </c>
      <c r="I286" s="17" t="s">
        <v>41</v>
      </c>
      <c r="J286" s="19">
        <f>ROUND(85*1,0)&amp;"%"</f>
      </c>
    </row>
    <row x14ac:dyDescent="0.25" r="287" customHeight="1" ht="17.25">
      <c r="A287" s="20" t="s">
        <v>11094</v>
      </c>
      <c r="B287" s="20" t="s">
        <v>468</v>
      </c>
      <c r="C287" s="20" t="s">
        <v>76</v>
      </c>
      <c r="D287" s="20" t="s">
        <v>67</v>
      </c>
      <c r="E287" s="22">
        <f>ROUND(4220*1.05,2)</f>
      </c>
      <c r="F287" s="20" t="s">
        <v>44</v>
      </c>
      <c r="G287" s="20" t="s">
        <v>30</v>
      </c>
      <c r="H287" s="21">
        <f>ROUND(RAND()*4+6,1)</f>
      </c>
      <c r="I287" s="20" t="s">
        <v>45</v>
      </c>
      <c r="J287" s="23">
        <f>ROUND(90*1,0)&amp;"%"</f>
      </c>
    </row>
    <row x14ac:dyDescent="0.25" r="288" customHeight="1" ht="17.25">
      <c r="A288" s="17" t="s">
        <v>11095</v>
      </c>
      <c r="B288" s="17" t="s">
        <v>470</v>
      </c>
      <c r="C288" s="17" t="s">
        <v>76</v>
      </c>
      <c r="D288" s="17" t="s">
        <v>16</v>
      </c>
      <c r="E288" s="18">
        <f>ROUND(11781*1.05,2)</f>
      </c>
      <c r="F288" s="17" t="s">
        <v>48</v>
      </c>
      <c r="G288" s="17" t="s">
        <v>18</v>
      </c>
      <c r="H288" s="18">
        <f>ROUND(RAND()*4+6,1)</f>
      </c>
      <c r="I288" s="17" t="s">
        <v>19</v>
      </c>
      <c r="J288" s="19">
        <f>ROUND(89*1,0)&amp;"%"</f>
      </c>
    </row>
    <row x14ac:dyDescent="0.25" r="289" customHeight="1" ht="17.25">
      <c r="A289" s="20" t="s">
        <v>11096</v>
      </c>
      <c r="B289" s="20" t="s">
        <v>472</v>
      </c>
      <c r="C289" s="20" t="s">
        <v>76</v>
      </c>
      <c r="D289" s="20" t="s">
        <v>22</v>
      </c>
      <c r="E289" s="21">
        <f>ROUND(14889*1.05,2)</f>
      </c>
      <c r="F289" s="20" t="s">
        <v>51</v>
      </c>
      <c r="G289" s="20" t="s">
        <v>24</v>
      </c>
      <c r="H289" s="21">
        <f>ROUND(RAND()*4+6,1)</f>
      </c>
      <c r="I289" s="20" t="s">
        <v>25</v>
      </c>
      <c r="J289" s="23">
        <f>ROUND(95*1,0)&amp;"%"</f>
      </c>
    </row>
    <row x14ac:dyDescent="0.25" r="290" customHeight="1" ht="17.25">
      <c r="A290" s="24" t="s">
        <v>473</v>
      </c>
      <c r="B290" s="24"/>
      <c r="C290" s="24"/>
      <c r="D290" s="24"/>
      <c r="E290" s="25">
        <v>8</v>
      </c>
      <c r="F290" s="9"/>
      <c r="G290" s="9"/>
      <c r="H290" s="10"/>
      <c r="I290" s="9"/>
      <c r="J290" s="9"/>
    </row>
    <row x14ac:dyDescent="0.25" r="291" customHeight="1" ht="17.25">
      <c r="A291" s="7"/>
      <c r="B291" s="7"/>
      <c r="C291" s="7"/>
      <c r="D291" s="7"/>
      <c r="E291" s="8"/>
      <c r="F291" s="9"/>
      <c r="G291" s="9"/>
      <c r="H291" s="10"/>
      <c r="I291" s="9"/>
      <c r="J291" s="9"/>
    </row>
    <row x14ac:dyDescent="0.25" r="292" customHeight="1" ht="17.25">
      <c r="A292" s="11" t="s">
        <v>11097</v>
      </c>
      <c r="B292" s="11"/>
      <c r="C292" s="11"/>
      <c r="D292" s="11"/>
      <c r="E292" s="12"/>
      <c r="F292" s="11"/>
      <c r="G292" s="11"/>
      <c r="H292" s="13"/>
      <c r="I292" s="11"/>
      <c r="J292" s="11"/>
    </row>
    <row x14ac:dyDescent="0.25" r="293" customHeight="1" ht="17.25">
      <c r="A293" s="14" t="s">
        <v>3</v>
      </c>
      <c r="B293" s="14" t="s">
        <v>4</v>
      </c>
      <c r="C293" s="14" t="s">
        <v>5</v>
      </c>
      <c r="D293" s="14" t="s">
        <v>6</v>
      </c>
      <c r="E293" s="15" t="s">
        <v>7</v>
      </c>
      <c r="F293" s="14" t="s">
        <v>8</v>
      </c>
      <c r="G293" s="14" t="s">
        <v>9</v>
      </c>
      <c r="H293" s="16" t="s">
        <v>10</v>
      </c>
      <c r="I293" s="14" t="s">
        <v>11</v>
      </c>
      <c r="J293" s="14" t="s">
        <v>12</v>
      </c>
    </row>
    <row x14ac:dyDescent="0.25" r="294" customHeight="1" ht="17.25">
      <c r="A294" s="17" t="s">
        <v>11098</v>
      </c>
      <c r="B294" s="17" t="s">
        <v>476</v>
      </c>
      <c r="C294" s="17" t="s">
        <v>95</v>
      </c>
      <c r="D294" s="17" t="s">
        <v>16</v>
      </c>
      <c r="E294" s="18">
        <f>ROUND(8719*1.05,2)</f>
      </c>
      <c r="F294" s="17" t="s">
        <v>17</v>
      </c>
      <c r="G294" s="17" t="s">
        <v>18</v>
      </c>
      <c r="H294" s="26">
        <f>ROUND(RAND()*4+6,1)</f>
      </c>
      <c r="I294" s="17" t="s">
        <v>19</v>
      </c>
      <c r="J294" s="19">
        <f>ROUND(90*1,0)&amp;"%"</f>
      </c>
    </row>
    <row x14ac:dyDescent="0.25" r="295" customHeight="1" ht="17.25">
      <c r="A295" s="20" t="s">
        <v>11099</v>
      </c>
      <c r="B295" s="20" t="s">
        <v>478</v>
      </c>
      <c r="C295" s="20" t="s">
        <v>95</v>
      </c>
      <c r="D295" s="20" t="s">
        <v>22</v>
      </c>
      <c r="E295" s="21">
        <f>ROUND(16865*1.05,2)</f>
      </c>
      <c r="F295" s="20" t="s">
        <v>23</v>
      </c>
      <c r="G295" s="20" t="s">
        <v>24</v>
      </c>
      <c r="H295" s="21">
        <f>ROUND(RAND()*4+6,1)</f>
      </c>
      <c r="I295" s="20" t="s">
        <v>25</v>
      </c>
      <c r="J295" s="23">
        <f>ROUND(67*1,0)&amp;"%"</f>
      </c>
    </row>
    <row x14ac:dyDescent="0.25" r="296" customHeight="1" ht="17.25">
      <c r="A296" s="17" t="s">
        <v>11100</v>
      </c>
      <c r="B296" s="17" t="s">
        <v>480</v>
      </c>
      <c r="C296" s="17" t="s">
        <v>95</v>
      </c>
      <c r="D296" s="17" t="s">
        <v>28</v>
      </c>
      <c r="E296" s="18">
        <f>ROUND(10074*1.05,2)</f>
      </c>
      <c r="F296" s="17" t="s">
        <v>29</v>
      </c>
      <c r="G296" s="17" t="s">
        <v>30</v>
      </c>
      <c r="H296" s="18">
        <f>ROUND(RAND()*4+6,1)</f>
      </c>
      <c r="I296" s="17" t="s">
        <v>31</v>
      </c>
      <c r="J296" s="19">
        <f>ROUND(62*1,0)&amp;"%"</f>
      </c>
    </row>
    <row x14ac:dyDescent="0.25" r="297" customHeight="1" ht="17.25">
      <c r="A297" s="20" t="s">
        <v>11101</v>
      </c>
      <c r="B297" s="20" t="s">
        <v>482</v>
      </c>
      <c r="C297" s="20" t="s">
        <v>95</v>
      </c>
      <c r="D297" s="20" t="s">
        <v>34</v>
      </c>
      <c r="E297" s="21">
        <f>ROUND(12368*1.05,2)</f>
      </c>
      <c r="F297" s="20" t="s">
        <v>35</v>
      </c>
      <c r="G297" s="20" t="s">
        <v>18</v>
      </c>
      <c r="H297" s="21">
        <f>ROUND(RAND()*4+6,1)</f>
      </c>
      <c r="I297" s="20" t="s">
        <v>36</v>
      </c>
      <c r="J297" s="23">
        <f>ROUND(69*1,0)&amp;"%"</f>
      </c>
    </row>
    <row x14ac:dyDescent="0.25" r="298" customHeight="1" ht="17.25">
      <c r="A298" s="17" t="s">
        <v>11102</v>
      </c>
      <c r="B298" s="17" t="s">
        <v>484</v>
      </c>
      <c r="C298" s="17" t="s">
        <v>95</v>
      </c>
      <c r="D298" s="17" t="s">
        <v>39</v>
      </c>
      <c r="E298" s="18">
        <f>ROUND(14353*1.05,2)</f>
      </c>
      <c r="F298" s="17" t="s">
        <v>40</v>
      </c>
      <c r="G298" s="17" t="s">
        <v>24</v>
      </c>
      <c r="H298" s="18">
        <f>ROUND(RAND()*4+6,1)</f>
      </c>
      <c r="I298" s="17" t="s">
        <v>41</v>
      </c>
      <c r="J298" s="19">
        <f>ROUND(69*1,0)&amp;"%"</f>
      </c>
    </row>
    <row x14ac:dyDescent="0.25" r="299" customHeight="1" ht="17.25">
      <c r="A299" s="20" t="s">
        <v>11103</v>
      </c>
      <c r="B299" s="20" t="s">
        <v>486</v>
      </c>
      <c r="C299" s="20" t="s">
        <v>95</v>
      </c>
      <c r="D299" s="20" t="s">
        <v>67</v>
      </c>
      <c r="E299" s="21">
        <f>ROUND(5166*1.05,2)</f>
      </c>
      <c r="F299" s="20" t="s">
        <v>44</v>
      </c>
      <c r="G299" s="20" t="s">
        <v>30</v>
      </c>
      <c r="H299" s="21">
        <f>ROUND(RAND()*4+6,1)</f>
      </c>
      <c r="I299" s="20" t="s">
        <v>45</v>
      </c>
      <c r="J299" s="23">
        <f>ROUND(73*1,0)&amp;"%"</f>
      </c>
    </row>
    <row x14ac:dyDescent="0.25" r="300" customHeight="1" ht="17.25">
      <c r="A300" s="17" t="s">
        <v>11104</v>
      </c>
      <c r="B300" s="17" t="s">
        <v>488</v>
      </c>
      <c r="C300" s="17" t="s">
        <v>95</v>
      </c>
      <c r="D300" s="17" t="s">
        <v>16</v>
      </c>
      <c r="E300" s="18">
        <f>ROUND(4787*1.05,2)</f>
      </c>
      <c r="F300" s="17" t="s">
        <v>48</v>
      </c>
      <c r="G300" s="17" t="s">
        <v>18</v>
      </c>
      <c r="H300" s="18">
        <f>ROUND(RAND()*4+6,1)</f>
      </c>
      <c r="I300" s="17" t="s">
        <v>19</v>
      </c>
      <c r="J300" s="19">
        <f>ROUND(61*1,0)&amp;"%"</f>
      </c>
    </row>
    <row x14ac:dyDescent="0.25" r="301" customHeight="1" ht="17.25">
      <c r="A301" s="20" t="s">
        <v>11105</v>
      </c>
      <c r="B301" s="20" t="s">
        <v>490</v>
      </c>
      <c r="C301" s="20" t="s">
        <v>95</v>
      </c>
      <c r="D301" s="20" t="s">
        <v>22</v>
      </c>
      <c r="E301" s="21">
        <f>ROUND(6037*1.05,2)</f>
      </c>
      <c r="F301" s="20" t="s">
        <v>51</v>
      </c>
      <c r="G301" s="20" t="s">
        <v>24</v>
      </c>
      <c r="H301" s="22">
        <f>ROUND(RAND()*4+6,1)</f>
      </c>
      <c r="I301" s="20" t="s">
        <v>25</v>
      </c>
      <c r="J301" s="23">
        <f>ROUND(91*1,0)&amp;"%"</f>
      </c>
    </row>
    <row x14ac:dyDescent="0.25" r="302" customHeight="1" ht="17.25">
      <c r="A302" s="24" t="s">
        <v>491</v>
      </c>
      <c r="B302" s="24"/>
      <c r="C302" s="24"/>
      <c r="D302" s="24"/>
      <c r="E302" s="25">
        <v>8</v>
      </c>
      <c r="F302" s="9"/>
      <c r="G302" s="9"/>
      <c r="H302" s="10"/>
      <c r="I302" s="9"/>
      <c r="J302" s="9"/>
    </row>
    <row x14ac:dyDescent="0.25" r="303" customHeight="1" ht="17.25">
      <c r="A303" s="7"/>
      <c r="B303" s="7"/>
      <c r="C303" s="7"/>
      <c r="D303" s="7"/>
      <c r="E303" s="8"/>
      <c r="F303" s="9"/>
      <c r="G303" s="9"/>
      <c r="H303" s="10"/>
      <c r="I303" s="9"/>
      <c r="J303" s="9"/>
    </row>
    <row x14ac:dyDescent="0.25" r="304" customHeight="1" ht="17.25">
      <c r="A304" s="11" t="s">
        <v>11106</v>
      </c>
      <c r="B304" s="11"/>
      <c r="C304" s="11"/>
      <c r="D304" s="11"/>
      <c r="E304" s="12"/>
      <c r="F304" s="11"/>
      <c r="G304" s="11"/>
      <c r="H304" s="13"/>
      <c r="I304" s="11"/>
      <c r="J304" s="11"/>
    </row>
    <row x14ac:dyDescent="0.25" r="305" customHeight="1" ht="17.25">
      <c r="A305" s="14" t="s">
        <v>3</v>
      </c>
      <c r="B305" s="14" t="s">
        <v>4</v>
      </c>
      <c r="C305" s="14" t="s">
        <v>5</v>
      </c>
      <c r="D305" s="14" t="s">
        <v>6</v>
      </c>
      <c r="E305" s="15" t="s">
        <v>7</v>
      </c>
      <c r="F305" s="14" t="s">
        <v>8</v>
      </c>
      <c r="G305" s="14" t="s">
        <v>9</v>
      </c>
      <c r="H305" s="16" t="s">
        <v>10</v>
      </c>
      <c r="I305" s="14" t="s">
        <v>11</v>
      </c>
      <c r="J305" s="14" t="s">
        <v>12</v>
      </c>
    </row>
    <row x14ac:dyDescent="0.25" r="306" customHeight="1" ht="17.25">
      <c r="A306" s="17" t="s">
        <v>11107</v>
      </c>
      <c r="B306" s="17" t="s">
        <v>494</v>
      </c>
      <c r="C306" s="17" t="s">
        <v>114</v>
      </c>
      <c r="D306" s="17" t="s">
        <v>16</v>
      </c>
      <c r="E306" s="18">
        <f>ROUND(12592*1.05,2)</f>
      </c>
      <c r="F306" s="17" t="s">
        <v>17</v>
      </c>
      <c r="G306" s="17" t="s">
        <v>18</v>
      </c>
      <c r="H306" s="26">
        <f>ROUND(RAND()*4+6,1)</f>
      </c>
      <c r="I306" s="17" t="s">
        <v>19</v>
      </c>
      <c r="J306" s="19">
        <f>ROUND(96*1,0)&amp;"%"</f>
      </c>
    </row>
    <row x14ac:dyDescent="0.25" r="307" customHeight="1" ht="17.25">
      <c r="A307" s="20" t="s">
        <v>11108</v>
      </c>
      <c r="B307" s="20" t="s">
        <v>496</v>
      </c>
      <c r="C307" s="20" t="s">
        <v>114</v>
      </c>
      <c r="D307" s="20" t="s">
        <v>22</v>
      </c>
      <c r="E307" s="21">
        <f>ROUND(7747*1.05,2)</f>
      </c>
      <c r="F307" s="20" t="s">
        <v>23</v>
      </c>
      <c r="G307" s="20" t="s">
        <v>24</v>
      </c>
      <c r="H307" s="21">
        <f>ROUND(RAND()*4+6,1)</f>
      </c>
      <c r="I307" s="20" t="s">
        <v>25</v>
      </c>
      <c r="J307" s="23">
        <f>ROUND(89*1,0)&amp;"%"</f>
      </c>
    </row>
    <row x14ac:dyDescent="0.25" r="308" customHeight="1" ht="17.25">
      <c r="A308" s="17" t="s">
        <v>11109</v>
      </c>
      <c r="B308" s="17" t="s">
        <v>498</v>
      </c>
      <c r="C308" s="17" t="s">
        <v>114</v>
      </c>
      <c r="D308" s="17" t="s">
        <v>28</v>
      </c>
      <c r="E308" s="18">
        <f>ROUND(4026*1.05,2)</f>
      </c>
      <c r="F308" s="17" t="s">
        <v>29</v>
      </c>
      <c r="G308" s="17" t="s">
        <v>30</v>
      </c>
      <c r="H308" s="18">
        <f>ROUND(RAND()*4+6,1)</f>
      </c>
      <c r="I308" s="17" t="s">
        <v>31</v>
      </c>
      <c r="J308" s="19">
        <f>ROUND(94*1,0)&amp;"%"</f>
      </c>
    </row>
    <row x14ac:dyDescent="0.25" r="309" customHeight="1" ht="17.25">
      <c r="A309" s="20" t="s">
        <v>11110</v>
      </c>
      <c r="B309" s="20" t="s">
        <v>500</v>
      </c>
      <c r="C309" s="20" t="s">
        <v>114</v>
      </c>
      <c r="D309" s="20" t="s">
        <v>34</v>
      </c>
      <c r="E309" s="21">
        <f>ROUND(16681*1.05,2)</f>
      </c>
      <c r="F309" s="20" t="s">
        <v>35</v>
      </c>
      <c r="G309" s="20" t="s">
        <v>18</v>
      </c>
      <c r="H309" s="21">
        <f>ROUND(RAND()*4+6,1)</f>
      </c>
      <c r="I309" s="20" t="s">
        <v>36</v>
      </c>
      <c r="J309" s="23">
        <f>ROUND(68*1,0)&amp;"%"</f>
      </c>
    </row>
    <row x14ac:dyDescent="0.25" r="310" customHeight="1" ht="17.25">
      <c r="A310" s="17" t="s">
        <v>11111</v>
      </c>
      <c r="B310" s="17" t="s">
        <v>502</v>
      </c>
      <c r="C310" s="17" t="s">
        <v>114</v>
      </c>
      <c r="D310" s="17" t="s">
        <v>39</v>
      </c>
      <c r="E310" s="18">
        <f>ROUND(5132*1.05,2)</f>
      </c>
      <c r="F310" s="17" t="s">
        <v>40</v>
      </c>
      <c r="G310" s="17" t="s">
        <v>24</v>
      </c>
      <c r="H310" s="18">
        <f>ROUND(RAND()*4+6,1)</f>
      </c>
      <c r="I310" s="17" t="s">
        <v>41</v>
      </c>
      <c r="J310" s="19">
        <f>ROUND(68*1,0)&amp;"%"</f>
      </c>
    </row>
    <row x14ac:dyDescent="0.25" r="311" customHeight="1" ht="17.25">
      <c r="A311" s="20" t="s">
        <v>11112</v>
      </c>
      <c r="B311" s="20" t="s">
        <v>504</v>
      </c>
      <c r="C311" s="20" t="s">
        <v>114</v>
      </c>
      <c r="D311" s="20" t="s">
        <v>67</v>
      </c>
      <c r="E311" s="21">
        <f>ROUND(16186*1.05,2)</f>
      </c>
      <c r="F311" s="20" t="s">
        <v>44</v>
      </c>
      <c r="G311" s="20" t="s">
        <v>30</v>
      </c>
      <c r="H311" s="21">
        <f>ROUND(RAND()*4+6,1)</f>
      </c>
      <c r="I311" s="20" t="s">
        <v>45</v>
      </c>
      <c r="J311" s="23">
        <f>ROUND(73*1,0)&amp;"%"</f>
      </c>
    </row>
    <row x14ac:dyDescent="0.25" r="312" customHeight="1" ht="17.25">
      <c r="A312" s="17" t="s">
        <v>11113</v>
      </c>
      <c r="B312" s="17" t="s">
        <v>506</v>
      </c>
      <c r="C312" s="17" t="s">
        <v>114</v>
      </c>
      <c r="D312" s="17" t="s">
        <v>16</v>
      </c>
      <c r="E312" s="18">
        <f>ROUND(7745*1.05,2)</f>
      </c>
      <c r="F312" s="17" t="s">
        <v>48</v>
      </c>
      <c r="G312" s="17" t="s">
        <v>18</v>
      </c>
      <c r="H312" s="18">
        <f>ROUND(RAND()*4+6,1)</f>
      </c>
      <c r="I312" s="17" t="s">
        <v>19</v>
      </c>
      <c r="J312" s="19">
        <f>ROUND(94*1,0)&amp;"%"</f>
      </c>
    </row>
    <row x14ac:dyDescent="0.25" r="313" customHeight="1" ht="17.25">
      <c r="A313" s="20" t="s">
        <v>11114</v>
      </c>
      <c r="B313" s="20" t="s">
        <v>508</v>
      </c>
      <c r="C313" s="20" t="s">
        <v>114</v>
      </c>
      <c r="D313" s="20" t="s">
        <v>22</v>
      </c>
      <c r="E313" s="21">
        <f>ROUND(5106*1.05,2)</f>
      </c>
      <c r="F313" s="20" t="s">
        <v>51</v>
      </c>
      <c r="G313" s="20" t="s">
        <v>24</v>
      </c>
      <c r="H313" s="21">
        <f>ROUND(RAND()*4+6,1)</f>
      </c>
      <c r="I313" s="20" t="s">
        <v>25</v>
      </c>
      <c r="J313" s="23">
        <f>ROUND(89*1,0)&amp;"%"</f>
      </c>
    </row>
    <row x14ac:dyDescent="0.25" r="314" customHeight="1" ht="17.25">
      <c r="A314" s="24" t="s">
        <v>509</v>
      </c>
      <c r="B314" s="24"/>
      <c r="C314" s="24"/>
      <c r="D314" s="24"/>
      <c r="E314" s="25">
        <v>8</v>
      </c>
      <c r="F314" s="9"/>
      <c r="G314" s="9"/>
      <c r="H314" s="10"/>
      <c r="I314" s="9"/>
      <c r="J314" s="9"/>
    </row>
    <row x14ac:dyDescent="0.25" r="315" customHeight="1" ht="17.25">
      <c r="A315" s="7"/>
      <c r="B315" s="7"/>
      <c r="C315" s="7"/>
      <c r="D315" s="7"/>
      <c r="E315" s="8"/>
      <c r="F315" s="9"/>
      <c r="G315" s="9"/>
      <c r="H315" s="10"/>
      <c r="I315" s="9"/>
      <c r="J315" s="9"/>
    </row>
    <row x14ac:dyDescent="0.25" r="316" customHeight="1" ht="17.25">
      <c r="A316" s="11" t="s">
        <v>11115</v>
      </c>
      <c r="B316" s="11"/>
      <c r="C316" s="11"/>
      <c r="D316" s="11"/>
      <c r="E316" s="12"/>
      <c r="F316" s="11"/>
      <c r="G316" s="11"/>
      <c r="H316" s="13"/>
      <c r="I316" s="11"/>
      <c r="J316" s="11"/>
    </row>
    <row x14ac:dyDescent="0.25" r="317" customHeight="1" ht="17.25">
      <c r="A317" s="14" t="s">
        <v>3</v>
      </c>
      <c r="B317" s="14" t="s">
        <v>4</v>
      </c>
      <c r="C317" s="14" t="s">
        <v>5</v>
      </c>
      <c r="D317" s="14" t="s">
        <v>6</v>
      </c>
      <c r="E317" s="15" t="s">
        <v>7</v>
      </c>
      <c r="F317" s="14" t="s">
        <v>8</v>
      </c>
      <c r="G317" s="14" t="s">
        <v>9</v>
      </c>
      <c r="H317" s="16" t="s">
        <v>10</v>
      </c>
      <c r="I317" s="14" t="s">
        <v>11</v>
      </c>
      <c r="J317" s="14" t="s">
        <v>12</v>
      </c>
    </row>
    <row x14ac:dyDescent="0.25" r="318" customHeight="1" ht="17.25">
      <c r="A318" s="17" t="s">
        <v>11116</v>
      </c>
      <c r="B318" s="17" t="s">
        <v>512</v>
      </c>
      <c r="C318" s="17" t="s">
        <v>133</v>
      </c>
      <c r="D318" s="17" t="s">
        <v>16</v>
      </c>
      <c r="E318" s="18">
        <f>ROUND(5634*1.05,2)</f>
      </c>
      <c r="F318" s="17" t="s">
        <v>17</v>
      </c>
      <c r="G318" s="17" t="s">
        <v>18</v>
      </c>
      <c r="H318" s="18">
        <f>ROUND(RAND()*4+6,1)</f>
      </c>
      <c r="I318" s="17" t="s">
        <v>19</v>
      </c>
      <c r="J318" s="19">
        <f>ROUND(86*1,0)&amp;"%"</f>
      </c>
    </row>
    <row x14ac:dyDescent="0.25" r="319" customHeight="1" ht="17.25">
      <c r="A319" s="20" t="s">
        <v>11117</v>
      </c>
      <c r="B319" s="20" t="s">
        <v>514</v>
      </c>
      <c r="C319" s="20" t="s">
        <v>133</v>
      </c>
      <c r="D319" s="20" t="s">
        <v>22</v>
      </c>
      <c r="E319" s="21">
        <f>ROUND(16822*1.05,2)</f>
      </c>
      <c r="F319" s="20" t="s">
        <v>23</v>
      </c>
      <c r="G319" s="20" t="s">
        <v>24</v>
      </c>
      <c r="H319" s="21">
        <f>ROUND(RAND()*4+6,1)</f>
      </c>
      <c r="I319" s="20" t="s">
        <v>25</v>
      </c>
      <c r="J319" s="23">
        <f>ROUND(86*1,0)&amp;"%"</f>
      </c>
    </row>
    <row x14ac:dyDescent="0.25" r="320" customHeight="1" ht="17.25">
      <c r="A320" s="17" t="s">
        <v>11118</v>
      </c>
      <c r="B320" s="17" t="s">
        <v>516</v>
      </c>
      <c r="C320" s="17" t="s">
        <v>133</v>
      </c>
      <c r="D320" s="17" t="s">
        <v>28</v>
      </c>
      <c r="E320" s="18">
        <f>ROUND(7131*1.05,2)</f>
      </c>
      <c r="F320" s="17" t="s">
        <v>29</v>
      </c>
      <c r="G320" s="17" t="s">
        <v>30</v>
      </c>
      <c r="H320" s="18">
        <f>ROUND(RAND()*4+6,1)</f>
      </c>
      <c r="I320" s="17" t="s">
        <v>31</v>
      </c>
      <c r="J320" s="19">
        <f>ROUND(80*1,0)&amp;"%"</f>
      </c>
    </row>
    <row x14ac:dyDescent="0.25" r="321" customHeight="1" ht="17.25">
      <c r="A321" s="20" t="s">
        <v>11119</v>
      </c>
      <c r="B321" s="20" t="s">
        <v>518</v>
      </c>
      <c r="C321" s="20" t="s">
        <v>133</v>
      </c>
      <c r="D321" s="20" t="s">
        <v>34</v>
      </c>
      <c r="E321" s="21">
        <f>ROUND(15994*1.05,2)</f>
      </c>
      <c r="F321" s="20" t="s">
        <v>35</v>
      </c>
      <c r="G321" s="20" t="s">
        <v>18</v>
      </c>
      <c r="H321" s="21">
        <f>ROUND(RAND()*4+6,1)</f>
      </c>
      <c r="I321" s="20" t="s">
        <v>36</v>
      </c>
      <c r="J321" s="23">
        <f>ROUND(65*1,0)&amp;"%"</f>
      </c>
    </row>
    <row x14ac:dyDescent="0.25" r="322" customHeight="1" ht="17.25">
      <c r="A322" s="17" t="s">
        <v>11120</v>
      </c>
      <c r="B322" s="17" t="s">
        <v>520</v>
      </c>
      <c r="C322" s="17" t="s">
        <v>133</v>
      </c>
      <c r="D322" s="17" t="s">
        <v>39</v>
      </c>
      <c r="E322" s="18">
        <f>ROUND(16683*1.05,2)</f>
      </c>
      <c r="F322" s="17" t="s">
        <v>40</v>
      </c>
      <c r="G322" s="17" t="s">
        <v>24</v>
      </c>
      <c r="H322" s="18">
        <f>ROUND(RAND()*4+6,1)</f>
      </c>
      <c r="I322" s="17" t="s">
        <v>41</v>
      </c>
      <c r="J322" s="19">
        <f>ROUND(87*1,0)&amp;"%"</f>
      </c>
    </row>
    <row x14ac:dyDescent="0.25" r="323" customHeight="1" ht="17.25">
      <c r="A323" s="20" t="s">
        <v>11121</v>
      </c>
      <c r="B323" s="20" t="s">
        <v>522</v>
      </c>
      <c r="C323" s="20" t="s">
        <v>133</v>
      </c>
      <c r="D323" s="20" t="s">
        <v>67</v>
      </c>
      <c r="E323" s="21">
        <f>ROUND(13878*1.05,2)</f>
      </c>
      <c r="F323" s="20" t="s">
        <v>44</v>
      </c>
      <c r="G323" s="20" t="s">
        <v>30</v>
      </c>
      <c r="H323" s="21">
        <f>ROUND(RAND()*4+6,1)</f>
      </c>
      <c r="I323" s="20" t="s">
        <v>45</v>
      </c>
      <c r="J323" s="23">
        <f>ROUND(83*1,0)&amp;"%"</f>
      </c>
    </row>
    <row x14ac:dyDescent="0.25" r="324" customHeight="1" ht="17.25">
      <c r="A324" s="17" t="s">
        <v>11122</v>
      </c>
      <c r="B324" s="17" t="s">
        <v>524</v>
      </c>
      <c r="C324" s="17" t="s">
        <v>133</v>
      </c>
      <c r="D324" s="17" t="s">
        <v>16</v>
      </c>
      <c r="E324" s="18">
        <f>ROUND(16566*1.05,2)</f>
      </c>
      <c r="F324" s="17" t="s">
        <v>48</v>
      </c>
      <c r="G324" s="17" t="s">
        <v>18</v>
      </c>
      <c r="H324" s="18">
        <f>ROUND(RAND()*4+6,1)</f>
      </c>
      <c r="I324" s="17" t="s">
        <v>19</v>
      </c>
      <c r="J324" s="19">
        <f>ROUND(100*1,0)&amp;"%"</f>
      </c>
    </row>
    <row x14ac:dyDescent="0.25" r="325" customHeight="1" ht="17.25">
      <c r="A325" s="20" t="s">
        <v>11123</v>
      </c>
      <c r="B325" s="20" t="s">
        <v>526</v>
      </c>
      <c r="C325" s="20" t="s">
        <v>133</v>
      </c>
      <c r="D325" s="20" t="s">
        <v>22</v>
      </c>
      <c r="E325" s="21">
        <f>ROUND(13639*1.05,2)</f>
      </c>
      <c r="F325" s="20" t="s">
        <v>51</v>
      </c>
      <c r="G325" s="20" t="s">
        <v>24</v>
      </c>
      <c r="H325" s="21">
        <f>ROUND(RAND()*4+6,1)</f>
      </c>
      <c r="I325" s="20" t="s">
        <v>25</v>
      </c>
      <c r="J325" s="23">
        <f>ROUND(71*1,0)&amp;"%"</f>
      </c>
    </row>
    <row x14ac:dyDescent="0.25" r="326" customHeight="1" ht="17.25">
      <c r="A326" s="24" t="s">
        <v>527</v>
      </c>
      <c r="B326" s="24"/>
      <c r="C326" s="24"/>
      <c r="D326" s="24"/>
      <c r="E326" s="25">
        <v>8</v>
      </c>
      <c r="F326" s="9"/>
      <c r="G326" s="9"/>
      <c r="H326" s="10"/>
      <c r="I326" s="9"/>
      <c r="J326" s="9"/>
    </row>
    <row x14ac:dyDescent="0.25" r="327" customHeight="1" ht="17.25">
      <c r="A327" s="7"/>
      <c r="B327" s="7"/>
      <c r="C327" s="7"/>
      <c r="D327" s="7"/>
      <c r="E327" s="8"/>
      <c r="F327" s="9"/>
      <c r="G327" s="9"/>
      <c r="H327" s="10"/>
      <c r="I327" s="9"/>
      <c r="J327" s="9"/>
    </row>
    <row x14ac:dyDescent="0.25" r="328" customHeight="1" ht="17.25">
      <c r="A328" s="11" t="s">
        <v>11124</v>
      </c>
      <c r="B328" s="11"/>
      <c r="C328" s="11"/>
      <c r="D328" s="11"/>
      <c r="E328" s="12"/>
      <c r="F328" s="11"/>
      <c r="G328" s="11"/>
      <c r="H328" s="13"/>
      <c r="I328" s="11"/>
      <c r="J328" s="11"/>
    </row>
    <row x14ac:dyDescent="0.25" r="329" customHeight="1" ht="17.25">
      <c r="A329" s="14" t="s">
        <v>3</v>
      </c>
      <c r="B329" s="14" t="s">
        <v>4</v>
      </c>
      <c r="C329" s="14" t="s">
        <v>5</v>
      </c>
      <c r="D329" s="14" t="s">
        <v>6</v>
      </c>
      <c r="E329" s="15" t="s">
        <v>7</v>
      </c>
      <c r="F329" s="14" t="s">
        <v>8</v>
      </c>
      <c r="G329" s="14" t="s">
        <v>9</v>
      </c>
      <c r="H329" s="16" t="s">
        <v>10</v>
      </c>
      <c r="I329" s="14" t="s">
        <v>11</v>
      </c>
      <c r="J329" s="14" t="s">
        <v>12</v>
      </c>
    </row>
    <row x14ac:dyDescent="0.25" r="330" customHeight="1" ht="17.25">
      <c r="A330" s="17" t="s">
        <v>11125</v>
      </c>
      <c r="B330" s="17" t="s">
        <v>530</v>
      </c>
      <c r="C330" s="17" t="s">
        <v>152</v>
      </c>
      <c r="D330" s="17" t="s">
        <v>16</v>
      </c>
      <c r="E330" s="18">
        <f>ROUND(15443*1.05,2)</f>
      </c>
      <c r="F330" s="17" t="s">
        <v>17</v>
      </c>
      <c r="G330" s="17" t="s">
        <v>18</v>
      </c>
      <c r="H330" s="18">
        <f>ROUND(RAND()*4+6,1)</f>
      </c>
      <c r="I330" s="17" t="s">
        <v>19</v>
      </c>
      <c r="J330" s="19">
        <f>ROUND(78*1,0)&amp;"%"</f>
      </c>
    </row>
    <row x14ac:dyDescent="0.25" r="331" customHeight="1" ht="17.25">
      <c r="A331" s="20" t="s">
        <v>11126</v>
      </c>
      <c r="B331" s="20" t="s">
        <v>532</v>
      </c>
      <c r="C331" s="20" t="s">
        <v>152</v>
      </c>
      <c r="D331" s="20" t="s">
        <v>22</v>
      </c>
      <c r="E331" s="21">
        <f>ROUND(17534*1.05,2)</f>
      </c>
      <c r="F331" s="20" t="s">
        <v>23</v>
      </c>
      <c r="G331" s="20" t="s">
        <v>24</v>
      </c>
      <c r="H331" s="21">
        <f>ROUND(RAND()*4+6,1)</f>
      </c>
      <c r="I331" s="20" t="s">
        <v>25</v>
      </c>
      <c r="J331" s="23">
        <f>ROUND(63*1,0)&amp;"%"</f>
      </c>
    </row>
    <row x14ac:dyDescent="0.25" r="332" customHeight="1" ht="17.25">
      <c r="A332" s="17" t="s">
        <v>11127</v>
      </c>
      <c r="B332" s="17" t="s">
        <v>534</v>
      </c>
      <c r="C332" s="17" t="s">
        <v>152</v>
      </c>
      <c r="D332" s="17" t="s">
        <v>28</v>
      </c>
      <c r="E332" s="18">
        <f>ROUND(15744*1.05,2)</f>
      </c>
      <c r="F332" s="17" t="s">
        <v>29</v>
      </c>
      <c r="G332" s="17" t="s">
        <v>30</v>
      </c>
      <c r="H332" s="18">
        <f>ROUND(RAND()*4+6,1)</f>
      </c>
      <c r="I332" s="17" t="s">
        <v>31</v>
      </c>
      <c r="J332" s="19">
        <f>ROUND(96*1,0)&amp;"%"</f>
      </c>
    </row>
    <row x14ac:dyDescent="0.25" r="333" customHeight="1" ht="17.25">
      <c r="A333" s="20" t="s">
        <v>11128</v>
      </c>
      <c r="B333" s="20" t="s">
        <v>536</v>
      </c>
      <c r="C333" s="20" t="s">
        <v>152</v>
      </c>
      <c r="D333" s="20" t="s">
        <v>34</v>
      </c>
      <c r="E333" s="21">
        <f>ROUND(11829*1.05,2)</f>
      </c>
      <c r="F333" s="20" t="s">
        <v>35</v>
      </c>
      <c r="G333" s="20" t="s">
        <v>18</v>
      </c>
      <c r="H333" s="21">
        <f>ROUND(RAND()*4+6,1)</f>
      </c>
      <c r="I333" s="20" t="s">
        <v>36</v>
      </c>
      <c r="J333" s="23">
        <f>ROUND(99*1,0)&amp;"%"</f>
      </c>
    </row>
    <row x14ac:dyDescent="0.25" r="334" customHeight="1" ht="17.25">
      <c r="A334" s="17" t="s">
        <v>11129</v>
      </c>
      <c r="B334" s="17" t="s">
        <v>538</v>
      </c>
      <c r="C334" s="17" t="s">
        <v>152</v>
      </c>
      <c r="D334" s="17" t="s">
        <v>39</v>
      </c>
      <c r="E334" s="18">
        <f>ROUND(8496*1.05,2)</f>
      </c>
      <c r="F334" s="17" t="s">
        <v>40</v>
      </c>
      <c r="G334" s="17" t="s">
        <v>24</v>
      </c>
      <c r="H334" s="26">
        <f>ROUND(RAND()*4+6,1)</f>
      </c>
      <c r="I334" s="17" t="s">
        <v>41</v>
      </c>
      <c r="J334" s="19">
        <f>ROUND(86*1,0)&amp;"%"</f>
      </c>
    </row>
    <row x14ac:dyDescent="0.25" r="335" customHeight="1" ht="17.25">
      <c r="A335" s="20" t="s">
        <v>11130</v>
      </c>
      <c r="B335" s="20" t="s">
        <v>540</v>
      </c>
      <c r="C335" s="20" t="s">
        <v>152</v>
      </c>
      <c r="D335" s="20" t="s">
        <v>67</v>
      </c>
      <c r="E335" s="21">
        <f>ROUND(8765*1.05,2)</f>
      </c>
      <c r="F335" s="20" t="s">
        <v>44</v>
      </c>
      <c r="G335" s="20" t="s">
        <v>30</v>
      </c>
      <c r="H335" s="21">
        <f>ROUND(RAND()*4+6,1)</f>
      </c>
      <c r="I335" s="20" t="s">
        <v>45</v>
      </c>
      <c r="J335" s="23">
        <f>ROUND(68*1,0)&amp;"%"</f>
      </c>
    </row>
    <row x14ac:dyDescent="0.25" r="336" customHeight="1" ht="17.25">
      <c r="A336" s="17" t="s">
        <v>11131</v>
      </c>
      <c r="B336" s="17" t="s">
        <v>542</v>
      </c>
      <c r="C336" s="17" t="s">
        <v>152</v>
      </c>
      <c r="D336" s="17" t="s">
        <v>16</v>
      </c>
      <c r="E336" s="18">
        <f>ROUND(8528*1.05,2)</f>
      </c>
      <c r="F336" s="17" t="s">
        <v>48</v>
      </c>
      <c r="G336" s="17" t="s">
        <v>18</v>
      </c>
      <c r="H336" s="18">
        <f>ROUND(RAND()*4+6,1)</f>
      </c>
      <c r="I336" s="17" t="s">
        <v>19</v>
      </c>
      <c r="J336" s="19">
        <f>ROUND(69*1,0)&amp;"%"</f>
      </c>
    </row>
    <row x14ac:dyDescent="0.25" r="337" customHeight="1" ht="17.25">
      <c r="A337" s="20" t="s">
        <v>11132</v>
      </c>
      <c r="B337" s="20" t="s">
        <v>544</v>
      </c>
      <c r="C337" s="20" t="s">
        <v>152</v>
      </c>
      <c r="D337" s="20" t="s">
        <v>22</v>
      </c>
      <c r="E337" s="21">
        <f>ROUND(6011*1.05,2)</f>
      </c>
      <c r="F337" s="20" t="s">
        <v>51</v>
      </c>
      <c r="G337" s="20" t="s">
        <v>24</v>
      </c>
      <c r="H337" s="21">
        <f>ROUND(RAND()*4+6,1)</f>
      </c>
      <c r="I337" s="20" t="s">
        <v>25</v>
      </c>
      <c r="J337" s="23">
        <f>ROUND(85*1,0)&amp;"%"</f>
      </c>
    </row>
    <row x14ac:dyDescent="0.25" r="338" customHeight="1" ht="17.25">
      <c r="A338" s="24" t="s">
        <v>545</v>
      </c>
      <c r="B338" s="24"/>
      <c r="C338" s="24"/>
      <c r="D338" s="24"/>
      <c r="E338" s="25">
        <v>8</v>
      </c>
      <c r="F338" s="9"/>
      <c r="G338" s="9"/>
      <c r="H338" s="10"/>
      <c r="I338" s="9"/>
      <c r="J338" s="9"/>
    </row>
    <row x14ac:dyDescent="0.25" r="339" customHeight="1" ht="17.25">
      <c r="A339" s="7"/>
      <c r="B339" s="7"/>
      <c r="C339" s="7"/>
      <c r="D339" s="7"/>
      <c r="E339" s="8"/>
      <c r="F339" s="9"/>
      <c r="G339" s="9"/>
      <c r="H339" s="10"/>
      <c r="I339" s="9"/>
      <c r="J339" s="9"/>
    </row>
    <row x14ac:dyDescent="0.25" r="340" customHeight="1" ht="17.25">
      <c r="A340" s="11" t="s">
        <v>11133</v>
      </c>
      <c r="B340" s="11"/>
      <c r="C340" s="11"/>
      <c r="D340" s="11"/>
      <c r="E340" s="12"/>
      <c r="F340" s="11"/>
      <c r="G340" s="11"/>
      <c r="H340" s="13"/>
      <c r="I340" s="11"/>
      <c r="J340" s="11"/>
    </row>
    <row x14ac:dyDescent="0.25" r="341" customHeight="1" ht="17.25">
      <c r="A341" s="14" t="s">
        <v>3</v>
      </c>
      <c r="B341" s="14" t="s">
        <v>4</v>
      </c>
      <c r="C341" s="14" t="s">
        <v>5</v>
      </c>
      <c r="D341" s="14" t="s">
        <v>6</v>
      </c>
      <c r="E341" s="15" t="s">
        <v>7</v>
      </c>
      <c r="F341" s="14" t="s">
        <v>8</v>
      </c>
      <c r="G341" s="14" t="s">
        <v>9</v>
      </c>
      <c r="H341" s="16" t="s">
        <v>10</v>
      </c>
      <c r="I341" s="14" t="s">
        <v>11</v>
      </c>
      <c r="J341" s="14" t="s">
        <v>12</v>
      </c>
    </row>
    <row x14ac:dyDescent="0.25" r="342" customHeight="1" ht="17.25">
      <c r="A342" s="17" t="s">
        <v>11134</v>
      </c>
      <c r="B342" s="17" t="s">
        <v>548</v>
      </c>
      <c r="C342" s="17" t="s">
        <v>15</v>
      </c>
      <c r="D342" s="17" t="s">
        <v>16</v>
      </c>
      <c r="E342" s="18">
        <f>ROUND(15972*1.05,2)</f>
      </c>
      <c r="F342" s="17" t="s">
        <v>17</v>
      </c>
      <c r="G342" s="17" t="s">
        <v>18</v>
      </c>
      <c r="H342" s="18">
        <f>ROUND(RAND()*4+6,1)</f>
      </c>
      <c r="I342" s="17" t="s">
        <v>19</v>
      </c>
      <c r="J342" s="19">
        <f>ROUND(88*1,0)&amp;"%"</f>
      </c>
    </row>
    <row x14ac:dyDescent="0.25" r="343" customHeight="1" ht="17.25">
      <c r="A343" s="20" t="s">
        <v>11135</v>
      </c>
      <c r="B343" s="20" t="s">
        <v>550</v>
      </c>
      <c r="C343" s="20" t="s">
        <v>15</v>
      </c>
      <c r="D343" s="20" t="s">
        <v>22</v>
      </c>
      <c r="E343" s="21">
        <f>ROUND(6243*1.05,2)</f>
      </c>
      <c r="F343" s="20" t="s">
        <v>23</v>
      </c>
      <c r="G343" s="20" t="s">
        <v>24</v>
      </c>
      <c r="H343" s="21">
        <f>ROUND(RAND()*4+6,1)</f>
      </c>
      <c r="I343" s="20" t="s">
        <v>25</v>
      </c>
      <c r="J343" s="23">
        <f>ROUND(74*1,0)&amp;"%"</f>
      </c>
    </row>
    <row x14ac:dyDescent="0.25" r="344" customHeight="1" ht="17.25">
      <c r="A344" s="17" t="s">
        <v>11136</v>
      </c>
      <c r="B344" s="17" t="s">
        <v>552</v>
      </c>
      <c r="C344" s="17" t="s">
        <v>15</v>
      </c>
      <c r="D344" s="17" t="s">
        <v>28</v>
      </c>
      <c r="E344" s="18">
        <f>ROUND(10097*1.05,2)</f>
      </c>
      <c r="F344" s="17" t="s">
        <v>29</v>
      </c>
      <c r="G344" s="17" t="s">
        <v>30</v>
      </c>
      <c r="H344" s="18">
        <f>ROUND(RAND()*4+6,1)</f>
      </c>
      <c r="I344" s="17" t="s">
        <v>31</v>
      </c>
      <c r="J344" s="19">
        <f>ROUND(82*1,0)&amp;"%"</f>
      </c>
    </row>
    <row x14ac:dyDescent="0.25" r="345" customHeight="1" ht="17.25">
      <c r="A345" s="20" t="s">
        <v>11137</v>
      </c>
      <c r="B345" s="20" t="s">
        <v>554</v>
      </c>
      <c r="C345" s="20" t="s">
        <v>15</v>
      </c>
      <c r="D345" s="20" t="s">
        <v>34</v>
      </c>
      <c r="E345" s="21">
        <f>ROUND(10421*1.05,2)</f>
      </c>
      <c r="F345" s="20" t="s">
        <v>35</v>
      </c>
      <c r="G345" s="20" t="s">
        <v>18</v>
      </c>
      <c r="H345" s="21">
        <f>ROUND(RAND()*4+6,1)</f>
      </c>
      <c r="I345" s="20" t="s">
        <v>36</v>
      </c>
      <c r="J345" s="23">
        <f>ROUND(88*1,0)&amp;"%"</f>
      </c>
    </row>
    <row x14ac:dyDescent="0.25" r="346" customHeight="1" ht="17.25">
      <c r="A346" s="17" t="s">
        <v>11138</v>
      </c>
      <c r="B346" s="17" t="s">
        <v>556</v>
      </c>
      <c r="C346" s="17" t="s">
        <v>15</v>
      </c>
      <c r="D346" s="17" t="s">
        <v>39</v>
      </c>
      <c r="E346" s="18">
        <f>ROUND(7910*1.05,2)</f>
      </c>
      <c r="F346" s="17" t="s">
        <v>40</v>
      </c>
      <c r="G346" s="17" t="s">
        <v>24</v>
      </c>
      <c r="H346" s="18">
        <f>ROUND(RAND()*4+6,1)</f>
      </c>
      <c r="I346" s="17" t="s">
        <v>41</v>
      </c>
      <c r="J346" s="19">
        <f>ROUND(94*1,0)&amp;"%"</f>
      </c>
    </row>
    <row x14ac:dyDescent="0.25" r="347" customHeight="1" ht="17.25">
      <c r="A347" s="20" t="s">
        <v>11139</v>
      </c>
      <c r="B347" s="20" t="s">
        <v>558</v>
      </c>
      <c r="C347" s="20" t="s">
        <v>15</v>
      </c>
      <c r="D347" s="20" t="s">
        <v>67</v>
      </c>
      <c r="E347" s="21">
        <f>ROUND(13195*1.05,2)</f>
      </c>
      <c r="F347" s="20" t="s">
        <v>44</v>
      </c>
      <c r="G347" s="20" t="s">
        <v>30</v>
      </c>
      <c r="H347" s="21">
        <f>ROUND(RAND()*4+6,1)</f>
      </c>
      <c r="I347" s="20" t="s">
        <v>45</v>
      </c>
      <c r="J347" s="23">
        <f>ROUND(69*1,0)&amp;"%"</f>
      </c>
    </row>
    <row x14ac:dyDescent="0.25" r="348" customHeight="1" ht="17.25">
      <c r="A348" s="17" t="s">
        <v>11140</v>
      </c>
      <c r="B348" s="17" t="s">
        <v>560</v>
      </c>
      <c r="C348" s="17" t="s">
        <v>15</v>
      </c>
      <c r="D348" s="17" t="s">
        <v>16</v>
      </c>
      <c r="E348" s="18">
        <f>ROUND(6528*1.05,2)</f>
      </c>
      <c r="F348" s="17" t="s">
        <v>48</v>
      </c>
      <c r="G348" s="17" t="s">
        <v>18</v>
      </c>
      <c r="H348" s="18">
        <f>ROUND(RAND()*4+6,1)</f>
      </c>
      <c r="I348" s="17" t="s">
        <v>19</v>
      </c>
      <c r="J348" s="19">
        <f>ROUND(91*1,0)&amp;"%"</f>
      </c>
    </row>
    <row x14ac:dyDescent="0.25" r="349" customHeight="1" ht="17.25">
      <c r="A349" s="20" t="s">
        <v>11141</v>
      </c>
      <c r="B349" s="20" t="s">
        <v>562</v>
      </c>
      <c r="C349" s="20" t="s">
        <v>15</v>
      </c>
      <c r="D349" s="20" t="s">
        <v>22</v>
      </c>
      <c r="E349" s="21">
        <f>ROUND(7042*1.05,2)</f>
      </c>
      <c r="F349" s="20" t="s">
        <v>51</v>
      </c>
      <c r="G349" s="20" t="s">
        <v>24</v>
      </c>
      <c r="H349" s="22">
        <f>ROUND(RAND()*4+6,1)</f>
      </c>
      <c r="I349" s="20" t="s">
        <v>25</v>
      </c>
      <c r="J349" s="23">
        <f>ROUND(94*1,0)&amp;"%"</f>
      </c>
    </row>
    <row x14ac:dyDescent="0.25" r="350" customHeight="1" ht="17.25">
      <c r="A350" s="24" t="s">
        <v>563</v>
      </c>
      <c r="B350" s="24"/>
      <c r="C350" s="24"/>
      <c r="D350" s="24"/>
      <c r="E350" s="25">
        <v>8</v>
      </c>
      <c r="F350" s="9"/>
      <c r="G350" s="9"/>
      <c r="H350" s="10"/>
      <c r="I350" s="9"/>
      <c r="J350" s="9"/>
    </row>
    <row x14ac:dyDescent="0.25" r="351" customHeight="1" ht="17.25">
      <c r="A351" s="7"/>
      <c r="B351" s="7"/>
      <c r="C351" s="7"/>
      <c r="D351" s="7"/>
      <c r="E351" s="8"/>
      <c r="F351" s="9"/>
      <c r="G351" s="9"/>
      <c r="H351" s="10"/>
      <c r="I351" s="9"/>
      <c r="J351" s="9"/>
    </row>
    <row x14ac:dyDescent="0.25" r="352" customHeight="1" ht="17.25">
      <c r="A352" s="11" t="s">
        <v>11142</v>
      </c>
      <c r="B352" s="11"/>
      <c r="C352" s="11"/>
      <c r="D352" s="11"/>
      <c r="E352" s="12"/>
      <c r="F352" s="11"/>
      <c r="G352" s="11"/>
      <c r="H352" s="13"/>
      <c r="I352" s="11"/>
      <c r="J352" s="11"/>
    </row>
    <row x14ac:dyDescent="0.25" r="353" customHeight="1" ht="17.25">
      <c r="A353" s="14" t="s">
        <v>3</v>
      </c>
      <c r="B353" s="14" t="s">
        <v>4</v>
      </c>
      <c r="C353" s="14" t="s">
        <v>5</v>
      </c>
      <c r="D353" s="14" t="s">
        <v>6</v>
      </c>
      <c r="E353" s="15" t="s">
        <v>7</v>
      </c>
      <c r="F353" s="14" t="s">
        <v>8</v>
      </c>
      <c r="G353" s="14" t="s">
        <v>9</v>
      </c>
      <c r="H353" s="16" t="s">
        <v>10</v>
      </c>
      <c r="I353" s="14" t="s">
        <v>11</v>
      </c>
      <c r="J353" s="14" t="s">
        <v>12</v>
      </c>
    </row>
    <row x14ac:dyDescent="0.25" r="354" customHeight="1" ht="17.25">
      <c r="A354" s="17" t="s">
        <v>11143</v>
      </c>
      <c r="B354" s="17" t="s">
        <v>566</v>
      </c>
      <c r="C354" s="17" t="s">
        <v>56</v>
      </c>
      <c r="D354" s="17" t="s">
        <v>16</v>
      </c>
      <c r="E354" s="18">
        <f>ROUND(14263*1.05,2)</f>
      </c>
      <c r="F354" s="17" t="s">
        <v>17</v>
      </c>
      <c r="G354" s="17" t="s">
        <v>18</v>
      </c>
      <c r="H354" s="18">
        <f>ROUND(RAND()*4+6,1)</f>
      </c>
      <c r="I354" s="17" t="s">
        <v>19</v>
      </c>
      <c r="J354" s="19">
        <f>ROUND(85*1,0)&amp;"%"</f>
      </c>
    </row>
    <row x14ac:dyDescent="0.25" r="355" customHeight="1" ht="17.25">
      <c r="A355" s="20" t="s">
        <v>11144</v>
      </c>
      <c r="B355" s="20" t="s">
        <v>568</v>
      </c>
      <c r="C355" s="20" t="s">
        <v>56</v>
      </c>
      <c r="D355" s="20" t="s">
        <v>22</v>
      </c>
      <c r="E355" s="21">
        <f>ROUND(17850*1.05,2)</f>
      </c>
      <c r="F355" s="20" t="s">
        <v>23</v>
      </c>
      <c r="G355" s="20" t="s">
        <v>24</v>
      </c>
      <c r="H355" s="21">
        <f>ROUND(RAND()*4+6,1)</f>
      </c>
      <c r="I355" s="20" t="s">
        <v>25</v>
      </c>
      <c r="J355" s="23">
        <f>ROUND(68*1,0)&amp;"%"</f>
      </c>
    </row>
    <row x14ac:dyDescent="0.25" r="356" customHeight="1" ht="17.25">
      <c r="A356" s="17" t="s">
        <v>11145</v>
      </c>
      <c r="B356" s="17" t="s">
        <v>570</v>
      </c>
      <c r="C356" s="17" t="s">
        <v>56</v>
      </c>
      <c r="D356" s="17" t="s">
        <v>28</v>
      </c>
      <c r="E356" s="18">
        <f>ROUND(15855*1.05,2)</f>
      </c>
      <c r="F356" s="17" t="s">
        <v>29</v>
      </c>
      <c r="G356" s="17" t="s">
        <v>30</v>
      </c>
      <c r="H356" s="18">
        <f>ROUND(RAND()*4+6,1)</f>
      </c>
      <c r="I356" s="17" t="s">
        <v>31</v>
      </c>
      <c r="J356" s="19">
        <f>ROUND(84*1,0)&amp;"%"</f>
      </c>
    </row>
    <row x14ac:dyDescent="0.25" r="357" customHeight="1" ht="17.25">
      <c r="A357" s="20" t="s">
        <v>11146</v>
      </c>
      <c r="B357" s="20" t="s">
        <v>572</v>
      </c>
      <c r="C357" s="20" t="s">
        <v>56</v>
      </c>
      <c r="D357" s="20" t="s">
        <v>34</v>
      </c>
      <c r="E357" s="21">
        <f>ROUND(5043*1.05,2)</f>
      </c>
      <c r="F357" s="20" t="s">
        <v>35</v>
      </c>
      <c r="G357" s="20" t="s">
        <v>18</v>
      </c>
      <c r="H357" s="21">
        <f>ROUND(RAND()*4+6,1)</f>
      </c>
      <c r="I357" s="20" t="s">
        <v>36</v>
      </c>
      <c r="J357" s="23">
        <f>ROUND(69*1,0)&amp;"%"</f>
      </c>
    </row>
    <row x14ac:dyDescent="0.25" r="358" customHeight="1" ht="17.25">
      <c r="A358" s="17" t="s">
        <v>11147</v>
      </c>
      <c r="B358" s="17" t="s">
        <v>574</v>
      </c>
      <c r="C358" s="17" t="s">
        <v>56</v>
      </c>
      <c r="D358" s="17" t="s">
        <v>39</v>
      </c>
      <c r="E358" s="18">
        <f>ROUND(6563*1.05,2)</f>
      </c>
      <c r="F358" s="17" t="s">
        <v>40</v>
      </c>
      <c r="G358" s="17" t="s">
        <v>24</v>
      </c>
      <c r="H358" s="26">
        <f>ROUND(RAND()*4+6,1)</f>
      </c>
      <c r="I358" s="17" t="s">
        <v>41</v>
      </c>
      <c r="J358" s="19">
        <f>ROUND(84*1,0)&amp;"%"</f>
      </c>
    </row>
    <row x14ac:dyDescent="0.25" r="359" customHeight="1" ht="17.25">
      <c r="A359" s="20" t="s">
        <v>11148</v>
      </c>
      <c r="B359" s="20" t="s">
        <v>576</v>
      </c>
      <c r="C359" s="20" t="s">
        <v>56</v>
      </c>
      <c r="D359" s="20" t="s">
        <v>67</v>
      </c>
      <c r="E359" s="21">
        <f>ROUND(6873*1.05,2)</f>
      </c>
      <c r="F359" s="20" t="s">
        <v>44</v>
      </c>
      <c r="G359" s="20" t="s">
        <v>30</v>
      </c>
      <c r="H359" s="21">
        <f>ROUND(RAND()*4+6,1)</f>
      </c>
      <c r="I359" s="20" t="s">
        <v>45</v>
      </c>
      <c r="J359" s="23">
        <f>ROUND(94*1,0)&amp;"%"</f>
      </c>
    </row>
    <row x14ac:dyDescent="0.25" r="360" customHeight="1" ht="17.25">
      <c r="A360" s="17" t="s">
        <v>11149</v>
      </c>
      <c r="B360" s="17" t="s">
        <v>578</v>
      </c>
      <c r="C360" s="17" t="s">
        <v>56</v>
      </c>
      <c r="D360" s="17" t="s">
        <v>16</v>
      </c>
      <c r="E360" s="18">
        <f>ROUND(17459*1.05,2)</f>
      </c>
      <c r="F360" s="17" t="s">
        <v>48</v>
      </c>
      <c r="G360" s="17" t="s">
        <v>18</v>
      </c>
      <c r="H360" s="18">
        <f>ROUND(RAND()*4+6,1)</f>
      </c>
      <c r="I360" s="17" t="s">
        <v>19</v>
      </c>
      <c r="J360" s="19">
        <f>ROUND(93*1,0)&amp;"%"</f>
      </c>
    </row>
    <row x14ac:dyDescent="0.25" r="361" customHeight="1" ht="17.25">
      <c r="A361" s="20" t="s">
        <v>11150</v>
      </c>
      <c r="B361" s="20" t="s">
        <v>580</v>
      </c>
      <c r="C361" s="20" t="s">
        <v>56</v>
      </c>
      <c r="D361" s="20" t="s">
        <v>22</v>
      </c>
      <c r="E361" s="21">
        <f>ROUND(9178*1.05,2)</f>
      </c>
      <c r="F361" s="20" t="s">
        <v>51</v>
      </c>
      <c r="G361" s="20" t="s">
        <v>24</v>
      </c>
      <c r="H361" s="21">
        <f>ROUND(RAND()*4+6,1)</f>
      </c>
      <c r="I361" s="20" t="s">
        <v>25</v>
      </c>
      <c r="J361" s="23">
        <f>ROUND(79*1,0)&amp;"%"</f>
      </c>
    </row>
    <row x14ac:dyDescent="0.25" r="362" customHeight="1" ht="17.25">
      <c r="A362" s="24" t="s">
        <v>581</v>
      </c>
      <c r="B362" s="24"/>
      <c r="C362" s="24"/>
      <c r="D362" s="24"/>
      <c r="E362" s="25">
        <v>8</v>
      </c>
      <c r="F362" s="9"/>
      <c r="G362" s="9"/>
      <c r="H362" s="10"/>
      <c r="I362" s="9"/>
      <c r="J362" s="9"/>
    </row>
  </sheetData>
  <mergeCells count="62">
    <mergeCell ref="A1:J1"/>
    <mergeCell ref="A2:J2"/>
    <mergeCell ref="A4:J4"/>
    <mergeCell ref="A14:D14"/>
    <mergeCell ref="A16:J16"/>
    <mergeCell ref="A26:D26"/>
    <mergeCell ref="A28:J28"/>
    <mergeCell ref="A38:D38"/>
    <mergeCell ref="A40:J40"/>
    <mergeCell ref="A50:D50"/>
    <mergeCell ref="A52:J52"/>
    <mergeCell ref="A62:D62"/>
    <mergeCell ref="A64:J64"/>
    <mergeCell ref="A74:D74"/>
    <mergeCell ref="A76:J76"/>
    <mergeCell ref="A86:D86"/>
    <mergeCell ref="A88:J88"/>
    <mergeCell ref="A98:D98"/>
    <mergeCell ref="A100:J100"/>
    <mergeCell ref="A110:D110"/>
    <mergeCell ref="A112:J112"/>
    <mergeCell ref="A122:D122"/>
    <mergeCell ref="A124:J124"/>
    <mergeCell ref="A134:D134"/>
    <mergeCell ref="A136:J136"/>
    <mergeCell ref="A146:D146"/>
    <mergeCell ref="A148:J148"/>
    <mergeCell ref="A158:D158"/>
    <mergeCell ref="A160:J160"/>
    <mergeCell ref="A170:D170"/>
    <mergeCell ref="A172:J172"/>
    <mergeCell ref="A182:D182"/>
    <mergeCell ref="A184:J184"/>
    <mergeCell ref="A194:D194"/>
    <mergeCell ref="A196:J196"/>
    <mergeCell ref="A206:D206"/>
    <mergeCell ref="A208:J208"/>
    <mergeCell ref="A218:D218"/>
    <mergeCell ref="A220:J220"/>
    <mergeCell ref="A230:D230"/>
    <mergeCell ref="A232:J232"/>
    <mergeCell ref="A242:D242"/>
    <mergeCell ref="A244:J244"/>
    <mergeCell ref="A254:D254"/>
    <mergeCell ref="A256:J256"/>
    <mergeCell ref="A266:D266"/>
    <mergeCell ref="A268:J268"/>
    <mergeCell ref="A278:D278"/>
    <mergeCell ref="A280:J280"/>
    <mergeCell ref="A290:D290"/>
    <mergeCell ref="A292:J292"/>
    <mergeCell ref="A302:D302"/>
    <mergeCell ref="A304:J304"/>
    <mergeCell ref="A314:D314"/>
    <mergeCell ref="A316:J316"/>
    <mergeCell ref="A326:D326"/>
    <mergeCell ref="A328:J328"/>
    <mergeCell ref="A338:D338"/>
    <mergeCell ref="A340:J340"/>
    <mergeCell ref="A350:D350"/>
    <mergeCell ref="A352:J352"/>
    <mergeCell ref="A362:D362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J362"/>
  <sheetViews>
    <sheetView workbookViewId="0"/>
  </sheetViews>
  <sheetFormatPr defaultRowHeight="15" x14ac:dyDescent="0.25"/>
  <cols>
    <col min="1" max="1" style="27" width="8.005" customWidth="1" bestFit="1"/>
    <col min="2" max="2" style="27" width="22.005" customWidth="1" bestFit="1"/>
    <col min="3" max="3" style="27" width="16.005" customWidth="1" bestFit="1"/>
    <col min="4" max="4" style="27" width="14.005" customWidth="1" bestFit="1"/>
    <col min="5" max="5" style="28" width="12.005" customWidth="1" bestFit="1"/>
    <col min="6" max="6" style="29" width="16.005" customWidth="1" bestFit="1"/>
    <col min="7" max="7" style="29" width="10.005" customWidth="1" bestFit="1"/>
    <col min="8" max="8" style="30" width="10.005" customWidth="1" bestFit="1"/>
    <col min="9" max="9" style="29" width="14.005" customWidth="1" bestFit="1"/>
    <col min="10" max="10" style="29" width="8.005" customWidth="1" bestFit="1"/>
  </cols>
  <sheetData>
    <row x14ac:dyDescent="0.25" r="1" customHeight="1" ht="17.25">
      <c r="A1" s="1" t="s">
        <v>10609</v>
      </c>
      <c r="B1" s="1"/>
      <c r="C1" s="1"/>
      <c r="D1" s="1"/>
      <c r="E1" s="2"/>
      <c r="F1" s="1"/>
      <c r="G1" s="1"/>
      <c r="H1" s="3"/>
      <c r="I1" s="1"/>
      <c r="J1" s="1"/>
    </row>
    <row x14ac:dyDescent="0.25" r="2" customHeight="1" ht="17.25">
      <c r="A2" s="4" t="s">
        <v>1</v>
      </c>
      <c r="B2" s="4"/>
      <c r="C2" s="4"/>
      <c r="D2" s="4"/>
      <c r="E2" s="5"/>
      <c r="F2" s="4"/>
      <c r="G2" s="4"/>
      <c r="H2" s="6"/>
      <c r="I2" s="4"/>
      <c r="J2" s="4"/>
    </row>
    <row x14ac:dyDescent="0.25" r="3" customHeight="1" ht="17.25">
      <c r="A3" s="7"/>
      <c r="B3" s="7"/>
      <c r="C3" s="7"/>
      <c r="D3" s="7"/>
      <c r="E3" s="8"/>
      <c r="F3" s="9"/>
      <c r="G3" s="9"/>
      <c r="H3" s="10"/>
      <c r="I3" s="9"/>
      <c r="J3" s="9"/>
    </row>
    <row x14ac:dyDescent="0.25" r="4" customHeight="1" ht="17.25">
      <c r="A4" s="11" t="s">
        <v>10610</v>
      </c>
      <c r="B4" s="11"/>
      <c r="C4" s="11"/>
      <c r="D4" s="11"/>
      <c r="E4" s="12"/>
      <c r="F4" s="11"/>
      <c r="G4" s="11"/>
      <c r="H4" s="13"/>
      <c r="I4" s="11"/>
      <c r="J4" s="11"/>
    </row>
    <row x14ac:dyDescent="0.25" r="5" customHeight="1" ht="17.25">
      <c r="A5" s="14" t="s">
        <v>3</v>
      </c>
      <c r="B5" s="14" t="s">
        <v>4</v>
      </c>
      <c r="C5" s="14" t="s">
        <v>5</v>
      </c>
      <c r="D5" s="14" t="s">
        <v>6</v>
      </c>
      <c r="E5" s="15" t="s">
        <v>7</v>
      </c>
      <c r="F5" s="14" t="s">
        <v>8</v>
      </c>
      <c r="G5" s="14" t="s">
        <v>9</v>
      </c>
      <c r="H5" s="16" t="s">
        <v>10</v>
      </c>
      <c r="I5" s="14" t="s">
        <v>11</v>
      </c>
      <c r="J5" s="14" t="s">
        <v>12</v>
      </c>
    </row>
    <row x14ac:dyDescent="0.25" r="6" customHeight="1" ht="17.25">
      <c r="A6" s="17" t="s">
        <v>10611</v>
      </c>
      <c r="B6" s="17" t="s">
        <v>14</v>
      </c>
      <c r="C6" s="17" t="s">
        <v>15</v>
      </c>
      <c r="D6" s="17" t="s">
        <v>16</v>
      </c>
      <c r="E6" s="18">
        <f>ROUND(9262*1.05,2)</f>
      </c>
      <c r="F6" s="17" t="s">
        <v>17</v>
      </c>
      <c r="G6" s="17" t="s">
        <v>18</v>
      </c>
      <c r="H6" s="18">
        <f>ROUND(RAND()*4+6,1)</f>
      </c>
      <c r="I6" s="17" t="s">
        <v>19</v>
      </c>
      <c r="J6" s="19">
        <f>ROUND(90*1,0)&amp;"%"</f>
      </c>
    </row>
    <row x14ac:dyDescent="0.25" r="7" customHeight="1" ht="17.25">
      <c r="A7" s="20" t="s">
        <v>10612</v>
      </c>
      <c r="B7" s="20" t="s">
        <v>21</v>
      </c>
      <c r="C7" s="20" t="s">
        <v>15</v>
      </c>
      <c r="D7" s="20" t="s">
        <v>22</v>
      </c>
      <c r="E7" s="21">
        <f>ROUND(9489*1.05,2)</f>
      </c>
      <c r="F7" s="20" t="s">
        <v>23</v>
      </c>
      <c r="G7" s="20" t="s">
        <v>24</v>
      </c>
      <c r="H7" s="21">
        <f>ROUND(RAND()*4+6,1)</f>
      </c>
      <c r="I7" s="20" t="s">
        <v>25</v>
      </c>
      <c r="J7" s="23">
        <f>ROUND(68*1,0)&amp;"%"</f>
      </c>
    </row>
    <row x14ac:dyDescent="0.25" r="8" customHeight="1" ht="17.25">
      <c r="A8" s="17" t="s">
        <v>10613</v>
      </c>
      <c r="B8" s="17" t="s">
        <v>27</v>
      </c>
      <c r="C8" s="17" t="s">
        <v>15</v>
      </c>
      <c r="D8" s="17" t="s">
        <v>28</v>
      </c>
      <c r="E8" s="26">
        <f>ROUND(10540*1.05,2)</f>
      </c>
      <c r="F8" s="17" t="s">
        <v>29</v>
      </c>
      <c r="G8" s="17" t="s">
        <v>30</v>
      </c>
      <c r="H8" s="18">
        <f>ROUND(RAND()*4+6,1)</f>
      </c>
      <c r="I8" s="17" t="s">
        <v>31</v>
      </c>
      <c r="J8" s="19">
        <f>ROUND(97*1,0)&amp;"%"</f>
      </c>
    </row>
    <row x14ac:dyDescent="0.25" r="9" customHeight="1" ht="17.25">
      <c r="A9" s="20" t="s">
        <v>10614</v>
      </c>
      <c r="B9" s="20" t="s">
        <v>33</v>
      </c>
      <c r="C9" s="20" t="s">
        <v>15</v>
      </c>
      <c r="D9" s="20" t="s">
        <v>34</v>
      </c>
      <c r="E9" s="21">
        <f>ROUND(11546*1.05,2)</f>
      </c>
      <c r="F9" s="20" t="s">
        <v>35</v>
      </c>
      <c r="G9" s="20" t="s">
        <v>18</v>
      </c>
      <c r="H9" s="22">
        <f>ROUND(RAND()*4+6,1)</f>
      </c>
      <c r="I9" s="20" t="s">
        <v>36</v>
      </c>
      <c r="J9" s="23">
        <f>ROUND(80*1,0)&amp;"%"</f>
      </c>
    </row>
    <row x14ac:dyDescent="0.25" r="10" customHeight="1" ht="17.25">
      <c r="A10" s="17" t="s">
        <v>10615</v>
      </c>
      <c r="B10" s="17" t="s">
        <v>38</v>
      </c>
      <c r="C10" s="17" t="s">
        <v>15</v>
      </c>
      <c r="D10" s="17" t="s">
        <v>39</v>
      </c>
      <c r="E10" s="18">
        <f>ROUND(11802*1.05,2)</f>
      </c>
      <c r="F10" s="17" t="s">
        <v>40</v>
      </c>
      <c r="G10" s="17" t="s">
        <v>24</v>
      </c>
      <c r="H10" s="18">
        <f>ROUND(RAND()*4+6,1)</f>
      </c>
      <c r="I10" s="17" t="s">
        <v>41</v>
      </c>
      <c r="J10" s="19">
        <f>ROUND(85*1,0)&amp;"%"</f>
      </c>
    </row>
    <row x14ac:dyDescent="0.25" r="11" customHeight="1" ht="17.25">
      <c r="A11" s="20" t="s">
        <v>10616</v>
      </c>
      <c r="B11" s="20" t="s">
        <v>43</v>
      </c>
      <c r="C11" s="20" t="s">
        <v>15</v>
      </c>
      <c r="D11" s="20" t="s">
        <v>67</v>
      </c>
      <c r="E11" s="21">
        <f>ROUND(5027*1.05,2)</f>
      </c>
      <c r="F11" s="20" t="s">
        <v>44</v>
      </c>
      <c r="G11" s="20" t="s">
        <v>30</v>
      </c>
      <c r="H11" s="21">
        <f>ROUND(RAND()*4+6,1)</f>
      </c>
      <c r="I11" s="20" t="s">
        <v>45</v>
      </c>
      <c r="J11" s="23">
        <f>ROUND(96*1,0)&amp;"%"</f>
      </c>
    </row>
    <row x14ac:dyDescent="0.25" r="12" customHeight="1" ht="17.25">
      <c r="A12" s="17" t="s">
        <v>10617</v>
      </c>
      <c r="B12" s="17" t="s">
        <v>47</v>
      </c>
      <c r="C12" s="17" t="s">
        <v>15</v>
      </c>
      <c r="D12" s="17" t="s">
        <v>16</v>
      </c>
      <c r="E12" s="18">
        <f>ROUND(17144*1.05,2)</f>
      </c>
      <c r="F12" s="17" t="s">
        <v>48</v>
      </c>
      <c r="G12" s="17" t="s">
        <v>18</v>
      </c>
      <c r="H12" s="18">
        <f>ROUND(RAND()*4+6,1)</f>
      </c>
      <c r="I12" s="17" t="s">
        <v>19</v>
      </c>
      <c r="J12" s="19">
        <f>ROUND(85*1,0)&amp;"%"</f>
      </c>
    </row>
    <row x14ac:dyDescent="0.25" r="13" customHeight="1" ht="17.25">
      <c r="A13" s="20" t="s">
        <v>10618</v>
      </c>
      <c r="B13" s="20" t="s">
        <v>50</v>
      </c>
      <c r="C13" s="20" t="s">
        <v>15</v>
      </c>
      <c r="D13" s="20" t="s">
        <v>22</v>
      </c>
      <c r="E13" s="21">
        <f>ROUND(11948*1.05,2)</f>
      </c>
      <c r="F13" s="20" t="s">
        <v>51</v>
      </c>
      <c r="G13" s="20" t="s">
        <v>24</v>
      </c>
      <c r="H13" s="22">
        <f>ROUND(RAND()*4+6,1)</f>
      </c>
      <c r="I13" s="20" t="s">
        <v>25</v>
      </c>
      <c r="J13" s="23">
        <f>ROUND(86*1,0)&amp;"%"</f>
      </c>
    </row>
    <row x14ac:dyDescent="0.25" r="14" customHeight="1" ht="17.25">
      <c r="A14" s="24" t="s">
        <v>52</v>
      </c>
      <c r="B14" s="24"/>
      <c r="C14" s="24"/>
      <c r="D14" s="24"/>
      <c r="E14" s="25">
        <v>8</v>
      </c>
      <c r="F14" s="9"/>
      <c r="G14" s="9"/>
      <c r="H14" s="10"/>
      <c r="I14" s="9"/>
      <c r="J14" s="9"/>
    </row>
    <row x14ac:dyDescent="0.25" r="15" customHeight="1" ht="17.25">
      <c r="A15" s="7"/>
      <c r="B15" s="7"/>
      <c r="C15" s="7"/>
      <c r="D15" s="7"/>
      <c r="E15" s="8"/>
      <c r="F15" s="9"/>
      <c r="G15" s="9"/>
      <c r="H15" s="10"/>
      <c r="I15" s="9"/>
      <c r="J15" s="9"/>
    </row>
    <row x14ac:dyDescent="0.25" r="16" customHeight="1" ht="17.25">
      <c r="A16" s="11" t="s">
        <v>10619</v>
      </c>
      <c r="B16" s="11"/>
      <c r="C16" s="11"/>
      <c r="D16" s="11"/>
      <c r="E16" s="12"/>
      <c r="F16" s="11"/>
      <c r="G16" s="11"/>
      <c r="H16" s="13"/>
      <c r="I16" s="11"/>
      <c r="J16" s="11"/>
    </row>
    <row x14ac:dyDescent="0.25" r="17" customHeight="1" ht="17.25">
      <c r="A17" s="14" t="s">
        <v>3</v>
      </c>
      <c r="B17" s="14" t="s">
        <v>4</v>
      </c>
      <c r="C17" s="14" t="s">
        <v>5</v>
      </c>
      <c r="D17" s="14" t="s">
        <v>6</v>
      </c>
      <c r="E17" s="15" t="s">
        <v>7</v>
      </c>
      <c r="F17" s="14" t="s">
        <v>8</v>
      </c>
      <c r="G17" s="14" t="s">
        <v>9</v>
      </c>
      <c r="H17" s="16" t="s">
        <v>10</v>
      </c>
      <c r="I17" s="14" t="s">
        <v>11</v>
      </c>
      <c r="J17" s="14" t="s">
        <v>12</v>
      </c>
    </row>
    <row x14ac:dyDescent="0.25" r="18" customHeight="1" ht="17.25">
      <c r="A18" s="17" t="s">
        <v>10620</v>
      </c>
      <c r="B18" s="17" t="s">
        <v>55</v>
      </c>
      <c r="C18" s="17" t="s">
        <v>56</v>
      </c>
      <c r="D18" s="17" t="s">
        <v>16</v>
      </c>
      <c r="E18" s="18">
        <f>ROUND(5885*1.05,2)</f>
      </c>
      <c r="F18" s="17" t="s">
        <v>17</v>
      </c>
      <c r="G18" s="17" t="s">
        <v>18</v>
      </c>
      <c r="H18" s="18">
        <f>ROUND(RAND()*4+6,1)</f>
      </c>
      <c r="I18" s="17" t="s">
        <v>19</v>
      </c>
      <c r="J18" s="19">
        <f>ROUND(65*1,0)&amp;"%"</f>
      </c>
    </row>
    <row x14ac:dyDescent="0.25" r="19" customHeight="1" ht="17.25">
      <c r="A19" s="20" t="s">
        <v>10621</v>
      </c>
      <c r="B19" s="20" t="s">
        <v>58</v>
      </c>
      <c r="C19" s="20" t="s">
        <v>56</v>
      </c>
      <c r="D19" s="20" t="s">
        <v>22</v>
      </c>
      <c r="E19" s="21">
        <f>ROUND(12136*1.05,2)</f>
      </c>
      <c r="F19" s="20" t="s">
        <v>23</v>
      </c>
      <c r="G19" s="20" t="s">
        <v>24</v>
      </c>
      <c r="H19" s="21">
        <f>ROUND(RAND()*4+6,1)</f>
      </c>
      <c r="I19" s="20" t="s">
        <v>25</v>
      </c>
      <c r="J19" s="23">
        <f>ROUND(67*1,0)&amp;"%"</f>
      </c>
    </row>
    <row x14ac:dyDescent="0.25" r="20" customHeight="1" ht="17.25">
      <c r="A20" s="17" t="s">
        <v>10622</v>
      </c>
      <c r="B20" s="17" t="s">
        <v>60</v>
      </c>
      <c r="C20" s="17" t="s">
        <v>56</v>
      </c>
      <c r="D20" s="17" t="s">
        <v>28</v>
      </c>
      <c r="E20" s="18">
        <f>ROUND(11114*1.05,2)</f>
      </c>
      <c r="F20" s="17" t="s">
        <v>29</v>
      </c>
      <c r="G20" s="17" t="s">
        <v>30</v>
      </c>
      <c r="H20" s="18">
        <f>ROUND(RAND()*4+6,1)</f>
      </c>
      <c r="I20" s="17" t="s">
        <v>31</v>
      </c>
      <c r="J20" s="19">
        <f>ROUND(78*1,0)&amp;"%"</f>
      </c>
    </row>
    <row x14ac:dyDescent="0.25" r="21" customHeight="1" ht="17.25">
      <c r="A21" s="20" t="s">
        <v>10623</v>
      </c>
      <c r="B21" s="20" t="s">
        <v>62</v>
      </c>
      <c r="C21" s="20" t="s">
        <v>56</v>
      </c>
      <c r="D21" s="20" t="s">
        <v>34</v>
      </c>
      <c r="E21" s="21">
        <f>ROUND(15564*1.05,2)</f>
      </c>
      <c r="F21" s="20" t="s">
        <v>35</v>
      </c>
      <c r="G21" s="20" t="s">
        <v>18</v>
      </c>
      <c r="H21" s="21">
        <f>ROUND(RAND()*4+6,1)</f>
      </c>
      <c r="I21" s="20" t="s">
        <v>36</v>
      </c>
      <c r="J21" s="23">
        <f>ROUND(85*1,0)&amp;"%"</f>
      </c>
    </row>
    <row x14ac:dyDescent="0.25" r="22" customHeight="1" ht="17.25">
      <c r="A22" s="17" t="s">
        <v>10624</v>
      </c>
      <c r="B22" s="17" t="s">
        <v>64</v>
      </c>
      <c r="C22" s="17" t="s">
        <v>56</v>
      </c>
      <c r="D22" s="17" t="s">
        <v>39</v>
      </c>
      <c r="E22" s="18">
        <f>ROUND(6346*1.05,2)</f>
      </c>
      <c r="F22" s="17" t="s">
        <v>40</v>
      </c>
      <c r="G22" s="17" t="s">
        <v>24</v>
      </c>
      <c r="H22" s="18">
        <f>ROUND(RAND()*4+6,1)</f>
      </c>
      <c r="I22" s="17" t="s">
        <v>41</v>
      </c>
      <c r="J22" s="19">
        <f>ROUND(100*1,0)&amp;"%"</f>
      </c>
    </row>
    <row x14ac:dyDescent="0.25" r="23" customHeight="1" ht="17.25">
      <c r="A23" s="20" t="s">
        <v>10625</v>
      </c>
      <c r="B23" s="20" t="s">
        <v>66</v>
      </c>
      <c r="C23" s="20" t="s">
        <v>56</v>
      </c>
      <c r="D23" s="20" t="s">
        <v>67</v>
      </c>
      <c r="E23" s="21">
        <f>ROUND(11661*1.05,2)</f>
      </c>
      <c r="F23" s="20" t="s">
        <v>44</v>
      </c>
      <c r="G23" s="20" t="s">
        <v>30</v>
      </c>
      <c r="H23" s="22">
        <f>ROUND(RAND()*4+6,1)</f>
      </c>
      <c r="I23" s="20" t="s">
        <v>45</v>
      </c>
      <c r="J23" s="23">
        <f>ROUND(70*1,0)&amp;"%"</f>
      </c>
    </row>
    <row x14ac:dyDescent="0.25" r="24" customHeight="1" ht="17.25">
      <c r="A24" s="17" t="s">
        <v>10626</v>
      </c>
      <c r="B24" s="17" t="s">
        <v>69</v>
      </c>
      <c r="C24" s="17" t="s">
        <v>56</v>
      </c>
      <c r="D24" s="17" t="s">
        <v>16</v>
      </c>
      <c r="E24" s="18">
        <f>ROUND(6742*1.05,2)</f>
      </c>
      <c r="F24" s="17" t="s">
        <v>48</v>
      </c>
      <c r="G24" s="17" t="s">
        <v>18</v>
      </c>
      <c r="H24" s="18">
        <f>ROUND(RAND()*4+6,1)</f>
      </c>
      <c r="I24" s="17" t="s">
        <v>19</v>
      </c>
      <c r="J24" s="19">
        <f>ROUND(75*1,0)&amp;"%"</f>
      </c>
    </row>
    <row x14ac:dyDescent="0.25" r="25" customHeight="1" ht="17.25">
      <c r="A25" s="20" t="s">
        <v>10627</v>
      </c>
      <c r="B25" s="20" t="s">
        <v>71</v>
      </c>
      <c r="C25" s="20" t="s">
        <v>56</v>
      </c>
      <c r="D25" s="20" t="s">
        <v>22</v>
      </c>
      <c r="E25" s="21">
        <f>ROUND(14143*1.05,2)</f>
      </c>
      <c r="F25" s="20" t="s">
        <v>51</v>
      </c>
      <c r="G25" s="20" t="s">
        <v>24</v>
      </c>
      <c r="H25" s="21">
        <f>ROUND(RAND()*4+6,1)</f>
      </c>
      <c r="I25" s="20" t="s">
        <v>25</v>
      </c>
      <c r="J25" s="23">
        <f>ROUND(91*1,0)&amp;"%"</f>
      </c>
    </row>
    <row x14ac:dyDescent="0.25" r="26" customHeight="1" ht="17.25">
      <c r="A26" s="24" t="s">
        <v>72</v>
      </c>
      <c r="B26" s="24"/>
      <c r="C26" s="24"/>
      <c r="D26" s="24"/>
      <c r="E26" s="25">
        <v>8</v>
      </c>
      <c r="F26" s="9"/>
      <c r="G26" s="9"/>
      <c r="H26" s="10"/>
      <c r="I26" s="9"/>
      <c r="J26" s="9"/>
    </row>
    <row x14ac:dyDescent="0.25" r="27" customHeight="1" ht="17.25">
      <c r="A27" s="7"/>
      <c r="B27" s="7"/>
      <c r="C27" s="7"/>
      <c r="D27" s="7"/>
      <c r="E27" s="8"/>
      <c r="F27" s="9"/>
      <c r="G27" s="9"/>
      <c r="H27" s="10"/>
      <c r="I27" s="9"/>
      <c r="J27" s="9"/>
    </row>
    <row x14ac:dyDescent="0.25" r="28" customHeight="1" ht="17.25">
      <c r="A28" s="11" t="s">
        <v>10628</v>
      </c>
      <c r="B28" s="11"/>
      <c r="C28" s="11"/>
      <c r="D28" s="11"/>
      <c r="E28" s="12"/>
      <c r="F28" s="11"/>
      <c r="G28" s="11"/>
      <c r="H28" s="13"/>
      <c r="I28" s="11"/>
      <c r="J28" s="11"/>
    </row>
    <row x14ac:dyDescent="0.25" r="29" customHeight="1" ht="17.25">
      <c r="A29" s="14" t="s">
        <v>3</v>
      </c>
      <c r="B29" s="14" t="s">
        <v>4</v>
      </c>
      <c r="C29" s="14" t="s">
        <v>5</v>
      </c>
      <c r="D29" s="14" t="s">
        <v>6</v>
      </c>
      <c r="E29" s="15" t="s">
        <v>7</v>
      </c>
      <c r="F29" s="14" t="s">
        <v>8</v>
      </c>
      <c r="G29" s="14" t="s">
        <v>9</v>
      </c>
      <c r="H29" s="16" t="s">
        <v>10</v>
      </c>
      <c r="I29" s="14" t="s">
        <v>11</v>
      </c>
      <c r="J29" s="14" t="s">
        <v>12</v>
      </c>
    </row>
    <row x14ac:dyDescent="0.25" r="30" customHeight="1" ht="17.25">
      <c r="A30" s="17" t="s">
        <v>10629</v>
      </c>
      <c r="B30" s="17" t="s">
        <v>75</v>
      </c>
      <c r="C30" s="17" t="s">
        <v>76</v>
      </c>
      <c r="D30" s="17" t="s">
        <v>16</v>
      </c>
      <c r="E30" s="18">
        <f>ROUND(7169*1.05,2)</f>
      </c>
      <c r="F30" s="17" t="s">
        <v>17</v>
      </c>
      <c r="G30" s="17" t="s">
        <v>18</v>
      </c>
      <c r="H30" s="18">
        <f>ROUND(RAND()*4+6,1)</f>
      </c>
      <c r="I30" s="17" t="s">
        <v>19</v>
      </c>
      <c r="J30" s="19">
        <f>ROUND(100*1,0)&amp;"%"</f>
      </c>
    </row>
    <row x14ac:dyDescent="0.25" r="31" customHeight="1" ht="17.25">
      <c r="A31" s="20" t="s">
        <v>10630</v>
      </c>
      <c r="B31" s="20" t="s">
        <v>78</v>
      </c>
      <c r="C31" s="20" t="s">
        <v>76</v>
      </c>
      <c r="D31" s="20" t="s">
        <v>22</v>
      </c>
      <c r="E31" s="21">
        <f>ROUND(17873*1.05,2)</f>
      </c>
      <c r="F31" s="20" t="s">
        <v>23</v>
      </c>
      <c r="G31" s="20" t="s">
        <v>24</v>
      </c>
      <c r="H31" s="21">
        <f>ROUND(RAND()*4+6,1)</f>
      </c>
      <c r="I31" s="20" t="s">
        <v>25</v>
      </c>
      <c r="J31" s="23">
        <f>ROUND(96*1,0)&amp;"%"</f>
      </c>
    </row>
    <row x14ac:dyDescent="0.25" r="32" customHeight="1" ht="17.25">
      <c r="A32" s="17" t="s">
        <v>10631</v>
      </c>
      <c r="B32" s="17" t="s">
        <v>80</v>
      </c>
      <c r="C32" s="17" t="s">
        <v>76</v>
      </c>
      <c r="D32" s="17" t="s">
        <v>28</v>
      </c>
      <c r="E32" s="18">
        <f>ROUND(17483*1.05,2)</f>
      </c>
      <c r="F32" s="17" t="s">
        <v>29</v>
      </c>
      <c r="G32" s="17" t="s">
        <v>30</v>
      </c>
      <c r="H32" s="18">
        <f>ROUND(RAND()*4+6,1)</f>
      </c>
      <c r="I32" s="17" t="s">
        <v>31</v>
      </c>
      <c r="J32" s="19">
        <f>ROUND(85*1,0)&amp;"%"</f>
      </c>
    </row>
    <row x14ac:dyDescent="0.25" r="33" customHeight="1" ht="17.25">
      <c r="A33" s="20" t="s">
        <v>10632</v>
      </c>
      <c r="B33" s="20" t="s">
        <v>82</v>
      </c>
      <c r="C33" s="20" t="s">
        <v>76</v>
      </c>
      <c r="D33" s="20" t="s">
        <v>34</v>
      </c>
      <c r="E33" s="21">
        <f>ROUND(14527*1.05,2)</f>
      </c>
      <c r="F33" s="20" t="s">
        <v>35</v>
      </c>
      <c r="G33" s="20" t="s">
        <v>18</v>
      </c>
      <c r="H33" s="22">
        <f>ROUND(RAND()*4+6,1)</f>
      </c>
      <c r="I33" s="20" t="s">
        <v>36</v>
      </c>
      <c r="J33" s="23">
        <f>ROUND(97*1,0)&amp;"%"</f>
      </c>
    </row>
    <row x14ac:dyDescent="0.25" r="34" customHeight="1" ht="17.25">
      <c r="A34" s="17" t="s">
        <v>10633</v>
      </c>
      <c r="B34" s="17" t="s">
        <v>84</v>
      </c>
      <c r="C34" s="17" t="s">
        <v>76</v>
      </c>
      <c r="D34" s="17" t="s">
        <v>39</v>
      </c>
      <c r="E34" s="26">
        <f>ROUND(14540*1.05,2)</f>
      </c>
      <c r="F34" s="17" t="s">
        <v>40</v>
      </c>
      <c r="G34" s="17" t="s">
        <v>24</v>
      </c>
      <c r="H34" s="18">
        <f>ROUND(RAND()*4+6,1)</f>
      </c>
      <c r="I34" s="17" t="s">
        <v>41</v>
      </c>
      <c r="J34" s="19">
        <f>ROUND(68*1,0)&amp;"%"</f>
      </c>
    </row>
    <row x14ac:dyDescent="0.25" r="35" customHeight="1" ht="17.25">
      <c r="A35" s="20" t="s">
        <v>10634</v>
      </c>
      <c r="B35" s="20" t="s">
        <v>86</v>
      </c>
      <c r="C35" s="20" t="s">
        <v>76</v>
      </c>
      <c r="D35" s="20" t="s">
        <v>67</v>
      </c>
      <c r="E35" s="21">
        <f>ROUND(9114*1.05,2)</f>
      </c>
      <c r="F35" s="20" t="s">
        <v>44</v>
      </c>
      <c r="G35" s="20" t="s">
        <v>30</v>
      </c>
      <c r="H35" s="21">
        <f>ROUND(RAND()*4+6,1)</f>
      </c>
      <c r="I35" s="20" t="s">
        <v>45</v>
      </c>
      <c r="J35" s="23">
        <f>ROUND(92*1,0)&amp;"%"</f>
      </c>
    </row>
    <row x14ac:dyDescent="0.25" r="36" customHeight="1" ht="17.25">
      <c r="A36" s="17" t="s">
        <v>10635</v>
      </c>
      <c r="B36" s="17" t="s">
        <v>88</v>
      </c>
      <c r="C36" s="17" t="s">
        <v>76</v>
      </c>
      <c r="D36" s="17" t="s">
        <v>16</v>
      </c>
      <c r="E36" s="18">
        <f>ROUND(10415*1.05,2)</f>
      </c>
      <c r="F36" s="17" t="s">
        <v>48</v>
      </c>
      <c r="G36" s="17" t="s">
        <v>18</v>
      </c>
      <c r="H36" s="18">
        <f>ROUND(RAND()*4+6,1)</f>
      </c>
      <c r="I36" s="17" t="s">
        <v>19</v>
      </c>
      <c r="J36" s="19">
        <f>ROUND(94*1,0)&amp;"%"</f>
      </c>
    </row>
    <row x14ac:dyDescent="0.25" r="37" customHeight="1" ht="17.25">
      <c r="A37" s="20" t="s">
        <v>10636</v>
      </c>
      <c r="B37" s="20" t="s">
        <v>90</v>
      </c>
      <c r="C37" s="20" t="s">
        <v>76</v>
      </c>
      <c r="D37" s="20" t="s">
        <v>22</v>
      </c>
      <c r="E37" s="21">
        <f>ROUND(11441*1.05,2)</f>
      </c>
      <c r="F37" s="20" t="s">
        <v>51</v>
      </c>
      <c r="G37" s="20" t="s">
        <v>24</v>
      </c>
      <c r="H37" s="21">
        <f>ROUND(RAND()*4+6,1)</f>
      </c>
      <c r="I37" s="20" t="s">
        <v>25</v>
      </c>
      <c r="J37" s="23">
        <f>ROUND(76*1,0)&amp;"%"</f>
      </c>
    </row>
    <row x14ac:dyDescent="0.25" r="38" customHeight="1" ht="17.25">
      <c r="A38" s="24" t="s">
        <v>91</v>
      </c>
      <c r="B38" s="24"/>
      <c r="C38" s="24"/>
      <c r="D38" s="24"/>
      <c r="E38" s="25">
        <v>8</v>
      </c>
      <c r="F38" s="9"/>
      <c r="G38" s="9"/>
      <c r="H38" s="10"/>
      <c r="I38" s="9"/>
      <c r="J38" s="9"/>
    </row>
    <row x14ac:dyDescent="0.25" r="39" customHeight="1" ht="17.25">
      <c r="A39" s="7"/>
      <c r="B39" s="7"/>
      <c r="C39" s="7"/>
      <c r="D39" s="7"/>
      <c r="E39" s="8"/>
      <c r="F39" s="9"/>
      <c r="G39" s="9"/>
      <c r="H39" s="10"/>
      <c r="I39" s="9"/>
      <c r="J39" s="9"/>
    </row>
    <row x14ac:dyDescent="0.25" r="40" customHeight="1" ht="17.25">
      <c r="A40" s="11" t="s">
        <v>10637</v>
      </c>
      <c r="B40" s="11"/>
      <c r="C40" s="11"/>
      <c r="D40" s="11"/>
      <c r="E40" s="12"/>
      <c r="F40" s="11"/>
      <c r="G40" s="11"/>
      <c r="H40" s="13"/>
      <c r="I40" s="11"/>
      <c r="J40" s="11"/>
    </row>
    <row x14ac:dyDescent="0.25" r="41" customHeight="1" ht="17.25">
      <c r="A41" s="14" t="s">
        <v>3</v>
      </c>
      <c r="B41" s="14" t="s">
        <v>4</v>
      </c>
      <c r="C41" s="14" t="s">
        <v>5</v>
      </c>
      <c r="D41" s="14" t="s">
        <v>6</v>
      </c>
      <c r="E41" s="15" t="s">
        <v>7</v>
      </c>
      <c r="F41" s="14" t="s">
        <v>8</v>
      </c>
      <c r="G41" s="14" t="s">
        <v>9</v>
      </c>
      <c r="H41" s="16" t="s">
        <v>10</v>
      </c>
      <c r="I41" s="14" t="s">
        <v>11</v>
      </c>
      <c r="J41" s="14" t="s">
        <v>12</v>
      </c>
    </row>
    <row x14ac:dyDescent="0.25" r="42" customHeight="1" ht="17.25">
      <c r="A42" s="17" t="s">
        <v>10638</v>
      </c>
      <c r="B42" s="17" t="s">
        <v>94</v>
      </c>
      <c r="C42" s="17" t="s">
        <v>95</v>
      </c>
      <c r="D42" s="17" t="s">
        <v>16</v>
      </c>
      <c r="E42" s="18">
        <f>ROUND(7555*1.05,2)</f>
      </c>
      <c r="F42" s="17" t="s">
        <v>17</v>
      </c>
      <c r="G42" s="17" t="s">
        <v>18</v>
      </c>
      <c r="H42" s="18">
        <f>ROUND(RAND()*4+6,1)</f>
      </c>
      <c r="I42" s="17" t="s">
        <v>19</v>
      </c>
      <c r="J42" s="19">
        <f>ROUND(61*1,0)&amp;"%"</f>
      </c>
    </row>
    <row x14ac:dyDescent="0.25" r="43" customHeight="1" ht="17.25">
      <c r="A43" s="20" t="s">
        <v>10639</v>
      </c>
      <c r="B43" s="20" t="s">
        <v>97</v>
      </c>
      <c r="C43" s="20" t="s">
        <v>95</v>
      </c>
      <c r="D43" s="20" t="s">
        <v>22</v>
      </c>
      <c r="E43" s="21">
        <f>ROUND(17129*1.05,2)</f>
      </c>
      <c r="F43" s="20" t="s">
        <v>23</v>
      </c>
      <c r="G43" s="20" t="s">
        <v>24</v>
      </c>
      <c r="H43" s="21">
        <f>ROUND(RAND()*4+6,1)</f>
      </c>
      <c r="I43" s="20" t="s">
        <v>25</v>
      </c>
      <c r="J43" s="23">
        <f>ROUND(69*1,0)&amp;"%"</f>
      </c>
    </row>
    <row x14ac:dyDescent="0.25" r="44" customHeight="1" ht="17.25">
      <c r="A44" s="17" t="s">
        <v>10640</v>
      </c>
      <c r="B44" s="17" t="s">
        <v>99</v>
      </c>
      <c r="C44" s="17" t="s">
        <v>95</v>
      </c>
      <c r="D44" s="17" t="s">
        <v>28</v>
      </c>
      <c r="E44" s="18">
        <f>ROUND(10835*1.05,2)</f>
      </c>
      <c r="F44" s="17" t="s">
        <v>29</v>
      </c>
      <c r="G44" s="17" t="s">
        <v>30</v>
      </c>
      <c r="H44" s="18">
        <f>ROUND(RAND()*4+6,1)</f>
      </c>
      <c r="I44" s="17" t="s">
        <v>31</v>
      </c>
      <c r="J44" s="19">
        <f>ROUND(82*1,0)&amp;"%"</f>
      </c>
    </row>
    <row x14ac:dyDescent="0.25" r="45" customHeight="1" ht="17.25">
      <c r="A45" s="20" t="s">
        <v>10641</v>
      </c>
      <c r="B45" s="20" t="s">
        <v>101</v>
      </c>
      <c r="C45" s="20" t="s">
        <v>95</v>
      </c>
      <c r="D45" s="20" t="s">
        <v>34</v>
      </c>
      <c r="E45" s="21">
        <f>ROUND(7736*1.05,2)</f>
      </c>
      <c r="F45" s="20" t="s">
        <v>35</v>
      </c>
      <c r="G45" s="20" t="s">
        <v>18</v>
      </c>
      <c r="H45" s="21">
        <f>ROUND(RAND()*4+6,1)</f>
      </c>
      <c r="I45" s="20" t="s">
        <v>36</v>
      </c>
      <c r="J45" s="23">
        <f>ROUND(95*1,0)&amp;"%"</f>
      </c>
    </row>
    <row x14ac:dyDescent="0.25" r="46" customHeight="1" ht="17.25">
      <c r="A46" s="17" t="s">
        <v>10642</v>
      </c>
      <c r="B46" s="17" t="s">
        <v>103</v>
      </c>
      <c r="C46" s="17" t="s">
        <v>95</v>
      </c>
      <c r="D46" s="17" t="s">
        <v>39</v>
      </c>
      <c r="E46" s="18">
        <f>ROUND(8034*1.05,2)</f>
      </c>
      <c r="F46" s="17" t="s">
        <v>40</v>
      </c>
      <c r="G46" s="17" t="s">
        <v>24</v>
      </c>
      <c r="H46" s="18">
        <f>ROUND(RAND()*4+6,1)</f>
      </c>
      <c r="I46" s="17" t="s">
        <v>41</v>
      </c>
      <c r="J46" s="19">
        <f>ROUND(72*1,0)&amp;"%"</f>
      </c>
    </row>
    <row x14ac:dyDescent="0.25" r="47" customHeight="1" ht="17.25">
      <c r="A47" s="20" t="s">
        <v>10643</v>
      </c>
      <c r="B47" s="20" t="s">
        <v>105</v>
      </c>
      <c r="C47" s="20" t="s">
        <v>95</v>
      </c>
      <c r="D47" s="20" t="s">
        <v>67</v>
      </c>
      <c r="E47" s="21">
        <f>ROUND(8376*1.05,2)</f>
      </c>
      <c r="F47" s="20" t="s">
        <v>44</v>
      </c>
      <c r="G47" s="20" t="s">
        <v>30</v>
      </c>
      <c r="H47" s="21">
        <f>ROUND(RAND()*4+6,1)</f>
      </c>
      <c r="I47" s="20" t="s">
        <v>45</v>
      </c>
      <c r="J47" s="23">
        <f>ROUND(99*1,0)&amp;"%"</f>
      </c>
    </row>
    <row x14ac:dyDescent="0.25" r="48" customHeight="1" ht="17.25">
      <c r="A48" s="17" t="s">
        <v>10644</v>
      </c>
      <c r="B48" s="17" t="s">
        <v>107</v>
      </c>
      <c r="C48" s="17" t="s">
        <v>95</v>
      </c>
      <c r="D48" s="17" t="s">
        <v>16</v>
      </c>
      <c r="E48" s="18">
        <f>ROUND(10685*1.05,2)</f>
      </c>
      <c r="F48" s="17" t="s">
        <v>48</v>
      </c>
      <c r="G48" s="17" t="s">
        <v>18</v>
      </c>
      <c r="H48" s="18">
        <f>ROUND(RAND()*4+6,1)</f>
      </c>
      <c r="I48" s="17" t="s">
        <v>19</v>
      </c>
      <c r="J48" s="19">
        <f>ROUND(64*1,0)&amp;"%"</f>
      </c>
    </row>
    <row x14ac:dyDescent="0.25" r="49" customHeight="1" ht="17.25">
      <c r="A49" s="20" t="s">
        <v>10645</v>
      </c>
      <c r="B49" s="20" t="s">
        <v>109</v>
      </c>
      <c r="C49" s="20" t="s">
        <v>95</v>
      </c>
      <c r="D49" s="20" t="s">
        <v>22</v>
      </c>
      <c r="E49" s="21">
        <f>ROUND(7930*1.05,2)</f>
      </c>
      <c r="F49" s="20" t="s">
        <v>51</v>
      </c>
      <c r="G49" s="20" t="s">
        <v>24</v>
      </c>
      <c r="H49" s="21">
        <f>ROUND(RAND()*4+6,1)</f>
      </c>
      <c r="I49" s="20" t="s">
        <v>25</v>
      </c>
      <c r="J49" s="23">
        <f>ROUND(70*1,0)&amp;"%"</f>
      </c>
    </row>
    <row x14ac:dyDescent="0.25" r="50" customHeight="1" ht="17.25">
      <c r="A50" s="24" t="s">
        <v>110</v>
      </c>
      <c r="B50" s="24"/>
      <c r="C50" s="24"/>
      <c r="D50" s="24"/>
      <c r="E50" s="25">
        <v>8</v>
      </c>
      <c r="F50" s="9"/>
      <c r="G50" s="9"/>
      <c r="H50" s="10"/>
      <c r="I50" s="9"/>
      <c r="J50" s="9"/>
    </row>
    <row x14ac:dyDescent="0.25" r="51" customHeight="1" ht="17.25">
      <c r="A51" s="7"/>
      <c r="B51" s="7"/>
      <c r="C51" s="7"/>
      <c r="D51" s="7"/>
      <c r="E51" s="8"/>
      <c r="F51" s="9"/>
      <c r="G51" s="9"/>
      <c r="H51" s="10"/>
      <c r="I51" s="9"/>
      <c r="J51" s="9"/>
    </row>
    <row x14ac:dyDescent="0.25" r="52" customHeight="1" ht="17.25">
      <c r="A52" s="11" t="s">
        <v>10646</v>
      </c>
      <c r="B52" s="11"/>
      <c r="C52" s="11"/>
      <c r="D52" s="11"/>
      <c r="E52" s="12"/>
      <c r="F52" s="11"/>
      <c r="G52" s="11"/>
      <c r="H52" s="13"/>
      <c r="I52" s="11"/>
      <c r="J52" s="11"/>
    </row>
    <row x14ac:dyDescent="0.25" r="53" customHeight="1" ht="17.25">
      <c r="A53" s="14" t="s">
        <v>3</v>
      </c>
      <c r="B53" s="14" t="s">
        <v>4</v>
      </c>
      <c r="C53" s="14" t="s">
        <v>5</v>
      </c>
      <c r="D53" s="14" t="s">
        <v>6</v>
      </c>
      <c r="E53" s="15" t="s">
        <v>7</v>
      </c>
      <c r="F53" s="14" t="s">
        <v>8</v>
      </c>
      <c r="G53" s="14" t="s">
        <v>9</v>
      </c>
      <c r="H53" s="16" t="s">
        <v>10</v>
      </c>
      <c r="I53" s="14" t="s">
        <v>11</v>
      </c>
      <c r="J53" s="14" t="s">
        <v>12</v>
      </c>
    </row>
    <row x14ac:dyDescent="0.25" r="54" customHeight="1" ht="17.25">
      <c r="A54" s="17" t="s">
        <v>10647</v>
      </c>
      <c r="B54" s="17" t="s">
        <v>113</v>
      </c>
      <c r="C54" s="17" t="s">
        <v>114</v>
      </c>
      <c r="D54" s="17" t="s">
        <v>16</v>
      </c>
      <c r="E54" s="18">
        <f>ROUND(7602*1.05,2)</f>
      </c>
      <c r="F54" s="17" t="s">
        <v>17</v>
      </c>
      <c r="G54" s="17" t="s">
        <v>18</v>
      </c>
      <c r="H54" s="18">
        <f>ROUND(RAND()*4+6,1)</f>
      </c>
      <c r="I54" s="17" t="s">
        <v>19</v>
      </c>
      <c r="J54" s="19">
        <f>ROUND(76*1,0)&amp;"%"</f>
      </c>
    </row>
    <row x14ac:dyDescent="0.25" r="55" customHeight="1" ht="17.25">
      <c r="A55" s="20" t="s">
        <v>10648</v>
      </c>
      <c r="B55" s="20" t="s">
        <v>116</v>
      </c>
      <c r="C55" s="20" t="s">
        <v>114</v>
      </c>
      <c r="D55" s="20" t="s">
        <v>22</v>
      </c>
      <c r="E55" s="21">
        <f>ROUND(11843*1.05,2)</f>
      </c>
      <c r="F55" s="20" t="s">
        <v>23</v>
      </c>
      <c r="G55" s="20" t="s">
        <v>24</v>
      </c>
      <c r="H55" s="21">
        <f>ROUND(RAND()*4+6,1)</f>
      </c>
      <c r="I55" s="20" t="s">
        <v>25</v>
      </c>
      <c r="J55" s="23">
        <f>ROUND(92*1,0)&amp;"%"</f>
      </c>
    </row>
    <row x14ac:dyDescent="0.25" r="56" customHeight="1" ht="17.25">
      <c r="A56" s="17" t="s">
        <v>10649</v>
      </c>
      <c r="B56" s="17" t="s">
        <v>118</v>
      </c>
      <c r="C56" s="17" t="s">
        <v>114</v>
      </c>
      <c r="D56" s="17" t="s">
        <v>28</v>
      </c>
      <c r="E56" s="18">
        <f>ROUND(15703*1.05,2)</f>
      </c>
      <c r="F56" s="17" t="s">
        <v>29</v>
      </c>
      <c r="G56" s="17" t="s">
        <v>30</v>
      </c>
      <c r="H56" s="26">
        <f>ROUND(RAND()*4+6,1)</f>
      </c>
      <c r="I56" s="17" t="s">
        <v>31</v>
      </c>
      <c r="J56" s="19">
        <f>ROUND(96*1,0)&amp;"%"</f>
      </c>
    </row>
    <row x14ac:dyDescent="0.25" r="57" customHeight="1" ht="17.25">
      <c r="A57" s="20" t="s">
        <v>10650</v>
      </c>
      <c r="B57" s="20" t="s">
        <v>120</v>
      </c>
      <c r="C57" s="20" t="s">
        <v>114</v>
      </c>
      <c r="D57" s="20" t="s">
        <v>34</v>
      </c>
      <c r="E57" s="21">
        <f>ROUND(7068*1.05,2)</f>
      </c>
      <c r="F57" s="20" t="s">
        <v>35</v>
      </c>
      <c r="G57" s="20" t="s">
        <v>18</v>
      </c>
      <c r="H57" s="21">
        <f>ROUND(RAND()*4+6,1)</f>
      </c>
      <c r="I57" s="20" t="s">
        <v>36</v>
      </c>
      <c r="J57" s="23">
        <f>ROUND(99*1,0)&amp;"%"</f>
      </c>
    </row>
    <row x14ac:dyDescent="0.25" r="58" customHeight="1" ht="17.25">
      <c r="A58" s="17" t="s">
        <v>10651</v>
      </c>
      <c r="B58" s="17" t="s">
        <v>122</v>
      </c>
      <c r="C58" s="17" t="s">
        <v>114</v>
      </c>
      <c r="D58" s="17" t="s">
        <v>39</v>
      </c>
      <c r="E58" s="18">
        <f>ROUND(16938*1.05,2)</f>
      </c>
      <c r="F58" s="17" t="s">
        <v>40</v>
      </c>
      <c r="G58" s="17" t="s">
        <v>24</v>
      </c>
      <c r="H58" s="18">
        <f>ROUND(RAND()*4+6,1)</f>
      </c>
      <c r="I58" s="17" t="s">
        <v>41</v>
      </c>
      <c r="J58" s="19">
        <f>ROUND(68*1,0)&amp;"%"</f>
      </c>
    </row>
    <row x14ac:dyDescent="0.25" r="59" customHeight="1" ht="17.25">
      <c r="A59" s="20" t="s">
        <v>10652</v>
      </c>
      <c r="B59" s="20" t="s">
        <v>124</v>
      </c>
      <c r="C59" s="20" t="s">
        <v>114</v>
      </c>
      <c r="D59" s="20" t="s">
        <v>67</v>
      </c>
      <c r="E59" s="21">
        <f>ROUND(5284*1.05,2)</f>
      </c>
      <c r="F59" s="20" t="s">
        <v>44</v>
      </c>
      <c r="G59" s="20" t="s">
        <v>30</v>
      </c>
      <c r="H59" s="21">
        <f>ROUND(RAND()*4+6,1)</f>
      </c>
      <c r="I59" s="20" t="s">
        <v>45</v>
      </c>
      <c r="J59" s="23">
        <f>ROUND(87*1,0)&amp;"%"</f>
      </c>
    </row>
    <row x14ac:dyDescent="0.25" r="60" customHeight="1" ht="17.25">
      <c r="A60" s="17" t="s">
        <v>10653</v>
      </c>
      <c r="B60" s="17" t="s">
        <v>126</v>
      </c>
      <c r="C60" s="17" t="s">
        <v>114</v>
      </c>
      <c r="D60" s="17" t="s">
        <v>16</v>
      </c>
      <c r="E60" s="18">
        <f>ROUND(7812*1.05,2)</f>
      </c>
      <c r="F60" s="17" t="s">
        <v>48</v>
      </c>
      <c r="G60" s="17" t="s">
        <v>18</v>
      </c>
      <c r="H60" s="18">
        <f>ROUND(RAND()*4+6,1)</f>
      </c>
      <c r="I60" s="17" t="s">
        <v>19</v>
      </c>
      <c r="J60" s="19">
        <f>ROUND(77*1,0)&amp;"%"</f>
      </c>
    </row>
    <row x14ac:dyDescent="0.25" r="61" customHeight="1" ht="17.25">
      <c r="A61" s="20" t="s">
        <v>10654</v>
      </c>
      <c r="B61" s="20" t="s">
        <v>128</v>
      </c>
      <c r="C61" s="20" t="s">
        <v>114</v>
      </c>
      <c r="D61" s="20" t="s">
        <v>22</v>
      </c>
      <c r="E61" s="21">
        <f>ROUND(13792*1.05,2)</f>
      </c>
      <c r="F61" s="20" t="s">
        <v>51</v>
      </c>
      <c r="G61" s="20" t="s">
        <v>24</v>
      </c>
      <c r="H61" s="21">
        <f>ROUND(RAND()*4+6,1)</f>
      </c>
      <c r="I61" s="20" t="s">
        <v>25</v>
      </c>
      <c r="J61" s="23">
        <f>ROUND(68*1,0)&amp;"%"</f>
      </c>
    </row>
    <row x14ac:dyDescent="0.25" r="62" customHeight="1" ht="17.25">
      <c r="A62" s="24" t="s">
        <v>129</v>
      </c>
      <c r="B62" s="24"/>
      <c r="C62" s="24"/>
      <c r="D62" s="24"/>
      <c r="E62" s="25">
        <v>8</v>
      </c>
      <c r="F62" s="9"/>
      <c r="G62" s="9"/>
      <c r="H62" s="10"/>
      <c r="I62" s="9"/>
      <c r="J62" s="9"/>
    </row>
    <row x14ac:dyDescent="0.25" r="63" customHeight="1" ht="17.25">
      <c r="A63" s="7"/>
      <c r="B63" s="7"/>
      <c r="C63" s="7"/>
      <c r="D63" s="7"/>
      <c r="E63" s="8"/>
      <c r="F63" s="9"/>
      <c r="G63" s="9"/>
      <c r="H63" s="10"/>
      <c r="I63" s="9"/>
      <c r="J63" s="9"/>
    </row>
    <row x14ac:dyDescent="0.25" r="64" customHeight="1" ht="17.25">
      <c r="A64" s="11" t="s">
        <v>10655</v>
      </c>
      <c r="B64" s="11"/>
      <c r="C64" s="11"/>
      <c r="D64" s="11"/>
      <c r="E64" s="12"/>
      <c r="F64" s="11"/>
      <c r="G64" s="11"/>
      <c r="H64" s="13"/>
      <c r="I64" s="11"/>
      <c r="J64" s="11"/>
    </row>
    <row x14ac:dyDescent="0.25" r="65" customHeight="1" ht="17.25">
      <c r="A65" s="14" t="s">
        <v>3</v>
      </c>
      <c r="B65" s="14" t="s">
        <v>4</v>
      </c>
      <c r="C65" s="14" t="s">
        <v>5</v>
      </c>
      <c r="D65" s="14" t="s">
        <v>6</v>
      </c>
      <c r="E65" s="15" t="s">
        <v>7</v>
      </c>
      <c r="F65" s="14" t="s">
        <v>8</v>
      </c>
      <c r="G65" s="14" t="s">
        <v>9</v>
      </c>
      <c r="H65" s="16" t="s">
        <v>10</v>
      </c>
      <c r="I65" s="14" t="s">
        <v>11</v>
      </c>
      <c r="J65" s="14" t="s">
        <v>12</v>
      </c>
    </row>
    <row x14ac:dyDescent="0.25" r="66" customHeight="1" ht="17.25">
      <c r="A66" s="17" t="s">
        <v>10656</v>
      </c>
      <c r="B66" s="17" t="s">
        <v>132</v>
      </c>
      <c r="C66" s="17" t="s">
        <v>133</v>
      </c>
      <c r="D66" s="17" t="s">
        <v>16</v>
      </c>
      <c r="E66" s="18">
        <f>ROUND(10593*1.05,2)</f>
      </c>
      <c r="F66" s="17" t="s">
        <v>17</v>
      </c>
      <c r="G66" s="17" t="s">
        <v>18</v>
      </c>
      <c r="H66" s="18">
        <f>ROUND(RAND()*4+6,1)</f>
      </c>
      <c r="I66" s="17" t="s">
        <v>19</v>
      </c>
      <c r="J66" s="19">
        <f>ROUND(84*1,0)&amp;"%"</f>
      </c>
    </row>
    <row x14ac:dyDescent="0.25" r="67" customHeight="1" ht="17.25">
      <c r="A67" s="20" t="s">
        <v>10657</v>
      </c>
      <c r="B67" s="20" t="s">
        <v>135</v>
      </c>
      <c r="C67" s="20" t="s">
        <v>133</v>
      </c>
      <c r="D67" s="20" t="s">
        <v>22</v>
      </c>
      <c r="E67" s="21">
        <f>ROUND(15407*1.05,2)</f>
      </c>
      <c r="F67" s="20" t="s">
        <v>23</v>
      </c>
      <c r="G67" s="20" t="s">
        <v>24</v>
      </c>
      <c r="H67" s="21">
        <f>ROUND(RAND()*4+6,1)</f>
      </c>
      <c r="I67" s="20" t="s">
        <v>25</v>
      </c>
      <c r="J67" s="23">
        <f>ROUND(80*1,0)&amp;"%"</f>
      </c>
    </row>
    <row x14ac:dyDescent="0.25" r="68" customHeight="1" ht="17.25">
      <c r="A68" s="17" t="s">
        <v>10658</v>
      </c>
      <c r="B68" s="17" t="s">
        <v>137</v>
      </c>
      <c r="C68" s="17" t="s">
        <v>133</v>
      </c>
      <c r="D68" s="17" t="s">
        <v>28</v>
      </c>
      <c r="E68" s="18">
        <f>ROUND(16898*1.05,2)</f>
      </c>
      <c r="F68" s="17" t="s">
        <v>29</v>
      </c>
      <c r="G68" s="17" t="s">
        <v>30</v>
      </c>
      <c r="H68" s="18">
        <f>ROUND(RAND()*4+6,1)</f>
      </c>
      <c r="I68" s="17" t="s">
        <v>31</v>
      </c>
      <c r="J68" s="19">
        <f>ROUND(86*1,0)&amp;"%"</f>
      </c>
    </row>
    <row x14ac:dyDescent="0.25" r="69" customHeight="1" ht="17.25">
      <c r="A69" s="20" t="s">
        <v>10659</v>
      </c>
      <c r="B69" s="20" t="s">
        <v>139</v>
      </c>
      <c r="C69" s="20" t="s">
        <v>133</v>
      </c>
      <c r="D69" s="20" t="s">
        <v>34</v>
      </c>
      <c r="E69" s="21">
        <f>ROUND(6492*1.05,2)</f>
      </c>
      <c r="F69" s="20" t="s">
        <v>35</v>
      </c>
      <c r="G69" s="20" t="s">
        <v>18</v>
      </c>
      <c r="H69" s="21">
        <f>ROUND(RAND()*4+6,1)</f>
      </c>
      <c r="I69" s="20" t="s">
        <v>36</v>
      </c>
      <c r="J69" s="23">
        <f>ROUND(73*1,0)&amp;"%"</f>
      </c>
    </row>
    <row x14ac:dyDescent="0.25" r="70" customHeight="1" ht="17.25">
      <c r="A70" s="17" t="s">
        <v>10660</v>
      </c>
      <c r="B70" s="17" t="s">
        <v>141</v>
      </c>
      <c r="C70" s="17" t="s">
        <v>133</v>
      </c>
      <c r="D70" s="17" t="s">
        <v>39</v>
      </c>
      <c r="E70" s="18">
        <f>ROUND(6867*1.05,2)</f>
      </c>
      <c r="F70" s="17" t="s">
        <v>40</v>
      </c>
      <c r="G70" s="17" t="s">
        <v>24</v>
      </c>
      <c r="H70" s="18">
        <f>ROUND(RAND()*4+6,1)</f>
      </c>
      <c r="I70" s="17" t="s">
        <v>41</v>
      </c>
      <c r="J70" s="19">
        <f>ROUND(78*1,0)&amp;"%"</f>
      </c>
    </row>
    <row x14ac:dyDescent="0.25" r="71" customHeight="1" ht="17.25">
      <c r="A71" s="20" t="s">
        <v>10661</v>
      </c>
      <c r="B71" s="20" t="s">
        <v>143</v>
      </c>
      <c r="C71" s="20" t="s">
        <v>133</v>
      </c>
      <c r="D71" s="20" t="s">
        <v>67</v>
      </c>
      <c r="E71" s="21">
        <f>ROUND(5356*1.05,2)</f>
      </c>
      <c r="F71" s="20" t="s">
        <v>44</v>
      </c>
      <c r="G71" s="20" t="s">
        <v>30</v>
      </c>
      <c r="H71" s="21">
        <f>ROUND(RAND()*4+6,1)</f>
      </c>
      <c r="I71" s="20" t="s">
        <v>45</v>
      </c>
      <c r="J71" s="23">
        <f>ROUND(66*1,0)&amp;"%"</f>
      </c>
    </row>
    <row x14ac:dyDescent="0.25" r="72" customHeight="1" ht="17.25">
      <c r="A72" s="17" t="s">
        <v>10662</v>
      </c>
      <c r="B72" s="17" t="s">
        <v>145</v>
      </c>
      <c r="C72" s="17" t="s">
        <v>133</v>
      </c>
      <c r="D72" s="17" t="s">
        <v>16</v>
      </c>
      <c r="E72" s="18">
        <f>ROUND(17283*1.05,2)</f>
      </c>
      <c r="F72" s="17" t="s">
        <v>48</v>
      </c>
      <c r="G72" s="17" t="s">
        <v>18</v>
      </c>
      <c r="H72" s="18">
        <f>ROUND(RAND()*4+6,1)</f>
      </c>
      <c r="I72" s="17" t="s">
        <v>19</v>
      </c>
      <c r="J72" s="19">
        <f>ROUND(79*1,0)&amp;"%"</f>
      </c>
    </row>
    <row x14ac:dyDescent="0.25" r="73" customHeight="1" ht="17.25">
      <c r="A73" s="20" t="s">
        <v>10663</v>
      </c>
      <c r="B73" s="20" t="s">
        <v>147</v>
      </c>
      <c r="C73" s="20" t="s">
        <v>133</v>
      </c>
      <c r="D73" s="20" t="s">
        <v>22</v>
      </c>
      <c r="E73" s="21">
        <f>ROUND(14928*1.05,2)</f>
      </c>
      <c r="F73" s="20" t="s">
        <v>51</v>
      </c>
      <c r="G73" s="20" t="s">
        <v>24</v>
      </c>
      <c r="H73" s="21">
        <f>ROUND(RAND()*4+6,1)</f>
      </c>
      <c r="I73" s="20" t="s">
        <v>25</v>
      </c>
      <c r="J73" s="23">
        <f>ROUND(79*1,0)&amp;"%"</f>
      </c>
    </row>
    <row x14ac:dyDescent="0.25" r="74" customHeight="1" ht="17.25">
      <c r="A74" s="24" t="s">
        <v>148</v>
      </c>
      <c r="B74" s="24"/>
      <c r="C74" s="24"/>
      <c r="D74" s="24"/>
      <c r="E74" s="25">
        <v>8</v>
      </c>
      <c r="F74" s="9"/>
      <c r="G74" s="9"/>
      <c r="H74" s="10"/>
      <c r="I74" s="9"/>
      <c r="J74" s="9"/>
    </row>
    <row x14ac:dyDescent="0.25" r="75" customHeight="1" ht="17.25">
      <c r="A75" s="7"/>
      <c r="B75" s="7"/>
      <c r="C75" s="7"/>
      <c r="D75" s="7"/>
      <c r="E75" s="8"/>
      <c r="F75" s="9"/>
      <c r="G75" s="9"/>
      <c r="H75" s="10"/>
      <c r="I75" s="9"/>
      <c r="J75" s="9"/>
    </row>
    <row x14ac:dyDescent="0.25" r="76" customHeight="1" ht="17.25">
      <c r="A76" s="11" t="s">
        <v>10664</v>
      </c>
      <c r="B76" s="11"/>
      <c r="C76" s="11"/>
      <c r="D76" s="11"/>
      <c r="E76" s="12"/>
      <c r="F76" s="11"/>
      <c r="G76" s="11"/>
      <c r="H76" s="13"/>
      <c r="I76" s="11"/>
      <c r="J76" s="11"/>
    </row>
    <row x14ac:dyDescent="0.25" r="77" customHeight="1" ht="17.25">
      <c r="A77" s="14" t="s">
        <v>3</v>
      </c>
      <c r="B77" s="14" t="s">
        <v>4</v>
      </c>
      <c r="C77" s="14" t="s">
        <v>5</v>
      </c>
      <c r="D77" s="14" t="s">
        <v>6</v>
      </c>
      <c r="E77" s="15" t="s">
        <v>7</v>
      </c>
      <c r="F77" s="14" t="s">
        <v>8</v>
      </c>
      <c r="G77" s="14" t="s">
        <v>9</v>
      </c>
      <c r="H77" s="16" t="s">
        <v>10</v>
      </c>
      <c r="I77" s="14" t="s">
        <v>11</v>
      </c>
      <c r="J77" s="14" t="s">
        <v>12</v>
      </c>
    </row>
    <row x14ac:dyDescent="0.25" r="78" customHeight="1" ht="17.25">
      <c r="A78" s="17" t="s">
        <v>10665</v>
      </c>
      <c r="B78" s="17" t="s">
        <v>151</v>
      </c>
      <c r="C78" s="17" t="s">
        <v>152</v>
      </c>
      <c r="D78" s="17" t="s">
        <v>16</v>
      </c>
      <c r="E78" s="18">
        <f>ROUND(7671*1.05,2)</f>
      </c>
      <c r="F78" s="17" t="s">
        <v>17</v>
      </c>
      <c r="G78" s="17" t="s">
        <v>18</v>
      </c>
      <c r="H78" s="18">
        <f>ROUND(RAND()*4+6,1)</f>
      </c>
      <c r="I78" s="17" t="s">
        <v>19</v>
      </c>
      <c r="J78" s="19">
        <f>ROUND(76*1,0)&amp;"%"</f>
      </c>
    </row>
    <row x14ac:dyDescent="0.25" r="79" customHeight="1" ht="17.25">
      <c r="A79" s="20" t="s">
        <v>10666</v>
      </c>
      <c r="B79" s="20" t="s">
        <v>154</v>
      </c>
      <c r="C79" s="20" t="s">
        <v>152</v>
      </c>
      <c r="D79" s="20" t="s">
        <v>22</v>
      </c>
      <c r="E79" s="21">
        <f>ROUND(12830*1.05,2)</f>
      </c>
      <c r="F79" s="20" t="s">
        <v>23</v>
      </c>
      <c r="G79" s="20" t="s">
        <v>24</v>
      </c>
      <c r="H79" s="21">
        <f>ROUND(RAND()*4+6,1)</f>
      </c>
      <c r="I79" s="20" t="s">
        <v>25</v>
      </c>
      <c r="J79" s="23">
        <f>ROUND(81*1,0)&amp;"%"</f>
      </c>
    </row>
    <row x14ac:dyDescent="0.25" r="80" customHeight="1" ht="17.25">
      <c r="A80" s="17" t="s">
        <v>10667</v>
      </c>
      <c r="B80" s="17" t="s">
        <v>156</v>
      </c>
      <c r="C80" s="17" t="s">
        <v>152</v>
      </c>
      <c r="D80" s="17" t="s">
        <v>28</v>
      </c>
      <c r="E80" s="18">
        <f>ROUND(4662*1.05,2)</f>
      </c>
      <c r="F80" s="17" t="s">
        <v>29</v>
      </c>
      <c r="G80" s="17" t="s">
        <v>30</v>
      </c>
      <c r="H80" s="18">
        <f>ROUND(RAND()*4+6,1)</f>
      </c>
      <c r="I80" s="17" t="s">
        <v>31</v>
      </c>
      <c r="J80" s="19">
        <f>ROUND(78*1,0)&amp;"%"</f>
      </c>
    </row>
    <row x14ac:dyDescent="0.25" r="81" customHeight="1" ht="17.25">
      <c r="A81" s="20" t="s">
        <v>10668</v>
      </c>
      <c r="B81" s="20" t="s">
        <v>158</v>
      </c>
      <c r="C81" s="20" t="s">
        <v>152</v>
      </c>
      <c r="D81" s="20" t="s">
        <v>34</v>
      </c>
      <c r="E81" s="21">
        <f>ROUND(11246*1.05,2)</f>
      </c>
      <c r="F81" s="20" t="s">
        <v>35</v>
      </c>
      <c r="G81" s="20" t="s">
        <v>18</v>
      </c>
      <c r="H81" s="21">
        <f>ROUND(RAND()*4+6,1)</f>
      </c>
      <c r="I81" s="20" t="s">
        <v>36</v>
      </c>
      <c r="J81" s="23">
        <f>ROUND(92*1,0)&amp;"%"</f>
      </c>
    </row>
    <row x14ac:dyDescent="0.25" r="82" customHeight="1" ht="17.25">
      <c r="A82" s="17" t="s">
        <v>10669</v>
      </c>
      <c r="B82" s="17" t="s">
        <v>160</v>
      </c>
      <c r="C82" s="17" t="s">
        <v>152</v>
      </c>
      <c r="D82" s="17" t="s">
        <v>39</v>
      </c>
      <c r="E82" s="18">
        <f>ROUND(9628*1.05,2)</f>
      </c>
      <c r="F82" s="17" t="s">
        <v>40</v>
      </c>
      <c r="G82" s="17" t="s">
        <v>24</v>
      </c>
      <c r="H82" s="18">
        <f>ROUND(RAND()*4+6,1)</f>
      </c>
      <c r="I82" s="17" t="s">
        <v>41</v>
      </c>
      <c r="J82" s="19">
        <f>ROUND(74*1,0)&amp;"%"</f>
      </c>
    </row>
    <row x14ac:dyDescent="0.25" r="83" customHeight="1" ht="17.25">
      <c r="A83" s="20" t="s">
        <v>10670</v>
      </c>
      <c r="B83" s="20" t="s">
        <v>162</v>
      </c>
      <c r="C83" s="20" t="s">
        <v>152</v>
      </c>
      <c r="D83" s="20" t="s">
        <v>67</v>
      </c>
      <c r="E83" s="21">
        <f>ROUND(5636*1.05,2)</f>
      </c>
      <c r="F83" s="20" t="s">
        <v>44</v>
      </c>
      <c r="G83" s="20" t="s">
        <v>30</v>
      </c>
      <c r="H83" s="21">
        <f>ROUND(RAND()*4+6,1)</f>
      </c>
      <c r="I83" s="20" t="s">
        <v>45</v>
      </c>
      <c r="J83" s="23">
        <f>ROUND(100*1,0)&amp;"%"</f>
      </c>
    </row>
    <row x14ac:dyDescent="0.25" r="84" customHeight="1" ht="17.25">
      <c r="A84" s="17" t="s">
        <v>10671</v>
      </c>
      <c r="B84" s="17" t="s">
        <v>164</v>
      </c>
      <c r="C84" s="17" t="s">
        <v>152</v>
      </c>
      <c r="D84" s="17" t="s">
        <v>16</v>
      </c>
      <c r="E84" s="18">
        <f>ROUND(14204*1.05,2)</f>
      </c>
      <c r="F84" s="17" t="s">
        <v>48</v>
      </c>
      <c r="G84" s="17" t="s">
        <v>18</v>
      </c>
      <c r="H84" s="26">
        <f>ROUND(RAND()*4+6,1)</f>
      </c>
      <c r="I84" s="17" t="s">
        <v>19</v>
      </c>
      <c r="J84" s="19">
        <f>ROUND(72*1,0)&amp;"%"</f>
      </c>
    </row>
    <row x14ac:dyDescent="0.25" r="85" customHeight="1" ht="17.25">
      <c r="A85" s="20" t="s">
        <v>10672</v>
      </c>
      <c r="B85" s="20" t="s">
        <v>166</v>
      </c>
      <c r="C85" s="20" t="s">
        <v>152</v>
      </c>
      <c r="D85" s="20" t="s">
        <v>22</v>
      </c>
      <c r="E85" s="21">
        <f>ROUND(13419*1.05,2)</f>
      </c>
      <c r="F85" s="20" t="s">
        <v>51</v>
      </c>
      <c r="G85" s="20" t="s">
        <v>24</v>
      </c>
      <c r="H85" s="21">
        <f>ROUND(RAND()*4+6,1)</f>
      </c>
      <c r="I85" s="20" t="s">
        <v>25</v>
      </c>
      <c r="J85" s="23">
        <f>ROUND(74*1,0)&amp;"%"</f>
      </c>
    </row>
    <row x14ac:dyDescent="0.25" r="86" customHeight="1" ht="17.25">
      <c r="A86" s="24" t="s">
        <v>167</v>
      </c>
      <c r="B86" s="24"/>
      <c r="C86" s="24"/>
      <c r="D86" s="24"/>
      <c r="E86" s="25">
        <v>8</v>
      </c>
      <c r="F86" s="9"/>
      <c r="G86" s="9"/>
      <c r="H86" s="10"/>
      <c r="I86" s="9"/>
      <c r="J86" s="9"/>
    </row>
    <row x14ac:dyDescent="0.25" r="87" customHeight="1" ht="17.25">
      <c r="A87" s="7"/>
      <c r="B87" s="7"/>
      <c r="C87" s="7"/>
      <c r="D87" s="7"/>
      <c r="E87" s="8"/>
      <c r="F87" s="9"/>
      <c r="G87" s="9"/>
      <c r="H87" s="10"/>
      <c r="I87" s="9"/>
      <c r="J87" s="9"/>
    </row>
    <row x14ac:dyDescent="0.25" r="88" customHeight="1" ht="17.25">
      <c r="A88" s="11" t="s">
        <v>10673</v>
      </c>
      <c r="B88" s="11"/>
      <c r="C88" s="11"/>
      <c r="D88" s="11"/>
      <c r="E88" s="12"/>
      <c r="F88" s="11"/>
      <c r="G88" s="11"/>
      <c r="H88" s="13"/>
      <c r="I88" s="11"/>
      <c r="J88" s="11"/>
    </row>
    <row x14ac:dyDescent="0.25" r="89" customHeight="1" ht="17.25">
      <c r="A89" s="14" t="s">
        <v>3</v>
      </c>
      <c r="B89" s="14" t="s">
        <v>4</v>
      </c>
      <c r="C89" s="14" t="s">
        <v>5</v>
      </c>
      <c r="D89" s="14" t="s">
        <v>6</v>
      </c>
      <c r="E89" s="15" t="s">
        <v>7</v>
      </c>
      <c r="F89" s="14" t="s">
        <v>8</v>
      </c>
      <c r="G89" s="14" t="s">
        <v>9</v>
      </c>
      <c r="H89" s="16" t="s">
        <v>10</v>
      </c>
      <c r="I89" s="14" t="s">
        <v>11</v>
      </c>
      <c r="J89" s="14" t="s">
        <v>12</v>
      </c>
    </row>
    <row x14ac:dyDescent="0.25" r="90" customHeight="1" ht="17.25">
      <c r="A90" s="17" t="s">
        <v>10674</v>
      </c>
      <c r="B90" s="17" t="s">
        <v>170</v>
      </c>
      <c r="C90" s="17" t="s">
        <v>15</v>
      </c>
      <c r="D90" s="17" t="s">
        <v>16</v>
      </c>
      <c r="E90" s="18">
        <f>ROUND(12926*1.05,2)</f>
      </c>
      <c r="F90" s="17" t="s">
        <v>17</v>
      </c>
      <c r="G90" s="17" t="s">
        <v>18</v>
      </c>
      <c r="H90" s="18">
        <f>ROUND(RAND()*4+6,1)</f>
      </c>
      <c r="I90" s="17" t="s">
        <v>19</v>
      </c>
      <c r="J90" s="19">
        <f>ROUND(83*1,0)&amp;"%"</f>
      </c>
    </row>
    <row x14ac:dyDescent="0.25" r="91" customHeight="1" ht="17.25">
      <c r="A91" s="20" t="s">
        <v>10675</v>
      </c>
      <c r="B91" s="20" t="s">
        <v>172</v>
      </c>
      <c r="C91" s="20" t="s">
        <v>15</v>
      </c>
      <c r="D91" s="20" t="s">
        <v>22</v>
      </c>
      <c r="E91" s="21">
        <f>ROUND(7476*1.05,2)</f>
      </c>
      <c r="F91" s="20" t="s">
        <v>23</v>
      </c>
      <c r="G91" s="20" t="s">
        <v>24</v>
      </c>
      <c r="H91" s="21">
        <f>ROUND(RAND()*4+6,1)</f>
      </c>
      <c r="I91" s="20" t="s">
        <v>25</v>
      </c>
      <c r="J91" s="23">
        <f>ROUND(67*1,0)&amp;"%"</f>
      </c>
    </row>
    <row x14ac:dyDescent="0.25" r="92" customHeight="1" ht="17.25">
      <c r="A92" s="17" t="s">
        <v>10676</v>
      </c>
      <c r="B92" s="17" t="s">
        <v>174</v>
      </c>
      <c r="C92" s="17" t="s">
        <v>15</v>
      </c>
      <c r="D92" s="17" t="s">
        <v>28</v>
      </c>
      <c r="E92" s="18">
        <f>ROUND(17539*1.05,2)</f>
      </c>
      <c r="F92" s="17" t="s">
        <v>29</v>
      </c>
      <c r="G92" s="17" t="s">
        <v>30</v>
      </c>
      <c r="H92" s="18">
        <f>ROUND(RAND()*4+6,1)</f>
      </c>
      <c r="I92" s="17" t="s">
        <v>31</v>
      </c>
      <c r="J92" s="19">
        <f>ROUND(78*1,0)&amp;"%"</f>
      </c>
    </row>
    <row x14ac:dyDescent="0.25" r="93" customHeight="1" ht="17.25">
      <c r="A93" s="20" t="s">
        <v>10677</v>
      </c>
      <c r="B93" s="20" t="s">
        <v>176</v>
      </c>
      <c r="C93" s="20" t="s">
        <v>15</v>
      </c>
      <c r="D93" s="20" t="s">
        <v>34</v>
      </c>
      <c r="E93" s="21">
        <f>ROUND(17432*1.05,2)</f>
      </c>
      <c r="F93" s="20" t="s">
        <v>35</v>
      </c>
      <c r="G93" s="20" t="s">
        <v>18</v>
      </c>
      <c r="H93" s="21">
        <f>ROUND(RAND()*4+6,1)</f>
      </c>
      <c r="I93" s="20" t="s">
        <v>36</v>
      </c>
      <c r="J93" s="23">
        <f>ROUND(61*1,0)&amp;"%"</f>
      </c>
    </row>
    <row x14ac:dyDescent="0.25" r="94" customHeight="1" ht="17.25">
      <c r="A94" s="17" t="s">
        <v>10678</v>
      </c>
      <c r="B94" s="17" t="s">
        <v>178</v>
      </c>
      <c r="C94" s="17" t="s">
        <v>15</v>
      </c>
      <c r="D94" s="17" t="s">
        <v>39</v>
      </c>
      <c r="E94" s="26">
        <f>ROUND(16180*1.05,2)</f>
      </c>
      <c r="F94" s="17" t="s">
        <v>40</v>
      </c>
      <c r="G94" s="17" t="s">
        <v>24</v>
      </c>
      <c r="H94" s="18">
        <f>ROUND(RAND()*4+6,1)</f>
      </c>
      <c r="I94" s="17" t="s">
        <v>41</v>
      </c>
      <c r="J94" s="19">
        <f>ROUND(74*1,0)&amp;"%"</f>
      </c>
    </row>
    <row x14ac:dyDescent="0.25" r="95" customHeight="1" ht="17.25">
      <c r="A95" s="20" t="s">
        <v>10679</v>
      </c>
      <c r="B95" s="20" t="s">
        <v>180</v>
      </c>
      <c r="C95" s="20" t="s">
        <v>15</v>
      </c>
      <c r="D95" s="20" t="s">
        <v>67</v>
      </c>
      <c r="E95" s="22">
        <f>ROUND(7800*1.05,2)</f>
      </c>
      <c r="F95" s="20" t="s">
        <v>44</v>
      </c>
      <c r="G95" s="20" t="s">
        <v>30</v>
      </c>
      <c r="H95" s="22">
        <f>ROUND(RAND()*4+6,1)</f>
      </c>
      <c r="I95" s="20" t="s">
        <v>45</v>
      </c>
      <c r="J95" s="23">
        <f>ROUND(63*1,0)&amp;"%"</f>
      </c>
    </row>
    <row x14ac:dyDescent="0.25" r="96" customHeight="1" ht="17.25">
      <c r="A96" s="17" t="s">
        <v>10680</v>
      </c>
      <c r="B96" s="17" t="s">
        <v>182</v>
      </c>
      <c r="C96" s="17" t="s">
        <v>15</v>
      </c>
      <c r="D96" s="17" t="s">
        <v>16</v>
      </c>
      <c r="E96" s="18">
        <f>ROUND(7315*1.05,2)</f>
      </c>
      <c r="F96" s="17" t="s">
        <v>48</v>
      </c>
      <c r="G96" s="17" t="s">
        <v>18</v>
      </c>
      <c r="H96" s="18">
        <f>ROUND(RAND()*4+6,1)</f>
      </c>
      <c r="I96" s="17" t="s">
        <v>19</v>
      </c>
      <c r="J96" s="19">
        <f>ROUND(76*1,0)&amp;"%"</f>
      </c>
    </row>
    <row x14ac:dyDescent="0.25" r="97" customHeight="1" ht="17.25">
      <c r="A97" s="20" t="s">
        <v>10681</v>
      </c>
      <c r="B97" s="20" t="s">
        <v>184</v>
      </c>
      <c r="C97" s="20" t="s">
        <v>15</v>
      </c>
      <c r="D97" s="20" t="s">
        <v>22</v>
      </c>
      <c r="E97" s="21">
        <f>ROUND(15119*1.05,2)</f>
      </c>
      <c r="F97" s="20" t="s">
        <v>51</v>
      </c>
      <c r="G97" s="20" t="s">
        <v>24</v>
      </c>
      <c r="H97" s="21">
        <f>ROUND(RAND()*4+6,1)</f>
      </c>
      <c r="I97" s="20" t="s">
        <v>25</v>
      </c>
      <c r="J97" s="23">
        <f>ROUND(98*1,0)&amp;"%"</f>
      </c>
    </row>
    <row x14ac:dyDescent="0.25" r="98" customHeight="1" ht="17.25">
      <c r="A98" s="24" t="s">
        <v>185</v>
      </c>
      <c r="B98" s="24"/>
      <c r="C98" s="24"/>
      <c r="D98" s="24"/>
      <c r="E98" s="25">
        <v>8</v>
      </c>
      <c r="F98" s="9"/>
      <c r="G98" s="9"/>
      <c r="H98" s="10"/>
      <c r="I98" s="9"/>
      <c r="J98" s="9"/>
    </row>
    <row x14ac:dyDescent="0.25" r="99" customHeight="1" ht="17.25">
      <c r="A99" s="7"/>
      <c r="B99" s="7"/>
      <c r="C99" s="7"/>
      <c r="D99" s="7"/>
      <c r="E99" s="8"/>
      <c r="F99" s="9"/>
      <c r="G99" s="9"/>
      <c r="H99" s="10"/>
      <c r="I99" s="9"/>
      <c r="J99" s="9"/>
    </row>
    <row x14ac:dyDescent="0.25" r="100" customHeight="1" ht="17.25">
      <c r="A100" s="11" t="s">
        <v>10682</v>
      </c>
      <c r="B100" s="11"/>
      <c r="C100" s="11"/>
      <c r="D100" s="11"/>
      <c r="E100" s="12"/>
      <c r="F100" s="11"/>
      <c r="G100" s="11"/>
      <c r="H100" s="13"/>
      <c r="I100" s="11"/>
      <c r="J100" s="11"/>
    </row>
    <row x14ac:dyDescent="0.25" r="101" customHeight="1" ht="17.25">
      <c r="A101" s="14" t="s">
        <v>3</v>
      </c>
      <c r="B101" s="14" t="s">
        <v>4</v>
      </c>
      <c r="C101" s="14" t="s">
        <v>5</v>
      </c>
      <c r="D101" s="14" t="s">
        <v>6</v>
      </c>
      <c r="E101" s="15" t="s">
        <v>7</v>
      </c>
      <c r="F101" s="14" t="s">
        <v>8</v>
      </c>
      <c r="G101" s="14" t="s">
        <v>9</v>
      </c>
      <c r="H101" s="16" t="s">
        <v>10</v>
      </c>
      <c r="I101" s="14" t="s">
        <v>11</v>
      </c>
      <c r="J101" s="14" t="s">
        <v>12</v>
      </c>
    </row>
    <row x14ac:dyDescent="0.25" r="102" customHeight="1" ht="17.25">
      <c r="A102" s="17" t="s">
        <v>10683</v>
      </c>
      <c r="B102" s="17" t="s">
        <v>188</v>
      </c>
      <c r="C102" s="17" t="s">
        <v>56</v>
      </c>
      <c r="D102" s="17" t="s">
        <v>16</v>
      </c>
      <c r="E102" s="18">
        <f>ROUND(13470*1.05,2)</f>
      </c>
      <c r="F102" s="17" t="s">
        <v>17</v>
      </c>
      <c r="G102" s="17" t="s">
        <v>18</v>
      </c>
      <c r="H102" s="18">
        <f>ROUND(RAND()*4+6,1)</f>
      </c>
      <c r="I102" s="17" t="s">
        <v>19</v>
      </c>
      <c r="J102" s="19">
        <f>ROUND(63*1,0)&amp;"%"</f>
      </c>
    </row>
    <row x14ac:dyDescent="0.25" r="103" customHeight="1" ht="17.25">
      <c r="A103" s="20" t="s">
        <v>10684</v>
      </c>
      <c r="B103" s="20" t="s">
        <v>190</v>
      </c>
      <c r="C103" s="20" t="s">
        <v>56</v>
      </c>
      <c r="D103" s="20" t="s">
        <v>22</v>
      </c>
      <c r="E103" s="21">
        <f>ROUND(13274*1.05,2)</f>
      </c>
      <c r="F103" s="20" t="s">
        <v>23</v>
      </c>
      <c r="G103" s="20" t="s">
        <v>24</v>
      </c>
      <c r="H103" s="21">
        <f>ROUND(RAND()*4+6,1)</f>
      </c>
      <c r="I103" s="20" t="s">
        <v>25</v>
      </c>
      <c r="J103" s="23">
        <f>ROUND(72*1,0)&amp;"%"</f>
      </c>
    </row>
    <row x14ac:dyDescent="0.25" r="104" customHeight="1" ht="17.25">
      <c r="A104" s="17" t="s">
        <v>10685</v>
      </c>
      <c r="B104" s="17" t="s">
        <v>192</v>
      </c>
      <c r="C104" s="17" t="s">
        <v>56</v>
      </c>
      <c r="D104" s="17" t="s">
        <v>28</v>
      </c>
      <c r="E104" s="18">
        <f>ROUND(16171*1.05,2)</f>
      </c>
      <c r="F104" s="17" t="s">
        <v>29</v>
      </c>
      <c r="G104" s="17" t="s">
        <v>30</v>
      </c>
      <c r="H104" s="18">
        <f>ROUND(RAND()*4+6,1)</f>
      </c>
      <c r="I104" s="17" t="s">
        <v>31</v>
      </c>
      <c r="J104" s="19">
        <f>ROUND(85*1,0)&amp;"%"</f>
      </c>
    </row>
    <row x14ac:dyDescent="0.25" r="105" customHeight="1" ht="17.25">
      <c r="A105" s="20" t="s">
        <v>10686</v>
      </c>
      <c r="B105" s="20" t="s">
        <v>194</v>
      </c>
      <c r="C105" s="20" t="s">
        <v>56</v>
      </c>
      <c r="D105" s="20" t="s">
        <v>34</v>
      </c>
      <c r="E105" s="21">
        <f>ROUND(14927*1.05,2)</f>
      </c>
      <c r="F105" s="20" t="s">
        <v>35</v>
      </c>
      <c r="G105" s="20" t="s">
        <v>18</v>
      </c>
      <c r="H105" s="21">
        <f>ROUND(RAND()*4+6,1)</f>
      </c>
      <c r="I105" s="20" t="s">
        <v>36</v>
      </c>
      <c r="J105" s="23">
        <f>ROUND(87*1,0)&amp;"%"</f>
      </c>
    </row>
    <row x14ac:dyDescent="0.25" r="106" customHeight="1" ht="17.25">
      <c r="A106" s="17" t="s">
        <v>10687</v>
      </c>
      <c r="B106" s="17" t="s">
        <v>196</v>
      </c>
      <c r="C106" s="17" t="s">
        <v>56</v>
      </c>
      <c r="D106" s="17" t="s">
        <v>39</v>
      </c>
      <c r="E106" s="18">
        <f>ROUND(4849*1.05,2)</f>
      </c>
      <c r="F106" s="17" t="s">
        <v>40</v>
      </c>
      <c r="G106" s="17" t="s">
        <v>24</v>
      </c>
      <c r="H106" s="18">
        <f>ROUND(RAND()*4+6,1)</f>
      </c>
      <c r="I106" s="17" t="s">
        <v>41</v>
      </c>
      <c r="J106" s="19">
        <f>ROUND(70*1,0)&amp;"%"</f>
      </c>
    </row>
    <row x14ac:dyDescent="0.25" r="107" customHeight="1" ht="17.25">
      <c r="A107" s="20" t="s">
        <v>10688</v>
      </c>
      <c r="B107" s="20" t="s">
        <v>198</v>
      </c>
      <c r="C107" s="20" t="s">
        <v>56</v>
      </c>
      <c r="D107" s="20" t="s">
        <v>67</v>
      </c>
      <c r="E107" s="21">
        <f>ROUND(8043*1.05,2)</f>
      </c>
      <c r="F107" s="20" t="s">
        <v>44</v>
      </c>
      <c r="G107" s="20" t="s">
        <v>30</v>
      </c>
      <c r="H107" s="21">
        <f>ROUND(RAND()*4+6,1)</f>
      </c>
      <c r="I107" s="20" t="s">
        <v>45</v>
      </c>
      <c r="J107" s="23">
        <f>ROUND(81*1,0)&amp;"%"</f>
      </c>
    </row>
    <row x14ac:dyDescent="0.25" r="108" customHeight="1" ht="17.25">
      <c r="A108" s="17" t="s">
        <v>10689</v>
      </c>
      <c r="B108" s="17" t="s">
        <v>200</v>
      </c>
      <c r="C108" s="17" t="s">
        <v>56</v>
      </c>
      <c r="D108" s="17" t="s">
        <v>16</v>
      </c>
      <c r="E108" s="18">
        <f>ROUND(7699*1.05,2)</f>
      </c>
      <c r="F108" s="17" t="s">
        <v>48</v>
      </c>
      <c r="G108" s="17" t="s">
        <v>18</v>
      </c>
      <c r="H108" s="18">
        <f>ROUND(RAND()*4+6,1)</f>
      </c>
      <c r="I108" s="17" t="s">
        <v>19</v>
      </c>
      <c r="J108" s="19">
        <f>ROUND(72*1,0)&amp;"%"</f>
      </c>
    </row>
    <row x14ac:dyDescent="0.25" r="109" customHeight="1" ht="17.25">
      <c r="A109" s="20" t="s">
        <v>10690</v>
      </c>
      <c r="B109" s="20" t="s">
        <v>202</v>
      </c>
      <c r="C109" s="20" t="s">
        <v>56</v>
      </c>
      <c r="D109" s="20" t="s">
        <v>22</v>
      </c>
      <c r="E109" s="21">
        <f>ROUND(8491*1.05,2)</f>
      </c>
      <c r="F109" s="20" t="s">
        <v>51</v>
      </c>
      <c r="G109" s="20" t="s">
        <v>24</v>
      </c>
      <c r="H109" s="21">
        <f>ROUND(RAND()*4+6,1)</f>
      </c>
      <c r="I109" s="20" t="s">
        <v>25</v>
      </c>
      <c r="J109" s="23">
        <f>ROUND(93*1,0)&amp;"%"</f>
      </c>
    </row>
    <row x14ac:dyDescent="0.25" r="110" customHeight="1" ht="17.25">
      <c r="A110" s="24" t="s">
        <v>203</v>
      </c>
      <c r="B110" s="24"/>
      <c r="C110" s="24"/>
      <c r="D110" s="24"/>
      <c r="E110" s="25">
        <v>8</v>
      </c>
      <c r="F110" s="9"/>
      <c r="G110" s="9"/>
      <c r="H110" s="10"/>
      <c r="I110" s="9"/>
      <c r="J110" s="9"/>
    </row>
    <row x14ac:dyDescent="0.25" r="111" customHeight="1" ht="17.25">
      <c r="A111" s="7"/>
      <c r="B111" s="7"/>
      <c r="C111" s="7"/>
      <c r="D111" s="7"/>
      <c r="E111" s="8"/>
      <c r="F111" s="9"/>
      <c r="G111" s="9"/>
      <c r="H111" s="10"/>
      <c r="I111" s="9"/>
      <c r="J111" s="9"/>
    </row>
    <row x14ac:dyDescent="0.25" r="112" customHeight="1" ht="17.25">
      <c r="A112" s="11" t="s">
        <v>10691</v>
      </c>
      <c r="B112" s="11"/>
      <c r="C112" s="11"/>
      <c r="D112" s="11"/>
      <c r="E112" s="12"/>
      <c r="F112" s="11"/>
      <c r="G112" s="11"/>
      <c r="H112" s="13"/>
      <c r="I112" s="11"/>
      <c r="J112" s="11"/>
    </row>
    <row x14ac:dyDescent="0.25" r="113" customHeight="1" ht="17.25">
      <c r="A113" s="14" t="s">
        <v>3</v>
      </c>
      <c r="B113" s="14" t="s">
        <v>4</v>
      </c>
      <c r="C113" s="14" t="s">
        <v>5</v>
      </c>
      <c r="D113" s="14" t="s">
        <v>6</v>
      </c>
      <c r="E113" s="15" t="s">
        <v>7</v>
      </c>
      <c r="F113" s="14" t="s">
        <v>8</v>
      </c>
      <c r="G113" s="14" t="s">
        <v>9</v>
      </c>
      <c r="H113" s="16" t="s">
        <v>10</v>
      </c>
      <c r="I113" s="14" t="s">
        <v>11</v>
      </c>
      <c r="J113" s="14" t="s">
        <v>12</v>
      </c>
    </row>
    <row x14ac:dyDescent="0.25" r="114" customHeight="1" ht="17.25">
      <c r="A114" s="17" t="s">
        <v>10692</v>
      </c>
      <c r="B114" s="17" t="s">
        <v>206</v>
      </c>
      <c r="C114" s="17" t="s">
        <v>76</v>
      </c>
      <c r="D114" s="17" t="s">
        <v>16</v>
      </c>
      <c r="E114" s="18">
        <f>ROUND(13539*1.05,2)</f>
      </c>
      <c r="F114" s="17" t="s">
        <v>17</v>
      </c>
      <c r="G114" s="17" t="s">
        <v>18</v>
      </c>
      <c r="H114" s="18">
        <f>ROUND(RAND()*4+6,1)</f>
      </c>
      <c r="I114" s="17" t="s">
        <v>19</v>
      </c>
      <c r="J114" s="19">
        <f>ROUND(64*1,0)&amp;"%"</f>
      </c>
    </row>
    <row x14ac:dyDescent="0.25" r="115" customHeight="1" ht="17.25">
      <c r="A115" s="20" t="s">
        <v>10693</v>
      </c>
      <c r="B115" s="20" t="s">
        <v>208</v>
      </c>
      <c r="C115" s="20" t="s">
        <v>76</v>
      </c>
      <c r="D115" s="20" t="s">
        <v>22</v>
      </c>
      <c r="E115" s="21">
        <f>ROUND(15185*1.05,2)</f>
      </c>
      <c r="F115" s="20" t="s">
        <v>23</v>
      </c>
      <c r="G115" s="20" t="s">
        <v>24</v>
      </c>
      <c r="H115" s="21">
        <f>ROUND(RAND()*4+6,1)</f>
      </c>
      <c r="I115" s="20" t="s">
        <v>25</v>
      </c>
      <c r="J115" s="23">
        <f>ROUND(83*1,0)&amp;"%"</f>
      </c>
    </row>
    <row x14ac:dyDescent="0.25" r="116" customHeight="1" ht="17.25">
      <c r="A116" s="17" t="s">
        <v>10694</v>
      </c>
      <c r="B116" s="17" t="s">
        <v>210</v>
      </c>
      <c r="C116" s="17" t="s">
        <v>76</v>
      </c>
      <c r="D116" s="17" t="s">
        <v>28</v>
      </c>
      <c r="E116" s="18">
        <f>ROUND(4269*1.05,2)</f>
      </c>
      <c r="F116" s="17" t="s">
        <v>29</v>
      </c>
      <c r="G116" s="17" t="s">
        <v>30</v>
      </c>
      <c r="H116" s="18">
        <f>ROUND(RAND()*4+6,1)</f>
      </c>
      <c r="I116" s="17" t="s">
        <v>31</v>
      </c>
      <c r="J116" s="19">
        <f>ROUND(66*1,0)&amp;"%"</f>
      </c>
    </row>
    <row x14ac:dyDescent="0.25" r="117" customHeight="1" ht="17.25">
      <c r="A117" s="20" t="s">
        <v>10695</v>
      </c>
      <c r="B117" s="20" t="s">
        <v>212</v>
      </c>
      <c r="C117" s="20" t="s">
        <v>76</v>
      </c>
      <c r="D117" s="20" t="s">
        <v>34</v>
      </c>
      <c r="E117" s="21">
        <f>ROUND(11383*1.05,2)</f>
      </c>
      <c r="F117" s="20" t="s">
        <v>35</v>
      </c>
      <c r="G117" s="20" t="s">
        <v>18</v>
      </c>
      <c r="H117" s="21">
        <f>ROUND(RAND()*4+6,1)</f>
      </c>
      <c r="I117" s="20" t="s">
        <v>36</v>
      </c>
      <c r="J117" s="23">
        <f>ROUND(76*1,0)&amp;"%"</f>
      </c>
    </row>
    <row x14ac:dyDescent="0.25" r="118" customHeight="1" ht="17.25">
      <c r="A118" s="17" t="s">
        <v>10696</v>
      </c>
      <c r="B118" s="17" t="s">
        <v>214</v>
      </c>
      <c r="C118" s="17" t="s">
        <v>76</v>
      </c>
      <c r="D118" s="17" t="s">
        <v>39</v>
      </c>
      <c r="E118" s="18">
        <f>ROUND(11684*1.05,2)</f>
      </c>
      <c r="F118" s="17" t="s">
        <v>40</v>
      </c>
      <c r="G118" s="17" t="s">
        <v>24</v>
      </c>
      <c r="H118" s="18">
        <f>ROUND(RAND()*4+6,1)</f>
      </c>
      <c r="I118" s="17" t="s">
        <v>41</v>
      </c>
      <c r="J118" s="19">
        <f>ROUND(78*1,0)&amp;"%"</f>
      </c>
    </row>
    <row x14ac:dyDescent="0.25" r="119" customHeight="1" ht="17.25">
      <c r="A119" s="20" t="s">
        <v>10697</v>
      </c>
      <c r="B119" s="20" t="s">
        <v>216</v>
      </c>
      <c r="C119" s="20" t="s">
        <v>76</v>
      </c>
      <c r="D119" s="20" t="s">
        <v>67</v>
      </c>
      <c r="E119" s="21">
        <f>ROUND(8841*1.05,2)</f>
      </c>
      <c r="F119" s="20" t="s">
        <v>44</v>
      </c>
      <c r="G119" s="20" t="s">
        <v>30</v>
      </c>
      <c r="H119" s="21">
        <f>ROUND(RAND()*4+6,1)</f>
      </c>
      <c r="I119" s="20" t="s">
        <v>45</v>
      </c>
      <c r="J119" s="23">
        <f>ROUND(68*1,0)&amp;"%"</f>
      </c>
    </row>
    <row x14ac:dyDescent="0.25" r="120" customHeight="1" ht="17.25">
      <c r="A120" s="17" t="s">
        <v>10698</v>
      </c>
      <c r="B120" s="17" t="s">
        <v>218</v>
      </c>
      <c r="C120" s="17" t="s">
        <v>76</v>
      </c>
      <c r="D120" s="17" t="s">
        <v>16</v>
      </c>
      <c r="E120" s="18">
        <f>ROUND(12353*1.05,2)</f>
      </c>
      <c r="F120" s="17" t="s">
        <v>48</v>
      </c>
      <c r="G120" s="17" t="s">
        <v>18</v>
      </c>
      <c r="H120" s="18">
        <f>ROUND(RAND()*4+6,1)</f>
      </c>
      <c r="I120" s="17" t="s">
        <v>19</v>
      </c>
      <c r="J120" s="19">
        <f>ROUND(71*1,0)&amp;"%"</f>
      </c>
    </row>
    <row x14ac:dyDescent="0.25" r="121" customHeight="1" ht="17.25">
      <c r="A121" s="20" t="s">
        <v>10699</v>
      </c>
      <c r="B121" s="20" t="s">
        <v>220</v>
      </c>
      <c r="C121" s="20" t="s">
        <v>76</v>
      </c>
      <c r="D121" s="20" t="s">
        <v>22</v>
      </c>
      <c r="E121" s="21">
        <f>ROUND(14778*1.05,2)</f>
      </c>
      <c r="F121" s="20" t="s">
        <v>51</v>
      </c>
      <c r="G121" s="20" t="s">
        <v>24</v>
      </c>
      <c r="H121" s="21">
        <f>ROUND(RAND()*4+6,1)</f>
      </c>
      <c r="I121" s="20" t="s">
        <v>25</v>
      </c>
      <c r="J121" s="23">
        <f>ROUND(72*1,0)&amp;"%"</f>
      </c>
    </row>
    <row x14ac:dyDescent="0.25" r="122" customHeight="1" ht="17.25">
      <c r="A122" s="24" t="s">
        <v>221</v>
      </c>
      <c r="B122" s="24"/>
      <c r="C122" s="24"/>
      <c r="D122" s="24"/>
      <c r="E122" s="25">
        <v>8</v>
      </c>
      <c r="F122" s="9"/>
      <c r="G122" s="9"/>
      <c r="H122" s="10"/>
      <c r="I122" s="9"/>
      <c r="J122" s="9"/>
    </row>
    <row x14ac:dyDescent="0.25" r="123" customHeight="1" ht="17.25">
      <c r="A123" s="7"/>
      <c r="B123" s="7"/>
      <c r="C123" s="7"/>
      <c r="D123" s="7"/>
      <c r="E123" s="8"/>
      <c r="F123" s="9"/>
      <c r="G123" s="9"/>
      <c r="H123" s="10"/>
      <c r="I123" s="9"/>
      <c r="J123" s="9"/>
    </row>
    <row x14ac:dyDescent="0.25" r="124" customHeight="1" ht="17.25">
      <c r="A124" s="11" t="s">
        <v>10700</v>
      </c>
      <c r="B124" s="11"/>
      <c r="C124" s="11"/>
      <c r="D124" s="11"/>
      <c r="E124" s="12"/>
      <c r="F124" s="11"/>
      <c r="G124" s="11"/>
      <c r="H124" s="13"/>
      <c r="I124" s="11"/>
      <c r="J124" s="11"/>
    </row>
    <row x14ac:dyDescent="0.25" r="125" customHeight="1" ht="17.25">
      <c r="A125" s="14" t="s">
        <v>3</v>
      </c>
      <c r="B125" s="14" t="s">
        <v>4</v>
      </c>
      <c r="C125" s="14" t="s">
        <v>5</v>
      </c>
      <c r="D125" s="14" t="s">
        <v>6</v>
      </c>
      <c r="E125" s="15" t="s">
        <v>7</v>
      </c>
      <c r="F125" s="14" t="s">
        <v>8</v>
      </c>
      <c r="G125" s="14" t="s">
        <v>9</v>
      </c>
      <c r="H125" s="16" t="s">
        <v>10</v>
      </c>
      <c r="I125" s="14" t="s">
        <v>11</v>
      </c>
      <c r="J125" s="14" t="s">
        <v>12</v>
      </c>
    </row>
    <row x14ac:dyDescent="0.25" r="126" customHeight="1" ht="17.25">
      <c r="A126" s="17" t="s">
        <v>10701</v>
      </c>
      <c r="B126" s="17" t="s">
        <v>224</v>
      </c>
      <c r="C126" s="17" t="s">
        <v>95</v>
      </c>
      <c r="D126" s="17" t="s">
        <v>16</v>
      </c>
      <c r="E126" s="18">
        <f>ROUND(9727*1.05,2)</f>
      </c>
      <c r="F126" s="17" t="s">
        <v>17</v>
      </c>
      <c r="G126" s="17" t="s">
        <v>18</v>
      </c>
      <c r="H126" s="18">
        <f>ROUND(RAND()*4+6,1)</f>
      </c>
      <c r="I126" s="17" t="s">
        <v>19</v>
      </c>
      <c r="J126" s="19">
        <f>ROUND(100*1,0)&amp;"%"</f>
      </c>
    </row>
    <row x14ac:dyDescent="0.25" r="127" customHeight="1" ht="17.25">
      <c r="A127" s="20" t="s">
        <v>10702</v>
      </c>
      <c r="B127" s="20" t="s">
        <v>226</v>
      </c>
      <c r="C127" s="20" t="s">
        <v>95</v>
      </c>
      <c r="D127" s="20" t="s">
        <v>22</v>
      </c>
      <c r="E127" s="21">
        <f>ROUND(17256*1.05,2)</f>
      </c>
      <c r="F127" s="20" t="s">
        <v>23</v>
      </c>
      <c r="G127" s="20" t="s">
        <v>24</v>
      </c>
      <c r="H127" s="21">
        <f>ROUND(RAND()*4+6,1)</f>
      </c>
      <c r="I127" s="20" t="s">
        <v>25</v>
      </c>
      <c r="J127" s="23">
        <f>ROUND(64*1,0)&amp;"%"</f>
      </c>
    </row>
    <row x14ac:dyDescent="0.25" r="128" customHeight="1" ht="17.25">
      <c r="A128" s="17" t="s">
        <v>10703</v>
      </c>
      <c r="B128" s="17" t="s">
        <v>228</v>
      </c>
      <c r="C128" s="17" t="s">
        <v>95</v>
      </c>
      <c r="D128" s="17" t="s">
        <v>28</v>
      </c>
      <c r="E128" s="18">
        <f>ROUND(17851*1.05,2)</f>
      </c>
      <c r="F128" s="17" t="s">
        <v>29</v>
      </c>
      <c r="G128" s="17" t="s">
        <v>30</v>
      </c>
      <c r="H128" s="26">
        <f>ROUND(RAND()*4+6,1)</f>
      </c>
      <c r="I128" s="17" t="s">
        <v>31</v>
      </c>
      <c r="J128" s="19">
        <f>ROUND(92*1,0)&amp;"%"</f>
      </c>
    </row>
    <row x14ac:dyDescent="0.25" r="129" customHeight="1" ht="17.25">
      <c r="A129" s="20" t="s">
        <v>10704</v>
      </c>
      <c r="B129" s="20" t="s">
        <v>230</v>
      </c>
      <c r="C129" s="20" t="s">
        <v>95</v>
      </c>
      <c r="D129" s="20" t="s">
        <v>34</v>
      </c>
      <c r="E129" s="22">
        <f>ROUND(7140*1.05,2)</f>
      </c>
      <c r="F129" s="20" t="s">
        <v>35</v>
      </c>
      <c r="G129" s="20" t="s">
        <v>18</v>
      </c>
      <c r="H129" s="22">
        <f>ROUND(RAND()*4+6,1)</f>
      </c>
      <c r="I129" s="20" t="s">
        <v>36</v>
      </c>
      <c r="J129" s="23">
        <f>ROUND(60*1,0)&amp;"%"</f>
      </c>
    </row>
    <row x14ac:dyDescent="0.25" r="130" customHeight="1" ht="17.25">
      <c r="A130" s="17" t="s">
        <v>10705</v>
      </c>
      <c r="B130" s="17" t="s">
        <v>232</v>
      </c>
      <c r="C130" s="17" t="s">
        <v>95</v>
      </c>
      <c r="D130" s="17" t="s">
        <v>39</v>
      </c>
      <c r="E130" s="18">
        <f>ROUND(13279*1.05,2)</f>
      </c>
      <c r="F130" s="17" t="s">
        <v>40</v>
      </c>
      <c r="G130" s="17" t="s">
        <v>24</v>
      </c>
      <c r="H130" s="18">
        <f>ROUND(RAND()*4+6,1)</f>
      </c>
      <c r="I130" s="17" t="s">
        <v>41</v>
      </c>
      <c r="J130" s="19">
        <f>ROUND(91*1,0)&amp;"%"</f>
      </c>
    </row>
    <row x14ac:dyDescent="0.25" r="131" customHeight="1" ht="17.25">
      <c r="A131" s="20" t="s">
        <v>10706</v>
      </c>
      <c r="B131" s="20" t="s">
        <v>234</v>
      </c>
      <c r="C131" s="20" t="s">
        <v>95</v>
      </c>
      <c r="D131" s="20" t="s">
        <v>67</v>
      </c>
      <c r="E131" s="22">
        <f>ROUND(7840*1.05,2)</f>
      </c>
      <c r="F131" s="20" t="s">
        <v>44</v>
      </c>
      <c r="G131" s="20" t="s">
        <v>30</v>
      </c>
      <c r="H131" s="21">
        <f>ROUND(RAND()*4+6,1)</f>
      </c>
      <c r="I131" s="20" t="s">
        <v>45</v>
      </c>
      <c r="J131" s="23">
        <f>ROUND(84*1,0)&amp;"%"</f>
      </c>
    </row>
    <row x14ac:dyDescent="0.25" r="132" customHeight="1" ht="17.25">
      <c r="A132" s="17" t="s">
        <v>10707</v>
      </c>
      <c r="B132" s="17" t="s">
        <v>236</v>
      </c>
      <c r="C132" s="17" t="s">
        <v>95</v>
      </c>
      <c r="D132" s="17" t="s">
        <v>16</v>
      </c>
      <c r="E132" s="18">
        <f>ROUND(4835*1.05,2)</f>
      </c>
      <c r="F132" s="17" t="s">
        <v>48</v>
      </c>
      <c r="G132" s="17" t="s">
        <v>18</v>
      </c>
      <c r="H132" s="18">
        <f>ROUND(RAND()*4+6,1)</f>
      </c>
      <c r="I132" s="17" t="s">
        <v>19</v>
      </c>
      <c r="J132" s="19">
        <f>ROUND(87*1,0)&amp;"%"</f>
      </c>
    </row>
    <row x14ac:dyDescent="0.25" r="133" customHeight="1" ht="17.25">
      <c r="A133" s="20" t="s">
        <v>10708</v>
      </c>
      <c r="B133" s="20" t="s">
        <v>238</v>
      </c>
      <c r="C133" s="20" t="s">
        <v>95</v>
      </c>
      <c r="D133" s="20" t="s">
        <v>22</v>
      </c>
      <c r="E133" s="21">
        <f>ROUND(10290*1.05,2)</f>
      </c>
      <c r="F133" s="20" t="s">
        <v>51</v>
      </c>
      <c r="G133" s="20" t="s">
        <v>24</v>
      </c>
      <c r="H133" s="21">
        <f>ROUND(RAND()*4+6,1)</f>
      </c>
      <c r="I133" s="20" t="s">
        <v>25</v>
      </c>
      <c r="J133" s="23">
        <f>ROUND(78*1,0)&amp;"%"</f>
      </c>
    </row>
    <row x14ac:dyDescent="0.25" r="134" customHeight="1" ht="17.25">
      <c r="A134" s="24" t="s">
        <v>239</v>
      </c>
      <c r="B134" s="24"/>
      <c r="C134" s="24"/>
      <c r="D134" s="24"/>
      <c r="E134" s="25">
        <v>8</v>
      </c>
      <c r="F134" s="9"/>
      <c r="G134" s="9"/>
      <c r="H134" s="10"/>
      <c r="I134" s="9"/>
      <c r="J134" s="9"/>
    </row>
    <row x14ac:dyDescent="0.25" r="135" customHeight="1" ht="17.25">
      <c r="A135" s="7"/>
      <c r="B135" s="7"/>
      <c r="C135" s="7"/>
      <c r="D135" s="7"/>
      <c r="E135" s="8"/>
      <c r="F135" s="9"/>
      <c r="G135" s="9"/>
      <c r="H135" s="10"/>
      <c r="I135" s="9"/>
      <c r="J135" s="9"/>
    </row>
    <row x14ac:dyDescent="0.25" r="136" customHeight="1" ht="17.25">
      <c r="A136" s="11" t="s">
        <v>10709</v>
      </c>
      <c r="B136" s="11"/>
      <c r="C136" s="11"/>
      <c r="D136" s="11"/>
      <c r="E136" s="12"/>
      <c r="F136" s="11"/>
      <c r="G136" s="11"/>
      <c r="H136" s="13"/>
      <c r="I136" s="11"/>
      <c r="J136" s="11"/>
    </row>
    <row x14ac:dyDescent="0.25" r="137" customHeight="1" ht="17.25">
      <c r="A137" s="14" t="s">
        <v>3</v>
      </c>
      <c r="B137" s="14" t="s">
        <v>4</v>
      </c>
      <c r="C137" s="14" t="s">
        <v>5</v>
      </c>
      <c r="D137" s="14" t="s">
        <v>6</v>
      </c>
      <c r="E137" s="15" t="s">
        <v>7</v>
      </c>
      <c r="F137" s="14" t="s">
        <v>8</v>
      </c>
      <c r="G137" s="14" t="s">
        <v>9</v>
      </c>
      <c r="H137" s="16" t="s">
        <v>10</v>
      </c>
      <c r="I137" s="14" t="s">
        <v>11</v>
      </c>
      <c r="J137" s="14" t="s">
        <v>12</v>
      </c>
    </row>
    <row x14ac:dyDescent="0.25" r="138" customHeight="1" ht="17.25">
      <c r="A138" s="17" t="s">
        <v>10710</v>
      </c>
      <c r="B138" s="17" t="s">
        <v>242</v>
      </c>
      <c r="C138" s="17" t="s">
        <v>114</v>
      </c>
      <c r="D138" s="17" t="s">
        <v>16</v>
      </c>
      <c r="E138" s="18">
        <f>ROUND(4469*1.05,2)</f>
      </c>
      <c r="F138" s="17" t="s">
        <v>17</v>
      </c>
      <c r="G138" s="17" t="s">
        <v>18</v>
      </c>
      <c r="H138" s="18">
        <f>ROUND(RAND()*4+6,1)</f>
      </c>
      <c r="I138" s="17" t="s">
        <v>19</v>
      </c>
      <c r="J138" s="19">
        <f>ROUND(81*1,0)&amp;"%"</f>
      </c>
    </row>
    <row x14ac:dyDescent="0.25" r="139" customHeight="1" ht="17.25">
      <c r="A139" s="20" t="s">
        <v>10711</v>
      </c>
      <c r="B139" s="20" t="s">
        <v>244</v>
      </c>
      <c r="C139" s="20" t="s">
        <v>114</v>
      </c>
      <c r="D139" s="20" t="s">
        <v>22</v>
      </c>
      <c r="E139" s="21">
        <f>ROUND(8422*1.05,2)</f>
      </c>
      <c r="F139" s="20" t="s">
        <v>23</v>
      </c>
      <c r="G139" s="20" t="s">
        <v>24</v>
      </c>
      <c r="H139" s="21">
        <f>ROUND(RAND()*4+6,1)</f>
      </c>
      <c r="I139" s="20" t="s">
        <v>25</v>
      </c>
      <c r="J139" s="23">
        <f>ROUND(90*1,0)&amp;"%"</f>
      </c>
    </row>
    <row x14ac:dyDescent="0.25" r="140" customHeight="1" ht="17.25">
      <c r="A140" s="17" t="s">
        <v>10712</v>
      </c>
      <c r="B140" s="17" t="s">
        <v>246</v>
      </c>
      <c r="C140" s="17" t="s">
        <v>114</v>
      </c>
      <c r="D140" s="17" t="s">
        <v>28</v>
      </c>
      <c r="E140" s="18">
        <f>ROUND(5577*1.05,2)</f>
      </c>
      <c r="F140" s="17" t="s">
        <v>29</v>
      </c>
      <c r="G140" s="17" t="s">
        <v>30</v>
      </c>
      <c r="H140" s="18">
        <f>ROUND(RAND()*4+6,1)</f>
      </c>
      <c r="I140" s="17" t="s">
        <v>31</v>
      </c>
      <c r="J140" s="19">
        <f>ROUND(95*1,0)&amp;"%"</f>
      </c>
    </row>
    <row x14ac:dyDescent="0.25" r="141" customHeight="1" ht="17.25">
      <c r="A141" s="20" t="s">
        <v>10713</v>
      </c>
      <c r="B141" s="20" t="s">
        <v>248</v>
      </c>
      <c r="C141" s="20" t="s">
        <v>114</v>
      </c>
      <c r="D141" s="20" t="s">
        <v>34</v>
      </c>
      <c r="E141" s="21">
        <f>ROUND(7276*1.05,2)</f>
      </c>
      <c r="F141" s="20" t="s">
        <v>35</v>
      </c>
      <c r="G141" s="20" t="s">
        <v>18</v>
      </c>
      <c r="H141" s="21">
        <f>ROUND(RAND()*4+6,1)</f>
      </c>
      <c r="I141" s="20" t="s">
        <v>36</v>
      </c>
      <c r="J141" s="23">
        <f>ROUND(96*1,0)&amp;"%"</f>
      </c>
    </row>
    <row x14ac:dyDescent="0.25" r="142" customHeight="1" ht="17.25">
      <c r="A142" s="17" t="s">
        <v>10714</v>
      </c>
      <c r="B142" s="17" t="s">
        <v>250</v>
      </c>
      <c r="C142" s="17" t="s">
        <v>114</v>
      </c>
      <c r="D142" s="17" t="s">
        <v>39</v>
      </c>
      <c r="E142" s="18">
        <f>ROUND(10751*1.05,2)</f>
      </c>
      <c r="F142" s="17" t="s">
        <v>40</v>
      </c>
      <c r="G142" s="17" t="s">
        <v>24</v>
      </c>
      <c r="H142" s="18">
        <f>ROUND(RAND()*4+6,1)</f>
      </c>
      <c r="I142" s="17" t="s">
        <v>41</v>
      </c>
      <c r="J142" s="19">
        <f>ROUND(91*1,0)&amp;"%"</f>
      </c>
    </row>
    <row x14ac:dyDescent="0.25" r="143" customHeight="1" ht="17.25">
      <c r="A143" s="20" t="s">
        <v>10715</v>
      </c>
      <c r="B143" s="20" t="s">
        <v>252</v>
      </c>
      <c r="C143" s="20" t="s">
        <v>114</v>
      </c>
      <c r="D143" s="20" t="s">
        <v>67</v>
      </c>
      <c r="E143" s="21">
        <f>ROUND(4689*1.05,2)</f>
      </c>
      <c r="F143" s="20" t="s">
        <v>44</v>
      </c>
      <c r="G143" s="20" t="s">
        <v>30</v>
      </c>
      <c r="H143" s="21">
        <f>ROUND(RAND()*4+6,1)</f>
      </c>
      <c r="I143" s="20" t="s">
        <v>45</v>
      </c>
      <c r="J143" s="23">
        <f>ROUND(94*1,0)&amp;"%"</f>
      </c>
    </row>
    <row x14ac:dyDescent="0.25" r="144" customHeight="1" ht="17.25">
      <c r="A144" s="17" t="s">
        <v>10716</v>
      </c>
      <c r="B144" s="17" t="s">
        <v>254</v>
      </c>
      <c r="C144" s="17" t="s">
        <v>114</v>
      </c>
      <c r="D144" s="17" t="s">
        <v>16</v>
      </c>
      <c r="E144" s="18">
        <f>ROUND(10468*1.05,2)</f>
      </c>
      <c r="F144" s="17" t="s">
        <v>48</v>
      </c>
      <c r="G144" s="17" t="s">
        <v>18</v>
      </c>
      <c r="H144" s="18">
        <f>ROUND(RAND()*4+6,1)</f>
      </c>
      <c r="I144" s="17" t="s">
        <v>19</v>
      </c>
      <c r="J144" s="19">
        <f>ROUND(99*1,0)&amp;"%"</f>
      </c>
    </row>
    <row x14ac:dyDescent="0.25" r="145" customHeight="1" ht="17.25">
      <c r="A145" s="20" t="s">
        <v>10717</v>
      </c>
      <c r="B145" s="20" t="s">
        <v>256</v>
      </c>
      <c r="C145" s="20" t="s">
        <v>114</v>
      </c>
      <c r="D145" s="20" t="s">
        <v>22</v>
      </c>
      <c r="E145" s="22">
        <f>ROUND(7060*1.05,2)</f>
      </c>
      <c r="F145" s="20" t="s">
        <v>51</v>
      </c>
      <c r="G145" s="20" t="s">
        <v>24</v>
      </c>
      <c r="H145" s="21">
        <f>ROUND(RAND()*4+6,1)</f>
      </c>
      <c r="I145" s="20" t="s">
        <v>25</v>
      </c>
      <c r="J145" s="23">
        <f>ROUND(82*1,0)&amp;"%"</f>
      </c>
    </row>
    <row x14ac:dyDescent="0.25" r="146" customHeight="1" ht="17.25">
      <c r="A146" s="24" t="s">
        <v>257</v>
      </c>
      <c r="B146" s="24"/>
      <c r="C146" s="24"/>
      <c r="D146" s="24"/>
      <c r="E146" s="25">
        <v>8</v>
      </c>
      <c r="F146" s="9"/>
      <c r="G146" s="9"/>
      <c r="H146" s="10"/>
      <c r="I146" s="9"/>
      <c r="J146" s="9"/>
    </row>
    <row x14ac:dyDescent="0.25" r="147" customHeight="1" ht="17.25">
      <c r="A147" s="7"/>
      <c r="B147" s="7"/>
      <c r="C147" s="7"/>
      <c r="D147" s="7"/>
      <c r="E147" s="8"/>
      <c r="F147" s="9"/>
      <c r="G147" s="9"/>
      <c r="H147" s="10"/>
      <c r="I147" s="9"/>
      <c r="J147" s="9"/>
    </row>
    <row x14ac:dyDescent="0.25" r="148" customHeight="1" ht="17.25">
      <c r="A148" s="11" t="s">
        <v>10718</v>
      </c>
      <c r="B148" s="11"/>
      <c r="C148" s="11"/>
      <c r="D148" s="11"/>
      <c r="E148" s="12"/>
      <c r="F148" s="11"/>
      <c r="G148" s="11"/>
      <c r="H148" s="13"/>
      <c r="I148" s="11"/>
      <c r="J148" s="11"/>
    </row>
    <row x14ac:dyDescent="0.25" r="149" customHeight="1" ht="17.25">
      <c r="A149" s="14" t="s">
        <v>3</v>
      </c>
      <c r="B149" s="14" t="s">
        <v>4</v>
      </c>
      <c r="C149" s="14" t="s">
        <v>5</v>
      </c>
      <c r="D149" s="14" t="s">
        <v>6</v>
      </c>
      <c r="E149" s="15" t="s">
        <v>7</v>
      </c>
      <c r="F149" s="14" t="s">
        <v>8</v>
      </c>
      <c r="G149" s="14" t="s">
        <v>9</v>
      </c>
      <c r="H149" s="16" t="s">
        <v>10</v>
      </c>
      <c r="I149" s="14" t="s">
        <v>11</v>
      </c>
      <c r="J149" s="14" t="s">
        <v>12</v>
      </c>
    </row>
    <row x14ac:dyDescent="0.25" r="150" customHeight="1" ht="17.25">
      <c r="A150" s="17" t="s">
        <v>10719</v>
      </c>
      <c r="B150" s="17" t="s">
        <v>260</v>
      </c>
      <c r="C150" s="17" t="s">
        <v>133</v>
      </c>
      <c r="D150" s="17" t="s">
        <v>16</v>
      </c>
      <c r="E150" s="18">
        <f>ROUND(6586*1.05,2)</f>
      </c>
      <c r="F150" s="17" t="s">
        <v>17</v>
      </c>
      <c r="G150" s="17" t="s">
        <v>18</v>
      </c>
      <c r="H150" s="26">
        <f>ROUND(RAND()*4+6,1)</f>
      </c>
      <c r="I150" s="17" t="s">
        <v>19</v>
      </c>
      <c r="J150" s="19">
        <f>ROUND(60*1,0)&amp;"%"</f>
      </c>
    </row>
    <row x14ac:dyDescent="0.25" r="151" customHeight="1" ht="17.25">
      <c r="A151" s="20" t="s">
        <v>10720</v>
      </c>
      <c r="B151" s="20" t="s">
        <v>262</v>
      </c>
      <c r="C151" s="20" t="s">
        <v>133</v>
      </c>
      <c r="D151" s="20" t="s">
        <v>22</v>
      </c>
      <c r="E151" s="22">
        <f>ROUND(4560*1.05,2)</f>
      </c>
      <c r="F151" s="20" t="s">
        <v>23</v>
      </c>
      <c r="G151" s="20" t="s">
        <v>24</v>
      </c>
      <c r="H151" s="21">
        <f>ROUND(RAND()*4+6,1)</f>
      </c>
      <c r="I151" s="20" t="s">
        <v>25</v>
      </c>
      <c r="J151" s="23">
        <f>ROUND(75*1,0)&amp;"%"</f>
      </c>
    </row>
    <row x14ac:dyDescent="0.25" r="152" customHeight="1" ht="17.25">
      <c r="A152" s="17" t="s">
        <v>10721</v>
      </c>
      <c r="B152" s="17" t="s">
        <v>264</v>
      </c>
      <c r="C152" s="17" t="s">
        <v>133</v>
      </c>
      <c r="D152" s="17" t="s">
        <v>28</v>
      </c>
      <c r="E152" s="18">
        <f>ROUND(10199*1.05,2)</f>
      </c>
      <c r="F152" s="17" t="s">
        <v>29</v>
      </c>
      <c r="G152" s="17" t="s">
        <v>30</v>
      </c>
      <c r="H152" s="18">
        <f>ROUND(RAND()*4+6,1)</f>
      </c>
      <c r="I152" s="17" t="s">
        <v>31</v>
      </c>
      <c r="J152" s="19">
        <f>ROUND(77*1,0)&amp;"%"</f>
      </c>
    </row>
    <row x14ac:dyDescent="0.25" r="153" customHeight="1" ht="17.25">
      <c r="A153" s="20" t="s">
        <v>10722</v>
      </c>
      <c r="B153" s="20" t="s">
        <v>266</v>
      </c>
      <c r="C153" s="20" t="s">
        <v>133</v>
      </c>
      <c r="D153" s="20" t="s">
        <v>34</v>
      </c>
      <c r="E153" s="21">
        <f>ROUND(12821*1.05,2)</f>
      </c>
      <c r="F153" s="20" t="s">
        <v>35</v>
      </c>
      <c r="G153" s="20" t="s">
        <v>18</v>
      </c>
      <c r="H153" s="21">
        <f>ROUND(RAND()*4+6,1)</f>
      </c>
      <c r="I153" s="20" t="s">
        <v>36</v>
      </c>
      <c r="J153" s="23">
        <f>ROUND(88*1,0)&amp;"%"</f>
      </c>
    </row>
    <row x14ac:dyDescent="0.25" r="154" customHeight="1" ht="17.25">
      <c r="A154" s="17" t="s">
        <v>10723</v>
      </c>
      <c r="B154" s="17" t="s">
        <v>268</v>
      </c>
      <c r="C154" s="17" t="s">
        <v>133</v>
      </c>
      <c r="D154" s="17" t="s">
        <v>39</v>
      </c>
      <c r="E154" s="18">
        <f>ROUND(11225*1.05,2)</f>
      </c>
      <c r="F154" s="17" t="s">
        <v>40</v>
      </c>
      <c r="G154" s="17" t="s">
        <v>24</v>
      </c>
      <c r="H154" s="18">
        <f>ROUND(RAND()*4+6,1)</f>
      </c>
      <c r="I154" s="17" t="s">
        <v>41</v>
      </c>
      <c r="J154" s="19">
        <f>ROUND(93*1,0)&amp;"%"</f>
      </c>
    </row>
    <row x14ac:dyDescent="0.25" r="155" customHeight="1" ht="17.25">
      <c r="A155" s="20" t="s">
        <v>10724</v>
      </c>
      <c r="B155" s="20" t="s">
        <v>270</v>
      </c>
      <c r="C155" s="20" t="s">
        <v>133</v>
      </c>
      <c r="D155" s="20" t="s">
        <v>67</v>
      </c>
      <c r="E155" s="21">
        <f>ROUND(13513*1.05,2)</f>
      </c>
      <c r="F155" s="20" t="s">
        <v>44</v>
      </c>
      <c r="G155" s="20" t="s">
        <v>30</v>
      </c>
      <c r="H155" s="21">
        <f>ROUND(RAND()*4+6,1)</f>
      </c>
      <c r="I155" s="20" t="s">
        <v>45</v>
      </c>
      <c r="J155" s="23">
        <f>ROUND(88*1,0)&amp;"%"</f>
      </c>
    </row>
    <row x14ac:dyDescent="0.25" r="156" customHeight="1" ht="17.25">
      <c r="A156" s="17" t="s">
        <v>10725</v>
      </c>
      <c r="B156" s="17" t="s">
        <v>272</v>
      </c>
      <c r="C156" s="17" t="s">
        <v>133</v>
      </c>
      <c r="D156" s="17" t="s">
        <v>16</v>
      </c>
      <c r="E156" s="26">
        <f>ROUND(12060*1.05,2)</f>
      </c>
      <c r="F156" s="17" t="s">
        <v>48</v>
      </c>
      <c r="G156" s="17" t="s">
        <v>18</v>
      </c>
      <c r="H156" s="18">
        <f>ROUND(RAND()*4+6,1)</f>
      </c>
      <c r="I156" s="17" t="s">
        <v>19</v>
      </c>
      <c r="J156" s="19">
        <f>ROUND(92*1,0)&amp;"%"</f>
      </c>
    </row>
    <row x14ac:dyDescent="0.25" r="157" customHeight="1" ht="17.25">
      <c r="A157" s="20" t="s">
        <v>10726</v>
      </c>
      <c r="B157" s="20" t="s">
        <v>274</v>
      </c>
      <c r="C157" s="20" t="s">
        <v>133</v>
      </c>
      <c r="D157" s="20" t="s">
        <v>22</v>
      </c>
      <c r="E157" s="21">
        <f>ROUND(9585*1.05,2)</f>
      </c>
      <c r="F157" s="20" t="s">
        <v>51</v>
      </c>
      <c r="G157" s="20" t="s">
        <v>24</v>
      </c>
      <c r="H157" s="21">
        <f>ROUND(RAND()*4+6,1)</f>
      </c>
      <c r="I157" s="20" t="s">
        <v>25</v>
      </c>
      <c r="J157" s="23">
        <f>ROUND(72*1,0)&amp;"%"</f>
      </c>
    </row>
    <row x14ac:dyDescent="0.25" r="158" customHeight="1" ht="17.25">
      <c r="A158" s="24" t="s">
        <v>275</v>
      </c>
      <c r="B158" s="24"/>
      <c r="C158" s="24"/>
      <c r="D158" s="24"/>
      <c r="E158" s="25">
        <v>8</v>
      </c>
      <c r="F158" s="9"/>
      <c r="G158" s="9"/>
      <c r="H158" s="10"/>
      <c r="I158" s="9"/>
      <c r="J158" s="9"/>
    </row>
    <row x14ac:dyDescent="0.25" r="159" customHeight="1" ht="17.25">
      <c r="A159" s="7"/>
      <c r="B159" s="7"/>
      <c r="C159" s="7"/>
      <c r="D159" s="7"/>
      <c r="E159" s="8"/>
      <c r="F159" s="9"/>
      <c r="G159" s="9"/>
      <c r="H159" s="10"/>
      <c r="I159" s="9"/>
      <c r="J159" s="9"/>
    </row>
    <row x14ac:dyDescent="0.25" r="160" customHeight="1" ht="17.25">
      <c r="A160" s="11" t="s">
        <v>10727</v>
      </c>
      <c r="B160" s="11"/>
      <c r="C160" s="11"/>
      <c r="D160" s="11"/>
      <c r="E160" s="12"/>
      <c r="F160" s="11"/>
      <c r="G160" s="11"/>
      <c r="H160" s="13"/>
      <c r="I160" s="11"/>
      <c r="J160" s="11"/>
    </row>
    <row x14ac:dyDescent="0.25" r="161" customHeight="1" ht="17.25">
      <c r="A161" s="14" t="s">
        <v>3</v>
      </c>
      <c r="B161" s="14" t="s">
        <v>4</v>
      </c>
      <c r="C161" s="14" t="s">
        <v>5</v>
      </c>
      <c r="D161" s="14" t="s">
        <v>6</v>
      </c>
      <c r="E161" s="15" t="s">
        <v>7</v>
      </c>
      <c r="F161" s="14" t="s">
        <v>8</v>
      </c>
      <c r="G161" s="14" t="s">
        <v>9</v>
      </c>
      <c r="H161" s="16" t="s">
        <v>10</v>
      </c>
      <c r="I161" s="14" t="s">
        <v>11</v>
      </c>
      <c r="J161" s="14" t="s">
        <v>12</v>
      </c>
    </row>
    <row x14ac:dyDescent="0.25" r="162" customHeight="1" ht="17.25">
      <c r="A162" s="17" t="s">
        <v>10728</v>
      </c>
      <c r="B162" s="17" t="s">
        <v>278</v>
      </c>
      <c r="C162" s="17" t="s">
        <v>152</v>
      </c>
      <c r="D162" s="17" t="s">
        <v>16</v>
      </c>
      <c r="E162" s="18">
        <f>ROUND(9552*1.05,2)</f>
      </c>
      <c r="F162" s="17" t="s">
        <v>17</v>
      </c>
      <c r="G162" s="17" t="s">
        <v>18</v>
      </c>
      <c r="H162" s="18">
        <f>ROUND(RAND()*4+6,1)</f>
      </c>
      <c r="I162" s="17" t="s">
        <v>19</v>
      </c>
      <c r="J162" s="19">
        <f>ROUND(89*1,0)&amp;"%"</f>
      </c>
    </row>
    <row x14ac:dyDescent="0.25" r="163" customHeight="1" ht="17.25">
      <c r="A163" s="20" t="s">
        <v>10729</v>
      </c>
      <c r="B163" s="20" t="s">
        <v>280</v>
      </c>
      <c r="C163" s="20" t="s">
        <v>152</v>
      </c>
      <c r="D163" s="20" t="s">
        <v>22</v>
      </c>
      <c r="E163" s="21">
        <f>ROUND(6995*1.05,2)</f>
      </c>
      <c r="F163" s="20" t="s">
        <v>23</v>
      </c>
      <c r="G163" s="20" t="s">
        <v>24</v>
      </c>
      <c r="H163" s="21">
        <f>ROUND(RAND()*4+6,1)</f>
      </c>
      <c r="I163" s="20" t="s">
        <v>25</v>
      </c>
      <c r="J163" s="23">
        <f>ROUND(74*1,0)&amp;"%"</f>
      </c>
    </row>
    <row x14ac:dyDescent="0.25" r="164" customHeight="1" ht="17.25">
      <c r="A164" s="17" t="s">
        <v>10730</v>
      </c>
      <c r="B164" s="17" t="s">
        <v>282</v>
      </c>
      <c r="C164" s="17" t="s">
        <v>152</v>
      </c>
      <c r="D164" s="17" t="s">
        <v>28</v>
      </c>
      <c r="E164" s="18">
        <f>ROUND(9854*1.05,2)</f>
      </c>
      <c r="F164" s="17" t="s">
        <v>29</v>
      </c>
      <c r="G164" s="17" t="s">
        <v>30</v>
      </c>
      <c r="H164" s="18">
        <f>ROUND(RAND()*4+6,1)</f>
      </c>
      <c r="I164" s="17" t="s">
        <v>31</v>
      </c>
      <c r="J164" s="19">
        <f>ROUND(66*1,0)&amp;"%"</f>
      </c>
    </row>
    <row x14ac:dyDescent="0.25" r="165" customHeight="1" ht="17.25">
      <c r="A165" s="20" t="s">
        <v>10731</v>
      </c>
      <c r="B165" s="20" t="s">
        <v>284</v>
      </c>
      <c r="C165" s="20" t="s">
        <v>152</v>
      </c>
      <c r="D165" s="20" t="s">
        <v>34</v>
      </c>
      <c r="E165" s="21">
        <f>ROUND(12546*1.05,2)</f>
      </c>
      <c r="F165" s="20" t="s">
        <v>35</v>
      </c>
      <c r="G165" s="20" t="s">
        <v>18</v>
      </c>
      <c r="H165" s="21">
        <f>ROUND(RAND()*4+6,1)</f>
      </c>
      <c r="I165" s="20" t="s">
        <v>36</v>
      </c>
      <c r="J165" s="23">
        <f>ROUND(84*1,0)&amp;"%"</f>
      </c>
    </row>
    <row x14ac:dyDescent="0.25" r="166" customHeight="1" ht="17.25">
      <c r="A166" s="17" t="s">
        <v>10732</v>
      </c>
      <c r="B166" s="17" t="s">
        <v>286</v>
      </c>
      <c r="C166" s="17" t="s">
        <v>152</v>
      </c>
      <c r="D166" s="17" t="s">
        <v>39</v>
      </c>
      <c r="E166" s="18">
        <f>ROUND(13238*1.05,2)</f>
      </c>
      <c r="F166" s="17" t="s">
        <v>40</v>
      </c>
      <c r="G166" s="17" t="s">
        <v>24</v>
      </c>
      <c r="H166" s="18">
        <f>ROUND(RAND()*4+6,1)</f>
      </c>
      <c r="I166" s="17" t="s">
        <v>41</v>
      </c>
      <c r="J166" s="19">
        <f>ROUND(85*1,0)&amp;"%"</f>
      </c>
    </row>
    <row x14ac:dyDescent="0.25" r="167" customHeight="1" ht="17.25">
      <c r="A167" s="20" t="s">
        <v>10733</v>
      </c>
      <c r="B167" s="20" t="s">
        <v>288</v>
      </c>
      <c r="C167" s="20" t="s">
        <v>152</v>
      </c>
      <c r="D167" s="20" t="s">
        <v>67</v>
      </c>
      <c r="E167" s="21">
        <f>ROUND(12290*1.05,2)</f>
      </c>
      <c r="F167" s="20" t="s">
        <v>44</v>
      </c>
      <c r="G167" s="20" t="s">
        <v>30</v>
      </c>
      <c r="H167" s="22">
        <f>ROUND(RAND()*4+6,1)</f>
      </c>
      <c r="I167" s="20" t="s">
        <v>45</v>
      </c>
      <c r="J167" s="23">
        <f>ROUND(61*1,0)&amp;"%"</f>
      </c>
    </row>
    <row x14ac:dyDescent="0.25" r="168" customHeight="1" ht="17.25">
      <c r="A168" s="17" t="s">
        <v>10734</v>
      </c>
      <c r="B168" s="17" t="s">
        <v>290</v>
      </c>
      <c r="C168" s="17" t="s">
        <v>152</v>
      </c>
      <c r="D168" s="17" t="s">
        <v>16</v>
      </c>
      <c r="E168" s="18">
        <f>ROUND(6944*1.05,2)</f>
      </c>
      <c r="F168" s="17" t="s">
        <v>48</v>
      </c>
      <c r="G168" s="17" t="s">
        <v>18</v>
      </c>
      <c r="H168" s="18">
        <f>ROUND(RAND()*4+6,1)</f>
      </c>
      <c r="I168" s="17" t="s">
        <v>19</v>
      </c>
      <c r="J168" s="19">
        <f>ROUND(68*1,0)&amp;"%"</f>
      </c>
    </row>
    <row x14ac:dyDescent="0.25" r="169" customHeight="1" ht="17.25">
      <c r="A169" s="20" t="s">
        <v>10735</v>
      </c>
      <c r="B169" s="20" t="s">
        <v>292</v>
      </c>
      <c r="C169" s="20" t="s">
        <v>152</v>
      </c>
      <c r="D169" s="20" t="s">
        <v>22</v>
      </c>
      <c r="E169" s="21">
        <f>ROUND(5607*1.05,2)</f>
      </c>
      <c r="F169" s="20" t="s">
        <v>51</v>
      </c>
      <c r="G169" s="20" t="s">
        <v>24</v>
      </c>
      <c r="H169" s="21">
        <f>ROUND(RAND()*4+6,1)</f>
      </c>
      <c r="I169" s="20" t="s">
        <v>25</v>
      </c>
      <c r="J169" s="23">
        <f>ROUND(69*1,0)&amp;"%"</f>
      </c>
    </row>
    <row x14ac:dyDescent="0.25" r="170" customHeight="1" ht="17.25">
      <c r="A170" s="24" t="s">
        <v>293</v>
      </c>
      <c r="B170" s="24"/>
      <c r="C170" s="24"/>
      <c r="D170" s="24"/>
      <c r="E170" s="25">
        <v>8</v>
      </c>
      <c r="F170" s="9"/>
      <c r="G170" s="9"/>
      <c r="H170" s="10"/>
      <c r="I170" s="9"/>
      <c r="J170" s="9"/>
    </row>
    <row x14ac:dyDescent="0.25" r="171" customHeight="1" ht="17.25">
      <c r="A171" s="7"/>
      <c r="B171" s="7"/>
      <c r="C171" s="7"/>
      <c r="D171" s="7"/>
      <c r="E171" s="8"/>
      <c r="F171" s="9"/>
      <c r="G171" s="9"/>
      <c r="H171" s="10"/>
      <c r="I171" s="9"/>
      <c r="J171" s="9"/>
    </row>
    <row x14ac:dyDescent="0.25" r="172" customHeight="1" ht="17.25">
      <c r="A172" s="11" t="s">
        <v>10736</v>
      </c>
      <c r="B172" s="11"/>
      <c r="C172" s="11"/>
      <c r="D172" s="11"/>
      <c r="E172" s="12"/>
      <c r="F172" s="11"/>
      <c r="G172" s="11"/>
      <c r="H172" s="13"/>
      <c r="I172" s="11"/>
      <c r="J172" s="11"/>
    </row>
    <row x14ac:dyDescent="0.25" r="173" customHeight="1" ht="17.25">
      <c r="A173" s="14" t="s">
        <v>3</v>
      </c>
      <c r="B173" s="14" t="s">
        <v>4</v>
      </c>
      <c r="C173" s="14" t="s">
        <v>5</v>
      </c>
      <c r="D173" s="14" t="s">
        <v>6</v>
      </c>
      <c r="E173" s="15" t="s">
        <v>7</v>
      </c>
      <c r="F173" s="14" t="s">
        <v>8</v>
      </c>
      <c r="G173" s="14" t="s">
        <v>9</v>
      </c>
      <c r="H173" s="16" t="s">
        <v>10</v>
      </c>
      <c r="I173" s="14" t="s">
        <v>11</v>
      </c>
      <c r="J173" s="14" t="s">
        <v>12</v>
      </c>
    </row>
    <row x14ac:dyDescent="0.25" r="174" customHeight="1" ht="17.25">
      <c r="A174" s="17" t="s">
        <v>10737</v>
      </c>
      <c r="B174" s="17" t="s">
        <v>296</v>
      </c>
      <c r="C174" s="17" t="s">
        <v>15</v>
      </c>
      <c r="D174" s="17" t="s">
        <v>16</v>
      </c>
      <c r="E174" s="18">
        <f>ROUND(11742*1.05,2)</f>
      </c>
      <c r="F174" s="17" t="s">
        <v>17</v>
      </c>
      <c r="G174" s="17" t="s">
        <v>18</v>
      </c>
      <c r="H174" s="18">
        <f>ROUND(RAND()*4+6,1)</f>
      </c>
      <c r="I174" s="17" t="s">
        <v>19</v>
      </c>
      <c r="J174" s="19">
        <f>ROUND(87*1,0)&amp;"%"</f>
      </c>
    </row>
    <row x14ac:dyDescent="0.25" r="175" customHeight="1" ht="17.25">
      <c r="A175" s="20" t="s">
        <v>10738</v>
      </c>
      <c r="B175" s="20" t="s">
        <v>298</v>
      </c>
      <c r="C175" s="20" t="s">
        <v>15</v>
      </c>
      <c r="D175" s="20" t="s">
        <v>22</v>
      </c>
      <c r="E175" s="21">
        <f>ROUND(7945*1.05,2)</f>
      </c>
      <c r="F175" s="20" t="s">
        <v>23</v>
      </c>
      <c r="G175" s="20" t="s">
        <v>24</v>
      </c>
      <c r="H175" s="21">
        <f>ROUND(RAND()*4+6,1)</f>
      </c>
      <c r="I175" s="20" t="s">
        <v>25</v>
      </c>
      <c r="J175" s="23">
        <f>ROUND(73*1,0)&amp;"%"</f>
      </c>
    </row>
    <row x14ac:dyDescent="0.25" r="176" customHeight="1" ht="17.25">
      <c r="A176" s="17" t="s">
        <v>10739</v>
      </c>
      <c r="B176" s="17" t="s">
        <v>300</v>
      </c>
      <c r="C176" s="17" t="s">
        <v>15</v>
      </c>
      <c r="D176" s="17" t="s">
        <v>28</v>
      </c>
      <c r="E176" s="18">
        <f>ROUND(10478*1.05,2)</f>
      </c>
      <c r="F176" s="17" t="s">
        <v>29</v>
      </c>
      <c r="G176" s="17" t="s">
        <v>30</v>
      </c>
      <c r="H176" s="18">
        <f>ROUND(RAND()*4+6,1)</f>
      </c>
      <c r="I176" s="17" t="s">
        <v>31</v>
      </c>
      <c r="J176" s="19">
        <f>ROUND(90*1,0)&amp;"%"</f>
      </c>
    </row>
    <row x14ac:dyDescent="0.25" r="177" customHeight="1" ht="17.25">
      <c r="A177" s="20" t="s">
        <v>10740</v>
      </c>
      <c r="B177" s="20" t="s">
        <v>302</v>
      </c>
      <c r="C177" s="20" t="s">
        <v>15</v>
      </c>
      <c r="D177" s="20" t="s">
        <v>34</v>
      </c>
      <c r="E177" s="21">
        <f>ROUND(12791*1.05,2)</f>
      </c>
      <c r="F177" s="20" t="s">
        <v>35</v>
      </c>
      <c r="G177" s="20" t="s">
        <v>18</v>
      </c>
      <c r="H177" s="21">
        <f>ROUND(RAND()*4+6,1)</f>
      </c>
      <c r="I177" s="20" t="s">
        <v>36</v>
      </c>
      <c r="J177" s="23">
        <f>ROUND(64*1,0)&amp;"%"</f>
      </c>
    </row>
    <row x14ac:dyDescent="0.25" r="178" customHeight="1" ht="17.25">
      <c r="A178" s="17" t="s">
        <v>10741</v>
      </c>
      <c r="B178" s="17" t="s">
        <v>304</v>
      </c>
      <c r="C178" s="17" t="s">
        <v>15</v>
      </c>
      <c r="D178" s="17" t="s">
        <v>39</v>
      </c>
      <c r="E178" s="18">
        <f>ROUND(5717*1.05,2)</f>
      </c>
      <c r="F178" s="17" t="s">
        <v>40</v>
      </c>
      <c r="G178" s="17" t="s">
        <v>24</v>
      </c>
      <c r="H178" s="26">
        <f>ROUND(RAND()*4+6,1)</f>
      </c>
      <c r="I178" s="17" t="s">
        <v>41</v>
      </c>
      <c r="J178" s="19">
        <f>ROUND(62*1,0)&amp;"%"</f>
      </c>
    </row>
    <row x14ac:dyDescent="0.25" r="179" customHeight="1" ht="17.25">
      <c r="A179" s="20" t="s">
        <v>10742</v>
      </c>
      <c r="B179" s="20" t="s">
        <v>306</v>
      </c>
      <c r="C179" s="20" t="s">
        <v>15</v>
      </c>
      <c r="D179" s="20" t="s">
        <v>67</v>
      </c>
      <c r="E179" s="21">
        <f>ROUND(16157*1.05,2)</f>
      </c>
      <c r="F179" s="20" t="s">
        <v>44</v>
      </c>
      <c r="G179" s="20" t="s">
        <v>30</v>
      </c>
      <c r="H179" s="22">
        <f>ROUND(RAND()*4+6,1)</f>
      </c>
      <c r="I179" s="20" t="s">
        <v>45</v>
      </c>
      <c r="J179" s="23">
        <f>ROUND(67*1,0)&amp;"%"</f>
      </c>
    </row>
    <row x14ac:dyDescent="0.25" r="180" customHeight="1" ht="17.25">
      <c r="A180" s="17" t="s">
        <v>10743</v>
      </c>
      <c r="B180" s="17" t="s">
        <v>308</v>
      </c>
      <c r="C180" s="17" t="s">
        <v>15</v>
      </c>
      <c r="D180" s="17" t="s">
        <v>16</v>
      </c>
      <c r="E180" s="18">
        <f>ROUND(8153*1.05,2)</f>
      </c>
      <c r="F180" s="17" t="s">
        <v>48</v>
      </c>
      <c r="G180" s="17" t="s">
        <v>18</v>
      </c>
      <c r="H180" s="18">
        <f>ROUND(RAND()*4+6,1)</f>
      </c>
      <c r="I180" s="17" t="s">
        <v>19</v>
      </c>
      <c r="J180" s="19">
        <f>ROUND(92*1,0)&amp;"%"</f>
      </c>
    </row>
    <row x14ac:dyDescent="0.25" r="181" customHeight="1" ht="17.25">
      <c r="A181" s="20" t="s">
        <v>10744</v>
      </c>
      <c r="B181" s="20" t="s">
        <v>310</v>
      </c>
      <c r="C181" s="20" t="s">
        <v>15</v>
      </c>
      <c r="D181" s="20" t="s">
        <v>22</v>
      </c>
      <c r="E181" s="21">
        <f>ROUND(17194*1.05,2)</f>
      </c>
      <c r="F181" s="20" t="s">
        <v>51</v>
      </c>
      <c r="G181" s="20" t="s">
        <v>24</v>
      </c>
      <c r="H181" s="21">
        <f>ROUND(RAND()*4+6,1)</f>
      </c>
      <c r="I181" s="20" t="s">
        <v>25</v>
      </c>
      <c r="J181" s="23">
        <f>ROUND(87*1,0)&amp;"%"</f>
      </c>
    </row>
    <row x14ac:dyDescent="0.25" r="182" customHeight="1" ht="17.25">
      <c r="A182" s="24" t="s">
        <v>311</v>
      </c>
      <c r="B182" s="24"/>
      <c r="C182" s="24"/>
      <c r="D182" s="24"/>
      <c r="E182" s="25">
        <v>8</v>
      </c>
      <c r="F182" s="9"/>
      <c r="G182" s="9"/>
      <c r="H182" s="10"/>
      <c r="I182" s="9"/>
      <c r="J182" s="9"/>
    </row>
    <row x14ac:dyDescent="0.25" r="183" customHeight="1" ht="17.25">
      <c r="A183" s="7"/>
      <c r="B183" s="7"/>
      <c r="C183" s="7"/>
      <c r="D183" s="7"/>
      <c r="E183" s="8"/>
      <c r="F183" s="9"/>
      <c r="G183" s="9"/>
      <c r="H183" s="10"/>
      <c r="I183" s="9"/>
      <c r="J183" s="9"/>
    </row>
    <row x14ac:dyDescent="0.25" r="184" customHeight="1" ht="17.25">
      <c r="A184" s="11" t="s">
        <v>10745</v>
      </c>
      <c r="B184" s="11"/>
      <c r="C184" s="11"/>
      <c r="D184" s="11"/>
      <c r="E184" s="12"/>
      <c r="F184" s="11"/>
      <c r="G184" s="11"/>
      <c r="H184" s="13"/>
      <c r="I184" s="11"/>
      <c r="J184" s="11"/>
    </row>
    <row x14ac:dyDescent="0.25" r="185" customHeight="1" ht="17.25">
      <c r="A185" s="14" t="s">
        <v>3</v>
      </c>
      <c r="B185" s="14" t="s">
        <v>4</v>
      </c>
      <c r="C185" s="14" t="s">
        <v>5</v>
      </c>
      <c r="D185" s="14" t="s">
        <v>6</v>
      </c>
      <c r="E185" s="15" t="s">
        <v>7</v>
      </c>
      <c r="F185" s="14" t="s">
        <v>8</v>
      </c>
      <c r="G185" s="14" t="s">
        <v>9</v>
      </c>
      <c r="H185" s="16" t="s">
        <v>10</v>
      </c>
      <c r="I185" s="14" t="s">
        <v>11</v>
      </c>
      <c r="J185" s="14" t="s">
        <v>12</v>
      </c>
    </row>
    <row x14ac:dyDescent="0.25" r="186" customHeight="1" ht="17.25">
      <c r="A186" s="17" t="s">
        <v>10746</v>
      </c>
      <c r="B186" s="17" t="s">
        <v>314</v>
      </c>
      <c r="C186" s="17" t="s">
        <v>56</v>
      </c>
      <c r="D186" s="17" t="s">
        <v>16</v>
      </c>
      <c r="E186" s="18">
        <f>ROUND(6826*1.05,2)</f>
      </c>
      <c r="F186" s="17" t="s">
        <v>17</v>
      </c>
      <c r="G186" s="17" t="s">
        <v>18</v>
      </c>
      <c r="H186" s="18">
        <f>ROUND(RAND()*4+6,1)</f>
      </c>
      <c r="I186" s="17" t="s">
        <v>19</v>
      </c>
      <c r="J186" s="19">
        <f>ROUND(82*1,0)&amp;"%"</f>
      </c>
    </row>
    <row x14ac:dyDescent="0.25" r="187" customHeight="1" ht="17.25">
      <c r="A187" s="20" t="s">
        <v>10747</v>
      </c>
      <c r="B187" s="20" t="s">
        <v>316</v>
      </c>
      <c r="C187" s="20" t="s">
        <v>56</v>
      </c>
      <c r="D187" s="20" t="s">
        <v>22</v>
      </c>
      <c r="E187" s="21">
        <f>ROUND(14179*1.05,2)</f>
      </c>
      <c r="F187" s="20" t="s">
        <v>23</v>
      </c>
      <c r="G187" s="20" t="s">
        <v>24</v>
      </c>
      <c r="H187" s="21">
        <f>ROUND(RAND()*4+6,1)</f>
      </c>
      <c r="I187" s="20" t="s">
        <v>25</v>
      </c>
      <c r="J187" s="23">
        <f>ROUND(69*1,0)&amp;"%"</f>
      </c>
    </row>
    <row x14ac:dyDescent="0.25" r="188" customHeight="1" ht="17.25">
      <c r="A188" s="17" t="s">
        <v>10748</v>
      </c>
      <c r="B188" s="17" t="s">
        <v>318</v>
      </c>
      <c r="C188" s="17" t="s">
        <v>56</v>
      </c>
      <c r="D188" s="17" t="s">
        <v>28</v>
      </c>
      <c r="E188" s="18">
        <f>ROUND(4437*1.05,2)</f>
      </c>
      <c r="F188" s="17" t="s">
        <v>29</v>
      </c>
      <c r="G188" s="17" t="s">
        <v>30</v>
      </c>
      <c r="H188" s="18">
        <f>ROUND(RAND()*4+6,1)</f>
      </c>
      <c r="I188" s="17" t="s">
        <v>31</v>
      </c>
      <c r="J188" s="19">
        <f>ROUND(84*1,0)&amp;"%"</f>
      </c>
    </row>
    <row x14ac:dyDescent="0.25" r="189" customHeight="1" ht="17.25">
      <c r="A189" s="20" t="s">
        <v>10749</v>
      </c>
      <c r="B189" s="20" t="s">
        <v>320</v>
      </c>
      <c r="C189" s="20" t="s">
        <v>56</v>
      </c>
      <c r="D189" s="20" t="s">
        <v>34</v>
      </c>
      <c r="E189" s="22">
        <f>ROUND(12880*1.05,2)</f>
      </c>
      <c r="F189" s="20" t="s">
        <v>35</v>
      </c>
      <c r="G189" s="20" t="s">
        <v>18</v>
      </c>
      <c r="H189" s="21">
        <f>ROUND(RAND()*4+6,1)</f>
      </c>
      <c r="I189" s="20" t="s">
        <v>36</v>
      </c>
      <c r="J189" s="23">
        <f>ROUND(92*1,0)&amp;"%"</f>
      </c>
    </row>
    <row x14ac:dyDescent="0.25" r="190" customHeight="1" ht="17.25">
      <c r="A190" s="17" t="s">
        <v>10750</v>
      </c>
      <c r="B190" s="17" t="s">
        <v>322</v>
      </c>
      <c r="C190" s="17" t="s">
        <v>56</v>
      </c>
      <c r="D190" s="17" t="s">
        <v>39</v>
      </c>
      <c r="E190" s="18">
        <f>ROUND(17821*1.05,2)</f>
      </c>
      <c r="F190" s="17" t="s">
        <v>40</v>
      </c>
      <c r="G190" s="17" t="s">
        <v>24</v>
      </c>
      <c r="H190" s="26">
        <f>ROUND(RAND()*4+6,1)</f>
      </c>
      <c r="I190" s="17" t="s">
        <v>41</v>
      </c>
      <c r="J190" s="19">
        <f>ROUND(92*1,0)&amp;"%"</f>
      </c>
    </row>
    <row x14ac:dyDescent="0.25" r="191" customHeight="1" ht="17.25">
      <c r="A191" s="20" t="s">
        <v>10751</v>
      </c>
      <c r="B191" s="20" t="s">
        <v>324</v>
      </c>
      <c r="C191" s="20" t="s">
        <v>56</v>
      </c>
      <c r="D191" s="20" t="s">
        <v>67</v>
      </c>
      <c r="E191" s="21">
        <f>ROUND(6943*1.05,2)</f>
      </c>
      <c r="F191" s="20" t="s">
        <v>44</v>
      </c>
      <c r="G191" s="20" t="s">
        <v>30</v>
      </c>
      <c r="H191" s="21">
        <f>ROUND(RAND()*4+6,1)</f>
      </c>
      <c r="I191" s="20" t="s">
        <v>45</v>
      </c>
      <c r="J191" s="23">
        <f>ROUND(86*1,0)&amp;"%"</f>
      </c>
    </row>
    <row x14ac:dyDescent="0.25" r="192" customHeight="1" ht="17.25">
      <c r="A192" s="17" t="s">
        <v>10752</v>
      </c>
      <c r="B192" s="17" t="s">
        <v>326</v>
      </c>
      <c r="C192" s="17" t="s">
        <v>56</v>
      </c>
      <c r="D192" s="17" t="s">
        <v>16</v>
      </c>
      <c r="E192" s="18">
        <f>ROUND(15823*1.05,2)</f>
      </c>
      <c r="F192" s="17" t="s">
        <v>48</v>
      </c>
      <c r="G192" s="17" t="s">
        <v>18</v>
      </c>
      <c r="H192" s="18">
        <f>ROUND(RAND()*4+6,1)</f>
      </c>
      <c r="I192" s="17" t="s">
        <v>19</v>
      </c>
      <c r="J192" s="19">
        <f>ROUND(77*1,0)&amp;"%"</f>
      </c>
    </row>
    <row x14ac:dyDescent="0.25" r="193" customHeight="1" ht="17.25">
      <c r="A193" s="20" t="s">
        <v>10753</v>
      </c>
      <c r="B193" s="20" t="s">
        <v>328</v>
      </c>
      <c r="C193" s="20" t="s">
        <v>56</v>
      </c>
      <c r="D193" s="20" t="s">
        <v>22</v>
      </c>
      <c r="E193" s="21">
        <f>ROUND(9104*1.05,2)</f>
      </c>
      <c r="F193" s="20" t="s">
        <v>51</v>
      </c>
      <c r="G193" s="20" t="s">
        <v>24</v>
      </c>
      <c r="H193" s="21">
        <f>ROUND(RAND()*4+6,1)</f>
      </c>
      <c r="I193" s="20" t="s">
        <v>25</v>
      </c>
      <c r="J193" s="23">
        <f>ROUND(100*1,0)&amp;"%"</f>
      </c>
    </row>
    <row x14ac:dyDescent="0.25" r="194" customHeight="1" ht="17.25">
      <c r="A194" s="24" t="s">
        <v>329</v>
      </c>
      <c r="B194" s="24"/>
      <c r="C194" s="24"/>
      <c r="D194" s="24"/>
      <c r="E194" s="25">
        <v>8</v>
      </c>
      <c r="F194" s="9"/>
      <c r="G194" s="9"/>
      <c r="H194" s="10"/>
      <c r="I194" s="9"/>
      <c r="J194" s="9"/>
    </row>
    <row x14ac:dyDescent="0.25" r="195" customHeight="1" ht="17.25">
      <c r="A195" s="7"/>
      <c r="B195" s="7"/>
      <c r="C195" s="7"/>
      <c r="D195" s="7"/>
      <c r="E195" s="8"/>
      <c r="F195" s="9"/>
      <c r="G195" s="9"/>
      <c r="H195" s="10"/>
      <c r="I195" s="9"/>
      <c r="J195" s="9"/>
    </row>
    <row x14ac:dyDescent="0.25" r="196" customHeight="1" ht="17.25">
      <c r="A196" s="11" t="s">
        <v>10754</v>
      </c>
      <c r="B196" s="11"/>
      <c r="C196" s="11"/>
      <c r="D196" s="11"/>
      <c r="E196" s="12"/>
      <c r="F196" s="11"/>
      <c r="G196" s="11"/>
      <c r="H196" s="13"/>
      <c r="I196" s="11"/>
      <c r="J196" s="11"/>
    </row>
    <row x14ac:dyDescent="0.25" r="197" customHeight="1" ht="17.25">
      <c r="A197" s="14" t="s">
        <v>3</v>
      </c>
      <c r="B197" s="14" t="s">
        <v>4</v>
      </c>
      <c r="C197" s="14" t="s">
        <v>5</v>
      </c>
      <c r="D197" s="14" t="s">
        <v>6</v>
      </c>
      <c r="E197" s="15" t="s">
        <v>7</v>
      </c>
      <c r="F197" s="14" t="s">
        <v>8</v>
      </c>
      <c r="G197" s="14" t="s">
        <v>9</v>
      </c>
      <c r="H197" s="16" t="s">
        <v>10</v>
      </c>
      <c r="I197" s="14" t="s">
        <v>11</v>
      </c>
      <c r="J197" s="14" t="s">
        <v>12</v>
      </c>
    </row>
    <row x14ac:dyDescent="0.25" r="198" customHeight="1" ht="17.25">
      <c r="A198" s="17" t="s">
        <v>10755</v>
      </c>
      <c r="B198" s="17" t="s">
        <v>332</v>
      </c>
      <c r="C198" s="17" t="s">
        <v>76</v>
      </c>
      <c r="D198" s="17" t="s">
        <v>16</v>
      </c>
      <c r="E198" s="18">
        <f>ROUND(8665*1.05,2)</f>
      </c>
      <c r="F198" s="17" t="s">
        <v>17</v>
      </c>
      <c r="G198" s="17" t="s">
        <v>18</v>
      </c>
      <c r="H198" s="18">
        <f>ROUND(RAND()*4+6,1)</f>
      </c>
      <c r="I198" s="17" t="s">
        <v>19</v>
      </c>
      <c r="J198" s="19">
        <f>ROUND(68*1,0)&amp;"%"</f>
      </c>
    </row>
    <row x14ac:dyDescent="0.25" r="199" customHeight="1" ht="17.25">
      <c r="A199" s="20" t="s">
        <v>10756</v>
      </c>
      <c r="B199" s="20" t="s">
        <v>334</v>
      </c>
      <c r="C199" s="20" t="s">
        <v>76</v>
      </c>
      <c r="D199" s="20" t="s">
        <v>22</v>
      </c>
      <c r="E199" s="21">
        <f>ROUND(12017*1.05,2)</f>
      </c>
      <c r="F199" s="20" t="s">
        <v>23</v>
      </c>
      <c r="G199" s="20" t="s">
        <v>24</v>
      </c>
      <c r="H199" s="22">
        <f>ROUND(RAND()*4+6,1)</f>
      </c>
      <c r="I199" s="20" t="s">
        <v>25</v>
      </c>
      <c r="J199" s="23">
        <f>ROUND(74*1,0)&amp;"%"</f>
      </c>
    </row>
    <row x14ac:dyDescent="0.25" r="200" customHeight="1" ht="17.25">
      <c r="A200" s="17" t="s">
        <v>10757</v>
      </c>
      <c r="B200" s="17" t="s">
        <v>336</v>
      </c>
      <c r="C200" s="17" t="s">
        <v>76</v>
      </c>
      <c r="D200" s="17" t="s">
        <v>28</v>
      </c>
      <c r="E200" s="18">
        <f>ROUND(13195*1.05,2)</f>
      </c>
      <c r="F200" s="17" t="s">
        <v>29</v>
      </c>
      <c r="G200" s="17" t="s">
        <v>30</v>
      </c>
      <c r="H200" s="18">
        <f>ROUND(RAND()*4+6,1)</f>
      </c>
      <c r="I200" s="17" t="s">
        <v>31</v>
      </c>
      <c r="J200" s="19">
        <f>ROUND(87*1,0)&amp;"%"</f>
      </c>
    </row>
    <row x14ac:dyDescent="0.25" r="201" customHeight="1" ht="17.25">
      <c r="A201" s="20" t="s">
        <v>10758</v>
      </c>
      <c r="B201" s="20" t="s">
        <v>338</v>
      </c>
      <c r="C201" s="20" t="s">
        <v>76</v>
      </c>
      <c r="D201" s="20" t="s">
        <v>34</v>
      </c>
      <c r="E201" s="21">
        <f>ROUND(9518*1.05,2)</f>
      </c>
      <c r="F201" s="20" t="s">
        <v>35</v>
      </c>
      <c r="G201" s="20" t="s">
        <v>18</v>
      </c>
      <c r="H201" s="21">
        <f>ROUND(RAND()*4+6,1)</f>
      </c>
      <c r="I201" s="20" t="s">
        <v>36</v>
      </c>
      <c r="J201" s="23">
        <f>ROUND(85*1,0)&amp;"%"</f>
      </c>
    </row>
    <row x14ac:dyDescent="0.25" r="202" customHeight="1" ht="17.25">
      <c r="A202" s="17" t="s">
        <v>10759</v>
      </c>
      <c r="B202" s="17" t="s">
        <v>340</v>
      </c>
      <c r="C202" s="17" t="s">
        <v>76</v>
      </c>
      <c r="D202" s="17" t="s">
        <v>39</v>
      </c>
      <c r="E202" s="18">
        <f>ROUND(15156*1.05,2)</f>
      </c>
      <c r="F202" s="17" t="s">
        <v>40</v>
      </c>
      <c r="G202" s="17" t="s">
        <v>24</v>
      </c>
      <c r="H202" s="18">
        <f>ROUND(RAND()*4+6,1)</f>
      </c>
      <c r="I202" s="17" t="s">
        <v>41</v>
      </c>
      <c r="J202" s="19">
        <f>ROUND(93*1,0)&amp;"%"</f>
      </c>
    </row>
    <row x14ac:dyDescent="0.25" r="203" customHeight="1" ht="17.25">
      <c r="A203" s="20" t="s">
        <v>10760</v>
      </c>
      <c r="B203" s="20" t="s">
        <v>342</v>
      </c>
      <c r="C203" s="20" t="s">
        <v>76</v>
      </c>
      <c r="D203" s="20" t="s">
        <v>67</v>
      </c>
      <c r="E203" s="21">
        <f>ROUND(5596*1.05,2)</f>
      </c>
      <c r="F203" s="20" t="s">
        <v>44</v>
      </c>
      <c r="G203" s="20" t="s">
        <v>30</v>
      </c>
      <c r="H203" s="21">
        <f>ROUND(RAND()*4+6,1)</f>
      </c>
      <c r="I203" s="20" t="s">
        <v>45</v>
      </c>
      <c r="J203" s="23">
        <f>ROUND(74*1,0)&amp;"%"</f>
      </c>
    </row>
    <row x14ac:dyDescent="0.25" r="204" customHeight="1" ht="17.25">
      <c r="A204" s="17" t="s">
        <v>10761</v>
      </c>
      <c r="B204" s="17" t="s">
        <v>344</v>
      </c>
      <c r="C204" s="17" t="s">
        <v>76</v>
      </c>
      <c r="D204" s="17" t="s">
        <v>16</v>
      </c>
      <c r="E204" s="18">
        <f>ROUND(16410*1.05,2)</f>
      </c>
      <c r="F204" s="17" t="s">
        <v>48</v>
      </c>
      <c r="G204" s="17" t="s">
        <v>18</v>
      </c>
      <c r="H204" s="18">
        <f>ROUND(RAND()*4+6,1)</f>
      </c>
      <c r="I204" s="17" t="s">
        <v>19</v>
      </c>
      <c r="J204" s="19">
        <f>ROUND(100*1,0)&amp;"%"</f>
      </c>
    </row>
    <row x14ac:dyDescent="0.25" r="205" customHeight="1" ht="17.25">
      <c r="A205" s="20" t="s">
        <v>10762</v>
      </c>
      <c r="B205" s="20" t="s">
        <v>346</v>
      </c>
      <c r="C205" s="20" t="s">
        <v>76</v>
      </c>
      <c r="D205" s="20" t="s">
        <v>22</v>
      </c>
      <c r="E205" s="21">
        <f>ROUND(9094*1.05,2)</f>
      </c>
      <c r="F205" s="20" t="s">
        <v>51</v>
      </c>
      <c r="G205" s="20" t="s">
        <v>24</v>
      </c>
      <c r="H205" s="21">
        <f>ROUND(RAND()*4+6,1)</f>
      </c>
      <c r="I205" s="20" t="s">
        <v>25</v>
      </c>
      <c r="J205" s="23">
        <f>ROUND(83*1,0)&amp;"%"</f>
      </c>
    </row>
    <row x14ac:dyDescent="0.25" r="206" customHeight="1" ht="17.25">
      <c r="A206" s="24" t="s">
        <v>347</v>
      </c>
      <c r="B206" s="24"/>
      <c r="C206" s="24"/>
      <c r="D206" s="24"/>
      <c r="E206" s="25">
        <v>8</v>
      </c>
      <c r="F206" s="9"/>
      <c r="G206" s="9"/>
      <c r="H206" s="10"/>
      <c r="I206" s="9"/>
      <c r="J206" s="9"/>
    </row>
    <row x14ac:dyDescent="0.25" r="207" customHeight="1" ht="17.25">
      <c r="A207" s="7"/>
      <c r="B207" s="7"/>
      <c r="C207" s="7"/>
      <c r="D207" s="7"/>
      <c r="E207" s="8"/>
      <c r="F207" s="9"/>
      <c r="G207" s="9"/>
      <c r="H207" s="10"/>
      <c r="I207" s="9"/>
      <c r="J207" s="9"/>
    </row>
    <row x14ac:dyDescent="0.25" r="208" customHeight="1" ht="17.25">
      <c r="A208" s="11" t="s">
        <v>10763</v>
      </c>
      <c r="B208" s="11"/>
      <c r="C208" s="11"/>
      <c r="D208" s="11"/>
      <c r="E208" s="12"/>
      <c r="F208" s="11"/>
      <c r="G208" s="11"/>
      <c r="H208" s="13"/>
      <c r="I208" s="11"/>
      <c r="J208" s="11"/>
    </row>
    <row x14ac:dyDescent="0.25" r="209" customHeight="1" ht="17.25">
      <c r="A209" s="14" t="s">
        <v>3</v>
      </c>
      <c r="B209" s="14" t="s">
        <v>4</v>
      </c>
      <c r="C209" s="14" t="s">
        <v>5</v>
      </c>
      <c r="D209" s="14" t="s">
        <v>6</v>
      </c>
      <c r="E209" s="15" t="s">
        <v>7</v>
      </c>
      <c r="F209" s="14" t="s">
        <v>8</v>
      </c>
      <c r="G209" s="14" t="s">
        <v>9</v>
      </c>
      <c r="H209" s="16" t="s">
        <v>10</v>
      </c>
      <c r="I209" s="14" t="s">
        <v>11</v>
      </c>
      <c r="J209" s="14" t="s">
        <v>12</v>
      </c>
    </row>
    <row x14ac:dyDescent="0.25" r="210" customHeight="1" ht="17.25">
      <c r="A210" s="17" t="s">
        <v>10764</v>
      </c>
      <c r="B210" s="17" t="s">
        <v>350</v>
      </c>
      <c r="C210" s="17" t="s">
        <v>95</v>
      </c>
      <c r="D210" s="17" t="s">
        <v>16</v>
      </c>
      <c r="E210" s="18">
        <f>ROUND(9347*1.05,2)</f>
      </c>
      <c r="F210" s="17" t="s">
        <v>17</v>
      </c>
      <c r="G210" s="17" t="s">
        <v>18</v>
      </c>
      <c r="H210" s="26">
        <f>ROUND(RAND()*4+6,1)</f>
      </c>
      <c r="I210" s="17" t="s">
        <v>19</v>
      </c>
      <c r="J210" s="19">
        <f>ROUND(91*1,0)&amp;"%"</f>
      </c>
    </row>
    <row x14ac:dyDescent="0.25" r="211" customHeight="1" ht="17.25">
      <c r="A211" s="20" t="s">
        <v>10765</v>
      </c>
      <c r="B211" s="20" t="s">
        <v>352</v>
      </c>
      <c r="C211" s="20" t="s">
        <v>95</v>
      </c>
      <c r="D211" s="20" t="s">
        <v>22</v>
      </c>
      <c r="E211" s="21">
        <f>ROUND(6342*1.05,2)</f>
      </c>
      <c r="F211" s="20" t="s">
        <v>23</v>
      </c>
      <c r="G211" s="20" t="s">
        <v>24</v>
      </c>
      <c r="H211" s="21">
        <f>ROUND(RAND()*4+6,1)</f>
      </c>
      <c r="I211" s="20" t="s">
        <v>25</v>
      </c>
      <c r="J211" s="23">
        <f>ROUND(91*1,0)&amp;"%"</f>
      </c>
    </row>
    <row x14ac:dyDescent="0.25" r="212" customHeight="1" ht="17.25">
      <c r="A212" s="17" t="s">
        <v>10766</v>
      </c>
      <c r="B212" s="17" t="s">
        <v>354</v>
      </c>
      <c r="C212" s="17" t="s">
        <v>95</v>
      </c>
      <c r="D212" s="17" t="s">
        <v>28</v>
      </c>
      <c r="E212" s="18">
        <f>ROUND(15975*1.05,2)</f>
      </c>
      <c r="F212" s="17" t="s">
        <v>29</v>
      </c>
      <c r="G212" s="17" t="s">
        <v>30</v>
      </c>
      <c r="H212" s="26">
        <f>ROUND(RAND()*4+6,1)</f>
      </c>
      <c r="I212" s="17" t="s">
        <v>31</v>
      </c>
      <c r="J212" s="19">
        <f>ROUND(93*1,0)&amp;"%"</f>
      </c>
    </row>
    <row x14ac:dyDescent="0.25" r="213" customHeight="1" ht="17.25">
      <c r="A213" s="20" t="s">
        <v>10767</v>
      </c>
      <c r="B213" s="20" t="s">
        <v>356</v>
      </c>
      <c r="C213" s="20" t="s">
        <v>95</v>
      </c>
      <c r="D213" s="20" t="s">
        <v>34</v>
      </c>
      <c r="E213" s="21">
        <f>ROUND(12479*1.05,2)</f>
      </c>
      <c r="F213" s="20" t="s">
        <v>35</v>
      </c>
      <c r="G213" s="20" t="s">
        <v>18</v>
      </c>
      <c r="H213" s="21">
        <f>ROUND(RAND()*4+6,1)</f>
      </c>
      <c r="I213" s="20" t="s">
        <v>36</v>
      </c>
      <c r="J213" s="23">
        <f>ROUND(89*1,0)&amp;"%"</f>
      </c>
    </row>
    <row x14ac:dyDescent="0.25" r="214" customHeight="1" ht="17.25">
      <c r="A214" s="17" t="s">
        <v>10768</v>
      </c>
      <c r="B214" s="17" t="s">
        <v>358</v>
      </c>
      <c r="C214" s="17" t="s">
        <v>95</v>
      </c>
      <c r="D214" s="17" t="s">
        <v>39</v>
      </c>
      <c r="E214" s="18">
        <f>ROUND(4322*1.05,2)</f>
      </c>
      <c r="F214" s="17" t="s">
        <v>40</v>
      </c>
      <c r="G214" s="17" t="s">
        <v>24</v>
      </c>
      <c r="H214" s="18">
        <f>ROUND(RAND()*4+6,1)</f>
      </c>
      <c r="I214" s="17" t="s">
        <v>41</v>
      </c>
      <c r="J214" s="19">
        <f>ROUND(100*1,0)&amp;"%"</f>
      </c>
    </row>
    <row x14ac:dyDescent="0.25" r="215" customHeight="1" ht="17.25">
      <c r="A215" s="20" t="s">
        <v>10769</v>
      </c>
      <c r="B215" s="20" t="s">
        <v>360</v>
      </c>
      <c r="C215" s="20" t="s">
        <v>95</v>
      </c>
      <c r="D215" s="20" t="s">
        <v>67</v>
      </c>
      <c r="E215" s="21">
        <f>ROUND(4658*1.05,2)</f>
      </c>
      <c r="F215" s="20" t="s">
        <v>44</v>
      </c>
      <c r="G215" s="20" t="s">
        <v>30</v>
      </c>
      <c r="H215" s="21">
        <f>ROUND(RAND()*4+6,1)</f>
      </c>
      <c r="I215" s="20" t="s">
        <v>45</v>
      </c>
      <c r="J215" s="23">
        <f>ROUND(72*1,0)&amp;"%"</f>
      </c>
    </row>
    <row x14ac:dyDescent="0.25" r="216" customHeight="1" ht="17.25">
      <c r="A216" s="17" t="s">
        <v>10770</v>
      </c>
      <c r="B216" s="17" t="s">
        <v>362</v>
      </c>
      <c r="C216" s="17" t="s">
        <v>95</v>
      </c>
      <c r="D216" s="17" t="s">
        <v>16</v>
      </c>
      <c r="E216" s="18">
        <f>ROUND(16949*1.05,2)</f>
      </c>
      <c r="F216" s="17" t="s">
        <v>48</v>
      </c>
      <c r="G216" s="17" t="s">
        <v>18</v>
      </c>
      <c r="H216" s="18">
        <f>ROUND(RAND()*4+6,1)</f>
      </c>
      <c r="I216" s="17" t="s">
        <v>19</v>
      </c>
      <c r="J216" s="19">
        <f>ROUND(61*1,0)&amp;"%"</f>
      </c>
    </row>
    <row x14ac:dyDescent="0.25" r="217" customHeight="1" ht="17.25">
      <c r="A217" s="20" t="s">
        <v>10771</v>
      </c>
      <c r="B217" s="20" t="s">
        <v>364</v>
      </c>
      <c r="C217" s="20" t="s">
        <v>95</v>
      </c>
      <c r="D217" s="20" t="s">
        <v>22</v>
      </c>
      <c r="E217" s="22">
        <f>ROUND(5500*1.05,2)</f>
      </c>
      <c r="F217" s="20" t="s">
        <v>51</v>
      </c>
      <c r="G217" s="20" t="s">
        <v>24</v>
      </c>
      <c r="H217" s="21">
        <f>ROUND(RAND()*4+6,1)</f>
      </c>
      <c r="I217" s="20" t="s">
        <v>25</v>
      </c>
      <c r="J217" s="23">
        <f>ROUND(63*1,0)&amp;"%"</f>
      </c>
    </row>
    <row x14ac:dyDescent="0.25" r="218" customHeight="1" ht="17.25">
      <c r="A218" s="24" t="s">
        <v>365</v>
      </c>
      <c r="B218" s="24"/>
      <c r="C218" s="24"/>
      <c r="D218" s="24"/>
      <c r="E218" s="25">
        <v>8</v>
      </c>
      <c r="F218" s="9"/>
      <c r="G218" s="9"/>
      <c r="H218" s="10"/>
      <c r="I218" s="9"/>
      <c r="J218" s="9"/>
    </row>
    <row x14ac:dyDescent="0.25" r="219" customHeight="1" ht="17.25">
      <c r="A219" s="7"/>
      <c r="B219" s="7"/>
      <c r="C219" s="7"/>
      <c r="D219" s="7"/>
      <c r="E219" s="8"/>
      <c r="F219" s="9"/>
      <c r="G219" s="9"/>
      <c r="H219" s="10"/>
      <c r="I219" s="9"/>
      <c r="J219" s="9"/>
    </row>
    <row x14ac:dyDescent="0.25" r="220" customHeight="1" ht="17.25">
      <c r="A220" s="11" t="s">
        <v>10772</v>
      </c>
      <c r="B220" s="11"/>
      <c r="C220" s="11"/>
      <c r="D220" s="11"/>
      <c r="E220" s="12"/>
      <c r="F220" s="11"/>
      <c r="G220" s="11"/>
      <c r="H220" s="13"/>
      <c r="I220" s="11"/>
      <c r="J220" s="11"/>
    </row>
    <row x14ac:dyDescent="0.25" r="221" customHeight="1" ht="17.25">
      <c r="A221" s="14" t="s">
        <v>3</v>
      </c>
      <c r="B221" s="14" t="s">
        <v>4</v>
      </c>
      <c r="C221" s="14" t="s">
        <v>5</v>
      </c>
      <c r="D221" s="14" t="s">
        <v>6</v>
      </c>
      <c r="E221" s="15" t="s">
        <v>7</v>
      </c>
      <c r="F221" s="14" t="s">
        <v>8</v>
      </c>
      <c r="G221" s="14" t="s">
        <v>9</v>
      </c>
      <c r="H221" s="16" t="s">
        <v>10</v>
      </c>
      <c r="I221" s="14" t="s">
        <v>11</v>
      </c>
      <c r="J221" s="14" t="s">
        <v>12</v>
      </c>
    </row>
    <row x14ac:dyDescent="0.25" r="222" customHeight="1" ht="17.25">
      <c r="A222" s="17" t="s">
        <v>10773</v>
      </c>
      <c r="B222" s="17" t="s">
        <v>368</v>
      </c>
      <c r="C222" s="17" t="s">
        <v>114</v>
      </c>
      <c r="D222" s="17" t="s">
        <v>16</v>
      </c>
      <c r="E222" s="18">
        <f>ROUND(14388*1.05,2)</f>
      </c>
      <c r="F222" s="17" t="s">
        <v>17</v>
      </c>
      <c r="G222" s="17" t="s">
        <v>18</v>
      </c>
      <c r="H222" s="18">
        <f>ROUND(RAND()*4+6,1)</f>
      </c>
      <c r="I222" s="17" t="s">
        <v>19</v>
      </c>
      <c r="J222" s="19">
        <f>ROUND(95*1,0)&amp;"%"</f>
      </c>
    </row>
    <row x14ac:dyDescent="0.25" r="223" customHeight="1" ht="17.25">
      <c r="A223" s="20" t="s">
        <v>10774</v>
      </c>
      <c r="B223" s="20" t="s">
        <v>370</v>
      </c>
      <c r="C223" s="20" t="s">
        <v>114</v>
      </c>
      <c r="D223" s="20" t="s">
        <v>22</v>
      </c>
      <c r="E223" s="21">
        <f>ROUND(4015*1.05,2)</f>
      </c>
      <c r="F223" s="20" t="s">
        <v>23</v>
      </c>
      <c r="G223" s="20" t="s">
        <v>24</v>
      </c>
      <c r="H223" s="21">
        <f>ROUND(RAND()*4+6,1)</f>
      </c>
      <c r="I223" s="20" t="s">
        <v>25</v>
      </c>
      <c r="J223" s="23">
        <f>ROUND(91*1,0)&amp;"%"</f>
      </c>
    </row>
    <row x14ac:dyDescent="0.25" r="224" customHeight="1" ht="17.25">
      <c r="A224" s="17" t="s">
        <v>10775</v>
      </c>
      <c r="B224" s="17" t="s">
        <v>372</v>
      </c>
      <c r="C224" s="17" t="s">
        <v>114</v>
      </c>
      <c r="D224" s="17" t="s">
        <v>28</v>
      </c>
      <c r="E224" s="18">
        <f>ROUND(5276*1.05,2)</f>
      </c>
      <c r="F224" s="17" t="s">
        <v>29</v>
      </c>
      <c r="G224" s="17" t="s">
        <v>30</v>
      </c>
      <c r="H224" s="18">
        <f>ROUND(RAND()*4+6,1)</f>
      </c>
      <c r="I224" s="17" t="s">
        <v>31</v>
      </c>
      <c r="J224" s="19">
        <f>ROUND(79*1,0)&amp;"%"</f>
      </c>
    </row>
    <row x14ac:dyDescent="0.25" r="225" customHeight="1" ht="17.25">
      <c r="A225" s="20" t="s">
        <v>10776</v>
      </c>
      <c r="B225" s="20" t="s">
        <v>374</v>
      </c>
      <c r="C225" s="20" t="s">
        <v>114</v>
      </c>
      <c r="D225" s="20" t="s">
        <v>34</v>
      </c>
      <c r="E225" s="21">
        <f>ROUND(7903*1.05,2)</f>
      </c>
      <c r="F225" s="20" t="s">
        <v>35</v>
      </c>
      <c r="G225" s="20" t="s">
        <v>18</v>
      </c>
      <c r="H225" s="21">
        <f>ROUND(RAND()*4+6,1)</f>
      </c>
      <c r="I225" s="20" t="s">
        <v>36</v>
      </c>
      <c r="J225" s="23">
        <f>ROUND(92*1,0)&amp;"%"</f>
      </c>
    </row>
    <row x14ac:dyDescent="0.25" r="226" customHeight="1" ht="17.25">
      <c r="A226" s="17" t="s">
        <v>10777</v>
      </c>
      <c r="B226" s="17" t="s">
        <v>376</v>
      </c>
      <c r="C226" s="17" t="s">
        <v>114</v>
      </c>
      <c r="D226" s="17" t="s">
        <v>39</v>
      </c>
      <c r="E226" s="18">
        <f>ROUND(7971*1.05,2)</f>
      </c>
      <c r="F226" s="17" t="s">
        <v>40</v>
      </c>
      <c r="G226" s="17" t="s">
        <v>24</v>
      </c>
      <c r="H226" s="18">
        <f>ROUND(RAND()*4+6,1)</f>
      </c>
      <c r="I226" s="17" t="s">
        <v>41</v>
      </c>
      <c r="J226" s="19">
        <f>ROUND(94*1,0)&amp;"%"</f>
      </c>
    </row>
    <row x14ac:dyDescent="0.25" r="227" customHeight="1" ht="17.25">
      <c r="A227" s="20" t="s">
        <v>10778</v>
      </c>
      <c r="B227" s="20" t="s">
        <v>378</v>
      </c>
      <c r="C227" s="20" t="s">
        <v>114</v>
      </c>
      <c r="D227" s="20" t="s">
        <v>67</v>
      </c>
      <c r="E227" s="21">
        <f>ROUND(16331*1.05,2)</f>
      </c>
      <c r="F227" s="20" t="s">
        <v>44</v>
      </c>
      <c r="G227" s="20" t="s">
        <v>30</v>
      </c>
      <c r="H227" s="21">
        <f>ROUND(RAND()*4+6,1)</f>
      </c>
      <c r="I227" s="20" t="s">
        <v>45</v>
      </c>
      <c r="J227" s="23">
        <f>ROUND(84*1,0)&amp;"%"</f>
      </c>
    </row>
    <row x14ac:dyDescent="0.25" r="228" customHeight="1" ht="17.25">
      <c r="A228" s="17" t="s">
        <v>10779</v>
      </c>
      <c r="B228" s="17" t="s">
        <v>380</v>
      </c>
      <c r="C228" s="17" t="s">
        <v>114</v>
      </c>
      <c r="D228" s="17" t="s">
        <v>16</v>
      </c>
      <c r="E228" s="18">
        <f>ROUND(14399*1.05,2)</f>
      </c>
      <c r="F228" s="17" t="s">
        <v>48</v>
      </c>
      <c r="G228" s="17" t="s">
        <v>18</v>
      </c>
      <c r="H228" s="18">
        <f>ROUND(RAND()*4+6,1)</f>
      </c>
      <c r="I228" s="17" t="s">
        <v>19</v>
      </c>
      <c r="J228" s="19">
        <f>ROUND(78*1,0)&amp;"%"</f>
      </c>
    </row>
    <row x14ac:dyDescent="0.25" r="229" customHeight="1" ht="17.25">
      <c r="A229" s="20" t="s">
        <v>10780</v>
      </c>
      <c r="B229" s="20" t="s">
        <v>382</v>
      </c>
      <c r="C229" s="20" t="s">
        <v>114</v>
      </c>
      <c r="D229" s="20" t="s">
        <v>22</v>
      </c>
      <c r="E229" s="21">
        <f>ROUND(5168*1.05,2)</f>
      </c>
      <c r="F229" s="20" t="s">
        <v>51</v>
      </c>
      <c r="G229" s="20" t="s">
        <v>24</v>
      </c>
      <c r="H229" s="21">
        <f>ROUND(RAND()*4+6,1)</f>
      </c>
      <c r="I229" s="20" t="s">
        <v>25</v>
      </c>
      <c r="J229" s="23">
        <f>ROUND(80*1,0)&amp;"%"</f>
      </c>
    </row>
    <row x14ac:dyDescent="0.25" r="230" customHeight="1" ht="17.25">
      <c r="A230" s="24" t="s">
        <v>383</v>
      </c>
      <c r="B230" s="24"/>
      <c r="C230" s="24"/>
      <c r="D230" s="24"/>
      <c r="E230" s="25">
        <v>8</v>
      </c>
      <c r="F230" s="9"/>
      <c r="G230" s="9"/>
      <c r="H230" s="10"/>
      <c r="I230" s="9"/>
      <c r="J230" s="9"/>
    </row>
    <row x14ac:dyDescent="0.25" r="231" customHeight="1" ht="17.25">
      <c r="A231" s="7"/>
      <c r="B231" s="7"/>
      <c r="C231" s="7"/>
      <c r="D231" s="7"/>
      <c r="E231" s="8"/>
      <c r="F231" s="9"/>
      <c r="G231" s="9"/>
      <c r="H231" s="10"/>
      <c r="I231" s="9"/>
      <c r="J231" s="9"/>
    </row>
    <row x14ac:dyDescent="0.25" r="232" customHeight="1" ht="17.25">
      <c r="A232" s="11" t="s">
        <v>10781</v>
      </c>
      <c r="B232" s="11"/>
      <c r="C232" s="11"/>
      <c r="D232" s="11"/>
      <c r="E232" s="12"/>
      <c r="F232" s="11"/>
      <c r="G232" s="11"/>
      <c r="H232" s="13"/>
      <c r="I232" s="11"/>
      <c r="J232" s="11"/>
    </row>
    <row x14ac:dyDescent="0.25" r="233" customHeight="1" ht="17.25">
      <c r="A233" s="14" t="s">
        <v>3</v>
      </c>
      <c r="B233" s="14" t="s">
        <v>4</v>
      </c>
      <c r="C233" s="14" t="s">
        <v>5</v>
      </c>
      <c r="D233" s="14" t="s">
        <v>6</v>
      </c>
      <c r="E233" s="15" t="s">
        <v>7</v>
      </c>
      <c r="F233" s="14" t="s">
        <v>8</v>
      </c>
      <c r="G233" s="14" t="s">
        <v>9</v>
      </c>
      <c r="H233" s="16" t="s">
        <v>10</v>
      </c>
      <c r="I233" s="14" t="s">
        <v>11</v>
      </c>
      <c r="J233" s="14" t="s">
        <v>12</v>
      </c>
    </row>
    <row x14ac:dyDescent="0.25" r="234" customHeight="1" ht="17.25">
      <c r="A234" s="17" t="s">
        <v>10782</v>
      </c>
      <c r="B234" s="17" t="s">
        <v>386</v>
      </c>
      <c r="C234" s="17" t="s">
        <v>133</v>
      </c>
      <c r="D234" s="17" t="s">
        <v>16</v>
      </c>
      <c r="E234" s="18">
        <f>ROUND(9426*1.05,2)</f>
      </c>
      <c r="F234" s="17" t="s">
        <v>17</v>
      </c>
      <c r="G234" s="17" t="s">
        <v>18</v>
      </c>
      <c r="H234" s="26">
        <f>ROUND(RAND()*4+6,1)</f>
      </c>
      <c r="I234" s="17" t="s">
        <v>19</v>
      </c>
      <c r="J234" s="19">
        <f>ROUND(73*1,0)&amp;"%"</f>
      </c>
    </row>
    <row x14ac:dyDescent="0.25" r="235" customHeight="1" ht="17.25">
      <c r="A235" s="20" t="s">
        <v>10783</v>
      </c>
      <c r="B235" s="20" t="s">
        <v>388</v>
      </c>
      <c r="C235" s="20" t="s">
        <v>133</v>
      </c>
      <c r="D235" s="20" t="s">
        <v>22</v>
      </c>
      <c r="E235" s="21">
        <f>ROUND(16472*1.05,2)</f>
      </c>
      <c r="F235" s="20" t="s">
        <v>23</v>
      </c>
      <c r="G235" s="20" t="s">
        <v>24</v>
      </c>
      <c r="H235" s="21">
        <f>ROUND(RAND()*4+6,1)</f>
      </c>
      <c r="I235" s="20" t="s">
        <v>25</v>
      </c>
      <c r="J235" s="23">
        <f>ROUND(91*1,0)&amp;"%"</f>
      </c>
    </row>
    <row x14ac:dyDescent="0.25" r="236" customHeight="1" ht="17.25">
      <c r="A236" s="17" t="s">
        <v>10784</v>
      </c>
      <c r="B236" s="17" t="s">
        <v>390</v>
      </c>
      <c r="C236" s="17" t="s">
        <v>133</v>
      </c>
      <c r="D236" s="17" t="s">
        <v>28</v>
      </c>
      <c r="E236" s="18">
        <f>ROUND(13491*1.05,2)</f>
      </c>
      <c r="F236" s="17" t="s">
        <v>29</v>
      </c>
      <c r="G236" s="17" t="s">
        <v>30</v>
      </c>
      <c r="H236" s="18">
        <f>ROUND(RAND()*4+6,1)</f>
      </c>
      <c r="I236" s="17" t="s">
        <v>31</v>
      </c>
      <c r="J236" s="19">
        <f>ROUND(74*1,0)&amp;"%"</f>
      </c>
    </row>
    <row x14ac:dyDescent="0.25" r="237" customHeight="1" ht="17.25">
      <c r="A237" s="20" t="s">
        <v>10785</v>
      </c>
      <c r="B237" s="20" t="s">
        <v>392</v>
      </c>
      <c r="C237" s="20" t="s">
        <v>133</v>
      </c>
      <c r="D237" s="20" t="s">
        <v>34</v>
      </c>
      <c r="E237" s="22">
        <f>ROUND(7120*1.05,2)</f>
      </c>
      <c r="F237" s="20" t="s">
        <v>35</v>
      </c>
      <c r="G237" s="20" t="s">
        <v>18</v>
      </c>
      <c r="H237" s="21">
        <f>ROUND(RAND()*4+6,1)</f>
      </c>
      <c r="I237" s="20" t="s">
        <v>36</v>
      </c>
      <c r="J237" s="23">
        <f>ROUND(95*1,0)&amp;"%"</f>
      </c>
    </row>
    <row x14ac:dyDescent="0.25" r="238" customHeight="1" ht="17.25">
      <c r="A238" s="17" t="s">
        <v>10786</v>
      </c>
      <c r="B238" s="17" t="s">
        <v>394</v>
      </c>
      <c r="C238" s="17" t="s">
        <v>133</v>
      </c>
      <c r="D238" s="17" t="s">
        <v>39</v>
      </c>
      <c r="E238" s="18">
        <f>ROUND(10147*1.05,2)</f>
      </c>
      <c r="F238" s="17" t="s">
        <v>40</v>
      </c>
      <c r="G238" s="17" t="s">
        <v>24</v>
      </c>
      <c r="H238" s="18">
        <f>ROUND(RAND()*4+6,1)</f>
      </c>
      <c r="I238" s="17" t="s">
        <v>41</v>
      </c>
      <c r="J238" s="19">
        <f>ROUND(61*1,0)&amp;"%"</f>
      </c>
    </row>
    <row x14ac:dyDescent="0.25" r="239" customHeight="1" ht="17.25">
      <c r="A239" s="20" t="s">
        <v>10787</v>
      </c>
      <c r="B239" s="20" t="s">
        <v>396</v>
      </c>
      <c r="C239" s="20" t="s">
        <v>133</v>
      </c>
      <c r="D239" s="20" t="s">
        <v>67</v>
      </c>
      <c r="E239" s="21">
        <f>ROUND(7505*1.05,2)</f>
      </c>
      <c r="F239" s="20" t="s">
        <v>44</v>
      </c>
      <c r="G239" s="20" t="s">
        <v>30</v>
      </c>
      <c r="H239" s="21">
        <f>ROUND(RAND()*4+6,1)</f>
      </c>
      <c r="I239" s="20" t="s">
        <v>45</v>
      </c>
      <c r="J239" s="23">
        <f>ROUND(99*1,0)&amp;"%"</f>
      </c>
    </row>
    <row x14ac:dyDescent="0.25" r="240" customHeight="1" ht="17.25">
      <c r="A240" s="17" t="s">
        <v>10788</v>
      </c>
      <c r="B240" s="17" t="s">
        <v>398</v>
      </c>
      <c r="C240" s="17" t="s">
        <v>133</v>
      </c>
      <c r="D240" s="17" t="s">
        <v>16</v>
      </c>
      <c r="E240" s="18">
        <f>ROUND(4676*1.05,2)</f>
      </c>
      <c r="F240" s="17" t="s">
        <v>48</v>
      </c>
      <c r="G240" s="17" t="s">
        <v>18</v>
      </c>
      <c r="H240" s="18">
        <f>ROUND(RAND()*4+6,1)</f>
      </c>
      <c r="I240" s="17" t="s">
        <v>19</v>
      </c>
      <c r="J240" s="19">
        <f>ROUND(79*1,0)&amp;"%"</f>
      </c>
    </row>
    <row x14ac:dyDescent="0.25" r="241" customHeight="1" ht="17.25">
      <c r="A241" s="20" t="s">
        <v>10789</v>
      </c>
      <c r="B241" s="20" t="s">
        <v>400</v>
      </c>
      <c r="C241" s="20" t="s">
        <v>133</v>
      </c>
      <c r="D241" s="20" t="s">
        <v>22</v>
      </c>
      <c r="E241" s="21">
        <f>ROUND(16386*1.05,2)</f>
      </c>
      <c r="F241" s="20" t="s">
        <v>51</v>
      </c>
      <c r="G241" s="20" t="s">
        <v>24</v>
      </c>
      <c r="H241" s="21">
        <f>ROUND(RAND()*4+6,1)</f>
      </c>
      <c r="I241" s="20" t="s">
        <v>25</v>
      </c>
      <c r="J241" s="23">
        <f>ROUND(70*1,0)&amp;"%"</f>
      </c>
    </row>
    <row x14ac:dyDescent="0.25" r="242" customHeight="1" ht="17.25">
      <c r="A242" s="24" t="s">
        <v>401</v>
      </c>
      <c r="B242" s="24"/>
      <c r="C242" s="24"/>
      <c r="D242" s="24"/>
      <c r="E242" s="25">
        <v>8</v>
      </c>
      <c r="F242" s="9"/>
      <c r="G242" s="9"/>
      <c r="H242" s="10"/>
      <c r="I242" s="9"/>
      <c r="J242" s="9"/>
    </row>
    <row x14ac:dyDescent="0.25" r="243" customHeight="1" ht="17.25">
      <c r="A243" s="7"/>
      <c r="B243" s="7"/>
      <c r="C243" s="7"/>
      <c r="D243" s="7"/>
      <c r="E243" s="8"/>
      <c r="F243" s="9"/>
      <c r="G243" s="9"/>
      <c r="H243" s="10"/>
      <c r="I243" s="9"/>
      <c r="J243" s="9"/>
    </row>
    <row x14ac:dyDescent="0.25" r="244" customHeight="1" ht="17.25">
      <c r="A244" s="11" t="s">
        <v>10790</v>
      </c>
      <c r="B244" s="11"/>
      <c r="C244" s="11"/>
      <c r="D244" s="11"/>
      <c r="E244" s="12"/>
      <c r="F244" s="11"/>
      <c r="G244" s="11"/>
      <c r="H244" s="13"/>
      <c r="I244" s="11"/>
      <c r="J244" s="11"/>
    </row>
    <row x14ac:dyDescent="0.25" r="245" customHeight="1" ht="17.25">
      <c r="A245" s="14" t="s">
        <v>3</v>
      </c>
      <c r="B245" s="14" t="s">
        <v>4</v>
      </c>
      <c r="C245" s="14" t="s">
        <v>5</v>
      </c>
      <c r="D245" s="14" t="s">
        <v>6</v>
      </c>
      <c r="E245" s="15" t="s">
        <v>7</v>
      </c>
      <c r="F245" s="14" t="s">
        <v>8</v>
      </c>
      <c r="G245" s="14" t="s">
        <v>9</v>
      </c>
      <c r="H245" s="16" t="s">
        <v>10</v>
      </c>
      <c r="I245" s="14" t="s">
        <v>11</v>
      </c>
      <c r="J245" s="14" t="s">
        <v>12</v>
      </c>
    </row>
    <row x14ac:dyDescent="0.25" r="246" customHeight="1" ht="17.25">
      <c r="A246" s="17" t="s">
        <v>10791</v>
      </c>
      <c r="B246" s="17" t="s">
        <v>404</v>
      </c>
      <c r="C246" s="17" t="s">
        <v>152</v>
      </c>
      <c r="D246" s="17" t="s">
        <v>16</v>
      </c>
      <c r="E246" s="18">
        <f>ROUND(10698*1.05,2)</f>
      </c>
      <c r="F246" s="17" t="s">
        <v>17</v>
      </c>
      <c r="G246" s="17" t="s">
        <v>18</v>
      </c>
      <c r="H246" s="26">
        <f>ROUND(RAND()*4+6,1)</f>
      </c>
      <c r="I246" s="17" t="s">
        <v>19</v>
      </c>
      <c r="J246" s="19">
        <f>ROUND(86*1,0)&amp;"%"</f>
      </c>
    </row>
    <row x14ac:dyDescent="0.25" r="247" customHeight="1" ht="17.25">
      <c r="A247" s="20" t="s">
        <v>10792</v>
      </c>
      <c r="B247" s="20" t="s">
        <v>406</v>
      </c>
      <c r="C247" s="20" t="s">
        <v>152</v>
      </c>
      <c r="D247" s="20" t="s">
        <v>22</v>
      </c>
      <c r="E247" s="22">
        <f>ROUND(4260*1.05,2)</f>
      </c>
      <c r="F247" s="20" t="s">
        <v>23</v>
      </c>
      <c r="G247" s="20" t="s">
        <v>24</v>
      </c>
      <c r="H247" s="21">
        <f>ROUND(RAND()*4+6,1)</f>
      </c>
      <c r="I247" s="20" t="s">
        <v>25</v>
      </c>
      <c r="J247" s="23">
        <f>ROUND(89*1,0)&amp;"%"</f>
      </c>
    </row>
    <row x14ac:dyDescent="0.25" r="248" customHeight="1" ht="17.25">
      <c r="A248" s="17" t="s">
        <v>10793</v>
      </c>
      <c r="B248" s="17" t="s">
        <v>408</v>
      </c>
      <c r="C248" s="17" t="s">
        <v>152</v>
      </c>
      <c r="D248" s="17" t="s">
        <v>28</v>
      </c>
      <c r="E248" s="18">
        <f>ROUND(11470*1.05,2)</f>
      </c>
      <c r="F248" s="17" t="s">
        <v>29</v>
      </c>
      <c r="G248" s="17" t="s">
        <v>30</v>
      </c>
      <c r="H248" s="18">
        <f>ROUND(RAND()*4+6,1)</f>
      </c>
      <c r="I248" s="17" t="s">
        <v>31</v>
      </c>
      <c r="J248" s="19">
        <f>ROUND(90*1,0)&amp;"%"</f>
      </c>
    </row>
    <row x14ac:dyDescent="0.25" r="249" customHeight="1" ht="17.25">
      <c r="A249" s="20" t="s">
        <v>10794</v>
      </c>
      <c r="B249" s="20" t="s">
        <v>410</v>
      </c>
      <c r="C249" s="20" t="s">
        <v>152</v>
      </c>
      <c r="D249" s="20" t="s">
        <v>34</v>
      </c>
      <c r="E249" s="21">
        <f>ROUND(10311*1.05,2)</f>
      </c>
      <c r="F249" s="20" t="s">
        <v>35</v>
      </c>
      <c r="G249" s="20" t="s">
        <v>18</v>
      </c>
      <c r="H249" s="21">
        <f>ROUND(RAND()*4+6,1)</f>
      </c>
      <c r="I249" s="20" t="s">
        <v>36</v>
      </c>
      <c r="J249" s="23">
        <f>ROUND(69*1,0)&amp;"%"</f>
      </c>
    </row>
    <row x14ac:dyDescent="0.25" r="250" customHeight="1" ht="17.25">
      <c r="A250" s="17" t="s">
        <v>10795</v>
      </c>
      <c r="B250" s="17" t="s">
        <v>412</v>
      </c>
      <c r="C250" s="17" t="s">
        <v>152</v>
      </c>
      <c r="D250" s="17" t="s">
        <v>39</v>
      </c>
      <c r="E250" s="18">
        <f>ROUND(14759*1.05,2)</f>
      </c>
      <c r="F250" s="17" t="s">
        <v>40</v>
      </c>
      <c r="G250" s="17" t="s">
        <v>24</v>
      </c>
      <c r="H250" s="18">
        <f>ROUND(RAND()*4+6,1)</f>
      </c>
      <c r="I250" s="17" t="s">
        <v>41</v>
      </c>
      <c r="J250" s="19">
        <f>ROUND(100*1,0)&amp;"%"</f>
      </c>
    </row>
    <row x14ac:dyDescent="0.25" r="251" customHeight="1" ht="17.25">
      <c r="A251" s="20" t="s">
        <v>10796</v>
      </c>
      <c r="B251" s="20" t="s">
        <v>414</v>
      </c>
      <c r="C251" s="20" t="s">
        <v>152</v>
      </c>
      <c r="D251" s="20" t="s">
        <v>67</v>
      </c>
      <c r="E251" s="22">
        <f>ROUND(12880*1.05,2)</f>
      </c>
      <c r="F251" s="20" t="s">
        <v>44</v>
      </c>
      <c r="G251" s="20" t="s">
        <v>30</v>
      </c>
      <c r="H251" s="21">
        <f>ROUND(RAND()*4+6,1)</f>
      </c>
      <c r="I251" s="20" t="s">
        <v>45</v>
      </c>
      <c r="J251" s="23">
        <f>ROUND(65*1,0)&amp;"%"</f>
      </c>
    </row>
    <row x14ac:dyDescent="0.25" r="252" customHeight="1" ht="17.25">
      <c r="A252" s="17" t="s">
        <v>10797</v>
      </c>
      <c r="B252" s="17" t="s">
        <v>416</v>
      </c>
      <c r="C252" s="17" t="s">
        <v>152</v>
      </c>
      <c r="D252" s="17" t="s">
        <v>16</v>
      </c>
      <c r="E252" s="18">
        <f>ROUND(6815*1.05,2)</f>
      </c>
      <c r="F252" s="17" t="s">
        <v>48</v>
      </c>
      <c r="G252" s="17" t="s">
        <v>18</v>
      </c>
      <c r="H252" s="18">
        <f>ROUND(RAND()*4+6,1)</f>
      </c>
      <c r="I252" s="17" t="s">
        <v>19</v>
      </c>
      <c r="J252" s="19">
        <f>ROUND(63*1,0)&amp;"%"</f>
      </c>
    </row>
    <row x14ac:dyDescent="0.25" r="253" customHeight="1" ht="17.25">
      <c r="A253" s="20" t="s">
        <v>10798</v>
      </c>
      <c r="B253" s="20" t="s">
        <v>418</v>
      </c>
      <c r="C253" s="20" t="s">
        <v>152</v>
      </c>
      <c r="D253" s="20" t="s">
        <v>22</v>
      </c>
      <c r="E253" s="21">
        <f>ROUND(7047*1.05,2)</f>
      </c>
      <c r="F253" s="20" t="s">
        <v>51</v>
      </c>
      <c r="G253" s="20" t="s">
        <v>24</v>
      </c>
      <c r="H253" s="21">
        <f>ROUND(RAND()*4+6,1)</f>
      </c>
      <c r="I253" s="20" t="s">
        <v>25</v>
      </c>
      <c r="J253" s="23">
        <f>ROUND(98*1,0)&amp;"%"</f>
      </c>
    </row>
    <row x14ac:dyDescent="0.25" r="254" customHeight="1" ht="17.25">
      <c r="A254" s="24" t="s">
        <v>419</v>
      </c>
      <c r="B254" s="24"/>
      <c r="C254" s="24"/>
      <c r="D254" s="24"/>
      <c r="E254" s="25">
        <v>8</v>
      </c>
      <c r="F254" s="9"/>
      <c r="G254" s="9"/>
      <c r="H254" s="10"/>
      <c r="I254" s="9"/>
      <c r="J254" s="9"/>
    </row>
    <row x14ac:dyDescent="0.25" r="255" customHeight="1" ht="17.25">
      <c r="A255" s="7"/>
      <c r="B255" s="7"/>
      <c r="C255" s="7"/>
      <c r="D255" s="7"/>
      <c r="E255" s="8"/>
      <c r="F255" s="9"/>
      <c r="G255" s="9"/>
      <c r="H255" s="10"/>
      <c r="I255" s="9"/>
      <c r="J255" s="9"/>
    </row>
    <row x14ac:dyDescent="0.25" r="256" customHeight="1" ht="17.25">
      <c r="A256" s="11" t="s">
        <v>10799</v>
      </c>
      <c r="B256" s="11"/>
      <c r="C256" s="11"/>
      <c r="D256" s="11"/>
      <c r="E256" s="12"/>
      <c r="F256" s="11"/>
      <c r="G256" s="11"/>
      <c r="H256" s="13"/>
      <c r="I256" s="11"/>
      <c r="J256" s="11"/>
    </row>
    <row x14ac:dyDescent="0.25" r="257" customHeight="1" ht="17.25">
      <c r="A257" s="14" t="s">
        <v>3</v>
      </c>
      <c r="B257" s="14" t="s">
        <v>4</v>
      </c>
      <c r="C257" s="14" t="s">
        <v>5</v>
      </c>
      <c r="D257" s="14" t="s">
        <v>6</v>
      </c>
      <c r="E257" s="15" t="s">
        <v>7</v>
      </c>
      <c r="F257" s="14" t="s">
        <v>8</v>
      </c>
      <c r="G257" s="14" t="s">
        <v>9</v>
      </c>
      <c r="H257" s="16" t="s">
        <v>10</v>
      </c>
      <c r="I257" s="14" t="s">
        <v>11</v>
      </c>
      <c r="J257" s="14" t="s">
        <v>12</v>
      </c>
    </row>
    <row x14ac:dyDescent="0.25" r="258" customHeight="1" ht="17.25">
      <c r="A258" s="17" t="s">
        <v>10800</v>
      </c>
      <c r="B258" s="17" t="s">
        <v>422</v>
      </c>
      <c r="C258" s="17" t="s">
        <v>15</v>
      </c>
      <c r="D258" s="17" t="s">
        <v>16</v>
      </c>
      <c r="E258" s="18">
        <f>ROUND(6416*1.05,2)</f>
      </c>
      <c r="F258" s="17" t="s">
        <v>17</v>
      </c>
      <c r="G258" s="17" t="s">
        <v>18</v>
      </c>
      <c r="H258" s="26">
        <f>ROUND(RAND()*4+6,1)</f>
      </c>
      <c r="I258" s="17" t="s">
        <v>19</v>
      </c>
      <c r="J258" s="19">
        <f>ROUND(73*1,0)&amp;"%"</f>
      </c>
    </row>
    <row x14ac:dyDescent="0.25" r="259" customHeight="1" ht="17.25">
      <c r="A259" s="20" t="s">
        <v>10801</v>
      </c>
      <c r="B259" s="20" t="s">
        <v>424</v>
      </c>
      <c r="C259" s="20" t="s">
        <v>15</v>
      </c>
      <c r="D259" s="20" t="s">
        <v>22</v>
      </c>
      <c r="E259" s="21">
        <f>ROUND(9661*1.05,2)</f>
      </c>
      <c r="F259" s="20" t="s">
        <v>23</v>
      </c>
      <c r="G259" s="20" t="s">
        <v>24</v>
      </c>
      <c r="H259" s="21">
        <f>ROUND(RAND()*4+6,1)</f>
      </c>
      <c r="I259" s="20" t="s">
        <v>25</v>
      </c>
      <c r="J259" s="23">
        <f>ROUND(76*1,0)&amp;"%"</f>
      </c>
    </row>
    <row x14ac:dyDescent="0.25" r="260" customHeight="1" ht="17.25">
      <c r="A260" s="17" t="s">
        <v>10802</v>
      </c>
      <c r="B260" s="17" t="s">
        <v>426</v>
      </c>
      <c r="C260" s="17" t="s">
        <v>15</v>
      </c>
      <c r="D260" s="17" t="s">
        <v>28</v>
      </c>
      <c r="E260" s="18">
        <f>ROUND(15938*1.05,2)</f>
      </c>
      <c r="F260" s="17" t="s">
        <v>29</v>
      </c>
      <c r="G260" s="17" t="s">
        <v>30</v>
      </c>
      <c r="H260" s="18">
        <f>ROUND(RAND()*4+6,1)</f>
      </c>
      <c r="I260" s="17" t="s">
        <v>31</v>
      </c>
      <c r="J260" s="19">
        <f>ROUND(100*1,0)&amp;"%"</f>
      </c>
    </row>
    <row x14ac:dyDescent="0.25" r="261" customHeight="1" ht="17.25">
      <c r="A261" s="20" t="s">
        <v>10803</v>
      </c>
      <c r="B261" s="20" t="s">
        <v>428</v>
      </c>
      <c r="C261" s="20" t="s">
        <v>15</v>
      </c>
      <c r="D261" s="20" t="s">
        <v>34</v>
      </c>
      <c r="E261" s="21">
        <f>ROUND(13526*1.05,2)</f>
      </c>
      <c r="F261" s="20" t="s">
        <v>35</v>
      </c>
      <c r="G261" s="20" t="s">
        <v>18</v>
      </c>
      <c r="H261" s="21">
        <f>ROUND(RAND()*4+6,1)</f>
      </c>
      <c r="I261" s="20" t="s">
        <v>36</v>
      </c>
      <c r="J261" s="23">
        <f>ROUND(70*1,0)&amp;"%"</f>
      </c>
    </row>
    <row x14ac:dyDescent="0.25" r="262" customHeight="1" ht="17.25">
      <c r="A262" s="17" t="s">
        <v>10804</v>
      </c>
      <c r="B262" s="17" t="s">
        <v>430</v>
      </c>
      <c r="C262" s="17" t="s">
        <v>15</v>
      </c>
      <c r="D262" s="17" t="s">
        <v>39</v>
      </c>
      <c r="E262" s="18">
        <f>ROUND(17058*1.05,2)</f>
      </c>
      <c r="F262" s="17" t="s">
        <v>40</v>
      </c>
      <c r="G262" s="17" t="s">
        <v>24</v>
      </c>
      <c r="H262" s="18">
        <f>ROUND(RAND()*4+6,1)</f>
      </c>
      <c r="I262" s="17" t="s">
        <v>41</v>
      </c>
      <c r="J262" s="19">
        <f>ROUND(84*1,0)&amp;"%"</f>
      </c>
    </row>
    <row x14ac:dyDescent="0.25" r="263" customHeight="1" ht="17.25">
      <c r="A263" s="20" t="s">
        <v>10805</v>
      </c>
      <c r="B263" s="20" t="s">
        <v>432</v>
      </c>
      <c r="C263" s="20" t="s">
        <v>15</v>
      </c>
      <c r="D263" s="20" t="s">
        <v>67</v>
      </c>
      <c r="E263" s="21">
        <f>ROUND(8033*1.05,2)</f>
      </c>
      <c r="F263" s="20" t="s">
        <v>44</v>
      </c>
      <c r="G263" s="20" t="s">
        <v>30</v>
      </c>
      <c r="H263" s="21">
        <f>ROUND(RAND()*4+6,1)</f>
      </c>
      <c r="I263" s="20" t="s">
        <v>45</v>
      </c>
      <c r="J263" s="23">
        <f>ROUND(96*1,0)&amp;"%"</f>
      </c>
    </row>
    <row x14ac:dyDescent="0.25" r="264" customHeight="1" ht="17.25">
      <c r="A264" s="17" t="s">
        <v>10806</v>
      </c>
      <c r="B264" s="17" t="s">
        <v>434</v>
      </c>
      <c r="C264" s="17" t="s">
        <v>15</v>
      </c>
      <c r="D264" s="17" t="s">
        <v>16</v>
      </c>
      <c r="E264" s="18">
        <f>ROUND(8897*1.05,2)</f>
      </c>
      <c r="F264" s="17" t="s">
        <v>48</v>
      </c>
      <c r="G264" s="17" t="s">
        <v>18</v>
      </c>
      <c r="H264" s="18">
        <f>ROUND(RAND()*4+6,1)</f>
      </c>
      <c r="I264" s="17" t="s">
        <v>19</v>
      </c>
      <c r="J264" s="19">
        <f>ROUND(84*1,0)&amp;"%"</f>
      </c>
    </row>
    <row x14ac:dyDescent="0.25" r="265" customHeight="1" ht="17.25">
      <c r="A265" s="20" t="s">
        <v>10807</v>
      </c>
      <c r="B265" s="20" t="s">
        <v>436</v>
      </c>
      <c r="C265" s="20" t="s">
        <v>15</v>
      </c>
      <c r="D265" s="20" t="s">
        <v>22</v>
      </c>
      <c r="E265" s="21">
        <f>ROUND(16503*1.05,2)</f>
      </c>
      <c r="F265" s="20" t="s">
        <v>51</v>
      </c>
      <c r="G265" s="20" t="s">
        <v>24</v>
      </c>
      <c r="H265" s="21">
        <f>ROUND(RAND()*4+6,1)</f>
      </c>
      <c r="I265" s="20" t="s">
        <v>25</v>
      </c>
      <c r="J265" s="23">
        <f>ROUND(96*1,0)&amp;"%"</f>
      </c>
    </row>
    <row x14ac:dyDescent="0.25" r="266" customHeight="1" ht="17.25">
      <c r="A266" s="24" t="s">
        <v>437</v>
      </c>
      <c r="B266" s="24"/>
      <c r="C266" s="24"/>
      <c r="D266" s="24"/>
      <c r="E266" s="25">
        <v>8</v>
      </c>
      <c r="F266" s="9"/>
      <c r="G266" s="9"/>
      <c r="H266" s="10"/>
      <c r="I266" s="9"/>
      <c r="J266" s="9"/>
    </row>
    <row x14ac:dyDescent="0.25" r="267" customHeight="1" ht="17.25">
      <c r="A267" s="7"/>
      <c r="B267" s="7"/>
      <c r="C267" s="7"/>
      <c r="D267" s="7"/>
      <c r="E267" s="8"/>
      <c r="F267" s="9"/>
      <c r="G267" s="9"/>
      <c r="H267" s="10"/>
      <c r="I267" s="9"/>
      <c r="J267" s="9"/>
    </row>
    <row x14ac:dyDescent="0.25" r="268" customHeight="1" ht="17.25">
      <c r="A268" s="11" t="s">
        <v>10808</v>
      </c>
      <c r="B268" s="11"/>
      <c r="C268" s="11"/>
      <c r="D268" s="11"/>
      <c r="E268" s="12"/>
      <c r="F268" s="11"/>
      <c r="G268" s="11"/>
      <c r="H268" s="13"/>
      <c r="I268" s="11"/>
      <c r="J268" s="11"/>
    </row>
    <row x14ac:dyDescent="0.25" r="269" customHeight="1" ht="17.25">
      <c r="A269" s="14" t="s">
        <v>3</v>
      </c>
      <c r="B269" s="14" t="s">
        <v>4</v>
      </c>
      <c r="C269" s="14" t="s">
        <v>5</v>
      </c>
      <c r="D269" s="14" t="s">
        <v>6</v>
      </c>
      <c r="E269" s="15" t="s">
        <v>7</v>
      </c>
      <c r="F269" s="14" t="s">
        <v>8</v>
      </c>
      <c r="G269" s="14" t="s">
        <v>9</v>
      </c>
      <c r="H269" s="16" t="s">
        <v>10</v>
      </c>
      <c r="I269" s="14" t="s">
        <v>11</v>
      </c>
      <c r="J269" s="14" t="s">
        <v>12</v>
      </c>
    </row>
    <row x14ac:dyDescent="0.25" r="270" customHeight="1" ht="17.25">
      <c r="A270" s="17" t="s">
        <v>10809</v>
      </c>
      <c r="B270" s="17" t="s">
        <v>440</v>
      </c>
      <c r="C270" s="17" t="s">
        <v>56</v>
      </c>
      <c r="D270" s="17" t="s">
        <v>16</v>
      </c>
      <c r="E270" s="18">
        <f>ROUND(7436*1.05,2)</f>
      </c>
      <c r="F270" s="17" t="s">
        <v>17</v>
      </c>
      <c r="G270" s="17" t="s">
        <v>18</v>
      </c>
      <c r="H270" s="18">
        <f>ROUND(RAND()*4+6,1)</f>
      </c>
      <c r="I270" s="17" t="s">
        <v>19</v>
      </c>
      <c r="J270" s="19">
        <f>ROUND(82*1,0)&amp;"%"</f>
      </c>
    </row>
    <row x14ac:dyDescent="0.25" r="271" customHeight="1" ht="17.25">
      <c r="A271" s="20" t="s">
        <v>10810</v>
      </c>
      <c r="B271" s="20" t="s">
        <v>442</v>
      </c>
      <c r="C271" s="20" t="s">
        <v>56</v>
      </c>
      <c r="D271" s="20" t="s">
        <v>22</v>
      </c>
      <c r="E271" s="21">
        <f>ROUND(14932*1.05,2)</f>
      </c>
      <c r="F271" s="20" t="s">
        <v>23</v>
      </c>
      <c r="G271" s="20" t="s">
        <v>24</v>
      </c>
      <c r="H271" s="21">
        <f>ROUND(RAND()*4+6,1)</f>
      </c>
      <c r="I271" s="20" t="s">
        <v>25</v>
      </c>
      <c r="J271" s="23">
        <f>ROUND(75*1,0)&amp;"%"</f>
      </c>
    </row>
    <row x14ac:dyDescent="0.25" r="272" customHeight="1" ht="17.25">
      <c r="A272" s="17" t="s">
        <v>10811</v>
      </c>
      <c r="B272" s="17" t="s">
        <v>444</v>
      </c>
      <c r="C272" s="17" t="s">
        <v>56</v>
      </c>
      <c r="D272" s="17" t="s">
        <v>28</v>
      </c>
      <c r="E272" s="18">
        <f>ROUND(14041*1.05,2)</f>
      </c>
      <c r="F272" s="17" t="s">
        <v>29</v>
      </c>
      <c r="G272" s="17" t="s">
        <v>30</v>
      </c>
      <c r="H272" s="18">
        <f>ROUND(RAND()*4+6,1)</f>
      </c>
      <c r="I272" s="17" t="s">
        <v>31</v>
      </c>
      <c r="J272" s="19">
        <f>ROUND(87*1,0)&amp;"%"</f>
      </c>
    </row>
    <row x14ac:dyDescent="0.25" r="273" customHeight="1" ht="17.25">
      <c r="A273" s="20" t="s">
        <v>10812</v>
      </c>
      <c r="B273" s="20" t="s">
        <v>446</v>
      </c>
      <c r="C273" s="20" t="s">
        <v>56</v>
      </c>
      <c r="D273" s="20" t="s">
        <v>34</v>
      </c>
      <c r="E273" s="22">
        <f>ROUND(17420*1.05,2)</f>
      </c>
      <c r="F273" s="20" t="s">
        <v>35</v>
      </c>
      <c r="G273" s="20" t="s">
        <v>18</v>
      </c>
      <c r="H273" s="22">
        <f>ROUND(RAND()*4+6,1)</f>
      </c>
      <c r="I273" s="20" t="s">
        <v>36</v>
      </c>
      <c r="J273" s="23">
        <f>ROUND(61*1,0)&amp;"%"</f>
      </c>
    </row>
    <row x14ac:dyDescent="0.25" r="274" customHeight="1" ht="17.25">
      <c r="A274" s="17" t="s">
        <v>10813</v>
      </c>
      <c r="B274" s="17" t="s">
        <v>448</v>
      </c>
      <c r="C274" s="17" t="s">
        <v>56</v>
      </c>
      <c r="D274" s="17" t="s">
        <v>39</v>
      </c>
      <c r="E274" s="18">
        <f>ROUND(4789*1.05,2)</f>
      </c>
      <c r="F274" s="17" t="s">
        <v>40</v>
      </c>
      <c r="G274" s="17" t="s">
        <v>24</v>
      </c>
      <c r="H274" s="18">
        <f>ROUND(RAND()*4+6,1)</f>
      </c>
      <c r="I274" s="17" t="s">
        <v>41</v>
      </c>
      <c r="J274" s="19">
        <f>ROUND(72*1,0)&amp;"%"</f>
      </c>
    </row>
    <row x14ac:dyDescent="0.25" r="275" customHeight="1" ht="17.25">
      <c r="A275" s="20" t="s">
        <v>10814</v>
      </c>
      <c r="B275" s="20" t="s">
        <v>450</v>
      </c>
      <c r="C275" s="20" t="s">
        <v>56</v>
      </c>
      <c r="D275" s="20" t="s">
        <v>67</v>
      </c>
      <c r="E275" s="21">
        <f>ROUND(17564*1.05,2)</f>
      </c>
      <c r="F275" s="20" t="s">
        <v>44</v>
      </c>
      <c r="G275" s="20" t="s">
        <v>30</v>
      </c>
      <c r="H275" s="21">
        <f>ROUND(RAND()*4+6,1)</f>
      </c>
      <c r="I275" s="20" t="s">
        <v>45</v>
      </c>
      <c r="J275" s="23">
        <f>ROUND(60*1,0)&amp;"%"</f>
      </c>
    </row>
    <row x14ac:dyDescent="0.25" r="276" customHeight="1" ht="17.25">
      <c r="A276" s="17" t="s">
        <v>10815</v>
      </c>
      <c r="B276" s="17" t="s">
        <v>452</v>
      </c>
      <c r="C276" s="17" t="s">
        <v>56</v>
      </c>
      <c r="D276" s="17" t="s">
        <v>16</v>
      </c>
      <c r="E276" s="18">
        <f>ROUND(7498*1.05,2)</f>
      </c>
      <c r="F276" s="17" t="s">
        <v>48</v>
      </c>
      <c r="G276" s="17" t="s">
        <v>18</v>
      </c>
      <c r="H276" s="18">
        <f>ROUND(RAND()*4+6,1)</f>
      </c>
      <c r="I276" s="17" t="s">
        <v>19</v>
      </c>
      <c r="J276" s="19">
        <f>ROUND(93*1,0)&amp;"%"</f>
      </c>
    </row>
    <row x14ac:dyDescent="0.25" r="277" customHeight="1" ht="17.25">
      <c r="A277" s="20" t="s">
        <v>10816</v>
      </c>
      <c r="B277" s="20" t="s">
        <v>454</v>
      </c>
      <c r="C277" s="20" t="s">
        <v>56</v>
      </c>
      <c r="D277" s="20" t="s">
        <v>22</v>
      </c>
      <c r="E277" s="21">
        <f>ROUND(16905*1.05,2)</f>
      </c>
      <c r="F277" s="20" t="s">
        <v>51</v>
      </c>
      <c r="G277" s="20" t="s">
        <v>24</v>
      </c>
      <c r="H277" s="21">
        <f>ROUND(RAND()*4+6,1)</f>
      </c>
      <c r="I277" s="20" t="s">
        <v>25</v>
      </c>
      <c r="J277" s="23">
        <f>ROUND(88*1,0)&amp;"%"</f>
      </c>
    </row>
    <row x14ac:dyDescent="0.25" r="278" customHeight="1" ht="17.25">
      <c r="A278" s="24" t="s">
        <v>455</v>
      </c>
      <c r="B278" s="24"/>
      <c r="C278" s="24"/>
      <c r="D278" s="24"/>
      <c r="E278" s="25">
        <v>8</v>
      </c>
      <c r="F278" s="9"/>
      <c r="G278" s="9"/>
      <c r="H278" s="10"/>
      <c r="I278" s="9"/>
      <c r="J278" s="9"/>
    </row>
    <row x14ac:dyDescent="0.25" r="279" customHeight="1" ht="17.25">
      <c r="A279" s="7"/>
      <c r="B279" s="7"/>
      <c r="C279" s="7"/>
      <c r="D279" s="7"/>
      <c r="E279" s="8"/>
      <c r="F279" s="9"/>
      <c r="G279" s="9"/>
      <c r="H279" s="10"/>
      <c r="I279" s="9"/>
      <c r="J279" s="9"/>
    </row>
    <row x14ac:dyDescent="0.25" r="280" customHeight="1" ht="17.25">
      <c r="A280" s="11" t="s">
        <v>10817</v>
      </c>
      <c r="B280" s="11"/>
      <c r="C280" s="11"/>
      <c r="D280" s="11"/>
      <c r="E280" s="12"/>
      <c r="F280" s="11"/>
      <c r="G280" s="11"/>
      <c r="H280" s="13"/>
      <c r="I280" s="11"/>
      <c r="J280" s="11"/>
    </row>
    <row x14ac:dyDescent="0.25" r="281" customHeight="1" ht="17.25">
      <c r="A281" s="14" t="s">
        <v>3</v>
      </c>
      <c r="B281" s="14" t="s">
        <v>4</v>
      </c>
      <c r="C281" s="14" t="s">
        <v>5</v>
      </c>
      <c r="D281" s="14" t="s">
        <v>6</v>
      </c>
      <c r="E281" s="15" t="s">
        <v>7</v>
      </c>
      <c r="F281" s="14" t="s">
        <v>8</v>
      </c>
      <c r="G281" s="14" t="s">
        <v>9</v>
      </c>
      <c r="H281" s="16" t="s">
        <v>10</v>
      </c>
      <c r="I281" s="14" t="s">
        <v>11</v>
      </c>
      <c r="J281" s="14" t="s">
        <v>12</v>
      </c>
    </row>
    <row x14ac:dyDescent="0.25" r="282" customHeight="1" ht="17.25">
      <c r="A282" s="17" t="s">
        <v>10818</v>
      </c>
      <c r="B282" s="17" t="s">
        <v>458</v>
      </c>
      <c r="C282" s="17" t="s">
        <v>76</v>
      </c>
      <c r="D282" s="17" t="s">
        <v>16</v>
      </c>
      <c r="E282" s="18">
        <f>ROUND(11021*1.05,2)</f>
      </c>
      <c r="F282" s="17" t="s">
        <v>17</v>
      </c>
      <c r="G282" s="17" t="s">
        <v>18</v>
      </c>
      <c r="H282" s="18">
        <f>ROUND(RAND()*4+6,1)</f>
      </c>
      <c r="I282" s="17" t="s">
        <v>19</v>
      </c>
      <c r="J282" s="19">
        <f>ROUND(96*1,0)&amp;"%"</f>
      </c>
    </row>
    <row x14ac:dyDescent="0.25" r="283" customHeight="1" ht="17.25">
      <c r="A283" s="20" t="s">
        <v>10819</v>
      </c>
      <c r="B283" s="20" t="s">
        <v>460</v>
      </c>
      <c r="C283" s="20" t="s">
        <v>76</v>
      </c>
      <c r="D283" s="20" t="s">
        <v>22</v>
      </c>
      <c r="E283" s="21">
        <f>ROUND(15079*1.05,2)</f>
      </c>
      <c r="F283" s="20" t="s">
        <v>23</v>
      </c>
      <c r="G283" s="20" t="s">
        <v>24</v>
      </c>
      <c r="H283" s="21">
        <f>ROUND(RAND()*4+6,1)</f>
      </c>
      <c r="I283" s="20" t="s">
        <v>25</v>
      </c>
      <c r="J283" s="23">
        <f>ROUND(69*1,0)&amp;"%"</f>
      </c>
    </row>
    <row x14ac:dyDescent="0.25" r="284" customHeight="1" ht="17.25">
      <c r="A284" s="17" t="s">
        <v>10820</v>
      </c>
      <c r="B284" s="17" t="s">
        <v>462</v>
      </c>
      <c r="C284" s="17" t="s">
        <v>76</v>
      </c>
      <c r="D284" s="17" t="s">
        <v>28</v>
      </c>
      <c r="E284" s="18">
        <f>ROUND(5753*1.05,2)</f>
      </c>
      <c r="F284" s="17" t="s">
        <v>29</v>
      </c>
      <c r="G284" s="17" t="s">
        <v>30</v>
      </c>
      <c r="H284" s="18">
        <f>ROUND(RAND()*4+6,1)</f>
      </c>
      <c r="I284" s="17" t="s">
        <v>31</v>
      </c>
      <c r="J284" s="19">
        <f>ROUND(68*1,0)&amp;"%"</f>
      </c>
    </row>
    <row x14ac:dyDescent="0.25" r="285" customHeight="1" ht="17.25">
      <c r="A285" s="20" t="s">
        <v>10821</v>
      </c>
      <c r="B285" s="20" t="s">
        <v>464</v>
      </c>
      <c r="C285" s="20" t="s">
        <v>76</v>
      </c>
      <c r="D285" s="20" t="s">
        <v>34</v>
      </c>
      <c r="E285" s="21">
        <f>ROUND(5797*1.05,2)</f>
      </c>
      <c r="F285" s="20" t="s">
        <v>35</v>
      </c>
      <c r="G285" s="20" t="s">
        <v>18</v>
      </c>
      <c r="H285" s="21">
        <f>ROUND(RAND()*4+6,1)</f>
      </c>
      <c r="I285" s="20" t="s">
        <v>36</v>
      </c>
      <c r="J285" s="23">
        <f>ROUND(100*1,0)&amp;"%"</f>
      </c>
    </row>
    <row x14ac:dyDescent="0.25" r="286" customHeight="1" ht="17.25">
      <c r="A286" s="17" t="s">
        <v>10822</v>
      </c>
      <c r="B286" s="17" t="s">
        <v>466</v>
      </c>
      <c r="C286" s="17" t="s">
        <v>76</v>
      </c>
      <c r="D286" s="17" t="s">
        <v>39</v>
      </c>
      <c r="E286" s="18">
        <f>ROUND(10843*1.05,2)</f>
      </c>
      <c r="F286" s="17" t="s">
        <v>40</v>
      </c>
      <c r="G286" s="17" t="s">
        <v>24</v>
      </c>
      <c r="H286" s="18">
        <f>ROUND(RAND()*4+6,1)</f>
      </c>
      <c r="I286" s="17" t="s">
        <v>41</v>
      </c>
      <c r="J286" s="19">
        <f>ROUND(86*1,0)&amp;"%"</f>
      </c>
    </row>
    <row x14ac:dyDescent="0.25" r="287" customHeight="1" ht="17.25">
      <c r="A287" s="20" t="s">
        <v>10823</v>
      </c>
      <c r="B287" s="20" t="s">
        <v>468</v>
      </c>
      <c r="C287" s="20" t="s">
        <v>76</v>
      </c>
      <c r="D287" s="20" t="s">
        <v>67</v>
      </c>
      <c r="E287" s="21">
        <f>ROUND(5126*1.05,2)</f>
      </c>
      <c r="F287" s="20" t="s">
        <v>44</v>
      </c>
      <c r="G287" s="20" t="s">
        <v>30</v>
      </c>
      <c r="H287" s="21">
        <f>ROUND(RAND()*4+6,1)</f>
      </c>
      <c r="I287" s="20" t="s">
        <v>45</v>
      </c>
      <c r="J287" s="23">
        <f>ROUND(69*1,0)&amp;"%"</f>
      </c>
    </row>
    <row x14ac:dyDescent="0.25" r="288" customHeight="1" ht="17.25">
      <c r="A288" s="17" t="s">
        <v>10824</v>
      </c>
      <c r="B288" s="17" t="s">
        <v>470</v>
      </c>
      <c r="C288" s="17" t="s">
        <v>76</v>
      </c>
      <c r="D288" s="17" t="s">
        <v>16</v>
      </c>
      <c r="E288" s="18">
        <f>ROUND(16831*1.05,2)</f>
      </c>
      <c r="F288" s="17" t="s">
        <v>48</v>
      </c>
      <c r="G288" s="17" t="s">
        <v>18</v>
      </c>
      <c r="H288" s="26">
        <f>ROUND(RAND()*4+6,1)</f>
      </c>
      <c r="I288" s="17" t="s">
        <v>19</v>
      </c>
      <c r="J288" s="19">
        <f>ROUND(83*1,0)&amp;"%"</f>
      </c>
    </row>
    <row x14ac:dyDescent="0.25" r="289" customHeight="1" ht="17.25">
      <c r="A289" s="20" t="s">
        <v>10825</v>
      </c>
      <c r="B289" s="20" t="s">
        <v>472</v>
      </c>
      <c r="C289" s="20" t="s">
        <v>76</v>
      </c>
      <c r="D289" s="20" t="s">
        <v>22</v>
      </c>
      <c r="E289" s="21">
        <f>ROUND(9473*1.05,2)</f>
      </c>
      <c r="F289" s="20" t="s">
        <v>51</v>
      </c>
      <c r="G289" s="20" t="s">
        <v>24</v>
      </c>
      <c r="H289" s="21">
        <f>ROUND(RAND()*4+6,1)</f>
      </c>
      <c r="I289" s="20" t="s">
        <v>25</v>
      </c>
      <c r="J289" s="23">
        <f>ROUND(96*1,0)&amp;"%"</f>
      </c>
    </row>
    <row x14ac:dyDescent="0.25" r="290" customHeight="1" ht="17.25">
      <c r="A290" s="24" t="s">
        <v>473</v>
      </c>
      <c r="B290" s="24"/>
      <c r="C290" s="24"/>
      <c r="D290" s="24"/>
      <c r="E290" s="25">
        <v>8</v>
      </c>
      <c r="F290" s="9"/>
      <c r="G290" s="9"/>
      <c r="H290" s="10"/>
      <c r="I290" s="9"/>
      <c r="J290" s="9"/>
    </row>
    <row x14ac:dyDescent="0.25" r="291" customHeight="1" ht="17.25">
      <c r="A291" s="7"/>
      <c r="B291" s="7"/>
      <c r="C291" s="7"/>
      <c r="D291" s="7"/>
      <c r="E291" s="8"/>
      <c r="F291" s="9"/>
      <c r="G291" s="9"/>
      <c r="H291" s="10"/>
      <c r="I291" s="9"/>
      <c r="J291" s="9"/>
    </row>
    <row x14ac:dyDescent="0.25" r="292" customHeight="1" ht="17.25">
      <c r="A292" s="11" t="s">
        <v>10826</v>
      </c>
      <c r="B292" s="11"/>
      <c r="C292" s="11"/>
      <c r="D292" s="11"/>
      <c r="E292" s="12"/>
      <c r="F292" s="11"/>
      <c r="G292" s="11"/>
      <c r="H292" s="13"/>
      <c r="I292" s="11"/>
      <c r="J292" s="11"/>
    </row>
    <row x14ac:dyDescent="0.25" r="293" customHeight="1" ht="17.25">
      <c r="A293" s="14" t="s">
        <v>3</v>
      </c>
      <c r="B293" s="14" t="s">
        <v>4</v>
      </c>
      <c r="C293" s="14" t="s">
        <v>5</v>
      </c>
      <c r="D293" s="14" t="s">
        <v>6</v>
      </c>
      <c r="E293" s="15" t="s">
        <v>7</v>
      </c>
      <c r="F293" s="14" t="s">
        <v>8</v>
      </c>
      <c r="G293" s="14" t="s">
        <v>9</v>
      </c>
      <c r="H293" s="16" t="s">
        <v>10</v>
      </c>
      <c r="I293" s="14" t="s">
        <v>11</v>
      </c>
      <c r="J293" s="14" t="s">
        <v>12</v>
      </c>
    </row>
    <row x14ac:dyDescent="0.25" r="294" customHeight="1" ht="17.25">
      <c r="A294" s="17" t="s">
        <v>10827</v>
      </c>
      <c r="B294" s="17" t="s">
        <v>476</v>
      </c>
      <c r="C294" s="17" t="s">
        <v>95</v>
      </c>
      <c r="D294" s="17" t="s">
        <v>16</v>
      </c>
      <c r="E294" s="18">
        <f>ROUND(7073*1.05,2)</f>
      </c>
      <c r="F294" s="17" t="s">
        <v>17</v>
      </c>
      <c r="G294" s="17" t="s">
        <v>18</v>
      </c>
      <c r="H294" s="18">
        <f>ROUND(RAND()*4+6,1)</f>
      </c>
      <c r="I294" s="17" t="s">
        <v>19</v>
      </c>
      <c r="J294" s="19">
        <f>ROUND(82*1,0)&amp;"%"</f>
      </c>
    </row>
    <row x14ac:dyDescent="0.25" r="295" customHeight="1" ht="17.25">
      <c r="A295" s="20" t="s">
        <v>10828</v>
      </c>
      <c r="B295" s="20" t="s">
        <v>478</v>
      </c>
      <c r="C295" s="20" t="s">
        <v>95</v>
      </c>
      <c r="D295" s="20" t="s">
        <v>22</v>
      </c>
      <c r="E295" s="21">
        <f>ROUND(9086*1.05,2)</f>
      </c>
      <c r="F295" s="20" t="s">
        <v>23</v>
      </c>
      <c r="G295" s="20" t="s">
        <v>24</v>
      </c>
      <c r="H295" s="21">
        <f>ROUND(RAND()*4+6,1)</f>
      </c>
      <c r="I295" s="20" t="s">
        <v>25</v>
      </c>
      <c r="J295" s="23">
        <f>ROUND(69*1,0)&amp;"%"</f>
      </c>
    </row>
    <row x14ac:dyDescent="0.25" r="296" customHeight="1" ht="17.25">
      <c r="A296" s="17" t="s">
        <v>10829</v>
      </c>
      <c r="B296" s="17" t="s">
        <v>480</v>
      </c>
      <c r="C296" s="17" t="s">
        <v>95</v>
      </c>
      <c r="D296" s="17" t="s">
        <v>28</v>
      </c>
      <c r="E296" s="18">
        <f>ROUND(5378*1.05,2)</f>
      </c>
      <c r="F296" s="17" t="s">
        <v>29</v>
      </c>
      <c r="G296" s="17" t="s">
        <v>30</v>
      </c>
      <c r="H296" s="18">
        <f>ROUND(RAND()*4+6,1)</f>
      </c>
      <c r="I296" s="17" t="s">
        <v>31</v>
      </c>
      <c r="J296" s="19">
        <f>ROUND(79*1,0)&amp;"%"</f>
      </c>
    </row>
    <row x14ac:dyDescent="0.25" r="297" customHeight="1" ht="17.25">
      <c r="A297" s="20" t="s">
        <v>10830</v>
      </c>
      <c r="B297" s="20" t="s">
        <v>482</v>
      </c>
      <c r="C297" s="20" t="s">
        <v>95</v>
      </c>
      <c r="D297" s="20" t="s">
        <v>34</v>
      </c>
      <c r="E297" s="21">
        <f>ROUND(10098*1.05,2)</f>
      </c>
      <c r="F297" s="20" t="s">
        <v>35</v>
      </c>
      <c r="G297" s="20" t="s">
        <v>18</v>
      </c>
      <c r="H297" s="21">
        <f>ROUND(RAND()*4+6,1)</f>
      </c>
      <c r="I297" s="20" t="s">
        <v>36</v>
      </c>
      <c r="J297" s="23">
        <f>ROUND(61*1,0)&amp;"%"</f>
      </c>
    </row>
    <row x14ac:dyDescent="0.25" r="298" customHeight="1" ht="17.25">
      <c r="A298" s="17" t="s">
        <v>10831</v>
      </c>
      <c r="B298" s="17" t="s">
        <v>484</v>
      </c>
      <c r="C298" s="17" t="s">
        <v>95</v>
      </c>
      <c r="D298" s="17" t="s">
        <v>39</v>
      </c>
      <c r="E298" s="18">
        <f>ROUND(6318*1.05,2)</f>
      </c>
      <c r="F298" s="17" t="s">
        <v>40</v>
      </c>
      <c r="G298" s="17" t="s">
        <v>24</v>
      </c>
      <c r="H298" s="18">
        <f>ROUND(RAND()*4+6,1)</f>
      </c>
      <c r="I298" s="17" t="s">
        <v>41</v>
      </c>
      <c r="J298" s="19">
        <f>ROUND(82*1,0)&amp;"%"</f>
      </c>
    </row>
    <row x14ac:dyDescent="0.25" r="299" customHeight="1" ht="17.25">
      <c r="A299" s="20" t="s">
        <v>10832</v>
      </c>
      <c r="B299" s="20" t="s">
        <v>486</v>
      </c>
      <c r="C299" s="20" t="s">
        <v>95</v>
      </c>
      <c r="D299" s="20" t="s">
        <v>67</v>
      </c>
      <c r="E299" s="21">
        <f>ROUND(8814*1.05,2)</f>
      </c>
      <c r="F299" s="20" t="s">
        <v>44</v>
      </c>
      <c r="G299" s="20" t="s">
        <v>30</v>
      </c>
      <c r="H299" s="21">
        <f>ROUND(RAND()*4+6,1)</f>
      </c>
      <c r="I299" s="20" t="s">
        <v>45</v>
      </c>
      <c r="J299" s="23">
        <f>ROUND(66*1,0)&amp;"%"</f>
      </c>
    </row>
    <row x14ac:dyDescent="0.25" r="300" customHeight="1" ht="17.25">
      <c r="A300" s="17" t="s">
        <v>10833</v>
      </c>
      <c r="B300" s="17" t="s">
        <v>488</v>
      </c>
      <c r="C300" s="17" t="s">
        <v>95</v>
      </c>
      <c r="D300" s="17" t="s">
        <v>16</v>
      </c>
      <c r="E300" s="18">
        <f>ROUND(15261*1.05,2)</f>
      </c>
      <c r="F300" s="17" t="s">
        <v>48</v>
      </c>
      <c r="G300" s="17" t="s">
        <v>18</v>
      </c>
      <c r="H300" s="18">
        <f>ROUND(RAND()*4+6,1)</f>
      </c>
      <c r="I300" s="17" t="s">
        <v>19</v>
      </c>
      <c r="J300" s="19">
        <f>ROUND(67*1,0)&amp;"%"</f>
      </c>
    </row>
    <row x14ac:dyDescent="0.25" r="301" customHeight="1" ht="17.25">
      <c r="A301" s="20" t="s">
        <v>10834</v>
      </c>
      <c r="B301" s="20" t="s">
        <v>490</v>
      </c>
      <c r="C301" s="20" t="s">
        <v>95</v>
      </c>
      <c r="D301" s="20" t="s">
        <v>22</v>
      </c>
      <c r="E301" s="21">
        <f>ROUND(17741*1.05,2)</f>
      </c>
      <c r="F301" s="20" t="s">
        <v>51</v>
      </c>
      <c r="G301" s="20" t="s">
        <v>24</v>
      </c>
      <c r="H301" s="21">
        <f>ROUND(RAND()*4+6,1)</f>
      </c>
      <c r="I301" s="20" t="s">
        <v>25</v>
      </c>
      <c r="J301" s="23">
        <f>ROUND(87*1,0)&amp;"%"</f>
      </c>
    </row>
    <row x14ac:dyDescent="0.25" r="302" customHeight="1" ht="17.25">
      <c r="A302" s="24" t="s">
        <v>491</v>
      </c>
      <c r="B302" s="24"/>
      <c r="C302" s="24"/>
      <c r="D302" s="24"/>
      <c r="E302" s="25">
        <v>8</v>
      </c>
      <c r="F302" s="9"/>
      <c r="G302" s="9"/>
      <c r="H302" s="10"/>
      <c r="I302" s="9"/>
      <c r="J302" s="9"/>
    </row>
    <row x14ac:dyDescent="0.25" r="303" customHeight="1" ht="17.25">
      <c r="A303" s="7"/>
      <c r="B303" s="7"/>
      <c r="C303" s="7"/>
      <c r="D303" s="7"/>
      <c r="E303" s="8"/>
      <c r="F303" s="9"/>
      <c r="G303" s="9"/>
      <c r="H303" s="10"/>
      <c r="I303" s="9"/>
      <c r="J303" s="9"/>
    </row>
    <row x14ac:dyDescent="0.25" r="304" customHeight="1" ht="17.25">
      <c r="A304" s="11" t="s">
        <v>10835</v>
      </c>
      <c r="B304" s="11"/>
      <c r="C304" s="11"/>
      <c r="D304" s="11"/>
      <c r="E304" s="12"/>
      <c r="F304" s="11"/>
      <c r="G304" s="11"/>
      <c r="H304" s="13"/>
      <c r="I304" s="11"/>
      <c r="J304" s="11"/>
    </row>
    <row x14ac:dyDescent="0.25" r="305" customHeight="1" ht="17.25">
      <c r="A305" s="14" t="s">
        <v>3</v>
      </c>
      <c r="B305" s="14" t="s">
        <v>4</v>
      </c>
      <c r="C305" s="14" t="s">
        <v>5</v>
      </c>
      <c r="D305" s="14" t="s">
        <v>6</v>
      </c>
      <c r="E305" s="15" t="s">
        <v>7</v>
      </c>
      <c r="F305" s="14" t="s">
        <v>8</v>
      </c>
      <c r="G305" s="14" t="s">
        <v>9</v>
      </c>
      <c r="H305" s="16" t="s">
        <v>10</v>
      </c>
      <c r="I305" s="14" t="s">
        <v>11</v>
      </c>
      <c r="J305" s="14" t="s">
        <v>12</v>
      </c>
    </row>
    <row x14ac:dyDescent="0.25" r="306" customHeight="1" ht="17.25">
      <c r="A306" s="17" t="s">
        <v>10836</v>
      </c>
      <c r="B306" s="17" t="s">
        <v>494</v>
      </c>
      <c r="C306" s="17" t="s">
        <v>114</v>
      </c>
      <c r="D306" s="17" t="s">
        <v>16</v>
      </c>
      <c r="E306" s="18">
        <f>ROUND(12494*1.05,2)</f>
      </c>
      <c r="F306" s="17" t="s">
        <v>17</v>
      </c>
      <c r="G306" s="17" t="s">
        <v>18</v>
      </c>
      <c r="H306" s="18">
        <f>ROUND(RAND()*4+6,1)</f>
      </c>
      <c r="I306" s="17" t="s">
        <v>19</v>
      </c>
      <c r="J306" s="19">
        <f>ROUND(81*1,0)&amp;"%"</f>
      </c>
    </row>
    <row x14ac:dyDescent="0.25" r="307" customHeight="1" ht="17.25">
      <c r="A307" s="20" t="s">
        <v>10837</v>
      </c>
      <c r="B307" s="20" t="s">
        <v>496</v>
      </c>
      <c r="C307" s="20" t="s">
        <v>114</v>
      </c>
      <c r="D307" s="20" t="s">
        <v>22</v>
      </c>
      <c r="E307" s="21">
        <f>ROUND(7782*1.05,2)</f>
      </c>
      <c r="F307" s="20" t="s">
        <v>23</v>
      </c>
      <c r="G307" s="20" t="s">
        <v>24</v>
      </c>
      <c r="H307" s="21">
        <f>ROUND(RAND()*4+6,1)</f>
      </c>
      <c r="I307" s="20" t="s">
        <v>25</v>
      </c>
      <c r="J307" s="23">
        <f>ROUND(92*1,0)&amp;"%"</f>
      </c>
    </row>
    <row x14ac:dyDescent="0.25" r="308" customHeight="1" ht="17.25">
      <c r="A308" s="17" t="s">
        <v>10838</v>
      </c>
      <c r="B308" s="17" t="s">
        <v>498</v>
      </c>
      <c r="C308" s="17" t="s">
        <v>114</v>
      </c>
      <c r="D308" s="17" t="s">
        <v>28</v>
      </c>
      <c r="E308" s="18">
        <f>ROUND(11698*1.05,2)</f>
      </c>
      <c r="F308" s="17" t="s">
        <v>29</v>
      </c>
      <c r="G308" s="17" t="s">
        <v>30</v>
      </c>
      <c r="H308" s="18">
        <f>ROUND(RAND()*4+6,1)</f>
      </c>
      <c r="I308" s="17" t="s">
        <v>31</v>
      </c>
      <c r="J308" s="19">
        <f>ROUND(68*1,0)&amp;"%"</f>
      </c>
    </row>
    <row x14ac:dyDescent="0.25" r="309" customHeight="1" ht="17.25">
      <c r="A309" s="20" t="s">
        <v>10839</v>
      </c>
      <c r="B309" s="20" t="s">
        <v>500</v>
      </c>
      <c r="C309" s="20" t="s">
        <v>114</v>
      </c>
      <c r="D309" s="20" t="s">
        <v>34</v>
      </c>
      <c r="E309" s="21">
        <f>ROUND(17943*1.05,2)</f>
      </c>
      <c r="F309" s="20" t="s">
        <v>35</v>
      </c>
      <c r="G309" s="20" t="s">
        <v>18</v>
      </c>
      <c r="H309" s="21">
        <f>ROUND(RAND()*4+6,1)</f>
      </c>
      <c r="I309" s="20" t="s">
        <v>36</v>
      </c>
      <c r="J309" s="23">
        <f>ROUND(68*1,0)&amp;"%"</f>
      </c>
    </row>
    <row x14ac:dyDescent="0.25" r="310" customHeight="1" ht="17.25">
      <c r="A310" s="17" t="s">
        <v>10840</v>
      </c>
      <c r="B310" s="17" t="s">
        <v>502</v>
      </c>
      <c r="C310" s="17" t="s">
        <v>114</v>
      </c>
      <c r="D310" s="17" t="s">
        <v>39</v>
      </c>
      <c r="E310" s="18">
        <f>ROUND(14799*1.05,2)</f>
      </c>
      <c r="F310" s="17" t="s">
        <v>40</v>
      </c>
      <c r="G310" s="17" t="s">
        <v>24</v>
      </c>
      <c r="H310" s="18">
        <f>ROUND(RAND()*4+6,1)</f>
      </c>
      <c r="I310" s="17" t="s">
        <v>41</v>
      </c>
      <c r="J310" s="19">
        <f>ROUND(84*1,0)&amp;"%"</f>
      </c>
    </row>
    <row x14ac:dyDescent="0.25" r="311" customHeight="1" ht="17.25">
      <c r="A311" s="20" t="s">
        <v>10841</v>
      </c>
      <c r="B311" s="20" t="s">
        <v>504</v>
      </c>
      <c r="C311" s="20" t="s">
        <v>114</v>
      </c>
      <c r="D311" s="20" t="s">
        <v>67</v>
      </c>
      <c r="E311" s="21">
        <f>ROUND(14816*1.05,2)</f>
      </c>
      <c r="F311" s="20" t="s">
        <v>44</v>
      </c>
      <c r="G311" s="20" t="s">
        <v>30</v>
      </c>
      <c r="H311" s="21">
        <f>ROUND(RAND()*4+6,1)</f>
      </c>
      <c r="I311" s="20" t="s">
        <v>45</v>
      </c>
      <c r="J311" s="23">
        <f>ROUND(84*1,0)&amp;"%"</f>
      </c>
    </row>
    <row x14ac:dyDescent="0.25" r="312" customHeight="1" ht="17.25">
      <c r="A312" s="17" t="s">
        <v>10842</v>
      </c>
      <c r="B312" s="17" t="s">
        <v>506</v>
      </c>
      <c r="C312" s="17" t="s">
        <v>114</v>
      </c>
      <c r="D312" s="17" t="s">
        <v>16</v>
      </c>
      <c r="E312" s="18">
        <f>ROUND(13385*1.05,2)</f>
      </c>
      <c r="F312" s="17" t="s">
        <v>48</v>
      </c>
      <c r="G312" s="17" t="s">
        <v>18</v>
      </c>
      <c r="H312" s="18">
        <f>ROUND(RAND()*4+6,1)</f>
      </c>
      <c r="I312" s="17" t="s">
        <v>19</v>
      </c>
      <c r="J312" s="19">
        <f>ROUND(81*1,0)&amp;"%"</f>
      </c>
    </row>
    <row x14ac:dyDescent="0.25" r="313" customHeight="1" ht="17.25">
      <c r="A313" s="20" t="s">
        <v>10843</v>
      </c>
      <c r="B313" s="20" t="s">
        <v>508</v>
      </c>
      <c r="C313" s="20" t="s">
        <v>114</v>
      </c>
      <c r="D313" s="20" t="s">
        <v>22</v>
      </c>
      <c r="E313" s="21">
        <f>ROUND(16883*1.05,2)</f>
      </c>
      <c r="F313" s="20" t="s">
        <v>51</v>
      </c>
      <c r="G313" s="20" t="s">
        <v>24</v>
      </c>
      <c r="H313" s="21">
        <f>ROUND(RAND()*4+6,1)</f>
      </c>
      <c r="I313" s="20" t="s">
        <v>25</v>
      </c>
      <c r="J313" s="23">
        <f>ROUND(92*1,0)&amp;"%"</f>
      </c>
    </row>
    <row x14ac:dyDescent="0.25" r="314" customHeight="1" ht="17.25">
      <c r="A314" s="24" t="s">
        <v>509</v>
      </c>
      <c r="B314" s="24"/>
      <c r="C314" s="24"/>
      <c r="D314" s="24"/>
      <c r="E314" s="25">
        <v>8</v>
      </c>
      <c r="F314" s="9"/>
      <c r="G314" s="9"/>
      <c r="H314" s="10"/>
      <c r="I314" s="9"/>
      <c r="J314" s="9"/>
    </row>
    <row x14ac:dyDescent="0.25" r="315" customHeight="1" ht="17.25">
      <c r="A315" s="7"/>
      <c r="B315" s="7"/>
      <c r="C315" s="7"/>
      <c r="D315" s="7"/>
      <c r="E315" s="8"/>
      <c r="F315" s="9"/>
      <c r="G315" s="9"/>
      <c r="H315" s="10"/>
      <c r="I315" s="9"/>
      <c r="J315" s="9"/>
    </row>
    <row x14ac:dyDescent="0.25" r="316" customHeight="1" ht="17.25">
      <c r="A316" s="11" t="s">
        <v>10844</v>
      </c>
      <c r="B316" s="11"/>
      <c r="C316" s="11"/>
      <c r="D316" s="11"/>
      <c r="E316" s="12"/>
      <c r="F316" s="11"/>
      <c r="G316" s="11"/>
      <c r="H316" s="13"/>
      <c r="I316" s="11"/>
      <c r="J316" s="11"/>
    </row>
    <row x14ac:dyDescent="0.25" r="317" customHeight="1" ht="17.25">
      <c r="A317" s="14" t="s">
        <v>3</v>
      </c>
      <c r="B317" s="14" t="s">
        <v>4</v>
      </c>
      <c r="C317" s="14" t="s">
        <v>5</v>
      </c>
      <c r="D317" s="14" t="s">
        <v>6</v>
      </c>
      <c r="E317" s="15" t="s">
        <v>7</v>
      </c>
      <c r="F317" s="14" t="s">
        <v>8</v>
      </c>
      <c r="G317" s="14" t="s">
        <v>9</v>
      </c>
      <c r="H317" s="16" t="s">
        <v>10</v>
      </c>
      <c r="I317" s="14" t="s">
        <v>11</v>
      </c>
      <c r="J317" s="14" t="s">
        <v>12</v>
      </c>
    </row>
    <row x14ac:dyDescent="0.25" r="318" customHeight="1" ht="17.25">
      <c r="A318" s="17" t="s">
        <v>10845</v>
      </c>
      <c r="B318" s="17" t="s">
        <v>512</v>
      </c>
      <c r="C318" s="17" t="s">
        <v>133</v>
      </c>
      <c r="D318" s="17" t="s">
        <v>16</v>
      </c>
      <c r="E318" s="18">
        <f>ROUND(6568*1.05,2)</f>
      </c>
      <c r="F318" s="17" t="s">
        <v>17</v>
      </c>
      <c r="G318" s="17" t="s">
        <v>18</v>
      </c>
      <c r="H318" s="18">
        <f>ROUND(RAND()*4+6,1)</f>
      </c>
      <c r="I318" s="17" t="s">
        <v>19</v>
      </c>
      <c r="J318" s="19">
        <f>ROUND(77*1,0)&amp;"%"</f>
      </c>
    </row>
    <row x14ac:dyDescent="0.25" r="319" customHeight="1" ht="17.25">
      <c r="A319" s="20" t="s">
        <v>10846</v>
      </c>
      <c r="B319" s="20" t="s">
        <v>514</v>
      </c>
      <c r="C319" s="20" t="s">
        <v>133</v>
      </c>
      <c r="D319" s="20" t="s">
        <v>22</v>
      </c>
      <c r="E319" s="21">
        <f>ROUND(16947*1.05,2)</f>
      </c>
      <c r="F319" s="20" t="s">
        <v>23</v>
      </c>
      <c r="G319" s="20" t="s">
        <v>24</v>
      </c>
      <c r="H319" s="21">
        <f>ROUND(RAND()*4+6,1)</f>
      </c>
      <c r="I319" s="20" t="s">
        <v>25</v>
      </c>
      <c r="J319" s="23">
        <f>ROUND(66*1,0)&amp;"%"</f>
      </c>
    </row>
    <row x14ac:dyDescent="0.25" r="320" customHeight="1" ht="17.25">
      <c r="A320" s="17" t="s">
        <v>10847</v>
      </c>
      <c r="B320" s="17" t="s">
        <v>516</v>
      </c>
      <c r="C320" s="17" t="s">
        <v>133</v>
      </c>
      <c r="D320" s="17" t="s">
        <v>28</v>
      </c>
      <c r="E320" s="18">
        <f>ROUND(16945*1.05,2)</f>
      </c>
      <c r="F320" s="17" t="s">
        <v>29</v>
      </c>
      <c r="G320" s="17" t="s">
        <v>30</v>
      </c>
      <c r="H320" s="18">
        <f>ROUND(RAND()*4+6,1)</f>
      </c>
      <c r="I320" s="17" t="s">
        <v>31</v>
      </c>
      <c r="J320" s="19">
        <f>ROUND(67*1,0)&amp;"%"</f>
      </c>
    </row>
    <row x14ac:dyDescent="0.25" r="321" customHeight="1" ht="17.25">
      <c r="A321" s="20" t="s">
        <v>10848</v>
      </c>
      <c r="B321" s="20" t="s">
        <v>518</v>
      </c>
      <c r="C321" s="20" t="s">
        <v>133</v>
      </c>
      <c r="D321" s="20" t="s">
        <v>34</v>
      </c>
      <c r="E321" s="21">
        <f>ROUND(9073*1.05,2)</f>
      </c>
      <c r="F321" s="20" t="s">
        <v>35</v>
      </c>
      <c r="G321" s="20" t="s">
        <v>18</v>
      </c>
      <c r="H321" s="21">
        <f>ROUND(RAND()*4+6,1)</f>
      </c>
      <c r="I321" s="20" t="s">
        <v>36</v>
      </c>
      <c r="J321" s="23">
        <f>ROUND(94*1,0)&amp;"%"</f>
      </c>
    </row>
    <row x14ac:dyDescent="0.25" r="322" customHeight="1" ht="17.25">
      <c r="A322" s="17" t="s">
        <v>10849</v>
      </c>
      <c r="B322" s="17" t="s">
        <v>520</v>
      </c>
      <c r="C322" s="17" t="s">
        <v>133</v>
      </c>
      <c r="D322" s="17" t="s">
        <v>39</v>
      </c>
      <c r="E322" s="18">
        <f>ROUND(13248*1.05,2)</f>
      </c>
      <c r="F322" s="17" t="s">
        <v>40</v>
      </c>
      <c r="G322" s="17" t="s">
        <v>24</v>
      </c>
      <c r="H322" s="18">
        <f>ROUND(RAND()*4+6,1)</f>
      </c>
      <c r="I322" s="17" t="s">
        <v>41</v>
      </c>
      <c r="J322" s="19">
        <f>ROUND(64*1,0)&amp;"%"</f>
      </c>
    </row>
    <row x14ac:dyDescent="0.25" r="323" customHeight="1" ht="17.25">
      <c r="A323" s="20" t="s">
        <v>10850</v>
      </c>
      <c r="B323" s="20" t="s">
        <v>522</v>
      </c>
      <c r="C323" s="20" t="s">
        <v>133</v>
      </c>
      <c r="D323" s="20" t="s">
        <v>67</v>
      </c>
      <c r="E323" s="21">
        <f>ROUND(14608*1.05,2)</f>
      </c>
      <c r="F323" s="20" t="s">
        <v>44</v>
      </c>
      <c r="G323" s="20" t="s">
        <v>30</v>
      </c>
      <c r="H323" s="21">
        <f>ROUND(RAND()*4+6,1)</f>
      </c>
      <c r="I323" s="20" t="s">
        <v>45</v>
      </c>
      <c r="J323" s="23">
        <f>ROUND(67*1,0)&amp;"%"</f>
      </c>
    </row>
    <row x14ac:dyDescent="0.25" r="324" customHeight="1" ht="17.25">
      <c r="A324" s="17" t="s">
        <v>10851</v>
      </c>
      <c r="B324" s="17" t="s">
        <v>524</v>
      </c>
      <c r="C324" s="17" t="s">
        <v>133</v>
      </c>
      <c r="D324" s="17" t="s">
        <v>16</v>
      </c>
      <c r="E324" s="26">
        <f>ROUND(11400*1.05,2)</f>
      </c>
      <c r="F324" s="17" t="s">
        <v>48</v>
      </c>
      <c r="G324" s="17" t="s">
        <v>18</v>
      </c>
      <c r="H324" s="18">
        <f>ROUND(RAND()*4+6,1)</f>
      </c>
      <c r="I324" s="17" t="s">
        <v>19</v>
      </c>
      <c r="J324" s="19">
        <f>ROUND(90*1,0)&amp;"%"</f>
      </c>
    </row>
    <row x14ac:dyDescent="0.25" r="325" customHeight="1" ht="17.25">
      <c r="A325" s="20" t="s">
        <v>10852</v>
      </c>
      <c r="B325" s="20" t="s">
        <v>526</v>
      </c>
      <c r="C325" s="20" t="s">
        <v>133</v>
      </c>
      <c r="D325" s="20" t="s">
        <v>22</v>
      </c>
      <c r="E325" s="21">
        <f>ROUND(6249*1.05,2)</f>
      </c>
      <c r="F325" s="20" t="s">
        <v>51</v>
      </c>
      <c r="G325" s="20" t="s">
        <v>24</v>
      </c>
      <c r="H325" s="21">
        <f>ROUND(RAND()*4+6,1)</f>
      </c>
      <c r="I325" s="20" t="s">
        <v>25</v>
      </c>
      <c r="J325" s="23">
        <f>ROUND(94*1,0)&amp;"%"</f>
      </c>
    </row>
    <row x14ac:dyDescent="0.25" r="326" customHeight="1" ht="17.25">
      <c r="A326" s="24" t="s">
        <v>527</v>
      </c>
      <c r="B326" s="24"/>
      <c r="C326" s="24"/>
      <c r="D326" s="24"/>
      <c r="E326" s="25">
        <v>8</v>
      </c>
      <c r="F326" s="9"/>
      <c r="G326" s="9"/>
      <c r="H326" s="10"/>
      <c r="I326" s="9"/>
      <c r="J326" s="9"/>
    </row>
    <row x14ac:dyDescent="0.25" r="327" customHeight="1" ht="17.25">
      <c r="A327" s="7"/>
      <c r="B327" s="7"/>
      <c r="C327" s="7"/>
      <c r="D327" s="7"/>
      <c r="E327" s="8"/>
      <c r="F327" s="9"/>
      <c r="G327" s="9"/>
      <c r="H327" s="10"/>
      <c r="I327" s="9"/>
      <c r="J327" s="9"/>
    </row>
    <row x14ac:dyDescent="0.25" r="328" customHeight="1" ht="17.25">
      <c r="A328" s="11" t="s">
        <v>10853</v>
      </c>
      <c r="B328" s="11"/>
      <c r="C328" s="11"/>
      <c r="D328" s="11"/>
      <c r="E328" s="12"/>
      <c r="F328" s="11"/>
      <c r="G328" s="11"/>
      <c r="H328" s="13"/>
      <c r="I328" s="11"/>
      <c r="J328" s="11"/>
    </row>
    <row x14ac:dyDescent="0.25" r="329" customHeight="1" ht="17.25">
      <c r="A329" s="14" t="s">
        <v>3</v>
      </c>
      <c r="B329" s="14" t="s">
        <v>4</v>
      </c>
      <c r="C329" s="14" t="s">
        <v>5</v>
      </c>
      <c r="D329" s="14" t="s">
        <v>6</v>
      </c>
      <c r="E329" s="15" t="s">
        <v>7</v>
      </c>
      <c r="F329" s="14" t="s">
        <v>8</v>
      </c>
      <c r="G329" s="14" t="s">
        <v>9</v>
      </c>
      <c r="H329" s="16" t="s">
        <v>10</v>
      </c>
      <c r="I329" s="14" t="s">
        <v>11</v>
      </c>
      <c r="J329" s="14" t="s">
        <v>12</v>
      </c>
    </row>
    <row x14ac:dyDescent="0.25" r="330" customHeight="1" ht="17.25">
      <c r="A330" s="17" t="s">
        <v>10854</v>
      </c>
      <c r="B330" s="17" t="s">
        <v>530</v>
      </c>
      <c r="C330" s="17" t="s">
        <v>152</v>
      </c>
      <c r="D330" s="17" t="s">
        <v>16</v>
      </c>
      <c r="E330" s="18">
        <f>ROUND(11238*1.05,2)</f>
      </c>
      <c r="F330" s="17" t="s">
        <v>17</v>
      </c>
      <c r="G330" s="17" t="s">
        <v>18</v>
      </c>
      <c r="H330" s="18">
        <f>ROUND(RAND()*4+6,1)</f>
      </c>
      <c r="I330" s="17" t="s">
        <v>19</v>
      </c>
      <c r="J330" s="19">
        <f>ROUND(86*1,0)&amp;"%"</f>
      </c>
    </row>
    <row x14ac:dyDescent="0.25" r="331" customHeight="1" ht="17.25">
      <c r="A331" s="20" t="s">
        <v>10855</v>
      </c>
      <c r="B331" s="20" t="s">
        <v>532</v>
      </c>
      <c r="C331" s="20" t="s">
        <v>152</v>
      </c>
      <c r="D331" s="20" t="s">
        <v>22</v>
      </c>
      <c r="E331" s="22">
        <f>ROUND(14380*1.05,2)</f>
      </c>
      <c r="F331" s="20" t="s">
        <v>23</v>
      </c>
      <c r="G331" s="20" t="s">
        <v>24</v>
      </c>
      <c r="H331" s="21">
        <f>ROUND(RAND()*4+6,1)</f>
      </c>
      <c r="I331" s="20" t="s">
        <v>25</v>
      </c>
      <c r="J331" s="23">
        <f>ROUND(82*1,0)&amp;"%"</f>
      </c>
    </row>
    <row x14ac:dyDescent="0.25" r="332" customHeight="1" ht="17.25">
      <c r="A332" s="17" t="s">
        <v>10856</v>
      </c>
      <c r="B332" s="17" t="s">
        <v>534</v>
      </c>
      <c r="C332" s="17" t="s">
        <v>152</v>
      </c>
      <c r="D332" s="17" t="s">
        <v>28</v>
      </c>
      <c r="E332" s="18">
        <f>ROUND(7199*1.05,2)</f>
      </c>
      <c r="F332" s="17" t="s">
        <v>29</v>
      </c>
      <c r="G332" s="17" t="s">
        <v>30</v>
      </c>
      <c r="H332" s="18">
        <f>ROUND(RAND()*4+6,1)</f>
      </c>
      <c r="I332" s="17" t="s">
        <v>31</v>
      </c>
      <c r="J332" s="19">
        <f>ROUND(85*1,0)&amp;"%"</f>
      </c>
    </row>
    <row x14ac:dyDescent="0.25" r="333" customHeight="1" ht="17.25">
      <c r="A333" s="20" t="s">
        <v>10857</v>
      </c>
      <c r="B333" s="20" t="s">
        <v>536</v>
      </c>
      <c r="C333" s="20" t="s">
        <v>152</v>
      </c>
      <c r="D333" s="20" t="s">
        <v>34</v>
      </c>
      <c r="E333" s="21">
        <f>ROUND(12622*1.05,2)</f>
      </c>
      <c r="F333" s="20" t="s">
        <v>35</v>
      </c>
      <c r="G333" s="20" t="s">
        <v>18</v>
      </c>
      <c r="H333" s="22">
        <f>ROUND(RAND()*4+6,1)</f>
      </c>
      <c r="I333" s="20" t="s">
        <v>36</v>
      </c>
      <c r="J333" s="23">
        <f>ROUND(99*1,0)&amp;"%"</f>
      </c>
    </row>
    <row x14ac:dyDescent="0.25" r="334" customHeight="1" ht="17.25">
      <c r="A334" s="17" t="s">
        <v>10858</v>
      </c>
      <c r="B334" s="17" t="s">
        <v>538</v>
      </c>
      <c r="C334" s="17" t="s">
        <v>152</v>
      </c>
      <c r="D334" s="17" t="s">
        <v>39</v>
      </c>
      <c r="E334" s="18">
        <f>ROUND(16854*1.05,2)</f>
      </c>
      <c r="F334" s="17" t="s">
        <v>40</v>
      </c>
      <c r="G334" s="17" t="s">
        <v>24</v>
      </c>
      <c r="H334" s="18">
        <f>ROUND(RAND()*4+6,1)</f>
      </c>
      <c r="I334" s="17" t="s">
        <v>41</v>
      </c>
      <c r="J334" s="19">
        <f>ROUND(61*1,0)&amp;"%"</f>
      </c>
    </row>
    <row x14ac:dyDescent="0.25" r="335" customHeight="1" ht="17.25">
      <c r="A335" s="20" t="s">
        <v>10859</v>
      </c>
      <c r="B335" s="20" t="s">
        <v>540</v>
      </c>
      <c r="C335" s="20" t="s">
        <v>152</v>
      </c>
      <c r="D335" s="20" t="s">
        <v>67</v>
      </c>
      <c r="E335" s="21">
        <f>ROUND(16693*1.05,2)</f>
      </c>
      <c r="F335" s="20" t="s">
        <v>44</v>
      </c>
      <c r="G335" s="20" t="s">
        <v>30</v>
      </c>
      <c r="H335" s="21">
        <f>ROUND(RAND()*4+6,1)</f>
      </c>
      <c r="I335" s="20" t="s">
        <v>45</v>
      </c>
      <c r="J335" s="23">
        <f>ROUND(65*1,0)&amp;"%"</f>
      </c>
    </row>
    <row x14ac:dyDescent="0.25" r="336" customHeight="1" ht="17.25">
      <c r="A336" s="17" t="s">
        <v>10860</v>
      </c>
      <c r="B336" s="17" t="s">
        <v>542</v>
      </c>
      <c r="C336" s="17" t="s">
        <v>152</v>
      </c>
      <c r="D336" s="17" t="s">
        <v>16</v>
      </c>
      <c r="E336" s="18">
        <f>ROUND(14218*1.05,2)</f>
      </c>
      <c r="F336" s="17" t="s">
        <v>48</v>
      </c>
      <c r="G336" s="17" t="s">
        <v>18</v>
      </c>
      <c r="H336" s="18">
        <f>ROUND(RAND()*4+6,1)</f>
      </c>
      <c r="I336" s="17" t="s">
        <v>19</v>
      </c>
      <c r="J336" s="19">
        <f>ROUND(72*1,0)&amp;"%"</f>
      </c>
    </row>
    <row x14ac:dyDescent="0.25" r="337" customHeight="1" ht="17.25">
      <c r="A337" s="20" t="s">
        <v>10861</v>
      </c>
      <c r="B337" s="20" t="s">
        <v>544</v>
      </c>
      <c r="C337" s="20" t="s">
        <v>152</v>
      </c>
      <c r="D337" s="20" t="s">
        <v>22</v>
      </c>
      <c r="E337" s="21">
        <f>ROUND(16535*1.05,2)</f>
      </c>
      <c r="F337" s="20" t="s">
        <v>51</v>
      </c>
      <c r="G337" s="20" t="s">
        <v>24</v>
      </c>
      <c r="H337" s="21">
        <f>ROUND(RAND()*4+6,1)</f>
      </c>
      <c r="I337" s="20" t="s">
        <v>25</v>
      </c>
      <c r="J337" s="23">
        <f>ROUND(87*1,0)&amp;"%"</f>
      </c>
    </row>
    <row x14ac:dyDescent="0.25" r="338" customHeight="1" ht="17.25">
      <c r="A338" s="24" t="s">
        <v>545</v>
      </c>
      <c r="B338" s="24"/>
      <c r="C338" s="24"/>
      <c r="D338" s="24"/>
      <c r="E338" s="25">
        <v>8</v>
      </c>
      <c r="F338" s="9"/>
      <c r="G338" s="9"/>
      <c r="H338" s="10"/>
      <c r="I338" s="9"/>
      <c r="J338" s="9"/>
    </row>
    <row x14ac:dyDescent="0.25" r="339" customHeight="1" ht="17.25">
      <c r="A339" s="7"/>
      <c r="B339" s="7"/>
      <c r="C339" s="7"/>
      <c r="D339" s="7"/>
      <c r="E339" s="8"/>
      <c r="F339" s="9"/>
      <c r="G339" s="9"/>
      <c r="H339" s="10"/>
      <c r="I339" s="9"/>
      <c r="J339" s="9"/>
    </row>
    <row x14ac:dyDescent="0.25" r="340" customHeight="1" ht="17.25">
      <c r="A340" s="11" t="s">
        <v>10862</v>
      </c>
      <c r="B340" s="11"/>
      <c r="C340" s="11"/>
      <c r="D340" s="11"/>
      <c r="E340" s="12"/>
      <c r="F340" s="11"/>
      <c r="G340" s="11"/>
      <c r="H340" s="13"/>
      <c r="I340" s="11"/>
      <c r="J340" s="11"/>
    </row>
    <row x14ac:dyDescent="0.25" r="341" customHeight="1" ht="17.25">
      <c r="A341" s="14" t="s">
        <v>3</v>
      </c>
      <c r="B341" s="14" t="s">
        <v>4</v>
      </c>
      <c r="C341" s="14" t="s">
        <v>5</v>
      </c>
      <c r="D341" s="14" t="s">
        <v>6</v>
      </c>
      <c r="E341" s="15" t="s">
        <v>7</v>
      </c>
      <c r="F341" s="14" t="s">
        <v>8</v>
      </c>
      <c r="G341" s="14" t="s">
        <v>9</v>
      </c>
      <c r="H341" s="16" t="s">
        <v>10</v>
      </c>
      <c r="I341" s="14" t="s">
        <v>11</v>
      </c>
      <c r="J341" s="14" t="s">
        <v>12</v>
      </c>
    </row>
    <row x14ac:dyDescent="0.25" r="342" customHeight="1" ht="17.25">
      <c r="A342" s="17" t="s">
        <v>10863</v>
      </c>
      <c r="B342" s="17" t="s">
        <v>548</v>
      </c>
      <c r="C342" s="17" t="s">
        <v>15</v>
      </c>
      <c r="D342" s="17" t="s">
        <v>16</v>
      </c>
      <c r="E342" s="18">
        <f>ROUND(6401*1.05,2)</f>
      </c>
      <c r="F342" s="17" t="s">
        <v>17</v>
      </c>
      <c r="G342" s="17" t="s">
        <v>18</v>
      </c>
      <c r="H342" s="18">
        <f>ROUND(RAND()*4+6,1)</f>
      </c>
      <c r="I342" s="17" t="s">
        <v>19</v>
      </c>
      <c r="J342" s="19">
        <f>ROUND(78*1,0)&amp;"%"</f>
      </c>
    </row>
    <row x14ac:dyDescent="0.25" r="343" customHeight="1" ht="17.25">
      <c r="A343" s="20" t="s">
        <v>10864</v>
      </c>
      <c r="B343" s="20" t="s">
        <v>550</v>
      </c>
      <c r="C343" s="20" t="s">
        <v>15</v>
      </c>
      <c r="D343" s="20" t="s">
        <v>22</v>
      </c>
      <c r="E343" s="21">
        <f>ROUND(12114*1.05,2)</f>
      </c>
      <c r="F343" s="20" t="s">
        <v>23</v>
      </c>
      <c r="G343" s="20" t="s">
        <v>24</v>
      </c>
      <c r="H343" s="22">
        <f>ROUND(RAND()*4+6,1)</f>
      </c>
      <c r="I343" s="20" t="s">
        <v>25</v>
      </c>
      <c r="J343" s="23">
        <f>ROUND(91*1,0)&amp;"%"</f>
      </c>
    </row>
    <row x14ac:dyDescent="0.25" r="344" customHeight="1" ht="17.25">
      <c r="A344" s="17" t="s">
        <v>10865</v>
      </c>
      <c r="B344" s="17" t="s">
        <v>552</v>
      </c>
      <c r="C344" s="17" t="s">
        <v>15</v>
      </c>
      <c r="D344" s="17" t="s">
        <v>28</v>
      </c>
      <c r="E344" s="18">
        <f>ROUND(9072*1.05,2)</f>
      </c>
      <c r="F344" s="17" t="s">
        <v>29</v>
      </c>
      <c r="G344" s="17" t="s">
        <v>30</v>
      </c>
      <c r="H344" s="18">
        <f>ROUND(RAND()*4+6,1)</f>
      </c>
      <c r="I344" s="17" t="s">
        <v>31</v>
      </c>
      <c r="J344" s="19">
        <f>ROUND(84*1,0)&amp;"%"</f>
      </c>
    </row>
    <row x14ac:dyDescent="0.25" r="345" customHeight="1" ht="17.25">
      <c r="A345" s="20" t="s">
        <v>10866</v>
      </c>
      <c r="B345" s="20" t="s">
        <v>554</v>
      </c>
      <c r="C345" s="20" t="s">
        <v>15</v>
      </c>
      <c r="D345" s="20" t="s">
        <v>34</v>
      </c>
      <c r="E345" s="21">
        <f>ROUND(7004*1.05,2)</f>
      </c>
      <c r="F345" s="20" t="s">
        <v>35</v>
      </c>
      <c r="G345" s="20" t="s">
        <v>18</v>
      </c>
      <c r="H345" s="21">
        <f>ROUND(RAND()*4+6,1)</f>
      </c>
      <c r="I345" s="20" t="s">
        <v>36</v>
      </c>
      <c r="J345" s="23">
        <f>ROUND(62*1,0)&amp;"%"</f>
      </c>
    </row>
    <row x14ac:dyDescent="0.25" r="346" customHeight="1" ht="17.25">
      <c r="A346" s="17" t="s">
        <v>10867</v>
      </c>
      <c r="B346" s="17" t="s">
        <v>556</v>
      </c>
      <c r="C346" s="17" t="s">
        <v>15</v>
      </c>
      <c r="D346" s="17" t="s">
        <v>39</v>
      </c>
      <c r="E346" s="18">
        <f>ROUND(9215*1.05,2)</f>
      </c>
      <c r="F346" s="17" t="s">
        <v>40</v>
      </c>
      <c r="G346" s="17" t="s">
        <v>24</v>
      </c>
      <c r="H346" s="18">
        <f>ROUND(RAND()*4+6,1)</f>
      </c>
      <c r="I346" s="17" t="s">
        <v>41</v>
      </c>
      <c r="J346" s="19">
        <f>ROUND(64*1,0)&amp;"%"</f>
      </c>
    </row>
    <row x14ac:dyDescent="0.25" r="347" customHeight="1" ht="17.25">
      <c r="A347" s="20" t="s">
        <v>10868</v>
      </c>
      <c r="B347" s="20" t="s">
        <v>558</v>
      </c>
      <c r="C347" s="20" t="s">
        <v>15</v>
      </c>
      <c r="D347" s="20" t="s">
        <v>67</v>
      </c>
      <c r="E347" s="21">
        <f>ROUND(11011*1.05,2)</f>
      </c>
      <c r="F347" s="20" t="s">
        <v>44</v>
      </c>
      <c r="G347" s="20" t="s">
        <v>30</v>
      </c>
      <c r="H347" s="21">
        <f>ROUND(RAND()*4+6,1)</f>
      </c>
      <c r="I347" s="20" t="s">
        <v>45</v>
      </c>
      <c r="J347" s="23">
        <f>ROUND(99*1,0)&amp;"%"</f>
      </c>
    </row>
    <row x14ac:dyDescent="0.25" r="348" customHeight="1" ht="17.25">
      <c r="A348" s="17" t="s">
        <v>10869</v>
      </c>
      <c r="B348" s="17" t="s">
        <v>560</v>
      </c>
      <c r="C348" s="17" t="s">
        <v>15</v>
      </c>
      <c r="D348" s="17" t="s">
        <v>16</v>
      </c>
      <c r="E348" s="18">
        <f>ROUND(7707*1.05,2)</f>
      </c>
      <c r="F348" s="17" t="s">
        <v>48</v>
      </c>
      <c r="G348" s="17" t="s">
        <v>18</v>
      </c>
      <c r="H348" s="18">
        <f>ROUND(RAND()*4+6,1)</f>
      </c>
      <c r="I348" s="17" t="s">
        <v>19</v>
      </c>
      <c r="J348" s="19">
        <f>ROUND(66*1,0)&amp;"%"</f>
      </c>
    </row>
    <row x14ac:dyDescent="0.25" r="349" customHeight="1" ht="17.25">
      <c r="A349" s="20" t="s">
        <v>10870</v>
      </c>
      <c r="B349" s="20" t="s">
        <v>562</v>
      </c>
      <c r="C349" s="20" t="s">
        <v>15</v>
      </c>
      <c r="D349" s="20" t="s">
        <v>22</v>
      </c>
      <c r="E349" s="21">
        <f>ROUND(17476*1.05,2)</f>
      </c>
      <c r="F349" s="20" t="s">
        <v>51</v>
      </c>
      <c r="G349" s="20" t="s">
        <v>24</v>
      </c>
      <c r="H349" s="22">
        <f>ROUND(RAND()*4+6,1)</f>
      </c>
      <c r="I349" s="20" t="s">
        <v>25</v>
      </c>
      <c r="J349" s="23">
        <f>ROUND(81*1,0)&amp;"%"</f>
      </c>
    </row>
    <row x14ac:dyDescent="0.25" r="350" customHeight="1" ht="17.25">
      <c r="A350" s="24" t="s">
        <v>563</v>
      </c>
      <c r="B350" s="24"/>
      <c r="C350" s="24"/>
      <c r="D350" s="24"/>
      <c r="E350" s="25">
        <v>8</v>
      </c>
      <c r="F350" s="9"/>
      <c r="G350" s="9"/>
      <c r="H350" s="10"/>
      <c r="I350" s="9"/>
      <c r="J350" s="9"/>
    </row>
    <row x14ac:dyDescent="0.25" r="351" customHeight="1" ht="17.25">
      <c r="A351" s="7"/>
      <c r="B351" s="7"/>
      <c r="C351" s="7"/>
      <c r="D351" s="7"/>
      <c r="E351" s="8"/>
      <c r="F351" s="9"/>
      <c r="G351" s="9"/>
      <c r="H351" s="10"/>
      <c r="I351" s="9"/>
      <c r="J351" s="9"/>
    </row>
    <row x14ac:dyDescent="0.25" r="352" customHeight="1" ht="17.25">
      <c r="A352" s="11" t="s">
        <v>10871</v>
      </c>
      <c r="B352" s="11"/>
      <c r="C352" s="11"/>
      <c r="D352" s="11"/>
      <c r="E352" s="12"/>
      <c r="F352" s="11"/>
      <c r="G352" s="11"/>
      <c r="H352" s="13"/>
      <c r="I352" s="11"/>
      <c r="J352" s="11"/>
    </row>
    <row x14ac:dyDescent="0.25" r="353" customHeight="1" ht="17.25">
      <c r="A353" s="14" t="s">
        <v>3</v>
      </c>
      <c r="B353" s="14" t="s">
        <v>4</v>
      </c>
      <c r="C353" s="14" t="s">
        <v>5</v>
      </c>
      <c r="D353" s="14" t="s">
        <v>6</v>
      </c>
      <c r="E353" s="15" t="s">
        <v>7</v>
      </c>
      <c r="F353" s="14" t="s">
        <v>8</v>
      </c>
      <c r="G353" s="14" t="s">
        <v>9</v>
      </c>
      <c r="H353" s="16" t="s">
        <v>10</v>
      </c>
      <c r="I353" s="14" t="s">
        <v>11</v>
      </c>
      <c r="J353" s="14" t="s">
        <v>12</v>
      </c>
    </row>
    <row x14ac:dyDescent="0.25" r="354" customHeight="1" ht="17.25">
      <c r="A354" s="17" t="s">
        <v>10872</v>
      </c>
      <c r="B354" s="17" t="s">
        <v>566</v>
      </c>
      <c r="C354" s="17" t="s">
        <v>56</v>
      </c>
      <c r="D354" s="17" t="s">
        <v>16</v>
      </c>
      <c r="E354" s="18">
        <f>ROUND(13555*1.05,2)</f>
      </c>
      <c r="F354" s="17" t="s">
        <v>17</v>
      </c>
      <c r="G354" s="17" t="s">
        <v>18</v>
      </c>
      <c r="H354" s="18">
        <f>ROUND(RAND()*4+6,1)</f>
      </c>
      <c r="I354" s="17" t="s">
        <v>19</v>
      </c>
      <c r="J354" s="19">
        <f>ROUND(84*1,0)&amp;"%"</f>
      </c>
    </row>
    <row x14ac:dyDescent="0.25" r="355" customHeight="1" ht="17.25">
      <c r="A355" s="20" t="s">
        <v>10873</v>
      </c>
      <c r="B355" s="20" t="s">
        <v>568</v>
      </c>
      <c r="C355" s="20" t="s">
        <v>56</v>
      </c>
      <c r="D355" s="20" t="s">
        <v>22</v>
      </c>
      <c r="E355" s="21">
        <f>ROUND(15522*1.05,2)</f>
      </c>
      <c r="F355" s="20" t="s">
        <v>23</v>
      </c>
      <c r="G355" s="20" t="s">
        <v>24</v>
      </c>
      <c r="H355" s="21">
        <f>ROUND(RAND()*4+6,1)</f>
      </c>
      <c r="I355" s="20" t="s">
        <v>25</v>
      </c>
      <c r="J355" s="23">
        <f>ROUND(92*1,0)&amp;"%"</f>
      </c>
    </row>
    <row x14ac:dyDescent="0.25" r="356" customHeight="1" ht="17.25">
      <c r="A356" s="17" t="s">
        <v>10874</v>
      </c>
      <c r="B356" s="17" t="s">
        <v>570</v>
      </c>
      <c r="C356" s="17" t="s">
        <v>56</v>
      </c>
      <c r="D356" s="17" t="s">
        <v>28</v>
      </c>
      <c r="E356" s="18">
        <f>ROUND(9615*1.05,2)</f>
      </c>
      <c r="F356" s="17" t="s">
        <v>29</v>
      </c>
      <c r="G356" s="17" t="s">
        <v>30</v>
      </c>
      <c r="H356" s="26">
        <f>ROUND(RAND()*4+6,1)</f>
      </c>
      <c r="I356" s="17" t="s">
        <v>31</v>
      </c>
      <c r="J356" s="19">
        <f>ROUND(61*1,0)&amp;"%"</f>
      </c>
    </row>
    <row x14ac:dyDescent="0.25" r="357" customHeight="1" ht="17.25">
      <c r="A357" s="20" t="s">
        <v>10875</v>
      </c>
      <c r="B357" s="20" t="s">
        <v>572</v>
      </c>
      <c r="C357" s="20" t="s">
        <v>56</v>
      </c>
      <c r="D357" s="20" t="s">
        <v>34</v>
      </c>
      <c r="E357" s="21">
        <f>ROUND(9666*1.05,2)</f>
      </c>
      <c r="F357" s="20" t="s">
        <v>35</v>
      </c>
      <c r="G357" s="20" t="s">
        <v>18</v>
      </c>
      <c r="H357" s="21">
        <f>ROUND(RAND()*4+6,1)</f>
      </c>
      <c r="I357" s="20" t="s">
        <v>36</v>
      </c>
      <c r="J357" s="23">
        <f>ROUND(94*1,0)&amp;"%"</f>
      </c>
    </row>
    <row x14ac:dyDescent="0.25" r="358" customHeight="1" ht="17.25">
      <c r="A358" s="17" t="s">
        <v>10876</v>
      </c>
      <c r="B358" s="17" t="s">
        <v>574</v>
      </c>
      <c r="C358" s="17" t="s">
        <v>56</v>
      </c>
      <c r="D358" s="17" t="s">
        <v>39</v>
      </c>
      <c r="E358" s="18">
        <f>ROUND(4881*1.05,2)</f>
      </c>
      <c r="F358" s="17" t="s">
        <v>40</v>
      </c>
      <c r="G358" s="17" t="s">
        <v>24</v>
      </c>
      <c r="H358" s="18">
        <f>ROUND(RAND()*4+6,1)</f>
      </c>
      <c r="I358" s="17" t="s">
        <v>41</v>
      </c>
      <c r="J358" s="19">
        <f>ROUND(69*1,0)&amp;"%"</f>
      </c>
    </row>
    <row x14ac:dyDescent="0.25" r="359" customHeight="1" ht="17.25">
      <c r="A359" s="20" t="s">
        <v>10877</v>
      </c>
      <c r="B359" s="20" t="s">
        <v>576</v>
      </c>
      <c r="C359" s="20" t="s">
        <v>56</v>
      </c>
      <c r="D359" s="20" t="s">
        <v>67</v>
      </c>
      <c r="E359" s="21">
        <f>ROUND(14892*1.05,2)</f>
      </c>
      <c r="F359" s="20" t="s">
        <v>44</v>
      </c>
      <c r="G359" s="20" t="s">
        <v>30</v>
      </c>
      <c r="H359" s="21">
        <f>ROUND(RAND()*4+6,1)</f>
      </c>
      <c r="I359" s="20" t="s">
        <v>45</v>
      </c>
      <c r="J359" s="23">
        <f>ROUND(79*1,0)&amp;"%"</f>
      </c>
    </row>
    <row x14ac:dyDescent="0.25" r="360" customHeight="1" ht="17.25">
      <c r="A360" s="17" t="s">
        <v>10878</v>
      </c>
      <c r="B360" s="17" t="s">
        <v>578</v>
      </c>
      <c r="C360" s="17" t="s">
        <v>56</v>
      </c>
      <c r="D360" s="17" t="s">
        <v>16</v>
      </c>
      <c r="E360" s="18">
        <f>ROUND(11337*1.05,2)</f>
      </c>
      <c r="F360" s="17" t="s">
        <v>48</v>
      </c>
      <c r="G360" s="17" t="s">
        <v>18</v>
      </c>
      <c r="H360" s="18">
        <f>ROUND(RAND()*4+6,1)</f>
      </c>
      <c r="I360" s="17" t="s">
        <v>19</v>
      </c>
      <c r="J360" s="19">
        <f>ROUND(83*1,0)&amp;"%"</f>
      </c>
    </row>
    <row x14ac:dyDescent="0.25" r="361" customHeight="1" ht="17.25">
      <c r="A361" s="20" t="s">
        <v>10879</v>
      </c>
      <c r="B361" s="20" t="s">
        <v>580</v>
      </c>
      <c r="C361" s="20" t="s">
        <v>56</v>
      </c>
      <c r="D361" s="20" t="s">
        <v>22</v>
      </c>
      <c r="E361" s="21">
        <f>ROUND(17134*1.05,2)</f>
      </c>
      <c r="F361" s="20" t="s">
        <v>51</v>
      </c>
      <c r="G361" s="20" t="s">
        <v>24</v>
      </c>
      <c r="H361" s="21">
        <f>ROUND(RAND()*4+6,1)</f>
      </c>
      <c r="I361" s="20" t="s">
        <v>25</v>
      </c>
      <c r="J361" s="23">
        <f>ROUND(76*1,0)&amp;"%"</f>
      </c>
    </row>
    <row x14ac:dyDescent="0.25" r="362" customHeight="1" ht="17.25">
      <c r="A362" s="24" t="s">
        <v>581</v>
      </c>
      <c r="B362" s="24"/>
      <c r="C362" s="24"/>
      <c r="D362" s="24"/>
      <c r="E362" s="25">
        <v>8</v>
      </c>
      <c r="F362" s="9"/>
      <c r="G362" s="9"/>
      <c r="H362" s="10"/>
      <c r="I362" s="9"/>
      <c r="J362" s="9"/>
    </row>
  </sheetData>
  <mergeCells count="62">
    <mergeCell ref="A1:J1"/>
    <mergeCell ref="A2:J2"/>
    <mergeCell ref="A4:J4"/>
    <mergeCell ref="A14:D14"/>
    <mergeCell ref="A16:J16"/>
    <mergeCell ref="A26:D26"/>
    <mergeCell ref="A28:J28"/>
    <mergeCell ref="A38:D38"/>
    <mergeCell ref="A40:J40"/>
    <mergeCell ref="A50:D50"/>
    <mergeCell ref="A52:J52"/>
    <mergeCell ref="A62:D62"/>
    <mergeCell ref="A64:J64"/>
    <mergeCell ref="A74:D74"/>
    <mergeCell ref="A76:J76"/>
    <mergeCell ref="A86:D86"/>
    <mergeCell ref="A88:J88"/>
    <mergeCell ref="A98:D98"/>
    <mergeCell ref="A100:J100"/>
    <mergeCell ref="A110:D110"/>
    <mergeCell ref="A112:J112"/>
    <mergeCell ref="A122:D122"/>
    <mergeCell ref="A124:J124"/>
    <mergeCell ref="A134:D134"/>
    <mergeCell ref="A136:J136"/>
    <mergeCell ref="A146:D146"/>
    <mergeCell ref="A148:J148"/>
    <mergeCell ref="A158:D158"/>
    <mergeCell ref="A160:J160"/>
    <mergeCell ref="A170:D170"/>
    <mergeCell ref="A172:J172"/>
    <mergeCell ref="A182:D182"/>
    <mergeCell ref="A184:J184"/>
    <mergeCell ref="A194:D194"/>
    <mergeCell ref="A196:J196"/>
    <mergeCell ref="A206:D206"/>
    <mergeCell ref="A208:J208"/>
    <mergeCell ref="A218:D218"/>
    <mergeCell ref="A220:J220"/>
    <mergeCell ref="A230:D230"/>
    <mergeCell ref="A232:J232"/>
    <mergeCell ref="A242:D242"/>
    <mergeCell ref="A244:J244"/>
    <mergeCell ref="A254:D254"/>
    <mergeCell ref="A256:J256"/>
    <mergeCell ref="A266:D266"/>
    <mergeCell ref="A268:J268"/>
    <mergeCell ref="A278:D278"/>
    <mergeCell ref="A280:J280"/>
    <mergeCell ref="A290:D290"/>
    <mergeCell ref="A292:J292"/>
    <mergeCell ref="A302:D302"/>
    <mergeCell ref="A304:J304"/>
    <mergeCell ref="A314:D314"/>
    <mergeCell ref="A316:J316"/>
    <mergeCell ref="A326:D326"/>
    <mergeCell ref="A328:J328"/>
    <mergeCell ref="A338:D338"/>
    <mergeCell ref="A340:J340"/>
    <mergeCell ref="A350:D350"/>
    <mergeCell ref="A352:J352"/>
    <mergeCell ref="A362:D362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J362"/>
  <sheetViews>
    <sheetView workbookViewId="0"/>
  </sheetViews>
  <sheetFormatPr defaultRowHeight="15" x14ac:dyDescent="0.25"/>
  <cols>
    <col min="1" max="1" style="27" width="8.005" customWidth="1" bestFit="1"/>
    <col min="2" max="2" style="27" width="22.005" customWidth="1" bestFit="1"/>
    <col min="3" max="3" style="27" width="16.005" customWidth="1" bestFit="1"/>
    <col min="4" max="4" style="27" width="14.005" customWidth="1" bestFit="1"/>
    <col min="5" max="5" style="28" width="12.005" customWidth="1" bestFit="1"/>
    <col min="6" max="6" style="29" width="16.005" customWidth="1" bestFit="1"/>
    <col min="7" max="7" style="29" width="10.005" customWidth="1" bestFit="1"/>
    <col min="8" max="8" style="30" width="10.005" customWidth="1" bestFit="1"/>
    <col min="9" max="9" style="29" width="14.005" customWidth="1" bestFit="1"/>
    <col min="10" max="10" style="29" width="8.005" customWidth="1" bestFit="1"/>
  </cols>
  <sheetData>
    <row x14ac:dyDescent="0.25" r="1" customHeight="1" ht="17.25">
      <c r="A1" s="1" t="s">
        <v>10338</v>
      </c>
      <c r="B1" s="1"/>
      <c r="C1" s="1"/>
      <c r="D1" s="1"/>
      <c r="E1" s="2"/>
      <c r="F1" s="1"/>
      <c r="G1" s="1"/>
      <c r="H1" s="3"/>
      <c r="I1" s="1"/>
      <c r="J1" s="1"/>
    </row>
    <row x14ac:dyDescent="0.25" r="2" customHeight="1" ht="17.25">
      <c r="A2" s="4" t="s">
        <v>1</v>
      </c>
      <c r="B2" s="4"/>
      <c r="C2" s="4"/>
      <c r="D2" s="4"/>
      <c r="E2" s="5"/>
      <c r="F2" s="4"/>
      <c r="G2" s="4"/>
      <c r="H2" s="6"/>
      <c r="I2" s="4"/>
      <c r="J2" s="4"/>
    </row>
    <row x14ac:dyDescent="0.25" r="3" customHeight="1" ht="17.25">
      <c r="A3" s="7"/>
      <c r="B3" s="7"/>
      <c r="C3" s="7"/>
      <c r="D3" s="7"/>
      <c r="E3" s="8"/>
      <c r="F3" s="9"/>
      <c r="G3" s="9"/>
      <c r="H3" s="10"/>
      <c r="I3" s="9"/>
      <c r="J3" s="9"/>
    </row>
    <row x14ac:dyDescent="0.25" r="4" customHeight="1" ht="17.25">
      <c r="A4" s="11" t="s">
        <v>10339</v>
      </c>
      <c r="B4" s="11"/>
      <c r="C4" s="11"/>
      <c r="D4" s="11"/>
      <c r="E4" s="12"/>
      <c r="F4" s="11"/>
      <c r="G4" s="11"/>
      <c r="H4" s="13"/>
      <c r="I4" s="11"/>
      <c r="J4" s="11"/>
    </row>
    <row x14ac:dyDescent="0.25" r="5" customHeight="1" ht="17.25">
      <c r="A5" s="14" t="s">
        <v>3</v>
      </c>
      <c r="B5" s="14" t="s">
        <v>4</v>
      </c>
      <c r="C5" s="14" t="s">
        <v>5</v>
      </c>
      <c r="D5" s="14" t="s">
        <v>6</v>
      </c>
      <c r="E5" s="15" t="s">
        <v>7</v>
      </c>
      <c r="F5" s="14" t="s">
        <v>8</v>
      </c>
      <c r="G5" s="14" t="s">
        <v>9</v>
      </c>
      <c r="H5" s="16" t="s">
        <v>10</v>
      </c>
      <c r="I5" s="14" t="s">
        <v>11</v>
      </c>
      <c r="J5" s="14" t="s">
        <v>12</v>
      </c>
    </row>
    <row x14ac:dyDescent="0.25" r="6" customHeight="1" ht="17.25">
      <c r="A6" s="17" t="s">
        <v>10340</v>
      </c>
      <c r="B6" s="17" t="s">
        <v>14</v>
      </c>
      <c r="C6" s="17" t="s">
        <v>15</v>
      </c>
      <c r="D6" s="17" t="s">
        <v>16</v>
      </c>
      <c r="E6" s="18">
        <f>ROUND(7692*1.05,2)</f>
      </c>
      <c r="F6" s="17" t="s">
        <v>17</v>
      </c>
      <c r="G6" s="17" t="s">
        <v>18</v>
      </c>
      <c r="H6" s="18">
        <f>ROUND(RAND()*4+6,1)</f>
      </c>
      <c r="I6" s="17" t="s">
        <v>19</v>
      </c>
      <c r="J6" s="19">
        <f>ROUND(99*1,0)&amp;"%"</f>
      </c>
    </row>
    <row x14ac:dyDescent="0.25" r="7" customHeight="1" ht="17.25">
      <c r="A7" s="20" t="s">
        <v>10341</v>
      </c>
      <c r="B7" s="20" t="s">
        <v>21</v>
      </c>
      <c r="C7" s="20" t="s">
        <v>15</v>
      </c>
      <c r="D7" s="20" t="s">
        <v>22</v>
      </c>
      <c r="E7" s="21">
        <f>ROUND(5341*1.05,2)</f>
      </c>
      <c r="F7" s="20" t="s">
        <v>23</v>
      </c>
      <c r="G7" s="20" t="s">
        <v>24</v>
      </c>
      <c r="H7" s="21">
        <f>ROUND(RAND()*4+6,1)</f>
      </c>
      <c r="I7" s="20" t="s">
        <v>25</v>
      </c>
      <c r="J7" s="23">
        <f>ROUND(91*1,0)&amp;"%"</f>
      </c>
    </row>
    <row x14ac:dyDescent="0.25" r="8" customHeight="1" ht="17.25">
      <c r="A8" s="17" t="s">
        <v>10342</v>
      </c>
      <c r="B8" s="17" t="s">
        <v>27</v>
      </c>
      <c r="C8" s="17" t="s">
        <v>15</v>
      </c>
      <c r="D8" s="17" t="s">
        <v>28</v>
      </c>
      <c r="E8" s="18">
        <f>ROUND(17724*1.05,2)</f>
      </c>
      <c r="F8" s="17" t="s">
        <v>29</v>
      </c>
      <c r="G8" s="17" t="s">
        <v>30</v>
      </c>
      <c r="H8" s="18">
        <f>ROUND(RAND()*4+6,1)</f>
      </c>
      <c r="I8" s="17" t="s">
        <v>31</v>
      </c>
      <c r="J8" s="19">
        <f>ROUND(65*1,0)&amp;"%"</f>
      </c>
    </row>
    <row x14ac:dyDescent="0.25" r="9" customHeight="1" ht="17.25">
      <c r="A9" s="20" t="s">
        <v>10343</v>
      </c>
      <c r="B9" s="20" t="s">
        <v>33</v>
      </c>
      <c r="C9" s="20" t="s">
        <v>15</v>
      </c>
      <c r="D9" s="20" t="s">
        <v>34</v>
      </c>
      <c r="E9" s="21">
        <f>ROUND(17601*1.05,2)</f>
      </c>
      <c r="F9" s="20" t="s">
        <v>35</v>
      </c>
      <c r="G9" s="20" t="s">
        <v>18</v>
      </c>
      <c r="H9" s="21">
        <f>ROUND(RAND()*4+6,1)</f>
      </c>
      <c r="I9" s="20" t="s">
        <v>36</v>
      </c>
      <c r="J9" s="23">
        <f>ROUND(84*1,0)&amp;"%"</f>
      </c>
    </row>
    <row x14ac:dyDescent="0.25" r="10" customHeight="1" ht="17.25">
      <c r="A10" s="17" t="s">
        <v>10344</v>
      </c>
      <c r="B10" s="17" t="s">
        <v>38</v>
      </c>
      <c r="C10" s="17" t="s">
        <v>15</v>
      </c>
      <c r="D10" s="17" t="s">
        <v>39</v>
      </c>
      <c r="E10" s="18">
        <f>ROUND(10375*1.05,2)</f>
      </c>
      <c r="F10" s="17" t="s">
        <v>40</v>
      </c>
      <c r="G10" s="17" t="s">
        <v>24</v>
      </c>
      <c r="H10" s="18">
        <f>ROUND(RAND()*4+6,1)</f>
      </c>
      <c r="I10" s="17" t="s">
        <v>41</v>
      </c>
      <c r="J10" s="19">
        <f>ROUND(86*1,0)&amp;"%"</f>
      </c>
    </row>
    <row x14ac:dyDescent="0.25" r="11" customHeight="1" ht="17.25">
      <c r="A11" s="20" t="s">
        <v>10345</v>
      </c>
      <c r="B11" s="20" t="s">
        <v>43</v>
      </c>
      <c r="C11" s="20" t="s">
        <v>15</v>
      </c>
      <c r="D11" s="20" t="s">
        <v>67</v>
      </c>
      <c r="E11" s="21">
        <f>ROUND(13272*1.05,2)</f>
      </c>
      <c r="F11" s="20" t="s">
        <v>44</v>
      </c>
      <c r="G11" s="20" t="s">
        <v>30</v>
      </c>
      <c r="H11" s="21">
        <f>ROUND(RAND()*4+6,1)</f>
      </c>
      <c r="I11" s="20" t="s">
        <v>45</v>
      </c>
      <c r="J11" s="23">
        <f>ROUND(64*1,0)&amp;"%"</f>
      </c>
    </row>
    <row x14ac:dyDescent="0.25" r="12" customHeight="1" ht="17.25">
      <c r="A12" s="17" t="s">
        <v>10346</v>
      </c>
      <c r="B12" s="17" t="s">
        <v>47</v>
      </c>
      <c r="C12" s="17" t="s">
        <v>15</v>
      </c>
      <c r="D12" s="17" t="s">
        <v>16</v>
      </c>
      <c r="E12" s="18">
        <f>ROUND(6872*1.05,2)</f>
      </c>
      <c r="F12" s="17" t="s">
        <v>48</v>
      </c>
      <c r="G12" s="17" t="s">
        <v>18</v>
      </c>
      <c r="H12" s="18">
        <f>ROUND(RAND()*4+6,1)</f>
      </c>
      <c r="I12" s="17" t="s">
        <v>19</v>
      </c>
      <c r="J12" s="19">
        <f>ROUND(75*1,0)&amp;"%"</f>
      </c>
    </row>
    <row x14ac:dyDescent="0.25" r="13" customHeight="1" ht="17.25">
      <c r="A13" s="20" t="s">
        <v>10347</v>
      </c>
      <c r="B13" s="20" t="s">
        <v>50</v>
      </c>
      <c r="C13" s="20" t="s">
        <v>15</v>
      </c>
      <c r="D13" s="20" t="s">
        <v>22</v>
      </c>
      <c r="E13" s="21">
        <f>ROUND(14304*1.05,2)</f>
      </c>
      <c r="F13" s="20" t="s">
        <v>51</v>
      </c>
      <c r="G13" s="20" t="s">
        <v>24</v>
      </c>
      <c r="H13" s="21">
        <f>ROUND(RAND()*4+6,1)</f>
      </c>
      <c r="I13" s="20" t="s">
        <v>25</v>
      </c>
      <c r="J13" s="23">
        <f>ROUND(90*1,0)&amp;"%"</f>
      </c>
    </row>
    <row x14ac:dyDescent="0.25" r="14" customHeight="1" ht="17.25">
      <c r="A14" s="24" t="s">
        <v>52</v>
      </c>
      <c r="B14" s="24"/>
      <c r="C14" s="24"/>
      <c r="D14" s="24"/>
      <c r="E14" s="25">
        <v>8</v>
      </c>
      <c r="F14" s="9"/>
      <c r="G14" s="9"/>
      <c r="H14" s="10"/>
      <c r="I14" s="9"/>
      <c r="J14" s="9"/>
    </row>
    <row x14ac:dyDescent="0.25" r="15" customHeight="1" ht="17.25">
      <c r="A15" s="7"/>
      <c r="B15" s="7"/>
      <c r="C15" s="7"/>
      <c r="D15" s="7"/>
      <c r="E15" s="8"/>
      <c r="F15" s="9"/>
      <c r="G15" s="9"/>
      <c r="H15" s="10"/>
      <c r="I15" s="9"/>
      <c r="J15" s="9"/>
    </row>
    <row x14ac:dyDescent="0.25" r="16" customHeight="1" ht="17.25">
      <c r="A16" s="11" t="s">
        <v>10348</v>
      </c>
      <c r="B16" s="11"/>
      <c r="C16" s="11"/>
      <c r="D16" s="11"/>
      <c r="E16" s="12"/>
      <c r="F16" s="11"/>
      <c r="G16" s="11"/>
      <c r="H16" s="13"/>
      <c r="I16" s="11"/>
      <c r="J16" s="11"/>
    </row>
    <row x14ac:dyDescent="0.25" r="17" customHeight="1" ht="17.25">
      <c r="A17" s="14" t="s">
        <v>3</v>
      </c>
      <c r="B17" s="14" t="s">
        <v>4</v>
      </c>
      <c r="C17" s="14" t="s">
        <v>5</v>
      </c>
      <c r="D17" s="14" t="s">
        <v>6</v>
      </c>
      <c r="E17" s="15" t="s">
        <v>7</v>
      </c>
      <c r="F17" s="14" t="s">
        <v>8</v>
      </c>
      <c r="G17" s="14" t="s">
        <v>9</v>
      </c>
      <c r="H17" s="16" t="s">
        <v>10</v>
      </c>
      <c r="I17" s="14" t="s">
        <v>11</v>
      </c>
      <c r="J17" s="14" t="s">
        <v>12</v>
      </c>
    </row>
    <row x14ac:dyDescent="0.25" r="18" customHeight="1" ht="17.25">
      <c r="A18" s="17" t="s">
        <v>10349</v>
      </c>
      <c r="B18" s="17" t="s">
        <v>55</v>
      </c>
      <c r="C18" s="17" t="s">
        <v>56</v>
      </c>
      <c r="D18" s="17" t="s">
        <v>16</v>
      </c>
      <c r="E18" s="18">
        <f>ROUND(9237*1.05,2)</f>
      </c>
      <c r="F18" s="17" t="s">
        <v>17</v>
      </c>
      <c r="G18" s="17" t="s">
        <v>18</v>
      </c>
      <c r="H18" s="26">
        <f>ROUND(RAND()*4+6,1)</f>
      </c>
      <c r="I18" s="17" t="s">
        <v>19</v>
      </c>
      <c r="J18" s="19">
        <f>ROUND(91*1,0)&amp;"%"</f>
      </c>
    </row>
    <row x14ac:dyDescent="0.25" r="19" customHeight="1" ht="17.25">
      <c r="A19" s="20" t="s">
        <v>10350</v>
      </c>
      <c r="B19" s="20" t="s">
        <v>58</v>
      </c>
      <c r="C19" s="20" t="s">
        <v>56</v>
      </c>
      <c r="D19" s="20" t="s">
        <v>22</v>
      </c>
      <c r="E19" s="21">
        <f>ROUND(4572*1.05,2)</f>
      </c>
      <c r="F19" s="20" t="s">
        <v>23</v>
      </c>
      <c r="G19" s="20" t="s">
        <v>24</v>
      </c>
      <c r="H19" s="21">
        <f>ROUND(RAND()*4+6,1)</f>
      </c>
      <c r="I19" s="20" t="s">
        <v>25</v>
      </c>
      <c r="J19" s="23">
        <f>ROUND(93*1,0)&amp;"%"</f>
      </c>
    </row>
    <row x14ac:dyDescent="0.25" r="20" customHeight="1" ht="17.25">
      <c r="A20" s="17" t="s">
        <v>10351</v>
      </c>
      <c r="B20" s="17" t="s">
        <v>60</v>
      </c>
      <c r="C20" s="17" t="s">
        <v>56</v>
      </c>
      <c r="D20" s="17" t="s">
        <v>28</v>
      </c>
      <c r="E20" s="18">
        <f>ROUND(15292*1.05,2)</f>
      </c>
      <c r="F20" s="17" t="s">
        <v>29</v>
      </c>
      <c r="G20" s="17" t="s">
        <v>30</v>
      </c>
      <c r="H20" s="26">
        <f>ROUND(RAND()*4+6,1)</f>
      </c>
      <c r="I20" s="17" t="s">
        <v>31</v>
      </c>
      <c r="J20" s="19">
        <f>ROUND(98*1,0)&amp;"%"</f>
      </c>
    </row>
    <row x14ac:dyDescent="0.25" r="21" customHeight="1" ht="17.25">
      <c r="A21" s="20" t="s">
        <v>10352</v>
      </c>
      <c r="B21" s="20" t="s">
        <v>62</v>
      </c>
      <c r="C21" s="20" t="s">
        <v>56</v>
      </c>
      <c r="D21" s="20" t="s">
        <v>34</v>
      </c>
      <c r="E21" s="21">
        <f>ROUND(6925*1.05,2)</f>
      </c>
      <c r="F21" s="20" t="s">
        <v>35</v>
      </c>
      <c r="G21" s="20" t="s">
        <v>18</v>
      </c>
      <c r="H21" s="21">
        <f>ROUND(RAND()*4+6,1)</f>
      </c>
      <c r="I21" s="20" t="s">
        <v>36</v>
      </c>
      <c r="J21" s="23">
        <f>ROUND(97*1,0)&amp;"%"</f>
      </c>
    </row>
    <row x14ac:dyDescent="0.25" r="22" customHeight="1" ht="17.25">
      <c r="A22" s="17" t="s">
        <v>10353</v>
      </c>
      <c r="B22" s="17" t="s">
        <v>64</v>
      </c>
      <c r="C22" s="17" t="s">
        <v>56</v>
      </c>
      <c r="D22" s="17" t="s">
        <v>39</v>
      </c>
      <c r="E22" s="18">
        <f>ROUND(7231*1.05,2)</f>
      </c>
      <c r="F22" s="17" t="s">
        <v>40</v>
      </c>
      <c r="G22" s="17" t="s">
        <v>24</v>
      </c>
      <c r="H22" s="18">
        <f>ROUND(RAND()*4+6,1)</f>
      </c>
      <c r="I22" s="17" t="s">
        <v>41</v>
      </c>
      <c r="J22" s="19">
        <f>ROUND(90*1,0)&amp;"%"</f>
      </c>
    </row>
    <row x14ac:dyDescent="0.25" r="23" customHeight="1" ht="17.25">
      <c r="A23" s="20" t="s">
        <v>10354</v>
      </c>
      <c r="B23" s="20" t="s">
        <v>66</v>
      </c>
      <c r="C23" s="20" t="s">
        <v>56</v>
      </c>
      <c r="D23" s="20" t="s">
        <v>67</v>
      </c>
      <c r="E23" s="21">
        <f>ROUND(7736*1.05,2)</f>
      </c>
      <c r="F23" s="20" t="s">
        <v>44</v>
      </c>
      <c r="G23" s="20" t="s">
        <v>30</v>
      </c>
      <c r="H23" s="21">
        <f>ROUND(RAND()*4+6,1)</f>
      </c>
      <c r="I23" s="20" t="s">
        <v>45</v>
      </c>
      <c r="J23" s="23">
        <f>ROUND(62*1,0)&amp;"%"</f>
      </c>
    </row>
    <row x14ac:dyDescent="0.25" r="24" customHeight="1" ht="17.25">
      <c r="A24" s="17" t="s">
        <v>10355</v>
      </c>
      <c r="B24" s="17" t="s">
        <v>69</v>
      </c>
      <c r="C24" s="17" t="s">
        <v>56</v>
      </c>
      <c r="D24" s="17" t="s">
        <v>16</v>
      </c>
      <c r="E24" s="18">
        <f>ROUND(5447*1.05,2)</f>
      </c>
      <c r="F24" s="17" t="s">
        <v>48</v>
      </c>
      <c r="G24" s="17" t="s">
        <v>18</v>
      </c>
      <c r="H24" s="26">
        <f>ROUND(RAND()*4+6,1)</f>
      </c>
      <c r="I24" s="17" t="s">
        <v>19</v>
      </c>
      <c r="J24" s="19">
        <f>ROUND(74*1,0)&amp;"%"</f>
      </c>
    </row>
    <row x14ac:dyDescent="0.25" r="25" customHeight="1" ht="17.25">
      <c r="A25" s="20" t="s">
        <v>10356</v>
      </c>
      <c r="B25" s="20" t="s">
        <v>71</v>
      </c>
      <c r="C25" s="20" t="s">
        <v>56</v>
      </c>
      <c r="D25" s="20" t="s">
        <v>22</v>
      </c>
      <c r="E25" s="21">
        <f>ROUND(14288*1.05,2)</f>
      </c>
      <c r="F25" s="20" t="s">
        <v>51</v>
      </c>
      <c r="G25" s="20" t="s">
        <v>24</v>
      </c>
      <c r="H25" s="21">
        <f>ROUND(RAND()*4+6,1)</f>
      </c>
      <c r="I25" s="20" t="s">
        <v>25</v>
      </c>
      <c r="J25" s="23">
        <f>ROUND(95*1,0)&amp;"%"</f>
      </c>
    </row>
    <row x14ac:dyDescent="0.25" r="26" customHeight="1" ht="17.25">
      <c r="A26" s="24" t="s">
        <v>72</v>
      </c>
      <c r="B26" s="24"/>
      <c r="C26" s="24"/>
      <c r="D26" s="24"/>
      <c r="E26" s="25">
        <v>8</v>
      </c>
      <c r="F26" s="9"/>
      <c r="G26" s="9"/>
      <c r="H26" s="10"/>
      <c r="I26" s="9"/>
      <c r="J26" s="9"/>
    </row>
    <row x14ac:dyDescent="0.25" r="27" customHeight="1" ht="17.25">
      <c r="A27" s="7"/>
      <c r="B27" s="7"/>
      <c r="C27" s="7"/>
      <c r="D27" s="7"/>
      <c r="E27" s="8"/>
      <c r="F27" s="9"/>
      <c r="G27" s="9"/>
      <c r="H27" s="10"/>
      <c r="I27" s="9"/>
      <c r="J27" s="9"/>
    </row>
    <row x14ac:dyDescent="0.25" r="28" customHeight="1" ht="17.25">
      <c r="A28" s="11" t="s">
        <v>10357</v>
      </c>
      <c r="B28" s="11"/>
      <c r="C28" s="11"/>
      <c r="D28" s="11"/>
      <c r="E28" s="12"/>
      <c r="F28" s="11"/>
      <c r="G28" s="11"/>
      <c r="H28" s="13"/>
      <c r="I28" s="11"/>
      <c r="J28" s="11"/>
    </row>
    <row x14ac:dyDescent="0.25" r="29" customHeight="1" ht="17.25">
      <c r="A29" s="14" t="s">
        <v>3</v>
      </c>
      <c r="B29" s="14" t="s">
        <v>4</v>
      </c>
      <c r="C29" s="14" t="s">
        <v>5</v>
      </c>
      <c r="D29" s="14" t="s">
        <v>6</v>
      </c>
      <c r="E29" s="15" t="s">
        <v>7</v>
      </c>
      <c r="F29" s="14" t="s">
        <v>8</v>
      </c>
      <c r="G29" s="14" t="s">
        <v>9</v>
      </c>
      <c r="H29" s="16" t="s">
        <v>10</v>
      </c>
      <c r="I29" s="14" t="s">
        <v>11</v>
      </c>
      <c r="J29" s="14" t="s">
        <v>12</v>
      </c>
    </row>
    <row x14ac:dyDescent="0.25" r="30" customHeight="1" ht="17.25">
      <c r="A30" s="17" t="s">
        <v>10358</v>
      </c>
      <c r="B30" s="17" t="s">
        <v>75</v>
      </c>
      <c r="C30" s="17" t="s">
        <v>76</v>
      </c>
      <c r="D30" s="17" t="s">
        <v>16</v>
      </c>
      <c r="E30" s="18">
        <f>ROUND(10041*1.05,2)</f>
      </c>
      <c r="F30" s="17" t="s">
        <v>17</v>
      </c>
      <c r="G30" s="17" t="s">
        <v>18</v>
      </c>
      <c r="H30" s="18">
        <f>ROUND(RAND()*4+6,1)</f>
      </c>
      <c r="I30" s="17" t="s">
        <v>19</v>
      </c>
      <c r="J30" s="19">
        <f>ROUND(76*1,0)&amp;"%"</f>
      </c>
    </row>
    <row x14ac:dyDescent="0.25" r="31" customHeight="1" ht="17.25">
      <c r="A31" s="20" t="s">
        <v>10359</v>
      </c>
      <c r="B31" s="20" t="s">
        <v>78</v>
      </c>
      <c r="C31" s="20" t="s">
        <v>76</v>
      </c>
      <c r="D31" s="20" t="s">
        <v>22</v>
      </c>
      <c r="E31" s="21">
        <f>ROUND(6235*1.05,2)</f>
      </c>
      <c r="F31" s="20" t="s">
        <v>23</v>
      </c>
      <c r="G31" s="20" t="s">
        <v>24</v>
      </c>
      <c r="H31" s="21">
        <f>ROUND(RAND()*4+6,1)</f>
      </c>
      <c r="I31" s="20" t="s">
        <v>25</v>
      </c>
      <c r="J31" s="23">
        <f>ROUND(85*1,0)&amp;"%"</f>
      </c>
    </row>
    <row x14ac:dyDescent="0.25" r="32" customHeight="1" ht="17.25">
      <c r="A32" s="17" t="s">
        <v>10360</v>
      </c>
      <c r="B32" s="17" t="s">
        <v>80</v>
      </c>
      <c r="C32" s="17" t="s">
        <v>76</v>
      </c>
      <c r="D32" s="17" t="s">
        <v>28</v>
      </c>
      <c r="E32" s="18">
        <f>ROUND(17953*1.05,2)</f>
      </c>
      <c r="F32" s="17" t="s">
        <v>29</v>
      </c>
      <c r="G32" s="17" t="s">
        <v>30</v>
      </c>
      <c r="H32" s="18">
        <f>ROUND(RAND()*4+6,1)</f>
      </c>
      <c r="I32" s="17" t="s">
        <v>31</v>
      </c>
      <c r="J32" s="19">
        <f>ROUND(91*1,0)&amp;"%"</f>
      </c>
    </row>
    <row x14ac:dyDescent="0.25" r="33" customHeight="1" ht="17.25">
      <c r="A33" s="20" t="s">
        <v>10361</v>
      </c>
      <c r="B33" s="20" t="s">
        <v>82</v>
      </c>
      <c r="C33" s="20" t="s">
        <v>76</v>
      </c>
      <c r="D33" s="20" t="s">
        <v>34</v>
      </c>
      <c r="E33" s="21">
        <f>ROUND(7816*1.05,2)</f>
      </c>
      <c r="F33" s="20" t="s">
        <v>35</v>
      </c>
      <c r="G33" s="20" t="s">
        <v>18</v>
      </c>
      <c r="H33" s="21">
        <f>ROUND(RAND()*4+6,1)</f>
      </c>
      <c r="I33" s="20" t="s">
        <v>36</v>
      </c>
      <c r="J33" s="23">
        <f>ROUND(99*1,0)&amp;"%"</f>
      </c>
    </row>
    <row x14ac:dyDescent="0.25" r="34" customHeight="1" ht="17.25">
      <c r="A34" s="17" t="s">
        <v>10362</v>
      </c>
      <c r="B34" s="17" t="s">
        <v>84</v>
      </c>
      <c r="C34" s="17" t="s">
        <v>76</v>
      </c>
      <c r="D34" s="17" t="s">
        <v>39</v>
      </c>
      <c r="E34" s="18">
        <f>ROUND(9493*1.05,2)</f>
      </c>
      <c r="F34" s="17" t="s">
        <v>40</v>
      </c>
      <c r="G34" s="17" t="s">
        <v>24</v>
      </c>
      <c r="H34" s="18">
        <f>ROUND(RAND()*4+6,1)</f>
      </c>
      <c r="I34" s="17" t="s">
        <v>41</v>
      </c>
      <c r="J34" s="19">
        <f>ROUND(93*1,0)&amp;"%"</f>
      </c>
    </row>
    <row x14ac:dyDescent="0.25" r="35" customHeight="1" ht="17.25">
      <c r="A35" s="20" t="s">
        <v>10363</v>
      </c>
      <c r="B35" s="20" t="s">
        <v>86</v>
      </c>
      <c r="C35" s="20" t="s">
        <v>76</v>
      </c>
      <c r="D35" s="20" t="s">
        <v>67</v>
      </c>
      <c r="E35" s="21">
        <f>ROUND(11167*1.05,2)</f>
      </c>
      <c r="F35" s="20" t="s">
        <v>44</v>
      </c>
      <c r="G35" s="20" t="s">
        <v>30</v>
      </c>
      <c r="H35" s="21">
        <f>ROUND(RAND()*4+6,1)</f>
      </c>
      <c r="I35" s="20" t="s">
        <v>45</v>
      </c>
      <c r="J35" s="23">
        <f>ROUND(89*1,0)&amp;"%"</f>
      </c>
    </row>
    <row x14ac:dyDescent="0.25" r="36" customHeight="1" ht="17.25">
      <c r="A36" s="17" t="s">
        <v>10364</v>
      </c>
      <c r="B36" s="17" t="s">
        <v>88</v>
      </c>
      <c r="C36" s="17" t="s">
        <v>76</v>
      </c>
      <c r="D36" s="17" t="s">
        <v>16</v>
      </c>
      <c r="E36" s="18">
        <f>ROUND(13758*1.05,2)</f>
      </c>
      <c r="F36" s="17" t="s">
        <v>48</v>
      </c>
      <c r="G36" s="17" t="s">
        <v>18</v>
      </c>
      <c r="H36" s="18">
        <f>ROUND(RAND()*4+6,1)</f>
      </c>
      <c r="I36" s="17" t="s">
        <v>19</v>
      </c>
      <c r="J36" s="19">
        <f>ROUND(60*1,0)&amp;"%"</f>
      </c>
    </row>
    <row x14ac:dyDescent="0.25" r="37" customHeight="1" ht="17.25">
      <c r="A37" s="20" t="s">
        <v>10365</v>
      </c>
      <c r="B37" s="20" t="s">
        <v>90</v>
      </c>
      <c r="C37" s="20" t="s">
        <v>76</v>
      </c>
      <c r="D37" s="20" t="s">
        <v>22</v>
      </c>
      <c r="E37" s="21">
        <f>ROUND(11647*1.05,2)</f>
      </c>
      <c r="F37" s="20" t="s">
        <v>51</v>
      </c>
      <c r="G37" s="20" t="s">
        <v>24</v>
      </c>
      <c r="H37" s="21">
        <f>ROUND(RAND()*4+6,1)</f>
      </c>
      <c r="I37" s="20" t="s">
        <v>25</v>
      </c>
      <c r="J37" s="23">
        <f>ROUND(81*1,0)&amp;"%"</f>
      </c>
    </row>
    <row x14ac:dyDescent="0.25" r="38" customHeight="1" ht="17.25">
      <c r="A38" s="24" t="s">
        <v>91</v>
      </c>
      <c r="B38" s="24"/>
      <c r="C38" s="24"/>
      <c r="D38" s="24"/>
      <c r="E38" s="25">
        <v>8</v>
      </c>
      <c r="F38" s="9"/>
      <c r="G38" s="9"/>
      <c r="H38" s="10"/>
      <c r="I38" s="9"/>
      <c r="J38" s="9"/>
    </row>
    <row x14ac:dyDescent="0.25" r="39" customHeight="1" ht="17.25">
      <c r="A39" s="7"/>
      <c r="B39" s="7"/>
      <c r="C39" s="7"/>
      <c r="D39" s="7"/>
      <c r="E39" s="8"/>
      <c r="F39" s="9"/>
      <c r="G39" s="9"/>
      <c r="H39" s="10"/>
      <c r="I39" s="9"/>
      <c r="J39" s="9"/>
    </row>
    <row x14ac:dyDescent="0.25" r="40" customHeight="1" ht="17.25">
      <c r="A40" s="11" t="s">
        <v>10366</v>
      </c>
      <c r="B40" s="11"/>
      <c r="C40" s="11"/>
      <c r="D40" s="11"/>
      <c r="E40" s="12"/>
      <c r="F40" s="11"/>
      <c r="G40" s="11"/>
      <c r="H40" s="13"/>
      <c r="I40" s="11"/>
      <c r="J40" s="11"/>
    </row>
    <row x14ac:dyDescent="0.25" r="41" customHeight="1" ht="17.25">
      <c r="A41" s="14" t="s">
        <v>3</v>
      </c>
      <c r="B41" s="14" t="s">
        <v>4</v>
      </c>
      <c r="C41" s="14" t="s">
        <v>5</v>
      </c>
      <c r="D41" s="14" t="s">
        <v>6</v>
      </c>
      <c r="E41" s="15" t="s">
        <v>7</v>
      </c>
      <c r="F41" s="14" t="s">
        <v>8</v>
      </c>
      <c r="G41" s="14" t="s">
        <v>9</v>
      </c>
      <c r="H41" s="16" t="s">
        <v>10</v>
      </c>
      <c r="I41" s="14" t="s">
        <v>11</v>
      </c>
      <c r="J41" s="14" t="s">
        <v>12</v>
      </c>
    </row>
    <row x14ac:dyDescent="0.25" r="42" customHeight="1" ht="17.25">
      <c r="A42" s="17" t="s">
        <v>10367</v>
      </c>
      <c r="B42" s="17" t="s">
        <v>94</v>
      </c>
      <c r="C42" s="17" t="s">
        <v>95</v>
      </c>
      <c r="D42" s="17" t="s">
        <v>16</v>
      </c>
      <c r="E42" s="18">
        <f>ROUND(5625*1.05,2)</f>
      </c>
      <c r="F42" s="17" t="s">
        <v>17</v>
      </c>
      <c r="G42" s="17" t="s">
        <v>18</v>
      </c>
      <c r="H42" s="18">
        <f>ROUND(RAND()*4+6,1)</f>
      </c>
      <c r="I42" s="17" t="s">
        <v>19</v>
      </c>
      <c r="J42" s="19">
        <f>ROUND(100*1,0)&amp;"%"</f>
      </c>
    </row>
    <row x14ac:dyDescent="0.25" r="43" customHeight="1" ht="17.25">
      <c r="A43" s="20" t="s">
        <v>10368</v>
      </c>
      <c r="B43" s="20" t="s">
        <v>97</v>
      </c>
      <c r="C43" s="20" t="s">
        <v>95</v>
      </c>
      <c r="D43" s="20" t="s">
        <v>22</v>
      </c>
      <c r="E43" s="21">
        <f>ROUND(4828*1.05,2)</f>
      </c>
      <c r="F43" s="20" t="s">
        <v>23</v>
      </c>
      <c r="G43" s="20" t="s">
        <v>24</v>
      </c>
      <c r="H43" s="21">
        <f>ROUND(RAND()*4+6,1)</f>
      </c>
      <c r="I43" s="20" t="s">
        <v>25</v>
      </c>
      <c r="J43" s="23">
        <f>ROUND(91*1,0)&amp;"%"</f>
      </c>
    </row>
    <row x14ac:dyDescent="0.25" r="44" customHeight="1" ht="17.25">
      <c r="A44" s="17" t="s">
        <v>10369</v>
      </c>
      <c r="B44" s="17" t="s">
        <v>99</v>
      </c>
      <c r="C44" s="17" t="s">
        <v>95</v>
      </c>
      <c r="D44" s="17" t="s">
        <v>28</v>
      </c>
      <c r="E44" s="18">
        <f>ROUND(4099*1.05,2)</f>
      </c>
      <c r="F44" s="17" t="s">
        <v>29</v>
      </c>
      <c r="G44" s="17" t="s">
        <v>30</v>
      </c>
      <c r="H44" s="18">
        <f>ROUND(RAND()*4+6,1)</f>
      </c>
      <c r="I44" s="17" t="s">
        <v>31</v>
      </c>
      <c r="J44" s="19">
        <f>ROUND(96*1,0)&amp;"%"</f>
      </c>
    </row>
    <row x14ac:dyDescent="0.25" r="45" customHeight="1" ht="17.25">
      <c r="A45" s="20" t="s">
        <v>10370</v>
      </c>
      <c r="B45" s="20" t="s">
        <v>101</v>
      </c>
      <c r="C45" s="20" t="s">
        <v>95</v>
      </c>
      <c r="D45" s="20" t="s">
        <v>34</v>
      </c>
      <c r="E45" s="21">
        <f>ROUND(17598*1.05,2)</f>
      </c>
      <c r="F45" s="20" t="s">
        <v>35</v>
      </c>
      <c r="G45" s="20" t="s">
        <v>18</v>
      </c>
      <c r="H45" s="21">
        <f>ROUND(RAND()*4+6,1)</f>
      </c>
      <c r="I45" s="20" t="s">
        <v>36</v>
      </c>
      <c r="J45" s="23">
        <f>ROUND(66*1,0)&amp;"%"</f>
      </c>
    </row>
    <row x14ac:dyDescent="0.25" r="46" customHeight="1" ht="17.25">
      <c r="A46" s="17" t="s">
        <v>10371</v>
      </c>
      <c r="B46" s="17" t="s">
        <v>103</v>
      </c>
      <c r="C46" s="17" t="s">
        <v>95</v>
      </c>
      <c r="D46" s="17" t="s">
        <v>39</v>
      </c>
      <c r="E46" s="18">
        <f>ROUND(7783*1.05,2)</f>
      </c>
      <c r="F46" s="17" t="s">
        <v>40</v>
      </c>
      <c r="G46" s="17" t="s">
        <v>24</v>
      </c>
      <c r="H46" s="18">
        <f>ROUND(RAND()*4+6,1)</f>
      </c>
      <c r="I46" s="17" t="s">
        <v>41</v>
      </c>
      <c r="J46" s="19">
        <f>ROUND(79*1,0)&amp;"%"</f>
      </c>
    </row>
    <row x14ac:dyDescent="0.25" r="47" customHeight="1" ht="17.25">
      <c r="A47" s="20" t="s">
        <v>10372</v>
      </c>
      <c r="B47" s="20" t="s">
        <v>105</v>
      </c>
      <c r="C47" s="20" t="s">
        <v>95</v>
      </c>
      <c r="D47" s="20" t="s">
        <v>67</v>
      </c>
      <c r="E47" s="21">
        <f>ROUND(6924*1.05,2)</f>
      </c>
      <c r="F47" s="20" t="s">
        <v>44</v>
      </c>
      <c r="G47" s="20" t="s">
        <v>30</v>
      </c>
      <c r="H47" s="21">
        <f>ROUND(RAND()*4+6,1)</f>
      </c>
      <c r="I47" s="20" t="s">
        <v>45</v>
      </c>
      <c r="J47" s="23">
        <f>ROUND(80*1,0)&amp;"%"</f>
      </c>
    </row>
    <row x14ac:dyDescent="0.25" r="48" customHeight="1" ht="17.25">
      <c r="A48" s="17" t="s">
        <v>10373</v>
      </c>
      <c r="B48" s="17" t="s">
        <v>107</v>
      </c>
      <c r="C48" s="17" t="s">
        <v>95</v>
      </c>
      <c r="D48" s="17" t="s">
        <v>16</v>
      </c>
      <c r="E48" s="18">
        <f>ROUND(15911*1.05,2)</f>
      </c>
      <c r="F48" s="17" t="s">
        <v>48</v>
      </c>
      <c r="G48" s="17" t="s">
        <v>18</v>
      </c>
      <c r="H48" s="18">
        <f>ROUND(RAND()*4+6,1)</f>
      </c>
      <c r="I48" s="17" t="s">
        <v>19</v>
      </c>
      <c r="J48" s="19">
        <f>ROUND(86*1,0)&amp;"%"</f>
      </c>
    </row>
    <row x14ac:dyDescent="0.25" r="49" customHeight="1" ht="17.25">
      <c r="A49" s="20" t="s">
        <v>10374</v>
      </c>
      <c r="B49" s="20" t="s">
        <v>109</v>
      </c>
      <c r="C49" s="20" t="s">
        <v>95</v>
      </c>
      <c r="D49" s="20" t="s">
        <v>22</v>
      </c>
      <c r="E49" s="21">
        <f>ROUND(6173*1.05,2)</f>
      </c>
      <c r="F49" s="20" t="s">
        <v>51</v>
      </c>
      <c r="G49" s="20" t="s">
        <v>24</v>
      </c>
      <c r="H49" s="21">
        <f>ROUND(RAND()*4+6,1)</f>
      </c>
      <c r="I49" s="20" t="s">
        <v>25</v>
      </c>
      <c r="J49" s="23">
        <f>ROUND(71*1,0)&amp;"%"</f>
      </c>
    </row>
    <row x14ac:dyDescent="0.25" r="50" customHeight="1" ht="17.25">
      <c r="A50" s="24" t="s">
        <v>110</v>
      </c>
      <c r="B50" s="24"/>
      <c r="C50" s="24"/>
      <c r="D50" s="24"/>
      <c r="E50" s="25">
        <v>8</v>
      </c>
      <c r="F50" s="9"/>
      <c r="G50" s="9"/>
      <c r="H50" s="10"/>
      <c r="I50" s="9"/>
      <c r="J50" s="9"/>
    </row>
    <row x14ac:dyDescent="0.25" r="51" customHeight="1" ht="17.25">
      <c r="A51" s="7"/>
      <c r="B51" s="7"/>
      <c r="C51" s="7"/>
      <c r="D51" s="7"/>
      <c r="E51" s="8"/>
      <c r="F51" s="9"/>
      <c r="G51" s="9"/>
      <c r="H51" s="10"/>
      <c r="I51" s="9"/>
      <c r="J51" s="9"/>
    </row>
    <row x14ac:dyDescent="0.25" r="52" customHeight="1" ht="17.25">
      <c r="A52" s="11" t="s">
        <v>10375</v>
      </c>
      <c r="B52" s="11"/>
      <c r="C52" s="11"/>
      <c r="D52" s="11"/>
      <c r="E52" s="12"/>
      <c r="F52" s="11"/>
      <c r="G52" s="11"/>
      <c r="H52" s="13"/>
      <c r="I52" s="11"/>
      <c r="J52" s="11"/>
    </row>
    <row x14ac:dyDescent="0.25" r="53" customHeight="1" ht="17.25">
      <c r="A53" s="14" t="s">
        <v>3</v>
      </c>
      <c r="B53" s="14" t="s">
        <v>4</v>
      </c>
      <c r="C53" s="14" t="s">
        <v>5</v>
      </c>
      <c r="D53" s="14" t="s">
        <v>6</v>
      </c>
      <c r="E53" s="15" t="s">
        <v>7</v>
      </c>
      <c r="F53" s="14" t="s">
        <v>8</v>
      </c>
      <c r="G53" s="14" t="s">
        <v>9</v>
      </c>
      <c r="H53" s="16" t="s">
        <v>10</v>
      </c>
      <c r="I53" s="14" t="s">
        <v>11</v>
      </c>
      <c r="J53" s="14" t="s">
        <v>12</v>
      </c>
    </row>
    <row x14ac:dyDescent="0.25" r="54" customHeight="1" ht="17.25">
      <c r="A54" s="17" t="s">
        <v>10376</v>
      </c>
      <c r="B54" s="17" t="s">
        <v>113</v>
      </c>
      <c r="C54" s="17" t="s">
        <v>114</v>
      </c>
      <c r="D54" s="17" t="s">
        <v>16</v>
      </c>
      <c r="E54" s="18">
        <f>ROUND(9608*1.05,2)</f>
      </c>
      <c r="F54" s="17" t="s">
        <v>17</v>
      </c>
      <c r="G54" s="17" t="s">
        <v>18</v>
      </c>
      <c r="H54" s="18">
        <f>ROUND(RAND()*4+6,1)</f>
      </c>
      <c r="I54" s="17" t="s">
        <v>19</v>
      </c>
      <c r="J54" s="19">
        <f>ROUND(97*1,0)&amp;"%"</f>
      </c>
    </row>
    <row x14ac:dyDescent="0.25" r="55" customHeight="1" ht="17.25">
      <c r="A55" s="20" t="s">
        <v>10377</v>
      </c>
      <c r="B55" s="20" t="s">
        <v>116</v>
      </c>
      <c r="C55" s="20" t="s">
        <v>114</v>
      </c>
      <c r="D55" s="20" t="s">
        <v>22</v>
      </c>
      <c r="E55" s="21">
        <f>ROUND(10995*1.05,2)</f>
      </c>
      <c r="F55" s="20" t="s">
        <v>23</v>
      </c>
      <c r="G55" s="20" t="s">
        <v>24</v>
      </c>
      <c r="H55" s="21">
        <f>ROUND(RAND()*4+6,1)</f>
      </c>
      <c r="I55" s="20" t="s">
        <v>25</v>
      </c>
      <c r="J55" s="23">
        <f>ROUND(74*1,0)&amp;"%"</f>
      </c>
    </row>
    <row x14ac:dyDescent="0.25" r="56" customHeight="1" ht="17.25">
      <c r="A56" s="17" t="s">
        <v>10378</v>
      </c>
      <c r="B56" s="17" t="s">
        <v>118</v>
      </c>
      <c r="C56" s="17" t="s">
        <v>114</v>
      </c>
      <c r="D56" s="17" t="s">
        <v>28</v>
      </c>
      <c r="E56" s="18">
        <f>ROUND(9508*1.05,2)</f>
      </c>
      <c r="F56" s="17" t="s">
        <v>29</v>
      </c>
      <c r="G56" s="17" t="s">
        <v>30</v>
      </c>
      <c r="H56" s="18">
        <f>ROUND(RAND()*4+6,1)</f>
      </c>
      <c r="I56" s="17" t="s">
        <v>31</v>
      </c>
      <c r="J56" s="19">
        <f>ROUND(90*1,0)&amp;"%"</f>
      </c>
    </row>
    <row x14ac:dyDescent="0.25" r="57" customHeight="1" ht="17.25">
      <c r="A57" s="20" t="s">
        <v>10379</v>
      </c>
      <c r="B57" s="20" t="s">
        <v>120</v>
      </c>
      <c r="C57" s="20" t="s">
        <v>114</v>
      </c>
      <c r="D57" s="20" t="s">
        <v>34</v>
      </c>
      <c r="E57" s="21">
        <f>ROUND(8275*1.05,2)</f>
      </c>
      <c r="F57" s="20" t="s">
        <v>35</v>
      </c>
      <c r="G57" s="20" t="s">
        <v>18</v>
      </c>
      <c r="H57" s="21">
        <f>ROUND(RAND()*4+6,1)</f>
      </c>
      <c r="I57" s="20" t="s">
        <v>36</v>
      </c>
      <c r="J57" s="23">
        <f>ROUND(64*1,0)&amp;"%"</f>
      </c>
    </row>
    <row x14ac:dyDescent="0.25" r="58" customHeight="1" ht="17.25">
      <c r="A58" s="17" t="s">
        <v>10380</v>
      </c>
      <c r="B58" s="17" t="s">
        <v>122</v>
      </c>
      <c r="C58" s="17" t="s">
        <v>114</v>
      </c>
      <c r="D58" s="17" t="s">
        <v>39</v>
      </c>
      <c r="E58" s="18">
        <f>ROUND(4550*1.05,2)</f>
      </c>
      <c r="F58" s="17" t="s">
        <v>40</v>
      </c>
      <c r="G58" s="17" t="s">
        <v>24</v>
      </c>
      <c r="H58" s="18">
        <f>ROUND(RAND()*4+6,1)</f>
      </c>
      <c r="I58" s="17" t="s">
        <v>41</v>
      </c>
      <c r="J58" s="19">
        <f>ROUND(97*1,0)&amp;"%"</f>
      </c>
    </row>
    <row x14ac:dyDescent="0.25" r="59" customHeight="1" ht="17.25">
      <c r="A59" s="20" t="s">
        <v>10381</v>
      </c>
      <c r="B59" s="20" t="s">
        <v>124</v>
      </c>
      <c r="C59" s="20" t="s">
        <v>114</v>
      </c>
      <c r="D59" s="20" t="s">
        <v>67</v>
      </c>
      <c r="E59" s="21">
        <f>ROUND(9702*1.05,2)</f>
      </c>
      <c r="F59" s="20" t="s">
        <v>44</v>
      </c>
      <c r="G59" s="20" t="s">
        <v>30</v>
      </c>
      <c r="H59" s="21">
        <f>ROUND(RAND()*4+6,1)</f>
      </c>
      <c r="I59" s="20" t="s">
        <v>45</v>
      </c>
      <c r="J59" s="23">
        <f>ROUND(84*1,0)&amp;"%"</f>
      </c>
    </row>
    <row x14ac:dyDescent="0.25" r="60" customHeight="1" ht="17.25">
      <c r="A60" s="17" t="s">
        <v>10382</v>
      </c>
      <c r="B60" s="17" t="s">
        <v>126</v>
      </c>
      <c r="C60" s="17" t="s">
        <v>114</v>
      </c>
      <c r="D60" s="17" t="s">
        <v>16</v>
      </c>
      <c r="E60" s="18">
        <f>ROUND(11573*1.05,2)</f>
      </c>
      <c r="F60" s="17" t="s">
        <v>48</v>
      </c>
      <c r="G60" s="17" t="s">
        <v>18</v>
      </c>
      <c r="H60" s="18">
        <f>ROUND(RAND()*4+6,1)</f>
      </c>
      <c r="I60" s="17" t="s">
        <v>19</v>
      </c>
      <c r="J60" s="19">
        <f>ROUND(99*1,0)&amp;"%"</f>
      </c>
    </row>
    <row x14ac:dyDescent="0.25" r="61" customHeight="1" ht="17.25">
      <c r="A61" s="20" t="s">
        <v>10383</v>
      </c>
      <c r="B61" s="20" t="s">
        <v>128</v>
      </c>
      <c r="C61" s="20" t="s">
        <v>114</v>
      </c>
      <c r="D61" s="20" t="s">
        <v>22</v>
      </c>
      <c r="E61" s="21">
        <f>ROUND(7278*1.05,2)</f>
      </c>
      <c r="F61" s="20" t="s">
        <v>51</v>
      </c>
      <c r="G61" s="20" t="s">
        <v>24</v>
      </c>
      <c r="H61" s="21">
        <f>ROUND(RAND()*4+6,1)</f>
      </c>
      <c r="I61" s="20" t="s">
        <v>25</v>
      </c>
      <c r="J61" s="23">
        <f>ROUND(78*1,0)&amp;"%"</f>
      </c>
    </row>
    <row x14ac:dyDescent="0.25" r="62" customHeight="1" ht="17.25">
      <c r="A62" s="24" t="s">
        <v>129</v>
      </c>
      <c r="B62" s="24"/>
      <c r="C62" s="24"/>
      <c r="D62" s="24"/>
      <c r="E62" s="25">
        <v>8</v>
      </c>
      <c r="F62" s="9"/>
      <c r="G62" s="9"/>
      <c r="H62" s="10"/>
      <c r="I62" s="9"/>
      <c r="J62" s="9"/>
    </row>
    <row x14ac:dyDescent="0.25" r="63" customHeight="1" ht="17.25">
      <c r="A63" s="7"/>
      <c r="B63" s="7"/>
      <c r="C63" s="7"/>
      <c r="D63" s="7"/>
      <c r="E63" s="8"/>
      <c r="F63" s="9"/>
      <c r="G63" s="9"/>
      <c r="H63" s="10"/>
      <c r="I63" s="9"/>
      <c r="J63" s="9"/>
    </row>
    <row x14ac:dyDescent="0.25" r="64" customHeight="1" ht="17.25">
      <c r="A64" s="11" t="s">
        <v>10384</v>
      </c>
      <c r="B64" s="11"/>
      <c r="C64" s="11"/>
      <c r="D64" s="11"/>
      <c r="E64" s="12"/>
      <c r="F64" s="11"/>
      <c r="G64" s="11"/>
      <c r="H64" s="13"/>
      <c r="I64" s="11"/>
      <c r="J64" s="11"/>
    </row>
    <row x14ac:dyDescent="0.25" r="65" customHeight="1" ht="17.25">
      <c r="A65" s="14" t="s">
        <v>3</v>
      </c>
      <c r="B65" s="14" t="s">
        <v>4</v>
      </c>
      <c r="C65" s="14" t="s">
        <v>5</v>
      </c>
      <c r="D65" s="14" t="s">
        <v>6</v>
      </c>
      <c r="E65" s="15" t="s">
        <v>7</v>
      </c>
      <c r="F65" s="14" t="s">
        <v>8</v>
      </c>
      <c r="G65" s="14" t="s">
        <v>9</v>
      </c>
      <c r="H65" s="16" t="s">
        <v>10</v>
      </c>
      <c r="I65" s="14" t="s">
        <v>11</v>
      </c>
      <c r="J65" s="14" t="s">
        <v>12</v>
      </c>
    </row>
    <row x14ac:dyDescent="0.25" r="66" customHeight="1" ht="17.25">
      <c r="A66" s="17" t="s">
        <v>10385</v>
      </c>
      <c r="B66" s="17" t="s">
        <v>132</v>
      </c>
      <c r="C66" s="17" t="s">
        <v>133</v>
      </c>
      <c r="D66" s="17" t="s">
        <v>16</v>
      </c>
      <c r="E66" s="18">
        <f>ROUND(13095*1.05,2)</f>
      </c>
      <c r="F66" s="17" t="s">
        <v>17</v>
      </c>
      <c r="G66" s="17" t="s">
        <v>18</v>
      </c>
      <c r="H66" s="18">
        <f>ROUND(RAND()*4+6,1)</f>
      </c>
      <c r="I66" s="17" t="s">
        <v>19</v>
      </c>
      <c r="J66" s="19">
        <f>ROUND(84*1,0)&amp;"%"</f>
      </c>
    </row>
    <row x14ac:dyDescent="0.25" r="67" customHeight="1" ht="17.25">
      <c r="A67" s="20" t="s">
        <v>10386</v>
      </c>
      <c r="B67" s="20" t="s">
        <v>135</v>
      </c>
      <c r="C67" s="20" t="s">
        <v>133</v>
      </c>
      <c r="D67" s="20" t="s">
        <v>22</v>
      </c>
      <c r="E67" s="21">
        <f>ROUND(8286*1.05,2)</f>
      </c>
      <c r="F67" s="20" t="s">
        <v>23</v>
      </c>
      <c r="G67" s="20" t="s">
        <v>24</v>
      </c>
      <c r="H67" s="21">
        <f>ROUND(RAND()*4+6,1)</f>
      </c>
      <c r="I67" s="20" t="s">
        <v>25</v>
      </c>
      <c r="J67" s="23">
        <f>ROUND(97*1,0)&amp;"%"</f>
      </c>
    </row>
    <row x14ac:dyDescent="0.25" r="68" customHeight="1" ht="17.25">
      <c r="A68" s="17" t="s">
        <v>10387</v>
      </c>
      <c r="B68" s="17" t="s">
        <v>137</v>
      </c>
      <c r="C68" s="17" t="s">
        <v>133</v>
      </c>
      <c r="D68" s="17" t="s">
        <v>28</v>
      </c>
      <c r="E68" s="18">
        <f>ROUND(12882*1.05,2)</f>
      </c>
      <c r="F68" s="17" t="s">
        <v>29</v>
      </c>
      <c r="G68" s="17" t="s">
        <v>30</v>
      </c>
      <c r="H68" s="18">
        <f>ROUND(RAND()*4+6,1)</f>
      </c>
      <c r="I68" s="17" t="s">
        <v>31</v>
      </c>
      <c r="J68" s="19">
        <f>ROUND(64*1,0)&amp;"%"</f>
      </c>
    </row>
    <row x14ac:dyDescent="0.25" r="69" customHeight="1" ht="17.25">
      <c r="A69" s="20" t="s">
        <v>10388</v>
      </c>
      <c r="B69" s="20" t="s">
        <v>139</v>
      </c>
      <c r="C69" s="20" t="s">
        <v>133</v>
      </c>
      <c r="D69" s="20" t="s">
        <v>34</v>
      </c>
      <c r="E69" s="21">
        <f>ROUND(7918*1.05,2)</f>
      </c>
      <c r="F69" s="20" t="s">
        <v>35</v>
      </c>
      <c r="G69" s="20" t="s">
        <v>18</v>
      </c>
      <c r="H69" s="21">
        <f>ROUND(RAND()*4+6,1)</f>
      </c>
      <c r="I69" s="20" t="s">
        <v>36</v>
      </c>
      <c r="J69" s="23">
        <f>ROUND(92*1,0)&amp;"%"</f>
      </c>
    </row>
    <row x14ac:dyDescent="0.25" r="70" customHeight="1" ht="17.25">
      <c r="A70" s="17" t="s">
        <v>10389</v>
      </c>
      <c r="B70" s="17" t="s">
        <v>141</v>
      </c>
      <c r="C70" s="17" t="s">
        <v>133</v>
      </c>
      <c r="D70" s="17" t="s">
        <v>39</v>
      </c>
      <c r="E70" s="18">
        <f>ROUND(11474*1.05,2)</f>
      </c>
      <c r="F70" s="17" t="s">
        <v>40</v>
      </c>
      <c r="G70" s="17" t="s">
        <v>24</v>
      </c>
      <c r="H70" s="26">
        <f>ROUND(RAND()*4+6,1)</f>
      </c>
      <c r="I70" s="17" t="s">
        <v>41</v>
      </c>
      <c r="J70" s="19">
        <f>ROUND(93*1,0)&amp;"%"</f>
      </c>
    </row>
    <row x14ac:dyDescent="0.25" r="71" customHeight="1" ht="17.25">
      <c r="A71" s="20" t="s">
        <v>10390</v>
      </c>
      <c r="B71" s="20" t="s">
        <v>143</v>
      </c>
      <c r="C71" s="20" t="s">
        <v>133</v>
      </c>
      <c r="D71" s="20" t="s">
        <v>67</v>
      </c>
      <c r="E71" s="21">
        <f>ROUND(16391*1.05,2)</f>
      </c>
      <c r="F71" s="20" t="s">
        <v>44</v>
      </c>
      <c r="G71" s="20" t="s">
        <v>30</v>
      </c>
      <c r="H71" s="21">
        <f>ROUND(RAND()*4+6,1)</f>
      </c>
      <c r="I71" s="20" t="s">
        <v>45</v>
      </c>
      <c r="J71" s="23">
        <f>ROUND(100*1,0)&amp;"%"</f>
      </c>
    </row>
    <row x14ac:dyDescent="0.25" r="72" customHeight="1" ht="17.25">
      <c r="A72" s="17" t="s">
        <v>10391</v>
      </c>
      <c r="B72" s="17" t="s">
        <v>145</v>
      </c>
      <c r="C72" s="17" t="s">
        <v>133</v>
      </c>
      <c r="D72" s="17" t="s">
        <v>16</v>
      </c>
      <c r="E72" s="18">
        <f>ROUND(13867*1.05,2)</f>
      </c>
      <c r="F72" s="17" t="s">
        <v>48</v>
      </c>
      <c r="G72" s="17" t="s">
        <v>18</v>
      </c>
      <c r="H72" s="18">
        <f>ROUND(RAND()*4+6,1)</f>
      </c>
      <c r="I72" s="17" t="s">
        <v>19</v>
      </c>
      <c r="J72" s="19">
        <f>ROUND(99*1,0)&amp;"%"</f>
      </c>
    </row>
    <row x14ac:dyDescent="0.25" r="73" customHeight="1" ht="17.25">
      <c r="A73" s="20" t="s">
        <v>10392</v>
      </c>
      <c r="B73" s="20" t="s">
        <v>147</v>
      </c>
      <c r="C73" s="20" t="s">
        <v>133</v>
      </c>
      <c r="D73" s="20" t="s">
        <v>22</v>
      </c>
      <c r="E73" s="21">
        <f>ROUND(14556*1.05,2)</f>
      </c>
      <c r="F73" s="20" t="s">
        <v>51</v>
      </c>
      <c r="G73" s="20" t="s">
        <v>24</v>
      </c>
      <c r="H73" s="21">
        <f>ROUND(RAND()*4+6,1)</f>
      </c>
      <c r="I73" s="20" t="s">
        <v>25</v>
      </c>
      <c r="J73" s="23">
        <f>ROUND(100*1,0)&amp;"%"</f>
      </c>
    </row>
    <row x14ac:dyDescent="0.25" r="74" customHeight="1" ht="17.25">
      <c r="A74" s="24" t="s">
        <v>148</v>
      </c>
      <c r="B74" s="24"/>
      <c r="C74" s="24"/>
      <c r="D74" s="24"/>
      <c r="E74" s="25">
        <v>8</v>
      </c>
      <c r="F74" s="9"/>
      <c r="G74" s="9"/>
      <c r="H74" s="10"/>
      <c r="I74" s="9"/>
      <c r="J74" s="9"/>
    </row>
    <row x14ac:dyDescent="0.25" r="75" customHeight="1" ht="17.25">
      <c r="A75" s="7"/>
      <c r="B75" s="7"/>
      <c r="C75" s="7"/>
      <c r="D75" s="7"/>
      <c r="E75" s="8"/>
      <c r="F75" s="9"/>
      <c r="G75" s="9"/>
      <c r="H75" s="10"/>
      <c r="I75" s="9"/>
      <c r="J75" s="9"/>
    </row>
    <row x14ac:dyDescent="0.25" r="76" customHeight="1" ht="17.25">
      <c r="A76" s="11" t="s">
        <v>10393</v>
      </c>
      <c r="B76" s="11"/>
      <c r="C76" s="11"/>
      <c r="D76" s="11"/>
      <c r="E76" s="12"/>
      <c r="F76" s="11"/>
      <c r="G76" s="11"/>
      <c r="H76" s="13"/>
      <c r="I76" s="11"/>
      <c r="J76" s="11"/>
    </row>
    <row x14ac:dyDescent="0.25" r="77" customHeight="1" ht="17.25">
      <c r="A77" s="14" t="s">
        <v>3</v>
      </c>
      <c r="B77" s="14" t="s">
        <v>4</v>
      </c>
      <c r="C77" s="14" t="s">
        <v>5</v>
      </c>
      <c r="D77" s="14" t="s">
        <v>6</v>
      </c>
      <c r="E77" s="15" t="s">
        <v>7</v>
      </c>
      <c r="F77" s="14" t="s">
        <v>8</v>
      </c>
      <c r="G77" s="14" t="s">
        <v>9</v>
      </c>
      <c r="H77" s="16" t="s">
        <v>10</v>
      </c>
      <c r="I77" s="14" t="s">
        <v>11</v>
      </c>
      <c r="J77" s="14" t="s">
        <v>12</v>
      </c>
    </row>
    <row x14ac:dyDescent="0.25" r="78" customHeight="1" ht="17.25">
      <c r="A78" s="17" t="s">
        <v>10394</v>
      </c>
      <c r="B78" s="17" t="s">
        <v>151</v>
      </c>
      <c r="C78" s="17" t="s">
        <v>152</v>
      </c>
      <c r="D78" s="17" t="s">
        <v>16</v>
      </c>
      <c r="E78" s="18">
        <f>ROUND(13690*1.05,2)</f>
      </c>
      <c r="F78" s="17" t="s">
        <v>17</v>
      </c>
      <c r="G78" s="17" t="s">
        <v>18</v>
      </c>
      <c r="H78" s="18">
        <f>ROUND(RAND()*4+6,1)</f>
      </c>
      <c r="I78" s="17" t="s">
        <v>19</v>
      </c>
      <c r="J78" s="19">
        <f>ROUND(99*1,0)&amp;"%"</f>
      </c>
    </row>
    <row x14ac:dyDescent="0.25" r="79" customHeight="1" ht="17.25">
      <c r="A79" s="20" t="s">
        <v>10395</v>
      </c>
      <c r="B79" s="20" t="s">
        <v>154</v>
      </c>
      <c r="C79" s="20" t="s">
        <v>152</v>
      </c>
      <c r="D79" s="20" t="s">
        <v>22</v>
      </c>
      <c r="E79" s="21">
        <f>ROUND(5102*1.05,2)</f>
      </c>
      <c r="F79" s="20" t="s">
        <v>23</v>
      </c>
      <c r="G79" s="20" t="s">
        <v>24</v>
      </c>
      <c r="H79" s="21">
        <f>ROUND(RAND()*4+6,1)</f>
      </c>
      <c r="I79" s="20" t="s">
        <v>25</v>
      </c>
      <c r="J79" s="23">
        <f>ROUND(98*1,0)&amp;"%"</f>
      </c>
    </row>
    <row x14ac:dyDescent="0.25" r="80" customHeight="1" ht="17.25">
      <c r="A80" s="17" t="s">
        <v>10396</v>
      </c>
      <c r="B80" s="17" t="s">
        <v>156</v>
      </c>
      <c r="C80" s="17" t="s">
        <v>152</v>
      </c>
      <c r="D80" s="17" t="s">
        <v>28</v>
      </c>
      <c r="E80" s="18">
        <f>ROUND(5410*1.05,2)</f>
      </c>
      <c r="F80" s="17" t="s">
        <v>29</v>
      </c>
      <c r="G80" s="17" t="s">
        <v>30</v>
      </c>
      <c r="H80" s="18">
        <f>ROUND(RAND()*4+6,1)</f>
      </c>
      <c r="I80" s="17" t="s">
        <v>31</v>
      </c>
      <c r="J80" s="19">
        <f>ROUND(67*1,0)&amp;"%"</f>
      </c>
    </row>
    <row x14ac:dyDescent="0.25" r="81" customHeight="1" ht="17.25">
      <c r="A81" s="20" t="s">
        <v>10397</v>
      </c>
      <c r="B81" s="20" t="s">
        <v>158</v>
      </c>
      <c r="C81" s="20" t="s">
        <v>152</v>
      </c>
      <c r="D81" s="20" t="s">
        <v>34</v>
      </c>
      <c r="E81" s="21">
        <f>ROUND(8096*1.05,2)</f>
      </c>
      <c r="F81" s="20" t="s">
        <v>35</v>
      </c>
      <c r="G81" s="20" t="s">
        <v>18</v>
      </c>
      <c r="H81" s="21">
        <f>ROUND(RAND()*4+6,1)</f>
      </c>
      <c r="I81" s="20" t="s">
        <v>36</v>
      </c>
      <c r="J81" s="23">
        <f>ROUND(98*1,0)&amp;"%"</f>
      </c>
    </row>
    <row x14ac:dyDescent="0.25" r="82" customHeight="1" ht="17.25">
      <c r="A82" s="17" t="s">
        <v>10398</v>
      </c>
      <c r="B82" s="17" t="s">
        <v>160</v>
      </c>
      <c r="C82" s="17" t="s">
        <v>152</v>
      </c>
      <c r="D82" s="17" t="s">
        <v>39</v>
      </c>
      <c r="E82" s="18">
        <f>ROUND(16932*1.05,2)</f>
      </c>
      <c r="F82" s="17" t="s">
        <v>40</v>
      </c>
      <c r="G82" s="17" t="s">
        <v>24</v>
      </c>
      <c r="H82" s="18">
        <f>ROUND(RAND()*4+6,1)</f>
      </c>
      <c r="I82" s="17" t="s">
        <v>41</v>
      </c>
      <c r="J82" s="19">
        <f>ROUND(76*1,0)&amp;"%"</f>
      </c>
    </row>
    <row x14ac:dyDescent="0.25" r="83" customHeight="1" ht="17.25">
      <c r="A83" s="20" t="s">
        <v>10399</v>
      </c>
      <c r="B83" s="20" t="s">
        <v>162</v>
      </c>
      <c r="C83" s="20" t="s">
        <v>152</v>
      </c>
      <c r="D83" s="20" t="s">
        <v>67</v>
      </c>
      <c r="E83" s="21">
        <f>ROUND(16515*1.05,2)</f>
      </c>
      <c r="F83" s="20" t="s">
        <v>44</v>
      </c>
      <c r="G83" s="20" t="s">
        <v>30</v>
      </c>
      <c r="H83" s="21">
        <f>ROUND(RAND()*4+6,1)</f>
      </c>
      <c r="I83" s="20" t="s">
        <v>45</v>
      </c>
      <c r="J83" s="23">
        <f>ROUND(64*1,0)&amp;"%"</f>
      </c>
    </row>
    <row x14ac:dyDescent="0.25" r="84" customHeight="1" ht="17.25">
      <c r="A84" s="17" t="s">
        <v>10400</v>
      </c>
      <c r="B84" s="17" t="s">
        <v>164</v>
      </c>
      <c r="C84" s="17" t="s">
        <v>152</v>
      </c>
      <c r="D84" s="17" t="s">
        <v>16</v>
      </c>
      <c r="E84" s="18">
        <f>ROUND(14913*1.05,2)</f>
      </c>
      <c r="F84" s="17" t="s">
        <v>48</v>
      </c>
      <c r="G84" s="17" t="s">
        <v>18</v>
      </c>
      <c r="H84" s="18">
        <f>ROUND(RAND()*4+6,1)</f>
      </c>
      <c r="I84" s="17" t="s">
        <v>19</v>
      </c>
      <c r="J84" s="19">
        <f>ROUND(73*1,0)&amp;"%"</f>
      </c>
    </row>
    <row x14ac:dyDescent="0.25" r="85" customHeight="1" ht="17.25">
      <c r="A85" s="20" t="s">
        <v>10401</v>
      </c>
      <c r="B85" s="20" t="s">
        <v>166</v>
      </c>
      <c r="C85" s="20" t="s">
        <v>152</v>
      </c>
      <c r="D85" s="20" t="s">
        <v>22</v>
      </c>
      <c r="E85" s="21">
        <f>ROUND(9236*1.05,2)</f>
      </c>
      <c r="F85" s="20" t="s">
        <v>51</v>
      </c>
      <c r="G85" s="20" t="s">
        <v>24</v>
      </c>
      <c r="H85" s="21">
        <f>ROUND(RAND()*4+6,1)</f>
      </c>
      <c r="I85" s="20" t="s">
        <v>25</v>
      </c>
      <c r="J85" s="23">
        <f>ROUND(62*1,0)&amp;"%"</f>
      </c>
    </row>
    <row x14ac:dyDescent="0.25" r="86" customHeight="1" ht="17.25">
      <c r="A86" s="24" t="s">
        <v>167</v>
      </c>
      <c r="B86" s="24"/>
      <c r="C86" s="24"/>
      <c r="D86" s="24"/>
      <c r="E86" s="25">
        <v>8</v>
      </c>
      <c r="F86" s="9"/>
      <c r="G86" s="9"/>
      <c r="H86" s="10"/>
      <c r="I86" s="9"/>
      <c r="J86" s="9"/>
    </row>
    <row x14ac:dyDescent="0.25" r="87" customHeight="1" ht="17.25">
      <c r="A87" s="7"/>
      <c r="B87" s="7"/>
      <c r="C87" s="7"/>
      <c r="D87" s="7"/>
      <c r="E87" s="8"/>
      <c r="F87" s="9"/>
      <c r="G87" s="9"/>
      <c r="H87" s="10"/>
      <c r="I87" s="9"/>
      <c r="J87" s="9"/>
    </row>
    <row x14ac:dyDescent="0.25" r="88" customHeight="1" ht="17.25">
      <c r="A88" s="11" t="s">
        <v>10402</v>
      </c>
      <c r="B88" s="11"/>
      <c r="C88" s="11"/>
      <c r="D88" s="11"/>
      <c r="E88" s="12"/>
      <c r="F88" s="11"/>
      <c r="G88" s="11"/>
      <c r="H88" s="13"/>
      <c r="I88" s="11"/>
      <c r="J88" s="11"/>
    </row>
    <row x14ac:dyDescent="0.25" r="89" customHeight="1" ht="17.25">
      <c r="A89" s="14" t="s">
        <v>3</v>
      </c>
      <c r="B89" s="14" t="s">
        <v>4</v>
      </c>
      <c r="C89" s="14" t="s">
        <v>5</v>
      </c>
      <c r="D89" s="14" t="s">
        <v>6</v>
      </c>
      <c r="E89" s="15" t="s">
        <v>7</v>
      </c>
      <c r="F89" s="14" t="s">
        <v>8</v>
      </c>
      <c r="G89" s="14" t="s">
        <v>9</v>
      </c>
      <c r="H89" s="16" t="s">
        <v>10</v>
      </c>
      <c r="I89" s="14" t="s">
        <v>11</v>
      </c>
      <c r="J89" s="14" t="s">
        <v>12</v>
      </c>
    </row>
    <row x14ac:dyDescent="0.25" r="90" customHeight="1" ht="17.25">
      <c r="A90" s="17" t="s">
        <v>10403</v>
      </c>
      <c r="B90" s="17" t="s">
        <v>170</v>
      </c>
      <c r="C90" s="17" t="s">
        <v>15</v>
      </c>
      <c r="D90" s="17" t="s">
        <v>16</v>
      </c>
      <c r="E90" s="18">
        <f>ROUND(4792*1.05,2)</f>
      </c>
      <c r="F90" s="17" t="s">
        <v>17</v>
      </c>
      <c r="G90" s="17" t="s">
        <v>18</v>
      </c>
      <c r="H90" s="18">
        <f>ROUND(RAND()*4+6,1)</f>
      </c>
      <c r="I90" s="17" t="s">
        <v>19</v>
      </c>
      <c r="J90" s="19">
        <f>ROUND(71*1,0)&amp;"%"</f>
      </c>
    </row>
    <row x14ac:dyDescent="0.25" r="91" customHeight="1" ht="17.25">
      <c r="A91" s="20" t="s">
        <v>10404</v>
      </c>
      <c r="B91" s="20" t="s">
        <v>172</v>
      </c>
      <c r="C91" s="20" t="s">
        <v>15</v>
      </c>
      <c r="D91" s="20" t="s">
        <v>22</v>
      </c>
      <c r="E91" s="22">
        <f>ROUND(9200*1.05,2)</f>
      </c>
      <c r="F91" s="20" t="s">
        <v>23</v>
      </c>
      <c r="G91" s="20" t="s">
        <v>24</v>
      </c>
      <c r="H91" s="21">
        <f>ROUND(RAND()*4+6,1)</f>
      </c>
      <c r="I91" s="20" t="s">
        <v>25</v>
      </c>
      <c r="J91" s="23">
        <f>ROUND(79*1,0)&amp;"%"</f>
      </c>
    </row>
    <row x14ac:dyDescent="0.25" r="92" customHeight="1" ht="17.25">
      <c r="A92" s="17" t="s">
        <v>10405</v>
      </c>
      <c r="B92" s="17" t="s">
        <v>174</v>
      </c>
      <c r="C92" s="17" t="s">
        <v>15</v>
      </c>
      <c r="D92" s="17" t="s">
        <v>28</v>
      </c>
      <c r="E92" s="18">
        <f>ROUND(16982*1.05,2)</f>
      </c>
      <c r="F92" s="17" t="s">
        <v>29</v>
      </c>
      <c r="G92" s="17" t="s">
        <v>30</v>
      </c>
      <c r="H92" s="18">
        <f>ROUND(RAND()*4+6,1)</f>
      </c>
      <c r="I92" s="17" t="s">
        <v>31</v>
      </c>
      <c r="J92" s="19">
        <f>ROUND(60*1,0)&amp;"%"</f>
      </c>
    </row>
    <row x14ac:dyDescent="0.25" r="93" customHeight="1" ht="17.25">
      <c r="A93" s="20" t="s">
        <v>10406</v>
      </c>
      <c r="B93" s="20" t="s">
        <v>176</v>
      </c>
      <c r="C93" s="20" t="s">
        <v>15</v>
      </c>
      <c r="D93" s="20" t="s">
        <v>34</v>
      </c>
      <c r="E93" s="21">
        <f>ROUND(7247*1.05,2)</f>
      </c>
      <c r="F93" s="20" t="s">
        <v>35</v>
      </c>
      <c r="G93" s="20" t="s">
        <v>18</v>
      </c>
      <c r="H93" s="21">
        <f>ROUND(RAND()*4+6,1)</f>
      </c>
      <c r="I93" s="20" t="s">
        <v>36</v>
      </c>
      <c r="J93" s="23">
        <f>ROUND(86*1,0)&amp;"%"</f>
      </c>
    </row>
    <row x14ac:dyDescent="0.25" r="94" customHeight="1" ht="17.25">
      <c r="A94" s="17" t="s">
        <v>10407</v>
      </c>
      <c r="B94" s="17" t="s">
        <v>178</v>
      </c>
      <c r="C94" s="17" t="s">
        <v>15</v>
      </c>
      <c r="D94" s="17" t="s">
        <v>39</v>
      </c>
      <c r="E94" s="18">
        <f>ROUND(17247*1.05,2)</f>
      </c>
      <c r="F94" s="17" t="s">
        <v>40</v>
      </c>
      <c r="G94" s="17" t="s">
        <v>24</v>
      </c>
      <c r="H94" s="18">
        <f>ROUND(RAND()*4+6,1)</f>
      </c>
      <c r="I94" s="17" t="s">
        <v>41</v>
      </c>
      <c r="J94" s="19">
        <f>ROUND(72*1,0)&amp;"%"</f>
      </c>
    </row>
    <row x14ac:dyDescent="0.25" r="95" customHeight="1" ht="17.25">
      <c r="A95" s="20" t="s">
        <v>10408</v>
      </c>
      <c r="B95" s="20" t="s">
        <v>180</v>
      </c>
      <c r="C95" s="20" t="s">
        <v>15</v>
      </c>
      <c r="D95" s="20" t="s">
        <v>67</v>
      </c>
      <c r="E95" s="21">
        <f>ROUND(12931*1.05,2)</f>
      </c>
      <c r="F95" s="20" t="s">
        <v>44</v>
      </c>
      <c r="G95" s="20" t="s">
        <v>30</v>
      </c>
      <c r="H95" s="21">
        <f>ROUND(RAND()*4+6,1)</f>
      </c>
      <c r="I95" s="20" t="s">
        <v>45</v>
      </c>
      <c r="J95" s="23">
        <f>ROUND(97*1,0)&amp;"%"</f>
      </c>
    </row>
    <row x14ac:dyDescent="0.25" r="96" customHeight="1" ht="17.25">
      <c r="A96" s="17" t="s">
        <v>10409</v>
      </c>
      <c r="B96" s="17" t="s">
        <v>182</v>
      </c>
      <c r="C96" s="17" t="s">
        <v>15</v>
      </c>
      <c r="D96" s="17" t="s">
        <v>16</v>
      </c>
      <c r="E96" s="18">
        <f>ROUND(12033*1.05,2)</f>
      </c>
      <c r="F96" s="17" t="s">
        <v>48</v>
      </c>
      <c r="G96" s="17" t="s">
        <v>18</v>
      </c>
      <c r="H96" s="18">
        <f>ROUND(RAND()*4+6,1)</f>
      </c>
      <c r="I96" s="17" t="s">
        <v>19</v>
      </c>
      <c r="J96" s="19">
        <f>ROUND(88*1,0)&amp;"%"</f>
      </c>
    </row>
    <row x14ac:dyDescent="0.25" r="97" customHeight="1" ht="17.25">
      <c r="A97" s="20" t="s">
        <v>10410</v>
      </c>
      <c r="B97" s="20" t="s">
        <v>184</v>
      </c>
      <c r="C97" s="20" t="s">
        <v>15</v>
      </c>
      <c r="D97" s="20" t="s">
        <v>22</v>
      </c>
      <c r="E97" s="21">
        <f>ROUND(11688*1.05,2)</f>
      </c>
      <c r="F97" s="20" t="s">
        <v>51</v>
      </c>
      <c r="G97" s="20" t="s">
        <v>24</v>
      </c>
      <c r="H97" s="21">
        <f>ROUND(RAND()*4+6,1)</f>
      </c>
      <c r="I97" s="20" t="s">
        <v>25</v>
      </c>
      <c r="J97" s="23">
        <f>ROUND(63*1,0)&amp;"%"</f>
      </c>
    </row>
    <row x14ac:dyDescent="0.25" r="98" customHeight="1" ht="17.25">
      <c r="A98" s="24" t="s">
        <v>185</v>
      </c>
      <c r="B98" s="24"/>
      <c r="C98" s="24"/>
      <c r="D98" s="24"/>
      <c r="E98" s="25">
        <v>8</v>
      </c>
      <c r="F98" s="9"/>
      <c r="G98" s="9"/>
      <c r="H98" s="10"/>
      <c r="I98" s="9"/>
      <c r="J98" s="9"/>
    </row>
    <row x14ac:dyDescent="0.25" r="99" customHeight="1" ht="17.25">
      <c r="A99" s="7"/>
      <c r="B99" s="7"/>
      <c r="C99" s="7"/>
      <c r="D99" s="7"/>
      <c r="E99" s="8"/>
      <c r="F99" s="9"/>
      <c r="G99" s="9"/>
      <c r="H99" s="10"/>
      <c r="I99" s="9"/>
      <c r="J99" s="9"/>
    </row>
    <row x14ac:dyDescent="0.25" r="100" customHeight="1" ht="17.25">
      <c r="A100" s="11" t="s">
        <v>10411</v>
      </c>
      <c r="B100" s="11"/>
      <c r="C100" s="11"/>
      <c r="D100" s="11"/>
      <c r="E100" s="12"/>
      <c r="F100" s="11"/>
      <c r="G100" s="11"/>
      <c r="H100" s="13"/>
      <c r="I100" s="11"/>
      <c r="J100" s="11"/>
    </row>
    <row x14ac:dyDescent="0.25" r="101" customHeight="1" ht="17.25">
      <c r="A101" s="14" t="s">
        <v>3</v>
      </c>
      <c r="B101" s="14" t="s">
        <v>4</v>
      </c>
      <c r="C101" s="14" t="s">
        <v>5</v>
      </c>
      <c r="D101" s="14" t="s">
        <v>6</v>
      </c>
      <c r="E101" s="15" t="s">
        <v>7</v>
      </c>
      <c r="F101" s="14" t="s">
        <v>8</v>
      </c>
      <c r="G101" s="14" t="s">
        <v>9</v>
      </c>
      <c r="H101" s="16" t="s">
        <v>10</v>
      </c>
      <c r="I101" s="14" t="s">
        <v>11</v>
      </c>
      <c r="J101" s="14" t="s">
        <v>12</v>
      </c>
    </row>
    <row x14ac:dyDescent="0.25" r="102" customHeight="1" ht="17.25">
      <c r="A102" s="17" t="s">
        <v>10412</v>
      </c>
      <c r="B102" s="17" t="s">
        <v>188</v>
      </c>
      <c r="C102" s="17" t="s">
        <v>56</v>
      </c>
      <c r="D102" s="17" t="s">
        <v>16</v>
      </c>
      <c r="E102" s="18">
        <f>ROUND(7277*1.05,2)</f>
      </c>
      <c r="F102" s="17" t="s">
        <v>17</v>
      </c>
      <c r="G102" s="17" t="s">
        <v>18</v>
      </c>
      <c r="H102" s="26">
        <f>ROUND(RAND()*4+6,1)</f>
      </c>
      <c r="I102" s="17" t="s">
        <v>19</v>
      </c>
      <c r="J102" s="19">
        <f>ROUND(85*1,0)&amp;"%"</f>
      </c>
    </row>
    <row x14ac:dyDescent="0.25" r="103" customHeight="1" ht="17.25">
      <c r="A103" s="20" t="s">
        <v>10413</v>
      </c>
      <c r="B103" s="20" t="s">
        <v>190</v>
      </c>
      <c r="C103" s="20" t="s">
        <v>56</v>
      </c>
      <c r="D103" s="20" t="s">
        <v>22</v>
      </c>
      <c r="E103" s="21">
        <f>ROUND(13698*1.05,2)</f>
      </c>
      <c r="F103" s="20" t="s">
        <v>23</v>
      </c>
      <c r="G103" s="20" t="s">
        <v>24</v>
      </c>
      <c r="H103" s="21">
        <f>ROUND(RAND()*4+6,1)</f>
      </c>
      <c r="I103" s="20" t="s">
        <v>25</v>
      </c>
      <c r="J103" s="23">
        <f>ROUND(65*1,0)&amp;"%"</f>
      </c>
    </row>
    <row x14ac:dyDescent="0.25" r="104" customHeight="1" ht="17.25">
      <c r="A104" s="17" t="s">
        <v>10414</v>
      </c>
      <c r="B104" s="17" t="s">
        <v>192</v>
      </c>
      <c r="C104" s="17" t="s">
        <v>56</v>
      </c>
      <c r="D104" s="17" t="s">
        <v>28</v>
      </c>
      <c r="E104" s="18">
        <f>ROUND(16331*1.05,2)</f>
      </c>
      <c r="F104" s="17" t="s">
        <v>29</v>
      </c>
      <c r="G104" s="17" t="s">
        <v>30</v>
      </c>
      <c r="H104" s="18">
        <f>ROUND(RAND()*4+6,1)</f>
      </c>
      <c r="I104" s="17" t="s">
        <v>31</v>
      </c>
      <c r="J104" s="19">
        <f>ROUND(61*1,0)&amp;"%"</f>
      </c>
    </row>
    <row x14ac:dyDescent="0.25" r="105" customHeight="1" ht="17.25">
      <c r="A105" s="20" t="s">
        <v>10415</v>
      </c>
      <c r="B105" s="20" t="s">
        <v>194</v>
      </c>
      <c r="C105" s="20" t="s">
        <v>56</v>
      </c>
      <c r="D105" s="20" t="s">
        <v>34</v>
      </c>
      <c r="E105" s="21">
        <f>ROUND(6693*1.05,2)</f>
      </c>
      <c r="F105" s="20" t="s">
        <v>35</v>
      </c>
      <c r="G105" s="20" t="s">
        <v>18</v>
      </c>
      <c r="H105" s="21">
        <f>ROUND(RAND()*4+6,1)</f>
      </c>
      <c r="I105" s="20" t="s">
        <v>36</v>
      </c>
      <c r="J105" s="23">
        <f>ROUND(74*1,0)&amp;"%"</f>
      </c>
    </row>
    <row x14ac:dyDescent="0.25" r="106" customHeight="1" ht="17.25">
      <c r="A106" s="17" t="s">
        <v>10416</v>
      </c>
      <c r="B106" s="17" t="s">
        <v>196</v>
      </c>
      <c r="C106" s="17" t="s">
        <v>56</v>
      </c>
      <c r="D106" s="17" t="s">
        <v>39</v>
      </c>
      <c r="E106" s="18">
        <f>ROUND(5513*1.05,2)</f>
      </c>
      <c r="F106" s="17" t="s">
        <v>40</v>
      </c>
      <c r="G106" s="17" t="s">
        <v>24</v>
      </c>
      <c r="H106" s="18">
        <f>ROUND(RAND()*4+6,1)</f>
      </c>
      <c r="I106" s="17" t="s">
        <v>41</v>
      </c>
      <c r="J106" s="19">
        <f>ROUND(100*1,0)&amp;"%"</f>
      </c>
    </row>
    <row x14ac:dyDescent="0.25" r="107" customHeight="1" ht="17.25">
      <c r="A107" s="20" t="s">
        <v>10417</v>
      </c>
      <c r="B107" s="20" t="s">
        <v>198</v>
      </c>
      <c r="C107" s="20" t="s">
        <v>56</v>
      </c>
      <c r="D107" s="20" t="s">
        <v>67</v>
      </c>
      <c r="E107" s="21">
        <f>ROUND(8394*1.05,2)</f>
      </c>
      <c r="F107" s="20" t="s">
        <v>44</v>
      </c>
      <c r="G107" s="20" t="s">
        <v>30</v>
      </c>
      <c r="H107" s="21">
        <f>ROUND(RAND()*4+6,1)</f>
      </c>
      <c r="I107" s="20" t="s">
        <v>45</v>
      </c>
      <c r="J107" s="23">
        <f>ROUND(67*1,0)&amp;"%"</f>
      </c>
    </row>
    <row x14ac:dyDescent="0.25" r="108" customHeight="1" ht="17.25">
      <c r="A108" s="17" t="s">
        <v>10418</v>
      </c>
      <c r="B108" s="17" t="s">
        <v>200</v>
      </c>
      <c r="C108" s="17" t="s">
        <v>56</v>
      </c>
      <c r="D108" s="17" t="s">
        <v>16</v>
      </c>
      <c r="E108" s="18">
        <f>ROUND(6605*1.05,2)</f>
      </c>
      <c r="F108" s="17" t="s">
        <v>48</v>
      </c>
      <c r="G108" s="17" t="s">
        <v>18</v>
      </c>
      <c r="H108" s="18">
        <f>ROUND(RAND()*4+6,1)</f>
      </c>
      <c r="I108" s="17" t="s">
        <v>19</v>
      </c>
      <c r="J108" s="19">
        <f>ROUND(65*1,0)&amp;"%"</f>
      </c>
    </row>
    <row x14ac:dyDescent="0.25" r="109" customHeight="1" ht="17.25">
      <c r="A109" s="20" t="s">
        <v>10419</v>
      </c>
      <c r="B109" s="20" t="s">
        <v>202</v>
      </c>
      <c r="C109" s="20" t="s">
        <v>56</v>
      </c>
      <c r="D109" s="20" t="s">
        <v>22</v>
      </c>
      <c r="E109" s="21">
        <f>ROUND(16889*1.05,2)</f>
      </c>
      <c r="F109" s="20" t="s">
        <v>51</v>
      </c>
      <c r="G109" s="20" t="s">
        <v>24</v>
      </c>
      <c r="H109" s="21">
        <f>ROUND(RAND()*4+6,1)</f>
      </c>
      <c r="I109" s="20" t="s">
        <v>25</v>
      </c>
      <c r="J109" s="23">
        <f>ROUND(95*1,0)&amp;"%"</f>
      </c>
    </row>
    <row x14ac:dyDescent="0.25" r="110" customHeight="1" ht="17.25">
      <c r="A110" s="24" t="s">
        <v>203</v>
      </c>
      <c r="B110" s="24"/>
      <c r="C110" s="24"/>
      <c r="D110" s="24"/>
      <c r="E110" s="25">
        <v>8</v>
      </c>
      <c r="F110" s="9"/>
      <c r="G110" s="9"/>
      <c r="H110" s="10"/>
      <c r="I110" s="9"/>
      <c r="J110" s="9"/>
    </row>
    <row x14ac:dyDescent="0.25" r="111" customHeight="1" ht="17.25">
      <c r="A111" s="7"/>
      <c r="B111" s="7"/>
      <c r="C111" s="7"/>
      <c r="D111" s="7"/>
      <c r="E111" s="8"/>
      <c r="F111" s="9"/>
      <c r="G111" s="9"/>
      <c r="H111" s="10"/>
      <c r="I111" s="9"/>
      <c r="J111" s="9"/>
    </row>
    <row x14ac:dyDescent="0.25" r="112" customHeight="1" ht="17.25">
      <c r="A112" s="11" t="s">
        <v>10420</v>
      </c>
      <c r="B112" s="11"/>
      <c r="C112" s="11"/>
      <c r="D112" s="11"/>
      <c r="E112" s="12"/>
      <c r="F112" s="11"/>
      <c r="G112" s="11"/>
      <c r="H112" s="13"/>
      <c r="I112" s="11"/>
      <c r="J112" s="11"/>
    </row>
    <row x14ac:dyDescent="0.25" r="113" customHeight="1" ht="17.25">
      <c r="A113" s="14" t="s">
        <v>3</v>
      </c>
      <c r="B113" s="14" t="s">
        <v>4</v>
      </c>
      <c r="C113" s="14" t="s">
        <v>5</v>
      </c>
      <c r="D113" s="14" t="s">
        <v>6</v>
      </c>
      <c r="E113" s="15" t="s">
        <v>7</v>
      </c>
      <c r="F113" s="14" t="s">
        <v>8</v>
      </c>
      <c r="G113" s="14" t="s">
        <v>9</v>
      </c>
      <c r="H113" s="16" t="s">
        <v>10</v>
      </c>
      <c r="I113" s="14" t="s">
        <v>11</v>
      </c>
      <c r="J113" s="14" t="s">
        <v>12</v>
      </c>
    </row>
    <row x14ac:dyDescent="0.25" r="114" customHeight="1" ht="17.25">
      <c r="A114" s="17" t="s">
        <v>10421</v>
      </c>
      <c r="B114" s="17" t="s">
        <v>206</v>
      </c>
      <c r="C114" s="17" t="s">
        <v>76</v>
      </c>
      <c r="D114" s="17" t="s">
        <v>16</v>
      </c>
      <c r="E114" s="18">
        <f>ROUND(4728*1.05,2)</f>
      </c>
      <c r="F114" s="17" t="s">
        <v>17</v>
      </c>
      <c r="G114" s="17" t="s">
        <v>18</v>
      </c>
      <c r="H114" s="18">
        <f>ROUND(RAND()*4+6,1)</f>
      </c>
      <c r="I114" s="17" t="s">
        <v>19</v>
      </c>
      <c r="J114" s="19">
        <f>ROUND(99*1,0)&amp;"%"</f>
      </c>
    </row>
    <row x14ac:dyDescent="0.25" r="115" customHeight="1" ht="17.25">
      <c r="A115" s="20" t="s">
        <v>10422</v>
      </c>
      <c r="B115" s="20" t="s">
        <v>208</v>
      </c>
      <c r="C115" s="20" t="s">
        <v>76</v>
      </c>
      <c r="D115" s="20" t="s">
        <v>22</v>
      </c>
      <c r="E115" s="21">
        <f>ROUND(12585*1.05,2)</f>
      </c>
      <c r="F115" s="20" t="s">
        <v>23</v>
      </c>
      <c r="G115" s="20" t="s">
        <v>24</v>
      </c>
      <c r="H115" s="21">
        <f>ROUND(RAND()*4+6,1)</f>
      </c>
      <c r="I115" s="20" t="s">
        <v>25</v>
      </c>
      <c r="J115" s="23">
        <f>ROUND(99*1,0)&amp;"%"</f>
      </c>
    </row>
    <row x14ac:dyDescent="0.25" r="116" customHeight="1" ht="17.25">
      <c r="A116" s="17" t="s">
        <v>10423</v>
      </c>
      <c r="B116" s="17" t="s">
        <v>210</v>
      </c>
      <c r="C116" s="17" t="s">
        <v>76</v>
      </c>
      <c r="D116" s="17" t="s">
        <v>28</v>
      </c>
      <c r="E116" s="18">
        <f>ROUND(13367*1.05,2)</f>
      </c>
      <c r="F116" s="17" t="s">
        <v>29</v>
      </c>
      <c r="G116" s="17" t="s">
        <v>30</v>
      </c>
      <c r="H116" s="18">
        <f>ROUND(RAND()*4+6,1)</f>
      </c>
      <c r="I116" s="17" t="s">
        <v>31</v>
      </c>
      <c r="J116" s="19">
        <f>ROUND(97*1,0)&amp;"%"</f>
      </c>
    </row>
    <row x14ac:dyDescent="0.25" r="117" customHeight="1" ht="17.25">
      <c r="A117" s="20" t="s">
        <v>10424</v>
      </c>
      <c r="B117" s="20" t="s">
        <v>212</v>
      </c>
      <c r="C117" s="20" t="s">
        <v>76</v>
      </c>
      <c r="D117" s="20" t="s">
        <v>34</v>
      </c>
      <c r="E117" s="21">
        <f>ROUND(13203*1.05,2)</f>
      </c>
      <c r="F117" s="20" t="s">
        <v>35</v>
      </c>
      <c r="G117" s="20" t="s">
        <v>18</v>
      </c>
      <c r="H117" s="21">
        <f>ROUND(RAND()*4+6,1)</f>
      </c>
      <c r="I117" s="20" t="s">
        <v>36</v>
      </c>
      <c r="J117" s="23">
        <f>ROUND(66*1,0)&amp;"%"</f>
      </c>
    </row>
    <row x14ac:dyDescent="0.25" r="118" customHeight="1" ht="17.25">
      <c r="A118" s="17" t="s">
        <v>10425</v>
      </c>
      <c r="B118" s="17" t="s">
        <v>214</v>
      </c>
      <c r="C118" s="17" t="s">
        <v>76</v>
      </c>
      <c r="D118" s="17" t="s">
        <v>39</v>
      </c>
      <c r="E118" s="18">
        <f>ROUND(12828*1.05,2)</f>
      </c>
      <c r="F118" s="17" t="s">
        <v>40</v>
      </c>
      <c r="G118" s="17" t="s">
        <v>24</v>
      </c>
      <c r="H118" s="26">
        <f>ROUND(RAND()*4+6,1)</f>
      </c>
      <c r="I118" s="17" t="s">
        <v>41</v>
      </c>
      <c r="J118" s="19">
        <f>ROUND(64*1,0)&amp;"%"</f>
      </c>
    </row>
    <row x14ac:dyDescent="0.25" r="119" customHeight="1" ht="17.25">
      <c r="A119" s="20" t="s">
        <v>10426</v>
      </c>
      <c r="B119" s="20" t="s">
        <v>216</v>
      </c>
      <c r="C119" s="20" t="s">
        <v>76</v>
      </c>
      <c r="D119" s="20" t="s">
        <v>67</v>
      </c>
      <c r="E119" s="21">
        <f>ROUND(4206*1.05,2)</f>
      </c>
      <c r="F119" s="20" t="s">
        <v>44</v>
      </c>
      <c r="G119" s="20" t="s">
        <v>30</v>
      </c>
      <c r="H119" s="21">
        <f>ROUND(RAND()*4+6,1)</f>
      </c>
      <c r="I119" s="20" t="s">
        <v>45</v>
      </c>
      <c r="J119" s="23">
        <f>ROUND(79*1,0)&amp;"%"</f>
      </c>
    </row>
    <row x14ac:dyDescent="0.25" r="120" customHeight="1" ht="17.25">
      <c r="A120" s="17" t="s">
        <v>10427</v>
      </c>
      <c r="B120" s="17" t="s">
        <v>218</v>
      </c>
      <c r="C120" s="17" t="s">
        <v>76</v>
      </c>
      <c r="D120" s="17" t="s">
        <v>16</v>
      </c>
      <c r="E120" s="18">
        <f>ROUND(5171*1.05,2)</f>
      </c>
      <c r="F120" s="17" t="s">
        <v>48</v>
      </c>
      <c r="G120" s="17" t="s">
        <v>18</v>
      </c>
      <c r="H120" s="18">
        <f>ROUND(RAND()*4+6,1)</f>
      </c>
      <c r="I120" s="17" t="s">
        <v>19</v>
      </c>
      <c r="J120" s="19">
        <f>ROUND(60*1,0)&amp;"%"</f>
      </c>
    </row>
    <row x14ac:dyDescent="0.25" r="121" customHeight="1" ht="17.25">
      <c r="A121" s="20" t="s">
        <v>10428</v>
      </c>
      <c r="B121" s="20" t="s">
        <v>220</v>
      </c>
      <c r="C121" s="20" t="s">
        <v>76</v>
      </c>
      <c r="D121" s="20" t="s">
        <v>22</v>
      </c>
      <c r="E121" s="21">
        <f>ROUND(15648*1.05,2)</f>
      </c>
      <c r="F121" s="20" t="s">
        <v>51</v>
      </c>
      <c r="G121" s="20" t="s">
        <v>24</v>
      </c>
      <c r="H121" s="21">
        <f>ROUND(RAND()*4+6,1)</f>
      </c>
      <c r="I121" s="20" t="s">
        <v>25</v>
      </c>
      <c r="J121" s="23">
        <f>ROUND(84*1,0)&amp;"%"</f>
      </c>
    </row>
    <row x14ac:dyDescent="0.25" r="122" customHeight="1" ht="17.25">
      <c r="A122" s="24" t="s">
        <v>221</v>
      </c>
      <c r="B122" s="24"/>
      <c r="C122" s="24"/>
      <c r="D122" s="24"/>
      <c r="E122" s="25">
        <v>8</v>
      </c>
      <c r="F122" s="9"/>
      <c r="G122" s="9"/>
      <c r="H122" s="10"/>
      <c r="I122" s="9"/>
      <c r="J122" s="9"/>
    </row>
    <row x14ac:dyDescent="0.25" r="123" customHeight="1" ht="17.25">
      <c r="A123" s="7"/>
      <c r="B123" s="7"/>
      <c r="C123" s="7"/>
      <c r="D123" s="7"/>
      <c r="E123" s="8"/>
      <c r="F123" s="9"/>
      <c r="G123" s="9"/>
      <c r="H123" s="10"/>
      <c r="I123" s="9"/>
      <c r="J123" s="9"/>
    </row>
    <row x14ac:dyDescent="0.25" r="124" customHeight="1" ht="17.25">
      <c r="A124" s="11" t="s">
        <v>10429</v>
      </c>
      <c r="B124" s="11"/>
      <c r="C124" s="11"/>
      <c r="D124" s="11"/>
      <c r="E124" s="12"/>
      <c r="F124" s="11"/>
      <c r="G124" s="11"/>
      <c r="H124" s="13"/>
      <c r="I124" s="11"/>
      <c r="J124" s="11"/>
    </row>
    <row x14ac:dyDescent="0.25" r="125" customHeight="1" ht="17.25">
      <c r="A125" s="14" t="s">
        <v>3</v>
      </c>
      <c r="B125" s="14" t="s">
        <v>4</v>
      </c>
      <c r="C125" s="14" t="s">
        <v>5</v>
      </c>
      <c r="D125" s="14" t="s">
        <v>6</v>
      </c>
      <c r="E125" s="15" t="s">
        <v>7</v>
      </c>
      <c r="F125" s="14" t="s">
        <v>8</v>
      </c>
      <c r="G125" s="14" t="s">
        <v>9</v>
      </c>
      <c r="H125" s="16" t="s">
        <v>10</v>
      </c>
      <c r="I125" s="14" t="s">
        <v>11</v>
      </c>
      <c r="J125" s="14" t="s">
        <v>12</v>
      </c>
    </row>
    <row x14ac:dyDescent="0.25" r="126" customHeight="1" ht="17.25">
      <c r="A126" s="17" t="s">
        <v>10430</v>
      </c>
      <c r="B126" s="17" t="s">
        <v>224</v>
      </c>
      <c r="C126" s="17" t="s">
        <v>95</v>
      </c>
      <c r="D126" s="17" t="s">
        <v>16</v>
      </c>
      <c r="E126" s="18">
        <f>ROUND(5366*1.05,2)</f>
      </c>
      <c r="F126" s="17" t="s">
        <v>17</v>
      </c>
      <c r="G126" s="17" t="s">
        <v>18</v>
      </c>
      <c r="H126" s="18">
        <f>ROUND(RAND()*4+6,1)</f>
      </c>
      <c r="I126" s="17" t="s">
        <v>19</v>
      </c>
      <c r="J126" s="19">
        <f>ROUND(93*1,0)&amp;"%"</f>
      </c>
    </row>
    <row x14ac:dyDescent="0.25" r="127" customHeight="1" ht="17.25">
      <c r="A127" s="20" t="s">
        <v>10431</v>
      </c>
      <c r="B127" s="20" t="s">
        <v>226</v>
      </c>
      <c r="C127" s="20" t="s">
        <v>95</v>
      </c>
      <c r="D127" s="20" t="s">
        <v>22</v>
      </c>
      <c r="E127" s="21">
        <f>ROUND(17606*1.05,2)</f>
      </c>
      <c r="F127" s="20" t="s">
        <v>23</v>
      </c>
      <c r="G127" s="20" t="s">
        <v>24</v>
      </c>
      <c r="H127" s="21">
        <f>ROUND(RAND()*4+6,1)</f>
      </c>
      <c r="I127" s="20" t="s">
        <v>25</v>
      </c>
      <c r="J127" s="23">
        <f>ROUND(70*1,0)&amp;"%"</f>
      </c>
    </row>
    <row x14ac:dyDescent="0.25" r="128" customHeight="1" ht="17.25">
      <c r="A128" s="17" t="s">
        <v>10432</v>
      </c>
      <c r="B128" s="17" t="s">
        <v>228</v>
      </c>
      <c r="C128" s="17" t="s">
        <v>95</v>
      </c>
      <c r="D128" s="17" t="s">
        <v>28</v>
      </c>
      <c r="E128" s="18">
        <f>ROUND(11173*1.05,2)</f>
      </c>
      <c r="F128" s="17" t="s">
        <v>29</v>
      </c>
      <c r="G128" s="17" t="s">
        <v>30</v>
      </c>
      <c r="H128" s="18">
        <f>ROUND(RAND()*4+6,1)</f>
      </c>
      <c r="I128" s="17" t="s">
        <v>31</v>
      </c>
      <c r="J128" s="19">
        <f>ROUND(73*1,0)&amp;"%"</f>
      </c>
    </row>
    <row x14ac:dyDescent="0.25" r="129" customHeight="1" ht="17.25">
      <c r="A129" s="20" t="s">
        <v>10433</v>
      </c>
      <c r="B129" s="20" t="s">
        <v>230</v>
      </c>
      <c r="C129" s="20" t="s">
        <v>95</v>
      </c>
      <c r="D129" s="20" t="s">
        <v>34</v>
      </c>
      <c r="E129" s="21">
        <f>ROUND(16410*1.05,2)</f>
      </c>
      <c r="F129" s="20" t="s">
        <v>35</v>
      </c>
      <c r="G129" s="20" t="s">
        <v>18</v>
      </c>
      <c r="H129" s="21">
        <f>ROUND(RAND()*4+6,1)</f>
      </c>
      <c r="I129" s="20" t="s">
        <v>36</v>
      </c>
      <c r="J129" s="23">
        <f>ROUND(79*1,0)&amp;"%"</f>
      </c>
    </row>
    <row x14ac:dyDescent="0.25" r="130" customHeight="1" ht="17.25">
      <c r="A130" s="17" t="s">
        <v>10434</v>
      </c>
      <c r="B130" s="17" t="s">
        <v>232</v>
      </c>
      <c r="C130" s="17" t="s">
        <v>95</v>
      </c>
      <c r="D130" s="17" t="s">
        <v>39</v>
      </c>
      <c r="E130" s="18">
        <f>ROUND(5478*1.05,2)</f>
      </c>
      <c r="F130" s="17" t="s">
        <v>40</v>
      </c>
      <c r="G130" s="17" t="s">
        <v>24</v>
      </c>
      <c r="H130" s="18">
        <f>ROUND(RAND()*4+6,1)</f>
      </c>
      <c r="I130" s="17" t="s">
        <v>41</v>
      </c>
      <c r="J130" s="19">
        <f>ROUND(78*1,0)&amp;"%"</f>
      </c>
    </row>
    <row x14ac:dyDescent="0.25" r="131" customHeight="1" ht="17.25">
      <c r="A131" s="20" t="s">
        <v>10435</v>
      </c>
      <c r="B131" s="20" t="s">
        <v>234</v>
      </c>
      <c r="C131" s="20" t="s">
        <v>95</v>
      </c>
      <c r="D131" s="20" t="s">
        <v>67</v>
      </c>
      <c r="E131" s="21">
        <f>ROUND(5759*1.05,2)</f>
      </c>
      <c r="F131" s="20" t="s">
        <v>44</v>
      </c>
      <c r="G131" s="20" t="s">
        <v>30</v>
      </c>
      <c r="H131" s="21">
        <f>ROUND(RAND()*4+6,1)</f>
      </c>
      <c r="I131" s="20" t="s">
        <v>45</v>
      </c>
      <c r="J131" s="23">
        <f>ROUND(100*1,0)&amp;"%"</f>
      </c>
    </row>
    <row x14ac:dyDescent="0.25" r="132" customHeight="1" ht="17.25">
      <c r="A132" s="17" t="s">
        <v>10436</v>
      </c>
      <c r="B132" s="17" t="s">
        <v>236</v>
      </c>
      <c r="C132" s="17" t="s">
        <v>95</v>
      </c>
      <c r="D132" s="17" t="s">
        <v>16</v>
      </c>
      <c r="E132" s="26">
        <f>ROUND(16540*1.05,2)</f>
      </c>
      <c r="F132" s="17" t="s">
        <v>48</v>
      </c>
      <c r="G132" s="17" t="s">
        <v>18</v>
      </c>
      <c r="H132" s="18">
        <f>ROUND(RAND()*4+6,1)</f>
      </c>
      <c r="I132" s="17" t="s">
        <v>19</v>
      </c>
      <c r="J132" s="19">
        <f>ROUND(65*1,0)&amp;"%"</f>
      </c>
    </row>
    <row x14ac:dyDescent="0.25" r="133" customHeight="1" ht="17.25">
      <c r="A133" s="20" t="s">
        <v>10437</v>
      </c>
      <c r="B133" s="20" t="s">
        <v>238</v>
      </c>
      <c r="C133" s="20" t="s">
        <v>95</v>
      </c>
      <c r="D133" s="20" t="s">
        <v>22</v>
      </c>
      <c r="E133" s="21">
        <f>ROUND(4263*1.05,2)</f>
      </c>
      <c r="F133" s="20" t="s">
        <v>51</v>
      </c>
      <c r="G133" s="20" t="s">
        <v>24</v>
      </c>
      <c r="H133" s="21">
        <f>ROUND(RAND()*4+6,1)</f>
      </c>
      <c r="I133" s="20" t="s">
        <v>25</v>
      </c>
      <c r="J133" s="23">
        <f>ROUND(86*1,0)&amp;"%"</f>
      </c>
    </row>
    <row x14ac:dyDescent="0.25" r="134" customHeight="1" ht="17.25">
      <c r="A134" s="24" t="s">
        <v>239</v>
      </c>
      <c r="B134" s="24"/>
      <c r="C134" s="24"/>
      <c r="D134" s="24"/>
      <c r="E134" s="25">
        <v>8</v>
      </c>
      <c r="F134" s="9"/>
      <c r="G134" s="9"/>
      <c r="H134" s="10"/>
      <c r="I134" s="9"/>
      <c r="J134" s="9"/>
    </row>
    <row x14ac:dyDescent="0.25" r="135" customHeight="1" ht="17.25">
      <c r="A135" s="7"/>
      <c r="B135" s="7"/>
      <c r="C135" s="7"/>
      <c r="D135" s="7"/>
      <c r="E135" s="8"/>
      <c r="F135" s="9"/>
      <c r="G135" s="9"/>
      <c r="H135" s="10"/>
      <c r="I135" s="9"/>
      <c r="J135" s="9"/>
    </row>
    <row x14ac:dyDescent="0.25" r="136" customHeight="1" ht="17.25">
      <c r="A136" s="11" t="s">
        <v>10438</v>
      </c>
      <c r="B136" s="11"/>
      <c r="C136" s="11"/>
      <c r="D136" s="11"/>
      <c r="E136" s="12"/>
      <c r="F136" s="11"/>
      <c r="G136" s="11"/>
      <c r="H136" s="13"/>
      <c r="I136" s="11"/>
      <c r="J136" s="11"/>
    </row>
    <row x14ac:dyDescent="0.25" r="137" customHeight="1" ht="17.25">
      <c r="A137" s="14" t="s">
        <v>3</v>
      </c>
      <c r="B137" s="14" t="s">
        <v>4</v>
      </c>
      <c r="C137" s="14" t="s">
        <v>5</v>
      </c>
      <c r="D137" s="14" t="s">
        <v>6</v>
      </c>
      <c r="E137" s="15" t="s">
        <v>7</v>
      </c>
      <c r="F137" s="14" t="s">
        <v>8</v>
      </c>
      <c r="G137" s="14" t="s">
        <v>9</v>
      </c>
      <c r="H137" s="16" t="s">
        <v>10</v>
      </c>
      <c r="I137" s="14" t="s">
        <v>11</v>
      </c>
      <c r="J137" s="14" t="s">
        <v>12</v>
      </c>
    </row>
    <row x14ac:dyDescent="0.25" r="138" customHeight="1" ht="17.25">
      <c r="A138" s="17" t="s">
        <v>10439</v>
      </c>
      <c r="B138" s="17" t="s">
        <v>242</v>
      </c>
      <c r="C138" s="17" t="s">
        <v>114</v>
      </c>
      <c r="D138" s="17" t="s">
        <v>16</v>
      </c>
      <c r="E138" s="18">
        <f>ROUND(6418*1.05,2)</f>
      </c>
      <c r="F138" s="17" t="s">
        <v>17</v>
      </c>
      <c r="G138" s="17" t="s">
        <v>18</v>
      </c>
      <c r="H138" s="18">
        <f>ROUND(RAND()*4+6,1)</f>
      </c>
      <c r="I138" s="17" t="s">
        <v>19</v>
      </c>
      <c r="J138" s="19">
        <f>ROUND(76*1,0)&amp;"%"</f>
      </c>
    </row>
    <row x14ac:dyDescent="0.25" r="139" customHeight="1" ht="17.25">
      <c r="A139" s="20" t="s">
        <v>10440</v>
      </c>
      <c r="B139" s="20" t="s">
        <v>244</v>
      </c>
      <c r="C139" s="20" t="s">
        <v>114</v>
      </c>
      <c r="D139" s="20" t="s">
        <v>22</v>
      </c>
      <c r="E139" s="21">
        <f>ROUND(13914*1.05,2)</f>
      </c>
      <c r="F139" s="20" t="s">
        <v>23</v>
      </c>
      <c r="G139" s="20" t="s">
        <v>24</v>
      </c>
      <c r="H139" s="21">
        <f>ROUND(RAND()*4+6,1)</f>
      </c>
      <c r="I139" s="20" t="s">
        <v>25</v>
      </c>
      <c r="J139" s="23">
        <f>ROUND(62*1,0)&amp;"%"</f>
      </c>
    </row>
    <row x14ac:dyDescent="0.25" r="140" customHeight="1" ht="17.25">
      <c r="A140" s="17" t="s">
        <v>10441</v>
      </c>
      <c r="B140" s="17" t="s">
        <v>246</v>
      </c>
      <c r="C140" s="17" t="s">
        <v>114</v>
      </c>
      <c r="D140" s="17" t="s">
        <v>28</v>
      </c>
      <c r="E140" s="26">
        <f>ROUND(11360*1.05,2)</f>
      </c>
      <c r="F140" s="17" t="s">
        <v>29</v>
      </c>
      <c r="G140" s="17" t="s">
        <v>30</v>
      </c>
      <c r="H140" s="18">
        <f>ROUND(RAND()*4+6,1)</f>
      </c>
      <c r="I140" s="17" t="s">
        <v>31</v>
      </c>
      <c r="J140" s="19">
        <f>ROUND(72*1,0)&amp;"%"</f>
      </c>
    </row>
    <row x14ac:dyDescent="0.25" r="141" customHeight="1" ht="17.25">
      <c r="A141" s="20" t="s">
        <v>10442</v>
      </c>
      <c r="B141" s="20" t="s">
        <v>248</v>
      </c>
      <c r="C141" s="20" t="s">
        <v>114</v>
      </c>
      <c r="D141" s="20" t="s">
        <v>34</v>
      </c>
      <c r="E141" s="21">
        <f>ROUND(9009*1.05,2)</f>
      </c>
      <c r="F141" s="20" t="s">
        <v>35</v>
      </c>
      <c r="G141" s="20" t="s">
        <v>18</v>
      </c>
      <c r="H141" s="21">
        <f>ROUND(RAND()*4+6,1)</f>
      </c>
      <c r="I141" s="20" t="s">
        <v>36</v>
      </c>
      <c r="J141" s="23">
        <f>ROUND(78*1,0)&amp;"%"</f>
      </c>
    </row>
    <row x14ac:dyDescent="0.25" r="142" customHeight="1" ht="17.25">
      <c r="A142" s="17" t="s">
        <v>10443</v>
      </c>
      <c r="B142" s="17" t="s">
        <v>250</v>
      </c>
      <c r="C142" s="17" t="s">
        <v>114</v>
      </c>
      <c r="D142" s="17" t="s">
        <v>39</v>
      </c>
      <c r="E142" s="18">
        <f>ROUND(16538*1.05,2)</f>
      </c>
      <c r="F142" s="17" t="s">
        <v>40</v>
      </c>
      <c r="G142" s="17" t="s">
        <v>24</v>
      </c>
      <c r="H142" s="18">
        <f>ROUND(RAND()*4+6,1)</f>
      </c>
      <c r="I142" s="17" t="s">
        <v>41</v>
      </c>
      <c r="J142" s="19">
        <f>ROUND(85*1,0)&amp;"%"</f>
      </c>
    </row>
    <row x14ac:dyDescent="0.25" r="143" customHeight="1" ht="17.25">
      <c r="A143" s="20" t="s">
        <v>10444</v>
      </c>
      <c r="B143" s="20" t="s">
        <v>252</v>
      </c>
      <c r="C143" s="20" t="s">
        <v>114</v>
      </c>
      <c r="D143" s="20" t="s">
        <v>67</v>
      </c>
      <c r="E143" s="21">
        <f>ROUND(15386*1.05,2)</f>
      </c>
      <c r="F143" s="20" t="s">
        <v>44</v>
      </c>
      <c r="G143" s="20" t="s">
        <v>30</v>
      </c>
      <c r="H143" s="21">
        <f>ROUND(RAND()*4+6,1)</f>
      </c>
      <c r="I143" s="20" t="s">
        <v>45</v>
      </c>
      <c r="J143" s="23">
        <f>ROUND(82*1,0)&amp;"%"</f>
      </c>
    </row>
    <row x14ac:dyDescent="0.25" r="144" customHeight="1" ht="17.25">
      <c r="A144" s="17" t="s">
        <v>10445</v>
      </c>
      <c r="B144" s="17" t="s">
        <v>254</v>
      </c>
      <c r="C144" s="17" t="s">
        <v>114</v>
      </c>
      <c r="D144" s="17" t="s">
        <v>16</v>
      </c>
      <c r="E144" s="26">
        <f>ROUND(10820*1.05,2)</f>
      </c>
      <c r="F144" s="17" t="s">
        <v>48</v>
      </c>
      <c r="G144" s="17" t="s">
        <v>18</v>
      </c>
      <c r="H144" s="18">
        <f>ROUND(RAND()*4+6,1)</f>
      </c>
      <c r="I144" s="17" t="s">
        <v>19</v>
      </c>
      <c r="J144" s="19">
        <f>ROUND(92*1,0)&amp;"%"</f>
      </c>
    </row>
    <row x14ac:dyDescent="0.25" r="145" customHeight="1" ht="17.25">
      <c r="A145" s="20" t="s">
        <v>10446</v>
      </c>
      <c r="B145" s="20" t="s">
        <v>256</v>
      </c>
      <c r="C145" s="20" t="s">
        <v>114</v>
      </c>
      <c r="D145" s="20" t="s">
        <v>22</v>
      </c>
      <c r="E145" s="21">
        <f>ROUND(11086*1.05,2)</f>
      </c>
      <c r="F145" s="20" t="s">
        <v>51</v>
      </c>
      <c r="G145" s="20" t="s">
        <v>24</v>
      </c>
      <c r="H145" s="21">
        <f>ROUND(RAND()*4+6,1)</f>
      </c>
      <c r="I145" s="20" t="s">
        <v>25</v>
      </c>
      <c r="J145" s="23">
        <f>ROUND(61*1,0)&amp;"%"</f>
      </c>
    </row>
    <row x14ac:dyDescent="0.25" r="146" customHeight="1" ht="17.25">
      <c r="A146" s="24" t="s">
        <v>257</v>
      </c>
      <c r="B146" s="24"/>
      <c r="C146" s="24"/>
      <c r="D146" s="24"/>
      <c r="E146" s="25">
        <v>8</v>
      </c>
      <c r="F146" s="9"/>
      <c r="G146" s="9"/>
      <c r="H146" s="10"/>
      <c r="I146" s="9"/>
      <c r="J146" s="9"/>
    </row>
    <row x14ac:dyDescent="0.25" r="147" customHeight="1" ht="17.25">
      <c r="A147" s="7"/>
      <c r="B147" s="7"/>
      <c r="C147" s="7"/>
      <c r="D147" s="7"/>
      <c r="E147" s="8"/>
      <c r="F147" s="9"/>
      <c r="G147" s="9"/>
      <c r="H147" s="10"/>
      <c r="I147" s="9"/>
      <c r="J147" s="9"/>
    </row>
    <row x14ac:dyDescent="0.25" r="148" customHeight="1" ht="17.25">
      <c r="A148" s="11" t="s">
        <v>10447</v>
      </c>
      <c r="B148" s="11"/>
      <c r="C148" s="11"/>
      <c r="D148" s="11"/>
      <c r="E148" s="12"/>
      <c r="F148" s="11"/>
      <c r="G148" s="11"/>
      <c r="H148" s="13"/>
      <c r="I148" s="11"/>
      <c r="J148" s="11"/>
    </row>
    <row x14ac:dyDescent="0.25" r="149" customHeight="1" ht="17.25">
      <c r="A149" s="14" t="s">
        <v>3</v>
      </c>
      <c r="B149" s="14" t="s">
        <v>4</v>
      </c>
      <c r="C149" s="14" t="s">
        <v>5</v>
      </c>
      <c r="D149" s="14" t="s">
        <v>6</v>
      </c>
      <c r="E149" s="15" t="s">
        <v>7</v>
      </c>
      <c r="F149" s="14" t="s">
        <v>8</v>
      </c>
      <c r="G149" s="14" t="s">
        <v>9</v>
      </c>
      <c r="H149" s="16" t="s">
        <v>10</v>
      </c>
      <c r="I149" s="14" t="s">
        <v>11</v>
      </c>
      <c r="J149" s="14" t="s">
        <v>12</v>
      </c>
    </row>
    <row x14ac:dyDescent="0.25" r="150" customHeight="1" ht="17.25">
      <c r="A150" s="17" t="s">
        <v>10448</v>
      </c>
      <c r="B150" s="17" t="s">
        <v>260</v>
      </c>
      <c r="C150" s="17" t="s">
        <v>133</v>
      </c>
      <c r="D150" s="17" t="s">
        <v>16</v>
      </c>
      <c r="E150" s="18">
        <f>ROUND(17163*1.05,2)</f>
      </c>
      <c r="F150" s="17" t="s">
        <v>17</v>
      </c>
      <c r="G150" s="17" t="s">
        <v>18</v>
      </c>
      <c r="H150" s="18">
        <f>ROUND(RAND()*4+6,1)</f>
      </c>
      <c r="I150" s="17" t="s">
        <v>19</v>
      </c>
      <c r="J150" s="19">
        <f>ROUND(100*1,0)&amp;"%"</f>
      </c>
    </row>
    <row x14ac:dyDescent="0.25" r="151" customHeight="1" ht="17.25">
      <c r="A151" s="20" t="s">
        <v>10449</v>
      </c>
      <c r="B151" s="20" t="s">
        <v>262</v>
      </c>
      <c r="C151" s="20" t="s">
        <v>133</v>
      </c>
      <c r="D151" s="20" t="s">
        <v>22</v>
      </c>
      <c r="E151" s="21">
        <f>ROUND(13337*1.05,2)</f>
      </c>
      <c r="F151" s="20" t="s">
        <v>23</v>
      </c>
      <c r="G151" s="20" t="s">
        <v>24</v>
      </c>
      <c r="H151" s="21">
        <f>ROUND(RAND()*4+6,1)</f>
      </c>
      <c r="I151" s="20" t="s">
        <v>25</v>
      </c>
      <c r="J151" s="23">
        <f>ROUND(87*1,0)&amp;"%"</f>
      </c>
    </row>
    <row x14ac:dyDescent="0.25" r="152" customHeight="1" ht="17.25">
      <c r="A152" s="17" t="s">
        <v>10450</v>
      </c>
      <c r="B152" s="17" t="s">
        <v>264</v>
      </c>
      <c r="C152" s="17" t="s">
        <v>133</v>
      </c>
      <c r="D152" s="17" t="s">
        <v>28</v>
      </c>
      <c r="E152" s="18">
        <f>ROUND(12389*1.05,2)</f>
      </c>
      <c r="F152" s="17" t="s">
        <v>29</v>
      </c>
      <c r="G152" s="17" t="s">
        <v>30</v>
      </c>
      <c r="H152" s="18">
        <f>ROUND(RAND()*4+6,1)</f>
      </c>
      <c r="I152" s="17" t="s">
        <v>31</v>
      </c>
      <c r="J152" s="19">
        <f>ROUND(82*1,0)&amp;"%"</f>
      </c>
    </row>
    <row x14ac:dyDescent="0.25" r="153" customHeight="1" ht="17.25">
      <c r="A153" s="20" t="s">
        <v>10451</v>
      </c>
      <c r="B153" s="20" t="s">
        <v>266</v>
      </c>
      <c r="C153" s="20" t="s">
        <v>133</v>
      </c>
      <c r="D153" s="20" t="s">
        <v>34</v>
      </c>
      <c r="E153" s="21">
        <f>ROUND(10549*1.05,2)</f>
      </c>
      <c r="F153" s="20" t="s">
        <v>35</v>
      </c>
      <c r="G153" s="20" t="s">
        <v>18</v>
      </c>
      <c r="H153" s="21">
        <f>ROUND(RAND()*4+6,1)</f>
      </c>
      <c r="I153" s="20" t="s">
        <v>36</v>
      </c>
      <c r="J153" s="23">
        <f>ROUND(63*1,0)&amp;"%"</f>
      </c>
    </row>
    <row x14ac:dyDescent="0.25" r="154" customHeight="1" ht="17.25">
      <c r="A154" s="17" t="s">
        <v>10452</v>
      </c>
      <c r="B154" s="17" t="s">
        <v>268</v>
      </c>
      <c r="C154" s="17" t="s">
        <v>133</v>
      </c>
      <c r="D154" s="17" t="s">
        <v>39</v>
      </c>
      <c r="E154" s="18">
        <f>ROUND(12541*1.05,2)</f>
      </c>
      <c r="F154" s="17" t="s">
        <v>40</v>
      </c>
      <c r="G154" s="17" t="s">
        <v>24</v>
      </c>
      <c r="H154" s="18">
        <f>ROUND(RAND()*4+6,1)</f>
      </c>
      <c r="I154" s="17" t="s">
        <v>41</v>
      </c>
      <c r="J154" s="19">
        <f>ROUND(73*1,0)&amp;"%"</f>
      </c>
    </row>
    <row x14ac:dyDescent="0.25" r="155" customHeight="1" ht="17.25">
      <c r="A155" s="20" t="s">
        <v>10453</v>
      </c>
      <c r="B155" s="20" t="s">
        <v>270</v>
      </c>
      <c r="C155" s="20" t="s">
        <v>133</v>
      </c>
      <c r="D155" s="20" t="s">
        <v>67</v>
      </c>
      <c r="E155" s="21">
        <f>ROUND(12887*1.05,2)</f>
      </c>
      <c r="F155" s="20" t="s">
        <v>44</v>
      </c>
      <c r="G155" s="20" t="s">
        <v>30</v>
      </c>
      <c r="H155" s="21">
        <f>ROUND(RAND()*4+6,1)</f>
      </c>
      <c r="I155" s="20" t="s">
        <v>45</v>
      </c>
      <c r="J155" s="23">
        <f>ROUND(85*1,0)&amp;"%"</f>
      </c>
    </row>
    <row x14ac:dyDescent="0.25" r="156" customHeight="1" ht="17.25">
      <c r="A156" s="17" t="s">
        <v>10454</v>
      </c>
      <c r="B156" s="17" t="s">
        <v>272</v>
      </c>
      <c r="C156" s="17" t="s">
        <v>133</v>
      </c>
      <c r="D156" s="17" t="s">
        <v>16</v>
      </c>
      <c r="E156" s="18">
        <f>ROUND(14273*1.05,2)</f>
      </c>
      <c r="F156" s="17" t="s">
        <v>48</v>
      </c>
      <c r="G156" s="17" t="s">
        <v>18</v>
      </c>
      <c r="H156" s="18">
        <f>ROUND(RAND()*4+6,1)</f>
      </c>
      <c r="I156" s="17" t="s">
        <v>19</v>
      </c>
      <c r="J156" s="19">
        <f>ROUND(96*1,0)&amp;"%"</f>
      </c>
    </row>
    <row x14ac:dyDescent="0.25" r="157" customHeight="1" ht="17.25">
      <c r="A157" s="20" t="s">
        <v>10455</v>
      </c>
      <c r="B157" s="20" t="s">
        <v>274</v>
      </c>
      <c r="C157" s="20" t="s">
        <v>133</v>
      </c>
      <c r="D157" s="20" t="s">
        <v>22</v>
      </c>
      <c r="E157" s="21">
        <f>ROUND(14234*1.05,2)</f>
      </c>
      <c r="F157" s="20" t="s">
        <v>51</v>
      </c>
      <c r="G157" s="20" t="s">
        <v>24</v>
      </c>
      <c r="H157" s="21">
        <f>ROUND(RAND()*4+6,1)</f>
      </c>
      <c r="I157" s="20" t="s">
        <v>25</v>
      </c>
      <c r="J157" s="23">
        <f>ROUND(89*1,0)&amp;"%"</f>
      </c>
    </row>
    <row x14ac:dyDescent="0.25" r="158" customHeight="1" ht="17.25">
      <c r="A158" s="24" t="s">
        <v>275</v>
      </c>
      <c r="B158" s="24"/>
      <c r="C158" s="24"/>
      <c r="D158" s="24"/>
      <c r="E158" s="25">
        <v>8</v>
      </c>
      <c r="F158" s="9"/>
      <c r="G158" s="9"/>
      <c r="H158" s="10"/>
      <c r="I158" s="9"/>
      <c r="J158" s="9"/>
    </row>
    <row x14ac:dyDescent="0.25" r="159" customHeight="1" ht="17.25">
      <c r="A159" s="7"/>
      <c r="B159" s="7"/>
      <c r="C159" s="7"/>
      <c r="D159" s="7"/>
      <c r="E159" s="8"/>
      <c r="F159" s="9"/>
      <c r="G159" s="9"/>
      <c r="H159" s="10"/>
      <c r="I159" s="9"/>
      <c r="J159" s="9"/>
    </row>
    <row x14ac:dyDescent="0.25" r="160" customHeight="1" ht="17.25">
      <c r="A160" s="11" t="s">
        <v>10456</v>
      </c>
      <c r="B160" s="11"/>
      <c r="C160" s="11"/>
      <c r="D160" s="11"/>
      <c r="E160" s="12"/>
      <c r="F160" s="11"/>
      <c r="G160" s="11"/>
      <c r="H160" s="13"/>
      <c r="I160" s="11"/>
      <c r="J160" s="11"/>
    </row>
    <row x14ac:dyDescent="0.25" r="161" customHeight="1" ht="17.25">
      <c r="A161" s="14" t="s">
        <v>3</v>
      </c>
      <c r="B161" s="14" t="s">
        <v>4</v>
      </c>
      <c r="C161" s="14" t="s">
        <v>5</v>
      </c>
      <c r="D161" s="14" t="s">
        <v>6</v>
      </c>
      <c r="E161" s="15" t="s">
        <v>7</v>
      </c>
      <c r="F161" s="14" t="s">
        <v>8</v>
      </c>
      <c r="G161" s="14" t="s">
        <v>9</v>
      </c>
      <c r="H161" s="16" t="s">
        <v>10</v>
      </c>
      <c r="I161" s="14" t="s">
        <v>11</v>
      </c>
      <c r="J161" s="14" t="s">
        <v>12</v>
      </c>
    </row>
    <row x14ac:dyDescent="0.25" r="162" customHeight="1" ht="17.25">
      <c r="A162" s="17" t="s">
        <v>10457</v>
      </c>
      <c r="B162" s="17" t="s">
        <v>278</v>
      </c>
      <c r="C162" s="17" t="s">
        <v>152</v>
      </c>
      <c r="D162" s="17" t="s">
        <v>16</v>
      </c>
      <c r="E162" s="18">
        <f>ROUND(6682*1.05,2)</f>
      </c>
      <c r="F162" s="17" t="s">
        <v>17</v>
      </c>
      <c r="G162" s="17" t="s">
        <v>18</v>
      </c>
      <c r="H162" s="18">
        <f>ROUND(RAND()*4+6,1)</f>
      </c>
      <c r="I162" s="17" t="s">
        <v>19</v>
      </c>
      <c r="J162" s="19">
        <f>ROUND(67*1,0)&amp;"%"</f>
      </c>
    </row>
    <row x14ac:dyDescent="0.25" r="163" customHeight="1" ht="17.25">
      <c r="A163" s="20" t="s">
        <v>10458</v>
      </c>
      <c r="B163" s="20" t="s">
        <v>280</v>
      </c>
      <c r="C163" s="20" t="s">
        <v>152</v>
      </c>
      <c r="D163" s="20" t="s">
        <v>22</v>
      </c>
      <c r="E163" s="21">
        <f>ROUND(10881*1.05,2)</f>
      </c>
      <c r="F163" s="20" t="s">
        <v>23</v>
      </c>
      <c r="G163" s="20" t="s">
        <v>24</v>
      </c>
      <c r="H163" s="21">
        <f>ROUND(RAND()*4+6,1)</f>
      </c>
      <c r="I163" s="20" t="s">
        <v>25</v>
      </c>
      <c r="J163" s="23">
        <f>ROUND(66*1,0)&amp;"%"</f>
      </c>
    </row>
    <row x14ac:dyDescent="0.25" r="164" customHeight="1" ht="17.25">
      <c r="A164" s="17" t="s">
        <v>10459</v>
      </c>
      <c r="B164" s="17" t="s">
        <v>282</v>
      </c>
      <c r="C164" s="17" t="s">
        <v>152</v>
      </c>
      <c r="D164" s="17" t="s">
        <v>28</v>
      </c>
      <c r="E164" s="18">
        <f>ROUND(10102*1.05,2)</f>
      </c>
      <c r="F164" s="17" t="s">
        <v>29</v>
      </c>
      <c r="G164" s="17" t="s">
        <v>30</v>
      </c>
      <c r="H164" s="18">
        <f>ROUND(RAND()*4+6,1)</f>
      </c>
      <c r="I164" s="17" t="s">
        <v>31</v>
      </c>
      <c r="J164" s="19">
        <f>ROUND(63*1,0)&amp;"%"</f>
      </c>
    </row>
    <row x14ac:dyDescent="0.25" r="165" customHeight="1" ht="17.25">
      <c r="A165" s="20" t="s">
        <v>10460</v>
      </c>
      <c r="B165" s="20" t="s">
        <v>284</v>
      </c>
      <c r="C165" s="20" t="s">
        <v>152</v>
      </c>
      <c r="D165" s="20" t="s">
        <v>34</v>
      </c>
      <c r="E165" s="21">
        <f>ROUND(6735*1.05,2)</f>
      </c>
      <c r="F165" s="20" t="s">
        <v>35</v>
      </c>
      <c r="G165" s="20" t="s">
        <v>18</v>
      </c>
      <c r="H165" s="21">
        <f>ROUND(RAND()*4+6,1)</f>
      </c>
      <c r="I165" s="20" t="s">
        <v>36</v>
      </c>
      <c r="J165" s="23">
        <f>ROUND(65*1,0)&amp;"%"</f>
      </c>
    </row>
    <row x14ac:dyDescent="0.25" r="166" customHeight="1" ht="17.25">
      <c r="A166" s="17" t="s">
        <v>10461</v>
      </c>
      <c r="B166" s="17" t="s">
        <v>286</v>
      </c>
      <c r="C166" s="17" t="s">
        <v>152</v>
      </c>
      <c r="D166" s="17" t="s">
        <v>39</v>
      </c>
      <c r="E166" s="18">
        <f>ROUND(12908*1.05,2)</f>
      </c>
      <c r="F166" s="17" t="s">
        <v>40</v>
      </c>
      <c r="G166" s="17" t="s">
        <v>24</v>
      </c>
      <c r="H166" s="18">
        <f>ROUND(RAND()*4+6,1)</f>
      </c>
      <c r="I166" s="17" t="s">
        <v>41</v>
      </c>
      <c r="J166" s="19">
        <f>ROUND(85*1,0)&amp;"%"</f>
      </c>
    </row>
    <row x14ac:dyDescent="0.25" r="167" customHeight="1" ht="17.25">
      <c r="A167" s="20" t="s">
        <v>10462</v>
      </c>
      <c r="B167" s="20" t="s">
        <v>288</v>
      </c>
      <c r="C167" s="20" t="s">
        <v>152</v>
      </c>
      <c r="D167" s="20" t="s">
        <v>67</v>
      </c>
      <c r="E167" s="21">
        <f>ROUND(16419*1.05,2)</f>
      </c>
      <c r="F167" s="20" t="s">
        <v>44</v>
      </c>
      <c r="G167" s="20" t="s">
        <v>30</v>
      </c>
      <c r="H167" s="22">
        <f>ROUND(RAND()*4+6,1)</f>
      </c>
      <c r="I167" s="20" t="s">
        <v>45</v>
      </c>
      <c r="J167" s="23">
        <f>ROUND(73*1,0)&amp;"%"</f>
      </c>
    </row>
    <row x14ac:dyDescent="0.25" r="168" customHeight="1" ht="17.25">
      <c r="A168" s="17" t="s">
        <v>10463</v>
      </c>
      <c r="B168" s="17" t="s">
        <v>290</v>
      </c>
      <c r="C168" s="17" t="s">
        <v>152</v>
      </c>
      <c r="D168" s="17" t="s">
        <v>16</v>
      </c>
      <c r="E168" s="18">
        <f>ROUND(7796*1.05,2)</f>
      </c>
      <c r="F168" s="17" t="s">
        <v>48</v>
      </c>
      <c r="G168" s="17" t="s">
        <v>18</v>
      </c>
      <c r="H168" s="18">
        <f>ROUND(RAND()*4+6,1)</f>
      </c>
      <c r="I168" s="17" t="s">
        <v>19</v>
      </c>
      <c r="J168" s="19">
        <f>ROUND(87*1,0)&amp;"%"</f>
      </c>
    </row>
    <row x14ac:dyDescent="0.25" r="169" customHeight="1" ht="17.25">
      <c r="A169" s="20" t="s">
        <v>10464</v>
      </c>
      <c r="B169" s="20" t="s">
        <v>292</v>
      </c>
      <c r="C169" s="20" t="s">
        <v>152</v>
      </c>
      <c r="D169" s="20" t="s">
        <v>22</v>
      </c>
      <c r="E169" s="21">
        <f>ROUND(15115*1.05,2)</f>
      </c>
      <c r="F169" s="20" t="s">
        <v>51</v>
      </c>
      <c r="G169" s="20" t="s">
        <v>24</v>
      </c>
      <c r="H169" s="21">
        <f>ROUND(RAND()*4+6,1)</f>
      </c>
      <c r="I169" s="20" t="s">
        <v>25</v>
      </c>
      <c r="J169" s="23">
        <f>ROUND(82*1,0)&amp;"%"</f>
      </c>
    </row>
    <row x14ac:dyDescent="0.25" r="170" customHeight="1" ht="17.25">
      <c r="A170" s="24" t="s">
        <v>293</v>
      </c>
      <c r="B170" s="24"/>
      <c r="C170" s="24"/>
      <c r="D170" s="24"/>
      <c r="E170" s="25">
        <v>8</v>
      </c>
      <c r="F170" s="9"/>
      <c r="G170" s="9"/>
      <c r="H170" s="10"/>
      <c r="I170" s="9"/>
      <c r="J170" s="9"/>
    </row>
    <row x14ac:dyDescent="0.25" r="171" customHeight="1" ht="17.25">
      <c r="A171" s="7"/>
      <c r="B171" s="7"/>
      <c r="C171" s="7"/>
      <c r="D171" s="7"/>
      <c r="E171" s="8"/>
      <c r="F171" s="9"/>
      <c r="G171" s="9"/>
      <c r="H171" s="10"/>
      <c r="I171" s="9"/>
      <c r="J171" s="9"/>
    </row>
    <row x14ac:dyDescent="0.25" r="172" customHeight="1" ht="17.25">
      <c r="A172" s="11" t="s">
        <v>10465</v>
      </c>
      <c r="B172" s="11"/>
      <c r="C172" s="11"/>
      <c r="D172" s="11"/>
      <c r="E172" s="12"/>
      <c r="F172" s="11"/>
      <c r="G172" s="11"/>
      <c r="H172" s="13"/>
      <c r="I172" s="11"/>
      <c r="J172" s="11"/>
    </row>
    <row x14ac:dyDescent="0.25" r="173" customHeight="1" ht="17.25">
      <c r="A173" s="14" t="s">
        <v>3</v>
      </c>
      <c r="B173" s="14" t="s">
        <v>4</v>
      </c>
      <c r="C173" s="14" t="s">
        <v>5</v>
      </c>
      <c r="D173" s="14" t="s">
        <v>6</v>
      </c>
      <c r="E173" s="15" t="s">
        <v>7</v>
      </c>
      <c r="F173" s="14" t="s">
        <v>8</v>
      </c>
      <c r="G173" s="14" t="s">
        <v>9</v>
      </c>
      <c r="H173" s="16" t="s">
        <v>10</v>
      </c>
      <c r="I173" s="14" t="s">
        <v>11</v>
      </c>
      <c r="J173" s="14" t="s">
        <v>12</v>
      </c>
    </row>
    <row x14ac:dyDescent="0.25" r="174" customHeight="1" ht="17.25">
      <c r="A174" s="17" t="s">
        <v>10466</v>
      </c>
      <c r="B174" s="17" t="s">
        <v>296</v>
      </c>
      <c r="C174" s="17" t="s">
        <v>15</v>
      </c>
      <c r="D174" s="17" t="s">
        <v>16</v>
      </c>
      <c r="E174" s="18">
        <f>ROUND(8404*1.05,2)</f>
      </c>
      <c r="F174" s="17" t="s">
        <v>17</v>
      </c>
      <c r="G174" s="17" t="s">
        <v>18</v>
      </c>
      <c r="H174" s="26">
        <f>ROUND(RAND()*4+6,1)</f>
      </c>
      <c r="I174" s="17" t="s">
        <v>19</v>
      </c>
      <c r="J174" s="19">
        <f>ROUND(91*1,0)&amp;"%"</f>
      </c>
    </row>
    <row x14ac:dyDescent="0.25" r="175" customHeight="1" ht="17.25">
      <c r="A175" s="20" t="s">
        <v>10467</v>
      </c>
      <c r="B175" s="20" t="s">
        <v>298</v>
      </c>
      <c r="C175" s="20" t="s">
        <v>15</v>
      </c>
      <c r="D175" s="20" t="s">
        <v>22</v>
      </c>
      <c r="E175" s="21">
        <f>ROUND(17628*1.05,2)</f>
      </c>
      <c r="F175" s="20" t="s">
        <v>23</v>
      </c>
      <c r="G175" s="20" t="s">
        <v>24</v>
      </c>
      <c r="H175" s="21">
        <f>ROUND(RAND()*4+6,1)</f>
      </c>
      <c r="I175" s="20" t="s">
        <v>25</v>
      </c>
      <c r="J175" s="23">
        <f>ROUND(77*1,0)&amp;"%"</f>
      </c>
    </row>
    <row x14ac:dyDescent="0.25" r="176" customHeight="1" ht="17.25">
      <c r="A176" s="17" t="s">
        <v>10468</v>
      </c>
      <c r="B176" s="17" t="s">
        <v>300</v>
      </c>
      <c r="C176" s="17" t="s">
        <v>15</v>
      </c>
      <c r="D176" s="17" t="s">
        <v>28</v>
      </c>
      <c r="E176" s="18">
        <f>ROUND(12281*1.05,2)</f>
      </c>
      <c r="F176" s="17" t="s">
        <v>29</v>
      </c>
      <c r="G176" s="17" t="s">
        <v>30</v>
      </c>
      <c r="H176" s="18">
        <f>ROUND(RAND()*4+6,1)</f>
      </c>
      <c r="I176" s="17" t="s">
        <v>31</v>
      </c>
      <c r="J176" s="19">
        <f>ROUND(72*1,0)&amp;"%"</f>
      </c>
    </row>
    <row x14ac:dyDescent="0.25" r="177" customHeight="1" ht="17.25">
      <c r="A177" s="20" t="s">
        <v>10469</v>
      </c>
      <c r="B177" s="20" t="s">
        <v>302</v>
      </c>
      <c r="C177" s="20" t="s">
        <v>15</v>
      </c>
      <c r="D177" s="20" t="s">
        <v>34</v>
      </c>
      <c r="E177" s="21">
        <f>ROUND(12367*1.05,2)</f>
      </c>
      <c r="F177" s="20" t="s">
        <v>35</v>
      </c>
      <c r="G177" s="20" t="s">
        <v>18</v>
      </c>
      <c r="H177" s="21">
        <f>ROUND(RAND()*4+6,1)</f>
      </c>
      <c r="I177" s="20" t="s">
        <v>36</v>
      </c>
      <c r="J177" s="23">
        <f>ROUND(97*1,0)&amp;"%"</f>
      </c>
    </row>
    <row x14ac:dyDescent="0.25" r="178" customHeight="1" ht="17.25">
      <c r="A178" s="17" t="s">
        <v>10470</v>
      </c>
      <c r="B178" s="17" t="s">
        <v>304</v>
      </c>
      <c r="C178" s="17" t="s">
        <v>15</v>
      </c>
      <c r="D178" s="17" t="s">
        <v>39</v>
      </c>
      <c r="E178" s="18">
        <f>ROUND(5255*1.05,2)</f>
      </c>
      <c r="F178" s="17" t="s">
        <v>40</v>
      </c>
      <c r="G178" s="17" t="s">
        <v>24</v>
      </c>
      <c r="H178" s="18">
        <f>ROUND(RAND()*4+6,1)</f>
      </c>
      <c r="I178" s="17" t="s">
        <v>41</v>
      </c>
      <c r="J178" s="19">
        <f>ROUND(93*1,0)&amp;"%"</f>
      </c>
    </row>
    <row x14ac:dyDescent="0.25" r="179" customHeight="1" ht="17.25">
      <c r="A179" s="20" t="s">
        <v>10471</v>
      </c>
      <c r="B179" s="20" t="s">
        <v>306</v>
      </c>
      <c r="C179" s="20" t="s">
        <v>15</v>
      </c>
      <c r="D179" s="20" t="s">
        <v>67</v>
      </c>
      <c r="E179" s="21">
        <f>ROUND(15279*1.05,2)</f>
      </c>
      <c r="F179" s="20" t="s">
        <v>44</v>
      </c>
      <c r="G179" s="20" t="s">
        <v>30</v>
      </c>
      <c r="H179" s="21">
        <f>ROUND(RAND()*4+6,1)</f>
      </c>
      <c r="I179" s="20" t="s">
        <v>45</v>
      </c>
      <c r="J179" s="23">
        <f>ROUND(88*1,0)&amp;"%"</f>
      </c>
    </row>
    <row x14ac:dyDescent="0.25" r="180" customHeight="1" ht="17.25">
      <c r="A180" s="17" t="s">
        <v>10472</v>
      </c>
      <c r="B180" s="17" t="s">
        <v>308</v>
      </c>
      <c r="C180" s="17" t="s">
        <v>15</v>
      </c>
      <c r="D180" s="17" t="s">
        <v>16</v>
      </c>
      <c r="E180" s="18">
        <f>ROUND(8474*1.05,2)</f>
      </c>
      <c r="F180" s="17" t="s">
        <v>48</v>
      </c>
      <c r="G180" s="17" t="s">
        <v>18</v>
      </c>
      <c r="H180" s="18">
        <f>ROUND(RAND()*4+6,1)</f>
      </c>
      <c r="I180" s="17" t="s">
        <v>19</v>
      </c>
      <c r="J180" s="19">
        <f>ROUND(75*1,0)&amp;"%"</f>
      </c>
    </row>
    <row x14ac:dyDescent="0.25" r="181" customHeight="1" ht="17.25">
      <c r="A181" s="20" t="s">
        <v>10473</v>
      </c>
      <c r="B181" s="20" t="s">
        <v>310</v>
      </c>
      <c r="C181" s="20" t="s">
        <v>15</v>
      </c>
      <c r="D181" s="20" t="s">
        <v>22</v>
      </c>
      <c r="E181" s="21">
        <f>ROUND(15490*1.05,2)</f>
      </c>
      <c r="F181" s="20" t="s">
        <v>51</v>
      </c>
      <c r="G181" s="20" t="s">
        <v>24</v>
      </c>
      <c r="H181" s="21">
        <f>ROUND(RAND()*4+6,1)</f>
      </c>
      <c r="I181" s="20" t="s">
        <v>25</v>
      </c>
      <c r="J181" s="23">
        <f>ROUND(100*1,0)&amp;"%"</f>
      </c>
    </row>
    <row x14ac:dyDescent="0.25" r="182" customHeight="1" ht="17.25">
      <c r="A182" s="24" t="s">
        <v>311</v>
      </c>
      <c r="B182" s="24"/>
      <c r="C182" s="24"/>
      <c r="D182" s="24"/>
      <c r="E182" s="25">
        <v>8</v>
      </c>
      <c r="F182" s="9"/>
      <c r="G182" s="9"/>
      <c r="H182" s="10"/>
      <c r="I182" s="9"/>
      <c r="J182" s="9"/>
    </row>
    <row x14ac:dyDescent="0.25" r="183" customHeight="1" ht="17.25">
      <c r="A183" s="7"/>
      <c r="B183" s="7"/>
      <c r="C183" s="7"/>
      <c r="D183" s="7"/>
      <c r="E183" s="8"/>
      <c r="F183" s="9"/>
      <c r="G183" s="9"/>
      <c r="H183" s="10"/>
      <c r="I183" s="9"/>
      <c r="J183" s="9"/>
    </row>
    <row x14ac:dyDescent="0.25" r="184" customHeight="1" ht="17.25">
      <c r="A184" s="11" t="s">
        <v>10474</v>
      </c>
      <c r="B184" s="11"/>
      <c r="C184" s="11"/>
      <c r="D184" s="11"/>
      <c r="E184" s="12"/>
      <c r="F184" s="11"/>
      <c r="G184" s="11"/>
      <c r="H184" s="13"/>
      <c r="I184" s="11"/>
      <c r="J184" s="11"/>
    </row>
    <row x14ac:dyDescent="0.25" r="185" customHeight="1" ht="17.25">
      <c r="A185" s="14" t="s">
        <v>3</v>
      </c>
      <c r="B185" s="14" t="s">
        <v>4</v>
      </c>
      <c r="C185" s="14" t="s">
        <v>5</v>
      </c>
      <c r="D185" s="14" t="s">
        <v>6</v>
      </c>
      <c r="E185" s="15" t="s">
        <v>7</v>
      </c>
      <c r="F185" s="14" t="s">
        <v>8</v>
      </c>
      <c r="G185" s="14" t="s">
        <v>9</v>
      </c>
      <c r="H185" s="16" t="s">
        <v>10</v>
      </c>
      <c r="I185" s="14" t="s">
        <v>11</v>
      </c>
      <c r="J185" s="14" t="s">
        <v>12</v>
      </c>
    </row>
    <row x14ac:dyDescent="0.25" r="186" customHeight="1" ht="17.25">
      <c r="A186" s="17" t="s">
        <v>10475</v>
      </c>
      <c r="B186" s="17" t="s">
        <v>314</v>
      </c>
      <c r="C186" s="17" t="s">
        <v>56</v>
      </c>
      <c r="D186" s="17" t="s">
        <v>16</v>
      </c>
      <c r="E186" s="18">
        <f>ROUND(9503*1.05,2)</f>
      </c>
      <c r="F186" s="17" t="s">
        <v>17</v>
      </c>
      <c r="G186" s="17" t="s">
        <v>18</v>
      </c>
      <c r="H186" s="18">
        <f>ROUND(RAND()*4+6,1)</f>
      </c>
      <c r="I186" s="17" t="s">
        <v>19</v>
      </c>
      <c r="J186" s="19">
        <f>ROUND(78*1,0)&amp;"%"</f>
      </c>
    </row>
    <row x14ac:dyDescent="0.25" r="187" customHeight="1" ht="17.25">
      <c r="A187" s="20" t="s">
        <v>10476</v>
      </c>
      <c r="B187" s="20" t="s">
        <v>316</v>
      </c>
      <c r="C187" s="20" t="s">
        <v>56</v>
      </c>
      <c r="D187" s="20" t="s">
        <v>22</v>
      </c>
      <c r="E187" s="21">
        <f>ROUND(14851*1.05,2)</f>
      </c>
      <c r="F187" s="20" t="s">
        <v>23</v>
      </c>
      <c r="G187" s="20" t="s">
        <v>24</v>
      </c>
      <c r="H187" s="21">
        <f>ROUND(RAND()*4+6,1)</f>
      </c>
      <c r="I187" s="20" t="s">
        <v>25</v>
      </c>
      <c r="J187" s="23">
        <f>ROUND(93*1,0)&amp;"%"</f>
      </c>
    </row>
    <row x14ac:dyDescent="0.25" r="188" customHeight="1" ht="17.25">
      <c r="A188" s="17" t="s">
        <v>10477</v>
      </c>
      <c r="B188" s="17" t="s">
        <v>318</v>
      </c>
      <c r="C188" s="17" t="s">
        <v>56</v>
      </c>
      <c r="D188" s="17" t="s">
        <v>28</v>
      </c>
      <c r="E188" s="18">
        <f>ROUND(14689*1.05,2)</f>
      </c>
      <c r="F188" s="17" t="s">
        <v>29</v>
      </c>
      <c r="G188" s="17" t="s">
        <v>30</v>
      </c>
      <c r="H188" s="18">
        <f>ROUND(RAND()*4+6,1)</f>
      </c>
      <c r="I188" s="17" t="s">
        <v>31</v>
      </c>
      <c r="J188" s="19">
        <f>ROUND(72*1,0)&amp;"%"</f>
      </c>
    </row>
    <row x14ac:dyDescent="0.25" r="189" customHeight="1" ht="17.25">
      <c r="A189" s="20" t="s">
        <v>10478</v>
      </c>
      <c r="B189" s="20" t="s">
        <v>320</v>
      </c>
      <c r="C189" s="20" t="s">
        <v>56</v>
      </c>
      <c r="D189" s="20" t="s">
        <v>34</v>
      </c>
      <c r="E189" s="21">
        <f>ROUND(17496*1.05,2)</f>
      </c>
      <c r="F189" s="20" t="s">
        <v>35</v>
      </c>
      <c r="G189" s="20" t="s">
        <v>18</v>
      </c>
      <c r="H189" s="21">
        <f>ROUND(RAND()*4+6,1)</f>
      </c>
      <c r="I189" s="20" t="s">
        <v>36</v>
      </c>
      <c r="J189" s="23">
        <f>ROUND(60*1,0)&amp;"%"</f>
      </c>
    </row>
    <row x14ac:dyDescent="0.25" r="190" customHeight="1" ht="17.25">
      <c r="A190" s="17" t="s">
        <v>10479</v>
      </c>
      <c r="B190" s="17" t="s">
        <v>322</v>
      </c>
      <c r="C190" s="17" t="s">
        <v>56</v>
      </c>
      <c r="D190" s="17" t="s">
        <v>39</v>
      </c>
      <c r="E190" s="18">
        <f>ROUND(16639*1.05,2)</f>
      </c>
      <c r="F190" s="17" t="s">
        <v>40</v>
      </c>
      <c r="G190" s="17" t="s">
        <v>24</v>
      </c>
      <c r="H190" s="18">
        <f>ROUND(RAND()*4+6,1)</f>
      </c>
      <c r="I190" s="17" t="s">
        <v>41</v>
      </c>
      <c r="J190" s="19">
        <f>ROUND(95*1,0)&amp;"%"</f>
      </c>
    </row>
    <row x14ac:dyDescent="0.25" r="191" customHeight="1" ht="17.25">
      <c r="A191" s="20" t="s">
        <v>10480</v>
      </c>
      <c r="B191" s="20" t="s">
        <v>324</v>
      </c>
      <c r="C191" s="20" t="s">
        <v>56</v>
      </c>
      <c r="D191" s="20" t="s">
        <v>67</v>
      </c>
      <c r="E191" s="21">
        <f>ROUND(8569*1.05,2)</f>
      </c>
      <c r="F191" s="20" t="s">
        <v>44</v>
      </c>
      <c r="G191" s="20" t="s">
        <v>30</v>
      </c>
      <c r="H191" s="21">
        <f>ROUND(RAND()*4+6,1)</f>
      </c>
      <c r="I191" s="20" t="s">
        <v>45</v>
      </c>
      <c r="J191" s="23">
        <f>ROUND(95*1,0)&amp;"%"</f>
      </c>
    </row>
    <row x14ac:dyDescent="0.25" r="192" customHeight="1" ht="17.25">
      <c r="A192" s="17" t="s">
        <v>10481</v>
      </c>
      <c r="B192" s="17" t="s">
        <v>326</v>
      </c>
      <c r="C192" s="17" t="s">
        <v>56</v>
      </c>
      <c r="D192" s="17" t="s">
        <v>16</v>
      </c>
      <c r="E192" s="18">
        <f>ROUND(8805*1.05,2)</f>
      </c>
      <c r="F192" s="17" t="s">
        <v>48</v>
      </c>
      <c r="G192" s="17" t="s">
        <v>18</v>
      </c>
      <c r="H192" s="18">
        <f>ROUND(RAND()*4+6,1)</f>
      </c>
      <c r="I192" s="17" t="s">
        <v>19</v>
      </c>
      <c r="J192" s="19">
        <f>ROUND(64*1,0)&amp;"%"</f>
      </c>
    </row>
    <row x14ac:dyDescent="0.25" r="193" customHeight="1" ht="17.25">
      <c r="A193" s="20" t="s">
        <v>10482</v>
      </c>
      <c r="B193" s="20" t="s">
        <v>328</v>
      </c>
      <c r="C193" s="20" t="s">
        <v>56</v>
      </c>
      <c r="D193" s="20" t="s">
        <v>22</v>
      </c>
      <c r="E193" s="21">
        <f>ROUND(6982*1.05,2)</f>
      </c>
      <c r="F193" s="20" t="s">
        <v>51</v>
      </c>
      <c r="G193" s="20" t="s">
        <v>24</v>
      </c>
      <c r="H193" s="21">
        <f>ROUND(RAND()*4+6,1)</f>
      </c>
      <c r="I193" s="20" t="s">
        <v>25</v>
      </c>
      <c r="J193" s="23">
        <f>ROUND(75*1,0)&amp;"%"</f>
      </c>
    </row>
    <row x14ac:dyDescent="0.25" r="194" customHeight="1" ht="17.25">
      <c r="A194" s="24" t="s">
        <v>329</v>
      </c>
      <c r="B194" s="24"/>
      <c r="C194" s="24"/>
      <c r="D194" s="24"/>
      <c r="E194" s="25">
        <v>8</v>
      </c>
      <c r="F194" s="9"/>
      <c r="G194" s="9"/>
      <c r="H194" s="10"/>
      <c r="I194" s="9"/>
      <c r="J194" s="9"/>
    </row>
    <row x14ac:dyDescent="0.25" r="195" customHeight="1" ht="17.25">
      <c r="A195" s="7"/>
      <c r="B195" s="7"/>
      <c r="C195" s="7"/>
      <c r="D195" s="7"/>
      <c r="E195" s="8"/>
      <c r="F195" s="9"/>
      <c r="G195" s="9"/>
      <c r="H195" s="10"/>
      <c r="I195" s="9"/>
      <c r="J195" s="9"/>
    </row>
    <row x14ac:dyDescent="0.25" r="196" customHeight="1" ht="17.25">
      <c r="A196" s="11" t="s">
        <v>10483</v>
      </c>
      <c r="B196" s="11"/>
      <c r="C196" s="11"/>
      <c r="D196" s="11"/>
      <c r="E196" s="12"/>
      <c r="F196" s="11"/>
      <c r="G196" s="11"/>
      <c r="H196" s="13"/>
      <c r="I196" s="11"/>
      <c r="J196" s="11"/>
    </row>
    <row x14ac:dyDescent="0.25" r="197" customHeight="1" ht="17.25">
      <c r="A197" s="14" t="s">
        <v>3</v>
      </c>
      <c r="B197" s="14" t="s">
        <v>4</v>
      </c>
      <c r="C197" s="14" t="s">
        <v>5</v>
      </c>
      <c r="D197" s="14" t="s">
        <v>6</v>
      </c>
      <c r="E197" s="15" t="s">
        <v>7</v>
      </c>
      <c r="F197" s="14" t="s">
        <v>8</v>
      </c>
      <c r="G197" s="14" t="s">
        <v>9</v>
      </c>
      <c r="H197" s="16" t="s">
        <v>10</v>
      </c>
      <c r="I197" s="14" t="s">
        <v>11</v>
      </c>
      <c r="J197" s="14" t="s">
        <v>12</v>
      </c>
    </row>
    <row x14ac:dyDescent="0.25" r="198" customHeight="1" ht="17.25">
      <c r="A198" s="17" t="s">
        <v>10484</v>
      </c>
      <c r="B198" s="17" t="s">
        <v>332</v>
      </c>
      <c r="C198" s="17" t="s">
        <v>76</v>
      </c>
      <c r="D198" s="17" t="s">
        <v>16</v>
      </c>
      <c r="E198" s="18">
        <f>ROUND(12557*1.05,2)</f>
      </c>
      <c r="F198" s="17" t="s">
        <v>17</v>
      </c>
      <c r="G198" s="17" t="s">
        <v>18</v>
      </c>
      <c r="H198" s="18">
        <f>ROUND(RAND()*4+6,1)</f>
      </c>
      <c r="I198" s="17" t="s">
        <v>19</v>
      </c>
      <c r="J198" s="19">
        <f>ROUND(65*1,0)&amp;"%"</f>
      </c>
    </row>
    <row x14ac:dyDescent="0.25" r="199" customHeight="1" ht="17.25">
      <c r="A199" s="20" t="s">
        <v>10485</v>
      </c>
      <c r="B199" s="20" t="s">
        <v>334</v>
      </c>
      <c r="C199" s="20" t="s">
        <v>76</v>
      </c>
      <c r="D199" s="20" t="s">
        <v>22</v>
      </c>
      <c r="E199" s="21">
        <f>ROUND(17169*1.05,2)</f>
      </c>
      <c r="F199" s="20" t="s">
        <v>23</v>
      </c>
      <c r="G199" s="20" t="s">
        <v>24</v>
      </c>
      <c r="H199" s="21">
        <f>ROUND(RAND()*4+6,1)</f>
      </c>
      <c r="I199" s="20" t="s">
        <v>25</v>
      </c>
      <c r="J199" s="23">
        <f>ROUND(70*1,0)&amp;"%"</f>
      </c>
    </row>
    <row x14ac:dyDescent="0.25" r="200" customHeight="1" ht="17.25">
      <c r="A200" s="17" t="s">
        <v>10486</v>
      </c>
      <c r="B200" s="17" t="s">
        <v>336</v>
      </c>
      <c r="C200" s="17" t="s">
        <v>76</v>
      </c>
      <c r="D200" s="17" t="s">
        <v>28</v>
      </c>
      <c r="E200" s="18">
        <f>ROUND(7358*1.05,2)</f>
      </c>
      <c r="F200" s="17" t="s">
        <v>29</v>
      </c>
      <c r="G200" s="17" t="s">
        <v>30</v>
      </c>
      <c r="H200" s="18">
        <f>ROUND(RAND()*4+6,1)</f>
      </c>
      <c r="I200" s="17" t="s">
        <v>31</v>
      </c>
      <c r="J200" s="19">
        <f>ROUND(81*1,0)&amp;"%"</f>
      </c>
    </row>
    <row x14ac:dyDescent="0.25" r="201" customHeight="1" ht="17.25">
      <c r="A201" s="20" t="s">
        <v>10487</v>
      </c>
      <c r="B201" s="20" t="s">
        <v>338</v>
      </c>
      <c r="C201" s="20" t="s">
        <v>76</v>
      </c>
      <c r="D201" s="20" t="s">
        <v>34</v>
      </c>
      <c r="E201" s="21">
        <f>ROUND(5749*1.05,2)</f>
      </c>
      <c r="F201" s="20" t="s">
        <v>35</v>
      </c>
      <c r="G201" s="20" t="s">
        <v>18</v>
      </c>
      <c r="H201" s="21">
        <f>ROUND(RAND()*4+6,1)</f>
      </c>
      <c r="I201" s="20" t="s">
        <v>36</v>
      </c>
      <c r="J201" s="23">
        <f>ROUND(64*1,0)&amp;"%"</f>
      </c>
    </row>
    <row x14ac:dyDescent="0.25" r="202" customHeight="1" ht="17.25">
      <c r="A202" s="17" t="s">
        <v>10488</v>
      </c>
      <c r="B202" s="17" t="s">
        <v>340</v>
      </c>
      <c r="C202" s="17" t="s">
        <v>76</v>
      </c>
      <c r="D202" s="17" t="s">
        <v>39</v>
      </c>
      <c r="E202" s="26">
        <f>ROUND(15000*1.05,2)</f>
      </c>
      <c r="F202" s="17" t="s">
        <v>40</v>
      </c>
      <c r="G202" s="17" t="s">
        <v>24</v>
      </c>
      <c r="H202" s="18">
        <f>ROUND(RAND()*4+6,1)</f>
      </c>
      <c r="I202" s="17" t="s">
        <v>41</v>
      </c>
      <c r="J202" s="19">
        <f>ROUND(84*1,0)&amp;"%"</f>
      </c>
    </row>
    <row x14ac:dyDescent="0.25" r="203" customHeight="1" ht="17.25">
      <c r="A203" s="20" t="s">
        <v>10489</v>
      </c>
      <c r="B203" s="20" t="s">
        <v>342</v>
      </c>
      <c r="C203" s="20" t="s">
        <v>76</v>
      </c>
      <c r="D203" s="20" t="s">
        <v>67</v>
      </c>
      <c r="E203" s="21">
        <f>ROUND(6586*1.05,2)</f>
      </c>
      <c r="F203" s="20" t="s">
        <v>44</v>
      </c>
      <c r="G203" s="20" t="s">
        <v>30</v>
      </c>
      <c r="H203" s="21">
        <f>ROUND(RAND()*4+6,1)</f>
      </c>
      <c r="I203" s="20" t="s">
        <v>45</v>
      </c>
      <c r="J203" s="23">
        <f>ROUND(82*1,0)&amp;"%"</f>
      </c>
    </row>
    <row x14ac:dyDescent="0.25" r="204" customHeight="1" ht="17.25">
      <c r="A204" s="17" t="s">
        <v>10490</v>
      </c>
      <c r="B204" s="17" t="s">
        <v>344</v>
      </c>
      <c r="C204" s="17" t="s">
        <v>76</v>
      </c>
      <c r="D204" s="17" t="s">
        <v>16</v>
      </c>
      <c r="E204" s="26">
        <f>ROUND(10860*1.05,2)</f>
      </c>
      <c r="F204" s="17" t="s">
        <v>48</v>
      </c>
      <c r="G204" s="17" t="s">
        <v>18</v>
      </c>
      <c r="H204" s="18">
        <f>ROUND(RAND()*4+6,1)</f>
      </c>
      <c r="I204" s="17" t="s">
        <v>19</v>
      </c>
      <c r="J204" s="19">
        <f>ROUND(89*1,0)&amp;"%"</f>
      </c>
    </row>
    <row x14ac:dyDescent="0.25" r="205" customHeight="1" ht="17.25">
      <c r="A205" s="20" t="s">
        <v>10491</v>
      </c>
      <c r="B205" s="20" t="s">
        <v>346</v>
      </c>
      <c r="C205" s="20" t="s">
        <v>76</v>
      </c>
      <c r="D205" s="20" t="s">
        <v>22</v>
      </c>
      <c r="E205" s="22">
        <f>ROUND(13260*1.05,2)</f>
      </c>
      <c r="F205" s="20" t="s">
        <v>51</v>
      </c>
      <c r="G205" s="20" t="s">
        <v>24</v>
      </c>
      <c r="H205" s="22">
        <f>ROUND(RAND()*4+6,1)</f>
      </c>
      <c r="I205" s="20" t="s">
        <v>25</v>
      </c>
      <c r="J205" s="23">
        <f>ROUND(68*1,0)&amp;"%"</f>
      </c>
    </row>
    <row x14ac:dyDescent="0.25" r="206" customHeight="1" ht="17.25">
      <c r="A206" s="24" t="s">
        <v>347</v>
      </c>
      <c r="B206" s="24"/>
      <c r="C206" s="24"/>
      <c r="D206" s="24"/>
      <c r="E206" s="25">
        <v>8</v>
      </c>
      <c r="F206" s="9"/>
      <c r="G206" s="9"/>
      <c r="H206" s="10"/>
      <c r="I206" s="9"/>
      <c r="J206" s="9"/>
    </row>
    <row x14ac:dyDescent="0.25" r="207" customHeight="1" ht="17.25">
      <c r="A207" s="7"/>
      <c r="B207" s="7"/>
      <c r="C207" s="7"/>
      <c r="D207" s="7"/>
      <c r="E207" s="8"/>
      <c r="F207" s="9"/>
      <c r="G207" s="9"/>
      <c r="H207" s="10"/>
      <c r="I207" s="9"/>
      <c r="J207" s="9"/>
    </row>
    <row x14ac:dyDescent="0.25" r="208" customHeight="1" ht="17.25">
      <c r="A208" s="11" t="s">
        <v>10492</v>
      </c>
      <c r="B208" s="11"/>
      <c r="C208" s="11"/>
      <c r="D208" s="11"/>
      <c r="E208" s="12"/>
      <c r="F208" s="11"/>
      <c r="G208" s="11"/>
      <c r="H208" s="13"/>
      <c r="I208" s="11"/>
      <c r="J208" s="11"/>
    </row>
    <row x14ac:dyDescent="0.25" r="209" customHeight="1" ht="17.25">
      <c r="A209" s="14" t="s">
        <v>3</v>
      </c>
      <c r="B209" s="14" t="s">
        <v>4</v>
      </c>
      <c r="C209" s="14" t="s">
        <v>5</v>
      </c>
      <c r="D209" s="14" t="s">
        <v>6</v>
      </c>
      <c r="E209" s="15" t="s">
        <v>7</v>
      </c>
      <c r="F209" s="14" t="s">
        <v>8</v>
      </c>
      <c r="G209" s="14" t="s">
        <v>9</v>
      </c>
      <c r="H209" s="16" t="s">
        <v>10</v>
      </c>
      <c r="I209" s="14" t="s">
        <v>11</v>
      </c>
      <c r="J209" s="14" t="s">
        <v>12</v>
      </c>
    </row>
    <row x14ac:dyDescent="0.25" r="210" customHeight="1" ht="17.25">
      <c r="A210" s="17" t="s">
        <v>10493</v>
      </c>
      <c r="B210" s="17" t="s">
        <v>350</v>
      </c>
      <c r="C210" s="17" t="s">
        <v>95</v>
      </c>
      <c r="D210" s="17" t="s">
        <v>16</v>
      </c>
      <c r="E210" s="18">
        <f>ROUND(10459*1.05,2)</f>
      </c>
      <c r="F210" s="17" t="s">
        <v>17</v>
      </c>
      <c r="G210" s="17" t="s">
        <v>18</v>
      </c>
      <c r="H210" s="18">
        <f>ROUND(RAND()*4+6,1)</f>
      </c>
      <c r="I210" s="17" t="s">
        <v>19</v>
      </c>
      <c r="J210" s="19">
        <f>ROUND(90*1,0)&amp;"%"</f>
      </c>
    </row>
    <row x14ac:dyDescent="0.25" r="211" customHeight="1" ht="17.25">
      <c r="A211" s="20" t="s">
        <v>10494</v>
      </c>
      <c r="B211" s="20" t="s">
        <v>352</v>
      </c>
      <c r="C211" s="20" t="s">
        <v>95</v>
      </c>
      <c r="D211" s="20" t="s">
        <v>22</v>
      </c>
      <c r="E211" s="21">
        <f>ROUND(9708*1.05,2)</f>
      </c>
      <c r="F211" s="20" t="s">
        <v>23</v>
      </c>
      <c r="G211" s="20" t="s">
        <v>24</v>
      </c>
      <c r="H211" s="21">
        <f>ROUND(RAND()*4+6,1)</f>
      </c>
      <c r="I211" s="20" t="s">
        <v>25</v>
      </c>
      <c r="J211" s="23">
        <f>ROUND(77*1,0)&amp;"%"</f>
      </c>
    </row>
    <row x14ac:dyDescent="0.25" r="212" customHeight="1" ht="17.25">
      <c r="A212" s="17" t="s">
        <v>10495</v>
      </c>
      <c r="B212" s="17" t="s">
        <v>354</v>
      </c>
      <c r="C212" s="17" t="s">
        <v>95</v>
      </c>
      <c r="D212" s="17" t="s">
        <v>28</v>
      </c>
      <c r="E212" s="18">
        <f>ROUND(5168*1.05,2)</f>
      </c>
      <c r="F212" s="17" t="s">
        <v>29</v>
      </c>
      <c r="G212" s="17" t="s">
        <v>30</v>
      </c>
      <c r="H212" s="18">
        <f>ROUND(RAND()*4+6,1)</f>
      </c>
      <c r="I212" s="17" t="s">
        <v>31</v>
      </c>
      <c r="J212" s="19">
        <f>ROUND(83*1,0)&amp;"%"</f>
      </c>
    </row>
    <row x14ac:dyDescent="0.25" r="213" customHeight="1" ht="17.25">
      <c r="A213" s="20" t="s">
        <v>10496</v>
      </c>
      <c r="B213" s="20" t="s">
        <v>356</v>
      </c>
      <c r="C213" s="20" t="s">
        <v>95</v>
      </c>
      <c r="D213" s="20" t="s">
        <v>34</v>
      </c>
      <c r="E213" s="21">
        <f>ROUND(14015*1.05,2)</f>
      </c>
      <c r="F213" s="20" t="s">
        <v>35</v>
      </c>
      <c r="G213" s="20" t="s">
        <v>18</v>
      </c>
      <c r="H213" s="22">
        <f>ROUND(RAND()*4+6,1)</f>
      </c>
      <c r="I213" s="20" t="s">
        <v>36</v>
      </c>
      <c r="J213" s="23">
        <f>ROUND(79*1,0)&amp;"%"</f>
      </c>
    </row>
    <row x14ac:dyDescent="0.25" r="214" customHeight="1" ht="17.25">
      <c r="A214" s="17" t="s">
        <v>10497</v>
      </c>
      <c r="B214" s="17" t="s">
        <v>358</v>
      </c>
      <c r="C214" s="17" t="s">
        <v>95</v>
      </c>
      <c r="D214" s="17" t="s">
        <v>39</v>
      </c>
      <c r="E214" s="18">
        <f>ROUND(9356*1.05,2)</f>
      </c>
      <c r="F214" s="17" t="s">
        <v>40</v>
      </c>
      <c r="G214" s="17" t="s">
        <v>24</v>
      </c>
      <c r="H214" s="18">
        <f>ROUND(RAND()*4+6,1)</f>
      </c>
      <c r="I214" s="17" t="s">
        <v>41</v>
      </c>
      <c r="J214" s="19">
        <f>ROUND(67*1,0)&amp;"%"</f>
      </c>
    </row>
    <row x14ac:dyDescent="0.25" r="215" customHeight="1" ht="17.25">
      <c r="A215" s="20" t="s">
        <v>10498</v>
      </c>
      <c r="B215" s="20" t="s">
        <v>360</v>
      </c>
      <c r="C215" s="20" t="s">
        <v>95</v>
      </c>
      <c r="D215" s="20" t="s">
        <v>67</v>
      </c>
      <c r="E215" s="21">
        <f>ROUND(12665*1.05,2)</f>
      </c>
      <c r="F215" s="20" t="s">
        <v>44</v>
      </c>
      <c r="G215" s="20" t="s">
        <v>30</v>
      </c>
      <c r="H215" s="21">
        <f>ROUND(RAND()*4+6,1)</f>
      </c>
      <c r="I215" s="20" t="s">
        <v>45</v>
      </c>
      <c r="J215" s="23">
        <f>ROUND(86*1,0)&amp;"%"</f>
      </c>
    </row>
    <row x14ac:dyDescent="0.25" r="216" customHeight="1" ht="17.25">
      <c r="A216" s="17" t="s">
        <v>10499</v>
      </c>
      <c r="B216" s="17" t="s">
        <v>362</v>
      </c>
      <c r="C216" s="17" t="s">
        <v>95</v>
      </c>
      <c r="D216" s="17" t="s">
        <v>16</v>
      </c>
      <c r="E216" s="18">
        <f>ROUND(6065*1.05,2)</f>
      </c>
      <c r="F216" s="17" t="s">
        <v>48</v>
      </c>
      <c r="G216" s="17" t="s">
        <v>18</v>
      </c>
      <c r="H216" s="18">
        <f>ROUND(RAND()*4+6,1)</f>
      </c>
      <c r="I216" s="17" t="s">
        <v>19</v>
      </c>
      <c r="J216" s="19">
        <f>ROUND(82*1,0)&amp;"%"</f>
      </c>
    </row>
    <row x14ac:dyDescent="0.25" r="217" customHeight="1" ht="17.25">
      <c r="A217" s="20" t="s">
        <v>10500</v>
      </c>
      <c r="B217" s="20" t="s">
        <v>364</v>
      </c>
      <c r="C217" s="20" t="s">
        <v>95</v>
      </c>
      <c r="D217" s="20" t="s">
        <v>22</v>
      </c>
      <c r="E217" s="21">
        <f>ROUND(7227*1.05,2)</f>
      </c>
      <c r="F217" s="20" t="s">
        <v>51</v>
      </c>
      <c r="G217" s="20" t="s">
        <v>24</v>
      </c>
      <c r="H217" s="21">
        <f>ROUND(RAND()*4+6,1)</f>
      </c>
      <c r="I217" s="20" t="s">
        <v>25</v>
      </c>
      <c r="J217" s="23">
        <f>ROUND(97*1,0)&amp;"%"</f>
      </c>
    </row>
    <row x14ac:dyDescent="0.25" r="218" customHeight="1" ht="17.25">
      <c r="A218" s="24" t="s">
        <v>365</v>
      </c>
      <c r="B218" s="24"/>
      <c r="C218" s="24"/>
      <c r="D218" s="24"/>
      <c r="E218" s="25">
        <v>8</v>
      </c>
      <c r="F218" s="9"/>
      <c r="G218" s="9"/>
      <c r="H218" s="10"/>
      <c r="I218" s="9"/>
      <c r="J218" s="9"/>
    </row>
    <row x14ac:dyDescent="0.25" r="219" customHeight="1" ht="17.25">
      <c r="A219" s="7"/>
      <c r="B219" s="7"/>
      <c r="C219" s="7"/>
      <c r="D219" s="7"/>
      <c r="E219" s="8"/>
      <c r="F219" s="9"/>
      <c r="G219" s="9"/>
      <c r="H219" s="10"/>
      <c r="I219" s="9"/>
      <c r="J219" s="9"/>
    </row>
    <row x14ac:dyDescent="0.25" r="220" customHeight="1" ht="17.25">
      <c r="A220" s="11" t="s">
        <v>10501</v>
      </c>
      <c r="B220" s="11"/>
      <c r="C220" s="11"/>
      <c r="D220" s="11"/>
      <c r="E220" s="12"/>
      <c r="F220" s="11"/>
      <c r="G220" s="11"/>
      <c r="H220" s="13"/>
      <c r="I220" s="11"/>
      <c r="J220" s="11"/>
    </row>
    <row x14ac:dyDescent="0.25" r="221" customHeight="1" ht="17.25">
      <c r="A221" s="14" t="s">
        <v>3</v>
      </c>
      <c r="B221" s="14" t="s">
        <v>4</v>
      </c>
      <c r="C221" s="14" t="s">
        <v>5</v>
      </c>
      <c r="D221" s="14" t="s">
        <v>6</v>
      </c>
      <c r="E221" s="15" t="s">
        <v>7</v>
      </c>
      <c r="F221" s="14" t="s">
        <v>8</v>
      </c>
      <c r="G221" s="14" t="s">
        <v>9</v>
      </c>
      <c r="H221" s="16" t="s">
        <v>10</v>
      </c>
      <c r="I221" s="14" t="s">
        <v>11</v>
      </c>
      <c r="J221" s="14" t="s">
        <v>12</v>
      </c>
    </row>
    <row x14ac:dyDescent="0.25" r="222" customHeight="1" ht="17.25">
      <c r="A222" s="17" t="s">
        <v>10502</v>
      </c>
      <c r="B222" s="17" t="s">
        <v>368</v>
      </c>
      <c r="C222" s="17" t="s">
        <v>114</v>
      </c>
      <c r="D222" s="17" t="s">
        <v>16</v>
      </c>
      <c r="E222" s="18">
        <f>ROUND(10801*1.05,2)</f>
      </c>
      <c r="F222" s="17" t="s">
        <v>17</v>
      </c>
      <c r="G222" s="17" t="s">
        <v>18</v>
      </c>
      <c r="H222" s="18">
        <f>ROUND(RAND()*4+6,1)</f>
      </c>
      <c r="I222" s="17" t="s">
        <v>19</v>
      </c>
      <c r="J222" s="19">
        <f>ROUND(99*1,0)&amp;"%"</f>
      </c>
    </row>
    <row x14ac:dyDescent="0.25" r="223" customHeight="1" ht="17.25">
      <c r="A223" s="20" t="s">
        <v>10503</v>
      </c>
      <c r="B223" s="20" t="s">
        <v>370</v>
      </c>
      <c r="C223" s="20" t="s">
        <v>114</v>
      </c>
      <c r="D223" s="20" t="s">
        <v>22</v>
      </c>
      <c r="E223" s="21">
        <f>ROUND(9290*1.05,2)</f>
      </c>
      <c r="F223" s="20" t="s">
        <v>23</v>
      </c>
      <c r="G223" s="20" t="s">
        <v>24</v>
      </c>
      <c r="H223" s="21">
        <f>ROUND(RAND()*4+6,1)</f>
      </c>
      <c r="I223" s="20" t="s">
        <v>25</v>
      </c>
      <c r="J223" s="23">
        <f>ROUND(83*1,0)&amp;"%"</f>
      </c>
    </row>
    <row x14ac:dyDescent="0.25" r="224" customHeight="1" ht="17.25">
      <c r="A224" s="17" t="s">
        <v>10504</v>
      </c>
      <c r="B224" s="17" t="s">
        <v>372</v>
      </c>
      <c r="C224" s="17" t="s">
        <v>114</v>
      </c>
      <c r="D224" s="17" t="s">
        <v>28</v>
      </c>
      <c r="E224" s="18">
        <f>ROUND(17623*1.05,2)</f>
      </c>
      <c r="F224" s="17" t="s">
        <v>29</v>
      </c>
      <c r="G224" s="17" t="s">
        <v>30</v>
      </c>
      <c r="H224" s="26">
        <f>ROUND(RAND()*4+6,1)</f>
      </c>
      <c r="I224" s="17" t="s">
        <v>31</v>
      </c>
      <c r="J224" s="19">
        <f>ROUND(77*1,0)&amp;"%"</f>
      </c>
    </row>
    <row x14ac:dyDescent="0.25" r="225" customHeight="1" ht="17.25">
      <c r="A225" s="20" t="s">
        <v>10505</v>
      </c>
      <c r="B225" s="20" t="s">
        <v>374</v>
      </c>
      <c r="C225" s="20" t="s">
        <v>114</v>
      </c>
      <c r="D225" s="20" t="s">
        <v>34</v>
      </c>
      <c r="E225" s="21">
        <f>ROUND(17443*1.05,2)</f>
      </c>
      <c r="F225" s="20" t="s">
        <v>35</v>
      </c>
      <c r="G225" s="20" t="s">
        <v>18</v>
      </c>
      <c r="H225" s="21">
        <f>ROUND(RAND()*4+6,1)</f>
      </c>
      <c r="I225" s="20" t="s">
        <v>36</v>
      </c>
      <c r="J225" s="23">
        <f>ROUND(64*1,0)&amp;"%"</f>
      </c>
    </row>
    <row x14ac:dyDescent="0.25" r="226" customHeight="1" ht="17.25">
      <c r="A226" s="17" t="s">
        <v>10506</v>
      </c>
      <c r="B226" s="17" t="s">
        <v>376</v>
      </c>
      <c r="C226" s="17" t="s">
        <v>114</v>
      </c>
      <c r="D226" s="17" t="s">
        <v>39</v>
      </c>
      <c r="E226" s="18">
        <f>ROUND(7409*1.05,2)</f>
      </c>
      <c r="F226" s="17" t="s">
        <v>40</v>
      </c>
      <c r="G226" s="17" t="s">
        <v>24</v>
      </c>
      <c r="H226" s="18">
        <f>ROUND(RAND()*4+6,1)</f>
      </c>
      <c r="I226" s="17" t="s">
        <v>41</v>
      </c>
      <c r="J226" s="19">
        <f>ROUND(70*1,0)&amp;"%"</f>
      </c>
    </row>
    <row x14ac:dyDescent="0.25" r="227" customHeight="1" ht="17.25">
      <c r="A227" s="20" t="s">
        <v>10507</v>
      </c>
      <c r="B227" s="20" t="s">
        <v>378</v>
      </c>
      <c r="C227" s="20" t="s">
        <v>114</v>
      </c>
      <c r="D227" s="20" t="s">
        <v>67</v>
      </c>
      <c r="E227" s="21">
        <f>ROUND(7973*1.05,2)</f>
      </c>
      <c r="F227" s="20" t="s">
        <v>44</v>
      </c>
      <c r="G227" s="20" t="s">
        <v>30</v>
      </c>
      <c r="H227" s="21">
        <f>ROUND(RAND()*4+6,1)</f>
      </c>
      <c r="I227" s="20" t="s">
        <v>45</v>
      </c>
      <c r="J227" s="23">
        <f>ROUND(60*1,0)&amp;"%"</f>
      </c>
    </row>
    <row x14ac:dyDescent="0.25" r="228" customHeight="1" ht="17.25">
      <c r="A228" s="17" t="s">
        <v>10508</v>
      </c>
      <c r="B228" s="17" t="s">
        <v>380</v>
      </c>
      <c r="C228" s="17" t="s">
        <v>114</v>
      </c>
      <c r="D228" s="17" t="s">
        <v>16</v>
      </c>
      <c r="E228" s="18">
        <f>ROUND(14688*1.05,2)</f>
      </c>
      <c r="F228" s="17" t="s">
        <v>48</v>
      </c>
      <c r="G228" s="17" t="s">
        <v>18</v>
      </c>
      <c r="H228" s="18">
        <f>ROUND(RAND()*4+6,1)</f>
      </c>
      <c r="I228" s="17" t="s">
        <v>19</v>
      </c>
      <c r="J228" s="19">
        <f>ROUND(63*1,0)&amp;"%"</f>
      </c>
    </row>
    <row x14ac:dyDescent="0.25" r="229" customHeight="1" ht="17.25">
      <c r="A229" s="20" t="s">
        <v>10509</v>
      </c>
      <c r="B229" s="20" t="s">
        <v>382</v>
      </c>
      <c r="C229" s="20" t="s">
        <v>114</v>
      </c>
      <c r="D229" s="20" t="s">
        <v>22</v>
      </c>
      <c r="E229" s="21">
        <f>ROUND(14857*1.05,2)</f>
      </c>
      <c r="F229" s="20" t="s">
        <v>51</v>
      </c>
      <c r="G229" s="20" t="s">
        <v>24</v>
      </c>
      <c r="H229" s="21">
        <f>ROUND(RAND()*4+6,1)</f>
      </c>
      <c r="I229" s="20" t="s">
        <v>25</v>
      </c>
      <c r="J229" s="23">
        <f>ROUND(97*1,0)&amp;"%"</f>
      </c>
    </row>
    <row x14ac:dyDescent="0.25" r="230" customHeight="1" ht="17.25">
      <c r="A230" s="24" t="s">
        <v>383</v>
      </c>
      <c r="B230" s="24"/>
      <c r="C230" s="24"/>
      <c r="D230" s="24"/>
      <c r="E230" s="25">
        <v>8</v>
      </c>
      <c r="F230" s="9"/>
      <c r="G230" s="9"/>
      <c r="H230" s="10"/>
      <c r="I230" s="9"/>
      <c r="J230" s="9"/>
    </row>
    <row x14ac:dyDescent="0.25" r="231" customHeight="1" ht="17.25">
      <c r="A231" s="7"/>
      <c r="B231" s="7"/>
      <c r="C231" s="7"/>
      <c r="D231" s="7"/>
      <c r="E231" s="8"/>
      <c r="F231" s="9"/>
      <c r="G231" s="9"/>
      <c r="H231" s="10"/>
      <c r="I231" s="9"/>
      <c r="J231" s="9"/>
    </row>
    <row x14ac:dyDescent="0.25" r="232" customHeight="1" ht="17.25">
      <c r="A232" s="11" t="s">
        <v>10510</v>
      </c>
      <c r="B232" s="11"/>
      <c r="C232" s="11"/>
      <c r="D232" s="11"/>
      <c r="E232" s="12"/>
      <c r="F232" s="11"/>
      <c r="G232" s="11"/>
      <c r="H232" s="13"/>
      <c r="I232" s="11"/>
      <c r="J232" s="11"/>
    </row>
    <row x14ac:dyDescent="0.25" r="233" customHeight="1" ht="17.25">
      <c r="A233" s="14" t="s">
        <v>3</v>
      </c>
      <c r="B233" s="14" t="s">
        <v>4</v>
      </c>
      <c r="C233" s="14" t="s">
        <v>5</v>
      </c>
      <c r="D233" s="14" t="s">
        <v>6</v>
      </c>
      <c r="E233" s="15" t="s">
        <v>7</v>
      </c>
      <c r="F233" s="14" t="s">
        <v>8</v>
      </c>
      <c r="G233" s="14" t="s">
        <v>9</v>
      </c>
      <c r="H233" s="16" t="s">
        <v>10</v>
      </c>
      <c r="I233" s="14" t="s">
        <v>11</v>
      </c>
      <c r="J233" s="14" t="s">
        <v>12</v>
      </c>
    </row>
    <row x14ac:dyDescent="0.25" r="234" customHeight="1" ht="17.25">
      <c r="A234" s="17" t="s">
        <v>10511</v>
      </c>
      <c r="B234" s="17" t="s">
        <v>386</v>
      </c>
      <c r="C234" s="17" t="s">
        <v>133</v>
      </c>
      <c r="D234" s="17" t="s">
        <v>16</v>
      </c>
      <c r="E234" s="18">
        <f>ROUND(10673*1.05,2)</f>
      </c>
      <c r="F234" s="17" t="s">
        <v>17</v>
      </c>
      <c r="G234" s="17" t="s">
        <v>18</v>
      </c>
      <c r="H234" s="18">
        <f>ROUND(RAND()*4+6,1)</f>
      </c>
      <c r="I234" s="17" t="s">
        <v>19</v>
      </c>
      <c r="J234" s="19">
        <f>ROUND(80*1,0)&amp;"%"</f>
      </c>
    </row>
    <row x14ac:dyDescent="0.25" r="235" customHeight="1" ht="17.25">
      <c r="A235" s="20" t="s">
        <v>10512</v>
      </c>
      <c r="B235" s="20" t="s">
        <v>388</v>
      </c>
      <c r="C235" s="20" t="s">
        <v>133</v>
      </c>
      <c r="D235" s="20" t="s">
        <v>22</v>
      </c>
      <c r="E235" s="21">
        <f>ROUND(14382*1.05,2)</f>
      </c>
      <c r="F235" s="20" t="s">
        <v>23</v>
      </c>
      <c r="G235" s="20" t="s">
        <v>24</v>
      </c>
      <c r="H235" s="21">
        <f>ROUND(RAND()*4+6,1)</f>
      </c>
      <c r="I235" s="20" t="s">
        <v>25</v>
      </c>
      <c r="J235" s="23">
        <f>ROUND(61*1,0)&amp;"%"</f>
      </c>
    </row>
    <row x14ac:dyDescent="0.25" r="236" customHeight="1" ht="17.25">
      <c r="A236" s="17" t="s">
        <v>10513</v>
      </c>
      <c r="B236" s="17" t="s">
        <v>390</v>
      </c>
      <c r="C236" s="17" t="s">
        <v>133</v>
      </c>
      <c r="D236" s="17" t="s">
        <v>28</v>
      </c>
      <c r="E236" s="18">
        <f>ROUND(11979*1.05,2)</f>
      </c>
      <c r="F236" s="17" t="s">
        <v>29</v>
      </c>
      <c r="G236" s="17" t="s">
        <v>30</v>
      </c>
      <c r="H236" s="18">
        <f>ROUND(RAND()*4+6,1)</f>
      </c>
      <c r="I236" s="17" t="s">
        <v>31</v>
      </c>
      <c r="J236" s="19">
        <f>ROUND(99*1,0)&amp;"%"</f>
      </c>
    </row>
    <row x14ac:dyDescent="0.25" r="237" customHeight="1" ht="17.25">
      <c r="A237" s="20" t="s">
        <v>10514</v>
      </c>
      <c r="B237" s="20" t="s">
        <v>392</v>
      </c>
      <c r="C237" s="20" t="s">
        <v>133</v>
      </c>
      <c r="D237" s="20" t="s">
        <v>34</v>
      </c>
      <c r="E237" s="21">
        <f>ROUND(5899*1.05,2)</f>
      </c>
      <c r="F237" s="20" t="s">
        <v>35</v>
      </c>
      <c r="G237" s="20" t="s">
        <v>18</v>
      </c>
      <c r="H237" s="21">
        <f>ROUND(RAND()*4+6,1)</f>
      </c>
      <c r="I237" s="20" t="s">
        <v>36</v>
      </c>
      <c r="J237" s="23">
        <f>ROUND(96*1,0)&amp;"%"</f>
      </c>
    </row>
    <row x14ac:dyDescent="0.25" r="238" customHeight="1" ht="17.25">
      <c r="A238" s="17" t="s">
        <v>10515</v>
      </c>
      <c r="B238" s="17" t="s">
        <v>394</v>
      </c>
      <c r="C238" s="17" t="s">
        <v>133</v>
      </c>
      <c r="D238" s="17" t="s">
        <v>39</v>
      </c>
      <c r="E238" s="18">
        <f>ROUND(11544*1.05,2)</f>
      </c>
      <c r="F238" s="17" t="s">
        <v>40</v>
      </c>
      <c r="G238" s="17" t="s">
        <v>24</v>
      </c>
      <c r="H238" s="18">
        <f>ROUND(RAND()*4+6,1)</f>
      </c>
      <c r="I238" s="17" t="s">
        <v>41</v>
      </c>
      <c r="J238" s="19">
        <f>ROUND(82*1,0)&amp;"%"</f>
      </c>
    </row>
    <row x14ac:dyDescent="0.25" r="239" customHeight="1" ht="17.25">
      <c r="A239" s="20" t="s">
        <v>10516</v>
      </c>
      <c r="B239" s="20" t="s">
        <v>396</v>
      </c>
      <c r="C239" s="20" t="s">
        <v>133</v>
      </c>
      <c r="D239" s="20" t="s">
        <v>67</v>
      </c>
      <c r="E239" s="21">
        <f>ROUND(11437*1.05,2)</f>
      </c>
      <c r="F239" s="20" t="s">
        <v>44</v>
      </c>
      <c r="G239" s="20" t="s">
        <v>30</v>
      </c>
      <c r="H239" s="21">
        <f>ROUND(RAND()*4+6,1)</f>
      </c>
      <c r="I239" s="20" t="s">
        <v>45</v>
      </c>
      <c r="J239" s="23">
        <f>ROUND(86*1,0)&amp;"%"</f>
      </c>
    </row>
    <row x14ac:dyDescent="0.25" r="240" customHeight="1" ht="17.25">
      <c r="A240" s="17" t="s">
        <v>10517</v>
      </c>
      <c r="B240" s="17" t="s">
        <v>398</v>
      </c>
      <c r="C240" s="17" t="s">
        <v>133</v>
      </c>
      <c r="D240" s="17" t="s">
        <v>16</v>
      </c>
      <c r="E240" s="18">
        <f>ROUND(7735*1.05,2)</f>
      </c>
      <c r="F240" s="17" t="s">
        <v>48</v>
      </c>
      <c r="G240" s="17" t="s">
        <v>18</v>
      </c>
      <c r="H240" s="18">
        <f>ROUND(RAND()*4+6,1)</f>
      </c>
      <c r="I240" s="17" t="s">
        <v>19</v>
      </c>
      <c r="J240" s="19">
        <f>ROUND(98*1,0)&amp;"%"</f>
      </c>
    </row>
    <row x14ac:dyDescent="0.25" r="241" customHeight="1" ht="17.25">
      <c r="A241" s="20" t="s">
        <v>10518</v>
      </c>
      <c r="B241" s="20" t="s">
        <v>400</v>
      </c>
      <c r="C241" s="20" t="s">
        <v>133</v>
      </c>
      <c r="D241" s="20" t="s">
        <v>22</v>
      </c>
      <c r="E241" s="21">
        <f>ROUND(6275*1.05,2)</f>
      </c>
      <c r="F241" s="20" t="s">
        <v>51</v>
      </c>
      <c r="G241" s="20" t="s">
        <v>24</v>
      </c>
      <c r="H241" s="21">
        <f>ROUND(RAND()*4+6,1)</f>
      </c>
      <c r="I241" s="20" t="s">
        <v>25</v>
      </c>
      <c r="J241" s="23">
        <f>ROUND(93*1,0)&amp;"%"</f>
      </c>
    </row>
    <row x14ac:dyDescent="0.25" r="242" customHeight="1" ht="17.25">
      <c r="A242" s="24" t="s">
        <v>401</v>
      </c>
      <c r="B242" s="24"/>
      <c r="C242" s="24"/>
      <c r="D242" s="24"/>
      <c r="E242" s="25">
        <v>8</v>
      </c>
      <c r="F242" s="9"/>
      <c r="G242" s="9"/>
      <c r="H242" s="10"/>
      <c r="I242" s="9"/>
      <c r="J242" s="9"/>
    </row>
    <row x14ac:dyDescent="0.25" r="243" customHeight="1" ht="17.25">
      <c r="A243" s="7"/>
      <c r="B243" s="7"/>
      <c r="C243" s="7"/>
      <c r="D243" s="7"/>
      <c r="E243" s="8"/>
      <c r="F243" s="9"/>
      <c r="G243" s="9"/>
      <c r="H243" s="10"/>
      <c r="I243" s="9"/>
      <c r="J243" s="9"/>
    </row>
    <row x14ac:dyDescent="0.25" r="244" customHeight="1" ht="17.25">
      <c r="A244" s="11" t="s">
        <v>10519</v>
      </c>
      <c r="B244" s="11"/>
      <c r="C244" s="11"/>
      <c r="D244" s="11"/>
      <c r="E244" s="12"/>
      <c r="F244" s="11"/>
      <c r="G244" s="11"/>
      <c r="H244" s="13"/>
      <c r="I244" s="11"/>
      <c r="J244" s="11"/>
    </row>
    <row x14ac:dyDescent="0.25" r="245" customHeight="1" ht="17.25">
      <c r="A245" s="14" t="s">
        <v>3</v>
      </c>
      <c r="B245" s="14" t="s">
        <v>4</v>
      </c>
      <c r="C245" s="14" t="s">
        <v>5</v>
      </c>
      <c r="D245" s="14" t="s">
        <v>6</v>
      </c>
      <c r="E245" s="15" t="s">
        <v>7</v>
      </c>
      <c r="F245" s="14" t="s">
        <v>8</v>
      </c>
      <c r="G245" s="14" t="s">
        <v>9</v>
      </c>
      <c r="H245" s="16" t="s">
        <v>10</v>
      </c>
      <c r="I245" s="14" t="s">
        <v>11</v>
      </c>
      <c r="J245" s="14" t="s">
        <v>12</v>
      </c>
    </row>
    <row x14ac:dyDescent="0.25" r="246" customHeight="1" ht="17.25">
      <c r="A246" s="17" t="s">
        <v>10520</v>
      </c>
      <c r="B246" s="17" t="s">
        <v>404</v>
      </c>
      <c r="C246" s="17" t="s">
        <v>152</v>
      </c>
      <c r="D246" s="17" t="s">
        <v>16</v>
      </c>
      <c r="E246" s="18">
        <f>ROUND(14902*1.05,2)</f>
      </c>
      <c r="F246" s="17" t="s">
        <v>17</v>
      </c>
      <c r="G246" s="17" t="s">
        <v>18</v>
      </c>
      <c r="H246" s="18">
        <f>ROUND(RAND()*4+6,1)</f>
      </c>
      <c r="I246" s="17" t="s">
        <v>19</v>
      </c>
      <c r="J246" s="19">
        <f>ROUND(85*1,0)&amp;"%"</f>
      </c>
    </row>
    <row x14ac:dyDescent="0.25" r="247" customHeight="1" ht="17.25">
      <c r="A247" s="20" t="s">
        <v>10521</v>
      </c>
      <c r="B247" s="20" t="s">
        <v>406</v>
      </c>
      <c r="C247" s="20" t="s">
        <v>152</v>
      </c>
      <c r="D247" s="20" t="s">
        <v>22</v>
      </c>
      <c r="E247" s="21">
        <f>ROUND(16005*1.05,2)</f>
      </c>
      <c r="F247" s="20" t="s">
        <v>23</v>
      </c>
      <c r="G247" s="20" t="s">
        <v>24</v>
      </c>
      <c r="H247" s="21">
        <f>ROUND(RAND()*4+6,1)</f>
      </c>
      <c r="I247" s="20" t="s">
        <v>25</v>
      </c>
      <c r="J247" s="23">
        <f>ROUND(76*1,0)&amp;"%"</f>
      </c>
    </row>
    <row x14ac:dyDescent="0.25" r="248" customHeight="1" ht="17.25">
      <c r="A248" s="17" t="s">
        <v>10522</v>
      </c>
      <c r="B248" s="17" t="s">
        <v>408</v>
      </c>
      <c r="C248" s="17" t="s">
        <v>152</v>
      </c>
      <c r="D248" s="17" t="s">
        <v>28</v>
      </c>
      <c r="E248" s="18">
        <f>ROUND(14367*1.05,2)</f>
      </c>
      <c r="F248" s="17" t="s">
        <v>29</v>
      </c>
      <c r="G248" s="17" t="s">
        <v>30</v>
      </c>
      <c r="H248" s="18">
        <f>ROUND(RAND()*4+6,1)</f>
      </c>
      <c r="I248" s="17" t="s">
        <v>31</v>
      </c>
      <c r="J248" s="19">
        <f>ROUND(94*1,0)&amp;"%"</f>
      </c>
    </row>
    <row x14ac:dyDescent="0.25" r="249" customHeight="1" ht="17.25">
      <c r="A249" s="20" t="s">
        <v>10523</v>
      </c>
      <c r="B249" s="20" t="s">
        <v>410</v>
      </c>
      <c r="C249" s="20" t="s">
        <v>152</v>
      </c>
      <c r="D249" s="20" t="s">
        <v>34</v>
      </c>
      <c r="E249" s="21">
        <f>ROUND(12048*1.05,2)</f>
      </c>
      <c r="F249" s="20" t="s">
        <v>35</v>
      </c>
      <c r="G249" s="20" t="s">
        <v>18</v>
      </c>
      <c r="H249" s="21">
        <f>ROUND(RAND()*4+6,1)</f>
      </c>
      <c r="I249" s="20" t="s">
        <v>36</v>
      </c>
      <c r="J249" s="23">
        <f>ROUND(65*1,0)&amp;"%"</f>
      </c>
    </row>
    <row x14ac:dyDescent="0.25" r="250" customHeight="1" ht="17.25">
      <c r="A250" s="17" t="s">
        <v>10524</v>
      </c>
      <c r="B250" s="17" t="s">
        <v>412</v>
      </c>
      <c r="C250" s="17" t="s">
        <v>152</v>
      </c>
      <c r="D250" s="17" t="s">
        <v>39</v>
      </c>
      <c r="E250" s="18">
        <f>ROUND(15429*1.05,2)</f>
      </c>
      <c r="F250" s="17" t="s">
        <v>40</v>
      </c>
      <c r="G250" s="17" t="s">
        <v>24</v>
      </c>
      <c r="H250" s="18">
        <f>ROUND(RAND()*4+6,1)</f>
      </c>
      <c r="I250" s="17" t="s">
        <v>41</v>
      </c>
      <c r="J250" s="19">
        <f>ROUND(77*1,0)&amp;"%"</f>
      </c>
    </row>
    <row x14ac:dyDescent="0.25" r="251" customHeight="1" ht="17.25">
      <c r="A251" s="20" t="s">
        <v>10525</v>
      </c>
      <c r="B251" s="20" t="s">
        <v>414</v>
      </c>
      <c r="C251" s="20" t="s">
        <v>152</v>
      </c>
      <c r="D251" s="20" t="s">
        <v>67</v>
      </c>
      <c r="E251" s="21">
        <f>ROUND(9287*1.05,2)</f>
      </c>
      <c r="F251" s="20" t="s">
        <v>44</v>
      </c>
      <c r="G251" s="20" t="s">
        <v>30</v>
      </c>
      <c r="H251" s="21">
        <f>ROUND(RAND()*4+6,1)</f>
      </c>
      <c r="I251" s="20" t="s">
        <v>45</v>
      </c>
      <c r="J251" s="23">
        <f>ROUND(88*1,0)&amp;"%"</f>
      </c>
    </row>
    <row x14ac:dyDescent="0.25" r="252" customHeight="1" ht="17.25">
      <c r="A252" s="17" t="s">
        <v>10526</v>
      </c>
      <c r="B252" s="17" t="s">
        <v>416</v>
      </c>
      <c r="C252" s="17" t="s">
        <v>152</v>
      </c>
      <c r="D252" s="17" t="s">
        <v>16</v>
      </c>
      <c r="E252" s="18">
        <f>ROUND(17039*1.05,2)</f>
      </c>
      <c r="F252" s="17" t="s">
        <v>48</v>
      </c>
      <c r="G252" s="17" t="s">
        <v>18</v>
      </c>
      <c r="H252" s="18">
        <f>ROUND(RAND()*4+6,1)</f>
      </c>
      <c r="I252" s="17" t="s">
        <v>19</v>
      </c>
      <c r="J252" s="19">
        <f>ROUND(70*1,0)&amp;"%"</f>
      </c>
    </row>
    <row x14ac:dyDescent="0.25" r="253" customHeight="1" ht="17.25">
      <c r="A253" s="20" t="s">
        <v>10527</v>
      </c>
      <c r="B253" s="20" t="s">
        <v>418</v>
      </c>
      <c r="C253" s="20" t="s">
        <v>152</v>
      </c>
      <c r="D253" s="20" t="s">
        <v>22</v>
      </c>
      <c r="E253" s="21">
        <f>ROUND(5050*1.05,2)</f>
      </c>
      <c r="F253" s="20" t="s">
        <v>51</v>
      </c>
      <c r="G253" s="20" t="s">
        <v>24</v>
      </c>
      <c r="H253" s="21">
        <f>ROUND(RAND()*4+6,1)</f>
      </c>
      <c r="I253" s="20" t="s">
        <v>25</v>
      </c>
      <c r="J253" s="23">
        <f>ROUND(64*1,0)&amp;"%"</f>
      </c>
    </row>
    <row x14ac:dyDescent="0.25" r="254" customHeight="1" ht="17.25">
      <c r="A254" s="24" t="s">
        <v>419</v>
      </c>
      <c r="B254" s="24"/>
      <c r="C254" s="24"/>
      <c r="D254" s="24"/>
      <c r="E254" s="25">
        <v>8</v>
      </c>
      <c r="F254" s="9"/>
      <c r="G254" s="9"/>
      <c r="H254" s="10"/>
      <c r="I254" s="9"/>
      <c r="J254" s="9"/>
    </row>
    <row x14ac:dyDescent="0.25" r="255" customHeight="1" ht="17.25">
      <c r="A255" s="7"/>
      <c r="B255" s="7"/>
      <c r="C255" s="7"/>
      <c r="D255" s="7"/>
      <c r="E255" s="8"/>
      <c r="F255" s="9"/>
      <c r="G255" s="9"/>
      <c r="H255" s="10"/>
      <c r="I255" s="9"/>
      <c r="J255" s="9"/>
    </row>
    <row x14ac:dyDescent="0.25" r="256" customHeight="1" ht="17.25">
      <c r="A256" s="11" t="s">
        <v>10528</v>
      </c>
      <c r="B256" s="11"/>
      <c r="C256" s="11"/>
      <c r="D256" s="11"/>
      <c r="E256" s="12"/>
      <c r="F256" s="11"/>
      <c r="G256" s="11"/>
      <c r="H256" s="13"/>
      <c r="I256" s="11"/>
      <c r="J256" s="11"/>
    </row>
    <row x14ac:dyDescent="0.25" r="257" customHeight="1" ht="17.25">
      <c r="A257" s="14" t="s">
        <v>3</v>
      </c>
      <c r="B257" s="14" t="s">
        <v>4</v>
      </c>
      <c r="C257" s="14" t="s">
        <v>5</v>
      </c>
      <c r="D257" s="14" t="s">
        <v>6</v>
      </c>
      <c r="E257" s="15" t="s">
        <v>7</v>
      </c>
      <c r="F257" s="14" t="s">
        <v>8</v>
      </c>
      <c r="G257" s="14" t="s">
        <v>9</v>
      </c>
      <c r="H257" s="16" t="s">
        <v>10</v>
      </c>
      <c r="I257" s="14" t="s">
        <v>11</v>
      </c>
      <c r="J257" s="14" t="s">
        <v>12</v>
      </c>
    </row>
    <row x14ac:dyDescent="0.25" r="258" customHeight="1" ht="17.25">
      <c r="A258" s="17" t="s">
        <v>10529</v>
      </c>
      <c r="B258" s="17" t="s">
        <v>422</v>
      </c>
      <c r="C258" s="17" t="s">
        <v>15</v>
      </c>
      <c r="D258" s="17" t="s">
        <v>16</v>
      </c>
      <c r="E258" s="18">
        <f>ROUND(7832*1.05,2)</f>
      </c>
      <c r="F258" s="17" t="s">
        <v>17</v>
      </c>
      <c r="G258" s="17" t="s">
        <v>18</v>
      </c>
      <c r="H258" s="18">
        <f>ROUND(RAND()*4+6,1)</f>
      </c>
      <c r="I258" s="17" t="s">
        <v>19</v>
      </c>
      <c r="J258" s="19">
        <f>ROUND(64*1,0)&amp;"%"</f>
      </c>
    </row>
    <row x14ac:dyDescent="0.25" r="259" customHeight="1" ht="17.25">
      <c r="A259" s="20" t="s">
        <v>10530</v>
      </c>
      <c r="B259" s="20" t="s">
        <v>424</v>
      </c>
      <c r="C259" s="20" t="s">
        <v>15</v>
      </c>
      <c r="D259" s="20" t="s">
        <v>22</v>
      </c>
      <c r="E259" s="21">
        <f>ROUND(9908*1.05,2)</f>
      </c>
      <c r="F259" s="20" t="s">
        <v>23</v>
      </c>
      <c r="G259" s="20" t="s">
        <v>24</v>
      </c>
      <c r="H259" s="21">
        <f>ROUND(RAND()*4+6,1)</f>
      </c>
      <c r="I259" s="20" t="s">
        <v>25</v>
      </c>
      <c r="J259" s="23">
        <f>ROUND(77*1,0)&amp;"%"</f>
      </c>
    </row>
    <row x14ac:dyDescent="0.25" r="260" customHeight="1" ht="17.25">
      <c r="A260" s="17" t="s">
        <v>10531</v>
      </c>
      <c r="B260" s="17" t="s">
        <v>426</v>
      </c>
      <c r="C260" s="17" t="s">
        <v>15</v>
      </c>
      <c r="D260" s="17" t="s">
        <v>28</v>
      </c>
      <c r="E260" s="18">
        <f>ROUND(7213*1.05,2)</f>
      </c>
      <c r="F260" s="17" t="s">
        <v>29</v>
      </c>
      <c r="G260" s="17" t="s">
        <v>30</v>
      </c>
      <c r="H260" s="18">
        <f>ROUND(RAND()*4+6,1)</f>
      </c>
      <c r="I260" s="17" t="s">
        <v>31</v>
      </c>
      <c r="J260" s="19">
        <f>ROUND(94*1,0)&amp;"%"</f>
      </c>
    </row>
    <row x14ac:dyDescent="0.25" r="261" customHeight="1" ht="17.25">
      <c r="A261" s="20" t="s">
        <v>10532</v>
      </c>
      <c r="B261" s="20" t="s">
        <v>428</v>
      </c>
      <c r="C261" s="20" t="s">
        <v>15</v>
      </c>
      <c r="D261" s="20" t="s">
        <v>34</v>
      </c>
      <c r="E261" s="21">
        <f>ROUND(7804*1.05,2)</f>
      </c>
      <c r="F261" s="20" t="s">
        <v>35</v>
      </c>
      <c r="G261" s="20" t="s">
        <v>18</v>
      </c>
      <c r="H261" s="21">
        <f>ROUND(RAND()*4+6,1)</f>
      </c>
      <c r="I261" s="20" t="s">
        <v>36</v>
      </c>
      <c r="J261" s="23">
        <f>ROUND(77*1,0)&amp;"%"</f>
      </c>
    </row>
    <row x14ac:dyDescent="0.25" r="262" customHeight="1" ht="17.25">
      <c r="A262" s="17" t="s">
        <v>10533</v>
      </c>
      <c r="B262" s="17" t="s">
        <v>430</v>
      </c>
      <c r="C262" s="17" t="s">
        <v>15</v>
      </c>
      <c r="D262" s="17" t="s">
        <v>39</v>
      </c>
      <c r="E262" s="18">
        <f>ROUND(5489*1.05,2)</f>
      </c>
      <c r="F262" s="17" t="s">
        <v>40</v>
      </c>
      <c r="G262" s="17" t="s">
        <v>24</v>
      </c>
      <c r="H262" s="18">
        <f>ROUND(RAND()*4+6,1)</f>
      </c>
      <c r="I262" s="17" t="s">
        <v>41</v>
      </c>
      <c r="J262" s="19">
        <f>ROUND(93*1,0)&amp;"%"</f>
      </c>
    </row>
    <row x14ac:dyDescent="0.25" r="263" customHeight="1" ht="17.25">
      <c r="A263" s="20" t="s">
        <v>10534</v>
      </c>
      <c r="B263" s="20" t="s">
        <v>432</v>
      </c>
      <c r="C263" s="20" t="s">
        <v>15</v>
      </c>
      <c r="D263" s="20" t="s">
        <v>67</v>
      </c>
      <c r="E263" s="21">
        <f>ROUND(5369*1.05,2)</f>
      </c>
      <c r="F263" s="20" t="s">
        <v>44</v>
      </c>
      <c r="G263" s="20" t="s">
        <v>30</v>
      </c>
      <c r="H263" s="21">
        <f>ROUND(RAND()*4+6,1)</f>
      </c>
      <c r="I263" s="20" t="s">
        <v>45</v>
      </c>
      <c r="J263" s="23">
        <f>ROUND(86*1,0)&amp;"%"</f>
      </c>
    </row>
    <row x14ac:dyDescent="0.25" r="264" customHeight="1" ht="17.25">
      <c r="A264" s="17" t="s">
        <v>10535</v>
      </c>
      <c r="B264" s="17" t="s">
        <v>434</v>
      </c>
      <c r="C264" s="17" t="s">
        <v>15</v>
      </c>
      <c r="D264" s="17" t="s">
        <v>16</v>
      </c>
      <c r="E264" s="18">
        <f>ROUND(8827*1.05,2)</f>
      </c>
      <c r="F264" s="17" t="s">
        <v>48</v>
      </c>
      <c r="G264" s="17" t="s">
        <v>18</v>
      </c>
      <c r="H264" s="18">
        <f>ROUND(RAND()*4+6,1)</f>
      </c>
      <c r="I264" s="17" t="s">
        <v>19</v>
      </c>
      <c r="J264" s="19">
        <f>ROUND(86*1,0)&amp;"%"</f>
      </c>
    </row>
    <row x14ac:dyDescent="0.25" r="265" customHeight="1" ht="17.25">
      <c r="A265" s="20" t="s">
        <v>10536</v>
      </c>
      <c r="B265" s="20" t="s">
        <v>436</v>
      </c>
      <c r="C265" s="20" t="s">
        <v>15</v>
      </c>
      <c r="D265" s="20" t="s">
        <v>22</v>
      </c>
      <c r="E265" s="21">
        <f>ROUND(14788*1.05,2)</f>
      </c>
      <c r="F265" s="20" t="s">
        <v>51</v>
      </c>
      <c r="G265" s="20" t="s">
        <v>24</v>
      </c>
      <c r="H265" s="22">
        <f>ROUND(RAND()*4+6,1)</f>
      </c>
      <c r="I265" s="20" t="s">
        <v>25</v>
      </c>
      <c r="J265" s="23">
        <f>ROUND(78*1,0)&amp;"%"</f>
      </c>
    </row>
    <row x14ac:dyDescent="0.25" r="266" customHeight="1" ht="17.25">
      <c r="A266" s="24" t="s">
        <v>437</v>
      </c>
      <c r="B266" s="24"/>
      <c r="C266" s="24"/>
      <c r="D266" s="24"/>
      <c r="E266" s="25">
        <v>8</v>
      </c>
      <c r="F266" s="9"/>
      <c r="G266" s="9"/>
      <c r="H266" s="10"/>
      <c r="I266" s="9"/>
      <c r="J266" s="9"/>
    </row>
    <row x14ac:dyDescent="0.25" r="267" customHeight="1" ht="17.25">
      <c r="A267" s="7"/>
      <c r="B267" s="7"/>
      <c r="C267" s="7"/>
      <c r="D267" s="7"/>
      <c r="E267" s="8"/>
      <c r="F267" s="9"/>
      <c r="G267" s="9"/>
      <c r="H267" s="10"/>
      <c r="I267" s="9"/>
      <c r="J267" s="9"/>
    </row>
    <row x14ac:dyDescent="0.25" r="268" customHeight="1" ht="17.25">
      <c r="A268" s="11" t="s">
        <v>10537</v>
      </c>
      <c r="B268" s="11"/>
      <c r="C268" s="11"/>
      <c r="D268" s="11"/>
      <c r="E268" s="12"/>
      <c r="F268" s="11"/>
      <c r="G268" s="11"/>
      <c r="H268" s="13"/>
      <c r="I268" s="11"/>
      <c r="J268" s="11"/>
    </row>
    <row x14ac:dyDescent="0.25" r="269" customHeight="1" ht="17.25">
      <c r="A269" s="14" t="s">
        <v>3</v>
      </c>
      <c r="B269" s="14" t="s">
        <v>4</v>
      </c>
      <c r="C269" s="14" t="s">
        <v>5</v>
      </c>
      <c r="D269" s="14" t="s">
        <v>6</v>
      </c>
      <c r="E269" s="15" t="s">
        <v>7</v>
      </c>
      <c r="F269" s="14" t="s">
        <v>8</v>
      </c>
      <c r="G269" s="14" t="s">
        <v>9</v>
      </c>
      <c r="H269" s="16" t="s">
        <v>10</v>
      </c>
      <c r="I269" s="14" t="s">
        <v>11</v>
      </c>
      <c r="J269" s="14" t="s">
        <v>12</v>
      </c>
    </row>
    <row x14ac:dyDescent="0.25" r="270" customHeight="1" ht="17.25">
      <c r="A270" s="17" t="s">
        <v>10538</v>
      </c>
      <c r="B270" s="17" t="s">
        <v>440</v>
      </c>
      <c r="C270" s="17" t="s">
        <v>56</v>
      </c>
      <c r="D270" s="17" t="s">
        <v>16</v>
      </c>
      <c r="E270" s="18">
        <f>ROUND(8135*1.05,2)</f>
      </c>
      <c r="F270" s="17" t="s">
        <v>17</v>
      </c>
      <c r="G270" s="17" t="s">
        <v>18</v>
      </c>
      <c r="H270" s="18">
        <f>ROUND(RAND()*4+6,1)</f>
      </c>
      <c r="I270" s="17" t="s">
        <v>19</v>
      </c>
      <c r="J270" s="19">
        <f>ROUND(61*1,0)&amp;"%"</f>
      </c>
    </row>
    <row x14ac:dyDescent="0.25" r="271" customHeight="1" ht="17.25">
      <c r="A271" s="20" t="s">
        <v>10539</v>
      </c>
      <c r="B271" s="20" t="s">
        <v>442</v>
      </c>
      <c r="C271" s="20" t="s">
        <v>56</v>
      </c>
      <c r="D271" s="20" t="s">
        <v>22</v>
      </c>
      <c r="E271" s="21">
        <f>ROUND(13139*1.05,2)</f>
      </c>
      <c r="F271" s="20" t="s">
        <v>23</v>
      </c>
      <c r="G271" s="20" t="s">
        <v>24</v>
      </c>
      <c r="H271" s="21">
        <f>ROUND(RAND()*4+6,1)</f>
      </c>
      <c r="I271" s="20" t="s">
        <v>25</v>
      </c>
      <c r="J271" s="23">
        <f>ROUND(68*1,0)&amp;"%"</f>
      </c>
    </row>
    <row x14ac:dyDescent="0.25" r="272" customHeight="1" ht="17.25">
      <c r="A272" s="17" t="s">
        <v>10540</v>
      </c>
      <c r="B272" s="17" t="s">
        <v>444</v>
      </c>
      <c r="C272" s="17" t="s">
        <v>56</v>
      </c>
      <c r="D272" s="17" t="s">
        <v>28</v>
      </c>
      <c r="E272" s="18">
        <f>ROUND(14493*1.05,2)</f>
      </c>
      <c r="F272" s="17" t="s">
        <v>29</v>
      </c>
      <c r="G272" s="17" t="s">
        <v>30</v>
      </c>
      <c r="H272" s="26">
        <f>ROUND(RAND()*4+6,1)</f>
      </c>
      <c r="I272" s="17" t="s">
        <v>31</v>
      </c>
      <c r="J272" s="19">
        <f>ROUND(84*1,0)&amp;"%"</f>
      </c>
    </row>
    <row x14ac:dyDescent="0.25" r="273" customHeight="1" ht="17.25">
      <c r="A273" s="20" t="s">
        <v>10541</v>
      </c>
      <c r="B273" s="20" t="s">
        <v>446</v>
      </c>
      <c r="C273" s="20" t="s">
        <v>56</v>
      </c>
      <c r="D273" s="20" t="s">
        <v>34</v>
      </c>
      <c r="E273" s="21">
        <f>ROUND(12125*1.05,2)</f>
      </c>
      <c r="F273" s="20" t="s">
        <v>35</v>
      </c>
      <c r="G273" s="20" t="s">
        <v>18</v>
      </c>
      <c r="H273" s="21">
        <f>ROUND(RAND()*4+6,1)</f>
      </c>
      <c r="I273" s="20" t="s">
        <v>36</v>
      </c>
      <c r="J273" s="23">
        <f>ROUND(70*1,0)&amp;"%"</f>
      </c>
    </row>
    <row x14ac:dyDescent="0.25" r="274" customHeight="1" ht="17.25">
      <c r="A274" s="17" t="s">
        <v>10542</v>
      </c>
      <c r="B274" s="17" t="s">
        <v>448</v>
      </c>
      <c r="C274" s="17" t="s">
        <v>56</v>
      </c>
      <c r="D274" s="17" t="s">
        <v>39</v>
      </c>
      <c r="E274" s="18">
        <f>ROUND(11322*1.05,2)</f>
      </c>
      <c r="F274" s="17" t="s">
        <v>40</v>
      </c>
      <c r="G274" s="17" t="s">
        <v>24</v>
      </c>
      <c r="H274" s="26">
        <f>ROUND(RAND()*4+6,1)</f>
      </c>
      <c r="I274" s="17" t="s">
        <v>41</v>
      </c>
      <c r="J274" s="19">
        <f>ROUND(76*1,0)&amp;"%"</f>
      </c>
    </row>
    <row x14ac:dyDescent="0.25" r="275" customHeight="1" ht="17.25">
      <c r="A275" s="20" t="s">
        <v>10543</v>
      </c>
      <c r="B275" s="20" t="s">
        <v>450</v>
      </c>
      <c r="C275" s="20" t="s">
        <v>56</v>
      </c>
      <c r="D275" s="20" t="s">
        <v>67</v>
      </c>
      <c r="E275" s="21">
        <f>ROUND(7223*1.05,2)</f>
      </c>
      <c r="F275" s="20" t="s">
        <v>44</v>
      </c>
      <c r="G275" s="20" t="s">
        <v>30</v>
      </c>
      <c r="H275" s="21">
        <f>ROUND(RAND()*4+6,1)</f>
      </c>
      <c r="I275" s="20" t="s">
        <v>45</v>
      </c>
      <c r="J275" s="23">
        <f>ROUND(71*1,0)&amp;"%"</f>
      </c>
    </row>
    <row x14ac:dyDescent="0.25" r="276" customHeight="1" ht="17.25">
      <c r="A276" s="17" t="s">
        <v>10544</v>
      </c>
      <c r="B276" s="17" t="s">
        <v>452</v>
      </c>
      <c r="C276" s="17" t="s">
        <v>56</v>
      </c>
      <c r="D276" s="17" t="s">
        <v>16</v>
      </c>
      <c r="E276" s="18">
        <f>ROUND(15448*1.05,2)</f>
      </c>
      <c r="F276" s="17" t="s">
        <v>48</v>
      </c>
      <c r="G276" s="17" t="s">
        <v>18</v>
      </c>
      <c r="H276" s="18">
        <f>ROUND(RAND()*4+6,1)</f>
      </c>
      <c r="I276" s="17" t="s">
        <v>19</v>
      </c>
      <c r="J276" s="19">
        <f>ROUND(81*1,0)&amp;"%"</f>
      </c>
    </row>
    <row x14ac:dyDescent="0.25" r="277" customHeight="1" ht="17.25">
      <c r="A277" s="20" t="s">
        <v>10545</v>
      </c>
      <c r="B277" s="20" t="s">
        <v>454</v>
      </c>
      <c r="C277" s="20" t="s">
        <v>56</v>
      </c>
      <c r="D277" s="20" t="s">
        <v>22</v>
      </c>
      <c r="E277" s="21">
        <f>ROUND(8617*1.05,2)</f>
      </c>
      <c r="F277" s="20" t="s">
        <v>51</v>
      </c>
      <c r="G277" s="20" t="s">
        <v>24</v>
      </c>
      <c r="H277" s="21">
        <f>ROUND(RAND()*4+6,1)</f>
      </c>
      <c r="I277" s="20" t="s">
        <v>25</v>
      </c>
      <c r="J277" s="23">
        <f>ROUND(71*1,0)&amp;"%"</f>
      </c>
    </row>
    <row x14ac:dyDescent="0.25" r="278" customHeight="1" ht="17.25">
      <c r="A278" s="24" t="s">
        <v>455</v>
      </c>
      <c r="B278" s="24"/>
      <c r="C278" s="24"/>
      <c r="D278" s="24"/>
      <c r="E278" s="25">
        <v>8</v>
      </c>
      <c r="F278" s="9"/>
      <c r="G278" s="9"/>
      <c r="H278" s="10"/>
      <c r="I278" s="9"/>
      <c r="J278" s="9"/>
    </row>
    <row x14ac:dyDescent="0.25" r="279" customHeight="1" ht="17.25">
      <c r="A279" s="7"/>
      <c r="B279" s="7"/>
      <c r="C279" s="7"/>
      <c r="D279" s="7"/>
      <c r="E279" s="8"/>
      <c r="F279" s="9"/>
      <c r="G279" s="9"/>
      <c r="H279" s="10"/>
      <c r="I279" s="9"/>
      <c r="J279" s="9"/>
    </row>
    <row x14ac:dyDescent="0.25" r="280" customHeight="1" ht="17.25">
      <c r="A280" s="11" t="s">
        <v>10546</v>
      </c>
      <c r="B280" s="11"/>
      <c r="C280" s="11"/>
      <c r="D280" s="11"/>
      <c r="E280" s="12"/>
      <c r="F280" s="11"/>
      <c r="G280" s="11"/>
      <c r="H280" s="13"/>
      <c r="I280" s="11"/>
      <c r="J280" s="11"/>
    </row>
    <row x14ac:dyDescent="0.25" r="281" customHeight="1" ht="17.25">
      <c r="A281" s="14" t="s">
        <v>3</v>
      </c>
      <c r="B281" s="14" t="s">
        <v>4</v>
      </c>
      <c r="C281" s="14" t="s">
        <v>5</v>
      </c>
      <c r="D281" s="14" t="s">
        <v>6</v>
      </c>
      <c r="E281" s="15" t="s">
        <v>7</v>
      </c>
      <c r="F281" s="14" t="s">
        <v>8</v>
      </c>
      <c r="G281" s="14" t="s">
        <v>9</v>
      </c>
      <c r="H281" s="16" t="s">
        <v>10</v>
      </c>
      <c r="I281" s="14" t="s">
        <v>11</v>
      </c>
      <c r="J281" s="14" t="s">
        <v>12</v>
      </c>
    </row>
    <row x14ac:dyDescent="0.25" r="282" customHeight="1" ht="17.25">
      <c r="A282" s="17" t="s">
        <v>10547</v>
      </c>
      <c r="B282" s="17" t="s">
        <v>458</v>
      </c>
      <c r="C282" s="17" t="s">
        <v>76</v>
      </c>
      <c r="D282" s="17" t="s">
        <v>16</v>
      </c>
      <c r="E282" s="18">
        <f>ROUND(14784*1.05,2)</f>
      </c>
      <c r="F282" s="17" t="s">
        <v>17</v>
      </c>
      <c r="G282" s="17" t="s">
        <v>18</v>
      </c>
      <c r="H282" s="18">
        <f>ROUND(RAND()*4+6,1)</f>
      </c>
      <c r="I282" s="17" t="s">
        <v>19</v>
      </c>
      <c r="J282" s="19">
        <f>ROUND(77*1,0)&amp;"%"</f>
      </c>
    </row>
    <row x14ac:dyDescent="0.25" r="283" customHeight="1" ht="17.25">
      <c r="A283" s="20" t="s">
        <v>10548</v>
      </c>
      <c r="B283" s="20" t="s">
        <v>460</v>
      </c>
      <c r="C283" s="20" t="s">
        <v>76</v>
      </c>
      <c r="D283" s="20" t="s">
        <v>22</v>
      </c>
      <c r="E283" s="21">
        <f>ROUND(15463*1.05,2)</f>
      </c>
      <c r="F283" s="20" t="s">
        <v>23</v>
      </c>
      <c r="G283" s="20" t="s">
        <v>24</v>
      </c>
      <c r="H283" s="21">
        <f>ROUND(RAND()*4+6,1)</f>
      </c>
      <c r="I283" s="20" t="s">
        <v>25</v>
      </c>
      <c r="J283" s="23">
        <f>ROUND(88*1,0)&amp;"%"</f>
      </c>
    </row>
    <row x14ac:dyDescent="0.25" r="284" customHeight="1" ht="17.25">
      <c r="A284" s="17" t="s">
        <v>10549</v>
      </c>
      <c r="B284" s="17" t="s">
        <v>462</v>
      </c>
      <c r="C284" s="17" t="s">
        <v>76</v>
      </c>
      <c r="D284" s="17" t="s">
        <v>28</v>
      </c>
      <c r="E284" s="18">
        <f>ROUND(17115*1.05,2)</f>
      </c>
      <c r="F284" s="17" t="s">
        <v>29</v>
      </c>
      <c r="G284" s="17" t="s">
        <v>30</v>
      </c>
      <c r="H284" s="18">
        <f>ROUND(RAND()*4+6,1)</f>
      </c>
      <c r="I284" s="17" t="s">
        <v>31</v>
      </c>
      <c r="J284" s="19">
        <f>ROUND(96*1,0)&amp;"%"</f>
      </c>
    </row>
    <row x14ac:dyDescent="0.25" r="285" customHeight="1" ht="17.25">
      <c r="A285" s="20" t="s">
        <v>10550</v>
      </c>
      <c r="B285" s="20" t="s">
        <v>464</v>
      </c>
      <c r="C285" s="20" t="s">
        <v>76</v>
      </c>
      <c r="D285" s="20" t="s">
        <v>34</v>
      </c>
      <c r="E285" s="21">
        <f>ROUND(7383*1.05,2)</f>
      </c>
      <c r="F285" s="20" t="s">
        <v>35</v>
      </c>
      <c r="G285" s="20" t="s">
        <v>18</v>
      </c>
      <c r="H285" s="21">
        <f>ROUND(RAND()*4+6,1)</f>
      </c>
      <c r="I285" s="20" t="s">
        <v>36</v>
      </c>
      <c r="J285" s="23">
        <f>ROUND(62*1,0)&amp;"%"</f>
      </c>
    </row>
    <row x14ac:dyDescent="0.25" r="286" customHeight="1" ht="17.25">
      <c r="A286" s="17" t="s">
        <v>10551</v>
      </c>
      <c r="B286" s="17" t="s">
        <v>466</v>
      </c>
      <c r="C286" s="17" t="s">
        <v>76</v>
      </c>
      <c r="D286" s="17" t="s">
        <v>39</v>
      </c>
      <c r="E286" s="26">
        <f>ROUND(5000*1.05,2)</f>
      </c>
      <c r="F286" s="17" t="s">
        <v>40</v>
      </c>
      <c r="G286" s="17" t="s">
        <v>24</v>
      </c>
      <c r="H286" s="18">
        <f>ROUND(RAND()*4+6,1)</f>
      </c>
      <c r="I286" s="17" t="s">
        <v>41</v>
      </c>
      <c r="J286" s="19">
        <f>ROUND(87*1,0)&amp;"%"</f>
      </c>
    </row>
    <row x14ac:dyDescent="0.25" r="287" customHeight="1" ht="17.25">
      <c r="A287" s="20" t="s">
        <v>10552</v>
      </c>
      <c r="B287" s="20" t="s">
        <v>468</v>
      </c>
      <c r="C287" s="20" t="s">
        <v>76</v>
      </c>
      <c r="D287" s="20" t="s">
        <v>67</v>
      </c>
      <c r="E287" s="21">
        <f>ROUND(9628*1.05,2)</f>
      </c>
      <c r="F287" s="20" t="s">
        <v>44</v>
      </c>
      <c r="G287" s="20" t="s">
        <v>30</v>
      </c>
      <c r="H287" s="21">
        <f>ROUND(RAND()*4+6,1)</f>
      </c>
      <c r="I287" s="20" t="s">
        <v>45</v>
      </c>
      <c r="J287" s="23">
        <f>ROUND(66*1,0)&amp;"%"</f>
      </c>
    </row>
    <row x14ac:dyDescent="0.25" r="288" customHeight="1" ht="17.25">
      <c r="A288" s="17" t="s">
        <v>10553</v>
      </c>
      <c r="B288" s="17" t="s">
        <v>470</v>
      </c>
      <c r="C288" s="17" t="s">
        <v>76</v>
      </c>
      <c r="D288" s="17" t="s">
        <v>16</v>
      </c>
      <c r="E288" s="18">
        <f>ROUND(6994*1.05,2)</f>
      </c>
      <c r="F288" s="17" t="s">
        <v>48</v>
      </c>
      <c r="G288" s="17" t="s">
        <v>18</v>
      </c>
      <c r="H288" s="18">
        <f>ROUND(RAND()*4+6,1)</f>
      </c>
      <c r="I288" s="17" t="s">
        <v>19</v>
      </c>
      <c r="J288" s="19">
        <f>ROUND(89*1,0)&amp;"%"</f>
      </c>
    </row>
    <row x14ac:dyDescent="0.25" r="289" customHeight="1" ht="17.25">
      <c r="A289" s="20" t="s">
        <v>10554</v>
      </c>
      <c r="B289" s="20" t="s">
        <v>472</v>
      </c>
      <c r="C289" s="20" t="s">
        <v>76</v>
      </c>
      <c r="D289" s="20" t="s">
        <v>22</v>
      </c>
      <c r="E289" s="21">
        <f>ROUND(4832*1.05,2)</f>
      </c>
      <c r="F289" s="20" t="s">
        <v>51</v>
      </c>
      <c r="G289" s="20" t="s">
        <v>24</v>
      </c>
      <c r="H289" s="21">
        <f>ROUND(RAND()*4+6,1)</f>
      </c>
      <c r="I289" s="20" t="s">
        <v>25</v>
      </c>
      <c r="J289" s="23">
        <f>ROUND(91*1,0)&amp;"%"</f>
      </c>
    </row>
    <row x14ac:dyDescent="0.25" r="290" customHeight="1" ht="17.25">
      <c r="A290" s="24" t="s">
        <v>473</v>
      </c>
      <c r="B290" s="24"/>
      <c r="C290" s="24"/>
      <c r="D290" s="24"/>
      <c r="E290" s="25">
        <v>8</v>
      </c>
      <c r="F290" s="9"/>
      <c r="G290" s="9"/>
      <c r="H290" s="10"/>
      <c r="I290" s="9"/>
      <c r="J290" s="9"/>
    </row>
    <row x14ac:dyDescent="0.25" r="291" customHeight="1" ht="17.25">
      <c r="A291" s="7"/>
      <c r="B291" s="7"/>
      <c r="C291" s="7"/>
      <c r="D291" s="7"/>
      <c r="E291" s="8"/>
      <c r="F291" s="9"/>
      <c r="G291" s="9"/>
      <c r="H291" s="10"/>
      <c r="I291" s="9"/>
      <c r="J291" s="9"/>
    </row>
    <row x14ac:dyDescent="0.25" r="292" customHeight="1" ht="17.25">
      <c r="A292" s="11" t="s">
        <v>10555</v>
      </c>
      <c r="B292" s="11"/>
      <c r="C292" s="11"/>
      <c r="D292" s="11"/>
      <c r="E292" s="12"/>
      <c r="F292" s="11"/>
      <c r="G292" s="11"/>
      <c r="H292" s="13"/>
      <c r="I292" s="11"/>
      <c r="J292" s="11"/>
    </row>
    <row x14ac:dyDescent="0.25" r="293" customHeight="1" ht="17.25">
      <c r="A293" s="14" t="s">
        <v>3</v>
      </c>
      <c r="B293" s="14" t="s">
        <v>4</v>
      </c>
      <c r="C293" s="14" t="s">
        <v>5</v>
      </c>
      <c r="D293" s="14" t="s">
        <v>6</v>
      </c>
      <c r="E293" s="15" t="s">
        <v>7</v>
      </c>
      <c r="F293" s="14" t="s">
        <v>8</v>
      </c>
      <c r="G293" s="14" t="s">
        <v>9</v>
      </c>
      <c r="H293" s="16" t="s">
        <v>10</v>
      </c>
      <c r="I293" s="14" t="s">
        <v>11</v>
      </c>
      <c r="J293" s="14" t="s">
        <v>12</v>
      </c>
    </row>
    <row x14ac:dyDescent="0.25" r="294" customHeight="1" ht="17.25">
      <c r="A294" s="17" t="s">
        <v>10556</v>
      </c>
      <c r="B294" s="17" t="s">
        <v>476</v>
      </c>
      <c r="C294" s="17" t="s">
        <v>95</v>
      </c>
      <c r="D294" s="17" t="s">
        <v>16</v>
      </c>
      <c r="E294" s="18">
        <f>ROUND(16931*1.05,2)</f>
      </c>
      <c r="F294" s="17" t="s">
        <v>17</v>
      </c>
      <c r="G294" s="17" t="s">
        <v>18</v>
      </c>
      <c r="H294" s="18">
        <f>ROUND(RAND()*4+6,1)</f>
      </c>
      <c r="I294" s="17" t="s">
        <v>19</v>
      </c>
      <c r="J294" s="19">
        <f>ROUND(87*1,0)&amp;"%"</f>
      </c>
    </row>
    <row x14ac:dyDescent="0.25" r="295" customHeight="1" ht="17.25">
      <c r="A295" s="20" t="s">
        <v>10557</v>
      </c>
      <c r="B295" s="20" t="s">
        <v>478</v>
      </c>
      <c r="C295" s="20" t="s">
        <v>95</v>
      </c>
      <c r="D295" s="20" t="s">
        <v>22</v>
      </c>
      <c r="E295" s="21">
        <f>ROUND(6375*1.05,2)</f>
      </c>
      <c r="F295" s="20" t="s">
        <v>23</v>
      </c>
      <c r="G295" s="20" t="s">
        <v>24</v>
      </c>
      <c r="H295" s="21">
        <f>ROUND(RAND()*4+6,1)</f>
      </c>
      <c r="I295" s="20" t="s">
        <v>25</v>
      </c>
      <c r="J295" s="23">
        <f>ROUND(100*1,0)&amp;"%"</f>
      </c>
    </row>
    <row x14ac:dyDescent="0.25" r="296" customHeight="1" ht="17.25">
      <c r="A296" s="17" t="s">
        <v>10558</v>
      </c>
      <c r="B296" s="17" t="s">
        <v>480</v>
      </c>
      <c r="C296" s="17" t="s">
        <v>95</v>
      </c>
      <c r="D296" s="17" t="s">
        <v>28</v>
      </c>
      <c r="E296" s="18">
        <f>ROUND(6410*1.05,2)</f>
      </c>
      <c r="F296" s="17" t="s">
        <v>29</v>
      </c>
      <c r="G296" s="17" t="s">
        <v>30</v>
      </c>
      <c r="H296" s="18">
        <f>ROUND(RAND()*4+6,1)</f>
      </c>
      <c r="I296" s="17" t="s">
        <v>31</v>
      </c>
      <c r="J296" s="19">
        <f>ROUND(82*1,0)&amp;"%"</f>
      </c>
    </row>
    <row x14ac:dyDescent="0.25" r="297" customHeight="1" ht="17.25">
      <c r="A297" s="20" t="s">
        <v>10559</v>
      </c>
      <c r="B297" s="20" t="s">
        <v>482</v>
      </c>
      <c r="C297" s="20" t="s">
        <v>95</v>
      </c>
      <c r="D297" s="20" t="s">
        <v>34</v>
      </c>
      <c r="E297" s="21">
        <f>ROUND(9316*1.05,2)</f>
      </c>
      <c r="F297" s="20" t="s">
        <v>35</v>
      </c>
      <c r="G297" s="20" t="s">
        <v>18</v>
      </c>
      <c r="H297" s="22">
        <f>ROUND(RAND()*4+6,1)</f>
      </c>
      <c r="I297" s="20" t="s">
        <v>36</v>
      </c>
      <c r="J297" s="23">
        <f>ROUND(80*1,0)&amp;"%"</f>
      </c>
    </row>
    <row x14ac:dyDescent="0.25" r="298" customHeight="1" ht="17.25">
      <c r="A298" s="17" t="s">
        <v>10560</v>
      </c>
      <c r="B298" s="17" t="s">
        <v>484</v>
      </c>
      <c r="C298" s="17" t="s">
        <v>95</v>
      </c>
      <c r="D298" s="17" t="s">
        <v>39</v>
      </c>
      <c r="E298" s="26">
        <f>ROUND(6360*1.05,2)</f>
      </c>
      <c r="F298" s="17" t="s">
        <v>40</v>
      </c>
      <c r="G298" s="17" t="s">
        <v>24</v>
      </c>
      <c r="H298" s="18">
        <f>ROUND(RAND()*4+6,1)</f>
      </c>
      <c r="I298" s="17" t="s">
        <v>41</v>
      </c>
      <c r="J298" s="19">
        <f>ROUND(98*1,0)&amp;"%"</f>
      </c>
    </row>
    <row x14ac:dyDescent="0.25" r="299" customHeight="1" ht="17.25">
      <c r="A299" s="20" t="s">
        <v>10561</v>
      </c>
      <c r="B299" s="20" t="s">
        <v>486</v>
      </c>
      <c r="C299" s="20" t="s">
        <v>95</v>
      </c>
      <c r="D299" s="20" t="s">
        <v>67</v>
      </c>
      <c r="E299" s="21">
        <f>ROUND(8894*1.05,2)</f>
      </c>
      <c r="F299" s="20" t="s">
        <v>44</v>
      </c>
      <c r="G299" s="20" t="s">
        <v>30</v>
      </c>
      <c r="H299" s="21">
        <f>ROUND(RAND()*4+6,1)</f>
      </c>
      <c r="I299" s="20" t="s">
        <v>45</v>
      </c>
      <c r="J299" s="23">
        <f>ROUND(60*1,0)&amp;"%"</f>
      </c>
    </row>
    <row x14ac:dyDescent="0.25" r="300" customHeight="1" ht="17.25">
      <c r="A300" s="17" t="s">
        <v>10562</v>
      </c>
      <c r="B300" s="17" t="s">
        <v>488</v>
      </c>
      <c r="C300" s="17" t="s">
        <v>95</v>
      </c>
      <c r="D300" s="17" t="s">
        <v>16</v>
      </c>
      <c r="E300" s="18">
        <f>ROUND(15031*1.05,2)</f>
      </c>
      <c r="F300" s="17" t="s">
        <v>48</v>
      </c>
      <c r="G300" s="17" t="s">
        <v>18</v>
      </c>
      <c r="H300" s="18">
        <f>ROUND(RAND()*4+6,1)</f>
      </c>
      <c r="I300" s="17" t="s">
        <v>19</v>
      </c>
      <c r="J300" s="19">
        <f>ROUND(80*1,0)&amp;"%"</f>
      </c>
    </row>
    <row x14ac:dyDescent="0.25" r="301" customHeight="1" ht="17.25">
      <c r="A301" s="20" t="s">
        <v>10563</v>
      </c>
      <c r="B301" s="20" t="s">
        <v>490</v>
      </c>
      <c r="C301" s="20" t="s">
        <v>95</v>
      </c>
      <c r="D301" s="20" t="s">
        <v>22</v>
      </c>
      <c r="E301" s="21">
        <f>ROUND(13034*1.05,2)</f>
      </c>
      <c r="F301" s="20" t="s">
        <v>51</v>
      </c>
      <c r="G301" s="20" t="s">
        <v>24</v>
      </c>
      <c r="H301" s="21">
        <f>ROUND(RAND()*4+6,1)</f>
      </c>
      <c r="I301" s="20" t="s">
        <v>25</v>
      </c>
      <c r="J301" s="23">
        <f>ROUND(76*1,0)&amp;"%"</f>
      </c>
    </row>
    <row x14ac:dyDescent="0.25" r="302" customHeight="1" ht="17.25">
      <c r="A302" s="24" t="s">
        <v>491</v>
      </c>
      <c r="B302" s="24"/>
      <c r="C302" s="24"/>
      <c r="D302" s="24"/>
      <c r="E302" s="25">
        <v>8</v>
      </c>
      <c r="F302" s="9"/>
      <c r="G302" s="9"/>
      <c r="H302" s="10"/>
      <c r="I302" s="9"/>
      <c r="J302" s="9"/>
    </row>
    <row x14ac:dyDescent="0.25" r="303" customHeight="1" ht="17.25">
      <c r="A303" s="7"/>
      <c r="B303" s="7"/>
      <c r="C303" s="7"/>
      <c r="D303" s="7"/>
      <c r="E303" s="8"/>
      <c r="F303" s="9"/>
      <c r="G303" s="9"/>
      <c r="H303" s="10"/>
      <c r="I303" s="9"/>
      <c r="J303" s="9"/>
    </row>
    <row x14ac:dyDescent="0.25" r="304" customHeight="1" ht="17.25">
      <c r="A304" s="11" t="s">
        <v>10564</v>
      </c>
      <c r="B304" s="11"/>
      <c r="C304" s="11"/>
      <c r="D304" s="11"/>
      <c r="E304" s="12"/>
      <c r="F304" s="11"/>
      <c r="G304" s="11"/>
      <c r="H304" s="13"/>
      <c r="I304" s="11"/>
      <c r="J304" s="11"/>
    </row>
    <row x14ac:dyDescent="0.25" r="305" customHeight="1" ht="17.25">
      <c r="A305" s="14" t="s">
        <v>3</v>
      </c>
      <c r="B305" s="14" t="s">
        <v>4</v>
      </c>
      <c r="C305" s="14" t="s">
        <v>5</v>
      </c>
      <c r="D305" s="14" t="s">
        <v>6</v>
      </c>
      <c r="E305" s="15" t="s">
        <v>7</v>
      </c>
      <c r="F305" s="14" t="s">
        <v>8</v>
      </c>
      <c r="G305" s="14" t="s">
        <v>9</v>
      </c>
      <c r="H305" s="16" t="s">
        <v>10</v>
      </c>
      <c r="I305" s="14" t="s">
        <v>11</v>
      </c>
      <c r="J305" s="14" t="s">
        <v>12</v>
      </c>
    </row>
    <row x14ac:dyDescent="0.25" r="306" customHeight="1" ht="17.25">
      <c r="A306" s="17" t="s">
        <v>10565</v>
      </c>
      <c r="B306" s="17" t="s">
        <v>494</v>
      </c>
      <c r="C306" s="17" t="s">
        <v>114</v>
      </c>
      <c r="D306" s="17" t="s">
        <v>16</v>
      </c>
      <c r="E306" s="18">
        <f>ROUND(13775*1.05,2)</f>
      </c>
      <c r="F306" s="17" t="s">
        <v>17</v>
      </c>
      <c r="G306" s="17" t="s">
        <v>18</v>
      </c>
      <c r="H306" s="18">
        <f>ROUND(RAND()*4+6,1)</f>
      </c>
      <c r="I306" s="17" t="s">
        <v>19</v>
      </c>
      <c r="J306" s="19">
        <f>ROUND(60*1,0)&amp;"%"</f>
      </c>
    </row>
    <row x14ac:dyDescent="0.25" r="307" customHeight="1" ht="17.25">
      <c r="A307" s="20" t="s">
        <v>10566</v>
      </c>
      <c r="B307" s="20" t="s">
        <v>496</v>
      </c>
      <c r="C307" s="20" t="s">
        <v>114</v>
      </c>
      <c r="D307" s="20" t="s">
        <v>22</v>
      </c>
      <c r="E307" s="21">
        <f>ROUND(13551*1.05,2)</f>
      </c>
      <c r="F307" s="20" t="s">
        <v>23</v>
      </c>
      <c r="G307" s="20" t="s">
        <v>24</v>
      </c>
      <c r="H307" s="21">
        <f>ROUND(RAND()*4+6,1)</f>
      </c>
      <c r="I307" s="20" t="s">
        <v>25</v>
      </c>
      <c r="J307" s="23">
        <f>ROUND(79*1,0)&amp;"%"</f>
      </c>
    </row>
    <row x14ac:dyDescent="0.25" r="308" customHeight="1" ht="17.25">
      <c r="A308" s="17" t="s">
        <v>10567</v>
      </c>
      <c r="B308" s="17" t="s">
        <v>498</v>
      </c>
      <c r="C308" s="17" t="s">
        <v>114</v>
      </c>
      <c r="D308" s="17" t="s">
        <v>28</v>
      </c>
      <c r="E308" s="18">
        <f>ROUND(8909*1.05,2)</f>
      </c>
      <c r="F308" s="17" t="s">
        <v>29</v>
      </c>
      <c r="G308" s="17" t="s">
        <v>30</v>
      </c>
      <c r="H308" s="18">
        <f>ROUND(RAND()*4+6,1)</f>
      </c>
      <c r="I308" s="17" t="s">
        <v>31</v>
      </c>
      <c r="J308" s="19">
        <f>ROUND(93*1,0)&amp;"%"</f>
      </c>
    </row>
    <row x14ac:dyDescent="0.25" r="309" customHeight="1" ht="17.25">
      <c r="A309" s="20" t="s">
        <v>10568</v>
      </c>
      <c r="B309" s="20" t="s">
        <v>500</v>
      </c>
      <c r="C309" s="20" t="s">
        <v>114</v>
      </c>
      <c r="D309" s="20" t="s">
        <v>34</v>
      </c>
      <c r="E309" s="22">
        <f>ROUND(10680*1.05,2)</f>
      </c>
      <c r="F309" s="20" t="s">
        <v>35</v>
      </c>
      <c r="G309" s="20" t="s">
        <v>18</v>
      </c>
      <c r="H309" s="21">
        <f>ROUND(RAND()*4+6,1)</f>
      </c>
      <c r="I309" s="20" t="s">
        <v>36</v>
      </c>
      <c r="J309" s="23">
        <f>ROUND(77*1,0)&amp;"%"</f>
      </c>
    </row>
    <row x14ac:dyDescent="0.25" r="310" customHeight="1" ht="17.25">
      <c r="A310" s="17" t="s">
        <v>10569</v>
      </c>
      <c r="B310" s="17" t="s">
        <v>502</v>
      </c>
      <c r="C310" s="17" t="s">
        <v>114</v>
      </c>
      <c r="D310" s="17" t="s">
        <v>39</v>
      </c>
      <c r="E310" s="18">
        <f>ROUND(13706*1.05,2)</f>
      </c>
      <c r="F310" s="17" t="s">
        <v>40</v>
      </c>
      <c r="G310" s="17" t="s">
        <v>24</v>
      </c>
      <c r="H310" s="18">
        <f>ROUND(RAND()*4+6,1)</f>
      </c>
      <c r="I310" s="17" t="s">
        <v>41</v>
      </c>
      <c r="J310" s="19">
        <f>ROUND(65*1,0)&amp;"%"</f>
      </c>
    </row>
    <row x14ac:dyDescent="0.25" r="311" customHeight="1" ht="17.25">
      <c r="A311" s="20" t="s">
        <v>10570</v>
      </c>
      <c r="B311" s="20" t="s">
        <v>504</v>
      </c>
      <c r="C311" s="20" t="s">
        <v>114</v>
      </c>
      <c r="D311" s="20" t="s">
        <v>67</v>
      </c>
      <c r="E311" s="21">
        <f>ROUND(11343*1.05,2)</f>
      </c>
      <c r="F311" s="20" t="s">
        <v>44</v>
      </c>
      <c r="G311" s="20" t="s">
        <v>30</v>
      </c>
      <c r="H311" s="21">
        <f>ROUND(RAND()*4+6,1)</f>
      </c>
      <c r="I311" s="20" t="s">
        <v>45</v>
      </c>
      <c r="J311" s="23">
        <f>ROUND(84*1,0)&amp;"%"</f>
      </c>
    </row>
    <row x14ac:dyDescent="0.25" r="312" customHeight="1" ht="17.25">
      <c r="A312" s="17" t="s">
        <v>10571</v>
      </c>
      <c r="B312" s="17" t="s">
        <v>506</v>
      </c>
      <c r="C312" s="17" t="s">
        <v>114</v>
      </c>
      <c r="D312" s="17" t="s">
        <v>16</v>
      </c>
      <c r="E312" s="18">
        <f>ROUND(6291*1.05,2)</f>
      </c>
      <c r="F312" s="17" t="s">
        <v>48</v>
      </c>
      <c r="G312" s="17" t="s">
        <v>18</v>
      </c>
      <c r="H312" s="18">
        <f>ROUND(RAND()*4+6,1)</f>
      </c>
      <c r="I312" s="17" t="s">
        <v>19</v>
      </c>
      <c r="J312" s="19">
        <f>ROUND(68*1,0)&amp;"%"</f>
      </c>
    </row>
    <row x14ac:dyDescent="0.25" r="313" customHeight="1" ht="17.25">
      <c r="A313" s="20" t="s">
        <v>10572</v>
      </c>
      <c r="B313" s="20" t="s">
        <v>508</v>
      </c>
      <c r="C313" s="20" t="s">
        <v>114</v>
      </c>
      <c r="D313" s="20" t="s">
        <v>22</v>
      </c>
      <c r="E313" s="21">
        <f>ROUND(12723*1.05,2)</f>
      </c>
      <c r="F313" s="20" t="s">
        <v>51</v>
      </c>
      <c r="G313" s="20" t="s">
        <v>24</v>
      </c>
      <c r="H313" s="21">
        <f>ROUND(RAND()*4+6,1)</f>
      </c>
      <c r="I313" s="20" t="s">
        <v>25</v>
      </c>
      <c r="J313" s="23">
        <f>ROUND(71*1,0)&amp;"%"</f>
      </c>
    </row>
    <row x14ac:dyDescent="0.25" r="314" customHeight="1" ht="17.25">
      <c r="A314" s="24" t="s">
        <v>509</v>
      </c>
      <c r="B314" s="24"/>
      <c r="C314" s="24"/>
      <c r="D314" s="24"/>
      <c r="E314" s="25">
        <v>8</v>
      </c>
      <c r="F314" s="9"/>
      <c r="G314" s="9"/>
      <c r="H314" s="10"/>
      <c r="I314" s="9"/>
      <c r="J314" s="9"/>
    </row>
    <row x14ac:dyDescent="0.25" r="315" customHeight="1" ht="17.25">
      <c r="A315" s="7"/>
      <c r="B315" s="7"/>
      <c r="C315" s="7"/>
      <c r="D315" s="7"/>
      <c r="E315" s="8"/>
      <c r="F315" s="9"/>
      <c r="G315" s="9"/>
      <c r="H315" s="10"/>
      <c r="I315" s="9"/>
      <c r="J315" s="9"/>
    </row>
    <row x14ac:dyDescent="0.25" r="316" customHeight="1" ht="17.25">
      <c r="A316" s="11" t="s">
        <v>10573</v>
      </c>
      <c r="B316" s="11"/>
      <c r="C316" s="11"/>
      <c r="D316" s="11"/>
      <c r="E316" s="12"/>
      <c r="F316" s="11"/>
      <c r="G316" s="11"/>
      <c r="H316" s="13"/>
      <c r="I316" s="11"/>
      <c r="J316" s="11"/>
    </row>
    <row x14ac:dyDescent="0.25" r="317" customHeight="1" ht="17.25">
      <c r="A317" s="14" t="s">
        <v>3</v>
      </c>
      <c r="B317" s="14" t="s">
        <v>4</v>
      </c>
      <c r="C317" s="14" t="s">
        <v>5</v>
      </c>
      <c r="D317" s="14" t="s">
        <v>6</v>
      </c>
      <c r="E317" s="15" t="s">
        <v>7</v>
      </c>
      <c r="F317" s="14" t="s">
        <v>8</v>
      </c>
      <c r="G317" s="14" t="s">
        <v>9</v>
      </c>
      <c r="H317" s="16" t="s">
        <v>10</v>
      </c>
      <c r="I317" s="14" t="s">
        <v>11</v>
      </c>
      <c r="J317" s="14" t="s">
        <v>12</v>
      </c>
    </row>
    <row x14ac:dyDescent="0.25" r="318" customHeight="1" ht="17.25">
      <c r="A318" s="17" t="s">
        <v>10574</v>
      </c>
      <c r="B318" s="17" t="s">
        <v>512</v>
      </c>
      <c r="C318" s="17" t="s">
        <v>133</v>
      </c>
      <c r="D318" s="17" t="s">
        <v>16</v>
      </c>
      <c r="E318" s="18">
        <f>ROUND(15334*1.05,2)</f>
      </c>
      <c r="F318" s="17" t="s">
        <v>17</v>
      </c>
      <c r="G318" s="17" t="s">
        <v>18</v>
      </c>
      <c r="H318" s="18">
        <f>ROUND(RAND()*4+6,1)</f>
      </c>
      <c r="I318" s="17" t="s">
        <v>19</v>
      </c>
      <c r="J318" s="19">
        <f>ROUND(83*1,0)&amp;"%"</f>
      </c>
    </row>
    <row x14ac:dyDescent="0.25" r="319" customHeight="1" ht="17.25">
      <c r="A319" s="20" t="s">
        <v>10575</v>
      </c>
      <c r="B319" s="20" t="s">
        <v>514</v>
      </c>
      <c r="C319" s="20" t="s">
        <v>133</v>
      </c>
      <c r="D319" s="20" t="s">
        <v>22</v>
      </c>
      <c r="E319" s="21">
        <f>ROUND(11015*1.05,2)</f>
      </c>
      <c r="F319" s="20" t="s">
        <v>23</v>
      </c>
      <c r="G319" s="20" t="s">
        <v>24</v>
      </c>
      <c r="H319" s="21">
        <f>ROUND(RAND()*4+6,1)</f>
      </c>
      <c r="I319" s="20" t="s">
        <v>25</v>
      </c>
      <c r="J319" s="23">
        <f>ROUND(96*1,0)&amp;"%"</f>
      </c>
    </row>
    <row x14ac:dyDescent="0.25" r="320" customHeight="1" ht="17.25">
      <c r="A320" s="17" t="s">
        <v>10576</v>
      </c>
      <c r="B320" s="17" t="s">
        <v>516</v>
      </c>
      <c r="C320" s="17" t="s">
        <v>133</v>
      </c>
      <c r="D320" s="17" t="s">
        <v>28</v>
      </c>
      <c r="E320" s="18">
        <f>ROUND(7186*1.05,2)</f>
      </c>
      <c r="F320" s="17" t="s">
        <v>29</v>
      </c>
      <c r="G320" s="17" t="s">
        <v>30</v>
      </c>
      <c r="H320" s="18">
        <f>ROUND(RAND()*4+6,1)</f>
      </c>
      <c r="I320" s="17" t="s">
        <v>31</v>
      </c>
      <c r="J320" s="19">
        <f>ROUND(82*1,0)&amp;"%"</f>
      </c>
    </row>
    <row x14ac:dyDescent="0.25" r="321" customHeight="1" ht="17.25">
      <c r="A321" s="20" t="s">
        <v>10577</v>
      </c>
      <c r="B321" s="20" t="s">
        <v>518</v>
      </c>
      <c r="C321" s="20" t="s">
        <v>133</v>
      </c>
      <c r="D321" s="20" t="s">
        <v>34</v>
      </c>
      <c r="E321" s="22">
        <f>ROUND(7380*1.05,2)</f>
      </c>
      <c r="F321" s="20" t="s">
        <v>35</v>
      </c>
      <c r="G321" s="20" t="s">
        <v>18</v>
      </c>
      <c r="H321" s="21">
        <f>ROUND(RAND()*4+6,1)</f>
      </c>
      <c r="I321" s="20" t="s">
        <v>36</v>
      </c>
      <c r="J321" s="23">
        <f>ROUND(89*1,0)&amp;"%"</f>
      </c>
    </row>
    <row x14ac:dyDescent="0.25" r="322" customHeight="1" ht="17.25">
      <c r="A322" s="17" t="s">
        <v>10578</v>
      </c>
      <c r="B322" s="17" t="s">
        <v>520</v>
      </c>
      <c r="C322" s="17" t="s">
        <v>133</v>
      </c>
      <c r="D322" s="17" t="s">
        <v>39</v>
      </c>
      <c r="E322" s="18">
        <f>ROUND(4049*1.05,2)</f>
      </c>
      <c r="F322" s="17" t="s">
        <v>40</v>
      </c>
      <c r="G322" s="17" t="s">
        <v>24</v>
      </c>
      <c r="H322" s="18">
        <f>ROUND(RAND()*4+6,1)</f>
      </c>
      <c r="I322" s="17" t="s">
        <v>41</v>
      </c>
      <c r="J322" s="19">
        <f>ROUND(69*1,0)&amp;"%"</f>
      </c>
    </row>
    <row x14ac:dyDescent="0.25" r="323" customHeight="1" ht="17.25">
      <c r="A323" s="20" t="s">
        <v>10579</v>
      </c>
      <c r="B323" s="20" t="s">
        <v>522</v>
      </c>
      <c r="C323" s="20" t="s">
        <v>133</v>
      </c>
      <c r="D323" s="20" t="s">
        <v>67</v>
      </c>
      <c r="E323" s="21">
        <f>ROUND(8389*1.05,2)</f>
      </c>
      <c r="F323" s="20" t="s">
        <v>44</v>
      </c>
      <c r="G323" s="20" t="s">
        <v>30</v>
      </c>
      <c r="H323" s="21">
        <f>ROUND(RAND()*4+6,1)</f>
      </c>
      <c r="I323" s="20" t="s">
        <v>45</v>
      </c>
      <c r="J323" s="23">
        <f>ROUND(84*1,0)&amp;"%"</f>
      </c>
    </row>
    <row x14ac:dyDescent="0.25" r="324" customHeight="1" ht="17.25">
      <c r="A324" s="17" t="s">
        <v>10580</v>
      </c>
      <c r="B324" s="17" t="s">
        <v>524</v>
      </c>
      <c r="C324" s="17" t="s">
        <v>133</v>
      </c>
      <c r="D324" s="17" t="s">
        <v>16</v>
      </c>
      <c r="E324" s="18">
        <f>ROUND(16493*1.05,2)</f>
      </c>
      <c r="F324" s="17" t="s">
        <v>48</v>
      </c>
      <c r="G324" s="17" t="s">
        <v>18</v>
      </c>
      <c r="H324" s="18">
        <f>ROUND(RAND()*4+6,1)</f>
      </c>
      <c r="I324" s="17" t="s">
        <v>19</v>
      </c>
      <c r="J324" s="19">
        <f>ROUND(89*1,0)&amp;"%"</f>
      </c>
    </row>
    <row x14ac:dyDescent="0.25" r="325" customHeight="1" ht="17.25">
      <c r="A325" s="20" t="s">
        <v>10581</v>
      </c>
      <c r="B325" s="20" t="s">
        <v>526</v>
      </c>
      <c r="C325" s="20" t="s">
        <v>133</v>
      </c>
      <c r="D325" s="20" t="s">
        <v>22</v>
      </c>
      <c r="E325" s="21">
        <f>ROUND(13767*1.05,2)</f>
      </c>
      <c r="F325" s="20" t="s">
        <v>51</v>
      </c>
      <c r="G325" s="20" t="s">
        <v>24</v>
      </c>
      <c r="H325" s="21">
        <f>ROUND(RAND()*4+6,1)</f>
      </c>
      <c r="I325" s="20" t="s">
        <v>25</v>
      </c>
      <c r="J325" s="23">
        <f>ROUND(91*1,0)&amp;"%"</f>
      </c>
    </row>
    <row x14ac:dyDescent="0.25" r="326" customHeight="1" ht="17.25">
      <c r="A326" s="24" t="s">
        <v>527</v>
      </c>
      <c r="B326" s="24"/>
      <c r="C326" s="24"/>
      <c r="D326" s="24"/>
      <c r="E326" s="25">
        <v>8</v>
      </c>
      <c r="F326" s="9"/>
      <c r="G326" s="9"/>
      <c r="H326" s="10"/>
      <c r="I326" s="9"/>
      <c r="J326" s="9"/>
    </row>
    <row x14ac:dyDescent="0.25" r="327" customHeight="1" ht="17.25">
      <c r="A327" s="7"/>
      <c r="B327" s="7"/>
      <c r="C327" s="7"/>
      <c r="D327" s="7"/>
      <c r="E327" s="8"/>
      <c r="F327" s="9"/>
      <c r="G327" s="9"/>
      <c r="H327" s="10"/>
      <c r="I327" s="9"/>
      <c r="J327" s="9"/>
    </row>
    <row x14ac:dyDescent="0.25" r="328" customHeight="1" ht="17.25">
      <c r="A328" s="11" t="s">
        <v>10582</v>
      </c>
      <c r="B328" s="11"/>
      <c r="C328" s="11"/>
      <c r="D328" s="11"/>
      <c r="E328" s="12"/>
      <c r="F328" s="11"/>
      <c r="G328" s="11"/>
      <c r="H328" s="13"/>
      <c r="I328" s="11"/>
      <c r="J328" s="11"/>
    </row>
    <row x14ac:dyDescent="0.25" r="329" customHeight="1" ht="17.25">
      <c r="A329" s="14" t="s">
        <v>3</v>
      </c>
      <c r="B329" s="14" t="s">
        <v>4</v>
      </c>
      <c r="C329" s="14" t="s">
        <v>5</v>
      </c>
      <c r="D329" s="14" t="s">
        <v>6</v>
      </c>
      <c r="E329" s="15" t="s">
        <v>7</v>
      </c>
      <c r="F329" s="14" t="s">
        <v>8</v>
      </c>
      <c r="G329" s="14" t="s">
        <v>9</v>
      </c>
      <c r="H329" s="16" t="s">
        <v>10</v>
      </c>
      <c r="I329" s="14" t="s">
        <v>11</v>
      </c>
      <c r="J329" s="14" t="s">
        <v>12</v>
      </c>
    </row>
    <row x14ac:dyDescent="0.25" r="330" customHeight="1" ht="17.25">
      <c r="A330" s="17" t="s">
        <v>10583</v>
      </c>
      <c r="B330" s="17" t="s">
        <v>530</v>
      </c>
      <c r="C330" s="17" t="s">
        <v>152</v>
      </c>
      <c r="D330" s="17" t="s">
        <v>16</v>
      </c>
      <c r="E330" s="18">
        <f>ROUND(13796*1.05,2)</f>
      </c>
      <c r="F330" s="17" t="s">
        <v>17</v>
      </c>
      <c r="G330" s="17" t="s">
        <v>18</v>
      </c>
      <c r="H330" s="26">
        <f>ROUND(RAND()*4+6,1)</f>
      </c>
      <c r="I330" s="17" t="s">
        <v>19</v>
      </c>
      <c r="J330" s="19">
        <f>ROUND(90*1,0)&amp;"%"</f>
      </c>
    </row>
    <row x14ac:dyDescent="0.25" r="331" customHeight="1" ht="17.25">
      <c r="A331" s="20" t="s">
        <v>10584</v>
      </c>
      <c r="B331" s="20" t="s">
        <v>532</v>
      </c>
      <c r="C331" s="20" t="s">
        <v>152</v>
      </c>
      <c r="D331" s="20" t="s">
        <v>22</v>
      </c>
      <c r="E331" s="21">
        <f>ROUND(15197*1.05,2)</f>
      </c>
      <c r="F331" s="20" t="s">
        <v>23</v>
      </c>
      <c r="G331" s="20" t="s">
        <v>24</v>
      </c>
      <c r="H331" s="21">
        <f>ROUND(RAND()*4+6,1)</f>
      </c>
      <c r="I331" s="20" t="s">
        <v>25</v>
      </c>
      <c r="J331" s="23">
        <f>ROUND(63*1,0)&amp;"%"</f>
      </c>
    </row>
    <row x14ac:dyDescent="0.25" r="332" customHeight="1" ht="17.25">
      <c r="A332" s="17" t="s">
        <v>10585</v>
      </c>
      <c r="B332" s="17" t="s">
        <v>534</v>
      </c>
      <c r="C332" s="17" t="s">
        <v>152</v>
      </c>
      <c r="D332" s="17" t="s">
        <v>28</v>
      </c>
      <c r="E332" s="18">
        <f>ROUND(14071*1.05,2)</f>
      </c>
      <c r="F332" s="17" t="s">
        <v>29</v>
      </c>
      <c r="G332" s="17" t="s">
        <v>30</v>
      </c>
      <c r="H332" s="18">
        <f>ROUND(RAND()*4+6,1)</f>
      </c>
      <c r="I332" s="17" t="s">
        <v>31</v>
      </c>
      <c r="J332" s="19">
        <f>ROUND(82*1,0)&amp;"%"</f>
      </c>
    </row>
    <row x14ac:dyDescent="0.25" r="333" customHeight="1" ht="17.25">
      <c r="A333" s="20" t="s">
        <v>10586</v>
      </c>
      <c r="B333" s="20" t="s">
        <v>536</v>
      </c>
      <c r="C333" s="20" t="s">
        <v>152</v>
      </c>
      <c r="D333" s="20" t="s">
        <v>34</v>
      </c>
      <c r="E333" s="21">
        <f>ROUND(11703*1.05,2)</f>
      </c>
      <c r="F333" s="20" t="s">
        <v>35</v>
      </c>
      <c r="G333" s="20" t="s">
        <v>18</v>
      </c>
      <c r="H333" s="21">
        <f>ROUND(RAND()*4+6,1)</f>
      </c>
      <c r="I333" s="20" t="s">
        <v>36</v>
      </c>
      <c r="J333" s="23">
        <f>ROUND(96*1,0)&amp;"%"</f>
      </c>
    </row>
    <row x14ac:dyDescent="0.25" r="334" customHeight="1" ht="17.25">
      <c r="A334" s="17" t="s">
        <v>10587</v>
      </c>
      <c r="B334" s="17" t="s">
        <v>538</v>
      </c>
      <c r="C334" s="17" t="s">
        <v>152</v>
      </c>
      <c r="D334" s="17" t="s">
        <v>39</v>
      </c>
      <c r="E334" s="18">
        <f>ROUND(5767*1.05,2)</f>
      </c>
      <c r="F334" s="17" t="s">
        <v>40</v>
      </c>
      <c r="G334" s="17" t="s">
        <v>24</v>
      </c>
      <c r="H334" s="18">
        <f>ROUND(RAND()*4+6,1)</f>
      </c>
      <c r="I334" s="17" t="s">
        <v>41</v>
      </c>
      <c r="J334" s="19">
        <f>ROUND(70*1,0)&amp;"%"</f>
      </c>
    </row>
    <row x14ac:dyDescent="0.25" r="335" customHeight="1" ht="17.25">
      <c r="A335" s="20" t="s">
        <v>10588</v>
      </c>
      <c r="B335" s="20" t="s">
        <v>540</v>
      </c>
      <c r="C335" s="20" t="s">
        <v>152</v>
      </c>
      <c r="D335" s="20" t="s">
        <v>67</v>
      </c>
      <c r="E335" s="21">
        <f>ROUND(10903*1.05,2)</f>
      </c>
      <c r="F335" s="20" t="s">
        <v>44</v>
      </c>
      <c r="G335" s="20" t="s">
        <v>30</v>
      </c>
      <c r="H335" s="21">
        <f>ROUND(RAND()*4+6,1)</f>
      </c>
      <c r="I335" s="20" t="s">
        <v>45</v>
      </c>
      <c r="J335" s="23">
        <f>ROUND(86*1,0)&amp;"%"</f>
      </c>
    </row>
    <row x14ac:dyDescent="0.25" r="336" customHeight="1" ht="17.25">
      <c r="A336" s="17" t="s">
        <v>10589</v>
      </c>
      <c r="B336" s="17" t="s">
        <v>542</v>
      </c>
      <c r="C336" s="17" t="s">
        <v>152</v>
      </c>
      <c r="D336" s="17" t="s">
        <v>16</v>
      </c>
      <c r="E336" s="18">
        <f>ROUND(11185*1.05,2)</f>
      </c>
      <c r="F336" s="17" t="s">
        <v>48</v>
      </c>
      <c r="G336" s="17" t="s">
        <v>18</v>
      </c>
      <c r="H336" s="18">
        <f>ROUND(RAND()*4+6,1)</f>
      </c>
      <c r="I336" s="17" t="s">
        <v>19</v>
      </c>
      <c r="J336" s="19">
        <f>ROUND(75*1,0)&amp;"%"</f>
      </c>
    </row>
    <row x14ac:dyDescent="0.25" r="337" customHeight="1" ht="17.25">
      <c r="A337" s="20" t="s">
        <v>10590</v>
      </c>
      <c r="B337" s="20" t="s">
        <v>544</v>
      </c>
      <c r="C337" s="20" t="s">
        <v>152</v>
      </c>
      <c r="D337" s="20" t="s">
        <v>22</v>
      </c>
      <c r="E337" s="21">
        <f>ROUND(7843*1.05,2)</f>
      </c>
      <c r="F337" s="20" t="s">
        <v>51</v>
      </c>
      <c r="G337" s="20" t="s">
        <v>24</v>
      </c>
      <c r="H337" s="21">
        <f>ROUND(RAND()*4+6,1)</f>
      </c>
      <c r="I337" s="20" t="s">
        <v>25</v>
      </c>
      <c r="J337" s="23">
        <f>ROUND(90*1,0)&amp;"%"</f>
      </c>
    </row>
    <row x14ac:dyDescent="0.25" r="338" customHeight="1" ht="17.25">
      <c r="A338" s="24" t="s">
        <v>545</v>
      </c>
      <c r="B338" s="24"/>
      <c r="C338" s="24"/>
      <c r="D338" s="24"/>
      <c r="E338" s="25">
        <v>8</v>
      </c>
      <c r="F338" s="9"/>
      <c r="G338" s="9"/>
      <c r="H338" s="10"/>
      <c r="I338" s="9"/>
      <c r="J338" s="9"/>
    </row>
    <row x14ac:dyDescent="0.25" r="339" customHeight="1" ht="17.25">
      <c r="A339" s="7"/>
      <c r="B339" s="7"/>
      <c r="C339" s="7"/>
      <c r="D339" s="7"/>
      <c r="E339" s="8"/>
      <c r="F339" s="9"/>
      <c r="G339" s="9"/>
      <c r="H339" s="10"/>
      <c r="I339" s="9"/>
      <c r="J339" s="9"/>
    </row>
    <row x14ac:dyDescent="0.25" r="340" customHeight="1" ht="17.25">
      <c r="A340" s="11" t="s">
        <v>10591</v>
      </c>
      <c r="B340" s="11"/>
      <c r="C340" s="11"/>
      <c r="D340" s="11"/>
      <c r="E340" s="12"/>
      <c r="F340" s="11"/>
      <c r="G340" s="11"/>
      <c r="H340" s="13"/>
      <c r="I340" s="11"/>
      <c r="J340" s="11"/>
    </row>
    <row x14ac:dyDescent="0.25" r="341" customHeight="1" ht="17.25">
      <c r="A341" s="14" t="s">
        <v>3</v>
      </c>
      <c r="B341" s="14" t="s">
        <v>4</v>
      </c>
      <c r="C341" s="14" t="s">
        <v>5</v>
      </c>
      <c r="D341" s="14" t="s">
        <v>6</v>
      </c>
      <c r="E341" s="15" t="s">
        <v>7</v>
      </c>
      <c r="F341" s="14" t="s">
        <v>8</v>
      </c>
      <c r="G341" s="14" t="s">
        <v>9</v>
      </c>
      <c r="H341" s="16" t="s">
        <v>10</v>
      </c>
      <c r="I341" s="14" t="s">
        <v>11</v>
      </c>
      <c r="J341" s="14" t="s">
        <v>12</v>
      </c>
    </row>
    <row x14ac:dyDescent="0.25" r="342" customHeight="1" ht="17.25">
      <c r="A342" s="17" t="s">
        <v>10592</v>
      </c>
      <c r="B342" s="17" t="s">
        <v>548</v>
      </c>
      <c r="C342" s="17" t="s">
        <v>15</v>
      </c>
      <c r="D342" s="17" t="s">
        <v>16</v>
      </c>
      <c r="E342" s="18">
        <f>ROUND(8766*1.05,2)</f>
      </c>
      <c r="F342" s="17" t="s">
        <v>17</v>
      </c>
      <c r="G342" s="17" t="s">
        <v>18</v>
      </c>
      <c r="H342" s="18">
        <f>ROUND(RAND()*4+6,1)</f>
      </c>
      <c r="I342" s="17" t="s">
        <v>19</v>
      </c>
      <c r="J342" s="19">
        <f>ROUND(77*1,0)&amp;"%"</f>
      </c>
    </row>
    <row x14ac:dyDescent="0.25" r="343" customHeight="1" ht="17.25">
      <c r="A343" s="20" t="s">
        <v>10593</v>
      </c>
      <c r="B343" s="20" t="s">
        <v>550</v>
      </c>
      <c r="C343" s="20" t="s">
        <v>15</v>
      </c>
      <c r="D343" s="20" t="s">
        <v>22</v>
      </c>
      <c r="E343" s="21">
        <f>ROUND(5578*1.05,2)</f>
      </c>
      <c r="F343" s="20" t="s">
        <v>23</v>
      </c>
      <c r="G343" s="20" t="s">
        <v>24</v>
      </c>
      <c r="H343" s="21">
        <f>ROUND(RAND()*4+6,1)</f>
      </c>
      <c r="I343" s="20" t="s">
        <v>25</v>
      </c>
      <c r="J343" s="23">
        <f>ROUND(84*1,0)&amp;"%"</f>
      </c>
    </row>
    <row x14ac:dyDescent="0.25" r="344" customHeight="1" ht="17.25">
      <c r="A344" s="17" t="s">
        <v>10594</v>
      </c>
      <c r="B344" s="17" t="s">
        <v>552</v>
      </c>
      <c r="C344" s="17" t="s">
        <v>15</v>
      </c>
      <c r="D344" s="17" t="s">
        <v>28</v>
      </c>
      <c r="E344" s="18">
        <f>ROUND(10289*1.05,2)</f>
      </c>
      <c r="F344" s="17" t="s">
        <v>29</v>
      </c>
      <c r="G344" s="17" t="s">
        <v>30</v>
      </c>
      <c r="H344" s="18">
        <f>ROUND(RAND()*4+6,1)</f>
      </c>
      <c r="I344" s="17" t="s">
        <v>31</v>
      </c>
      <c r="J344" s="19">
        <f>ROUND(67*1,0)&amp;"%"</f>
      </c>
    </row>
    <row x14ac:dyDescent="0.25" r="345" customHeight="1" ht="17.25">
      <c r="A345" s="20" t="s">
        <v>10595</v>
      </c>
      <c r="B345" s="20" t="s">
        <v>554</v>
      </c>
      <c r="C345" s="20" t="s">
        <v>15</v>
      </c>
      <c r="D345" s="20" t="s">
        <v>34</v>
      </c>
      <c r="E345" s="21">
        <f>ROUND(6649*1.05,2)</f>
      </c>
      <c r="F345" s="20" t="s">
        <v>35</v>
      </c>
      <c r="G345" s="20" t="s">
        <v>18</v>
      </c>
      <c r="H345" s="21">
        <f>ROUND(RAND()*4+6,1)</f>
      </c>
      <c r="I345" s="20" t="s">
        <v>36</v>
      </c>
      <c r="J345" s="23">
        <f>ROUND(95*1,0)&amp;"%"</f>
      </c>
    </row>
    <row x14ac:dyDescent="0.25" r="346" customHeight="1" ht="17.25">
      <c r="A346" s="17" t="s">
        <v>10596</v>
      </c>
      <c r="B346" s="17" t="s">
        <v>556</v>
      </c>
      <c r="C346" s="17" t="s">
        <v>15</v>
      </c>
      <c r="D346" s="17" t="s">
        <v>39</v>
      </c>
      <c r="E346" s="18">
        <f>ROUND(12925*1.05,2)</f>
      </c>
      <c r="F346" s="17" t="s">
        <v>40</v>
      </c>
      <c r="G346" s="17" t="s">
        <v>24</v>
      </c>
      <c r="H346" s="18">
        <f>ROUND(RAND()*4+6,1)</f>
      </c>
      <c r="I346" s="17" t="s">
        <v>41</v>
      </c>
      <c r="J346" s="19">
        <f>ROUND(61*1,0)&amp;"%"</f>
      </c>
    </row>
    <row x14ac:dyDescent="0.25" r="347" customHeight="1" ht="17.25">
      <c r="A347" s="20" t="s">
        <v>10597</v>
      </c>
      <c r="B347" s="20" t="s">
        <v>558</v>
      </c>
      <c r="C347" s="20" t="s">
        <v>15</v>
      </c>
      <c r="D347" s="20" t="s">
        <v>67</v>
      </c>
      <c r="E347" s="21">
        <f>ROUND(5349*1.05,2)</f>
      </c>
      <c r="F347" s="20" t="s">
        <v>44</v>
      </c>
      <c r="G347" s="20" t="s">
        <v>30</v>
      </c>
      <c r="H347" s="21">
        <f>ROUND(RAND()*4+6,1)</f>
      </c>
      <c r="I347" s="20" t="s">
        <v>45</v>
      </c>
      <c r="J347" s="23">
        <f>ROUND(67*1,0)&amp;"%"</f>
      </c>
    </row>
    <row x14ac:dyDescent="0.25" r="348" customHeight="1" ht="17.25">
      <c r="A348" s="17" t="s">
        <v>10598</v>
      </c>
      <c r="B348" s="17" t="s">
        <v>560</v>
      </c>
      <c r="C348" s="17" t="s">
        <v>15</v>
      </c>
      <c r="D348" s="17" t="s">
        <v>16</v>
      </c>
      <c r="E348" s="18">
        <f>ROUND(10119*1.05,2)</f>
      </c>
      <c r="F348" s="17" t="s">
        <v>48</v>
      </c>
      <c r="G348" s="17" t="s">
        <v>18</v>
      </c>
      <c r="H348" s="18">
        <f>ROUND(RAND()*4+6,1)</f>
      </c>
      <c r="I348" s="17" t="s">
        <v>19</v>
      </c>
      <c r="J348" s="19">
        <f>ROUND(76*1,0)&amp;"%"</f>
      </c>
    </row>
    <row x14ac:dyDescent="0.25" r="349" customHeight="1" ht="17.25">
      <c r="A349" s="20" t="s">
        <v>10599</v>
      </c>
      <c r="B349" s="20" t="s">
        <v>562</v>
      </c>
      <c r="C349" s="20" t="s">
        <v>15</v>
      </c>
      <c r="D349" s="20" t="s">
        <v>22</v>
      </c>
      <c r="E349" s="21">
        <f>ROUND(17065*1.05,2)</f>
      </c>
      <c r="F349" s="20" t="s">
        <v>51</v>
      </c>
      <c r="G349" s="20" t="s">
        <v>24</v>
      </c>
      <c r="H349" s="21">
        <f>ROUND(RAND()*4+6,1)</f>
      </c>
      <c r="I349" s="20" t="s">
        <v>25</v>
      </c>
      <c r="J349" s="23">
        <f>ROUND(78*1,0)&amp;"%"</f>
      </c>
    </row>
    <row x14ac:dyDescent="0.25" r="350" customHeight="1" ht="17.25">
      <c r="A350" s="24" t="s">
        <v>563</v>
      </c>
      <c r="B350" s="24"/>
      <c r="C350" s="24"/>
      <c r="D350" s="24"/>
      <c r="E350" s="25">
        <v>8</v>
      </c>
      <c r="F350" s="9"/>
      <c r="G350" s="9"/>
      <c r="H350" s="10"/>
      <c r="I350" s="9"/>
      <c r="J350" s="9"/>
    </row>
    <row x14ac:dyDescent="0.25" r="351" customHeight="1" ht="17.25">
      <c r="A351" s="7"/>
      <c r="B351" s="7"/>
      <c r="C351" s="7"/>
      <c r="D351" s="7"/>
      <c r="E351" s="8"/>
      <c r="F351" s="9"/>
      <c r="G351" s="9"/>
      <c r="H351" s="10"/>
      <c r="I351" s="9"/>
      <c r="J351" s="9"/>
    </row>
    <row x14ac:dyDescent="0.25" r="352" customHeight="1" ht="17.25">
      <c r="A352" s="11" t="s">
        <v>10600</v>
      </c>
      <c r="B352" s="11"/>
      <c r="C352" s="11"/>
      <c r="D352" s="11"/>
      <c r="E352" s="12"/>
      <c r="F352" s="11"/>
      <c r="G352" s="11"/>
      <c r="H352" s="13"/>
      <c r="I352" s="11"/>
      <c r="J352" s="11"/>
    </row>
    <row x14ac:dyDescent="0.25" r="353" customHeight="1" ht="17.25">
      <c r="A353" s="14" t="s">
        <v>3</v>
      </c>
      <c r="B353" s="14" t="s">
        <v>4</v>
      </c>
      <c r="C353" s="14" t="s">
        <v>5</v>
      </c>
      <c r="D353" s="14" t="s">
        <v>6</v>
      </c>
      <c r="E353" s="15" t="s">
        <v>7</v>
      </c>
      <c r="F353" s="14" t="s">
        <v>8</v>
      </c>
      <c r="G353" s="14" t="s">
        <v>9</v>
      </c>
      <c r="H353" s="16" t="s">
        <v>10</v>
      </c>
      <c r="I353" s="14" t="s">
        <v>11</v>
      </c>
      <c r="J353" s="14" t="s">
        <v>12</v>
      </c>
    </row>
    <row x14ac:dyDescent="0.25" r="354" customHeight="1" ht="17.25">
      <c r="A354" s="17" t="s">
        <v>10601</v>
      </c>
      <c r="B354" s="17" t="s">
        <v>566</v>
      </c>
      <c r="C354" s="17" t="s">
        <v>56</v>
      </c>
      <c r="D354" s="17" t="s">
        <v>16</v>
      </c>
      <c r="E354" s="18">
        <f>ROUND(9057*1.05,2)</f>
      </c>
      <c r="F354" s="17" t="s">
        <v>17</v>
      </c>
      <c r="G354" s="17" t="s">
        <v>18</v>
      </c>
      <c r="H354" s="18">
        <f>ROUND(RAND()*4+6,1)</f>
      </c>
      <c r="I354" s="17" t="s">
        <v>19</v>
      </c>
      <c r="J354" s="19">
        <f>ROUND(67*1,0)&amp;"%"</f>
      </c>
    </row>
    <row x14ac:dyDescent="0.25" r="355" customHeight="1" ht="17.25">
      <c r="A355" s="20" t="s">
        <v>10602</v>
      </c>
      <c r="B355" s="20" t="s">
        <v>568</v>
      </c>
      <c r="C355" s="20" t="s">
        <v>56</v>
      </c>
      <c r="D355" s="20" t="s">
        <v>22</v>
      </c>
      <c r="E355" s="21">
        <f>ROUND(17505*1.05,2)</f>
      </c>
      <c r="F355" s="20" t="s">
        <v>23</v>
      </c>
      <c r="G355" s="20" t="s">
        <v>24</v>
      </c>
      <c r="H355" s="21">
        <f>ROUND(RAND()*4+6,1)</f>
      </c>
      <c r="I355" s="20" t="s">
        <v>25</v>
      </c>
      <c r="J355" s="23">
        <f>ROUND(84*1,0)&amp;"%"</f>
      </c>
    </row>
    <row x14ac:dyDescent="0.25" r="356" customHeight="1" ht="17.25">
      <c r="A356" s="17" t="s">
        <v>10603</v>
      </c>
      <c r="B356" s="17" t="s">
        <v>570</v>
      </c>
      <c r="C356" s="17" t="s">
        <v>56</v>
      </c>
      <c r="D356" s="17" t="s">
        <v>28</v>
      </c>
      <c r="E356" s="18">
        <f>ROUND(5353*1.05,2)</f>
      </c>
      <c r="F356" s="17" t="s">
        <v>29</v>
      </c>
      <c r="G356" s="17" t="s">
        <v>30</v>
      </c>
      <c r="H356" s="18">
        <f>ROUND(RAND()*4+6,1)</f>
      </c>
      <c r="I356" s="17" t="s">
        <v>31</v>
      </c>
      <c r="J356" s="19">
        <f>ROUND(72*1,0)&amp;"%"</f>
      </c>
    </row>
    <row x14ac:dyDescent="0.25" r="357" customHeight="1" ht="17.25">
      <c r="A357" s="20" t="s">
        <v>10604</v>
      </c>
      <c r="B357" s="20" t="s">
        <v>572</v>
      </c>
      <c r="C357" s="20" t="s">
        <v>56</v>
      </c>
      <c r="D357" s="20" t="s">
        <v>34</v>
      </c>
      <c r="E357" s="21">
        <f>ROUND(11952*1.05,2)</f>
      </c>
      <c r="F357" s="20" t="s">
        <v>35</v>
      </c>
      <c r="G357" s="20" t="s">
        <v>18</v>
      </c>
      <c r="H357" s="21">
        <f>ROUND(RAND()*4+6,1)</f>
      </c>
      <c r="I357" s="20" t="s">
        <v>36</v>
      </c>
      <c r="J357" s="23">
        <f>ROUND(69*1,0)&amp;"%"</f>
      </c>
    </row>
    <row x14ac:dyDescent="0.25" r="358" customHeight="1" ht="17.25">
      <c r="A358" s="17" t="s">
        <v>10605</v>
      </c>
      <c r="B358" s="17" t="s">
        <v>574</v>
      </c>
      <c r="C358" s="17" t="s">
        <v>56</v>
      </c>
      <c r="D358" s="17" t="s">
        <v>39</v>
      </c>
      <c r="E358" s="18">
        <f>ROUND(11061*1.05,2)</f>
      </c>
      <c r="F358" s="17" t="s">
        <v>40</v>
      </c>
      <c r="G358" s="17" t="s">
        <v>24</v>
      </c>
      <c r="H358" s="18">
        <f>ROUND(RAND()*4+6,1)</f>
      </c>
      <c r="I358" s="17" t="s">
        <v>41</v>
      </c>
      <c r="J358" s="19">
        <f>ROUND(71*1,0)&amp;"%"</f>
      </c>
    </row>
    <row x14ac:dyDescent="0.25" r="359" customHeight="1" ht="17.25">
      <c r="A359" s="20" t="s">
        <v>10606</v>
      </c>
      <c r="B359" s="20" t="s">
        <v>576</v>
      </c>
      <c r="C359" s="20" t="s">
        <v>56</v>
      </c>
      <c r="D359" s="20" t="s">
        <v>67</v>
      </c>
      <c r="E359" s="21">
        <f>ROUND(17304*1.05,2)</f>
      </c>
      <c r="F359" s="20" t="s">
        <v>44</v>
      </c>
      <c r="G359" s="20" t="s">
        <v>30</v>
      </c>
      <c r="H359" s="21">
        <f>ROUND(RAND()*4+6,1)</f>
      </c>
      <c r="I359" s="20" t="s">
        <v>45</v>
      </c>
      <c r="J359" s="23">
        <f>ROUND(71*1,0)&amp;"%"</f>
      </c>
    </row>
    <row x14ac:dyDescent="0.25" r="360" customHeight="1" ht="17.25">
      <c r="A360" s="17" t="s">
        <v>10607</v>
      </c>
      <c r="B360" s="17" t="s">
        <v>578</v>
      </c>
      <c r="C360" s="17" t="s">
        <v>56</v>
      </c>
      <c r="D360" s="17" t="s">
        <v>16</v>
      </c>
      <c r="E360" s="18">
        <f>ROUND(11516*1.05,2)</f>
      </c>
      <c r="F360" s="17" t="s">
        <v>48</v>
      </c>
      <c r="G360" s="17" t="s">
        <v>18</v>
      </c>
      <c r="H360" s="18">
        <f>ROUND(RAND()*4+6,1)</f>
      </c>
      <c r="I360" s="17" t="s">
        <v>19</v>
      </c>
      <c r="J360" s="19">
        <f>ROUND(79*1,0)&amp;"%"</f>
      </c>
    </row>
    <row x14ac:dyDescent="0.25" r="361" customHeight="1" ht="17.25">
      <c r="A361" s="20" t="s">
        <v>10608</v>
      </c>
      <c r="B361" s="20" t="s">
        <v>580</v>
      </c>
      <c r="C361" s="20" t="s">
        <v>56</v>
      </c>
      <c r="D361" s="20" t="s">
        <v>22</v>
      </c>
      <c r="E361" s="21">
        <f>ROUND(9429*1.05,2)</f>
      </c>
      <c r="F361" s="20" t="s">
        <v>51</v>
      </c>
      <c r="G361" s="20" t="s">
        <v>24</v>
      </c>
      <c r="H361" s="21">
        <f>ROUND(RAND()*4+6,1)</f>
      </c>
      <c r="I361" s="20" t="s">
        <v>25</v>
      </c>
      <c r="J361" s="23">
        <f>ROUND(78*1,0)&amp;"%"</f>
      </c>
    </row>
    <row x14ac:dyDescent="0.25" r="362" customHeight="1" ht="17.25">
      <c r="A362" s="24" t="s">
        <v>581</v>
      </c>
      <c r="B362" s="24"/>
      <c r="C362" s="24"/>
      <c r="D362" s="24"/>
      <c r="E362" s="25">
        <v>8</v>
      </c>
      <c r="F362" s="9"/>
      <c r="G362" s="9"/>
      <c r="H362" s="10"/>
      <c r="I362" s="9"/>
      <c r="J362" s="9"/>
    </row>
  </sheetData>
  <mergeCells count="62">
    <mergeCell ref="A1:J1"/>
    <mergeCell ref="A2:J2"/>
    <mergeCell ref="A4:J4"/>
    <mergeCell ref="A14:D14"/>
    <mergeCell ref="A16:J16"/>
    <mergeCell ref="A26:D26"/>
    <mergeCell ref="A28:J28"/>
    <mergeCell ref="A38:D38"/>
    <mergeCell ref="A40:J40"/>
    <mergeCell ref="A50:D50"/>
    <mergeCell ref="A52:J52"/>
    <mergeCell ref="A62:D62"/>
    <mergeCell ref="A64:J64"/>
    <mergeCell ref="A74:D74"/>
    <mergeCell ref="A76:J76"/>
    <mergeCell ref="A86:D86"/>
    <mergeCell ref="A88:J88"/>
    <mergeCell ref="A98:D98"/>
    <mergeCell ref="A100:J100"/>
    <mergeCell ref="A110:D110"/>
    <mergeCell ref="A112:J112"/>
    <mergeCell ref="A122:D122"/>
    <mergeCell ref="A124:J124"/>
    <mergeCell ref="A134:D134"/>
    <mergeCell ref="A136:J136"/>
    <mergeCell ref="A146:D146"/>
    <mergeCell ref="A148:J148"/>
    <mergeCell ref="A158:D158"/>
    <mergeCell ref="A160:J160"/>
    <mergeCell ref="A170:D170"/>
    <mergeCell ref="A172:J172"/>
    <mergeCell ref="A182:D182"/>
    <mergeCell ref="A184:J184"/>
    <mergeCell ref="A194:D194"/>
    <mergeCell ref="A196:J196"/>
    <mergeCell ref="A206:D206"/>
    <mergeCell ref="A208:J208"/>
    <mergeCell ref="A218:D218"/>
    <mergeCell ref="A220:J220"/>
    <mergeCell ref="A230:D230"/>
    <mergeCell ref="A232:J232"/>
    <mergeCell ref="A242:D242"/>
    <mergeCell ref="A244:J244"/>
    <mergeCell ref="A254:D254"/>
    <mergeCell ref="A256:J256"/>
    <mergeCell ref="A266:D266"/>
    <mergeCell ref="A268:J268"/>
    <mergeCell ref="A278:D278"/>
    <mergeCell ref="A280:J280"/>
    <mergeCell ref="A290:D290"/>
    <mergeCell ref="A292:J292"/>
    <mergeCell ref="A302:D302"/>
    <mergeCell ref="A304:J304"/>
    <mergeCell ref="A314:D314"/>
    <mergeCell ref="A316:J316"/>
    <mergeCell ref="A326:D326"/>
    <mergeCell ref="A328:J328"/>
    <mergeCell ref="A338:D338"/>
    <mergeCell ref="A340:J340"/>
    <mergeCell ref="A350:D350"/>
    <mergeCell ref="A352:J352"/>
    <mergeCell ref="A362:D362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J362"/>
  <sheetViews>
    <sheetView workbookViewId="0"/>
  </sheetViews>
  <sheetFormatPr defaultRowHeight="15" x14ac:dyDescent="0.25"/>
  <cols>
    <col min="1" max="1" style="27" width="8.005" customWidth="1" bestFit="1"/>
    <col min="2" max="2" style="27" width="22.005" customWidth="1" bestFit="1"/>
    <col min="3" max="3" style="27" width="16.005" customWidth="1" bestFit="1"/>
    <col min="4" max="4" style="27" width="14.005" customWidth="1" bestFit="1"/>
    <col min="5" max="5" style="28" width="12.005" customWidth="1" bestFit="1"/>
    <col min="6" max="6" style="29" width="16.005" customWidth="1" bestFit="1"/>
    <col min="7" max="7" style="29" width="10.005" customWidth="1" bestFit="1"/>
    <col min="8" max="8" style="30" width="10.005" customWidth="1" bestFit="1"/>
    <col min="9" max="9" style="29" width="14.005" customWidth="1" bestFit="1"/>
    <col min="10" max="10" style="29" width="8.005" customWidth="1" bestFit="1"/>
  </cols>
  <sheetData>
    <row x14ac:dyDescent="0.25" r="1" customHeight="1" ht="17.25">
      <c r="A1" s="1" t="s">
        <v>10067</v>
      </c>
      <c r="B1" s="1"/>
      <c r="C1" s="1"/>
      <c r="D1" s="1"/>
      <c r="E1" s="2"/>
      <c r="F1" s="1"/>
      <c r="G1" s="1"/>
      <c r="H1" s="3"/>
      <c r="I1" s="1"/>
      <c r="J1" s="1"/>
    </row>
    <row x14ac:dyDescent="0.25" r="2" customHeight="1" ht="17.25">
      <c r="A2" s="4" t="s">
        <v>1</v>
      </c>
      <c r="B2" s="4"/>
      <c r="C2" s="4"/>
      <c r="D2" s="4"/>
      <c r="E2" s="5"/>
      <c r="F2" s="4"/>
      <c r="G2" s="4"/>
      <c r="H2" s="6"/>
      <c r="I2" s="4"/>
      <c r="J2" s="4"/>
    </row>
    <row x14ac:dyDescent="0.25" r="3" customHeight="1" ht="17.25">
      <c r="A3" s="7"/>
      <c r="B3" s="7"/>
      <c r="C3" s="7"/>
      <c r="D3" s="7"/>
      <c r="E3" s="8"/>
      <c r="F3" s="9"/>
      <c r="G3" s="9"/>
      <c r="H3" s="10"/>
      <c r="I3" s="9"/>
      <c r="J3" s="9"/>
    </row>
    <row x14ac:dyDescent="0.25" r="4" customHeight="1" ht="17.25">
      <c r="A4" s="11" t="s">
        <v>10068</v>
      </c>
      <c r="B4" s="11"/>
      <c r="C4" s="11"/>
      <c r="D4" s="11"/>
      <c r="E4" s="12"/>
      <c r="F4" s="11"/>
      <c r="G4" s="11"/>
      <c r="H4" s="13"/>
      <c r="I4" s="11"/>
      <c r="J4" s="11"/>
    </row>
    <row x14ac:dyDescent="0.25" r="5" customHeight="1" ht="17.25">
      <c r="A5" s="14" t="s">
        <v>3</v>
      </c>
      <c r="B5" s="14" t="s">
        <v>4</v>
      </c>
      <c r="C5" s="14" t="s">
        <v>5</v>
      </c>
      <c r="D5" s="14" t="s">
        <v>6</v>
      </c>
      <c r="E5" s="15" t="s">
        <v>7</v>
      </c>
      <c r="F5" s="14" t="s">
        <v>8</v>
      </c>
      <c r="G5" s="14" t="s">
        <v>9</v>
      </c>
      <c r="H5" s="16" t="s">
        <v>10</v>
      </c>
      <c r="I5" s="14" t="s">
        <v>11</v>
      </c>
      <c r="J5" s="14" t="s">
        <v>12</v>
      </c>
    </row>
    <row x14ac:dyDescent="0.25" r="6" customHeight="1" ht="17.25">
      <c r="A6" s="17" t="s">
        <v>10069</v>
      </c>
      <c r="B6" s="17" t="s">
        <v>14</v>
      </c>
      <c r="C6" s="17" t="s">
        <v>15</v>
      </c>
      <c r="D6" s="17" t="s">
        <v>16</v>
      </c>
      <c r="E6" s="18">
        <f>ROUND(15988*1.05,2)</f>
      </c>
      <c r="F6" s="17" t="s">
        <v>17</v>
      </c>
      <c r="G6" s="17" t="s">
        <v>18</v>
      </c>
      <c r="H6" s="18">
        <f>ROUND(RAND()*4+6,1)</f>
      </c>
      <c r="I6" s="17" t="s">
        <v>19</v>
      </c>
      <c r="J6" s="19">
        <f>ROUND(76*1,0)&amp;"%"</f>
      </c>
    </row>
    <row x14ac:dyDescent="0.25" r="7" customHeight="1" ht="17.25">
      <c r="A7" s="20" t="s">
        <v>10070</v>
      </c>
      <c r="B7" s="20" t="s">
        <v>21</v>
      </c>
      <c r="C7" s="20" t="s">
        <v>15</v>
      </c>
      <c r="D7" s="20" t="s">
        <v>22</v>
      </c>
      <c r="E7" s="21">
        <f>ROUND(7049*1.05,2)</f>
      </c>
      <c r="F7" s="20" t="s">
        <v>23</v>
      </c>
      <c r="G7" s="20" t="s">
        <v>24</v>
      </c>
      <c r="H7" s="21">
        <f>ROUND(RAND()*4+6,1)</f>
      </c>
      <c r="I7" s="20" t="s">
        <v>25</v>
      </c>
      <c r="J7" s="23">
        <f>ROUND(88*1,0)&amp;"%"</f>
      </c>
    </row>
    <row x14ac:dyDescent="0.25" r="8" customHeight="1" ht="17.25">
      <c r="A8" s="17" t="s">
        <v>10071</v>
      </c>
      <c r="B8" s="17" t="s">
        <v>27</v>
      </c>
      <c r="C8" s="17" t="s">
        <v>15</v>
      </c>
      <c r="D8" s="17" t="s">
        <v>28</v>
      </c>
      <c r="E8" s="18">
        <f>ROUND(15135*1.05,2)</f>
      </c>
      <c r="F8" s="17" t="s">
        <v>29</v>
      </c>
      <c r="G8" s="17" t="s">
        <v>30</v>
      </c>
      <c r="H8" s="26">
        <f>ROUND(RAND()*4+6,1)</f>
      </c>
      <c r="I8" s="17" t="s">
        <v>31</v>
      </c>
      <c r="J8" s="19">
        <f>ROUND(66*1,0)&amp;"%"</f>
      </c>
    </row>
    <row x14ac:dyDescent="0.25" r="9" customHeight="1" ht="17.25">
      <c r="A9" s="20" t="s">
        <v>10072</v>
      </c>
      <c r="B9" s="20" t="s">
        <v>33</v>
      </c>
      <c r="C9" s="20" t="s">
        <v>15</v>
      </c>
      <c r="D9" s="20" t="s">
        <v>34</v>
      </c>
      <c r="E9" s="21">
        <f>ROUND(7845*1.05,2)</f>
      </c>
      <c r="F9" s="20" t="s">
        <v>35</v>
      </c>
      <c r="G9" s="20" t="s">
        <v>18</v>
      </c>
      <c r="H9" s="21">
        <f>ROUND(RAND()*4+6,1)</f>
      </c>
      <c r="I9" s="20" t="s">
        <v>36</v>
      </c>
      <c r="J9" s="23">
        <f>ROUND(69*1,0)&amp;"%"</f>
      </c>
    </row>
    <row x14ac:dyDescent="0.25" r="10" customHeight="1" ht="17.25">
      <c r="A10" s="17" t="s">
        <v>10073</v>
      </c>
      <c r="B10" s="17" t="s">
        <v>38</v>
      </c>
      <c r="C10" s="17" t="s">
        <v>15</v>
      </c>
      <c r="D10" s="17" t="s">
        <v>39</v>
      </c>
      <c r="E10" s="18">
        <f>ROUND(17247*1.05,2)</f>
      </c>
      <c r="F10" s="17" t="s">
        <v>40</v>
      </c>
      <c r="G10" s="17" t="s">
        <v>24</v>
      </c>
      <c r="H10" s="18">
        <f>ROUND(RAND()*4+6,1)</f>
      </c>
      <c r="I10" s="17" t="s">
        <v>41</v>
      </c>
      <c r="J10" s="19">
        <f>ROUND(92*1,0)&amp;"%"</f>
      </c>
    </row>
    <row x14ac:dyDescent="0.25" r="11" customHeight="1" ht="17.25">
      <c r="A11" s="20" t="s">
        <v>10074</v>
      </c>
      <c r="B11" s="20" t="s">
        <v>43</v>
      </c>
      <c r="C11" s="20" t="s">
        <v>15</v>
      </c>
      <c r="D11" s="20" t="s">
        <v>67</v>
      </c>
      <c r="E11" s="21">
        <f>ROUND(6384*1.05,2)</f>
      </c>
      <c r="F11" s="20" t="s">
        <v>44</v>
      </c>
      <c r="G11" s="20" t="s">
        <v>30</v>
      </c>
      <c r="H11" s="21">
        <f>ROUND(RAND()*4+6,1)</f>
      </c>
      <c r="I11" s="20" t="s">
        <v>45</v>
      </c>
      <c r="J11" s="23">
        <f>ROUND(95*1,0)&amp;"%"</f>
      </c>
    </row>
    <row x14ac:dyDescent="0.25" r="12" customHeight="1" ht="17.25">
      <c r="A12" s="17" t="s">
        <v>10075</v>
      </c>
      <c r="B12" s="17" t="s">
        <v>47</v>
      </c>
      <c r="C12" s="17" t="s">
        <v>15</v>
      </c>
      <c r="D12" s="17" t="s">
        <v>16</v>
      </c>
      <c r="E12" s="18">
        <f>ROUND(16764*1.05,2)</f>
      </c>
      <c r="F12" s="17" t="s">
        <v>48</v>
      </c>
      <c r="G12" s="17" t="s">
        <v>18</v>
      </c>
      <c r="H12" s="18">
        <f>ROUND(RAND()*4+6,1)</f>
      </c>
      <c r="I12" s="17" t="s">
        <v>19</v>
      </c>
      <c r="J12" s="19">
        <f>ROUND(97*1,0)&amp;"%"</f>
      </c>
    </row>
    <row x14ac:dyDescent="0.25" r="13" customHeight="1" ht="17.25">
      <c r="A13" s="20" t="s">
        <v>10076</v>
      </c>
      <c r="B13" s="20" t="s">
        <v>50</v>
      </c>
      <c r="C13" s="20" t="s">
        <v>15</v>
      </c>
      <c r="D13" s="20" t="s">
        <v>22</v>
      </c>
      <c r="E13" s="21">
        <f>ROUND(12599*1.05,2)</f>
      </c>
      <c r="F13" s="20" t="s">
        <v>51</v>
      </c>
      <c r="G13" s="20" t="s">
        <v>24</v>
      </c>
      <c r="H13" s="22">
        <f>ROUND(RAND()*4+6,1)</f>
      </c>
      <c r="I13" s="20" t="s">
        <v>25</v>
      </c>
      <c r="J13" s="23">
        <f>ROUND(75*1,0)&amp;"%"</f>
      </c>
    </row>
    <row x14ac:dyDescent="0.25" r="14" customHeight="1" ht="17.25">
      <c r="A14" s="24" t="s">
        <v>52</v>
      </c>
      <c r="B14" s="24"/>
      <c r="C14" s="24"/>
      <c r="D14" s="24"/>
      <c r="E14" s="25">
        <v>8</v>
      </c>
      <c r="F14" s="9"/>
      <c r="G14" s="9"/>
      <c r="H14" s="10"/>
      <c r="I14" s="9"/>
      <c r="J14" s="9"/>
    </row>
    <row x14ac:dyDescent="0.25" r="15" customHeight="1" ht="17.25">
      <c r="A15" s="7"/>
      <c r="B15" s="7"/>
      <c r="C15" s="7"/>
      <c r="D15" s="7"/>
      <c r="E15" s="8"/>
      <c r="F15" s="9"/>
      <c r="G15" s="9"/>
      <c r="H15" s="10"/>
      <c r="I15" s="9"/>
      <c r="J15" s="9"/>
    </row>
    <row x14ac:dyDescent="0.25" r="16" customHeight="1" ht="17.25">
      <c r="A16" s="11" t="s">
        <v>10077</v>
      </c>
      <c r="B16" s="11"/>
      <c r="C16" s="11"/>
      <c r="D16" s="11"/>
      <c r="E16" s="12"/>
      <c r="F16" s="11"/>
      <c r="G16" s="11"/>
      <c r="H16" s="13"/>
      <c r="I16" s="11"/>
      <c r="J16" s="11"/>
    </row>
    <row x14ac:dyDescent="0.25" r="17" customHeight="1" ht="17.25">
      <c r="A17" s="14" t="s">
        <v>3</v>
      </c>
      <c r="B17" s="14" t="s">
        <v>4</v>
      </c>
      <c r="C17" s="14" t="s">
        <v>5</v>
      </c>
      <c r="D17" s="14" t="s">
        <v>6</v>
      </c>
      <c r="E17" s="15" t="s">
        <v>7</v>
      </c>
      <c r="F17" s="14" t="s">
        <v>8</v>
      </c>
      <c r="G17" s="14" t="s">
        <v>9</v>
      </c>
      <c r="H17" s="16" t="s">
        <v>10</v>
      </c>
      <c r="I17" s="14" t="s">
        <v>11</v>
      </c>
      <c r="J17" s="14" t="s">
        <v>12</v>
      </c>
    </row>
    <row x14ac:dyDescent="0.25" r="18" customHeight="1" ht="17.25">
      <c r="A18" s="17" t="s">
        <v>10078</v>
      </c>
      <c r="B18" s="17" t="s">
        <v>55</v>
      </c>
      <c r="C18" s="17" t="s">
        <v>56</v>
      </c>
      <c r="D18" s="17" t="s">
        <v>16</v>
      </c>
      <c r="E18" s="18">
        <f>ROUND(4399*1.05,2)</f>
      </c>
      <c r="F18" s="17" t="s">
        <v>17</v>
      </c>
      <c r="G18" s="17" t="s">
        <v>18</v>
      </c>
      <c r="H18" s="18">
        <f>ROUND(RAND()*4+6,1)</f>
      </c>
      <c r="I18" s="17" t="s">
        <v>19</v>
      </c>
      <c r="J18" s="19">
        <f>ROUND(82*1,0)&amp;"%"</f>
      </c>
    </row>
    <row x14ac:dyDescent="0.25" r="19" customHeight="1" ht="17.25">
      <c r="A19" s="20" t="s">
        <v>10079</v>
      </c>
      <c r="B19" s="20" t="s">
        <v>58</v>
      </c>
      <c r="C19" s="20" t="s">
        <v>56</v>
      </c>
      <c r="D19" s="20" t="s">
        <v>22</v>
      </c>
      <c r="E19" s="21">
        <f>ROUND(9208*1.05,2)</f>
      </c>
      <c r="F19" s="20" t="s">
        <v>23</v>
      </c>
      <c r="G19" s="20" t="s">
        <v>24</v>
      </c>
      <c r="H19" s="21">
        <f>ROUND(RAND()*4+6,1)</f>
      </c>
      <c r="I19" s="20" t="s">
        <v>25</v>
      </c>
      <c r="J19" s="23">
        <f>ROUND(94*1,0)&amp;"%"</f>
      </c>
    </row>
    <row x14ac:dyDescent="0.25" r="20" customHeight="1" ht="17.25">
      <c r="A20" s="17" t="s">
        <v>10080</v>
      </c>
      <c r="B20" s="17" t="s">
        <v>60</v>
      </c>
      <c r="C20" s="17" t="s">
        <v>56</v>
      </c>
      <c r="D20" s="17" t="s">
        <v>28</v>
      </c>
      <c r="E20" s="18">
        <f>ROUND(4754*1.05,2)</f>
      </c>
      <c r="F20" s="17" t="s">
        <v>29</v>
      </c>
      <c r="G20" s="17" t="s">
        <v>30</v>
      </c>
      <c r="H20" s="18">
        <f>ROUND(RAND()*4+6,1)</f>
      </c>
      <c r="I20" s="17" t="s">
        <v>31</v>
      </c>
      <c r="J20" s="19">
        <f>ROUND(63*1,0)&amp;"%"</f>
      </c>
    </row>
    <row x14ac:dyDescent="0.25" r="21" customHeight="1" ht="17.25">
      <c r="A21" s="20" t="s">
        <v>10081</v>
      </c>
      <c r="B21" s="20" t="s">
        <v>62</v>
      </c>
      <c r="C21" s="20" t="s">
        <v>56</v>
      </c>
      <c r="D21" s="20" t="s">
        <v>34</v>
      </c>
      <c r="E21" s="21">
        <f>ROUND(17559*1.05,2)</f>
      </c>
      <c r="F21" s="20" t="s">
        <v>35</v>
      </c>
      <c r="G21" s="20" t="s">
        <v>18</v>
      </c>
      <c r="H21" s="21">
        <f>ROUND(RAND()*4+6,1)</f>
      </c>
      <c r="I21" s="20" t="s">
        <v>36</v>
      </c>
      <c r="J21" s="23">
        <f>ROUND(93*1,0)&amp;"%"</f>
      </c>
    </row>
    <row x14ac:dyDescent="0.25" r="22" customHeight="1" ht="17.25">
      <c r="A22" s="17" t="s">
        <v>10082</v>
      </c>
      <c r="B22" s="17" t="s">
        <v>64</v>
      </c>
      <c r="C22" s="17" t="s">
        <v>56</v>
      </c>
      <c r="D22" s="17" t="s">
        <v>39</v>
      </c>
      <c r="E22" s="18">
        <f>ROUND(15695*1.05,2)</f>
      </c>
      <c r="F22" s="17" t="s">
        <v>40</v>
      </c>
      <c r="G22" s="17" t="s">
        <v>24</v>
      </c>
      <c r="H22" s="18">
        <f>ROUND(RAND()*4+6,1)</f>
      </c>
      <c r="I22" s="17" t="s">
        <v>41</v>
      </c>
      <c r="J22" s="19">
        <f>ROUND(93*1,0)&amp;"%"</f>
      </c>
    </row>
    <row x14ac:dyDescent="0.25" r="23" customHeight="1" ht="17.25">
      <c r="A23" s="20" t="s">
        <v>10083</v>
      </c>
      <c r="B23" s="20" t="s">
        <v>66</v>
      </c>
      <c r="C23" s="20" t="s">
        <v>56</v>
      </c>
      <c r="D23" s="20" t="s">
        <v>67</v>
      </c>
      <c r="E23" s="21">
        <f>ROUND(11487*1.05,2)</f>
      </c>
      <c r="F23" s="20" t="s">
        <v>44</v>
      </c>
      <c r="G23" s="20" t="s">
        <v>30</v>
      </c>
      <c r="H23" s="21">
        <f>ROUND(RAND()*4+6,1)</f>
      </c>
      <c r="I23" s="20" t="s">
        <v>45</v>
      </c>
      <c r="J23" s="23">
        <f>ROUND(82*1,0)&amp;"%"</f>
      </c>
    </row>
    <row x14ac:dyDescent="0.25" r="24" customHeight="1" ht="17.25">
      <c r="A24" s="17" t="s">
        <v>10084</v>
      </c>
      <c r="B24" s="17" t="s">
        <v>69</v>
      </c>
      <c r="C24" s="17" t="s">
        <v>56</v>
      </c>
      <c r="D24" s="17" t="s">
        <v>16</v>
      </c>
      <c r="E24" s="18">
        <f>ROUND(7936*1.05,2)</f>
      </c>
      <c r="F24" s="17" t="s">
        <v>48</v>
      </c>
      <c r="G24" s="17" t="s">
        <v>18</v>
      </c>
      <c r="H24" s="18">
        <f>ROUND(RAND()*4+6,1)</f>
      </c>
      <c r="I24" s="17" t="s">
        <v>19</v>
      </c>
      <c r="J24" s="19">
        <f>ROUND(72*1,0)&amp;"%"</f>
      </c>
    </row>
    <row x14ac:dyDescent="0.25" r="25" customHeight="1" ht="17.25">
      <c r="A25" s="20" t="s">
        <v>10085</v>
      </c>
      <c r="B25" s="20" t="s">
        <v>71</v>
      </c>
      <c r="C25" s="20" t="s">
        <v>56</v>
      </c>
      <c r="D25" s="20" t="s">
        <v>22</v>
      </c>
      <c r="E25" s="21">
        <f>ROUND(5516*1.05,2)</f>
      </c>
      <c r="F25" s="20" t="s">
        <v>51</v>
      </c>
      <c r="G25" s="20" t="s">
        <v>24</v>
      </c>
      <c r="H25" s="21">
        <f>ROUND(RAND()*4+6,1)</f>
      </c>
      <c r="I25" s="20" t="s">
        <v>25</v>
      </c>
      <c r="J25" s="23">
        <f>ROUND(96*1,0)&amp;"%"</f>
      </c>
    </row>
    <row x14ac:dyDescent="0.25" r="26" customHeight="1" ht="17.25">
      <c r="A26" s="24" t="s">
        <v>72</v>
      </c>
      <c r="B26" s="24"/>
      <c r="C26" s="24"/>
      <c r="D26" s="24"/>
      <c r="E26" s="25">
        <v>8</v>
      </c>
      <c r="F26" s="9"/>
      <c r="G26" s="9"/>
      <c r="H26" s="10"/>
      <c r="I26" s="9"/>
      <c r="J26" s="9"/>
    </row>
    <row x14ac:dyDescent="0.25" r="27" customHeight="1" ht="17.25">
      <c r="A27" s="7"/>
      <c r="B27" s="7"/>
      <c r="C27" s="7"/>
      <c r="D27" s="7"/>
      <c r="E27" s="8"/>
      <c r="F27" s="9"/>
      <c r="G27" s="9"/>
      <c r="H27" s="10"/>
      <c r="I27" s="9"/>
      <c r="J27" s="9"/>
    </row>
    <row x14ac:dyDescent="0.25" r="28" customHeight="1" ht="17.25">
      <c r="A28" s="11" t="s">
        <v>10086</v>
      </c>
      <c r="B28" s="11"/>
      <c r="C28" s="11"/>
      <c r="D28" s="11"/>
      <c r="E28" s="12"/>
      <c r="F28" s="11"/>
      <c r="G28" s="11"/>
      <c r="H28" s="13"/>
      <c r="I28" s="11"/>
      <c r="J28" s="11"/>
    </row>
    <row x14ac:dyDescent="0.25" r="29" customHeight="1" ht="17.25">
      <c r="A29" s="14" t="s">
        <v>3</v>
      </c>
      <c r="B29" s="14" t="s">
        <v>4</v>
      </c>
      <c r="C29" s="14" t="s">
        <v>5</v>
      </c>
      <c r="D29" s="14" t="s">
        <v>6</v>
      </c>
      <c r="E29" s="15" t="s">
        <v>7</v>
      </c>
      <c r="F29" s="14" t="s">
        <v>8</v>
      </c>
      <c r="G29" s="14" t="s">
        <v>9</v>
      </c>
      <c r="H29" s="16" t="s">
        <v>10</v>
      </c>
      <c r="I29" s="14" t="s">
        <v>11</v>
      </c>
      <c r="J29" s="14" t="s">
        <v>12</v>
      </c>
    </row>
    <row x14ac:dyDescent="0.25" r="30" customHeight="1" ht="17.25">
      <c r="A30" s="17" t="s">
        <v>10087</v>
      </c>
      <c r="B30" s="17" t="s">
        <v>75</v>
      </c>
      <c r="C30" s="17" t="s">
        <v>76</v>
      </c>
      <c r="D30" s="17" t="s">
        <v>16</v>
      </c>
      <c r="E30" s="18">
        <f>ROUND(15608*1.05,2)</f>
      </c>
      <c r="F30" s="17" t="s">
        <v>17</v>
      </c>
      <c r="G30" s="17" t="s">
        <v>18</v>
      </c>
      <c r="H30" s="18">
        <f>ROUND(RAND()*4+6,1)</f>
      </c>
      <c r="I30" s="17" t="s">
        <v>19</v>
      </c>
      <c r="J30" s="19">
        <f>ROUND(65*1,0)&amp;"%"</f>
      </c>
    </row>
    <row x14ac:dyDescent="0.25" r="31" customHeight="1" ht="17.25">
      <c r="A31" s="20" t="s">
        <v>10088</v>
      </c>
      <c r="B31" s="20" t="s">
        <v>78</v>
      </c>
      <c r="C31" s="20" t="s">
        <v>76</v>
      </c>
      <c r="D31" s="20" t="s">
        <v>22</v>
      </c>
      <c r="E31" s="22">
        <f>ROUND(4840*1.05,2)</f>
      </c>
      <c r="F31" s="20" t="s">
        <v>23</v>
      </c>
      <c r="G31" s="20" t="s">
        <v>24</v>
      </c>
      <c r="H31" s="21">
        <f>ROUND(RAND()*4+6,1)</f>
      </c>
      <c r="I31" s="20" t="s">
        <v>25</v>
      </c>
      <c r="J31" s="23">
        <f>ROUND(63*1,0)&amp;"%"</f>
      </c>
    </row>
    <row x14ac:dyDescent="0.25" r="32" customHeight="1" ht="17.25">
      <c r="A32" s="17" t="s">
        <v>10089</v>
      </c>
      <c r="B32" s="17" t="s">
        <v>80</v>
      </c>
      <c r="C32" s="17" t="s">
        <v>76</v>
      </c>
      <c r="D32" s="17" t="s">
        <v>28</v>
      </c>
      <c r="E32" s="18">
        <f>ROUND(12225*1.05,2)</f>
      </c>
      <c r="F32" s="17" t="s">
        <v>29</v>
      </c>
      <c r="G32" s="17" t="s">
        <v>30</v>
      </c>
      <c r="H32" s="18">
        <f>ROUND(RAND()*4+6,1)</f>
      </c>
      <c r="I32" s="17" t="s">
        <v>31</v>
      </c>
      <c r="J32" s="19">
        <f>ROUND(77*1,0)&amp;"%"</f>
      </c>
    </row>
    <row x14ac:dyDescent="0.25" r="33" customHeight="1" ht="17.25">
      <c r="A33" s="20" t="s">
        <v>10090</v>
      </c>
      <c r="B33" s="20" t="s">
        <v>82</v>
      </c>
      <c r="C33" s="20" t="s">
        <v>76</v>
      </c>
      <c r="D33" s="20" t="s">
        <v>34</v>
      </c>
      <c r="E33" s="21">
        <f>ROUND(16617*1.05,2)</f>
      </c>
      <c r="F33" s="20" t="s">
        <v>35</v>
      </c>
      <c r="G33" s="20" t="s">
        <v>18</v>
      </c>
      <c r="H33" s="21">
        <f>ROUND(RAND()*4+6,1)</f>
      </c>
      <c r="I33" s="20" t="s">
        <v>36</v>
      </c>
      <c r="J33" s="23">
        <f>ROUND(73*1,0)&amp;"%"</f>
      </c>
    </row>
    <row x14ac:dyDescent="0.25" r="34" customHeight="1" ht="17.25">
      <c r="A34" s="17" t="s">
        <v>10091</v>
      </c>
      <c r="B34" s="17" t="s">
        <v>84</v>
      </c>
      <c r="C34" s="17" t="s">
        <v>76</v>
      </c>
      <c r="D34" s="17" t="s">
        <v>39</v>
      </c>
      <c r="E34" s="26">
        <f>ROUND(6320*1.05,2)</f>
      </c>
      <c r="F34" s="17" t="s">
        <v>40</v>
      </c>
      <c r="G34" s="17" t="s">
        <v>24</v>
      </c>
      <c r="H34" s="18">
        <f>ROUND(RAND()*4+6,1)</f>
      </c>
      <c r="I34" s="17" t="s">
        <v>41</v>
      </c>
      <c r="J34" s="19">
        <f>ROUND(88*1,0)&amp;"%"</f>
      </c>
    </row>
    <row x14ac:dyDescent="0.25" r="35" customHeight="1" ht="17.25">
      <c r="A35" s="20" t="s">
        <v>10092</v>
      </c>
      <c r="B35" s="20" t="s">
        <v>86</v>
      </c>
      <c r="C35" s="20" t="s">
        <v>76</v>
      </c>
      <c r="D35" s="20" t="s">
        <v>67</v>
      </c>
      <c r="E35" s="21">
        <f>ROUND(13116*1.05,2)</f>
      </c>
      <c r="F35" s="20" t="s">
        <v>44</v>
      </c>
      <c r="G35" s="20" t="s">
        <v>30</v>
      </c>
      <c r="H35" s="21">
        <f>ROUND(RAND()*4+6,1)</f>
      </c>
      <c r="I35" s="20" t="s">
        <v>45</v>
      </c>
      <c r="J35" s="23">
        <f>ROUND(68*1,0)&amp;"%"</f>
      </c>
    </row>
    <row x14ac:dyDescent="0.25" r="36" customHeight="1" ht="17.25">
      <c r="A36" s="17" t="s">
        <v>10093</v>
      </c>
      <c r="B36" s="17" t="s">
        <v>88</v>
      </c>
      <c r="C36" s="17" t="s">
        <v>76</v>
      </c>
      <c r="D36" s="17" t="s">
        <v>16</v>
      </c>
      <c r="E36" s="18">
        <f>ROUND(15554*1.05,2)</f>
      </c>
      <c r="F36" s="17" t="s">
        <v>48</v>
      </c>
      <c r="G36" s="17" t="s">
        <v>18</v>
      </c>
      <c r="H36" s="18">
        <f>ROUND(RAND()*4+6,1)</f>
      </c>
      <c r="I36" s="17" t="s">
        <v>19</v>
      </c>
      <c r="J36" s="19">
        <f>ROUND(86*1,0)&amp;"%"</f>
      </c>
    </row>
    <row x14ac:dyDescent="0.25" r="37" customHeight="1" ht="17.25">
      <c r="A37" s="20" t="s">
        <v>10094</v>
      </c>
      <c r="B37" s="20" t="s">
        <v>90</v>
      </c>
      <c r="C37" s="20" t="s">
        <v>76</v>
      </c>
      <c r="D37" s="20" t="s">
        <v>22</v>
      </c>
      <c r="E37" s="21">
        <f>ROUND(15005*1.05,2)</f>
      </c>
      <c r="F37" s="20" t="s">
        <v>51</v>
      </c>
      <c r="G37" s="20" t="s">
        <v>24</v>
      </c>
      <c r="H37" s="21">
        <f>ROUND(RAND()*4+6,1)</f>
      </c>
      <c r="I37" s="20" t="s">
        <v>25</v>
      </c>
      <c r="J37" s="23">
        <f>ROUND(80*1,0)&amp;"%"</f>
      </c>
    </row>
    <row x14ac:dyDescent="0.25" r="38" customHeight="1" ht="17.25">
      <c r="A38" s="24" t="s">
        <v>91</v>
      </c>
      <c r="B38" s="24"/>
      <c r="C38" s="24"/>
      <c r="D38" s="24"/>
      <c r="E38" s="25">
        <v>8</v>
      </c>
      <c r="F38" s="9"/>
      <c r="G38" s="9"/>
      <c r="H38" s="10"/>
      <c r="I38" s="9"/>
      <c r="J38" s="9"/>
    </row>
    <row x14ac:dyDescent="0.25" r="39" customHeight="1" ht="17.25">
      <c r="A39" s="7"/>
      <c r="B39" s="7"/>
      <c r="C39" s="7"/>
      <c r="D39" s="7"/>
      <c r="E39" s="8"/>
      <c r="F39" s="9"/>
      <c r="G39" s="9"/>
      <c r="H39" s="10"/>
      <c r="I39" s="9"/>
      <c r="J39" s="9"/>
    </row>
    <row x14ac:dyDescent="0.25" r="40" customHeight="1" ht="17.25">
      <c r="A40" s="11" t="s">
        <v>10095</v>
      </c>
      <c r="B40" s="11"/>
      <c r="C40" s="11"/>
      <c r="D40" s="11"/>
      <c r="E40" s="12"/>
      <c r="F40" s="11"/>
      <c r="G40" s="11"/>
      <c r="H40" s="13"/>
      <c r="I40" s="11"/>
      <c r="J40" s="11"/>
    </row>
    <row x14ac:dyDescent="0.25" r="41" customHeight="1" ht="17.25">
      <c r="A41" s="14" t="s">
        <v>3</v>
      </c>
      <c r="B41" s="14" t="s">
        <v>4</v>
      </c>
      <c r="C41" s="14" t="s">
        <v>5</v>
      </c>
      <c r="D41" s="14" t="s">
        <v>6</v>
      </c>
      <c r="E41" s="15" t="s">
        <v>7</v>
      </c>
      <c r="F41" s="14" t="s">
        <v>8</v>
      </c>
      <c r="G41" s="14" t="s">
        <v>9</v>
      </c>
      <c r="H41" s="16" t="s">
        <v>10</v>
      </c>
      <c r="I41" s="14" t="s">
        <v>11</v>
      </c>
      <c r="J41" s="14" t="s">
        <v>12</v>
      </c>
    </row>
    <row x14ac:dyDescent="0.25" r="42" customHeight="1" ht="17.25">
      <c r="A42" s="17" t="s">
        <v>10096</v>
      </c>
      <c r="B42" s="17" t="s">
        <v>94</v>
      </c>
      <c r="C42" s="17" t="s">
        <v>95</v>
      </c>
      <c r="D42" s="17" t="s">
        <v>16</v>
      </c>
      <c r="E42" s="18">
        <f>ROUND(9465*1.05,2)</f>
      </c>
      <c r="F42" s="17" t="s">
        <v>17</v>
      </c>
      <c r="G42" s="17" t="s">
        <v>18</v>
      </c>
      <c r="H42" s="18">
        <f>ROUND(RAND()*4+6,1)</f>
      </c>
      <c r="I42" s="17" t="s">
        <v>19</v>
      </c>
      <c r="J42" s="19">
        <f>ROUND(76*1,0)&amp;"%"</f>
      </c>
    </row>
    <row x14ac:dyDescent="0.25" r="43" customHeight="1" ht="17.25">
      <c r="A43" s="20" t="s">
        <v>10097</v>
      </c>
      <c r="B43" s="20" t="s">
        <v>97</v>
      </c>
      <c r="C43" s="20" t="s">
        <v>95</v>
      </c>
      <c r="D43" s="20" t="s">
        <v>22</v>
      </c>
      <c r="E43" s="21">
        <f>ROUND(6539*1.05,2)</f>
      </c>
      <c r="F43" s="20" t="s">
        <v>23</v>
      </c>
      <c r="G43" s="20" t="s">
        <v>24</v>
      </c>
      <c r="H43" s="21">
        <f>ROUND(RAND()*4+6,1)</f>
      </c>
      <c r="I43" s="20" t="s">
        <v>25</v>
      </c>
      <c r="J43" s="23">
        <f>ROUND(61*1,0)&amp;"%"</f>
      </c>
    </row>
    <row x14ac:dyDescent="0.25" r="44" customHeight="1" ht="17.25">
      <c r="A44" s="17" t="s">
        <v>10098</v>
      </c>
      <c r="B44" s="17" t="s">
        <v>99</v>
      </c>
      <c r="C44" s="17" t="s">
        <v>95</v>
      </c>
      <c r="D44" s="17" t="s">
        <v>28</v>
      </c>
      <c r="E44" s="18">
        <f>ROUND(10503*1.05,2)</f>
      </c>
      <c r="F44" s="17" t="s">
        <v>29</v>
      </c>
      <c r="G44" s="17" t="s">
        <v>30</v>
      </c>
      <c r="H44" s="18">
        <f>ROUND(RAND()*4+6,1)</f>
      </c>
      <c r="I44" s="17" t="s">
        <v>31</v>
      </c>
      <c r="J44" s="19">
        <f>ROUND(93*1,0)&amp;"%"</f>
      </c>
    </row>
    <row x14ac:dyDescent="0.25" r="45" customHeight="1" ht="17.25">
      <c r="A45" s="20" t="s">
        <v>10099</v>
      </c>
      <c r="B45" s="20" t="s">
        <v>101</v>
      </c>
      <c r="C45" s="20" t="s">
        <v>95</v>
      </c>
      <c r="D45" s="20" t="s">
        <v>34</v>
      </c>
      <c r="E45" s="21">
        <f>ROUND(4296*1.05,2)</f>
      </c>
      <c r="F45" s="20" t="s">
        <v>35</v>
      </c>
      <c r="G45" s="20" t="s">
        <v>18</v>
      </c>
      <c r="H45" s="21">
        <f>ROUND(RAND()*4+6,1)</f>
      </c>
      <c r="I45" s="20" t="s">
        <v>36</v>
      </c>
      <c r="J45" s="23">
        <f>ROUND(75*1,0)&amp;"%"</f>
      </c>
    </row>
    <row x14ac:dyDescent="0.25" r="46" customHeight="1" ht="17.25">
      <c r="A46" s="17" t="s">
        <v>10100</v>
      </c>
      <c r="B46" s="17" t="s">
        <v>103</v>
      </c>
      <c r="C46" s="17" t="s">
        <v>95</v>
      </c>
      <c r="D46" s="17" t="s">
        <v>39</v>
      </c>
      <c r="E46" s="18">
        <f>ROUND(4682*1.05,2)</f>
      </c>
      <c r="F46" s="17" t="s">
        <v>40</v>
      </c>
      <c r="G46" s="17" t="s">
        <v>24</v>
      </c>
      <c r="H46" s="26">
        <f>ROUND(RAND()*4+6,1)</f>
      </c>
      <c r="I46" s="17" t="s">
        <v>41</v>
      </c>
      <c r="J46" s="19">
        <f>ROUND(81*1,0)&amp;"%"</f>
      </c>
    </row>
    <row x14ac:dyDescent="0.25" r="47" customHeight="1" ht="17.25">
      <c r="A47" s="20" t="s">
        <v>10101</v>
      </c>
      <c r="B47" s="20" t="s">
        <v>105</v>
      </c>
      <c r="C47" s="20" t="s">
        <v>95</v>
      </c>
      <c r="D47" s="20" t="s">
        <v>67</v>
      </c>
      <c r="E47" s="22">
        <f>ROUND(10220*1.05,2)</f>
      </c>
      <c r="F47" s="20" t="s">
        <v>44</v>
      </c>
      <c r="G47" s="20" t="s">
        <v>30</v>
      </c>
      <c r="H47" s="21">
        <f>ROUND(RAND()*4+6,1)</f>
      </c>
      <c r="I47" s="20" t="s">
        <v>45</v>
      </c>
      <c r="J47" s="23">
        <f>ROUND(74*1,0)&amp;"%"</f>
      </c>
    </row>
    <row x14ac:dyDescent="0.25" r="48" customHeight="1" ht="17.25">
      <c r="A48" s="17" t="s">
        <v>10102</v>
      </c>
      <c r="B48" s="17" t="s">
        <v>107</v>
      </c>
      <c r="C48" s="17" t="s">
        <v>95</v>
      </c>
      <c r="D48" s="17" t="s">
        <v>16</v>
      </c>
      <c r="E48" s="18">
        <f>ROUND(4715*1.05,2)</f>
      </c>
      <c r="F48" s="17" t="s">
        <v>48</v>
      </c>
      <c r="G48" s="17" t="s">
        <v>18</v>
      </c>
      <c r="H48" s="18">
        <f>ROUND(RAND()*4+6,1)</f>
      </c>
      <c r="I48" s="17" t="s">
        <v>19</v>
      </c>
      <c r="J48" s="19">
        <f>ROUND(62*1,0)&amp;"%"</f>
      </c>
    </row>
    <row x14ac:dyDescent="0.25" r="49" customHeight="1" ht="17.25">
      <c r="A49" s="20" t="s">
        <v>10103</v>
      </c>
      <c r="B49" s="20" t="s">
        <v>109</v>
      </c>
      <c r="C49" s="20" t="s">
        <v>95</v>
      </c>
      <c r="D49" s="20" t="s">
        <v>22</v>
      </c>
      <c r="E49" s="21">
        <f>ROUND(13298*1.05,2)</f>
      </c>
      <c r="F49" s="20" t="s">
        <v>51</v>
      </c>
      <c r="G49" s="20" t="s">
        <v>24</v>
      </c>
      <c r="H49" s="21">
        <f>ROUND(RAND()*4+6,1)</f>
      </c>
      <c r="I49" s="20" t="s">
        <v>25</v>
      </c>
      <c r="J49" s="23">
        <f>ROUND(77*1,0)&amp;"%"</f>
      </c>
    </row>
    <row x14ac:dyDescent="0.25" r="50" customHeight="1" ht="17.25">
      <c r="A50" s="24" t="s">
        <v>110</v>
      </c>
      <c r="B50" s="24"/>
      <c r="C50" s="24"/>
      <c r="D50" s="24"/>
      <c r="E50" s="25">
        <v>8</v>
      </c>
      <c r="F50" s="9"/>
      <c r="G50" s="9"/>
      <c r="H50" s="10"/>
      <c r="I50" s="9"/>
      <c r="J50" s="9"/>
    </row>
    <row x14ac:dyDescent="0.25" r="51" customHeight="1" ht="17.25">
      <c r="A51" s="7"/>
      <c r="B51" s="7"/>
      <c r="C51" s="7"/>
      <c r="D51" s="7"/>
      <c r="E51" s="8"/>
      <c r="F51" s="9"/>
      <c r="G51" s="9"/>
      <c r="H51" s="10"/>
      <c r="I51" s="9"/>
      <c r="J51" s="9"/>
    </row>
    <row x14ac:dyDescent="0.25" r="52" customHeight="1" ht="17.25">
      <c r="A52" s="11" t="s">
        <v>10104</v>
      </c>
      <c r="B52" s="11"/>
      <c r="C52" s="11"/>
      <c r="D52" s="11"/>
      <c r="E52" s="12"/>
      <c r="F52" s="11"/>
      <c r="G52" s="11"/>
      <c r="H52" s="13"/>
      <c r="I52" s="11"/>
      <c r="J52" s="11"/>
    </row>
    <row x14ac:dyDescent="0.25" r="53" customHeight="1" ht="17.25">
      <c r="A53" s="14" t="s">
        <v>3</v>
      </c>
      <c r="B53" s="14" t="s">
        <v>4</v>
      </c>
      <c r="C53" s="14" t="s">
        <v>5</v>
      </c>
      <c r="D53" s="14" t="s">
        <v>6</v>
      </c>
      <c r="E53" s="15" t="s">
        <v>7</v>
      </c>
      <c r="F53" s="14" t="s">
        <v>8</v>
      </c>
      <c r="G53" s="14" t="s">
        <v>9</v>
      </c>
      <c r="H53" s="16" t="s">
        <v>10</v>
      </c>
      <c r="I53" s="14" t="s">
        <v>11</v>
      </c>
      <c r="J53" s="14" t="s">
        <v>12</v>
      </c>
    </row>
    <row x14ac:dyDescent="0.25" r="54" customHeight="1" ht="17.25">
      <c r="A54" s="17" t="s">
        <v>10105</v>
      </c>
      <c r="B54" s="17" t="s">
        <v>113</v>
      </c>
      <c r="C54" s="17" t="s">
        <v>114</v>
      </c>
      <c r="D54" s="17" t="s">
        <v>16</v>
      </c>
      <c r="E54" s="18">
        <f>ROUND(8465*1.05,2)</f>
      </c>
      <c r="F54" s="17" t="s">
        <v>17</v>
      </c>
      <c r="G54" s="17" t="s">
        <v>18</v>
      </c>
      <c r="H54" s="18">
        <f>ROUND(RAND()*4+6,1)</f>
      </c>
      <c r="I54" s="17" t="s">
        <v>19</v>
      </c>
      <c r="J54" s="19">
        <f>ROUND(79*1,0)&amp;"%"</f>
      </c>
    </row>
    <row x14ac:dyDescent="0.25" r="55" customHeight="1" ht="17.25">
      <c r="A55" s="20" t="s">
        <v>10106</v>
      </c>
      <c r="B55" s="20" t="s">
        <v>116</v>
      </c>
      <c r="C55" s="20" t="s">
        <v>114</v>
      </c>
      <c r="D55" s="20" t="s">
        <v>22</v>
      </c>
      <c r="E55" s="21">
        <f>ROUND(6074*1.05,2)</f>
      </c>
      <c r="F55" s="20" t="s">
        <v>23</v>
      </c>
      <c r="G55" s="20" t="s">
        <v>24</v>
      </c>
      <c r="H55" s="21">
        <f>ROUND(RAND()*4+6,1)</f>
      </c>
      <c r="I55" s="20" t="s">
        <v>25</v>
      </c>
      <c r="J55" s="23">
        <f>ROUND(96*1,0)&amp;"%"</f>
      </c>
    </row>
    <row x14ac:dyDescent="0.25" r="56" customHeight="1" ht="17.25">
      <c r="A56" s="17" t="s">
        <v>10107</v>
      </c>
      <c r="B56" s="17" t="s">
        <v>118</v>
      </c>
      <c r="C56" s="17" t="s">
        <v>114</v>
      </c>
      <c r="D56" s="17" t="s">
        <v>28</v>
      </c>
      <c r="E56" s="18">
        <f>ROUND(8262*1.05,2)</f>
      </c>
      <c r="F56" s="17" t="s">
        <v>29</v>
      </c>
      <c r="G56" s="17" t="s">
        <v>30</v>
      </c>
      <c r="H56" s="18">
        <f>ROUND(RAND()*4+6,1)</f>
      </c>
      <c r="I56" s="17" t="s">
        <v>31</v>
      </c>
      <c r="J56" s="19">
        <f>ROUND(78*1,0)&amp;"%"</f>
      </c>
    </row>
    <row x14ac:dyDescent="0.25" r="57" customHeight="1" ht="17.25">
      <c r="A57" s="20" t="s">
        <v>10108</v>
      </c>
      <c r="B57" s="20" t="s">
        <v>120</v>
      </c>
      <c r="C57" s="20" t="s">
        <v>114</v>
      </c>
      <c r="D57" s="20" t="s">
        <v>34</v>
      </c>
      <c r="E57" s="21">
        <f>ROUND(4821*1.05,2)</f>
      </c>
      <c r="F57" s="20" t="s">
        <v>35</v>
      </c>
      <c r="G57" s="20" t="s">
        <v>18</v>
      </c>
      <c r="H57" s="21">
        <f>ROUND(RAND()*4+6,1)</f>
      </c>
      <c r="I57" s="20" t="s">
        <v>36</v>
      </c>
      <c r="J57" s="23">
        <f>ROUND(87*1,0)&amp;"%"</f>
      </c>
    </row>
    <row x14ac:dyDescent="0.25" r="58" customHeight="1" ht="17.25">
      <c r="A58" s="17" t="s">
        <v>10109</v>
      </c>
      <c r="B58" s="17" t="s">
        <v>122</v>
      </c>
      <c r="C58" s="17" t="s">
        <v>114</v>
      </c>
      <c r="D58" s="17" t="s">
        <v>39</v>
      </c>
      <c r="E58" s="18">
        <f>ROUND(9781*1.05,2)</f>
      </c>
      <c r="F58" s="17" t="s">
        <v>40</v>
      </c>
      <c r="G58" s="17" t="s">
        <v>24</v>
      </c>
      <c r="H58" s="18">
        <f>ROUND(RAND()*4+6,1)</f>
      </c>
      <c r="I58" s="17" t="s">
        <v>41</v>
      </c>
      <c r="J58" s="19">
        <f>ROUND(84*1,0)&amp;"%"</f>
      </c>
    </row>
    <row x14ac:dyDescent="0.25" r="59" customHeight="1" ht="17.25">
      <c r="A59" s="20" t="s">
        <v>10110</v>
      </c>
      <c r="B59" s="20" t="s">
        <v>124</v>
      </c>
      <c r="C59" s="20" t="s">
        <v>114</v>
      </c>
      <c r="D59" s="20" t="s">
        <v>67</v>
      </c>
      <c r="E59" s="21">
        <f>ROUND(12678*1.05,2)</f>
      </c>
      <c r="F59" s="20" t="s">
        <v>44</v>
      </c>
      <c r="G59" s="20" t="s">
        <v>30</v>
      </c>
      <c r="H59" s="21">
        <f>ROUND(RAND()*4+6,1)</f>
      </c>
      <c r="I59" s="20" t="s">
        <v>45</v>
      </c>
      <c r="J59" s="23">
        <f>ROUND(86*1,0)&amp;"%"</f>
      </c>
    </row>
    <row x14ac:dyDescent="0.25" r="60" customHeight="1" ht="17.25">
      <c r="A60" s="17" t="s">
        <v>10111</v>
      </c>
      <c r="B60" s="17" t="s">
        <v>126</v>
      </c>
      <c r="C60" s="17" t="s">
        <v>114</v>
      </c>
      <c r="D60" s="17" t="s">
        <v>16</v>
      </c>
      <c r="E60" s="26">
        <f>ROUND(8680*1.05,2)</f>
      </c>
      <c r="F60" s="17" t="s">
        <v>48</v>
      </c>
      <c r="G60" s="17" t="s">
        <v>18</v>
      </c>
      <c r="H60" s="18">
        <f>ROUND(RAND()*4+6,1)</f>
      </c>
      <c r="I60" s="17" t="s">
        <v>19</v>
      </c>
      <c r="J60" s="19">
        <f>ROUND(77*1,0)&amp;"%"</f>
      </c>
    </row>
    <row x14ac:dyDescent="0.25" r="61" customHeight="1" ht="17.25">
      <c r="A61" s="20" t="s">
        <v>10112</v>
      </c>
      <c r="B61" s="20" t="s">
        <v>128</v>
      </c>
      <c r="C61" s="20" t="s">
        <v>114</v>
      </c>
      <c r="D61" s="20" t="s">
        <v>22</v>
      </c>
      <c r="E61" s="21">
        <f>ROUND(7270*1.05,2)</f>
      </c>
      <c r="F61" s="20" t="s">
        <v>51</v>
      </c>
      <c r="G61" s="20" t="s">
        <v>24</v>
      </c>
      <c r="H61" s="21">
        <f>ROUND(RAND()*4+6,1)</f>
      </c>
      <c r="I61" s="20" t="s">
        <v>25</v>
      </c>
      <c r="J61" s="23">
        <f>ROUND(80*1,0)&amp;"%"</f>
      </c>
    </row>
    <row x14ac:dyDescent="0.25" r="62" customHeight="1" ht="17.25">
      <c r="A62" s="24" t="s">
        <v>129</v>
      </c>
      <c r="B62" s="24"/>
      <c r="C62" s="24"/>
      <c r="D62" s="24"/>
      <c r="E62" s="25">
        <v>8</v>
      </c>
      <c r="F62" s="9"/>
      <c r="G62" s="9"/>
      <c r="H62" s="10"/>
      <c r="I62" s="9"/>
      <c r="J62" s="9"/>
    </row>
    <row x14ac:dyDescent="0.25" r="63" customHeight="1" ht="17.25">
      <c r="A63" s="7"/>
      <c r="B63" s="7"/>
      <c r="C63" s="7"/>
      <c r="D63" s="7"/>
      <c r="E63" s="8"/>
      <c r="F63" s="9"/>
      <c r="G63" s="9"/>
      <c r="H63" s="10"/>
      <c r="I63" s="9"/>
      <c r="J63" s="9"/>
    </row>
    <row x14ac:dyDescent="0.25" r="64" customHeight="1" ht="17.25">
      <c r="A64" s="11" t="s">
        <v>10113</v>
      </c>
      <c r="B64" s="11"/>
      <c r="C64" s="11"/>
      <c r="D64" s="11"/>
      <c r="E64" s="12"/>
      <c r="F64" s="11"/>
      <c r="G64" s="11"/>
      <c r="H64" s="13"/>
      <c r="I64" s="11"/>
      <c r="J64" s="11"/>
    </row>
    <row x14ac:dyDescent="0.25" r="65" customHeight="1" ht="17.25">
      <c r="A65" s="14" t="s">
        <v>3</v>
      </c>
      <c r="B65" s="14" t="s">
        <v>4</v>
      </c>
      <c r="C65" s="14" t="s">
        <v>5</v>
      </c>
      <c r="D65" s="14" t="s">
        <v>6</v>
      </c>
      <c r="E65" s="15" t="s">
        <v>7</v>
      </c>
      <c r="F65" s="14" t="s">
        <v>8</v>
      </c>
      <c r="G65" s="14" t="s">
        <v>9</v>
      </c>
      <c r="H65" s="16" t="s">
        <v>10</v>
      </c>
      <c r="I65" s="14" t="s">
        <v>11</v>
      </c>
      <c r="J65" s="14" t="s">
        <v>12</v>
      </c>
    </row>
    <row x14ac:dyDescent="0.25" r="66" customHeight="1" ht="17.25">
      <c r="A66" s="17" t="s">
        <v>10114</v>
      </c>
      <c r="B66" s="17" t="s">
        <v>132</v>
      </c>
      <c r="C66" s="17" t="s">
        <v>133</v>
      </c>
      <c r="D66" s="17" t="s">
        <v>16</v>
      </c>
      <c r="E66" s="26">
        <f>ROUND(10380*1.05,2)</f>
      </c>
      <c r="F66" s="17" t="s">
        <v>17</v>
      </c>
      <c r="G66" s="17" t="s">
        <v>18</v>
      </c>
      <c r="H66" s="18">
        <f>ROUND(RAND()*4+6,1)</f>
      </c>
      <c r="I66" s="17" t="s">
        <v>19</v>
      </c>
      <c r="J66" s="19">
        <f>ROUND(81*1,0)&amp;"%"</f>
      </c>
    </row>
    <row x14ac:dyDescent="0.25" r="67" customHeight="1" ht="17.25">
      <c r="A67" s="20" t="s">
        <v>10115</v>
      </c>
      <c r="B67" s="20" t="s">
        <v>135</v>
      </c>
      <c r="C67" s="20" t="s">
        <v>133</v>
      </c>
      <c r="D67" s="20" t="s">
        <v>22</v>
      </c>
      <c r="E67" s="21">
        <f>ROUND(8448*1.05,2)</f>
      </c>
      <c r="F67" s="20" t="s">
        <v>23</v>
      </c>
      <c r="G67" s="20" t="s">
        <v>24</v>
      </c>
      <c r="H67" s="21">
        <f>ROUND(RAND()*4+6,1)</f>
      </c>
      <c r="I67" s="20" t="s">
        <v>25</v>
      </c>
      <c r="J67" s="23">
        <f>ROUND(76*1,0)&amp;"%"</f>
      </c>
    </row>
    <row x14ac:dyDescent="0.25" r="68" customHeight="1" ht="17.25">
      <c r="A68" s="17" t="s">
        <v>10116</v>
      </c>
      <c r="B68" s="17" t="s">
        <v>137</v>
      </c>
      <c r="C68" s="17" t="s">
        <v>133</v>
      </c>
      <c r="D68" s="17" t="s">
        <v>28</v>
      </c>
      <c r="E68" s="18">
        <f>ROUND(11928*1.05,2)</f>
      </c>
      <c r="F68" s="17" t="s">
        <v>29</v>
      </c>
      <c r="G68" s="17" t="s">
        <v>30</v>
      </c>
      <c r="H68" s="18">
        <f>ROUND(RAND()*4+6,1)</f>
      </c>
      <c r="I68" s="17" t="s">
        <v>31</v>
      </c>
      <c r="J68" s="19">
        <f>ROUND(98*1,0)&amp;"%"</f>
      </c>
    </row>
    <row x14ac:dyDescent="0.25" r="69" customHeight="1" ht="17.25">
      <c r="A69" s="20" t="s">
        <v>10117</v>
      </c>
      <c r="B69" s="20" t="s">
        <v>139</v>
      </c>
      <c r="C69" s="20" t="s">
        <v>133</v>
      </c>
      <c r="D69" s="20" t="s">
        <v>34</v>
      </c>
      <c r="E69" s="21">
        <f>ROUND(4730*1.05,2)</f>
      </c>
      <c r="F69" s="20" t="s">
        <v>35</v>
      </c>
      <c r="G69" s="20" t="s">
        <v>18</v>
      </c>
      <c r="H69" s="21">
        <f>ROUND(RAND()*4+6,1)</f>
      </c>
      <c r="I69" s="20" t="s">
        <v>36</v>
      </c>
      <c r="J69" s="23">
        <f>ROUND(86*1,0)&amp;"%"</f>
      </c>
    </row>
    <row x14ac:dyDescent="0.25" r="70" customHeight="1" ht="17.25">
      <c r="A70" s="17" t="s">
        <v>10118</v>
      </c>
      <c r="B70" s="17" t="s">
        <v>141</v>
      </c>
      <c r="C70" s="17" t="s">
        <v>133</v>
      </c>
      <c r="D70" s="17" t="s">
        <v>39</v>
      </c>
      <c r="E70" s="18">
        <f>ROUND(5565*1.05,2)</f>
      </c>
      <c r="F70" s="17" t="s">
        <v>40</v>
      </c>
      <c r="G70" s="17" t="s">
        <v>24</v>
      </c>
      <c r="H70" s="18">
        <f>ROUND(RAND()*4+6,1)</f>
      </c>
      <c r="I70" s="17" t="s">
        <v>41</v>
      </c>
      <c r="J70" s="19">
        <f>ROUND(61*1,0)&amp;"%"</f>
      </c>
    </row>
    <row x14ac:dyDescent="0.25" r="71" customHeight="1" ht="17.25">
      <c r="A71" s="20" t="s">
        <v>10119</v>
      </c>
      <c r="B71" s="20" t="s">
        <v>143</v>
      </c>
      <c r="C71" s="20" t="s">
        <v>133</v>
      </c>
      <c r="D71" s="20" t="s">
        <v>67</v>
      </c>
      <c r="E71" s="21">
        <f>ROUND(11024*1.05,2)</f>
      </c>
      <c r="F71" s="20" t="s">
        <v>44</v>
      </c>
      <c r="G71" s="20" t="s">
        <v>30</v>
      </c>
      <c r="H71" s="21">
        <f>ROUND(RAND()*4+6,1)</f>
      </c>
      <c r="I71" s="20" t="s">
        <v>45</v>
      </c>
      <c r="J71" s="23">
        <f>ROUND(75*1,0)&amp;"%"</f>
      </c>
    </row>
    <row x14ac:dyDescent="0.25" r="72" customHeight="1" ht="17.25">
      <c r="A72" s="17" t="s">
        <v>10120</v>
      </c>
      <c r="B72" s="17" t="s">
        <v>145</v>
      </c>
      <c r="C72" s="17" t="s">
        <v>133</v>
      </c>
      <c r="D72" s="17" t="s">
        <v>16</v>
      </c>
      <c r="E72" s="18">
        <f>ROUND(14892*1.05,2)</f>
      </c>
      <c r="F72" s="17" t="s">
        <v>48</v>
      </c>
      <c r="G72" s="17" t="s">
        <v>18</v>
      </c>
      <c r="H72" s="26">
        <f>ROUND(RAND()*4+6,1)</f>
      </c>
      <c r="I72" s="17" t="s">
        <v>19</v>
      </c>
      <c r="J72" s="19">
        <f>ROUND(76*1,0)&amp;"%"</f>
      </c>
    </row>
    <row x14ac:dyDescent="0.25" r="73" customHeight="1" ht="17.25">
      <c r="A73" s="20" t="s">
        <v>10121</v>
      </c>
      <c r="B73" s="20" t="s">
        <v>147</v>
      </c>
      <c r="C73" s="20" t="s">
        <v>133</v>
      </c>
      <c r="D73" s="20" t="s">
        <v>22</v>
      </c>
      <c r="E73" s="21">
        <f>ROUND(7010*1.05,2)</f>
      </c>
      <c r="F73" s="20" t="s">
        <v>51</v>
      </c>
      <c r="G73" s="20" t="s">
        <v>24</v>
      </c>
      <c r="H73" s="21">
        <f>ROUND(RAND()*4+6,1)</f>
      </c>
      <c r="I73" s="20" t="s">
        <v>25</v>
      </c>
      <c r="J73" s="23">
        <f>ROUND(83*1,0)&amp;"%"</f>
      </c>
    </row>
    <row x14ac:dyDescent="0.25" r="74" customHeight="1" ht="17.25">
      <c r="A74" s="24" t="s">
        <v>148</v>
      </c>
      <c r="B74" s="24"/>
      <c r="C74" s="24"/>
      <c r="D74" s="24"/>
      <c r="E74" s="25">
        <v>8</v>
      </c>
      <c r="F74" s="9"/>
      <c r="G74" s="9"/>
      <c r="H74" s="10"/>
      <c r="I74" s="9"/>
      <c r="J74" s="9"/>
    </row>
    <row x14ac:dyDescent="0.25" r="75" customHeight="1" ht="17.25">
      <c r="A75" s="7"/>
      <c r="B75" s="7"/>
      <c r="C75" s="7"/>
      <c r="D75" s="7"/>
      <c r="E75" s="8"/>
      <c r="F75" s="9"/>
      <c r="G75" s="9"/>
      <c r="H75" s="10"/>
      <c r="I75" s="9"/>
      <c r="J75" s="9"/>
    </row>
    <row x14ac:dyDescent="0.25" r="76" customHeight="1" ht="17.25">
      <c r="A76" s="11" t="s">
        <v>10122</v>
      </c>
      <c r="B76" s="11"/>
      <c r="C76" s="11"/>
      <c r="D76" s="11"/>
      <c r="E76" s="12"/>
      <c r="F76" s="11"/>
      <c r="G76" s="11"/>
      <c r="H76" s="13"/>
      <c r="I76" s="11"/>
      <c r="J76" s="11"/>
    </row>
    <row x14ac:dyDescent="0.25" r="77" customHeight="1" ht="17.25">
      <c r="A77" s="14" t="s">
        <v>3</v>
      </c>
      <c r="B77" s="14" t="s">
        <v>4</v>
      </c>
      <c r="C77" s="14" t="s">
        <v>5</v>
      </c>
      <c r="D77" s="14" t="s">
        <v>6</v>
      </c>
      <c r="E77" s="15" t="s">
        <v>7</v>
      </c>
      <c r="F77" s="14" t="s">
        <v>8</v>
      </c>
      <c r="G77" s="14" t="s">
        <v>9</v>
      </c>
      <c r="H77" s="16" t="s">
        <v>10</v>
      </c>
      <c r="I77" s="14" t="s">
        <v>11</v>
      </c>
      <c r="J77" s="14" t="s">
        <v>12</v>
      </c>
    </row>
    <row x14ac:dyDescent="0.25" r="78" customHeight="1" ht="17.25">
      <c r="A78" s="17" t="s">
        <v>10123</v>
      </c>
      <c r="B78" s="17" t="s">
        <v>151</v>
      </c>
      <c r="C78" s="17" t="s">
        <v>152</v>
      </c>
      <c r="D78" s="17" t="s">
        <v>16</v>
      </c>
      <c r="E78" s="18">
        <f>ROUND(8203*1.05,2)</f>
      </c>
      <c r="F78" s="17" t="s">
        <v>17</v>
      </c>
      <c r="G78" s="17" t="s">
        <v>18</v>
      </c>
      <c r="H78" s="18">
        <f>ROUND(RAND()*4+6,1)</f>
      </c>
      <c r="I78" s="17" t="s">
        <v>19</v>
      </c>
      <c r="J78" s="19">
        <f>ROUND(77*1,0)&amp;"%"</f>
      </c>
    </row>
    <row x14ac:dyDescent="0.25" r="79" customHeight="1" ht="17.25">
      <c r="A79" s="20" t="s">
        <v>10124</v>
      </c>
      <c r="B79" s="20" t="s">
        <v>154</v>
      </c>
      <c r="C79" s="20" t="s">
        <v>152</v>
      </c>
      <c r="D79" s="20" t="s">
        <v>22</v>
      </c>
      <c r="E79" s="21">
        <f>ROUND(8396*1.05,2)</f>
      </c>
      <c r="F79" s="20" t="s">
        <v>23</v>
      </c>
      <c r="G79" s="20" t="s">
        <v>24</v>
      </c>
      <c r="H79" s="21">
        <f>ROUND(RAND()*4+6,1)</f>
      </c>
      <c r="I79" s="20" t="s">
        <v>25</v>
      </c>
      <c r="J79" s="23">
        <f>ROUND(92*1,0)&amp;"%"</f>
      </c>
    </row>
    <row x14ac:dyDescent="0.25" r="80" customHeight="1" ht="17.25">
      <c r="A80" s="17" t="s">
        <v>10125</v>
      </c>
      <c r="B80" s="17" t="s">
        <v>156</v>
      </c>
      <c r="C80" s="17" t="s">
        <v>152</v>
      </c>
      <c r="D80" s="17" t="s">
        <v>28</v>
      </c>
      <c r="E80" s="18">
        <f>ROUND(11570*1.05,2)</f>
      </c>
      <c r="F80" s="17" t="s">
        <v>29</v>
      </c>
      <c r="G80" s="17" t="s">
        <v>30</v>
      </c>
      <c r="H80" s="18">
        <f>ROUND(RAND()*4+6,1)</f>
      </c>
      <c r="I80" s="17" t="s">
        <v>31</v>
      </c>
      <c r="J80" s="19">
        <f>ROUND(98*1,0)&amp;"%"</f>
      </c>
    </row>
    <row x14ac:dyDescent="0.25" r="81" customHeight="1" ht="17.25">
      <c r="A81" s="20" t="s">
        <v>10126</v>
      </c>
      <c r="B81" s="20" t="s">
        <v>158</v>
      </c>
      <c r="C81" s="20" t="s">
        <v>152</v>
      </c>
      <c r="D81" s="20" t="s">
        <v>34</v>
      </c>
      <c r="E81" s="21">
        <f>ROUND(12864*1.05,2)</f>
      </c>
      <c r="F81" s="20" t="s">
        <v>35</v>
      </c>
      <c r="G81" s="20" t="s">
        <v>18</v>
      </c>
      <c r="H81" s="21">
        <f>ROUND(RAND()*4+6,1)</f>
      </c>
      <c r="I81" s="20" t="s">
        <v>36</v>
      </c>
      <c r="J81" s="23">
        <f>ROUND(74*1,0)&amp;"%"</f>
      </c>
    </row>
    <row x14ac:dyDescent="0.25" r="82" customHeight="1" ht="17.25">
      <c r="A82" s="17" t="s">
        <v>10127</v>
      </c>
      <c r="B82" s="17" t="s">
        <v>160</v>
      </c>
      <c r="C82" s="17" t="s">
        <v>152</v>
      </c>
      <c r="D82" s="17" t="s">
        <v>39</v>
      </c>
      <c r="E82" s="18">
        <f>ROUND(4870*1.05,2)</f>
      </c>
      <c r="F82" s="17" t="s">
        <v>40</v>
      </c>
      <c r="G82" s="17" t="s">
        <v>24</v>
      </c>
      <c r="H82" s="18">
        <f>ROUND(RAND()*4+6,1)</f>
      </c>
      <c r="I82" s="17" t="s">
        <v>41</v>
      </c>
      <c r="J82" s="19">
        <f>ROUND(87*1,0)&amp;"%"</f>
      </c>
    </row>
    <row x14ac:dyDescent="0.25" r="83" customHeight="1" ht="17.25">
      <c r="A83" s="20" t="s">
        <v>10128</v>
      </c>
      <c r="B83" s="20" t="s">
        <v>162</v>
      </c>
      <c r="C83" s="20" t="s">
        <v>152</v>
      </c>
      <c r="D83" s="20" t="s">
        <v>67</v>
      </c>
      <c r="E83" s="21">
        <f>ROUND(12265*1.05,2)</f>
      </c>
      <c r="F83" s="20" t="s">
        <v>44</v>
      </c>
      <c r="G83" s="20" t="s">
        <v>30</v>
      </c>
      <c r="H83" s="21">
        <f>ROUND(RAND()*4+6,1)</f>
      </c>
      <c r="I83" s="20" t="s">
        <v>45</v>
      </c>
      <c r="J83" s="23">
        <f>ROUND(82*1,0)&amp;"%"</f>
      </c>
    </row>
    <row x14ac:dyDescent="0.25" r="84" customHeight="1" ht="17.25">
      <c r="A84" s="17" t="s">
        <v>10129</v>
      </c>
      <c r="B84" s="17" t="s">
        <v>164</v>
      </c>
      <c r="C84" s="17" t="s">
        <v>152</v>
      </c>
      <c r="D84" s="17" t="s">
        <v>16</v>
      </c>
      <c r="E84" s="18">
        <f>ROUND(6562*1.05,2)</f>
      </c>
      <c r="F84" s="17" t="s">
        <v>48</v>
      </c>
      <c r="G84" s="17" t="s">
        <v>18</v>
      </c>
      <c r="H84" s="18">
        <f>ROUND(RAND()*4+6,1)</f>
      </c>
      <c r="I84" s="17" t="s">
        <v>19</v>
      </c>
      <c r="J84" s="19">
        <f>ROUND(62*1,0)&amp;"%"</f>
      </c>
    </row>
    <row x14ac:dyDescent="0.25" r="85" customHeight="1" ht="17.25">
      <c r="A85" s="20" t="s">
        <v>10130</v>
      </c>
      <c r="B85" s="20" t="s">
        <v>166</v>
      </c>
      <c r="C85" s="20" t="s">
        <v>152</v>
      </c>
      <c r="D85" s="20" t="s">
        <v>22</v>
      </c>
      <c r="E85" s="21">
        <f>ROUND(8723*1.05,2)</f>
      </c>
      <c r="F85" s="20" t="s">
        <v>51</v>
      </c>
      <c r="G85" s="20" t="s">
        <v>24</v>
      </c>
      <c r="H85" s="21">
        <f>ROUND(RAND()*4+6,1)</f>
      </c>
      <c r="I85" s="20" t="s">
        <v>25</v>
      </c>
      <c r="J85" s="23">
        <f>ROUND(67*1,0)&amp;"%"</f>
      </c>
    </row>
    <row x14ac:dyDescent="0.25" r="86" customHeight="1" ht="17.25">
      <c r="A86" s="24" t="s">
        <v>167</v>
      </c>
      <c r="B86" s="24"/>
      <c r="C86" s="24"/>
      <c r="D86" s="24"/>
      <c r="E86" s="25">
        <v>8</v>
      </c>
      <c r="F86" s="9"/>
      <c r="G86" s="9"/>
      <c r="H86" s="10"/>
      <c r="I86" s="9"/>
      <c r="J86" s="9"/>
    </row>
    <row x14ac:dyDescent="0.25" r="87" customHeight="1" ht="17.25">
      <c r="A87" s="7"/>
      <c r="B87" s="7"/>
      <c r="C87" s="7"/>
      <c r="D87" s="7"/>
      <c r="E87" s="8"/>
      <c r="F87" s="9"/>
      <c r="G87" s="9"/>
      <c r="H87" s="10"/>
      <c r="I87" s="9"/>
      <c r="J87" s="9"/>
    </row>
    <row x14ac:dyDescent="0.25" r="88" customHeight="1" ht="17.25">
      <c r="A88" s="11" t="s">
        <v>10131</v>
      </c>
      <c r="B88" s="11"/>
      <c r="C88" s="11"/>
      <c r="D88" s="11"/>
      <c r="E88" s="12"/>
      <c r="F88" s="11"/>
      <c r="G88" s="11"/>
      <c r="H88" s="13"/>
      <c r="I88" s="11"/>
      <c r="J88" s="11"/>
    </row>
    <row x14ac:dyDescent="0.25" r="89" customHeight="1" ht="17.25">
      <c r="A89" s="14" t="s">
        <v>3</v>
      </c>
      <c r="B89" s="14" t="s">
        <v>4</v>
      </c>
      <c r="C89" s="14" t="s">
        <v>5</v>
      </c>
      <c r="D89" s="14" t="s">
        <v>6</v>
      </c>
      <c r="E89" s="15" t="s">
        <v>7</v>
      </c>
      <c r="F89" s="14" t="s">
        <v>8</v>
      </c>
      <c r="G89" s="14" t="s">
        <v>9</v>
      </c>
      <c r="H89" s="16" t="s">
        <v>10</v>
      </c>
      <c r="I89" s="14" t="s">
        <v>11</v>
      </c>
      <c r="J89" s="14" t="s">
        <v>12</v>
      </c>
    </row>
    <row x14ac:dyDescent="0.25" r="90" customHeight="1" ht="17.25">
      <c r="A90" s="17" t="s">
        <v>10132</v>
      </c>
      <c r="B90" s="17" t="s">
        <v>170</v>
      </c>
      <c r="C90" s="17" t="s">
        <v>15</v>
      </c>
      <c r="D90" s="17" t="s">
        <v>16</v>
      </c>
      <c r="E90" s="18">
        <f>ROUND(12146*1.05,2)</f>
      </c>
      <c r="F90" s="17" t="s">
        <v>17</v>
      </c>
      <c r="G90" s="17" t="s">
        <v>18</v>
      </c>
      <c r="H90" s="18">
        <f>ROUND(RAND()*4+6,1)</f>
      </c>
      <c r="I90" s="17" t="s">
        <v>19</v>
      </c>
      <c r="J90" s="19">
        <f>ROUND(82*1,0)&amp;"%"</f>
      </c>
    </row>
    <row x14ac:dyDescent="0.25" r="91" customHeight="1" ht="17.25">
      <c r="A91" s="20" t="s">
        <v>10133</v>
      </c>
      <c r="B91" s="20" t="s">
        <v>172</v>
      </c>
      <c r="C91" s="20" t="s">
        <v>15</v>
      </c>
      <c r="D91" s="20" t="s">
        <v>22</v>
      </c>
      <c r="E91" s="21">
        <f>ROUND(11968*1.05,2)</f>
      </c>
      <c r="F91" s="20" t="s">
        <v>23</v>
      </c>
      <c r="G91" s="20" t="s">
        <v>24</v>
      </c>
      <c r="H91" s="21">
        <f>ROUND(RAND()*4+6,1)</f>
      </c>
      <c r="I91" s="20" t="s">
        <v>25</v>
      </c>
      <c r="J91" s="23">
        <f>ROUND(89*1,0)&amp;"%"</f>
      </c>
    </row>
    <row x14ac:dyDescent="0.25" r="92" customHeight="1" ht="17.25">
      <c r="A92" s="17" t="s">
        <v>10134</v>
      </c>
      <c r="B92" s="17" t="s">
        <v>174</v>
      </c>
      <c r="C92" s="17" t="s">
        <v>15</v>
      </c>
      <c r="D92" s="17" t="s">
        <v>28</v>
      </c>
      <c r="E92" s="18">
        <f>ROUND(17896*1.05,2)</f>
      </c>
      <c r="F92" s="17" t="s">
        <v>29</v>
      </c>
      <c r="G92" s="17" t="s">
        <v>30</v>
      </c>
      <c r="H92" s="18">
        <f>ROUND(RAND()*4+6,1)</f>
      </c>
      <c r="I92" s="17" t="s">
        <v>31</v>
      </c>
      <c r="J92" s="19">
        <f>ROUND(77*1,0)&amp;"%"</f>
      </c>
    </row>
    <row x14ac:dyDescent="0.25" r="93" customHeight="1" ht="17.25">
      <c r="A93" s="20" t="s">
        <v>10135</v>
      </c>
      <c r="B93" s="20" t="s">
        <v>176</v>
      </c>
      <c r="C93" s="20" t="s">
        <v>15</v>
      </c>
      <c r="D93" s="20" t="s">
        <v>34</v>
      </c>
      <c r="E93" s="21">
        <f>ROUND(8298*1.05,2)</f>
      </c>
      <c r="F93" s="20" t="s">
        <v>35</v>
      </c>
      <c r="G93" s="20" t="s">
        <v>18</v>
      </c>
      <c r="H93" s="21">
        <f>ROUND(RAND()*4+6,1)</f>
      </c>
      <c r="I93" s="20" t="s">
        <v>36</v>
      </c>
      <c r="J93" s="23">
        <f>ROUND(67*1,0)&amp;"%"</f>
      </c>
    </row>
    <row x14ac:dyDescent="0.25" r="94" customHeight="1" ht="17.25">
      <c r="A94" s="17" t="s">
        <v>10136</v>
      </c>
      <c r="B94" s="17" t="s">
        <v>178</v>
      </c>
      <c r="C94" s="17" t="s">
        <v>15</v>
      </c>
      <c r="D94" s="17" t="s">
        <v>39</v>
      </c>
      <c r="E94" s="18">
        <f>ROUND(10434*1.05,2)</f>
      </c>
      <c r="F94" s="17" t="s">
        <v>40</v>
      </c>
      <c r="G94" s="17" t="s">
        <v>24</v>
      </c>
      <c r="H94" s="18">
        <f>ROUND(RAND()*4+6,1)</f>
      </c>
      <c r="I94" s="17" t="s">
        <v>41</v>
      </c>
      <c r="J94" s="19">
        <f>ROUND(78*1,0)&amp;"%"</f>
      </c>
    </row>
    <row x14ac:dyDescent="0.25" r="95" customHeight="1" ht="17.25">
      <c r="A95" s="20" t="s">
        <v>10137</v>
      </c>
      <c r="B95" s="20" t="s">
        <v>180</v>
      </c>
      <c r="C95" s="20" t="s">
        <v>15</v>
      </c>
      <c r="D95" s="20" t="s">
        <v>67</v>
      </c>
      <c r="E95" s="21">
        <f>ROUND(12462*1.05,2)</f>
      </c>
      <c r="F95" s="20" t="s">
        <v>44</v>
      </c>
      <c r="G95" s="20" t="s">
        <v>30</v>
      </c>
      <c r="H95" s="21">
        <f>ROUND(RAND()*4+6,1)</f>
      </c>
      <c r="I95" s="20" t="s">
        <v>45</v>
      </c>
      <c r="J95" s="23">
        <f>ROUND(63*1,0)&amp;"%"</f>
      </c>
    </row>
    <row x14ac:dyDescent="0.25" r="96" customHeight="1" ht="17.25">
      <c r="A96" s="17" t="s">
        <v>10138</v>
      </c>
      <c r="B96" s="17" t="s">
        <v>182</v>
      </c>
      <c r="C96" s="17" t="s">
        <v>15</v>
      </c>
      <c r="D96" s="17" t="s">
        <v>16</v>
      </c>
      <c r="E96" s="18">
        <f>ROUND(8392*1.05,2)</f>
      </c>
      <c r="F96" s="17" t="s">
        <v>48</v>
      </c>
      <c r="G96" s="17" t="s">
        <v>18</v>
      </c>
      <c r="H96" s="18">
        <f>ROUND(RAND()*4+6,1)</f>
      </c>
      <c r="I96" s="17" t="s">
        <v>19</v>
      </c>
      <c r="J96" s="19">
        <f>ROUND(68*1,0)&amp;"%"</f>
      </c>
    </row>
    <row x14ac:dyDescent="0.25" r="97" customHeight="1" ht="17.25">
      <c r="A97" s="20" t="s">
        <v>10139</v>
      </c>
      <c r="B97" s="20" t="s">
        <v>184</v>
      </c>
      <c r="C97" s="20" t="s">
        <v>15</v>
      </c>
      <c r="D97" s="20" t="s">
        <v>22</v>
      </c>
      <c r="E97" s="21">
        <f>ROUND(6559*1.05,2)</f>
      </c>
      <c r="F97" s="20" t="s">
        <v>51</v>
      </c>
      <c r="G97" s="20" t="s">
        <v>24</v>
      </c>
      <c r="H97" s="21">
        <f>ROUND(RAND()*4+6,1)</f>
      </c>
      <c r="I97" s="20" t="s">
        <v>25</v>
      </c>
      <c r="J97" s="23">
        <f>ROUND(61*1,0)&amp;"%"</f>
      </c>
    </row>
    <row x14ac:dyDescent="0.25" r="98" customHeight="1" ht="17.25">
      <c r="A98" s="24" t="s">
        <v>185</v>
      </c>
      <c r="B98" s="24"/>
      <c r="C98" s="24"/>
      <c r="D98" s="24"/>
      <c r="E98" s="25">
        <v>8</v>
      </c>
      <c r="F98" s="9"/>
      <c r="G98" s="9"/>
      <c r="H98" s="10"/>
      <c r="I98" s="9"/>
      <c r="J98" s="9"/>
    </row>
    <row x14ac:dyDescent="0.25" r="99" customHeight="1" ht="17.25">
      <c r="A99" s="7"/>
      <c r="B99" s="7"/>
      <c r="C99" s="7"/>
      <c r="D99" s="7"/>
      <c r="E99" s="8"/>
      <c r="F99" s="9"/>
      <c r="G99" s="9"/>
      <c r="H99" s="10"/>
      <c r="I99" s="9"/>
      <c r="J99" s="9"/>
    </row>
    <row x14ac:dyDescent="0.25" r="100" customHeight="1" ht="17.25">
      <c r="A100" s="11" t="s">
        <v>10140</v>
      </c>
      <c r="B100" s="11"/>
      <c r="C100" s="11"/>
      <c r="D100" s="11"/>
      <c r="E100" s="12"/>
      <c r="F100" s="11"/>
      <c r="G100" s="11"/>
      <c r="H100" s="13"/>
      <c r="I100" s="11"/>
      <c r="J100" s="11"/>
    </row>
    <row x14ac:dyDescent="0.25" r="101" customHeight="1" ht="17.25">
      <c r="A101" s="14" t="s">
        <v>3</v>
      </c>
      <c r="B101" s="14" t="s">
        <v>4</v>
      </c>
      <c r="C101" s="14" t="s">
        <v>5</v>
      </c>
      <c r="D101" s="14" t="s">
        <v>6</v>
      </c>
      <c r="E101" s="15" t="s">
        <v>7</v>
      </c>
      <c r="F101" s="14" t="s">
        <v>8</v>
      </c>
      <c r="G101" s="14" t="s">
        <v>9</v>
      </c>
      <c r="H101" s="16" t="s">
        <v>10</v>
      </c>
      <c r="I101" s="14" t="s">
        <v>11</v>
      </c>
      <c r="J101" s="14" t="s">
        <v>12</v>
      </c>
    </row>
    <row x14ac:dyDescent="0.25" r="102" customHeight="1" ht="17.25">
      <c r="A102" s="17" t="s">
        <v>10141</v>
      </c>
      <c r="B102" s="17" t="s">
        <v>188</v>
      </c>
      <c r="C102" s="17" t="s">
        <v>56</v>
      </c>
      <c r="D102" s="17" t="s">
        <v>16</v>
      </c>
      <c r="E102" s="26">
        <f>ROUND(8560*1.05,2)</f>
      </c>
      <c r="F102" s="17" t="s">
        <v>17</v>
      </c>
      <c r="G102" s="17" t="s">
        <v>18</v>
      </c>
      <c r="H102" s="18">
        <f>ROUND(RAND()*4+6,1)</f>
      </c>
      <c r="I102" s="17" t="s">
        <v>19</v>
      </c>
      <c r="J102" s="19">
        <f>ROUND(75*1,0)&amp;"%"</f>
      </c>
    </row>
    <row x14ac:dyDescent="0.25" r="103" customHeight="1" ht="17.25">
      <c r="A103" s="20" t="s">
        <v>10142</v>
      </c>
      <c r="B103" s="20" t="s">
        <v>190</v>
      </c>
      <c r="C103" s="20" t="s">
        <v>56</v>
      </c>
      <c r="D103" s="20" t="s">
        <v>22</v>
      </c>
      <c r="E103" s="21">
        <f>ROUND(8987*1.05,2)</f>
      </c>
      <c r="F103" s="20" t="s">
        <v>23</v>
      </c>
      <c r="G103" s="20" t="s">
        <v>24</v>
      </c>
      <c r="H103" s="22">
        <f>ROUND(RAND()*4+6,1)</f>
      </c>
      <c r="I103" s="20" t="s">
        <v>25</v>
      </c>
      <c r="J103" s="23">
        <f>ROUND(96*1,0)&amp;"%"</f>
      </c>
    </row>
    <row x14ac:dyDescent="0.25" r="104" customHeight="1" ht="17.25">
      <c r="A104" s="17" t="s">
        <v>10143</v>
      </c>
      <c r="B104" s="17" t="s">
        <v>192</v>
      </c>
      <c r="C104" s="17" t="s">
        <v>56</v>
      </c>
      <c r="D104" s="17" t="s">
        <v>28</v>
      </c>
      <c r="E104" s="18">
        <f>ROUND(12178*1.05,2)</f>
      </c>
      <c r="F104" s="17" t="s">
        <v>29</v>
      </c>
      <c r="G104" s="17" t="s">
        <v>30</v>
      </c>
      <c r="H104" s="18">
        <f>ROUND(RAND()*4+6,1)</f>
      </c>
      <c r="I104" s="17" t="s">
        <v>31</v>
      </c>
      <c r="J104" s="19">
        <f>ROUND(77*1,0)&amp;"%"</f>
      </c>
    </row>
    <row x14ac:dyDescent="0.25" r="105" customHeight="1" ht="17.25">
      <c r="A105" s="20" t="s">
        <v>10144</v>
      </c>
      <c r="B105" s="20" t="s">
        <v>194</v>
      </c>
      <c r="C105" s="20" t="s">
        <v>56</v>
      </c>
      <c r="D105" s="20" t="s">
        <v>34</v>
      </c>
      <c r="E105" s="21">
        <f>ROUND(6470*1.05,2)</f>
      </c>
      <c r="F105" s="20" t="s">
        <v>35</v>
      </c>
      <c r="G105" s="20" t="s">
        <v>18</v>
      </c>
      <c r="H105" s="21">
        <f>ROUND(RAND()*4+6,1)</f>
      </c>
      <c r="I105" s="20" t="s">
        <v>36</v>
      </c>
      <c r="J105" s="23">
        <f>ROUND(66*1,0)&amp;"%"</f>
      </c>
    </row>
    <row x14ac:dyDescent="0.25" r="106" customHeight="1" ht="17.25">
      <c r="A106" s="17" t="s">
        <v>10145</v>
      </c>
      <c r="B106" s="17" t="s">
        <v>196</v>
      </c>
      <c r="C106" s="17" t="s">
        <v>56</v>
      </c>
      <c r="D106" s="17" t="s">
        <v>39</v>
      </c>
      <c r="E106" s="18">
        <f>ROUND(16727*1.05,2)</f>
      </c>
      <c r="F106" s="17" t="s">
        <v>40</v>
      </c>
      <c r="G106" s="17" t="s">
        <v>24</v>
      </c>
      <c r="H106" s="18">
        <f>ROUND(RAND()*4+6,1)</f>
      </c>
      <c r="I106" s="17" t="s">
        <v>41</v>
      </c>
      <c r="J106" s="19">
        <f>ROUND(88*1,0)&amp;"%"</f>
      </c>
    </row>
    <row x14ac:dyDescent="0.25" r="107" customHeight="1" ht="17.25">
      <c r="A107" s="20" t="s">
        <v>10146</v>
      </c>
      <c r="B107" s="20" t="s">
        <v>198</v>
      </c>
      <c r="C107" s="20" t="s">
        <v>56</v>
      </c>
      <c r="D107" s="20" t="s">
        <v>67</v>
      </c>
      <c r="E107" s="21">
        <f>ROUND(9262*1.05,2)</f>
      </c>
      <c r="F107" s="20" t="s">
        <v>44</v>
      </c>
      <c r="G107" s="20" t="s">
        <v>30</v>
      </c>
      <c r="H107" s="21">
        <f>ROUND(RAND()*4+6,1)</f>
      </c>
      <c r="I107" s="20" t="s">
        <v>45</v>
      </c>
      <c r="J107" s="23">
        <f>ROUND(80*1,0)&amp;"%"</f>
      </c>
    </row>
    <row x14ac:dyDescent="0.25" r="108" customHeight="1" ht="17.25">
      <c r="A108" s="17" t="s">
        <v>10147</v>
      </c>
      <c r="B108" s="17" t="s">
        <v>200</v>
      </c>
      <c r="C108" s="17" t="s">
        <v>56</v>
      </c>
      <c r="D108" s="17" t="s">
        <v>16</v>
      </c>
      <c r="E108" s="18">
        <f>ROUND(9043*1.05,2)</f>
      </c>
      <c r="F108" s="17" t="s">
        <v>48</v>
      </c>
      <c r="G108" s="17" t="s">
        <v>18</v>
      </c>
      <c r="H108" s="18">
        <f>ROUND(RAND()*4+6,1)</f>
      </c>
      <c r="I108" s="17" t="s">
        <v>19</v>
      </c>
      <c r="J108" s="19">
        <f>ROUND(78*1,0)&amp;"%"</f>
      </c>
    </row>
    <row x14ac:dyDescent="0.25" r="109" customHeight="1" ht="17.25">
      <c r="A109" s="20" t="s">
        <v>10148</v>
      </c>
      <c r="B109" s="20" t="s">
        <v>202</v>
      </c>
      <c r="C109" s="20" t="s">
        <v>56</v>
      </c>
      <c r="D109" s="20" t="s">
        <v>22</v>
      </c>
      <c r="E109" s="21">
        <f>ROUND(16906*1.05,2)</f>
      </c>
      <c r="F109" s="20" t="s">
        <v>51</v>
      </c>
      <c r="G109" s="20" t="s">
        <v>24</v>
      </c>
      <c r="H109" s="21">
        <f>ROUND(RAND()*4+6,1)</f>
      </c>
      <c r="I109" s="20" t="s">
        <v>25</v>
      </c>
      <c r="J109" s="23">
        <f>ROUND(72*1,0)&amp;"%"</f>
      </c>
    </row>
    <row x14ac:dyDescent="0.25" r="110" customHeight="1" ht="17.25">
      <c r="A110" s="24" t="s">
        <v>203</v>
      </c>
      <c r="B110" s="24"/>
      <c r="C110" s="24"/>
      <c r="D110" s="24"/>
      <c r="E110" s="25">
        <v>8</v>
      </c>
      <c r="F110" s="9"/>
      <c r="G110" s="9"/>
      <c r="H110" s="10"/>
      <c r="I110" s="9"/>
      <c r="J110" s="9"/>
    </row>
    <row x14ac:dyDescent="0.25" r="111" customHeight="1" ht="17.25">
      <c r="A111" s="7"/>
      <c r="B111" s="7"/>
      <c r="C111" s="7"/>
      <c r="D111" s="7"/>
      <c r="E111" s="8"/>
      <c r="F111" s="9"/>
      <c r="G111" s="9"/>
      <c r="H111" s="10"/>
      <c r="I111" s="9"/>
      <c r="J111" s="9"/>
    </row>
    <row x14ac:dyDescent="0.25" r="112" customHeight="1" ht="17.25">
      <c r="A112" s="11" t="s">
        <v>10149</v>
      </c>
      <c r="B112" s="11"/>
      <c r="C112" s="11"/>
      <c r="D112" s="11"/>
      <c r="E112" s="12"/>
      <c r="F112" s="11"/>
      <c r="G112" s="11"/>
      <c r="H112" s="13"/>
      <c r="I112" s="11"/>
      <c r="J112" s="11"/>
    </row>
    <row x14ac:dyDescent="0.25" r="113" customHeight="1" ht="17.25">
      <c r="A113" s="14" t="s">
        <v>3</v>
      </c>
      <c r="B113" s="14" t="s">
        <v>4</v>
      </c>
      <c r="C113" s="14" t="s">
        <v>5</v>
      </c>
      <c r="D113" s="14" t="s">
        <v>6</v>
      </c>
      <c r="E113" s="15" t="s">
        <v>7</v>
      </c>
      <c r="F113" s="14" t="s">
        <v>8</v>
      </c>
      <c r="G113" s="14" t="s">
        <v>9</v>
      </c>
      <c r="H113" s="16" t="s">
        <v>10</v>
      </c>
      <c r="I113" s="14" t="s">
        <v>11</v>
      </c>
      <c r="J113" s="14" t="s">
        <v>12</v>
      </c>
    </row>
    <row x14ac:dyDescent="0.25" r="114" customHeight="1" ht="17.25">
      <c r="A114" s="17" t="s">
        <v>10150</v>
      </c>
      <c r="B114" s="17" t="s">
        <v>206</v>
      </c>
      <c r="C114" s="17" t="s">
        <v>76</v>
      </c>
      <c r="D114" s="17" t="s">
        <v>16</v>
      </c>
      <c r="E114" s="18">
        <f>ROUND(11668*1.05,2)</f>
      </c>
      <c r="F114" s="17" t="s">
        <v>17</v>
      </c>
      <c r="G114" s="17" t="s">
        <v>18</v>
      </c>
      <c r="H114" s="18">
        <f>ROUND(RAND()*4+6,1)</f>
      </c>
      <c r="I114" s="17" t="s">
        <v>19</v>
      </c>
      <c r="J114" s="19">
        <f>ROUND(95*1,0)&amp;"%"</f>
      </c>
    </row>
    <row x14ac:dyDescent="0.25" r="115" customHeight="1" ht="17.25">
      <c r="A115" s="20" t="s">
        <v>10151</v>
      </c>
      <c r="B115" s="20" t="s">
        <v>208</v>
      </c>
      <c r="C115" s="20" t="s">
        <v>76</v>
      </c>
      <c r="D115" s="20" t="s">
        <v>22</v>
      </c>
      <c r="E115" s="21">
        <f>ROUND(17056*1.05,2)</f>
      </c>
      <c r="F115" s="20" t="s">
        <v>23</v>
      </c>
      <c r="G115" s="20" t="s">
        <v>24</v>
      </c>
      <c r="H115" s="21">
        <f>ROUND(RAND()*4+6,1)</f>
      </c>
      <c r="I115" s="20" t="s">
        <v>25</v>
      </c>
      <c r="J115" s="23">
        <f>ROUND(77*1,0)&amp;"%"</f>
      </c>
    </row>
    <row x14ac:dyDescent="0.25" r="116" customHeight="1" ht="17.25">
      <c r="A116" s="17" t="s">
        <v>10152</v>
      </c>
      <c r="B116" s="17" t="s">
        <v>210</v>
      </c>
      <c r="C116" s="17" t="s">
        <v>76</v>
      </c>
      <c r="D116" s="17" t="s">
        <v>28</v>
      </c>
      <c r="E116" s="18">
        <f>ROUND(8169*1.05,2)</f>
      </c>
      <c r="F116" s="17" t="s">
        <v>29</v>
      </c>
      <c r="G116" s="17" t="s">
        <v>30</v>
      </c>
      <c r="H116" s="18">
        <f>ROUND(RAND()*4+6,1)</f>
      </c>
      <c r="I116" s="17" t="s">
        <v>31</v>
      </c>
      <c r="J116" s="19">
        <f>ROUND(69*1,0)&amp;"%"</f>
      </c>
    </row>
    <row x14ac:dyDescent="0.25" r="117" customHeight="1" ht="17.25">
      <c r="A117" s="20" t="s">
        <v>10153</v>
      </c>
      <c r="B117" s="20" t="s">
        <v>212</v>
      </c>
      <c r="C117" s="20" t="s">
        <v>76</v>
      </c>
      <c r="D117" s="20" t="s">
        <v>34</v>
      </c>
      <c r="E117" s="21">
        <f>ROUND(15689*1.05,2)</f>
      </c>
      <c r="F117" s="20" t="s">
        <v>35</v>
      </c>
      <c r="G117" s="20" t="s">
        <v>18</v>
      </c>
      <c r="H117" s="21">
        <f>ROUND(RAND()*4+6,1)</f>
      </c>
      <c r="I117" s="20" t="s">
        <v>36</v>
      </c>
      <c r="J117" s="23">
        <f>ROUND(79*1,0)&amp;"%"</f>
      </c>
    </row>
    <row x14ac:dyDescent="0.25" r="118" customHeight="1" ht="17.25">
      <c r="A118" s="17" t="s">
        <v>10154</v>
      </c>
      <c r="B118" s="17" t="s">
        <v>214</v>
      </c>
      <c r="C118" s="17" t="s">
        <v>76</v>
      </c>
      <c r="D118" s="17" t="s">
        <v>39</v>
      </c>
      <c r="E118" s="18">
        <f>ROUND(4377*1.05,2)</f>
      </c>
      <c r="F118" s="17" t="s">
        <v>40</v>
      </c>
      <c r="G118" s="17" t="s">
        <v>24</v>
      </c>
      <c r="H118" s="18">
        <f>ROUND(RAND()*4+6,1)</f>
      </c>
      <c r="I118" s="17" t="s">
        <v>41</v>
      </c>
      <c r="J118" s="19">
        <f>ROUND(63*1,0)&amp;"%"</f>
      </c>
    </row>
    <row x14ac:dyDescent="0.25" r="119" customHeight="1" ht="17.25">
      <c r="A119" s="20" t="s">
        <v>10155</v>
      </c>
      <c r="B119" s="20" t="s">
        <v>216</v>
      </c>
      <c r="C119" s="20" t="s">
        <v>76</v>
      </c>
      <c r="D119" s="20" t="s">
        <v>67</v>
      </c>
      <c r="E119" s="21">
        <f>ROUND(8497*1.05,2)</f>
      </c>
      <c r="F119" s="20" t="s">
        <v>44</v>
      </c>
      <c r="G119" s="20" t="s">
        <v>30</v>
      </c>
      <c r="H119" s="21">
        <f>ROUND(RAND()*4+6,1)</f>
      </c>
      <c r="I119" s="20" t="s">
        <v>45</v>
      </c>
      <c r="J119" s="23">
        <f>ROUND(89*1,0)&amp;"%"</f>
      </c>
    </row>
    <row x14ac:dyDescent="0.25" r="120" customHeight="1" ht="17.25">
      <c r="A120" s="17" t="s">
        <v>10156</v>
      </c>
      <c r="B120" s="17" t="s">
        <v>218</v>
      </c>
      <c r="C120" s="17" t="s">
        <v>76</v>
      </c>
      <c r="D120" s="17" t="s">
        <v>16</v>
      </c>
      <c r="E120" s="18">
        <f>ROUND(11835*1.05,2)</f>
      </c>
      <c r="F120" s="17" t="s">
        <v>48</v>
      </c>
      <c r="G120" s="17" t="s">
        <v>18</v>
      </c>
      <c r="H120" s="18">
        <f>ROUND(RAND()*4+6,1)</f>
      </c>
      <c r="I120" s="17" t="s">
        <v>19</v>
      </c>
      <c r="J120" s="19">
        <f>ROUND(82*1,0)&amp;"%"</f>
      </c>
    </row>
    <row x14ac:dyDescent="0.25" r="121" customHeight="1" ht="17.25">
      <c r="A121" s="20" t="s">
        <v>10157</v>
      </c>
      <c r="B121" s="20" t="s">
        <v>220</v>
      </c>
      <c r="C121" s="20" t="s">
        <v>76</v>
      </c>
      <c r="D121" s="20" t="s">
        <v>22</v>
      </c>
      <c r="E121" s="21">
        <f>ROUND(14038*1.05,2)</f>
      </c>
      <c r="F121" s="20" t="s">
        <v>51</v>
      </c>
      <c r="G121" s="20" t="s">
        <v>24</v>
      </c>
      <c r="H121" s="21">
        <f>ROUND(RAND()*4+6,1)</f>
      </c>
      <c r="I121" s="20" t="s">
        <v>25</v>
      </c>
      <c r="J121" s="23">
        <f>ROUND(64*1,0)&amp;"%"</f>
      </c>
    </row>
    <row x14ac:dyDescent="0.25" r="122" customHeight="1" ht="17.25">
      <c r="A122" s="24" t="s">
        <v>221</v>
      </c>
      <c r="B122" s="24"/>
      <c r="C122" s="24"/>
      <c r="D122" s="24"/>
      <c r="E122" s="25">
        <v>8</v>
      </c>
      <c r="F122" s="9"/>
      <c r="G122" s="9"/>
      <c r="H122" s="10"/>
      <c r="I122" s="9"/>
      <c r="J122" s="9"/>
    </row>
    <row x14ac:dyDescent="0.25" r="123" customHeight="1" ht="17.25">
      <c r="A123" s="7"/>
      <c r="B123" s="7"/>
      <c r="C123" s="7"/>
      <c r="D123" s="7"/>
      <c r="E123" s="8"/>
      <c r="F123" s="9"/>
      <c r="G123" s="9"/>
      <c r="H123" s="10"/>
      <c r="I123" s="9"/>
      <c r="J123" s="9"/>
    </row>
    <row x14ac:dyDescent="0.25" r="124" customHeight="1" ht="17.25">
      <c r="A124" s="11" t="s">
        <v>10158</v>
      </c>
      <c r="B124" s="11"/>
      <c r="C124" s="11"/>
      <c r="D124" s="11"/>
      <c r="E124" s="12"/>
      <c r="F124" s="11"/>
      <c r="G124" s="11"/>
      <c r="H124" s="13"/>
      <c r="I124" s="11"/>
      <c r="J124" s="11"/>
    </row>
    <row x14ac:dyDescent="0.25" r="125" customHeight="1" ht="17.25">
      <c r="A125" s="14" t="s">
        <v>3</v>
      </c>
      <c r="B125" s="14" t="s">
        <v>4</v>
      </c>
      <c r="C125" s="14" t="s">
        <v>5</v>
      </c>
      <c r="D125" s="14" t="s">
        <v>6</v>
      </c>
      <c r="E125" s="15" t="s">
        <v>7</v>
      </c>
      <c r="F125" s="14" t="s">
        <v>8</v>
      </c>
      <c r="G125" s="14" t="s">
        <v>9</v>
      </c>
      <c r="H125" s="16" t="s">
        <v>10</v>
      </c>
      <c r="I125" s="14" t="s">
        <v>11</v>
      </c>
      <c r="J125" s="14" t="s">
        <v>12</v>
      </c>
    </row>
    <row x14ac:dyDescent="0.25" r="126" customHeight="1" ht="17.25">
      <c r="A126" s="17" t="s">
        <v>10159</v>
      </c>
      <c r="B126" s="17" t="s">
        <v>224</v>
      </c>
      <c r="C126" s="17" t="s">
        <v>95</v>
      </c>
      <c r="D126" s="17" t="s">
        <v>16</v>
      </c>
      <c r="E126" s="18">
        <f>ROUND(15189*1.05,2)</f>
      </c>
      <c r="F126" s="17" t="s">
        <v>17</v>
      </c>
      <c r="G126" s="17" t="s">
        <v>18</v>
      </c>
      <c r="H126" s="18">
        <f>ROUND(RAND()*4+6,1)</f>
      </c>
      <c r="I126" s="17" t="s">
        <v>19</v>
      </c>
      <c r="J126" s="19">
        <f>ROUND(92*1,0)&amp;"%"</f>
      </c>
    </row>
    <row x14ac:dyDescent="0.25" r="127" customHeight="1" ht="17.25">
      <c r="A127" s="20" t="s">
        <v>10160</v>
      </c>
      <c r="B127" s="20" t="s">
        <v>226</v>
      </c>
      <c r="C127" s="20" t="s">
        <v>95</v>
      </c>
      <c r="D127" s="20" t="s">
        <v>22</v>
      </c>
      <c r="E127" s="21">
        <f>ROUND(10137*1.05,2)</f>
      </c>
      <c r="F127" s="20" t="s">
        <v>23</v>
      </c>
      <c r="G127" s="20" t="s">
        <v>24</v>
      </c>
      <c r="H127" s="21">
        <f>ROUND(RAND()*4+6,1)</f>
      </c>
      <c r="I127" s="20" t="s">
        <v>25</v>
      </c>
      <c r="J127" s="23">
        <f>ROUND(96*1,0)&amp;"%"</f>
      </c>
    </row>
    <row x14ac:dyDescent="0.25" r="128" customHeight="1" ht="17.25">
      <c r="A128" s="17" t="s">
        <v>10161</v>
      </c>
      <c r="B128" s="17" t="s">
        <v>228</v>
      </c>
      <c r="C128" s="17" t="s">
        <v>95</v>
      </c>
      <c r="D128" s="17" t="s">
        <v>28</v>
      </c>
      <c r="E128" s="18">
        <f>ROUND(17423*1.05,2)</f>
      </c>
      <c r="F128" s="17" t="s">
        <v>29</v>
      </c>
      <c r="G128" s="17" t="s">
        <v>30</v>
      </c>
      <c r="H128" s="18">
        <f>ROUND(RAND()*4+6,1)</f>
      </c>
      <c r="I128" s="17" t="s">
        <v>31</v>
      </c>
      <c r="J128" s="19">
        <f>ROUND(88*1,0)&amp;"%"</f>
      </c>
    </row>
    <row x14ac:dyDescent="0.25" r="129" customHeight="1" ht="17.25">
      <c r="A129" s="20" t="s">
        <v>10162</v>
      </c>
      <c r="B129" s="20" t="s">
        <v>230</v>
      </c>
      <c r="C129" s="20" t="s">
        <v>95</v>
      </c>
      <c r="D129" s="20" t="s">
        <v>34</v>
      </c>
      <c r="E129" s="21">
        <f>ROUND(16659*1.05,2)</f>
      </c>
      <c r="F129" s="20" t="s">
        <v>35</v>
      </c>
      <c r="G129" s="20" t="s">
        <v>18</v>
      </c>
      <c r="H129" s="21">
        <f>ROUND(RAND()*4+6,1)</f>
      </c>
      <c r="I129" s="20" t="s">
        <v>36</v>
      </c>
      <c r="J129" s="23">
        <f>ROUND(77*1,0)&amp;"%"</f>
      </c>
    </row>
    <row x14ac:dyDescent="0.25" r="130" customHeight="1" ht="17.25">
      <c r="A130" s="17" t="s">
        <v>10163</v>
      </c>
      <c r="B130" s="17" t="s">
        <v>232</v>
      </c>
      <c r="C130" s="17" t="s">
        <v>95</v>
      </c>
      <c r="D130" s="17" t="s">
        <v>39</v>
      </c>
      <c r="E130" s="18">
        <f>ROUND(15503*1.05,2)</f>
      </c>
      <c r="F130" s="17" t="s">
        <v>40</v>
      </c>
      <c r="G130" s="17" t="s">
        <v>24</v>
      </c>
      <c r="H130" s="18">
        <f>ROUND(RAND()*4+6,1)</f>
      </c>
      <c r="I130" s="17" t="s">
        <v>41</v>
      </c>
      <c r="J130" s="19">
        <f>ROUND(78*1,0)&amp;"%"</f>
      </c>
    </row>
    <row x14ac:dyDescent="0.25" r="131" customHeight="1" ht="17.25">
      <c r="A131" s="20" t="s">
        <v>10164</v>
      </c>
      <c r="B131" s="20" t="s">
        <v>234</v>
      </c>
      <c r="C131" s="20" t="s">
        <v>95</v>
      </c>
      <c r="D131" s="20" t="s">
        <v>67</v>
      </c>
      <c r="E131" s="21">
        <f>ROUND(7036*1.05,2)</f>
      </c>
      <c r="F131" s="20" t="s">
        <v>44</v>
      </c>
      <c r="G131" s="20" t="s">
        <v>30</v>
      </c>
      <c r="H131" s="21">
        <f>ROUND(RAND()*4+6,1)</f>
      </c>
      <c r="I131" s="20" t="s">
        <v>45</v>
      </c>
      <c r="J131" s="23">
        <f>ROUND(99*1,0)&amp;"%"</f>
      </c>
    </row>
    <row x14ac:dyDescent="0.25" r="132" customHeight="1" ht="17.25">
      <c r="A132" s="17" t="s">
        <v>10165</v>
      </c>
      <c r="B132" s="17" t="s">
        <v>236</v>
      </c>
      <c r="C132" s="17" t="s">
        <v>95</v>
      </c>
      <c r="D132" s="17" t="s">
        <v>16</v>
      </c>
      <c r="E132" s="18">
        <f>ROUND(16962*1.05,2)</f>
      </c>
      <c r="F132" s="17" t="s">
        <v>48</v>
      </c>
      <c r="G132" s="17" t="s">
        <v>18</v>
      </c>
      <c r="H132" s="18">
        <f>ROUND(RAND()*4+6,1)</f>
      </c>
      <c r="I132" s="17" t="s">
        <v>19</v>
      </c>
      <c r="J132" s="19">
        <f>ROUND(100*1,0)&amp;"%"</f>
      </c>
    </row>
    <row x14ac:dyDescent="0.25" r="133" customHeight="1" ht="17.25">
      <c r="A133" s="20" t="s">
        <v>10166</v>
      </c>
      <c r="B133" s="20" t="s">
        <v>238</v>
      </c>
      <c r="C133" s="20" t="s">
        <v>95</v>
      </c>
      <c r="D133" s="20" t="s">
        <v>22</v>
      </c>
      <c r="E133" s="21">
        <f>ROUND(17987*1.05,2)</f>
      </c>
      <c r="F133" s="20" t="s">
        <v>51</v>
      </c>
      <c r="G133" s="20" t="s">
        <v>24</v>
      </c>
      <c r="H133" s="21">
        <f>ROUND(RAND()*4+6,1)</f>
      </c>
      <c r="I133" s="20" t="s">
        <v>25</v>
      </c>
      <c r="J133" s="23">
        <f>ROUND(64*1,0)&amp;"%"</f>
      </c>
    </row>
    <row x14ac:dyDescent="0.25" r="134" customHeight="1" ht="17.25">
      <c r="A134" s="24" t="s">
        <v>239</v>
      </c>
      <c r="B134" s="24"/>
      <c r="C134" s="24"/>
      <c r="D134" s="24"/>
      <c r="E134" s="25">
        <v>8</v>
      </c>
      <c r="F134" s="9"/>
      <c r="G134" s="9"/>
      <c r="H134" s="10"/>
      <c r="I134" s="9"/>
      <c r="J134" s="9"/>
    </row>
    <row x14ac:dyDescent="0.25" r="135" customHeight="1" ht="17.25">
      <c r="A135" s="7"/>
      <c r="B135" s="7"/>
      <c r="C135" s="7"/>
      <c r="D135" s="7"/>
      <c r="E135" s="8"/>
      <c r="F135" s="9"/>
      <c r="G135" s="9"/>
      <c r="H135" s="10"/>
      <c r="I135" s="9"/>
      <c r="J135" s="9"/>
    </row>
    <row x14ac:dyDescent="0.25" r="136" customHeight="1" ht="17.25">
      <c r="A136" s="11" t="s">
        <v>10167</v>
      </c>
      <c r="B136" s="11"/>
      <c r="C136" s="11"/>
      <c r="D136" s="11"/>
      <c r="E136" s="12"/>
      <c r="F136" s="11"/>
      <c r="G136" s="11"/>
      <c r="H136" s="13"/>
      <c r="I136" s="11"/>
      <c r="J136" s="11"/>
    </row>
    <row x14ac:dyDescent="0.25" r="137" customHeight="1" ht="17.25">
      <c r="A137" s="14" t="s">
        <v>3</v>
      </c>
      <c r="B137" s="14" t="s">
        <v>4</v>
      </c>
      <c r="C137" s="14" t="s">
        <v>5</v>
      </c>
      <c r="D137" s="14" t="s">
        <v>6</v>
      </c>
      <c r="E137" s="15" t="s">
        <v>7</v>
      </c>
      <c r="F137" s="14" t="s">
        <v>8</v>
      </c>
      <c r="G137" s="14" t="s">
        <v>9</v>
      </c>
      <c r="H137" s="16" t="s">
        <v>10</v>
      </c>
      <c r="I137" s="14" t="s">
        <v>11</v>
      </c>
      <c r="J137" s="14" t="s">
        <v>12</v>
      </c>
    </row>
    <row x14ac:dyDescent="0.25" r="138" customHeight="1" ht="17.25">
      <c r="A138" s="17" t="s">
        <v>10168</v>
      </c>
      <c r="B138" s="17" t="s">
        <v>242</v>
      </c>
      <c r="C138" s="17" t="s">
        <v>114</v>
      </c>
      <c r="D138" s="17" t="s">
        <v>16</v>
      </c>
      <c r="E138" s="26">
        <f>ROUND(9160*1.05,2)</f>
      </c>
      <c r="F138" s="17" t="s">
        <v>17</v>
      </c>
      <c r="G138" s="17" t="s">
        <v>18</v>
      </c>
      <c r="H138" s="18">
        <f>ROUND(RAND()*4+6,1)</f>
      </c>
      <c r="I138" s="17" t="s">
        <v>19</v>
      </c>
      <c r="J138" s="19">
        <f>ROUND(94*1,0)&amp;"%"</f>
      </c>
    </row>
    <row x14ac:dyDescent="0.25" r="139" customHeight="1" ht="17.25">
      <c r="A139" s="20" t="s">
        <v>10169</v>
      </c>
      <c r="B139" s="20" t="s">
        <v>244</v>
      </c>
      <c r="C139" s="20" t="s">
        <v>114</v>
      </c>
      <c r="D139" s="20" t="s">
        <v>22</v>
      </c>
      <c r="E139" s="21">
        <f>ROUND(7124*1.05,2)</f>
      </c>
      <c r="F139" s="20" t="s">
        <v>23</v>
      </c>
      <c r="G139" s="20" t="s">
        <v>24</v>
      </c>
      <c r="H139" s="22">
        <f>ROUND(RAND()*4+6,1)</f>
      </c>
      <c r="I139" s="20" t="s">
        <v>25</v>
      </c>
      <c r="J139" s="23">
        <f>ROUND(89*1,0)&amp;"%"</f>
      </c>
    </row>
    <row x14ac:dyDescent="0.25" r="140" customHeight="1" ht="17.25">
      <c r="A140" s="17" t="s">
        <v>10170</v>
      </c>
      <c r="B140" s="17" t="s">
        <v>246</v>
      </c>
      <c r="C140" s="17" t="s">
        <v>114</v>
      </c>
      <c r="D140" s="17" t="s">
        <v>28</v>
      </c>
      <c r="E140" s="18">
        <f>ROUND(16423*1.05,2)</f>
      </c>
      <c r="F140" s="17" t="s">
        <v>29</v>
      </c>
      <c r="G140" s="17" t="s">
        <v>30</v>
      </c>
      <c r="H140" s="18">
        <f>ROUND(RAND()*4+6,1)</f>
      </c>
      <c r="I140" s="17" t="s">
        <v>31</v>
      </c>
      <c r="J140" s="19">
        <f>ROUND(85*1,0)&amp;"%"</f>
      </c>
    </row>
    <row x14ac:dyDescent="0.25" r="141" customHeight="1" ht="17.25">
      <c r="A141" s="20" t="s">
        <v>10171</v>
      </c>
      <c r="B141" s="20" t="s">
        <v>248</v>
      </c>
      <c r="C141" s="20" t="s">
        <v>114</v>
      </c>
      <c r="D141" s="20" t="s">
        <v>34</v>
      </c>
      <c r="E141" s="21">
        <f>ROUND(17881*1.05,2)</f>
      </c>
      <c r="F141" s="20" t="s">
        <v>35</v>
      </c>
      <c r="G141" s="20" t="s">
        <v>18</v>
      </c>
      <c r="H141" s="21">
        <f>ROUND(RAND()*4+6,1)</f>
      </c>
      <c r="I141" s="20" t="s">
        <v>36</v>
      </c>
      <c r="J141" s="23">
        <f>ROUND(82*1,0)&amp;"%"</f>
      </c>
    </row>
    <row x14ac:dyDescent="0.25" r="142" customHeight="1" ht="17.25">
      <c r="A142" s="17" t="s">
        <v>10172</v>
      </c>
      <c r="B142" s="17" t="s">
        <v>250</v>
      </c>
      <c r="C142" s="17" t="s">
        <v>114</v>
      </c>
      <c r="D142" s="17" t="s">
        <v>39</v>
      </c>
      <c r="E142" s="18">
        <f>ROUND(13374*1.05,2)</f>
      </c>
      <c r="F142" s="17" t="s">
        <v>40</v>
      </c>
      <c r="G142" s="17" t="s">
        <v>24</v>
      </c>
      <c r="H142" s="18">
        <f>ROUND(RAND()*4+6,1)</f>
      </c>
      <c r="I142" s="17" t="s">
        <v>41</v>
      </c>
      <c r="J142" s="19">
        <f>ROUND(73*1,0)&amp;"%"</f>
      </c>
    </row>
    <row x14ac:dyDescent="0.25" r="143" customHeight="1" ht="17.25">
      <c r="A143" s="20" t="s">
        <v>10173</v>
      </c>
      <c r="B143" s="20" t="s">
        <v>252</v>
      </c>
      <c r="C143" s="20" t="s">
        <v>114</v>
      </c>
      <c r="D143" s="20" t="s">
        <v>67</v>
      </c>
      <c r="E143" s="21">
        <f>ROUND(9072*1.05,2)</f>
      </c>
      <c r="F143" s="20" t="s">
        <v>44</v>
      </c>
      <c r="G143" s="20" t="s">
        <v>30</v>
      </c>
      <c r="H143" s="21">
        <f>ROUND(RAND()*4+6,1)</f>
      </c>
      <c r="I143" s="20" t="s">
        <v>45</v>
      </c>
      <c r="J143" s="23">
        <f>ROUND(75*1,0)&amp;"%"</f>
      </c>
    </row>
    <row x14ac:dyDescent="0.25" r="144" customHeight="1" ht="17.25">
      <c r="A144" s="17" t="s">
        <v>10174</v>
      </c>
      <c r="B144" s="17" t="s">
        <v>254</v>
      </c>
      <c r="C144" s="17" t="s">
        <v>114</v>
      </c>
      <c r="D144" s="17" t="s">
        <v>16</v>
      </c>
      <c r="E144" s="18">
        <f>ROUND(9070*1.05,2)</f>
      </c>
      <c r="F144" s="17" t="s">
        <v>48</v>
      </c>
      <c r="G144" s="17" t="s">
        <v>18</v>
      </c>
      <c r="H144" s="18">
        <f>ROUND(RAND()*4+6,1)</f>
      </c>
      <c r="I144" s="17" t="s">
        <v>19</v>
      </c>
      <c r="J144" s="19">
        <f>ROUND(67*1,0)&amp;"%"</f>
      </c>
    </row>
    <row x14ac:dyDescent="0.25" r="145" customHeight="1" ht="17.25">
      <c r="A145" s="20" t="s">
        <v>10175</v>
      </c>
      <c r="B145" s="20" t="s">
        <v>256</v>
      </c>
      <c r="C145" s="20" t="s">
        <v>114</v>
      </c>
      <c r="D145" s="20" t="s">
        <v>22</v>
      </c>
      <c r="E145" s="21">
        <f>ROUND(16830*1.05,2)</f>
      </c>
      <c r="F145" s="20" t="s">
        <v>51</v>
      </c>
      <c r="G145" s="20" t="s">
        <v>24</v>
      </c>
      <c r="H145" s="21">
        <f>ROUND(RAND()*4+6,1)</f>
      </c>
      <c r="I145" s="20" t="s">
        <v>25</v>
      </c>
      <c r="J145" s="23">
        <f>ROUND(95*1,0)&amp;"%"</f>
      </c>
    </row>
    <row x14ac:dyDescent="0.25" r="146" customHeight="1" ht="17.25">
      <c r="A146" s="24" t="s">
        <v>257</v>
      </c>
      <c r="B146" s="24"/>
      <c r="C146" s="24"/>
      <c r="D146" s="24"/>
      <c r="E146" s="25">
        <v>8</v>
      </c>
      <c r="F146" s="9"/>
      <c r="G146" s="9"/>
      <c r="H146" s="10"/>
      <c r="I146" s="9"/>
      <c r="J146" s="9"/>
    </row>
    <row x14ac:dyDescent="0.25" r="147" customHeight="1" ht="17.25">
      <c r="A147" s="7"/>
      <c r="B147" s="7"/>
      <c r="C147" s="7"/>
      <c r="D147" s="7"/>
      <c r="E147" s="8"/>
      <c r="F147" s="9"/>
      <c r="G147" s="9"/>
      <c r="H147" s="10"/>
      <c r="I147" s="9"/>
      <c r="J147" s="9"/>
    </row>
    <row x14ac:dyDescent="0.25" r="148" customHeight="1" ht="17.25">
      <c r="A148" s="11" t="s">
        <v>10176</v>
      </c>
      <c r="B148" s="11"/>
      <c r="C148" s="11"/>
      <c r="D148" s="11"/>
      <c r="E148" s="12"/>
      <c r="F148" s="11"/>
      <c r="G148" s="11"/>
      <c r="H148" s="13"/>
      <c r="I148" s="11"/>
      <c r="J148" s="11"/>
    </row>
    <row x14ac:dyDescent="0.25" r="149" customHeight="1" ht="17.25">
      <c r="A149" s="14" t="s">
        <v>3</v>
      </c>
      <c r="B149" s="14" t="s">
        <v>4</v>
      </c>
      <c r="C149" s="14" t="s">
        <v>5</v>
      </c>
      <c r="D149" s="14" t="s">
        <v>6</v>
      </c>
      <c r="E149" s="15" t="s">
        <v>7</v>
      </c>
      <c r="F149" s="14" t="s">
        <v>8</v>
      </c>
      <c r="G149" s="14" t="s">
        <v>9</v>
      </c>
      <c r="H149" s="16" t="s">
        <v>10</v>
      </c>
      <c r="I149" s="14" t="s">
        <v>11</v>
      </c>
      <c r="J149" s="14" t="s">
        <v>12</v>
      </c>
    </row>
    <row x14ac:dyDescent="0.25" r="150" customHeight="1" ht="17.25">
      <c r="A150" s="17" t="s">
        <v>10177</v>
      </c>
      <c r="B150" s="17" t="s">
        <v>260</v>
      </c>
      <c r="C150" s="17" t="s">
        <v>133</v>
      </c>
      <c r="D150" s="17" t="s">
        <v>16</v>
      </c>
      <c r="E150" s="18">
        <f>ROUND(6923*1.05,2)</f>
      </c>
      <c r="F150" s="17" t="s">
        <v>17</v>
      </c>
      <c r="G150" s="17" t="s">
        <v>18</v>
      </c>
      <c r="H150" s="18">
        <f>ROUND(RAND()*4+6,1)</f>
      </c>
      <c r="I150" s="17" t="s">
        <v>19</v>
      </c>
      <c r="J150" s="19">
        <f>ROUND(88*1,0)&amp;"%"</f>
      </c>
    </row>
    <row x14ac:dyDescent="0.25" r="151" customHeight="1" ht="17.25">
      <c r="A151" s="20" t="s">
        <v>10178</v>
      </c>
      <c r="B151" s="20" t="s">
        <v>262</v>
      </c>
      <c r="C151" s="20" t="s">
        <v>133</v>
      </c>
      <c r="D151" s="20" t="s">
        <v>22</v>
      </c>
      <c r="E151" s="21">
        <f>ROUND(5002*1.05,2)</f>
      </c>
      <c r="F151" s="20" t="s">
        <v>23</v>
      </c>
      <c r="G151" s="20" t="s">
        <v>24</v>
      </c>
      <c r="H151" s="21">
        <f>ROUND(RAND()*4+6,1)</f>
      </c>
      <c r="I151" s="20" t="s">
        <v>25</v>
      </c>
      <c r="J151" s="23">
        <f>ROUND(69*1,0)&amp;"%"</f>
      </c>
    </row>
    <row x14ac:dyDescent="0.25" r="152" customHeight="1" ht="17.25">
      <c r="A152" s="17" t="s">
        <v>10179</v>
      </c>
      <c r="B152" s="17" t="s">
        <v>264</v>
      </c>
      <c r="C152" s="17" t="s">
        <v>133</v>
      </c>
      <c r="D152" s="17" t="s">
        <v>28</v>
      </c>
      <c r="E152" s="18">
        <f>ROUND(8161*1.05,2)</f>
      </c>
      <c r="F152" s="17" t="s">
        <v>29</v>
      </c>
      <c r="G152" s="17" t="s">
        <v>30</v>
      </c>
      <c r="H152" s="18">
        <f>ROUND(RAND()*4+6,1)</f>
      </c>
      <c r="I152" s="17" t="s">
        <v>31</v>
      </c>
      <c r="J152" s="19">
        <f>ROUND(100*1,0)&amp;"%"</f>
      </c>
    </row>
    <row x14ac:dyDescent="0.25" r="153" customHeight="1" ht="17.25">
      <c r="A153" s="20" t="s">
        <v>10180</v>
      </c>
      <c r="B153" s="20" t="s">
        <v>266</v>
      </c>
      <c r="C153" s="20" t="s">
        <v>133</v>
      </c>
      <c r="D153" s="20" t="s">
        <v>34</v>
      </c>
      <c r="E153" s="21">
        <f>ROUND(11310*1.05,2)</f>
      </c>
      <c r="F153" s="20" t="s">
        <v>35</v>
      </c>
      <c r="G153" s="20" t="s">
        <v>18</v>
      </c>
      <c r="H153" s="21">
        <f>ROUND(RAND()*4+6,1)</f>
      </c>
      <c r="I153" s="20" t="s">
        <v>36</v>
      </c>
      <c r="J153" s="23">
        <f>ROUND(64*1,0)&amp;"%"</f>
      </c>
    </row>
    <row x14ac:dyDescent="0.25" r="154" customHeight="1" ht="17.25">
      <c r="A154" s="17" t="s">
        <v>10181</v>
      </c>
      <c r="B154" s="17" t="s">
        <v>268</v>
      </c>
      <c r="C154" s="17" t="s">
        <v>133</v>
      </c>
      <c r="D154" s="17" t="s">
        <v>39</v>
      </c>
      <c r="E154" s="18">
        <f>ROUND(10722*1.05,2)</f>
      </c>
      <c r="F154" s="17" t="s">
        <v>40</v>
      </c>
      <c r="G154" s="17" t="s">
        <v>24</v>
      </c>
      <c r="H154" s="18">
        <f>ROUND(RAND()*4+6,1)</f>
      </c>
      <c r="I154" s="17" t="s">
        <v>41</v>
      </c>
      <c r="J154" s="19">
        <f>ROUND(65*1,0)&amp;"%"</f>
      </c>
    </row>
    <row x14ac:dyDescent="0.25" r="155" customHeight="1" ht="17.25">
      <c r="A155" s="20" t="s">
        <v>10182</v>
      </c>
      <c r="B155" s="20" t="s">
        <v>270</v>
      </c>
      <c r="C155" s="20" t="s">
        <v>133</v>
      </c>
      <c r="D155" s="20" t="s">
        <v>67</v>
      </c>
      <c r="E155" s="21">
        <f>ROUND(4017*1.05,2)</f>
      </c>
      <c r="F155" s="20" t="s">
        <v>44</v>
      </c>
      <c r="G155" s="20" t="s">
        <v>30</v>
      </c>
      <c r="H155" s="21">
        <f>ROUND(RAND()*4+6,1)</f>
      </c>
      <c r="I155" s="20" t="s">
        <v>45</v>
      </c>
      <c r="J155" s="23">
        <f>ROUND(83*1,0)&amp;"%"</f>
      </c>
    </row>
    <row x14ac:dyDescent="0.25" r="156" customHeight="1" ht="17.25">
      <c r="A156" s="17" t="s">
        <v>10183</v>
      </c>
      <c r="B156" s="17" t="s">
        <v>272</v>
      </c>
      <c r="C156" s="17" t="s">
        <v>133</v>
      </c>
      <c r="D156" s="17" t="s">
        <v>16</v>
      </c>
      <c r="E156" s="18">
        <f>ROUND(6547*1.05,2)</f>
      </c>
      <c r="F156" s="17" t="s">
        <v>48</v>
      </c>
      <c r="G156" s="17" t="s">
        <v>18</v>
      </c>
      <c r="H156" s="18">
        <f>ROUND(RAND()*4+6,1)</f>
      </c>
      <c r="I156" s="17" t="s">
        <v>19</v>
      </c>
      <c r="J156" s="19">
        <f>ROUND(95*1,0)&amp;"%"</f>
      </c>
    </row>
    <row x14ac:dyDescent="0.25" r="157" customHeight="1" ht="17.25">
      <c r="A157" s="20" t="s">
        <v>10184</v>
      </c>
      <c r="B157" s="20" t="s">
        <v>274</v>
      </c>
      <c r="C157" s="20" t="s">
        <v>133</v>
      </c>
      <c r="D157" s="20" t="s">
        <v>22</v>
      </c>
      <c r="E157" s="21">
        <f>ROUND(10619*1.05,2)</f>
      </c>
      <c r="F157" s="20" t="s">
        <v>51</v>
      </c>
      <c r="G157" s="20" t="s">
        <v>24</v>
      </c>
      <c r="H157" s="21">
        <f>ROUND(RAND()*4+6,1)</f>
      </c>
      <c r="I157" s="20" t="s">
        <v>25</v>
      </c>
      <c r="J157" s="23">
        <f>ROUND(73*1,0)&amp;"%"</f>
      </c>
    </row>
    <row x14ac:dyDescent="0.25" r="158" customHeight="1" ht="17.25">
      <c r="A158" s="24" t="s">
        <v>275</v>
      </c>
      <c r="B158" s="24"/>
      <c r="C158" s="24"/>
      <c r="D158" s="24"/>
      <c r="E158" s="25">
        <v>8</v>
      </c>
      <c r="F158" s="9"/>
      <c r="G158" s="9"/>
      <c r="H158" s="10"/>
      <c r="I158" s="9"/>
      <c r="J158" s="9"/>
    </row>
    <row x14ac:dyDescent="0.25" r="159" customHeight="1" ht="17.25">
      <c r="A159" s="7"/>
      <c r="B159" s="7"/>
      <c r="C159" s="7"/>
      <c r="D159" s="7"/>
      <c r="E159" s="8"/>
      <c r="F159" s="9"/>
      <c r="G159" s="9"/>
      <c r="H159" s="10"/>
      <c r="I159" s="9"/>
      <c r="J159" s="9"/>
    </row>
    <row x14ac:dyDescent="0.25" r="160" customHeight="1" ht="17.25">
      <c r="A160" s="11" t="s">
        <v>10185</v>
      </c>
      <c r="B160" s="11"/>
      <c r="C160" s="11"/>
      <c r="D160" s="11"/>
      <c r="E160" s="12"/>
      <c r="F160" s="11"/>
      <c r="G160" s="11"/>
      <c r="H160" s="13"/>
      <c r="I160" s="11"/>
      <c r="J160" s="11"/>
    </row>
    <row x14ac:dyDescent="0.25" r="161" customHeight="1" ht="17.25">
      <c r="A161" s="14" t="s">
        <v>3</v>
      </c>
      <c r="B161" s="14" t="s">
        <v>4</v>
      </c>
      <c r="C161" s="14" t="s">
        <v>5</v>
      </c>
      <c r="D161" s="14" t="s">
        <v>6</v>
      </c>
      <c r="E161" s="15" t="s">
        <v>7</v>
      </c>
      <c r="F161" s="14" t="s">
        <v>8</v>
      </c>
      <c r="G161" s="14" t="s">
        <v>9</v>
      </c>
      <c r="H161" s="16" t="s">
        <v>10</v>
      </c>
      <c r="I161" s="14" t="s">
        <v>11</v>
      </c>
      <c r="J161" s="14" t="s">
        <v>12</v>
      </c>
    </row>
    <row x14ac:dyDescent="0.25" r="162" customHeight="1" ht="17.25">
      <c r="A162" s="17" t="s">
        <v>10186</v>
      </c>
      <c r="B162" s="17" t="s">
        <v>278</v>
      </c>
      <c r="C162" s="17" t="s">
        <v>152</v>
      </c>
      <c r="D162" s="17" t="s">
        <v>16</v>
      </c>
      <c r="E162" s="18">
        <f>ROUND(14877*1.05,2)</f>
      </c>
      <c r="F162" s="17" t="s">
        <v>17</v>
      </c>
      <c r="G162" s="17" t="s">
        <v>18</v>
      </c>
      <c r="H162" s="18">
        <f>ROUND(RAND()*4+6,1)</f>
      </c>
      <c r="I162" s="17" t="s">
        <v>19</v>
      </c>
      <c r="J162" s="19">
        <f>ROUND(62*1,0)&amp;"%"</f>
      </c>
    </row>
    <row x14ac:dyDescent="0.25" r="163" customHeight="1" ht="17.25">
      <c r="A163" s="20" t="s">
        <v>10187</v>
      </c>
      <c r="B163" s="20" t="s">
        <v>280</v>
      </c>
      <c r="C163" s="20" t="s">
        <v>152</v>
      </c>
      <c r="D163" s="20" t="s">
        <v>22</v>
      </c>
      <c r="E163" s="21">
        <f>ROUND(4139*1.05,2)</f>
      </c>
      <c r="F163" s="20" t="s">
        <v>23</v>
      </c>
      <c r="G163" s="20" t="s">
        <v>24</v>
      </c>
      <c r="H163" s="22">
        <f>ROUND(RAND()*4+6,1)</f>
      </c>
      <c r="I163" s="20" t="s">
        <v>25</v>
      </c>
      <c r="J163" s="23">
        <f>ROUND(96*1,0)&amp;"%"</f>
      </c>
    </row>
    <row x14ac:dyDescent="0.25" r="164" customHeight="1" ht="17.25">
      <c r="A164" s="17" t="s">
        <v>10188</v>
      </c>
      <c r="B164" s="17" t="s">
        <v>282</v>
      </c>
      <c r="C164" s="17" t="s">
        <v>152</v>
      </c>
      <c r="D164" s="17" t="s">
        <v>28</v>
      </c>
      <c r="E164" s="18">
        <f>ROUND(14948*1.05,2)</f>
      </c>
      <c r="F164" s="17" t="s">
        <v>29</v>
      </c>
      <c r="G164" s="17" t="s">
        <v>30</v>
      </c>
      <c r="H164" s="18">
        <f>ROUND(RAND()*4+6,1)</f>
      </c>
      <c r="I164" s="17" t="s">
        <v>31</v>
      </c>
      <c r="J164" s="19">
        <f>ROUND(68*1,0)&amp;"%"</f>
      </c>
    </row>
    <row x14ac:dyDescent="0.25" r="165" customHeight="1" ht="17.25">
      <c r="A165" s="20" t="s">
        <v>10189</v>
      </c>
      <c r="B165" s="20" t="s">
        <v>284</v>
      </c>
      <c r="C165" s="20" t="s">
        <v>152</v>
      </c>
      <c r="D165" s="20" t="s">
        <v>34</v>
      </c>
      <c r="E165" s="21">
        <f>ROUND(17283*1.05,2)</f>
      </c>
      <c r="F165" s="20" t="s">
        <v>35</v>
      </c>
      <c r="G165" s="20" t="s">
        <v>18</v>
      </c>
      <c r="H165" s="21">
        <f>ROUND(RAND()*4+6,1)</f>
      </c>
      <c r="I165" s="20" t="s">
        <v>36</v>
      </c>
      <c r="J165" s="23">
        <f>ROUND(83*1,0)&amp;"%"</f>
      </c>
    </row>
    <row x14ac:dyDescent="0.25" r="166" customHeight="1" ht="17.25">
      <c r="A166" s="17" t="s">
        <v>10190</v>
      </c>
      <c r="B166" s="17" t="s">
        <v>286</v>
      </c>
      <c r="C166" s="17" t="s">
        <v>152</v>
      </c>
      <c r="D166" s="17" t="s">
        <v>39</v>
      </c>
      <c r="E166" s="18">
        <f>ROUND(7755*1.05,2)</f>
      </c>
      <c r="F166" s="17" t="s">
        <v>40</v>
      </c>
      <c r="G166" s="17" t="s">
        <v>24</v>
      </c>
      <c r="H166" s="18">
        <f>ROUND(RAND()*4+6,1)</f>
      </c>
      <c r="I166" s="17" t="s">
        <v>41</v>
      </c>
      <c r="J166" s="19">
        <f>ROUND(65*1,0)&amp;"%"</f>
      </c>
    </row>
    <row x14ac:dyDescent="0.25" r="167" customHeight="1" ht="17.25">
      <c r="A167" s="20" t="s">
        <v>10191</v>
      </c>
      <c r="B167" s="20" t="s">
        <v>288</v>
      </c>
      <c r="C167" s="20" t="s">
        <v>152</v>
      </c>
      <c r="D167" s="20" t="s">
        <v>67</v>
      </c>
      <c r="E167" s="21">
        <f>ROUND(8995*1.05,2)</f>
      </c>
      <c r="F167" s="20" t="s">
        <v>44</v>
      </c>
      <c r="G167" s="20" t="s">
        <v>30</v>
      </c>
      <c r="H167" s="21">
        <f>ROUND(RAND()*4+6,1)</f>
      </c>
      <c r="I167" s="20" t="s">
        <v>45</v>
      </c>
      <c r="J167" s="23">
        <f>ROUND(79*1,0)&amp;"%"</f>
      </c>
    </row>
    <row x14ac:dyDescent="0.25" r="168" customHeight="1" ht="17.25">
      <c r="A168" s="17" t="s">
        <v>10192</v>
      </c>
      <c r="B168" s="17" t="s">
        <v>290</v>
      </c>
      <c r="C168" s="17" t="s">
        <v>152</v>
      </c>
      <c r="D168" s="17" t="s">
        <v>16</v>
      </c>
      <c r="E168" s="18">
        <f>ROUND(7701*1.05,2)</f>
      </c>
      <c r="F168" s="17" t="s">
        <v>48</v>
      </c>
      <c r="G168" s="17" t="s">
        <v>18</v>
      </c>
      <c r="H168" s="18">
        <f>ROUND(RAND()*4+6,1)</f>
      </c>
      <c r="I168" s="17" t="s">
        <v>19</v>
      </c>
      <c r="J168" s="19">
        <f>ROUND(83*1,0)&amp;"%"</f>
      </c>
    </row>
    <row x14ac:dyDescent="0.25" r="169" customHeight="1" ht="17.25">
      <c r="A169" s="20" t="s">
        <v>10193</v>
      </c>
      <c r="B169" s="20" t="s">
        <v>292</v>
      </c>
      <c r="C169" s="20" t="s">
        <v>152</v>
      </c>
      <c r="D169" s="20" t="s">
        <v>22</v>
      </c>
      <c r="E169" s="22">
        <f>ROUND(5240*1.05,2)</f>
      </c>
      <c r="F169" s="20" t="s">
        <v>51</v>
      </c>
      <c r="G169" s="20" t="s">
        <v>24</v>
      </c>
      <c r="H169" s="21">
        <f>ROUND(RAND()*4+6,1)</f>
      </c>
      <c r="I169" s="20" t="s">
        <v>25</v>
      </c>
      <c r="J169" s="23">
        <f>ROUND(100*1,0)&amp;"%"</f>
      </c>
    </row>
    <row x14ac:dyDescent="0.25" r="170" customHeight="1" ht="17.25">
      <c r="A170" s="24" t="s">
        <v>293</v>
      </c>
      <c r="B170" s="24"/>
      <c r="C170" s="24"/>
      <c r="D170" s="24"/>
      <c r="E170" s="25">
        <v>8</v>
      </c>
      <c r="F170" s="9"/>
      <c r="G170" s="9"/>
      <c r="H170" s="10"/>
      <c r="I170" s="9"/>
      <c r="J170" s="9"/>
    </row>
    <row x14ac:dyDescent="0.25" r="171" customHeight="1" ht="17.25">
      <c r="A171" s="7"/>
      <c r="B171" s="7"/>
      <c r="C171" s="7"/>
      <c r="D171" s="7"/>
      <c r="E171" s="8"/>
      <c r="F171" s="9"/>
      <c r="G171" s="9"/>
      <c r="H171" s="10"/>
      <c r="I171" s="9"/>
      <c r="J171" s="9"/>
    </row>
    <row x14ac:dyDescent="0.25" r="172" customHeight="1" ht="17.25">
      <c r="A172" s="11" t="s">
        <v>10194</v>
      </c>
      <c r="B172" s="11"/>
      <c r="C172" s="11"/>
      <c r="D172" s="11"/>
      <c r="E172" s="12"/>
      <c r="F172" s="11"/>
      <c r="G172" s="11"/>
      <c r="H172" s="13"/>
      <c r="I172" s="11"/>
      <c r="J172" s="11"/>
    </row>
    <row x14ac:dyDescent="0.25" r="173" customHeight="1" ht="17.25">
      <c r="A173" s="14" t="s">
        <v>3</v>
      </c>
      <c r="B173" s="14" t="s">
        <v>4</v>
      </c>
      <c r="C173" s="14" t="s">
        <v>5</v>
      </c>
      <c r="D173" s="14" t="s">
        <v>6</v>
      </c>
      <c r="E173" s="15" t="s">
        <v>7</v>
      </c>
      <c r="F173" s="14" t="s">
        <v>8</v>
      </c>
      <c r="G173" s="14" t="s">
        <v>9</v>
      </c>
      <c r="H173" s="16" t="s">
        <v>10</v>
      </c>
      <c r="I173" s="14" t="s">
        <v>11</v>
      </c>
      <c r="J173" s="14" t="s">
        <v>12</v>
      </c>
    </row>
    <row x14ac:dyDescent="0.25" r="174" customHeight="1" ht="17.25">
      <c r="A174" s="17" t="s">
        <v>10195</v>
      </c>
      <c r="B174" s="17" t="s">
        <v>296</v>
      </c>
      <c r="C174" s="17" t="s">
        <v>15</v>
      </c>
      <c r="D174" s="17" t="s">
        <v>16</v>
      </c>
      <c r="E174" s="18">
        <f>ROUND(17783*1.05,2)</f>
      </c>
      <c r="F174" s="17" t="s">
        <v>17</v>
      </c>
      <c r="G174" s="17" t="s">
        <v>18</v>
      </c>
      <c r="H174" s="18">
        <f>ROUND(RAND()*4+6,1)</f>
      </c>
      <c r="I174" s="17" t="s">
        <v>19</v>
      </c>
      <c r="J174" s="19">
        <f>ROUND(82*1,0)&amp;"%"</f>
      </c>
    </row>
    <row x14ac:dyDescent="0.25" r="175" customHeight="1" ht="17.25">
      <c r="A175" s="20" t="s">
        <v>10196</v>
      </c>
      <c r="B175" s="20" t="s">
        <v>298</v>
      </c>
      <c r="C175" s="20" t="s">
        <v>15</v>
      </c>
      <c r="D175" s="20" t="s">
        <v>22</v>
      </c>
      <c r="E175" s="21">
        <f>ROUND(12998*1.05,2)</f>
      </c>
      <c r="F175" s="20" t="s">
        <v>23</v>
      </c>
      <c r="G175" s="20" t="s">
        <v>24</v>
      </c>
      <c r="H175" s="21">
        <f>ROUND(RAND()*4+6,1)</f>
      </c>
      <c r="I175" s="20" t="s">
        <v>25</v>
      </c>
      <c r="J175" s="23">
        <f>ROUND(93*1,0)&amp;"%"</f>
      </c>
    </row>
    <row x14ac:dyDescent="0.25" r="176" customHeight="1" ht="17.25">
      <c r="A176" s="17" t="s">
        <v>10197</v>
      </c>
      <c r="B176" s="17" t="s">
        <v>300</v>
      </c>
      <c r="C176" s="17" t="s">
        <v>15</v>
      </c>
      <c r="D176" s="17" t="s">
        <v>28</v>
      </c>
      <c r="E176" s="18">
        <f>ROUND(5915*1.05,2)</f>
      </c>
      <c r="F176" s="17" t="s">
        <v>29</v>
      </c>
      <c r="G176" s="17" t="s">
        <v>30</v>
      </c>
      <c r="H176" s="18">
        <f>ROUND(RAND()*4+6,1)</f>
      </c>
      <c r="I176" s="17" t="s">
        <v>31</v>
      </c>
      <c r="J176" s="19">
        <f>ROUND(68*1,0)&amp;"%"</f>
      </c>
    </row>
    <row x14ac:dyDescent="0.25" r="177" customHeight="1" ht="17.25">
      <c r="A177" s="20" t="s">
        <v>10198</v>
      </c>
      <c r="B177" s="20" t="s">
        <v>302</v>
      </c>
      <c r="C177" s="20" t="s">
        <v>15</v>
      </c>
      <c r="D177" s="20" t="s">
        <v>34</v>
      </c>
      <c r="E177" s="21">
        <f>ROUND(17679*1.05,2)</f>
      </c>
      <c r="F177" s="20" t="s">
        <v>35</v>
      </c>
      <c r="G177" s="20" t="s">
        <v>18</v>
      </c>
      <c r="H177" s="21">
        <f>ROUND(RAND()*4+6,1)</f>
      </c>
      <c r="I177" s="20" t="s">
        <v>36</v>
      </c>
      <c r="J177" s="23">
        <f>ROUND(82*1,0)&amp;"%"</f>
      </c>
    </row>
    <row x14ac:dyDescent="0.25" r="178" customHeight="1" ht="17.25">
      <c r="A178" s="17" t="s">
        <v>10199</v>
      </c>
      <c r="B178" s="17" t="s">
        <v>304</v>
      </c>
      <c r="C178" s="17" t="s">
        <v>15</v>
      </c>
      <c r="D178" s="17" t="s">
        <v>39</v>
      </c>
      <c r="E178" s="18">
        <f>ROUND(12127*1.05,2)</f>
      </c>
      <c r="F178" s="17" t="s">
        <v>40</v>
      </c>
      <c r="G178" s="17" t="s">
        <v>24</v>
      </c>
      <c r="H178" s="18">
        <f>ROUND(RAND()*4+6,1)</f>
      </c>
      <c r="I178" s="17" t="s">
        <v>41</v>
      </c>
      <c r="J178" s="19">
        <f>ROUND(76*1,0)&amp;"%"</f>
      </c>
    </row>
    <row x14ac:dyDescent="0.25" r="179" customHeight="1" ht="17.25">
      <c r="A179" s="20" t="s">
        <v>10200</v>
      </c>
      <c r="B179" s="20" t="s">
        <v>306</v>
      </c>
      <c r="C179" s="20" t="s">
        <v>15</v>
      </c>
      <c r="D179" s="20" t="s">
        <v>67</v>
      </c>
      <c r="E179" s="21">
        <f>ROUND(12391*1.05,2)</f>
      </c>
      <c r="F179" s="20" t="s">
        <v>44</v>
      </c>
      <c r="G179" s="20" t="s">
        <v>30</v>
      </c>
      <c r="H179" s="21">
        <f>ROUND(RAND()*4+6,1)</f>
      </c>
      <c r="I179" s="20" t="s">
        <v>45</v>
      </c>
      <c r="J179" s="23">
        <f>ROUND(67*1,0)&amp;"%"</f>
      </c>
    </row>
    <row x14ac:dyDescent="0.25" r="180" customHeight="1" ht="17.25">
      <c r="A180" s="17" t="s">
        <v>10201</v>
      </c>
      <c r="B180" s="17" t="s">
        <v>308</v>
      </c>
      <c r="C180" s="17" t="s">
        <v>15</v>
      </c>
      <c r="D180" s="17" t="s">
        <v>16</v>
      </c>
      <c r="E180" s="18">
        <f>ROUND(15935*1.05,2)</f>
      </c>
      <c r="F180" s="17" t="s">
        <v>48</v>
      </c>
      <c r="G180" s="17" t="s">
        <v>18</v>
      </c>
      <c r="H180" s="18">
        <f>ROUND(RAND()*4+6,1)</f>
      </c>
      <c r="I180" s="17" t="s">
        <v>19</v>
      </c>
      <c r="J180" s="19">
        <f>ROUND(85*1,0)&amp;"%"</f>
      </c>
    </row>
    <row x14ac:dyDescent="0.25" r="181" customHeight="1" ht="17.25">
      <c r="A181" s="20" t="s">
        <v>10202</v>
      </c>
      <c r="B181" s="20" t="s">
        <v>310</v>
      </c>
      <c r="C181" s="20" t="s">
        <v>15</v>
      </c>
      <c r="D181" s="20" t="s">
        <v>22</v>
      </c>
      <c r="E181" s="21">
        <f>ROUND(8762*1.05,2)</f>
      </c>
      <c r="F181" s="20" t="s">
        <v>51</v>
      </c>
      <c r="G181" s="20" t="s">
        <v>24</v>
      </c>
      <c r="H181" s="21">
        <f>ROUND(RAND()*4+6,1)</f>
      </c>
      <c r="I181" s="20" t="s">
        <v>25</v>
      </c>
      <c r="J181" s="23">
        <f>ROUND(83*1,0)&amp;"%"</f>
      </c>
    </row>
    <row x14ac:dyDescent="0.25" r="182" customHeight="1" ht="17.25">
      <c r="A182" s="24" t="s">
        <v>311</v>
      </c>
      <c r="B182" s="24"/>
      <c r="C182" s="24"/>
      <c r="D182" s="24"/>
      <c r="E182" s="25">
        <v>8</v>
      </c>
      <c r="F182" s="9"/>
      <c r="G182" s="9"/>
      <c r="H182" s="10"/>
      <c r="I182" s="9"/>
      <c r="J182" s="9"/>
    </row>
    <row x14ac:dyDescent="0.25" r="183" customHeight="1" ht="17.25">
      <c r="A183" s="7"/>
      <c r="B183" s="7"/>
      <c r="C183" s="7"/>
      <c r="D183" s="7"/>
      <c r="E183" s="8"/>
      <c r="F183" s="9"/>
      <c r="G183" s="9"/>
      <c r="H183" s="10"/>
      <c r="I183" s="9"/>
      <c r="J183" s="9"/>
    </row>
    <row x14ac:dyDescent="0.25" r="184" customHeight="1" ht="17.25">
      <c r="A184" s="11" t="s">
        <v>10203</v>
      </c>
      <c r="B184" s="11"/>
      <c r="C184" s="11"/>
      <c r="D184" s="11"/>
      <c r="E184" s="12"/>
      <c r="F184" s="11"/>
      <c r="G184" s="11"/>
      <c r="H184" s="13"/>
      <c r="I184" s="11"/>
      <c r="J184" s="11"/>
    </row>
    <row x14ac:dyDescent="0.25" r="185" customHeight="1" ht="17.25">
      <c r="A185" s="14" t="s">
        <v>3</v>
      </c>
      <c r="B185" s="14" t="s">
        <v>4</v>
      </c>
      <c r="C185" s="14" t="s">
        <v>5</v>
      </c>
      <c r="D185" s="14" t="s">
        <v>6</v>
      </c>
      <c r="E185" s="15" t="s">
        <v>7</v>
      </c>
      <c r="F185" s="14" t="s">
        <v>8</v>
      </c>
      <c r="G185" s="14" t="s">
        <v>9</v>
      </c>
      <c r="H185" s="16" t="s">
        <v>10</v>
      </c>
      <c r="I185" s="14" t="s">
        <v>11</v>
      </c>
      <c r="J185" s="14" t="s">
        <v>12</v>
      </c>
    </row>
    <row x14ac:dyDescent="0.25" r="186" customHeight="1" ht="17.25">
      <c r="A186" s="17" t="s">
        <v>10204</v>
      </c>
      <c r="B186" s="17" t="s">
        <v>314</v>
      </c>
      <c r="C186" s="17" t="s">
        <v>56</v>
      </c>
      <c r="D186" s="17" t="s">
        <v>16</v>
      </c>
      <c r="E186" s="18">
        <f>ROUND(14353*1.05,2)</f>
      </c>
      <c r="F186" s="17" t="s">
        <v>17</v>
      </c>
      <c r="G186" s="17" t="s">
        <v>18</v>
      </c>
      <c r="H186" s="18">
        <f>ROUND(RAND()*4+6,1)</f>
      </c>
      <c r="I186" s="17" t="s">
        <v>19</v>
      </c>
      <c r="J186" s="19">
        <f>ROUND(89*1,0)&amp;"%"</f>
      </c>
    </row>
    <row x14ac:dyDescent="0.25" r="187" customHeight="1" ht="17.25">
      <c r="A187" s="20" t="s">
        <v>10205</v>
      </c>
      <c r="B187" s="20" t="s">
        <v>316</v>
      </c>
      <c r="C187" s="20" t="s">
        <v>56</v>
      </c>
      <c r="D187" s="20" t="s">
        <v>22</v>
      </c>
      <c r="E187" s="21">
        <f>ROUND(15884*1.05,2)</f>
      </c>
      <c r="F187" s="20" t="s">
        <v>23</v>
      </c>
      <c r="G187" s="20" t="s">
        <v>24</v>
      </c>
      <c r="H187" s="21">
        <f>ROUND(RAND()*4+6,1)</f>
      </c>
      <c r="I187" s="20" t="s">
        <v>25</v>
      </c>
      <c r="J187" s="23">
        <f>ROUND(82*1,0)&amp;"%"</f>
      </c>
    </row>
    <row x14ac:dyDescent="0.25" r="188" customHeight="1" ht="17.25">
      <c r="A188" s="17" t="s">
        <v>10206</v>
      </c>
      <c r="B188" s="17" t="s">
        <v>318</v>
      </c>
      <c r="C188" s="17" t="s">
        <v>56</v>
      </c>
      <c r="D188" s="17" t="s">
        <v>28</v>
      </c>
      <c r="E188" s="18">
        <f>ROUND(9179*1.05,2)</f>
      </c>
      <c r="F188" s="17" t="s">
        <v>29</v>
      </c>
      <c r="G188" s="17" t="s">
        <v>30</v>
      </c>
      <c r="H188" s="18">
        <f>ROUND(RAND()*4+6,1)</f>
      </c>
      <c r="I188" s="17" t="s">
        <v>31</v>
      </c>
      <c r="J188" s="19">
        <f>ROUND(79*1,0)&amp;"%"</f>
      </c>
    </row>
    <row x14ac:dyDescent="0.25" r="189" customHeight="1" ht="17.25">
      <c r="A189" s="20" t="s">
        <v>10207</v>
      </c>
      <c r="B189" s="20" t="s">
        <v>320</v>
      </c>
      <c r="C189" s="20" t="s">
        <v>56</v>
      </c>
      <c r="D189" s="20" t="s">
        <v>34</v>
      </c>
      <c r="E189" s="21">
        <f>ROUND(4717*1.05,2)</f>
      </c>
      <c r="F189" s="20" t="s">
        <v>35</v>
      </c>
      <c r="G189" s="20" t="s">
        <v>18</v>
      </c>
      <c r="H189" s="21">
        <f>ROUND(RAND()*4+6,1)</f>
      </c>
      <c r="I189" s="20" t="s">
        <v>36</v>
      </c>
      <c r="J189" s="23">
        <f>ROUND(89*1,0)&amp;"%"</f>
      </c>
    </row>
    <row x14ac:dyDescent="0.25" r="190" customHeight="1" ht="17.25">
      <c r="A190" s="17" t="s">
        <v>10208</v>
      </c>
      <c r="B190" s="17" t="s">
        <v>322</v>
      </c>
      <c r="C190" s="17" t="s">
        <v>56</v>
      </c>
      <c r="D190" s="17" t="s">
        <v>39</v>
      </c>
      <c r="E190" s="18">
        <f>ROUND(5443*1.05,2)</f>
      </c>
      <c r="F190" s="17" t="s">
        <v>40</v>
      </c>
      <c r="G190" s="17" t="s">
        <v>24</v>
      </c>
      <c r="H190" s="26">
        <f>ROUND(RAND()*4+6,1)</f>
      </c>
      <c r="I190" s="17" t="s">
        <v>41</v>
      </c>
      <c r="J190" s="19">
        <f>ROUND(68*1,0)&amp;"%"</f>
      </c>
    </row>
    <row x14ac:dyDescent="0.25" r="191" customHeight="1" ht="17.25">
      <c r="A191" s="20" t="s">
        <v>10209</v>
      </c>
      <c r="B191" s="20" t="s">
        <v>324</v>
      </c>
      <c r="C191" s="20" t="s">
        <v>56</v>
      </c>
      <c r="D191" s="20" t="s">
        <v>67</v>
      </c>
      <c r="E191" s="21">
        <f>ROUND(6165*1.05,2)</f>
      </c>
      <c r="F191" s="20" t="s">
        <v>44</v>
      </c>
      <c r="G191" s="20" t="s">
        <v>30</v>
      </c>
      <c r="H191" s="22">
        <f>ROUND(RAND()*4+6,1)</f>
      </c>
      <c r="I191" s="20" t="s">
        <v>45</v>
      </c>
      <c r="J191" s="23">
        <f>ROUND(63*1,0)&amp;"%"</f>
      </c>
    </row>
    <row x14ac:dyDescent="0.25" r="192" customHeight="1" ht="17.25">
      <c r="A192" s="17" t="s">
        <v>10210</v>
      </c>
      <c r="B192" s="17" t="s">
        <v>326</v>
      </c>
      <c r="C192" s="17" t="s">
        <v>56</v>
      </c>
      <c r="D192" s="17" t="s">
        <v>16</v>
      </c>
      <c r="E192" s="18">
        <f>ROUND(17799*1.05,2)</f>
      </c>
      <c r="F192" s="17" t="s">
        <v>48</v>
      </c>
      <c r="G192" s="17" t="s">
        <v>18</v>
      </c>
      <c r="H192" s="18">
        <f>ROUND(RAND()*4+6,1)</f>
      </c>
      <c r="I192" s="17" t="s">
        <v>19</v>
      </c>
      <c r="J192" s="19">
        <f>ROUND(95*1,0)&amp;"%"</f>
      </c>
    </row>
    <row x14ac:dyDescent="0.25" r="193" customHeight="1" ht="17.25">
      <c r="A193" s="20" t="s">
        <v>10211</v>
      </c>
      <c r="B193" s="20" t="s">
        <v>328</v>
      </c>
      <c r="C193" s="20" t="s">
        <v>56</v>
      </c>
      <c r="D193" s="20" t="s">
        <v>22</v>
      </c>
      <c r="E193" s="21">
        <f>ROUND(5751*1.05,2)</f>
      </c>
      <c r="F193" s="20" t="s">
        <v>51</v>
      </c>
      <c r="G193" s="20" t="s">
        <v>24</v>
      </c>
      <c r="H193" s="21">
        <f>ROUND(RAND()*4+6,1)</f>
      </c>
      <c r="I193" s="20" t="s">
        <v>25</v>
      </c>
      <c r="J193" s="23">
        <f>ROUND(61*1,0)&amp;"%"</f>
      </c>
    </row>
    <row x14ac:dyDescent="0.25" r="194" customHeight="1" ht="17.25">
      <c r="A194" s="24" t="s">
        <v>329</v>
      </c>
      <c r="B194" s="24"/>
      <c r="C194" s="24"/>
      <c r="D194" s="24"/>
      <c r="E194" s="25">
        <v>8</v>
      </c>
      <c r="F194" s="9"/>
      <c r="G194" s="9"/>
      <c r="H194" s="10"/>
      <c r="I194" s="9"/>
      <c r="J194" s="9"/>
    </row>
    <row x14ac:dyDescent="0.25" r="195" customHeight="1" ht="17.25">
      <c r="A195" s="7"/>
      <c r="B195" s="7"/>
      <c r="C195" s="7"/>
      <c r="D195" s="7"/>
      <c r="E195" s="8"/>
      <c r="F195" s="9"/>
      <c r="G195" s="9"/>
      <c r="H195" s="10"/>
      <c r="I195" s="9"/>
      <c r="J195" s="9"/>
    </row>
    <row x14ac:dyDescent="0.25" r="196" customHeight="1" ht="17.25">
      <c r="A196" s="11" t="s">
        <v>10212</v>
      </c>
      <c r="B196" s="11"/>
      <c r="C196" s="11"/>
      <c r="D196" s="11"/>
      <c r="E196" s="12"/>
      <c r="F196" s="11"/>
      <c r="G196" s="11"/>
      <c r="H196" s="13"/>
      <c r="I196" s="11"/>
      <c r="J196" s="11"/>
    </row>
    <row x14ac:dyDescent="0.25" r="197" customHeight="1" ht="17.25">
      <c r="A197" s="14" t="s">
        <v>3</v>
      </c>
      <c r="B197" s="14" t="s">
        <v>4</v>
      </c>
      <c r="C197" s="14" t="s">
        <v>5</v>
      </c>
      <c r="D197" s="14" t="s">
        <v>6</v>
      </c>
      <c r="E197" s="15" t="s">
        <v>7</v>
      </c>
      <c r="F197" s="14" t="s">
        <v>8</v>
      </c>
      <c r="G197" s="14" t="s">
        <v>9</v>
      </c>
      <c r="H197" s="16" t="s">
        <v>10</v>
      </c>
      <c r="I197" s="14" t="s">
        <v>11</v>
      </c>
      <c r="J197" s="14" t="s">
        <v>12</v>
      </c>
    </row>
    <row x14ac:dyDescent="0.25" r="198" customHeight="1" ht="17.25">
      <c r="A198" s="17" t="s">
        <v>10213</v>
      </c>
      <c r="B198" s="17" t="s">
        <v>332</v>
      </c>
      <c r="C198" s="17" t="s">
        <v>76</v>
      </c>
      <c r="D198" s="17" t="s">
        <v>16</v>
      </c>
      <c r="E198" s="18">
        <f>ROUND(7234*1.05,2)</f>
      </c>
      <c r="F198" s="17" t="s">
        <v>17</v>
      </c>
      <c r="G198" s="17" t="s">
        <v>18</v>
      </c>
      <c r="H198" s="18">
        <f>ROUND(RAND()*4+6,1)</f>
      </c>
      <c r="I198" s="17" t="s">
        <v>19</v>
      </c>
      <c r="J198" s="19">
        <f>ROUND(81*1,0)&amp;"%"</f>
      </c>
    </row>
    <row x14ac:dyDescent="0.25" r="199" customHeight="1" ht="17.25">
      <c r="A199" s="20" t="s">
        <v>10214</v>
      </c>
      <c r="B199" s="20" t="s">
        <v>334</v>
      </c>
      <c r="C199" s="20" t="s">
        <v>76</v>
      </c>
      <c r="D199" s="20" t="s">
        <v>22</v>
      </c>
      <c r="E199" s="21">
        <f>ROUND(12824*1.05,2)</f>
      </c>
      <c r="F199" s="20" t="s">
        <v>23</v>
      </c>
      <c r="G199" s="20" t="s">
        <v>24</v>
      </c>
      <c r="H199" s="21">
        <f>ROUND(RAND()*4+6,1)</f>
      </c>
      <c r="I199" s="20" t="s">
        <v>25</v>
      </c>
      <c r="J199" s="23">
        <f>ROUND(68*1,0)&amp;"%"</f>
      </c>
    </row>
    <row x14ac:dyDescent="0.25" r="200" customHeight="1" ht="17.25">
      <c r="A200" s="17" t="s">
        <v>10215</v>
      </c>
      <c r="B200" s="17" t="s">
        <v>336</v>
      </c>
      <c r="C200" s="17" t="s">
        <v>76</v>
      </c>
      <c r="D200" s="17" t="s">
        <v>28</v>
      </c>
      <c r="E200" s="18">
        <f>ROUND(10538*1.05,2)</f>
      </c>
      <c r="F200" s="17" t="s">
        <v>29</v>
      </c>
      <c r="G200" s="17" t="s">
        <v>30</v>
      </c>
      <c r="H200" s="18">
        <f>ROUND(RAND()*4+6,1)</f>
      </c>
      <c r="I200" s="17" t="s">
        <v>31</v>
      </c>
      <c r="J200" s="19">
        <f>ROUND(75*1,0)&amp;"%"</f>
      </c>
    </row>
    <row x14ac:dyDescent="0.25" r="201" customHeight="1" ht="17.25">
      <c r="A201" s="20" t="s">
        <v>10216</v>
      </c>
      <c r="B201" s="20" t="s">
        <v>338</v>
      </c>
      <c r="C201" s="20" t="s">
        <v>76</v>
      </c>
      <c r="D201" s="20" t="s">
        <v>34</v>
      </c>
      <c r="E201" s="21">
        <f>ROUND(12516*1.05,2)</f>
      </c>
      <c r="F201" s="20" t="s">
        <v>35</v>
      </c>
      <c r="G201" s="20" t="s">
        <v>18</v>
      </c>
      <c r="H201" s="21">
        <f>ROUND(RAND()*4+6,1)</f>
      </c>
      <c r="I201" s="20" t="s">
        <v>36</v>
      </c>
      <c r="J201" s="23">
        <f>ROUND(90*1,0)&amp;"%"</f>
      </c>
    </row>
    <row x14ac:dyDescent="0.25" r="202" customHeight="1" ht="17.25">
      <c r="A202" s="17" t="s">
        <v>10217</v>
      </c>
      <c r="B202" s="17" t="s">
        <v>340</v>
      </c>
      <c r="C202" s="17" t="s">
        <v>76</v>
      </c>
      <c r="D202" s="17" t="s">
        <v>39</v>
      </c>
      <c r="E202" s="18">
        <f>ROUND(12231*1.05,2)</f>
      </c>
      <c r="F202" s="17" t="s">
        <v>40</v>
      </c>
      <c r="G202" s="17" t="s">
        <v>24</v>
      </c>
      <c r="H202" s="18">
        <f>ROUND(RAND()*4+6,1)</f>
      </c>
      <c r="I202" s="17" t="s">
        <v>41</v>
      </c>
      <c r="J202" s="19">
        <f>ROUND(86*1,0)&amp;"%"</f>
      </c>
    </row>
    <row x14ac:dyDescent="0.25" r="203" customHeight="1" ht="17.25">
      <c r="A203" s="20" t="s">
        <v>10218</v>
      </c>
      <c r="B203" s="20" t="s">
        <v>342</v>
      </c>
      <c r="C203" s="20" t="s">
        <v>76</v>
      </c>
      <c r="D203" s="20" t="s">
        <v>67</v>
      </c>
      <c r="E203" s="21">
        <f>ROUND(14957*1.05,2)</f>
      </c>
      <c r="F203" s="20" t="s">
        <v>44</v>
      </c>
      <c r="G203" s="20" t="s">
        <v>30</v>
      </c>
      <c r="H203" s="21">
        <f>ROUND(RAND()*4+6,1)</f>
      </c>
      <c r="I203" s="20" t="s">
        <v>45</v>
      </c>
      <c r="J203" s="23">
        <f>ROUND(98*1,0)&amp;"%"</f>
      </c>
    </row>
    <row x14ac:dyDescent="0.25" r="204" customHeight="1" ht="17.25">
      <c r="A204" s="17" t="s">
        <v>10219</v>
      </c>
      <c r="B204" s="17" t="s">
        <v>344</v>
      </c>
      <c r="C204" s="17" t="s">
        <v>76</v>
      </c>
      <c r="D204" s="17" t="s">
        <v>16</v>
      </c>
      <c r="E204" s="18">
        <f>ROUND(7390*1.05,2)</f>
      </c>
      <c r="F204" s="17" t="s">
        <v>48</v>
      </c>
      <c r="G204" s="17" t="s">
        <v>18</v>
      </c>
      <c r="H204" s="18">
        <f>ROUND(RAND()*4+6,1)</f>
      </c>
      <c r="I204" s="17" t="s">
        <v>19</v>
      </c>
      <c r="J204" s="19">
        <f>ROUND(82*1,0)&amp;"%"</f>
      </c>
    </row>
    <row x14ac:dyDescent="0.25" r="205" customHeight="1" ht="17.25">
      <c r="A205" s="20" t="s">
        <v>10220</v>
      </c>
      <c r="B205" s="20" t="s">
        <v>346</v>
      </c>
      <c r="C205" s="20" t="s">
        <v>76</v>
      </c>
      <c r="D205" s="20" t="s">
        <v>22</v>
      </c>
      <c r="E205" s="21">
        <f>ROUND(12256*1.05,2)</f>
      </c>
      <c r="F205" s="20" t="s">
        <v>51</v>
      </c>
      <c r="G205" s="20" t="s">
        <v>24</v>
      </c>
      <c r="H205" s="21">
        <f>ROUND(RAND()*4+6,1)</f>
      </c>
      <c r="I205" s="20" t="s">
        <v>25</v>
      </c>
      <c r="J205" s="23">
        <f>ROUND(70*1,0)&amp;"%"</f>
      </c>
    </row>
    <row x14ac:dyDescent="0.25" r="206" customHeight="1" ht="17.25">
      <c r="A206" s="24" t="s">
        <v>347</v>
      </c>
      <c r="B206" s="24"/>
      <c r="C206" s="24"/>
      <c r="D206" s="24"/>
      <c r="E206" s="25">
        <v>8</v>
      </c>
      <c r="F206" s="9"/>
      <c r="G206" s="9"/>
      <c r="H206" s="10"/>
      <c r="I206" s="9"/>
      <c r="J206" s="9"/>
    </row>
    <row x14ac:dyDescent="0.25" r="207" customHeight="1" ht="17.25">
      <c r="A207" s="7"/>
      <c r="B207" s="7"/>
      <c r="C207" s="7"/>
      <c r="D207" s="7"/>
      <c r="E207" s="8"/>
      <c r="F207" s="9"/>
      <c r="G207" s="9"/>
      <c r="H207" s="10"/>
      <c r="I207" s="9"/>
      <c r="J207" s="9"/>
    </row>
    <row x14ac:dyDescent="0.25" r="208" customHeight="1" ht="17.25">
      <c r="A208" s="11" t="s">
        <v>10221</v>
      </c>
      <c r="B208" s="11"/>
      <c r="C208" s="11"/>
      <c r="D208" s="11"/>
      <c r="E208" s="12"/>
      <c r="F208" s="11"/>
      <c r="G208" s="11"/>
      <c r="H208" s="13"/>
      <c r="I208" s="11"/>
      <c r="J208" s="11"/>
    </row>
    <row x14ac:dyDescent="0.25" r="209" customHeight="1" ht="17.25">
      <c r="A209" s="14" t="s">
        <v>3</v>
      </c>
      <c r="B209" s="14" t="s">
        <v>4</v>
      </c>
      <c r="C209" s="14" t="s">
        <v>5</v>
      </c>
      <c r="D209" s="14" t="s">
        <v>6</v>
      </c>
      <c r="E209" s="15" t="s">
        <v>7</v>
      </c>
      <c r="F209" s="14" t="s">
        <v>8</v>
      </c>
      <c r="G209" s="14" t="s">
        <v>9</v>
      </c>
      <c r="H209" s="16" t="s">
        <v>10</v>
      </c>
      <c r="I209" s="14" t="s">
        <v>11</v>
      </c>
      <c r="J209" s="14" t="s">
        <v>12</v>
      </c>
    </row>
    <row x14ac:dyDescent="0.25" r="210" customHeight="1" ht="17.25">
      <c r="A210" s="17" t="s">
        <v>10222</v>
      </c>
      <c r="B210" s="17" t="s">
        <v>350</v>
      </c>
      <c r="C210" s="17" t="s">
        <v>95</v>
      </c>
      <c r="D210" s="17" t="s">
        <v>16</v>
      </c>
      <c r="E210" s="18">
        <f>ROUND(5354*1.05,2)</f>
      </c>
      <c r="F210" s="17" t="s">
        <v>17</v>
      </c>
      <c r="G210" s="17" t="s">
        <v>18</v>
      </c>
      <c r="H210" s="18">
        <f>ROUND(RAND()*4+6,1)</f>
      </c>
      <c r="I210" s="17" t="s">
        <v>19</v>
      </c>
      <c r="J210" s="19">
        <f>ROUND(98*1,0)&amp;"%"</f>
      </c>
    </row>
    <row x14ac:dyDescent="0.25" r="211" customHeight="1" ht="17.25">
      <c r="A211" s="20" t="s">
        <v>10223</v>
      </c>
      <c r="B211" s="20" t="s">
        <v>352</v>
      </c>
      <c r="C211" s="20" t="s">
        <v>95</v>
      </c>
      <c r="D211" s="20" t="s">
        <v>22</v>
      </c>
      <c r="E211" s="21">
        <f>ROUND(5534*1.05,2)</f>
      </c>
      <c r="F211" s="20" t="s">
        <v>23</v>
      </c>
      <c r="G211" s="20" t="s">
        <v>24</v>
      </c>
      <c r="H211" s="21">
        <f>ROUND(RAND()*4+6,1)</f>
      </c>
      <c r="I211" s="20" t="s">
        <v>25</v>
      </c>
      <c r="J211" s="23">
        <f>ROUND(61*1,0)&amp;"%"</f>
      </c>
    </row>
    <row x14ac:dyDescent="0.25" r="212" customHeight="1" ht="17.25">
      <c r="A212" s="17" t="s">
        <v>10224</v>
      </c>
      <c r="B212" s="17" t="s">
        <v>354</v>
      </c>
      <c r="C212" s="17" t="s">
        <v>95</v>
      </c>
      <c r="D212" s="17" t="s">
        <v>28</v>
      </c>
      <c r="E212" s="18">
        <f>ROUND(12994*1.05,2)</f>
      </c>
      <c r="F212" s="17" t="s">
        <v>29</v>
      </c>
      <c r="G212" s="17" t="s">
        <v>30</v>
      </c>
      <c r="H212" s="18">
        <f>ROUND(RAND()*4+6,1)</f>
      </c>
      <c r="I212" s="17" t="s">
        <v>31</v>
      </c>
      <c r="J212" s="19">
        <f>ROUND(89*1,0)&amp;"%"</f>
      </c>
    </row>
    <row x14ac:dyDescent="0.25" r="213" customHeight="1" ht="17.25">
      <c r="A213" s="20" t="s">
        <v>10225</v>
      </c>
      <c r="B213" s="20" t="s">
        <v>356</v>
      </c>
      <c r="C213" s="20" t="s">
        <v>95</v>
      </c>
      <c r="D213" s="20" t="s">
        <v>34</v>
      </c>
      <c r="E213" s="21">
        <f>ROUND(11762*1.05,2)</f>
      </c>
      <c r="F213" s="20" t="s">
        <v>35</v>
      </c>
      <c r="G213" s="20" t="s">
        <v>18</v>
      </c>
      <c r="H213" s="21">
        <f>ROUND(RAND()*4+6,1)</f>
      </c>
      <c r="I213" s="20" t="s">
        <v>36</v>
      </c>
      <c r="J213" s="23">
        <f>ROUND(64*1,0)&amp;"%"</f>
      </c>
    </row>
    <row x14ac:dyDescent="0.25" r="214" customHeight="1" ht="17.25">
      <c r="A214" s="17" t="s">
        <v>10226</v>
      </c>
      <c r="B214" s="17" t="s">
        <v>358</v>
      </c>
      <c r="C214" s="17" t="s">
        <v>95</v>
      </c>
      <c r="D214" s="17" t="s">
        <v>39</v>
      </c>
      <c r="E214" s="18">
        <f>ROUND(8557*1.05,2)</f>
      </c>
      <c r="F214" s="17" t="s">
        <v>40</v>
      </c>
      <c r="G214" s="17" t="s">
        <v>24</v>
      </c>
      <c r="H214" s="26">
        <f>ROUND(RAND()*4+6,1)</f>
      </c>
      <c r="I214" s="17" t="s">
        <v>41</v>
      </c>
      <c r="J214" s="19">
        <f>ROUND(73*1,0)&amp;"%"</f>
      </c>
    </row>
    <row x14ac:dyDescent="0.25" r="215" customHeight="1" ht="17.25">
      <c r="A215" s="20" t="s">
        <v>10227</v>
      </c>
      <c r="B215" s="20" t="s">
        <v>360</v>
      </c>
      <c r="C215" s="20" t="s">
        <v>95</v>
      </c>
      <c r="D215" s="20" t="s">
        <v>67</v>
      </c>
      <c r="E215" s="21">
        <f>ROUND(14864*1.05,2)</f>
      </c>
      <c r="F215" s="20" t="s">
        <v>44</v>
      </c>
      <c r="G215" s="20" t="s">
        <v>30</v>
      </c>
      <c r="H215" s="21">
        <f>ROUND(RAND()*4+6,1)</f>
      </c>
      <c r="I215" s="20" t="s">
        <v>45</v>
      </c>
      <c r="J215" s="23">
        <f>ROUND(77*1,0)&amp;"%"</f>
      </c>
    </row>
    <row x14ac:dyDescent="0.25" r="216" customHeight="1" ht="17.25">
      <c r="A216" s="17" t="s">
        <v>10228</v>
      </c>
      <c r="B216" s="17" t="s">
        <v>362</v>
      </c>
      <c r="C216" s="17" t="s">
        <v>95</v>
      </c>
      <c r="D216" s="17" t="s">
        <v>16</v>
      </c>
      <c r="E216" s="18">
        <f>ROUND(17878*1.05,2)</f>
      </c>
      <c r="F216" s="17" t="s">
        <v>48</v>
      </c>
      <c r="G216" s="17" t="s">
        <v>18</v>
      </c>
      <c r="H216" s="18">
        <f>ROUND(RAND()*4+6,1)</f>
      </c>
      <c r="I216" s="17" t="s">
        <v>19</v>
      </c>
      <c r="J216" s="19">
        <f>ROUND(92*1,0)&amp;"%"</f>
      </c>
    </row>
    <row x14ac:dyDescent="0.25" r="217" customHeight="1" ht="17.25">
      <c r="A217" s="20" t="s">
        <v>10229</v>
      </c>
      <c r="B217" s="20" t="s">
        <v>364</v>
      </c>
      <c r="C217" s="20" t="s">
        <v>95</v>
      </c>
      <c r="D217" s="20" t="s">
        <v>22</v>
      </c>
      <c r="E217" s="21">
        <f>ROUND(17574*1.05,2)</f>
      </c>
      <c r="F217" s="20" t="s">
        <v>51</v>
      </c>
      <c r="G217" s="20" t="s">
        <v>24</v>
      </c>
      <c r="H217" s="21">
        <f>ROUND(RAND()*4+6,1)</f>
      </c>
      <c r="I217" s="20" t="s">
        <v>25</v>
      </c>
      <c r="J217" s="23">
        <f>ROUND(73*1,0)&amp;"%"</f>
      </c>
    </row>
    <row x14ac:dyDescent="0.25" r="218" customHeight="1" ht="17.25">
      <c r="A218" s="24" t="s">
        <v>365</v>
      </c>
      <c r="B218" s="24"/>
      <c r="C218" s="24"/>
      <c r="D218" s="24"/>
      <c r="E218" s="25">
        <v>8</v>
      </c>
      <c r="F218" s="9"/>
      <c r="G218" s="9"/>
      <c r="H218" s="10"/>
      <c r="I218" s="9"/>
      <c r="J218" s="9"/>
    </row>
    <row x14ac:dyDescent="0.25" r="219" customHeight="1" ht="17.25">
      <c r="A219" s="7"/>
      <c r="B219" s="7"/>
      <c r="C219" s="7"/>
      <c r="D219" s="7"/>
      <c r="E219" s="8"/>
      <c r="F219" s="9"/>
      <c r="G219" s="9"/>
      <c r="H219" s="10"/>
      <c r="I219" s="9"/>
      <c r="J219" s="9"/>
    </row>
    <row x14ac:dyDescent="0.25" r="220" customHeight="1" ht="17.25">
      <c r="A220" s="11" t="s">
        <v>10230</v>
      </c>
      <c r="B220" s="11"/>
      <c r="C220" s="11"/>
      <c r="D220" s="11"/>
      <c r="E220" s="12"/>
      <c r="F220" s="11"/>
      <c r="G220" s="11"/>
      <c r="H220" s="13"/>
      <c r="I220" s="11"/>
      <c r="J220" s="11"/>
    </row>
    <row x14ac:dyDescent="0.25" r="221" customHeight="1" ht="17.25">
      <c r="A221" s="14" t="s">
        <v>3</v>
      </c>
      <c r="B221" s="14" t="s">
        <v>4</v>
      </c>
      <c r="C221" s="14" t="s">
        <v>5</v>
      </c>
      <c r="D221" s="14" t="s">
        <v>6</v>
      </c>
      <c r="E221" s="15" t="s">
        <v>7</v>
      </c>
      <c r="F221" s="14" t="s">
        <v>8</v>
      </c>
      <c r="G221" s="14" t="s">
        <v>9</v>
      </c>
      <c r="H221" s="16" t="s">
        <v>10</v>
      </c>
      <c r="I221" s="14" t="s">
        <v>11</v>
      </c>
      <c r="J221" s="14" t="s">
        <v>12</v>
      </c>
    </row>
    <row x14ac:dyDescent="0.25" r="222" customHeight="1" ht="17.25">
      <c r="A222" s="17" t="s">
        <v>10231</v>
      </c>
      <c r="B222" s="17" t="s">
        <v>368</v>
      </c>
      <c r="C222" s="17" t="s">
        <v>114</v>
      </c>
      <c r="D222" s="17" t="s">
        <v>16</v>
      </c>
      <c r="E222" s="18">
        <f>ROUND(14154*1.05,2)</f>
      </c>
      <c r="F222" s="17" t="s">
        <v>17</v>
      </c>
      <c r="G222" s="17" t="s">
        <v>18</v>
      </c>
      <c r="H222" s="18">
        <f>ROUND(RAND()*4+6,1)</f>
      </c>
      <c r="I222" s="17" t="s">
        <v>19</v>
      </c>
      <c r="J222" s="19">
        <f>ROUND(95*1,0)&amp;"%"</f>
      </c>
    </row>
    <row x14ac:dyDescent="0.25" r="223" customHeight="1" ht="17.25">
      <c r="A223" s="20" t="s">
        <v>10232</v>
      </c>
      <c r="B223" s="20" t="s">
        <v>370</v>
      </c>
      <c r="C223" s="20" t="s">
        <v>114</v>
      </c>
      <c r="D223" s="20" t="s">
        <v>22</v>
      </c>
      <c r="E223" s="21">
        <f>ROUND(14411*1.05,2)</f>
      </c>
      <c r="F223" s="20" t="s">
        <v>23</v>
      </c>
      <c r="G223" s="20" t="s">
        <v>24</v>
      </c>
      <c r="H223" s="21">
        <f>ROUND(RAND()*4+6,1)</f>
      </c>
      <c r="I223" s="20" t="s">
        <v>25</v>
      </c>
      <c r="J223" s="23">
        <f>ROUND(97*1,0)&amp;"%"</f>
      </c>
    </row>
    <row x14ac:dyDescent="0.25" r="224" customHeight="1" ht="17.25">
      <c r="A224" s="17" t="s">
        <v>10233</v>
      </c>
      <c r="B224" s="17" t="s">
        <v>372</v>
      </c>
      <c r="C224" s="17" t="s">
        <v>114</v>
      </c>
      <c r="D224" s="17" t="s">
        <v>28</v>
      </c>
      <c r="E224" s="18">
        <f>ROUND(16539*1.05,2)</f>
      </c>
      <c r="F224" s="17" t="s">
        <v>29</v>
      </c>
      <c r="G224" s="17" t="s">
        <v>30</v>
      </c>
      <c r="H224" s="18">
        <f>ROUND(RAND()*4+6,1)</f>
      </c>
      <c r="I224" s="17" t="s">
        <v>31</v>
      </c>
      <c r="J224" s="19">
        <f>ROUND(79*1,0)&amp;"%"</f>
      </c>
    </row>
    <row x14ac:dyDescent="0.25" r="225" customHeight="1" ht="17.25">
      <c r="A225" s="20" t="s">
        <v>10234</v>
      </c>
      <c r="B225" s="20" t="s">
        <v>374</v>
      </c>
      <c r="C225" s="20" t="s">
        <v>114</v>
      </c>
      <c r="D225" s="20" t="s">
        <v>34</v>
      </c>
      <c r="E225" s="21">
        <f>ROUND(4406*1.05,2)</f>
      </c>
      <c r="F225" s="20" t="s">
        <v>35</v>
      </c>
      <c r="G225" s="20" t="s">
        <v>18</v>
      </c>
      <c r="H225" s="21">
        <f>ROUND(RAND()*4+6,1)</f>
      </c>
      <c r="I225" s="20" t="s">
        <v>36</v>
      </c>
      <c r="J225" s="23">
        <f>ROUND(95*1,0)&amp;"%"</f>
      </c>
    </row>
    <row x14ac:dyDescent="0.25" r="226" customHeight="1" ht="17.25">
      <c r="A226" s="17" t="s">
        <v>10235</v>
      </c>
      <c r="B226" s="17" t="s">
        <v>376</v>
      </c>
      <c r="C226" s="17" t="s">
        <v>114</v>
      </c>
      <c r="D226" s="17" t="s">
        <v>39</v>
      </c>
      <c r="E226" s="18">
        <f>ROUND(5985*1.05,2)</f>
      </c>
      <c r="F226" s="17" t="s">
        <v>40</v>
      </c>
      <c r="G226" s="17" t="s">
        <v>24</v>
      </c>
      <c r="H226" s="26">
        <f>ROUND(RAND()*4+6,1)</f>
      </c>
      <c r="I226" s="17" t="s">
        <v>41</v>
      </c>
      <c r="J226" s="19">
        <f>ROUND(84*1,0)&amp;"%"</f>
      </c>
    </row>
    <row x14ac:dyDescent="0.25" r="227" customHeight="1" ht="17.25">
      <c r="A227" s="20" t="s">
        <v>10236</v>
      </c>
      <c r="B227" s="20" t="s">
        <v>378</v>
      </c>
      <c r="C227" s="20" t="s">
        <v>114</v>
      </c>
      <c r="D227" s="20" t="s">
        <v>67</v>
      </c>
      <c r="E227" s="21">
        <f>ROUND(9317*1.05,2)</f>
      </c>
      <c r="F227" s="20" t="s">
        <v>44</v>
      </c>
      <c r="G227" s="20" t="s">
        <v>30</v>
      </c>
      <c r="H227" s="21">
        <f>ROUND(RAND()*4+6,1)</f>
      </c>
      <c r="I227" s="20" t="s">
        <v>45</v>
      </c>
      <c r="J227" s="23">
        <f>ROUND(100*1,0)&amp;"%"</f>
      </c>
    </row>
    <row x14ac:dyDescent="0.25" r="228" customHeight="1" ht="17.25">
      <c r="A228" s="17" t="s">
        <v>10237</v>
      </c>
      <c r="B228" s="17" t="s">
        <v>380</v>
      </c>
      <c r="C228" s="17" t="s">
        <v>114</v>
      </c>
      <c r="D228" s="17" t="s">
        <v>16</v>
      </c>
      <c r="E228" s="18">
        <f>ROUND(11086*1.05,2)</f>
      </c>
      <c r="F228" s="17" t="s">
        <v>48</v>
      </c>
      <c r="G228" s="17" t="s">
        <v>18</v>
      </c>
      <c r="H228" s="18">
        <f>ROUND(RAND()*4+6,1)</f>
      </c>
      <c r="I228" s="17" t="s">
        <v>19</v>
      </c>
      <c r="J228" s="19">
        <f>ROUND(100*1,0)&amp;"%"</f>
      </c>
    </row>
    <row x14ac:dyDescent="0.25" r="229" customHeight="1" ht="17.25">
      <c r="A229" s="20" t="s">
        <v>10238</v>
      </c>
      <c r="B229" s="20" t="s">
        <v>382</v>
      </c>
      <c r="C229" s="20" t="s">
        <v>114</v>
      </c>
      <c r="D229" s="20" t="s">
        <v>22</v>
      </c>
      <c r="E229" s="21">
        <f>ROUND(10758*1.05,2)</f>
      </c>
      <c r="F229" s="20" t="s">
        <v>51</v>
      </c>
      <c r="G229" s="20" t="s">
        <v>24</v>
      </c>
      <c r="H229" s="21">
        <f>ROUND(RAND()*4+6,1)</f>
      </c>
      <c r="I229" s="20" t="s">
        <v>25</v>
      </c>
      <c r="J229" s="23">
        <f>ROUND(74*1,0)&amp;"%"</f>
      </c>
    </row>
    <row x14ac:dyDescent="0.25" r="230" customHeight="1" ht="17.25">
      <c r="A230" s="24" t="s">
        <v>383</v>
      </c>
      <c r="B230" s="24"/>
      <c r="C230" s="24"/>
      <c r="D230" s="24"/>
      <c r="E230" s="25">
        <v>8</v>
      </c>
      <c r="F230" s="9"/>
      <c r="G230" s="9"/>
      <c r="H230" s="10"/>
      <c r="I230" s="9"/>
      <c r="J230" s="9"/>
    </row>
    <row x14ac:dyDescent="0.25" r="231" customHeight="1" ht="17.25">
      <c r="A231" s="7"/>
      <c r="B231" s="7"/>
      <c r="C231" s="7"/>
      <c r="D231" s="7"/>
      <c r="E231" s="8"/>
      <c r="F231" s="9"/>
      <c r="G231" s="9"/>
      <c r="H231" s="10"/>
      <c r="I231" s="9"/>
      <c r="J231" s="9"/>
    </row>
    <row x14ac:dyDescent="0.25" r="232" customHeight="1" ht="17.25">
      <c r="A232" s="11" t="s">
        <v>10239</v>
      </c>
      <c r="B232" s="11"/>
      <c r="C232" s="11"/>
      <c r="D232" s="11"/>
      <c r="E232" s="12"/>
      <c r="F232" s="11"/>
      <c r="G232" s="11"/>
      <c r="H232" s="13"/>
      <c r="I232" s="11"/>
      <c r="J232" s="11"/>
    </row>
    <row x14ac:dyDescent="0.25" r="233" customHeight="1" ht="17.25">
      <c r="A233" s="14" t="s">
        <v>3</v>
      </c>
      <c r="B233" s="14" t="s">
        <v>4</v>
      </c>
      <c r="C233" s="14" t="s">
        <v>5</v>
      </c>
      <c r="D233" s="14" t="s">
        <v>6</v>
      </c>
      <c r="E233" s="15" t="s">
        <v>7</v>
      </c>
      <c r="F233" s="14" t="s">
        <v>8</v>
      </c>
      <c r="G233" s="14" t="s">
        <v>9</v>
      </c>
      <c r="H233" s="16" t="s">
        <v>10</v>
      </c>
      <c r="I233" s="14" t="s">
        <v>11</v>
      </c>
      <c r="J233" s="14" t="s">
        <v>12</v>
      </c>
    </row>
    <row x14ac:dyDescent="0.25" r="234" customHeight="1" ht="17.25">
      <c r="A234" s="17" t="s">
        <v>10240</v>
      </c>
      <c r="B234" s="17" t="s">
        <v>386</v>
      </c>
      <c r="C234" s="17" t="s">
        <v>133</v>
      </c>
      <c r="D234" s="17" t="s">
        <v>16</v>
      </c>
      <c r="E234" s="18">
        <f>ROUND(13557*1.05,2)</f>
      </c>
      <c r="F234" s="17" t="s">
        <v>17</v>
      </c>
      <c r="G234" s="17" t="s">
        <v>18</v>
      </c>
      <c r="H234" s="18">
        <f>ROUND(RAND()*4+6,1)</f>
      </c>
      <c r="I234" s="17" t="s">
        <v>19</v>
      </c>
      <c r="J234" s="19">
        <f>ROUND(92*1,0)&amp;"%"</f>
      </c>
    </row>
    <row x14ac:dyDescent="0.25" r="235" customHeight="1" ht="17.25">
      <c r="A235" s="20" t="s">
        <v>10241</v>
      </c>
      <c r="B235" s="20" t="s">
        <v>388</v>
      </c>
      <c r="C235" s="20" t="s">
        <v>133</v>
      </c>
      <c r="D235" s="20" t="s">
        <v>22</v>
      </c>
      <c r="E235" s="21">
        <f>ROUND(7553*1.05,2)</f>
      </c>
      <c r="F235" s="20" t="s">
        <v>23</v>
      </c>
      <c r="G235" s="20" t="s">
        <v>24</v>
      </c>
      <c r="H235" s="21">
        <f>ROUND(RAND()*4+6,1)</f>
      </c>
      <c r="I235" s="20" t="s">
        <v>25</v>
      </c>
      <c r="J235" s="23">
        <f>ROUND(84*1,0)&amp;"%"</f>
      </c>
    </row>
    <row x14ac:dyDescent="0.25" r="236" customHeight="1" ht="17.25">
      <c r="A236" s="17" t="s">
        <v>10242</v>
      </c>
      <c r="B236" s="17" t="s">
        <v>390</v>
      </c>
      <c r="C236" s="17" t="s">
        <v>133</v>
      </c>
      <c r="D236" s="17" t="s">
        <v>28</v>
      </c>
      <c r="E236" s="18">
        <f>ROUND(16955*1.05,2)</f>
      </c>
      <c r="F236" s="17" t="s">
        <v>29</v>
      </c>
      <c r="G236" s="17" t="s">
        <v>30</v>
      </c>
      <c r="H236" s="18">
        <f>ROUND(RAND()*4+6,1)</f>
      </c>
      <c r="I236" s="17" t="s">
        <v>31</v>
      </c>
      <c r="J236" s="19">
        <f>ROUND(62*1,0)&amp;"%"</f>
      </c>
    </row>
    <row x14ac:dyDescent="0.25" r="237" customHeight="1" ht="17.25">
      <c r="A237" s="20" t="s">
        <v>10243</v>
      </c>
      <c r="B237" s="20" t="s">
        <v>392</v>
      </c>
      <c r="C237" s="20" t="s">
        <v>133</v>
      </c>
      <c r="D237" s="20" t="s">
        <v>34</v>
      </c>
      <c r="E237" s="21">
        <f>ROUND(14385*1.05,2)</f>
      </c>
      <c r="F237" s="20" t="s">
        <v>35</v>
      </c>
      <c r="G237" s="20" t="s">
        <v>18</v>
      </c>
      <c r="H237" s="21">
        <f>ROUND(RAND()*4+6,1)</f>
      </c>
      <c r="I237" s="20" t="s">
        <v>36</v>
      </c>
      <c r="J237" s="23">
        <f>ROUND(73*1,0)&amp;"%"</f>
      </c>
    </row>
    <row x14ac:dyDescent="0.25" r="238" customHeight="1" ht="17.25">
      <c r="A238" s="17" t="s">
        <v>10244</v>
      </c>
      <c r="B238" s="17" t="s">
        <v>394</v>
      </c>
      <c r="C238" s="17" t="s">
        <v>133</v>
      </c>
      <c r="D238" s="17" t="s">
        <v>39</v>
      </c>
      <c r="E238" s="18">
        <f>ROUND(15804*1.05,2)</f>
      </c>
      <c r="F238" s="17" t="s">
        <v>40</v>
      </c>
      <c r="G238" s="17" t="s">
        <v>24</v>
      </c>
      <c r="H238" s="18">
        <f>ROUND(RAND()*4+6,1)</f>
      </c>
      <c r="I238" s="17" t="s">
        <v>41</v>
      </c>
      <c r="J238" s="19">
        <f>ROUND(83*1,0)&amp;"%"</f>
      </c>
    </row>
    <row x14ac:dyDescent="0.25" r="239" customHeight="1" ht="17.25">
      <c r="A239" s="20" t="s">
        <v>10245</v>
      </c>
      <c r="B239" s="20" t="s">
        <v>396</v>
      </c>
      <c r="C239" s="20" t="s">
        <v>133</v>
      </c>
      <c r="D239" s="20" t="s">
        <v>67</v>
      </c>
      <c r="E239" s="21">
        <f>ROUND(9224*1.05,2)</f>
      </c>
      <c r="F239" s="20" t="s">
        <v>44</v>
      </c>
      <c r="G239" s="20" t="s">
        <v>30</v>
      </c>
      <c r="H239" s="21">
        <f>ROUND(RAND()*4+6,1)</f>
      </c>
      <c r="I239" s="20" t="s">
        <v>45</v>
      </c>
      <c r="J239" s="23">
        <f>ROUND(67*1,0)&amp;"%"</f>
      </c>
    </row>
    <row x14ac:dyDescent="0.25" r="240" customHeight="1" ht="17.25">
      <c r="A240" s="17" t="s">
        <v>10246</v>
      </c>
      <c r="B240" s="17" t="s">
        <v>398</v>
      </c>
      <c r="C240" s="17" t="s">
        <v>133</v>
      </c>
      <c r="D240" s="17" t="s">
        <v>16</v>
      </c>
      <c r="E240" s="18">
        <f>ROUND(10547*1.05,2)</f>
      </c>
      <c r="F240" s="17" t="s">
        <v>48</v>
      </c>
      <c r="G240" s="17" t="s">
        <v>18</v>
      </c>
      <c r="H240" s="18">
        <f>ROUND(RAND()*4+6,1)</f>
      </c>
      <c r="I240" s="17" t="s">
        <v>19</v>
      </c>
      <c r="J240" s="19">
        <f>ROUND(97*1,0)&amp;"%"</f>
      </c>
    </row>
    <row x14ac:dyDescent="0.25" r="241" customHeight="1" ht="17.25">
      <c r="A241" s="20" t="s">
        <v>10247</v>
      </c>
      <c r="B241" s="20" t="s">
        <v>400</v>
      </c>
      <c r="C241" s="20" t="s">
        <v>133</v>
      </c>
      <c r="D241" s="20" t="s">
        <v>22</v>
      </c>
      <c r="E241" s="21">
        <f>ROUND(10628*1.05,2)</f>
      </c>
      <c r="F241" s="20" t="s">
        <v>51</v>
      </c>
      <c r="G241" s="20" t="s">
        <v>24</v>
      </c>
      <c r="H241" s="21">
        <f>ROUND(RAND()*4+6,1)</f>
      </c>
      <c r="I241" s="20" t="s">
        <v>25</v>
      </c>
      <c r="J241" s="23">
        <f>ROUND(65*1,0)&amp;"%"</f>
      </c>
    </row>
    <row x14ac:dyDescent="0.25" r="242" customHeight="1" ht="17.25">
      <c r="A242" s="24" t="s">
        <v>401</v>
      </c>
      <c r="B242" s="24"/>
      <c r="C242" s="24"/>
      <c r="D242" s="24"/>
      <c r="E242" s="25">
        <v>8</v>
      </c>
      <c r="F242" s="9"/>
      <c r="G242" s="9"/>
      <c r="H242" s="10"/>
      <c r="I242" s="9"/>
      <c r="J242" s="9"/>
    </row>
    <row x14ac:dyDescent="0.25" r="243" customHeight="1" ht="17.25">
      <c r="A243" s="7"/>
      <c r="B243" s="7"/>
      <c r="C243" s="7"/>
      <c r="D243" s="7"/>
      <c r="E243" s="8"/>
      <c r="F243" s="9"/>
      <c r="G243" s="9"/>
      <c r="H243" s="10"/>
      <c r="I243" s="9"/>
      <c r="J243" s="9"/>
    </row>
    <row x14ac:dyDescent="0.25" r="244" customHeight="1" ht="17.25">
      <c r="A244" s="11" t="s">
        <v>10248</v>
      </c>
      <c r="B244" s="11"/>
      <c r="C244" s="11"/>
      <c r="D244" s="11"/>
      <c r="E244" s="12"/>
      <c r="F244" s="11"/>
      <c r="G244" s="11"/>
      <c r="H244" s="13"/>
      <c r="I244" s="11"/>
      <c r="J244" s="11"/>
    </row>
    <row x14ac:dyDescent="0.25" r="245" customHeight="1" ht="17.25">
      <c r="A245" s="14" t="s">
        <v>3</v>
      </c>
      <c r="B245" s="14" t="s">
        <v>4</v>
      </c>
      <c r="C245" s="14" t="s">
        <v>5</v>
      </c>
      <c r="D245" s="14" t="s">
        <v>6</v>
      </c>
      <c r="E245" s="15" t="s">
        <v>7</v>
      </c>
      <c r="F245" s="14" t="s">
        <v>8</v>
      </c>
      <c r="G245" s="14" t="s">
        <v>9</v>
      </c>
      <c r="H245" s="16" t="s">
        <v>10</v>
      </c>
      <c r="I245" s="14" t="s">
        <v>11</v>
      </c>
      <c r="J245" s="14" t="s">
        <v>12</v>
      </c>
    </row>
    <row x14ac:dyDescent="0.25" r="246" customHeight="1" ht="17.25">
      <c r="A246" s="17" t="s">
        <v>10249</v>
      </c>
      <c r="B246" s="17" t="s">
        <v>404</v>
      </c>
      <c r="C246" s="17" t="s">
        <v>152</v>
      </c>
      <c r="D246" s="17" t="s">
        <v>16</v>
      </c>
      <c r="E246" s="18">
        <f>ROUND(12003*1.05,2)</f>
      </c>
      <c r="F246" s="17" t="s">
        <v>17</v>
      </c>
      <c r="G246" s="17" t="s">
        <v>18</v>
      </c>
      <c r="H246" s="18">
        <f>ROUND(RAND()*4+6,1)</f>
      </c>
      <c r="I246" s="17" t="s">
        <v>19</v>
      </c>
      <c r="J246" s="19">
        <f>ROUND(81*1,0)&amp;"%"</f>
      </c>
    </row>
    <row x14ac:dyDescent="0.25" r="247" customHeight="1" ht="17.25">
      <c r="A247" s="20" t="s">
        <v>10250</v>
      </c>
      <c r="B247" s="20" t="s">
        <v>406</v>
      </c>
      <c r="C247" s="20" t="s">
        <v>152</v>
      </c>
      <c r="D247" s="20" t="s">
        <v>22</v>
      </c>
      <c r="E247" s="21">
        <f>ROUND(10758*1.05,2)</f>
      </c>
      <c r="F247" s="20" t="s">
        <v>23</v>
      </c>
      <c r="G247" s="20" t="s">
        <v>24</v>
      </c>
      <c r="H247" s="21">
        <f>ROUND(RAND()*4+6,1)</f>
      </c>
      <c r="I247" s="20" t="s">
        <v>25</v>
      </c>
      <c r="J247" s="23">
        <f>ROUND(91*1,0)&amp;"%"</f>
      </c>
    </row>
    <row x14ac:dyDescent="0.25" r="248" customHeight="1" ht="17.25">
      <c r="A248" s="17" t="s">
        <v>10251</v>
      </c>
      <c r="B248" s="17" t="s">
        <v>408</v>
      </c>
      <c r="C248" s="17" t="s">
        <v>152</v>
      </c>
      <c r="D248" s="17" t="s">
        <v>28</v>
      </c>
      <c r="E248" s="18">
        <f>ROUND(16724*1.05,2)</f>
      </c>
      <c r="F248" s="17" t="s">
        <v>29</v>
      </c>
      <c r="G248" s="17" t="s">
        <v>30</v>
      </c>
      <c r="H248" s="18">
        <f>ROUND(RAND()*4+6,1)</f>
      </c>
      <c r="I248" s="17" t="s">
        <v>31</v>
      </c>
      <c r="J248" s="19">
        <f>ROUND(83*1,0)&amp;"%"</f>
      </c>
    </row>
    <row x14ac:dyDescent="0.25" r="249" customHeight="1" ht="17.25">
      <c r="A249" s="20" t="s">
        <v>10252</v>
      </c>
      <c r="B249" s="20" t="s">
        <v>410</v>
      </c>
      <c r="C249" s="20" t="s">
        <v>152</v>
      </c>
      <c r="D249" s="20" t="s">
        <v>34</v>
      </c>
      <c r="E249" s="21">
        <f>ROUND(12592*1.05,2)</f>
      </c>
      <c r="F249" s="20" t="s">
        <v>35</v>
      </c>
      <c r="G249" s="20" t="s">
        <v>18</v>
      </c>
      <c r="H249" s="21">
        <f>ROUND(RAND()*4+6,1)</f>
      </c>
      <c r="I249" s="20" t="s">
        <v>36</v>
      </c>
      <c r="J249" s="23">
        <f>ROUND(88*1,0)&amp;"%"</f>
      </c>
    </row>
    <row x14ac:dyDescent="0.25" r="250" customHeight="1" ht="17.25">
      <c r="A250" s="17" t="s">
        <v>10253</v>
      </c>
      <c r="B250" s="17" t="s">
        <v>412</v>
      </c>
      <c r="C250" s="17" t="s">
        <v>152</v>
      </c>
      <c r="D250" s="17" t="s">
        <v>39</v>
      </c>
      <c r="E250" s="18">
        <f>ROUND(14845*1.05,2)</f>
      </c>
      <c r="F250" s="17" t="s">
        <v>40</v>
      </c>
      <c r="G250" s="17" t="s">
        <v>24</v>
      </c>
      <c r="H250" s="18">
        <f>ROUND(RAND()*4+6,1)</f>
      </c>
      <c r="I250" s="17" t="s">
        <v>41</v>
      </c>
      <c r="J250" s="19">
        <f>ROUND(66*1,0)&amp;"%"</f>
      </c>
    </row>
    <row x14ac:dyDescent="0.25" r="251" customHeight="1" ht="17.25">
      <c r="A251" s="20" t="s">
        <v>10254</v>
      </c>
      <c r="B251" s="20" t="s">
        <v>414</v>
      </c>
      <c r="C251" s="20" t="s">
        <v>152</v>
      </c>
      <c r="D251" s="20" t="s">
        <v>67</v>
      </c>
      <c r="E251" s="21">
        <f>ROUND(6795*1.05,2)</f>
      </c>
      <c r="F251" s="20" t="s">
        <v>44</v>
      </c>
      <c r="G251" s="20" t="s">
        <v>30</v>
      </c>
      <c r="H251" s="21">
        <f>ROUND(RAND()*4+6,1)</f>
      </c>
      <c r="I251" s="20" t="s">
        <v>45</v>
      </c>
      <c r="J251" s="23">
        <f>ROUND(100*1,0)&amp;"%"</f>
      </c>
    </row>
    <row x14ac:dyDescent="0.25" r="252" customHeight="1" ht="17.25">
      <c r="A252" s="17" t="s">
        <v>10255</v>
      </c>
      <c r="B252" s="17" t="s">
        <v>416</v>
      </c>
      <c r="C252" s="17" t="s">
        <v>152</v>
      </c>
      <c r="D252" s="17" t="s">
        <v>16</v>
      </c>
      <c r="E252" s="18">
        <f>ROUND(8621*1.05,2)</f>
      </c>
      <c r="F252" s="17" t="s">
        <v>48</v>
      </c>
      <c r="G252" s="17" t="s">
        <v>18</v>
      </c>
      <c r="H252" s="18">
        <f>ROUND(RAND()*4+6,1)</f>
      </c>
      <c r="I252" s="17" t="s">
        <v>19</v>
      </c>
      <c r="J252" s="19">
        <f>ROUND(89*1,0)&amp;"%"</f>
      </c>
    </row>
    <row x14ac:dyDescent="0.25" r="253" customHeight="1" ht="17.25">
      <c r="A253" s="20" t="s">
        <v>10256</v>
      </c>
      <c r="B253" s="20" t="s">
        <v>418</v>
      </c>
      <c r="C253" s="20" t="s">
        <v>152</v>
      </c>
      <c r="D253" s="20" t="s">
        <v>22</v>
      </c>
      <c r="E253" s="21">
        <f>ROUND(12866*1.05,2)</f>
      </c>
      <c r="F253" s="20" t="s">
        <v>51</v>
      </c>
      <c r="G253" s="20" t="s">
        <v>24</v>
      </c>
      <c r="H253" s="21">
        <f>ROUND(RAND()*4+6,1)</f>
      </c>
      <c r="I253" s="20" t="s">
        <v>25</v>
      </c>
      <c r="J253" s="23">
        <f>ROUND(82*1,0)&amp;"%"</f>
      </c>
    </row>
    <row x14ac:dyDescent="0.25" r="254" customHeight="1" ht="17.25">
      <c r="A254" s="24" t="s">
        <v>419</v>
      </c>
      <c r="B254" s="24"/>
      <c r="C254" s="24"/>
      <c r="D254" s="24"/>
      <c r="E254" s="25">
        <v>8</v>
      </c>
      <c r="F254" s="9"/>
      <c r="G254" s="9"/>
      <c r="H254" s="10"/>
      <c r="I254" s="9"/>
      <c r="J254" s="9"/>
    </row>
    <row x14ac:dyDescent="0.25" r="255" customHeight="1" ht="17.25">
      <c r="A255" s="7"/>
      <c r="B255" s="7"/>
      <c r="C255" s="7"/>
      <c r="D255" s="7"/>
      <c r="E255" s="8"/>
      <c r="F255" s="9"/>
      <c r="G255" s="9"/>
      <c r="H255" s="10"/>
      <c r="I255" s="9"/>
      <c r="J255" s="9"/>
    </row>
    <row x14ac:dyDescent="0.25" r="256" customHeight="1" ht="17.25">
      <c r="A256" s="11" t="s">
        <v>10257</v>
      </c>
      <c r="B256" s="11"/>
      <c r="C256" s="11"/>
      <c r="D256" s="11"/>
      <c r="E256" s="12"/>
      <c r="F256" s="11"/>
      <c r="G256" s="11"/>
      <c r="H256" s="13"/>
      <c r="I256" s="11"/>
      <c r="J256" s="11"/>
    </row>
    <row x14ac:dyDescent="0.25" r="257" customHeight="1" ht="17.25">
      <c r="A257" s="14" t="s">
        <v>3</v>
      </c>
      <c r="B257" s="14" t="s">
        <v>4</v>
      </c>
      <c r="C257" s="14" t="s">
        <v>5</v>
      </c>
      <c r="D257" s="14" t="s">
        <v>6</v>
      </c>
      <c r="E257" s="15" t="s">
        <v>7</v>
      </c>
      <c r="F257" s="14" t="s">
        <v>8</v>
      </c>
      <c r="G257" s="14" t="s">
        <v>9</v>
      </c>
      <c r="H257" s="16" t="s">
        <v>10</v>
      </c>
      <c r="I257" s="14" t="s">
        <v>11</v>
      </c>
      <c r="J257" s="14" t="s">
        <v>12</v>
      </c>
    </row>
    <row x14ac:dyDescent="0.25" r="258" customHeight="1" ht="17.25">
      <c r="A258" s="17" t="s">
        <v>10258</v>
      </c>
      <c r="B258" s="17" t="s">
        <v>422</v>
      </c>
      <c r="C258" s="17" t="s">
        <v>15</v>
      </c>
      <c r="D258" s="17" t="s">
        <v>16</v>
      </c>
      <c r="E258" s="18">
        <f>ROUND(14965*1.05,2)</f>
      </c>
      <c r="F258" s="17" t="s">
        <v>17</v>
      </c>
      <c r="G258" s="17" t="s">
        <v>18</v>
      </c>
      <c r="H258" s="18">
        <f>ROUND(RAND()*4+6,1)</f>
      </c>
      <c r="I258" s="17" t="s">
        <v>19</v>
      </c>
      <c r="J258" s="19">
        <f>ROUND(79*1,0)&amp;"%"</f>
      </c>
    </row>
    <row x14ac:dyDescent="0.25" r="259" customHeight="1" ht="17.25">
      <c r="A259" s="20" t="s">
        <v>10259</v>
      </c>
      <c r="B259" s="20" t="s">
        <v>424</v>
      </c>
      <c r="C259" s="20" t="s">
        <v>15</v>
      </c>
      <c r="D259" s="20" t="s">
        <v>22</v>
      </c>
      <c r="E259" s="21">
        <f>ROUND(11379*1.05,2)</f>
      </c>
      <c r="F259" s="20" t="s">
        <v>23</v>
      </c>
      <c r="G259" s="20" t="s">
        <v>24</v>
      </c>
      <c r="H259" s="21">
        <f>ROUND(RAND()*4+6,1)</f>
      </c>
      <c r="I259" s="20" t="s">
        <v>25</v>
      </c>
      <c r="J259" s="23">
        <f>ROUND(73*1,0)&amp;"%"</f>
      </c>
    </row>
    <row x14ac:dyDescent="0.25" r="260" customHeight="1" ht="17.25">
      <c r="A260" s="17" t="s">
        <v>10260</v>
      </c>
      <c r="B260" s="17" t="s">
        <v>426</v>
      </c>
      <c r="C260" s="17" t="s">
        <v>15</v>
      </c>
      <c r="D260" s="17" t="s">
        <v>28</v>
      </c>
      <c r="E260" s="18">
        <f>ROUND(16070*1.05,2)</f>
      </c>
      <c r="F260" s="17" t="s">
        <v>29</v>
      </c>
      <c r="G260" s="17" t="s">
        <v>30</v>
      </c>
      <c r="H260" s="18">
        <f>ROUND(RAND()*4+6,1)</f>
      </c>
      <c r="I260" s="17" t="s">
        <v>31</v>
      </c>
      <c r="J260" s="19">
        <f>ROUND(92*1,0)&amp;"%"</f>
      </c>
    </row>
    <row x14ac:dyDescent="0.25" r="261" customHeight="1" ht="17.25">
      <c r="A261" s="20" t="s">
        <v>10261</v>
      </c>
      <c r="B261" s="20" t="s">
        <v>428</v>
      </c>
      <c r="C261" s="20" t="s">
        <v>15</v>
      </c>
      <c r="D261" s="20" t="s">
        <v>34</v>
      </c>
      <c r="E261" s="21">
        <f>ROUND(7968*1.05,2)</f>
      </c>
      <c r="F261" s="20" t="s">
        <v>35</v>
      </c>
      <c r="G261" s="20" t="s">
        <v>18</v>
      </c>
      <c r="H261" s="21">
        <f>ROUND(RAND()*4+6,1)</f>
      </c>
      <c r="I261" s="20" t="s">
        <v>36</v>
      </c>
      <c r="J261" s="23">
        <f>ROUND(96*1,0)&amp;"%"</f>
      </c>
    </row>
    <row x14ac:dyDescent="0.25" r="262" customHeight="1" ht="17.25">
      <c r="A262" s="17" t="s">
        <v>10262</v>
      </c>
      <c r="B262" s="17" t="s">
        <v>430</v>
      </c>
      <c r="C262" s="17" t="s">
        <v>15</v>
      </c>
      <c r="D262" s="17" t="s">
        <v>39</v>
      </c>
      <c r="E262" s="18">
        <f>ROUND(8573*1.05,2)</f>
      </c>
      <c r="F262" s="17" t="s">
        <v>40</v>
      </c>
      <c r="G262" s="17" t="s">
        <v>24</v>
      </c>
      <c r="H262" s="18">
        <f>ROUND(RAND()*4+6,1)</f>
      </c>
      <c r="I262" s="17" t="s">
        <v>41</v>
      </c>
      <c r="J262" s="19">
        <f>ROUND(97*1,0)&amp;"%"</f>
      </c>
    </row>
    <row x14ac:dyDescent="0.25" r="263" customHeight="1" ht="17.25">
      <c r="A263" s="20" t="s">
        <v>10263</v>
      </c>
      <c r="B263" s="20" t="s">
        <v>432</v>
      </c>
      <c r="C263" s="20" t="s">
        <v>15</v>
      </c>
      <c r="D263" s="20" t="s">
        <v>67</v>
      </c>
      <c r="E263" s="21">
        <f>ROUND(8119*1.05,2)</f>
      </c>
      <c r="F263" s="20" t="s">
        <v>44</v>
      </c>
      <c r="G263" s="20" t="s">
        <v>30</v>
      </c>
      <c r="H263" s="21">
        <f>ROUND(RAND()*4+6,1)</f>
      </c>
      <c r="I263" s="20" t="s">
        <v>45</v>
      </c>
      <c r="J263" s="23">
        <f>ROUND(82*1,0)&amp;"%"</f>
      </c>
    </row>
    <row x14ac:dyDescent="0.25" r="264" customHeight="1" ht="17.25">
      <c r="A264" s="17" t="s">
        <v>10264</v>
      </c>
      <c r="B264" s="17" t="s">
        <v>434</v>
      </c>
      <c r="C264" s="17" t="s">
        <v>15</v>
      </c>
      <c r="D264" s="17" t="s">
        <v>16</v>
      </c>
      <c r="E264" s="26">
        <f>ROUND(12900*1.05,2)</f>
      </c>
      <c r="F264" s="17" t="s">
        <v>48</v>
      </c>
      <c r="G264" s="17" t="s">
        <v>18</v>
      </c>
      <c r="H264" s="26">
        <f>ROUND(RAND()*4+6,1)</f>
      </c>
      <c r="I264" s="17" t="s">
        <v>19</v>
      </c>
      <c r="J264" s="19">
        <f>ROUND(78*1,0)&amp;"%"</f>
      </c>
    </row>
    <row x14ac:dyDescent="0.25" r="265" customHeight="1" ht="17.25">
      <c r="A265" s="20" t="s">
        <v>10265</v>
      </c>
      <c r="B265" s="20" t="s">
        <v>436</v>
      </c>
      <c r="C265" s="20" t="s">
        <v>15</v>
      </c>
      <c r="D265" s="20" t="s">
        <v>22</v>
      </c>
      <c r="E265" s="21">
        <f>ROUND(16963*1.05,2)</f>
      </c>
      <c r="F265" s="20" t="s">
        <v>51</v>
      </c>
      <c r="G265" s="20" t="s">
        <v>24</v>
      </c>
      <c r="H265" s="21">
        <f>ROUND(RAND()*4+6,1)</f>
      </c>
      <c r="I265" s="20" t="s">
        <v>25</v>
      </c>
      <c r="J265" s="23">
        <f>ROUND(73*1,0)&amp;"%"</f>
      </c>
    </row>
    <row x14ac:dyDescent="0.25" r="266" customHeight="1" ht="17.25">
      <c r="A266" s="24" t="s">
        <v>437</v>
      </c>
      <c r="B266" s="24"/>
      <c r="C266" s="24"/>
      <c r="D266" s="24"/>
      <c r="E266" s="25">
        <v>8</v>
      </c>
      <c r="F266" s="9"/>
      <c r="G266" s="9"/>
      <c r="H266" s="10"/>
      <c r="I266" s="9"/>
      <c r="J266" s="9"/>
    </row>
    <row x14ac:dyDescent="0.25" r="267" customHeight="1" ht="17.25">
      <c r="A267" s="7"/>
      <c r="B267" s="7"/>
      <c r="C267" s="7"/>
      <c r="D267" s="7"/>
      <c r="E267" s="8"/>
      <c r="F267" s="9"/>
      <c r="G267" s="9"/>
      <c r="H267" s="10"/>
      <c r="I267" s="9"/>
      <c r="J267" s="9"/>
    </row>
    <row x14ac:dyDescent="0.25" r="268" customHeight="1" ht="17.25">
      <c r="A268" s="11" t="s">
        <v>10266</v>
      </c>
      <c r="B268" s="11"/>
      <c r="C268" s="11"/>
      <c r="D268" s="11"/>
      <c r="E268" s="12"/>
      <c r="F268" s="11"/>
      <c r="G268" s="11"/>
      <c r="H268" s="13"/>
      <c r="I268" s="11"/>
      <c r="J268" s="11"/>
    </row>
    <row x14ac:dyDescent="0.25" r="269" customHeight="1" ht="17.25">
      <c r="A269" s="14" t="s">
        <v>3</v>
      </c>
      <c r="B269" s="14" t="s">
        <v>4</v>
      </c>
      <c r="C269" s="14" t="s">
        <v>5</v>
      </c>
      <c r="D269" s="14" t="s">
        <v>6</v>
      </c>
      <c r="E269" s="15" t="s">
        <v>7</v>
      </c>
      <c r="F269" s="14" t="s">
        <v>8</v>
      </c>
      <c r="G269" s="14" t="s">
        <v>9</v>
      </c>
      <c r="H269" s="16" t="s">
        <v>10</v>
      </c>
      <c r="I269" s="14" t="s">
        <v>11</v>
      </c>
      <c r="J269" s="14" t="s">
        <v>12</v>
      </c>
    </row>
    <row x14ac:dyDescent="0.25" r="270" customHeight="1" ht="17.25">
      <c r="A270" s="17" t="s">
        <v>10267</v>
      </c>
      <c r="B270" s="17" t="s">
        <v>440</v>
      </c>
      <c r="C270" s="17" t="s">
        <v>56</v>
      </c>
      <c r="D270" s="17" t="s">
        <v>16</v>
      </c>
      <c r="E270" s="18">
        <f>ROUND(14355*1.05,2)</f>
      </c>
      <c r="F270" s="17" t="s">
        <v>17</v>
      </c>
      <c r="G270" s="17" t="s">
        <v>18</v>
      </c>
      <c r="H270" s="18">
        <f>ROUND(RAND()*4+6,1)</f>
      </c>
      <c r="I270" s="17" t="s">
        <v>19</v>
      </c>
      <c r="J270" s="19">
        <f>ROUND(79*1,0)&amp;"%"</f>
      </c>
    </row>
    <row x14ac:dyDescent="0.25" r="271" customHeight="1" ht="17.25">
      <c r="A271" s="20" t="s">
        <v>10268</v>
      </c>
      <c r="B271" s="20" t="s">
        <v>442</v>
      </c>
      <c r="C271" s="20" t="s">
        <v>56</v>
      </c>
      <c r="D271" s="20" t="s">
        <v>22</v>
      </c>
      <c r="E271" s="22">
        <f>ROUND(14060*1.05,2)</f>
      </c>
      <c r="F271" s="20" t="s">
        <v>23</v>
      </c>
      <c r="G271" s="20" t="s">
        <v>24</v>
      </c>
      <c r="H271" s="21">
        <f>ROUND(RAND()*4+6,1)</f>
      </c>
      <c r="I271" s="20" t="s">
        <v>25</v>
      </c>
      <c r="J271" s="23">
        <f>ROUND(84*1,0)&amp;"%"</f>
      </c>
    </row>
    <row x14ac:dyDescent="0.25" r="272" customHeight="1" ht="17.25">
      <c r="A272" s="17" t="s">
        <v>10269</v>
      </c>
      <c r="B272" s="17" t="s">
        <v>444</v>
      </c>
      <c r="C272" s="17" t="s">
        <v>56</v>
      </c>
      <c r="D272" s="17" t="s">
        <v>28</v>
      </c>
      <c r="E272" s="18">
        <f>ROUND(9862*1.05,2)</f>
      </c>
      <c r="F272" s="17" t="s">
        <v>29</v>
      </c>
      <c r="G272" s="17" t="s">
        <v>30</v>
      </c>
      <c r="H272" s="18">
        <f>ROUND(RAND()*4+6,1)</f>
      </c>
      <c r="I272" s="17" t="s">
        <v>31</v>
      </c>
      <c r="J272" s="19">
        <f>ROUND(70*1,0)&amp;"%"</f>
      </c>
    </row>
    <row x14ac:dyDescent="0.25" r="273" customHeight="1" ht="17.25">
      <c r="A273" s="20" t="s">
        <v>10270</v>
      </c>
      <c r="B273" s="20" t="s">
        <v>446</v>
      </c>
      <c r="C273" s="20" t="s">
        <v>56</v>
      </c>
      <c r="D273" s="20" t="s">
        <v>34</v>
      </c>
      <c r="E273" s="21">
        <f>ROUND(13929*1.05,2)</f>
      </c>
      <c r="F273" s="20" t="s">
        <v>35</v>
      </c>
      <c r="G273" s="20" t="s">
        <v>18</v>
      </c>
      <c r="H273" s="21">
        <f>ROUND(RAND()*4+6,1)</f>
      </c>
      <c r="I273" s="20" t="s">
        <v>36</v>
      </c>
      <c r="J273" s="23">
        <f>ROUND(61*1,0)&amp;"%"</f>
      </c>
    </row>
    <row x14ac:dyDescent="0.25" r="274" customHeight="1" ht="17.25">
      <c r="A274" s="17" t="s">
        <v>10271</v>
      </c>
      <c r="B274" s="17" t="s">
        <v>448</v>
      </c>
      <c r="C274" s="17" t="s">
        <v>56</v>
      </c>
      <c r="D274" s="17" t="s">
        <v>39</v>
      </c>
      <c r="E274" s="18">
        <f>ROUND(8902*1.05,2)</f>
      </c>
      <c r="F274" s="17" t="s">
        <v>40</v>
      </c>
      <c r="G274" s="17" t="s">
        <v>24</v>
      </c>
      <c r="H274" s="18">
        <f>ROUND(RAND()*4+6,1)</f>
      </c>
      <c r="I274" s="17" t="s">
        <v>41</v>
      </c>
      <c r="J274" s="19">
        <f>ROUND(74*1,0)&amp;"%"</f>
      </c>
    </row>
    <row x14ac:dyDescent="0.25" r="275" customHeight="1" ht="17.25">
      <c r="A275" s="20" t="s">
        <v>10272</v>
      </c>
      <c r="B275" s="20" t="s">
        <v>450</v>
      </c>
      <c r="C275" s="20" t="s">
        <v>56</v>
      </c>
      <c r="D275" s="20" t="s">
        <v>67</v>
      </c>
      <c r="E275" s="21">
        <f>ROUND(15258*1.05,2)</f>
      </c>
      <c r="F275" s="20" t="s">
        <v>44</v>
      </c>
      <c r="G275" s="20" t="s">
        <v>30</v>
      </c>
      <c r="H275" s="21">
        <f>ROUND(RAND()*4+6,1)</f>
      </c>
      <c r="I275" s="20" t="s">
        <v>45</v>
      </c>
      <c r="J275" s="23">
        <f>ROUND(99*1,0)&amp;"%"</f>
      </c>
    </row>
    <row x14ac:dyDescent="0.25" r="276" customHeight="1" ht="17.25">
      <c r="A276" s="17" t="s">
        <v>10273</v>
      </c>
      <c r="B276" s="17" t="s">
        <v>452</v>
      </c>
      <c r="C276" s="17" t="s">
        <v>56</v>
      </c>
      <c r="D276" s="17" t="s">
        <v>16</v>
      </c>
      <c r="E276" s="18">
        <f>ROUND(16224*1.05,2)</f>
      </c>
      <c r="F276" s="17" t="s">
        <v>48</v>
      </c>
      <c r="G276" s="17" t="s">
        <v>18</v>
      </c>
      <c r="H276" s="18">
        <f>ROUND(RAND()*4+6,1)</f>
      </c>
      <c r="I276" s="17" t="s">
        <v>19</v>
      </c>
      <c r="J276" s="19">
        <f>ROUND(100*1,0)&amp;"%"</f>
      </c>
    </row>
    <row x14ac:dyDescent="0.25" r="277" customHeight="1" ht="17.25">
      <c r="A277" s="20" t="s">
        <v>10274</v>
      </c>
      <c r="B277" s="20" t="s">
        <v>454</v>
      </c>
      <c r="C277" s="20" t="s">
        <v>56</v>
      </c>
      <c r="D277" s="20" t="s">
        <v>22</v>
      </c>
      <c r="E277" s="21">
        <f>ROUND(13272*1.05,2)</f>
      </c>
      <c r="F277" s="20" t="s">
        <v>51</v>
      </c>
      <c r="G277" s="20" t="s">
        <v>24</v>
      </c>
      <c r="H277" s="21">
        <f>ROUND(RAND()*4+6,1)</f>
      </c>
      <c r="I277" s="20" t="s">
        <v>25</v>
      </c>
      <c r="J277" s="23">
        <f>ROUND(79*1,0)&amp;"%"</f>
      </c>
    </row>
    <row x14ac:dyDescent="0.25" r="278" customHeight="1" ht="17.25">
      <c r="A278" s="24" t="s">
        <v>455</v>
      </c>
      <c r="B278" s="24"/>
      <c r="C278" s="24"/>
      <c r="D278" s="24"/>
      <c r="E278" s="25">
        <v>8</v>
      </c>
      <c r="F278" s="9"/>
      <c r="G278" s="9"/>
      <c r="H278" s="10"/>
      <c r="I278" s="9"/>
      <c r="J278" s="9"/>
    </row>
    <row x14ac:dyDescent="0.25" r="279" customHeight="1" ht="17.25">
      <c r="A279" s="7"/>
      <c r="B279" s="7"/>
      <c r="C279" s="7"/>
      <c r="D279" s="7"/>
      <c r="E279" s="8"/>
      <c r="F279" s="9"/>
      <c r="G279" s="9"/>
      <c r="H279" s="10"/>
      <c r="I279" s="9"/>
      <c r="J279" s="9"/>
    </row>
    <row x14ac:dyDescent="0.25" r="280" customHeight="1" ht="17.25">
      <c r="A280" s="11" t="s">
        <v>10275</v>
      </c>
      <c r="B280" s="11"/>
      <c r="C280" s="11"/>
      <c r="D280" s="11"/>
      <c r="E280" s="12"/>
      <c r="F280" s="11"/>
      <c r="G280" s="11"/>
      <c r="H280" s="13"/>
      <c r="I280" s="11"/>
      <c r="J280" s="11"/>
    </row>
    <row x14ac:dyDescent="0.25" r="281" customHeight="1" ht="17.25">
      <c r="A281" s="14" t="s">
        <v>3</v>
      </c>
      <c r="B281" s="14" t="s">
        <v>4</v>
      </c>
      <c r="C281" s="14" t="s">
        <v>5</v>
      </c>
      <c r="D281" s="14" t="s">
        <v>6</v>
      </c>
      <c r="E281" s="15" t="s">
        <v>7</v>
      </c>
      <c r="F281" s="14" t="s">
        <v>8</v>
      </c>
      <c r="G281" s="14" t="s">
        <v>9</v>
      </c>
      <c r="H281" s="16" t="s">
        <v>10</v>
      </c>
      <c r="I281" s="14" t="s">
        <v>11</v>
      </c>
      <c r="J281" s="14" t="s">
        <v>12</v>
      </c>
    </row>
    <row x14ac:dyDescent="0.25" r="282" customHeight="1" ht="17.25">
      <c r="A282" s="17" t="s">
        <v>10276</v>
      </c>
      <c r="B282" s="17" t="s">
        <v>458</v>
      </c>
      <c r="C282" s="17" t="s">
        <v>76</v>
      </c>
      <c r="D282" s="17" t="s">
        <v>16</v>
      </c>
      <c r="E282" s="18">
        <f>ROUND(12574*1.05,2)</f>
      </c>
      <c r="F282" s="17" t="s">
        <v>17</v>
      </c>
      <c r="G282" s="17" t="s">
        <v>18</v>
      </c>
      <c r="H282" s="18">
        <f>ROUND(RAND()*4+6,1)</f>
      </c>
      <c r="I282" s="17" t="s">
        <v>19</v>
      </c>
      <c r="J282" s="19">
        <f>ROUND(77*1,0)&amp;"%"</f>
      </c>
    </row>
    <row x14ac:dyDescent="0.25" r="283" customHeight="1" ht="17.25">
      <c r="A283" s="20" t="s">
        <v>10277</v>
      </c>
      <c r="B283" s="20" t="s">
        <v>460</v>
      </c>
      <c r="C283" s="20" t="s">
        <v>76</v>
      </c>
      <c r="D283" s="20" t="s">
        <v>22</v>
      </c>
      <c r="E283" s="21">
        <f>ROUND(14291*1.05,2)</f>
      </c>
      <c r="F283" s="20" t="s">
        <v>23</v>
      </c>
      <c r="G283" s="20" t="s">
        <v>24</v>
      </c>
      <c r="H283" s="21">
        <f>ROUND(RAND()*4+6,1)</f>
      </c>
      <c r="I283" s="20" t="s">
        <v>25</v>
      </c>
      <c r="J283" s="23">
        <f>ROUND(82*1,0)&amp;"%"</f>
      </c>
    </row>
    <row x14ac:dyDescent="0.25" r="284" customHeight="1" ht="17.25">
      <c r="A284" s="17" t="s">
        <v>10278</v>
      </c>
      <c r="B284" s="17" t="s">
        <v>462</v>
      </c>
      <c r="C284" s="17" t="s">
        <v>76</v>
      </c>
      <c r="D284" s="17" t="s">
        <v>28</v>
      </c>
      <c r="E284" s="18">
        <f>ROUND(6039*1.05,2)</f>
      </c>
      <c r="F284" s="17" t="s">
        <v>29</v>
      </c>
      <c r="G284" s="17" t="s">
        <v>30</v>
      </c>
      <c r="H284" s="18">
        <f>ROUND(RAND()*4+6,1)</f>
      </c>
      <c r="I284" s="17" t="s">
        <v>31</v>
      </c>
      <c r="J284" s="19">
        <f>ROUND(79*1,0)&amp;"%"</f>
      </c>
    </row>
    <row x14ac:dyDescent="0.25" r="285" customHeight="1" ht="17.25">
      <c r="A285" s="20" t="s">
        <v>10279</v>
      </c>
      <c r="B285" s="20" t="s">
        <v>464</v>
      </c>
      <c r="C285" s="20" t="s">
        <v>76</v>
      </c>
      <c r="D285" s="20" t="s">
        <v>34</v>
      </c>
      <c r="E285" s="21">
        <f>ROUND(9944*1.05,2)</f>
      </c>
      <c r="F285" s="20" t="s">
        <v>35</v>
      </c>
      <c r="G285" s="20" t="s">
        <v>18</v>
      </c>
      <c r="H285" s="22">
        <f>ROUND(RAND()*4+6,1)</f>
      </c>
      <c r="I285" s="20" t="s">
        <v>36</v>
      </c>
      <c r="J285" s="23">
        <f>ROUND(67*1,0)&amp;"%"</f>
      </c>
    </row>
    <row x14ac:dyDescent="0.25" r="286" customHeight="1" ht="17.25">
      <c r="A286" s="17" t="s">
        <v>10280</v>
      </c>
      <c r="B286" s="17" t="s">
        <v>466</v>
      </c>
      <c r="C286" s="17" t="s">
        <v>76</v>
      </c>
      <c r="D286" s="17" t="s">
        <v>39</v>
      </c>
      <c r="E286" s="18">
        <f>ROUND(14862*1.05,2)</f>
      </c>
      <c r="F286" s="17" t="s">
        <v>40</v>
      </c>
      <c r="G286" s="17" t="s">
        <v>24</v>
      </c>
      <c r="H286" s="18">
        <f>ROUND(RAND()*4+6,1)</f>
      </c>
      <c r="I286" s="17" t="s">
        <v>41</v>
      </c>
      <c r="J286" s="19">
        <f>ROUND(81*1,0)&amp;"%"</f>
      </c>
    </row>
    <row x14ac:dyDescent="0.25" r="287" customHeight="1" ht="17.25">
      <c r="A287" s="20" t="s">
        <v>10281</v>
      </c>
      <c r="B287" s="20" t="s">
        <v>468</v>
      </c>
      <c r="C287" s="20" t="s">
        <v>76</v>
      </c>
      <c r="D287" s="20" t="s">
        <v>67</v>
      </c>
      <c r="E287" s="21">
        <f>ROUND(16431*1.05,2)</f>
      </c>
      <c r="F287" s="20" t="s">
        <v>44</v>
      </c>
      <c r="G287" s="20" t="s">
        <v>30</v>
      </c>
      <c r="H287" s="22">
        <f>ROUND(RAND()*4+6,1)</f>
      </c>
      <c r="I287" s="20" t="s">
        <v>45</v>
      </c>
      <c r="J287" s="23">
        <f>ROUND(92*1,0)&amp;"%"</f>
      </c>
    </row>
    <row x14ac:dyDescent="0.25" r="288" customHeight="1" ht="17.25">
      <c r="A288" s="17" t="s">
        <v>10282</v>
      </c>
      <c r="B288" s="17" t="s">
        <v>470</v>
      </c>
      <c r="C288" s="17" t="s">
        <v>76</v>
      </c>
      <c r="D288" s="17" t="s">
        <v>16</v>
      </c>
      <c r="E288" s="18">
        <f>ROUND(17487*1.05,2)</f>
      </c>
      <c r="F288" s="17" t="s">
        <v>48</v>
      </c>
      <c r="G288" s="17" t="s">
        <v>18</v>
      </c>
      <c r="H288" s="18">
        <f>ROUND(RAND()*4+6,1)</f>
      </c>
      <c r="I288" s="17" t="s">
        <v>19</v>
      </c>
      <c r="J288" s="19">
        <f>ROUND(72*1,0)&amp;"%"</f>
      </c>
    </row>
    <row x14ac:dyDescent="0.25" r="289" customHeight="1" ht="17.25">
      <c r="A289" s="20" t="s">
        <v>10283</v>
      </c>
      <c r="B289" s="20" t="s">
        <v>472</v>
      </c>
      <c r="C289" s="20" t="s">
        <v>76</v>
      </c>
      <c r="D289" s="20" t="s">
        <v>22</v>
      </c>
      <c r="E289" s="21">
        <f>ROUND(8781*1.05,2)</f>
      </c>
      <c r="F289" s="20" t="s">
        <v>51</v>
      </c>
      <c r="G289" s="20" t="s">
        <v>24</v>
      </c>
      <c r="H289" s="21">
        <f>ROUND(RAND()*4+6,1)</f>
      </c>
      <c r="I289" s="20" t="s">
        <v>25</v>
      </c>
      <c r="J289" s="23">
        <f>ROUND(86*1,0)&amp;"%"</f>
      </c>
    </row>
    <row x14ac:dyDescent="0.25" r="290" customHeight="1" ht="17.25">
      <c r="A290" s="24" t="s">
        <v>473</v>
      </c>
      <c r="B290" s="24"/>
      <c r="C290" s="24"/>
      <c r="D290" s="24"/>
      <c r="E290" s="25">
        <v>8</v>
      </c>
      <c r="F290" s="9"/>
      <c r="G290" s="9"/>
      <c r="H290" s="10"/>
      <c r="I290" s="9"/>
      <c r="J290" s="9"/>
    </row>
    <row x14ac:dyDescent="0.25" r="291" customHeight="1" ht="17.25">
      <c r="A291" s="7"/>
      <c r="B291" s="7"/>
      <c r="C291" s="7"/>
      <c r="D291" s="7"/>
      <c r="E291" s="8"/>
      <c r="F291" s="9"/>
      <c r="G291" s="9"/>
      <c r="H291" s="10"/>
      <c r="I291" s="9"/>
      <c r="J291" s="9"/>
    </row>
    <row x14ac:dyDescent="0.25" r="292" customHeight="1" ht="17.25">
      <c r="A292" s="11" t="s">
        <v>10284</v>
      </c>
      <c r="B292" s="11"/>
      <c r="C292" s="11"/>
      <c r="D292" s="11"/>
      <c r="E292" s="12"/>
      <c r="F292" s="11"/>
      <c r="G292" s="11"/>
      <c r="H292" s="13"/>
      <c r="I292" s="11"/>
      <c r="J292" s="11"/>
    </row>
    <row x14ac:dyDescent="0.25" r="293" customHeight="1" ht="17.25">
      <c r="A293" s="14" t="s">
        <v>3</v>
      </c>
      <c r="B293" s="14" t="s">
        <v>4</v>
      </c>
      <c r="C293" s="14" t="s">
        <v>5</v>
      </c>
      <c r="D293" s="14" t="s">
        <v>6</v>
      </c>
      <c r="E293" s="15" t="s">
        <v>7</v>
      </c>
      <c r="F293" s="14" t="s">
        <v>8</v>
      </c>
      <c r="G293" s="14" t="s">
        <v>9</v>
      </c>
      <c r="H293" s="16" t="s">
        <v>10</v>
      </c>
      <c r="I293" s="14" t="s">
        <v>11</v>
      </c>
      <c r="J293" s="14" t="s">
        <v>12</v>
      </c>
    </row>
    <row x14ac:dyDescent="0.25" r="294" customHeight="1" ht="17.25">
      <c r="A294" s="17" t="s">
        <v>10285</v>
      </c>
      <c r="B294" s="17" t="s">
        <v>476</v>
      </c>
      <c r="C294" s="17" t="s">
        <v>95</v>
      </c>
      <c r="D294" s="17" t="s">
        <v>16</v>
      </c>
      <c r="E294" s="18">
        <f>ROUND(14351*1.05,2)</f>
      </c>
      <c r="F294" s="17" t="s">
        <v>17</v>
      </c>
      <c r="G294" s="17" t="s">
        <v>18</v>
      </c>
      <c r="H294" s="18">
        <f>ROUND(RAND()*4+6,1)</f>
      </c>
      <c r="I294" s="17" t="s">
        <v>19</v>
      </c>
      <c r="J294" s="19">
        <f>ROUND(84*1,0)&amp;"%"</f>
      </c>
    </row>
    <row x14ac:dyDescent="0.25" r="295" customHeight="1" ht="17.25">
      <c r="A295" s="20" t="s">
        <v>10286</v>
      </c>
      <c r="B295" s="20" t="s">
        <v>478</v>
      </c>
      <c r="C295" s="20" t="s">
        <v>95</v>
      </c>
      <c r="D295" s="20" t="s">
        <v>22</v>
      </c>
      <c r="E295" s="21">
        <f>ROUND(6714*1.05,2)</f>
      </c>
      <c r="F295" s="20" t="s">
        <v>23</v>
      </c>
      <c r="G295" s="20" t="s">
        <v>24</v>
      </c>
      <c r="H295" s="21">
        <f>ROUND(RAND()*4+6,1)</f>
      </c>
      <c r="I295" s="20" t="s">
        <v>25</v>
      </c>
      <c r="J295" s="23">
        <f>ROUND(81*1,0)&amp;"%"</f>
      </c>
    </row>
    <row x14ac:dyDescent="0.25" r="296" customHeight="1" ht="17.25">
      <c r="A296" s="17" t="s">
        <v>10287</v>
      </c>
      <c r="B296" s="17" t="s">
        <v>480</v>
      </c>
      <c r="C296" s="17" t="s">
        <v>95</v>
      </c>
      <c r="D296" s="17" t="s">
        <v>28</v>
      </c>
      <c r="E296" s="18">
        <f>ROUND(12976*1.05,2)</f>
      </c>
      <c r="F296" s="17" t="s">
        <v>29</v>
      </c>
      <c r="G296" s="17" t="s">
        <v>30</v>
      </c>
      <c r="H296" s="18">
        <f>ROUND(RAND()*4+6,1)</f>
      </c>
      <c r="I296" s="17" t="s">
        <v>31</v>
      </c>
      <c r="J296" s="19">
        <f>ROUND(98*1,0)&amp;"%"</f>
      </c>
    </row>
    <row x14ac:dyDescent="0.25" r="297" customHeight="1" ht="17.25">
      <c r="A297" s="20" t="s">
        <v>10288</v>
      </c>
      <c r="B297" s="20" t="s">
        <v>482</v>
      </c>
      <c r="C297" s="20" t="s">
        <v>95</v>
      </c>
      <c r="D297" s="20" t="s">
        <v>34</v>
      </c>
      <c r="E297" s="21">
        <f>ROUND(14738*1.05,2)</f>
      </c>
      <c r="F297" s="20" t="s">
        <v>35</v>
      </c>
      <c r="G297" s="20" t="s">
        <v>18</v>
      </c>
      <c r="H297" s="21">
        <f>ROUND(RAND()*4+6,1)</f>
      </c>
      <c r="I297" s="20" t="s">
        <v>36</v>
      </c>
      <c r="J297" s="23">
        <f>ROUND(61*1,0)&amp;"%"</f>
      </c>
    </row>
    <row x14ac:dyDescent="0.25" r="298" customHeight="1" ht="17.25">
      <c r="A298" s="17" t="s">
        <v>10289</v>
      </c>
      <c r="B298" s="17" t="s">
        <v>484</v>
      </c>
      <c r="C298" s="17" t="s">
        <v>95</v>
      </c>
      <c r="D298" s="17" t="s">
        <v>39</v>
      </c>
      <c r="E298" s="18">
        <f>ROUND(11367*1.05,2)</f>
      </c>
      <c r="F298" s="17" t="s">
        <v>40</v>
      </c>
      <c r="G298" s="17" t="s">
        <v>24</v>
      </c>
      <c r="H298" s="18">
        <f>ROUND(RAND()*4+6,1)</f>
      </c>
      <c r="I298" s="17" t="s">
        <v>41</v>
      </c>
      <c r="J298" s="19">
        <f>ROUND(96*1,0)&amp;"%"</f>
      </c>
    </row>
    <row x14ac:dyDescent="0.25" r="299" customHeight="1" ht="17.25">
      <c r="A299" s="20" t="s">
        <v>10290</v>
      </c>
      <c r="B299" s="20" t="s">
        <v>486</v>
      </c>
      <c r="C299" s="20" t="s">
        <v>95</v>
      </c>
      <c r="D299" s="20" t="s">
        <v>67</v>
      </c>
      <c r="E299" s="21">
        <f>ROUND(13121*1.05,2)</f>
      </c>
      <c r="F299" s="20" t="s">
        <v>44</v>
      </c>
      <c r="G299" s="20" t="s">
        <v>30</v>
      </c>
      <c r="H299" s="21">
        <f>ROUND(RAND()*4+6,1)</f>
      </c>
      <c r="I299" s="20" t="s">
        <v>45</v>
      </c>
      <c r="J299" s="23">
        <f>ROUND(89*1,0)&amp;"%"</f>
      </c>
    </row>
    <row x14ac:dyDescent="0.25" r="300" customHeight="1" ht="17.25">
      <c r="A300" s="17" t="s">
        <v>10291</v>
      </c>
      <c r="B300" s="17" t="s">
        <v>488</v>
      </c>
      <c r="C300" s="17" t="s">
        <v>95</v>
      </c>
      <c r="D300" s="17" t="s">
        <v>16</v>
      </c>
      <c r="E300" s="18">
        <f>ROUND(11986*1.05,2)</f>
      </c>
      <c r="F300" s="17" t="s">
        <v>48</v>
      </c>
      <c r="G300" s="17" t="s">
        <v>18</v>
      </c>
      <c r="H300" s="18">
        <f>ROUND(RAND()*4+6,1)</f>
      </c>
      <c r="I300" s="17" t="s">
        <v>19</v>
      </c>
      <c r="J300" s="19">
        <f>ROUND(83*1,0)&amp;"%"</f>
      </c>
    </row>
    <row x14ac:dyDescent="0.25" r="301" customHeight="1" ht="17.25">
      <c r="A301" s="20" t="s">
        <v>10292</v>
      </c>
      <c r="B301" s="20" t="s">
        <v>490</v>
      </c>
      <c r="C301" s="20" t="s">
        <v>95</v>
      </c>
      <c r="D301" s="20" t="s">
        <v>22</v>
      </c>
      <c r="E301" s="21">
        <f>ROUND(15097*1.05,2)</f>
      </c>
      <c r="F301" s="20" t="s">
        <v>51</v>
      </c>
      <c r="G301" s="20" t="s">
        <v>24</v>
      </c>
      <c r="H301" s="21">
        <f>ROUND(RAND()*4+6,1)</f>
      </c>
      <c r="I301" s="20" t="s">
        <v>25</v>
      </c>
      <c r="J301" s="23">
        <f>ROUND(72*1,0)&amp;"%"</f>
      </c>
    </row>
    <row x14ac:dyDescent="0.25" r="302" customHeight="1" ht="17.25">
      <c r="A302" s="24" t="s">
        <v>491</v>
      </c>
      <c r="B302" s="24"/>
      <c r="C302" s="24"/>
      <c r="D302" s="24"/>
      <c r="E302" s="25">
        <v>8</v>
      </c>
      <c r="F302" s="9"/>
      <c r="G302" s="9"/>
      <c r="H302" s="10"/>
      <c r="I302" s="9"/>
      <c r="J302" s="9"/>
    </row>
    <row x14ac:dyDescent="0.25" r="303" customHeight="1" ht="17.25">
      <c r="A303" s="7"/>
      <c r="B303" s="7"/>
      <c r="C303" s="7"/>
      <c r="D303" s="7"/>
      <c r="E303" s="8"/>
      <c r="F303" s="9"/>
      <c r="G303" s="9"/>
      <c r="H303" s="10"/>
      <c r="I303" s="9"/>
      <c r="J303" s="9"/>
    </row>
    <row x14ac:dyDescent="0.25" r="304" customHeight="1" ht="17.25">
      <c r="A304" s="11" t="s">
        <v>10293</v>
      </c>
      <c r="B304" s="11"/>
      <c r="C304" s="11"/>
      <c r="D304" s="11"/>
      <c r="E304" s="12"/>
      <c r="F304" s="11"/>
      <c r="G304" s="11"/>
      <c r="H304" s="13"/>
      <c r="I304" s="11"/>
      <c r="J304" s="11"/>
    </row>
    <row x14ac:dyDescent="0.25" r="305" customHeight="1" ht="17.25">
      <c r="A305" s="14" t="s">
        <v>3</v>
      </c>
      <c r="B305" s="14" t="s">
        <v>4</v>
      </c>
      <c r="C305" s="14" t="s">
        <v>5</v>
      </c>
      <c r="D305" s="14" t="s">
        <v>6</v>
      </c>
      <c r="E305" s="15" t="s">
        <v>7</v>
      </c>
      <c r="F305" s="14" t="s">
        <v>8</v>
      </c>
      <c r="G305" s="14" t="s">
        <v>9</v>
      </c>
      <c r="H305" s="16" t="s">
        <v>10</v>
      </c>
      <c r="I305" s="14" t="s">
        <v>11</v>
      </c>
      <c r="J305" s="14" t="s">
        <v>12</v>
      </c>
    </row>
    <row x14ac:dyDescent="0.25" r="306" customHeight="1" ht="17.25">
      <c r="A306" s="17" t="s">
        <v>10294</v>
      </c>
      <c r="B306" s="17" t="s">
        <v>494</v>
      </c>
      <c r="C306" s="17" t="s">
        <v>114</v>
      </c>
      <c r="D306" s="17" t="s">
        <v>16</v>
      </c>
      <c r="E306" s="18">
        <f>ROUND(8344*1.05,2)</f>
      </c>
      <c r="F306" s="17" t="s">
        <v>17</v>
      </c>
      <c r="G306" s="17" t="s">
        <v>18</v>
      </c>
      <c r="H306" s="18">
        <f>ROUND(RAND()*4+6,1)</f>
      </c>
      <c r="I306" s="17" t="s">
        <v>19</v>
      </c>
      <c r="J306" s="19">
        <f>ROUND(64*1,0)&amp;"%"</f>
      </c>
    </row>
    <row x14ac:dyDescent="0.25" r="307" customHeight="1" ht="17.25">
      <c r="A307" s="20" t="s">
        <v>10295</v>
      </c>
      <c r="B307" s="20" t="s">
        <v>496</v>
      </c>
      <c r="C307" s="20" t="s">
        <v>114</v>
      </c>
      <c r="D307" s="20" t="s">
        <v>22</v>
      </c>
      <c r="E307" s="21">
        <f>ROUND(11056*1.05,2)</f>
      </c>
      <c r="F307" s="20" t="s">
        <v>23</v>
      </c>
      <c r="G307" s="20" t="s">
        <v>24</v>
      </c>
      <c r="H307" s="21">
        <f>ROUND(RAND()*4+6,1)</f>
      </c>
      <c r="I307" s="20" t="s">
        <v>25</v>
      </c>
      <c r="J307" s="23">
        <f>ROUND(96*1,0)&amp;"%"</f>
      </c>
    </row>
    <row x14ac:dyDescent="0.25" r="308" customHeight="1" ht="17.25">
      <c r="A308" s="17" t="s">
        <v>10296</v>
      </c>
      <c r="B308" s="17" t="s">
        <v>498</v>
      </c>
      <c r="C308" s="17" t="s">
        <v>114</v>
      </c>
      <c r="D308" s="17" t="s">
        <v>28</v>
      </c>
      <c r="E308" s="18">
        <f>ROUND(4941*1.05,2)</f>
      </c>
      <c r="F308" s="17" t="s">
        <v>29</v>
      </c>
      <c r="G308" s="17" t="s">
        <v>30</v>
      </c>
      <c r="H308" s="18">
        <f>ROUND(RAND()*4+6,1)</f>
      </c>
      <c r="I308" s="17" t="s">
        <v>31</v>
      </c>
      <c r="J308" s="19">
        <f>ROUND(97*1,0)&amp;"%"</f>
      </c>
    </row>
    <row x14ac:dyDescent="0.25" r="309" customHeight="1" ht="17.25">
      <c r="A309" s="20" t="s">
        <v>10297</v>
      </c>
      <c r="B309" s="20" t="s">
        <v>500</v>
      </c>
      <c r="C309" s="20" t="s">
        <v>114</v>
      </c>
      <c r="D309" s="20" t="s">
        <v>34</v>
      </c>
      <c r="E309" s="21">
        <f>ROUND(8210*1.05,2)</f>
      </c>
      <c r="F309" s="20" t="s">
        <v>35</v>
      </c>
      <c r="G309" s="20" t="s">
        <v>18</v>
      </c>
      <c r="H309" s="22">
        <f>ROUND(RAND()*4+6,1)</f>
      </c>
      <c r="I309" s="20" t="s">
        <v>36</v>
      </c>
      <c r="J309" s="23">
        <f>ROUND(79*1,0)&amp;"%"</f>
      </c>
    </row>
    <row x14ac:dyDescent="0.25" r="310" customHeight="1" ht="17.25">
      <c r="A310" s="17" t="s">
        <v>10298</v>
      </c>
      <c r="B310" s="17" t="s">
        <v>502</v>
      </c>
      <c r="C310" s="17" t="s">
        <v>114</v>
      </c>
      <c r="D310" s="17" t="s">
        <v>39</v>
      </c>
      <c r="E310" s="18">
        <f>ROUND(6804*1.05,2)</f>
      </c>
      <c r="F310" s="17" t="s">
        <v>40</v>
      </c>
      <c r="G310" s="17" t="s">
        <v>24</v>
      </c>
      <c r="H310" s="18">
        <f>ROUND(RAND()*4+6,1)</f>
      </c>
      <c r="I310" s="17" t="s">
        <v>41</v>
      </c>
      <c r="J310" s="19">
        <f>ROUND(94*1,0)&amp;"%"</f>
      </c>
    </row>
    <row x14ac:dyDescent="0.25" r="311" customHeight="1" ht="17.25">
      <c r="A311" s="20" t="s">
        <v>10299</v>
      </c>
      <c r="B311" s="20" t="s">
        <v>504</v>
      </c>
      <c r="C311" s="20" t="s">
        <v>114</v>
      </c>
      <c r="D311" s="20" t="s">
        <v>67</v>
      </c>
      <c r="E311" s="21">
        <f>ROUND(8312*1.05,2)</f>
      </c>
      <c r="F311" s="20" t="s">
        <v>44</v>
      </c>
      <c r="G311" s="20" t="s">
        <v>30</v>
      </c>
      <c r="H311" s="21">
        <f>ROUND(RAND()*4+6,1)</f>
      </c>
      <c r="I311" s="20" t="s">
        <v>45</v>
      </c>
      <c r="J311" s="23">
        <f>ROUND(85*1,0)&amp;"%"</f>
      </c>
    </row>
    <row x14ac:dyDescent="0.25" r="312" customHeight="1" ht="17.25">
      <c r="A312" s="17" t="s">
        <v>10300</v>
      </c>
      <c r="B312" s="17" t="s">
        <v>506</v>
      </c>
      <c r="C312" s="17" t="s">
        <v>114</v>
      </c>
      <c r="D312" s="17" t="s">
        <v>16</v>
      </c>
      <c r="E312" s="18">
        <f>ROUND(13388*1.05,2)</f>
      </c>
      <c r="F312" s="17" t="s">
        <v>48</v>
      </c>
      <c r="G312" s="17" t="s">
        <v>18</v>
      </c>
      <c r="H312" s="18">
        <f>ROUND(RAND()*4+6,1)</f>
      </c>
      <c r="I312" s="17" t="s">
        <v>19</v>
      </c>
      <c r="J312" s="19">
        <f>ROUND(73*1,0)&amp;"%"</f>
      </c>
    </row>
    <row x14ac:dyDescent="0.25" r="313" customHeight="1" ht="17.25">
      <c r="A313" s="20" t="s">
        <v>10301</v>
      </c>
      <c r="B313" s="20" t="s">
        <v>508</v>
      </c>
      <c r="C313" s="20" t="s">
        <v>114</v>
      </c>
      <c r="D313" s="20" t="s">
        <v>22</v>
      </c>
      <c r="E313" s="21">
        <f>ROUND(10742*1.05,2)</f>
      </c>
      <c r="F313" s="20" t="s">
        <v>51</v>
      </c>
      <c r="G313" s="20" t="s">
        <v>24</v>
      </c>
      <c r="H313" s="21">
        <f>ROUND(RAND()*4+6,1)</f>
      </c>
      <c r="I313" s="20" t="s">
        <v>25</v>
      </c>
      <c r="J313" s="23">
        <f>ROUND(97*1,0)&amp;"%"</f>
      </c>
    </row>
    <row x14ac:dyDescent="0.25" r="314" customHeight="1" ht="17.25">
      <c r="A314" s="24" t="s">
        <v>509</v>
      </c>
      <c r="B314" s="24"/>
      <c r="C314" s="24"/>
      <c r="D314" s="24"/>
      <c r="E314" s="25">
        <v>8</v>
      </c>
      <c r="F314" s="9"/>
      <c r="G314" s="9"/>
      <c r="H314" s="10"/>
      <c r="I314" s="9"/>
      <c r="J314" s="9"/>
    </row>
    <row x14ac:dyDescent="0.25" r="315" customHeight="1" ht="17.25">
      <c r="A315" s="7"/>
      <c r="B315" s="7"/>
      <c r="C315" s="7"/>
      <c r="D315" s="7"/>
      <c r="E315" s="8"/>
      <c r="F315" s="9"/>
      <c r="G315" s="9"/>
      <c r="H315" s="10"/>
      <c r="I315" s="9"/>
      <c r="J315" s="9"/>
    </row>
    <row x14ac:dyDescent="0.25" r="316" customHeight="1" ht="17.25">
      <c r="A316" s="11" t="s">
        <v>10302</v>
      </c>
      <c r="B316" s="11"/>
      <c r="C316" s="11"/>
      <c r="D316" s="11"/>
      <c r="E316" s="12"/>
      <c r="F316" s="11"/>
      <c r="G316" s="11"/>
      <c r="H316" s="13"/>
      <c r="I316" s="11"/>
      <c r="J316" s="11"/>
    </row>
    <row x14ac:dyDescent="0.25" r="317" customHeight="1" ht="17.25">
      <c r="A317" s="14" t="s">
        <v>3</v>
      </c>
      <c r="B317" s="14" t="s">
        <v>4</v>
      </c>
      <c r="C317" s="14" t="s">
        <v>5</v>
      </c>
      <c r="D317" s="14" t="s">
        <v>6</v>
      </c>
      <c r="E317" s="15" t="s">
        <v>7</v>
      </c>
      <c r="F317" s="14" t="s">
        <v>8</v>
      </c>
      <c r="G317" s="14" t="s">
        <v>9</v>
      </c>
      <c r="H317" s="16" t="s">
        <v>10</v>
      </c>
      <c r="I317" s="14" t="s">
        <v>11</v>
      </c>
      <c r="J317" s="14" t="s">
        <v>12</v>
      </c>
    </row>
    <row x14ac:dyDescent="0.25" r="318" customHeight="1" ht="17.25">
      <c r="A318" s="17" t="s">
        <v>10303</v>
      </c>
      <c r="B318" s="17" t="s">
        <v>512</v>
      </c>
      <c r="C318" s="17" t="s">
        <v>133</v>
      </c>
      <c r="D318" s="17" t="s">
        <v>16</v>
      </c>
      <c r="E318" s="18">
        <f>ROUND(6511*1.05,2)</f>
      </c>
      <c r="F318" s="17" t="s">
        <v>17</v>
      </c>
      <c r="G318" s="17" t="s">
        <v>18</v>
      </c>
      <c r="H318" s="18">
        <f>ROUND(RAND()*4+6,1)</f>
      </c>
      <c r="I318" s="17" t="s">
        <v>19</v>
      </c>
      <c r="J318" s="19">
        <f>ROUND(99*1,0)&amp;"%"</f>
      </c>
    </row>
    <row x14ac:dyDescent="0.25" r="319" customHeight="1" ht="17.25">
      <c r="A319" s="20" t="s">
        <v>10304</v>
      </c>
      <c r="B319" s="20" t="s">
        <v>514</v>
      </c>
      <c r="C319" s="20" t="s">
        <v>133</v>
      </c>
      <c r="D319" s="20" t="s">
        <v>22</v>
      </c>
      <c r="E319" s="21">
        <f>ROUND(12809*1.05,2)</f>
      </c>
      <c r="F319" s="20" t="s">
        <v>23</v>
      </c>
      <c r="G319" s="20" t="s">
        <v>24</v>
      </c>
      <c r="H319" s="21">
        <f>ROUND(RAND()*4+6,1)</f>
      </c>
      <c r="I319" s="20" t="s">
        <v>25</v>
      </c>
      <c r="J319" s="23">
        <f>ROUND(60*1,0)&amp;"%"</f>
      </c>
    </row>
    <row x14ac:dyDescent="0.25" r="320" customHeight="1" ht="17.25">
      <c r="A320" s="17" t="s">
        <v>10305</v>
      </c>
      <c r="B320" s="17" t="s">
        <v>516</v>
      </c>
      <c r="C320" s="17" t="s">
        <v>133</v>
      </c>
      <c r="D320" s="17" t="s">
        <v>28</v>
      </c>
      <c r="E320" s="18">
        <f>ROUND(10124*1.05,2)</f>
      </c>
      <c r="F320" s="17" t="s">
        <v>29</v>
      </c>
      <c r="G320" s="17" t="s">
        <v>30</v>
      </c>
      <c r="H320" s="18">
        <f>ROUND(RAND()*4+6,1)</f>
      </c>
      <c r="I320" s="17" t="s">
        <v>31</v>
      </c>
      <c r="J320" s="19">
        <f>ROUND(61*1,0)&amp;"%"</f>
      </c>
    </row>
    <row x14ac:dyDescent="0.25" r="321" customHeight="1" ht="17.25">
      <c r="A321" s="20" t="s">
        <v>10306</v>
      </c>
      <c r="B321" s="20" t="s">
        <v>518</v>
      </c>
      <c r="C321" s="20" t="s">
        <v>133</v>
      </c>
      <c r="D321" s="20" t="s">
        <v>34</v>
      </c>
      <c r="E321" s="21">
        <f>ROUND(4676*1.05,2)</f>
      </c>
      <c r="F321" s="20" t="s">
        <v>35</v>
      </c>
      <c r="G321" s="20" t="s">
        <v>18</v>
      </c>
      <c r="H321" s="22">
        <f>ROUND(RAND()*4+6,1)</f>
      </c>
      <c r="I321" s="20" t="s">
        <v>36</v>
      </c>
      <c r="J321" s="23">
        <f>ROUND(76*1,0)&amp;"%"</f>
      </c>
    </row>
    <row x14ac:dyDescent="0.25" r="322" customHeight="1" ht="17.25">
      <c r="A322" s="17" t="s">
        <v>10307</v>
      </c>
      <c r="B322" s="17" t="s">
        <v>520</v>
      </c>
      <c r="C322" s="17" t="s">
        <v>133</v>
      </c>
      <c r="D322" s="17" t="s">
        <v>39</v>
      </c>
      <c r="E322" s="18">
        <f>ROUND(9590*1.05,2)</f>
      </c>
      <c r="F322" s="17" t="s">
        <v>40</v>
      </c>
      <c r="G322" s="17" t="s">
        <v>24</v>
      </c>
      <c r="H322" s="18">
        <f>ROUND(RAND()*4+6,1)</f>
      </c>
      <c r="I322" s="17" t="s">
        <v>41</v>
      </c>
      <c r="J322" s="19">
        <f>ROUND(97*1,0)&amp;"%"</f>
      </c>
    </row>
    <row x14ac:dyDescent="0.25" r="323" customHeight="1" ht="17.25">
      <c r="A323" s="20" t="s">
        <v>10308</v>
      </c>
      <c r="B323" s="20" t="s">
        <v>522</v>
      </c>
      <c r="C323" s="20" t="s">
        <v>133</v>
      </c>
      <c r="D323" s="20" t="s">
        <v>67</v>
      </c>
      <c r="E323" s="21">
        <f>ROUND(15049*1.05,2)</f>
      </c>
      <c r="F323" s="20" t="s">
        <v>44</v>
      </c>
      <c r="G323" s="20" t="s">
        <v>30</v>
      </c>
      <c r="H323" s="21">
        <f>ROUND(RAND()*4+6,1)</f>
      </c>
      <c r="I323" s="20" t="s">
        <v>45</v>
      </c>
      <c r="J323" s="23">
        <f>ROUND(68*1,0)&amp;"%"</f>
      </c>
    </row>
    <row x14ac:dyDescent="0.25" r="324" customHeight="1" ht="17.25">
      <c r="A324" s="17" t="s">
        <v>10309</v>
      </c>
      <c r="B324" s="17" t="s">
        <v>524</v>
      </c>
      <c r="C324" s="17" t="s">
        <v>133</v>
      </c>
      <c r="D324" s="17" t="s">
        <v>16</v>
      </c>
      <c r="E324" s="18">
        <f>ROUND(8448*1.05,2)</f>
      </c>
      <c r="F324" s="17" t="s">
        <v>48</v>
      </c>
      <c r="G324" s="17" t="s">
        <v>18</v>
      </c>
      <c r="H324" s="18">
        <f>ROUND(RAND()*4+6,1)</f>
      </c>
      <c r="I324" s="17" t="s">
        <v>19</v>
      </c>
      <c r="J324" s="19">
        <f>ROUND(92*1,0)&amp;"%"</f>
      </c>
    </row>
    <row x14ac:dyDescent="0.25" r="325" customHeight="1" ht="17.25">
      <c r="A325" s="20" t="s">
        <v>10310</v>
      </c>
      <c r="B325" s="20" t="s">
        <v>526</v>
      </c>
      <c r="C325" s="20" t="s">
        <v>133</v>
      </c>
      <c r="D325" s="20" t="s">
        <v>22</v>
      </c>
      <c r="E325" s="21">
        <f>ROUND(8335*1.05,2)</f>
      </c>
      <c r="F325" s="20" t="s">
        <v>51</v>
      </c>
      <c r="G325" s="20" t="s">
        <v>24</v>
      </c>
      <c r="H325" s="21">
        <f>ROUND(RAND()*4+6,1)</f>
      </c>
      <c r="I325" s="20" t="s">
        <v>25</v>
      </c>
      <c r="J325" s="23">
        <f>ROUND(76*1,0)&amp;"%"</f>
      </c>
    </row>
    <row x14ac:dyDescent="0.25" r="326" customHeight="1" ht="17.25">
      <c r="A326" s="24" t="s">
        <v>527</v>
      </c>
      <c r="B326" s="24"/>
      <c r="C326" s="24"/>
      <c r="D326" s="24"/>
      <c r="E326" s="25">
        <v>8</v>
      </c>
      <c r="F326" s="9"/>
      <c r="G326" s="9"/>
      <c r="H326" s="10"/>
      <c r="I326" s="9"/>
      <c r="J326" s="9"/>
    </row>
    <row x14ac:dyDescent="0.25" r="327" customHeight="1" ht="17.25">
      <c r="A327" s="7"/>
      <c r="B327" s="7"/>
      <c r="C327" s="7"/>
      <c r="D327" s="7"/>
      <c r="E327" s="8"/>
      <c r="F327" s="9"/>
      <c r="G327" s="9"/>
      <c r="H327" s="10"/>
      <c r="I327" s="9"/>
      <c r="J327" s="9"/>
    </row>
    <row x14ac:dyDescent="0.25" r="328" customHeight="1" ht="17.25">
      <c r="A328" s="11" t="s">
        <v>10311</v>
      </c>
      <c r="B328" s="11"/>
      <c r="C328" s="11"/>
      <c r="D328" s="11"/>
      <c r="E328" s="12"/>
      <c r="F328" s="11"/>
      <c r="G328" s="11"/>
      <c r="H328" s="13"/>
      <c r="I328" s="11"/>
      <c r="J328" s="11"/>
    </row>
    <row x14ac:dyDescent="0.25" r="329" customHeight="1" ht="17.25">
      <c r="A329" s="14" t="s">
        <v>3</v>
      </c>
      <c r="B329" s="14" t="s">
        <v>4</v>
      </c>
      <c r="C329" s="14" t="s">
        <v>5</v>
      </c>
      <c r="D329" s="14" t="s">
        <v>6</v>
      </c>
      <c r="E329" s="15" t="s">
        <v>7</v>
      </c>
      <c r="F329" s="14" t="s">
        <v>8</v>
      </c>
      <c r="G329" s="14" t="s">
        <v>9</v>
      </c>
      <c r="H329" s="16" t="s">
        <v>10</v>
      </c>
      <c r="I329" s="14" t="s">
        <v>11</v>
      </c>
      <c r="J329" s="14" t="s">
        <v>12</v>
      </c>
    </row>
    <row x14ac:dyDescent="0.25" r="330" customHeight="1" ht="17.25">
      <c r="A330" s="17" t="s">
        <v>10312</v>
      </c>
      <c r="B330" s="17" t="s">
        <v>530</v>
      </c>
      <c r="C330" s="17" t="s">
        <v>152</v>
      </c>
      <c r="D330" s="17" t="s">
        <v>16</v>
      </c>
      <c r="E330" s="18">
        <f>ROUND(12377*1.05,2)</f>
      </c>
      <c r="F330" s="17" t="s">
        <v>17</v>
      </c>
      <c r="G330" s="17" t="s">
        <v>18</v>
      </c>
      <c r="H330" s="18">
        <f>ROUND(RAND()*4+6,1)</f>
      </c>
      <c r="I330" s="17" t="s">
        <v>19</v>
      </c>
      <c r="J330" s="19">
        <f>ROUND(96*1,0)&amp;"%"</f>
      </c>
    </row>
    <row x14ac:dyDescent="0.25" r="331" customHeight="1" ht="17.25">
      <c r="A331" s="20" t="s">
        <v>10313</v>
      </c>
      <c r="B331" s="20" t="s">
        <v>532</v>
      </c>
      <c r="C331" s="20" t="s">
        <v>152</v>
      </c>
      <c r="D331" s="20" t="s">
        <v>22</v>
      </c>
      <c r="E331" s="21">
        <f>ROUND(17442*1.05,2)</f>
      </c>
      <c r="F331" s="20" t="s">
        <v>23</v>
      </c>
      <c r="G331" s="20" t="s">
        <v>24</v>
      </c>
      <c r="H331" s="21">
        <f>ROUND(RAND()*4+6,1)</f>
      </c>
      <c r="I331" s="20" t="s">
        <v>25</v>
      </c>
      <c r="J331" s="23">
        <f>ROUND(63*1,0)&amp;"%"</f>
      </c>
    </row>
    <row x14ac:dyDescent="0.25" r="332" customHeight="1" ht="17.25">
      <c r="A332" s="17" t="s">
        <v>10314</v>
      </c>
      <c r="B332" s="17" t="s">
        <v>534</v>
      </c>
      <c r="C332" s="17" t="s">
        <v>152</v>
      </c>
      <c r="D332" s="17" t="s">
        <v>28</v>
      </c>
      <c r="E332" s="18">
        <f>ROUND(8849*1.05,2)</f>
      </c>
      <c r="F332" s="17" t="s">
        <v>29</v>
      </c>
      <c r="G332" s="17" t="s">
        <v>30</v>
      </c>
      <c r="H332" s="18">
        <f>ROUND(RAND()*4+6,1)</f>
      </c>
      <c r="I332" s="17" t="s">
        <v>31</v>
      </c>
      <c r="J332" s="19">
        <f>ROUND(93*1,0)&amp;"%"</f>
      </c>
    </row>
    <row x14ac:dyDescent="0.25" r="333" customHeight="1" ht="17.25">
      <c r="A333" s="20" t="s">
        <v>10315</v>
      </c>
      <c r="B333" s="20" t="s">
        <v>536</v>
      </c>
      <c r="C333" s="20" t="s">
        <v>152</v>
      </c>
      <c r="D333" s="20" t="s">
        <v>34</v>
      </c>
      <c r="E333" s="21">
        <f>ROUND(4147*1.05,2)</f>
      </c>
      <c r="F333" s="20" t="s">
        <v>35</v>
      </c>
      <c r="G333" s="20" t="s">
        <v>18</v>
      </c>
      <c r="H333" s="21">
        <f>ROUND(RAND()*4+6,1)</f>
      </c>
      <c r="I333" s="20" t="s">
        <v>36</v>
      </c>
      <c r="J333" s="23">
        <f>ROUND(93*1,0)&amp;"%"</f>
      </c>
    </row>
    <row x14ac:dyDescent="0.25" r="334" customHeight="1" ht="17.25">
      <c r="A334" s="17" t="s">
        <v>10316</v>
      </c>
      <c r="B334" s="17" t="s">
        <v>538</v>
      </c>
      <c r="C334" s="17" t="s">
        <v>152</v>
      </c>
      <c r="D334" s="17" t="s">
        <v>39</v>
      </c>
      <c r="E334" s="18">
        <f>ROUND(12463*1.05,2)</f>
      </c>
      <c r="F334" s="17" t="s">
        <v>40</v>
      </c>
      <c r="G334" s="17" t="s">
        <v>24</v>
      </c>
      <c r="H334" s="18">
        <f>ROUND(RAND()*4+6,1)</f>
      </c>
      <c r="I334" s="17" t="s">
        <v>41</v>
      </c>
      <c r="J334" s="19">
        <f>ROUND(67*1,0)&amp;"%"</f>
      </c>
    </row>
    <row x14ac:dyDescent="0.25" r="335" customHeight="1" ht="17.25">
      <c r="A335" s="20" t="s">
        <v>10317</v>
      </c>
      <c r="B335" s="20" t="s">
        <v>540</v>
      </c>
      <c r="C335" s="20" t="s">
        <v>152</v>
      </c>
      <c r="D335" s="20" t="s">
        <v>67</v>
      </c>
      <c r="E335" s="21">
        <f>ROUND(9275*1.05,2)</f>
      </c>
      <c r="F335" s="20" t="s">
        <v>44</v>
      </c>
      <c r="G335" s="20" t="s">
        <v>30</v>
      </c>
      <c r="H335" s="21">
        <f>ROUND(RAND()*4+6,1)</f>
      </c>
      <c r="I335" s="20" t="s">
        <v>45</v>
      </c>
      <c r="J335" s="23">
        <f>ROUND(87*1,0)&amp;"%"</f>
      </c>
    </row>
    <row x14ac:dyDescent="0.25" r="336" customHeight="1" ht="17.25">
      <c r="A336" s="17" t="s">
        <v>10318</v>
      </c>
      <c r="B336" s="17" t="s">
        <v>542</v>
      </c>
      <c r="C336" s="17" t="s">
        <v>152</v>
      </c>
      <c r="D336" s="17" t="s">
        <v>16</v>
      </c>
      <c r="E336" s="18">
        <f>ROUND(9678*1.05,2)</f>
      </c>
      <c r="F336" s="17" t="s">
        <v>48</v>
      </c>
      <c r="G336" s="17" t="s">
        <v>18</v>
      </c>
      <c r="H336" s="18">
        <f>ROUND(RAND()*4+6,1)</f>
      </c>
      <c r="I336" s="17" t="s">
        <v>19</v>
      </c>
      <c r="J336" s="19">
        <f>ROUND(66*1,0)&amp;"%"</f>
      </c>
    </row>
    <row x14ac:dyDescent="0.25" r="337" customHeight="1" ht="17.25">
      <c r="A337" s="20" t="s">
        <v>10319</v>
      </c>
      <c r="B337" s="20" t="s">
        <v>544</v>
      </c>
      <c r="C337" s="20" t="s">
        <v>152</v>
      </c>
      <c r="D337" s="20" t="s">
        <v>22</v>
      </c>
      <c r="E337" s="21">
        <f>ROUND(12301*1.05,2)</f>
      </c>
      <c r="F337" s="20" t="s">
        <v>51</v>
      </c>
      <c r="G337" s="20" t="s">
        <v>24</v>
      </c>
      <c r="H337" s="21">
        <f>ROUND(RAND()*4+6,1)</f>
      </c>
      <c r="I337" s="20" t="s">
        <v>25</v>
      </c>
      <c r="J337" s="23">
        <f>ROUND(67*1,0)&amp;"%"</f>
      </c>
    </row>
    <row x14ac:dyDescent="0.25" r="338" customHeight="1" ht="17.25">
      <c r="A338" s="24" t="s">
        <v>545</v>
      </c>
      <c r="B338" s="24"/>
      <c r="C338" s="24"/>
      <c r="D338" s="24"/>
      <c r="E338" s="25">
        <v>8</v>
      </c>
      <c r="F338" s="9"/>
      <c r="G338" s="9"/>
      <c r="H338" s="10"/>
      <c r="I338" s="9"/>
      <c r="J338" s="9"/>
    </row>
    <row x14ac:dyDescent="0.25" r="339" customHeight="1" ht="17.25">
      <c r="A339" s="7"/>
      <c r="B339" s="7"/>
      <c r="C339" s="7"/>
      <c r="D339" s="7"/>
      <c r="E339" s="8"/>
      <c r="F339" s="9"/>
      <c r="G339" s="9"/>
      <c r="H339" s="10"/>
      <c r="I339" s="9"/>
      <c r="J339" s="9"/>
    </row>
    <row x14ac:dyDescent="0.25" r="340" customHeight="1" ht="17.25">
      <c r="A340" s="11" t="s">
        <v>10320</v>
      </c>
      <c r="B340" s="11"/>
      <c r="C340" s="11"/>
      <c r="D340" s="11"/>
      <c r="E340" s="12"/>
      <c r="F340" s="11"/>
      <c r="G340" s="11"/>
      <c r="H340" s="13"/>
      <c r="I340" s="11"/>
      <c r="J340" s="11"/>
    </row>
    <row x14ac:dyDescent="0.25" r="341" customHeight="1" ht="17.25">
      <c r="A341" s="14" t="s">
        <v>3</v>
      </c>
      <c r="B341" s="14" t="s">
        <v>4</v>
      </c>
      <c r="C341" s="14" t="s">
        <v>5</v>
      </c>
      <c r="D341" s="14" t="s">
        <v>6</v>
      </c>
      <c r="E341" s="15" t="s">
        <v>7</v>
      </c>
      <c r="F341" s="14" t="s">
        <v>8</v>
      </c>
      <c r="G341" s="14" t="s">
        <v>9</v>
      </c>
      <c r="H341" s="16" t="s">
        <v>10</v>
      </c>
      <c r="I341" s="14" t="s">
        <v>11</v>
      </c>
      <c r="J341" s="14" t="s">
        <v>12</v>
      </c>
    </row>
    <row x14ac:dyDescent="0.25" r="342" customHeight="1" ht="17.25">
      <c r="A342" s="17" t="s">
        <v>10321</v>
      </c>
      <c r="B342" s="17" t="s">
        <v>548</v>
      </c>
      <c r="C342" s="17" t="s">
        <v>15</v>
      </c>
      <c r="D342" s="17" t="s">
        <v>16</v>
      </c>
      <c r="E342" s="18">
        <f>ROUND(16310*1.05,2)</f>
      </c>
      <c r="F342" s="17" t="s">
        <v>17</v>
      </c>
      <c r="G342" s="17" t="s">
        <v>18</v>
      </c>
      <c r="H342" s="18">
        <f>ROUND(RAND()*4+6,1)</f>
      </c>
      <c r="I342" s="17" t="s">
        <v>19</v>
      </c>
      <c r="J342" s="19">
        <f>ROUND(99*1,0)&amp;"%"</f>
      </c>
    </row>
    <row x14ac:dyDescent="0.25" r="343" customHeight="1" ht="17.25">
      <c r="A343" s="20" t="s">
        <v>10322</v>
      </c>
      <c r="B343" s="20" t="s">
        <v>550</v>
      </c>
      <c r="C343" s="20" t="s">
        <v>15</v>
      </c>
      <c r="D343" s="20" t="s">
        <v>22</v>
      </c>
      <c r="E343" s="21">
        <f>ROUND(11456*1.05,2)</f>
      </c>
      <c r="F343" s="20" t="s">
        <v>23</v>
      </c>
      <c r="G343" s="20" t="s">
        <v>24</v>
      </c>
      <c r="H343" s="22">
        <f>ROUND(RAND()*4+6,1)</f>
      </c>
      <c r="I343" s="20" t="s">
        <v>25</v>
      </c>
      <c r="J343" s="23">
        <f>ROUND(68*1,0)&amp;"%"</f>
      </c>
    </row>
    <row x14ac:dyDescent="0.25" r="344" customHeight="1" ht="17.25">
      <c r="A344" s="17" t="s">
        <v>10323</v>
      </c>
      <c r="B344" s="17" t="s">
        <v>552</v>
      </c>
      <c r="C344" s="17" t="s">
        <v>15</v>
      </c>
      <c r="D344" s="17" t="s">
        <v>28</v>
      </c>
      <c r="E344" s="18">
        <f>ROUND(7296*1.05,2)</f>
      </c>
      <c r="F344" s="17" t="s">
        <v>29</v>
      </c>
      <c r="G344" s="17" t="s">
        <v>30</v>
      </c>
      <c r="H344" s="18">
        <f>ROUND(RAND()*4+6,1)</f>
      </c>
      <c r="I344" s="17" t="s">
        <v>31</v>
      </c>
      <c r="J344" s="19">
        <f>ROUND(61*1,0)&amp;"%"</f>
      </c>
    </row>
    <row x14ac:dyDescent="0.25" r="345" customHeight="1" ht="17.25">
      <c r="A345" s="20" t="s">
        <v>10324</v>
      </c>
      <c r="B345" s="20" t="s">
        <v>554</v>
      </c>
      <c r="C345" s="20" t="s">
        <v>15</v>
      </c>
      <c r="D345" s="20" t="s">
        <v>34</v>
      </c>
      <c r="E345" s="21">
        <f>ROUND(8452*1.05,2)</f>
      </c>
      <c r="F345" s="20" t="s">
        <v>35</v>
      </c>
      <c r="G345" s="20" t="s">
        <v>18</v>
      </c>
      <c r="H345" s="21">
        <f>ROUND(RAND()*4+6,1)</f>
      </c>
      <c r="I345" s="20" t="s">
        <v>36</v>
      </c>
      <c r="J345" s="23">
        <f>ROUND(69*1,0)&amp;"%"</f>
      </c>
    </row>
    <row x14ac:dyDescent="0.25" r="346" customHeight="1" ht="17.25">
      <c r="A346" s="17" t="s">
        <v>10325</v>
      </c>
      <c r="B346" s="17" t="s">
        <v>556</v>
      </c>
      <c r="C346" s="17" t="s">
        <v>15</v>
      </c>
      <c r="D346" s="17" t="s">
        <v>39</v>
      </c>
      <c r="E346" s="18">
        <f>ROUND(7601*1.05,2)</f>
      </c>
      <c r="F346" s="17" t="s">
        <v>40</v>
      </c>
      <c r="G346" s="17" t="s">
        <v>24</v>
      </c>
      <c r="H346" s="26">
        <f>ROUND(RAND()*4+6,1)</f>
      </c>
      <c r="I346" s="17" t="s">
        <v>41</v>
      </c>
      <c r="J346" s="19">
        <f>ROUND(86*1,0)&amp;"%"</f>
      </c>
    </row>
    <row x14ac:dyDescent="0.25" r="347" customHeight="1" ht="17.25">
      <c r="A347" s="20" t="s">
        <v>10326</v>
      </c>
      <c r="B347" s="20" t="s">
        <v>558</v>
      </c>
      <c r="C347" s="20" t="s">
        <v>15</v>
      </c>
      <c r="D347" s="20" t="s">
        <v>67</v>
      </c>
      <c r="E347" s="21">
        <f>ROUND(11766*1.05,2)</f>
      </c>
      <c r="F347" s="20" t="s">
        <v>44</v>
      </c>
      <c r="G347" s="20" t="s">
        <v>30</v>
      </c>
      <c r="H347" s="21">
        <f>ROUND(RAND()*4+6,1)</f>
      </c>
      <c r="I347" s="20" t="s">
        <v>45</v>
      </c>
      <c r="J347" s="23">
        <f>ROUND(84*1,0)&amp;"%"</f>
      </c>
    </row>
    <row x14ac:dyDescent="0.25" r="348" customHeight="1" ht="17.25">
      <c r="A348" s="17" t="s">
        <v>10327</v>
      </c>
      <c r="B348" s="17" t="s">
        <v>560</v>
      </c>
      <c r="C348" s="17" t="s">
        <v>15</v>
      </c>
      <c r="D348" s="17" t="s">
        <v>16</v>
      </c>
      <c r="E348" s="18">
        <f>ROUND(11971*1.05,2)</f>
      </c>
      <c r="F348" s="17" t="s">
        <v>48</v>
      </c>
      <c r="G348" s="17" t="s">
        <v>18</v>
      </c>
      <c r="H348" s="18">
        <f>ROUND(RAND()*4+6,1)</f>
      </c>
      <c r="I348" s="17" t="s">
        <v>19</v>
      </c>
      <c r="J348" s="19">
        <f>ROUND(69*1,0)&amp;"%"</f>
      </c>
    </row>
    <row x14ac:dyDescent="0.25" r="349" customHeight="1" ht="17.25">
      <c r="A349" s="20" t="s">
        <v>10328</v>
      </c>
      <c r="B349" s="20" t="s">
        <v>562</v>
      </c>
      <c r="C349" s="20" t="s">
        <v>15</v>
      </c>
      <c r="D349" s="20" t="s">
        <v>22</v>
      </c>
      <c r="E349" s="21">
        <f>ROUND(11936*1.05,2)</f>
      </c>
      <c r="F349" s="20" t="s">
        <v>51</v>
      </c>
      <c r="G349" s="20" t="s">
        <v>24</v>
      </c>
      <c r="H349" s="21">
        <f>ROUND(RAND()*4+6,1)</f>
      </c>
      <c r="I349" s="20" t="s">
        <v>25</v>
      </c>
      <c r="J349" s="23">
        <f>ROUND(85*1,0)&amp;"%"</f>
      </c>
    </row>
    <row x14ac:dyDescent="0.25" r="350" customHeight="1" ht="17.25">
      <c r="A350" s="24" t="s">
        <v>563</v>
      </c>
      <c r="B350" s="24"/>
      <c r="C350" s="24"/>
      <c r="D350" s="24"/>
      <c r="E350" s="25">
        <v>8</v>
      </c>
      <c r="F350" s="9"/>
      <c r="G350" s="9"/>
      <c r="H350" s="10"/>
      <c r="I350" s="9"/>
      <c r="J350" s="9"/>
    </row>
    <row x14ac:dyDescent="0.25" r="351" customHeight="1" ht="17.25">
      <c r="A351" s="7"/>
      <c r="B351" s="7"/>
      <c r="C351" s="7"/>
      <c r="D351" s="7"/>
      <c r="E351" s="8"/>
      <c r="F351" s="9"/>
      <c r="G351" s="9"/>
      <c r="H351" s="10"/>
      <c r="I351" s="9"/>
      <c r="J351" s="9"/>
    </row>
    <row x14ac:dyDescent="0.25" r="352" customHeight="1" ht="17.25">
      <c r="A352" s="11" t="s">
        <v>10329</v>
      </c>
      <c r="B352" s="11"/>
      <c r="C352" s="11"/>
      <c r="D352" s="11"/>
      <c r="E352" s="12"/>
      <c r="F352" s="11"/>
      <c r="G352" s="11"/>
      <c r="H352" s="13"/>
      <c r="I352" s="11"/>
      <c r="J352" s="11"/>
    </row>
    <row x14ac:dyDescent="0.25" r="353" customHeight="1" ht="17.25">
      <c r="A353" s="14" t="s">
        <v>3</v>
      </c>
      <c r="B353" s="14" t="s">
        <v>4</v>
      </c>
      <c r="C353" s="14" t="s">
        <v>5</v>
      </c>
      <c r="D353" s="14" t="s">
        <v>6</v>
      </c>
      <c r="E353" s="15" t="s">
        <v>7</v>
      </c>
      <c r="F353" s="14" t="s">
        <v>8</v>
      </c>
      <c r="G353" s="14" t="s">
        <v>9</v>
      </c>
      <c r="H353" s="16" t="s">
        <v>10</v>
      </c>
      <c r="I353" s="14" t="s">
        <v>11</v>
      </c>
      <c r="J353" s="14" t="s">
        <v>12</v>
      </c>
    </row>
    <row x14ac:dyDescent="0.25" r="354" customHeight="1" ht="17.25">
      <c r="A354" s="17" t="s">
        <v>10330</v>
      </c>
      <c r="B354" s="17" t="s">
        <v>566</v>
      </c>
      <c r="C354" s="17" t="s">
        <v>56</v>
      </c>
      <c r="D354" s="17" t="s">
        <v>16</v>
      </c>
      <c r="E354" s="18">
        <f>ROUND(9928*1.05,2)</f>
      </c>
      <c r="F354" s="17" t="s">
        <v>17</v>
      </c>
      <c r="G354" s="17" t="s">
        <v>18</v>
      </c>
      <c r="H354" s="18">
        <f>ROUND(RAND()*4+6,1)</f>
      </c>
      <c r="I354" s="17" t="s">
        <v>19</v>
      </c>
      <c r="J354" s="19">
        <f>ROUND(93*1,0)&amp;"%"</f>
      </c>
    </row>
    <row x14ac:dyDescent="0.25" r="355" customHeight="1" ht="17.25">
      <c r="A355" s="20" t="s">
        <v>10331</v>
      </c>
      <c r="B355" s="20" t="s">
        <v>568</v>
      </c>
      <c r="C355" s="20" t="s">
        <v>56</v>
      </c>
      <c r="D355" s="20" t="s">
        <v>22</v>
      </c>
      <c r="E355" s="21">
        <f>ROUND(4876*1.05,2)</f>
      </c>
      <c r="F355" s="20" t="s">
        <v>23</v>
      </c>
      <c r="G355" s="20" t="s">
        <v>24</v>
      </c>
      <c r="H355" s="21">
        <f>ROUND(RAND()*4+6,1)</f>
      </c>
      <c r="I355" s="20" t="s">
        <v>25</v>
      </c>
      <c r="J355" s="23">
        <f>ROUND(89*1,0)&amp;"%"</f>
      </c>
    </row>
    <row x14ac:dyDescent="0.25" r="356" customHeight="1" ht="17.25">
      <c r="A356" s="17" t="s">
        <v>10332</v>
      </c>
      <c r="B356" s="17" t="s">
        <v>570</v>
      </c>
      <c r="C356" s="17" t="s">
        <v>56</v>
      </c>
      <c r="D356" s="17" t="s">
        <v>28</v>
      </c>
      <c r="E356" s="18">
        <f>ROUND(9951*1.05,2)</f>
      </c>
      <c r="F356" s="17" t="s">
        <v>29</v>
      </c>
      <c r="G356" s="17" t="s">
        <v>30</v>
      </c>
      <c r="H356" s="18">
        <f>ROUND(RAND()*4+6,1)</f>
      </c>
      <c r="I356" s="17" t="s">
        <v>31</v>
      </c>
      <c r="J356" s="19">
        <f>ROUND(96*1,0)&amp;"%"</f>
      </c>
    </row>
    <row x14ac:dyDescent="0.25" r="357" customHeight="1" ht="17.25">
      <c r="A357" s="20" t="s">
        <v>10333</v>
      </c>
      <c r="B357" s="20" t="s">
        <v>572</v>
      </c>
      <c r="C357" s="20" t="s">
        <v>56</v>
      </c>
      <c r="D357" s="20" t="s">
        <v>34</v>
      </c>
      <c r="E357" s="21">
        <f>ROUND(5889*1.05,2)</f>
      </c>
      <c r="F357" s="20" t="s">
        <v>35</v>
      </c>
      <c r="G357" s="20" t="s">
        <v>18</v>
      </c>
      <c r="H357" s="21">
        <f>ROUND(RAND()*4+6,1)</f>
      </c>
      <c r="I357" s="20" t="s">
        <v>36</v>
      </c>
      <c r="J357" s="23">
        <f>ROUND(74*1,0)&amp;"%"</f>
      </c>
    </row>
    <row x14ac:dyDescent="0.25" r="358" customHeight="1" ht="17.25">
      <c r="A358" s="17" t="s">
        <v>10334</v>
      </c>
      <c r="B358" s="17" t="s">
        <v>574</v>
      </c>
      <c r="C358" s="17" t="s">
        <v>56</v>
      </c>
      <c r="D358" s="17" t="s">
        <v>39</v>
      </c>
      <c r="E358" s="18">
        <f>ROUND(11877*1.05,2)</f>
      </c>
      <c r="F358" s="17" t="s">
        <v>40</v>
      </c>
      <c r="G358" s="17" t="s">
        <v>24</v>
      </c>
      <c r="H358" s="18">
        <f>ROUND(RAND()*4+6,1)</f>
      </c>
      <c r="I358" s="17" t="s">
        <v>41</v>
      </c>
      <c r="J358" s="19">
        <f>ROUND(63*1,0)&amp;"%"</f>
      </c>
    </row>
    <row x14ac:dyDescent="0.25" r="359" customHeight="1" ht="17.25">
      <c r="A359" s="20" t="s">
        <v>10335</v>
      </c>
      <c r="B359" s="20" t="s">
        <v>576</v>
      </c>
      <c r="C359" s="20" t="s">
        <v>56</v>
      </c>
      <c r="D359" s="20" t="s">
        <v>67</v>
      </c>
      <c r="E359" s="21">
        <f>ROUND(5803*1.05,2)</f>
      </c>
      <c r="F359" s="20" t="s">
        <v>44</v>
      </c>
      <c r="G359" s="20" t="s">
        <v>30</v>
      </c>
      <c r="H359" s="21">
        <f>ROUND(RAND()*4+6,1)</f>
      </c>
      <c r="I359" s="20" t="s">
        <v>45</v>
      </c>
      <c r="J359" s="23">
        <f>ROUND(93*1,0)&amp;"%"</f>
      </c>
    </row>
    <row x14ac:dyDescent="0.25" r="360" customHeight="1" ht="17.25">
      <c r="A360" s="17" t="s">
        <v>10336</v>
      </c>
      <c r="B360" s="17" t="s">
        <v>578</v>
      </c>
      <c r="C360" s="17" t="s">
        <v>56</v>
      </c>
      <c r="D360" s="17" t="s">
        <v>16</v>
      </c>
      <c r="E360" s="18">
        <f>ROUND(6637*1.05,2)</f>
      </c>
      <c r="F360" s="17" t="s">
        <v>48</v>
      </c>
      <c r="G360" s="17" t="s">
        <v>18</v>
      </c>
      <c r="H360" s="18">
        <f>ROUND(RAND()*4+6,1)</f>
      </c>
      <c r="I360" s="17" t="s">
        <v>19</v>
      </c>
      <c r="J360" s="19">
        <f>ROUND(76*1,0)&amp;"%"</f>
      </c>
    </row>
    <row x14ac:dyDescent="0.25" r="361" customHeight="1" ht="17.25">
      <c r="A361" s="20" t="s">
        <v>10337</v>
      </c>
      <c r="B361" s="20" t="s">
        <v>580</v>
      </c>
      <c r="C361" s="20" t="s">
        <v>56</v>
      </c>
      <c r="D361" s="20" t="s">
        <v>22</v>
      </c>
      <c r="E361" s="21">
        <f>ROUND(6152*1.05,2)</f>
      </c>
      <c r="F361" s="20" t="s">
        <v>51</v>
      </c>
      <c r="G361" s="20" t="s">
        <v>24</v>
      </c>
      <c r="H361" s="21">
        <f>ROUND(RAND()*4+6,1)</f>
      </c>
      <c r="I361" s="20" t="s">
        <v>25</v>
      </c>
      <c r="J361" s="23">
        <f>ROUND(66*1,0)&amp;"%"</f>
      </c>
    </row>
    <row x14ac:dyDescent="0.25" r="362" customHeight="1" ht="17.25">
      <c r="A362" s="24" t="s">
        <v>581</v>
      </c>
      <c r="B362" s="24"/>
      <c r="C362" s="24"/>
      <c r="D362" s="24"/>
      <c r="E362" s="25">
        <v>8</v>
      </c>
      <c r="F362" s="9"/>
      <c r="G362" s="9"/>
      <c r="H362" s="10"/>
      <c r="I362" s="9"/>
      <c r="J362" s="9"/>
    </row>
  </sheetData>
  <mergeCells count="62">
    <mergeCell ref="A1:J1"/>
    <mergeCell ref="A2:J2"/>
    <mergeCell ref="A4:J4"/>
    <mergeCell ref="A14:D14"/>
    <mergeCell ref="A16:J16"/>
    <mergeCell ref="A26:D26"/>
    <mergeCell ref="A28:J28"/>
    <mergeCell ref="A38:D38"/>
    <mergeCell ref="A40:J40"/>
    <mergeCell ref="A50:D50"/>
    <mergeCell ref="A52:J52"/>
    <mergeCell ref="A62:D62"/>
    <mergeCell ref="A64:J64"/>
    <mergeCell ref="A74:D74"/>
    <mergeCell ref="A76:J76"/>
    <mergeCell ref="A86:D86"/>
    <mergeCell ref="A88:J88"/>
    <mergeCell ref="A98:D98"/>
    <mergeCell ref="A100:J100"/>
    <mergeCell ref="A110:D110"/>
    <mergeCell ref="A112:J112"/>
    <mergeCell ref="A122:D122"/>
    <mergeCell ref="A124:J124"/>
    <mergeCell ref="A134:D134"/>
    <mergeCell ref="A136:J136"/>
    <mergeCell ref="A146:D146"/>
    <mergeCell ref="A148:J148"/>
    <mergeCell ref="A158:D158"/>
    <mergeCell ref="A160:J160"/>
    <mergeCell ref="A170:D170"/>
    <mergeCell ref="A172:J172"/>
    <mergeCell ref="A182:D182"/>
    <mergeCell ref="A184:J184"/>
    <mergeCell ref="A194:D194"/>
    <mergeCell ref="A196:J196"/>
    <mergeCell ref="A206:D206"/>
    <mergeCell ref="A208:J208"/>
    <mergeCell ref="A218:D218"/>
    <mergeCell ref="A220:J220"/>
    <mergeCell ref="A230:D230"/>
    <mergeCell ref="A232:J232"/>
    <mergeCell ref="A242:D242"/>
    <mergeCell ref="A244:J244"/>
    <mergeCell ref="A254:D254"/>
    <mergeCell ref="A256:J256"/>
    <mergeCell ref="A266:D266"/>
    <mergeCell ref="A268:J268"/>
    <mergeCell ref="A278:D278"/>
    <mergeCell ref="A280:J280"/>
    <mergeCell ref="A290:D290"/>
    <mergeCell ref="A292:J292"/>
    <mergeCell ref="A302:D302"/>
    <mergeCell ref="A304:J304"/>
    <mergeCell ref="A314:D314"/>
    <mergeCell ref="A316:J316"/>
    <mergeCell ref="A326:D326"/>
    <mergeCell ref="A328:J328"/>
    <mergeCell ref="A338:D338"/>
    <mergeCell ref="A340:J340"/>
    <mergeCell ref="A350:D350"/>
    <mergeCell ref="A352:J352"/>
    <mergeCell ref="A362:D362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J362"/>
  <sheetViews>
    <sheetView workbookViewId="0"/>
  </sheetViews>
  <sheetFormatPr defaultRowHeight="15" x14ac:dyDescent="0.25"/>
  <cols>
    <col min="1" max="1" style="27" width="8.005" customWidth="1" bestFit="1"/>
    <col min="2" max="2" style="27" width="22.005" customWidth="1" bestFit="1"/>
    <col min="3" max="3" style="27" width="16.005" customWidth="1" bestFit="1"/>
    <col min="4" max="4" style="27" width="14.005" customWidth="1" bestFit="1"/>
    <col min="5" max="5" style="28" width="12.005" customWidth="1" bestFit="1"/>
    <col min="6" max="6" style="29" width="16.005" customWidth="1" bestFit="1"/>
    <col min="7" max="7" style="29" width="10.005" customWidth="1" bestFit="1"/>
    <col min="8" max="8" style="30" width="10.005" customWidth="1" bestFit="1"/>
    <col min="9" max="9" style="29" width="14.005" customWidth="1" bestFit="1"/>
    <col min="10" max="10" style="29" width="8.005" customWidth="1" bestFit="1"/>
  </cols>
  <sheetData>
    <row x14ac:dyDescent="0.25" r="1" customHeight="1" ht="17.25">
      <c r="A1" s="1" t="s">
        <v>9796</v>
      </c>
      <c r="B1" s="1"/>
      <c r="C1" s="1"/>
      <c r="D1" s="1"/>
      <c r="E1" s="2"/>
      <c r="F1" s="1"/>
      <c r="G1" s="1"/>
      <c r="H1" s="3"/>
      <c r="I1" s="1"/>
      <c r="J1" s="1"/>
    </row>
    <row x14ac:dyDescent="0.25" r="2" customHeight="1" ht="17.25">
      <c r="A2" s="4" t="s">
        <v>1</v>
      </c>
      <c r="B2" s="4"/>
      <c r="C2" s="4"/>
      <c r="D2" s="4"/>
      <c r="E2" s="5"/>
      <c r="F2" s="4"/>
      <c r="G2" s="4"/>
      <c r="H2" s="6"/>
      <c r="I2" s="4"/>
      <c r="J2" s="4"/>
    </row>
    <row x14ac:dyDescent="0.25" r="3" customHeight="1" ht="17.25">
      <c r="A3" s="7"/>
      <c r="B3" s="7"/>
      <c r="C3" s="7"/>
      <c r="D3" s="7"/>
      <c r="E3" s="8"/>
      <c r="F3" s="9"/>
      <c r="G3" s="9"/>
      <c r="H3" s="10"/>
      <c r="I3" s="9"/>
      <c r="J3" s="9"/>
    </row>
    <row x14ac:dyDescent="0.25" r="4" customHeight="1" ht="17.25">
      <c r="A4" s="11" t="s">
        <v>9797</v>
      </c>
      <c r="B4" s="11"/>
      <c r="C4" s="11"/>
      <c r="D4" s="11"/>
      <c r="E4" s="12"/>
      <c r="F4" s="11"/>
      <c r="G4" s="11"/>
      <c r="H4" s="13"/>
      <c r="I4" s="11"/>
      <c r="J4" s="11"/>
    </row>
    <row x14ac:dyDescent="0.25" r="5" customHeight="1" ht="17.25">
      <c r="A5" s="14" t="s">
        <v>3</v>
      </c>
      <c r="B5" s="14" t="s">
        <v>4</v>
      </c>
      <c r="C5" s="14" t="s">
        <v>5</v>
      </c>
      <c r="D5" s="14" t="s">
        <v>6</v>
      </c>
      <c r="E5" s="15" t="s">
        <v>7</v>
      </c>
      <c r="F5" s="14" t="s">
        <v>8</v>
      </c>
      <c r="G5" s="14" t="s">
        <v>9</v>
      </c>
      <c r="H5" s="16" t="s">
        <v>10</v>
      </c>
      <c r="I5" s="14" t="s">
        <v>11</v>
      </c>
      <c r="J5" s="14" t="s">
        <v>12</v>
      </c>
    </row>
    <row x14ac:dyDescent="0.25" r="6" customHeight="1" ht="17.25">
      <c r="A6" s="17" t="s">
        <v>9798</v>
      </c>
      <c r="B6" s="17" t="s">
        <v>14</v>
      </c>
      <c r="C6" s="17" t="s">
        <v>15</v>
      </c>
      <c r="D6" s="17" t="s">
        <v>16</v>
      </c>
      <c r="E6" s="18">
        <f>ROUND(12816*1.05,2)</f>
      </c>
      <c r="F6" s="17" t="s">
        <v>17</v>
      </c>
      <c r="G6" s="17" t="s">
        <v>18</v>
      </c>
      <c r="H6" s="18">
        <f>ROUND(RAND()*4+6,1)</f>
      </c>
      <c r="I6" s="17" t="s">
        <v>19</v>
      </c>
      <c r="J6" s="19">
        <f>ROUND(80*1,0)&amp;"%"</f>
      </c>
    </row>
    <row x14ac:dyDescent="0.25" r="7" customHeight="1" ht="17.25">
      <c r="A7" s="20" t="s">
        <v>9799</v>
      </c>
      <c r="B7" s="20" t="s">
        <v>21</v>
      </c>
      <c r="C7" s="20" t="s">
        <v>15</v>
      </c>
      <c r="D7" s="20" t="s">
        <v>22</v>
      </c>
      <c r="E7" s="22">
        <f>ROUND(17920*1.05,2)</f>
      </c>
      <c r="F7" s="20" t="s">
        <v>23</v>
      </c>
      <c r="G7" s="20" t="s">
        <v>24</v>
      </c>
      <c r="H7" s="21">
        <f>ROUND(RAND()*4+6,1)</f>
      </c>
      <c r="I7" s="20" t="s">
        <v>25</v>
      </c>
      <c r="J7" s="23">
        <f>ROUND(96*1,0)&amp;"%"</f>
      </c>
    </row>
    <row x14ac:dyDescent="0.25" r="8" customHeight="1" ht="17.25">
      <c r="A8" s="17" t="s">
        <v>9800</v>
      </c>
      <c r="B8" s="17" t="s">
        <v>27</v>
      </c>
      <c r="C8" s="17" t="s">
        <v>15</v>
      </c>
      <c r="D8" s="17" t="s">
        <v>28</v>
      </c>
      <c r="E8" s="18">
        <f>ROUND(4722*1.05,2)</f>
      </c>
      <c r="F8" s="17" t="s">
        <v>29</v>
      </c>
      <c r="G8" s="17" t="s">
        <v>30</v>
      </c>
      <c r="H8" s="18">
        <f>ROUND(RAND()*4+6,1)</f>
      </c>
      <c r="I8" s="17" t="s">
        <v>31</v>
      </c>
      <c r="J8" s="19">
        <f>ROUND(72*1,0)&amp;"%"</f>
      </c>
    </row>
    <row x14ac:dyDescent="0.25" r="9" customHeight="1" ht="17.25">
      <c r="A9" s="20" t="s">
        <v>9801</v>
      </c>
      <c r="B9" s="20" t="s">
        <v>33</v>
      </c>
      <c r="C9" s="20" t="s">
        <v>15</v>
      </c>
      <c r="D9" s="20" t="s">
        <v>34</v>
      </c>
      <c r="E9" s="21">
        <f>ROUND(8153*1.05,2)</f>
      </c>
      <c r="F9" s="20" t="s">
        <v>35</v>
      </c>
      <c r="G9" s="20" t="s">
        <v>18</v>
      </c>
      <c r="H9" s="21">
        <f>ROUND(RAND()*4+6,1)</f>
      </c>
      <c r="I9" s="20" t="s">
        <v>36</v>
      </c>
      <c r="J9" s="23">
        <f>ROUND(84*1,0)&amp;"%"</f>
      </c>
    </row>
    <row x14ac:dyDescent="0.25" r="10" customHeight="1" ht="17.25">
      <c r="A10" s="17" t="s">
        <v>9802</v>
      </c>
      <c r="B10" s="17" t="s">
        <v>38</v>
      </c>
      <c r="C10" s="17" t="s">
        <v>15</v>
      </c>
      <c r="D10" s="17" t="s">
        <v>39</v>
      </c>
      <c r="E10" s="18">
        <f>ROUND(17009*1.05,2)</f>
      </c>
      <c r="F10" s="17" t="s">
        <v>40</v>
      </c>
      <c r="G10" s="17" t="s">
        <v>24</v>
      </c>
      <c r="H10" s="18">
        <f>ROUND(RAND()*4+6,1)</f>
      </c>
      <c r="I10" s="17" t="s">
        <v>41</v>
      </c>
      <c r="J10" s="19">
        <f>ROUND(92*1,0)&amp;"%"</f>
      </c>
    </row>
    <row x14ac:dyDescent="0.25" r="11" customHeight="1" ht="17.25">
      <c r="A11" s="20" t="s">
        <v>9803</v>
      </c>
      <c r="B11" s="20" t="s">
        <v>43</v>
      </c>
      <c r="C11" s="20" t="s">
        <v>15</v>
      </c>
      <c r="D11" s="20" t="s">
        <v>67</v>
      </c>
      <c r="E11" s="21">
        <f>ROUND(8342*1.05,2)</f>
      </c>
      <c r="F11" s="20" t="s">
        <v>44</v>
      </c>
      <c r="G11" s="20" t="s">
        <v>30</v>
      </c>
      <c r="H11" s="21">
        <f>ROUND(RAND()*4+6,1)</f>
      </c>
      <c r="I11" s="20" t="s">
        <v>45</v>
      </c>
      <c r="J11" s="23">
        <f>ROUND(97*1,0)&amp;"%"</f>
      </c>
    </row>
    <row x14ac:dyDescent="0.25" r="12" customHeight="1" ht="17.25">
      <c r="A12" s="17" t="s">
        <v>9804</v>
      </c>
      <c r="B12" s="17" t="s">
        <v>47</v>
      </c>
      <c r="C12" s="17" t="s">
        <v>15</v>
      </c>
      <c r="D12" s="17" t="s">
        <v>16</v>
      </c>
      <c r="E12" s="18">
        <f>ROUND(4646*1.05,2)</f>
      </c>
      <c r="F12" s="17" t="s">
        <v>48</v>
      </c>
      <c r="G12" s="17" t="s">
        <v>18</v>
      </c>
      <c r="H12" s="18">
        <f>ROUND(RAND()*4+6,1)</f>
      </c>
      <c r="I12" s="17" t="s">
        <v>19</v>
      </c>
      <c r="J12" s="19">
        <f>ROUND(66*1,0)&amp;"%"</f>
      </c>
    </row>
    <row x14ac:dyDescent="0.25" r="13" customHeight="1" ht="17.25">
      <c r="A13" s="20" t="s">
        <v>9805</v>
      </c>
      <c r="B13" s="20" t="s">
        <v>50</v>
      </c>
      <c r="C13" s="20" t="s">
        <v>15</v>
      </c>
      <c r="D13" s="20" t="s">
        <v>22</v>
      </c>
      <c r="E13" s="21">
        <f>ROUND(15657*1.05,2)</f>
      </c>
      <c r="F13" s="20" t="s">
        <v>51</v>
      </c>
      <c r="G13" s="20" t="s">
        <v>24</v>
      </c>
      <c r="H13" s="21">
        <f>ROUND(RAND()*4+6,1)</f>
      </c>
      <c r="I13" s="20" t="s">
        <v>25</v>
      </c>
      <c r="J13" s="23">
        <f>ROUND(80*1,0)&amp;"%"</f>
      </c>
    </row>
    <row x14ac:dyDescent="0.25" r="14" customHeight="1" ht="17.25">
      <c r="A14" s="24" t="s">
        <v>52</v>
      </c>
      <c r="B14" s="24"/>
      <c r="C14" s="24"/>
      <c r="D14" s="24"/>
      <c r="E14" s="25">
        <v>8</v>
      </c>
      <c r="F14" s="9"/>
      <c r="G14" s="9"/>
      <c r="H14" s="10"/>
      <c r="I14" s="9"/>
      <c r="J14" s="9"/>
    </row>
    <row x14ac:dyDescent="0.25" r="15" customHeight="1" ht="17.25">
      <c r="A15" s="7"/>
      <c r="B15" s="7"/>
      <c r="C15" s="7"/>
      <c r="D15" s="7"/>
      <c r="E15" s="8"/>
      <c r="F15" s="9"/>
      <c r="G15" s="9"/>
      <c r="H15" s="10"/>
      <c r="I15" s="9"/>
      <c r="J15" s="9"/>
    </row>
    <row x14ac:dyDescent="0.25" r="16" customHeight="1" ht="17.25">
      <c r="A16" s="11" t="s">
        <v>9806</v>
      </c>
      <c r="B16" s="11"/>
      <c r="C16" s="11"/>
      <c r="D16" s="11"/>
      <c r="E16" s="12"/>
      <c r="F16" s="11"/>
      <c r="G16" s="11"/>
      <c r="H16" s="13"/>
      <c r="I16" s="11"/>
      <c r="J16" s="11"/>
    </row>
    <row x14ac:dyDescent="0.25" r="17" customHeight="1" ht="17.25">
      <c r="A17" s="14" t="s">
        <v>3</v>
      </c>
      <c r="B17" s="14" t="s">
        <v>4</v>
      </c>
      <c r="C17" s="14" t="s">
        <v>5</v>
      </c>
      <c r="D17" s="14" t="s">
        <v>6</v>
      </c>
      <c r="E17" s="15" t="s">
        <v>7</v>
      </c>
      <c r="F17" s="14" t="s">
        <v>8</v>
      </c>
      <c r="G17" s="14" t="s">
        <v>9</v>
      </c>
      <c r="H17" s="16" t="s">
        <v>10</v>
      </c>
      <c r="I17" s="14" t="s">
        <v>11</v>
      </c>
      <c r="J17" s="14" t="s">
        <v>12</v>
      </c>
    </row>
    <row x14ac:dyDescent="0.25" r="18" customHeight="1" ht="17.25">
      <c r="A18" s="17" t="s">
        <v>9807</v>
      </c>
      <c r="B18" s="17" t="s">
        <v>55</v>
      </c>
      <c r="C18" s="17" t="s">
        <v>56</v>
      </c>
      <c r="D18" s="17" t="s">
        <v>16</v>
      </c>
      <c r="E18" s="18">
        <f>ROUND(11879*1.05,2)</f>
      </c>
      <c r="F18" s="17" t="s">
        <v>17</v>
      </c>
      <c r="G18" s="17" t="s">
        <v>18</v>
      </c>
      <c r="H18" s="18">
        <f>ROUND(RAND()*4+6,1)</f>
      </c>
      <c r="I18" s="17" t="s">
        <v>19</v>
      </c>
      <c r="J18" s="19">
        <f>ROUND(91*1,0)&amp;"%"</f>
      </c>
    </row>
    <row x14ac:dyDescent="0.25" r="19" customHeight="1" ht="17.25">
      <c r="A19" s="20" t="s">
        <v>9808</v>
      </c>
      <c r="B19" s="20" t="s">
        <v>58</v>
      </c>
      <c r="C19" s="20" t="s">
        <v>56</v>
      </c>
      <c r="D19" s="20" t="s">
        <v>22</v>
      </c>
      <c r="E19" s="21">
        <f>ROUND(9347*1.05,2)</f>
      </c>
      <c r="F19" s="20" t="s">
        <v>23</v>
      </c>
      <c r="G19" s="20" t="s">
        <v>24</v>
      </c>
      <c r="H19" s="22">
        <f>ROUND(RAND()*4+6,1)</f>
      </c>
      <c r="I19" s="20" t="s">
        <v>25</v>
      </c>
      <c r="J19" s="23">
        <f>ROUND(62*1,0)&amp;"%"</f>
      </c>
    </row>
    <row x14ac:dyDescent="0.25" r="20" customHeight="1" ht="17.25">
      <c r="A20" s="17" t="s">
        <v>9809</v>
      </c>
      <c r="B20" s="17" t="s">
        <v>60</v>
      </c>
      <c r="C20" s="17" t="s">
        <v>56</v>
      </c>
      <c r="D20" s="17" t="s">
        <v>28</v>
      </c>
      <c r="E20" s="18">
        <f>ROUND(11447*1.05,2)</f>
      </c>
      <c r="F20" s="17" t="s">
        <v>29</v>
      </c>
      <c r="G20" s="17" t="s">
        <v>30</v>
      </c>
      <c r="H20" s="18">
        <f>ROUND(RAND()*4+6,1)</f>
      </c>
      <c r="I20" s="17" t="s">
        <v>31</v>
      </c>
      <c r="J20" s="19">
        <f>ROUND(69*1,0)&amp;"%"</f>
      </c>
    </row>
    <row x14ac:dyDescent="0.25" r="21" customHeight="1" ht="17.25">
      <c r="A21" s="20" t="s">
        <v>9810</v>
      </c>
      <c r="B21" s="20" t="s">
        <v>62</v>
      </c>
      <c r="C21" s="20" t="s">
        <v>56</v>
      </c>
      <c r="D21" s="20" t="s">
        <v>34</v>
      </c>
      <c r="E21" s="21">
        <f>ROUND(16711*1.05,2)</f>
      </c>
      <c r="F21" s="20" t="s">
        <v>35</v>
      </c>
      <c r="G21" s="20" t="s">
        <v>18</v>
      </c>
      <c r="H21" s="21">
        <f>ROUND(RAND()*4+6,1)</f>
      </c>
      <c r="I21" s="20" t="s">
        <v>36</v>
      </c>
      <c r="J21" s="23">
        <f>ROUND(63*1,0)&amp;"%"</f>
      </c>
    </row>
    <row x14ac:dyDescent="0.25" r="22" customHeight="1" ht="17.25">
      <c r="A22" s="17" t="s">
        <v>9811</v>
      </c>
      <c r="B22" s="17" t="s">
        <v>64</v>
      </c>
      <c r="C22" s="17" t="s">
        <v>56</v>
      </c>
      <c r="D22" s="17" t="s">
        <v>39</v>
      </c>
      <c r="E22" s="18">
        <f>ROUND(12931*1.05,2)</f>
      </c>
      <c r="F22" s="17" t="s">
        <v>40</v>
      </c>
      <c r="G22" s="17" t="s">
        <v>24</v>
      </c>
      <c r="H22" s="18">
        <f>ROUND(RAND()*4+6,1)</f>
      </c>
      <c r="I22" s="17" t="s">
        <v>41</v>
      </c>
      <c r="J22" s="19">
        <f>ROUND(81*1,0)&amp;"%"</f>
      </c>
    </row>
    <row x14ac:dyDescent="0.25" r="23" customHeight="1" ht="17.25">
      <c r="A23" s="20" t="s">
        <v>9812</v>
      </c>
      <c r="B23" s="20" t="s">
        <v>66</v>
      </c>
      <c r="C23" s="20" t="s">
        <v>56</v>
      </c>
      <c r="D23" s="20" t="s">
        <v>67</v>
      </c>
      <c r="E23" s="21">
        <f>ROUND(13993*1.05,2)</f>
      </c>
      <c r="F23" s="20" t="s">
        <v>44</v>
      </c>
      <c r="G23" s="20" t="s">
        <v>30</v>
      </c>
      <c r="H23" s="21">
        <f>ROUND(RAND()*4+6,1)</f>
      </c>
      <c r="I23" s="20" t="s">
        <v>45</v>
      </c>
      <c r="J23" s="23">
        <f>ROUND(61*1,0)&amp;"%"</f>
      </c>
    </row>
    <row x14ac:dyDescent="0.25" r="24" customHeight="1" ht="17.25">
      <c r="A24" s="17" t="s">
        <v>9813</v>
      </c>
      <c r="B24" s="17" t="s">
        <v>69</v>
      </c>
      <c r="C24" s="17" t="s">
        <v>56</v>
      </c>
      <c r="D24" s="17" t="s">
        <v>16</v>
      </c>
      <c r="E24" s="18">
        <f>ROUND(9337*1.05,2)</f>
      </c>
      <c r="F24" s="17" t="s">
        <v>48</v>
      </c>
      <c r="G24" s="17" t="s">
        <v>18</v>
      </c>
      <c r="H24" s="18">
        <f>ROUND(RAND()*4+6,1)</f>
      </c>
      <c r="I24" s="17" t="s">
        <v>19</v>
      </c>
      <c r="J24" s="19">
        <f>ROUND(66*1,0)&amp;"%"</f>
      </c>
    </row>
    <row x14ac:dyDescent="0.25" r="25" customHeight="1" ht="17.25">
      <c r="A25" s="20" t="s">
        <v>9814</v>
      </c>
      <c r="B25" s="20" t="s">
        <v>71</v>
      </c>
      <c r="C25" s="20" t="s">
        <v>56</v>
      </c>
      <c r="D25" s="20" t="s">
        <v>22</v>
      </c>
      <c r="E25" s="21">
        <f>ROUND(17369*1.05,2)</f>
      </c>
      <c r="F25" s="20" t="s">
        <v>51</v>
      </c>
      <c r="G25" s="20" t="s">
        <v>24</v>
      </c>
      <c r="H25" s="21">
        <f>ROUND(RAND()*4+6,1)</f>
      </c>
      <c r="I25" s="20" t="s">
        <v>25</v>
      </c>
      <c r="J25" s="23">
        <f>ROUND(71*1,0)&amp;"%"</f>
      </c>
    </row>
    <row x14ac:dyDescent="0.25" r="26" customHeight="1" ht="17.25">
      <c r="A26" s="24" t="s">
        <v>72</v>
      </c>
      <c r="B26" s="24"/>
      <c r="C26" s="24"/>
      <c r="D26" s="24"/>
      <c r="E26" s="25">
        <v>8</v>
      </c>
      <c r="F26" s="9"/>
      <c r="G26" s="9"/>
      <c r="H26" s="10"/>
      <c r="I26" s="9"/>
      <c r="J26" s="9"/>
    </row>
    <row x14ac:dyDescent="0.25" r="27" customHeight="1" ht="17.25">
      <c r="A27" s="7"/>
      <c r="B27" s="7"/>
      <c r="C27" s="7"/>
      <c r="D27" s="7"/>
      <c r="E27" s="8"/>
      <c r="F27" s="9"/>
      <c r="G27" s="9"/>
      <c r="H27" s="10"/>
      <c r="I27" s="9"/>
      <c r="J27" s="9"/>
    </row>
    <row x14ac:dyDescent="0.25" r="28" customHeight="1" ht="17.25">
      <c r="A28" s="11" t="s">
        <v>9815</v>
      </c>
      <c r="B28" s="11"/>
      <c r="C28" s="11"/>
      <c r="D28" s="11"/>
      <c r="E28" s="12"/>
      <c r="F28" s="11"/>
      <c r="G28" s="11"/>
      <c r="H28" s="13"/>
      <c r="I28" s="11"/>
      <c r="J28" s="11"/>
    </row>
    <row x14ac:dyDescent="0.25" r="29" customHeight="1" ht="17.25">
      <c r="A29" s="14" t="s">
        <v>3</v>
      </c>
      <c r="B29" s="14" t="s">
        <v>4</v>
      </c>
      <c r="C29" s="14" t="s">
        <v>5</v>
      </c>
      <c r="D29" s="14" t="s">
        <v>6</v>
      </c>
      <c r="E29" s="15" t="s">
        <v>7</v>
      </c>
      <c r="F29" s="14" t="s">
        <v>8</v>
      </c>
      <c r="G29" s="14" t="s">
        <v>9</v>
      </c>
      <c r="H29" s="16" t="s">
        <v>10</v>
      </c>
      <c r="I29" s="14" t="s">
        <v>11</v>
      </c>
      <c r="J29" s="14" t="s">
        <v>12</v>
      </c>
    </row>
    <row x14ac:dyDescent="0.25" r="30" customHeight="1" ht="17.25">
      <c r="A30" s="17" t="s">
        <v>9816</v>
      </c>
      <c r="B30" s="17" t="s">
        <v>75</v>
      </c>
      <c r="C30" s="17" t="s">
        <v>76</v>
      </c>
      <c r="D30" s="17" t="s">
        <v>16</v>
      </c>
      <c r="E30" s="18">
        <f>ROUND(6774*1.05,2)</f>
      </c>
      <c r="F30" s="17" t="s">
        <v>17</v>
      </c>
      <c r="G30" s="17" t="s">
        <v>18</v>
      </c>
      <c r="H30" s="18">
        <f>ROUND(RAND()*4+6,1)</f>
      </c>
      <c r="I30" s="17" t="s">
        <v>19</v>
      </c>
      <c r="J30" s="19">
        <f>ROUND(71*1,0)&amp;"%"</f>
      </c>
    </row>
    <row x14ac:dyDescent="0.25" r="31" customHeight="1" ht="17.25">
      <c r="A31" s="20" t="s">
        <v>9817</v>
      </c>
      <c r="B31" s="20" t="s">
        <v>78</v>
      </c>
      <c r="C31" s="20" t="s">
        <v>76</v>
      </c>
      <c r="D31" s="20" t="s">
        <v>22</v>
      </c>
      <c r="E31" s="21">
        <f>ROUND(15444*1.05,2)</f>
      </c>
      <c r="F31" s="20" t="s">
        <v>23</v>
      </c>
      <c r="G31" s="20" t="s">
        <v>24</v>
      </c>
      <c r="H31" s="21">
        <f>ROUND(RAND()*4+6,1)</f>
      </c>
      <c r="I31" s="20" t="s">
        <v>25</v>
      </c>
      <c r="J31" s="23">
        <f>ROUND(62*1,0)&amp;"%"</f>
      </c>
    </row>
    <row x14ac:dyDescent="0.25" r="32" customHeight="1" ht="17.25">
      <c r="A32" s="17" t="s">
        <v>9818</v>
      </c>
      <c r="B32" s="17" t="s">
        <v>80</v>
      </c>
      <c r="C32" s="17" t="s">
        <v>76</v>
      </c>
      <c r="D32" s="17" t="s">
        <v>28</v>
      </c>
      <c r="E32" s="18">
        <f>ROUND(6761*1.05,2)</f>
      </c>
      <c r="F32" s="17" t="s">
        <v>29</v>
      </c>
      <c r="G32" s="17" t="s">
        <v>30</v>
      </c>
      <c r="H32" s="18">
        <f>ROUND(RAND()*4+6,1)</f>
      </c>
      <c r="I32" s="17" t="s">
        <v>31</v>
      </c>
      <c r="J32" s="19">
        <f>ROUND(93*1,0)&amp;"%"</f>
      </c>
    </row>
    <row x14ac:dyDescent="0.25" r="33" customHeight="1" ht="17.25">
      <c r="A33" s="20" t="s">
        <v>9819</v>
      </c>
      <c r="B33" s="20" t="s">
        <v>82</v>
      </c>
      <c r="C33" s="20" t="s">
        <v>76</v>
      </c>
      <c r="D33" s="20" t="s">
        <v>34</v>
      </c>
      <c r="E33" s="21">
        <f>ROUND(11971*1.05,2)</f>
      </c>
      <c r="F33" s="20" t="s">
        <v>35</v>
      </c>
      <c r="G33" s="20" t="s">
        <v>18</v>
      </c>
      <c r="H33" s="21">
        <f>ROUND(RAND()*4+6,1)</f>
      </c>
      <c r="I33" s="20" t="s">
        <v>36</v>
      </c>
      <c r="J33" s="23">
        <f>ROUND(80*1,0)&amp;"%"</f>
      </c>
    </row>
    <row x14ac:dyDescent="0.25" r="34" customHeight="1" ht="17.25">
      <c r="A34" s="17" t="s">
        <v>9820</v>
      </c>
      <c r="B34" s="17" t="s">
        <v>84</v>
      </c>
      <c r="C34" s="17" t="s">
        <v>76</v>
      </c>
      <c r="D34" s="17" t="s">
        <v>39</v>
      </c>
      <c r="E34" s="26">
        <f>ROUND(16620*1.05,2)</f>
      </c>
      <c r="F34" s="17" t="s">
        <v>40</v>
      </c>
      <c r="G34" s="17" t="s">
        <v>24</v>
      </c>
      <c r="H34" s="18">
        <f>ROUND(RAND()*4+6,1)</f>
      </c>
      <c r="I34" s="17" t="s">
        <v>41</v>
      </c>
      <c r="J34" s="19">
        <f>ROUND(60*1,0)&amp;"%"</f>
      </c>
    </row>
    <row x14ac:dyDescent="0.25" r="35" customHeight="1" ht="17.25">
      <c r="A35" s="20" t="s">
        <v>9821</v>
      </c>
      <c r="B35" s="20" t="s">
        <v>86</v>
      </c>
      <c r="C35" s="20" t="s">
        <v>76</v>
      </c>
      <c r="D35" s="20" t="s">
        <v>67</v>
      </c>
      <c r="E35" s="21">
        <f>ROUND(4346*1.05,2)</f>
      </c>
      <c r="F35" s="20" t="s">
        <v>44</v>
      </c>
      <c r="G35" s="20" t="s">
        <v>30</v>
      </c>
      <c r="H35" s="21">
        <f>ROUND(RAND()*4+6,1)</f>
      </c>
      <c r="I35" s="20" t="s">
        <v>45</v>
      </c>
      <c r="J35" s="23">
        <f>ROUND(84*1,0)&amp;"%"</f>
      </c>
    </row>
    <row x14ac:dyDescent="0.25" r="36" customHeight="1" ht="17.25">
      <c r="A36" s="17" t="s">
        <v>9822</v>
      </c>
      <c r="B36" s="17" t="s">
        <v>88</v>
      </c>
      <c r="C36" s="17" t="s">
        <v>76</v>
      </c>
      <c r="D36" s="17" t="s">
        <v>16</v>
      </c>
      <c r="E36" s="18">
        <f>ROUND(12550*1.05,2)</f>
      </c>
      <c r="F36" s="17" t="s">
        <v>48</v>
      </c>
      <c r="G36" s="17" t="s">
        <v>18</v>
      </c>
      <c r="H36" s="18">
        <f>ROUND(RAND()*4+6,1)</f>
      </c>
      <c r="I36" s="17" t="s">
        <v>19</v>
      </c>
      <c r="J36" s="19">
        <f>ROUND(86*1,0)&amp;"%"</f>
      </c>
    </row>
    <row x14ac:dyDescent="0.25" r="37" customHeight="1" ht="17.25">
      <c r="A37" s="20" t="s">
        <v>9823</v>
      </c>
      <c r="B37" s="20" t="s">
        <v>90</v>
      </c>
      <c r="C37" s="20" t="s">
        <v>76</v>
      </c>
      <c r="D37" s="20" t="s">
        <v>22</v>
      </c>
      <c r="E37" s="21">
        <f>ROUND(6725*1.05,2)</f>
      </c>
      <c r="F37" s="20" t="s">
        <v>51</v>
      </c>
      <c r="G37" s="20" t="s">
        <v>24</v>
      </c>
      <c r="H37" s="21">
        <f>ROUND(RAND()*4+6,1)</f>
      </c>
      <c r="I37" s="20" t="s">
        <v>25</v>
      </c>
      <c r="J37" s="23">
        <f>ROUND(89*1,0)&amp;"%"</f>
      </c>
    </row>
    <row x14ac:dyDescent="0.25" r="38" customHeight="1" ht="17.25">
      <c r="A38" s="24" t="s">
        <v>91</v>
      </c>
      <c r="B38" s="24"/>
      <c r="C38" s="24"/>
      <c r="D38" s="24"/>
      <c r="E38" s="25">
        <v>8</v>
      </c>
      <c r="F38" s="9"/>
      <c r="G38" s="9"/>
      <c r="H38" s="10"/>
      <c r="I38" s="9"/>
      <c r="J38" s="9"/>
    </row>
    <row x14ac:dyDescent="0.25" r="39" customHeight="1" ht="17.25">
      <c r="A39" s="7"/>
      <c r="B39" s="7"/>
      <c r="C39" s="7"/>
      <c r="D39" s="7"/>
      <c r="E39" s="8"/>
      <c r="F39" s="9"/>
      <c r="G39" s="9"/>
      <c r="H39" s="10"/>
      <c r="I39" s="9"/>
      <c r="J39" s="9"/>
    </row>
    <row x14ac:dyDescent="0.25" r="40" customHeight="1" ht="17.25">
      <c r="A40" s="11" t="s">
        <v>9824</v>
      </c>
      <c r="B40" s="11"/>
      <c r="C40" s="11"/>
      <c r="D40" s="11"/>
      <c r="E40" s="12"/>
      <c r="F40" s="11"/>
      <c r="G40" s="11"/>
      <c r="H40" s="13"/>
      <c r="I40" s="11"/>
      <c r="J40" s="11"/>
    </row>
    <row x14ac:dyDescent="0.25" r="41" customHeight="1" ht="17.25">
      <c r="A41" s="14" t="s">
        <v>3</v>
      </c>
      <c r="B41" s="14" t="s">
        <v>4</v>
      </c>
      <c r="C41" s="14" t="s">
        <v>5</v>
      </c>
      <c r="D41" s="14" t="s">
        <v>6</v>
      </c>
      <c r="E41" s="15" t="s">
        <v>7</v>
      </c>
      <c r="F41" s="14" t="s">
        <v>8</v>
      </c>
      <c r="G41" s="14" t="s">
        <v>9</v>
      </c>
      <c r="H41" s="16" t="s">
        <v>10</v>
      </c>
      <c r="I41" s="14" t="s">
        <v>11</v>
      </c>
      <c r="J41" s="14" t="s">
        <v>12</v>
      </c>
    </row>
    <row x14ac:dyDescent="0.25" r="42" customHeight="1" ht="17.25">
      <c r="A42" s="17" t="s">
        <v>9825</v>
      </c>
      <c r="B42" s="17" t="s">
        <v>94</v>
      </c>
      <c r="C42" s="17" t="s">
        <v>95</v>
      </c>
      <c r="D42" s="17" t="s">
        <v>16</v>
      </c>
      <c r="E42" s="18">
        <f>ROUND(9083*1.05,2)</f>
      </c>
      <c r="F42" s="17" t="s">
        <v>17</v>
      </c>
      <c r="G42" s="17" t="s">
        <v>18</v>
      </c>
      <c r="H42" s="18">
        <f>ROUND(RAND()*4+6,1)</f>
      </c>
      <c r="I42" s="17" t="s">
        <v>19</v>
      </c>
      <c r="J42" s="19">
        <f>ROUND(63*1,0)&amp;"%"</f>
      </c>
    </row>
    <row x14ac:dyDescent="0.25" r="43" customHeight="1" ht="17.25">
      <c r="A43" s="20" t="s">
        <v>9826</v>
      </c>
      <c r="B43" s="20" t="s">
        <v>97</v>
      </c>
      <c r="C43" s="20" t="s">
        <v>95</v>
      </c>
      <c r="D43" s="20" t="s">
        <v>22</v>
      </c>
      <c r="E43" s="21">
        <f>ROUND(16464*1.05,2)</f>
      </c>
      <c r="F43" s="20" t="s">
        <v>23</v>
      </c>
      <c r="G43" s="20" t="s">
        <v>24</v>
      </c>
      <c r="H43" s="22">
        <f>ROUND(RAND()*4+6,1)</f>
      </c>
      <c r="I43" s="20" t="s">
        <v>25</v>
      </c>
      <c r="J43" s="23">
        <f>ROUND(65*1,0)&amp;"%"</f>
      </c>
    </row>
    <row x14ac:dyDescent="0.25" r="44" customHeight="1" ht="17.25">
      <c r="A44" s="17" t="s">
        <v>9827</v>
      </c>
      <c r="B44" s="17" t="s">
        <v>99</v>
      </c>
      <c r="C44" s="17" t="s">
        <v>95</v>
      </c>
      <c r="D44" s="17" t="s">
        <v>28</v>
      </c>
      <c r="E44" s="18">
        <f>ROUND(10274*1.05,2)</f>
      </c>
      <c r="F44" s="17" t="s">
        <v>29</v>
      </c>
      <c r="G44" s="17" t="s">
        <v>30</v>
      </c>
      <c r="H44" s="18">
        <f>ROUND(RAND()*4+6,1)</f>
      </c>
      <c r="I44" s="17" t="s">
        <v>31</v>
      </c>
      <c r="J44" s="19">
        <f>ROUND(68*1,0)&amp;"%"</f>
      </c>
    </row>
    <row x14ac:dyDescent="0.25" r="45" customHeight="1" ht="17.25">
      <c r="A45" s="20" t="s">
        <v>9828</v>
      </c>
      <c r="B45" s="20" t="s">
        <v>101</v>
      </c>
      <c r="C45" s="20" t="s">
        <v>95</v>
      </c>
      <c r="D45" s="20" t="s">
        <v>34</v>
      </c>
      <c r="E45" s="21">
        <f>ROUND(10121*1.05,2)</f>
      </c>
      <c r="F45" s="20" t="s">
        <v>35</v>
      </c>
      <c r="G45" s="20" t="s">
        <v>18</v>
      </c>
      <c r="H45" s="21">
        <f>ROUND(RAND()*4+6,1)</f>
      </c>
      <c r="I45" s="20" t="s">
        <v>36</v>
      </c>
      <c r="J45" s="23">
        <f>ROUND(87*1,0)&amp;"%"</f>
      </c>
    </row>
    <row x14ac:dyDescent="0.25" r="46" customHeight="1" ht="17.25">
      <c r="A46" s="17" t="s">
        <v>9829</v>
      </c>
      <c r="B46" s="17" t="s">
        <v>103</v>
      </c>
      <c r="C46" s="17" t="s">
        <v>95</v>
      </c>
      <c r="D46" s="17" t="s">
        <v>39</v>
      </c>
      <c r="E46" s="18">
        <f>ROUND(11745*1.05,2)</f>
      </c>
      <c r="F46" s="17" t="s">
        <v>40</v>
      </c>
      <c r="G46" s="17" t="s">
        <v>24</v>
      </c>
      <c r="H46" s="18">
        <f>ROUND(RAND()*4+6,1)</f>
      </c>
      <c r="I46" s="17" t="s">
        <v>41</v>
      </c>
      <c r="J46" s="19">
        <f>ROUND(79*1,0)&amp;"%"</f>
      </c>
    </row>
    <row x14ac:dyDescent="0.25" r="47" customHeight="1" ht="17.25">
      <c r="A47" s="20" t="s">
        <v>9830</v>
      </c>
      <c r="B47" s="20" t="s">
        <v>105</v>
      </c>
      <c r="C47" s="20" t="s">
        <v>95</v>
      </c>
      <c r="D47" s="20" t="s">
        <v>67</v>
      </c>
      <c r="E47" s="21">
        <f>ROUND(5689*1.05,2)</f>
      </c>
      <c r="F47" s="20" t="s">
        <v>44</v>
      </c>
      <c r="G47" s="20" t="s">
        <v>30</v>
      </c>
      <c r="H47" s="21">
        <f>ROUND(RAND()*4+6,1)</f>
      </c>
      <c r="I47" s="20" t="s">
        <v>45</v>
      </c>
      <c r="J47" s="23">
        <f>ROUND(84*1,0)&amp;"%"</f>
      </c>
    </row>
    <row x14ac:dyDescent="0.25" r="48" customHeight="1" ht="17.25">
      <c r="A48" s="17" t="s">
        <v>9831</v>
      </c>
      <c r="B48" s="17" t="s">
        <v>107</v>
      </c>
      <c r="C48" s="17" t="s">
        <v>95</v>
      </c>
      <c r="D48" s="17" t="s">
        <v>16</v>
      </c>
      <c r="E48" s="18">
        <f>ROUND(16778*1.05,2)</f>
      </c>
      <c r="F48" s="17" t="s">
        <v>48</v>
      </c>
      <c r="G48" s="17" t="s">
        <v>18</v>
      </c>
      <c r="H48" s="18">
        <f>ROUND(RAND()*4+6,1)</f>
      </c>
      <c r="I48" s="17" t="s">
        <v>19</v>
      </c>
      <c r="J48" s="19">
        <f>ROUND(83*1,0)&amp;"%"</f>
      </c>
    </row>
    <row x14ac:dyDescent="0.25" r="49" customHeight="1" ht="17.25">
      <c r="A49" s="20" t="s">
        <v>9832</v>
      </c>
      <c r="B49" s="20" t="s">
        <v>109</v>
      </c>
      <c r="C49" s="20" t="s">
        <v>95</v>
      </c>
      <c r="D49" s="20" t="s">
        <v>22</v>
      </c>
      <c r="E49" s="21">
        <f>ROUND(16572*1.05,2)</f>
      </c>
      <c r="F49" s="20" t="s">
        <v>51</v>
      </c>
      <c r="G49" s="20" t="s">
        <v>24</v>
      </c>
      <c r="H49" s="21">
        <f>ROUND(RAND()*4+6,1)</f>
      </c>
      <c r="I49" s="20" t="s">
        <v>25</v>
      </c>
      <c r="J49" s="23">
        <f>ROUND(96*1,0)&amp;"%"</f>
      </c>
    </row>
    <row x14ac:dyDescent="0.25" r="50" customHeight="1" ht="17.25">
      <c r="A50" s="24" t="s">
        <v>110</v>
      </c>
      <c r="B50" s="24"/>
      <c r="C50" s="24"/>
      <c r="D50" s="24"/>
      <c r="E50" s="25">
        <v>8</v>
      </c>
      <c r="F50" s="9"/>
      <c r="G50" s="9"/>
      <c r="H50" s="10"/>
      <c r="I50" s="9"/>
      <c r="J50" s="9"/>
    </row>
    <row x14ac:dyDescent="0.25" r="51" customHeight="1" ht="17.25">
      <c r="A51" s="7"/>
      <c r="B51" s="7"/>
      <c r="C51" s="7"/>
      <c r="D51" s="7"/>
      <c r="E51" s="8"/>
      <c r="F51" s="9"/>
      <c r="G51" s="9"/>
      <c r="H51" s="10"/>
      <c r="I51" s="9"/>
      <c r="J51" s="9"/>
    </row>
    <row x14ac:dyDescent="0.25" r="52" customHeight="1" ht="17.25">
      <c r="A52" s="11" t="s">
        <v>9833</v>
      </c>
      <c r="B52" s="11"/>
      <c r="C52" s="11"/>
      <c r="D52" s="11"/>
      <c r="E52" s="12"/>
      <c r="F52" s="11"/>
      <c r="G52" s="11"/>
      <c r="H52" s="13"/>
      <c r="I52" s="11"/>
      <c r="J52" s="11"/>
    </row>
    <row x14ac:dyDescent="0.25" r="53" customHeight="1" ht="17.25">
      <c r="A53" s="14" t="s">
        <v>3</v>
      </c>
      <c r="B53" s="14" t="s">
        <v>4</v>
      </c>
      <c r="C53" s="14" t="s">
        <v>5</v>
      </c>
      <c r="D53" s="14" t="s">
        <v>6</v>
      </c>
      <c r="E53" s="15" t="s">
        <v>7</v>
      </c>
      <c r="F53" s="14" t="s">
        <v>8</v>
      </c>
      <c r="G53" s="14" t="s">
        <v>9</v>
      </c>
      <c r="H53" s="16" t="s">
        <v>10</v>
      </c>
      <c r="I53" s="14" t="s">
        <v>11</v>
      </c>
      <c r="J53" s="14" t="s">
        <v>12</v>
      </c>
    </row>
    <row x14ac:dyDescent="0.25" r="54" customHeight="1" ht="17.25">
      <c r="A54" s="17" t="s">
        <v>9834</v>
      </c>
      <c r="B54" s="17" t="s">
        <v>113</v>
      </c>
      <c r="C54" s="17" t="s">
        <v>114</v>
      </c>
      <c r="D54" s="17" t="s">
        <v>16</v>
      </c>
      <c r="E54" s="18">
        <f>ROUND(11325*1.05,2)</f>
      </c>
      <c r="F54" s="17" t="s">
        <v>17</v>
      </c>
      <c r="G54" s="17" t="s">
        <v>18</v>
      </c>
      <c r="H54" s="18">
        <f>ROUND(RAND()*4+6,1)</f>
      </c>
      <c r="I54" s="17" t="s">
        <v>19</v>
      </c>
      <c r="J54" s="19">
        <f>ROUND(81*1,0)&amp;"%"</f>
      </c>
    </row>
    <row x14ac:dyDescent="0.25" r="55" customHeight="1" ht="17.25">
      <c r="A55" s="20" t="s">
        <v>9835</v>
      </c>
      <c r="B55" s="20" t="s">
        <v>116</v>
      </c>
      <c r="C55" s="20" t="s">
        <v>114</v>
      </c>
      <c r="D55" s="20" t="s">
        <v>22</v>
      </c>
      <c r="E55" s="21">
        <f>ROUND(13502*1.05,2)</f>
      </c>
      <c r="F55" s="20" t="s">
        <v>23</v>
      </c>
      <c r="G55" s="20" t="s">
        <v>24</v>
      </c>
      <c r="H55" s="21">
        <f>ROUND(RAND()*4+6,1)</f>
      </c>
      <c r="I55" s="20" t="s">
        <v>25</v>
      </c>
      <c r="J55" s="23">
        <f>ROUND(93*1,0)&amp;"%"</f>
      </c>
    </row>
    <row x14ac:dyDescent="0.25" r="56" customHeight="1" ht="17.25">
      <c r="A56" s="17" t="s">
        <v>9836</v>
      </c>
      <c r="B56" s="17" t="s">
        <v>118</v>
      </c>
      <c r="C56" s="17" t="s">
        <v>114</v>
      </c>
      <c r="D56" s="17" t="s">
        <v>28</v>
      </c>
      <c r="E56" s="18">
        <f>ROUND(11942*1.05,2)</f>
      </c>
      <c r="F56" s="17" t="s">
        <v>29</v>
      </c>
      <c r="G56" s="17" t="s">
        <v>30</v>
      </c>
      <c r="H56" s="18">
        <f>ROUND(RAND()*4+6,1)</f>
      </c>
      <c r="I56" s="17" t="s">
        <v>31</v>
      </c>
      <c r="J56" s="19">
        <f>ROUND(75*1,0)&amp;"%"</f>
      </c>
    </row>
    <row x14ac:dyDescent="0.25" r="57" customHeight="1" ht="17.25">
      <c r="A57" s="20" t="s">
        <v>9837</v>
      </c>
      <c r="B57" s="20" t="s">
        <v>120</v>
      </c>
      <c r="C57" s="20" t="s">
        <v>114</v>
      </c>
      <c r="D57" s="20" t="s">
        <v>34</v>
      </c>
      <c r="E57" s="21">
        <f>ROUND(7527*1.05,2)</f>
      </c>
      <c r="F57" s="20" t="s">
        <v>35</v>
      </c>
      <c r="G57" s="20" t="s">
        <v>18</v>
      </c>
      <c r="H57" s="21">
        <f>ROUND(RAND()*4+6,1)</f>
      </c>
      <c r="I57" s="20" t="s">
        <v>36</v>
      </c>
      <c r="J57" s="23">
        <f>ROUND(73*1,0)&amp;"%"</f>
      </c>
    </row>
    <row x14ac:dyDescent="0.25" r="58" customHeight="1" ht="17.25">
      <c r="A58" s="17" t="s">
        <v>9838</v>
      </c>
      <c r="B58" s="17" t="s">
        <v>122</v>
      </c>
      <c r="C58" s="17" t="s">
        <v>114</v>
      </c>
      <c r="D58" s="17" t="s">
        <v>39</v>
      </c>
      <c r="E58" s="18">
        <f>ROUND(12352*1.05,2)</f>
      </c>
      <c r="F58" s="17" t="s">
        <v>40</v>
      </c>
      <c r="G58" s="17" t="s">
        <v>24</v>
      </c>
      <c r="H58" s="18">
        <f>ROUND(RAND()*4+6,1)</f>
      </c>
      <c r="I58" s="17" t="s">
        <v>41</v>
      </c>
      <c r="J58" s="19">
        <f>ROUND(60*1,0)&amp;"%"</f>
      </c>
    </row>
    <row x14ac:dyDescent="0.25" r="59" customHeight="1" ht="17.25">
      <c r="A59" s="20" t="s">
        <v>9839</v>
      </c>
      <c r="B59" s="20" t="s">
        <v>124</v>
      </c>
      <c r="C59" s="20" t="s">
        <v>114</v>
      </c>
      <c r="D59" s="20" t="s">
        <v>67</v>
      </c>
      <c r="E59" s="21">
        <f>ROUND(4677*1.05,2)</f>
      </c>
      <c r="F59" s="20" t="s">
        <v>44</v>
      </c>
      <c r="G59" s="20" t="s">
        <v>30</v>
      </c>
      <c r="H59" s="21">
        <f>ROUND(RAND()*4+6,1)</f>
      </c>
      <c r="I59" s="20" t="s">
        <v>45</v>
      </c>
      <c r="J59" s="23">
        <f>ROUND(87*1,0)&amp;"%"</f>
      </c>
    </row>
    <row x14ac:dyDescent="0.25" r="60" customHeight="1" ht="17.25">
      <c r="A60" s="17" t="s">
        <v>9840</v>
      </c>
      <c r="B60" s="17" t="s">
        <v>126</v>
      </c>
      <c r="C60" s="17" t="s">
        <v>114</v>
      </c>
      <c r="D60" s="17" t="s">
        <v>16</v>
      </c>
      <c r="E60" s="18">
        <f>ROUND(14462*1.05,2)</f>
      </c>
      <c r="F60" s="17" t="s">
        <v>48</v>
      </c>
      <c r="G60" s="17" t="s">
        <v>18</v>
      </c>
      <c r="H60" s="26">
        <f>ROUND(RAND()*4+6,1)</f>
      </c>
      <c r="I60" s="17" t="s">
        <v>19</v>
      </c>
      <c r="J60" s="19">
        <f>ROUND(80*1,0)&amp;"%"</f>
      </c>
    </row>
    <row x14ac:dyDescent="0.25" r="61" customHeight="1" ht="17.25">
      <c r="A61" s="20" t="s">
        <v>9841</v>
      </c>
      <c r="B61" s="20" t="s">
        <v>128</v>
      </c>
      <c r="C61" s="20" t="s">
        <v>114</v>
      </c>
      <c r="D61" s="20" t="s">
        <v>22</v>
      </c>
      <c r="E61" s="21">
        <f>ROUND(17664*1.05,2)</f>
      </c>
      <c r="F61" s="20" t="s">
        <v>51</v>
      </c>
      <c r="G61" s="20" t="s">
        <v>24</v>
      </c>
      <c r="H61" s="21">
        <f>ROUND(RAND()*4+6,1)</f>
      </c>
      <c r="I61" s="20" t="s">
        <v>25</v>
      </c>
      <c r="J61" s="23">
        <f>ROUND(85*1,0)&amp;"%"</f>
      </c>
    </row>
    <row x14ac:dyDescent="0.25" r="62" customHeight="1" ht="17.25">
      <c r="A62" s="24" t="s">
        <v>129</v>
      </c>
      <c r="B62" s="24"/>
      <c r="C62" s="24"/>
      <c r="D62" s="24"/>
      <c r="E62" s="25">
        <v>8</v>
      </c>
      <c r="F62" s="9"/>
      <c r="G62" s="9"/>
      <c r="H62" s="10"/>
      <c r="I62" s="9"/>
      <c r="J62" s="9"/>
    </row>
    <row x14ac:dyDescent="0.25" r="63" customHeight="1" ht="17.25">
      <c r="A63" s="7"/>
      <c r="B63" s="7"/>
      <c r="C63" s="7"/>
      <c r="D63" s="7"/>
      <c r="E63" s="8"/>
      <c r="F63" s="9"/>
      <c r="G63" s="9"/>
      <c r="H63" s="10"/>
      <c r="I63" s="9"/>
      <c r="J63" s="9"/>
    </row>
    <row x14ac:dyDescent="0.25" r="64" customHeight="1" ht="17.25">
      <c r="A64" s="11" t="s">
        <v>9842</v>
      </c>
      <c r="B64" s="11"/>
      <c r="C64" s="11"/>
      <c r="D64" s="11"/>
      <c r="E64" s="12"/>
      <c r="F64" s="11"/>
      <c r="G64" s="11"/>
      <c r="H64" s="13"/>
      <c r="I64" s="11"/>
      <c r="J64" s="11"/>
    </row>
    <row x14ac:dyDescent="0.25" r="65" customHeight="1" ht="17.25">
      <c r="A65" s="14" t="s">
        <v>3</v>
      </c>
      <c r="B65" s="14" t="s">
        <v>4</v>
      </c>
      <c r="C65" s="14" t="s">
        <v>5</v>
      </c>
      <c r="D65" s="14" t="s">
        <v>6</v>
      </c>
      <c r="E65" s="15" t="s">
        <v>7</v>
      </c>
      <c r="F65" s="14" t="s">
        <v>8</v>
      </c>
      <c r="G65" s="14" t="s">
        <v>9</v>
      </c>
      <c r="H65" s="16" t="s">
        <v>10</v>
      </c>
      <c r="I65" s="14" t="s">
        <v>11</v>
      </c>
      <c r="J65" s="14" t="s">
        <v>12</v>
      </c>
    </row>
    <row x14ac:dyDescent="0.25" r="66" customHeight="1" ht="17.25">
      <c r="A66" s="17" t="s">
        <v>9843</v>
      </c>
      <c r="B66" s="17" t="s">
        <v>132</v>
      </c>
      <c r="C66" s="17" t="s">
        <v>133</v>
      </c>
      <c r="D66" s="17" t="s">
        <v>16</v>
      </c>
      <c r="E66" s="18">
        <f>ROUND(7602*1.05,2)</f>
      </c>
      <c r="F66" s="17" t="s">
        <v>17</v>
      </c>
      <c r="G66" s="17" t="s">
        <v>18</v>
      </c>
      <c r="H66" s="18">
        <f>ROUND(RAND()*4+6,1)</f>
      </c>
      <c r="I66" s="17" t="s">
        <v>19</v>
      </c>
      <c r="J66" s="19">
        <f>ROUND(69*1,0)&amp;"%"</f>
      </c>
    </row>
    <row x14ac:dyDescent="0.25" r="67" customHeight="1" ht="17.25">
      <c r="A67" s="20" t="s">
        <v>9844</v>
      </c>
      <c r="B67" s="20" t="s">
        <v>135</v>
      </c>
      <c r="C67" s="20" t="s">
        <v>133</v>
      </c>
      <c r="D67" s="20" t="s">
        <v>22</v>
      </c>
      <c r="E67" s="21">
        <f>ROUND(15445*1.05,2)</f>
      </c>
      <c r="F67" s="20" t="s">
        <v>23</v>
      </c>
      <c r="G67" s="20" t="s">
        <v>24</v>
      </c>
      <c r="H67" s="21">
        <f>ROUND(RAND()*4+6,1)</f>
      </c>
      <c r="I67" s="20" t="s">
        <v>25</v>
      </c>
      <c r="J67" s="23">
        <f>ROUND(87*1,0)&amp;"%"</f>
      </c>
    </row>
    <row x14ac:dyDescent="0.25" r="68" customHeight="1" ht="17.25">
      <c r="A68" s="17" t="s">
        <v>9845</v>
      </c>
      <c r="B68" s="17" t="s">
        <v>137</v>
      </c>
      <c r="C68" s="17" t="s">
        <v>133</v>
      </c>
      <c r="D68" s="17" t="s">
        <v>28</v>
      </c>
      <c r="E68" s="18">
        <f>ROUND(5209*1.05,2)</f>
      </c>
      <c r="F68" s="17" t="s">
        <v>29</v>
      </c>
      <c r="G68" s="17" t="s">
        <v>30</v>
      </c>
      <c r="H68" s="18">
        <f>ROUND(RAND()*4+6,1)</f>
      </c>
      <c r="I68" s="17" t="s">
        <v>31</v>
      </c>
      <c r="J68" s="19">
        <f>ROUND(66*1,0)&amp;"%"</f>
      </c>
    </row>
    <row x14ac:dyDescent="0.25" r="69" customHeight="1" ht="17.25">
      <c r="A69" s="20" t="s">
        <v>9846</v>
      </c>
      <c r="B69" s="20" t="s">
        <v>139</v>
      </c>
      <c r="C69" s="20" t="s">
        <v>133</v>
      </c>
      <c r="D69" s="20" t="s">
        <v>34</v>
      </c>
      <c r="E69" s="21">
        <f>ROUND(17776*1.05,2)</f>
      </c>
      <c r="F69" s="20" t="s">
        <v>35</v>
      </c>
      <c r="G69" s="20" t="s">
        <v>18</v>
      </c>
      <c r="H69" s="21">
        <f>ROUND(RAND()*4+6,1)</f>
      </c>
      <c r="I69" s="20" t="s">
        <v>36</v>
      </c>
      <c r="J69" s="23">
        <f>ROUND(88*1,0)&amp;"%"</f>
      </c>
    </row>
    <row x14ac:dyDescent="0.25" r="70" customHeight="1" ht="17.25">
      <c r="A70" s="17" t="s">
        <v>9847</v>
      </c>
      <c r="B70" s="17" t="s">
        <v>141</v>
      </c>
      <c r="C70" s="17" t="s">
        <v>133</v>
      </c>
      <c r="D70" s="17" t="s">
        <v>39</v>
      </c>
      <c r="E70" s="18">
        <f>ROUND(14364*1.05,2)</f>
      </c>
      <c r="F70" s="17" t="s">
        <v>40</v>
      </c>
      <c r="G70" s="17" t="s">
        <v>24</v>
      </c>
      <c r="H70" s="18">
        <f>ROUND(RAND()*4+6,1)</f>
      </c>
      <c r="I70" s="17" t="s">
        <v>41</v>
      </c>
      <c r="J70" s="19">
        <f>ROUND(91*1,0)&amp;"%"</f>
      </c>
    </row>
    <row x14ac:dyDescent="0.25" r="71" customHeight="1" ht="17.25">
      <c r="A71" s="20" t="s">
        <v>9848</v>
      </c>
      <c r="B71" s="20" t="s">
        <v>143</v>
      </c>
      <c r="C71" s="20" t="s">
        <v>133</v>
      </c>
      <c r="D71" s="20" t="s">
        <v>67</v>
      </c>
      <c r="E71" s="21">
        <f>ROUND(4530*1.05,2)</f>
      </c>
      <c r="F71" s="20" t="s">
        <v>44</v>
      </c>
      <c r="G71" s="20" t="s">
        <v>30</v>
      </c>
      <c r="H71" s="21">
        <f>ROUND(RAND()*4+6,1)</f>
      </c>
      <c r="I71" s="20" t="s">
        <v>45</v>
      </c>
      <c r="J71" s="23">
        <f>ROUND(69*1,0)&amp;"%"</f>
      </c>
    </row>
    <row x14ac:dyDescent="0.25" r="72" customHeight="1" ht="17.25">
      <c r="A72" s="17" t="s">
        <v>9849</v>
      </c>
      <c r="B72" s="17" t="s">
        <v>145</v>
      </c>
      <c r="C72" s="17" t="s">
        <v>133</v>
      </c>
      <c r="D72" s="17" t="s">
        <v>16</v>
      </c>
      <c r="E72" s="18">
        <f>ROUND(5213*1.05,2)</f>
      </c>
      <c r="F72" s="17" t="s">
        <v>48</v>
      </c>
      <c r="G72" s="17" t="s">
        <v>18</v>
      </c>
      <c r="H72" s="18">
        <f>ROUND(RAND()*4+6,1)</f>
      </c>
      <c r="I72" s="17" t="s">
        <v>19</v>
      </c>
      <c r="J72" s="19">
        <f>ROUND(71*1,0)&amp;"%"</f>
      </c>
    </row>
    <row x14ac:dyDescent="0.25" r="73" customHeight="1" ht="17.25">
      <c r="A73" s="20" t="s">
        <v>9850</v>
      </c>
      <c r="B73" s="20" t="s">
        <v>147</v>
      </c>
      <c r="C73" s="20" t="s">
        <v>133</v>
      </c>
      <c r="D73" s="20" t="s">
        <v>22</v>
      </c>
      <c r="E73" s="21">
        <f>ROUND(12241*1.05,2)</f>
      </c>
      <c r="F73" s="20" t="s">
        <v>51</v>
      </c>
      <c r="G73" s="20" t="s">
        <v>24</v>
      </c>
      <c r="H73" s="21">
        <f>ROUND(RAND()*4+6,1)</f>
      </c>
      <c r="I73" s="20" t="s">
        <v>25</v>
      </c>
      <c r="J73" s="23">
        <f>ROUND(66*1,0)&amp;"%"</f>
      </c>
    </row>
    <row x14ac:dyDescent="0.25" r="74" customHeight="1" ht="17.25">
      <c r="A74" s="24" t="s">
        <v>148</v>
      </c>
      <c r="B74" s="24"/>
      <c r="C74" s="24"/>
      <c r="D74" s="24"/>
      <c r="E74" s="25">
        <v>8</v>
      </c>
      <c r="F74" s="9"/>
      <c r="G74" s="9"/>
      <c r="H74" s="10"/>
      <c r="I74" s="9"/>
      <c r="J74" s="9"/>
    </row>
    <row x14ac:dyDescent="0.25" r="75" customHeight="1" ht="17.25">
      <c r="A75" s="7"/>
      <c r="B75" s="7"/>
      <c r="C75" s="7"/>
      <c r="D75" s="7"/>
      <c r="E75" s="8"/>
      <c r="F75" s="9"/>
      <c r="G75" s="9"/>
      <c r="H75" s="10"/>
      <c r="I75" s="9"/>
      <c r="J75" s="9"/>
    </row>
    <row x14ac:dyDescent="0.25" r="76" customHeight="1" ht="17.25">
      <c r="A76" s="11" t="s">
        <v>9851</v>
      </c>
      <c r="B76" s="11"/>
      <c r="C76" s="11"/>
      <c r="D76" s="11"/>
      <c r="E76" s="12"/>
      <c r="F76" s="11"/>
      <c r="G76" s="11"/>
      <c r="H76" s="13"/>
      <c r="I76" s="11"/>
      <c r="J76" s="11"/>
    </row>
    <row x14ac:dyDescent="0.25" r="77" customHeight="1" ht="17.25">
      <c r="A77" s="14" t="s">
        <v>3</v>
      </c>
      <c r="B77" s="14" t="s">
        <v>4</v>
      </c>
      <c r="C77" s="14" t="s">
        <v>5</v>
      </c>
      <c r="D77" s="14" t="s">
        <v>6</v>
      </c>
      <c r="E77" s="15" t="s">
        <v>7</v>
      </c>
      <c r="F77" s="14" t="s">
        <v>8</v>
      </c>
      <c r="G77" s="14" t="s">
        <v>9</v>
      </c>
      <c r="H77" s="16" t="s">
        <v>10</v>
      </c>
      <c r="I77" s="14" t="s">
        <v>11</v>
      </c>
      <c r="J77" s="14" t="s">
        <v>12</v>
      </c>
    </row>
    <row x14ac:dyDescent="0.25" r="78" customHeight="1" ht="17.25">
      <c r="A78" s="17" t="s">
        <v>9852</v>
      </c>
      <c r="B78" s="17" t="s">
        <v>151</v>
      </c>
      <c r="C78" s="17" t="s">
        <v>152</v>
      </c>
      <c r="D78" s="17" t="s">
        <v>16</v>
      </c>
      <c r="E78" s="18">
        <f>ROUND(5019*1.05,2)</f>
      </c>
      <c r="F78" s="17" t="s">
        <v>17</v>
      </c>
      <c r="G78" s="17" t="s">
        <v>18</v>
      </c>
      <c r="H78" s="18">
        <f>ROUND(RAND()*4+6,1)</f>
      </c>
      <c r="I78" s="17" t="s">
        <v>19</v>
      </c>
      <c r="J78" s="19">
        <f>ROUND(77*1,0)&amp;"%"</f>
      </c>
    </row>
    <row x14ac:dyDescent="0.25" r="79" customHeight="1" ht="17.25">
      <c r="A79" s="20" t="s">
        <v>9853</v>
      </c>
      <c r="B79" s="20" t="s">
        <v>154</v>
      </c>
      <c r="C79" s="20" t="s">
        <v>152</v>
      </c>
      <c r="D79" s="20" t="s">
        <v>22</v>
      </c>
      <c r="E79" s="21">
        <f>ROUND(10774*1.05,2)</f>
      </c>
      <c r="F79" s="20" t="s">
        <v>23</v>
      </c>
      <c r="G79" s="20" t="s">
        <v>24</v>
      </c>
      <c r="H79" s="21">
        <f>ROUND(RAND()*4+6,1)</f>
      </c>
      <c r="I79" s="20" t="s">
        <v>25</v>
      </c>
      <c r="J79" s="23">
        <f>ROUND(71*1,0)&amp;"%"</f>
      </c>
    </row>
    <row x14ac:dyDescent="0.25" r="80" customHeight="1" ht="17.25">
      <c r="A80" s="17" t="s">
        <v>9854</v>
      </c>
      <c r="B80" s="17" t="s">
        <v>156</v>
      </c>
      <c r="C80" s="17" t="s">
        <v>152</v>
      </c>
      <c r="D80" s="17" t="s">
        <v>28</v>
      </c>
      <c r="E80" s="18">
        <f>ROUND(4321*1.05,2)</f>
      </c>
      <c r="F80" s="17" t="s">
        <v>29</v>
      </c>
      <c r="G80" s="17" t="s">
        <v>30</v>
      </c>
      <c r="H80" s="18">
        <f>ROUND(RAND()*4+6,1)</f>
      </c>
      <c r="I80" s="17" t="s">
        <v>31</v>
      </c>
      <c r="J80" s="19">
        <f>ROUND(88*1,0)&amp;"%"</f>
      </c>
    </row>
    <row x14ac:dyDescent="0.25" r="81" customHeight="1" ht="17.25">
      <c r="A81" s="20" t="s">
        <v>9855</v>
      </c>
      <c r="B81" s="20" t="s">
        <v>158</v>
      </c>
      <c r="C81" s="20" t="s">
        <v>152</v>
      </c>
      <c r="D81" s="20" t="s">
        <v>34</v>
      </c>
      <c r="E81" s="21">
        <f>ROUND(12684*1.05,2)</f>
      </c>
      <c r="F81" s="20" t="s">
        <v>35</v>
      </c>
      <c r="G81" s="20" t="s">
        <v>18</v>
      </c>
      <c r="H81" s="21">
        <f>ROUND(RAND()*4+6,1)</f>
      </c>
      <c r="I81" s="20" t="s">
        <v>36</v>
      </c>
      <c r="J81" s="23">
        <f>ROUND(93*1,0)&amp;"%"</f>
      </c>
    </row>
    <row x14ac:dyDescent="0.25" r="82" customHeight="1" ht="17.25">
      <c r="A82" s="17" t="s">
        <v>9856</v>
      </c>
      <c r="B82" s="17" t="s">
        <v>160</v>
      </c>
      <c r="C82" s="17" t="s">
        <v>152</v>
      </c>
      <c r="D82" s="17" t="s">
        <v>39</v>
      </c>
      <c r="E82" s="18">
        <f>ROUND(7691*1.05,2)</f>
      </c>
      <c r="F82" s="17" t="s">
        <v>40</v>
      </c>
      <c r="G82" s="17" t="s">
        <v>24</v>
      </c>
      <c r="H82" s="26">
        <f>ROUND(RAND()*4+6,1)</f>
      </c>
      <c r="I82" s="17" t="s">
        <v>41</v>
      </c>
      <c r="J82" s="19">
        <f>ROUND(99*1,0)&amp;"%"</f>
      </c>
    </row>
    <row x14ac:dyDescent="0.25" r="83" customHeight="1" ht="17.25">
      <c r="A83" s="20" t="s">
        <v>9857</v>
      </c>
      <c r="B83" s="20" t="s">
        <v>162</v>
      </c>
      <c r="C83" s="20" t="s">
        <v>152</v>
      </c>
      <c r="D83" s="20" t="s">
        <v>67</v>
      </c>
      <c r="E83" s="21">
        <f>ROUND(10863*1.05,2)</f>
      </c>
      <c r="F83" s="20" t="s">
        <v>44</v>
      </c>
      <c r="G83" s="20" t="s">
        <v>30</v>
      </c>
      <c r="H83" s="21">
        <f>ROUND(RAND()*4+6,1)</f>
      </c>
      <c r="I83" s="20" t="s">
        <v>45</v>
      </c>
      <c r="J83" s="23">
        <f>ROUND(67*1,0)&amp;"%"</f>
      </c>
    </row>
    <row x14ac:dyDescent="0.25" r="84" customHeight="1" ht="17.25">
      <c r="A84" s="17" t="s">
        <v>9858</v>
      </c>
      <c r="B84" s="17" t="s">
        <v>164</v>
      </c>
      <c r="C84" s="17" t="s">
        <v>152</v>
      </c>
      <c r="D84" s="17" t="s">
        <v>16</v>
      </c>
      <c r="E84" s="18">
        <f>ROUND(9806*1.05,2)</f>
      </c>
      <c r="F84" s="17" t="s">
        <v>48</v>
      </c>
      <c r="G84" s="17" t="s">
        <v>18</v>
      </c>
      <c r="H84" s="18">
        <f>ROUND(RAND()*4+6,1)</f>
      </c>
      <c r="I84" s="17" t="s">
        <v>19</v>
      </c>
      <c r="J84" s="19">
        <f>ROUND(96*1,0)&amp;"%"</f>
      </c>
    </row>
    <row x14ac:dyDescent="0.25" r="85" customHeight="1" ht="17.25">
      <c r="A85" s="20" t="s">
        <v>9859</v>
      </c>
      <c r="B85" s="20" t="s">
        <v>166</v>
      </c>
      <c r="C85" s="20" t="s">
        <v>152</v>
      </c>
      <c r="D85" s="20" t="s">
        <v>22</v>
      </c>
      <c r="E85" s="21">
        <f>ROUND(16346*1.05,2)</f>
      </c>
      <c r="F85" s="20" t="s">
        <v>51</v>
      </c>
      <c r="G85" s="20" t="s">
        <v>24</v>
      </c>
      <c r="H85" s="21">
        <f>ROUND(RAND()*4+6,1)</f>
      </c>
      <c r="I85" s="20" t="s">
        <v>25</v>
      </c>
      <c r="J85" s="23">
        <f>ROUND(86*1,0)&amp;"%"</f>
      </c>
    </row>
    <row x14ac:dyDescent="0.25" r="86" customHeight="1" ht="17.25">
      <c r="A86" s="24" t="s">
        <v>167</v>
      </c>
      <c r="B86" s="24"/>
      <c r="C86" s="24"/>
      <c r="D86" s="24"/>
      <c r="E86" s="25">
        <v>8</v>
      </c>
      <c r="F86" s="9"/>
      <c r="G86" s="9"/>
      <c r="H86" s="10"/>
      <c r="I86" s="9"/>
      <c r="J86" s="9"/>
    </row>
    <row x14ac:dyDescent="0.25" r="87" customHeight="1" ht="17.25">
      <c r="A87" s="7"/>
      <c r="B87" s="7"/>
      <c r="C87" s="7"/>
      <c r="D87" s="7"/>
      <c r="E87" s="8"/>
      <c r="F87" s="9"/>
      <c r="G87" s="9"/>
      <c r="H87" s="10"/>
      <c r="I87" s="9"/>
      <c r="J87" s="9"/>
    </row>
    <row x14ac:dyDescent="0.25" r="88" customHeight="1" ht="17.25">
      <c r="A88" s="11" t="s">
        <v>9860</v>
      </c>
      <c r="B88" s="11"/>
      <c r="C88" s="11"/>
      <c r="D88" s="11"/>
      <c r="E88" s="12"/>
      <c r="F88" s="11"/>
      <c r="G88" s="11"/>
      <c r="H88" s="13"/>
      <c r="I88" s="11"/>
      <c r="J88" s="11"/>
    </row>
    <row x14ac:dyDescent="0.25" r="89" customHeight="1" ht="17.25">
      <c r="A89" s="14" t="s">
        <v>3</v>
      </c>
      <c r="B89" s="14" t="s">
        <v>4</v>
      </c>
      <c r="C89" s="14" t="s">
        <v>5</v>
      </c>
      <c r="D89" s="14" t="s">
        <v>6</v>
      </c>
      <c r="E89" s="15" t="s">
        <v>7</v>
      </c>
      <c r="F89" s="14" t="s">
        <v>8</v>
      </c>
      <c r="G89" s="14" t="s">
        <v>9</v>
      </c>
      <c r="H89" s="16" t="s">
        <v>10</v>
      </c>
      <c r="I89" s="14" t="s">
        <v>11</v>
      </c>
      <c r="J89" s="14" t="s">
        <v>12</v>
      </c>
    </row>
    <row x14ac:dyDescent="0.25" r="90" customHeight="1" ht="17.25">
      <c r="A90" s="17" t="s">
        <v>9861</v>
      </c>
      <c r="B90" s="17" t="s">
        <v>170</v>
      </c>
      <c r="C90" s="17" t="s">
        <v>15</v>
      </c>
      <c r="D90" s="17" t="s">
        <v>16</v>
      </c>
      <c r="E90" s="18">
        <f>ROUND(16926*1.05,2)</f>
      </c>
      <c r="F90" s="17" t="s">
        <v>17</v>
      </c>
      <c r="G90" s="17" t="s">
        <v>18</v>
      </c>
      <c r="H90" s="18">
        <f>ROUND(RAND()*4+6,1)</f>
      </c>
      <c r="I90" s="17" t="s">
        <v>19</v>
      </c>
      <c r="J90" s="19">
        <f>ROUND(60*1,0)&amp;"%"</f>
      </c>
    </row>
    <row x14ac:dyDescent="0.25" r="91" customHeight="1" ht="17.25">
      <c r="A91" s="20" t="s">
        <v>9862</v>
      </c>
      <c r="B91" s="20" t="s">
        <v>172</v>
      </c>
      <c r="C91" s="20" t="s">
        <v>15</v>
      </c>
      <c r="D91" s="20" t="s">
        <v>22</v>
      </c>
      <c r="E91" s="21">
        <f>ROUND(4985*1.05,2)</f>
      </c>
      <c r="F91" s="20" t="s">
        <v>23</v>
      </c>
      <c r="G91" s="20" t="s">
        <v>24</v>
      </c>
      <c r="H91" s="21">
        <f>ROUND(RAND()*4+6,1)</f>
      </c>
      <c r="I91" s="20" t="s">
        <v>25</v>
      </c>
      <c r="J91" s="23">
        <f>ROUND(63*1,0)&amp;"%"</f>
      </c>
    </row>
    <row x14ac:dyDescent="0.25" r="92" customHeight="1" ht="17.25">
      <c r="A92" s="17" t="s">
        <v>9863</v>
      </c>
      <c r="B92" s="17" t="s">
        <v>174</v>
      </c>
      <c r="C92" s="17" t="s">
        <v>15</v>
      </c>
      <c r="D92" s="17" t="s">
        <v>28</v>
      </c>
      <c r="E92" s="18">
        <f>ROUND(16244*1.05,2)</f>
      </c>
      <c r="F92" s="17" t="s">
        <v>29</v>
      </c>
      <c r="G92" s="17" t="s">
        <v>30</v>
      </c>
      <c r="H92" s="18">
        <f>ROUND(RAND()*4+6,1)</f>
      </c>
      <c r="I92" s="17" t="s">
        <v>31</v>
      </c>
      <c r="J92" s="19">
        <f>ROUND(100*1,0)&amp;"%"</f>
      </c>
    </row>
    <row x14ac:dyDescent="0.25" r="93" customHeight="1" ht="17.25">
      <c r="A93" s="20" t="s">
        <v>9864</v>
      </c>
      <c r="B93" s="20" t="s">
        <v>176</v>
      </c>
      <c r="C93" s="20" t="s">
        <v>15</v>
      </c>
      <c r="D93" s="20" t="s">
        <v>34</v>
      </c>
      <c r="E93" s="21">
        <f>ROUND(14744*1.05,2)</f>
      </c>
      <c r="F93" s="20" t="s">
        <v>35</v>
      </c>
      <c r="G93" s="20" t="s">
        <v>18</v>
      </c>
      <c r="H93" s="21">
        <f>ROUND(RAND()*4+6,1)</f>
      </c>
      <c r="I93" s="20" t="s">
        <v>36</v>
      </c>
      <c r="J93" s="23">
        <f>ROUND(70*1,0)&amp;"%"</f>
      </c>
    </row>
    <row x14ac:dyDescent="0.25" r="94" customHeight="1" ht="17.25">
      <c r="A94" s="17" t="s">
        <v>9865</v>
      </c>
      <c r="B94" s="17" t="s">
        <v>178</v>
      </c>
      <c r="C94" s="17" t="s">
        <v>15</v>
      </c>
      <c r="D94" s="17" t="s">
        <v>39</v>
      </c>
      <c r="E94" s="18">
        <f>ROUND(7214*1.05,2)</f>
      </c>
      <c r="F94" s="17" t="s">
        <v>40</v>
      </c>
      <c r="G94" s="17" t="s">
        <v>24</v>
      </c>
      <c r="H94" s="18">
        <f>ROUND(RAND()*4+6,1)</f>
      </c>
      <c r="I94" s="17" t="s">
        <v>41</v>
      </c>
      <c r="J94" s="19">
        <f>ROUND(62*1,0)&amp;"%"</f>
      </c>
    </row>
    <row x14ac:dyDescent="0.25" r="95" customHeight="1" ht="17.25">
      <c r="A95" s="20" t="s">
        <v>9866</v>
      </c>
      <c r="B95" s="20" t="s">
        <v>180</v>
      </c>
      <c r="C95" s="20" t="s">
        <v>15</v>
      </c>
      <c r="D95" s="20" t="s">
        <v>67</v>
      </c>
      <c r="E95" s="21">
        <f>ROUND(15998*1.05,2)</f>
      </c>
      <c r="F95" s="20" t="s">
        <v>44</v>
      </c>
      <c r="G95" s="20" t="s">
        <v>30</v>
      </c>
      <c r="H95" s="21">
        <f>ROUND(RAND()*4+6,1)</f>
      </c>
      <c r="I95" s="20" t="s">
        <v>45</v>
      </c>
      <c r="J95" s="23">
        <f>ROUND(67*1,0)&amp;"%"</f>
      </c>
    </row>
    <row x14ac:dyDescent="0.25" r="96" customHeight="1" ht="17.25">
      <c r="A96" s="17" t="s">
        <v>9867</v>
      </c>
      <c r="B96" s="17" t="s">
        <v>182</v>
      </c>
      <c r="C96" s="17" t="s">
        <v>15</v>
      </c>
      <c r="D96" s="17" t="s">
        <v>16</v>
      </c>
      <c r="E96" s="18">
        <f>ROUND(13297*1.05,2)</f>
      </c>
      <c r="F96" s="17" t="s">
        <v>48</v>
      </c>
      <c r="G96" s="17" t="s">
        <v>18</v>
      </c>
      <c r="H96" s="18">
        <f>ROUND(RAND()*4+6,1)</f>
      </c>
      <c r="I96" s="17" t="s">
        <v>19</v>
      </c>
      <c r="J96" s="19">
        <f>ROUND(97*1,0)&amp;"%"</f>
      </c>
    </row>
    <row x14ac:dyDescent="0.25" r="97" customHeight="1" ht="17.25">
      <c r="A97" s="20" t="s">
        <v>9868</v>
      </c>
      <c r="B97" s="20" t="s">
        <v>184</v>
      </c>
      <c r="C97" s="20" t="s">
        <v>15</v>
      </c>
      <c r="D97" s="20" t="s">
        <v>22</v>
      </c>
      <c r="E97" s="21">
        <f>ROUND(14822*1.05,2)</f>
      </c>
      <c r="F97" s="20" t="s">
        <v>51</v>
      </c>
      <c r="G97" s="20" t="s">
        <v>24</v>
      </c>
      <c r="H97" s="21">
        <f>ROUND(RAND()*4+6,1)</f>
      </c>
      <c r="I97" s="20" t="s">
        <v>25</v>
      </c>
      <c r="J97" s="23">
        <f>ROUND(94*1,0)&amp;"%"</f>
      </c>
    </row>
    <row x14ac:dyDescent="0.25" r="98" customHeight="1" ht="17.25">
      <c r="A98" s="24" t="s">
        <v>185</v>
      </c>
      <c r="B98" s="24"/>
      <c r="C98" s="24"/>
      <c r="D98" s="24"/>
      <c r="E98" s="25">
        <v>8</v>
      </c>
      <c r="F98" s="9"/>
      <c r="G98" s="9"/>
      <c r="H98" s="10"/>
      <c r="I98" s="9"/>
      <c r="J98" s="9"/>
    </row>
    <row x14ac:dyDescent="0.25" r="99" customHeight="1" ht="17.25">
      <c r="A99" s="7"/>
      <c r="B99" s="7"/>
      <c r="C99" s="7"/>
      <c r="D99" s="7"/>
      <c r="E99" s="8"/>
      <c r="F99" s="9"/>
      <c r="G99" s="9"/>
      <c r="H99" s="10"/>
      <c r="I99" s="9"/>
      <c r="J99" s="9"/>
    </row>
    <row x14ac:dyDescent="0.25" r="100" customHeight="1" ht="17.25">
      <c r="A100" s="11" t="s">
        <v>9869</v>
      </c>
      <c r="B100" s="11"/>
      <c r="C100" s="11"/>
      <c r="D100" s="11"/>
      <c r="E100" s="12"/>
      <c r="F100" s="11"/>
      <c r="G100" s="11"/>
      <c r="H100" s="13"/>
      <c r="I100" s="11"/>
      <c r="J100" s="11"/>
    </row>
    <row x14ac:dyDescent="0.25" r="101" customHeight="1" ht="17.25">
      <c r="A101" s="14" t="s">
        <v>3</v>
      </c>
      <c r="B101" s="14" t="s">
        <v>4</v>
      </c>
      <c r="C101" s="14" t="s">
        <v>5</v>
      </c>
      <c r="D101" s="14" t="s">
        <v>6</v>
      </c>
      <c r="E101" s="15" t="s">
        <v>7</v>
      </c>
      <c r="F101" s="14" t="s">
        <v>8</v>
      </c>
      <c r="G101" s="14" t="s">
        <v>9</v>
      </c>
      <c r="H101" s="16" t="s">
        <v>10</v>
      </c>
      <c r="I101" s="14" t="s">
        <v>11</v>
      </c>
      <c r="J101" s="14" t="s">
        <v>12</v>
      </c>
    </row>
    <row x14ac:dyDescent="0.25" r="102" customHeight="1" ht="17.25">
      <c r="A102" s="17" t="s">
        <v>9870</v>
      </c>
      <c r="B102" s="17" t="s">
        <v>188</v>
      </c>
      <c r="C102" s="17" t="s">
        <v>56</v>
      </c>
      <c r="D102" s="17" t="s">
        <v>16</v>
      </c>
      <c r="E102" s="18">
        <f>ROUND(7423*1.05,2)</f>
      </c>
      <c r="F102" s="17" t="s">
        <v>17</v>
      </c>
      <c r="G102" s="17" t="s">
        <v>18</v>
      </c>
      <c r="H102" s="18">
        <f>ROUND(RAND()*4+6,1)</f>
      </c>
      <c r="I102" s="17" t="s">
        <v>19</v>
      </c>
      <c r="J102" s="19">
        <f>ROUND(81*1,0)&amp;"%"</f>
      </c>
    </row>
    <row x14ac:dyDescent="0.25" r="103" customHeight="1" ht="17.25">
      <c r="A103" s="20" t="s">
        <v>9871</v>
      </c>
      <c r="B103" s="20" t="s">
        <v>190</v>
      </c>
      <c r="C103" s="20" t="s">
        <v>56</v>
      </c>
      <c r="D103" s="20" t="s">
        <v>22</v>
      </c>
      <c r="E103" s="21">
        <f>ROUND(12117*1.05,2)</f>
      </c>
      <c r="F103" s="20" t="s">
        <v>23</v>
      </c>
      <c r="G103" s="20" t="s">
        <v>24</v>
      </c>
      <c r="H103" s="21">
        <f>ROUND(RAND()*4+6,1)</f>
      </c>
      <c r="I103" s="20" t="s">
        <v>25</v>
      </c>
      <c r="J103" s="23">
        <f>ROUND(94*1,0)&amp;"%"</f>
      </c>
    </row>
    <row x14ac:dyDescent="0.25" r="104" customHeight="1" ht="17.25">
      <c r="A104" s="17" t="s">
        <v>9872</v>
      </c>
      <c r="B104" s="17" t="s">
        <v>192</v>
      </c>
      <c r="C104" s="17" t="s">
        <v>56</v>
      </c>
      <c r="D104" s="17" t="s">
        <v>28</v>
      </c>
      <c r="E104" s="18">
        <f>ROUND(13043*1.05,2)</f>
      </c>
      <c r="F104" s="17" t="s">
        <v>29</v>
      </c>
      <c r="G104" s="17" t="s">
        <v>30</v>
      </c>
      <c r="H104" s="26">
        <f>ROUND(RAND()*4+6,1)</f>
      </c>
      <c r="I104" s="17" t="s">
        <v>31</v>
      </c>
      <c r="J104" s="19">
        <f>ROUND(96*1,0)&amp;"%"</f>
      </c>
    </row>
    <row x14ac:dyDescent="0.25" r="105" customHeight="1" ht="17.25">
      <c r="A105" s="20" t="s">
        <v>9873</v>
      </c>
      <c r="B105" s="20" t="s">
        <v>194</v>
      </c>
      <c r="C105" s="20" t="s">
        <v>56</v>
      </c>
      <c r="D105" s="20" t="s">
        <v>34</v>
      </c>
      <c r="E105" s="21">
        <f>ROUND(7046*1.05,2)</f>
      </c>
      <c r="F105" s="20" t="s">
        <v>35</v>
      </c>
      <c r="G105" s="20" t="s">
        <v>18</v>
      </c>
      <c r="H105" s="21">
        <f>ROUND(RAND()*4+6,1)</f>
      </c>
      <c r="I105" s="20" t="s">
        <v>36</v>
      </c>
      <c r="J105" s="23">
        <f>ROUND(69*1,0)&amp;"%"</f>
      </c>
    </row>
    <row x14ac:dyDescent="0.25" r="106" customHeight="1" ht="17.25">
      <c r="A106" s="17" t="s">
        <v>9874</v>
      </c>
      <c r="B106" s="17" t="s">
        <v>196</v>
      </c>
      <c r="C106" s="17" t="s">
        <v>56</v>
      </c>
      <c r="D106" s="17" t="s">
        <v>39</v>
      </c>
      <c r="E106" s="18">
        <f>ROUND(4122*1.05,2)</f>
      </c>
      <c r="F106" s="17" t="s">
        <v>40</v>
      </c>
      <c r="G106" s="17" t="s">
        <v>24</v>
      </c>
      <c r="H106" s="18">
        <f>ROUND(RAND()*4+6,1)</f>
      </c>
      <c r="I106" s="17" t="s">
        <v>41</v>
      </c>
      <c r="J106" s="19">
        <f>ROUND(69*1,0)&amp;"%"</f>
      </c>
    </row>
    <row x14ac:dyDescent="0.25" r="107" customHeight="1" ht="17.25">
      <c r="A107" s="20" t="s">
        <v>9875</v>
      </c>
      <c r="B107" s="20" t="s">
        <v>198</v>
      </c>
      <c r="C107" s="20" t="s">
        <v>56</v>
      </c>
      <c r="D107" s="20" t="s">
        <v>67</v>
      </c>
      <c r="E107" s="21">
        <f>ROUND(7524*1.05,2)</f>
      </c>
      <c r="F107" s="20" t="s">
        <v>44</v>
      </c>
      <c r="G107" s="20" t="s">
        <v>30</v>
      </c>
      <c r="H107" s="21">
        <f>ROUND(RAND()*4+6,1)</f>
      </c>
      <c r="I107" s="20" t="s">
        <v>45</v>
      </c>
      <c r="J107" s="23">
        <f>ROUND(70*1,0)&amp;"%"</f>
      </c>
    </row>
    <row x14ac:dyDescent="0.25" r="108" customHeight="1" ht="17.25">
      <c r="A108" s="17" t="s">
        <v>9876</v>
      </c>
      <c r="B108" s="17" t="s">
        <v>200</v>
      </c>
      <c r="C108" s="17" t="s">
        <v>56</v>
      </c>
      <c r="D108" s="17" t="s">
        <v>16</v>
      </c>
      <c r="E108" s="18">
        <f>ROUND(10987*1.05,2)</f>
      </c>
      <c r="F108" s="17" t="s">
        <v>48</v>
      </c>
      <c r="G108" s="17" t="s">
        <v>18</v>
      </c>
      <c r="H108" s="18">
        <f>ROUND(RAND()*4+6,1)</f>
      </c>
      <c r="I108" s="17" t="s">
        <v>19</v>
      </c>
      <c r="J108" s="19">
        <f>ROUND(99*1,0)&amp;"%"</f>
      </c>
    </row>
    <row x14ac:dyDescent="0.25" r="109" customHeight="1" ht="17.25">
      <c r="A109" s="20" t="s">
        <v>9877</v>
      </c>
      <c r="B109" s="20" t="s">
        <v>202</v>
      </c>
      <c r="C109" s="20" t="s">
        <v>56</v>
      </c>
      <c r="D109" s="20" t="s">
        <v>22</v>
      </c>
      <c r="E109" s="21">
        <f>ROUND(9995*1.05,2)</f>
      </c>
      <c r="F109" s="20" t="s">
        <v>51</v>
      </c>
      <c r="G109" s="20" t="s">
        <v>24</v>
      </c>
      <c r="H109" s="21">
        <f>ROUND(RAND()*4+6,1)</f>
      </c>
      <c r="I109" s="20" t="s">
        <v>25</v>
      </c>
      <c r="J109" s="23">
        <f>ROUND(99*1,0)&amp;"%"</f>
      </c>
    </row>
    <row x14ac:dyDescent="0.25" r="110" customHeight="1" ht="17.25">
      <c r="A110" s="24" t="s">
        <v>203</v>
      </c>
      <c r="B110" s="24"/>
      <c r="C110" s="24"/>
      <c r="D110" s="24"/>
      <c r="E110" s="25">
        <v>8</v>
      </c>
      <c r="F110" s="9"/>
      <c r="G110" s="9"/>
      <c r="H110" s="10"/>
      <c r="I110" s="9"/>
      <c r="J110" s="9"/>
    </row>
    <row x14ac:dyDescent="0.25" r="111" customHeight="1" ht="17.25">
      <c r="A111" s="7"/>
      <c r="B111" s="7"/>
      <c r="C111" s="7"/>
      <c r="D111" s="7"/>
      <c r="E111" s="8"/>
      <c r="F111" s="9"/>
      <c r="G111" s="9"/>
      <c r="H111" s="10"/>
      <c r="I111" s="9"/>
      <c r="J111" s="9"/>
    </row>
    <row x14ac:dyDescent="0.25" r="112" customHeight="1" ht="17.25">
      <c r="A112" s="11" t="s">
        <v>9878</v>
      </c>
      <c r="B112" s="11"/>
      <c r="C112" s="11"/>
      <c r="D112" s="11"/>
      <c r="E112" s="12"/>
      <c r="F112" s="11"/>
      <c r="G112" s="11"/>
      <c r="H112" s="13"/>
      <c r="I112" s="11"/>
      <c r="J112" s="11"/>
    </row>
    <row x14ac:dyDescent="0.25" r="113" customHeight="1" ht="17.25">
      <c r="A113" s="14" t="s">
        <v>3</v>
      </c>
      <c r="B113" s="14" t="s">
        <v>4</v>
      </c>
      <c r="C113" s="14" t="s">
        <v>5</v>
      </c>
      <c r="D113" s="14" t="s">
        <v>6</v>
      </c>
      <c r="E113" s="15" t="s">
        <v>7</v>
      </c>
      <c r="F113" s="14" t="s">
        <v>8</v>
      </c>
      <c r="G113" s="14" t="s">
        <v>9</v>
      </c>
      <c r="H113" s="16" t="s">
        <v>10</v>
      </c>
      <c r="I113" s="14" t="s">
        <v>11</v>
      </c>
      <c r="J113" s="14" t="s">
        <v>12</v>
      </c>
    </row>
    <row x14ac:dyDescent="0.25" r="114" customHeight="1" ht="17.25">
      <c r="A114" s="17" t="s">
        <v>9879</v>
      </c>
      <c r="B114" s="17" t="s">
        <v>206</v>
      </c>
      <c r="C114" s="17" t="s">
        <v>76</v>
      </c>
      <c r="D114" s="17" t="s">
        <v>16</v>
      </c>
      <c r="E114" s="18">
        <f>ROUND(14981*1.05,2)</f>
      </c>
      <c r="F114" s="17" t="s">
        <v>17</v>
      </c>
      <c r="G114" s="17" t="s">
        <v>18</v>
      </c>
      <c r="H114" s="18">
        <f>ROUND(RAND()*4+6,1)</f>
      </c>
      <c r="I114" s="17" t="s">
        <v>19</v>
      </c>
      <c r="J114" s="19">
        <f>ROUND(94*1,0)&amp;"%"</f>
      </c>
    </row>
    <row x14ac:dyDescent="0.25" r="115" customHeight="1" ht="17.25">
      <c r="A115" s="20" t="s">
        <v>9880</v>
      </c>
      <c r="B115" s="20" t="s">
        <v>208</v>
      </c>
      <c r="C115" s="20" t="s">
        <v>76</v>
      </c>
      <c r="D115" s="20" t="s">
        <v>22</v>
      </c>
      <c r="E115" s="21">
        <f>ROUND(14537*1.05,2)</f>
      </c>
      <c r="F115" s="20" t="s">
        <v>23</v>
      </c>
      <c r="G115" s="20" t="s">
        <v>24</v>
      </c>
      <c r="H115" s="21">
        <f>ROUND(RAND()*4+6,1)</f>
      </c>
      <c r="I115" s="20" t="s">
        <v>25</v>
      </c>
      <c r="J115" s="23">
        <f>ROUND(88*1,0)&amp;"%"</f>
      </c>
    </row>
    <row x14ac:dyDescent="0.25" r="116" customHeight="1" ht="17.25">
      <c r="A116" s="17" t="s">
        <v>9881</v>
      </c>
      <c r="B116" s="17" t="s">
        <v>210</v>
      </c>
      <c r="C116" s="17" t="s">
        <v>76</v>
      </c>
      <c r="D116" s="17" t="s">
        <v>28</v>
      </c>
      <c r="E116" s="18">
        <f>ROUND(10878*1.05,2)</f>
      </c>
      <c r="F116" s="17" t="s">
        <v>29</v>
      </c>
      <c r="G116" s="17" t="s">
        <v>30</v>
      </c>
      <c r="H116" s="18">
        <f>ROUND(RAND()*4+6,1)</f>
      </c>
      <c r="I116" s="17" t="s">
        <v>31</v>
      </c>
      <c r="J116" s="19">
        <f>ROUND(99*1,0)&amp;"%"</f>
      </c>
    </row>
    <row x14ac:dyDescent="0.25" r="117" customHeight="1" ht="17.25">
      <c r="A117" s="20" t="s">
        <v>9882</v>
      </c>
      <c r="B117" s="20" t="s">
        <v>212</v>
      </c>
      <c r="C117" s="20" t="s">
        <v>76</v>
      </c>
      <c r="D117" s="20" t="s">
        <v>34</v>
      </c>
      <c r="E117" s="21">
        <f>ROUND(10266*1.05,2)</f>
      </c>
      <c r="F117" s="20" t="s">
        <v>35</v>
      </c>
      <c r="G117" s="20" t="s">
        <v>18</v>
      </c>
      <c r="H117" s="21">
        <f>ROUND(RAND()*4+6,1)</f>
      </c>
      <c r="I117" s="20" t="s">
        <v>36</v>
      </c>
      <c r="J117" s="23">
        <f>ROUND(88*1,0)&amp;"%"</f>
      </c>
    </row>
    <row x14ac:dyDescent="0.25" r="118" customHeight="1" ht="17.25">
      <c r="A118" s="17" t="s">
        <v>9883</v>
      </c>
      <c r="B118" s="17" t="s">
        <v>214</v>
      </c>
      <c r="C118" s="17" t="s">
        <v>76</v>
      </c>
      <c r="D118" s="17" t="s">
        <v>39</v>
      </c>
      <c r="E118" s="18">
        <f>ROUND(13966*1.05,2)</f>
      </c>
      <c r="F118" s="17" t="s">
        <v>40</v>
      </c>
      <c r="G118" s="17" t="s">
        <v>24</v>
      </c>
      <c r="H118" s="26">
        <f>ROUND(RAND()*4+6,1)</f>
      </c>
      <c r="I118" s="17" t="s">
        <v>41</v>
      </c>
      <c r="J118" s="19">
        <f>ROUND(84*1,0)&amp;"%"</f>
      </c>
    </row>
    <row x14ac:dyDescent="0.25" r="119" customHeight="1" ht="17.25">
      <c r="A119" s="20" t="s">
        <v>9884</v>
      </c>
      <c r="B119" s="20" t="s">
        <v>216</v>
      </c>
      <c r="C119" s="20" t="s">
        <v>76</v>
      </c>
      <c r="D119" s="20" t="s">
        <v>67</v>
      </c>
      <c r="E119" s="21">
        <f>ROUND(15439*1.05,2)</f>
      </c>
      <c r="F119" s="20" t="s">
        <v>44</v>
      </c>
      <c r="G119" s="20" t="s">
        <v>30</v>
      </c>
      <c r="H119" s="21">
        <f>ROUND(RAND()*4+6,1)</f>
      </c>
      <c r="I119" s="20" t="s">
        <v>45</v>
      </c>
      <c r="J119" s="23">
        <f>ROUND(69*1,0)&amp;"%"</f>
      </c>
    </row>
    <row x14ac:dyDescent="0.25" r="120" customHeight="1" ht="17.25">
      <c r="A120" s="17" t="s">
        <v>9885</v>
      </c>
      <c r="B120" s="17" t="s">
        <v>218</v>
      </c>
      <c r="C120" s="17" t="s">
        <v>76</v>
      </c>
      <c r="D120" s="17" t="s">
        <v>16</v>
      </c>
      <c r="E120" s="18">
        <f>ROUND(16167*1.05,2)</f>
      </c>
      <c r="F120" s="17" t="s">
        <v>48</v>
      </c>
      <c r="G120" s="17" t="s">
        <v>18</v>
      </c>
      <c r="H120" s="18">
        <f>ROUND(RAND()*4+6,1)</f>
      </c>
      <c r="I120" s="17" t="s">
        <v>19</v>
      </c>
      <c r="J120" s="19">
        <f>ROUND(84*1,0)&amp;"%"</f>
      </c>
    </row>
    <row x14ac:dyDescent="0.25" r="121" customHeight="1" ht="17.25">
      <c r="A121" s="20" t="s">
        <v>9886</v>
      </c>
      <c r="B121" s="20" t="s">
        <v>220</v>
      </c>
      <c r="C121" s="20" t="s">
        <v>76</v>
      </c>
      <c r="D121" s="20" t="s">
        <v>22</v>
      </c>
      <c r="E121" s="21">
        <f>ROUND(16522*1.05,2)</f>
      </c>
      <c r="F121" s="20" t="s">
        <v>51</v>
      </c>
      <c r="G121" s="20" t="s">
        <v>24</v>
      </c>
      <c r="H121" s="21">
        <f>ROUND(RAND()*4+6,1)</f>
      </c>
      <c r="I121" s="20" t="s">
        <v>25</v>
      </c>
      <c r="J121" s="23">
        <f>ROUND(100*1,0)&amp;"%"</f>
      </c>
    </row>
    <row x14ac:dyDescent="0.25" r="122" customHeight="1" ht="17.25">
      <c r="A122" s="24" t="s">
        <v>221</v>
      </c>
      <c r="B122" s="24"/>
      <c r="C122" s="24"/>
      <c r="D122" s="24"/>
      <c r="E122" s="25">
        <v>8</v>
      </c>
      <c r="F122" s="9"/>
      <c r="G122" s="9"/>
      <c r="H122" s="10"/>
      <c r="I122" s="9"/>
      <c r="J122" s="9"/>
    </row>
    <row x14ac:dyDescent="0.25" r="123" customHeight="1" ht="17.25">
      <c r="A123" s="7"/>
      <c r="B123" s="7"/>
      <c r="C123" s="7"/>
      <c r="D123" s="7"/>
      <c r="E123" s="8"/>
      <c r="F123" s="9"/>
      <c r="G123" s="9"/>
      <c r="H123" s="10"/>
      <c r="I123" s="9"/>
      <c r="J123" s="9"/>
    </row>
    <row x14ac:dyDescent="0.25" r="124" customHeight="1" ht="17.25">
      <c r="A124" s="11" t="s">
        <v>9887</v>
      </c>
      <c r="B124" s="11"/>
      <c r="C124" s="11"/>
      <c r="D124" s="11"/>
      <c r="E124" s="12"/>
      <c r="F124" s="11"/>
      <c r="G124" s="11"/>
      <c r="H124" s="13"/>
      <c r="I124" s="11"/>
      <c r="J124" s="11"/>
    </row>
    <row x14ac:dyDescent="0.25" r="125" customHeight="1" ht="17.25">
      <c r="A125" s="14" t="s">
        <v>3</v>
      </c>
      <c r="B125" s="14" t="s">
        <v>4</v>
      </c>
      <c r="C125" s="14" t="s">
        <v>5</v>
      </c>
      <c r="D125" s="14" t="s">
        <v>6</v>
      </c>
      <c r="E125" s="15" t="s">
        <v>7</v>
      </c>
      <c r="F125" s="14" t="s">
        <v>8</v>
      </c>
      <c r="G125" s="14" t="s">
        <v>9</v>
      </c>
      <c r="H125" s="16" t="s">
        <v>10</v>
      </c>
      <c r="I125" s="14" t="s">
        <v>11</v>
      </c>
      <c r="J125" s="14" t="s">
        <v>12</v>
      </c>
    </row>
    <row x14ac:dyDescent="0.25" r="126" customHeight="1" ht="17.25">
      <c r="A126" s="17" t="s">
        <v>9888</v>
      </c>
      <c r="B126" s="17" t="s">
        <v>224</v>
      </c>
      <c r="C126" s="17" t="s">
        <v>95</v>
      </c>
      <c r="D126" s="17" t="s">
        <v>16</v>
      </c>
      <c r="E126" s="18">
        <f>ROUND(17588*1.05,2)</f>
      </c>
      <c r="F126" s="17" t="s">
        <v>17</v>
      </c>
      <c r="G126" s="17" t="s">
        <v>18</v>
      </c>
      <c r="H126" s="18">
        <f>ROUND(RAND()*4+6,1)</f>
      </c>
      <c r="I126" s="17" t="s">
        <v>19</v>
      </c>
      <c r="J126" s="19">
        <f>ROUND(71*1,0)&amp;"%"</f>
      </c>
    </row>
    <row x14ac:dyDescent="0.25" r="127" customHeight="1" ht="17.25">
      <c r="A127" s="20" t="s">
        <v>9889</v>
      </c>
      <c r="B127" s="20" t="s">
        <v>226</v>
      </c>
      <c r="C127" s="20" t="s">
        <v>95</v>
      </c>
      <c r="D127" s="20" t="s">
        <v>22</v>
      </c>
      <c r="E127" s="21">
        <f>ROUND(9795*1.05,2)</f>
      </c>
      <c r="F127" s="20" t="s">
        <v>23</v>
      </c>
      <c r="G127" s="20" t="s">
        <v>24</v>
      </c>
      <c r="H127" s="21">
        <f>ROUND(RAND()*4+6,1)</f>
      </c>
      <c r="I127" s="20" t="s">
        <v>25</v>
      </c>
      <c r="J127" s="23">
        <f>ROUND(79*1,0)&amp;"%"</f>
      </c>
    </row>
    <row x14ac:dyDescent="0.25" r="128" customHeight="1" ht="17.25">
      <c r="A128" s="17" t="s">
        <v>9890</v>
      </c>
      <c r="B128" s="17" t="s">
        <v>228</v>
      </c>
      <c r="C128" s="17" t="s">
        <v>95</v>
      </c>
      <c r="D128" s="17" t="s">
        <v>28</v>
      </c>
      <c r="E128" s="26">
        <f>ROUND(16740*1.05,2)</f>
      </c>
      <c r="F128" s="17" t="s">
        <v>29</v>
      </c>
      <c r="G128" s="17" t="s">
        <v>30</v>
      </c>
      <c r="H128" s="18">
        <f>ROUND(RAND()*4+6,1)</f>
      </c>
      <c r="I128" s="17" t="s">
        <v>31</v>
      </c>
      <c r="J128" s="19">
        <f>ROUND(63*1,0)&amp;"%"</f>
      </c>
    </row>
    <row x14ac:dyDescent="0.25" r="129" customHeight="1" ht="17.25">
      <c r="A129" s="20" t="s">
        <v>9891</v>
      </c>
      <c r="B129" s="20" t="s">
        <v>230</v>
      </c>
      <c r="C129" s="20" t="s">
        <v>95</v>
      </c>
      <c r="D129" s="20" t="s">
        <v>34</v>
      </c>
      <c r="E129" s="21">
        <f>ROUND(5922*1.05,2)</f>
      </c>
      <c r="F129" s="20" t="s">
        <v>35</v>
      </c>
      <c r="G129" s="20" t="s">
        <v>18</v>
      </c>
      <c r="H129" s="21">
        <f>ROUND(RAND()*4+6,1)</f>
      </c>
      <c r="I129" s="20" t="s">
        <v>36</v>
      </c>
      <c r="J129" s="23">
        <f>ROUND(79*1,0)&amp;"%"</f>
      </c>
    </row>
    <row x14ac:dyDescent="0.25" r="130" customHeight="1" ht="17.25">
      <c r="A130" s="17" t="s">
        <v>9892</v>
      </c>
      <c r="B130" s="17" t="s">
        <v>232</v>
      </c>
      <c r="C130" s="17" t="s">
        <v>95</v>
      </c>
      <c r="D130" s="17" t="s">
        <v>39</v>
      </c>
      <c r="E130" s="18">
        <f>ROUND(12657*1.05,2)</f>
      </c>
      <c r="F130" s="17" t="s">
        <v>40</v>
      </c>
      <c r="G130" s="17" t="s">
        <v>24</v>
      </c>
      <c r="H130" s="18">
        <f>ROUND(RAND()*4+6,1)</f>
      </c>
      <c r="I130" s="17" t="s">
        <v>41</v>
      </c>
      <c r="J130" s="19">
        <f>ROUND(82*1,0)&amp;"%"</f>
      </c>
    </row>
    <row x14ac:dyDescent="0.25" r="131" customHeight="1" ht="17.25">
      <c r="A131" s="20" t="s">
        <v>9893</v>
      </c>
      <c r="B131" s="20" t="s">
        <v>234</v>
      </c>
      <c r="C131" s="20" t="s">
        <v>95</v>
      </c>
      <c r="D131" s="20" t="s">
        <v>67</v>
      </c>
      <c r="E131" s="21">
        <f>ROUND(16751*1.05,2)</f>
      </c>
      <c r="F131" s="20" t="s">
        <v>44</v>
      </c>
      <c r="G131" s="20" t="s">
        <v>30</v>
      </c>
      <c r="H131" s="21">
        <f>ROUND(RAND()*4+6,1)</f>
      </c>
      <c r="I131" s="20" t="s">
        <v>45</v>
      </c>
      <c r="J131" s="23">
        <f>ROUND(84*1,0)&amp;"%"</f>
      </c>
    </row>
    <row x14ac:dyDescent="0.25" r="132" customHeight="1" ht="17.25">
      <c r="A132" s="17" t="s">
        <v>9894</v>
      </c>
      <c r="B132" s="17" t="s">
        <v>236</v>
      </c>
      <c r="C132" s="17" t="s">
        <v>95</v>
      </c>
      <c r="D132" s="17" t="s">
        <v>16</v>
      </c>
      <c r="E132" s="18">
        <f>ROUND(6614*1.05,2)</f>
      </c>
      <c r="F132" s="17" t="s">
        <v>48</v>
      </c>
      <c r="G132" s="17" t="s">
        <v>18</v>
      </c>
      <c r="H132" s="18">
        <f>ROUND(RAND()*4+6,1)</f>
      </c>
      <c r="I132" s="17" t="s">
        <v>19</v>
      </c>
      <c r="J132" s="19">
        <f>ROUND(62*1,0)&amp;"%"</f>
      </c>
    </row>
    <row x14ac:dyDescent="0.25" r="133" customHeight="1" ht="17.25">
      <c r="A133" s="20" t="s">
        <v>9895</v>
      </c>
      <c r="B133" s="20" t="s">
        <v>238</v>
      </c>
      <c r="C133" s="20" t="s">
        <v>95</v>
      </c>
      <c r="D133" s="20" t="s">
        <v>22</v>
      </c>
      <c r="E133" s="21">
        <f>ROUND(13221*1.05,2)</f>
      </c>
      <c r="F133" s="20" t="s">
        <v>51</v>
      </c>
      <c r="G133" s="20" t="s">
        <v>24</v>
      </c>
      <c r="H133" s="21">
        <f>ROUND(RAND()*4+6,1)</f>
      </c>
      <c r="I133" s="20" t="s">
        <v>25</v>
      </c>
      <c r="J133" s="23">
        <f>ROUND(98*1,0)&amp;"%"</f>
      </c>
    </row>
    <row x14ac:dyDescent="0.25" r="134" customHeight="1" ht="17.25">
      <c r="A134" s="24" t="s">
        <v>239</v>
      </c>
      <c r="B134" s="24"/>
      <c r="C134" s="24"/>
      <c r="D134" s="24"/>
      <c r="E134" s="25">
        <v>8</v>
      </c>
      <c r="F134" s="9"/>
      <c r="G134" s="9"/>
      <c r="H134" s="10"/>
      <c r="I134" s="9"/>
      <c r="J134" s="9"/>
    </row>
    <row x14ac:dyDescent="0.25" r="135" customHeight="1" ht="17.25">
      <c r="A135" s="7"/>
      <c r="B135" s="7"/>
      <c r="C135" s="7"/>
      <c r="D135" s="7"/>
      <c r="E135" s="8"/>
      <c r="F135" s="9"/>
      <c r="G135" s="9"/>
      <c r="H135" s="10"/>
      <c r="I135" s="9"/>
      <c r="J135" s="9"/>
    </row>
    <row x14ac:dyDescent="0.25" r="136" customHeight="1" ht="17.25">
      <c r="A136" s="11" t="s">
        <v>9896</v>
      </c>
      <c r="B136" s="11"/>
      <c r="C136" s="11"/>
      <c r="D136" s="11"/>
      <c r="E136" s="12"/>
      <c r="F136" s="11"/>
      <c r="G136" s="11"/>
      <c r="H136" s="13"/>
      <c r="I136" s="11"/>
      <c r="J136" s="11"/>
    </row>
    <row x14ac:dyDescent="0.25" r="137" customHeight="1" ht="17.25">
      <c r="A137" s="14" t="s">
        <v>3</v>
      </c>
      <c r="B137" s="14" t="s">
        <v>4</v>
      </c>
      <c r="C137" s="14" t="s">
        <v>5</v>
      </c>
      <c r="D137" s="14" t="s">
        <v>6</v>
      </c>
      <c r="E137" s="15" t="s">
        <v>7</v>
      </c>
      <c r="F137" s="14" t="s">
        <v>8</v>
      </c>
      <c r="G137" s="14" t="s">
        <v>9</v>
      </c>
      <c r="H137" s="16" t="s">
        <v>10</v>
      </c>
      <c r="I137" s="14" t="s">
        <v>11</v>
      </c>
      <c r="J137" s="14" t="s">
        <v>12</v>
      </c>
    </row>
    <row x14ac:dyDescent="0.25" r="138" customHeight="1" ht="17.25">
      <c r="A138" s="17" t="s">
        <v>9897</v>
      </c>
      <c r="B138" s="17" t="s">
        <v>242</v>
      </c>
      <c r="C138" s="17" t="s">
        <v>114</v>
      </c>
      <c r="D138" s="17" t="s">
        <v>16</v>
      </c>
      <c r="E138" s="18">
        <f>ROUND(11649*1.05,2)</f>
      </c>
      <c r="F138" s="17" t="s">
        <v>17</v>
      </c>
      <c r="G138" s="17" t="s">
        <v>18</v>
      </c>
      <c r="H138" s="18">
        <f>ROUND(RAND()*4+6,1)</f>
      </c>
      <c r="I138" s="17" t="s">
        <v>19</v>
      </c>
      <c r="J138" s="19">
        <f>ROUND(65*1,0)&amp;"%"</f>
      </c>
    </row>
    <row x14ac:dyDescent="0.25" r="139" customHeight="1" ht="17.25">
      <c r="A139" s="20" t="s">
        <v>9898</v>
      </c>
      <c r="B139" s="20" t="s">
        <v>244</v>
      </c>
      <c r="C139" s="20" t="s">
        <v>114</v>
      </c>
      <c r="D139" s="20" t="s">
        <v>22</v>
      </c>
      <c r="E139" s="21">
        <f>ROUND(16082*1.05,2)</f>
      </c>
      <c r="F139" s="20" t="s">
        <v>23</v>
      </c>
      <c r="G139" s="20" t="s">
        <v>24</v>
      </c>
      <c r="H139" s="22">
        <f>ROUND(RAND()*4+6,1)</f>
      </c>
      <c r="I139" s="20" t="s">
        <v>25</v>
      </c>
      <c r="J139" s="23">
        <f>ROUND(62*1,0)&amp;"%"</f>
      </c>
    </row>
    <row x14ac:dyDescent="0.25" r="140" customHeight="1" ht="17.25">
      <c r="A140" s="17" t="s">
        <v>9899</v>
      </c>
      <c r="B140" s="17" t="s">
        <v>246</v>
      </c>
      <c r="C140" s="17" t="s">
        <v>114</v>
      </c>
      <c r="D140" s="17" t="s">
        <v>28</v>
      </c>
      <c r="E140" s="26">
        <f>ROUND(10000*1.05,2)</f>
      </c>
      <c r="F140" s="17" t="s">
        <v>29</v>
      </c>
      <c r="G140" s="17" t="s">
        <v>30</v>
      </c>
      <c r="H140" s="18">
        <f>ROUND(RAND()*4+6,1)</f>
      </c>
      <c r="I140" s="17" t="s">
        <v>31</v>
      </c>
      <c r="J140" s="19">
        <f>ROUND(80*1,0)&amp;"%"</f>
      </c>
    </row>
    <row x14ac:dyDescent="0.25" r="141" customHeight="1" ht="17.25">
      <c r="A141" s="20" t="s">
        <v>9900</v>
      </c>
      <c r="B141" s="20" t="s">
        <v>248</v>
      </c>
      <c r="C141" s="20" t="s">
        <v>114</v>
      </c>
      <c r="D141" s="20" t="s">
        <v>34</v>
      </c>
      <c r="E141" s="21">
        <f>ROUND(6507*1.05,2)</f>
      </c>
      <c r="F141" s="20" t="s">
        <v>35</v>
      </c>
      <c r="G141" s="20" t="s">
        <v>18</v>
      </c>
      <c r="H141" s="21">
        <f>ROUND(RAND()*4+6,1)</f>
      </c>
      <c r="I141" s="20" t="s">
        <v>36</v>
      </c>
      <c r="J141" s="23">
        <f>ROUND(80*1,0)&amp;"%"</f>
      </c>
    </row>
    <row x14ac:dyDescent="0.25" r="142" customHeight="1" ht="17.25">
      <c r="A142" s="17" t="s">
        <v>9901</v>
      </c>
      <c r="B142" s="17" t="s">
        <v>250</v>
      </c>
      <c r="C142" s="17" t="s">
        <v>114</v>
      </c>
      <c r="D142" s="17" t="s">
        <v>39</v>
      </c>
      <c r="E142" s="18">
        <f>ROUND(6557*1.05,2)</f>
      </c>
      <c r="F142" s="17" t="s">
        <v>40</v>
      </c>
      <c r="G142" s="17" t="s">
        <v>24</v>
      </c>
      <c r="H142" s="18">
        <f>ROUND(RAND()*4+6,1)</f>
      </c>
      <c r="I142" s="17" t="s">
        <v>41</v>
      </c>
      <c r="J142" s="19">
        <f>ROUND(86*1,0)&amp;"%"</f>
      </c>
    </row>
    <row x14ac:dyDescent="0.25" r="143" customHeight="1" ht="17.25">
      <c r="A143" s="20" t="s">
        <v>9902</v>
      </c>
      <c r="B143" s="20" t="s">
        <v>252</v>
      </c>
      <c r="C143" s="20" t="s">
        <v>114</v>
      </c>
      <c r="D143" s="20" t="s">
        <v>67</v>
      </c>
      <c r="E143" s="21">
        <f>ROUND(16409*1.05,2)</f>
      </c>
      <c r="F143" s="20" t="s">
        <v>44</v>
      </c>
      <c r="G143" s="20" t="s">
        <v>30</v>
      </c>
      <c r="H143" s="21">
        <f>ROUND(RAND()*4+6,1)</f>
      </c>
      <c r="I143" s="20" t="s">
        <v>45</v>
      </c>
      <c r="J143" s="23">
        <f>ROUND(75*1,0)&amp;"%"</f>
      </c>
    </row>
    <row x14ac:dyDescent="0.25" r="144" customHeight="1" ht="17.25">
      <c r="A144" s="17" t="s">
        <v>9903</v>
      </c>
      <c r="B144" s="17" t="s">
        <v>254</v>
      </c>
      <c r="C144" s="17" t="s">
        <v>114</v>
      </c>
      <c r="D144" s="17" t="s">
        <v>16</v>
      </c>
      <c r="E144" s="26">
        <f>ROUND(11440*1.05,2)</f>
      </c>
      <c r="F144" s="17" t="s">
        <v>48</v>
      </c>
      <c r="G144" s="17" t="s">
        <v>18</v>
      </c>
      <c r="H144" s="18">
        <f>ROUND(RAND()*4+6,1)</f>
      </c>
      <c r="I144" s="17" t="s">
        <v>19</v>
      </c>
      <c r="J144" s="19">
        <f>ROUND(86*1,0)&amp;"%"</f>
      </c>
    </row>
    <row x14ac:dyDescent="0.25" r="145" customHeight="1" ht="17.25">
      <c r="A145" s="20" t="s">
        <v>9904</v>
      </c>
      <c r="B145" s="20" t="s">
        <v>256</v>
      </c>
      <c r="C145" s="20" t="s">
        <v>114</v>
      </c>
      <c r="D145" s="20" t="s">
        <v>22</v>
      </c>
      <c r="E145" s="21">
        <f>ROUND(7171*1.05,2)</f>
      </c>
      <c r="F145" s="20" t="s">
        <v>51</v>
      </c>
      <c r="G145" s="20" t="s">
        <v>24</v>
      </c>
      <c r="H145" s="22">
        <f>ROUND(RAND()*4+6,1)</f>
      </c>
      <c r="I145" s="20" t="s">
        <v>25</v>
      </c>
      <c r="J145" s="23">
        <f>ROUND(63*1,0)&amp;"%"</f>
      </c>
    </row>
    <row x14ac:dyDescent="0.25" r="146" customHeight="1" ht="17.25">
      <c r="A146" s="24" t="s">
        <v>257</v>
      </c>
      <c r="B146" s="24"/>
      <c r="C146" s="24"/>
      <c r="D146" s="24"/>
      <c r="E146" s="25">
        <v>8</v>
      </c>
      <c r="F146" s="9"/>
      <c r="G146" s="9"/>
      <c r="H146" s="10"/>
      <c r="I146" s="9"/>
      <c r="J146" s="9"/>
    </row>
    <row x14ac:dyDescent="0.25" r="147" customHeight="1" ht="17.25">
      <c r="A147" s="7"/>
      <c r="B147" s="7"/>
      <c r="C147" s="7"/>
      <c r="D147" s="7"/>
      <c r="E147" s="8"/>
      <c r="F147" s="9"/>
      <c r="G147" s="9"/>
      <c r="H147" s="10"/>
      <c r="I147" s="9"/>
      <c r="J147" s="9"/>
    </row>
    <row x14ac:dyDescent="0.25" r="148" customHeight="1" ht="17.25">
      <c r="A148" s="11" t="s">
        <v>9905</v>
      </c>
      <c r="B148" s="11"/>
      <c r="C148" s="11"/>
      <c r="D148" s="11"/>
      <c r="E148" s="12"/>
      <c r="F148" s="11"/>
      <c r="G148" s="11"/>
      <c r="H148" s="13"/>
      <c r="I148" s="11"/>
      <c r="J148" s="11"/>
    </row>
    <row x14ac:dyDescent="0.25" r="149" customHeight="1" ht="17.25">
      <c r="A149" s="14" t="s">
        <v>3</v>
      </c>
      <c r="B149" s="14" t="s">
        <v>4</v>
      </c>
      <c r="C149" s="14" t="s">
        <v>5</v>
      </c>
      <c r="D149" s="14" t="s">
        <v>6</v>
      </c>
      <c r="E149" s="15" t="s">
        <v>7</v>
      </c>
      <c r="F149" s="14" t="s">
        <v>8</v>
      </c>
      <c r="G149" s="14" t="s">
        <v>9</v>
      </c>
      <c r="H149" s="16" t="s">
        <v>10</v>
      </c>
      <c r="I149" s="14" t="s">
        <v>11</v>
      </c>
      <c r="J149" s="14" t="s">
        <v>12</v>
      </c>
    </row>
    <row x14ac:dyDescent="0.25" r="150" customHeight="1" ht="17.25">
      <c r="A150" s="17" t="s">
        <v>9906</v>
      </c>
      <c r="B150" s="17" t="s">
        <v>260</v>
      </c>
      <c r="C150" s="17" t="s">
        <v>133</v>
      </c>
      <c r="D150" s="17" t="s">
        <v>16</v>
      </c>
      <c r="E150" s="18">
        <f>ROUND(7826*1.05,2)</f>
      </c>
      <c r="F150" s="17" t="s">
        <v>17</v>
      </c>
      <c r="G150" s="17" t="s">
        <v>18</v>
      </c>
      <c r="H150" s="18">
        <f>ROUND(RAND()*4+6,1)</f>
      </c>
      <c r="I150" s="17" t="s">
        <v>19</v>
      </c>
      <c r="J150" s="19">
        <f>ROUND(62*1,0)&amp;"%"</f>
      </c>
    </row>
    <row x14ac:dyDescent="0.25" r="151" customHeight="1" ht="17.25">
      <c r="A151" s="20" t="s">
        <v>9907</v>
      </c>
      <c r="B151" s="20" t="s">
        <v>262</v>
      </c>
      <c r="C151" s="20" t="s">
        <v>133</v>
      </c>
      <c r="D151" s="20" t="s">
        <v>22</v>
      </c>
      <c r="E151" s="21">
        <f>ROUND(16321*1.05,2)</f>
      </c>
      <c r="F151" s="20" t="s">
        <v>23</v>
      </c>
      <c r="G151" s="20" t="s">
        <v>24</v>
      </c>
      <c r="H151" s="21">
        <f>ROUND(RAND()*4+6,1)</f>
      </c>
      <c r="I151" s="20" t="s">
        <v>25</v>
      </c>
      <c r="J151" s="23">
        <f>ROUND(80*1,0)&amp;"%"</f>
      </c>
    </row>
    <row x14ac:dyDescent="0.25" r="152" customHeight="1" ht="17.25">
      <c r="A152" s="17" t="s">
        <v>9908</v>
      </c>
      <c r="B152" s="17" t="s">
        <v>264</v>
      </c>
      <c r="C152" s="17" t="s">
        <v>133</v>
      </c>
      <c r="D152" s="17" t="s">
        <v>28</v>
      </c>
      <c r="E152" s="18">
        <f>ROUND(16988*1.05,2)</f>
      </c>
      <c r="F152" s="17" t="s">
        <v>29</v>
      </c>
      <c r="G152" s="17" t="s">
        <v>30</v>
      </c>
      <c r="H152" s="18">
        <f>ROUND(RAND()*4+6,1)</f>
      </c>
      <c r="I152" s="17" t="s">
        <v>31</v>
      </c>
      <c r="J152" s="19">
        <f>ROUND(92*1,0)&amp;"%"</f>
      </c>
    </row>
    <row x14ac:dyDescent="0.25" r="153" customHeight="1" ht="17.25">
      <c r="A153" s="20" t="s">
        <v>9909</v>
      </c>
      <c r="B153" s="20" t="s">
        <v>266</v>
      </c>
      <c r="C153" s="20" t="s">
        <v>133</v>
      </c>
      <c r="D153" s="20" t="s">
        <v>34</v>
      </c>
      <c r="E153" s="21">
        <f>ROUND(6156*1.05,2)</f>
      </c>
      <c r="F153" s="20" t="s">
        <v>35</v>
      </c>
      <c r="G153" s="20" t="s">
        <v>18</v>
      </c>
      <c r="H153" s="21">
        <f>ROUND(RAND()*4+6,1)</f>
      </c>
      <c r="I153" s="20" t="s">
        <v>36</v>
      </c>
      <c r="J153" s="23">
        <f>ROUND(100*1,0)&amp;"%"</f>
      </c>
    </row>
    <row x14ac:dyDescent="0.25" r="154" customHeight="1" ht="17.25">
      <c r="A154" s="17" t="s">
        <v>9910</v>
      </c>
      <c r="B154" s="17" t="s">
        <v>268</v>
      </c>
      <c r="C154" s="17" t="s">
        <v>133</v>
      </c>
      <c r="D154" s="17" t="s">
        <v>39</v>
      </c>
      <c r="E154" s="18">
        <f>ROUND(9746*1.05,2)</f>
      </c>
      <c r="F154" s="17" t="s">
        <v>40</v>
      </c>
      <c r="G154" s="17" t="s">
        <v>24</v>
      </c>
      <c r="H154" s="18">
        <f>ROUND(RAND()*4+6,1)</f>
      </c>
      <c r="I154" s="17" t="s">
        <v>41</v>
      </c>
      <c r="J154" s="19">
        <f>ROUND(90*1,0)&amp;"%"</f>
      </c>
    </row>
    <row x14ac:dyDescent="0.25" r="155" customHeight="1" ht="17.25">
      <c r="A155" s="20" t="s">
        <v>9911</v>
      </c>
      <c r="B155" s="20" t="s">
        <v>270</v>
      </c>
      <c r="C155" s="20" t="s">
        <v>133</v>
      </c>
      <c r="D155" s="20" t="s">
        <v>67</v>
      </c>
      <c r="E155" s="21">
        <f>ROUND(8290*1.05,2)</f>
      </c>
      <c r="F155" s="20" t="s">
        <v>44</v>
      </c>
      <c r="G155" s="20" t="s">
        <v>30</v>
      </c>
      <c r="H155" s="21">
        <f>ROUND(RAND()*4+6,1)</f>
      </c>
      <c r="I155" s="20" t="s">
        <v>45</v>
      </c>
      <c r="J155" s="23">
        <f>ROUND(60*1,0)&amp;"%"</f>
      </c>
    </row>
    <row x14ac:dyDescent="0.25" r="156" customHeight="1" ht="17.25">
      <c r="A156" s="17" t="s">
        <v>9912</v>
      </c>
      <c r="B156" s="17" t="s">
        <v>272</v>
      </c>
      <c r="C156" s="17" t="s">
        <v>133</v>
      </c>
      <c r="D156" s="17" t="s">
        <v>16</v>
      </c>
      <c r="E156" s="18">
        <f>ROUND(11334*1.05,2)</f>
      </c>
      <c r="F156" s="17" t="s">
        <v>48</v>
      </c>
      <c r="G156" s="17" t="s">
        <v>18</v>
      </c>
      <c r="H156" s="18">
        <f>ROUND(RAND()*4+6,1)</f>
      </c>
      <c r="I156" s="17" t="s">
        <v>19</v>
      </c>
      <c r="J156" s="19">
        <f>ROUND(89*1,0)&amp;"%"</f>
      </c>
    </row>
    <row x14ac:dyDescent="0.25" r="157" customHeight="1" ht="17.25">
      <c r="A157" s="20" t="s">
        <v>9913</v>
      </c>
      <c r="B157" s="20" t="s">
        <v>274</v>
      </c>
      <c r="C157" s="20" t="s">
        <v>133</v>
      </c>
      <c r="D157" s="20" t="s">
        <v>22</v>
      </c>
      <c r="E157" s="21">
        <f>ROUND(12008*1.05,2)</f>
      </c>
      <c r="F157" s="20" t="s">
        <v>51</v>
      </c>
      <c r="G157" s="20" t="s">
        <v>24</v>
      </c>
      <c r="H157" s="21">
        <f>ROUND(RAND()*4+6,1)</f>
      </c>
      <c r="I157" s="20" t="s">
        <v>25</v>
      </c>
      <c r="J157" s="23">
        <f>ROUND(100*1,0)&amp;"%"</f>
      </c>
    </row>
    <row x14ac:dyDescent="0.25" r="158" customHeight="1" ht="17.25">
      <c r="A158" s="24" t="s">
        <v>275</v>
      </c>
      <c r="B158" s="24"/>
      <c r="C158" s="24"/>
      <c r="D158" s="24"/>
      <c r="E158" s="25">
        <v>8</v>
      </c>
      <c r="F158" s="9"/>
      <c r="G158" s="9"/>
      <c r="H158" s="10"/>
      <c r="I158" s="9"/>
      <c r="J158" s="9"/>
    </row>
    <row x14ac:dyDescent="0.25" r="159" customHeight="1" ht="17.25">
      <c r="A159" s="7"/>
      <c r="B159" s="7"/>
      <c r="C159" s="7"/>
      <c r="D159" s="7"/>
      <c r="E159" s="8"/>
      <c r="F159" s="9"/>
      <c r="G159" s="9"/>
      <c r="H159" s="10"/>
      <c r="I159" s="9"/>
      <c r="J159" s="9"/>
    </row>
    <row x14ac:dyDescent="0.25" r="160" customHeight="1" ht="17.25">
      <c r="A160" s="11" t="s">
        <v>9914</v>
      </c>
      <c r="B160" s="11"/>
      <c r="C160" s="11"/>
      <c r="D160" s="11"/>
      <c r="E160" s="12"/>
      <c r="F160" s="11"/>
      <c r="G160" s="11"/>
      <c r="H160" s="13"/>
      <c r="I160" s="11"/>
      <c r="J160" s="11"/>
    </row>
    <row x14ac:dyDescent="0.25" r="161" customHeight="1" ht="17.25">
      <c r="A161" s="14" t="s">
        <v>3</v>
      </c>
      <c r="B161" s="14" t="s">
        <v>4</v>
      </c>
      <c r="C161" s="14" t="s">
        <v>5</v>
      </c>
      <c r="D161" s="14" t="s">
        <v>6</v>
      </c>
      <c r="E161" s="15" t="s">
        <v>7</v>
      </c>
      <c r="F161" s="14" t="s">
        <v>8</v>
      </c>
      <c r="G161" s="14" t="s">
        <v>9</v>
      </c>
      <c r="H161" s="16" t="s">
        <v>10</v>
      </c>
      <c r="I161" s="14" t="s">
        <v>11</v>
      </c>
      <c r="J161" s="14" t="s">
        <v>12</v>
      </c>
    </row>
    <row x14ac:dyDescent="0.25" r="162" customHeight="1" ht="17.25">
      <c r="A162" s="17" t="s">
        <v>9915</v>
      </c>
      <c r="B162" s="17" t="s">
        <v>278</v>
      </c>
      <c r="C162" s="17" t="s">
        <v>152</v>
      </c>
      <c r="D162" s="17" t="s">
        <v>16</v>
      </c>
      <c r="E162" s="26">
        <f>ROUND(6400*1.05,2)</f>
      </c>
      <c r="F162" s="17" t="s">
        <v>17</v>
      </c>
      <c r="G162" s="17" t="s">
        <v>18</v>
      </c>
      <c r="H162" s="18">
        <f>ROUND(RAND()*4+6,1)</f>
      </c>
      <c r="I162" s="17" t="s">
        <v>19</v>
      </c>
      <c r="J162" s="19">
        <f>ROUND(63*1,0)&amp;"%"</f>
      </c>
    </row>
    <row x14ac:dyDescent="0.25" r="163" customHeight="1" ht="17.25">
      <c r="A163" s="20" t="s">
        <v>9916</v>
      </c>
      <c r="B163" s="20" t="s">
        <v>280</v>
      </c>
      <c r="C163" s="20" t="s">
        <v>152</v>
      </c>
      <c r="D163" s="20" t="s">
        <v>22</v>
      </c>
      <c r="E163" s="21">
        <f>ROUND(12192*1.05,2)</f>
      </c>
      <c r="F163" s="20" t="s">
        <v>23</v>
      </c>
      <c r="G163" s="20" t="s">
        <v>24</v>
      </c>
      <c r="H163" s="21">
        <f>ROUND(RAND()*4+6,1)</f>
      </c>
      <c r="I163" s="20" t="s">
        <v>25</v>
      </c>
      <c r="J163" s="23">
        <f>ROUND(83*1,0)&amp;"%"</f>
      </c>
    </row>
    <row x14ac:dyDescent="0.25" r="164" customHeight="1" ht="17.25">
      <c r="A164" s="17" t="s">
        <v>9917</v>
      </c>
      <c r="B164" s="17" t="s">
        <v>282</v>
      </c>
      <c r="C164" s="17" t="s">
        <v>152</v>
      </c>
      <c r="D164" s="17" t="s">
        <v>28</v>
      </c>
      <c r="E164" s="18">
        <f>ROUND(4717*1.05,2)</f>
      </c>
      <c r="F164" s="17" t="s">
        <v>29</v>
      </c>
      <c r="G164" s="17" t="s">
        <v>30</v>
      </c>
      <c r="H164" s="26">
        <f>ROUND(RAND()*4+6,1)</f>
      </c>
      <c r="I164" s="17" t="s">
        <v>31</v>
      </c>
      <c r="J164" s="19">
        <f>ROUND(92*1,0)&amp;"%"</f>
      </c>
    </row>
    <row x14ac:dyDescent="0.25" r="165" customHeight="1" ht="17.25">
      <c r="A165" s="20" t="s">
        <v>9918</v>
      </c>
      <c r="B165" s="20" t="s">
        <v>284</v>
      </c>
      <c r="C165" s="20" t="s">
        <v>152</v>
      </c>
      <c r="D165" s="20" t="s">
        <v>34</v>
      </c>
      <c r="E165" s="21">
        <f>ROUND(5690*1.05,2)</f>
      </c>
      <c r="F165" s="20" t="s">
        <v>35</v>
      </c>
      <c r="G165" s="20" t="s">
        <v>18</v>
      </c>
      <c r="H165" s="21">
        <f>ROUND(RAND()*4+6,1)</f>
      </c>
      <c r="I165" s="20" t="s">
        <v>36</v>
      </c>
      <c r="J165" s="23">
        <f>ROUND(80*1,0)&amp;"%"</f>
      </c>
    </row>
    <row x14ac:dyDescent="0.25" r="166" customHeight="1" ht="17.25">
      <c r="A166" s="17" t="s">
        <v>9919</v>
      </c>
      <c r="B166" s="17" t="s">
        <v>286</v>
      </c>
      <c r="C166" s="17" t="s">
        <v>152</v>
      </c>
      <c r="D166" s="17" t="s">
        <v>39</v>
      </c>
      <c r="E166" s="18">
        <f>ROUND(7177*1.05,2)</f>
      </c>
      <c r="F166" s="17" t="s">
        <v>40</v>
      </c>
      <c r="G166" s="17" t="s">
        <v>24</v>
      </c>
      <c r="H166" s="18">
        <f>ROUND(RAND()*4+6,1)</f>
      </c>
      <c r="I166" s="17" t="s">
        <v>41</v>
      </c>
      <c r="J166" s="19">
        <f>ROUND(71*1,0)&amp;"%"</f>
      </c>
    </row>
    <row x14ac:dyDescent="0.25" r="167" customHeight="1" ht="17.25">
      <c r="A167" s="20" t="s">
        <v>9920</v>
      </c>
      <c r="B167" s="20" t="s">
        <v>288</v>
      </c>
      <c r="C167" s="20" t="s">
        <v>152</v>
      </c>
      <c r="D167" s="20" t="s">
        <v>67</v>
      </c>
      <c r="E167" s="21">
        <f>ROUND(7113*1.05,2)</f>
      </c>
      <c r="F167" s="20" t="s">
        <v>44</v>
      </c>
      <c r="G167" s="20" t="s">
        <v>30</v>
      </c>
      <c r="H167" s="21">
        <f>ROUND(RAND()*4+6,1)</f>
      </c>
      <c r="I167" s="20" t="s">
        <v>45</v>
      </c>
      <c r="J167" s="23">
        <f>ROUND(92*1,0)&amp;"%"</f>
      </c>
    </row>
    <row x14ac:dyDescent="0.25" r="168" customHeight="1" ht="17.25">
      <c r="A168" s="17" t="s">
        <v>9921</v>
      </c>
      <c r="B168" s="17" t="s">
        <v>290</v>
      </c>
      <c r="C168" s="17" t="s">
        <v>152</v>
      </c>
      <c r="D168" s="17" t="s">
        <v>16</v>
      </c>
      <c r="E168" s="18">
        <f>ROUND(5230*1.05,2)</f>
      </c>
      <c r="F168" s="17" t="s">
        <v>48</v>
      </c>
      <c r="G168" s="17" t="s">
        <v>18</v>
      </c>
      <c r="H168" s="18">
        <f>ROUND(RAND()*4+6,1)</f>
      </c>
      <c r="I168" s="17" t="s">
        <v>19</v>
      </c>
      <c r="J168" s="19">
        <f>ROUND(78*1,0)&amp;"%"</f>
      </c>
    </row>
    <row x14ac:dyDescent="0.25" r="169" customHeight="1" ht="17.25">
      <c r="A169" s="20" t="s">
        <v>9922</v>
      </c>
      <c r="B169" s="20" t="s">
        <v>292</v>
      </c>
      <c r="C169" s="20" t="s">
        <v>152</v>
      </c>
      <c r="D169" s="20" t="s">
        <v>22</v>
      </c>
      <c r="E169" s="21">
        <f>ROUND(4375*1.05,2)</f>
      </c>
      <c r="F169" s="20" t="s">
        <v>51</v>
      </c>
      <c r="G169" s="20" t="s">
        <v>24</v>
      </c>
      <c r="H169" s="21">
        <f>ROUND(RAND()*4+6,1)</f>
      </c>
      <c r="I169" s="20" t="s">
        <v>25</v>
      </c>
      <c r="J169" s="23">
        <f>ROUND(86*1,0)&amp;"%"</f>
      </c>
    </row>
    <row x14ac:dyDescent="0.25" r="170" customHeight="1" ht="17.25">
      <c r="A170" s="24" t="s">
        <v>293</v>
      </c>
      <c r="B170" s="24"/>
      <c r="C170" s="24"/>
      <c r="D170" s="24"/>
      <c r="E170" s="25">
        <v>8</v>
      </c>
      <c r="F170" s="9"/>
      <c r="G170" s="9"/>
      <c r="H170" s="10"/>
      <c r="I170" s="9"/>
      <c r="J170" s="9"/>
    </row>
    <row x14ac:dyDescent="0.25" r="171" customHeight="1" ht="17.25">
      <c r="A171" s="7"/>
      <c r="B171" s="7"/>
      <c r="C171" s="7"/>
      <c r="D171" s="7"/>
      <c r="E171" s="8"/>
      <c r="F171" s="9"/>
      <c r="G171" s="9"/>
      <c r="H171" s="10"/>
      <c r="I171" s="9"/>
      <c r="J171" s="9"/>
    </row>
    <row x14ac:dyDescent="0.25" r="172" customHeight="1" ht="17.25">
      <c r="A172" s="11" t="s">
        <v>9923</v>
      </c>
      <c r="B172" s="11"/>
      <c r="C172" s="11"/>
      <c r="D172" s="11"/>
      <c r="E172" s="12"/>
      <c r="F172" s="11"/>
      <c r="G172" s="11"/>
      <c r="H172" s="13"/>
      <c r="I172" s="11"/>
      <c r="J172" s="11"/>
    </row>
    <row x14ac:dyDescent="0.25" r="173" customHeight="1" ht="17.25">
      <c r="A173" s="14" t="s">
        <v>3</v>
      </c>
      <c r="B173" s="14" t="s">
        <v>4</v>
      </c>
      <c r="C173" s="14" t="s">
        <v>5</v>
      </c>
      <c r="D173" s="14" t="s">
        <v>6</v>
      </c>
      <c r="E173" s="15" t="s">
        <v>7</v>
      </c>
      <c r="F173" s="14" t="s">
        <v>8</v>
      </c>
      <c r="G173" s="14" t="s">
        <v>9</v>
      </c>
      <c r="H173" s="16" t="s">
        <v>10</v>
      </c>
      <c r="I173" s="14" t="s">
        <v>11</v>
      </c>
      <c r="J173" s="14" t="s">
        <v>12</v>
      </c>
    </row>
    <row x14ac:dyDescent="0.25" r="174" customHeight="1" ht="17.25">
      <c r="A174" s="17" t="s">
        <v>9924</v>
      </c>
      <c r="B174" s="17" t="s">
        <v>296</v>
      </c>
      <c r="C174" s="17" t="s">
        <v>15</v>
      </c>
      <c r="D174" s="17" t="s">
        <v>16</v>
      </c>
      <c r="E174" s="18">
        <f>ROUND(12449*1.05,2)</f>
      </c>
      <c r="F174" s="17" t="s">
        <v>17</v>
      </c>
      <c r="G174" s="17" t="s">
        <v>18</v>
      </c>
      <c r="H174" s="18">
        <f>ROUND(RAND()*4+6,1)</f>
      </c>
      <c r="I174" s="17" t="s">
        <v>19</v>
      </c>
      <c r="J174" s="19">
        <f>ROUND(79*1,0)&amp;"%"</f>
      </c>
    </row>
    <row x14ac:dyDescent="0.25" r="175" customHeight="1" ht="17.25">
      <c r="A175" s="20" t="s">
        <v>9925</v>
      </c>
      <c r="B175" s="20" t="s">
        <v>298</v>
      </c>
      <c r="C175" s="20" t="s">
        <v>15</v>
      </c>
      <c r="D175" s="20" t="s">
        <v>22</v>
      </c>
      <c r="E175" s="21">
        <f>ROUND(15390*1.05,2)</f>
      </c>
      <c r="F175" s="20" t="s">
        <v>23</v>
      </c>
      <c r="G175" s="20" t="s">
        <v>24</v>
      </c>
      <c r="H175" s="22">
        <f>ROUND(RAND()*4+6,1)</f>
      </c>
      <c r="I175" s="20" t="s">
        <v>25</v>
      </c>
      <c r="J175" s="23">
        <f>ROUND(96*1,0)&amp;"%"</f>
      </c>
    </row>
    <row x14ac:dyDescent="0.25" r="176" customHeight="1" ht="17.25">
      <c r="A176" s="17" t="s">
        <v>9926</v>
      </c>
      <c r="B176" s="17" t="s">
        <v>300</v>
      </c>
      <c r="C176" s="17" t="s">
        <v>15</v>
      </c>
      <c r="D176" s="17" t="s">
        <v>28</v>
      </c>
      <c r="E176" s="18">
        <f>ROUND(7195*1.05,2)</f>
      </c>
      <c r="F176" s="17" t="s">
        <v>29</v>
      </c>
      <c r="G176" s="17" t="s">
        <v>30</v>
      </c>
      <c r="H176" s="18">
        <f>ROUND(RAND()*4+6,1)</f>
      </c>
      <c r="I176" s="17" t="s">
        <v>31</v>
      </c>
      <c r="J176" s="19">
        <f>ROUND(85*1,0)&amp;"%"</f>
      </c>
    </row>
    <row x14ac:dyDescent="0.25" r="177" customHeight="1" ht="17.25">
      <c r="A177" s="20" t="s">
        <v>9927</v>
      </c>
      <c r="B177" s="20" t="s">
        <v>302</v>
      </c>
      <c r="C177" s="20" t="s">
        <v>15</v>
      </c>
      <c r="D177" s="20" t="s">
        <v>34</v>
      </c>
      <c r="E177" s="21">
        <f>ROUND(15516*1.05,2)</f>
      </c>
      <c r="F177" s="20" t="s">
        <v>35</v>
      </c>
      <c r="G177" s="20" t="s">
        <v>18</v>
      </c>
      <c r="H177" s="21">
        <f>ROUND(RAND()*4+6,1)</f>
      </c>
      <c r="I177" s="20" t="s">
        <v>36</v>
      </c>
      <c r="J177" s="23">
        <f>ROUND(93*1,0)&amp;"%"</f>
      </c>
    </row>
    <row x14ac:dyDescent="0.25" r="178" customHeight="1" ht="17.25">
      <c r="A178" s="17" t="s">
        <v>9928</v>
      </c>
      <c r="B178" s="17" t="s">
        <v>304</v>
      </c>
      <c r="C178" s="17" t="s">
        <v>15</v>
      </c>
      <c r="D178" s="17" t="s">
        <v>39</v>
      </c>
      <c r="E178" s="18">
        <f>ROUND(14735*1.05,2)</f>
      </c>
      <c r="F178" s="17" t="s">
        <v>40</v>
      </c>
      <c r="G178" s="17" t="s">
        <v>24</v>
      </c>
      <c r="H178" s="18">
        <f>ROUND(RAND()*4+6,1)</f>
      </c>
      <c r="I178" s="17" t="s">
        <v>41</v>
      </c>
      <c r="J178" s="19">
        <f>ROUND(99*1,0)&amp;"%"</f>
      </c>
    </row>
    <row x14ac:dyDescent="0.25" r="179" customHeight="1" ht="17.25">
      <c r="A179" s="20" t="s">
        <v>9929</v>
      </c>
      <c r="B179" s="20" t="s">
        <v>306</v>
      </c>
      <c r="C179" s="20" t="s">
        <v>15</v>
      </c>
      <c r="D179" s="20" t="s">
        <v>67</v>
      </c>
      <c r="E179" s="21">
        <f>ROUND(14846*1.05,2)</f>
      </c>
      <c r="F179" s="20" t="s">
        <v>44</v>
      </c>
      <c r="G179" s="20" t="s">
        <v>30</v>
      </c>
      <c r="H179" s="22">
        <f>ROUND(RAND()*4+6,1)</f>
      </c>
      <c r="I179" s="20" t="s">
        <v>45</v>
      </c>
      <c r="J179" s="23">
        <f>ROUND(98*1,0)&amp;"%"</f>
      </c>
    </row>
    <row x14ac:dyDescent="0.25" r="180" customHeight="1" ht="17.25">
      <c r="A180" s="17" t="s">
        <v>9930</v>
      </c>
      <c r="B180" s="17" t="s">
        <v>308</v>
      </c>
      <c r="C180" s="17" t="s">
        <v>15</v>
      </c>
      <c r="D180" s="17" t="s">
        <v>16</v>
      </c>
      <c r="E180" s="18">
        <f>ROUND(7486*1.05,2)</f>
      </c>
      <c r="F180" s="17" t="s">
        <v>48</v>
      </c>
      <c r="G180" s="17" t="s">
        <v>18</v>
      </c>
      <c r="H180" s="26">
        <f>ROUND(RAND()*4+6,1)</f>
      </c>
      <c r="I180" s="17" t="s">
        <v>19</v>
      </c>
      <c r="J180" s="19">
        <f>ROUND(87*1,0)&amp;"%"</f>
      </c>
    </row>
    <row x14ac:dyDescent="0.25" r="181" customHeight="1" ht="17.25">
      <c r="A181" s="20" t="s">
        <v>9931</v>
      </c>
      <c r="B181" s="20" t="s">
        <v>310</v>
      </c>
      <c r="C181" s="20" t="s">
        <v>15</v>
      </c>
      <c r="D181" s="20" t="s">
        <v>22</v>
      </c>
      <c r="E181" s="21">
        <f>ROUND(16230*1.05,2)</f>
      </c>
      <c r="F181" s="20" t="s">
        <v>51</v>
      </c>
      <c r="G181" s="20" t="s">
        <v>24</v>
      </c>
      <c r="H181" s="21">
        <f>ROUND(RAND()*4+6,1)</f>
      </c>
      <c r="I181" s="20" t="s">
        <v>25</v>
      </c>
      <c r="J181" s="23">
        <f>ROUND(88*1,0)&amp;"%"</f>
      </c>
    </row>
    <row x14ac:dyDescent="0.25" r="182" customHeight="1" ht="17.25">
      <c r="A182" s="24" t="s">
        <v>311</v>
      </c>
      <c r="B182" s="24"/>
      <c r="C182" s="24"/>
      <c r="D182" s="24"/>
      <c r="E182" s="25">
        <v>8</v>
      </c>
      <c r="F182" s="9"/>
      <c r="G182" s="9"/>
      <c r="H182" s="10"/>
      <c r="I182" s="9"/>
      <c r="J182" s="9"/>
    </row>
    <row x14ac:dyDescent="0.25" r="183" customHeight="1" ht="17.25">
      <c r="A183" s="7"/>
      <c r="B183" s="7"/>
      <c r="C183" s="7"/>
      <c r="D183" s="7"/>
      <c r="E183" s="8"/>
      <c r="F183" s="9"/>
      <c r="G183" s="9"/>
      <c r="H183" s="10"/>
      <c r="I183" s="9"/>
      <c r="J183" s="9"/>
    </row>
    <row x14ac:dyDescent="0.25" r="184" customHeight="1" ht="17.25">
      <c r="A184" s="11" t="s">
        <v>9932</v>
      </c>
      <c r="B184" s="11"/>
      <c r="C184" s="11"/>
      <c r="D184" s="11"/>
      <c r="E184" s="12"/>
      <c r="F184" s="11"/>
      <c r="G184" s="11"/>
      <c r="H184" s="13"/>
      <c r="I184" s="11"/>
      <c r="J184" s="11"/>
    </row>
    <row x14ac:dyDescent="0.25" r="185" customHeight="1" ht="17.25">
      <c r="A185" s="14" t="s">
        <v>3</v>
      </c>
      <c r="B185" s="14" t="s">
        <v>4</v>
      </c>
      <c r="C185" s="14" t="s">
        <v>5</v>
      </c>
      <c r="D185" s="14" t="s">
        <v>6</v>
      </c>
      <c r="E185" s="15" t="s">
        <v>7</v>
      </c>
      <c r="F185" s="14" t="s">
        <v>8</v>
      </c>
      <c r="G185" s="14" t="s">
        <v>9</v>
      </c>
      <c r="H185" s="16" t="s">
        <v>10</v>
      </c>
      <c r="I185" s="14" t="s">
        <v>11</v>
      </c>
      <c r="J185" s="14" t="s">
        <v>12</v>
      </c>
    </row>
    <row x14ac:dyDescent="0.25" r="186" customHeight="1" ht="17.25">
      <c r="A186" s="17" t="s">
        <v>9933</v>
      </c>
      <c r="B186" s="17" t="s">
        <v>314</v>
      </c>
      <c r="C186" s="17" t="s">
        <v>56</v>
      </c>
      <c r="D186" s="17" t="s">
        <v>16</v>
      </c>
      <c r="E186" s="18">
        <f>ROUND(8529*1.05,2)</f>
      </c>
      <c r="F186" s="17" t="s">
        <v>17</v>
      </c>
      <c r="G186" s="17" t="s">
        <v>18</v>
      </c>
      <c r="H186" s="18">
        <f>ROUND(RAND()*4+6,1)</f>
      </c>
      <c r="I186" s="17" t="s">
        <v>19</v>
      </c>
      <c r="J186" s="19">
        <f>ROUND(94*1,0)&amp;"%"</f>
      </c>
    </row>
    <row x14ac:dyDescent="0.25" r="187" customHeight="1" ht="17.25">
      <c r="A187" s="20" t="s">
        <v>9934</v>
      </c>
      <c r="B187" s="20" t="s">
        <v>316</v>
      </c>
      <c r="C187" s="20" t="s">
        <v>56</v>
      </c>
      <c r="D187" s="20" t="s">
        <v>22</v>
      </c>
      <c r="E187" s="22">
        <f>ROUND(16360*1.05,2)</f>
      </c>
      <c r="F187" s="20" t="s">
        <v>23</v>
      </c>
      <c r="G187" s="20" t="s">
        <v>24</v>
      </c>
      <c r="H187" s="22">
        <f>ROUND(RAND()*4+6,1)</f>
      </c>
      <c r="I187" s="20" t="s">
        <v>25</v>
      </c>
      <c r="J187" s="23">
        <f>ROUND(89*1,0)&amp;"%"</f>
      </c>
    </row>
    <row x14ac:dyDescent="0.25" r="188" customHeight="1" ht="17.25">
      <c r="A188" s="17" t="s">
        <v>9935</v>
      </c>
      <c r="B188" s="17" t="s">
        <v>318</v>
      </c>
      <c r="C188" s="17" t="s">
        <v>56</v>
      </c>
      <c r="D188" s="17" t="s">
        <v>28</v>
      </c>
      <c r="E188" s="18">
        <f>ROUND(13010*1.05,2)</f>
      </c>
      <c r="F188" s="17" t="s">
        <v>29</v>
      </c>
      <c r="G188" s="17" t="s">
        <v>30</v>
      </c>
      <c r="H188" s="18">
        <f>ROUND(RAND()*4+6,1)</f>
      </c>
      <c r="I188" s="17" t="s">
        <v>31</v>
      </c>
      <c r="J188" s="19">
        <f>ROUND(69*1,0)&amp;"%"</f>
      </c>
    </row>
    <row x14ac:dyDescent="0.25" r="189" customHeight="1" ht="17.25">
      <c r="A189" s="20" t="s">
        <v>9936</v>
      </c>
      <c r="B189" s="20" t="s">
        <v>320</v>
      </c>
      <c r="C189" s="20" t="s">
        <v>56</v>
      </c>
      <c r="D189" s="20" t="s">
        <v>34</v>
      </c>
      <c r="E189" s="22">
        <f>ROUND(15700*1.05,2)</f>
      </c>
      <c r="F189" s="20" t="s">
        <v>35</v>
      </c>
      <c r="G189" s="20" t="s">
        <v>18</v>
      </c>
      <c r="H189" s="21">
        <f>ROUND(RAND()*4+6,1)</f>
      </c>
      <c r="I189" s="20" t="s">
        <v>36</v>
      </c>
      <c r="J189" s="23">
        <f>ROUND(87*1,0)&amp;"%"</f>
      </c>
    </row>
    <row x14ac:dyDescent="0.25" r="190" customHeight="1" ht="17.25">
      <c r="A190" s="17" t="s">
        <v>9937</v>
      </c>
      <c r="B190" s="17" t="s">
        <v>322</v>
      </c>
      <c r="C190" s="17" t="s">
        <v>56</v>
      </c>
      <c r="D190" s="17" t="s">
        <v>39</v>
      </c>
      <c r="E190" s="18">
        <f>ROUND(11127*1.05,2)</f>
      </c>
      <c r="F190" s="17" t="s">
        <v>40</v>
      </c>
      <c r="G190" s="17" t="s">
        <v>24</v>
      </c>
      <c r="H190" s="26">
        <f>ROUND(RAND()*4+6,1)</f>
      </c>
      <c r="I190" s="17" t="s">
        <v>41</v>
      </c>
      <c r="J190" s="19">
        <f>ROUND(70*1,0)&amp;"%"</f>
      </c>
    </row>
    <row x14ac:dyDescent="0.25" r="191" customHeight="1" ht="17.25">
      <c r="A191" s="20" t="s">
        <v>9938</v>
      </c>
      <c r="B191" s="20" t="s">
        <v>324</v>
      </c>
      <c r="C191" s="20" t="s">
        <v>56</v>
      </c>
      <c r="D191" s="20" t="s">
        <v>67</v>
      </c>
      <c r="E191" s="21">
        <f>ROUND(4058*1.05,2)</f>
      </c>
      <c r="F191" s="20" t="s">
        <v>44</v>
      </c>
      <c r="G191" s="20" t="s">
        <v>30</v>
      </c>
      <c r="H191" s="22">
        <f>ROUND(RAND()*4+6,1)</f>
      </c>
      <c r="I191" s="20" t="s">
        <v>45</v>
      </c>
      <c r="J191" s="23">
        <f>ROUND(99*1,0)&amp;"%"</f>
      </c>
    </row>
    <row x14ac:dyDescent="0.25" r="192" customHeight="1" ht="17.25">
      <c r="A192" s="17" t="s">
        <v>9939</v>
      </c>
      <c r="B192" s="17" t="s">
        <v>326</v>
      </c>
      <c r="C192" s="17" t="s">
        <v>56</v>
      </c>
      <c r="D192" s="17" t="s">
        <v>16</v>
      </c>
      <c r="E192" s="18">
        <f>ROUND(9543*1.05,2)</f>
      </c>
      <c r="F192" s="17" t="s">
        <v>48</v>
      </c>
      <c r="G192" s="17" t="s">
        <v>18</v>
      </c>
      <c r="H192" s="18">
        <f>ROUND(RAND()*4+6,1)</f>
      </c>
      <c r="I192" s="17" t="s">
        <v>19</v>
      </c>
      <c r="J192" s="19">
        <f>ROUND(89*1,0)&amp;"%"</f>
      </c>
    </row>
    <row x14ac:dyDescent="0.25" r="193" customHeight="1" ht="17.25">
      <c r="A193" s="20" t="s">
        <v>9940</v>
      </c>
      <c r="B193" s="20" t="s">
        <v>328</v>
      </c>
      <c r="C193" s="20" t="s">
        <v>56</v>
      </c>
      <c r="D193" s="20" t="s">
        <v>22</v>
      </c>
      <c r="E193" s="21">
        <f>ROUND(14170*1.05,2)</f>
      </c>
      <c r="F193" s="20" t="s">
        <v>51</v>
      </c>
      <c r="G193" s="20" t="s">
        <v>24</v>
      </c>
      <c r="H193" s="21">
        <f>ROUND(RAND()*4+6,1)</f>
      </c>
      <c r="I193" s="20" t="s">
        <v>25</v>
      </c>
      <c r="J193" s="23">
        <f>ROUND(67*1,0)&amp;"%"</f>
      </c>
    </row>
    <row x14ac:dyDescent="0.25" r="194" customHeight="1" ht="17.25">
      <c r="A194" s="24" t="s">
        <v>329</v>
      </c>
      <c r="B194" s="24"/>
      <c r="C194" s="24"/>
      <c r="D194" s="24"/>
      <c r="E194" s="25">
        <v>8</v>
      </c>
      <c r="F194" s="9"/>
      <c r="G194" s="9"/>
      <c r="H194" s="10"/>
      <c r="I194" s="9"/>
      <c r="J194" s="9"/>
    </row>
    <row x14ac:dyDescent="0.25" r="195" customHeight="1" ht="17.25">
      <c r="A195" s="7"/>
      <c r="B195" s="7"/>
      <c r="C195" s="7"/>
      <c r="D195" s="7"/>
      <c r="E195" s="8"/>
      <c r="F195" s="9"/>
      <c r="G195" s="9"/>
      <c r="H195" s="10"/>
      <c r="I195" s="9"/>
      <c r="J195" s="9"/>
    </row>
    <row x14ac:dyDescent="0.25" r="196" customHeight="1" ht="17.25">
      <c r="A196" s="11" t="s">
        <v>9941</v>
      </c>
      <c r="B196" s="11"/>
      <c r="C196" s="11"/>
      <c r="D196" s="11"/>
      <c r="E196" s="12"/>
      <c r="F196" s="11"/>
      <c r="G196" s="11"/>
      <c r="H196" s="13"/>
      <c r="I196" s="11"/>
      <c r="J196" s="11"/>
    </row>
    <row x14ac:dyDescent="0.25" r="197" customHeight="1" ht="17.25">
      <c r="A197" s="14" t="s">
        <v>3</v>
      </c>
      <c r="B197" s="14" t="s">
        <v>4</v>
      </c>
      <c r="C197" s="14" t="s">
        <v>5</v>
      </c>
      <c r="D197" s="14" t="s">
        <v>6</v>
      </c>
      <c r="E197" s="15" t="s">
        <v>7</v>
      </c>
      <c r="F197" s="14" t="s">
        <v>8</v>
      </c>
      <c r="G197" s="14" t="s">
        <v>9</v>
      </c>
      <c r="H197" s="16" t="s">
        <v>10</v>
      </c>
      <c r="I197" s="14" t="s">
        <v>11</v>
      </c>
      <c r="J197" s="14" t="s">
        <v>12</v>
      </c>
    </row>
    <row x14ac:dyDescent="0.25" r="198" customHeight="1" ht="17.25">
      <c r="A198" s="17" t="s">
        <v>9942</v>
      </c>
      <c r="B198" s="17" t="s">
        <v>332</v>
      </c>
      <c r="C198" s="17" t="s">
        <v>76</v>
      </c>
      <c r="D198" s="17" t="s">
        <v>16</v>
      </c>
      <c r="E198" s="18">
        <f>ROUND(9576*1.05,2)</f>
      </c>
      <c r="F198" s="17" t="s">
        <v>17</v>
      </c>
      <c r="G198" s="17" t="s">
        <v>18</v>
      </c>
      <c r="H198" s="26">
        <f>ROUND(RAND()*4+6,1)</f>
      </c>
      <c r="I198" s="17" t="s">
        <v>19</v>
      </c>
      <c r="J198" s="19">
        <f>ROUND(64*1,0)&amp;"%"</f>
      </c>
    </row>
    <row x14ac:dyDescent="0.25" r="199" customHeight="1" ht="17.25">
      <c r="A199" s="20" t="s">
        <v>9943</v>
      </c>
      <c r="B199" s="20" t="s">
        <v>334</v>
      </c>
      <c r="C199" s="20" t="s">
        <v>76</v>
      </c>
      <c r="D199" s="20" t="s">
        <v>22</v>
      </c>
      <c r="E199" s="21">
        <f>ROUND(15427*1.05,2)</f>
      </c>
      <c r="F199" s="20" t="s">
        <v>23</v>
      </c>
      <c r="G199" s="20" t="s">
        <v>24</v>
      </c>
      <c r="H199" s="21">
        <f>ROUND(RAND()*4+6,1)</f>
      </c>
      <c r="I199" s="20" t="s">
        <v>25</v>
      </c>
      <c r="J199" s="23">
        <f>ROUND(64*1,0)&amp;"%"</f>
      </c>
    </row>
    <row x14ac:dyDescent="0.25" r="200" customHeight="1" ht="17.25">
      <c r="A200" s="17" t="s">
        <v>9944</v>
      </c>
      <c r="B200" s="17" t="s">
        <v>336</v>
      </c>
      <c r="C200" s="17" t="s">
        <v>76</v>
      </c>
      <c r="D200" s="17" t="s">
        <v>28</v>
      </c>
      <c r="E200" s="18">
        <f>ROUND(5078*1.05,2)</f>
      </c>
      <c r="F200" s="17" t="s">
        <v>29</v>
      </c>
      <c r="G200" s="17" t="s">
        <v>30</v>
      </c>
      <c r="H200" s="18">
        <f>ROUND(RAND()*4+6,1)</f>
      </c>
      <c r="I200" s="17" t="s">
        <v>31</v>
      </c>
      <c r="J200" s="19">
        <f>ROUND(94*1,0)&amp;"%"</f>
      </c>
    </row>
    <row x14ac:dyDescent="0.25" r="201" customHeight="1" ht="17.25">
      <c r="A201" s="20" t="s">
        <v>9945</v>
      </c>
      <c r="B201" s="20" t="s">
        <v>338</v>
      </c>
      <c r="C201" s="20" t="s">
        <v>76</v>
      </c>
      <c r="D201" s="20" t="s">
        <v>34</v>
      </c>
      <c r="E201" s="21">
        <f>ROUND(8009*1.05,2)</f>
      </c>
      <c r="F201" s="20" t="s">
        <v>35</v>
      </c>
      <c r="G201" s="20" t="s">
        <v>18</v>
      </c>
      <c r="H201" s="21">
        <f>ROUND(RAND()*4+6,1)</f>
      </c>
      <c r="I201" s="20" t="s">
        <v>36</v>
      </c>
      <c r="J201" s="23">
        <f>ROUND(66*1,0)&amp;"%"</f>
      </c>
    </row>
    <row x14ac:dyDescent="0.25" r="202" customHeight="1" ht="17.25">
      <c r="A202" s="17" t="s">
        <v>9946</v>
      </c>
      <c r="B202" s="17" t="s">
        <v>340</v>
      </c>
      <c r="C202" s="17" t="s">
        <v>76</v>
      </c>
      <c r="D202" s="17" t="s">
        <v>39</v>
      </c>
      <c r="E202" s="18">
        <f>ROUND(11218*1.05,2)</f>
      </c>
      <c r="F202" s="17" t="s">
        <v>40</v>
      </c>
      <c r="G202" s="17" t="s">
        <v>24</v>
      </c>
      <c r="H202" s="18">
        <f>ROUND(RAND()*4+6,1)</f>
      </c>
      <c r="I202" s="17" t="s">
        <v>41</v>
      </c>
      <c r="J202" s="19">
        <f>ROUND(60*1,0)&amp;"%"</f>
      </c>
    </row>
    <row x14ac:dyDescent="0.25" r="203" customHeight="1" ht="17.25">
      <c r="A203" s="20" t="s">
        <v>9947</v>
      </c>
      <c r="B203" s="20" t="s">
        <v>342</v>
      </c>
      <c r="C203" s="20" t="s">
        <v>76</v>
      </c>
      <c r="D203" s="20" t="s">
        <v>67</v>
      </c>
      <c r="E203" s="21">
        <f>ROUND(7915*1.05,2)</f>
      </c>
      <c r="F203" s="20" t="s">
        <v>44</v>
      </c>
      <c r="G203" s="20" t="s">
        <v>30</v>
      </c>
      <c r="H203" s="21">
        <f>ROUND(RAND()*4+6,1)</f>
      </c>
      <c r="I203" s="20" t="s">
        <v>45</v>
      </c>
      <c r="J203" s="23">
        <f>ROUND(99*1,0)&amp;"%"</f>
      </c>
    </row>
    <row x14ac:dyDescent="0.25" r="204" customHeight="1" ht="17.25">
      <c r="A204" s="17" t="s">
        <v>9948</v>
      </c>
      <c r="B204" s="17" t="s">
        <v>344</v>
      </c>
      <c r="C204" s="17" t="s">
        <v>76</v>
      </c>
      <c r="D204" s="17" t="s">
        <v>16</v>
      </c>
      <c r="E204" s="18">
        <f>ROUND(8681*1.05,2)</f>
      </c>
      <c r="F204" s="17" t="s">
        <v>48</v>
      </c>
      <c r="G204" s="17" t="s">
        <v>18</v>
      </c>
      <c r="H204" s="18">
        <f>ROUND(RAND()*4+6,1)</f>
      </c>
      <c r="I204" s="17" t="s">
        <v>19</v>
      </c>
      <c r="J204" s="19">
        <f>ROUND(65*1,0)&amp;"%"</f>
      </c>
    </row>
    <row x14ac:dyDescent="0.25" r="205" customHeight="1" ht="17.25">
      <c r="A205" s="20" t="s">
        <v>9949</v>
      </c>
      <c r="B205" s="20" t="s">
        <v>346</v>
      </c>
      <c r="C205" s="20" t="s">
        <v>76</v>
      </c>
      <c r="D205" s="20" t="s">
        <v>22</v>
      </c>
      <c r="E205" s="21">
        <f>ROUND(11006*1.05,2)</f>
      </c>
      <c r="F205" s="20" t="s">
        <v>51</v>
      </c>
      <c r="G205" s="20" t="s">
        <v>24</v>
      </c>
      <c r="H205" s="21">
        <f>ROUND(RAND()*4+6,1)</f>
      </c>
      <c r="I205" s="20" t="s">
        <v>25</v>
      </c>
      <c r="J205" s="23">
        <f>ROUND(61*1,0)&amp;"%"</f>
      </c>
    </row>
    <row x14ac:dyDescent="0.25" r="206" customHeight="1" ht="17.25">
      <c r="A206" s="24" t="s">
        <v>347</v>
      </c>
      <c r="B206" s="24"/>
      <c r="C206" s="24"/>
      <c r="D206" s="24"/>
      <c r="E206" s="25">
        <v>8</v>
      </c>
      <c r="F206" s="9"/>
      <c r="G206" s="9"/>
      <c r="H206" s="10"/>
      <c r="I206" s="9"/>
      <c r="J206" s="9"/>
    </row>
    <row x14ac:dyDescent="0.25" r="207" customHeight="1" ht="17.25">
      <c r="A207" s="7"/>
      <c r="B207" s="7"/>
      <c r="C207" s="7"/>
      <c r="D207" s="7"/>
      <c r="E207" s="8"/>
      <c r="F207" s="9"/>
      <c r="G207" s="9"/>
      <c r="H207" s="10"/>
      <c r="I207" s="9"/>
      <c r="J207" s="9"/>
    </row>
    <row x14ac:dyDescent="0.25" r="208" customHeight="1" ht="17.25">
      <c r="A208" s="11" t="s">
        <v>9950</v>
      </c>
      <c r="B208" s="11"/>
      <c r="C208" s="11"/>
      <c r="D208" s="11"/>
      <c r="E208" s="12"/>
      <c r="F208" s="11"/>
      <c r="G208" s="11"/>
      <c r="H208" s="13"/>
      <c r="I208" s="11"/>
      <c r="J208" s="11"/>
    </row>
    <row x14ac:dyDescent="0.25" r="209" customHeight="1" ht="17.25">
      <c r="A209" s="14" t="s">
        <v>3</v>
      </c>
      <c r="B209" s="14" t="s">
        <v>4</v>
      </c>
      <c r="C209" s="14" t="s">
        <v>5</v>
      </c>
      <c r="D209" s="14" t="s">
        <v>6</v>
      </c>
      <c r="E209" s="15" t="s">
        <v>7</v>
      </c>
      <c r="F209" s="14" t="s">
        <v>8</v>
      </c>
      <c r="G209" s="14" t="s">
        <v>9</v>
      </c>
      <c r="H209" s="16" t="s">
        <v>10</v>
      </c>
      <c r="I209" s="14" t="s">
        <v>11</v>
      </c>
      <c r="J209" s="14" t="s">
        <v>12</v>
      </c>
    </row>
    <row x14ac:dyDescent="0.25" r="210" customHeight="1" ht="17.25">
      <c r="A210" s="17" t="s">
        <v>9951</v>
      </c>
      <c r="B210" s="17" t="s">
        <v>350</v>
      </c>
      <c r="C210" s="17" t="s">
        <v>95</v>
      </c>
      <c r="D210" s="17" t="s">
        <v>16</v>
      </c>
      <c r="E210" s="18">
        <f>ROUND(7141*1.05,2)</f>
      </c>
      <c r="F210" s="17" t="s">
        <v>17</v>
      </c>
      <c r="G210" s="17" t="s">
        <v>18</v>
      </c>
      <c r="H210" s="18">
        <f>ROUND(RAND()*4+6,1)</f>
      </c>
      <c r="I210" s="17" t="s">
        <v>19</v>
      </c>
      <c r="J210" s="19">
        <f>ROUND(92*1,0)&amp;"%"</f>
      </c>
    </row>
    <row x14ac:dyDescent="0.25" r="211" customHeight="1" ht="17.25">
      <c r="A211" s="20" t="s">
        <v>9952</v>
      </c>
      <c r="B211" s="20" t="s">
        <v>352</v>
      </c>
      <c r="C211" s="20" t="s">
        <v>95</v>
      </c>
      <c r="D211" s="20" t="s">
        <v>22</v>
      </c>
      <c r="E211" s="21">
        <f>ROUND(10407*1.05,2)</f>
      </c>
      <c r="F211" s="20" t="s">
        <v>23</v>
      </c>
      <c r="G211" s="20" t="s">
        <v>24</v>
      </c>
      <c r="H211" s="21">
        <f>ROUND(RAND()*4+6,1)</f>
      </c>
      <c r="I211" s="20" t="s">
        <v>25</v>
      </c>
      <c r="J211" s="23">
        <f>ROUND(73*1,0)&amp;"%"</f>
      </c>
    </row>
    <row x14ac:dyDescent="0.25" r="212" customHeight="1" ht="17.25">
      <c r="A212" s="17" t="s">
        <v>9953</v>
      </c>
      <c r="B212" s="17" t="s">
        <v>354</v>
      </c>
      <c r="C212" s="17" t="s">
        <v>95</v>
      </c>
      <c r="D212" s="17" t="s">
        <v>28</v>
      </c>
      <c r="E212" s="18">
        <f>ROUND(4569*1.05,2)</f>
      </c>
      <c r="F212" s="17" t="s">
        <v>29</v>
      </c>
      <c r="G212" s="17" t="s">
        <v>30</v>
      </c>
      <c r="H212" s="18">
        <f>ROUND(RAND()*4+6,1)</f>
      </c>
      <c r="I212" s="17" t="s">
        <v>31</v>
      </c>
      <c r="J212" s="19">
        <f>ROUND(71*1,0)&amp;"%"</f>
      </c>
    </row>
    <row x14ac:dyDescent="0.25" r="213" customHeight="1" ht="17.25">
      <c r="A213" s="20" t="s">
        <v>9954</v>
      </c>
      <c r="B213" s="20" t="s">
        <v>356</v>
      </c>
      <c r="C213" s="20" t="s">
        <v>95</v>
      </c>
      <c r="D213" s="20" t="s">
        <v>34</v>
      </c>
      <c r="E213" s="21">
        <f>ROUND(10682*1.05,2)</f>
      </c>
      <c r="F213" s="20" t="s">
        <v>35</v>
      </c>
      <c r="G213" s="20" t="s">
        <v>18</v>
      </c>
      <c r="H213" s="21">
        <f>ROUND(RAND()*4+6,1)</f>
      </c>
      <c r="I213" s="20" t="s">
        <v>36</v>
      </c>
      <c r="J213" s="23">
        <f>ROUND(66*1,0)&amp;"%"</f>
      </c>
    </row>
    <row x14ac:dyDescent="0.25" r="214" customHeight="1" ht="17.25">
      <c r="A214" s="17" t="s">
        <v>9955</v>
      </c>
      <c r="B214" s="17" t="s">
        <v>358</v>
      </c>
      <c r="C214" s="17" t="s">
        <v>95</v>
      </c>
      <c r="D214" s="17" t="s">
        <v>39</v>
      </c>
      <c r="E214" s="18">
        <f>ROUND(15897*1.05,2)</f>
      </c>
      <c r="F214" s="17" t="s">
        <v>40</v>
      </c>
      <c r="G214" s="17" t="s">
        <v>24</v>
      </c>
      <c r="H214" s="18">
        <f>ROUND(RAND()*4+6,1)</f>
      </c>
      <c r="I214" s="17" t="s">
        <v>41</v>
      </c>
      <c r="J214" s="19">
        <f>ROUND(89*1,0)&amp;"%"</f>
      </c>
    </row>
    <row x14ac:dyDescent="0.25" r="215" customHeight="1" ht="17.25">
      <c r="A215" s="20" t="s">
        <v>9956</v>
      </c>
      <c r="B215" s="20" t="s">
        <v>360</v>
      </c>
      <c r="C215" s="20" t="s">
        <v>95</v>
      </c>
      <c r="D215" s="20" t="s">
        <v>67</v>
      </c>
      <c r="E215" s="21">
        <f>ROUND(15171*1.05,2)</f>
      </c>
      <c r="F215" s="20" t="s">
        <v>44</v>
      </c>
      <c r="G215" s="20" t="s">
        <v>30</v>
      </c>
      <c r="H215" s="21">
        <f>ROUND(RAND()*4+6,1)</f>
      </c>
      <c r="I215" s="20" t="s">
        <v>45</v>
      </c>
      <c r="J215" s="23">
        <f>ROUND(75*1,0)&amp;"%"</f>
      </c>
    </row>
    <row x14ac:dyDescent="0.25" r="216" customHeight="1" ht="17.25">
      <c r="A216" s="17" t="s">
        <v>9957</v>
      </c>
      <c r="B216" s="17" t="s">
        <v>362</v>
      </c>
      <c r="C216" s="17" t="s">
        <v>95</v>
      </c>
      <c r="D216" s="17" t="s">
        <v>16</v>
      </c>
      <c r="E216" s="18">
        <f>ROUND(16877*1.05,2)</f>
      </c>
      <c r="F216" s="17" t="s">
        <v>48</v>
      </c>
      <c r="G216" s="17" t="s">
        <v>18</v>
      </c>
      <c r="H216" s="18">
        <f>ROUND(RAND()*4+6,1)</f>
      </c>
      <c r="I216" s="17" t="s">
        <v>19</v>
      </c>
      <c r="J216" s="19">
        <f>ROUND(86*1,0)&amp;"%"</f>
      </c>
    </row>
    <row x14ac:dyDescent="0.25" r="217" customHeight="1" ht="17.25">
      <c r="A217" s="20" t="s">
        <v>9958</v>
      </c>
      <c r="B217" s="20" t="s">
        <v>364</v>
      </c>
      <c r="C217" s="20" t="s">
        <v>95</v>
      </c>
      <c r="D217" s="20" t="s">
        <v>22</v>
      </c>
      <c r="E217" s="21">
        <f>ROUND(4290*1.05,2)</f>
      </c>
      <c r="F217" s="20" t="s">
        <v>51</v>
      </c>
      <c r="G217" s="20" t="s">
        <v>24</v>
      </c>
      <c r="H217" s="21">
        <f>ROUND(RAND()*4+6,1)</f>
      </c>
      <c r="I217" s="20" t="s">
        <v>25</v>
      </c>
      <c r="J217" s="23">
        <f>ROUND(90*1,0)&amp;"%"</f>
      </c>
    </row>
    <row x14ac:dyDescent="0.25" r="218" customHeight="1" ht="17.25">
      <c r="A218" s="24" t="s">
        <v>365</v>
      </c>
      <c r="B218" s="24"/>
      <c r="C218" s="24"/>
      <c r="D218" s="24"/>
      <c r="E218" s="25">
        <v>8</v>
      </c>
      <c r="F218" s="9"/>
      <c r="G218" s="9"/>
      <c r="H218" s="10"/>
      <c r="I218" s="9"/>
      <c r="J218" s="9"/>
    </row>
    <row x14ac:dyDescent="0.25" r="219" customHeight="1" ht="17.25">
      <c r="A219" s="7"/>
      <c r="B219" s="7"/>
      <c r="C219" s="7"/>
      <c r="D219" s="7"/>
      <c r="E219" s="8"/>
      <c r="F219" s="9"/>
      <c r="G219" s="9"/>
      <c r="H219" s="10"/>
      <c r="I219" s="9"/>
      <c r="J219" s="9"/>
    </row>
    <row x14ac:dyDescent="0.25" r="220" customHeight="1" ht="17.25">
      <c r="A220" s="11" t="s">
        <v>9959</v>
      </c>
      <c r="B220" s="11"/>
      <c r="C220" s="11"/>
      <c r="D220" s="11"/>
      <c r="E220" s="12"/>
      <c r="F220" s="11"/>
      <c r="G220" s="11"/>
      <c r="H220" s="13"/>
      <c r="I220" s="11"/>
      <c r="J220" s="11"/>
    </row>
    <row x14ac:dyDescent="0.25" r="221" customHeight="1" ht="17.25">
      <c r="A221" s="14" t="s">
        <v>3</v>
      </c>
      <c r="B221" s="14" t="s">
        <v>4</v>
      </c>
      <c r="C221" s="14" t="s">
        <v>5</v>
      </c>
      <c r="D221" s="14" t="s">
        <v>6</v>
      </c>
      <c r="E221" s="15" t="s">
        <v>7</v>
      </c>
      <c r="F221" s="14" t="s">
        <v>8</v>
      </c>
      <c r="G221" s="14" t="s">
        <v>9</v>
      </c>
      <c r="H221" s="16" t="s">
        <v>10</v>
      </c>
      <c r="I221" s="14" t="s">
        <v>11</v>
      </c>
      <c r="J221" s="14" t="s">
        <v>12</v>
      </c>
    </row>
    <row x14ac:dyDescent="0.25" r="222" customHeight="1" ht="17.25">
      <c r="A222" s="17" t="s">
        <v>9960</v>
      </c>
      <c r="B222" s="17" t="s">
        <v>368</v>
      </c>
      <c r="C222" s="17" t="s">
        <v>114</v>
      </c>
      <c r="D222" s="17" t="s">
        <v>16</v>
      </c>
      <c r="E222" s="18">
        <f>ROUND(10152*1.05,2)</f>
      </c>
      <c r="F222" s="17" t="s">
        <v>17</v>
      </c>
      <c r="G222" s="17" t="s">
        <v>18</v>
      </c>
      <c r="H222" s="18">
        <f>ROUND(RAND()*4+6,1)</f>
      </c>
      <c r="I222" s="17" t="s">
        <v>19</v>
      </c>
      <c r="J222" s="19">
        <f>ROUND(75*1,0)&amp;"%"</f>
      </c>
    </row>
    <row x14ac:dyDescent="0.25" r="223" customHeight="1" ht="17.25">
      <c r="A223" s="20" t="s">
        <v>9961</v>
      </c>
      <c r="B223" s="20" t="s">
        <v>370</v>
      </c>
      <c r="C223" s="20" t="s">
        <v>114</v>
      </c>
      <c r="D223" s="20" t="s">
        <v>22</v>
      </c>
      <c r="E223" s="21">
        <f>ROUND(9192*1.05,2)</f>
      </c>
      <c r="F223" s="20" t="s">
        <v>23</v>
      </c>
      <c r="G223" s="20" t="s">
        <v>24</v>
      </c>
      <c r="H223" s="21">
        <f>ROUND(RAND()*4+6,1)</f>
      </c>
      <c r="I223" s="20" t="s">
        <v>25</v>
      </c>
      <c r="J223" s="23">
        <f>ROUND(70*1,0)&amp;"%"</f>
      </c>
    </row>
    <row x14ac:dyDescent="0.25" r="224" customHeight="1" ht="17.25">
      <c r="A224" s="17" t="s">
        <v>9962</v>
      </c>
      <c r="B224" s="17" t="s">
        <v>372</v>
      </c>
      <c r="C224" s="17" t="s">
        <v>114</v>
      </c>
      <c r="D224" s="17" t="s">
        <v>28</v>
      </c>
      <c r="E224" s="18">
        <f>ROUND(11466*1.05,2)</f>
      </c>
      <c r="F224" s="17" t="s">
        <v>29</v>
      </c>
      <c r="G224" s="17" t="s">
        <v>30</v>
      </c>
      <c r="H224" s="18">
        <f>ROUND(RAND()*4+6,1)</f>
      </c>
      <c r="I224" s="17" t="s">
        <v>31</v>
      </c>
      <c r="J224" s="19">
        <f>ROUND(79*1,0)&amp;"%"</f>
      </c>
    </row>
    <row x14ac:dyDescent="0.25" r="225" customHeight="1" ht="17.25">
      <c r="A225" s="20" t="s">
        <v>9963</v>
      </c>
      <c r="B225" s="20" t="s">
        <v>374</v>
      </c>
      <c r="C225" s="20" t="s">
        <v>114</v>
      </c>
      <c r="D225" s="20" t="s">
        <v>34</v>
      </c>
      <c r="E225" s="21">
        <f>ROUND(14713*1.05,2)</f>
      </c>
      <c r="F225" s="20" t="s">
        <v>35</v>
      </c>
      <c r="G225" s="20" t="s">
        <v>18</v>
      </c>
      <c r="H225" s="21">
        <f>ROUND(RAND()*4+6,1)</f>
      </c>
      <c r="I225" s="20" t="s">
        <v>36</v>
      </c>
      <c r="J225" s="23">
        <f>ROUND(80*1,0)&amp;"%"</f>
      </c>
    </row>
    <row x14ac:dyDescent="0.25" r="226" customHeight="1" ht="17.25">
      <c r="A226" s="17" t="s">
        <v>9964</v>
      </c>
      <c r="B226" s="17" t="s">
        <v>376</v>
      </c>
      <c r="C226" s="17" t="s">
        <v>114</v>
      </c>
      <c r="D226" s="17" t="s">
        <v>39</v>
      </c>
      <c r="E226" s="18">
        <f>ROUND(15139*1.05,2)</f>
      </c>
      <c r="F226" s="17" t="s">
        <v>40</v>
      </c>
      <c r="G226" s="17" t="s">
        <v>24</v>
      </c>
      <c r="H226" s="18">
        <f>ROUND(RAND()*4+6,1)</f>
      </c>
      <c r="I226" s="17" t="s">
        <v>41</v>
      </c>
      <c r="J226" s="19">
        <f>ROUND(99*1,0)&amp;"%"</f>
      </c>
    </row>
    <row x14ac:dyDescent="0.25" r="227" customHeight="1" ht="17.25">
      <c r="A227" s="20" t="s">
        <v>9965</v>
      </c>
      <c r="B227" s="20" t="s">
        <v>378</v>
      </c>
      <c r="C227" s="20" t="s">
        <v>114</v>
      </c>
      <c r="D227" s="20" t="s">
        <v>67</v>
      </c>
      <c r="E227" s="21">
        <f>ROUND(7155*1.05,2)</f>
      </c>
      <c r="F227" s="20" t="s">
        <v>44</v>
      </c>
      <c r="G227" s="20" t="s">
        <v>30</v>
      </c>
      <c r="H227" s="21">
        <f>ROUND(RAND()*4+6,1)</f>
      </c>
      <c r="I227" s="20" t="s">
        <v>45</v>
      </c>
      <c r="J227" s="23">
        <f>ROUND(98*1,0)&amp;"%"</f>
      </c>
    </row>
    <row x14ac:dyDescent="0.25" r="228" customHeight="1" ht="17.25">
      <c r="A228" s="17" t="s">
        <v>9966</v>
      </c>
      <c r="B228" s="17" t="s">
        <v>380</v>
      </c>
      <c r="C228" s="17" t="s">
        <v>114</v>
      </c>
      <c r="D228" s="17" t="s">
        <v>16</v>
      </c>
      <c r="E228" s="18">
        <f>ROUND(8618*1.05,2)</f>
      </c>
      <c r="F228" s="17" t="s">
        <v>48</v>
      </c>
      <c r="G228" s="17" t="s">
        <v>18</v>
      </c>
      <c r="H228" s="18">
        <f>ROUND(RAND()*4+6,1)</f>
      </c>
      <c r="I228" s="17" t="s">
        <v>19</v>
      </c>
      <c r="J228" s="19">
        <f>ROUND(83*1,0)&amp;"%"</f>
      </c>
    </row>
    <row x14ac:dyDescent="0.25" r="229" customHeight="1" ht="17.25">
      <c r="A229" s="20" t="s">
        <v>9967</v>
      </c>
      <c r="B229" s="20" t="s">
        <v>382</v>
      </c>
      <c r="C229" s="20" t="s">
        <v>114</v>
      </c>
      <c r="D229" s="20" t="s">
        <v>22</v>
      </c>
      <c r="E229" s="21">
        <f>ROUND(10203*1.05,2)</f>
      </c>
      <c r="F229" s="20" t="s">
        <v>51</v>
      </c>
      <c r="G229" s="20" t="s">
        <v>24</v>
      </c>
      <c r="H229" s="21">
        <f>ROUND(RAND()*4+6,1)</f>
      </c>
      <c r="I229" s="20" t="s">
        <v>25</v>
      </c>
      <c r="J229" s="23">
        <f>ROUND(60*1,0)&amp;"%"</f>
      </c>
    </row>
    <row x14ac:dyDescent="0.25" r="230" customHeight="1" ht="17.25">
      <c r="A230" s="24" t="s">
        <v>383</v>
      </c>
      <c r="B230" s="24"/>
      <c r="C230" s="24"/>
      <c r="D230" s="24"/>
      <c r="E230" s="25">
        <v>8</v>
      </c>
      <c r="F230" s="9"/>
      <c r="G230" s="9"/>
      <c r="H230" s="10"/>
      <c r="I230" s="9"/>
      <c r="J230" s="9"/>
    </row>
    <row x14ac:dyDescent="0.25" r="231" customHeight="1" ht="17.25">
      <c r="A231" s="7"/>
      <c r="B231" s="7"/>
      <c r="C231" s="7"/>
      <c r="D231" s="7"/>
      <c r="E231" s="8"/>
      <c r="F231" s="9"/>
      <c r="G231" s="9"/>
      <c r="H231" s="10"/>
      <c r="I231" s="9"/>
      <c r="J231" s="9"/>
    </row>
    <row x14ac:dyDescent="0.25" r="232" customHeight="1" ht="17.25">
      <c r="A232" s="11" t="s">
        <v>9968</v>
      </c>
      <c r="B232" s="11"/>
      <c r="C232" s="11"/>
      <c r="D232" s="11"/>
      <c r="E232" s="12"/>
      <c r="F232" s="11"/>
      <c r="G232" s="11"/>
      <c r="H232" s="13"/>
      <c r="I232" s="11"/>
      <c r="J232" s="11"/>
    </row>
    <row x14ac:dyDescent="0.25" r="233" customHeight="1" ht="17.25">
      <c r="A233" s="14" t="s">
        <v>3</v>
      </c>
      <c r="B233" s="14" t="s">
        <v>4</v>
      </c>
      <c r="C233" s="14" t="s">
        <v>5</v>
      </c>
      <c r="D233" s="14" t="s">
        <v>6</v>
      </c>
      <c r="E233" s="15" t="s">
        <v>7</v>
      </c>
      <c r="F233" s="14" t="s">
        <v>8</v>
      </c>
      <c r="G233" s="14" t="s">
        <v>9</v>
      </c>
      <c r="H233" s="16" t="s">
        <v>10</v>
      </c>
      <c r="I233" s="14" t="s">
        <v>11</v>
      </c>
      <c r="J233" s="14" t="s">
        <v>12</v>
      </c>
    </row>
    <row x14ac:dyDescent="0.25" r="234" customHeight="1" ht="17.25">
      <c r="A234" s="17" t="s">
        <v>9969</v>
      </c>
      <c r="B234" s="17" t="s">
        <v>386</v>
      </c>
      <c r="C234" s="17" t="s">
        <v>133</v>
      </c>
      <c r="D234" s="17" t="s">
        <v>16</v>
      </c>
      <c r="E234" s="18">
        <f>ROUND(10591*1.05,2)</f>
      </c>
      <c r="F234" s="17" t="s">
        <v>17</v>
      </c>
      <c r="G234" s="17" t="s">
        <v>18</v>
      </c>
      <c r="H234" s="18">
        <f>ROUND(RAND()*4+6,1)</f>
      </c>
      <c r="I234" s="17" t="s">
        <v>19</v>
      </c>
      <c r="J234" s="19">
        <f>ROUND(78*1,0)&amp;"%"</f>
      </c>
    </row>
    <row x14ac:dyDescent="0.25" r="235" customHeight="1" ht="17.25">
      <c r="A235" s="20" t="s">
        <v>9970</v>
      </c>
      <c r="B235" s="20" t="s">
        <v>388</v>
      </c>
      <c r="C235" s="20" t="s">
        <v>133</v>
      </c>
      <c r="D235" s="20" t="s">
        <v>22</v>
      </c>
      <c r="E235" s="22">
        <f>ROUND(15620*1.05,2)</f>
      </c>
      <c r="F235" s="20" t="s">
        <v>23</v>
      </c>
      <c r="G235" s="20" t="s">
        <v>24</v>
      </c>
      <c r="H235" s="21">
        <f>ROUND(RAND()*4+6,1)</f>
      </c>
      <c r="I235" s="20" t="s">
        <v>25</v>
      </c>
      <c r="J235" s="23">
        <f>ROUND(78*1,0)&amp;"%"</f>
      </c>
    </row>
    <row x14ac:dyDescent="0.25" r="236" customHeight="1" ht="17.25">
      <c r="A236" s="17" t="s">
        <v>9971</v>
      </c>
      <c r="B236" s="17" t="s">
        <v>390</v>
      </c>
      <c r="C236" s="17" t="s">
        <v>133</v>
      </c>
      <c r="D236" s="17" t="s">
        <v>28</v>
      </c>
      <c r="E236" s="18">
        <f>ROUND(14981*1.05,2)</f>
      </c>
      <c r="F236" s="17" t="s">
        <v>29</v>
      </c>
      <c r="G236" s="17" t="s">
        <v>30</v>
      </c>
      <c r="H236" s="18">
        <f>ROUND(RAND()*4+6,1)</f>
      </c>
      <c r="I236" s="17" t="s">
        <v>31</v>
      </c>
      <c r="J236" s="19">
        <f>ROUND(77*1,0)&amp;"%"</f>
      </c>
    </row>
    <row x14ac:dyDescent="0.25" r="237" customHeight="1" ht="17.25">
      <c r="A237" s="20" t="s">
        <v>9972</v>
      </c>
      <c r="B237" s="20" t="s">
        <v>392</v>
      </c>
      <c r="C237" s="20" t="s">
        <v>133</v>
      </c>
      <c r="D237" s="20" t="s">
        <v>34</v>
      </c>
      <c r="E237" s="21">
        <f>ROUND(15123*1.05,2)</f>
      </c>
      <c r="F237" s="20" t="s">
        <v>35</v>
      </c>
      <c r="G237" s="20" t="s">
        <v>18</v>
      </c>
      <c r="H237" s="21">
        <f>ROUND(RAND()*4+6,1)</f>
      </c>
      <c r="I237" s="20" t="s">
        <v>36</v>
      </c>
      <c r="J237" s="23">
        <f>ROUND(72*1,0)&amp;"%"</f>
      </c>
    </row>
    <row x14ac:dyDescent="0.25" r="238" customHeight="1" ht="17.25">
      <c r="A238" s="17" t="s">
        <v>9973</v>
      </c>
      <c r="B238" s="17" t="s">
        <v>394</v>
      </c>
      <c r="C238" s="17" t="s">
        <v>133</v>
      </c>
      <c r="D238" s="17" t="s">
        <v>39</v>
      </c>
      <c r="E238" s="18">
        <f>ROUND(7554*1.05,2)</f>
      </c>
      <c r="F238" s="17" t="s">
        <v>40</v>
      </c>
      <c r="G238" s="17" t="s">
        <v>24</v>
      </c>
      <c r="H238" s="18">
        <f>ROUND(RAND()*4+6,1)</f>
      </c>
      <c r="I238" s="17" t="s">
        <v>41</v>
      </c>
      <c r="J238" s="19">
        <f>ROUND(65*1,0)&amp;"%"</f>
      </c>
    </row>
    <row x14ac:dyDescent="0.25" r="239" customHeight="1" ht="17.25">
      <c r="A239" s="20" t="s">
        <v>9974</v>
      </c>
      <c r="B239" s="20" t="s">
        <v>396</v>
      </c>
      <c r="C239" s="20" t="s">
        <v>133</v>
      </c>
      <c r="D239" s="20" t="s">
        <v>67</v>
      </c>
      <c r="E239" s="21">
        <f>ROUND(12005*1.05,2)</f>
      </c>
      <c r="F239" s="20" t="s">
        <v>44</v>
      </c>
      <c r="G239" s="20" t="s">
        <v>30</v>
      </c>
      <c r="H239" s="22">
        <f>ROUND(RAND()*4+6,1)</f>
      </c>
      <c r="I239" s="20" t="s">
        <v>45</v>
      </c>
      <c r="J239" s="23">
        <f>ROUND(89*1,0)&amp;"%"</f>
      </c>
    </row>
    <row x14ac:dyDescent="0.25" r="240" customHeight="1" ht="17.25">
      <c r="A240" s="17" t="s">
        <v>9975</v>
      </c>
      <c r="B240" s="17" t="s">
        <v>398</v>
      </c>
      <c r="C240" s="17" t="s">
        <v>133</v>
      </c>
      <c r="D240" s="17" t="s">
        <v>16</v>
      </c>
      <c r="E240" s="18">
        <f>ROUND(15997*1.05,2)</f>
      </c>
      <c r="F240" s="17" t="s">
        <v>48</v>
      </c>
      <c r="G240" s="17" t="s">
        <v>18</v>
      </c>
      <c r="H240" s="18">
        <f>ROUND(RAND()*4+6,1)</f>
      </c>
      <c r="I240" s="17" t="s">
        <v>19</v>
      </c>
      <c r="J240" s="19">
        <f>ROUND(98*1,0)&amp;"%"</f>
      </c>
    </row>
    <row x14ac:dyDescent="0.25" r="241" customHeight="1" ht="17.25">
      <c r="A241" s="20" t="s">
        <v>9976</v>
      </c>
      <c r="B241" s="20" t="s">
        <v>400</v>
      </c>
      <c r="C241" s="20" t="s">
        <v>133</v>
      </c>
      <c r="D241" s="20" t="s">
        <v>22</v>
      </c>
      <c r="E241" s="22">
        <f>ROUND(7800*1.05,2)</f>
      </c>
      <c r="F241" s="20" t="s">
        <v>51</v>
      </c>
      <c r="G241" s="20" t="s">
        <v>24</v>
      </c>
      <c r="H241" s="21">
        <f>ROUND(RAND()*4+6,1)</f>
      </c>
      <c r="I241" s="20" t="s">
        <v>25</v>
      </c>
      <c r="J241" s="23">
        <f>ROUND(82*1,0)&amp;"%"</f>
      </c>
    </row>
    <row x14ac:dyDescent="0.25" r="242" customHeight="1" ht="17.25">
      <c r="A242" s="24" t="s">
        <v>401</v>
      </c>
      <c r="B242" s="24"/>
      <c r="C242" s="24"/>
      <c r="D242" s="24"/>
      <c r="E242" s="25">
        <v>8</v>
      </c>
      <c r="F242" s="9"/>
      <c r="G242" s="9"/>
      <c r="H242" s="10"/>
      <c r="I242" s="9"/>
      <c r="J242" s="9"/>
    </row>
    <row x14ac:dyDescent="0.25" r="243" customHeight="1" ht="17.25">
      <c r="A243" s="7"/>
      <c r="B243" s="7"/>
      <c r="C243" s="7"/>
      <c r="D243" s="7"/>
      <c r="E243" s="8"/>
      <c r="F243" s="9"/>
      <c r="G243" s="9"/>
      <c r="H243" s="10"/>
      <c r="I243" s="9"/>
      <c r="J243" s="9"/>
    </row>
    <row x14ac:dyDescent="0.25" r="244" customHeight="1" ht="17.25">
      <c r="A244" s="11" t="s">
        <v>9977</v>
      </c>
      <c r="B244" s="11"/>
      <c r="C244" s="11"/>
      <c r="D244" s="11"/>
      <c r="E244" s="12"/>
      <c r="F244" s="11"/>
      <c r="G244" s="11"/>
      <c r="H244" s="13"/>
      <c r="I244" s="11"/>
      <c r="J244" s="11"/>
    </row>
    <row x14ac:dyDescent="0.25" r="245" customHeight="1" ht="17.25">
      <c r="A245" s="14" t="s">
        <v>3</v>
      </c>
      <c r="B245" s="14" t="s">
        <v>4</v>
      </c>
      <c r="C245" s="14" t="s">
        <v>5</v>
      </c>
      <c r="D245" s="14" t="s">
        <v>6</v>
      </c>
      <c r="E245" s="15" t="s">
        <v>7</v>
      </c>
      <c r="F245" s="14" t="s">
        <v>8</v>
      </c>
      <c r="G245" s="14" t="s">
        <v>9</v>
      </c>
      <c r="H245" s="16" t="s">
        <v>10</v>
      </c>
      <c r="I245" s="14" t="s">
        <v>11</v>
      </c>
      <c r="J245" s="14" t="s">
        <v>12</v>
      </c>
    </row>
    <row x14ac:dyDescent="0.25" r="246" customHeight="1" ht="17.25">
      <c r="A246" s="17" t="s">
        <v>9978</v>
      </c>
      <c r="B246" s="17" t="s">
        <v>404</v>
      </c>
      <c r="C246" s="17" t="s">
        <v>152</v>
      </c>
      <c r="D246" s="17" t="s">
        <v>16</v>
      </c>
      <c r="E246" s="18">
        <f>ROUND(10777*1.05,2)</f>
      </c>
      <c r="F246" s="17" t="s">
        <v>17</v>
      </c>
      <c r="G246" s="17" t="s">
        <v>18</v>
      </c>
      <c r="H246" s="18">
        <f>ROUND(RAND()*4+6,1)</f>
      </c>
      <c r="I246" s="17" t="s">
        <v>19</v>
      </c>
      <c r="J246" s="19">
        <f>ROUND(83*1,0)&amp;"%"</f>
      </c>
    </row>
    <row x14ac:dyDescent="0.25" r="247" customHeight="1" ht="17.25">
      <c r="A247" s="20" t="s">
        <v>9979</v>
      </c>
      <c r="B247" s="20" t="s">
        <v>406</v>
      </c>
      <c r="C247" s="20" t="s">
        <v>152</v>
      </c>
      <c r="D247" s="20" t="s">
        <v>22</v>
      </c>
      <c r="E247" s="21">
        <f>ROUND(6176*1.05,2)</f>
      </c>
      <c r="F247" s="20" t="s">
        <v>23</v>
      </c>
      <c r="G247" s="20" t="s">
        <v>24</v>
      </c>
      <c r="H247" s="21">
        <f>ROUND(RAND()*4+6,1)</f>
      </c>
      <c r="I247" s="20" t="s">
        <v>25</v>
      </c>
      <c r="J247" s="23">
        <f>ROUND(96*1,0)&amp;"%"</f>
      </c>
    </row>
    <row x14ac:dyDescent="0.25" r="248" customHeight="1" ht="17.25">
      <c r="A248" s="17" t="s">
        <v>9980</v>
      </c>
      <c r="B248" s="17" t="s">
        <v>408</v>
      </c>
      <c r="C248" s="17" t="s">
        <v>152</v>
      </c>
      <c r="D248" s="17" t="s">
        <v>28</v>
      </c>
      <c r="E248" s="18">
        <f>ROUND(17696*1.05,2)</f>
      </c>
      <c r="F248" s="17" t="s">
        <v>29</v>
      </c>
      <c r="G248" s="17" t="s">
        <v>30</v>
      </c>
      <c r="H248" s="18">
        <f>ROUND(RAND()*4+6,1)</f>
      </c>
      <c r="I248" s="17" t="s">
        <v>31</v>
      </c>
      <c r="J248" s="19">
        <f>ROUND(63*1,0)&amp;"%"</f>
      </c>
    </row>
    <row x14ac:dyDescent="0.25" r="249" customHeight="1" ht="17.25">
      <c r="A249" s="20" t="s">
        <v>9981</v>
      </c>
      <c r="B249" s="20" t="s">
        <v>410</v>
      </c>
      <c r="C249" s="20" t="s">
        <v>152</v>
      </c>
      <c r="D249" s="20" t="s">
        <v>34</v>
      </c>
      <c r="E249" s="22">
        <f>ROUND(10660*1.05,2)</f>
      </c>
      <c r="F249" s="20" t="s">
        <v>35</v>
      </c>
      <c r="G249" s="20" t="s">
        <v>18</v>
      </c>
      <c r="H249" s="21">
        <f>ROUND(RAND()*4+6,1)</f>
      </c>
      <c r="I249" s="20" t="s">
        <v>36</v>
      </c>
      <c r="J249" s="23">
        <f>ROUND(76*1,0)&amp;"%"</f>
      </c>
    </row>
    <row x14ac:dyDescent="0.25" r="250" customHeight="1" ht="17.25">
      <c r="A250" s="17" t="s">
        <v>9982</v>
      </c>
      <c r="B250" s="17" t="s">
        <v>412</v>
      </c>
      <c r="C250" s="17" t="s">
        <v>152</v>
      </c>
      <c r="D250" s="17" t="s">
        <v>39</v>
      </c>
      <c r="E250" s="18">
        <f>ROUND(16692*1.05,2)</f>
      </c>
      <c r="F250" s="17" t="s">
        <v>40</v>
      </c>
      <c r="G250" s="17" t="s">
        <v>24</v>
      </c>
      <c r="H250" s="18">
        <f>ROUND(RAND()*4+6,1)</f>
      </c>
      <c r="I250" s="17" t="s">
        <v>41</v>
      </c>
      <c r="J250" s="19">
        <f>ROUND(99*1,0)&amp;"%"</f>
      </c>
    </row>
    <row x14ac:dyDescent="0.25" r="251" customHeight="1" ht="17.25">
      <c r="A251" s="20" t="s">
        <v>9983</v>
      </c>
      <c r="B251" s="20" t="s">
        <v>414</v>
      </c>
      <c r="C251" s="20" t="s">
        <v>152</v>
      </c>
      <c r="D251" s="20" t="s">
        <v>67</v>
      </c>
      <c r="E251" s="21">
        <f>ROUND(8989*1.05,2)</f>
      </c>
      <c r="F251" s="20" t="s">
        <v>44</v>
      </c>
      <c r="G251" s="20" t="s">
        <v>30</v>
      </c>
      <c r="H251" s="21">
        <f>ROUND(RAND()*4+6,1)</f>
      </c>
      <c r="I251" s="20" t="s">
        <v>45</v>
      </c>
      <c r="J251" s="23">
        <f>ROUND(63*1,0)&amp;"%"</f>
      </c>
    </row>
    <row x14ac:dyDescent="0.25" r="252" customHeight="1" ht="17.25">
      <c r="A252" s="17" t="s">
        <v>9984</v>
      </c>
      <c r="B252" s="17" t="s">
        <v>416</v>
      </c>
      <c r="C252" s="17" t="s">
        <v>152</v>
      </c>
      <c r="D252" s="17" t="s">
        <v>16</v>
      </c>
      <c r="E252" s="18">
        <f>ROUND(9396*1.05,2)</f>
      </c>
      <c r="F252" s="17" t="s">
        <v>48</v>
      </c>
      <c r="G252" s="17" t="s">
        <v>18</v>
      </c>
      <c r="H252" s="18">
        <f>ROUND(RAND()*4+6,1)</f>
      </c>
      <c r="I252" s="17" t="s">
        <v>19</v>
      </c>
      <c r="J252" s="19">
        <f>ROUND(82*1,0)&amp;"%"</f>
      </c>
    </row>
    <row x14ac:dyDescent="0.25" r="253" customHeight="1" ht="17.25">
      <c r="A253" s="20" t="s">
        <v>9985</v>
      </c>
      <c r="B253" s="20" t="s">
        <v>418</v>
      </c>
      <c r="C253" s="20" t="s">
        <v>152</v>
      </c>
      <c r="D253" s="20" t="s">
        <v>22</v>
      </c>
      <c r="E253" s="21">
        <f>ROUND(8521*1.05,2)</f>
      </c>
      <c r="F253" s="20" t="s">
        <v>51</v>
      </c>
      <c r="G253" s="20" t="s">
        <v>24</v>
      </c>
      <c r="H253" s="21">
        <f>ROUND(RAND()*4+6,1)</f>
      </c>
      <c r="I253" s="20" t="s">
        <v>25</v>
      </c>
      <c r="J253" s="23">
        <f>ROUND(63*1,0)&amp;"%"</f>
      </c>
    </row>
    <row x14ac:dyDescent="0.25" r="254" customHeight="1" ht="17.25">
      <c r="A254" s="24" t="s">
        <v>419</v>
      </c>
      <c r="B254" s="24"/>
      <c r="C254" s="24"/>
      <c r="D254" s="24"/>
      <c r="E254" s="25">
        <v>8</v>
      </c>
      <c r="F254" s="9"/>
      <c r="G254" s="9"/>
      <c r="H254" s="10"/>
      <c r="I254" s="9"/>
      <c r="J254" s="9"/>
    </row>
    <row x14ac:dyDescent="0.25" r="255" customHeight="1" ht="17.25">
      <c r="A255" s="7"/>
      <c r="B255" s="7"/>
      <c r="C255" s="7"/>
      <c r="D255" s="7"/>
      <c r="E255" s="8"/>
      <c r="F255" s="9"/>
      <c r="G255" s="9"/>
      <c r="H255" s="10"/>
      <c r="I255" s="9"/>
      <c r="J255" s="9"/>
    </row>
    <row x14ac:dyDescent="0.25" r="256" customHeight="1" ht="17.25">
      <c r="A256" s="11" t="s">
        <v>9986</v>
      </c>
      <c r="B256" s="11"/>
      <c r="C256" s="11"/>
      <c r="D256" s="11"/>
      <c r="E256" s="12"/>
      <c r="F256" s="11"/>
      <c r="G256" s="11"/>
      <c r="H256" s="13"/>
      <c r="I256" s="11"/>
      <c r="J256" s="11"/>
    </row>
    <row x14ac:dyDescent="0.25" r="257" customHeight="1" ht="17.25">
      <c r="A257" s="14" t="s">
        <v>3</v>
      </c>
      <c r="B257" s="14" t="s">
        <v>4</v>
      </c>
      <c r="C257" s="14" t="s">
        <v>5</v>
      </c>
      <c r="D257" s="14" t="s">
        <v>6</v>
      </c>
      <c r="E257" s="15" t="s">
        <v>7</v>
      </c>
      <c r="F257" s="14" t="s">
        <v>8</v>
      </c>
      <c r="G257" s="14" t="s">
        <v>9</v>
      </c>
      <c r="H257" s="16" t="s">
        <v>10</v>
      </c>
      <c r="I257" s="14" t="s">
        <v>11</v>
      </c>
      <c r="J257" s="14" t="s">
        <v>12</v>
      </c>
    </row>
    <row x14ac:dyDescent="0.25" r="258" customHeight="1" ht="17.25">
      <c r="A258" s="17" t="s">
        <v>9987</v>
      </c>
      <c r="B258" s="17" t="s">
        <v>422</v>
      </c>
      <c r="C258" s="17" t="s">
        <v>15</v>
      </c>
      <c r="D258" s="17" t="s">
        <v>16</v>
      </c>
      <c r="E258" s="18">
        <f>ROUND(8285*1.05,2)</f>
      </c>
      <c r="F258" s="17" t="s">
        <v>17</v>
      </c>
      <c r="G258" s="17" t="s">
        <v>18</v>
      </c>
      <c r="H258" s="18">
        <f>ROUND(RAND()*4+6,1)</f>
      </c>
      <c r="I258" s="17" t="s">
        <v>19</v>
      </c>
      <c r="J258" s="19">
        <f>ROUND(73*1,0)&amp;"%"</f>
      </c>
    </row>
    <row x14ac:dyDescent="0.25" r="259" customHeight="1" ht="17.25">
      <c r="A259" s="20" t="s">
        <v>9988</v>
      </c>
      <c r="B259" s="20" t="s">
        <v>424</v>
      </c>
      <c r="C259" s="20" t="s">
        <v>15</v>
      </c>
      <c r="D259" s="20" t="s">
        <v>22</v>
      </c>
      <c r="E259" s="21">
        <f>ROUND(12588*1.05,2)</f>
      </c>
      <c r="F259" s="20" t="s">
        <v>23</v>
      </c>
      <c r="G259" s="20" t="s">
        <v>24</v>
      </c>
      <c r="H259" s="21">
        <f>ROUND(RAND()*4+6,1)</f>
      </c>
      <c r="I259" s="20" t="s">
        <v>25</v>
      </c>
      <c r="J259" s="23">
        <f>ROUND(72*1,0)&amp;"%"</f>
      </c>
    </row>
    <row x14ac:dyDescent="0.25" r="260" customHeight="1" ht="17.25">
      <c r="A260" s="17" t="s">
        <v>9989</v>
      </c>
      <c r="B260" s="17" t="s">
        <v>426</v>
      </c>
      <c r="C260" s="17" t="s">
        <v>15</v>
      </c>
      <c r="D260" s="17" t="s">
        <v>28</v>
      </c>
      <c r="E260" s="18">
        <f>ROUND(8770*1.05,2)</f>
      </c>
      <c r="F260" s="17" t="s">
        <v>29</v>
      </c>
      <c r="G260" s="17" t="s">
        <v>30</v>
      </c>
      <c r="H260" s="18">
        <f>ROUND(RAND()*4+6,1)</f>
      </c>
      <c r="I260" s="17" t="s">
        <v>31</v>
      </c>
      <c r="J260" s="19">
        <f>ROUND(100*1,0)&amp;"%"</f>
      </c>
    </row>
    <row x14ac:dyDescent="0.25" r="261" customHeight="1" ht="17.25">
      <c r="A261" s="20" t="s">
        <v>9990</v>
      </c>
      <c r="B261" s="20" t="s">
        <v>428</v>
      </c>
      <c r="C261" s="20" t="s">
        <v>15</v>
      </c>
      <c r="D261" s="20" t="s">
        <v>34</v>
      </c>
      <c r="E261" s="21">
        <f>ROUND(17162*1.05,2)</f>
      </c>
      <c r="F261" s="20" t="s">
        <v>35</v>
      </c>
      <c r="G261" s="20" t="s">
        <v>18</v>
      </c>
      <c r="H261" s="21">
        <f>ROUND(RAND()*4+6,1)</f>
      </c>
      <c r="I261" s="20" t="s">
        <v>36</v>
      </c>
      <c r="J261" s="23">
        <f>ROUND(92*1,0)&amp;"%"</f>
      </c>
    </row>
    <row x14ac:dyDescent="0.25" r="262" customHeight="1" ht="17.25">
      <c r="A262" s="17" t="s">
        <v>9991</v>
      </c>
      <c r="B262" s="17" t="s">
        <v>430</v>
      </c>
      <c r="C262" s="17" t="s">
        <v>15</v>
      </c>
      <c r="D262" s="17" t="s">
        <v>39</v>
      </c>
      <c r="E262" s="18">
        <f>ROUND(16867*1.05,2)</f>
      </c>
      <c r="F262" s="17" t="s">
        <v>40</v>
      </c>
      <c r="G262" s="17" t="s">
        <v>24</v>
      </c>
      <c r="H262" s="26">
        <f>ROUND(RAND()*4+6,1)</f>
      </c>
      <c r="I262" s="17" t="s">
        <v>41</v>
      </c>
      <c r="J262" s="19">
        <f>ROUND(67*1,0)&amp;"%"</f>
      </c>
    </row>
    <row x14ac:dyDescent="0.25" r="263" customHeight="1" ht="17.25">
      <c r="A263" s="20" t="s">
        <v>9992</v>
      </c>
      <c r="B263" s="20" t="s">
        <v>432</v>
      </c>
      <c r="C263" s="20" t="s">
        <v>15</v>
      </c>
      <c r="D263" s="20" t="s">
        <v>67</v>
      </c>
      <c r="E263" s="21">
        <f>ROUND(13799*1.05,2)</f>
      </c>
      <c r="F263" s="20" t="s">
        <v>44</v>
      </c>
      <c r="G263" s="20" t="s">
        <v>30</v>
      </c>
      <c r="H263" s="21">
        <f>ROUND(RAND()*4+6,1)</f>
      </c>
      <c r="I263" s="20" t="s">
        <v>45</v>
      </c>
      <c r="J263" s="23">
        <f>ROUND(95*1,0)&amp;"%"</f>
      </c>
    </row>
    <row x14ac:dyDescent="0.25" r="264" customHeight="1" ht="17.25">
      <c r="A264" s="17" t="s">
        <v>9993</v>
      </c>
      <c r="B264" s="17" t="s">
        <v>434</v>
      </c>
      <c r="C264" s="17" t="s">
        <v>15</v>
      </c>
      <c r="D264" s="17" t="s">
        <v>16</v>
      </c>
      <c r="E264" s="18">
        <f>ROUND(4055*1.05,2)</f>
      </c>
      <c r="F264" s="17" t="s">
        <v>48</v>
      </c>
      <c r="G264" s="17" t="s">
        <v>18</v>
      </c>
      <c r="H264" s="18">
        <f>ROUND(RAND()*4+6,1)</f>
      </c>
      <c r="I264" s="17" t="s">
        <v>19</v>
      </c>
      <c r="J264" s="19">
        <f>ROUND(83*1,0)&amp;"%"</f>
      </c>
    </row>
    <row x14ac:dyDescent="0.25" r="265" customHeight="1" ht="17.25">
      <c r="A265" s="20" t="s">
        <v>9994</v>
      </c>
      <c r="B265" s="20" t="s">
        <v>436</v>
      </c>
      <c r="C265" s="20" t="s">
        <v>15</v>
      </c>
      <c r="D265" s="20" t="s">
        <v>22</v>
      </c>
      <c r="E265" s="21">
        <f>ROUND(14106*1.05,2)</f>
      </c>
      <c r="F265" s="20" t="s">
        <v>51</v>
      </c>
      <c r="G265" s="20" t="s">
        <v>24</v>
      </c>
      <c r="H265" s="21">
        <f>ROUND(RAND()*4+6,1)</f>
      </c>
      <c r="I265" s="20" t="s">
        <v>25</v>
      </c>
      <c r="J265" s="23">
        <f>ROUND(95*1,0)&amp;"%"</f>
      </c>
    </row>
    <row x14ac:dyDescent="0.25" r="266" customHeight="1" ht="17.25">
      <c r="A266" s="24" t="s">
        <v>437</v>
      </c>
      <c r="B266" s="24"/>
      <c r="C266" s="24"/>
      <c r="D266" s="24"/>
      <c r="E266" s="25">
        <v>8</v>
      </c>
      <c r="F266" s="9"/>
      <c r="G266" s="9"/>
      <c r="H266" s="10"/>
      <c r="I266" s="9"/>
      <c r="J266" s="9"/>
    </row>
    <row x14ac:dyDescent="0.25" r="267" customHeight="1" ht="17.25">
      <c r="A267" s="7"/>
      <c r="B267" s="7"/>
      <c r="C267" s="7"/>
      <c r="D267" s="7"/>
      <c r="E267" s="8"/>
      <c r="F267" s="9"/>
      <c r="G267" s="9"/>
      <c r="H267" s="10"/>
      <c r="I267" s="9"/>
      <c r="J267" s="9"/>
    </row>
    <row x14ac:dyDescent="0.25" r="268" customHeight="1" ht="17.25">
      <c r="A268" s="11" t="s">
        <v>9995</v>
      </c>
      <c r="B268" s="11"/>
      <c r="C268" s="11"/>
      <c r="D268" s="11"/>
      <c r="E268" s="12"/>
      <c r="F268" s="11"/>
      <c r="G268" s="11"/>
      <c r="H268" s="13"/>
      <c r="I268" s="11"/>
      <c r="J268" s="11"/>
    </row>
    <row x14ac:dyDescent="0.25" r="269" customHeight="1" ht="17.25">
      <c r="A269" s="14" t="s">
        <v>3</v>
      </c>
      <c r="B269" s="14" t="s">
        <v>4</v>
      </c>
      <c r="C269" s="14" t="s">
        <v>5</v>
      </c>
      <c r="D269" s="14" t="s">
        <v>6</v>
      </c>
      <c r="E269" s="15" t="s">
        <v>7</v>
      </c>
      <c r="F269" s="14" t="s">
        <v>8</v>
      </c>
      <c r="G269" s="14" t="s">
        <v>9</v>
      </c>
      <c r="H269" s="16" t="s">
        <v>10</v>
      </c>
      <c r="I269" s="14" t="s">
        <v>11</v>
      </c>
      <c r="J269" s="14" t="s">
        <v>12</v>
      </c>
    </row>
    <row x14ac:dyDescent="0.25" r="270" customHeight="1" ht="17.25">
      <c r="A270" s="17" t="s">
        <v>9996</v>
      </c>
      <c r="B270" s="17" t="s">
        <v>440</v>
      </c>
      <c r="C270" s="17" t="s">
        <v>56</v>
      </c>
      <c r="D270" s="17" t="s">
        <v>16</v>
      </c>
      <c r="E270" s="18">
        <f>ROUND(13981*1.05,2)</f>
      </c>
      <c r="F270" s="17" t="s">
        <v>17</v>
      </c>
      <c r="G270" s="17" t="s">
        <v>18</v>
      </c>
      <c r="H270" s="18">
        <f>ROUND(RAND()*4+6,1)</f>
      </c>
      <c r="I270" s="17" t="s">
        <v>19</v>
      </c>
      <c r="J270" s="19">
        <f>ROUND(74*1,0)&amp;"%"</f>
      </c>
    </row>
    <row x14ac:dyDescent="0.25" r="271" customHeight="1" ht="17.25">
      <c r="A271" s="20" t="s">
        <v>9997</v>
      </c>
      <c r="B271" s="20" t="s">
        <v>442</v>
      </c>
      <c r="C271" s="20" t="s">
        <v>56</v>
      </c>
      <c r="D271" s="20" t="s">
        <v>22</v>
      </c>
      <c r="E271" s="21">
        <f>ROUND(13065*1.05,2)</f>
      </c>
      <c r="F271" s="20" t="s">
        <v>23</v>
      </c>
      <c r="G271" s="20" t="s">
        <v>24</v>
      </c>
      <c r="H271" s="21">
        <f>ROUND(RAND()*4+6,1)</f>
      </c>
      <c r="I271" s="20" t="s">
        <v>25</v>
      </c>
      <c r="J271" s="23">
        <f>ROUND(99*1,0)&amp;"%"</f>
      </c>
    </row>
    <row x14ac:dyDescent="0.25" r="272" customHeight="1" ht="17.25">
      <c r="A272" s="17" t="s">
        <v>9998</v>
      </c>
      <c r="B272" s="17" t="s">
        <v>444</v>
      </c>
      <c r="C272" s="17" t="s">
        <v>56</v>
      </c>
      <c r="D272" s="17" t="s">
        <v>28</v>
      </c>
      <c r="E272" s="18">
        <f>ROUND(16621*1.05,2)</f>
      </c>
      <c r="F272" s="17" t="s">
        <v>29</v>
      </c>
      <c r="G272" s="17" t="s">
        <v>30</v>
      </c>
      <c r="H272" s="18">
        <f>ROUND(RAND()*4+6,1)</f>
      </c>
      <c r="I272" s="17" t="s">
        <v>31</v>
      </c>
      <c r="J272" s="19">
        <f>ROUND(79*1,0)&amp;"%"</f>
      </c>
    </row>
    <row x14ac:dyDescent="0.25" r="273" customHeight="1" ht="17.25">
      <c r="A273" s="20" t="s">
        <v>9999</v>
      </c>
      <c r="B273" s="20" t="s">
        <v>446</v>
      </c>
      <c r="C273" s="20" t="s">
        <v>56</v>
      </c>
      <c r="D273" s="20" t="s">
        <v>34</v>
      </c>
      <c r="E273" s="21">
        <f>ROUND(12821*1.05,2)</f>
      </c>
      <c r="F273" s="20" t="s">
        <v>35</v>
      </c>
      <c r="G273" s="20" t="s">
        <v>18</v>
      </c>
      <c r="H273" s="21">
        <f>ROUND(RAND()*4+6,1)</f>
      </c>
      <c r="I273" s="20" t="s">
        <v>36</v>
      </c>
      <c r="J273" s="23">
        <f>ROUND(82*1,0)&amp;"%"</f>
      </c>
    </row>
    <row x14ac:dyDescent="0.25" r="274" customHeight="1" ht="17.25">
      <c r="A274" s="17" t="s">
        <v>10000</v>
      </c>
      <c r="B274" s="17" t="s">
        <v>448</v>
      </c>
      <c r="C274" s="17" t="s">
        <v>56</v>
      </c>
      <c r="D274" s="17" t="s">
        <v>39</v>
      </c>
      <c r="E274" s="18">
        <f>ROUND(5161*1.05,2)</f>
      </c>
      <c r="F274" s="17" t="s">
        <v>40</v>
      </c>
      <c r="G274" s="17" t="s">
        <v>24</v>
      </c>
      <c r="H274" s="18">
        <f>ROUND(RAND()*4+6,1)</f>
      </c>
      <c r="I274" s="17" t="s">
        <v>41</v>
      </c>
      <c r="J274" s="19">
        <f>ROUND(72*1,0)&amp;"%"</f>
      </c>
    </row>
    <row x14ac:dyDescent="0.25" r="275" customHeight="1" ht="17.25">
      <c r="A275" s="20" t="s">
        <v>10001</v>
      </c>
      <c r="B275" s="20" t="s">
        <v>450</v>
      </c>
      <c r="C275" s="20" t="s">
        <v>56</v>
      </c>
      <c r="D275" s="20" t="s">
        <v>67</v>
      </c>
      <c r="E275" s="21">
        <f>ROUND(6804*1.05,2)</f>
      </c>
      <c r="F275" s="20" t="s">
        <v>44</v>
      </c>
      <c r="G275" s="20" t="s">
        <v>30</v>
      </c>
      <c r="H275" s="22">
        <f>ROUND(RAND()*4+6,1)</f>
      </c>
      <c r="I275" s="20" t="s">
        <v>45</v>
      </c>
      <c r="J275" s="23">
        <f>ROUND(71*1,0)&amp;"%"</f>
      </c>
    </row>
    <row x14ac:dyDescent="0.25" r="276" customHeight="1" ht="17.25">
      <c r="A276" s="17" t="s">
        <v>10002</v>
      </c>
      <c r="B276" s="17" t="s">
        <v>452</v>
      </c>
      <c r="C276" s="17" t="s">
        <v>56</v>
      </c>
      <c r="D276" s="17" t="s">
        <v>16</v>
      </c>
      <c r="E276" s="26">
        <f>ROUND(12960*1.05,2)</f>
      </c>
      <c r="F276" s="17" t="s">
        <v>48</v>
      </c>
      <c r="G276" s="17" t="s">
        <v>18</v>
      </c>
      <c r="H276" s="18">
        <f>ROUND(RAND()*4+6,1)</f>
      </c>
      <c r="I276" s="17" t="s">
        <v>19</v>
      </c>
      <c r="J276" s="19">
        <f>ROUND(99*1,0)&amp;"%"</f>
      </c>
    </row>
    <row x14ac:dyDescent="0.25" r="277" customHeight="1" ht="17.25">
      <c r="A277" s="20" t="s">
        <v>10003</v>
      </c>
      <c r="B277" s="20" t="s">
        <v>454</v>
      </c>
      <c r="C277" s="20" t="s">
        <v>56</v>
      </c>
      <c r="D277" s="20" t="s">
        <v>22</v>
      </c>
      <c r="E277" s="21">
        <f>ROUND(9977*1.05,2)</f>
      </c>
      <c r="F277" s="20" t="s">
        <v>51</v>
      </c>
      <c r="G277" s="20" t="s">
        <v>24</v>
      </c>
      <c r="H277" s="21">
        <f>ROUND(RAND()*4+6,1)</f>
      </c>
      <c r="I277" s="20" t="s">
        <v>25</v>
      </c>
      <c r="J277" s="23">
        <f>ROUND(84*1,0)&amp;"%"</f>
      </c>
    </row>
    <row x14ac:dyDescent="0.25" r="278" customHeight="1" ht="17.25">
      <c r="A278" s="24" t="s">
        <v>455</v>
      </c>
      <c r="B278" s="24"/>
      <c r="C278" s="24"/>
      <c r="D278" s="24"/>
      <c r="E278" s="25">
        <v>8</v>
      </c>
      <c r="F278" s="9"/>
      <c r="G278" s="9"/>
      <c r="H278" s="10"/>
      <c r="I278" s="9"/>
      <c r="J278" s="9"/>
    </row>
    <row x14ac:dyDescent="0.25" r="279" customHeight="1" ht="17.25">
      <c r="A279" s="7"/>
      <c r="B279" s="7"/>
      <c r="C279" s="7"/>
      <c r="D279" s="7"/>
      <c r="E279" s="8"/>
      <c r="F279" s="9"/>
      <c r="G279" s="9"/>
      <c r="H279" s="10"/>
      <c r="I279" s="9"/>
      <c r="J279" s="9"/>
    </row>
    <row x14ac:dyDescent="0.25" r="280" customHeight="1" ht="17.25">
      <c r="A280" s="11" t="s">
        <v>10004</v>
      </c>
      <c r="B280" s="11"/>
      <c r="C280" s="11"/>
      <c r="D280" s="11"/>
      <c r="E280" s="12"/>
      <c r="F280" s="11"/>
      <c r="G280" s="11"/>
      <c r="H280" s="13"/>
      <c r="I280" s="11"/>
      <c r="J280" s="11"/>
    </row>
    <row x14ac:dyDescent="0.25" r="281" customHeight="1" ht="17.25">
      <c r="A281" s="14" t="s">
        <v>3</v>
      </c>
      <c r="B281" s="14" t="s">
        <v>4</v>
      </c>
      <c r="C281" s="14" t="s">
        <v>5</v>
      </c>
      <c r="D281" s="14" t="s">
        <v>6</v>
      </c>
      <c r="E281" s="15" t="s">
        <v>7</v>
      </c>
      <c r="F281" s="14" t="s">
        <v>8</v>
      </c>
      <c r="G281" s="14" t="s">
        <v>9</v>
      </c>
      <c r="H281" s="16" t="s">
        <v>10</v>
      </c>
      <c r="I281" s="14" t="s">
        <v>11</v>
      </c>
      <c r="J281" s="14" t="s">
        <v>12</v>
      </c>
    </row>
    <row x14ac:dyDescent="0.25" r="282" customHeight="1" ht="17.25">
      <c r="A282" s="17" t="s">
        <v>10005</v>
      </c>
      <c r="B282" s="17" t="s">
        <v>458</v>
      </c>
      <c r="C282" s="17" t="s">
        <v>76</v>
      </c>
      <c r="D282" s="17" t="s">
        <v>16</v>
      </c>
      <c r="E282" s="18">
        <f>ROUND(11952*1.05,2)</f>
      </c>
      <c r="F282" s="17" t="s">
        <v>17</v>
      </c>
      <c r="G282" s="17" t="s">
        <v>18</v>
      </c>
      <c r="H282" s="18">
        <f>ROUND(RAND()*4+6,1)</f>
      </c>
      <c r="I282" s="17" t="s">
        <v>19</v>
      </c>
      <c r="J282" s="19">
        <f>ROUND(87*1,0)&amp;"%"</f>
      </c>
    </row>
    <row x14ac:dyDescent="0.25" r="283" customHeight="1" ht="17.25">
      <c r="A283" s="20" t="s">
        <v>10006</v>
      </c>
      <c r="B283" s="20" t="s">
        <v>460</v>
      </c>
      <c r="C283" s="20" t="s">
        <v>76</v>
      </c>
      <c r="D283" s="20" t="s">
        <v>22</v>
      </c>
      <c r="E283" s="21">
        <f>ROUND(6822*1.05,2)</f>
      </c>
      <c r="F283" s="20" t="s">
        <v>23</v>
      </c>
      <c r="G283" s="20" t="s">
        <v>24</v>
      </c>
      <c r="H283" s="21">
        <f>ROUND(RAND()*4+6,1)</f>
      </c>
      <c r="I283" s="20" t="s">
        <v>25</v>
      </c>
      <c r="J283" s="23">
        <f>ROUND(75*1,0)&amp;"%"</f>
      </c>
    </row>
    <row x14ac:dyDescent="0.25" r="284" customHeight="1" ht="17.25">
      <c r="A284" s="17" t="s">
        <v>10007</v>
      </c>
      <c r="B284" s="17" t="s">
        <v>462</v>
      </c>
      <c r="C284" s="17" t="s">
        <v>76</v>
      </c>
      <c r="D284" s="17" t="s">
        <v>28</v>
      </c>
      <c r="E284" s="18">
        <f>ROUND(13765*1.05,2)</f>
      </c>
      <c r="F284" s="17" t="s">
        <v>29</v>
      </c>
      <c r="G284" s="17" t="s">
        <v>30</v>
      </c>
      <c r="H284" s="18">
        <f>ROUND(RAND()*4+6,1)</f>
      </c>
      <c r="I284" s="17" t="s">
        <v>31</v>
      </c>
      <c r="J284" s="19">
        <f>ROUND(84*1,0)&amp;"%"</f>
      </c>
    </row>
    <row x14ac:dyDescent="0.25" r="285" customHeight="1" ht="17.25">
      <c r="A285" s="20" t="s">
        <v>10008</v>
      </c>
      <c r="B285" s="20" t="s">
        <v>464</v>
      </c>
      <c r="C285" s="20" t="s">
        <v>76</v>
      </c>
      <c r="D285" s="20" t="s">
        <v>34</v>
      </c>
      <c r="E285" s="21">
        <f>ROUND(11679*1.05,2)</f>
      </c>
      <c r="F285" s="20" t="s">
        <v>35</v>
      </c>
      <c r="G285" s="20" t="s">
        <v>18</v>
      </c>
      <c r="H285" s="21">
        <f>ROUND(RAND()*4+6,1)</f>
      </c>
      <c r="I285" s="20" t="s">
        <v>36</v>
      </c>
      <c r="J285" s="23">
        <f>ROUND(76*1,0)&amp;"%"</f>
      </c>
    </row>
    <row x14ac:dyDescent="0.25" r="286" customHeight="1" ht="17.25">
      <c r="A286" s="17" t="s">
        <v>10009</v>
      </c>
      <c r="B286" s="17" t="s">
        <v>466</v>
      </c>
      <c r="C286" s="17" t="s">
        <v>76</v>
      </c>
      <c r="D286" s="17" t="s">
        <v>39</v>
      </c>
      <c r="E286" s="18">
        <f>ROUND(5739*1.05,2)</f>
      </c>
      <c r="F286" s="17" t="s">
        <v>40</v>
      </c>
      <c r="G286" s="17" t="s">
        <v>24</v>
      </c>
      <c r="H286" s="18">
        <f>ROUND(RAND()*4+6,1)</f>
      </c>
      <c r="I286" s="17" t="s">
        <v>41</v>
      </c>
      <c r="J286" s="19">
        <f>ROUND(71*1,0)&amp;"%"</f>
      </c>
    </row>
    <row x14ac:dyDescent="0.25" r="287" customHeight="1" ht="17.25">
      <c r="A287" s="20" t="s">
        <v>10010</v>
      </c>
      <c r="B287" s="20" t="s">
        <v>468</v>
      </c>
      <c r="C287" s="20" t="s">
        <v>76</v>
      </c>
      <c r="D287" s="20" t="s">
        <v>67</v>
      </c>
      <c r="E287" s="21">
        <f>ROUND(8868*1.05,2)</f>
      </c>
      <c r="F287" s="20" t="s">
        <v>44</v>
      </c>
      <c r="G287" s="20" t="s">
        <v>30</v>
      </c>
      <c r="H287" s="21">
        <f>ROUND(RAND()*4+6,1)</f>
      </c>
      <c r="I287" s="20" t="s">
        <v>45</v>
      </c>
      <c r="J287" s="23">
        <f>ROUND(90*1,0)&amp;"%"</f>
      </c>
    </row>
    <row x14ac:dyDescent="0.25" r="288" customHeight="1" ht="17.25">
      <c r="A288" s="17" t="s">
        <v>10011</v>
      </c>
      <c r="B288" s="17" t="s">
        <v>470</v>
      </c>
      <c r="C288" s="17" t="s">
        <v>76</v>
      </c>
      <c r="D288" s="17" t="s">
        <v>16</v>
      </c>
      <c r="E288" s="18">
        <f>ROUND(4355*1.05,2)</f>
      </c>
      <c r="F288" s="17" t="s">
        <v>48</v>
      </c>
      <c r="G288" s="17" t="s">
        <v>18</v>
      </c>
      <c r="H288" s="18">
        <f>ROUND(RAND()*4+6,1)</f>
      </c>
      <c r="I288" s="17" t="s">
        <v>19</v>
      </c>
      <c r="J288" s="19">
        <f>ROUND(71*1,0)&amp;"%"</f>
      </c>
    </row>
    <row x14ac:dyDescent="0.25" r="289" customHeight="1" ht="17.25">
      <c r="A289" s="20" t="s">
        <v>10012</v>
      </c>
      <c r="B289" s="20" t="s">
        <v>472</v>
      </c>
      <c r="C289" s="20" t="s">
        <v>76</v>
      </c>
      <c r="D289" s="20" t="s">
        <v>22</v>
      </c>
      <c r="E289" s="21">
        <f>ROUND(12777*1.05,2)</f>
      </c>
      <c r="F289" s="20" t="s">
        <v>51</v>
      </c>
      <c r="G289" s="20" t="s">
        <v>24</v>
      </c>
      <c r="H289" s="21">
        <f>ROUND(RAND()*4+6,1)</f>
      </c>
      <c r="I289" s="20" t="s">
        <v>25</v>
      </c>
      <c r="J289" s="23">
        <f>ROUND(81*1,0)&amp;"%"</f>
      </c>
    </row>
    <row x14ac:dyDescent="0.25" r="290" customHeight="1" ht="17.25">
      <c r="A290" s="24" t="s">
        <v>473</v>
      </c>
      <c r="B290" s="24"/>
      <c r="C290" s="24"/>
      <c r="D290" s="24"/>
      <c r="E290" s="25">
        <v>8</v>
      </c>
      <c r="F290" s="9"/>
      <c r="G290" s="9"/>
      <c r="H290" s="10"/>
      <c r="I290" s="9"/>
      <c r="J290" s="9"/>
    </row>
    <row x14ac:dyDescent="0.25" r="291" customHeight="1" ht="17.25">
      <c r="A291" s="7"/>
      <c r="B291" s="7"/>
      <c r="C291" s="7"/>
      <c r="D291" s="7"/>
      <c r="E291" s="8"/>
      <c r="F291" s="9"/>
      <c r="G291" s="9"/>
      <c r="H291" s="10"/>
      <c r="I291" s="9"/>
      <c r="J291" s="9"/>
    </row>
    <row x14ac:dyDescent="0.25" r="292" customHeight="1" ht="17.25">
      <c r="A292" s="11" t="s">
        <v>10013</v>
      </c>
      <c r="B292" s="11"/>
      <c r="C292" s="11"/>
      <c r="D292" s="11"/>
      <c r="E292" s="12"/>
      <c r="F292" s="11"/>
      <c r="G292" s="11"/>
      <c r="H292" s="13"/>
      <c r="I292" s="11"/>
      <c r="J292" s="11"/>
    </row>
    <row x14ac:dyDescent="0.25" r="293" customHeight="1" ht="17.25">
      <c r="A293" s="14" t="s">
        <v>3</v>
      </c>
      <c r="B293" s="14" t="s">
        <v>4</v>
      </c>
      <c r="C293" s="14" t="s">
        <v>5</v>
      </c>
      <c r="D293" s="14" t="s">
        <v>6</v>
      </c>
      <c r="E293" s="15" t="s">
        <v>7</v>
      </c>
      <c r="F293" s="14" t="s">
        <v>8</v>
      </c>
      <c r="G293" s="14" t="s">
        <v>9</v>
      </c>
      <c r="H293" s="16" t="s">
        <v>10</v>
      </c>
      <c r="I293" s="14" t="s">
        <v>11</v>
      </c>
      <c r="J293" s="14" t="s">
        <v>12</v>
      </c>
    </row>
    <row x14ac:dyDescent="0.25" r="294" customHeight="1" ht="17.25">
      <c r="A294" s="17" t="s">
        <v>10014</v>
      </c>
      <c r="B294" s="17" t="s">
        <v>476</v>
      </c>
      <c r="C294" s="17" t="s">
        <v>95</v>
      </c>
      <c r="D294" s="17" t="s">
        <v>16</v>
      </c>
      <c r="E294" s="18">
        <f>ROUND(7764*1.05,2)</f>
      </c>
      <c r="F294" s="17" t="s">
        <v>17</v>
      </c>
      <c r="G294" s="17" t="s">
        <v>18</v>
      </c>
      <c r="H294" s="18">
        <f>ROUND(RAND()*4+6,1)</f>
      </c>
      <c r="I294" s="17" t="s">
        <v>19</v>
      </c>
      <c r="J294" s="19">
        <f>ROUND(65*1,0)&amp;"%"</f>
      </c>
    </row>
    <row x14ac:dyDescent="0.25" r="295" customHeight="1" ht="17.25">
      <c r="A295" s="20" t="s">
        <v>10015</v>
      </c>
      <c r="B295" s="20" t="s">
        <v>478</v>
      </c>
      <c r="C295" s="20" t="s">
        <v>95</v>
      </c>
      <c r="D295" s="20" t="s">
        <v>22</v>
      </c>
      <c r="E295" s="21">
        <f>ROUND(17779*1.05,2)</f>
      </c>
      <c r="F295" s="20" t="s">
        <v>23</v>
      </c>
      <c r="G295" s="20" t="s">
        <v>24</v>
      </c>
      <c r="H295" s="21">
        <f>ROUND(RAND()*4+6,1)</f>
      </c>
      <c r="I295" s="20" t="s">
        <v>25</v>
      </c>
      <c r="J295" s="23">
        <f>ROUND(86*1,0)&amp;"%"</f>
      </c>
    </row>
    <row x14ac:dyDescent="0.25" r="296" customHeight="1" ht="17.25">
      <c r="A296" s="17" t="s">
        <v>10016</v>
      </c>
      <c r="B296" s="17" t="s">
        <v>480</v>
      </c>
      <c r="C296" s="17" t="s">
        <v>95</v>
      </c>
      <c r="D296" s="17" t="s">
        <v>28</v>
      </c>
      <c r="E296" s="18">
        <f>ROUND(11879*1.05,2)</f>
      </c>
      <c r="F296" s="17" t="s">
        <v>29</v>
      </c>
      <c r="G296" s="17" t="s">
        <v>30</v>
      </c>
      <c r="H296" s="18">
        <f>ROUND(RAND()*4+6,1)</f>
      </c>
      <c r="I296" s="17" t="s">
        <v>31</v>
      </c>
      <c r="J296" s="19">
        <f>ROUND(97*1,0)&amp;"%"</f>
      </c>
    </row>
    <row x14ac:dyDescent="0.25" r="297" customHeight="1" ht="17.25">
      <c r="A297" s="20" t="s">
        <v>10017</v>
      </c>
      <c r="B297" s="20" t="s">
        <v>482</v>
      </c>
      <c r="C297" s="20" t="s">
        <v>95</v>
      </c>
      <c r="D297" s="20" t="s">
        <v>34</v>
      </c>
      <c r="E297" s="21">
        <f>ROUND(6971*1.05,2)</f>
      </c>
      <c r="F297" s="20" t="s">
        <v>35</v>
      </c>
      <c r="G297" s="20" t="s">
        <v>18</v>
      </c>
      <c r="H297" s="21">
        <f>ROUND(RAND()*4+6,1)</f>
      </c>
      <c r="I297" s="20" t="s">
        <v>36</v>
      </c>
      <c r="J297" s="23">
        <f>ROUND(94*1,0)&amp;"%"</f>
      </c>
    </row>
    <row x14ac:dyDescent="0.25" r="298" customHeight="1" ht="17.25">
      <c r="A298" s="17" t="s">
        <v>10018</v>
      </c>
      <c r="B298" s="17" t="s">
        <v>484</v>
      </c>
      <c r="C298" s="17" t="s">
        <v>95</v>
      </c>
      <c r="D298" s="17" t="s">
        <v>39</v>
      </c>
      <c r="E298" s="18">
        <f>ROUND(10746*1.05,2)</f>
      </c>
      <c r="F298" s="17" t="s">
        <v>40</v>
      </c>
      <c r="G298" s="17" t="s">
        <v>24</v>
      </c>
      <c r="H298" s="26">
        <f>ROUND(RAND()*4+6,1)</f>
      </c>
      <c r="I298" s="17" t="s">
        <v>41</v>
      </c>
      <c r="J298" s="19">
        <f>ROUND(60*1,0)&amp;"%"</f>
      </c>
    </row>
    <row x14ac:dyDescent="0.25" r="299" customHeight="1" ht="17.25">
      <c r="A299" s="20" t="s">
        <v>10019</v>
      </c>
      <c r="B299" s="20" t="s">
        <v>486</v>
      </c>
      <c r="C299" s="20" t="s">
        <v>95</v>
      </c>
      <c r="D299" s="20" t="s">
        <v>67</v>
      </c>
      <c r="E299" s="21">
        <f>ROUND(7878*1.05,2)</f>
      </c>
      <c r="F299" s="20" t="s">
        <v>44</v>
      </c>
      <c r="G299" s="20" t="s">
        <v>30</v>
      </c>
      <c r="H299" s="22">
        <f>ROUND(RAND()*4+6,1)</f>
      </c>
      <c r="I299" s="20" t="s">
        <v>45</v>
      </c>
      <c r="J299" s="23">
        <f>ROUND(89*1,0)&amp;"%"</f>
      </c>
    </row>
    <row x14ac:dyDescent="0.25" r="300" customHeight="1" ht="17.25">
      <c r="A300" s="17" t="s">
        <v>10020</v>
      </c>
      <c r="B300" s="17" t="s">
        <v>488</v>
      </c>
      <c r="C300" s="17" t="s">
        <v>95</v>
      </c>
      <c r="D300" s="17" t="s">
        <v>16</v>
      </c>
      <c r="E300" s="18">
        <f>ROUND(15235*1.05,2)</f>
      </c>
      <c r="F300" s="17" t="s">
        <v>48</v>
      </c>
      <c r="G300" s="17" t="s">
        <v>18</v>
      </c>
      <c r="H300" s="18">
        <f>ROUND(RAND()*4+6,1)</f>
      </c>
      <c r="I300" s="17" t="s">
        <v>19</v>
      </c>
      <c r="J300" s="19">
        <f>ROUND(92*1,0)&amp;"%"</f>
      </c>
    </row>
    <row x14ac:dyDescent="0.25" r="301" customHeight="1" ht="17.25">
      <c r="A301" s="20" t="s">
        <v>10021</v>
      </c>
      <c r="B301" s="20" t="s">
        <v>490</v>
      </c>
      <c r="C301" s="20" t="s">
        <v>95</v>
      </c>
      <c r="D301" s="20" t="s">
        <v>22</v>
      </c>
      <c r="E301" s="21">
        <f>ROUND(5449*1.05,2)</f>
      </c>
      <c r="F301" s="20" t="s">
        <v>51</v>
      </c>
      <c r="G301" s="20" t="s">
        <v>24</v>
      </c>
      <c r="H301" s="21">
        <f>ROUND(RAND()*4+6,1)</f>
      </c>
      <c r="I301" s="20" t="s">
        <v>25</v>
      </c>
      <c r="J301" s="23">
        <f>ROUND(83*1,0)&amp;"%"</f>
      </c>
    </row>
    <row x14ac:dyDescent="0.25" r="302" customHeight="1" ht="17.25">
      <c r="A302" s="24" t="s">
        <v>491</v>
      </c>
      <c r="B302" s="24"/>
      <c r="C302" s="24"/>
      <c r="D302" s="24"/>
      <c r="E302" s="25">
        <v>8</v>
      </c>
      <c r="F302" s="9"/>
      <c r="G302" s="9"/>
      <c r="H302" s="10"/>
      <c r="I302" s="9"/>
      <c r="J302" s="9"/>
    </row>
    <row x14ac:dyDescent="0.25" r="303" customHeight="1" ht="17.25">
      <c r="A303" s="7"/>
      <c r="B303" s="7"/>
      <c r="C303" s="7"/>
      <c r="D303" s="7"/>
      <c r="E303" s="8"/>
      <c r="F303" s="9"/>
      <c r="G303" s="9"/>
      <c r="H303" s="10"/>
      <c r="I303" s="9"/>
      <c r="J303" s="9"/>
    </row>
    <row x14ac:dyDescent="0.25" r="304" customHeight="1" ht="17.25">
      <c r="A304" s="11" t="s">
        <v>10022</v>
      </c>
      <c r="B304" s="11"/>
      <c r="C304" s="11"/>
      <c r="D304" s="11"/>
      <c r="E304" s="12"/>
      <c r="F304" s="11"/>
      <c r="G304" s="11"/>
      <c r="H304" s="13"/>
      <c r="I304" s="11"/>
      <c r="J304" s="11"/>
    </row>
    <row x14ac:dyDescent="0.25" r="305" customHeight="1" ht="17.25">
      <c r="A305" s="14" t="s">
        <v>3</v>
      </c>
      <c r="B305" s="14" t="s">
        <v>4</v>
      </c>
      <c r="C305" s="14" t="s">
        <v>5</v>
      </c>
      <c r="D305" s="14" t="s">
        <v>6</v>
      </c>
      <c r="E305" s="15" t="s">
        <v>7</v>
      </c>
      <c r="F305" s="14" t="s">
        <v>8</v>
      </c>
      <c r="G305" s="14" t="s">
        <v>9</v>
      </c>
      <c r="H305" s="16" t="s">
        <v>10</v>
      </c>
      <c r="I305" s="14" t="s">
        <v>11</v>
      </c>
      <c r="J305" s="14" t="s">
        <v>12</v>
      </c>
    </row>
    <row x14ac:dyDescent="0.25" r="306" customHeight="1" ht="17.25">
      <c r="A306" s="17" t="s">
        <v>10023</v>
      </c>
      <c r="B306" s="17" t="s">
        <v>494</v>
      </c>
      <c r="C306" s="17" t="s">
        <v>114</v>
      </c>
      <c r="D306" s="17" t="s">
        <v>16</v>
      </c>
      <c r="E306" s="18">
        <f>ROUND(12309*1.05,2)</f>
      </c>
      <c r="F306" s="17" t="s">
        <v>17</v>
      </c>
      <c r="G306" s="17" t="s">
        <v>18</v>
      </c>
      <c r="H306" s="18">
        <f>ROUND(RAND()*4+6,1)</f>
      </c>
      <c r="I306" s="17" t="s">
        <v>19</v>
      </c>
      <c r="J306" s="19">
        <f>ROUND(62*1,0)&amp;"%"</f>
      </c>
    </row>
    <row x14ac:dyDescent="0.25" r="307" customHeight="1" ht="17.25">
      <c r="A307" s="20" t="s">
        <v>10024</v>
      </c>
      <c r="B307" s="20" t="s">
        <v>496</v>
      </c>
      <c r="C307" s="20" t="s">
        <v>114</v>
      </c>
      <c r="D307" s="20" t="s">
        <v>22</v>
      </c>
      <c r="E307" s="21">
        <f>ROUND(6203*1.05,2)</f>
      </c>
      <c r="F307" s="20" t="s">
        <v>23</v>
      </c>
      <c r="G307" s="20" t="s">
        <v>24</v>
      </c>
      <c r="H307" s="22">
        <f>ROUND(RAND()*4+6,1)</f>
      </c>
      <c r="I307" s="20" t="s">
        <v>25</v>
      </c>
      <c r="J307" s="23">
        <f>ROUND(78*1,0)&amp;"%"</f>
      </c>
    </row>
    <row x14ac:dyDescent="0.25" r="308" customHeight="1" ht="17.25">
      <c r="A308" s="17" t="s">
        <v>10025</v>
      </c>
      <c r="B308" s="17" t="s">
        <v>498</v>
      </c>
      <c r="C308" s="17" t="s">
        <v>114</v>
      </c>
      <c r="D308" s="17" t="s">
        <v>28</v>
      </c>
      <c r="E308" s="18">
        <f>ROUND(5446*1.05,2)</f>
      </c>
      <c r="F308" s="17" t="s">
        <v>29</v>
      </c>
      <c r="G308" s="17" t="s">
        <v>30</v>
      </c>
      <c r="H308" s="18">
        <f>ROUND(RAND()*4+6,1)</f>
      </c>
      <c r="I308" s="17" t="s">
        <v>31</v>
      </c>
      <c r="J308" s="19">
        <f>ROUND(99*1,0)&amp;"%"</f>
      </c>
    </row>
    <row x14ac:dyDescent="0.25" r="309" customHeight="1" ht="17.25">
      <c r="A309" s="20" t="s">
        <v>10026</v>
      </c>
      <c r="B309" s="20" t="s">
        <v>500</v>
      </c>
      <c r="C309" s="20" t="s">
        <v>114</v>
      </c>
      <c r="D309" s="20" t="s">
        <v>34</v>
      </c>
      <c r="E309" s="21">
        <f>ROUND(8548*1.05,2)</f>
      </c>
      <c r="F309" s="20" t="s">
        <v>35</v>
      </c>
      <c r="G309" s="20" t="s">
        <v>18</v>
      </c>
      <c r="H309" s="21">
        <f>ROUND(RAND()*4+6,1)</f>
      </c>
      <c r="I309" s="20" t="s">
        <v>36</v>
      </c>
      <c r="J309" s="23">
        <f>ROUND(69*1,0)&amp;"%"</f>
      </c>
    </row>
    <row x14ac:dyDescent="0.25" r="310" customHeight="1" ht="17.25">
      <c r="A310" s="17" t="s">
        <v>10027</v>
      </c>
      <c r="B310" s="17" t="s">
        <v>502</v>
      </c>
      <c r="C310" s="17" t="s">
        <v>114</v>
      </c>
      <c r="D310" s="17" t="s">
        <v>39</v>
      </c>
      <c r="E310" s="18">
        <f>ROUND(9016*1.05,2)</f>
      </c>
      <c r="F310" s="17" t="s">
        <v>40</v>
      </c>
      <c r="G310" s="17" t="s">
        <v>24</v>
      </c>
      <c r="H310" s="18">
        <f>ROUND(RAND()*4+6,1)</f>
      </c>
      <c r="I310" s="17" t="s">
        <v>41</v>
      </c>
      <c r="J310" s="19">
        <f>ROUND(87*1,0)&amp;"%"</f>
      </c>
    </row>
    <row x14ac:dyDescent="0.25" r="311" customHeight="1" ht="17.25">
      <c r="A311" s="20" t="s">
        <v>10028</v>
      </c>
      <c r="B311" s="20" t="s">
        <v>504</v>
      </c>
      <c r="C311" s="20" t="s">
        <v>114</v>
      </c>
      <c r="D311" s="20" t="s">
        <v>67</v>
      </c>
      <c r="E311" s="21">
        <f>ROUND(7217*1.05,2)</f>
      </c>
      <c r="F311" s="20" t="s">
        <v>44</v>
      </c>
      <c r="G311" s="20" t="s">
        <v>30</v>
      </c>
      <c r="H311" s="21">
        <f>ROUND(RAND()*4+6,1)</f>
      </c>
      <c r="I311" s="20" t="s">
        <v>45</v>
      </c>
      <c r="J311" s="23">
        <f>ROUND(85*1,0)&amp;"%"</f>
      </c>
    </row>
    <row x14ac:dyDescent="0.25" r="312" customHeight="1" ht="17.25">
      <c r="A312" s="17" t="s">
        <v>10029</v>
      </c>
      <c r="B312" s="17" t="s">
        <v>506</v>
      </c>
      <c r="C312" s="17" t="s">
        <v>114</v>
      </c>
      <c r="D312" s="17" t="s">
        <v>16</v>
      </c>
      <c r="E312" s="18">
        <f>ROUND(13581*1.05,2)</f>
      </c>
      <c r="F312" s="17" t="s">
        <v>48</v>
      </c>
      <c r="G312" s="17" t="s">
        <v>18</v>
      </c>
      <c r="H312" s="18">
        <f>ROUND(RAND()*4+6,1)</f>
      </c>
      <c r="I312" s="17" t="s">
        <v>19</v>
      </c>
      <c r="J312" s="19">
        <f>ROUND(74*1,0)&amp;"%"</f>
      </c>
    </row>
    <row x14ac:dyDescent="0.25" r="313" customHeight="1" ht="17.25">
      <c r="A313" s="20" t="s">
        <v>10030</v>
      </c>
      <c r="B313" s="20" t="s">
        <v>508</v>
      </c>
      <c r="C313" s="20" t="s">
        <v>114</v>
      </c>
      <c r="D313" s="20" t="s">
        <v>22</v>
      </c>
      <c r="E313" s="21">
        <f>ROUND(11870*1.05,2)</f>
      </c>
      <c r="F313" s="20" t="s">
        <v>51</v>
      </c>
      <c r="G313" s="20" t="s">
        <v>24</v>
      </c>
      <c r="H313" s="21">
        <f>ROUND(RAND()*4+6,1)</f>
      </c>
      <c r="I313" s="20" t="s">
        <v>25</v>
      </c>
      <c r="J313" s="23">
        <f>ROUND(68*1,0)&amp;"%"</f>
      </c>
    </row>
    <row x14ac:dyDescent="0.25" r="314" customHeight="1" ht="17.25">
      <c r="A314" s="24" t="s">
        <v>509</v>
      </c>
      <c r="B314" s="24"/>
      <c r="C314" s="24"/>
      <c r="D314" s="24"/>
      <c r="E314" s="25">
        <v>8</v>
      </c>
      <c r="F314" s="9"/>
      <c r="G314" s="9"/>
      <c r="H314" s="10"/>
      <c r="I314" s="9"/>
      <c r="J314" s="9"/>
    </row>
    <row x14ac:dyDescent="0.25" r="315" customHeight="1" ht="17.25">
      <c r="A315" s="7"/>
      <c r="B315" s="7"/>
      <c r="C315" s="7"/>
      <c r="D315" s="7"/>
      <c r="E315" s="8"/>
      <c r="F315" s="9"/>
      <c r="G315" s="9"/>
      <c r="H315" s="10"/>
      <c r="I315" s="9"/>
      <c r="J315" s="9"/>
    </row>
    <row x14ac:dyDescent="0.25" r="316" customHeight="1" ht="17.25">
      <c r="A316" s="11" t="s">
        <v>10031</v>
      </c>
      <c r="B316" s="11"/>
      <c r="C316" s="11"/>
      <c r="D316" s="11"/>
      <c r="E316" s="12"/>
      <c r="F316" s="11"/>
      <c r="G316" s="11"/>
      <c r="H316" s="13"/>
      <c r="I316" s="11"/>
      <c r="J316" s="11"/>
    </row>
    <row x14ac:dyDescent="0.25" r="317" customHeight="1" ht="17.25">
      <c r="A317" s="14" t="s">
        <v>3</v>
      </c>
      <c r="B317" s="14" t="s">
        <v>4</v>
      </c>
      <c r="C317" s="14" t="s">
        <v>5</v>
      </c>
      <c r="D317" s="14" t="s">
        <v>6</v>
      </c>
      <c r="E317" s="15" t="s">
        <v>7</v>
      </c>
      <c r="F317" s="14" t="s">
        <v>8</v>
      </c>
      <c r="G317" s="14" t="s">
        <v>9</v>
      </c>
      <c r="H317" s="16" t="s">
        <v>10</v>
      </c>
      <c r="I317" s="14" t="s">
        <v>11</v>
      </c>
      <c r="J317" s="14" t="s">
        <v>12</v>
      </c>
    </row>
    <row x14ac:dyDescent="0.25" r="318" customHeight="1" ht="17.25">
      <c r="A318" s="17" t="s">
        <v>10032</v>
      </c>
      <c r="B318" s="17" t="s">
        <v>512</v>
      </c>
      <c r="C318" s="17" t="s">
        <v>133</v>
      </c>
      <c r="D318" s="17" t="s">
        <v>16</v>
      </c>
      <c r="E318" s="18">
        <f>ROUND(16744*1.05,2)</f>
      </c>
      <c r="F318" s="17" t="s">
        <v>17</v>
      </c>
      <c r="G318" s="17" t="s">
        <v>18</v>
      </c>
      <c r="H318" s="18">
        <f>ROUND(RAND()*4+6,1)</f>
      </c>
      <c r="I318" s="17" t="s">
        <v>19</v>
      </c>
      <c r="J318" s="19">
        <f>ROUND(75*1,0)&amp;"%"</f>
      </c>
    </row>
    <row x14ac:dyDescent="0.25" r="319" customHeight="1" ht="17.25">
      <c r="A319" s="20" t="s">
        <v>10033</v>
      </c>
      <c r="B319" s="20" t="s">
        <v>514</v>
      </c>
      <c r="C319" s="20" t="s">
        <v>133</v>
      </c>
      <c r="D319" s="20" t="s">
        <v>22</v>
      </c>
      <c r="E319" s="21">
        <f>ROUND(15525*1.05,2)</f>
      </c>
      <c r="F319" s="20" t="s">
        <v>23</v>
      </c>
      <c r="G319" s="20" t="s">
        <v>24</v>
      </c>
      <c r="H319" s="21">
        <f>ROUND(RAND()*4+6,1)</f>
      </c>
      <c r="I319" s="20" t="s">
        <v>25</v>
      </c>
      <c r="J319" s="23">
        <f>ROUND(81*1,0)&amp;"%"</f>
      </c>
    </row>
    <row x14ac:dyDescent="0.25" r="320" customHeight="1" ht="17.25">
      <c r="A320" s="17" t="s">
        <v>10034</v>
      </c>
      <c r="B320" s="17" t="s">
        <v>516</v>
      </c>
      <c r="C320" s="17" t="s">
        <v>133</v>
      </c>
      <c r="D320" s="17" t="s">
        <v>28</v>
      </c>
      <c r="E320" s="18">
        <f>ROUND(5908*1.05,2)</f>
      </c>
      <c r="F320" s="17" t="s">
        <v>29</v>
      </c>
      <c r="G320" s="17" t="s">
        <v>30</v>
      </c>
      <c r="H320" s="18">
        <f>ROUND(RAND()*4+6,1)</f>
      </c>
      <c r="I320" s="17" t="s">
        <v>31</v>
      </c>
      <c r="J320" s="19">
        <f>ROUND(63*1,0)&amp;"%"</f>
      </c>
    </row>
    <row x14ac:dyDescent="0.25" r="321" customHeight="1" ht="17.25">
      <c r="A321" s="20" t="s">
        <v>10035</v>
      </c>
      <c r="B321" s="20" t="s">
        <v>518</v>
      </c>
      <c r="C321" s="20" t="s">
        <v>133</v>
      </c>
      <c r="D321" s="20" t="s">
        <v>34</v>
      </c>
      <c r="E321" s="21">
        <f>ROUND(17990*1.05,2)</f>
      </c>
      <c r="F321" s="20" t="s">
        <v>35</v>
      </c>
      <c r="G321" s="20" t="s">
        <v>18</v>
      </c>
      <c r="H321" s="21">
        <f>ROUND(RAND()*4+6,1)</f>
      </c>
      <c r="I321" s="20" t="s">
        <v>36</v>
      </c>
      <c r="J321" s="23">
        <f>ROUND(76*1,0)&amp;"%"</f>
      </c>
    </row>
    <row x14ac:dyDescent="0.25" r="322" customHeight="1" ht="17.25">
      <c r="A322" s="17" t="s">
        <v>10036</v>
      </c>
      <c r="B322" s="17" t="s">
        <v>520</v>
      </c>
      <c r="C322" s="17" t="s">
        <v>133</v>
      </c>
      <c r="D322" s="17" t="s">
        <v>39</v>
      </c>
      <c r="E322" s="18">
        <f>ROUND(7856*1.05,2)</f>
      </c>
      <c r="F322" s="17" t="s">
        <v>40</v>
      </c>
      <c r="G322" s="17" t="s">
        <v>24</v>
      </c>
      <c r="H322" s="18">
        <f>ROUND(RAND()*4+6,1)</f>
      </c>
      <c r="I322" s="17" t="s">
        <v>41</v>
      </c>
      <c r="J322" s="19">
        <f>ROUND(83*1,0)&amp;"%"</f>
      </c>
    </row>
    <row x14ac:dyDescent="0.25" r="323" customHeight="1" ht="17.25">
      <c r="A323" s="20" t="s">
        <v>10037</v>
      </c>
      <c r="B323" s="20" t="s">
        <v>522</v>
      </c>
      <c r="C323" s="20" t="s">
        <v>133</v>
      </c>
      <c r="D323" s="20" t="s">
        <v>67</v>
      </c>
      <c r="E323" s="21">
        <f>ROUND(5174*1.05,2)</f>
      </c>
      <c r="F323" s="20" t="s">
        <v>44</v>
      </c>
      <c r="G323" s="20" t="s">
        <v>30</v>
      </c>
      <c r="H323" s="21">
        <f>ROUND(RAND()*4+6,1)</f>
      </c>
      <c r="I323" s="20" t="s">
        <v>45</v>
      </c>
      <c r="J323" s="23">
        <f>ROUND(99*1,0)&amp;"%"</f>
      </c>
    </row>
    <row x14ac:dyDescent="0.25" r="324" customHeight="1" ht="17.25">
      <c r="A324" s="17" t="s">
        <v>10038</v>
      </c>
      <c r="B324" s="17" t="s">
        <v>524</v>
      </c>
      <c r="C324" s="17" t="s">
        <v>133</v>
      </c>
      <c r="D324" s="17" t="s">
        <v>16</v>
      </c>
      <c r="E324" s="18">
        <f>ROUND(15657*1.05,2)</f>
      </c>
      <c r="F324" s="17" t="s">
        <v>48</v>
      </c>
      <c r="G324" s="17" t="s">
        <v>18</v>
      </c>
      <c r="H324" s="18">
        <f>ROUND(RAND()*4+6,1)</f>
      </c>
      <c r="I324" s="17" t="s">
        <v>19</v>
      </c>
      <c r="J324" s="19">
        <f>ROUND(93*1,0)&amp;"%"</f>
      </c>
    </row>
    <row x14ac:dyDescent="0.25" r="325" customHeight="1" ht="17.25">
      <c r="A325" s="20" t="s">
        <v>10039</v>
      </c>
      <c r="B325" s="20" t="s">
        <v>526</v>
      </c>
      <c r="C325" s="20" t="s">
        <v>133</v>
      </c>
      <c r="D325" s="20" t="s">
        <v>22</v>
      </c>
      <c r="E325" s="22">
        <f>ROUND(7840*1.05,2)</f>
      </c>
      <c r="F325" s="20" t="s">
        <v>51</v>
      </c>
      <c r="G325" s="20" t="s">
        <v>24</v>
      </c>
      <c r="H325" s="21">
        <f>ROUND(RAND()*4+6,1)</f>
      </c>
      <c r="I325" s="20" t="s">
        <v>25</v>
      </c>
      <c r="J325" s="23">
        <f>ROUND(70*1,0)&amp;"%"</f>
      </c>
    </row>
    <row x14ac:dyDescent="0.25" r="326" customHeight="1" ht="17.25">
      <c r="A326" s="24" t="s">
        <v>527</v>
      </c>
      <c r="B326" s="24"/>
      <c r="C326" s="24"/>
      <c r="D326" s="24"/>
      <c r="E326" s="25">
        <v>8</v>
      </c>
      <c r="F326" s="9"/>
      <c r="G326" s="9"/>
      <c r="H326" s="10"/>
      <c r="I326" s="9"/>
      <c r="J326" s="9"/>
    </row>
    <row x14ac:dyDescent="0.25" r="327" customHeight="1" ht="17.25">
      <c r="A327" s="7"/>
      <c r="B327" s="7"/>
      <c r="C327" s="7"/>
      <c r="D327" s="7"/>
      <c r="E327" s="8"/>
      <c r="F327" s="9"/>
      <c r="G327" s="9"/>
      <c r="H327" s="10"/>
      <c r="I327" s="9"/>
      <c r="J327" s="9"/>
    </row>
    <row x14ac:dyDescent="0.25" r="328" customHeight="1" ht="17.25">
      <c r="A328" s="11" t="s">
        <v>10040</v>
      </c>
      <c r="B328" s="11"/>
      <c r="C328" s="11"/>
      <c r="D328" s="11"/>
      <c r="E328" s="12"/>
      <c r="F328" s="11"/>
      <c r="G328" s="11"/>
      <c r="H328" s="13"/>
      <c r="I328" s="11"/>
      <c r="J328" s="11"/>
    </row>
    <row x14ac:dyDescent="0.25" r="329" customHeight="1" ht="17.25">
      <c r="A329" s="14" t="s">
        <v>3</v>
      </c>
      <c r="B329" s="14" t="s">
        <v>4</v>
      </c>
      <c r="C329" s="14" t="s">
        <v>5</v>
      </c>
      <c r="D329" s="14" t="s">
        <v>6</v>
      </c>
      <c r="E329" s="15" t="s">
        <v>7</v>
      </c>
      <c r="F329" s="14" t="s">
        <v>8</v>
      </c>
      <c r="G329" s="14" t="s">
        <v>9</v>
      </c>
      <c r="H329" s="16" t="s">
        <v>10</v>
      </c>
      <c r="I329" s="14" t="s">
        <v>11</v>
      </c>
      <c r="J329" s="14" t="s">
        <v>12</v>
      </c>
    </row>
    <row x14ac:dyDescent="0.25" r="330" customHeight="1" ht="17.25">
      <c r="A330" s="17" t="s">
        <v>10041</v>
      </c>
      <c r="B330" s="17" t="s">
        <v>530</v>
      </c>
      <c r="C330" s="17" t="s">
        <v>152</v>
      </c>
      <c r="D330" s="17" t="s">
        <v>16</v>
      </c>
      <c r="E330" s="18">
        <f>ROUND(10088*1.05,2)</f>
      </c>
      <c r="F330" s="17" t="s">
        <v>17</v>
      </c>
      <c r="G330" s="17" t="s">
        <v>18</v>
      </c>
      <c r="H330" s="18">
        <f>ROUND(RAND()*4+6,1)</f>
      </c>
      <c r="I330" s="17" t="s">
        <v>19</v>
      </c>
      <c r="J330" s="19">
        <f>ROUND(79*1,0)&amp;"%"</f>
      </c>
    </row>
    <row x14ac:dyDescent="0.25" r="331" customHeight="1" ht="17.25">
      <c r="A331" s="20" t="s">
        <v>10042</v>
      </c>
      <c r="B331" s="20" t="s">
        <v>532</v>
      </c>
      <c r="C331" s="20" t="s">
        <v>152</v>
      </c>
      <c r="D331" s="20" t="s">
        <v>22</v>
      </c>
      <c r="E331" s="21">
        <f>ROUND(11047*1.05,2)</f>
      </c>
      <c r="F331" s="20" t="s">
        <v>23</v>
      </c>
      <c r="G331" s="20" t="s">
        <v>24</v>
      </c>
      <c r="H331" s="21">
        <f>ROUND(RAND()*4+6,1)</f>
      </c>
      <c r="I331" s="20" t="s">
        <v>25</v>
      </c>
      <c r="J331" s="23">
        <f>ROUND(64*1,0)&amp;"%"</f>
      </c>
    </row>
    <row x14ac:dyDescent="0.25" r="332" customHeight="1" ht="17.25">
      <c r="A332" s="17" t="s">
        <v>10043</v>
      </c>
      <c r="B332" s="17" t="s">
        <v>534</v>
      </c>
      <c r="C332" s="17" t="s">
        <v>152</v>
      </c>
      <c r="D332" s="17" t="s">
        <v>28</v>
      </c>
      <c r="E332" s="18">
        <f>ROUND(8201*1.05,2)</f>
      </c>
      <c r="F332" s="17" t="s">
        <v>29</v>
      </c>
      <c r="G332" s="17" t="s">
        <v>30</v>
      </c>
      <c r="H332" s="18">
        <f>ROUND(RAND()*4+6,1)</f>
      </c>
      <c r="I332" s="17" t="s">
        <v>31</v>
      </c>
      <c r="J332" s="19">
        <f>ROUND(64*1,0)&amp;"%"</f>
      </c>
    </row>
    <row x14ac:dyDescent="0.25" r="333" customHeight="1" ht="17.25">
      <c r="A333" s="20" t="s">
        <v>10044</v>
      </c>
      <c r="B333" s="20" t="s">
        <v>536</v>
      </c>
      <c r="C333" s="20" t="s">
        <v>152</v>
      </c>
      <c r="D333" s="20" t="s">
        <v>34</v>
      </c>
      <c r="E333" s="21">
        <f>ROUND(8515*1.05,2)</f>
      </c>
      <c r="F333" s="20" t="s">
        <v>35</v>
      </c>
      <c r="G333" s="20" t="s">
        <v>18</v>
      </c>
      <c r="H333" s="21">
        <f>ROUND(RAND()*4+6,1)</f>
      </c>
      <c r="I333" s="20" t="s">
        <v>36</v>
      </c>
      <c r="J333" s="23">
        <f>ROUND(96*1,0)&amp;"%"</f>
      </c>
    </row>
    <row x14ac:dyDescent="0.25" r="334" customHeight="1" ht="17.25">
      <c r="A334" s="17" t="s">
        <v>10045</v>
      </c>
      <c r="B334" s="17" t="s">
        <v>538</v>
      </c>
      <c r="C334" s="17" t="s">
        <v>152</v>
      </c>
      <c r="D334" s="17" t="s">
        <v>39</v>
      </c>
      <c r="E334" s="18">
        <f>ROUND(5350*1.05,2)</f>
      </c>
      <c r="F334" s="17" t="s">
        <v>40</v>
      </c>
      <c r="G334" s="17" t="s">
        <v>24</v>
      </c>
      <c r="H334" s="18">
        <f>ROUND(RAND()*4+6,1)</f>
      </c>
      <c r="I334" s="17" t="s">
        <v>41</v>
      </c>
      <c r="J334" s="19">
        <f>ROUND(96*1,0)&amp;"%"</f>
      </c>
    </row>
    <row x14ac:dyDescent="0.25" r="335" customHeight="1" ht="17.25">
      <c r="A335" s="20" t="s">
        <v>10046</v>
      </c>
      <c r="B335" s="20" t="s">
        <v>540</v>
      </c>
      <c r="C335" s="20" t="s">
        <v>152</v>
      </c>
      <c r="D335" s="20" t="s">
        <v>67</v>
      </c>
      <c r="E335" s="21">
        <f>ROUND(16485*1.05,2)</f>
      </c>
      <c r="F335" s="20" t="s">
        <v>44</v>
      </c>
      <c r="G335" s="20" t="s">
        <v>30</v>
      </c>
      <c r="H335" s="21">
        <f>ROUND(RAND()*4+6,1)</f>
      </c>
      <c r="I335" s="20" t="s">
        <v>45</v>
      </c>
      <c r="J335" s="23">
        <f>ROUND(70*1,0)&amp;"%"</f>
      </c>
    </row>
    <row x14ac:dyDescent="0.25" r="336" customHeight="1" ht="17.25">
      <c r="A336" s="17" t="s">
        <v>10047</v>
      </c>
      <c r="B336" s="17" t="s">
        <v>542</v>
      </c>
      <c r="C336" s="17" t="s">
        <v>152</v>
      </c>
      <c r="D336" s="17" t="s">
        <v>16</v>
      </c>
      <c r="E336" s="18">
        <f>ROUND(7405*1.05,2)</f>
      </c>
      <c r="F336" s="17" t="s">
        <v>48</v>
      </c>
      <c r="G336" s="17" t="s">
        <v>18</v>
      </c>
      <c r="H336" s="26">
        <f>ROUND(RAND()*4+6,1)</f>
      </c>
      <c r="I336" s="17" t="s">
        <v>19</v>
      </c>
      <c r="J336" s="19">
        <f>ROUND(84*1,0)&amp;"%"</f>
      </c>
    </row>
    <row x14ac:dyDescent="0.25" r="337" customHeight="1" ht="17.25">
      <c r="A337" s="20" t="s">
        <v>10048</v>
      </c>
      <c r="B337" s="20" t="s">
        <v>544</v>
      </c>
      <c r="C337" s="20" t="s">
        <v>152</v>
      </c>
      <c r="D337" s="20" t="s">
        <v>22</v>
      </c>
      <c r="E337" s="21">
        <f>ROUND(9530*1.05,2)</f>
      </c>
      <c r="F337" s="20" t="s">
        <v>51</v>
      </c>
      <c r="G337" s="20" t="s">
        <v>24</v>
      </c>
      <c r="H337" s="21">
        <f>ROUND(RAND()*4+6,1)</f>
      </c>
      <c r="I337" s="20" t="s">
        <v>25</v>
      </c>
      <c r="J337" s="23">
        <f>ROUND(84*1,0)&amp;"%"</f>
      </c>
    </row>
    <row x14ac:dyDescent="0.25" r="338" customHeight="1" ht="17.25">
      <c r="A338" s="24" t="s">
        <v>545</v>
      </c>
      <c r="B338" s="24"/>
      <c r="C338" s="24"/>
      <c r="D338" s="24"/>
      <c r="E338" s="25">
        <v>8</v>
      </c>
      <c r="F338" s="9"/>
      <c r="G338" s="9"/>
      <c r="H338" s="10"/>
      <c r="I338" s="9"/>
      <c r="J338" s="9"/>
    </row>
    <row x14ac:dyDescent="0.25" r="339" customHeight="1" ht="17.25">
      <c r="A339" s="7"/>
      <c r="B339" s="7"/>
      <c r="C339" s="7"/>
      <c r="D339" s="7"/>
      <c r="E339" s="8"/>
      <c r="F339" s="9"/>
      <c r="G339" s="9"/>
      <c r="H339" s="10"/>
      <c r="I339" s="9"/>
      <c r="J339" s="9"/>
    </row>
    <row x14ac:dyDescent="0.25" r="340" customHeight="1" ht="17.25">
      <c r="A340" s="11" t="s">
        <v>10049</v>
      </c>
      <c r="B340" s="11"/>
      <c r="C340" s="11"/>
      <c r="D340" s="11"/>
      <c r="E340" s="12"/>
      <c r="F340" s="11"/>
      <c r="G340" s="11"/>
      <c r="H340" s="13"/>
      <c r="I340" s="11"/>
      <c r="J340" s="11"/>
    </row>
    <row x14ac:dyDescent="0.25" r="341" customHeight="1" ht="17.25">
      <c r="A341" s="14" t="s">
        <v>3</v>
      </c>
      <c r="B341" s="14" t="s">
        <v>4</v>
      </c>
      <c r="C341" s="14" t="s">
        <v>5</v>
      </c>
      <c r="D341" s="14" t="s">
        <v>6</v>
      </c>
      <c r="E341" s="15" t="s">
        <v>7</v>
      </c>
      <c r="F341" s="14" t="s">
        <v>8</v>
      </c>
      <c r="G341" s="14" t="s">
        <v>9</v>
      </c>
      <c r="H341" s="16" t="s">
        <v>10</v>
      </c>
      <c r="I341" s="14" t="s">
        <v>11</v>
      </c>
      <c r="J341" s="14" t="s">
        <v>12</v>
      </c>
    </row>
    <row x14ac:dyDescent="0.25" r="342" customHeight="1" ht="17.25">
      <c r="A342" s="17" t="s">
        <v>10050</v>
      </c>
      <c r="B342" s="17" t="s">
        <v>548</v>
      </c>
      <c r="C342" s="17" t="s">
        <v>15</v>
      </c>
      <c r="D342" s="17" t="s">
        <v>16</v>
      </c>
      <c r="E342" s="18">
        <f>ROUND(13738*1.05,2)</f>
      </c>
      <c r="F342" s="17" t="s">
        <v>17</v>
      </c>
      <c r="G342" s="17" t="s">
        <v>18</v>
      </c>
      <c r="H342" s="18">
        <f>ROUND(RAND()*4+6,1)</f>
      </c>
      <c r="I342" s="17" t="s">
        <v>19</v>
      </c>
      <c r="J342" s="19">
        <f>ROUND(84*1,0)&amp;"%"</f>
      </c>
    </row>
    <row x14ac:dyDescent="0.25" r="343" customHeight="1" ht="17.25">
      <c r="A343" s="20" t="s">
        <v>10051</v>
      </c>
      <c r="B343" s="20" t="s">
        <v>550</v>
      </c>
      <c r="C343" s="20" t="s">
        <v>15</v>
      </c>
      <c r="D343" s="20" t="s">
        <v>22</v>
      </c>
      <c r="E343" s="21">
        <f>ROUND(6522*1.05,2)</f>
      </c>
      <c r="F343" s="20" t="s">
        <v>23</v>
      </c>
      <c r="G343" s="20" t="s">
        <v>24</v>
      </c>
      <c r="H343" s="21">
        <f>ROUND(RAND()*4+6,1)</f>
      </c>
      <c r="I343" s="20" t="s">
        <v>25</v>
      </c>
      <c r="J343" s="23">
        <f>ROUND(64*1,0)&amp;"%"</f>
      </c>
    </row>
    <row x14ac:dyDescent="0.25" r="344" customHeight="1" ht="17.25">
      <c r="A344" s="17" t="s">
        <v>10052</v>
      </c>
      <c r="B344" s="17" t="s">
        <v>552</v>
      </c>
      <c r="C344" s="17" t="s">
        <v>15</v>
      </c>
      <c r="D344" s="17" t="s">
        <v>28</v>
      </c>
      <c r="E344" s="26">
        <f>ROUND(13740*1.05,2)</f>
      </c>
      <c r="F344" s="17" t="s">
        <v>29</v>
      </c>
      <c r="G344" s="17" t="s">
        <v>30</v>
      </c>
      <c r="H344" s="18">
        <f>ROUND(RAND()*4+6,1)</f>
      </c>
      <c r="I344" s="17" t="s">
        <v>31</v>
      </c>
      <c r="J344" s="19">
        <f>ROUND(72*1,0)&amp;"%"</f>
      </c>
    </row>
    <row x14ac:dyDescent="0.25" r="345" customHeight="1" ht="17.25">
      <c r="A345" s="20" t="s">
        <v>10053</v>
      </c>
      <c r="B345" s="20" t="s">
        <v>554</v>
      </c>
      <c r="C345" s="20" t="s">
        <v>15</v>
      </c>
      <c r="D345" s="20" t="s">
        <v>34</v>
      </c>
      <c r="E345" s="21">
        <f>ROUND(12487*1.05,2)</f>
      </c>
      <c r="F345" s="20" t="s">
        <v>35</v>
      </c>
      <c r="G345" s="20" t="s">
        <v>18</v>
      </c>
      <c r="H345" s="21">
        <f>ROUND(RAND()*4+6,1)</f>
      </c>
      <c r="I345" s="20" t="s">
        <v>36</v>
      </c>
      <c r="J345" s="23">
        <f>ROUND(87*1,0)&amp;"%"</f>
      </c>
    </row>
    <row x14ac:dyDescent="0.25" r="346" customHeight="1" ht="17.25">
      <c r="A346" s="17" t="s">
        <v>10054</v>
      </c>
      <c r="B346" s="17" t="s">
        <v>556</v>
      </c>
      <c r="C346" s="17" t="s">
        <v>15</v>
      </c>
      <c r="D346" s="17" t="s">
        <v>39</v>
      </c>
      <c r="E346" s="18">
        <f>ROUND(7858*1.05,2)</f>
      </c>
      <c r="F346" s="17" t="s">
        <v>40</v>
      </c>
      <c r="G346" s="17" t="s">
        <v>24</v>
      </c>
      <c r="H346" s="18">
        <f>ROUND(RAND()*4+6,1)</f>
      </c>
      <c r="I346" s="17" t="s">
        <v>41</v>
      </c>
      <c r="J346" s="19">
        <f>ROUND(68*1,0)&amp;"%"</f>
      </c>
    </row>
    <row x14ac:dyDescent="0.25" r="347" customHeight="1" ht="17.25">
      <c r="A347" s="20" t="s">
        <v>10055</v>
      </c>
      <c r="B347" s="20" t="s">
        <v>558</v>
      </c>
      <c r="C347" s="20" t="s">
        <v>15</v>
      </c>
      <c r="D347" s="20" t="s">
        <v>67</v>
      </c>
      <c r="E347" s="21">
        <f>ROUND(5398*1.05,2)</f>
      </c>
      <c r="F347" s="20" t="s">
        <v>44</v>
      </c>
      <c r="G347" s="20" t="s">
        <v>30</v>
      </c>
      <c r="H347" s="21">
        <f>ROUND(RAND()*4+6,1)</f>
      </c>
      <c r="I347" s="20" t="s">
        <v>45</v>
      </c>
      <c r="J347" s="23">
        <f>ROUND(78*1,0)&amp;"%"</f>
      </c>
    </row>
    <row x14ac:dyDescent="0.25" r="348" customHeight="1" ht="17.25">
      <c r="A348" s="17" t="s">
        <v>10056</v>
      </c>
      <c r="B348" s="17" t="s">
        <v>560</v>
      </c>
      <c r="C348" s="17" t="s">
        <v>15</v>
      </c>
      <c r="D348" s="17" t="s">
        <v>16</v>
      </c>
      <c r="E348" s="18">
        <f>ROUND(14887*1.05,2)</f>
      </c>
      <c r="F348" s="17" t="s">
        <v>48</v>
      </c>
      <c r="G348" s="17" t="s">
        <v>18</v>
      </c>
      <c r="H348" s="18">
        <f>ROUND(RAND()*4+6,1)</f>
      </c>
      <c r="I348" s="17" t="s">
        <v>19</v>
      </c>
      <c r="J348" s="19">
        <f>ROUND(72*1,0)&amp;"%"</f>
      </c>
    </row>
    <row x14ac:dyDescent="0.25" r="349" customHeight="1" ht="17.25">
      <c r="A349" s="20" t="s">
        <v>10057</v>
      </c>
      <c r="B349" s="20" t="s">
        <v>562</v>
      </c>
      <c r="C349" s="20" t="s">
        <v>15</v>
      </c>
      <c r="D349" s="20" t="s">
        <v>22</v>
      </c>
      <c r="E349" s="21">
        <f>ROUND(13083*1.05,2)</f>
      </c>
      <c r="F349" s="20" t="s">
        <v>51</v>
      </c>
      <c r="G349" s="20" t="s">
        <v>24</v>
      </c>
      <c r="H349" s="22">
        <f>ROUND(RAND()*4+6,1)</f>
      </c>
      <c r="I349" s="20" t="s">
        <v>25</v>
      </c>
      <c r="J349" s="23">
        <f>ROUND(77*1,0)&amp;"%"</f>
      </c>
    </row>
    <row x14ac:dyDescent="0.25" r="350" customHeight="1" ht="17.25">
      <c r="A350" s="24" t="s">
        <v>563</v>
      </c>
      <c r="B350" s="24"/>
      <c r="C350" s="24"/>
      <c r="D350" s="24"/>
      <c r="E350" s="25">
        <v>8</v>
      </c>
      <c r="F350" s="9"/>
      <c r="G350" s="9"/>
      <c r="H350" s="10"/>
      <c r="I350" s="9"/>
      <c r="J350" s="9"/>
    </row>
    <row x14ac:dyDescent="0.25" r="351" customHeight="1" ht="17.25">
      <c r="A351" s="7"/>
      <c r="B351" s="7"/>
      <c r="C351" s="7"/>
      <c r="D351" s="7"/>
      <c r="E351" s="8"/>
      <c r="F351" s="9"/>
      <c r="G351" s="9"/>
      <c r="H351" s="10"/>
      <c r="I351" s="9"/>
      <c r="J351" s="9"/>
    </row>
    <row x14ac:dyDescent="0.25" r="352" customHeight="1" ht="17.25">
      <c r="A352" s="11" t="s">
        <v>10058</v>
      </c>
      <c r="B352" s="11"/>
      <c r="C352" s="11"/>
      <c r="D352" s="11"/>
      <c r="E352" s="12"/>
      <c r="F352" s="11"/>
      <c r="G352" s="11"/>
      <c r="H352" s="13"/>
      <c r="I352" s="11"/>
      <c r="J352" s="11"/>
    </row>
    <row x14ac:dyDescent="0.25" r="353" customHeight="1" ht="17.25">
      <c r="A353" s="14" t="s">
        <v>3</v>
      </c>
      <c r="B353" s="14" t="s">
        <v>4</v>
      </c>
      <c r="C353" s="14" t="s">
        <v>5</v>
      </c>
      <c r="D353" s="14" t="s">
        <v>6</v>
      </c>
      <c r="E353" s="15" t="s">
        <v>7</v>
      </c>
      <c r="F353" s="14" t="s">
        <v>8</v>
      </c>
      <c r="G353" s="14" t="s">
        <v>9</v>
      </c>
      <c r="H353" s="16" t="s">
        <v>10</v>
      </c>
      <c r="I353" s="14" t="s">
        <v>11</v>
      </c>
      <c r="J353" s="14" t="s">
        <v>12</v>
      </c>
    </row>
    <row x14ac:dyDescent="0.25" r="354" customHeight="1" ht="17.25">
      <c r="A354" s="17" t="s">
        <v>10059</v>
      </c>
      <c r="B354" s="17" t="s">
        <v>566</v>
      </c>
      <c r="C354" s="17" t="s">
        <v>56</v>
      </c>
      <c r="D354" s="17" t="s">
        <v>16</v>
      </c>
      <c r="E354" s="18">
        <f>ROUND(10264*1.05,2)</f>
      </c>
      <c r="F354" s="17" t="s">
        <v>17</v>
      </c>
      <c r="G354" s="17" t="s">
        <v>18</v>
      </c>
      <c r="H354" s="18">
        <f>ROUND(RAND()*4+6,1)</f>
      </c>
      <c r="I354" s="17" t="s">
        <v>19</v>
      </c>
      <c r="J354" s="19">
        <f>ROUND(82*1,0)&amp;"%"</f>
      </c>
    </row>
    <row x14ac:dyDescent="0.25" r="355" customHeight="1" ht="17.25">
      <c r="A355" s="20" t="s">
        <v>10060</v>
      </c>
      <c r="B355" s="20" t="s">
        <v>568</v>
      </c>
      <c r="C355" s="20" t="s">
        <v>56</v>
      </c>
      <c r="D355" s="20" t="s">
        <v>22</v>
      </c>
      <c r="E355" s="21">
        <f>ROUND(6633*1.05,2)</f>
      </c>
      <c r="F355" s="20" t="s">
        <v>23</v>
      </c>
      <c r="G355" s="20" t="s">
        <v>24</v>
      </c>
      <c r="H355" s="21">
        <f>ROUND(RAND()*4+6,1)</f>
      </c>
      <c r="I355" s="20" t="s">
        <v>25</v>
      </c>
      <c r="J355" s="23">
        <f>ROUND(76*1,0)&amp;"%"</f>
      </c>
    </row>
    <row x14ac:dyDescent="0.25" r="356" customHeight="1" ht="17.25">
      <c r="A356" s="17" t="s">
        <v>10061</v>
      </c>
      <c r="B356" s="17" t="s">
        <v>570</v>
      </c>
      <c r="C356" s="17" t="s">
        <v>56</v>
      </c>
      <c r="D356" s="17" t="s">
        <v>28</v>
      </c>
      <c r="E356" s="18">
        <f>ROUND(6486*1.05,2)</f>
      </c>
      <c r="F356" s="17" t="s">
        <v>29</v>
      </c>
      <c r="G356" s="17" t="s">
        <v>30</v>
      </c>
      <c r="H356" s="18">
        <f>ROUND(RAND()*4+6,1)</f>
      </c>
      <c r="I356" s="17" t="s">
        <v>31</v>
      </c>
      <c r="J356" s="19">
        <f>ROUND(77*1,0)&amp;"%"</f>
      </c>
    </row>
    <row x14ac:dyDescent="0.25" r="357" customHeight="1" ht="17.25">
      <c r="A357" s="20" t="s">
        <v>10062</v>
      </c>
      <c r="B357" s="20" t="s">
        <v>572</v>
      </c>
      <c r="C357" s="20" t="s">
        <v>56</v>
      </c>
      <c r="D357" s="20" t="s">
        <v>34</v>
      </c>
      <c r="E357" s="21">
        <f>ROUND(15271*1.05,2)</f>
      </c>
      <c r="F357" s="20" t="s">
        <v>35</v>
      </c>
      <c r="G357" s="20" t="s">
        <v>18</v>
      </c>
      <c r="H357" s="21">
        <f>ROUND(RAND()*4+6,1)</f>
      </c>
      <c r="I357" s="20" t="s">
        <v>36</v>
      </c>
      <c r="J357" s="23">
        <f>ROUND(71*1,0)&amp;"%"</f>
      </c>
    </row>
    <row x14ac:dyDescent="0.25" r="358" customHeight="1" ht="17.25">
      <c r="A358" s="17" t="s">
        <v>10063</v>
      </c>
      <c r="B358" s="17" t="s">
        <v>574</v>
      </c>
      <c r="C358" s="17" t="s">
        <v>56</v>
      </c>
      <c r="D358" s="17" t="s">
        <v>39</v>
      </c>
      <c r="E358" s="18">
        <f>ROUND(16795*1.05,2)</f>
      </c>
      <c r="F358" s="17" t="s">
        <v>40</v>
      </c>
      <c r="G358" s="17" t="s">
        <v>24</v>
      </c>
      <c r="H358" s="26">
        <f>ROUND(RAND()*4+6,1)</f>
      </c>
      <c r="I358" s="17" t="s">
        <v>41</v>
      </c>
      <c r="J358" s="19">
        <f>ROUND(76*1,0)&amp;"%"</f>
      </c>
    </row>
    <row x14ac:dyDescent="0.25" r="359" customHeight="1" ht="17.25">
      <c r="A359" s="20" t="s">
        <v>10064</v>
      </c>
      <c r="B359" s="20" t="s">
        <v>576</v>
      </c>
      <c r="C359" s="20" t="s">
        <v>56</v>
      </c>
      <c r="D359" s="20" t="s">
        <v>67</v>
      </c>
      <c r="E359" s="21">
        <f>ROUND(7408*1.05,2)</f>
      </c>
      <c r="F359" s="20" t="s">
        <v>44</v>
      </c>
      <c r="G359" s="20" t="s">
        <v>30</v>
      </c>
      <c r="H359" s="21">
        <f>ROUND(RAND()*4+6,1)</f>
      </c>
      <c r="I359" s="20" t="s">
        <v>45</v>
      </c>
      <c r="J359" s="23">
        <f>ROUND(96*1,0)&amp;"%"</f>
      </c>
    </row>
    <row x14ac:dyDescent="0.25" r="360" customHeight="1" ht="17.25">
      <c r="A360" s="17" t="s">
        <v>10065</v>
      </c>
      <c r="B360" s="17" t="s">
        <v>578</v>
      </c>
      <c r="C360" s="17" t="s">
        <v>56</v>
      </c>
      <c r="D360" s="17" t="s">
        <v>16</v>
      </c>
      <c r="E360" s="18">
        <f>ROUND(5244*1.05,2)</f>
      </c>
      <c r="F360" s="17" t="s">
        <v>48</v>
      </c>
      <c r="G360" s="17" t="s">
        <v>18</v>
      </c>
      <c r="H360" s="18">
        <f>ROUND(RAND()*4+6,1)</f>
      </c>
      <c r="I360" s="17" t="s">
        <v>19</v>
      </c>
      <c r="J360" s="19">
        <f>ROUND(67*1,0)&amp;"%"</f>
      </c>
    </row>
    <row x14ac:dyDescent="0.25" r="361" customHeight="1" ht="17.25">
      <c r="A361" s="20" t="s">
        <v>10066</v>
      </c>
      <c r="B361" s="20" t="s">
        <v>580</v>
      </c>
      <c r="C361" s="20" t="s">
        <v>56</v>
      </c>
      <c r="D361" s="20" t="s">
        <v>22</v>
      </c>
      <c r="E361" s="21">
        <f>ROUND(14830*1.05,2)</f>
      </c>
      <c r="F361" s="20" t="s">
        <v>51</v>
      </c>
      <c r="G361" s="20" t="s">
        <v>24</v>
      </c>
      <c r="H361" s="21">
        <f>ROUND(RAND()*4+6,1)</f>
      </c>
      <c r="I361" s="20" t="s">
        <v>25</v>
      </c>
      <c r="J361" s="23">
        <f>ROUND(90*1,0)&amp;"%"</f>
      </c>
    </row>
    <row x14ac:dyDescent="0.25" r="362" customHeight="1" ht="17.25">
      <c r="A362" s="24" t="s">
        <v>581</v>
      </c>
      <c r="B362" s="24"/>
      <c r="C362" s="24"/>
      <c r="D362" s="24"/>
      <c r="E362" s="25">
        <v>8</v>
      </c>
      <c r="F362" s="9"/>
      <c r="G362" s="9"/>
      <c r="H362" s="10"/>
      <c r="I362" s="9"/>
      <c r="J362" s="9"/>
    </row>
  </sheetData>
  <mergeCells count="62">
    <mergeCell ref="A1:J1"/>
    <mergeCell ref="A2:J2"/>
    <mergeCell ref="A4:J4"/>
    <mergeCell ref="A14:D14"/>
    <mergeCell ref="A16:J16"/>
    <mergeCell ref="A26:D26"/>
    <mergeCell ref="A28:J28"/>
    <mergeCell ref="A38:D38"/>
    <mergeCell ref="A40:J40"/>
    <mergeCell ref="A50:D50"/>
    <mergeCell ref="A52:J52"/>
    <mergeCell ref="A62:D62"/>
    <mergeCell ref="A64:J64"/>
    <mergeCell ref="A74:D74"/>
    <mergeCell ref="A76:J76"/>
    <mergeCell ref="A86:D86"/>
    <mergeCell ref="A88:J88"/>
    <mergeCell ref="A98:D98"/>
    <mergeCell ref="A100:J100"/>
    <mergeCell ref="A110:D110"/>
    <mergeCell ref="A112:J112"/>
    <mergeCell ref="A122:D122"/>
    <mergeCell ref="A124:J124"/>
    <mergeCell ref="A134:D134"/>
    <mergeCell ref="A136:J136"/>
    <mergeCell ref="A146:D146"/>
    <mergeCell ref="A148:J148"/>
    <mergeCell ref="A158:D158"/>
    <mergeCell ref="A160:J160"/>
    <mergeCell ref="A170:D170"/>
    <mergeCell ref="A172:J172"/>
    <mergeCell ref="A182:D182"/>
    <mergeCell ref="A184:J184"/>
    <mergeCell ref="A194:D194"/>
    <mergeCell ref="A196:J196"/>
    <mergeCell ref="A206:D206"/>
    <mergeCell ref="A208:J208"/>
    <mergeCell ref="A218:D218"/>
    <mergeCell ref="A220:J220"/>
    <mergeCell ref="A230:D230"/>
    <mergeCell ref="A232:J232"/>
    <mergeCell ref="A242:D242"/>
    <mergeCell ref="A244:J244"/>
    <mergeCell ref="A254:D254"/>
    <mergeCell ref="A256:J256"/>
    <mergeCell ref="A266:D266"/>
    <mergeCell ref="A268:J268"/>
    <mergeCell ref="A278:D278"/>
    <mergeCell ref="A280:J280"/>
    <mergeCell ref="A290:D290"/>
    <mergeCell ref="A292:J292"/>
    <mergeCell ref="A302:D302"/>
    <mergeCell ref="A304:J304"/>
    <mergeCell ref="A314:D314"/>
    <mergeCell ref="A316:J316"/>
    <mergeCell ref="A326:D326"/>
    <mergeCell ref="A328:J328"/>
    <mergeCell ref="A338:D338"/>
    <mergeCell ref="A340:J340"/>
    <mergeCell ref="A350:D350"/>
    <mergeCell ref="A352:J352"/>
    <mergeCell ref="A362:D362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J362"/>
  <sheetViews>
    <sheetView workbookViewId="0"/>
  </sheetViews>
  <sheetFormatPr defaultRowHeight="15" x14ac:dyDescent="0.25"/>
  <cols>
    <col min="1" max="1" style="27" width="8.005" customWidth="1" bestFit="1"/>
    <col min="2" max="2" style="27" width="22.005" customWidth="1" bestFit="1"/>
    <col min="3" max="3" style="27" width="16.005" customWidth="1" bestFit="1"/>
    <col min="4" max="4" style="27" width="14.005" customWidth="1" bestFit="1"/>
    <col min="5" max="5" style="28" width="12.005" customWidth="1" bestFit="1"/>
    <col min="6" max="6" style="29" width="16.005" customWidth="1" bestFit="1"/>
    <col min="7" max="7" style="29" width="10.005" customWidth="1" bestFit="1"/>
    <col min="8" max="8" style="30" width="10.005" customWidth="1" bestFit="1"/>
    <col min="9" max="9" style="29" width="14.005" customWidth="1" bestFit="1"/>
    <col min="10" max="10" style="29" width="8.005" customWidth="1" bestFit="1"/>
  </cols>
  <sheetData>
    <row x14ac:dyDescent="0.25" r="1" customHeight="1" ht="17.25">
      <c r="A1" s="1" t="s">
        <v>9525</v>
      </c>
      <c r="B1" s="1"/>
      <c r="C1" s="1"/>
      <c r="D1" s="1"/>
      <c r="E1" s="2"/>
      <c r="F1" s="1"/>
      <c r="G1" s="1"/>
      <c r="H1" s="3"/>
      <c r="I1" s="1"/>
      <c r="J1" s="1"/>
    </row>
    <row x14ac:dyDescent="0.25" r="2" customHeight="1" ht="17.25">
      <c r="A2" s="4" t="s">
        <v>1</v>
      </c>
      <c r="B2" s="4"/>
      <c r="C2" s="4"/>
      <c r="D2" s="4"/>
      <c r="E2" s="5"/>
      <c r="F2" s="4"/>
      <c r="G2" s="4"/>
      <c r="H2" s="6"/>
      <c r="I2" s="4"/>
      <c r="J2" s="4"/>
    </row>
    <row x14ac:dyDescent="0.25" r="3" customHeight="1" ht="17.25">
      <c r="A3" s="7"/>
      <c r="B3" s="7"/>
      <c r="C3" s="7"/>
      <c r="D3" s="7"/>
      <c r="E3" s="8"/>
      <c r="F3" s="9"/>
      <c r="G3" s="9"/>
      <c r="H3" s="10"/>
      <c r="I3" s="9"/>
      <c r="J3" s="9"/>
    </row>
    <row x14ac:dyDescent="0.25" r="4" customHeight="1" ht="17.25">
      <c r="A4" s="11" t="s">
        <v>9526</v>
      </c>
      <c r="B4" s="11"/>
      <c r="C4" s="11"/>
      <c r="D4" s="11"/>
      <c r="E4" s="12"/>
      <c r="F4" s="11"/>
      <c r="G4" s="11"/>
      <c r="H4" s="13"/>
      <c r="I4" s="11"/>
      <c r="J4" s="11"/>
    </row>
    <row x14ac:dyDescent="0.25" r="5" customHeight="1" ht="17.25">
      <c r="A5" s="14" t="s">
        <v>3</v>
      </c>
      <c r="B5" s="14" t="s">
        <v>4</v>
      </c>
      <c r="C5" s="14" t="s">
        <v>5</v>
      </c>
      <c r="D5" s="14" t="s">
        <v>6</v>
      </c>
      <c r="E5" s="15" t="s">
        <v>7</v>
      </c>
      <c r="F5" s="14" t="s">
        <v>8</v>
      </c>
      <c r="G5" s="14" t="s">
        <v>9</v>
      </c>
      <c r="H5" s="16" t="s">
        <v>10</v>
      </c>
      <c r="I5" s="14" t="s">
        <v>11</v>
      </c>
      <c r="J5" s="14" t="s">
        <v>12</v>
      </c>
    </row>
    <row x14ac:dyDescent="0.25" r="6" customHeight="1" ht="17.25">
      <c r="A6" s="17" t="s">
        <v>9527</v>
      </c>
      <c r="B6" s="17" t="s">
        <v>14</v>
      </c>
      <c r="C6" s="17" t="s">
        <v>15</v>
      </c>
      <c r="D6" s="17" t="s">
        <v>16</v>
      </c>
      <c r="E6" s="18">
        <f>ROUND(16441*1.05,2)</f>
      </c>
      <c r="F6" s="17" t="s">
        <v>17</v>
      </c>
      <c r="G6" s="17" t="s">
        <v>18</v>
      </c>
      <c r="H6" s="18">
        <f>ROUND(RAND()*4+6,1)</f>
      </c>
      <c r="I6" s="17" t="s">
        <v>19</v>
      </c>
      <c r="J6" s="19">
        <f>ROUND(90*1,0)&amp;"%"</f>
      </c>
    </row>
    <row x14ac:dyDescent="0.25" r="7" customHeight="1" ht="17.25">
      <c r="A7" s="20" t="s">
        <v>9528</v>
      </c>
      <c r="B7" s="20" t="s">
        <v>21</v>
      </c>
      <c r="C7" s="20" t="s">
        <v>15</v>
      </c>
      <c r="D7" s="20" t="s">
        <v>22</v>
      </c>
      <c r="E7" s="21">
        <f>ROUND(7551*1.05,2)</f>
      </c>
      <c r="F7" s="20" t="s">
        <v>23</v>
      </c>
      <c r="G7" s="20" t="s">
        <v>24</v>
      </c>
      <c r="H7" s="21">
        <f>ROUND(RAND()*4+6,1)</f>
      </c>
      <c r="I7" s="20" t="s">
        <v>25</v>
      </c>
      <c r="J7" s="23">
        <f>ROUND(89*1,0)&amp;"%"</f>
      </c>
    </row>
    <row x14ac:dyDescent="0.25" r="8" customHeight="1" ht="17.25">
      <c r="A8" s="17" t="s">
        <v>9529</v>
      </c>
      <c r="B8" s="17" t="s">
        <v>27</v>
      </c>
      <c r="C8" s="17" t="s">
        <v>15</v>
      </c>
      <c r="D8" s="17" t="s">
        <v>28</v>
      </c>
      <c r="E8" s="18">
        <f>ROUND(6699*1.05,2)</f>
      </c>
      <c r="F8" s="17" t="s">
        <v>29</v>
      </c>
      <c r="G8" s="17" t="s">
        <v>30</v>
      </c>
      <c r="H8" s="18">
        <f>ROUND(RAND()*4+6,1)</f>
      </c>
      <c r="I8" s="17" t="s">
        <v>31</v>
      </c>
      <c r="J8" s="19">
        <f>ROUND(73*1,0)&amp;"%"</f>
      </c>
    </row>
    <row x14ac:dyDescent="0.25" r="9" customHeight="1" ht="17.25">
      <c r="A9" s="20" t="s">
        <v>9530</v>
      </c>
      <c r="B9" s="20" t="s">
        <v>33</v>
      </c>
      <c r="C9" s="20" t="s">
        <v>15</v>
      </c>
      <c r="D9" s="20" t="s">
        <v>34</v>
      </c>
      <c r="E9" s="21">
        <f>ROUND(17968*1.05,2)</f>
      </c>
      <c r="F9" s="20" t="s">
        <v>35</v>
      </c>
      <c r="G9" s="20" t="s">
        <v>18</v>
      </c>
      <c r="H9" s="21">
        <f>ROUND(RAND()*4+6,1)</f>
      </c>
      <c r="I9" s="20" t="s">
        <v>36</v>
      </c>
      <c r="J9" s="23">
        <f>ROUND(97*1,0)&amp;"%"</f>
      </c>
    </row>
    <row x14ac:dyDescent="0.25" r="10" customHeight="1" ht="17.25">
      <c r="A10" s="17" t="s">
        <v>9531</v>
      </c>
      <c r="B10" s="17" t="s">
        <v>38</v>
      </c>
      <c r="C10" s="17" t="s">
        <v>15</v>
      </c>
      <c r="D10" s="17" t="s">
        <v>39</v>
      </c>
      <c r="E10" s="18">
        <f>ROUND(9621*1.05,2)</f>
      </c>
      <c r="F10" s="17" t="s">
        <v>40</v>
      </c>
      <c r="G10" s="17" t="s">
        <v>24</v>
      </c>
      <c r="H10" s="18">
        <f>ROUND(RAND()*4+6,1)</f>
      </c>
      <c r="I10" s="17" t="s">
        <v>41</v>
      </c>
      <c r="J10" s="19">
        <f>ROUND(70*1,0)&amp;"%"</f>
      </c>
    </row>
    <row x14ac:dyDescent="0.25" r="11" customHeight="1" ht="17.25">
      <c r="A11" s="20" t="s">
        <v>9532</v>
      </c>
      <c r="B11" s="20" t="s">
        <v>43</v>
      </c>
      <c r="C11" s="20" t="s">
        <v>15</v>
      </c>
      <c r="D11" s="20" t="s">
        <v>67</v>
      </c>
      <c r="E11" s="21">
        <f>ROUND(10752*1.05,2)</f>
      </c>
      <c r="F11" s="20" t="s">
        <v>44</v>
      </c>
      <c r="G11" s="20" t="s">
        <v>30</v>
      </c>
      <c r="H11" s="21">
        <f>ROUND(RAND()*4+6,1)</f>
      </c>
      <c r="I11" s="20" t="s">
        <v>45</v>
      </c>
      <c r="J11" s="23">
        <f>ROUND(95*1,0)&amp;"%"</f>
      </c>
    </row>
    <row x14ac:dyDescent="0.25" r="12" customHeight="1" ht="17.25">
      <c r="A12" s="17" t="s">
        <v>9533</v>
      </c>
      <c r="B12" s="17" t="s">
        <v>47</v>
      </c>
      <c r="C12" s="17" t="s">
        <v>15</v>
      </c>
      <c r="D12" s="17" t="s">
        <v>16</v>
      </c>
      <c r="E12" s="18">
        <f>ROUND(4613*1.05,2)</f>
      </c>
      <c r="F12" s="17" t="s">
        <v>48</v>
      </c>
      <c r="G12" s="17" t="s">
        <v>18</v>
      </c>
      <c r="H12" s="18">
        <f>ROUND(RAND()*4+6,1)</f>
      </c>
      <c r="I12" s="17" t="s">
        <v>19</v>
      </c>
      <c r="J12" s="19">
        <f>ROUND(77*1,0)&amp;"%"</f>
      </c>
    </row>
    <row x14ac:dyDescent="0.25" r="13" customHeight="1" ht="17.25">
      <c r="A13" s="20" t="s">
        <v>9534</v>
      </c>
      <c r="B13" s="20" t="s">
        <v>50</v>
      </c>
      <c r="C13" s="20" t="s">
        <v>15</v>
      </c>
      <c r="D13" s="20" t="s">
        <v>22</v>
      </c>
      <c r="E13" s="21">
        <f>ROUND(13279*1.05,2)</f>
      </c>
      <c r="F13" s="20" t="s">
        <v>51</v>
      </c>
      <c r="G13" s="20" t="s">
        <v>24</v>
      </c>
      <c r="H13" s="21">
        <f>ROUND(RAND()*4+6,1)</f>
      </c>
      <c r="I13" s="20" t="s">
        <v>25</v>
      </c>
      <c r="J13" s="23">
        <f>ROUND(100*1,0)&amp;"%"</f>
      </c>
    </row>
    <row x14ac:dyDescent="0.25" r="14" customHeight="1" ht="17.25">
      <c r="A14" s="24" t="s">
        <v>52</v>
      </c>
      <c r="B14" s="24"/>
      <c r="C14" s="24"/>
      <c r="D14" s="24"/>
      <c r="E14" s="25">
        <v>8</v>
      </c>
      <c r="F14" s="9"/>
      <c r="G14" s="9"/>
      <c r="H14" s="10"/>
      <c r="I14" s="9"/>
      <c r="J14" s="9"/>
    </row>
    <row x14ac:dyDescent="0.25" r="15" customHeight="1" ht="17.25">
      <c r="A15" s="7"/>
      <c r="B15" s="7"/>
      <c r="C15" s="7"/>
      <c r="D15" s="7"/>
      <c r="E15" s="8"/>
      <c r="F15" s="9"/>
      <c r="G15" s="9"/>
      <c r="H15" s="10"/>
      <c r="I15" s="9"/>
      <c r="J15" s="9"/>
    </row>
    <row x14ac:dyDescent="0.25" r="16" customHeight="1" ht="17.25">
      <c r="A16" s="11" t="s">
        <v>9535</v>
      </c>
      <c r="B16" s="11"/>
      <c r="C16" s="11"/>
      <c r="D16" s="11"/>
      <c r="E16" s="12"/>
      <c r="F16" s="11"/>
      <c r="G16" s="11"/>
      <c r="H16" s="13"/>
      <c r="I16" s="11"/>
      <c r="J16" s="11"/>
    </row>
    <row x14ac:dyDescent="0.25" r="17" customHeight="1" ht="17.25">
      <c r="A17" s="14" t="s">
        <v>3</v>
      </c>
      <c r="B17" s="14" t="s">
        <v>4</v>
      </c>
      <c r="C17" s="14" t="s">
        <v>5</v>
      </c>
      <c r="D17" s="14" t="s">
        <v>6</v>
      </c>
      <c r="E17" s="15" t="s">
        <v>7</v>
      </c>
      <c r="F17" s="14" t="s">
        <v>8</v>
      </c>
      <c r="G17" s="14" t="s">
        <v>9</v>
      </c>
      <c r="H17" s="16" t="s">
        <v>10</v>
      </c>
      <c r="I17" s="14" t="s">
        <v>11</v>
      </c>
      <c r="J17" s="14" t="s">
        <v>12</v>
      </c>
    </row>
    <row x14ac:dyDescent="0.25" r="18" customHeight="1" ht="17.25">
      <c r="A18" s="17" t="s">
        <v>9536</v>
      </c>
      <c r="B18" s="17" t="s">
        <v>55</v>
      </c>
      <c r="C18" s="17" t="s">
        <v>56</v>
      </c>
      <c r="D18" s="17" t="s">
        <v>16</v>
      </c>
      <c r="E18" s="18">
        <f>ROUND(12631*1.05,2)</f>
      </c>
      <c r="F18" s="17" t="s">
        <v>17</v>
      </c>
      <c r="G18" s="17" t="s">
        <v>18</v>
      </c>
      <c r="H18" s="18">
        <f>ROUND(RAND()*4+6,1)</f>
      </c>
      <c r="I18" s="17" t="s">
        <v>19</v>
      </c>
      <c r="J18" s="19">
        <f>ROUND(94*1,0)&amp;"%"</f>
      </c>
    </row>
    <row x14ac:dyDescent="0.25" r="19" customHeight="1" ht="17.25">
      <c r="A19" s="20" t="s">
        <v>9537</v>
      </c>
      <c r="B19" s="20" t="s">
        <v>58</v>
      </c>
      <c r="C19" s="20" t="s">
        <v>56</v>
      </c>
      <c r="D19" s="20" t="s">
        <v>22</v>
      </c>
      <c r="E19" s="21">
        <f>ROUND(6728*1.05,2)</f>
      </c>
      <c r="F19" s="20" t="s">
        <v>23</v>
      </c>
      <c r="G19" s="20" t="s">
        <v>24</v>
      </c>
      <c r="H19" s="21">
        <f>ROUND(RAND()*4+6,1)</f>
      </c>
      <c r="I19" s="20" t="s">
        <v>25</v>
      </c>
      <c r="J19" s="23">
        <f>ROUND(82*1,0)&amp;"%"</f>
      </c>
    </row>
    <row x14ac:dyDescent="0.25" r="20" customHeight="1" ht="17.25">
      <c r="A20" s="17" t="s">
        <v>9538</v>
      </c>
      <c r="B20" s="17" t="s">
        <v>60</v>
      </c>
      <c r="C20" s="17" t="s">
        <v>56</v>
      </c>
      <c r="D20" s="17" t="s">
        <v>28</v>
      </c>
      <c r="E20" s="18">
        <f>ROUND(17119*1.05,2)</f>
      </c>
      <c r="F20" s="17" t="s">
        <v>29</v>
      </c>
      <c r="G20" s="17" t="s">
        <v>30</v>
      </c>
      <c r="H20" s="18">
        <f>ROUND(RAND()*4+6,1)</f>
      </c>
      <c r="I20" s="17" t="s">
        <v>31</v>
      </c>
      <c r="J20" s="19">
        <f>ROUND(69*1,0)&amp;"%"</f>
      </c>
    </row>
    <row x14ac:dyDescent="0.25" r="21" customHeight="1" ht="17.25">
      <c r="A21" s="20" t="s">
        <v>9539</v>
      </c>
      <c r="B21" s="20" t="s">
        <v>62</v>
      </c>
      <c r="C21" s="20" t="s">
        <v>56</v>
      </c>
      <c r="D21" s="20" t="s">
        <v>34</v>
      </c>
      <c r="E21" s="21">
        <f>ROUND(13062*1.05,2)</f>
      </c>
      <c r="F21" s="20" t="s">
        <v>35</v>
      </c>
      <c r="G21" s="20" t="s">
        <v>18</v>
      </c>
      <c r="H21" s="21">
        <f>ROUND(RAND()*4+6,1)</f>
      </c>
      <c r="I21" s="20" t="s">
        <v>36</v>
      </c>
      <c r="J21" s="23">
        <f>ROUND(64*1,0)&amp;"%"</f>
      </c>
    </row>
    <row x14ac:dyDescent="0.25" r="22" customHeight="1" ht="17.25">
      <c r="A22" s="17" t="s">
        <v>9540</v>
      </c>
      <c r="B22" s="17" t="s">
        <v>64</v>
      </c>
      <c r="C22" s="17" t="s">
        <v>56</v>
      </c>
      <c r="D22" s="17" t="s">
        <v>39</v>
      </c>
      <c r="E22" s="18">
        <f>ROUND(8871*1.05,2)</f>
      </c>
      <c r="F22" s="17" t="s">
        <v>40</v>
      </c>
      <c r="G22" s="17" t="s">
        <v>24</v>
      </c>
      <c r="H22" s="18">
        <f>ROUND(RAND()*4+6,1)</f>
      </c>
      <c r="I22" s="17" t="s">
        <v>41</v>
      </c>
      <c r="J22" s="19">
        <f>ROUND(61*1,0)&amp;"%"</f>
      </c>
    </row>
    <row x14ac:dyDescent="0.25" r="23" customHeight="1" ht="17.25">
      <c r="A23" s="20" t="s">
        <v>9541</v>
      </c>
      <c r="B23" s="20" t="s">
        <v>66</v>
      </c>
      <c r="C23" s="20" t="s">
        <v>56</v>
      </c>
      <c r="D23" s="20" t="s">
        <v>67</v>
      </c>
      <c r="E23" s="21">
        <f>ROUND(5164*1.05,2)</f>
      </c>
      <c r="F23" s="20" t="s">
        <v>44</v>
      </c>
      <c r="G23" s="20" t="s">
        <v>30</v>
      </c>
      <c r="H23" s="21">
        <f>ROUND(RAND()*4+6,1)</f>
      </c>
      <c r="I23" s="20" t="s">
        <v>45</v>
      </c>
      <c r="J23" s="23">
        <f>ROUND(80*1,0)&amp;"%"</f>
      </c>
    </row>
    <row x14ac:dyDescent="0.25" r="24" customHeight="1" ht="17.25">
      <c r="A24" s="17" t="s">
        <v>9542</v>
      </c>
      <c r="B24" s="17" t="s">
        <v>69</v>
      </c>
      <c r="C24" s="17" t="s">
        <v>56</v>
      </c>
      <c r="D24" s="17" t="s">
        <v>16</v>
      </c>
      <c r="E24" s="18">
        <f>ROUND(8194*1.05,2)</f>
      </c>
      <c r="F24" s="17" t="s">
        <v>48</v>
      </c>
      <c r="G24" s="17" t="s">
        <v>18</v>
      </c>
      <c r="H24" s="18">
        <f>ROUND(RAND()*4+6,1)</f>
      </c>
      <c r="I24" s="17" t="s">
        <v>19</v>
      </c>
      <c r="J24" s="19">
        <f>ROUND(72*1,0)&amp;"%"</f>
      </c>
    </row>
    <row x14ac:dyDescent="0.25" r="25" customHeight="1" ht="17.25">
      <c r="A25" s="20" t="s">
        <v>9543</v>
      </c>
      <c r="B25" s="20" t="s">
        <v>71</v>
      </c>
      <c r="C25" s="20" t="s">
        <v>56</v>
      </c>
      <c r="D25" s="20" t="s">
        <v>22</v>
      </c>
      <c r="E25" s="21">
        <f>ROUND(11038*1.05,2)</f>
      </c>
      <c r="F25" s="20" t="s">
        <v>51</v>
      </c>
      <c r="G25" s="20" t="s">
        <v>24</v>
      </c>
      <c r="H25" s="21">
        <f>ROUND(RAND()*4+6,1)</f>
      </c>
      <c r="I25" s="20" t="s">
        <v>25</v>
      </c>
      <c r="J25" s="23">
        <f>ROUND(63*1,0)&amp;"%"</f>
      </c>
    </row>
    <row x14ac:dyDescent="0.25" r="26" customHeight="1" ht="17.25">
      <c r="A26" s="24" t="s">
        <v>72</v>
      </c>
      <c r="B26" s="24"/>
      <c r="C26" s="24"/>
      <c r="D26" s="24"/>
      <c r="E26" s="25">
        <v>8</v>
      </c>
      <c r="F26" s="9"/>
      <c r="G26" s="9"/>
      <c r="H26" s="10"/>
      <c r="I26" s="9"/>
      <c r="J26" s="9"/>
    </row>
    <row x14ac:dyDescent="0.25" r="27" customHeight="1" ht="17.25">
      <c r="A27" s="7"/>
      <c r="B27" s="7"/>
      <c r="C27" s="7"/>
      <c r="D27" s="7"/>
      <c r="E27" s="8"/>
      <c r="F27" s="9"/>
      <c r="G27" s="9"/>
      <c r="H27" s="10"/>
      <c r="I27" s="9"/>
      <c r="J27" s="9"/>
    </row>
    <row x14ac:dyDescent="0.25" r="28" customHeight="1" ht="17.25">
      <c r="A28" s="11" t="s">
        <v>9544</v>
      </c>
      <c r="B28" s="11"/>
      <c r="C28" s="11"/>
      <c r="D28" s="11"/>
      <c r="E28" s="12"/>
      <c r="F28" s="11"/>
      <c r="G28" s="11"/>
      <c r="H28" s="13"/>
      <c r="I28" s="11"/>
      <c r="J28" s="11"/>
    </row>
    <row x14ac:dyDescent="0.25" r="29" customHeight="1" ht="17.25">
      <c r="A29" s="14" t="s">
        <v>3</v>
      </c>
      <c r="B29" s="14" t="s">
        <v>4</v>
      </c>
      <c r="C29" s="14" t="s">
        <v>5</v>
      </c>
      <c r="D29" s="14" t="s">
        <v>6</v>
      </c>
      <c r="E29" s="15" t="s">
        <v>7</v>
      </c>
      <c r="F29" s="14" t="s">
        <v>8</v>
      </c>
      <c r="G29" s="14" t="s">
        <v>9</v>
      </c>
      <c r="H29" s="16" t="s">
        <v>10</v>
      </c>
      <c r="I29" s="14" t="s">
        <v>11</v>
      </c>
      <c r="J29" s="14" t="s">
        <v>12</v>
      </c>
    </row>
    <row x14ac:dyDescent="0.25" r="30" customHeight="1" ht="17.25">
      <c r="A30" s="17" t="s">
        <v>9545</v>
      </c>
      <c r="B30" s="17" t="s">
        <v>75</v>
      </c>
      <c r="C30" s="17" t="s">
        <v>76</v>
      </c>
      <c r="D30" s="17" t="s">
        <v>16</v>
      </c>
      <c r="E30" s="18">
        <f>ROUND(17065*1.05,2)</f>
      </c>
      <c r="F30" s="17" t="s">
        <v>17</v>
      </c>
      <c r="G30" s="17" t="s">
        <v>18</v>
      </c>
      <c r="H30" s="18">
        <f>ROUND(RAND()*4+6,1)</f>
      </c>
      <c r="I30" s="17" t="s">
        <v>19</v>
      </c>
      <c r="J30" s="19">
        <f>ROUND(60*1,0)&amp;"%"</f>
      </c>
    </row>
    <row x14ac:dyDescent="0.25" r="31" customHeight="1" ht="17.25">
      <c r="A31" s="20" t="s">
        <v>9546</v>
      </c>
      <c r="B31" s="20" t="s">
        <v>78</v>
      </c>
      <c r="C31" s="20" t="s">
        <v>76</v>
      </c>
      <c r="D31" s="20" t="s">
        <v>22</v>
      </c>
      <c r="E31" s="21">
        <f>ROUND(14249*1.05,2)</f>
      </c>
      <c r="F31" s="20" t="s">
        <v>23</v>
      </c>
      <c r="G31" s="20" t="s">
        <v>24</v>
      </c>
      <c r="H31" s="21">
        <f>ROUND(RAND()*4+6,1)</f>
      </c>
      <c r="I31" s="20" t="s">
        <v>25</v>
      </c>
      <c r="J31" s="23">
        <f>ROUND(88*1,0)&amp;"%"</f>
      </c>
    </row>
    <row x14ac:dyDescent="0.25" r="32" customHeight="1" ht="17.25">
      <c r="A32" s="17" t="s">
        <v>9547</v>
      </c>
      <c r="B32" s="17" t="s">
        <v>80</v>
      </c>
      <c r="C32" s="17" t="s">
        <v>76</v>
      </c>
      <c r="D32" s="17" t="s">
        <v>28</v>
      </c>
      <c r="E32" s="18">
        <f>ROUND(15723*1.05,2)</f>
      </c>
      <c r="F32" s="17" t="s">
        <v>29</v>
      </c>
      <c r="G32" s="17" t="s">
        <v>30</v>
      </c>
      <c r="H32" s="18">
        <f>ROUND(RAND()*4+6,1)</f>
      </c>
      <c r="I32" s="17" t="s">
        <v>31</v>
      </c>
      <c r="J32" s="19">
        <f>ROUND(96*1,0)&amp;"%"</f>
      </c>
    </row>
    <row x14ac:dyDescent="0.25" r="33" customHeight="1" ht="17.25">
      <c r="A33" s="20" t="s">
        <v>9548</v>
      </c>
      <c r="B33" s="20" t="s">
        <v>82</v>
      </c>
      <c r="C33" s="20" t="s">
        <v>76</v>
      </c>
      <c r="D33" s="20" t="s">
        <v>34</v>
      </c>
      <c r="E33" s="21">
        <f>ROUND(4538*1.05,2)</f>
      </c>
      <c r="F33" s="20" t="s">
        <v>35</v>
      </c>
      <c r="G33" s="20" t="s">
        <v>18</v>
      </c>
      <c r="H33" s="21">
        <f>ROUND(RAND()*4+6,1)</f>
      </c>
      <c r="I33" s="20" t="s">
        <v>36</v>
      </c>
      <c r="J33" s="23">
        <f>ROUND(92*1,0)&amp;"%"</f>
      </c>
    </row>
    <row x14ac:dyDescent="0.25" r="34" customHeight="1" ht="17.25">
      <c r="A34" s="17" t="s">
        <v>9549</v>
      </c>
      <c r="B34" s="17" t="s">
        <v>84</v>
      </c>
      <c r="C34" s="17" t="s">
        <v>76</v>
      </c>
      <c r="D34" s="17" t="s">
        <v>39</v>
      </c>
      <c r="E34" s="18">
        <f>ROUND(10502*1.05,2)</f>
      </c>
      <c r="F34" s="17" t="s">
        <v>40</v>
      </c>
      <c r="G34" s="17" t="s">
        <v>24</v>
      </c>
      <c r="H34" s="18">
        <f>ROUND(RAND()*4+6,1)</f>
      </c>
      <c r="I34" s="17" t="s">
        <v>41</v>
      </c>
      <c r="J34" s="19">
        <f>ROUND(65*1,0)&amp;"%"</f>
      </c>
    </row>
    <row x14ac:dyDescent="0.25" r="35" customHeight="1" ht="17.25">
      <c r="A35" s="20" t="s">
        <v>9550</v>
      </c>
      <c r="B35" s="20" t="s">
        <v>86</v>
      </c>
      <c r="C35" s="20" t="s">
        <v>76</v>
      </c>
      <c r="D35" s="20" t="s">
        <v>67</v>
      </c>
      <c r="E35" s="21">
        <f>ROUND(10513*1.05,2)</f>
      </c>
      <c r="F35" s="20" t="s">
        <v>44</v>
      </c>
      <c r="G35" s="20" t="s">
        <v>30</v>
      </c>
      <c r="H35" s="21">
        <f>ROUND(RAND()*4+6,1)</f>
      </c>
      <c r="I35" s="20" t="s">
        <v>45</v>
      </c>
      <c r="J35" s="23">
        <f>ROUND(90*1,0)&amp;"%"</f>
      </c>
    </row>
    <row x14ac:dyDescent="0.25" r="36" customHeight="1" ht="17.25">
      <c r="A36" s="17" t="s">
        <v>9551</v>
      </c>
      <c r="B36" s="17" t="s">
        <v>88</v>
      </c>
      <c r="C36" s="17" t="s">
        <v>76</v>
      </c>
      <c r="D36" s="17" t="s">
        <v>16</v>
      </c>
      <c r="E36" s="18">
        <f>ROUND(15258*1.05,2)</f>
      </c>
      <c r="F36" s="17" t="s">
        <v>48</v>
      </c>
      <c r="G36" s="17" t="s">
        <v>18</v>
      </c>
      <c r="H36" s="26">
        <f>ROUND(RAND()*4+6,1)</f>
      </c>
      <c r="I36" s="17" t="s">
        <v>19</v>
      </c>
      <c r="J36" s="19">
        <f>ROUND(85*1,0)&amp;"%"</f>
      </c>
    </row>
    <row x14ac:dyDescent="0.25" r="37" customHeight="1" ht="17.25">
      <c r="A37" s="20" t="s">
        <v>9552</v>
      </c>
      <c r="B37" s="20" t="s">
        <v>90</v>
      </c>
      <c r="C37" s="20" t="s">
        <v>76</v>
      </c>
      <c r="D37" s="20" t="s">
        <v>22</v>
      </c>
      <c r="E37" s="21">
        <f>ROUND(17876*1.05,2)</f>
      </c>
      <c r="F37" s="20" t="s">
        <v>51</v>
      </c>
      <c r="G37" s="20" t="s">
        <v>24</v>
      </c>
      <c r="H37" s="21">
        <f>ROUND(RAND()*4+6,1)</f>
      </c>
      <c r="I37" s="20" t="s">
        <v>25</v>
      </c>
      <c r="J37" s="23">
        <f>ROUND(72*1,0)&amp;"%"</f>
      </c>
    </row>
    <row x14ac:dyDescent="0.25" r="38" customHeight="1" ht="17.25">
      <c r="A38" s="24" t="s">
        <v>91</v>
      </c>
      <c r="B38" s="24"/>
      <c r="C38" s="24"/>
      <c r="D38" s="24"/>
      <c r="E38" s="25">
        <v>8</v>
      </c>
      <c r="F38" s="9"/>
      <c r="G38" s="9"/>
      <c r="H38" s="10"/>
      <c r="I38" s="9"/>
      <c r="J38" s="9"/>
    </row>
    <row x14ac:dyDescent="0.25" r="39" customHeight="1" ht="17.25">
      <c r="A39" s="7"/>
      <c r="B39" s="7"/>
      <c r="C39" s="7"/>
      <c r="D39" s="7"/>
      <c r="E39" s="8"/>
      <c r="F39" s="9"/>
      <c r="G39" s="9"/>
      <c r="H39" s="10"/>
      <c r="I39" s="9"/>
      <c r="J39" s="9"/>
    </row>
    <row x14ac:dyDescent="0.25" r="40" customHeight="1" ht="17.25">
      <c r="A40" s="11" t="s">
        <v>9553</v>
      </c>
      <c r="B40" s="11"/>
      <c r="C40" s="11"/>
      <c r="D40" s="11"/>
      <c r="E40" s="12"/>
      <c r="F40" s="11"/>
      <c r="G40" s="11"/>
      <c r="H40" s="13"/>
      <c r="I40" s="11"/>
      <c r="J40" s="11"/>
    </row>
    <row x14ac:dyDescent="0.25" r="41" customHeight="1" ht="17.25">
      <c r="A41" s="14" t="s">
        <v>3</v>
      </c>
      <c r="B41" s="14" t="s">
        <v>4</v>
      </c>
      <c r="C41" s="14" t="s">
        <v>5</v>
      </c>
      <c r="D41" s="14" t="s">
        <v>6</v>
      </c>
      <c r="E41" s="15" t="s">
        <v>7</v>
      </c>
      <c r="F41" s="14" t="s">
        <v>8</v>
      </c>
      <c r="G41" s="14" t="s">
        <v>9</v>
      </c>
      <c r="H41" s="16" t="s">
        <v>10</v>
      </c>
      <c r="I41" s="14" t="s">
        <v>11</v>
      </c>
      <c r="J41" s="14" t="s">
        <v>12</v>
      </c>
    </row>
    <row x14ac:dyDescent="0.25" r="42" customHeight="1" ht="17.25">
      <c r="A42" s="17" t="s">
        <v>9554</v>
      </c>
      <c r="B42" s="17" t="s">
        <v>94</v>
      </c>
      <c r="C42" s="17" t="s">
        <v>95</v>
      </c>
      <c r="D42" s="17" t="s">
        <v>16</v>
      </c>
      <c r="E42" s="26">
        <f>ROUND(11100*1.05,2)</f>
      </c>
      <c r="F42" s="17" t="s">
        <v>17</v>
      </c>
      <c r="G42" s="17" t="s">
        <v>18</v>
      </c>
      <c r="H42" s="18">
        <f>ROUND(RAND()*4+6,1)</f>
      </c>
      <c r="I42" s="17" t="s">
        <v>19</v>
      </c>
      <c r="J42" s="19">
        <f>ROUND(72*1,0)&amp;"%"</f>
      </c>
    </row>
    <row x14ac:dyDescent="0.25" r="43" customHeight="1" ht="17.25">
      <c r="A43" s="20" t="s">
        <v>9555</v>
      </c>
      <c r="B43" s="20" t="s">
        <v>97</v>
      </c>
      <c r="C43" s="20" t="s">
        <v>95</v>
      </c>
      <c r="D43" s="20" t="s">
        <v>22</v>
      </c>
      <c r="E43" s="21">
        <f>ROUND(12227*1.05,2)</f>
      </c>
      <c r="F43" s="20" t="s">
        <v>23</v>
      </c>
      <c r="G43" s="20" t="s">
        <v>24</v>
      </c>
      <c r="H43" s="21">
        <f>ROUND(RAND()*4+6,1)</f>
      </c>
      <c r="I43" s="20" t="s">
        <v>25</v>
      </c>
      <c r="J43" s="23">
        <f>ROUND(76*1,0)&amp;"%"</f>
      </c>
    </row>
    <row x14ac:dyDescent="0.25" r="44" customHeight="1" ht="17.25">
      <c r="A44" s="17" t="s">
        <v>9556</v>
      </c>
      <c r="B44" s="17" t="s">
        <v>99</v>
      </c>
      <c r="C44" s="17" t="s">
        <v>95</v>
      </c>
      <c r="D44" s="17" t="s">
        <v>28</v>
      </c>
      <c r="E44" s="18">
        <f>ROUND(7889*1.05,2)</f>
      </c>
      <c r="F44" s="17" t="s">
        <v>29</v>
      </c>
      <c r="G44" s="17" t="s">
        <v>30</v>
      </c>
      <c r="H44" s="18">
        <f>ROUND(RAND()*4+6,1)</f>
      </c>
      <c r="I44" s="17" t="s">
        <v>31</v>
      </c>
      <c r="J44" s="19">
        <f>ROUND(82*1,0)&amp;"%"</f>
      </c>
    </row>
    <row x14ac:dyDescent="0.25" r="45" customHeight="1" ht="17.25">
      <c r="A45" s="20" t="s">
        <v>9557</v>
      </c>
      <c r="B45" s="20" t="s">
        <v>101</v>
      </c>
      <c r="C45" s="20" t="s">
        <v>95</v>
      </c>
      <c r="D45" s="20" t="s">
        <v>34</v>
      </c>
      <c r="E45" s="21">
        <f>ROUND(13037*1.05,2)</f>
      </c>
      <c r="F45" s="20" t="s">
        <v>35</v>
      </c>
      <c r="G45" s="20" t="s">
        <v>18</v>
      </c>
      <c r="H45" s="21">
        <f>ROUND(RAND()*4+6,1)</f>
      </c>
      <c r="I45" s="20" t="s">
        <v>36</v>
      </c>
      <c r="J45" s="23">
        <f>ROUND(60*1,0)&amp;"%"</f>
      </c>
    </row>
    <row x14ac:dyDescent="0.25" r="46" customHeight="1" ht="17.25">
      <c r="A46" s="17" t="s">
        <v>9558</v>
      </c>
      <c r="B46" s="17" t="s">
        <v>103</v>
      </c>
      <c r="C46" s="17" t="s">
        <v>95</v>
      </c>
      <c r="D46" s="17" t="s">
        <v>39</v>
      </c>
      <c r="E46" s="18">
        <f>ROUND(9112*1.05,2)</f>
      </c>
      <c r="F46" s="17" t="s">
        <v>40</v>
      </c>
      <c r="G46" s="17" t="s">
        <v>24</v>
      </c>
      <c r="H46" s="18">
        <f>ROUND(RAND()*4+6,1)</f>
      </c>
      <c r="I46" s="17" t="s">
        <v>41</v>
      </c>
      <c r="J46" s="19">
        <f>ROUND(99*1,0)&amp;"%"</f>
      </c>
    </row>
    <row x14ac:dyDescent="0.25" r="47" customHeight="1" ht="17.25">
      <c r="A47" s="20" t="s">
        <v>9559</v>
      </c>
      <c r="B47" s="20" t="s">
        <v>105</v>
      </c>
      <c r="C47" s="20" t="s">
        <v>95</v>
      </c>
      <c r="D47" s="20" t="s">
        <v>67</v>
      </c>
      <c r="E47" s="21">
        <f>ROUND(10986*1.05,2)</f>
      </c>
      <c r="F47" s="20" t="s">
        <v>44</v>
      </c>
      <c r="G47" s="20" t="s">
        <v>30</v>
      </c>
      <c r="H47" s="21">
        <f>ROUND(RAND()*4+6,1)</f>
      </c>
      <c r="I47" s="20" t="s">
        <v>45</v>
      </c>
      <c r="J47" s="23">
        <f>ROUND(64*1,0)&amp;"%"</f>
      </c>
    </row>
    <row x14ac:dyDescent="0.25" r="48" customHeight="1" ht="17.25">
      <c r="A48" s="17" t="s">
        <v>9560</v>
      </c>
      <c r="B48" s="17" t="s">
        <v>107</v>
      </c>
      <c r="C48" s="17" t="s">
        <v>95</v>
      </c>
      <c r="D48" s="17" t="s">
        <v>16</v>
      </c>
      <c r="E48" s="18">
        <f>ROUND(4325*1.05,2)</f>
      </c>
      <c r="F48" s="17" t="s">
        <v>48</v>
      </c>
      <c r="G48" s="17" t="s">
        <v>18</v>
      </c>
      <c r="H48" s="18">
        <f>ROUND(RAND()*4+6,1)</f>
      </c>
      <c r="I48" s="17" t="s">
        <v>19</v>
      </c>
      <c r="J48" s="19">
        <f>ROUND(64*1,0)&amp;"%"</f>
      </c>
    </row>
    <row x14ac:dyDescent="0.25" r="49" customHeight="1" ht="17.25">
      <c r="A49" s="20" t="s">
        <v>9561</v>
      </c>
      <c r="B49" s="20" t="s">
        <v>109</v>
      </c>
      <c r="C49" s="20" t="s">
        <v>95</v>
      </c>
      <c r="D49" s="20" t="s">
        <v>22</v>
      </c>
      <c r="E49" s="21">
        <f>ROUND(5842*1.05,2)</f>
      </c>
      <c r="F49" s="20" t="s">
        <v>51</v>
      </c>
      <c r="G49" s="20" t="s">
        <v>24</v>
      </c>
      <c r="H49" s="21">
        <f>ROUND(RAND()*4+6,1)</f>
      </c>
      <c r="I49" s="20" t="s">
        <v>25</v>
      </c>
      <c r="J49" s="23">
        <f>ROUND(91*1,0)&amp;"%"</f>
      </c>
    </row>
    <row x14ac:dyDescent="0.25" r="50" customHeight="1" ht="17.25">
      <c r="A50" s="24" t="s">
        <v>110</v>
      </c>
      <c r="B50" s="24"/>
      <c r="C50" s="24"/>
      <c r="D50" s="24"/>
      <c r="E50" s="25">
        <v>8</v>
      </c>
      <c r="F50" s="9"/>
      <c r="G50" s="9"/>
      <c r="H50" s="10"/>
      <c r="I50" s="9"/>
      <c r="J50" s="9"/>
    </row>
    <row x14ac:dyDescent="0.25" r="51" customHeight="1" ht="17.25">
      <c r="A51" s="7"/>
      <c r="B51" s="7"/>
      <c r="C51" s="7"/>
      <c r="D51" s="7"/>
      <c r="E51" s="8"/>
      <c r="F51" s="9"/>
      <c r="G51" s="9"/>
      <c r="H51" s="10"/>
      <c r="I51" s="9"/>
      <c r="J51" s="9"/>
    </row>
    <row x14ac:dyDescent="0.25" r="52" customHeight="1" ht="17.25">
      <c r="A52" s="11" t="s">
        <v>9562</v>
      </c>
      <c r="B52" s="11"/>
      <c r="C52" s="11"/>
      <c r="D52" s="11"/>
      <c r="E52" s="12"/>
      <c r="F52" s="11"/>
      <c r="G52" s="11"/>
      <c r="H52" s="13"/>
      <c r="I52" s="11"/>
      <c r="J52" s="11"/>
    </row>
    <row x14ac:dyDescent="0.25" r="53" customHeight="1" ht="17.25">
      <c r="A53" s="14" t="s">
        <v>3</v>
      </c>
      <c r="B53" s="14" t="s">
        <v>4</v>
      </c>
      <c r="C53" s="14" t="s">
        <v>5</v>
      </c>
      <c r="D53" s="14" t="s">
        <v>6</v>
      </c>
      <c r="E53" s="15" t="s">
        <v>7</v>
      </c>
      <c r="F53" s="14" t="s">
        <v>8</v>
      </c>
      <c r="G53" s="14" t="s">
        <v>9</v>
      </c>
      <c r="H53" s="16" t="s">
        <v>10</v>
      </c>
      <c r="I53" s="14" t="s">
        <v>11</v>
      </c>
      <c r="J53" s="14" t="s">
        <v>12</v>
      </c>
    </row>
    <row x14ac:dyDescent="0.25" r="54" customHeight="1" ht="17.25">
      <c r="A54" s="17" t="s">
        <v>9563</v>
      </c>
      <c r="B54" s="17" t="s">
        <v>113</v>
      </c>
      <c r="C54" s="17" t="s">
        <v>114</v>
      </c>
      <c r="D54" s="17" t="s">
        <v>16</v>
      </c>
      <c r="E54" s="18">
        <f>ROUND(11394*1.05,2)</f>
      </c>
      <c r="F54" s="17" t="s">
        <v>17</v>
      </c>
      <c r="G54" s="17" t="s">
        <v>18</v>
      </c>
      <c r="H54" s="18">
        <f>ROUND(RAND()*4+6,1)</f>
      </c>
      <c r="I54" s="17" t="s">
        <v>19</v>
      </c>
      <c r="J54" s="19">
        <f>ROUND(70*1,0)&amp;"%"</f>
      </c>
    </row>
    <row x14ac:dyDescent="0.25" r="55" customHeight="1" ht="17.25">
      <c r="A55" s="20" t="s">
        <v>9564</v>
      </c>
      <c r="B55" s="20" t="s">
        <v>116</v>
      </c>
      <c r="C55" s="20" t="s">
        <v>114</v>
      </c>
      <c r="D55" s="20" t="s">
        <v>22</v>
      </c>
      <c r="E55" s="21">
        <f>ROUND(16337*1.05,2)</f>
      </c>
      <c r="F55" s="20" t="s">
        <v>23</v>
      </c>
      <c r="G55" s="20" t="s">
        <v>24</v>
      </c>
      <c r="H55" s="21">
        <f>ROUND(RAND()*4+6,1)</f>
      </c>
      <c r="I55" s="20" t="s">
        <v>25</v>
      </c>
      <c r="J55" s="23">
        <f>ROUND(91*1,0)&amp;"%"</f>
      </c>
    </row>
    <row x14ac:dyDescent="0.25" r="56" customHeight="1" ht="17.25">
      <c r="A56" s="17" t="s">
        <v>9565</v>
      </c>
      <c r="B56" s="17" t="s">
        <v>118</v>
      </c>
      <c r="C56" s="17" t="s">
        <v>114</v>
      </c>
      <c r="D56" s="17" t="s">
        <v>28</v>
      </c>
      <c r="E56" s="18">
        <f>ROUND(4685*1.05,2)</f>
      </c>
      <c r="F56" s="17" t="s">
        <v>29</v>
      </c>
      <c r="G56" s="17" t="s">
        <v>30</v>
      </c>
      <c r="H56" s="18">
        <f>ROUND(RAND()*4+6,1)</f>
      </c>
      <c r="I56" s="17" t="s">
        <v>31</v>
      </c>
      <c r="J56" s="19">
        <f>ROUND(85*1,0)&amp;"%"</f>
      </c>
    </row>
    <row x14ac:dyDescent="0.25" r="57" customHeight="1" ht="17.25">
      <c r="A57" s="20" t="s">
        <v>9566</v>
      </c>
      <c r="B57" s="20" t="s">
        <v>120</v>
      </c>
      <c r="C57" s="20" t="s">
        <v>114</v>
      </c>
      <c r="D57" s="20" t="s">
        <v>34</v>
      </c>
      <c r="E57" s="21">
        <f>ROUND(10718*1.05,2)</f>
      </c>
      <c r="F57" s="20" t="s">
        <v>35</v>
      </c>
      <c r="G57" s="20" t="s">
        <v>18</v>
      </c>
      <c r="H57" s="22">
        <f>ROUND(RAND()*4+6,1)</f>
      </c>
      <c r="I57" s="20" t="s">
        <v>36</v>
      </c>
      <c r="J57" s="23">
        <f>ROUND(93*1,0)&amp;"%"</f>
      </c>
    </row>
    <row x14ac:dyDescent="0.25" r="58" customHeight="1" ht="17.25">
      <c r="A58" s="17" t="s">
        <v>9567</v>
      </c>
      <c r="B58" s="17" t="s">
        <v>122</v>
      </c>
      <c r="C58" s="17" t="s">
        <v>114</v>
      </c>
      <c r="D58" s="17" t="s">
        <v>39</v>
      </c>
      <c r="E58" s="18">
        <f>ROUND(5067*1.05,2)</f>
      </c>
      <c r="F58" s="17" t="s">
        <v>40</v>
      </c>
      <c r="G58" s="17" t="s">
        <v>24</v>
      </c>
      <c r="H58" s="18">
        <f>ROUND(RAND()*4+6,1)</f>
      </c>
      <c r="I58" s="17" t="s">
        <v>41</v>
      </c>
      <c r="J58" s="19">
        <f>ROUND(70*1,0)&amp;"%"</f>
      </c>
    </row>
    <row x14ac:dyDescent="0.25" r="59" customHeight="1" ht="17.25">
      <c r="A59" s="20" t="s">
        <v>9568</v>
      </c>
      <c r="B59" s="20" t="s">
        <v>124</v>
      </c>
      <c r="C59" s="20" t="s">
        <v>114</v>
      </c>
      <c r="D59" s="20" t="s">
        <v>67</v>
      </c>
      <c r="E59" s="21">
        <f>ROUND(10878*1.05,2)</f>
      </c>
      <c r="F59" s="20" t="s">
        <v>44</v>
      </c>
      <c r="G59" s="20" t="s">
        <v>30</v>
      </c>
      <c r="H59" s="21">
        <f>ROUND(RAND()*4+6,1)</f>
      </c>
      <c r="I59" s="20" t="s">
        <v>45</v>
      </c>
      <c r="J59" s="23">
        <f>ROUND(83*1,0)&amp;"%"</f>
      </c>
    </row>
    <row x14ac:dyDescent="0.25" r="60" customHeight="1" ht="17.25">
      <c r="A60" s="17" t="s">
        <v>9569</v>
      </c>
      <c r="B60" s="17" t="s">
        <v>126</v>
      </c>
      <c r="C60" s="17" t="s">
        <v>114</v>
      </c>
      <c r="D60" s="17" t="s">
        <v>16</v>
      </c>
      <c r="E60" s="18">
        <f>ROUND(17783*1.05,2)</f>
      </c>
      <c r="F60" s="17" t="s">
        <v>48</v>
      </c>
      <c r="G60" s="17" t="s">
        <v>18</v>
      </c>
      <c r="H60" s="18">
        <f>ROUND(RAND()*4+6,1)</f>
      </c>
      <c r="I60" s="17" t="s">
        <v>19</v>
      </c>
      <c r="J60" s="19">
        <f>ROUND(94*1,0)&amp;"%"</f>
      </c>
    </row>
    <row x14ac:dyDescent="0.25" r="61" customHeight="1" ht="17.25">
      <c r="A61" s="20" t="s">
        <v>9570</v>
      </c>
      <c r="B61" s="20" t="s">
        <v>128</v>
      </c>
      <c r="C61" s="20" t="s">
        <v>114</v>
      </c>
      <c r="D61" s="20" t="s">
        <v>22</v>
      </c>
      <c r="E61" s="21">
        <f>ROUND(15137*1.05,2)</f>
      </c>
      <c r="F61" s="20" t="s">
        <v>51</v>
      </c>
      <c r="G61" s="20" t="s">
        <v>24</v>
      </c>
      <c r="H61" s="21">
        <f>ROUND(RAND()*4+6,1)</f>
      </c>
      <c r="I61" s="20" t="s">
        <v>25</v>
      </c>
      <c r="J61" s="23">
        <f>ROUND(62*1,0)&amp;"%"</f>
      </c>
    </row>
    <row x14ac:dyDescent="0.25" r="62" customHeight="1" ht="17.25">
      <c r="A62" s="24" t="s">
        <v>129</v>
      </c>
      <c r="B62" s="24"/>
      <c r="C62" s="24"/>
      <c r="D62" s="24"/>
      <c r="E62" s="25">
        <v>8</v>
      </c>
      <c r="F62" s="9"/>
      <c r="G62" s="9"/>
      <c r="H62" s="10"/>
      <c r="I62" s="9"/>
      <c r="J62" s="9"/>
    </row>
    <row x14ac:dyDescent="0.25" r="63" customHeight="1" ht="17.25">
      <c r="A63" s="7"/>
      <c r="B63" s="7"/>
      <c r="C63" s="7"/>
      <c r="D63" s="7"/>
      <c r="E63" s="8"/>
      <c r="F63" s="9"/>
      <c r="G63" s="9"/>
      <c r="H63" s="10"/>
      <c r="I63" s="9"/>
      <c r="J63" s="9"/>
    </row>
    <row x14ac:dyDescent="0.25" r="64" customHeight="1" ht="17.25">
      <c r="A64" s="11" t="s">
        <v>9571</v>
      </c>
      <c r="B64" s="11"/>
      <c r="C64" s="11"/>
      <c r="D64" s="11"/>
      <c r="E64" s="12"/>
      <c r="F64" s="11"/>
      <c r="G64" s="11"/>
      <c r="H64" s="13"/>
      <c r="I64" s="11"/>
      <c r="J64" s="11"/>
    </row>
    <row x14ac:dyDescent="0.25" r="65" customHeight="1" ht="17.25">
      <c r="A65" s="14" t="s">
        <v>3</v>
      </c>
      <c r="B65" s="14" t="s">
        <v>4</v>
      </c>
      <c r="C65" s="14" t="s">
        <v>5</v>
      </c>
      <c r="D65" s="14" t="s">
        <v>6</v>
      </c>
      <c r="E65" s="15" t="s">
        <v>7</v>
      </c>
      <c r="F65" s="14" t="s">
        <v>8</v>
      </c>
      <c r="G65" s="14" t="s">
        <v>9</v>
      </c>
      <c r="H65" s="16" t="s">
        <v>10</v>
      </c>
      <c r="I65" s="14" t="s">
        <v>11</v>
      </c>
      <c r="J65" s="14" t="s">
        <v>12</v>
      </c>
    </row>
    <row x14ac:dyDescent="0.25" r="66" customHeight="1" ht="17.25">
      <c r="A66" s="17" t="s">
        <v>9572</v>
      </c>
      <c r="B66" s="17" t="s">
        <v>132</v>
      </c>
      <c r="C66" s="17" t="s">
        <v>133</v>
      </c>
      <c r="D66" s="17" t="s">
        <v>16</v>
      </c>
      <c r="E66" s="18">
        <f>ROUND(17690*1.05,2)</f>
      </c>
      <c r="F66" s="17" t="s">
        <v>17</v>
      </c>
      <c r="G66" s="17" t="s">
        <v>18</v>
      </c>
      <c r="H66" s="18">
        <f>ROUND(RAND()*4+6,1)</f>
      </c>
      <c r="I66" s="17" t="s">
        <v>19</v>
      </c>
      <c r="J66" s="19">
        <f>ROUND(91*1,0)&amp;"%"</f>
      </c>
    </row>
    <row x14ac:dyDescent="0.25" r="67" customHeight="1" ht="17.25">
      <c r="A67" s="20" t="s">
        <v>9573</v>
      </c>
      <c r="B67" s="20" t="s">
        <v>135</v>
      </c>
      <c r="C67" s="20" t="s">
        <v>133</v>
      </c>
      <c r="D67" s="20" t="s">
        <v>22</v>
      </c>
      <c r="E67" s="21">
        <f>ROUND(9930*1.05,2)</f>
      </c>
      <c r="F67" s="20" t="s">
        <v>23</v>
      </c>
      <c r="G67" s="20" t="s">
        <v>24</v>
      </c>
      <c r="H67" s="21">
        <f>ROUND(RAND()*4+6,1)</f>
      </c>
      <c r="I67" s="20" t="s">
        <v>25</v>
      </c>
      <c r="J67" s="23">
        <f>ROUND(73*1,0)&amp;"%"</f>
      </c>
    </row>
    <row x14ac:dyDescent="0.25" r="68" customHeight="1" ht="17.25">
      <c r="A68" s="17" t="s">
        <v>9574</v>
      </c>
      <c r="B68" s="17" t="s">
        <v>137</v>
      </c>
      <c r="C68" s="17" t="s">
        <v>133</v>
      </c>
      <c r="D68" s="17" t="s">
        <v>28</v>
      </c>
      <c r="E68" s="18">
        <f>ROUND(12333*1.05,2)</f>
      </c>
      <c r="F68" s="17" t="s">
        <v>29</v>
      </c>
      <c r="G68" s="17" t="s">
        <v>30</v>
      </c>
      <c r="H68" s="18">
        <f>ROUND(RAND()*4+6,1)</f>
      </c>
      <c r="I68" s="17" t="s">
        <v>31</v>
      </c>
      <c r="J68" s="19">
        <f>ROUND(67*1,0)&amp;"%"</f>
      </c>
    </row>
    <row x14ac:dyDescent="0.25" r="69" customHeight="1" ht="17.25">
      <c r="A69" s="20" t="s">
        <v>9575</v>
      </c>
      <c r="B69" s="20" t="s">
        <v>139</v>
      </c>
      <c r="C69" s="20" t="s">
        <v>133</v>
      </c>
      <c r="D69" s="20" t="s">
        <v>34</v>
      </c>
      <c r="E69" s="21">
        <f>ROUND(6001*1.05,2)</f>
      </c>
      <c r="F69" s="20" t="s">
        <v>35</v>
      </c>
      <c r="G69" s="20" t="s">
        <v>18</v>
      </c>
      <c r="H69" s="21">
        <f>ROUND(RAND()*4+6,1)</f>
      </c>
      <c r="I69" s="20" t="s">
        <v>36</v>
      </c>
      <c r="J69" s="23">
        <f>ROUND(78*1,0)&amp;"%"</f>
      </c>
    </row>
    <row x14ac:dyDescent="0.25" r="70" customHeight="1" ht="17.25">
      <c r="A70" s="17" t="s">
        <v>9576</v>
      </c>
      <c r="B70" s="17" t="s">
        <v>141</v>
      </c>
      <c r="C70" s="17" t="s">
        <v>133</v>
      </c>
      <c r="D70" s="17" t="s">
        <v>39</v>
      </c>
      <c r="E70" s="18">
        <f>ROUND(10233*1.05,2)</f>
      </c>
      <c r="F70" s="17" t="s">
        <v>40</v>
      </c>
      <c r="G70" s="17" t="s">
        <v>24</v>
      </c>
      <c r="H70" s="26">
        <f>ROUND(RAND()*4+6,1)</f>
      </c>
      <c r="I70" s="17" t="s">
        <v>41</v>
      </c>
      <c r="J70" s="19">
        <f>ROUND(96*1,0)&amp;"%"</f>
      </c>
    </row>
    <row x14ac:dyDescent="0.25" r="71" customHeight="1" ht="17.25">
      <c r="A71" s="20" t="s">
        <v>9577</v>
      </c>
      <c r="B71" s="20" t="s">
        <v>143</v>
      </c>
      <c r="C71" s="20" t="s">
        <v>133</v>
      </c>
      <c r="D71" s="20" t="s">
        <v>67</v>
      </c>
      <c r="E71" s="21">
        <f>ROUND(6988*1.05,2)</f>
      </c>
      <c r="F71" s="20" t="s">
        <v>44</v>
      </c>
      <c r="G71" s="20" t="s">
        <v>30</v>
      </c>
      <c r="H71" s="21">
        <f>ROUND(RAND()*4+6,1)</f>
      </c>
      <c r="I71" s="20" t="s">
        <v>45</v>
      </c>
      <c r="J71" s="23">
        <f>ROUND(93*1,0)&amp;"%"</f>
      </c>
    </row>
    <row x14ac:dyDescent="0.25" r="72" customHeight="1" ht="17.25">
      <c r="A72" s="17" t="s">
        <v>9578</v>
      </c>
      <c r="B72" s="17" t="s">
        <v>145</v>
      </c>
      <c r="C72" s="17" t="s">
        <v>133</v>
      </c>
      <c r="D72" s="17" t="s">
        <v>16</v>
      </c>
      <c r="E72" s="18">
        <f>ROUND(15764*1.05,2)</f>
      </c>
      <c r="F72" s="17" t="s">
        <v>48</v>
      </c>
      <c r="G72" s="17" t="s">
        <v>18</v>
      </c>
      <c r="H72" s="18">
        <f>ROUND(RAND()*4+6,1)</f>
      </c>
      <c r="I72" s="17" t="s">
        <v>19</v>
      </c>
      <c r="J72" s="19">
        <f>ROUND(91*1,0)&amp;"%"</f>
      </c>
    </row>
    <row x14ac:dyDescent="0.25" r="73" customHeight="1" ht="17.25">
      <c r="A73" s="20" t="s">
        <v>9579</v>
      </c>
      <c r="B73" s="20" t="s">
        <v>147</v>
      </c>
      <c r="C73" s="20" t="s">
        <v>133</v>
      </c>
      <c r="D73" s="20" t="s">
        <v>22</v>
      </c>
      <c r="E73" s="21">
        <f>ROUND(16570*1.05,2)</f>
      </c>
      <c r="F73" s="20" t="s">
        <v>51</v>
      </c>
      <c r="G73" s="20" t="s">
        <v>24</v>
      </c>
      <c r="H73" s="21">
        <f>ROUND(RAND()*4+6,1)</f>
      </c>
      <c r="I73" s="20" t="s">
        <v>25</v>
      </c>
      <c r="J73" s="23">
        <f>ROUND(80*1,0)&amp;"%"</f>
      </c>
    </row>
    <row x14ac:dyDescent="0.25" r="74" customHeight="1" ht="17.25">
      <c r="A74" s="24" t="s">
        <v>148</v>
      </c>
      <c r="B74" s="24"/>
      <c r="C74" s="24"/>
      <c r="D74" s="24"/>
      <c r="E74" s="25">
        <v>8</v>
      </c>
      <c r="F74" s="9"/>
      <c r="G74" s="9"/>
      <c r="H74" s="10"/>
      <c r="I74" s="9"/>
      <c r="J74" s="9"/>
    </row>
    <row x14ac:dyDescent="0.25" r="75" customHeight="1" ht="17.25">
      <c r="A75" s="7"/>
      <c r="B75" s="7"/>
      <c r="C75" s="7"/>
      <c r="D75" s="7"/>
      <c r="E75" s="8"/>
      <c r="F75" s="9"/>
      <c r="G75" s="9"/>
      <c r="H75" s="10"/>
      <c r="I75" s="9"/>
      <c r="J75" s="9"/>
    </row>
    <row x14ac:dyDescent="0.25" r="76" customHeight="1" ht="17.25">
      <c r="A76" s="11" t="s">
        <v>9580</v>
      </c>
      <c r="B76" s="11"/>
      <c r="C76" s="11"/>
      <c r="D76" s="11"/>
      <c r="E76" s="12"/>
      <c r="F76" s="11"/>
      <c r="G76" s="11"/>
      <c r="H76" s="13"/>
      <c r="I76" s="11"/>
      <c r="J76" s="11"/>
    </row>
    <row x14ac:dyDescent="0.25" r="77" customHeight="1" ht="17.25">
      <c r="A77" s="14" t="s">
        <v>3</v>
      </c>
      <c r="B77" s="14" t="s">
        <v>4</v>
      </c>
      <c r="C77" s="14" t="s">
        <v>5</v>
      </c>
      <c r="D77" s="14" t="s">
        <v>6</v>
      </c>
      <c r="E77" s="15" t="s">
        <v>7</v>
      </c>
      <c r="F77" s="14" t="s">
        <v>8</v>
      </c>
      <c r="G77" s="14" t="s">
        <v>9</v>
      </c>
      <c r="H77" s="16" t="s">
        <v>10</v>
      </c>
      <c r="I77" s="14" t="s">
        <v>11</v>
      </c>
      <c r="J77" s="14" t="s">
        <v>12</v>
      </c>
    </row>
    <row x14ac:dyDescent="0.25" r="78" customHeight="1" ht="17.25">
      <c r="A78" s="17" t="s">
        <v>9581</v>
      </c>
      <c r="B78" s="17" t="s">
        <v>151</v>
      </c>
      <c r="C78" s="17" t="s">
        <v>152</v>
      </c>
      <c r="D78" s="17" t="s">
        <v>16</v>
      </c>
      <c r="E78" s="18">
        <f>ROUND(10037*1.05,2)</f>
      </c>
      <c r="F78" s="17" t="s">
        <v>17</v>
      </c>
      <c r="G78" s="17" t="s">
        <v>18</v>
      </c>
      <c r="H78" s="18">
        <f>ROUND(RAND()*4+6,1)</f>
      </c>
      <c r="I78" s="17" t="s">
        <v>19</v>
      </c>
      <c r="J78" s="19">
        <f>ROUND(100*1,0)&amp;"%"</f>
      </c>
    </row>
    <row x14ac:dyDescent="0.25" r="79" customHeight="1" ht="17.25">
      <c r="A79" s="20" t="s">
        <v>9582</v>
      </c>
      <c r="B79" s="20" t="s">
        <v>154</v>
      </c>
      <c r="C79" s="20" t="s">
        <v>152</v>
      </c>
      <c r="D79" s="20" t="s">
        <v>22</v>
      </c>
      <c r="E79" s="21">
        <f>ROUND(7496*1.05,2)</f>
      </c>
      <c r="F79" s="20" t="s">
        <v>23</v>
      </c>
      <c r="G79" s="20" t="s">
        <v>24</v>
      </c>
      <c r="H79" s="21">
        <f>ROUND(RAND()*4+6,1)</f>
      </c>
      <c r="I79" s="20" t="s">
        <v>25</v>
      </c>
      <c r="J79" s="23">
        <f>ROUND(68*1,0)&amp;"%"</f>
      </c>
    </row>
    <row x14ac:dyDescent="0.25" r="80" customHeight="1" ht="17.25">
      <c r="A80" s="17" t="s">
        <v>9583</v>
      </c>
      <c r="B80" s="17" t="s">
        <v>156</v>
      </c>
      <c r="C80" s="17" t="s">
        <v>152</v>
      </c>
      <c r="D80" s="17" t="s">
        <v>28</v>
      </c>
      <c r="E80" s="26">
        <f>ROUND(17260*1.05,2)</f>
      </c>
      <c r="F80" s="17" t="s">
        <v>29</v>
      </c>
      <c r="G80" s="17" t="s">
        <v>30</v>
      </c>
      <c r="H80" s="18">
        <f>ROUND(RAND()*4+6,1)</f>
      </c>
      <c r="I80" s="17" t="s">
        <v>31</v>
      </c>
      <c r="J80" s="19">
        <f>ROUND(99*1,0)&amp;"%"</f>
      </c>
    </row>
    <row x14ac:dyDescent="0.25" r="81" customHeight="1" ht="17.25">
      <c r="A81" s="20" t="s">
        <v>9584</v>
      </c>
      <c r="B81" s="20" t="s">
        <v>158</v>
      </c>
      <c r="C81" s="20" t="s">
        <v>152</v>
      </c>
      <c r="D81" s="20" t="s">
        <v>34</v>
      </c>
      <c r="E81" s="21">
        <f>ROUND(14642*1.05,2)</f>
      </c>
      <c r="F81" s="20" t="s">
        <v>35</v>
      </c>
      <c r="G81" s="20" t="s">
        <v>18</v>
      </c>
      <c r="H81" s="21">
        <f>ROUND(RAND()*4+6,1)</f>
      </c>
      <c r="I81" s="20" t="s">
        <v>36</v>
      </c>
      <c r="J81" s="23">
        <f>ROUND(76*1,0)&amp;"%"</f>
      </c>
    </row>
    <row x14ac:dyDescent="0.25" r="82" customHeight="1" ht="17.25">
      <c r="A82" s="17" t="s">
        <v>9585</v>
      </c>
      <c r="B82" s="17" t="s">
        <v>160</v>
      </c>
      <c r="C82" s="17" t="s">
        <v>152</v>
      </c>
      <c r="D82" s="17" t="s">
        <v>39</v>
      </c>
      <c r="E82" s="18">
        <f>ROUND(17201*1.05,2)</f>
      </c>
      <c r="F82" s="17" t="s">
        <v>40</v>
      </c>
      <c r="G82" s="17" t="s">
        <v>24</v>
      </c>
      <c r="H82" s="18">
        <f>ROUND(RAND()*4+6,1)</f>
      </c>
      <c r="I82" s="17" t="s">
        <v>41</v>
      </c>
      <c r="J82" s="19">
        <f>ROUND(81*1,0)&amp;"%"</f>
      </c>
    </row>
    <row x14ac:dyDescent="0.25" r="83" customHeight="1" ht="17.25">
      <c r="A83" s="20" t="s">
        <v>9586</v>
      </c>
      <c r="B83" s="20" t="s">
        <v>162</v>
      </c>
      <c r="C83" s="20" t="s">
        <v>152</v>
      </c>
      <c r="D83" s="20" t="s">
        <v>67</v>
      </c>
      <c r="E83" s="21">
        <f>ROUND(15133*1.05,2)</f>
      </c>
      <c r="F83" s="20" t="s">
        <v>44</v>
      </c>
      <c r="G83" s="20" t="s">
        <v>30</v>
      </c>
      <c r="H83" s="21">
        <f>ROUND(RAND()*4+6,1)</f>
      </c>
      <c r="I83" s="20" t="s">
        <v>45</v>
      </c>
      <c r="J83" s="23">
        <f>ROUND(61*1,0)&amp;"%"</f>
      </c>
    </row>
    <row x14ac:dyDescent="0.25" r="84" customHeight="1" ht="17.25">
      <c r="A84" s="17" t="s">
        <v>9587</v>
      </c>
      <c r="B84" s="17" t="s">
        <v>164</v>
      </c>
      <c r="C84" s="17" t="s">
        <v>152</v>
      </c>
      <c r="D84" s="17" t="s">
        <v>16</v>
      </c>
      <c r="E84" s="18">
        <f>ROUND(8090*1.05,2)</f>
      </c>
      <c r="F84" s="17" t="s">
        <v>48</v>
      </c>
      <c r="G84" s="17" t="s">
        <v>18</v>
      </c>
      <c r="H84" s="18">
        <f>ROUND(RAND()*4+6,1)</f>
      </c>
      <c r="I84" s="17" t="s">
        <v>19</v>
      </c>
      <c r="J84" s="19">
        <f>ROUND(75*1,0)&amp;"%"</f>
      </c>
    </row>
    <row x14ac:dyDescent="0.25" r="85" customHeight="1" ht="17.25">
      <c r="A85" s="20" t="s">
        <v>9588</v>
      </c>
      <c r="B85" s="20" t="s">
        <v>166</v>
      </c>
      <c r="C85" s="20" t="s">
        <v>152</v>
      </c>
      <c r="D85" s="20" t="s">
        <v>22</v>
      </c>
      <c r="E85" s="21">
        <f>ROUND(14092*1.05,2)</f>
      </c>
      <c r="F85" s="20" t="s">
        <v>51</v>
      </c>
      <c r="G85" s="20" t="s">
        <v>24</v>
      </c>
      <c r="H85" s="21">
        <f>ROUND(RAND()*4+6,1)</f>
      </c>
      <c r="I85" s="20" t="s">
        <v>25</v>
      </c>
      <c r="J85" s="23">
        <f>ROUND(79*1,0)&amp;"%"</f>
      </c>
    </row>
    <row x14ac:dyDescent="0.25" r="86" customHeight="1" ht="17.25">
      <c r="A86" s="24" t="s">
        <v>167</v>
      </c>
      <c r="B86" s="24"/>
      <c r="C86" s="24"/>
      <c r="D86" s="24"/>
      <c r="E86" s="25">
        <v>8</v>
      </c>
      <c r="F86" s="9"/>
      <c r="G86" s="9"/>
      <c r="H86" s="10"/>
      <c r="I86" s="9"/>
      <c r="J86" s="9"/>
    </row>
    <row x14ac:dyDescent="0.25" r="87" customHeight="1" ht="17.25">
      <c r="A87" s="7"/>
      <c r="B87" s="7"/>
      <c r="C87" s="7"/>
      <c r="D87" s="7"/>
      <c r="E87" s="8"/>
      <c r="F87" s="9"/>
      <c r="G87" s="9"/>
      <c r="H87" s="10"/>
      <c r="I87" s="9"/>
      <c r="J87" s="9"/>
    </row>
    <row x14ac:dyDescent="0.25" r="88" customHeight="1" ht="17.25">
      <c r="A88" s="11" t="s">
        <v>9589</v>
      </c>
      <c r="B88" s="11"/>
      <c r="C88" s="11"/>
      <c r="D88" s="11"/>
      <c r="E88" s="12"/>
      <c r="F88" s="11"/>
      <c r="G88" s="11"/>
      <c r="H88" s="13"/>
      <c r="I88" s="11"/>
      <c r="J88" s="11"/>
    </row>
    <row x14ac:dyDescent="0.25" r="89" customHeight="1" ht="17.25">
      <c r="A89" s="14" t="s">
        <v>3</v>
      </c>
      <c r="B89" s="14" t="s">
        <v>4</v>
      </c>
      <c r="C89" s="14" t="s">
        <v>5</v>
      </c>
      <c r="D89" s="14" t="s">
        <v>6</v>
      </c>
      <c r="E89" s="15" t="s">
        <v>7</v>
      </c>
      <c r="F89" s="14" t="s">
        <v>8</v>
      </c>
      <c r="G89" s="14" t="s">
        <v>9</v>
      </c>
      <c r="H89" s="16" t="s">
        <v>10</v>
      </c>
      <c r="I89" s="14" t="s">
        <v>11</v>
      </c>
      <c r="J89" s="14" t="s">
        <v>12</v>
      </c>
    </row>
    <row x14ac:dyDescent="0.25" r="90" customHeight="1" ht="17.25">
      <c r="A90" s="17" t="s">
        <v>9590</v>
      </c>
      <c r="B90" s="17" t="s">
        <v>170</v>
      </c>
      <c r="C90" s="17" t="s">
        <v>15</v>
      </c>
      <c r="D90" s="17" t="s">
        <v>16</v>
      </c>
      <c r="E90" s="18">
        <f>ROUND(5248*1.05,2)</f>
      </c>
      <c r="F90" s="17" t="s">
        <v>17</v>
      </c>
      <c r="G90" s="17" t="s">
        <v>18</v>
      </c>
      <c r="H90" s="18">
        <f>ROUND(RAND()*4+6,1)</f>
      </c>
      <c r="I90" s="17" t="s">
        <v>19</v>
      </c>
      <c r="J90" s="19">
        <f>ROUND(92*1,0)&amp;"%"</f>
      </c>
    </row>
    <row x14ac:dyDescent="0.25" r="91" customHeight="1" ht="17.25">
      <c r="A91" s="20" t="s">
        <v>9591</v>
      </c>
      <c r="B91" s="20" t="s">
        <v>172</v>
      </c>
      <c r="C91" s="20" t="s">
        <v>15</v>
      </c>
      <c r="D91" s="20" t="s">
        <v>22</v>
      </c>
      <c r="E91" s="21">
        <f>ROUND(17898*1.05,2)</f>
      </c>
      <c r="F91" s="20" t="s">
        <v>23</v>
      </c>
      <c r="G91" s="20" t="s">
        <v>24</v>
      </c>
      <c r="H91" s="21">
        <f>ROUND(RAND()*4+6,1)</f>
      </c>
      <c r="I91" s="20" t="s">
        <v>25</v>
      </c>
      <c r="J91" s="23">
        <f>ROUND(89*1,0)&amp;"%"</f>
      </c>
    </row>
    <row x14ac:dyDescent="0.25" r="92" customHeight="1" ht="17.25">
      <c r="A92" s="17" t="s">
        <v>9592</v>
      </c>
      <c r="B92" s="17" t="s">
        <v>174</v>
      </c>
      <c r="C92" s="17" t="s">
        <v>15</v>
      </c>
      <c r="D92" s="17" t="s">
        <v>28</v>
      </c>
      <c r="E92" s="18">
        <f>ROUND(11982*1.05,2)</f>
      </c>
      <c r="F92" s="17" t="s">
        <v>29</v>
      </c>
      <c r="G92" s="17" t="s">
        <v>30</v>
      </c>
      <c r="H92" s="18">
        <f>ROUND(RAND()*4+6,1)</f>
      </c>
      <c r="I92" s="17" t="s">
        <v>31</v>
      </c>
      <c r="J92" s="19">
        <f>ROUND(86*1,0)&amp;"%"</f>
      </c>
    </row>
    <row x14ac:dyDescent="0.25" r="93" customHeight="1" ht="17.25">
      <c r="A93" s="20" t="s">
        <v>9593</v>
      </c>
      <c r="B93" s="20" t="s">
        <v>176</v>
      </c>
      <c r="C93" s="20" t="s">
        <v>15</v>
      </c>
      <c r="D93" s="20" t="s">
        <v>34</v>
      </c>
      <c r="E93" s="21">
        <f>ROUND(12195*1.05,2)</f>
      </c>
      <c r="F93" s="20" t="s">
        <v>35</v>
      </c>
      <c r="G93" s="20" t="s">
        <v>18</v>
      </c>
      <c r="H93" s="21">
        <f>ROUND(RAND()*4+6,1)</f>
      </c>
      <c r="I93" s="20" t="s">
        <v>36</v>
      </c>
      <c r="J93" s="23">
        <f>ROUND(75*1,0)&amp;"%"</f>
      </c>
    </row>
    <row x14ac:dyDescent="0.25" r="94" customHeight="1" ht="17.25">
      <c r="A94" s="17" t="s">
        <v>9594</v>
      </c>
      <c r="B94" s="17" t="s">
        <v>178</v>
      </c>
      <c r="C94" s="17" t="s">
        <v>15</v>
      </c>
      <c r="D94" s="17" t="s">
        <v>39</v>
      </c>
      <c r="E94" s="18">
        <f>ROUND(8949*1.05,2)</f>
      </c>
      <c r="F94" s="17" t="s">
        <v>40</v>
      </c>
      <c r="G94" s="17" t="s">
        <v>24</v>
      </c>
      <c r="H94" s="18">
        <f>ROUND(RAND()*4+6,1)</f>
      </c>
      <c r="I94" s="17" t="s">
        <v>41</v>
      </c>
      <c r="J94" s="19">
        <f>ROUND(77*1,0)&amp;"%"</f>
      </c>
    </row>
    <row x14ac:dyDescent="0.25" r="95" customHeight="1" ht="17.25">
      <c r="A95" s="20" t="s">
        <v>9595</v>
      </c>
      <c r="B95" s="20" t="s">
        <v>180</v>
      </c>
      <c r="C95" s="20" t="s">
        <v>15</v>
      </c>
      <c r="D95" s="20" t="s">
        <v>67</v>
      </c>
      <c r="E95" s="21">
        <f>ROUND(7158*1.05,2)</f>
      </c>
      <c r="F95" s="20" t="s">
        <v>44</v>
      </c>
      <c r="G95" s="20" t="s">
        <v>30</v>
      </c>
      <c r="H95" s="21">
        <f>ROUND(RAND()*4+6,1)</f>
      </c>
      <c r="I95" s="20" t="s">
        <v>45</v>
      </c>
      <c r="J95" s="23">
        <f>ROUND(91*1,0)&amp;"%"</f>
      </c>
    </row>
    <row x14ac:dyDescent="0.25" r="96" customHeight="1" ht="17.25">
      <c r="A96" s="17" t="s">
        <v>9596</v>
      </c>
      <c r="B96" s="17" t="s">
        <v>182</v>
      </c>
      <c r="C96" s="17" t="s">
        <v>15</v>
      </c>
      <c r="D96" s="17" t="s">
        <v>16</v>
      </c>
      <c r="E96" s="18">
        <f>ROUND(10697*1.05,2)</f>
      </c>
      <c r="F96" s="17" t="s">
        <v>48</v>
      </c>
      <c r="G96" s="17" t="s">
        <v>18</v>
      </c>
      <c r="H96" s="18">
        <f>ROUND(RAND()*4+6,1)</f>
      </c>
      <c r="I96" s="17" t="s">
        <v>19</v>
      </c>
      <c r="J96" s="19">
        <f>ROUND(63*1,0)&amp;"%"</f>
      </c>
    </row>
    <row x14ac:dyDescent="0.25" r="97" customHeight="1" ht="17.25">
      <c r="A97" s="20" t="s">
        <v>9597</v>
      </c>
      <c r="B97" s="20" t="s">
        <v>184</v>
      </c>
      <c r="C97" s="20" t="s">
        <v>15</v>
      </c>
      <c r="D97" s="20" t="s">
        <v>22</v>
      </c>
      <c r="E97" s="21">
        <f>ROUND(4167*1.05,2)</f>
      </c>
      <c r="F97" s="20" t="s">
        <v>51</v>
      </c>
      <c r="G97" s="20" t="s">
        <v>24</v>
      </c>
      <c r="H97" s="21">
        <f>ROUND(RAND()*4+6,1)</f>
      </c>
      <c r="I97" s="20" t="s">
        <v>25</v>
      </c>
      <c r="J97" s="23">
        <f>ROUND(79*1,0)&amp;"%"</f>
      </c>
    </row>
    <row x14ac:dyDescent="0.25" r="98" customHeight="1" ht="17.25">
      <c r="A98" s="24" t="s">
        <v>185</v>
      </c>
      <c r="B98" s="24"/>
      <c r="C98" s="24"/>
      <c r="D98" s="24"/>
      <c r="E98" s="25">
        <v>8</v>
      </c>
      <c r="F98" s="9"/>
      <c r="G98" s="9"/>
      <c r="H98" s="10"/>
      <c r="I98" s="9"/>
      <c r="J98" s="9"/>
    </row>
    <row x14ac:dyDescent="0.25" r="99" customHeight="1" ht="17.25">
      <c r="A99" s="7"/>
      <c r="B99" s="7"/>
      <c r="C99" s="7"/>
      <c r="D99" s="7"/>
      <c r="E99" s="8"/>
      <c r="F99" s="9"/>
      <c r="G99" s="9"/>
      <c r="H99" s="10"/>
      <c r="I99" s="9"/>
      <c r="J99" s="9"/>
    </row>
    <row x14ac:dyDescent="0.25" r="100" customHeight="1" ht="17.25">
      <c r="A100" s="11" t="s">
        <v>9598</v>
      </c>
      <c r="B100" s="11"/>
      <c r="C100" s="11"/>
      <c r="D100" s="11"/>
      <c r="E100" s="12"/>
      <c r="F100" s="11"/>
      <c r="G100" s="11"/>
      <c r="H100" s="13"/>
      <c r="I100" s="11"/>
      <c r="J100" s="11"/>
    </row>
    <row x14ac:dyDescent="0.25" r="101" customHeight="1" ht="17.25">
      <c r="A101" s="14" t="s">
        <v>3</v>
      </c>
      <c r="B101" s="14" t="s">
        <v>4</v>
      </c>
      <c r="C101" s="14" t="s">
        <v>5</v>
      </c>
      <c r="D101" s="14" t="s">
        <v>6</v>
      </c>
      <c r="E101" s="15" t="s">
        <v>7</v>
      </c>
      <c r="F101" s="14" t="s">
        <v>8</v>
      </c>
      <c r="G101" s="14" t="s">
        <v>9</v>
      </c>
      <c r="H101" s="16" t="s">
        <v>10</v>
      </c>
      <c r="I101" s="14" t="s">
        <v>11</v>
      </c>
      <c r="J101" s="14" t="s">
        <v>12</v>
      </c>
    </row>
    <row x14ac:dyDescent="0.25" r="102" customHeight="1" ht="17.25">
      <c r="A102" s="17" t="s">
        <v>9599</v>
      </c>
      <c r="B102" s="17" t="s">
        <v>188</v>
      </c>
      <c r="C102" s="17" t="s">
        <v>56</v>
      </c>
      <c r="D102" s="17" t="s">
        <v>16</v>
      </c>
      <c r="E102" s="26">
        <f>ROUND(12480*1.05,2)</f>
      </c>
      <c r="F102" s="17" t="s">
        <v>17</v>
      </c>
      <c r="G102" s="17" t="s">
        <v>18</v>
      </c>
      <c r="H102" s="26">
        <f>ROUND(RAND()*4+6,1)</f>
      </c>
      <c r="I102" s="17" t="s">
        <v>19</v>
      </c>
      <c r="J102" s="19">
        <f>ROUND(100*1,0)&amp;"%"</f>
      </c>
    </row>
    <row x14ac:dyDescent="0.25" r="103" customHeight="1" ht="17.25">
      <c r="A103" s="20" t="s">
        <v>9600</v>
      </c>
      <c r="B103" s="20" t="s">
        <v>190</v>
      </c>
      <c r="C103" s="20" t="s">
        <v>56</v>
      </c>
      <c r="D103" s="20" t="s">
        <v>22</v>
      </c>
      <c r="E103" s="21">
        <f>ROUND(10687*1.05,2)</f>
      </c>
      <c r="F103" s="20" t="s">
        <v>23</v>
      </c>
      <c r="G103" s="20" t="s">
        <v>24</v>
      </c>
      <c r="H103" s="21">
        <f>ROUND(RAND()*4+6,1)</f>
      </c>
      <c r="I103" s="20" t="s">
        <v>25</v>
      </c>
      <c r="J103" s="23">
        <f>ROUND(89*1,0)&amp;"%"</f>
      </c>
    </row>
    <row x14ac:dyDescent="0.25" r="104" customHeight="1" ht="17.25">
      <c r="A104" s="17" t="s">
        <v>9601</v>
      </c>
      <c r="B104" s="17" t="s">
        <v>192</v>
      </c>
      <c r="C104" s="17" t="s">
        <v>56</v>
      </c>
      <c r="D104" s="17" t="s">
        <v>28</v>
      </c>
      <c r="E104" s="26">
        <f>ROUND(17040*1.05,2)</f>
      </c>
      <c r="F104" s="17" t="s">
        <v>29</v>
      </c>
      <c r="G104" s="17" t="s">
        <v>30</v>
      </c>
      <c r="H104" s="18">
        <f>ROUND(RAND()*4+6,1)</f>
      </c>
      <c r="I104" s="17" t="s">
        <v>31</v>
      </c>
      <c r="J104" s="19">
        <f>ROUND(94*1,0)&amp;"%"</f>
      </c>
    </row>
    <row x14ac:dyDescent="0.25" r="105" customHeight="1" ht="17.25">
      <c r="A105" s="20" t="s">
        <v>9602</v>
      </c>
      <c r="B105" s="20" t="s">
        <v>194</v>
      </c>
      <c r="C105" s="20" t="s">
        <v>56</v>
      </c>
      <c r="D105" s="20" t="s">
        <v>34</v>
      </c>
      <c r="E105" s="21">
        <f>ROUND(14273*1.05,2)</f>
      </c>
      <c r="F105" s="20" t="s">
        <v>35</v>
      </c>
      <c r="G105" s="20" t="s">
        <v>18</v>
      </c>
      <c r="H105" s="21">
        <f>ROUND(RAND()*4+6,1)</f>
      </c>
      <c r="I105" s="20" t="s">
        <v>36</v>
      </c>
      <c r="J105" s="23">
        <f>ROUND(68*1,0)&amp;"%"</f>
      </c>
    </row>
    <row x14ac:dyDescent="0.25" r="106" customHeight="1" ht="17.25">
      <c r="A106" s="17" t="s">
        <v>9603</v>
      </c>
      <c r="B106" s="17" t="s">
        <v>196</v>
      </c>
      <c r="C106" s="17" t="s">
        <v>56</v>
      </c>
      <c r="D106" s="17" t="s">
        <v>39</v>
      </c>
      <c r="E106" s="18">
        <f>ROUND(6238*1.05,2)</f>
      </c>
      <c r="F106" s="17" t="s">
        <v>40</v>
      </c>
      <c r="G106" s="17" t="s">
        <v>24</v>
      </c>
      <c r="H106" s="18">
        <f>ROUND(RAND()*4+6,1)</f>
      </c>
      <c r="I106" s="17" t="s">
        <v>41</v>
      </c>
      <c r="J106" s="19">
        <f>ROUND(99*1,0)&amp;"%"</f>
      </c>
    </row>
    <row x14ac:dyDescent="0.25" r="107" customHeight="1" ht="17.25">
      <c r="A107" s="20" t="s">
        <v>9604</v>
      </c>
      <c r="B107" s="20" t="s">
        <v>198</v>
      </c>
      <c r="C107" s="20" t="s">
        <v>56</v>
      </c>
      <c r="D107" s="20" t="s">
        <v>67</v>
      </c>
      <c r="E107" s="21">
        <f>ROUND(12084*1.05,2)</f>
      </c>
      <c r="F107" s="20" t="s">
        <v>44</v>
      </c>
      <c r="G107" s="20" t="s">
        <v>30</v>
      </c>
      <c r="H107" s="21">
        <f>ROUND(RAND()*4+6,1)</f>
      </c>
      <c r="I107" s="20" t="s">
        <v>45</v>
      </c>
      <c r="J107" s="23">
        <f>ROUND(80*1,0)&amp;"%"</f>
      </c>
    </row>
    <row x14ac:dyDescent="0.25" r="108" customHeight="1" ht="17.25">
      <c r="A108" s="17" t="s">
        <v>9605</v>
      </c>
      <c r="B108" s="17" t="s">
        <v>200</v>
      </c>
      <c r="C108" s="17" t="s">
        <v>56</v>
      </c>
      <c r="D108" s="17" t="s">
        <v>16</v>
      </c>
      <c r="E108" s="18">
        <f>ROUND(6036*1.05,2)</f>
      </c>
      <c r="F108" s="17" t="s">
        <v>48</v>
      </c>
      <c r="G108" s="17" t="s">
        <v>18</v>
      </c>
      <c r="H108" s="18">
        <f>ROUND(RAND()*4+6,1)</f>
      </c>
      <c r="I108" s="17" t="s">
        <v>19</v>
      </c>
      <c r="J108" s="19">
        <f>ROUND(62*1,0)&amp;"%"</f>
      </c>
    </row>
    <row x14ac:dyDescent="0.25" r="109" customHeight="1" ht="17.25">
      <c r="A109" s="20" t="s">
        <v>9606</v>
      </c>
      <c r="B109" s="20" t="s">
        <v>202</v>
      </c>
      <c r="C109" s="20" t="s">
        <v>56</v>
      </c>
      <c r="D109" s="20" t="s">
        <v>22</v>
      </c>
      <c r="E109" s="21">
        <f>ROUND(14853*1.05,2)</f>
      </c>
      <c r="F109" s="20" t="s">
        <v>51</v>
      </c>
      <c r="G109" s="20" t="s">
        <v>24</v>
      </c>
      <c r="H109" s="21">
        <f>ROUND(RAND()*4+6,1)</f>
      </c>
      <c r="I109" s="20" t="s">
        <v>25</v>
      </c>
      <c r="J109" s="23">
        <f>ROUND(82*1,0)&amp;"%"</f>
      </c>
    </row>
    <row x14ac:dyDescent="0.25" r="110" customHeight="1" ht="17.25">
      <c r="A110" s="24" t="s">
        <v>203</v>
      </c>
      <c r="B110" s="24"/>
      <c r="C110" s="24"/>
      <c r="D110" s="24"/>
      <c r="E110" s="25">
        <v>8</v>
      </c>
      <c r="F110" s="9"/>
      <c r="G110" s="9"/>
      <c r="H110" s="10"/>
      <c r="I110" s="9"/>
      <c r="J110" s="9"/>
    </row>
    <row x14ac:dyDescent="0.25" r="111" customHeight="1" ht="17.25">
      <c r="A111" s="7"/>
      <c r="B111" s="7"/>
      <c r="C111" s="7"/>
      <c r="D111" s="7"/>
      <c r="E111" s="8"/>
      <c r="F111" s="9"/>
      <c r="G111" s="9"/>
      <c r="H111" s="10"/>
      <c r="I111" s="9"/>
      <c r="J111" s="9"/>
    </row>
    <row x14ac:dyDescent="0.25" r="112" customHeight="1" ht="17.25">
      <c r="A112" s="11" t="s">
        <v>9607</v>
      </c>
      <c r="B112" s="11"/>
      <c r="C112" s="11"/>
      <c r="D112" s="11"/>
      <c r="E112" s="12"/>
      <c r="F112" s="11"/>
      <c r="G112" s="11"/>
      <c r="H112" s="13"/>
      <c r="I112" s="11"/>
      <c r="J112" s="11"/>
    </row>
    <row x14ac:dyDescent="0.25" r="113" customHeight="1" ht="17.25">
      <c r="A113" s="14" t="s">
        <v>3</v>
      </c>
      <c r="B113" s="14" t="s">
        <v>4</v>
      </c>
      <c r="C113" s="14" t="s">
        <v>5</v>
      </c>
      <c r="D113" s="14" t="s">
        <v>6</v>
      </c>
      <c r="E113" s="15" t="s">
        <v>7</v>
      </c>
      <c r="F113" s="14" t="s">
        <v>8</v>
      </c>
      <c r="G113" s="14" t="s">
        <v>9</v>
      </c>
      <c r="H113" s="16" t="s">
        <v>10</v>
      </c>
      <c r="I113" s="14" t="s">
        <v>11</v>
      </c>
      <c r="J113" s="14" t="s">
        <v>12</v>
      </c>
    </row>
    <row x14ac:dyDescent="0.25" r="114" customHeight="1" ht="17.25">
      <c r="A114" s="17" t="s">
        <v>9608</v>
      </c>
      <c r="B114" s="17" t="s">
        <v>206</v>
      </c>
      <c r="C114" s="17" t="s">
        <v>76</v>
      </c>
      <c r="D114" s="17" t="s">
        <v>16</v>
      </c>
      <c r="E114" s="18">
        <f>ROUND(11490*1.05,2)</f>
      </c>
      <c r="F114" s="17" t="s">
        <v>17</v>
      </c>
      <c r="G114" s="17" t="s">
        <v>18</v>
      </c>
      <c r="H114" s="26">
        <f>ROUND(RAND()*4+6,1)</f>
      </c>
      <c r="I114" s="17" t="s">
        <v>19</v>
      </c>
      <c r="J114" s="19">
        <f>ROUND(61*1,0)&amp;"%"</f>
      </c>
    </row>
    <row x14ac:dyDescent="0.25" r="115" customHeight="1" ht="17.25">
      <c r="A115" s="20" t="s">
        <v>9609</v>
      </c>
      <c r="B115" s="20" t="s">
        <v>208</v>
      </c>
      <c r="C115" s="20" t="s">
        <v>76</v>
      </c>
      <c r="D115" s="20" t="s">
        <v>22</v>
      </c>
      <c r="E115" s="21">
        <f>ROUND(9078*1.05,2)</f>
      </c>
      <c r="F115" s="20" t="s">
        <v>23</v>
      </c>
      <c r="G115" s="20" t="s">
        <v>24</v>
      </c>
      <c r="H115" s="21">
        <f>ROUND(RAND()*4+6,1)</f>
      </c>
      <c r="I115" s="20" t="s">
        <v>25</v>
      </c>
      <c r="J115" s="23">
        <f>ROUND(71*1,0)&amp;"%"</f>
      </c>
    </row>
    <row x14ac:dyDescent="0.25" r="116" customHeight="1" ht="17.25">
      <c r="A116" s="17" t="s">
        <v>9610</v>
      </c>
      <c r="B116" s="17" t="s">
        <v>210</v>
      </c>
      <c r="C116" s="17" t="s">
        <v>76</v>
      </c>
      <c r="D116" s="17" t="s">
        <v>28</v>
      </c>
      <c r="E116" s="18">
        <f>ROUND(16836*1.05,2)</f>
      </c>
      <c r="F116" s="17" t="s">
        <v>29</v>
      </c>
      <c r="G116" s="17" t="s">
        <v>30</v>
      </c>
      <c r="H116" s="18">
        <f>ROUND(RAND()*4+6,1)</f>
      </c>
      <c r="I116" s="17" t="s">
        <v>31</v>
      </c>
      <c r="J116" s="19">
        <f>ROUND(63*1,0)&amp;"%"</f>
      </c>
    </row>
    <row x14ac:dyDescent="0.25" r="117" customHeight="1" ht="17.25">
      <c r="A117" s="20" t="s">
        <v>9611</v>
      </c>
      <c r="B117" s="20" t="s">
        <v>212</v>
      </c>
      <c r="C117" s="20" t="s">
        <v>76</v>
      </c>
      <c r="D117" s="20" t="s">
        <v>34</v>
      </c>
      <c r="E117" s="22">
        <f>ROUND(13920*1.05,2)</f>
      </c>
      <c r="F117" s="20" t="s">
        <v>35</v>
      </c>
      <c r="G117" s="20" t="s">
        <v>18</v>
      </c>
      <c r="H117" s="21">
        <f>ROUND(RAND()*4+6,1)</f>
      </c>
      <c r="I117" s="20" t="s">
        <v>36</v>
      </c>
      <c r="J117" s="23">
        <f>ROUND(92*1,0)&amp;"%"</f>
      </c>
    </row>
    <row x14ac:dyDescent="0.25" r="118" customHeight="1" ht="17.25">
      <c r="A118" s="17" t="s">
        <v>9612</v>
      </c>
      <c r="B118" s="17" t="s">
        <v>214</v>
      </c>
      <c r="C118" s="17" t="s">
        <v>76</v>
      </c>
      <c r="D118" s="17" t="s">
        <v>39</v>
      </c>
      <c r="E118" s="18">
        <f>ROUND(8895*1.05,2)</f>
      </c>
      <c r="F118" s="17" t="s">
        <v>40</v>
      </c>
      <c r="G118" s="17" t="s">
        <v>24</v>
      </c>
      <c r="H118" s="18">
        <f>ROUND(RAND()*4+6,1)</f>
      </c>
      <c r="I118" s="17" t="s">
        <v>41</v>
      </c>
      <c r="J118" s="19">
        <f>ROUND(76*1,0)&amp;"%"</f>
      </c>
    </row>
    <row x14ac:dyDescent="0.25" r="119" customHeight="1" ht="17.25">
      <c r="A119" s="20" t="s">
        <v>9613</v>
      </c>
      <c r="B119" s="20" t="s">
        <v>216</v>
      </c>
      <c r="C119" s="20" t="s">
        <v>76</v>
      </c>
      <c r="D119" s="20" t="s">
        <v>67</v>
      </c>
      <c r="E119" s="21">
        <f>ROUND(15101*1.05,2)</f>
      </c>
      <c r="F119" s="20" t="s">
        <v>44</v>
      </c>
      <c r="G119" s="20" t="s">
        <v>30</v>
      </c>
      <c r="H119" s="21">
        <f>ROUND(RAND()*4+6,1)</f>
      </c>
      <c r="I119" s="20" t="s">
        <v>45</v>
      </c>
      <c r="J119" s="23">
        <f>ROUND(77*1,0)&amp;"%"</f>
      </c>
    </row>
    <row x14ac:dyDescent="0.25" r="120" customHeight="1" ht="17.25">
      <c r="A120" s="17" t="s">
        <v>9614</v>
      </c>
      <c r="B120" s="17" t="s">
        <v>218</v>
      </c>
      <c r="C120" s="17" t="s">
        <v>76</v>
      </c>
      <c r="D120" s="17" t="s">
        <v>16</v>
      </c>
      <c r="E120" s="18">
        <f>ROUND(12369*1.05,2)</f>
      </c>
      <c r="F120" s="17" t="s">
        <v>48</v>
      </c>
      <c r="G120" s="17" t="s">
        <v>18</v>
      </c>
      <c r="H120" s="26">
        <f>ROUND(RAND()*4+6,1)</f>
      </c>
      <c r="I120" s="17" t="s">
        <v>19</v>
      </c>
      <c r="J120" s="19">
        <f>ROUND(80*1,0)&amp;"%"</f>
      </c>
    </row>
    <row x14ac:dyDescent="0.25" r="121" customHeight="1" ht="17.25">
      <c r="A121" s="20" t="s">
        <v>9615</v>
      </c>
      <c r="B121" s="20" t="s">
        <v>220</v>
      </c>
      <c r="C121" s="20" t="s">
        <v>76</v>
      </c>
      <c r="D121" s="20" t="s">
        <v>22</v>
      </c>
      <c r="E121" s="21">
        <f>ROUND(17025*1.05,2)</f>
      </c>
      <c r="F121" s="20" t="s">
        <v>51</v>
      </c>
      <c r="G121" s="20" t="s">
        <v>24</v>
      </c>
      <c r="H121" s="21">
        <f>ROUND(RAND()*4+6,1)</f>
      </c>
      <c r="I121" s="20" t="s">
        <v>25</v>
      </c>
      <c r="J121" s="23">
        <f>ROUND(93*1,0)&amp;"%"</f>
      </c>
    </row>
    <row x14ac:dyDescent="0.25" r="122" customHeight="1" ht="17.25">
      <c r="A122" s="24" t="s">
        <v>221</v>
      </c>
      <c r="B122" s="24"/>
      <c r="C122" s="24"/>
      <c r="D122" s="24"/>
      <c r="E122" s="25">
        <v>8</v>
      </c>
      <c r="F122" s="9"/>
      <c r="G122" s="9"/>
      <c r="H122" s="10"/>
      <c r="I122" s="9"/>
      <c r="J122" s="9"/>
    </row>
    <row x14ac:dyDescent="0.25" r="123" customHeight="1" ht="17.25">
      <c r="A123" s="7"/>
      <c r="B123" s="7"/>
      <c r="C123" s="7"/>
      <c r="D123" s="7"/>
      <c r="E123" s="8"/>
      <c r="F123" s="9"/>
      <c r="G123" s="9"/>
      <c r="H123" s="10"/>
      <c r="I123" s="9"/>
      <c r="J123" s="9"/>
    </row>
    <row x14ac:dyDescent="0.25" r="124" customHeight="1" ht="17.25">
      <c r="A124" s="11" t="s">
        <v>9616</v>
      </c>
      <c r="B124" s="11"/>
      <c r="C124" s="11"/>
      <c r="D124" s="11"/>
      <c r="E124" s="12"/>
      <c r="F124" s="11"/>
      <c r="G124" s="11"/>
      <c r="H124" s="13"/>
      <c r="I124" s="11"/>
      <c r="J124" s="11"/>
    </row>
    <row x14ac:dyDescent="0.25" r="125" customHeight="1" ht="17.25">
      <c r="A125" s="14" t="s">
        <v>3</v>
      </c>
      <c r="B125" s="14" t="s">
        <v>4</v>
      </c>
      <c r="C125" s="14" t="s">
        <v>5</v>
      </c>
      <c r="D125" s="14" t="s">
        <v>6</v>
      </c>
      <c r="E125" s="15" t="s">
        <v>7</v>
      </c>
      <c r="F125" s="14" t="s">
        <v>8</v>
      </c>
      <c r="G125" s="14" t="s">
        <v>9</v>
      </c>
      <c r="H125" s="16" t="s">
        <v>10</v>
      </c>
      <c r="I125" s="14" t="s">
        <v>11</v>
      </c>
      <c r="J125" s="14" t="s">
        <v>12</v>
      </c>
    </row>
    <row x14ac:dyDescent="0.25" r="126" customHeight="1" ht="17.25">
      <c r="A126" s="17" t="s">
        <v>9617</v>
      </c>
      <c r="B126" s="17" t="s">
        <v>224</v>
      </c>
      <c r="C126" s="17" t="s">
        <v>95</v>
      </c>
      <c r="D126" s="17" t="s">
        <v>16</v>
      </c>
      <c r="E126" s="18">
        <f>ROUND(16137*1.05,2)</f>
      </c>
      <c r="F126" s="17" t="s">
        <v>17</v>
      </c>
      <c r="G126" s="17" t="s">
        <v>18</v>
      </c>
      <c r="H126" s="18">
        <f>ROUND(RAND()*4+6,1)</f>
      </c>
      <c r="I126" s="17" t="s">
        <v>19</v>
      </c>
      <c r="J126" s="19">
        <f>ROUND(96*1,0)&amp;"%"</f>
      </c>
    </row>
    <row x14ac:dyDescent="0.25" r="127" customHeight="1" ht="17.25">
      <c r="A127" s="20" t="s">
        <v>9618</v>
      </c>
      <c r="B127" s="20" t="s">
        <v>226</v>
      </c>
      <c r="C127" s="20" t="s">
        <v>95</v>
      </c>
      <c r="D127" s="20" t="s">
        <v>22</v>
      </c>
      <c r="E127" s="21">
        <f>ROUND(8477*1.05,2)</f>
      </c>
      <c r="F127" s="20" t="s">
        <v>23</v>
      </c>
      <c r="G127" s="20" t="s">
        <v>24</v>
      </c>
      <c r="H127" s="21">
        <f>ROUND(RAND()*4+6,1)</f>
      </c>
      <c r="I127" s="20" t="s">
        <v>25</v>
      </c>
      <c r="J127" s="23">
        <f>ROUND(91*1,0)&amp;"%"</f>
      </c>
    </row>
    <row x14ac:dyDescent="0.25" r="128" customHeight="1" ht="17.25">
      <c r="A128" s="17" t="s">
        <v>9619</v>
      </c>
      <c r="B128" s="17" t="s">
        <v>228</v>
      </c>
      <c r="C128" s="17" t="s">
        <v>95</v>
      </c>
      <c r="D128" s="17" t="s">
        <v>28</v>
      </c>
      <c r="E128" s="18">
        <f>ROUND(6666*1.05,2)</f>
      </c>
      <c r="F128" s="17" t="s">
        <v>29</v>
      </c>
      <c r="G128" s="17" t="s">
        <v>30</v>
      </c>
      <c r="H128" s="18">
        <f>ROUND(RAND()*4+6,1)</f>
      </c>
      <c r="I128" s="17" t="s">
        <v>31</v>
      </c>
      <c r="J128" s="19">
        <f>ROUND(71*1,0)&amp;"%"</f>
      </c>
    </row>
    <row x14ac:dyDescent="0.25" r="129" customHeight="1" ht="17.25">
      <c r="A129" s="20" t="s">
        <v>9620</v>
      </c>
      <c r="B129" s="20" t="s">
        <v>230</v>
      </c>
      <c r="C129" s="20" t="s">
        <v>95</v>
      </c>
      <c r="D129" s="20" t="s">
        <v>34</v>
      </c>
      <c r="E129" s="21">
        <f>ROUND(8345*1.05,2)</f>
      </c>
      <c r="F129" s="20" t="s">
        <v>35</v>
      </c>
      <c r="G129" s="20" t="s">
        <v>18</v>
      </c>
      <c r="H129" s="21">
        <f>ROUND(RAND()*4+6,1)</f>
      </c>
      <c r="I129" s="20" t="s">
        <v>36</v>
      </c>
      <c r="J129" s="23">
        <f>ROUND(93*1,0)&amp;"%"</f>
      </c>
    </row>
    <row x14ac:dyDescent="0.25" r="130" customHeight="1" ht="17.25">
      <c r="A130" s="17" t="s">
        <v>9621</v>
      </c>
      <c r="B130" s="17" t="s">
        <v>232</v>
      </c>
      <c r="C130" s="17" t="s">
        <v>95</v>
      </c>
      <c r="D130" s="17" t="s">
        <v>39</v>
      </c>
      <c r="E130" s="18">
        <f>ROUND(13319*1.05,2)</f>
      </c>
      <c r="F130" s="17" t="s">
        <v>40</v>
      </c>
      <c r="G130" s="17" t="s">
        <v>24</v>
      </c>
      <c r="H130" s="18">
        <f>ROUND(RAND()*4+6,1)</f>
      </c>
      <c r="I130" s="17" t="s">
        <v>41</v>
      </c>
      <c r="J130" s="19">
        <f>ROUND(89*1,0)&amp;"%"</f>
      </c>
    </row>
    <row x14ac:dyDescent="0.25" r="131" customHeight="1" ht="17.25">
      <c r="A131" s="20" t="s">
        <v>9622</v>
      </c>
      <c r="B131" s="20" t="s">
        <v>234</v>
      </c>
      <c r="C131" s="20" t="s">
        <v>95</v>
      </c>
      <c r="D131" s="20" t="s">
        <v>67</v>
      </c>
      <c r="E131" s="21">
        <f>ROUND(12715*1.05,2)</f>
      </c>
      <c r="F131" s="20" t="s">
        <v>44</v>
      </c>
      <c r="G131" s="20" t="s">
        <v>30</v>
      </c>
      <c r="H131" s="21">
        <f>ROUND(RAND()*4+6,1)</f>
      </c>
      <c r="I131" s="20" t="s">
        <v>45</v>
      </c>
      <c r="J131" s="23">
        <f>ROUND(86*1,0)&amp;"%"</f>
      </c>
    </row>
    <row x14ac:dyDescent="0.25" r="132" customHeight="1" ht="17.25">
      <c r="A132" s="17" t="s">
        <v>9623</v>
      </c>
      <c r="B132" s="17" t="s">
        <v>236</v>
      </c>
      <c r="C132" s="17" t="s">
        <v>95</v>
      </c>
      <c r="D132" s="17" t="s">
        <v>16</v>
      </c>
      <c r="E132" s="18">
        <f>ROUND(8775*1.05,2)</f>
      </c>
      <c r="F132" s="17" t="s">
        <v>48</v>
      </c>
      <c r="G132" s="17" t="s">
        <v>18</v>
      </c>
      <c r="H132" s="18">
        <f>ROUND(RAND()*4+6,1)</f>
      </c>
      <c r="I132" s="17" t="s">
        <v>19</v>
      </c>
      <c r="J132" s="19">
        <f>ROUND(73*1,0)&amp;"%"</f>
      </c>
    </row>
    <row x14ac:dyDescent="0.25" r="133" customHeight="1" ht="17.25">
      <c r="A133" s="20" t="s">
        <v>9624</v>
      </c>
      <c r="B133" s="20" t="s">
        <v>238</v>
      </c>
      <c r="C133" s="20" t="s">
        <v>95</v>
      </c>
      <c r="D133" s="20" t="s">
        <v>22</v>
      </c>
      <c r="E133" s="21">
        <f>ROUND(4061*1.05,2)</f>
      </c>
      <c r="F133" s="20" t="s">
        <v>51</v>
      </c>
      <c r="G133" s="20" t="s">
        <v>24</v>
      </c>
      <c r="H133" s="21">
        <f>ROUND(RAND()*4+6,1)</f>
      </c>
      <c r="I133" s="20" t="s">
        <v>25</v>
      </c>
      <c r="J133" s="23">
        <f>ROUND(93*1,0)&amp;"%"</f>
      </c>
    </row>
    <row x14ac:dyDescent="0.25" r="134" customHeight="1" ht="17.25">
      <c r="A134" s="24" t="s">
        <v>239</v>
      </c>
      <c r="B134" s="24"/>
      <c r="C134" s="24"/>
      <c r="D134" s="24"/>
      <c r="E134" s="25">
        <v>8</v>
      </c>
      <c r="F134" s="9"/>
      <c r="G134" s="9"/>
      <c r="H134" s="10"/>
      <c r="I134" s="9"/>
      <c r="J134" s="9"/>
    </row>
    <row x14ac:dyDescent="0.25" r="135" customHeight="1" ht="17.25">
      <c r="A135" s="7"/>
      <c r="B135" s="7"/>
      <c r="C135" s="7"/>
      <c r="D135" s="7"/>
      <c r="E135" s="8"/>
      <c r="F135" s="9"/>
      <c r="G135" s="9"/>
      <c r="H135" s="10"/>
      <c r="I135" s="9"/>
      <c r="J135" s="9"/>
    </row>
    <row x14ac:dyDescent="0.25" r="136" customHeight="1" ht="17.25">
      <c r="A136" s="11" t="s">
        <v>9625</v>
      </c>
      <c r="B136" s="11"/>
      <c r="C136" s="11"/>
      <c r="D136" s="11"/>
      <c r="E136" s="12"/>
      <c r="F136" s="11"/>
      <c r="G136" s="11"/>
      <c r="H136" s="13"/>
      <c r="I136" s="11"/>
      <c r="J136" s="11"/>
    </row>
    <row x14ac:dyDescent="0.25" r="137" customHeight="1" ht="17.25">
      <c r="A137" s="14" t="s">
        <v>3</v>
      </c>
      <c r="B137" s="14" t="s">
        <v>4</v>
      </c>
      <c r="C137" s="14" t="s">
        <v>5</v>
      </c>
      <c r="D137" s="14" t="s">
        <v>6</v>
      </c>
      <c r="E137" s="15" t="s">
        <v>7</v>
      </c>
      <c r="F137" s="14" t="s">
        <v>8</v>
      </c>
      <c r="G137" s="14" t="s">
        <v>9</v>
      </c>
      <c r="H137" s="16" t="s">
        <v>10</v>
      </c>
      <c r="I137" s="14" t="s">
        <v>11</v>
      </c>
      <c r="J137" s="14" t="s">
        <v>12</v>
      </c>
    </row>
    <row x14ac:dyDescent="0.25" r="138" customHeight="1" ht="17.25">
      <c r="A138" s="17" t="s">
        <v>9626</v>
      </c>
      <c r="B138" s="17" t="s">
        <v>242</v>
      </c>
      <c r="C138" s="17" t="s">
        <v>114</v>
      </c>
      <c r="D138" s="17" t="s">
        <v>16</v>
      </c>
      <c r="E138" s="18">
        <f>ROUND(13879*1.05,2)</f>
      </c>
      <c r="F138" s="17" t="s">
        <v>17</v>
      </c>
      <c r="G138" s="17" t="s">
        <v>18</v>
      </c>
      <c r="H138" s="18">
        <f>ROUND(RAND()*4+6,1)</f>
      </c>
      <c r="I138" s="17" t="s">
        <v>19</v>
      </c>
      <c r="J138" s="19">
        <f>ROUND(68*1,0)&amp;"%"</f>
      </c>
    </row>
    <row x14ac:dyDescent="0.25" r="139" customHeight="1" ht="17.25">
      <c r="A139" s="20" t="s">
        <v>9627</v>
      </c>
      <c r="B139" s="20" t="s">
        <v>244</v>
      </c>
      <c r="C139" s="20" t="s">
        <v>114</v>
      </c>
      <c r="D139" s="20" t="s">
        <v>22</v>
      </c>
      <c r="E139" s="21">
        <f>ROUND(16546*1.05,2)</f>
      </c>
      <c r="F139" s="20" t="s">
        <v>23</v>
      </c>
      <c r="G139" s="20" t="s">
        <v>24</v>
      </c>
      <c r="H139" s="22">
        <f>ROUND(RAND()*4+6,1)</f>
      </c>
      <c r="I139" s="20" t="s">
        <v>25</v>
      </c>
      <c r="J139" s="23">
        <f>ROUND(61*1,0)&amp;"%"</f>
      </c>
    </row>
    <row x14ac:dyDescent="0.25" r="140" customHeight="1" ht="17.25">
      <c r="A140" s="17" t="s">
        <v>9628</v>
      </c>
      <c r="B140" s="17" t="s">
        <v>246</v>
      </c>
      <c r="C140" s="17" t="s">
        <v>114</v>
      </c>
      <c r="D140" s="17" t="s">
        <v>28</v>
      </c>
      <c r="E140" s="18">
        <f>ROUND(17862*1.05,2)</f>
      </c>
      <c r="F140" s="17" t="s">
        <v>29</v>
      </c>
      <c r="G140" s="17" t="s">
        <v>30</v>
      </c>
      <c r="H140" s="18">
        <f>ROUND(RAND()*4+6,1)</f>
      </c>
      <c r="I140" s="17" t="s">
        <v>31</v>
      </c>
      <c r="J140" s="19">
        <f>ROUND(95*1,0)&amp;"%"</f>
      </c>
    </row>
    <row x14ac:dyDescent="0.25" r="141" customHeight="1" ht="17.25">
      <c r="A141" s="20" t="s">
        <v>9629</v>
      </c>
      <c r="B141" s="20" t="s">
        <v>248</v>
      </c>
      <c r="C141" s="20" t="s">
        <v>114</v>
      </c>
      <c r="D141" s="20" t="s">
        <v>34</v>
      </c>
      <c r="E141" s="21">
        <f>ROUND(6522*1.05,2)</f>
      </c>
      <c r="F141" s="20" t="s">
        <v>35</v>
      </c>
      <c r="G141" s="20" t="s">
        <v>18</v>
      </c>
      <c r="H141" s="22">
        <f>ROUND(RAND()*4+6,1)</f>
      </c>
      <c r="I141" s="20" t="s">
        <v>36</v>
      </c>
      <c r="J141" s="23">
        <f>ROUND(65*1,0)&amp;"%"</f>
      </c>
    </row>
    <row x14ac:dyDescent="0.25" r="142" customHeight="1" ht="17.25">
      <c r="A142" s="17" t="s">
        <v>9630</v>
      </c>
      <c r="B142" s="17" t="s">
        <v>250</v>
      </c>
      <c r="C142" s="17" t="s">
        <v>114</v>
      </c>
      <c r="D142" s="17" t="s">
        <v>39</v>
      </c>
      <c r="E142" s="18">
        <f>ROUND(16005*1.05,2)</f>
      </c>
      <c r="F142" s="17" t="s">
        <v>40</v>
      </c>
      <c r="G142" s="17" t="s">
        <v>24</v>
      </c>
      <c r="H142" s="18">
        <f>ROUND(RAND()*4+6,1)</f>
      </c>
      <c r="I142" s="17" t="s">
        <v>41</v>
      </c>
      <c r="J142" s="19">
        <f>ROUND(62*1,0)&amp;"%"</f>
      </c>
    </row>
    <row x14ac:dyDescent="0.25" r="143" customHeight="1" ht="17.25">
      <c r="A143" s="20" t="s">
        <v>9631</v>
      </c>
      <c r="B143" s="20" t="s">
        <v>252</v>
      </c>
      <c r="C143" s="20" t="s">
        <v>114</v>
      </c>
      <c r="D143" s="20" t="s">
        <v>67</v>
      </c>
      <c r="E143" s="21">
        <f>ROUND(15734*1.05,2)</f>
      </c>
      <c r="F143" s="20" t="s">
        <v>44</v>
      </c>
      <c r="G143" s="20" t="s">
        <v>30</v>
      </c>
      <c r="H143" s="21">
        <f>ROUND(RAND()*4+6,1)</f>
      </c>
      <c r="I143" s="20" t="s">
        <v>45</v>
      </c>
      <c r="J143" s="23">
        <f>ROUND(70*1,0)&amp;"%"</f>
      </c>
    </row>
    <row x14ac:dyDescent="0.25" r="144" customHeight="1" ht="17.25">
      <c r="A144" s="17" t="s">
        <v>9632</v>
      </c>
      <c r="B144" s="17" t="s">
        <v>254</v>
      </c>
      <c r="C144" s="17" t="s">
        <v>114</v>
      </c>
      <c r="D144" s="17" t="s">
        <v>16</v>
      </c>
      <c r="E144" s="18">
        <f>ROUND(5431*1.05,2)</f>
      </c>
      <c r="F144" s="17" t="s">
        <v>48</v>
      </c>
      <c r="G144" s="17" t="s">
        <v>18</v>
      </c>
      <c r="H144" s="18">
        <f>ROUND(RAND()*4+6,1)</f>
      </c>
      <c r="I144" s="17" t="s">
        <v>19</v>
      </c>
      <c r="J144" s="19">
        <f>ROUND(98*1,0)&amp;"%"</f>
      </c>
    </row>
    <row x14ac:dyDescent="0.25" r="145" customHeight="1" ht="17.25">
      <c r="A145" s="20" t="s">
        <v>9633</v>
      </c>
      <c r="B145" s="20" t="s">
        <v>256</v>
      </c>
      <c r="C145" s="20" t="s">
        <v>114</v>
      </c>
      <c r="D145" s="20" t="s">
        <v>22</v>
      </c>
      <c r="E145" s="21">
        <f>ROUND(12949*1.05,2)</f>
      </c>
      <c r="F145" s="20" t="s">
        <v>51</v>
      </c>
      <c r="G145" s="20" t="s">
        <v>24</v>
      </c>
      <c r="H145" s="21">
        <f>ROUND(RAND()*4+6,1)</f>
      </c>
      <c r="I145" s="20" t="s">
        <v>25</v>
      </c>
      <c r="J145" s="23">
        <f>ROUND(70*1,0)&amp;"%"</f>
      </c>
    </row>
    <row x14ac:dyDescent="0.25" r="146" customHeight="1" ht="17.25">
      <c r="A146" s="24" t="s">
        <v>257</v>
      </c>
      <c r="B146" s="24"/>
      <c r="C146" s="24"/>
      <c r="D146" s="24"/>
      <c r="E146" s="25">
        <v>8</v>
      </c>
      <c r="F146" s="9"/>
      <c r="G146" s="9"/>
      <c r="H146" s="10"/>
      <c r="I146" s="9"/>
      <c r="J146" s="9"/>
    </row>
    <row x14ac:dyDescent="0.25" r="147" customHeight="1" ht="17.25">
      <c r="A147" s="7"/>
      <c r="B147" s="7"/>
      <c r="C147" s="7"/>
      <c r="D147" s="7"/>
      <c r="E147" s="8"/>
      <c r="F147" s="9"/>
      <c r="G147" s="9"/>
      <c r="H147" s="10"/>
      <c r="I147" s="9"/>
      <c r="J147" s="9"/>
    </row>
    <row x14ac:dyDescent="0.25" r="148" customHeight="1" ht="17.25">
      <c r="A148" s="11" t="s">
        <v>9634</v>
      </c>
      <c r="B148" s="11"/>
      <c r="C148" s="11"/>
      <c r="D148" s="11"/>
      <c r="E148" s="12"/>
      <c r="F148" s="11"/>
      <c r="G148" s="11"/>
      <c r="H148" s="13"/>
      <c r="I148" s="11"/>
      <c r="J148" s="11"/>
    </row>
    <row x14ac:dyDescent="0.25" r="149" customHeight="1" ht="17.25">
      <c r="A149" s="14" t="s">
        <v>3</v>
      </c>
      <c r="B149" s="14" t="s">
        <v>4</v>
      </c>
      <c r="C149" s="14" t="s">
        <v>5</v>
      </c>
      <c r="D149" s="14" t="s">
        <v>6</v>
      </c>
      <c r="E149" s="15" t="s">
        <v>7</v>
      </c>
      <c r="F149" s="14" t="s">
        <v>8</v>
      </c>
      <c r="G149" s="14" t="s">
        <v>9</v>
      </c>
      <c r="H149" s="16" t="s">
        <v>10</v>
      </c>
      <c r="I149" s="14" t="s">
        <v>11</v>
      </c>
      <c r="J149" s="14" t="s">
        <v>12</v>
      </c>
    </row>
    <row x14ac:dyDescent="0.25" r="150" customHeight="1" ht="17.25">
      <c r="A150" s="17" t="s">
        <v>9635</v>
      </c>
      <c r="B150" s="17" t="s">
        <v>260</v>
      </c>
      <c r="C150" s="17" t="s">
        <v>133</v>
      </c>
      <c r="D150" s="17" t="s">
        <v>16</v>
      </c>
      <c r="E150" s="18">
        <f>ROUND(10490*1.05,2)</f>
      </c>
      <c r="F150" s="17" t="s">
        <v>17</v>
      </c>
      <c r="G150" s="17" t="s">
        <v>18</v>
      </c>
      <c r="H150" s="18">
        <f>ROUND(RAND()*4+6,1)</f>
      </c>
      <c r="I150" s="17" t="s">
        <v>19</v>
      </c>
      <c r="J150" s="19">
        <f>ROUND(62*1,0)&amp;"%"</f>
      </c>
    </row>
    <row x14ac:dyDescent="0.25" r="151" customHeight="1" ht="17.25">
      <c r="A151" s="20" t="s">
        <v>9636</v>
      </c>
      <c r="B151" s="20" t="s">
        <v>262</v>
      </c>
      <c r="C151" s="20" t="s">
        <v>133</v>
      </c>
      <c r="D151" s="20" t="s">
        <v>22</v>
      </c>
      <c r="E151" s="21">
        <f>ROUND(15539*1.05,2)</f>
      </c>
      <c r="F151" s="20" t="s">
        <v>23</v>
      </c>
      <c r="G151" s="20" t="s">
        <v>24</v>
      </c>
      <c r="H151" s="21">
        <f>ROUND(RAND()*4+6,1)</f>
      </c>
      <c r="I151" s="20" t="s">
        <v>25</v>
      </c>
      <c r="J151" s="23">
        <f>ROUND(89*1,0)&amp;"%"</f>
      </c>
    </row>
    <row x14ac:dyDescent="0.25" r="152" customHeight="1" ht="17.25">
      <c r="A152" s="17" t="s">
        <v>9637</v>
      </c>
      <c r="B152" s="17" t="s">
        <v>264</v>
      </c>
      <c r="C152" s="17" t="s">
        <v>133</v>
      </c>
      <c r="D152" s="17" t="s">
        <v>28</v>
      </c>
      <c r="E152" s="18">
        <f>ROUND(16518*1.05,2)</f>
      </c>
      <c r="F152" s="17" t="s">
        <v>29</v>
      </c>
      <c r="G152" s="17" t="s">
        <v>30</v>
      </c>
      <c r="H152" s="18">
        <f>ROUND(RAND()*4+6,1)</f>
      </c>
      <c r="I152" s="17" t="s">
        <v>31</v>
      </c>
      <c r="J152" s="19">
        <f>ROUND(83*1,0)&amp;"%"</f>
      </c>
    </row>
    <row x14ac:dyDescent="0.25" r="153" customHeight="1" ht="17.25">
      <c r="A153" s="20" t="s">
        <v>9638</v>
      </c>
      <c r="B153" s="20" t="s">
        <v>266</v>
      </c>
      <c r="C153" s="20" t="s">
        <v>133</v>
      </c>
      <c r="D153" s="20" t="s">
        <v>34</v>
      </c>
      <c r="E153" s="21">
        <f>ROUND(12173*1.05,2)</f>
      </c>
      <c r="F153" s="20" t="s">
        <v>35</v>
      </c>
      <c r="G153" s="20" t="s">
        <v>18</v>
      </c>
      <c r="H153" s="21">
        <f>ROUND(RAND()*4+6,1)</f>
      </c>
      <c r="I153" s="20" t="s">
        <v>36</v>
      </c>
      <c r="J153" s="23">
        <f>ROUND(81*1,0)&amp;"%"</f>
      </c>
    </row>
    <row x14ac:dyDescent="0.25" r="154" customHeight="1" ht="17.25">
      <c r="A154" s="17" t="s">
        <v>9639</v>
      </c>
      <c r="B154" s="17" t="s">
        <v>268</v>
      </c>
      <c r="C154" s="17" t="s">
        <v>133</v>
      </c>
      <c r="D154" s="17" t="s">
        <v>39</v>
      </c>
      <c r="E154" s="18">
        <f>ROUND(5728*1.05,2)</f>
      </c>
      <c r="F154" s="17" t="s">
        <v>40</v>
      </c>
      <c r="G154" s="17" t="s">
        <v>24</v>
      </c>
      <c r="H154" s="26">
        <f>ROUND(RAND()*4+6,1)</f>
      </c>
      <c r="I154" s="17" t="s">
        <v>41</v>
      </c>
      <c r="J154" s="19">
        <f>ROUND(63*1,0)&amp;"%"</f>
      </c>
    </row>
    <row x14ac:dyDescent="0.25" r="155" customHeight="1" ht="17.25">
      <c r="A155" s="20" t="s">
        <v>9640</v>
      </c>
      <c r="B155" s="20" t="s">
        <v>270</v>
      </c>
      <c r="C155" s="20" t="s">
        <v>133</v>
      </c>
      <c r="D155" s="20" t="s">
        <v>67</v>
      </c>
      <c r="E155" s="21">
        <f>ROUND(4290*1.05,2)</f>
      </c>
      <c r="F155" s="20" t="s">
        <v>44</v>
      </c>
      <c r="G155" s="20" t="s">
        <v>30</v>
      </c>
      <c r="H155" s="22">
        <f>ROUND(RAND()*4+6,1)</f>
      </c>
      <c r="I155" s="20" t="s">
        <v>45</v>
      </c>
      <c r="J155" s="23">
        <f>ROUND(93*1,0)&amp;"%"</f>
      </c>
    </row>
    <row x14ac:dyDescent="0.25" r="156" customHeight="1" ht="17.25">
      <c r="A156" s="17" t="s">
        <v>9641</v>
      </c>
      <c r="B156" s="17" t="s">
        <v>272</v>
      </c>
      <c r="C156" s="17" t="s">
        <v>133</v>
      </c>
      <c r="D156" s="17" t="s">
        <v>16</v>
      </c>
      <c r="E156" s="18">
        <f>ROUND(15161*1.05,2)</f>
      </c>
      <c r="F156" s="17" t="s">
        <v>48</v>
      </c>
      <c r="G156" s="17" t="s">
        <v>18</v>
      </c>
      <c r="H156" s="18">
        <f>ROUND(RAND()*4+6,1)</f>
      </c>
      <c r="I156" s="17" t="s">
        <v>19</v>
      </c>
      <c r="J156" s="19">
        <f>ROUND(69*1,0)&amp;"%"</f>
      </c>
    </row>
    <row x14ac:dyDescent="0.25" r="157" customHeight="1" ht="17.25">
      <c r="A157" s="20" t="s">
        <v>9642</v>
      </c>
      <c r="B157" s="20" t="s">
        <v>274</v>
      </c>
      <c r="C157" s="20" t="s">
        <v>133</v>
      </c>
      <c r="D157" s="20" t="s">
        <v>22</v>
      </c>
      <c r="E157" s="21">
        <f>ROUND(6153*1.05,2)</f>
      </c>
      <c r="F157" s="20" t="s">
        <v>51</v>
      </c>
      <c r="G157" s="20" t="s">
        <v>24</v>
      </c>
      <c r="H157" s="21">
        <f>ROUND(RAND()*4+6,1)</f>
      </c>
      <c r="I157" s="20" t="s">
        <v>25</v>
      </c>
      <c r="J157" s="23">
        <f>ROUND(90*1,0)&amp;"%"</f>
      </c>
    </row>
    <row x14ac:dyDescent="0.25" r="158" customHeight="1" ht="17.25">
      <c r="A158" s="24" t="s">
        <v>275</v>
      </c>
      <c r="B158" s="24"/>
      <c r="C158" s="24"/>
      <c r="D158" s="24"/>
      <c r="E158" s="25">
        <v>8</v>
      </c>
      <c r="F158" s="9"/>
      <c r="G158" s="9"/>
      <c r="H158" s="10"/>
      <c r="I158" s="9"/>
      <c r="J158" s="9"/>
    </row>
    <row x14ac:dyDescent="0.25" r="159" customHeight="1" ht="17.25">
      <c r="A159" s="7"/>
      <c r="B159" s="7"/>
      <c r="C159" s="7"/>
      <c r="D159" s="7"/>
      <c r="E159" s="8"/>
      <c r="F159" s="9"/>
      <c r="G159" s="9"/>
      <c r="H159" s="10"/>
      <c r="I159" s="9"/>
      <c r="J159" s="9"/>
    </row>
    <row x14ac:dyDescent="0.25" r="160" customHeight="1" ht="17.25">
      <c r="A160" s="11" t="s">
        <v>9643</v>
      </c>
      <c r="B160" s="11"/>
      <c r="C160" s="11"/>
      <c r="D160" s="11"/>
      <c r="E160" s="12"/>
      <c r="F160" s="11"/>
      <c r="G160" s="11"/>
      <c r="H160" s="13"/>
      <c r="I160" s="11"/>
      <c r="J160" s="11"/>
    </row>
    <row x14ac:dyDescent="0.25" r="161" customHeight="1" ht="17.25">
      <c r="A161" s="14" t="s">
        <v>3</v>
      </c>
      <c r="B161" s="14" t="s">
        <v>4</v>
      </c>
      <c r="C161" s="14" t="s">
        <v>5</v>
      </c>
      <c r="D161" s="14" t="s">
        <v>6</v>
      </c>
      <c r="E161" s="15" t="s">
        <v>7</v>
      </c>
      <c r="F161" s="14" t="s">
        <v>8</v>
      </c>
      <c r="G161" s="14" t="s">
        <v>9</v>
      </c>
      <c r="H161" s="16" t="s">
        <v>10</v>
      </c>
      <c r="I161" s="14" t="s">
        <v>11</v>
      </c>
      <c r="J161" s="14" t="s">
        <v>12</v>
      </c>
    </row>
    <row x14ac:dyDescent="0.25" r="162" customHeight="1" ht="17.25">
      <c r="A162" s="17" t="s">
        <v>9644</v>
      </c>
      <c r="B162" s="17" t="s">
        <v>278</v>
      </c>
      <c r="C162" s="17" t="s">
        <v>152</v>
      </c>
      <c r="D162" s="17" t="s">
        <v>16</v>
      </c>
      <c r="E162" s="18">
        <f>ROUND(15469*1.05,2)</f>
      </c>
      <c r="F162" s="17" t="s">
        <v>17</v>
      </c>
      <c r="G162" s="17" t="s">
        <v>18</v>
      </c>
      <c r="H162" s="18">
        <f>ROUND(RAND()*4+6,1)</f>
      </c>
      <c r="I162" s="17" t="s">
        <v>19</v>
      </c>
      <c r="J162" s="19">
        <f>ROUND(99*1,0)&amp;"%"</f>
      </c>
    </row>
    <row x14ac:dyDescent="0.25" r="163" customHeight="1" ht="17.25">
      <c r="A163" s="20" t="s">
        <v>9645</v>
      </c>
      <c r="B163" s="20" t="s">
        <v>280</v>
      </c>
      <c r="C163" s="20" t="s">
        <v>152</v>
      </c>
      <c r="D163" s="20" t="s">
        <v>22</v>
      </c>
      <c r="E163" s="21">
        <f>ROUND(10083*1.05,2)</f>
      </c>
      <c r="F163" s="20" t="s">
        <v>23</v>
      </c>
      <c r="G163" s="20" t="s">
        <v>24</v>
      </c>
      <c r="H163" s="22">
        <f>ROUND(RAND()*4+6,1)</f>
      </c>
      <c r="I163" s="20" t="s">
        <v>25</v>
      </c>
      <c r="J163" s="23">
        <f>ROUND(90*1,0)&amp;"%"</f>
      </c>
    </row>
    <row x14ac:dyDescent="0.25" r="164" customHeight="1" ht="17.25">
      <c r="A164" s="17" t="s">
        <v>9646</v>
      </c>
      <c r="B164" s="17" t="s">
        <v>282</v>
      </c>
      <c r="C164" s="17" t="s">
        <v>152</v>
      </c>
      <c r="D164" s="17" t="s">
        <v>28</v>
      </c>
      <c r="E164" s="18">
        <f>ROUND(13443*1.05,2)</f>
      </c>
      <c r="F164" s="17" t="s">
        <v>29</v>
      </c>
      <c r="G164" s="17" t="s">
        <v>30</v>
      </c>
      <c r="H164" s="18">
        <f>ROUND(RAND()*4+6,1)</f>
      </c>
      <c r="I164" s="17" t="s">
        <v>31</v>
      </c>
      <c r="J164" s="19">
        <f>ROUND(63*1,0)&amp;"%"</f>
      </c>
    </row>
    <row x14ac:dyDescent="0.25" r="165" customHeight="1" ht="17.25">
      <c r="A165" s="20" t="s">
        <v>9647</v>
      </c>
      <c r="B165" s="20" t="s">
        <v>284</v>
      </c>
      <c r="C165" s="20" t="s">
        <v>152</v>
      </c>
      <c r="D165" s="20" t="s">
        <v>34</v>
      </c>
      <c r="E165" s="21">
        <f>ROUND(8266*1.05,2)</f>
      </c>
      <c r="F165" s="20" t="s">
        <v>35</v>
      </c>
      <c r="G165" s="20" t="s">
        <v>18</v>
      </c>
      <c r="H165" s="21">
        <f>ROUND(RAND()*4+6,1)</f>
      </c>
      <c r="I165" s="20" t="s">
        <v>36</v>
      </c>
      <c r="J165" s="23">
        <f>ROUND(70*1,0)&amp;"%"</f>
      </c>
    </row>
    <row x14ac:dyDescent="0.25" r="166" customHeight="1" ht="17.25">
      <c r="A166" s="17" t="s">
        <v>9648</v>
      </c>
      <c r="B166" s="17" t="s">
        <v>286</v>
      </c>
      <c r="C166" s="17" t="s">
        <v>152</v>
      </c>
      <c r="D166" s="17" t="s">
        <v>39</v>
      </c>
      <c r="E166" s="18">
        <f>ROUND(10987*1.05,2)</f>
      </c>
      <c r="F166" s="17" t="s">
        <v>40</v>
      </c>
      <c r="G166" s="17" t="s">
        <v>24</v>
      </c>
      <c r="H166" s="18">
        <f>ROUND(RAND()*4+6,1)</f>
      </c>
      <c r="I166" s="17" t="s">
        <v>41</v>
      </c>
      <c r="J166" s="19">
        <f>ROUND(91*1,0)&amp;"%"</f>
      </c>
    </row>
    <row x14ac:dyDescent="0.25" r="167" customHeight="1" ht="17.25">
      <c r="A167" s="20" t="s">
        <v>9649</v>
      </c>
      <c r="B167" s="20" t="s">
        <v>288</v>
      </c>
      <c r="C167" s="20" t="s">
        <v>152</v>
      </c>
      <c r="D167" s="20" t="s">
        <v>67</v>
      </c>
      <c r="E167" s="21">
        <f>ROUND(10911*1.05,2)</f>
      </c>
      <c r="F167" s="20" t="s">
        <v>44</v>
      </c>
      <c r="G167" s="20" t="s">
        <v>30</v>
      </c>
      <c r="H167" s="22">
        <f>ROUND(RAND()*4+6,1)</f>
      </c>
      <c r="I167" s="20" t="s">
        <v>45</v>
      </c>
      <c r="J167" s="23">
        <f>ROUND(64*1,0)&amp;"%"</f>
      </c>
    </row>
    <row x14ac:dyDescent="0.25" r="168" customHeight="1" ht="17.25">
      <c r="A168" s="17" t="s">
        <v>9650</v>
      </c>
      <c r="B168" s="17" t="s">
        <v>290</v>
      </c>
      <c r="C168" s="17" t="s">
        <v>152</v>
      </c>
      <c r="D168" s="17" t="s">
        <v>16</v>
      </c>
      <c r="E168" s="26">
        <f>ROUND(16580*1.05,2)</f>
      </c>
      <c r="F168" s="17" t="s">
        <v>48</v>
      </c>
      <c r="G168" s="17" t="s">
        <v>18</v>
      </c>
      <c r="H168" s="18">
        <f>ROUND(RAND()*4+6,1)</f>
      </c>
      <c r="I168" s="17" t="s">
        <v>19</v>
      </c>
      <c r="J168" s="19">
        <f>ROUND(100*1,0)&amp;"%"</f>
      </c>
    </row>
    <row x14ac:dyDescent="0.25" r="169" customHeight="1" ht="17.25">
      <c r="A169" s="20" t="s">
        <v>9651</v>
      </c>
      <c r="B169" s="20" t="s">
        <v>292</v>
      </c>
      <c r="C169" s="20" t="s">
        <v>152</v>
      </c>
      <c r="D169" s="20" t="s">
        <v>22</v>
      </c>
      <c r="E169" s="21">
        <f>ROUND(15923*1.05,2)</f>
      </c>
      <c r="F169" s="20" t="s">
        <v>51</v>
      </c>
      <c r="G169" s="20" t="s">
        <v>24</v>
      </c>
      <c r="H169" s="21">
        <f>ROUND(RAND()*4+6,1)</f>
      </c>
      <c r="I169" s="20" t="s">
        <v>25</v>
      </c>
      <c r="J169" s="23">
        <f>ROUND(73*1,0)&amp;"%"</f>
      </c>
    </row>
    <row x14ac:dyDescent="0.25" r="170" customHeight="1" ht="17.25">
      <c r="A170" s="24" t="s">
        <v>293</v>
      </c>
      <c r="B170" s="24"/>
      <c r="C170" s="24"/>
      <c r="D170" s="24"/>
      <c r="E170" s="25">
        <v>8</v>
      </c>
      <c r="F170" s="9"/>
      <c r="G170" s="9"/>
      <c r="H170" s="10"/>
      <c r="I170" s="9"/>
      <c r="J170" s="9"/>
    </row>
    <row x14ac:dyDescent="0.25" r="171" customHeight="1" ht="17.25">
      <c r="A171" s="7"/>
      <c r="B171" s="7"/>
      <c r="C171" s="7"/>
      <c r="D171" s="7"/>
      <c r="E171" s="8"/>
      <c r="F171" s="9"/>
      <c r="G171" s="9"/>
      <c r="H171" s="10"/>
      <c r="I171" s="9"/>
      <c r="J171" s="9"/>
    </row>
    <row x14ac:dyDescent="0.25" r="172" customHeight="1" ht="17.25">
      <c r="A172" s="11" t="s">
        <v>9652</v>
      </c>
      <c r="B172" s="11"/>
      <c r="C172" s="11"/>
      <c r="D172" s="11"/>
      <c r="E172" s="12"/>
      <c r="F172" s="11"/>
      <c r="G172" s="11"/>
      <c r="H172" s="13"/>
      <c r="I172" s="11"/>
      <c r="J172" s="11"/>
    </row>
    <row x14ac:dyDescent="0.25" r="173" customHeight="1" ht="17.25">
      <c r="A173" s="14" t="s">
        <v>3</v>
      </c>
      <c r="B173" s="14" t="s">
        <v>4</v>
      </c>
      <c r="C173" s="14" t="s">
        <v>5</v>
      </c>
      <c r="D173" s="14" t="s">
        <v>6</v>
      </c>
      <c r="E173" s="15" t="s">
        <v>7</v>
      </c>
      <c r="F173" s="14" t="s">
        <v>8</v>
      </c>
      <c r="G173" s="14" t="s">
        <v>9</v>
      </c>
      <c r="H173" s="16" t="s">
        <v>10</v>
      </c>
      <c r="I173" s="14" t="s">
        <v>11</v>
      </c>
      <c r="J173" s="14" t="s">
        <v>12</v>
      </c>
    </row>
    <row x14ac:dyDescent="0.25" r="174" customHeight="1" ht="17.25">
      <c r="A174" s="17" t="s">
        <v>9653</v>
      </c>
      <c r="B174" s="17" t="s">
        <v>296</v>
      </c>
      <c r="C174" s="17" t="s">
        <v>15</v>
      </c>
      <c r="D174" s="17" t="s">
        <v>16</v>
      </c>
      <c r="E174" s="18">
        <f>ROUND(11647*1.05,2)</f>
      </c>
      <c r="F174" s="17" t="s">
        <v>17</v>
      </c>
      <c r="G174" s="17" t="s">
        <v>18</v>
      </c>
      <c r="H174" s="18">
        <f>ROUND(RAND()*4+6,1)</f>
      </c>
      <c r="I174" s="17" t="s">
        <v>19</v>
      </c>
      <c r="J174" s="19">
        <f>ROUND(85*1,0)&amp;"%"</f>
      </c>
    </row>
    <row x14ac:dyDescent="0.25" r="175" customHeight="1" ht="17.25">
      <c r="A175" s="20" t="s">
        <v>9654</v>
      </c>
      <c r="B175" s="20" t="s">
        <v>298</v>
      </c>
      <c r="C175" s="20" t="s">
        <v>15</v>
      </c>
      <c r="D175" s="20" t="s">
        <v>22</v>
      </c>
      <c r="E175" s="21">
        <f>ROUND(9214*1.05,2)</f>
      </c>
      <c r="F175" s="20" t="s">
        <v>23</v>
      </c>
      <c r="G175" s="20" t="s">
        <v>24</v>
      </c>
      <c r="H175" s="21">
        <f>ROUND(RAND()*4+6,1)</f>
      </c>
      <c r="I175" s="20" t="s">
        <v>25</v>
      </c>
      <c r="J175" s="23">
        <f>ROUND(86*1,0)&amp;"%"</f>
      </c>
    </row>
    <row x14ac:dyDescent="0.25" r="176" customHeight="1" ht="17.25">
      <c r="A176" s="17" t="s">
        <v>9655</v>
      </c>
      <c r="B176" s="17" t="s">
        <v>300</v>
      </c>
      <c r="C176" s="17" t="s">
        <v>15</v>
      </c>
      <c r="D176" s="17" t="s">
        <v>28</v>
      </c>
      <c r="E176" s="18">
        <f>ROUND(15097*1.05,2)</f>
      </c>
      <c r="F176" s="17" t="s">
        <v>29</v>
      </c>
      <c r="G176" s="17" t="s">
        <v>30</v>
      </c>
      <c r="H176" s="18">
        <f>ROUND(RAND()*4+6,1)</f>
      </c>
      <c r="I176" s="17" t="s">
        <v>31</v>
      </c>
      <c r="J176" s="19">
        <f>ROUND(73*1,0)&amp;"%"</f>
      </c>
    </row>
    <row x14ac:dyDescent="0.25" r="177" customHeight="1" ht="17.25">
      <c r="A177" s="20" t="s">
        <v>9656</v>
      </c>
      <c r="B177" s="20" t="s">
        <v>302</v>
      </c>
      <c r="C177" s="20" t="s">
        <v>15</v>
      </c>
      <c r="D177" s="20" t="s">
        <v>34</v>
      </c>
      <c r="E177" s="21">
        <f>ROUND(17157*1.05,2)</f>
      </c>
      <c r="F177" s="20" t="s">
        <v>35</v>
      </c>
      <c r="G177" s="20" t="s">
        <v>18</v>
      </c>
      <c r="H177" s="21">
        <f>ROUND(RAND()*4+6,1)</f>
      </c>
      <c r="I177" s="20" t="s">
        <v>36</v>
      </c>
      <c r="J177" s="23">
        <f>ROUND(89*1,0)&amp;"%"</f>
      </c>
    </row>
    <row x14ac:dyDescent="0.25" r="178" customHeight="1" ht="17.25">
      <c r="A178" s="17" t="s">
        <v>9657</v>
      </c>
      <c r="B178" s="17" t="s">
        <v>304</v>
      </c>
      <c r="C178" s="17" t="s">
        <v>15</v>
      </c>
      <c r="D178" s="17" t="s">
        <v>39</v>
      </c>
      <c r="E178" s="26">
        <f>ROUND(15320*1.05,2)</f>
      </c>
      <c r="F178" s="17" t="s">
        <v>40</v>
      </c>
      <c r="G178" s="17" t="s">
        <v>24</v>
      </c>
      <c r="H178" s="18">
        <f>ROUND(RAND()*4+6,1)</f>
      </c>
      <c r="I178" s="17" t="s">
        <v>41</v>
      </c>
      <c r="J178" s="19">
        <f>ROUND(64*1,0)&amp;"%"</f>
      </c>
    </row>
    <row x14ac:dyDescent="0.25" r="179" customHeight="1" ht="17.25">
      <c r="A179" s="20" t="s">
        <v>9658</v>
      </c>
      <c r="B179" s="20" t="s">
        <v>306</v>
      </c>
      <c r="C179" s="20" t="s">
        <v>15</v>
      </c>
      <c r="D179" s="20" t="s">
        <v>67</v>
      </c>
      <c r="E179" s="21">
        <f>ROUND(15842*1.05,2)</f>
      </c>
      <c r="F179" s="20" t="s">
        <v>44</v>
      </c>
      <c r="G179" s="20" t="s">
        <v>30</v>
      </c>
      <c r="H179" s="21">
        <f>ROUND(RAND()*4+6,1)</f>
      </c>
      <c r="I179" s="20" t="s">
        <v>45</v>
      </c>
      <c r="J179" s="23">
        <f>ROUND(75*1,0)&amp;"%"</f>
      </c>
    </row>
    <row x14ac:dyDescent="0.25" r="180" customHeight="1" ht="17.25">
      <c r="A180" s="17" t="s">
        <v>9659</v>
      </c>
      <c r="B180" s="17" t="s">
        <v>308</v>
      </c>
      <c r="C180" s="17" t="s">
        <v>15</v>
      </c>
      <c r="D180" s="17" t="s">
        <v>16</v>
      </c>
      <c r="E180" s="18">
        <f>ROUND(13608*1.05,2)</f>
      </c>
      <c r="F180" s="17" t="s">
        <v>48</v>
      </c>
      <c r="G180" s="17" t="s">
        <v>18</v>
      </c>
      <c r="H180" s="18">
        <f>ROUND(RAND()*4+6,1)</f>
      </c>
      <c r="I180" s="17" t="s">
        <v>19</v>
      </c>
      <c r="J180" s="19">
        <f>ROUND(65*1,0)&amp;"%"</f>
      </c>
    </row>
    <row x14ac:dyDescent="0.25" r="181" customHeight="1" ht="17.25">
      <c r="A181" s="20" t="s">
        <v>9660</v>
      </c>
      <c r="B181" s="20" t="s">
        <v>310</v>
      </c>
      <c r="C181" s="20" t="s">
        <v>15</v>
      </c>
      <c r="D181" s="20" t="s">
        <v>22</v>
      </c>
      <c r="E181" s="21">
        <f>ROUND(8017*1.05,2)</f>
      </c>
      <c r="F181" s="20" t="s">
        <v>51</v>
      </c>
      <c r="G181" s="20" t="s">
        <v>24</v>
      </c>
      <c r="H181" s="21">
        <f>ROUND(RAND()*4+6,1)</f>
      </c>
      <c r="I181" s="20" t="s">
        <v>25</v>
      </c>
      <c r="J181" s="23">
        <f>ROUND(83*1,0)&amp;"%"</f>
      </c>
    </row>
    <row x14ac:dyDescent="0.25" r="182" customHeight="1" ht="17.25">
      <c r="A182" s="24" t="s">
        <v>311</v>
      </c>
      <c r="B182" s="24"/>
      <c r="C182" s="24"/>
      <c r="D182" s="24"/>
      <c r="E182" s="25">
        <v>8</v>
      </c>
      <c r="F182" s="9"/>
      <c r="G182" s="9"/>
      <c r="H182" s="10"/>
      <c r="I182" s="9"/>
      <c r="J182" s="9"/>
    </row>
    <row x14ac:dyDescent="0.25" r="183" customHeight="1" ht="17.25">
      <c r="A183" s="7"/>
      <c r="B183" s="7"/>
      <c r="C183" s="7"/>
      <c r="D183" s="7"/>
      <c r="E183" s="8"/>
      <c r="F183" s="9"/>
      <c r="G183" s="9"/>
      <c r="H183" s="10"/>
      <c r="I183" s="9"/>
      <c r="J183" s="9"/>
    </row>
    <row x14ac:dyDescent="0.25" r="184" customHeight="1" ht="17.25">
      <c r="A184" s="11" t="s">
        <v>9661</v>
      </c>
      <c r="B184" s="11"/>
      <c r="C184" s="11"/>
      <c r="D184" s="11"/>
      <c r="E184" s="12"/>
      <c r="F184" s="11"/>
      <c r="G184" s="11"/>
      <c r="H184" s="13"/>
      <c r="I184" s="11"/>
      <c r="J184" s="11"/>
    </row>
    <row x14ac:dyDescent="0.25" r="185" customHeight="1" ht="17.25">
      <c r="A185" s="14" t="s">
        <v>3</v>
      </c>
      <c r="B185" s="14" t="s">
        <v>4</v>
      </c>
      <c r="C185" s="14" t="s">
        <v>5</v>
      </c>
      <c r="D185" s="14" t="s">
        <v>6</v>
      </c>
      <c r="E185" s="15" t="s">
        <v>7</v>
      </c>
      <c r="F185" s="14" t="s">
        <v>8</v>
      </c>
      <c r="G185" s="14" t="s">
        <v>9</v>
      </c>
      <c r="H185" s="16" t="s">
        <v>10</v>
      </c>
      <c r="I185" s="14" t="s">
        <v>11</v>
      </c>
      <c r="J185" s="14" t="s">
        <v>12</v>
      </c>
    </row>
    <row x14ac:dyDescent="0.25" r="186" customHeight="1" ht="17.25">
      <c r="A186" s="17" t="s">
        <v>9662</v>
      </c>
      <c r="B186" s="17" t="s">
        <v>314</v>
      </c>
      <c r="C186" s="17" t="s">
        <v>56</v>
      </c>
      <c r="D186" s="17" t="s">
        <v>16</v>
      </c>
      <c r="E186" s="18">
        <f>ROUND(9070*1.05,2)</f>
      </c>
      <c r="F186" s="17" t="s">
        <v>17</v>
      </c>
      <c r="G186" s="17" t="s">
        <v>18</v>
      </c>
      <c r="H186" s="18">
        <f>ROUND(RAND()*4+6,1)</f>
      </c>
      <c r="I186" s="17" t="s">
        <v>19</v>
      </c>
      <c r="J186" s="19">
        <f>ROUND(94*1,0)&amp;"%"</f>
      </c>
    </row>
    <row x14ac:dyDescent="0.25" r="187" customHeight="1" ht="17.25">
      <c r="A187" s="20" t="s">
        <v>9663</v>
      </c>
      <c r="B187" s="20" t="s">
        <v>316</v>
      </c>
      <c r="C187" s="20" t="s">
        <v>56</v>
      </c>
      <c r="D187" s="20" t="s">
        <v>22</v>
      </c>
      <c r="E187" s="21">
        <f>ROUND(13819*1.05,2)</f>
      </c>
      <c r="F187" s="20" t="s">
        <v>23</v>
      </c>
      <c r="G187" s="20" t="s">
        <v>24</v>
      </c>
      <c r="H187" s="21">
        <f>ROUND(RAND()*4+6,1)</f>
      </c>
      <c r="I187" s="20" t="s">
        <v>25</v>
      </c>
      <c r="J187" s="23">
        <f>ROUND(73*1,0)&amp;"%"</f>
      </c>
    </row>
    <row x14ac:dyDescent="0.25" r="188" customHeight="1" ht="17.25">
      <c r="A188" s="17" t="s">
        <v>9664</v>
      </c>
      <c r="B188" s="17" t="s">
        <v>318</v>
      </c>
      <c r="C188" s="17" t="s">
        <v>56</v>
      </c>
      <c r="D188" s="17" t="s">
        <v>28</v>
      </c>
      <c r="E188" s="18">
        <f>ROUND(16582*1.05,2)</f>
      </c>
      <c r="F188" s="17" t="s">
        <v>29</v>
      </c>
      <c r="G188" s="17" t="s">
        <v>30</v>
      </c>
      <c r="H188" s="18">
        <f>ROUND(RAND()*4+6,1)</f>
      </c>
      <c r="I188" s="17" t="s">
        <v>31</v>
      </c>
      <c r="J188" s="19">
        <f>ROUND(87*1,0)&amp;"%"</f>
      </c>
    </row>
    <row x14ac:dyDescent="0.25" r="189" customHeight="1" ht="17.25">
      <c r="A189" s="20" t="s">
        <v>9665</v>
      </c>
      <c r="B189" s="20" t="s">
        <v>320</v>
      </c>
      <c r="C189" s="20" t="s">
        <v>56</v>
      </c>
      <c r="D189" s="20" t="s">
        <v>34</v>
      </c>
      <c r="E189" s="21">
        <f>ROUND(17527*1.05,2)</f>
      </c>
      <c r="F189" s="20" t="s">
        <v>35</v>
      </c>
      <c r="G189" s="20" t="s">
        <v>18</v>
      </c>
      <c r="H189" s="21">
        <f>ROUND(RAND()*4+6,1)</f>
      </c>
      <c r="I189" s="20" t="s">
        <v>36</v>
      </c>
      <c r="J189" s="23">
        <f>ROUND(99*1,0)&amp;"%"</f>
      </c>
    </row>
    <row x14ac:dyDescent="0.25" r="190" customHeight="1" ht="17.25">
      <c r="A190" s="17" t="s">
        <v>9666</v>
      </c>
      <c r="B190" s="17" t="s">
        <v>322</v>
      </c>
      <c r="C190" s="17" t="s">
        <v>56</v>
      </c>
      <c r="D190" s="17" t="s">
        <v>39</v>
      </c>
      <c r="E190" s="18">
        <f>ROUND(16083*1.05,2)</f>
      </c>
      <c r="F190" s="17" t="s">
        <v>40</v>
      </c>
      <c r="G190" s="17" t="s">
        <v>24</v>
      </c>
      <c r="H190" s="18">
        <f>ROUND(RAND()*4+6,1)</f>
      </c>
      <c r="I190" s="17" t="s">
        <v>41</v>
      </c>
      <c r="J190" s="19">
        <f>ROUND(91*1,0)&amp;"%"</f>
      </c>
    </row>
    <row x14ac:dyDescent="0.25" r="191" customHeight="1" ht="17.25">
      <c r="A191" s="20" t="s">
        <v>9667</v>
      </c>
      <c r="B191" s="20" t="s">
        <v>324</v>
      </c>
      <c r="C191" s="20" t="s">
        <v>56</v>
      </c>
      <c r="D191" s="20" t="s">
        <v>67</v>
      </c>
      <c r="E191" s="21">
        <f>ROUND(9474*1.05,2)</f>
      </c>
      <c r="F191" s="20" t="s">
        <v>44</v>
      </c>
      <c r="G191" s="20" t="s">
        <v>30</v>
      </c>
      <c r="H191" s="21">
        <f>ROUND(RAND()*4+6,1)</f>
      </c>
      <c r="I191" s="20" t="s">
        <v>45</v>
      </c>
      <c r="J191" s="23">
        <f>ROUND(91*1,0)&amp;"%"</f>
      </c>
    </row>
    <row x14ac:dyDescent="0.25" r="192" customHeight="1" ht="17.25">
      <c r="A192" s="17" t="s">
        <v>9668</v>
      </c>
      <c r="B192" s="17" t="s">
        <v>326</v>
      </c>
      <c r="C192" s="17" t="s">
        <v>56</v>
      </c>
      <c r="D192" s="17" t="s">
        <v>16</v>
      </c>
      <c r="E192" s="18">
        <f>ROUND(10272*1.05,2)</f>
      </c>
      <c r="F192" s="17" t="s">
        <v>48</v>
      </c>
      <c r="G192" s="17" t="s">
        <v>18</v>
      </c>
      <c r="H192" s="18">
        <f>ROUND(RAND()*4+6,1)</f>
      </c>
      <c r="I192" s="17" t="s">
        <v>19</v>
      </c>
      <c r="J192" s="19">
        <f>ROUND(66*1,0)&amp;"%"</f>
      </c>
    </row>
    <row x14ac:dyDescent="0.25" r="193" customHeight="1" ht="17.25">
      <c r="A193" s="20" t="s">
        <v>9669</v>
      </c>
      <c r="B193" s="20" t="s">
        <v>328</v>
      </c>
      <c r="C193" s="20" t="s">
        <v>56</v>
      </c>
      <c r="D193" s="20" t="s">
        <v>22</v>
      </c>
      <c r="E193" s="21">
        <f>ROUND(11269*1.05,2)</f>
      </c>
      <c r="F193" s="20" t="s">
        <v>51</v>
      </c>
      <c r="G193" s="20" t="s">
        <v>24</v>
      </c>
      <c r="H193" s="21">
        <f>ROUND(RAND()*4+6,1)</f>
      </c>
      <c r="I193" s="20" t="s">
        <v>25</v>
      </c>
      <c r="J193" s="23">
        <f>ROUND(72*1,0)&amp;"%"</f>
      </c>
    </row>
    <row x14ac:dyDescent="0.25" r="194" customHeight="1" ht="17.25">
      <c r="A194" s="24" t="s">
        <v>329</v>
      </c>
      <c r="B194" s="24"/>
      <c r="C194" s="24"/>
      <c r="D194" s="24"/>
      <c r="E194" s="25">
        <v>8</v>
      </c>
      <c r="F194" s="9"/>
      <c r="G194" s="9"/>
      <c r="H194" s="10"/>
      <c r="I194" s="9"/>
      <c r="J194" s="9"/>
    </row>
    <row x14ac:dyDescent="0.25" r="195" customHeight="1" ht="17.25">
      <c r="A195" s="7"/>
      <c r="B195" s="7"/>
      <c r="C195" s="7"/>
      <c r="D195" s="7"/>
      <c r="E195" s="8"/>
      <c r="F195" s="9"/>
      <c r="G195" s="9"/>
      <c r="H195" s="10"/>
      <c r="I195" s="9"/>
      <c r="J195" s="9"/>
    </row>
    <row x14ac:dyDescent="0.25" r="196" customHeight="1" ht="17.25">
      <c r="A196" s="11" t="s">
        <v>9670</v>
      </c>
      <c r="B196" s="11"/>
      <c r="C196" s="11"/>
      <c r="D196" s="11"/>
      <c r="E196" s="12"/>
      <c r="F196" s="11"/>
      <c r="G196" s="11"/>
      <c r="H196" s="13"/>
      <c r="I196" s="11"/>
      <c r="J196" s="11"/>
    </row>
    <row x14ac:dyDescent="0.25" r="197" customHeight="1" ht="17.25">
      <c r="A197" s="14" t="s">
        <v>3</v>
      </c>
      <c r="B197" s="14" t="s">
        <v>4</v>
      </c>
      <c r="C197" s="14" t="s">
        <v>5</v>
      </c>
      <c r="D197" s="14" t="s">
        <v>6</v>
      </c>
      <c r="E197" s="15" t="s">
        <v>7</v>
      </c>
      <c r="F197" s="14" t="s">
        <v>8</v>
      </c>
      <c r="G197" s="14" t="s">
        <v>9</v>
      </c>
      <c r="H197" s="16" t="s">
        <v>10</v>
      </c>
      <c r="I197" s="14" t="s">
        <v>11</v>
      </c>
      <c r="J197" s="14" t="s">
        <v>12</v>
      </c>
    </row>
    <row x14ac:dyDescent="0.25" r="198" customHeight="1" ht="17.25">
      <c r="A198" s="17" t="s">
        <v>9671</v>
      </c>
      <c r="B198" s="17" t="s">
        <v>332</v>
      </c>
      <c r="C198" s="17" t="s">
        <v>76</v>
      </c>
      <c r="D198" s="17" t="s">
        <v>16</v>
      </c>
      <c r="E198" s="18">
        <f>ROUND(10344*1.05,2)</f>
      </c>
      <c r="F198" s="17" t="s">
        <v>17</v>
      </c>
      <c r="G198" s="17" t="s">
        <v>18</v>
      </c>
      <c r="H198" s="18">
        <f>ROUND(RAND()*4+6,1)</f>
      </c>
      <c r="I198" s="17" t="s">
        <v>19</v>
      </c>
      <c r="J198" s="19">
        <f>ROUND(100*1,0)&amp;"%"</f>
      </c>
    </row>
    <row x14ac:dyDescent="0.25" r="199" customHeight="1" ht="17.25">
      <c r="A199" s="20" t="s">
        <v>9672</v>
      </c>
      <c r="B199" s="20" t="s">
        <v>334</v>
      </c>
      <c r="C199" s="20" t="s">
        <v>76</v>
      </c>
      <c r="D199" s="20" t="s">
        <v>22</v>
      </c>
      <c r="E199" s="21">
        <f>ROUND(17638*1.05,2)</f>
      </c>
      <c r="F199" s="20" t="s">
        <v>23</v>
      </c>
      <c r="G199" s="20" t="s">
        <v>24</v>
      </c>
      <c r="H199" s="21">
        <f>ROUND(RAND()*4+6,1)</f>
      </c>
      <c r="I199" s="20" t="s">
        <v>25</v>
      </c>
      <c r="J199" s="23">
        <f>ROUND(81*1,0)&amp;"%"</f>
      </c>
    </row>
    <row x14ac:dyDescent="0.25" r="200" customHeight="1" ht="17.25">
      <c r="A200" s="17" t="s">
        <v>9673</v>
      </c>
      <c r="B200" s="17" t="s">
        <v>336</v>
      </c>
      <c r="C200" s="17" t="s">
        <v>76</v>
      </c>
      <c r="D200" s="17" t="s">
        <v>28</v>
      </c>
      <c r="E200" s="18">
        <f>ROUND(16397*1.05,2)</f>
      </c>
      <c r="F200" s="17" t="s">
        <v>29</v>
      </c>
      <c r="G200" s="17" t="s">
        <v>30</v>
      </c>
      <c r="H200" s="18">
        <f>ROUND(RAND()*4+6,1)</f>
      </c>
      <c r="I200" s="17" t="s">
        <v>31</v>
      </c>
      <c r="J200" s="19">
        <f>ROUND(69*1,0)&amp;"%"</f>
      </c>
    </row>
    <row x14ac:dyDescent="0.25" r="201" customHeight="1" ht="17.25">
      <c r="A201" s="20" t="s">
        <v>9674</v>
      </c>
      <c r="B201" s="20" t="s">
        <v>338</v>
      </c>
      <c r="C201" s="20" t="s">
        <v>76</v>
      </c>
      <c r="D201" s="20" t="s">
        <v>34</v>
      </c>
      <c r="E201" s="21">
        <f>ROUND(8911*1.05,2)</f>
      </c>
      <c r="F201" s="20" t="s">
        <v>35</v>
      </c>
      <c r="G201" s="20" t="s">
        <v>18</v>
      </c>
      <c r="H201" s="21">
        <f>ROUND(RAND()*4+6,1)</f>
      </c>
      <c r="I201" s="20" t="s">
        <v>36</v>
      </c>
      <c r="J201" s="23">
        <f>ROUND(83*1,0)&amp;"%"</f>
      </c>
    </row>
    <row x14ac:dyDescent="0.25" r="202" customHeight="1" ht="17.25">
      <c r="A202" s="17" t="s">
        <v>9675</v>
      </c>
      <c r="B202" s="17" t="s">
        <v>340</v>
      </c>
      <c r="C202" s="17" t="s">
        <v>76</v>
      </c>
      <c r="D202" s="17" t="s">
        <v>39</v>
      </c>
      <c r="E202" s="18">
        <f>ROUND(6191*1.05,2)</f>
      </c>
      <c r="F202" s="17" t="s">
        <v>40</v>
      </c>
      <c r="G202" s="17" t="s">
        <v>24</v>
      </c>
      <c r="H202" s="18">
        <f>ROUND(RAND()*4+6,1)</f>
      </c>
      <c r="I202" s="17" t="s">
        <v>41</v>
      </c>
      <c r="J202" s="19">
        <f>ROUND(88*1,0)&amp;"%"</f>
      </c>
    </row>
    <row x14ac:dyDescent="0.25" r="203" customHeight="1" ht="17.25">
      <c r="A203" s="20" t="s">
        <v>9676</v>
      </c>
      <c r="B203" s="20" t="s">
        <v>342</v>
      </c>
      <c r="C203" s="20" t="s">
        <v>76</v>
      </c>
      <c r="D203" s="20" t="s">
        <v>67</v>
      </c>
      <c r="E203" s="21">
        <f>ROUND(7175*1.05,2)</f>
      </c>
      <c r="F203" s="20" t="s">
        <v>44</v>
      </c>
      <c r="G203" s="20" t="s">
        <v>30</v>
      </c>
      <c r="H203" s="21">
        <f>ROUND(RAND()*4+6,1)</f>
      </c>
      <c r="I203" s="20" t="s">
        <v>45</v>
      </c>
      <c r="J203" s="23">
        <f>ROUND(84*1,0)&amp;"%"</f>
      </c>
    </row>
    <row x14ac:dyDescent="0.25" r="204" customHeight="1" ht="17.25">
      <c r="A204" s="17" t="s">
        <v>9677</v>
      </c>
      <c r="B204" s="17" t="s">
        <v>344</v>
      </c>
      <c r="C204" s="17" t="s">
        <v>76</v>
      </c>
      <c r="D204" s="17" t="s">
        <v>16</v>
      </c>
      <c r="E204" s="18">
        <f>ROUND(6715*1.05,2)</f>
      </c>
      <c r="F204" s="17" t="s">
        <v>48</v>
      </c>
      <c r="G204" s="17" t="s">
        <v>18</v>
      </c>
      <c r="H204" s="18">
        <f>ROUND(RAND()*4+6,1)</f>
      </c>
      <c r="I204" s="17" t="s">
        <v>19</v>
      </c>
      <c r="J204" s="19">
        <f>ROUND(67*1,0)&amp;"%"</f>
      </c>
    </row>
    <row x14ac:dyDescent="0.25" r="205" customHeight="1" ht="17.25">
      <c r="A205" s="20" t="s">
        <v>9678</v>
      </c>
      <c r="B205" s="20" t="s">
        <v>346</v>
      </c>
      <c r="C205" s="20" t="s">
        <v>76</v>
      </c>
      <c r="D205" s="20" t="s">
        <v>22</v>
      </c>
      <c r="E205" s="21">
        <f>ROUND(4879*1.05,2)</f>
      </c>
      <c r="F205" s="20" t="s">
        <v>51</v>
      </c>
      <c r="G205" s="20" t="s">
        <v>24</v>
      </c>
      <c r="H205" s="21">
        <f>ROUND(RAND()*4+6,1)</f>
      </c>
      <c r="I205" s="20" t="s">
        <v>25</v>
      </c>
      <c r="J205" s="23">
        <f>ROUND(98*1,0)&amp;"%"</f>
      </c>
    </row>
    <row x14ac:dyDescent="0.25" r="206" customHeight="1" ht="17.25">
      <c r="A206" s="24" t="s">
        <v>347</v>
      </c>
      <c r="B206" s="24"/>
      <c r="C206" s="24"/>
      <c r="D206" s="24"/>
      <c r="E206" s="25">
        <v>8</v>
      </c>
      <c r="F206" s="9"/>
      <c r="G206" s="9"/>
      <c r="H206" s="10"/>
      <c r="I206" s="9"/>
      <c r="J206" s="9"/>
    </row>
    <row x14ac:dyDescent="0.25" r="207" customHeight="1" ht="17.25">
      <c r="A207" s="7"/>
      <c r="B207" s="7"/>
      <c r="C207" s="7"/>
      <c r="D207" s="7"/>
      <c r="E207" s="8"/>
      <c r="F207" s="9"/>
      <c r="G207" s="9"/>
      <c r="H207" s="10"/>
      <c r="I207" s="9"/>
      <c r="J207" s="9"/>
    </row>
    <row x14ac:dyDescent="0.25" r="208" customHeight="1" ht="17.25">
      <c r="A208" s="11" t="s">
        <v>9679</v>
      </c>
      <c r="B208" s="11"/>
      <c r="C208" s="11"/>
      <c r="D208" s="11"/>
      <c r="E208" s="12"/>
      <c r="F208" s="11"/>
      <c r="G208" s="11"/>
      <c r="H208" s="13"/>
      <c r="I208" s="11"/>
      <c r="J208" s="11"/>
    </row>
    <row x14ac:dyDescent="0.25" r="209" customHeight="1" ht="17.25">
      <c r="A209" s="14" t="s">
        <v>3</v>
      </c>
      <c r="B209" s="14" t="s">
        <v>4</v>
      </c>
      <c r="C209" s="14" t="s">
        <v>5</v>
      </c>
      <c r="D209" s="14" t="s">
        <v>6</v>
      </c>
      <c r="E209" s="15" t="s">
        <v>7</v>
      </c>
      <c r="F209" s="14" t="s">
        <v>8</v>
      </c>
      <c r="G209" s="14" t="s">
        <v>9</v>
      </c>
      <c r="H209" s="16" t="s">
        <v>10</v>
      </c>
      <c r="I209" s="14" t="s">
        <v>11</v>
      </c>
      <c r="J209" s="14" t="s">
        <v>12</v>
      </c>
    </row>
    <row x14ac:dyDescent="0.25" r="210" customHeight="1" ht="17.25">
      <c r="A210" s="17" t="s">
        <v>9680</v>
      </c>
      <c r="B210" s="17" t="s">
        <v>350</v>
      </c>
      <c r="C210" s="17" t="s">
        <v>95</v>
      </c>
      <c r="D210" s="17" t="s">
        <v>16</v>
      </c>
      <c r="E210" s="18">
        <f>ROUND(14890*1.05,2)</f>
      </c>
      <c r="F210" s="17" t="s">
        <v>17</v>
      </c>
      <c r="G210" s="17" t="s">
        <v>18</v>
      </c>
      <c r="H210" s="18">
        <f>ROUND(RAND()*4+6,1)</f>
      </c>
      <c r="I210" s="17" t="s">
        <v>19</v>
      </c>
      <c r="J210" s="19">
        <f>ROUND(81*1,0)&amp;"%"</f>
      </c>
    </row>
    <row x14ac:dyDescent="0.25" r="211" customHeight="1" ht="17.25">
      <c r="A211" s="20" t="s">
        <v>9681</v>
      </c>
      <c r="B211" s="20" t="s">
        <v>352</v>
      </c>
      <c r="C211" s="20" t="s">
        <v>95</v>
      </c>
      <c r="D211" s="20" t="s">
        <v>22</v>
      </c>
      <c r="E211" s="21">
        <f>ROUND(6498*1.05,2)</f>
      </c>
      <c r="F211" s="20" t="s">
        <v>23</v>
      </c>
      <c r="G211" s="20" t="s">
        <v>24</v>
      </c>
      <c r="H211" s="22">
        <f>ROUND(RAND()*4+6,1)</f>
      </c>
      <c r="I211" s="20" t="s">
        <v>25</v>
      </c>
      <c r="J211" s="23">
        <f>ROUND(92*1,0)&amp;"%"</f>
      </c>
    </row>
    <row x14ac:dyDescent="0.25" r="212" customHeight="1" ht="17.25">
      <c r="A212" s="17" t="s">
        <v>9682</v>
      </c>
      <c r="B212" s="17" t="s">
        <v>354</v>
      </c>
      <c r="C212" s="17" t="s">
        <v>95</v>
      </c>
      <c r="D212" s="17" t="s">
        <v>28</v>
      </c>
      <c r="E212" s="18">
        <f>ROUND(10269*1.05,2)</f>
      </c>
      <c r="F212" s="17" t="s">
        <v>29</v>
      </c>
      <c r="G212" s="17" t="s">
        <v>30</v>
      </c>
      <c r="H212" s="18">
        <f>ROUND(RAND()*4+6,1)</f>
      </c>
      <c r="I212" s="17" t="s">
        <v>31</v>
      </c>
      <c r="J212" s="19">
        <f>ROUND(72*1,0)&amp;"%"</f>
      </c>
    </row>
    <row x14ac:dyDescent="0.25" r="213" customHeight="1" ht="17.25">
      <c r="A213" s="20" t="s">
        <v>9683</v>
      </c>
      <c r="B213" s="20" t="s">
        <v>356</v>
      </c>
      <c r="C213" s="20" t="s">
        <v>95</v>
      </c>
      <c r="D213" s="20" t="s">
        <v>34</v>
      </c>
      <c r="E213" s="21">
        <f>ROUND(16362*1.05,2)</f>
      </c>
      <c r="F213" s="20" t="s">
        <v>35</v>
      </c>
      <c r="G213" s="20" t="s">
        <v>18</v>
      </c>
      <c r="H213" s="21">
        <f>ROUND(RAND()*4+6,1)</f>
      </c>
      <c r="I213" s="20" t="s">
        <v>36</v>
      </c>
      <c r="J213" s="23">
        <f>ROUND(100*1,0)&amp;"%"</f>
      </c>
    </row>
    <row x14ac:dyDescent="0.25" r="214" customHeight="1" ht="17.25">
      <c r="A214" s="17" t="s">
        <v>9684</v>
      </c>
      <c r="B214" s="17" t="s">
        <v>358</v>
      </c>
      <c r="C214" s="17" t="s">
        <v>95</v>
      </c>
      <c r="D214" s="17" t="s">
        <v>39</v>
      </c>
      <c r="E214" s="18">
        <f>ROUND(6079*1.05,2)</f>
      </c>
      <c r="F214" s="17" t="s">
        <v>40</v>
      </c>
      <c r="G214" s="17" t="s">
        <v>24</v>
      </c>
      <c r="H214" s="18">
        <f>ROUND(RAND()*4+6,1)</f>
      </c>
      <c r="I214" s="17" t="s">
        <v>41</v>
      </c>
      <c r="J214" s="19">
        <f>ROUND(85*1,0)&amp;"%"</f>
      </c>
    </row>
    <row x14ac:dyDescent="0.25" r="215" customHeight="1" ht="17.25">
      <c r="A215" s="20" t="s">
        <v>9685</v>
      </c>
      <c r="B215" s="20" t="s">
        <v>360</v>
      </c>
      <c r="C215" s="20" t="s">
        <v>95</v>
      </c>
      <c r="D215" s="20" t="s">
        <v>67</v>
      </c>
      <c r="E215" s="21">
        <f>ROUND(6609*1.05,2)</f>
      </c>
      <c r="F215" s="20" t="s">
        <v>44</v>
      </c>
      <c r="G215" s="20" t="s">
        <v>30</v>
      </c>
      <c r="H215" s="21">
        <f>ROUND(RAND()*4+6,1)</f>
      </c>
      <c r="I215" s="20" t="s">
        <v>45</v>
      </c>
      <c r="J215" s="23">
        <f>ROUND(69*1,0)&amp;"%"</f>
      </c>
    </row>
    <row x14ac:dyDescent="0.25" r="216" customHeight="1" ht="17.25">
      <c r="A216" s="17" t="s">
        <v>9686</v>
      </c>
      <c r="B216" s="17" t="s">
        <v>362</v>
      </c>
      <c r="C216" s="17" t="s">
        <v>95</v>
      </c>
      <c r="D216" s="17" t="s">
        <v>16</v>
      </c>
      <c r="E216" s="18">
        <f>ROUND(4376*1.05,2)</f>
      </c>
      <c r="F216" s="17" t="s">
        <v>48</v>
      </c>
      <c r="G216" s="17" t="s">
        <v>18</v>
      </c>
      <c r="H216" s="18">
        <f>ROUND(RAND()*4+6,1)</f>
      </c>
      <c r="I216" s="17" t="s">
        <v>19</v>
      </c>
      <c r="J216" s="19">
        <f>ROUND(87*1,0)&amp;"%"</f>
      </c>
    </row>
    <row x14ac:dyDescent="0.25" r="217" customHeight="1" ht="17.25">
      <c r="A217" s="20" t="s">
        <v>9687</v>
      </c>
      <c r="B217" s="20" t="s">
        <v>364</v>
      </c>
      <c r="C217" s="20" t="s">
        <v>95</v>
      </c>
      <c r="D217" s="20" t="s">
        <v>22</v>
      </c>
      <c r="E217" s="21">
        <f>ROUND(12818*1.05,2)</f>
      </c>
      <c r="F217" s="20" t="s">
        <v>51</v>
      </c>
      <c r="G217" s="20" t="s">
        <v>24</v>
      </c>
      <c r="H217" s="21">
        <f>ROUND(RAND()*4+6,1)</f>
      </c>
      <c r="I217" s="20" t="s">
        <v>25</v>
      </c>
      <c r="J217" s="23">
        <f>ROUND(66*1,0)&amp;"%"</f>
      </c>
    </row>
    <row x14ac:dyDescent="0.25" r="218" customHeight="1" ht="17.25">
      <c r="A218" s="24" t="s">
        <v>365</v>
      </c>
      <c r="B218" s="24"/>
      <c r="C218" s="24"/>
      <c r="D218" s="24"/>
      <c r="E218" s="25">
        <v>8</v>
      </c>
      <c r="F218" s="9"/>
      <c r="G218" s="9"/>
      <c r="H218" s="10"/>
      <c r="I218" s="9"/>
      <c r="J218" s="9"/>
    </row>
    <row x14ac:dyDescent="0.25" r="219" customHeight="1" ht="17.25">
      <c r="A219" s="7"/>
      <c r="B219" s="7"/>
      <c r="C219" s="7"/>
      <c r="D219" s="7"/>
      <c r="E219" s="8"/>
      <c r="F219" s="9"/>
      <c r="G219" s="9"/>
      <c r="H219" s="10"/>
      <c r="I219" s="9"/>
      <c r="J219" s="9"/>
    </row>
    <row x14ac:dyDescent="0.25" r="220" customHeight="1" ht="17.25">
      <c r="A220" s="11" t="s">
        <v>9688</v>
      </c>
      <c r="B220" s="11"/>
      <c r="C220" s="11"/>
      <c r="D220" s="11"/>
      <c r="E220" s="12"/>
      <c r="F220" s="11"/>
      <c r="G220" s="11"/>
      <c r="H220" s="13"/>
      <c r="I220" s="11"/>
      <c r="J220" s="11"/>
    </row>
    <row x14ac:dyDescent="0.25" r="221" customHeight="1" ht="17.25">
      <c r="A221" s="14" t="s">
        <v>3</v>
      </c>
      <c r="B221" s="14" t="s">
        <v>4</v>
      </c>
      <c r="C221" s="14" t="s">
        <v>5</v>
      </c>
      <c r="D221" s="14" t="s">
        <v>6</v>
      </c>
      <c r="E221" s="15" t="s">
        <v>7</v>
      </c>
      <c r="F221" s="14" t="s">
        <v>8</v>
      </c>
      <c r="G221" s="14" t="s">
        <v>9</v>
      </c>
      <c r="H221" s="16" t="s">
        <v>10</v>
      </c>
      <c r="I221" s="14" t="s">
        <v>11</v>
      </c>
      <c r="J221" s="14" t="s">
        <v>12</v>
      </c>
    </row>
    <row x14ac:dyDescent="0.25" r="222" customHeight="1" ht="17.25">
      <c r="A222" s="17" t="s">
        <v>9689</v>
      </c>
      <c r="B222" s="17" t="s">
        <v>368</v>
      </c>
      <c r="C222" s="17" t="s">
        <v>114</v>
      </c>
      <c r="D222" s="17" t="s">
        <v>16</v>
      </c>
      <c r="E222" s="18">
        <f>ROUND(8416*1.05,2)</f>
      </c>
      <c r="F222" s="17" t="s">
        <v>17</v>
      </c>
      <c r="G222" s="17" t="s">
        <v>18</v>
      </c>
      <c r="H222" s="18">
        <f>ROUND(RAND()*4+6,1)</f>
      </c>
      <c r="I222" s="17" t="s">
        <v>19</v>
      </c>
      <c r="J222" s="19">
        <f>ROUND(87*1,0)&amp;"%"</f>
      </c>
    </row>
    <row x14ac:dyDescent="0.25" r="223" customHeight="1" ht="17.25">
      <c r="A223" s="20" t="s">
        <v>9690</v>
      </c>
      <c r="B223" s="20" t="s">
        <v>370</v>
      </c>
      <c r="C223" s="20" t="s">
        <v>114</v>
      </c>
      <c r="D223" s="20" t="s">
        <v>22</v>
      </c>
      <c r="E223" s="21">
        <f>ROUND(15311*1.05,2)</f>
      </c>
      <c r="F223" s="20" t="s">
        <v>23</v>
      </c>
      <c r="G223" s="20" t="s">
        <v>24</v>
      </c>
      <c r="H223" s="21">
        <f>ROUND(RAND()*4+6,1)</f>
      </c>
      <c r="I223" s="20" t="s">
        <v>25</v>
      </c>
      <c r="J223" s="23">
        <f>ROUND(83*1,0)&amp;"%"</f>
      </c>
    </row>
    <row x14ac:dyDescent="0.25" r="224" customHeight="1" ht="17.25">
      <c r="A224" s="17" t="s">
        <v>9691</v>
      </c>
      <c r="B224" s="17" t="s">
        <v>372</v>
      </c>
      <c r="C224" s="17" t="s">
        <v>114</v>
      </c>
      <c r="D224" s="17" t="s">
        <v>28</v>
      </c>
      <c r="E224" s="18">
        <f>ROUND(7596*1.05,2)</f>
      </c>
      <c r="F224" s="17" t="s">
        <v>29</v>
      </c>
      <c r="G224" s="17" t="s">
        <v>30</v>
      </c>
      <c r="H224" s="18">
        <f>ROUND(RAND()*4+6,1)</f>
      </c>
      <c r="I224" s="17" t="s">
        <v>31</v>
      </c>
      <c r="J224" s="19">
        <f>ROUND(69*1,0)&amp;"%"</f>
      </c>
    </row>
    <row x14ac:dyDescent="0.25" r="225" customHeight="1" ht="17.25">
      <c r="A225" s="20" t="s">
        <v>9692</v>
      </c>
      <c r="B225" s="20" t="s">
        <v>374</v>
      </c>
      <c r="C225" s="20" t="s">
        <v>114</v>
      </c>
      <c r="D225" s="20" t="s">
        <v>34</v>
      </c>
      <c r="E225" s="22">
        <f>ROUND(16640*1.05,2)</f>
      </c>
      <c r="F225" s="20" t="s">
        <v>35</v>
      </c>
      <c r="G225" s="20" t="s">
        <v>18</v>
      </c>
      <c r="H225" s="21">
        <f>ROUND(RAND()*4+6,1)</f>
      </c>
      <c r="I225" s="20" t="s">
        <v>36</v>
      </c>
      <c r="J225" s="23">
        <f>ROUND(64*1,0)&amp;"%"</f>
      </c>
    </row>
    <row x14ac:dyDescent="0.25" r="226" customHeight="1" ht="17.25">
      <c r="A226" s="17" t="s">
        <v>9693</v>
      </c>
      <c r="B226" s="17" t="s">
        <v>376</v>
      </c>
      <c r="C226" s="17" t="s">
        <v>114</v>
      </c>
      <c r="D226" s="17" t="s">
        <v>39</v>
      </c>
      <c r="E226" s="18">
        <f>ROUND(11959*1.05,2)</f>
      </c>
      <c r="F226" s="17" t="s">
        <v>40</v>
      </c>
      <c r="G226" s="17" t="s">
        <v>24</v>
      </c>
      <c r="H226" s="18">
        <f>ROUND(RAND()*4+6,1)</f>
      </c>
      <c r="I226" s="17" t="s">
        <v>41</v>
      </c>
      <c r="J226" s="19">
        <f>ROUND(83*1,0)&amp;"%"</f>
      </c>
    </row>
    <row x14ac:dyDescent="0.25" r="227" customHeight="1" ht="17.25">
      <c r="A227" s="20" t="s">
        <v>9694</v>
      </c>
      <c r="B227" s="20" t="s">
        <v>378</v>
      </c>
      <c r="C227" s="20" t="s">
        <v>114</v>
      </c>
      <c r="D227" s="20" t="s">
        <v>67</v>
      </c>
      <c r="E227" s="22">
        <f>ROUND(7760*1.05,2)</f>
      </c>
      <c r="F227" s="20" t="s">
        <v>44</v>
      </c>
      <c r="G227" s="20" t="s">
        <v>30</v>
      </c>
      <c r="H227" s="21">
        <f>ROUND(RAND()*4+6,1)</f>
      </c>
      <c r="I227" s="20" t="s">
        <v>45</v>
      </c>
      <c r="J227" s="23">
        <f>ROUND(92*1,0)&amp;"%"</f>
      </c>
    </row>
    <row x14ac:dyDescent="0.25" r="228" customHeight="1" ht="17.25">
      <c r="A228" s="17" t="s">
        <v>9695</v>
      </c>
      <c r="B228" s="17" t="s">
        <v>380</v>
      </c>
      <c r="C228" s="17" t="s">
        <v>114</v>
      </c>
      <c r="D228" s="17" t="s">
        <v>16</v>
      </c>
      <c r="E228" s="18">
        <f>ROUND(12499*1.05,2)</f>
      </c>
      <c r="F228" s="17" t="s">
        <v>48</v>
      </c>
      <c r="G228" s="17" t="s">
        <v>18</v>
      </c>
      <c r="H228" s="18">
        <f>ROUND(RAND()*4+6,1)</f>
      </c>
      <c r="I228" s="17" t="s">
        <v>19</v>
      </c>
      <c r="J228" s="19">
        <f>ROUND(99*1,0)&amp;"%"</f>
      </c>
    </row>
    <row x14ac:dyDescent="0.25" r="229" customHeight="1" ht="17.25">
      <c r="A229" s="20" t="s">
        <v>9696</v>
      </c>
      <c r="B229" s="20" t="s">
        <v>382</v>
      </c>
      <c r="C229" s="20" t="s">
        <v>114</v>
      </c>
      <c r="D229" s="20" t="s">
        <v>22</v>
      </c>
      <c r="E229" s="21">
        <f>ROUND(7279*1.05,2)</f>
      </c>
      <c r="F229" s="20" t="s">
        <v>51</v>
      </c>
      <c r="G229" s="20" t="s">
        <v>24</v>
      </c>
      <c r="H229" s="21">
        <f>ROUND(RAND()*4+6,1)</f>
      </c>
      <c r="I229" s="20" t="s">
        <v>25</v>
      </c>
      <c r="J229" s="23">
        <f>ROUND(82*1,0)&amp;"%"</f>
      </c>
    </row>
    <row x14ac:dyDescent="0.25" r="230" customHeight="1" ht="17.25">
      <c r="A230" s="24" t="s">
        <v>383</v>
      </c>
      <c r="B230" s="24"/>
      <c r="C230" s="24"/>
      <c r="D230" s="24"/>
      <c r="E230" s="25">
        <v>8</v>
      </c>
      <c r="F230" s="9"/>
      <c r="G230" s="9"/>
      <c r="H230" s="10"/>
      <c r="I230" s="9"/>
      <c r="J230" s="9"/>
    </row>
    <row x14ac:dyDescent="0.25" r="231" customHeight="1" ht="17.25">
      <c r="A231" s="7"/>
      <c r="B231" s="7"/>
      <c r="C231" s="7"/>
      <c r="D231" s="7"/>
      <c r="E231" s="8"/>
      <c r="F231" s="9"/>
      <c r="G231" s="9"/>
      <c r="H231" s="10"/>
      <c r="I231" s="9"/>
      <c r="J231" s="9"/>
    </row>
    <row x14ac:dyDescent="0.25" r="232" customHeight="1" ht="17.25">
      <c r="A232" s="11" t="s">
        <v>9697</v>
      </c>
      <c r="B232" s="11"/>
      <c r="C232" s="11"/>
      <c r="D232" s="11"/>
      <c r="E232" s="12"/>
      <c r="F232" s="11"/>
      <c r="G232" s="11"/>
      <c r="H232" s="13"/>
      <c r="I232" s="11"/>
      <c r="J232" s="11"/>
    </row>
    <row x14ac:dyDescent="0.25" r="233" customHeight="1" ht="17.25">
      <c r="A233" s="14" t="s">
        <v>3</v>
      </c>
      <c r="B233" s="14" t="s">
        <v>4</v>
      </c>
      <c r="C233" s="14" t="s">
        <v>5</v>
      </c>
      <c r="D233" s="14" t="s">
        <v>6</v>
      </c>
      <c r="E233" s="15" t="s">
        <v>7</v>
      </c>
      <c r="F233" s="14" t="s">
        <v>8</v>
      </c>
      <c r="G233" s="14" t="s">
        <v>9</v>
      </c>
      <c r="H233" s="16" t="s">
        <v>10</v>
      </c>
      <c r="I233" s="14" t="s">
        <v>11</v>
      </c>
      <c r="J233" s="14" t="s">
        <v>12</v>
      </c>
    </row>
    <row x14ac:dyDescent="0.25" r="234" customHeight="1" ht="17.25">
      <c r="A234" s="17" t="s">
        <v>9698</v>
      </c>
      <c r="B234" s="17" t="s">
        <v>386</v>
      </c>
      <c r="C234" s="17" t="s">
        <v>133</v>
      </c>
      <c r="D234" s="17" t="s">
        <v>16</v>
      </c>
      <c r="E234" s="26">
        <f>ROUND(9640*1.05,2)</f>
      </c>
      <c r="F234" s="17" t="s">
        <v>17</v>
      </c>
      <c r="G234" s="17" t="s">
        <v>18</v>
      </c>
      <c r="H234" s="18">
        <f>ROUND(RAND()*4+6,1)</f>
      </c>
      <c r="I234" s="17" t="s">
        <v>19</v>
      </c>
      <c r="J234" s="19">
        <f>ROUND(93*1,0)&amp;"%"</f>
      </c>
    </row>
    <row x14ac:dyDescent="0.25" r="235" customHeight="1" ht="17.25">
      <c r="A235" s="20" t="s">
        <v>9699</v>
      </c>
      <c r="B235" s="20" t="s">
        <v>388</v>
      </c>
      <c r="C235" s="20" t="s">
        <v>133</v>
      </c>
      <c r="D235" s="20" t="s">
        <v>22</v>
      </c>
      <c r="E235" s="21">
        <f>ROUND(14888*1.05,2)</f>
      </c>
      <c r="F235" s="20" t="s">
        <v>23</v>
      </c>
      <c r="G235" s="20" t="s">
        <v>24</v>
      </c>
      <c r="H235" s="21">
        <f>ROUND(RAND()*4+6,1)</f>
      </c>
      <c r="I235" s="20" t="s">
        <v>25</v>
      </c>
      <c r="J235" s="23">
        <f>ROUND(95*1,0)&amp;"%"</f>
      </c>
    </row>
    <row x14ac:dyDescent="0.25" r="236" customHeight="1" ht="17.25">
      <c r="A236" s="17" t="s">
        <v>9700</v>
      </c>
      <c r="B236" s="17" t="s">
        <v>390</v>
      </c>
      <c r="C236" s="17" t="s">
        <v>133</v>
      </c>
      <c r="D236" s="17" t="s">
        <v>28</v>
      </c>
      <c r="E236" s="18">
        <f>ROUND(15193*1.05,2)</f>
      </c>
      <c r="F236" s="17" t="s">
        <v>29</v>
      </c>
      <c r="G236" s="17" t="s">
        <v>30</v>
      </c>
      <c r="H236" s="18">
        <f>ROUND(RAND()*4+6,1)</f>
      </c>
      <c r="I236" s="17" t="s">
        <v>31</v>
      </c>
      <c r="J236" s="19">
        <f>ROUND(64*1,0)&amp;"%"</f>
      </c>
    </row>
    <row x14ac:dyDescent="0.25" r="237" customHeight="1" ht="17.25">
      <c r="A237" s="20" t="s">
        <v>9701</v>
      </c>
      <c r="B237" s="20" t="s">
        <v>392</v>
      </c>
      <c r="C237" s="20" t="s">
        <v>133</v>
      </c>
      <c r="D237" s="20" t="s">
        <v>34</v>
      </c>
      <c r="E237" s="21">
        <f>ROUND(4443*1.05,2)</f>
      </c>
      <c r="F237" s="20" t="s">
        <v>35</v>
      </c>
      <c r="G237" s="20" t="s">
        <v>18</v>
      </c>
      <c r="H237" s="21">
        <f>ROUND(RAND()*4+6,1)</f>
      </c>
      <c r="I237" s="20" t="s">
        <v>36</v>
      </c>
      <c r="J237" s="23">
        <f>ROUND(94*1,0)&amp;"%"</f>
      </c>
    </row>
    <row x14ac:dyDescent="0.25" r="238" customHeight="1" ht="17.25">
      <c r="A238" s="17" t="s">
        <v>9702</v>
      </c>
      <c r="B238" s="17" t="s">
        <v>394</v>
      </c>
      <c r="C238" s="17" t="s">
        <v>133</v>
      </c>
      <c r="D238" s="17" t="s">
        <v>39</v>
      </c>
      <c r="E238" s="18">
        <f>ROUND(11390*1.05,2)</f>
      </c>
      <c r="F238" s="17" t="s">
        <v>40</v>
      </c>
      <c r="G238" s="17" t="s">
        <v>24</v>
      </c>
      <c r="H238" s="18">
        <f>ROUND(RAND()*4+6,1)</f>
      </c>
      <c r="I238" s="17" t="s">
        <v>41</v>
      </c>
      <c r="J238" s="19">
        <f>ROUND(73*1,0)&amp;"%"</f>
      </c>
    </row>
    <row x14ac:dyDescent="0.25" r="239" customHeight="1" ht="17.25">
      <c r="A239" s="20" t="s">
        <v>9703</v>
      </c>
      <c r="B239" s="20" t="s">
        <v>396</v>
      </c>
      <c r="C239" s="20" t="s">
        <v>133</v>
      </c>
      <c r="D239" s="20" t="s">
        <v>67</v>
      </c>
      <c r="E239" s="21">
        <f>ROUND(7658*1.05,2)</f>
      </c>
      <c r="F239" s="20" t="s">
        <v>44</v>
      </c>
      <c r="G239" s="20" t="s">
        <v>30</v>
      </c>
      <c r="H239" s="21">
        <f>ROUND(RAND()*4+6,1)</f>
      </c>
      <c r="I239" s="20" t="s">
        <v>45</v>
      </c>
      <c r="J239" s="23">
        <f>ROUND(89*1,0)&amp;"%"</f>
      </c>
    </row>
    <row x14ac:dyDescent="0.25" r="240" customHeight="1" ht="17.25">
      <c r="A240" s="17" t="s">
        <v>9704</v>
      </c>
      <c r="B240" s="17" t="s">
        <v>398</v>
      </c>
      <c r="C240" s="17" t="s">
        <v>133</v>
      </c>
      <c r="D240" s="17" t="s">
        <v>16</v>
      </c>
      <c r="E240" s="18">
        <f>ROUND(13576*1.05,2)</f>
      </c>
      <c r="F240" s="17" t="s">
        <v>48</v>
      </c>
      <c r="G240" s="17" t="s">
        <v>18</v>
      </c>
      <c r="H240" s="18">
        <f>ROUND(RAND()*4+6,1)</f>
      </c>
      <c r="I240" s="17" t="s">
        <v>19</v>
      </c>
      <c r="J240" s="19">
        <f>ROUND(75*1,0)&amp;"%"</f>
      </c>
    </row>
    <row x14ac:dyDescent="0.25" r="241" customHeight="1" ht="17.25">
      <c r="A241" s="20" t="s">
        <v>9705</v>
      </c>
      <c r="B241" s="20" t="s">
        <v>400</v>
      </c>
      <c r="C241" s="20" t="s">
        <v>133</v>
      </c>
      <c r="D241" s="20" t="s">
        <v>22</v>
      </c>
      <c r="E241" s="21">
        <f>ROUND(6834*1.05,2)</f>
      </c>
      <c r="F241" s="20" t="s">
        <v>51</v>
      </c>
      <c r="G241" s="20" t="s">
        <v>24</v>
      </c>
      <c r="H241" s="21">
        <f>ROUND(RAND()*4+6,1)</f>
      </c>
      <c r="I241" s="20" t="s">
        <v>25</v>
      </c>
      <c r="J241" s="23">
        <f>ROUND(72*1,0)&amp;"%"</f>
      </c>
    </row>
    <row x14ac:dyDescent="0.25" r="242" customHeight="1" ht="17.25">
      <c r="A242" s="24" t="s">
        <v>401</v>
      </c>
      <c r="B242" s="24"/>
      <c r="C242" s="24"/>
      <c r="D242" s="24"/>
      <c r="E242" s="25">
        <v>8</v>
      </c>
      <c r="F242" s="9"/>
      <c r="G242" s="9"/>
      <c r="H242" s="10"/>
      <c r="I242" s="9"/>
      <c r="J242" s="9"/>
    </row>
    <row x14ac:dyDescent="0.25" r="243" customHeight="1" ht="17.25">
      <c r="A243" s="7"/>
      <c r="B243" s="7"/>
      <c r="C243" s="7"/>
      <c r="D243" s="7"/>
      <c r="E243" s="8"/>
      <c r="F243" s="9"/>
      <c r="G243" s="9"/>
      <c r="H243" s="10"/>
      <c r="I243" s="9"/>
      <c r="J243" s="9"/>
    </row>
    <row x14ac:dyDescent="0.25" r="244" customHeight="1" ht="17.25">
      <c r="A244" s="11" t="s">
        <v>9706</v>
      </c>
      <c r="B244" s="11"/>
      <c r="C244" s="11"/>
      <c r="D244" s="11"/>
      <c r="E244" s="12"/>
      <c r="F244" s="11"/>
      <c r="G244" s="11"/>
      <c r="H244" s="13"/>
      <c r="I244" s="11"/>
      <c r="J244" s="11"/>
    </row>
    <row x14ac:dyDescent="0.25" r="245" customHeight="1" ht="17.25">
      <c r="A245" s="14" t="s">
        <v>3</v>
      </c>
      <c r="B245" s="14" t="s">
        <v>4</v>
      </c>
      <c r="C245" s="14" t="s">
        <v>5</v>
      </c>
      <c r="D245" s="14" t="s">
        <v>6</v>
      </c>
      <c r="E245" s="15" t="s">
        <v>7</v>
      </c>
      <c r="F245" s="14" t="s">
        <v>8</v>
      </c>
      <c r="G245" s="14" t="s">
        <v>9</v>
      </c>
      <c r="H245" s="16" t="s">
        <v>10</v>
      </c>
      <c r="I245" s="14" t="s">
        <v>11</v>
      </c>
      <c r="J245" s="14" t="s">
        <v>12</v>
      </c>
    </row>
    <row x14ac:dyDescent="0.25" r="246" customHeight="1" ht="17.25">
      <c r="A246" s="17" t="s">
        <v>9707</v>
      </c>
      <c r="B246" s="17" t="s">
        <v>404</v>
      </c>
      <c r="C246" s="17" t="s">
        <v>152</v>
      </c>
      <c r="D246" s="17" t="s">
        <v>16</v>
      </c>
      <c r="E246" s="18">
        <f>ROUND(4174*1.05,2)</f>
      </c>
      <c r="F246" s="17" t="s">
        <v>17</v>
      </c>
      <c r="G246" s="17" t="s">
        <v>18</v>
      </c>
      <c r="H246" s="18">
        <f>ROUND(RAND()*4+6,1)</f>
      </c>
      <c r="I246" s="17" t="s">
        <v>19</v>
      </c>
      <c r="J246" s="19">
        <f>ROUND(99*1,0)&amp;"%"</f>
      </c>
    </row>
    <row x14ac:dyDescent="0.25" r="247" customHeight="1" ht="17.25">
      <c r="A247" s="20" t="s">
        <v>9708</v>
      </c>
      <c r="B247" s="20" t="s">
        <v>406</v>
      </c>
      <c r="C247" s="20" t="s">
        <v>152</v>
      </c>
      <c r="D247" s="20" t="s">
        <v>22</v>
      </c>
      <c r="E247" s="21">
        <f>ROUND(7614*1.05,2)</f>
      </c>
      <c r="F247" s="20" t="s">
        <v>23</v>
      </c>
      <c r="G247" s="20" t="s">
        <v>24</v>
      </c>
      <c r="H247" s="21">
        <f>ROUND(RAND()*4+6,1)</f>
      </c>
      <c r="I247" s="20" t="s">
        <v>25</v>
      </c>
      <c r="J247" s="23">
        <f>ROUND(93*1,0)&amp;"%"</f>
      </c>
    </row>
    <row x14ac:dyDescent="0.25" r="248" customHeight="1" ht="17.25">
      <c r="A248" s="17" t="s">
        <v>9709</v>
      </c>
      <c r="B248" s="17" t="s">
        <v>408</v>
      </c>
      <c r="C248" s="17" t="s">
        <v>152</v>
      </c>
      <c r="D248" s="17" t="s">
        <v>28</v>
      </c>
      <c r="E248" s="18">
        <f>ROUND(8779*1.05,2)</f>
      </c>
      <c r="F248" s="17" t="s">
        <v>29</v>
      </c>
      <c r="G248" s="17" t="s">
        <v>30</v>
      </c>
      <c r="H248" s="18">
        <f>ROUND(RAND()*4+6,1)</f>
      </c>
      <c r="I248" s="17" t="s">
        <v>31</v>
      </c>
      <c r="J248" s="19">
        <f>ROUND(69*1,0)&amp;"%"</f>
      </c>
    </row>
    <row x14ac:dyDescent="0.25" r="249" customHeight="1" ht="17.25">
      <c r="A249" s="20" t="s">
        <v>9710</v>
      </c>
      <c r="B249" s="20" t="s">
        <v>410</v>
      </c>
      <c r="C249" s="20" t="s">
        <v>152</v>
      </c>
      <c r="D249" s="20" t="s">
        <v>34</v>
      </c>
      <c r="E249" s="21">
        <f>ROUND(15190*1.05,2)</f>
      </c>
      <c r="F249" s="20" t="s">
        <v>35</v>
      </c>
      <c r="G249" s="20" t="s">
        <v>18</v>
      </c>
      <c r="H249" s="21">
        <f>ROUND(RAND()*4+6,1)</f>
      </c>
      <c r="I249" s="20" t="s">
        <v>36</v>
      </c>
      <c r="J249" s="23">
        <f>ROUND(60*1,0)&amp;"%"</f>
      </c>
    </row>
    <row x14ac:dyDescent="0.25" r="250" customHeight="1" ht="17.25">
      <c r="A250" s="17" t="s">
        <v>9711</v>
      </c>
      <c r="B250" s="17" t="s">
        <v>412</v>
      </c>
      <c r="C250" s="17" t="s">
        <v>152</v>
      </c>
      <c r="D250" s="17" t="s">
        <v>39</v>
      </c>
      <c r="E250" s="18">
        <f>ROUND(4336*1.05,2)</f>
      </c>
      <c r="F250" s="17" t="s">
        <v>40</v>
      </c>
      <c r="G250" s="17" t="s">
        <v>24</v>
      </c>
      <c r="H250" s="18">
        <f>ROUND(RAND()*4+6,1)</f>
      </c>
      <c r="I250" s="17" t="s">
        <v>41</v>
      </c>
      <c r="J250" s="19">
        <f>ROUND(83*1,0)&amp;"%"</f>
      </c>
    </row>
    <row x14ac:dyDescent="0.25" r="251" customHeight="1" ht="17.25">
      <c r="A251" s="20" t="s">
        <v>9712</v>
      </c>
      <c r="B251" s="20" t="s">
        <v>414</v>
      </c>
      <c r="C251" s="20" t="s">
        <v>152</v>
      </c>
      <c r="D251" s="20" t="s">
        <v>67</v>
      </c>
      <c r="E251" s="21">
        <f>ROUND(7415*1.05,2)</f>
      </c>
      <c r="F251" s="20" t="s">
        <v>44</v>
      </c>
      <c r="G251" s="20" t="s">
        <v>30</v>
      </c>
      <c r="H251" s="21">
        <f>ROUND(RAND()*4+6,1)</f>
      </c>
      <c r="I251" s="20" t="s">
        <v>45</v>
      </c>
      <c r="J251" s="23">
        <f>ROUND(73*1,0)&amp;"%"</f>
      </c>
    </row>
    <row x14ac:dyDescent="0.25" r="252" customHeight="1" ht="17.25">
      <c r="A252" s="17" t="s">
        <v>9713</v>
      </c>
      <c r="B252" s="17" t="s">
        <v>416</v>
      </c>
      <c r="C252" s="17" t="s">
        <v>152</v>
      </c>
      <c r="D252" s="17" t="s">
        <v>16</v>
      </c>
      <c r="E252" s="18">
        <f>ROUND(14419*1.05,2)</f>
      </c>
      <c r="F252" s="17" t="s">
        <v>48</v>
      </c>
      <c r="G252" s="17" t="s">
        <v>18</v>
      </c>
      <c r="H252" s="26">
        <f>ROUND(RAND()*4+6,1)</f>
      </c>
      <c r="I252" s="17" t="s">
        <v>19</v>
      </c>
      <c r="J252" s="19">
        <f>ROUND(81*1,0)&amp;"%"</f>
      </c>
    </row>
    <row x14ac:dyDescent="0.25" r="253" customHeight="1" ht="17.25">
      <c r="A253" s="20" t="s">
        <v>9714</v>
      </c>
      <c r="B253" s="20" t="s">
        <v>418</v>
      </c>
      <c r="C253" s="20" t="s">
        <v>152</v>
      </c>
      <c r="D253" s="20" t="s">
        <v>22</v>
      </c>
      <c r="E253" s="21">
        <f>ROUND(15099*1.05,2)</f>
      </c>
      <c r="F253" s="20" t="s">
        <v>51</v>
      </c>
      <c r="G253" s="20" t="s">
        <v>24</v>
      </c>
      <c r="H253" s="21">
        <f>ROUND(RAND()*4+6,1)</f>
      </c>
      <c r="I253" s="20" t="s">
        <v>25</v>
      </c>
      <c r="J253" s="23">
        <f>ROUND(97*1,0)&amp;"%"</f>
      </c>
    </row>
    <row x14ac:dyDescent="0.25" r="254" customHeight="1" ht="17.25">
      <c r="A254" s="24" t="s">
        <v>419</v>
      </c>
      <c r="B254" s="24"/>
      <c r="C254" s="24"/>
      <c r="D254" s="24"/>
      <c r="E254" s="25">
        <v>8</v>
      </c>
      <c r="F254" s="9"/>
      <c r="G254" s="9"/>
      <c r="H254" s="10"/>
      <c r="I254" s="9"/>
      <c r="J254" s="9"/>
    </row>
    <row x14ac:dyDescent="0.25" r="255" customHeight="1" ht="17.25">
      <c r="A255" s="7"/>
      <c r="B255" s="7"/>
      <c r="C255" s="7"/>
      <c r="D255" s="7"/>
      <c r="E255" s="8"/>
      <c r="F255" s="9"/>
      <c r="G255" s="9"/>
      <c r="H255" s="10"/>
      <c r="I255" s="9"/>
      <c r="J255" s="9"/>
    </row>
    <row x14ac:dyDescent="0.25" r="256" customHeight="1" ht="17.25">
      <c r="A256" s="11" t="s">
        <v>9715</v>
      </c>
      <c r="B256" s="11"/>
      <c r="C256" s="11"/>
      <c r="D256" s="11"/>
      <c r="E256" s="12"/>
      <c r="F256" s="11"/>
      <c r="G256" s="11"/>
      <c r="H256" s="13"/>
      <c r="I256" s="11"/>
      <c r="J256" s="11"/>
    </row>
    <row x14ac:dyDescent="0.25" r="257" customHeight="1" ht="17.25">
      <c r="A257" s="14" t="s">
        <v>3</v>
      </c>
      <c r="B257" s="14" t="s">
        <v>4</v>
      </c>
      <c r="C257" s="14" t="s">
        <v>5</v>
      </c>
      <c r="D257" s="14" t="s">
        <v>6</v>
      </c>
      <c r="E257" s="15" t="s">
        <v>7</v>
      </c>
      <c r="F257" s="14" t="s">
        <v>8</v>
      </c>
      <c r="G257" s="14" t="s">
        <v>9</v>
      </c>
      <c r="H257" s="16" t="s">
        <v>10</v>
      </c>
      <c r="I257" s="14" t="s">
        <v>11</v>
      </c>
      <c r="J257" s="14" t="s">
        <v>12</v>
      </c>
    </row>
    <row x14ac:dyDescent="0.25" r="258" customHeight="1" ht="17.25">
      <c r="A258" s="17" t="s">
        <v>9716</v>
      </c>
      <c r="B258" s="17" t="s">
        <v>422</v>
      </c>
      <c r="C258" s="17" t="s">
        <v>15</v>
      </c>
      <c r="D258" s="17" t="s">
        <v>16</v>
      </c>
      <c r="E258" s="18">
        <f>ROUND(13996*1.05,2)</f>
      </c>
      <c r="F258" s="17" t="s">
        <v>17</v>
      </c>
      <c r="G258" s="17" t="s">
        <v>18</v>
      </c>
      <c r="H258" s="26">
        <f>ROUND(RAND()*4+6,1)</f>
      </c>
      <c r="I258" s="17" t="s">
        <v>19</v>
      </c>
      <c r="J258" s="19">
        <f>ROUND(65*1,0)&amp;"%"</f>
      </c>
    </row>
    <row x14ac:dyDescent="0.25" r="259" customHeight="1" ht="17.25">
      <c r="A259" s="20" t="s">
        <v>9717</v>
      </c>
      <c r="B259" s="20" t="s">
        <v>424</v>
      </c>
      <c r="C259" s="20" t="s">
        <v>15</v>
      </c>
      <c r="D259" s="20" t="s">
        <v>22</v>
      </c>
      <c r="E259" s="21">
        <f>ROUND(17234*1.05,2)</f>
      </c>
      <c r="F259" s="20" t="s">
        <v>23</v>
      </c>
      <c r="G259" s="20" t="s">
        <v>24</v>
      </c>
      <c r="H259" s="21">
        <f>ROUND(RAND()*4+6,1)</f>
      </c>
      <c r="I259" s="20" t="s">
        <v>25</v>
      </c>
      <c r="J259" s="23">
        <f>ROUND(97*1,0)&amp;"%"</f>
      </c>
    </row>
    <row x14ac:dyDescent="0.25" r="260" customHeight="1" ht="17.25">
      <c r="A260" s="17" t="s">
        <v>9718</v>
      </c>
      <c r="B260" s="17" t="s">
        <v>426</v>
      </c>
      <c r="C260" s="17" t="s">
        <v>15</v>
      </c>
      <c r="D260" s="17" t="s">
        <v>28</v>
      </c>
      <c r="E260" s="18">
        <f>ROUND(5314*1.05,2)</f>
      </c>
      <c r="F260" s="17" t="s">
        <v>29</v>
      </c>
      <c r="G260" s="17" t="s">
        <v>30</v>
      </c>
      <c r="H260" s="18">
        <f>ROUND(RAND()*4+6,1)</f>
      </c>
      <c r="I260" s="17" t="s">
        <v>31</v>
      </c>
      <c r="J260" s="19">
        <f>ROUND(94*1,0)&amp;"%"</f>
      </c>
    </row>
    <row x14ac:dyDescent="0.25" r="261" customHeight="1" ht="17.25">
      <c r="A261" s="20" t="s">
        <v>9719</v>
      </c>
      <c r="B261" s="20" t="s">
        <v>428</v>
      </c>
      <c r="C261" s="20" t="s">
        <v>15</v>
      </c>
      <c r="D261" s="20" t="s">
        <v>34</v>
      </c>
      <c r="E261" s="21">
        <f>ROUND(16307*1.05,2)</f>
      </c>
      <c r="F261" s="20" t="s">
        <v>35</v>
      </c>
      <c r="G261" s="20" t="s">
        <v>18</v>
      </c>
      <c r="H261" s="21">
        <f>ROUND(RAND()*4+6,1)</f>
      </c>
      <c r="I261" s="20" t="s">
        <v>36</v>
      </c>
      <c r="J261" s="23">
        <f>ROUND(72*1,0)&amp;"%"</f>
      </c>
    </row>
    <row x14ac:dyDescent="0.25" r="262" customHeight="1" ht="17.25">
      <c r="A262" s="17" t="s">
        <v>9720</v>
      </c>
      <c r="B262" s="17" t="s">
        <v>430</v>
      </c>
      <c r="C262" s="17" t="s">
        <v>15</v>
      </c>
      <c r="D262" s="17" t="s">
        <v>39</v>
      </c>
      <c r="E262" s="18">
        <f>ROUND(9528*1.05,2)</f>
      </c>
      <c r="F262" s="17" t="s">
        <v>40</v>
      </c>
      <c r="G262" s="17" t="s">
        <v>24</v>
      </c>
      <c r="H262" s="18">
        <f>ROUND(RAND()*4+6,1)</f>
      </c>
      <c r="I262" s="17" t="s">
        <v>41</v>
      </c>
      <c r="J262" s="19">
        <f>ROUND(96*1,0)&amp;"%"</f>
      </c>
    </row>
    <row x14ac:dyDescent="0.25" r="263" customHeight="1" ht="17.25">
      <c r="A263" s="20" t="s">
        <v>9721</v>
      </c>
      <c r="B263" s="20" t="s">
        <v>432</v>
      </c>
      <c r="C263" s="20" t="s">
        <v>15</v>
      </c>
      <c r="D263" s="20" t="s">
        <v>67</v>
      </c>
      <c r="E263" s="21">
        <f>ROUND(8331*1.05,2)</f>
      </c>
      <c r="F263" s="20" t="s">
        <v>44</v>
      </c>
      <c r="G263" s="20" t="s">
        <v>30</v>
      </c>
      <c r="H263" s="21">
        <f>ROUND(RAND()*4+6,1)</f>
      </c>
      <c r="I263" s="20" t="s">
        <v>45</v>
      </c>
      <c r="J263" s="23">
        <f>ROUND(64*1,0)&amp;"%"</f>
      </c>
    </row>
    <row x14ac:dyDescent="0.25" r="264" customHeight="1" ht="17.25">
      <c r="A264" s="17" t="s">
        <v>9722</v>
      </c>
      <c r="B264" s="17" t="s">
        <v>434</v>
      </c>
      <c r="C264" s="17" t="s">
        <v>15</v>
      </c>
      <c r="D264" s="17" t="s">
        <v>16</v>
      </c>
      <c r="E264" s="18">
        <f>ROUND(9914*1.05,2)</f>
      </c>
      <c r="F264" s="17" t="s">
        <v>48</v>
      </c>
      <c r="G264" s="17" t="s">
        <v>18</v>
      </c>
      <c r="H264" s="26">
        <f>ROUND(RAND()*4+6,1)</f>
      </c>
      <c r="I264" s="17" t="s">
        <v>19</v>
      </c>
      <c r="J264" s="19">
        <f>ROUND(96*1,0)&amp;"%"</f>
      </c>
    </row>
    <row x14ac:dyDescent="0.25" r="265" customHeight="1" ht="17.25">
      <c r="A265" s="20" t="s">
        <v>9723</v>
      </c>
      <c r="B265" s="20" t="s">
        <v>436</v>
      </c>
      <c r="C265" s="20" t="s">
        <v>15</v>
      </c>
      <c r="D265" s="20" t="s">
        <v>22</v>
      </c>
      <c r="E265" s="21">
        <f>ROUND(15105*1.05,2)</f>
      </c>
      <c r="F265" s="20" t="s">
        <v>51</v>
      </c>
      <c r="G265" s="20" t="s">
        <v>24</v>
      </c>
      <c r="H265" s="21">
        <f>ROUND(RAND()*4+6,1)</f>
      </c>
      <c r="I265" s="20" t="s">
        <v>25</v>
      </c>
      <c r="J265" s="23">
        <f>ROUND(100*1,0)&amp;"%"</f>
      </c>
    </row>
    <row x14ac:dyDescent="0.25" r="266" customHeight="1" ht="17.25">
      <c r="A266" s="24" t="s">
        <v>437</v>
      </c>
      <c r="B266" s="24"/>
      <c r="C266" s="24"/>
      <c r="D266" s="24"/>
      <c r="E266" s="25">
        <v>8</v>
      </c>
      <c r="F266" s="9"/>
      <c r="G266" s="9"/>
      <c r="H266" s="10"/>
      <c r="I266" s="9"/>
      <c r="J266" s="9"/>
    </row>
    <row x14ac:dyDescent="0.25" r="267" customHeight="1" ht="17.25">
      <c r="A267" s="7"/>
      <c r="B267" s="7"/>
      <c r="C267" s="7"/>
      <c r="D267" s="7"/>
      <c r="E267" s="8"/>
      <c r="F267" s="9"/>
      <c r="G267" s="9"/>
      <c r="H267" s="10"/>
      <c r="I267" s="9"/>
      <c r="J267" s="9"/>
    </row>
    <row x14ac:dyDescent="0.25" r="268" customHeight="1" ht="17.25">
      <c r="A268" s="11" t="s">
        <v>9724</v>
      </c>
      <c r="B268" s="11"/>
      <c r="C268" s="11"/>
      <c r="D268" s="11"/>
      <c r="E268" s="12"/>
      <c r="F268" s="11"/>
      <c r="G268" s="11"/>
      <c r="H268" s="13"/>
      <c r="I268" s="11"/>
      <c r="J268" s="11"/>
    </row>
    <row x14ac:dyDescent="0.25" r="269" customHeight="1" ht="17.25">
      <c r="A269" s="14" t="s">
        <v>3</v>
      </c>
      <c r="B269" s="14" t="s">
        <v>4</v>
      </c>
      <c r="C269" s="14" t="s">
        <v>5</v>
      </c>
      <c r="D269" s="14" t="s">
        <v>6</v>
      </c>
      <c r="E269" s="15" t="s">
        <v>7</v>
      </c>
      <c r="F269" s="14" t="s">
        <v>8</v>
      </c>
      <c r="G269" s="14" t="s">
        <v>9</v>
      </c>
      <c r="H269" s="16" t="s">
        <v>10</v>
      </c>
      <c r="I269" s="14" t="s">
        <v>11</v>
      </c>
      <c r="J269" s="14" t="s">
        <v>12</v>
      </c>
    </row>
    <row x14ac:dyDescent="0.25" r="270" customHeight="1" ht="17.25">
      <c r="A270" s="17" t="s">
        <v>9725</v>
      </c>
      <c r="B270" s="17" t="s">
        <v>440</v>
      </c>
      <c r="C270" s="17" t="s">
        <v>56</v>
      </c>
      <c r="D270" s="17" t="s">
        <v>16</v>
      </c>
      <c r="E270" s="18">
        <f>ROUND(5754*1.05,2)</f>
      </c>
      <c r="F270" s="17" t="s">
        <v>17</v>
      </c>
      <c r="G270" s="17" t="s">
        <v>18</v>
      </c>
      <c r="H270" s="18">
        <f>ROUND(RAND()*4+6,1)</f>
      </c>
      <c r="I270" s="17" t="s">
        <v>19</v>
      </c>
      <c r="J270" s="19">
        <f>ROUND(74*1,0)&amp;"%"</f>
      </c>
    </row>
    <row x14ac:dyDescent="0.25" r="271" customHeight="1" ht="17.25">
      <c r="A271" s="20" t="s">
        <v>9726</v>
      </c>
      <c r="B271" s="20" t="s">
        <v>442</v>
      </c>
      <c r="C271" s="20" t="s">
        <v>56</v>
      </c>
      <c r="D271" s="20" t="s">
        <v>22</v>
      </c>
      <c r="E271" s="21">
        <f>ROUND(7233*1.05,2)</f>
      </c>
      <c r="F271" s="20" t="s">
        <v>23</v>
      </c>
      <c r="G271" s="20" t="s">
        <v>24</v>
      </c>
      <c r="H271" s="22">
        <f>ROUND(RAND()*4+6,1)</f>
      </c>
      <c r="I271" s="20" t="s">
        <v>25</v>
      </c>
      <c r="J271" s="23">
        <f>ROUND(93*1,0)&amp;"%"</f>
      </c>
    </row>
    <row x14ac:dyDescent="0.25" r="272" customHeight="1" ht="17.25">
      <c r="A272" s="17" t="s">
        <v>9727</v>
      </c>
      <c r="B272" s="17" t="s">
        <v>444</v>
      </c>
      <c r="C272" s="17" t="s">
        <v>56</v>
      </c>
      <c r="D272" s="17" t="s">
        <v>28</v>
      </c>
      <c r="E272" s="18">
        <f>ROUND(8494*1.05,2)</f>
      </c>
      <c r="F272" s="17" t="s">
        <v>29</v>
      </c>
      <c r="G272" s="17" t="s">
        <v>30</v>
      </c>
      <c r="H272" s="18">
        <f>ROUND(RAND()*4+6,1)</f>
      </c>
      <c r="I272" s="17" t="s">
        <v>31</v>
      </c>
      <c r="J272" s="19">
        <f>ROUND(91*1,0)&amp;"%"</f>
      </c>
    </row>
    <row x14ac:dyDescent="0.25" r="273" customHeight="1" ht="17.25">
      <c r="A273" s="20" t="s">
        <v>9728</v>
      </c>
      <c r="B273" s="20" t="s">
        <v>446</v>
      </c>
      <c r="C273" s="20" t="s">
        <v>56</v>
      </c>
      <c r="D273" s="20" t="s">
        <v>34</v>
      </c>
      <c r="E273" s="21">
        <f>ROUND(10330*1.05,2)</f>
      </c>
      <c r="F273" s="20" t="s">
        <v>35</v>
      </c>
      <c r="G273" s="20" t="s">
        <v>18</v>
      </c>
      <c r="H273" s="22">
        <f>ROUND(RAND()*4+6,1)</f>
      </c>
      <c r="I273" s="20" t="s">
        <v>36</v>
      </c>
      <c r="J273" s="23">
        <f>ROUND(60*1,0)&amp;"%"</f>
      </c>
    </row>
    <row x14ac:dyDescent="0.25" r="274" customHeight="1" ht="17.25">
      <c r="A274" s="17" t="s">
        <v>9729</v>
      </c>
      <c r="B274" s="17" t="s">
        <v>448</v>
      </c>
      <c r="C274" s="17" t="s">
        <v>56</v>
      </c>
      <c r="D274" s="17" t="s">
        <v>39</v>
      </c>
      <c r="E274" s="18">
        <f>ROUND(15726*1.05,2)</f>
      </c>
      <c r="F274" s="17" t="s">
        <v>40</v>
      </c>
      <c r="G274" s="17" t="s">
        <v>24</v>
      </c>
      <c r="H274" s="18">
        <f>ROUND(RAND()*4+6,1)</f>
      </c>
      <c r="I274" s="17" t="s">
        <v>41</v>
      </c>
      <c r="J274" s="19">
        <f>ROUND(73*1,0)&amp;"%"</f>
      </c>
    </row>
    <row x14ac:dyDescent="0.25" r="275" customHeight="1" ht="17.25">
      <c r="A275" s="20" t="s">
        <v>9730</v>
      </c>
      <c r="B275" s="20" t="s">
        <v>450</v>
      </c>
      <c r="C275" s="20" t="s">
        <v>56</v>
      </c>
      <c r="D275" s="20" t="s">
        <v>67</v>
      </c>
      <c r="E275" s="21">
        <f>ROUND(11242*1.05,2)</f>
      </c>
      <c r="F275" s="20" t="s">
        <v>44</v>
      </c>
      <c r="G275" s="20" t="s">
        <v>30</v>
      </c>
      <c r="H275" s="21">
        <f>ROUND(RAND()*4+6,1)</f>
      </c>
      <c r="I275" s="20" t="s">
        <v>45</v>
      </c>
      <c r="J275" s="23">
        <f>ROUND(60*1,0)&amp;"%"</f>
      </c>
    </row>
    <row x14ac:dyDescent="0.25" r="276" customHeight="1" ht="17.25">
      <c r="A276" s="17" t="s">
        <v>9731</v>
      </c>
      <c r="B276" s="17" t="s">
        <v>452</v>
      </c>
      <c r="C276" s="17" t="s">
        <v>56</v>
      </c>
      <c r="D276" s="17" t="s">
        <v>16</v>
      </c>
      <c r="E276" s="18">
        <f>ROUND(9571*1.05,2)</f>
      </c>
      <c r="F276" s="17" t="s">
        <v>48</v>
      </c>
      <c r="G276" s="17" t="s">
        <v>18</v>
      </c>
      <c r="H276" s="18">
        <f>ROUND(RAND()*4+6,1)</f>
      </c>
      <c r="I276" s="17" t="s">
        <v>19</v>
      </c>
      <c r="J276" s="19">
        <f>ROUND(63*1,0)&amp;"%"</f>
      </c>
    </row>
    <row x14ac:dyDescent="0.25" r="277" customHeight="1" ht="17.25">
      <c r="A277" s="20" t="s">
        <v>9732</v>
      </c>
      <c r="B277" s="20" t="s">
        <v>454</v>
      </c>
      <c r="C277" s="20" t="s">
        <v>56</v>
      </c>
      <c r="D277" s="20" t="s">
        <v>22</v>
      </c>
      <c r="E277" s="21">
        <f>ROUND(8010*1.05,2)</f>
      </c>
      <c r="F277" s="20" t="s">
        <v>51</v>
      </c>
      <c r="G277" s="20" t="s">
        <v>24</v>
      </c>
      <c r="H277" s="21">
        <f>ROUND(RAND()*4+6,1)</f>
      </c>
      <c r="I277" s="20" t="s">
        <v>25</v>
      </c>
      <c r="J277" s="23">
        <f>ROUND(68*1,0)&amp;"%"</f>
      </c>
    </row>
    <row x14ac:dyDescent="0.25" r="278" customHeight="1" ht="17.25">
      <c r="A278" s="24" t="s">
        <v>455</v>
      </c>
      <c r="B278" s="24"/>
      <c r="C278" s="24"/>
      <c r="D278" s="24"/>
      <c r="E278" s="25">
        <v>8</v>
      </c>
      <c r="F278" s="9"/>
      <c r="G278" s="9"/>
      <c r="H278" s="10"/>
      <c r="I278" s="9"/>
      <c r="J278" s="9"/>
    </row>
    <row x14ac:dyDescent="0.25" r="279" customHeight="1" ht="17.25">
      <c r="A279" s="7"/>
      <c r="B279" s="7"/>
      <c r="C279" s="7"/>
      <c r="D279" s="7"/>
      <c r="E279" s="8"/>
      <c r="F279" s="9"/>
      <c r="G279" s="9"/>
      <c r="H279" s="10"/>
      <c r="I279" s="9"/>
      <c r="J279" s="9"/>
    </row>
    <row x14ac:dyDescent="0.25" r="280" customHeight="1" ht="17.25">
      <c r="A280" s="11" t="s">
        <v>9733</v>
      </c>
      <c r="B280" s="11"/>
      <c r="C280" s="11"/>
      <c r="D280" s="11"/>
      <c r="E280" s="12"/>
      <c r="F280" s="11"/>
      <c r="G280" s="11"/>
      <c r="H280" s="13"/>
      <c r="I280" s="11"/>
      <c r="J280" s="11"/>
    </row>
    <row x14ac:dyDescent="0.25" r="281" customHeight="1" ht="17.25">
      <c r="A281" s="14" t="s">
        <v>3</v>
      </c>
      <c r="B281" s="14" t="s">
        <v>4</v>
      </c>
      <c r="C281" s="14" t="s">
        <v>5</v>
      </c>
      <c r="D281" s="14" t="s">
        <v>6</v>
      </c>
      <c r="E281" s="15" t="s">
        <v>7</v>
      </c>
      <c r="F281" s="14" t="s">
        <v>8</v>
      </c>
      <c r="G281" s="14" t="s">
        <v>9</v>
      </c>
      <c r="H281" s="16" t="s">
        <v>10</v>
      </c>
      <c r="I281" s="14" t="s">
        <v>11</v>
      </c>
      <c r="J281" s="14" t="s">
        <v>12</v>
      </c>
    </row>
    <row x14ac:dyDescent="0.25" r="282" customHeight="1" ht="17.25">
      <c r="A282" s="17" t="s">
        <v>9734</v>
      </c>
      <c r="B282" s="17" t="s">
        <v>458</v>
      </c>
      <c r="C282" s="17" t="s">
        <v>76</v>
      </c>
      <c r="D282" s="17" t="s">
        <v>16</v>
      </c>
      <c r="E282" s="18">
        <f>ROUND(15254*1.05,2)</f>
      </c>
      <c r="F282" s="17" t="s">
        <v>17</v>
      </c>
      <c r="G282" s="17" t="s">
        <v>18</v>
      </c>
      <c r="H282" s="18">
        <f>ROUND(RAND()*4+6,1)</f>
      </c>
      <c r="I282" s="17" t="s">
        <v>19</v>
      </c>
      <c r="J282" s="19">
        <f>ROUND(97*1,0)&amp;"%"</f>
      </c>
    </row>
    <row x14ac:dyDescent="0.25" r="283" customHeight="1" ht="17.25">
      <c r="A283" s="20" t="s">
        <v>9735</v>
      </c>
      <c r="B283" s="20" t="s">
        <v>460</v>
      </c>
      <c r="C283" s="20" t="s">
        <v>76</v>
      </c>
      <c r="D283" s="20" t="s">
        <v>22</v>
      </c>
      <c r="E283" s="21">
        <f>ROUND(9502*1.05,2)</f>
      </c>
      <c r="F283" s="20" t="s">
        <v>23</v>
      </c>
      <c r="G283" s="20" t="s">
        <v>24</v>
      </c>
      <c r="H283" s="21">
        <f>ROUND(RAND()*4+6,1)</f>
      </c>
      <c r="I283" s="20" t="s">
        <v>25</v>
      </c>
      <c r="J283" s="23">
        <f>ROUND(74*1,0)&amp;"%"</f>
      </c>
    </row>
    <row x14ac:dyDescent="0.25" r="284" customHeight="1" ht="17.25">
      <c r="A284" s="17" t="s">
        <v>9736</v>
      </c>
      <c r="B284" s="17" t="s">
        <v>462</v>
      </c>
      <c r="C284" s="17" t="s">
        <v>76</v>
      </c>
      <c r="D284" s="17" t="s">
        <v>28</v>
      </c>
      <c r="E284" s="18">
        <f>ROUND(16672*1.05,2)</f>
      </c>
      <c r="F284" s="17" t="s">
        <v>29</v>
      </c>
      <c r="G284" s="17" t="s">
        <v>30</v>
      </c>
      <c r="H284" s="18">
        <f>ROUND(RAND()*4+6,1)</f>
      </c>
      <c r="I284" s="17" t="s">
        <v>31</v>
      </c>
      <c r="J284" s="19">
        <f>ROUND(63*1,0)&amp;"%"</f>
      </c>
    </row>
    <row x14ac:dyDescent="0.25" r="285" customHeight="1" ht="17.25">
      <c r="A285" s="20" t="s">
        <v>9737</v>
      </c>
      <c r="B285" s="20" t="s">
        <v>464</v>
      </c>
      <c r="C285" s="20" t="s">
        <v>76</v>
      </c>
      <c r="D285" s="20" t="s">
        <v>34</v>
      </c>
      <c r="E285" s="21">
        <f>ROUND(12804*1.05,2)</f>
      </c>
      <c r="F285" s="20" t="s">
        <v>35</v>
      </c>
      <c r="G285" s="20" t="s">
        <v>18</v>
      </c>
      <c r="H285" s="21">
        <f>ROUND(RAND()*4+6,1)</f>
      </c>
      <c r="I285" s="20" t="s">
        <v>36</v>
      </c>
      <c r="J285" s="23">
        <f>ROUND(64*1,0)&amp;"%"</f>
      </c>
    </row>
    <row x14ac:dyDescent="0.25" r="286" customHeight="1" ht="17.25">
      <c r="A286" s="17" t="s">
        <v>9738</v>
      </c>
      <c r="B286" s="17" t="s">
        <v>466</v>
      </c>
      <c r="C286" s="17" t="s">
        <v>76</v>
      </c>
      <c r="D286" s="17" t="s">
        <v>39</v>
      </c>
      <c r="E286" s="18">
        <f>ROUND(8513*1.05,2)</f>
      </c>
      <c r="F286" s="17" t="s">
        <v>40</v>
      </c>
      <c r="G286" s="17" t="s">
        <v>24</v>
      </c>
      <c r="H286" s="18">
        <f>ROUND(RAND()*4+6,1)</f>
      </c>
      <c r="I286" s="17" t="s">
        <v>41</v>
      </c>
      <c r="J286" s="19">
        <f>ROUND(63*1,0)&amp;"%"</f>
      </c>
    </row>
    <row x14ac:dyDescent="0.25" r="287" customHeight="1" ht="17.25">
      <c r="A287" s="20" t="s">
        <v>9739</v>
      </c>
      <c r="B287" s="20" t="s">
        <v>468</v>
      </c>
      <c r="C287" s="20" t="s">
        <v>76</v>
      </c>
      <c r="D287" s="20" t="s">
        <v>67</v>
      </c>
      <c r="E287" s="21">
        <f>ROUND(4087*1.05,2)</f>
      </c>
      <c r="F287" s="20" t="s">
        <v>44</v>
      </c>
      <c r="G287" s="20" t="s">
        <v>30</v>
      </c>
      <c r="H287" s="21">
        <f>ROUND(RAND()*4+6,1)</f>
      </c>
      <c r="I287" s="20" t="s">
        <v>45</v>
      </c>
      <c r="J287" s="23">
        <f>ROUND(100*1,0)&amp;"%"</f>
      </c>
    </row>
    <row x14ac:dyDescent="0.25" r="288" customHeight="1" ht="17.25">
      <c r="A288" s="17" t="s">
        <v>9740</v>
      </c>
      <c r="B288" s="17" t="s">
        <v>470</v>
      </c>
      <c r="C288" s="17" t="s">
        <v>76</v>
      </c>
      <c r="D288" s="17" t="s">
        <v>16</v>
      </c>
      <c r="E288" s="18">
        <f>ROUND(7236*1.05,2)</f>
      </c>
      <c r="F288" s="17" t="s">
        <v>48</v>
      </c>
      <c r="G288" s="17" t="s">
        <v>18</v>
      </c>
      <c r="H288" s="18">
        <f>ROUND(RAND()*4+6,1)</f>
      </c>
      <c r="I288" s="17" t="s">
        <v>19</v>
      </c>
      <c r="J288" s="19">
        <f>ROUND(94*1,0)&amp;"%"</f>
      </c>
    </row>
    <row x14ac:dyDescent="0.25" r="289" customHeight="1" ht="17.25">
      <c r="A289" s="20" t="s">
        <v>9741</v>
      </c>
      <c r="B289" s="20" t="s">
        <v>472</v>
      </c>
      <c r="C289" s="20" t="s">
        <v>76</v>
      </c>
      <c r="D289" s="20" t="s">
        <v>22</v>
      </c>
      <c r="E289" s="21">
        <f>ROUND(15071*1.05,2)</f>
      </c>
      <c r="F289" s="20" t="s">
        <v>51</v>
      </c>
      <c r="G289" s="20" t="s">
        <v>24</v>
      </c>
      <c r="H289" s="21">
        <f>ROUND(RAND()*4+6,1)</f>
      </c>
      <c r="I289" s="20" t="s">
        <v>25</v>
      </c>
      <c r="J289" s="23">
        <f>ROUND(97*1,0)&amp;"%"</f>
      </c>
    </row>
    <row x14ac:dyDescent="0.25" r="290" customHeight="1" ht="17.25">
      <c r="A290" s="24" t="s">
        <v>473</v>
      </c>
      <c r="B290" s="24"/>
      <c r="C290" s="24"/>
      <c r="D290" s="24"/>
      <c r="E290" s="25">
        <v>8</v>
      </c>
      <c r="F290" s="9"/>
      <c r="G290" s="9"/>
      <c r="H290" s="10"/>
      <c r="I290" s="9"/>
      <c r="J290" s="9"/>
    </row>
    <row x14ac:dyDescent="0.25" r="291" customHeight="1" ht="17.25">
      <c r="A291" s="7"/>
      <c r="B291" s="7"/>
      <c r="C291" s="7"/>
      <c r="D291" s="7"/>
      <c r="E291" s="8"/>
      <c r="F291" s="9"/>
      <c r="G291" s="9"/>
      <c r="H291" s="10"/>
      <c r="I291" s="9"/>
      <c r="J291" s="9"/>
    </row>
    <row x14ac:dyDescent="0.25" r="292" customHeight="1" ht="17.25">
      <c r="A292" s="11" t="s">
        <v>9742</v>
      </c>
      <c r="B292" s="11"/>
      <c r="C292" s="11"/>
      <c r="D292" s="11"/>
      <c r="E292" s="12"/>
      <c r="F292" s="11"/>
      <c r="G292" s="11"/>
      <c r="H292" s="13"/>
      <c r="I292" s="11"/>
      <c r="J292" s="11"/>
    </row>
    <row x14ac:dyDescent="0.25" r="293" customHeight="1" ht="17.25">
      <c r="A293" s="14" t="s">
        <v>3</v>
      </c>
      <c r="B293" s="14" t="s">
        <v>4</v>
      </c>
      <c r="C293" s="14" t="s">
        <v>5</v>
      </c>
      <c r="D293" s="14" t="s">
        <v>6</v>
      </c>
      <c r="E293" s="15" t="s">
        <v>7</v>
      </c>
      <c r="F293" s="14" t="s">
        <v>8</v>
      </c>
      <c r="G293" s="14" t="s">
        <v>9</v>
      </c>
      <c r="H293" s="16" t="s">
        <v>10</v>
      </c>
      <c r="I293" s="14" t="s">
        <v>11</v>
      </c>
      <c r="J293" s="14" t="s">
        <v>12</v>
      </c>
    </row>
    <row x14ac:dyDescent="0.25" r="294" customHeight="1" ht="17.25">
      <c r="A294" s="17" t="s">
        <v>9743</v>
      </c>
      <c r="B294" s="17" t="s">
        <v>476</v>
      </c>
      <c r="C294" s="17" t="s">
        <v>95</v>
      </c>
      <c r="D294" s="17" t="s">
        <v>16</v>
      </c>
      <c r="E294" s="18">
        <f>ROUND(17512*1.05,2)</f>
      </c>
      <c r="F294" s="17" t="s">
        <v>17</v>
      </c>
      <c r="G294" s="17" t="s">
        <v>18</v>
      </c>
      <c r="H294" s="18">
        <f>ROUND(RAND()*4+6,1)</f>
      </c>
      <c r="I294" s="17" t="s">
        <v>19</v>
      </c>
      <c r="J294" s="19">
        <f>ROUND(80*1,0)&amp;"%"</f>
      </c>
    </row>
    <row x14ac:dyDescent="0.25" r="295" customHeight="1" ht="17.25">
      <c r="A295" s="20" t="s">
        <v>9744</v>
      </c>
      <c r="B295" s="20" t="s">
        <v>478</v>
      </c>
      <c r="C295" s="20" t="s">
        <v>95</v>
      </c>
      <c r="D295" s="20" t="s">
        <v>22</v>
      </c>
      <c r="E295" s="21">
        <f>ROUND(7411*1.05,2)</f>
      </c>
      <c r="F295" s="20" t="s">
        <v>23</v>
      </c>
      <c r="G295" s="20" t="s">
        <v>24</v>
      </c>
      <c r="H295" s="22">
        <f>ROUND(RAND()*4+6,1)</f>
      </c>
      <c r="I295" s="20" t="s">
        <v>25</v>
      </c>
      <c r="J295" s="23">
        <f>ROUND(75*1,0)&amp;"%"</f>
      </c>
    </row>
    <row x14ac:dyDescent="0.25" r="296" customHeight="1" ht="17.25">
      <c r="A296" s="17" t="s">
        <v>9745</v>
      </c>
      <c r="B296" s="17" t="s">
        <v>480</v>
      </c>
      <c r="C296" s="17" t="s">
        <v>95</v>
      </c>
      <c r="D296" s="17" t="s">
        <v>28</v>
      </c>
      <c r="E296" s="18">
        <f>ROUND(13775*1.05,2)</f>
      </c>
      <c r="F296" s="17" t="s">
        <v>29</v>
      </c>
      <c r="G296" s="17" t="s">
        <v>30</v>
      </c>
      <c r="H296" s="18">
        <f>ROUND(RAND()*4+6,1)</f>
      </c>
      <c r="I296" s="17" t="s">
        <v>31</v>
      </c>
      <c r="J296" s="19">
        <f>ROUND(80*1,0)&amp;"%"</f>
      </c>
    </row>
    <row x14ac:dyDescent="0.25" r="297" customHeight="1" ht="17.25">
      <c r="A297" s="20" t="s">
        <v>9746</v>
      </c>
      <c r="B297" s="20" t="s">
        <v>482</v>
      </c>
      <c r="C297" s="20" t="s">
        <v>95</v>
      </c>
      <c r="D297" s="20" t="s">
        <v>34</v>
      </c>
      <c r="E297" s="21">
        <f>ROUND(4191*1.05,2)</f>
      </c>
      <c r="F297" s="20" t="s">
        <v>35</v>
      </c>
      <c r="G297" s="20" t="s">
        <v>18</v>
      </c>
      <c r="H297" s="21">
        <f>ROUND(RAND()*4+6,1)</f>
      </c>
      <c r="I297" s="20" t="s">
        <v>36</v>
      </c>
      <c r="J297" s="23">
        <f>ROUND(95*1,0)&amp;"%"</f>
      </c>
    </row>
    <row x14ac:dyDescent="0.25" r="298" customHeight="1" ht="17.25">
      <c r="A298" s="17" t="s">
        <v>9747</v>
      </c>
      <c r="B298" s="17" t="s">
        <v>484</v>
      </c>
      <c r="C298" s="17" t="s">
        <v>95</v>
      </c>
      <c r="D298" s="17" t="s">
        <v>39</v>
      </c>
      <c r="E298" s="18">
        <f>ROUND(13195*1.05,2)</f>
      </c>
      <c r="F298" s="17" t="s">
        <v>40</v>
      </c>
      <c r="G298" s="17" t="s">
        <v>24</v>
      </c>
      <c r="H298" s="18">
        <f>ROUND(RAND()*4+6,1)</f>
      </c>
      <c r="I298" s="17" t="s">
        <v>41</v>
      </c>
      <c r="J298" s="19">
        <f>ROUND(61*1,0)&amp;"%"</f>
      </c>
    </row>
    <row x14ac:dyDescent="0.25" r="299" customHeight="1" ht="17.25">
      <c r="A299" s="20" t="s">
        <v>9748</v>
      </c>
      <c r="B299" s="20" t="s">
        <v>486</v>
      </c>
      <c r="C299" s="20" t="s">
        <v>95</v>
      </c>
      <c r="D299" s="20" t="s">
        <v>67</v>
      </c>
      <c r="E299" s="21">
        <f>ROUND(16889*1.05,2)</f>
      </c>
      <c r="F299" s="20" t="s">
        <v>44</v>
      </c>
      <c r="G299" s="20" t="s">
        <v>30</v>
      </c>
      <c r="H299" s="21">
        <f>ROUND(RAND()*4+6,1)</f>
      </c>
      <c r="I299" s="20" t="s">
        <v>45</v>
      </c>
      <c r="J299" s="23">
        <f>ROUND(66*1,0)&amp;"%"</f>
      </c>
    </row>
    <row x14ac:dyDescent="0.25" r="300" customHeight="1" ht="17.25">
      <c r="A300" s="17" t="s">
        <v>9749</v>
      </c>
      <c r="B300" s="17" t="s">
        <v>488</v>
      </c>
      <c r="C300" s="17" t="s">
        <v>95</v>
      </c>
      <c r="D300" s="17" t="s">
        <v>16</v>
      </c>
      <c r="E300" s="18">
        <f>ROUND(15139*1.05,2)</f>
      </c>
      <c r="F300" s="17" t="s">
        <v>48</v>
      </c>
      <c r="G300" s="17" t="s">
        <v>18</v>
      </c>
      <c r="H300" s="18">
        <f>ROUND(RAND()*4+6,1)</f>
      </c>
      <c r="I300" s="17" t="s">
        <v>19</v>
      </c>
      <c r="J300" s="19">
        <f>ROUND(83*1,0)&amp;"%"</f>
      </c>
    </row>
    <row x14ac:dyDescent="0.25" r="301" customHeight="1" ht="17.25">
      <c r="A301" s="20" t="s">
        <v>9750</v>
      </c>
      <c r="B301" s="20" t="s">
        <v>490</v>
      </c>
      <c r="C301" s="20" t="s">
        <v>95</v>
      </c>
      <c r="D301" s="20" t="s">
        <v>22</v>
      </c>
      <c r="E301" s="21">
        <f>ROUND(16551*1.05,2)</f>
      </c>
      <c r="F301" s="20" t="s">
        <v>51</v>
      </c>
      <c r="G301" s="20" t="s">
        <v>24</v>
      </c>
      <c r="H301" s="21">
        <f>ROUND(RAND()*4+6,1)</f>
      </c>
      <c r="I301" s="20" t="s">
        <v>25</v>
      </c>
      <c r="J301" s="23">
        <f>ROUND(94*1,0)&amp;"%"</f>
      </c>
    </row>
    <row x14ac:dyDescent="0.25" r="302" customHeight="1" ht="17.25">
      <c r="A302" s="24" t="s">
        <v>491</v>
      </c>
      <c r="B302" s="24"/>
      <c r="C302" s="24"/>
      <c r="D302" s="24"/>
      <c r="E302" s="25">
        <v>8</v>
      </c>
      <c r="F302" s="9"/>
      <c r="G302" s="9"/>
      <c r="H302" s="10"/>
      <c r="I302" s="9"/>
      <c r="J302" s="9"/>
    </row>
    <row x14ac:dyDescent="0.25" r="303" customHeight="1" ht="17.25">
      <c r="A303" s="7"/>
      <c r="B303" s="7"/>
      <c r="C303" s="7"/>
      <c r="D303" s="7"/>
      <c r="E303" s="8"/>
      <c r="F303" s="9"/>
      <c r="G303" s="9"/>
      <c r="H303" s="10"/>
      <c r="I303" s="9"/>
      <c r="J303" s="9"/>
    </row>
    <row x14ac:dyDescent="0.25" r="304" customHeight="1" ht="17.25">
      <c r="A304" s="11" t="s">
        <v>9751</v>
      </c>
      <c r="B304" s="11"/>
      <c r="C304" s="11"/>
      <c r="D304" s="11"/>
      <c r="E304" s="12"/>
      <c r="F304" s="11"/>
      <c r="G304" s="11"/>
      <c r="H304" s="13"/>
      <c r="I304" s="11"/>
      <c r="J304" s="11"/>
    </row>
    <row x14ac:dyDescent="0.25" r="305" customHeight="1" ht="17.25">
      <c r="A305" s="14" t="s">
        <v>3</v>
      </c>
      <c r="B305" s="14" t="s">
        <v>4</v>
      </c>
      <c r="C305" s="14" t="s">
        <v>5</v>
      </c>
      <c r="D305" s="14" t="s">
        <v>6</v>
      </c>
      <c r="E305" s="15" t="s">
        <v>7</v>
      </c>
      <c r="F305" s="14" t="s">
        <v>8</v>
      </c>
      <c r="G305" s="14" t="s">
        <v>9</v>
      </c>
      <c r="H305" s="16" t="s">
        <v>10</v>
      </c>
      <c r="I305" s="14" t="s">
        <v>11</v>
      </c>
      <c r="J305" s="14" t="s">
        <v>12</v>
      </c>
    </row>
    <row x14ac:dyDescent="0.25" r="306" customHeight="1" ht="17.25">
      <c r="A306" s="17" t="s">
        <v>9752</v>
      </c>
      <c r="B306" s="17" t="s">
        <v>494</v>
      </c>
      <c r="C306" s="17" t="s">
        <v>114</v>
      </c>
      <c r="D306" s="17" t="s">
        <v>16</v>
      </c>
      <c r="E306" s="18">
        <f>ROUND(6303*1.05,2)</f>
      </c>
      <c r="F306" s="17" t="s">
        <v>17</v>
      </c>
      <c r="G306" s="17" t="s">
        <v>18</v>
      </c>
      <c r="H306" s="18">
        <f>ROUND(RAND()*4+6,1)</f>
      </c>
      <c r="I306" s="17" t="s">
        <v>19</v>
      </c>
      <c r="J306" s="19">
        <f>ROUND(87*1,0)&amp;"%"</f>
      </c>
    </row>
    <row x14ac:dyDescent="0.25" r="307" customHeight="1" ht="17.25">
      <c r="A307" s="20" t="s">
        <v>9753</v>
      </c>
      <c r="B307" s="20" t="s">
        <v>496</v>
      </c>
      <c r="C307" s="20" t="s">
        <v>114</v>
      </c>
      <c r="D307" s="20" t="s">
        <v>22</v>
      </c>
      <c r="E307" s="22">
        <f>ROUND(7240*1.05,2)</f>
      </c>
      <c r="F307" s="20" t="s">
        <v>23</v>
      </c>
      <c r="G307" s="20" t="s">
        <v>24</v>
      </c>
      <c r="H307" s="21">
        <f>ROUND(RAND()*4+6,1)</f>
      </c>
      <c r="I307" s="20" t="s">
        <v>25</v>
      </c>
      <c r="J307" s="23">
        <f>ROUND(76*1,0)&amp;"%"</f>
      </c>
    </row>
    <row x14ac:dyDescent="0.25" r="308" customHeight="1" ht="17.25">
      <c r="A308" s="17" t="s">
        <v>9754</v>
      </c>
      <c r="B308" s="17" t="s">
        <v>498</v>
      </c>
      <c r="C308" s="17" t="s">
        <v>114</v>
      </c>
      <c r="D308" s="17" t="s">
        <v>28</v>
      </c>
      <c r="E308" s="18">
        <f>ROUND(11995*1.05,2)</f>
      </c>
      <c r="F308" s="17" t="s">
        <v>29</v>
      </c>
      <c r="G308" s="17" t="s">
        <v>30</v>
      </c>
      <c r="H308" s="18">
        <f>ROUND(RAND()*4+6,1)</f>
      </c>
      <c r="I308" s="17" t="s">
        <v>31</v>
      </c>
      <c r="J308" s="19">
        <f>ROUND(74*1,0)&amp;"%"</f>
      </c>
    </row>
    <row x14ac:dyDescent="0.25" r="309" customHeight="1" ht="17.25">
      <c r="A309" s="20" t="s">
        <v>9755</v>
      </c>
      <c r="B309" s="20" t="s">
        <v>500</v>
      </c>
      <c r="C309" s="20" t="s">
        <v>114</v>
      </c>
      <c r="D309" s="20" t="s">
        <v>34</v>
      </c>
      <c r="E309" s="21">
        <f>ROUND(10667*1.05,2)</f>
      </c>
      <c r="F309" s="20" t="s">
        <v>35</v>
      </c>
      <c r="G309" s="20" t="s">
        <v>18</v>
      </c>
      <c r="H309" s="21">
        <f>ROUND(RAND()*4+6,1)</f>
      </c>
      <c r="I309" s="20" t="s">
        <v>36</v>
      </c>
      <c r="J309" s="23">
        <f>ROUND(68*1,0)&amp;"%"</f>
      </c>
    </row>
    <row x14ac:dyDescent="0.25" r="310" customHeight="1" ht="17.25">
      <c r="A310" s="17" t="s">
        <v>9756</v>
      </c>
      <c r="B310" s="17" t="s">
        <v>502</v>
      </c>
      <c r="C310" s="17" t="s">
        <v>114</v>
      </c>
      <c r="D310" s="17" t="s">
        <v>39</v>
      </c>
      <c r="E310" s="18">
        <f>ROUND(16752*1.05,2)</f>
      </c>
      <c r="F310" s="17" t="s">
        <v>40</v>
      </c>
      <c r="G310" s="17" t="s">
        <v>24</v>
      </c>
      <c r="H310" s="18">
        <f>ROUND(RAND()*4+6,1)</f>
      </c>
      <c r="I310" s="17" t="s">
        <v>41</v>
      </c>
      <c r="J310" s="19">
        <f>ROUND(77*1,0)&amp;"%"</f>
      </c>
    </row>
    <row x14ac:dyDescent="0.25" r="311" customHeight="1" ht="17.25">
      <c r="A311" s="20" t="s">
        <v>9757</v>
      </c>
      <c r="B311" s="20" t="s">
        <v>504</v>
      </c>
      <c r="C311" s="20" t="s">
        <v>114</v>
      </c>
      <c r="D311" s="20" t="s">
        <v>67</v>
      </c>
      <c r="E311" s="21">
        <f>ROUND(5913*1.05,2)</f>
      </c>
      <c r="F311" s="20" t="s">
        <v>44</v>
      </c>
      <c r="G311" s="20" t="s">
        <v>30</v>
      </c>
      <c r="H311" s="21">
        <f>ROUND(RAND()*4+6,1)</f>
      </c>
      <c r="I311" s="20" t="s">
        <v>45</v>
      </c>
      <c r="J311" s="23">
        <f>ROUND(78*1,0)&amp;"%"</f>
      </c>
    </row>
    <row x14ac:dyDescent="0.25" r="312" customHeight="1" ht="17.25">
      <c r="A312" s="17" t="s">
        <v>9758</v>
      </c>
      <c r="B312" s="17" t="s">
        <v>506</v>
      </c>
      <c r="C312" s="17" t="s">
        <v>114</v>
      </c>
      <c r="D312" s="17" t="s">
        <v>16</v>
      </c>
      <c r="E312" s="18">
        <f>ROUND(12584*1.05,2)</f>
      </c>
      <c r="F312" s="17" t="s">
        <v>48</v>
      </c>
      <c r="G312" s="17" t="s">
        <v>18</v>
      </c>
      <c r="H312" s="18">
        <f>ROUND(RAND()*4+6,1)</f>
      </c>
      <c r="I312" s="17" t="s">
        <v>19</v>
      </c>
      <c r="J312" s="19">
        <f>ROUND(90*1,0)&amp;"%"</f>
      </c>
    </row>
    <row x14ac:dyDescent="0.25" r="313" customHeight="1" ht="17.25">
      <c r="A313" s="20" t="s">
        <v>9759</v>
      </c>
      <c r="B313" s="20" t="s">
        <v>508</v>
      </c>
      <c r="C313" s="20" t="s">
        <v>114</v>
      </c>
      <c r="D313" s="20" t="s">
        <v>22</v>
      </c>
      <c r="E313" s="21">
        <f>ROUND(17242*1.05,2)</f>
      </c>
      <c r="F313" s="20" t="s">
        <v>51</v>
      </c>
      <c r="G313" s="20" t="s">
        <v>24</v>
      </c>
      <c r="H313" s="21">
        <f>ROUND(RAND()*4+6,1)</f>
      </c>
      <c r="I313" s="20" t="s">
        <v>25</v>
      </c>
      <c r="J313" s="23">
        <f>ROUND(93*1,0)&amp;"%"</f>
      </c>
    </row>
    <row x14ac:dyDescent="0.25" r="314" customHeight="1" ht="17.25">
      <c r="A314" s="24" t="s">
        <v>509</v>
      </c>
      <c r="B314" s="24"/>
      <c r="C314" s="24"/>
      <c r="D314" s="24"/>
      <c r="E314" s="25">
        <v>8</v>
      </c>
      <c r="F314" s="9"/>
      <c r="G314" s="9"/>
      <c r="H314" s="10"/>
      <c r="I314" s="9"/>
      <c r="J314" s="9"/>
    </row>
    <row x14ac:dyDescent="0.25" r="315" customHeight="1" ht="17.25">
      <c r="A315" s="7"/>
      <c r="B315" s="7"/>
      <c r="C315" s="7"/>
      <c r="D315" s="7"/>
      <c r="E315" s="8"/>
      <c r="F315" s="9"/>
      <c r="G315" s="9"/>
      <c r="H315" s="10"/>
      <c r="I315" s="9"/>
      <c r="J315" s="9"/>
    </row>
    <row x14ac:dyDescent="0.25" r="316" customHeight="1" ht="17.25">
      <c r="A316" s="11" t="s">
        <v>9760</v>
      </c>
      <c r="B316" s="11"/>
      <c r="C316" s="11"/>
      <c r="D316" s="11"/>
      <c r="E316" s="12"/>
      <c r="F316" s="11"/>
      <c r="G316" s="11"/>
      <c r="H316" s="13"/>
      <c r="I316" s="11"/>
      <c r="J316" s="11"/>
    </row>
    <row x14ac:dyDescent="0.25" r="317" customHeight="1" ht="17.25">
      <c r="A317" s="14" t="s">
        <v>3</v>
      </c>
      <c r="B317" s="14" t="s">
        <v>4</v>
      </c>
      <c r="C317" s="14" t="s">
        <v>5</v>
      </c>
      <c r="D317" s="14" t="s">
        <v>6</v>
      </c>
      <c r="E317" s="15" t="s">
        <v>7</v>
      </c>
      <c r="F317" s="14" t="s">
        <v>8</v>
      </c>
      <c r="G317" s="14" t="s">
        <v>9</v>
      </c>
      <c r="H317" s="16" t="s">
        <v>10</v>
      </c>
      <c r="I317" s="14" t="s">
        <v>11</v>
      </c>
      <c r="J317" s="14" t="s">
        <v>12</v>
      </c>
    </row>
    <row x14ac:dyDescent="0.25" r="318" customHeight="1" ht="17.25">
      <c r="A318" s="17" t="s">
        <v>9761</v>
      </c>
      <c r="B318" s="17" t="s">
        <v>512</v>
      </c>
      <c r="C318" s="17" t="s">
        <v>133</v>
      </c>
      <c r="D318" s="17" t="s">
        <v>16</v>
      </c>
      <c r="E318" s="18">
        <f>ROUND(13547*1.05,2)</f>
      </c>
      <c r="F318" s="17" t="s">
        <v>17</v>
      </c>
      <c r="G318" s="17" t="s">
        <v>18</v>
      </c>
      <c r="H318" s="18">
        <f>ROUND(RAND()*4+6,1)</f>
      </c>
      <c r="I318" s="17" t="s">
        <v>19</v>
      </c>
      <c r="J318" s="19">
        <f>ROUND(68*1,0)&amp;"%"</f>
      </c>
    </row>
    <row x14ac:dyDescent="0.25" r="319" customHeight="1" ht="17.25">
      <c r="A319" s="20" t="s">
        <v>9762</v>
      </c>
      <c r="B319" s="20" t="s">
        <v>514</v>
      </c>
      <c r="C319" s="20" t="s">
        <v>133</v>
      </c>
      <c r="D319" s="20" t="s">
        <v>22</v>
      </c>
      <c r="E319" s="21">
        <f>ROUND(12509*1.05,2)</f>
      </c>
      <c r="F319" s="20" t="s">
        <v>23</v>
      </c>
      <c r="G319" s="20" t="s">
        <v>24</v>
      </c>
      <c r="H319" s="21">
        <f>ROUND(RAND()*4+6,1)</f>
      </c>
      <c r="I319" s="20" t="s">
        <v>25</v>
      </c>
      <c r="J319" s="23">
        <f>ROUND(95*1,0)&amp;"%"</f>
      </c>
    </row>
    <row x14ac:dyDescent="0.25" r="320" customHeight="1" ht="17.25">
      <c r="A320" s="17" t="s">
        <v>9763</v>
      </c>
      <c r="B320" s="17" t="s">
        <v>516</v>
      </c>
      <c r="C320" s="17" t="s">
        <v>133</v>
      </c>
      <c r="D320" s="17" t="s">
        <v>28</v>
      </c>
      <c r="E320" s="18">
        <f>ROUND(17886*1.05,2)</f>
      </c>
      <c r="F320" s="17" t="s">
        <v>29</v>
      </c>
      <c r="G320" s="17" t="s">
        <v>30</v>
      </c>
      <c r="H320" s="18">
        <f>ROUND(RAND()*4+6,1)</f>
      </c>
      <c r="I320" s="17" t="s">
        <v>31</v>
      </c>
      <c r="J320" s="19">
        <f>ROUND(94*1,0)&amp;"%"</f>
      </c>
    </row>
    <row x14ac:dyDescent="0.25" r="321" customHeight="1" ht="17.25">
      <c r="A321" s="20" t="s">
        <v>9764</v>
      </c>
      <c r="B321" s="20" t="s">
        <v>518</v>
      </c>
      <c r="C321" s="20" t="s">
        <v>133</v>
      </c>
      <c r="D321" s="20" t="s">
        <v>34</v>
      </c>
      <c r="E321" s="21">
        <f>ROUND(13754*1.05,2)</f>
      </c>
      <c r="F321" s="20" t="s">
        <v>35</v>
      </c>
      <c r="G321" s="20" t="s">
        <v>18</v>
      </c>
      <c r="H321" s="22">
        <f>ROUND(RAND()*4+6,1)</f>
      </c>
      <c r="I321" s="20" t="s">
        <v>36</v>
      </c>
      <c r="J321" s="23">
        <f>ROUND(68*1,0)&amp;"%"</f>
      </c>
    </row>
    <row x14ac:dyDescent="0.25" r="322" customHeight="1" ht="17.25">
      <c r="A322" s="17" t="s">
        <v>9765</v>
      </c>
      <c r="B322" s="17" t="s">
        <v>520</v>
      </c>
      <c r="C322" s="17" t="s">
        <v>133</v>
      </c>
      <c r="D322" s="17" t="s">
        <v>39</v>
      </c>
      <c r="E322" s="18">
        <f>ROUND(12173*1.05,2)</f>
      </c>
      <c r="F322" s="17" t="s">
        <v>40</v>
      </c>
      <c r="G322" s="17" t="s">
        <v>24</v>
      </c>
      <c r="H322" s="18">
        <f>ROUND(RAND()*4+6,1)</f>
      </c>
      <c r="I322" s="17" t="s">
        <v>41</v>
      </c>
      <c r="J322" s="19">
        <f>ROUND(84*1,0)&amp;"%"</f>
      </c>
    </row>
    <row x14ac:dyDescent="0.25" r="323" customHeight="1" ht="17.25">
      <c r="A323" s="20" t="s">
        <v>9766</v>
      </c>
      <c r="B323" s="20" t="s">
        <v>522</v>
      </c>
      <c r="C323" s="20" t="s">
        <v>133</v>
      </c>
      <c r="D323" s="20" t="s">
        <v>67</v>
      </c>
      <c r="E323" s="21">
        <f>ROUND(14976*1.05,2)</f>
      </c>
      <c r="F323" s="20" t="s">
        <v>44</v>
      </c>
      <c r="G323" s="20" t="s">
        <v>30</v>
      </c>
      <c r="H323" s="21">
        <f>ROUND(RAND()*4+6,1)</f>
      </c>
      <c r="I323" s="20" t="s">
        <v>45</v>
      </c>
      <c r="J323" s="23">
        <f>ROUND(73*1,0)&amp;"%"</f>
      </c>
    </row>
    <row x14ac:dyDescent="0.25" r="324" customHeight="1" ht="17.25">
      <c r="A324" s="17" t="s">
        <v>9767</v>
      </c>
      <c r="B324" s="17" t="s">
        <v>524</v>
      </c>
      <c r="C324" s="17" t="s">
        <v>133</v>
      </c>
      <c r="D324" s="17" t="s">
        <v>16</v>
      </c>
      <c r="E324" s="18">
        <f>ROUND(6839*1.05,2)</f>
      </c>
      <c r="F324" s="17" t="s">
        <v>48</v>
      </c>
      <c r="G324" s="17" t="s">
        <v>18</v>
      </c>
      <c r="H324" s="18">
        <f>ROUND(RAND()*4+6,1)</f>
      </c>
      <c r="I324" s="17" t="s">
        <v>19</v>
      </c>
      <c r="J324" s="19">
        <f>ROUND(89*1,0)&amp;"%"</f>
      </c>
    </row>
    <row x14ac:dyDescent="0.25" r="325" customHeight="1" ht="17.25">
      <c r="A325" s="20" t="s">
        <v>9768</v>
      </c>
      <c r="B325" s="20" t="s">
        <v>526</v>
      </c>
      <c r="C325" s="20" t="s">
        <v>133</v>
      </c>
      <c r="D325" s="20" t="s">
        <v>22</v>
      </c>
      <c r="E325" s="21">
        <f>ROUND(6806*1.05,2)</f>
      </c>
      <c r="F325" s="20" t="s">
        <v>51</v>
      </c>
      <c r="G325" s="20" t="s">
        <v>24</v>
      </c>
      <c r="H325" s="22">
        <f>ROUND(RAND()*4+6,1)</f>
      </c>
      <c r="I325" s="20" t="s">
        <v>25</v>
      </c>
      <c r="J325" s="23">
        <f>ROUND(88*1,0)&amp;"%"</f>
      </c>
    </row>
    <row x14ac:dyDescent="0.25" r="326" customHeight="1" ht="17.25">
      <c r="A326" s="24" t="s">
        <v>527</v>
      </c>
      <c r="B326" s="24"/>
      <c r="C326" s="24"/>
      <c r="D326" s="24"/>
      <c r="E326" s="25">
        <v>8</v>
      </c>
      <c r="F326" s="9"/>
      <c r="G326" s="9"/>
      <c r="H326" s="10"/>
      <c r="I326" s="9"/>
      <c r="J326" s="9"/>
    </row>
    <row x14ac:dyDescent="0.25" r="327" customHeight="1" ht="17.25">
      <c r="A327" s="7"/>
      <c r="B327" s="7"/>
      <c r="C327" s="7"/>
      <c r="D327" s="7"/>
      <c r="E327" s="8"/>
      <c r="F327" s="9"/>
      <c r="G327" s="9"/>
      <c r="H327" s="10"/>
      <c r="I327" s="9"/>
      <c r="J327" s="9"/>
    </row>
    <row x14ac:dyDescent="0.25" r="328" customHeight="1" ht="17.25">
      <c r="A328" s="11" t="s">
        <v>9769</v>
      </c>
      <c r="B328" s="11"/>
      <c r="C328" s="11"/>
      <c r="D328" s="11"/>
      <c r="E328" s="12"/>
      <c r="F328" s="11"/>
      <c r="G328" s="11"/>
      <c r="H328" s="13"/>
      <c r="I328" s="11"/>
      <c r="J328" s="11"/>
    </row>
    <row x14ac:dyDescent="0.25" r="329" customHeight="1" ht="17.25">
      <c r="A329" s="14" t="s">
        <v>3</v>
      </c>
      <c r="B329" s="14" t="s">
        <v>4</v>
      </c>
      <c r="C329" s="14" t="s">
        <v>5</v>
      </c>
      <c r="D329" s="14" t="s">
        <v>6</v>
      </c>
      <c r="E329" s="15" t="s">
        <v>7</v>
      </c>
      <c r="F329" s="14" t="s">
        <v>8</v>
      </c>
      <c r="G329" s="14" t="s">
        <v>9</v>
      </c>
      <c r="H329" s="16" t="s">
        <v>10</v>
      </c>
      <c r="I329" s="14" t="s">
        <v>11</v>
      </c>
      <c r="J329" s="14" t="s">
        <v>12</v>
      </c>
    </row>
    <row x14ac:dyDescent="0.25" r="330" customHeight="1" ht="17.25">
      <c r="A330" s="17" t="s">
        <v>9770</v>
      </c>
      <c r="B330" s="17" t="s">
        <v>530</v>
      </c>
      <c r="C330" s="17" t="s">
        <v>152</v>
      </c>
      <c r="D330" s="17" t="s">
        <v>16</v>
      </c>
      <c r="E330" s="18">
        <f>ROUND(16895*1.05,2)</f>
      </c>
      <c r="F330" s="17" t="s">
        <v>17</v>
      </c>
      <c r="G330" s="17" t="s">
        <v>18</v>
      </c>
      <c r="H330" s="18">
        <f>ROUND(RAND()*4+6,1)</f>
      </c>
      <c r="I330" s="17" t="s">
        <v>19</v>
      </c>
      <c r="J330" s="19">
        <f>ROUND(95*1,0)&amp;"%"</f>
      </c>
    </row>
    <row x14ac:dyDescent="0.25" r="331" customHeight="1" ht="17.25">
      <c r="A331" s="20" t="s">
        <v>9771</v>
      </c>
      <c r="B331" s="20" t="s">
        <v>532</v>
      </c>
      <c r="C331" s="20" t="s">
        <v>152</v>
      </c>
      <c r="D331" s="20" t="s">
        <v>22</v>
      </c>
      <c r="E331" s="21">
        <f>ROUND(8736*1.05,2)</f>
      </c>
      <c r="F331" s="20" t="s">
        <v>23</v>
      </c>
      <c r="G331" s="20" t="s">
        <v>24</v>
      </c>
      <c r="H331" s="21">
        <f>ROUND(RAND()*4+6,1)</f>
      </c>
      <c r="I331" s="20" t="s">
        <v>25</v>
      </c>
      <c r="J331" s="23">
        <f>ROUND(94*1,0)&amp;"%"</f>
      </c>
    </row>
    <row x14ac:dyDescent="0.25" r="332" customHeight="1" ht="17.25">
      <c r="A332" s="17" t="s">
        <v>9772</v>
      </c>
      <c r="B332" s="17" t="s">
        <v>534</v>
      </c>
      <c r="C332" s="17" t="s">
        <v>152</v>
      </c>
      <c r="D332" s="17" t="s">
        <v>28</v>
      </c>
      <c r="E332" s="18">
        <f>ROUND(15727*1.05,2)</f>
      </c>
      <c r="F332" s="17" t="s">
        <v>29</v>
      </c>
      <c r="G332" s="17" t="s">
        <v>30</v>
      </c>
      <c r="H332" s="18">
        <f>ROUND(RAND()*4+6,1)</f>
      </c>
      <c r="I332" s="17" t="s">
        <v>31</v>
      </c>
      <c r="J332" s="19">
        <f>ROUND(94*1,0)&amp;"%"</f>
      </c>
    </row>
    <row x14ac:dyDescent="0.25" r="333" customHeight="1" ht="17.25">
      <c r="A333" s="20" t="s">
        <v>9773</v>
      </c>
      <c r="B333" s="20" t="s">
        <v>536</v>
      </c>
      <c r="C333" s="20" t="s">
        <v>152</v>
      </c>
      <c r="D333" s="20" t="s">
        <v>34</v>
      </c>
      <c r="E333" s="21">
        <f>ROUND(5711*1.05,2)</f>
      </c>
      <c r="F333" s="20" t="s">
        <v>35</v>
      </c>
      <c r="G333" s="20" t="s">
        <v>18</v>
      </c>
      <c r="H333" s="21">
        <f>ROUND(RAND()*4+6,1)</f>
      </c>
      <c r="I333" s="20" t="s">
        <v>36</v>
      </c>
      <c r="J333" s="23">
        <f>ROUND(78*1,0)&amp;"%"</f>
      </c>
    </row>
    <row x14ac:dyDescent="0.25" r="334" customHeight="1" ht="17.25">
      <c r="A334" s="17" t="s">
        <v>9774</v>
      </c>
      <c r="B334" s="17" t="s">
        <v>538</v>
      </c>
      <c r="C334" s="17" t="s">
        <v>152</v>
      </c>
      <c r="D334" s="17" t="s">
        <v>39</v>
      </c>
      <c r="E334" s="18">
        <f>ROUND(12873*1.05,2)</f>
      </c>
      <c r="F334" s="17" t="s">
        <v>40</v>
      </c>
      <c r="G334" s="17" t="s">
        <v>24</v>
      </c>
      <c r="H334" s="18">
        <f>ROUND(RAND()*4+6,1)</f>
      </c>
      <c r="I334" s="17" t="s">
        <v>41</v>
      </c>
      <c r="J334" s="19">
        <f>ROUND(71*1,0)&amp;"%"</f>
      </c>
    </row>
    <row x14ac:dyDescent="0.25" r="335" customHeight="1" ht="17.25">
      <c r="A335" s="20" t="s">
        <v>9775</v>
      </c>
      <c r="B335" s="20" t="s">
        <v>540</v>
      </c>
      <c r="C335" s="20" t="s">
        <v>152</v>
      </c>
      <c r="D335" s="20" t="s">
        <v>67</v>
      </c>
      <c r="E335" s="21">
        <f>ROUND(8110*1.05,2)</f>
      </c>
      <c r="F335" s="20" t="s">
        <v>44</v>
      </c>
      <c r="G335" s="20" t="s">
        <v>30</v>
      </c>
      <c r="H335" s="21">
        <f>ROUND(RAND()*4+6,1)</f>
      </c>
      <c r="I335" s="20" t="s">
        <v>45</v>
      </c>
      <c r="J335" s="23">
        <f>ROUND(68*1,0)&amp;"%"</f>
      </c>
    </row>
    <row x14ac:dyDescent="0.25" r="336" customHeight="1" ht="17.25">
      <c r="A336" s="17" t="s">
        <v>9776</v>
      </c>
      <c r="B336" s="17" t="s">
        <v>542</v>
      </c>
      <c r="C336" s="17" t="s">
        <v>152</v>
      </c>
      <c r="D336" s="17" t="s">
        <v>16</v>
      </c>
      <c r="E336" s="26">
        <f>ROUND(13620*1.05,2)</f>
      </c>
      <c r="F336" s="17" t="s">
        <v>48</v>
      </c>
      <c r="G336" s="17" t="s">
        <v>18</v>
      </c>
      <c r="H336" s="18">
        <f>ROUND(RAND()*4+6,1)</f>
      </c>
      <c r="I336" s="17" t="s">
        <v>19</v>
      </c>
      <c r="J336" s="19">
        <f>ROUND(83*1,0)&amp;"%"</f>
      </c>
    </row>
    <row x14ac:dyDescent="0.25" r="337" customHeight="1" ht="17.25">
      <c r="A337" s="20" t="s">
        <v>9777</v>
      </c>
      <c r="B337" s="20" t="s">
        <v>544</v>
      </c>
      <c r="C337" s="20" t="s">
        <v>152</v>
      </c>
      <c r="D337" s="20" t="s">
        <v>22</v>
      </c>
      <c r="E337" s="21">
        <f>ROUND(10019*1.05,2)</f>
      </c>
      <c r="F337" s="20" t="s">
        <v>51</v>
      </c>
      <c r="G337" s="20" t="s">
        <v>24</v>
      </c>
      <c r="H337" s="21">
        <f>ROUND(RAND()*4+6,1)</f>
      </c>
      <c r="I337" s="20" t="s">
        <v>25</v>
      </c>
      <c r="J337" s="23">
        <f>ROUND(72*1,0)&amp;"%"</f>
      </c>
    </row>
    <row x14ac:dyDescent="0.25" r="338" customHeight="1" ht="17.25">
      <c r="A338" s="24" t="s">
        <v>545</v>
      </c>
      <c r="B338" s="24"/>
      <c r="C338" s="24"/>
      <c r="D338" s="24"/>
      <c r="E338" s="25">
        <v>8</v>
      </c>
      <c r="F338" s="9"/>
      <c r="G338" s="9"/>
      <c r="H338" s="10"/>
      <c r="I338" s="9"/>
      <c r="J338" s="9"/>
    </row>
    <row x14ac:dyDescent="0.25" r="339" customHeight="1" ht="17.25">
      <c r="A339" s="7"/>
      <c r="B339" s="7"/>
      <c r="C339" s="7"/>
      <c r="D339" s="7"/>
      <c r="E339" s="8"/>
      <c r="F339" s="9"/>
      <c r="G339" s="9"/>
      <c r="H339" s="10"/>
      <c r="I339" s="9"/>
      <c r="J339" s="9"/>
    </row>
    <row x14ac:dyDescent="0.25" r="340" customHeight="1" ht="17.25">
      <c r="A340" s="11" t="s">
        <v>9778</v>
      </c>
      <c r="B340" s="11"/>
      <c r="C340" s="11"/>
      <c r="D340" s="11"/>
      <c r="E340" s="12"/>
      <c r="F340" s="11"/>
      <c r="G340" s="11"/>
      <c r="H340" s="13"/>
      <c r="I340" s="11"/>
      <c r="J340" s="11"/>
    </row>
    <row x14ac:dyDescent="0.25" r="341" customHeight="1" ht="17.25">
      <c r="A341" s="14" t="s">
        <v>3</v>
      </c>
      <c r="B341" s="14" t="s">
        <v>4</v>
      </c>
      <c r="C341" s="14" t="s">
        <v>5</v>
      </c>
      <c r="D341" s="14" t="s">
        <v>6</v>
      </c>
      <c r="E341" s="15" t="s">
        <v>7</v>
      </c>
      <c r="F341" s="14" t="s">
        <v>8</v>
      </c>
      <c r="G341" s="14" t="s">
        <v>9</v>
      </c>
      <c r="H341" s="16" t="s">
        <v>10</v>
      </c>
      <c r="I341" s="14" t="s">
        <v>11</v>
      </c>
      <c r="J341" s="14" t="s">
        <v>12</v>
      </c>
    </row>
    <row x14ac:dyDescent="0.25" r="342" customHeight="1" ht="17.25">
      <c r="A342" s="17" t="s">
        <v>9779</v>
      </c>
      <c r="B342" s="17" t="s">
        <v>548</v>
      </c>
      <c r="C342" s="17" t="s">
        <v>15</v>
      </c>
      <c r="D342" s="17" t="s">
        <v>16</v>
      </c>
      <c r="E342" s="18">
        <f>ROUND(7854*1.05,2)</f>
      </c>
      <c r="F342" s="17" t="s">
        <v>17</v>
      </c>
      <c r="G342" s="17" t="s">
        <v>18</v>
      </c>
      <c r="H342" s="18">
        <f>ROUND(RAND()*4+6,1)</f>
      </c>
      <c r="I342" s="17" t="s">
        <v>19</v>
      </c>
      <c r="J342" s="19">
        <f>ROUND(67*1,0)&amp;"%"</f>
      </c>
    </row>
    <row x14ac:dyDescent="0.25" r="343" customHeight="1" ht="17.25">
      <c r="A343" s="20" t="s">
        <v>9780</v>
      </c>
      <c r="B343" s="20" t="s">
        <v>550</v>
      </c>
      <c r="C343" s="20" t="s">
        <v>15</v>
      </c>
      <c r="D343" s="20" t="s">
        <v>22</v>
      </c>
      <c r="E343" s="21">
        <f>ROUND(17784*1.05,2)</f>
      </c>
      <c r="F343" s="20" t="s">
        <v>23</v>
      </c>
      <c r="G343" s="20" t="s">
        <v>24</v>
      </c>
      <c r="H343" s="21">
        <f>ROUND(RAND()*4+6,1)</f>
      </c>
      <c r="I343" s="20" t="s">
        <v>25</v>
      </c>
      <c r="J343" s="23">
        <f>ROUND(63*1,0)&amp;"%"</f>
      </c>
    </row>
    <row x14ac:dyDescent="0.25" r="344" customHeight="1" ht="17.25">
      <c r="A344" s="17" t="s">
        <v>9781</v>
      </c>
      <c r="B344" s="17" t="s">
        <v>552</v>
      </c>
      <c r="C344" s="17" t="s">
        <v>15</v>
      </c>
      <c r="D344" s="17" t="s">
        <v>28</v>
      </c>
      <c r="E344" s="18">
        <f>ROUND(14298*1.05,2)</f>
      </c>
      <c r="F344" s="17" t="s">
        <v>29</v>
      </c>
      <c r="G344" s="17" t="s">
        <v>30</v>
      </c>
      <c r="H344" s="18">
        <f>ROUND(RAND()*4+6,1)</f>
      </c>
      <c r="I344" s="17" t="s">
        <v>31</v>
      </c>
      <c r="J344" s="19">
        <f>ROUND(61*1,0)&amp;"%"</f>
      </c>
    </row>
    <row x14ac:dyDescent="0.25" r="345" customHeight="1" ht="17.25">
      <c r="A345" s="20" t="s">
        <v>9782</v>
      </c>
      <c r="B345" s="20" t="s">
        <v>554</v>
      </c>
      <c r="C345" s="20" t="s">
        <v>15</v>
      </c>
      <c r="D345" s="20" t="s">
        <v>34</v>
      </c>
      <c r="E345" s="21">
        <f>ROUND(6072*1.05,2)</f>
      </c>
      <c r="F345" s="20" t="s">
        <v>35</v>
      </c>
      <c r="G345" s="20" t="s">
        <v>18</v>
      </c>
      <c r="H345" s="21">
        <f>ROUND(RAND()*4+6,1)</f>
      </c>
      <c r="I345" s="20" t="s">
        <v>36</v>
      </c>
      <c r="J345" s="23">
        <f>ROUND(100*1,0)&amp;"%"</f>
      </c>
    </row>
    <row x14ac:dyDescent="0.25" r="346" customHeight="1" ht="17.25">
      <c r="A346" s="17" t="s">
        <v>9783</v>
      </c>
      <c r="B346" s="17" t="s">
        <v>556</v>
      </c>
      <c r="C346" s="17" t="s">
        <v>15</v>
      </c>
      <c r="D346" s="17" t="s">
        <v>39</v>
      </c>
      <c r="E346" s="18">
        <f>ROUND(13747*1.05,2)</f>
      </c>
      <c r="F346" s="17" t="s">
        <v>40</v>
      </c>
      <c r="G346" s="17" t="s">
        <v>24</v>
      </c>
      <c r="H346" s="18">
        <f>ROUND(RAND()*4+6,1)</f>
      </c>
      <c r="I346" s="17" t="s">
        <v>41</v>
      </c>
      <c r="J346" s="19">
        <f>ROUND(68*1,0)&amp;"%"</f>
      </c>
    </row>
    <row x14ac:dyDescent="0.25" r="347" customHeight="1" ht="17.25">
      <c r="A347" s="20" t="s">
        <v>9784</v>
      </c>
      <c r="B347" s="20" t="s">
        <v>558</v>
      </c>
      <c r="C347" s="20" t="s">
        <v>15</v>
      </c>
      <c r="D347" s="20" t="s">
        <v>67</v>
      </c>
      <c r="E347" s="21">
        <f>ROUND(14209*1.05,2)</f>
      </c>
      <c r="F347" s="20" t="s">
        <v>44</v>
      </c>
      <c r="G347" s="20" t="s">
        <v>30</v>
      </c>
      <c r="H347" s="21">
        <f>ROUND(RAND()*4+6,1)</f>
      </c>
      <c r="I347" s="20" t="s">
        <v>45</v>
      </c>
      <c r="J347" s="23">
        <f>ROUND(82*1,0)&amp;"%"</f>
      </c>
    </row>
    <row x14ac:dyDescent="0.25" r="348" customHeight="1" ht="17.25">
      <c r="A348" s="17" t="s">
        <v>9785</v>
      </c>
      <c r="B348" s="17" t="s">
        <v>560</v>
      </c>
      <c r="C348" s="17" t="s">
        <v>15</v>
      </c>
      <c r="D348" s="17" t="s">
        <v>16</v>
      </c>
      <c r="E348" s="18">
        <f>ROUND(5426*1.05,2)</f>
      </c>
      <c r="F348" s="17" t="s">
        <v>48</v>
      </c>
      <c r="G348" s="17" t="s">
        <v>18</v>
      </c>
      <c r="H348" s="18">
        <f>ROUND(RAND()*4+6,1)</f>
      </c>
      <c r="I348" s="17" t="s">
        <v>19</v>
      </c>
      <c r="J348" s="19">
        <f>ROUND(74*1,0)&amp;"%"</f>
      </c>
    </row>
    <row x14ac:dyDescent="0.25" r="349" customHeight="1" ht="17.25">
      <c r="A349" s="20" t="s">
        <v>9786</v>
      </c>
      <c r="B349" s="20" t="s">
        <v>562</v>
      </c>
      <c r="C349" s="20" t="s">
        <v>15</v>
      </c>
      <c r="D349" s="20" t="s">
        <v>22</v>
      </c>
      <c r="E349" s="21">
        <f>ROUND(10162*1.05,2)</f>
      </c>
      <c r="F349" s="20" t="s">
        <v>51</v>
      </c>
      <c r="G349" s="20" t="s">
        <v>24</v>
      </c>
      <c r="H349" s="21">
        <f>ROUND(RAND()*4+6,1)</f>
      </c>
      <c r="I349" s="20" t="s">
        <v>25</v>
      </c>
      <c r="J349" s="23">
        <f>ROUND(86*1,0)&amp;"%"</f>
      </c>
    </row>
    <row x14ac:dyDescent="0.25" r="350" customHeight="1" ht="17.25">
      <c r="A350" s="24" t="s">
        <v>563</v>
      </c>
      <c r="B350" s="24"/>
      <c r="C350" s="24"/>
      <c r="D350" s="24"/>
      <c r="E350" s="25">
        <v>8</v>
      </c>
      <c r="F350" s="9"/>
      <c r="G350" s="9"/>
      <c r="H350" s="10"/>
      <c r="I350" s="9"/>
      <c r="J350" s="9"/>
    </row>
    <row x14ac:dyDescent="0.25" r="351" customHeight="1" ht="17.25">
      <c r="A351" s="7"/>
      <c r="B351" s="7"/>
      <c r="C351" s="7"/>
      <c r="D351" s="7"/>
      <c r="E351" s="8"/>
      <c r="F351" s="9"/>
      <c r="G351" s="9"/>
      <c r="H351" s="10"/>
      <c r="I351" s="9"/>
      <c r="J351" s="9"/>
    </row>
    <row x14ac:dyDescent="0.25" r="352" customHeight="1" ht="17.25">
      <c r="A352" s="11" t="s">
        <v>9787</v>
      </c>
      <c r="B352" s="11"/>
      <c r="C352" s="11"/>
      <c r="D352" s="11"/>
      <c r="E352" s="12"/>
      <c r="F352" s="11"/>
      <c r="G352" s="11"/>
      <c r="H352" s="13"/>
      <c r="I352" s="11"/>
      <c r="J352" s="11"/>
    </row>
    <row x14ac:dyDescent="0.25" r="353" customHeight="1" ht="17.25">
      <c r="A353" s="14" t="s">
        <v>3</v>
      </c>
      <c r="B353" s="14" t="s">
        <v>4</v>
      </c>
      <c r="C353" s="14" t="s">
        <v>5</v>
      </c>
      <c r="D353" s="14" t="s">
        <v>6</v>
      </c>
      <c r="E353" s="15" t="s">
        <v>7</v>
      </c>
      <c r="F353" s="14" t="s">
        <v>8</v>
      </c>
      <c r="G353" s="14" t="s">
        <v>9</v>
      </c>
      <c r="H353" s="16" t="s">
        <v>10</v>
      </c>
      <c r="I353" s="14" t="s">
        <v>11</v>
      </c>
      <c r="J353" s="14" t="s">
        <v>12</v>
      </c>
    </row>
    <row x14ac:dyDescent="0.25" r="354" customHeight="1" ht="17.25">
      <c r="A354" s="17" t="s">
        <v>9788</v>
      </c>
      <c r="B354" s="17" t="s">
        <v>566</v>
      </c>
      <c r="C354" s="17" t="s">
        <v>56</v>
      </c>
      <c r="D354" s="17" t="s">
        <v>16</v>
      </c>
      <c r="E354" s="18">
        <f>ROUND(14053*1.05,2)</f>
      </c>
      <c r="F354" s="17" t="s">
        <v>17</v>
      </c>
      <c r="G354" s="17" t="s">
        <v>18</v>
      </c>
      <c r="H354" s="18">
        <f>ROUND(RAND()*4+6,1)</f>
      </c>
      <c r="I354" s="17" t="s">
        <v>19</v>
      </c>
      <c r="J354" s="19">
        <f>ROUND(64*1,0)&amp;"%"</f>
      </c>
    </row>
    <row x14ac:dyDescent="0.25" r="355" customHeight="1" ht="17.25">
      <c r="A355" s="20" t="s">
        <v>9789</v>
      </c>
      <c r="B355" s="20" t="s">
        <v>568</v>
      </c>
      <c r="C355" s="20" t="s">
        <v>56</v>
      </c>
      <c r="D355" s="20" t="s">
        <v>22</v>
      </c>
      <c r="E355" s="21">
        <f>ROUND(16866*1.05,2)</f>
      </c>
      <c r="F355" s="20" t="s">
        <v>23</v>
      </c>
      <c r="G355" s="20" t="s">
        <v>24</v>
      </c>
      <c r="H355" s="21">
        <f>ROUND(RAND()*4+6,1)</f>
      </c>
      <c r="I355" s="20" t="s">
        <v>25</v>
      </c>
      <c r="J355" s="23">
        <f>ROUND(67*1,0)&amp;"%"</f>
      </c>
    </row>
    <row x14ac:dyDescent="0.25" r="356" customHeight="1" ht="17.25">
      <c r="A356" s="17" t="s">
        <v>9790</v>
      </c>
      <c r="B356" s="17" t="s">
        <v>570</v>
      </c>
      <c r="C356" s="17" t="s">
        <v>56</v>
      </c>
      <c r="D356" s="17" t="s">
        <v>28</v>
      </c>
      <c r="E356" s="18">
        <f>ROUND(12448*1.05,2)</f>
      </c>
      <c r="F356" s="17" t="s">
        <v>29</v>
      </c>
      <c r="G356" s="17" t="s">
        <v>30</v>
      </c>
      <c r="H356" s="18">
        <f>ROUND(RAND()*4+6,1)</f>
      </c>
      <c r="I356" s="17" t="s">
        <v>31</v>
      </c>
      <c r="J356" s="19">
        <f>ROUND(82*1,0)&amp;"%"</f>
      </c>
    </row>
    <row x14ac:dyDescent="0.25" r="357" customHeight="1" ht="17.25">
      <c r="A357" s="20" t="s">
        <v>9791</v>
      </c>
      <c r="B357" s="20" t="s">
        <v>572</v>
      </c>
      <c r="C357" s="20" t="s">
        <v>56</v>
      </c>
      <c r="D357" s="20" t="s">
        <v>34</v>
      </c>
      <c r="E357" s="21">
        <f>ROUND(6650*1.05,2)</f>
      </c>
      <c r="F357" s="20" t="s">
        <v>35</v>
      </c>
      <c r="G357" s="20" t="s">
        <v>18</v>
      </c>
      <c r="H357" s="21">
        <f>ROUND(RAND()*4+6,1)</f>
      </c>
      <c r="I357" s="20" t="s">
        <v>36</v>
      </c>
      <c r="J357" s="23">
        <f>ROUND(91*1,0)&amp;"%"</f>
      </c>
    </row>
    <row x14ac:dyDescent="0.25" r="358" customHeight="1" ht="17.25">
      <c r="A358" s="17" t="s">
        <v>9792</v>
      </c>
      <c r="B358" s="17" t="s">
        <v>574</v>
      </c>
      <c r="C358" s="17" t="s">
        <v>56</v>
      </c>
      <c r="D358" s="17" t="s">
        <v>39</v>
      </c>
      <c r="E358" s="18">
        <f>ROUND(14623*1.05,2)</f>
      </c>
      <c r="F358" s="17" t="s">
        <v>40</v>
      </c>
      <c r="G358" s="17" t="s">
        <v>24</v>
      </c>
      <c r="H358" s="18">
        <f>ROUND(RAND()*4+6,1)</f>
      </c>
      <c r="I358" s="17" t="s">
        <v>41</v>
      </c>
      <c r="J358" s="19">
        <f>ROUND(64*1,0)&amp;"%"</f>
      </c>
    </row>
    <row x14ac:dyDescent="0.25" r="359" customHeight="1" ht="17.25">
      <c r="A359" s="20" t="s">
        <v>9793</v>
      </c>
      <c r="B359" s="20" t="s">
        <v>576</v>
      </c>
      <c r="C359" s="20" t="s">
        <v>56</v>
      </c>
      <c r="D359" s="20" t="s">
        <v>67</v>
      </c>
      <c r="E359" s="21">
        <f>ROUND(4037*1.05,2)</f>
      </c>
      <c r="F359" s="20" t="s">
        <v>44</v>
      </c>
      <c r="G359" s="20" t="s">
        <v>30</v>
      </c>
      <c r="H359" s="21">
        <f>ROUND(RAND()*4+6,1)</f>
      </c>
      <c r="I359" s="20" t="s">
        <v>45</v>
      </c>
      <c r="J359" s="23">
        <f>ROUND(74*1,0)&amp;"%"</f>
      </c>
    </row>
    <row x14ac:dyDescent="0.25" r="360" customHeight="1" ht="17.25">
      <c r="A360" s="17" t="s">
        <v>9794</v>
      </c>
      <c r="B360" s="17" t="s">
        <v>578</v>
      </c>
      <c r="C360" s="17" t="s">
        <v>56</v>
      </c>
      <c r="D360" s="17" t="s">
        <v>16</v>
      </c>
      <c r="E360" s="18">
        <f>ROUND(4542*1.05,2)</f>
      </c>
      <c r="F360" s="17" t="s">
        <v>48</v>
      </c>
      <c r="G360" s="17" t="s">
        <v>18</v>
      </c>
      <c r="H360" s="18">
        <f>ROUND(RAND()*4+6,1)</f>
      </c>
      <c r="I360" s="17" t="s">
        <v>19</v>
      </c>
      <c r="J360" s="19">
        <f>ROUND(97*1,0)&amp;"%"</f>
      </c>
    </row>
    <row x14ac:dyDescent="0.25" r="361" customHeight="1" ht="17.25">
      <c r="A361" s="20" t="s">
        <v>9795</v>
      </c>
      <c r="B361" s="20" t="s">
        <v>580</v>
      </c>
      <c r="C361" s="20" t="s">
        <v>56</v>
      </c>
      <c r="D361" s="20" t="s">
        <v>22</v>
      </c>
      <c r="E361" s="21">
        <f>ROUND(11625*1.05,2)</f>
      </c>
      <c r="F361" s="20" t="s">
        <v>51</v>
      </c>
      <c r="G361" s="20" t="s">
        <v>24</v>
      </c>
      <c r="H361" s="21">
        <f>ROUND(RAND()*4+6,1)</f>
      </c>
      <c r="I361" s="20" t="s">
        <v>25</v>
      </c>
      <c r="J361" s="23">
        <f>ROUND(80*1,0)&amp;"%"</f>
      </c>
    </row>
    <row x14ac:dyDescent="0.25" r="362" customHeight="1" ht="17.25">
      <c r="A362" s="24" t="s">
        <v>581</v>
      </c>
      <c r="B362" s="24"/>
      <c r="C362" s="24"/>
      <c r="D362" s="24"/>
      <c r="E362" s="25">
        <v>8</v>
      </c>
      <c r="F362" s="9"/>
      <c r="G362" s="9"/>
      <c r="H362" s="10"/>
      <c r="I362" s="9"/>
      <c r="J362" s="9"/>
    </row>
  </sheetData>
  <mergeCells count="62">
    <mergeCell ref="A1:J1"/>
    <mergeCell ref="A2:J2"/>
    <mergeCell ref="A4:J4"/>
    <mergeCell ref="A14:D14"/>
    <mergeCell ref="A16:J16"/>
    <mergeCell ref="A26:D26"/>
    <mergeCell ref="A28:J28"/>
    <mergeCell ref="A38:D38"/>
    <mergeCell ref="A40:J40"/>
    <mergeCell ref="A50:D50"/>
    <mergeCell ref="A52:J52"/>
    <mergeCell ref="A62:D62"/>
    <mergeCell ref="A64:J64"/>
    <mergeCell ref="A74:D74"/>
    <mergeCell ref="A76:J76"/>
    <mergeCell ref="A86:D86"/>
    <mergeCell ref="A88:J88"/>
    <mergeCell ref="A98:D98"/>
    <mergeCell ref="A100:J100"/>
    <mergeCell ref="A110:D110"/>
    <mergeCell ref="A112:J112"/>
    <mergeCell ref="A122:D122"/>
    <mergeCell ref="A124:J124"/>
    <mergeCell ref="A134:D134"/>
    <mergeCell ref="A136:J136"/>
    <mergeCell ref="A146:D146"/>
    <mergeCell ref="A148:J148"/>
    <mergeCell ref="A158:D158"/>
    <mergeCell ref="A160:J160"/>
    <mergeCell ref="A170:D170"/>
    <mergeCell ref="A172:J172"/>
    <mergeCell ref="A182:D182"/>
    <mergeCell ref="A184:J184"/>
    <mergeCell ref="A194:D194"/>
    <mergeCell ref="A196:J196"/>
    <mergeCell ref="A206:D206"/>
    <mergeCell ref="A208:J208"/>
    <mergeCell ref="A218:D218"/>
    <mergeCell ref="A220:J220"/>
    <mergeCell ref="A230:D230"/>
    <mergeCell ref="A232:J232"/>
    <mergeCell ref="A242:D242"/>
    <mergeCell ref="A244:J244"/>
    <mergeCell ref="A254:D254"/>
    <mergeCell ref="A256:J256"/>
    <mergeCell ref="A266:D266"/>
    <mergeCell ref="A268:J268"/>
    <mergeCell ref="A278:D278"/>
    <mergeCell ref="A280:J280"/>
    <mergeCell ref="A290:D290"/>
    <mergeCell ref="A292:J292"/>
    <mergeCell ref="A302:D302"/>
    <mergeCell ref="A304:J304"/>
    <mergeCell ref="A314:D314"/>
    <mergeCell ref="A316:J316"/>
    <mergeCell ref="A326:D326"/>
    <mergeCell ref="A328:J328"/>
    <mergeCell ref="A338:D338"/>
    <mergeCell ref="A340:J340"/>
    <mergeCell ref="A350:D350"/>
    <mergeCell ref="A352:J352"/>
    <mergeCell ref="A362:D362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J362"/>
  <sheetViews>
    <sheetView workbookViewId="0"/>
  </sheetViews>
  <sheetFormatPr defaultRowHeight="15" x14ac:dyDescent="0.25"/>
  <cols>
    <col min="1" max="1" style="27" width="8.005" customWidth="1" bestFit="1"/>
    <col min="2" max="2" style="27" width="22.005" customWidth="1" bestFit="1"/>
    <col min="3" max="3" style="27" width="16.005" customWidth="1" bestFit="1"/>
    <col min="4" max="4" style="27" width="14.005" customWidth="1" bestFit="1"/>
    <col min="5" max="5" style="28" width="12.005" customWidth="1" bestFit="1"/>
    <col min="6" max="6" style="29" width="16.005" customWidth="1" bestFit="1"/>
    <col min="7" max="7" style="29" width="10.005" customWidth="1" bestFit="1"/>
    <col min="8" max="8" style="30" width="10.005" customWidth="1" bestFit="1"/>
    <col min="9" max="9" style="29" width="14.005" customWidth="1" bestFit="1"/>
    <col min="10" max="10" style="29" width="8.005" customWidth="1" bestFit="1"/>
  </cols>
  <sheetData>
    <row x14ac:dyDescent="0.25" r="1" customHeight="1" ht="17.25">
      <c r="A1" s="1" t="s">
        <v>9254</v>
      </c>
      <c r="B1" s="1"/>
      <c r="C1" s="1"/>
      <c r="D1" s="1"/>
      <c r="E1" s="2"/>
      <c r="F1" s="1"/>
      <c r="G1" s="1"/>
      <c r="H1" s="3"/>
      <c r="I1" s="1"/>
      <c r="J1" s="1"/>
    </row>
    <row x14ac:dyDescent="0.25" r="2" customHeight="1" ht="17.25">
      <c r="A2" s="4" t="s">
        <v>1</v>
      </c>
      <c r="B2" s="4"/>
      <c r="C2" s="4"/>
      <c r="D2" s="4"/>
      <c r="E2" s="5"/>
      <c r="F2" s="4"/>
      <c r="G2" s="4"/>
      <c r="H2" s="6"/>
      <c r="I2" s="4"/>
      <c r="J2" s="4"/>
    </row>
    <row x14ac:dyDescent="0.25" r="3" customHeight="1" ht="17.25">
      <c r="A3" s="7"/>
      <c r="B3" s="7"/>
      <c r="C3" s="7"/>
      <c r="D3" s="7"/>
      <c r="E3" s="8"/>
      <c r="F3" s="9"/>
      <c r="G3" s="9"/>
      <c r="H3" s="10"/>
      <c r="I3" s="9"/>
      <c r="J3" s="9"/>
    </row>
    <row x14ac:dyDescent="0.25" r="4" customHeight="1" ht="17.25">
      <c r="A4" s="11" t="s">
        <v>9255</v>
      </c>
      <c r="B4" s="11"/>
      <c r="C4" s="11"/>
      <c r="D4" s="11"/>
      <c r="E4" s="12"/>
      <c r="F4" s="11"/>
      <c r="G4" s="11"/>
      <c r="H4" s="13"/>
      <c r="I4" s="11"/>
      <c r="J4" s="11"/>
    </row>
    <row x14ac:dyDescent="0.25" r="5" customHeight="1" ht="17.25">
      <c r="A5" s="14" t="s">
        <v>3</v>
      </c>
      <c r="B5" s="14" t="s">
        <v>4</v>
      </c>
      <c r="C5" s="14" t="s">
        <v>5</v>
      </c>
      <c r="D5" s="14" t="s">
        <v>6</v>
      </c>
      <c r="E5" s="15" t="s">
        <v>7</v>
      </c>
      <c r="F5" s="14" t="s">
        <v>8</v>
      </c>
      <c r="G5" s="14" t="s">
        <v>9</v>
      </c>
      <c r="H5" s="16" t="s">
        <v>10</v>
      </c>
      <c r="I5" s="14" t="s">
        <v>11</v>
      </c>
      <c r="J5" s="14" t="s">
        <v>12</v>
      </c>
    </row>
    <row x14ac:dyDescent="0.25" r="6" customHeight="1" ht="17.25">
      <c r="A6" s="17" t="s">
        <v>9256</v>
      </c>
      <c r="B6" s="17" t="s">
        <v>14</v>
      </c>
      <c r="C6" s="17" t="s">
        <v>15</v>
      </c>
      <c r="D6" s="17" t="s">
        <v>16</v>
      </c>
      <c r="E6" s="26">
        <f>ROUND(13000*1.05,2)</f>
      </c>
      <c r="F6" s="17" t="s">
        <v>17</v>
      </c>
      <c r="G6" s="17" t="s">
        <v>18</v>
      </c>
      <c r="H6" s="18">
        <f>ROUND(RAND()*4+6,1)</f>
      </c>
      <c r="I6" s="17" t="s">
        <v>19</v>
      </c>
      <c r="J6" s="19">
        <f>ROUND(86*1,0)&amp;"%"</f>
      </c>
    </row>
    <row x14ac:dyDescent="0.25" r="7" customHeight="1" ht="17.25">
      <c r="A7" s="20" t="s">
        <v>9257</v>
      </c>
      <c r="B7" s="20" t="s">
        <v>21</v>
      </c>
      <c r="C7" s="20" t="s">
        <v>15</v>
      </c>
      <c r="D7" s="20" t="s">
        <v>22</v>
      </c>
      <c r="E7" s="21">
        <f>ROUND(14294*1.05,2)</f>
      </c>
      <c r="F7" s="20" t="s">
        <v>23</v>
      </c>
      <c r="G7" s="20" t="s">
        <v>24</v>
      </c>
      <c r="H7" s="21">
        <f>ROUND(RAND()*4+6,1)</f>
      </c>
      <c r="I7" s="20" t="s">
        <v>25</v>
      </c>
      <c r="J7" s="23">
        <f>ROUND(83*1,0)&amp;"%"</f>
      </c>
    </row>
    <row x14ac:dyDescent="0.25" r="8" customHeight="1" ht="17.25">
      <c r="A8" s="17" t="s">
        <v>9258</v>
      </c>
      <c r="B8" s="17" t="s">
        <v>27</v>
      </c>
      <c r="C8" s="17" t="s">
        <v>15</v>
      </c>
      <c r="D8" s="17" t="s">
        <v>28</v>
      </c>
      <c r="E8" s="18">
        <f>ROUND(11666*1.05,2)</f>
      </c>
      <c r="F8" s="17" t="s">
        <v>29</v>
      </c>
      <c r="G8" s="17" t="s">
        <v>30</v>
      </c>
      <c r="H8" s="18">
        <f>ROUND(RAND()*4+6,1)</f>
      </c>
      <c r="I8" s="17" t="s">
        <v>31</v>
      </c>
      <c r="J8" s="19">
        <f>ROUND(94*1,0)&amp;"%"</f>
      </c>
    </row>
    <row x14ac:dyDescent="0.25" r="9" customHeight="1" ht="17.25">
      <c r="A9" s="20" t="s">
        <v>9259</v>
      </c>
      <c r="B9" s="20" t="s">
        <v>33</v>
      </c>
      <c r="C9" s="20" t="s">
        <v>15</v>
      </c>
      <c r="D9" s="20" t="s">
        <v>34</v>
      </c>
      <c r="E9" s="21">
        <f>ROUND(8408*1.05,2)</f>
      </c>
      <c r="F9" s="20" t="s">
        <v>35</v>
      </c>
      <c r="G9" s="20" t="s">
        <v>18</v>
      </c>
      <c r="H9" s="21">
        <f>ROUND(RAND()*4+6,1)</f>
      </c>
      <c r="I9" s="20" t="s">
        <v>36</v>
      </c>
      <c r="J9" s="23">
        <f>ROUND(79*1,0)&amp;"%"</f>
      </c>
    </row>
    <row x14ac:dyDescent="0.25" r="10" customHeight="1" ht="17.25">
      <c r="A10" s="17" t="s">
        <v>9260</v>
      </c>
      <c r="B10" s="17" t="s">
        <v>38</v>
      </c>
      <c r="C10" s="17" t="s">
        <v>15</v>
      </c>
      <c r="D10" s="17" t="s">
        <v>39</v>
      </c>
      <c r="E10" s="18">
        <f>ROUND(15168*1.05,2)</f>
      </c>
      <c r="F10" s="17" t="s">
        <v>40</v>
      </c>
      <c r="G10" s="17" t="s">
        <v>24</v>
      </c>
      <c r="H10" s="18">
        <f>ROUND(RAND()*4+6,1)</f>
      </c>
      <c r="I10" s="17" t="s">
        <v>41</v>
      </c>
      <c r="J10" s="19">
        <f>ROUND(91*1,0)&amp;"%"</f>
      </c>
    </row>
    <row x14ac:dyDescent="0.25" r="11" customHeight="1" ht="17.25">
      <c r="A11" s="20" t="s">
        <v>9261</v>
      </c>
      <c r="B11" s="20" t="s">
        <v>43</v>
      </c>
      <c r="C11" s="20" t="s">
        <v>15</v>
      </c>
      <c r="D11" s="20" t="s">
        <v>67</v>
      </c>
      <c r="E11" s="21">
        <f>ROUND(6518*1.05,2)</f>
      </c>
      <c r="F11" s="20" t="s">
        <v>44</v>
      </c>
      <c r="G11" s="20" t="s">
        <v>30</v>
      </c>
      <c r="H11" s="21">
        <f>ROUND(RAND()*4+6,1)</f>
      </c>
      <c r="I11" s="20" t="s">
        <v>45</v>
      </c>
      <c r="J11" s="23">
        <f>ROUND(94*1,0)&amp;"%"</f>
      </c>
    </row>
    <row x14ac:dyDescent="0.25" r="12" customHeight="1" ht="17.25">
      <c r="A12" s="17" t="s">
        <v>9262</v>
      </c>
      <c r="B12" s="17" t="s">
        <v>47</v>
      </c>
      <c r="C12" s="17" t="s">
        <v>15</v>
      </c>
      <c r="D12" s="17" t="s">
        <v>16</v>
      </c>
      <c r="E12" s="18">
        <f>ROUND(14413*1.05,2)</f>
      </c>
      <c r="F12" s="17" t="s">
        <v>48</v>
      </c>
      <c r="G12" s="17" t="s">
        <v>18</v>
      </c>
      <c r="H12" s="18">
        <f>ROUND(RAND()*4+6,1)</f>
      </c>
      <c r="I12" s="17" t="s">
        <v>19</v>
      </c>
      <c r="J12" s="19">
        <f>ROUND(68*1,0)&amp;"%"</f>
      </c>
    </row>
    <row x14ac:dyDescent="0.25" r="13" customHeight="1" ht="17.25">
      <c r="A13" s="20" t="s">
        <v>9263</v>
      </c>
      <c r="B13" s="20" t="s">
        <v>50</v>
      </c>
      <c r="C13" s="20" t="s">
        <v>15</v>
      </c>
      <c r="D13" s="20" t="s">
        <v>22</v>
      </c>
      <c r="E13" s="21">
        <f>ROUND(14455*1.05,2)</f>
      </c>
      <c r="F13" s="20" t="s">
        <v>51</v>
      </c>
      <c r="G13" s="20" t="s">
        <v>24</v>
      </c>
      <c r="H13" s="21">
        <f>ROUND(RAND()*4+6,1)</f>
      </c>
      <c r="I13" s="20" t="s">
        <v>25</v>
      </c>
      <c r="J13" s="23">
        <f>ROUND(92*1,0)&amp;"%"</f>
      </c>
    </row>
    <row x14ac:dyDescent="0.25" r="14" customHeight="1" ht="17.25">
      <c r="A14" s="24" t="s">
        <v>52</v>
      </c>
      <c r="B14" s="24"/>
      <c r="C14" s="24"/>
      <c r="D14" s="24"/>
      <c r="E14" s="25">
        <v>8</v>
      </c>
      <c r="F14" s="9"/>
      <c r="G14" s="9"/>
      <c r="H14" s="10"/>
      <c r="I14" s="9"/>
      <c r="J14" s="9"/>
    </row>
    <row x14ac:dyDescent="0.25" r="15" customHeight="1" ht="17.25">
      <c r="A15" s="7"/>
      <c r="B15" s="7"/>
      <c r="C15" s="7"/>
      <c r="D15" s="7"/>
      <c r="E15" s="8"/>
      <c r="F15" s="9"/>
      <c r="G15" s="9"/>
      <c r="H15" s="10"/>
      <c r="I15" s="9"/>
      <c r="J15" s="9"/>
    </row>
    <row x14ac:dyDescent="0.25" r="16" customHeight="1" ht="17.25">
      <c r="A16" s="11" t="s">
        <v>9264</v>
      </c>
      <c r="B16" s="11"/>
      <c r="C16" s="11"/>
      <c r="D16" s="11"/>
      <c r="E16" s="12"/>
      <c r="F16" s="11"/>
      <c r="G16" s="11"/>
      <c r="H16" s="13"/>
      <c r="I16" s="11"/>
      <c r="J16" s="11"/>
    </row>
    <row x14ac:dyDescent="0.25" r="17" customHeight="1" ht="17.25">
      <c r="A17" s="14" t="s">
        <v>3</v>
      </c>
      <c r="B17" s="14" t="s">
        <v>4</v>
      </c>
      <c r="C17" s="14" t="s">
        <v>5</v>
      </c>
      <c r="D17" s="14" t="s">
        <v>6</v>
      </c>
      <c r="E17" s="15" t="s">
        <v>7</v>
      </c>
      <c r="F17" s="14" t="s">
        <v>8</v>
      </c>
      <c r="G17" s="14" t="s">
        <v>9</v>
      </c>
      <c r="H17" s="16" t="s">
        <v>10</v>
      </c>
      <c r="I17" s="14" t="s">
        <v>11</v>
      </c>
      <c r="J17" s="14" t="s">
        <v>12</v>
      </c>
    </row>
    <row x14ac:dyDescent="0.25" r="18" customHeight="1" ht="17.25">
      <c r="A18" s="17" t="s">
        <v>9265</v>
      </c>
      <c r="B18" s="17" t="s">
        <v>55</v>
      </c>
      <c r="C18" s="17" t="s">
        <v>56</v>
      </c>
      <c r="D18" s="17" t="s">
        <v>16</v>
      </c>
      <c r="E18" s="18">
        <f>ROUND(4439*1.05,2)</f>
      </c>
      <c r="F18" s="17" t="s">
        <v>17</v>
      </c>
      <c r="G18" s="17" t="s">
        <v>18</v>
      </c>
      <c r="H18" s="18">
        <f>ROUND(RAND()*4+6,1)</f>
      </c>
      <c r="I18" s="17" t="s">
        <v>19</v>
      </c>
      <c r="J18" s="19">
        <f>ROUND(68*1,0)&amp;"%"</f>
      </c>
    </row>
    <row x14ac:dyDescent="0.25" r="19" customHeight="1" ht="17.25">
      <c r="A19" s="20" t="s">
        <v>9266</v>
      </c>
      <c r="B19" s="20" t="s">
        <v>58</v>
      </c>
      <c r="C19" s="20" t="s">
        <v>56</v>
      </c>
      <c r="D19" s="20" t="s">
        <v>22</v>
      </c>
      <c r="E19" s="21">
        <f>ROUND(17028*1.05,2)</f>
      </c>
      <c r="F19" s="20" t="s">
        <v>23</v>
      </c>
      <c r="G19" s="20" t="s">
        <v>24</v>
      </c>
      <c r="H19" s="21">
        <f>ROUND(RAND()*4+6,1)</f>
      </c>
      <c r="I19" s="20" t="s">
        <v>25</v>
      </c>
      <c r="J19" s="23">
        <f>ROUND(97*1,0)&amp;"%"</f>
      </c>
    </row>
    <row x14ac:dyDescent="0.25" r="20" customHeight="1" ht="17.25">
      <c r="A20" s="17" t="s">
        <v>9267</v>
      </c>
      <c r="B20" s="17" t="s">
        <v>60</v>
      </c>
      <c r="C20" s="17" t="s">
        <v>56</v>
      </c>
      <c r="D20" s="17" t="s">
        <v>28</v>
      </c>
      <c r="E20" s="18">
        <f>ROUND(17829*1.05,2)</f>
      </c>
      <c r="F20" s="17" t="s">
        <v>29</v>
      </c>
      <c r="G20" s="17" t="s">
        <v>30</v>
      </c>
      <c r="H20" s="18">
        <f>ROUND(RAND()*4+6,1)</f>
      </c>
      <c r="I20" s="17" t="s">
        <v>31</v>
      </c>
      <c r="J20" s="19">
        <f>ROUND(99*1,0)&amp;"%"</f>
      </c>
    </row>
    <row x14ac:dyDescent="0.25" r="21" customHeight="1" ht="17.25">
      <c r="A21" s="20" t="s">
        <v>9268</v>
      </c>
      <c r="B21" s="20" t="s">
        <v>62</v>
      </c>
      <c r="C21" s="20" t="s">
        <v>56</v>
      </c>
      <c r="D21" s="20" t="s">
        <v>34</v>
      </c>
      <c r="E21" s="21">
        <f>ROUND(17222*1.05,2)</f>
      </c>
      <c r="F21" s="20" t="s">
        <v>35</v>
      </c>
      <c r="G21" s="20" t="s">
        <v>18</v>
      </c>
      <c r="H21" s="21">
        <f>ROUND(RAND()*4+6,1)</f>
      </c>
      <c r="I21" s="20" t="s">
        <v>36</v>
      </c>
      <c r="J21" s="23">
        <f>ROUND(75*1,0)&amp;"%"</f>
      </c>
    </row>
    <row x14ac:dyDescent="0.25" r="22" customHeight="1" ht="17.25">
      <c r="A22" s="17" t="s">
        <v>9269</v>
      </c>
      <c r="B22" s="17" t="s">
        <v>64</v>
      </c>
      <c r="C22" s="17" t="s">
        <v>56</v>
      </c>
      <c r="D22" s="17" t="s">
        <v>39</v>
      </c>
      <c r="E22" s="18">
        <f>ROUND(5363*1.05,2)</f>
      </c>
      <c r="F22" s="17" t="s">
        <v>40</v>
      </c>
      <c r="G22" s="17" t="s">
        <v>24</v>
      </c>
      <c r="H22" s="26">
        <f>ROUND(RAND()*4+6,1)</f>
      </c>
      <c r="I22" s="17" t="s">
        <v>41</v>
      </c>
      <c r="J22" s="19">
        <f>ROUND(66*1,0)&amp;"%"</f>
      </c>
    </row>
    <row x14ac:dyDescent="0.25" r="23" customHeight="1" ht="17.25">
      <c r="A23" s="20" t="s">
        <v>9270</v>
      </c>
      <c r="B23" s="20" t="s">
        <v>66</v>
      </c>
      <c r="C23" s="20" t="s">
        <v>56</v>
      </c>
      <c r="D23" s="20" t="s">
        <v>67</v>
      </c>
      <c r="E23" s="21">
        <f>ROUND(8024*1.05,2)</f>
      </c>
      <c r="F23" s="20" t="s">
        <v>44</v>
      </c>
      <c r="G23" s="20" t="s">
        <v>30</v>
      </c>
      <c r="H23" s="21">
        <f>ROUND(RAND()*4+6,1)</f>
      </c>
      <c r="I23" s="20" t="s">
        <v>45</v>
      </c>
      <c r="J23" s="23">
        <f>ROUND(100*1,0)&amp;"%"</f>
      </c>
    </row>
    <row x14ac:dyDescent="0.25" r="24" customHeight="1" ht="17.25">
      <c r="A24" s="17" t="s">
        <v>9271</v>
      </c>
      <c r="B24" s="17" t="s">
        <v>69</v>
      </c>
      <c r="C24" s="17" t="s">
        <v>56</v>
      </c>
      <c r="D24" s="17" t="s">
        <v>16</v>
      </c>
      <c r="E24" s="18">
        <f>ROUND(7881*1.05,2)</f>
      </c>
      <c r="F24" s="17" t="s">
        <v>48</v>
      </c>
      <c r="G24" s="17" t="s">
        <v>18</v>
      </c>
      <c r="H24" s="18">
        <f>ROUND(RAND()*4+6,1)</f>
      </c>
      <c r="I24" s="17" t="s">
        <v>19</v>
      </c>
      <c r="J24" s="19">
        <f>ROUND(95*1,0)&amp;"%"</f>
      </c>
    </row>
    <row x14ac:dyDescent="0.25" r="25" customHeight="1" ht="17.25">
      <c r="A25" s="20" t="s">
        <v>9272</v>
      </c>
      <c r="B25" s="20" t="s">
        <v>71</v>
      </c>
      <c r="C25" s="20" t="s">
        <v>56</v>
      </c>
      <c r="D25" s="20" t="s">
        <v>22</v>
      </c>
      <c r="E25" s="21">
        <f>ROUND(6989*1.05,2)</f>
      </c>
      <c r="F25" s="20" t="s">
        <v>51</v>
      </c>
      <c r="G25" s="20" t="s">
        <v>24</v>
      </c>
      <c r="H25" s="21">
        <f>ROUND(RAND()*4+6,1)</f>
      </c>
      <c r="I25" s="20" t="s">
        <v>25</v>
      </c>
      <c r="J25" s="23">
        <f>ROUND(85*1,0)&amp;"%"</f>
      </c>
    </row>
    <row x14ac:dyDescent="0.25" r="26" customHeight="1" ht="17.25">
      <c r="A26" s="24" t="s">
        <v>72</v>
      </c>
      <c r="B26" s="24"/>
      <c r="C26" s="24"/>
      <c r="D26" s="24"/>
      <c r="E26" s="25">
        <v>8</v>
      </c>
      <c r="F26" s="9"/>
      <c r="G26" s="9"/>
      <c r="H26" s="10"/>
      <c r="I26" s="9"/>
      <c r="J26" s="9"/>
    </row>
    <row x14ac:dyDescent="0.25" r="27" customHeight="1" ht="17.25">
      <c r="A27" s="7"/>
      <c r="B27" s="7"/>
      <c r="C27" s="7"/>
      <c r="D27" s="7"/>
      <c r="E27" s="8"/>
      <c r="F27" s="9"/>
      <c r="G27" s="9"/>
      <c r="H27" s="10"/>
      <c r="I27" s="9"/>
      <c r="J27" s="9"/>
    </row>
    <row x14ac:dyDescent="0.25" r="28" customHeight="1" ht="17.25">
      <c r="A28" s="11" t="s">
        <v>9273</v>
      </c>
      <c r="B28" s="11"/>
      <c r="C28" s="11"/>
      <c r="D28" s="11"/>
      <c r="E28" s="12"/>
      <c r="F28" s="11"/>
      <c r="G28" s="11"/>
      <c r="H28" s="13"/>
      <c r="I28" s="11"/>
      <c r="J28" s="11"/>
    </row>
    <row x14ac:dyDescent="0.25" r="29" customHeight="1" ht="17.25">
      <c r="A29" s="14" t="s">
        <v>3</v>
      </c>
      <c r="B29" s="14" t="s">
        <v>4</v>
      </c>
      <c r="C29" s="14" t="s">
        <v>5</v>
      </c>
      <c r="D29" s="14" t="s">
        <v>6</v>
      </c>
      <c r="E29" s="15" t="s">
        <v>7</v>
      </c>
      <c r="F29" s="14" t="s">
        <v>8</v>
      </c>
      <c r="G29" s="14" t="s">
        <v>9</v>
      </c>
      <c r="H29" s="16" t="s">
        <v>10</v>
      </c>
      <c r="I29" s="14" t="s">
        <v>11</v>
      </c>
      <c r="J29" s="14" t="s">
        <v>12</v>
      </c>
    </row>
    <row x14ac:dyDescent="0.25" r="30" customHeight="1" ht="17.25">
      <c r="A30" s="17" t="s">
        <v>9274</v>
      </c>
      <c r="B30" s="17" t="s">
        <v>75</v>
      </c>
      <c r="C30" s="17" t="s">
        <v>76</v>
      </c>
      <c r="D30" s="17" t="s">
        <v>16</v>
      </c>
      <c r="E30" s="18">
        <f>ROUND(14588*1.05,2)</f>
      </c>
      <c r="F30" s="17" t="s">
        <v>17</v>
      </c>
      <c r="G30" s="17" t="s">
        <v>18</v>
      </c>
      <c r="H30" s="26">
        <f>ROUND(RAND()*4+6,1)</f>
      </c>
      <c r="I30" s="17" t="s">
        <v>19</v>
      </c>
      <c r="J30" s="19">
        <f>ROUND(85*1,0)&amp;"%"</f>
      </c>
    </row>
    <row x14ac:dyDescent="0.25" r="31" customHeight="1" ht="17.25">
      <c r="A31" s="20" t="s">
        <v>9275</v>
      </c>
      <c r="B31" s="20" t="s">
        <v>78</v>
      </c>
      <c r="C31" s="20" t="s">
        <v>76</v>
      </c>
      <c r="D31" s="20" t="s">
        <v>22</v>
      </c>
      <c r="E31" s="21">
        <f>ROUND(5962*1.05,2)</f>
      </c>
      <c r="F31" s="20" t="s">
        <v>23</v>
      </c>
      <c r="G31" s="20" t="s">
        <v>24</v>
      </c>
      <c r="H31" s="21">
        <f>ROUND(RAND()*4+6,1)</f>
      </c>
      <c r="I31" s="20" t="s">
        <v>25</v>
      </c>
      <c r="J31" s="23">
        <f>ROUND(94*1,0)&amp;"%"</f>
      </c>
    </row>
    <row x14ac:dyDescent="0.25" r="32" customHeight="1" ht="17.25">
      <c r="A32" s="17" t="s">
        <v>9276</v>
      </c>
      <c r="B32" s="17" t="s">
        <v>80</v>
      </c>
      <c r="C32" s="17" t="s">
        <v>76</v>
      </c>
      <c r="D32" s="17" t="s">
        <v>28</v>
      </c>
      <c r="E32" s="18">
        <f>ROUND(10457*1.05,2)</f>
      </c>
      <c r="F32" s="17" t="s">
        <v>29</v>
      </c>
      <c r="G32" s="17" t="s">
        <v>30</v>
      </c>
      <c r="H32" s="18">
        <f>ROUND(RAND()*4+6,1)</f>
      </c>
      <c r="I32" s="17" t="s">
        <v>31</v>
      </c>
      <c r="J32" s="19">
        <f>ROUND(68*1,0)&amp;"%"</f>
      </c>
    </row>
    <row x14ac:dyDescent="0.25" r="33" customHeight="1" ht="17.25">
      <c r="A33" s="20" t="s">
        <v>9277</v>
      </c>
      <c r="B33" s="20" t="s">
        <v>82</v>
      </c>
      <c r="C33" s="20" t="s">
        <v>76</v>
      </c>
      <c r="D33" s="20" t="s">
        <v>34</v>
      </c>
      <c r="E33" s="21">
        <f>ROUND(9911*1.05,2)</f>
      </c>
      <c r="F33" s="20" t="s">
        <v>35</v>
      </c>
      <c r="G33" s="20" t="s">
        <v>18</v>
      </c>
      <c r="H33" s="22">
        <f>ROUND(RAND()*4+6,1)</f>
      </c>
      <c r="I33" s="20" t="s">
        <v>36</v>
      </c>
      <c r="J33" s="23">
        <f>ROUND(73*1,0)&amp;"%"</f>
      </c>
    </row>
    <row x14ac:dyDescent="0.25" r="34" customHeight="1" ht="17.25">
      <c r="A34" s="17" t="s">
        <v>9278</v>
      </c>
      <c r="B34" s="17" t="s">
        <v>84</v>
      </c>
      <c r="C34" s="17" t="s">
        <v>76</v>
      </c>
      <c r="D34" s="17" t="s">
        <v>39</v>
      </c>
      <c r="E34" s="18">
        <f>ROUND(13294*1.05,2)</f>
      </c>
      <c r="F34" s="17" t="s">
        <v>40</v>
      </c>
      <c r="G34" s="17" t="s">
        <v>24</v>
      </c>
      <c r="H34" s="18">
        <f>ROUND(RAND()*4+6,1)</f>
      </c>
      <c r="I34" s="17" t="s">
        <v>41</v>
      </c>
      <c r="J34" s="19">
        <f>ROUND(78*1,0)&amp;"%"</f>
      </c>
    </row>
    <row x14ac:dyDescent="0.25" r="35" customHeight="1" ht="17.25">
      <c r="A35" s="20" t="s">
        <v>9279</v>
      </c>
      <c r="B35" s="20" t="s">
        <v>86</v>
      </c>
      <c r="C35" s="20" t="s">
        <v>76</v>
      </c>
      <c r="D35" s="20" t="s">
        <v>67</v>
      </c>
      <c r="E35" s="21">
        <f>ROUND(5445*1.05,2)</f>
      </c>
      <c r="F35" s="20" t="s">
        <v>44</v>
      </c>
      <c r="G35" s="20" t="s">
        <v>30</v>
      </c>
      <c r="H35" s="22">
        <f>ROUND(RAND()*4+6,1)</f>
      </c>
      <c r="I35" s="20" t="s">
        <v>45</v>
      </c>
      <c r="J35" s="23">
        <f>ROUND(71*1,0)&amp;"%"</f>
      </c>
    </row>
    <row x14ac:dyDescent="0.25" r="36" customHeight="1" ht="17.25">
      <c r="A36" s="17" t="s">
        <v>9280</v>
      </c>
      <c r="B36" s="17" t="s">
        <v>88</v>
      </c>
      <c r="C36" s="17" t="s">
        <v>76</v>
      </c>
      <c r="D36" s="17" t="s">
        <v>16</v>
      </c>
      <c r="E36" s="18">
        <f>ROUND(16822*1.05,2)</f>
      </c>
      <c r="F36" s="17" t="s">
        <v>48</v>
      </c>
      <c r="G36" s="17" t="s">
        <v>18</v>
      </c>
      <c r="H36" s="18">
        <f>ROUND(RAND()*4+6,1)</f>
      </c>
      <c r="I36" s="17" t="s">
        <v>19</v>
      </c>
      <c r="J36" s="19">
        <f>ROUND(80*1,0)&amp;"%"</f>
      </c>
    </row>
    <row x14ac:dyDescent="0.25" r="37" customHeight="1" ht="17.25">
      <c r="A37" s="20" t="s">
        <v>9281</v>
      </c>
      <c r="B37" s="20" t="s">
        <v>90</v>
      </c>
      <c r="C37" s="20" t="s">
        <v>76</v>
      </c>
      <c r="D37" s="20" t="s">
        <v>22</v>
      </c>
      <c r="E37" s="21">
        <f>ROUND(10907*1.05,2)</f>
      </c>
      <c r="F37" s="20" t="s">
        <v>51</v>
      </c>
      <c r="G37" s="20" t="s">
        <v>24</v>
      </c>
      <c r="H37" s="21">
        <f>ROUND(RAND()*4+6,1)</f>
      </c>
      <c r="I37" s="20" t="s">
        <v>25</v>
      </c>
      <c r="J37" s="23">
        <f>ROUND(68*1,0)&amp;"%"</f>
      </c>
    </row>
    <row x14ac:dyDescent="0.25" r="38" customHeight="1" ht="17.25">
      <c r="A38" s="24" t="s">
        <v>91</v>
      </c>
      <c r="B38" s="24"/>
      <c r="C38" s="24"/>
      <c r="D38" s="24"/>
      <c r="E38" s="25">
        <v>8</v>
      </c>
      <c r="F38" s="9"/>
      <c r="G38" s="9"/>
      <c r="H38" s="10"/>
      <c r="I38" s="9"/>
      <c r="J38" s="9"/>
    </row>
    <row x14ac:dyDescent="0.25" r="39" customHeight="1" ht="17.25">
      <c r="A39" s="7"/>
      <c r="B39" s="7"/>
      <c r="C39" s="7"/>
      <c r="D39" s="7"/>
      <c r="E39" s="8"/>
      <c r="F39" s="9"/>
      <c r="G39" s="9"/>
      <c r="H39" s="10"/>
      <c r="I39" s="9"/>
      <c r="J39" s="9"/>
    </row>
    <row x14ac:dyDescent="0.25" r="40" customHeight="1" ht="17.25">
      <c r="A40" s="11" t="s">
        <v>9282</v>
      </c>
      <c r="B40" s="11"/>
      <c r="C40" s="11"/>
      <c r="D40" s="11"/>
      <c r="E40" s="12"/>
      <c r="F40" s="11"/>
      <c r="G40" s="11"/>
      <c r="H40" s="13"/>
      <c r="I40" s="11"/>
      <c r="J40" s="11"/>
    </row>
    <row x14ac:dyDescent="0.25" r="41" customHeight="1" ht="17.25">
      <c r="A41" s="14" t="s">
        <v>3</v>
      </c>
      <c r="B41" s="14" t="s">
        <v>4</v>
      </c>
      <c r="C41" s="14" t="s">
        <v>5</v>
      </c>
      <c r="D41" s="14" t="s">
        <v>6</v>
      </c>
      <c r="E41" s="15" t="s">
        <v>7</v>
      </c>
      <c r="F41" s="14" t="s">
        <v>8</v>
      </c>
      <c r="G41" s="14" t="s">
        <v>9</v>
      </c>
      <c r="H41" s="16" t="s">
        <v>10</v>
      </c>
      <c r="I41" s="14" t="s">
        <v>11</v>
      </c>
      <c r="J41" s="14" t="s">
        <v>12</v>
      </c>
    </row>
    <row x14ac:dyDescent="0.25" r="42" customHeight="1" ht="17.25">
      <c r="A42" s="17" t="s">
        <v>9283</v>
      </c>
      <c r="B42" s="17" t="s">
        <v>94</v>
      </c>
      <c r="C42" s="17" t="s">
        <v>95</v>
      </c>
      <c r="D42" s="17" t="s">
        <v>16</v>
      </c>
      <c r="E42" s="18">
        <f>ROUND(6324*1.05,2)</f>
      </c>
      <c r="F42" s="17" t="s">
        <v>17</v>
      </c>
      <c r="G42" s="17" t="s">
        <v>18</v>
      </c>
      <c r="H42" s="18">
        <f>ROUND(RAND()*4+6,1)</f>
      </c>
      <c r="I42" s="17" t="s">
        <v>19</v>
      </c>
      <c r="J42" s="19">
        <f>ROUND(89*1,0)&amp;"%"</f>
      </c>
    </row>
    <row x14ac:dyDescent="0.25" r="43" customHeight="1" ht="17.25">
      <c r="A43" s="20" t="s">
        <v>9284</v>
      </c>
      <c r="B43" s="20" t="s">
        <v>97</v>
      </c>
      <c r="C43" s="20" t="s">
        <v>95</v>
      </c>
      <c r="D43" s="20" t="s">
        <v>22</v>
      </c>
      <c r="E43" s="21">
        <f>ROUND(4904*1.05,2)</f>
      </c>
      <c r="F43" s="20" t="s">
        <v>23</v>
      </c>
      <c r="G43" s="20" t="s">
        <v>24</v>
      </c>
      <c r="H43" s="21">
        <f>ROUND(RAND()*4+6,1)</f>
      </c>
      <c r="I43" s="20" t="s">
        <v>25</v>
      </c>
      <c r="J43" s="23">
        <f>ROUND(84*1,0)&amp;"%"</f>
      </c>
    </row>
    <row x14ac:dyDescent="0.25" r="44" customHeight="1" ht="17.25">
      <c r="A44" s="17" t="s">
        <v>9285</v>
      </c>
      <c r="B44" s="17" t="s">
        <v>99</v>
      </c>
      <c r="C44" s="17" t="s">
        <v>95</v>
      </c>
      <c r="D44" s="17" t="s">
        <v>28</v>
      </c>
      <c r="E44" s="18">
        <f>ROUND(4495*1.05,2)</f>
      </c>
      <c r="F44" s="17" t="s">
        <v>29</v>
      </c>
      <c r="G44" s="17" t="s">
        <v>30</v>
      </c>
      <c r="H44" s="18">
        <f>ROUND(RAND()*4+6,1)</f>
      </c>
      <c r="I44" s="17" t="s">
        <v>31</v>
      </c>
      <c r="J44" s="19">
        <f>ROUND(66*1,0)&amp;"%"</f>
      </c>
    </row>
    <row x14ac:dyDescent="0.25" r="45" customHeight="1" ht="17.25">
      <c r="A45" s="20" t="s">
        <v>9286</v>
      </c>
      <c r="B45" s="20" t="s">
        <v>101</v>
      </c>
      <c r="C45" s="20" t="s">
        <v>95</v>
      </c>
      <c r="D45" s="20" t="s">
        <v>34</v>
      </c>
      <c r="E45" s="21">
        <f>ROUND(5642*1.05,2)</f>
      </c>
      <c r="F45" s="20" t="s">
        <v>35</v>
      </c>
      <c r="G45" s="20" t="s">
        <v>18</v>
      </c>
      <c r="H45" s="21">
        <f>ROUND(RAND()*4+6,1)</f>
      </c>
      <c r="I45" s="20" t="s">
        <v>36</v>
      </c>
      <c r="J45" s="23">
        <f>ROUND(81*1,0)&amp;"%"</f>
      </c>
    </row>
    <row x14ac:dyDescent="0.25" r="46" customHeight="1" ht="17.25">
      <c r="A46" s="17" t="s">
        <v>9287</v>
      </c>
      <c r="B46" s="17" t="s">
        <v>103</v>
      </c>
      <c r="C46" s="17" t="s">
        <v>95</v>
      </c>
      <c r="D46" s="17" t="s">
        <v>39</v>
      </c>
      <c r="E46" s="18">
        <f>ROUND(12611*1.05,2)</f>
      </c>
      <c r="F46" s="17" t="s">
        <v>40</v>
      </c>
      <c r="G46" s="17" t="s">
        <v>24</v>
      </c>
      <c r="H46" s="18">
        <f>ROUND(RAND()*4+6,1)</f>
      </c>
      <c r="I46" s="17" t="s">
        <v>41</v>
      </c>
      <c r="J46" s="19">
        <f>ROUND(83*1,0)&amp;"%"</f>
      </c>
    </row>
    <row x14ac:dyDescent="0.25" r="47" customHeight="1" ht="17.25">
      <c r="A47" s="20" t="s">
        <v>9288</v>
      </c>
      <c r="B47" s="20" t="s">
        <v>105</v>
      </c>
      <c r="C47" s="20" t="s">
        <v>95</v>
      </c>
      <c r="D47" s="20" t="s">
        <v>67</v>
      </c>
      <c r="E47" s="21">
        <f>ROUND(7723*1.05,2)</f>
      </c>
      <c r="F47" s="20" t="s">
        <v>44</v>
      </c>
      <c r="G47" s="20" t="s">
        <v>30</v>
      </c>
      <c r="H47" s="21">
        <f>ROUND(RAND()*4+6,1)</f>
      </c>
      <c r="I47" s="20" t="s">
        <v>45</v>
      </c>
      <c r="J47" s="23">
        <f>ROUND(66*1,0)&amp;"%"</f>
      </c>
    </row>
    <row x14ac:dyDescent="0.25" r="48" customHeight="1" ht="17.25">
      <c r="A48" s="17" t="s">
        <v>9289</v>
      </c>
      <c r="B48" s="17" t="s">
        <v>107</v>
      </c>
      <c r="C48" s="17" t="s">
        <v>95</v>
      </c>
      <c r="D48" s="17" t="s">
        <v>16</v>
      </c>
      <c r="E48" s="18">
        <f>ROUND(11492*1.05,2)</f>
      </c>
      <c r="F48" s="17" t="s">
        <v>48</v>
      </c>
      <c r="G48" s="17" t="s">
        <v>18</v>
      </c>
      <c r="H48" s="18">
        <f>ROUND(RAND()*4+6,1)</f>
      </c>
      <c r="I48" s="17" t="s">
        <v>19</v>
      </c>
      <c r="J48" s="19">
        <f>ROUND(87*1,0)&amp;"%"</f>
      </c>
    </row>
    <row x14ac:dyDescent="0.25" r="49" customHeight="1" ht="17.25">
      <c r="A49" s="20" t="s">
        <v>9290</v>
      </c>
      <c r="B49" s="20" t="s">
        <v>109</v>
      </c>
      <c r="C49" s="20" t="s">
        <v>95</v>
      </c>
      <c r="D49" s="20" t="s">
        <v>22</v>
      </c>
      <c r="E49" s="21">
        <f>ROUND(7997*1.05,2)</f>
      </c>
      <c r="F49" s="20" t="s">
        <v>51</v>
      </c>
      <c r="G49" s="20" t="s">
        <v>24</v>
      </c>
      <c r="H49" s="21">
        <f>ROUND(RAND()*4+6,1)</f>
      </c>
      <c r="I49" s="20" t="s">
        <v>25</v>
      </c>
      <c r="J49" s="23">
        <f>ROUND(69*1,0)&amp;"%"</f>
      </c>
    </row>
    <row x14ac:dyDescent="0.25" r="50" customHeight="1" ht="17.25">
      <c r="A50" s="24" t="s">
        <v>110</v>
      </c>
      <c r="B50" s="24"/>
      <c r="C50" s="24"/>
      <c r="D50" s="24"/>
      <c r="E50" s="25">
        <v>8</v>
      </c>
      <c r="F50" s="9"/>
      <c r="G50" s="9"/>
      <c r="H50" s="10"/>
      <c r="I50" s="9"/>
      <c r="J50" s="9"/>
    </row>
    <row x14ac:dyDescent="0.25" r="51" customHeight="1" ht="17.25">
      <c r="A51" s="7"/>
      <c r="B51" s="7"/>
      <c r="C51" s="7"/>
      <c r="D51" s="7"/>
      <c r="E51" s="8"/>
      <c r="F51" s="9"/>
      <c r="G51" s="9"/>
      <c r="H51" s="10"/>
      <c r="I51" s="9"/>
      <c r="J51" s="9"/>
    </row>
    <row x14ac:dyDescent="0.25" r="52" customHeight="1" ht="17.25">
      <c r="A52" s="11" t="s">
        <v>9291</v>
      </c>
      <c r="B52" s="11"/>
      <c r="C52" s="11"/>
      <c r="D52" s="11"/>
      <c r="E52" s="12"/>
      <c r="F52" s="11"/>
      <c r="G52" s="11"/>
      <c r="H52" s="13"/>
      <c r="I52" s="11"/>
      <c r="J52" s="11"/>
    </row>
    <row x14ac:dyDescent="0.25" r="53" customHeight="1" ht="17.25">
      <c r="A53" s="14" t="s">
        <v>3</v>
      </c>
      <c r="B53" s="14" t="s">
        <v>4</v>
      </c>
      <c r="C53" s="14" t="s">
        <v>5</v>
      </c>
      <c r="D53" s="14" t="s">
        <v>6</v>
      </c>
      <c r="E53" s="15" t="s">
        <v>7</v>
      </c>
      <c r="F53" s="14" t="s">
        <v>8</v>
      </c>
      <c r="G53" s="14" t="s">
        <v>9</v>
      </c>
      <c r="H53" s="16" t="s">
        <v>10</v>
      </c>
      <c r="I53" s="14" t="s">
        <v>11</v>
      </c>
      <c r="J53" s="14" t="s">
        <v>12</v>
      </c>
    </row>
    <row x14ac:dyDescent="0.25" r="54" customHeight="1" ht="17.25">
      <c r="A54" s="17" t="s">
        <v>9292</v>
      </c>
      <c r="B54" s="17" t="s">
        <v>113</v>
      </c>
      <c r="C54" s="17" t="s">
        <v>114</v>
      </c>
      <c r="D54" s="17" t="s">
        <v>16</v>
      </c>
      <c r="E54" s="18">
        <f>ROUND(16976*1.05,2)</f>
      </c>
      <c r="F54" s="17" t="s">
        <v>17</v>
      </c>
      <c r="G54" s="17" t="s">
        <v>18</v>
      </c>
      <c r="H54" s="18">
        <f>ROUND(RAND()*4+6,1)</f>
      </c>
      <c r="I54" s="17" t="s">
        <v>19</v>
      </c>
      <c r="J54" s="19">
        <f>ROUND(86*1,0)&amp;"%"</f>
      </c>
    </row>
    <row x14ac:dyDescent="0.25" r="55" customHeight="1" ht="17.25">
      <c r="A55" s="20" t="s">
        <v>9293</v>
      </c>
      <c r="B55" s="20" t="s">
        <v>116</v>
      </c>
      <c r="C55" s="20" t="s">
        <v>114</v>
      </c>
      <c r="D55" s="20" t="s">
        <v>22</v>
      </c>
      <c r="E55" s="21">
        <f>ROUND(5493*1.05,2)</f>
      </c>
      <c r="F55" s="20" t="s">
        <v>23</v>
      </c>
      <c r="G55" s="20" t="s">
        <v>24</v>
      </c>
      <c r="H55" s="22">
        <f>ROUND(RAND()*4+6,1)</f>
      </c>
      <c r="I55" s="20" t="s">
        <v>25</v>
      </c>
      <c r="J55" s="23">
        <f>ROUND(60*1,0)&amp;"%"</f>
      </c>
    </row>
    <row x14ac:dyDescent="0.25" r="56" customHeight="1" ht="17.25">
      <c r="A56" s="17" t="s">
        <v>9294</v>
      </c>
      <c r="B56" s="17" t="s">
        <v>118</v>
      </c>
      <c r="C56" s="17" t="s">
        <v>114</v>
      </c>
      <c r="D56" s="17" t="s">
        <v>28</v>
      </c>
      <c r="E56" s="18">
        <f>ROUND(16402*1.05,2)</f>
      </c>
      <c r="F56" s="17" t="s">
        <v>29</v>
      </c>
      <c r="G56" s="17" t="s">
        <v>30</v>
      </c>
      <c r="H56" s="26">
        <f>ROUND(RAND()*4+6,1)</f>
      </c>
      <c r="I56" s="17" t="s">
        <v>31</v>
      </c>
      <c r="J56" s="19">
        <f>ROUND(98*1,0)&amp;"%"</f>
      </c>
    </row>
    <row x14ac:dyDescent="0.25" r="57" customHeight="1" ht="17.25">
      <c r="A57" s="20" t="s">
        <v>9295</v>
      </c>
      <c r="B57" s="20" t="s">
        <v>120</v>
      </c>
      <c r="C57" s="20" t="s">
        <v>114</v>
      </c>
      <c r="D57" s="20" t="s">
        <v>34</v>
      </c>
      <c r="E57" s="21">
        <f>ROUND(10428*1.05,2)</f>
      </c>
      <c r="F57" s="20" t="s">
        <v>35</v>
      </c>
      <c r="G57" s="20" t="s">
        <v>18</v>
      </c>
      <c r="H57" s="21">
        <f>ROUND(RAND()*4+6,1)</f>
      </c>
      <c r="I57" s="20" t="s">
        <v>36</v>
      </c>
      <c r="J57" s="23">
        <f>ROUND(93*1,0)&amp;"%"</f>
      </c>
    </row>
    <row x14ac:dyDescent="0.25" r="58" customHeight="1" ht="17.25">
      <c r="A58" s="17" t="s">
        <v>9296</v>
      </c>
      <c r="B58" s="17" t="s">
        <v>122</v>
      </c>
      <c r="C58" s="17" t="s">
        <v>114</v>
      </c>
      <c r="D58" s="17" t="s">
        <v>39</v>
      </c>
      <c r="E58" s="18">
        <f>ROUND(7175*1.05,2)</f>
      </c>
      <c r="F58" s="17" t="s">
        <v>40</v>
      </c>
      <c r="G58" s="17" t="s">
        <v>24</v>
      </c>
      <c r="H58" s="18">
        <f>ROUND(RAND()*4+6,1)</f>
      </c>
      <c r="I58" s="17" t="s">
        <v>41</v>
      </c>
      <c r="J58" s="19">
        <f>ROUND(66*1,0)&amp;"%"</f>
      </c>
    </row>
    <row x14ac:dyDescent="0.25" r="59" customHeight="1" ht="17.25">
      <c r="A59" s="20" t="s">
        <v>9297</v>
      </c>
      <c r="B59" s="20" t="s">
        <v>124</v>
      </c>
      <c r="C59" s="20" t="s">
        <v>114</v>
      </c>
      <c r="D59" s="20" t="s">
        <v>67</v>
      </c>
      <c r="E59" s="21">
        <f>ROUND(13761*1.05,2)</f>
      </c>
      <c r="F59" s="20" t="s">
        <v>44</v>
      </c>
      <c r="G59" s="20" t="s">
        <v>30</v>
      </c>
      <c r="H59" s="21">
        <f>ROUND(RAND()*4+6,1)</f>
      </c>
      <c r="I59" s="20" t="s">
        <v>45</v>
      </c>
      <c r="J59" s="23">
        <f>ROUND(67*1,0)&amp;"%"</f>
      </c>
    </row>
    <row x14ac:dyDescent="0.25" r="60" customHeight="1" ht="17.25">
      <c r="A60" s="17" t="s">
        <v>9298</v>
      </c>
      <c r="B60" s="17" t="s">
        <v>126</v>
      </c>
      <c r="C60" s="17" t="s">
        <v>114</v>
      </c>
      <c r="D60" s="17" t="s">
        <v>16</v>
      </c>
      <c r="E60" s="26">
        <f>ROUND(7440*1.05,2)</f>
      </c>
      <c r="F60" s="17" t="s">
        <v>48</v>
      </c>
      <c r="G60" s="17" t="s">
        <v>18</v>
      </c>
      <c r="H60" s="18">
        <f>ROUND(RAND()*4+6,1)</f>
      </c>
      <c r="I60" s="17" t="s">
        <v>19</v>
      </c>
      <c r="J60" s="19">
        <f>ROUND(86*1,0)&amp;"%"</f>
      </c>
    </row>
    <row x14ac:dyDescent="0.25" r="61" customHeight="1" ht="17.25">
      <c r="A61" s="20" t="s">
        <v>9299</v>
      </c>
      <c r="B61" s="20" t="s">
        <v>128</v>
      </c>
      <c r="C61" s="20" t="s">
        <v>114</v>
      </c>
      <c r="D61" s="20" t="s">
        <v>22</v>
      </c>
      <c r="E61" s="21">
        <f>ROUND(12217*1.05,2)</f>
      </c>
      <c r="F61" s="20" t="s">
        <v>51</v>
      </c>
      <c r="G61" s="20" t="s">
        <v>24</v>
      </c>
      <c r="H61" s="21">
        <f>ROUND(RAND()*4+6,1)</f>
      </c>
      <c r="I61" s="20" t="s">
        <v>25</v>
      </c>
      <c r="J61" s="23">
        <f>ROUND(80*1,0)&amp;"%"</f>
      </c>
    </row>
    <row x14ac:dyDescent="0.25" r="62" customHeight="1" ht="17.25">
      <c r="A62" s="24" t="s">
        <v>129</v>
      </c>
      <c r="B62" s="24"/>
      <c r="C62" s="24"/>
      <c r="D62" s="24"/>
      <c r="E62" s="25">
        <v>8</v>
      </c>
      <c r="F62" s="9"/>
      <c r="G62" s="9"/>
      <c r="H62" s="10"/>
      <c r="I62" s="9"/>
      <c r="J62" s="9"/>
    </row>
    <row x14ac:dyDescent="0.25" r="63" customHeight="1" ht="17.25">
      <c r="A63" s="7"/>
      <c r="B63" s="7"/>
      <c r="C63" s="7"/>
      <c r="D63" s="7"/>
      <c r="E63" s="8"/>
      <c r="F63" s="9"/>
      <c r="G63" s="9"/>
      <c r="H63" s="10"/>
      <c r="I63" s="9"/>
      <c r="J63" s="9"/>
    </row>
    <row x14ac:dyDescent="0.25" r="64" customHeight="1" ht="17.25">
      <c r="A64" s="11" t="s">
        <v>9300</v>
      </c>
      <c r="B64" s="11"/>
      <c r="C64" s="11"/>
      <c r="D64" s="11"/>
      <c r="E64" s="12"/>
      <c r="F64" s="11"/>
      <c r="G64" s="11"/>
      <c r="H64" s="13"/>
      <c r="I64" s="11"/>
      <c r="J64" s="11"/>
    </row>
    <row x14ac:dyDescent="0.25" r="65" customHeight="1" ht="17.25">
      <c r="A65" s="14" t="s">
        <v>3</v>
      </c>
      <c r="B65" s="14" t="s">
        <v>4</v>
      </c>
      <c r="C65" s="14" t="s">
        <v>5</v>
      </c>
      <c r="D65" s="14" t="s">
        <v>6</v>
      </c>
      <c r="E65" s="15" t="s">
        <v>7</v>
      </c>
      <c r="F65" s="14" t="s">
        <v>8</v>
      </c>
      <c r="G65" s="14" t="s">
        <v>9</v>
      </c>
      <c r="H65" s="16" t="s">
        <v>10</v>
      </c>
      <c r="I65" s="14" t="s">
        <v>11</v>
      </c>
      <c r="J65" s="14" t="s">
        <v>12</v>
      </c>
    </row>
    <row x14ac:dyDescent="0.25" r="66" customHeight="1" ht="17.25">
      <c r="A66" s="17" t="s">
        <v>9301</v>
      </c>
      <c r="B66" s="17" t="s">
        <v>132</v>
      </c>
      <c r="C66" s="17" t="s">
        <v>133</v>
      </c>
      <c r="D66" s="17" t="s">
        <v>16</v>
      </c>
      <c r="E66" s="18">
        <f>ROUND(17369*1.05,2)</f>
      </c>
      <c r="F66" s="17" t="s">
        <v>17</v>
      </c>
      <c r="G66" s="17" t="s">
        <v>18</v>
      </c>
      <c r="H66" s="18">
        <f>ROUND(RAND()*4+6,1)</f>
      </c>
      <c r="I66" s="17" t="s">
        <v>19</v>
      </c>
      <c r="J66" s="19">
        <f>ROUND(85*1,0)&amp;"%"</f>
      </c>
    </row>
    <row x14ac:dyDescent="0.25" r="67" customHeight="1" ht="17.25">
      <c r="A67" s="20" t="s">
        <v>9302</v>
      </c>
      <c r="B67" s="20" t="s">
        <v>135</v>
      </c>
      <c r="C67" s="20" t="s">
        <v>133</v>
      </c>
      <c r="D67" s="20" t="s">
        <v>22</v>
      </c>
      <c r="E67" s="21">
        <f>ROUND(9453*1.05,2)</f>
      </c>
      <c r="F67" s="20" t="s">
        <v>23</v>
      </c>
      <c r="G67" s="20" t="s">
        <v>24</v>
      </c>
      <c r="H67" s="21">
        <f>ROUND(RAND()*4+6,1)</f>
      </c>
      <c r="I67" s="20" t="s">
        <v>25</v>
      </c>
      <c r="J67" s="23">
        <f>ROUND(94*1,0)&amp;"%"</f>
      </c>
    </row>
    <row x14ac:dyDescent="0.25" r="68" customHeight="1" ht="17.25">
      <c r="A68" s="17" t="s">
        <v>9303</v>
      </c>
      <c r="B68" s="17" t="s">
        <v>137</v>
      </c>
      <c r="C68" s="17" t="s">
        <v>133</v>
      </c>
      <c r="D68" s="17" t="s">
        <v>28</v>
      </c>
      <c r="E68" s="18">
        <f>ROUND(15464*1.05,2)</f>
      </c>
      <c r="F68" s="17" t="s">
        <v>29</v>
      </c>
      <c r="G68" s="17" t="s">
        <v>30</v>
      </c>
      <c r="H68" s="18">
        <f>ROUND(RAND()*4+6,1)</f>
      </c>
      <c r="I68" s="17" t="s">
        <v>31</v>
      </c>
      <c r="J68" s="19">
        <f>ROUND(76*1,0)&amp;"%"</f>
      </c>
    </row>
    <row x14ac:dyDescent="0.25" r="69" customHeight="1" ht="17.25">
      <c r="A69" s="20" t="s">
        <v>9304</v>
      </c>
      <c r="B69" s="20" t="s">
        <v>139</v>
      </c>
      <c r="C69" s="20" t="s">
        <v>133</v>
      </c>
      <c r="D69" s="20" t="s">
        <v>34</v>
      </c>
      <c r="E69" s="22">
        <f>ROUND(11500*1.05,2)</f>
      </c>
      <c r="F69" s="20" t="s">
        <v>35</v>
      </c>
      <c r="G69" s="20" t="s">
        <v>18</v>
      </c>
      <c r="H69" s="21">
        <f>ROUND(RAND()*4+6,1)</f>
      </c>
      <c r="I69" s="20" t="s">
        <v>36</v>
      </c>
      <c r="J69" s="23">
        <f>ROUND(87*1,0)&amp;"%"</f>
      </c>
    </row>
    <row x14ac:dyDescent="0.25" r="70" customHeight="1" ht="17.25">
      <c r="A70" s="17" t="s">
        <v>9305</v>
      </c>
      <c r="B70" s="17" t="s">
        <v>141</v>
      </c>
      <c r="C70" s="17" t="s">
        <v>133</v>
      </c>
      <c r="D70" s="17" t="s">
        <v>39</v>
      </c>
      <c r="E70" s="18">
        <f>ROUND(7231*1.05,2)</f>
      </c>
      <c r="F70" s="17" t="s">
        <v>40</v>
      </c>
      <c r="G70" s="17" t="s">
        <v>24</v>
      </c>
      <c r="H70" s="18">
        <f>ROUND(RAND()*4+6,1)</f>
      </c>
      <c r="I70" s="17" t="s">
        <v>41</v>
      </c>
      <c r="J70" s="19">
        <f>ROUND(98*1,0)&amp;"%"</f>
      </c>
    </row>
    <row x14ac:dyDescent="0.25" r="71" customHeight="1" ht="17.25">
      <c r="A71" s="20" t="s">
        <v>9306</v>
      </c>
      <c r="B71" s="20" t="s">
        <v>143</v>
      </c>
      <c r="C71" s="20" t="s">
        <v>133</v>
      </c>
      <c r="D71" s="20" t="s">
        <v>67</v>
      </c>
      <c r="E71" s="21">
        <f>ROUND(13910*1.05,2)</f>
      </c>
      <c r="F71" s="20" t="s">
        <v>44</v>
      </c>
      <c r="G71" s="20" t="s">
        <v>30</v>
      </c>
      <c r="H71" s="21">
        <f>ROUND(RAND()*4+6,1)</f>
      </c>
      <c r="I71" s="20" t="s">
        <v>45</v>
      </c>
      <c r="J71" s="23">
        <f>ROUND(74*1,0)&amp;"%"</f>
      </c>
    </row>
    <row x14ac:dyDescent="0.25" r="72" customHeight="1" ht="17.25">
      <c r="A72" s="17" t="s">
        <v>9307</v>
      </c>
      <c r="B72" s="17" t="s">
        <v>145</v>
      </c>
      <c r="C72" s="17" t="s">
        <v>133</v>
      </c>
      <c r="D72" s="17" t="s">
        <v>16</v>
      </c>
      <c r="E72" s="18">
        <f>ROUND(6627*1.05,2)</f>
      </c>
      <c r="F72" s="17" t="s">
        <v>48</v>
      </c>
      <c r="G72" s="17" t="s">
        <v>18</v>
      </c>
      <c r="H72" s="18">
        <f>ROUND(RAND()*4+6,1)</f>
      </c>
      <c r="I72" s="17" t="s">
        <v>19</v>
      </c>
      <c r="J72" s="19">
        <f>ROUND(69*1,0)&amp;"%"</f>
      </c>
    </row>
    <row x14ac:dyDescent="0.25" r="73" customHeight="1" ht="17.25">
      <c r="A73" s="20" t="s">
        <v>9308</v>
      </c>
      <c r="B73" s="20" t="s">
        <v>147</v>
      </c>
      <c r="C73" s="20" t="s">
        <v>133</v>
      </c>
      <c r="D73" s="20" t="s">
        <v>22</v>
      </c>
      <c r="E73" s="21">
        <f>ROUND(5587*1.05,2)</f>
      </c>
      <c r="F73" s="20" t="s">
        <v>51</v>
      </c>
      <c r="G73" s="20" t="s">
        <v>24</v>
      </c>
      <c r="H73" s="21">
        <f>ROUND(RAND()*4+6,1)</f>
      </c>
      <c r="I73" s="20" t="s">
        <v>25</v>
      </c>
      <c r="J73" s="23">
        <f>ROUND(94*1,0)&amp;"%"</f>
      </c>
    </row>
    <row x14ac:dyDescent="0.25" r="74" customHeight="1" ht="17.25">
      <c r="A74" s="24" t="s">
        <v>148</v>
      </c>
      <c r="B74" s="24"/>
      <c r="C74" s="24"/>
      <c r="D74" s="24"/>
      <c r="E74" s="25">
        <v>8</v>
      </c>
      <c r="F74" s="9"/>
      <c r="G74" s="9"/>
      <c r="H74" s="10"/>
      <c r="I74" s="9"/>
      <c r="J74" s="9"/>
    </row>
    <row x14ac:dyDescent="0.25" r="75" customHeight="1" ht="17.25">
      <c r="A75" s="7"/>
      <c r="B75" s="7"/>
      <c r="C75" s="7"/>
      <c r="D75" s="7"/>
      <c r="E75" s="8"/>
      <c r="F75" s="9"/>
      <c r="G75" s="9"/>
      <c r="H75" s="10"/>
      <c r="I75" s="9"/>
      <c r="J75" s="9"/>
    </row>
    <row x14ac:dyDescent="0.25" r="76" customHeight="1" ht="17.25">
      <c r="A76" s="11" t="s">
        <v>9309</v>
      </c>
      <c r="B76" s="11"/>
      <c r="C76" s="11"/>
      <c r="D76" s="11"/>
      <c r="E76" s="12"/>
      <c r="F76" s="11"/>
      <c r="G76" s="11"/>
      <c r="H76" s="13"/>
      <c r="I76" s="11"/>
      <c r="J76" s="11"/>
    </row>
    <row x14ac:dyDescent="0.25" r="77" customHeight="1" ht="17.25">
      <c r="A77" s="14" t="s">
        <v>3</v>
      </c>
      <c r="B77" s="14" t="s">
        <v>4</v>
      </c>
      <c r="C77" s="14" t="s">
        <v>5</v>
      </c>
      <c r="D77" s="14" t="s">
        <v>6</v>
      </c>
      <c r="E77" s="15" t="s">
        <v>7</v>
      </c>
      <c r="F77" s="14" t="s">
        <v>8</v>
      </c>
      <c r="G77" s="14" t="s">
        <v>9</v>
      </c>
      <c r="H77" s="16" t="s">
        <v>10</v>
      </c>
      <c r="I77" s="14" t="s">
        <v>11</v>
      </c>
      <c r="J77" s="14" t="s">
        <v>12</v>
      </c>
    </row>
    <row x14ac:dyDescent="0.25" r="78" customHeight="1" ht="17.25">
      <c r="A78" s="17" t="s">
        <v>9310</v>
      </c>
      <c r="B78" s="17" t="s">
        <v>151</v>
      </c>
      <c r="C78" s="17" t="s">
        <v>152</v>
      </c>
      <c r="D78" s="17" t="s">
        <v>16</v>
      </c>
      <c r="E78" s="26">
        <f>ROUND(11600*1.05,2)</f>
      </c>
      <c r="F78" s="17" t="s">
        <v>17</v>
      </c>
      <c r="G78" s="17" t="s">
        <v>18</v>
      </c>
      <c r="H78" s="18">
        <f>ROUND(RAND()*4+6,1)</f>
      </c>
      <c r="I78" s="17" t="s">
        <v>19</v>
      </c>
      <c r="J78" s="19">
        <f>ROUND(86*1,0)&amp;"%"</f>
      </c>
    </row>
    <row x14ac:dyDescent="0.25" r="79" customHeight="1" ht="17.25">
      <c r="A79" s="20" t="s">
        <v>9311</v>
      </c>
      <c r="B79" s="20" t="s">
        <v>154</v>
      </c>
      <c r="C79" s="20" t="s">
        <v>152</v>
      </c>
      <c r="D79" s="20" t="s">
        <v>22</v>
      </c>
      <c r="E79" s="21">
        <f>ROUND(12786*1.05,2)</f>
      </c>
      <c r="F79" s="20" t="s">
        <v>23</v>
      </c>
      <c r="G79" s="20" t="s">
        <v>24</v>
      </c>
      <c r="H79" s="21">
        <f>ROUND(RAND()*4+6,1)</f>
      </c>
      <c r="I79" s="20" t="s">
        <v>25</v>
      </c>
      <c r="J79" s="23">
        <f>ROUND(68*1,0)&amp;"%"</f>
      </c>
    </row>
    <row x14ac:dyDescent="0.25" r="80" customHeight="1" ht="17.25">
      <c r="A80" s="17" t="s">
        <v>9312</v>
      </c>
      <c r="B80" s="17" t="s">
        <v>156</v>
      </c>
      <c r="C80" s="17" t="s">
        <v>152</v>
      </c>
      <c r="D80" s="17" t="s">
        <v>28</v>
      </c>
      <c r="E80" s="18">
        <f>ROUND(4524*1.05,2)</f>
      </c>
      <c r="F80" s="17" t="s">
        <v>29</v>
      </c>
      <c r="G80" s="17" t="s">
        <v>30</v>
      </c>
      <c r="H80" s="18">
        <f>ROUND(RAND()*4+6,1)</f>
      </c>
      <c r="I80" s="17" t="s">
        <v>31</v>
      </c>
      <c r="J80" s="19">
        <f>ROUND(97*1,0)&amp;"%"</f>
      </c>
    </row>
    <row x14ac:dyDescent="0.25" r="81" customHeight="1" ht="17.25">
      <c r="A81" s="20" t="s">
        <v>9313</v>
      </c>
      <c r="B81" s="20" t="s">
        <v>158</v>
      </c>
      <c r="C81" s="20" t="s">
        <v>152</v>
      </c>
      <c r="D81" s="20" t="s">
        <v>34</v>
      </c>
      <c r="E81" s="21">
        <f>ROUND(9737*1.05,2)</f>
      </c>
      <c r="F81" s="20" t="s">
        <v>35</v>
      </c>
      <c r="G81" s="20" t="s">
        <v>18</v>
      </c>
      <c r="H81" s="21">
        <f>ROUND(RAND()*4+6,1)</f>
      </c>
      <c r="I81" s="20" t="s">
        <v>36</v>
      </c>
      <c r="J81" s="23">
        <f>ROUND(71*1,0)&amp;"%"</f>
      </c>
    </row>
    <row x14ac:dyDescent="0.25" r="82" customHeight="1" ht="17.25">
      <c r="A82" s="17" t="s">
        <v>9314</v>
      </c>
      <c r="B82" s="17" t="s">
        <v>160</v>
      </c>
      <c r="C82" s="17" t="s">
        <v>152</v>
      </c>
      <c r="D82" s="17" t="s">
        <v>39</v>
      </c>
      <c r="E82" s="18">
        <f>ROUND(6837*1.05,2)</f>
      </c>
      <c r="F82" s="17" t="s">
        <v>40</v>
      </c>
      <c r="G82" s="17" t="s">
        <v>24</v>
      </c>
      <c r="H82" s="18">
        <f>ROUND(RAND()*4+6,1)</f>
      </c>
      <c r="I82" s="17" t="s">
        <v>41</v>
      </c>
      <c r="J82" s="19">
        <f>ROUND(67*1,0)&amp;"%"</f>
      </c>
    </row>
    <row x14ac:dyDescent="0.25" r="83" customHeight="1" ht="17.25">
      <c r="A83" s="20" t="s">
        <v>9315</v>
      </c>
      <c r="B83" s="20" t="s">
        <v>162</v>
      </c>
      <c r="C83" s="20" t="s">
        <v>152</v>
      </c>
      <c r="D83" s="20" t="s">
        <v>67</v>
      </c>
      <c r="E83" s="21">
        <f>ROUND(11244*1.05,2)</f>
      </c>
      <c r="F83" s="20" t="s">
        <v>44</v>
      </c>
      <c r="G83" s="20" t="s">
        <v>30</v>
      </c>
      <c r="H83" s="21">
        <f>ROUND(RAND()*4+6,1)</f>
      </c>
      <c r="I83" s="20" t="s">
        <v>45</v>
      </c>
      <c r="J83" s="23">
        <f>ROUND(75*1,0)&amp;"%"</f>
      </c>
    </row>
    <row x14ac:dyDescent="0.25" r="84" customHeight="1" ht="17.25">
      <c r="A84" s="17" t="s">
        <v>9316</v>
      </c>
      <c r="B84" s="17" t="s">
        <v>164</v>
      </c>
      <c r="C84" s="17" t="s">
        <v>152</v>
      </c>
      <c r="D84" s="17" t="s">
        <v>16</v>
      </c>
      <c r="E84" s="18">
        <f>ROUND(16956*1.05,2)</f>
      </c>
      <c r="F84" s="17" t="s">
        <v>48</v>
      </c>
      <c r="G84" s="17" t="s">
        <v>18</v>
      </c>
      <c r="H84" s="26">
        <f>ROUND(RAND()*4+6,1)</f>
      </c>
      <c r="I84" s="17" t="s">
        <v>19</v>
      </c>
      <c r="J84" s="19">
        <f>ROUND(97*1,0)&amp;"%"</f>
      </c>
    </row>
    <row x14ac:dyDescent="0.25" r="85" customHeight="1" ht="17.25">
      <c r="A85" s="20" t="s">
        <v>9317</v>
      </c>
      <c r="B85" s="20" t="s">
        <v>166</v>
      </c>
      <c r="C85" s="20" t="s">
        <v>152</v>
      </c>
      <c r="D85" s="20" t="s">
        <v>22</v>
      </c>
      <c r="E85" s="21">
        <f>ROUND(10094*1.05,2)</f>
      </c>
      <c r="F85" s="20" t="s">
        <v>51</v>
      </c>
      <c r="G85" s="20" t="s">
        <v>24</v>
      </c>
      <c r="H85" s="21">
        <f>ROUND(RAND()*4+6,1)</f>
      </c>
      <c r="I85" s="20" t="s">
        <v>25</v>
      </c>
      <c r="J85" s="23">
        <f>ROUND(61*1,0)&amp;"%"</f>
      </c>
    </row>
    <row x14ac:dyDescent="0.25" r="86" customHeight="1" ht="17.25">
      <c r="A86" s="24" t="s">
        <v>167</v>
      </c>
      <c r="B86" s="24"/>
      <c r="C86" s="24"/>
      <c r="D86" s="24"/>
      <c r="E86" s="25">
        <v>8</v>
      </c>
      <c r="F86" s="9"/>
      <c r="G86" s="9"/>
      <c r="H86" s="10"/>
      <c r="I86" s="9"/>
      <c r="J86" s="9"/>
    </row>
    <row x14ac:dyDescent="0.25" r="87" customHeight="1" ht="17.25">
      <c r="A87" s="7"/>
      <c r="B87" s="7"/>
      <c r="C87" s="7"/>
      <c r="D87" s="7"/>
      <c r="E87" s="8"/>
      <c r="F87" s="9"/>
      <c r="G87" s="9"/>
      <c r="H87" s="10"/>
      <c r="I87" s="9"/>
      <c r="J87" s="9"/>
    </row>
    <row x14ac:dyDescent="0.25" r="88" customHeight="1" ht="17.25">
      <c r="A88" s="11" t="s">
        <v>9318</v>
      </c>
      <c r="B88" s="11"/>
      <c r="C88" s="11"/>
      <c r="D88" s="11"/>
      <c r="E88" s="12"/>
      <c r="F88" s="11"/>
      <c r="G88" s="11"/>
      <c r="H88" s="13"/>
      <c r="I88" s="11"/>
      <c r="J88" s="11"/>
    </row>
    <row x14ac:dyDescent="0.25" r="89" customHeight="1" ht="17.25">
      <c r="A89" s="14" t="s">
        <v>3</v>
      </c>
      <c r="B89" s="14" t="s">
        <v>4</v>
      </c>
      <c r="C89" s="14" t="s">
        <v>5</v>
      </c>
      <c r="D89" s="14" t="s">
        <v>6</v>
      </c>
      <c r="E89" s="15" t="s">
        <v>7</v>
      </c>
      <c r="F89" s="14" t="s">
        <v>8</v>
      </c>
      <c r="G89" s="14" t="s">
        <v>9</v>
      </c>
      <c r="H89" s="16" t="s">
        <v>10</v>
      </c>
      <c r="I89" s="14" t="s">
        <v>11</v>
      </c>
      <c r="J89" s="14" t="s">
        <v>12</v>
      </c>
    </row>
    <row x14ac:dyDescent="0.25" r="90" customHeight="1" ht="17.25">
      <c r="A90" s="17" t="s">
        <v>9319</v>
      </c>
      <c r="B90" s="17" t="s">
        <v>170</v>
      </c>
      <c r="C90" s="17" t="s">
        <v>15</v>
      </c>
      <c r="D90" s="17" t="s">
        <v>16</v>
      </c>
      <c r="E90" s="18">
        <f>ROUND(6433*1.05,2)</f>
      </c>
      <c r="F90" s="17" t="s">
        <v>17</v>
      </c>
      <c r="G90" s="17" t="s">
        <v>18</v>
      </c>
      <c r="H90" s="18">
        <f>ROUND(RAND()*4+6,1)</f>
      </c>
      <c r="I90" s="17" t="s">
        <v>19</v>
      </c>
      <c r="J90" s="19">
        <f>ROUND(95*1,0)&amp;"%"</f>
      </c>
    </row>
    <row x14ac:dyDescent="0.25" r="91" customHeight="1" ht="17.25">
      <c r="A91" s="20" t="s">
        <v>9320</v>
      </c>
      <c r="B91" s="20" t="s">
        <v>172</v>
      </c>
      <c r="C91" s="20" t="s">
        <v>15</v>
      </c>
      <c r="D91" s="20" t="s">
        <v>22</v>
      </c>
      <c r="E91" s="21">
        <f>ROUND(16182*1.05,2)</f>
      </c>
      <c r="F91" s="20" t="s">
        <v>23</v>
      </c>
      <c r="G91" s="20" t="s">
        <v>24</v>
      </c>
      <c r="H91" s="21">
        <f>ROUND(RAND()*4+6,1)</f>
      </c>
      <c r="I91" s="20" t="s">
        <v>25</v>
      </c>
      <c r="J91" s="23">
        <f>ROUND(64*1,0)&amp;"%"</f>
      </c>
    </row>
    <row x14ac:dyDescent="0.25" r="92" customHeight="1" ht="17.25">
      <c r="A92" s="17" t="s">
        <v>9321</v>
      </c>
      <c r="B92" s="17" t="s">
        <v>174</v>
      </c>
      <c r="C92" s="17" t="s">
        <v>15</v>
      </c>
      <c r="D92" s="17" t="s">
        <v>28</v>
      </c>
      <c r="E92" s="18">
        <f>ROUND(17131*1.05,2)</f>
      </c>
      <c r="F92" s="17" t="s">
        <v>29</v>
      </c>
      <c r="G92" s="17" t="s">
        <v>30</v>
      </c>
      <c r="H92" s="18">
        <f>ROUND(RAND()*4+6,1)</f>
      </c>
      <c r="I92" s="17" t="s">
        <v>31</v>
      </c>
      <c r="J92" s="19">
        <f>ROUND(69*1,0)&amp;"%"</f>
      </c>
    </row>
    <row x14ac:dyDescent="0.25" r="93" customHeight="1" ht="17.25">
      <c r="A93" s="20" t="s">
        <v>9322</v>
      </c>
      <c r="B93" s="20" t="s">
        <v>176</v>
      </c>
      <c r="C93" s="20" t="s">
        <v>15</v>
      </c>
      <c r="D93" s="20" t="s">
        <v>34</v>
      </c>
      <c r="E93" s="21">
        <f>ROUND(12455*1.05,2)</f>
      </c>
      <c r="F93" s="20" t="s">
        <v>35</v>
      </c>
      <c r="G93" s="20" t="s">
        <v>18</v>
      </c>
      <c r="H93" s="21">
        <f>ROUND(RAND()*4+6,1)</f>
      </c>
      <c r="I93" s="20" t="s">
        <v>36</v>
      </c>
      <c r="J93" s="23">
        <f>ROUND(96*1,0)&amp;"%"</f>
      </c>
    </row>
    <row x14ac:dyDescent="0.25" r="94" customHeight="1" ht="17.25">
      <c r="A94" s="17" t="s">
        <v>9323</v>
      </c>
      <c r="B94" s="17" t="s">
        <v>178</v>
      </c>
      <c r="C94" s="17" t="s">
        <v>15</v>
      </c>
      <c r="D94" s="17" t="s">
        <v>39</v>
      </c>
      <c r="E94" s="18">
        <f>ROUND(11523*1.05,2)</f>
      </c>
      <c r="F94" s="17" t="s">
        <v>40</v>
      </c>
      <c r="G94" s="17" t="s">
        <v>24</v>
      </c>
      <c r="H94" s="18">
        <f>ROUND(RAND()*4+6,1)</f>
      </c>
      <c r="I94" s="17" t="s">
        <v>41</v>
      </c>
      <c r="J94" s="19">
        <f>ROUND(80*1,0)&amp;"%"</f>
      </c>
    </row>
    <row x14ac:dyDescent="0.25" r="95" customHeight="1" ht="17.25">
      <c r="A95" s="20" t="s">
        <v>9324</v>
      </c>
      <c r="B95" s="20" t="s">
        <v>180</v>
      </c>
      <c r="C95" s="20" t="s">
        <v>15</v>
      </c>
      <c r="D95" s="20" t="s">
        <v>67</v>
      </c>
      <c r="E95" s="21">
        <f>ROUND(16930*1.05,2)</f>
      </c>
      <c r="F95" s="20" t="s">
        <v>44</v>
      </c>
      <c r="G95" s="20" t="s">
        <v>30</v>
      </c>
      <c r="H95" s="21">
        <f>ROUND(RAND()*4+6,1)</f>
      </c>
      <c r="I95" s="20" t="s">
        <v>45</v>
      </c>
      <c r="J95" s="23">
        <f>ROUND(85*1,0)&amp;"%"</f>
      </c>
    </row>
    <row x14ac:dyDescent="0.25" r="96" customHeight="1" ht="17.25">
      <c r="A96" s="17" t="s">
        <v>9325</v>
      </c>
      <c r="B96" s="17" t="s">
        <v>182</v>
      </c>
      <c r="C96" s="17" t="s">
        <v>15</v>
      </c>
      <c r="D96" s="17" t="s">
        <v>16</v>
      </c>
      <c r="E96" s="18">
        <f>ROUND(16183*1.05,2)</f>
      </c>
      <c r="F96" s="17" t="s">
        <v>48</v>
      </c>
      <c r="G96" s="17" t="s">
        <v>18</v>
      </c>
      <c r="H96" s="18">
        <f>ROUND(RAND()*4+6,1)</f>
      </c>
      <c r="I96" s="17" t="s">
        <v>19</v>
      </c>
      <c r="J96" s="19">
        <f>ROUND(67*1,0)&amp;"%"</f>
      </c>
    </row>
    <row x14ac:dyDescent="0.25" r="97" customHeight="1" ht="17.25">
      <c r="A97" s="20" t="s">
        <v>9326</v>
      </c>
      <c r="B97" s="20" t="s">
        <v>184</v>
      </c>
      <c r="C97" s="20" t="s">
        <v>15</v>
      </c>
      <c r="D97" s="20" t="s">
        <v>22</v>
      </c>
      <c r="E97" s="21">
        <f>ROUND(11639*1.05,2)</f>
      </c>
      <c r="F97" s="20" t="s">
        <v>51</v>
      </c>
      <c r="G97" s="20" t="s">
        <v>24</v>
      </c>
      <c r="H97" s="21">
        <f>ROUND(RAND()*4+6,1)</f>
      </c>
      <c r="I97" s="20" t="s">
        <v>25</v>
      </c>
      <c r="J97" s="23">
        <f>ROUND(79*1,0)&amp;"%"</f>
      </c>
    </row>
    <row x14ac:dyDescent="0.25" r="98" customHeight="1" ht="17.25">
      <c r="A98" s="24" t="s">
        <v>185</v>
      </c>
      <c r="B98" s="24"/>
      <c r="C98" s="24"/>
      <c r="D98" s="24"/>
      <c r="E98" s="25">
        <v>8</v>
      </c>
      <c r="F98" s="9"/>
      <c r="G98" s="9"/>
      <c r="H98" s="10"/>
      <c r="I98" s="9"/>
      <c r="J98" s="9"/>
    </row>
    <row x14ac:dyDescent="0.25" r="99" customHeight="1" ht="17.25">
      <c r="A99" s="7"/>
      <c r="B99" s="7"/>
      <c r="C99" s="7"/>
      <c r="D99" s="7"/>
      <c r="E99" s="8"/>
      <c r="F99" s="9"/>
      <c r="G99" s="9"/>
      <c r="H99" s="10"/>
      <c r="I99" s="9"/>
      <c r="J99" s="9"/>
    </row>
    <row x14ac:dyDescent="0.25" r="100" customHeight="1" ht="17.25">
      <c r="A100" s="11" t="s">
        <v>9327</v>
      </c>
      <c r="B100" s="11"/>
      <c r="C100" s="11"/>
      <c r="D100" s="11"/>
      <c r="E100" s="12"/>
      <c r="F100" s="11"/>
      <c r="G100" s="11"/>
      <c r="H100" s="13"/>
      <c r="I100" s="11"/>
      <c r="J100" s="11"/>
    </row>
    <row x14ac:dyDescent="0.25" r="101" customHeight="1" ht="17.25">
      <c r="A101" s="14" t="s">
        <v>3</v>
      </c>
      <c r="B101" s="14" t="s">
        <v>4</v>
      </c>
      <c r="C101" s="14" t="s">
        <v>5</v>
      </c>
      <c r="D101" s="14" t="s">
        <v>6</v>
      </c>
      <c r="E101" s="15" t="s">
        <v>7</v>
      </c>
      <c r="F101" s="14" t="s">
        <v>8</v>
      </c>
      <c r="G101" s="14" t="s">
        <v>9</v>
      </c>
      <c r="H101" s="16" t="s">
        <v>10</v>
      </c>
      <c r="I101" s="14" t="s">
        <v>11</v>
      </c>
      <c r="J101" s="14" t="s">
        <v>12</v>
      </c>
    </row>
    <row x14ac:dyDescent="0.25" r="102" customHeight="1" ht="17.25">
      <c r="A102" s="17" t="s">
        <v>9328</v>
      </c>
      <c r="B102" s="17" t="s">
        <v>188</v>
      </c>
      <c r="C102" s="17" t="s">
        <v>56</v>
      </c>
      <c r="D102" s="17" t="s">
        <v>16</v>
      </c>
      <c r="E102" s="26">
        <f>ROUND(11080*1.05,2)</f>
      </c>
      <c r="F102" s="17" t="s">
        <v>17</v>
      </c>
      <c r="G102" s="17" t="s">
        <v>18</v>
      </c>
      <c r="H102" s="26">
        <f>ROUND(RAND()*4+6,1)</f>
      </c>
      <c r="I102" s="17" t="s">
        <v>19</v>
      </c>
      <c r="J102" s="19">
        <f>ROUND(76*1,0)&amp;"%"</f>
      </c>
    </row>
    <row x14ac:dyDescent="0.25" r="103" customHeight="1" ht="17.25">
      <c r="A103" s="20" t="s">
        <v>9329</v>
      </c>
      <c r="B103" s="20" t="s">
        <v>190</v>
      </c>
      <c r="C103" s="20" t="s">
        <v>56</v>
      </c>
      <c r="D103" s="20" t="s">
        <v>22</v>
      </c>
      <c r="E103" s="21">
        <f>ROUND(17025*1.05,2)</f>
      </c>
      <c r="F103" s="20" t="s">
        <v>23</v>
      </c>
      <c r="G103" s="20" t="s">
        <v>24</v>
      </c>
      <c r="H103" s="22">
        <f>ROUND(RAND()*4+6,1)</f>
      </c>
      <c r="I103" s="20" t="s">
        <v>25</v>
      </c>
      <c r="J103" s="23">
        <f>ROUND(77*1,0)&amp;"%"</f>
      </c>
    </row>
    <row x14ac:dyDescent="0.25" r="104" customHeight="1" ht="17.25">
      <c r="A104" s="17" t="s">
        <v>9330</v>
      </c>
      <c r="B104" s="17" t="s">
        <v>192</v>
      </c>
      <c r="C104" s="17" t="s">
        <v>56</v>
      </c>
      <c r="D104" s="17" t="s">
        <v>28</v>
      </c>
      <c r="E104" s="18">
        <f>ROUND(10359*1.05,2)</f>
      </c>
      <c r="F104" s="17" t="s">
        <v>29</v>
      </c>
      <c r="G104" s="17" t="s">
        <v>30</v>
      </c>
      <c r="H104" s="18">
        <f>ROUND(RAND()*4+6,1)</f>
      </c>
      <c r="I104" s="17" t="s">
        <v>31</v>
      </c>
      <c r="J104" s="19">
        <f>ROUND(76*1,0)&amp;"%"</f>
      </c>
    </row>
    <row x14ac:dyDescent="0.25" r="105" customHeight="1" ht="17.25">
      <c r="A105" s="20" t="s">
        <v>9331</v>
      </c>
      <c r="B105" s="20" t="s">
        <v>194</v>
      </c>
      <c r="C105" s="20" t="s">
        <v>56</v>
      </c>
      <c r="D105" s="20" t="s">
        <v>34</v>
      </c>
      <c r="E105" s="21">
        <f>ROUND(4861*1.05,2)</f>
      </c>
      <c r="F105" s="20" t="s">
        <v>35</v>
      </c>
      <c r="G105" s="20" t="s">
        <v>18</v>
      </c>
      <c r="H105" s="21">
        <f>ROUND(RAND()*4+6,1)</f>
      </c>
      <c r="I105" s="20" t="s">
        <v>36</v>
      </c>
      <c r="J105" s="23">
        <f>ROUND(100*1,0)&amp;"%"</f>
      </c>
    </row>
    <row x14ac:dyDescent="0.25" r="106" customHeight="1" ht="17.25">
      <c r="A106" s="17" t="s">
        <v>9332</v>
      </c>
      <c r="B106" s="17" t="s">
        <v>196</v>
      </c>
      <c r="C106" s="17" t="s">
        <v>56</v>
      </c>
      <c r="D106" s="17" t="s">
        <v>39</v>
      </c>
      <c r="E106" s="18">
        <f>ROUND(17214*1.05,2)</f>
      </c>
      <c r="F106" s="17" t="s">
        <v>40</v>
      </c>
      <c r="G106" s="17" t="s">
        <v>24</v>
      </c>
      <c r="H106" s="18">
        <f>ROUND(RAND()*4+6,1)</f>
      </c>
      <c r="I106" s="17" t="s">
        <v>41</v>
      </c>
      <c r="J106" s="19">
        <f>ROUND(71*1,0)&amp;"%"</f>
      </c>
    </row>
    <row x14ac:dyDescent="0.25" r="107" customHeight="1" ht="17.25">
      <c r="A107" s="20" t="s">
        <v>9333</v>
      </c>
      <c r="B107" s="20" t="s">
        <v>198</v>
      </c>
      <c r="C107" s="20" t="s">
        <v>56</v>
      </c>
      <c r="D107" s="20" t="s">
        <v>67</v>
      </c>
      <c r="E107" s="21">
        <f>ROUND(9391*1.05,2)</f>
      </c>
      <c r="F107" s="20" t="s">
        <v>44</v>
      </c>
      <c r="G107" s="20" t="s">
        <v>30</v>
      </c>
      <c r="H107" s="21">
        <f>ROUND(RAND()*4+6,1)</f>
      </c>
      <c r="I107" s="20" t="s">
        <v>45</v>
      </c>
      <c r="J107" s="23">
        <f>ROUND(75*1,0)&amp;"%"</f>
      </c>
    </row>
    <row x14ac:dyDescent="0.25" r="108" customHeight="1" ht="17.25">
      <c r="A108" s="17" t="s">
        <v>9334</v>
      </c>
      <c r="B108" s="17" t="s">
        <v>200</v>
      </c>
      <c r="C108" s="17" t="s">
        <v>56</v>
      </c>
      <c r="D108" s="17" t="s">
        <v>16</v>
      </c>
      <c r="E108" s="18">
        <f>ROUND(6423*1.05,2)</f>
      </c>
      <c r="F108" s="17" t="s">
        <v>48</v>
      </c>
      <c r="G108" s="17" t="s">
        <v>18</v>
      </c>
      <c r="H108" s="18">
        <f>ROUND(RAND()*4+6,1)</f>
      </c>
      <c r="I108" s="17" t="s">
        <v>19</v>
      </c>
      <c r="J108" s="19">
        <f>ROUND(89*1,0)&amp;"%"</f>
      </c>
    </row>
    <row x14ac:dyDescent="0.25" r="109" customHeight="1" ht="17.25">
      <c r="A109" s="20" t="s">
        <v>9335</v>
      </c>
      <c r="B109" s="20" t="s">
        <v>202</v>
      </c>
      <c r="C109" s="20" t="s">
        <v>56</v>
      </c>
      <c r="D109" s="20" t="s">
        <v>22</v>
      </c>
      <c r="E109" s="21">
        <f>ROUND(16509*1.05,2)</f>
      </c>
      <c r="F109" s="20" t="s">
        <v>51</v>
      </c>
      <c r="G109" s="20" t="s">
        <v>24</v>
      </c>
      <c r="H109" s="21">
        <f>ROUND(RAND()*4+6,1)</f>
      </c>
      <c r="I109" s="20" t="s">
        <v>25</v>
      </c>
      <c r="J109" s="23">
        <f>ROUND(91*1,0)&amp;"%"</f>
      </c>
    </row>
    <row x14ac:dyDescent="0.25" r="110" customHeight="1" ht="17.25">
      <c r="A110" s="24" t="s">
        <v>203</v>
      </c>
      <c r="B110" s="24"/>
      <c r="C110" s="24"/>
      <c r="D110" s="24"/>
      <c r="E110" s="25">
        <v>8</v>
      </c>
      <c r="F110" s="9"/>
      <c r="G110" s="9"/>
      <c r="H110" s="10"/>
      <c r="I110" s="9"/>
      <c r="J110" s="9"/>
    </row>
    <row x14ac:dyDescent="0.25" r="111" customHeight="1" ht="17.25">
      <c r="A111" s="7"/>
      <c r="B111" s="7"/>
      <c r="C111" s="7"/>
      <c r="D111" s="7"/>
      <c r="E111" s="8"/>
      <c r="F111" s="9"/>
      <c r="G111" s="9"/>
      <c r="H111" s="10"/>
      <c r="I111" s="9"/>
      <c r="J111" s="9"/>
    </row>
    <row x14ac:dyDescent="0.25" r="112" customHeight="1" ht="17.25">
      <c r="A112" s="11" t="s">
        <v>9336</v>
      </c>
      <c r="B112" s="11"/>
      <c r="C112" s="11"/>
      <c r="D112" s="11"/>
      <c r="E112" s="12"/>
      <c r="F112" s="11"/>
      <c r="G112" s="11"/>
      <c r="H112" s="13"/>
      <c r="I112" s="11"/>
      <c r="J112" s="11"/>
    </row>
    <row x14ac:dyDescent="0.25" r="113" customHeight="1" ht="17.25">
      <c r="A113" s="14" t="s">
        <v>3</v>
      </c>
      <c r="B113" s="14" t="s">
        <v>4</v>
      </c>
      <c r="C113" s="14" t="s">
        <v>5</v>
      </c>
      <c r="D113" s="14" t="s">
        <v>6</v>
      </c>
      <c r="E113" s="15" t="s">
        <v>7</v>
      </c>
      <c r="F113" s="14" t="s">
        <v>8</v>
      </c>
      <c r="G113" s="14" t="s">
        <v>9</v>
      </c>
      <c r="H113" s="16" t="s">
        <v>10</v>
      </c>
      <c r="I113" s="14" t="s">
        <v>11</v>
      </c>
      <c r="J113" s="14" t="s">
        <v>12</v>
      </c>
    </row>
    <row x14ac:dyDescent="0.25" r="114" customHeight="1" ht="17.25">
      <c r="A114" s="17" t="s">
        <v>9337</v>
      </c>
      <c r="B114" s="17" t="s">
        <v>206</v>
      </c>
      <c r="C114" s="17" t="s">
        <v>76</v>
      </c>
      <c r="D114" s="17" t="s">
        <v>16</v>
      </c>
      <c r="E114" s="18">
        <f>ROUND(8294*1.05,2)</f>
      </c>
      <c r="F114" s="17" t="s">
        <v>17</v>
      </c>
      <c r="G114" s="17" t="s">
        <v>18</v>
      </c>
      <c r="H114" s="18">
        <f>ROUND(RAND()*4+6,1)</f>
      </c>
      <c r="I114" s="17" t="s">
        <v>19</v>
      </c>
      <c r="J114" s="19">
        <f>ROUND(90*1,0)&amp;"%"</f>
      </c>
    </row>
    <row x14ac:dyDescent="0.25" r="115" customHeight="1" ht="17.25">
      <c r="A115" s="20" t="s">
        <v>9338</v>
      </c>
      <c r="B115" s="20" t="s">
        <v>208</v>
      </c>
      <c r="C115" s="20" t="s">
        <v>76</v>
      </c>
      <c r="D115" s="20" t="s">
        <v>22</v>
      </c>
      <c r="E115" s="21">
        <f>ROUND(6374*1.05,2)</f>
      </c>
      <c r="F115" s="20" t="s">
        <v>23</v>
      </c>
      <c r="G115" s="20" t="s">
        <v>24</v>
      </c>
      <c r="H115" s="21">
        <f>ROUND(RAND()*4+6,1)</f>
      </c>
      <c r="I115" s="20" t="s">
        <v>25</v>
      </c>
      <c r="J115" s="23">
        <f>ROUND(70*1,0)&amp;"%"</f>
      </c>
    </row>
    <row x14ac:dyDescent="0.25" r="116" customHeight="1" ht="17.25">
      <c r="A116" s="17" t="s">
        <v>9339</v>
      </c>
      <c r="B116" s="17" t="s">
        <v>210</v>
      </c>
      <c r="C116" s="17" t="s">
        <v>76</v>
      </c>
      <c r="D116" s="17" t="s">
        <v>28</v>
      </c>
      <c r="E116" s="18">
        <f>ROUND(7266*1.05,2)</f>
      </c>
      <c r="F116" s="17" t="s">
        <v>29</v>
      </c>
      <c r="G116" s="17" t="s">
        <v>30</v>
      </c>
      <c r="H116" s="26">
        <f>ROUND(RAND()*4+6,1)</f>
      </c>
      <c r="I116" s="17" t="s">
        <v>31</v>
      </c>
      <c r="J116" s="19">
        <f>ROUND(92*1,0)&amp;"%"</f>
      </c>
    </row>
    <row x14ac:dyDescent="0.25" r="117" customHeight="1" ht="17.25">
      <c r="A117" s="20" t="s">
        <v>9340</v>
      </c>
      <c r="B117" s="20" t="s">
        <v>212</v>
      </c>
      <c r="C117" s="20" t="s">
        <v>76</v>
      </c>
      <c r="D117" s="20" t="s">
        <v>34</v>
      </c>
      <c r="E117" s="22">
        <f>ROUND(10120*1.05,2)</f>
      </c>
      <c r="F117" s="20" t="s">
        <v>35</v>
      </c>
      <c r="G117" s="20" t="s">
        <v>18</v>
      </c>
      <c r="H117" s="21">
        <f>ROUND(RAND()*4+6,1)</f>
      </c>
      <c r="I117" s="20" t="s">
        <v>36</v>
      </c>
      <c r="J117" s="23">
        <f>ROUND(80*1,0)&amp;"%"</f>
      </c>
    </row>
    <row x14ac:dyDescent="0.25" r="118" customHeight="1" ht="17.25">
      <c r="A118" s="17" t="s">
        <v>9341</v>
      </c>
      <c r="B118" s="17" t="s">
        <v>214</v>
      </c>
      <c r="C118" s="17" t="s">
        <v>76</v>
      </c>
      <c r="D118" s="17" t="s">
        <v>39</v>
      </c>
      <c r="E118" s="18">
        <f>ROUND(9717*1.05,2)</f>
      </c>
      <c r="F118" s="17" t="s">
        <v>40</v>
      </c>
      <c r="G118" s="17" t="s">
        <v>24</v>
      </c>
      <c r="H118" s="18">
        <f>ROUND(RAND()*4+6,1)</f>
      </c>
      <c r="I118" s="17" t="s">
        <v>41</v>
      </c>
      <c r="J118" s="19">
        <f>ROUND(76*1,0)&amp;"%"</f>
      </c>
    </row>
    <row x14ac:dyDescent="0.25" r="119" customHeight="1" ht="17.25">
      <c r="A119" s="20" t="s">
        <v>9342</v>
      </c>
      <c r="B119" s="20" t="s">
        <v>216</v>
      </c>
      <c r="C119" s="20" t="s">
        <v>76</v>
      </c>
      <c r="D119" s="20" t="s">
        <v>67</v>
      </c>
      <c r="E119" s="21">
        <f>ROUND(5270*1.05,2)</f>
      </c>
      <c r="F119" s="20" t="s">
        <v>44</v>
      </c>
      <c r="G119" s="20" t="s">
        <v>30</v>
      </c>
      <c r="H119" s="21">
        <f>ROUND(RAND()*4+6,1)</f>
      </c>
      <c r="I119" s="20" t="s">
        <v>45</v>
      </c>
      <c r="J119" s="23">
        <f>ROUND(79*1,0)&amp;"%"</f>
      </c>
    </row>
    <row x14ac:dyDescent="0.25" r="120" customHeight="1" ht="17.25">
      <c r="A120" s="17" t="s">
        <v>9343</v>
      </c>
      <c r="B120" s="17" t="s">
        <v>218</v>
      </c>
      <c r="C120" s="17" t="s">
        <v>76</v>
      </c>
      <c r="D120" s="17" t="s">
        <v>16</v>
      </c>
      <c r="E120" s="18">
        <f>ROUND(16142*1.05,2)</f>
      </c>
      <c r="F120" s="17" t="s">
        <v>48</v>
      </c>
      <c r="G120" s="17" t="s">
        <v>18</v>
      </c>
      <c r="H120" s="18">
        <f>ROUND(RAND()*4+6,1)</f>
      </c>
      <c r="I120" s="17" t="s">
        <v>19</v>
      </c>
      <c r="J120" s="19">
        <f>ROUND(70*1,0)&amp;"%"</f>
      </c>
    </row>
    <row x14ac:dyDescent="0.25" r="121" customHeight="1" ht="17.25">
      <c r="A121" s="20" t="s">
        <v>9344</v>
      </c>
      <c r="B121" s="20" t="s">
        <v>220</v>
      </c>
      <c r="C121" s="20" t="s">
        <v>76</v>
      </c>
      <c r="D121" s="20" t="s">
        <v>22</v>
      </c>
      <c r="E121" s="21">
        <f>ROUND(13395*1.05,2)</f>
      </c>
      <c r="F121" s="20" t="s">
        <v>51</v>
      </c>
      <c r="G121" s="20" t="s">
        <v>24</v>
      </c>
      <c r="H121" s="21">
        <f>ROUND(RAND()*4+6,1)</f>
      </c>
      <c r="I121" s="20" t="s">
        <v>25</v>
      </c>
      <c r="J121" s="23">
        <f>ROUND(67*1,0)&amp;"%"</f>
      </c>
    </row>
    <row x14ac:dyDescent="0.25" r="122" customHeight="1" ht="17.25">
      <c r="A122" s="24" t="s">
        <v>221</v>
      </c>
      <c r="B122" s="24"/>
      <c r="C122" s="24"/>
      <c r="D122" s="24"/>
      <c r="E122" s="25">
        <v>8</v>
      </c>
      <c r="F122" s="9"/>
      <c r="G122" s="9"/>
      <c r="H122" s="10"/>
      <c r="I122" s="9"/>
      <c r="J122" s="9"/>
    </row>
    <row x14ac:dyDescent="0.25" r="123" customHeight="1" ht="17.25">
      <c r="A123" s="7"/>
      <c r="B123" s="7"/>
      <c r="C123" s="7"/>
      <c r="D123" s="7"/>
      <c r="E123" s="8"/>
      <c r="F123" s="9"/>
      <c r="G123" s="9"/>
      <c r="H123" s="10"/>
      <c r="I123" s="9"/>
      <c r="J123" s="9"/>
    </row>
    <row x14ac:dyDescent="0.25" r="124" customHeight="1" ht="17.25">
      <c r="A124" s="11" t="s">
        <v>9345</v>
      </c>
      <c r="B124" s="11"/>
      <c r="C124" s="11"/>
      <c r="D124" s="11"/>
      <c r="E124" s="12"/>
      <c r="F124" s="11"/>
      <c r="G124" s="11"/>
      <c r="H124" s="13"/>
      <c r="I124" s="11"/>
      <c r="J124" s="11"/>
    </row>
    <row x14ac:dyDescent="0.25" r="125" customHeight="1" ht="17.25">
      <c r="A125" s="14" t="s">
        <v>3</v>
      </c>
      <c r="B125" s="14" t="s">
        <v>4</v>
      </c>
      <c r="C125" s="14" t="s">
        <v>5</v>
      </c>
      <c r="D125" s="14" t="s">
        <v>6</v>
      </c>
      <c r="E125" s="15" t="s">
        <v>7</v>
      </c>
      <c r="F125" s="14" t="s">
        <v>8</v>
      </c>
      <c r="G125" s="14" t="s">
        <v>9</v>
      </c>
      <c r="H125" s="16" t="s">
        <v>10</v>
      </c>
      <c r="I125" s="14" t="s">
        <v>11</v>
      </c>
      <c r="J125" s="14" t="s">
        <v>12</v>
      </c>
    </row>
    <row x14ac:dyDescent="0.25" r="126" customHeight="1" ht="17.25">
      <c r="A126" s="17" t="s">
        <v>9346</v>
      </c>
      <c r="B126" s="17" t="s">
        <v>224</v>
      </c>
      <c r="C126" s="17" t="s">
        <v>95</v>
      </c>
      <c r="D126" s="17" t="s">
        <v>16</v>
      </c>
      <c r="E126" s="18">
        <f>ROUND(13478*1.05,2)</f>
      </c>
      <c r="F126" s="17" t="s">
        <v>17</v>
      </c>
      <c r="G126" s="17" t="s">
        <v>18</v>
      </c>
      <c r="H126" s="18">
        <f>ROUND(RAND()*4+6,1)</f>
      </c>
      <c r="I126" s="17" t="s">
        <v>19</v>
      </c>
      <c r="J126" s="19">
        <f>ROUND(90*1,0)&amp;"%"</f>
      </c>
    </row>
    <row x14ac:dyDescent="0.25" r="127" customHeight="1" ht="17.25">
      <c r="A127" s="20" t="s">
        <v>9347</v>
      </c>
      <c r="B127" s="20" t="s">
        <v>226</v>
      </c>
      <c r="C127" s="20" t="s">
        <v>95</v>
      </c>
      <c r="D127" s="20" t="s">
        <v>22</v>
      </c>
      <c r="E127" s="21">
        <f>ROUND(12731*1.05,2)</f>
      </c>
      <c r="F127" s="20" t="s">
        <v>23</v>
      </c>
      <c r="G127" s="20" t="s">
        <v>24</v>
      </c>
      <c r="H127" s="21">
        <f>ROUND(RAND()*4+6,1)</f>
      </c>
      <c r="I127" s="20" t="s">
        <v>25</v>
      </c>
      <c r="J127" s="23">
        <f>ROUND(85*1,0)&amp;"%"</f>
      </c>
    </row>
    <row x14ac:dyDescent="0.25" r="128" customHeight="1" ht="17.25">
      <c r="A128" s="17" t="s">
        <v>9348</v>
      </c>
      <c r="B128" s="17" t="s">
        <v>228</v>
      </c>
      <c r="C128" s="17" t="s">
        <v>95</v>
      </c>
      <c r="D128" s="17" t="s">
        <v>28</v>
      </c>
      <c r="E128" s="18">
        <f>ROUND(16886*1.05,2)</f>
      </c>
      <c r="F128" s="17" t="s">
        <v>29</v>
      </c>
      <c r="G128" s="17" t="s">
        <v>30</v>
      </c>
      <c r="H128" s="18">
        <f>ROUND(RAND()*4+6,1)</f>
      </c>
      <c r="I128" s="17" t="s">
        <v>31</v>
      </c>
      <c r="J128" s="19">
        <f>ROUND(95*1,0)&amp;"%"</f>
      </c>
    </row>
    <row x14ac:dyDescent="0.25" r="129" customHeight="1" ht="17.25">
      <c r="A129" s="20" t="s">
        <v>9349</v>
      </c>
      <c r="B129" s="20" t="s">
        <v>230</v>
      </c>
      <c r="C129" s="20" t="s">
        <v>95</v>
      </c>
      <c r="D129" s="20" t="s">
        <v>34</v>
      </c>
      <c r="E129" s="21">
        <f>ROUND(16503*1.05,2)</f>
      </c>
      <c r="F129" s="20" t="s">
        <v>35</v>
      </c>
      <c r="G129" s="20" t="s">
        <v>18</v>
      </c>
      <c r="H129" s="21">
        <f>ROUND(RAND()*4+6,1)</f>
      </c>
      <c r="I129" s="20" t="s">
        <v>36</v>
      </c>
      <c r="J129" s="23">
        <f>ROUND(86*1,0)&amp;"%"</f>
      </c>
    </row>
    <row x14ac:dyDescent="0.25" r="130" customHeight="1" ht="17.25">
      <c r="A130" s="17" t="s">
        <v>9350</v>
      </c>
      <c r="B130" s="17" t="s">
        <v>232</v>
      </c>
      <c r="C130" s="17" t="s">
        <v>95</v>
      </c>
      <c r="D130" s="17" t="s">
        <v>39</v>
      </c>
      <c r="E130" s="18">
        <f>ROUND(15506*1.05,2)</f>
      </c>
      <c r="F130" s="17" t="s">
        <v>40</v>
      </c>
      <c r="G130" s="17" t="s">
        <v>24</v>
      </c>
      <c r="H130" s="18">
        <f>ROUND(RAND()*4+6,1)</f>
      </c>
      <c r="I130" s="17" t="s">
        <v>41</v>
      </c>
      <c r="J130" s="19">
        <f>ROUND(89*1,0)&amp;"%"</f>
      </c>
    </row>
    <row x14ac:dyDescent="0.25" r="131" customHeight="1" ht="17.25">
      <c r="A131" s="20" t="s">
        <v>9351</v>
      </c>
      <c r="B131" s="20" t="s">
        <v>234</v>
      </c>
      <c r="C131" s="20" t="s">
        <v>95</v>
      </c>
      <c r="D131" s="20" t="s">
        <v>67</v>
      </c>
      <c r="E131" s="21">
        <f>ROUND(16327*1.05,2)</f>
      </c>
      <c r="F131" s="20" t="s">
        <v>44</v>
      </c>
      <c r="G131" s="20" t="s">
        <v>30</v>
      </c>
      <c r="H131" s="21">
        <f>ROUND(RAND()*4+6,1)</f>
      </c>
      <c r="I131" s="20" t="s">
        <v>45</v>
      </c>
      <c r="J131" s="23">
        <f>ROUND(83*1,0)&amp;"%"</f>
      </c>
    </row>
    <row x14ac:dyDescent="0.25" r="132" customHeight="1" ht="17.25">
      <c r="A132" s="17" t="s">
        <v>9352</v>
      </c>
      <c r="B132" s="17" t="s">
        <v>236</v>
      </c>
      <c r="C132" s="17" t="s">
        <v>95</v>
      </c>
      <c r="D132" s="17" t="s">
        <v>16</v>
      </c>
      <c r="E132" s="18">
        <f>ROUND(6567*1.05,2)</f>
      </c>
      <c r="F132" s="17" t="s">
        <v>48</v>
      </c>
      <c r="G132" s="17" t="s">
        <v>18</v>
      </c>
      <c r="H132" s="18">
        <f>ROUND(RAND()*4+6,1)</f>
      </c>
      <c r="I132" s="17" t="s">
        <v>19</v>
      </c>
      <c r="J132" s="19">
        <f>ROUND(88*1,0)&amp;"%"</f>
      </c>
    </row>
    <row x14ac:dyDescent="0.25" r="133" customHeight="1" ht="17.25">
      <c r="A133" s="20" t="s">
        <v>9353</v>
      </c>
      <c r="B133" s="20" t="s">
        <v>238</v>
      </c>
      <c r="C133" s="20" t="s">
        <v>95</v>
      </c>
      <c r="D133" s="20" t="s">
        <v>22</v>
      </c>
      <c r="E133" s="21">
        <f>ROUND(10878*1.05,2)</f>
      </c>
      <c r="F133" s="20" t="s">
        <v>51</v>
      </c>
      <c r="G133" s="20" t="s">
        <v>24</v>
      </c>
      <c r="H133" s="21">
        <f>ROUND(RAND()*4+6,1)</f>
      </c>
      <c r="I133" s="20" t="s">
        <v>25</v>
      </c>
      <c r="J133" s="23">
        <f>ROUND(75*1,0)&amp;"%"</f>
      </c>
    </row>
    <row x14ac:dyDescent="0.25" r="134" customHeight="1" ht="17.25">
      <c r="A134" s="24" t="s">
        <v>239</v>
      </c>
      <c r="B134" s="24"/>
      <c r="C134" s="24"/>
      <c r="D134" s="24"/>
      <c r="E134" s="25">
        <v>8</v>
      </c>
      <c r="F134" s="9"/>
      <c r="G134" s="9"/>
      <c r="H134" s="10"/>
      <c r="I134" s="9"/>
      <c r="J134" s="9"/>
    </row>
    <row x14ac:dyDescent="0.25" r="135" customHeight="1" ht="17.25">
      <c r="A135" s="7"/>
      <c r="B135" s="7"/>
      <c r="C135" s="7"/>
      <c r="D135" s="7"/>
      <c r="E135" s="8"/>
      <c r="F135" s="9"/>
      <c r="G135" s="9"/>
      <c r="H135" s="10"/>
      <c r="I135" s="9"/>
      <c r="J135" s="9"/>
    </row>
    <row x14ac:dyDescent="0.25" r="136" customHeight="1" ht="17.25">
      <c r="A136" s="11" t="s">
        <v>9354</v>
      </c>
      <c r="B136" s="11"/>
      <c r="C136" s="11"/>
      <c r="D136" s="11"/>
      <c r="E136" s="12"/>
      <c r="F136" s="11"/>
      <c r="G136" s="11"/>
      <c r="H136" s="13"/>
      <c r="I136" s="11"/>
      <c r="J136" s="11"/>
    </row>
    <row x14ac:dyDescent="0.25" r="137" customHeight="1" ht="17.25">
      <c r="A137" s="14" t="s">
        <v>3</v>
      </c>
      <c r="B137" s="14" t="s">
        <v>4</v>
      </c>
      <c r="C137" s="14" t="s">
        <v>5</v>
      </c>
      <c r="D137" s="14" t="s">
        <v>6</v>
      </c>
      <c r="E137" s="15" t="s">
        <v>7</v>
      </c>
      <c r="F137" s="14" t="s">
        <v>8</v>
      </c>
      <c r="G137" s="14" t="s">
        <v>9</v>
      </c>
      <c r="H137" s="16" t="s">
        <v>10</v>
      </c>
      <c r="I137" s="14" t="s">
        <v>11</v>
      </c>
      <c r="J137" s="14" t="s">
        <v>12</v>
      </c>
    </row>
    <row x14ac:dyDescent="0.25" r="138" customHeight="1" ht="17.25">
      <c r="A138" s="17" t="s">
        <v>9355</v>
      </c>
      <c r="B138" s="17" t="s">
        <v>242</v>
      </c>
      <c r="C138" s="17" t="s">
        <v>114</v>
      </c>
      <c r="D138" s="17" t="s">
        <v>16</v>
      </c>
      <c r="E138" s="18">
        <f>ROUND(10837*1.05,2)</f>
      </c>
      <c r="F138" s="17" t="s">
        <v>17</v>
      </c>
      <c r="G138" s="17" t="s">
        <v>18</v>
      </c>
      <c r="H138" s="18">
        <f>ROUND(RAND()*4+6,1)</f>
      </c>
      <c r="I138" s="17" t="s">
        <v>19</v>
      </c>
      <c r="J138" s="19">
        <f>ROUND(77*1,0)&amp;"%"</f>
      </c>
    </row>
    <row x14ac:dyDescent="0.25" r="139" customHeight="1" ht="17.25">
      <c r="A139" s="20" t="s">
        <v>9356</v>
      </c>
      <c r="B139" s="20" t="s">
        <v>244</v>
      </c>
      <c r="C139" s="20" t="s">
        <v>114</v>
      </c>
      <c r="D139" s="20" t="s">
        <v>22</v>
      </c>
      <c r="E139" s="21">
        <f>ROUND(16728*1.05,2)</f>
      </c>
      <c r="F139" s="20" t="s">
        <v>23</v>
      </c>
      <c r="G139" s="20" t="s">
        <v>24</v>
      </c>
      <c r="H139" s="21">
        <f>ROUND(RAND()*4+6,1)</f>
      </c>
      <c r="I139" s="20" t="s">
        <v>25</v>
      </c>
      <c r="J139" s="23">
        <f>ROUND(76*1,0)&amp;"%"</f>
      </c>
    </row>
    <row x14ac:dyDescent="0.25" r="140" customHeight="1" ht="17.25">
      <c r="A140" s="17" t="s">
        <v>9357</v>
      </c>
      <c r="B140" s="17" t="s">
        <v>246</v>
      </c>
      <c r="C140" s="17" t="s">
        <v>114</v>
      </c>
      <c r="D140" s="17" t="s">
        <v>28</v>
      </c>
      <c r="E140" s="18">
        <f>ROUND(16192*1.05,2)</f>
      </c>
      <c r="F140" s="17" t="s">
        <v>29</v>
      </c>
      <c r="G140" s="17" t="s">
        <v>30</v>
      </c>
      <c r="H140" s="18">
        <f>ROUND(RAND()*4+6,1)</f>
      </c>
      <c r="I140" s="17" t="s">
        <v>31</v>
      </c>
      <c r="J140" s="19">
        <f>ROUND(79*1,0)&amp;"%"</f>
      </c>
    </row>
    <row x14ac:dyDescent="0.25" r="141" customHeight="1" ht="17.25">
      <c r="A141" s="20" t="s">
        <v>9358</v>
      </c>
      <c r="B141" s="20" t="s">
        <v>248</v>
      </c>
      <c r="C141" s="20" t="s">
        <v>114</v>
      </c>
      <c r="D141" s="20" t="s">
        <v>34</v>
      </c>
      <c r="E141" s="21">
        <f>ROUND(10649*1.05,2)</f>
      </c>
      <c r="F141" s="20" t="s">
        <v>35</v>
      </c>
      <c r="G141" s="20" t="s">
        <v>18</v>
      </c>
      <c r="H141" s="21">
        <f>ROUND(RAND()*4+6,1)</f>
      </c>
      <c r="I141" s="20" t="s">
        <v>36</v>
      </c>
      <c r="J141" s="23">
        <f>ROUND(89*1,0)&amp;"%"</f>
      </c>
    </row>
    <row x14ac:dyDescent="0.25" r="142" customHeight="1" ht="17.25">
      <c r="A142" s="17" t="s">
        <v>9359</v>
      </c>
      <c r="B142" s="17" t="s">
        <v>250</v>
      </c>
      <c r="C142" s="17" t="s">
        <v>114</v>
      </c>
      <c r="D142" s="17" t="s">
        <v>39</v>
      </c>
      <c r="E142" s="18">
        <f>ROUND(15799*1.05,2)</f>
      </c>
      <c r="F142" s="17" t="s">
        <v>40</v>
      </c>
      <c r="G142" s="17" t="s">
        <v>24</v>
      </c>
      <c r="H142" s="18">
        <f>ROUND(RAND()*4+6,1)</f>
      </c>
      <c r="I142" s="17" t="s">
        <v>41</v>
      </c>
      <c r="J142" s="19">
        <f>ROUND(68*1,0)&amp;"%"</f>
      </c>
    </row>
    <row x14ac:dyDescent="0.25" r="143" customHeight="1" ht="17.25">
      <c r="A143" s="20" t="s">
        <v>9360</v>
      </c>
      <c r="B143" s="20" t="s">
        <v>252</v>
      </c>
      <c r="C143" s="20" t="s">
        <v>114</v>
      </c>
      <c r="D143" s="20" t="s">
        <v>67</v>
      </c>
      <c r="E143" s="21">
        <f>ROUND(12744*1.05,2)</f>
      </c>
      <c r="F143" s="20" t="s">
        <v>44</v>
      </c>
      <c r="G143" s="20" t="s">
        <v>30</v>
      </c>
      <c r="H143" s="21">
        <f>ROUND(RAND()*4+6,1)</f>
      </c>
      <c r="I143" s="20" t="s">
        <v>45</v>
      </c>
      <c r="J143" s="23">
        <f>ROUND(73*1,0)&amp;"%"</f>
      </c>
    </row>
    <row x14ac:dyDescent="0.25" r="144" customHeight="1" ht="17.25">
      <c r="A144" s="17" t="s">
        <v>9361</v>
      </c>
      <c r="B144" s="17" t="s">
        <v>254</v>
      </c>
      <c r="C144" s="17" t="s">
        <v>114</v>
      </c>
      <c r="D144" s="17" t="s">
        <v>16</v>
      </c>
      <c r="E144" s="18">
        <f>ROUND(4477*1.05,2)</f>
      </c>
      <c r="F144" s="17" t="s">
        <v>48</v>
      </c>
      <c r="G144" s="17" t="s">
        <v>18</v>
      </c>
      <c r="H144" s="18">
        <f>ROUND(RAND()*4+6,1)</f>
      </c>
      <c r="I144" s="17" t="s">
        <v>19</v>
      </c>
      <c r="J144" s="19">
        <f>ROUND(76*1,0)&amp;"%"</f>
      </c>
    </row>
    <row x14ac:dyDescent="0.25" r="145" customHeight="1" ht="17.25">
      <c r="A145" s="20" t="s">
        <v>9362</v>
      </c>
      <c r="B145" s="20" t="s">
        <v>256</v>
      </c>
      <c r="C145" s="20" t="s">
        <v>114</v>
      </c>
      <c r="D145" s="20" t="s">
        <v>22</v>
      </c>
      <c r="E145" s="21">
        <f>ROUND(4221*1.05,2)</f>
      </c>
      <c r="F145" s="20" t="s">
        <v>51</v>
      </c>
      <c r="G145" s="20" t="s">
        <v>24</v>
      </c>
      <c r="H145" s="21">
        <f>ROUND(RAND()*4+6,1)</f>
      </c>
      <c r="I145" s="20" t="s">
        <v>25</v>
      </c>
      <c r="J145" s="23">
        <f>ROUND(64*1,0)&amp;"%"</f>
      </c>
    </row>
    <row x14ac:dyDescent="0.25" r="146" customHeight="1" ht="17.25">
      <c r="A146" s="24" t="s">
        <v>257</v>
      </c>
      <c r="B146" s="24"/>
      <c r="C146" s="24"/>
      <c r="D146" s="24"/>
      <c r="E146" s="25">
        <v>8</v>
      </c>
      <c r="F146" s="9"/>
      <c r="G146" s="9"/>
      <c r="H146" s="10"/>
      <c r="I146" s="9"/>
      <c r="J146" s="9"/>
    </row>
    <row x14ac:dyDescent="0.25" r="147" customHeight="1" ht="17.25">
      <c r="A147" s="7"/>
      <c r="B147" s="7"/>
      <c r="C147" s="7"/>
      <c r="D147" s="7"/>
      <c r="E147" s="8"/>
      <c r="F147" s="9"/>
      <c r="G147" s="9"/>
      <c r="H147" s="10"/>
      <c r="I147" s="9"/>
      <c r="J147" s="9"/>
    </row>
    <row x14ac:dyDescent="0.25" r="148" customHeight="1" ht="17.25">
      <c r="A148" s="11" t="s">
        <v>9363</v>
      </c>
      <c r="B148" s="11"/>
      <c r="C148" s="11"/>
      <c r="D148" s="11"/>
      <c r="E148" s="12"/>
      <c r="F148" s="11"/>
      <c r="G148" s="11"/>
      <c r="H148" s="13"/>
      <c r="I148" s="11"/>
      <c r="J148" s="11"/>
    </row>
    <row x14ac:dyDescent="0.25" r="149" customHeight="1" ht="17.25">
      <c r="A149" s="14" t="s">
        <v>3</v>
      </c>
      <c r="B149" s="14" t="s">
        <v>4</v>
      </c>
      <c r="C149" s="14" t="s">
        <v>5</v>
      </c>
      <c r="D149" s="14" t="s">
        <v>6</v>
      </c>
      <c r="E149" s="15" t="s">
        <v>7</v>
      </c>
      <c r="F149" s="14" t="s">
        <v>8</v>
      </c>
      <c r="G149" s="14" t="s">
        <v>9</v>
      </c>
      <c r="H149" s="16" t="s">
        <v>10</v>
      </c>
      <c r="I149" s="14" t="s">
        <v>11</v>
      </c>
      <c r="J149" s="14" t="s">
        <v>12</v>
      </c>
    </row>
    <row x14ac:dyDescent="0.25" r="150" customHeight="1" ht="17.25">
      <c r="A150" s="17" t="s">
        <v>9364</v>
      </c>
      <c r="B150" s="17" t="s">
        <v>260</v>
      </c>
      <c r="C150" s="17" t="s">
        <v>133</v>
      </c>
      <c r="D150" s="17" t="s">
        <v>16</v>
      </c>
      <c r="E150" s="18">
        <f>ROUND(9674*1.05,2)</f>
      </c>
      <c r="F150" s="17" t="s">
        <v>17</v>
      </c>
      <c r="G150" s="17" t="s">
        <v>18</v>
      </c>
      <c r="H150" s="18">
        <f>ROUND(RAND()*4+6,1)</f>
      </c>
      <c r="I150" s="17" t="s">
        <v>19</v>
      </c>
      <c r="J150" s="19">
        <f>ROUND(96*1,0)&amp;"%"</f>
      </c>
    </row>
    <row x14ac:dyDescent="0.25" r="151" customHeight="1" ht="17.25">
      <c r="A151" s="20" t="s">
        <v>9365</v>
      </c>
      <c r="B151" s="20" t="s">
        <v>262</v>
      </c>
      <c r="C151" s="20" t="s">
        <v>133</v>
      </c>
      <c r="D151" s="20" t="s">
        <v>22</v>
      </c>
      <c r="E151" s="22">
        <f>ROUND(8800*1.05,2)</f>
      </c>
      <c r="F151" s="20" t="s">
        <v>23</v>
      </c>
      <c r="G151" s="20" t="s">
        <v>24</v>
      </c>
      <c r="H151" s="21">
        <f>ROUND(RAND()*4+6,1)</f>
      </c>
      <c r="I151" s="20" t="s">
        <v>25</v>
      </c>
      <c r="J151" s="23">
        <f>ROUND(63*1,0)&amp;"%"</f>
      </c>
    </row>
    <row x14ac:dyDescent="0.25" r="152" customHeight="1" ht="17.25">
      <c r="A152" s="17" t="s">
        <v>9366</v>
      </c>
      <c r="B152" s="17" t="s">
        <v>264</v>
      </c>
      <c r="C152" s="17" t="s">
        <v>133</v>
      </c>
      <c r="D152" s="17" t="s">
        <v>28</v>
      </c>
      <c r="E152" s="18">
        <f>ROUND(14541*1.05,2)</f>
      </c>
      <c r="F152" s="17" t="s">
        <v>29</v>
      </c>
      <c r="G152" s="17" t="s">
        <v>30</v>
      </c>
      <c r="H152" s="18">
        <f>ROUND(RAND()*4+6,1)</f>
      </c>
      <c r="I152" s="17" t="s">
        <v>31</v>
      </c>
      <c r="J152" s="19">
        <f>ROUND(73*1,0)&amp;"%"</f>
      </c>
    </row>
    <row x14ac:dyDescent="0.25" r="153" customHeight="1" ht="17.25">
      <c r="A153" s="20" t="s">
        <v>9367</v>
      </c>
      <c r="B153" s="20" t="s">
        <v>266</v>
      </c>
      <c r="C153" s="20" t="s">
        <v>133</v>
      </c>
      <c r="D153" s="20" t="s">
        <v>34</v>
      </c>
      <c r="E153" s="22">
        <f>ROUND(15040*1.05,2)</f>
      </c>
      <c r="F153" s="20" t="s">
        <v>35</v>
      </c>
      <c r="G153" s="20" t="s">
        <v>18</v>
      </c>
      <c r="H153" s="22">
        <f>ROUND(RAND()*4+6,1)</f>
      </c>
      <c r="I153" s="20" t="s">
        <v>36</v>
      </c>
      <c r="J153" s="23">
        <f>ROUND(98*1,0)&amp;"%"</f>
      </c>
    </row>
    <row x14ac:dyDescent="0.25" r="154" customHeight="1" ht="17.25">
      <c r="A154" s="17" t="s">
        <v>9368</v>
      </c>
      <c r="B154" s="17" t="s">
        <v>268</v>
      </c>
      <c r="C154" s="17" t="s">
        <v>133</v>
      </c>
      <c r="D154" s="17" t="s">
        <v>39</v>
      </c>
      <c r="E154" s="18">
        <f>ROUND(9612*1.05,2)</f>
      </c>
      <c r="F154" s="17" t="s">
        <v>40</v>
      </c>
      <c r="G154" s="17" t="s">
        <v>24</v>
      </c>
      <c r="H154" s="18">
        <f>ROUND(RAND()*4+6,1)</f>
      </c>
      <c r="I154" s="17" t="s">
        <v>41</v>
      </c>
      <c r="J154" s="19">
        <f>ROUND(61*1,0)&amp;"%"</f>
      </c>
    </row>
    <row x14ac:dyDescent="0.25" r="155" customHeight="1" ht="17.25">
      <c r="A155" s="20" t="s">
        <v>9369</v>
      </c>
      <c r="B155" s="20" t="s">
        <v>270</v>
      </c>
      <c r="C155" s="20" t="s">
        <v>133</v>
      </c>
      <c r="D155" s="20" t="s">
        <v>67</v>
      </c>
      <c r="E155" s="21">
        <f>ROUND(5830*1.05,2)</f>
      </c>
      <c r="F155" s="20" t="s">
        <v>44</v>
      </c>
      <c r="G155" s="20" t="s">
        <v>30</v>
      </c>
      <c r="H155" s="21">
        <f>ROUND(RAND()*4+6,1)</f>
      </c>
      <c r="I155" s="20" t="s">
        <v>45</v>
      </c>
      <c r="J155" s="23">
        <f>ROUND(95*1,0)&amp;"%"</f>
      </c>
    </row>
    <row x14ac:dyDescent="0.25" r="156" customHeight="1" ht="17.25">
      <c r="A156" s="17" t="s">
        <v>9370</v>
      </c>
      <c r="B156" s="17" t="s">
        <v>272</v>
      </c>
      <c r="C156" s="17" t="s">
        <v>133</v>
      </c>
      <c r="D156" s="17" t="s">
        <v>16</v>
      </c>
      <c r="E156" s="18">
        <f>ROUND(5528*1.05,2)</f>
      </c>
      <c r="F156" s="17" t="s">
        <v>48</v>
      </c>
      <c r="G156" s="17" t="s">
        <v>18</v>
      </c>
      <c r="H156" s="18">
        <f>ROUND(RAND()*4+6,1)</f>
      </c>
      <c r="I156" s="17" t="s">
        <v>19</v>
      </c>
      <c r="J156" s="19">
        <f>ROUND(63*1,0)&amp;"%"</f>
      </c>
    </row>
    <row x14ac:dyDescent="0.25" r="157" customHeight="1" ht="17.25">
      <c r="A157" s="20" t="s">
        <v>9371</v>
      </c>
      <c r="B157" s="20" t="s">
        <v>274</v>
      </c>
      <c r="C157" s="20" t="s">
        <v>133</v>
      </c>
      <c r="D157" s="20" t="s">
        <v>22</v>
      </c>
      <c r="E157" s="21">
        <f>ROUND(9208*1.05,2)</f>
      </c>
      <c r="F157" s="20" t="s">
        <v>51</v>
      </c>
      <c r="G157" s="20" t="s">
        <v>24</v>
      </c>
      <c r="H157" s="21">
        <f>ROUND(RAND()*4+6,1)</f>
      </c>
      <c r="I157" s="20" t="s">
        <v>25</v>
      </c>
      <c r="J157" s="23">
        <f>ROUND(66*1,0)&amp;"%"</f>
      </c>
    </row>
    <row x14ac:dyDescent="0.25" r="158" customHeight="1" ht="17.25">
      <c r="A158" s="24" t="s">
        <v>275</v>
      </c>
      <c r="B158" s="24"/>
      <c r="C158" s="24"/>
      <c r="D158" s="24"/>
      <c r="E158" s="25">
        <v>8</v>
      </c>
      <c r="F158" s="9"/>
      <c r="G158" s="9"/>
      <c r="H158" s="10"/>
      <c r="I158" s="9"/>
      <c r="J158" s="9"/>
    </row>
    <row x14ac:dyDescent="0.25" r="159" customHeight="1" ht="17.25">
      <c r="A159" s="7"/>
      <c r="B159" s="7"/>
      <c r="C159" s="7"/>
      <c r="D159" s="7"/>
      <c r="E159" s="8"/>
      <c r="F159" s="9"/>
      <c r="G159" s="9"/>
      <c r="H159" s="10"/>
      <c r="I159" s="9"/>
      <c r="J159" s="9"/>
    </row>
    <row x14ac:dyDescent="0.25" r="160" customHeight="1" ht="17.25">
      <c r="A160" s="11" t="s">
        <v>9372</v>
      </c>
      <c r="B160" s="11"/>
      <c r="C160" s="11"/>
      <c r="D160" s="11"/>
      <c r="E160" s="12"/>
      <c r="F160" s="11"/>
      <c r="G160" s="11"/>
      <c r="H160" s="13"/>
      <c r="I160" s="11"/>
      <c r="J160" s="11"/>
    </row>
    <row x14ac:dyDescent="0.25" r="161" customHeight="1" ht="17.25">
      <c r="A161" s="14" t="s">
        <v>3</v>
      </c>
      <c r="B161" s="14" t="s">
        <v>4</v>
      </c>
      <c r="C161" s="14" t="s">
        <v>5</v>
      </c>
      <c r="D161" s="14" t="s">
        <v>6</v>
      </c>
      <c r="E161" s="15" t="s">
        <v>7</v>
      </c>
      <c r="F161" s="14" t="s">
        <v>8</v>
      </c>
      <c r="G161" s="14" t="s">
        <v>9</v>
      </c>
      <c r="H161" s="16" t="s">
        <v>10</v>
      </c>
      <c r="I161" s="14" t="s">
        <v>11</v>
      </c>
      <c r="J161" s="14" t="s">
        <v>12</v>
      </c>
    </row>
    <row x14ac:dyDescent="0.25" r="162" customHeight="1" ht="17.25">
      <c r="A162" s="17" t="s">
        <v>9373</v>
      </c>
      <c r="B162" s="17" t="s">
        <v>278</v>
      </c>
      <c r="C162" s="17" t="s">
        <v>152</v>
      </c>
      <c r="D162" s="17" t="s">
        <v>16</v>
      </c>
      <c r="E162" s="18">
        <f>ROUND(15029*1.05,2)</f>
      </c>
      <c r="F162" s="17" t="s">
        <v>17</v>
      </c>
      <c r="G162" s="17" t="s">
        <v>18</v>
      </c>
      <c r="H162" s="18">
        <f>ROUND(RAND()*4+6,1)</f>
      </c>
      <c r="I162" s="17" t="s">
        <v>19</v>
      </c>
      <c r="J162" s="19">
        <f>ROUND(75*1,0)&amp;"%"</f>
      </c>
    </row>
    <row x14ac:dyDescent="0.25" r="163" customHeight="1" ht="17.25">
      <c r="A163" s="20" t="s">
        <v>9374</v>
      </c>
      <c r="B163" s="20" t="s">
        <v>280</v>
      </c>
      <c r="C163" s="20" t="s">
        <v>152</v>
      </c>
      <c r="D163" s="20" t="s">
        <v>22</v>
      </c>
      <c r="E163" s="21">
        <f>ROUND(14426*1.05,2)</f>
      </c>
      <c r="F163" s="20" t="s">
        <v>23</v>
      </c>
      <c r="G163" s="20" t="s">
        <v>24</v>
      </c>
      <c r="H163" s="21">
        <f>ROUND(RAND()*4+6,1)</f>
      </c>
      <c r="I163" s="20" t="s">
        <v>25</v>
      </c>
      <c r="J163" s="23">
        <f>ROUND(97*1,0)&amp;"%"</f>
      </c>
    </row>
    <row x14ac:dyDescent="0.25" r="164" customHeight="1" ht="17.25">
      <c r="A164" s="17" t="s">
        <v>9375</v>
      </c>
      <c r="B164" s="17" t="s">
        <v>282</v>
      </c>
      <c r="C164" s="17" t="s">
        <v>152</v>
      </c>
      <c r="D164" s="17" t="s">
        <v>28</v>
      </c>
      <c r="E164" s="18">
        <f>ROUND(17798*1.05,2)</f>
      </c>
      <c r="F164" s="17" t="s">
        <v>29</v>
      </c>
      <c r="G164" s="17" t="s">
        <v>30</v>
      </c>
      <c r="H164" s="18">
        <f>ROUND(RAND()*4+6,1)</f>
      </c>
      <c r="I164" s="17" t="s">
        <v>31</v>
      </c>
      <c r="J164" s="19">
        <f>ROUND(79*1,0)&amp;"%"</f>
      </c>
    </row>
    <row x14ac:dyDescent="0.25" r="165" customHeight="1" ht="17.25">
      <c r="A165" s="20" t="s">
        <v>9376</v>
      </c>
      <c r="B165" s="20" t="s">
        <v>284</v>
      </c>
      <c r="C165" s="20" t="s">
        <v>152</v>
      </c>
      <c r="D165" s="20" t="s">
        <v>34</v>
      </c>
      <c r="E165" s="21">
        <f>ROUND(4041*1.05,2)</f>
      </c>
      <c r="F165" s="20" t="s">
        <v>35</v>
      </c>
      <c r="G165" s="20" t="s">
        <v>18</v>
      </c>
      <c r="H165" s="21">
        <f>ROUND(RAND()*4+6,1)</f>
      </c>
      <c r="I165" s="20" t="s">
        <v>36</v>
      </c>
      <c r="J165" s="23">
        <f>ROUND(71*1,0)&amp;"%"</f>
      </c>
    </row>
    <row x14ac:dyDescent="0.25" r="166" customHeight="1" ht="17.25">
      <c r="A166" s="17" t="s">
        <v>9377</v>
      </c>
      <c r="B166" s="17" t="s">
        <v>286</v>
      </c>
      <c r="C166" s="17" t="s">
        <v>152</v>
      </c>
      <c r="D166" s="17" t="s">
        <v>39</v>
      </c>
      <c r="E166" s="18">
        <f>ROUND(17456*1.05,2)</f>
      </c>
      <c r="F166" s="17" t="s">
        <v>40</v>
      </c>
      <c r="G166" s="17" t="s">
        <v>24</v>
      </c>
      <c r="H166" s="18">
        <f>ROUND(RAND()*4+6,1)</f>
      </c>
      <c r="I166" s="17" t="s">
        <v>41</v>
      </c>
      <c r="J166" s="19">
        <f>ROUND(64*1,0)&amp;"%"</f>
      </c>
    </row>
    <row x14ac:dyDescent="0.25" r="167" customHeight="1" ht="17.25">
      <c r="A167" s="20" t="s">
        <v>9378</v>
      </c>
      <c r="B167" s="20" t="s">
        <v>288</v>
      </c>
      <c r="C167" s="20" t="s">
        <v>152</v>
      </c>
      <c r="D167" s="20" t="s">
        <v>67</v>
      </c>
      <c r="E167" s="21">
        <f>ROUND(4595*1.05,2)</f>
      </c>
      <c r="F167" s="20" t="s">
        <v>44</v>
      </c>
      <c r="G167" s="20" t="s">
        <v>30</v>
      </c>
      <c r="H167" s="21">
        <f>ROUND(RAND()*4+6,1)</f>
      </c>
      <c r="I167" s="20" t="s">
        <v>45</v>
      </c>
      <c r="J167" s="23">
        <f>ROUND(99*1,0)&amp;"%"</f>
      </c>
    </row>
    <row x14ac:dyDescent="0.25" r="168" customHeight="1" ht="17.25">
      <c r="A168" s="17" t="s">
        <v>9379</v>
      </c>
      <c r="B168" s="17" t="s">
        <v>290</v>
      </c>
      <c r="C168" s="17" t="s">
        <v>152</v>
      </c>
      <c r="D168" s="17" t="s">
        <v>16</v>
      </c>
      <c r="E168" s="18">
        <f>ROUND(16606*1.05,2)</f>
      </c>
      <c r="F168" s="17" t="s">
        <v>48</v>
      </c>
      <c r="G168" s="17" t="s">
        <v>18</v>
      </c>
      <c r="H168" s="18">
        <f>ROUND(RAND()*4+6,1)</f>
      </c>
      <c r="I168" s="17" t="s">
        <v>19</v>
      </c>
      <c r="J168" s="19">
        <f>ROUND(62*1,0)&amp;"%"</f>
      </c>
    </row>
    <row x14ac:dyDescent="0.25" r="169" customHeight="1" ht="17.25">
      <c r="A169" s="20" t="s">
        <v>9380</v>
      </c>
      <c r="B169" s="20" t="s">
        <v>292</v>
      </c>
      <c r="C169" s="20" t="s">
        <v>152</v>
      </c>
      <c r="D169" s="20" t="s">
        <v>22</v>
      </c>
      <c r="E169" s="22">
        <f>ROUND(13420*1.05,2)</f>
      </c>
      <c r="F169" s="20" t="s">
        <v>51</v>
      </c>
      <c r="G169" s="20" t="s">
        <v>24</v>
      </c>
      <c r="H169" s="21">
        <f>ROUND(RAND()*4+6,1)</f>
      </c>
      <c r="I169" s="20" t="s">
        <v>25</v>
      </c>
      <c r="J169" s="23">
        <f>ROUND(61*1,0)&amp;"%"</f>
      </c>
    </row>
    <row x14ac:dyDescent="0.25" r="170" customHeight="1" ht="17.25">
      <c r="A170" s="24" t="s">
        <v>293</v>
      </c>
      <c r="B170" s="24"/>
      <c r="C170" s="24"/>
      <c r="D170" s="24"/>
      <c r="E170" s="25">
        <v>8</v>
      </c>
      <c r="F170" s="9"/>
      <c r="G170" s="9"/>
      <c r="H170" s="10"/>
      <c r="I170" s="9"/>
      <c r="J170" s="9"/>
    </row>
    <row x14ac:dyDescent="0.25" r="171" customHeight="1" ht="17.25">
      <c r="A171" s="7"/>
      <c r="B171" s="7"/>
      <c r="C171" s="7"/>
      <c r="D171" s="7"/>
      <c r="E171" s="8"/>
      <c r="F171" s="9"/>
      <c r="G171" s="9"/>
      <c r="H171" s="10"/>
      <c r="I171" s="9"/>
      <c r="J171" s="9"/>
    </row>
    <row x14ac:dyDescent="0.25" r="172" customHeight="1" ht="17.25">
      <c r="A172" s="11" t="s">
        <v>9381</v>
      </c>
      <c r="B172" s="11"/>
      <c r="C172" s="11"/>
      <c r="D172" s="11"/>
      <c r="E172" s="12"/>
      <c r="F172" s="11"/>
      <c r="G172" s="11"/>
      <c r="H172" s="13"/>
      <c r="I172" s="11"/>
      <c r="J172" s="11"/>
    </row>
    <row x14ac:dyDescent="0.25" r="173" customHeight="1" ht="17.25">
      <c r="A173" s="14" t="s">
        <v>3</v>
      </c>
      <c r="B173" s="14" t="s">
        <v>4</v>
      </c>
      <c r="C173" s="14" t="s">
        <v>5</v>
      </c>
      <c r="D173" s="14" t="s">
        <v>6</v>
      </c>
      <c r="E173" s="15" t="s">
        <v>7</v>
      </c>
      <c r="F173" s="14" t="s">
        <v>8</v>
      </c>
      <c r="G173" s="14" t="s">
        <v>9</v>
      </c>
      <c r="H173" s="16" t="s">
        <v>10</v>
      </c>
      <c r="I173" s="14" t="s">
        <v>11</v>
      </c>
      <c r="J173" s="14" t="s">
        <v>12</v>
      </c>
    </row>
    <row x14ac:dyDescent="0.25" r="174" customHeight="1" ht="17.25">
      <c r="A174" s="17" t="s">
        <v>9382</v>
      </c>
      <c r="B174" s="17" t="s">
        <v>296</v>
      </c>
      <c r="C174" s="17" t="s">
        <v>15</v>
      </c>
      <c r="D174" s="17" t="s">
        <v>16</v>
      </c>
      <c r="E174" s="18">
        <f>ROUND(16975*1.05,2)</f>
      </c>
      <c r="F174" s="17" t="s">
        <v>17</v>
      </c>
      <c r="G174" s="17" t="s">
        <v>18</v>
      </c>
      <c r="H174" s="18">
        <f>ROUND(RAND()*4+6,1)</f>
      </c>
      <c r="I174" s="17" t="s">
        <v>19</v>
      </c>
      <c r="J174" s="19">
        <f>ROUND(90*1,0)&amp;"%"</f>
      </c>
    </row>
    <row x14ac:dyDescent="0.25" r="175" customHeight="1" ht="17.25">
      <c r="A175" s="20" t="s">
        <v>9383</v>
      </c>
      <c r="B175" s="20" t="s">
        <v>298</v>
      </c>
      <c r="C175" s="20" t="s">
        <v>15</v>
      </c>
      <c r="D175" s="20" t="s">
        <v>22</v>
      </c>
      <c r="E175" s="21">
        <f>ROUND(12953*1.05,2)</f>
      </c>
      <c r="F175" s="20" t="s">
        <v>23</v>
      </c>
      <c r="G175" s="20" t="s">
        <v>24</v>
      </c>
      <c r="H175" s="21">
        <f>ROUND(RAND()*4+6,1)</f>
      </c>
      <c r="I175" s="20" t="s">
        <v>25</v>
      </c>
      <c r="J175" s="23">
        <f>ROUND(60*1,0)&amp;"%"</f>
      </c>
    </row>
    <row x14ac:dyDescent="0.25" r="176" customHeight="1" ht="17.25">
      <c r="A176" s="17" t="s">
        <v>9384</v>
      </c>
      <c r="B176" s="17" t="s">
        <v>300</v>
      </c>
      <c r="C176" s="17" t="s">
        <v>15</v>
      </c>
      <c r="D176" s="17" t="s">
        <v>28</v>
      </c>
      <c r="E176" s="18">
        <f>ROUND(15177*1.05,2)</f>
      </c>
      <c r="F176" s="17" t="s">
        <v>29</v>
      </c>
      <c r="G176" s="17" t="s">
        <v>30</v>
      </c>
      <c r="H176" s="18">
        <f>ROUND(RAND()*4+6,1)</f>
      </c>
      <c r="I176" s="17" t="s">
        <v>31</v>
      </c>
      <c r="J176" s="19">
        <f>ROUND(89*1,0)&amp;"%"</f>
      </c>
    </row>
    <row x14ac:dyDescent="0.25" r="177" customHeight="1" ht="17.25">
      <c r="A177" s="20" t="s">
        <v>9385</v>
      </c>
      <c r="B177" s="20" t="s">
        <v>302</v>
      </c>
      <c r="C177" s="20" t="s">
        <v>15</v>
      </c>
      <c r="D177" s="20" t="s">
        <v>34</v>
      </c>
      <c r="E177" s="21">
        <f>ROUND(11946*1.05,2)</f>
      </c>
      <c r="F177" s="20" t="s">
        <v>35</v>
      </c>
      <c r="G177" s="20" t="s">
        <v>18</v>
      </c>
      <c r="H177" s="21">
        <f>ROUND(RAND()*4+6,1)</f>
      </c>
      <c r="I177" s="20" t="s">
        <v>36</v>
      </c>
      <c r="J177" s="23">
        <f>ROUND(91*1,0)&amp;"%"</f>
      </c>
    </row>
    <row x14ac:dyDescent="0.25" r="178" customHeight="1" ht="17.25">
      <c r="A178" s="17" t="s">
        <v>9386</v>
      </c>
      <c r="B178" s="17" t="s">
        <v>304</v>
      </c>
      <c r="C178" s="17" t="s">
        <v>15</v>
      </c>
      <c r="D178" s="17" t="s">
        <v>39</v>
      </c>
      <c r="E178" s="26">
        <f>ROUND(6060*1.05,2)</f>
      </c>
      <c r="F178" s="17" t="s">
        <v>40</v>
      </c>
      <c r="G178" s="17" t="s">
        <v>24</v>
      </c>
      <c r="H178" s="18">
        <f>ROUND(RAND()*4+6,1)</f>
      </c>
      <c r="I178" s="17" t="s">
        <v>41</v>
      </c>
      <c r="J178" s="19">
        <f>ROUND(83*1,0)&amp;"%"</f>
      </c>
    </row>
    <row x14ac:dyDescent="0.25" r="179" customHeight="1" ht="17.25">
      <c r="A179" s="20" t="s">
        <v>9387</v>
      </c>
      <c r="B179" s="20" t="s">
        <v>306</v>
      </c>
      <c r="C179" s="20" t="s">
        <v>15</v>
      </c>
      <c r="D179" s="20" t="s">
        <v>67</v>
      </c>
      <c r="E179" s="21">
        <f>ROUND(7017*1.05,2)</f>
      </c>
      <c r="F179" s="20" t="s">
        <v>44</v>
      </c>
      <c r="G179" s="20" t="s">
        <v>30</v>
      </c>
      <c r="H179" s="21">
        <f>ROUND(RAND()*4+6,1)</f>
      </c>
      <c r="I179" s="20" t="s">
        <v>45</v>
      </c>
      <c r="J179" s="23">
        <f>ROUND(73*1,0)&amp;"%"</f>
      </c>
    </row>
    <row x14ac:dyDescent="0.25" r="180" customHeight="1" ht="17.25">
      <c r="A180" s="17" t="s">
        <v>9388</v>
      </c>
      <c r="B180" s="17" t="s">
        <v>308</v>
      </c>
      <c r="C180" s="17" t="s">
        <v>15</v>
      </c>
      <c r="D180" s="17" t="s">
        <v>16</v>
      </c>
      <c r="E180" s="18">
        <f>ROUND(4950*1.05,2)</f>
      </c>
      <c r="F180" s="17" t="s">
        <v>48</v>
      </c>
      <c r="G180" s="17" t="s">
        <v>18</v>
      </c>
      <c r="H180" s="18">
        <f>ROUND(RAND()*4+6,1)</f>
      </c>
      <c r="I180" s="17" t="s">
        <v>19</v>
      </c>
      <c r="J180" s="19">
        <f>ROUND(93*1,0)&amp;"%"</f>
      </c>
    </row>
    <row x14ac:dyDescent="0.25" r="181" customHeight="1" ht="17.25">
      <c r="A181" s="20" t="s">
        <v>9389</v>
      </c>
      <c r="B181" s="20" t="s">
        <v>310</v>
      </c>
      <c r="C181" s="20" t="s">
        <v>15</v>
      </c>
      <c r="D181" s="20" t="s">
        <v>22</v>
      </c>
      <c r="E181" s="21">
        <f>ROUND(4543*1.05,2)</f>
      </c>
      <c r="F181" s="20" t="s">
        <v>51</v>
      </c>
      <c r="G181" s="20" t="s">
        <v>24</v>
      </c>
      <c r="H181" s="21">
        <f>ROUND(RAND()*4+6,1)</f>
      </c>
      <c r="I181" s="20" t="s">
        <v>25</v>
      </c>
      <c r="J181" s="23">
        <f>ROUND(66*1,0)&amp;"%"</f>
      </c>
    </row>
    <row x14ac:dyDescent="0.25" r="182" customHeight="1" ht="17.25">
      <c r="A182" s="24" t="s">
        <v>311</v>
      </c>
      <c r="B182" s="24"/>
      <c r="C182" s="24"/>
      <c r="D182" s="24"/>
      <c r="E182" s="25">
        <v>8</v>
      </c>
      <c r="F182" s="9"/>
      <c r="G182" s="9"/>
      <c r="H182" s="10"/>
      <c r="I182" s="9"/>
      <c r="J182" s="9"/>
    </row>
    <row x14ac:dyDescent="0.25" r="183" customHeight="1" ht="17.25">
      <c r="A183" s="7"/>
      <c r="B183" s="7"/>
      <c r="C183" s="7"/>
      <c r="D183" s="7"/>
      <c r="E183" s="8"/>
      <c r="F183" s="9"/>
      <c r="G183" s="9"/>
      <c r="H183" s="10"/>
      <c r="I183" s="9"/>
      <c r="J183" s="9"/>
    </row>
    <row x14ac:dyDescent="0.25" r="184" customHeight="1" ht="17.25">
      <c r="A184" s="11" t="s">
        <v>9390</v>
      </c>
      <c r="B184" s="11"/>
      <c r="C184" s="11"/>
      <c r="D184" s="11"/>
      <c r="E184" s="12"/>
      <c r="F184" s="11"/>
      <c r="G184" s="11"/>
      <c r="H184" s="13"/>
      <c r="I184" s="11"/>
      <c r="J184" s="11"/>
    </row>
    <row x14ac:dyDescent="0.25" r="185" customHeight="1" ht="17.25">
      <c r="A185" s="14" t="s">
        <v>3</v>
      </c>
      <c r="B185" s="14" t="s">
        <v>4</v>
      </c>
      <c r="C185" s="14" t="s">
        <v>5</v>
      </c>
      <c r="D185" s="14" t="s">
        <v>6</v>
      </c>
      <c r="E185" s="15" t="s">
        <v>7</v>
      </c>
      <c r="F185" s="14" t="s">
        <v>8</v>
      </c>
      <c r="G185" s="14" t="s">
        <v>9</v>
      </c>
      <c r="H185" s="16" t="s">
        <v>10</v>
      </c>
      <c r="I185" s="14" t="s">
        <v>11</v>
      </c>
      <c r="J185" s="14" t="s">
        <v>12</v>
      </c>
    </row>
    <row x14ac:dyDescent="0.25" r="186" customHeight="1" ht="17.25">
      <c r="A186" s="17" t="s">
        <v>9391</v>
      </c>
      <c r="B186" s="17" t="s">
        <v>314</v>
      </c>
      <c r="C186" s="17" t="s">
        <v>56</v>
      </c>
      <c r="D186" s="17" t="s">
        <v>16</v>
      </c>
      <c r="E186" s="18">
        <f>ROUND(8764*1.05,2)</f>
      </c>
      <c r="F186" s="17" t="s">
        <v>17</v>
      </c>
      <c r="G186" s="17" t="s">
        <v>18</v>
      </c>
      <c r="H186" s="18">
        <f>ROUND(RAND()*4+6,1)</f>
      </c>
      <c r="I186" s="17" t="s">
        <v>19</v>
      </c>
      <c r="J186" s="19">
        <f>ROUND(66*1,0)&amp;"%"</f>
      </c>
    </row>
    <row x14ac:dyDescent="0.25" r="187" customHeight="1" ht="17.25">
      <c r="A187" s="20" t="s">
        <v>9392</v>
      </c>
      <c r="B187" s="20" t="s">
        <v>316</v>
      </c>
      <c r="C187" s="20" t="s">
        <v>56</v>
      </c>
      <c r="D187" s="20" t="s">
        <v>22</v>
      </c>
      <c r="E187" s="21">
        <f>ROUND(6245*1.05,2)</f>
      </c>
      <c r="F187" s="20" t="s">
        <v>23</v>
      </c>
      <c r="G187" s="20" t="s">
        <v>24</v>
      </c>
      <c r="H187" s="21">
        <f>ROUND(RAND()*4+6,1)</f>
      </c>
      <c r="I187" s="20" t="s">
        <v>25</v>
      </c>
      <c r="J187" s="23">
        <f>ROUND(78*1,0)&amp;"%"</f>
      </c>
    </row>
    <row x14ac:dyDescent="0.25" r="188" customHeight="1" ht="17.25">
      <c r="A188" s="17" t="s">
        <v>9393</v>
      </c>
      <c r="B188" s="17" t="s">
        <v>318</v>
      </c>
      <c r="C188" s="17" t="s">
        <v>56</v>
      </c>
      <c r="D188" s="17" t="s">
        <v>28</v>
      </c>
      <c r="E188" s="18">
        <f>ROUND(14569*1.05,2)</f>
      </c>
      <c r="F188" s="17" t="s">
        <v>29</v>
      </c>
      <c r="G188" s="17" t="s">
        <v>30</v>
      </c>
      <c r="H188" s="18">
        <f>ROUND(RAND()*4+6,1)</f>
      </c>
      <c r="I188" s="17" t="s">
        <v>31</v>
      </c>
      <c r="J188" s="19">
        <f>ROUND(81*1,0)&amp;"%"</f>
      </c>
    </row>
    <row x14ac:dyDescent="0.25" r="189" customHeight="1" ht="17.25">
      <c r="A189" s="20" t="s">
        <v>9394</v>
      </c>
      <c r="B189" s="20" t="s">
        <v>320</v>
      </c>
      <c r="C189" s="20" t="s">
        <v>56</v>
      </c>
      <c r="D189" s="20" t="s">
        <v>34</v>
      </c>
      <c r="E189" s="21">
        <f>ROUND(11636*1.05,2)</f>
      </c>
      <c r="F189" s="20" t="s">
        <v>35</v>
      </c>
      <c r="G189" s="20" t="s">
        <v>18</v>
      </c>
      <c r="H189" s="22">
        <f>ROUND(RAND()*4+6,1)</f>
      </c>
      <c r="I189" s="20" t="s">
        <v>36</v>
      </c>
      <c r="J189" s="23">
        <f>ROUND(60*1,0)&amp;"%"</f>
      </c>
    </row>
    <row x14ac:dyDescent="0.25" r="190" customHeight="1" ht="17.25">
      <c r="A190" s="17" t="s">
        <v>9395</v>
      </c>
      <c r="B190" s="17" t="s">
        <v>322</v>
      </c>
      <c r="C190" s="17" t="s">
        <v>56</v>
      </c>
      <c r="D190" s="17" t="s">
        <v>39</v>
      </c>
      <c r="E190" s="26">
        <f>ROUND(14160*1.05,2)</f>
      </c>
      <c r="F190" s="17" t="s">
        <v>40</v>
      </c>
      <c r="G190" s="17" t="s">
        <v>24</v>
      </c>
      <c r="H190" s="18">
        <f>ROUND(RAND()*4+6,1)</f>
      </c>
      <c r="I190" s="17" t="s">
        <v>41</v>
      </c>
      <c r="J190" s="19">
        <f>ROUND(91*1,0)&amp;"%"</f>
      </c>
    </row>
    <row x14ac:dyDescent="0.25" r="191" customHeight="1" ht="17.25">
      <c r="A191" s="20" t="s">
        <v>9396</v>
      </c>
      <c r="B191" s="20" t="s">
        <v>324</v>
      </c>
      <c r="C191" s="20" t="s">
        <v>56</v>
      </c>
      <c r="D191" s="20" t="s">
        <v>67</v>
      </c>
      <c r="E191" s="21">
        <f>ROUND(17803*1.05,2)</f>
      </c>
      <c r="F191" s="20" t="s">
        <v>44</v>
      </c>
      <c r="G191" s="20" t="s">
        <v>30</v>
      </c>
      <c r="H191" s="22">
        <f>ROUND(RAND()*4+6,1)</f>
      </c>
      <c r="I191" s="20" t="s">
        <v>45</v>
      </c>
      <c r="J191" s="23">
        <f>ROUND(70*1,0)&amp;"%"</f>
      </c>
    </row>
    <row x14ac:dyDescent="0.25" r="192" customHeight="1" ht="17.25">
      <c r="A192" s="17" t="s">
        <v>9397</v>
      </c>
      <c r="B192" s="17" t="s">
        <v>326</v>
      </c>
      <c r="C192" s="17" t="s">
        <v>56</v>
      </c>
      <c r="D192" s="17" t="s">
        <v>16</v>
      </c>
      <c r="E192" s="18">
        <f>ROUND(15582*1.05,2)</f>
      </c>
      <c r="F192" s="17" t="s">
        <v>48</v>
      </c>
      <c r="G192" s="17" t="s">
        <v>18</v>
      </c>
      <c r="H192" s="26">
        <f>ROUND(RAND()*4+6,1)</f>
      </c>
      <c r="I192" s="17" t="s">
        <v>19</v>
      </c>
      <c r="J192" s="19">
        <f>ROUND(77*1,0)&amp;"%"</f>
      </c>
    </row>
    <row x14ac:dyDescent="0.25" r="193" customHeight="1" ht="17.25">
      <c r="A193" s="20" t="s">
        <v>9398</v>
      </c>
      <c r="B193" s="20" t="s">
        <v>328</v>
      </c>
      <c r="C193" s="20" t="s">
        <v>56</v>
      </c>
      <c r="D193" s="20" t="s">
        <v>22</v>
      </c>
      <c r="E193" s="21">
        <f>ROUND(5933*1.05,2)</f>
      </c>
      <c r="F193" s="20" t="s">
        <v>51</v>
      </c>
      <c r="G193" s="20" t="s">
        <v>24</v>
      </c>
      <c r="H193" s="21">
        <f>ROUND(RAND()*4+6,1)</f>
      </c>
      <c r="I193" s="20" t="s">
        <v>25</v>
      </c>
      <c r="J193" s="23">
        <f>ROUND(67*1,0)&amp;"%"</f>
      </c>
    </row>
    <row x14ac:dyDescent="0.25" r="194" customHeight="1" ht="17.25">
      <c r="A194" s="24" t="s">
        <v>329</v>
      </c>
      <c r="B194" s="24"/>
      <c r="C194" s="24"/>
      <c r="D194" s="24"/>
      <c r="E194" s="25">
        <v>8</v>
      </c>
      <c r="F194" s="9"/>
      <c r="G194" s="9"/>
      <c r="H194" s="10"/>
      <c r="I194" s="9"/>
      <c r="J194" s="9"/>
    </row>
    <row x14ac:dyDescent="0.25" r="195" customHeight="1" ht="17.25">
      <c r="A195" s="7"/>
      <c r="B195" s="7"/>
      <c r="C195" s="7"/>
      <c r="D195" s="7"/>
      <c r="E195" s="8"/>
      <c r="F195" s="9"/>
      <c r="G195" s="9"/>
      <c r="H195" s="10"/>
      <c r="I195" s="9"/>
      <c r="J195" s="9"/>
    </row>
    <row x14ac:dyDescent="0.25" r="196" customHeight="1" ht="17.25">
      <c r="A196" s="11" t="s">
        <v>9399</v>
      </c>
      <c r="B196" s="11"/>
      <c r="C196" s="11"/>
      <c r="D196" s="11"/>
      <c r="E196" s="12"/>
      <c r="F196" s="11"/>
      <c r="G196" s="11"/>
      <c r="H196" s="13"/>
      <c r="I196" s="11"/>
      <c r="J196" s="11"/>
    </row>
    <row x14ac:dyDescent="0.25" r="197" customHeight="1" ht="17.25">
      <c r="A197" s="14" t="s">
        <v>3</v>
      </c>
      <c r="B197" s="14" t="s">
        <v>4</v>
      </c>
      <c r="C197" s="14" t="s">
        <v>5</v>
      </c>
      <c r="D197" s="14" t="s">
        <v>6</v>
      </c>
      <c r="E197" s="15" t="s">
        <v>7</v>
      </c>
      <c r="F197" s="14" t="s">
        <v>8</v>
      </c>
      <c r="G197" s="14" t="s">
        <v>9</v>
      </c>
      <c r="H197" s="16" t="s">
        <v>10</v>
      </c>
      <c r="I197" s="14" t="s">
        <v>11</v>
      </c>
      <c r="J197" s="14" t="s">
        <v>12</v>
      </c>
    </row>
    <row x14ac:dyDescent="0.25" r="198" customHeight="1" ht="17.25">
      <c r="A198" s="17" t="s">
        <v>9400</v>
      </c>
      <c r="B198" s="17" t="s">
        <v>332</v>
      </c>
      <c r="C198" s="17" t="s">
        <v>76</v>
      </c>
      <c r="D198" s="17" t="s">
        <v>16</v>
      </c>
      <c r="E198" s="18">
        <f>ROUND(11665*1.05,2)</f>
      </c>
      <c r="F198" s="17" t="s">
        <v>17</v>
      </c>
      <c r="G198" s="17" t="s">
        <v>18</v>
      </c>
      <c r="H198" s="18">
        <f>ROUND(RAND()*4+6,1)</f>
      </c>
      <c r="I198" s="17" t="s">
        <v>19</v>
      </c>
      <c r="J198" s="19">
        <f>ROUND(74*1,0)&amp;"%"</f>
      </c>
    </row>
    <row x14ac:dyDescent="0.25" r="199" customHeight="1" ht="17.25">
      <c r="A199" s="20" t="s">
        <v>9401</v>
      </c>
      <c r="B199" s="20" t="s">
        <v>334</v>
      </c>
      <c r="C199" s="20" t="s">
        <v>76</v>
      </c>
      <c r="D199" s="20" t="s">
        <v>22</v>
      </c>
      <c r="E199" s="21">
        <f>ROUND(14214*1.05,2)</f>
      </c>
      <c r="F199" s="20" t="s">
        <v>23</v>
      </c>
      <c r="G199" s="20" t="s">
        <v>24</v>
      </c>
      <c r="H199" s="21">
        <f>ROUND(RAND()*4+6,1)</f>
      </c>
      <c r="I199" s="20" t="s">
        <v>25</v>
      </c>
      <c r="J199" s="23">
        <f>ROUND(87*1,0)&amp;"%"</f>
      </c>
    </row>
    <row x14ac:dyDescent="0.25" r="200" customHeight="1" ht="17.25">
      <c r="A200" s="17" t="s">
        <v>9402</v>
      </c>
      <c r="B200" s="17" t="s">
        <v>336</v>
      </c>
      <c r="C200" s="17" t="s">
        <v>76</v>
      </c>
      <c r="D200" s="17" t="s">
        <v>28</v>
      </c>
      <c r="E200" s="18">
        <f>ROUND(15364*1.05,2)</f>
      </c>
      <c r="F200" s="17" t="s">
        <v>29</v>
      </c>
      <c r="G200" s="17" t="s">
        <v>30</v>
      </c>
      <c r="H200" s="18">
        <f>ROUND(RAND()*4+6,1)</f>
      </c>
      <c r="I200" s="17" t="s">
        <v>31</v>
      </c>
      <c r="J200" s="19">
        <f>ROUND(74*1,0)&amp;"%"</f>
      </c>
    </row>
    <row x14ac:dyDescent="0.25" r="201" customHeight="1" ht="17.25">
      <c r="A201" s="20" t="s">
        <v>9403</v>
      </c>
      <c r="B201" s="20" t="s">
        <v>338</v>
      </c>
      <c r="C201" s="20" t="s">
        <v>76</v>
      </c>
      <c r="D201" s="20" t="s">
        <v>34</v>
      </c>
      <c r="E201" s="21">
        <f>ROUND(14245*1.05,2)</f>
      </c>
      <c r="F201" s="20" t="s">
        <v>35</v>
      </c>
      <c r="G201" s="20" t="s">
        <v>18</v>
      </c>
      <c r="H201" s="21">
        <f>ROUND(RAND()*4+6,1)</f>
      </c>
      <c r="I201" s="20" t="s">
        <v>36</v>
      </c>
      <c r="J201" s="23">
        <f>ROUND(68*1,0)&amp;"%"</f>
      </c>
    </row>
    <row x14ac:dyDescent="0.25" r="202" customHeight="1" ht="17.25">
      <c r="A202" s="17" t="s">
        <v>9404</v>
      </c>
      <c r="B202" s="17" t="s">
        <v>340</v>
      </c>
      <c r="C202" s="17" t="s">
        <v>76</v>
      </c>
      <c r="D202" s="17" t="s">
        <v>39</v>
      </c>
      <c r="E202" s="18">
        <f>ROUND(5717*1.05,2)</f>
      </c>
      <c r="F202" s="17" t="s">
        <v>40</v>
      </c>
      <c r="G202" s="17" t="s">
        <v>24</v>
      </c>
      <c r="H202" s="18">
        <f>ROUND(RAND()*4+6,1)</f>
      </c>
      <c r="I202" s="17" t="s">
        <v>41</v>
      </c>
      <c r="J202" s="19">
        <f>ROUND(73*1,0)&amp;"%"</f>
      </c>
    </row>
    <row x14ac:dyDescent="0.25" r="203" customHeight="1" ht="17.25">
      <c r="A203" s="20" t="s">
        <v>9405</v>
      </c>
      <c r="B203" s="20" t="s">
        <v>342</v>
      </c>
      <c r="C203" s="20" t="s">
        <v>76</v>
      </c>
      <c r="D203" s="20" t="s">
        <v>67</v>
      </c>
      <c r="E203" s="21">
        <f>ROUND(4936*1.05,2)</f>
      </c>
      <c r="F203" s="20" t="s">
        <v>44</v>
      </c>
      <c r="G203" s="20" t="s">
        <v>30</v>
      </c>
      <c r="H203" s="21">
        <f>ROUND(RAND()*4+6,1)</f>
      </c>
      <c r="I203" s="20" t="s">
        <v>45</v>
      </c>
      <c r="J203" s="23">
        <f>ROUND(73*1,0)&amp;"%"</f>
      </c>
    </row>
    <row x14ac:dyDescent="0.25" r="204" customHeight="1" ht="17.25">
      <c r="A204" s="17" t="s">
        <v>9406</v>
      </c>
      <c r="B204" s="17" t="s">
        <v>344</v>
      </c>
      <c r="C204" s="17" t="s">
        <v>76</v>
      </c>
      <c r="D204" s="17" t="s">
        <v>16</v>
      </c>
      <c r="E204" s="18">
        <f>ROUND(8304*1.05,2)</f>
      </c>
      <c r="F204" s="17" t="s">
        <v>48</v>
      </c>
      <c r="G204" s="17" t="s">
        <v>18</v>
      </c>
      <c r="H204" s="18">
        <f>ROUND(RAND()*4+6,1)</f>
      </c>
      <c r="I204" s="17" t="s">
        <v>19</v>
      </c>
      <c r="J204" s="19">
        <f>ROUND(93*1,0)&amp;"%"</f>
      </c>
    </row>
    <row x14ac:dyDescent="0.25" r="205" customHeight="1" ht="17.25">
      <c r="A205" s="20" t="s">
        <v>9407</v>
      </c>
      <c r="B205" s="20" t="s">
        <v>346</v>
      </c>
      <c r="C205" s="20" t="s">
        <v>76</v>
      </c>
      <c r="D205" s="20" t="s">
        <v>22</v>
      </c>
      <c r="E205" s="21">
        <f>ROUND(7330*1.05,2)</f>
      </c>
      <c r="F205" s="20" t="s">
        <v>51</v>
      </c>
      <c r="G205" s="20" t="s">
        <v>24</v>
      </c>
      <c r="H205" s="21">
        <f>ROUND(RAND()*4+6,1)</f>
      </c>
      <c r="I205" s="20" t="s">
        <v>25</v>
      </c>
      <c r="J205" s="23">
        <f>ROUND(61*1,0)&amp;"%"</f>
      </c>
    </row>
    <row x14ac:dyDescent="0.25" r="206" customHeight="1" ht="17.25">
      <c r="A206" s="24" t="s">
        <v>347</v>
      </c>
      <c r="B206" s="24"/>
      <c r="C206" s="24"/>
      <c r="D206" s="24"/>
      <c r="E206" s="25">
        <v>8</v>
      </c>
      <c r="F206" s="9"/>
      <c r="G206" s="9"/>
      <c r="H206" s="10"/>
      <c r="I206" s="9"/>
      <c r="J206" s="9"/>
    </row>
    <row x14ac:dyDescent="0.25" r="207" customHeight="1" ht="17.25">
      <c r="A207" s="7"/>
      <c r="B207" s="7"/>
      <c r="C207" s="7"/>
      <c r="D207" s="7"/>
      <c r="E207" s="8"/>
      <c r="F207" s="9"/>
      <c r="G207" s="9"/>
      <c r="H207" s="10"/>
      <c r="I207" s="9"/>
      <c r="J207" s="9"/>
    </row>
    <row x14ac:dyDescent="0.25" r="208" customHeight="1" ht="17.25">
      <c r="A208" s="11" t="s">
        <v>9408</v>
      </c>
      <c r="B208" s="11"/>
      <c r="C208" s="11"/>
      <c r="D208" s="11"/>
      <c r="E208" s="12"/>
      <c r="F208" s="11"/>
      <c r="G208" s="11"/>
      <c r="H208" s="13"/>
      <c r="I208" s="11"/>
      <c r="J208" s="11"/>
    </row>
    <row x14ac:dyDescent="0.25" r="209" customHeight="1" ht="17.25">
      <c r="A209" s="14" t="s">
        <v>3</v>
      </c>
      <c r="B209" s="14" t="s">
        <v>4</v>
      </c>
      <c r="C209" s="14" t="s">
        <v>5</v>
      </c>
      <c r="D209" s="14" t="s">
        <v>6</v>
      </c>
      <c r="E209" s="15" t="s">
        <v>7</v>
      </c>
      <c r="F209" s="14" t="s">
        <v>8</v>
      </c>
      <c r="G209" s="14" t="s">
        <v>9</v>
      </c>
      <c r="H209" s="16" t="s">
        <v>10</v>
      </c>
      <c r="I209" s="14" t="s">
        <v>11</v>
      </c>
      <c r="J209" s="14" t="s">
        <v>12</v>
      </c>
    </row>
    <row x14ac:dyDescent="0.25" r="210" customHeight="1" ht="17.25">
      <c r="A210" s="17" t="s">
        <v>9409</v>
      </c>
      <c r="B210" s="17" t="s">
        <v>350</v>
      </c>
      <c r="C210" s="17" t="s">
        <v>95</v>
      </c>
      <c r="D210" s="17" t="s">
        <v>16</v>
      </c>
      <c r="E210" s="18">
        <f>ROUND(7888*1.05,2)</f>
      </c>
      <c r="F210" s="17" t="s">
        <v>17</v>
      </c>
      <c r="G210" s="17" t="s">
        <v>18</v>
      </c>
      <c r="H210" s="18">
        <f>ROUND(RAND()*4+6,1)</f>
      </c>
      <c r="I210" s="17" t="s">
        <v>19</v>
      </c>
      <c r="J210" s="19">
        <f>ROUND(63*1,0)&amp;"%"</f>
      </c>
    </row>
    <row x14ac:dyDescent="0.25" r="211" customHeight="1" ht="17.25">
      <c r="A211" s="20" t="s">
        <v>9410</v>
      </c>
      <c r="B211" s="20" t="s">
        <v>352</v>
      </c>
      <c r="C211" s="20" t="s">
        <v>95</v>
      </c>
      <c r="D211" s="20" t="s">
        <v>22</v>
      </c>
      <c r="E211" s="21">
        <f>ROUND(15653*1.05,2)</f>
      </c>
      <c r="F211" s="20" t="s">
        <v>23</v>
      </c>
      <c r="G211" s="20" t="s">
        <v>24</v>
      </c>
      <c r="H211" s="21">
        <f>ROUND(RAND()*4+6,1)</f>
      </c>
      <c r="I211" s="20" t="s">
        <v>25</v>
      </c>
      <c r="J211" s="23">
        <f>ROUND(77*1,0)&amp;"%"</f>
      </c>
    </row>
    <row x14ac:dyDescent="0.25" r="212" customHeight="1" ht="17.25">
      <c r="A212" s="17" t="s">
        <v>9411</v>
      </c>
      <c r="B212" s="17" t="s">
        <v>354</v>
      </c>
      <c r="C212" s="17" t="s">
        <v>95</v>
      </c>
      <c r="D212" s="17" t="s">
        <v>28</v>
      </c>
      <c r="E212" s="18">
        <f>ROUND(5348*1.05,2)</f>
      </c>
      <c r="F212" s="17" t="s">
        <v>29</v>
      </c>
      <c r="G212" s="17" t="s">
        <v>30</v>
      </c>
      <c r="H212" s="18">
        <f>ROUND(RAND()*4+6,1)</f>
      </c>
      <c r="I212" s="17" t="s">
        <v>31</v>
      </c>
      <c r="J212" s="19">
        <f>ROUND(65*1,0)&amp;"%"</f>
      </c>
    </row>
    <row x14ac:dyDescent="0.25" r="213" customHeight="1" ht="17.25">
      <c r="A213" s="20" t="s">
        <v>9412</v>
      </c>
      <c r="B213" s="20" t="s">
        <v>356</v>
      </c>
      <c r="C213" s="20" t="s">
        <v>95</v>
      </c>
      <c r="D213" s="20" t="s">
        <v>34</v>
      </c>
      <c r="E213" s="22">
        <f>ROUND(5840*1.05,2)</f>
      </c>
      <c r="F213" s="20" t="s">
        <v>35</v>
      </c>
      <c r="G213" s="20" t="s">
        <v>18</v>
      </c>
      <c r="H213" s="21">
        <f>ROUND(RAND()*4+6,1)</f>
      </c>
      <c r="I213" s="20" t="s">
        <v>36</v>
      </c>
      <c r="J213" s="23">
        <f>ROUND(99*1,0)&amp;"%"</f>
      </c>
    </row>
    <row x14ac:dyDescent="0.25" r="214" customHeight="1" ht="17.25">
      <c r="A214" s="17" t="s">
        <v>9413</v>
      </c>
      <c r="B214" s="17" t="s">
        <v>358</v>
      </c>
      <c r="C214" s="17" t="s">
        <v>95</v>
      </c>
      <c r="D214" s="17" t="s">
        <v>39</v>
      </c>
      <c r="E214" s="18">
        <f>ROUND(13066*1.05,2)</f>
      </c>
      <c r="F214" s="17" t="s">
        <v>40</v>
      </c>
      <c r="G214" s="17" t="s">
        <v>24</v>
      </c>
      <c r="H214" s="18">
        <f>ROUND(RAND()*4+6,1)</f>
      </c>
      <c r="I214" s="17" t="s">
        <v>41</v>
      </c>
      <c r="J214" s="19">
        <f>ROUND(97*1,0)&amp;"%"</f>
      </c>
    </row>
    <row x14ac:dyDescent="0.25" r="215" customHeight="1" ht="17.25">
      <c r="A215" s="20" t="s">
        <v>9414</v>
      </c>
      <c r="B215" s="20" t="s">
        <v>360</v>
      </c>
      <c r="C215" s="20" t="s">
        <v>95</v>
      </c>
      <c r="D215" s="20" t="s">
        <v>67</v>
      </c>
      <c r="E215" s="21">
        <f>ROUND(14134*1.05,2)</f>
      </c>
      <c r="F215" s="20" t="s">
        <v>44</v>
      </c>
      <c r="G215" s="20" t="s">
        <v>30</v>
      </c>
      <c r="H215" s="21">
        <f>ROUND(RAND()*4+6,1)</f>
      </c>
      <c r="I215" s="20" t="s">
        <v>45</v>
      </c>
      <c r="J215" s="23">
        <f>ROUND(70*1,0)&amp;"%"</f>
      </c>
    </row>
    <row x14ac:dyDescent="0.25" r="216" customHeight="1" ht="17.25">
      <c r="A216" s="17" t="s">
        <v>9415</v>
      </c>
      <c r="B216" s="17" t="s">
        <v>362</v>
      </c>
      <c r="C216" s="17" t="s">
        <v>95</v>
      </c>
      <c r="D216" s="17" t="s">
        <v>16</v>
      </c>
      <c r="E216" s="18">
        <f>ROUND(10199*1.05,2)</f>
      </c>
      <c r="F216" s="17" t="s">
        <v>48</v>
      </c>
      <c r="G216" s="17" t="s">
        <v>18</v>
      </c>
      <c r="H216" s="18">
        <f>ROUND(RAND()*4+6,1)</f>
      </c>
      <c r="I216" s="17" t="s">
        <v>19</v>
      </c>
      <c r="J216" s="19">
        <f>ROUND(85*1,0)&amp;"%"</f>
      </c>
    </row>
    <row x14ac:dyDescent="0.25" r="217" customHeight="1" ht="17.25">
      <c r="A217" s="20" t="s">
        <v>9416</v>
      </c>
      <c r="B217" s="20" t="s">
        <v>364</v>
      </c>
      <c r="C217" s="20" t="s">
        <v>95</v>
      </c>
      <c r="D217" s="20" t="s">
        <v>22</v>
      </c>
      <c r="E217" s="21">
        <f>ROUND(8077*1.05,2)</f>
      </c>
      <c r="F217" s="20" t="s">
        <v>51</v>
      </c>
      <c r="G217" s="20" t="s">
        <v>24</v>
      </c>
      <c r="H217" s="21">
        <f>ROUND(RAND()*4+6,1)</f>
      </c>
      <c r="I217" s="20" t="s">
        <v>25</v>
      </c>
      <c r="J217" s="23">
        <f>ROUND(91*1,0)&amp;"%"</f>
      </c>
    </row>
    <row x14ac:dyDescent="0.25" r="218" customHeight="1" ht="17.25">
      <c r="A218" s="24" t="s">
        <v>365</v>
      </c>
      <c r="B218" s="24"/>
      <c r="C218" s="24"/>
      <c r="D218" s="24"/>
      <c r="E218" s="25">
        <v>8</v>
      </c>
      <c r="F218" s="9"/>
      <c r="G218" s="9"/>
      <c r="H218" s="10"/>
      <c r="I218" s="9"/>
      <c r="J218" s="9"/>
    </row>
    <row x14ac:dyDescent="0.25" r="219" customHeight="1" ht="17.25">
      <c r="A219" s="7"/>
      <c r="B219" s="7"/>
      <c r="C219" s="7"/>
      <c r="D219" s="7"/>
      <c r="E219" s="8"/>
      <c r="F219" s="9"/>
      <c r="G219" s="9"/>
      <c r="H219" s="10"/>
      <c r="I219" s="9"/>
      <c r="J219" s="9"/>
    </row>
    <row x14ac:dyDescent="0.25" r="220" customHeight="1" ht="17.25">
      <c r="A220" s="11" t="s">
        <v>9417</v>
      </c>
      <c r="B220" s="11"/>
      <c r="C220" s="11"/>
      <c r="D220" s="11"/>
      <c r="E220" s="12"/>
      <c r="F220" s="11"/>
      <c r="G220" s="11"/>
      <c r="H220" s="13"/>
      <c r="I220" s="11"/>
      <c r="J220" s="11"/>
    </row>
    <row x14ac:dyDescent="0.25" r="221" customHeight="1" ht="17.25">
      <c r="A221" s="14" t="s">
        <v>3</v>
      </c>
      <c r="B221" s="14" t="s">
        <v>4</v>
      </c>
      <c r="C221" s="14" t="s">
        <v>5</v>
      </c>
      <c r="D221" s="14" t="s">
        <v>6</v>
      </c>
      <c r="E221" s="15" t="s">
        <v>7</v>
      </c>
      <c r="F221" s="14" t="s">
        <v>8</v>
      </c>
      <c r="G221" s="14" t="s">
        <v>9</v>
      </c>
      <c r="H221" s="16" t="s">
        <v>10</v>
      </c>
      <c r="I221" s="14" t="s">
        <v>11</v>
      </c>
      <c r="J221" s="14" t="s">
        <v>12</v>
      </c>
    </row>
    <row x14ac:dyDescent="0.25" r="222" customHeight="1" ht="17.25">
      <c r="A222" s="17" t="s">
        <v>9418</v>
      </c>
      <c r="B222" s="17" t="s">
        <v>368</v>
      </c>
      <c r="C222" s="17" t="s">
        <v>114</v>
      </c>
      <c r="D222" s="17" t="s">
        <v>16</v>
      </c>
      <c r="E222" s="18">
        <f>ROUND(14215*1.05,2)</f>
      </c>
      <c r="F222" s="17" t="s">
        <v>17</v>
      </c>
      <c r="G222" s="17" t="s">
        <v>18</v>
      </c>
      <c r="H222" s="18">
        <f>ROUND(RAND()*4+6,1)</f>
      </c>
      <c r="I222" s="17" t="s">
        <v>19</v>
      </c>
      <c r="J222" s="19">
        <f>ROUND(87*1,0)&amp;"%"</f>
      </c>
    </row>
    <row x14ac:dyDescent="0.25" r="223" customHeight="1" ht="17.25">
      <c r="A223" s="20" t="s">
        <v>9419</v>
      </c>
      <c r="B223" s="20" t="s">
        <v>370</v>
      </c>
      <c r="C223" s="20" t="s">
        <v>114</v>
      </c>
      <c r="D223" s="20" t="s">
        <v>22</v>
      </c>
      <c r="E223" s="21">
        <f>ROUND(10202*1.05,2)</f>
      </c>
      <c r="F223" s="20" t="s">
        <v>23</v>
      </c>
      <c r="G223" s="20" t="s">
        <v>24</v>
      </c>
      <c r="H223" s="21">
        <f>ROUND(RAND()*4+6,1)</f>
      </c>
      <c r="I223" s="20" t="s">
        <v>25</v>
      </c>
      <c r="J223" s="23">
        <f>ROUND(97*1,0)&amp;"%"</f>
      </c>
    </row>
    <row x14ac:dyDescent="0.25" r="224" customHeight="1" ht="17.25">
      <c r="A224" s="17" t="s">
        <v>9420</v>
      </c>
      <c r="B224" s="17" t="s">
        <v>372</v>
      </c>
      <c r="C224" s="17" t="s">
        <v>114</v>
      </c>
      <c r="D224" s="17" t="s">
        <v>28</v>
      </c>
      <c r="E224" s="18">
        <f>ROUND(17268*1.05,2)</f>
      </c>
      <c r="F224" s="17" t="s">
        <v>29</v>
      </c>
      <c r="G224" s="17" t="s">
        <v>30</v>
      </c>
      <c r="H224" s="18">
        <f>ROUND(RAND()*4+6,1)</f>
      </c>
      <c r="I224" s="17" t="s">
        <v>31</v>
      </c>
      <c r="J224" s="19">
        <f>ROUND(79*1,0)&amp;"%"</f>
      </c>
    </row>
    <row x14ac:dyDescent="0.25" r="225" customHeight="1" ht="17.25">
      <c r="A225" s="20" t="s">
        <v>9421</v>
      </c>
      <c r="B225" s="20" t="s">
        <v>374</v>
      </c>
      <c r="C225" s="20" t="s">
        <v>114</v>
      </c>
      <c r="D225" s="20" t="s">
        <v>34</v>
      </c>
      <c r="E225" s="21">
        <f>ROUND(5789*1.05,2)</f>
      </c>
      <c r="F225" s="20" t="s">
        <v>35</v>
      </c>
      <c r="G225" s="20" t="s">
        <v>18</v>
      </c>
      <c r="H225" s="22">
        <f>ROUND(RAND()*4+6,1)</f>
      </c>
      <c r="I225" s="20" t="s">
        <v>36</v>
      </c>
      <c r="J225" s="23">
        <f>ROUND(85*1,0)&amp;"%"</f>
      </c>
    </row>
    <row x14ac:dyDescent="0.25" r="226" customHeight="1" ht="17.25">
      <c r="A226" s="17" t="s">
        <v>9422</v>
      </c>
      <c r="B226" s="17" t="s">
        <v>376</v>
      </c>
      <c r="C226" s="17" t="s">
        <v>114</v>
      </c>
      <c r="D226" s="17" t="s">
        <v>39</v>
      </c>
      <c r="E226" s="18">
        <f>ROUND(9792*1.05,2)</f>
      </c>
      <c r="F226" s="17" t="s">
        <v>40</v>
      </c>
      <c r="G226" s="17" t="s">
        <v>24</v>
      </c>
      <c r="H226" s="18">
        <f>ROUND(RAND()*4+6,1)</f>
      </c>
      <c r="I226" s="17" t="s">
        <v>41</v>
      </c>
      <c r="J226" s="19">
        <f>ROUND(73*1,0)&amp;"%"</f>
      </c>
    </row>
    <row x14ac:dyDescent="0.25" r="227" customHeight="1" ht="17.25">
      <c r="A227" s="20" t="s">
        <v>9423</v>
      </c>
      <c r="B227" s="20" t="s">
        <v>378</v>
      </c>
      <c r="C227" s="20" t="s">
        <v>114</v>
      </c>
      <c r="D227" s="20" t="s">
        <v>67</v>
      </c>
      <c r="E227" s="21">
        <f>ROUND(11938*1.05,2)</f>
      </c>
      <c r="F227" s="20" t="s">
        <v>44</v>
      </c>
      <c r="G227" s="20" t="s">
        <v>30</v>
      </c>
      <c r="H227" s="22">
        <f>ROUND(RAND()*4+6,1)</f>
      </c>
      <c r="I227" s="20" t="s">
        <v>45</v>
      </c>
      <c r="J227" s="23">
        <f>ROUND(61*1,0)&amp;"%"</f>
      </c>
    </row>
    <row x14ac:dyDescent="0.25" r="228" customHeight="1" ht="17.25">
      <c r="A228" s="17" t="s">
        <v>9424</v>
      </c>
      <c r="B228" s="17" t="s">
        <v>380</v>
      </c>
      <c r="C228" s="17" t="s">
        <v>114</v>
      </c>
      <c r="D228" s="17" t="s">
        <v>16</v>
      </c>
      <c r="E228" s="18">
        <f>ROUND(17377*1.05,2)</f>
      </c>
      <c r="F228" s="17" t="s">
        <v>48</v>
      </c>
      <c r="G228" s="17" t="s">
        <v>18</v>
      </c>
      <c r="H228" s="18">
        <f>ROUND(RAND()*4+6,1)</f>
      </c>
      <c r="I228" s="17" t="s">
        <v>19</v>
      </c>
      <c r="J228" s="19">
        <f>ROUND(60*1,0)&amp;"%"</f>
      </c>
    </row>
    <row x14ac:dyDescent="0.25" r="229" customHeight="1" ht="17.25">
      <c r="A229" s="20" t="s">
        <v>9425</v>
      </c>
      <c r="B229" s="20" t="s">
        <v>382</v>
      </c>
      <c r="C229" s="20" t="s">
        <v>114</v>
      </c>
      <c r="D229" s="20" t="s">
        <v>22</v>
      </c>
      <c r="E229" s="21">
        <f>ROUND(9777*1.05,2)</f>
      </c>
      <c r="F229" s="20" t="s">
        <v>51</v>
      </c>
      <c r="G229" s="20" t="s">
        <v>24</v>
      </c>
      <c r="H229" s="21">
        <f>ROUND(RAND()*4+6,1)</f>
      </c>
      <c r="I229" s="20" t="s">
        <v>25</v>
      </c>
      <c r="J229" s="23">
        <f>ROUND(68*1,0)&amp;"%"</f>
      </c>
    </row>
    <row x14ac:dyDescent="0.25" r="230" customHeight="1" ht="17.25">
      <c r="A230" s="24" t="s">
        <v>383</v>
      </c>
      <c r="B230" s="24"/>
      <c r="C230" s="24"/>
      <c r="D230" s="24"/>
      <c r="E230" s="25">
        <v>8</v>
      </c>
      <c r="F230" s="9"/>
      <c r="G230" s="9"/>
      <c r="H230" s="10"/>
      <c r="I230" s="9"/>
      <c r="J230" s="9"/>
    </row>
    <row x14ac:dyDescent="0.25" r="231" customHeight="1" ht="17.25">
      <c r="A231" s="7"/>
      <c r="B231" s="7"/>
      <c r="C231" s="7"/>
      <c r="D231" s="7"/>
      <c r="E231" s="8"/>
      <c r="F231" s="9"/>
      <c r="G231" s="9"/>
      <c r="H231" s="10"/>
      <c r="I231" s="9"/>
      <c r="J231" s="9"/>
    </row>
    <row x14ac:dyDescent="0.25" r="232" customHeight="1" ht="17.25">
      <c r="A232" s="11" t="s">
        <v>9426</v>
      </c>
      <c r="B232" s="11"/>
      <c r="C232" s="11"/>
      <c r="D232" s="11"/>
      <c r="E232" s="12"/>
      <c r="F232" s="11"/>
      <c r="G232" s="11"/>
      <c r="H232" s="13"/>
      <c r="I232" s="11"/>
      <c r="J232" s="11"/>
    </row>
    <row x14ac:dyDescent="0.25" r="233" customHeight="1" ht="17.25">
      <c r="A233" s="14" t="s">
        <v>3</v>
      </c>
      <c r="B233" s="14" t="s">
        <v>4</v>
      </c>
      <c r="C233" s="14" t="s">
        <v>5</v>
      </c>
      <c r="D233" s="14" t="s">
        <v>6</v>
      </c>
      <c r="E233" s="15" t="s">
        <v>7</v>
      </c>
      <c r="F233" s="14" t="s">
        <v>8</v>
      </c>
      <c r="G233" s="14" t="s">
        <v>9</v>
      </c>
      <c r="H233" s="16" t="s">
        <v>10</v>
      </c>
      <c r="I233" s="14" t="s">
        <v>11</v>
      </c>
      <c r="J233" s="14" t="s">
        <v>12</v>
      </c>
    </row>
    <row x14ac:dyDescent="0.25" r="234" customHeight="1" ht="17.25">
      <c r="A234" s="17" t="s">
        <v>9427</v>
      </c>
      <c r="B234" s="17" t="s">
        <v>386</v>
      </c>
      <c r="C234" s="17" t="s">
        <v>133</v>
      </c>
      <c r="D234" s="17" t="s">
        <v>16</v>
      </c>
      <c r="E234" s="18">
        <f>ROUND(6042*1.05,2)</f>
      </c>
      <c r="F234" s="17" t="s">
        <v>17</v>
      </c>
      <c r="G234" s="17" t="s">
        <v>18</v>
      </c>
      <c r="H234" s="18">
        <f>ROUND(RAND()*4+6,1)</f>
      </c>
      <c r="I234" s="17" t="s">
        <v>19</v>
      </c>
      <c r="J234" s="19">
        <f>ROUND(72*1,0)&amp;"%"</f>
      </c>
    </row>
    <row x14ac:dyDescent="0.25" r="235" customHeight="1" ht="17.25">
      <c r="A235" s="20" t="s">
        <v>9428</v>
      </c>
      <c r="B235" s="20" t="s">
        <v>388</v>
      </c>
      <c r="C235" s="20" t="s">
        <v>133</v>
      </c>
      <c r="D235" s="20" t="s">
        <v>22</v>
      </c>
      <c r="E235" s="21">
        <f>ROUND(11595*1.05,2)</f>
      </c>
      <c r="F235" s="20" t="s">
        <v>23</v>
      </c>
      <c r="G235" s="20" t="s">
        <v>24</v>
      </c>
      <c r="H235" s="21">
        <f>ROUND(RAND()*4+6,1)</f>
      </c>
      <c r="I235" s="20" t="s">
        <v>25</v>
      </c>
      <c r="J235" s="23">
        <f>ROUND(94*1,0)&amp;"%"</f>
      </c>
    </row>
    <row x14ac:dyDescent="0.25" r="236" customHeight="1" ht="17.25">
      <c r="A236" s="17" t="s">
        <v>9429</v>
      </c>
      <c r="B236" s="17" t="s">
        <v>390</v>
      </c>
      <c r="C236" s="17" t="s">
        <v>133</v>
      </c>
      <c r="D236" s="17" t="s">
        <v>28</v>
      </c>
      <c r="E236" s="18">
        <f>ROUND(8677*1.05,2)</f>
      </c>
      <c r="F236" s="17" t="s">
        <v>29</v>
      </c>
      <c r="G236" s="17" t="s">
        <v>30</v>
      </c>
      <c r="H236" s="18">
        <f>ROUND(RAND()*4+6,1)</f>
      </c>
      <c r="I236" s="17" t="s">
        <v>31</v>
      </c>
      <c r="J236" s="19">
        <f>ROUND(84*1,0)&amp;"%"</f>
      </c>
    </row>
    <row x14ac:dyDescent="0.25" r="237" customHeight="1" ht="17.25">
      <c r="A237" s="20" t="s">
        <v>9430</v>
      </c>
      <c r="B237" s="20" t="s">
        <v>392</v>
      </c>
      <c r="C237" s="20" t="s">
        <v>133</v>
      </c>
      <c r="D237" s="20" t="s">
        <v>34</v>
      </c>
      <c r="E237" s="21">
        <f>ROUND(6577*1.05,2)</f>
      </c>
      <c r="F237" s="20" t="s">
        <v>35</v>
      </c>
      <c r="G237" s="20" t="s">
        <v>18</v>
      </c>
      <c r="H237" s="21">
        <f>ROUND(RAND()*4+6,1)</f>
      </c>
      <c r="I237" s="20" t="s">
        <v>36</v>
      </c>
      <c r="J237" s="23">
        <f>ROUND(86*1,0)&amp;"%"</f>
      </c>
    </row>
    <row x14ac:dyDescent="0.25" r="238" customHeight="1" ht="17.25">
      <c r="A238" s="17" t="s">
        <v>9431</v>
      </c>
      <c r="B238" s="17" t="s">
        <v>394</v>
      </c>
      <c r="C238" s="17" t="s">
        <v>133</v>
      </c>
      <c r="D238" s="17" t="s">
        <v>39</v>
      </c>
      <c r="E238" s="18">
        <f>ROUND(11992*1.05,2)</f>
      </c>
      <c r="F238" s="17" t="s">
        <v>40</v>
      </c>
      <c r="G238" s="17" t="s">
        <v>24</v>
      </c>
      <c r="H238" s="18">
        <f>ROUND(RAND()*4+6,1)</f>
      </c>
      <c r="I238" s="17" t="s">
        <v>41</v>
      </c>
      <c r="J238" s="19">
        <f>ROUND(82*1,0)&amp;"%"</f>
      </c>
    </row>
    <row x14ac:dyDescent="0.25" r="239" customHeight="1" ht="17.25">
      <c r="A239" s="20" t="s">
        <v>9432</v>
      </c>
      <c r="B239" s="20" t="s">
        <v>396</v>
      </c>
      <c r="C239" s="20" t="s">
        <v>133</v>
      </c>
      <c r="D239" s="20" t="s">
        <v>67</v>
      </c>
      <c r="E239" s="21">
        <f>ROUND(17390*1.05,2)</f>
      </c>
      <c r="F239" s="20" t="s">
        <v>44</v>
      </c>
      <c r="G239" s="20" t="s">
        <v>30</v>
      </c>
      <c r="H239" s="21">
        <f>ROUND(RAND()*4+6,1)</f>
      </c>
      <c r="I239" s="20" t="s">
        <v>45</v>
      </c>
      <c r="J239" s="23">
        <f>ROUND(64*1,0)&amp;"%"</f>
      </c>
    </row>
    <row x14ac:dyDescent="0.25" r="240" customHeight="1" ht="17.25">
      <c r="A240" s="17" t="s">
        <v>9433</v>
      </c>
      <c r="B240" s="17" t="s">
        <v>398</v>
      </c>
      <c r="C240" s="17" t="s">
        <v>133</v>
      </c>
      <c r="D240" s="17" t="s">
        <v>16</v>
      </c>
      <c r="E240" s="18">
        <f>ROUND(8561*1.05,2)</f>
      </c>
      <c r="F240" s="17" t="s">
        <v>48</v>
      </c>
      <c r="G240" s="17" t="s">
        <v>18</v>
      </c>
      <c r="H240" s="18">
        <f>ROUND(RAND()*4+6,1)</f>
      </c>
      <c r="I240" s="17" t="s">
        <v>19</v>
      </c>
      <c r="J240" s="19">
        <f>ROUND(61*1,0)&amp;"%"</f>
      </c>
    </row>
    <row x14ac:dyDescent="0.25" r="241" customHeight="1" ht="17.25">
      <c r="A241" s="20" t="s">
        <v>9434</v>
      </c>
      <c r="B241" s="20" t="s">
        <v>400</v>
      </c>
      <c r="C241" s="20" t="s">
        <v>133</v>
      </c>
      <c r="D241" s="20" t="s">
        <v>22</v>
      </c>
      <c r="E241" s="21">
        <f>ROUND(11732*1.05,2)</f>
      </c>
      <c r="F241" s="20" t="s">
        <v>51</v>
      </c>
      <c r="G241" s="20" t="s">
        <v>24</v>
      </c>
      <c r="H241" s="21">
        <f>ROUND(RAND()*4+6,1)</f>
      </c>
      <c r="I241" s="20" t="s">
        <v>25</v>
      </c>
      <c r="J241" s="23">
        <f>ROUND(65*1,0)&amp;"%"</f>
      </c>
    </row>
    <row x14ac:dyDescent="0.25" r="242" customHeight="1" ht="17.25">
      <c r="A242" s="24" t="s">
        <v>401</v>
      </c>
      <c r="B242" s="24"/>
      <c r="C242" s="24"/>
      <c r="D242" s="24"/>
      <c r="E242" s="25">
        <v>8</v>
      </c>
      <c r="F242" s="9"/>
      <c r="G242" s="9"/>
      <c r="H242" s="10"/>
      <c r="I242" s="9"/>
      <c r="J242" s="9"/>
    </row>
    <row x14ac:dyDescent="0.25" r="243" customHeight="1" ht="17.25">
      <c r="A243" s="7"/>
      <c r="B243" s="7"/>
      <c r="C243" s="7"/>
      <c r="D243" s="7"/>
      <c r="E243" s="8"/>
      <c r="F243" s="9"/>
      <c r="G243" s="9"/>
      <c r="H243" s="10"/>
      <c r="I243" s="9"/>
      <c r="J243" s="9"/>
    </row>
    <row x14ac:dyDescent="0.25" r="244" customHeight="1" ht="17.25">
      <c r="A244" s="11" t="s">
        <v>9435</v>
      </c>
      <c r="B244" s="11"/>
      <c r="C244" s="11"/>
      <c r="D244" s="11"/>
      <c r="E244" s="12"/>
      <c r="F244" s="11"/>
      <c r="G244" s="11"/>
      <c r="H244" s="13"/>
      <c r="I244" s="11"/>
      <c r="J244" s="11"/>
    </row>
    <row x14ac:dyDescent="0.25" r="245" customHeight="1" ht="17.25">
      <c r="A245" s="14" t="s">
        <v>3</v>
      </c>
      <c r="B245" s="14" t="s">
        <v>4</v>
      </c>
      <c r="C245" s="14" t="s">
        <v>5</v>
      </c>
      <c r="D245" s="14" t="s">
        <v>6</v>
      </c>
      <c r="E245" s="15" t="s">
        <v>7</v>
      </c>
      <c r="F245" s="14" t="s">
        <v>8</v>
      </c>
      <c r="G245" s="14" t="s">
        <v>9</v>
      </c>
      <c r="H245" s="16" t="s">
        <v>10</v>
      </c>
      <c r="I245" s="14" t="s">
        <v>11</v>
      </c>
      <c r="J245" s="14" t="s">
        <v>12</v>
      </c>
    </row>
    <row x14ac:dyDescent="0.25" r="246" customHeight="1" ht="17.25">
      <c r="A246" s="17" t="s">
        <v>9436</v>
      </c>
      <c r="B246" s="17" t="s">
        <v>404</v>
      </c>
      <c r="C246" s="17" t="s">
        <v>152</v>
      </c>
      <c r="D246" s="17" t="s">
        <v>16</v>
      </c>
      <c r="E246" s="18">
        <f>ROUND(17706*1.05,2)</f>
      </c>
      <c r="F246" s="17" t="s">
        <v>17</v>
      </c>
      <c r="G246" s="17" t="s">
        <v>18</v>
      </c>
      <c r="H246" s="18">
        <f>ROUND(RAND()*4+6,1)</f>
      </c>
      <c r="I246" s="17" t="s">
        <v>19</v>
      </c>
      <c r="J246" s="19">
        <f>ROUND(69*1,0)&amp;"%"</f>
      </c>
    </row>
    <row x14ac:dyDescent="0.25" r="247" customHeight="1" ht="17.25">
      <c r="A247" s="20" t="s">
        <v>9437</v>
      </c>
      <c r="B247" s="20" t="s">
        <v>406</v>
      </c>
      <c r="C247" s="20" t="s">
        <v>152</v>
      </c>
      <c r="D247" s="20" t="s">
        <v>22</v>
      </c>
      <c r="E247" s="22">
        <f>ROUND(16020*1.05,2)</f>
      </c>
      <c r="F247" s="20" t="s">
        <v>23</v>
      </c>
      <c r="G247" s="20" t="s">
        <v>24</v>
      </c>
      <c r="H247" s="21">
        <f>ROUND(RAND()*4+6,1)</f>
      </c>
      <c r="I247" s="20" t="s">
        <v>25</v>
      </c>
      <c r="J247" s="23">
        <f>ROUND(63*1,0)&amp;"%"</f>
      </c>
    </row>
    <row x14ac:dyDescent="0.25" r="248" customHeight="1" ht="17.25">
      <c r="A248" s="17" t="s">
        <v>9438</v>
      </c>
      <c r="B248" s="17" t="s">
        <v>408</v>
      </c>
      <c r="C248" s="17" t="s">
        <v>152</v>
      </c>
      <c r="D248" s="17" t="s">
        <v>28</v>
      </c>
      <c r="E248" s="18">
        <f>ROUND(12663*1.05,2)</f>
      </c>
      <c r="F248" s="17" t="s">
        <v>29</v>
      </c>
      <c r="G248" s="17" t="s">
        <v>30</v>
      </c>
      <c r="H248" s="18">
        <f>ROUND(RAND()*4+6,1)</f>
      </c>
      <c r="I248" s="17" t="s">
        <v>31</v>
      </c>
      <c r="J248" s="19">
        <f>ROUND(75*1,0)&amp;"%"</f>
      </c>
    </row>
    <row x14ac:dyDescent="0.25" r="249" customHeight="1" ht="17.25">
      <c r="A249" s="20" t="s">
        <v>9439</v>
      </c>
      <c r="B249" s="20" t="s">
        <v>410</v>
      </c>
      <c r="C249" s="20" t="s">
        <v>152</v>
      </c>
      <c r="D249" s="20" t="s">
        <v>34</v>
      </c>
      <c r="E249" s="21">
        <f>ROUND(17449*1.05,2)</f>
      </c>
      <c r="F249" s="20" t="s">
        <v>35</v>
      </c>
      <c r="G249" s="20" t="s">
        <v>18</v>
      </c>
      <c r="H249" s="21">
        <f>ROUND(RAND()*4+6,1)</f>
      </c>
      <c r="I249" s="20" t="s">
        <v>36</v>
      </c>
      <c r="J249" s="23">
        <f>ROUND(66*1,0)&amp;"%"</f>
      </c>
    </row>
    <row x14ac:dyDescent="0.25" r="250" customHeight="1" ht="17.25">
      <c r="A250" s="17" t="s">
        <v>9440</v>
      </c>
      <c r="B250" s="17" t="s">
        <v>412</v>
      </c>
      <c r="C250" s="17" t="s">
        <v>152</v>
      </c>
      <c r="D250" s="17" t="s">
        <v>39</v>
      </c>
      <c r="E250" s="18">
        <f>ROUND(6748*1.05,2)</f>
      </c>
      <c r="F250" s="17" t="s">
        <v>40</v>
      </c>
      <c r="G250" s="17" t="s">
        <v>24</v>
      </c>
      <c r="H250" s="18">
        <f>ROUND(RAND()*4+6,1)</f>
      </c>
      <c r="I250" s="17" t="s">
        <v>41</v>
      </c>
      <c r="J250" s="19">
        <f>ROUND(99*1,0)&amp;"%"</f>
      </c>
    </row>
    <row x14ac:dyDescent="0.25" r="251" customHeight="1" ht="17.25">
      <c r="A251" s="20" t="s">
        <v>9441</v>
      </c>
      <c r="B251" s="20" t="s">
        <v>414</v>
      </c>
      <c r="C251" s="20" t="s">
        <v>152</v>
      </c>
      <c r="D251" s="20" t="s">
        <v>67</v>
      </c>
      <c r="E251" s="21">
        <f>ROUND(16928*1.05,2)</f>
      </c>
      <c r="F251" s="20" t="s">
        <v>44</v>
      </c>
      <c r="G251" s="20" t="s">
        <v>30</v>
      </c>
      <c r="H251" s="21">
        <f>ROUND(RAND()*4+6,1)</f>
      </c>
      <c r="I251" s="20" t="s">
        <v>45</v>
      </c>
      <c r="J251" s="23">
        <f>ROUND(72*1,0)&amp;"%"</f>
      </c>
    </row>
    <row x14ac:dyDescent="0.25" r="252" customHeight="1" ht="17.25">
      <c r="A252" s="17" t="s">
        <v>9442</v>
      </c>
      <c r="B252" s="17" t="s">
        <v>416</v>
      </c>
      <c r="C252" s="17" t="s">
        <v>152</v>
      </c>
      <c r="D252" s="17" t="s">
        <v>16</v>
      </c>
      <c r="E252" s="18">
        <f>ROUND(13271*1.05,2)</f>
      </c>
      <c r="F252" s="17" t="s">
        <v>48</v>
      </c>
      <c r="G252" s="17" t="s">
        <v>18</v>
      </c>
      <c r="H252" s="18">
        <f>ROUND(RAND()*4+6,1)</f>
      </c>
      <c r="I252" s="17" t="s">
        <v>19</v>
      </c>
      <c r="J252" s="19">
        <f>ROUND(93*1,0)&amp;"%"</f>
      </c>
    </row>
    <row x14ac:dyDescent="0.25" r="253" customHeight="1" ht="17.25">
      <c r="A253" s="20" t="s">
        <v>9443</v>
      </c>
      <c r="B253" s="20" t="s">
        <v>418</v>
      </c>
      <c r="C253" s="20" t="s">
        <v>152</v>
      </c>
      <c r="D253" s="20" t="s">
        <v>22</v>
      </c>
      <c r="E253" s="21">
        <f>ROUND(14889*1.05,2)</f>
      </c>
      <c r="F253" s="20" t="s">
        <v>51</v>
      </c>
      <c r="G253" s="20" t="s">
        <v>24</v>
      </c>
      <c r="H253" s="21">
        <f>ROUND(RAND()*4+6,1)</f>
      </c>
      <c r="I253" s="20" t="s">
        <v>25</v>
      </c>
      <c r="J253" s="23">
        <f>ROUND(87*1,0)&amp;"%"</f>
      </c>
    </row>
    <row x14ac:dyDescent="0.25" r="254" customHeight="1" ht="17.25">
      <c r="A254" s="24" t="s">
        <v>419</v>
      </c>
      <c r="B254" s="24"/>
      <c r="C254" s="24"/>
      <c r="D254" s="24"/>
      <c r="E254" s="25">
        <v>8</v>
      </c>
      <c r="F254" s="9"/>
      <c r="G254" s="9"/>
      <c r="H254" s="10"/>
      <c r="I254" s="9"/>
      <c r="J254" s="9"/>
    </row>
    <row x14ac:dyDescent="0.25" r="255" customHeight="1" ht="17.25">
      <c r="A255" s="7"/>
      <c r="B255" s="7"/>
      <c r="C255" s="7"/>
      <c r="D255" s="7"/>
      <c r="E255" s="8"/>
      <c r="F255" s="9"/>
      <c r="G255" s="9"/>
      <c r="H255" s="10"/>
      <c r="I255" s="9"/>
      <c r="J255" s="9"/>
    </row>
    <row x14ac:dyDescent="0.25" r="256" customHeight="1" ht="17.25">
      <c r="A256" s="11" t="s">
        <v>9444</v>
      </c>
      <c r="B256" s="11"/>
      <c r="C256" s="11"/>
      <c r="D256" s="11"/>
      <c r="E256" s="12"/>
      <c r="F256" s="11"/>
      <c r="G256" s="11"/>
      <c r="H256" s="13"/>
      <c r="I256" s="11"/>
      <c r="J256" s="11"/>
    </row>
    <row x14ac:dyDescent="0.25" r="257" customHeight="1" ht="17.25">
      <c r="A257" s="14" t="s">
        <v>3</v>
      </c>
      <c r="B257" s="14" t="s">
        <v>4</v>
      </c>
      <c r="C257" s="14" t="s">
        <v>5</v>
      </c>
      <c r="D257" s="14" t="s">
        <v>6</v>
      </c>
      <c r="E257" s="15" t="s">
        <v>7</v>
      </c>
      <c r="F257" s="14" t="s">
        <v>8</v>
      </c>
      <c r="G257" s="14" t="s">
        <v>9</v>
      </c>
      <c r="H257" s="16" t="s">
        <v>10</v>
      </c>
      <c r="I257" s="14" t="s">
        <v>11</v>
      </c>
      <c r="J257" s="14" t="s">
        <v>12</v>
      </c>
    </row>
    <row x14ac:dyDescent="0.25" r="258" customHeight="1" ht="17.25">
      <c r="A258" s="17" t="s">
        <v>9445</v>
      </c>
      <c r="B258" s="17" t="s">
        <v>422</v>
      </c>
      <c r="C258" s="17" t="s">
        <v>15</v>
      </c>
      <c r="D258" s="17" t="s">
        <v>16</v>
      </c>
      <c r="E258" s="18">
        <f>ROUND(10954*1.05,2)</f>
      </c>
      <c r="F258" s="17" t="s">
        <v>17</v>
      </c>
      <c r="G258" s="17" t="s">
        <v>18</v>
      </c>
      <c r="H258" s="18">
        <f>ROUND(RAND()*4+6,1)</f>
      </c>
      <c r="I258" s="17" t="s">
        <v>19</v>
      </c>
      <c r="J258" s="19">
        <f>ROUND(96*1,0)&amp;"%"</f>
      </c>
    </row>
    <row x14ac:dyDescent="0.25" r="259" customHeight="1" ht="17.25">
      <c r="A259" s="20" t="s">
        <v>9446</v>
      </c>
      <c r="B259" s="20" t="s">
        <v>424</v>
      </c>
      <c r="C259" s="20" t="s">
        <v>15</v>
      </c>
      <c r="D259" s="20" t="s">
        <v>22</v>
      </c>
      <c r="E259" s="21">
        <f>ROUND(16851*1.05,2)</f>
      </c>
      <c r="F259" s="20" t="s">
        <v>23</v>
      </c>
      <c r="G259" s="20" t="s">
        <v>24</v>
      </c>
      <c r="H259" s="21">
        <f>ROUND(RAND()*4+6,1)</f>
      </c>
      <c r="I259" s="20" t="s">
        <v>25</v>
      </c>
      <c r="J259" s="23">
        <f>ROUND(96*1,0)&amp;"%"</f>
      </c>
    </row>
    <row x14ac:dyDescent="0.25" r="260" customHeight="1" ht="17.25">
      <c r="A260" s="17" t="s">
        <v>9447</v>
      </c>
      <c r="B260" s="17" t="s">
        <v>426</v>
      </c>
      <c r="C260" s="17" t="s">
        <v>15</v>
      </c>
      <c r="D260" s="17" t="s">
        <v>28</v>
      </c>
      <c r="E260" s="18">
        <f>ROUND(5212*1.05,2)</f>
      </c>
      <c r="F260" s="17" t="s">
        <v>29</v>
      </c>
      <c r="G260" s="17" t="s">
        <v>30</v>
      </c>
      <c r="H260" s="18">
        <f>ROUND(RAND()*4+6,1)</f>
      </c>
      <c r="I260" s="17" t="s">
        <v>31</v>
      </c>
      <c r="J260" s="19">
        <f>ROUND(93*1,0)&amp;"%"</f>
      </c>
    </row>
    <row x14ac:dyDescent="0.25" r="261" customHeight="1" ht="17.25">
      <c r="A261" s="20" t="s">
        <v>9448</v>
      </c>
      <c r="B261" s="20" t="s">
        <v>428</v>
      </c>
      <c r="C261" s="20" t="s">
        <v>15</v>
      </c>
      <c r="D261" s="20" t="s">
        <v>34</v>
      </c>
      <c r="E261" s="21">
        <f>ROUND(6837*1.05,2)</f>
      </c>
      <c r="F261" s="20" t="s">
        <v>35</v>
      </c>
      <c r="G261" s="20" t="s">
        <v>18</v>
      </c>
      <c r="H261" s="21">
        <f>ROUND(RAND()*4+6,1)</f>
      </c>
      <c r="I261" s="20" t="s">
        <v>36</v>
      </c>
      <c r="J261" s="23">
        <f>ROUND(90*1,0)&amp;"%"</f>
      </c>
    </row>
    <row x14ac:dyDescent="0.25" r="262" customHeight="1" ht="17.25">
      <c r="A262" s="17" t="s">
        <v>9449</v>
      </c>
      <c r="B262" s="17" t="s">
        <v>430</v>
      </c>
      <c r="C262" s="17" t="s">
        <v>15</v>
      </c>
      <c r="D262" s="17" t="s">
        <v>39</v>
      </c>
      <c r="E262" s="18">
        <f>ROUND(14289*1.05,2)</f>
      </c>
      <c r="F262" s="17" t="s">
        <v>40</v>
      </c>
      <c r="G262" s="17" t="s">
        <v>24</v>
      </c>
      <c r="H262" s="18">
        <f>ROUND(RAND()*4+6,1)</f>
      </c>
      <c r="I262" s="17" t="s">
        <v>41</v>
      </c>
      <c r="J262" s="19">
        <f>ROUND(95*1,0)&amp;"%"</f>
      </c>
    </row>
    <row x14ac:dyDescent="0.25" r="263" customHeight="1" ht="17.25">
      <c r="A263" s="20" t="s">
        <v>9450</v>
      </c>
      <c r="B263" s="20" t="s">
        <v>432</v>
      </c>
      <c r="C263" s="20" t="s">
        <v>15</v>
      </c>
      <c r="D263" s="20" t="s">
        <v>67</v>
      </c>
      <c r="E263" s="21">
        <f>ROUND(14885*1.05,2)</f>
      </c>
      <c r="F263" s="20" t="s">
        <v>44</v>
      </c>
      <c r="G263" s="20" t="s">
        <v>30</v>
      </c>
      <c r="H263" s="21">
        <f>ROUND(RAND()*4+6,1)</f>
      </c>
      <c r="I263" s="20" t="s">
        <v>45</v>
      </c>
      <c r="J263" s="23">
        <f>ROUND(94*1,0)&amp;"%"</f>
      </c>
    </row>
    <row x14ac:dyDescent="0.25" r="264" customHeight="1" ht="17.25">
      <c r="A264" s="17" t="s">
        <v>9451</v>
      </c>
      <c r="B264" s="17" t="s">
        <v>434</v>
      </c>
      <c r="C264" s="17" t="s">
        <v>15</v>
      </c>
      <c r="D264" s="17" t="s">
        <v>16</v>
      </c>
      <c r="E264" s="18">
        <f>ROUND(15845*1.05,2)</f>
      </c>
      <c r="F264" s="17" t="s">
        <v>48</v>
      </c>
      <c r="G264" s="17" t="s">
        <v>18</v>
      </c>
      <c r="H264" s="18">
        <f>ROUND(RAND()*4+6,1)</f>
      </c>
      <c r="I264" s="17" t="s">
        <v>19</v>
      </c>
      <c r="J264" s="19">
        <f>ROUND(68*1,0)&amp;"%"</f>
      </c>
    </row>
    <row x14ac:dyDescent="0.25" r="265" customHeight="1" ht="17.25">
      <c r="A265" s="20" t="s">
        <v>9452</v>
      </c>
      <c r="B265" s="20" t="s">
        <v>436</v>
      </c>
      <c r="C265" s="20" t="s">
        <v>15</v>
      </c>
      <c r="D265" s="20" t="s">
        <v>22</v>
      </c>
      <c r="E265" s="21">
        <f>ROUND(14558*1.05,2)</f>
      </c>
      <c r="F265" s="20" t="s">
        <v>51</v>
      </c>
      <c r="G265" s="20" t="s">
        <v>24</v>
      </c>
      <c r="H265" s="21">
        <f>ROUND(RAND()*4+6,1)</f>
      </c>
      <c r="I265" s="20" t="s">
        <v>25</v>
      </c>
      <c r="J265" s="23">
        <f>ROUND(72*1,0)&amp;"%"</f>
      </c>
    </row>
    <row x14ac:dyDescent="0.25" r="266" customHeight="1" ht="17.25">
      <c r="A266" s="24" t="s">
        <v>437</v>
      </c>
      <c r="B266" s="24"/>
      <c r="C266" s="24"/>
      <c r="D266" s="24"/>
      <c r="E266" s="25">
        <v>8</v>
      </c>
      <c r="F266" s="9"/>
      <c r="G266" s="9"/>
      <c r="H266" s="10"/>
      <c r="I266" s="9"/>
      <c r="J266" s="9"/>
    </row>
    <row x14ac:dyDescent="0.25" r="267" customHeight="1" ht="17.25">
      <c r="A267" s="7"/>
      <c r="B267" s="7"/>
      <c r="C267" s="7"/>
      <c r="D267" s="7"/>
      <c r="E267" s="8"/>
      <c r="F267" s="9"/>
      <c r="G267" s="9"/>
      <c r="H267" s="10"/>
      <c r="I267" s="9"/>
      <c r="J267" s="9"/>
    </row>
    <row x14ac:dyDescent="0.25" r="268" customHeight="1" ht="17.25">
      <c r="A268" s="11" t="s">
        <v>9453</v>
      </c>
      <c r="B268" s="11"/>
      <c r="C268" s="11"/>
      <c r="D268" s="11"/>
      <c r="E268" s="12"/>
      <c r="F268" s="11"/>
      <c r="G268" s="11"/>
      <c r="H268" s="13"/>
      <c r="I268" s="11"/>
      <c r="J268" s="11"/>
    </row>
    <row x14ac:dyDescent="0.25" r="269" customHeight="1" ht="17.25">
      <c r="A269" s="14" t="s">
        <v>3</v>
      </c>
      <c r="B269" s="14" t="s">
        <v>4</v>
      </c>
      <c r="C269" s="14" t="s">
        <v>5</v>
      </c>
      <c r="D269" s="14" t="s">
        <v>6</v>
      </c>
      <c r="E269" s="15" t="s">
        <v>7</v>
      </c>
      <c r="F269" s="14" t="s">
        <v>8</v>
      </c>
      <c r="G269" s="14" t="s">
        <v>9</v>
      </c>
      <c r="H269" s="16" t="s">
        <v>10</v>
      </c>
      <c r="I269" s="14" t="s">
        <v>11</v>
      </c>
      <c r="J269" s="14" t="s">
        <v>12</v>
      </c>
    </row>
    <row x14ac:dyDescent="0.25" r="270" customHeight="1" ht="17.25">
      <c r="A270" s="17" t="s">
        <v>9454</v>
      </c>
      <c r="B270" s="17" t="s">
        <v>440</v>
      </c>
      <c r="C270" s="17" t="s">
        <v>56</v>
      </c>
      <c r="D270" s="17" t="s">
        <v>16</v>
      </c>
      <c r="E270" s="18">
        <f>ROUND(6925*1.05,2)</f>
      </c>
      <c r="F270" s="17" t="s">
        <v>17</v>
      </c>
      <c r="G270" s="17" t="s">
        <v>18</v>
      </c>
      <c r="H270" s="18">
        <f>ROUND(RAND()*4+6,1)</f>
      </c>
      <c r="I270" s="17" t="s">
        <v>19</v>
      </c>
      <c r="J270" s="19">
        <f>ROUND(97*1,0)&amp;"%"</f>
      </c>
    </row>
    <row x14ac:dyDescent="0.25" r="271" customHeight="1" ht="17.25">
      <c r="A271" s="20" t="s">
        <v>9455</v>
      </c>
      <c r="B271" s="20" t="s">
        <v>442</v>
      </c>
      <c r="C271" s="20" t="s">
        <v>56</v>
      </c>
      <c r="D271" s="20" t="s">
        <v>22</v>
      </c>
      <c r="E271" s="21">
        <f>ROUND(9058*1.05,2)</f>
      </c>
      <c r="F271" s="20" t="s">
        <v>23</v>
      </c>
      <c r="G271" s="20" t="s">
        <v>24</v>
      </c>
      <c r="H271" s="21">
        <f>ROUND(RAND()*4+6,1)</f>
      </c>
      <c r="I271" s="20" t="s">
        <v>25</v>
      </c>
      <c r="J271" s="23">
        <f>ROUND(77*1,0)&amp;"%"</f>
      </c>
    </row>
    <row x14ac:dyDescent="0.25" r="272" customHeight="1" ht="17.25">
      <c r="A272" s="17" t="s">
        <v>9456</v>
      </c>
      <c r="B272" s="17" t="s">
        <v>444</v>
      </c>
      <c r="C272" s="17" t="s">
        <v>56</v>
      </c>
      <c r="D272" s="17" t="s">
        <v>28</v>
      </c>
      <c r="E272" s="18">
        <f>ROUND(4696*1.05,2)</f>
      </c>
      <c r="F272" s="17" t="s">
        <v>29</v>
      </c>
      <c r="G272" s="17" t="s">
        <v>30</v>
      </c>
      <c r="H272" s="18">
        <f>ROUND(RAND()*4+6,1)</f>
      </c>
      <c r="I272" s="17" t="s">
        <v>31</v>
      </c>
      <c r="J272" s="19">
        <f>ROUND(88*1,0)&amp;"%"</f>
      </c>
    </row>
    <row x14ac:dyDescent="0.25" r="273" customHeight="1" ht="17.25">
      <c r="A273" s="20" t="s">
        <v>9457</v>
      </c>
      <c r="B273" s="20" t="s">
        <v>446</v>
      </c>
      <c r="C273" s="20" t="s">
        <v>56</v>
      </c>
      <c r="D273" s="20" t="s">
        <v>34</v>
      </c>
      <c r="E273" s="22">
        <f>ROUND(5740*1.05,2)</f>
      </c>
      <c r="F273" s="20" t="s">
        <v>35</v>
      </c>
      <c r="G273" s="20" t="s">
        <v>18</v>
      </c>
      <c r="H273" s="21">
        <f>ROUND(RAND()*4+6,1)</f>
      </c>
      <c r="I273" s="20" t="s">
        <v>36</v>
      </c>
      <c r="J273" s="23">
        <f>ROUND(79*1,0)&amp;"%"</f>
      </c>
    </row>
    <row x14ac:dyDescent="0.25" r="274" customHeight="1" ht="17.25">
      <c r="A274" s="17" t="s">
        <v>9458</v>
      </c>
      <c r="B274" s="17" t="s">
        <v>448</v>
      </c>
      <c r="C274" s="17" t="s">
        <v>56</v>
      </c>
      <c r="D274" s="17" t="s">
        <v>39</v>
      </c>
      <c r="E274" s="18">
        <f>ROUND(4170*1.05,2)</f>
      </c>
      <c r="F274" s="17" t="s">
        <v>40</v>
      </c>
      <c r="G274" s="17" t="s">
        <v>24</v>
      </c>
      <c r="H274" s="18">
        <f>ROUND(RAND()*4+6,1)</f>
      </c>
      <c r="I274" s="17" t="s">
        <v>41</v>
      </c>
      <c r="J274" s="19">
        <f>ROUND(61*1,0)&amp;"%"</f>
      </c>
    </row>
    <row x14ac:dyDescent="0.25" r="275" customHeight="1" ht="17.25">
      <c r="A275" s="20" t="s">
        <v>9459</v>
      </c>
      <c r="B275" s="20" t="s">
        <v>450</v>
      </c>
      <c r="C275" s="20" t="s">
        <v>56</v>
      </c>
      <c r="D275" s="20" t="s">
        <v>67</v>
      </c>
      <c r="E275" s="21">
        <f>ROUND(11885*1.05,2)</f>
      </c>
      <c r="F275" s="20" t="s">
        <v>44</v>
      </c>
      <c r="G275" s="20" t="s">
        <v>30</v>
      </c>
      <c r="H275" s="21">
        <f>ROUND(RAND()*4+6,1)</f>
      </c>
      <c r="I275" s="20" t="s">
        <v>45</v>
      </c>
      <c r="J275" s="23">
        <f>ROUND(94*1,0)&amp;"%"</f>
      </c>
    </row>
    <row x14ac:dyDescent="0.25" r="276" customHeight="1" ht="17.25">
      <c r="A276" s="17" t="s">
        <v>9460</v>
      </c>
      <c r="B276" s="17" t="s">
        <v>452</v>
      </c>
      <c r="C276" s="17" t="s">
        <v>56</v>
      </c>
      <c r="D276" s="17" t="s">
        <v>16</v>
      </c>
      <c r="E276" s="18">
        <f>ROUND(12585*1.05,2)</f>
      </c>
      <c r="F276" s="17" t="s">
        <v>48</v>
      </c>
      <c r="G276" s="17" t="s">
        <v>18</v>
      </c>
      <c r="H276" s="18">
        <f>ROUND(RAND()*4+6,1)</f>
      </c>
      <c r="I276" s="17" t="s">
        <v>19</v>
      </c>
      <c r="J276" s="19">
        <f>ROUND(78*1,0)&amp;"%"</f>
      </c>
    </row>
    <row x14ac:dyDescent="0.25" r="277" customHeight="1" ht="17.25">
      <c r="A277" s="20" t="s">
        <v>9461</v>
      </c>
      <c r="B277" s="20" t="s">
        <v>454</v>
      </c>
      <c r="C277" s="20" t="s">
        <v>56</v>
      </c>
      <c r="D277" s="20" t="s">
        <v>22</v>
      </c>
      <c r="E277" s="21">
        <f>ROUND(7166*1.05,2)</f>
      </c>
      <c r="F277" s="20" t="s">
        <v>51</v>
      </c>
      <c r="G277" s="20" t="s">
        <v>24</v>
      </c>
      <c r="H277" s="22">
        <f>ROUND(RAND()*4+6,1)</f>
      </c>
      <c r="I277" s="20" t="s">
        <v>25</v>
      </c>
      <c r="J277" s="23">
        <f>ROUND(90*1,0)&amp;"%"</f>
      </c>
    </row>
    <row x14ac:dyDescent="0.25" r="278" customHeight="1" ht="17.25">
      <c r="A278" s="24" t="s">
        <v>455</v>
      </c>
      <c r="B278" s="24"/>
      <c r="C278" s="24"/>
      <c r="D278" s="24"/>
      <c r="E278" s="25">
        <v>8</v>
      </c>
      <c r="F278" s="9"/>
      <c r="G278" s="9"/>
      <c r="H278" s="10"/>
      <c r="I278" s="9"/>
      <c r="J278" s="9"/>
    </row>
    <row x14ac:dyDescent="0.25" r="279" customHeight="1" ht="17.25">
      <c r="A279" s="7"/>
      <c r="B279" s="7"/>
      <c r="C279" s="7"/>
      <c r="D279" s="7"/>
      <c r="E279" s="8"/>
      <c r="F279" s="9"/>
      <c r="G279" s="9"/>
      <c r="H279" s="10"/>
      <c r="I279" s="9"/>
      <c r="J279" s="9"/>
    </row>
    <row x14ac:dyDescent="0.25" r="280" customHeight="1" ht="17.25">
      <c r="A280" s="11" t="s">
        <v>9462</v>
      </c>
      <c r="B280" s="11"/>
      <c r="C280" s="11"/>
      <c r="D280" s="11"/>
      <c r="E280" s="12"/>
      <c r="F280" s="11"/>
      <c r="G280" s="11"/>
      <c r="H280" s="13"/>
      <c r="I280" s="11"/>
      <c r="J280" s="11"/>
    </row>
    <row x14ac:dyDescent="0.25" r="281" customHeight="1" ht="17.25">
      <c r="A281" s="14" t="s">
        <v>3</v>
      </c>
      <c r="B281" s="14" t="s">
        <v>4</v>
      </c>
      <c r="C281" s="14" t="s">
        <v>5</v>
      </c>
      <c r="D281" s="14" t="s">
        <v>6</v>
      </c>
      <c r="E281" s="15" t="s">
        <v>7</v>
      </c>
      <c r="F281" s="14" t="s">
        <v>8</v>
      </c>
      <c r="G281" s="14" t="s">
        <v>9</v>
      </c>
      <c r="H281" s="16" t="s">
        <v>10</v>
      </c>
      <c r="I281" s="14" t="s">
        <v>11</v>
      </c>
      <c r="J281" s="14" t="s">
        <v>12</v>
      </c>
    </row>
    <row x14ac:dyDescent="0.25" r="282" customHeight="1" ht="17.25">
      <c r="A282" s="17" t="s">
        <v>9463</v>
      </c>
      <c r="B282" s="17" t="s">
        <v>458</v>
      </c>
      <c r="C282" s="17" t="s">
        <v>76</v>
      </c>
      <c r="D282" s="17" t="s">
        <v>16</v>
      </c>
      <c r="E282" s="18">
        <f>ROUND(6386*1.05,2)</f>
      </c>
      <c r="F282" s="17" t="s">
        <v>17</v>
      </c>
      <c r="G282" s="17" t="s">
        <v>18</v>
      </c>
      <c r="H282" s="26">
        <f>ROUND(RAND()*4+6,1)</f>
      </c>
      <c r="I282" s="17" t="s">
        <v>19</v>
      </c>
      <c r="J282" s="19">
        <f>ROUND(85*1,0)&amp;"%"</f>
      </c>
    </row>
    <row x14ac:dyDescent="0.25" r="283" customHeight="1" ht="17.25">
      <c r="A283" s="20" t="s">
        <v>9464</v>
      </c>
      <c r="B283" s="20" t="s">
        <v>460</v>
      </c>
      <c r="C283" s="20" t="s">
        <v>76</v>
      </c>
      <c r="D283" s="20" t="s">
        <v>22</v>
      </c>
      <c r="E283" s="21">
        <f>ROUND(10801*1.05,2)</f>
      </c>
      <c r="F283" s="20" t="s">
        <v>23</v>
      </c>
      <c r="G283" s="20" t="s">
        <v>24</v>
      </c>
      <c r="H283" s="21">
        <f>ROUND(RAND()*4+6,1)</f>
      </c>
      <c r="I283" s="20" t="s">
        <v>25</v>
      </c>
      <c r="J283" s="23">
        <f>ROUND(73*1,0)&amp;"%"</f>
      </c>
    </row>
    <row x14ac:dyDescent="0.25" r="284" customHeight="1" ht="17.25">
      <c r="A284" s="17" t="s">
        <v>9465</v>
      </c>
      <c r="B284" s="17" t="s">
        <v>462</v>
      </c>
      <c r="C284" s="17" t="s">
        <v>76</v>
      </c>
      <c r="D284" s="17" t="s">
        <v>28</v>
      </c>
      <c r="E284" s="18">
        <f>ROUND(10693*1.05,2)</f>
      </c>
      <c r="F284" s="17" t="s">
        <v>29</v>
      </c>
      <c r="G284" s="17" t="s">
        <v>30</v>
      </c>
      <c r="H284" s="18">
        <f>ROUND(RAND()*4+6,1)</f>
      </c>
      <c r="I284" s="17" t="s">
        <v>31</v>
      </c>
      <c r="J284" s="19">
        <f>ROUND(99*1,0)&amp;"%"</f>
      </c>
    </row>
    <row x14ac:dyDescent="0.25" r="285" customHeight="1" ht="17.25">
      <c r="A285" s="20" t="s">
        <v>9466</v>
      </c>
      <c r="B285" s="20" t="s">
        <v>464</v>
      </c>
      <c r="C285" s="20" t="s">
        <v>76</v>
      </c>
      <c r="D285" s="20" t="s">
        <v>34</v>
      </c>
      <c r="E285" s="21">
        <f>ROUND(8742*1.05,2)</f>
      </c>
      <c r="F285" s="20" t="s">
        <v>35</v>
      </c>
      <c r="G285" s="20" t="s">
        <v>18</v>
      </c>
      <c r="H285" s="21">
        <f>ROUND(RAND()*4+6,1)</f>
      </c>
      <c r="I285" s="20" t="s">
        <v>36</v>
      </c>
      <c r="J285" s="23">
        <f>ROUND(78*1,0)&amp;"%"</f>
      </c>
    </row>
    <row x14ac:dyDescent="0.25" r="286" customHeight="1" ht="17.25">
      <c r="A286" s="17" t="s">
        <v>9467</v>
      </c>
      <c r="B286" s="17" t="s">
        <v>466</v>
      </c>
      <c r="C286" s="17" t="s">
        <v>76</v>
      </c>
      <c r="D286" s="17" t="s">
        <v>39</v>
      </c>
      <c r="E286" s="18">
        <f>ROUND(8945*1.05,2)</f>
      </c>
      <c r="F286" s="17" t="s">
        <v>40</v>
      </c>
      <c r="G286" s="17" t="s">
        <v>24</v>
      </c>
      <c r="H286" s="18">
        <f>ROUND(RAND()*4+6,1)</f>
      </c>
      <c r="I286" s="17" t="s">
        <v>41</v>
      </c>
      <c r="J286" s="19">
        <f>ROUND(99*1,0)&amp;"%"</f>
      </c>
    </row>
    <row x14ac:dyDescent="0.25" r="287" customHeight="1" ht="17.25">
      <c r="A287" s="20" t="s">
        <v>9468</v>
      </c>
      <c r="B287" s="20" t="s">
        <v>468</v>
      </c>
      <c r="C287" s="20" t="s">
        <v>76</v>
      </c>
      <c r="D287" s="20" t="s">
        <v>67</v>
      </c>
      <c r="E287" s="21">
        <f>ROUND(6929*1.05,2)</f>
      </c>
      <c r="F287" s="20" t="s">
        <v>44</v>
      </c>
      <c r="G287" s="20" t="s">
        <v>30</v>
      </c>
      <c r="H287" s="21">
        <f>ROUND(RAND()*4+6,1)</f>
      </c>
      <c r="I287" s="20" t="s">
        <v>45</v>
      </c>
      <c r="J287" s="23">
        <f>ROUND(89*1,0)&amp;"%"</f>
      </c>
    </row>
    <row x14ac:dyDescent="0.25" r="288" customHeight="1" ht="17.25">
      <c r="A288" s="17" t="s">
        <v>9469</v>
      </c>
      <c r="B288" s="17" t="s">
        <v>470</v>
      </c>
      <c r="C288" s="17" t="s">
        <v>76</v>
      </c>
      <c r="D288" s="17" t="s">
        <v>16</v>
      </c>
      <c r="E288" s="18">
        <f>ROUND(17331*1.05,2)</f>
      </c>
      <c r="F288" s="17" t="s">
        <v>48</v>
      </c>
      <c r="G288" s="17" t="s">
        <v>18</v>
      </c>
      <c r="H288" s="18">
        <f>ROUND(RAND()*4+6,1)</f>
      </c>
      <c r="I288" s="17" t="s">
        <v>19</v>
      </c>
      <c r="J288" s="19">
        <f>ROUND(86*1,0)&amp;"%"</f>
      </c>
    </row>
    <row x14ac:dyDescent="0.25" r="289" customHeight="1" ht="17.25">
      <c r="A289" s="20" t="s">
        <v>9470</v>
      </c>
      <c r="B289" s="20" t="s">
        <v>472</v>
      </c>
      <c r="C289" s="20" t="s">
        <v>76</v>
      </c>
      <c r="D289" s="20" t="s">
        <v>22</v>
      </c>
      <c r="E289" s="21">
        <f>ROUND(13177*1.05,2)</f>
      </c>
      <c r="F289" s="20" t="s">
        <v>51</v>
      </c>
      <c r="G289" s="20" t="s">
        <v>24</v>
      </c>
      <c r="H289" s="21">
        <f>ROUND(RAND()*4+6,1)</f>
      </c>
      <c r="I289" s="20" t="s">
        <v>25</v>
      </c>
      <c r="J289" s="23">
        <f>ROUND(68*1,0)&amp;"%"</f>
      </c>
    </row>
    <row x14ac:dyDescent="0.25" r="290" customHeight="1" ht="17.25">
      <c r="A290" s="24" t="s">
        <v>473</v>
      </c>
      <c r="B290" s="24"/>
      <c r="C290" s="24"/>
      <c r="D290" s="24"/>
      <c r="E290" s="25">
        <v>8</v>
      </c>
      <c r="F290" s="9"/>
      <c r="G290" s="9"/>
      <c r="H290" s="10"/>
      <c r="I290" s="9"/>
      <c r="J290" s="9"/>
    </row>
    <row x14ac:dyDescent="0.25" r="291" customHeight="1" ht="17.25">
      <c r="A291" s="7"/>
      <c r="B291" s="7"/>
      <c r="C291" s="7"/>
      <c r="D291" s="7"/>
      <c r="E291" s="8"/>
      <c r="F291" s="9"/>
      <c r="G291" s="9"/>
      <c r="H291" s="10"/>
      <c r="I291" s="9"/>
      <c r="J291" s="9"/>
    </row>
    <row x14ac:dyDescent="0.25" r="292" customHeight="1" ht="17.25">
      <c r="A292" s="11" t="s">
        <v>9471</v>
      </c>
      <c r="B292" s="11"/>
      <c r="C292" s="11"/>
      <c r="D292" s="11"/>
      <c r="E292" s="12"/>
      <c r="F292" s="11"/>
      <c r="G292" s="11"/>
      <c r="H292" s="13"/>
      <c r="I292" s="11"/>
      <c r="J292" s="11"/>
    </row>
    <row x14ac:dyDescent="0.25" r="293" customHeight="1" ht="17.25">
      <c r="A293" s="14" t="s">
        <v>3</v>
      </c>
      <c r="B293" s="14" t="s">
        <v>4</v>
      </c>
      <c r="C293" s="14" t="s">
        <v>5</v>
      </c>
      <c r="D293" s="14" t="s">
        <v>6</v>
      </c>
      <c r="E293" s="15" t="s">
        <v>7</v>
      </c>
      <c r="F293" s="14" t="s">
        <v>8</v>
      </c>
      <c r="G293" s="14" t="s">
        <v>9</v>
      </c>
      <c r="H293" s="16" t="s">
        <v>10</v>
      </c>
      <c r="I293" s="14" t="s">
        <v>11</v>
      </c>
      <c r="J293" s="14" t="s">
        <v>12</v>
      </c>
    </row>
    <row x14ac:dyDescent="0.25" r="294" customHeight="1" ht="17.25">
      <c r="A294" s="17" t="s">
        <v>9472</v>
      </c>
      <c r="B294" s="17" t="s">
        <v>476</v>
      </c>
      <c r="C294" s="17" t="s">
        <v>95</v>
      </c>
      <c r="D294" s="17" t="s">
        <v>16</v>
      </c>
      <c r="E294" s="18">
        <f>ROUND(14987*1.05,2)</f>
      </c>
      <c r="F294" s="17" t="s">
        <v>17</v>
      </c>
      <c r="G294" s="17" t="s">
        <v>18</v>
      </c>
      <c r="H294" s="18">
        <f>ROUND(RAND()*4+6,1)</f>
      </c>
      <c r="I294" s="17" t="s">
        <v>19</v>
      </c>
      <c r="J294" s="19">
        <f>ROUND(75*1,0)&amp;"%"</f>
      </c>
    </row>
    <row x14ac:dyDescent="0.25" r="295" customHeight="1" ht="17.25">
      <c r="A295" s="20" t="s">
        <v>9473</v>
      </c>
      <c r="B295" s="20" t="s">
        <v>478</v>
      </c>
      <c r="C295" s="20" t="s">
        <v>95</v>
      </c>
      <c r="D295" s="20" t="s">
        <v>22</v>
      </c>
      <c r="E295" s="21">
        <f>ROUND(5750*1.05,2)</f>
      </c>
      <c r="F295" s="20" t="s">
        <v>23</v>
      </c>
      <c r="G295" s="20" t="s">
        <v>24</v>
      </c>
      <c r="H295" s="21">
        <f>ROUND(RAND()*4+6,1)</f>
      </c>
      <c r="I295" s="20" t="s">
        <v>25</v>
      </c>
      <c r="J295" s="23">
        <f>ROUND(91*1,0)&amp;"%"</f>
      </c>
    </row>
    <row x14ac:dyDescent="0.25" r="296" customHeight="1" ht="17.25">
      <c r="A296" s="17" t="s">
        <v>9474</v>
      </c>
      <c r="B296" s="17" t="s">
        <v>480</v>
      </c>
      <c r="C296" s="17" t="s">
        <v>95</v>
      </c>
      <c r="D296" s="17" t="s">
        <v>28</v>
      </c>
      <c r="E296" s="18">
        <f>ROUND(17316*1.05,2)</f>
      </c>
      <c r="F296" s="17" t="s">
        <v>29</v>
      </c>
      <c r="G296" s="17" t="s">
        <v>30</v>
      </c>
      <c r="H296" s="18">
        <f>ROUND(RAND()*4+6,1)</f>
      </c>
      <c r="I296" s="17" t="s">
        <v>31</v>
      </c>
      <c r="J296" s="19">
        <f>ROUND(88*1,0)&amp;"%"</f>
      </c>
    </row>
    <row x14ac:dyDescent="0.25" r="297" customHeight="1" ht="17.25">
      <c r="A297" s="20" t="s">
        <v>9475</v>
      </c>
      <c r="B297" s="20" t="s">
        <v>482</v>
      </c>
      <c r="C297" s="20" t="s">
        <v>95</v>
      </c>
      <c r="D297" s="20" t="s">
        <v>34</v>
      </c>
      <c r="E297" s="21">
        <f>ROUND(4178*1.05,2)</f>
      </c>
      <c r="F297" s="20" t="s">
        <v>35</v>
      </c>
      <c r="G297" s="20" t="s">
        <v>18</v>
      </c>
      <c r="H297" s="21">
        <f>ROUND(RAND()*4+6,1)</f>
      </c>
      <c r="I297" s="20" t="s">
        <v>36</v>
      </c>
      <c r="J297" s="23">
        <f>ROUND(60*1,0)&amp;"%"</f>
      </c>
    </row>
    <row x14ac:dyDescent="0.25" r="298" customHeight="1" ht="17.25">
      <c r="A298" s="17" t="s">
        <v>9476</v>
      </c>
      <c r="B298" s="17" t="s">
        <v>484</v>
      </c>
      <c r="C298" s="17" t="s">
        <v>95</v>
      </c>
      <c r="D298" s="17" t="s">
        <v>39</v>
      </c>
      <c r="E298" s="18">
        <f>ROUND(14966*1.05,2)</f>
      </c>
      <c r="F298" s="17" t="s">
        <v>40</v>
      </c>
      <c r="G298" s="17" t="s">
        <v>24</v>
      </c>
      <c r="H298" s="18">
        <f>ROUND(RAND()*4+6,1)</f>
      </c>
      <c r="I298" s="17" t="s">
        <v>41</v>
      </c>
      <c r="J298" s="19">
        <f>ROUND(96*1,0)&amp;"%"</f>
      </c>
    </row>
    <row x14ac:dyDescent="0.25" r="299" customHeight="1" ht="17.25">
      <c r="A299" s="20" t="s">
        <v>9477</v>
      </c>
      <c r="B299" s="20" t="s">
        <v>486</v>
      </c>
      <c r="C299" s="20" t="s">
        <v>95</v>
      </c>
      <c r="D299" s="20" t="s">
        <v>67</v>
      </c>
      <c r="E299" s="21">
        <f>ROUND(4015*1.05,2)</f>
      </c>
      <c r="F299" s="20" t="s">
        <v>44</v>
      </c>
      <c r="G299" s="20" t="s">
        <v>30</v>
      </c>
      <c r="H299" s="21">
        <f>ROUND(RAND()*4+6,1)</f>
      </c>
      <c r="I299" s="20" t="s">
        <v>45</v>
      </c>
      <c r="J299" s="23">
        <f>ROUND(83*1,0)&amp;"%"</f>
      </c>
    </row>
    <row x14ac:dyDescent="0.25" r="300" customHeight="1" ht="17.25">
      <c r="A300" s="17" t="s">
        <v>9478</v>
      </c>
      <c r="B300" s="17" t="s">
        <v>488</v>
      </c>
      <c r="C300" s="17" t="s">
        <v>95</v>
      </c>
      <c r="D300" s="17" t="s">
        <v>16</v>
      </c>
      <c r="E300" s="18">
        <f>ROUND(8678*1.05,2)</f>
      </c>
      <c r="F300" s="17" t="s">
        <v>48</v>
      </c>
      <c r="G300" s="17" t="s">
        <v>18</v>
      </c>
      <c r="H300" s="18">
        <f>ROUND(RAND()*4+6,1)</f>
      </c>
      <c r="I300" s="17" t="s">
        <v>19</v>
      </c>
      <c r="J300" s="19">
        <f>ROUND(66*1,0)&amp;"%"</f>
      </c>
    </row>
    <row x14ac:dyDescent="0.25" r="301" customHeight="1" ht="17.25">
      <c r="A301" s="20" t="s">
        <v>9479</v>
      </c>
      <c r="B301" s="20" t="s">
        <v>490</v>
      </c>
      <c r="C301" s="20" t="s">
        <v>95</v>
      </c>
      <c r="D301" s="20" t="s">
        <v>22</v>
      </c>
      <c r="E301" s="21">
        <f>ROUND(13289*1.05,2)</f>
      </c>
      <c r="F301" s="20" t="s">
        <v>51</v>
      </c>
      <c r="G301" s="20" t="s">
        <v>24</v>
      </c>
      <c r="H301" s="21">
        <f>ROUND(RAND()*4+6,1)</f>
      </c>
      <c r="I301" s="20" t="s">
        <v>25</v>
      </c>
      <c r="J301" s="23">
        <f>ROUND(85*1,0)&amp;"%"</f>
      </c>
    </row>
    <row x14ac:dyDescent="0.25" r="302" customHeight="1" ht="17.25">
      <c r="A302" s="24" t="s">
        <v>491</v>
      </c>
      <c r="B302" s="24"/>
      <c r="C302" s="24"/>
      <c r="D302" s="24"/>
      <c r="E302" s="25">
        <v>8</v>
      </c>
      <c r="F302" s="9"/>
      <c r="G302" s="9"/>
      <c r="H302" s="10"/>
      <c r="I302" s="9"/>
      <c r="J302" s="9"/>
    </row>
    <row x14ac:dyDescent="0.25" r="303" customHeight="1" ht="17.25">
      <c r="A303" s="7"/>
      <c r="B303" s="7"/>
      <c r="C303" s="7"/>
      <c r="D303" s="7"/>
      <c r="E303" s="8"/>
      <c r="F303" s="9"/>
      <c r="G303" s="9"/>
      <c r="H303" s="10"/>
      <c r="I303" s="9"/>
      <c r="J303" s="9"/>
    </row>
    <row x14ac:dyDescent="0.25" r="304" customHeight="1" ht="17.25">
      <c r="A304" s="11" t="s">
        <v>9480</v>
      </c>
      <c r="B304" s="11"/>
      <c r="C304" s="11"/>
      <c r="D304" s="11"/>
      <c r="E304" s="12"/>
      <c r="F304" s="11"/>
      <c r="G304" s="11"/>
      <c r="H304" s="13"/>
      <c r="I304" s="11"/>
      <c r="J304" s="11"/>
    </row>
    <row x14ac:dyDescent="0.25" r="305" customHeight="1" ht="17.25">
      <c r="A305" s="14" t="s">
        <v>3</v>
      </c>
      <c r="B305" s="14" t="s">
        <v>4</v>
      </c>
      <c r="C305" s="14" t="s">
        <v>5</v>
      </c>
      <c r="D305" s="14" t="s">
        <v>6</v>
      </c>
      <c r="E305" s="15" t="s">
        <v>7</v>
      </c>
      <c r="F305" s="14" t="s">
        <v>8</v>
      </c>
      <c r="G305" s="14" t="s">
        <v>9</v>
      </c>
      <c r="H305" s="16" t="s">
        <v>10</v>
      </c>
      <c r="I305" s="14" t="s">
        <v>11</v>
      </c>
      <c r="J305" s="14" t="s">
        <v>12</v>
      </c>
    </row>
    <row x14ac:dyDescent="0.25" r="306" customHeight="1" ht="17.25">
      <c r="A306" s="17" t="s">
        <v>9481</v>
      </c>
      <c r="B306" s="17" t="s">
        <v>494</v>
      </c>
      <c r="C306" s="17" t="s">
        <v>114</v>
      </c>
      <c r="D306" s="17" t="s">
        <v>16</v>
      </c>
      <c r="E306" s="18">
        <f>ROUND(17362*1.05,2)</f>
      </c>
      <c r="F306" s="17" t="s">
        <v>17</v>
      </c>
      <c r="G306" s="17" t="s">
        <v>18</v>
      </c>
      <c r="H306" s="18">
        <f>ROUND(RAND()*4+6,1)</f>
      </c>
      <c r="I306" s="17" t="s">
        <v>19</v>
      </c>
      <c r="J306" s="19">
        <f>ROUND(93*1,0)&amp;"%"</f>
      </c>
    </row>
    <row x14ac:dyDescent="0.25" r="307" customHeight="1" ht="17.25">
      <c r="A307" s="20" t="s">
        <v>9482</v>
      </c>
      <c r="B307" s="20" t="s">
        <v>496</v>
      </c>
      <c r="C307" s="20" t="s">
        <v>114</v>
      </c>
      <c r="D307" s="20" t="s">
        <v>22</v>
      </c>
      <c r="E307" s="21">
        <f>ROUND(11497*1.05,2)</f>
      </c>
      <c r="F307" s="20" t="s">
        <v>23</v>
      </c>
      <c r="G307" s="20" t="s">
        <v>24</v>
      </c>
      <c r="H307" s="21">
        <f>ROUND(RAND()*4+6,1)</f>
      </c>
      <c r="I307" s="20" t="s">
        <v>25</v>
      </c>
      <c r="J307" s="23">
        <f>ROUND(72*1,0)&amp;"%"</f>
      </c>
    </row>
    <row x14ac:dyDescent="0.25" r="308" customHeight="1" ht="17.25">
      <c r="A308" s="17" t="s">
        <v>9483</v>
      </c>
      <c r="B308" s="17" t="s">
        <v>498</v>
      </c>
      <c r="C308" s="17" t="s">
        <v>114</v>
      </c>
      <c r="D308" s="17" t="s">
        <v>28</v>
      </c>
      <c r="E308" s="18">
        <f>ROUND(15077*1.05,2)</f>
      </c>
      <c r="F308" s="17" t="s">
        <v>29</v>
      </c>
      <c r="G308" s="17" t="s">
        <v>30</v>
      </c>
      <c r="H308" s="18">
        <f>ROUND(RAND()*4+6,1)</f>
      </c>
      <c r="I308" s="17" t="s">
        <v>31</v>
      </c>
      <c r="J308" s="19">
        <f>ROUND(81*1,0)&amp;"%"</f>
      </c>
    </row>
    <row x14ac:dyDescent="0.25" r="309" customHeight="1" ht="17.25">
      <c r="A309" s="20" t="s">
        <v>9484</v>
      </c>
      <c r="B309" s="20" t="s">
        <v>500</v>
      </c>
      <c r="C309" s="20" t="s">
        <v>114</v>
      </c>
      <c r="D309" s="20" t="s">
        <v>34</v>
      </c>
      <c r="E309" s="21">
        <f>ROUND(4097*1.05,2)</f>
      </c>
      <c r="F309" s="20" t="s">
        <v>35</v>
      </c>
      <c r="G309" s="20" t="s">
        <v>18</v>
      </c>
      <c r="H309" s="21">
        <f>ROUND(RAND()*4+6,1)</f>
      </c>
      <c r="I309" s="20" t="s">
        <v>36</v>
      </c>
      <c r="J309" s="23">
        <f>ROUND(72*1,0)&amp;"%"</f>
      </c>
    </row>
    <row x14ac:dyDescent="0.25" r="310" customHeight="1" ht="17.25">
      <c r="A310" s="17" t="s">
        <v>9485</v>
      </c>
      <c r="B310" s="17" t="s">
        <v>502</v>
      </c>
      <c r="C310" s="17" t="s">
        <v>114</v>
      </c>
      <c r="D310" s="17" t="s">
        <v>39</v>
      </c>
      <c r="E310" s="18">
        <f>ROUND(12967*1.05,2)</f>
      </c>
      <c r="F310" s="17" t="s">
        <v>40</v>
      </c>
      <c r="G310" s="17" t="s">
        <v>24</v>
      </c>
      <c r="H310" s="26">
        <f>ROUND(RAND()*4+6,1)</f>
      </c>
      <c r="I310" s="17" t="s">
        <v>41</v>
      </c>
      <c r="J310" s="19">
        <f>ROUND(80*1,0)&amp;"%"</f>
      </c>
    </row>
    <row x14ac:dyDescent="0.25" r="311" customHeight="1" ht="17.25">
      <c r="A311" s="20" t="s">
        <v>9486</v>
      </c>
      <c r="B311" s="20" t="s">
        <v>504</v>
      </c>
      <c r="C311" s="20" t="s">
        <v>114</v>
      </c>
      <c r="D311" s="20" t="s">
        <v>67</v>
      </c>
      <c r="E311" s="21">
        <f>ROUND(15105*1.05,2)</f>
      </c>
      <c r="F311" s="20" t="s">
        <v>44</v>
      </c>
      <c r="G311" s="20" t="s">
        <v>30</v>
      </c>
      <c r="H311" s="21">
        <f>ROUND(RAND()*4+6,1)</f>
      </c>
      <c r="I311" s="20" t="s">
        <v>45</v>
      </c>
      <c r="J311" s="23">
        <f>ROUND(89*1,0)&amp;"%"</f>
      </c>
    </row>
    <row x14ac:dyDescent="0.25" r="312" customHeight="1" ht="17.25">
      <c r="A312" s="17" t="s">
        <v>9487</v>
      </c>
      <c r="B312" s="17" t="s">
        <v>506</v>
      </c>
      <c r="C312" s="17" t="s">
        <v>114</v>
      </c>
      <c r="D312" s="17" t="s">
        <v>16</v>
      </c>
      <c r="E312" s="18">
        <f>ROUND(13757*1.05,2)</f>
      </c>
      <c r="F312" s="17" t="s">
        <v>48</v>
      </c>
      <c r="G312" s="17" t="s">
        <v>18</v>
      </c>
      <c r="H312" s="18">
        <f>ROUND(RAND()*4+6,1)</f>
      </c>
      <c r="I312" s="17" t="s">
        <v>19</v>
      </c>
      <c r="J312" s="19">
        <f>ROUND(98*1,0)&amp;"%"</f>
      </c>
    </row>
    <row x14ac:dyDescent="0.25" r="313" customHeight="1" ht="17.25">
      <c r="A313" s="20" t="s">
        <v>9488</v>
      </c>
      <c r="B313" s="20" t="s">
        <v>508</v>
      </c>
      <c r="C313" s="20" t="s">
        <v>114</v>
      </c>
      <c r="D313" s="20" t="s">
        <v>22</v>
      </c>
      <c r="E313" s="21">
        <f>ROUND(12592*1.05,2)</f>
      </c>
      <c r="F313" s="20" t="s">
        <v>51</v>
      </c>
      <c r="G313" s="20" t="s">
        <v>24</v>
      </c>
      <c r="H313" s="21">
        <f>ROUND(RAND()*4+6,1)</f>
      </c>
      <c r="I313" s="20" t="s">
        <v>25</v>
      </c>
      <c r="J313" s="23">
        <f>ROUND(61*1,0)&amp;"%"</f>
      </c>
    </row>
    <row x14ac:dyDescent="0.25" r="314" customHeight="1" ht="17.25">
      <c r="A314" s="24" t="s">
        <v>509</v>
      </c>
      <c r="B314" s="24"/>
      <c r="C314" s="24"/>
      <c r="D314" s="24"/>
      <c r="E314" s="25">
        <v>8</v>
      </c>
      <c r="F314" s="9"/>
      <c r="G314" s="9"/>
      <c r="H314" s="10"/>
      <c r="I314" s="9"/>
      <c r="J314" s="9"/>
    </row>
    <row x14ac:dyDescent="0.25" r="315" customHeight="1" ht="17.25">
      <c r="A315" s="7"/>
      <c r="B315" s="7"/>
      <c r="C315" s="7"/>
      <c r="D315" s="7"/>
      <c r="E315" s="8"/>
      <c r="F315" s="9"/>
      <c r="G315" s="9"/>
      <c r="H315" s="10"/>
      <c r="I315" s="9"/>
      <c r="J315" s="9"/>
    </row>
    <row x14ac:dyDescent="0.25" r="316" customHeight="1" ht="17.25">
      <c r="A316" s="11" t="s">
        <v>9489</v>
      </c>
      <c r="B316" s="11"/>
      <c r="C316" s="11"/>
      <c r="D316" s="11"/>
      <c r="E316" s="12"/>
      <c r="F316" s="11"/>
      <c r="G316" s="11"/>
      <c r="H316" s="13"/>
      <c r="I316" s="11"/>
      <c r="J316" s="11"/>
    </row>
    <row x14ac:dyDescent="0.25" r="317" customHeight="1" ht="17.25">
      <c r="A317" s="14" t="s">
        <v>3</v>
      </c>
      <c r="B317" s="14" t="s">
        <v>4</v>
      </c>
      <c r="C317" s="14" t="s">
        <v>5</v>
      </c>
      <c r="D317" s="14" t="s">
        <v>6</v>
      </c>
      <c r="E317" s="15" t="s">
        <v>7</v>
      </c>
      <c r="F317" s="14" t="s">
        <v>8</v>
      </c>
      <c r="G317" s="14" t="s">
        <v>9</v>
      </c>
      <c r="H317" s="16" t="s">
        <v>10</v>
      </c>
      <c r="I317" s="14" t="s">
        <v>11</v>
      </c>
      <c r="J317" s="14" t="s">
        <v>12</v>
      </c>
    </row>
    <row x14ac:dyDescent="0.25" r="318" customHeight="1" ht="17.25">
      <c r="A318" s="17" t="s">
        <v>9490</v>
      </c>
      <c r="B318" s="17" t="s">
        <v>512</v>
      </c>
      <c r="C318" s="17" t="s">
        <v>133</v>
      </c>
      <c r="D318" s="17" t="s">
        <v>16</v>
      </c>
      <c r="E318" s="18">
        <f>ROUND(6334*1.05,2)</f>
      </c>
      <c r="F318" s="17" t="s">
        <v>17</v>
      </c>
      <c r="G318" s="17" t="s">
        <v>18</v>
      </c>
      <c r="H318" s="18">
        <f>ROUND(RAND()*4+6,1)</f>
      </c>
      <c r="I318" s="17" t="s">
        <v>19</v>
      </c>
      <c r="J318" s="19">
        <f>ROUND(98*1,0)&amp;"%"</f>
      </c>
    </row>
    <row x14ac:dyDescent="0.25" r="319" customHeight="1" ht="17.25">
      <c r="A319" s="20" t="s">
        <v>9491</v>
      </c>
      <c r="B319" s="20" t="s">
        <v>514</v>
      </c>
      <c r="C319" s="20" t="s">
        <v>133</v>
      </c>
      <c r="D319" s="20" t="s">
        <v>22</v>
      </c>
      <c r="E319" s="21">
        <f>ROUND(4411*1.05,2)</f>
      </c>
      <c r="F319" s="20" t="s">
        <v>23</v>
      </c>
      <c r="G319" s="20" t="s">
        <v>24</v>
      </c>
      <c r="H319" s="21">
        <f>ROUND(RAND()*4+6,1)</f>
      </c>
      <c r="I319" s="20" t="s">
        <v>25</v>
      </c>
      <c r="J319" s="23">
        <f>ROUND(86*1,0)&amp;"%"</f>
      </c>
    </row>
    <row x14ac:dyDescent="0.25" r="320" customHeight="1" ht="17.25">
      <c r="A320" s="17" t="s">
        <v>9492</v>
      </c>
      <c r="B320" s="17" t="s">
        <v>516</v>
      </c>
      <c r="C320" s="17" t="s">
        <v>133</v>
      </c>
      <c r="D320" s="17" t="s">
        <v>28</v>
      </c>
      <c r="E320" s="18">
        <f>ROUND(16716*1.05,2)</f>
      </c>
      <c r="F320" s="17" t="s">
        <v>29</v>
      </c>
      <c r="G320" s="17" t="s">
        <v>30</v>
      </c>
      <c r="H320" s="18">
        <f>ROUND(RAND()*4+6,1)</f>
      </c>
      <c r="I320" s="17" t="s">
        <v>31</v>
      </c>
      <c r="J320" s="19">
        <f>ROUND(69*1,0)&amp;"%"</f>
      </c>
    </row>
    <row x14ac:dyDescent="0.25" r="321" customHeight="1" ht="17.25">
      <c r="A321" s="20" t="s">
        <v>9493</v>
      </c>
      <c r="B321" s="20" t="s">
        <v>518</v>
      </c>
      <c r="C321" s="20" t="s">
        <v>133</v>
      </c>
      <c r="D321" s="20" t="s">
        <v>34</v>
      </c>
      <c r="E321" s="21">
        <f>ROUND(6344*1.05,2)</f>
      </c>
      <c r="F321" s="20" t="s">
        <v>35</v>
      </c>
      <c r="G321" s="20" t="s">
        <v>18</v>
      </c>
      <c r="H321" s="22">
        <f>ROUND(RAND()*4+6,1)</f>
      </c>
      <c r="I321" s="20" t="s">
        <v>36</v>
      </c>
      <c r="J321" s="23">
        <f>ROUND(89*1,0)&amp;"%"</f>
      </c>
    </row>
    <row x14ac:dyDescent="0.25" r="322" customHeight="1" ht="17.25">
      <c r="A322" s="17" t="s">
        <v>9494</v>
      </c>
      <c r="B322" s="17" t="s">
        <v>520</v>
      </c>
      <c r="C322" s="17" t="s">
        <v>133</v>
      </c>
      <c r="D322" s="17" t="s">
        <v>39</v>
      </c>
      <c r="E322" s="18">
        <f>ROUND(6109*1.05,2)</f>
      </c>
      <c r="F322" s="17" t="s">
        <v>40</v>
      </c>
      <c r="G322" s="17" t="s">
        <v>24</v>
      </c>
      <c r="H322" s="18">
        <f>ROUND(RAND()*4+6,1)</f>
      </c>
      <c r="I322" s="17" t="s">
        <v>41</v>
      </c>
      <c r="J322" s="19">
        <f>ROUND(93*1,0)&amp;"%"</f>
      </c>
    </row>
    <row x14ac:dyDescent="0.25" r="323" customHeight="1" ht="17.25">
      <c r="A323" s="20" t="s">
        <v>9495</v>
      </c>
      <c r="B323" s="20" t="s">
        <v>522</v>
      </c>
      <c r="C323" s="20" t="s">
        <v>133</v>
      </c>
      <c r="D323" s="20" t="s">
        <v>67</v>
      </c>
      <c r="E323" s="21">
        <f>ROUND(16961*1.05,2)</f>
      </c>
      <c r="F323" s="20" t="s">
        <v>44</v>
      </c>
      <c r="G323" s="20" t="s">
        <v>30</v>
      </c>
      <c r="H323" s="21">
        <f>ROUND(RAND()*4+6,1)</f>
      </c>
      <c r="I323" s="20" t="s">
        <v>45</v>
      </c>
      <c r="J323" s="23">
        <f>ROUND(77*1,0)&amp;"%"</f>
      </c>
    </row>
    <row x14ac:dyDescent="0.25" r="324" customHeight="1" ht="17.25">
      <c r="A324" s="17" t="s">
        <v>9496</v>
      </c>
      <c r="B324" s="17" t="s">
        <v>524</v>
      </c>
      <c r="C324" s="17" t="s">
        <v>133</v>
      </c>
      <c r="D324" s="17" t="s">
        <v>16</v>
      </c>
      <c r="E324" s="18">
        <f>ROUND(5230*1.05,2)</f>
      </c>
      <c r="F324" s="17" t="s">
        <v>48</v>
      </c>
      <c r="G324" s="17" t="s">
        <v>18</v>
      </c>
      <c r="H324" s="18">
        <f>ROUND(RAND()*4+6,1)</f>
      </c>
      <c r="I324" s="17" t="s">
        <v>19</v>
      </c>
      <c r="J324" s="19">
        <f>ROUND(69*1,0)&amp;"%"</f>
      </c>
    </row>
    <row x14ac:dyDescent="0.25" r="325" customHeight="1" ht="17.25">
      <c r="A325" s="20" t="s">
        <v>9497</v>
      </c>
      <c r="B325" s="20" t="s">
        <v>526</v>
      </c>
      <c r="C325" s="20" t="s">
        <v>133</v>
      </c>
      <c r="D325" s="20" t="s">
        <v>22</v>
      </c>
      <c r="E325" s="21">
        <f>ROUND(7531*1.05,2)</f>
      </c>
      <c r="F325" s="20" t="s">
        <v>51</v>
      </c>
      <c r="G325" s="20" t="s">
        <v>24</v>
      </c>
      <c r="H325" s="21">
        <f>ROUND(RAND()*4+6,1)</f>
      </c>
      <c r="I325" s="20" t="s">
        <v>25</v>
      </c>
      <c r="J325" s="23">
        <f>ROUND(81*1,0)&amp;"%"</f>
      </c>
    </row>
    <row x14ac:dyDescent="0.25" r="326" customHeight="1" ht="17.25">
      <c r="A326" s="24" t="s">
        <v>527</v>
      </c>
      <c r="B326" s="24"/>
      <c r="C326" s="24"/>
      <c r="D326" s="24"/>
      <c r="E326" s="25">
        <v>8</v>
      </c>
      <c r="F326" s="9"/>
      <c r="G326" s="9"/>
      <c r="H326" s="10"/>
      <c r="I326" s="9"/>
      <c r="J326" s="9"/>
    </row>
    <row x14ac:dyDescent="0.25" r="327" customHeight="1" ht="17.25">
      <c r="A327" s="7"/>
      <c r="B327" s="7"/>
      <c r="C327" s="7"/>
      <c r="D327" s="7"/>
      <c r="E327" s="8"/>
      <c r="F327" s="9"/>
      <c r="G327" s="9"/>
      <c r="H327" s="10"/>
      <c r="I327" s="9"/>
      <c r="J327" s="9"/>
    </row>
    <row x14ac:dyDescent="0.25" r="328" customHeight="1" ht="17.25">
      <c r="A328" s="11" t="s">
        <v>9498</v>
      </c>
      <c r="B328" s="11"/>
      <c r="C328" s="11"/>
      <c r="D328" s="11"/>
      <c r="E328" s="12"/>
      <c r="F328" s="11"/>
      <c r="G328" s="11"/>
      <c r="H328" s="13"/>
      <c r="I328" s="11"/>
      <c r="J328" s="11"/>
    </row>
    <row x14ac:dyDescent="0.25" r="329" customHeight="1" ht="17.25">
      <c r="A329" s="14" t="s">
        <v>3</v>
      </c>
      <c r="B329" s="14" t="s">
        <v>4</v>
      </c>
      <c r="C329" s="14" t="s">
        <v>5</v>
      </c>
      <c r="D329" s="14" t="s">
        <v>6</v>
      </c>
      <c r="E329" s="15" t="s">
        <v>7</v>
      </c>
      <c r="F329" s="14" t="s">
        <v>8</v>
      </c>
      <c r="G329" s="14" t="s">
        <v>9</v>
      </c>
      <c r="H329" s="16" t="s">
        <v>10</v>
      </c>
      <c r="I329" s="14" t="s">
        <v>11</v>
      </c>
      <c r="J329" s="14" t="s">
        <v>12</v>
      </c>
    </row>
    <row x14ac:dyDescent="0.25" r="330" customHeight="1" ht="17.25">
      <c r="A330" s="17" t="s">
        <v>9499</v>
      </c>
      <c r="B330" s="17" t="s">
        <v>530</v>
      </c>
      <c r="C330" s="17" t="s">
        <v>152</v>
      </c>
      <c r="D330" s="17" t="s">
        <v>16</v>
      </c>
      <c r="E330" s="18">
        <f>ROUND(9927*1.05,2)</f>
      </c>
      <c r="F330" s="17" t="s">
        <v>17</v>
      </c>
      <c r="G330" s="17" t="s">
        <v>18</v>
      </c>
      <c r="H330" s="18">
        <f>ROUND(RAND()*4+6,1)</f>
      </c>
      <c r="I330" s="17" t="s">
        <v>19</v>
      </c>
      <c r="J330" s="19">
        <f>ROUND(92*1,0)&amp;"%"</f>
      </c>
    </row>
    <row x14ac:dyDescent="0.25" r="331" customHeight="1" ht="17.25">
      <c r="A331" s="20" t="s">
        <v>9500</v>
      </c>
      <c r="B331" s="20" t="s">
        <v>532</v>
      </c>
      <c r="C331" s="20" t="s">
        <v>152</v>
      </c>
      <c r="D331" s="20" t="s">
        <v>22</v>
      </c>
      <c r="E331" s="21">
        <f>ROUND(12954*1.05,2)</f>
      </c>
      <c r="F331" s="20" t="s">
        <v>23</v>
      </c>
      <c r="G331" s="20" t="s">
        <v>24</v>
      </c>
      <c r="H331" s="21">
        <f>ROUND(RAND()*4+6,1)</f>
      </c>
      <c r="I331" s="20" t="s">
        <v>25</v>
      </c>
      <c r="J331" s="23">
        <f>ROUND(100*1,0)&amp;"%"</f>
      </c>
    </row>
    <row x14ac:dyDescent="0.25" r="332" customHeight="1" ht="17.25">
      <c r="A332" s="17" t="s">
        <v>9501</v>
      </c>
      <c r="B332" s="17" t="s">
        <v>534</v>
      </c>
      <c r="C332" s="17" t="s">
        <v>152</v>
      </c>
      <c r="D332" s="17" t="s">
        <v>28</v>
      </c>
      <c r="E332" s="18">
        <f>ROUND(11544*1.05,2)</f>
      </c>
      <c r="F332" s="17" t="s">
        <v>29</v>
      </c>
      <c r="G332" s="17" t="s">
        <v>30</v>
      </c>
      <c r="H332" s="18">
        <f>ROUND(RAND()*4+6,1)</f>
      </c>
      <c r="I332" s="17" t="s">
        <v>31</v>
      </c>
      <c r="J332" s="19">
        <f>ROUND(70*1,0)&amp;"%"</f>
      </c>
    </row>
    <row x14ac:dyDescent="0.25" r="333" customHeight="1" ht="17.25">
      <c r="A333" s="20" t="s">
        <v>9502</v>
      </c>
      <c r="B333" s="20" t="s">
        <v>536</v>
      </c>
      <c r="C333" s="20" t="s">
        <v>152</v>
      </c>
      <c r="D333" s="20" t="s">
        <v>34</v>
      </c>
      <c r="E333" s="21">
        <f>ROUND(6191*1.05,2)</f>
      </c>
      <c r="F333" s="20" t="s">
        <v>35</v>
      </c>
      <c r="G333" s="20" t="s">
        <v>18</v>
      </c>
      <c r="H333" s="21">
        <f>ROUND(RAND()*4+6,1)</f>
      </c>
      <c r="I333" s="20" t="s">
        <v>36</v>
      </c>
      <c r="J333" s="23">
        <f>ROUND(70*1,0)&amp;"%"</f>
      </c>
    </row>
    <row x14ac:dyDescent="0.25" r="334" customHeight="1" ht="17.25">
      <c r="A334" s="17" t="s">
        <v>9503</v>
      </c>
      <c r="B334" s="17" t="s">
        <v>538</v>
      </c>
      <c r="C334" s="17" t="s">
        <v>152</v>
      </c>
      <c r="D334" s="17" t="s">
        <v>39</v>
      </c>
      <c r="E334" s="18">
        <f>ROUND(5608*1.05,2)</f>
      </c>
      <c r="F334" s="17" t="s">
        <v>40</v>
      </c>
      <c r="G334" s="17" t="s">
        <v>24</v>
      </c>
      <c r="H334" s="18">
        <f>ROUND(RAND()*4+6,1)</f>
      </c>
      <c r="I334" s="17" t="s">
        <v>41</v>
      </c>
      <c r="J334" s="19">
        <f>ROUND(74*1,0)&amp;"%"</f>
      </c>
    </row>
    <row x14ac:dyDescent="0.25" r="335" customHeight="1" ht="17.25">
      <c r="A335" s="20" t="s">
        <v>9504</v>
      </c>
      <c r="B335" s="20" t="s">
        <v>540</v>
      </c>
      <c r="C335" s="20" t="s">
        <v>152</v>
      </c>
      <c r="D335" s="20" t="s">
        <v>67</v>
      </c>
      <c r="E335" s="21">
        <f>ROUND(4331*1.05,2)</f>
      </c>
      <c r="F335" s="20" t="s">
        <v>44</v>
      </c>
      <c r="G335" s="20" t="s">
        <v>30</v>
      </c>
      <c r="H335" s="21">
        <f>ROUND(RAND()*4+6,1)</f>
      </c>
      <c r="I335" s="20" t="s">
        <v>45</v>
      </c>
      <c r="J335" s="23">
        <f>ROUND(76*1,0)&amp;"%"</f>
      </c>
    </row>
    <row x14ac:dyDescent="0.25" r="336" customHeight="1" ht="17.25">
      <c r="A336" s="17" t="s">
        <v>9505</v>
      </c>
      <c r="B336" s="17" t="s">
        <v>542</v>
      </c>
      <c r="C336" s="17" t="s">
        <v>152</v>
      </c>
      <c r="D336" s="17" t="s">
        <v>16</v>
      </c>
      <c r="E336" s="18">
        <f>ROUND(8338*1.05,2)</f>
      </c>
      <c r="F336" s="17" t="s">
        <v>48</v>
      </c>
      <c r="G336" s="17" t="s">
        <v>18</v>
      </c>
      <c r="H336" s="18">
        <f>ROUND(RAND()*4+6,1)</f>
      </c>
      <c r="I336" s="17" t="s">
        <v>19</v>
      </c>
      <c r="J336" s="19">
        <f>ROUND(63*1,0)&amp;"%"</f>
      </c>
    </row>
    <row x14ac:dyDescent="0.25" r="337" customHeight="1" ht="17.25">
      <c r="A337" s="20" t="s">
        <v>9506</v>
      </c>
      <c r="B337" s="20" t="s">
        <v>544</v>
      </c>
      <c r="C337" s="20" t="s">
        <v>152</v>
      </c>
      <c r="D337" s="20" t="s">
        <v>22</v>
      </c>
      <c r="E337" s="21">
        <f>ROUND(9447*1.05,2)</f>
      </c>
      <c r="F337" s="20" t="s">
        <v>51</v>
      </c>
      <c r="G337" s="20" t="s">
        <v>24</v>
      </c>
      <c r="H337" s="21">
        <f>ROUND(RAND()*4+6,1)</f>
      </c>
      <c r="I337" s="20" t="s">
        <v>25</v>
      </c>
      <c r="J337" s="23">
        <f>ROUND(95*1,0)&amp;"%"</f>
      </c>
    </row>
    <row x14ac:dyDescent="0.25" r="338" customHeight="1" ht="17.25">
      <c r="A338" s="24" t="s">
        <v>545</v>
      </c>
      <c r="B338" s="24"/>
      <c r="C338" s="24"/>
      <c r="D338" s="24"/>
      <c r="E338" s="25">
        <v>8</v>
      </c>
      <c r="F338" s="9"/>
      <c r="G338" s="9"/>
      <c r="H338" s="10"/>
      <c r="I338" s="9"/>
      <c r="J338" s="9"/>
    </row>
    <row x14ac:dyDescent="0.25" r="339" customHeight="1" ht="17.25">
      <c r="A339" s="7"/>
      <c r="B339" s="7"/>
      <c r="C339" s="7"/>
      <c r="D339" s="7"/>
      <c r="E339" s="8"/>
      <c r="F339" s="9"/>
      <c r="G339" s="9"/>
      <c r="H339" s="10"/>
      <c r="I339" s="9"/>
      <c r="J339" s="9"/>
    </row>
    <row x14ac:dyDescent="0.25" r="340" customHeight="1" ht="17.25">
      <c r="A340" s="11" t="s">
        <v>9507</v>
      </c>
      <c r="B340" s="11"/>
      <c r="C340" s="11"/>
      <c r="D340" s="11"/>
      <c r="E340" s="12"/>
      <c r="F340" s="11"/>
      <c r="G340" s="11"/>
      <c r="H340" s="13"/>
      <c r="I340" s="11"/>
      <c r="J340" s="11"/>
    </row>
    <row x14ac:dyDescent="0.25" r="341" customHeight="1" ht="17.25">
      <c r="A341" s="14" t="s">
        <v>3</v>
      </c>
      <c r="B341" s="14" t="s">
        <v>4</v>
      </c>
      <c r="C341" s="14" t="s">
        <v>5</v>
      </c>
      <c r="D341" s="14" t="s">
        <v>6</v>
      </c>
      <c r="E341" s="15" t="s">
        <v>7</v>
      </c>
      <c r="F341" s="14" t="s">
        <v>8</v>
      </c>
      <c r="G341" s="14" t="s">
        <v>9</v>
      </c>
      <c r="H341" s="16" t="s">
        <v>10</v>
      </c>
      <c r="I341" s="14" t="s">
        <v>11</v>
      </c>
      <c r="J341" s="14" t="s">
        <v>12</v>
      </c>
    </row>
    <row x14ac:dyDescent="0.25" r="342" customHeight="1" ht="17.25">
      <c r="A342" s="17" t="s">
        <v>9508</v>
      </c>
      <c r="B342" s="17" t="s">
        <v>548</v>
      </c>
      <c r="C342" s="17" t="s">
        <v>15</v>
      </c>
      <c r="D342" s="17" t="s">
        <v>16</v>
      </c>
      <c r="E342" s="18">
        <f>ROUND(7214*1.05,2)</f>
      </c>
      <c r="F342" s="17" t="s">
        <v>17</v>
      </c>
      <c r="G342" s="17" t="s">
        <v>18</v>
      </c>
      <c r="H342" s="18">
        <f>ROUND(RAND()*4+6,1)</f>
      </c>
      <c r="I342" s="17" t="s">
        <v>19</v>
      </c>
      <c r="J342" s="19">
        <f>ROUND(61*1,0)&amp;"%"</f>
      </c>
    </row>
    <row x14ac:dyDescent="0.25" r="343" customHeight="1" ht="17.25">
      <c r="A343" s="20" t="s">
        <v>9509</v>
      </c>
      <c r="B343" s="20" t="s">
        <v>550</v>
      </c>
      <c r="C343" s="20" t="s">
        <v>15</v>
      </c>
      <c r="D343" s="20" t="s">
        <v>22</v>
      </c>
      <c r="E343" s="21">
        <f>ROUND(12044*1.05,2)</f>
      </c>
      <c r="F343" s="20" t="s">
        <v>23</v>
      </c>
      <c r="G343" s="20" t="s">
        <v>24</v>
      </c>
      <c r="H343" s="22">
        <f>ROUND(RAND()*4+6,1)</f>
      </c>
      <c r="I343" s="20" t="s">
        <v>25</v>
      </c>
      <c r="J343" s="23">
        <f>ROUND(73*1,0)&amp;"%"</f>
      </c>
    </row>
    <row x14ac:dyDescent="0.25" r="344" customHeight="1" ht="17.25">
      <c r="A344" s="17" t="s">
        <v>9510</v>
      </c>
      <c r="B344" s="17" t="s">
        <v>552</v>
      </c>
      <c r="C344" s="17" t="s">
        <v>15</v>
      </c>
      <c r="D344" s="17" t="s">
        <v>28</v>
      </c>
      <c r="E344" s="18">
        <f>ROUND(9990*1.05,2)</f>
      </c>
      <c r="F344" s="17" t="s">
        <v>29</v>
      </c>
      <c r="G344" s="17" t="s">
        <v>30</v>
      </c>
      <c r="H344" s="18">
        <f>ROUND(RAND()*4+6,1)</f>
      </c>
      <c r="I344" s="17" t="s">
        <v>31</v>
      </c>
      <c r="J344" s="19">
        <f>ROUND(97*1,0)&amp;"%"</f>
      </c>
    </row>
    <row x14ac:dyDescent="0.25" r="345" customHeight="1" ht="17.25">
      <c r="A345" s="20" t="s">
        <v>9511</v>
      </c>
      <c r="B345" s="20" t="s">
        <v>554</v>
      </c>
      <c r="C345" s="20" t="s">
        <v>15</v>
      </c>
      <c r="D345" s="20" t="s">
        <v>34</v>
      </c>
      <c r="E345" s="21">
        <f>ROUND(12052*1.05,2)</f>
      </c>
      <c r="F345" s="20" t="s">
        <v>35</v>
      </c>
      <c r="G345" s="20" t="s">
        <v>18</v>
      </c>
      <c r="H345" s="21">
        <f>ROUND(RAND()*4+6,1)</f>
      </c>
      <c r="I345" s="20" t="s">
        <v>36</v>
      </c>
      <c r="J345" s="23">
        <f>ROUND(85*1,0)&amp;"%"</f>
      </c>
    </row>
    <row x14ac:dyDescent="0.25" r="346" customHeight="1" ht="17.25">
      <c r="A346" s="17" t="s">
        <v>9512</v>
      </c>
      <c r="B346" s="17" t="s">
        <v>556</v>
      </c>
      <c r="C346" s="17" t="s">
        <v>15</v>
      </c>
      <c r="D346" s="17" t="s">
        <v>39</v>
      </c>
      <c r="E346" s="18">
        <f>ROUND(7827*1.05,2)</f>
      </c>
      <c r="F346" s="17" t="s">
        <v>40</v>
      </c>
      <c r="G346" s="17" t="s">
        <v>24</v>
      </c>
      <c r="H346" s="18">
        <f>ROUND(RAND()*4+6,1)</f>
      </c>
      <c r="I346" s="17" t="s">
        <v>41</v>
      </c>
      <c r="J346" s="19">
        <f>ROUND(72*1,0)&amp;"%"</f>
      </c>
    </row>
    <row x14ac:dyDescent="0.25" r="347" customHeight="1" ht="17.25">
      <c r="A347" s="20" t="s">
        <v>9513</v>
      </c>
      <c r="B347" s="20" t="s">
        <v>558</v>
      </c>
      <c r="C347" s="20" t="s">
        <v>15</v>
      </c>
      <c r="D347" s="20" t="s">
        <v>67</v>
      </c>
      <c r="E347" s="21">
        <f>ROUND(12922*1.05,2)</f>
      </c>
      <c r="F347" s="20" t="s">
        <v>44</v>
      </c>
      <c r="G347" s="20" t="s">
        <v>30</v>
      </c>
      <c r="H347" s="21">
        <f>ROUND(RAND()*4+6,1)</f>
      </c>
      <c r="I347" s="20" t="s">
        <v>45</v>
      </c>
      <c r="J347" s="23">
        <f>ROUND(93*1,0)&amp;"%"</f>
      </c>
    </row>
    <row x14ac:dyDescent="0.25" r="348" customHeight="1" ht="17.25">
      <c r="A348" s="17" t="s">
        <v>9514</v>
      </c>
      <c r="B348" s="17" t="s">
        <v>560</v>
      </c>
      <c r="C348" s="17" t="s">
        <v>15</v>
      </c>
      <c r="D348" s="17" t="s">
        <v>16</v>
      </c>
      <c r="E348" s="18">
        <f>ROUND(4149*1.05,2)</f>
      </c>
      <c r="F348" s="17" t="s">
        <v>48</v>
      </c>
      <c r="G348" s="17" t="s">
        <v>18</v>
      </c>
      <c r="H348" s="18">
        <f>ROUND(RAND()*4+6,1)</f>
      </c>
      <c r="I348" s="17" t="s">
        <v>19</v>
      </c>
      <c r="J348" s="19">
        <f>ROUND(91*1,0)&amp;"%"</f>
      </c>
    </row>
    <row x14ac:dyDescent="0.25" r="349" customHeight="1" ht="17.25">
      <c r="A349" s="20" t="s">
        <v>9515</v>
      </c>
      <c r="B349" s="20" t="s">
        <v>562</v>
      </c>
      <c r="C349" s="20" t="s">
        <v>15</v>
      </c>
      <c r="D349" s="20" t="s">
        <v>22</v>
      </c>
      <c r="E349" s="21">
        <f>ROUND(17539*1.05,2)</f>
      </c>
      <c r="F349" s="20" t="s">
        <v>51</v>
      </c>
      <c r="G349" s="20" t="s">
        <v>24</v>
      </c>
      <c r="H349" s="21">
        <f>ROUND(RAND()*4+6,1)</f>
      </c>
      <c r="I349" s="20" t="s">
        <v>25</v>
      </c>
      <c r="J349" s="23">
        <f>ROUND(77*1,0)&amp;"%"</f>
      </c>
    </row>
    <row x14ac:dyDescent="0.25" r="350" customHeight="1" ht="17.25">
      <c r="A350" s="24" t="s">
        <v>563</v>
      </c>
      <c r="B350" s="24"/>
      <c r="C350" s="24"/>
      <c r="D350" s="24"/>
      <c r="E350" s="25">
        <v>8</v>
      </c>
      <c r="F350" s="9"/>
      <c r="G350" s="9"/>
      <c r="H350" s="10"/>
      <c r="I350" s="9"/>
      <c r="J350" s="9"/>
    </row>
    <row x14ac:dyDescent="0.25" r="351" customHeight="1" ht="17.25">
      <c r="A351" s="7"/>
      <c r="B351" s="7"/>
      <c r="C351" s="7"/>
      <c r="D351" s="7"/>
      <c r="E351" s="8"/>
      <c r="F351" s="9"/>
      <c r="G351" s="9"/>
      <c r="H351" s="10"/>
      <c r="I351" s="9"/>
      <c r="J351" s="9"/>
    </row>
    <row x14ac:dyDescent="0.25" r="352" customHeight="1" ht="17.25">
      <c r="A352" s="11" t="s">
        <v>9516</v>
      </c>
      <c r="B352" s="11"/>
      <c r="C352" s="11"/>
      <c r="D352" s="11"/>
      <c r="E352" s="12"/>
      <c r="F352" s="11"/>
      <c r="G352" s="11"/>
      <c r="H352" s="13"/>
      <c r="I352" s="11"/>
      <c r="J352" s="11"/>
    </row>
    <row x14ac:dyDescent="0.25" r="353" customHeight="1" ht="17.25">
      <c r="A353" s="14" t="s">
        <v>3</v>
      </c>
      <c r="B353" s="14" t="s">
        <v>4</v>
      </c>
      <c r="C353" s="14" t="s">
        <v>5</v>
      </c>
      <c r="D353" s="14" t="s">
        <v>6</v>
      </c>
      <c r="E353" s="15" t="s">
        <v>7</v>
      </c>
      <c r="F353" s="14" t="s">
        <v>8</v>
      </c>
      <c r="G353" s="14" t="s">
        <v>9</v>
      </c>
      <c r="H353" s="16" t="s">
        <v>10</v>
      </c>
      <c r="I353" s="14" t="s">
        <v>11</v>
      </c>
      <c r="J353" s="14" t="s">
        <v>12</v>
      </c>
    </row>
    <row x14ac:dyDescent="0.25" r="354" customHeight="1" ht="17.25">
      <c r="A354" s="17" t="s">
        <v>9517</v>
      </c>
      <c r="B354" s="17" t="s">
        <v>566</v>
      </c>
      <c r="C354" s="17" t="s">
        <v>56</v>
      </c>
      <c r="D354" s="17" t="s">
        <v>16</v>
      </c>
      <c r="E354" s="18">
        <f>ROUND(10117*1.05,2)</f>
      </c>
      <c r="F354" s="17" t="s">
        <v>17</v>
      </c>
      <c r="G354" s="17" t="s">
        <v>18</v>
      </c>
      <c r="H354" s="18">
        <f>ROUND(RAND()*4+6,1)</f>
      </c>
      <c r="I354" s="17" t="s">
        <v>19</v>
      </c>
      <c r="J354" s="19">
        <f>ROUND(86*1,0)&amp;"%"</f>
      </c>
    </row>
    <row x14ac:dyDescent="0.25" r="355" customHeight="1" ht="17.25">
      <c r="A355" s="20" t="s">
        <v>9518</v>
      </c>
      <c r="B355" s="20" t="s">
        <v>568</v>
      </c>
      <c r="C355" s="20" t="s">
        <v>56</v>
      </c>
      <c r="D355" s="20" t="s">
        <v>22</v>
      </c>
      <c r="E355" s="21">
        <f>ROUND(4457*1.05,2)</f>
      </c>
      <c r="F355" s="20" t="s">
        <v>23</v>
      </c>
      <c r="G355" s="20" t="s">
        <v>24</v>
      </c>
      <c r="H355" s="21">
        <f>ROUND(RAND()*4+6,1)</f>
      </c>
      <c r="I355" s="20" t="s">
        <v>25</v>
      </c>
      <c r="J355" s="23">
        <f>ROUND(65*1,0)&amp;"%"</f>
      </c>
    </row>
    <row x14ac:dyDescent="0.25" r="356" customHeight="1" ht="17.25">
      <c r="A356" s="17" t="s">
        <v>9519</v>
      </c>
      <c r="B356" s="17" t="s">
        <v>570</v>
      </c>
      <c r="C356" s="17" t="s">
        <v>56</v>
      </c>
      <c r="D356" s="17" t="s">
        <v>28</v>
      </c>
      <c r="E356" s="18">
        <f>ROUND(4802*1.05,2)</f>
      </c>
      <c r="F356" s="17" t="s">
        <v>29</v>
      </c>
      <c r="G356" s="17" t="s">
        <v>30</v>
      </c>
      <c r="H356" s="18">
        <f>ROUND(RAND()*4+6,1)</f>
      </c>
      <c r="I356" s="17" t="s">
        <v>31</v>
      </c>
      <c r="J356" s="19">
        <f>ROUND(97*1,0)&amp;"%"</f>
      </c>
    </row>
    <row x14ac:dyDescent="0.25" r="357" customHeight="1" ht="17.25">
      <c r="A357" s="20" t="s">
        <v>9520</v>
      </c>
      <c r="B357" s="20" t="s">
        <v>572</v>
      </c>
      <c r="C357" s="20" t="s">
        <v>56</v>
      </c>
      <c r="D357" s="20" t="s">
        <v>34</v>
      </c>
      <c r="E357" s="21">
        <f>ROUND(16236*1.05,2)</f>
      </c>
      <c r="F357" s="20" t="s">
        <v>35</v>
      </c>
      <c r="G357" s="20" t="s">
        <v>18</v>
      </c>
      <c r="H357" s="21">
        <f>ROUND(RAND()*4+6,1)</f>
      </c>
      <c r="I357" s="20" t="s">
        <v>36</v>
      </c>
      <c r="J357" s="23">
        <f>ROUND(70*1,0)&amp;"%"</f>
      </c>
    </row>
    <row x14ac:dyDescent="0.25" r="358" customHeight="1" ht="17.25">
      <c r="A358" s="17" t="s">
        <v>9521</v>
      </c>
      <c r="B358" s="17" t="s">
        <v>574</v>
      </c>
      <c r="C358" s="17" t="s">
        <v>56</v>
      </c>
      <c r="D358" s="17" t="s">
        <v>39</v>
      </c>
      <c r="E358" s="18">
        <f>ROUND(9209*1.05,2)</f>
      </c>
      <c r="F358" s="17" t="s">
        <v>40</v>
      </c>
      <c r="G358" s="17" t="s">
        <v>24</v>
      </c>
      <c r="H358" s="18">
        <f>ROUND(RAND()*4+6,1)</f>
      </c>
      <c r="I358" s="17" t="s">
        <v>41</v>
      </c>
      <c r="J358" s="19">
        <f>ROUND(86*1,0)&amp;"%"</f>
      </c>
    </row>
    <row x14ac:dyDescent="0.25" r="359" customHeight="1" ht="17.25">
      <c r="A359" s="20" t="s">
        <v>9522</v>
      </c>
      <c r="B359" s="20" t="s">
        <v>576</v>
      </c>
      <c r="C359" s="20" t="s">
        <v>56</v>
      </c>
      <c r="D359" s="20" t="s">
        <v>67</v>
      </c>
      <c r="E359" s="21">
        <f>ROUND(17663*1.05,2)</f>
      </c>
      <c r="F359" s="20" t="s">
        <v>44</v>
      </c>
      <c r="G359" s="20" t="s">
        <v>30</v>
      </c>
      <c r="H359" s="21">
        <f>ROUND(RAND()*4+6,1)</f>
      </c>
      <c r="I359" s="20" t="s">
        <v>45</v>
      </c>
      <c r="J359" s="23">
        <f>ROUND(71*1,0)&amp;"%"</f>
      </c>
    </row>
    <row x14ac:dyDescent="0.25" r="360" customHeight="1" ht="17.25">
      <c r="A360" s="17" t="s">
        <v>9523</v>
      </c>
      <c r="B360" s="17" t="s">
        <v>578</v>
      </c>
      <c r="C360" s="17" t="s">
        <v>56</v>
      </c>
      <c r="D360" s="17" t="s">
        <v>16</v>
      </c>
      <c r="E360" s="18">
        <f>ROUND(9209*1.05,2)</f>
      </c>
      <c r="F360" s="17" t="s">
        <v>48</v>
      </c>
      <c r="G360" s="17" t="s">
        <v>18</v>
      </c>
      <c r="H360" s="18">
        <f>ROUND(RAND()*4+6,1)</f>
      </c>
      <c r="I360" s="17" t="s">
        <v>19</v>
      </c>
      <c r="J360" s="19">
        <f>ROUND(63*1,0)&amp;"%"</f>
      </c>
    </row>
    <row x14ac:dyDescent="0.25" r="361" customHeight="1" ht="17.25">
      <c r="A361" s="20" t="s">
        <v>9524</v>
      </c>
      <c r="B361" s="20" t="s">
        <v>580</v>
      </c>
      <c r="C361" s="20" t="s">
        <v>56</v>
      </c>
      <c r="D361" s="20" t="s">
        <v>22</v>
      </c>
      <c r="E361" s="21">
        <f>ROUND(11228*1.05,2)</f>
      </c>
      <c r="F361" s="20" t="s">
        <v>51</v>
      </c>
      <c r="G361" s="20" t="s">
        <v>24</v>
      </c>
      <c r="H361" s="21">
        <f>ROUND(RAND()*4+6,1)</f>
      </c>
      <c r="I361" s="20" t="s">
        <v>25</v>
      </c>
      <c r="J361" s="23">
        <f>ROUND(100*1,0)&amp;"%"</f>
      </c>
    </row>
    <row x14ac:dyDescent="0.25" r="362" customHeight="1" ht="17.25">
      <c r="A362" s="24" t="s">
        <v>581</v>
      </c>
      <c r="B362" s="24"/>
      <c r="C362" s="24"/>
      <c r="D362" s="24"/>
      <c r="E362" s="25">
        <v>8</v>
      </c>
      <c r="F362" s="9"/>
      <c r="G362" s="9"/>
      <c r="H362" s="10"/>
      <c r="I362" s="9"/>
      <c r="J362" s="9"/>
    </row>
  </sheetData>
  <mergeCells count="62">
    <mergeCell ref="A1:J1"/>
    <mergeCell ref="A2:J2"/>
    <mergeCell ref="A4:J4"/>
    <mergeCell ref="A14:D14"/>
    <mergeCell ref="A16:J16"/>
    <mergeCell ref="A26:D26"/>
    <mergeCell ref="A28:J28"/>
    <mergeCell ref="A38:D38"/>
    <mergeCell ref="A40:J40"/>
    <mergeCell ref="A50:D50"/>
    <mergeCell ref="A52:J52"/>
    <mergeCell ref="A62:D62"/>
    <mergeCell ref="A64:J64"/>
    <mergeCell ref="A74:D74"/>
    <mergeCell ref="A76:J76"/>
    <mergeCell ref="A86:D86"/>
    <mergeCell ref="A88:J88"/>
    <mergeCell ref="A98:D98"/>
    <mergeCell ref="A100:J100"/>
    <mergeCell ref="A110:D110"/>
    <mergeCell ref="A112:J112"/>
    <mergeCell ref="A122:D122"/>
    <mergeCell ref="A124:J124"/>
    <mergeCell ref="A134:D134"/>
    <mergeCell ref="A136:J136"/>
    <mergeCell ref="A146:D146"/>
    <mergeCell ref="A148:J148"/>
    <mergeCell ref="A158:D158"/>
    <mergeCell ref="A160:J160"/>
    <mergeCell ref="A170:D170"/>
    <mergeCell ref="A172:J172"/>
    <mergeCell ref="A182:D182"/>
    <mergeCell ref="A184:J184"/>
    <mergeCell ref="A194:D194"/>
    <mergeCell ref="A196:J196"/>
    <mergeCell ref="A206:D206"/>
    <mergeCell ref="A208:J208"/>
    <mergeCell ref="A218:D218"/>
    <mergeCell ref="A220:J220"/>
    <mergeCell ref="A230:D230"/>
    <mergeCell ref="A232:J232"/>
    <mergeCell ref="A242:D242"/>
    <mergeCell ref="A244:J244"/>
    <mergeCell ref="A254:D254"/>
    <mergeCell ref="A256:J256"/>
    <mergeCell ref="A266:D266"/>
    <mergeCell ref="A268:J268"/>
    <mergeCell ref="A278:D278"/>
    <mergeCell ref="A280:J280"/>
    <mergeCell ref="A290:D290"/>
    <mergeCell ref="A292:J292"/>
    <mergeCell ref="A302:D302"/>
    <mergeCell ref="A304:J304"/>
    <mergeCell ref="A314:D314"/>
    <mergeCell ref="A316:J316"/>
    <mergeCell ref="A326:D326"/>
    <mergeCell ref="A328:J328"/>
    <mergeCell ref="A338:D338"/>
    <mergeCell ref="A340:J340"/>
    <mergeCell ref="A350:D350"/>
    <mergeCell ref="A352:J352"/>
    <mergeCell ref="A362:D362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J362"/>
  <sheetViews>
    <sheetView workbookViewId="0"/>
  </sheetViews>
  <sheetFormatPr defaultRowHeight="15" x14ac:dyDescent="0.25"/>
  <cols>
    <col min="1" max="1" style="27" width="8.005" customWidth="1" bestFit="1"/>
    <col min="2" max="2" style="27" width="22.005" customWidth="1" bestFit="1"/>
    <col min="3" max="3" style="27" width="16.005" customWidth="1" bestFit="1"/>
    <col min="4" max="4" style="27" width="14.005" customWidth="1" bestFit="1"/>
    <col min="5" max="5" style="28" width="12.005" customWidth="1" bestFit="1"/>
    <col min="6" max="6" style="29" width="16.005" customWidth="1" bestFit="1"/>
    <col min="7" max="7" style="29" width="10.005" customWidth="1" bestFit="1"/>
    <col min="8" max="8" style="30" width="10.005" customWidth="1" bestFit="1"/>
    <col min="9" max="9" style="29" width="14.005" customWidth="1" bestFit="1"/>
    <col min="10" max="10" style="29" width="8.005" customWidth="1" bestFit="1"/>
  </cols>
  <sheetData>
    <row x14ac:dyDescent="0.25" r="1" customHeight="1" ht="17.25">
      <c r="A1" s="1" t="s">
        <v>8983</v>
      </c>
      <c r="B1" s="1"/>
      <c r="C1" s="1"/>
      <c r="D1" s="1"/>
      <c r="E1" s="2"/>
      <c r="F1" s="1"/>
      <c r="G1" s="1"/>
      <c r="H1" s="3"/>
      <c r="I1" s="1"/>
      <c r="J1" s="1"/>
    </row>
    <row x14ac:dyDescent="0.25" r="2" customHeight="1" ht="17.25">
      <c r="A2" s="4" t="s">
        <v>1</v>
      </c>
      <c r="B2" s="4"/>
      <c r="C2" s="4"/>
      <c r="D2" s="4"/>
      <c r="E2" s="5"/>
      <c r="F2" s="4"/>
      <c r="G2" s="4"/>
      <c r="H2" s="6"/>
      <c r="I2" s="4"/>
      <c r="J2" s="4"/>
    </row>
    <row x14ac:dyDescent="0.25" r="3" customHeight="1" ht="17.25">
      <c r="A3" s="7"/>
      <c r="B3" s="7"/>
      <c r="C3" s="7"/>
      <c r="D3" s="7"/>
      <c r="E3" s="8"/>
      <c r="F3" s="9"/>
      <c r="G3" s="9"/>
      <c r="H3" s="10"/>
      <c r="I3" s="9"/>
      <c r="J3" s="9"/>
    </row>
    <row x14ac:dyDescent="0.25" r="4" customHeight="1" ht="17.25">
      <c r="A4" s="11" t="s">
        <v>8984</v>
      </c>
      <c r="B4" s="11"/>
      <c r="C4" s="11"/>
      <c r="D4" s="11"/>
      <c r="E4" s="12"/>
      <c r="F4" s="11"/>
      <c r="G4" s="11"/>
      <c r="H4" s="13"/>
      <c r="I4" s="11"/>
      <c r="J4" s="11"/>
    </row>
    <row x14ac:dyDescent="0.25" r="5" customHeight="1" ht="17.25">
      <c r="A5" s="14" t="s">
        <v>3</v>
      </c>
      <c r="B5" s="14" t="s">
        <v>4</v>
      </c>
      <c r="C5" s="14" t="s">
        <v>5</v>
      </c>
      <c r="D5" s="14" t="s">
        <v>6</v>
      </c>
      <c r="E5" s="15" t="s">
        <v>7</v>
      </c>
      <c r="F5" s="14" t="s">
        <v>8</v>
      </c>
      <c r="G5" s="14" t="s">
        <v>9</v>
      </c>
      <c r="H5" s="16" t="s">
        <v>10</v>
      </c>
      <c r="I5" s="14" t="s">
        <v>11</v>
      </c>
      <c r="J5" s="14" t="s">
        <v>12</v>
      </c>
    </row>
    <row x14ac:dyDescent="0.25" r="6" customHeight="1" ht="17.25">
      <c r="A6" s="17" t="s">
        <v>8985</v>
      </c>
      <c r="B6" s="17" t="s">
        <v>14</v>
      </c>
      <c r="C6" s="17" t="s">
        <v>15</v>
      </c>
      <c r="D6" s="17" t="s">
        <v>16</v>
      </c>
      <c r="E6" s="18">
        <f>ROUND(14767*1.05,2)</f>
      </c>
      <c r="F6" s="17" t="s">
        <v>17</v>
      </c>
      <c r="G6" s="17" t="s">
        <v>18</v>
      </c>
      <c r="H6" s="26">
        <f>ROUND(RAND()*4+6,1)</f>
      </c>
      <c r="I6" s="17" t="s">
        <v>19</v>
      </c>
      <c r="J6" s="19">
        <f>ROUND(70*1,0)&amp;"%"</f>
      </c>
    </row>
    <row x14ac:dyDescent="0.25" r="7" customHeight="1" ht="17.25">
      <c r="A7" s="20" t="s">
        <v>8986</v>
      </c>
      <c r="B7" s="20" t="s">
        <v>21</v>
      </c>
      <c r="C7" s="20" t="s">
        <v>15</v>
      </c>
      <c r="D7" s="20" t="s">
        <v>22</v>
      </c>
      <c r="E7" s="22">
        <f>ROUND(11460*1.05,2)</f>
      </c>
      <c r="F7" s="20" t="s">
        <v>23</v>
      </c>
      <c r="G7" s="20" t="s">
        <v>24</v>
      </c>
      <c r="H7" s="21">
        <f>ROUND(RAND()*4+6,1)</f>
      </c>
      <c r="I7" s="20" t="s">
        <v>25</v>
      </c>
      <c r="J7" s="23">
        <f>ROUND(80*1,0)&amp;"%"</f>
      </c>
    </row>
    <row x14ac:dyDescent="0.25" r="8" customHeight="1" ht="17.25">
      <c r="A8" s="17" t="s">
        <v>8987</v>
      </c>
      <c r="B8" s="17" t="s">
        <v>27</v>
      </c>
      <c r="C8" s="17" t="s">
        <v>15</v>
      </c>
      <c r="D8" s="17" t="s">
        <v>28</v>
      </c>
      <c r="E8" s="18">
        <f>ROUND(10339*1.05,2)</f>
      </c>
      <c r="F8" s="17" t="s">
        <v>29</v>
      </c>
      <c r="G8" s="17" t="s">
        <v>30</v>
      </c>
      <c r="H8" s="18">
        <f>ROUND(RAND()*4+6,1)</f>
      </c>
      <c r="I8" s="17" t="s">
        <v>31</v>
      </c>
      <c r="J8" s="19">
        <f>ROUND(62*1,0)&amp;"%"</f>
      </c>
    </row>
    <row x14ac:dyDescent="0.25" r="9" customHeight="1" ht="17.25">
      <c r="A9" s="20" t="s">
        <v>8988</v>
      </c>
      <c r="B9" s="20" t="s">
        <v>33</v>
      </c>
      <c r="C9" s="20" t="s">
        <v>15</v>
      </c>
      <c r="D9" s="20" t="s">
        <v>34</v>
      </c>
      <c r="E9" s="21">
        <f>ROUND(16843*1.05,2)</f>
      </c>
      <c r="F9" s="20" t="s">
        <v>35</v>
      </c>
      <c r="G9" s="20" t="s">
        <v>18</v>
      </c>
      <c r="H9" s="21">
        <f>ROUND(RAND()*4+6,1)</f>
      </c>
      <c r="I9" s="20" t="s">
        <v>36</v>
      </c>
      <c r="J9" s="23">
        <f>ROUND(95*1,0)&amp;"%"</f>
      </c>
    </row>
    <row x14ac:dyDescent="0.25" r="10" customHeight="1" ht="17.25">
      <c r="A10" s="17" t="s">
        <v>8989</v>
      </c>
      <c r="B10" s="17" t="s">
        <v>38</v>
      </c>
      <c r="C10" s="17" t="s">
        <v>15</v>
      </c>
      <c r="D10" s="17" t="s">
        <v>39</v>
      </c>
      <c r="E10" s="18">
        <f>ROUND(5656*1.05,2)</f>
      </c>
      <c r="F10" s="17" t="s">
        <v>40</v>
      </c>
      <c r="G10" s="17" t="s">
        <v>24</v>
      </c>
      <c r="H10" s="18">
        <f>ROUND(RAND()*4+6,1)</f>
      </c>
      <c r="I10" s="17" t="s">
        <v>41</v>
      </c>
      <c r="J10" s="19">
        <f>ROUND(99*1,0)&amp;"%"</f>
      </c>
    </row>
    <row x14ac:dyDescent="0.25" r="11" customHeight="1" ht="17.25">
      <c r="A11" s="20" t="s">
        <v>8990</v>
      </c>
      <c r="B11" s="20" t="s">
        <v>43</v>
      </c>
      <c r="C11" s="20" t="s">
        <v>15</v>
      </c>
      <c r="D11" s="20" t="s">
        <v>67</v>
      </c>
      <c r="E11" s="21">
        <f>ROUND(5225*1.05,2)</f>
      </c>
      <c r="F11" s="20" t="s">
        <v>44</v>
      </c>
      <c r="G11" s="20" t="s">
        <v>30</v>
      </c>
      <c r="H11" s="22">
        <f>ROUND(RAND()*4+6,1)</f>
      </c>
      <c r="I11" s="20" t="s">
        <v>45</v>
      </c>
      <c r="J11" s="23">
        <f>ROUND(69*1,0)&amp;"%"</f>
      </c>
    </row>
    <row x14ac:dyDescent="0.25" r="12" customHeight="1" ht="17.25">
      <c r="A12" s="17" t="s">
        <v>8991</v>
      </c>
      <c r="B12" s="17" t="s">
        <v>47</v>
      </c>
      <c r="C12" s="17" t="s">
        <v>15</v>
      </c>
      <c r="D12" s="17" t="s">
        <v>16</v>
      </c>
      <c r="E12" s="18">
        <f>ROUND(15954*1.05,2)</f>
      </c>
      <c r="F12" s="17" t="s">
        <v>48</v>
      </c>
      <c r="G12" s="17" t="s">
        <v>18</v>
      </c>
      <c r="H12" s="18">
        <f>ROUND(RAND()*4+6,1)</f>
      </c>
      <c r="I12" s="17" t="s">
        <v>19</v>
      </c>
      <c r="J12" s="19">
        <f>ROUND(71*1,0)&amp;"%"</f>
      </c>
    </row>
    <row x14ac:dyDescent="0.25" r="13" customHeight="1" ht="17.25">
      <c r="A13" s="20" t="s">
        <v>8992</v>
      </c>
      <c r="B13" s="20" t="s">
        <v>50</v>
      </c>
      <c r="C13" s="20" t="s">
        <v>15</v>
      </c>
      <c r="D13" s="20" t="s">
        <v>22</v>
      </c>
      <c r="E13" s="21">
        <f>ROUND(16344*1.05,2)</f>
      </c>
      <c r="F13" s="20" t="s">
        <v>51</v>
      </c>
      <c r="G13" s="20" t="s">
        <v>24</v>
      </c>
      <c r="H13" s="21">
        <f>ROUND(RAND()*4+6,1)</f>
      </c>
      <c r="I13" s="20" t="s">
        <v>25</v>
      </c>
      <c r="J13" s="23">
        <f>ROUND(75*1,0)&amp;"%"</f>
      </c>
    </row>
    <row x14ac:dyDescent="0.25" r="14" customHeight="1" ht="17.25">
      <c r="A14" s="24" t="s">
        <v>52</v>
      </c>
      <c r="B14" s="24"/>
      <c r="C14" s="24"/>
      <c r="D14" s="24"/>
      <c r="E14" s="25">
        <v>8</v>
      </c>
      <c r="F14" s="9"/>
      <c r="G14" s="9"/>
      <c r="H14" s="10"/>
      <c r="I14" s="9"/>
      <c r="J14" s="9"/>
    </row>
    <row x14ac:dyDescent="0.25" r="15" customHeight="1" ht="17.25">
      <c r="A15" s="7"/>
      <c r="B15" s="7"/>
      <c r="C15" s="7"/>
      <c r="D15" s="7"/>
      <c r="E15" s="8"/>
      <c r="F15" s="9"/>
      <c r="G15" s="9"/>
      <c r="H15" s="10"/>
      <c r="I15" s="9"/>
      <c r="J15" s="9"/>
    </row>
    <row x14ac:dyDescent="0.25" r="16" customHeight="1" ht="17.25">
      <c r="A16" s="11" t="s">
        <v>8993</v>
      </c>
      <c r="B16" s="11"/>
      <c r="C16" s="11"/>
      <c r="D16" s="11"/>
      <c r="E16" s="12"/>
      <c r="F16" s="11"/>
      <c r="G16" s="11"/>
      <c r="H16" s="13"/>
      <c r="I16" s="11"/>
      <c r="J16" s="11"/>
    </row>
    <row x14ac:dyDescent="0.25" r="17" customHeight="1" ht="17.25">
      <c r="A17" s="14" t="s">
        <v>3</v>
      </c>
      <c r="B17" s="14" t="s">
        <v>4</v>
      </c>
      <c r="C17" s="14" t="s">
        <v>5</v>
      </c>
      <c r="D17" s="14" t="s">
        <v>6</v>
      </c>
      <c r="E17" s="15" t="s">
        <v>7</v>
      </c>
      <c r="F17" s="14" t="s">
        <v>8</v>
      </c>
      <c r="G17" s="14" t="s">
        <v>9</v>
      </c>
      <c r="H17" s="16" t="s">
        <v>10</v>
      </c>
      <c r="I17" s="14" t="s">
        <v>11</v>
      </c>
      <c r="J17" s="14" t="s">
        <v>12</v>
      </c>
    </row>
    <row x14ac:dyDescent="0.25" r="18" customHeight="1" ht="17.25">
      <c r="A18" s="17" t="s">
        <v>8994</v>
      </c>
      <c r="B18" s="17" t="s">
        <v>55</v>
      </c>
      <c r="C18" s="17" t="s">
        <v>56</v>
      </c>
      <c r="D18" s="17" t="s">
        <v>16</v>
      </c>
      <c r="E18" s="18">
        <f>ROUND(9505*1.05,2)</f>
      </c>
      <c r="F18" s="17" t="s">
        <v>17</v>
      </c>
      <c r="G18" s="17" t="s">
        <v>18</v>
      </c>
      <c r="H18" s="18">
        <f>ROUND(RAND()*4+6,1)</f>
      </c>
      <c r="I18" s="17" t="s">
        <v>19</v>
      </c>
      <c r="J18" s="19">
        <f>ROUND(82*1,0)&amp;"%"</f>
      </c>
    </row>
    <row x14ac:dyDescent="0.25" r="19" customHeight="1" ht="17.25">
      <c r="A19" s="20" t="s">
        <v>8995</v>
      </c>
      <c r="B19" s="20" t="s">
        <v>58</v>
      </c>
      <c r="C19" s="20" t="s">
        <v>56</v>
      </c>
      <c r="D19" s="20" t="s">
        <v>22</v>
      </c>
      <c r="E19" s="21">
        <f>ROUND(10641*1.05,2)</f>
      </c>
      <c r="F19" s="20" t="s">
        <v>23</v>
      </c>
      <c r="G19" s="20" t="s">
        <v>24</v>
      </c>
      <c r="H19" s="21">
        <f>ROUND(RAND()*4+6,1)</f>
      </c>
      <c r="I19" s="20" t="s">
        <v>25</v>
      </c>
      <c r="J19" s="23">
        <f>ROUND(73*1,0)&amp;"%"</f>
      </c>
    </row>
    <row x14ac:dyDescent="0.25" r="20" customHeight="1" ht="17.25">
      <c r="A20" s="17" t="s">
        <v>8996</v>
      </c>
      <c r="B20" s="17" t="s">
        <v>60</v>
      </c>
      <c r="C20" s="17" t="s">
        <v>56</v>
      </c>
      <c r="D20" s="17" t="s">
        <v>28</v>
      </c>
      <c r="E20" s="18">
        <f>ROUND(8018*1.05,2)</f>
      </c>
      <c r="F20" s="17" t="s">
        <v>29</v>
      </c>
      <c r="G20" s="17" t="s">
        <v>30</v>
      </c>
      <c r="H20" s="18">
        <f>ROUND(RAND()*4+6,1)</f>
      </c>
      <c r="I20" s="17" t="s">
        <v>31</v>
      </c>
      <c r="J20" s="19">
        <f>ROUND(71*1,0)&amp;"%"</f>
      </c>
    </row>
    <row x14ac:dyDescent="0.25" r="21" customHeight="1" ht="17.25">
      <c r="A21" s="20" t="s">
        <v>8997</v>
      </c>
      <c r="B21" s="20" t="s">
        <v>62</v>
      </c>
      <c r="C21" s="20" t="s">
        <v>56</v>
      </c>
      <c r="D21" s="20" t="s">
        <v>34</v>
      </c>
      <c r="E21" s="21">
        <f>ROUND(11893*1.05,2)</f>
      </c>
      <c r="F21" s="20" t="s">
        <v>35</v>
      </c>
      <c r="G21" s="20" t="s">
        <v>18</v>
      </c>
      <c r="H21" s="21">
        <f>ROUND(RAND()*4+6,1)</f>
      </c>
      <c r="I21" s="20" t="s">
        <v>36</v>
      </c>
      <c r="J21" s="23">
        <f>ROUND(84*1,0)&amp;"%"</f>
      </c>
    </row>
    <row x14ac:dyDescent="0.25" r="22" customHeight="1" ht="17.25">
      <c r="A22" s="17" t="s">
        <v>8998</v>
      </c>
      <c r="B22" s="17" t="s">
        <v>64</v>
      </c>
      <c r="C22" s="17" t="s">
        <v>56</v>
      </c>
      <c r="D22" s="17" t="s">
        <v>39</v>
      </c>
      <c r="E22" s="18">
        <f>ROUND(5212*1.05,2)</f>
      </c>
      <c r="F22" s="17" t="s">
        <v>40</v>
      </c>
      <c r="G22" s="17" t="s">
        <v>24</v>
      </c>
      <c r="H22" s="18">
        <f>ROUND(RAND()*4+6,1)</f>
      </c>
      <c r="I22" s="17" t="s">
        <v>41</v>
      </c>
      <c r="J22" s="19">
        <f>ROUND(74*1,0)&amp;"%"</f>
      </c>
    </row>
    <row x14ac:dyDescent="0.25" r="23" customHeight="1" ht="17.25">
      <c r="A23" s="20" t="s">
        <v>8999</v>
      </c>
      <c r="B23" s="20" t="s">
        <v>66</v>
      </c>
      <c r="C23" s="20" t="s">
        <v>56</v>
      </c>
      <c r="D23" s="20" t="s">
        <v>67</v>
      </c>
      <c r="E23" s="21">
        <f>ROUND(13450*1.05,2)</f>
      </c>
      <c r="F23" s="20" t="s">
        <v>44</v>
      </c>
      <c r="G23" s="20" t="s">
        <v>30</v>
      </c>
      <c r="H23" s="21">
        <f>ROUND(RAND()*4+6,1)</f>
      </c>
      <c r="I23" s="20" t="s">
        <v>45</v>
      </c>
      <c r="J23" s="23">
        <f>ROUND(69*1,0)&amp;"%"</f>
      </c>
    </row>
    <row x14ac:dyDescent="0.25" r="24" customHeight="1" ht="17.25">
      <c r="A24" s="17" t="s">
        <v>9000</v>
      </c>
      <c r="B24" s="17" t="s">
        <v>69</v>
      </c>
      <c r="C24" s="17" t="s">
        <v>56</v>
      </c>
      <c r="D24" s="17" t="s">
        <v>16</v>
      </c>
      <c r="E24" s="18">
        <f>ROUND(5998*1.05,2)</f>
      </c>
      <c r="F24" s="17" t="s">
        <v>48</v>
      </c>
      <c r="G24" s="17" t="s">
        <v>18</v>
      </c>
      <c r="H24" s="26">
        <f>ROUND(RAND()*4+6,1)</f>
      </c>
      <c r="I24" s="17" t="s">
        <v>19</v>
      </c>
      <c r="J24" s="19">
        <f>ROUND(87*1,0)&amp;"%"</f>
      </c>
    </row>
    <row x14ac:dyDescent="0.25" r="25" customHeight="1" ht="17.25">
      <c r="A25" s="20" t="s">
        <v>9001</v>
      </c>
      <c r="B25" s="20" t="s">
        <v>71</v>
      </c>
      <c r="C25" s="20" t="s">
        <v>56</v>
      </c>
      <c r="D25" s="20" t="s">
        <v>22</v>
      </c>
      <c r="E25" s="21">
        <f>ROUND(17486*1.05,2)</f>
      </c>
      <c r="F25" s="20" t="s">
        <v>51</v>
      </c>
      <c r="G25" s="20" t="s">
        <v>24</v>
      </c>
      <c r="H25" s="21">
        <f>ROUND(RAND()*4+6,1)</f>
      </c>
      <c r="I25" s="20" t="s">
        <v>25</v>
      </c>
      <c r="J25" s="23">
        <f>ROUND(88*1,0)&amp;"%"</f>
      </c>
    </row>
    <row x14ac:dyDescent="0.25" r="26" customHeight="1" ht="17.25">
      <c r="A26" s="24" t="s">
        <v>72</v>
      </c>
      <c r="B26" s="24"/>
      <c r="C26" s="24"/>
      <c r="D26" s="24"/>
      <c r="E26" s="25">
        <v>8</v>
      </c>
      <c r="F26" s="9"/>
      <c r="G26" s="9"/>
      <c r="H26" s="10"/>
      <c r="I26" s="9"/>
      <c r="J26" s="9"/>
    </row>
    <row x14ac:dyDescent="0.25" r="27" customHeight="1" ht="17.25">
      <c r="A27" s="7"/>
      <c r="B27" s="7"/>
      <c r="C27" s="7"/>
      <c r="D27" s="7"/>
      <c r="E27" s="8"/>
      <c r="F27" s="9"/>
      <c r="G27" s="9"/>
      <c r="H27" s="10"/>
      <c r="I27" s="9"/>
      <c r="J27" s="9"/>
    </row>
    <row x14ac:dyDescent="0.25" r="28" customHeight="1" ht="17.25">
      <c r="A28" s="11" t="s">
        <v>9002</v>
      </c>
      <c r="B28" s="11"/>
      <c r="C28" s="11"/>
      <c r="D28" s="11"/>
      <c r="E28" s="12"/>
      <c r="F28" s="11"/>
      <c r="G28" s="11"/>
      <c r="H28" s="13"/>
      <c r="I28" s="11"/>
      <c r="J28" s="11"/>
    </row>
    <row x14ac:dyDescent="0.25" r="29" customHeight="1" ht="17.25">
      <c r="A29" s="14" t="s">
        <v>3</v>
      </c>
      <c r="B29" s="14" t="s">
        <v>4</v>
      </c>
      <c r="C29" s="14" t="s">
        <v>5</v>
      </c>
      <c r="D29" s="14" t="s">
        <v>6</v>
      </c>
      <c r="E29" s="15" t="s">
        <v>7</v>
      </c>
      <c r="F29" s="14" t="s">
        <v>8</v>
      </c>
      <c r="G29" s="14" t="s">
        <v>9</v>
      </c>
      <c r="H29" s="16" t="s">
        <v>10</v>
      </c>
      <c r="I29" s="14" t="s">
        <v>11</v>
      </c>
      <c r="J29" s="14" t="s">
        <v>12</v>
      </c>
    </row>
    <row x14ac:dyDescent="0.25" r="30" customHeight="1" ht="17.25">
      <c r="A30" s="17" t="s">
        <v>9003</v>
      </c>
      <c r="B30" s="17" t="s">
        <v>75</v>
      </c>
      <c r="C30" s="17" t="s">
        <v>76</v>
      </c>
      <c r="D30" s="17" t="s">
        <v>16</v>
      </c>
      <c r="E30" s="18">
        <f>ROUND(17690*1.05,2)</f>
      </c>
      <c r="F30" s="17" t="s">
        <v>17</v>
      </c>
      <c r="G30" s="17" t="s">
        <v>18</v>
      </c>
      <c r="H30" s="18">
        <f>ROUND(RAND()*4+6,1)</f>
      </c>
      <c r="I30" s="17" t="s">
        <v>19</v>
      </c>
      <c r="J30" s="19">
        <f>ROUND(81*1,0)&amp;"%"</f>
      </c>
    </row>
    <row x14ac:dyDescent="0.25" r="31" customHeight="1" ht="17.25">
      <c r="A31" s="20" t="s">
        <v>9004</v>
      </c>
      <c r="B31" s="20" t="s">
        <v>78</v>
      </c>
      <c r="C31" s="20" t="s">
        <v>76</v>
      </c>
      <c r="D31" s="20" t="s">
        <v>22</v>
      </c>
      <c r="E31" s="21">
        <f>ROUND(9977*1.05,2)</f>
      </c>
      <c r="F31" s="20" t="s">
        <v>23</v>
      </c>
      <c r="G31" s="20" t="s">
        <v>24</v>
      </c>
      <c r="H31" s="21">
        <f>ROUND(RAND()*4+6,1)</f>
      </c>
      <c r="I31" s="20" t="s">
        <v>25</v>
      </c>
      <c r="J31" s="23">
        <f>ROUND(88*1,0)&amp;"%"</f>
      </c>
    </row>
    <row x14ac:dyDescent="0.25" r="32" customHeight="1" ht="17.25">
      <c r="A32" s="17" t="s">
        <v>9005</v>
      </c>
      <c r="B32" s="17" t="s">
        <v>80</v>
      </c>
      <c r="C32" s="17" t="s">
        <v>76</v>
      </c>
      <c r="D32" s="17" t="s">
        <v>28</v>
      </c>
      <c r="E32" s="18">
        <f>ROUND(6522*1.05,2)</f>
      </c>
      <c r="F32" s="17" t="s">
        <v>29</v>
      </c>
      <c r="G32" s="17" t="s">
        <v>30</v>
      </c>
      <c r="H32" s="18">
        <f>ROUND(RAND()*4+6,1)</f>
      </c>
      <c r="I32" s="17" t="s">
        <v>31</v>
      </c>
      <c r="J32" s="19">
        <f>ROUND(66*1,0)&amp;"%"</f>
      </c>
    </row>
    <row x14ac:dyDescent="0.25" r="33" customHeight="1" ht="17.25">
      <c r="A33" s="20" t="s">
        <v>9006</v>
      </c>
      <c r="B33" s="20" t="s">
        <v>82</v>
      </c>
      <c r="C33" s="20" t="s">
        <v>76</v>
      </c>
      <c r="D33" s="20" t="s">
        <v>34</v>
      </c>
      <c r="E33" s="21">
        <f>ROUND(14023*1.05,2)</f>
      </c>
      <c r="F33" s="20" t="s">
        <v>35</v>
      </c>
      <c r="G33" s="20" t="s">
        <v>18</v>
      </c>
      <c r="H33" s="21">
        <f>ROUND(RAND()*4+6,1)</f>
      </c>
      <c r="I33" s="20" t="s">
        <v>36</v>
      </c>
      <c r="J33" s="23">
        <f>ROUND(90*1,0)&amp;"%"</f>
      </c>
    </row>
    <row x14ac:dyDescent="0.25" r="34" customHeight="1" ht="17.25">
      <c r="A34" s="17" t="s">
        <v>9007</v>
      </c>
      <c r="B34" s="17" t="s">
        <v>84</v>
      </c>
      <c r="C34" s="17" t="s">
        <v>76</v>
      </c>
      <c r="D34" s="17" t="s">
        <v>39</v>
      </c>
      <c r="E34" s="18">
        <f>ROUND(10832*1.05,2)</f>
      </c>
      <c r="F34" s="17" t="s">
        <v>40</v>
      </c>
      <c r="G34" s="17" t="s">
        <v>24</v>
      </c>
      <c r="H34" s="18">
        <f>ROUND(RAND()*4+6,1)</f>
      </c>
      <c r="I34" s="17" t="s">
        <v>41</v>
      </c>
      <c r="J34" s="19">
        <f>ROUND(76*1,0)&amp;"%"</f>
      </c>
    </row>
    <row x14ac:dyDescent="0.25" r="35" customHeight="1" ht="17.25">
      <c r="A35" s="20" t="s">
        <v>9008</v>
      </c>
      <c r="B35" s="20" t="s">
        <v>86</v>
      </c>
      <c r="C35" s="20" t="s">
        <v>76</v>
      </c>
      <c r="D35" s="20" t="s">
        <v>67</v>
      </c>
      <c r="E35" s="21">
        <f>ROUND(13494*1.05,2)</f>
      </c>
      <c r="F35" s="20" t="s">
        <v>44</v>
      </c>
      <c r="G35" s="20" t="s">
        <v>30</v>
      </c>
      <c r="H35" s="21">
        <f>ROUND(RAND()*4+6,1)</f>
      </c>
      <c r="I35" s="20" t="s">
        <v>45</v>
      </c>
      <c r="J35" s="23">
        <f>ROUND(70*1,0)&amp;"%"</f>
      </c>
    </row>
    <row x14ac:dyDescent="0.25" r="36" customHeight="1" ht="17.25">
      <c r="A36" s="17" t="s">
        <v>9009</v>
      </c>
      <c r="B36" s="17" t="s">
        <v>88</v>
      </c>
      <c r="C36" s="17" t="s">
        <v>76</v>
      </c>
      <c r="D36" s="17" t="s">
        <v>16</v>
      </c>
      <c r="E36" s="18">
        <f>ROUND(9771*1.05,2)</f>
      </c>
      <c r="F36" s="17" t="s">
        <v>48</v>
      </c>
      <c r="G36" s="17" t="s">
        <v>18</v>
      </c>
      <c r="H36" s="18">
        <f>ROUND(RAND()*4+6,1)</f>
      </c>
      <c r="I36" s="17" t="s">
        <v>19</v>
      </c>
      <c r="J36" s="19">
        <f>ROUND(65*1,0)&amp;"%"</f>
      </c>
    </row>
    <row x14ac:dyDescent="0.25" r="37" customHeight="1" ht="17.25">
      <c r="A37" s="20" t="s">
        <v>9010</v>
      </c>
      <c r="B37" s="20" t="s">
        <v>90</v>
      </c>
      <c r="C37" s="20" t="s">
        <v>76</v>
      </c>
      <c r="D37" s="20" t="s">
        <v>22</v>
      </c>
      <c r="E37" s="21">
        <f>ROUND(13983*1.05,2)</f>
      </c>
      <c r="F37" s="20" t="s">
        <v>51</v>
      </c>
      <c r="G37" s="20" t="s">
        <v>24</v>
      </c>
      <c r="H37" s="21">
        <f>ROUND(RAND()*4+6,1)</f>
      </c>
      <c r="I37" s="20" t="s">
        <v>25</v>
      </c>
      <c r="J37" s="23">
        <f>ROUND(77*1,0)&amp;"%"</f>
      </c>
    </row>
    <row x14ac:dyDescent="0.25" r="38" customHeight="1" ht="17.25">
      <c r="A38" s="24" t="s">
        <v>91</v>
      </c>
      <c r="B38" s="24"/>
      <c r="C38" s="24"/>
      <c r="D38" s="24"/>
      <c r="E38" s="25">
        <v>8</v>
      </c>
      <c r="F38" s="9"/>
      <c r="G38" s="9"/>
      <c r="H38" s="10"/>
      <c r="I38" s="9"/>
      <c r="J38" s="9"/>
    </row>
    <row x14ac:dyDescent="0.25" r="39" customHeight="1" ht="17.25">
      <c r="A39" s="7"/>
      <c r="B39" s="7"/>
      <c r="C39" s="7"/>
      <c r="D39" s="7"/>
      <c r="E39" s="8"/>
      <c r="F39" s="9"/>
      <c r="G39" s="9"/>
      <c r="H39" s="10"/>
      <c r="I39" s="9"/>
      <c r="J39" s="9"/>
    </row>
    <row x14ac:dyDescent="0.25" r="40" customHeight="1" ht="17.25">
      <c r="A40" s="11" t="s">
        <v>9011</v>
      </c>
      <c r="B40" s="11"/>
      <c r="C40" s="11"/>
      <c r="D40" s="11"/>
      <c r="E40" s="12"/>
      <c r="F40" s="11"/>
      <c r="G40" s="11"/>
      <c r="H40" s="13"/>
      <c r="I40" s="11"/>
      <c r="J40" s="11"/>
    </row>
    <row x14ac:dyDescent="0.25" r="41" customHeight="1" ht="17.25">
      <c r="A41" s="14" t="s">
        <v>3</v>
      </c>
      <c r="B41" s="14" t="s">
        <v>4</v>
      </c>
      <c r="C41" s="14" t="s">
        <v>5</v>
      </c>
      <c r="D41" s="14" t="s">
        <v>6</v>
      </c>
      <c r="E41" s="15" t="s">
        <v>7</v>
      </c>
      <c r="F41" s="14" t="s">
        <v>8</v>
      </c>
      <c r="G41" s="14" t="s">
        <v>9</v>
      </c>
      <c r="H41" s="16" t="s">
        <v>10</v>
      </c>
      <c r="I41" s="14" t="s">
        <v>11</v>
      </c>
      <c r="J41" s="14" t="s">
        <v>12</v>
      </c>
    </row>
    <row x14ac:dyDescent="0.25" r="42" customHeight="1" ht="17.25">
      <c r="A42" s="17" t="s">
        <v>9012</v>
      </c>
      <c r="B42" s="17" t="s">
        <v>94</v>
      </c>
      <c r="C42" s="17" t="s">
        <v>95</v>
      </c>
      <c r="D42" s="17" t="s">
        <v>16</v>
      </c>
      <c r="E42" s="18">
        <f>ROUND(6598*1.05,2)</f>
      </c>
      <c r="F42" s="17" t="s">
        <v>17</v>
      </c>
      <c r="G42" s="17" t="s">
        <v>18</v>
      </c>
      <c r="H42" s="18">
        <f>ROUND(RAND()*4+6,1)</f>
      </c>
      <c r="I42" s="17" t="s">
        <v>19</v>
      </c>
      <c r="J42" s="19">
        <f>ROUND(68*1,0)&amp;"%"</f>
      </c>
    </row>
    <row x14ac:dyDescent="0.25" r="43" customHeight="1" ht="17.25">
      <c r="A43" s="20" t="s">
        <v>9013</v>
      </c>
      <c r="B43" s="20" t="s">
        <v>97</v>
      </c>
      <c r="C43" s="20" t="s">
        <v>95</v>
      </c>
      <c r="D43" s="20" t="s">
        <v>22</v>
      </c>
      <c r="E43" s="21">
        <f>ROUND(10071*1.05,2)</f>
      </c>
      <c r="F43" s="20" t="s">
        <v>23</v>
      </c>
      <c r="G43" s="20" t="s">
        <v>24</v>
      </c>
      <c r="H43" s="21">
        <f>ROUND(RAND()*4+6,1)</f>
      </c>
      <c r="I43" s="20" t="s">
        <v>25</v>
      </c>
      <c r="J43" s="23">
        <f>ROUND(87*1,0)&amp;"%"</f>
      </c>
    </row>
    <row x14ac:dyDescent="0.25" r="44" customHeight="1" ht="17.25">
      <c r="A44" s="17" t="s">
        <v>9014</v>
      </c>
      <c r="B44" s="17" t="s">
        <v>99</v>
      </c>
      <c r="C44" s="17" t="s">
        <v>95</v>
      </c>
      <c r="D44" s="17" t="s">
        <v>28</v>
      </c>
      <c r="E44" s="18">
        <f>ROUND(4052*1.05,2)</f>
      </c>
      <c r="F44" s="17" t="s">
        <v>29</v>
      </c>
      <c r="G44" s="17" t="s">
        <v>30</v>
      </c>
      <c r="H44" s="18">
        <f>ROUND(RAND()*4+6,1)</f>
      </c>
      <c r="I44" s="17" t="s">
        <v>31</v>
      </c>
      <c r="J44" s="19">
        <f>ROUND(68*1,0)&amp;"%"</f>
      </c>
    </row>
    <row x14ac:dyDescent="0.25" r="45" customHeight="1" ht="17.25">
      <c r="A45" s="20" t="s">
        <v>9015</v>
      </c>
      <c r="B45" s="20" t="s">
        <v>101</v>
      </c>
      <c r="C45" s="20" t="s">
        <v>95</v>
      </c>
      <c r="D45" s="20" t="s">
        <v>34</v>
      </c>
      <c r="E45" s="21">
        <f>ROUND(7835*1.05,2)</f>
      </c>
      <c r="F45" s="20" t="s">
        <v>35</v>
      </c>
      <c r="G45" s="20" t="s">
        <v>18</v>
      </c>
      <c r="H45" s="22">
        <f>ROUND(RAND()*4+6,1)</f>
      </c>
      <c r="I45" s="20" t="s">
        <v>36</v>
      </c>
      <c r="J45" s="23">
        <f>ROUND(83*1,0)&amp;"%"</f>
      </c>
    </row>
    <row x14ac:dyDescent="0.25" r="46" customHeight="1" ht="17.25">
      <c r="A46" s="17" t="s">
        <v>9016</v>
      </c>
      <c r="B46" s="17" t="s">
        <v>103</v>
      </c>
      <c r="C46" s="17" t="s">
        <v>95</v>
      </c>
      <c r="D46" s="17" t="s">
        <v>39</v>
      </c>
      <c r="E46" s="18">
        <f>ROUND(17142*1.05,2)</f>
      </c>
      <c r="F46" s="17" t="s">
        <v>40</v>
      </c>
      <c r="G46" s="17" t="s">
        <v>24</v>
      </c>
      <c r="H46" s="18">
        <f>ROUND(RAND()*4+6,1)</f>
      </c>
      <c r="I46" s="17" t="s">
        <v>41</v>
      </c>
      <c r="J46" s="19">
        <f>ROUND(97*1,0)&amp;"%"</f>
      </c>
    </row>
    <row x14ac:dyDescent="0.25" r="47" customHeight="1" ht="17.25">
      <c r="A47" s="20" t="s">
        <v>9017</v>
      </c>
      <c r="B47" s="20" t="s">
        <v>105</v>
      </c>
      <c r="C47" s="20" t="s">
        <v>95</v>
      </c>
      <c r="D47" s="20" t="s">
        <v>67</v>
      </c>
      <c r="E47" s="21">
        <f>ROUND(17703*1.05,2)</f>
      </c>
      <c r="F47" s="20" t="s">
        <v>44</v>
      </c>
      <c r="G47" s="20" t="s">
        <v>30</v>
      </c>
      <c r="H47" s="21">
        <f>ROUND(RAND()*4+6,1)</f>
      </c>
      <c r="I47" s="20" t="s">
        <v>45</v>
      </c>
      <c r="J47" s="23">
        <f>ROUND(87*1,0)&amp;"%"</f>
      </c>
    </row>
    <row x14ac:dyDescent="0.25" r="48" customHeight="1" ht="17.25">
      <c r="A48" s="17" t="s">
        <v>9018</v>
      </c>
      <c r="B48" s="17" t="s">
        <v>107</v>
      </c>
      <c r="C48" s="17" t="s">
        <v>95</v>
      </c>
      <c r="D48" s="17" t="s">
        <v>16</v>
      </c>
      <c r="E48" s="18">
        <f>ROUND(10416*1.05,2)</f>
      </c>
      <c r="F48" s="17" t="s">
        <v>48</v>
      </c>
      <c r="G48" s="17" t="s">
        <v>18</v>
      </c>
      <c r="H48" s="18">
        <f>ROUND(RAND()*4+6,1)</f>
      </c>
      <c r="I48" s="17" t="s">
        <v>19</v>
      </c>
      <c r="J48" s="19">
        <f>ROUND(99*1,0)&amp;"%"</f>
      </c>
    </row>
    <row x14ac:dyDescent="0.25" r="49" customHeight="1" ht="17.25">
      <c r="A49" s="20" t="s">
        <v>9019</v>
      </c>
      <c r="B49" s="20" t="s">
        <v>109</v>
      </c>
      <c r="C49" s="20" t="s">
        <v>95</v>
      </c>
      <c r="D49" s="20" t="s">
        <v>22</v>
      </c>
      <c r="E49" s="21">
        <f>ROUND(15674*1.05,2)</f>
      </c>
      <c r="F49" s="20" t="s">
        <v>51</v>
      </c>
      <c r="G49" s="20" t="s">
        <v>24</v>
      </c>
      <c r="H49" s="21">
        <f>ROUND(RAND()*4+6,1)</f>
      </c>
      <c r="I49" s="20" t="s">
        <v>25</v>
      </c>
      <c r="J49" s="23">
        <f>ROUND(94*1,0)&amp;"%"</f>
      </c>
    </row>
    <row x14ac:dyDescent="0.25" r="50" customHeight="1" ht="17.25">
      <c r="A50" s="24" t="s">
        <v>110</v>
      </c>
      <c r="B50" s="24"/>
      <c r="C50" s="24"/>
      <c r="D50" s="24"/>
      <c r="E50" s="25">
        <v>8</v>
      </c>
      <c r="F50" s="9"/>
      <c r="G50" s="9"/>
      <c r="H50" s="10"/>
      <c r="I50" s="9"/>
      <c r="J50" s="9"/>
    </row>
    <row x14ac:dyDescent="0.25" r="51" customHeight="1" ht="17.25">
      <c r="A51" s="7"/>
      <c r="B51" s="7"/>
      <c r="C51" s="7"/>
      <c r="D51" s="7"/>
      <c r="E51" s="8"/>
      <c r="F51" s="9"/>
      <c r="G51" s="9"/>
      <c r="H51" s="10"/>
      <c r="I51" s="9"/>
      <c r="J51" s="9"/>
    </row>
    <row x14ac:dyDescent="0.25" r="52" customHeight="1" ht="17.25">
      <c r="A52" s="11" t="s">
        <v>9020</v>
      </c>
      <c r="B52" s="11"/>
      <c r="C52" s="11"/>
      <c r="D52" s="11"/>
      <c r="E52" s="12"/>
      <c r="F52" s="11"/>
      <c r="G52" s="11"/>
      <c r="H52" s="13"/>
      <c r="I52" s="11"/>
      <c r="J52" s="11"/>
    </row>
    <row x14ac:dyDescent="0.25" r="53" customHeight="1" ht="17.25">
      <c r="A53" s="14" t="s">
        <v>3</v>
      </c>
      <c r="B53" s="14" t="s">
        <v>4</v>
      </c>
      <c r="C53" s="14" t="s">
        <v>5</v>
      </c>
      <c r="D53" s="14" t="s">
        <v>6</v>
      </c>
      <c r="E53" s="15" t="s">
        <v>7</v>
      </c>
      <c r="F53" s="14" t="s">
        <v>8</v>
      </c>
      <c r="G53" s="14" t="s">
        <v>9</v>
      </c>
      <c r="H53" s="16" t="s">
        <v>10</v>
      </c>
      <c r="I53" s="14" t="s">
        <v>11</v>
      </c>
      <c r="J53" s="14" t="s">
        <v>12</v>
      </c>
    </row>
    <row x14ac:dyDescent="0.25" r="54" customHeight="1" ht="17.25">
      <c r="A54" s="17" t="s">
        <v>9021</v>
      </c>
      <c r="B54" s="17" t="s">
        <v>113</v>
      </c>
      <c r="C54" s="17" t="s">
        <v>114</v>
      </c>
      <c r="D54" s="17" t="s">
        <v>16</v>
      </c>
      <c r="E54" s="18">
        <f>ROUND(11709*1.05,2)</f>
      </c>
      <c r="F54" s="17" t="s">
        <v>17</v>
      </c>
      <c r="G54" s="17" t="s">
        <v>18</v>
      </c>
      <c r="H54" s="18">
        <f>ROUND(RAND()*4+6,1)</f>
      </c>
      <c r="I54" s="17" t="s">
        <v>19</v>
      </c>
      <c r="J54" s="19">
        <f>ROUND(93*1,0)&amp;"%"</f>
      </c>
    </row>
    <row x14ac:dyDescent="0.25" r="55" customHeight="1" ht="17.25">
      <c r="A55" s="20" t="s">
        <v>9022</v>
      </c>
      <c r="B55" s="20" t="s">
        <v>116</v>
      </c>
      <c r="C55" s="20" t="s">
        <v>114</v>
      </c>
      <c r="D55" s="20" t="s">
        <v>22</v>
      </c>
      <c r="E55" s="21">
        <f>ROUND(6177*1.05,2)</f>
      </c>
      <c r="F55" s="20" t="s">
        <v>23</v>
      </c>
      <c r="G55" s="20" t="s">
        <v>24</v>
      </c>
      <c r="H55" s="21">
        <f>ROUND(RAND()*4+6,1)</f>
      </c>
      <c r="I55" s="20" t="s">
        <v>25</v>
      </c>
      <c r="J55" s="23">
        <f>ROUND(87*1,0)&amp;"%"</f>
      </c>
    </row>
    <row x14ac:dyDescent="0.25" r="56" customHeight="1" ht="17.25">
      <c r="A56" s="17" t="s">
        <v>9023</v>
      </c>
      <c r="B56" s="17" t="s">
        <v>118</v>
      </c>
      <c r="C56" s="17" t="s">
        <v>114</v>
      </c>
      <c r="D56" s="17" t="s">
        <v>28</v>
      </c>
      <c r="E56" s="18">
        <f>ROUND(17749*1.05,2)</f>
      </c>
      <c r="F56" s="17" t="s">
        <v>29</v>
      </c>
      <c r="G56" s="17" t="s">
        <v>30</v>
      </c>
      <c r="H56" s="18">
        <f>ROUND(RAND()*4+6,1)</f>
      </c>
      <c r="I56" s="17" t="s">
        <v>31</v>
      </c>
      <c r="J56" s="19">
        <f>ROUND(72*1,0)&amp;"%"</f>
      </c>
    </row>
    <row x14ac:dyDescent="0.25" r="57" customHeight="1" ht="17.25">
      <c r="A57" s="20" t="s">
        <v>9024</v>
      </c>
      <c r="B57" s="20" t="s">
        <v>120</v>
      </c>
      <c r="C57" s="20" t="s">
        <v>114</v>
      </c>
      <c r="D57" s="20" t="s">
        <v>34</v>
      </c>
      <c r="E57" s="21">
        <f>ROUND(16829*1.05,2)</f>
      </c>
      <c r="F57" s="20" t="s">
        <v>35</v>
      </c>
      <c r="G57" s="20" t="s">
        <v>18</v>
      </c>
      <c r="H57" s="21">
        <f>ROUND(RAND()*4+6,1)</f>
      </c>
      <c r="I57" s="20" t="s">
        <v>36</v>
      </c>
      <c r="J57" s="23">
        <f>ROUND(66*1,0)&amp;"%"</f>
      </c>
    </row>
    <row x14ac:dyDescent="0.25" r="58" customHeight="1" ht="17.25">
      <c r="A58" s="17" t="s">
        <v>9025</v>
      </c>
      <c r="B58" s="17" t="s">
        <v>122</v>
      </c>
      <c r="C58" s="17" t="s">
        <v>114</v>
      </c>
      <c r="D58" s="17" t="s">
        <v>39</v>
      </c>
      <c r="E58" s="26">
        <f>ROUND(11780*1.05,2)</f>
      </c>
      <c r="F58" s="17" t="s">
        <v>40</v>
      </c>
      <c r="G58" s="17" t="s">
        <v>24</v>
      </c>
      <c r="H58" s="18">
        <f>ROUND(RAND()*4+6,1)</f>
      </c>
      <c r="I58" s="17" t="s">
        <v>41</v>
      </c>
      <c r="J58" s="19">
        <f>ROUND(69*1,0)&amp;"%"</f>
      </c>
    </row>
    <row x14ac:dyDescent="0.25" r="59" customHeight="1" ht="17.25">
      <c r="A59" s="20" t="s">
        <v>9026</v>
      </c>
      <c r="B59" s="20" t="s">
        <v>124</v>
      </c>
      <c r="C59" s="20" t="s">
        <v>114</v>
      </c>
      <c r="D59" s="20" t="s">
        <v>67</v>
      </c>
      <c r="E59" s="22">
        <f>ROUND(8760*1.05,2)</f>
      </c>
      <c r="F59" s="20" t="s">
        <v>44</v>
      </c>
      <c r="G59" s="20" t="s">
        <v>30</v>
      </c>
      <c r="H59" s="21">
        <f>ROUND(RAND()*4+6,1)</f>
      </c>
      <c r="I59" s="20" t="s">
        <v>45</v>
      </c>
      <c r="J59" s="23">
        <f>ROUND(61*1,0)&amp;"%"</f>
      </c>
    </row>
    <row x14ac:dyDescent="0.25" r="60" customHeight="1" ht="17.25">
      <c r="A60" s="17" t="s">
        <v>9027</v>
      </c>
      <c r="B60" s="17" t="s">
        <v>126</v>
      </c>
      <c r="C60" s="17" t="s">
        <v>114</v>
      </c>
      <c r="D60" s="17" t="s">
        <v>16</v>
      </c>
      <c r="E60" s="18">
        <f>ROUND(12017*1.05,2)</f>
      </c>
      <c r="F60" s="17" t="s">
        <v>48</v>
      </c>
      <c r="G60" s="17" t="s">
        <v>18</v>
      </c>
      <c r="H60" s="26">
        <f>ROUND(RAND()*4+6,1)</f>
      </c>
      <c r="I60" s="17" t="s">
        <v>19</v>
      </c>
      <c r="J60" s="19">
        <f>ROUND(80*1,0)&amp;"%"</f>
      </c>
    </row>
    <row x14ac:dyDescent="0.25" r="61" customHeight="1" ht="17.25">
      <c r="A61" s="20" t="s">
        <v>9028</v>
      </c>
      <c r="B61" s="20" t="s">
        <v>128</v>
      </c>
      <c r="C61" s="20" t="s">
        <v>114</v>
      </c>
      <c r="D61" s="20" t="s">
        <v>22</v>
      </c>
      <c r="E61" s="21">
        <f>ROUND(11464*1.05,2)</f>
      </c>
      <c r="F61" s="20" t="s">
        <v>51</v>
      </c>
      <c r="G61" s="20" t="s">
        <v>24</v>
      </c>
      <c r="H61" s="21">
        <f>ROUND(RAND()*4+6,1)</f>
      </c>
      <c r="I61" s="20" t="s">
        <v>25</v>
      </c>
      <c r="J61" s="23">
        <f>ROUND(80*1,0)&amp;"%"</f>
      </c>
    </row>
    <row x14ac:dyDescent="0.25" r="62" customHeight="1" ht="17.25">
      <c r="A62" s="24" t="s">
        <v>129</v>
      </c>
      <c r="B62" s="24"/>
      <c r="C62" s="24"/>
      <c r="D62" s="24"/>
      <c r="E62" s="25">
        <v>8</v>
      </c>
      <c r="F62" s="9"/>
      <c r="G62" s="9"/>
      <c r="H62" s="10"/>
      <c r="I62" s="9"/>
      <c r="J62" s="9"/>
    </row>
    <row x14ac:dyDescent="0.25" r="63" customHeight="1" ht="17.25">
      <c r="A63" s="7"/>
      <c r="B63" s="7"/>
      <c r="C63" s="7"/>
      <c r="D63" s="7"/>
      <c r="E63" s="8"/>
      <c r="F63" s="9"/>
      <c r="G63" s="9"/>
      <c r="H63" s="10"/>
      <c r="I63" s="9"/>
      <c r="J63" s="9"/>
    </row>
    <row x14ac:dyDescent="0.25" r="64" customHeight="1" ht="17.25">
      <c r="A64" s="11" t="s">
        <v>9029</v>
      </c>
      <c r="B64" s="11"/>
      <c r="C64" s="11"/>
      <c r="D64" s="11"/>
      <c r="E64" s="12"/>
      <c r="F64" s="11"/>
      <c r="G64" s="11"/>
      <c r="H64" s="13"/>
      <c r="I64" s="11"/>
      <c r="J64" s="11"/>
    </row>
    <row x14ac:dyDescent="0.25" r="65" customHeight="1" ht="17.25">
      <c r="A65" s="14" t="s">
        <v>3</v>
      </c>
      <c r="B65" s="14" t="s">
        <v>4</v>
      </c>
      <c r="C65" s="14" t="s">
        <v>5</v>
      </c>
      <c r="D65" s="14" t="s">
        <v>6</v>
      </c>
      <c r="E65" s="15" t="s">
        <v>7</v>
      </c>
      <c r="F65" s="14" t="s">
        <v>8</v>
      </c>
      <c r="G65" s="14" t="s">
        <v>9</v>
      </c>
      <c r="H65" s="16" t="s">
        <v>10</v>
      </c>
      <c r="I65" s="14" t="s">
        <v>11</v>
      </c>
      <c r="J65" s="14" t="s">
        <v>12</v>
      </c>
    </row>
    <row x14ac:dyDescent="0.25" r="66" customHeight="1" ht="17.25">
      <c r="A66" s="17" t="s">
        <v>9030</v>
      </c>
      <c r="B66" s="17" t="s">
        <v>132</v>
      </c>
      <c r="C66" s="17" t="s">
        <v>133</v>
      </c>
      <c r="D66" s="17" t="s">
        <v>16</v>
      </c>
      <c r="E66" s="18">
        <f>ROUND(7727*1.05,2)</f>
      </c>
      <c r="F66" s="17" t="s">
        <v>17</v>
      </c>
      <c r="G66" s="17" t="s">
        <v>18</v>
      </c>
      <c r="H66" s="18">
        <f>ROUND(RAND()*4+6,1)</f>
      </c>
      <c r="I66" s="17" t="s">
        <v>19</v>
      </c>
      <c r="J66" s="19">
        <f>ROUND(76*1,0)&amp;"%"</f>
      </c>
    </row>
    <row x14ac:dyDescent="0.25" r="67" customHeight="1" ht="17.25">
      <c r="A67" s="20" t="s">
        <v>9031</v>
      </c>
      <c r="B67" s="20" t="s">
        <v>135</v>
      </c>
      <c r="C67" s="20" t="s">
        <v>133</v>
      </c>
      <c r="D67" s="20" t="s">
        <v>22</v>
      </c>
      <c r="E67" s="22">
        <f>ROUND(11660*1.05,2)</f>
      </c>
      <c r="F67" s="20" t="s">
        <v>23</v>
      </c>
      <c r="G67" s="20" t="s">
        <v>24</v>
      </c>
      <c r="H67" s="21">
        <f>ROUND(RAND()*4+6,1)</f>
      </c>
      <c r="I67" s="20" t="s">
        <v>25</v>
      </c>
      <c r="J67" s="23">
        <f>ROUND(95*1,0)&amp;"%"</f>
      </c>
    </row>
    <row x14ac:dyDescent="0.25" r="68" customHeight="1" ht="17.25">
      <c r="A68" s="17" t="s">
        <v>9032</v>
      </c>
      <c r="B68" s="17" t="s">
        <v>137</v>
      </c>
      <c r="C68" s="17" t="s">
        <v>133</v>
      </c>
      <c r="D68" s="17" t="s">
        <v>28</v>
      </c>
      <c r="E68" s="18">
        <f>ROUND(8018*1.05,2)</f>
      </c>
      <c r="F68" s="17" t="s">
        <v>29</v>
      </c>
      <c r="G68" s="17" t="s">
        <v>30</v>
      </c>
      <c r="H68" s="18">
        <f>ROUND(RAND()*4+6,1)</f>
      </c>
      <c r="I68" s="17" t="s">
        <v>31</v>
      </c>
      <c r="J68" s="19">
        <f>ROUND(73*1,0)&amp;"%"</f>
      </c>
    </row>
    <row x14ac:dyDescent="0.25" r="69" customHeight="1" ht="17.25">
      <c r="A69" s="20" t="s">
        <v>9033</v>
      </c>
      <c r="B69" s="20" t="s">
        <v>139</v>
      </c>
      <c r="C69" s="20" t="s">
        <v>133</v>
      </c>
      <c r="D69" s="20" t="s">
        <v>34</v>
      </c>
      <c r="E69" s="21">
        <f>ROUND(9166*1.05,2)</f>
      </c>
      <c r="F69" s="20" t="s">
        <v>35</v>
      </c>
      <c r="G69" s="20" t="s">
        <v>18</v>
      </c>
      <c r="H69" s="21">
        <f>ROUND(RAND()*4+6,1)</f>
      </c>
      <c r="I69" s="20" t="s">
        <v>36</v>
      </c>
      <c r="J69" s="23">
        <f>ROUND(75*1,0)&amp;"%"</f>
      </c>
    </row>
    <row x14ac:dyDescent="0.25" r="70" customHeight="1" ht="17.25">
      <c r="A70" s="17" t="s">
        <v>9034</v>
      </c>
      <c r="B70" s="17" t="s">
        <v>141</v>
      </c>
      <c r="C70" s="17" t="s">
        <v>133</v>
      </c>
      <c r="D70" s="17" t="s">
        <v>39</v>
      </c>
      <c r="E70" s="18">
        <f>ROUND(8901*1.05,2)</f>
      </c>
      <c r="F70" s="17" t="s">
        <v>40</v>
      </c>
      <c r="G70" s="17" t="s">
        <v>24</v>
      </c>
      <c r="H70" s="18">
        <f>ROUND(RAND()*4+6,1)</f>
      </c>
      <c r="I70" s="17" t="s">
        <v>41</v>
      </c>
      <c r="J70" s="19">
        <f>ROUND(89*1,0)&amp;"%"</f>
      </c>
    </row>
    <row x14ac:dyDescent="0.25" r="71" customHeight="1" ht="17.25">
      <c r="A71" s="20" t="s">
        <v>9035</v>
      </c>
      <c r="B71" s="20" t="s">
        <v>143</v>
      </c>
      <c r="C71" s="20" t="s">
        <v>133</v>
      </c>
      <c r="D71" s="20" t="s">
        <v>67</v>
      </c>
      <c r="E71" s="21">
        <f>ROUND(12247*1.05,2)</f>
      </c>
      <c r="F71" s="20" t="s">
        <v>44</v>
      </c>
      <c r="G71" s="20" t="s">
        <v>30</v>
      </c>
      <c r="H71" s="21">
        <f>ROUND(RAND()*4+6,1)</f>
      </c>
      <c r="I71" s="20" t="s">
        <v>45</v>
      </c>
      <c r="J71" s="23">
        <f>ROUND(60*1,0)&amp;"%"</f>
      </c>
    </row>
    <row x14ac:dyDescent="0.25" r="72" customHeight="1" ht="17.25">
      <c r="A72" s="17" t="s">
        <v>9036</v>
      </c>
      <c r="B72" s="17" t="s">
        <v>145</v>
      </c>
      <c r="C72" s="17" t="s">
        <v>133</v>
      </c>
      <c r="D72" s="17" t="s">
        <v>16</v>
      </c>
      <c r="E72" s="18">
        <f>ROUND(15597*1.05,2)</f>
      </c>
      <c r="F72" s="17" t="s">
        <v>48</v>
      </c>
      <c r="G72" s="17" t="s">
        <v>18</v>
      </c>
      <c r="H72" s="18">
        <f>ROUND(RAND()*4+6,1)</f>
      </c>
      <c r="I72" s="17" t="s">
        <v>19</v>
      </c>
      <c r="J72" s="19">
        <f>ROUND(64*1,0)&amp;"%"</f>
      </c>
    </row>
    <row x14ac:dyDescent="0.25" r="73" customHeight="1" ht="17.25">
      <c r="A73" s="20" t="s">
        <v>9037</v>
      </c>
      <c r="B73" s="20" t="s">
        <v>147</v>
      </c>
      <c r="C73" s="20" t="s">
        <v>133</v>
      </c>
      <c r="D73" s="20" t="s">
        <v>22</v>
      </c>
      <c r="E73" s="21">
        <f>ROUND(13967*1.05,2)</f>
      </c>
      <c r="F73" s="20" t="s">
        <v>51</v>
      </c>
      <c r="G73" s="20" t="s">
        <v>24</v>
      </c>
      <c r="H73" s="21">
        <f>ROUND(RAND()*4+6,1)</f>
      </c>
      <c r="I73" s="20" t="s">
        <v>25</v>
      </c>
      <c r="J73" s="23">
        <f>ROUND(82*1,0)&amp;"%"</f>
      </c>
    </row>
    <row x14ac:dyDescent="0.25" r="74" customHeight="1" ht="17.25">
      <c r="A74" s="24" t="s">
        <v>148</v>
      </c>
      <c r="B74" s="24"/>
      <c r="C74" s="24"/>
      <c r="D74" s="24"/>
      <c r="E74" s="25">
        <v>8</v>
      </c>
      <c r="F74" s="9"/>
      <c r="G74" s="9"/>
      <c r="H74" s="10"/>
      <c r="I74" s="9"/>
      <c r="J74" s="9"/>
    </row>
    <row x14ac:dyDescent="0.25" r="75" customHeight="1" ht="17.25">
      <c r="A75" s="7"/>
      <c r="B75" s="7"/>
      <c r="C75" s="7"/>
      <c r="D75" s="7"/>
      <c r="E75" s="8"/>
      <c r="F75" s="9"/>
      <c r="G75" s="9"/>
      <c r="H75" s="10"/>
      <c r="I75" s="9"/>
      <c r="J75" s="9"/>
    </row>
    <row x14ac:dyDescent="0.25" r="76" customHeight="1" ht="17.25">
      <c r="A76" s="11" t="s">
        <v>9038</v>
      </c>
      <c r="B76" s="11"/>
      <c r="C76" s="11"/>
      <c r="D76" s="11"/>
      <c r="E76" s="12"/>
      <c r="F76" s="11"/>
      <c r="G76" s="11"/>
      <c r="H76" s="13"/>
      <c r="I76" s="11"/>
      <c r="J76" s="11"/>
    </row>
    <row x14ac:dyDescent="0.25" r="77" customHeight="1" ht="17.25">
      <c r="A77" s="14" t="s">
        <v>3</v>
      </c>
      <c r="B77" s="14" t="s">
        <v>4</v>
      </c>
      <c r="C77" s="14" t="s">
        <v>5</v>
      </c>
      <c r="D77" s="14" t="s">
        <v>6</v>
      </c>
      <c r="E77" s="15" t="s">
        <v>7</v>
      </c>
      <c r="F77" s="14" t="s">
        <v>8</v>
      </c>
      <c r="G77" s="14" t="s">
        <v>9</v>
      </c>
      <c r="H77" s="16" t="s">
        <v>10</v>
      </c>
      <c r="I77" s="14" t="s">
        <v>11</v>
      </c>
      <c r="J77" s="14" t="s">
        <v>12</v>
      </c>
    </row>
    <row x14ac:dyDescent="0.25" r="78" customHeight="1" ht="17.25">
      <c r="A78" s="17" t="s">
        <v>9039</v>
      </c>
      <c r="B78" s="17" t="s">
        <v>151</v>
      </c>
      <c r="C78" s="17" t="s">
        <v>152</v>
      </c>
      <c r="D78" s="17" t="s">
        <v>16</v>
      </c>
      <c r="E78" s="18">
        <f>ROUND(11369*1.05,2)</f>
      </c>
      <c r="F78" s="17" t="s">
        <v>17</v>
      </c>
      <c r="G78" s="17" t="s">
        <v>18</v>
      </c>
      <c r="H78" s="18">
        <f>ROUND(RAND()*4+6,1)</f>
      </c>
      <c r="I78" s="17" t="s">
        <v>19</v>
      </c>
      <c r="J78" s="19">
        <f>ROUND(98*1,0)&amp;"%"</f>
      </c>
    </row>
    <row x14ac:dyDescent="0.25" r="79" customHeight="1" ht="17.25">
      <c r="A79" s="20" t="s">
        <v>9040</v>
      </c>
      <c r="B79" s="20" t="s">
        <v>154</v>
      </c>
      <c r="C79" s="20" t="s">
        <v>152</v>
      </c>
      <c r="D79" s="20" t="s">
        <v>22</v>
      </c>
      <c r="E79" s="21">
        <f>ROUND(11842*1.05,2)</f>
      </c>
      <c r="F79" s="20" t="s">
        <v>23</v>
      </c>
      <c r="G79" s="20" t="s">
        <v>24</v>
      </c>
      <c r="H79" s="21">
        <f>ROUND(RAND()*4+6,1)</f>
      </c>
      <c r="I79" s="20" t="s">
        <v>25</v>
      </c>
      <c r="J79" s="23">
        <f>ROUND(60*1,0)&amp;"%"</f>
      </c>
    </row>
    <row x14ac:dyDescent="0.25" r="80" customHeight="1" ht="17.25">
      <c r="A80" s="17" t="s">
        <v>9041</v>
      </c>
      <c r="B80" s="17" t="s">
        <v>156</v>
      </c>
      <c r="C80" s="17" t="s">
        <v>152</v>
      </c>
      <c r="D80" s="17" t="s">
        <v>28</v>
      </c>
      <c r="E80" s="18">
        <f>ROUND(14856*1.05,2)</f>
      </c>
      <c r="F80" s="17" t="s">
        <v>29</v>
      </c>
      <c r="G80" s="17" t="s">
        <v>30</v>
      </c>
      <c r="H80" s="18">
        <f>ROUND(RAND()*4+6,1)</f>
      </c>
      <c r="I80" s="17" t="s">
        <v>31</v>
      </c>
      <c r="J80" s="19">
        <f>ROUND(82*1,0)&amp;"%"</f>
      </c>
    </row>
    <row x14ac:dyDescent="0.25" r="81" customHeight="1" ht="17.25">
      <c r="A81" s="20" t="s">
        <v>9042</v>
      </c>
      <c r="B81" s="20" t="s">
        <v>158</v>
      </c>
      <c r="C81" s="20" t="s">
        <v>152</v>
      </c>
      <c r="D81" s="20" t="s">
        <v>34</v>
      </c>
      <c r="E81" s="21">
        <f>ROUND(14679*1.05,2)</f>
      </c>
      <c r="F81" s="20" t="s">
        <v>35</v>
      </c>
      <c r="G81" s="20" t="s">
        <v>18</v>
      </c>
      <c r="H81" s="21">
        <f>ROUND(RAND()*4+6,1)</f>
      </c>
      <c r="I81" s="20" t="s">
        <v>36</v>
      </c>
      <c r="J81" s="23">
        <f>ROUND(98*1,0)&amp;"%"</f>
      </c>
    </row>
    <row x14ac:dyDescent="0.25" r="82" customHeight="1" ht="17.25">
      <c r="A82" s="17" t="s">
        <v>9043</v>
      </c>
      <c r="B82" s="17" t="s">
        <v>160</v>
      </c>
      <c r="C82" s="17" t="s">
        <v>152</v>
      </c>
      <c r="D82" s="17" t="s">
        <v>39</v>
      </c>
      <c r="E82" s="18">
        <f>ROUND(12918*1.05,2)</f>
      </c>
      <c r="F82" s="17" t="s">
        <v>40</v>
      </c>
      <c r="G82" s="17" t="s">
        <v>24</v>
      </c>
      <c r="H82" s="18">
        <f>ROUND(RAND()*4+6,1)</f>
      </c>
      <c r="I82" s="17" t="s">
        <v>41</v>
      </c>
      <c r="J82" s="19">
        <f>ROUND(81*1,0)&amp;"%"</f>
      </c>
    </row>
    <row x14ac:dyDescent="0.25" r="83" customHeight="1" ht="17.25">
      <c r="A83" s="20" t="s">
        <v>9044</v>
      </c>
      <c r="B83" s="20" t="s">
        <v>162</v>
      </c>
      <c r="C83" s="20" t="s">
        <v>152</v>
      </c>
      <c r="D83" s="20" t="s">
        <v>67</v>
      </c>
      <c r="E83" s="21">
        <f>ROUND(11419*1.05,2)</f>
      </c>
      <c r="F83" s="20" t="s">
        <v>44</v>
      </c>
      <c r="G83" s="20" t="s">
        <v>30</v>
      </c>
      <c r="H83" s="21">
        <f>ROUND(RAND()*4+6,1)</f>
      </c>
      <c r="I83" s="20" t="s">
        <v>45</v>
      </c>
      <c r="J83" s="23">
        <f>ROUND(74*1,0)&amp;"%"</f>
      </c>
    </row>
    <row x14ac:dyDescent="0.25" r="84" customHeight="1" ht="17.25">
      <c r="A84" s="17" t="s">
        <v>9045</v>
      </c>
      <c r="B84" s="17" t="s">
        <v>164</v>
      </c>
      <c r="C84" s="17" t="s">
        <v>152</v>
      </c>
      <c r="D84" s="17" t="s">
        <v>16</v>
      </c>
      <c r="E84" s="18">
        <f>ROUND(11443*1.05,2)</f>
      </c>
      <c r="F84" s="17" t="s">
        <v>48</v>
      </c>
      <c r="G84" s="17" t="s">
        <v>18</v>
      </c>
      <c r="H84" s="26">
        <f>ROUND(RAND()*4+6,1)</f>
      </c>
      <c r="I84" s="17" t="s">
        <v>19</v>
      </c>
      <c r="J84" s="19">
        <f>ROUND(79*1,0)&amp;"%"</f>
      </c>
    </row>
    <row x14ac:dyDescent="0.25" r="85" customHeight="1" ht="17.25">
      <c r="A85" s="20" t="s">
        <v>9046</v>
      </c>
      <c r="B85" s="20" t="s">
        <v>166</v>
      </c>
      <c r="C85" s="20" t="s">
        <v>152</v>
      </c>
      <c r="D85" s="20" t="s">
        <v>22</v>
      </c>
      <c r="E85" s="21">
        <f>ROUND(11372*1.05,2)</f>
      </c>
      <c r="F85" s="20" t="s">
        <v>51</v>
      </c>
      <c r="G85" s="20" t="s">
        <v>24</v>
      </c>
      <c r="H85" s="21">
        <f>ROUND(RAND()*4+6,1)</f>
      </c>
      <c r="I85" s="20" t="s">
        <v>25</v>
      </c>
      <c r="J85" s="23">
        <f>ROUND(80*1,0)&amp;"%"</f>
      </c>
    </row>
    <row x14ac:dyDescent="0.25" r="86" customHeight="1" ht="17.25">
      <c r="A86" s="24" t="s">
        <v>167</v>
      </c>
      <c r="B86" s="24"/>
      <c r="C86" s="24"/>
      <c r="D86" s="24"/>
      <c r="E86" s="25">
        <v>8</v>
      </c>
      <c r="F86" s="9"/>
      <c r="G86" s="9"/>
      <c r="H86" s="10"/>
      <c r="I86" s="9"/>
      <c r="J86" s="9"/>
    </row>
    <row x14ac:dyDescent="0.25" r="87" customHeight="1" ht="17.25">
      <c r="A87" s="7"/>
      <c r="B87" s="7"/>
      <c r="C87" s="7"/>
      <c r="D87" s="7"/>
      <c r="E87" s="8"/>
      <c r="F87" s="9"/>
      <c r="G87" s="9"/>
      <c r="H87" s="10"/>
      <c r="I87" s="9"/>
      <c r="J87" s="9"/>
    </row>
    <row x14ac:dyDescent="0.25" r="88" customHeight="1" ht="17.25">
      <c r="A88" s="11" t="s">
        <v>9047</v>
      </c>
      <c r="B88" s="11"/>
      <c r="C88" s="11"/>
      <c r="D88" s="11"/>
      <c r="E88" s="12"/>
      <c r="F88" s="11"/>
      <c r="G88" s="11"/>
      <c r="H88" s="13"/>
      <c r="I88" s="11"/>
      <c r="J88" s="11"/>
    </row>
    <row x14ac:dyDescent="0.25" r="89" customHeight="1" ht="17.25">
      <c r="A89" s="14" t="s">
        <v>3</v>
      </c>
      <c r="B89" s="14" t="s">
        <v>4</v>
      </c>
      <c r="C89" s="14" t="s">
        <v>5</v>
      </c>
      <c r="D89" s="14" t="s">
        <v>6</v>
      </c>
      <c r="E89" s="15" t="s">
        <v>7</v>
      </c>
      <c r="F89" s="14" t="s">
        <v>8</v>
      </c>
      <c r="G89" s="14" t="s">
        <v>9</v>
      </c>
      <c r="H89" s="16" t="s">
        <v>10</v>
      </c>
      <c r="I89" s="14" t="s">
        <v>11</v>
      </c>
      <c r="J89" s="14" t="s">
        <v>12</v>
      </c>
    </row>
    <row x14ac:dyDescent="0.25" r="90" customHeight="1" ht="17.25">
      <c r="A90" s="17" t="s">
        <v>9048</v>
      </c>
      <c r="B90" s="17" t="s">
        <v>170</v>
      </c>
      <c r="C90" s="17" t="s">
        <v>15</v>
      </c>
      <c r="D90" s="17" t="s">
        <v>16</v>
      </c>
      <c r="E90" s="18">
        <f>ROUND(15051*1.05,2)</f>
      </c>
      <c r="F90" s="17" t="s">
        <v>17</v>
      </c>
      <c r="G90" s="17" t="s">
        <v>18</v>
      </c>
      <c r="H90" s="18">
        <f>ROUND(RAND()*4+6,1)</f>
      </c>
      <c r="I90" s="17" t="s">
        <v>19</v>
      </c>
      <c r="J90" s="19">
        <f>ROUND(78*1,0)&amp;"%"</f>
      </c>
    </row>
    <row x14ac:dyDescent="0.25" r="91" customHeight="1" ht="17.25">
      <c r="A91" s="20" t="s">
        <v>9049</v>
      </c>
      <c r="B91" s="20" t="s">
        <v>172</v>
      </c>
      <c r="C91" s="20" t="s">
        <v>15</v>
      </c>
      <c r="D91" s="20" t="s">
        <v>22</v>
      </c>
      <c r="E91" s="21">
        <f>ROUND(8525*1.05,2)</f>
      </c>
      <c r="F91" s="20" t="s">
        <v>23</v>
      </c>
      <c r="G91" s="20" t="s">
        <v>24</v>
      </c>
      <c r="H91" s="21">
        <f>ROUND(RAND()*4+6,1)</f>
      </c>
      <c r="I91" s="20" t="s">
        <v>25</v>
      </c>
      <c r="J91" s="23">
        <f>ROUND(78*1,0)&amp;"%"</f>
      </c>
    </row>
    <row x14ac:dyDescent="0.25" r="92" customHeight="1" ht="17.25">
      <c r="A92" s="17" t="s">
        <v>9050</v>
      </c>
      <c r="B92" s="17" t="s">
        <v>174</v>
      </c>
      <c r="C92" s="17" t="s">
        <v>15</v>
      </c>
      <c r="D92" s="17" t="s">
        <v>28</v>
      </c>
      <c r="E92" s="18">
        <f>ROUND(16929*1.05,2)</f>
      </c>
      <c r="F92" s="17" t="s">
        <v>29</v>
      </c>
      <c r="G92" s="17" t="s">
        <v>30</v>
      </c>
      <c r="H92" s="18">
        <f>ROUND(RAND()*4+6,1)</f>
      </c>
      <c r="I92" s="17" t="s">
        <v>31</v>
      </c>
      <c r="J92" s="19">
        <f>ROUND(65*1,0)&amp;"%"</f>
      </c>
    </row>
    <row x14ac:dyDescent="0.25" r="93" customHeight="1" ht="17.25">
      <c r="A93" s="20" t="s">
        <v>9051</v>
      </c>
      <c r="B93" s="20" t="s">
        <v>176</v>
      </c>
      <c r="C93" s="20" t="s">
        <v>15</v>
      </c>
      <c r="D93" s="20" t="s">
        <v>34</v>
      </c>
      <c r="E93" s="21">
        <f>ROUND(12328*1.05,2)</f>
      </c>
      <c r="F93" s="20" t="s">
        <v>35</v>
      </c>
      <c r="G93" s="20" t="s">
        <v>18</v>
      </c>
      <c r="H93" s="22">
        <f>ROUND(RAND()*4+6,1)</f>
      </c>
      <c r="I93" s="20" t="s">
        <v>36</v>
      </c>
      <c r="J93" s="23">
        <f>ROUND(79*1,0)&amp;"%"</f>
      </c>
    </row>
    <row x14ac:dyDescent="0.25" r="94" customHeight="1" ht="17.25">
      <c r="A94" s="17" t="s">
        <v>9052</v>
      </c>
      <c r="B94" s="17" t="s">
        <v>178</v>
      </c>
      <c r="C94" s="17" t="s">
        <v>15</v>
      </c>
      <c r="D94" s="17" t="s">
        <v>39</v>
      </c>
      <c r="E94" s="18">
        <f>ROUND(6688*1.05,2)</f>
      </c>
      <c r="F94" s="17" t="s">
        <v>40</v>
      </c>
      <c r="G94" s="17" t="s">
        <v>24</v>
      </c>
      <c r="H94" s="18">
        <f>ROUND(RAND()*4+6,1)</f>
      </c>
      <c r="I94" s="17" t="s">
        <v>41</v>
      </c>
      <c r="J94" s="19">
        <f>ROUND(62*1,0)&amp;"%"</f>
      </c>
    </row>
    <row x14ac:dyDescent="0.25" r="95" customHeight="1" ht="17.25">
      <c r="A95" s="20" t="s">
        <v>9053</v>
      </c>
      <c r="B95" s="20" t="s">
        <v>180</v>
      </c>
      <c r="C95" s="20" t="s">
        <v>15</v>
      </c>
      <c r="D95" s="20" t="s">
        <v>67</v>
      </c>
      <c r="E95" s="21">
        <f>ROUND(12731*1.05,2)</f>
      </c>
      <c r="F95" s="20" t="s">
        <v>44</v>
      </c>
      <c r="G95" s="20" t="s">
        <v>30</v>
      </c>
      <c r="H95" s="21">
        <f>ROUND(RAND()*4+6,1)</f>
      </c>
      <c r="I95" s="20" t="s">
        <v>45</v>
      </c>
      <c r="J95" s="23">
        <f>ROUND(74*1,0)&amp;"%"</f>
      </c>
    </row>
    <row x14ac:dyDescent="0.25" r="96" customHeight="1" ht="17.25">
      <c r="A96" s="17" t="s">
        <v>9054</v>
      </c>
      <c r="B96" s="17" t="s">
        <v>182</v>
      </c>
      <c r="C96" s="17" t="s">
        <v>15</v>
      </c>
      <c r="D96" s="17" t="s">
        <v>16</v>
      </c>
      <c r="E96" s="18">
        <f>ROUND(6646*1.05,2)</f>
      </c>
      <c r="F96" s="17" t="s">
        <v>48</v>
      </c>
      <c r="G96" s="17" t="s">
        <v>18</v>
      </c>
      <c r="H96" s="18">
        <f>ROUND(RAND()*4+6,1)</f>
      </c>
      <c r="I96" s="17" t="s">
        <v>19</v>
      </c>
      <c r="J96" s="19">
        <f>ROUND(87*1,0)&amp;"%"</f>
      </c>
    </row>
    <row x14ac:dyDescent="0.25" r="97" customHeight="1" ht="17.25">
      <c r="A97" s="20" t="s">
        <v>9055</v>
      </c>
      <c r="B97" s="20" t="s">
        <v>184</v>
      </c>
      <c r="C97" s="20" t="s">
        <v>15</v>
      </c>
      <c r="D97" s="20" t="s">
        <v>22</v>
      </c>
      <c r="E97" s="21">
        <f>ROUND(13278*1.05,2)</f>
      </c>
      <c r="F97" s="20" t="s">
        <v>51</v>
      </c>
      <c r="G97" s="20" t="s">
        <v>24</v>
      </c>
      <c r="H97" s="22">
        <f>ROUND(RAND()*4+6,1)</f>
      </c>
      <c r="I97" s="20" t="s">
        <v>25</v>
      </c>
      <c r="J97" s="23">
        <f>ROUND(94*1,0)&amp;"%"</f>
      </c>
    </row>
    <row x14ac:dyDescent="0.25" r="98" customHeight="1" ht="17.25">
      <c r="A98" s="24" t="s">
        <v>185</v>
      </c>
      <c r="B98" s="24"/>
      <c r="C98" s="24"/>
      <c r="D98" s="24"/>
      <c r="E98" s="25">
        <v>8</v>
      </c>
      <c r="F98" s="9"/>
      <c r="G98" s="9"/>
      <c r="H98" s="10"/>
      <c r="I98" s="9"/>
      <c r="J98" s="9"/>
    </row>
    <row x14ac:dyDescent="0.25" r="99" customHeight="1" ht="17.25">
      <c r="A99" s="7"/>
      <c r="B99" s="7"/>
      <c r="C99" s="7"/>
      <c r="D99" s="7"/>
      <c r="E99" s="8"/>
      <c r="F99" s="9"/>
      <c r="G99" s="9"/>
      <c r="H99" s="10"/>
      <c r="I99" s="9"/>
      <c r="J99" s="9"/>
    </row>
    <row x14ac:dyDescent="0.25" r="100" customHeight="1" ht="17.25">
      <c r="A100" s="11" t="s">
        <v>9056</v>
      </c>
      <c r="B100" s="11"/>
      <c r="C100" s="11"/>
      <c r="D100" s="11"/>
      <c r="E100" s="12"/>
      <c r="F100" s="11"/>
      <c r="G100" s="11"/>
      <c r="H100" s="13"/>
      <c r="I100" s="11"/>
      <c r="J100" s="11"/>
    </row>
    <row x14ac:dyDescent="0.25" r="101" customHeight="1" ht="17.25">
      <c r="A101" s="14" t="s">
        <v>3</v>
      </c>
      <c r="B101" s="14" t="s">
        <v>4</v>
      </c>
      <c r="C101" s="14" t="s">
        <v>5</v>
      </c>
      <c r="D101" s="14" t="s">
        <v>6</v>
      </c>
      <c r="E101" s="15" t="s">
        <v>7</v>
      </c>
      <c r="F101" s="14" t="s">
        <v>8</v>
      </c>
      <c r="G101" s="14" t="s">
        <v>9</v>
      </c>
      <c r="H101" s="16" t="s">
        <v>10</v>
      </c>
      <c r="I101" s="14" t="s">
        <v>11</v>
      </c>
      <c r="J101" s="14" t="s">
        <v>12</v>
      </c>
    </row>
    <row x14ac:dyDescent="0.25" r="102" customHeight="1" ht="17.25">
      <c r="A102" s="17" t="s">
        <v>9057</v>
      </c>
      <c r="B102" s="17" t="s">
        <v>188</v>
      </c>
      <c r="C102" s="17" t="s">
        <v>56</v>
      </c>
      <c r="D102" s="17" t="s">
        <v>16</v>
      </c>
      <c r="E102" s="18">
        <f>ROUND(15075*1.05,2)</f>
      </c>
      <c r="F102" s="17" t="s">
        <v>17</v>
      </c>
      <c r="G102" s="17" t="s">
        <v>18</v>
      </c>
      <c r="H102" s="18">
        <f>ROUND(RAND()*4+6,1)</f>
      </c>
      <c r="I102" s="17" t="s">
        <v>19</v>
      </c>
      <c r="J102" s="19">
        <f>ROUND(88*1,0)&amp;"%"</f>
      </c>
    </row>
    <row x14ac:dyDescent="0.25" r="103" customHeight="1" ht="17.25">
      <c r="A103" s="20" t="s">
        <v>9058</v>
      </c>
      <c r="B103" s="20" t="s">
        <v>190</v>
      </c>
      <c r="C103" s="20" t="s">
        <v>56</v>
      </c>
      <c r="D103" s="20" t="s">
        <v>22</v>
      </c>
      <c r="E103" s="21">
        <f>ROUND(13336*1.05,2)</f>
      </c>
      <c r="F103" s="20" t="s">
        <v>23</v>
      </c>
      <c r="G103" s="20" t="s">
        <v>24</v>
      </c>
      <c r="H103" s="21">
        <f>ROUND(RAND()*4+6,1)</f>
      </c>
      <c r="I103" s="20" t="s">
        <v>25</v>
      </c>
      <c r="J103" s="23">
        <f>ROUND(92*1,0)&amp;"%"</f>
      </c>
    </row>
    <row x14ac:dyDescent="0.25" r="104" customHeight="1" ht="17.25">
      <c r="A104" s="17" t="s">
        <v>9059</v>
      </c>
      <c r="B104" s="17" t="s">
        <v>192</v>
      </c>
      <c r="C104" s="17" t="s">
        <v>56</v>
      </c>
      <c r="D104" s="17" t="s">
        <v>28</v>
      </c>
      <c r="E104" s="18">
        <f>ROUND(7588*1.05,2)</f>
      </c>
      <c r="F104" s="17" t="s">
        <v>29</v>
      </c>
      <c r="G104" s="17" t="s">
        <v>30</v>
      </c>
      <c r="H104" s="18">
        <f>ROUND(RAND()*4+6,1)</f>
      </c>
      <c r="I104" s="17" t="s">
        <v>31</v>
      </c>
      <c r="J104" s="19">
        <f>ROUND(65*1,0)&amp;"%"</f>
      </c>
    </row>
    <row x14ac:dyDescent="0.25" r="105" customHeight="1" ht="17.25">
      <c r="A105" s="20" t="s">
        <v>9060</v>
      </c>
      <c r="B105" s="20" t="s">
        <v>194</v>
      </c>
      <c r="C105" s="20" t="s">
        <v>56</v>
      </c>
      <c r="D105" s="20" t="s">
        <v>34</v>
      </c>
      <c r="E105" s="21">
        <f>ROUND(12512*1.05,2)</f>
      </c>
      <c r="F105" s="20" t="s">
        <v>35</v>
      </c>
      <c r="G105" s="20" t="s">
        <v>18</v>
      </c>
      <c r="H105" s="21">
        <f>ROUND(RAND()*4+6,1)</f>
      </c>
      <c r="I105" s="20" t="s">
        <v>36</v>
      </c>
      <c r="J105" s="23">
        <f>ROUND(91*1,0)&amp;"%"</f>
      </c>
    </row>
    <row x14ac:dyDescent="0.25" r="106" customHeight="1" ht="17.25">
      <c r="A106" s="17" t="s">
        <v>9061</v>
      </c>
      <c r="B106" s="17" t="s">
        <v>196</v>
      </c>
      <c r="C106" s="17" t="s">
        <v>56</v>
      </c>
      <c r="D106" s="17" t="s">
        <v>39</v>
      </c>
      <c r="E106" s="18">
        <f>ROUND(9976*1.05,2)</f>
      </c>
      <c r="F106" s="17" t="s">
        <v>40</v>
      </c>
      <c r="G106" s="17" t="s">
        <v>24</v>
      </c>
      <c r="H106" s="18">
        <f>ROUND(RAND()*4+6,1)</f>
      </c>
      <c r="I106" s="17" t="s">
        <v>41</v>
      </c>
      <c r="J106" s="19">
        <f>ROUND(77*1,0)&amp;"%"</f>
      </c>
    </row>
    <row x14ac:dyDescent="0.25" r="107" customHeight="1" ht="17.25">
      <c r="A107" s="20" t="s">
        <v>9062</v>
      </c>
      <c r="B107" s="20" t="s">
        <v>198</v>
      </c>
      <c r="C107" s="20" t="s">
        <v>56</v>
      </c>
      <c r="D107" s="20" t="s">
        <v>67</v>
      </c>
      <c r="E107" s="21">
        <f>ROUND(14172*1.05,2)</f>
      </c>
      <c r="F107" s="20" t="s">
        <v>44</v>
      </c>
      <c r="G107" s="20" t="s">
        <v>30</v>
      </c>
      <c r="H107" s="21">
        <f>ROUND(RAND()*4+6,1)</f>
      </c>
      <c r="I107" s="20" t="s">
        <v>45</v>
      </c>
      <c r="J107" s="23">
        <f>ROUND(93*1,0)&amp;"%"</f>
      </c>
    </row>
    <row x14ac:dyDescent="0.25" r="108" customHeight="1" ht="17.25">
      <c r="A108" s="17" t="s">
        <v>9063</v>
      </c>
      <c r="B108" s="17" t="s">
        <v>200</v>
      </c>
      <c r="C108" s="17" t="s">
        <v>56</v>
      </c>
      <c r="D108" s="17" t="s">
        <v>16</v>
      </c>
      <c r="E108" s="18">
        <f>ROUND(16264*1.05,2)</f>
      </c>
      <c r="F108" s="17" t="s">
        <v>48</v>
      </c>
      <c r="G108" s="17" t="s">
        <v>18</v>
      </c>
      <c r="H108" s="18">
        <f>ROUND(RAND()*4+6,1)</f>
      </c>
      <c r="I108" s="17" t="s">
        <v>19</v>
      </c>
      <c r="J108" s="19">
        <f>ROUND(69*1,0)&amp;"%"</f>
      </c>
    </row>
    <row x14ac:dyDescent="0.25" r="109" customHeight="1" ht="17.25">
      <c r="A109" s="20" t="s">
        <v>9064</v>
      </c>
      <c r="B109" s="20" t="s">
        <v>202</v>
      </c>
      <c r="C109" s="20" t="s">
        <v>56</v>
      </c>
      <c r="D109" s="20" t="s">
        <v>22</v>
      </c>
      <c r="E109" s="21">
        <f>ROUND(16405*1.05,2)</f>
      </c>
      <c r="F109" s="20" t="s">
        <v>51</v>
      </c>
      <c r="G109" s="20" t="s">
        <v>24</v>
      </c>
      <c r="H109" s="21">
        <f>ROUND(RAND()*4+6,1)</f>
      </c>
      <c r="I109" s="20" t="s">
        <v>25</v>
      </c>
      <c r="J109" s="23">
        <f>ROUND(75*1,0)&amp;"%"</f>
      </c>
    </row>
    <row x14ac:dyDescent="0.25" r="110" customHeight="1" ht="17.25">
      <c r="A110" s="24" t="s">
        <v>203</v>
      </c>
      <c r="B110" s="24"/>
      <c r="C110" s="24"/>
      <c r="D110" s="24"/>
      <c r="E110" s="25">
        <v>8</v>
      </c>
      <c r="F110" s="9"/>
      <c r="G110" s="9"/>
      <c r="H110" s="10"/>
      <c r="I110" s="9"/>
      <c r="J110" s="9"/>
    </row>
    <row x14ac:dyDescent="0.25" r="111" customHeight="1" ht="17.25">
      <c r="A111" s="7"/>
      <c r="B111" s="7"/>
      <c r="C111" s="7"/>
      <c r="D111" s="7"/>
      <c r="E111" s="8"/>
      <c r="F111" s="9"/>
      <c r="G111" s="9"/>
      <c r="H111" s="10"/>
      <c r="I111" s="9"/>
      <c r="J111" s="9"/>
    </row>
    <row x14ac:dyDescent="0.25" r="112" customHeight="1" ht="17.25">
      <c r="A112" s="11" t="s">
        <v>9065</v>
      </c>
      <c r="B112" s="11"/>
      <c r="C112" s="11"/>
      <c r="D112" s="11"/>
      <c r="E112" s="12"/>
      <c r="F112" s="11"/>
      <c r="G112" s="11"/>
      <c r="H112" s="13"/>
      <c r="I112" s="11"/>
      <c r="J112" s="11"/>
    </row>
    <row x14ac:dyDescent="0.25" r="113" customHeight="1" ht="17.25">
      <c r="A113" s="14" t="s">
        <v>3</v>
      </c>
      <c r="B113" s="14" t="s">
        <v>4</v>
      </c>
      <c r="C113" s="14" t="s">
        <v>5</v>
      </c>
      <c r="D113" s="14" t="s">
        <v>6</v>
      </c>
      <c r="E113" s="15" t="s">
        <v>7</v>
      </c>
      <c r="F113" s="14" t="s">
        <v>8</v>
      </c>
      <c r="G113" s="14" t="s">
        <v>9</v>
      </c>
      <c r="H113" s="16" t="s">
        <v>10</v>
      </c>
      <c r="I113" s="14" t="s">
        <v>11</v>
      </c>
      <c r="J113" s="14" t="s">
        <v>12</v>
      </c>
    </row>
    <row x14ac:dyDescent="0.25" r="114" customHeight="1" ht="17.25">
      <c r="A114" s="17" t="s">
        <v>9066</v>
      </c>
      <c r="B114" s="17" t="s">
        <v>206</v>
      </c>
      <c r="C114" s="17" t="s">
        <v>76</v>
      </c>
      <c r="D114" s="17" t="s">
        <v>16</v>
      </c>
      <c r="E114" s="18">
        <f>ROUND(13681*1.05,2)</f>
      </c>
      <c r="F114" s="17" t="s">
        <v>17</v>
      </c>
      <c r="G114" s="17" t="s">
        <v>18</v>
      </c>
      <c r="H114" s="18">
        <f>ROUND(RAND()*4+6,1)</f>
      </c>
      <c r="I114" s="17" t="s">
        <v>19</v>
      </c>
      <c r="J114" s="19">
        <f>ROUND(77*1,0)&amp;"%"</f>
      </c>
    </row>
    <row x14ac:dyDescent="0.25" r="115" customHeight="1" ht="17.25">
      <c r="A115" s="20" t="s">
        <v>9067</v>
      </c>
      <c r="B115" s="20" t="s">
        <v>208</v>
      </c>
      <c r="C115" s="20" t="s">
        <v>76</v>
      </c>
      <c r="D115" s="20" t="s">
        <v>22</v>
      </c>
      <c r="E115" s="21">
        <f>ROUND(15494*1.05,2)</f>
      </c>
      <c r="F115" s="20" t="s">
        <v>23</v>
      </c>
      <c r="G115" s="20" t="s">
        <v>24</v>
      </c>
      <c r="H115" s="21">
        <f>ROUND(RAND()*4+6,1)</f>
      </c>
      <c r="I115" s="20" t="s">
        <v>25</v>
      </c>
      <c r="J115" s="23">
        <f>ROUND(77*1,0)&amp;"%"</f>
      </c>
    </row>
    <row x14ac:dyDescent="0.25" r="116" customHeight="1" ht="17.25">
      <c r="A116" s="17" t="s">
        <v>9068</v>
      </c>
      <c r="B116" s="17" t="s">
        <v>210</v>
      </c>
      <c r="C116" s="17" t="s">
        <v>76</v>
      </c>
      <c r="D116" s="17" t="s">
        <v>28</v>
      </c>
      <c r="E116" s="18">
        <f>ROUND(9393*1.05,2)</f>
      </c>
      <c r="F116" s="17" t="s">
        <v>29</v>
      </c>
      <c r="G116" s="17" t="s">
        <v>30</v>
      </c>
      <c r="H116" s="18">
        <f>ROUND(RAND()*4+6,1)</f>
      </c>
      <c r="I116" s="17" t="s">
        <v>31</v>
      </c>
      <c r="J116" s="19">
        <f>ROUND(75*1,0)&amp;"%"</f>
      </c>
    </row>
    <row x14ac:dyDescent="0.25" r="117" customHeight="1" ht="17.25">
      <c r="A117" s="20" t="s">
        <v>9069</v>
      </c>
      <c r="B117" s="20" t="s">
        <v>212</v>
      </c>
      <c r="C117" s="20" t="s">
        <v>76</v>
      </c>
      <c r="D117" s="20" t="s">
        <v>34</v>
      </c>
      <c r="E117" s="21">
        <f>ROUND(16206*1.05,2)</f>
      </c>
      <c r="F117" s="20" t="s">
        <v>35</v>
      </c>
      <c r="G117" s="20" t="s">
        <v>18</v>
      </c>
      <c r="H117" s="21">
        <f>ROUND(RAND()*4+6,1)</f>
      </c>
      <c r="I117" s="20" t="s">
        <v>36</v>
      </c>
      <c r="J117" s="23">
        <f>ROUND(80*1,0)&amp;"%"</f>
      </c>
    </row>
    <row x14ac:dyDescent="0.25" r="118" customHeight="1" ht="17.25">
      <c r="A118" s="17" t="s">
        <v>9070</v>
      </c>
      <c r="B118" s="17" t="s">
        <v>214</v>
      </c>
      <c r="C118" s="17" t="s">
        <v>76</v>
      </c>
      <c r="D118" s="17" t="s">
        <v>39</v>
      </c>
      <c r="E118" s="18">
        <f>ROUND(10034*1.05,2)</f>
      </c>
      <c r="F118" s="17" t="s">
        <v>40</v>
      </c>
      <c r="G118" s="17" t="s">
        <v>24</v>
      </c>
      <c r="H118" s="18">
        <f>ROUND(RAND()*4+6,1)</f>
      </c>
      <c r="I118" s="17" t="s">
        <v>41</v>
      </c>
      <c r="J118" s="19">
        <f>ROUND(81*1,0)&amp;"%"</f>
      </c>
    </row>
    <row x14ac:dyDescent="0.25" r="119" customHeight="1" ht="17.25">
      <c r="A119" s="20" t="s">
        <v>9071</v>
      </c>
      <c r="B119" s="20" t="s">
        <v>216</v>
      </c>
      <c r="C119" s="20" t="s">
        <v>76</v>
      </c>
      <c r="D119" s="20" t="s">
        <v>67</v>
      </c>
      <c r="E119" s="21">
        <f>ROUND(10128*1.05,2)</f>
      </c>
      <c r="F119" s="20" t="s">
        <v>44</v>
      </c>
      <c r="G119" s="20" t="s">
        <v>30</v>
      </c>
      <c r="H119" s="21">
        <f>ROUND(RAND()*4+6,1)</f>
      </c>
      <c r="I119" s="20" t="s">
        <v>45</v>
      </c>
      <c r="J119" s="23">
        <f>ROUND(99*1,0)&amp;"%"</f>
      </c>
    </row>
    <row x14ac:dyDescent="0.25" r="120" customHeight="1" ht="17.25">
      <c r="A120" s="17" t="s">
        <v>9072</v>
      </c>
      <c r="B120" s="17" t="s">
        <v>218</v>
      </c>
      <c r="C120" s="17" t="s">
        <v>76</v>
      </c>
      <c r="D120" s="17" t="s">
        <v>16</v>
      </c>
      <c r="E120" s="18">
        <f>ROUND(7126*1.05,2)</f>
      </c>
      <c r="F120" s="17" t="s">
        <v>48</v>
      </c>
      <c r="G120" s="17" t="s">
        <v>18</v>
      </c>
      <c r="H120" s="18">
        <f>ROUND(RAND()*4+6,1)</f>
      </c>
      <c r="I120" s="17" t="s">
        <v>19</v>
      </c>
      <c r="J120" s="19">
        <f>ROUND(83*1,0)&amp;"%"</f>
      </c>
    </row>
    <row x14ac:dyDescent="0.25" r="121" customHeight="1" ht="17.25">
      <c r="A121" s="20" t="s">
        <v>9073</v>
      </c>
      <c r="B121" s="20" t="s">
        <v>220</v>
      </c>
      <c r="C121" s="20" t="s">
        <v>76</v>
      </c>
      <c r="D121" s="20" t="s">
        <v>22</v>
      </c>
      <c r="E121" s="21">
        <f>ROUND(16250*1.05,2)</f>
      </c>
      <c r="F121" s="20" t="s">
        <v>51</v>
      </c>
      <c r="G121" s="20" t="s">
        <v>24</v>
      </c>
      <c r="H121" s="21">
        <f>ROUND(RAND()*4+6,1)</f>
      </c>
      <c r="I121" s="20" t="s">
        <v>25</v>
      </c>
      <c r="J121" s="23">
        <f>ROUND(87*1,0)&amp;"%"</f>
      </c>
    </row>
    <row x14ac:dyDescent="0.25" r="122" customHeight="1" ht="17.25">
      <c r="A122" s="24" t="s">
        <v>221</v>
      </c>
      <c r="B122" s="24"/>
      <c r="C122" s="24"/>
      <c r="D122" s="24"/>
      <c r="E122" s="25">
        <v>8</v>
      </c>
      <c r="F122" s="9"/>
      <c r="G122" s="9"/>
      <c r="H122" s="10"/>
      <c r="I122" s="9"/>
      <c r="J122" s="9"/>
    </row>
    <row x14ac:dyDescent="0.25" r="123" customHeight="1" ht="17.25">
      <c r="A123" s="7"/>
      <c r="B123" s="7"/>
      <c r="C123" s="7"/>
      <c r="D123" s="7"/>
      <c r="E123" s="8"/>
      <c r="F123" s="9"/>
      <c r="G123" s="9"/>
      <c r="H123" s="10"/>
      <c r="I123" s="9"/>
      <c r="J123" s="9"/>
    </row>
    <row x14ac:dyDescent="0.25" r="124" customHeight="1" ht="17.25">
      <c r="A124" s="11" t="s">
        <v>9074</v>
      </c>
      <c r="B124" s="11"/>
      <c r="C124" s="11"/>
      <c r="D124" s="11"/>
      <c r="E124" s="12"/>
      <c r="F124" s="11"/>
      <c r="G124" s="11"/>
      <c r="H124" s="13"/>
      <c r="I124" s="11"/>
      <c r="J124" s="11"/>
    </row>
    <row x14ac:dyDescent="0.25" r="125" customHeight="1" ht="17.25">
      <c r="A125" s="14" t="s">
        <v>3</v>
      </c>
      <c r="B125" s="14" t="s">
        <v>4</v>
      </c>
      <c r="C125" s="14" t="s">
        <v>5</v>
      </c>
      <c r="D125" s="14" t="s">
        <v>6</v>
      </c>
      <c r="E125" s="15" t="s">
        <v>7</v>
      </c>
      <c r="F125" s="14" t="s">
        <v>8</v>
      </c>
      <c r="G125" s="14" t="s">
        <v>9</v>
      </c>
      <c r="H125" s="16" t="s">
        <v>10</v>
      </c>
      <c r="I125" s="14" t="s">
        <v>11</v>
      </c>
      <c r="J125" s="14" t="s">
        <v>12</v>
      </c>
    </row>
    <row x14ac:dyDescent="0.25" r="126" customHeight="1" ht="17.25">
      <c r="A126" s="17" t="s">
        <v>9075</v>
      </c>
      <c r="B126" s="17" t="s">
        <v>224</v>
      </c>
      <c r="C126" s="17" t="s">
        <v>95</v>
      </c>
      <c r="D126" s="17" t="s">
        <v>16</v>
      </c>
      <c r="E126" s="18">
        <f>ROUND(5875*1.05,2)</f>
      </c>
      <c r="F126" s="17" t="s">
        <v>17</v>
      </c>
      <c r="G126" s="17" t="s">
        <v>18</v>
      </c>
      <c r="H126" s="18">
        <f>ROUND(RAND()*4+6,1)</f>
      </c>
      <c r="I126" s="17" t="s">
        <v>19</v>
      </c>
      <c r="J126" s="19">
        <f>ROUND(64*1,0)&amp;"%"</f>
      </c>
    </row>
    <row x14ac:dyDescent="0.25" r="127" customHeight="1" ht="17.25">
      <c r="A127" s="20" t="s">
        <v>9076</v>
      </c>
      <c r="B127" s="20" t="s">
        <v>226</v>
      </c>
      <c r="C127" s="20" t="s">
        <v>95</v>
      </c>
      <c r="D127" s="20" t="s">
        <v>22</v>
      </c>
      <c r="E127" s="21">
        <f>ROUND(13574*1.05,2)</f>
      </c>
      <c r="F127" s="20" t="s">
        <v>23</v>
      </c>
      <c r="G127" s="20" t="s">
        <v>24</v>
      </c>
      <c r="H127" s="21">
        <f>ROUND(RAND()*4+6,1)</f>
      </c>
      <c r="I127" s="20" t="s">
        <v>25</v>
      </c>
      <c r="J127" s="23">
        <f>ROUND(67*1,0)&amp;"%"</f>
      </c>
    </row>
    <row x14ac:dyDescent="0.25" r="128" customHeight="1" ht="17.25">
      <c r="A128" s="17" t="s">
        <v>9077</v>
      </c>
      <c r="B128" s="17" t="s">
        <v>228</v>
      </c>
      <c r="C128" s="17" t="s">
        <v>95</v>
      </c>
      <c r="D128" s="17" t="s">
        <v>28</v>
      </c>
      <c r="E128" s="18">
        <f>ROUND(12568*1.05,2)</f>
      </c>
      <c r="F128" s="17" t="s">
        <v>29</v>
      </c>
      <c r="G128" s="17" t="s">
        <v>30</v>
      </c>
      <c r="H128" s="18">
        <f>ROUND(RAND()*4+6,1)</f>
      </c>
      <c r="I128" s="17" t="s">
        <v>31</v>
      </c>
      <c r="J128" s="19">
        <f>ROUND(87*1,0)&amp;"%"</f>
      </c>
    </row>
    <row x14ac:dyDescent="0.25" r="129" customHeight="1" ht="17.25">
      <c r="A129" s="20" t="s">
        <v>9078</v>
      </c>
      <c r="B129" s="20" t="s">
        <v>230</v>
      </c>
      <c r="C129" s="20" t="s">
        <v>95</v>
      </c>
      <c r="D129" s="20" t="s">
        <v>34</v>
      </c>
      <c r="E129" s="21">
        <f>ROUND(10454*1.05,2)</f>
      </c>
      <c r="F129" s="20" t="s">
        <v>35</v>
      </c>
      <c r="G129" s="20" t="s">
        <v>18</v>
      </c>
      <c r="H129" s="21">
        <f>ROUND(RAND()*4+6,1)</f>
      </c>
      <c r="I129" s="20" t="s">
        <v>36</v>
      </c>
      <c r="J129" s="23">
        <f>ROUND(100*1,0)&amp;"%"</f>
      </c>
    </row>
    <row x14ac:dyDescent="0.25" r="130" customHeight="1" ht="17.25">
      <c r="A130" s="17" t="s">
        <v>9079</v>
      </c>
      <c r="B130" s="17" t="s">
        <v>232</v>
      </c>
      <c r="C130" s="17" t="s">
        <v>95</v>
      </c>
      <c r="D130" s="17" t="s">
        <v>39</v>
      </c>
      <c r="E130" s="18">
        <f>ROUND(5875*1.05,2)</f>
      </c>
      <c r="F130" s="17" t="s">
        <v>40</v>
      </c>
      <c r="G130" s="17" t="s">
        <v>24</v>
      </c>
      <c r="H130" s="18">
        <f>ROUND(RAND()*4+6,1)</f>
      </c>
      <c r="I130" s="17" t="s">
        <v>41</v>
      </c>
      <c r="J130" s="19">
        <f>ROUND(87*1,0)&amp;"%"</f>
      </c>
    </row>
    <row x14ac:dyDescent="0.25" r="131" customHeight="1" ht="17.25">
      <c r="A131" s="20" t="s">
        <v>9080</v>
      </c>
      <c r="B131" s="20" t="s">
        <v>234</v>
      </c>
      <c r="C131" s="20" t="s">
        <v>95</v>
      </c>
      <c r="D131" s="20" t="s">
        <v>67</v>
      </c>
      <c r="E131" s="21">
        <f>ROUND(4862*1.05,2)</f>
      </c>
      <c r="F131" s="20" t="s">
        <v>44</v>
      </c>
      <c r="G131" s="20" t="s">
        <v>30</v>
      </c>
      <c r="H131" s="21">
        <f>ROUND(RAND()*4+6,1)</f>
      </c>
      <c r="I131" s="20" t="s">
        <v>45</v>
      </c>
      <c r="J131" s="23">
        <f>ROUND(64*1,0)&amp;"%"</f>
      </c>
    </row>
    <row x14ac:dyDescent="0.25" r="132" customHeight="1" ht="17.25">
      <c r="A132" s="17" t="s">
        <v>9081</v>
      </c>
      <c r="B132" s="17" t="s">
        <v>236</v>
      </c>
      <c r="C132" s="17" t="s">
        <v>95</v>
      </c>
      <c r="D132" s="17" t="s">
        <v>16</v>
      </c>
      <c r="E132" s="18">
        <f>ROUND(9241*1.05,2)</f>
      </c>
      <c r="F132" s="17" t="s">
        <v>48</v>
      </c>
      <c r="G132" s="17" t="s">
        <v>18</v>
      </c>
      <c r="H132" s="18">
        <f>ROUND(RAND()*4+6,1)</f>
      </c>
      <c r="I132" s="17" t="s">
        <v>19</v>
      </c>
      <c r="J132" s="19">
        <f>ROUND(69*1,0)&amp;"%"</f>
      </c>
    </row>
    <row x14ac:dyDescent="0.25" r="133" customHeight="1" ht="17.25">
      <c r="A133" s="20" t="s">
        <v>9082</v>
      </c>
      <c r="B133" s="20" t="s">
        <v>238</v>
      </c>
      <c r="C133" s="20" t="s">
        <v>95</v>
      </c>
      <c r="D133" s="20" t="s">
        <v>22</v>
      </c>
      <c r="E133" s="21">
        <f>ROUND(9870*1.05,2)</f>
      </c>
      <c r="F133" s="20" t="s">
        <v>51</v>
      </c>
      <c r="G133" s="20" t="s">
        <v>24</v>
      </c>
      <c r="H133" s="21">
        <f>ROUND(RAND()*4+6,1)</f>
      </c>
      <c r="I133" s="20" t="s">
        <v>25</v>
      </c>
      <c r="J133" s="23">
        <f>ROUND(77*1,0)&amp;"%"</f>
      </c>
    </row>
    <row x14ac:dyDescent="0.25" r="134" customHeight="1" ht="17.25">
      <c r="A134" s="24" t="s">
        <v>239</v>
      </c>
      <c r="B134" s="24"/>
      <c r="C134" s="24"/>
      <c r="D134" s="24"/>
      <c r="E134" s="25">
        <v>8</v>
      </c>
      <c r="F134" s="9"/>
      <c r="G134" s="9"/>
      <c r="H134" s="10"/>
      <c r="I134" s="9"/>
      <c r="J134" s="9"/>
    </row>
    <row x14ac:dyDescent="0.25" r="135" customHeight="1" ht="17.25">
      <c r="A135" s="7"/>
      <c r="B135" s="7"/>
      <c r="C135" s="7"/>
      <c r="D135" s="7"/>
      <c r="E135" s="8"/>
      <c r="F135" s="9"/>
      <c r="G135" s="9"/>
      <c r="H135" s="10"/>
      <c r="I135" s="9"/>
      <c r="J135" s="9"/>
    </row>
    <row x14ac:dyDescent="0.25" r="136" customHeight="1" ht="17.25">
      <c r="A136" s="11" t="s">
        <v>9083</v>
      </c>
      <c r="B136" s="11"/>
      <c r="C136" s="11"/>
      <c r="D136" s="11"/>
      <c r="E136" s="12"/>
      <c r="F136" s="11"/>
      <c r="G136" s="11"/>
      <c r="H136" s="13"/>
      <c r="I136" s="11"/>
      <c r="J136" s="11"/>
    </row>
    <row x14ac:dyDescent="0.25" r="137" customHeight="1" ht="17.25">
      <c r="A137" s="14" t="s">
        <v>3</v>
      </c>
      <c r="B137" s="14" t="s">
        <v>4</v>
      </c>
      <c r="C137" s="14" t="s">
        <v>5</v>
      </c>
      <c r="D137" s="14" t="s">
        <v>6</v>
      </c>
      <c r="E137" s="15" t="s">
        <v>7</v>
      </c>
      <c r="F137" s="14" t="s">
        <v>8</v>
      </c>
      <c r="G137" s="14" t="s">
        <v>9</v>
      </c>
      <c r="H137" s="16" t="s">
        <v>10</v>
      </c>
      <c r="I137" s="14" t="s">
        <v>11</v>
      </c>
      <c r="J137" s="14" t="s">
        <v>12</v>
      </c>
    </row>
    <row x14ac:dyDescent="0.25" r="138" customHeight="1" ht="17.25">
      <c r="A138" s="17" t="s">
        <v>9084</v>
      </c>
      <c r="B138" s="17" t="s">
        <v>242</v>
      </c>
      <c r="C138" s="17" t="s">
        <v>114</v>
      </c>
      <c r="D138" s="17" t="s">
        <v>16</v>
      </c>
      <c r="E138" s="18">
        <f>ROUND(7623*1.05,2)</f>
      </c>
      <c r="F138" s="17" t="s">
        <v>17</v>
      </c>
      <c r="G138" s="17" t="s">
        <v>18</v>
      </c>
      <c r="H138" s="18">
        <f>ROUND(RAND()*4+6,1)</f>
      </c>
      <c r="I138" s="17" t="s">
        <v>19</v>
      </c>
      <c r="J138" s="19">
        <f>ROUND(87*1,0)&amp;"%"</f>
      </c>
    </row>
    <row x14ac:dyDescent="0.25" r="139" customHeight="1" ht="17.25">
      <c r="A139" s="20" t="s">
        <v>9085</v>
      </c>
      <c r="B139" s="20" t="s">
        <v>244</v>
      </c>
      <c r="C139" s="20" t="s">
        <v>114</v>
      </c>
      <c r="D139" s="20" t="s">
        <v>22</v>
      </c>
      <c r="E139" s="21">
        <f>ROUND(17988*1.05,2)</f>
      </c>
      <c r="F139" s="20" t="s">
        <v>23</v>
      </c>
      <c r="G139" s="20" t="s">
        <v>24</v>
      </c>
      <c r="H139" s="21">
        <f>ROUND(RAND()*4+6,1)</f>
      </c>
      <c r="I139" s="20" t="s">
        <v>25</v>
      </c>
      <c r="J139" s="23">
        <f>ROUND(62*1,0)&amp;"%"</f>
      </c>
    </row>
    <row x14ac:dyDescent="0.25" r="140" customHeight="1" ht="17.25">
      <c r="A140" s="17" t="s">
        <v>9086</v>
      </c>
      <c r="B140" s="17" t="s">
        <v>246</v>
      </c>
      <c r="C140" s="17" t="s">
        <v>114</v>
      </c>
      <c r="D140" s="17" t="s">
        <v>28</v>
      </c>
      <c r="E140" s="18">
        <f>ROUND(9585*1.05,2)</f>
      </c>
      <c r="F140" s="17" t="s">
        <v>29</v>
      </c>
      <c r="G140" s="17" t="s">
        <v>30</v>
      </c>
      <c r="H140" s="18">
        <f>ROUND(RAND()*4+6,1)</f>
      </c>
      <c r="I140" s="17" t="s">
        <v>31</v>
      </c>
      <c r="J140" s="19">
        <f>ROUND(63*1,0)&amp;"%"</f>
      </c>
    </row>
    <row x14ac:dyDescent="0.25" r="141" customHeight="1" ht="17.25">
      <c r="A141" s="20" t="s">
        <v>9087</v>
      </c>
      <c r="B141" s="20" t="s">
        <v>248</v>
      </c>
      <c r="C141" s="20" t="s">
        <v>114</v>
      </c>
      <c r="D141" s="20" t="s">
        <v>34</v>
      </c>
      <c r="E141" s="21">
        <f>ROUND(16071*1.05,2)</f>
      </c>
      <c r="F141" s="20" t="s">
        <v>35</v>
      </c>
      <c r="G141" s="20" t="s">
        <v>18</v>
      </c>
      <c r="H141" s="21">
        <f>ROUND(RAND()*4+6,1)</f>
      </c>
      <c r="I141" s="20" t="s">
        <v>36</v>
      </c>
      <c r="J141" s="23">
        <f>ROUND(80*1,0)&amp;"%"</f>
      </c>
    </row>
    <row x14ac:dyDescent="0.25" r="142" customHeight="1" ht="17.25">
      <c r="A142" s="17" t="s">
        <v>9088</v>
      </c>
      <c r="B142" s="17" t="s">
        <v>250</v>
      </c>
      <c r="C142" s="17" t="s">
        <v>114</v>
      </c>
      <c r="D142" s="17" t="s">
        <v>39</v>
      </c>
      <c r="E142" s="18">
        <f>ROUND(9695*1.05,2)</f>
      </c>
      <c r="F142" s="17" t="s">
        <v>40</v>
      </c>
      <c r="G142" s="17" t="s">
        <v>24</v>
      </c>
      <c r="H142" s="18">
        <f>ROUND(RAND()*4+6,1)</f>
      </c>
      <c r="I142" s="17" t="s">
        <v>41</v>
      </c>
      <c r="J142" s="19">
        <f>ROUND(67*1,0)&amp;"%"</f>
      </c>
    </row>
    <row x14ac:dyDescent="0.25" r="143" customHeight="1" ht="17.25">
      <c r="A143" s="20" t="s">
        <v>9089</v>
      </c>
      <c r="B143" s="20" t="s">
        <v>252</v>
      </c>
      <c r="C143" s="20" t="s">
        <v>114</v>
      </c>
      <c r="D143" s="20" t="s">
        <v>67</v>
      </c>
      <c r="E143" s="21">
        <f>ROUND(7298*1.05,2)</f>
      </c>
      <c r="F143" s="20" t="s">
        <v>44</v>
      </c>
      <c r="G143" s="20" t="s">
        <v>30</v>
      </c>
      <c r="H143" s="22">
        <f>ROUND(RAND()*4+6,1)</f>
      </c>
      <c r="I143" s="20" t="s">
        <v>45</v>
      </c>
      <c r="J143" s="23">
        <f>ROUND(66*1,0)&amp;"%"</f>
      </c>
    </row>
    <row x14ac:dyDescent="0.25" r="144" customHeight="1" ht="17.25">
      <c r="A144" s="17" t="s">
        <v>9090</v>
      </c>
      <c r="B144" s="17" t="s">
        <v>254</v>
      </c>
      <c r="C144" s="17" t="s">
        <v>114</v>
      </c>
      <c r="D144" s="17" t="s">
        <v>16</v>
      </c>
      <c r="E144" s="18">
        <f>ROUND(11954*1.05,2)</f>
      </c>
      <c r="F144" s="17" t="s">
        <v>48</v>
      </c>
      <c r="G144" s="17" t="s">
        <v>18</v>
      </c>
      <c r="H144" s="18">
        <f>ROUND(RAND()*4+6,1)</f>
      </c>
      <c r="I144" s="17" t="s">
        <v>19</v>
      </c>
      <c r="J144" s="19">
        <f>ROUND(85*1,0)&amp;"%"</f>
      </c>
    </row>
    <row x14ac:dyDescent="0.25" r="145" customHeight="1" ht="17.25">
      <c r="A145" s="20" t="s">
        <v>9091</v>
      </c>
      <c r="B145" s="20" t="s">
        <v>256</v>
      </c>
      <c r="C145" s="20" t="s">
        <v>114</v>
      </c>
      <c r="D145" s="20" t="s">
        <v>22</v>
      </c>
      <c r="E145" s="21">
        <f>ROUND(7188*1.05,2)</f>
      </c>
      <c r="F145" s="20" t="s">
        <v>51</v>
      </c>
      <c r="G145" s="20" t="s">
        <v>24</v>
      </c>
      <c r="H145" s="22">
        <f>ROUND(RAND()*4+6,1)</f>
      </c>
      <c r="I145" s="20" t="s">
        <v>25</v>
      </c>
      <c r="J145" s="23">
        <f>ROUND(91*1,0)&amp;"%"</f>
      </c>
    </row>
    <row x14ac:dyDescent="0.25" r="146" customHeight="1" ht="17.25">
      <c r="A146" s="24" t="s">
        <v>257</v>
      </c>
      <c r="B146" s="24"/>
      <c r="C146" s="24"/>
      <c r="D146" s="24"/>
      <c r="E146" s="25">
        <v>8</v>
      </c>
      <c r="F146" s="9"/>
      <c r="G146" s="9"/>
      <c r="H146" s="10"/>
      <c r="I146" s="9"/>
      <c r="J146" s="9"/>
    </row>
    <row x14ac:dyDescent="0.25" r="147" customHeight="1" ht="17.25">
      <c r="A147" s="7"/>
      <c r="B147" s="7"/>
      <c r="C147" s="7"/>
      <c r="D147" s="7"/>
      <c r="E147" s="8"/>
      <c r="F147" s="9"/>
      <c r="G147" s="9"/>
      <c r="H147" s="10"/>
      <c r="I147" s="9"/>
      <c r="J147" s="9"/>
    </row>
    <row x14ac:dyDescent="0.25" r="148" customHeight="1" ht="17.25">
      <c r="A148" s="11" t="s">
        <v>9092</v>
      </c>
      <c r="B148" s="11"/>
      <c r="C148" s="11"/>
      <c r="D148" s="11"/>
      <c r="E148" s="12"/>
      <c r="F148" s="11"/>
      <c r="G148" s="11"/>
      <c r="H148" s="13"/>
      <c r="I148" s="11"/>
      <c r="J148" s="11"/>
    </row>
    <row x14ac:dyDescent="0.25" r="149" customHeight="1" ht="17.25">
      <c r="A149" s="14" t="s">
        <v>3</v>
      </c>
      <c r="B149" s="14" t="s">
        <v>4</v>
      </c>
      <c r="C149" s="14" t="s">
        <v>5</v>
      </c>
      <c r="D149" s="14" t="s">
        <v>6</v>
      </c>
      <c r="E149" s="15" t="s">
        <v>7</v>
      </c>
      <c r="F149" s="14" t="s">
        <v>8</v>
      </c>
      <c r="G149" s="14" t="s">
        <v>9</v>
      </c>
      <c r="H149" s="16" t="s">
        <v>10</v>
      </c>
      <c r="I149" s="14" t="s">
        <v>11</v>
      </c>
      <c r="J149" s="14" t="s">
        <v>12</v>
      </c>
    </row>
    <row x14ac:dyDescent="0.25" r="150" customHeight="1" ht="17.25">
      <c r="A150" s="17" t="s">
        <v>9093</v>
      </c>
      <c r="B150" s="17" t="s">
        <v>260</v>
      </c>
      <c r="C150" s="17" t="s">
        <v>133</v>
      </c>
      <c r="D150" s="17" t="s">
        <v>16</v>
      </c>
      <c r="E150" s="18">
        <f>ROUND(8682*1.05,2)</f>
      </c>
      <c r="F150" s="17" t="s">
        <v>17</v>
      </c>
      <c r="G150" s="17" t="s">
        <v>18</v>
      </c>
      <c r="H150" s="18">
        <f>ROUND(RAND()*4+6,1)</f>
      </c>
      <c r="I150" s="17" t="s">
        <v>19</v>
      </c>
      <c r="J150" s="19">
        <f>ROUND(91*1,0)&amp;"%"</f>
      </c>
    </row>
    <row x14ac:dyDescent="0.25" r="151" customHeight="1" ht="17.25">
      <c r="A151" s="20" t="s">
        <v>9094</v>
      </c>
      <c r="B151" s="20" t="s">
        <v>262</v>
      </c>
      <c r="C151" s="20" t="s">
        <v>133</v>
      </c>
      <c r="D151" s="20" t="s">
        <v>22</v>
      </c>
      <c r="E151" s="21">
        <f>ROUND(12589*1.05,2)</f>
      </c>
      <c r="F151" s="20" t="s">
        <v>23</v>
      </c>
      <c r="G151" s="20" t="s">
        <v>24</v>
      </c>
      <c r="H151" s="22">
        <f>ROUND(RAND()*4+6,1)</f>
      </c>
      <c r="I151" s="20" t="s">
        <v>25</v>
      </c>
      <c r="J151" s="23">
        <f>ROUND(95*1,0)&amp;"%"</f>
      </c>
    </row>
    <row x14ac:dyDescent="0.25" r="152" customHeight="1" ht="17.25">
      <c r="A152" s="17" t="s">
        <v>9095</v>
      </c>
      <c r="B152" s="17" t="s">
        <v>264</v>
      </c>
      <c r="C152" s="17" t="s">
        <v>133</v>
      </c>
      <c r="D152" s="17" t="s">
        <v>28</v>
      </c>
      <c r="E152" s="18">
        <f>ROUND(4707*1.05,2)</f>
      </c>
      <c r="F152" s="17" t="s">
        <v>29</v>
      </c>
      <c r="G152" s="17" t="s">
        <v>30</v>
      </c>
      <c r="H152" s="18">
        <f>ROUND(RAND()*4+6,1)</f>
      </c>
      <c r="I152" s="17" t="s">
        <v>31</v>
      </c>
      <c r="J152" s="19">
        <f>ROUND(93*1,0)&amp;"%"</f>
      </c>
    </row>
    <row x14ac:dyDescent="0.25" r="153" customHeight="1" ht="17.25">
      <c r="A153" s="20" t="s">
        <v>9096</v>
      </c>
      <c r="B153" s="20" t="s">
        <v>266</v>
      </c>
      <c r="C153" s="20" t="s">
        <v>133</v>
      </c>
      <c r="D153" s="20" t="s">
        <v>34</v>
      </c>
      <c r="E153" s="21">
        <f>ROUND(13192*1.05,2)</f>
      </c>
      <c r="F153" s="20" t="s">
        <v>35</v>
      </c>
      <c r="G153" s="20" t="s">
        <v>18</v>
      </c>
      <c r="H153" s="21">
        <f>ROUND(RAND()*4+6,1)</f>
      </c>
      <c r="I153" s="20" t="s">
        <v>36</v>
      </c>
      <c r="J153" s="23">
        <f>ROUND(61*1,0)&amp;"%"</f>
      </c>
    </row>
    <row x14ac:dyDescent="0.25" r="154" customHeight="1" ht="17.25">
      <c r="A154" s="17" t="s">
        <v>9097</v>
      </c>
      <c r="B154" s="17" t="s">
        <v>268</v>
      </c>
      <c r="C154" s="17" t="s">
        <v>133</v>
      </c>
      <c r="D154" s="17" t="s">
        <v>39</v>
      </c>
      <c r="E154" s="18">
        <f>ROUND(13706*1.05,2)</f>
      </c>
      <c r="F154" s="17" t="s">
        <v>40</v>
      </c>
      <c r="G154" s="17" t="s">
        <v>24</v>
      </c>
      <c r="H154" s="18">
        <f>ROUND(RAND()*4+6,1)</f>
      </c>
      <c r="I154" s="17" t="s">
        <v>41</v>
      </c>
      <c r="J154" s="19">
        <f>ROUND(60*1,0)&amp;"%"</f>
      </c>
    </row>
    <row x14ac:dyDescent="0.25" r="155" customHeight="1" ht="17.25">
      <c r="A155" s="20" t="s">
        <v>9098</v>
      </c>
      <c r="B155" s="20" t="s">
        <v>270</v>
      </c>
      <c r="C155" s="20" t="s">
        <v>133</v>
      </c>
      <c r="D155" s="20" t="s">
        <v>67</v>
      </c>
      <c r="E155" s="21">
        <f>ROUND(6781*1.05,2)</f>
      </c>
      <c r="F155" s="20" t="s">
        <v>44</v>
      </c>
      <c r="G155" s="20" t="s">
        <v>30</v>
      </c>
      <c r="H155" s="21">
        <f>ROUND(RAND()*4+6,1)</f>
      </c>
      <c r="I155" s="20" t="s">
        <v>45</v>
      </c>
      <c r="J155" s="23">
        <f>ROUND(78*1,0)&amp;"%"</f>
      </c>
    </row>
    <row x14ac:dyDescent="0.25" r="156" customHeight="1" ht="17.25">
      <c r="A156" s="17" t="s">
        <v>9099</v>
      </c>
      <c r="B156" s="17" t="s">
        <v>272</v>
      </c>
      <c r="C156" s="17" t="s">
        <v>133</v>
      </c>
      <c r="D156" s="17" t="s">
        <v>16</v>
      </c>
      <c r="E156" s="18">
        <f>ROUND(14828*1.05,2)</f>
      </c>
      <c r="F156" s="17" t="s">
        <v>48</v>
      </c>
      <c r="G156" s="17" t="s">
        <v>18</v>
      </c>
      <c r="H156" s="18">
        <f>ROUND(RAND()*4+6,1)</f>
      </c>
      <c r="I156" s="17" t="s">
        <v>19</v>
      </c>
      <c r="J156" s="19">
        <f>ROUND(100*1,0)&amp;"%"</f>
      </c>
    </row>
    <row x14ac:dyDescent="0.25" r="157" customHeight="1" ht="17.25">
      <c r="A157" s="20" t="s">
        <v>9100</v>
      </c>
      <c r="B157" s="20" t="s">
        <v>274</v>
      </c>
      <c r="C157" s="20" t="s">
        <v>133</v>
      </c>
      <c r="D157" s="20" t="s">
        <v>22</v>
      </c>
      <c r="E157" s="21">
        <f>ROUND(5127*1.05,2)</f>
      </c>
      <c r="F157" s="20" t="s">
        <v>51</v>
      </c>
      <c r="G157" s="20" t="s">
        <v>24</v>
      </c>
      <c r="H157" s="21">
        <f>ROUND(RAND()*4+6,1)</f>
      </c>
      <c r="I157" s="20" t="s">
        <v>25</v>
      </c>
      <c r="J157" s="23">
        <f>ROUND(69*1,0)&amp;"%"</f>
      </c>
    </row>
    <row x14ac:dyDescent="0.25" r="158" customHeight="1" ht="17.25">
      <c r="A158" s="24" t="s">
        <v>275</v>
      </c>
      <c r="B158" s="24"/>
      <c r="C158" s="24"/>
      <c r="D158" s="24"/>
      <c r="E158" s="25">
        <v>8</v>
      </c>
      <c r="F158" s="9"/>
      <c r="G158" s="9"/>
      <c r="H158" s="10"/>
      <c r="I158" s="9"/>
      <c r="J158" s="9"/>
    </row>
    <row x14ac:dyDescent="0.25" r="159" customHeight="1" ht="17.25">
      <c r="A159" s="7"/>
      <c r="B159" s="7"/>
      <c r="C159" s="7"/>
      <c r="D159" s="7"/>
      <c r="E159" s="8"/>
      <c r="F159" s="9"/>
      <c r="G159" s="9"/>
      <c r="H159" s="10"/>
      <c r="I159" s="9"/>
      <c r="J159" s="9"/>
    </row>
    <row x14ac:dyDescent="0.25" r="160" customHeight="1" ht="17.25">
      <c r="A160" s="11" t="s">
        <v>9101</v>
      </c>
      <c r="B160" s="11"/>
      <c r="C160" s="11"/>
      <c r="D160" s="11"/>
      <c r="E160" s="12"/>
      <c r="F160" s="11"/>
      <c r="G160" s="11"/>
      <c r="H160" s="13"/>
      <c r="I160" s="11"/>
      <c r="J160" s="11"/>
    </row>
    <row x14ac:dyDescent="0.25" r="161" customHeight="1" ht="17.25">
      <c r="A161" s="14" t="s">
        <v>3</v>
      </c>
      <c r="B161" s="14" t="s">
        <v>4</v>
      </c>
      <c r="C161" s="14" t="s">
        <v>5</v>
      </c>
      <c r="D161" s="14" t="s">
        <v>6</v>
      </c>
      <c r="E161" s="15" t="s">
        <v>7</v>
      </c>
      <c r="F161" s="14" t="s">
        <v>8</v>
      </c>
      <c r="G161" s="14" t="s">
        <v>9</v>
      </c>
      <c r="H161" s="16" t="s">
        <v>10</v>
      </c>
      <c r="I161" s="14" t="s">
        <v>11</v>
      </c>
      <c r="J161" s="14" t="s">
        <v>12</v>
      </c>
    </row>
    <row x14ac:dyDescent="0.25" r="162" customHeight="1" ht="17.25">
      <c r="A162" s="17" t="s">
        <v>9102</v>
      </c>
      <c r="B162" s="17" t="s">
        <v>278</v>
      </c>
      <c r="C162" s="17" t="s">
        <v>152</v>
      </c>
      <c r="D162" s="17" t="s">
        <v>16</v>
      </c>
      <c r="E162" s="18">
        <f>ROUND(4372*1.05,2)</f>
      </c>
      <c r="F162" s="17" t="s">
        <v>17</v>
      </c>
      <c r="G162" s="17" t="s">
        <v>18</v>
      </c>
      <c r="H162" s="18">
        <f>ROUND(RAND()*4+6,1)</f>
      </c>
      <c r="I162" s="17" t="s">
        <v>19</v>
      </c>
      <c r="J162" s="19">
        <f>ROUND(78*1,0)&amp;"%"</f>
      </c>
    </row>
    <row x14ac:dyDescent="0.25" r="163" customHeight="1" ht="17.25">
      <c r="A163" s="20" t="s">
        <v>9103</v>
      </c>
      <c r="B163" s="20" t="s">
        <v>280</v>
      </c>
      <c r="C163" s="20" t="s">
        <v>152</v>
      </c>
      <c r="D163" s="20" t="s">
        <v>22</v>
      </c>
      <c r="E163" s="21">
        <f>ROUND(10501*1.05,2)</f>
      </c>
      <c r="F163" s="20" t="s">
        <v>23</v>
      </c>
      <c r="G163" s="20" t="s">
        <v>24</v>
      </c>
      <c r="H163" s="21">
        <f>ROUND(RAND()*4+6,1)</f>
      </c>
      <c r="I163" s="20" t="s">
        <v>25</v>
      </c>
      <c r="J163" s="23">
        <f>ROUND(86*1,0)&amp;"%"</f>
      </c>
    </row>
    <row x14ac:dyDescent="0.25" r="164" customHeight="1" ht="17.25">
      <c r="A164" s="17" t="s">
        <v>9104</v>
      </c>
      <c r="B164" s="17" t="s">
        <v>282</v>
      </c>
      <c r="C164" s="17" t="s">
        <v>152</v>
      </c>
      <c r="D164" s="17" t="s">
        <v>28</v>
      </c>
      <c r="E164" s="18">
        <f>ROUND(5774*1.05,2)</f>
      </c>
      <c r="F164" s="17" t="s">
        <v>29</v>
      </c>
      <c r="G164" s="17" t="s">
        <v>30</v>
      </c>
      <c r="H164" s="18">
        <f>ROUND(RAND()*4+6,1)</f>
      </c>
      <c r="I164" s="17" t="s">
        <v>31</v>
      </c>
      <c r="J164" s="19">
        <f>ROUND(87*1,0)&amp;"%"</f>
      </c>
    </row>
    <row x14ac:dyDescent="0.25" r="165" customHeight="1" ht="17.25">
      <c r="A165" s="20" t="s">
        <v>9105</v>
      </c>
      <c r="B165" s="20" t="s">
        <v>284</v>
      </c>
      <c r="C165" s="20" t="s">
        <v>152</v>
      </c>
      <c r="D165" s="20" t="s">
        <v>34</v>
      </c>
      <c r="E165" s="21">
        <f>ROUND(17871*1.05,2)</f>
      </c>
      <c r="F165" s="20" t="s">
        <v>35</v>
      </c>
      <c r="G165" s="20" t="s">
        <v>18</v>
      </c>
      <c r="H165" s="21">
        <f>ROUND(RAND()*4+6,1)</f>
      </c>
      <c r="I165" s="20" t="s">
        <v>36</v>
      </c>
      <c r="J165" s="23">
        <f>ROUND(87*1,0)&amp;"%"</f>
      </c>
    </row>
    <row x14ac:dyDescent="0.25" r="166" customHeight="1" ht="17.25">
      <c r="A166" s="17" t="s">
        <v>9106</v>
      </c>
      <c r="B166" s="17" t="s">
        <v>286</v>
      </c>
      <c r="C166" s="17" t="s">
        <v>152</v>
      </c>
      <c r="D166" s="17" t="s">
        <v>39</v>
      </c>
      <c r="E166" s="18">
        <f>ROUND(6555*1.05,2)</f>
      </c>
      <c r="F166" s="17" t="s">
        <v>40</v>
      </c>
      <c r="G166" s="17" t="s">
        <v>24</v>
      </c>
      <c r="H166" s="18">
        <f>ROUND(RAND()*4+6,1)</f>
      </c>
      <c r="I166" s="17" t="s">
        <v>41</v>
      </c>
      <c r="J166" s="19">
        <f>ROUND(67*1,0)&amp;"%"</f>
      </c>
    </row>
    <row x14ac:dyDescent="0.25" r="167" customHeight="1" ht="17.25">
      <c r="A167" s="20" t="s">
        <v>9107</v>
      </c>
      <c r="B167" s="20" t="s">
        <v>288</v>
      </c>
      <c r="C167" s="20" t="s">
        <v>152</v>
      </c>
      <c r="D167" s="20" t="s">
        <v>67</v>
      </c>
      <c r="E167" s="21">
        <f>ROUND(12573*1.05,2)</f>
      </c>
      <c r="F167" s="20" t="s">
        <v>44</v>
      </c>
      <c r="G167" s="20" t="s">
        <v>30</v>
      </c>
      <c r="H167" s="21">
        <f>ROUND(RAND()*4+6,1)</f>
      </c>
      <c r="I167" s="20" t="s">
        <v>45</v>
      </c>
      <c r="J167" s="23">
        <f>ROUND(97*1,0)&amp;"%"</f>
      </c>
    </row>
    <row x14ac:dyDescent="0.25" r="168" customHeight="1" ht="17.25">
      <c r="A168" s="17" t="s">
        <v>9108</v>
      </c>
      <c r="B168" s="17" t="s">
        <v>290</v>
      </c>
      <c r="C168" s="17" t="s">
        <v>152</v>
      </c>
      <c r="D168" s="17" t="s">
        <v>16</v>
      </c>
      <c r="E168" s="18">
        <f>ROUND(10916*1.05,2)</f>
      </c>
      <c r="F168" s="17" t="s">
        <v>48</v>
      </c>
      <c r="G168" s="17" t="s">
        <v>18</v>
      </c>
      <c r="H168" s="18">
        <f>ROUND(RAND()*4+6,1)</f>
      </c>
      <c r="I168" s="17" t="s">
        <v>19</v>
      </c>
      <c r="J168" s="19">
        <f>ROUND(87*1,0)&amp;"%"</f>
      </c>
    </row>
    <row x14ac:dyDescent="0.25" r="169" customHeight="1" ht="17.25">
      <c r="A169" s="20" t="s">
        <v>9109</v>
      </c>
      <c r="B169" s="20" t="s">
        <v>292</v>
      </c>
      <c r="C169" s="20" t="s">
        <v>152</v>
      </c>
      <c r="D169" s="20" t="s">
        <v>22</v>
      </c>
      <c r="E169" s="21">
        <f>ROUND(10777*1.05,2)</f>
      </c>
      <c r="F169" s="20" t="s">
        <v>51</v>
      </c>
      <c r="G169" s="20" t="s">
        <v>24</v>
      </c>
      <c r="H169" s="21">
        <f>ROUND(RAND()*4+6,1)</f>
      </c>
      <c r="I169" s="20" t="s">
        <v>25</v>
      </c>
      <c r="J169" s="23">
        <f>ROUND(92*1,0)&amp;"%"</f>
      </c>
    </row>
    <row x14ac:dyDescent="0.25" r="170" customHeight="1" ht="17.25">
      <c r="A170" s="24" t="s">
        <v>293</v>
      </c>
      <c r="B170" s="24"/>
      <c r="C170" s="24"/>
      <c r="D170" s="24"/>
      <c r="E170" s="25">
        <v>8</v>
      </c>
      <c r="F170" s="9"/>
      <c r="G170" s="9"/>
      <c r="H170" s="10"/>
      <c r="I170" s="9"/>
      <c r="J170" s="9"/>
    </row>
    <row x14ac:dyDescent="0.25" r="171" customHeight="1" ht="17.25">
      <c r="A171" s="7"/>
      <c r="B171" s="7"/>
      <c r="C171" s="7"/>
      <c r="D171" s="7"/>
      <c r="E171" s="8"/>
      <c r="F171" s="9"/>
      <c r="G171" s="9"/>
      <c r="H171" s="10"/>
      <c r="I171" s="9"/>
      <c r="J171" s="9"/>
    </row>
    <row x14ac:dyDescent="0.25" r="172" customHeight="1" ht="17.25">
      <c r="A172" s="11" t="s">
        <v>9110</v>
      </c>
      <c r="B172" s="11"/>
      <c r="C172" s="11"/>
      <c r="D172" s="11"/>
      <c r="E172" s="12"/>
      <c r="F172" s="11"/>
      <c r="G172" s="11"/>
      <c r="H172" s="13"/>
      <c r="I172" s="11"/>
      <c r="J172" s="11"/>
    </row>
    <row x14ac:dyDescent="0.25" r="173" customHeight="1" ht="17.25">
      <c r="A173" s="14" t="s">
        <v>3</v>
      </c>
      <c r="B173" s="14" t="s">
        <v>4</v>
      </c>
      <c r="C173" s="14" t="s">
        <v>5</v>
      </c>
      <c r="D173" s="14" t="s">
        <v>6</v>
      </c>
      <c r="E173" s="15" t="s">
        <v>7</v>
      </c>
      <c r="F173" s="14" t="s">
        <v>8</v>
      </c>
      <c r="G173" s="14" t="s">
        <v>9</v>
      </c>
      <c r="H173" s="16" t="s">
        <v>10</v>
      </c>
      <c r="I173" s="14" t="s">
        <v>11</v>
      </c>
      <c r="J173" s="14" t="s">
        <v>12</v>
      </c>
    </row>
    <row x14ac:dyDescent="0.25" r="174" customHeight="1" ht="17.25">
      <c r="A174" s="17" t="s">
        <v>9111</v>
      </c>
      <c r="B174" s="17" t="s">
        <v>296</v>
      </c>
      <c r="C174" s="17" t="s">
        <v>15</v>
      </c>
      <c r="D174" s="17" t="s">
        <v>16</v>
      </c>
      <c r="E174" s="18">
        <f>ROUND(5122*1.05,2)</f>
      </c>
      <c r="F174" s="17" t="s">
        <v>17</v>
      </c>
      <c r="G174" s="17" t="s">
        <v>18</v>
      </c>
      <c r="H174" s="18">
        <f>ROUND(RAND()*4+6,1)</f>
      </c>
      <c r="I174" s="17" t="s">
        <v>19</v>
      </c>
      <c r="J174" s="19">
        <f>ROUND(93*1,0)&amp;"%"</f>
      </c>
    </row>
    <row x14ac:dyDescent="0.25" r="175" customHeight="1" ht="17.25">
      <c r="A175" s="20" t="s">
        <v>9112</v>
      </c>
      <c r="B175" s="20" t="s">
        <v>298</v>
      </c>
      <c r="C175" s="20" t="s">
        <v>15</v>
      </c>
      <c r="D175" s="20" t="s">
        <v>22</v>
      </c>
      <c r="E175" s="21">
        <f>ROUND(17071*1.05,2)</f>
      </c>
      <c r="F175" s="20" t="s">
        <v>23</v>
      </c>
      <c r="G175" s="20" t="s">
        <v>24</v>
      </c>
      <c r="H175" s="21">
        <f>ROUND(RAND()*4+6,1)</f>
      </c>
      <c r="I175" s="20" t="s">
        <v>25</v>
      </c>
      <c r="J175" s="23">
        <f>ROUND(74*1,0)&amp;"%"</f>
      </c>
    </row>
    <row x14ac:dyDescent="0.25" r="176" customHeight="1" ht="17.25">
      <c r="A176" s="17" t="s">
        <v>9113</v>
      </c>
      <c r="B176" s="17" t="s">
        <v>300</v>
      </c>
      <c r="C176" s="17" t="s">
        <v>15</v>
      </c>
      <c r="D176" s="17" t="s">
        <v>28</v>
      </c>
      <c r="E176" s="18">
        <f>ROUND(8119*1.05,2)</f>
      </c>
      <c r="F176" s="17" t="s">
        <v>29</v>
      </c>
      <c r="G176" s="17" t="s">
        <v>30</v>
      </c>
      <c r="H176" s="18">
        <f>ROUND(RAND()*4+6,1)</f>
      </c>
      <c r="I176" s="17" t="s">
        <v>31</v>
      </c>
      <c r="J176" s="19">
        <f>ROUND(71*1,0)&amp;"%"</f>
      </c>
    </row>
    <row x14ac:dyDescent="0.25" r="177" customHeight="1" ht="17.25">
      <c r="A177" s="20" t="s">
        <v>9114</v>
      </c>
      <c r="B177" s="20" t="s">
        <v>302</v>
      </c>
      <c r="C177" s="20" t="s">
        <v>15</v>
      </c>
      <c r="D177" s="20" t="s">
        <v>34</v>
      </c>
      <c r="E177" s="21">
        <f>ROUND(11019*1.05,2)</f>
      </c>
      <c r="F177" s="20" t="s">
        <v>35</v>
      </c>
      <c r="G177" s="20" t="s">
        <v>18</v>
      </c>
      <c r="H177" s="22">
        <f>ROUND(RAND()*4+6,1)</f>
      </c>
      <c r="I177" s="20" t="s">
        <v>36</v>
      </c>
      <c r="J177" s="23">
        <f>ROUND(60*1,0)&amp;"%"</f>
      </c>
    </row>
    <row x14ac:dyDescent="0.25" r="178" customHeight="1" ht="17.25">
      <c r="A178" s="17" t="s">
        <v>9115</v>
      </c>
      <c r="B178" s="17" t="s">
        <v>304</v>
      </c>
      <c r="C178" s="17" t="s">
        <v>15</v>
      </c>
      <c r="D178" s="17" t="s">
        <v>39</v>
      </c>
      <c r="E178" s="18">
        <f>ROUND(7106*1.05,2)</f>
      </c>
      <c r="F178" s="17" t="s">
        <v>40</v>
      </c>
      <c r="G178" s="17" t="s">
        <v>24</v>
      </c>
      <c r="H178" s="18">
        <f>ROUND(RAND()*4+6,1)</f>
      </c>
      <c r="I178" s="17" t="s">
        <v>41</v>
      </c>
      <c r="J178" s="19">
        <f>ROUND(93*1,0)&amp;"%"</f>
      </c>
    </row>
    <row x14ac:dyDescent="0.25" r="179" customHeight="1" ht="17.25">
      <c r="A179" s="20" t="s">
        <v>9116</v>
      </c>
      <c r="B179" s="20" t="s">
        <v>306</v>
      </c>
      <c r="C179" s="20" t="s">
        <v>15</v>
      </c>
      <c r="D179" s="20" t="s">
        <v>67</v>
      </c>
      <c r="E179" s="22">
        <f>ROUND(17520*1.05,2)</f>
      </c>
      <c r="F179" s="20" t="s">
        <v>44</v>
      </c>
      <c r="G179" s="20" t="s">
        <v>30</v>
      </c>
      <c r="H179" s="21">
        <f>ROUND(RAND()*4+6,1)</f>
      </c>
      <c r="I179" s="20" t="s">
        <v>45</v>
      </c>
      <c r="J179" s="23">
        <f>ROUND(63*1,0)&amp;"%"</f>
      </c>
    </row>
    <row x14ac:dyDescent="0.25" r="180" customHeight="1" ht="17.25">
      <c r="A180" s="17" t="s">
        <v>9117</v>
      </c>
      <c r="B180" s="17" t="s">
        <v>308</v>
      </c>
      <c r="C180" s="17" t="s">
        <v>15</v>
      </c>
      <c r="D180" s="17" t="s">
        <v>16</v>
      </c>
      <c r="E180" s="26">
        <f>ROUND(12040*1.05,2)</f>
      </c>
      <c r="F180" s="17" t="s">
        <v>48</v>
      </c>
      <c r="G180" s="17" t="s">
        <v>18</v>
      </c>
      <c r="H180" s="26">
        <f>ROUND(RAND()*4+6,1)</f>
      </c>
      <c r="I180" s="17" t="s">
        <v>19</v>
      </c>
      <c r="J180" s="19">
        <f>ROUND(85*1,0)&amp;"%"</f>
      </c>
    </row>
    <row x14ac:dyDescent="0.25" r="181" customHeight="1" ht="17.25">
      <c r="A181" s="20" t="s">
        <v>9118</v>
      </c>
      <c r="B181" s="20" t="s">
        <v>310</v>
      </c>
      <c r="C181" s="20" t="s">
        <v>15</v>
      </c>
      <c r="D181" s="20" t="s">
        <v>22</v>
      </c>
      <c r="E181" s="21">
        <f>ROUND(10288*1.05,2)</f>
      </c>
      <c r="F181" s="20" t="s">
        <v>51</v>
      </c>
      <c r="G181" s="20" t="s">
        <v>24</v>
      </c>
      <c r="H181" s="21">
        <f>ROUND(RAND()*4+6,1)</f>
      </c>
      <c r="I181" s="20" t="s">
        <v>25</v>
      </c>
      <c r="J181" s="23">
        <f>ROUND(68*1,0)&amp;"%"</f>
      </c>
    </row>
    <row x14ac:dyDescent="0.25" r="182" customHeight="1" ht="17.25">
      <c r="A182" s="24" t="s">
        <v>311</v>
      </c>
      <c r="B182" s="24"/>
      <c r="C182" s="24"/>
      <c r="D182" s="24"/>
      <c r="E182" s="25">
        <v>8</v>
      </c>
      <c r="F182" s="9"/>
      <c r="G182" s="9"/>
      <c r="H182" s="10"/>
      <c r="I182" s="9"/>
      <c r="J182" s="9"/>
    </row>
    <row x14ac:dyDescent="0.25" r="183" customHeight="1" ht="17.25">
      <c r="A183" s="7"/>
      <c r="B183" s="7"/>
      <c r="C183" s="7"/>
      <c r="D183" s="7"/>
      <c r="E183" s="8"/>
      <c r="F183" s="9"/>
      <c r="G183" s="9"/>
      <c r="H183" s="10"/>
      <c r="I183" s="9"/>
      <c r="J183" s="9"/>
    </row>
    <row x14ac:dyDescent="0.25" r="184" customHeight="1" ht="17.25">
      <c r="A184" s="11" t="s">
        <v>9119</v>
      </c>
      <c r="B184" s="11"/>
      <c r="C184" s="11"/>
      <c r="D184" s="11"/>
      <c r="E184" s="12"/>
      <c r="F184" s="11"/>
      <c r="G184" s="11"/>
      <c r="H184" s="13"/>
      <c r="I184" s="11"/>
      <c r="J184" s="11"/>
    </row>
    <row x14ac:dyDescent="0.25" r="185" customHeight="1" ht="17.25">
      <c r="A185" s="14" t="s">
        <v>3</v>
      </c>
      <c r="B185" s="14" t="s">
        <v>4</v>
      </c>
      <c r="C185" s="14" t="s">
        <v>5</v>
      </c>
      <c r="D185" s="14" t="s">
        <v>6</v>
      </c>
      <c r="E185" s="15" t="s">
        <v>7</v>
      </c>
      <c r="F185" s="14" t="s">
        <v>8</v>
      </c>
      <c r="G185" s="14" t="s">
        <v>9</v>
      </c>
      <c r="H185" s="16" t="s">
        <v>10</v>
      </c>
      <c r="I185" s="14" t="s">
        <v>11</v>
      </c>
      <c r="J185" s="14" t="s">
        <v>12</v>
      </c>
    </row>
    <row x14ac:dyDescent="0.25" r="186" customHeight="1" ht="17.25">
      <c r="A186" s="17" t="s">
        <v>9120</v>
      </c>
      <c r="B186" s="17" t="s">
        <v>314</v>
      </c>
      <c r="C186" s="17" t="s">
        <v>56</v>
      </c>
      <c r="D186" s="17" t="s">
        <v>16</v>
      </c>
      <c r="E186" s="18">
        <f>ROUND(11235*1.05,2)</f>
      </c>
      <c r="F186" s="17" t="s">
        <v>17</v>
      </c>
      <c r="G186" s="17" t="s">
        <v>18</v>
      </c>
      <c r="H186" s="18">
        <f>ROUND(RAND()*4+6,1)</f>
      </c>
      <c r="I186" s="17" t="s">
        <v>19</v>
      </c>
      <c r="J186" s="19">
        <f>ROUND(66*1,0)&amp;"%"</f>
      </c>
    </row>
    <row x14ac:dyDescent="0.25" r="187" customHeight="1" ht="17.25">
      <c r="A187" s="20" t="s">
        <v>9121</v>
      </c>
      <c r="B187" s="20" t="s">
        <v>316</v>
      </c>
      <c r="C187" s="20" t="s">
        <v>56</v>
      </c>
      <c r="D187" s="20" t="s">
        <v>22</v>
      </c>
      <c r="E187" s="21">
        <f>ROUND(12719*1.05,2)</f>
      </c>
      <c r="F187" s="20" t="s">
        <v>23</v>
      </c>
      <c r="G187" s="20" t="s">
        <v>24</v>
      </c>
      <c r="H187" s="21">
        <f>ROUND(RAND()*4+6,1)</f>
      </c>
      <c r="I187" s="20" t="s">
        <v>25</v>
      </c>
      <c r="J187" s="23">
        <f>ROUND(85*1,0)&amp;"%"</f>
      </c>
    </row>
    <row x14ac:dyDescent="0.25" r="188" customHeight="1" ht="17.25">
      <c r="A188" s="17" t="s">
        <v>9122</v>
      </c>
      <c r="B188" s="17" t="s">
        <v>318</v>
      </c>
      <c r="C188" s="17" t="s">
        <v>56</v>
      </c>
      <c r="D188" s="17" t="s">
        <v>28</v>
      </c>
      <c r="E188" s="18">
        <f>ROUND(16189*1.05,2)</f>
      </c>
      <c r="F188" s="17" t="s">
        <v>29</v>
      </c>
      <c r="G188" s="17" t="s">
        <v>30</v>
      </c>
      <c r="H188" s="18">
        <f>ROUND(RAND()*4+6,1)</f>
      </c>
      <c r="I188" s="17" t="s">
        <v>31</v>
      </c>
      <c r="J188" s="19">
        <f>ROUND(82*1,0)&amp;"%"</f>
      </c>
    </row>
    <row x14ac:dyDescent="0.25" r="189" customHeight="1" ht="17.25">
      <c r="A189" s="20" t="s">
        <v>9123</v>
      </c>
      <c r="B189" s="20" t="s">
        <v>320</v>
      </c>
      <c r="C189" s="20" t="s">
        <v>56</v>
      </c>
      <c r="D189" s="20" t="s">
        <v>34</v>
      </c>
      <c r="E189" s="21">
        <f>ROUND(8671*1.05,2)</f>
      </c>
      <c r="F189" s="20" t="s">
        <v>35</v>
      </c>
      <c r="G189" s="20" t="s">
        <v>18</v>
      </c>
      <c r="H189" s="21">
        <f>ROUND(RAND()*4+6,1)</f>
      </c>
      <c r="I189" s="20" t="s">
        <v>36</v>
      </c>
      <c r="J189" s="23">
        <f>ROUND(93*1,0)&amp;"%"</f>
      </c>
    </row>
    <row x14ac:dyDescent="0.25" r="190" customHeight="1" ht="17.25">
      <c r="A190" s="17" t="s">
        <v>9124</v>
      </c>
      <c r="B190" s="17" t="s">
        <v>322</v>
      </c>
      <c r="C190" s="17" t="s">
        <v>56</v>
      </c>
      <c r="D190" s="17" t="s">
        <v>39</v>
      </c>
      <c r="E190" s="18">
        <f>ROUND(5559*1.05,2)</f>
      </c>
      <c r="F190" s="17" t="s">
        <v>40</v>
      </c>
      <c r="G190" s="17" t="s">
        <v>24</v>
      </c>
      <c r="H190" s="18">
        <f>ROUND(RAND()*4+6,1)</f>
      </c>
      <c r="I190" s="17" t="s">
        <v>41</v>
      </c>
      <c r="J190" s="19">
        <f>ROUND(92*1,0)&amp;"%"</f>
      </c>
    </row>
    <row x14ac:dyDescent="0.25" r="191" customHeight="1" ht="17.25">
      <c r="A191" s="20" t="s">
        <v>9125</v>
      </c>
      <c r="B191" s="20" t="s">
        <v>324</v>
      </c>
      <c r="C191" s="20" t="s">
        <v>56</v>
      </c>
      <c r="D191" s="20" t="s">
        <v>67</v>
      </c>
      <c r="E191" s="21">
        <f>ROUND(5426*1.05,2)</f>
      </c>
      <c r="F191" s="20" t="s">
        <v>44</v>
      </c>
      <c r="G191" s="20" t="s">
        <v>30</v>
      </c>
      <c r="H191" s="21">
        <f>ROUND(RAND()*4+6,1)</f>
      </c>
      <c r="I191" s="20" t="s">
        <v>45</v>
      </c>
      <c r="J191" s="23">
        <f>ROUND(66*1,0)&amp;"%"</f>
      </c>
    </row>
    <row x14ac:dyDescent="0.25" r="192" customHeight="1" ht="17.25">
      <c r="A192" s="17" t="s">
        <v>9126</v>
      </c>
      <c r="B192" s="17" t="s">
        <v>326</v>
      </c>
      <c r="C192" s="17" t="s">
        <v>56</v>
      </c>
      <c r="D192" s="17" t="s">
        <v>16</v>
      </c>
      <c r="E192" s="18">
        <f>ROUND(12691*1.05,2)</f>
      </c>
      <c r="F192" s="17" t="s">
        <v>48</v>
      </c>
      <c r="G192" s="17" t="s">
        <v>18</v>
      </c>
      <c r="H192" s="18">
        <f>ROUND(RAND()*4+6,1)</f>
      </c>
      <c r="I192" s="17" t="s">
        <v>19</v>
      </c>
      <c r="J192" s="19">
        <f>ROUND(90*1,0)&amp;"%"</f>
      </c>
    </row>
    <row x14ac:dyDescent="0.25" r="193" customHeight="1" ht="17.25">
      <c r="A193" s="20" t="s">
        <v>9127</v>
      </c>
      <c r="B193" s="20" t="s">
        <v>328</v>
      </c>
      <c r="C193" s="20" t="s">
        <v>56</v>
      </c>
      <c r="D193" s="20" t="s">
        <v>22</v>
      </c>
      <c r="E193" s="21">
        <f>ROUND(11031*1.05,2)</f>
      </c>
      <c r="F193" s="20" t="s">
        <v>51</v>
      </c>
      <c r="G193" s="20" t="s">
        <v>24</v>
      </c>
      <c r="H193" s="21">
        <f>ROUND(RAND()*4+6,1)</f>
      </c>
      <c r="I193" s="20" t="s">
        <v>25</v>
      </c>
      <c r="J193" s="23">
        <f>ROUND(74*1,0)&amp;"%"</f>
      </c>
    </row>
    <row x14ac:dyDescent="0.25" r="194" customHeight="1" ht="17.25">
      <c r="A194" s="24" t="s">
        <v>329</v>
      </c>
      <c r="B194" s="24"/>
      <c r="C194" s="24"/>
      <c r="D194" s="24"/>
      <c r="E194" s="25">
        <v>8</v>
      </c>
      <c r="F194" s="9"/>
      <c r="G194" s="9"/>
      <c r="H194" s="10"/>
      <c r="I194" s="9"/>
      <c r="J194" s="9"/>
    </row>
    <row x14ac:dyDescent="0.25" r="195" customHeight="1" ht="17.25">
      <c r="A195" s="7"/>
      <c r="B195" s="7"/>
      <c r="C195" s="7"/>
      <c r="D195" s="7"/>
      <c r="E195" s="8"/>
      <c r="F195" s="9"/>
      <c r="G195" s="9"/>
      <c r="H195" s="10"/>
      <c r="I195" s="9"/>
      <c r="J195" s="9"/>
    </row>
    <row x14ac:dyDescent="0.25" r="196" customHeight="1" ht="17.25">
      <c r="A196" s="11" t="s">
        <v>9128</v>
      </c>
      <c r="B196" s="11"/>
      <c r="C196" s="11"/>
      <c r="D196" s="11"/>
      <c r="E196" s="12"/>
      <c r="F196" s="11"/>
      <c r="G196" s="11"/>
      <c r="H196" s="13"/>
      <c r="I196" s="11"/>
      <c r="J196" s="11"/>
    </row>
    <row x14ac:dyDescent="0.25" r="197" customHeight="1" ht="17.25">
      <c r="A197" s="14" t="s">
        <v>3</v>
      </c>
      <c r="B197" s="14" t="s">
        <v>4</v>
      </c>
      <c r="C197" s="14" t="s">
        <v>5</v>
      </c>
      <c r="D197" s="14" t="s">
        <v>6</v>
      </c>
      <c r="E197" s="15" t="s">
        <v>7</v>
      </c>
      <c r="F197" s="14" t="s">
        <v>8</v>
      </c>
      <c r="G197" s="14" t="s">
        <v>9</v>
      </c>
      <c r="H197" s="16" t="s">
        <v>10</v>
      </c>
      <c r="I197" s="14" t="s">
        <v>11</v>
      </c>
      <c r="J197" s="14" t="s">
        <v>12</v>
      </c>
    </row>
    <row x14ac:dyDescent="0.25" r="198" customHeight="1" ht="17.25">
      <c r="A198" s="17" t="s">
        <v>9129</v>
      </c>
      <c r="B198" s="17" t="s">
        <v>332</v>
      </c>
      <c r="C198" s="17" t="s">
        <v>76</v>
      </c>
      <c r="D198" s="17" t="s">
        <v>16</v>
      </c>
      <c r="E198" s="18">
        <f>ROUND(16895*1.05,2)</f>
      </c>
      <c r="F198" s="17" t="s">
        <v>17</v>
      </c>
      <c r="G198" s="17" t="s">
        <v>18</v>
      </c>
      <c r="H198" s="18">
        <f>ROUND(RAND()*4+6,1)</f>
      </c>
      <c r="I198" s="17" t="s">
        <v>19</v>
      </c>
      <c r="J198" s="19">
        <f>ROUND(97*1,0)&amp;"%"</f>
      </c>
    </row>
    <row x14ac:dyDescent="0.25" r="199" customHeight="1" ht="17.25">
      <c r="A199" s="20" t="s">
        <v>9130</v>
      </c>
      <c r="B199" s="20" t="s">
        <v>334</v>
      </c>
      <c r="C199" s="20" t="s">
        <v>76</v>
      </c>
      <c r="D199" s="20" t="s">
        <v>22</v>
      </c>
      <c r="E199" s="21">
        <f>ROUND(6719*1.05,2)</f>
      </c>
      <c r="F199" s="20" t="s">
        <v>23</v>
      </c>
      <c r="G199" s="20" t="s">
        <v>24</v>
      </c>
      <c r="H199" s="21">
        <f>ROUND(RAND()*4+6,1)</f>
      </c>
      <c r="I199" s="20" t="s">
        <v>25</v>
      </c>
      <c r="J199" s="23">
        <f>ROUND(85*1,0)&amp;"%"</f>
      </c>
    </row>
    <row x14ac:dyDescent="0.25" r="200" customHeight="1" ht="17.25">
      <c r="A200" s="17" t="s">
        <v>9131</v>
      </c>
      <c r="B200" s="17" t="s">
        <v>336</v>
      </c>
      <c r="C200" s="17" t="s">
        <v>76</v>
      </c>
      <c r="D200" s="17" t="s">
        <v>28</v>
      </c>
      <c r="E200" s="18">
        <f>ROUND(12108*1.05,2)</f>
      </c>
      <c r="F200" s="17" t="s">
        <v>29</v>
      </c>
      <c r="G200" s="17" t="s">
        <v>30</v>
      </c>
      <c r="H200" s="18">
        <f>ROUND(RAND()*4+6,1)</f>
      </c>
      <c r="I200" s="17" t="s">
        <v>31</v>
      </c>
      <c r="J200" s="19">
        <f>ROUND(73*1,0)&amp;"%"</f>
      </c>
    </row>
    <row x14ac:dyDescent="0.25" r="201" customHeight="1" ht="17.25">
      <c r="A201" s="20" t="s">
        <v>9132</v>
      </c>
      <c r="B201" s="20" t="s">
        <v>338</v>
      </c>
      <c r="C201" s="20" t="s">
        <v>76</v>
      </c>
      <c r="D201" s="20" t="s">
        <v>34</v>
      </c>
      <c r="E201" s="21">
        <f>ROUND(12043*1.05,2)</f>
      </c>
      <c r="F201" s="20" t="s">
        <v>35</v>
      </c>
      <c r="G201" s="20" t="s">
        <v>18</v>
      </c>
      <c r="H201" s="21">
        <f>ROUND(RAND()*4+6,1)</f>
      </c>
      <c r="I201" s="20" t="s">
        <v>36</v>
      </c>
      <c r="J201" s="23">
        <f>ROUND(81*1,0)&amp;"%"</f>
      </c>
    </row>
    <row x14ac:dyDescent="0.25" r="202" customHeight="1" ht="17.25">
      <c r="A202" s="17" t="s">
        <v>9133</v>
      </c>
      <c r="B202" s="17" t="s">
        <v>340</v>
      </c>
      <c r="C202" s="17" t="s">
        <v>76</v>
      </c>
      <c r="D202" s="17" t="s">
        <v>39</v>
      </c>
      <c r="E202" s="18">
        <f>ROUND(13999*1.05,2)</f>
      </c>
      <c r="F202" s="17" t="s">
        <v>40</v>
      </c>
      <c r="G202" s="17" t="s">
        <v>24</v>
      </c>
      <c r="H202" s="18">
        <f>ROUND(RAND()*4+6,1)</f>
      </c>
      <c r="I202" s="17" t="s">
        <v>41</v>
      </c>
      <c r="J202" s="19">
        <f>ROUND(71*1,0)&amp;"%"</f>
      </c>
    </row>
    <row x14ac:dyDescent="0.25" r="203" customHeight="1" ht="17.25">
      <c r="A203" s="20" t="s">
        <v>9134</v>
      </c>
      <c r="B203" s="20" t="s">
        <v>342</v>
      </c>
      <c r="C203" s="20" t="s">
        <v>76</v>
      </c>
      <c r="D203" s="20" t="s">
        <v>67</v>
      </c>
      <c r="E203" s="21">
        <f>ROUND(5394*1.05,2)</f>
      </c>
      <c r="F203" s="20" t="s">
        <v>44</v>
      </c>
      <c r="G203" s="20" t="s">
        <v>30</v>
      </c>
      <c r="H203" s="21">
        <f>ROUND(RAND()*4+6,1)</f>
      </c>
      <c r="I203" s="20" t="s">
        <v>45</v>
      </c>
      <c r="J203" s="23">
        <f>ROUND(68*1,0)&amp;"%"</f>
      </c>
    </row>
    <row x14ac:dyDescent="0.25" r="204" customHeight="1" ht="17.25">
      <c r="A204" s="17" t="s">
        <v>9135</v>
      </c>
      <c r="B204" s="17" t="s">
        <v>344</v>
      </c>
      <c r="C204" s="17" t="s">
        <v>76</v>
      </c>
      <c r="D204" s="17" t="s">
        <v>16</v>
      </c>
      <c r="E204" s="18">
        <f>ROUND(7153*1.05,2)</f>
      </c>
      <c r="F204" s="17" t="s">
        <v>48</v>
      </c>
      <c r="G204" s="17" t="s">
        <v>18</v>
      </c>
      <c r="H204" s="18">
        <f>ROUND(RAND()*4+6,1)</f>
      </c>
      <c r="I204" s="17" t="s">
        <v>19</v>
      </c>
      <c r="J204" s="19">
        <f>ROUND(71*1,0)&amp;"%"</f>
      </c>
    </row>
    <row x14ac:dyDescent="0.25" r="205" customHeight="1" ht="17.25">
      <c r="A205" s="20" t="s">
        <v>9136</v>
      </c>
      <c r="B205" s="20" t="s">
        <v>346</v>
      </c>
      <c r="C205" s="20" t="s">
        <v>76</v>
      </c>
      <c r="D205" s="20" t="s">
        <v>22</v>
      </c>
      <c r="E205" s="21">
        <f>ROUND(12746*1.05,2)</f>
      </c>
      <c r="F205" s="20" t="s">
        <v>51</v>
      </c>
      <c r="G205" s="20" t="s">
        <v>24</v>
      </c>
      <c r="H205" s="22">
        <f>ROUND(RAND()*4+6,1)</f>
      </c>
      <c r="I205" s="20" t="s">
        <v>25</v>
      </c>
      <c r="J205" s="23">
        <f>ROUND(82*1,0)&amp;"%"</f>
      </c>
    </row>
    <row x14ac:dyDescent="0.25" r="206" customHeight="1" ht="17.25">
      <c r="A206" s="24" t="s">
        <v>347</v>
      </c>
      <c r="B206" s="24"/>
      <c r="C206" s="24"/>
      <c r="D206" s="24"/>
      <c r="E206" s="25">
        <v>8</v>
      </c>
      <c r="F206" s="9"/>
      <c r="G206" s="9"/>
      <c r="H206" s="10"/>
      <c r="I206" s="9"/>
      <c r="J206" s="9"/>
    </row>
    <row x14ac:dyDescent="0.25" r="207" customHeight="1" ht="17.25">
      <c r="A207" s="7"/>
      <c r="B207" s="7"/>
      <c r="C207" s="7"/>
      <c r="D207" s="7"/>
      <c r="E207" s="8"/>
      <c r="F207" s="9"/>
      <c r="G207" s="9"/>
      <c r="H207" s="10"/>
      <c r="I207" s="9"/>
      <c r="J207" s="9"/>
    </row>
    <row x14ac:dyDescent="0.25" r="208" customHeight="1" ht="17.25">
      <c r="A208" s="11" t="s">
        <v>9137</v>
      </c>
      <c r="B208" s="11"/>
      <c r="C208" s="11"/>
      <c r="D208" s="11"/>
      <c r="E208" s="12"/>
      <c r="F208" s="11"/>
      <c r="G208" s="11"/>
      <c r="H208" s="13"/>
      <c r="I208" s="11"/>
      <c r="J208" s="11"/>
    </row>
    <row x14ac:dyDescent="0.25" r="209" customHeight="1" ht="17.25">
      <c r="A209" s="14" t="s">
        <v>3</v>
      </c>
      <c r="B209" s="14" t="s">
        <v>4</v>
      </c>
      <c r="C209" s="14" t="s">
        <v>5</v>
      </c>
      <c r="D209" s="14" t="s">
        <v>6</v>
      </c>
      <c r="E209" s="15" t="s">
        <v>7</v>
      </c>
      <c r="F209" s="14" t="s">
        <v>8</v>
      </c>
      <c r="G209" s="14" t="s">
        <v>9</v>
      </c>
      <c r="H209" s="16" t="s">
        <v>10</v>
      </c>
      <c r="I209" s="14" t="s">
        <v>11</v>
      </c>
      <c r="J209" s="14" t="s">
        <v>12</v>
      </c>
    </row>
    <row x14ac:dyDescent="0.25" r="210" customHeight="1" ht="17.25">
      <c r="A210" s="17" t="s">
        <v>9138</v>
      </c>
      <c r="B210" s="17" t="s">
        <v>350</v>
      </c>
      <c r="C210" s="17" t="s">
        <v>95</v>
      </c>
      <c r="D210" s="17" t="s">
        <v>16</v>
      </c>
      <c r="E210" s="18">
        <f>ROUND(5331*1.05,2)</f>
      </c>
      <c r="F210" s="17" t="s">
        <v>17</v>
      </c>
      <c r="G210" s="17" t="s">
        <v>18</v>
      </c>
      <c r="H210" s="18">
        <f>ROUND(RAND()*4+6,1)</f>
      </c>
      <c r="I210" s="17" t="s">
        <v>19</v>
      </c>
      <c r="J210" s="19">
        <f>ROUND(63*1,0)&amp;"%"</f>
      </c>
    </row>
    <row x14ac:dyDescent="0.25" r="211" customHeight="1" ht="17.25">
      <c r="A211" s="20" t="s">
        <v>9139</v>
      </c>
      <c r="B211" s="20" t="s">
        <v>352</v>
      </c>
      <c r="C211" s="20" t="s">
        <v>95</v>
      </c>
      <c r="D211" s="20" t="s">
        <v>22</v>
      </c>
      <c r="E211" s="21">
        <f>ROUND(15383*1.05,2)</f>
      </c>
      <c r="F211" s="20" t="s">
        <v>23</v>
      </c>
      <c r="G211" s="20" t="s">
        <v>24</v>
      </c>
      <c r="H211" s="21">
        <f>ROUND(RAND()*4+6,1)</f>
      </c>
      <c r="I211" s="20" t="s">
        <v>25</v>
      </c>
      <c r="J211" s="23">
        <f>ROUND(62*1,0)&amp;"%"</f>
      </c>
    </row>
    <row x14ac:dyDescent="0.25" r="212" customHeight="1" ht="17.25">
      <c r="A212" s="17" t="s">
        <v>9140</v>
      </c>
      <c r="B212" s="17" t="s">
        <v>354</v>
      </c>
      <c r="C212" s="17" t="s">
        <v>95</v>
      </c>
      <c r="D212" s="17" t="s">
        <v>28</v>
      </c>
      <c r="E212" s="18">
        <f>ROUND(5084*1.05,2)</f>
      </c>
      <c r="F212" s="17" t="s">
        <v>29</v>
      </c>
      <c r="G212" s="17" t="s">
        <v>30</v>
      </c>
      <c r="H212" s="18">
        <f>ROUND(RAND()*4+6,1)</f>
      </c>
      <c r="I212" s="17" t="s">
        <v>31</v>
      </c>
      <c r="J212" s="19">
        <f>ROUND(86*1,0)&amp;"%"</f>
      </c>
    </row>
    <row x14ac:dyDescent="0.25" r="213" customHeight="1" ht="17.25">
      <c r="A213" s="20" t="s">
        <v>9141</v>
      </c>
      <c r="B213" s="20" t="s">
        <v>356</v>
      </c>
      <c r="C213" s="20" t="s">
        <v>95</v>
      </c>
      <c r="D213" s="20" t="s">
        <v>34</v>
      </c>
      <c r="E213" s="21">
        <f>ROUND(15249*1.05,2)</f>
      </c>
      <c r="F213" s="20" t="s">
        <v>35</v>
      </c>
      <c r="G213" s="20" t="s">
        <v>18</v>
      </c>
      <c r="H213" s="21">
        <f>ROUND(RAND()*4+6,1)</f>
      </c>
      <c r="I213" s="20" t="s">
        <v>36</v>
      </c>
      <c r="J213" s="23">
        <f>ROUND(60*1,0)&amp;"%"</f>
      </c>
    </row>
    <row x14ac:dyDescent="0.25" r="214" customHeight="1" ht="17.25">
      <c r="A214" s="17" t="s">
        <v>9142</v>
      </c>
      <c r="B214" s="17" t="s">
        <v>358</v>
      </c>
      <c r="C214" s="17" t="s">
        <v>95</v>
      </c>
      <c r="D214" s="17" t="s">
        <v>39</v>
      </c>
      <c r="E214" s="18">
        <f>ROUND(14521*1.05,2)</f>
      </c>
      <c r="F214" s="17" t="s">
        <v>40</v>
      </c>
      <c r="G214" s="17" t="s">
        <v>24</v>
      </c>
      <c r="H214" s="26">
        <f>ROUND(RAND()*4+6,1)</f>
      </c>
      <c r="I214" s="17" t="s">
        <v>41</v>
      </c>
      <c r="J214" s="19">
        <f>ROUND(86*1,0)&amp;"%"</f>
      </c>
    </row>
    <row x14ac:dyDescent="0.25" r="215" customHeight="1" ht="17.25">
      <c r="A215" s="20" t="s">
        <v>9143</v>
      </c>
      <c r="B215" s="20" t="s">
        <v>360</v>
      </c>
      <c r="C215" s="20" t="s">
        <v>95</v>
      </c>
      <c r="D215" s="20" t="s">
        <v>67</v>
      </c>
      <c r="E215" s="21">
        <f>ROUND(10822*1.05,2)</f>
      </c>
      <c r="F215" s="20" t="s">
        <v>44</v>
      </c>
      <c r="G215" s="20" t="s">
        <v>30</v>
      </c>
      <c r="H215" s="21">
        <f>ROUND(RAND()*4+6,1)</f>
      </c>
      <c r="I215" s="20" t="s">
        <v>45</v>
      </c>
      <c r="J215" s="23">
        <f>ROUND(62*1,0)&amp;"%"</f>
      </c>
    </row>
    <row x14ac:dyDescent="0.25" r="216" customHeight="1" ht="17.25">
      <c r="A216" s="17" t="s">
        <v>9144</v>
      </c>
      <c r="B216" s="17" t="s">
        <v>362</v>
      </c>
      <c r="C216" s="17" t="s">
        <v>95</v>
      </c>
      <c r="D216" s="17" t="s">
        <v>16</v>
      </c>
      <c r="E216" s="18">
        <f>ROUND(9888*1.05,2)</f>
      </c>
      <c r="F216" s="17" t="s">
        <v>48</v>
      </c>
      <c r="G216" s="17" t="s">
        <v>18</v>
      </c>
      <c r="H216" s="18">
        <f>ROUND(RAND()*4+6,1)</f>
      </c>
      <c r="I216" s="17" t="s">
        <v>19</v>
      </c>
      <c r="J216" s="19">
        <f>ROUND(97*1,0)&amp;"%"</f>
      </c>
    </row>
    <row x14ac:dyDescent="0.25" r="217" customHeight="1" ht="17.25">
      <c r="A217" s="20" t="s">
        <v>9145</v>
      </c>
      <c r="B217" s="20" t="s">
        <v>364</v>
      </c>
      <c r="C217" s="20" t="s">
        <v>95</v>
      </c>
      <c r="D217" s="20" t="s">
        <v>22</v>
      </c>
      <c r="E217" s="21">
        <f>ROUND(16922*1.05,2)</f>
      </c>
      <c r="F217" s="20" t="s">
        <v>51</v>
      </c>
      <c r="G217" s="20" t="s">
        <v>24</v>
      </c>
      <c r="H217" s="21">
        <f>ROUND(RAND()*4+6,1)</f>
      </c>
      <c r="I217" s="20" t="s">
        <v>25</v>
      </c>
      <c r="J217" s="23">
        <f>ROUND(64*1,0)&amp;"%"</f>
      </c>
    </row>
    <row x14ac:dyDescent="0.25" r="218" customHeight="1" ht="17.25">
      <c r="A218" s="24" t="s">
        <v>365</v>
      </c>
      <c r="B218" s="24"/>
      <c r="C218" s="24"/>
      <c r="D218" s="24"/>
      <c r="E218" s="25">
        <v>8</v>
      </c>
      <c r="F218" s="9"/>
      <c r="G218" s="9"/>
      <c r="H218" s="10"/>
      <c r="I218" s="9"/>
      <c r="J218" s="9"/>
    </row>
    <row x14ac:dyDescent="0.25" r="219" customHeight="1" ht="17.25">
      <c r="A219" s="7"/>
      <c r="B219" s="7"/>
      <c r="C219" s="7"/>
      <c r="D219" s="7"/>
      <c r="E219" s="8"/>
      <c r="F219" s="9"/>
      <c r="G219" s="9"/>
      <c r="H219" s="10"/>
      <c r="I219" s="9"/>
      <c r="J219" s="9"/>
    </row>
    <row x14ac:dyDescent="0.25" r="220" customHeight="1" ht="17.25">
      <c r="A220" s="11" t="s">
        <v>9146</v>
      </c>
      <c r="B220" s="11"/>
      <c r="C220" s="11"/>
      <c r="D220" s="11"/>
      <c r="E220" s="12"/>
      <c r="F220" s="11"/>
      <c r="G220" s="11"/>
      <c r="H220" s="13"/>
      <c r="I220" s="11"/>
      <c r="J220" s="11"/>
    </row>
    <row x14ac:dyDescent="0.25" r="221" customHeight="1" ht="17.25">
      <c r="A221" s="14" t="s">
        <v>3</v>
      </c>
      <c r="B221" s="14" t="s">
        <v>4</v>
      </c>
      <c r="C221" s="14" t="s">
        <v>5</v>
      </c>
      <c r="D221" s="14" t="s">
        <v>6</v>
      </c>
      <c r="E221" s="15" t="s">
        <v>7</v>
      </c>
      <c r="F221" s="14" t="s">
        <v>8</v>
      </c>
      <c r="G221" s="14" t="s">
        <v>9</v>
      </c>
      <c r="H221" s="16" t="s">
        <v>10</v>
      </c>
      <c r="I221" s="14" t="s">
        <v>11</v>
      </c>
      <c r="J221" s="14" t="s">
        <v>12</v>
      </c>
    </row>
    <row x14ac:dyDescent="0.25" r="222" customHeight="1" ht="17.25">
      <c r="A222" s="17" t="s">
        <v>9147</v>
      </c>
      <c r="B222" s="17" t="s">
        <v>368</v>
      </c>
      <c r="C222" s="17" t="s">
        <v>114</v>
      </c>
      <c r="D222" s="17" t="s">
        <v>16</v>
      </c>
      <c r="E222" s="18">
        <f>ROUND(11808*1.05,2)</f>
      </c>
      <c r="F222" s="17" t="s">
        <v>17</v>
      </c>
      <c r="G222" s="17" t="s">
        <v>18</v>
      </c>
      <c r="H222" s="18">
        <f>ROUND(RAND()*4+6,1)</f>
      </c>
      <c r="I222" s="17" t="s">
        <v>19</v>
      </c>
      <c r="J222" s="19">
        <f>ROUND(83*1,0)&amp;"%"</f>
      </c>
    </row>
    <row x14ac:dyDescent="0.25" r="223" customHeight="1" ht="17.25">
      <c r="A223" s="20" t="s">
        <v>9148</v>
      </c>
      <c r="B223" s="20" t="s">
        <v>370</v>
      </c>
      <c r="C223" s="20" t="s">
        <v>114</v>
      </c>
      <c r="D223" s="20" t="s">
        <v>22</v>
      </c>
      <c r="E223" s="21">
        <f>ROUND(16233*1.05,2)</f>
      </c>
      <c r="F223" s="20" t="s">
        <v>23</v>
      </c>
      <c r="G223" s="20" t="s">
        <v>24</v>
      </c>
      <c r="H223" s="21">
        <f>ROUND(RAND()*4+6,1)</f>
      </c>
      <c r="I223" s="20" t="s">
        <v>25</v>
      </c>
      <c r="J223" s="23">
        <f>ROUND(74*1,0)&amp;"%"</f>
      </c>
    </row>
    <row x14ac:dyDescent="0.25" r="224" customHeight="1" ht="17.25">
      <c r="A224" s="17" t="s">
        <v>9149</v>
      </c>
      <c r="B224" s="17" t="s">
        <v>372</v>
      </c>
      <c r="C224" s="17" t="s">
        <v>114</v>
      </c>
      <c r="D224" s="17" t="s">
        <v>28</v>
      </c>
      <c r="E224" s="18">
        <f>ROUND(13953*1.05,2)</f>
      </c>
      <c r="F224" s="17" t="s">
        <v>29</v>
      </c>
      <c r="G224" s="17" t="s">
        <v>30</v>
      </c>
      <c r="H224" s="18">
        <f>ROUND(RAND()*4+6,1)</f>
      </c>
      <c r="I224" s="17" t="s">
        <v>31</v>
      </c>
      <c r="J224" s="19">
        <f>ROUND(63*1,0)&amp;"%"</f>
      </c>
    </row>
    <row x14ac:dyDescent="0.25" r="225" customHeight="1" ht="17.25">
      <c r="A225" s="20" t="s">
        <v>9150</v>
      </c>
      <c r="B225" s="20" t="s">
        <v>374</v>
      </c>
      <c r="C225" s="20" t="s">
        <v>114</v>
      </c>
      <c r="D225" s="20" t="s">
        <v>34</v>
      </c>
      <c r="E225" s="21">
        <f>ROUND(16989*1.05,2)</f>
      </c>
      <c r="F225" s="20" t="s">
        <v>35</v>
      </c>
      <c r="G225" s="20" t="s">
        <v>18</v>
      </c>
      <c r="H225" s="21">
        <f>ROUND(RAND()*4+6,1)</f>
      </c>
      <c r="I225" s="20" t="s">
        <v>36</v>
      </c>
      <c r="J225" s="23">
        <f>ROUND(95*1,0)&amp;"%"</f>
      </c>
    </row>
    <row x14ac:dyDescent="0.25" r="226" customHeight="1" ht="17.25">
      <c r="A226" s="17" t="s">
        <v>9151</v>
      </c>
      <c r="B226" s="17" t="s">
        <v>376</v>
      </c>
      <c r="C226" s="17" t="s">
        <v>114</v>
      </c>
      <c r="D226" s="17" t="s">
        <v>39</v>
      </c>
      <c r="E226" s="18">
        <f>ROUND(10424*1.05,2)</f>
      </c>
      <c r="F226" s="17" t="s">
        <v>40</v>
      </c>
      <c r="G226" s="17" t="s">
        <v>24</v>
      </c>
      <c r="H226" s="26">
        <f>ROUND(RAND()*4+6,1)</f>
      </c>
      <c r="I226" s="17" t="s">
        <v>41</v>
      </c>
      <c r="J226" s="19">
        <f>ROUND(99*1,0)&amp;"%"</f>
      </c>
    </row>
    <row x14ac:dyDescent="0.25" r="227" customHeight="1" ht="17.25">
      <c r="A227" s="20" t="s">
        <v>9152</v>
      </c>
      <c r="B227" s="20" t="s">
        <v>378</v>
      </c>
      <c r="C227" s="20" t="s">
        <v>114</v>
      </c>
      <c r="D227" s="20" t="s">
        <v>67</v>
      </c>
      <c r="E227" s="21">
        <f>ROUND(12092*1.05,2)</f>
      </c>
      <c r="F227" s="20" t="s">
        <v>44</v>
      </c>
      <c r="G227" s="20" t="s">
        <v>30</v>
      </c>
      <c r="H227" s="21">
        <f>ROUND(RAND()*4+6,1)</f>
      </c>
      <c r="I227" s="20" t="s">
        <v>45</v>
      </c>
      <c r="J227" s="23">
        <f>ROUND(96*1,0)&amp;"%"</f>
      </c>
    </row>
    <row x14ac:dyDescent="0.25" r="228" customHeight="1" ht="17.25">
      <c r="A228" s="17" t="s">
        <v>9153</v>
      </c>
      <c r="B228" s="17" t="s">
        <v>380</v>
      </c>
      <c r="C228" s="17" t="s">
        <v>114</v>
      </c>
      <c r="D228" s="17" t="s">
        <v>16</v>
      </c>
      <c r="E228" s="18">
        <f>ROUND(6113*1.05,2)</f>
      </c>
      <c r="F228" s="17" t="s">
        <v>48</v>
      </c>
      <c r="G228" s="17" t="s">
        <v>18</v>
      </c>
      <c r="H228" s="18">
        <f>ROUND(RAND()*4+6,1)</f>
      </c>
      <c r="I228" s="17" t="s">
        <v>19</v>
      </c>
      <c r="J228" s="19">
        <f>ROUND(100*1,0)&amp;"%"</f>
      </c>
    </row>
    <row x14ac:dyDescent="0.25" r="229" customHeight="1" ht="17.25">
      <c r="A229" s="20" t="s">
        <v>9154</v>
      </c>
      <c r="B229" s="20" t="s">
        <v>382</v>
      </c>
      <c r="C229" s="20" t="s">
        <v>114</v>
      </c>
      <c r="D229" s="20" t="s">
        <v>22</v>
      </c>
      <c r="E229" s="21">
        <f>ROUND(7074*1.05,2)</f>
      </c>
      <c r="F229" s="20" t="s">
        <v>51</v>
      </c>
      <c r="G229" s="20" t="s">
        <v>24</v>
      </c>
      <c r="H229" s="21">
        <f>ROUND(RAND()*4+6,1)</f>
      </c>
      <c r="I229" s="20" t="s">
        <v>25</v>
      </c>
      <c r="J229" s="23">
        <f>ROUND(86*1,0)&amp;"%"</f>
      </c>
    </row>
    <row x14ac:dyDescent="0.25" r="230" customHeight="1" ht="17.25">
      <c r="A230" s="24" t="s">
        <v>383</v>
      </c>
      <c r="B230" s="24"/>
      <c r="C230" s="24"/>
      <c r="D230" s="24"/>
      <c r="E230" s="25">
        <v>8</v>
      </c>
      <c r="F230" s="9"/>
      <c r="G230" s="9"/>
      <c r="H230" s="10"/>
      <c r="I230" s="9"/>
      <c r="J230" s="9"/>
    </row>
    <row x14ac:dyDescent="0.25" r="231" customHeight="1" ht="17.25">
      <c r="A231" s="7"/>
      <c r="B231" s="7"/>
      <c r="C231" s="7"/>
      <c r="D231" s="7"/>
      <c r="E231" s="8"/>
      <c r="F231" s="9"/>
      <c r="G231" s="9"/>
      <c r="H231" s="10"/>
      <c r="I231" s="9"/>
      <c r="J231" s="9"/>
    </row>
    <row x14ac:dyDescent="0.25" r="232" customHeight="1" ht="17.25">
      <c r="A232" s="11" t="s">
        <v>9155</v>
      </c>
      <c r="B232" s="11"/>
      <c r="C232" s="11"/>
      <c r="D232" s="11"/>
      <c r="E232" s="12"/>
      <c r="F232" s="11"/>
      <c r="G232" s="11"/>
      <c r="H232" s="13"/>
      <c r="I232" s="11"/>
      <c r="J232" s="11"/>
    </row>
    <row x14ac:dyDescent="0.25" r="233" customHeight="1" ht="17.25">
      <c r="A233" s="14" t="s">
        <v>3</v>
      </c>
      <c r="B233" s="14" t="s">
        <v>4</v>
      </c>
      <c r="C233" s="14" t="s">
        <v>5</v>
      </c>
      <c r="D233" s="14" t="s">
        <v>6</v>
      </c>
      <c r="E233" s="15" t="s">
        <v>7</v>
      </c>
      <c r="F233" s="14" t="s">
        <v>8</v>
      </c>
      <c r="G233" s="14" t="s">
        <v>9</v>
      </c>
      <c r="H233" s="16" t="s">
        <v>10</v>
      </c>
      <c r="I233" s="14" t="s">
        <v>11</v>
      </c>
      <c r="J233" s="14" t="s">
        <v>12</v>
      </c>
    </row>
    <row x14ac:dyDescent="0.25" r="234" customHeight="1" ht="17.25">
      <c r="A234" s="17" t="s">
        <v>9156</v>
      </c>
      <c r="B234" s="17" t="s">
        <v>386</v>
      </c>
      <c r="C234" s="17" t="s">
        <v>133</v>
      </c>
      <c r="D234" s="17" t="s">
        <v>16</v>
      </c>
      <c r="E234" s="18">
        <f>ROUND(7223*1.05,2)</f>
      </c>
      <c r="F234" s="17" t="s">
        <v>17</v>
      </c>
      <c r="G234" s="17" t="s">
        <v>18</v>
      </c>
      <c r="H234" s="26">
        <f>ROUND(RAND()*4+6,1)</f>
      </c>
      <c r="I234" s="17" t="s">
        <v>19</v>
      </c>
      <c r="J234" s="19">
        <f>ROUND(72*1,0)&amp;"%"</f>
      </c>
    </row>
    <row x14ac:dyDescent="0.25" r="235" customHeight="1" ht="17.25">
      <c r="A235" s="20" t="s">
        <v>9157</v>
      </c>
      <c r="B235" s="20" t="s">
        <v>388</v>
      </c>
      <c r="C235" s="20" t="s">
        <v>133</v>
      </c>
      <c r="D235" s="20" t="s">
        <v>22</v>
      </c>
      <c r="E235" s="21">
        <f>ROUND(5793*1.05,2)</f>
      </c>
      <c r="F235" s="20" t="s">
        <v>23</v>
      </c>
      <c r="G235" s="20" t="s">
        <v>24</v>
      </c>
      <c r="H235" s="21">
        <f>ROUND(RAND()*4+6,1)</f>
      </c>
      <c r="I235" s="20" t="s">
        <v>25</v>
      </c>
      <c r="J235" s="23">
        <f>ROUND(92*1,0)&amp;"%"</f>
      </c>
    </row>
    <row x14ac:dyDescent="0.25" r="236" customHeight="1" ht="17.25">
      <c r="A236" s="17" t="s">
        <v>9158</v>
      </c>
      <c r="B236" s="17" t="s">
        <v>390</v>
      </c>
      <c r="C236" s="17" t="s">
        <v>133</v>
      </c>
      <c r="D236" s="17" t="s">
        <v>28</v>
      </c>
      <c r="E236" s="18">
        <f>ROUND(17008*1.05,2)</f>
      </c>
      <c r="F236" s="17" t="s">
        <v>29</v>
      </c>
      <c r="G236" s="17" t="s">
        <v>30</v>
      </c>
      <c r="H236" s="18">
        <f>ROUND(RAND()*4+6,1)</f>
      </c>
      <c r="I236" s="17" t="s">
        <v>31</v>
      </c>
      <c r="J236" s="19">
        <f>ROUND(72*1,0)&amp;"%"</f>
      </c>
    </row>
    <row x14ac:dyDescent="0.25" r="237" customHeight="1" ht="17.25">
      <c r="A237" s="20" t="s">
        <v>9159</v>
      </c>
      <c r="B237" s="20" t="s">
        <v>392</v>
      </c>
      <c r="C237" s="20" t="s">
        <v>133</v>
      </c>
      <c r="D237" s="20" t="s">
        <v>34</v>
      </c>
      <c r="E237" s="21">
        <f>ROUND(12821*1.05,2)</f>
      </c>
      <c r="F237" s="20" t="s">
        <v>35</v>
      </c>
      <c r="G237" s="20" t="s">
        <v>18</v>
      </c>
      <c r="H237" s="21">
        <f>ROUND(RAND()*4+6,1)</f>
      </c>
      <c r="I237" s="20" t="s">
        <v>36</v>
      </c>
      <c r="J237" s="23">
        <f>ROUND(96*1,0)&amp;"%"</f>
      </c>
    </row>
    <row x14ac:dyDescent="0.25" r="238" customHeight="1" ht="17.25">
      <c r="A238" s="17" t="s">
        <v>9160</v>
      </c>
      <c r="B238" s="17" t="s">
        <v>394</v>
      </c>
      <c r="C238" s="17" t="s">
        <v>133</v>
      </c>
      <c r="D238" s="17" t="s">
        <v>39</v>
      </c>
      <c r="E238" s="18">
        <f>ROUND(13743*1.05,2)</f>
      </c>
      <c r="F238" s="17" t="s">
        <v>40</v>
      </c>
      <c r="G238" s="17" t="s">
        <v>24</v>
      </c>
      <c r="H238" s="18">
        <f>ROUND(RAND()*4+6,1)</f>
      </c>
      <c r="I238" s="17" t="s">
        <v>41</v>
      </c>
      <c r="J238" s="19">
        <f>ROUND(84*1,0)&amp;"%"</f>
      </c>
    </row>
    <row x14ac:dyDescent="0.25" r="239" customHeight="1" ht="17.25">
      <c r="A239" s="20" t="s">
        <v>9161</v>
      </c>
      <c r="B239" s="20" t="s">
        <v>396</v>
      </c>
      <c r="C239" s="20" t="s">
        <v>133</v>
      </c>
      <c r="D239" s="20" t="s">
        <v>67</v>
      </c>
      <c r="E239" s="21">
        <f>ROUND(12230*1.05,2)</f>
      </c>
      <c r="F239" s="20" t="s">
        <v>44</v>
      </c>
      <c r="G239" s="20" t="s">
        <v>30</v>
      </c>
      <c r="H239" s="21">
        <f>ROUND(RAND()*4+6,1)</f>
      </c>
      <c r="I239" s="20" t="s">
        <v>45</v>
      </c>
      <c r="J239" s="23">
        <f>ROUND(87*1,0)&amp;"%"</f>
      </c>
    </row>
    <row x14ac:dyDescent="0.25" r="240" customHeight="1" ht="17.25">
      <c r="A240" s="17" t="s">
        <v>9162</v>
      </c>
      <c r="B240" s="17" t="s">
        <v>398</v>
      </c>
      <c r="C240" s="17" t="s">
        <v>133</v>
      </c>
      <c r="D240" s="17" t="s">
        <v>16</v>
      </c>
      <c r="E240" s="18">
        <f>ROUND(15781*1.05,2)</f>
      </c>
      <c r="F240" s="17" t="s">
        <v>48</v>
      </c>
      <c r="G240" s="17" t="s">
        <v>18</v>
      </c>
      <c r="H240" s="18">
        <f>ROUND(RAND()*4+6,1)</f>
      </c>
      <c r="I240" s="17" t="s">
        <v>19</v>
      </c>
      <c r="J240" s="19">
        <f>ROUND(94*1,0)&amp;"%"</f>
      </c>
    </row>
    <row x14ac:dyDescent="0.25" r="241" customHeight="1" ht="17.25">
      <c r="A241" s="20" t="s">
        <v>9163</v>
      </c>
      <c r="B241" s="20" t="s">
        <v>400</v>
      </c>
      <c r="C241" s="20" t="s">
        <v>133</v>
      </c>
      <c r="D241" s="20" t="s">
        <v>22</v>
      </c>
      <c r="E241" s="21">
        <f>ROUND(4655*1.05,2)</f>
      </c>
      <c r="F241" s="20" t="s">
        <v>51</v>
      </c>
      <c r="G241" s="20" t="s">
        <v>24</v>
      </c>
      <c r="H241" s="21">
        <f>ROUND(RAND()*4+6,1)</f>
      </c>
      <c r="I241" s="20" t="s">
        <v>25</v>
      </c>
      <c r="J241" s="23">
        <f>ROUND(91*1,0)&amp;"%"</f>
      </c>
    </row>
    <row x14ac:dyDescent="0.25" r="242" customHeight="1" ht="17.25">
      <c r="A242" s="24" t="s">
        <v>401</v>
      </c>
      <c r="B242" s="24"/>
      <c r="C242" s="24"/>
      <c r="D242" s="24"/>
      <c r="E242" s="25">
        <v>8</v>
      </c>
      <c r="F242" s="9"/>
      <c r="G242" s="9"/>
      <c r="H242" s="10"/>
      <c r="I242" s="9"/>
      <c r="J242" s="9"/>
    </row>
    <row x14ac:dyDescent="0.25" r="243" customHeight="1" ht="17.25">
      <c r="A243" s="7"/>
      <c r="B243" s="7"/>
      <c r="C243" s="7"/>
      <c r="D243" s="7"/>
      <c r="E243" s="8"/>
      <c r="F243" s="9"/>
      <c r="G243" s="9"/>
      <c r="H243" s="10"/>
      <c r="I243" s="9"/>
      <c r="J243" s="9"/>
    </row>
    <row x14ac:dyDescent="0.25" r="244" customHeight="1" ht="17.25">
      <c r="A244" s="11" t="s">
        <v>9164</v>
      </c>
      <c r="B244" s="11"/>
      <c r="C244" s="11"/>
      <c r="D244" s="11"/>
      <c r="E244" s="12"/>
      <c r="F244" s="11"/>
      <c r="G244" s="11"/>
      <c r="H244" s="13"/>
      <c r="I244" s="11"/>
      <c r="J244" s="11"/>
    </row>
    <row x14ac:dyDescent="0.25" r="245" customHeight="1" ht="17.25">
      <c r="A245" s="14" t="s">
        <v>3</v>
      </c>
      <c r="B245" s="14" t="s">
        <v>4</v>
      </c>
      <c r="C245" s="14" t="s">
        <v>5</v>
      </c>
      <c r="D245" s="14" t="s">
        <v>6</v>
      </c>
      <c r="E245" s="15" t="s">
        <v>7</v>
      </c>
      <c r="F245" s="14" t="s">
        <v>8</v>
      </c>
      <c r="G245" s="14" t="s">
        <v>9</v>
      </c>
      <c r="H245" s="16" t="s">
        <v>10</v>
      </c>
      <c r="I245" s="14" t="s">
        <v>11</v>
      </c>
      <c r="J245" s="14" t="s">
        <v>12</v>
      </c>
    </row>
    <row x14ac:dyDescent="0.25" r="246" customHeight="1" ht="17.25">
      <c r="A246" s="17" t="s">
        <v>9165</v>
      </c>
      <c r="B246" s="17" t="s">
        <v>404</v>
      </c>
      <c r="C246" s="17" t="s">
        <v>152</v>
      </c>
      <c r="D246" s="17" t="s">
        <v>16</v>
      </c>
      <c r="E246" s="18">
        <f>ROUND(13368*1.05,2)</f>
      </c>
      <c r="F246" s="17" t="s">
        <v>17</v>
      </c>
      <c r="G246" s="17" t="s">
        <v>18</v>
      </c>
      <c r="H246" s="18">
        <f>ROUND(RAND()*4+6,1)</f>
      </c>
      <c r="I246" s="17" t="s">
        <v>19</v>
      </c>
      <c r="J246" s="19">
        <f>ROUND(75*1,0)&amp;"%"</f>
      </c>
    </row>
    <row x14ac:dyDescent="0.25" r="247" customHeight="1" ht="17.25">
      <c r="A247" s="20" t="s">
        <v>9166</v>
      </c>
      <c r="B247" s="20" t="s">
        <v>406</v>
      </c>
      <c r="C247" s="20" t="s">
        <v>152</v>
      </c>
      <c r="D247" s="20" t="s">
        <v>22</v>
      </c>
      <c r="E247" s="21">
        <f>ROUND(4677*1.05,2)</f>
      </c>
      <c r="F247" s="20" t="s">
        <v>23</v>
      </c>
      <c r="G247" s="20" t="s">
        <v>24</v>
      </c>
      <c r="H247" s="22">
        <f>ROUND(RAND()*4+6,1)</f>
      </c>
      <c r="I247" s="20" t="s">
        <v>25</v>
      </c>
      <c r="J247" s="23">
        <f>ROUND(98*1,0)&amp;"%"</f>
      </c>
    </row>
    <row x14ac:dyDescent="0.25" r="248" customHeight="1" ht="17.25">
      <c r="A248" s="17" t="s">
        <v>9167</v>
      </c>
      <c r="B248" s="17" t="s">
        <v>408</v>
      </c>
      <c r="C248" s="17" t="s">
        <v>152</v>
      </c>
      <c r="D248" s="17" t="s">
        <v>28</v>
      </c>
      <c r="E248" s="26">
        <f>ROUND(8480*1.05,2)</f>
      </c>
      <c r="F248" s="17" t="s">
        <v>29</v>
      </c>
      <c r="G248" s="17" t="s">
        <v>30</v>
      </c>
      <c r="H248" s="26">
        <f>ROUND(RAND()*4+6,1)</f>
      </c>
      <c r="I248" s="17" t="s">
        <v>31</v>
      </c>
      <c r="J248" s="19">
        <f>ROUND(73*1,0)&amp;"%"</f>
      </c>
    </row>
    <row x14ac:dyDescent="0.25" r="249" customHeight="1" ht="17.25">
      <c r="A249" s="20" t="s">
        <v>9168</v>
      </c>
      <c r="B249" s="20" t="s">
        <v>410</v>
      </c>
      <c r="C249" s="20" t="s">
        <v>152</v>
      </c>
      <c r="D249" s="20" t="s">
        <v>34</v>
      </c>
      <c r="E249" s="21">
        <f>ROUND(8546*1.05,2)</f>
      </c>
      <c r="F249" s="20" t="s">
        <v>35</v>
      </c>
      <c r="G249" s="20" t="s">
        <v>18</v>
      </c>
      <c r="H249" s="21">
        <f>ROUND(RAND()*4+6,1)</f>
      </c>
      <c r="I249" s="20" t="s">
        <v>36</v>
      </c>
      <c r="J249" s="23">
        <f>ROUND(91*1,0)&amp;"%"</f>
      </c>
    </row>
    <row x14ac:dyDescent="0.25" r="250" customHeight="1" ht="17.25">
      <c r="A250" s="17" t="s">
        <v>9169</v>
      </c>
      <c r="B250" s="17" t="s">
        <v>412</v>
      </c>
      <c r="C250" s="17" t="s">
        <v>152</v>
      </c>
      <c r="D250" s="17" t="s">
        <v>39</v>
      </c>
      <c r="E250" s="18">
        <f>ROUND(8302*1.05,2)</f>
      </c>
      <c r="F250" s="17" t="s">
        <v>40</v>
      </c>
      <c r="G250" s="17" t="s">
        <v>24</v>
      </c>
      <c r="H250" s="26">
        <f>ROUND(RAND()*4+6,1)</f>
      </c>
      <c r="I250" s="17" t="s">
        <v>41</v>
      </c>
      <c r="J250" s="19">
        <f>ROUND(65*1,0)&amp;"%"</f>
      </c>
    </row>
    <row x14ac:dyDescent="0.25" r="251" customHeight="1" ht="17.25">
      <c r="A251" s="20" t="s">
        <v>9170</v>
      </c>
      <c r="B251" s="20" t="s">
        <v>414</v>
      </c>
      <c r="C251" s="20" t="s">
        <v>152</v>
      </c>
      <c r="D251" s="20" t="s">
        <v>67</v>
      </c>
      <c r="E251" s="21">
        <f>ROUND(17728*1.05,2)</f>
      </c>
      <c r="F251" s="20" t="s">
        <v>44</v>
      </c>
      <c r="G251" s="20" t="s">
        <v>30</v>
      </c>
      <c r="H251" s="21">
        <f>ROUND(RAND()*4+6,1)</f>
      </c>
      <c r="I251" s="20" t="s">
        <v>45</v>
      </c>
      <c r="J251" s="23">
        <f>ROUND(85*1,0)&amp;"%"</f>
      </c>
    </row>
    <row x14ac:dyDescent="0.25" r="252" customHeight="1" ht="17.25">
      <c r="A252" s="17" t="s">
        <v>9171</v>
      </c>
      <c r="B252" s="17" t="s">
        <v>416</v>
      </c>
      <c r="C252" s="17" t="s">
        <v>152</v>
      </c>
      <c r="D252" s="17" t="s">
        <v>16</v>
      </c>
      <c r="E252" s="18">
        <f>ROUND(11742*1.05,2)</f>
      </c>
      <c r="F252" s="17" t="s">
        <v>48</v>
      </c>
      <c r="G252" s="17" t="s">
        <v>18</v>
      </c>
      <c r="H252" s="18">
        <f>ROUND(RAND()*4+6,1)</f>
      </c>
      <c r="I252" s="17" t="s">
        <v>19</v>
      </c>
      <c r="J252" s="19">
        <f>ROUND(71*1,0)&amp;"%"</f>
      </c>
    </row>
    <row x14ac:dyDescent="0.25" r="253" customHeight="1" ht="17.25">
      <c r="A253" s="20" t="s">
        <v>9172</v>
      </c>
      <c r="B253" s="20" t="s">
        <v>418</v>
      </c>
      <c r="C253" s="20" t="s">
        <v>152</v>
      </c>
      <c r="D253" s="20" t="s">
        <v>22</v>
      </c>
      <c r="E253" s="21">
        <f>ROUND(7819*1.05,2)</f>
      </c>
      <c r="F253" s="20" t="s">
        <v>51</v>
      </c>
      <c r="G253" s="20" t="s">
        <v>24</v>
      </c>
      <c r="H253" s="21">
        <f>ROUND(RAND()*4+6,1)</f>
      </c>
      <c r="I253" s="20" t="s">
        <v>25</v>
      </c>
      <c r="J253" s="23">
        <f>ROUND(70*1,0)&amp;"%"</f>
      </c>
    </row>
    <row x14ac:dyDescent="0.25" r="254" customHeight="1" ht="17.25">
      <c r="A254" s="24" t="s">
        <v>419</v>
      </c>
      <c r="B254" s="24"/>
      <c r="C254" s="24"/>
      <c r="D254" s="24"/>
      <c r="E254" s="25">
        <v>8</v>
      </c>
      <c r="F254" s="9"/>
      <c r="G254" s="9"/>
      <c r="H254" s="10"/>
      <c r="I254" s="9"/>
      <c r="J254" s="9"/>
    </row>
    <row x14ac:dyDescent="0.25" r="255" customHeight="1" ht="17.25">
      <c r="A255" s="7"/>
      <c r="B255" s="7"/>
      <c r="C255" s="7"/>
      <c r="D255" s="7"/>
      <c r="E255" s="8"/>
      <c r="F255" s="9"/>
      <c r="G255" s="9"/>
      <c r="H255" s="10"/>
      <c r="I255" s="9"/>
      <c r="J255" s="9"/>
    </row>
    <row x14ac:dyDescent="0.25" r="256" customHeight="1" ht="17.25">
      <c r="A256" s="11" t="s">
        <v>9173</v>
      </c>
      <c r="B256" s="11"/>
      <c r="C256" s="11"/>
      <c r="D256" s="11"/>
      <c r="E256" s="12"/>
      <c r="F256" s="11"/>
      <c r="G256" s="11"/>
      <c r="H256" s="13"/>
      <c r="I256" s="11"/>
      <c r="J256" s="11"/>
    </row>
    <row x14ac:dyDescent="0.25" r="257" customHeight="1" ht="17.25">
      <c r="A257" s="14" t="s">
        <v>3</v>
      </c>
      <c r="B257" s="14" t="s">
        <v>4</v>
      </c>
      <c r="C257" s="14" t="s">
        <v>5</v>
      </c>
      <c r="D257" s="14" t="s">
        <v>6</v>
      </c>
      <c r="E257" s="15" t="s">
        <v>7</v>
      </c>
      <c r="F257" s="14" t="s">
        <v>8</v>
      </c>
      <c r="G257" s="14" t="s">
        <v>9</v>
      </c>
      <c r="H257" s="16" t="s">
        <v>10</v>
      </c>
      <c r="I257" s="14" t="s">
        <v>11</v>
      </c>
      <c r="J257" s="14" t="s">
        <v>12</v>
      </c>
    </row>
    <row x14ac:dyDescent="0.25" r="258" customHeight="1" ht="17.25">
      <c r="A258" s="17" t="s">
        <v>9174</v>
      </c>
      <c r="B258" s="17" t="s">
        <v>422</v>
      </c>
      <c r="C258" s="17" t="s">
        <v>15</v>
      </c>
      <c r="D258" s="17" t="s">
        <v>16</v>
      </c>
      <c r="E258" s="18">
        <f>ROUND(14621*1.05,2)</f>
      </c>
      <c r="F258" s="17" t="s">
        <v>17</v>
      </c>
      <c r="G258" s="17" t="s">
        <v>18</v>
      </c>
      <c r="H258" s="18">
        <f>ROUND(RAND()*4+6,1)</f>
      </c>
      <c r="I258" s="17" t="s">
        <v>19</v>
      </c>
      <c r="J258" s="19">
        <f>ROUND(91*1,0)&amp;"%"</f>
      </c>
    </row>
    <row x14ac:dyDescent="0.25" r="259" customHeight="1" ht="17.25">
      <c r="A259" s="20" t="s">
        <v>9175</v>
      </c>
      <c r="B259" s="20" t="s">
        <v>424</v>
      </c>
      <c r="C259" s="20" t="s">
        <v>15</v>
      </c>
      <c r="D259" s="20" t="s">
        <v>22</v>
      </c>
      <c r="E259" s="21">
        <f>ROUND(10242*1.05,2)</f>
      </c>
      <c r="F259" s="20" t="s">
        <v>23</v>
      </c>
      <c r="G259" s="20" t="s">
        <v>24</v>
      </c>
      <c r="H259" s="21">
        <f>ROUND(RAND()*4+6,1)</f>
      </c>
      <c r="I259" s="20" t="s">
        <v>25</v>
      </c>
      <c r="J259" s="23">
        <f>ROUND(85*1,0)&amp;"%"</f>
      </c>
    </row>
    <row x14ac:dyDescent="0.25" r="260" customHeight="1" ht="17.25">
      <c r="A260" s="17" t="s">
        <v>9176</v>
      </c>
      <c r="B260" s="17" t="s">
        <v>426</v>
      </c>
      <c r="C260" s="17" t="s">
        <v>15</v>
      </c>
      <c r="D260" s="17" t="s">
        <v>28</v>
      </c>
      <c r="E260" s="18">
        <f>ROUND(14402*1.05,2)</f>
      </c>
      <c r="F260" s="17" t="s">
        <v>29</v>
      </c>
      <c r="G260" s="17" t="s">
        <v>30</v>
      </c>
      <c r="H260" s="18">
        <f>ROUND(RAND()*4+6,1)</f>
      </c>
      <c r="I260" s="17" t="s">
        <v>31</v>
      </c>
      <c r="J260" s="19">
        <f>ROUND(95*1,0)&amp;"%"</f>
      </c>
    </row>
    <row x14ac:dyDescent="0.25" r="261" customHeight="1" ht="17.25">
      <c r="A261" s="20" t="s">
        <v>9177</v>
      </c>
      <c r="B261" s="20" t="s">
        <v>428</v>
      </c>
      <c r="C261" s="20" t="s">
        <v>15</v>
      </c>
      <c r="D261" s="20" t="s">
        <v>34</v>
      </c>
      <c r="E261" s="22">
        <f>ROUND(16100*1.05,2)</f>
      </c>
      <c r="F261" s="20" t="s">
        <v>35</v>
      </c>
      <c r="G261" s="20" t="s">
        <v>18</v>
      </c>
      <c r="H261" s="21">
        <f>ROUND(RAND()*4+6,1)</f>
      </c>
      <c r="I261" s="20" t="s">
        <v>36</v>
      </c>
      <c r="J261" s="23">
        <f>ROUND(66*1,0)&amp;"%"</f>
      </c>
    </row>
    <row x14ac:dyDescent="0.25" r="262" customHeight="1" ht="17.25">
      <c r="A262" s="17" t="s">
        <v>9178</v>
      </c>
      <c r="B262" s="17" t="s">
        <v>430</v>
      </c>
      <c r="C262" s="17" t="s">
        <v>15</v>
      </c>
      <c r="D262" s="17" t="s">
        <v>39</v>
      </c>
      <c r="E262" s="18">
        <f>ROUND(11538*1.05,2)</f>
      </c>
      <c r="F262" s="17" t="s">
        <v>40</v>
      </c>
      <c r="G262" s="17" t="s">
        <v>24</v>
      </c>
      <c r="H262" s="18">
        <f>ROUND(RAND()*4+6,1)</f>
      </c>
      <c r="I262" s="17" t="s">
        <v>41</v>
      </c>
      <c r="J262" s="19">
        <f>ROUND(61*1,0)&amp;"%"</f>
      </c>
    </row>
    <row x14ac:dyDescent="0.25" r="263" customHeight="1" ht="17.25">
      <c r="A263" s="20" t="s">
        <v>9179</v>
      </c>
      <c r="B263" s="20" t="s">
        <v>432</v>
      </c>
      <c r="C263" s="20" t="s">
        <v>15</v>
      </c>
      <c r="D263" s="20" t="s">
        <v>67</v>
      </c>
      <c r="E263" s="21">
        <f>ROUND(13955*1.05,2)</f>
      </c>
      <c r="F263" s="20" t="s">
        <v>44</v>
      </c>
      <c r="G263" s="20" t="s">
        <v>30</v>
      </c>
      <c r="H263" s="21">
        <f>ROUND(RAND()*4+6,1)</f>
      </c>
      <c r="I263" s="20" t="s">
        <v>45</v>
      </c>
      <c r="J263" s="23">
        <f>ROUND(98*1,0)&amp;"%"</f>
      </c>
    </row>
    <row x14ac:dyDescent="0.25" r="264" customHeight="1" ht="17.25">
      <c r="A264" s="17" t="s">
        <v>9180</v>
      </c>
      <c r="B264" s="17" t="s">
        <v>434</v>
      </c>
      <c r="C264" s="17" t="s">
        <v>15</v>
      </c>
      <c r="D264" s="17" t="s">
        <v>16</v>
      </c>
      <c r="E264" s="18">
        <f>ROUND(12321*1.05,2)</f>
      </c>
      <c r="F264" s="17" t="s">
        <v>48</v>
      </c>
      <c r="G264" s="17" t="s">
        <v>18</v>
      </c>
      <c r="H264" s="18">
        <f>ROUND(RAND()*4+6,1)</f>
      </c>
      <c r="I264" s="17" t="s">
        <v>19</v>
      </c>
      <c r="J264" s="19">
        <f>ROUND(77*1,0)&amp;"%"</f>
      </c>
    </row>
    <row x14ac:dyDescent="0.25" r="265" customHeight="1" ht="17.25">
      <c r="A265" s="20" t="s">
        <v>9181</v>
      </c>
      <c r="B265" s="20" t="s">
        <v>436</v>
      </c>
      <c r="C265" s="20" t="s">
        <v>15</v>
      </c>
      <c r="D265" s="20" t="s">
        <v>22</v>
      </c>
      <c r="E265" s="21">
        <f>ROUND(4238*1.05,2)</f>
      </c>
      <c r="F265" s="20" t="s">
        <v>51</v>
      </c>
      <c r="G265" s="20" t="s">
        <v>24</v>
      </c>
      <c r="H265" s="22">
        <f>ROUND(RAND()*4+6,1)</f>
      </c>
      <c r="I265" s="20" t="s">
        <v>25</v>
      </c>
      <c r="J265" s="23">
        <f>ROUND(73*1,0)&amp;"%"</f>
      </c>
    </row>
    <row x14ac:dyDescent="0.25" r="266" customHeight="1" ht="17.25">
      <c r="A266" s="24" t="s">
        <v>437</v>
      </c>
      <c r="B266" s="24"/>
      <c r="C266" s="24"/>
      <c r="D266" s="24"/>
      <c r="E266" s="25">
        <v>8</v>
      </c>
      <c r="F266" s="9"/>
      <c r="G266" s="9"/>
      <c r="H266" s="10"/>
      <c r="I266" s="9"/>
      <c r="J266" s="9"/>
    </row>
    <row x14ac:dyDescent="0.25" r="267" customHeight="1" ht="17.25">
      <c r="A267" s="7"/>
      <c r="B267" s="7"/>
      <c r="C267" s="7"/>
      <c r="D267" s="7"/>
      <c r="E267" s="8"/>
      <c r="F267" s="9"/>
      <c r="G267" s="9"/>
      <c r="H267" s="10"/>
      <c r="I267" s="9"/>
      <c r="J267" s="9"/>
    </row>
    <row x14ac:dyDescent="0.25" r="268" customHeight="1" ht="17.25">
      <c r="A268" s="11" t="s">
        <v>9182</v>
      </c>
      <c r="B268" s="11"/>
      <c r="C268" s="11"/>
      <c r="D268" s="11"/>
      <c r="E268" s="12"/>
      <c r="F268" s="11"/>
      <c r="G268" s="11"/>
      <c r="H268" s="13"/>
      <c r="I268" s="11"/>
      <c r="J268" s="11"/>
    </row>
    <row x14ac:dyDescent="0.25" r="269" customHeight="1" ht="17.25">
      <c r="A269" s="14" t="s">
        <v>3</v>
      </c>
      <c r="B269" s="14" t="s">
        <v>4</v>
      </c>
      <c r="C269" s="14" t="s">
        <v>5</v>
      </c>
      <c r="D269" s="14" t="s">
        <v>6</v>
      </c>
      <c r="E269" s="15" t="s">
        <v>7</v>
      </c>
      <c r="F269" s="14" t="s">
        <v>8</v>
      </c>
      <c r="G269" s="14" t="s">
        <v>9</v>
      </c>
      <c r="H269" s="16" t="s">
        <v>10</v>
      </c>
      <c r="I269" s="14" t="s">
        <v>11</v>
      </c>
      <c r="J269" s="14" t="s">
        <v>12</v>
      </c>
    </row>
    <row x14ac:dyDescent="0.25" r="270" customHeight="1" ht="17.25">
      <c r="A270" s="17" t="s">
        <v>9183</v>
      </c>
      <c r="B270" s="17" t="s">
        <v>440</v>
      </c>
      <c r="C270" s="17" t="s">
        <v>56</v>
      </c>
      <c r="D270" s="17" t="s">
        <v>16</v>
      </c>
      <c r="E270" s="18">
        <f>ROUND(11207*1.05,2)</f>
      </c>
      <c r="F270" s="17" t="s">
        <v>17</v>
      </c>
      <c r="G270" s="17" t="s">
        <v>18</v>
      </c>
      <c r="H270" s="18">
        <f>ROUND(RAND()*4+6,1)</f>
      </c>
      <c r="I270" s="17" t="s">
        <v>19</v>
      </c>
      <c r="J270" s="19">
        <f>ROUND(98*1,0)&amp;"%"</f>
      </c>
    </row>
    <row x14ac:dyDescent="0.25" r="271" customHeight="1" ht="17.25">
      <c r="A271" s="20" t="s">
        <v>9184</v>
      </c>
      <c r="B271" s="20" t="s">
        <v>442</v>
      </c>
      <c r="C271" s="20" t="s">
        <v>56</v>
      </c>
      <c r="D271" s="20" t="s">
        <v>22</v>
      </c>
      <c r="E271" s="21">
        <f>ROUND(12554*1.05,2)</f>
      </c>
      <c r="F271" s="20" t="s">
        <v>23</v>
      </c>
      <c r="G271" s="20" t="s">
        <v>24</v>
      </c>
      <c r="H271" s="21">
        <f>ROUND(RAND()*4+6,1)</f>
      </c>
      <c r="I271" s="20" t="s">
        <v>25</v>
      </c>
      <c r="J271" s="23">
        <f>ROUND(97*1,0)&amp;"%"</f>
      </c>
    </row>
    <row x14ac:dyDescent="0.25" r="272" customHeight="1" ht="17.25">
      <c r="A272" s="17" t="s">
        <v>9185</v>
      </c>
      <c r="B272" s="17" t="s">
        <v>444</v>
      </c>
      <c r="C272" s="17" t="s">
        <v>56</v>
      </c>
      <c r="D272" s="17" t="s">
        <v>28</v>
      </c>
      <c r="E272" s="18">
        <f>ROUND(6754*1.05,2)</f>
      </c>
      <c r="F272" s="17" t="s">
        <v>29</v>
      </c>
      <c r="G272" s="17" t="s">
        <v>30</v>
      </c>
      <c r="H272" s="26">
        <f>ROUND(RAND()*4+6,1)</f>
      </c>
      <c r="I272" s="17" t="s">
        <v>31</v>
      </c>
      <c r="J272" s="19">
        <f>ROUND(99*1,0)&amp;"%"</f>
      </c>
    </row>
    <row x14ac:dyDescent="0.25" r="273" customHeight="1" ht="17.25">
      <c r="A273" s="20" t="s">
        <v>9186</v>
      </c>
      <c r="B273" s="20" t="s">
        <v>446</v>
      </c>
      <c r="C273" s="20" t="s">
        <v>56</v>
      </c>
      <c r="D273" s="20" t="s">
        <v>34</v>
      </c>
      <c r="E273" s="21">
        <f>ROUND(5845*1.05,2)</f>
      </c>
      <c r="F273" s="20" t="s">
        <v>35</v>
      </c>
      <c r="G273" s="20" t="s">
        <v>18</v>
      </c>
      <c r="H273" s="22">
        <f>ROUND(RAND()*4+6,1)</f>
      </c>
      <c r="I273" s="20" t="s">
        <v>36</v>
      </c>
      <c r="J273" s="23">
        <f>ROUND(85*1,0)&amp;"%"</f>
      </c>
    </row>
    <row x14ac:dyDescent="0.25" r="274" customHeight="1" ht="17.25">
      <c r="A274" s="17" t="s">
        <v>9187</v>
      </c>
      <c r="B274" s="17" t="s">
        <v>448</v>
      </c>
      <c r="C274" s="17" t="s">
        <v>56</v>
      </c>
      <c r="D274" s="17" t="s">
        <v>39</v>
      </c>
      <c r="E274" s="18">
        <f>ROUND(9802*1.05,2)</f>
      </c>
      <c r="F274" s="17" t="s">
        <v>40</v>
      </c>
      <c r="G274" s="17" t="s">
        <v>24</v>
      </c>
      <c r="H274" s="18">
        <f>ROUND(RAND()*4+6,1)</f>
      </c>
      <c r="I274" s="17" t="s">
        <v>41</v>
      </c>
      <c r="J274" s="19">
        <f>ROUND(71*1,0)&amp;"%"</f>
      </c>
    </row>
    <row x14ac:dyDescent="0.25" r="275" customHeight="1" ht="17.25">
      <c r="A275" s="20" t="s">
        <v>9188</v>
      </c>
      <c r="B275" s="20" t="s">
        <v>450</v>
      </c>
      <c r="C275" s="20" t="s">
        <v>56</v>
      </c>
      <c r="D275" s="20" t="s">
        <v>67</v>
      </c>
      <c r="E275" s="21">
        <f>ROUND(7663*1.05,2)</f>
      </c>
      <c r="F275" s="20" t="s">
        <v>44</v>
      </c>
      <c r="G275" s="20" t="s">
        <v>30</v>
      </c>
      <c r="H275" s="21">
        <f>ROUND(RAND()*4+6,1)</f>
      </c>
      <c r="I275" s="20" t="s">
        <v>45</v>
      </c>
      <c r="J275" s="23">
        <f>ROUND(60*1,0)&amp;"%"</f>
      </c>
    </row>
    <row x14ac:dyDescent="0.25" r="276" customHeight="1" ht="17.25">
      <c r="A276" s="17" t="s">
        <v>9189</v>
      </c>
      <c r="B276" s="17" t="s">
        <v>452</v>
      </c>
      <c r="C276" s="17" t="s">
        <v>56</v>
      </c>
      <c r="D276" s="17" t="s">
        <v>16</v>
      </c>
      <c r="E276" s="18">
        <f>ROUND(14489*1.05,2)</f>
      </c>
      <c r="F276" s="17" t="s">
        <v>48</v>
      </c>
      <c r="G276" s="17" t="s">
        <v>18</v>
      </c>
      <c r="H276" s="18">
        <f>ROUND(RAND()*4+6,1)</f>
      </c>
      <c r="I276" s="17" t="s">
        <v>19</v>
      </c>
      <c r="J276" s="19">
        <f>ROUND(98*1,0)&amp;"%"</f>
      </c>
    </row>
    <row x14ac:dyDescent="0.25" r="277" customHeight="1" ht="17.25">
      <c r="A277" s="20" t="s">
        <v>9190</v>
      </c>
      <c r="B277" s="20" t="s">
        <v>454</v>
      </c>
      <c r="C277" s="20" t="s">
        <v>56</v>
      </c>
      <c r="D277" s="20" t="s">
        <v>22</v>
      </c>
      <c r="E277" s="22">
        <f>ROUND(10420*1.05,2)</f>
      </c>
      <c r="F277" s="20" t="s">
        <v>51</v>
      </c>
      <c r="G277" s="20" t="s">
        <v>24</v>
      </c>
      <c r="H277" s="21">
        <f>ROUND(RAND()*4+6,1)</f>
      </c>
      <c r="I277" s="20" t="s">
        <v>25</v>
      </c>
      <c r="J277" s="23">
        <f>ROUND(96*1,0)&amp;"%"</f>
      </c>
    </row>
    <row x14ac:dyDescent="0.25" r="278" customHeight="1" ht="17.25">
      <c r="A278" s="24" t="s">
        <v>455</v>
      </c>
      <c r="B278" s="24"/>
      <c r="C278" s="24"/>
      <c r="D278" s="24"/>
      <c r="E278" s="25">
        <v>8</v>
      </c>
      <c r="F278" s="9"/>
      <c r="G278" s="9"/>
      <c r="H278" s="10"/>
      <c r="I278" s="9"/>
      <c r="J278" s="9"/>
    </row>
    <row x14ac:dyDescent="0.25" r="279" customHeight="1" ht="17.25">
      <c r="A279" s="7"/>
      <c r="B279" s="7"/>
      <c r="C279" s="7"/>
      <c r="D279" s="7"/>
      <c r="E279" s="8"/>
      <c r="F279" s="9"/>
      <c r="G279" s="9"/>
      <c r="H279" s="10"/>
      <c r="I279" s="9"/>
      <c r="J279" s="9"/>
    </row>
    <row x14ac:dyDescent="0.25" r="280" customHeight="1" ht="17.25">
      <c r="A280" s="11" t="s">
        <v>9191</v>
      </c>
      <c r="B280" s="11"/>
      <c r="C280" s="11"/>
      <c r="D280" s="11"/>
      <c r="E280" s="12"/>
      <c r="F280" s="11"/>
      <c r="G280" s="11"/>
      <c r="H280" s="13"/>
      <c r="I280" s="11"/>
      <c r="J280" s="11"/>
    </row>
    <row x14ac:dyDescent="0.25" r="281" customHeight="1" ht="17.25">
      <c r="A281" s="14" t="s">
        <v>3</v>
      </c>
      <c r="B281" s="14" t="s">
        <v>4</v>
      </c>
      <c r="C281" s="14" t="s">
        <v>5</v>
      </c>
      <c r="D281" s="14" t="s">
        <v>6</v>
      </c>
      <c r="E281" s="15" t="s">
        <v>7</v>
      </c>
      <c r="F281" s="14" t="s">
        <v>8</v>
      </c>
      <c r="G281" s="14" t="s">
        <v>9</v>
      </c>
      <c r="H281" s="16" t="s">
        <v>10</v>
      </c>
      <c r="I281" s="14" t="s">
        <v>11</v>
      </c>
      <c r="J281" s="14" t="s">
        <v>12</v>
      </c>
    </row>
    <row x14ac:dyDescent="0.25" r="282" customHeight="1" ht="17.25">
      <c r="A282" s="17" t="s">
        <v>9192</v>
      </c>
      <c r="B282" s="17" t="s">
        <v>458</v>
      </c>
      <c r="C282" s="17" t="s">
        <v>76</v>
      </c>
      <c r="D282" s="17" t="s">
        <v>16</v>
      </c>
      <c r="E282" s="18">
        <f>ROUND(7607*1.05,2)</f>
      </c>
      <c r="F282" s="17" t="s">
        <v>17</v>
      </c>
      <c r="G282" s="17" t="s">
        <v>18</v>
      </c>
      <c r="H282" s="18">
        <f>ROUND(RAND()*4+6,1)</f>
      </c>
      <c r="I282" s="17" t="s">
        <v>19</v>
      </c>
      <c r="J282" s="19">
        <f>ROUND(74*1,0)&amp;"%"</f>
      </c>
    </row>
    <row x14ac:dyDescent="0.25" r="283" customHeight="1" ht="17.25">
      <c r="A283" s="20" t="s">
        <v>9193</v>
      </c>
      <c r="B283" s="20" t="s">
        <v>460</v>
      </c>
      <c r="C283" s="20" t="s">
        <v>76</v>
      </c>
      <c r="D283" s="20" t="s">
        <v>22</v>
      </c>
      <c r="E283" s="21">
        <f>ROUND(16762*1.05,2)</f>
      </c>
      <c r="F283" s="20" t="s">
        <v>23</v>
      </c>
      <c r="G283" s="20" t="s">
        <v>24</v>
      </c>
      <c r="H283" s="21">
        <f>ROUND(RAND()*4+6,1)</f>
      </c>
      <c r="I283" s="20" t="s">
        <v>25</v>
      </c>
      <c r="J283" s="23">
        <f>ROUND(89*1,0)&amp;"%"</f>
      </c>
    </row>
    <row x14ac:dyDescent="0.25" r="284" customHeight="1" ht="17.25">
      <c r="A284" s="17" t="s">
        <v>9194</v>
      </c>
      <c r="B284" s="17" t="s">
        <v>462</v>
      </c>
      <c r="C284" s="17" t="s">
        <v>76</v>
      </c>
      <c r="D284" s="17" t="s">
        <v>28</v>
      </c>
      <c r="E284" s="18">
        <f>ROUND(15794*1.05,2)</f>
      </c>
      <c r="F284" s="17" t="s">
        <v>29</v>
      </c>
      <c r="G284" s="17" t="s">
        <v>30</v>
      </c>
      <c r="H284" s="18">
        <f>ROUND(RAND()*4+6,1)</f>
      </c>
      <c r="I284" s="17" t="s">
        <v>31</v>
      </c>
      <c r="J284" s="19">
        <f>ROUND(88*1,0)&amp;"%"</f>
      </c>
    </row>
    <row x14ac:dyDescent="0.25" r="285" customHeight="1" ht="17.25">
      <c r="A285" s="20" t="s">
        <v>9195</v>
      </c>
      <c r="B285" s="20" t="s">
        <v>464</v>
      </c>
      <c r="C285" s="20" t="s">
        <v>76</v>
      </c>
      <c r="D285" s="20" t="s">
        <v>34</v>
      </c>
      <c r="E285" s="21">
        <f>ROUND(7143*1.05,2)</f>
      </c>
      <c r="F285" s="20" t="s">
        <v>35</v>
      </c>
      <c r="G285" s="20" t="s">
        <v>18</v>
      </c>
      <c r="H285" s="21">
        <f>ROUND(RAND()*4+6,1)</f>
      </c>
      <c r="I285" s="20" t="s">
        <v>36</v>
      </c>
      <c r="J285" s="23">
        <f>ROUND(81*1,0)&amp;"%"</f>
      </c>
    </row>
    <row x14ac:dyDescent="0.25" r="286" customHeight="1" ht="17.25">
      <c r="A286" s="17" t="s">
        <v>9196</v>
      </c>
      <c r="B286" s="17" t="s">
        <v>466</v>
      </c>
      <c r="C286" s="17" t="s">
        <v>76</v>
      </c>
      <c r="D286" s="17" t="s">
        <v>39</v>
      </c>
      <c r="E286" s="18">
        <f>ROUND(15948*1.05,2)</f>
      </c>
      <c r="F286" s="17" t="s">
        <v>40</v>
      </c>
      <c r="G286" s="17" t="s">
        <v>24</v>
      </c>
      <c r="H286" s="18">
        <f>ROUND(RAND()*4+6,1)</f>
      </c>
      <c r="I286" s="17" t="s">
        <v>41</v>
      </c>
      <c r="J286" s="19">
        <f>ROUND(89*1,0)&amp;"%"</f>
      </c>
    </row>
    <row x14ac:dyDescent="0.25" r="287" customHeight="1" ht="17.25">
      <c r="A287" s="20" t="s">
        <v>9197</v>
      </c>
      <c r="B287" s="20" t="s">
        <v>468</v>
      </c>
      <c r="C287" s="20" t="s">
        <v>76</v>
      </c>
      <c r="D287" s="20" t="s">
        <v>67</v>
      </c>
      <c r="E287" s="21">
        <f>ROUND(4018*1.05,2)</f>
      </c>
      <c r="F287" s="20" t="s">
        <v>44</v>
      </c>
      <c r="G287" s="20" t="s">
        <v>30</v>
      </c>
      <c r="H287" s="21">
        <f>ROUND(RAND()*4+6,1)</f>
      </c>
      <c r="I287" s="20" t="s">
        <v>45</v>
      </c>
      <c r="J287" s="23">
        <f>ROUND(69*1,0)&amp;"%"</f>
      </c>
    </row>
    <row x14ac:dyDescent="0.25" r="288" customHeight="1" ht="17.25">
      <c r="A288" s="17" t="s">
        <v>9198</v>
      </c>
      <c r="B288" s="17" t="s">
        <v>470</v>
      </c>
      <c r="C288" s="17" t="s">
        <v>76</v>
      </c>
      <c r="D288" s="17" t="s">
        <v>16</v>
      </c>
      <c r="E288" s="18">
        <f>ROUND(15552*1.05,2)</f>
      </c>
      <c r="F288" s="17" t="s">
        <v>48</v>
      </c>
      <c r="G288" s="17" t="s">
        <v>18</v>
      </c>
      <c r="H288" s="26">
        <f>ROUND(RAND()*4+6,1)</f>
      </c>
      <c r="I288" s="17" t="s">
        <v>19</v>
      </c>
      <c r="J288" s="19">
        <f>ROUND(73*1,0)&amp;"%"</f>
      </c>
    </row>
    <row x14ac:dyDescent="0.25" r="289" customHeight="1" ht="17.25">
      <c r="A289" s="20" t="s">
        <v>9199</v>
      </c>
      <c r="B289" s="20" t="s">
        <v>472</v>
      </c>
      <c r="C289" s="20" t="s">
        <v>76</v>
      </c>
      <c r="D289" s="20" t="s">
        <v>22</v>
      </c>
      <c r="E289" s="21">
        <f>ROUND(6472*1.05,2)</f>
      </c>
      <c r="F289" s="20" t="s">
        <v>51</v>
      </c>
      <c r="G289" s="20" t="s">
        <v>24</v>
      </c>
      <c r="H289" s="21">
        <f>ROUND(RAND()*4+6,1)</f>
      </c>
      <c r="I289" s="20" t="s">
        <v>25</v>
      </c>
      <c r="J289" s="23">
        <f>ROUND(88*1,0)&amp;"%"</f>
      </c>
    </row>
    <row x14ac:dyDescent="0.25" r="290" customHeight="1" ht="17.25">
      <c r="A290" s="24" t="s">
        <v>473</v>
      </c>
      <c r="B290" s="24"/>
      <c r="C290" s="24"/>
      <c r="D290" s="24"/>
      <c r="E290" s="25">
        <v>8</v>
      </c>
      <c r="F290" s="9"/>
      <c r="G290" s="9"/>
      <c r="H290" s="10"/>
      <c r="I290" s="9"/>
      <c r="J290" s="9"/>
    </row>
    <row x14ac:dyDescent="0.25" r="291" customHeight="1" ht="17.25">
      <c r="A291" s="7"/>
      <c r="B291" s="7"/>
      <c r="C291" s="7"/>
      <c r="D291" s="7"/>
      <c r="E291" s="8"/>
      <c r="F291" s="9"/>
      <c r="G291" s="9"/>
      <c r="H291" s="10"/>
      <c r="I291" s="9"/>
      <c r="J291" s="9"/>
    </row>
    <row x14ac:dyDescent="0.25" r="292" customHeight="1" ht="17.25">
      <c r="A292" s="11" t="s">
        <v>9200</v>
      </c>
      <c r="B292" s="11"/>
      <c r="C292" s="11"/>
      <c r="D292" s="11"/>
      <c r="E292" s="12"/>
      <c r="F292" s="11"/>
      <c r="G292" s="11"/>
      <c r="H292" s="13"/>
      <c r="I292" s="11"/>
      <c r="J292" s="11"/>
    </row>
    <row x14ac:dyDescent="0.25" r="293" customHeight="1" ht="17.25">
      <c r="A293" s="14" t="s">
        <v>3</v>
      </c>
      <c r="B293" s="14" t="s">
        <v>4</v>
      </c>
      <c r="C293" s="14" t="s">
        <v>5</v>
      </c>
      <c r="D293" s="14" t="s">
        <v>6</v>
      </c>
      <c r="E293" s="15" t="s">
        <v>7</v>
      </c>
      <c r="F293" s="14" t="s">
        <v>8</v>
      </c>
      <c r="G293" s="14" t="s">
        <v>9</v>
      </c>
      <c r="H293" s="16" t="s">
        <v>10</v>
      </c>
      <c r="I293" s="14" t="s">
        <v>11</v>
      </c>
      <c r="J293" s="14" t="s">
        <v>12</v>
      </c>
    </row>
    <row x14ac:dyDescent="0.25" r="294" customHeight="1" ht="17.25">
      <c r="A294" s="17" t="s">
        <v>9201</v>
      </c>
      <c r="B294" s="17" t="s">
        <v>476</v>
      </c>
      <c r="C294" s="17" t="s">
        <v>95</v>
      </c>
      <c r="D294" s="17" t="s">
        <v>16</v>
      </c>
      <c r="E294" s="18">
        <f>ROUND(16523*1.05,2)</f>
      </c>
      <c r="F294" s="17" t="s">
        <v>17</v>
      </c>
      <c r="G294" s="17" t="s">
        <v>18</v>
      </c>
      <c r="H294" s="18">
        <f>ROUND(RAND()*4+6,1)</f>
      </c>
      <c r="I294" s="17" t="s">
        <v>19</v>
      </c>
      <c r="J294" s="19">
        <f>ROUND(71*1,0)&amp;"%"</f>
      </c>
    </row>
    <row x14ac:dyDescent="0.25" r="295" customHeight="1" ht="17.25">
      <c r="A295" s="20" t="s">
        <v>9202</v>
      </c>
      <c r="B295" s="20" t="s">
        <v>478</v>
      </c>
      <c r="C295" s="20" t="s">
        <v>95</v>
      </c>
      <c r="D295" s="20" t="s">
        <v>22</v>
      </c>
      <c r="E295" s="21">
        <f>ROUND(16425*1.05,2)</f>
      </c>
      <c r="F295" s="20" t="s">
        <v>23</v>
      </c>
      <c r="G295" s="20" t="s">
        <v>24</v>
      </c>
      <c r="H295" s="21">
        <f>ROUND(RAND()*4+6,1)</f>
      </c>
      <c r="I295" s="20" t="s">
        <v>25</v>
      </c>
      <c r="J295" s="23">
        <f>ROUND(60*1,0)&amp;"%"</f>
      </c>
    </row>
    <row x14ac:dyDescent="0.25" r="296" customHeight="1" ht="17.25">
      <c r="A296" s="17" t="s">
        <v>9203</v>
      </c>
      <c r="B296" s="17" t="s">
        <v>480</v>
      </c>
      <c r="C296" s="17" t="s">
        <v>95</v>
      </c>
      <c r="D296" s="17" t="s">
        <v>28</v>
      </c>
      <c r="E296" s="18">
        <f>ROUND(15871*1.05,2)</f>
      </c>
      <c r="F296" s="17" t="s">
        <v>29</v>
      </c>
      <c r="G296" s="17" t="s">
        <v>30</v>
      </c>
      <c r="H296" s="18">
        <f>ROUND(RAND()*4+6,1)</f>
      </c>
      <c r="I296" s="17" t="s">
        <v>31</v>
      </c>
      <c r="J296" s="19">
        <f>ROUND(80*1,0)&amp;"%"</f>
      </c>
    </row>
    <row x14ac:dyDescent="0.25" r="297" customHeight="1" ht="17.25">
      <c r="A297" s="20" t="s">
        <v>9204</v>
      </c>
      <c r="B297" s="20" t="s">
        <v>482</v>
      </c>
      <c r="C297" s="20" t="s">
        <v>95</v>
      </c>
      <c r="D297" s="20" t="s">
        <v>34</v>
      </c>
      <c r="E297" s="21">
        <f>ROUND(12534*1.05,2)</f>
      </c>
      <c r="F297" s="20" t="s">
        <v>35</v>
      </c>
      <c r="G297" s="20" t="s">
        <v>18</v>
      </c>
      <c r="H297" s="21">
        <f>ROUND(RAND()*4+6,1)</f>
      </c>
      <c r="I297" s="20" t="s">
        <v>36</v>
      </c>
      <c r="J297" s="23">
        <f>ROUND(91*1,0)&amp;"%"</f>
      </c>
    </row>
    <row x14ac:dyDescent="0.25" r="298" customHeight="1" ht="17.25">
      <c r="A298" s="17" t="s">
        <v>9205</v>
      </c>
      <c r="B298" s="17" t="s">
        <v>484</v>
      </c>
      <c r="C298" s="17" t="s">
        <v>95</v>
      </c>
      <c r="D298" s="17" t="s">
        <v>39</v>
      </c>
      <c r="E298" s="18">
        <f>ROUND(6830*1.05,2)</f>
      </c>
      <c r="F298" s="17" t="s">
        <v>40</v>
      </c>
      <c r="G298" s="17" t="s">
        <v>24</v>
      </c>
      <c r="H298" s="18">
        <f>ROUND(RAND()*4+6,1)</f>
      </c>
      <c r="I298" s="17" t="s">
        <v>41</v>
      </c>
      <c r="J298" s="19">
        <f>ROUND(89*1,0)&amp;"%"</f>
      </c>
    </row>
    <row x14ac:dyDescent="0.25" r="299" customHeight="1" ht="17.25">
      <c r="A299" s="20" t="s">
        <v>9206</v>
      </c>
      <c r="B299" s="20" t="s">
        <v>486</v>
      </c>
      <c r="C299" s="20" t="s">
        <v>95</v>
      </c>
      <c r="D299" s="20" t="s">
        <v>67</v>
      </c>
      <c r="E299" s="21">
        <f>ROUND(16553*1.05,2)</f>
      </c>
      <c r="F299" s="20" t="s">
        <v>44</v>
      </c>
      <c r="G299" s="20" t="s">
        <v>30</v>
      </c>
      <c r="H299" s="21">
        <f>ROUND(RAND()*4+6,1)</f>
      </c>
      <c r="I299" s="20" t="s">
        <v>45</v>
      </c>
      <c r="J299" s="23">
        <f>ROUND(76*1,0)&amp;"%"</f>
      </c>
    </row>
    <row x14ac:dyDescent="0.25" r="300" customHeight="1" ht="17.25">
      <c r="A300" s="17" t="s">
        <v>9207</v>
      </c>
      <c r="B300" s="17" t="s">
        <v>488</v>
      </c>
      <c r="C300" s="17" t="s">
        <v>95</v>
      </c>
      <c r="D300" s="17" t="s">
        <v>16</v>
      </c>
      <c r="E300" s="18">
        <f>ROUND(17748*1.05,2)</f>
      </c>
      <c r="F300" s="17" t="s">
        <v>48</v>
      </c>
      <c r="G300" s="17" t="s">
        <v>18</v>
      </c>
      <c r="H300" s="18">
        <f>ROUND(RAND()*4+6,1)</f>
      </c>
      <c r="I300" s="17" t="s">
        <v>19</v>
      </c>
      <c r="J300" s="19">
        <f>ROUND(91*1,0)&amp;"%"</f>
      </c>
    </row>
    <row x14ac:dyDescent="0.25" r="301" customHeight="1" ht="17.25">
      <c r="A301" s="20" t="s">
        <v>9208</v>
      </c>
      <c r="B301" s="20" t="s">
        <v>490</v>
      </c>
      <c r="C301" s="20" t="s">
        <v>95</v>
      </c>
      <c r="D301" s="20" t="s">
        <v>22</v>
      </c>
      <c r="E301" s="21">
        <f>ROUND(12702*1.05,2)</f>
      </c>
      <c r="F301" s="20" t="s">
        <v>51</v>
      </c>
      <c r="G301" s="20" t="s">
        <v>24</v>
      </c>
      <c r="H301" s="21">
        <f>ROUND(RAND()*4+6,1)</f>
      </c>
      <c r="I301" s="20" t="s">
        <v>25</v>
      </c>
      <c r="J301" s="23">
        <f>ROUND(76*1,0)&amp;"%"</f>
      </c>
    </row>
    <row x14ac:dyDescent="0.25" r="302" customHeight="1" ht="17.25">
      <c r="A302" s="24" t="s">
        <v>491</v>
      </c>
      <c r="B302" s="24"/>
      <c r="C302" s="24"/>
      <c r="D302" s="24"/>
      <c r="E302" s="25">
        <v>8</v>
      </c>
      <c r="F302" s="9"/>
      <c r="G302" s="9"/>
      <c r="H302" s="10"/>
      <c r="I302" s="9"/>
      <c r="J302" s="9"/>
    </row>
    <row x14ac:dyDescent="0.25" r="303" customHeight="1" ht="17.25">
      <c r="A303" s="7"/>
      <c r="B303" s="7"/>
      <c r="C303" s="7"/>
      <c r="D303" s="7"/>
      <c r="E303" s="8"/>
      <c r="F303" s="9"/>
      <c r="G303" s="9"/>
      <c r="H303" s="10"/>
      <c r="I303" s="9"/>
      <c r="J303" s="9"/>
    </row>
    <row x14ac:dyDescent="0.25" r="304" customHeight="1" ht="17.25">
      <c r="A304" s="11" t="s">
        <v>9209</v>
      </c>
      <c r="B304" s="11"/>
      <c r="C304" s="11"/>
      <c r="D304" s="11"/>
      <c r="E304" s="12"/>
      <c r="F304" s="11"/>
      <c r="G304" s="11"/>
      <c r="H304" s="13"/>
      <c r="I304" s="11"/>
      <c r="J304" s="11"/>
    </row>
    <row x14ac:dyDescent="0.25" r="305" customHeight="1" ht="17.25">
      <c r="A305" s="14" t="s">
        <v>3</v>
      </c>
      <c r="B305" s="14" t="s">
        <v>4</v>
      </c>
      <c r="C305" s="14" t="s">
        <v>5</v>
      </c>
      <c r="D305" s="14" t="s">
        <v>6</v>
      </c>
      <c r="E305" s="15" t="s">
        <v>7</v>
      </c>
      <c r="F305" s="14" t="s">
        <v>8</v>
      </c>
      <c r="G305" s="14" t="s">
        <v>9</v>
      </c>
      <c r="H305" s="16" t="s">
        <v>10</v>
      </c>
      <c r="I305" s="14" t="s">
        <v>11</v>
      </c>
      <c r="J305" s="14" t="s">
        <v>12</v>
      </c>
    </row>
    <row x14ac:dyDescent="0.25" r="306" customHeight="1" ht="17.25">
      <c r="A306" s="17" t="s">
        <v>9210</v>
      </c>
      <c r="B306" s="17" t="s">
        <v>494</v>
      </c>
      <c r="C306" s="17" t="s">
        <v>114</v>
      </c>
      <c r="D306" s="17" t="s">
        <v>16</v>
      </c>
      <c r="E306" s="18">
        <f>ROUND(5644*1.05,2)</f>
      </c>
      <c r="F306" s="17" t="s">
        <v>17</v>
      </c>
      <c r="G306" s="17" t="s">
        <v>18</v>
      </c>
      <c r="H306" s="18">
        <f>ROUND(RAND()*4+6,1)</f>
      </c>
      <c r="I306" s="17" t="s">
        <v>19</v>
      </c>
      <c r="J306" s="19">
        <f>ROUND(68*1,0)&amp;"%"</f>
      </c>
    </row>
    <row x14ac:dyDescent="0.25" r="307" customHeight="1" ht="17.25">
      <c r="A307" s="20" t="s">
        <v>9211</v>
      </c>
      <c r="B307" s="20" t="s">
        <v>496</v>
      </c>
      <c r="C307" s="20" t="s">
        <v>114</v>
      </c>
      <c r="D307" s="20" t="s">
        <v>22</v>
      </c>
      <c r="E307" s="21">
        <f>ROUND(12468*1.05,2)</f>
      </c>
      <c r="F307" s="20" t="s">
        <v>23</v>
      </c>
      <c r="G307" s="20" t="s">
        <v>24</v>
      </c>
      <c r="H307" s="22">
        <f>ROUND(RAND()*4+6,1)</f>
      </c>
      <c r="I307" s="20" t="s">
        <v>25</v>
      </c>
      <c r="J307" s="23">
        <f>ROUND(64*1,0)&amp;"%"</f>
      </c>
    </row>
    <row x14ac:dyDescent="0.25" r="308" customHeight="1" ht="17.25">
      <c r="A308" s="17" t="s">
        <v>9212</v>
      </c>
      <c r="B308" s="17" t="s">
        <v>498</v>
      </c>
      <c r="C308" s="17" t="s">
        <v>114</v>
      </c>
      <c r="D308" s="17" t="s">
        <v>28</v>
      </c>
      <c r="E308" s="18">
        <f>ROUND(6248*1.05,2)</f>
      </c>
      <c r="F308" s="17" t="s">
        <v>29</v>
      </c>
      <c r="G308" s="17" t="s">
        <v>30</v>
      </c>
      <c r="H308" s="18">
        <f>ROUND(RAND()*4+6,1)</f>
      </c>
      <c r="I308" s="17" t="s">
        <v>31</v>
      </c>
      <c r="J308" s="19">
        <f>ROUND(85*1,0)&amp;"%"</f>
      </c>
    </row>
    <row x14ac:dyDescent="0.25" r="309" customHeight="1" ht="17.25">
      <c r="A309" s="20" t="s">
        <v>9213</v>
      </c>
      <c r="B309" s="20" t="s">
        <v>500</v>
      </c>
      <c r="C309" s="20" t="s">
        <v>114</v>
      </c>
      <c r="D309" s="20" t="s">
        <v>34</v>
      </c>
      <c r="E309" s="21">
        <f>ROUND(5871*1.05,2)</f>
      </c>
      <c r="F309" s="20" t="s">
        <v>35</v>
      </c>
      <c r="G309" s="20" t="s">
        <v>18</v>
      </c>
      <c r="H309" s="21">
        <f>ROUND(RAND()*4+6,1)</f>
      </c>
      <c r="I309" s="20" t="s">
        <v>36</v>
      </c>
      <c r="J309" s="23">
        <f>ROUND(96*1,0)&amp;"%"</f>
      </c>
    </row>
    <row x14ac:dyDescent="0.25" r="310" customHeight="1" ht="17.25">
      <c r="A310" s="17" t="s">
        <v>9214</v>
      </c>
      <c r="B310" s="17" t="s">
        <v>502</v>
      </c>
      <c r="C310" s="17" t="s">
        <v>114</v>
      </c>
      <c r="D310" s="17" t="s">
        <v>39</v>
      </c>
      <c r="E310" s="18">
        <f>ROUND(14111*1.05,2)</f>
      </c>
      <c r="F310" s="17" t="s">
        <v>40</v>
      </c>
      <c r="G310" s="17" t="s">
        <v>24</v>
      </c>
      <c r="H310" s="26">
        <f>ROUND(RAND()*4+6,1)</f>
      </c>
      <c r="I310" s="17" t="s">
        <v>41</v>
      </c>
      <c r="J310" s="19">
        <f>ROUND(97*1,0)&amp;"%"</f>
      </c>
    </row>
    <row x14ac:dyDescent="0.25" r="311" customHeight="1" ht="17.25">
      <c r="A311" s="20" t="s">
        <v>9215</v>
      </c>
      <c r="B311" s="20" t="s">
        <v>504</v>
      </c>
      <c r="C311" s="20" t="s">
        <v>114</v>
      </c>
      <c r="D311" s="20" t="s">
        <v>67</v>
      </c>
      <c r="E311" s="21">
        <f>ROUND(10792*1.05,2)</f>
      </c>
      <c r="F311" s="20" t="s">
        <v>44</v>
      </c>
      <c r="G311" s="20" t="s">
        <v>30</v>
      </c>
      <c r="H311" s="21">
        <f>ROUND(RAND()*4+6,1)</f>
      </c>
      <c r="I311" s="20" t="s">
        <v>45</v>
      </c>
      <c r="J311" s="23">
        <f>ROUND(100*1,0)&amp;"%"</f>
      </c>
    </row>
    <row x14ac:dyDescent="0.25" r="312" customHeight="1" ht="17.25">
      <c r="A312" s="17" t="s">
        <v>9216</v>
      </c>
      <c r="B312" s="17" t="s">
        <v>506</v>
      </c>
      <c r="C312" s="17" t="s">
        <v>114</v>
      </c>
      <c r="D312" s="17" t="s">
        <v>16</v>
      </c>
      <c r="E312" s="18">
        <f>ROUND(16258*1.05,2)</f>
      </c>
      <c r="F312" s="17" t="s">
        <v>48</v>
      </c>
      <c r="G312" s="17" t="s">
        <v>18</v>
      </c>
      <c r="H312" s="18">
        <f>ROUND(RAND()*4+6,1)</f>
      </c>
      <c r="I312" s="17" t="s">
        <v>19</v>
      </c>
      <c r="J312" s="19">
        <f>ROUND(86*1,0)&amp;"%"</f>
      </c>
    </row>
    <row x14ac:dyDescent="0.25" r="313" customHeight="1" ht="17.25">
      <c r="A313" s="20" t="s">
        <v>9217</v>
      </c>
      <c r="B313" s="20" t="s">
        <v>508</v>
      </c>
      <c r="C313" s="20" t="s">
        <v>114</v>
      </c>
      <c r="D313" s="20" t="s">
        <v>22</v>
      </c>
      <c r="E313" s="21">
        <f>ROUND(11550*1.05,2)</f>
      </c>
      <c r="F313" s="20" t="s">
        <v>51</v>
      </c>
      <c r="G313" s="20" t="s">
        <v>24</v>
      </c>
      <c r="H313" s="22">
        <f>ROUND(RAND()*4+6,1)</f>
      </c>
      <c r="I313" s="20" t="s">
        <v>25</v>
      </c>
      <c r="J313" s="23">
        <f>ROUND(78*1,0)&amp;"%"</f>
      </c>
    </row>
    <row x14ac:dyDescent="0.25" r="314" customHeight="1" ht="17.25">
      <c r="A314" s="24" t="s">
        <v>509</v>
      </c>
      <c r="B314" s="24"/>
      <c r="C314" s="24"/>
      <c r="D314" s="24"/>
      <c r="E314" s="25">
        <v>8</v>
      </c>
      <c r="F314" s="9"/>
      <c r="G314" s="9"/>
      <c r="H314" s="10"/>
      <c r="I314" s="9"/>
      <c r="J314" s="9"/>
    </row>
    <row x14ac:dyDescent="0.25" r="315" customHeight="1" ht="17.25">
      <c r="A315" s="7"/>
      <c r="B315" s="7"/>
      <c r="C315" s="7"/>
      <c r="D315" s="7"/>
      <c r="E315" s="8"/>
      <c r="F315" s="9"/>
      <c r="G315" s="9"/>
      <c r="H315" s="10"/>
      <c r="I315" s="9"/>
      <c r="J315" s="9"/>
    </row>
    <row x14ac:dyDescent="0.25" r="316" customHeight="1" ht="17.25">
      <c r="A316" s="11" t="s">
        <v>9218</v>
      </c>
      <c r="B316" s="11"/>
      <c r="C316" s="11"/>
      <c r="D316" s="11"/>
      <c r="E316" s="12"/>
      <c r="F316" s="11"/>
      <c r="G316" s="11"/>
      <c r="H316" s="13"/>
      <c r="I316" s="11"/>
      <c r="J316" s="11"/>
    </row>
    <row x14ac:dyDescent="0.25" r="317" customHeight="1" ht="17.25">
      <c r="A317" s="14" t="s">
        <v>3</v>
      </c>
      <c r="B317" s="14" t="s">
        <v>4</v>
      </c>
      <c r="C317" s="14" t="s">
        <v>5</v>
      </c>
      <c r="D317" s="14" t="s">
        <v>6</v>
      </c>
      <c r="E317" s="15" t="s">
        <v>7</v>
      </c>
      <c r="F317" s="14" t="s">
        <v>8</v>
      </c>
      <c r="G317" s="14" t="s">
        <v>9</v>
      </c>
      <c r="H317" s="16" t="s">
        <v>10</v>
      </c>
      <c r="I317" s="14" t="s">
        <v>11</v>
      </c>
      <c r="J317" s="14" t="s">
        <v>12</v>
      </c>
    </row>
    <row x14ac:dyDescent="0.25" r="318" customHeight="1" ht="17.25">
      <c r="A318" s="17" t="s">
        <v>9219</v>
      </c>
      <c r="B318" s="17" t="s">
        <v>512</v>
      </c>
      <c r="C318" s="17" t="s">
        <v>133</v>
      </c>
      <c r="D318" s="17" t="s">
        <v>16</v>
      </c>
      <c r="E318" s="18">
        <f>ROUND(6352*1.05,2)</f>
      </c>
      <c r="F318" s="17" t="s">
        <v>17</v>
      </c>
      <c r="G318" s="17" t="s">
        <v>18</v>
      </c>
      <c r="H318" s="18">
        <f>ROUND(RAND()*4+6,1)</f>
      </c>
      <c r="I318" s="17" t="s">
        <v>19</v>
      </c>
      <c r="J318" s="19">
        <f>ROUND(80*1,0)&amp;"%"</f>
      </c>
    </row>
    <row x14ac:dyDescent="0.25" r="319" customHeight="1" ht="17.25">
      <c r="A319" s="20" t="s">
        <v>9220</v>
      </c>
      <c r="B319" s="20" t="s">
        <v>514</v>
      </c>
      <c r="C319" s="20" t="s">
        <v>133</v>
      </c>
      <c r="D319" s="20" t="s">
        <v>22</v>
      </c>
      <c r="E319" s="21">
        <f>ROUND(8247*1.05,2)</f>
      </c>
      <c r="F319" s="20" t="s">
        <v>23</v>
      </c>
      <c r="G319" s="20" t="s">
        <v>24</v>
      </c>
      <c r="H319" s="21">
        <f>ROUND(RAND()*4+6,1)</f>
      </c>
      <c r="I319" s="20" t="s">
        <v>25</v>
      </c>
      <c r="J319" s="23">
        <f>ROUND(79*1,0)&amp;"%"</f>
      </c>
    </row>
    <row x14ac:dyDescent="0.25" r="320" customHeight="1" ht="17.25">
      <c r="A320" s="17" t="s">
        <v>9221</v>
      </c>
      <c r="B320" s="17" t="s">
        <v>516</v>
      </c>
      <c r="C320" s="17" t="s">
        <v>133</v>
      </c>
      <c r="D320" s="17" t="s">
        <v>28</v>
      </c>
      <c r="E320" s="18">
        <f>ROUND(13499*1.05,2)</f>
      </c>
      <c r="F320" s="17" t="s">
        <v>29</v>
      </c>
      <c r="G320" s="17" t="s">
        <v>30</v>
      </c>
      <c r="H320" s="18">
        <f>ROUND(RAND()*4+6,1)</f>
      </c>
      <c r="I320" s="17" t="s">
        <v>31</v>
      </c>
      <c r="J320" s="19">
        <f>ROUND(62*1,0)&amp;"%"</f>
      </c>
    </row>
    <row x14ac:dyDescent="0.25" r="321" customHeight="1" ht="17.25">
      <c r="A321" s="20" t="s">
        <v>9222</v>
      </c>
      <c r="B321" s="20" t="s">
        <v>518</v>
      </c>
      <c r="C321" s="20" t="s">
        <v>133</v>
      </c>
      <c r="D321" s="20" t="s">
        <v>34</v>
      </c>
      <c r="E321" s="21">
        <f>ROUND(12286*1.05,2)</f>
      </c>
      <c r="F321" s="20" t="s">
        <v>35</v>
      </c>
      <c r="G321" s="20" t="s">
        <v>18</v>
      </c>
      <c r="H321" s="21">
        <f>ROUND(RAND()*4+6,1)</f>
      </c>
      <c r="I321" s="20" t="s">
        <v>36</v>
      </c>
      <c r="J321" s="23">
        <f>ROUND(98*1,0)&amp;"%"</f>
      </c>
    </row>
    <row x14ac:dyDescent="0.25" r="322" customHeight="1" ht="17.25">
      <c r="A322" s="17" t="s">
        <v>9223</v>
      </c>
      <c r="B322" s="17" t="s">
        <v>520</v>
      </c>
      <c r="C322" s="17" t="s">
        <v>133</v>
      </c>
      <c r="D322" s="17" t="s">
        <v>39</v>
      </c>
      <c r="E322" s="18">
        <f>ROUND(6948*1.05,2)</f>
      </c>
      <c r="F322" s="17" t="s">
        <v>40</v>
      </c>
      <c r="G322" s="17" t="s">
        <v>24</v>
      </c>
      <c r="H322" s="18">
        <f>ROUND(RAND()*4+6,1)</f>
      </c>
      <c r="I322" s="17" t="s">
        <v>41</v>
      </c>
      <c r="J322" s="19">
        <f>ROUND(94*1,0)&amp;"%"</f>
      </c>
    </row>
    <row x14ac:dyDescent="0.25" r="323" customHeight="1" ht="17.25">
      <c r="A323" s="20" t="s">
        <v>9224</v>
      </c>
      <c r="B323" s="20" t="s">
        <v>522</v>
      </c>
      <c r="C323" s="20" t="s">
        <v>133</v>
      </c>
      <c r="D323" s="20" t="s">
        <v>67</v>
      </c>
      <c r="E323" s="21">
        <f>ROUND(7887*1.05,2)</f>
      </c>
      <c r="F323" s="20" t="s">
        <v>44</v>
      </c>
      <c r="G323" s="20" t="s">
        <v>30</v>
      </c>
      <c r="H323" s="21">
        <f>ROUND(RAND()*4+6,1)</f>
      </c>
      <c r="I323" s="20" t="s">
        <v>45</v>
      </c>
      <c r="J323" s="23">
        <f>ROUND(75*1,0)&amp;"%"</f>
      </c>
    </row>
    <row x14ac:dyDescent="0.25" r="324" customHeight="1" ht="17.25">
      <c r="A324" s="17" t="s">
        <v>9225</v>
      </c>
      <c r="B324" s="17" t="s">
        <v>524</v>
      </c>
      <c r="C324" s="17" t="s">
        <v>133</v>
      </c>
      <c r="D324" s="17" t="s">
        <v>16</v>
      </c>
      <c r="E324" s="18">
        <f>ROUND(6756*1.05,2)</f>
      </c>
      <c r="F324" s="17" t="s">
        <v>48</v>
      </c>
      <c r="G324" s="17" t="s">
        <v>18</v>
      </c>
      <c r="H324" s="18">
        <f>ROUND(RAND()*4+6,1)</f>
      </c>
      <c r="I324" s="17" t="s">
        <v>19</v>
      </c>
      <c r="J324" s="19">
        <f>ROUND(66*1,0)&amp;"%"</f>
      </c>
    </row>
    <row x14ac:dyDescent="0.25" r="325" customHeight="1" ht="17.25">
      <c r="A325" s="20" t="s">
        <v>9226</v>
      </c>
      <c r="B325" s="20" t="s">
        <v>526</v>
      </c>
      <c r="C325" s="20" t="s">
        <v>133</v>
      </c>
      <c r="D325" s="20" t="s">
        <v>22</v>
      </c>
      <c r="E325" s="21">
        <f>ROUND(13452*1.05,2)</f>
      </c>
      <c r="F325" s="20" t="s">
        <v>51</v>
      </c>
      <c r="G325" s="20" t="s">
        <v>24</v>
      </c>
      <c r="H325" s="21">
        <f>ROUND(RAND()*4+6,1)</f>
      </c>
      <c r="I325" s="20" t="s">
        <v>25</v>
      </c>
      <c r="J325" s="23">
        <f>ROUND(77*1,0)&amp;"%"</f>
      </c>
    </row>
    <row x14ac:dyDescent="0.25" r="326" customHeight="1" ht="17.25">
      <c r="A326" s="24" t="s">
        <v>527</v>
      </c>
      <c r="B326" s="24"/>
      <c r="C326" s="24"/>
      <c r="D326" s="24"/>
      <c r="E326" s="25">
        <v>8</v>
      </c>
      <c r="F326" s="9"/>
      <c r="G326" s="9"/>
      <c r="H326" s="10"/>
      <c r="I326" s="9"/>
      <c r="J326" s="9"/>
    </row>
    <row x14ac:dyDescent="0.25" r="327" customHeight="1" ht="17.25">
      <c r="A327" s="7"/>
      <c r="B327" s="7"/>
      <c r="C327" s="7"/>
      <c r="D327" s="7"/>
      <c r="E327" s="8"/>
      <c r="F327" s="9"/>
      <c r="G327" s="9"/>
      <c r="H327" s="10"/>
      <c r="I327" s="9"/>
      <c r="J327" s="9"/>
    </row>
    <row x14ac:dyDescent="0.25" r="328" customHeight="1" ht="17.25">
      <c r="A328" s="11" t="s">
        <v>9227</v>
      </c>
      <c r="B328" s="11"/>
      <c r="C328" s="11"/>
      <c r="D328" s="11"/>
      <c r="E328" s="12"/>
      <c r="F328" s="11"/>
      <c r="G328" s="11"/>
      <c r="H328" s="13"/>
      <c r="I328" s="11"/>
      <c r="J328" s="11"/>
    </row>
    <row x14ac:dyDescent="0.25" r="329" customHeight="1" ht="17.25">
      <c r="A329" s="14" t="s">
        <v>3</v>
      </c>
      <c r="B329" s="14" t="s">
        <v>4</v>
      </c>
      <c r="C329" s="14" t="s">
        <v>5</v>
      </c>
      <c r="D329" s="14" t="s">
        <v>6</v>
      </c>
      <c r="E329" s="15" t="s">
        <v>7</v>
      </c>
      <c r="F329" s="14" t="s">
        <v>8</v>
      </c>
      <c r="G329" s="14" t="s">
        <v>9</v>
      </c>
      <c r="H329" s="16" t="s">
        <v>10</v>
      </c>
      <c r="I329" s="14" t="s">
        <v>11</v>
      </c>
      <c r="J329" s="14" t="s">
        <v>12</v>
      </c>
    </row>
    <row x14ac:dyDescent="0.25" r="330" customHeight="1" ht="17.25">
      <c r="A330" s="17" t="s">
        <v>9228</v>
      </c>
      <c r="B330" s="17" t="s">
        <v>530</v>
      </c>
      <c r="C330" s="17" t="s">
        <v>152</v>
      </c>
      <c r="D330" s="17" t="s">
        <v>16</v>
      </c>
      <c r="E330" s="18">
        <f>ROUND(10925*1.05,2)</f>
      </c>
      <c r="F330" s="17" t="s">
        <v>17</v>
      </c>
      <c r="G330" s="17" t="s">
        <v>18</v>
      </c>
      <c r="H330" s="18">
        <f>ROUND(RAND()*4+6,1)</f>
      </c>
      <c r="I330" s="17" t="s">
        <v>19</v>
      </c>
      <c r="J330" s="19">
        <f>ROUND(80*1,0)&amp;"%"</f>
      </c>
    </row>
    <row x14ac:dyDescent="0.25" r="331" customHeight="1" ht="17.25">
      <c r="A331" s="20" t="s">
        <v>9229</v>
      </c>
      <c r="B331" s="20" t="s">
        <v>532</v>
      </c>
      <c r="C331" s="20" t="s">
        <v>152</v>
      </c>
      <c r="D331" s="20" t="s">
        <v>22</v>
      </c>
      <c r="E331" s="21">
        <f>ROUND(13021*1.05,2)</f>
      </c>
      <c r="F331" s="20" t="s">
        <v>23</v>
      </c>
      <c r="G331" s="20" t="s">
        <v>24</v>
      </c>
      <c r="H331" s="21">
        <f>ROUND(RAND()*4+6,1)</f>
      </c>
      <c r="I331" s="20" t="s">
        <v>25</v>
      </c>
      <c r="J331" s="23">
        <f>ROUND(62*1,0)&amp;"%"</f>
      </c>
    </row>
    <row x14ac:dyDescent="0.25" r="332" customHeight="1" ht="17.25">
      <c r="A332" s="17" t="s">
        <v>9230</v>
      </c>
      <c r="B332" s="17" t="s">
        <v>534</v>
      </c>
      <c r="C332" s="17" t="s">
        <v>152</v>
      </c>
      <c r="D332" s="17" t="s">
        <v>28</v>
      </c>
      <c r="E332" s="18">
        <f>ROUND(14961*1.05,2)</f>
      </c>
      <c r="F332" s="17" t="s">
        <v>29</v>
      </c>
      <c r="G332" s="17" t="s">
        <v>30</v>
      </c>
      <c r="H332" s="18">
        <f>ROUND(RAND()*4+6,1)</f>
      </c>
      <c r="I332" s="17" t="s">
        <v>31</v>
      </c>
      <c r="J332" s="19">
        <f>ROUND(73*1,0)&amp;"%"</f>
      </c>
    </row>
    <row x14ac:dyDescent="0.25" r="333" customHeight="1" ht="17.25">
      <c r="A333" s="20" t="s">
        <v>9231</v>
      </c>
      <c r="B333" s="20" t="s">
        <v>536</v>
      </c>
      <c r="C333" s="20" t="s">
        <v>152</v>
      </c>
      <c r="D333" s="20" t="s">
        <v>34</v>
      </c>
      <c r="E333" s="21">
        <f>ROUND(7538*1.05,2)</f>
      </c>
      <c r="F333" s="20" t="s">
        <v>35</v>
      </c>
      <c r="G333" s="20" t="s">
        <v>18</v>
      </c>
      <c r="H333" s="21">
        <f>ROUND(RAND()*4+6,1)</f>
      </c>
      <c r="I333" s="20" t="s">
        <v>36</v>
      </c>
      <c r="J333" s="23">
        <f>ROUND(81*1,0)&amp;"%"</f>
      </c>
    </row>
    <row x14ac:dyDescent="0.25" r="334" customHeight="1" ht="17.25">
      <c r="A334" s="17" t="s">
        <v>9232</v>
      </c>
      <c r="B334" s="17" t="s">
        <v>538</v>
      </c>
      <c r="C334" s="17" t="s">
        <v>152</v>
      </c>
      <c r="D334" s="17" t="s">
        <v>39</v>
      </c>
      <c r="E334" s="18">
        <f>ROUND(12013*1.05,2)</f>
      </c>
      <c r="F334" s="17" t="s">
        <v>40</v>
      </c>
      <c r="G334" s="17" t="s">
        <v>24</v>
      </c>
      <c r="H334" s="18">
        <f>ROUND(RAND()*4+6,1)</f>
      </c>
      <c r="I334" s="17" t="s">
        <v>41</v>
      </c>
      <c r="J334" s="19">
        <f>ROUND(75*1,0)&amp;"%"</f>
      </c>
    </row>
    <row x14ac:dyDescent="0.25" r="335" customHeight="1" ht="17.25">
      <c r="A335" s="20" t="s">
        <v>9233</v>
      </c>
      <c r="B335" s="20" t="s">
        <v>540</v>
      </c>
      <c r="C335" s="20" t="s">
        <v>152</v>
      </c>
      <c r="D335" s="20" t="s">
        <v>67</v>
      </c>
      <c r="E335" s="21">
        <f>ROUND(16104*1.05,2)</f>
      </c>
      <c r="F335" s="20" t="s">
        <v>44</v>
      </c>
      <c r="G335" s="20" t="s">
        <v>30</v>
      </c>
      <c r="H335" s="21">
        <f>ROUND(RAND()*4+6,1)</f>
      </c>
      <c r="I335" s="20" t="s">
        <v>45</v>
      </c>
      <c r="J335" s="23">
        <f>ROUND(97*1,0)&amp;"%"</f>
      </c>
    </row>
    <row x14ac:dyDescent="0.25" r="336" customHeight="1" ht="17.25">
      <c r="A336" s="17" t="s">
        <v>9234</v>
      </c>
      <c r="B336" s="17" t="s">
        <v>542</v>
      </c>
      <c r="C336" s="17" t="s">
        <v>152</v>
      </c>
      <c r="D336" s="17" t="s">
        <v>16</v>
      </c>
      <c r="E336" s="18">
        <f>ROUND(6459*1.05,2)</f>
      </c>
      <c r="F336" s="17" t="s">
        <v>48</v>
      </c>
      <c r="G336" s="17" t="s">
        <v>18</v>
      </c>
      <c r="H336" s="18">
        <f>ROUND(RAND()*4+6,1)</f>
      </c>
      <c r="I336" s="17" t="s">
        <v>19</v>
      </c>
      <c r="J336" s="19">
        <f>ROUND(68*1,0)&amp;"%"</f>
      </c>
    </row>
    <row x14ac:dyDescent="0.25" r="337" customHeight="1" ht="17.25">
      <c r="A337" s="20" t="s">
        <v>9235</v>
      </c>
      <c r="B337" s="20" t="s">
        <v>544</v>
      </c>
      <c r="C337" s="20" t="s">
        <v>152</v>
      </c>
      <c r="D337" s="20" t="s">
        <v>22</v>
      </c>
      <c r="E337" s="21">
        <f>ROUND(17903*1.05,2)</f>
      </c>
      <c r="F337" s="20" t="s">
        <v>51</v>
      </c>
      <c r="G337" s="20" t="s">
        <v>24</v>
      </c>
      <c r="H337" s="21">
        <f>ROUND(RAND()*4+6,1)</f>
      </c>
      <c r="I337" s="20" t="s">
        <v>25</v>
      </c>
      <c r="J337" s="23">
        <f>ROUND(68*1,0)&amp;"%"</f>
      </c>
    </row>
    <row x14ac:dyDescent="0.25" r="338" customHeight="1" ht="17.25">
      <c r="A338" s="24" t="s">
        <v>545</v>
      </c>
      <c r="B338" s="24"/>
      <c r="C338" s="24"/>
      <c r="D338" s="24"/>
      <c r="E338" s="25">
        <v>8</v>
      </c>
      <c r="F338" s="9"/>
      <c r="G338" s="9"/>
      <c r="H338" s="10"/>
      <c r="I338" s="9"/>
      <c r="J338" s="9"/>
    </row>
    <row x14ac:dyDescent="0.25" r="339" customHeight="1" ht="17.25">
      <c r="A339" s="7"/>
      <c r="B339" s="7"/>
      <c r="C339" s="7"/>
      <c r="D339" s="7"/>
      <c r="E339" s="8"/>
      <c r="F339" s="9"/>
      <c r="G339" s="9"/>
      <c r="H339" s="10"/>
      <c r="I339" s="9"/>
      <c r="J339" s="9"/>
    </row>
    <row x14ac:dyDescent="0.25" r="340" customHeight="1" ht="17.25">
      <c r="A340" s="11" t="s">
        <v>9236</v>
      </c>
      <c r="B340" s="11"/>
      <c r="C340" s="11"/>
      <c r="D340" s="11"/>
      <c r="E340" s="12"/>
      <c r="F340" s="11"/>
      <c r="G340" s="11"/>
      <c r="H340" s="13"/>
      <c r="I340" s="11"/>
      <c r="J340" s="11"/>
    </row>
    <row x14ac:dyDescent="0.25" r="341" customHeight="1" ht="17.25">
      <c r="A341" s="14" t="s">
        <v>3</v>
      </c>
      <c r="B341" s="14" t="s">
        <v>4</v>
      </c>
      <c r="C341" s="14" t="s">
        <v>5</v>
      </c>
      <c r="D341" s="14" t="s">
        <v>6</v>
      </c>
      <c r="E341" s="15" t="s">
        <v>7</v>
      </c>
      <c r="F341" s="14" t="s">
        <v>8</v>
      </c>
      <c r="G341" s="14" t="s">
        <v>9</v>
      </c>
      <c r="H341" s="16" t="s">
        <v>10</v>
      </c>
      <c r="I341" s="14" t="s">
        <v>11</v>
      </c>
      <c r="J341" s="14" t="s">
        <v>12</v>
      </c>
    </row>
    <row x14ac:dyDescent="0.25" r="342" customHeight="1" ht="17.25">
      <c r="A342" s="17" t="s">
        <v>9237</v>
      </c>
      <c r="B342" s="17" t="s">
        <v>548</v>
      </c>
      <c r="C342" s="17" t="s">
        <v>15</v>
      </c>
      <c r="D342" s="17" t="s">
        <v>16</v>
      </c>
      <c r="E342" s="18">
        <f>ROUND(16925*1.05,2)</f>
      </c>
      <c r="F342" s="17" t="s">
        <v>17</v>
      </c>
      <c r="G342" s="17" t="s">
        <v>18</v>
      </c>
      <c r="H342" s="18">
        <f>ROUND(RAND()*4+6,1)</f>
      </c>
      <c r="I342" s="17" t="s">
        <v>19</v>
      </c>
      <c r="J342" s="19">
        <f>ROUND(83*1,0)&amp;"%"</f>
      </c>
    </row>
    <row x14ac:dyDescent="0.25" r="343" customHeight="1" ht="17.25">
      <c r="A343" s="20" t="s">
        <v>9238</v>
      </c>
      <c r="B343" s="20" t="s">
        <v>550</v>
      </c>
      <c r="C343" s="20" t="s">
        <v>15</v>
      </c>
      <c r="D343" s="20" t="s">
        <v>22</v>
      </c>
      <c r="E343" s="21">
        <f>ROUND(5170*1.05,2)</f>
      </c>
      <c r="F343" s="20" t="s">
        <v>23</v>
      </c>
      <c r="G343" s="20" t="s">
        <v>24</v>
      </c>
      <c r="H343" s="21">
        <f>ROUND(RAND()*4+6,1)</f>
      </c>
      <c r="I343" s="20" t="s">
        <v>25</v>
      </c>
      <c r="J343" s="23">
        <f>ROUND(68*1,0)&amp;"%"</f>
      </c>
    </row>
    <row x14ac:dyDescent="0.25" r="344" customHeight="1" ht="17.25">
      <c r="A344" s="17" t="s">
        <v>9239</v>
      </c>
      <c r="B344" s="17" t="s">
        <v>552</v>
      </c>
      <c r="C344" s="17" t="s">
        <v>15</v>
      </c>
      <c r="D344" s="17" t="s">
        <v>28</v>
      </c>
      <c r="E344" s="18">
        <f>ROUND(6628*1.05,2)</f>
      </c>
      <c r="F344" s="17" t="s">
        <v>29</v>
      </c>
      <c r="G344" s="17" t="s">
        <v>30</v>
      </c>
      <c r="H344" s="18">
        <f>ROUND(RAND()*4+6,1)</f>
      </c>
      <c r="I344" s="17" t="s">
        <v>31</v>
      </c>
      <c r="J344" s="19">
        <f>ROUND(87*1,0)&amp;"%"</f>
      </c>
    </row>
    <row x14ac:dyDescent="0.25" r="345" customHeight="1" ht="17.25">
      <c r="A345" s="20" t="s">
        <v>9240</v>
      </c>
      <c r="B345" s="20" t="s">
        <v>554</v>
      </c>
      <c r="C345" s="20" t="s">
        <v>15</v>
      </c>
      <c r="D345" s="20" t="s">
        <v>34</v>
      </c>
      <c r="E345" s="21">
        <f>ROUND(17948*1.05,2)</f>
      </c>
      <c r="F345" s="20" t="s">
        <v>35</v>
      </c>
      <c r="G345" s="20" t="s">
        <v>18</v>
      </c>
      <c r="H345" s="21">
        <f>ROUND(RAND()*4+6,1)</f>
      </c>
      <c r="I345" s="20" t="s">
        <v>36</v>
      </c>
      <c r="J345" s="23">
        <f>ROUND(88*1,0)&amp;"%"</f>
      </c>
    </row>
    <row x14ac:dyDescent="0.25" r="346" customHeight="1" ht="17.25">
      <c r="A346" s="17" t="s">
        <v>9241</v>
      </c>
      <c r="B346" s="17" t="s">
        <v>556</v>
      </c>
      <c r="C346" s="17" t="s">
        <v>15</v>
      </c>
      <c r="D346" s="17" t="s">
        <v>39</v>
      </c>
      <c r="E346" s="18">
        <f>ROUND(10017*1.05,2)</f>
      </c>
      <c r="F346" s="17" t="s">
        <v>40</v>
      </c>
      <c r="G346" s="17" t="s">
        <v>24</v>
      </c>
      <c r="H346" s="18">
        <f>ROUND(RAND()*4+6,1)</f>
      </c>
      <c r="I346" s="17" t="s">
        <v>41</v>
      </c>
      <c r="J346" s="19">
        <f>ROUND(61*1,0)&amp;"%"</f>
      </c>
    </row>
    <row x14ac:dyDescent="0.25" r="347" customHeight="1" ht="17.25">
      <c r="A347" s="20" t="s">
        <v>9242</v>
      </c>
      <c r="B347" s="20" t="s">
        <v>558</v>
      </c>
      <c r="C347" s="20" t="s">
        <v>15</v>
      </c>
      <c r="D347" s="20" t="s">
        <v>67</v>
      </c>
      <c r="E347" s="21">
        <f>ROUND(13177*1.05,2)</f>
      </c>
      <c r="F347" s="20" t="s">
        <v>44</v>
      </c>
      <c r="G347" s="20" t="s">
        <v>30</v>
      </c>
      <c r="H347" s="21">
        <f>ROUND(RAND()*4+6,1)</f>
      </c>
      <c r="I347" s="20" t="s">
        <v>45</v>
      </c>
      <c r="J347" s="23">
        <f>ROUND(77*1,0)&amp;"%"</f>
      </c>
    </row>
    <row x14ac:dyDescent="0.25" r="348" customHeight="1" ht="17.25">
      <c r="A348" s="17" t="s">
        <v>9243</v>
      </c>
      <c r="B348" s="17" t="s">
        <v>560</v>
      </c>
      <c r="C348" s="17" t="s">
        <v>15</v>
      </c>
      <c r="D348" s="17" t="s">
        <v>16</v>
      </c>
      <c r="E348" s="18">
        <f>ROUND(8547*1.05,2)</f>
      </c>
      <c r="F348" s="17" t="s">
        <v>48</v>
      </c>
      <c r="G348" s="17" t="s">
        <v>18</v>
      </c>
      <c r="H348" s="26">
        <f>ROUND(RAND()*4+6,1)</f>
      </c>
      <c r="I348" s="17" t="s">
        <v>19</v>
      </c>
      <c r="J348" s="19">
        <f>ROUND(71*1,0)&amp;"%"</f>
      </c>
    </row>
    <row x14ac:dyDescent="0.25" r="349" customHeight="1" ht="17.25">
      <c r="A349" s="20" t="s">
        <v>9244</v>
      </c>
      <c r="B349" s="20" t="s">
        <v>562</v>
      </c>
      <c r="C349" s="20" t="s">
        <v>15</v>
      </c>
      <c r="D349" s="20" t="s">
        <v>22</v>
      </c>
      <c r="E349" s="21">
        <f>ROUND(10677*1.05,2)</f>
      </c>
      <c r="F349" s="20" t="s">
        <v>51</v>
      </c>
      <c r="G349" s="20" t="s">
        <v>24</v>
      </c>
      <c r="H349" s="22">
        <f>ROUND(RAND()*4+6,1)</f>
      </c>
      <c r="I349" s="20" t="s">
        <v>25</v>
      </c>
      <c r="J349" s="23">
        <f>ROUND(99*1,0)&amp;"%"</f>
      </c>
    </row>
    <row x14ac:dyDescent="0.25" r="350" customHeight="1" ht="17.25">
      <c r="A350" s="24" t="s">
        <v>563</v>
      </c>
      <c r="B350" s="24"/>
      <c r="C350" s="24"/>
      <c r="D350" s="24"/>
      <c r="E350" s="25">
        <v>8</v>
      </c>
      <c r="F350" s="9"/>
      <c r="G350" s="9"/>
      <c r="H350" s="10"/>
      <c r="I350" s="9"/>
      <c r="J350" s="9"/>
    </row>
    <row x14ac:dyDescent="0.25" r="351" customHeight="1" ht="17.25">
      <c r="A351" s="7"/>
      <c r="B351" s="7"/>
      <c r="C351" s="7"/>
      <c r="D351" s="7"/>
      <c r="E351" s="8"/>
      <c r="F351" s="9"/>
      <c r="G351" s="9"/>
      <c r="H351" s="10"/>
      <c r="I351" s="9"/>
      <c r="J351" s="9"/>
    </row>
    <row x14ac:dyDescent="0.25" r="352" customHeight="1" ht="17.25">
      <c r="A352" s="11" t="s">
        <v>9245</v>
      </c>
      <c r="B352" s="11"/>
      <c r="C352" s="11"/>
      <c r="D352" s="11"/>
      <c r="E352" s="12"/>
      <c r="F352" s="11"/>
      <c r="G352" s="11"/>
      <c r="H352" s="13"/>
      <c r="I352" s="11"/>
      <c r="J352" s="11"/>
    </row>
    <row x14ac:dyDescent="0.25" r="353" customHeight="1" ht="17.25">
      <c r="A353" s="14" t="s">
        <v>3</v>
      </c>
      <c r="B353" s="14" t="s">
        <v>4</v>
      </c>
      <c r="C353" s="14" t="s">
        <v>5</v>
      </c>
      <c r="D353" s="14" t="s">
        <v>6</v>
      </c>
      <c r="E353" s="15" t="s">
        <v>7</v>
      </c>
      <c r="F353" s="14" t="s">
        <v>8</v>
      </c>
      <c r="G353" s="14" t="s">
        <v>9</v>
      </c>
      <c r="H353" s="16" t="s">
        <v>10</v>
      </c>
      <c r="I353" s="14" t="s">
        <v>11</v>
      </c>
      <c r="J353" s="14" t="s">
        <v>12</v>
      </c>
    </row>
    <row x14ac:dyDescent="0.25" r="354" customHeight="1" ht="17.25">
      <c r="A354" s="17" t="s">
        <v>9246</v>
      </c>
      <c r="B354" s="17" t="s">
        <v>566</v>
      </c>
      <c r="C354" s="17" t="s">
        <v>56</v>
      </c>
      <c r="D354" s="17" t="s">
        <v>16</v>
      </c>
      <c r="E354" s="18">
        <f>ROUND(4794*1.05,2)</f>
      </c>
      <c r="F354" s="17" t="s">
        <v>17</v>
      </c>
      <c r="G354" s="17" t="s">
        <v>18</v>
      </c>
      <c r="H354" s="18">
        <f>ROUND(RAND()*4+6,1)</f>
      </c>
      <c r="I354" s="17" t="s">
        <v>19</v>
      </c>
      <c r="J354" s="19">
        <f>ROUND(78*1,0)&amp;"%"</f>
      </c>
    </row>
    <row x14ac:dyDescent="0.25" r="355" customHeight="1" ht="17.25">
      <c r="A355" s="20" t="s">
        <v>9247</v>
      </c>
      <c r="B355" s="20" t="s">
        <v>568</v>
      </c>
      <c r="C355" s="20" t="s">
        <v>56</v>
      </c>
      <c r="D355" s="20" t="s">
        <v>22</v>
      </c>
      <c r="E355" s="21">
        <f>ROUND(11967*1.05,2)</f>
      </c>
      <c r="F355" s="20" t="s">
        <v>23</v>
      </c>
      <c r="G355" s="20" t="s">
        <v>24</v>
      </c>
      <c r="H355" s="21">
        <f>ROUND(RAND()*4+6,1)</f>
      </c>
      <c r="I355" s="20" t="s">
        <v>25</v>
      </c>
      <c r="J355" s="23">
        <f>ROUND(87*1,0)&amp;"%"</f>
      </c>
    </row>
    <row x14ac:dyDescent="0.25" r="356" customHeight="1" ht="17.25">
      <c r="A356" s="17" t="s">
        <v>9248</v>
      </c>
      <c r="B356" s="17" t="s">
        <v>570</v>
      </c>
      <c r="C356" s="17" t="s">
        <v>56</v>
      </c>
      <c r="D356" s="17" t="s">
        <v>28</v>
      </c>
      <c r="E356" s="18">
        <f>ROUND(11765*1.05,2)</f>
      </c>
      <c r="F356" s="17" t="s">
        <v>29</v>
      </c>
      <c r="G356" s="17" t="s">
        <v>30</v>
      </c>
      <c r="H356" s="18">
        <f>ROUND(RAND()*4+6,1)</f>
      </c>
      <c r="I356" s="17" t="s">
        <v>31</v>
      </c>
      <c r="J356" s="19">
        <f>ROUND(70*1,0)&amp;"%"</f>
      </c>
    </row>
    <row x14ac:dyDescent="0.25" r="357" customHeight="1" ht="17.25">
      <c r="A357" s="20" t="s">
        <v>9249</v>
      </c>
      <c r="B357" s="20" t="s">
        <v>572</v>
      </c>
      <c r="C357" s="20" t="s">
        <v>56</v>
      </c>
      <c r="D357" s="20" t="s">
        <v>34</v>
      </c>
      <c r="E357" s="21">
        <f>ROUND(13795*1.05,2)</f>
      </c>
      <c r="F357" s="20" t="s">
        <v>35</v>
      </c>
      <c r="G357" s="20" t="s">
        <v>18</v>
      </c>
      <c r="H357" s="22">
        <f>ROUND(RAND()*4+6,1)</f>
      </c>
      <c r="I357" s="20" t="s">
        <v>36</v>
      </c>
      <c r="J357" s="23">
        <f>ROUND(88*1,0)&amp;"%"</f>
      </c>
    </row>
    <row x14ac:dyDescent="0.25" r="358" customHeight="1" ht="17.25">
      <c r="A358" s="17" t="s">
        <v>9250</v>
      </c>
      <c r="B358" s="17" t="s">
        <v>574</v>
      </c>
      <c r="C358" s="17" t="s">
        <v>56</v>
      </c>
      <c r="D358" s="17" t="s">
        <v>39</v>
      </c>
      <c r="E358" s="18">
        <f>ROUND(10969*1.05,2)</f>
      </c>
      <c r="F358" s="17" t="s">
        <v>40</v>
      </c>
      <c r="G358" s="17" t="s">
        <v>24</v>
      </c>
      <c r="H358" s="18">
        <f>ROUND(RAND()*4+6,1)</f>
      </c>
      <c r="I358" s="17" t="s">
        <v>41</v>
      </c>
      <c r="J358" s="19">
        <f>ROUND(100*1,0)&amp;"%"</f>
      </c>
    </row>
    <row x14ac:dyDescent="0.25" r="359" customHeight="1" ht="17.25">
      <c r="A359" s="20" t="s">
        <v>9251</v>
      </c>
      <c r="B359" s="20" t="s">
        <v>576</v>
      </c>
      <c r="C359" s="20" t="s">
        <v>56</v>
      </c>
      <c r="D359" s="20" t="s">
        <v>67</v>
      </c>
      <c r="E359" s="21">
        <f>ROUND(8758*1.05,2)</f>
      </c>
      <c r="F359" s="20" t="s">
        <v>44</v>
      </c>
      <c r="G359" s="20" t="s">
        <v>30</v>
      </c>
      <c r="H359" s="21">
        <f>ROUND(RAND()*4+6,1)</f>
      </c>
      <c r="I359" s="20" t="s">
        <v>45</v>
      </c>
      <c r="J359" s="23">
        <f>ROUND(66*1,0)&amp;"%"</f>
      </c>
    </row>
    <row x14ac:dyDescent="0.25" r="360" customHeight="1" ht="17.25">
      <c r="A360" s="17" t="s">
        <v>9252</v>
      </c>
      <c r="B360" s="17" t="s">
        <v>578</v>
      </c>
      <c r="C360" s="17" t="s">
        <v>56</v>
      </c>
      <c r="D360" s="17" t="s">
        <v>16</v>
      </c>
      <c r="E360" s="18">
        <f>ROUND(5668*1.05,2)</f>
      </c>
      <c r="F360" s="17" t="s">
        <v>48</v>
      </c>
      <c r="G360" s="17" t="s">
        <v>18</v>
      </c>
      <c r="H360" s="18">
        <f>ROUND(RAND()*4+6,1)</f>
      </c>
      <c r="I360" s="17" t="s">
        <v>19</v>
      </c>
      <c r="J360" s="19">
        <f>ROUND(72*1,0)&amp;"%"</f>
      </c>
    </row>
    <row x14ac:dyDescent="0.25" r="361" customHeight="1" ht="17.25">
      <c r="A361" s="20" t="s">
        <v>9253</v>
      </c>
      <c r="B361" s="20" t="s">
        <v>580</v>
      </c>
      <c r="C361" s="20" t="s">
        <v>56</v>
      </c>
      <c r="D361" s="20" t="s">
        <v>22</v>
      </c>
      <c r="E361" s="21">
        <f>ROUND(17289*1.05,2)</f>
      </c>
      <c r="F361" s="20" t="s">
        <v>51</v>
      </c>
      <c r="G361" s="20" t="s">
        <v>24</v>
      </c>
      <c r="H361" s="21">
        <f>ROUND(RAND()*4+6,1)</f>
      </c>
      <c r="I361" s="20" t="s">
        <v>25</v>
      </c>
      <c r="J361" s="23">
        <f>ROUND(76*1,0)&amp;"%"</f>
      </c>
    </row>
    <row x14ac:dyDescent="0.25" r="362" customHeight="1" ht="17.25">
      <c r="A362" s="24" t="s">
        <v>581</v>
      </c>
      <c r="B362" s="24"/>
      <c r="C362" s="24"/>
      <c r="D362" s="24"/>
      <c r="E362" s="25">
        <v>8</v>
      </c>
      <c r="F362" s="9"/>
      <c r="G362" s="9"/>
      <c r="H362" s="10"/>
      <c r="I362" s="9"/>
      <c r="J362" s="9"/>
    </row>
  </sheetData>
  <mergeCells count="62">
    <mergeCell ref="A1:J1"/>
    <mergeCell ref="A2:J2"/>
    <mergeCell ref="A4:J4"/>
    <mergeCell ref="A14:D14"/>
    <mergeCell ref="A16:J16"/>
    <mergeCell ref="A26:D26"/>
    <mergeCell ref="A28:J28"/>
    <mergeCell ref="A38:D38"/>
    <mergeCell ref="A40:J40"/>
    <mergeCell ref="A50:D50"/>
    <mergeCell ref="A52:J52"/>
    <mergeCell ref="A62:D62"/>
    <mergeCell ref="A64:J64"/>
    <mergeCell ref="A74:D74"/>
    <mergeCell ref="A76:J76"/>
    <mergeCell ref="A86:D86"/>
    <mergeCell ref="A88:J88"/>
    <mergeCell ref="A98:D98"/>
    <mergeCell ref="A100:J100"/>
    <mergeCell ref="A110:D110"/>
    <mergeCell ref="A112:J112"/>
    <mergeCell ref="A122:D122"/>
    <mergeCell ref="A124:J124"/>
    <mergeCell ref="A134:D134"/>
    <mergeCell ref="A136:J136"/>
    <mergeCell ref="A146:D146"/>
    <mergeCell ref="A148:J148"/>
    <mergeCell ref="A158:D158"/>
    <mergeCell ref="A160:J160"/>
    <mergeCell ref="A170:D170"/>
    <mergeCell ref="A172:J172"/>
    <mergeCell ref="A182:D182"/>
    <mergeCell ref="A184:J184"/>
    <mergeCell ref="A194:D194"/>
    <mergeCell ref="A196:J196"/>
    <mergeCell ref="A206:D206"/>
    <mergeCell ref="A208:J208"/>
    <mergeCell ref="A218:D218"/>
    <mergeCell ref="A220:J220"/>
    <mergeCell ref="A230:D230"/>
    <mergeCell ref="A232:J232"/>
    <mergeCell ref="A242:D242"/>
    <mergeCell ref="A244:J244"/>
    <mergeCell ref="A254:D254"/>
    <mergeCell ref="A256:J256"/>
    <mergeCell ref="A266:D266"/>
    <mergeCell ref="A268:J268"/>
    <mergeCell ref="A278:D278"/>
    <mergeCell ref="A280:J280"/>
    <mergeCell ref="A290:D290"/>
    <mergeCell ref="A292:J292"/>
    <mergeCell ref="A302:D302"/>
    <mergeCell ref="A304:J304"/>
    <mergeCell ref="A314:D314"/>
    <mergeCell ref="A316:J316"/>
    <mergeCell ref="A326:D326"/>
    <mergeCell ref="A328:J328"/>
    <mergeCell ref="A338:D338"/>
    <mergeCell ref="A340:J340"/>
    <mergeCell ref="A350:D350"/>
    <mergeCell ref="A352:J352"/>
    <mergeCell ref="A362:D362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J362"/>
  <sheetViews>
    <sheetView workbookViewId="0"/>
  </sheetViews>
  <sheetFormatPr defaultRowHeight="15" x14ac:dyDescent="0.25"/>
  <cols>
    <col min="1" max="1" style="27" width="8.005" customWidth="1" bestFit="1"/>
    <col min="2" max="2" style="27" width="22.005" customWidth="1" bestFit="1"/>
    <col min="3" max="3" style="27" width="16.005" customWidth="1" bestFit="1"/>
    <col min="4" max="4" style="27" width="14.005" customWidth="1" bestFit="1"/>
    <col min="5" max="5" style="28" width="12.005" customWidth="1" bestFit="1"/>
    <col min="6" max="6" style="29" width="16.005" customWidth="1" bestFit="1"/>
    <col min="7" max="7" style="29" width="10.005" customWidth="1" bestFit="1"/>
    <col min="8" max="8" style="30" width="10.005" customWidth="1" bestFit="1"/>
    <col min="9" max="9" style="29" width="14.005" customWidth="1" bestFit="1"/>
    <col min="10" max="10" style="29" width="8.005" customWidth="1" bestFit="1"/>
  </cols>
  <sheetData>
    <row x14ac:dyDescent="0.25" r="1" customHeight="1" ht="17.25">
      <c r="A1" s="1" t="s">
        <v>8712</v>
      </c>
      <c r="B1" s="1"/>
      <c r="C1" s="1"/>
      <c r="D1" s="1"/>
      <c r="E1" s="2"/>
      <c r="F1" s="1"/>
      <c r="G1" s="1"/>
      <c r="H1" s="3"/>
      <c r="I1" s="1"/>
      <c r="J1" s="1"/>
    </row>
    <row x14ac:dyDescent="0.25" r="2" customHeight="1" ht="17.25">
      <c r="A2" s="4" t="s">
        <v>1</v>
      </c>
      <c r="B2" s="4"/>
      <c r="C2" s="4"/>
      <c r="D2" s="4"/>
      <c r="E2" s="5"/>
      <c r="F2" s="4"/>
      <c r="G2" s="4"/>
      <c r="H2" s="6"/>
      <c r="I2" s="4"/>
      <c r="J2" s="4"/>
    </row>
    <row x14ac:dyDescent="0.25" r="3" customHeight="1" ht="17.25">
      <c r="A3" s="7"/>
      <c r="B3" s="7"/>
      <c r="C3" s="7"/>
      <c r="D3" s="7"/>
      <c r="E3" s="8"/>
      <c r="F3" s="9"/>
      <c r="G3" s="9"/>
      <c r="H3" s="10"/>
      <c r="I3" s="9"/>
      <c r="J3" s="9"/>
    </row>
    <row x14ac:dyDescent="0.25" r="4" customHeight="1" ht="17.25">
      <c r="A4" s="11" t="s">
        <v>8713</v>
      </c>
      <c r="B4" s="11"/>
      <c r="C4" s="11"/>
      <c r="D4" s="11"/>
      <c r="E4" s="12"/>
      <c r="F4" s="11"/>
      <c r="G4" s="11"/>
      <c r="H4" s="13"/>
      <c r="I4" s="11"/>
      <c r="J4" s="11"/>
    </row>
    <row x14ac:dyDescent="0.25" r="5" customHeight="1" ht="17.25">
      <c r="A5" s="14" t="s">
        <v>3</v>
      </c>
      <c r="B5" s="14" t="s">
        <v>4</v>
      </c>
      <c r="C5" s="14" t="s">
        <v>5</v>
      </c>
      <c r="D5" s="14" t="s">
        <v>6</v>
      </c>
      <c r="E5" s="15" t="s">
        <v>7</v>
      </c>
      <c r="F5" s="14" t="s">
        <v>8</v>
      </c>
      <c r="G5" s="14" t="s">
        <v>9</v>
      </c>
      <c r="H5" s="16" t="s">
        <v>10</v>
      </c>
      <c r="I5" s="14" t="s">
        <v>11</v>
      </c>
      <c r="J5" s="14" t="s">
        <v>12</v>
      </c>
    </row>
    <row x14ac:dyDescent="0.25" r="6" customHeight="1" ht="17.25">
      <c r="A6" s="17" t="s">
        <v>8714</v>
      </c>
      <c r="B6" s="17" t="s">
        <v>14</v>
      </c>
      <c r="C6" s="17" t="s">
        <v>15</v>
      </c>
      <c r="D6" s="17" t="s">
        <v>16</v>
      </c>
      <c r="E6" s="18">
        <f>ROUND(6414*1.05,2)</f>
      </c>
      <c r="F6" s="17" t="s">
        <v>17</v>
      </c>
      <c r="G6" s="17" t="s">
        <v>18</v>
      </c>
      <c r="H6" s="18">
        <f>ROUND(RAND()*4+6,1)</f>
      </c>
      <c r="I6" s="17" t="s">
        <v>19</v>
      </c>
      <c r="J6" s="19">
        <f>ROUND(67*1,0)&amp;"%"</f>
      </c>
    </row>
    <row x14ac:dyDescent="0.25" r="7" customHeight="1" ht="17.25">
      <c r="A7" s="20" t="s">
        <v>8715</v>
      </c>
      <c r="B7" s="20" t="s">
        <v>21</v>
      </c>
      <c r="C7" s="20" t="s">
        <v>15</v>
      </c>
      <c r="D7" s="20" t="s">
        <v>22</v>
      </c>
      <c r="E7" s="22">
        <f>ROUND(11600*1.05,2)</f>
      </c>
      <c r="F7" s="20" t="s">
        <v>23</v>
      </c>
      <c r="G7" s="20" t="s">
        <v>24</v>
      </c>
      <c r="H7" s="21">
        <f>ROUND(RAND()*4+6,1)</f>
      </c>
      <c r="I7" s="20" t="s">
        <v>25</v>
      </c>
      <c r="J7" s="23">
        <f>ROUND(84*1,0)&amp;"%"</f>
      </c>
    </row>
    <row x14ac:dyDescent="0.25" r="8" customHeight="1" ht="17.25">
      <c r="A8" s="17" t="s">
        <v>8716</v>
      </c>
      <c r="B8" s="17" t="s">
        <v>27</v>
      </c>
      <c r="C8" s="17" t="s">
        <v>15</v>
      </c>
      <c r="D8" s="17" t="s">
        <v>28</v>
      </c>
      <c r="E8" s="18">
        <f>ROUND(17428*1.05,2)</f>
      </c>
      <c r="F8" s="17" t="s">
        <v>29</v>
      </c>
      <c r="G8" s="17" t="s">
        <v>30</v>
      </c>
      <c r="H8" s="18">
        <f>ROUND(RAND()*4+6,1)</f>
      </c>
      <c r="I8" s="17" t="s">
        <v>31</v>
      </c>
      <c r="J8" s="19">
        <f>ROUND(72*1,0)&amp;"%"</f>
      </c>
    </row>
    <row x14ac:dyDescent="0.25" r="9" customHeight="1" ht="17.25">
      <c r="A9" s="20" t="s">
        <v>8717</v>
      </c>
      <c r="B9" s="20" t="s">
        <v>33</v>
      </c>
      <c r="C9" s="20" t="s">
        <v>15</v>
      </c>
      <c r="D9" s="20" t="s">
        <v>34</v>
      </c>
      <c r="E9" s="21">
        <f>ROUND(8896*1.05,2)</f>
      </c>
      <c r="F9" s="20" t="s">
        <v>35</v>
      </c>
      <c r="G9" s="20" t="s">
        <v>18</v>
      </c>
      <c r="H9" s="21">
        <f>ROUND(RAND()*4+6,1)</f>
      </c>
      <c r="I9" s="20" t="s">
        <v>36</v>
      </c>
      <c r="J9" s="23">
        <f>ROUND(87*1,0)&amp;"%"</f>
      </c>
    </row>
    <row x14ac:dyDescent="0.25" r="10" customHeight="1" ht="17.25">
      <c r="A10" s="17" t="s">
        <v>8718</v>
      </c>
      <c r="B10" s="17" t="s">
        <v>38</v>
      </c>
      <c r="C10" s="17" t="s">
        <v>15</v>
      </c>
      <c r="D10" s="17" t="s">
        <v>39</v>
      </c>
      <c r="E10" s="18">
        <f>ROUND(6297*1.05,2)</f>
      </c>
      <c r="F10" s="17" t="s">
        <v>40</v>
      </c>
      <c r="G10" s="17" t="s">
        <v>24</v>
      </c>
      <c r="H10" s="18">
        <f>ROUND(RAND()*4+6,1)</f>
      </c>
      <c r="I10" s="17" t="s">
        <v>41</v>
      </c>
      <c r="J10" s="19">
        <f>ROUND(70*1,0)&amp;"%"</f>
      </c>
    </row>
    <row x14ac:dyDescent="0.25" r="11" customHeight="1" ht="17.25">
      <c r="A11" s="20" t="s">
        <v>8719</v>
      </c>
      <c r="B11" s="20" t="s">
        <v>43</v>
      </c>
      <c r="C11" s="20" t="s">
        <v>15</v>
      </c>
      <c r="D11" s="20" t="s">
        <v>67</v>
      </c>
      <c r="E11" s="21">
        <f>ROUND(4646*1.05,2)</f>
      </c>
      <c r="F11" s="20" t="s">
        <v>44</v>
      </c>
      <c r="G11" s="20" t="s">
        <v>30</v>
      </c>
      <c r="H11" s="21">
        <f>ROUND(RAND()*4+6,1)</f>
      </c>
      <c r="I11" s="20" t="s">
        <v>45</v>
      </c>
      <c r="J11" s="23">
        <f>ROUND(76*1,0)&amp;"%"</f>
      </c>
    </row>
    <row x14ac:dyDescent="0.25" r="12" customHeight="1" ht="17.25">
      <c r="A12" s="17" t="s">
        <v>8720</v>
      </c>
      <c r="B12" s="17" t="s">
        <v>47</v>
      </c>
      <c r="C12" s="17" t="s">
        <v>15</v>
      </c>
      <c r="D12" s="17" t="s">
        <v>16</v>
      </c>
      <c r="E12" s="18">
        <f>ROUND(12805*1.05,2)</f>
      </c>
      <c r="F12" s="17" t="s">
        <v>48</v>
      </c>
      <c r="G12" s="17" t="s">
        <v>18</v>
      </c>
      <c r="H12" s="18">
        <f>ROUND(RAND()*4+6,1)</f>
      </c>
      <c r="I12" s="17" t="s">
        <v>19</v>
      </c>
      <c r="J12" s="19">
        <f>ROUND(69*1,0)&amp;"%"</f>
      </c>
    </row>
    <row x14ac:dyDescent="0.25" r="13" customHeight="1" ht="17.25">
      <c r="A13" s="20" t="s">
        <v>8721</v>
      </c>
      <c r="B13" s="20" t="s">
        <v>50</v>
      </c>
      <c r="C13" s="20" t="s">
        <v>15</v>
      </c>
      <c r="D13" s="20" t="s">
        <v>22</v>
      </c>
      <c r="E13" s="21">
        <f>ROUND(12323*1.05,2)</f>
      </c>
      <c r="F13" s="20" t="s">
        <v>51</v>
      </c>
      <c r="G13" s="20" t="s">
        <v>24</v>
      </c>
      <c r="H13" s="21">
        <f>ROUND(RAND()*4+6,1)</f>
      </c>
      <c r="I13" s="20" t="s">
        <v>25</v>
      </c>
      <c r="J13" s="23">
        <f>ROUND(79*1,0)&amp;"%"</f>
      </c>
    </row>
    <row x14ac:dyDescent="0.25" r="14" customHeight="1" ht="17.25">
      <c r="A14" s="24" t="s">
        <v>52</v>
      </c>
      <c r="B14" s="24"/>
      <c r="C14" s="24"/>
      <c r="D14" s="24"/>
      <c r="E14" s="25">
        <v>8</v>
      </c>
      <c r="F14" s="9"/>
      <c r="G14" s="9"/>
      <c r="H14" s="10"/>
      <c r="I14" s="9"/>
      <c r="J14" s="9"/>
    </row>
    <row x14ac:dyDescent="0.25" r="15" customHeight="1" ht="17.25">
      <c r="A15" s="7"/>
      <c r="B15" s="7"/>
      <c r="C15" s="7"/>
      <c r="D15" s="7"/>
      <c r="E15" s="8"/>
      <c r="F15" s="9"/>
      <c r="G15" s="9"/>
      <c r="H15" s="10"/>
      <c r="I15" s="9"/>
      <c r="J15" s="9"/>
    </row>
    <row x14ac:dyDescent="0.25" r="16" customHeight="1" ht="17.25">
      <c r="A16" s="11" t="s">
        <v>8722</v>
      </c>
      <c r="B16" s="11"/>
      <c r="C16" s="11"/>
      <c r="D16" s="11"/>
      <c r="E16" s="12"/>
      <c r="F16" s="11"/>
      <c r="G16" s="11"/>
      <c r="H16" s="13"/>
      <c r="I16" s="11"/>
      <c r="J16" s="11"/>
    </row>
    <row x14ac:dyDescent="0.25" r="17" customHeight="1" ht="17.25">
      <c r="A17" s="14" t="s">
        <v>3</v>
      </c>
      <c r="B17" s="14" t="s">
        <v>4</v>
      </c>
      <c r="C17" s="14" t="s">
        <v>5</v>
      </c>
      <c r="D17" s="14" t="s">
        <v>6</v>
      </c>
      <c r="E17" s="15" t="s">
        <v>7</v>
      </c>
      <c r="F17" s="14" t="s">
        <v>8</v>
      </c>
      <c r="G17" s="14" t="s">
        <v>9</v>
      </c>
      <c r="H17" s="16" t="s">
        <v>10</v>
      </c>
      <c r="I17" s="14" t="s">
        <v>11</v>
      </c>
      <c r="J17" s="14" t="s">
        <v>12</v>
      </c>
    </row>
    <row x14ac:dyDescent="0.25" r="18" customHeight="1" ht="17.25">
      <c r="A18" s="17" t="s">
        <v>8723</v>
      </c>
      <c r="B18" s="17" t="s">
        <v>55</v>
      </c>
      <c r="C18" s="17" t="s">
        <v>56</v>
      </c>
      <c r="D18" s="17" t="s">
        <v>16</v>
      </c>
      <c r="E18" s="18">
        <f>ROUND(9315*1.05,2)</f>
      </c>
      <c r="F18" s="17" t="s">
        <v>17</v>
      </c>
      <c r="G18" s="17" t="s">
        <v>18</v>
      </c>
      <c r="H18" s="18">
        <f>ROUND(RAND()*4+6,1)</f>
      </c>
      <c r="I18" s="17" t="s">
        <v>19</v>
      </c>
      <c r="J18" s="19">
        <f>ROUND(75*1,0)&amp;"%"</f>
      </c>
    </row>
    <row x14ac:dyDescent="0.25" r="19" customHeight="1" ht="17.25">
      <c r="A19" s="20" t="s">
        <v>8724</v>
      </c>
      <c r="B19" s="20" t="s">
        <v>58</v>
      </c>
      <c r="C19" s="20" t="s">
        <v>56</v>
      </c>
      <c r="D19" s="20" t="s">
        <v>22</v>
      </c>
      <c r="E19" s="21">
        <f>ROUND(4687*1.05,2)</f>
      </c>
      <c r="F19" s="20" t="s">
        <v>23</v>
      </c>
      <c r="G19" s="20" t="s">
        <v>24</v>
      </c>
      <c r="H19" s="21">
        <f>ROUND(RAND()*4+6,1)</f>
      </c>
      <c r="I19" s="20" t="s">
        <v>25</v>
      </c>
      <c r="J19" s="23">
        <f>ROUND(95*1,0)&amp;"%"</f>
      </c>
    </row>
    <row x14ac:dyDescent="0.25" r="20" customHeight="1" ht="17.25">
      <c r="A20" s="17" t="s">
        <v>8725</v>
      </c>
      <c r="B20" s="17" t="s">
        <v>60</v>
      </c>
      <c r="C20" s="17" t="s">
        <v>56</v>
      </c>
      <c r="D20" s="17" t="s">
        <v>28</v>
      </c>
      <c r="E20" s="18">
        <f>ROUND(11142*1.05,2)</f>
      </c>
      <c r="F20" s="17" t="s">
        <v>29</v>
      </c>
      <c r="G20" s="17" t="s">
        <v>30</v>
      </c>
      <c r="H20" s="18">
        <f>ROUND(RAND()*4+6,1)</f>
      </c>
      <c r="I20" s="17" t="s">
        <v>31</v>
      </c>
      <c r="J20" s="19">
        <f>ROUND(72*1,0)&amp;"%"</f>
      </c>
    </row>
    <row x14ac:dyDescent="0.25" r="21" customHeight="1" ht="17.25">
      <c r="A21" s="20" t="s">
        <v>8726</v>
      </c>
      <c r="B21" s="20" t="s">
        <v>62</v>
      </c>
      <c r="C21" s="20" t="s">
        <v>56</v>
      </c>
      <c r="D21" s="20" t="s">
        <v>34</v>
      </c>
      <c r="E21" s="21">
        <f>ROUND(15630*1.05,2)</f>
      </c>
      <c r="F21" s="20" t="s">
        <v>35</v>
      </c>
      <c r="G21" s="20" t="s">
        <v>18</v>
      </c>
      <c r="H21" s="21">
        <f>ROUND(RAND()*4+6,1)</f>
      </c>
      <c r="I21" s="20" t="s">
        <v>36</v>
      </c>
      <c r="J21" s="23">
        <f>ROUND(65*1,0)&amp;"%"</f>
      </c>
    </row>
    <row x14ac:dyDescent="0.25" r="22" customHeight="1" ht="17.25">
      <c r="A22" s="17" t="s">
        <v>8727</v>
      </c>
      <c r="B22" s="17" t="s">
        <v>64</v>
      </c>
      <c r="C22" s="17" t="s">
        <v>56</v>
      </c>
      <c r="D22" s="17" t="s">
        <v>39</v>
      </c>
      <c r="E22" s="18">
        <f>ROUND(5844*1.05,2)</f>
      </c>
      <c r="F22" s="17" t="s">
        <v>40</v>
      </c>
      <c r="G22" s="17" t="s">
        <v>24</v>
      </c>
      <c r="H22" s="18">
        <f>ROUND(RAND()*4+6,1)</f>
      </c>
      <c r="I22" s="17" t="s">
        <v>41</v>
      </c>
      <c r="J22" s="19">
        <f>ROUND(90*1,0)&amp;"%"</f>
      </c>
    </row>
    <row x14ac:dyDescent="0.25" r="23" customHeight="1" ht="17.25">
      <c r="A23" s="20" t="s">
        <v>8728</v>
      </c>
      <c r="B23" s="20" t="s">
        <v>66</v>
      </c>
      <c r="C23" s="20" t="s">
        <v>56</v>
      </c>
      <c r="D23" s="20" t="s">
        <v>67</v>
      </c>
      <c r="E23" s="21">
        <f>ROUND(17205*1.05,2)</f>
      </c>
      <c r="F23" s="20" t="s">
        <v>44</v>
      </c>
      <c r="G23" s="20" t="s">
        <v>30</v>
      </c>
      <c r="H23" s="22">
        <f>ROUND(RAND()*4+6,1)</f>
      </c>
      <c r="I23" s="20" t="s">
        <v>45</v>
      </c>
      <c r="J23" s="23">
        <f>ROUND(63*1,0)&amp;"%"</f>
      </c>
    </row>
    <row x14ac:dyDescent="0.25" r="24" customHeight="1" ht="17.25">
      <c r="A24" s="17" t="s">
        <v>8729</v>
      </c>
      <c r="B24" s="17" t="s">
        <v>69</v>
      </c>
      <c r="C24" s="17" t="s">
        <v>56</v>
      </c>
      <c r="D24" s="17" t="s">
        <v>16</v>
      </c>
      <c r="E24" s="18">
        <f>ROUND(8941*1.05,2)</f>
      </c>
      <c r="F24" s="17" t="s">
        <v>48</v>
      </c>
      <c r="G24" s="17" t="s">
        <v>18</v>
      </c>
      <c r="H24" s="18">
        <f>ROUND(RAND()*4+6,1)</f>
      </c>
      <c r="I24" s="17" t="s">
        <v>19</v>
      </c>
      <c r="J24" s="19">
        <f>ROUND(94*1,0)&amp;"%"</f>
      </c>
    </row>
    <row x14ac:dyDescent="0.25" r="25" customHeight="1" ht="17.25">
      <c r="A25" s="20" t="s">
        <v>8730</v>
      </c>
      <c r="B25" s="20" t="s">
        <v>71</v>
      </c>
      <c r="C25" s="20" t="s">
        <v>56</v>
      </c>
      <c r="D25" s="20" t="s">
        <v>22</v>
      </c>
      <c r="E25" s="21">
        <f>ROUND(6690*1.05,2)</f>
      </c>
      <c r="F25" s="20" t="s">
        <v>51</v>
      </c>
      <c r="G25" s="20" t="s">
        <v>24</v>
      </c>
      <c r="H25" s="21">
        <f>ROUND(RAND()*4+6,1)</f>
      </c>
      <c r="I25" s="20" t="s">
        <v>25</v>
      </c>
      <c r="J25" s="23">
        <f>ROUND(100*1,0)&amp;"%"</f>
      </c>
    </row>
    <row x14ac:dyDescent="0.25" r="26" customHeight="1" ht="17.25">
      <c r="A26" s="24" t="s">
        <v>72</v>
      </c>
      <c r="B26" s="24"/>
      <c r="C26" s="24"/>
      <c r="D26" s="24"/>
      <c r="E26" s="25">
        <v>8</v>
      </c>
      <c r="F26" s="9"/>
      <c r="G26" s="9"/>
      <c r="H26" s="10"/>
      <c r="I26" s="9"/>
      <c r="J26" s="9"/>
    </row>
    <row x14ac:dyDescent="0.25" r="27" customHeight="1" ht="17.25">
      <c r="A27" s="7"/>
      <c r="B27" s="7"/>
      <c r="C27" s="7"/>
      <c r="D27" s="7"/>
      <c r="E27" s="8"/>
      <c r="F27" s="9"/>
      <c r="G27" s="9"/>
      <c r="H27" s="10"/>
      <c r="I27" s="9"/>
      <c r="J27" s="9"/>
    </row>
    <row x14ac:dyDescent="0.25" r="28" customHeight="1" ht="17.25">
      <c r="A28" s="11" t="s">
        <v>8731</v>
      </c>
      <c r="B28" s="11"/>
      <c r="C28" s="11"/>
      <c r="D28" s="11"/>
      <c r="E28" s="12"/>
      <c r="F28" s="11"/>
      <c r="G28" s="11"/>
      <c r="H28" s="13"/>
      <c r="I28" s="11"/>
      <c r="J28" s="11"/>
    </row>
    <row x14ac:dyDescent="0.25" r="29" customHeight="1" ht="17.25">
      <c r="A29" s="14" t="s">
        <v>3</v>
      </c>
      <c r="B29" s="14" t="s">
        <v>4</v>
      </c>
      <c r="C29" s="14" t="s">
        <v>5</v>
      </c>
      <c r="D29" s="14" t="s">
        <v>6</v>
      </c>
      <c r="E29" s="15" t="s">
        <v>7</v>
      </c>
      <c r="F29" s="14" t="s">
        <v>8</v>
      </c>
      <c r="G29" s="14" t="s">
        <v>9</v>
      </c>
      <c r="H29" s="16" t="s">
        <v>10</v>
      </c>
      <c r="I29" s="14" t="s">
        <v>11</v>
      </c>
      <c r="J29" s="14" t="s">
        <v>12</v>
      </c>
    </row>
    <row x14ac:dyDescent="0.25" r="30" customHeight="1" ht="17.25">
      <c r="A30" s="17" t="s">
        <v>8732</v>
      </c>
      <c r="B30" s="17" t="s">
        <v>75</v>
      </c>
      <c r="C30" s="17" t="s">
        <v>76</v>
      </c>
      <c r="D30" s="17" t="s">
        <v>16</v>
      </c>
      <c r="E30" s="18">
        <f>ROUND(5629*1.05,2)</f>
      </c>
      <c r="F30" s="17" t="s">
        <v>17</v>
      </c>
      <c r="G30" s="17" t="s">
        <v>18</v>
      </c>
      <c r="H30" s="18">
        <f>ROUND(RAND()*4+6,1)</f>
      </c>
      <c r="I30" s="17" t="s">
        <v>19</v>
      </c>
      <c r="J30" s="19">
        <f>ROUND(73*1,0)&amp;"%"</f>
      </c>
    </row>
    <row x14ac:dyDescent="0.25" r="31" customHeight="1" ht="17.25">
      <c r="A31" s="20" t="s">
        <v>8733</v>
      </c>
      <c r="B31" s="20" t="s">
        <v>78</v>
      </c>
      <c r="C31" s="20" t="s">
        <v>76</v>
      </c>
      <c r="D31" s="20" t="s">
        <v>22</v>
      </c>
      <c r="E31" s="21">
        <f>ROUND(11217*1.05,2)</f>
      </c>
      <c r="F31" s="20" t="s">
        <v>23</v>
      </c>
      <c r="G31" s="20" t="s">
        <v>24</v>
      </c>
      <c r="H31" s="21">
        <f>ROUND(RAND()*4+6,1)</f>
      </c>
      <c r="I31" s="20" t="s">
        <v>25</v>
      </c>
      <c r="J31" s="23">
        <f>ROUND(60*1,0)&amp;"%"</f>
      </c>
    </row>
    <row x14ac:dyDescent="0.25" r="32" customHeight="1" ht="17.25">
      <c r="A32" s="17" t="s">
        <v>8734</v>
      </c>
      <c r="B32" s="17" t="s">
        <v>80</v>
      </c>
      <c r="C32" s="17" t="s">
        <v>76</v>
      </c>
      <c r="D32" s="17" t="s">
        <v>28</v>
      </c>
      <c r="E32" s="18">
        <f>ROUND(9232*1.05,2)</f>
      </c>
      <c r="F32" s="17" t="s">
        <v>29</v>
      </c>
      <c r="G32" s="17" t="s">
        <v>30</v>
      </c>
      <c r="H32" s="18">
        <f>ROUND(RAND()*4+6,1)</f>
      </c>
      <c r="I32" s="17" t="s">
        <v>31</v>
      </c>
      <c r="J32" s="19">
        <f>ROUND(92*1,0)&amp;"%"</f>
      </c>
    </row>
    <row x14ac:dyDescent="0.25" r="33" customHeight="1" ht="17.25">
      <c r="A33" s="20" t="s">
        <v>8735</v>
      </c>
      <c r="B33" s="20" t="s">
        <v>82</v>
      </c>
      <c r="C33" s="20" t="s">
        <v>76</v>
      </c>
      <c r="D33" s="20" t="s">
        <v>34</v>
      </c>
      <c r="E33" s="21">
        <f>ROUND(9027*1.05,2)</f>
      </c>
      <c r="F33" s="20" t="s">
        <v>35</v>
      </c>
      <c r="G33" s="20" t="s">
        <v>18</v>
      </c>
      <c r="H33" s="21">
        <f>ROUND(RAND()*4+6,1)</f>
      </c>
      <c r="I33" s="20" t="s">
        <v>36</v>
      </c>
      <c r="J33" s="23">
        <f>ROUND(63*1,0)&amp;"%"</f>
      </c>
    </row>
    <row x14ac:dyDescent="0.25" r="34" customHeight="1" ht="17.25">
      <c r="A34" s="17" t="s">
        <v>8736</v>
      </c>
      <c r="B34" s="17" t="s">
        <v>84</v>
      </c>
      <c r="C34" s="17" t="s">
        <v>76</v>
      </c>
      <c r="D34" s="17" t="s">
        <v>39</v>
      </c>
      <c r="E34" s="18">
        <f>ROUND(10936*1.05,2)</f>
      </c>
      <c r="F34" s="17" t="s">
        <v>40</v>
      </c>
      <c r="G34" s="17" t="s">
        <v>24</v>
      </c>
      <c r="H34" s="18">
        <f>ROUND(RAND()*4+6,1)</f>
      </c>
      <c r="I34" s="17" t="s">
        <v>41</v>
      </c>
      <c r="J34" s="19">
        <f>ROUND(98*1,0)&amp;"%"</f>
      </c>
    </row>
    <row x14ac:dyDescent="0.25" r="35" customHeight="1" ht="17.25">
      <c r="A35" s="20" t="s">
        <v>8737</v>
      </c>
      <c r="B35" s="20" t="s">
        <v>86</v>
      </c>
      <c r="C35" s="20" t="s">
        <v>76</v>
      </c>
      <c r="D35" s="20" t="s">
        <v>67</v>
      </c>
      <c r="E35" s="21">
        <f>ROUND(6146*1.05,2)</f>
      </c>
      <c r="F35" s="20" t="s">
        <v>44</v>
      </c>
      <c r="G35" s="20" t="s">
        <v>30</v>
      </c>
      <c r="H35" s="21">
        <f>ROUND(RAND()*4+6,1)</f>
      </c>
      <c r="I35" s="20" t="s">
        <v>45</v>
      </c>
      <c r="J35" s="23">
        <f>ROUND(100*1,0)&amp;"%"</f>
      </c>
    </row>
    <row x14ac:dyDescent="0.25" r="36" customHeight="1" ht="17.25">
      <c r="A36" s="17" t="s">
        <v>8738</v>
      </c>
      <c r="B36" s="17" t="s">
        <v>88</v>
      </c>
      <c r="C36" s="17" t="s">
        <v>76</v>
      </c>
      <c r="D36" s="17" t="s">
        <v>16</v>
      </c>
      <c r="E36" s="18">
        <f>ROUND(14448*1.05,2)</f>
      </c>
      <c r="F36" s="17" t="s">
        <v>48</v>
      </c>
      <c r="G36" s="17" t="s">
        <v>18</v>
      </c>
      <c r="H36" s="18">
        <f>ROUND(RAND()*4+6,1)</f>
      </c>
      <c r="I36" s="17" t="s">
        <v>19</v>
      </c>
      <c r="J36" s="19">
        <f>ROUND(67*1,0)&amp;"%"</f>
      </c>
    </row>
    <row x14ac:dyDescent="0.25" r="37" customHeight="1" ht="17.25">
      <c r="A37" s="20" t="s">
        <v>8739</v>
      </c>
      <c r="B37" s="20" t="s">
        <v>90</v>
      </c>
      <c r="C37" s="20" t="s">
        <v>76</v>
      </c>
      <c r="D37" s="20" t="s">
        <v>22</v>
      </c>
      <c r="E37" s="21">
        <f>ROUND(14017*1.05,2)</f>
      </c>
      <c r="F37" s="20" t="s">
        <v>51</v>
      </c>
      <c r="G37" s="20" t="s">
        <v>24</v>
      </c>
      <c r="H37" s="21">
        <f>ROUND(RAND()*4+6,1)</f>
      </c>
      <c r="I37" s="20" t="s">
        <v>25</v>
      </c>
      <c r="J37" s="23">
        <f>ROUND(61*1,0)&amp;"%"</f>
      </c>
    </row>
    <row x14ac:dyDescent="0.25" r="38" customHeight="1" ht="17.25">
      <c r="A38" s="24" t="s">
        <v>91</v>
      </c>
      <c r="B38" s="24"/>
      <c r="C38" s="24"/>
      <c r="D38" s="24"/>
      <c r="E38" s="25">
        <v>8</v>
      </c>
      <c r="F38" s="9"/>
      <c r="G38" s="9"/>
      <c r="H38" s="10"/>
      <c r="I38" s="9"/>
      <c r="J38" s="9"/>
    </row>
    <row x14ac:dyDescent="0.25" r="39" customHeight="1" ht="17.25">
      <c r="A39" s="7"/>
      <c r="B39" s="7"/>
      <c r="C39" s="7"/>
      <c r="D39" s="7"/>
      <c r="E39" s="8"/>
      <c r="F39" s="9"/>
      <c r="G39" s="9"/>
      <c r="H39" s="10"/>
      <c r="I39" s="9"/>
      <c r="J39" s="9"/>
    </row>
    <row x14ac:dyDescent="0.25" r="40" customHeight="1" ht="17.25">
      <c r="A40" s="11" t="s">
        <v>8740</v>
      </c>
      <c r="B40" s="11"/>
      <c r="C40" s="11"/>
      <c r="D40" s="11"/>
      <c r="E40" s="12"/>
      <c r="F40" s="11"/>
      <c r="G40" s="11"/>
      <c r="H40" s="13"/>
      <c r="I40" s="11"/>
      <c r="J40" s="11"/>
    </row>
    <row x14ac:dyDescent="0.25" r="41" customHeight="1" ht="17.25">
      <c r="A41" s="14" t="s">
        <v>3</v>
      </c>
      <c r="B41" s="14" t="s">
        <v>4</v>
      </c>
      <c r="C41" s="14" t="s">
        <v>5</v>
      </c>
      <c r="D41" s="14" t="s">
        <v>6</v>
      </c>
      <c r="E41" s="15" t="s">
        <v>7</v>
      </c>
      <c r="F41" s="14" t="s">
        <v>8</v>
      </c>
      <c r="G41" s="14" t="s">
        <v>9</v>
      </c>
      <c r="H41" s="16" t="s">
        <v>10</v>
      </c>
      <c r="I41" s="14" t="s">
        <v>11</v>
      </c>
      <c r="J41" s="14" t="s">
        <v>12</v>
      </c>
    </row>
    <row x14ac:dyDescent="0.25" r="42" customHeight="1" ht="17.25">
      <c r="A42" s="17" t="s">
        <v>8741</v>
      </c>
      <c r="B42" s="17" t="s">
        <v>94</v>
      </c>
      <c r="C42" s="17" t="s">
        <v>95</v>
      </c>
      <c r="D42" s="17" t="s">
        <v>16</v>
      </c>
      <c r="E42" s="18">
        <f>ROUND(5281*1.05,2)</f>
      </c>
      <c r="F42" s="17" t="s">
        <v>17</v>
      </c>
      <c r="G42" s="17" t="s">
        <v>18</v>
      </c>
      <c r="H42" s="18">
        <f>ROUND(RAND()*4+6,1)</f>
      </c>
      <c r="I42" s="17" t="s">
        <v>19</v>
      </c>
      <c r="J42" s="19">
        <f>ROUND(100*1,0)&amp;"%"</f>
      </c>
    </row>
    <row x14ac:dyDescent="0.25" r="43" customHeight="1" ht="17.25">
      <c r="A43" s="20" t="s">
        <v>8742</v>
      </c>
      <c r="B43" s="20" t="s">
        <v>97</v>
      </c>
      <c r="C43" s="20" t="s">
        <v>95</v>
      </c>
      <c r="D43" s="20" t="s">
        <v>22</v>
      </c>
      <c r="E43" s="21">
        <f>ROUND(6205*1.05,2)</f>
      </c>
      <c r="F43" s="20" t="s">
        <v>23</v>
      </c>
      <c r="G43" s="20" t="s">
        <v>24</v>
      </c>
      <c r="H43" s="21">
        <f>ROUND(RAND()*4+6,1)</f>
      </c>
      <c r="I43" s="20" t="s">
        <v>25</v>
      </c>
      <c r="J43" s="23">
        <f>ROUND(91*1,0)&amp;"%"</f>
      </c>
    </row>
    <row x14ac:dyDescent="0.25" r="44" customHeight="1" ht="17.25">
      <c r="A44" s="17" t="s">
        <v>8743</v>
      </c>
      <c r="B44" s="17" t="s">
        <v>99</v>
      </c>
      <c r="C44" s="17" t="s">
        <v>95</v>
      </c>
      <c r="D44" s="17" t="s">
        <v>28</v>
      </c>
      <c r="E44" s="18">
        <f>ROUND(16063*1.05,2)</f>
      </c>
      <c r="F44" s="17" t="s">
        <v>29</v>
      </c>
      <c r="G44" s="17" t="s">
        <v>30</v>
      </c>
      <c r="H44" s="18">
        <f>ROUND(RAND()*4+6,1)</f>
      </c>
      <c r="I44" s="17" t="s">
        <v>31</v>
      </c>
      <c r="J44" s="19">
        <f>ROUND(61*1,0)&amp;"%"</f>
      </c>
    </row>
    <row x14ac:dyDescent="0.25" r="45" customHeight="1" ht="17.25">
      <c r="A45" s="20" t="s">
        <v>8744</v>
      </c>
      <c r="B45" s="20" t="s">
        <v>101</v>
      </c>
      <c r="C45" s="20" t="s">
        <v>95</v>
      </c>
      <c r="D45" s="20" t="s">
        <v>34</v>
      </c>
      <c r="E45" s="21">
        <f>ROUND(7894*1.05,2)</f>
      </c>
      <c r="F45" s="20" t="s">
        <v>35</v>
      </c>
      <c r="G45" s="20" t="s">
        <v>18</v>
      </c>
      <c r="H45" s="21">
        <f>ROUND(RAND()*4+6,1)</f>
      </c>
      <c r="I45" s="20" t="s">
        <v>36</v>
      </c>
      <c r="J45" s="23">
        <f>ROUND(91*1,0)&amp;"%"</f>
      </c>
    </row>
    <row x14ac:dyDescent="0.25" r="46" customHeight="1" ht="17.25">
      <c r="A46" s="17" t="s">
        <v>8745</v>
      </c>
      <c r="B46" s="17" t="s">
        <v>103</v>
      </c>
      <c r="C46" s="17" t="s">
        <v>95</v>
      </c>
      <c r="D46" s="17" t="s">
        <v>39</v>
      </c>
      <c r="E46" s="18">
        <f>ROUND(14884*1.05,2)</f>
      </c>
      <c r="F46" s="17" t="s">
        <v>40</v>
      </c>
      <c r="G46" s="17" t="s">
        <v>24</v>
      </c>
      <c r="H46" s="18">
        <f>ROUND(RAND()*4+6,1)</f>
      </c>
      <c r="I46" s="17" t="s">
        <v>41</v>
      </c>
      <c r="J46" s="19">
        <f>ROUND(76*1,0)&amp;"%"</f>
      </c>
    </row>
    <row x14ac:dyDescent="0.25" r="47" customHeight="1" ht="17.25">
      <c r="A47" s="20" t="s">
        <v>8746</v>
      </c>
      <c r="B47" s="20" t="s">
        <v>105</v>
      </c>
      <c r="C47" s="20" t="s">
        <v>95</v>
      </c>
      <c r="D47" s="20" t="s">
        <v>67</v>
      </c>
      <c r="E47" s="21">
        <f>ROUND(13967*1.05,2)</f>
      </c>
      <c r="F47" s="20" t="s">
        <v>44</v>
      </c>
      <c r="G47" s="20" t="s">
        <v>30</v>
      </c>
      <c r="H47" s="21">
        <f>ROUND(RAND()*4+6,1)</f>
      </c>
      <c r="I47" s="20" t="s">
        <v>45</v>
      </c>
      <c r="J47" s="23">
        <f>ROUND(66*1,0)&amp;"%"</f>
      </c>
    </row>
    <row x14ac:dyDescent="0.25" r="48" customHeight="1" ht="17.25">
      <c r="A48" s="17" t="s">
        <v>8747</v>
      </c>
      <c r="B48" s="17" t="s">
        <v>107</v>
      </c>
      <c r="C48" s="17" t="s">
        <v>95</v>
      </c>
      <c r="D48" s="17" t="s">
        <v>16</v>
      </c>
      <c r="E48" s="18">
        <f>ROUND(6408*1.05,2)</f>
      </c>
      <c r="F48" s="17" t="s">
        <v>48</v>
      </c>
      <c r="G48" s="17" t="s">
        <v>18</v>
      </c>
      <c r="H48" s="18">
        <f>ROUND(RAND()*4+6,1)</f>
      </c>
      <c r="I48" s="17" t="s">
        <v>19</v>
      </c>
      <c r="J48" s="19">
        <f>ROUND(95*1,0)&amp;"%"</f>
      </c>
    </row>
    <row x14ac:dyDescent="0.25" r="49" customHeight="1" ht="17.25">
      <c r="A49" s="20" t="s">
        <v>8748</v>
      </c>
      <c r="B49" s="20" t="s">
        <v>109</v>
      </c>
      <c r="C49" s="20" t="s">
        <v>95</v>
      </c>
      <c r="D49" s="20" t="s">
        <v>22</v>
      </c>
      <c r="E49" s="21">
        <f>ROUND(5975*1.05,2)</f>
      </c>
      <c r="F49" s="20" t="s">
        <v>51</v>
      </c>
      <c r="G49" s="20" t="s">
        <v>24</v>
      </c>
      <c r="H49" s="21">
        <f>ROUND(RAND()*4+6,1)</f>
      </c>
      <c r="I49" s="20" t="s">
        <v>25</v>
      </c>
      <c r="J49" s="23">
        <f>ROUND(69*1,0)&amp;"%"</f>
      </c>
    </row>
    <row x14ac:dyDescent="0.25" r="50" customHeight="1" ht="17.25">
      <c r="A50" s="24" t="s">
        <v>110</v>
      </c>
      <c r="B50" s="24"/>
      <c r="C50" s="24"/>
      <c r="D50" s="24"/>
      <c r="E50" s="25">
        <v>8</v>
      </c>
      <c r="F50" s="9"/>
      <c r="G50" s="9"/>
      <c r="H50" s="10"/>
      <c r="I50" s="9"/>
      <c r="J50" s="9"/>
    </row>
    <row x14ac:dyDescent="0.25" r="51" customHeight="1" ht="17.25">
      <c r="A51" s="7"/>
      <c r="B51" s="7"/>
      <c r="C51" s="7"/>
      <c r="D51" s="7"/>
      <c r="E51" s="8"/>
      <c r="F51" s="9"/>
      <c r="G51" s="9"/>
      <c r="H51" s="10"/>
      <c r="I51" s="9"/>
      <c r="J51" s="9"/>
    </row>
    <row x14ac:dyDescent="0.25" r="52" customHeight="1" ht="17.25">
      <c r="A52" s="11" t="s">
        <v>8749</v>
      </c>
      <c r="B52" s="11"/>
      <c r="C52" s="11"/>
      <c r="D52" s="11"/>
      <c r="E52" s="12"/>
      <c r="F52" s="11"/>
      <c r="G52" s="11"/>
      <c r="H52" s="13"/>
      <c r="I52" s="11"/>
      <c r="J52" s="11"/>
    </row>
    <row x14ac:dyDescent="0.25" r="53" customHeight="1" ht="17.25">
      <c r="A53" s="14" t="s">
        <v>3</v>
      </c>
      <c r="B53" s="14" t="s">
        <v>4</v>
      </c>
      <c r="C53" s="14" t="s">
        <v>5</v>
      </c>
      <c r="D53" s="14" t="s">
        <v>6</v>
      </c>
      <c r="E53" s="15" t="s">
        <v>7</v>
      </c>
      <c r="F53" s="14" t="s">
        <v>8</v>
      </c>
      <c r="G53" s="14" t="s">
        <v>9</v>
      </c>
      <c r="H53" s="16" t="s">
        <v>10</v>
      </c>
      <c r="I53" s="14" t="s">
        <v>11</v>
      </c>
      <c r="J53" s="14" t="s">
        <v>12</v>
      </c>
    </row>
    <row x14ac:dyDescent="0.25" r="54" customHeight="1" ht="17.25">
      <c r="A54" s="17" t="s">
        <v>8750</v>
      </c>
      <c r="B54" s="17" t="s">
        <v>113</v>
      </c>
      <c r="C54" s="17" t="s">
        <v>114</v>
      </c>
      <c r="D54" s="17" t="s">
        <v>16</v>
      </c>
      <c r="E54" s="26">
        <f>ROUND(7300*1.05,2)</f>
      </c>
      <c r="F54" s="17" t="s">
        <v>17</v>
      </c>
      <c r="G54" s="17" t="s">
        <v>18</v>
      </c>
      <c r="H54" s="18">
        <f>ROUND(RAND()*4+6,1)</f>
      </c>
      <c r="I54" s="17" t="s">
        <v>19</v>
      </c>
      <c r="J54" s="19">
        <f>ROUND(89*1,0)&amp;"%"</f>
      </c>
    </row>
    <row x14ac:dyDescent="0.25" r="55" customHeight="1" ht="17.25">
      <c r="A55" s="20" t="s">
        <v>8751</v>
      </c>
      <c r="B55" s="20" t="s">
        <v>116</v>
      </c>
      <c r="C55" s="20" t="s">
        <v>114</v>
      </c>
      <c r="D55" s="20" t="s">
        <v>22</v>
      </c>
      <c r="E55" s="21">
        <f>ROUND(17829*1.05,2)</f>
      </c>
      <c r="F55" s="20" t="s">
        <v>23</v>
      </c>
      <c r="G55" s="20" t="s">
        <v>24</v>
      </c>
      <c r="H55" s="21">
        <f>ROUND(RAND()*4+6,1)</f>
      </c>
      <c r="I55" s="20" t="s">
        <v>25</v>
      </c>
      <c r="J55" s="23">
        <f>ROUND(81*1,0)&amp;"%"</f>
      </c>
    </row>
    <row x14ac:dyDescent="0.25" r="56" customHeight="1" ht="17.25">
      <c r="A56" s="17" t="s">
        <v>8752</v>
      </c>
      <c r="B56" s="17" t="s">
        <v>118</v>
      </c>
      <c r="C56" s="17" t="s">
        <v>114</v>
      </c>
      <c r="D56" s="17" t="s">
        <v>28</v>
      </c>
      <c r="E56" s="18">
        <f>ROUND(7850*1.05,2)</f>
      </c>
      <c r="F56" s="17" t="s">
        <v>29</v>
      </c>
      <c r="G56" s="17" t="s">
        <v>30</v>
      </c>
      <c r="H56" s="18">
        <f>ROUND(RAND()*4+6,1)</f>
      </c>
      <c r="I56" s="17" t="s">
        <v>31</v>
      </c>
      <c r="J56" s="19">
        <f>ROUND(70*1,0)&amp;"%"</f>
      </c>
    </row>
    <row x14ac:dyDescent="0.25" r="57" customHeight="1" ht="17.25">
      <c r="A57" s="20" t="s">
        <v>8753</v>
      </c>
      <c r="B57" s="20" t="s">
        <v>120</v>
      </c>
      <c r="C57" s="20" t="s">
        <v>114</v>
      </c>
      <c r="D57" s="20" t="s">
        <v>34</v>
      </c>
      <c r="E57" s="21">
        <f>ROUND(14555*1.05,2)</f>
      </c>
      <c r="F57" s="20" t="s">
        <v>35</v>
      </c>
      <c r="G57" s="20" t="s">
        <v>18</v>
      </c>
      <c r="H57" s="21">
        <f>ROUND(RAND()*4+6,1)</f>
      </c>
      <c r="I57" s="20" t="s">
        <v>36</v>
      </c>
      <c r="J57" s="23">
        <f>ROUND(63*1,0)&amp;"%"</f>
      </c>
    </row>
    <row x14ac:dyDescent="0.25" r="58" customHeight="1" ht="17.25">
      <c r="A58" s="17" t="s">
        <v>8754</v>
      </c>
      <c r="B58" s="17" t="s">
        <v>122</v>
      </c>
      <c r="C58" s="17" t="s">
        <v>114</v>
      </c>
      <c r="D58" s="17" t="s">
        <v>39</v>
      </c>
      <c r="E58" s="18">
        <f>ROUND(15833*1.05,2)</f>
      </c>
      <c r="F58" s="17" t="s">
        <v>40</v>
      </c>
      <c r="G58" s="17" t="s">
        <v>24</v>
      </c>
      <c r="H58" s="18">
        <f>ROUND(RAND()*4+6,1)</f>
      </c>
      <c r="I58" s="17" t="s">
        <v>41</v>
      </c>
      <c r="J58" s="19">
        <f>ROUND(62*1,0)&amp;"%"</f>
      </c>
    </row>
    <row x14ac:dyDescent="0.25" r="59" customHeight="1" ht="17.25">
      <c r="A59" s="20" t="s">
        <v>8755</v>
      </c>
      <c r="B59" s="20" t="s">
        <v>124</v>
      </c>
      <c r="C59" s="20" t="s">
        <v>114</v>
      </c>
      <c r="D59" s="20" t="s">
        <v>67</v>
      </c>
      <c r="E59" s="21">
        <f>ROUND(11968*1.05,2)</f>
      </c>
      <c r="F59" s="20" t="s">
        <v>44</v>
      </c>
      <c r="G59" s="20" t="s">
        <v>30</v>
      </c>
      <c r="H59" s="21">
        <f>ROUND(RAND()*4+6,1)</f>
      </c>
      <c r="I59" s="20" t="s">
        <v>45</v>
      </c>
      <c r="J59" s="23">
        <f>ROUND(71*1,0)&amp;"%"</f>
      </c>
    </row>
    <row x14ac:dyDescent="0.25" r="60" customHeight="1" ht="17.25">
      <c r="A60" s="17" t="s">
        <v>8756</v>
      </c>
      <c r="B60" s="17" t="s">
        <v>126</v>
      </c>
      <c r="C60" s="17" t="s">
        <v>114</v>
      </c>
      <c r="D60" s="17" t="s">
        <v>16</v>
      </c>
      <c r="E60" s="18">
        <f>ROUND(6231*1.05,2)</f>
      </c>
      <c r="F60" s="17" t="s">
        <v>48</v>
      </c>
      <c r="G60" s="17" t="s">
        <v>18</v>
      </c>
      <c r="H60" s="18">
        <f>ROUND(RAND()*4+6,1)</f>
      </c>
      <c r="I60" s="17" t="s">
        <v>19</v>
      </c>
      <c r="J60" s="19">
        <f>ROUND(64*1,0)&amp;"%"</f>
      </c>
    </row>
    <row x14ac:dyDescent="0.25" r="61" customHeight="1" ht="17.25">
      <c r="A61" s="20" t="s">
        <v>8757</v>
      </c>
      <c r="B61" s="20" t="s">
        <v>128</v>
      </c>
      <c r="C61" s="20" t="s">
        <v>114</v>
      </c>
      <c r="D61" s="20" t="s">
        <v>22</v>
      </c>
      <c r="E61" s="21">
        <f>ROUND(5911*1.05,2)</f>
      </c>
      <c r="F61" s="20" t="s">
        <v>51</v>
      </c>
      <c r="G61" s="20" t="s">
        <v>24</v>
      </c>
      <c r="H61" s="21">
        <f>ROUND(RAND()*4+6,1)</f>
      </c>
      <c r="I61" s="20" t="s">
        <v>25</v>
      </c>
      <c r="J61" s="23">
        <f>ROUND(100*1,0)&amp;"%"</f>
      </c>
    </row>
    <row x14ac:dyDescent="0.25" r="62" customHeight="1" ht="17.25">
      <c r="A62" s="24" t="s">
        <v>129</v>
      </c>
      <c r="B62" s="24"/>
      <c r="C62" s="24"/>
      <c r="D62" s="24"/>
      <c r="E62" s="25">
        <v>8</v>
      </c>
      <c r="F62" s="9"/>
      <c r="G62" s="9"/>
      <c r="H62" s="10"/>
      <c r="I62" s="9"/>
      <c r="J62" s="9"/>
    </row>
    <row x14ac:dyDescent="0.25" r="63" customHeight="1" ht="17.25">
      <c r="A63" s="7"/>
      <c r="B63" s="7"/>
      <c r="C63" s="7"/>
      <c r="D63" s="7"/>
      <c r="E63" s="8"/>
      <c r="F63" s="9"/>
      <c r="G63" s="9"/>
      <c r="H63" s="10"/>
      <c r="I63" s="9"/>
      <c r="J63" s="9"/>
    </row>
    <row x14ac:dyDescent="0.25" r="64" customHeight="1" ht="17.25">
      <c r="A64" s="11" t="s">
        <v>8758</v>
      </c>
      <c r="B64" s="11"/>
      <c r="C64" s="11"/>
      <c r="D64" s="11"/>
      <c r="E64" s="12"/>
      <c r="F64" s="11"/>
      <c r="G64" s="11"/>
      <c r="H64" s="13"/>
      <c r="I64" s="11"/>
      <c r="J64" s="11"/>
    </row>
    <row x14ac:dyDescent="0.25" r="65" customHeight="1" ht="17.25">
      <c r="A65" s="14" t="s">
        <v>3</v>
      </c>
      <c r="B65" s="14" t="s">
        <v>4</v>
      </c>
      <c r="C65" s="14" t="s">
        <v>5</v>
      </c>
      <c r="D65" s="14" t="s">
        <v>6</v>
      </c>
      <c r="E65" s="15" t="s">
        <v>7</v>
      </c>
      <c r="F65" s="14" t="s">
        <v>8</v>
      </c>
      <c r="G65" s="14" t="s">
        <v>9</v>
      </c>
      <c r="H65" s="16" t="s">
        <v>10</v>
      </c>
      <c r="I65" s="14" t="s">
        <v>11</v>
      </c>
      <c r="J65" s="14" t="s">
        <v>12</v>
      </c>
    </row>
    <row x14ac:dyDescent="0.25" r="66" customHeight="1" ht="17.25">
      <c r="A66" s="17" t="s">
        <v>8759</v>
      </c>
      <c r="B66" s="17" t="s">
        <v>132</v>
      </c>
      <c r="C66" s="17" t="s">
        <v>133</v>
      </c>
      <c r="D66" s="17" t="s">
        <v>16</v>
      </c>
      <c r="E66" s="18">
        <f>ROUND(12083*1.05,2)</f>
      </c>
      <c r="F66" s="17" t="s">
        <v>17</v>
      </c>
      <c r="G66" s="17" t="s">
        <v>18</v>
      </c>
      <c r="H66" s="26">
        <f>ROUND(RAND()*4+6,1)</f>
      </c>
      <c r="I66" s="17" t="s">
        <v>19</v>
      </c>
      <c r="J66" s="19">
        <f>ROUND(99*1,0)&amp;"%"</f>
      </c>
    </row>
    <row x14ac:dyDescent="0.25" r="67" customHeight="1" ht="17.25">
      <c r="A67" s="20" t="s">
        <v>8760</v>
      </c>
      <c r="B67" s="20" t="s">
        <v>135</v>
      </c>
      <c r="C67" s="20" t="s">
        <v>133</v>
      </c>
      <c r="D67" s="20" t="s">
        <v>22</v>
      </c>
      <c r="E67" s="21">
        <f>ROUND(11366*1.05,2)</f>
      </c>
      <c r="F67" s="20" t="s">
        <v>23</v>
      </c>
      <c r="G67" s="20" t="s">
        <v>24</v>
      </c>
      <c r="H67" s="21">
        <f>ROUND(RAND()*4+6,1)</f>
      </c>
      <c r="I67" s="20" t="s">
        <v>25</v>
      </c>
      <c r="J67" s="23">
        <f>ROUND(85*1,0)&amp;"%"</f>
      </c>
    </row>
    <row x14ac:dyDescent="0.25" r="68" customHeight="1" ht="17.25">
      <c r="A68" s="17" t="s">
        <v>8761</v>
      </c>
      <c r="B68" s="17" t="s">
        <v>137</v>
      </c>
      <c r="C68" s="17" t="s">
        <v>133</v>
      </c>
      <c r="D68" s="17" t="s">
        <v>28</v>
      </c>
      <c r="E68" s="18">
        <f>ROUND(12652*1.05,2)</f>
      </c>
      <c r="F68" s="17" t="s">
        <v>29</v>
      </c>
      <c r="G68" s="17" t="s">
        <v>30</v>
      </c>
      <c r="H68" s="18">
        <f>ROUND(RAND()*4+6,1)</f>
      </c>
      <c r="I68" s="17" t="s">
        <v>31</v>
      </c>
      <c r="J68" s="19">
        <f>ROUND(70*1,0)&amp;"%"</f>
      </c>
    </row>
    <row x14ac:dyDescent="0.25" r="69" customHeight="1" ht="17.25">
      <c r="A69" s="20" t="s">
        <v>8762</v>
      </c>
      <c r="B69" s="20" t="s">
        <v>139</v>
      </c>
      <c r="C69" s="20" t="s">
        <v>133</v>
      </c>
      <c r="D69" s="20" t="s">
        <v>34</v>
      </c>
      <c r="E69" s="21">
        <f>ROUND(8484*1.05,2)</f>
      </c>
      <c r="F69" s="20" t="s">
        <v>35</v>
      </c>
      <c r="G69" s="20" t="s">
        <v>18</v>
      </c>
      <c r="H69" s="21">
        <f>ROUND(RAND()*4+6,1)</f>
      </c>
      <c r="I69" s="20" t="s">
        <v>36</v>
      </c>
      <c r="J69" s="23">
        <f>ROUND(97*1,0)&amp;"%"</f>
      </c>
    </row>
    <row x14ac:dyDescent="0.25" r="70" customHeight="1" ht="17.25">
      <c r="A70" s="17" t="s">
        <v>8763</v>
      </c>
      <c r="B70" s="17" t="s">
        <v>141</v>
      </c>
      <c r="C70" s="17" t="s">
        <v>133</v>
      </c>
      <c r="D70" s="17" t="s">
        <v>39</v>
      </c>
      <c r="E70" s="18">
        <f>ROUND(17812*1.05,2)</f>
      </c>
      <c r="F70" s="17" t="s">
        <v>40</v>
      </c>
      <c r="G70" s="17" t="s">
        <v>24</v>
      </c>
      <c r="H70" s="18">
        <f>ROUND(RAND()*4+6,1)</f>
      </c>
      <c r="I70" s="17" t="s">
        <v>41</v>
      </c>
      <c r="J70" s="19">
        <f>ROUND(84*1,0)&amp;"%"</f>
      </c>
    </row>
    <row x14ac:dyDescent="0.25" r="71" customHeight="1" ht="17.25">
      <c r="A71" s="20" t="s">
        <v>8764</v>
      </c>
      <c r="B71" s="20" t="s">
        <v>143</v>
      </c>
      <c r="C71" s="20" t="s">
        <v>133</v>
      </c>
      <c r="D71" s="20" t="s">
        <v>67</v>
      </c>
      <c r="E71" s="21">
        <f>ROUND(4324*1.05,2)</f>
      </c>
      <c r="F71" s="20" t="s">
        <v>44</v>
      </c>
      <c r="G71" s="20" t="s">
        <v>30</v>
      </c>
      <c r="H71" s="21">
        <f>ROUND(RAND()*4+6,1)</f>
      </c>
      <c r="I71" s="20" t="s">
        <v>45</v>
      </c>
      <c r="J71" s="23">
        <f>ROUND(84*1,0)&amp;"%"</f>
      </c>
    </row>
    <row x14ac:dyDescent="0.25" r="72" customHeight="1" ht="17.25">
      <c r="A72" s="17" t="s">
        <v>8765</v>
      </c>
      <c r="B72" s="17" t="s">
        <v>145</v>
      </c>
      <c r="C72" s="17" t="s">
        <v>133</v>
      </c>
      <c r="D72" s="17" t="s">
        <v>16</v>
      </c>
      <c r="E72" s="18">
        <f>ROUND(17030*1.05,2)</f>
      </c>
      <c r="F72" s="17" t="s">
        <v>48</v>
      </c>
      <c r="G72" s="17" t="s">
        <v>18</v>
      </c>
      <c r="H72" s="18">
        <f>ROUND(RAND()*4+6,1)</f>
      </c>
      <c r="I72" s="17" t="s">
        <v>19</v>
      </c>
      <c r="J72" s="19">
        <f>ROUND(88*1,0)&amp;"%"</f>
      </c>
    </row>
    <row x14ac:dyDescent="0.25" r="73" customHeight="1" ht="17.25">
      <c r="A73" s="20" t="s">
        <v>8766</v>
      </c>
      <c r="B73" s="20" t="s">
        <v>147</v>
      </c>
      <c r="C73" s="20" t="s">
        <v>133</v>
      </c>
      <c r="D73" s="20" t="s">
        <v>22</v>
      </c>
      <c r="E73" s="21">
        <f>ROUND(7114*1.05,2)</f>
      </c>
      <c r="F73" s="20" t="s">
        <v>51</v>
      </c>
      <c r="G73" s="20" t="s">
        <v>24</v>
      </c>
      <c r="H73" s="21">
        <f>ROUND(RAND()*4+6,1)</f>
      </c>
      <c r="I73" s="20" t="s">
        <v>25</v>
      </c>
      <c r="J73" s="23">
        <f>ROUND(99*1,0)&amp;"%"</f>
      </c>
    </row>
    <row x14ac:dyDescent="0.25" r="74" customHeight="1" ht="17.25">
      <c r="A74" s="24" t="s">
        <v>148</v>
      </c>
      <c r="B74" s="24"/>
      <c r="C74" s="24"/>
      <c r="D74" s="24"/>
      <c r="E74" s="25">
        <v>8</v>
      </c>
      <c r="F74" s="9"/>
      <c r="G74" s="9"/>
      <c r="H74" s="10"/>
      <c r="I74" s="9"/>
      <c r="J74" s="9"/>
    </row>
    <row x14ac:dyDescent="0.25" r="75" customHeight="1" ht="17.25">
      <c r="A75" s="7"/>
      <c r="B75" s="7"/>
      <c r="C75" s="7"/>
      <c r="D75" s="7"/>
      <c r="E75" s="8"/>
      <c r="F75" s="9"/>
      <c r="G75" s="9"/>
      <c r="H75" s="10"/>
      <c r="I75" s="9"/>
      <c r="J75" s="9"/>
    </row>
    <row x14ac:dyDescent="0.25" r="76" customHeight="1" ht="17.25">
      <c r="A76" s="11" t="s">
        <v>8767</v>
      </c>
      <c r="B76" s="11"/>
      <c r="C76" s="11"/>
      <c r="D76" s="11"/>
      <c r="E76" s="12"/>
      <c r="F76" s="11"/>
      <c r="G76" s="11"/>
      <c r="H76" s="13"/>
      <c r="I76" s="11"/>
      <c r="J76" s="11"/>
    </row>
    <row x14ac:dyDescent="0.25" r="77" customHeight="1" ht="17.25">
      <c r="A77" s="14" t="s">
        <v>3</v>
      </c>
      <c r="B77" s="14" t="s">
        <v>4</v>
      </c>
      <c r="C77" s="14" t="s">
        <v>5</v>
      </c>
      <c r="D77" s="14" t="s">
        <v>6</v>
      </c>
      <c r="E77" s="15" t="s">
        <v>7</v>
      </c>
      <c r="F77" s="14" t="s">
        <v>8</v>
      </c>
      <c r="G77" s="14" t="s">
        <v>9</v>
      </c>
      <c r="H77" s="16" t="s">
        <v>10</v>
      </c>
      <c r="I77" s="14" t="s">
        <v>11</v>
      </c>
      <c r="J77" s="14" t="s">
        <v>12</v>
      </c>
    </row>
    <row x14ac:dyDescent="0.25" r="78" customHeight="1" ht="17.25">
      <c r="A78" s="17" t="s">
        <v>8768</v>
      </c>
      <c r="B78" s="17" t="s">
        <v>151</v>
      </c>
      <c r="C78" s="17" t="s">
        <v>152</v>
      </c>
      <c r="D78" s="17" t="s">
        <v>16</v>
      </c>
      <c r="E78" s="18">
        <f>ROUND(8822*1.05,2)</f>
      </c>
      <c r="F78" s="17" t="s">
        <v>17</v>
      </c>
      <c r="G78" s="17" t="s">
        <v>18</v>
      </c>
      <c r="H78" s="18">
        <f>ROUND(RAND()*4+6,1)</f>
      </c>
      <c r="I78" s="17" t="s">
        <v>19</v>
      </c>
      <c r="J78" s="19">
        <f>ROUND(66*1,0)&amp;"%"</f>
      </c>
    </row>
    <row x14ac:dyDescent="0.25" r="79" customHeight="1" ht="17.25">
      <c r="A79" s="20" t="s">
        <v>8769</v>
      </c>
      <c r="B79" s="20" t="s">
        <v>154</v>
      </c>
      <c r="C79" s="20" t="s">
        <v>152</v>
      </c>
      <c r="D79" s="20" t="s">
        <v>22</v>
      </c>
      <c r="E79" s="21">
        <f>ROUND(17093*1.05,2)</f>
      </c>
      <c r="F79" s="20" t="s">
        <v>23</v>
      </c>
      <c r="G79" s="20" t="s">
        <v>24</v>
      </c>
      <c r="H79" s="21">
        <f>ROUND(RAND()*4+6,1)</f>
      </c>
      <c r="I79" s="20" t="s">
        <v>25</v>
      </c>
      <c r="J79" s="23">
        <f>ROUND(94*1,0)&amp;"%"</f>
      </c>
    </row>
    <row x14ac:dyDescent="0.25" r="80" customHeight="1" ht="17.25">
      <c r="A80" s="17" t="s">
        <v>8770</v>
      </c>
      <c r="B80" s="17" t="s">
        <v>156</v>
      </c>
      <c r="C80" s="17" t="s">
        <v>152</v>
      </c>
      <c r="D80" s="17" t="s">
        <v>28</v>
      </c>
      <c r="E80" s="18">
        <f>ROUND(5993*1.05,2)</f>
      </c>
      <c r="F80" s="17" t="s">
        <v>29</v>
      </c>
      <c r="G80" s="17" t="s">
        <v>30</v>
      </c>
      <c r="H80" s="18">
        <f>ROUND(RAND()*4+6,1)</f>
      </c>
      <c r="I80" s="17" t="s">
        <v>31</v>
      </c>
      <c r="J80" s="19">
        <f>ROUND(90*1,0)&amp;"%"</f>
      </c>
    </row>
    <row x14ac:dyDescent="0.25" r="81" customHeight="1" ht="17.25">
      <c r="A81" s="20" t="s">
        <v>8771</v>
      </c>
      <c r="B81" s="20" t="s">
        <v>158</v>
      </c>
      <c r="C81" s="20" t="s">
        <v>152</v>
      </c>
      <c r="D81" s="20" t="s">
        <v>34</v>
      </c>
      <c r="E81" s="21">
        <f>ROUND(14321*1.05,2)</f>
      </c>
      <c r="F81" s="20" t="s">
        <v>35</v>
      </c>
      <c r="G81" s="20" t="s">
        <v>18</v>
      </c>
      <c r="H81" s="21">
        <f>ROUND(RAND()*4+6,1)</f>
      </c>
      <c r="I81" s="20" t="s">
        <v>36</v>
      </c>
      <c r="J81" s="23">
        <f>ROUND(63*1,0)&amp;"%"</f>
      </c>
    </row>
    <row x14ac:dyDescent="0.25" r="82" customHeight="1" ht="17.25">
      <c r="A82" s="17" t="s">
        <v>8772</v>
      </c>
      <c r="B82" s="17" t="s">
        <v>160</v>
      </c>
      <c r="C82" s="17" t="s">
        <v>152</v>
      </c>
      <c r="D82" s="17" t="s">
        <v>39</v>
      </c>
      <c r="E82" s="18">
        <f>ROUND(15715*1.05,2)</f>
      </c>
      <c r="F82" s="17" t="s">
        <v>40</v>
      </c>
      <c r="G82" s="17" t="s">
        <v>24</v>
      </c>
      <c r="H82" s="18">
        <f>ROUND(RAND()*4+6,1)</f>
      </c>
      <c r="I82" s="17" t="s">
        <v>41</v>
      </c>
      <c r="J82" s="19">
        <f>ROUND(74*1,0)&amp;"%"</f>
      </c>
    </row>
    <row x14ac:dyDescent="0.25" r="83" customHeight="1" ht="17.25">
      <c r="A83" s="20" t="s">
        <v>8773</v>
      </c>
      <c r="B83" s="20" t="s">
        <v>162</v>
      </c>
      <c r="C83" s="20" t="s">
        <v>152</v>
      </c>
      <c r="D83" s="20" t="s">
        <v>67</v>
      </c>
      <c r="E83" s="21">
        <f>ROUND(5308*1.05,2)</f>
      </c>
      <c r="F83" s="20" t="s">
        <v>44</v>
      </c>
      <c r="G83" s="20" t="s">
        <v>30</v>
      </c>
      <c r="H83" s="21">
        <f>ROUND(RAND()*4+6,1)</f>
      </c>
      <c r="I83" s="20" t="s">
        <v>45</v>
      </c>
      <c r="J83" s="23">
        <f>ROUND(100*1,0)&amp;"%"</f>
      </c>
    </row>
    <row x14ac:dyDescent="0.25" r="84" customHeight="1" ht="17.25">
      <c r="A84" s="17" t="s">
        <v>8774</v>
      </c>
      <c r="B84" s="17" t="s">
        <v>164</v>
      </c>
      <c r="C84" s="17" t="s">
        <v>152</v>
      </c>
      <c r="D84" s="17" t="s">
        <v>16</v>
      </c>
      <c r="E84" s="18">
        <f>ROUND(4271*1.05,2)</f>
      </c>
      <c r="F84" s="17" t="s">
        <v>48</v>
      </c>
      <c r="G84" s="17" t="s">
        <v>18</v>
      </c>
      <c r="H84" s="18">
        <f>ROUND(RAND()*4+6,1)</f>
      </c>
      <c r="I84" s="17" t="s">
        <v>19</v>
      </c>
      <c r="J84" s="19">
        <f>ROUND(89*1,0)&amp;"%"</f>
      </c>
    </row>
    <row x14ac:dyDescent="0.25" r="85" customHeight="1" ht="17.25">
      <c r="A85" s="20" t="s">
        <v>8775</v>
      </c>
      <c r="B85" s="20" t="s">
        <v>166</v>
      </c>
      <c r="C85" s="20" t="s">
        <v>152</v>
      </c>
      <c r="D85" s="20" t="s">
        <v>22</v>
      </c>
      <c r="E85" s="21">
        <f>ROUND(6118*1.05,2)</f>
      </c>
      <c r="F85" s="20" t="s">
        <v>51</v>
      </c>
      <c r="G85" s="20" t="s">
        <v>24</v>
      </c>
      <c r="H85" s="21">
        <f>ROUND(RAND()*4+6,1)</f>
      </c>
      <c r="I85" s="20" t="s">
        <v>25</v>
      </c>
      <c r="J85" s="23">
        <f>ROUND(70*1,0)&amp;"%"</f>
      </c>
    </row>
    <row x14ac:dyDescent="0.25" r="86" customHeight="1" ht="17.25">
      <c r="A86" s="24" t="s">
        <v>167</v>
      </c>
      <c r="B86" s="24"/>
      <c r="C86" s="24"/>
      <c r="D86" s="24"/>
      <c r="E86" s="25">
        <v>8</v>
      </c>
      <c r="F86" s="9"/>
      <c r="G86" s="9"/>
      <c r="H86" s="10"/>
      <c r="I86" s="9"/>
      <c r="J86" s="9"/>
    </row>
    <row x14ac:dyDescent="0.25" r="87" customHeight="1" ht="17.25">
      <c r="A87" s="7"/>
      <c r="B87" s="7"/>
      <c r="C87" s="7"/>
      <c r="D87" s="7"/>
      <c r="E87" s="8"/>
      <c r="F87" s="9"/>
      <c r="G87" s="9"/>
      <c r="H87" s="10"/>
      <c r="I87" s="9"/>
      <c r="J87" s="9"/>
    </row>
    <row x14ac:dyDescent="0.25" r="88" customHeight="1" ht="17.25">
      <c r="A88" s="11" t="s">
        <v>8776</v>
      </c>
      <c r="B88" s="11"/>
      <c r="C88" s="11"/>
      <c r="D88" s="11"/>
      <c r="E88" s="12"/>
      <c r="F88" s="11"/>
      <c r="G88" s="11"/>
      <c r="H88" s="13"/>
      <c r="I88" s="11"/>
      <c r="J88" s="11"/>
    </row>
    <row x14ac:dyDescent="0.25" r="89" customHeight="1" ht="17.25">
      <c r="A89" s="14" t="s">
        <v>3</v>
      </c>
      <c r="B89" s="14" t="s">
        <v>4</v>
      </c>
      <c r="C89" s="14" t="s">
        <v>5</v>
      </c>
      <c r="D89" s="14" t="s">
        <v>6</v>
      </c>
      <c r="E89" s="15" t="s">
        <v>7</v>
      </c>
      <c r="F89" s="14" t="s">
        <v>8</v>
      </c>
      <c r="G89" s="14" t="s">
        <v>9</v>
      </c>
      <c r="H89" s="16" t="s">
        <v>10</v>
      </c>
      <c r="I89" s="14" t="s">
        <v>11</v>
      </c>
      <c r="J89" s="14" t="s">
        <v>12</v>
      </c>
    </row>
    <row x14ac:dyDescent="0.25" r="90" customHeight="1" ht="17.25">
      <c r="A90" s="17" t="s">
        <v>8777</v>
      </c>
      <c r="B90" s="17" t="s">
        <v>170</v>
      </c>
      <c r="C90" s="17" t="s">
        <v>15</v>
      </c>
      <c r="D90" s="17" t="s">
        <v>16</v>
      </c>
      <c r="E90" s="18">
        <f>ROUND(12682*1.05,2)</f>
      </c>
      <c r="F90" s="17" t="s">
        <v>17</v>
      </c>
      <c r="G90" s="17" t="s">
        <v>18</v>
      </c>
      <c r="H90" s="18">
        <f>ROUND(RAND()*4+6,1)</f>
      </c>
      <c r="I90" s="17" t="s">
        <v>19</v>
      </c>
      <c r="J90" s="19">
        <f>ROUND(99*1,0)&amp;"%"</f>
      </c>
    </row>
    <row x14ac:dyDescent="0.25" r="91" customHeight="1" ht="17.25">
      <c r="A91" s="20" t="s">
        <v>8778</v>
      </c>
      <c r="B91" s="20" t="s">
        <v>172</v>
      </c>
      <c r="C91" s="20" t="s">
        <v>15</v>
      </c>
      <c r="D91" s="20" t="s">
        <v>22</v>
      </c>
      <c r="E91" s="21">
        <f>ROUND(17744*1.05,2)</f>
      </c>
      <c r="F91" s="20" t="s">
        <v>23</v>
      </c>
      <c r="G91" s="20" t="s">
        <v>24</v>
      </c>
      <c r="H91" s="22">
        <f>ROUND(RAND()*4+6,1)</f>
      </c>
      <c r="I91" s="20" t="s">
        <v>25</v>
      </c>
      <c r="J91" s="23">
        <f>ROUND(65*1,0)&amp;"%"</f>
      </c>
    </row>
    <row x14ac:dyDescent="0.25" r="92" customHeight="1" ht="17.25">
      <c r="A92" s="17" t="s">
        <v>8779</v>
      </c>
      <c r="B92" s="17" t="s">
        <v>174</v>
      </c>
      <c r="C92" s="17" t="s">
        <v>15</v>
      </c>
      <c r="D92" s="17" t="s">
        <v>28</v>
      </c>
      <c r="E92" s="18">
        <f>ROUND(10817*1.05,2)</f>
      </c>
      <c r="F92" s="17" t="s">
        <v>29</v>
      </c>
      <c r="G92" s="17" t="s">
        <v>30</v>
      </c>
      <c r="H92" s="18">
        <f>ROUND(RAND()*4+6,1)</f>
      </c>
      <c r="I92" s="17" t="s">
        <v>31</v>
      </c>
      <c r="J92" s="19">
        <f>ROUND(87*1,0)&amp;"%"</f>
      </c>
    </row>
    <row x14ac:dyDescent="0.25" r="93" customHeight="1" ht="17.25">
      <c r="A93" s="20" t="s">
        <v>8780</v>
      </c>
      <c r="B93" s="20" t="s">
        <v>176</v>
      </c>
      <c r="C93" s="20" t="s">
        <v>15</v>
      </c>
      <c r="D93" s="20" t="s">
        <v>34</v>
      </c>
      <c r="E93" s="21">
        <f>ROUND(8475*1.05,2)</f>
      </c>
      <c r="F93" s="20" t="s">
        <v>35</v>
      </c>
      <c r="G93" s="20" t="s">
        <v>18</v>
      </c>
      <c r="H93" s="21">
        <f>ROUND(RAND()*4+6,1)</f>
      </c>
      <c r="I93" s="20" t="s">
        <v>36</v>
      </c>
      <c r="J93" s="23">
        <f>ROUND(72*1,0)&amp;"%"</f>
      </c>
    </row>
    <row x14ac:dyDescent="0.25" r="94" customHeight="1" ht="17.25">
      <c r="A94" s="17" t="s">
        <v>8781</v>
      </c>
      <c r="B94" s="17" t="s">
        <v>178</v>
      </c>
      <c r="C94" s="17" t="s">
        <v>15</v>
      </c>
      <c r="D94" s="17" t="s">
        <v>39</v>
      </c>
      <c r="E94" s="18">
        <f>ROUND(5009*1.05,2)</f>
      </c>
      <c r="F94" s="17" t="s">
        <v>40</v>
      </c>
      <c r="G94" s="17" t="s">
        <v>24</v>
      </c>
      <c r="H94" s="18">
        <f>ROUND(RAND()*4+6,1)</f>
      </c>
      <c r="I94" s="17" t="s">
        <v>41</v>
      </c>
      <c r="J94" s="19">
        <f>ROUND(70*1,0)&amp;"%"</f>
      </c>
    </row>
    <row x14ac:dyDescent="0.25" r="95" customHeight="1" ht="17.25">
      <c r="A95" s="20" t="s">
        <v>8782</v>
      </c>
      <c r="B95" s="20" t="s">
        <v>180</v>
      </c>
      <c r="C95" s="20" t="s">
        <v>15</v>
      </c>
      <c r="D95" s="20" t="s">
        <v>67</v>
      </c>
      <c r="E95" s="21">
        <f>ROUND(5252*1.05,2)</f>
      </c>
      <c r="F95" s="20" t="s">
        <v>44</v>
      </c>
      <c r="G95" s="20" t="s">
        <v>30</v>
      </c>
      <c r="H95" s="21">
        <f>ROUND(RAND()*4+6,1)</f>
      </c>
      <c r="I95" s="20" t="s">
        <v>45</v>
      </c>
      <c r="J95" s="23">
        <f>ROUND(96*1,0)&amp;"%"</f>
      </c>
    </row>
    <row x14ac:dyDescent="0.25" r="96" customHeight="1" ht="17.25">
      <c r="A96" s="17" t="s">
        <v>8783</v>
      </c>
      <c r="B96" s="17" t="s">
        <v>182</v>
      </c>
      <c r="C96" s="17" t="s">
        <v>15</v>
      </c>
      <c r="D96" s="17" t="s">
        <v>16</v>
      </c>
      <c r="E96" s="18">
        <f>ROUND(11095*1.05,2)</f>
      </c>
      <c r="F96" s="17" t="s">
        <v>48</v>
      </c>
      <c r="G96" s="17" t="s">
        <v>18</v>
      </c>
      <c r="H96" s="18">
        <f>ROUND(RAND()*4+6,1)</f>
      </c>
      <c r="I96" s="17" t="s">
        <v>19</v>
      </c>
      <c r="J96" s="19">
        <f>ROUND(83*1,0)&amp;"%"</f>
      </c>
    </row>
    <row x14ac:dyDescent="0.25" r="97" customHeight="1" ht="17.25">
      <c r="A97" s="20" t="s">
        <v>8784</v>
      </c>
      <c r="B97" s="20" t="s">
        <v>184</v>
      </c>
      <c r="C97" s="20" t="s">
        <v>15</v>
      </c>
      <c r="D97" s="20" t="s">
        <v>22</v>
      </c>
      <c r="E97" s="21">
        <f>ROUND(7259*1.05,2)</f>
      </c>
      <c r="F97" s="20" t="s">
        <v>51</v>
      </c>
      <c r="G97" s="20" t="s">
        <v>24</v>
      </c>
      <c r="H97" s="21">
        <f>ROUND(RAND()*4+6,1)</f>
      </c>
      <c r="I97" s="20" t="s">
        <v>25</v>
      </c>
      <c r="J97" s="23">
        <f>ROUND(99*1,0)&amp;"%"</f>
      </c>
    </row>
    <row x14ac:dyDescent="0.25" r="98" customHeight="1" ht="17.25">
      <c r="A98" s="24" t="s">
        <v>185</v>
      </c>
      <c r="B98" s="24"/>
      <c r="C98" s="24"/>
      <c r="D98" s="24"/>
      <c r="E98" s="25">
        <v>8</v>
      </c>
      <c r="F98" s="9"/>
      <c r="G98" s="9"/>
      <c r="H98" s="10"/>
      <c r="I98" s="9"/>
      <c r="J98" s="9"/>
    </row>
    <row x14ac:dyDescent="0.25" r="99" customHeight="1" ht="17.25">
      <c r="A99" s="7"/>
      <c r="B99" s="7"/>
      <c r="C99" s="7"/>
      <c r="D99" s="7"/>
      <c r="E99" s="8"/>
      <c r="F99" s="9"/>
      <c r="G99" s="9"/>
      <c r="H99" s="10"/>
      <c r="I99" s="9"/>
      <c r="J99" s="9"/>
    </row>
    <row x14ac:dyDescent="0.25" r="100" customHeight="1" ht="17.25">
      <c r="A100" s="11" t="s">
        <v>8785</v>
      </c>
      <c r="B100" s="11"/>
      <c r="C100" s="11"/>
      <c r="D100" s="11"/>
      <c r="E100" s="12"/>
      <c r="F100" s="11"/>
      <c r="G100" s="11"/>
      <c r="H100" s="13"/>
      <c r="I100" s="11"/>
      <c r="J100" s="11"/>
    </row>
    <row x14ac:dyDescent="0.25" r="101" customHeight="1" ht="17.25">
      <c r="A101" s="14" t="s">
        <v>3</v>
      </c>
      <c r="B101" s="14" t="s">
        <v>4</v>
      </c>
      <c r="C101" s="14" t="s">
        <v>5</v>
      </c>
      <c r="D101" s="14" t="s">
        <v>6</v>
      </c>
      <c r="E101" s="15" t="s">
        <v>7</v>
      </c>
      <c r="F101" s="14" t="s">
        <v>8</v>
      </c>
      <c r="G101" s="14" t="s">
        <v>9</v>
      </c>
      <c r="H101" s="16" t="s">
        <v>10</v>
      </c>
      <c r="I101" s="14" t="s">
        <v>11</v>
      </c>
      <c r="J101" s="14" t="s">
        <v>12</v>
      </c>
    </row>
    <row x14ac:dyDescent="0.25" r="102" customHeight="1" ht="17.25">
      <c r="A102" s="17" t="s">
        <v>8786</v>
      </c>
      <c r="B102" s="17" t="s">
        <v>188</v>
      </c>
      <c r="C102" s="17" t="s">
        <v>56</v>
      </c>
      <c r="D102" s="17" t="s">
        <v>16</v>
      </c>
      <c r="E102" s="18">
        <f>ROUND(8229*1.05,2)</f>
      </c>
      <c r="F102" s="17" t="s">
        <v>17</v>
      </c>
      <c r="G102" s="17" t="s">
        <v>18</v>
      </c>
      <c r="H102" s="18">
        <f>ROUND(RAND()*4+6,1)</f>
      </c>
      <c r="I102" s="17" t="s">
        <v>19</v>
      </c>
      <c r="J102" s="19">
        <f>ROUND(66*1,0)&amp;"%"</f>
      </c>
    </row>
    <row x14ac:dyDescent="0.25" r="103" customHeight="1" ht="17.25">
      <c r="A103" s="20" t="s">
        <v>8787</v>
      </c>
      <c r="B103" s="20" t="s">
        <v>190</v>
      </c>
      <c r="C103" s="20" t="s">
        <v>56</v>
      </c>
      <c r="D103" s="20" t="s">
        <v>22</v>
      </c>
      <c r="E103" s="22">
        <f>ROUND(8660*1.05,2)</f>
      </c>
      <c r="F103" s="20" t="s">
        <v>23</v>
      </c>
      <c r="G103" s="20" t="s">
        <v>24</v>
      </c>
      <c r="H103" s="21">
        <f>ROUND(RAND()*4+6,1)</f>
      </c>
      <c r="I103" s="20" t="s">
        <v>25</v>
      </c>
      <c r="J103" s="23">
        <f>ROUND(61*1,0)&amp;"%"</f>
      </c>
    </row>
    <row x14ac:dyDescent="0.25" r="104" customHeight="1" ht="17.25">
      <c r="A104" s="17" t="s">
        <v>8788</v>
      </c>
      <c r="B104" s="17" t="s">
        <v>192</v>
      </c>
      <c r="C104" s="17" t="s">
        <v>56</v>
      </c>
      <c r="D104" s="17" t="s">
        <v>28</v>
      </c>
      <c r="E104" s="18">
        <f>ROUND(8221*1.05,2)</f>
      </c>
      <c r="F104" s="17" t="s">
        <v>29</v>
      </c>
      <c r="G104" s="17" t="s">
        <v>30</v>
      </c>
      <c r="H104" s="18">
        <f>ROUND(RAND()*4+6,1)</f>
      </c>
      <c r="I104" s="17" t="s">
        <v>31</v>
      </c>
      <c r="J104" s="19">
        <f>ROUND(82*1,0)&amp;"%"</f>
      </c>
    </row>
    <row x14ac:dyDescent="0.25" r="105" customHeight="1" ht="17.25">
      <c r="A105" s="20" t="s">
        <v>8789</v>
      </c>
      <c r="B105" s="20" t="s">
        <v>194</v>
      </c>
      <c r="C105" s="20" t="s">
        <v>56</v>
      </c>
      <c r="D105" s="20" t="s">
        <v>34</v>
      </c>
      <c r="E105" s="21">
        <f>ROUND(16419*1.05,2)</f>
      </c>
      <c r="F105" s="20" t="s">
        <v>35</v>
      </c>
      <c r="G105" s="20" t="s">
        <v>18</v>
      </c>
      <c r="H105" s="22">
        <f>ROUND(RAND()*4+6,1)</f>
      </c>
      <c r="I105" s="20" t="s">
        <v>36</v>
      </c>
      <c r="J105" s="23">
        <f>ROUND(88*1,0)&amp;"%"</f>
      </c>
    </row>
    <row x14ac:dyDescent="0.25" r="106" customHeight="1" ht="17.25">
      <c r="A106" s="17" t="s">
        <v>8790</v>
      </c>
      <c r="B106" s="17" t="s">
        <v>196</v>
      </c>
      <c r="C106" s="17" t="s">
        <v>56</v>
      </c>
      <c r="D106" s="17" t="s">
        <v>39</v>
      </c>
      <c r="E106" s="18">
        <f>ROUND(10605*1.05,2)</f>
      </c>
      <c r="F106" s="17" t="s">
        <v>40</v>
      </c>
      <c r="G106" s="17" t="s">
        <v>24</v>
      </c>
      <c r="H106" s="18">
        <f>ROUND(RAND()*4+6,1)</f>
      </c>
      <c r="I106" s="17" t="s">
        <v>41</v>
      </c>
      <c r="J106" s="19">
        <f>ROUND(74*1,0)&amp;"%"</f>
      </c>
    </row>
    <row x14ac:dyDescent="0.25" r="107" customHeight="1" ht="17.25">
      <c r="A107" s="20" t="s">
        <v>8791</v>
      </c>
      <c r="B107" s="20" t="s">
        <v>198</v>
      </c>
      <c r="C107" s="20" t="s">
        <v>56</v>
      </c>
      <c r="D107" s="20" t="s">
        <v>67</v>
      </c>
      <c r="E107" s="22">
        <f>ROUND(6580*1.05,2)</f>
      </c>
      <c r="F107" s="20" t="s">
        <v>44</v>
      </c>
      <c r="G107" s="20" t="s">
        <v>30</v>
      </c>
      <c r="H107" s="21">
        <f>ROUND(RAND()*4+6,1)</f>
      </c>
      <c r="I107" s="20" t="s">
        <v>45</v>
      </c>
      <c r="J107" s="23">
        <f>ROUND(61*1,0)&amp;"%"</f>
      </c>
    </row>
    <row x14ac:dyDescent="0.25" r="108" customHeight="1" ht="17.25">
      <c r="A108" s="17" t="s">
        <v>8792</v>
      </c>
      <c r="B108" s="17" t="s">
        <v>200</v>
      </c>
      <c r="C108" s="17" t="s">
        <v>56</v>
      </c>
      <c r="D108" s="17" t="s">
        <v>16</v>
      </c>
      <c r="E108" s="18">
        <f>ROUND(6655*1.05,2)</f>
      </c>
      <c r="F108" s="17" t="s">
        <v>48</v>
      </c>
      <c r="G108" s="17" t="s">
        <v>18</v>
      </c>
      <c r="H108" s="18">
        <f>ROUND(RAND()*4+6,1)</f>
      </c>
      <c r="I108" s="17" t="s">
        <v>19</v>
      </c>
      <c r="J108" s="19">
        <f>ROUND(79*1,0)&amp;"%"</f>
      </c>
    </row>
    <row x14ac:dyDescent="0.25" r="109" customHeight="1" ht="17.25">
      <c r="A109" s="20" t="s">
        <v>8793</v>
      </c>
      <c r="B109" s="20" t="s">
        <v>202</v>
      </c>
      <c r="C109" s="20" t="s">
        <v>56</v>
      </c>
      <c r="D109" s="20" t="s">
        <v>22</v>
      </c>
      <c r="E109" s="21">
        <f>ROUND(15676*1.05,2)</f>
      </c>
      <c r="F109" s="20" t="s">
        <v>51</v>
      </c>
      <c r="G109" s="20" t="s">
        <v>24</v>
      </c>
      <c r="H109" s="21">
        <f>ROUND(RAND()*4+6,1)</f>
      </c>
      <c r="I109" s="20" t="s">
        <v>25</v>
      </c>
      <c r="J109" s="23">
        <f>ROUND(70*1,0)&amp;"%"</f>
      </c>
    </row>
    <row x14ac:dyDescent="0.25" r="110" customHeight="1" ht="17.25">
      <c r="A110" s="24" t="s">
        <v>203</v>
      </c>
      <c r="B110" s="24"/>
      <c r="C110" s="24"/>
      <c r="D110" s="24"/>
      <c r="E110" s="25">
        <v>8</v>
      </c>
      <c r="F110" s="9"/>
      <c r="G110" s="9"/>
      <c r="H110" s="10"/>
      <c r="I110" s="9"/>
      <c r="J110" s="9"/>
    </row>
    <row x14ac:dyDescent="0.25" r="111" customHeight="1" ht="17.25">
      <c r="A111" s="7"/>
      <c r="B111" s="7"/>
      <c r="C111" s="7"/>
      <c r="D111" s="7"/>
      <c r="E111" s="8"/>
      <c r="F111" s="9"/>
      <c r="G111" s="9"/>
      <c r="H111" s="10"/>
      <c r="I111" s="9"/>
      <c r="J111" s="9"/>
    </row>
    <row x14ac:dyDescent="0.25" r="112" customHeight="1" ht="17.25">
      <c r="A112" s="11" t="s">
        <v>8794</v>
      </c>
      <c r="B112" s="11"/>
      <c r="C112" s="11"/>
      <c r="D112" s="11"/>
      <c r="E112" s="12"/>
      <c r="F112" s="11"/>
      <c r="G112" s="11"/>
      <c r="H112" s="13"/>
      <c r="I112" s="11"/>
      <c r="J112" s="11"/>
    </row>
    <row x14ac:dyDescent="0.25" r="113" customHeight="1" ht="17.25">
      <c r="A113" s="14" t="s">
        <v>3</v>
      </c>
      <c r="B113" s="14" t="s">
        <v>4</v>
      </c>
      <c r="C113" s="14" t="s">
        <v>5</v>
      </c>
      <c r="D113" s="14" t="s">
        <v>6</v>
      </c>
      <c r="E113" s="15" t="s">
        <v>7</v>
      </c>
      <c r="F113" s="14" t="s">
        <v>8</v>
      </c>
      <c r="G113" s="14" t="s">
        <v>9</v>
      </c>
      <c r="H113" s="16" t="s">
        <v>10</v>
      </c>
      <c r="I113" s="14" t="s">
        <v>11</v>
      </c>
      <c r="J113" s="14" t="s">
        <v>12</v>
      </c>
    </row>
    <row x14ac:dyDescent="0.25" r="114" customHeight="1" ht="17.25">
      <c r="A114" s="17" t="s">
        <v>8795</v>
      </c>
      <c r="B114" s="17" t="s">
        <v>206</v>
      </c>
      <c r="C114" s="17" t="s">
        <v>76</v>
      </c>
      <c r="D114" s="17" t="s">
        <v>16</v>
      </c>
      <c r="E114" s="18">
        <f>ROUND(13221*1.05,2)</f>
      </c>
      <c r="F114" s="17" t="s">
        <v>17</v>
      </c>
      <c r="G114" s="17" t="s">
        <v>18</v>
      </c>
      <c r="H114" s="18">
        <f>ROUND(RAND()*4+6,1)</f>
      </c>
      <c r="I114" s="17" t="s">
        <v>19</v>
      </c>
      <c r="J114" s="19">
        <f>ROUND(98*1,0)&amp;"%"</f>
      </c>
    </row>
    <row x14ac:dyDescent="0.25" r="115" customHeight="1" ht="17.25">
      <c r="A115" s="20" t="s">
        <v>8796</v>
      </c>
      <c r="B115" s="20" t="s">
        <v>208</v>
      </c>
      <c r="C115" s="20" t="s">
        <v>76</v>
      </c>
      <c r="D115" s="20" t="s">
        <v>22</v>
      </c>
      <c r="E115" s="21">
        <f>ROUND(9592*1.05,2)</f>
      </c>
      <c r="F115" s="20" t="s">
        <v>23</v>
      </c>
      <c r="G115" s="20" t="s">
        <v>24</v>
      </c>
      <c r="H115" s="21">
        <f>ROUND(RAND()*4+6,1)</f>
      </c>
      <c r="I115" s="20" t="s">
        <v>25</v>
      </c>
      <c r="J115" s="23">
        <f>ROUND(99*1,0)&amp;"%"</f>
      </c>
    </row>
    <row x14ac:dyDescent="0.25" r="116" customHeight="1" ht="17.25">
      <c r="A116" s="17" t="s">
        <v>8797</v>
      </c>
      <c r="B116" s="17" t="s">
        <v>210</v>
      </c>
      <c r="C116" s="17" t="s">
        <v>76</v>
      </c>
      <c r="D116" s="17" t="s">
        <v>28</v>
      </c>
      <c r="E116" s="26">
        <f>ROUND(5060*1.05,2)</f>
      </c>
      <c r="F116" s="17" t="s">
        <v>29</v>
      </c>
      <c r="G116" s="17" t="s">
        <v>30</v>
      </c>
      <c r="H116" s="18">
        <f>ROUND(RAND()*4+6,1)</f>
      </c>
      <c r="I116" s="17" t="s">
        <v>31</v>
      </c>
      <c r="J116" s="19">
        <f>ROUND(75*1,0)&amp;"%"</f>
      </c>
    </row>
    <row x14ac:dyDescent="0.25" r="117" customHeight="1" ht="17.25">
      <c r="A117" s="20" t="s">
        <v>8798</v>
      </c>
      <c r="B117" s="20" t="s">
        <v>212</v>
      </c>
      <c r="C117" s="20" t="s">
        <v>76</v>
      </c>
      <c r="D117" s="20" t="s">
        <v>34</v>
      </c>
      <c r="E117" s="21">
        <f>ROUND(5231*1.05,2)</f>
      </c>
      <c r="F117" s="20" t="s">
        <v>35</v>
      </c>
      <c r="G117" s="20" t="s">
        <v>18</v>
      </c>
      <c r="H117" s="21">
        <f>ROUND(RAND()*4+6,1)</f>
      </c>
      <c r="I117" s="20" t="s">
        <v>36</v>
      </c>
      <c r="J117" s="23">
        <f>ROUND(70*1,0)&amp;"%"</f>
      </c>
    </row>
    <row x14ac:dyDescent="0.25" r="118" customHeight="1" ht="17.25">
      <c r="A118" s="17" t="s">
        <v>8799</v>
      </c>
      <c r="B118" s="17" t="s">
        <v>214</v>
      </c>
      <c r="C118" s="17" t="s">
        <v>76</v>
      </c>
      <c r="D118" s="17" t="s">
        <v>39</v>
      </c>
      <c r="E118" s="18">
        <f>ROUND(4396*1.05,2)</f>
      </c>
      <c r="F118" s="17" t="s">
        <v>40</v>
      </c>
      <c r="G118" s="17" t="s">
        <v>24</v>
      </c>
      <c r="H118" s="18">
        <f>ROUND(RAND()*4+6,1)</f>
      </c>
      <c r="I118" s="17" t="s">
        <v>41</v>
      </c>
      <c r="J118" s="19">
        <f>ROUND(71*1,0)&amp;"%"</f>
      </c>
    </row>
    <row x14ac:dyDescent="0.25" r="119" customHeight="1" ht="17.25">
      <c r="A119" s="20" t="s">
        <v>8800</v>
      </c>
      <c r="B119" s="20" t="s">
        <v>216</v>
      </c>
      <c r="C119" s="20" t="s">
        <v>76</v>
      </c>
      <c r="D119" s="20" t="s">
        <v>67</v>
      </c>
      <c r="E119" s="21">
        <f>ROUND(5572*1.05,2)</f>
      </c>
      <c r="F119" s="20" t="s">
        <v>44</v>
      </c>
      <c r="G119" s="20" t="s">
        <v>30</v>
      </c>
      <c r="H119" s="21">
        <f>ROUND(RAND()*4+6,1)</f>
      </c>
      <c r="I119" s="20" t="s">
        <v>45</v>
      </c>
      <c r="J119" s="23">
        <f>ROUND(76*1,0)&amp;"%"</f>
      </c>
    </row>
    <row x14ac:dyDescent="0.25" r="120" customHeight="1" ht="17.25">
      <c r="A120" s="17" t="s">
        <v>8801</v>
      </c>
      <c r="B120" s="17" t="s">
        <v>218</v>
      </c>
      <c r="C120" s="17" t="s">
        <v>76</v>
      </c>
      <c r="D120" s="17" t="s">
        <v>16</v>
      </c>
      <c r="E120" s="18">
        <f>ROUND(11884*1.05,2)</f>
      </c>
      <c r="F120" s="17" t="s">
        <v>48</v>
      </c>
      <c r="G120" s="17" t="s">
        <v>18</v>
      </c>
      <c r="H120" s="18">
        <f>ROUND(RAND()*4+6,1)</f>
      </c>
      <c r="I120" s="17" t="s">
        <v>19</v>
      </c>
      <c r="J120" s="19">
        <f>ROUND(69*1,0)&amp;"%"</f>
      </c>
    </row>
    <row x14ac:dyDescent="0.25" r="121" customHeight="1" ht="17.25">
      <c r="A121" s="20" t="s">
        <v>8802</v>
      </c>
      <c r="B121" s="20" t="s">
        <v>220</v>
      </c>
      <c r="C121" s="20" t="s">
        <v>76</v>
      </c>
      <c r="D121" s="20" t="s">
        <v>22</v>
      </c>
      <c r="E121" s="22">
        <f>ROUND(14140*1.05,2)</f>
      </c>
      <c r="F121" s="20" t="s">
        <v>51</v>
      </c>
      <c r="G121" s="20" t="s">
        <v>24</v>
      </c>
      <c r="H121" s="21">
        <f>ROUND(RAND()*4+6,1)</f>
      </c>
      <c r="I121" s="20" t="s">
        <v>25</v>
      </c>
      <c r="J121" s="23">
        <f>ROUND(63*1,0)&amp;"%"</f>
      </c>
    </row>
    <row x14ac:dyDescent="0.25" r="122" customHeight="1" ht="17.25">
      <c r="A122" s="24" t="s">
        <v>221</v>
      </c>
      <c r="B122" s="24"/>
      <c r="C122" s="24"/>
      <c r="D122" s="24"/>
      <c r="E122" s="25">
        <v>8</v>
      </c>
      <c r="F122" s="9"/>
      <c r="G122" s="9"/>
      <c r="H122" s="10"/>
      <c r="I122" s="9"/>
      <c r="J122" s="9"/>
    </row>
    <row x14ac:dyDescent="0.25" r="123" customHeight="1" ht="17.25">
      <c r="A123" s="7"/>
      <c r="B123" s="7"/>
      <c r="C123" s="7"/>
      <c r="D123" s="7"/>
      <c r="E123" s="8"/>
      <c r="F123" s="9"/>
      <c r="G123" s="9"/>
      <c r="H123" s="10"/>
      <c r="I123" s="9"/>
      <c r="J123" s="9"/>
    </row>
    <row x14ac:dyDescent="0.25" r="124" customHeight="1" ht="17.25">
      <c r="A124" s="11" t="s">
        <v>8803</v>
      </c>
      <c r="B124" s="11"/>
      <c r="C124" s="11"/>
      <c r="D124" s="11"/>
      <c r="E124" s="12"/>
      <c r="F124" s="11"/>
      <c r="G124" s="11"/>
      <c r="H124" s="13"/>
      <c r="I124" s="11"/>
      <c r="J124" s="11"/>
    </row>
    <row x14ac:dyDescent="0.25" r="125" customHeight="1" ht="17.25">
      <c r="A125" s="14" t="s">
        <v>3</v>
      </c>
      <c r="B125" s="14" t="s">
        <v>4</v>
      </c>
      <c r="C125" s="14" t="s">
        <v>5</v>
      </c>
      <c r="D125" s="14" t="s">
        <v>6</v>
      </c>
      <c r="E125" s="15" t="s">
        <v>7</v>
      </c>
      <c r="F125" s="14" t="s">
        <v>8</v>
      </c>
      <c r="G125" s="14" t="s">
        <v>9</v>
      </c>
      <c r="H125" s="16" t="s">
        <v>10</v>
      </c>
      <c r="I125" s="14" t="s">
        <v>11</v>
      </c>
      <c r="J125" s="14" t="s">
        <v>12</v>
      </c>
    </row>
    <row x14ac:dyDescent="0.25" r="126" customHeight="1" ht="17.25">
      <c r="A126" s="17" t="s">
        <v>8804</v>
      </c>
      <c r="B126" s="17" t="s">
        <v>224</v>
      </c>
      <c r="C126" s="17" t="s">
        <v>95</v>
      </c>
      <c r="D126" s="17" t="s">
        <v>16</v>
      </c>
      <c r="E126" s="18">
        <f>ROUND(15674*1.05,2)</f>
      </c>
      <c r="F126" s="17" t="s">
        <v>17</v>
      </c>
      <c r="G126" s="17" t="s">
        <v>18</v>
      </c>
      <c r="H126" s="18">
        <f>ROUND(RAND()*4+6,1)</f>
      </c>
      <c r="I126" s="17" t="s">
        <v>19</v>
      </c>
      <c r="J126" s="19">
        <f>ROUND(92*1,0)&amp;"%"</f>
      </c>
    </row>
    <row x14ac:dyDescent="0.25" r="127" customHeight="1" ht="17.25">
      <c r="A127" s="20" t="s">
        <v>8805</v>
      </c>
      <c r="B127" s="20" t="s">
        <v>226</v>
      </c>
      <c r="C127" s="20" t="s">
        <v>95</v>
      </c>
      <c r="D127" s="20" t="s">
        <v>22</v>
      </c>
      <c r="E127" s="21">
        <f>ROUND(9931*1.05,2)</f>
      </c>
      <c r="F127" s="20" t="s">
        <v>23</v>
      </c>
      <c r="G127" s="20" t="s">
        <v>24</v>
      </c>
      <c r="H127" s="21">
        <f>ROUND(RAND()*4+6,1)</f>
      </c>
      <c r="I127" s="20" t="s">
        <v>25</v>
      </c>
      <c r="J127" s="23">
        <f>ROUND(77*1,0)&amp;"%"</f>
      </c>
    </row>
    <row x14ac:dyDescent="0.25" r="128" customHeight="1" ht="17.25">
      <c r="A128" s="17" t="s">
        <v>8806</v>
      </c>
      <c r="B128" s="17" t="s">
        <v>228</v>
      </c>
      <c r="C128" s="17" t="s">
        <v>95</v>
      </c>
      <c r="D128" s="17" t="s">
        <v>28</v>
      </c>
      <c r="E128" s="18">
        <f>ROUND(4505*1.05,2)</f>
      </c>
      <c r="F128" s="17" t="s">
        <v>29</v>
      </c>
      <c r="G128" s="17" t="s">
        <v>30</v>
      </c>
      <c r="H128" s="18">
        <f>ROUND(RAND()*4+6,1)</f>
      </c>
      <c r="I128" s="17" t="s">
        <v>31</v>
      </c>
      <c r="J128" s="19">
        <f>ROUND(69*1,0)&amp;"%"</f>
      </c>
    </row>
    <row x14ac:dyDescent="0.25" r="129" customHeight="1" ht="17.25">
      <c r="A129" s="20" t="s">
        <v>8807</v>
      </c>
      <c r="B129" s="20" t="s">
        <v>230</v>
      </c>
      <c r="C129" s="20" t="s">
        <v>95</v>
      </c>
      <c r="D129" s="20" t="s">
        <v>34</v>
      </c>
      <c r="E129" s="21">
        <f>ROUND(14504*1.05,2)</f>
      </c>
      <c r="F129" s="20" t="s">
        <v>35</v>
      </c>
      <c r="G129" s="20" t="s">
        <v>18</v>
      </c>
      <c r="H129" s="21">
        <f>ROUND(RAND()*4+6,1)</f>
      </c>
      <c r="I129" s="20" t="s">
        <v>36</v>
      </c>
      <c r="J129" s="23">
        <f>ROUND(75*1,0)&amp;"%"</f>
      </c>
    </row>
    <row x14ac:dyDescent="0.25" r="130" customHeight="1" ht="17.25">
      <c r="A130" s="17" t="s">
        <v>8808</v>
      </c>
      <c r="B130" s="17" t="s">
        <v>232</v>
      </c>
      <c r="C130" s="17" t="s">
        <v>95</v>
      </c>
      <c r="D130" s="17" t="s">
        <v>39</v>
      </c>
      <c r="E130" s="18">
        <f>ROUND(10815*1.05,2)</f>
      </c>
      <c r="F130" s="17" t="s">
        <v>40</v>
      </c>
      <c r="G130" s="17" t="s">
        <v>24</v>
      </c>
      <c r="H130" s="18">
        <f>ROUND(RAND()*4+6,1)</f>
      </c>
      <c r="I130" s="17" t="s">
        <v>41</v>
      </c>
      <c r="J130" s="19">
        <f>ROUND(60*1,0)&amp;"%"</f>
      </c>
    </row>
    <row x14ac:dyDescent="0.25" r="131" customHeight="1" ht="17.25">
      <c r="A131" s="20" t="s">
        <v>8809</v>
      </c>
      <c r="B131" s="20" t="s">
        <v>234</v>
      </c>
      <c r="C131" s="20" t="s">
        <v>95</v>
      </c>
      <c r="D131" s="20" t="s">
        <v>67</v>
      </c>
      <c r="E131" s="21">
        <f>ROUND(7208*1.05,2)</f>
      </c>
      <c r="F131" s="20" t="s">
        <v>44</v>
      </c>
      <c r="G131" s="20" t="s">
        <v>30</v>
      </c>
      <c r="H131" s="21">
        <f>ROUND(RAND()*4+6,1)</f>
      </c>
      <c r="I131" s="20" t="s">
        <v>45</v>
      </c>
      <c r="J131" s="23">
        <f>ROUND(100*1,0)&amp;"%"</f>
      </c>
    </row>
    <row x14ac:dyDescent="0.25" r="132" customHeight="1" ht="17.25">
      <c r="A132" s="17" t="s">
        <v>8810</v>
      </c>
      <c r="B132" s="17" t="s">
        <v>236</v>
      </c>
      <c r="C132" s="17" t="s">
        <v>95</v>
      </c>
      <c r="D132" s="17" t="s">
        <v>16</v>
      </c>
      <c r="E132" s="18">
        <f>ROUND(8867*1.05,2)</f>
      </c>
      <c r="F132" s="17" t="s">
        <v>48</v>
      </c>
      <c r="G132" s="17" t="s">
        <v>18</v>
      </c>
      <c r="H132" s="18">
        <f>ROUND(RAND()*4+6,1)</f>
      </c>
      <c r="I132" s="17" t="s">
        <v>19</v>
      </c>
      <c r="J132" s="19">
        <f>ROUND(88*1,0)&amp;"%"</f>
      </c>
    </row>
    <row x14ac:dyDescent="0.25" r="133" customHeight="1" ht="17.25">
      <c r="A133" s="20" t="s">
        <v>8811</v>
      </c>
      <c r="B133" s="20" t="s">
        <v>238</v>
      </c>
      <c r="C133" s="20" t="s">
        <v>95</v>
      </c>
      <c r="D133" s="20" t="s">
        <v>22</v>
      </c>
      <c r="E133" s="21">
        <f>ROUND(6267*1.05,2)</f>
      </c>
      <c r="F133" s="20" t="s">
        <v>51</v>
      </c>
      <c r="G133" s="20" t="s">
        <v>24</v>
      </c>
      <c r="H133" s="21">
        <f>ROUND(RAND()*4+6,1)</f>
      </c>
      <c r="I133" s="20" t="s">
        <v>25</v>
      </c>
      <c r="J133" s="23">
        <f>ROUND(79*1,0)&amp;"%"</f>
      </c>
    </row>
    <row x14ac:dyDescent="0.25" r="134" customHeight="1" ht="17.25">
      <c r="A134" s="24" t="s">
        <v>239</v>
      </c>
      <c r="B134" s="24"/>
      <c r="C134" s="24"/>
      <c r="D134" s="24"/>
      <c r="E134" s="25">
        <v>8</v>
      </c>
      <c r="F134" s="9"/>
      <c r="G134" s="9"/>
      <c r="H134" s="10"/>
      <c r="I134" s="9"/>
      <c r="J134" s="9"/>
    </row>
    <row x14ac:dyDescent="0.25" r="135" customHeight="1" ht="17.25">
      <c r="A135" s="7"/>
      <c r="B135" s="7"/>
      <c r="C135" s="7"/>
      <c r="D135" s="7"/>
      <c r="E135" s="8"/>
      <c r="F135" s="9"/>
      <c r="G135" s="9"/>
      <c r="H135" s="10"/>
      <c r="I135" s="9"/>
      <c r="J135" s="9"/>
    </row>
    <row x14ac:dyDescent="0.25" r="136" customHeight="1" ht="17.25">
      <c r="A136" s="11" t="s">
        <v>8812</v>
      </c>
      <c r="B136" s="11"/>
      <c r="C136" s="11"/>
      <c r="D136" s="11"/>
      <c r="E136" s="12"/>
      <c r="F136" s="11"/>
      <c r="G136" s="11"/>
      <c r="H136" s="13"/>
      <c r="I136" s="11"/>
      <c r="J136" s="11"/>
    </row>
    <row x14ac:dyDescent="0.25" r="137" customHeight="1" ht="17.25">
      <c r="A137" s="14" t="s">
        <v>3</v>
      </c>
      <c r="B137" s="14" t="s">
        <v>4</v>
      </c>
      <c r="C137" s="14" t="s">
        <v>5</v>
      </c>
      <c r="D137" s="14" t="s">
        <v>6</v>
      </c>
      <c r="E137" s="15" t="s">
        <v>7</v>
      </c>
      <c r="F137" s="14" t="s">
        <v>8</v>
      </c>
      <c r="G137" s="14" t="s">
        <v>9</v>
      </c>
      <c r="H137" s="16" t="s">
        <v>10</v>
      </c>
      <c r="I137" s="14" t="s">
        <v>11</v>
      </c>
      <c r="J137" s="14" t="s">
        <v>12</v>
      </c>
    </row>
    <row x14ac:dyDescent="0.25" r="138" customHeight="1" ht="17.25">
      <c r="A138" s="17" t="s">
        <v>8813</v>
      </c>
      <c r="B138" s="17" t="s">
        <v>242</v>
      </c>
      <c r="C138" s="17" t="s">
        <v>114</v>
      </c>
      <c r="D138" s="17" t="s">
        <v>16</v>
      </c>
      <c r="E138" s="18">
        <f>ROUND(6912*1.05,2)</f>
      </c>
      <c r="F138" s="17" t="s">
        <v>17</v>
      </c>
      <c r="G138" s="17" t="s">
        <v>18</v>
      </c>
      <c r="H138" s="18">
        <f>ROUND(RAND()*4+6,1)</f>
      </c>
      <c r="I138" s="17" t="s">
        <v>19</v>
      </c>
      <c r="J138" s="19">
        <f>ROUND(76*1,0)&amp;"%"</f>
      </c>
    </row>
    <row x14ac:dyDescent="0.25" r="139" customHeight="1" ht="17.25">
      <c r="A139" s="20" t="s">
        <v>8814</v>
      </c>
      <c r="B139" s="20" t="s">
        <v>244</v>
      </c>
      <c r="C139" s="20" t="s">
        <v>114</v>
      </c>
      <c r="D139" s="20" t="s">
        <v>22</v>
      </c>
      <c r="E139" s="21">
        <f>ROUND(8790*1.05,2)</f>
      </c>
      <c r="F139" s="20" t="s">
        <v>23</v>
      </c>
      <c r="G139" s="20" t="s">
        <v>24</v>
      </c>
      <c r="H139" s="21">
        <f>ROUND(RAND()*4+6,1)</f>
      </c>
      <c r="I139" s="20" t="s">
        <v>25</v>
      </c>
      <c r="J139" s="23">
        <f>ROUND(66*1,0)&amp;"%"</f>
      </c>
    </row>
    <row x14ac:dyDescent="0.25" r="140" customHeight="1" ht="17.25">
      <c r="A140" s="17" t="s">
        <v>8815</v>
      </c>
      <c r="B140" s="17" t="s">
        <v>246</v>
      </c>
      <c r="C140" s="17" t="s">
        <v>114</v>
      </c>
      <c r="D140" s="17" t="s">
        <v>28</v>
      </c>
      <c r="E140" s="18">
        <f>ROUND(7302*1.05,2)</f>
      </c>
      <c r="F140" s="17" t="s">
        <v>29</v>
      </c>
      <c r="G140" s="17" t="s">
        <v>30</v>
      </c>
      <c r="H140" s="18">
        <f>ROUND(RAND()*4+6,1)</f>
      </c>
      <c r="I140" s="17" t="s">
        <v>31</v>
      </c>
      <c r="J140" s="19">
        <f>ROUND(67*1,0)&amp;"%"</f>
      </c>
    </row>
    <row x14ac:dyDescent="0.25" r="141" customHeight="1" ht="17.25">
      <c r="A141" s="20" t="s">
        <v>8816</v>
      </c>
      <c r="B141" s="20" t="s">
        <v>248</v>
      </c>
      <c r="C141" s="20" t="s">
        <v>114</v>
      </c>
      <c r="D141" s="20" t="s">
        <v>34</v>
      </c>
      <c r="E141" s="21">
        <f>ROUND(8584*1.05,2)</f>
      </c>
      <c r="F141" s="20" t="s">
        <v>35</v>
      </c>
      <c r="G141" s="20" t="s">
        <v>18</v>
      </c>
      <c r="H141" s="21">
        <f>ROUND(RAND()*4+6,1)</f>
      </c>
      <c r="I141" s="20" t="s">
        <v>36</v>
      </c>
      <c r="J141" s="23">
        <f>ROUND(89*1,0)&amp;"%"</f>
      </c>
    </row>
    <row x14ac:dyDescent="0.25" r="142" customHeight="1" ht="17.25">
      <c r="A142" s="17" t="s">
        <v>8817</v>
      </c>
      <c r="B142" s="17" t="s">
        <v>250</v>
      </c>
      <c r="C142" s="17" t="s">
        <v>114</v>
      </c>
      <c r="D142" s="17" t="s">
        <v>39</v>
      </c>
      <c r="E142" s="18">
        <f>ROUND(16551*1.05,2)</f>
      </c>
      <c r="F142" s="17" t="s">
        <v>40</v>
      </c>
      <c r="G142" s="17" t="s">
        <v>24</v>
      </c>
      <c r="H142" s="26">
        <f>ROUND(RAND()*4+6,1)</f>
      </c>
      <c r="I142" s="17" t="s">
        <v>41</v>
      </c>
      <c r="J142" s="19">
        <f>ROUND(62*1,0)&amp;"%"</f>
      </c>
    </row>
    <row x14ac:dyDescent="0.25" r="143" customHeight="1" ht="17.25">
      <c r="A143" s="20" t="s">
        <v>8818</v>
      </c>
      <c r="B143" s="20" t="s">
        <v>252</v>
      </c>
      <c r="C143" s="20" t="s">
        <v>114</v>
      </c>
      <c r="D143" s="20" t="s">
        <v>67</v>
      </c>
      <c r="E143" s="21">
        <f>ROUND(5793*1.05,2)</f>
      </c>
      <c r="F143" s="20" t="s">
        <v>44</v>
      </c>
      <c r="G143" s="20" t="s">
        <v>30</v>
      </c>
      <c r="H143" s="21">
        <f>ROUND(RAND()*4+6,1)</f>
      </c>
      <c r="I143" s="20" t="s">
        <v>45</v>
      </c>
      <c r="J143" s="23">
        <f>ROUND(84*1,0)&amp;"%"</f>
      </c>
    </row>
    <row x14ac:dyDescent="0.25" r="144" customHeight="1" ht="17.25">
      <c r="A144" s="17" t="s">
        <v>8819</v>
      </c>
      <c r="B144" s="17" t="s">
        <v>254</v>
      </c>
      <c r="C144" s="17" t="s">
        <v>114</v>
      </c>
      <c r="D144" s="17" t="s">
        <v>16</v>
      </c>
      <c r="E144" s="18">
        <f>ROUND(10503*1.05,2)</f>
      </c>
      <c r="F144" s="17" t="s">
        <v>48</v>
      </c>
      <c r="G144" s="17" t="s">
        <v>18</v>
      </c>
      <c r="H144" s="18">
        <f>ROUND(RAND()*4+6,1)</f>
      </c>
      <c r="I144" s="17" t="s">
        <v>19</v>
      </c>
      <c r="J144" s="19">
        <f>ROUND(64*1,0)&amp;"%"</f>
      </c>
    </row>
    <row x14ac:dyDescent="0.25" r="145" customHeight="1" ht="17.25">
      <c r="A145" s="20" t="s">
        <v>8820</v>
      </c>
      <c r="B145" s="20" t="s">
        <v>256</v>
      </c>
      <c r="C145" s="20" t="s">
        <v>114</v>
      </c>
      <c r="D145" s="20" t="s">
        <v>22</v>
      </c>
      <c r="E145" s="21">
        <f>ROUND(14058*1.05,2)</f>
      </c>
      <c r="F145" s="20" t="s">
        <v>51</v>
      </c>
      <c r="G145" s="20" t="s">
        <v>24</v>
      </c>
      <c r="H145" s="21">
        <f>ROUND(RAND()*4+6,1)</f>
      </c>
      <c r="I145" s="20" t="s">
        <v>25</v>
      </c>
      <c r="J145" s="23">
        <f>ROUND(81*1,0)&amp;"%"</f>
      </c>
    </row>
    <row x14ac:dyDescent="0.25" r="146" customHeight="1" ht="17.25">
      <c r="A146" s="24" t="s">
        <v>257</v>
      </c>
      <c r="B146" s="24"/>
      <c r="C146" s="24"/>
      <c r="D146" s="24"/>
      <c r="E146" s="25">
        <v>8</v>
      </c>
      <c r="F146" s="9"/>
      <c r="G146" s="9"/>
      <c r="H146" s="10"/>
      <c r="I146" s="9"/>
      <c r="J146" s="9"/>
    </row>
    <row x14ac:dyDescent="0.25" r="147" customHeight="1" ht="17.25">
      <c r="A147" s="7"/>
      <c r="B147" s="7"/>
      <c r="C147" s="7"/>
      <c r="D147" s="7"/>
      <c r="E147" s="8"/>
      <c r="F147" s="9"/>
      <c r="G147" s="9"/>
      <c r="H147" s="10"/>
      <c r="I147" s="9"/>
      <c r="J147" s="9"/>
    </row>
    <row x14ac:dyDescent="0.25" r="148" customHeight="1" ht="17.25">
      <c r="A148" s="11" t="s">
        <v>8821</v>
      </c>
      <c r="B148" s="11"/>
      <c r="C148" s="11"/>
      <c r="D148" s="11"/>
      <c r="E148" s="12"/>
      <c r="F148" s="11"/>
      <c r="G148" s="11"/>
      <c r="H148" s="13"/>
      <c r="I148" s="11"/>
      <c r="J148" s="11"/>
    </row>
    <row x14ac:dyDescent="0.25" r="149" customHeight="1" ht="17.25">
      <c r="A149" s="14" t="s">
        <v>3</v>
      </c>
      <c r="B149" s="14" t="s">
        <v>4</v>
      </c>
      <c r="C149" s="14" t="s">
        <v>5</v>
      </c>
      <c r="D149" s="14" t="s">
        <v>6</v>
      </c>
      <c r="E149" s="15" t="s">
        <v>7</v>
      </c>
      <c r="F149" s="14" t="s">
        <v>8</v>
      </c>
      <c r="G149" s="14" t="s">
        <v>9</v>
      </c>
      <c r="H149" s="16" t="s">
        <v>10</v>
      </c>
      <c r="I149" s="14" t="s">
        <v>11</v>
      </c>
      <c r="J149" s="14" t="s">
        <v>12</v>
      </c>
    </row>
    <row x14ac:dyDescent="0.25" r="150" customHeight="1" ht="17.25">
      <c r="A150" s="17" t="s">
        <v>8822</v>
      </c>
      <c r="B150" s="17" t="s">
        <v>260</v>
      </c>
      <c r="C150" s="17" t="s">
        <v>133</v>
      </c>
      <c r="D150" s="17" t="s">
        <v>16</v>
      </c>
      <c r="E150" s="18">
        <f>ROUND(8879*1.05,2)</f>
      </c>
      <c r="F150" s="17" t="s">
        <v>17</v>
      </c>
      <c r="G150" s="17" t="s">
        <v>18</v>
      </c>
      <c r="H150" s="18">
        <f>ROUND(RAND()*4+6,1)</f>
      </c>
      <c r="I150" s="17" t="s">
        <v>19</v>
      </c>
      <c r="J150" s="19">
        <f>ROUND(64*1,0)&amp;"%"</f>
      </c>
    </row>
    <row x14ac:dyDescent="0.25" r="151" customHeight="1" ht="17.25">
      <c r="A151" s="20" t="s">
        <v>8823</v>
      </c>
      <c r="B151" s="20" t="s">
        <v>262</v>
      </c>
      <c r="C151" s="20" t="s">
        <v>133</v>
      </c>
      <c r="D151" s="20" t="s">
        <v>22</v>
      </c>
      <c r="E151" s="21">
        <f>ROUND(4123*1.05,2)</f>
      </c>
      <c r="F151" s="20" t="s">
        <v>23</v>
      </c>
      <c r="G151" s="20" t="s">
        <v>24</v>
      </c>
      <c r="H151" s="21">
        <f>ROUND(RAND()*4+6,1)</f>
      </c>
      <c r="I151" s="20" t="s">
        <v>25</v>
      </c>
      <c r="J151" s="23">
        <f>ROUND(80*1,0)&amp;"%"</f>
      </c>
    </row>
    <row x14ac:dyDescent="0.25" r="152" customHeight="1" ht="17.25">
      <c r="A152" s="17" t="s">
        <v>8824</v>
      </c>
      <c r="B152" s="17" t="s">
        <v>264</v>
      </c>
      <c r="C152" s="17" t="s">
        <v>133</v>
      </c>
      <c r="D152" s="17" t="s">
        <v>28</v>
      </c>
      <c r="E152" s="18">
        <f>ROUND(8762*1.05,2)</f>
      </c>
      <c r="F152" s="17" t="s">
        <v>29</v>
      </c>
      <c r="G152" s="17" t="s">
        <v>30</v>
      </c>
      <c r="H152" s="18">
        <f>ROUND(RAND()*4+6,1)</f>
      </c>
      <c r="I152" s="17" t="s">
        <v>31</v>
      </c>
      <c r="J152" s="19">
        <f>ROUND(65*1,0)&amp;"%"</f>
      </c>
    </row>
    <row x14ac:dyDescent="0.25" r="153" customHeight="1" ht="17.25">
      <c r="A153" s="20" t="s">
        <v>8825</v>
      </c>
      <c r="B153" s="20" t="s">
        <v>266</v>
      </c>
      <c r="C153" s="20" t="s">
        <v>133</v>
      </c>
      <c r="D153" s="20" t="s">
        <v>34</v>
      </c>
      <c r="E153" s="21">
        <f>ROUND(8881*1.05,2)</f>
      </c>
      <c r="F153" s="20" t="s">
        <v>35</v>
      </c>
      <c r="G153" s="20" t="s">
        <v>18</v>
      </c>
      <c r="H153" s="21">
        <f>ROUND(RAND()*4+6,1)</f>
      </c>
      <c r="I153" s="20" t="s">
        <v>36</v>
      </c>
      <c r="J153" s="23">
        <f>ROUND(78*1,0)&amp;"%"</f>
      </c>
    </row>
    <row x14ac:dyDescent="0.25" r="154" customHeight="1" ht="17.25">
      <c r="A154" s="17" t="s">
        <v>8826</v>
      </c>
      <c r="B154" s="17" t="s">
        <v>268</v>
      </c>
      <c r="C154" s="17" t="s">
        <v>133</v>
      </c>
      <c r="D154" s="17" t="s">
        <v>39</v>
      </c>
      <c r="E154" s="18">
        <f>ROUND(15107*1.05,2)</f>
      </c>
      <c r="F154" s="17" t="s">
        <v>40</v>
      </c>
      <c r="G154" s="17" t="s">
        <v>24</v>
      </c>
      <c r="H154" s="18">
        <f>ROUND(RAND()*4+6,1)</f>
      </c>
      <c r="I154" s="17" t="s">
        <v>41</v>
      </c>
      <c r="J154" s="19">
        <f>ROUND(71*1,0)&amp;"%"</f>
      </c>
    </row>
    <row x14ac:dyDescent="0.25" r="155" customHeight="1" ht="17.25">
      <c r="A155" s="20" t="s">
        <v>8827</v>
      </c>
      <c r="B155" s="20" t="s">
        <v>270</v>
      </c>
      <c r="C155" s="20" t="s">
        <v>133</v>
      </c>
      <c r="D155" s="20" t="s">
        <v>67</v>
      </c>
      <c r="E155" s="21">
        <f>ROUND(11494*1.05,2)</f>
      </c>
      <c r="F155" s="20" t="s">
        <v>44</v>
      </c>
      <c r="G155" s="20" t="s">
        <v>30</v>
      </c>
      <c r="H155" s="21">
        <f>ROUND(RAND()*4+6,1)</f>
      </c>
      <c r="I155" s="20" t="s">
        <v>45</v>
      </c>
      <c r="J155" s="23">
        <f>ROUND(92*1,0)&amp;"%"</f>
      </c>
    </row>
    <row x14ac:dyDescent="0.25" r="156" customHeight="1" ht="17.25">
      <c r="A156" s="17" t="s">
        <v>8828</v>
      </c>
      <c r="B156" s="17" t="s">
        <v>272</v>
      </c>
      <c r="C156" s="17" t="s">
        <v>133</v>
      </c>
      <c r="D156" s="17" t="s">
        <v>16</v>
      </c>
      <c r="E156" s="18">
        <f>ROUND(9162*1.05,2)</f>
      </c>
      <c r="F156" s="17" t="s">
        <v>48</v>
      </c>
      <c r="G156" s="17" t="s">
        <v>18</v>
      </c>
      <c r="H156" s="18">
        <f>ROUND(RAND()*4+6,1)</f>
      </c>
      <c r="I156" s="17" t="s">
        <v>19</v>
      </c>
      <c r="J156" s="19">
        <f>ROUND(62*1,0)&amp;"%"</f>
      </c>
    </row>
    <row x14ac:dyDescent="0.25" r="157" customHeight="1" ht="17.25">
      <c r="A157" s="20" t="s">
        <v>8829</v>
      </c>
      <c r="B157" s="20" t="s">
        <v>274</v>
      </c>
      <c r="C157" s="20" t="s">
        <v>133</v>
      </c>
      <c r="D157" s="20" t="s">
        <v>22</v>
      </c>
      <c r="E157" s="21">
        <f>ROUND(5392*1.05,2)</f>
      </c>
      <c r="F157" s="20" t="s">
        <v>51</v>
      </c>
      <c r="G157" s="20" t="s">
        <v>24</v>
      </c>
      <c r="H157" s="21">
        <f>ROUND(RAND()*4+6,1)</f>
      </c>
      <c r="I157" s="20" t="s">
        <v>25</v>
      </c>
      <c r="J157" s="23">
        <f>ROUND(95*1,0)&amp;"%"</f>
      </c>
    </row>
    <row x14ac:dyDescent="0.25" r="158" customHeight="1" ht="17.25">
      <c r="A158" s="24" t="s">
        <v>275</v>
      </c>
      <c r="B158" s="24"/>
      <c r="C158" s="24"/>
      <c r="D158" s="24"/>
      <c r="E158" s="25">
        <v>8</v>
      </c>
      <c r="F158" s="9"/>
      <c r="G158" s="9"/>
      <c r="H158" s="10"/>
      <c r="I158" s="9"/>
      <c r="J158" s="9"/>
    </row>
    <row x14ac:dyDescent="0.25" r="159" customHeight="1" ht="17.25">
      <c r="A159" s="7"/>
      <c r="B159" s="7"/>
      <c r="C159" s="7"/>
      <c r="D159" s="7"/>
      <c r="E159" s="8"/>
      <c r="F159" s="9"/>
      <c r="G159" s="9"/>
      <c r="H159" s="10"/>
      <c r="I159" s="9"/>
      <c r="J159" s="9"/>
    </row>
    <row x14ac:dyDescent="0.25" r="160" customHeight="1" ht="17.25">
      <c r="A160" s="11" t="s">
        <v>8830</v>
      </c>
      <c r="B160" s="11"/>
      <c r="C160" s="11"/>
      <c r="D160" s="11"/>
      <c r="E160" s="12"/>
      <c r="F160" s="11"/>
      <c r="G160" s="11"/>
      <c r="H160" s="13"/>
      <c r="I160" s="11"/>
      <c r="J160" s="11"/>
    </row>
    <row x14ac:dyDescent="0.25" r="161" customHeight="1" ht="17.25">
      <c r="A161" s="14" t="s">
        <v>3</v>
      </c>
      <c r="B161" s="14" t="s">
        <v>4</v>
      </c>
      <c r="C161" s="14" t="s">
        <v>5</v>
      </c>
      <c r="D161" s="14" t="s">
        <v>6</v>
      </c>
      <c r="E161" s="15" t="s">
        <v>7</v>
      </c>
      <c r="F161" s="14" t="s">
        <v>8</v>
      </c>
      <c r="G161" s="14" t="s">
        <v>9</v>
      </c>
      <c r="H161" s="16" t="s">
        <v>10</v>
      </c>
      <c r="I161" s="14" t="s">
        <v>11</v>
      </c>
      <c r="J161" s="14" t="s">
        <v>12</v>
      </c>
    </row>
    <row x14ac:dyDescent="0.25" r="162" customHeight="1" ht="17.25">
      <c r="A162" s="17" t="s">
        <v>8831</v>
      </c>
      <c r="B162" s="17" t="s">
        <v>278</v>
      </c>
      <c r="C162" s="17" t="s">
        <v>152</v>
      </c>
      <c r="D162" s="17" t="s">
        <v>16</v>
      </c>
      <c r="E162" s="18">
        <f>ROUND(17746*1.05,2)</f>
      </c>
      <c r="F162" s="17" t="s">
        <v>17</v>
      </c>
      <c r="G162" s="17" t="s">
        <v>18</v>
      </c>
      <c r="H162" s="18">
        <f>ROUND(RAND()*4+6,1)</f>
      </c>
      <c r="I162" s="17" t="s">
        <v>19</v>
      </c>
      <c r="J162" s="19">
        <f>ROUND(96*1,0)&amp;"%"</f>
      </c>
    </row>
    <row x14ac:dyDescent="0.25" r="163" customHeight="1" ht="17.25">
      <c r="A163" s="20" t="s">
        <v>8832</v>
      </c>
      <c r="B163" s="20" t="s">
        <v>280</v>
      </c>
      <c r="C163" s="20" t="s">
        <v>152</v>
      </c>
      <c r="D163" s="20" t="s">
        <v>22</v>
      </c>
      <c r="E163" s="21">
        <f>ROUND(8392*1.05,2)</f>
      </c>
      <c r="F163" s="20" t="s">
        <v>23</v>
      </c>
      <c r="G163" s="20" t="s">
        <v>24</v>
      </c>
      <c r="H163" s="21">
        <f>ROUND(RAND()*4+6,1)</f>
      </c>
      <c r="I163" s="20" t="s">
        <v>25</v>
      </c>
      <c r="J163" s="23">
        <f>ROUND(91*1,0)&amp;"%"</f>
      </c>
    </row>
    <row x14ac:dyDescent="0.25" r="164" customHeight="1" ht="17.25">
      <c r="A164" s="17" t="s">
        <v>8833</v>
      </c>
      <c r="B164" s="17" t="s">
        <v>282</v>
      </c>
      <c r="C164" s="17" t="s">
        <v>152</v>
      </c>
      <c r="D164" s="17" t="s">
        <v>28</v>
      </c>
      <c r="E164" s="26">
        <f>ROUND(15560*1.05,2)</f>
      </c>
      <c r="F164" s="17" t="s">
        <v>29</v>
      </c>
      <c r="G164" s="17" t="s">
        <v>30</v>
      </c>
      <c r="H164" s="18">
        <f>ROUND(RAND()*4+6,1)</f>
      </c>
      <c r="I164" s="17" t="s">
        <v>31</v>
      </c>
      <c r="J164" s="19">
        <f>ROUND(81*1,0)&amp;"%"</f>
      </c>
    </row>
    <row x14ac:dyDescent="0.25" r="165" customHeight="1" ht="17.25">
      <c r="A165" s="20" t="s">
        <v>8834</v>
      </c>
      <c r="B165" s="20" t="s">
        <v>284</v>
      </c>
      <c r="C165" s="20" t="s">
        <v>152</v>
      </c>
      <c r="D165" s="20" t="s">
        <v>34</v>
      </c>
      <c r="E165" s="21">
        <f>ROUND(8408*1.05,2)</f>
      </c>
      <c r="F165" s="20" t="s">
        <v>35</v>
      </c>
      <c r="G165" s="20" t="s">
        <v>18</v>
      </c>
      <c r="H165" s="21">
        <f>ROUND(RAND()*4+6,1)</f>
      </c>
      <c r="I165" s="20" t="s">
        <v>36</v>
      </c>
      <c r="J165" s="23">
        <f>ROUND(87*1,0)&amp;"%"</f>
      </c>
    </row>
    <row x14ac:dyDescent="0.25" r="166" customHeight="1" ht="17.25">
      <c r="A166" s="17" t="s">
        <v>8835</v>
      </c>
      <c r="B166" s="17" t="s">
        <v>286</v>
      </c>
      <c r="C166" s="17" t="s">
        <v>152</v>
      </c>
      <c r="D166" s="17" t="s">
        <v>39</v>
      </c>
      <c r="E166" s="18">
        <f>ROUND(5827*1.05,2)</f>
      </c>
      <c r="F166" s="17" t="s">
        <v>40</v>
      </c>
      <c r="G166" s="17" t="s">
        <v>24</v>
      </c>
      <c r="H166" s="18">
        <f>ROUND(RAND()*4+6,1)</f>
      </c>
      <c r="I166" s="17" t="s">
        <v>41</v>
      </c>
      <c r="J166" s="19">
        <f>ROUND(76*1,0)&amp;"%"</f>
      </c>
    </row>
    <row x14ac:dyDescent="0.25" r="167" customHeight="1" ht="17.25">
      <c r="A167" s="20" t="s">
        <v>8836</v>
      </c>
      <c r="B167" s="20" t="s">
        <v>288</v>
      </c>
      <c r="C167" s="20" t="s">
        <v>152</v>
      </c>
      <c r="D167" s="20" t="s">
        <v>67</v>
      </c>
      <c r="E167" s="21">
        <f>ROUND(8505*1.05,2)</f>
      </c>
      <c r="F167" s="20" t="s">
        <v>44</v>
      </c>
      <c r="G167" s="20" t="s">
        <v>30</v>
      </c>
      <c r="H167" s="21">
        <f>ROUND(RAND()*4+6,1)</f>
      </c>
      <c r="I167" s="20" t="s">
        <v>45</v>
      </c>
      <c r="J167" s="23">
        <f>ROUND(62*1,0)&amp;"%"</f>
      </c>
    </row>
    <row x14ac:dyDescent="0.25" r="168" customHeight="1" ht="17.25">
      <c r="A168" s="17" t="s">
        <v>8837</v>
      </c>
      <c r="B168" s="17" t="s">
        <v>290</v>
      </c>
      <c r="C168" s="17" t="s">
        <v>152</v>
      </c>
      <c r="D168" s="17" t="s">
        <v>16</v>
      </c>
      <c r="E168" s="18">
        <f>ROUND(17658*1.05,2)</f>
      </c>
      <c r="F168" s="17" t="s">
        <v>48</v>
      </c>
      <c r="G168" s="17" t="s">
        <v>18</v>
      </c>
      <c r="H168" s="18">
        <f>ROUND(RAND()*4+6,1)</f>
      </c>
      <c r="I168" s="17" t="s">
        <v>19</v>
      </c>
      <c r="J168" s="19">
        <f>ROUND(66*1,0)&amp;"%"</f>
      </c>
    </row>
    <row x14ac:dyDescent="0.25" r="169" customHeight="1" ht="17.25">
      <c r="A169" s="20" t="s">
        <v>8838</v>
      </c>
      <c r="B169" s="20" t="s">
        <v>292</v>
      </c>
      <c r="C169" s="20" t="s">
        <v>152</v>
      </c>
      <c r="D169" s="20" t="s">
        <v>22</v>
      </c>
      <c r="E169" s="21">
        <f>ROUND(15146*1.05,2)</f>
      </c>
      <c r="F169" s="20" t="s">
        <v>51</v>
      </c>
      <c r="G169" s="20" t="s">
        <v>24</v>
      </c>
      <c r="H169" s="21">
        <f>ROUND(RAND()*4+6,1)</f>
      </c>
      <c r="I169" s="20" t="s">
        <v>25</v>
      </c>
      <c r="J169" s="23">
        <f>ROUND(92*1,0)&amp;"%"</f>
      </c>
    </row>
    <row x14ac:dyDescent="0.25" r="170" customHeight="1" ht="17.25">
      <c r="A170" s="24" t="s">
        <v>293</v>
      </c>
      <c r="B170" s="24"/>
      <c r="C170" s="24"/>
      <c r="D170" s="24"/>
      <c r="E170" s="25">
        <v>8</v>
      </c>
      <c r="F170" s="9"/>
      <c r="G170" s="9"/>
      <c r="H170" s="10"/>
      <c r="I170" s="9"/>
      <c r="J170" s="9"/>
    </row>
    <row x14ac:dyDescent="0.25" r="171" customHeight="1" ht="17.25">
      <c r="A171" s="7"/>
      <c r="B171" s="7"/>
      <c r="C171" s="7"/>
      <c r="D171" s="7"/>
      <c r="E171" s="8"/>
      <c r="F171" s="9"/>
      <c r="G171" s="9"/>
      <c r="H171" s="10"/>
      <c r="I171" s="9"/>
      <c r="J171" s="9"/>
    </row>
    <row x14ac:dyDescent="0.25" r="172" customHeight="1" ht="17.25">
      <c r="A172" s="11" t="s">
        <v>8839</v>
      </c>
      <c r="B172" s="11"/>
      <c r="C172" s="11"/>
      <c r="D172" s="11"/>
      <c r="E172" s="12"/>
      <c r="F172" s="11"/>
      <c r="G172" s="11"/>
      <c r="H172" s="13"/>
      <c r="I172" s="11"/>
      <c r="J172" s="11"/>
    </row>
    <row x14ac:dyDescent="0.25" r="173" customHeight="1" ht="17.25">
      <c r="A173" s="14" t="s">
        <v>3</v>
      </c>
      <c r="B173" s="14" t="s">
        <v>4</v>
      </c>
      <c r="C173" s="14" t="s">
        <v>5</v>
      </c>
      <c r="D173" s="14" t="s">
        <v>6</v>
      </c>
      <c r="E173" s="15" t="s">
        <v>7</v>
      </c>
      <c r="F173" s="14" t="s">
        <v>8</v>
      </c>
      <c r="G173" s="14" t="s">
        <v>9</v>
      </c>
      <c r="H173" s="16" t="s">
        <v>10</v>
      </c>
      <c r="I173" s="14" t="s">
        <v>11</v>
      </c>
      <c r="J173" s="14" t="s">
        <v>12</v>
      </c>
    </row>
    <row x14ac:dyDescent="0.25" r="174" customHeight="1" ht="17.25">
      <c r="A174" s="17" t="s">
        <v>8840</v>
      </c>
      <c r="B174" s="17" t="s">
        <v>296</v>
      </c>
      <c r="C174" s="17" t="s">
        <v>15</v>
      </c>
      <c r="D174" s="17" t="s">
        <v>16</v>
      </c>
      <c r="E174" s="18">
        <f>ROUND(13247*1.05,2)</f>
      </c>
      <c r="F174" s="17" t="s">
        <v>17</v>
      </c>
      <c r="G174" s="17" t="s">
        <v>18</v>
      </c>
      <c r="H174" s="18">
        <f>ROUND(RAND()*4+6,1)</f>
      </c>
      <c r="I174" s="17" t="s">
        <v>19</v>
      </c>
      <c r="J174" s="19">
        <f>ROUND(98*1,0)&amp;"%"</f>
      </c>
    </row>
    <row x14ac:dyDescent="0.25" r="175" customHeight="1" ht="17.25">
      <c r="A175" s="20" t="s">
        <v>8841</v>
      </c>
      <c r="B175" s="20" t="s">
        <v>298</v>
      </c>
      <c r="C175" s="20" t="s">
        <v>15</v>
      </c>
      <c r="D175" s="20" t="s">
        <v>22</v>
      </c>
      <c r="E175" s="21">
        <f>ROUND(15307*1.05,2)</f>
      </c>
      <c r="F175" s="20" t="s">
        <v>23</v>
      </c>
      <c r="G175" s="20" t="s">
        <v>24</v>
      </c>
      <c r="H175" s="21">
        <f>ROUND(RAND()*4+6,1)</f>
      </c>
      <c r="I175" s="20" t="s">
        <v>25</v>
      </c>
      <c r="J175" s="23">
        <f>ROUND(90*1,0)&amp;"%"</f>
      </c>
    </row>
    <row x14ac:dyDescent="0.25" r="176" customHeight="1" ht="17.25">
      <c r="A176" s="17" t="s">
        <v>8842</v>
      </c>
      <c r="B176" s="17" t="s">
        <v>300</v>
      </c>
      <c r="C176" s="17" t="s">
        <v>15</v>
      </c>
      <c r="D176" s="17" t="s">
        <v>28</v>
      </c>
      <c r="E176" s="18">
        <f>ROUND(8657*1.05,2)</f>
      </c>
      <c r="F176" s="17" t="s">
        <v>29</v>
      </c>
      <c r="G176" s="17" t="s">
        <v>30</v>
      </c>
      <c r="H176" s="18">
        <f>ROUND(RAND()*4+6,1)</f>
      </c>
      <c r="I176" s="17" t="s">
        <v>31</v>
      </c>
      <c r="J176" s="19">
        <f>ROUND(92*1,0)&amp;"%"</f>
      </c>
    </row>
    <row x14ac:dyDescent="0.25" r="177" customHeight="1" ht="17.25">
      <c r="A177" s="20" t="s">
        <v>8843</v>
      </c>
      <c r="B177" s="20" t="s">
        <v>302</v>
      </c>
      <c r="C177" s="20" t="s">
        <v>15</v>
      </c>
      <c r="D177" s="20" t="s">
        <v>34</v>
      </c>
      <c r="E177" s="21">
        <f>ROUND(15963*1.05,2)</f>
      </c>
      <c r="F177" s="20" t="s">
        <v>35</v>
      </c>
      <c r="G177" s="20" t="s">
        <v>18</v>
      </c>
      <c r="H177" s="21">
        <f>ROUND(RAND()*4+6,1)</f>
      </c>
      <c r="I177" s="20" t="s">
        <v>36</v>
      </c>
      <c r="J177" s="23">
        <f>ROUND(65*1,0)&amp;"%"</f>
      </c>
    </row>
    <row x14ac:dyDescent="0.25" r="178" customHeight="1" ht="17.25">
      <c r="A178" s="17" t="s">
        <v>8844</v>
      </c>
      <c r="B178" s="17" t="s">
        <v>304</v>
      </c>
      <c r="C178" s="17" t="s">
        <v>15</v>
      </c>
      <c r="D178" s="17" t="s">
        <v>39</v>
      </c>
      <c r="E178" s="18">
        <f>ROUND(11398*1.05,2)</f>
      </c>
      <c r="F178" s="17" t="s">
        <v>40</v>
      </c>
      <c r="G178" s="17" t="s">
        <v>24</v>
      </c>
      <c r="H178" s="18">
        <f>ROUND(RAND()*4+6,1)</f>
      </c>
      <c r="I178" s="17" t="s">
        <v>41</v>
      </c>
      <c r="J178" s="19">
        <f>ROUND(68*1,0)&amp;"%"</f>
      </c>
    </row>
    <row x14ac:dyDescent="0.25" r="179" customHeight="1" ht="17.25">
      <c r="A179" s="20" t="s">
        <v>8845</v>
      </c>
      <c r="B179" s="20" t="s">
        <v>306</v>
      </c>
      <c r="C179" s="20" t="s">
        <v>15</v>
      </c>
      <c r="D179" s="20" t="s">
        <v>67</v>
      </c>
      <c r="E179" s="21">
        <f>ROUND(9213*1.05,2)</f>
      </c>
      <c r="F179" s="20" t="s">
        <v>44</v>
      </c>
      <c r="G179" s="20" t="s">
        <v>30</v>
      </c>
      <c r="H179" s="21">
        <f>ROUND(RAND()*4+6,1)</f>
      </c>
      <c r="I179" s="20" t="s">
        <v>45</v>
      </c>
      <c r="J179" s="23">
        <f>ROUND(73*1,0)&amp;"%"</f>
      </c>
    </row>
    <row x14ac:dyDescent="0.25" r="180" customHeight="1" ht="17.25">
      <c r="A180" s="17" t="s">
        <v>8846</v>
      </c>
      <c r="B180" s="17" t="s">
        <v>308</v>
      </c>
      <c r="C180" s="17" t="s">
        <v>15</v>
      </c>
      <c r="D180" s="17" t="s">
        <v>16</v>
      </c>
      <c r="E180" s="18">
        <f>ROUND(17027*1.05,2)</f>
      </c>
      <c r="F180" s="17" t="s">
        <v>48</v>
      </c>
      <c r="G180" s="17" t="s">
        <v>18</v>
      </c>
      <c r="H180" s="18">
        <f>ROUND(RAND()*4+6,1)</f>
      </c>
      <c r="I180" s="17" t="s">
        <v>19</v>
      </c>
      <c r="J180" s="19">
        <f>ROUND(66*1,0)&amp;"%"</f>
      </c>
    </row>
    <row x14ac:dyDescent="0.25" r="181" customHeight="1" ht="17.25">
      <c r="A181" s="20" t="s">
        <v>8847</v>
      </c>
      <c r="B181" s="20" t="s">
        <v>310</v>
      </c>
      <c r="C181" s="20" t="s">
        <v>15</v>
      </c>
      <c r="D181" s="20" t="s">
        <v>22</v>
      </c>
      <c r="E181" s="21">
        <f>ROUND(5711*1.05,2)</f>
      </c>
      <c r="F181" s="20" t="s">
        <v>51</v>
      </c>
      <c r="G181" s="20" t="s">
        <v>24</v>
      </c>
      <c r="H181" s="21">
        <f>ROUND(RAND()*4+6,1)</f>
      </c>
      <c r="I181" s="20" t="s">
        <v>25</v>
      </c>
      <c r="J181" s="23">
        <f>ROUND(78*1,0)&amp;"%"</f>
      </c>
    </row>
    <row x14ac:dyDescent="0.25" r="182" customHeight="1" ht="17.25">
      <c r="A182" s="24" t="s">
        <v>311</v>
      </c>
      <c r="B182" s="24"/>
      <c r="C182" s="24"/>
      <c r="D182" s="24"/>
      <c r="E182" s="25">
        <v>8</v>
      </c>
      <c r="F182" s="9"/>
      <c r="G182" s="9"/>
      <c r="H182" s="10"/>
      <c r="I182" s="9"/>
      <c r="J182" s="9"/>
    </row>
    <row x14ac:dyDescent="0.25" r="183" customHeight="1" ht="17.25">
      <c r="A183" s="7"/>
      <c r="B183" s="7"/>
      <c r="C183" s="7"/>
      <c r="D183" s="7"/>
      <c r="E183" s="8"/>
      <c r="F183" s="9"/>
      <c r="G183" s="9"/>
      <c r="H183" s="10"/>
      <c r="I183" s="9"/>
      <c r="J183" s="9"/>
    </row>
    <row x14ac:dyDescent="0.25" r="184" customHeight="1" ht="17.25">
      <c r="A184" s="11" t="s">
        <v>8848</v>
      </c>
      <c r="B184" s="11"/>
      <c r="C184" s="11"/>
      <c r="D184" s="11"/>
      <c r="E184" s="12"/>
      <c r="F184" s="11"/>
      <c r="G184" s="11"/>
      <c r="H184" s="13"/>
      <c r="I184" s="11"/>
      <c r="J184" s="11"/>
    </row>
    <row x14ac:dyDescent="0.25" r="185" customHeight="1" ht="17.25">
      <c r="A185" s="14" t="s">
        <v>3</v>
      </c>
      <c r="B185" s="14" t="s">
        <v>4</v>
      </c>
      <c r="C185" s="14" t="s">
        <v>5</v>
      </c>
      <c r="D185" s="14" t="s">
        <v>6</v>
      </c>
      <c r="E185" s="15" t="s">
        <v>7</v>
      </c>
      <c r="F185" s="14" t="s">
        <v>8</v>
      </c>
      <c r="G185" s="14" t="s">
        <v>9</v>
      </c>
      <c r="H185" s="16" t="s">
        <v>10</v>
      </c>
      <c r="I185" s="14" t="s">
        <v>11</v>
      </c>
      <c r="J185" s="14" t="s">
        <v>12</v>
      </c>
    </row>
    <row x14ac:dyDescent="0.25" r="186" customHeight="1" ht="17.25">
      <c r="A186" s="17" t="s">
        <v>8849</v>
      </c>
      <c r="B186" s="17" t="s">
        <v>314</v>
      </c>
      <c r="C186" s="17" t="s">
        <v>56</v>
      </c>
      <c r="D186" s="17" t="s">
        <v>16</v>
      </c>
      <c r="E186" s="18">
        <f>ROUND(14282*1.05,2)</f>
      </c>
      <c r="F186" s="17" t="s">
        <v>17</v>
      </c>
      <c r="G186" s="17" t="s">
        <v>18</v>
      </c>
      <c r="H186" s="18">
        <f>ROUND(RAND()*4+6,1)</f>
      </c>
      <c r="I186" s="17" t="s">
        <v>19</v>
      </c>
      <c r="J186" s="19">
        <f>ROUND(90*1,0)&amp;"%"</f>
      </c>
    </row>
    <row x14ac:dyDescent="0.25" r="187" customHeight="1" ht="17.25">
      <c r="A187" s="20" t="s">
        <v>8850</v>
      </c>
      <c r="B187" s="20" t="s">
        <v>316</v>
      </c>
      <c r="C187" s="20" t="s">
        <v>56</v>
      </c>
      <c r="D187" s="20" t="s">
        <v>22</v>
      </c>
      <c r="E187" s="21">
        <f>ROUND(7091*1.05,2)</f>
      </c>
      <c r="F187" s="20" t="s">
        <v>23</v>
      </c>
      <c r="G187" s="20" t="s">
        <v>24</v>
      </c>
      <c r="H187" s="21">
        <f>ROUND(RAND()*4+6,1)</f>
      </c>
      <c r="I187" s="20" t="s">
        <v>25</v>
      </c>
      <c r="J187" s="23">
        <f>ROUND(78*1,0)&amp;"%"</f>
      </c>
    </row>
    <row x14ac:dyDescent="0.25" r="188" customHeight="1" ht="17.25">
      <c r="A188" s="17" t="s">
        <v>8851</v>
      </c>
      <c r="B188" s="17" t="s">
        <v>318</v>
      </c>
      <c r="C188" s="17" t="s">
        <v>56</v>
      </c>
      <c r="D188" s="17" t="s">
        <v>28</v>
      </c>
      <c r="E188" s="18">
        <f>ROUND(14832*1.05,2)</f>
      </c>
      <c r="F188" s="17" t="s">
        <v>29</v>
      </c>
      <c r="G188" s="17" t="s">
        <v>30</v>
      </c>
      <c r="H188" s="18">
        <f>ROUND(RAND()*4+6,1)</f>
      </c>
      <c r="I188" s="17" t="s">
        <v>31</v>
      </c>
      <c r="J188" s="19">
        <f>ROUND(62*1,0)&amp;"%"</f>
      </c>
    </row>
    <row x14ac:dyDescent="0.25" r="189" customHeight="1" ht="17.25">
      <c r="A189" s="20" t="s">
        <v>8852</v>
      </c>
      <c r="B189" s="20" t="s">
        <v>320</v>
      </c>
      <c r="C189" s="20" t="s">
        <v>56</v>
      </c>
      <c r="D189" s="20" t="s">
        <v>34</v>
      </c>
      <c r="E189" s="21">
        <f>ROUND(10468*1.05,2)</f>
      </c>
      <c r="F189" s="20" t="s">
        <v>35</v>
      </c>
      <c r="G189" s="20" t="s">
        <v>18</v>
      </c>
      <c r="H189" s="21">
        <f>ROUND(RAND()*4+6,1)</f>
      </c>
      <c r="I189" s="20" t="s">
        <v>36</v>
      </c>
      <c r="J189" s="23">
        <f>ROUND(87*1,0)&amp;"%"</f>
      </c>
    </row>
    <row x14ac:dyDescent="0.25" r="190" customHeight="1" ht="17.25">
      <c r="A190" s="17" t="s">
        <v>8853</v>
      </c>
      <c r="B190" s="17" t="s">
        <v>322</v>
      </c>
      <c r="C190" s="17" t="s">
        <v>56</v>
      </c>
      <c r="D190" s="17" t="s">
        <v>39</v>
      </c>
      <c r="E190" s="18">
        <f>ROUND(11553*1.05,2)</f>
      </c>
      <c r="F190" s="17" t="s">
        <v>40</v>
      </c>
      <c r="G190" s="17" t="s">
        <v>24</v>
      </c>
      <c r="H190" s="18">
        <f>ROUND(RAND()*4+6,1)</f>
      </c>
      <c r="I190" s="17" t="s">
        <v>41</v>
      </c>
      <c r="J190" s="19">
        <f>ROUND(95*1,0)&amp;"%"</f>
      </c>
    </row>
    <row x14ac:dyDescent="0.25" r="191" customHeight="1" ht="17.25">
      <c r="A191" s="20" t="s">
        <v>8854</v>
      </c>
      <c r="B191" s="20" t="s">
        <v>324</v>
      </c>
      <c r="C191" s="20" t="s">
        <v>56</v>
      </c>
      <c r="D191" s="20" t="s">
        <v>67</v>
      </c>
      <c r="E191" s="21">
        <f>ROUND(14881*1.05,2)</f>
      </c>
      <c r="F191" s="20" t="s">
        <v>44</v>
      </c>
      <c r="G191" s="20" t="s">
        <v>30</v>
      </c>
      <c r="H191" s="21">
        <f>ROUND(RAND()*4+6,1)</f>
      </c>
      <c r="I191" s="20" t="s">
        <v>45</v>
      </c>
      <c r="J191" s="23">
        <f>ROUND(69*1,0)&amp;"%"</f>
      </c>
    </row>
    <row x14ac:dyDescent="0.25" r="192" customHeight="1" ht="17.25">
      <c r="A192" s="17" t="s">
        <v>8855</v>
      </c>
      <c r="B192" s="17" t="s">
        <v>326</v>
      </c>
      <c r="C192" s="17" t="s">
        <v>56</v>
      </c>
      <c r="D192" s="17" t="s">
        <v>16</v>
      </c>
      <c r="E192" s="18">
        <f>ROUND(9739*1.05,2)</f>
      </c>
      <c r="F192" s="17" t="s">
        <v>48</v>
      </c>
      <c r="G192" s="17" t="s">
        <v>18</v>
      </c>
      <c r="H192" s="18">
        <f>ROUND(RAND()*4+6,1)</f>
      </c>
      <c r="I192" s="17" t="s">
        <v>19</v>
      </c>
      <c r="J192" s="19">
        <f>ROUND(82*1,0)&amp;"%"</f>
      </c>
    </row>
    <row x14ac:dyDescent="0.25" r="193" customHeight="1" ht="17.25">
      <c r="A193" s="20" t="s">
        <v>8856</v>
      </c>
      <c r="B193" s="20" t="s">
        <v>328</v>
      </c>
      <c r="C193" s="20" t="s">
        <v>56</v>
      </c>
      <c r="D193" s="20" t="s">
        <v>22</v>
      </c>
      <c r="E193" s="22">
        <f>ROUND(14940*1.05,2)</f>
      </c>
      <c r="F193" s="20" t="s">
        <v>51</v>
      </c>
      <c r="G193" s="20" t="s">
        <v>24</v>
      </c>
      <c r="H193" s="21">
        <f>ROUND(RAND()*4+6,1)</f>
      </c>
      <c r="I193" s="20" t="s">
        <v>25</v>
      </c>
      <c r="J193" s="23">
        <f>ROUND(77*1,0)&amp;"%"</f>
      </c>
    </row>
    <row x14ac:dyDescent="0.25" r="194" customHeight="1" ht="17.25">
      <c r="A194" s="24" t="s">
        <v>329</v>
      </c>
      <c r="B194" s="24"/>
      <c r="C194" s="24"/>
      <c r="D194" s="24"/>
      <c r="E194" s="25">
        <v>8</v>
      </c>
      <c r="F194" s="9"/>
      <c r="G194" s="9"/>
      <c r="H194" s="10"/>
      <c r="I194" s="9"/>
      <c r="J194" s="9"/>
    </row>
    <row x14ac:dyDescent="0.25" r="195" customHeight="1" ht="17.25">
      <c r="A195" s="7"/>
      <c r="B195" s="7"/>
      <c r="C195" s="7"/>
      <c r="D195" s="7"/>
      <c r="E195" s="8"/>
      <c r="F195" s="9"/>
      <c r="G195" s="9"/>
      <c r="H195" s="10"/>
      <c r="I195" s="9"/>
      <c r="J195" s="9"/>
    </row>
    <row x14ac:dyDescent="0.25" r="196" customHeight="1" ht="17.25">
      <c r="A196" s="11" t="s">
        <v>8857</v>
      </c>
      <c r="B196" s="11"/>
      <c r="C196" s="11"/>
      <c r="D196" s="11"/>
      <c r="E196" s="12"/>
      <c r="F196" s="11"/>
      <c r="G196" s="11"/>
      <c r="H196" s="13"/>
      <c r="I196" s="11"/>
      <c r="J196" s="11"/>
    </row>
    <row x14ac:dyDescent="0.25" r="197" customHeight="1" ht="17.25">
      <c r="A197" s="14" t="s">
        <v>3</v>
      </c>
      <c r="B197" s="14" t="s">
        <v>4</v>
      </c>
      <c r="C197" s="14" t="s">
        <v>5</v>
      </c>
      <c r="D197" s="14" t="s">
        <v>6</v>
      </c>
      <c r="E197" s="15" t="s">
        <v>7</v>
      </c>
      <c r="F197" s="14" t="s">
        <v>8</v>
      </c>
      <c r="G197" s="14" t="s">
        <v>9</v>
      </c>
      <c r="H197" s="16" t="s">
        <v>10</v>
      </c>
      <c r="I197" s="14" t="s">
        <v>11</v>
      </c>
      <c r="J197" s="14" t="s">
        <v>12</v>
      </c>
    </row>
    <row x14ac:dyDescent="0.25" r="198" customHeight="1" ht="17.25">
      <c r="A198" s="17" t="s">
        <v>8858</v>
      </c>
      <c r="B198" s="17" t="s">
        <v>332</v>
      </c>
      <c r="C198" s="17" t="s">
        <v>76</v>
      </c>
      <c r="D198" s="17" t="s">
        <v>16</v>
      </c>
      <c r="E198" s="18">
        <f>ROUND(8105*1.05,2)</f>
      </c>
      <c r="F198" s="17" t="s">
        <v>17</v>
      </c>
      <c r="G198" s="17" t="s">
        <v>18</v>
      </c>
      <c r="H198" s="18">
        <f>ROUND(RAND()*4+6,1)</f>
      </c>
      <c r="I198" s="17" t="s">
        <v>19</v>
      </c>
      <c r="J198" s="19">
        <f>ROUND(86*1,0)&amp;"%"</f>
      </c>
    </row>
    <row x14ac:dyDescent="0.25" r="199" customHeight="1" ht="17.25">
      <c r="A199" s="20" t="s">
        <v>8859</v>
      </c>
      <c r="B199" s="20" t="s">
        <v>334</v>
      </c>
      <c r="C199" s="20" t="s">
        <v>76</v>
      </c>
      <c r="D199" s="20" t="s">
        <v>22</v>
      </c>
      <c r="E199" s="21">
        <f>ROUND(9603*1.05,2)</f>
      </c>
      <c r="F199" s="20" t="s">
        <v>23</v>
      </c>
      <c r="G199" s="20" t="s">
        <v>24</v>
      </c>
      <c r="H199" s="22">
        <f>ROUND(RAND()*4+6,1)</f>
      </c>
      <c r="I199" s="20" t="s">
        <v>25</v>
      </c>
      <c r="J199" s="23">
        <f>ROUND(93*1,0)&amp;"%"</f>
      </c>
    </row>
    <row x14ac:dyDescent="0.25" r="200" customHeight="1" ht="17.25">
      <c r="A200" s="17" t="s">
        <v>8860</v>
      </c>
      <c r="B200" s="17" t="s">
        <v>336</v>
      </c>
      <c r="C200" s="17" t="s">
        <v>76</v>
      </c>
      <c r="D200" s="17" t="s">
        <v>28</v>
      </c>
      <c r="E200" s="18">
        <f>ROUND(9992*1.05,2)</f>
      </c>
      <c r="F200" s="17" t="s">
        <v>29</v>
      </c>
      <c r="G200" s="17" t="s">
        <v>30</v>
      </c>
      <c r="H200" s="18">
        <f>ROUND(RAND()*4+6,1)</f>
      </c>
      <c r="I200" s="17" t="s">
        <v>31</v>
      </c>
      <c r="J200" s="19">
        <f>ROUND(95*1,0)&amp;"%"</f>
      </c>
    </row>
    <row x14ac:dyDescent="0.25" r="201" customHeight="1" ht="17.25">
      <c r="A201" s="20" t="s">
        <v>8861</v>
      </c>
      <c r="B201" s="20" t="s">
        <v>338</v>
      </c>
      <c r="C201" s="20" t="s">
        <v>76</v>
      </c>
      <c r="D201" s="20" t="s">
        <v>34</v>
      </c>
      <c r="E201" s="22">
        <f>ROUND(11980*1.05,2)</f>
      </c>
      <c r="F201" s="20" t="s">
        <v>35</v>
      </c>
      <c r="G201" s="20" t="s">
        <v>18</v>
      </c>
      <c r="H201" s="21">
        <f>ROUND(RAND()*4+6,1)</f>
      </c>
      <c r="I201" s="20" t="s">
        <v>36</v>
      </c>
      <c r="J201" s="23">
        <f>ROUND(71*1,0)&amp;"%"</f>
      </c>
    </row>
    <row x14ac:dyDescent="0.25" r="202" customHeight="1" ht="17.25">
      <c r="A202" s="17" t="s">
        <v>8862</v>
      </c>
      <c r="B202" s="17" t="s">
        <v>340</v>
      </c>
      <c r="C202" s="17" t="s">
        <v>76</v>
      </c>
      <c r="D202" s="17" t="s">
        <v>39</v>
      </c>
      <c r="E202" s="18">
        <f>ROUND(10864*1.05,2)</f>
      </c>
      <c r="F202" s="17" t="s">
        <v>40</v>
      </c>
      <c r="G202" s="17" t="s">
        <v>24</v>
      </c>
      <c r="H202" s="18">
        <f>ROUND(RAND()*4+6,1)</f>
      </c>
      <c r="I202" s="17" t="s">
        <v>41</v>
      </c>
      <c r="J202" s="19">
        <f>ROUND(92*1,0)&amp;"%"</f>
      </c>
    </row>
    <row x14ac:dyDescent="0.25" r="203" customHeight="1" ht="17.25">
      <c r="A203" s="20" t="s">
        <v>8863</v>
      </c>
      <c r="B203" s="20" t="s">
        <v>342</v>
      </c>
      <c r="C203" s="20" t="s">
        <v>76</v>
      </c>
      <c r="D203" s="20" t="s">
        <v>67</v>
      </c>
      <c r="E203" s="21">
        <f>ROUND(8991*1.05,2)</f>
      </c>
      <c r="F203" s="20" t="s">
        <v>44</v>
      </c>
      <c r="G203" s="20" t="s">
        <v>30</v>
      </c>
      <c r="H203" s="21">
        <f>ROUND(RAND()*4+6,1)</f>
      </c>
      <c r="I203" s="20" t="s">
        <v>45</v>
      </c>
      <c r="J203" s="23">
        <f>ROUND(77*1,0)&amp;"%"</f>
      </c>
    </row>
    <row x14ac:dyDescent="0.25" r="204" customHeight="1" ht="17.25">
      <c r="A204" s="17" t="s">
        <v>8864</v>
      </c>
      <c r="B204" s="17" t="s">
        <v>344</v>
      </c>
      <c r="C204" s="17" t="s">
        <v>76</v>
      </c>
      <c r="D204" s="17" t="s">
        <v>16</v>
      </c>
      <c r="E204" s="18">
        <f>ROUND(13847*1.05,2)</f>
      </c>
      <c r="F204" s="17" t="s">
        <v>48</v>
      </c>
      <c r="G204" s="17" t="s">
        <v>18</v>
      </c>
      <c r="H204" s="18">
        <f>ROUND(RAND()*4+6,1)</f>
      </c>
      <c r="I204" s="17" t="s">
        <v>19</v>
      </c>
      <c r="J204" s="19">
        <f>ROUND(99*1,0)&amp;"%"</f>
      </c>
    </row>
    <row x14ac:dyDescent="0.25" r="205" customHeight="1" ht="17.25">
      <c r="A205" s="20" t="s">
        <v>8865</v>
      </c>
      <c r="B205" s="20" t="s">
        <v>346</v>
      </c>
      <c r="C205" s="20" t="s">
        <v>76</v>
      </c>
      <c r="D205" s="20" t="s">
        <v>22</v>
      </c>
      <c r="E205" s="21">
        <f>ROUND(9764*1.05,2)</f>
      </c>
      <c r="F205" s="20" t="s">
        <v>51</v>
      </c>
      <c r="G205" s="20" t="s">
        <v>24</v>
      </c>
      <c r="H205" s="21">
        <f>ROUND(RAND()*4+6,1)</f>
      </c>
      <c r="I205" s="20" t="s">
        <v>25</v>
      </c>
      <c r="J205" s="23">
        <f>ROUND(86*1,0)&amp;"%"</f>
      </c>
    </row>
    <row x14ac:dyDescent="0.25" r="206" customHeight="1" ht="17.25">
      <c r="A206" s="24" t="s">
        <v>347</v>
      </c>
      <c r="B206" s="24"/>
      <c r="C206" s="24"/>
      <c r="D206" s="24"/>
      <c r="E206" s="25">
        <v>8</v>
      </c>
      <c r="F206" s="9"/>
      <c r="G206" s="9"/>
      <c r="H206" s="10"/>
      <c r="I206" s="9"/>
      <c r="J206" s="9"/>
    </row>
    <row x14ac:dyDescent="0.25" r="207" customHeight="1" ht="17.25">
      <c r="A207" s="7"/>
      <c r="B207" s="7"/>
      <c r="C207" s="7"/>
      <c r="D207" s="7"/>
      <c r="E207" s="8"/>
      <c r="F207" s="9"/>
      <c r="G207" s="9"/>
      <c r="H207" s="10"/>
      <c r="I207" s="9"/>
      <c r="J207" s="9"/>
    </row>
    <row x14ac:dyDescent="0.25" r="208" customHeight="1" ht="17.25">
      <c r="A208" s="11" t="s">
        <v>8866</v>
      </c>
      <c r="B208" s="11"/>
      <c r="C208" s="11"/>
      <c r="D208" s="11"/>
      <c r="E208" s="12"/>
      <c r="F208" s="11"/>
      <c r="G208" s="11"/>
      <c r="H208" s="13"/>
      <c r="I208" s="11"/>
      <c r="J208" s="11"/>
    </row>
    <row x14ac:dyDescent="0.25" r="209" customHeight="1" ht="17.25">
      <c r="A209" s="14" t="s">
        <v>3</v>
      </c>
      <c r="B209" s="14" t="s">
        <v>4</v>
      </c>
      <c r="C209" s="14" t="s">
        <v>5</v>
      </c>
      <c r="D209" s="14" t="s">
        <v>6</v>
      </c>
      <c r="E209" s="15" t="s">
        <v>7</v>
      </c>
      <c r="F209" s="14" t="s">
        <v>8</v>
      </c>
      <c r="G209" s="14" t="s">
        <v>9</v>
      </c>
      <c r="H209" s="16" t="s">
        <v>10</v>
      </c>
      <c r="I209" s="14" t="s">
        <v>11</v>
      </c>
      <c r="J209" s="14" t="s">
        <v>12</v>
      </c>
    </row>
    <row x14ac:dyDescent="0.25" r="210" customHeight="1" ht="17.25">
      <c r="A210" s="17" t="s">
        <v>8867</v>
      </c>
      <c r="B210" s="17" t="s">
        <v>350</v>
      </c>
      <c r="C210" s="17" t="s">
        <v>95</v>
      </c>
      <c r="D210" s="17" t="s">
        <v>16</v>
      </c>
      <c r="E210" s="18">
        <f>ROUND(4169*1.05,2)</f>
      </c>
      <c r="F210" s="17" t="s">
        <v>17</v>
      </c>
      <c r="G210" s="17" t="s">
        <v>18</v>
      </c>
      <c r="H210" s="18">
        <f>ROUND(RAND()*4+6,1)</f>
      </c>
      <c r="I210" s="17" t="s">
        <v>19</v>
      </c>
      <c r="J210" s="19">
        <f>ROUND(99*1,0)&amp;"%"</f>
      </c>
    </row>
    <row x14ac:dyDescent="0.25" r="211" customHeight="1" ht="17.25">
      <c r="A211" s="20" t="s">
        <v>8868</v>
      </c>
      <c r="B211" s="20" t="s">
        <v>352</v>
      </c>
      <c r="C211" s="20" t="s">
        <v>95</v>
      </c>
      <c r="D211" s="20" t="s">
        <v>22</v>
      </c>
      <c r="E211" s="21">
        <f>ROUND(17913*1.05,2)</f>
      </c>
      <c r="F211" s="20" t="s">
        <v>23</v>
      </c>
      <c r="G211" s="20" t="s">
        <v>24</v>
      </c>
      <c r="H211" s="21">
        <f>ROUND(RAND()*4+6,1)</f>
      </c>
      <c r="I211" s="20" t="s">
        <v>25</v>
      </c>
      <c r="J211" s="23">
        <f>ROUND(60*1,0)&amp;"%"</f>
      </c>
    </row>
    <row x14ac:dyDescent="0.25" r="212" customHeight="1" ht="17.25">
      <c r="A212" s="17" t="s">
        <v>8869</v>
      </c>
      <c r="B212" s="17" t="s">
        <v>354</v>
      </c>
      <c r="C212" s="17" t="s">
        <v>95</v>
      </c>
      <c r="D212" s="17" t="s">
        <v>28</v>
      </c>
      <c r="E212" s="18">
        <f>ROUND(4507*1.05,2)</f>
      </c>
      <c r="F212" s="17" t="s">
        <v>29</v>
      </c>
      <c r="G212" s="17" t="s">
        <v>30</v>
      </c>
      <c r="H212" s="18">
        <f>ROUND(RAND()*4+6,1)</f>
      </c>
      <c r="I212" s="17" t="s">
        <v>31</v>
      </c>
      <c r="J212" s="19">
        <f>ROUND(98*1,0)&amp;"%"</f>
      </c>
    </row>
    <row x14ac:dyDescent="0.25" r="213" customHeight="1" ht="17.25">
      <c r="A213" s="20" t="s">
        <v>8870</v>
      </c>
      <c r="B213" s="20" t="s">
        <v>356</v>
      </c>
      <c r="C213" s="20" t="s">
        <v>95</v>
      </c>
      <c r="D213" s="20" t="s">
        <v>34</v>
      </c>
      <c r="E213" s="21">
        <f>ROUND(15684*1.05,2)</f>
      </c>
      <c r="F213" s="20" t="s">
        <v>35</v>
      </c>
      <c r="G213" s="20" t="s">
        <v>18</v>
      </c>
      <c r="H213" s="21">
        <f>ROUND(RAND()*4+6,1)</f>
      </c>
      <c r="I213" s="20" t="s">
        <v>36</v>
      </c>
      <c r="J213" s="23">
        <f>ROUND(91*1,0)&amp;"%"</f>
      </c>
    </row>
    <row x14ac:dyDescent="0.25" r="214" customHeight="1" ht="17.25">
      <c r="A214" s="17" t="s">
        <v>8871</v>
      </c>
      <c r="B214" s="17" t="s">
        <v>358</v>
      </c>
      <c r="C214" s="17" t="s">
        <v>95</v>
      </c>
      <c r="D214" s="17" t="s">
        <v>39</v>
      </c>
      <c r="E214" s="18">
        <f>ROUND(5023*1.05,2)</f>
      </c>
      <c r="F214" s="17" t="s">
        <v>40</v>
      </c>
      <c r="G214" s="17" t="s">
        <v>24</v>
      </c>
      <c r="H214" s="18">
        <f>ROUND(RAND()*4+6,1)</f>
      </c>
      <c r="I214" s="17" t="s">
        <v>41</v>
      </c>
      <c r="J214" s="19">
        <f>ROUND(93*1,0)&amp;"%"</f>
      </c>
    </row>
    <row x14ac:dyDescent="0.25" r="215" customHeight="1" ht="17.25">
      <c r="A215" s="20" t="s">
        <v>8872</v>
      </c>
      <c r="B215" s="20" t="s">
        <v>360</v>
      </c>
      <c r="C215" s="20" t="s">
        <v>95</v>
      </c>
      <c r="D215" s="20" t="s">
        <v>67</v>
      </c>
      <c r="E215" s="21">
        <f>ROUND(15847*1.05,2)</f>
      </c>
      <c r="F215" s="20" t="s">
        <v>44</v>
      </c>
      <c r="G215" s="20" t="s">
        <v>30</v>
      </c>
      <c r="H215" s="21">
        <f>ROUND(RAND()*4+6,1)</f>
      </c>
      <c r="I215" s="20" t="s">
        <v>45</v>
      </c>
      <c r="J215" s="23">
        <f>ROUND(76*1,0)&amp;"%"</f>
      </c>
    </row>
    <row x14ac:dyDescent="0.25" r="216" customHeight="1" ht="17.25">
      <c r="A216" s="17" t="s">
        <v>8873</v>
      </c>
      <c r="B216" s="17" t="s">
        <v>362</v>
      </c>
      <c r="C216" s="17" t="s">
        <v>95</v>
      </c>
      <c r="D216" s="17" t="s">
        <v>16</v>
      </c>
      <c r="E216" s="18">
        <f>ROUND(16881*1.05,2)</f>
      </c>
      <c r="F216" s="17" t="s">
        <v>48</v>
      </c>
      <c r="G216" s="17" t="s">
        <v>18</v>
      </c>
      <c r="H216" s="26">
        <f>ROUND(RAND()*4+6,1)</f>
      </c>
      <c r="I216" s="17" t="s">
        <v>19</v>
      </c>
      <c r="J216" s="19">
        <f>ROUND(73*1,0)&amp;"%"</f>
      </c>
    </row>
    <row x14ac:dyDescent="0.25" r="217" customHeight="1" ht="17.25">
      <c r="A217" s="20" t="s">
        <v>8874</v>
      </c>
      <c r="B217" s="20" t="s">
        <v>364</v>
      </c>
      <c r="C217" s="20" t="s">
        <v>95</v>
      </c>
      <c r="D217" s="20" t="s">
        <v>22</v>
      </c>
      <c r="E217" s="21">
        <f>ROUND(4211*1.05,2)</f>
      </c>
      <c r="F217" s="20" t="s">
        <v>51</v>
      </c>
      <c r="G217" s="20" t="s">
        <v>24</v>
      </c>
      <c r="H217" s="22">
        <f>ROUND(RAND()*4+6,1)</f>
      </c>
      <c r="I217" s="20" t="s">
        <v>25</v>
      </c>
      <c r="J217" s="23">
        <f>ROUND(88*1,0)&amp;"%"</f>
      </c>
    </row>
    <row x14ac:dyDescent="0.25" r="218" customHeight="1" ht="17.25">
      <c r="A218" s="24" t="s">
        <v>365</v>
      </c>
      <c r="B218" s="24"/>
      <c r="C218" s="24"/>
      <c r="D218" s="24"/>
      <c r="E218" s="25">
        <v>8</v>
      </c>
      <c r="F218" s="9"/>
      <c r="G218" s="9"/>
      <c r="H218" s="10"/>
      <c r="I218" s="9"/>
      <c r="J218" s="9"/>
    </row>
    <row x14ac:dyDescent="0.25" r="219" customHeight="1" ht="17.25">
      <c r="A219" s="7"/>
      <c r="B219" s="7"/>
      <c r="C219" s="7"/>
      <c r="D219" s="7"/>
      <c r="E219" s="8"/>
      <c r="F219" s="9"/>
      <c r="G219" s="9"/>
      <c r="H219" s="10"/>
      <c r="I219" s="9"/>
      <c r="J219" s="9"/>
    </row>
    <row x14ac:dyDescent="0.25" r="220" customHeight="1" ht="17.25">
      <c r="A220" s="11" t="s">
        <v>8875</v>
      </c>
      <c r="B220" s="11"/>
      <c r="C220" s="11"/>
      <c r="D220" s="11"/>
      <c r="E220" s="12"/>
      <c r="F220" s="11"/>
      <c r="G220" s="11"/>
      <c r="H220" s="13"/>
      <c r="I220" s="11"/>
      <c r="J220" s="11"/>
    </row>
    <row x14ac:dyDescent="0.25" r="221" customHeight="1" ht="17.25">
      <c r="A221" s="14" t="s">
        <v>3</v>
      </c>
      <c r="B221" s="14" t="s">
        <v>4</v>
      </c>
      <c r="C221" s="14" t="s">
        <v>5</v>
      </c>
      <c r="D221" s="14" t="s">
        <v>6</v>
      </c>
      <c r="E221" s="15" t="s">
        <v>7</v>
      </c>
      <c r="F221" s="14" t="s">
        <v>8</v>
      </c>
      <c r="G221" s="14" t="s">
        <v>9</v>
      </c>
      <c r="H221" s="16" t="s">
        <v>10</v>
      </c>
      <c r="I221" s="14" t="s">
        <v>11</v>
      </c>
      <c r="J221" s="14" t="s">
        <v>12</v>
      </c>
    </row>
    <row x14ac:dyDescent="0.25" r="222" customHeight="1" ht="17.25">
      <c r="A222" s="17" t="s">
        <v>8876</v>
      </c>
      <c r="B222" s="17" t="s">
        <v>368</v>
      </c>
      <c r="C222" s="17" t="s">
        <v>114</v>
      </c>
      <c r="D222" s="17" t="s">
        <v>16</v>
      </c>
      <c r="E222" s="18">
        <f>ROUND(4324*1.05,2)</f>
      </c>
      <c r="F222" s="17" t="s">
        <v>17</v>
      </c>
      <c r="G222" s="17" t="s">
        <v>18</v>
      </c>
      <c r="H222" s="18">
        <f>ROUND(RAND()*4+6,1)</f>
      </c>
      <c r="I222" s="17" t="s">
        <v>19</v>
      </c>
      <c r="J222" s="19">
        <f>ROUND(99*1,0)&amp;"%"</f>
      </c>
    </row>
    <row x14ac:dyDescent="0.25" r="223" customHeight="1" ht="17.25">
      <c r="A223" s="20" t="s">
        <v>8877</v>
      </c>
      <c r="B223" s="20" t="s">
        <v>370</v>
      </c>
      <c r="C223" s="20" t="s">
        <v>114</v>
      </c>
      <c r="D223" s="20" t="s">
        <v>22</v>
      </c>
      <c r="E223" s="21">
        <f>ROUND(15467*1.05,2)</f>
      </c>
      <c r="F223" s="20" t="s">
        <v>23</v>
      </c>
      <c r="G223" s="20" t="s">
        <v>24</v>
      </c>
      <c r="H223" s="21">
        <f>ROUND(RAND()*4+6,1)</f>
      </c>
      <c r="I223" s="20" t="s">
        <v>25</v>
      </c>
      <c r="J223" s="23">
        <f>ROUND(76*1,0)&amp;"%"</f>
      </c>
    </row>
    <row x14ac:dyDescent="0.25" r="224" customHeight="1" ht="17.25">
      <c r="A224" s="17" t="s">
        <v>8878</v>
      </c>
      <c r="B224" s="17" t="s">
        <v>372</v>
      </c>
      <c r="C224" s="17" t="s">
        <v>114</v>
      </c>
      <c r="D224" s="17" t="s">
        <v>28</v>
      </c>
      <c r="E224" s="18">
        <f>ROUND(14136*1.05,2)</f>
      </c>
      <c r="F224" s="17" t="s">
        <v>29</v>
      </c>
      <c r="G224" s="17" t="s">
        <v>30</v>
      </c>
      <c r="H224" s="18">
        <f>ROUND(RAND()*4+6,1)</f>
      </c>
      <c r="I224" s="17" t="s">
        <v>31</v>
      </c>
      <c r="J224" s="19">
        <f>ROUND(70*1,0)&amp;"%"</f>
      </c>
    </row>
    <row x14ac:dyDescent="0.25" r="225" customHeight="1" ht="17.25">
      <c r="A225" s="20" t="s">
        <v>8879</v>
      </c>
      <c r="B225" s="20" t="s">
        <v>374</v>
      </c>
      <c r="C225" s="20" t="s">
        <v>114</v>
      </c>
      <c r="D225" s="20" t="s">
        <v>34</v>
      </c>
      <c r="E225" s="21">
        <f>ROUND(14633*1.05,2)</f>
      </c>
      <c r="F225" s="20" t="s">
        <v>35</v>
      </c>
      <c r="G225" s="20" t="s">
        <v>18</v>
      </c>
      <c r="H225" s="21">
        <f>ROUND(RAND()*4+6,1)</f>
      </c>
      <c r="I225" s="20" t="s">
        <v>36</v>
      </c>
      <c r="J225" s="23">
        <f>ROUND(77*1,0)&amp;"%"</f>
      </c>
    </row>
    <row x14ac:dyDescent="0.25" r="226" customHeight="1" ht="17.25">
      <c r="A226" s="17" t="s">
        <v>8880</v>
      </c>
      <c r="B226" s="17" t="s">
        <v>376</v>
      </c>
      <c r="C226" s="17" t="s">
        <v>114</v>
      </c>
      <c r="D226" s="17" t="s">
        <v>39</v>
      </c>
      <c r="E226" s="18">
        <f>ROUND(12177*1.05,2)</f>
      </c>
      <c r="F226" s="17" t="s">
        <v>40</v>
      </c>
      <c r="G226" s="17" t="s">
        <v>24</v>
      </c>
      <c r="H226" s="18">
        <f>ROUND(RAND()*4+6,1)</f>
      </c>
      <c r="I226" s="17" t="s">
        <v>41</v>
      </c>
      <c r="J226" s="19">
        <f>ROUND(64*1,0)&amp;"%"</f>
      </c>
    </row>
    <row x14ac:dyDescent="0.25" r="227" customHeight="1" ht="17.25">
      <c r="A227" s="20" t="s">
        <v>8881</v>
      </c>
      <c r="B227" s="20" t="s">
        <v>378</v>
      </c>
      <c r="C227" s="20" t="s">
        <v>114</v>
      </c>
      <c r="D227" s="20" t="s">
        <v>67</v>
      </c>
      <c r="E227" s="21">
        <f>ROUND(6579*1.05,2)</f>
      </c>
      <c r="F227" s="20" t="s">
        <v>44</v>
      </c>
      <c r="G227" s="20" t="s">
        <v>30</v>
      </c>
      <c r="H227" s="21">
        <f>ROUND(RAND()*4+6,1)</f>
      </c>
      <c r="I227" s="20" t="s">
        <v>45</v>
      </c>
      <c r="J227" s="23">
        <f>ROUND(92*1,0)&amp;"%"</f>
      </c>
    </row>
    <row x14ac:dyDescent="0.25" r="228" customHeight="1" ht="17.25">
      <c r="A228" s="17" t="s">
        <v>8882</v>
      </c>
      <c r="B228" s="17" t="s">
        <v>380</v>
      </c>
      <c r="C228" s="17" t="s">
        <v>114</v>
      </c>
      <c r="D228" s="17" t="s">
        <v>16</v>
      </c>
      <c r="E228" s="18">
        <f>ROUND(5699*1.05,2)</f>
      </c>
      <c r="F228" s="17" t="s">
        <v>48</v>
      </c>
      <c r="G228" s="17" t="s">
        <v>18</v>
      </c>
      <c r="H228" s="18">
        <f>ROUND(RAND()*4+6,1)</f>
      </c>
      <c r="I228" s="17" t="s">
        <v>19</v>
      </c>
      <c r="J228" s="19">
        <f>ROUND(90*1,0)&amp;"%"</f>
      </c>
    </row>
    <row x14ac:dyDescent="0.25" r="229" customHeight="1" ht="17.25">
      <c r="A229" s="20" t="s">
        <v>8883</v>
      </c>
      <c r="B229" s="20" t="s">
        <v>382</v>
      </c>
      <c r="C229" s="20" t="s">
        <v>114</v>
      </c>
      <c r="D229" s="20" t="s">
        <v>22</v>
      </c>
      <c r="E229" s="21">
        <f>ROUND(8897*1.05,2)</f>
      </c>
      <c r="F229" s="20" t="s">
        <v>51</v>
      </c>
      <c r="G229" s="20" t="s">
        <v>24</v>
      </c>
      <c r="H229" s="21">
        <f>ROUND(RAND()*4+6,1)</f>
      </c>
      <c r="I229" s="20" t="s">
        <v>25</v>
      </c>
      <c r="J229" s="23">
        <f>ROUND(85*1,0)&amp;"%"</f>
      </c>
    </row>
    <row x14ac:dyDescent="0.25" r="230" customHeight="1" ht="17.25">
      <c r="A230" s="24" t="s">
        <v>383</v>
      </c>
      <c r="B230" s="24"/>
      <c r="C230" s="24"/>
      <c r="D230" s="24"/>
      <c r="E230" s="25">
        <v>8</v>
      </c>
      <c r="F230" s="9"/>
      <c r="G230" s="9"/>
      <c r="H230" s="10"/>
      <c r="I230" s="9"/>
      <c r="J230" s="9"/>
    </row>
    <row x14ac:dyDescent="0.25" r="231" customHeight="1" ht="17.25">
      <c r="A231" s="7"/>
      <c r="B231" s="7"/>
      <c r="C231" s="7"/>
      <c r="D231" s="7"/>
      <c r="E231" s="8"/>
      <c r="F231" s="9"/>
      <c r="G231" s="9"/>
      <c r="H231" s="10"/>
      <c r="I231" s="9"/>
      <c r="J231" s="9"/>
    </row>
    <row x14ac:dyDescent="0.25" r="232" customHeight="1" ht="17.25">
      <c r="A232" s="11" t="s">
        <v>8884</v>
      </c>
      <c r="B232" s="11"/>
      <c r="C232" s="11"/>
      <c r="D232" s="11"/>
      <c r="E232" s="12"/>
      <c r="F232" s="11"/>
      <c r="G232" s="11"/>
      <c r="H232" s="13"/>
      <c r="I232" s="11"/>
      <c r="J232" s="11"/>
    </row>
    <row x14ac:dyDescent="0.25" r="233" customHeight="1" ht="17.25">
      <c r="A233" s="14" t="s">
        <v>3</v>
      </c>
      <c r="B233" s="14" t="s">
        <v>4</v>
      </c>
      <c r="C233" s="14" t="s">
        <v>5</v>
      </c>
      <c r="D233" s="14" t="s">
        <v>6</v>
      </c>
      <c r="E233" s="15" t="s">
        <v>7</v>
      </c>
      <c r="F233" s="14" t="s">
        <v>8</v>
      </c>
      <c r="G233" s="14" t="s">
        <v>9</v>
      </c>
      <c r="H233" s="16" t="s">
        <v>10</v>
      </c>
      <c r="I233" s="14" t="s">
        <v>11</v>
      </c>
      <c r="J233" s="14" t="s">
        <v>12</v>
      </c>
    </row>
    <row x14ac:dyDescent="0.25" r="234" customHeight="1" ht="17.25">
      <c r="A234" s="17" t="s">
        <v>8885</v>
      </c>
      <c r="B234" s="17" t="s">
        <v>386</v>
      </c>
      <c r="C234" s="17" t="s">
        <v>133</v>
      </c>
      <c r="D234" s="17" t="s">
        <v>16</v>
      </c>
      <c r="E234" s="18">
        <f>ROUND(8062*1.05,2)</f>
      </c>
      <c r="F234" s="17" t="s">
        <v>17</v>
      </c>
      <c r="G234" s="17" t="s">
        <v>18</v>
      </c>
      <c r="H234" s="18">
        <f>ROUND(RAND()*4+6,1)</f>
      </c>
      <c r="I234" s="17" t="s">
        <v>19</v>
      </c>
      <c r="J234" s="19">
        <f>ROUND(74*1,0)&amp;"%"</f>
      </c>
    </row>
    <row x14ac:dyDescent="0.25" r="235" customHeight="1" ht="17.25">
      <c r="A235" s="20" t="s">
        <v>8886</v>
      </c>
      <c r="B235" s="20" t="s">
        <v>388</v>
      </c>
      <c r="C235" s="20" t="s">
        <v>133</v>
      </c>
      <c r="D235" s="20" t="s">
        <v>22</v>
      </c>
      <c r="E235" s="22">
        <f>ROUND(12540*1.05,2)</f>
      </c>
      <c r="F235" s="20" t="s">
        <v>23</v>
      </c>
      <c r="G235" s="20" t="s">
        <v>24</v>
      </c>
      <c r="H235" s="22">
        <f>ROUND(RAND()*4+6,1)</f>
      </c>
      <c r="I235" s="20" t="s">
        <v>25</v>
      </c>
      <c r="J235" s="23">
        <f>ROUND(83*1,0)&amp;"%"</f>
      </c>
    </row>
    <row x14ac:dyDescent="0.25" r="236" customHeight="1" ht="17.25">
      <c r="A236" s="17" t="s">
        <v>8887</v>
      </c>
      <c r="B236" s="17" t="s">
        <v>390</v>
      </c>
      <c r="C236" s="17" t="s">
        <v>133</v>
      </c>
      <c r="D236" s="17" t="s">
        <v>28</v>
      </c>
      <c r="E236" s="18">
        <f>ROUND(9667*1.05,2)</f>
      </c>
      <c r="F236" s="17" t="s">
        <v>29</v>
      </c>
      <c r="G236" s="17" t="s">
        <v>30</v>
      </c>
      <c r="H236" s="18">
        <f>ROUND(RAND()*4+6,1)</f>
      </c>
      <c r="I236" s="17" t="s">
        <v>31</v>
      </c>
      <c r="J236" s="19">
        <f>ROUND(85*1,0)&amp;"%"</f>
      </c>
    </row>
    <row x14ac:dyDescent="0.25" r="237" customHeight="1" ht="17.25">
      <c r="A237" s="20" t="s">
        <v>8888</v>
      </c>
      <c r="B237" s="20" t="s">
        <v>392</v>
      </c>
      <c r="C237" s="20" t="s">
        <v>133</v>
      </c>
      <c r="D237" s="20" t="s">
        <v>34</v>
      </c>
      <c r="E237" s="21">
        <f>ROUND(6836*1.05,2)</f>
      </c>
      <c r="F237" s="20" t="s">
        <v>35</v>
      </c>
      <c r="G237" s="20" t="s">
        <v>18</v>
      </c>
      <c r="H237" s="21">
        <f>ROUND(RAND()*4+6,1)</f>
      </c>
      <c r="I237" s="20" t="s">
        <v>36</v>
      </c>
      <c r="J237" s="23">
        <f>ROUND(67*1,0)&amp;"%"</f>
      </c>
    </row>
    <row x14ac:dyDescent="0.25" r="238" customHeight="1" ht="17.25">
      <c r="A238" s="17" t="s">
        <v>8889</v>
      </c>
      <c r="B238" s="17" t="s">
        <v>394</v>
      </c>
      <c r="C238" s="17" t="s">
        <v>133</v>
      </c>
      <c r="D238" s="17" t="s">
        <v>39</v>
      </c>
      <c r="E238" s="18">
        <f>ROUND(15498*1.05,2)</f>
      </c>
      <c r="F238" s="17" t="s">
        <v>40</v>
      </c>
      <c r="G238" s="17" t="s">
        <v>24</v>
      </c>
      <c r="H238" s="18">
        <f>ROUND(RAND()*4+6,1)</f>
      </c>
      <c r="I238" s="17" t="s">
        <v>41</v>
      </c>
      <c r="J238" s="19">
        <f>ROUND(76*1,0)&amp;"%"</f>
      </c>
    </row>
    <row x14ac:dyDescent="0.25" r="239" customHeight="1" ht="17.25">
      <c r="A239" s="20" t="s">
        <v>8890</v>
      </c>
      <c r="B239" s="20" t="s">
        <v>396</v>
      </c>
      <c r="C239" s="20" t="s">
        <v>133</v>
      </c>
      <c r="D239" s="20" t="s">
        <v>67</v>
      </c>
      <c r="E239" s="21">
        <f>ROUND(13717*1.05,2)</f>
      </c>
      <c r="F239" s="20" t="s">
        <v>44</v>
      </c>
      <c r="G239" s="20" t="s">
        <v>30</v>
      </c>
      <c r="H239" s="21">
        <f>ROUND(RAND()*4+6,1)</f>
      </c>
      <c r="I239" s="20" t="s">
        <v>45</v>
      </c>
      <c r="J239" s="23">
        <f>ROUND(75*1,0)&amp;"%"</f>
      </c>
    </row>
    <row x14ac:dyDescent="0.25" r="240" customHeight="1" ht="17.25">
      <c r="A240" s="17" t="s">
        <v>8891</v>
      </c>
      <c r="B240" s="17" t="s">
        <v>398</v>
      </c>
      <c r="C240" s="17" t="s">
        <v>133</v>
      </c>
      <c r="D240" s="17" t="s">
        <v>16</v>
      </c>
      <c r="E240" s="18">
        <f>ROUND(7304*1.05,2)</f>
      </c>
      <c r="F240" s="17" t="s">
        <v>48</v>
      </c>
      <c r="G240" s="17" t="s">
        <v>18</v>
      </c>
      <c r="H240" s="18">
        <f>ROUND(RAND()*4+6,1)</f>
      </c>
      <c r="I240" s="17" t="s">
        <v>19</v>
      </c>
      <c r="J240" s="19">
        <f>ROUND(89*1,0)&amp;"%"</f>
      </c>
    </row>
    <row x14ac:dyDescent="0.25" r="241" customHeight="1" ht="17.25">
      <c r="A241" s="20" t="s">
        <v>8892</v>
      </c>
      <c r="B241" s="20" t="s">
        <v>400</v>
      </c>
      <c r="C241" s="20" t="s">
        <v>133</v>
      </c>
      <c r="D241" s="20" t="s">
        <v>22</v>
      </c>
      <c r="E241" s="21">
        <f>ROUND(11924*1.05,2)</f>
      </c>
      <c r="F241" s="20" t="s">
        <v>51</v>
      </c>
      <c r="G241" s="20" t="s">
        <v>24</v>
      </c>
      <c r="H241" s="21">
        <f>ROUND(RAND()*4+6,1)</f>
      </c>
      <c r="I241" s="20" t="s">
        <v>25</v>
      </c>
      <c r="J241" s="23">
        <f>ROUND(80*1,0)&amp;"%"</f>
      </c>
    </row>
    <row x14ac:dyDescent="0.25" r="242" customHeight="1" ht="17.25">
      <c r="A242" s="24" t="s">
        <v>401</v>
      </c>
      <c r="B242" s="24"/>
      <c r="C242" s="24"/>
      <c r="D242" s="24"/>
      <c r="E242" s="25">
        <v>8</v>
      </c>
      <c r="F242" s="9"/>
      <c r="G242" s="9"/>
      <c r="H242" s="10"/>
      <c r="I242" s="9"/>
      <c r="J242" s="9"/>
    </row>
    <row x14ac:dyDescent="0.25" r="243" customHeight="1" ht="17.25">
      <c r="A243" s="7"/>
      <c r="B243" s="7"/>
      <c r="C243" s="7"/>
      <c r="D243" s="7"/>
      <c r="E243" s="8"/>
      <c r="F243" s="9"/>
      <c r="G243" s="9"/>
      <c r="H243" s="10"/>
      <c r="I243" s="9"/>
      <c r="J243" s="9"/>
    </row>
    <row x14ac:dyDescent="0.25" r="244" customHeight="1" ht="17.25">
      <c r="A244" s="11" t="s">
        <v>8893</v>
      </c>
      <c r="B244" s="11"/>
      <c r="C244" s="11"/>
      <c r="D244" s="11"/>
      <c r="E244" s="12"/>
      <c r="F244" s="11"/>
      <c r="G244" s="11"/>
      <c r="H244" s="13"/>
      <c r="I244" s="11"/>
      <c r="J244" s="11"/>
    </row>
    <row x14ac:dyDescent="0.25" r="245" customHeight="1" ht="17.25">
      <c r="A245" s="14" t="s">
        <v>3</v>
      </c>
      <c r="B245" s="14" t="s">
        <v>4</v>
      </c>
      <c r="C245" s="14" t="s">
        <v>5</v>
      </c>
      <c r="D245" s="14" t="s">
        <v>6</v>
      </c>
      <c r="E245" s="15" t="s">
        <v>7</v>
      </c>
      <c r="F245" s="14" t="s">
        <v>8</v>
      </c>
      <c r="G245" s="14" t="s">
        <v>9</v>
      </c>
      <c r="H245" s="16" t="s">
        <v>10</v>
      </c>
      <c r="I245" s="14" t="s">
        <v>11</v>
      </c>
      <c r="J245" s="14" t="s">
        <v>12</v>
      </c>
    </row>
    <row x14ac:dyDescent="0.25" r="246" customHeight="1" ht="17.25">
      <c r="A246" s="17" t="s">
        <v>8894</v>
      </c>
      <c r="B246" s="17" t="s">
        <v>404</v>
      </c>
      <c r="C246" s="17" t="s">
        <v>152</v>
      </c>
      <c r="D246" s="17" t="s">
        <v>16</v>
      </c>
      <c r="E246" s="18">
        <f>ROUND(17584*1.05,2)</f>
      </c>
      <c r="F246" s="17" t="s">
        <v>17</v>
      </c>
      <c r="G246" s="17" t="s">
        <v>18</v>
      </c>
      <c r="H246" s="18">
        <f>ROUND(RAND()*4+6,1)</f>
      </c>
      <c r="I246" s="17" t="s">
        <v>19</v>
      </c>
      <c r="J246" s="19">
        <f>ROUND(81*1,0)&amp;"%"</f>
      </c>
    </row>
    <row x14ac:dyDescent="0.25" r="247" customHeight="1" ht="17.25">
      <c r="A247" s="20" t="s">
        <v>8895</v>
      </c>
      <c r="B247" s="20" t="s">
        <v>406</v>
      </c>
      <c r="C247" s="20" t="s">
        <v>152</v>
      </c>
      <c r="D247" s="20" t="s">
        <v>22</v>
      </c>
      <c r="E247" s="21">
        <f>ROUND(17169*1.05,2)</f>
      </c>
      <c r="F247" s="20" t="s">
        <v>23</v>
      </c>
      <c r="G247" s="20" t="s">
        <v>24</v>
      </c>
      <c r="H247" s="21">
        <f>ROUND(RAND()*4+6,1)</f>
      </c>
      <c r="I247" s="20" t="s">
        <v>25</v>
      </c>
      <c r="J247" s="23">
        <f>ROUND(96*1,0)&amp;"%"</f>
      </c>
    </row>
    <row x14ac:dyDescent="0.25" r="248" customHeight="1" ht="17.25">
      <c r="A248" s="17" t="s">
        <v>8896</v>
      </c>
      <c r="B248" s="17" t="s">
        <v>408</v>
      </c>
      <c r="C248" s="17" t="s">
        <v>152</v>
      </c>
      <c r="D248" s="17" t="s">
        <v>28</v>
      </c>
      <c r="E248" s="18">
        <f>ROUND(9695*1.05,2)</f>
      </c>
      <c r="F248" s="17" t="s">
        <v>29</v>
      </c>
      <c r="G248" s="17" t="s">
        <v>30</v>
      </c>
      <c r="H248" s="26">
        <f>ROUND(RAND()*4+6,1)</f>
      </c>
      <c r="I248" s="17" t="s">
        <v>31</v>
      </c>
      <c r="J248" s="19">
        <f>ROUND(63*1,0)&amp;"%"</f>
      </c>
    </row>
    <row x14ac:dyDescent="0.25" r="249" customHeight="1" ht="17.25">
      <c r="A249" s="20" t="s">
        <v>8897</v>
      </c>
      <c r="B249" s="20" t="s">
        <v>410</v>
      </c>
      <c r="C249" s="20" t="s">
        <v>152</v>
      </c>
      <c r="D249" s="20" t="s">
        <v>34</v>
      </c>
      <c r="E249" s="21">
        <f>ROUND(10639*1.05,2)</f>
      </c>
      <c r="F249" s="20" t="s">
        <v>35</v>
      </c>
      <c r="G249" s="20" t="s">
        <v>18</v>
      </c>
      <c r="H249" s="21">
        <f>ROUND(RAND()*4+6,1)</f>
      </c>
      <c r="I249" s="20" t="s">
        <v>36</v>
      </c>
      <c r="J249" s="23">
        <f>ROUND(100*1,0)&amp;"%"</f>
      </c>
    </row>
    <row x14ac:dyDescent="0.25" r="250" customHeight="1" ht="17.25">
      <c r="A250" s="17" t="s">
        <v>8898</v>
      </c>
      <c r="B250" s="17" t="s">
        <v>412</v>
      </c>
      <c r="C250" s="17" t="s">
        <v>152</v>
      </c>
      <c r="D250" s="17" t="s">
        <v>39</v>
      </c>
      <c r="E250" s="18">
        <f>ROUND(11087*1.05,2)</f>
      </c>
      <c r="F250" s="17" t="s">
        <v>40</v>
      </c>
      <c r="G250" s="17" t="s">
        <v>24</v>
      </c>
      <c r="H250" s="18">
        <f>ROUND(RAND()*4+6,1)</f>
      </c>
      <c r="I250" s="17" t="s">
        <v>41</v>
      </c>
      <c r="J250" s="19">
        <f>ROUND(87*1,0)&amp;"%"</f>
      </c>
    </row>
    <row x14ac:dyDescent="0.25" r="251" customHeight="1" ht="17.25">
      <c r="A251" s="20" t="s">
        <v>8899</v>
      </c>
      <c r="B251" s="20" t="s">
        <v>414</v>
      </c>
      <c r="C251" s="20" t="s">
        <v>152</v>
      </c>
      <c r="D251" s="20" t="s">
        <v>67</v>
      </c>
      <c r="E251" s="21">
        <f>ROUND(13085*1.05,2)</f>
      </c>
      <c r="F251" s="20" t="s">
        <v>44</v>
      </c>
      <c r="G251" s="20" t="s">
        <v>30</v>
      </c>
      <c r="H251" s="21">
        <f>ROUND(RAND()*4+6,1)</f>
      </c>
      <c r="I251" s="20" t="s">
        <v>45</v>
      </c>
      <c r="J251" s="23">
        <f>ROUND(69*1,0)&amp;"%"</f>
      </c>
    </row>
    <row x14ac:dyDescent="0.25" r="252" customHeight="1" ht="17.25">
      <c r="A252" s="17" t="s">
        <v>8900</v>
      </c>
      <c r="B252" s="17" t="s">
        <v>416</v>
      </c>
      <c r="C252" s="17" t="s">
        <v>152</v>
      </c>
      <c r="D252" s="17" t="s">
        <v>16</v>
      </c>
      <c r="E252" s="18">
        <f>ROUND(5769*1.05,2)</f>
      </c>
      <c r="F252" s="17" t="s">
        <v>48</v>
      </c>
      <c r="G252" s="17" t="s">
        <v>18</v>
      </c>
      <c r="H252" s="18">
        <f>ROUND(RAND()*4+6,1)</f>
      </c>
      <c r="I252" s="17" t="s">
        <v>19</v>
      </c>
      <c r="J252" s="19">
        <f>ROUND(80*1,0)&amp;"%"</f>
      </c>
    </row>
    <row x14ac:dyDescent="0.25" r="253" customHeight="1" ht="17.25">
      <c r="A253" s="20" t="s">
        <v>8901</v>
      </c>
      <c r="B253" s="20" t="s">
        <v>418</v>
      </c>
      <c r="C253" s="20" t="s">
        <v>152</v>
      </c>
      <c r="D253" s="20" t="s">
        <v>22</v>
      </c>
      <c r="E253" s="21">
        <f>ROUND(11948*1.05,2)</f>
      </c>
      <c r="F253" s="20" t="s">
        <v>51</v>
      </c>
      <c r="G253" s="20" t="s">
        <v>24</v>
      </c>
      <c r="H253" s="22">
        <f>ROUND(RAND()*4+6,1)</f>
      </c>
      <c r="I253" s="20" t="s">
        <v>25</v>
      </c>
      <c r="J253" s="23">
        <f>ROUND(85*1,0)&amp;"%"</f>
      </c>
    </row>
    <row x14ac:dyDescent="0.25" r="254" customHeight="1" ht="17.25">
      <c r="A254" s="24" t="s">
        <v>419</v>
      </c>
      <c r="B254" s="24"/>
      <c r="C254" s="24"/>
      <c r="D254" s="24"/>
      <c r="E254" s="25">
        <v>8</v>
      </c>
      <c r="F254" s="9"/>
      <c r="G254" s="9"/>
      <c r="H254" s="10"/>
      <c r="I254" s="9"/>
      <c r="J254" s="9"/>
    </row>
    <row x14ac:dyDescent="0.25" r="255" customHeight="1" ht="17.25">
      <c r="A255" s="7"/>
      <c r="B255" s="7"/>
      <c r="C255" s="7"/>
      <c r="D255" s="7"/>
      <c r="E255" s="8"/>
      <c r="F255" s="9"/>
      <c r="G255" s="9"/>
      <c r="H255" s="10"/>
      <c r="I255" s="9"/>
      <c r="J255" s="9"/>
    </row>
    <row x14ac:dyDescent="0.25" r="256" customHeight="1" ht="17.25">
      <c r="A256" s="11" t="s">
        <v>8902</v>
      </c>
      <c r="B256" s="11"/>
      <c r="C256" s="11"/>
      <c r="D256" s="11"/>
      <c r="E256" s="12"/>
      <c r="F256" s="11"/>
      <c r="G256" s="11"/>
      <c r="H256" s="13"/>
      <c r="I256" s="11"/>
      <c r="J256" s="11"/>
    </row>
    <row x14ac:dyDescent="0.25" r="257" customHeight="1" ht="17.25">
      <c r="A257" s="14" t="s">
        <v>3</v>
      </c>
      <c r="B257" s="14" t="s">
        <v>4</v>
      </c>
      <c r="C257" s="14" t="s">
        <v>5</v>
      </c>
      <c r="D257" s="14" t="s">
        <v>6</v>
      </c>
      <c r="E257" s="15" t="s">
        <v>7</v>
      </c>
      <c r="F257" s="14" t="s">
        <v>8</v>
      </c>
      <c r="G257" s="14" t="s">
        <v>9</v>
      </c>
      <c r="H257" s="16" t="s">
        <v>10</v>
      </c>
      <c r="I257" s="14" t="s">
        <v>11</v>
      </c>
      <c r="J257" s="14" t="s">
        <v>12</v>
      </c>
    </row>
    <row x14ac:dyDescent="0.25" r="258" customHeight="1" ht="17.25">
      <c r="A258" s="17" t="s">
        <v>8903</v>
      </c>
      <c r="B258" s="17" t="s">
        <v>422</v>
      </c>
      <c r="C258" s="17" t="s">
        <v>15</v>
      </c>
      <c r="D258" s="17" t="s">
        <v>16</v>
      </c>
      <c r="E258" s="18">
        <f>ROUND(7116*1.05,2)</f>
      </c>
      <c r="F258" s="17" t="s">
        <v>17</v>
      </c>
      <c r="G258" s="17" t="s">
        <v>18</v>
      </c>
      <c r="H258" s="18">
        <f>ROUND(RAND()*4+6,1)</f>
      </c>
      <c r="I258" s="17" t="s">
        <v>19</v>
      </c>
      <c r="J258" s="19">
        <f>ROUND(78*1,0)&amp;"%"</f>
      </c>
    </row>
    <row x14ac:dyDescent="0.25" r="259" customHeight="1" ht="17.25">
      <c r="A259" s="20" t="s">
        <v>8904</v>
      </c>
      <c r="B259" s="20" t="s">
        <v>424</v>
      </c>
      <c r="C259" s="20" t="s">
        <v>15</v>
      </c>
      <c r="D259" s="20" t="s">
        <v>22</v>
      </c>
      <c r="E259" s="21">
        <f>ROUND(14288*1.05,2)</f>
      </c>
      <c r="F259" s="20" t="s">
        <v>23</v>
      </c>
      <c r="G259" s="20" t="s">
        <v>24</v>
      </c>
      <c r="H259" s="21">
        <f>ROUND(RAND()*4+6,1)</f>
      </c>
      <c r="I259" s="20" t="s">
        <v>25</v>
      </c>
      <c r="J259" s="23">
        <f>ROUND(65*1,0)&amp;"%"</f>
      </c>
    </row>
    <row x14ac:dyDescent="0.25" r="260" customHeight="1" ht="17.25">
      <c r="A260" s="17" t="s">
        <v>8905</v>
      </c>
      <c r="B260" s="17" t="s">
        <v>426</v>
      </c>
      <c r="C260" s="17" t="s">
        <v>15</v>
      </c>
      <c r="D260" s="17" t="s">
        <v>28</v>
      </c>
      <c r="E260" s="18">
        <f>ROUND(6667*1.05,2)</f>
      </c>
      <c r="F260" s="17" t="s">
        <v>29</v>
      </c>
      <c r="G260" s="17" t="s">
        <v>30</v>
      </c>
      <c r="H260" s="18">
        <f>ROUND(RAND()*4+6,1)</f>
      </c>
      <c r="I260" s="17" t="s">
        <v>31</v>
      </c>
      <c r="J260" s="19">
        <f>ROUND(70*1,0)&amp;"%"</f>
      </c>
    </row>
    <row x14ac:dyDescent="0.25" r="261" customHeight="1" ht="17.25">
      <c r="A261" s="20" t="s">
        <v>8906</v>
      </c>
      <c r="B261" s="20" t="s">
        <v>428</v>
      </c>
      <c r="C261" s="20" t="s">
        <v>15</v>
      </c>
      <c r="D261" s="20" t="s">
        <v>34</v>
      </c>
      <c r="E261" s="21">
        <f>ROUND(8908*1.05,2)</f>
      </c>
      <c r="F261" s="20" t="s">
        <v>35</v>
      </c>
      <c r="G261" s="20" t="s">
        <v>18</v>
      </c>
      <c r="H261" s="21">
        <f>ROUND(RAND()*4+6,1)</f>
      </c>
      <c r="I261" s="20" t="s">
        <v>36</v>
      </c>
      <c r="J261" s="23">
        <f>ROUND(64*1,0)&amp;"%"</f>
      </c>
    </row>
    <row x14ac:dyDescent="0.25" r="262" customHeight="1" ht="17.25">
      <c r="A262" s="17" t="s">
        <v>8907</v>
      </c>
      <c r="B262" s="17" t="s">
        <v>430</v>
      </c>
      <c r="C262" s="17" t="s">
        <v>15</v>
      </c>
      <c r="D262" s="17" t="s">
        <v>39</v>
      </c>
      <c r="E262" s="18">
        <f>ROUND(5297*1.05,2)</f>
      </c>
      <c r="F262" s="17" t="s">
        <v>40</v>
      </c>
      <c r="G262" s="17" t="s">
        <v>24</v>
      </c>
      <c r="H262" s="18">
        <f>ROUND(RAND()*4+6,1)</f>
      </c>
      <c r="I262" s="17" t="s">
        <v>41</v>
      </c>
      <c r="J262" s="19">
        <f>ROUND(94*1,0)&amp;"%"</f>
      </c>
    </row>
    <row x14ac:dyDescent="0.25" r="263" customHeight="1" ht="17.25">
      <c r="A263" s="20" t="s">
        <v>8908</v>
      </c>
      <c r="B263" s="20" t="s">
        <v>432</v>
      </c>
      <c r="C263" s="20" t="s">
        <v>15</v>
      </c>
      <c r="D263" s="20" t="s">
        <v>67</v>
      </c>
      <c r="E263" s="21">
        <f>ROUND(12824*1.05,2)</f>
      </c>
      <c r="F263" s="20" t="s">
        <v>44</v>
      </c>
      <c r="G263" s="20" t="s">
        <v>30</v>
      </c>
      <c r="H263" s="22">
        <f>ROUND(RAND()*4+6,1)</f>
      </c>
      <c r="I263" s="20" t="s">
        <v>45</v>
      </c>
      <c r="J263" s="23">
        <f>ROUND(67*1,0)&amp;"%"</f>
      </c>
    </row>
    <row x14ac:dyDescent="0.25" r="264" customHeight="1" ht="17.25">
      <c r="A264" s="17" t="s">
        <v>8909</v>
      </c>
      <c r="B264" s="17" t="s">
        <v>434</v>
      </c>
      <c r="C264" s="17" t="s">
        <v>15</v>
      </c>
      <c r="D264" s="17" t="s">
        <v>16</v>
      </c>
      <c r="E264" s="18">
        <f>ROUND(15629*1.05,2)</f>
      </c>
      <c r="F264" s="17" t="s">
        <v>48</v>
      </c>
      <c r="G264" s="17" t="s">
        <v>18</v>
      </c>
      <c r="H264" s="18">
        <f>ROUND(RAND()*4+6,1)</f>
      </c>
      <c r="I264" s="17" t="s">
        <v>19</v>
      </c>
      <c r="J264" s="19">
        <f>ROUND(70*1,0)&amp;"%"</f>
      </c>
    </row>
    <row x14ac:dyDescent="0.25" r="265" customHeight="1" ht="17.25">
      <c r="A265" s="20" t="s">
        <v>8910</v>
      </c>
      <c r="B265" s="20" t="s">
        <v>436</v>
      </c>
      <c r="C265" s="20" t="s">
        <v>15</v>
      </c>
      <c r="D265" s="20" t="s">
        <v>22</v>
      </c>
      <c r="E265" s="21">
        <f>ROUND(12597*1.05,2)</f>
      </c>
      <c r="F265" s="20" t="s">
        <v>51</v>
      </c>
      <c r="G265" s="20" t="s">
        <v>24</v>
      </c>
      <c r="H265" s="21">
        <f>ROUND(RAND()*4+6,1)</f>
      </c>
      <c r="I265" s="20" t="s">
        <v>25</v>
      </c>
      <c r="J265" s="23">
        <f>ROUND(78*1,0)&amp;"%"</f>
      </c>
    </row>
    <row x14ac:dyDescent="0.25" r="266" customHeight="1" ht="17.25">
      <c r="A266" s="24" t="s">
        <v>437</v>
      </c>
      <c r="B266" s="24"/>
      <c r="C266" s="24"/>
      <c r="D266" s="24"/>
      <c r="E266" s="25">
        <v>8</v>
      </c>
      <c r="F266" s="9"/>
      <c r="G266" s="9"/>
      <c r="H266" s="10"/>
      <c r="I266" s="9"/>
      <c r="J266" s="9"/>
    </row>
    <row x14ac:dyDescent="0.25" r="267" customHeight="1" ht="17.25">
      <c r="A267" s="7"/>
      <c r="B267" s="7"/>
      <c r="C267" s="7"/>
      <c r="D267" s="7"/>
      <c r="E267" s="8"/>
      <c r="F267" s="9"/>
      <c r="G267" s="9"/>
      <c r="H267" s="10"/>
      <c r="I267" s="9"/>
      <c r="J267" s="9"/>
    </row>
    <row x14ac:dyDescent="0.25" r="268" customHeight="1" ht="17.25">
      <c r="A268" s="11" t="s">
        <v>8911</v>
      </c>
      <c r="B268" s="11"/>
      <c r="C268" s="11"/>
      <c r="D268" s="11"/>
      <c r="E268" s="12"/>
      <c r="F268" s="11"/>
      <c r="G268" s="11"/>
      <c r="H268" s="13"/>
      <c r="I268" s="11"/>
      <c r="J268" s="11"/>
    </row>
    <row x14ac:dyDescent="0.25" r="269" customHeight="1" ht="17.25">
      <c r="A269" s="14" t="s">
        <v>3</v>
      </c>
      <c r="B269" s="14" t="s">
        <v>4</v>
      </c>
      <c r="C269" s="14" t="s">
        <v>5</v>
      </c>
      <c r="D269" s="14" t="s">
        <v>6</v>
      </c>
      <c r="E269" s="15" t="s">
        <v>7</v>
      </c>
      <c r="F269" s="14" t="s">
        <v>8</v>
      </c>
      <c r="G269" s="14" t="s">
        <v>9</v>
      </c>
      <c r="H269" s="16" t="s">
        <v>10</v>
      </c>
      <c r="I269" s="14" t="s">
        <v>11</v>
      </c>
      <c r="J269" s="14" t="s">
        <v>12</v>
      </c>
    </row>
    <row x14ac:dyDescent="0.25" r="270" customHeight="1" ht="17.25">
      <c r="A270" s="17" t="s">
        <v>8912</v>
      </c>
      <c r="B270" s="17" t="s">
        <v>440</v>
      </c>
      <c r="C270" s="17" t="s">
        <v>56</v>
      </c>
      <c r="D270" s="17" t="s">
        <v>16</v>
      </c>
      <c r="E270" s="18">
        <f>ROUND(14607*1.05,2)</f>
      </c>
      <c r="F270" s="17" t="s">
        <v>17</v>
      </c>
      <c r="G270" s="17" t="s">
        <v>18</v>
      </c>
      <c r="H270" s="18">
        <f>ROUND(RAND()*4+6,1)</f>
      </c>
      <c r="I270" s="17" t="s">
        <v>19</v>
      </c>
      <c r="J270" s="19">
        <f>ROUND(91*1,0)&amp;"%"</f>
      </c>
    </row>
    <row x14ac:dyDescent="0.25" r="271" customHeight="1" ht="17.25">
      <c r="A271" s="20" t="s">
        <v>8913</v>
      </c>
      <c r="B271" s="20" t="s">
        <v>442</v>
      </c>
      <c r="C271" s="20" t="s">
        <v>56</v>
      </c>
      <c r="D271" s="20" t="s">
        <v>22</v>
      </c>
      <c r="E271" s="21">
        <f>ROUND(8839*1.05,2)</f>
      </c>
      <c r="F271" s="20" t="s">
        <v>23</v>
      </c>
      <c r="G271" s="20" t="s">
        <v>24</v>
      </c>
      <c r="H271" s="21">
        <f>ROUND(RAND()*4+6,1)</f>
      </c>
      <c r="I271" s="20" t="s">
        <v>25</v>
      </c>
      <c r="J271" s="23">
        <f>ROUND(67*1,0)&amp;"%"</f>
      </c>
    </row>
    <row x14ac:dyDescent="0.25" r="272" customHeight="1" ht="17.25">
      <c r="A272" s="17" t="s">
        <v>8914</v>
      </c>
      <c r="B272" s="17" t="s">
        <v>444</v>
      </c>
      <c r="C272" s="17" t="s">
        <v>56</v>
      </c>
      <c r="D272" s="17" t="s">
        <v>28</v>
      </c>
      <c r="E272" s="18">
        <f>ROUND(5281*1.05,2)</f>
      </c>
      <c r="F272" s="17" t="s">
        <v>29</v>
      </c>
      <c r="G272" s="17" t="s">
        <v>30</v>
      </c>
      <c r="H272" s="18">
        <f>ROUND(RAND()*4+6,1)</f>
      </c>
      <c r="I272" s="17" t="s">
        <v>31</v>
      </c>
      <c r="J272" s="19">
        <f>ROUND(83*1,0)&amp;"%"</f>
      </c>
    </row>
    <row x14ac:dyDescent="0.25" r="273" customHeight="1" ht="17.25">
      <c r="A273" s="20" t="s">
        <v>8915</v>
      </c>
      <c r="B273" s="20" t="s">
        <v>446</v>
      </c>
      <c r="C273" s="20" t="s">
        <v>56</v>
      </c>
      <c r="D273" s="20" t="s">
        <v>34</v>
      </c>
      <c r="E273" s="21">
        <f>ROUND(12687*1.05,2)</f>
      </c>
      <c r="F273" s="20" t="s">
        <v>35</v>
      </c>
      <c r="G273" s="20" t="s">
        <v>18</v>
      </c>
      <c r="H273" s="21">
        <f>ROUND(RAND()*4+6,1)</f>
      </c>
      <c r="I273" s="20" t="s">
        <v>36</v>
      </c>
      <c r="J273" s="23">
        <f>ROUND(93*1,0)&amp;"%"</f>
      </c>
    </row>
    <row x14ac:dyDescent="0.25" r="274" customHeight="1" ht="17.25">
      <c r="A274" s="17" t="s">
        <v>8916</v>
      </c>
      <c r="B274" s="17" t="s">
        <v>448</v>
      </c>
      <c r="C274" s="17" t="s">
        <v>56</v>
      </c>
      <c r="D274" s="17" t="s">
        <v>39</v>
      </c>
      <c r="E274" s="18">
        <f>ROUND(4471*1.05,2)</f>
      </c>
      <c r="F274" s="17" t="s">
        <v>40</v>
      </c>
      <c r="G274" s="17" t="s">
        <v>24</v>
      </c>
      <c r="H274" s="18">
        <f>ROUND(RAND()*4+6,1)</f>
      </c>
      <c r="I274" s="17" t="s">
        <v>41</v>
      </c>
      <c r="J274" s="19">
        <f>ROUND(75*1,0)&amp;"%"</f>
      </c>
    </row>
    <row x14ac:dyDescent="0.25" r="275" customHeight="1" ht="17.25">
      <c r="A275" s="20" t="s">
        <v>8917</v>
      </c>
      <c r="B275" s="20" t="s">
        <v>450</v>
      </c>
      <c r="C275" s="20" t="s">
        <v>56</v>
      </c>
      <c r="D275" s="20" t="s">
        <v>67</v>
      </c>
      <c r="E275" s="21">
        <f>ROUND(6449*1.05,2)</f>
      </c>
      <c r="F275" s="20" t="s">
        <v>44</v>
      </c>
      <c r="G275" s="20" t="s">
        <v>30</v>
      </c>
      <c r="H275" s="21">
        <f>ROUND(RAND()*4+6,1)</f>
      </c>
      <c r="I275" s="20" t="s">
        <v>45</v>
      </c>
      <c r="J275" s="23">
        <f>ROUND(78*1,0)&amp;"%"</f>
      </c>
    </row>
    <row x14ac:dyDescent="0.25" r="276" customHeight="1" ht="17.25">
      <c r="A276" s="17" t="s">
        <v>8918</v>
      </c>
      <c r="B276" s="17" t="s">
        <v>452</v>
      </c>
      <c r="C276" s="17" t="s">
        <v>56</v>
      </c>
      <c r="D276" s="17" t="s">
        <v>16</v>
      </c>
      <c r="E276" s="18">
        <f>ROUND(15523*1.05,2)</f>
      </c>
      <c r="F276" s="17" t="s">
        <v>48</v>
      </c>
      <c r="G276" s="17" t="s">
        <v>18</v>
      </c>
      <c r="H276" s="18">
        <f>ROUND(RAND()*4+6,1)</f>
      </c>
      <c r="I276" s="17" t="s">
        <v>19</v>
      </c>
      <c r="J276" s="19">
        <f>ROUND(64*1,0)&amp;"%"</f>
      </c>
    </row>
    <row x14ac:dyDescent="0.25" r="277" customHeight="1" ht="17.25">
      <c r="A277" s="20" t="s">
        <v>8919</v>
      </c>
      <c r="B277" s="20" t="s">
        <v>454</v>
      </c>
      <c r="C277" s="20" t="s">
        <v>56</v>
      </c>
      <c r="D277" s="20" t="s">
        <v>22</v>
      </c>
      <c r="E277" s="21">
        <f>ROUND(15953*1.05,2)</f>
      </c>
      <c r="F277" s="20" t="s">
        <v>51</v>
      </c>
      <c r="G277" s="20" t="s">
        <v>24</v>
      </c>
      <c r="H277" s="21">
        <f>ROUND(RAND()*4+6,1)</f>
      </c>
      <c r="I277" s="20" t="s">
        <v>25</v>
      </c>
      <c r="J277" s="23">
        <f>ROUND(86*1,0)&amp;"%"</f>
      </c>
    </row>
    <row x14ac:dyDescent="0.25" r="278" customHeight="1" ht="17.25">
      <c r="A278" s="24" t="s">
        <v>455</v>
      </c>
      <c r="B278" s="24"/>
      <c r="C278" s="24"/>
      <c r="D278" s="24"/>
      <c r="E278" s="25">
        <v>8</v>
      </c>
      <c r="F278" s="9"/>
      <c r="G278" s="9"/>
      <c r="H278" s="10"/>
      <c r="I278" s="9"/>
      <c r="J278" s="9"/>
    </row>
    <row x14ac:dyDescent="0.25" r="279" customHeight="1" ht="17.25">
      <c r="A279" s="7"/>
      <c r="B279" s="7"/>
      <c r="C279" s="7"/>
      <c r="D279" s="7"/>
      <c r="E279" s="8"/>
      <c r="F279" s="9"/>
      <c r="G279" s="9"/>
      <c r="H279" s="10"/>
      <c r="I279" s="9"/>
      <c r="J279" s="9"/>
    </row>
    <row x14ac:dyDescent="0.25" r="280" customHeight="1" ht="17.25">
      <c r="A280" s="11" t="s">
        <v>8920</v>
      </c>
      <c r="B280" s="11"/>
      <c r="C280" s="11"/>
      <c r="D280" s="11"/>
      <c r="E280" s="12"/>
      <c r="F280" s="11"/>
      <c r="G280" s="11"/>
      <c r="H280" s="13"/>
      <c r="I280" s="11"/>
      <c r="J280" s="11"/>
    </row>
    <row x14ac:dyDescent="0.25" r="281" customHeight="1" ht="17.25">
      <c r="A281" s="14" t="s">
        <v>3</v>
      </c>
      <c r="B281" s="14" t="s">
        <v>4</v>
      </c>
      <c r="C281" s="14" t="s">
        <v>5</v>
      </c>
      <c r="D281" s="14" t="s">
        <v>6</v>
      </c>
      <c r="E281" s="15" t="s">
        <v>7</v>
      </c>
      <c r="F281" s="14" t="s">
        <v>8</v>
      </c>
      <c r="G281" s="14" t="s">
        <v>9</v>
      </c>
      <c r="H281" s="16" t="s">
        <v>10</v>
      </c>
      <c r="I281" s="14" t="s">
        <v>11</v>
      </c>
      <c r="J281" s="14" t="s">
        <v>12</v>
      </c>
    </row>
    <row x14ac:dyDescent="0.25" r="282" customHeight="1" ht="17.25">
      <c r="A282" s="17" t="s">
        <v>8921</v>
      </c>
      <c r="B282" s="17" t="s">
        <v>458</v>
      </c>
      <c r="C282" s="17" t="s">
        <v>76</v>
      </c>
      <c r="D282" s="17" t="s">
        <v>16</v>
      </c>
      <c r="E282" s="18">
        <f>ROUND(17961*1.05,2)</f>
      </c>
      <c r="F282" s="17" t="s">
        <v>17</v>
      </c>
      <c r="G282" s="17" t="s">
        <v>18</v>
      </c>
      <c r="H282" s="18">
        <f>ROUND(RAND()*4+6,1)</f>
      </c>
      <c r="I282" s="17" t="s">
        <v>19</v>
      </c>
      <c r="J282" s="19">
        <f>ROUND(61*1,0)&amp;"%"</f>
      </c>
    </row>
    <row x14ac:dyDescent="0.25" r="283" customHeight="1" ht="17.25">
      <c r="A283" s="20" t="s">
        <v>8922</v>
      </c>
      <c r="B283" s="20" t="s">
        <v>460</v>
      </c>
      <c r="C283" s="20" t="s">
        <v>76</v>
      </c>
      <c r="D283" s="20" t="s">
        <v>22</v>
      </c>
      <c r="E283" s="21">
        <f>ROUND(12599*1.05,2)</f>
      </c>
      <c r="F283" s="20" t="s">
        <v>23</v>
      </c>
      <c r="G283" s="20" t="s">
        <v>24</v>
      </c>
      <c r="H283" s="21">
        <f>ROUND(RAND()*4+6,1)</f>
      </c>
      <c r="I283" s="20" t="s">
        <v>25</v>
      </c>
      <c r="J283" s="23">
        <f>ROUND(67*1,0)&amp;"%"</f>
      </c>
    </row>
    <row x14ac:dyDescent="0.25" r="284" customHeight="1" ht="17.25">
      <c r="A284" s="17" t="s">
        <v>8923</v>
      </c>
      <c r="B284" s="17" t="s">
        <v>462</v>
      </c>
      <c r="C284" s="17" t="s">
        <v>76</v>
      </c>
      <c r="D284" s="17" t="s">
        <v>28</v>
      </c>
      <c r="E284" s="18">
        <f>ROUND(4134*1.05,2)</f>
      </c>
      <c r="F284" s="17" t="s">
        <v>29</v>
      </c>
      <c r="G284" s="17" t="s">
        <v>30</v>
      </c>
      <c r="H284" s="18">
        <f>ROUND(RAND()*4+6,1)</f>
      </c>
      <c r="I284" s="17" t="s">
        <v>31</v>
      </c>
      <c r="J284" s="19">
        <f>ROUND(68*1,0)&amp;"%"</f>
      </c>
    </row>
    <row x14ac:dyDescent="0.25" r="285" customHeight="1" ht="17.25">
      <c r="A285" s="20" t="s">
        <v>8924</v>
      </c>
      <c r="B285" s="20" t="s">
        <v>464</v>
      </c>
      <c r="C285" s="20" t="s">
        <v>76</v>
      </c>
      <c r="D285" s="20" t="s">
        <v>34</v>
      </c>
      <c r="E285" s="21">
        <f>ROUND(10546*1.05,2)</f>
      </c>
      <c r="F285" s="20" t="s">
        <v>35</v>
      </c>
      <c r="G285" s="20" t="s">
        <v>18</v>
      </c>
      <c r="H285" s="21">
        <f>ROUND(RAND()*4+6,1)</f>
      </c>
      <c r="I285" s="20" t="s">
        <v>36</v>
      </c>
      <c r="J285" s="23">
        <f>ROUND(62*1,0)&amp;"%"</f>
      </c>
    </row>
    <row x14ac:dyDescent="0.25" r="286" customHeight="1" ht="17.25">
      <c r="A286" s="17" t="s">
        <v>8925</v>
      </c>
      <c r="B286" s="17" t="s">
        <v>466</v>
      </c>
      <c r="C286" s="17" t="s">
        <v>76</v>
      </c>
      <c r="D286" s="17" t="s">
        <v>39</v>
      </c>
      <c r="E286" s="18">
        <f>ROUND(8948*1.05,2)</f>
      </c>
      <c r="F286" s="17" t="s">
        <v>40</v>
      </c>
      <c r="G286" s="17" t="s">
        <v>24</v>
      </c>
      <c r="H286" s="18">
        <f>ROUND(RAND()*4+6,1)</f>
      </c>
      <c r="I286" s="17" t="s">
        <v>41</v>
      </c>
      <c r="J286" s="19">
        <f>ROUND(69*1,0)&amp;"%"</f>
      </c>
    </row>
    <row x14ac:dyDescent="0.25" r="287" customHeight="1" ht="17.25">
      <c r="A287" s="20" t="s">
        <v>8926</v>
      </c>
      <c r="B287" s="20" t="s">
        <v>468</v>
      </c>
      <c r="C287" s="20" t="s">
        <v>76</v>
      </c>
      <c r="D287" s="20" t="s">
        <v>67</v>
      </c>
      <c r="E287" s="21">
        <f>ROUND(4874*1.05,2)</f>
      </c>
      <c r="F287" s="20" t="s">
        <v>44</v>
      </c>
      <c r="G287" s="20" t="s">
        <v>30</v>
      </c>
      <c r="H287" s="22">
        <f>ROUND(RAND()*4+6,1)</f>
      </c>
      <c r="I287" s="20" t="s">
        <v>45</v>
      </c>
      <c r="J287" s="23">
        <f>ROUND(88*1,0)&amp;"%"</f>
      </c>
    </row>
    <row x14ac:dyDescent="0.25" r="288" customHeight="1" ht="17.25">
      <c r="A288" s="17" t="s">
        <v>8927</v>
      </c>
      <c r="B288" s="17" t="s">
        <v>470</v>
      </c>
      <c r="C288" s="17" t="s">
        <v>76</v>
      </c>
      <c r="D288" s="17" t="s">
        <v>16</v>
      </c>
      <c r="E288" s="26">
        <f>ROUND(6340*1.05,2)</f>
      </c>
      <c r="F288" s="17" t="s">
        <v>48</v>
      </c>
      <c r="G288" s="17" t="s">
        <v>18</v>
      </c>
      <c r="H288" s="18">
        <f>ROUND(RAND()*4+6,1)</f>
      </c>
      <c r="I288" s="17" t="s">
        <v>19</v>
      </c>
      <c r="J288" s="19">
        <f>ROUND(92*1,0)&amp;"%"</f>
      </c>
    </row>
    <row x14ac:dyDescent="0.25" r="289" customHeight="1" ht="17.25">
      <c r="A289" s="20" t="s">
        <v>8928</v>
      </c>
      <c r="B289" s="20" t="s">
        <v>472</v>
      </c>
      <c r="C289" s="20" t="s">
        <v>76</v>
      </c>
      <c r="D289" s="20" t="s">
        <v>22</v>
      </c>
      <c r="E289" s="21">
        <f>ROUND(10788*1.05,2)</f>
      </c>
      <c r="F289" s="20" t="s">
        <v>51</v>
      </c>
      <c r="G289" s="20" t="s">
        <v>24</v>
      </c>
      <c r="H289" s="21">
        <f>ROUND(RAND()*4+6,1)</f>
      </c>
      <c r="I289" s="20" t="s">
        <v>25</v>
      </c>
      <c r="J289" s="23">
        <f>ROUND(97*1,0)&amp;"%"</f>
      </c>
    </row>
    <row x14ac:dyDescent="0.25" r="290" customHeight="1" ht="17.25">
      <c r="A290" s="24" t="s">
        <v>473</v>
      </c>
      <c r="B290" s="24"/>
      <c r="C290" s="24"/>
      <c r="D290" s="24"/>
      <c r="E290" s="25">
        <v>8</v>
      </c>
      <c r="F290" s="9"/>
      <c r="G290" s="9"/>
      <c r="H290" s="10"/>
      <c r="I290" s="9"/>
      <c r="J290" s="9"/>
    </row>
    <row x14ac:dyDescent="0.25" r="291" customHeight="1" ht="17.25">
      <c r="A291" s="7"/>
      <c r="B291" s="7"/>
      <c r="C291" s="7"/>
      <c r="D291" s="7"/>
      <c r="E291" s="8"/>
      <c r="F291" s="9"/>
      <c r="G291" s="9"/>
      <c r="H291" s="10"/>
      <c r="I291" s="9"/>
      <c r="J291" s="9"/>
    </row>
    <row x14ac:dyDescent="0.25" r="292" customHeight="1" ht="17.25">
      <c r="A292" s="11" t="s">
        <v>8929</v>
      </c>
      <c r="B292" s="11"/>
      <c r="C292" s="11"/>
      <c r="D292" s="11"/>
      <c r="E292" s="12"/>
      <c r="F292" s="11"/>
      <c r="G292" s="11"/>
      <c r="H292" s="13"/>
      <c r="I292" s="11"/>
      <c r="J292" s="11"/>
    </row>
    <row x14ac:dyDescent="0.25" r="293" customHeight="1" ht="17.25">
      <c r="A293" s="14" t="s">
        <v>3</v>
      </c>
      <c r="B293" s="14" t="s">
        <v>4</v>
      </c>
      <c r="C293" s="14" t="s">
        <v>5</v>
      </c>
      <c r="D293" s="14" t="s">
        <v>6</v>
      </c>
      <c r="E293" s="15" t="s">
        <v>7</v>
      </c>
      <c r="F293" s="14" t="s">
        <v>8</v>
      </c>
      <c r="G293" s="14" t="s">
        <v>9</v>
      </c>
      <c r="H293" s="16" t="s">
        <v>10</v>
      </c>
      <c r="I293" s="14" t="s">
        <v>11</v>
      </c>
      <c r="J293" s="14" t="s">
        <v>12</v>
      </c>
    </row>
    <row x14ac:dyDescent="0.25" r="294" customHeight="1" ht="17.25">
      <c r="A294" s="17" t="s">
        <v>8930</v>
      </c>
      <c r="B294" s="17" t="s">
        <v>476</v>
      </c>
      <c r="C294" s="17" t="s">
        <v>95</v>
      </c>
      <c r="D294" s="17" t="s">
        <v>16</v>
      </c>
      <c r="E294" s="18">
        <f>ROUND(11603*1.05,2)</f>
      </c>
      <c r="F294" s="17" t="s">
        <v>17</v>
      </c>
      <c r="G294" s="17" t="s">
        <v>18</v>
      </c>
      <c r="H294" s="18">
        <f>ROUND(RAND()*4+6,1)</f>
      </c>
      <c r="I294" s="17" t="s">
        <v>19</v>
      </c>
      <c r="J294" s="19">
        <f>ROUND(83*1,0)&amp;"%"</f>
      </c>
    </row>
    <row x14ac:dyDescent="0.25" r="295" customHeight="1" ht="17.25">
      <c r="A295" s="20" t="s">
        <v>8931</v>
      </c>
      <c r="B295" s="20" t="s">
        <v>478</v>
      </c>
      <c r="C295" s="20" t="s">
        <v>95</v>
      </c>
      <c r="D295" s="20" t="s">
        <v>22</v>
      </c>
      <c r="E295" s="21">
        <f>ROUND(11684*1.05,2)</f>
      </c>
      <c r="F295" s="20" t="s">
        <v>23</v>
      </c>
      <c r="G295" s="20" t="s">
        <v>24</v>
      </c>
      <c r="H295" s="21">
        <f>ROUND(RAND()*4+6,1)</f>
      </c>
      <c r="I295" s="20" t="s">
        <v>25</v>
      </c>
      <c r="J295" s="23">
        <f>ROUND(88*1,0)&amp;"%"</f>
      </c>
    </row>
    <row x14ac:dyDescent="0.25" r="296" customHeight="1" ht="17.25">
      <c r="A296" s="17" t="s">
        <v>8932</v>
      </c>
      <c r="B296" s="17" t="s">
        <v>480</v>
      </c>
      <c r="C296" s="17" t="s">
        <v>95</v>
      </c>
      <c r="D296" s="17" t="s">
        <v>28</v>
      </c>
      <c r="E296" s="18">
        <f>ROUND(16803*1.05,2)</f>
      </c>
      <c r="F296" s="17" t="s">
        <v>29</v>
      </c>
      <c r="G296" s="17" t="s">
        <v>30</v>
      </c>
      <c r="H296" s="18">
        <f>ROUND(RAND()*4+6,1)</f>
      </c>
      <c r="I296" s="17" t="s">
        <v>31</v>
      </c>
      <c r="J296" s="19">
        <f>ROUND(82*1,0)&amp;"%"</f>
      </c>
    </row>
    <row x14ac:dyDescent="0.25" r="297" customHeight="1" ht="17.25">
      <c r="A297" s="20" t="s">
        <v>8933</v>
      </c>
      <c r="B297" s="20" t="s">
        <v>482</v>
      </c>
      <c r="C297" s="20" t="s">
        <v>95</v>
      </c>
      <c r="D297" s="20" t="s">
        <v>34</v>
      </c>
      <c r="E297" s="21">
        <f>ROUND(4968*1.05,2)</f>
      </c>
      <c r="F297" s="20" t="s">
        <v>35</v>
      </c>
      <c r="G297" s="20" t="s">
        <v>18</v>
      </c>
      <c r="H297" s="21">
        <f>ROUND(RAND()*4+6,1)</f>
      </c>
      <c r="I297" s="20" t="s">
        <v>36</v>
      </c>
      <c r="J297" s="23">
        <f>ROUND(93*1,0)&amp;"%"</f>
      </c>
    </row>
    <row x14ac:dyDescent="0.25" r="298" customHeight="1" ht="17.25">
      <c r="A298" s="17" t="s">
        <v>8934</v>
      </c>
      <c r="B298" s="17" t="s">
        <v>484</v>
      </c>
      <c r="C298" s="17" t="s">
        <v>95</v>
      </c>
      <c r="D298" s="17" t="s">
        <v>39</v>
      </c>
      <c r="E298" s="18">
        <f>ROUND(15511*1.05,2)</f>
      </c>
      <c r="F298" s="17" t="s">
        <v>40</v>
      </c>
      <c r="G298" s="17" t="s">
        <v>24</v>
      </c>
      <c r="H298" s="18">
        <f>ROUND(RAND()*4+6,1)</f>
      </c>
      <c r="I298" s="17" t="s">
        <v>41</v>
      </c>
      <c r="J298" s="19">
        <f>ROUND(92*1,0)&amp;"%"</f>
      </c>
    </row>
    <row x14ac:dyDescent="0.25" r="299" customHeight="1" ht="17.25">
      <c r="A299" s="20" t="s">
        <v>8935</v>
      </c>
      <c r="B299" s="20" t="s">
        <v>486</v>
      </c>
      <c r="C299" s="20" t="s">
        <v>95</v>
      </c>
      <c r="D299" s="20" t="s">
        <v>67</v>
      </c>
      <c r="E299" s="21">
        <f>ROUND(16282*1.05,2)</f>
      </c>
      <c r="F299" s="20" t="s">
        <v>44</v>
      </c>
      <c r="G299" s="20" t="s">
        <v>30</v>
      </c>
      <c r="H299" s="22">
        <f>ROUND(RAND()*4+6,1)</f>
      </c>
      <c r="I299" s="20" t="s">
        <v>45</v>
      </c>
      <c r="J299" s="23">
        <f>ROUND(96*1,0)&amp;"%"</f>
      </c>
    </row>
    <row x14ac:dyDescent="0.25" r="300" customHeight="1" ht="17.25">
      <c r="A300" s="17" t="s">
        <v>8936</v>
      </c>
      <c r="B300" s="17" t="s">
        <v>488</v>
      </c>
      <c r="C300" s="17" t="s">
        <v>95</v>
      </c>
      <c r="D300" s="17" t="s">
        <v>16</v>
      </c>
      <c r="E300" s="18">
        <f>ROUND(17902*1.05,2)</f>
      </c>
      <c r="F300" s="17" t="s">
        <v>48</v>
      </c>
      <c r="G300" s="17" t="s">
        <v>18</v>
      </c>
      <c r="H300" s="18">
        <f>ROUND(RAND()*4+6,1)</f>
      </c>
      <c r="I300" s="17" t="s">
        <v>19</v>
      </c>
      <c r="J300" s="19">
        <f>ROUND(63*1,0)&amp;"%"</f>
      </c>
    </row>
    <row x14ac:dyDescent="0.25" r="301" customHeight="1" ht="17.25">
      <c r="A301" s="20" t="s">
        <v>8937</v>
      </c>
      <c r="B301" s="20" t="s">
        <v>490</v>
      </c>
      <c r="C301" s="20" t="s">
        <v>95</v>
      </c>
      <c r="D301" s="20" t="s">
        <v>22</v>
      </c>
      <c r="E301" s="21">
        <f>ROUND(10830*1.05,2)</f>
      </c>
      <c r="F301" s="20" t="s">
        <v>51</v>
      </c>
      <c r="G301" s="20" t="s">
        <v>24</v>
      </c>
      <c r="H301" s="21">
        <f>ROUND(RAND()*4+6,1)</f>
      </c>
      <c r="I301" s="20" t="s">
        <v>25</v>
      </c>
      <c r="J301" s="23">
        <f>ROUND(88*1,0)&amp;"%"</f>
      </c>
    </row>
    <row x14ac:dyDescent="0.25" r="302" customHeight="1" ht="17.25">
      <c r="A302" s="24" t="s">
        <v>491</v>
      </c>
      <c r="B302" s="24"/>
      <c r="C302" s="24"/>
      <c r="D302" s="24"/>
      <c r="E302" s="25">
        <v>8</v>
      </c>
      <c r="F302" s="9"/>
      <c r="G302" s="9"/>
      <c r="H302" s="10"/>
      <c r="I302" s="9"/>
      <c r="J302" s="9"/>
    </row>
    <row x14ac:dyDescent="0.25" r="303" customHeight="1" ht="17.25">
      <c r="A303" s="7"/>
      <c r="B303" s="7"/>
      <c r="C303" s="7"/>
      <c r="D303" s="7"/>
      <c r="E303" s="8"/>
      <c r="F303" s="9"/>
      <c r="G303" s="9"/>
      <c r="H303" s="10"/>
      <c r="I303" s="9"/>
      <c r="J303" s="9"/>
    </row>
    <row x14ac:dyDescent="0.25" r="304" customHeight="1" ht="17.25">
      <c r="A304" s="11" t="s">
        <v>8938</v>
      </c>
      <c r="B304" s="11"/>
      <c r="C304" s="11"/>
      <c r="D304" s="11"/>
      <c r="E304" s="12"/>
      <c r="F304" s="11"/>
      <c r="G304" s="11"/>
      <c r="H304" s="13"/>
      <c r="I304" s="11"/>
      <c r="J304" s="11"/>
    </row>
    <row x14ac:dyDescent="0.25" r="305" customHeight="1" ht="17.25">
      <c r="A305" s="14" t="s">
        <v>3</v>
      </c>
      <c r="B305" s="14" t="s">
        <v>4</v>
      </c>
      <c r="C305" s="14" t="s">
        <v>5</v>
      </c>
      <c r="D305" s="14" t="s">
        <v>6</v>
      </c>
      <c r="E305" s="15" t="s">
        <v>7</v>
      </c>
      <c r="F305" s="14" t="s">
        <v>8</v>
      </c>
      <c r="G305" s="14" t="s">
        <v>9</v>
      </c>
      <c r="H305" s="16" t="s">
        <v>10</v>
      </c>
      <c r="I305" s="14" t="s">
        <v>11</v>
      </c>
      <c r="J305" s="14" t="s">
        <v>12</v>
      </c>
    </row>
    <row x14ac:dyDescent="0.25" r="306" customHeight="1" ht="17.25">
      <c r="A306" s="17" t="s">
        <v>8939</v>
      </c>
      <c r="B306" s="17" t="s">
        <v>494</v>
      </c>
      <c r="C306" s="17" t="s">
        <v>114</v>
      </c>
      <c r="D306" s="17" t="s">
        <v>16</v>
      </c>
      <c r="E306" s="18">
        <f>ROUND(4586*1.05,2)</f>
      </c>
      <c r="F306" s="17" t="s">
        <v>17</v>
      </c>
      <c r="G306" s="17" t="s">
        <v>18</v>
      </c>
      <c r="H306" s="18">
        <f>ROUND(RAND()*4+6,1)</f>
      </c>
      <c r="I306" s="17" t="s">
        <v>19</v>
      </c>
      <c r="J306" s="19">
        <f>ROUND(92*1,0)&amp;"%"</f>
      </c>
    </row>
    <row x14ac:dyDescent="0.25" r="307" customHeight="1" ht="17.25">
      <c r="A307" s="20" t="s">
        <v>8940</v>
      </c>
      <c r="B307" s="20" t="s">
        <v>496</v>
      </c>
      <c r="C307" s="20" t="s">
        <v>114</v>
      </c>
      <c r="D307" s="20" t="s">
        <v>22</v>
      </c>
      <c r="E307" s="21">
        <f>ROUND(14256*1.05,2)</f>
      </c>
      <c r="F307" s="20" t="s">
        <v>23</v>
      </c>
      <c r="G307" s="20" t="s">
        <v>24</v>
      </c>
      <c r="H307" s="21">
        <f>ROUND(RAND()*4+6,1)</f>
      </c>
      <c r="I307" s="20" t="s">
        <v>25</v>
      </c>
      <c r="J307" s="23">
        <f>ROUND(66*1,0)&amp;"%"</f>
      </c>
    </row>
    <row x14ac:dyDescent="0.25" r="308" customHeight="1" ht="17.25">
      <c r="A308" s="17" t="s">
        <v>8941</v>
      </c>
      <c r="B308" s="17" t="s">
        <v>498</v>
      </c>
      <c r="C308" s="17" t="s">
        <v>114</v>
      </c>
      <c r="D308" s="17" t="s">
        <v>28</v>
      </c>
      <c r="E308" s="18">
        <f>ROUND(16610*1.05,2)</f>
      </c>
      <c r="F308" s="17" t="s">
        <v>29</v>
      </c>
      <c r="G308" s="17" t="s">
        <v>30</v>
      </c>
      <c r="H308" s="18">
        <f>ROUND(RAND()*4+6,1)</f>
      </c>
      <c r="I308" s="17" t="s">
        <v>31</v>
      </c>
      <c r="J308" s="19">
        <f>ROUND(74*1,0)&amp;"%"</f>
      </c>
    </row>
    <row x14ac:dyDescent="0.25" r="309" customHeight="1" ht="17.25">
      <c r="A309" s="20" t="s">
        <v>8942</v>
      </c>
      <c r="B309" s="20" t="s">
        <v>500</v>
      </c>
      <c r="C309" s="20" t="s">
        <v>114</v>
      </c>
      <c r="D309" s="20" t="s">
        <v>34</v>
      </c>
      <c r="E309" s="21">
        <f>ROUND(14184*1.05,2)</f>
      </c>
      <c r="F309" s="20" t="s">
        <v>35</v>
      </c>
      <c r="G309" s="20" t="s">
        <v>18</v>
      </c>
      <c r="H309" s="21">
        <f>ROUND(RAND()*4+6,1)</f>
      </c>
      <c r="I309" s="20" t="s">
        <v>36</v>
      </c>
      <c r="J309" s="23">
        <f>ROUND(100*1,0)&amp;"%"</f>
      </c>
    </row>
    <row x14ac:dyDescent="0.25" r="310" customHeight="1" ht="17.25">
      <c r="A310" s="17" t="s">
        <v>8943</v>
      </c>
      <c r="B310" s="17" t="s">
        <v>502</v>
      </c>
      <c r="C310" s="17" t="s">
        <v>114</v>
      </c>
      <c r="D310" s="17" t="s">
        <v>39</v>
      </c>
      <c r="E310" s="18">
        <f>ROUND(11126*1.05,2)</f>
      </c>
      <c r="F310" s="17" t="s">
        <v>40</v>
      </c>
      <c r="G310" s="17" t="s">
        <v>24</v>
      </c>
      <c r="H310" s="18">
        <f>ROUND(RAND()*4+6,1)</f>
      </c>
      <c r="I310" s="17" t="s">
        <v>41</v>
      </c>
      <c r="J310" s="19">
        <f>ROUND(91*1,0)&amp;"%"</f>
      </c>
    </row>
    <row x14ac:dyDescent="0.25" r="311" customHeight="1" ht="17.25">
      <c r="A311" s="20" t="s">
        <v>8944</v>
      </c>
      <c r="B311" s="20" t="s">
        <v>504</v>
      </c>
      <c r="C311" s="20" t="s">
        <v>114</v>
      </c>
      <c r="D311" s="20" t="s">
        <v>67</v>
      </c>
      <c r="E311" s="21">
        <f>ROUND(16837*1.05,2)</f>
      </c>
      <c r="F311" s="20" t="s">
        <v>44</v>
      </c>
      <c r="G311" s="20" t="s">
        <v>30</v>
      </c>
      <c r="H311" s="21">
        <f>ROUND(RAND()*4+6,1)</f>
      </c>
      <c r="I311" s="20" t="s">
        <v>45</v>
      </c>
      <c r="J311" s="23">
        <f>ROUND(78*1,0)&amp;"%"</f>
      </c>
    </row>
    <row x14ac:dyDescent="0.25" r="312" customHeight="1" ht="17.25">
      <c r="A312" s="17" t="s">
        <v>8945</v>
      </c>
      <c r="B312" s="17" t="s">
        <v>506</v>
      </c>
      <c r="C312" s="17" t="s">
        <v>114</v>
      </c>
      <c r="D312" s="17" t="s">
        <v>16</v>
      </c>
      <c r="E312" s="18">
        <f>ROUND(4726*1.05,2)</f>
      </c>
      <c r="F312" s="17" t="s">
        <v>48</v>
      </c>
      <c r="G312" s="17" t="s">
        <v>18</v>
      </c>
      <c r="H312" s="26">
        <f>ROUND(RAND()*4+6,1)</f>
      </c>
      <c r="I312" s="17" t="s">
        <v>19</v>
      </c>
      <c r="J312" s="19">
        <f>ROUND(73*1,0)&amp;"%"</f>
      </c>
    </row>
    <row x14ac:dyDescent="0.25" r="313" customHeight="1" ht="17.25">
      <c r="A313" s="20" t="s">
        <v>8946</v>
      </c>
      <c r="B313" s="20" t="s">
        <v>508</v>
      </c>
      <c r="C313" s="20" t="s">
        <v>114</v>
      </c>
      <c r="D313" s="20" t="s">
        <v>22</v>
      </c>
      <c r="E313" s="21">
        <f>ROUND(16927*1.05,2)</f>
      </c>
      <c r="F313" s="20" t="s">
        <v>51</v>
      </c>
      <c r="G313" s="20" t="s">
        <v>24</v>
      </c>
      <c r="H313" s="22">
        <f>ROUND(RAND()*4+6,1)</f>
      </c>
      <c r="I313" s="20" t="s">
        <v>25</v>
      </c>
      <c r="J313" s="23">
        <f>ROUND(70*1,0)&amp;"%"</f>
      </c>
    </row>
    <row x14ac:dyDescent="0.25" r="314" customHeight="1" ht="17.25">
      <c r="A314" s="24" t="s">
        <v>509</v>
      </c>
      <c r="B314" s="24"/>
      <c r="C314" s="24"/>
      <c r="D314" s="24"/>
      <c r="E314" s="25">
        <v>8</v>
      </c>
      <c r="F314" s="9"/>
      <c r="G314" s="9"/>
      <c r="H314" s="10"/>
      <c r="I314" s="9"/>
      <c r="J314" s="9"/>
    </row>
    <row x14ac:dyDescent="0.25" r="315" customHeight="1" ht="17.25">
      <c r="A315" s="7"/>
      <c r="B315" s="7"/>
      <c r="C315" s="7"/>
      <c r="D315" s="7"/>
      <c r="E315" s="8"/>
      <c r="F315" s="9"/>
      <c r="G315" s="9"/>
      <c r="H315" s="10"/>
      <c r="I315" s="9"/>
      <c r="J315" s="9"/>
    </row>
    <row x14ac:dyDescent="0.25" r="316" customHeight="1" ht="17.25">
      <c r="A316" s="11" t="s">
        <v>8947</v>
      </c>
      <c r="B316" s="11"/>
      <c r="C316" s="11"/>
      <c r="D316" s="11"/>
      <c r="E316" s="12"/>
      <c r="F316" s="11"/>
      <c r="G316" s="11"/>
      <c r="H316" s="13"/>
      <c r="I316" s="11"/>
      <c r="J316" s="11"/>
    </row>
    <row x14ac:dyDescent="0.25" r="317" customHeight="1" ht="17.25">
      <c r="A317" s="14" t="s">
        <v>3</v>
      </c>
      <c r="B317" s="14" t="s">
        <v>4</v>
      </c>
      <c r="C317" s="14" t="s">
        <v>5</v>
      </c>
      <c r="D317" s="14" t="s">
        <v>6</v>
      </c>
      <c r="E317" s="15" t="s">
        <v>7</v>
      </c>
      <c r="F317" s="14" t="s">
        <v>8</v>
      </c>
      <c r="G317" s="14" t="s">
        <v>9</v>
      </c>
      <c r="H317" s="16" t="s">
        <v>10</v>
      </c>
      <c r="I317" s="14" t="s">
        <v>11</v>
      </c>
      <c r="J317" s="14" t="s">
        <v>12</v>
      </c>
    </row>
    <row x14ac:dyDescent="0.25" r="318" customHeight="1" ht="17.25">
      <c r="A318" s="17" t="s">
        <v>8948</v>
      </c>
      <c r="B318" s="17" t="s">
        <v>512</v>
      </c>
      <c r="C318" s="17" t="s">
        <v>133</v>
      </c>
      <c r="D318" s="17" t="s">
        <v>16</v>
      </c>
      <c r="E318" s="18">
        <f>ROUND(11913*1.05,2)</f>
      </c>
      <c r="F318" s="17" t="s">
        <v>17</v>
      </c>
      <c r="G318" s="17" t="s">
        <v>18</v>
      </c>
      <c r="H318" s="18">
        <f>ROUND(RAND()*4+6,1)</f>
      </c>
      <c r="I318" s="17" t="s">
        <v>19</v>
      </c>
      <c r="J318" s="19">
        <f>ROUND(85*1,0)&amp;"%"</f>
      </c>
    </row>
    <row x14ac:dyDescent="0.25" r="319" customHeight="1" ht="17.25">
      <c r="A319" s="20" t="s">
        <v>8949</v>
      </c>
      <c r="B319" s="20" t="s">
        <v>514</v>
      </c>
      <c r="C319" s="20" t="s">
        <v>133</v>
      </c>
      <c r="D319" s="20" t="s">
        <v>22</v>
      </c>
      <c r="E319" s="21">
        <f>ROUND(10696*1.05,2)</f>
      </c>
      <c r="F319" s="20" t="s">
        <v>23</v>
      </c>
      <c r="G319" s="20" t="s">
        <v>24</v>
      </c>
      <c r="H319" s="21">
        <f>ROUND(RAND()*4+6,1)</f>
      </c>
      <c r="I319" s="20" t="s">
        <v>25</v>
      </c>
      <c r="J319" s="23">
        <f>ROUND(71*1,0)&amp;"%"</f>
      </c>
    </row>
    <row x14ac:dyDescent="0.25" r="320" customHeight="1" ht="17.25">
      <c r="A320" s="17" t="s">
        <v>8950</v>
      </c>
      <c r="B320" s="17" t="s">
        <v>516</v>
      </c>
      <c r="C320" s="17" t="s">
        <v>133</v>
      </c>
      <c r="D320" s="17" t="s">
        <v>28</v>
      </c>
      <c r="E320" s="18">
        <f>ROUND(6981*1.05,2)</f>
      </c>
      <c r="F320" s="17" t="s">
        <v>29</v>
      </c>
      <c r="G320" s="17" t="s">
        <v>30</v>
      </c>
      <c r="H320" s="18">
        <f>ROUND(RAND()*4+6,1)</f>
      </c>
      <c r="I320" s="17" t="s">
        <v>31</v>
      </c>
      <c r="J320" s="19">
        <f>ROUND(84*1,0)&amp;"%"</f>
      </c>
    </row>
    <row x14ac:dyDescent="0.25" r="321" customHeight="1" ht="17.25">
      <c r="A321" s="20" t="s">
        <v>8951</v>
      </c>
      <c r="B321" s="20" t="s">
        <v>518</v>
      </c>
      <c r="C321" s="20" t="s">
        <v>133</v>
      </c>
      <c r="D321" s="20" t="s">
        <v>34</v>
      </c>
      <c r="E321" s="21">
        <f>ROUND(8849*1.05,2)</f>
      </c>
      <c r="F321" s="20" t="s">
        <v>35</v>
      </c>
      <c r="G321" s="20" t="s">
        <v>18</v>
      </c>
      <c r="H321" s="21">
        <f>ROUND(RAND()*4+6,1)</f>
      </c>
      <c r="I321" s="20" t="s">
        <v>36</v>
      </c>
      <c r="J321" s="23">
        <f>ROUND(68*1,0)&amp;"%"</f>
      </c>
    </row>
    <row x14ac:dyDescent="0.25" r="322" customHeight="1" ht="17.25">
      <c r="A322" s="17" t="s">
        <v>8952</v>
      </c>
      <c r="B322" s="17" t="s">
        <v>520</v>
      </c>
      <c r="C322" s="17" t="s">
        <v>133</v>
      </c>
      <c r="D322" s="17" t="s">
        <v>39</v>
      </c>
      <c r="E322" s="18">
        <f>ROUND(8904*1.05,2)</f>
      </c>
      <c r="F322" s="17" t="s">
        <v>40</v>
      </c>
      <c r="G322" s="17" t="s">
        <v>24</v>
      </c>
      <c r="H322" s="18">
        <f>ROUND(RAND()*4+6,1)</f>
      </c>
      <c r="I322" s="17" t="s">
        <v>41</v>
      </c>
      <c r="J322" s="19">
        <f>ROUND(81*1,0)&amp;"%"</f>
      </c>
    </row>
    <row x14ac:dyDescent="0.25" r="323" customHeight="1" ht="17.25">
      <c r="A323" s="20" t="s">
        <v>8953</v>
      </c>
      <c r="B323" s="20" t="s">
        <v>522</v>
      </c>
      <c r="C323" s="20" t="s">
        <v>133</v>
      </c>
      <c r="D323" s="20" t="s">
        <v>67</v>
      </c>
      <c r="E323" s="21">
        <f>ROUND(14026*1.05,2)</f>
      </c>
      <c r="F323" s="20" t="s">
        <v>44</v>
      </c>
      <c r="G323" s="20" t="s">
        <v>30</v>
      </c>
      <c r="H323" s="21">
        <f>ROUND(RAND()*4+6,1)</f>
      </c>
      <c r="I323" s="20" t="s">
        <v>45</v>
      </c>
      <c r="J323" s="23">
        <f>ROUND(61*1,0)&amp;"%"</f>
      </c>
    </row>
    <row x14ac:dyDescent="0.25" r="324" customHeight="1" ht="17.25">
      <c r="A324" s="17" t="s">
        <v>8954</v>
      </c>
      <c r="B324" s="17" t="s">
        <v>524</v>
      </c>
      <c r="C324" s="17" t="s">
        <v>133</v>
      </c>
      <c r="D324" s="17" t="s">
        <v>16</v>
      </c>
      <c r="E324" s="18">
        <f>ROUND(5888*1.05,2)</f>
      </c>
      <c r="F324" s="17" t="s">
        <v>48</v>
      </c>
      <c r="G324" s="17" t="s">
        <v>18</v>
      </c>
      <c r="H324" s="18">
        <f>ROUND(RAND()*4+6,1)</f>
      </c>
      <c r="I324" s="17" t="s">
        <v>19</v>
      </c>
      <c r="J324" s="19">
        <f>ROUND(62*1,0)&amp;"%"</f>
      </c>
    </row>
    <row x14ac:dyDescent="0.25" r="325" customHeight="1" ht="17.25">
      <c r="A325" s="20" t="s">
        <v>8955</v>
      </c>
      <c r="B325" s="20" t="s">
        <v>526</v>
      </c>
      <c r="C325" s="20" t="s">
        <v>133</v>
      </c>
      <c r="D325" s="20" t="s">
        <v>22</v>
      </c>
      <c r="E325" s="21">
        <f>ROUND(17148*1.05,2)</f>
      </c>
      <c r="F325" s="20" t="s">
        <v>51</v>
      </c>
      <c r="G325" s="20" t="s">
        <v>24</v>
      </c>
      <c r="H325" s="21">
        <f>ROUND(RAND()*4+6,1)</f>
      </c>
      <c r="I325" s="20" t="s">
        <v>25</v>
      </c>
      <c r="J325" s="23">
        <f>ROUND(64*1,0)&amp;"%"</f>
      </c>
    </row>
    <row x14ac:dyDescent="0.25" r="326" customHeight="1" ht="17.25">
      <c r="A326" s="24" t="s">
        <v>527</v>
      </c>
      <c r="B326" s="24"/>
      <c r="C326" s="24"/>
      <c r="D326" s="24"/>
      <c r="E326" s="25">
        <v>8</v>
      </c>
      <c r="F326" s="9"/>
      <c r="G326" s="9"/>
      <c r="H326" s="10"/>
      <c r="I326" s="9"/>
      <c r="J326" s="9"/>
    </row>
    <row x14ac:dyDescent="0.25" r="327" customHeight="1" ht="17.25">
      <c r="A327" s="7"/>
      <c r="B327" s="7"/>
      <c r="C327" s="7"/>
      <c r="D327" s="7"/>
      <c r="E327" s="8"/>
      <c r="F327" s="9"/>
      <c r="G327" s="9"/>
      <c r="H327" s="10"/>
      <c r="I327" s="9"/>
      <c r="J327" s="9"/>
    </row>
    <row x14ac:dyDescent="0.25" r="328" customHeight="1" ht="17.25">
      <c r="A328" s="11" t="s">
        <v>8956</v>
      </c>
      <c r="B328" s="11"/>
      <c r="C328" s="11"/>
      <c r="D328" s="11"/>
      <c r="E328" s="12"/>
      <c r="F328" s="11"/>
      <c r="G328" s="11"/>
      <c r="H328" s="13"/>
      <c r="I328" s="11"/>
      <c r="J328" s="11"/>
    </row>
    <row x14ac:dyDescent="0.25" r="329" customHeight="1" ht="17.25">
      <c r="A329" s="14" t="s">
        <v>3</v>
      </c>
      <c r="B329" s="14" t="s">
        <v>4</v>
      </c>
      <c r="C329" s="14" t="s">
        <v>5</v>
      </c>
      <c r="D329" s="14" t="s">
        <v>6</v>
      </c>
      <c r="E329" s="15" t="s">
        <v>7</v>
      </c>
      <c r="F329" s="14" t="s">
        <v>8</v>
      </c>
      <c r="G329" s="14" t="s">
        <v>9</v>
      </c>
      <c r="H329" s="16" t="s">
        <v>10</v>
      </c>
      <c r="I329" s="14" t="s">
        <v>11</v>
      </c>
      <c r="J329" s="14" t="s">
        <v>12</v>
      </c>
    </row>
    <row x14ac:dyDescent="0.25" r="330" customHeight="1" ht="17.25">
      <c r="A330" s="17" t="s">
        <v>8957</v>
      </c>
      <c r="B330" s="17" t="s">
        <v>530</v>
      </c>
      <c r="C330" s="17" t="s">
        <v>152</v>
      </c>
      <c r="D330" s="17" t="s">
        <v>16</v>
      </c>
      <c r="E330" s="18">
        <f>ROUND(5358*1.05,2)</f>
      </c>
      <c r="F330" s="17" t="s">
        <v>17</v>
      </c>
      <c r="G330" s="17" t="s">
        <v>18</v>
      </c>
      <c r="H330" s="18">
        <f>ROUND(RAND()*4+6,1)</f>
      </c>
      <c r="I330" s="17" t="s">
        <v>19</v>
      </c>
      <c r="J330" s="19">
        <f>ROUND(74*1,0)&amp;"%"</f>
      </c>
    </row>
    <row x14ac:dyDescent="0.25" r="331" customHeight="1" ht="17.25">
      <c r="A331" s="20" t="s">
        <v>8958</v>
      </c>
      <c r="B331" s="20" t="s">
        <v>532</v>
      </c>
      <c r="C331" s="20" t="s">
        <v>152</v>
      </c>
      <c r="D331" s="20" t="s">
        <v>22</v>
      </c>
      <c r="E331" s="21">
        <f>ROUND(4616*1.05,2)</f>
      </c>
      <c r="F331" s="20" t="s">
        <v>23</v>
      </c>
      <c r="G331" s="20" t="s">
        <v>24</v>
      </c>
      <c r="H331" s="22">
        <f>ROUND(RAND()*4+6,1)</f>
      </c>
      <c r="I331" s="20" t="s">
        <v>25</v>
      </c>
      <c r="J331" s="23">
        <f>ROUND(63*1,0)&amp;"%"</f>
      </c>
    </row>
    <row x14ac:dyDescent="0.25" r="332" customHeight="1" ht="17.25">
      <c r="A332" s="17" t="s">
        <v>8959</v>
      </c>
      <c r="B332" s="17" t="s">
        <v>534</v>
      </c>
      <c r="C332" s="17" t="s">
        <v>152</v>
      </c>
      <c r="D332" s="17" t="s">
        <v>28</v>
      </c>
      <c r="E332" s="18">
        <f>ROUND(9118*1.05,2)</f>
      </c>
      <c r="F332" s="17" t="s">
        <v>29</v>
      </c>
      <c r="G332" s="17" t="s">
        <v>30</v>
      </c>
      <c r="H332" s="18">
        <f>ROUND(RAND()*4+6,1)</f>
      </c>
      <c r="I332" s="17" t="s">
        <v>31</v>
      </c>
      <c r="J332" s="19">
        <f>ROUND(64*1,0)&amp;"%"</f>
      </c>
    </row>
    <row x14ac:dyDescent="0.25" r="333" customHeight="1" ht="17.25">
      <c r="A333" s="20" t="s">
        <v>8960</v>
      </c>
      <c r="B333" s="20" t="s">
        <v>536</v>
      </c>
      <c r="C333" s="20" t="s">
        <v>152</v>
      </c>
      <c r="D333" s="20" t="s">
        <v>34</v>
      </c>
      <c r="E333" s="21">
        <f>ROUND(7102*1.05,2)</f>
      </c>
      <c r="F333" s="20" t="s">
        <v>35</v>
      </c>
      <c r="G333" s="20" t="s">
        <v>18</v>
      </c>
      <c r="H333" s="21">
        <f>ROUND(RAND()*4+6,1)</f>
      </c>
      <c r="I333" s="20" t="s">
        <v>36</v>
      </c>
      <c r="J333" s="23">
        <f>ROUND(89*1,0)&amp;"%"</f>
      </c>
    </row>
    <row x14ac:dyDescent="0.25" r="334" customHeight="1" ht="17.25">
      <c r="A334" s="17" t="s">
        <v>8961</v>
      </c>
      <c r="B334" s="17" t="s">
        <v>538</v>
      </c>
      <c r="C334" s="17" t="s">
        <v>152</v>
      </c>
      <c r="D334" s="17" t="s">
        <v>39</v>
      </c>
      <c r="E334" s="18">
        <f>ROUND(13789*1.05,2)</f>
      </c>
      <c r="F334" s="17" t="s">
        <v>40</v>
      </c>
      <c r="G334" s="17" t="s">
        <v>24</v>
      </c>
      <c r="H334" s="18">
        <f>ROUND(RAND()*4+6,1)</f>
      </c>
      <c r="I334" s="17" t="s">
        <v>41</v>
      </c>
      <c r="J334" s="19">
        <f>ROUND(95*1,0)&amp;"%"</f>
      </c>
    </row>
    <row x14ac:dyDescent="0.25" r="335" customHeight="1" ht="17.25">
      <c r="A335" s="20" t="s">
        <v>8962</v>
      </c>
      <c r="B335" s="20" t="s">
        <v>540</v>
      </c>
      <c r="C335" s="20" t="s">
        <v>152</v>
      </c>
      <c r="D335" s="20" t="s">
        <v>67</v>
      </c>
      <c r="E335" s="21">
        <f>ROUND(12432*1.05,2)</f>
      </c>
      <c r="F335" s="20" t="s">
        <v>44</v>
      </c>
      <c r="G335" s="20" t="s">
        <v>30</v>
      </c>
      <c r="H335" s="21">
        <f>ROUND(RAND()*4+6,1)</f>
      </c>
      <c r="I335" s="20" t="s">
        <v>45</v>
      </c>
      <c r="J335" s="23">
        <f>ROUND(88*1,0)&amp;"%"</f>
      </c>
    </row>
    <row x14ac:dyDescent="0.25" r="336" customHeight="1" ht="17.25">
      <c r="A336" s="17" t="s">
        <v>8963</v>
      </c>
      <c r="B336" s="17" t="s">
        <v>542</v>
      </c>
      <c r="C336" s="17" t="s">
        <v>152</v>
      </c>
      <c r="D336" s="17" t="s">
        <v>16</v>
      </c>
      <c r="E336" s="18">
        <f>ROUND(9139*1.05,2)</f>
      </c>
      <c r="F336" s="17" t="s">
        <v>48</v>
      </c>
      <c r="G336" s="17" t="s">
        <v>18</v>
      </c>
      <c r="H336" s="18">
        <f>ROUND(RAND()*4+6,1)</f>
      </c>
      <c r="I336" s="17" t="s">
        <v>19</v>
      </c>
      <c r="J336" s="19">
        <f>ROUND(83*1,0)&amp;"%"</f>
      </c>
    </row>
    <row x14ac:dyDescent="0.25" r="337" customHeight="1" ht="17.25">
      <c r="A337" s="20" t="s">
        <v>8964</v>
      </c>
      <c r="B337" s="20" t="s">
        <v>544</v>
      </c>
      <c r="C337" s="20" t="s">
        <v>152</v>
      </c>
      <c r="D337" s="20" t="s">
        <v>22</v>
      </c>
      <c r="E337" s="21">
        <f>ROUND(8535*1.05,2)</f>
      </c>
      <c r="F337" s="20" t="s">
        <v>51</v>
      </c>
      <c r="G337" s="20" t="s">
        <v>24</v>
      </c>
      <c r="H337" s="21">
        <f>ROUND(RAND()*4+6,1)</f>
      </c>
      <c r="I337" s="20" t="s">
        <v>25</v>
      </c>
      <c r="J337" s="23">
        <f>ROUND(79*1,0)&amp;"%"</f>
      </c>
    </row>
    <row x14ac:dyDescent="0.25" r="338" customHeight="1" ht="17.25">
      <c r="A338" s="24" t="s">
        <v>545</v>
      </c>
      <c r="B338" s="24"/>
      <c r="C338" s="24"/>
      <c r="D338" s="24"/>
      <c r="E338" s="25">
        <v>8</v>
      </c>
      <c r="F338" s="9"/>
      <c r="G338" s="9"/>
      <c r="H338" s="10"/>
      <c r="I338" s="9"/>
      <c r="J338" s="9"/>
    </row>
    <row x14ac:dyDescent="0.25" r="339" customHeight="1" ht="17.25">
      <c r="A339" s="7"/>
      <c r="B339" s="7"/>
      <c r="C339" s="7"/>
      <c r="D339" s="7"/>
      <c r="E339" s="8"/>
      <c r="F339" s="9"/>
      <c r="G339" s="9"/>
      <c r="H339" s="10"/>
      <c r="I339" s="9"/>
      <c r="J339" s="9"/>
    </row>
    <row x14ac:dyDescent="0.25" r="340" customHeight="1" ht="17.25">
      <c r="A340" s="11" t="s">
        <v>8965</v>
      </c>
      <c r="B340" s="11"/>
      <c r="C340" s="11"/>
      <c r="D340" s="11"/>
      <c r="E340" s="12"/>
      <c r="F340" s="11"/>
      <c r="G340" s="11"/>
      <c r="H340" s="13"/>
      <c r="I340" s="11"/>
      <c r="J340" s="11"/>
    </row>
    <row x14ac:dyDescent="0.25" r="341" customHeight="1" ht="17.25">
      <c r="A341" s="14" t="s">
        <v>3</v>
      </c>
      <c r="B341" s="14" t="s">
        <v>4</v>
      </c>
      <c r="C341" s="14" t="s">
        <v>5</v>
      </c>
      <c r="D341" s="14" t="s">
        <v>6</v>
      </c>
      <c r="E341" s="15" t="s">
        <v>7</v>
      </c>
      <c r="F341" s="14" t="s">
        <v>8</v>
      </c>
      <c r="G341" s="14" t="s">
        <v>9</v>
      </c>
      <c r="H341" s="16" t="s">
        <v>10</v>
      </c>
      <c r="I341" s="14" t="s">
        <v>11</v>
      </c>
      <c r="J341" s="14" t="s">
        <v>12</v>
      </c>
    </row>
    <row x14ac:dyDescent="0.25" r="342" customHeight="1" ht="17.25">
      <c r="A342" s="17" t="s">
        <v>8966</v>
      </c>
      <c r="B342" s="17" t="s">
        <v>548</v>
      </c>
      <c r="C342" s="17" t="s">
        <v>15</v>
      </c>
      <c r="D342" s="17" t="s">
        <v>16</v>
      </c>
      <c r="E342" s="18">
        <f>ROUND(4686*1.05,2)</f>
      </c>
      <c r="F342" s="17" t="s">
        <v>17</v>
      </c>
      <c r="G342" s="17" t="s">
        <v>18</v>
      </c>
      <c r="H342" s="18">
        <f>ROUND(RAND()*4+6,1)</f>
      </c>
      <c r="I342" s="17" t="s">
        <v>19</v>
      </c>
      <c r="J342" s="19">
        <f>ROUND(67*1,0)&amp;"%"</f>
      </c>
    </row>
    <row x14ac:dyDescent="0.25" r="343" customHeight="1" ht="17.25">
      <c r="A343" s="20" t="s">
        <v>8967</v>
      </c>
      <c r="B343" s="20" t="s">
        <v>550</v>
      </c>
      <c r="C343" s="20" t="s">
        <v>15</v>
      </c>
      <c r="D343" s="20" t="s">
        <v>22</v>
      </c>
      <c r="E343" s="21">
        <f>ROUND(4896*1.05,2)</f>
      </c>
      <c r="F343" s="20" t="s">
        <v>23</v>
      </c>
      <c r="G343" s="20" t="s">
        <v>24</v>
      </c>
      <c r="H343" s="21">
        <f>ROUND(RAND()*4+6,1)</f>
      </c>
      <c r="I343" s="20" t="s">
        <v>25</v>
      </c>
      <c r="J343" s="23">
        <f>ROUND(75*1,0)&amp;"%"</f>
      </c>
    </row>
    <row x14ac:dyDescent="0.25" r="344" customHeight="1" ht="17.25">
      <c r="A344" s="17" t="s">
        <v>8968</v>
      </c>
      <c r="B344" s="17" t="s">
        <v>552</v>
      </c>
      <c r="C344" s="17" t="s">
        <v>15</v>
      </c>
      <c r="D344" s="17" t="s">
        <v>28</v>
      </c>
      <c r="E344" s="18">
        <f>ROUND(9234*1.05,2)</f>
      </c>
      <c r="F344" s="17" t="s">
        <v>29</v>
      </c>
      <c r="G344" s="17" t="s">
        <v>30</v>
      </c>
      <c r="H344" s="18">
        <f>ROUND(RAND()*4+6,1)</f>
      </c>
      <c r="I344" s="17" t="s">
        <v>31</v>
      </c>
      <c r="J344" s="19">
        <f>ROUND(60*1,0)&amp;"%"</f>
      </c>
    </row>
    <row x14ac:dyDescent="0.25" r="345" customHeight="1" ht="17.25">
      <c r="A345" s="20" t="s">
        <v>8969</v>
      </c>
      <c r="B345" s="20" t="s">
        <v>554</v>
      </c>
      <c r="C345" s="20" t="s">
        <v>15</v>
      </c>
      <c r="D345" s="20" t="s">
        <v>34</v>
      </c>
      <c r="E345" s="21">
        <f>ROUND(7908*1.05,2)</f>
      </c>
      <c r="F345" s="20" t="s">
        <v>35</v>
      </c>
      <c r="G345" s="20" t="s">
        <v>18</v>
      </c>
      <c r="H345" s="21">
        <f>ROUND(RAND()*4+6,1)</f>
      </c>
      <c r="I345" s="20" t="s">
        <v>36</v>
      </c>
      <c r="J345" s="23">
        <f>ROUND(62*1,0)&amp;"%"</f>
      </c>
    </row>
    <row x14ac:dyDescent="0.25" r="346" customHeight="1" ht="17.25">
      <c r="A346" s="17" t="s">
        <v>8970</v>
      </c>
      <c r="B346" s="17" t="s">
        <v>556</v>
      </c>
      <c r="C346" s="17" t="s">
        <v>15</v>
      </c>
      <c r="D346" s="17" t="s">
        <v>39</v>
      </c>
      <c r="E346" s="18">
        <f>ROUND(9874*1.05,2)</f>
      </c>
      <c r="F346" s="17" t="s">
        <v>40</v>
      </c>
      <c r="G346" s="17" t="s">
        <v>24</v>
      </c>
      <c r="H346" s="18">
        <f>ROUND(RAND()*4+6,1)</f>
      </c>
      <c r="I346" s="17" t="s">
        <v>41</v>
      </c>
      <c r="J346" s="19">
        <f>ROUND(99*1,0)&amp;"%"</f>
      </c>
    </row>
    <row x14ac:dyDescent="0.25" r="347" customHeight="1" ht="17.25">
      <c r="A347" s="20" t="s">
        <v>8971</v>
      </c>
      <c r="B347" s="20" t="s">
        <v>558</v>
      </c>
      <c r="C347" s="20" t="s">
        <v>15</v>
      </c>
      <c r="D347" s="20" t="s">
        <v>67</v>
      </c>
      <c r="E347" s="21">
        <f>ROUND(10288*1.05,2)</f>
      </c>
      <c r="F347" s="20" t="s">
        <v>44</v>
      </c>
      <c r="G347" s="20" t="s">
        <v>30</v>
      </c>
      <c r="H347" s="21">
        <f>ROUND(RAND()*4+6,1)</f>
      </c>
      <c r="I347" s="20" t="s">
        <v>45</v>
      </c>
      <c r="J347" s="23">
        <f>ROUND(65*1,0)&amp;"%"</f>
      </c>
    </row>
    <row x14ac:dyDescent="0.25" r="348" customHeight="1" ht="17.25">
      <c r="A348" s="17" t="s">
        <v>8972</v>
      </c>
      <c r="B348" s="17" t="s">
        <v>560</v>
      </c>
      <c r="C348" s="17" t="s">
        <v>15</v>
      </c>
      <c r="D348" s="17" t="s">
        <v>16</v>
      </c>
      <c r="E348" s="18">
        <f>ROUND(4769*1.05,2)</f>
      </c>
      <c r="F348" s="17" t="s">
        <v>48</v>
      </c>
      <c r="G348" s="17" t="s">
        <v>18</v>
      </c>
      <c r="H348" s="18">
        <f>ROUND(RAND()*4+6,1)</f>
      </c>
      <c r="I348" s="17" t="s">
        <v>19</v>
      </c>
      <c r="J348" s="19">
        <f>ROUND(73*1,0)&amp;"%"</f>
      </c>
    </row>
    <row x14ac:dyDescent="0.25" r="349" customHeight="1" ht="17.25">
      <c r="A349" s="20" t="s">
        <v>8973</v>
      </c>
      <c r="B349" s="20" t="s">
        <v>562</v>
      </c>
      <c r="C349" s="20" t="s">
        <v>15</v>
      </c>
      <c r="D349" s="20" t="s">
        <v>22</v>
      </c>
      <c r="E349" s="21">
        <f>ROUND(9644*1.05,2)</f>
      </c>
      <c r="F349" s="20" t="s">
        <v>51</v>
      </c>
      <c r="G349" s="20" t="s">
        <v>24</v>
      </c>
      <c r="H349" s="21">
        <f>ROUND(RAND()*4+6,1)</f>
      </c>
      <c r="I349" s="20" t="s">
        <v>25</v>
      </c>
      <c r="J349" s="23">
        <f>ROUND(61*1,0)&amp;"%"</f>
      </c>
    </row>
    <row x14ac:dyDescent="0.25" r="350" customHeight="1" ht="17.25">
      <c r="A350" s="24" t="s">
        <v>563</v>
      </c>
      <c r="B350" s="24"/>
      <c r="C350" s="24"/>
      <c r="D350" s="24"/>
      <c r="E350" s="25">
        <v>8</v>
      </c>
      <c r="F350" s="9"/>
      <c r="G350" s="9"/>
      <c r="H350" s="10"/>
      <c r="I350" s="9"/>
      <c r="J350" s="9"/>
    </row>
    <row x14ac:dyDescent="0.25" r="351" customHeight="1" ht="17.25">
      <c r="A351" s="7"/>
      <c r="B351" s="7"/>
      <c r="C351" s="7"/>
      <c r="D351" s="7"/>
      <c r="E351" s="8"/>
      <c r="F351" s="9"/>
      <c r="G351" s="9"/>
      <c r="H351" s="10"/>
      <c r="I351" s="9"/>
      <c r="J351" s="9"/>
    </row>
    <row x14ac:dyDescent="0.25" r="352" customHeight="1" ht="17.25">
      <c r="A352" s="11" t="s">
        <v>8974</v>
      </c>
      <c r="B352" s="11"/>
      <c r="C352" s="11"/>
      <c r="D352" s="11"/>
      <c r="E352" s="12"/>
      <c r="F352" s="11"/>
      <c r="G352" s="11"/>
      <c r="H352" s="13"/>
      <c r="I352" s="11"/>
      <c r="J352" s="11"/>
    </row>
    <row x14ac:dyDescent="0.25" r="353" customHeight="1" ht="17.25">
      <c r="A353" s="14" t="s">
        <v>3</v>
      </c>
      <c r="B353" s="14" t="s">
        <v>4</v>
      </c>
      <c r="C353" s="14" t="s">
        <v>5</v>
      </c>
      <c r="D353" s="14" t="s">
        <v>6</v>
      </c>
      <c r="E353" s="15" t="s">
        <v>7</v>
      </c>
      <c r="F353" s="14" t="s">
        <v>8</v>
      </c>
      <c r="G353" s="14" t="s">
        <v>9</v>
      </c>
      <c r="H353" s="16" t="s">
        <v>10</v>
      </c>
      <c r="I353" s="14" t="s">
        <v>11</v>
      </c>
      <c r="J353" s="14" t="s">
        <v>12</v>
      </c>
    </row>
    <row x14ac:dyDescent="0.25" r="354" customHeight="1" ht="17.25">
      <c r="A354" s="17" t="s">
        <v>8975</v>
      </c>
      <c r="B354" s="17" t="s">
        <v>566</v>
      </c>
      <c r="C354" s="17" t="s">
        <v>56</v>
      </c>
      <c r="D354" s="17" t="s">
        <v>16</v>
      </c>
      <c r="E354" s="18">
        <f>ROUND(11388*1.05,2)</f>
      </c>
      <c r="F354" s="17" t="s">
        <v>17</v>
      </c>
      <c r="G354" s="17" t="s">
        <v>18</v>
      </c>
      <c r="H354" s="18">
        <f>ROUND(RAND()*4+6,1)</f>
      </c>
      <c r="I354" s="17" t="s">
        <v>19</v>
      </c>
      <c r="J354" s="19">
        <f>ROUND(76*1,0)&amp;"%"</f>
      </c>
    </row>
    <row x14ac:dyDescent="0.25" r="355" customHeight="1" ht="17.25">
      <c r="A355" s="20" t="s">
        <v>8976</v>
      </c>
      <c r="B355" s="20" t="s">
        <v>568</v>
      </c>
      <c r="C355" s="20" t="s">
        <v>56</v>
      </c>
      <c r="D355" s="20" t="s">
        <v>22</v>
      </c>
      <c r="E355" s="21">
        <f>ROUND(11353*1.05,2)</f>
      </c>
      <c r="F355" s="20" t="s">
        <v>23</v>
      </c>
      <c r="G355" s="20" t="s">
        <v>24</v>
      </c>
      <c r="H355" s="22">
        <f>ROUND(RAND()*4+6,1)</f>
      </c>
      <c r="I355" s="20" t="s">
        <v>25</v>
      </c>
      <c r="J355" s="23">
        <f>ROUND(85*1,0)&amp;"%"</f>
      </c>
    </row>
    <row x14ac:dyDescent="0.25" r="356" customHeight="1" ht="17.25">
      <c r="A356" s="17" t="s">
        <v>8977</v>
      </c>
      <c r="B356" s="17" t="s">
        <v>570</v>
      </c>
      <c r="C356" s="17" t="s">
        <v>56</v>
      </c>
      <c r="D356" s="17" t="s">
        <v>28</v>
      </c>
      <c r="E356" s="18">
        <f>ROUND(13885*1.05,2)</f>
      </c>
      <c r="F356" s="17" t="s">
        <v>29</v>
      </c>
      <c r="G356" s="17" t="s">
        <v>30</v>
      </c>
      <c r="H356" s="18">
        <f>ROUND(RAND()*4+6,1)</f>
      </c>
      <c r="I356" s="17" t="s">
        <v>31</v>
      </c>
      <c r="J356" s="19">
        <f>ROUND(92*1,0)&amp;"%"</f>
      </c>
    </row>
    <row x14ac:dyDescent="0.25" r="357" customHeight="1" ht="17.25">
      <c r="A357" s="20" t="s">
        <v>8978</v>
      </c>
      <c r="B357" s="20" t="s">
        <v>572</v>
      </c>
      <c r="C357" s="20" t="s">
        <v>56</v>
      </c>
      <c r="D357" s="20" t="s">
        <v>34</v>
      </c>
      <c r="E357" s="21">
        <f>ROUND(6509*1.05,2)</f>
      </c>
      <c r="F357" s="20" t="s">
        <v>35</v>
      </c>
      <c r="G357" s="20" t="s">
        <v>18</v>
      </c>
      <c r="H357" s="22">
        <f>ROUND(RAND()*4+6,1)</f>
      </c>
      <c r="I357" s="20" t="s">
        <v>36</v>
      </c>
      <c r="J357" s="23">
        <f>ROUND(84*1,0)&amp;"%"</f>
      </c>
    </row>
    <row x14ac:dyDescent="0.25" r="358" customHeight="1" ht="17.25">
      <c r="A358" s="17" t="s">
        <v>8979</v>
      </c>
      <c r="B358" s="17" t="s">
        <v>574</v>
      </c>
      <c r="C358" s="17" t="s">
        <v>56</v>
      </c>
      <c r="D358" s="17" t="s">
        <v>39</v>
      </c>
      <c r="E358" s="18">
        <f>ROUND(14209*1.05,2)</f>
      </c>
      <c r="F358" s="17" t="s">
        <v>40</v>
      </c>
      <c r="G358" s="17" t="s">
        <v>24</v>
      </c>
      <c r="H358" s="26">
        <f>ROUND(RAND()*4+6,1)</f>
      </c>
      <c r="I358" s="17" t="s">
        <v>41</v>
      </c>
      <c r="J358" s="19">
        <f>ROUND(62*1,0)&amp;"%"</f>
      </c>
    </row>
    <row x14ac:dyDescent="0.25" r="359" customHeight="1" ht="17.25">
      <c r="A359" s="20" t="s">
        <v>8980</v>
      </c>
      <c r="B359" s="20" t="s">
        <v>576</v>
      </c>
      <c r="C359" s="20" t="s">
        <v>56</v>
      </c>
      <c r="D359" s="20" t="s">
        <v>67</v>
      </c>
      <c r="E359" s="21">
        <f>ROUND(15989*1.05,2)</f>
      </c>
      <c r="F359" s="20" t="s">
        <v>44</v>
      </c>
      <c r="G359" s="20" t="s">
        <v>30</v>
      </c>
      <c r="H359" s="21">
        <f>ROUND(RAND()*4+6,1)</f>
      </c>
      <c r="I359" s="20" t="s">
        <v>45</v>
      </c>
      <c r="J359" s="23">
        <f>ROUND(67*1,0)&amp;"%"</f>
      </c>
    </row>
    <row x14ac:dyDescent="0.25" r="360" customHeight="1" ht="17.25">
      <c r="A360" s="17" t="s">
        <v>8981</v>
      </c>
      <c r="B360" s="17" t="s">
        <v>578</v>
      </c>
      <c r="C360" s="17" t="s">
        <v>56</v>
      </c>
      <c r="D360" s="17" t="s">
        <v>16</v>
      </c>
      <c r="E360" s="18">
        <f>ROUND(4821*1.05,2)</f>
      </c>
      <c r="F360" s="17" t="s">
        <v>48</v>
      </c>
      <c r="G360" s="17" t="s">
        <v>18</v>
      </c>
      <c r="H360" s="18">
        <f>ROUND(RAND()*4+6,1)</f>
      </c>
      <c r="I360" s="17" t="s">
        <v>19</v>
      </c>
      <c r="J360" s="19">
        <f>ROUND(62*1,0)&amp;"%"</f>
      </c>
    </row>
    <row x14ac:dyDescent="0.25" r="361" customHeight="1" ht="17.25">
      <c r="A361" s="20" t="s">
        <v>8982</v>
      </c>
      <c r="B361" s="20" t="s">
        <v>580</v>
      </c>
      <c r="C361" s="20" t="s">
        <v>56</v>
      </c>
      <c r="D361" s="20" t="s">
        <v>22</v>
      </c>
      <c r="E361" s="21">
        <f>ROUND(12407*1.05,2)</f>
      </c>
      <c r="F361" s="20" t="s">
        <v>51</v>
      </c>
      <c r="G361" s="20" t="s">
        <v>24</v>
      </c>
      <c r="H361" s="21">
        <f>ROUND(RAND()*4+6,1)</f>
      </c>
      <c r="I361" s="20" t="s">
        <v>25</v>
      </c>
      <c r="J361" s="23">
        <f>ROUND(64*1,0)&amp;"%"</f>
      </c>
    </row>
    <row x14ac:dyDescent="0.25" r="362" customHeight="1" ht="17.25">
      <c r="A362" s="24" t="s">
        <v>581</v>
      </c>
      <c r="B362" s="24"/>
      <c r="C362" s="24"/>
      <c r="D362" s="24"/>
      <c r="E362" s="25">
        <v>8</v>
      </c>
      <c r="F362" s="9"/>
      <c r="G362" s="9"/>
      <c r="H362" s="10"/>
      <c r="I362" s="9"/>
      <c r="J362" s="9"/>
    </row>
  </sheetData>
  <mergeCells count="62">
    <mergeCell ref="A1:J1"/>
    <mergeCell ref="A2:J2"/>
    <mergeCell ref="A4:J4"/>
    <mergeCell ref="A14:D14"/>
    <mergeCell ref="A16:J16"/>
    <mergeCell ref="A26:D26"/>
    <mergeCell ref="A28:J28"/>
    <mergeCell ref="A38:D38"/>
    <mergeCell ref="A40:J40"/>
    <mergeCell ref="A50:D50"/>
    <mergeCell ref="A52:J52"/>
    <mergeCell ref="A62:D62"/>
    <mergeCell ref="A64:J64"/>
    <mergeCell ref="A74:D74"/>
    <mergeCell ref="A76:J76"/>
    <mergeCell ref="A86:D86"/>
    <mergeCell ref="A88:J88"/>
    <mergeCell ref="A98:D98"/>
    <mergeCell ref="A100:J100"/>
    <mergeCell ref="A110:D110"/>
    <mergeCell ref="A112:J112"/>
    <mergeCell ref="A122:D122"/>
    <mergeCell ref="A124:J124"/>
    <mergeCell ref="A134:D134"/>
    <mergeCell ref="A136:J136"/>
    <mergeCell ref="A146:D146"/>
    <mergeCell ref="A148:J148"/>
    <mergeCell ref="A158:D158"/>
    <mergeCell ref="A160:J160"/>
    <mergeCell ref="A170:D170"/>
    <mergeCell ref="A172:J172"/>
    <mergeCell ref="A182:D182"/>
    <mergeCell ref="A184:J184"/>
    <mergeCell ref="A194:D194"/>
    <mergeCell ref="A196:J196"/>
    <mergeCell ref="A206:D206"/>
    <mergeCell ref="A208:J208"/>
    <mergeCell ref="A218:D218"/>
    <mergeCell ref="A220:J220"/>
    <mergeCell ref="A230:D230"/>
    <mergeCell ref="A232:J232"/>
    <mergeCell ref="A242:D242"/>
    <mergeCell ref="A244:J244"/>
    <mergeCell ref="A254:D254"/>
    <mergeCell ref="A256:J256"/>
    <mergeCell ref="A266:D266"/>
    <mergeCell ref="A268:J268"/>
    <mergeCell ref="A278:D278"/>
    <mergeCell ref="A280:J280"/>
    <mergeCell ref="A290:D290"/>
    <mergeCell ref="A292:J292"/>
    <mergeCell ref="A302:D302"/>
    <mergeCell ref="A304:J304"/>
    <mergeCell ref="A314:D314"/>
    <mergeCell ref="A316:J316"/>
    <mergeCell ref="A326:D326"/>
    <mergeCell ref="A328:J328"/>
    <mergeCell ref="A338:D338"/>
    <mergeCell ref="A340:J340"/>
    <mergeCell ref="A350:D350"/>
    <mergeCell ref="A352:J352"/>
    <mergeCell ref="A362:D362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J362"/>
  <sheetViews>
    <sheetView workbookViewId="0"/>
  </sheetViews>
  <sheetFormatPr defaultRowHeight="15" x14ac:dyDescent="0.25"/>
  <cols>
    <col min="1" max="1" style="27" width="8.005" customWidth="1" bestFit="1"/>
    <col min="2" max="2" style="27" width="22.005" customWidth="1" bestFit="1"/>
    <col min="3" max="3" style="27" width="16.005" customWidth="1" bestFit="1"/>
    <col min="4" max="4" style="27" width="14.005" customWidth="1" bestFit="1"/>
    <col min="5" max="5" style="28" width="12.005" customWidth="1" bestFit="1"/>
    <col min="6" max="6" style="29" width="16.005" customWidth="1" bestFit="1"/>
    <col min="7" max="7" style="29" width="10.005" customWidth="1" bestFit="1"/>
    <col min="8" max="8" style="32" width="10.005" customWidth="1" bestFit="1"/>
    <col min="9" max="9" style="29" width="14.005" customWidth="1" bestFit="1"/>
    <col min="10" max="10" style="29" width="8.005" customWidth="1" bestFit="1"/>
  </cols>
  <sheetData>
    <row x14ac:dyDescent="0.25" r="1" customHeight="1" ht="17.25">
      <c r="A1" s="1" t="s">
        <v>8441</v>
      </c>
      <c r="B1" s="1"/>
      <c r="C1" s="1"/>
      <c r="D1" s="1"/>
      <c r="E1" s="2"/>
      <c r="F1" s="1"/>
      <c r="G1" s="1"/>
      <c r="H1" s="2"/>
      <c r="I1" s="1"/>
      <c r="J1" s="1"/>
    </row>
    <row x14ac:dyDescent="0.25" r="2" customHeight="1" ht="17.25">
      <c r="A2" s="4" t="s">
        <v>1</v>
      </c>
      <c r="B2" s="4"/>
      <c r="C2" s="4"/>
      <c r="D2" s="4"/>
      <c r="E2" s="5"/>
      <c r="F2" s="4"/>
      <c r="G2" s="4"/>
      <c r="H2" s="5"/>
      <c r="I2" s="4"/>
      <c r="J2" s="4"/>
    </row>
    <row x14ac:dyDescent="0.25" r="3" customHeight="1" ht="17.25">
      <c r="A3" s="7"/>
      <c r="B3" s="7"/>
      <c r="C3" s="7"/>
      <c r="D3" s="7"/>
      <c r="E3" s="8"/>
      <c r="F3" s="9"/>
      <c r="G3" s="9"/>
      <c r="H3" s="31"/>
      <c r="I3" s="9"/>
      <c r="J3" s="9"/>
    </row>
    <row x14ac:dyDescent="0.25" r="4" customHeight="1" ht="17.25">
      <c r="A4" s="11" t="s">
        <v>8442</v>
      </c>
      <c r="B4" s="11"/>
      <c r="C4" s="11"/>
      <c r="D4" s="11"/>
      <c r="E4" s="12"/>
      <c r="F4" s="11"/>
      <c r="G4" s="11"/>
      <c r="H4" s="12"/>
      <c r="I4" s="11"/>
      <c r="J4" s="11"/>
    </row>
    <row x14ac:dyDescent="0.25" r="5" customHeight="1" ht="17.25">
      <c r="A5" s="14" t="s">
        <v>3</v>
      </c>
      <c r="B5" s="14" t="s">
        <v>4</v>
      </c>
      <c r="C5" s="14" t="s">
        <v>5</v>
      </c>
      <c r="D5" s="14" t="s">
        <v>6</v>
      </c>
      <c r="E5" s="15" t="s">
        <v>7</v>
      </c>
      <c r="F5" s="14" t="s">
        <v>8</v>
      </c>
      <c r="G5" s="14" t="s">
        <v>9</v>
      </c>
      <c r="H5" s="15" t="s">
        <v>10</v>
      </c>
      <c r="I5" s="14" t="s">
        <v>11</v>
      </c>
      <c r="J5" s="14" t="s">
        <v>12</v>
      </c>
    </row>
    <row x14ac:dyDescent="0.25" r="6" customHeight="1" ht="17.25">
      <c r="A6" s="17" t="s">
        <v>8443</v>
      </c>
      <c r="B6" s="17" t="s">
        <v>14</v>
      </c>
      <c r="C6" s="17" t="s">
        <v>15</v>
      </c>
      <c r="D6" s="17" t="s">
        <v>16</v>
      </c>
      <c r="E6" s="18">
        <f>ROUND(11687*1.05,2)</f>
      </c>
      <c r="F6" s="17" t="s">
        <v>17</v>
      </c>
      <c r="G6" s="17" t="s">
        <v>18</v>
      </c>
      <c r="H6" s="18">
        <f>ROUND(RAND()*4+6,1)</f>
      </c>
      <c r="I6" s="17" t="s">
        <v>19</v>
      </c>
      <c r="J6" s="19">
        <f>ROUND(95*1,0)&amp;"%"</f>
      </c>
    </row>
    <row x14ac:dyDescent="0.25" r="7" customHeight="1" ht="17.25">
      <c r="A7" s="20" t="s">
        <v>8444</v>
      </c>
      <c r="B7" s="20" t="s">
        <v>21</v>
      </c>
      <c r="C7" s="20" t="s">
        <v>15</v>
      </c>
      <c r="D7" s="20" t="s">
        <v>22</v>
      </c>
      <c r="E7" s="21">
        <f>ROUND(11034*1.05,2)</f>
      </c>
      <c r="F7" s="20" t="s">
        <v>23</v>
      </c>
      <c r="G7" s="20" t="s">
        <v>24</v>
      </c>
      <c r="H7" s="21">
        <f>ROUND(RAND()*4+6,1)</f>
      </c>
      <c r="I7" s="20" t="s">
        <v>25</v>
      </c>
      <c r="J7" s="23">
        <f>ROUND(73*1,0)&amp;"%"</f>
      </c>
    </row>
    <row x14ac:dyDescent="0.25" r="8" customHeight="1" ht="17.25">
      <c r="A8" s="17" t="s">
        <v>8445</v>
      </c>
      <c r="B8" s="17" t="s">
        <v>27</v>
      </c>
      <c r="C8" s="17" t="s">
        <v>15</v>
      </c>
      <c r="D8" s="17" t="s">
        <v>28</v>
      </c>
      <c r="E8" s="26">
        <f>ROUND(4020*1.05,2)</f>
      </c>
      <c r="F8" s="17" t="s">
        <v>29</v>
      </c>
      <c r="G8" s="17" t="s">
        <v>30</v>
      </c>
      <c r="H8" s="18">
        <f>ROUND(RAND()*4+6,1)</f>
      </c>
      <c r="I8" s="17" t="s">
        <v>31</v>
      </c>
      <c r="J8" s="19">
        <f>ROUND(93*1,0)&amp;"%"</f>
      </c>
    </row>
    <row x14ac:dyDescent="0.25" r="9" customHeight="1" ht="17.25">
      <c r="A9" s="20" t="s">
        <v>8446</v>
      </c>
      <c r="B9" s="20" t="s">
        <v>33</v>
      </c>
      <c r="C9" s="20" t="s">
        <v>15</v>
      </c>
      <c r="D9" s="20" t="s">
        <v>34</v>
      </c>
      <c r="E9" s="21">
        <f>ROUND(17784*1.05,2)</f>
      </c>
      <c r="F9" s="20" t="s">
        <v>35</v>
      </c>
      <c r="G9" s="20" t="s">
        <v>18</v>
      </c>
      <c r="H9" s="21">
        <f>ROUND(RAND()*4+6,1)</f>
      </c>
      <c r="I9" s="20" t="s">
        <v>36</v>
      </c>
      <c r="J9" s="23">
        <f>ROUND(60*1,0)&amp;"%"</f>
      </c>
    </row>
    <row x14ac:dyDescent="0.25" r="10" customHeight="1" ht="17.25">
      <c r="A10" s="17" t="s">
        <v>8447</v>
      </c>
      <c r="B10" s="17" t="s">
        <v>38</v>
      </c>
      <c r="C10" s="17" t="s">
        <v>15</v>
      </c>
      <c r="D10" s="17" t="s">
        <v>39</v>
      </c>
      <c r="E10" s="18">
        <f>ROUND(10265*1.05,2)</f>
      </c>
      <c r="F10" s="17" t="s">
        <v>40</v>
      </c>
      <c r="G10" s="17" t="s">
        <v>24</v>
      </c>
      <c r="H10" s="26">
        <f>ROUND(RAND()*4+6,1)</f>
      </c>
      <c r="I10" s="17" t="s">
        <v>41</v>
      </c>
      <c r="J10" s="19">
        <f>ROUND(67*1,0)&amp;"%"</f>
      </c>
    </row>
    <row x14ac:dyDescent="0.25" r="11" customHeight="1" ht="17.25">
      <c r="A11" s="20" t="s">
        <v>8448</v>
      </c>
      <c r="B11" s="20" t="s">
        <v>43</v>
      </c>
      <c r="C11" s="20" t="s">
        <v>15</v>
      </c>
      <c r="D11" s="20" t="s">
        <v>67</v>
      </c>
      <c r="E11" s="21">
        <f>ROUND(12661*1.05,2)</f>
      </c>
      <c r="F11" s="20" t="s">
        <v>44</v>
      </c>
      <c r="G11" s="20" t="s">
        <v>30</v>
      </c>
      <c r="H11" s="21">
        <f>ROUND(RAND()*4+6,1)</f>
      </c>
      <c r="I11" s="20" t="s">
        <v>45</v>
      </c>
      <c r="J11" s="23">
        <f>ROUND(80*1,0)&amp;"%"</f>
      </c>
    </row>
    <row x14ac:dyDescent="0.25" r="12" customHeight="1" ht="17.25">
      <c r="A12" s="17" t="s">
        <v>8449</v>
      </c>
      <c r="B12" s="17" t="s">
        <v>47</v>
      </c>
      <c r="C12" s="17" t="s">
        <v>15</v>
      </c>
      <c r="D12" s="17" t="s">
        <v>16</v>
      </c>
      <c r="E12" s="18">
        <f>ROUND(9223*1.05,2)</f>
      </c>
      <c r="F12" s="17" t="s">
        <v>48</v>
      </c>
      <c r="G12" s="17" t="s">
        <v>18</v>
      </c>
      <c r="H12" s="18">
        <f>ROUND(RAND()*4+6,1)</f>
      </c>
      <c r="I12" s="17" t="s">
        <v>19</v>
      </c>
      <c r="J12" s="19">
        <f>ROUND(80*1,0)&amp;"%"</f>
      </c>
    </row>
    <row x14ac:dyDescent="0.25" r="13" customHeight="1" ht="17.25">
      <c r="A13" s="20" t="s">
        <v>8450</v>
      </c>
      <c r="B13" s="20" t="s">
        <v>50</v>
      </c>
      <c r="C13" s="20" t="s">
        <v>15</v>
      </c>
      <c r="D13" s="20" t="s">
        <v>22</v>
      </c>
      <c r="E13" s="22">
        <f>ROUND(7420*1.05,2)</f>
      </c>
      <c r="F13" s="20" t="s">
        <v>51</v>
      </c>
      <c r="G13" s="20" t="s">
        <v>24</v>
      </c>
      <c r="H13" s="21">
        <f>ROUND(RAND()*4+6,1)</f>
      </c>
      <c r="I13" s="20" t="s">
        <v>25</v>
      </c>
      <c r="J13" s="23">
        <f>ROUND(83*1,0)&amp;"%"</f>
      </c>
    </row>
    <row x14ac:dyDescent="0.25" r="14" customHeight="1" ht="17.25">
      <c r="A14" s="24" t="s">
        <v>52</v>
      </c>
      <c r="B14" s="24"/>
      <c r="C14" s="24"/>
      <c r="D14" s="24"/>
      <c r="E14" s="25">
        <v>8</v>
      </c>
      <c r="F14" s="9"/>
      <c r="G14" s="9"/>
      <c r="H14" s="31"/>
      <c r="I14" s="9"/>
      <c r="J14" s="9"/>
    </row>
    <row x14ac:dyDescent="0.25" r="15" customHeight="1" ht="17.25">
      <c r="A15" s="7"/>
      <c r="B15" s="7"/>
      <c r="C15" s="7"/>
      <c r="D15" s="7"/>
      <c r="E15" s="8"/>
      <c r="F15" s="9"/>
      <c r="G15" s="9"/>
      <c r="H15" s="31"/>
      <c r="I15" s="9"/>
      <c r="J15" s="9"/>
    </row>
    <row x14ac:dyDescent="0.25" r="16" customHeight="1" ht="17.25">
      <c r="A16" s="11" t="s">
        <v>8451</v>
      </c>
      <c r="B16" s="11"/>
      <c r="C16" s="11"/>
      <c r="D16" s="11"/>
      <c r="E16" s="12"/>
      <c r="F16" s="11"/>
      <c r="G16" s="11"/>
      <c r="H16" s="12"/>
      <c r="I16" s="11"/>
      <c r="J16" s="11"/>
    </row>
    <row x14ac:dyDescent="0.25" r="17" customHeight="1" ht="17.25">
      <c r="A17" s="14" t="s">
        <v>3</v>
      </c>
      <c r="B17" s="14" t="s">
        <v>4</v>
      </c>
      <c r="C17" s="14" t="s">
        <v>5</v>
      </c>
      <c r="D17" s="14" t="s">
        <v>6</v>
      </c>
      <c r="E17" s="15" t="s">
        <v>7</v>
      </c>
      <c r="F17" s="14" t="s">
        <v>8</v>
      </c>
      <c r="G17" s="14" t="s">
        <v>9</v>
      </c>
      <c r="H17" s="15" t="s">
        <v>10</v>
      </c>
      <c r="I17" s="14" t="s">
        <v>11</v>
      </c>
      <c r="J17" s="14" t="s">
        <v>12</v>
      </c>
    </row>
    <row x14ac:dyDescent="0.25" r="18" customHeight="1" ht="17.25">
      <c r="A18" s="17" t="s">
        <v>8452</v>
      </c>
      <c r="B18" s="17" t="s">
        <v>55</v>
      </c>
      <c r="C18" s="17" t="s">
        <v>56</v>
      </c>
      <c r="D18" s="17" t="s">
        <v>16</v>
      </c>
      <c r="E18" s="18">
        <f>ROUND(13219*1.05,2)</f>
      </c>
      <c r="F18" s="17" t="s">
        <v>17</v>
      </c>
      <c r="G18" s="17" t="s">
        <v>18</v>
      </c>
      <c r="H18" s="18">
        <f>ROUND(RAND()*4+6,1)</f>
      </c>
      <c r="I18" s="17" t="s">
        <v>19</v>
      </c>
      <c r="J18" s="19">
        <f>ROUND(61*1,0)&amp;"%"</f>
      </c>
    </row>
    <row x14ac:dyDescent="0.25" r="19" customHeight="1" ht="17.25">
      <c r="A19" s="20" t="s">
        <v>8453</v>
      </c>
      <c r="B19" s="20" t="s">
        <v>58</v>
      </c>
      <c r="C19" s="20" t="s">
        <v>56</v>
      </c>
      <c r="D19" s="20" t="s">
        <v>22</v>
      </c>
      <c r="E19" s="21">
        <f>ROUND(4170*1.05,2)</f>
      </c>
      <c r="F19" s="20" t="s">
        <v>23</v>
      </c>
      <c r="G19" s="20" t="s">
        <v>24</v>
      </c>
      <c r="H19" s="21">
        <f>ROUND(RAND()*4+6,1)</f>
      </c>
      <c r="I19" s="20" t="s">
        <v>25</v>
      </c>
      <c r="J19" s="23">
        <f>ROUND(65*1,0)&amp;"%"</f>
      </c>
    </row>
    <row x14ac:dyDescent="0.25" r="20" customHeight="1" ht="17.25">
      <c r="A20" s="17" t="s">
        <v>8454</v>
      </c>
      <c r="B20" s="17" t="s">
        <v>60</v>
      </c>
      <c r="C20" s="17" t="s">
        <v>56</v>
      </c>
      <c r="D20" s="17" t="s">
        <v>28</v>
      </c>
      <c r="E20" s="18">
        <f>ROUND(6850*1.05,2)</f>
      </c>
      <c r="F20" s="17" t="s">
        <v>29</v>
      </c>
      <c r="G20" s="17" t="s">
        <v>30</v>
      </c>
      <c r="H20" s="18">
        <f>ROUND(RAND()*4+6,1)</f>
      </c>
      <c r="I20" s="17" t="s">
        <v>31</v>
      </c>
      <c r="J20" s="19">
        <f>ROUND(69*1,0)&amp;"%"</f>
      </c>
    </row>
    <row x14ac:dyDescent="0.25" r="21" customHeight="1" ht="17.25">
      <c r="A21" s="20" t="s">
        <v>8455</v>
      </c>
      <c r="B21" s="20" t="s">
        <v>62</v>
      </c>
      <c r="C21" s="20" t="s">
        <v>56</v>
      </c>
      <c r="D21" s="20" t="s">
        <v>34</v>
      </c>
      <c r="E21" s="21">
        <f>ROUND(13345*1.05,2)</f>
      </c>
      <c r="F21" s="20" t="s">
        <v>35</v>
      </c>
      <c r="G21" s="20" t="s">
        <v>18</v>
      </c>
      <c r="H21" s="21">
        <f>ROUND(RAND()*4+6,1)</f>
      </c>
      <c r="I21" s="20" t="s">
        <v>36</v>
      </c>
      <c r="J21" s="23">
        <f>ROUND(70*1,0)&amp;"%"</f>
      </c>
    </row>
    <row x14ac:dyDescent="0.25" r="22" customHeight="1" ht="17.25">
      <c r="A22" s="17" t="s">
        <v>8456</v>
      </c>
      <c r="B22" s="17" t="s">
        <v>64</v>
      </c>
      <c r="C22" s="17" t="s">
        <v>56</v>
      </c>
      <c r="D22" s="17" t="s">
        <v>39</v>
      </c>
      <c r="E22" s="18">
        <f>ROUND(11076*1.05,2)</f>
      </c>
      <c r="F22" s="17" t="s">
        <v>40</v>
      </c>
      <c r="G22" s="17" t="s">
        <v>24</v>
      </c>
      <c r="H22" s="18">
        <f>ROUND(RAND()*4+6,1)</f>
      </c>
      <c r="I22" s="17" t="s">
        <v>41</v>
      </c>
      <c r="J22" s="19">
        <f>ROUND(63*1,0)&amp;"%"</f>
      </c>
    </row>
    <row x14ac:dyDescent="0.25" r="23" customHeight="1" ht="17.25">
      <c r="A23" s="20" t="s">
        <v>8457</v>
      </c>
      <c r="B23" s="20" t="s">
        <v>66</v>
      </c>
      <c r="C23" s="20" t="s">
        <v>56</v>
      </c>
      <c r="D23" s="20" t="s">
        <v>67</v>
      </c>
      <c r="E23" s="21">
        <f>ROUND(10501*1.05,2)</f>
      </c>
      <c r="F23" s="20" t="s">
        <v>44</v>
      </c>
      <c r="G23" s="20" t="s">
        <v>30</v>
      </c>
      <c r="H23" s="21">
        <f>ROUND(RAND()*4+6,1)</f>
      </c>
      <c r="I23" s="20" t="s">
        <v>45</v>
      </c>
      <c r="J23" s="23">
        <f>ROUND(94*1,0)&amp;"%"</f>
      </c>
    </row>
    <row x14ac:dyDescent="0.25" r="24" customHeight="1" ht="17.25">
      <c r="A24" s="17" t="s">
        <v>8458</v>
      </c>
      <c r="B24" s="17" t="s">
        <v>69</v>
      </c>
      <c r="C24" s="17" t="s">
        <v>56</v>
      </c>
      <c r="D24" s="17" t="s">
        <v>16</v>
      </c>
      <c r="E24" s="18">
        <f>ROUND(12682*1.05,2)</f>
      </c>
      <c r="F24" s="17" t="s">
        <v>48</v>
      </c>
      <c r="G24" s="17" t="s">
        <v>18</v>
      </c>
      <c r="H24" s="18">
        <f>ROUND(RAND()*4+6,1)</f>
      </c>
      <c r="I24" s="17" t="s">
        <v>19</v>
      </c>
      <c r="J24" s="19">
        <f>ROUND(91*1,0)&amp;"%"</f>
      </c>
    </row>
    <row x14ac:dyDescent="0.25" r="25" customHeight="1" ht="17.25">
      <c r="A25" s="20" t="s">
        <v>8459</v>
      </c>
      <c r="B25" s="20" t="s">
        <v>71</v>
      </c>
      <c r="C25" s="20" t="s">
        <v>56</v>
      </c>
      <c r="D25" s="20" t="s">
        <v>22</v>
      </c>
      <c r="E25" s="21">
        <f>ROUND(6984*1.05,2)</f>
      </c>
      <c r="F25" s="20" t="s">
        <v>51</v>
      </c>
      <c r="G25" s="20" t="s">
        <v>24</v>
      </c>
      <c r="H25" s="21">
        <f>ROUND(RAND()*4+6,1)</f>
      </c>
      <c r="I25" s="20" t="s">
        <v>25</v>
      </c>
      <c r="J25" s="23">
        <f>ROUND(85*1,0)&amp;"%"</f>
      </c>
    </row>
    <row x14ac:dyDescent="0.25" r="26" customHeight="1" ht="17.25">
      <c r="A26" s="24" t="s">
        <v>72</v>
      </c>
      <c r="B26" s="24"/>
      <c r="C26" s="24"/>
      <c r="D26" s="24"/>
      <c r="E26" s="25">
        <v>8</v>
      </c>
      <c r="F26" s="9"/>
      <c r="G26" s="9"/>
      <c r="H26" s="31"/>
      <c r="I26" s="9"/>
      <c r="J26" s="9"/>
    </row>
    <row x14ac:dyDescent="0.25" r="27" customHeight="1" ht="17.25">
      <c r="A27" s="7"/>
      <c r="B27" s="7"/>
      <c r="C27" s="7"/>
      <c r="D27" s="7"/>
      <c r="E27" s="8"/>
      <c r="F27" s="9"/>
      <c r="G27" s="9"/>
      <c r="H27" s="31"/>
      <c r="I27" s="9"/>
      <c r="J27" s="9"/>
    </row>
    <row x14ac:dyDescent="0.25" r="28" customHeight="1" ht="17.25">
      <c r="A28" s="11" t="s">
        <v>8460</v>
      </c>
      <c r="B28" s="11"/>
      <c r="C28" s="11"/>
      <c r="D28" s="11"/>
      <c r="E28" s="12"/>
      <c r="F28" s="11"/>
      <c r="G28" s="11"/>
      <c r="H28" s="12"/>
      <c r="I28" s="11"/>
      <c r="J28" s="11"/>
    </row>
    <row x14ac:dyDescent="0.25" r="29" customHeight="1" ht="17.25">
      <c r="A29" s="14" t="s">
        <v>3</v>
      </c>
      <c r="B29" s="14" t="s">
        <v>4</v>
      </c>
      <c r="C29" s="14" t="s">
        <v>5</v>
      </c>
      <c r="D29" s="14" t="s">
        <v>6</v>
      </c>
      <c r="E29" s="15" t="s">
        <v>7</v>
      </c>
      <c r="F29" s="14" t="s">
        <v>8</v>
      </c>
      <c r="G29" s="14" t="s">
        <v>9</v>
      </c>
      <c r="H29" s="15" t="s">
        <v>10</v>
      </c>
      <c r="I29" s="14" t="s">
        <v>11</v>
      </c>
      <c r="J29" s="14" t="s">
        <v>12</v>
      </c>
    </row>
    <row x14ac:dyDescent="0.25" r="30" customHeight="1" ht="17.25">
      <c r="A30" s="17" t="s">
        <v>8461</v>
      </c>
      <c r="B30" s="17" t="s">
        <v>75</v>
      </c>
      <c r="C30" s="17" t="s">
        <v>76</v>
      </c>
      <c r="D30" s="17" t="s">
        <v>16</v>
      </c>
      <c r="E30" s="26">
        <f>ROUND(16560*1.05,2)</f>
      </c>
      <c r="F30" s="17" t="s">
        <v>17</v>
      </c>
      <c r="G30" s="17" t="s">
        <v>18</v>
      </c>
      <c r="H30" s="18">
        <f>ROUND(RAND()*4+6,1)</f>
      </c>
      <c r="I30" s="17" t="s">
        <v>19</v>
      </c>
      <c r="J30" s="19">
        <f>ROUND(98*1,0)&amp;"%"</f>
      </c>
    </row>
    <row x14ac:dyDescent="0.25" r="31" customHeight="1" ht="17.25">
      <c r="A31" s="20" t="s">
        <v>8462</v>
      </c>
      <c r="B31" s="20" t="s">
        <v>78</v>
      </c>
      <c r="C31" s="20" t="s">
        <v>76</v>
      </c>
      <c r="D31" s="20" t="s">
        <v>22</v>
      </c>
      <c r="E31" s="21">
        <f>ROUND(5625*1.05,2)</f>
      </c>
      <c r="F31" s="20" t="s">
        <v>23</v>
      </c>
      <c r="G31" s="20" t="s">
        <v>24</v>
      </c>
      <c r="H31" s="21">
        <f>ROUND(RAND()*4+6,1)</f>
      </c>
      <c r="I31" s="20" t="s">
        <v>25</v>
      </c>
      <c r="J31" s="23">
        <f>ROUND(88*1,0)&amp;"%"</f>
      </c>
    </row>
    <row x14ac:dyDescent="0.25" r="32" customHeight="1" ht="17.25">
      <c r="A32" s="17" t="s">
        <v>8463</v>
      </c>
      <c r="B32" s="17" t="s">
        <v>80</v>
      </c>
      <c r="C32" s="17" t="s">
        <v>76</v>
      </c>
      <c r="D32" s="17" t="s">
        <v>28</v>
      </c>
      <c r="E32" s="18">
        <f>ROUND(11423*1.05,2)</f>
      </c>
      <c r="F32" s="17" t="s">
        <v>29</v>
      </c>
      <c r="G32" s="17" t="s">
        <v>30</v>
      </c>
      <c r="H32" s="18">
        <f>ROUND(RAND()*4+6,1)</f>
      </c>
      <c r="I32" s="17" t="s">
        <v>31</v>
      </c>
      <c r="J32" s="19">
        <f>ROUND(70*1,0)&amp;"%"</f>
      </c>
    </row>
    <row x14ac:dyDescent="0.25" r="33" customHeight="1" ht="17.25">
      <c r="A33" s="20" t="s">
        <v>8464</v>
      </c>
      <c r="B33" s="20" t="s">
        <v>82</v>
      </c>
      <c r="C33" s="20" t="s">
        <v>76</v>
      </c>
      <c r="D33" s="20" t="s">
        <v>34</v>
      </c>
      <c r="E33" s="21">
        <f>ROUND(12830*1.05,2)</f>
      </c>
      <c r="F33" s="20" t="s">
        <v>35</v>
      </c>
      <c r="G33" s="20" t="s">
        <v>18</v>
      </c>
      <c r="H33" s="21">
        <f>ROUND(RAND()*4+6,1)</f>
      </c>
      <c r="I33" s="20" t="s">
        <v>36</v>
      </c>
      <c r="J33" s="23">
        <f>ROUND(61*1,0)&amp;"%"</f>
      </c>
    </row>
    <row x14ac:dyDescent="0.25" r="34" customHeight="1" ht="17.25">
      <c r="A34" s="17" t="s">
        <v>8465</v>
      </c>
      <c r="B34" s="17" t="s">
        <v>84</v>
      </c>
      <c r="C34" s="17" t="s">
        <v>76</v>
      </c>
      <c r="D34" s="17" t="s">
        <v>39</v>
      </c>
      <c r="E34" s="18">
        <f>ROUND(5082*1.05,2)</f>
      </c>
      <c r="F34" s="17" t="s">
        <v>40</v>
      </c>
      <c r="G34" s="17" t="s">
        <v>24</v>
      </c>
      <c r="H34" s="18">
        <f>ROUND(RAND()*4+6,1)</f>
      </c>
      <c r="I34" s="17" t="s">
        <v>41</v>
      </c>
      <c r="J34" s="19">
        <f>ROUND(87*1,0)&amp;"%"</f>
      </c>
    </row>
    <row x14ac:dyDescent="0.25" r="35" customHeight="1" ht="17.25">
      <c r="A35" s="20" t="s">
        <v>8466</v>
      </c>
      <c r="B35" s="20" t="s">
        <v>86</v>
      </c>
      <c r="C35" s="20" t="s">
        <v>76</v>
      </c>
      <c r="D35" s="20" t="s">
        <v>67</v>
      </c>
      <c r="E35" s="21">
        <f>ROUND(5488*1.05,2)</f>
      </c>
      <c r="F35" s="20" t="s">
        <v>44</v>
      </c>
      <c r="G35" s="20" t="s">
        <v>30</v>
      </c>
      <c r="H35" s="21">
        <f>ROUND(RAND()*4+6,1)</f>
      </c>
      <c r="I35" s="20" t="s">
        <v>45</v>
      </c>
      <c r="J35" s="23">
        <f>ROUND(85*1,0)&amp;"%"</f>
      </c>
    </row>
    <row x14ac:dyDescent="0.25" r="36" customHeight="1" ht="17.25">
      <c r="A36" s="17" t="s">
        <v>8467</v>
      </c>
      <c r="B36" s="17" t="s">
        <v>88</v>
      </c>
      <c r="C36" s="17" t="s">
        <v>76</v>
      </c>
      <c r="D36" s="17" t="s">
        <v>16</v>
      </c>
      <c r="E36" s="18">
        <f>ROUND(12664*1.05,2)</f>
      </c>
      <c r="F36" s="17" t="s">
        <v>48</v>
      </c>
      <c r="G36" s="17" t="s">
        <v>18</v>
      </c>
      <c r="H36" s="18">
        <f>ROUND(RAND()*4+6,1)</f>
      </c>
      <c r="I36" s="17" t="s">
        <v>19</v>
      </c>
      <c r="J36" s="19">
        <f>ROUND(62*1,0)&amp;"%"</f>
      </c>
    </row>
    <row x14ac:dyDescent="0.25" r="37" customHeight="1" ht="17.25">
      <c r="A37" s="20" t="s">
        <v>8468</v>
      </c>
      <c r="B37" s="20" t="s">
        <v>90</v>
      </c>
      <c r="C37" s="20" t="s">
        <v>76</v>
      </c>
      <c r="D37" s="20" t="s">
        <v>22</v>
      </c>
      <c r="E37" s="21">
        <f>ROUND(17893*1.05,2)</f>
      </c>
      <c r="F37" s="20" t="s">
        <v>51</v>
      </c>
      <c r="G37" s="20" t="s">
        <v>24</v>
      </c>
      <c r="H37" s="21">
        <f>ROUND(RAND()*4+6,1)</f>
      </c>
      <c r="I37" s="20" t="s">
        <v>25</v>
      </c>
      <c r="J37" s="23">
        <f>ROUND(91*1,0)&amp;"%"</f>
      </c>
    </row>
    <row x14ac:dyDescent="0.25" r="38" customHeight="1" ht="17.25">
      <c r="A38" s="24" t="s">
        <v>91</v>
      </c>
      <c r="B38" s="24"/>
      <c r="C38" s="24"/>
      <c r="D38" s="24"/>
      <c r="E38" s="25">
        <v>8</v>
      </c>
      <c r="F38" s="9"/>
      <c r="G38" s="9"/>
      <c r="H38" s="31"/>
      <c r="I38" s="9"/>
      <c r="J38" s="9"/>
    </row>
    <row x14ac:dyDescent="0.25" r="39" customHeight="1" ht="17.25">
      <c r="A39" s="7"/>
      <c r="B39" s="7"/>
      <c r="C39" s="7"/>
      <c r="D39" s="7"/>
      <c r="E39" s="8"/>
      <c r="F39" s="9"/>
      <c r="G39" s="9"/>
      <c r="H39" s="31"/>
      <c r="I39" s="9"/>
      <c r="J39" s="9"/>
    </row>
    <row x14ac:dyDescent="0.25" r="40" customHeight="1" ht="17.25">
      <c r="A40" s="11" t="s">
        <v>8469</v>
      </c>
      <c r="B40" s="11"/>
      <c r="C40" s="11"/>
      <c r="D40" s="11"/>
      <c r="E40" s="12"/>
      <c r="F40" s="11"/>
      <c r="G40" s="11"/>
      <c r="H40" s="12"/>
      <c r="I40" s="11"/>
      <c r="J40" s="11"/>
    </row>
    <row x14ac:dyDescent="0.25" r="41" customHeight="1" ht="17.25">
      <c r="A41" s="14" t="s">
        <v>3</v>
      </c>
      <c r="B41" s="14" t="s">
        <v>4</v>
      </c>
      <c r="C41" s="14" t="s">
        <v>5</v>
      </c>
      <c r="D41" s="14" t="s">
        <v>6</v>
      </c>
      <c r="E41" s="15" t="s">
        <v>7</v>
      </c>
      <c r="F41" s="14" t="s">
        <v>8</v>
      </c>
      <c r="G41" s="14" t="s">
        <v>9</v>
      </c>
      <c r="H41" s="15" t="s">
        <v>10</v>
      </c>
      <c r="I41" s="14" t="s">
        <v>11</v>
      </c>
      <c r="J41" s="14" t="s">
        <v>12</v>
      </c>
    </row>
    <row x14ac:dyDescent="0.25" r="42" customHeight="1" ht="17.25">
      <c r="A42" s="17" t="s">
        <v>8470</v>
      </c>
      <c r="B42" s="17" t="s">
        <v>94</v>
      </c>
      <c r="C42" s="17" t="s">
        <v>95</v>
      </c>
      <c r="D42" s="17" t="s">
        <v>16</v>
      </c>
      <c r="E42" s="18">
        <f>ROUND(16570*1.05,2)</f>
      </c>
      <c r="F42" s="17" t="s">
        <v>17</v>
      </c>
      <c r="G42" s="17" t="s">
        <v>18</v>
      </c>
      <c r="H42" s="18">
        <f>ROUND(RAND()*4+6,1)</f>
      </c>
      <c r="I42" s="17" t="s">
        <v>19</v>
      </c>
      <c r="J42" s="19">
        <f>ROUND(86*1,0)&amp;"%"</f>
      </c>
    </row>
    <row x14ac:dyDescent="0.25" r="43" customHeight="1" ht="17.25">
      <c r="A43" s="20" t="s">
        <v>8471</v>
      </c>
      <c r="B43" s="20" t="s">
        <v>97</v>
      </c>
      <c r="C43" s="20" t="s">
        <v>95</v>
      </c>
      <c r="D43" s="20" t="s">
        <v>22</v>
      </c>
      <c r="E43" s="21">
        <f>ROUND(12683*1.05,2)</f>
      </c>
      <c r="F43" s="20" t="s">
        <v>23</v>
      </c>
      <c r="G43" s="20" t="s">
        <v>24</v>
      </c>
      <c r="H43" s="21">
        <f>ROUND(RAND()*4+6,1)</f>
      </c>
      <c r="I43" s="20" t="s">
        <v>25</v>
      </c>
      <c r="J43" s="23">
        <f>ROUND(100*1,0)&amp;"%"</f>
      </c>
    </row>
    <row x14ac:dyDescent="0.25" r="44" customHeight="1" ht="17.25">
      <c r="A44" s="17" t="s">
        <v>8472</v>
      </c>
      <c r="B44" s="17" t="s">
        <v>99</v>
      </c>
      <c r="C44" s="17" t="s">
        <v>95</v>
      </c>
      <c r="D44" s="17" t="s">
        <v>28</v>
      </c>
      <c r="E44" s="18">
        <f>ROUND(13572*1.05,2)</f>
      </c>
      <c r="F44" s="17" t="s">
        <v>29</v>
      </c>
      <c r="G44" s="17" t="s">
        <v>30</v>
      </c>
      <c r="H44" s="18">
        <f>ROUND(RAND()*4+6,1)</f>
      </c>
      <c r="I44" s="17" t="s">
        <v>31</v>
      </c>
      <c r="J44" s="19">
        <f>ROUND(62*1,0)&amp;"%"</f>
      </c>
    </row>
    <row x14ac:dyDescent="0.25" r="45" customHeight="1" ht="17.25">
      <c r="A45" s="20" t="s">
        <v>8473</v>
      </c>
      <c r="B45" s="20" t="s">
        <v>101</v>
      </c>
      <c r="C45" s="20" t="s">
        <v>95</v>
      </c>
      <c r="D45" s="20" t="s">
        <v>34</v>
      </c>
      <c r="E45" s="21">
        <f>ROUND(7306*1.05,2)</f>
      </c>
      <c r="F45" s="20" t="s">
        <v>35</v>
      </c>
      <c r="G45" s="20" t="s">
        <v>18</v>
      </c>
      <c r="H45" s="21">
        <f>ROUND(RAND()*4+6,1)</f>
      </c>
      <c r="I45" s="20" t="s">
        <v>36</v>
      </c>
      <c r="J45" s="23">
        <f>ROUND(71*1,0)&amp;"%"</f>
      </c>
    </row>
    <row x14ac:dyDescent="0.25" r="46" customHeight="1" ht="17.25">
      <c r="A46" s="17" t="s">
        <v>8474</v>
      </c>
      <c r="B46" s="17" t="s">
        <v>103</v>
      </c>
      <c r="C46" s="17" t="s">
        <v>95</v>
      </c>
      <c r="D46" s="17" t="s">
        <v>39</v>
      </c>
      <c r="E46" s="18">
        <f>ROUND(11311*1.05,2)</f>
      </c>
      <c r="F46" s="17" t="s">
        <v>40</v>
      </c>
      <c r="G46" s="17" t="s">
        <v>24</v>
      </c>
      <c r="H46" s="18">
        <f>ROUND(RAND()*4+6,1)</f>
      </c>
      <c r="I46" s="17" t="s">
        <v>41</v>
      </c>
      <c r="J46" s="19">
        <f>ROUND(71*1,0)&amp;"%"</f>
      </c>
    </row>
    <row x14ac:dyDescent="0.25" r="47" customHeight="1" ht="17.25">
      <c r="A47" s="20" t="s">
        <v>8475</v>
      </c>
      <c r="B47" s="20" t="s">
        <v>105</v>
      </c>
      <c r="C47" s="20" t="s">
        <v>95</v>
      </c>
      <c r="D47" s="20" t="s">
        <v>67</v>
      </c>
      <c r="E47" s="21">
        <f>ROUND(11793*1.05,2)</f>
      </c>
      <c r="F47" s="20" t="s">
        <v>44</v>
      </c>
      <c r="G47" s="20" t="s">
        <v>30</v>
      </c>
      <c r="H47" s="22">
        <f>ROUND(RAND()*4+6,1)</f>
      </c>
      <c r="I47" s="20" t="s">
        <v>45</v>
      </c>
      <c r="J47" s="23">
        <f>ROUND(67*1,0)&amp;"%"</f>
      </c>
    </row>
    <row x14ac:dyDescent="0.25" r="48" customHeight="1" ht="17.25">
      <c r="A48" s="17" t="s">
        <v>8476</v>
      </c>
      <c r="B48" s="17" t="s">
        <v>107</v>
      </c>
      <c r="C48" s="17" t="s">
        <v>95</v>
      </c>
      <c r="D48" s="17" t="s">
        <v>16</v>
      </c>
      <c r="E48" s="18">
        <f>ROUND(5817*1.05,2)</f>
      </c>
      <c r="F48" s="17" t="s">
        <v>48</v>
      </c>
      <c r="G48" s="17" t="s">
        <v>18</v>
      </c>
      <c r="H48" s="18">
        <f>ROUND(RAND()*4+6,1)</f>
      </c>
      <c r="I48" s="17" t="s">
        <v>19</v>
      </c>
      <c r="J48" s="19">
        <f>ROUND(94*1,0)&amp;"%"</f>
      </c>
    </row>
    <row x14ac:dyDescent="0.25" r="49" customHeight="1" ht="17.25">
      <c r="A49" s="20" t="s">
        <v>8477</v>
      </c>
      <c r="B49" s="20" t="s">
        <v>109</v>
      </c>
      <c r="C49" s="20" t="s">
        <v>95</v>
      </c>
      <c r="D49" s="20" t="s">
        <v>22</v>
      </c>
      <c r="E49" s="21">
        <f>ROUND(7122*1.05,2)</f>
      </c>
      <c r="F49" s="20" t="s">
        <v>51</v>
      </c>
      <c r="G49" s="20" t="s">
        <v>24</v>
      </c>
      <c r="H49" s="21">
        <f>ROUND(RAND()*4+6,1)</f>
      </c>
      <c r="I49" s="20" t="s">
        <v>25</v>
      </c>
      <c r="J49" s="23">
        <f>ROUND(68*1,0)&amp;"%"</f>
      </c>
    </row>
    <row x14ac:dyDescent="0.25" r="50" customHeight="1" ht="17.25">
      <c r="A50" s="24" t="s">
        <v>110</v>
      </c>
      <c r="B50" s="24"/>
      <c r="C50" s="24"/>
      <c r="D50" s="24"/>
      <c r="E50" s="25">
        <v>8</v>
      </c>
      <c r="F50" s="9"/>
      <c r="G50" s="9"/>
      <c r="H50" s="31"/>
      <c r="I50" s="9"/>
      <c r="J50" s="9"/>
    </row>
    <row x14ac:dyDescent="0.25" r="51" customHeight="1" ht="17.25">
      <c r="A51" s="7"/>
      <c r="B51" s="7"/>
      <c r="C51" s="7"/>
      <c r="D51" s="7"/>
      <c r="E51" s="8"/>
      <c r="F51" s="9"/>
      <c r="G51" s="9"/>
      <c r="H51" s="31"/>
      <c r="I51" s="9"/>
      <c r="J51" s="9"/>
    </row>
    <row x14ac:dyDescent="0.25" r="52" customHeight="1" ht="17.25">
      <c r="A52" s="11" t="s">
        <v>8478</v>
      </c>
      <c r="B52" s="11"/>
      <c r="C52" s="11"/>
      <c r="D52" s="11"/>
      <c r="E52" s="12"/>
      <c r="F52" s="11"/>
      <c r="G52" s="11"/>
      <c r="H52" s="12"/>
      <c r="I52" s="11"/>
      <c r="J52" s="11"/>
    </row>
    <row x14ac:dyDescent="0.25" r="53" customHeight="1" ht="17.25">
      <c r="A53" s="14" t="s">
        <v>3</v>
      </c>
      <c r="B53" s="14" t="s">
        <v>4</v>
      </c>
      <c r="C53" s="14" t="s">
        <v>5</v>
      </c>
      <c r="D53" s="14" t="s">
        <v>6</v>
      </c>
      <c r="E53" s="15" t="s">
        <v>7</v>
      </c>
      <c r="F53" s="14" t="s">
        <v>8</v>
      </c>
      <c r="G53" s="14" t="s">
        <v>9</v>
      </c>
      <c r="H53" s="15" t="s">
        <v>10</v>
      </c>
      <c r="I53" s="14" t="s">
        <v>11</v>
      </c>
      <c r="J53" s="14" t="s">
        <v>12</v>
      </c>
    </row>
    <row x14ac:dyDescent="0.25" r="54" customHeight="1" ht="17.25">
      <c r="A54" s="17" t="s">
        <v>8479</v>
      </c>
      <c r="B54" s="17" t="s">
        <v>113</v>
      </c>
      <c r="C54" s="17" t="s">
        <v>114</v>
      </c>
      <c r="D54" s="17" t="s">
        <v>16</v>
      </c>
      <c r="E54" s="26">
        <f>ROUND(16400*1.05,2)</f>
      </c>
      <c r="F54" s="17" t="s">
        <v>17</v>
      </c>
      <c r="G54" s="17" t="s">
        <v>18</v>
      </c>
      <c r="H54" s="18">
        <f>ROUND(RAND()*4+6,1)</f>
      </c>
      <c r="I54" s="17" t="s">
        <v>19</v>
      </c>
      <c r="J54" s="19">
        <f>ROUND(60*1,0)&amp;"%"</f>
      </c>
    </row>
    <row x14ac:dyDescent="0.25" r="55" customHeight="1" ht="17.25">
      <c r="A55" s="20" t="s">
        <v>8480</v>
      </c>
      <c r="B55" s="20" t="s">
        <v>116</v>
      </c>
      <c r="C55" s="20" t="s">
        <v>114</v>
      </c>
      <c r="D55" s="20" t="s">
        <v>22</v>
      </c>
      <c r="E55" s="21">
        <f>ROUND(12815*1.05,2)</f>
      </c>
      <c r="F55" s="20" t="s">
        <v>23</v>
      </c>
      <c r="G55" s="20" t="s">
        <v>24</v>
      </c>
      <c r="H55" s="21">
        <f>ROUND(RAND()*4+6,1)</f>
      </c>
      <c r="I55" s="20" t="s">
        <v>25</v>
      </c>
      <c r="J55" s="23">
        <f>ROUND(73*1,0)&amp;"%"</f>
      </c>
    </row>
    <row x14ac:dyDescent="0.25" r="56" customHeight="1" ht="17.25">
      <c r="A56" s="17" t="s">
        <v>8481</v>
      </c>
      <c r="B56" s="17" t="s">
        <v>118</v>
      </c>
      <c r="C56" s="17" t="s">
        <v>114</v>
      </c>
      <c r="D56" s="17" t="s">
        <v>28</v>
      </c>
      <c r="E56" s="18">
        <f>ROUND(5433*1.05,2)</f>
      </c>
      <c r="F56" s="17" t="s">
        <v>29</v>
      </c>
      <c r="G56" s="17" t="s">
        <v>30</v>
      </c>
      <c r="H56" s="18">
        <f>ROUND(RAND()*4+6,1)</f>
      </c>
      <c r="I56" s="17" t="s">
        <v>31</v>
      </c>
      <c r="J56" s="19">
        <f>ROUND(73*1,0)&amp;"%"</f>
      </c>
    </row>
    <row x14ac:dyDescent="0.25" r="57" customHeight="1" ht="17.25">
      <c r="A57" s="20" t="s">
        <v>8482</v>
      </c>
      <c r="B57" s="20" t="s">
        <v>120</v>
      </c>
      <c r="C57" s="20" t="s">
        <v>114</v>
      </c>
      <c r="D57" s="20" t="s">
        <v>34</v>
      </c>
      <c r="E57" s="21">
        <f>ROUND(17546*1.05,2)</f>
      </c>
      <c r="F57" s="20" t="s">
        <v>35</v>
      </c>
      <c r="G57" s="20" t="s">
        <v>18</v>
      </c>
      <c r="H57" s="21">
        <f>ROUND(RAND()*4+6,1)</f>
      </c>
      <c r="I57" s="20" t="s">
        <v>36</v>
      </c>
      <c r="J57" s="23">
        <f>ROUND(86*1,0)&amp;"%"</f>
      </c>
    </row>
    <row x14ac:dyDescent="0.25" r="58" customHeight="1" ht="17.25">
      <c r="A58" s="17" t="s">
        <v>8483</v>
      </c>
      <c r="B58" s="17" t="s">
        <v>122</v>
      </c>
      <c r="C58" s="17" t="s">
        <v>114</v>
      </c>
      <c r="D58" s="17" t="s">
        <v>39</v>
      </c>
      <c r="E58" s="18">
        <f>ROUND(17106*1.05,2)</f>
      </c>
      <c r="F58" s="17" t="s">
        <v>40</v>
      </c>
      <c r="G58" s="17" t="s">
        <v>24</v>
      </c>
      <c r="H58" s="18">
        <f>ROUND(RAND()*4+6,1)</f>
      </c>
      <c r="I58" s="17" t="s">
        <v>41</v>
      </c>
      <c r="J58" s="19">
        <f>ROUND(62*1,0)&amp;"%"</f>
      </c>
    </row>
    <row x14ac:dyDescent="0.25" r="59" customHeight="1" ht="17.25">
      <c r="A59" s="20" t="s">
        <v>8484</v>
      </c>
      <c r="B59" s="20" t="s">
        <v>124</v>
      </c>
      <c r="C59" s="20" t="s">
        <v>114</v>
      </c>
      <c r="D59" s="20" t="s">
        <v>67</v>
      </c>
      <c r="E59" s="21">
        <f>ROUND(12597*1.05,2)</f>
      </c>
      <c r="F59" s="20" t="s">
        <v>44</v>
      </c>
      <c r="G59" s="20" t="s">
        <v>30</v>
      </c>
      <c r="H59" s="21">
        <f>ROUND(RAND()*4+6,1)</f>
      </c>
      <c r="I59" s="20" t="s">
        <v>45</v>
      </c>
      <c r="J59" s="23">
        <f>ROUND(73*1,0)&amp;"%"</f>
      </c>
    </row>
    <row x14ac:dyDescent="0.25" r="60" customHeight="1" ht="17.25">
      <c r="A60" s="17" t="s">
        <v>8485</v>
      </c>
      <c r="B60" s="17" t="s">
        <v>126</v>
      </c>
      <c r="C60" s="17" t="s">
        <v>114</v>
      </c>
      <c r="D60" s="17" t="s">
        <v>16</v>
      </c>
      <c r="E60" s="18">
        <f>ROUND(4690*1.05,2)</f>
      </c>
      <c r="F60" s="17" t="s">
        <v>48</v>
      </c>
      <c r="G60" s="17" t="s">
        <v>18</v>
      </c>
      <c r="H60" s="18">
        <f>ROUND(RAND()*4+6,1)</f>
      </c>
      <c r="I60" s="17" t="s">
        <v>19</v>
      </c>
      <c r="J60" s="19">
        <f>ROUND(91*1,0)&amp;"%"</f>
      </c>
    </row>
    <row x14ac:dyDescent="0.25" r="61" customHeight="1" ht="17.25">
      <c r="A61" s="20" t="s">
        <v>8486</v>
      </c>
      <c r="B61" s="20" t="s">
        <v>128</v>
      </c>
      <c r="C61" s="20" t="s">
        <v>114</v>
      </c>
      <c r="D61" s="20" t="s">
        <v>22</v>
      </c>
      <c r="E61" s="21">
        <f>ROUND(11843*1.05,2)</f>
      </c>
      <c r="F61" s="20" t="s">
        <v>51</v>
      </c>
      <c r="G61" s="20" t="s">
        <v>24</v>
      </c>
      <c r="H61" s="21">
        <f>ROUND(RAND()*4+6,1)</f>
      </c>
      <c r="I61" s="20" t="s">
        <v>25</v>
      </c>
      <c r="J61" s="23">
        <f>ROUND(72*1,0)&amp;"%"</f>
      </c>
    </row>
    <row x14ac:dyDescent="0.25" r="62" customHeight="1" ht="17.25">
      <c r="A62" s="24" t="s">
        <v>129</v>
      </c>
      <c r="B62" s="24"/>
      <c r="C62" s="24"/>
      <c r="D62" s="24"/>
      <c r="E62" s="25">
        <v>8</v>
      </c>
      <c r="F62" s="9"/>
      <c r="G62" s="9"/>
      <c r="H62" s="31"/>
      <c r="I62" s="9"/>
      <c r="J62" s="9"/>
    </row>
    <row x14ac:dyDescent="0.25" r="63" customHeight="1" ht="17.25">
      <c r="A63" s="7"/>
      <c r="B63" s="7"/>
      <c r="C63" s="7"/>
      <c r="D63" s="7"/>
      <c r="E63" s="8"/>
      <c r="F63" s="9"/>
      <c r="G63" s="9"/>
      <c r="H63" s="31"/>
      <c r="I63" s="9"/>
      <c r="J63" s="9"/>
    </row>
    <row x14ac:dyDescent="0.25" r="64" customHeight="1" ht="17.25">
      <c r="A64" s="11" t="s">
        <v>8487</v>
      </c>
      <c r="B64" s="11"/>
      <c r="C64" s="11"/>
      <c r="D64" s="11"/>
      <c r="E64" s="12"/>
      <c r="F64" s="11"/>
      <c r="G64" s="11"/>
      <c r="H64" s="12"/>
      <c r="I64" s="11"/>
      <c r="J64" s="11"/>
    </row>
    <row x14ac:dyDescent="0.25" r="65" customHeight="1" ht="17.25">
      <c r="A65" s="14" t="s">
        <v>3</v>
      </c>
      <c r="B65" s="14" t="s">
        <v>4</v>
      </c>
      <c r="C65" s="14" t="s">
        <v>5</v>
      </c>
      <c r="D65" s="14" t="s">
        <v>6</v>
      </c>
      <c r="E65" s="15" t="s">
        <v>7</v>
      </c>
      <c r="F65" s="14" t="s">
        <v>8</v>
      </c>
      <c r="G65" s="14" t="s">
        <v>9</v>
      </c>
      <c r="H65" s="15" t="s">
        <v>10</v>
      </c>
      <c r="I65" s="14" t="s">
        <v>11</v>
      </c>
      <c r="J65" s="14" t="s">
        <v>12</v>
      </c>
    </row>
    <row x14ac:dyDescent="0.25" r="66" customHeight="1" ht="17.25">
      <c r="A66" s="17" t="s">
        <v>8488</v>
      </c>
      <c r="B66" s="17" t="s">
        <v>132</v>
      </c>
      <c r="C66" s="17" t="s">
        <v>133</v>
      </c>
      <c r="D66" s="17" t="s">
        <v>16</v>
      </c>
      <c r="E66" s="18">
        <f>ROUND(8815*1.05,2)</f>
      </c>
      <c r="F66" s="17" t="s">
        <v>17</v>
      </c>
      <c r="G66" s="17" t="s">
        <v>18</v>
      </c>
      <c r="H66" s="18">
        <f>ROUND(RAND()*4+6,1)</f>
      </c>
      <c r="I66" s="17" t="s">
        <v>19</v>
      </c>
      <c r="J66" s="19">
        <f>ROUND(85*1,0)&amp;"%"</f>
      </c>
    </row>
    <row x14ac:dyDescent="0.25" r="67" customHeight="1" ht="17.25">
      <c r="A67" s="20" t="s">
        <v>8489</v>
      </c>
      <c r="B67" s="20" t="s">
        <v>135</v>
      </c>
      <c r="C67" s="20" t="s">
        <v>133</v>
      </c>
      <c r="D67" s="20" t="s">
        <v>22</v>
      </c>
      <c r="E67" s="21">
        <f>ROUND(16268*1.05,2)</f>
      </c>
      <c r="F67" s="20" t="s">
        <v>23</v>
      </c>
      <c r="G67" s="20" t="s">
        <v>24</v>
      </c>
      <c r="H67" s="21">
        <f>ROUND(RAND()*4+6,1)</f>
      </c>
      <c r="I67" s="20" t="s">
        <v>25</v>
      </c>
      <c r="J67" s="23">
        <f>ROUND(62*1,0)&amp;"%"</f>
      </c>
    </row>
    <row x14ac:dyDescent="0.25" r="68" customHeight="1" ht="17.25">
      <c r="A68" s="17" t="s">
        <v>8490</v>
      </c>
      <c r="B68" s="17" t="s">
        <v>137</v>
      </c>
      <c r="C68" s="17" t="s">
        <v>133</v>
      </c>
      <c r="D68" s="17" t="s">
        <v>28</v>
      </c>
      <c r="E68" s="18">
        <f>ROUND(12701*1.05,2)</f>
      </c>
      <c r="F68" s="17" t="s">
        <v>29</v>
      </c>
      <c r="G68" s="17" t="s">
        <v>30</v>
      </c>
      <c r="H68" s="18">
        <f>ROUND(RAND()*4+6,1)</f>
      </c>
      <c r="I68" s="17" t="s">
        <v>31</v>
      </c>
      <c r="J68" s="19">
        <f>ROUND(65*1,0)&amp;"%"</f>
      </c>
    </row>
    <row x14ac:dyDescent="0.25" r="69" customHeight="1" ht="17.25">
      <c r="A69" s="20" t="s">
        <v>8491</v>
      </c>
      <c r="B69" s="20" t="s">
        <v>139</v>
      </c>
      <c r="C69" s="20" t="s">
        <v>133</v>
      </c>
      <c r="D69" s="20" t="s">
        <v>34</v>
      </c>
      <c r="E69" s="21">
        <f>ROUND(13553*1.05,2)</f>
      </c>
      <c r="F69" s="20" t="s">
        <v>35</v>
      </c>
      <c r="G69" s="20" t="s">
        <v>18</v>
      </c>
      <c r="H69" s="21">
        <f>ROUND(RAND()*4+6,1)</f>
      </c>
      <c r="I69" s="20" t="s">
        <v>36</v>
      </c>
      <c r="J69" s="23">
        <f>ROUND(82*1,0)&amp;"%"</f>
      </c>
    </row>
    <row x14ac:dyDescent="0.25" r="70" customHeight="1" ht="17.25">
      <c r="A70" s="17" t="s">
        <v>8492</v>
      </c>
      <c r="B70" s="17" t="s">
        <v>141</v>
      </c>
      <c r="C70" s="17" t="s">
        <v>133</v>
      </c>
      <c r="D70" s="17" t="s">
        <v>39</v>
      </c>
      <c r="E70" s="18">
        <f>ROUND(12082*1.05,2)</f>
      </c>
      <c r="F70" s="17" t="s">
        <v>40</v>
      </c>
      <c r="G70" s="17" t="s">
        <v>24</v>
      </c>
      <c r="H70" s="18">
        <f>ROUND(RAND()*4+6,1)</f>
      </c>
      <c r="I70" s="17" t="s">
        <v>41</v>
      </c>
      <c r="J70" s="19">
        <f>ROUND(71*1,0)&amp;"%"</f>
      </c>
    </row>
    <row x14ac:dyDescent="0.25" r="71" customHeight="1" ht="17.25">
      <c r="A71" s="20" t="s">
        <v>8493</v>
      </c>
      <c r="B71" s="20" t="s">
        <v>143</v>
      </c>
      <c r="C71" s="20" t="s">
        <v>133</v>
      </c>
      <c r="D71" s="20" t="s">
        <v>67</v>
      </c>
      <c r="E71" s="21">
        <f>ROUND(9277*1.05,2)</f>
      </c>
      <c r="F71" s="20" t="s">
        <v>44</v>
      </c>
      <c r="G71" s="20" t="s">
        <v>30</v>
      </c>
      <c r="H71" s="22">
        <f>ROUND(RAND()*4+6,1)</f>
      </c>
      <c r="I71" s="20" t="s">
        <v>45</v>
      </c>
      <c r="J71" s="23">
        <f>ROUND(80*1,0)&amp;"%"</f>
      </c>
    </row>
    <row x14ac:dyDescent="0.25" r="72" customHeight="1" ht="17.25">
      <c r="A72" s="17" t="s">
        <v>8494</v>
      </c>
      <c r="B72" s="17" t="s">
        <v>145</v>
      </c>
      <c r="C72" s="17" t="s">
        <v>133</v>
      </c>
      <c r="D72" s="17" t="s">
        <v>16</v>
      </c>
      <c r="E72" s="18">
        <f>ROUND(10274*1.05,2)</f>
      </c>
      <c r="F72" s="17" t="s">
        <v>48</v>
      </c>
      <c r="G72" s="17" t="s">
        <v>18</v>
      </c>
      <c r="H72" s="18">
        <f>ROUND(RAND()*4+6,1)</f>
      </c>
      <c r="I72" s="17" t="s">
        <v>19</v>
      </c>
      <c r="J72" s="19">
        <f>ROUND(100*1,0)&amp;"%"</f>
      </c>
    </row>
    <row x14ac:dyDescent="0.25" r="73" customHeight="1" ht="17.25">
      <c r="A73" s="20" t="s">
        <v>8495</v>
      </c>
      <c r="B73" s="20" t="s">
        <v>147</v>
      </c>
      <c r="C73" s="20" t="s">
        <v>133</v>
      </c>
      <c r="D73" s="20" t="s">
        <v>22</v>
      </c>
      <c r="E73" s="21">
        <f>ROUND(14922*1.05,2)</f>
      </c>
      <c r="F73" s="20" t="s">
        <v>51</v>
      </c>
      <c r="G73" s="20" t="s">
        <v>24</v>
      </c>
      <c r="H73" s="21">
        <f>ROUND(RAND()*4+6,1)</f>
      </c>
      <c r="I73" s="20" t="s">
        <v>25</v>
      </c>
      <c r="J73" s="23">
        <f>ROUND(99*1,0)&amp;"%"</f>
      </c>
    </row>
    <row x14ac:dyDescent="0.25" r="74" customHeight="1" ht="17.25">
      <c r="A74" s="24" t="s">
        <v>148</v>
      </c>
      <c r="B74" s="24"/>
      <c r="C74" s="24"/>
      <c r="D74" s="24"/>
      <c r="E74" s="25">
        <v>8</v>
      </c>
      <c r="F74" s="9"/>
      <c r="G74" s="9"/>
      <c r="H74" s="31"/>
      <c r="I74" s="9"/>
      <c r="J74" s="9"/>
    </row>
    <row x14ac:dyDescent="0.25" r="75" customHeight="1" ht="17.25">
      <c r="A75" s="7"/>
      <c r="B75" s="7"/>
      <c r="C75" s="7"/>
      <c r="D75" s="7"/>
      <c r="E75" s="8"/>
      <c r="F75" s="9"/>
      <c r="G75" s="9"/>
      <c r="H75" s="31"/>
      <c r="I75" s="9"/>
      <c r="J75" s="9"/>
    </row>
    <row x14ac:dyDescent="0.25" r="76" customHeight="1" ht="17.25">
      <c r="A76" s="11" t="s">
        <v>8496</v>
      </c>
      <c r="B76" s="11"/>
      <c r="C76" s="11"/>
      <c r="D76" s="11"/>
      <c r="E76" s="12"/>
      <c r="F76" s="11"/>
      <c r="G76" s="11"/>
      <c r="H76" s="12"/>
      <c r="I76" s="11"/>
      <c r="J76" s="11"/>
    </row>
    <row x14ac:dyDescent="0.25" r="77" customHeight="1" ht="17.25">
      <c r="A77" s="14" t="s">
        <v>3</v>
      </c>
      <c r="B77" s="14" t="s">
        <v>4</v>
      </c>
      <c r="C77" s="14" t="s">
        <v>5</v>
      </c>
      <c r="D77" s="14" t="s">
        <v>6</v>
      </c>
      <c r="E77" s="15" t="s">
        <v>7</v>
      </c>
      <c r="F77" s="14" t="s">
        <v>8</v>
      </c>
      <c r="G77" s="14" t="s">
        <v>9</v>
      </c>
      <c r="H77" s="15" t="s">
        <v>10</v>
      </c>
      <c r="I77" s="14" t="s">
        <v>11</v>
      </c>
      <c r="J77" s="14" t="s">
        <v>12</v>
      </c>
    </row>
    <row x14ac:dyDescent="0.25" r="78" customHeight="1" ht="17.25">
      <c r="A78" s="17" t="s">
        <v>8497</v>
      </c>
      <c r="B78" s="17" t="s">
        <v>151</v>
      </c>
      <c r="C78" s="17" t="s">
        <v>152</v>
      </c>
      <c r="D78" s="17" t="s">
        <v>16</v>
      </c>
      <c r="E78" s="18">
        <f>ROUND(14024*1.05,2)</f>
      </c>
      <c r="F78" s="17" t="s">
        <v>17</v>
      </c>
      <c r="G78" s="17" t="s">
        <v>18</v>
      </c>
      <c r="H78" s="18">
        <f>ROUND(RAND()*4+6,1)</f>
      </c>
      <c r="I78" s="17" t="s">
        <v>19</v>
      </c>
      <c r="J78" s="19">
        <f>ROUND(98*1,0)&amp;"%"</f>
      </c>
    </row>
    <row x14ac:dyDescent="0.25" r="79" customHeight="1" ht="17.25">
      <c r="A79" s="20" t="s">
        <v>8498</v>
      </c>
      <c r="B79" s="20" t="s">
        <v>154</v>
      </c>
      <c r="C79" s="20" t="s">
        <v>152</v>
      </c>
      <c r="D79" s="20" t="s">
        <v>22</v>
      </c>
      <c r="E79" s="21">
        <f>ROUND(11124*1.05,2)</f>
      </c>
      <c r="F79" s="20" t="s">
        <v>23</v>
      </c>
      <c r="G79" s="20" t="s">
        <v>24</v>
      </c>
      <c r="H79" s="21">
        <f>ROUND(RAND()*4+6,1)</f>
      </c>
      <c r="I79" s="20" t="s">
        <v>25</v>
      </c>
      <c r="J79" s="23">
        <f>ROUND(82*1,0)&amp;"%"</f>
      </c>
    </row>
    <row x14ac:dyDescent="0.25" r="80" customHeight="1" ht="17.25">
      <c r="A80" s="17" t="s">
        <v>8499</v>
      </c>
      <c r="B80" s="17" t="s">
        <v>156</v>
      </c>
      <c r="C80" s="17" t="s">
        <v>152</v>
      </c>
      <c r="D80" s="17" t="s">
        <v>28</v>
      </c>
      <c r="E80" s="18">
        <f>ROUND(12351*1.05,2)</f>
      </c>
      <c r="F80" s="17" t="s">
        <v>29</v>
      </c>
      <c r="G80" s="17" t="s">
        <v>30</v>
      </c>
      <c r="H80" s="18">
        <f>ROUND(RAND()*4+6,1)</f>
      </c>
      <c r="I80" s="17" t="s">
        <v>31</v>
      </c>
      <c r="J80" s="19">
        <f>ROUND(77*1,0)&amp;"%"</f>
      </c>
    </row>
    <row x14ac:dyDescent="0.25" r="81" customHeight="1" ht="17.25">
      <c r="A81" s="20" t="s">
        <v>8500</v>
      </c>
      <c r="B81" s="20" t="s">
        <v>158</v>
      </c>
      <c r="C81" s="20" t="s">
        <v>152</v>
      </c>
      <c r="D81" s="20" t="s">
        <v>34</v>
      </c>
      <c r="E81" s="21">
        <f>ROUND(12869*1.05,2)</f>
      </c>
      <c r="F81" s="20" t="s">
        <v>35</v>
      </c>
      <c r="G81" s="20" t="s">
        <v>18</v>
      </c>
      <c r="H81" s="21">
        <f>ROUND(RAND()*4+6,1)</f>
      </c>
      <c r="I81" s="20" t="s">
        <v>36</v>
      </c>
      <c r="J81" s="23">
        <f>ROUND(79*1,0)&amp;"%"</f>
      </c>
    </row>
    <row x14ac:dyDescent="0.25" r="82" customHeight="1" ht="17.25">
      <c r="A82" s="17" t="s">
        <v>8501</v>
      </c>
      <c r="B82" s="17" t="s">
        <v>160</v>
      </c>
      <c r="C82" s="17" t="s">
        <v>152</v>
      </c>
      <c r="D82" s="17" t="s">
        <v>39</v>
      </c>
      <c r="E82" s="18">
        <f>ROUND(14123*1.05,2)</f>
      </c>
      <c r="F82" s="17" t="s">
        <v>40</v>
      </c>
      <c r="G82" s="17" t="s">
        <v>24</v>
      </c>
      <c r="H82" s="18">
        <f>ROUND(RAND()*4+6,1)</f>
      </c>
      <c r="I82" s="17" t="s">
        <v>41</v>
      </c>
      <c r="J82" s="19">
        <f>ROUND(100*1,0)&amp;"%"</f>
      </c>
    </row>
    <row x14ac:dyDescent="0.25" r="83" customHeight="1" ht="17.25">
      <c r="A83" s="20" t="s">
        <v>8502</v>
      </c>
      <c r="B83" s="20" t="s">
        <v>162</v>
      </c>
      <c r="C83" s="20" t="s">
        <v>152</v>
      </c>
      <c r="D83" s="20" t="s">
        <v>67</v>
      </c>
      <c r="E83" s="21">
        <f>ROUND(16088*1.05,2)</f>
      </c>
      <c r="F83" s="20" t="s">
        <v>44</v>
      </c>
      <c r="G83" s="20" t="s">
        <v>30</v>
      </c>
      <c r="H83" s="21">
        <f>ROUND(RAND()*4+6,1)</f>
      </c>
      <c r="I83" s="20" t="s">
        <v>45</v>
      </c>
      <c r="J83" s="23">
        <f>ROUND(90*1,0)&amp;"%"</f>
      </c>
    </row>
    <row x14ac:dyDescent="0.25" r="84" customHeight="1" ht="17.25">
      <c r="A84" s="17" t="s">
        <v>8503</v>
      </c>
      <c r="B84" s="17" t="s">
        <v>164</v>
      </c>
      <c r="C84" s="17" t="s">
        <v>152</v>
      </c>
      <c r="D84" s="17" t="s">
        <v>16</v>
      </c>
      <c r="E84" s="18">
        <f>ROUND(4013*1.05,2)</f>
      </c>
      <c r="F84" s="17" t="s">
        <v>48</v>
      </c>
      <c r="G84" s="17" t="s">
        <v>18</v>
      </c>
      <c r="H84" s="18">
        <f>ROUND(RAND()*4+6,1)</f>
      </c>
      <c r="I84" s="17" t="s">
        <v>19</v>
      </c>
      <c r="J84" s="19">
        <f>ROUND(89*1,0)&amp;"%"</f>
      </c>
    </row>
    <row x14ac:dyDescent="0.25" r="85" customHeight="1" ht="17.25">
      <c r="A85" s="20" t="s">
        <v>8504</v>
      </c>
      <c r="B85" s="20" t="s">
        <v>166</v>
      </c>
      <c r="C85" s="20" t="s">
        <v>152</v>
      </c>
      <c r="D85" s="20" t="s">
        <v>22</v>
      </c>
      <c r="E85" s="21">
        <f>ROUND(15842*1.05,2)</f>
      </c>
      <c r="F85" s="20" t="s">
        <v>51</v>
      </c>
      <c r="G85" s="20" t="s">
        <v>24</v>
      </c>
      <c r="H85" s="22">
        <f>ROUND(RAND()*4+6,1)</f>
      </c>
      <c r="I85" s="20" t="s">
        <v>25</v>
      </c>
      <c r="J85" s="23">
        <f>ROUND(91*1,0)&amp;"%"</f>
      </c>
    </row>
    <row x14ac:dyDescent="0.25" r="86" customHeight="1" ht="17.25">
      <c r="A86" s="24" t="s">
        <v>167</v>
      </c>
      <c r="B86" s="24"/>
      <c r="C86" s="24"/>
      <c r="D86" s="24"/>
      <c r="E86" s="25">
        <v>8</v>
      </c>
      <c r="F86" s="9"/>
      <c r="G86" s="9"/>
      <c r="H86" s="31"/>
      <c r="I86" s="9"/>
      <c r="J86" s="9"/>
    </row>
    <row x14ac:dyDescent="0.25" r="87" customHeight="1" ht="17.25">
      <c r="A87" s="7"/>
      <c r="B87" s="7"/>
      <c r="C87" s="7"/>
      <c r="D87" s="7"/>
      <c r="E87" s="8"/>
      <c r="F87" s="9"/>
      <c r="G87" s="9"/>
      <c r="H87" s="31"/>
      <c r="I87" s="9"/>
      <c r="J87" s="9"/>
    </row>
    <row x14ac:dyDescent="0.25" r="88" customHeight="1" ht="17.25">
      <c r="A88" s="11" t="s">
        <v>8505</v>
      </c>
      <c r="B88" s="11"/>
      <c r="C88" s="11"/>
      <c r="D88" s="11"/>
      <c r="E88" s="12"/>
      <c r="F88" s="11"/>
      <c r="G88" s="11"/>
      <c r="H88" s="12"/>
      <c r="I88" s="11"/>
      <c r="J88" s="11"/>
    </row>
    <row x14ac:dyDescent="0.25" r="89" customHeight="1" ht="17.25">
      <c r="A89" s="14" t="s">
        <v>3</v>
      </c>
      <c r="B89" s="14" t="s">
        <v>4</v>
      </c>
      <c r="C89" s="14" t="s">
        <v>5</v>
      </c>
      <c r="D89" s="14" t="s">
        <v>6</v>
      </c>
      <c r="E89" s="15" t="s">
        <v>7</v>
      </c>
      <c r="F89" s="14" t="s">
        <v>8</v>
      </c>
      <c r="G89" s="14" t="s">
        <v>9</v>
      </c>
      <c r="H89" s="15" t="s">
        <v>10</v>
      </c>
      <c r="I89" s="14" t="s">
        <v>11</v>
      </c>
      <c r="J89" s="14" t="s">
        <v>12</v>
      </c>
    </row>
    <row x14ac:dyDescent="0.25" r="90" customHeight="1" ht="17.25">
      <c r="A90" s="17" t="s">
        <v>8506</v>
      </c>
      <c r="B90" s="17" t="s">
        <v>170</v>
      </c>
      <c r="C90" s="17" t="s">
        <v>15</v>
      </c>
      <c r="D90" s="17" t="s">
        <v>16</v>
      </c>
      <c r="E90" s="18">
        <f>ROUND(14638*1.05,2)</f>
      </c>
      <c r="F90" s="17" t="s">
        <v>17</v>
      </c>
      <c r="G90" s="17" t="s">
        <v>18</v>
      </c>
      <c r="H90" s="26">
        <f>ROUND(RAND()*4+6,1)</f>
      </c>
      <c r="I90" s="17" t="s">
        <v>19</v>
      </c>
      <c r="J90" s="19">
        <f>ROUND(72*1,0)&amp;"%"</f>
      </c>
    </row>
    <row x14ac:dyDescent="0.25" r="91" customHeight="1" ht="17.25">
      <c r="A91" s="20" t="s">
        <v>8507</v>
      </c>
      <c r="B91" s="20" t="s">
        <v>172</v>
      </c>
      <c r="C91" s="20" t="s">
        <v>15</v>
      </c>
      <c r="D91" s="20" t="s">
        <v>22</v>
      </c>
      <c r="E91" s="21">
        <f>ROUND(12670*1.05,2)</f>
      </c>
      <c r="F91" s="20" t="s">
        <v>23</v>
      </c>
      <c r="G91" s="20" t="s">
        <v>24</v>
      </c>
      <c r="H91" s="21">
        <f>ROUND(RAND()*4+6,1)</f>
      </c>
      <c r="I91" s="20" t="s">
        <v>25</v>
      </c>
      <c r="J91" s="23">
        <f>ROUND(60*1,0)&amp;"%"</f>
      </c>
    </row>
    <row x14ac:dyDescent="0.25" r="92" customHeight="1" ht="17.25">
      <c r="A92" s="17" t="s">
        <v>8508</v>
      </c>
      <c r="B92" s="17" t="s">
        <v>174</v>
      </c>
      <c r="C92" s="17" t="s">
        <v>15</v>
      </c>
      <c r="D92" s="17" t="s">
        <v>28</v>
      </c>
      <c r="E92" s="18">
        <f>ROUND(4517*1.05,2)</f>
      </c>
      <c r="F92" s="17" t="s">
        <v>29</v>
      </c>
      <c r="G92" s="17" t="s">
        <v>30</v>
      </c>
      <c r="H92" s="18">
        <f>ROUND(RAND()*4+6,1)</f>
      </c>
      <c r="I92" s="17" t="s">
        <v>31</v>
      </c>
      <c r="J92" s="19">
        <f>ROUND(100*1,0)&amp;"%"</f>
      </c>
    </row>
    <row x14ac:dyDescent="0.25" r="93" customHeight="1" ht="17.25">
      <c r="A93" s="20" t="s">
        <v>8509</v>
      </c>
      <c r="B93" s="20" t="s">
        <v>176</v>
      </c>
      <c r="C93" s="20" t="s">
        <v>15</v>
      </c>
      <c r="D93" s="20" t="s">
        <v>34</v>
      </c>
      <c r="E93" s="21">
        <f>ROUND(12537*1.05,2)</f>
      </c>
      <c r="F93" s="20" t="s">
        <v>35</v>
      </c>
      <c r="G93" s="20" t="s">
        <v>18</v>
      </c>
      <c r="H93" s="21">
        <f>ROUND(RAND()*4+6,1)</f>
      </c>
      <c r="I93" s="20" t="s">
        <v>36</v>
      </c>
      <c r="J93" s="23">
        <f>ROUND(91*1,0)&amp;"%"</f>
      </c>
    </row>
    <row x14ac:dyDescent="0.25" r="94" customHeight="1" ht="17.25">
      <c r="A94" s="17" t="s">
        <v>8510</v>
      </c>
      <c r="B94" s="17" t="s">
        <v>178</v>
      </c>
      <c r="C94" s="17" t="s">
        <v>15</v>
      </c>
      <c r="D94" s="17" t="s">
        <v>39</v>
      </c>
      <c r="E94" s="18">
        <f>ROUND(4996*1.05,2)</f>
      </c>
      <c r="F94" s="17" t="s">
        <v>40</v>
      </c>
      <c r="G94" s="17" t="s">
        <v>24</v>
      </c>
      <c r="H94" s="18">
        <f>ROUND(RAND()*4+6,1)</f>
      </c>
      <c r="I94" s="17" t="s">
        <v>41</v>
      </c>
      <c r="J94" s="19">
        <f>ROUND(61*1,0)&amp;"%"</f>
      </c>
    </row>
    <row x14ac:dyDescent="0.25" r="95" customHeight="1" ht="17.25">
      <c r="A95" s="20" t="s">
        <v>8511</v>
      </c>
      <c r="B95" s="20" t="s">
        <v>180</v>
      </c>
      <c r="C95" s="20" t="s">
        <v>15</v>
      </c>
      <c r="D95" s="20" t="s">
        <v>67</v>
      </c>
      <c r="E95" s="21">
        <f>ROUND(8541*1.05,2)</f>
      </c>
      <c r="F95" s="20" t="s">
        <v>44</v>
      </c>
      <c r="G95" s="20" t="s">
        <v>30</v>
      </c>
      <c r="H95" s="21">
        <f>ROUND(RAND()*4+6,1)</f>
      </c>
      <c r="I95" s="20" t="s">
        <v>45</v>
      </c>
      <c r="J95" s="23">
        <f>ROUND(78*1,0)&amp;"%"</f>
      </c>
    </row>
    <row x14ac:dyDescent="0.25" r="96" customHeight="1" ht="17.25">
      <c r="A96" s="17" t="s">
        <v>8512</v>
      </c>
      <c r="B96" s="17" t="s">
        <v>182</v>
      </c>
      <c r="C96" s="17" t="s">
        <v>15</v>
      </c>
      <c r="D96" s="17" t="s">
        <v>16</v>
      </c>
      <c r="E96" s="18">
        <f>ROUND(16525*1.05,2)</f>
      </c>
      <c r="F96" s="17" t="s">
        <v>48</v>
      </c>
      <c r="G96" s="17" t="s">
        <v>18</v>
      </c>
      <c r="H96" s="18">
        <f>ROUND(RAND()*4+6,1)</f>
      </c>
      <c r="I96" s="17" t="s">
        <v>19</v>
      </c>
      <c r="J96" s="19">
        <f>ROUND(87*1,0)&amp;"%"</f>
      </c>
    </row>
    <row x14ac:dyDescent="0.25" r="97" customHeight="1" ht="17.25">
      <c r="A97" s="20" t="s">
        <v>8513</v>
      </c>
      <c r="B97" s="20" t="s">
        <v>184</v>
      </c>
      <c r="C97" s="20" t="s">
        <v>15</v>
      </c>
      <c r="D97" s="20" t="s">
        <v>22</v>
      </c>
      <c r="E97" s="21">
        <f>ROUND(11469*1.05,2)</f>
      </c>
      <c r="F97" s="20" t="s">
        <v>51</v>
      </c>
      <c r="G97" s="20" t="s">
        <v>24</v>
      </c>
      <c r="H97" s="22">
        <f>ROUND(RAND()*4+6,1)</f>
      </c>
      <c r="I97" s="20" t="s">
        <v>25</v>
      </c>
      <c r="J97" s="23">
        <f>ROUND(82*1,0)&amp;"%"</f>
      </c>
    </row>
    <row x14ac:dyDescent="0.25" r="98" customHeight="1" ht="17.25">
      <c r="A98" s="24" t="s">
        <v>185</v>
      </c>
      <c r="B98" s="24"/>
      <c r="C98" s="24"/>
      <c r="D98" s="24"/>
      <c r="E98" s="25">
        <v>8</v>
      </c>
      <c r="F98" s="9"/>
      <c r="G98" s="9"/>
      <c r="H98" s="31"/>
      <c r="I98" s="9"/>
      <c r="J98" s="9"/>
    </row>
    <row x14ac:dyDescent="0.25" r="99" customHeight="1" ht="17.25">
      <c r="A99" s="7"/>
      <c r="B99" s="7"/>
      <c r="C99" s="7"/>
      <c r="D99" s="7"/>
      <c r="E99" s="8"/>
      <c r="F99" s="9"/>
      <c r="G99" s="9"/>
      <c r="H99" s="31"/>
      <c r="I99" s="9"/>
      <c r="J99" s="9"/>
    </row>
    <row x14ac:dyDescent="0.25" r="100" customHeight="1" ht="17.25">
      <c r="A100" s="11" t="s">
        <v>8514</v>
      </c>
      <c r="B100" s="11"/>
      <c r="C100" s="11"/>
      <c r="D100" s="11"/>
      <c r="E100" s="12"/>
      <c r="F100" s="11"/>
      <c r="G100" s="11"/>
      <c r="H100" s="12"/>
      <c r="I100" s="11"/>
      <c r="J100" s="11"/>
    </row>
    <row x14ac:dyDescent="0.25" r="101" customHeight="1" ht="17.25">
      <c r="A101" s="14" t="s">
        <v>3</v>
      </c>
      <c r="B101" s="14" t="s">
        <v>4</v>
      </c>
      <c r="C101" s="14" t="s">
        <v>5</v>
      </c>
      <c r="D101" s="14" t="s">
        <v>6</v>
      </c>
      <c r="E101" s="15" t="s">
        <v>7</v>
      </c>
      <c r="F101" s="14" t="s">
        <v>8</v>
      </c>
      <c r="G101" s="14" t="s">
        <v>9</v>
      </c>
      <c r="H101" s="15" t="s">
        <v>10</v>
      </c>
      <c r="I101" s="14" t="s">
        <v>11</v>
      </c>
      <c r="J101" s="14" t="s">
        <v>12</v>
      </c>
    </row>
    <row x14ac:dyDescent="0.25" r="102" customHeight="1" ht="17.25">
      <c r="A102" s="17" t="s">
        <v>8515</v>
      </c>
      <c r="B102" s="17" t="s">
        <v>188</v>
      </c>
      <c r="C102" s="17" t="s">
        <v>56</v>
      </c>
      <c r="D102" s="17" t="s">
        <v>16</v>
      </c>
      <c r="E102" s="18">
        <f>ROUND(15296*1.05,2)</f>
      </c>
      <c r="F102" s="17" t="s">
        <v>17</v>
      </c>
      <c r="G102" s="17" t="s">
        <v>18</v>
      </c>
      <c r="H102" s="18">
        <f>ROUND(RAND()*4+6,1)</f>
      </c>
      <c r="I102" s="17" t="s">
        <v>19</v>
      </c>
      <c r="J102" s="19">
        <f>ROUND(69*1,0)&amp;"%"</f>
      </c>
    </row>
    <row x14ac:dyDescent="0.25" r="103" customHeight="1" ht="17.25">
      <c r="A103" s="20" t="s">
        <v>8516</v>
      </c>
      <c r="B103" s="20" t="s">
        <v>190</v>
      </c>
      <c r="C103" s="20" t="s">
        <v>56</v>
      </c>
      <c r="D103" s="20" t="s">
        <v>22</v>
      </c>
      <c r="E103" s="22">
        <f>ROUND(14360*1.05,2)</f>
      </c>
      <c r="F103" s="20" t="s">
        <v>23</v>
      </c>
      <c r="G103" s="20" t="s">
        <v>24</v>
      </c>
      <c r="H103" s="21">
        <f>ROUND(RAND()*4+6,1)</f>
      </c>
      <c r="I103" s="20" t="s">
        <v>25</v>
      </c>
      <c r="J103" s="23">
        <f>ROUND(88*1,0)&amp;"%"</f>
      </c>
    </row>
    <row x14ac:dyDescent="0.25" r="104" customHeight="1" ht="17.25">
      <c r="A104" s="17" t="s">
        <v>8517</v>
      </c>
      <c r="B104" s="17" t="s">
        <v>192</v>
      </c>
      <c r="C104" s="17" t="s">
        <v>56</v>
      </c>
      <c r="D104" s="17" t="s">
        <v>28</v>
      </c>
      <c r="E104" s="18">
        <f>ROUND(11978*1.05,2)</f>
      </c>
      <c r="F104" s="17" t="s">
        <v>29</v>
      </c>
      <c r="G104" s="17" t="s">
        <v>30</v>
      </c>
      <c r="H104" s="26">
        <f>ROUND(RAND()*4+6,1)</f>
      </c>
      <c r="I104" s="17" t="s">
        <v>31</v>
      </c>
      <c r="J104" s="19">
        <f>ROUND(87*1,0)&amp;"%"</f>
      </c>
    </row>
    <row x14ac:dyDescent="0.25" r="105" customHeight="1" ht="17.25">
      <c r="A105" s="20" t="s">
        <v>8518</v>
      </c>
      <c r="B105" s="20" t="s">
        <v>194</v>
      </c>
      <c r="C105" s="20" t="s">
        <v>56</v>
      </c>
      <c r="D105" s="20" t="s">
        <v>34</v>
      </c>
      <c r="E105" s="21">
        <f>ROUND(16632*1.05,2)</f>
      </c>
      <c r="F105" s="20" t="s">
        <v>35</v>
      </c>
      <c r="G105" s="20" t="s">
        <v>18</v>
      </c>
      <c r="H105" s="21">
        <f>ROUND(RAND()*4+6,1)</f>
      </c>
      <c r="I105" s="20" t="s">
        <v>36</v>
      </c>
      <c r="J105" s="23">
        <f>ROUND(95*1,0)&amp;"%"</f>
      </c>
    </row>
    <row x14ac:dyDescent="0.25" r="106" customHeight="1" ht="17.25">
      <c r="A106" s="17" t="s">
        <v>8519</v>
      </c>
      <c r="B106" s="17" t="s">
        <v>196</v>
      </c>
      <c r="C106" s="17" t="s">
        <v>56</v>
      </c>
      <c r="D106" s="17" t="s">
        <v>39</v>
      </c>
      <c r="E106" s="18">
        <f>ROUND(16672*1.05,2)</f>
      </c>
      <c r="F106" s="17" t="s">
        <v>40</v>
      </c>
      <c r="G106" s="17" t="s">
        <v>24</v>
      </c>
      <c r="H106" s="18">
        <f>ROUND(RAND()*4+6,1)</f>
      </c>
      <c r="I106" s="17" t="s">
        <v>41</v>
      </c>
      <c r="J106" s="19">
        <f>ROUND(81*1,0)&amp;"%"</f>
      </c>
    </row>
    <row x14ac:dyDescent="0.25" r="107" customHeight="1" ht="17.25">
      <c r="A107" s="20" t="s">
        <v>8520</v>
      </c>
      <c r="B107" s="20" t="s">
        <v>198</v>
      </c>
      <c r="C107" s="20" t="s">
        <v>56</v>
      </c>
      <c r="D107" s="20" t="s">
        <v>67</v>
      </c>
      <c r="E107" s="21">
        <f>ROUND(5528*1.05,2)</f>
      </c>
      <c r="F107" s="20" t="s">
        <v>44</v>
      </c>
      <c r="G107" s="20" t="s">
        <v>30</v>
      </c>
      <c r="H107" s="21">
        <f>ROUND(RAND()*4+6,1)</f>
      </c>
      <c r="I107" s="20" t="s">
        <v>45</v>
      </c>
      <c r="J107" s="23">
        <f>ROUND(92*1,0)&amp;"%"</f>
      </c>
    </row>
    <row x14ac:dyDescent="0.25" r="108" customHeight="1" ht="17.25">
      <c r="A108" s="17" t="s">
        <v>8521</v>
      </c>
      <c r="B108" s="17" t="s">
        <v>200</v>
      </c>
      <c r="C108" s="17" t="s">
        <v>56</v>
      </c>
      <c r="D108" s="17" t="s">
        <v>16</v>
      </c>
      <c r="E108" s="18">
        <f>ROUND(17688*1.05,2)</f>
      </c>
      <c r="F108" s="17" t="s">
        <v>48</v>
      </c>
      <c r="G108" s="17" t="s">
        <v>18</v>
      </c>
      <c r="H108" s="18">
        <f>ROUND(RAND()*4+6,1)</f>
      </c>
      <c r="I108" s="17" t="s">
        <v>19</v>
      </c>
      <c r="J108" s="19">
        <f>ROUND(90*1,0)&amp;"%"</f>
      </c>
    </row>
    <row x14ac:dyDescent="0.25" r="109" customHeight="1" ht="17.25">
      <c r="A109" s="20" t="s">
        <v>8522</v>
      </c>
      <c r="B109" s="20" t="s">
        <v>202</v>
      </c>
      <c r="C109" s="20" t="s">
        <v>56</v>
      </c>
      <c r="D109" s="20" t="s">
        <v>22</v>
      </c>
      <c r="E109" s="22">
        <f>ROUND(9420*1.05,2)</f>
      </c>
      <c r="F109" s="20" t="s">
        <v>51</v>
      </c>
      <c r="G109" s="20" t="s">
        <v>24</v>
      </c>
      <c r="H109" s="21">
        <f>ROUND(RAND()*4+6,1)</f>
      </c>
      <c r="I109" s="20" t="s">
        <v>25</v>
      </c>
      <c r="J109" s="23">
        <f>ROUND(87*1,0)&amp;"%"</f>
      </c>
    </row>
    <row x14ac:dyDescent="0.25" r="110" customHeight="1" ht="17.25">
      <c r="A110" s="24" t="s">
        <v>203</v>
      </c>
      <c r="B110" s="24"/>
      <c r="C110" s="24"/>
      <c r="D110" s="24"/>
      <c r="E110" s="25">
        <v>8</v>
      </c>
      <c r="F110" s="9"/>
      <c r="G110" s="9"/>
      <c r="H110" s="31"/>
      <c r="I110" s="9"/>
      <c r="J110" s="9"/>
    </row>
    <row x14ac:dyDescent="0.25" r="111" customHeight="1" ht="17.25">
      <c r="A111" s="7"/>
      <c r="B111" s="7"/>
      <c r="C111" s="7"/>
      <c r="D111" s="7"/>
      <c r="E111" s="8"/>
      <c r="F111" s="9"/>
      <c r="G111" s="9"/>
      <c r="H111" s="31"/>
      <c r="I111" s="9"/>
      <c r="J111" s="9"/>
    </row>
    <row x14ac:dyDescent="0.25" r="112" customHeight="1" ht="17.25">
      <c r="A112" s="11" t="s">
        <v>8523</v>
      </c>
      <c r="B112" s="11"/>
      <c r="C112" s="11"/>
      <c r="D112" s="11"/>
      <c r="E112" s="12"/>
      <c r="F112" s="11"/>
      <c r="G112" s="11"/>
      <c r="H112" s="12"/>
      <c r="I112" s="11"/>
      <c r="J112" s="11"/>
    </row>
    <row x14ac:dyDescent="0.25" r="113" customHeight="1" ht="17.25">
      <c r="A113" s="14" t="s">
        <v>3</v>
      </c>
      <c r="B113" s="14" t="s">
        <v>4</v>
      </c>
      <c r="C113" s="14" t="s">
        <v>5</v>
      </c>
      <c r="D113" s="14" t="s">
        <v>6</v>
      </c>
      <c r="E113" s="15" t="s">
        <v>7</v>
      </c>
      <c r="F113" s="14" t="s">
        <v>8</v>
      </c>
      <c r="G113" s="14" t="s">
        <v>9</v>
      </c>
      <c r="H113" s="15" t="s">
        <v>10</v>
      </c>
      <c r="I113" s="14" t="s">
        <v>11</v>
      </c>
      <c r="J113" s="14" t="s">
        <v>12</v>
      </c>
    </row>
    <row x14ac:dyDescent="0.25" r="114" customHeight="1" ht="17.25">
      <c r="A114" s="17" t="s">
        <v>8524</v>
      </c>
      <c r="B114" s="17" t="s">
        <v>206</v>
      </c>
      <c r="C114" s="17" t="s">
        <v>76</v>
      </c>
      <c r="D114" s="17" t="s">
        <v>16</v>
      </c>
      <c r="E114" s="18">
        <f>ROUND(8119*1.05,2)</f>
      </c>
      <c r="F114" s="17" t="s">
        <v>17</v>
      </c>
      <c r="G114" s="17" t="s">
        <v>18</v>
      </c>
      <c r="H114" s="18">
        <f>ROUND(RAND()*4+6,1)</f>
      </c>
      <c r="I114" s="17" t="s">
        <v>19</v>
      </c>
      <c r="J114" s="19">
        <f>ROUND(82*1,0)&amp;"%"</f>
      </c>
    </row>
    <row x14ac:dyDescent="0.25" r="115" customHeight="1" ht="17.25">
      <c r="A115" s="20" t="s">
        <v>8525</v>
      </c>
      <c r="B115" s="20" t="s">
        <v>208</v>
      </c>
      <c r="C115" s="20" t="s">
        <v>76</v>
      </c>
      <c r="D115" s="20" t="s">
        <v>22</v>
      </c>
      <c r="E115" s="21">
        <f>ROUND(17586*1.05,2)</f>
      </c>
      <c r="F115" s="20" t="s">
        <v>23</v>
      </c>
      <c r="G115" s="20" t="s">
        <v>24</v>
      </c>
      <c r="H115" s="21">
        <f>ROUND(RAND()*4+6,1)</f>
      </c>
      <c r="I115" s="20" t="s">
        <v>25</v>
      </c>
      <c r="J115" s="23">
        <f>ROUND(82*1,0)&amp;"%"</f>
      </c>
    </row>
    <row x14ac:dyDescent="0.25" r="116" customHeight="1" ht="17.25">
      <c r="A116" s="17" t="s">
        <v>8526</v>
      </c>
      <c r="B116" s="17" t="s">
        <v>210</v>
      </c>
      <c r="C116" s="17" t="s">
        <v>76</v>
      </c>
      <c r="D116" s="17" t="s">
        <v>28</v>
      </c>
      <c r="E116" s="18">
        <f>ROUND(7707*1.05,2)</f>
      </c>
      <c r="F116" s="17" t="s">
        <v>29</v>
      </c>
      <c r="G116" s="17" t="s">
        <v>30</v>
      </c>
      <c r="H116" s="18">
        <f>ROUND(RAND()*4+6,1)</f>
      </c>
      <c r="I116" s="17" t="s">
        <v>31</v>
      </c>
      <c r="J116" s="19">
        <f>ROUND(95*1,0)&amp;"%"</f>
      </c>
    </row>
    <row x14ac:dyDescent="0.25" r="117" customHeight="1" ht="17.25">
      <c r="A117" s="20" t="s">
        <v>8527</v>
      </c>
      <c r="B117" s="20" t="s">
        <v>212</v>
      </c>
      <c r="C117" s="20" t="s">
        <v>76</v>
      </c>
      <c r="D117" s="20" t="s">
        <v>34</v>
      </c>
      <c r="E117" s="21">
        <f>ROUND(14950*1.05,2)</f>
      </c>
      <c r="F117" s="20" t="s">
        <v>35</v>
      </c>
      <c r="G117" s="20" t="s">
        <v>18</v>
      </c>
      <c r="H117" s="21">
        <f>ROUND(RAND()*4+6,1)</f>
      </c>
      <c r="I117" s="20" t="s">
        <v>36</v>
      </c>
      <c r="J117" s="23">
        <f>ROUND(66*1,0)&amp;"%"</f>
      </c>
    </row>
    <row x14ac:dyDescent="0.25" r="118" customHeight="1" ht="17.25">
      <c r="A118" s="17" t="s">
        <v>8528</v>
      </c>
      <c r="B118" s="17" t="s">
        <v>214</v>
      </c>
      <c r="C118" s="17" t="s">
        <v>76</v>
      </c>
      <c r="D118" s="17" t="s">
        <v>39</v>
      </c>
      <c r="E118" s="18">
        <f>ROUND(10170*1.05,2)</f>
      </c>
      <c r="F118" s="17" t="s">
        <v>40</v>
      </c>
      <c r="G118" s="17" t="s">
        <v>24</v>
      </c>
      <c r="H118" s="18">
        <f>ROUND(RAND()*4+6,1)</f>
      </c>
      <c r="I118" s="17" t="s">
        <v>41</v>
      </c>
      <c r="J118" s="19">
        <f>ROUND(79*1,0)&amp;"%"</f>
      </c>
    </row>
    <row x14ac:dyDescent="0.25" r="119" customHeight="1" ht="17.25">
      <c r="A119" s="20" t="s">
        <v>8529</v>
      </c>
      <c r="B119" s="20" t="s">
        <v>216</v>
      </c>
      <c r="C119" s="20" t="s">
        <v>76</v>
      </c>
      <c r="D119" s="20" t="s">
        <v>67</v>
      </c>
      <c r="E119" s="21">
        <f>ROUND(12262*1.05,2)</f>
      </c>
      <c r="F119" s="20" t="s">
        <v>44</v>
      </c>
      <c r="G119" s="20" t="s">
        <v>30</v>
      </c>
      <c r="H119" s="21">
        <f>ROUND(RAND()*4+6,1)</f>
      </c>
      <c r="I119" s="20" t="s">
        <v>45</v>
      </c>
      <c r="J119" s="23">
        <f>ROUND(100*1,0)&amp;"%"</f>
      </c>
    </row>
    <row x14ac:dyDescent="0.25" r="120" customHeight="1" ht="17.25">
      <c r="A120" s="17" t="s">
        <v>8530</v>
      </c>
      <c r="B120" s="17" t="s">
        <v>218</v>
      </c>
      <c r="C120" s="17" t="s">
        <v>76</v>
      </c>
      <c r="D120" s="17" t="s">
        <v>16</v>
      </c>
      <c r="E120" s="18">
        <f>ROUND(7698*1.05,2)</f>
      </c>
      <c r="F120" s="17" t="s">
        <v>48</v>
      </c>
      <c r="G120" s="17" t="s">
        <v>18</v>
      </c>
      <c r="H120" s="18">
        <f>ROUND(RAND()*4+6,1)</f>
      </c>
      <c r="I120" s="17" t="s">
        <v>19</v>
      </c>
      <c r="J120" s="19">
        <f>ROUND(79*1,0)&amp;"%"</f>
      </c>
    </row>
    <row x14ac:dyDescent="0.25" r="121" customHeight="1" ht="17.25">
      <c r="A121" s="20" t="s">
        <v>8531</v>
      </c>
      <c r="B121" s="20" t="s">
        <v>220</v>
      </c>
      <c r="C121" s="20" t="s">
        <v>76</v>
      </c>
      <c r="D121" s="20" t="s">
        <v>22</v>
      </c>
      <c r="E121" s="21">
        <f>ROUND(11479*1.05,2)</f>
      </c>
      <c r="F121" s="20" t="s">
        <v>51</v>
      </c>
      <c r="G121" s="20" t="s">
        <v>24</v>
      </c>
      <c r="H121" s="21">
        <f>ROUND(RAND()*4+6,1)</f>
      </c>
      <c r="I121" s="20" t="s">
        <v>25</v>
      </c>
      <c r="J121" s="23">
        <f>ROUND(67*1,0)&amp;"%"</f>
      </c>
    </row>
    <row x14ac:dyDescent="0.25" r="122" customHeight="1" ht="17.25">
      <c r="A122" s="24" t="s">
        <v>221</v>
      </c>
      <c r="B122" s="24"/>
      <c r="C122" s="24"/>
      <c r="D122" s="24"/>
      <c r="E122" s="25">
        <v>8</v>
      </c>
      <c r="F122" s="9"/>
      <c r="G122" s="9"/>
      <c r="H122" s="31"/>
      <c r="I122" s="9"/>
      <c r="J122" s="9"/>
    </row>
    <row x14ac:dyDescent="0.25" r="123" customHeight="1" ht="17.25">
      <c r="A123" s="7"/>
      <c r="B123" s="7"/>
      <c r="C123" s="7"/>
      <c r="D123" s="7"/>
      <c r="E123" s="8"/>
      <c r="F123" s="9"/>
      <c r="G123" s="9"/>
      <c r="H123" s="31"/>
      <c r="I123" s="9"/>
      <c r="J123" s="9"/>
    </row>
    <row x14ac:dyDescent="0.25" r="124" customHeight="1" ht="17.25">
      <c r="A124" s="11" t="s">
        <v>8532</v>
      </c>
      <c r="B124" s="11"/>
      <c r="C124" s="11"/>
      <c r="D124" s="11"/>
      <c r="E124" s="12"/>
      <c r="F124" s="11"/>
      <c r="G124" s="11"/>
      <c r="H124" s="12"/>
      <c r="I124" s="11"/>
      <c r="J124" s="11"/>
    </row>
    <row x14ac:dyDescent="0.25" r="125" customHeight="1" ht="17.25">
      <c r="A125" s="14" t="s">
        <v>3</v>
      </c>
      <c r="B125" s="14" t="s">
        <v>4</v>
      </c>
      <c r="C125" s="14" t="s">
        <v>5</v>
      </c>
      <c r="D125" s="14" t="s">
        <v>6</v>
      </c>
      <c r="E125" s="15" t="s">
        <v>7</v>
      </c>
      <c r="F125" s="14" t="s">
        <v>8</v>
      </c>
      <c r="G125" s="14" t="s">
        <v>9</v>
      </c>
      <c r="H125" s="15" t="s">
        <v>10</v>
      </c>
      <c r="I125" s="14" t="s">
        <v>11</v>
      </c>
      <c r="J125" s="14" t="s">
        <v>12</v>
      </c>
    </row>
    <row x14ac:dyDescent="0.25" r="126" customHeight="1" ht="17.25">
      <c r="A126" s="17" t="s">
        <v>8533</v>
      </c>
      <c r="B126" s="17" t="s">
        <v>224</v>
      </c>
      <c r="C126" s="17" t="s">
        <v>95</v>
      </c>
      <c r="D126" s="17" t="s">
        <v>16</v>
      </c>
      <c r="E126" s="18">
        <f>ROUND(4522*1.05,2)</f>
      </c>
      <c r="F126" s="17" t="s">
        <v>17</v>
      </c>
      <c r="G126" s="17" t="s">
        <v>18</v>
      </c>
      <c r="H126" s="18">
        <f>ROUND(RAND()*4+6,1)</f>
      </c>
      <c r="I126" s="17" t="s">
        <v>19</v>
      </c>
      <c r="J126" s="19">
        <f>ROUND(62*1,0)&amp;"%"</f>
      </c>
    </row>
    <row x14ac:dyDescent="0.25" r="127" customHeight="1" ht="17.25">
      <c r="A127" s="20" t="s">
        <v>8534</v>
      </c>
      <c r="B127" s="20" t="s">
        <v>226</v>
      </c>
      <c r="C127" s="20" t="s">
        <v>95</v>
      </c>
      <c r="D127" s="20" t="s">
        <v>22</v>
      </c>
      <c r="E127" s="21">
        <f>ROUND(14841*1.05,2)</f>
      </c>
      <c r="F127" s="20" t="s">
        <v>23</v>
      </c>
      <c r="G127" s="20" t="s">
        <v>24</v>
      </c>
      <c r="H127" s="21">
        <f>ROUND(RAND()*4+6,1)</f>
      </c>
      <c r="I127" s="20" t="s">
        <v>25</v>
      </c>
      <c r="J127" s="23">
        <f>ROUND(73*1,0)&amp;"%"</f>
      </c>
    </row>
    <row x14ac:dyDescent="0.25" r="128" customHeight="1" ht="17.25">
      <c r="A128" s="17" t="s">
        <v>8535</v>
      </c>
      <c r="B128" s="17" t="s">
        <v>228</v>
      </c>
      <c r="C128" s="17" t="s">
        <v>95</v>
      </c>
      <c r="D128" s="17" t="s">
        <v>28</v>
      </c>
      <c r="E128" s="18">
        <f>ROUND(9619*1.05,2)</f>
      </c>
      <c r="F128" s="17" t="s">
        <v>29</v>
      </c>
      <c r="G128" s="17" t="s">
        <v>30</v>
      </c>
      <c r="H128" s="18">
        <f>ROUND(RAND()*4+6,1)</f>
      </c>
      <c r="I128" s="17" t="s">
        <v>31</v>
      </c>
      <c r="J128" s="19">
        <f>ROUND(72*1,0)&amp;"%"</f>
      </c>
    </row>
    <row x14ac:dyDescent="0.25" r="129" customHeight="1" ht="17.25">
      <c r="A129" s="20" t="s">
        <v>8536</v>
      </c>
      <c r="B129" s="20" t="s">
        <v>230</v>
      </c>
      <c r="C129" s="20" t="s">
        <v>95</v>
      </c>
      <c r="D129" s="20" t="s">
        <v>34</v>
      </c>
      <c r="E129" s="21">
        <f>ROUND(10805*1.05,2)</f>
      </c>
      <c r="F129" s="20" t="s">
        <v>35</v>
      </c>
      <c r="G129" s="20" t="s">
        <v>18</v>
      </c>
      <c r="H129" s="21">
        <f>ROUND(RAND()*4+6,1)</f>
      </c>
      <c r="I129" s="20" t="s">
        <v>36</v>
      </c>
      <c r="J129" s="23">
        <f>ROUND(75*1,0)&amp;"%"</f>
      </c>
    </row>
    <row x14ac:dyDescent="0.25" r="130" customHeight="1" ht="17.25">
      <c r="A130" s="17" t="s">
        <v>8537</v>
      </c>
      <c r="B130" s="17" t="s">
        <v>232</v>
      </c>
      <c r="C130" s="17" t="s">
        <v>95</v>
      </c>
      <c r="D130" s="17" t="s">
        <v>39</v>
      </c>
      <c r="E130" s="18">
        <f>ROUND(15314*1.05,2)</f>
      </c>
      <c r="F130" s="17" t="s">
        <v>40</v>
      </c>
      <c r="G130" s="17" t="s">
        <v>24</v>
      </c>
      <c r="H130" s="18">
        <f>ROUND(RAND()*4+6,1)</f>
      </c>
      <c r="I130" s="17" t="s">
        <v>41</v>
      </c>
      <c r="J130" s="19">
        <f>ROUND(92*1,0)&amp;"%"</f>
      </c>
    </row>
    <row x14ac:dyDescent="0.25" r="131" customHeight="1" ht="17.25">
      <c r="A131" s="20" t="s">
        <v>8538</v>
      </c>
      <c r="B131" s="20" t="s">
        <v>234</v>
      </c>
      <c r="C131" s="20" t="s">
        <v>95</v>
      </c>
      <c r="D131" s="20" t="s">
        <v>67</v>
      </c>
      <c r="E131" s="21">
        <f>ROUND(8391*1.05,2)</f>
      </c>
      <c r="F131" s="20" t="s">
        <v>44</v>
      </c>
      <c r="G131" s="20" t="s">
        <v>30</v>
      </c>
      <c r="H131" s="21">
        <f>ROUND(RAND()*4+6,1)</f>
      </c>
      <c r="I131" s="20" t="s">
        <v>45</v>
      </c>
      <c r="J131" s="23">
        <f>ROUND(65*1,0)&amp;"%"</f>
      </c>
    </row>
    <row x14ac:dyDescent="0.25" r="132" customHeight="1" ht="17.25">
      <c r="A132" s="17" t="s">
        <v>8539</v>
      </c>
      <c r="B132" s="17" t="s">
        <v>236</v>
      </c>
      <c r="C132" s="17" t="s">
        <v>95</v>
      </c>
      <c r="D132" s="17" t="s">
        <v>16</v>
      </c>
      <c r="E132" s="18">
        <f>ROUND(10781*1.05,2)</f>
      </c>
      <c r="F132" s="17" t="s">
        <v>48</v>
      </c>
      <c r="G132" s="17" t="s">
        <v>18</v>
      </c>
      <c r="H132" s="18">
        <f>ROUND(RAND()*4+6,1)</f>
      </c>
      <c r="I132" s="17" t="s">
        <v>19</v>
      </c>
      <c r="J132" s="19">
        <f>ROUND(63*1,0)&amp;"%"</f>
      </c>
    </row>
    <row x14ac:dyDescent="0.25" r="133" customHeight="1" ht="17.25">
      <c r="A133" s="20" t="s">
        <v>8540</v>
      </c>
      <c r="B133" s="20" t="s">
        <v>238</v>
      </c>
      <c r="C133" s="20" t="s">
        <v>95</v>
      </c>
      <c r="D133" s="20" t="s">
        <v>22</v>
      </c>
      <c r="E133" s="21">
        <f>ROUND(4007*1.05,2)</f>
      </c>
      <c r="F133" s="20" t="s">
        <v>51</v>
      </c>
      <c r="G133" s="20" t="s">
        <v>24</v>
      </c>
      <c r="H133" s="21">
        <f>ROUND(RAND()*4+6,1)</f>
      </c>
      <c r="I133" s="20" t="s">
        <v>25</v>
      </c>
      <c r="J133" s="23">
        <f>ROUND(82*1,0)&amp;"%"</f>
      </c>
    </row>
    <row x14ac:dyDescent="0.25" r="134" customHeight="1" ht="17.25">
      <c r="A134" s="24" t="s">
        <v>239</v>
      </c>
      <c r="B134" s="24"/>
      <c r="C134" s="24"/>
      <c r="D134" s="24"/>
      <c r="E134" s="25">
        <v>8</v>
      </c>
      <c r="F134" s="9"/>
      <c r="G134" s="9"/>
      <c r="H134" s="31"/>
      <c r="I134" s="9"/>
      <c r="J134" s="9"/>
    </row>
    <row x14ac:dyDescent="0.25" r="135" customHeight="1" ht="17.25">
      <c r="A135" s="7"/>
      <c r="B135" s="7"/>
      <c r="C135" s="7"/>
      <c r="D135" s="7"/>
      <c r="E135" s="8"/>
      <c r="F135" s="9"/>
      <c r="G135" s="9"/>
      <c r="H135" s="31"/>
      <c r="I135" s="9"/>
      <c r="J135" s="9"/>
    </row>
    <row x14ac:dyDescent="0.25" r="136" customHeight="1" ht="17.25">
      <c r="A136" s="11" t="s">
        <v>8541</v>
      </c>
      <c r="B136" s="11"/>
      <c r="C136" s="11"/>
      <c r="D136" s="11"/>
      <c r="E136" s="12"/>
      <c r="F136" s="11"/>
      <c r="G136" s="11"/>
      <c r="H136" s="12"/>
      <c r="I136" s="11"/>
      <c r="J136" s="11"/>
    </row>
    <row x14ac:dyDescent="0.25" r="137" customHeight="1" ht="17.25">
      <c r="A137" s="14" t="s">
        <v>3</v>
      </c>
      <c r="B137" s="14" t="s">
        <v>4</v>
      </c>
      <c r="C137" s="14" t="s">
        <v>5</v>
      </c>
      <c r="D137" s="14" t="s">
        <v>6</v>
      </c>
      <c r="E137" s="15" t="s">
        <v>7</v>
      </c>
      <c r="F137" s="14" t="s">
        <v>8</v>
      </c>
      <c r="G137" s="14" t="s">
        <v>9</v>
      </c>
      <c r="H137" s="15" t="s">
        <v>10</v>
      </c>
      <c r="I137" s="14" t="s">
        <v>11</v>
      </c>
      <c r="J137" s="14" t="s">
        <v>12</v>
      </c>
    </row>
    <row x14ac:dyDescent="0.25" r="138" customHeight="1" ht="17.25">
      <c r="A138" s="17" t="s">
        <v>8542</v>
      </c>
      <c r="B138" s="17" t="s">
        <v>242</v>
      </c>
      <c r="C138" s="17" t="s">
        <v>114</v>
      </c>
      <c r="D138" s="17" t="s">
        <v>16</v>
      </c>
      <c r="E138" s="18">
        <f>ROUND(12761*1.05,2)</f>
      </c>
      <c r="F138" s="17" t="s">
        <v>17</v>
      </c>
      <c r="G138" s="17" t="s">
        <v>18</v>
      </c>
      <c r="H138" s="26">
        <f>ROUND(RAND()*4+6,1)</f>
      </c>
      <c r="I138" s="17" t="s">
        <v>19</v>
      </c>
      <c r="J138" s="19">
        <f>ROUND(79*1,0)&amp;"%"</f>
      </c>
    </row>
    <row x14ac:dyDescent="0.25" r="139" customHeight="1" ht="17.25">
      <c r="A139" s="20" t="s">
        <v>8543</v>
      </c>
      <c r="B139" s="20" t="s">
        <v>244</v>
      </c>
      <c r="C139" s="20" t="s">
        <v>114</v>
      </c>
      <c r="D139" s="20" t="s">
        <v>22</v>
      </c>
      <c r="E139" s="21">
        <f>ROUND(7439*1.05,2)</f>
      </c>
      <c r="F139" s="20" t="s">
        <v>23</v>
      </c>
      <c r="G139" s="20" t="s">
        <v>24</v>
      </c>
      <c r="H139" s="21">
        <f>ROUND(RAND()*4+6,1)</f>
      </c>
      <c r="I139" s="20" t="s">
        <v>25</v>
      </c>
      <c r="J139" s="23">
        <f>ROUND(60*1,0)&amp;"%"</f>
      </c>
    </row>
    <row x14ac:dyDescent="0.25" r="140" customHeight="1" ht="17.25">
      <c r="A140" s="17" t="s">
        <v>8544</v>
      </c>
      <c r="B140" s="17" t="s">
        <v>246</v>
      </c>
      <c r="C140" s="17" t="s">
        <v>114</v>
      </c>
      <c r="D140" s="17" t="s">
        <v>28</v>
      </c>
      <c r="E140" s="18">
        <f>ROUND(14651*1.05,2)</f>
      </c>
      <c r="F140" s="17" t="s">
        <v>29</v>
      </c>
      <c r="G140" s="17" t="s">
        <v>30</v>
      </c>
      <c r="H140" s="18">
        <f>ROUND(RAND()*4+6,1)</f>
      </c>
      <c r="I140" s="17" t="s">
        <v>31</v>
      </c>
      <c r="J140" s="19">
        <f>ROUND(81*1,0)&amp;"%"</f>
      </c>
    </row>
    <row x14ac:dyDescent="0.25" r="141" customHeight="1" ht="17.25">
      <c r="A141" s="20" t="s">
        <v>8545</v>
      </c>
      <c r="B141" s="20" t="s">
        <v>248</v>
      </c>
      <c r="C141" s="20" t="s">
        <v>114</v>
      </c>
      <c r="D141" s="20" t="s">
        <v>34</v>
      </c>
      <c r="E141" s="21">
        <f>ROUND(17946*1.05,2)</f>
      </c>
      <c r="F141" s="20" t="s">
        <v>35</v>
      </c>
      <c r="G141" s="20" t="s">
        <v>18</v>
      </c>
      <c r="H141" s="21">
        <f>ROUND(RAND()*4+6,1)</f>
      </c>
      <c r="I141" s="20" t="s">
        <v>36</v>
      </c>
      <c r="J141" s="23">
        <f>ROUND(86*1,0)&amp;"%"</f>
      </c>
    </row>
    <row x14ac:dyDescent="0.25" r="142" customHeight="1" ht="17.25">
      <c r="A142" s="17" t="s">
        <v>8546</v>
      </c>
      <c r="B142" s="17" t="s">
        <v>250</v>
      </c>
      <c r="C142" s="17" t="s">
        <v>114</v>
      </c>
      <c r="D142" s="17" t="s">
        <v>39</v>
      </c>
      <c r="E142" s="18">
        <f>ROUND(6865*1.05,2)</f>
      </c>
      <c r="F142" s="17" t="s">
        <v>40</v>
      </c>
      <c r="G142" s="17" t="s">
        <v>24</v>
      </c>
      <c r="H142" s="18">
        <f>ROUND(RAND()*4+6,1)</f>
      </c>
      <c r="I142" s="17" t="s">
        <v>41</v>
      </c>
      <c r="J142" s="19">
        <f>ROUND(100*1,0)&amp;"%"</f>
      </c>
    </row>
    <row x14ac:dyDescent="0.25" r="143" customHeight="1" ht="17.25">
      <c r="A143" s="20" t="s">
        <v>8547</v>
      </c>
      <c r="B143" s="20" t="s">
        <v>252</v>
      </c>
      <c r="C143" s="20" t="s">
        <v>114</v>
      </c>
      <c r="D143" s="20" t="s">
        <v>67</v>
      </c>
      <c r="E143" s="21">
        <f>ROUND(17979*1.05,2)</f>
      </c>
      <c r="F143" s="20" t="s">
        <v>44</v>
      </c>
      <c r="G143" s="20" t="s">
        <v>30</v>
      </c>
      <c r="H143" s="21">
        <f>ROUND(RAND()*4+6,1)</f>
      </c>
      <c r="I143" s="20" t="s">
        <v>45</v>
      </c>
      <c r="J143" s="23">
        <f>ROUND(69*1,0)&amp;"%"</f>
      </c>
    </row>
    <row x14ac:dyDescent="0.25" r="144" customHeight="1" ht="17.25">
      <c r="A144" s="17" t="s">
        <v>8548</v>
      </c>
      <c r="B144" s="17" t="s">
        <v>254</v>
      </c>
      <c r="C144" s="17" t="s">
        <v>114</v>
      </c>
      <c r="D144" s="17" t="s">
        <v>16</v>
      </c>
      <c r="E144" s="18">
        <f>ROUND(14473*1.05,2)</f>
      </c>
      <c r="F144" s="17" t="s">
        <v>48</v>
      </c>
      <c r="G144" s="17" t="s">
        <v>18</v>
      </c>
      <c r="H144" s="18">
        <f>ROUND(RAND()*4+6,1)</f>
      </c>
      <c r="I144" s="17" t="s">
        <v>19</v>
      </c>
      <c r="J144" s="19">
        <f>ROUND(95*1,0)&amp;"%"</f>
      </c>
    </row>
    <row x14ac:dyDescent="0.25" r="145" customHeight="1" ht="17.25">
      <c r="A145" s="20" t="s">
        <v>8549</v>
      </c>
      <c r="B145" s="20" t="s">
        <v>256</v>
      </c>
      <c r="C145" s="20" t="s">
        <v>114</v>
      </c>
      <c r="D145" s="20" t="s">
        <v>22</v>
      </c>
      <c r="E145" s="21">
        <f>ROUND(15646*1.05,2)</f>
      </c>
      <c r="F145" s="20" t="s">
        <v>51</v>
      </c>
      <c r="G145" s="20" t="s">
        <v>24</v>
      </c>
      <c r="H145" s="21">
        <f>ROUND(RAND()*4+6,1)</f>
      </c>
      <c r="I145" s="20" t="s">
        <v>25</v>
      </c>
      <c r="J145" s="23">
        <f>ROUND(95*1,0)&amp;"%"</f>
      </c>
    </row>
    <row x14ac:dyDescent="0.25" r="146" customHeight="1" ht="17.25">
      <c r="A146" s="24" t="s">
        <v>257</v>
      </c>
      <c r="B146" s="24"/>
      <c r="C146" s="24"/>
      <c r="D146" s="24"/>
      <c r="E146" s="25">
        <v>8</v>
      </c>
      <c r="F146" s="9"/>
      <c r="G146" s="9"/>
      <c r="H146" s="31"/>
      <c r="I146" s="9"/>
      <c r="J146" s="9"/>
    </row>
    <row x14ac:dyDescent="0.25" r="147" customHeight="1" ht="17.25">
      <c r="A147" s="7"/>
      <c r="B147" s="7"/>
      <c r="C147" s="7"/>
      <c r="D147" s="7"/>
      <c r="E147" s="8"/>
      <c r="F147" s="9"/>
      <c r="G147" s="9"/>
      <c r="H147" s="31"/>
      <c r="I147" s="9"/>
      <c r="J147" s="9"/>
    </row>
    <row x14ac:dyDescent="0.25" r="148" customHeight="1" ht="17.25">
      <c r="A148" s="11" t="s">
        <v>8550</v>
      </c>
      <c r="B148" s="11"/>
      <c r="C148" s="11"/>
      <c r="D148" s="11"/>
      <c r="E148" s="12"/>
      <c r="F148" s="11"/>
      <c r="G148" s="11"/>
      <c r="H148" s="12"/>
      <c r="I148" s="11"/>
      <c r="J148" s="11"/>
    </row>
    <row x14ac:dyDescent="0.25" r="149" customHeight="1" ht="17.25">
      <c r="A149" s="14" t="s">
        <v>3</v>
      </c>
      <c r="B149" s="14" t="s">
        <v>4</v>
      </c>
      <c r="C149" s="14" t="s">
        <v>5</v>
      </c>
      <c r="D149" s="14" t="s">
        <v>6</v>
      </c>
      <c r="E149" s="15" t="s">
        <v>7</v>
      </c>
      <c r="F149" s="14" t="s">
        <v>8</v>
      </c>
      <c r="G149" s="14" t="s">
        <v>9</v>
      </c>
      <c r="H149" s="15" t="s">
        <v>10</v>
      </c>
      <c r="I149" s="14" t="s">
        <v>11</v>
      </c>
      <c r="J149" s="14" t="s">
        <v>12</v>
      </c>
    </row>
    <row x14ac:dyDescent="0.25" r="150" customHeight="1" ht="17.25">
      <c r="A150" s="17" t="s">
        <v>8551</v>
      </c>
      <c r="B150" s="17" t="s">
        <v>260</v>
      </c>
      <c r="C150" s="17" t="s">
        <v>133</v>
      </c>
      <c r="D150" s="17" t="s">
        <v>16</v>
      </c>
      <c r="E150" s="18">
        <f>ROUND(15339*1.05,2)</f>
      </c>
      <c r="F150" s="17" t="s">
        <v>17</v>
      </c>
      <c r="G150" s="17" t="s">
        <v>18</v>
      </c>
      <c r="H150" s="18">
        <f>ROUND(RAND()*4+6,1)</f>
      </c>
      <c r="I150" s="17" t="s">
        <v>19</v>
      </c>
      <c r="J150" s="19">
        <f>ROUND(69*1,0)&amp;"%"</f>
      </c>
    </row>
    <row x14ac:dyDescent="0.25" r="151" customHeight="1" ht="17.25">
      <c r="A151" s="20" t="s">
        <v>8552</v>
      </c>
      <c r="B151" s="20" t="s">
        <v>262</v>
      </c>
      <c r="C151" s="20" t="s">
        <v>133</v>
      </c>
      <c r="D151" s="20" t="s">
        <v>22</v>
      </c>
      <c r="E151" s="21">
        <f>ROUND(5810*1.05,2)</f>
      </c>
      <c r="F151" s="20" t="s">
        <v>23</v>
      </c>
      <c r="G151" s="20" t="s">
        <v>24</v>
      </c>
      <c r="H151" s="21">
        <f>ROUND(RAND()*4+6,1)</f>
      </c>
      <c r="I151" s="20" t="s">
        <v>25</v>
      </c>
      <c r="J151" s="23">
        <f>ROUND(67*1,0)&amp;"%"</f>
      </c>
    </row>
    <row x14ac:dyDescent="0.25" r="152" customHeight="1" ht="17.25">
      <c r="A152" s="17" t="s">
        <v>8553</v>
      </c>
      <c r="B152" s="17" t="s">
        <v>264</v>
      </c>
      <c r="C152" s="17" t="s">
        <v>133</v>
      </c>
      <c r="D152" s="17" t="s">
        <v>28</v>
      </c>
      <c r="E152" s="18">
        <f>ROUND(4513*1.05,2)</f>
      </c>
      <c r="F152" s="17" t="s">
        <v>29</v>
      </c>
      <c r="G152" s="17" t="s">
        <v>30</v>
      </c>
      <c r="H152" s="18">
        <f>ROUND(RAND()*4+6,1)</f>
      </c>
      <c r="I152" s="17" t="s">
        <v>31</v>
      </c>
      <c r="J152" s="19">
        <f>ROUND(94*1,0)&amp;"%"</f>
      </c>
    </row>
    <row x14ac:dyDescent="0.25" r="153" customHeight="1" ht="17.25">
      <c r="A153" s="20" t="s">
        <v>8554</v>
      </c>
      <c r="B153" s="20" t="s">
        <v>266</v>
      </c>
      <c r="C153" s="20" t="s">
        <v>133</v>
      </c>
      <c r="D153" s="20" t="s">
        <v>34</v>
      </c>
      <c r="E153" s="21">
        <f>ROUND(12775*1.05,2)</f>
      </c>
      <c r="F153" s="20" t="s">
        <v>35</v>
      </c>
      <c r="G153" s="20" t="s">
        <v>18</v>
      </c>
      <c r="H153" s="21">
        <f>ROUND(RAND()*4+6,1)</f>
      </c>
      <c r="I153" s="20" t="s">
        <v>36</v>
      </c>
      <c r="J153" s="23">
        <f>ROUND(79*1,0)&amp;"%"</f>
      </c>
    </row>
    <row x14ac:dyDescent="0.25" r="154" customHeight="1" ht="17.25">
      <c r="A154" s="17" t="s">
        <v>8555</v>
      </c>
      <c r="B154" s="17" t="s">
        <v>268</v>
      </c>
      <c r="C154" s="17" t="s">
        <v>133</v>
      </c>
      <c r="D154" s="17" t="s">
        <v>39</v>
      </c>
      <c r="E154" s="18">
        <f>ROUND(16345*1.05,2)</f>
      </c>
      <c r="F154" s="17" t="s">
        <v>40</v>
      </c>
      <c r="G154" s="17" t="s">
        <v>24</v>
      </c>
      <c r="H154" s="26">
        <f>ROUND(RAND()*4+6,1)</f>
      </c>
      <c r="I154" s="17" t="s">
        <v>41</v>
      </c>
      <c r="J154" s="19">
        <f>ROUND(77*1,0)&amp;"%"</f>
      </c>
    </row>
    <row x14ac:dyDescent="0.25" r="155" customHeight="1" ht="17.25">
      <c r="A155" s="20" t="s">
        <v>8556</v>
      </c>
      <c r="B155" s="20" t="s">
        <v>270</v>
      </c>
      <c r="C155" s="20" t="s">
        <v>133</v>
      </c>
      <c r="D155" s="20" t="s">
        <v>67</v>
      </c>
      <c r="E155" s="21">
        <f>ROUND(10098*1.05,2)</f>
      </c>
      <c r="F155" s="20" t="s">
        <v>44</v>
      </c>
      <c r="G155" s="20" t="s">
        <v>30</v>
      </c>
      <c r="H155" s="21">
        <f>ROUND(RAND()*4+6,1)</f>
      </c>
      <c r="I155" s="20" t="s">
        <v>45</v>
      </c>
      <c r="J155" s="23">
        <f>ROUND(72*1,0)&amp;"%"</f>
      </c>
    </row>
    <row x14ac:dyDescent="0.25" r="156" customHeight="1" ht="17.25">
      <c r="A156" s="17" t="s">
        <v>8557</v>
      </c>
      <c r="B156" s="17" t="s">
        <v>272</v>
      </c>
      <c r="C156" s="17" t="s">
        <v>133</v>
      </c>
      <c r="D156" s="17" t="s">
        <v>16</v>
      </c>
      <c r="E156" s="18">
        <f>ROUND(17559*1.05,2)</f>
      </c>
      <c r="F156" s="17" t="s">
        <v>48</v>
      </c>
      <c r="G156" s="17" t="s">
        <v>18</v>
      </c>
      <c r="H156" s="18">
        <f>ROUND(RAND()*4+6,1)</f>
      </c>
      <c r="I156" s="17" t="s">
        <v>19</v>
      </c>
      <c r="J156" s="19">
        <f>ROUND(67*1,0)&amp;"%"</f>
      </c>
    </row>
    <row x14ac:dyDescent="0.25" r="157" customHeight="1" ht="17.25">
      <c r="A157" s="20" t="s">
        <v>8558</v>
      </c>
      <c r="B157" s="20" t="s">
        <v>274</v>
      </c>
      <c r="C157" s="20" t="s">
        <v>133</v>
      </c>
      <c r="D157" s="20" t="s">
        <v>22</v>
      </c>
      <c r="E157" s="22">
        <f>ROUND(8540*1.05,2)</f>
      </c>
      <c r="F157" s="20" t="s">
        <v>51</v>
      </c>
      <c r="G157" s="20" t="s">
        <v>24</v>
      </c>
      <c r="H157" s="21">
        <f>ROUND(RAND()*4+6,1)</f>
      </c>
      <c r="I157" s="20" t="s">
        <v>25</v>
      </c>
      <c r="J157" s="23">
        <f>ROUND(76*1,0)&amp;"%"</f>
      </c>
    </row>
    <row x14ac:dyDescent="0.25" r="158" customHeight="1" ht="17.25">
      <c r="A158" s="24" t="s">
        <v>275</v>
      </c>
      <c r="B158" s="24"/>
      <c r="C158" s="24"/>
      <c r="D158" s="24"/>
      <c r="E158" s="25">
        <v>8</v>
      </c>
      <c r="F158" s="9"/>
      <c r="G158" s="9"/>
      <c r="H158" s="31"/>
      <c r="I158" s="9"/>
      <c r="J158" s="9"/>
    </row>
    <row x14ac:dyDescent="0.25" r="159" customHeight="1" ht="17.25">
      <c r="A159" s="7"/>
      <c r="B159" s="7"/>
      <c r="C159" s="7"/>
      <c r="D159" s="7"/>
      <c r="E159" s="8"/>
      <c r="F159" s="9"/>
      <c r="G159" s="9"/>
      <c r="H159" s="31"/>
      <c r="I159" s="9"/>
      <c r="J159" s="9"/>
    </row>
    <row x14ac:dyDescent="0.25" r="160" customHeight="1" ht="17.25">
      <c r="A160" s="11" t="s">
        <v>8559</v>
      </c>
      <c r="B160" s="11"/>
      <c r="C160" s="11"/>
      <c r="D160" s="11"/>
      <c r="E160" s="12"/>
      <c r="F160" s="11"/>
      <c r="G160" s="11"/>
      <c r="H160" s="12"/>
      <c r="I160" s="11"/>
      <c r="J160" s="11"/>
    </row>
    <row x14ac:dyDescent="0.25" r="161" customHeight="1" ht="17.25">
      <c r="A161" s="14" t="s">
        <v>3</v>
      </c>
      <c r="B161" s="14" t="s">
        <v>4</v>
      </c>
      <c r="C161" s="14" t="s">
        <v>5</v>
      </c>
      <c r="D161" s="14" t="s">
        <v>6</v>
      </c>
      <c r="E161" s="15" t="s">
        <v>7</v>
      </c>
      <c r="F161" s="14" t="s">
        <v>8</v>
      </c>
      <c r="G161" s="14" t="s">
        <v>9</v>
      </c>
      <c r="H161" s="15" t="s">
        <v>10</v>
      </c>
      <c r="I161" s="14" t="s">
        <v>11</v>
      </c>
      <c r="J161" s="14" t="s">
        <v>12</v>
      </c>
    </row>
    <row x14ac:dyDescent="0.25" r="162" customHeight="1" ht="17.25">
      <c r="A162" s="17" t="s">
        <v>8560</v>
      </c>
      <c r="B162" s="17" t="s">
        <v>278</v>
      </c>
      <c r="C162" s="17" t="s">
        <v>152</v>
      </c>
      <c r="D162" s="17" t="s">
        <v>16</v>
      </c>
      <c r="E162" s="18">
        <f>ROUND(11611*1.05,2)</f>
      </c>
      <c r="F162" s="17" t="s">
        <v>17</v>
      </c>
      <c r="G162" s="17" t="s">
        <v>18</v>
      </c>
      <c r="H162" s="18">
        <f>ROUND(RAND()*4+6,1)</f>
      </c>
      <c r="I162" s="17" t="s">
        <v>19</v>
      </c>
      <c r="J162" s="19">
        <f>ROUND(98*1,0)&amp;"%"</f>
      </c>
    </row>
    <row x14ac:dyDescent="0.25" r="163" customHeight="1" ht="17.25">
      <c r="A163" s="20" t="s">
        <v>8561</v>
      </c>
      <c r="B163" s="20" t="s">
        <v>280</v>
      </c>
      <c r="C163" s="20" t="s">
        <v>152</v>
      </c>
      <c r="D163" s="20" t="s">
        <v>22</v>
      </c>
      <c r="E163" s="21">
        <f>ROUND(4888*1.05,2)</f>
      </c>
      <c r="F163" s="20" t="s">
        <v>23</v>
      </c>
      <c r="G163" s="20" t="s">
        <v>24</v>
      </c>
      <c r="H163" s="21">
        <f>ROUND(RAND()*4+6,1)</f>
      </c>
      <c r="I163" s="20" t="s">
        <v>25</v>
      </c>
      <c r="J163" s="23">
        <f>ROUND(98*1,0)&amp;"%"</f>
      </c>
    </row>
    <row x14ac:dyDescent="0.25" r="164" customHeight="1" ht="17.25">
      <c r="A164" s="17" t="s">
        <v>8562</v>
      </c>
      <c r="B164" s="17" t="s">
        <v>282</v>
      </c>
      <c r="C164" s="17" t="s">
        <v>152</v>
      </c>
      <c r="D164" s="17" t="s">
        <v>28</v>
      </c>
      <c r="E164" s="18">
        <f>ROUND(4197*1.05,2)</f>
      </c>
      <c r="F164" s="17" t="s">
        <v>29</v>
      </c>
      <c r="G164" s="17" t="s">
        <v>30</v>
      </c>
      <c r="H164" s="18">
        <f>ROUND(RAND()*4+6,1)</f>
      </c>
      <c r="I164" s="17" t="s">
        <v>31</v>
      </c>
      <c r="J164" s="19">
        <f>ROUND(100*1,0)&amp;"%"</f>
      </c>
    </row>
    <row x14ac:dyDescent="0.25" r="165" customHeight="1" ht="17.25">
      <c r="A165" s="20" t="s">
        <v>8563</v>
      </c>
      <c r="B165" s="20" t="s">
        <v>284</v>
      </c>
      <c r="C165" s="20" t="s">
        <v>152</v>
      </c>
      <c r="D165" s="20" t="s">
        <v>34</v>
      </c>
      <c r="E165" s="22">
        <f>ROUND(17360*1.05,2)</f>
      </c>
      <c r="F165" s="20" t="s">
        <v>35</v>
      </c>
      <c r="G165" s="20" t="s">
        <v>18</v>
      </c>
      <c r="H165" s="21">
        <f>ROUND(RAND()*4+6,1)</f>
      </c>
      <c r="I165" s="20" t="s">
        <v>36</v>
      </c>
      <c r="J165" s="23">
        <f>ROUND(85*1,0)&amp;"%"</f>
      </c>
    </row>
    <row x14ac:dyDescent="0.25" r="166" customHeight="1" ht="17.25">
      <c r="A166" s="17" t="s">
        <v>8564</v>
      </c>
      <c r="B166" s="17" t="s">
        <v>286</v>
      </c>
      <c r="C166" s="17" t="s">
        <v>152</v>
      </c>
      <c r="D166" s="17" t="s">
        <v>39</v>
      </c>
      <c r="E166" s="18">
        <f>ROUND(12772*1.05,2)</f>
      </c>
      <c r="F166" s="17" t="s">
        <v>40</v>
      </c>
      <c r="G166" s="17" t="s">
        <v>24</v>
      </c>
      <c r="H166" s="18">
        <f>ROUND(RAND()*4+6,1)</f>
      </c>
      <c r="I166" s="17" t="s">
        <v>41</v>
      </c>
      <c r="J166" s="19">
        <f>ROUND(93*1,0)&amp;"%"</f>
      </c>
    </row>
    <row x14ac:dyDescent="0.25" r="167" customHeight="1" ht="17.25">
      <c r="A167" s="20" t="s">
        <v>8565</v>
      </c>
      <c r="B167" s="20" t="s">
        <v>288</v>
      </c>
      <c r="C167" s="20" t="s">
        <v>152</v>
      </c>
      <c r="D167" s="20" t="s">
        <v>67</v>
      </c>
      <c r="E167" s="21">
        <f>ROUND(12311*1.05,2)</f>
      </c>
      <c r="F167" s="20" t="s">
        <v>44</v>
      </c>
      <c r="G167" s="20" t="s">
        <v>30</v>
      </c>
      <c r="H167" s="22">
        <f>ROUND(RAND()*4+6,1)</f>
      </c>
      <c r="I167" s="20" t="s">
        <v>45</v>
      </c>
      <c r="J167" s="23">
        <f>ROUND(97*1,0)&amp;"%"</f>
      </c>
    </row>
    <row x14ac:dyDescent="0.25" r="168" customHeight="1" ht="17.25">
      <c r="A168" s="17" t="s">
        <v>8566</v>
      </c>
      <c r="B168" s="17" t="s">
        <v>290</v>
      </c>
      <c r="C168" s="17" t="s">
        <v>152</v>
      </c>
      <c r="D168" s="17" t="s">
        <v>16</v>
      </c>
      <c r="E168" s="18">
        <f>ROUND(7464*1.05,2)</f>
      </c>
      <c r="F168" s="17" t="s">
        <v>48</v>
      </c>
      <c r="G168" s="17" t="s">
        <v>18</v>
      </c>
      <c r="H168" s="18">
        <f>ROUND(RAND()*4+6,1)</f>
      </c>
      <c r="I168" s="17" t="s">
        <v>19</v>
      </c>
      <c r="J168" s="19">
        <f>ROUND(69*1,0)&amp;"%"</f>
      </c>
    </row>
    <row x14ac:dyDescent="0.25" r="169" customHeight="1" ht="17.25">
      <c r="A169" s="20" t="s">
        <v>8567</v>
      </c>
      <c r="B169" s="20" t="s">
        <v>292</v>
      </c>
      <c r="C169" s="20" t="s">
        <v>152</v>
      </c>
      <c r="D169" s="20" t="s">
        <v>22</v>
      </c>
      <c r="E169" s="21">
        <f>ROUND(9987*1.05,2)</f>
      </c>
      <c r="F169" s="20" t="s">
        <v>51</v>
      </c>
      <c r="G169" s="20" t="s">
        <v>24</v>
      </c>
      <c r="H169" s="21">
        <f>ROUND(RAND()*4+6,1)</f>
      </c>
      <c r="I169" s="20" t="s">
        <v>25</v>
      </c>
      <c r="J169" s="23">
        <f>ROUND(82*1,0)&amp;"%"</f>
      </c>
    </row>
    <row x14ac:dyDescent="0.25" r="170" customHeight="1" ht="17.25">
      <c r="A170" s="24" t="s">
        <v>293</v>
      </c>
      <c r="B170" s="24"/>
      <c r="C170" s="24"/>
      <c r="D170" s="24"/>
      <c r="E170" s="25">
        <v>8</v>
      </c>
      <c r="F170" s="9"/>
      <c r="G170" s="9"/>
      <c r="H170" s="31"/>
      <c r="I170" s="9"/>
      <c r="J170" s="9"/>
    </row>
    <row x14ac:dyDescent="0.25" r="171" customHeight="1" ht="17.25">
      <c r="A171" s="7"/>
      <c r="B171" s="7"/>
      <c r="C171" s="7"/>
      <c r="D171" s="7"/>
      <c r="E171" s="8"/>
      <c r="F171" s="9"/>
      <c r="G171" s="9"/>
      <c r="H171" s="31"/>
      <c r="I171" s="9"/>
      <c r="J171" s="9"/>
    </row>
    <row x14ac:dyDescent="0.25" r="172" customHeight="1" ht="17.25">
      <c r="A172" s="11" t="s">
        <v>8568</v>
      </c>
      <c r="B172" s="11"/>
      <c r="C172" s="11"/>
      <c r="D172" s="11"/>
      <c r="E172" s="12"/>
      <c r="F172" s="11"/>
      <c r="G172" s="11"/>
      <c r="H172" s="12"/>
      <c r="I172" s="11"/>
      <c r="J172" s="11"/>
    </row>
    <row x14ac:dyDescent="0.25" r="173" customHeight="1" ht="17.25">
      <c r="A173" s="14" t="s">
        <v>3</v>
      </c>
      <c r="B173" s="14" t="s">
        <v>4</v>
      </c>
      <c r="C173" s="14" t="s">
        <v>5</v>
      </c>
      <c r="D173" s="14" t="s">
        <v>6</v>
      </c>
      <c r="E173" s="15" t="s">
        <v>7</v>
      </c>
      <c r="F173" s="14" t="s">
        <v>8</v>
      </c>
      <c r="G173" s="14" t="s">
        <v>9</v>
      </c>
      <c r="H173" s="15" t="s">
        <v>10</v>
      </c>
      <c r="I173" s="14" t="s">
        <v>11</v>
      </c>
      <c r="J173" s="14" t="s">
        <v>12</v>
      </c>
    </row>
    <row x14ac:dyDescent="0.25" r="174" customHeight="1" ht="17.25">
      <c r="A174" s="17" t="s">
        <v>8569</v>
      </c>
      <c r="B174" s="17" t="s">
        <v>296</v>
      </c>
      <c r="C174" s="17" t="s">
        <v>15</v>
      </c>
      <c r="D174" s="17" t="s">
        <v>16</v>
      </c>
      <c r="E174" s="18">
        <f>ROUND(5305*1.05,2)</f>
      </c>
      <c r="F174" s="17" t="s">
        <v>17</v>
      </c>
      <c r="G174" s="17" t="s">
        <v>18</v>
      </c>
      <c r="H174" s="18">
        <f>ROUND(RAND()*4+6,1)</f>
      </c>
      <c r="I174" s="17" t="s">
        <v>19</v>
      </c>
      <c r="J174" s="19">
        <f>ROUND(87*1,0)&amp;"%"</f>
      </c>
    </row>
    <row x14ac:dyDescent="0.25" r="175" customHeight="1" ht="17.25">
      <c r="A175" s="20" t="s">
        <v>8570</v>
      </c>
      <c r="B175" s="20" t="s">
        <v>298</v>
      </c>
      <c r="C175" s="20" t="s">
        <v>15</v>
      </c>
      <c r="D175" s="20" t="s">
        <v>22</v>
      </c>
      <c r="E175" s="21">
        <f>ROUND(17076*1.05,2)</f>
      </c>
      <c r="F175" s="20" t="s">
        <v>23</v>
      </c>
      <c r="G175" s="20" t="s">
        <v>24</v>
      </c>
      <c r="H175" s="21">
        <f>ROUND(RAND()*4+6,1)</f>
      </c>
      <c r="I175" s="20" t="s">
        <v>25</v>
      </c>
      <c r="J175" s="23">
        <f>ROUND(75*1,0)&amp;"%"</f>
      </c>
    </row>
    <row x14ac:dyDescent="0.25" r="176" customHeight="1" ht="17.25">
      <c r="A176" s="17" t="s">
        <v>8571</v>
      </c>
      <c r="B176" s="17" t="s">
        <v>300</v>
      </c>
      <c r="C176" s="17" t="s">
        <v>15</v>
      </c>
      <c r="D176" s="17" t="s">
        <v>28</v>
      </c>
      <c r="E176" s="18">
        <f>ROUND(4202*1.05,2)</f>
      </c>
      <c r="F176" s="17" t="s">
        <v>29</v>
      </c>
      <c r="G176" s="17" t="s">
        <v>30</v>
      </c>
      <c r="H176" s="18">
        <f>ROUND(RAND()*4+6,1)</f>
      </c>
      <c r="I176" s="17" t="s">
        <v>31</v>
      </c>
      <c r="J176" s="19">
        <f>ROUND(67*1,0)&amp;"%"</f>
      </c>
    </row>
    <row x14ac:dyDescent="0.25" r="177" customHeight="1" ht="17.25">
      <c r="A177" s="20" t="s">
        <v>8572</v>
      </c>
      <c r="B177" s="20" t="s">
        <v>302</v>
      </c>
      <c r="C177" s="20" t="s">
        <v>15</v>
      </c>
      <c r="D177" s="20" t="s">
        <v>34</v>
      </c>
      <c r="E177" s="21">
        <f>ROUND(16255*1.05,2)</f>
      </c>
      <c r="F177" s="20" t="s">
        <v>35</v>
      </c>
      <c r="G177" s="20" t="s">
        <v>18</v>
      </c>
      <c r="H177" s="21">
        <f>ROUND(RAND()*4+6,1)</f>
      </c>
      <c r="I177" s="20" t="s">
        <v>36</v>
      </c>
      <c r="J177" s="23">
        <f>ROUND(79*1,0)&amp;"%"</f>
      </c>
    </row>
    <row x14ac:dyDescent="0.25" r="178" customHeight="1" ht="17.25">
      <c r="A178" s="17" t="s">
        <v>8573</v>
      </c>
      <c r="B178" s="17" t="s">
        <v>304</v>
      </c>
      <c r="C178" s="17" t="s">
        <v>15</v>
      </c>
      <c r="D178" s="17" t="s">
        <v>39</v>
      </c>
      <c r="E178" s="18">
        <f>ROUND(17844*1.05,2)</f>
      </c>
      <c r="F178" s="17" t="s">
        <v>40</v>
      </c>
      <c r="G178" s="17" t="s">
        <v>24</v>
      </c>
      <c r="H178" s="26">
        <f>ROUND(RAND()*4+6,1)</f>
      </c>
      <c r="I178" s="17" t="s">
        <v>41</v>
      </c>
      <c r="J178" s="19">
        <f>ROUND(90*1,0)&amp;"%"</f>
      </c>
    </row>
    <row x14ac:dyDescent="0.25" r="179" customHeight="1" ht="17.25">
      <c r="A179" s="20" t="s">
        <v>8574</v>
      </c>
      <c r="B179" s="20" t="s">
        <v>306</v>
      </c>
      <c r="C179" s="20" t="s">
        <v>15</v>
      </c>
      <c r="D179" s="20" t="s">
        <v>67</v>
      </c>
      <c r="E179" s="21">
        <f>ROUND(9522*1.05,2)</f>
      </c>
      <c r="F179" s="20" t="s">
        <v>44</v>
      </c>
      <c r="G179" s="20" t="s">
        <v>30</v>
      </c>
      <c r="H179" s="21">
        <f>ROUND(RAND()*4+6,1)</f>
      </c>
      <c r="I179" s="20" t="s">
        <v>45</v>
      </c>
      <c r="J179" s="23">
        <f>ROUND(72*1,0)&amp;"%"</f>
      </c>
    </row>
    <row x14ac:dyDescent="0.25" r="180" customHeight="1" ht="17.25">
      <c r="A180" s="17" t="s">
        <v>8575</v>
      </c>
      <c r="B180" s="17" t="s">
        <v>308</v>
      </c>
      <c r="C180" s="17" t="s">
        <v>15</v>
      </c>
      <c r="D180" s="17" t="s">
        <v>16</v>
      </c>
      <c r="E180" s="18">
        <f>ROUND(16507*1.05,2)</f>
      </c>
      <c r="F180" s="17" t="s">
        <v>48</v>
      </c>
      <c r="G180" s="17" t="s">
        <v>18</v>
      </c>
      <c r="H180" s="18">
        <f>ROUND(RAND()*4+6,1)</f>
      </c>
      <c r="I180" s="17" t="s">
        <v>19</v>
      </c>
      <c r="J180" s="19">
        <f>ROUND(62*1,0)&amp;"%"</f>
      </c>
    </row>
    <row x14ac:dyDescent="0.25" r="181" customHeight="1" ht="17.25">
      <c r="A181" s="20" t="s">
        <v>8576</v>
      </c>
      <c r="B181" s="20" t="s">
        <v>310</v>
      </c>
      <c r="C181" s="20" t="s">
        <v>15</v>
      </c>
      <c r="D181" s="20" t="s">
        <v>22</v>
      </c>
      <c r="E181" s="21">
        <f>ROUND(9089*1.05,2)</f>
      </c>
      <c r="F181" s="20" t="s">
        <v>51</v>
      </c>
      <c r="G181" s="20" t="s">
        <v>24</v>
      </c>
      <c r="H181" s="21">
        <f>ROUND(RAND()*4+6,1)</f>
      </c>
      <c r="I181" s="20" t="s">
        <v>25</v>
      </c>
      <c r="J181" s="23">
        <f>ROUND(77*1,0)&amp;"%"</f>
      </c>
    </row>
    <row x14ac:dyDescent="0.25" r="182" customHeight="1" ht="17.25">
      <c r="A182" s="24" t="s">
        <v>311</v>
      </c>
      <c r="B182" s="24"/>
      <c r="C182" s="24"/>
      <c r="D182" s="24"/>
      <c r="E182" s="25">
        <v>8</v>
      </c>
      <c r="F182" s="9"/>
      <c r="G182" s="9"/>
      <c r="H182" s="31"/>
      <c r="I182" s="9"/>
      <c r="J182" s="9"/>
    </row>
    <row x14ac:dyDescent="0.25" r="183" customHeight="1" ht="17.25">
      <c r="A183" s="7"/>
      <c r="B183" s="7"/>
      <c r="C183" s="7"/>
      <c r="D183" s="7"/>
      <c r="E183" s="8"/>
      <c r="F183" s="9"/>
      <c r="G183" s="9"/>
      <c r="H183" s="31"/>
      <c r="I183" s="9"/>
      <c r="J183" s="9"/>
    </row>
    <row x14ac:dyDescent="0.25" r="184" customHeight="1" ht="17.25">
      <c r="A184" s="11" t="s">
        <v>8577</v>
      </c>
      <c r="B184" s="11"/>
      <c r="C184" s="11"/>
      <c r="D184" s="11"/>
      <c r="E184" s="12"/>
      <c r="F184" s="11"/>
      <c r="G184" s="11"/>
      <c r="H184" s="12"/>
      <c r="I184" s="11"/>
      <c r="J184" s="11"/>
    </row>
    <row x14ac:dyDescent="0.25" r="185" customHeight="1" ht="17.25">
      <c r="A185" s="14" t="s">
        <v>3</v>
      </c>
      <c r="B185" s="14" t="s">
        <v>4</v>
      </c>
      <c r="C185" s="14" t="s">
        <v>5</v>
      </c>
      <c r="D185" s="14" t="s">
        <v>6</v>
      </c>
      <c r="E185" s="15" t="s">
        <v>7</v>
      </c>
      <c r="F185" s="14" t="s">
        <v>8</v>
      </c>
      <c r="G185" s="14" t="s">
        <v>9</v>
      </c>
      <c r="H185" s="15" t="s">
        <v>10</v>
      </c>
      <c r="I185" s="14" t="s">
        <v>11</v>
      </c>
      <c r="J185" s="14" t="s">
        <v>12</v>
      </c>
    </row>
    <row x14ac:dyDescent="0.25" r="186" customHeight="1" ht="17.25">
      <c r="A186" s="17" t="s">
        <v>8578</v>
      </c>
      <c r="B186" s="17" t="s">
        <v>314</v>
      </c>
      <c r="C186" s="17" t="s">
        <v>56</v>
      </c>
      <c r="D186" s="17" t="s">
        <v>16</v>
      </c>
      <c r="E186" s="18">
        <f>ROUND(9872*1.05,2)</f>
      </c>
      <c r="F186" s="17" t="s">
        <v>17</v>
      </c>
      <c r="G186" s="17" t="s">
        <v>18</v>
      </c>
      <c r="H186" s="18">
        <f>ROUND(RAND()*4+6,1)</f>
      </c>
      <c r="I186" s="17" t="s">
        <v>19</v>
      </c>
      <c r="J186" s="19">
        <f>ROUND(97*1,0)&amp;"%"</f>
      </c>
    </row>
    <row x14ac:dyDescent="0.25" r="187" customHeight="1" ht="17.25">
      <c r="A187" s="20" t="s">
        <v>8579</v>
      </c>
      <c r="B187" s="20" t="s">
        <v>316</v>
      </c>
      <c r="C187" s="20" t="s">
        <v>56</v>
      </c>
      <c r="D187" s="20" t="s">
        <v>22</v>
      </c>
      <c r="E187" s="21">
        <f>ROUND(7376*1.05,2)</f>
      </c>
      <c r="F187" s="20" t="s">
        <v>23</v>
      </c>
      <c r="G187" s="20" t="s">
        <v>24</v>
      </c>
      <c r="H187" s="21">
        <f>ROUND(RAND()*4+6,1)</f>
      </c>
      <c r="I187" s="20" t="s">
        <v>25</v>
      </c>
      <c r="J187" s="23">
        <f>ROUND(81*1,0)&amp;"%"</f>
      </c>
    </row>
    <row x14ac:dyDescent="0.25" r="188" customHeight="1" ht="17.25">
      <c r="A188" s="17" t="s">
        <v>8580</v>
      </c>
      <c r="B188" s="17" t="s">
        <v>318</v>
      </c>
      <c r="C188" s="17" t="s">
        <v>56</v>
      </c>
      <c r="D188" s="17" t="s">
        <v>28</v>
      </c>
      <c r="E188" s="18">
        <f>ROUND(5007*1.05,2)</f>
      </c>
      <c r="F188" s="17" t="s">
        <v>29</v>
      </c>
      <c r="G188" s="17" t="s">
        <v>30</v>
      </c>
      <c r="H188" s="18">
        <f>ROUND(RAND()*4+6,1)</f>
      </c>
      <c r="I188" s="17" t="s">
        <v>31</v>
      </c>
      <c r="J188" s="19">
        <f>ROUND(79*1,0)&amp;"%"</f>
      </c>
    </row>
    <row x14ac:dyDescent="0.25" r="189" customHeight="1" ht="17.25">
      <c r="A189" s="20" t="s">
        <v>8581</v>
      </c>
      <c r="B189" s="20" t="s">
        <v>320</v>
      </c>
      <c r="C189" s="20" t="s">
        <v>56</v>
      </c>
      <c r="D189" s="20" t="s">
        <v>34</v>
      </c>
      <c r="E189" s="21">
        <f>ROUND(5935*1.05,2)</f>
      </c>
      <c r="F189" s="20" t="s">
        <v>35</v>
      </c>
      <c r="G189" s="20" t="s">
        <v>18</v>
      </c>
      <c r="H189" s="21">
        <f>ROUND(RAND()*4+6,1)</f>
      </c>
      <c r="I189" s="20" t="s">
        <v>36</v>
      </c>
      <c r="J189" s="23">
        <f>ROUND(93*1,0)&amp;"%"</f>
      </c>
    </row>
    <row x14ac:dyDescent="0.25" r="190" customHeight="1" ht="17.25">
      <c r="A190" s="17" t="s">
        <v>8582</v>
      </c>
      <c r="B190" s="17" t="s">
        <v>322</v>
      </c>
      <c r="C190" s="17" t="s">
        <v>56</v>
      </c>
      <c r="D190" s="17" t="s">
        <v>39</v>
      </c>
      <c r="E190" s="18">
        <f>ROUND(4816*1.05,2)</f>
      </c>
      <c r="F190" s="17" t="s">
        <v>40</v>
      </c>
      <c r="G190" s="17" t="s">
        <v>24</v>
      </c>
      <c r="H190" s="18">
        <f>ROUND(RAND()*4+6,1)</f>
      </c>
      <c r="I190" s="17" t="s">
        <v>41</v>
      </c>
      <c r="J190" s="19">
        <f>ROUND(67*1,0)&amp;"%"</f>
      </c>
    </row>
    <row x14ac:dyDescent="0.25" r="191" customHeight="1" ht="17.25">
      <c r="A191" s="20" t="s">
        <v>8583</v>
      </c>
      <c r="B191" s="20" t="s">
        <v>324</v>
      </c>
      <c r="C191" s="20" t="s">
        <v>56</v>
      </c>
      <c r="D191" s="20" t="s">
        <v>67</v>
      </c>
      <c r="E191" s="21">
        <f>ROUND(7271*1.05,2)</f>
      </c>
      <c r="F191" s="20" t="s">
        <v>44</v>
      </c>
      <c r="G191" s="20" t="s">
        <v>30</v>
      </c>
      <c r="H191" s="22">
        <f>ROUND(RAND()*4+6,1)</f>
      </c>
      <c r="I191" s="20" t="s">
        <v>45</v>
      </c>
      <c r="J191" s="23">
        <f>ROUND(66*1,0)&amp;"%"</f>
      </c>
    </row>
    <row x14ac:dyDescent="0.25" r="192" customHeight="1" ht="17.25">
      <c r="A192" s="17" t="s">
        <v>8584</v>
      </c>
      <c r="B192" s="17" t="s">
        <v>326</v>
      </c>
      <c r="C192" s="17" t="s">
        <v>56</v>
      </c>
      <c r="D192" s="17" t="s">
        <v>16</v>
      </c>
      <c r="E192" s="18">
        <f>ROUND(4129*1.05,2)</f>
      </c>
      <c r="F192" s="17" t="s">
        <v>48</v>
      </c>
      <c r="G192" s="17" t="s">
        <v>18</v>
      </c>
      <c r="H192" s="18">
        <f>ROUND(RAND()*4+6,1)</f>
      </c>
      <c r="I192" s="17" t="s">
        <v>19</v>
      </c>
      <c r="J192" s="19">
        <f>ROUND(82*1,0)&amp;"%"</f>
      </c>
    </row>
    <row x14ac:dyDescent="0.25" r="193" customHeight="1" ht="17.25">
      <c r="A193" s="20" t="s">
        <v>8585</v>
      </c>
      <c r="B193" s="20" t="s">
        <v>328</v>
      </c>
      <c r="C193" s="20" t="s">
        <v>56</v>
      </c>
      <c r="D193" s="20" t="s">
        <v>22</v>
      </c>
      <c r="E193" s="21">
        <f>ROUND(13807*1.05,2)</f>
      </c>
      <c r="F193" s="20" t="s">
        <v>51</v>
      </c>
      <c r="G193" s="20" t="s">
        <v>24</v>
      </c>
      <c r="H193" s="21">
        <f>ROUND(RAND()*4+6,1)</f>
      </c>
      <c r="I193" s="20" t="s">
        <v>25</v>
      </c>
      <c r="J193" s="23">
        <f>ROUND(89*1,0)&amp;"%"</f>
      </c>
    </row>
    <row x14ac:dyDescent="0.25" r="194" customHeight="1" ht="17.25">
      <c r="A194" s="24" t="s">
        <v>329</v>
      </c>
      <c r="B194" s="24"/>
      <c r="C194" s="24"/>
      <c r="D194" s="24"/>
      <c r="E194" s="25">
        <v>8</v>
      </c>
      <c r="F194" s="9"/>
      <c r="G194" s="9"/>
      <c r="H194" s="31"/>
      <c r="I194" s="9"/>
      <c r="J194" s="9"/>
    </row>
    <row x14ac:dyDescent="0.25" r="195" customHeight="1" ht="17.25">
      <c r="A195" s="7"/>
      <c r="B195" s="7"/>
      <c r="C195" s="7"/>
      <c r="D195" s="7"/>
      <c r="E195" s="8"/>
      <c r="F195" s="9"/>
      <c r="G195" s="9"/>
      <c r="H195" s="31"/>
      <c r="I195" s="9"/>
      <c r="J195" s="9"/>
    </row>
    <row x14ac:dyDescent="0.25" r="196" customHeight="1" ht="17.25">
      <c r="A196" s="11" t="s">
        <v>8586</v>
      </c>
      <c r="B196" s="11"/>
      <c r="C196" s="11"/>
      <c r="D196" s="11"/>
      <c r="E196" s="12"/>
      <c r="F196" s="11"/>
      <c r="G196" s="11"/>
      <c r="H196" s="12"/>
      <c r="I196" s="11"/>
      <c r="J196" s="11"/>
    </row>
    <row x14ac:dyDescent="0.25" r="197" customHeight="1" ht="17.25">
      <c r="A197" s="14" t="s">
        <v>3</v>
      </c>
      <c r="B197" s="14" t="s">
        <v>4</v>
      </c>
      <c r="C197" s="14" t="s">
        <v>5</v>
      </c>
      <c r="D197" s="14" t="s">
        <v>6</v>
      </c>
      <c r="E197" s="15" t="s">
        <v>7</v>
      </c>
      <c r="F197" s="14" t="s">
        <v>8</v>
      </c>
      <c r="G197" s="14" t="s">
        <v>9</v>
      </c>
      <c r="H197" s="15" t="s">
        <v>10</v>
      </c>
      <c r="I197" s="14" t="s">
        <v>11</v>
      </c>
      <c r="J197" s="14" t="s">
        <v>12</v>
      </c>
    </row>
    <row x14ac:dyDescent="0.25" r="198" customHeight="1" ht="17.25">
      <c r="A198" s="17" t="s">
        <v>8587</v>
      </c>
      <c r="B198" s="17" t="s">
        <v>332</v>
      </c>
      <c r="C198" s="17" t="s">
        <v>76</v>
      </c>
      <c r="D198" s="17" t="s">
        <v>16</v>
      </c>
      <c r="E198" s="18">
        <f>ROUND(16262*1.05,2)</f>
      </c>
      <c r="F198" s="17" t="s">
        <v>17</v>
      </c>
      <c r="G198" s="17" t="s">
        <v>18</v>
      </c>
      <c r="H198" s="18">
        <f>ROUND(RAND()*4+6,1)</f>
      </c>
      <c r="I198" s="17" t="s">
        <v>19</v>
      </c>
      <c r="J198" s="19">
        <f>ROUND(63*1,0)&amp;"%"</f>
      </c>
    </row>
    <row x14ac:dyDescent="0.25" r="199" customHeight="1" ht="17.25">
      <c r="A199" s="20" t="s">
        <v>8588</v>
      </c>
      <c r="B199" s="20" t="s">
        <v>334</v>
      </c>
      <c r="C199" s="20" t="s">
        <v>76</v>
      </c>
      <c r="D199" s="20" t="s">
        <v>22</v>
      </c>
      <c r="E199" s="21">
        <f>ROUND(11638*1.05,2)</f>
      </c>
      <c r="F199" s="20" t="s">
        <v>23</v>
      </c>
      <c r="G199" s="20" t="s">
        <v>24</v>
      </c>
      <c r="H199" s="22">
        <f>ROUND(RAND()*4+6,1)</f>
      </c>
      <c r="I199" s="20" t="s">
        <v>25</v>
      </c>
      <c r="J199" s="23">
        <f>ROUND(97*1,0)&amp;"%"</f>
      </c>
    </row>
    <row x14ac:dyDescent="0.25" r="200" customHeight="1" ht="17.25">
      <c r="A200" s="17" t="s">
        <v>8589</v>
      </c>
      <c r="B200" s="17" t="s">
        <v>336</v>
      </c>
      <c r="C200" s="17" t="s">
        <v>76</v>
      </c>
      <c r="D200" s="17" t="s">
        <v>28</v>
      </c>
      <c r="E200" s="18">
        <f>ROUND(17735*1.05,2)</f>
      </c>
      <c r="F200" s="17" t="s">
        <v>29</v>
      </c>
      <c r="G200" s="17" t="s">
        <v>30</v>
      </c>
      <c r="H200" s="18">
        <f>ROUND(RAND()*4+6,1)</f>
      </c>
      <c r="I200" s="17" t="s">
        <v>31</v>
      </c>
      <c r="J200" s="19">
        <f>ROUND(71*1,0)&amp;"%"</f>
      </c>
    </row>
    <row x14ac:dyDescent="0.25" r="201" customHeight="1" ht="17.25">
      <c r="A201" s="20" t="s">
        <v>8590</v>
      </c>
      <c r="B201" s="20" t="s">
        <v>338</v>
      </c>
      <c r="C201" s="20" t="s">
        <v>76</v>
      </c>
      <c r="D201" s="20" t="s">
        <v>34</v>
      </c>
      <c r="E201" s="21">
        <f>ROUND(7444*1.05,2)</f>
      </c>
      <c r="F201" s="20" t="s">
        <v>35</v>
      </c>
      <c r="G201" s="20" t="s">
        <v>18</v>
      </c>
      <c r="H201" s="21">
        <f>ROUND(RAND()*4+6,1)</f>
      </c>
      <c r="I201" s="20" t="s">
        <v>36</v>
      </c>
      <c r="J201" s="23">
        <f>ROUND(65*1,0)&amp;"%"</f>
      </c>
    </row>
    <row x14ac:dyDescent="0.25" r="202" customHeight="1" ht="17.25">
      <c r="A202" s="17" t="s">
        <v>8591</v>
      </c>
      <c r="B202" s="17" t="s">
        <v>340</v>
      </c>
      <c r="C202" s="17" t="s">
        <v>76</v>
      </c>
      <c r="D202" s="17" t="s">
        <v>39</v>
      </c>
      <c r="E202" s="18">
        <f>ROUND(8932*1.05,2)</f>
      </c>
      <c r="F202" s="17" t="s">
        <v>40</v>
      </c>
      <c r="G202" s="17" t="s">
        <v>24</v>
      </c>
      <c r="H202" s="18">
        <f>ROUND(RAND()*4+6,1)</f>
      </c>
      <c r="I202" s="17" t="s">
        <v>41</v>
      </c>
      <c r="J202" s="19">
        <f>ROUND(87*1,0)&amp;"%"</f>
      </c>
    </row>
    <row x14ac:dyDescent="0.25" r="203" customHeight="1" ht="17.25">
      <c r="A203" s="20" t="s">
        <v>8592</v>
      </c>
      <c r="B203" s="20" t="s">
        <v>342</v>
      </c>
      <c r="C203" s="20" t="s">
        <v>76</v>
      </c>
      <c r="D203" s="20" t="s">
        <v>67</v>
      </c>
      <c r="E203" s="21">
        <f>ROUND(12467*1.05,2)</f>
      </c>
      <c r="F203" s="20" t="s">
        <v>44</v>
      </c>
      <c r="G203" s="20" t="s">
        <v>30</v>
      </c>
      <c r="H203" s="21">
        <f>ROUND(RAND()*4+6,1)</f>
      </c>
      <c r="I203" s="20" t="s">
        <v>45</v>
      </c>
      <c r="J203" s="23">
        <f>ROUND(61*1,0)&amp;"%"</f>
      </c>
    </row>
    <row x14ac:dyDescent="0.25" r="204" customHeight="1" ht="17.25">
      <c r="A204" s="17" t="s">
        <v>8593</v>
      </c>
      <c r="B204" s="17" t="s">
        <v>344</v>
      </c>
      <c r="C204" s="17" t="s">
        <v>76</v>
      </c>
      <c r="D204" s="17" t="s">
        <v>16</v>
      </c>
      <c r="E204" s="18">
        <f>ROUND(6751*1.05,2)</f>
      </c>
      <c r="F204" s="17" t="s">
        <v>48</v>
      </c>
      <c r="G204" s="17" t="s">
        <v>18</v>
      </c>
      <c r="H204" s="18">
        <f>ROUND(RAND()*4+6,1)</f>
      </c>
      <c r="I204" s="17" t="s">
        <v>19</v>
      </c>
      <c r="J204" s="19">
        <f>ROUND(84*1,0)&amp;"%"</f>
      </c>
    </row>
    <row x14ac:dyDescent="0.25" r="205" customHeight="1" ht="17.25">
      <c r="A205" s="20" t="s">
        <v>8594</v>
      </c>
      <c r="B205" s="20" t="s">
        <v>346</v>
      </c>
      <c r="C205" s="20" t="s">
        <v>76</v>
      </c>
      <c r="D205" s="20" t="s">
        <v>22</v>
      </c>
      <c r="E205" s="21">
        <f>ROUND(14971*1.05,2)</f>
      </c>
      <c r="F205" s="20" t="s">
        <v>51</v>
      </c>
      <c r="G205" s="20" t="s">
        <v>24</v>
      </c>
      <c r="H205" s="22">
        <f>ROUND(RAND()*4+6,1)</f>
      </c>
      <c r="I205" s="20" t="s">
        <v>25</v>
      </c>
      <c r="J205" s="23">
        <f>ROUND(91*1,0)&amp;"%"</f>
      </c>
    </row>
    <row x14ac:dyDescent="0.25" r="206" customHeight="1" ht="17.25">
      <c r="A206" s="24" t="s">
        <v>347</v>
      </c>
      <c r="B206" s="24"/>
      <c r="C206" s="24"/>
      <c r="D206" s="24"/>
      <c r="E206" s="25">
        <v>8</v>
      </c>
      <c r="F206" s="9"/>
      <c r="G206" s="9"/>
      <c r="H206" s="31"/>
      <c r="I206" s="9"/>
      <c r="J206" s="9"/>
    </row>
    <row x14ac:dyDescent="0.25" r="207" customHeight="1" ht="17.25">
      <c r="A207" s="7"/>
      <c r="B207" s="7"/>
      <c r="C207" s="7"/>
      <c r="D207" s="7"/>
      <c r="E207" s="8"/>
      <c r="F207" s="9"/>
      <c r="G207" s="9"/>
      <c r="H207" s="31"/>
      <c r="I207" s="9"/>
      <c r="J207" s="9"/>
    </row>
    <row x14ac:dyDescent="0.25" r="208" customHeight="1" ht="17.25">
      <c r="A208" s="11" t="s">
        <v>8595</v>
      </c>
      <c r="B208" s="11"/>
      <c r="C208" s="11"/>
      <c r="D208" s="11"/>
      <c r="E208" s="12"/>
      <c r="F208" s="11"/>
      <c r="G208" s="11"/>
      <c r="H208" s="12"/>
      <c r="I208" s="11"/>
      <c r="J208" s="11"/>
    </row>
    <row x14ac:dyDescent="0.25" r="209" customHeight="1" ht="17.25">
      <c r="A209" s="14" t="s">
        <v>3</v>
      </c>
      <c r="B209" s="14" t="s">
        <v>4</v>
      </c>
      <c r="C209" s="14" t="s">
        <v>5</v>
      </c>
      <c r="D209" s="14" t="s">
        <v>6</v>
      </c>
      <c r="E209" s="15" t="s">
        <v>7</v>
      </c>
      <c r="F209" s="14" t="s">
        <v>8</v>
      </c>
      <c r="G209" s="14" t="s">
        <v>9</v>
      </c>
      <c r="H209" s="15" t="s">
        <v>10</v>
      </c>
      <c r="I209" s="14" t="s">
        <v>11</v>
      </c>
      <c r="J209" s="14" t="s">
        <v>12</v>
      </c>
    </row>
    <row x14ac:dyDescent="0.25" r="210" customHeight="1" ht="17.25">
      <c r="A210" s="17" t="s">
        <v>8596</v>
      </c>
      <c r="B210" s="17" t="s">
        <v>350</v>
      </c>
      <c r="C210" s="17" t="s">
        <v>95</v>
      </c>
      <c r="D210" s="17" t="s">
        <v>16</v>
      </c>
      <c r="E210" s="18">
        <f>ROUND(8904*1.05,2)</f>
      </c>
      <c r="F210" s="17" t="s">
        <v>17</v>
      </c>
      <c r="G210" s="17" t="s">
        <v>18</v>
      </c>
      <c r="H210" s="18">
        <f>ROUND(RAND()*4+6,1)</f>
      </c>
      <c r="I210" s="17" t="s">
        <v>19</v>
      </c>
      <c r="J210" s="19">
        <f>ROUND(65*1,0)&amp;"%"</f>
      </c>
    </row>
    <row x14ac:dyDescent="0.25" r="211" customHeight="1" ht="17.25">
      <c r="A211" s="20" t="s">
        <v>8597</v>
      </c>
      <c r="B211" s="20" t="s">
        <v>352</v>
      </c>
      <c r="C211" s="20" t="s">
        <v>95</v>
      </c>
      <c r="D211" s="20" t="s">
        <v>22</v>
      </c>
      <c r="E211" s="21">
        <f>ROUND(5499*1.05,2)</f>
      </c>
      <c r="F211" s="20" t="s">
        <v>23</v>
      </c>
      <c r="G211" s="20" t="s">
        <v>24</v>
      </c>
      <c r="H211" s="21">
        <f>ROUND(RAND()*4+6,1)</f>
      </c>
      <c r="I211" s="20" t="s">
        <v>25</v>
      </c>
      <c r="J211" s="23">
        <f>ROUND(92*1,0)&amp;"%"</f>
      </c>
    </row>
    <row x14ac:dyDescent="0.25" r="212" customHeight="1" ht="17.25">
      <c r="A212" s="17" t="s">
        <v>8598</v>
      </c>
      <c r="B212" s="17" t="s">
        <v>354</v>
      </c>
      <c r="C212" s="17" t="s">
        <v>95</v>
      </c>
      <c r="D212" s="17" t="s">
        <v>28</v>
      </c>
      <c r="E212" s="18">
        <f>ROUND(10708*1.05,2)</f>
      </c>
      <c r="F212" s="17" t="s">
        <v>29</v>
      </c>
      <c r="G212" s="17" t="s">
        <v>30</v>
      </c>
      <c r="H212" s="18">
        <f>ROUND(RAND()*4+6,1)</f>
      </c>
      <c r="I212" s="17" t="s">
        <v>31</v>
      </c>
      <c r="J212" s="19">
        <f>ROUND(86*1,0)&amp;"%"</f>
      </c>
    </row>
    <row x14ac:dyDescent="0.25" r="213" customHeight="1" ht="17.25">
      <c r="A213" s="20" t="s">
        <v>8599</v>
      </c>
      <c r="B213" s="20" t="s">
        <v>356</v>
      </c>
      <c r="C213" s="20" t="s">
        <v>95</v>
      </c>
      <c r="D213" s="20" t="s">
        <v>34</v>
      </c>
      <c r="E213" s="21">
        <f>ROUND(7518*1.05,2)</f>
      </c>
      <c r="F213" s="20" t="s">
        <v>35</v>
      </c>
      <c r="G213" s="20" t="s">
        <v>18</v>
      </c>
      <c r="H213" s="21">
        <f>ROUND(RAND()*4+6,1)</f>
      </c>
      <c r="I213" s="20" t="s">
        <v>36</v>
      </c>
      <c r="J213" s="23">
        <f>ROUND(96*1,0)&amp;"%"</f>
      </c>
    </row>
    <row x14ac:dyDescent="0.25" r="214" customHeight="1" ht="17.25">
      <c r="A214" s="17" t="s">
        <v>8600</v>
      </c>
      <c r="B214" s="17" t="s">
        <v>358</v>
      </c>
      <c r="C214" s="17" t="s">
        <v>95</v>
      </c>
      <c r="D214" s="17" t="s">
        <v>39</v>
      </c>
      <c r="E214" s="18">
        <f>ROUND(13931*1.05,2)</f>
      </c>
      <c r="F214" s="17" t="s">
        <v>40</v>
      </c>
      <c r="G214" s="17" t="s">
        <v>24</v>
      </c>
      <c r="H214" s="18">
        <f>ROUND(RAND()*4+6,1)</f>
      </c>
      <c r="I214" s="17" t="s">
        <v>41</v>
      </c>
      <c r="J214" s="19">
        <f>ROUND(87*1,0)&amp;"%"</f>
      </c>
    </row>
    <row x14ac:dyDescent="0.25" r="215" customHeight="1" ht="17.25">
      <c r="A215" s="20" t="s">
        <v>8601</v>
      </c>
      <c r="B215" s="20" t="s">
        <v>360</v>
      </c>
      <c r="C215" s="20" t="s">
        <v>95</v>
      </c>
      <c r="D215" s="20" t="s">
        <v>67</v>
      </c>
      <c r="E215" s="21">
        <f>ROUND(4828*1.05,2)</f>
      </c>
      <c r="F215" s="20" t="s">
        <v>44</v>
      </c>
      <c r="G215" s="20" t="s">
        <v>30</v>
      </c>
      <c r="H215" s="21">
        <f>ROUND(RAND()*4+6,1)</f>
      </c>
      <c r="I215" s="20" t="s">
        <v>45</v>
      </c>
      <c r="J215" s="23">
        <f>ROUND(70*1,0)&amp;"%"</f>
      </c>
    </row>
    <row x14ac:dyDescent="0.25" r="216" customHeight="1" ht="17.25">
      <c r="A216" s="17" t="s">
        <v>8602</v>
      </c>
      <c r="B216" s="17" t="s">
        <v>362</v>
      </c>
      <c r="C216" s="17" t="s">
        <v>95</v>
      </c>
      <c r="D216" s="17" t="s">
        <v>16</v>
      </c>
      <c r="E216" s="18">
        <f>ROUND(5614*1.05,2)</f>
      </c>
      <c r="F216" s="17" t="s">
        <v>48</v>
      </c>
      <c r="G216" s="17" t="s">
        <v>18</v>
      </c>
      <c r="H216" s="18">
        <f>ROUND(RAND()*4+6,1)</f>
      </c>
      <c r="I216" s="17" t="s">
        <v>19</v>
      </c>
      <c r="J216" s="19">
        <f>ROUND(80*1,0)&amp;"%"</f>
      </c>
    </row>
    <row x14ac:dyDescent="0.25" r="217" customHeight="1" ht="17.25">
      <c r="A217" s="20" t="s">
        <v>8603</v>
      </c>
      <c r="B217" s="20" t="s">
        <v>364</v>
      </c>
      <c r="C217" s="20" t="s">
        <v>95</v>
      </c>
      <c r="D217" s="20" t="s">
        <v>22</v>
      </c>
      <c r="E217" s="21">
        <f>ROUND(5429*1.05,2)</f>
      </c>
      <c r="F217" s="20" t="s">
        <v>51</v>
      </c>
      <c r="G217" s="20" t="s">
        <v>24</v>
      </c>
      <c r="H217" s="21">
        <f>ROUND(RAND()*4+6,1)</f>
      </c>
      <c r="I217" s="20" t="s">
        <v>25</v>
      </c>
      <c r="J217" s="23">
        <f>ROUND(92*1,0)&amp;"%"</f>
      </c>
    </row>
    <row x14ac:dyDescent="0.25" r="218" customHeight="1" ht="17.25">
      <c r="A218" s="24" t="s">
        <v>365</v>
      </c>
      <c r="B218" s="24"/>
      <c r="C218" s="24"/>
      <c r="D218" s="24"/>
      <c r="E218" s="25">
        <v>8</v>
      </c>
      <c r="F218" s="9"/>
      <c r="G218" s="9"/>
      <c r="H218" s="31"/>
      <c r="I218" s="9"/>
      <c r="J218" s="9"/>
    </row>
    <row x14ac:dyDescent="0.25" r="219" customHeight="1" ht="17.25">
      <c r="A219" s="7"/>
      <c r="B219" s="7"/>
      <c r="C219" s="7"/>
      <c r="D219" s="7"/>
      <c r="E219" s="8"/>
      <c r="F219" s="9"/>
      <c r="G219" s="9"/>
      <c r="H219" s="31"/>
      <c r="I219" s="9"/>
      <c r="J219" s="9"/>
    </row>
    <row x14ac:dyDescent="0.25" r="220" customHeight="1" ht="17.25">
      <c r="A220" s="11" t="s">
        <v>8604</v>
      </c>
      <c r="B220" s="11"/>
      <c r="C220" s="11"/>
      <c r="D220" s="11"/>
      <c r="E220" s="12"/>
      <c r="F220" s="11"/>
      <c r="G220" s="11"/>
      <c r="H220" s="12"/>
      <c r="I220" s="11"/>
      <c r="J220" s="11"/>
    </row>
    <row x14ac:dyDescent="0.25" r="221" customHeight="1" ht="17.25">
      <c r="A221" s="14" t="s">
        <v>3</v>
      </c>
      <c r="B221" s="14" t="s">
        <v>4</v>
      </c>
      <c r="C221" s="14" t="s">
        <v>5</v>
      </c>
      <c r="D221" s="14" t="s">
        <v>6</v>
      </c>
      <c r="E221" s="15" t="s">
        <v>7</v>
      </c>
      <c r="F221" s="14" t="s">
        <v>8</v>
      </c>
      <c r="G221" s="14" t="s">
        <v>9</v>
      </c>
      <c r="H221" s="15" t="s">
        <v>10</v>
      </c>
      <c r="I221" s="14" t="s">
        <v>11</v>
      </c>
      <c r="J221" s="14" t="s">
        <v>12</v>
      </c>
    </row>
    <row x14ac:dyDescent="0.25" r="222" customHeight="1" ht="17.25">
      <c r="A222" s="17" t="s">
        <v>8605</v>
      </c>
      <c r="B222" s="17" t="s">
        <v>368</v>
      </c>
      <c r="C222" s="17" t="s">
        <v>114</v>
      </c>
      <c r="D222" s="17" t="s">
        <v>16</v>
      </c>
      <c r="E222" s="18">
        <f>ROUND(16575*1.05,2)</f>
      </c>
      <c r="F222" s="17" t="s">
        <v>17</v>
      </c>
      <c r="G222" s="17" t="s">
        <v>18</v>
      </c>
      <c r="H222" s="18">
        <f>ROUND(RAND()*4+6,1)</f>
      </c>
      <c r="I222" s="17" t="s">
        <v>19</v>
      </c>
      <c r="J222" s="19">
        <f>ROUND(78*1,0)&amp;"%"</f>
      </c>
    </row>
    <row x14ac:dyDescent="0.25" r="223" customHeight="1" ht="17.25">
      <c r="A223" s="20" t="s">
        <v>8606</v>
      </c>
      <c r="B223" s="20" t="s">
        <v>370</v>
      </c>
      <c r="C223" s="20" t="s">
        <v>114</v>
      </c>
      <c r="D223" s="20" t="s">
        <v>22</v>
      </c>
      <c r="E223" s="22">
        <f>ROUND(14480*1.05,2)</f>
      </c>
      <c r="F223" s="20" t="s">
        <v>23</v>
      </c>
      <c r="G223" s="20" t="s">
        <v>24</v>
      </c>
      <c r="H223" s="21">
        <f>ROUND(RAND()*4+6,1)</f>
      </c>
      <c r="I223" s="20" t="s">
        <v>25</v>
      </c>
      <c r="J223" s="23">
        <f>ROUND(69*1,0)&amp;"%"</f>
      </c>
    </row>
    <row x14ac:dyDescent="0.25" r="224" customHeight="1" ht="17.25">
      <c r="A224" s="17" t="s">
        <v>8607</v>
      </c>
      <c r="B224" s="17" t="s">
        <v>372</v>
      </c>
      <c r="C224" s="17" t="s">
        <v>114</v>
      </c>
      <c r="D224" s="17" t="s">
        <v>28</v>
      </c>
      <c r="E224" s="18">
        <f>ROUND(4092*1.05,2)</f>
      </c>
      <c r="F224" s="17" t="s">
        <v>29</v>
      </c>
      <c r="G224" s="17" t="s">
        <v>30</v>
      </c>
      <c r="H224" s="18">
        <f>ROUND(RAND()*4+6,1)</f>
      </c>
      <c r="I224" s="17" t="s">
        <v>31</v>
      </c>
      <c r="J224" s="19">
        <f>ROUND(66*1,0)&amp;"%"</f>
      </c>
    </row>
    <row x14ac:dyDescent="0.25" r="225" customHeight="1" ht="17.25">
      <c r="A225" s="20" t="s">
        <v>8608</v>
      </c>
      <c r="B225" s="20" t="s">
        <v>374</v>
      </c>
      <c r="C225" s="20" t="s">
        <v>114</v>
      </c>
      <c r="D225" s="20" t="s">
        <v>34</v>
      </c>
      <c r="E225" s="21">
        <f>ROUND(4569*1.05,2)</f>
      </c>
      <c r="F225" s="20" t="s">
        <v>35</v>
      </c>
      <c r="G225" s="20" t="s">
        <v>18</v>
      </c>
      <c r="H225" s="21">
        <f>ROUND(RAND()*4+6,1)</f>
      </c>
      <c r="I225" s="20" t="s">
        <v>36</v>
      </c>
      <c r="J225" s="23">
        <f>ROUND(86*1,0)&amp;"%"</f>
      </c>
    </row>
    <row x14ac:dyDescent="0.25" r="226" customHeight="1" ht="17.25">
      <c r="A226" s="17" t="s">
        <v>8609</v>
      </c>
      <c r="B226" s="17" t="s">
        <v>376</v>
      </c>
      <c r="C226" s="17" t="s">
        <v>114</v>
      </c>
      <c r="D226" s="17" t="s">
        <v>39</v>
      </c>
      <c r="E226" s="18">
        <f>ROUND(11607*1.05,2)</f>
      </c>
      <c r="F226" s="17" t="s">
        <v>40</v>
      </c>
      <c r="G226" s="17" t="s">
        <v>24</v>
      </c>
      <c r="H226" s="18">
        <f>ROUND(RAND()*4+6,1)</f>
      </c>
      <c r="I226" s="17" t="s">
        <v>41</v>
      </c>
      <c r="J226" s="19">
        <f>ROUND(84*1,0)&amp;"%"</f>
      </c>
    </row>
    <row x14ac:dyDescent="0.25" r="227" customHeight="1" ht="17.25">
      <c r="A227" s="20" t="s">
        <v>8610</v>
      </c>
      <c r="B227" s="20" t="s">
        <v>378</v>
      </c>
      <c r="C227" s="20" t="s">
        <v>114</v>
      </c>
      <c r="D227" s="20" t="s">
        <v>67</v>
      </c>
      <c r="E227" s="21">
        <f>ROUND(15090*1.05,2)</f>
      </c>
      <c r="F227" s="20" t="s">
        <v>44</v>
      </c>
      <c r="G227" s="20" t="s">
        <v>30</v>
      </c>
      <c r="H227" s="21">
        <f>ROUND(RAND()*4+6,1)</f>
      </c>
      <c r="I227" s="20" t="s">
        <v>45</v>
      </c>
      <c r="J227" s="23">
        <f>ROUND(83*1,0)&amp;"%"</f>
      </c>
    </row>
    <row x14ac:dyDescent="0.25" r="228" customHeight="1" ht="17.25">
      <c r="A228" s="17" t="s">
        <v>8611</v>
      </c>
      <c r="B228" s="17" t="s">
        <v>380</v>
      </c>
      <c r="C228" s="17" t="s">
        <v>114</v>
      </c>
      <c r="D228" s="17" t="s">
        <v>16</v>
      </c>
      <c r="E228" s="18">
        <f>ROUND(14296*1.05,2)</f>
      </c>
      <c r="F228" s="17" t="s">
        <v>48</v>
      </c>
      <c r="G228" s="17" t="s">
        <v>18</v>
      </c>
      <c r="H228" s="18">
        <f>ROUND(RAND()*4+6,1)</f>
      </c>
      <c r="I228" s="17" t="s">
        <v>19</v>
      </c>
      <c r="J228" s="19">
        <f>ROUND(60*1,0)&amp;"%"</f>
      </c>
    </row>
    <row x14ac:dyDescent="0.25" r="229" customHeight="1" ht="17.25">
      <c r="A229" s="20" t="s">
        <v>8612</v>
      </c>
      <c r="B229" s="20" t="s">
        <v>382</v>
      </c>
      <c r="C229" s="20" t="s">
        <v>114</v>
      </c>
      <c r="D229" s="20" t="s">
        <v>22</v>
      </c>
      <c r="E229" s="22">
        <f>ROUND(8020*1.05,2)</f>
      </c>
      <c r="F229" s="20" t="s">
        <v>51</v>
      </c>
      <c r="G229" s="20" t="s">
        <v>24</v>
      </c>
      <c r="H229" s="21">
        <f>ROUND(RAND()*4+6,1)</f>
      </c>
      <c r="I229" s="20" t="s">
        <v>25</v>
      </c>
      <c r="J229" s="23">
        <f>ROUND(79*1,0)&amp;"%"</f>
      </c>
    </row>
    <row x14ac:dyDescent="0.25" r="230" customHeight="1" ht="17.25">
      <c r="A230" s="24" t="s">
        <v>383</v>
      </c>
      <c r="B230" s="24"/>
      <c r="C230" s="24"/>
      <c r="D230" s="24"/>
      <c r="E230" s="25">
        <v>8</v>
      </c>
      <c r="F230" s="9"/>
      <c r="G230" s="9"/>
      <c r="H230" s="31"/>
      <c r="I230" s="9"/>
      <c r="J230" s="9"/>
    </row>
    <row x14ac:dyDescent="0.25" r="231" customHeight="1" ht="17.25">
      <c r="A231" s="7"/>
      <c r="B231" s="7"/>
      <c r="C231" s="7"/>
      <c r="D231" s="7"/>
      <c r="E231" s="8"/>
      <c r="F231" s="9"/>
      <c r="G231" s="9"/>
      <c r="H231" s="31"/>
      <c r="I231" s="9"/>
      <c r="J231" s="9"/>
    </row>
    <row x14ac:dyDescent="0.25" r="232" customHeight="1" ht="17.25">
      <c r="A232" s="11" t="s">
        <v>8613</v>
      </c>
      <c r="B232" s="11"/>
      <c r="C232" s="11"/>
      <c r="D232" s="11"/>
      <c r="E232" s="12"/>
      <c r="F232" s="11"/>
      <c r="G232" s="11"/>
      <c r="H232" s="12"/>
      <c r="I232" s="11"/>
      <c r="J232" s="11"/>
    </row>
    <row x14ac:dyDescent="0.25" r="233" customHeight="1" ht="17.25">
      <c r="A233" s="14" t="s">
        <v>3</v>
      </c>
      <c r="B233" s="14" t="s">
        <v>4</v>
      </c>
      <c r="C233" s="14" t="s">
        <v>5</v>
      </c>
      <c r="D233" s="14" t="s">
        <v>6</v>
      </c>
      <c r="E233" s="15" t="s">
        <v>7</v>
      </c>
      <c r="F233" s="14" t="s">
        <v>8</v>
      </c>
      <c r="G233" s="14" t="s">
        <v>9</v>
      </c>
      <c r="H233" s="15" t="s">
        <v>10</v>
      </c>
      <c r="I233" s="14" t="s">
        <v>11</v>
      </c>
      <c r="J233" s="14" t="s">
        <v>12</v>
      </c>
    </row>
    <row x14ac:dyDescent="0.25" r="234" customHeight="1" ht="17.25">
      <c r="A234" s="17" t="s">
        <v>8614</v>
      </c>
      <c r="B234" s="17" t="s">
        <v>386</v>
      </c>
      <c r="C234" s="17" t="s">
        <v>133</v>
      </c>
      <c r="D234" s="17" t="s">
        <v>16</v>
      </c>
      <c r="E234" s="18">
        <f>ROUND(8777*1.05,2)</f>
      </c>
      <c r="F234" s="17" t="s">
        <v>17</v>
      </c>
      <c r="G234" s="17" t="s">
        <v>18</v>
      </c>
      <c r="H234" s="18">
        <f>ROUND(RAND()*4+6,1)</f>
      </c>
      <c r="I234" s="17" t="s">
        <v>19</v>
      </c>
      <c r="J234" s="19">
        <f>ROUND(60*1,0)&amp;"%"</f>
      </c>
    </row>
    <row x14ac:dyDescent="0.25" r="235" customHeight="1" ht="17.25">
      <c r="A235" s="20" t="s">
        <v>8615</v>
      </c>
      <c r="B235" s="20" t="s">
        <v>388</v>
      </c>
      <c r="C235" s="20" t="s">
        <v>133</v>
      </c>
      <c r="D235" s="20" t="s">
        <v>22</v>
      </c>
      <c r="E235" s="21">
        <f>ROUND(4893*1.05,2)</f>
      </c>
      <c r="F235" s="20" t="s">
        <v>23</v>
      </c>
      <c r="G235" s="20" t="s">
        <v>24</v>
      </c>
      <c r="H235" s="21">
        <f>ROUND(RAND()*4+6,1)</f>
      </c>
      <c r="I235" s="20" t="s">
        <v>25</v>
      </c>
      <c r="J235" s="23">
        <f>ROUND(92*1,0)&amp;"%"</f>
      </c>
    </row>
    <row x14ac:dyDescent="0.25" r="236" customHeight="1" ht="17.25">
      <c r="A236" s="17" t="s">
        <v>8616</v>
      </c>
      <c r="B236" s="17" t="s">
        <v>390</v>
      </c>
      <c r="C236" s="17" t="s">
        <v>133</v>
      </c>
      <c r="D236" s="17" t="s">
        <v>28</v>
      </c>
      <c r="E236" s="18">
        <f>ROUND(13233*1.05,2)</f>
      </c>
      <c r="F236" s="17" t="s">
        <v>29</v>
      </c>
      <c r="G236" s="17" t="s">
        <v>30</v>
      </c>
      <c r="H236" s="26">
        <f>ROUND(RAND()*4+6,1)</f>
      </c>
      <c r="I236" s="17" t="s">
        <v>31</v>
      </c>
      <c r="J236" s="19">
        <f>ROUND(90*1,0)&amp;"%"</f>
      </c>
    </row>
    <row x14ac:dyDescent="0.25" r="237" customHeight="1" ht="17.25">
      <c r="A237" s="20" t="s">
        <v>8617</v>
      </c>
      <c r="B237" s="20" t="s">
        <v>392</v>
      </c>
      <c r="C237" s="20" t="s">
        <v>133</v>
      </c>
      <c r="D237" s="20" t="s">
        <v>34</v>
      </c>
      <c r="E237" s="21">
        <f>ROUND(4183*1.05,2)</f>
      </c>
      <c r="F237" s="20" t="s">
        <v>35</v>
      </c>
      <c r="G237" s="20" t="s">
        <v>18</v>
      </c>
      <c r="H237" s="21">
        <f>ROUND(RAND()*4+6,1)</f>
      </c>
      <c r="I237" s="20" t="s">
        <v>36</v>
      </c>
      <c r="J237" s="23">
        <f>ROUND(94*1,0)&amp;"%"</f>
      </c>
    </row>
    <row x14ac:dyDescent="0.25" r="238" customHeight="1" ht="17.25">
      <c r="A238" s="17" t="s">
        <v>8618</v>
      </c>
      <c r="B238" s="17" t="s">
        <v>394</v>
      </c>
      <c r="C238" s="17" t="s">
        <v>133</v>
      </c>
      <c r="D238" s="17" t="s">
        <v>39</v>
      </c>
      <c r="E238" s="18">
        <f>ROUND(14163*1.05,2)</f>
      </c>
      <c r="F238" s="17" t="s">
        <v>40</v>
      </c>
      <c r="G238" s="17" t="s">
        <v>24</v>
      </c>
      <c r="H238" s="18">
        <f>ROUND(RAND()*4+6,1)</f>
      </c>
      <c r="I238" s="17" t="s">
        <v>41</v>
      </c>
      <c r="J238" s="19">
        <f>ROUND(73*1,0)&amp;"%"</f>
      </c>
    </row>
    <row x14ac:dyDescent="0.25" r="239" customHeight="1" ht="17.25">
      <c r="A239" s="20" t="s">
        <v>8619</v>
      </c>
      <c r="B239" s="20" t="s">
        <v>396</v>
      </c>
      <c r="C239" s="20" t="s">
        <v>133</v>
      </c>
      <c r="D239" s="20" t="s">
        <v>67</v>
      </c>
      <c r="E239" s="21">
        <f>ROUND(5804*1.05,2)</f>
      </c>
      <c r="F239" s="20" t="s">
        <v>44</v>
      </c>
      <c r="G239" s="20" t="s">
        <v>30</v>
      </c>
      <c r="H239" s="21">
        <f>ROUND(RAND()*4+6,1)</f>
      </c>
      <c r="I239" s="20" t="s">
        <v>45</v>
      </c>
      <c r="J239" s="23">
        <f>ROUND(68*1,0)&amp;"%"</f>
      </c>
    </row>
    <row x14ac:dyDescent="0.25" r="240" customHeight="1" ht="17.25">
      <c r="A240" s="17" t="s">
        <v>8620</v>
      </c>
      <c r="B240" s="17" t="s">
        <v>398</v>
      </c>
      <c r="C240" s="17" t="s">
        <v>133</v>
      </c>
      <c r="D240" s="17" t="s">
        <v>16</v>
      </c>
      <c r="E240" s="18">
        <f>ROUND(12169*1.05,2)</f>
      </c>
      <c r="F240" s="17" t="s">
        <v>48</v>
      </c>
      <c r="G240" s="17" t="s">
        <v>18</v>
      </c>
      <c r="H240" s="18">
        <f>ROUND(RAND()*4+6,1)</f>
      </c>
      <c r="I240" s="17" t="s">
        <v>19</v>
      </c>
      <c r="J240" s="19">
        <f>ROUND(80*1,0)&amp;"%"</f>
      </c>
    </row>
    <row x14ac:dyDescent="0.25" r="241" customHeight="1" ht="17.25">
      <c r="A241" s="20" t="s">
        <v>8621</v>
      </c>
      <c r="B241" s="20" t="s">
        <v>400</v>
      </c>
      <c r="C241" s="20" t="s">
        <v>133</v>
      </c>
      <c r="D241" s="20" t="s">
        <v>22</v>
      </c>
      <c r="E241" s="21">
        <f>ROUND(12814*1.05,2)</f>
      </c>
      <c r="F241" s="20" t="s">
        <v>51</v>
      </c>
      <c r="G241" s="20" t="s">
        <v>24</v>
      </c>
      <c r="H241" s="21">
        <f>ROUND(RAND()*4+6,1)</f>
      </c>
      <c r="I241" s="20" t="s">
        <v>25</v>
      </c>
      <c r="J241" s="23">
        <f>ROUND(62*1,0)&amp;"%"</f>
      </c>
    </row>
    <row x14ac:dyDescent="0.25" r="242" customHeight="1" ht="17.25">
      <c r="A242" s="24" t="s">
        <v>401</v>
      </c>
      <c r="B242" s="24"/>
      <c r="C242" s="24"/>
      <c r="D242" s="24"/>
      <c r="E242" s="25">
        <v>8</v>
      </c>
      <c r="F242" s="9"/>
      <c r="G242" s="9"/>
      <c r="H242" s="31"/>
      <c r="I242" s="9"/>
      <c r="J242" s="9"/>
    </row>
    <row x14ac:dyDescent="0.25" r="243" customHeight="1" ht="17.25">
      <c r="A243" s="7"/>
      <c r="B243" s="7"/>
      <c r="C243" s="7"/>
      <c r="D243" s="7"/>
      <c r="E243" s="8"/>
      <c r="F243" s="9"/>
      <c r="G243" s="9"/>
      <c r="H243" s="31"/>
      <c r="I243" s="9"/>
      <c r="J243" s="9"/>
    </row>
    <row x14ac:dyDescent="0.25" r="244" customHeight="1" ht="17.25">
      <c r="A244" s="11" t="s">
        <v>8622</v>
      </c>
      <c r="B244" s="11"/>
      <c r="C244" s="11"/>
      <c r="D244" s="11"/>
      <c r="E244" s="12"/>
      <c r="F244" s="11"/>
      <c r="G244" s="11"/>
      <c r="H244" s="12"/>
      <c r="I244" s="11"/>
      <c r="J244" s="11"/>
    </row>
    <row x14ac:dyDescent="0.25" r="245" customHeight="1" ht="17.25">
      <c r="A245" s="14" t="s">
        <v>3</v>
      </c>
      <c r="B245" s="14" t="s">
        <v>4</v>
      </c>
      <c r="C245" s="14" t="s">
        <v>5</v>
      </c>
      <c r="D245" s="14" t="s">
        <v>6</v>
      </c>
      <c r="E245" s="15" t="s">
        <v>7</v>
      </c>
      <c r="F245" s="14" t="s">
        <v>8</v>
      </c>
      <c r="G245" s="14" t="s">
        <v>9</v>
      </c>
      <c r="H245" s="15" t="s">
        <v>10</v>
      </c>
      <c r="I245" s="14" t="s">
        <v>11</v>
      </c>
      <c r="J245" s="14" t="s">
        <v>12</v>
      </c>
    </row>
    <row x14ac:dyDescent="0.25" r="246" customHeight="1" ht="17.25">
      <c r="A246" s="17" t="s">
        <v>8623</v>
      </c>
      <c r="B246" s="17" t="s">
        <v>404</v>
      </c>
      <c r="C246" s="17" t="s">
        <v>152</v>
      </c>
      <c r="D246" s="17" t="s">
        <v>16</v>
      </c>
      <c r="E246" s="18">
        <f>ROUND(8953*1.05,2)</f>
      </c>
      <c r="F246" s="17" t="s">
        <v>17</v>
      </c>
      <c r="G246" s="17" t="s">
        <v>18</v>
      </c>
      <c r="H246" s="18">
        <f>ROUND(RAND()*4+6,1)</f>
      </c>
      <c r="I246" s="17" t="s">
        <v>19</v>
      </c>
      <c r="J246" s="19">
        <f>ROUND(100*1,0)&amp;"%"</f>
      </c>
    </row>
    <row x14ac:dyDescent="0.25" r="247" customHeight="1" ht="17.25">
      <c r="A247" s="20" t="s">
        <v>8624</v>
      </c>
      <c r="B247" s="20" t="s">
        <v>406</v>
      </c>
      <c r="C247" s="20" t="s">
        <v>152</v>
      </c>
      <c r="D247" s="20" t="s">
        <v>22</v>
      </c>
      <c r="E247" s="21">
        <f>ROUND(14442*1.05,2)</f>
      </c>
      <c r="F247" s="20" t="s">
        <v>23</v>
      </c>
      <c r="G247" s="20" t="s">
        <v>24</v>
      </c>
      <c r="H247" s="21">
        <f>ROUND(RAND()*4+6,1)</f>
      </c>
      <c r="I247" s="20" t="s">
        <v>25</v>
      </c>
      <c r="J247" s="23">
        <f>ROUND(81*1,0)&amp;"%"</f>
      </c>
    </row>
    <row x14ac:dyDescent="0.25" r="248" customHeight="1" ht="17.25">
      <c r="A248" s="17" t="s">
        <v>8625</v>
      </c>
      <c r="B248" s="17" t="s">
        <v>408</v>
      </c>
      <c r="C248" s="17" t="s">
        <v>152</v>
      </c>
      <c r="D248" s="17" t="s">
        <v>28</v>
      </c>
      <c r="E248" s="18">
        <f>ROUND(5488*1.05,2)</f>
      </c>
      <c r="F248" s="17" t="s">
        <v>29</v>
      </c>
      <c r="G248" s="17" t="s">
        <v>30</v>
      </c>
      <c r="H248" s="18">
        <f>ROUND(RAND()*4+6,1)</f>
      </c>
      <c r="I248" s="17" t="s">
        <v>31</v>
      </c>
      <c r="J248" s="19">
        <f>ROUND(83*1,0)&amp;"%"</f>
      </c>
    </row>
    <row x14ac:dyDescent="0.25" r="249" customHeight="1" ht="17.25">
      <c r="A249" s="20" t="s">
        <v>8626</v>
      </c>
      <c r="B249" s="20" t="s">
        <v>410</v>
      </c>
      <c r="C249" s="20" t="s">
        <v>152</v>
      </c>
      <c r="D249" s="20" t="s">
        <v>34</v>
      </c>
      <c r="E249" s="21">
        <f>ROUND(7304*1.05,2)</f>
      </c>
      <c r="F249" s="20" t="s">
        <v>35</v>
      </c>
      <c r="G249" s="20" t="s">
        <v>18</v>
      </c>
      <c r="H249" s="21">
        <f>ROUND(RAND()*4+6,1)</f>
      </c>
      <c r="I249" s="20" t="s">
        <v>36</v>
      </c>
      <c r="J249" s="23">
        <f>ROUND(64*1,0)&amp;"%"</f>
      </c>
    </row>
    <row x14ac:dyDescent="0.25" r="250" customHeight="1" ht="17.25">
      <c r="A250" s="17" t="s">
        <v>8627</v>
      </c>
      <c r="B250" s="17" t="s">
        <v>412</v>
      </c>
      <c r="C250" s="17" t="s">
        <v>152</v>
      </c>
      <c r="D250" s="17" t="s">
        <v>39</v>
      </c>
      <c r="E250" s="18">
        <f>ROUND(17355*1.05,2)</f>
      </c>
      <c r="F250" s="17" t="s">
        <v>40</v>
      </c>
      <c r="G250" s="17" t="s">
        <v>24</v>
      </c>
      <c r="H250" s="18">
        <f>ROUND(RAND()*4+6,1)</f>
      </c>
      <c r="I250" s="17" t="s">
        <v>41</v>
      </c>
      <c r="J250" s="19">
        <f>ROUND(82*1,0)&amp;"%"</f>
      </c>
    </row>
    <row x14ac:dyDescent="0.25" r="251" customHeight="1" ht="17.25">
      <c r="A251" s="20" t="s">
        <v>8628</v>
      </c>
      <c r="B251" s="20" t="s">
        <v>414</v>
      </c>
      <c r="C251" s="20" t="s">
        <v>152</v>
      </c>
      <c r="D251" s="20" t="s">
        <v>67</v>
      </c>
      <c r="E251" s="21">
        <f>ROUND(15232*1.05,2)</f>
      </c>
      <c r="F251" s="20" t="s">
        <v>44</v>
      </c>
      <c r="G251" s="20" t="s">
        <v>30</v>
      </c>
      <c r="H251" s="21">
        <f>ROUND(RAND()*4+6,1)</f>
      </c>
      <c r="I251" s="20" t="s">
        <v>45</v>
      </c>
      <c r="J251" s="23">
        <f>ROUND(63*1,0)&amp;"%"</f>
      </c>
    </row>
    <row x14ac:dyDescent="0.25" r="252" customHeight="1" ht="17.25">
      <c r="A252" s="17" t="s">
        <v>8629</v>
      </c>
      <c r="B252" s="17" t="s">
        <v>416</v>
      </c>
      <c r="C252" s="17" t="s">
        <v>152</v>
      </c>
      <c r="D252" s="17" t="s">
        <v>16</v>
      </c>
      <c r="E252" s="18">
        <f>ROUND(9858*1.05,2)</f>
      </c>
      <c r="F252" s="17" t="s">
        <v>48</v>
      </c>
      <c r="G252" s="17" t="s">
        <v>18</v>
      </c>
      <c r="H252" s="18">
        <f>ROUND(RAND()*4+6,1)</f>
      </c>
      <c r="I252" s="17" t="s">
        <v>19</v>
      </c>
      <c r="J252" s="19">
        <f>ROUND(73*1,0)&amp;"%"</f>
      </c>
    </row>
    <row x14ac:dyDescent="0.25" r="253" customHeight="1" ht="17.25">
      <c r="A253" s="20" t="s">
        <v>8630</v>
      </c>
      <c r="B253" s="20" t="s">
        <v>418</v>
      </c>
      <c r="C253" s="20" t="s">
        <v>152</v>
      </c>
      <c r="D253" s="20" t="s">
        <v>22</v>
      </c>
      <c r="E253" s="21">
        <f>ROUND(5223*1.05,2)</f>
      </c>
      <c r="F253" s="20" t="s">
        <v>51</v>
      </c>
      <c r="G253" s="20" t="s">
        <v>24</v>
      </c>
      <c r="H253" s="21">
        <f>ROUND(RAND()*4+6,1)</f>
      </c>
      <c r="I253" s="20" t="s">
        <v>25</v>
      </c>
      <c r="J253" s="23">
        <f>ROUND(85*1,0)&amp;"%"</f>
      </c>
    </row>
    <row x14ac:dyDescent="0.25" r="254" customHeight="1" ht="17.25">
      <c r="A254" s="24" t="s">
        <v>419</v>
      </c>
      <c r="B254" s="24"/>
      <c r="C254" s="24"/>
      <c r="D254" s="24"/>
      <c r="E254" s="25">
        <v>8</v>
      </c>
      <c r="F254" s="9"/>
      <c r="G254" s="9"/>
      <c r="H254" s="31"/>
      <c r="I254" s="9"/>
      <c r="J254" s="9"/>
    </row>
    <row x14ac:dyDescent="0.25" r="255" customHeight="1" ht="17.25">
      <c r="A255" s="7"/>
      <c r="B255" s="7"/>
      <c r="C255" s="7"/>
      <c r="D255" s="7"/>
      <c r="E255" s="8"/>
      <c r="F255" s="9"/>
      <c r="G255" s="9"/>
      <c r="H255" s="31"/>
      <c r="I255" s="9"/>
      <c r="J255" s="9"/>
    </row>
    <row x14ac:dyDescent="0.25" r="256" customHeight="1" ht="17.25">
      <c r="A256" s="11" t="s">
        <v>8631</v>
      </c>
      <c r="B256" s="11"/>
      <c r="C256" s="11"/>
      <c r="D256" s="11"/>
      <c r="E256" s="12"/>
      <c r="F256" s="11"/>
      <c r="G256" s="11"/>
      <c r="H256" s="12"/>
      <c r="I256" s="11"/>
      <c r="J256" s="11"/>
    </row>
    <row x14ac:dyDescent="0.25" r="257" customHeight="1" ht="17.25">
      <c r="A257" s="14" t="s">
        <v>3</v>
      </c>
      <c r="B257" s="14" t="s">
        <v>4</v>
      </c>
      <c r="C257" s="14" t="s">
        <v>5</v>
      </c>
      <c r="D257" s="14" t="s">
        <v>6</v>
      </c>
      <c r="E257" s="15" t="s">
        <v>7</v>
      </c>
      <c r="F257" s="14" t="s">
        <v>8</v>
      </c>
      <c r="G257" s="14" t="s">
        <v>9</v>
      </c>
      <c r="H257" s="15" t="s">
        <v>10</v>
      </c>
      <c r="I257" s="14" t="s">
        <v>11</v>
      </c>
      <c r="J257" s="14" t="s">
        <v>12</v>
      </c>
    </row>
    <row x14ac:dyDescent="0.25" r="258" customHeight="1" ht="17.25">
      <c r="A258" s="17" t="s">
        <v>8632</v>
      </c>
      <c r="B258" s="17" t="s">
        <v>422</v>
      </c>
      <c r="C258" s="17" t="s">
        <v>15</v>
      </c>
      <c r="D258" s="17" t="s">
        <v>16</v>
      </c>
      <c r="E258" s="18">
        <f>ROUND(11031*1.05,2)</f>
      </c>
      <c r="F258" s="17" t="s">
        <v>17</v>
      </c>
      <c r="G258" s="17" t="s">
        <v>18</v>
      </c>
      <c r="H258" s="18">
        <f>ROUND(RAND()*4+6,1)</f>
      </c>
      <c r="I258" s="17" t="s">
        <v>19</v>
      </c>
      <c r="J258" s="19">
        <f>ROUND(76*1,0)&amp;"%"</f>
      </c>
    </row>
    <row x14ac:dyDescent="0.25" r="259" customHeight="1" ht="17.25">
      <c r="A259" s="20" t="s">
        <v>8633</v>
      </c>
      <c r="B259" s="20" t="s">
        <v>424</v>
      </c>
      <c r="C259" s="20" t="s">
        <v>15</v>
      </c>
      <c r="D259" s="20" t="s">
        <v>22</v>
      </c>
      <c r="E259" s="21">
        <f>ROUND(11197*1.05,2)</f>
      </c>
      <c r="F259" s="20" t="s">
        <v>23</v>
      </c>
      <c r="G259" s="20" t="s">
        <v>24</v>
      </c>
      <c r="H259" s="21">
        <f>ROUND(RAND()*4+6,1)</f>
      </c>
      <c r="I259" s="20" t="s">
        <v>25</v>
      </c>
      <c r="J259" s="23">
        <f>ROUND(64*1,0)&amp;"%"</f>
      </c>
    </row>
    <row x14ac:dyDescent="0.25" r="260" customHeight="1" ht="17.25">
      <c r="A260" s="17" t="s">
        <v>8634</v>
      </c>
      <c r="B260" s="17" t="s">
        <v>426</v>
      </c>
      <c r="C260" s="17" t="s">
        <v>15</v>
      </c>
      <c r="D260" s="17" t="s">
        <v>28</v>
      </c>
      <c r="E260" s="18">
        <f>ROUND(4096*1.05,2)</f>
      </c>
      <c r="F260" s="17" t="s">
        <v>29</v>
      </c>
      <c r="G260" s="17" t="s">
        <v>30</v>
      </c>
      <c r="H260" s="18">
        <f>ROUND(RAND()*4+6,1)</f>
      </c>
      <c r="I260" s="17" t="s">
        <v>31</v>
      </c>
      <c r="J260" s="19">
        <f>ROUND(65*1,0)&amp;"%"</f>
      </c>
    </row>
    <row x14ac:dyDescent="0.25" r="261" customHeight="1" ht="17.25">
      <c r="A261" s="20" t="s">
        <v>8635</v>
      </c>
      <c r="B261" s="20" t="s">
        <v>428</v>
      </c>
      <c r="C261" s="20" t="s">
        <v>15</v>
      </c>
      <c r="D261" s="20" t="s">
        <v>34</v>
      </c>
      <c r="E261" s="21">
        <f>ROUND(16327*1.05,2)</f>
      </c>
      <c r="F261" s="20" t="s">
        <v>35</v>
      </c>
      <c r="G261" s="20" t="s">
        <v>18</v>
      </c>
      <c r="H261" s="21">
        <f>ROUND(RAND()*4+6,1)</f>
      </c>
      <c r="I261" s="20" t="s">
        <v>36</v>
      </c>
      <c r="J261" s="23">
        <f>ROUND(66*1,0)&amp;"%"</f>
      </c>
    </row>
    <row x14ac:dyDescent="0.25" r="262" customHeight="1" ht="17.25">
      <c r="A262" s="17" t="s">
        <v>8636</v>
      </c>
      <c r="B262" s="17" t="s">
        <v>430</v>
      </c>
      <c r="C262" s="17" t="s">
        <v>15</v>
      </c>
      <c r="D262" s="17" t="s">
        <v>39</v>
      </c>
      <c r="E262" s="18">
        <f>ROUND(17884*1.05,2)</f>
      </c>
      <c r="F262" s="17" t="s">
        <v>40</v>
      </c>
      <c r="G262" s="17" t="s">
        <v>24</v>
      </c>
      <c r="H262" s="26">
        <f>ROUND(RAND()*4+6,1)</f>
      </c>
      <c r="I262" s="17" t="s">
        <v>41</v>
      </c>
      <c r="J262" s="19">
        <f>ROUND(77*1,0)&amp;"%"</f>
      </c>
    </row>
    <row x14ac:dyDescent="0.25" r="263" customHeight="1" ht="17.25">
      <c r="A263" s="20" t="s">
        <v>8637</v>
      </c>
      <c r="B263" s="20" t="s">
        <v>432</v>
      </c>
      <c r="C263" s="20" t="s">
        <v>15</v>
      </c>
      <c r="D263" s="20" t="s">
        <v>67</v>
      </c>
      <c r="E263" s="21">
        <f>ROUND(14986*1.05,2)</f>
      </c>
      <c r="F263" s="20" t="s">
        <v>44</v>
      </c>
      <c r="G263" s="20" t="s">
        <v>30</v>
      </c>
      <c r="H263" s="21">
        <f>ROUND(RAND()*4+6,1)</f>
      </c>
      <c r="I263" s="20" t="s">
        <v>45</v>
      </c>
      <c r="J263" s="23">
        <f>ROUND(83*1,0)&amp;"%"</f>
      </c>
    </row>
    <row x14ac:dyDescent="0.25" r="264" customHeight="1" ht="17.25">
      <c r="A264" s="17" t="s">
        <v>8638</v>
      </c>
      <c r="B264" s="17" t="s">
        <v>434</v>
      </c>
      <c r="C264" s="17" t="s">
        <v>15</v>
      </c>
      <c r="D264" s="17" t="s">
        <v>16</v>
      </c>
      <c r="E264" s="18">
        <f>ROUND(7162*1.05,2)</f>
      </c>
      <c r="F264" s="17" t="s">
        <v>48</v>
      </c>
      <c r="G264" s="17" t="s">
        <v>18</v>
      </c>
      <c r="H264" s="18">
        <f>ROUND(RAND()*4+6,1)</f>
      </c>
      <c r="I264" s="17" t="s">
        <v>19</v>
      </c>
      <c r="J264" s="19">
        <f>ROUND(89*1,0)&amp;"%"</f>
      </c>
    </row>
    <row x14ac:dyDescent="0.25" r="265" customHeight="1" ht="17.25">
      <c r="A265" s="20" t="s">
        <v>8639</v>
      </c>
      <c r="B265" s="20" t="s">
        <v>436</v>
      </c>
      <c r="C265" s="20" t="s">
        <v>15</v>
      </c>
      <c r="D265" s="20" t="s">
        <v>22</v>
      </c>
      <c r="E265" s="22">
        <f>ROUND(15840*1.05,2)</f>
      </c>
      <c r="F265" s="20" t="s">
        <v>51</v>
      </c>
      <c r="G265" s="20" t="s">
        <v>24</v>
      </c>
      <c r="H265" s="21">
        <f>ROUND(RAND()*4+6,1)</f>
      </c>
      <c r="I265" s="20" t="s">
        <v>25</v>
      </c>
      <c r="J265" s="23">
        <f>ROUND(64*1,0)&amp;"%"</f>
      </c>
    </row>
    <row x14ac:dyDescent="0.25" r="266" customHeight="1" ht="17.25">
      <c r="A266" s="24" t="s">
        <v>437</v>
      </c>
      <c r="B266" s="24"/>
      <c r="C266" s="24"/>
      <c r="D266" s="24"/>
      <c r="E266" s="25">
        <v>8</v>
      </c>
      <c r="F266" s="9"/>
      <c r="G266" s="9"/>
      <c r="H266" s="31"/>
      <c r="I266" s="9"/>
      <c r="J266" s="9"/>
    </row>
    <row x14ac:dyDescent="0.25" r="267" customHeight="1" ht="17.25">
      <c r="A267" s="7"/>
      <c r="B267" s="7"/>
      <c r="C267" s="7"/>
      <c r="D267" s="7"/>
      <c r="E267" s="8"/>
      <c r="F267" s="9"/>
      <c r="G267" s="9"/>
      <c r="H267" s="31"/>
      <c r="I267" s="9"/>
      <c r="J267" s="9"/>
    </row>
    <row x14ac:dyDescent="0.25" r="268" customHeight="1" ht="17.25">
      <c r="A268" s="11" t="s">
        <v>8640</v>
      </c>
      <c r="B268" s="11"/>
      <c r="C268" s="11"/>
      <c r="D268" s="11"/>
      <c r="E268" s="12"/>
      <c r="F268" s="11"/>
      <c r="G268" s="11"/>
      <c r="H268" s="12"/>
      <c r="I268" s="11"/>
      <c r="J268" s="11"/>
    </row>
    <row x14ac:dyDescent="0.25" r="269" customHeight="1" ht="17.25">
      <c r="A269" s="14" t="s">
        <v>3</v>
      </c>
      <c r="B269" s="14" t="s">
        <v>4</v>
      </c>
      <c r="C269" s="14" t="s">
        <v>5</v>
      </c>
      <c r="D269" s="14" t="s">
        <v>6</v>
      </c>
      <c r="E269" s="15" t="s">
        <v>7</v>
      </c>
      <c r="F269" s="14" t="s">
        <v>8</v>
      </c>
      <c r="G269" s="14" t="s">
        <v>9</v>
      </c>
      <c r="H269" s="15" t="s">
        <v>10</v>
      </c>
      <c r="I269" s="14" t="s">
        <v>11</v>
      </c>
      <c r="J269" s="14" t="s">
        <v>12</v>
      </c>
    </row>
    <row x14ac:dyDescent="0.25" r="270" customHeight="1" ht="17.25">
      <c r="A270" s="17" t="s">
        <v>8641</v>
      </c>
      <c r="B270" s="17" t="s">
        <v>440</v>
      </c>
      <c r="C270" s="17" t="s">
        <v>56</v>
      </c>
      <c r="D270" s="17" t="s">
        <v>16</v>
      </c>
      <c r="E270" s="18">
        <f>ROUND(7022*1.05,2)</f>
      </c>
      <c r="F270" s="17" t="s">
        <v>17</v>
      </c>
      <c r="G270" s="17" t="s">
        <v>18</v>
      </c>
      <c r="H270" s="18">
        <f>ROUND(RAND()*4+6,1)</f>
      </c>
      <c r="I270" s="17" t="s">
        <v>19</v>
      </c>
      <c r="J270" s="19">
        <f>ROUND(65*1,0)&amp;"%"</f>
      </c>
    </row>
    <row x14ac:dyDescent="0.25" r="271" customHeight="1" ht="17.25">
      <c r="A271" s="20" t="s">
        <v>8642</v>
      </c>
      <c r="B271" s="20" t="s">
        <v>442</v>
      </c>
      <c r="C271" s="20" t="s">
        <v>56</v>
      </c>
      <c r="D271" s="20" t="s">
        <v>22</v>
      </c>
      <c r="E271" s="21">
        <f>ROUND(8670*1.05,2)</f>
      </c>
      <c r="F271" s="20" t="s">
        <v>23</v>
      </c>
      <c r="G271" s="20" t="s">
        <v>24</v>
      </c>
      <c r="H271" s="21">
        <f>ROUND(RAND()*4+6,1)</f>
      </c>
      <c r="I271" s="20" t="s">
        <v>25</v>
      </c>
      <c r="J271" s="23">
        <f>ROUND(64*1,0)&amp;"%"</f>
      </c>
    </row>
    <row x14ac:dyDescent="0.25" r="272" customHeight="1" ht="17.25">
      <c r="A272" s="17" t="s">
        <v>8643</v>
      </c>
      <c r="B272" s="17" t="s">
        <v>444</v>
      </c>
      <c r="C272" s="17" t="s">
        <v>56</v>
      </c>
      <c r="D272" s="17" t="s">
        <v>28</v>
      </c>
      <c r="E272" s="18">
        <f>ROUND(11421*1.05,2)</f>
      </c>
      <c r="F272" s="17" t="s">
        <v>29</v>
      </c>
      <c r="G272" s="17" t="s">
        <v>30</v>
      </c>
      <c r="H272" s="18">
        <f>ROUND(RAND()*4+6,1)</f>
      </c>
      <c r="I272" s="17" t="s">
        <v>31</v>
      </c>
      <c r="J272" s="19">
        <f>ROUND(65*1,0)&amp;"%"</f>
      </c>
    </row>
    <row x14ac:dyDescent="0.25" r="273" customHeight="1" ht="17.25">
      <c r="A273" s="20" t="s">
        <v>8644</v>
      </c>
      <c r="B273" s="20" t="s">
        <v>446</v>
      </c>
      <c r="C273" s="20" t="s">
        <v>56</v>
      </c>
      <c r="D273" s="20" t="s">
        <v>34</v>
      </c>
      <c r="E273" s="21">
        <f>ROUND(17203*1.05,2)</f>
      </c>
      <c r="F273" s="20" t="s">
        <v>35</v>
      </c>
      <c r="G273" s="20" t="s">
        <v>18</v>
      </c>
      <c r="H273" s="21">
        <f>ROUND(RAND()*4+6,1)</f>
      </c>
      <c r="I273" s="20" t="s">
        <v>36</v>
      </c>
      <c r="J273" s="23">
        <f>ROUND(69*1,0)&amp;"%"</f>
      </c>
    </row>
    <row x14ac:dyDescent="0.25" r="274" customHeight="1" ht="17.25">
      <c r="A274" s="17" t="s">
        <v>8645</v>
      </c>
      <c r="B274" s="17" t="s">
        <v>448</v>
      </c>
      <c r="C274" s="17" t="s">
        <v>56</v>
      </c>
      <c r="D274" s="17" t="s">
        <v>39</v>
      </c>
      <c r="E274" s="18">
        <f>ROUND(10428*1.05,2)</f>
      </c>
      <c r="F274" s="17" t="s">
        <v>40</v>
      </c>
      <c r="G274" s="17" t="s">
        <v>24</v>
      </c>
      <c r="H274" s="18">
        <f>ROUND(RAND()*4+6,1)</f>
      </c>
      <c r="I274" s="17" t="s">
        <v>41</v>
      </c>
      <c r="J274" s="19">
        <f>ROUND(66*1,0)&amp;"%"</f>
      </c>
    </row>
    <row x14ac:dyDescent="0.25" r="275" customHeight="1" ht="17.25">
      <c r="A275" s="20" t="s">
        <v>8646</v>
      </c>
      <c r="B275" s="20" t="s">
        <v>450</v>
      </c>
      <c r="C275" s="20" t="s">
        <v>56</v>
      </c>
      <c r="D275" s="20" t="s">
        <v>67</v>
      </c>
      <c r="E275" s="22">
        <f>ROUND(12020*1.05,2)</f>
      </c>
      <c r="F275" s="20" t="s">
        <v>44</v>
      </c>
      <c r="G275" s="20" t="s">
        <v>30</v>
      </c>
      <c r="H275" s="21">
        <f>ROUND(RAND()*4+6,1)</f>
      </c>
      <c r="I275" s="20" t="s">
        <v>45</v>
      </c>
      <c r="J275" s="23">
        <f>ROUND(69*1,0)&amp;"%"</f>
      </c>
    </row>
    <row x14ac:dyDescent="0.25" r="276" customHeight="1" ht="17.25">
      <c r="A276" s="17" t="s">
        <v>8647</v>
      </c>
      <c r="B276" s="17" t="s">
        <v>452</v>
      </c>
      <c r="C276" s="17" t="s">
        <v>56</v>
      </c>
      <c r="D276" s="17" t="s">
        <v>16</v>
      </c>
      <c r="E276" s="18">
        <f>ROUND(5971*1.05,2)</f>
      </c>
      <c r="F276" s="17" t="s">
        <v>48</v>
      </c>
      <c r="G276" s="17" t="s">
        <v>18</v>
      </c>
      <c r="H276" s="18">
        <f>ROUND(RAND()*4+6,1)</f>
      </c>
      <c r="I276" s="17" t="s">
        <v>19</v>
      </c>
      <c r="J276" s="19">
        <f>ROUND(99*1,0)&amp;"%"</f>
      </c>
    </row>
    <row x14ac:dyDescent="0.25" r="277" customHeight="1" ht="17.25">
      <c r="A277" s="20" t="s">
        <v>8648</v>
      </c>
      <c r="B277" s="20" t="s">
        <v>454</v>
      </c>
      <c r="C277" s="20" t="s">
        <v>56</v>
      </c>
      <c r="D277" s="20" t="s">
        <v>22</v>
      </c>
      <c r="E277" s="21">
        <f>ROUND(13821*1.05,2)</f>
      </c>
      <c r="F277" s="20" t="s">
        <v>51</v>
      </c>
      <c r="G277" s="20" t="s">
        <v>24</v>
      </c>
      <c r="H277" s="21">
        <f>ROUND(RAND()*4+6,1)</f>
      </c>
      <c r="I277" s="20" t="s">
        <v>25</v>
      </c>
      <c r="J277" s="23">
        <f>ROUND(99*1,0)&amp;"%"</f>
      </c>
    </row>
    <row x14ac:dyDescent="0.25" r="278" customHeight="1" ht="17.25">
      <c r="A278" s="24" t="s">
        <v>455</v>
      </c>
      <c r="B278" s="24"/>
      <c r="C278" s="24"/>
      <c r="D278" s="24"/>
      <c r="E278" s="25">
        <v>8</v>
      </c>
      <c r="F278" s="9"/>
      <c r="G278" s="9"/>
      <c r="H278" s="31"/>
      <c r="I278" s="9"/>
      <c r="J278" s="9"/>
    </row>
    <row x14ac:dyDescent="0.25" r="279" customHeight="1" ht="17.25">
      <c r="A279" s="7"/>
      <c r="B279" s="7"/>
      <c r="C279" s="7"/>
      <c r="D279" s="7"/>
      <c r="E279" s="8"/>
      <c r="F279" s="9"/>
      <c r="G279" s="9"/>
      <c r="H279" s="31"/>
      <c r="I279" s="9"/>
      <c r="J279" s="9"/>
    </row>
    <row x14ac:dyDescent="0.25" r="280" customHeight="1" ht="17.25">
      <c r="A280" s="11" t="s">
        <v>8649</v>
      </c>
      <c r="B280" s="11"/>
      <c r="C280" s="11"/>
      <c r="D280" s="11"/>
      <c r="E280" s="12"/>
      <c r="F280" s="11"/>
      <c r="G280" s="11"/>
      <c r="H280" s="12"/>
      <c r="I280" s="11"/>
      <c r="J280" s="11"/>
    </row>
    <row x14ac:dyDescent="0.25" r="281" customHeight="1" ht="17.25">
      <c r="A281" s="14" t="s">
        <v>3</v>
      </c>
      <c r="B281" s="14" t="s">
        <v>4</v>
      </c>
      <c r="C281" s="14" t="s">
        <v>5</v>
      </c>
      <c r="D281" s="14" t="s">
        <v>6</v>
      </c>
      <c r="E281" s="15" t="s">
        <v>7</v>
      </c>
      <c r="F281" s="14" t="s">
        <v>8</v>
      </c>
      <c r="G281" s="14" t="s">
        <v>9</v>
      </c>
      <c r="H281" s="15" t="s">
        <v>10</v>
      </c>
      <c r="I281" s="14" t="s">
        <v>11</v>
      </c>
      <c r="J281" s="14" t="s">
        <v>12</v>
      </c>
    </row>
    <row x14ac:dyDescent="0.25" r="282" customHeight="1" ht="17.25">
      <c r="A282" s="17" t="s">
        <v>8650</v>
      </c>
      <c r="B282" s="17" t="s">
        <v>458</v>
      </c>
      <c r="C282" s="17" t="s">
        <v>76</v>
      </c>
      <c r="D282" s="17" t="s">
        <v>16</v>
      </c>
      <c r="E282" s="18">
        <f>ROUND(11498*1.05,2)</f>
      </c>
      <c r="F282" s="17" t="s">
        <v>17</v>
      </c>
      <c r="G282" s="17" t="s">
        <v>18</v>
      </c>
      <c r="H282" s="18">
        <f>ROUND(RAND()*4+6,1)</f>
      </c>
      <c r="I282" s="17" t="s">
        <v>19</v>
      </c>
      <c r="J282" s="19">
        <f>ROUND(100*1,0)&amp;"%"</f>
      </c>
    </row>
    <row x14ac:dyDescent="0.25" r="283" customHeight="1" ht="17.25">
      <c r="A283" s="20" t="s">
        <v>8651</v>
      </c>
      <c r="B283" s="20" t="s">
        <v>460</v>
      </c>
      <c r="C283" s="20" t="s">
        <v>76</v>
      </c>
      <c r="D283" s="20" t="s">
        <v>22</v>
      </c>
      <c r="E283" s="21">
        <f>ROUND(14176*1.05,2)</f>
      </c>
      <c r="F283" s="20" t="s">
        <v>23</v>
      </c>
      <c r="G283" s="20" t="s">
        <v>24</v>
      </c>
      <c r="H283" s="21">
        <f>ROUND(RAND()*4+6,1)</f>
      </c>
      <c r="I283" s="20" t="s">
        <v>25</v>
      </c>
      <c r="J283" s="23">
        <f>ROUND(78*1,0)&amp;"%"</f>
      </c>
    </row>
    <row x14ac:dyDescent="0.25" r="284" customHeight="1" ht="17.25">
      <c r="A284" s="17" t="s">
        <v>8652</v>
      </c>
      <c r="B284" s="17" t="s">
        <v>462</v>
      </c>
      <c r="C284" s="17" t="s">
        <v>76</v>
      </c>
      <c r="D284" s="17" t="s">
        <v>28</v>
      </c>
      <c r="E284" s="18">
        <f>ROUND(5847*1.05,2)</f>
      </c>
      <c r="F284" s="17" t="s">
        <v>29</v>
      </c>
      <c r="G284" s="17" t="s">
        <v>30</v>
      </c>
      <c r="H284" s="18">
        <f>ROUND(RAND()*4+6,1)</f>
      </c>
      <c r="I284" s="17" t="s">
        <v>31</v>
      </c>
      <c r="J284" s="19">
        <f>ROUND(86*1,0)&amp;"%"</f>
      </c>
    </row>
    <row x14ac:dyDescent="0.25" r="285" customHeight="1" ht="17.25">
      <c r="A285" s="20" t="s">
        <v>8653</v>
      </c>
      <c r="B285" s="20" t="s">
        <v>464</v>
      </c>
      <c r="C285" s="20" t="s">
        <v>76</v>
      </c>
      <c r="D285" s="20" t="s">
        <v>34</v>
      </c>
      <c r="E285" s="21">
        <f>ROUND(10730*1.05,2)</f>
      </c>
      <c r="F285" s="20" t="s">
        <v>35</v>
      </c>
      <c r="G285" s="20" t="s">
        <v>18</v>
      </c>
      <c r="H285" s="21">
        <f>ROUND(RAND()*4+6,1)</f>
      </c>
      <c r="I285" s="20" t="s">
        <v>36</v>
      </c>
      <c r="J285" s="23">
        <f>ROUND(86*1,0)&amp;"%"</f>
      </c>
    </row>
    <row x14ac:dyDescent="0.25" r="286" customHeight="1" ht="17.25">
      <c r="A286" s="17" t="s">
        <v>8654</v>
      </c>
      <c r="B286" s="17" t="s">
        <v>466</v>
      </c>
      <c r="C286" s="17" t="s">
        <v>76</v>
      </c>
      <c r="D286" s="17" t="s">
        <v>39</v>
      </c>
      <c r="E286" s="18">
        <f>ROUND(10097*1.05,2)</f>
      </c>
      <c r="F286" s="17" t="s">
        <v>40</v>
      </c>
      <c r="G286" s="17" t="s">
        <v>24</v>
      </c>
      <c r="H286" s="18">
        <f>ROUND(RAND()*4+6,1)</f>
      </c>
      <c r="I286" s="17" t="s">
        <v>41</v>
      </c>
      <c r="J286" s="19">
        <f>ROUND(81*1,0)&amp;"%"</f>
      </c>
    </row>
    <row x14ac:dyDescent="0.25" r="287" customHeight="1" ht="17.25">
      <c r="A287" s="20" t="s">
        <v>8655</v>
      </c>
      <c r="B287" s="20" t="s">
        <v>468</v>
      </c>
      <c r="C287" s="20" t="s">
        <v>76</v>
      </c>
      <c r="D287" s="20" t="s">
        <v>67</v>
      </c>
      <c r="E287" s="21">
        <f>ROUND(5882*1.05,2)</f>
      </c>
      <c r="F287" s="20" t="s">
        <v>44</v>
      </c>
      <c r="G287" s="20" t="s">
        <v>30</v>
      </c>
      <c r="H287" s="21">
        <f>ROUND(RAND()*4+6,1)</f>
      </c>
      <c r="I287" s="20" t="s">
        <v>45</v>
      </c>
      <c r="J287" s="23">
        <f>ROUND(90*1,0)&amp;"%"</f>
      </c>
    </row>
    <row x14ac:dyDescent="0.25" r="288" customHeight="1" ht="17.25">
      <c r="A288" s="17" t="s">
        <v>8656</v>
      </c>
      <c r="B288" s="17" t="s">
        <v>470</v>
      </c>
      <c r="C288" s="17" t="s">
        <v>76</v>
      </c>
      <c r="D288" s="17" t="s">
        <v>16</v>
      </c>
      <c r="E288" s="18">
        <f>ROUND(9939*1.05,2)</f>
      </c>
      <c r="F288" s="17" t="s">
        <v>48</v>
      </c>
      <c r="G288" s="17" t="s">
        <v>18</v>
      </c>
      <c r="H288" s="18">
        <f>ROUND(RAND()*4+6,1)</f>
      </c>
      <c r="I288" s="17" t="s">
        <v>19</v>
      </c>
      <c r="J288" s="19">
        <f>ROUND(80*1,0)&amp;"%"</f>
      </c>
    </row>
    <row x14ac:dyDescent="0.25" r="289" customHeight="1" ht="17.25">
      <c r="A289" s="20" t="s">
        <v>8657</v>
      </c>
      <c r="B289" s="20" t="s">
        <v>472</v>
      </c>
      <c r="C289" s="20" t="s">
        <v>76</v>
      </c>
      <c r="D289" s="20" t="s">
        <v>22</v>
      </c>
      <c r="E289" s="21">
        <f>ROUND(14956*1.05,2)</f>
      </c>
      <c r="F289" s="20" t="s">
        <v>51</v>
      </c>
      <c r="G289" s="20" t="s">
        <v>24</v>
      </c>
      <c r="H289" s="21">
        <f>ROUND(RAND()*4+6,1)</f>
      </c>
      <c r="I289" s="20" t="s">
        <v>25</v>
      </c>
      <c r="J289" s="23">
        <f>ROUND(98*1,0)&amp;"%"</f>
      </c>
    </row>
    <row x14ac:dyDescent="0.25" r="290" customHeight="1" ht="17.25">
      <c r="A290" s="24" t="s">
        <v>473</v>
      </c>
      <c r="B290" s="24"/>
      <c r="C290" s="24"/>
      <c r="D290" s="24"/>
      <c r="E290" s="25">
        <v>8</v>
      </c>
      <c r="F290" s="9"/>
      <c r="G290" s="9"/>
      <c r="H290" s="31"/>
      <c r="I290" s="9"/>
      <c r="J290" s="9"/>
    </row>
    <row x14ac:dyDescent="0.25" r="291" customHeight="1" ht="17.25">
      <c r="A291" s="7"/>
      <c r="B291" s="7"/>
      <c r="C291" s="7"/>
      <c r="D291" s="7"/>
      <c r="E291" s="8"/>
      <c r="F291" s="9"/>
      <c r="G291" s="9"/>
      <c r="H291" s="31"/>
      <c r="I291" s="9"/>
      <c r="J291" s="9"/>
    </row>
    <row x14ac:dyDescent="0.25" r="292" customHeight="1" ht="17.25">
      <c r="A292" s="11" t="s">
        <v>8658</v>
      </c>
      <c r="B292" s="11"/>
      <c r="C292" s="11"/>
      <c r="D292" s="11"/>
      <c r="E292" s="12"/>
      <c r="F292" s="11"/>
      <c r="G292" s="11"/>
      <c r="H292" s="12"/>
      <c r="I292" s="11"/>
      <c r="J292" s="11"/>
    </row>
    <row x14ac:dyDescent="0.25" r="293" customHeight="1" ht="17.25">
      <c r="A293" s="14" t="s">
        <v>3</v>
      </c>
      <c r="B293" s="14" t="s">
        <v>4</v>
      </c>
      <c r="C293" s="14" t="s">
        <v>5</v>
      </c>
      <c r="D293" s="14" t="s">
        <v>6</v>
      </c>
      <c r="E293" s="15" t="s">
        <v>7</v>
      </c>
      <c r="F293" s="14" t="s">
        <v>8</v>
      </c>
      <c r="G293" s="14" t="s">
        <v>9</v>
      </c>
      <c r="H293" s="15" t="s">
        <v>10</v>
      </c>
      <c r="I293" s="14" t="s">
        <v>11</v>
      </c>
      <c r="J293" s="14" t="s">
        <v>12</v>
      </c>
    </row>
    <row x14ac:dyDescent="0.25" r="294" customHeight="1" ht="17.25">
      <c r="A294" s="17" t="s">
        <v>8659</v>
      </c>
      <c r="B294" s="17" t="s">
        <v>476</v>
      </c>
      <c r="C294" s="17" t="s">
        <v>95</v>
      </c>
      <c r="D294" s="17" t="s">
        <v>16</v>
      </c>
      <c r="E294" s="18">
        <f>ROUND(8948*1.05,2)</f>
      </c>
      <c r="F294" s="17" t="s">
        <v>17</v>
      </c>
      <c r="G294" s="17" t="s">
        <v>18</v>
      </c>
      <c r="H294" s="18">
        <f>ROUND(RAND()*4+6,1)</f>
      </c>
      <c r="I294" s="17" t="s">
        <v>19</v>
      </c>
      <c r="J294" s="19">
        <f>ROUND(85*1,0)&amp;"%"</f>
      </c>
    </row>
    <row x14ac:dyDescent="0.25" r="295" customHeight="1" ht="17.25">
      <c r="A295" s="20" t="s">
        <v>8660</v>
      </c>
      <c r="B295" s="20" t="s">
        <v>478</v>
      </c>
      <c r="C295" s="20" t="s">
        <v>95</v>
      </c>
      <c r="D295" s="20" t="s">
        <v>22</v>
      </c>
      <c r="E295" s="21">
        <f>ROUND(14736*1.05,2)</f>
      </c>
      <c r="F295" s="20" t="s">
        <v>23</v>
      </c>
      <c r="G295" s="20" t="s">
        <v>24</v>
      </c>
      <c r="H295" s="21">
        <f>ROUND(RAND()*4+6,1)</f>
      </c>
      <c r="I295" s="20" t="s">
        <v>25</v>
      </c>
      <c r="J295" s="23">
        <f>ROUND(83*1,0)&amp;"%"</f>
      </c>
    </row>
    <row x14ac:dyDescent="0.25" r="296" customHeight="1" ht="17.25">
      <c r="A296" s="17" t="s">
        <v>8661</v>
      </c>
      <c r="B296" s="17" t="s">
        <v>480</v>
      </c>
      <c r="C296" s="17" t="s">
        <v>95</v>
      </c>
      <c r="D296" s="17" t="s">
        <v>28</v>
      </c>
      <c r="E296" s="18">
        <f>ROUND(7641*1.05,2)</f>
      </c>
      <c r="F296" s="17" t="s">
        <v>29</v>
      </c>
      <c r="G296" s="17" t="s">
        <v>30</v>
      </c>
      <c r="H296" s="18">
        <f>ROUND(RAND()*4+6,1)</f>
      </c>
      <c r="I296" s="17" t="s">
        <v>31</v>
      </c>
      <c r="J296" s="19">
        <f>ROUND(90*1,0)&amp;"%"</f>
      </c>
    </row>
    <row x14ac:dyDescent="0.25" r="297" customHeight="1" ht="17.25">
      <c r="A297" s="20" t="s">
        <v>8662</v>
      </c>
      <c r="B297" s="20" t="s">
        <v>482</v>
      </c>
      <c r="C297" s="20" t="s">
        <v>95</v>
      </c>
      <c r="D297" s="20" t="s">
        <v>34</v>
      </c>
      <c r="E297" s="21">
        <f>ROUND(4406*1.05,2)</f>
      </c>
      <c r="F297" s="20" t="s">
        <v>35</v>
      </c>
      <c r="G297" s="20" t="s">
        <v>18</v>
      </c>
      <c r="H297" s="21">
        <f>ROUND(RAND()*4+6,1)</f>
      </c>
      <c r="I297" s="20" t="s">
        <v>36</v>
      </c>
      <c r="J297" s="23">
        <f>ROUND(91*1,0)&amp;"%"</f>
      </c>
    </row>
    <row x14ac:dyDescent="0.25" r="298" customHeight="1" ht="17.25">
      <c r="A298" s="17" t="s">
        <v>8663</v>
      </c>
      <c r="B298" s="17" t="s">
        <v>484</v>
      </c>
      <c r="C298" s="17" t="s">
        <v>95</v>
      </c>
      <c r="D298" s="17" t="s">
        <v>39</v>
      </c>
      <c r="E298" s="26">
        <f>ROUND(6620*1.05,2)</f>
      </c>
      <c r="F298" s="17" t="s">
        <v>40</v>
      </c>
      <c r="G298" s="17" t="s">
        <v>24</v>
      </c>
      <c r="H298" s="18">
        <f>ROUND(RAND()*4+6,1)</f>
      </c>
      <c r="I298" s="17" t="s">
        <v>41</v>
      </c>
      <c r="J298" s="19">
        <f>ROUND(87*1,0)&amp;"%"</f>
      </c>
    </row>
    <row x14ac:dyDescent="0.25" r="299" customHeight="1" ht="17.25">
      <c r="A299" s="20" t="s">
        <v>8664</v>
      </c>
      <c r="B299" s="20" t="s">
        <v>486</v>
      </c>
      <c r="C299" s="20" t="s">
        <v>95</v>
      </c>
      <c r="D299" s="20" t="s">
        <v>67</v>
      </c>
      <c r="E299" s="21">
        <f>ROUND(11445*1.05,2)</f>
      </c>
      <c r="F299" s="20" t="s">
        <v>44</v>
      </c>
      <c r="G299" s="20" t="s">
        <v>30</v>
      </c>
      <c r="H299" s="21">
        <f>ROUND(RAND()*4+6,1)</f>
      </c>
      <c r="I299" s="20" t="s">
        <v>45</v>
      </c>
      <c r="J299" s="23">
        <f>ROUND(73*1,0)&amp;"%"</f>
      </c>
    </row>
    <row x14ac:dyDescent="0.25" r="300" customHeight="1" ht="17.25">
      <c r="A300" s="17" t="s">
        <v>8665</v>
      </c>
      <c r="B300" s="17" t="s">
        <v>488</v>
      </c>
      <c r="C300" s="17" t="s">
        <v>95</v>
      </c>
      <c r="D300" s="17" t="s">
        <v>16</v>
      </c>
      <c r="E300" s="18">
        <f>ROUND(5146*1.05,2)</f>
      </c>
      <c r="F300" s="17" t="s">
        <v>48</v>
      </c>
      <c r="G300" s="17" t="s">
        <v>18</v>
      </c>
      <c r="H300" s="18">
        <f>ROUND(RAND()*4+6,1)</f>
      </c>
      <c r="I300" s="17" t="s">
        <v>19</v>
      </c>
      <c r="J300" s="19">
        <f>ROUND(79*1,0)&amp;"%"</f>
      </c>
    </row>
    <row x14ac:dyDescent="0.25" r="301" customHeight="1" ht="17.25">
      <c r="A301" s="20" t="s">
        <v>8666</v>
      </c>
      <c r="B301" s="20" t="s">
        <v>490</v>
      </c>
      <c r="C301" s="20" t="s">
        <v>95</v>
      </c>
      <c r="D301" s="20" t="s">
        <v>22</v>
      </c>
      <c r="E301" s="21">
        <f>ROUND(12229*1.05,2)</f>
      </c>
      <c r="F301" s="20" t="s">
        <v>51</v>
      </c>
      <c r="G301" s="20" t="s">
        <v>24</v>
      </c>
      <c r="H301" s="21">
        <f>ROUND(RAND()*4+6,1)</f>
      </c>
      <c r="I301" s="20" t="s">
        <v>25</v>
      </c>
      <c r="J301" s="23">
        <f>ROUND(72*1,0)&amp;"%"</f>
      </c>
    </row>
    <row x14ac:dyDescent="0.25" r="302" customHeight="1" ht="17.25">
      <c r="A302" s="24" t="s">
        <v>491</v>
      </c>
      <c r="B302" s="24"/>
      <c r="C302" s="24"/>
      <c r="D302" s="24"/>
      <c r="E302" s="25">
        <v>8</v>
      </c>
      <c r="F302" s="9"/>
      <c r="G302" s="9"/>
      <c r="H302" s="31"/>
      <c r="I302" s="9"/>
      <c r="J302" s="9"/>
    </row>
    <row x14ac:dyDescent="0.25" r="303" customHeight="1" ht="17.25">
      <c r="A303" s="7"/>
      <c r="B303" s="7"/>
      <c r="C303" s="7"/>
      <c r="D303" s="7"/>
      <c r="E303" s="8"/>
      <c r="F303" s="9"/>
      <c r="G303" s="9"/>
      <c r="H303" s="31"/>
      <c r="I303" s="9"/>
      <c r="J303" s="9"/>
    </row>
    <row x14ac:dyDescent="0.25" r="304" customHeight="1" ht="17.25">
      <c r="A304" s="11" t="s">
        <v>8667</v>
      </c>
      <c r="B304" s="11"/>
      <c r="C304" s="11"/>
      <c r="D304" s="11"/>
      <c r="E304" s="12"/>
      <c r="F304" s="11"/>
      <c r="G304" s="11"/>
      <c r="H304" s="12"/>
      <c r="I304" s="11"/>
      <c r="J304" s="11"/>
    </row>
    <row x14ac:dyDescent="0.25" r="305" customHeight="1" ht="17.25">
      <c r="A305" s="14" t="s">
        <v>3</v>
      </c>
      <c r="B305" s="14" t="s">
        <v>4</v>
      </c>
      <c r="C305" s="14" t="s">
        <v>5</v>
      </c>
      <c r="D305" s="14" t="s">
        <v>6</v>
      </c>
      <c r="E305" s="15" t="s">
        <v>7</v>
      </c>
      <c r="F305" s="14" t="s">
        <v>8</v>
      </c>
      <c r="G305" s="14" t="s">
        <v>9</v>
      </c>
      <c r="H305" s="15" t="s">
        <v>10</v>
      </c>
      <c r="I305" s="14" t="s">
        <v>11</v>
      </c>
      <c r="J305" s="14" t="s">
        <v>12</v>
      </c>
    </row>
    <row x14ac:dyDescent="0.25" r="306" customHeight="1" ht="17.25">
      <c r="A306" s="17" t="s">
        <v>8668</v>
      </c>
      <c r="B306" s="17" t="s">
        <v>494</v>
      </c>
      <c r="C306" s="17" t="s">
        <v>114</v>
      </c>
      <c r="D306" s="17" t="s">
        <v>16</v>
      </c>
      <c r="E306" s="18">
        <f>ROUND(14589*1.05,2)</f>
      </c>
      <c r="F306" s="17" t="s">
        <v>17</v>
      </c>
      <c r="G306" s="17" t="s">
        <v>18</v>
      </c>
      <c r="H306" s="18">
        <f>ROUND(RAND()*4+6,1)</f>
      </c>
      <c r="I306" s="17" t="s">
        <v>19</v>
      </c>
      <c r="J306" s="19">
        <f>ROUND(86*1,0)&amp;"%"</f>
      </c>
    </row>
    <row x14ac:dyDescent="0.25" r="307" customHeight="1" ht="17.25">
      <c r="A307" s="20" t="s">
        <v>8669</v>
      </c>
      <c r="B307" s="20" t="s">
        <v>496</v>
      </c>
      <c r="C307" s="20" t="s">
        <v>114</v>
      </c>
      <c r="D307" s="20" t="s">
        <v>22</v>
      </c>
      <c r="E307" s="21">
        <f>ROUND(5693*1.05,2)</f>
      </c>
      <c r="F307" s="20" t="s">
        <v>23</v>
      </c>
      <c r="G307" s="20" t="s">
        <v>24</v>
      </c>
      <c r="H307" s="22">
        <f>ROUND(RAND()*4+6,1)</f>
      </c>
      <c r="I307" s="20" t="s">
        <v>25</v>
      </c>
      <c r="J307" s="23">
        <f>ROUND(76*1,0)&amp;"%"</f>
      </c>
    </row>
    <row x14ac:dyDescent="0.25" r="308" customHeight="1" ht="17.25">
      <c r="A308" s="17" t="s">
        <v>8670</v>
      </c>
      <c r="B308" s="17" t="s">
        <v>498</v>
      </c>
      <c r="C308" s="17" t="s">
        <v>114</v>
      </c>
      <c r="D308" s="17" t="s">
        <v>28</v>
      </c>
      <c r="E308" s="18">
        <f>ROUND(7592*1.05,2)</f>
      </c>
      <c r="F308" s="17" t="s">
        <v>29</v>
      </c>
      <c r="G308" s="17" t="s">
        <v>30</v>
      </c>
      <c r="H308" s="18">
        <f>ROUND(RAND()*4+6,1)</f>
      </c>
      <c r="I308" s="17" t="s">
        <v>31</v>
      </c>
      <c r="J308" s="19">
        <f>ROUND(89*1,0)&amp;"%"</f>
      </c>
    </row>
    <row x14ac:dyDescent="0.25" r="309" customHeight="1" ht="17.25">
      <c r="A309" s="20" t="s">
        <v>8671</v>
      </c>
      <c r="B309" s="20" t="s">
        <v>500</v>
      </c>
      <c r="C309" s="20" t="s">
        <v>114</v>
      </c>
      <c r="D309" s="20" t="s">
        <v>34</v>
      </c>
      <c r="E309" s="22">
        <f>ROUND(18000*1.05,2)</f>
      </c>
      <c r="F309" s="20" t="s">
        <v>35</v>
      </c>
      <c r="G309" s="20" t="s">
        <v>18</v>
      </c>
      <c r="H309" s="21">
        <f>ROUND(RAND()*4+6,1)</f>
      </c>
      <c r="I309" s="20" t="s">
        <v>36</v>
      </c>
      <c r="J309" s="23">
        <f>ROUND(67*1,0)&amp;"%"</f>
      </c>
    </row>
    <row x14ac:dyDescent="0.25" r="310" customHeight="1" ht="17.25">
      <c r="A310" s="17" t="s">
        <v>8672</v>
      </c>
      <c r="B310" s="17" t="s">
        <v>502</v>
      </c>
      <c r="C310" s="17" t="s">
        <v>114</v>
      </c>
      <c r="D310" s="17" t="s">
        <v>39</v>
      </c>
      <c r="E310" s="18">
        <f>ROUND(5592*1.05,2)</f>
      </c>
      <c r="F310" s="17" t="s">
        <v>40</v>
      </c>
      <c r="G310" s="17" t="s">
        <v>24</v>
      </c>
      <c r="H310" s="18">
        <f>ROUND(RAND()*4+6,1)</f>
      </c>
      <c r="I310" s="17" t="s">
        <v>41</v>
      </c>
      <c r="J310" s="19">
        <f>ROUND(96*1,0)&amp;"%"</f>
      </c>
    </row>
    <row x14ac:dyDescent="0.25" r="311" customHeight="1" ht="17.25">
      <c r="A311" s="20" t="s">
        <v>8673</v>
      </c>
      <c r="B311" s="20" t="s">
        <v>504</v>
      </c>
      <c r="C311" s="20" t="s">
        <v>114</v>
      </c>
      <c r="D311" s="20" t="s">
        <v>67</v>
      </c>
      <c r="E311" s="21">
        <f>ROUND(10969*1.05,2)</f>
      </c>
      <c r="F311" s="20" t="s">
        <v>44</v>
      </c>
      <c r="G311" s="20" t="s">
        <v>30</v>
      </c>
      <c r="H311" s="21">
        <f>ROUND(RAND()*4+6,1)</f>
      </c>
      <c r="I311" s="20" t="s">
        <v>45</v>
      </c>
      <c r="J311" s="23">
        <f>ROUND(87*1,0)&amp;"%"</f>
      </c>
    </row>
    <row x14ac:dyDescent="0.25" r="312" customHeight="1" ht="17.25">
      <c r="A312" s="17" t="s">
        <v>8674</v>
      </c>
      <c r="B312" s="17" t="s">
        <v>506</v>
      </c>
      <c r="C312" s="17" t="s">
        <v>114</v>
      </c>
      <c r="D312" s="17" t="s">
        <v>16</v>
      </c>
      <c r="E312" s="18">
        <f>ROUND(9056*1.05,2)</f>
      </c>
      <c r="F312" s="17" t="s">
        <v>48</v>
      </c>
      <c r="G312" s="17" t="s">
        <v>18</v>
      </c>
      <c r="H312" s="18">
        <f>ROUND(RAND()*4+6,1)</f>
      </c>
      <c r="I312" s="17" t="s">
        <v>19</v>
      </c>
      <c r="J312" s="19">
        <f>ROUND(71*1,0)&amp;"%"</f>
      </c>
    </row>
    <row x14ac:dyDescent="0.25" r="313" customHeight="1" ht="17.25">
      <c r="A313" s="20" t="s">
        <v>8675</v>
      </c>
      <c r="B313" s="20" t="s">
        <v>508</v>
      </c>
      <c r="C313" s="20" t="s">
        <v>114</v>
      </c>
      <c r="D313" s="20" t="s">
        <v>22</v>
      </c>
      <c r="E313" s="21">
        <f>ROUND(8772*1.05,2)</f>
      </c>
      <c r="F313" s="20" t="s">
        <v>51</v>
      </c>
      <c r="G313" s="20" t="s">
        <v>24</v>
      </c>
      <c r="H313" s="21">
        <f>ROUND(RAND()*4+6,1)</f>
      </c>
      <c r="I313" s="20" t="s">
        <v>25</v>
      </c>
      <c r="J313" s="23">
        <f>ROUND(78*1,0)&amp;"%"</f>
      </c>
    </row>
    <row x14ac:dyDescent="0.25" r="314" customHeight="1" ht="17.25">
      <c r="A314" s="24" t="s">
        <v>509</v>
      </c>
      <c r="B314" s="24"/>
      <c r="C314" s="24"/>
      <c r="D314" s="24"/>
      <c r="E314" s="25">
        <v>8</v>
      </c>
      <c r="F314" s="9"/>
      <c r="G314" s="9"/>
      <c r="H314" s="31"/>
      <c r="I314" s="9"/>
      <c r="J314" s="9"/>
    </row>
    <row x14ac:dyDescent="0.25" r="315" customHeight="1" ht="17.25">
      <c r="A315" s="7"/>
      <c r="B315" s="7"/>
      <c r="C315" s="7"/>
      <c r="D315" s="7"/>
      <c r="E315" s="8"/>
      <c r="F315" s="9"/>
      <c r="G315" s="9"/>
      <c r="H315" s="31"/>
      <c r="I315" s="9"/>
      <c r="J315" s="9"/>
    </row>
    <row x14ac:dyDescent="0.25" r="316" customHeight="1" ht="17.25">
      <c r="A316" s="11" t="s">
        <v>8676</v>
      </c>
      <c r="B316" s="11"/>
      <c r="C316" s="11"/>
      <c r="D316" s="11"/>
      <c r="E316" s="12"/>
      <c r="F316" s="11"/>
      <c r="G316" s="11"/>
      <c r="H316" s="12"/>
      <c r="I316" s="11"/>
      <c r="J316" s="11"/>
    </row>
    <row x14ac:dyDescent="0.25" r="317" customHeight="1" ht="17.25">
      <c r="A317" s="14" t="s">
        <v>3</v>
      </c>
      <c r="B317" s="14" t="s">
        <v>4</v>
      </c>
      <c r="C317" s="14" t="s">
        <v>5</v>
      </c>
      <c r="D317" s="14" t="s">
        <v>6</v>
      </c>
      <c r="E317" s="15" t="s">
        <v>7</v>
      </c>
      <c r="F317" s="14" t="s">
        <v>8</v>
      </c>
      <c r="G317" s="14" t="s">
        <v>9</v>
      </c>
      <c r="H317" s="15" t="s">
        <v>10</v>
      </c>
      <c r="I317" s="14" t="s">
        <v>11</v>
      </c>
      <c r="J317" s="14" t="s">
        <v>12</v>
      </c>
    </row>
    <row x14ac:dyDescent="0.25" r="318" customHeight="1" ht="17.25">
      <c r="A318" s="17" t="s">
        <v>8677</v>
      </c>
      <c r="B318" s="17" t="s">
        <v>512</v>
      </c>
      <c r="C318" s="17" t="s">
        <v>133</v>
      </c>
      <c r="D318" s="17" t="s">
        <v>16</v>
      </c>
      <c r="E318" s="18">
        <f>ROUND(16523*1.05,2)</f>
      </c>
      <c r="F318" s="17" t="s">
        <v>17</v>
      </c>
      <c r="G318" s="17" t="s">
        <v>18</v>
      </c>
      <c r="H318" s="26">
        <f>ROUND(RAND()*4+6,1)</f>
      </c>
      <c r="I318" s="17" t="s">
        <v>19</v>
      </c>
      <c r="J318" s="19">
        <f>ROUND(74*1,0)&amp;"%"</f>
      </c>
    </row>
    <row x14ac:dyDescent="0.25" r="319" customHeight="1" ht="17.25">
      <c r="A319" s="20" t="s">
        <v>8678</v>
      </c>
      <c r="B319" s="20" t="s">
        <v>514</v>
      </c>
      <c r="C319" s="20" t="s">
        <v>133</v>
      </c>
      <c r="D319" s="20" t="s">
        <v>22</v>
      </c>
      <c r="E319" s="21">
        <f>ROUND(13623*1.05,2)</f>
      </c>
      <c r="F319" s="20" t="s">
        <v>23</v>
      </c>
      <c r="G319" s="20" t="s">
        <v>24</v>
      </c>
      <c r="H319" s="21">
        <f>ROUND(RAND()*4+6,1)</f>
      </c>
      <c r="I319" s="20" t="s">
        <v>25</v>
      </c>
      <c r="J319" s="23">
        <f>ROUND(99*1,0)&amp;"%"</f>
      </c>
    </row>
    <row x14ac:dyDescent="0.25" r="320" customHeight="1" ht="17.25">
      <c r="A320" s="17" t="s">
        <v>8679</v>
      </c>
      <c r="B320" s="17" t="s">
        <v>516</v>
      </c>
      <c r="C320" s="17" t="s">
        <v>133</v>
      </c>
      <c r="D320" s="17" t="s">
        <v>28</v>
      </c>
      <c r="E320" s="18">
        <f>ROUND(12729*1.05,2)</f>
      </c>
      <c r="F320" s="17" t="s">
        <v>29</v>
      </c>
      <c r="G320" s="17" t="s">
        <v>30</v>
      </c>
      <c r="H320" s="26">
        <f>ROUND(RAND()*4+6,1)</f>
      </c>
      <c r="I320" s="17" t="s">
        <v>31</v>
      </c>
      <c r="J320" s="19">
        <f>ROUND(100*1,0)&amp;"%"</f>
      </c>
    </row>
    <row x14ac:dyDescent="0.25" r="321" customHeight="1" ht="17.25">
      <c r="A321" s="20" t="s">
        <v>8680</v>
      </c>
      <c r="B321" s="20" t="s">
        <v>518</v>
      </c>
      <c r="C321" s="20" t="s">
        <v>133</v>
      </c>
      <c r="D321" s="20" t="s">
        <v>34</v>
      </c>
      <c r="E321" s="21">
        <f>ROUND(15087*1.05,2)</f>
      </c>
      <c r="F321" s="20" t="s">
        <v>35</v>
      </c>
      <c r="G321" s="20" t="s">
        <v>18</v>
      </c>
      <c r="H321" s="21">
        <f>ROUND(RAND()*4+6,1)</f>
      </c>
      <c r="I321" s="20" t="s">
        <v>36</v>
      </c>
      <c r="J321" s="23">
        <f>ROUND(99*1,0)&amp;"%"</f>
      </c>
    </row>
    <row x14ac:dyDescent="0.25" r="322" customHeight="1" ht="17.25">
      <c r="A322" s="17" t="s">
        <v>8681</v>
      </c>
      <c r="B322" s="17" t="s">
        <v>520</v>
      </c>
      <c r="C322" s="17" t="s">
        <v>133</v>
      </c>
      <c r="D322" s="17" t="s">
        <v>39</v>
      </c>
      <c r="E322" s="18">
        <f>ROUND(9888*1.05,2)</f>
      </c>
      <c r="F322" s="17" t="s">
        <v>40</v>
      </c>
      <c r="G322" s="17" t="s">
        <v>24</v>
      </c>
      <c r="H322" s="18">
        <f>ROUND(RAND()*4+6,1)</f>
      </c>
      <c r="I322" s="17" t="s">
        <v>41</v>
      </c>
      <c r="J322" s="19">
        <f>ROUND(66*1,0)&amp;"%"</f>
      </c>
    </row>
    <row x14ac:dyDescent="0.25" r="323" customHeight="1" ht="17.25">
      <c r="A323" s="20" t="s">
        <v>8682</v>
      </c>
      <c r="B323" s="20" t="s">
        <v>522</v>
      </c>
      <c r="C323" s="20" t="s">
        <v>133</v>
      </c>
      <c r="D323" s="20" t="s">
        <v>67</v>
      </c>
      <c r="E323" s="21">
        <f>ROUND(11357*1.05,2)</f>
      </c>
      <c r="F323" s="20" t="s">
        <v>44</v>
      </c>
      <c r="G323" s="20" t="s">
        <v>30</v>
      </c>
      <c r="H323" s="21">
        <f>ROUND(RAND()*4+6,1)</f>
      </c>
      <c r="I323" s="20" t="s">
        <v>45</v>
      </c>
      <c r="J323" s="23">
        <f>ROUND(100*1,0)&amp;"%"</f>
      </c>
    </row>
    <row x14ac:dyDescent="0.25" r="324" customHeight="1" ht="17.25">
      <c r="A324" s="17" t="s">
        <v>8683</v>
      </c>
      <c r="B324" s="17" t="s">
        <v>524</v>
      </c>
      <c r="C324" s="17" t="s">
        <v>133</v>
      </c>
      <c r="D324" s="17" t="s">
        <v>16</v>
      </c>
      <c r="E324" s="18">
        <f>ROUND(14171*1.05,2)</f>
      </c>
      <c r="F324" s="17" t="s">
        <v>48</v>
      </c>
      <c r="G324" s="17" t="s">
        <v>18</v>
      </c>
      <c r="H324" s="18">
        <f>ROUND(RAND()*4+6,1)</f>
      </c>
      <c r="I324" s="17" t="s">
        <v>19</v>
      </c>
      <c r="J324" s="19">
        <f>ROUND(74*1,0)&amp;"%"</f>
      </c>
    </row>
    <row x14ac:dyDescent="0.25" r="325" customHeight="1" ht="17.25">
      <c r="A325" s="20" t="s">
        <v>8684</v>
      </c>
      <c r="B325" s="20" t="s">
        <v>526</v>
      </c>
      <c r="C325" s="20" t="s">
        <v>133</v>
      </c>
      <c r="D325" s="20" t="s">
        <v>22</v>
      </c>
      <c r="E325" s="21">
        <f>ROUND(15501*1.05,2)</f>
      </c>
      <c r="F325" s="20" t="s">
        <v>51</v>
      </c>
      <c r="G325" s="20" t="s">
        <v>24</v>
      </c>
      <c r="H325" s="21">
        <f>ROUND(RAND()*4+6,1)</f>
      </c>
      <c r="I325" s="20" t="s">
        <v>25</v>
      </c>
      <c r="J325" s="23">
        <f>ROUND(98*1,0)&amp;"%"</f>
      </c>
    </row>
    <row x14ac:dyDescent="0.25" r="326" customHeight="1" ht="17.25">
      <c r="A326" s="24" t="s">
        <v>527</v>
      </c>
      <c r="B326" s="24"/>
      <c r="C326" s="24"/>
      <c r="D326" s="24"/>
      <c r="E326" s="25">
        <v>8</v>
      </c>
      <c r="F326" s="9"/>
      <c r="G326" s="9"/>
      <c r="H326" s="31"/>
      <c r="I326" s="9"/>
      <c r="J326" s="9"/>
    </row>
    <row x14ac:dyDescent="0.25" r="327" customHeight="1" ht="17.25">
      <c r="A327" s="7"/>
      <c r="B327" s="7"/>
      <c r="C327" s="7"/>
      <c r="D327" s="7"/>
      <c r="E327" s="8"/>
      <c r="F327" s="9"/>
      <c r="G327" s="9"/>
      <c r="H327" s="31"/>
      <c r="I327" s="9"/>
      <c r="J327" s="9"/>
    </row>
    <row x14ac:dyDescent="0.25" r="328" customHeight="1" ht="17.25">
      <c r="A328" s="11" t="s">
        <v>8685</v>
      </c>
      <c r="B328" s="11"/>
      <c r="C328" s="11"/>
      <c r="D328" s="11"/>
      <c r="E328" s="12"/>
      <c r="F328" s="11"/>
      <c r="G328" s="11"/>
      <c r="H328" s="12"/>
      <c r="I328" s="11"/>
      <c r="J328" s="11"/>
    </row>
    <row x14ac:dyDescent="0.25" r="329" customHeight="1" ht="17.25">
      <c r="A329" s="14" t="s">
        <v>3</v>
      </c>
      <c r="B329" s="14" t="s">
        <v>4</v>
      </c>
      <c r="C329" s="14" t="s">
        <v>5</v>
      </c>
      <c r="D329" s="14" t="s">
        <v>6</v>
      </c>
      <c r="E329" s="15" t="s">
        <v>7</v>
      </c>
      <c r="F329" s="14" t="s">
        <v>8</v>
      </c>
      <c r="G329" s="14" t="s">
        <v>9</v>
      </c>
      <c r="H329" s="15" t="s">
        <v>10</v>
      </c>
      <c r="I329" s="14" t="s">
        <v>11</v>
      </c>
      <c r="J329" s="14" t="s">
        <v>12</v>
      </c>
    </row>
    <row x14ac:dyDescent="0.25" r="330" customHeight="1" ht="17.25">
      <c r="A330" s="17" t="s">
        <v>8686</v>
      </c>
      <c r="B330" s="17" t="s">
        <v>530</v>
      </c>
      <c r="C330" s="17" t="s">
        <v>152</v>
      </c>
      <c r="D330" s="17" t="s">
        <v>16</v>
      </c>
      <c r="E330" s="18">
        <f>ROUND(14127*1.05,2)</f>
      </c>
      <c r="F330" s="17" t="s">
        <v>17</v>
      </c>
      <c r="G330" s="17" t="s">
        <v>18</v>
      </c>
      <c r="H330" s="26">
        <f>ROUND(RAND()*4+6,1)</f>
      </c>
      <c r="I330" s="17" t="s">
        <v>19</v>
      </c>
      <c r="J330" s="19">
        <f>ROUND(72*1,0)&amp;"%"</f>
      </c>
    </row>
    <row x14ac:dyDescent="0.25" r="331" customHeight="1" ht="17.25">
      <c r="A331" s="20" t="s">
        <v>8687</v>
      </c>
      <c r="B331" s="20" t="s">
        <v>532</v>
      </c>
      <c r="C331" s="20" t="s">
        <v>152</v>
      </c>
      <c r="D331" s="20" t="s">
        <v>22</v>
      </c>
      <c r="E331" s="21">
        <f>ROUND(17042*1.05,2)</f>
      </c>
      <c r="F331" s="20" t="s">
        <v>23</v>
      </c>
      <c r="G331" s="20" t="s">
        <v>24</v>
      </c>
      <c r="H331" s="21">
        <f>ROUND(RAND()*4+6,1)</f>
      </c>
      <c r="I331" s="20" t="s">
        <v>25</v>
      </c>
      <c r="J331" s="23">
        <f>ROUND(76*1,0)&amp;"%"</f>
      </c>
    </row>
    <row x14ac:dyDescent="0.25" r="332" customHeight="1" ht="17.25">
      <c r="A332" s="17" t="s">
        <v>8688</v>
      </c>
      <c r="B332" s="17" t="s">
        <v>534</v>
      </c>
      <c r="C332" s="17" t="s">
        <v>152</v>
      </c>
      <c r="D332" s="17" t="s">
        <v>28</v>
      </c>
      <c r="E332" s="18">
        <f>ROUND(5079*1.05,2)</f>
      </c>
      <c r="F332" s="17" t="s">
        <v>29</v>
      </c>
      <c r="G332" s="17" t="s">
        <v>30</v>
      </c>
      <c r="H332" s="26">
        <f>ROUND(RAND()*4+6,1)</f>
      </c>
      <c r="I332" s="17" t="s">
        <v>31</v>
      </c>
      <c r="J332" s="19">
        <f>ROUND(93*1,0)&amp;"%"</f>
      </c>
    </row>
    <row x14ac:dyDescent="0.25" r="333" customHeight="1" ht="17.25">
      <c r="A333" s="20" t="s">
        <v>8689</v>
      </c>
      <c r="B333" s="20" t="s">
        <v>536</v>
      </c>
      <c r="C333" s="20" t="s">
        <v>152</v>
      </c>
      <c r="D333" s="20" t="s">
        <v>34</v>
      </c>
      <c r="E333" s="21">
        <f>ROUND(14393*1.05,2)</f>
      </c>
      <c r="F333" s="20" t="s">
        <v>35</v>
      </c>
      <c r="G333" s="20" t="s">
        <v>18</v>
      </c>
      <c r="H333" s="21">
        <f>ROUND(RAND()*4+6,1)</f>
      </c>
      <c r="I333" s="20" t="s">
        <v>36</v>
      </c>
      <c r="J333" s="23">
        <f>ROUND(69*1,0)&amp;"%"</f>
      </c>
    </row>
    <row x14ac:dyDescent="0.25" r="334" customHeight="1" ht="17.25">
      <c r="A334" s="17" t="s">
        <v>8690</v>
      </c>
      <c r="B334" s="17" t="s">
        <v>538</v>
      </c>
      <c r="C334" s="17" t="s">
        <v>152</v>
      </c>
      <c r="D334" s="17" t="s">
        <v>39</v>
      </c>
      <c r="E334" s="18">
        <f>ROUND(8092*1.05,2)</f>
      </c>
      <c r="F334" s="17" t="s">
        <v>40</v>
      </c>
      <c r="G334" s="17" t="s">
        <v>24</v>
      </c>
      <c r="H334" s="18">
        <f>ROUND(RAND()*4+6,1)</f>
      </c>
      <c r="I334" s="17" t="s">
        <v>41</v>
      </c>
      <c r="J334" s="19">
        <f>ROUND(73*1,0)&amp;"%"</f>
      </c>
    </row>
    <row x14ac:dyDescent="0.25" r="335" customHeight="1" ht="17.25">
      <c r="A335" s="20" t="s">
        <v>8691</v>
      </c>
      <c r="B335" s="20" t="s">
        <v>540</v>
      </c>
      <c r="C335" s="20" t="s">
        <v>152</v>
      </c>
      <c r="D335" s="20" t="s">
        <v>67</v>
      </c>
      <c r="E335" s="21">
        <f>ROUND(16208*1.05,2)</f>
      </c>
      <c r="F335" s="20" t="s">
        <v>44</v>
      </c>
      <c r="G335" s="20" t="s">
        <v>30</v>
      </c>
      <c r="H335" s="21">
        <f>ROUND(RAND()*4+6,1)</f>
      </c>
      <c r="I335" s="20" t="s">
        <v>45</v>
      </c>
      <c r="J335" s="23">
        <f>ROUND(74*1,0)&amp;"%"</f>
      </c>
    </row>
    <row x14ac:dyDescent="0.25" r="336" customHeight="1" ht="17.25">
      <c r="A336" s="17" t="s">
        <v>8692</v>
      </c>
      <c r="B336" s="17" t="s">
        <v>542</v>
      </c>
      <c r="C336" s="17" t="s">
        <v>152</v>
      </c>
      <c r="D336" s="17" t="s">
        <v>16</v>
      </c>
      <c r="E336" s="18">
        <f>ROUND(8884*1.05,2)</f>
      </c>
      <c r="F336" s="17" t="s">
        <v>48</v>
      </c>
      <c r="G336" s="17" t="s">
        <v>18</v>
      </c>
      <c r="H336" s="26">
        <f>ROUND(RAND()*4+6,1)</f>
      </c>
      <c r="I336" s="17" t="s">
        <v>19</v>
      </c>
      <c r="J336" s="19">
        <f>ROUND(83*1,0)&amp;"%"</f>
      </c>
    </row>
    <row x14ac:dyDescent="0.25" r="337" customHeight="1" ht="17.25">
      <c r="A337" s="20" t="s">
        <v>8693</v>
      </c>
      <c r="B337" s="20" t="s">
        <v>544</v>
      </c>
      <c r="C337" s="20" t="s">
        <v>152</v>
      </c>
      <c r="D337" s="20" t="s">
        <v>22</v>
      </c>
      <c r="E337" s="21">
        <f>ROUND(14688*1.05,2)</f>
      </c>
      <c r="F337" s="20" t="s">
        <v>51</v>
      </c>
      <c r="G337" s="20" t="s">
        <v>24</v>
      </c>
      <c r="H337" s="21">
        <f>ROUND(RAND()*4+6,1)</f>
      </c>
      <c r="I337" s="20" t="s">
        <v>25</v>
      </c>
      <c r="J337" s="23">
        <f>ROUND(71*1,0)&amp;"%"</f>
      </c>
    </row>
    <row x14ac:dyDescent="0.25" r="338" customHeight="1" ht="17.25">
      <c r="A338" s="24" t="s">
        <v>545</v>
      </c>
      <c r="B338" s="24"/>
      <c r="C338" s="24"/>
      <c r="D338" s="24"/>
      <c r="E338" s="25">
        <v>8</v>
      </c>
      <c r="F338" s="9"/>
      <c r="G338" s="9"/>
      <c r="H338" s="31"/>
      <c r="I338" s="9"/>
      <c r="J338" s="9"/>
    </row>
    <row x14ac:dyDescent="0.25" r="339" customHeight="1" ht="17.25">
      <c r="A339" s="7"/>
      <c r="B339" s="7"/>
      <c r="C339" s="7"/>
      <c r="D339" s="7"/>
      <c r="E339" s="8"/>
      <c r="F339" s="9"/>
      <c r="G339" s="9"/>
      <c r="H339" s="31"/>
      <c r="I339" s="9"/>
      <c r="J339" s="9"/>
    </row>
    <row x14ac:dyDescent="0.25" r="340" customHeight="1" ht="17.25">
      <c r="A340" s="11" t="s">
        <v>8694</v>
      </c>
      <c r="B340" s="11"/>
      <c r="C340" s="11"/>
      <c r="D340" s="11"/>
      <c r="E340" s="12"/>
      <c r="F340" s="11"/>
      <c r="G340" s="11"/>
      <c r="H340" s="12"/>
      <c r="I340" s="11"/>
      <c r="J340" s="11"/>
    </row>
    <row x14ac:dyDescent="0.25" r="341" customHeight="1" ht="17.25">
      <c r="A341" s="14" t="s">
        <v>3</v>
      </c>
      <c r="B341" s="14" t="s">
        <v>4</v>
      </c>
      <c r="C341" s="14" t="s">
        <v>5</v>
      </c>
      <c r="D341" s="14" t="s">
        <v>6</v>
      </c>
      <c r="E341" s="15" t="s">
        <v>7</v>
      </c>
      <c r="F341" s="14" t="s">
        <v>8</v>
      </c>
      <c r="G341" s="14" t="s">
        <v>9</v>
      </c>
      <c r="H341" s="15" t="s">
        <v>10</v>
      </c>
      <c r="I341" s="14" t="s">
        <v>11</v>
      </c>
      <c r="J341" s="14" t="s">
        <v>12</v>
      </c>
    </row>
    <row x14ac:dyDescent="0.25" r="342" customHeight="1" ht="17.25">
      <c r="A342" s="17" t="s">
        <v>8695</v>
      </c>
      <c r="B342" s="17" t="s">
        <v>548</v>
      </c>
      <c r="C342" s="17" t="s">
        <v>15</v>
      </c>
      <c r="D342" s="17" t="s">
        <v>16</v>
      </c>
      <c r="E342" s="18">
        <f>ROUND(4286*1.05,2)</f>
      </c>
      <c r="F342" s="17" t="s">
        <v>17</v>
      </c>
      <c r="G342" s="17" t="s">
        <v>18</v>
      </c>
      <c r="H342" s="26">
        <f>ROUND(RAND()*4+6,1)</f>
      </c>
      <c r="I342" s="17" t="s">
        <v>19</v>
      </c>
      <c r="J342" s="19">
        <f>ROUND(60*1,0)&amp;"%"</f>
      </c>
    </row>
    <row x14ac:dyDescent="0.25" r="343" customHeight="1" ht="17.25">
      <c r="A343" s="20" t="s">
        <v>8696</v>
      </c>
      <c r="B343" s="20" t="s">
        <v>550</v>
      </c>
      <c r="C343" s="20" t="s">
        <v>15</v>
      </c>
      <c r="D343" s="20" t="s">
        <v>22</v>
      </c>
      <c r="E343" s="21">
        <f>ROUND(13204*1.05,2)</f>
      </c>
      <c r="F343" s="20" t="s">
        <v>23</v>
      </c>
      <c r="G343" s="20" t="s">
        <v>24</v>
      </c>
      <c r="H343" s="21">
        <f>ROUND(RAND()*4+6,1)</f>
      </c>
      <c r="I343" s="20" t="s">
        <v>25</v>
      </c>
      <c r="J343" s="23">
        <f>ROUND(95*1,0)&amp;"%"</f>
      </c>
    </row>
    <row x14ac:dyDescent="0.25" r="344" customHeight="1" ht="17.25">
      <c r="A344" s="17" t="s">
        <v>8697</v>
      </c>
      <c r="B344" s="17" t="s">
        <v>552</v>
      </c>
      <c r="C344" s="17" t="s">
        <v>15</v>
      </c>
      <c r="D344" s="17" t="s">
        <v>28</v>
      </c>
      <c r="E344" s="18">
        <f>ROUND(7073*1.05,2)</f>
      </c>
      <c r="F344" s="17" t="s">
        <v>29</v>
      </c>
      <c r="G344" s="17" t="s">
        <v>30</v>
      </c>
      <c r="H344" s="18">
        <f>ROUND(RAND()*4+6,1)</f>
      </c>
      <c r="I344" s="17" t="s">
        <v>31</v>
      </c>
      <c r="J344" s="19">
        <f>ROUND(66*1,0)&amp;"%"</f>
      </c>
    </row>
    <row x14ac:dyDescent="0.25" r="345" customHeight="1" ht="17.25">
      <c r="A345" s="20" t="s">
        <v>8698</v>
      </c>
      <c r="B345" s="20" t="s">
        <v>554</v>
      </c>
      <c r="C345" s="20" t="s">
        <v>15</v>
      </c>
      <c r="D345" s="20" t="s">
        <v>34</v>
      </c>
      <c r="E345" s="21">
        <f>ROUND(13346*1.05,2)</f>
      </c>
      <c r="F345" s="20" t="s">
        <v>35</v>
      </c>
      <c r="G345" s="20" t="s">
        <v>18</v>
      </c>
      <c r="H345" s="21">
        <f>ROUND(RAND()*4+6,1)</f>
      </c>
      <c r="I345" s="20" t="s">
        <v>36</v>
      </c>
      <c r="J345" s="23">
        <f>ROUND(69*1,0)&amp;"%"</f>
      </c>
    </row>
    <row x14ac:dyDescent="0.25" r="346" customHeight="1" ht="17.25">
      <c r="A346" s="17" t="s">
        <v>8699</v>
      </c>
      <c r="B346" s="17" t="s">
        <v>556</v>
      </c>
      <c r="C346" s="17" t="s">
        <v>15</v>
      </c>
      <c r="D346" s="17" t="s">
        <v>39</v>
      </c>
      <c r="E346" s="18">
        <f>ROUND(4526*1.05,2)</f>
      </c>
      <c r="F346" s="17" t="s">
        <v>40</v>
      </c>
      <c r="G346" s="17" t="s">
        <v>24</v>
      </c>
      <c r="H346" s="18">
        <f>ROUND(RAND()*4+6,1)</f>
      </c>
      <c r="I346" s="17" t="s">
        <v>41</v>
      </c>
      <c r="J346" s="19">
        <f>ROUND(64*1,0)&amp;"%"</f>
      </c>
    </row>
    <row x14ac:dyDescent="0.25" r="347" customHeight="1" ht="17.25">
      <c r="A347" s="20" t="s">
        <v>8700</v>
      </c>
      <c r="B347" s="20" t="s">
        <v>558</v>
      </c>
      <c r="C347" s="20" t="s">
        <v>15</v>
      </c>
      <c r="D347" s="20" t="s">
        <v>67</v>
      </c>
      <c r="E347" s="21">
        <f>ROUND(12470*1.05,2)</f>
      </c>
      <c r="F347" s="20" t="s">
        <v>44</v>
      </c>
      <c r="G347" s="20" t="s">
        <v>30</v>
      </c>
      <c r="H347" s="21">
        <f>ROUND(RAND()*4+6,1)</f>
      </c>
      <c r="I347" s="20" t="s">
        <v>45</v>
      </c>
      <c r="J347" s="23">
        <f>ROUND(95*1,0)&amp;"%"</f>
      </c>
    </row>
    <row x14ac:dyDescent="0.25" r="348" customHeight="1" ht="17.25">
      <c r="A348" s="17" t="s">
        <v>8701</v>
      </c>
      <c r="B348" s="17" t="s">
        <v>560</v>
      </c>
      <c r="C348" s="17" t="s">
        <v>15</v>
      </c>
      <c r="D348" s="17" t="s">
        <v>16</v>
      </c>
      <c r="E348" s="18">
        <f>ROUND(16176*1.05,2)</f>
      </c>
      <c r="F348" s="17" t="s">
        <v>48</v>
      </c>
      <c r="G348" s="17" t="s">
        <v>18</v>
      </c>
      <c r="H348" s="26">
        <f>ROUND(RAND()*4+6,1)</f>
      </c>
      <c r="I348" s="17" t="s">
        <v>19</v>
      </c>
      <c r="J348" s="19">
        <f>ROUND(66*1,0)&amp;"%"</f>
      </c>
    </row>
    <row x14ac:dyDescent="0.25" r="349" customHeight="1" ht="17.25">
      <c r="A349" s="20" t="s">
        <v>8702</v>
      </c>
      <c r="B349" s="20" t="s">
        <v>562</v>
      </c>
      <c r="C349" s="20" t="s">
        <v>15</v>
      </c>
      <c r="D349" s="20" t="s">
        <v>22</v>
      </c>
      <c r="E349" s="21">
        <f>ROUND(10328*1.05,2)</f>
      </c>
      <c r="F349" s="20" t="s">
        <v>51</v>
      </c>
      <c r="G349" s="20" t="s">
        <v>24</v>
      </c>
      <c r="H349" s="21">
        <f>ROUND(RAND()*4+6,1)</f>
      </c>
      <c r="I349" s="20" t="s">
        <v>25</v>
      </c>
      <c r="J349" s="23">
        <f>ROUND(86*1,0)&amp;"%"</f>
      </c>
    </row>
    <row x14ac:dyDescent="0.25" r="350" customHeight="1" ht="17.25">
      <c r="A350" s="24" t="s">
        <v>563</v>
      </c>
      <c r="B350" s="24"/>
      <c r="C350" s="24"/>
      <c r="D350" s="24"/>
      <c r="E350" s="25">
        <v>8</v>
      </c>
      <c r="F350" s="9"/>
      <c r="G350" s="9"/>
      <c r="H350" s="31"/>
      <c r="I350" s="9"/>
      <c r="J350" s="9"/>
    </row>
    <row x14ac:dyDescent="0.25" r="351" customHeight="1" ht="17.25">
      <c r="A351" s="7"/>
      <c r="B351" s="7"/>
      <c r="C351" s="7"/>
      <c r="D351" s="7"/>
      <c r="E351" s="8"/>
      <c r="F351" s="9"/>
      <c r="G351" s="9"/>
      <c r="H351" s="31"/>
      <c r="I351" s="9"/>
      <c r="J351" s="9"/>
    </row>
    <row x14ac:dyDescent="0.25" r="352" customHeight="1" ht="17.25">
      <c r="A352" s="11" t="s">
        <v>8703</v>
      </c>
      <c r="B352" s="11"/>
      <c r="C352" s="11"/>
      <c r="D352" s="11"/>
      <c r="E352" s="12"/>
      <c r="F352" s="11"/>
      <c r="G352" s="11"/>
      <c r="H352" s="12"/>
      <c r="I352" s="11"/>
      <c r="J352" s="11"/>
    </row>
    <row x14ac:dyDescent="0.25" r="353" customHeight="1" ht="17.25">
      <c r="A353" s="14" t="s">
        <v>3</v>
      </c>
      <c r="B353" s="14" t="s">
        <v>4</v>
      </c>
      <c r="C353" s="14" t="s">
        <v>5</v>
      </c>
      <c r="D353" s="14" t="s">
        <v>6</v>
      </c>
      <c r="E353" s="15" t="s">
        <v>7</v>
      </c>
      <c r="F353" s="14" t="s">
        <v>8</v>
      </c>
      <c r="G353" s="14" t="s">
        <v>9</v>
      </c>
      <c r="H353" s="15" t="s">
        <v>10</v>
      </c>
      <c r="I353" s="14" t="s">
        <v>11</v>
      </c>
      <c r="J353" s="14" t="s">
        <v>12</v>
      </c>
    </row>
    <row x14ac:dyDescent="0.25" r="354" customHeight="1" ht="17.25">
      <c r="A354" s="17" t="s">
        <v>8704</v>
      </c>
      <c r="B354" s="17" t="s">
        <v>566</v>
      </c>
      <c r="C354" s="17" t="s">
        <v>56</v>
      </c>
      <c r="D354" s="17" t="s">
        <v>16</v>
      </c>
      <c r="E354" s="18">
        <f>ROUND(7276*1.05,2)</f>
      </c>
      <c r="F354" s="17" t="s">
        <v>17</v>
      </c>
      <c r="G354" s="17" t="s">
        <v>18</v>
      </c>
      <c r="H354" s="18">
        <f>ROUND(RAND()*4+6,1)</f>
      </c>
      <c r="I354" s="17" t="s">
        <v>19</v>
      </c>
      <c r="J354" s="19">
        <f>ROUND(78*1,0)&amp;"%"</f>
      </c>
    </row>
    <row x14ac:dyDescent="0.25" r="355" customHeight="1" ht="17.25">
      <c r="A355" s="20" t="s">
        <v>8705</v>
      </c>
      <c r="B355" s="20" t="s">
        <v>568</v>
      </c>
      <c r="C355" s="20" t="s">
        <v>56</v>
      </c>
      <c r="D355" s="20" t="s">
        <v>22</v>
      </c>
      <c r="E355" s="21">
        <f>ROUND(6117*1.05,2)</f>
      </c>
      <c r="F355" s="20" t="s">
        <v>23</v>
      </c>
      <c r="G355" s="20" t="s">
        <v>24</v>
      </c>
      <c r="H355" s="21">
        <f>ROUND(RAND()*4+6,1)</f>
      </c>
      <c r="I355" s="20" t="s">
        <v>25</v>
      </c>
      <c r="J355" s="23">
        <f>ROUND(73*1,0)&amp;"%"</f>
      </c>
    </row>
    <row x14ac:dyDescent="0.25" r="356" customHeight="1" ht="17.25">
      <c r="A356" s="17" t="s">
        <v>8706</v>
      </c>
      <c r="B356" s="17" t="s">
        <v>570</v>
      </c>
      <c r="C356" s="17" t="s">
        <v>56</v>
      </c>
      <c r="D356" s="17" t="s">
        <v>28</v>
      </c>
      <c r="E356" s="26">
        <f>ROUND(6040*1.05,2)</f>
      </c>
      <c r="F356" s="17" t="s">
        <v>29</v>
      </c>
      <c r="G356" s="17" t="s">
        <v>30</v>
      </c>
      <c r="H356" s="18">
        <f>ROUND(RAND()*4+6,1)</f>
      </c>
      <c r="I356" s="17" t="s">
        <v>31</v>
      </c>
      <c r="J356" s="19">
        <f>ROUND(71*1,0)&amp;"%"</f>
      </c>
    </row>
    <row x14ac:dyDescent="0.25" r="357" customHeight="1" ht="17.25">
      <c r="A357" s="20" t="s">
        <v>8707</v>
      </c>
      <c r="B357" s="20" t="s">
        <v>572</v>
      </c>
      <c r="C357" s="20" t="s">
        <v>56</v>
      </c>
      <c r="D357" s="20" t="s">
        <v>34</v>
      </c>
      <c r="E357" s="21">
        <f>ROUND(9821*1.05,2)</f>
      </c>
      <c r="F357" s="20" t="s">
        <v>35</v>
      </c>
      <c r="G357" s="20" t="s">
        <v>18</v>
      </c>
      <c r="H357" s="22">
        <f>ROUND(RAND()*4+6,1)</f>
      </c>
      <c r="I357" s="20" t="s">
        <v>36</v>
      </c>
      <c r="J357" s="23">
        <f>ROUND(91*1,0)&amp;"%"</f>
      </c>
    </row>
    <row x14ac:dyDescent="0.25" r="358" customHeight="1" ht="17.25">
      <c r="A358" s="17" t="s">
        <v>8708</v>
      </c>
      <c r="B358" s="17" t="s">
        <v>574</v>
      </c>
      <c r="C358" s="17" t="s">
        <v>56</v>
      </c>
      <c r="D358" s="17" t="s">
        <v>39</v>
      </c>
      <c r="E358" s="18">
        <f>ROUND(15358*1.05,2)</f>
      </c>
      <c r="F358" s="17" t="s">
        <v>40</v>
      </c>
      <c r="G358" s="17" t="s">
        <v>24</v>
      </c>
      <c r="H358" s="18">
        <f>ROUND(RAND()*4+6,1)</f>
      </c>
      <c r="I358" s="17" t="s">
        <v>41</v>
      </c>
      <c r="J358" s="19">
        <f>ROUND(84*1,0)&amp;"%"</f>
      </c>
    </row>
    <row x14ac:dyDescent="0.25" r="359" customHeight="1" ht="17.25">
      <c r="A359" s="20" t="s">
        <v>8709</v>
      </c>
      <c r="B359" s="20" t="s">
        <v>576</v>
      </c>
      <c r="C359" s="20" t="s">
        <v>56</v>
      </c>
      <c r="D359" s="20" t="s">
        <v>67</v>
      </c>
      <c r="E359" s="21">
        <f>ROUND(16818*1.05,2)</f>
      </c>
      <c r="F359" s="20" t="s">
        <v>44</v>
      </c>
      <c r="G359" s="20" t="s">
        <v>30</v>
      </c>
      <c r="H359" s="21">
        <f>ROUND(RAND()*4+6,1)</f>
      </c>
      <c r="I359" s="20" t="s">
        <v>45</v>
      </c>
      <c r="J359" s="23">
        <f>ROUND(100*1,0)&amp;"%"</f>
      </c>
    </row>
    <row x14ac:dyDescent="0.25" r="360" customHeight="1" ht="17.25">
      <c r="A360" s="17" t="s">
        <v>8710</v>
      </c>
      <c r="B360" s="17" t="s">
        <v>578</v>
      </c>
      <c r="C360" s="17" t="s">
        <v>56</v>
      </c>
      <c r="D360" s="17" t="s">
        <v>16</v>
      </c>
      <c r="E360" s="18">
        <f>ROUND(16822*1.05,2)</f>
      </c>
      <c r="F360" s="17" t="s">
        <v>48</v>
      </c>
      <c r="G360" s="17" t="s">
        <v>18</v>
      </c>
      <c r="H360" s="18">
        <f>ROUND(RAND()*4+6,1)</f>
      </c>
      <c r="I360" s="17" t="s">
        <v>19</v>
      </c>
      <c r="J360" s="19">
        <f>ROUND(95*1,0)&amp;"%"</f>
      </c>
    </row>
    <row x14ac:dyDescent="0.25" r="361" customHeight="1" ht="17.25">
      <c r="A361" s="20" t="s">
        <v>8711</v>
      </c>
      <c r="B361" s="20" t="s">
        <v>580</v>
      </c>
      <c r="C361" s="20" t="s">
        <v>56</v>
      </c>
      <c r="D361" s="20" t="s">
        <v>22</v>
      </c>
      <c r="E361" s="21">
        <f>ROUND(15415*1.05,2)</f>
      </c>
      <c r="F361" s="20" t="s">
        <v>51</v>
      </c>
      <c r="G361" s="20" t="s">
        <v>24</v>
      </c>
      <c r="H361" s="22">
        <f>ROUND(RAND()*4+6,1)</f>
      </c>
      <c r="I361" s="20" t="s">
        <v>25</v>
      </c>
      <c r="J361" s="23">
        <f>ROUND(84*1,0)&amp;"%"</f>
      </c>
    </row>
    <row x14ac:dyDescent="0.25" r="362" customHeight="1" ht="17.25">
      <c r="A362" s="24" t="s">
        <v>581</v>
      </c>
      <c r="B362" s="24"/>
      <c r="C362" s="24"/>
      <c r="D362" s="24"/>
      <c r="E362" s="25">
        <v>8</v>
      </c>
      <c r="F362" s="9"/>
      <c r="G362" s="9"/>
      <c r="H362" s="31"/>
      <c r="I362" s="9"/>
      <c r="J362" s="9"/>
    </row>
  </sheetData>
  <mergeCells count="62">
    <mergeCell ref="A1:J1"/>
    <mergeCell ref="A2:J2"/>
    <mergeCell ref="A4:J4"/>
    <mergeCell ref="A14:D14"/>
    <mergeCell ref="A16:J16"/>
    <mergeCell ref="A26:D26"/>
    <mergeCell ref="A28:J28"/>
    <mergeCell ref="A38:D38"/>
    <mergeCell ref="A40:J40"/>
    <mergeCell ref="A50:D50"/>
    <mergeCell ref="A52:J52"/>
    <mergeCell ref="A62:D62"/>
    <mergeCell ref="A64:J64"/>
    <mergeCell ref="A74:D74"/>
    <mergeCell ref="A76:J76"/>
    <mergeCell ref="A86:D86"/>
    <mergeCell ref="A88:J88"/>
    <mergeCell ref="A98:D98"/>
    <mergeCell ref="A100:J100"/>
    <mergeCell ref="A110:D110"/>
    <mergeCell ref="A112:J112"/>
    <mergeCell ref="A122:D122"/>
    <mergeCell ref="A124:J124"/>
    <mergeCell ref="A134:D134"/>
    <mergeCell ref="A136:J136"/>
    <mergeCell ref="A146:D146"/>
    <mergeCell ref="A148:J148"/>
    <mergeCell ref="A158:D158"/>
    <mergeCell ref="A160:J160"/>
    <mergeCell ref="A170:D170"/>
    <mergeCell ref="A172:J172"/>
    <mergeCell ref="A182:D182"/>
    <mergeCell ref="A184:J184"/>
    <mergeCell ref="A194:D194"/>
    <mergeCell ref="A196:J196"/>
    <mergeCell ref="A206:D206"/>
    <mergeCell ref="A208:J208"/>
    <mergeCell ref="A218:D218"/>
    <mergeCell ref="A220:J220"/>
    <mergeCell ref="A230:D230"/>
    <mergeCell ref="A232:J232"/>
    <mergeCell ref="A242:D242"/>
    <mergeCell ref="A244:J244"/>
    <mergeCell ref="A254:D254"/>
    <mergeCell ref="A256:J256"/>
    <mergeCell ref="A266:D266"/>
    <mergeCell ref="A268:J268"/>
    <mergeCell ref="A278:D278"/>
    <mergeCell ref="A280:J280"/>
    <mergeCell ref="A290:D290"/>
    <mergeCell ref="A292:J292"/>
    <mergeCell ref="A302:D302"/>
    <mergeCell ref="A304:J304"/>
    <mergeCell ref="A314:D314"/>
    <mergeCell ref="A316:J316"/>
    <mergeCell ref="A326:D326"/>
    <mergeCell ref="A328:J328"/>
    <mergeCell ref="A338:D338"/>
    <mergeCell ref="A340:J340"/>
    <mergeCell ref="A350:D350"/>
    <mergeCell ref="A352:J352"/>
    <mergeCell ref="A362:D362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J362"/>
  <sheetViews>
    <sheetView workbookViewId="0"/>
  </sheetViews>
  <sheetFormatPr defaultRowHeight="15" x14ac:dyDescent="0.25"/>
  <cols>
    <col min="1" max="1" style="27" width="8.005" customWidth="1" bestFit="1"/>
    <col min="2" max="2" style="27" width="22.005" customWidth="1" bestFit="1"/>
    <col min="3" max="3" style="27" width="16.005" customWidth="1" bestFit="1"/>
    <col min="4" max="4" style="27" width="14.005" customWidth="1" bestFit="1"/>
    <col min="5" max="5" style="28" width="12.005" customWidth="1" bestFit="1"/>
    <col min="6" max="6" style="29" width="16.005" customWidth="1" bestFit="1"/>
    <col min="7" max="7" style="29" width="10.005" customWidth="1" bestFit="1"/>
    <col min="8" max="8" style="30" width="10.005" customWidth="1" bestFit="1"/>
    <col min="9" max="9" style="29" width="14.005" customWidth="1" bestFit="1"/>
    <col min="10" max="10" style="29" width="8.005" customWidth="1" bestFit="1"/>
  </cols>
  <sheetData>
    <row x14ac:dyDescent="0.25" r="1" customHeight="1" ht="17.25">
      <c r="A1" s="1" t="s">
        <v>8170</v>
      </c>
      <c r="B1" s="1"/>
      <c r="C1" s="1"/>
      <c r="D1" s="1"/>
      <c r="E1" s="2"/>
      <c r="F1" s="1"/>
      <c r="G1" s="1"/>
      <c r="H1" s="3"/>
      <c r="I1" s="1"/>
      <c r="J1" s="1"/>
    </row>
    <row x14ac:dyDescent="0.25" r="2" customHeight="1" ht="17.25">
      <c r="A2" s="4" t="s">
        <v>1</v>
      </c>
      <c r="B2" s="4"/>
      <c r="C2" s="4"/>
      <c r="D2" s="4"/>
      <c r="E2" s="5"/>
      <c r="F2" s="4"/>
      <c r="G2" s="4"/>
      <c r="H2" s="6"/>
      <c r="I2" s="4"/>
      <c r="J2" s="4"/>
    </row>
    <row x14ac:dyDescent="0.25" r="3" customHeight="1" ht="17.25">
      <c r="A3" s="7"/>
      <c r="B3" s="7"/>
      <c r="C3" s="7"/>
      <c r="D3" s="7"/>
      <c r="E3" s="8"/>
      <c r="F3" s="9"/>
      <c r="G3" s="9"/>
      <c r="H3" s="10"/>
      <c r="I3" s="9"/>
      <c r="J3" s="9"/>
    </row>
    <row x14ac:dyDescent="0.25" r="4" customHeight="1" ht="17.25">
      <c r="A4" s="11" t="s">
        <v>8171</v>
      </c>
      <c r="B4" s="11"/>
      <c r="C4" s="11"/>
      <c r="D4" s="11"/>
      <c r="E4" s="12"/>
      <c r="F4" s="11"/>
      <c r="G4" s="11"/>
      <c r="H4" s="13"/>
      <c r="I4" s="11"/>
      <c r="J4" s="11"/>
    </row>
    <row x14ac:dyDescent="0.25" r="5" customHeight="1" ht="17.25">
      <c r="A5" s="14" t="s">
        <v>3</v>
      </c>
      <c r="B5" s="14" t="s">
        <v>4</v>
      </c>
      <c r="C5" s="14" t="s">
        <v>5</v>
      </c>
      <c r="D5" s="14" t="s">
        <v>6</v>
      </c>
      <c r="E5" s="15" t="s">
        <v>7</v>
      </c>
      <c r="F5" s="14" t="s">
        <v>8</v>
      </c>
      <c r="G5" s="14" t="s">
        <v>9</v>
      </c>
      <c r="H5" s="16" t="s">
        <v>10</v>
      </c>
      <c r="I5" s="14" t="s">
        <v>11</v>
      </c>
      <c r="J5" s="14" t="s">
        <v>12</v>
      </c>
    </row>
    <row x14ac:dyDescent="0.25" r="6" customHeight="1" ht="17.25">
      <c r="A6" s="17" t="s">
        <v>8172</v>
      </c>
      <c r="B6" s="17" t="s">
        <v>14</v>
      </c>
      <c r="C6" s="17" t="s">
        <v>15</v>
      </c>
      <c r="D6" s="17" t="s">
        <v>16</v>
      </c>
      <c r="E6" s="18">
        <f>ROUND(14906*1.05,2)</f>
      </c>
      <c r="F6" s="17" t="s">
        <v>17</v>
      </c>
      <c r="G6" s="17" t="s">
        <v>18</v>
      </c>
      <c r="H6" s="18">
        <f>ROUND(RAND()*4+6,1)</f>
      </c>
      <c r="I6" s="17" t="s">
        <v>19</v>
      </c>
      <c r="J6" s="19">
        <f>ROUND(66*1,0)&amp;"%"</f>
      </c>
    </row>
    <row x14ac:dyDescent="0.25" r="7" customHeight="1" ht="17.25">
      <c r="A7" s="20" t="s">
        <v>8173</v>
      </c>
      <c r="B7" s="20" t="s">
        <v>21</v>
      </c>
      <c r="C7" s="20" t="s">
        <v>15</v>
      </c>
      <c r="D7" s="20" t="s">
        <v>22</v>
      </c>
      <c r="E7" s="21">
        <f>ROUND(11877*1.05,2)</f>
      </c>
      <c r="F7" s="20" t="s">
        <v>23</v>
      </c>
      <c r="G7" s="20" t="s">
        <v>24</v>
      </c>
      <c r="H7" s="21">
        <f>ROUND(RAND()*4+6,1)</f>
      </c>
      <c r="I7" s="20" t="s">
        <v>25</v>
      </c>
      <c r="J7" s="23">
        <f>ROUND(61*1,0)&amp;"%"</f>
      </c>
    </row>
    <row x14ac:dyDescent="0.25" r="8" customHeight="1" ht="17.25">
      <c r="A8" s="17" t="s">
        <v>8174</v>
      </c>
      <c r="B8" s="17" t="s">
        <v>27</v>
      </c>
      <c r="C8" s="17" t="s">
        <v>15</v>
      </c>
      <c r="D8" s="17" t="s">
        <v>28</v>
      </c>
      <c r="E8" s="18">
        <f>ROUND(12493*1.05,2)</f>
      </c>
      <c r="F8" s="17" t="s">
        <v>29</v>
      </c>
      <c r="G8" s="17" t="s">
        <v>30</v>
      </c>
      <c r="H8" s="18">
        <f>ROUND(RAND()*4+6,1)</f>
      </c>
      <c r="I8" s="17" t="s">
        <v>31</v>
      </c>
      <c r="J8" s="19">
        <f>ROUND(75*1,0)&amp;"%"</f>
      </c>
    </row>
    <row x14ac:dyDescent="0.25" r="9" customHeight="1" ht="17.25">
      <c r="A9" s="20" t="s">
        <v>8175</v>
      </c>
      <c r="B9" s="20" t="s">
        <v>33</v>
      </c>
      <c r="C9" s="20" t="s">
        <v>15</v>
      </c>
      <c r="D9" s="20" t="s">
        <v>34</v>
      </c>
      <c r="E9" s="21">
        <f>ROUND(5439*1.05,2)</f>
      </c>
      <c r="F9" s="20" t="s">
        <v>35</v>
      </c>
      <c r="G9" s="20" t="s">
        <v>18</v>
      </c>
      <c r="H9" s="21">
        <f>ROUND(RAND()*4+6,1)</f>
      </c>
      <c r="I9" s="20" t="s">
        <v>36</v>
      </c>
      <c r="J9" s="23">
        <f>ROUND(76*1,0)&amp;"%"</f>
      </c>
    </row>
    <row x14ac:dyDescent="0.25" r="10" customHeight="1" ht="17.25">
      <c r="A10" s="17" t="s">
        <v>8176</v>
      </c>
      <c r="B10" s="17" t="s">
        <v>38</v>
      </c>
      <c r="C10" s="17" t="s">
        <v>15</v>
      </c>
      <c r="D10" s="17" t="s">
        <v>39</v>
      </c>
      <c r="E10" s="18">
        <f>ROUND(15625*1.05,2)</f>
      </c>
      <c r="F10" s="17" t="s">
        <v>40</v>
      </c>
      <c r="G10" s="17" t="s">
        <v>24</v>
      </c>
      <c r="H10" s="18">
        <f>ROUND(RAND()*4+6,1)</f>
      </c>
      <c r="I10" s="17" t="s">
        <v>41</v>
      </c>
      <c r="J10" s="19">
        <f>ROUND(93*1,0)&amp;"%"</f>
      </c>
    </row>
    <row x14ac:dyDescent="0.25" r="11" customHeight="1" ht="17.25">
      <c r="A11" s="20" t="s">
        <v>8177</v>
      </c>
      <c r="B11" s="20" t="s">
        <v>43</v>
      </c>
      <c r="C11" s="20" t="s">
        <v>15</v>
      </c>
      <c r="D11" s="20" t="s">
        <v>67</v>
      </c>
      <c r="E11" s="22">
        <f>ROUND(5360*1.05,2)</f>
      </c>
      <c r="F11" s="20" t="s">
        <v>44</v>
      </c>
      <c r="G11" s="20" t="s">
        <v>30</v>
      </c>
      <c r="H11" s="21">
        <f>ROUND(RAND()*4+6,1)</f>
      </c>
      <c r="I11" s="20" t="s">
        <v>45</v>
      </c>
      <c r="J11" s="23">
        <f>ROUND(67*1,0)&amp;"%"</f>
      </c>
    </row>
    <row x14ac:dyDescent="0.25" r="12" customHeight="1" ht="17.25">
      <c r="A12" s="17" t="s">
        <v>8178</v>
      </c>
      <c r="B12" s="17" t="s">
        <v>47</v>
      </c>
      <c r="C12" s="17" t="s">
        <v>15</v>
      </c>
      <c r="D12" s="17" t="s">
        <v>16</v>
      </c>
      <c r="E12" s="18">
        <f>ROUND(10194*1.05,2)</f>
      </c>
      <c r="F12" s="17" t="s">
        <v>48</v>
      </c>
      <c r="G12" s="17" t="s">
        <v>18</v>
      </c>
      <c r="H12" s="18">
        <f>ROUND(RAND()*4+6,1)</f>
      </c>
      <c r="I12" s="17" t="s">
        <v>19</v>
      </c>
      <c r="J12" s="19">
        <f>ROUND(74*1,0)&amp;"%"</f>
      </c>
    </row>
    <row x14ac:dyDescent="0.25" r="13" customHeight="1" ht="17.25">
      <c r="A13" s="20" t="s">
        <v>8179</v>
      </c>
      <c r="B13" s="20" t="s">
        <v>50</v>
      </c>
      <c r="C13" s="20" t="s">
        <v>15</v>
      </c>
      <c r="D13" s="20" t="s">
        <v>22</v>
      </c>
      <c r="E13" s="21">
        <f>ROUND(7993*1.05,2)</f>
      </c>
      <c r="F13" s="20" t="s">
        <v>51</v>
      </c>
      <c r="G13" s="20" t="s">
        <v>24</v>
      </c>
      <c r="H13" s="22">
        <f>ROUND(RAND()*4+6,1)</f>
      </c>
      <c r="I13" s="20" t="s">
        <v>25</v>
      </c>
      <c r="J13" s="23">
        <f>ROUND(72*1,0)&amp;"%"</f>
      </c>
    </row>
    <row x14ac:dyDescent="0.25" r="14" customHeight="1" ht="17.25">
      <c r="A14" s="24" t="s">
        <v>52</v>
      </c>
      <c r="B14" s="24"/>
      <c r="C14" s="24"/>
      <c r="D14" s="24"/>
      <c r="E14" s="25">
        <v>8</v>
      </c>
      <c r="F14" s="9"/>
      <c r="G14" s="9"/>
      <c r="H14" s="10"/>
      <c r="I14" s="9"/>
      <c r="J14" s="9"/>
    </row>
    <row x14ac:dyDescent="0.25" r="15" customHeight="1" ht="17.25">
      <c r="A15" s="7"/>
      <c r="B15" s="7"/>
      <c r="C15" s="7"/>
      <c r="D15" s="7"/>
      <c r="E15" s="8"/>
      <c r="F15" s="9"/>
      <c r="G15" s="9"/>
      <c r="H15" s="10"/>
      <c r="I15" s="9"/>
      <c r="J15" s="9"/>
    </row>
    <row x14ac:dyDescent="0.25" r="16" customHeight="1" ht="17.25">
      <c r="A16" s="11" t="s">
        <v>8180</v>
      </c>
      <c r="B16" s="11"/>
      <c r="C16" s="11"/>
      <c r="D16" s="11"/>
      <c r="E16" s="12"/>
      <c r="F16" s="11"/>
      <c r="G16" s="11"/>
      <c r="H16" s="13"/>
      <c r="I16" s="11"/>
      <c r="J16" s="11"/>
    </row>
    <row x14ac:dyDescent="0.25" r="17" customHeight="1" ht="17.25">
      <c r="A17" s="14" t="s">
        <v>3</v>
      </c>
      <c r="B17" s="14" t="s">
        <v>4</v>
      </c>
      <c r="C17" s="14" t="s">
        <v>5</v>
      </c>
      <c r="D17" s="14" t="s">
        <v>6</v>
      </c>
      <c r="E17" s="15" t="s">
        <v>7</v>
      </c>
      <c r="F17" s="14" t="s">
        <v>8</v>
      </c>
      <c r="G17" s="14" t="s">
        <v>9</v>
      </c>
      <c r="H17" s="16" t="s">
        <v>10</v>
      </c>
      <c r="I17" s="14" t="s">
        <v>11</v>
      </c>
      <c r="J17" s="14" t="s">
        <v>12</v>
      </c>
    </row>
    <row x14ac:dyDescent="0.25" r="18" customHeight="1" ht="17.25">
      <c r="A18" s="17" t="s">
        <v>8181</v>
      </c>
      <c r="B18" s="17" t="s">
        <v>55</v>
      </c>
      <c r="C18" s="17" t="s">
        <v>56</v>
      </c>
      <c r="D18" s="17" t="s">
        <v>16</v>
      </c>
      <c r="E18" s="18">
        <f>ROUND(11526*1.05,2)</f>
      </c>
      <c r="F18" s="17" t="s">
        <v>17</v>
      </c>
      <c r="G18" s="17" t="s">
        <v>18</v>
      </c>
      <c r="H18" s="26">
        <f>ROUND(RAND()*4+6,1)</f>
      </c>
      <c r="I18" s="17" t="s">
        <v>19</v>
      </c>
      <c r="J18" s="19">
        <f>ROUND(83*1,0)&amp;"%"</f>
      </c>
    </row>
    <row x14ac:dyDescent="0.25" r="19" customHeight="1" ht="17.25">
      <c r="A19" s="20" t="s">
        <v>8182</v>
      </c>
      <c r="B19" s="20" t="s">
        <v>58</v>
      </c>
      <c r="C19" s="20" t="s">
        <v>56</v>
      </c>
      <c r="D19" s="20" t="s">
        <v>22</v>
      </c>
      <c r="E19" s="21">
        <f>ROUND(16644*1.05,2)</f>
      </c>
      <c r="F19" s="20" t="s">
        <v>23</v>
      </c>
      <c r="G19" s="20" t="s">
        <v>24</v>
      </c>
      <c r="H19" s="21">
        <f>ROUND(RAND()*4+6,1)</f>
      </c>
      <c r="I19" s="20" t="s">
        <v>25</v>
      </c>
      <c r="J19" s="23">
        <f>ROUND(71*1,0)&amp;"%"</f>
      </c>
    </row>
    <row x14ac:dyDescent="0.25" r="20" customHeight="1" ht="17.25">
      <c r="A20" s="17" t="s">
        <v>8183</v>
      </c>
      <c r="B20" s="17" t="s">
        <v>60</v>
      </c>
      <c r="C20" s="17" t="s">
        <v>56</v>
      </c>
      <c r="D20" s="17" t="s">
        <v>28</v>
      </c>
      <c r="E20" s="18">
        <f>ROUND(9274*1.05,2)</f>
      </c>
      <c r="F20" s="17" t="s">
        <v>29</v>
      </c>
      <c r="G20" s="17" t="s">
        <v>30</v>
      </c>
      <c r="H20" s="18">
        <f>ROUND(RAND()*4+6,1)</f>
      </c>
      <c r="I20" s="17" t="s">
        <v>31</v>
      </c>
      <c r="J20" s="19">
        <f>ROUND(63*1,0)&amp;"%"</f>
      </c>
    </row>
    <row x14ac:dyDescent="0.25" r="21" customHeight="1" ht="17.25">
      <c r="A21" s="20" t="s">
        <v>8184</v>
      </c>
      <c r="B21" s="20" t="s">
        <v>62</v>
      </c>
      <c r="C21" s="20" t="s">
        <v>56</v>
      </c>
      <c r="D21" s="20" t="s">
        <v>34</v>
      </c>
      <c r="E21" s="21">
        <f>ROUND(9331*1.05,2)</f>
      </c>
      <c r="F21" s="20" t="s">
        <v>35</v>
      </c>
      <c r="G21" s="20" t="s">
        <v>18</v>
      </c>
      <c r="H21" s="21">
        <f>ROUND(RAND()*4+6,1)</f>
      </c>
      <c r="I21" s="20" t="s">
        <v>36</v>
      </c>
      <c r="J21" s="23">
        <f>ROUND(100*1,0)&amp;"%"</f>
      </c>
    </row>
    <row x14ac:dyDescent="0.25" r="22" customHeight="1" ht="17.25">
      <c r="A22" s="17" t="s">
        <v>8185</v>
      </c>
      <c r="B22" s="17" t="s">
        <v>64</v>
      </c>
      <c r="C22" s="17" t="s">
        <v>56</v>
      </c>
      <c r="D22" s="17" t="s">
        <v>39</v>
      </c>
      <c r="E22" s="18">
        <f>ROUND(13788*1.05,2)</f>
      </c>
      <c r="F22" s="17" t="s">
        <v>40</v>
      </c>
      <c r="G22" s="17" t="s">
        <v>24</v>
      </c>
      <c r="H22" s="18">
        <f>ROUND(RAND()*4+6,1)</f>
      </c>
      <c r="I22" s="17" t="s">
        <v>41</v>
      </c>
      <c r="J22" s="19">
        <f>ROUND(69*1,0)&amp;"%"</f>
      </c>
    </row>
    <row x14ac:dyDescent="0.25" r="23" customHeight="1" ht="17.25">
      <c r="A23" s="20" t="s">
        <v>8186</v>
      </c>
      <c r="B23" s="20" t="s">
        <v>66</v>
      </c>
      <c r="C23" s="20" t="s">
        <v>56</v>
      </c>
      <c r="D23" s="20" t="s">
        <v>67</v>
      </c>
      <c r="E23" s="21">
        <f>ROUND(12069*1.05,2)</f>
      </c>
      <c r="F23" s="20" t="s">
        <v>44</v>
      </c>
      <c r="G23" s="20" t="s">
        <v>30</v>
      </c>
      <c r="H23" s="21">
        <f>ROUND(RAND()*4+6,1)</f>
      </c>
      <c r="I23" s="20" t="s">
        <v>45</v>
      </c>
      <c r="J23" s="23">
        <f>ROUND(74*1,0)&amp;"%"</f>
      </c>
    </row>
    <row x14ac:dyDescent="0.25" r="24" customHeight="1" ht="17.25">
      <c r="A24" s="17" t="s">
        <v>8187</v>
      </c>
      <c r="B24" s="17" t="s">
        <v>69</v>
      </c>
      <c r="C24" s="17" t="s">
        <v>56</v>
      </c>
      <c r="D24" s="17" t="s">
        <v>16</v>
      </c>
      <c r="E24" s="18">
        <f>ROUND(5657*1.05,2)</f>
      </c>
      <c r="F24" s="17" t="s">
        <v>48</v>
      </c>
      <c r="G24" s="17" t="s">
        <v>18</v>
      </c>
      <c r="H24" s="18">
        <f>ROUND(RAND()*4+6,1)</f>
      </c>
      <c r="I24" s="17" t="s">
        <v>19</v>
      </c>
      <c r="J24" s="19">
        <f>ROUND(72*1,0)&amp;"%"</f>
      </c>
    </row>
    <row x14ac:dyDescent="0.25" r="25" customHeight="1" ht="17.25">
      <c r="A25" s="20" t="s">
        <v>8188</v>
      </c>
      <c r="B25" s="20" t="s">
        <v>71</v>
      </c>
      <c r="C25" s="20" t="s">
        <v>56</v>
      </c>
      <c r="D25" s="20" t="s">
        <v>22</v>
      </c>
      <c r="E25" s="21">
        <f>ROUND(10508*1.05,2)</f>
      </c>
      <c r="F25" s="20" t="s">
        <v>51</v>
      </c>
      <c r="G25" s="20" t="s">
        <v>24</v>
      </c>
      <c r="H25" s="21">
        <f>ROUND(RAND()*4+6,1)</f>
      </c>
      <c r="I25" s="20" t="s">
        <v>25</v>
      </c>
      <c r="J25" s="23">
        <f>ROUND(93*1,0)&amp;"%"</f>
      </c>
    </row>
    <row x14ac:dyDescent="0.25" r="26" customHeight="1" ht="17.25">
      <c r="A26" s="24" t="s">
        <v>72</v>
      </c>
      <c r="B26" s="24"/>
      <c r="C26" s="24"/>
      <c r="D26" s="24"/>
      <c r="E26" s="25">
        <v>8</v>
      </c>
      <c r="F26" s="9"/>
      <c r="G26" s="9"/>
      <c r="H26" s="10"/>
      <c r="I26" s="9"/>
      <c r="J26" s="9"/>
    </row>
    <row x14ac:dyDescent="0.25" r="27" customHeight="1" ht="17.25">
      <c r="A27" s="7"/>
      <c r="B27" s="7"/>
      <c r="C27" s="7"/>
      <c r="D27" s="7"/>
      <c r="E27" s="8"/>
      <c r="F27" s="9"/>
      <c r="G27" s="9"/>
      <c r="H27" s="10"/>
      <c r="I27" s="9"/>
      <c r="J27" s="9"/>
    </row>
    <row x14ac:dyDescent="0.25" r="28" customHeight="1" ht="17.25">
      <c r="A28" s="11" t="s">
        <v>8189</v>
      </c>
      <c r="B28" s="11"/>
      <c r="C28" s="11"/>
      <c r="D28" s="11"/>
      <c r="E28" s="12"/>
      <c r="F28" s="11"/>
      <c r="G28" s="11"/>
      <c r="H28" s="13"/>
      <c r="I28" s="11"/>
      <c r="J28" s="11"/>
    </row>
    <row x14ac:dyDescent="0.25" r="29" customHeight="1" ht="17.25">
      <c r="A29" s="14" t="s">
        <v>3</v>
      </c>
      <c r="B29" s="14" t="s">
        <v>4</v>
      </c>
      <c r="C29" s="14" t="s">
        <v>5</v>
      </c>
      <c r="D29" s="14" t="s">
        <v>6</v>
      </c>
      <c r="E29" s="15" t="s">
        <v>7</v>
      </c>
      <c r="F29" s="14" t="s">
        <v>8</v>
      </c>
      <c r="G29" s="14" t="s">
        <v>9</v>
      </c>
      <c r="H29" s="16" t="s">
        <v>10</v>
      </c>
      <c r="I29" s="14" t="s">
        <v>11</v>
      </c>
      <c r="J29" s="14" t="s">
        <v>12</v>
      </c>
    </row>
    <row x14ac:dyDescent="0.25" r="30" customHeight="1" ht="17.25">
      <c r="A30" s="17" t="s">
        <v>8190</v>
      </c>
      <c r="B30" s="17" t="s">
        <v>75</v>
      </c>
      <c r="C30" s="17" t="s">
        <v>76</v>
      </c>
      <c r="D30" s="17" t="s">
        <v>16</v>
      </c>
      <c r="E30" s="18">
        <f>ROUND(5042*1.05,2)</f>
      </c>
      <c r="F30" s="17" t="s">
        <v>17</v>
      </c>
      <c r="G30" s="17" t="s">
        <v>18</v>
      </c>
      <c r="H30" s="26">
        <f>ROUND(RAND()*4+6,1)</f>
      </c>
      <c r="I30" s="17" t="s">
        <v>19</v>
      </c>
      <c r="J30" s="19">
        <f>ROUND(77*1,0)&amp;"%"</f>
      </c>
    </row>
    <row x14ac:dyDescent="0.25" r="31" customHeight="1" ht="17.25">
      <c r="A31" s="20" t="s">
        <v>8191</v>
      </c>
      <c r="B31" s="20" t="s">
        <v>78</v>
      </c>
      <c r="C31" s="20" t="s">
        <v>76</v>
      </c>
      <c r="D31" s="20" t="s">
        <v>22</v>
      </c>
      <c r="E31" s="21">
        <f>ROUND(17403*1.05,2)</f>
      </c>
      <c r="F31" s="20" t="s">
        <v>23</v>
      </c>
      <c r="G31" s="20" t="s">
        <v>24</v>
      </c>
      <c r="H31" s="21">
        <f>ROUND(RAND()*4+6,1)</f>
      </c>
      <c r="I31" s="20" t="s">
        <v>25</v>
      </c>
      <c r="J31" s="23">
        <f>ROUND(89*1,0)&amp;"%"</f>
      </c>
    </row>
    <row x14ac:dyDescent="0.25" r="32" customHeight="1" ht="17.25">
      <c r="A32" s="17" t="s">
        <v>8192</v>
      </c>
      <c r="B32" s="17" t="s">
        <v>80</v>
      </c>
      <c r="C32" s="17" t="s">
        <v>76</v>
      </c>
      <c r="D32" s="17" t="s">
        <v>28</v>
      </c>
      <c r="E32" s="18">
        <f>ROUND(12877*1.05,2)</f>
      </c>
      <c r="F32" s="17" t="s">
        <v>29</v>
      </c>
      <c r="G32" s="17" t="s">
        <v>30</v>
      </c>
      <c r="H32" s="18">
        <f>ROUND(RAND()*4+6,1)</f>
      </c>
      <c r="I32" s="17" t="s">
        <v>31</v>
      </c>
      <c r="J32" s="19">
        <f>ROUND(94*1,0)&amp;"%"</f>
      </c>
    </row>
    <row x14ac:dyDescent="0.25" r="33" customHeight="1" ht="17.25">
      <c r="A33" s="20" t="s">
        <v>8193</v>
      </c>
      <c r="B33" s="20" t="s">
        <v>82</v>
      </c>
      <c r="C33" s="20" t="s">
        <v>76</v>
      </c>
      <c r="D33" s="20" t="s">
        <v>34</v>
      </c>
      <c r="E33" s="21">
        <f>ROUND(7147*1.05,2)</f>
      </c>
      <c r="F33" s="20" t="s">
        <v>35</v>
      </c>
      <c r="G33" s="20" t="s">
        <v>18</v>
      </c>
      <c r="H33" s="21">
        <f>ROUND(RAND()*4+6,1)</f>
      </c>
      <c r="I33" s="20" t="s">
        <v>36</v>
      </c>
      <c r="J33" s="23">
        <f>ROUND(65*1,0)&amp;"%"</f>
      </c>
    </row>
    <row x14ac:dyDescent="0.25" r="34" customHeight="1" ht="17.25">
      <c r="A34" s="17" t="s">
        <v>8194</v>
      </c>
      <c r="B34" s="17" t="s">
        <v>84</v>
      </c>
      <c r="C34" s="17" t="s">
        <v>76</v>
      </c>
      <c r="D34" s="17" t="s">
        <v>39</v>
      </c>
      <c r="E34" s="18">
        <f>ROUND(8778*1.05,2)</f>
      </c>
      <c r="F34" s="17" t="s">
        <v>40</v>
      </c>
      <c r="G34" s="17" t="s">
        <v>24</v>
      </c>
      <c r="H34" s="18">
        <f>ROUND(RAND()*4+6,1)</f>
      </c>
      <c r="I34" s="17" t="s">
        <v>41</v>
      </c>
      <c r="J34" s="19">
        <f>ROUND(85*1,0)&amp;"%"</f>
      </c>
    </row>
    <row x14ac:dyDescent="0.25" r="35" customHeight="1" ht="17.25">
      <c r="A35" s="20" t="s">
        <v>8195</v>
      </c>
      <c r="B35" s="20" t="s">
        <v>86</v>
      </c>
      <c r="C35" s="20" t="s">
        <v>76</v>
      </c>
      <c r="D35" s="20" t="s">
        <v>67</v>
      </c>
      <c r="E35" s="21">
        <f>ROUND(4854*1.05,2)</f>
      </c>
      <c r="F35" s="20" t="s">
        <v>44</v>
      </c>
      <c r="G35" s="20" t="s">
        <v>30</v>
      </c>
      <c r="H35" s="21">
        <f>ROUND(RAND()*4+6,1)</f>
      </c>
      <c r="I35" s="20" t="s">
        <v>45</v>
      </c>
      <c r="J35" s="23">
        <f>ROUND(83*1,0)&amp;"%"</f>
      </c>
    </row>
    <row x14ac:dyDescent="0.25" r="36" customHeight="1" ht="17.25">
      <c r="A36" s="17" t="s">
        <v>8196</v>
      </c>
      <c r="B36" s="17" t="s">
        <v>88</v>
      </c>
      <c r="C36" s="17" t="s">
        <v>76</v>
      </c>
      <c r="D36" s="17" t="s">
        <v>16</v>
      </c>
      <c r="E36" s="18">
        <f>ROUND(17129*1.05,2)</f>
      </c>
      <c r="F36" s="17" t="s">
        <v>48</v>
      </c>
      <c r="G36" s="17" t="s">
        <v>18</v>
      </c>
      <c r="H36" s="18">
        <f>ROUND(RAND()*4+6,1)</f>
      </c>
      <c r="I36" s="17" t="s">
        <v>19</v>
      </c>
      <c r="J36" s="19">
        <f>ROUND(60*1,0)&amp;"%"</f>
      </c>
    </row>
    <row x14ac:dyDescent="0.25" r="37" customHeight="1" ht="17.25">
      <c r="A37" s="20" t="s">
        <v>8197</v>
      </c>
      <c r="B37" s="20" t="s">
        <v>90</v>
      </c>
      <c r="C37" s="20" t="s">
        <v>76</v>
      </c>
      <c r="D37" s="20" t="s">
        <v>22</v>
      </c>
      <c r="E37" s="21">
        <f>ROUND(6901*1.05,2)</f>
      </c>
      <c r="F37" s="20" t="s">
        <v>51</v>
      </c>
      <c r="G37" s="20" t="s">
        <v>24</v>
      </c>
      <c r="H37" s="21">
        <f>ROUND(RAND()*4+6,1)</f>
      </c>
      <c r="I37" s="20" t="s">
        <v>25</v>
      </c>
      <c r="J37" s="23">
        <f>ROUND(87*1,0)&amp;"%"</f>
      </c>
    </row>
    <row x14ac:dyDescent="0.25" r="38" customHeight="1" ht="17.25">
      <c r="A38" s="24" t="s">
        <v>91</v>
      </c>
      <c r="B38" s="24"/>
      <c r="C38" s="24"/>
      <c r="D38" s="24"/>
      <c r="E38" s="25">
        <v>8</v>
      </c>
      <c r="F38" s="9"/>
      <c r="G38" s="9"/>
      <c r="H38" s="10"/>
      <c r="I38" s="9"/>
      <c r="J38" s="9"/>
    </row>
    <row x14ac:dyDescent="0.25" r="39" customHeight="1" ht="17.25">
      <c r="A39" s="7"/>
      <c r="B39" s="7"/>
      <c r="C39" s="7"/>
      <c r="D39" s="7"/>
      <c r="E39" s="8"/>
      <c r="F39" s="9"/>
      <c r="G39" s="9"/>
      <c r="H39" s="10"/>
      <c r="I39" s="9"/>
      <c r="J39" s="9"/>
    </row>
    <row x14ac:dyDescent="0.25" r="40" customHeight="1" ht="17.25">
      <c r="A40" s="11" t="s">
        <v>8198</v>
      </c>
      <c r="B40" s="11"/>
      <c r="C40" s="11"/>
      <c r="D40" s="11"/>
      <c r="E40" s="12"/>
      <c r="F40" s="11"/>
      <c r="G40" s="11"/>
      <c r="H40" s="13"/>
      <c r="I40" s="11"/>
      <c r="J40" s="11"/>
    </row>
    <row x14ac:dyDescent="0.25" r="41" customHeight="1" ht="17.25">
      <c r="A41" s="14" t="s">
        <v>3</v>
      </c>
      <c r="B41" s="14" t="s">
        <v>4</v>
      </c>
      <c r="C41" s="14" t="s">
        <v>5</v>
      </c>
      <c r="D41" s="14" t="s">
        <v>6</v>
      </c>
      <c r="E41" s="15" t="s">
        <v>7</v>
      </c>
      <c r="F41" s="14" t="s">
        <v>8</v>
      </c>
      <c r="G41" s="14" t="s">
        <v>9</v>
      </c>
      <c r="H41" s="16" t="s">
        <v>10</v>
      </c>
      <c r="I41" s="14" t="s">
        <v>11</v>
      </c>
      <c r="J41" s="14" t="s">
        <v>12</v>
      </c>
    </row>
    <row x14ac:dyDescent="0.25" r="42" customHeight="1" ht="17.25">
      <c r="A42" s="17" t="s">
        <v>8199</v>
      </c>
      <c r="B42" s="17" t="s">
        <v>94</v>
      </c>
      <c r="C42" s="17" t="s">
        <v>95</v>
      </c>
      <c r="D42" s="17" t="s">
        <v>16</v>
      </c>
      <c r="E42" s="18">
        <f>ROUND(15388*1.05,2)</f>
      </c>
      <c r="F42" s="17" t="s">
        <v>17</v>
      </c>
      <c r="G42" s="17" t="s">
        <v>18</v>
      </c>
      <c r="H42" s="18">
        <f>ROUND(RAND()*4+6,1)</f>
      </c>
      <c r="I42" s="17" t="s">
        <v>19</v>
      </c>
      <c r="J42" s="19">
        <f>ROUND(70*1,0)&amp;"%"</f>
      </c>
    </row>
    <row x14ac:dyDescent="0.25" r="43" customHeight="1" ht="17.25">
      <c r="A43" s="20" t="s">
        <v>8200</v>
      </c>
      <c r="B43" s="20" t="s">
        <v>97</v>
      </c>
      <c r="C43" s="20" t="s">
        <v>95</v>
      </c>
      <c r="D43" s="20" t="s">
        <v>22</v>
      </c>
      <c r="E43" s="21">
        <f>ROUND(9503*1.05,2)</f>
      </c>
      <c r="F43" s="20" t="s">
        <v>23</v>
      </c>
      <c r="G43" s="20" t="s">
        <v>24</v>
      </c>
      <c r="H43" s="21">
        <f>ROUND(RAND()*4+6,1)</f>
      </c>
      <c r="I43" s="20" t="s">
        <v>25</v>
      </c>
      <c r="J43" s="23">
        <f>ROUND(93*1,0)&amp;"%"</f>
      </c>
    </row>
    <row x14ac:dyDescent="0.25" r="44" customHeight="1" ht="17.25">
      <c r="A44" s="17" t="s">
        <v>8201</v>
      </c>
      <c r="B44" s="17" t="s">
        <v>99</v>
      </c>
      <c r="C44" s="17" t="s">
        <v>95</v>
      </c>
      <c r="D44" s="17" t="s">
        <v>28</v>
      </c>
      <c r="E44" s="26">
        <f>ROUND(8320*1.05,2)</f>
      </c>
      <c r="F44" s="17" t="s">
        <v>29</v>
      </c>
      <c r="G44" s="17" t="s">
        <v>30</v>
      </c>
      <c r="H44" s="18">
        <f>ROUND(RAND()*4+6,1)</f>
      </c>
      <c r="I44" s="17" t="s">
        <v>31</v>
      </c>
      <c r="J44" s="19">
        <f>ROUND(85*1,0)&amp;"%"</f>
      </c>
    </row>
    <row x14ac:dyDescent="0.25" r="45" customHeight="1" ht="17.25">
      <c r="A45" s="20" t="s">
        <v>8202</v>
      </c>
      <c r="B45" s="20" t="s">
        <v>101</v>
      </c>
      <c r="C45" s="20" t="s">
        <v>95</v>
      </c>
      <c r="D45" s="20" t="s">
        <v>34</v>
      </c>
      <c r="E45" s="21">
        <f>ROUND(12927*1.05,2)</f>
      </c>
      <c r="F45" s="20" t="s">
        <v>35</v>
      </c>
      <c r="G45" s="20" t="s">
        <v>18</v>
      </c>
      <c r="H45" s="21">
        <f>ROUND(RAND()*4+6,1)</f>
      </c>
      <c r="I45" s="20" t="s">
        <v>36</v>
      </c>
      <c r="J45" s="23">
        <f>ROUND(99*1,0)&amp;"%"</f>
      </c>
    </row>
    <row x14ac:dyDescent="0.25" r="46" customHeight="1" ht="17.25">
      <c r="A46" s="17" t="s">
        <v>8203</v>
      </c>
      <c r="B46" s="17" t="s">
        <v>103</v>
      </c>
      <c r="C46" s="17" t="s">
        <v>95</v>
      </c>
      <c r="D46" s="17" t="s">
        <v>39</v>
      </c>
      <c r="E46" s="18">
        <f>ROUND(8481*1.05,2)</f>
      </c>
      <c r="F46" s="17" t="s">
        <v>40</v>
      </c>
      <c r="G46" s="17" t="s">
        <v>24</v>
      </c>
      <c r="H46" s="18">
        <f>ROUND(RAND()*4+6,1)</f>
      </c>
      <c r="I46" s="17" t="s">
        <v>41</v>
      </c>
      <c r="J46" s="19">
        <f>ROUND(70*1,0)&amp;"%"</f>
      </c>
    </row>
    <row x14ac:dyDescent="0.25" r="47" customHeight="1" ht="17.25">
      <c r="A47" s="20" t="s">
        <v>8204</v>
      </c>
      <c r="B47" s="20" t="s">
        <v>105</v>
      </c>
      <c r="C47" s="20" t="s">
        <v>95</v>
      </c>
      <c r="D47" s="20" t="s">
        <v>67</v>
      </c>
      <c r="E47" s="21">
        <f>ROUND(10875*1.05,2)</f>
      </c>
      <c r="F47" s="20" t="s">
        <v>44</v>
      </c>
      <c r="G47" s="20" t="s">
        <v>30</v>
      </c>
      <c r="H47" s="21">
        <f>ROUND(RAND()*4+6,1)</f>
      </c>
      <c r="I47" s="20" t="s">
        <v>45</v>
      </c>
      <c r="J47" s="23">
        <f>ROUND(63*1,0)&amp;"%"</f>
      </c>
    </row>
    <row x14ac:dyDescent="0.25" r="48" customHeight="1" ht="17.25">
      <c r="A48" s="17" t="s">
        <v>8205</v>
      </c>
      <c r="B48" s="17" t="s">
        <v>107</v>
      </c>
      <c r="C48" s="17" t="s">
        <v>95</v>
      </c>
      <c r="D48" s="17" t="s">
        <v>16</v>
      </c>
      <c r="E48" s="18">
        <f>ROUND(13438*1.05,2)</f>
      </c>
      <c r="F48" s="17" t="s">
        <v>48</v>
      </c>
      <c r="G48" s="17" t="s">
        <v>18</v>
      </c>
      <c r="H48" s="18">
        <f>ROUND(RAND()*4+6,1)</f>
      </c>
      <c r="I48" s="17" t="s">
        <v>19</v>
      </c>
      <c r="J48" s="19">
        <f>ROUND(63*1,0)&amp;"%"</f>
      </c>
    </row>
    <row x14ac:dyDescent="0.25" r="49" customHeight="1" ht="17.25">
      <c r="A49" s="20" t="s">
        <v>8206</v>
      </c>
      <c r="B49" s="20" t="s">
        <v>109</v>
      </c>
      <c r="C49" s="20" t="s">
        <v>95</v>
      </c>
      <c r="D49" s="20" t="s">
        <v>22</v>
      </c>
      <c r="E49" s="21">
        <f>ROUND(12227*1.05,2)</f>
      </c>
      <c r="F49" s="20" t="s">
        <v>51</v>
      </c>
      <c r="G49" s="20" t="s">
        <v>24</v>
      </c>
      <c r="H49" s="21">
        <f>ROUND(RAND()*4+6,1)</f>
      </c>
      <c r="I49" s="20" t="s">
        <v>25</v>
      </c>
      <c r="J49" s="23">
        <f>ROUND(87*1,0)&amp;"%"</f>
      </c>
    </row>
    <row x14ac:dyDescent="0.25" r="50" customHeight="1" ht="17.25">
      <c r="A50" s="24" t="s">
        <v>110</v>
      </c>
      <c r="B50" s="24"/>
      <c r="C50" s="24"/>
      <c r="D50" s="24"/>
      <c r="E50" s="25">
        <v>8</v>
      </c>
      <c r="F50" s="9"/>
      <c r="G50" s="9"/>
      <c r="H50" s="10"/>
      <c r="I50" s="9"/>
      <c r="J50" s="9"/>
    </row>
    <row x14ac:dyDescent="0.25" r="51" customHeight="1" ht="17.25">
      <c r="A51" s="7"/>
      <c r="B51" s="7"/>
      <c r="C51" s="7"/>
      <c r="D51" s="7"/>
      <c r="E51" s="8"/>
      <c r="F51" s="9"/>
      <c r="G51" s="9"/>
      <c r="H51" s="10"/>
      <c r="I51" s="9"/>
      <c r="J51" s="9"/>
    </row>
    <row x14ac:dyDescent="0.25" r="52" customHeight="1" ht="17.25">
      <c r="A52" s="11" t="s">
        <v>8207</v>
      </c>
      <c r="B52" s="11"/>
      <c r="C52" s="11"/>
      <c r="D52" s="11"/>
      <c r="E52" s="12"/>
      <c r="F52" s="11"/>
      <c r="G52" s="11"/>
      <c r="H52" s="13"/>
      <c r="I52" s="11"/>
      <c r="J52" s="11"/>
    </row>
    <row x14ac:dyDescent="0.25" r="53" customHeight="1" ht="17.25">
      <c r="A53" s="14" t="s">
        <v>3</v>
      </c>
      <c r="B53" s="14" t="s">
        <v>4</v>
      </c>
      <c r="C53" s="14" t="s">
        <v>5</v>
      </c>
      <c r="D53" s="14" t="s">
        <v>6</v>
      </c>
      <c r="E53" s="15" t="s">
        <v>7</v>
      </c>
      <c r="F53" s="14" t="s">
        <v>8</v>
      </c>
      <c r="G53" s="14" t="s">
        <v>9</v>
      </c>
      <c r="H53" s="16" t="s">
        <v>10</v>
      </c>
      <c r="I53" s="14" t="s">
        <v>11</v>
      </c>
      <c r="J53" s="14" t="s">
        <v>12</v>
      </c>
    </row>
    <row x14ac:dyDescent="0.25" r="54" customHeight="1" ht="17.25">
      <c r="A54" s="17" t="s">
        <v>8208</v>
      </c>
      <c r="B54" s="17" t="s">
        <v>113</v>
      </c>
      <c r="C54" s="17" t="s">
        <v>114</v>
      </c>
      <c r="D54" s="17" t="s">
        <v>16</v>
      </c>
      <c r="E54" s="18">
        <f>ROUND(5985*1.05,2)</f>
      </c>
      <c r="F54" s="17" t="s">
        <v>17</v>
      </c>
      <c r="G54" s="17" t="s">
        <v>18</v>
      </c>
      <c r="H54" s="18">
        <f>ROUND(RAND()*4+6,1)</f>
      </c>
      <c r="I54" s="17" t="s">
        <v>19</v>
      </c>
      <c r="J54" s="19">
        <f>ROUND(64*1,0)&amp;"%"</f>
      </c>
    </row>
    <row x14ac:dyDescent="0.25" r="55" customHeight="1" ht="17.25">
      <c r="A55" s="20" t="s">
        <v>8209</v>
      </c>
      <c r="B55" s="20" t="s">
        <v>116</v>
      </c>
      <c r="C55" s="20" t="s">
        <v>114</v>
      </c>
      <c r="D55" s="20" t="s">
        <v>22</v>
      </c>
      <c r="E55" s="21">
        <f>ROUND(10154*1.05,2)</f>
      </c>
      <c r="F55" s="20" t="s">
        <v>23</v>
      </c>
      <c r="G55" s="20" t="s">
        <v>24</v>
      </c>
      <c r="H55" s="22">
        <f>ROUND(RAND()*4+6,1)</f>
      </c>
      <c r="I55" s="20" t="s">
        <v>25</v>
      </c>
      <c r="J55" s="23">
        <f>ROUND(63*1,0)&amp;"%"</f>
      </c>
    </row>
    <row x14ac:dyDescent="0.25" r="56" customHeight="1" ht="17.25">
      <c r="A56" s="17" t="s">
        <v>8210</v>
      </c>
      <c r="B56" s="17" t="s">
        <v>118</v>
      </c>
      <c r="C56" s="17" t="s">
        <v>114</v>
      </c>
      <c r="D56" s="17" t="s">
        <v>28</v>
      </c>
      <c r="E56" s="18">
        <f>ROUND(8521*1.05,2)</f>
      </c>
      <c r="F56" s="17" t="s">
        <v>29</v>
      </c>
      <c r="G56" s="17" t="s">
        <v>30</v>
      </c>
      <c r="H56" s="18">
        <f>ROUND(RAND()*4+6,1)</f>
      </c>
      <c r="I56" s="17" t="s">
        <v>31</v>
      </c>
      <c r="J56" s="19">
        <f>ROUND(91*1,0)&amp;"%"</f>
      </c>
    </row>
    <row x14ac:dyDescent="0.25" r="57" customHeight="1" ht="17.25">
      <c r="A57" s="20" t="s">
        <v>8211</v>
      </c>
      <c r="B57" s="20" t="s">
        <v>120</v>
      </c>
      <c r="C57" s="20" t="s">
        <v>114</v>
      </c>
      <c r="D57" s="20" t="s">
        <v>34</v>
      </c>
      <c r="E57" s="21">
        <f>ROUND(8245*1.05,2)</f>
      </c>
      <c r="F57" s="20" t="s">
        <v>35</v>
      </c>
      <c r="G57" s="20" t="s">
        <v>18</v>
      </c>
      <c r="H57" s="21">
        <f>ROUND(RAND()*4+6,1)</f>
      </c>
      <c r="I57" s="20" t="s">
        <v>36</v>
      </c>
      <c r="J57" s="23">
        <f>ROUND(64*1,0)&amp;"%"</f>
      </c>
    </row>
    <row x14ac:dyDescent="0.25" r="58" customHeight="1" ht="17.25">
      <c r="A58" s="17" t="s">
        <v>8212</v>
      </c>
      <c r="B58" s="17" t="s">
        <v>122</v>
      </c>
      <c r="C58" s="17" t="s">
        <v>114</v>
      </c>
      <c r="D58" s="17" t="s">
        <v>39</v>
      </c>
      <c r="E58" s="18">
        <f>ROUND(16416*1.05,2)</f>
      </c>
      <c r="F58" s="17" t="s">
        <v>40</v>
      </c>
      <c r="G58" s="17" t="s">
        <v>24</v>
      </c>
      <c r="H58" s="18">
        <f>ROUND(RAND()*4+6,1)</f>
      </c>
      <c r="I58" s="17" t="s">
        <v>41</v>
      </c>
      <c r="J58" s="19">
        <f>ROUND(68*1,0)&amp;"%"</f>
      </c>
    </row>
    <row x14ac:dyDescent="0.25" r="59" customHeight="1" ht="17.25">
      <c r="A59" s="20" t="s">
        <v>8213</v>
      </c>
      <c r="B59" s="20" t="s">
        <v>124</v>
      </c>
      <c r="C59" s="20" t="s">
        <v>114</v>
      </c>
      <c r="D59" s="20" t="s">
        <v>67</v>
      </c>
      <c r="E59" s="21">
        <f>ROUND(10526*1.05,2)</f>
      </c>
      <c r="F59" s="20" t="s">
        <v>44</v>
      </c>
      <c r="G59" s="20" t="s">
        <v>30</v>
      </c>
      <c r="H59" s="21">
        <f>ROUND(RAND()*4+6,1)</f>
      </c>
      <c r="I59" s="20" t="s">
        <v>45</v>
      </c>
      <c r="J59" s="23">
        <f>ROUND(63*1,0)&amp;"%"</f>
      </c>
    </row>
    <row x14ac:dyDescent="0.25" r="60" customHeight="1" ht="17.25">
      <c r="A60" s="17" t="s">
        <v>8214</v>
      </c>
      <c r="B60" s="17" t="s">
        <v>126</v>
      </c>
      <c r="C60" s="17" t="s">
        <v>114</v>
      </c>
      <c r="D60" s="17" t="s">
        <v>16</v>
      </c>
      <c r="E60" s="18">
        <f>ROUND(16074*1.05,2)</f>
      </c>
      <c r="F60" s="17" t="s">
        <v>48</v>
      </c>
      <c r="G60" s="17" t="s">
        <v>18</v>
      </c>
      <c r="H60" s="18">
        <f>ROUND(RAND()*4+6,1)</f>
      </c>
      <c r="I60" s="17" t="s">
        <v>19</v>
      </c>
      <c r="J60" s="19">
        <f>ROUND(61*1,0)&amp;"%"</f>
      </c>
    </row>
    <row x14ac:dyDescent="0.25" r="61" customHeight="1" ht="17.25">
      <c r="A61" s="20" t="s">
        <v>8215</v>
      </c>
      <c r="B61" s="20" t="s">
        <v>128</v>
      </c>
      <c r="C61" s="20" t="s">
        <v>114</v>
      </c>
      <c r="D61" s="20" t="s">
        <v>22</v>
      </c>
      <c r="E61" s="21">
        <f>ROUND(6656*1.05,2)</f>
      </c>
      <c r="F61" s="20" t="s">
        <v>51</v>
      </c>
      <c r="G61" s="20" t="s">
        <v>24</v>
      </c>
      <c r="H61" s="22">
        <f>ROUND(RAND()*4+6,1)</f>
      </c>
      <c r="I61" s="20" t="s">
        <v>25</v>
      </c>
      <c r="J61" s="23">
        <f>ROUND(64*1,0)&amp;"%"</f>
      </c>
    </row>
    <row x14ac:dyDescent="0.25" r="62" customHeight="1" ht="17.25">
      <c r="A62" s="24" t="s">
        <v>129</v>
      </c>
      <c r="B62" s="24"/>
      <c r="C62" s="24"/>
      <c r="D62" s="24"/>
      <c r="E62" s="25">
        <v>8</v>
      </c>
      <c r="F62" s="9"/>
      <c r="G62" s="9"/>
      <c r="H62" s="10"/>
      <c r="I62" s="9"/>
      <c r="J62" s="9"/>
    </row>
    <row x14ac:dyDescent="0.25" r="63" customHeight="1" ht="17.25">
      <c r="A63" s="7"/>
      <c r="B63" s="7"/>
      <c r="C63" s="7"/>
      <c r="D63" s="7"/>
      <c r="E63" s="8"/>
      <c r="F63" s="9"/>
      <c r="G63" s="9"/>
      <c r="H63" s="10"/>
      <c r="I63" s="9"/>
      <c r="J63" s="9"/>
    </row>
    <row x14ac:dyDescent="0.25" r="64" customHeight="1" ht="17.25">
      <c r="A64" s="11" t="s">
        <v>8216</v>
      </c>
      <c r="B64" s="11"/>
      <c r="C64" s="11"/>
      <c r="D64" s="11"/>
      <c r="E64" s="12"/>
      <c r="F64" s="11"/>
      <c r="G64" s="11"/>
      <c r="H64" s="13"/>
      <c r="I64" s="11"/>
      <c r="J64" s="11"/>
    </row>
    <row x14ac:dyDescent="0.25" r="65" customHeight="1" ht="17.25">
      <c r="A65" s="14" t="s">
        <v>3</v>
      </c>
      <c r="B65" s="14" t="s">
        <v>4</v>
      </c>
      <c r="C65" s="14" t="s">
        <v>5</v>
      </c>
      <c r="D65" s="14" t="s">
        <v>6</v>
      </c>
      <c r="E65" s="15" t="s">
        <v>7</v>
      </c>
      <c r="F65" s="14" t="s">
        <v>8</v>
      </c>
      <c r="G65" s="14" t="s">
        <v>9</v>
      </c>
      <c r="H65" s="16" t="s">
        <v>10</v>
      </c>
      <c r="I65" s="14" t="s">
        <v>11</v>
      </c>
      <c r="J65" s="14" t="s">
        <v>12</v>
      </c>
    </row>
    <row x14ac:dyDescent="0.25" r="66" customHeight="1" ht="17.25">
      <c r="A66" s="17" t="s">
        <v>8217</v>
      </c>
      <c r="B66" s="17" t="s">
        <v>132</v>
      </c>
      <c r="C66" s="17" t="s">
        <v>133</v>
      </c>
      <c r="D66" s="17" t="s">
        <v>16</v>
      </c>
      <c r="E66" s="18">
        <f>ROUND(12707*1.05,2)</f>
      </c>
      <c r="F66" s="17" t="s">
        <v>17</v>
      </c>
      <c r="G66" s="17" t="s">
        <v>18</v>
      </c>
      <c r="H66" s="26">
        <f>ROUND(RAND()*4+6,1)</f>
      </c>
      <c r="I66" s="17" t="s">
        <v>19</v>
      </c>
      <c r="J66" s="19">
        <f>ROUND(67*1,0)&amp;"%"</f>
      </c>
    </row>
    <row x14ac:dyDescent="0.25" r="67" customHeight="1" ht="17.25">
      <c r="A67" s="20" t="s">
        <v>8218</v>
      </c>
      <c r="B67" s="20" t="s">
        <v>135</v>
      </c>
      <c r="C67" s="20" t="s">
        <v>133</v>
      </c>
      <c r="D67" s="20" t="s">
        <v>22</v>
      </c>
      <c r="E67" s="21">
        <f>ROUND(7014*1.05,2)</f>
      </c>
      <c r="F67" s="20" t="s">
        <v>23</v>
      </c>
      <c r="G67" s="20" t="s">
        <v>24</v>
      </c>
      <c r="H67" s="21">
        <f>ROUND(RAND()*4+6,1)</f>
      </c>
      <c r="I67" s="20" t="s">
        <v>25</v>
      </c>
      <c r="J67" s="23">
        <f>ROUND(98*1,0)&amp;"%"</f>
      </c>
    </row>
    <row x14ac:dyDescent="0.25" r="68" customHeight="1" ht="17.25">
      <c r="A68" s="17" t="s">
        <v>8219</v>
      </c>
      <c r="B68" s="17" t="s">
        <v>137</v>
      </c>
      <c r="C68" s="17" t="s">
        <v>133</v>
      </c>
      <c r="D68" s="17" t="s">
        <v>28</v>
      </c>
      <c r="E68" s="18">
        <f>ROUND(9888*1.05,2)</f>
      </c>
      <c r="F68" s="17" t="s">
        <v>29</v>
      </c>
      <c r="G68" s="17" t="s">
        <v>30</v>
      </c>
      <c r="H68" s="18">
        <f>ROUND(RAND()*4+6,1)</f>
      </c>
      <c r="I68" s="17" t="s">
        <v>31</v>
      </c>
      <c r="J68" s="19">
        <f>ROUND(61*1,0)&amp;"%"</f>
      </c>
    </row>
    <row x14ac:dyDescent="0.25" r="69" customHeight="1" ht="17.25">
      <c r="A69" s="20" t="s">
        <v>8220</v>
      </c>
      <c r="B69" s="20" t="s">
        <v>139</v>
      </c>
      <c r="C69" s="20" t="s">
        <v>133</v>
      </c>
      <c r="D69" s="20" t="s">
        <v>34</v>
      </c>
      <c r="E69" s="21">
        <f>ROUND(12568*1.05,2)</f>
      </c>
      <c r="F69" s="20" t="s">
        <v>35</v>
      </c>
      <c r="G69" s="20" t="s">
        <v>18</v>
      </c>
      <c r="H69" s="21">
        <f>ROUND(RAND()*4+6,1)</f>
      </c>
      <c r="I69" s="20" t="s">
        <v>36</v>
      </c>
      <c r="J69" s="23">
        <f>ROUND(60*1,0)&amp;"%"</f>
      </c>
    </row>
    <row x14ac:dyDescent="0.25" r="70" customHeight="1" ht="17.25">
      <c r="A70" s="17" t="s">
        <v>8221</v>
      </c>
      <c r="B70" s="17" t="s">
        <v>141</v>
      </c>
      <c r="C70" s="17" t="s">
        <v>133</v>
      </c>
      <c r="D70" s="17" t="s">
        <v>39</v>
      </c>
      <c r="E70" s="18">
        <f>ROUND(7922*1.05,2)</f>
      </c>
      <c r="F70" s="17" t="s">
        <v>40</v>
      </c>
      <c r="G70" s="17" t="s">
        <v>24</v>
      </c>
      <c r="H70" s="18">
        <f>ROUND(RAND()*4+6,1)</f>
      </c>
      <c r="I70" s="17" t="s">
        <v>41</v>
      </c>
      <c r="J70" s="19">
        <f>ROUND(95*1,0)&amp;"%"</f>
      </c>
    </row>
    <row x14ac:dyDescent="0.25" r="71" customHeight="1" ht="17.25">
      <c r="A71" s="20" t="s">
        <v>8222</v>
      </c>
      <c r="B71" s="20" t="s">
        <v>143</v>
      </c>
      <c r="C71" s="20" t="s">
        <v>133</v>
      </c>
      <c r="D71" s="20" t="s">
        <v>67</v>
      </c>
      <c r="E71" s="21">
        <f>ROUND(17129*1.05,2)</f>
      </c>
      <c r="F71" s="20" t="s">
        <v>44</v>
      </c>
      <c r="G71" s="20" t="s">
        <v>30</v>
      </c>
      <c r="H71" s="21">
        <f>ROUND(RAND()*4+6,1)</f>
      </c>
      <c r="I71" s="20" t="s">
        <v>45</v>
      </c>
      <c r="J71" s="23">
        <f>ROUND(98*1,0)&amp;"%"</f>
      </c>
    </row>
    <row x14ac:dyDescent="0.25" r="72" customHeight="1" ht="17.25">
      <c r="A72" s="17" t="s">
        <v>8223</v>
      </c>
      <c r="B72" s="17" t="s">
        <v>145</v>
      </c>
      <c r="C72" s="17" t="s">
        <v>133</v>
      </c>
      <c r="D72" s="17" t="s">
        <v>16</v>
      </c>
      <c r="E72" s="18">
        <f>ROUND(16193*1.05,2)</f>
      </c>
      <c r="F72" s="17" t="s">
        <v>48</v>
      </c>
      <c r="G72" s="17" t="s">
        <v>18</v>
      </c>
      <c r="H72" s="18">
        <f>ROUND(RAND()*4+6,1)</f>
      </c>
      <c r="I72" s="17" t="s">
        <v>19</v>
      </c>
      <c r="J72" s="19">
        <f>ROUND(81*1,0)&amp;"%"</f>
      </c>
    </row>
    <row x14ac:dyDescent="0.25" r="73" customHeight="1" ht="17.25">
      <c r="A73" s="20" t="s">
        <v>8224</v>
      </c>
      <c r="B73" s="20" t="s">
        <v>147</v>
      </c>
      <c r="C73" s="20" t="s">
        <v>133</v>
      </c>
      <c r="D73" s="20" t="s">
        <v>22</v>
      </c>
      <c r="E73" s="21">
        <f>ROUND(9757*1.05,2)</f>
      </c>
      <c r="F73" s="20" t="s">
        <v>51</v>
      </c>
      <c r="G73" s="20" t="s">
        <v>24</v>
      </c>
      <c r="H73" s="21">
        <f>ROUND(RAND()*4+6,1)</f>
      </c>
      <c r="I73" s="20" t="s">
        <v>25</v>
      </c>
      <c r="J73" s="23">
        <f>ROUND(62*1,0)&amp;"%"</f>
      </c>
    </row>
    <row x14ac:dyDescent="0.25" r="74" customHeight="1" ht="17.25">
      <c r="A74" s="24" t="s">
        <v>148</v>
      </c>
      <c r="B74" s="24"/>
      <c r="C74" s="24"/>
      <c r="D74" s="24"/>
      <c r="E74" s="25">
        <v>8</v>
      </c>
      <c r="F74" s="9"/>
      <c r="G74" s="9"/>
      <c r="H74" s="10"/>
      <c r="I74" s="9"/>
      <c r="J74" s="9"/>
    </row>
    <row x14ac:dyDescent="0.25" r="75" customHeight="1" ht="17.25">
      <c r="A75" s="7"/>
      <c r="B75" s="7"/>
      <c r="C75" s="7"/>
      <c r="D75" s="7"/>
      <c r="E75" s="8"/>
      <c r="F75" s="9"/>
      <c r="G75" s="9"/>
      <c r="H75" s="10"/>
      <c r="I75" s="9"/>
      <c r="J75" s="9"/>
    </row>
    <row x14ac:dyDescent="0.25" r="76" customHeight="1" ht="17.25">
      <c r="A76" s="11" t="s">
        <v>8225</v>
      </c>
      <c r="B76" s="11"/>
      <c r="C76" s="11"/>
      <c r="D76" s="11"/>
      <c r="E76" s="12"/>
      <c r="F76" s="11"/>
      <c r="G76" s="11"/>
      <c r="H76" s="13"/>
      <c r="I76" s="11"/>
      <c r="J76" s="11"/>
    </row>
    <row x14ac:dyDescent="0.25" r="77" customHeight="1" ht="17.25">
      <c r="A77" s="14" t="s">
        <v>3</v>
      </c>
      <c r="B77" s="14" t="s">
        <v>4</v>
      </c>
      <c r="C77" s="14" t="s">
        <v>5</v>
      </c>
      <c r="D77" s="14" t="s">
        <v>6</v>
      </c>
      <c r="E77" s="15" t="s">
        <v>7</v>
      </c>
      <c r="F77" s="14" t="s">
        <v>8</v>
      </c>
      <c r="G77" s="14" t="s">
        <v>9</v>
      </c>
      <c r="H77" s="16" t="s">
        <v>10</v>
      </c>
      <c r="I77" s="14" t="s">
        <v>11</v>
      </c>
      <c r="J77" s="14" t="s">
        <v>12</v>
      </c>
    </row>
    <row x14ac:dyDescent="0.25" r="78" customHeight="1" ht="17.25">
      <c r="A78" s="17" t="s">
        <v>8226</v>
      </c>
      <c r="B78" s="17" t="s">
        <v>151</v>
      </c>
      <c r="C78" s="17" t="s">
        <v>152</v>
      </c>
      <c r="D78" s="17" t="s">
        <v>16</v>
      </c>
      <c r="E78" s="18">
        <f>ROUND(14665*1.05,2)</f>
      </c>
      <c r="F78" s="17" t="s">
        <v>17</v>
      </c>
      <c r="G78" s="17" t="s">
        <v>18</v>
      </c>
      <c r="H78" s="18">
        <f>ROUND(RAND()*4+6,1)</f>
      </c>
      <c r="I78" s="17" t="s">
        <v>19</v>
      </c>
      <c r="J78" s="19">
        <f>ROUND(68*1,0)&amp;"%"</f>
      </c>
    </row>
    <row x14ac:dyDescent="0.25" r="79" customHeight="1" ht="17.25">
      <c r="A79" s="20" t="s">
        <v>8227</v>
      </c>
      <c r="B79" s="20" t="s">
        <v>154</v>
      </c>
      <c r="C79" s="20" t="s">
        <v>152</v>
      </c>
      <c r="D79" s="20" t="s">
        <v>22</v>
      </c>
      <c r="E79" s="21">
        <f>ROUND(13576*1.05,2)</f>
      </c>
      <c r="F79" s="20" t="s">
        <v>23</v>
      </c>
      <c r="G79" s="20" t="s">
        <v>24</v>
      </c>
      <c r="H79" s="21">
        <f>ROUND(RAND()*4+6,1)</f>
      </c>
      <c r="I79" s="20" t="s">
        <v>25</v>
      </c>
      <c r="J79" s="23">
        <f>ROUND(78*1,0)&amp;"%"</f>
      </c>
    </row>
    <row x14ac:dyDescent="0.25" r="80" customHeight="1" ht="17.25">
      <c r="A80" s="17" t="s">
        <v>8228</v>
      </c>
      <c r="B80" s="17" t="s">
        <v>156</v>
      </c>
      <c r="C80" s="17" t="s">
        <v>152</v>
      </c>
      <c r="D80" s="17" t="s">
        <v>28</v>
      </c>
      <c r="E80" s="18">
        <f>ROUND(15823*1.05,2)</f>
      </c>
      <c r="F80" s="17" t="s">
        <v>29</v>
      </c>
      <c r="G80" s="17" t="s">
        <v>30</v>
      </c>
      <c r="H80" s="18">
        <f>ROUND(RAND()*4+6,1)</f>
      </c>
      <c r="I80" s="17" t="s">
        <v>31</v>
      </c>
      <c r="J80" s="19">
        <f>ROUND(93*1,0)&amp;"%"</f>
      </c>
    </row>
    <row x14ac:dyDescent="0.25" r="81" customHeight="1" ht="17.25">
      <c r="A81" s="20" t="s">
        <v>8229</v>
      </c>
      <c r="B81" s="20" t="s">
        <v>158</v>
      </c>
      <c r="C81" s="20" t="s">
        <v>152</v>
      </c>
      <c r="D81" s="20" t="s">
        <v>34</v>
      </c>
      <c r="E81" s="21">
        <f>ROUND(14058*1.05,2)</f>
      </c>
      <c r="F81" s="20" t="s">
        <v>35</v>
      </c>
      <c r="G81" s="20" t="s">
        <v>18</v>
      </c>
      <c r="H81" s="21">
        <f>ROUND(RAND()*4+6,1)</f>
      </c>
      <c r="I81" s="20" t="s">
        <v>36</v>
      </c>
      <c r="J81" s="23">
        <f>ROUND(90*1,0)&amp;"%"</f>
      </c>
    </row>
    <row x14ac:dyDescent="0.25" r="82" customHeight="1" ht="17.25">
      <c r="A82" s="17" t="s">
        <v>8230</v>
      </c>
      <c r="B82" s="17" t="s">
        <v>160</v>
      </c>
      <c r="C82" s="17" t="s">
        <v>152</v>
      </c>
      <c r="D82" s="17" t="s">
        <v>39</v>
      </c>
      <c r="E82" s="18">
        <f>ROUND(10934*1.05,2)</f>
      </c>
      <c r="F82" s="17" t="s">
        <v>40</v>
      </c>
      <c r="G82" s="17" t="s">
        <v>24</v>
      </c>
      <c r="H82" s="18">
        <f>ROUND(RAND()*4+6,1)</f>
      </c>
      <c r="I82" s="17" t="s">
        <v>41</v>
      </c>
      <c r="J82" s="19">
        <f>ROUND(98*1,0)&amp;"%"</f>
      </c>
    </row>
    <row x14ac:dyDescent="0.25" r="83" customHeight="1" ht="17.25">
      <c r="A83" s="20" t="s">
        <v>8231</v>
      </c>
      <c r="B83" s="20" t="s">
        <v>162</v>
      </c>
      <c r="C83" s="20" t="s">
        <v>152</v>
      </c>
      <c r="D83" s="20" t="s">
        <v>67</v>
      </c>
      <c r="E83" s="21">
        <f>ROUND(7125*1.05,2)</f>
      </c>
      <c r="F83" s="20" t="s">
        <v>44</v>
      </c>
      <c r="G83" s="20" t="s">
        <v>30</v>
      </c>
      <c r="H83" s="21">
        <f>ROUND(RAND()*4+6,1)</f>
      </c>
      <c r="I83" s="20" t="s">
        <v>45</v>
      </c>
      <c r="J83" s="23">
        <f>ROUND(67*1,0)&amp;"%"</f>
      </c>
    </row>
    <row x14ac:dyDescent="0.25" r="84" customHeight="1" ht="17.25">
      <c r="A84" s="17" t="s">
        <v>8232</v>
      </c>
      <c r="B84" s="17" t="s">
        <v>164</v>
      </c>
      <c r="C84" s="17" t="s">
        <v>152</v>
      </c>
      <c r="D84" s="17" t="s">
        <v>16</v>
      </c>
      <c r="E84" s="18">
        <f>ROUND(16137*1.05,2)</f>
      </c>
      <c r="F84" s="17" t="s">
        <v>48</v>
      </c>
      <c r="G84" s="17" t="s">
        <v>18</v>
      </c>
      <c r="H84" s="18">
        <f>ROUND(RAND()*4+6,1)</f>
      </c>
      <c r="I84" s="17" t="s">
        <v>19</v>
      </c>
      <c r="J84" s="19">
        <f>ROUND(96*1,0)&amp;"%"</f>
      </c>
    </row>
    <row x14ac:dyDescent="0.25" r="85" customHeight="1" ht="17.25">
      <c r="A85" s="20" t="s">
        <v>8233</v>
      </c>
      <c r="B85" s="20" t="s">
        <v>166</v>
      </c>
      <c r="C85" s="20" t="s">
        <v>152</v>
      </c>
      <c r="D85" s="20" t="s">
        <v>22</v>
      </c>
      <c r="E85" s="21">
        <f>ROUND(14823*1.05,2)</f>
      </c>
      <c r="F85" s="20" t="s">
        <v>51</v>
      </c>
      <c r="G85" s="20" t="s">
        <v>24</v>
      </c>
      <c r="H85" s="21">
        <f>ROUND(RAND()*4+6,1)</f>
      </c>
      <c r="I85" s="20" t="s">
        <v>25</v>
      </c>
      <c r="J85" s="23">
        <f>ROUND(65*1,0)&amp;"%"</f>
      </c>
    </row>
    <row x14ac:dyDescent="0.25" r="86" customHeight="1" ht="17.25">
      <c r="A86" s="24" t="s">
        <v>167</v>
      </c>
      <c r="B86" s="24"/>
      <c r="C86" s="24"/>
      <c r="D86" s="24"/>
      <c r="E86" s="25">
        <v>8</v>
      </c>
      <c r="F86" s="9"/>
      <c r="G86" s="9"/>
      <c r="H86" s="10"/>
      <c r="I86" s="9"/>
      <c r="J86" s="9"/>
    </row>
    <row x14ac:dyDescent="0.25" r="87" customHeight="1" ht="17.25">
      <c r="A87" s="7"/>
      <c r="B87" s="7"/>
      <c r="C87" s="7"/>
      <c r="D87" s="7"/>
      <c r="E87" s="8"/>
      <c r="F87" s="9"/>
      <c r="G87" s="9"/>
      <c r="H87" s="10"/>
      <c r="I87" s="9"/>
      <c r="J87" s="9"/>
    </row>
    <row x14ac:dyDescent="0.25" r="88" customHeight="1" ht="17.25">
      <c r="A88" s="11" t="s">
        <v>8234</v>
      </c>
      <c r="B88" s="11"/>
      <c r="C88" s="11"/>
      <c r="D88" s="11"/>
      <c r="E88" s="12"/>
      <c r="F88" s="11"/>
      <c r="G88" s="11"/>
      <c r="H88" s="13"/>
      <c r="I88" s="11"/>
      <c r="J88" s="11"/>
    </row>
    <row x14ac:dyDescent="0.25" r="89" customHeight="1" ht="17.25">
      <c r="A89" s="14" t="s">
        <v>3</v>
      </c>
      <c r="B89" s="14" t="s">
        <v>4</v>
      </c>
      <c r="C89" s="14" t="s">
        <v>5</v>
      </c>
      <c r="D89" s="14" t="s">
        <v>6</v>
      </c>
      <c r="E89" s="15" t="s">
        <v>7</v>
      </c>
      <c r="F89" s="14" t="s">
        <v>8</v>
      </c>
      <c r="G89" s="14" t="s">
        <v>9</v>
      </c>
      <c r="H89" s="16" t="s">
        <v>10</v>
      </c>
      <c r="I89" s="14" t="s">
        <v>11</v>
      </c>
      <c r="J89" s="14" t="s">
        <v>12</v>
      </c>
    </row>
    <row x14ac:dyDescent="0.25" r="90" customHeight="1" ht="17.25">
      <c r="A90" s="17" t="s">
        <v>8235</v>
      </c>
      <c r="B90" s="17" t="s">
        <v>170</v>
      </c>
      <c r="C90" s="17" t="s">
        <v>15</v>
      </c>
      <c r="D90" s="17" t="s">
        <v>16</v>
      </c>
      <c r="E90" s="18">
        <f>ROUND(7085*1.05,2)</f>
      </c>
      <c r="F90" s="17" t="s">
        <v>17</v>
      </c>
      <c r="G90" s="17" t="s">
        <v>18</v>
      </c>
      <c r="H90" s="18">
        <f>ROUND(RAND()*4+6,1)</f>
      </c>
      <c r="I90" s="17" t="s">
        <v>19</v>
      </c>
      <c r="J90" s="19">
        <f>ROUND(70*1,0)&amp;"%"</f>
      </c>
    </row>
    <row x14ac:dyDescent="0.25" r="91" customHeight="1" ht="17.25">
      <c r="A91" s="20" t="s">
        <v>8236</v>
      </c>
      <c r="B91" s="20" t="s">
        <v>172</v>
      </c>
      <c r="C91" s="20" t="s">
        <v>15</v>
      </c>
      <c r="D91" s="20" t="s">
        <v>22</v>
      </c>
      <c r="E91" s="21">
        <f>ROUND(16248*1.05,2)</f>
      </c>
      <c r="F91" s="20" t="s">
        <v>23</v>
      </c>
      <c r="G91" s="20" t="s">
        <v>24</v>
      </c>
      <c r="H91" s="21">
        <f>ROUND(RAND()*4+6,1)</f>
      </c>
      <c r="I91" s="20" t="s">
        <v>25</v>
      </c>
      <c r="J91" s="23">
        <f>ROUND(66*1,0)&amp;"%"</f>
      </c>
    </row>
    <row x14ac:dyDescent="0.25" r="92" customHeight="1" ht="17.25">
      <c r="A92" s="17" t="s">
        <v>8237</v>
      </c>
      <c r="B92" s="17" t="s">
        <v>174</v>
      </c>
      <c r="C92" s="17" t="s">
        <v>15</v>
      </c>
      <c r="D92" s="17" t="s">
        <v>28</v>
      </c>
      <c r="E92" s="18">
        <f>ROUND(7494*1.05,2)</f>
      </c>
      <c r="F92" s="17" t="s">
        <v>29</v>
      </c>
      <c r="G92" s="17" t="s">
        <v>30</v>
      </c>
      <c r="H92" s="18">
        <f>ROUND(RAND()*4+6,1)</f>
      </c>
      <c r="I92" s="17" t="s">
        <v>31</v>
      </c>
      <c r="J92" s="19">
        <f>ROUND(78*1,0)&amp;"%"</f>
      </c>
    </row>
    <row x14ac:dyDescent="0.25" r="93" customHeight="1" ht="17.25">
      <c r="A93" s="20" t="s">
        <v>8238</v>
      </c>
      <c r="B93" s="20" t="s">
        <v>176</v>
      </c>
      <c r="C93" s="20" t="s">
        <v>15</v>
      </c>
      <c r="D93" s="20" t="s">
        <v>34</v>
      </c>
      <c r="E93" s="21">
        <f>ROUND(7466*1.05,2)</f>
      </c>
      <c r="F93" s="20" t="s">
        <v>35</v>
      </c>
      <c r="G93" s="20" t="s">
        <v>18</v>
      </c>
      <c r="H93" s="22">
        <f>ROUND(RAND()*4+6,1)</f>
      </c>
      <c r="I93" s="20" t="s">
        <v>36</v>
      </c>
      <c r="J93" s="23">
        <f>ROUND(76*1,0)&amp;"%"</f>
      </c>
    </row>
    <row x14ac:dyDescent="0.25" r="94" customHeight="1" ht="17.25">
      <c r="A94" s="17" t="s">
        <v>8239</v>
      </c>
      <c r="B94" s="17" t="s">
        <v>178</v>
      </c>
      <c r="C94" s="17" t="s">
        <v>15</v>
      </c>
      <c r="D94" s="17" t="s">
        <v>39</v>
      </c>
      <c r="E94" s="18">
        <f>ROUND(9728*1.05,2)</f>
      </c>
      <c r="F94" s="17" t="s">
        <v>40</v>
      </c>
      <c r="G94" s="17" t="s">
        <v>24</v>
      </c>
      <c r="H94" s="18">
        <f>ROUND(RAND()*4+6,1)</f>
      </c>
      <c r="I94" s="17" t="s">
        <v>41</v>
      </c>
      <c r="J94" s="19">
        <f>ROUND(64*1,0)&amp;"%"</f>
      </c>
    </row>
    <row x14ac:dyDescent="0.25" r="95" customHeight="1" ht="17.25">
      <c r="A95" s="20" t="s">
        <v>8240</v>
      </c>
      <c r="B95" s="20" t="s">
        <v>180</v>
      </c>
      <c r="C95" s="20" t="s">
        <v>15</v>
      </c>
      <c r="D95" s="20" t="s">
        <v>67</v>
      </c>
      <c r="E95" s="22">
        <f>ROUND(14180*1.05,2)</f>
      </c>
      <c r="F95" s="20" t="s">
        <v>44</v>
      </c>
      <c r="G95" s="20" t="s">
        <v>30</v>
      </c>
      <c r="H95" s="21">
        <f>ROUND(RAND()*4+6,1)</f>
      </c>
      <c r="I95" s="20" t="s">
        <v>45</v>
      </c>
      <c r="J95" s="23">
        <f>ROUND(86*1,0)&amp;"%"</f>
      </c>
    </row>
    <row x14ac:dyDescent="0.25" r="96" customHeight="1" ht="17.25">
      <c r="A96" s="17" t="s">
        <v>8241</v>
      </c>
      <c r="B96" s="17" t="s">
        <v>182</v>
      </c>
      <c r="C96" s="17" t="s">
        <v>15</v>
      </c>
      <c r="D96" s="17" t="s">
        <v>16</v>
      </c>
      <c r="E96" s="18">
        <f>ROUND(6906*1.05,2)</f>
      </c>
      <c r="F96" s="17" t="s">
        <v>48</v>
      </c>
      <c r="G96" s="17" t="s">
        <v>18</v>
      </c>
      <c r="H96" s="26">
        <f>ROUND(RAND()*4+6,1)</f>
      </c>
      <c r="I96" s="17" t="s">
        <v>19</v>
      </c>
      <c r="J96" s="19">
        <f>ROUND(100*1,0)&amp;"%"</f>
      </c>
    </row>
    <row x14ac:dyDescent="0.25" r="97" customHeight="1" ht="17.25">
      <c r="A97" s="20" t="s">
        <v>8242</v>
      </c>
      <c r="B97" s="20" t="s">
        <v>184</v>
      </c>
      <c r="C97" s="20" t="s">
        <v>15</v>
      </c>
      <c r="D97" s="20" t="s">
        <v>22</v>
      </c>
      <c r="E97" s="21">
        <f>ROUND(8010*1.05,2)</f>
      </c>
      <c r="F97" s="20" t="s">
        <v>51</v>
      </c>
      <c r="G97" s="20" t="s">
        <v>24</v>
      </c>
      <c r="H97" s="21">
        <f>ROUND(RAND()*4+6,1)</f>
      </c>
      <c r="I97" s="20" t="s">
        <v>25</v>
      </c>
      <c r="J97" s="23">
        <f>ROUND(96*1,0)&amp;"%"</f>
      </c>
    </row>
    <row x14ac:dyDescent="0.25" r="98" customHeight="1" ht="17.25">
      <c r="A98" s="24" t="s">
        <v>185</v>
      </c>
      <c r="B98" s="24"/>
      <c r="C98" s="24"/>
      <c r="D98" s="24"/>
      <c r="E98" s="25">
        <v>8</v>
      </c>
      <c r="F98" s="9"/>
      <c r="G98" s="9"/>
      <c r="H98" s="10"/>
      <c r="I98" s="9"/>
      <c r="J98" s="9"/>
    </row>
    <row x14ac:dyDescent="0.25" r="99" customHeight="1" ht="17.25">
      <c r="A99" s="7"/>
      <c r="B99" s="7"/>
      <c r="C99" s="7"/>
      <c r="D99" s="7"/>
      <c r="E99" s="8"/>
      <c r="F99" s="9"/>
      <c r="G99" s="9"/>
      <c r="H99" s="10"/>
      <c r="I99" s="9"/>
      <c r="J99" s="9"/>
    </row>
    <row x14ac:dyDescent="0.25" r="100" customHeight="1" ht="17.25">
      <c r="A100" s="11" t="s">
        <v>8243</v>
      </c>
      <c r="B100" s="11"/>
      <c r="C100" s="11"/>
      <c r="D100" s="11"/>
      <c r="E100" s="12"/>
      <c r="F100" s="11"/>
      <c r="G100" s="11"/>
      <c r="H100" s="13"/>
      <c r="I100" s="11"/>
      <c r="J100" s="11"/>
    </row>
    <row x14ac:dyDescent="0.25" r="101" customHeight="1" ht="17.25">
      <c r="A101" s="14" t="s">
        <v>3</v>
      </c>
      <c r="B101" s="14" t="s">
        <v>4</v>
      </c>
      <c r="C101" s="14" t="s">
        <v>5</v>
      </c>
      <c r="D101" s="14" t="s">
        <v>6</v>
      </c>
      <c r="E101" s="15" t="s">
        <v>7</v>
      </c>
      <c r="F101" s="14" t="s">
        <v>8</v>
      </c>
      <c r="G101" s="14" t="s">
        <v>9</v>
      </c>
      <c r="H101" s="16" t="s">
        <v>10</v>
      </c>
      <c r="I101" s="14" t="s">
        <v>11</v>
      </c>
      <c r="J101" s="14" t="s">
        <v>12</v>
      </c>
    </row>
    <row x14ac:dyDescent="0.25" r="102" customHeight="1" ht="17.25">
      <c r="A102" s="17" t="s">
        <v>8244</v>
      </c>
      <c r="B102" s="17" t="s">
        <v>188</v>
      </c>
      <c r="C102" s="17" t="s">
        <v>56</v>
      </c>
      <c r="D102" s="17" t="s">
        <v>16</v>
      </c>
      <c r="E102" s="18">
        <f>ROUND(16790*1.05,2)</f>
      </c>
      <c r="F102" s="17" t="s">
        <v>17</v>
      </c>
      <c r="G102" s="17" t="s">
        <v>18</v>
      </c>
      <c r="H102" s="18">
        <f>ROUND(RAND()*4+6,1)</f>
      </c>
      <c r="I102" s="17" t="s">
        <v>19</v>
      </c>
      <c r="J102" s="19">
        <f>ROUND(62*1,0)&amp;"%"</f>
      </c>
    </row>
    <row x14ac:dyDescent="0.25" r="103" customHeight="1" ht="17.25">
      <c r="A103" s="20" t="s">
        <v>8245</v>
      </c>
      <c r="B103" s="20" t="s">
        <v>190</v>
      </c>
      <c r="C103" s="20" t="s">
        <v>56</v>
      </c>
      <c r="D103" s="20" t="s">
        <v>22</v>
      </c>
      <c r="E103" s="21">
        <f>ROUND(13114*1.05,2)</f>
      </c>
      <c r="F103" s="20" t="s">
        <v>23</v>
      </c>
      <c r="G103" s="20" t="s">
        <v>24</v>
      </c>
      <c r="H103" s="21">
        <f>ROUND(RAND()*4+6,1)</f>
      </c>
      <c r="I103" s="20" t="s">
        <v>25</v>
      </c>
      <c r="J103" s="23">
        <f>ROUND(67*1,0)&amp;"%"</f>
      </c>
    </row>
    <row x14ac:dyDescent="0.25" r="104" customHeight="1" ht="17.25">
      <c r="A104" s="17" t="s">
        <v>8246</v>
      </c>
      <c r="B104" s="17" t="s">
        <v>192</v>
      </c>
      <c r="C104" s="17" t="s">
        <v>56</v>
      </c>
      <c r="D104" s="17" t="s">
        <v>28</v>
      </c>
      <c r="E104" s="18">
        <f>ROUND(15661*1.05,2)</f>
      </c>
      <c r="F104" s="17" t="s">
        <v>29</v>
      </c>
      <c r="G104" s="17" t="s">
        <v>30</v>
      </c>
      <c r="H104" s="18">
        <f>ROUND(RAND()*4+6,1)</f>
      </c>
      <c r="I104" s="17" t="s">
        <v>31</v>
      </c>
      <c r="J104" s="19">
        <f>ROUND(92*1,0)&amp;"%"</f>
      </c>
    </row>
    <row x14ac:dyDescent="0.25" r="105" customHeight="1" ht="17.25">
      <c r="A105" s="20" t="s">
        <v>8247</v>
      </c>
      <c r="B105" s="20" t="s">
        <v>194</v>
      </c>
      <c r="C105" s="20" t="s">
        <v>56</v>
      </c>
      <c r="D105" s="20" t="s">
        <v>34</v>
      </c>
      <c r="E105" s="21">
        <f>ROUND(13833*1.05,2)</f>
      </c>
      <c r="F105" s="20" t="s">
        <v>35</v>
      </c>
      <c r="G105" s="20" t="s">
        <v>18</v>
      </c>
      <c r="H105" s="21">
        <f>ROUND(RAND()*4+6,1)</f>
      </c>
      <c r="I105" s="20" t="s">
        <v>36</v>
      </c>
      <c r="J105" s="23">
        <f>ROUND(74*1,0)&amp;"%"</f>
      </c>
    </row>
    <row x14ac:dyDescent="0.25" r="106" customHeight="1" ht="17.25">
      <c r="A106" s="17" t="s">
        <v>8248</v>
      </c>
      <c r="B106" s="17" t="s">
        <v>196</v>
      </c>
      <c r="C106" s="17" t="s">
        <v>56</v>
      </c>
      <c r="D106" s="17" t="s">
        <v>39</v>
      </c>
      <c r="E106" s="18">
        <f>ROUND(10349*1.05,2)</f>
      </c>
      <c r="F106" s="17" t="s">
        <v>40</v>
      </c>
      <c r="G106" s="17" t="s">
        <v>24</v>
      </c>
      <c r="H106" s="26">
        <f>ROUND(RAND()*4+6,1)</f>
      </c>
      <c r="I106" s="17" t="s">
        <v>41</v>
      </c>
      <c r="J106" s="19">
        <f>ROUND(91*1,0)&amp;"%"</f>
      </c>
    </row>
    <row x14ac:dyDescent="0.25" r="107" customHeight="1" ht="17.25">
      <c r="A107" s="20" t="s">
        <v>8249</v>
      </c>
      <c r="B107" s="20" t="s">
        <v>198</v>
      </c>
      <c r="C107" s="20" t="s">
        <v>56</v>
      </c>
      <c r="D107" s="20" t="s">
        <v>67</v>
      </c>
      <c r="E107" s="21">
        <f>ROUND(4851*1.05,2)</f>
      </c>
      <c r="F107" s="20" t="s">
        <v>44</v>
      </c>
      <c r="G107" s="20" t="s">
        <v>30</v>
      </c>
      <c r="H107" s="21">
        <f>ROUND(RAND()*4+6,1)</f>
      </c>
      <c r="I107" s="20" t="s">
        <v>45</v>
      </c>
      <c r="J107" s="23">
        <f>ROUND(91*1,0)&amp;"%"</f>
      </c>
    </row>
    <row x14ac:dyDescent="0.25" r="108" customHeight="1" ht="17.25">
      <c r="A108" s="17" t="s">
        <v>8250</v>
      </c>
      <c r="B108" s="17" t="s">
        <v>200</v>
      </c>
      <c r="C108" s="17" t="s">
        <v>56</v>
      </c>
      <c r="D108" s="17" t="s">
        <v>16</v>
      </c>
      <c r="E108" s="18">
        <f>ROUND(5799*1.05,2)</f>
      </c>
      <c r="F108" s="17" t="s">
        <v>48</v>
      </c>
      <c r="G108" s="17" t="s">
        <v>18</v>
      </c>
      <c r="H108" s="18">
        <f>ROUND(RAND()*4+6,1)</f>
      </c>
      <c r="I108" s="17" t="s">
        <v>19</v>
      </c>
      <c r="J108" s="19">
        <f>ROUND(69*1,0)&amp;"%"</f>
      </c>
    </row>
    <row x14ac:dyDescent="0.25" r="109" customHeight="1" ht="17.25">
      <c r="A109" s="20" t="s">
        <v>8251</v>
      </c>
      <c r="B109" s="20" t="s">
        <v>202</v>
      </c>
      <c r="C109" s="20" t="s">
        <v>56</v>
      </c>
      <c r="D109" s="20" t="s">
        <v>22</v>
      </c>
      <c r="E109" s="22">
        <f>ROUND(15940*1.05,2)</f>
      </c>
      <c r="F109" s="20" t="s">
        <v>51</v>
      </c>
      <c r="G109" s="20" t="s">
        <v>24</v>
      </c>
      <c r="H109" s="21">
        <f>ROUND(RAND()*4+6,1)</f>
      </c>
      <c r="I109" s="20" t="s">
        <v>25</v>
      </c>
      <c r="J109" s="23">
        <f>ROUND(98*1,0)&amp;"%"</f>
      </c>
    </row>
    <row x14ac:dyDescent="0.25" r="110" customHeight="1" ht="17.25">
      <c r="A110" s="24" t="s">
        <v>203</v>
      </c>
      <c r="B110" s="24"/>
      <c r="C110" s="24"/>
      <c r="D110" s="24"/>
      <c r="E110" s="25">
        <v>8</v>
      </c>
      <c r="F110" s="9"/>
      <c r="G110" s="9"/>
      <c r="H110" s="10"/>
      <c r="I110" s="9"/>
      <c r="J110" s="9"/>
    </row>
    <row x14ac:dyDescent="0.25" r="111" customHeight="1" ht="17.25">
      <c r="A111" s="7"/>
      <c r="B111" s="7"/>
      <c r="C111" s="7"/>
      <c r="D111" s="7"/>
      <c r="E111" s="8"/>
      <c r="F111" s="9"/>
      <c r="G111" s="9"/>
      <c r="H111" s="10"/>
      <c r="I111" s="9"/>
      <c r="J111" s="9"/>
    </row>
    <row x14ac:dyDescent="0.25" r="112" customHeight="1" ht="17.25">
      <c r="A112" s="11" t="s">
        <v>8252</v>
      </c>
      <c r="B112" s="11"/>
      <c r="C112" s="11"/>
      <c r="D112" s="11"/>
      <c r="E112" s="12"/>
      <c r="F112" s="11"/>
      <c r="G112" s="11"/>
      <c r="H112" s="13"/>
      <c r="I112" s="11"/>
      <c r="J112" s="11"/>
    </row>
    <row x14ac:dyDescent="0.25" r="113" customHeight="1" ht="17.25">
      <c r="A113" s="14" t="s">
        <v>3</v>
      </c>
      <c r="B113" s="14" t="s">
        <v>4</v>
      </c>
      <c r="C113" s="14" t="s">
        <v>5</v>
      </c>
      <c r="D113" s="14" t="s">
        <v>6</v>
      </c>
      <c r="E113" s="15" t="s">
        <v>7</v>
      </c>
      <c r="F113" s="14" t="s">
        <v>8</v>
      </c>
      <c r="G113" s="14" t="s">
        <v>9</v>
      </c>
      <c r="H113" s="16" t="s">
        <v>10</v>
      </c>
      <c r="I113" s="14" t="s">
        <v>11</v>
      </c>
      <c r="J113" s="14" t="s">
        <v>12</v>
      </c>
    </row>
    <row x14ac:dyDescent="0.25" r="114" customHeight="1" ht="17.25">
      <c r="A114" s="17" t="s">
        <v>8253</v>
      </c>
      <c r="B114" s="17" t="s">
        <v>206</v>
      </c>
      <c r="C114" s="17" t="s">
        <v>76</v>
      </c>
      <c r="D114" s="17" t="s">
        <v>16</v>
      </c>
      <c r="E114" s="18">
        <f>ROUND(8492*1.05,2)</f>
      </c>
      <c r="F114" s="17" t="s">
        <v>17</v>
      </c>
      <c r="G114" s="17" t="s">
        <v>18</v>
      </c>
      <c r="H114" s="18">
        <f>ROUND(RAND()*4+6,1)</f>
      </c>
      <c r="I114" s="17" t="s">
        <v>19</v>
      </c>
      <c r="J114" s="19">
        <f>ROUND(75*1,0)&amp;"%"</f>
      </c>
    </row>
    <row x14ac:dyDescent="0.25" r="115" customHeight="1" ht="17.25">
      <c r="A115" s="20" t="s">
        <v>8254</v>
      </c>
      <c r="B115" s="20" t="s">
        <v>208</v>
      </c>
      <c r="C115" s="20" t="s">
        <v>76</v>
      </c>
      <c r="D115" s="20" t="s">
        <v>22</v>
      </c>
      <c r="E115" s="21">
        <f>ROUND(5017*1.05,2)</f>
      </c>
      <c r="F115" s="20" t="s">
        <v>23</v>
      </c>
      <c r="G115" s="20" t="s">
        <v>24</v>
      </c>
      <c r="H115" s="21">
        <f>ROUND(RAND()*4+6,1)</f>
      </c>
      <c r="I115" s="20" t="s">
        <v>25</v>
      </c>
      <c r="J115" s="23">
        <f>ROUND(60*1,0)&amp;"%"</f>
      </c>
    </row>
    <row x14ac:dyDescent="0.25" r="116" customHeight="1" ht="17.25">
      <c r="A116" s="17" t="s">
        <v>8255</v>
      </c>
      <c r="B116" s="17" t="s">
        <v>210</v>
      </c>
      <c r="C116" s="17" t="s">
        <v>76</v>
      </c>
      <c r="D116" s="17" t="s">
        <v>28</v>
      </c>
      <c r="E116" s="18">
        <f>ROUND(17834*1.05,2)</f>
      </c>
      <c r="F116" s="17" t="s">
        <v>29</v>
      </c>
      <c r="G116" s="17" t="s">
        <v>30</v>
      </c>
      <c r="H116" s="18">
        <f>ROUND(RAND()*4+6,1)</f>
      </c>
      <c r="I116" s="17" t="s">
        <v>31</v>
      </c>
      <c r="J116" s="19">
        <f>ROUND(77*1,0)&amp;"%"</f>
      </c>
    </row>
    <row x14ac:dyDescent="0.25" r="117" customHeight="1" ht="17.25">
      <c r="A117" s="20" t="s">
        <v>8256</v>
      </c>
      <c r="B117" s="20" t="s">
        <v>212</v>
      </c>
      <c r="C117" s="20" t="s">
        <v>76</v>
      </c>
      <c r="D117" s="20" t="s">
        <v>34</v>
      </c>
      <c r="E117" s="21">
        <f>ROUND(16061*1.05,2)</f>
      </c>
      <c r="F117" s="20" t="s">
        <v>35</v>
      </c>
      <c r="G117" s="20" t="s">
        <v>18</v>
      </c>
      <c r="H117" s="21">
        <f>ROUND(RAND()*4+6,1)</f>
      </c>
      <c r="I117" s="20" t="s">
        <v>36</v>
      </c>
      <c r="J117" s="23">
        <f>ROUND(63*1,0)&amp;"%"</f>
      </c>
    </row>
    <row x14ac:dyDescent="0.25" r="118" customHeight="1" ht="17.25">
      <c r="A118" s="17" t="s">
        <v>8257</v>
      </c>
      <c r="B118" s="17" t="s">
        <v>214</v>
      </c>
      <c r="C118" s="17" t="s">
        <v>76</v>
      </c>
      <c r="D118" s="17" t="s">
        <v>39</v>
      </c>
      <c r="E118" s="18">
        <f>ROUND(6213*1.05,2)</f>
      </c>
      <c r="F118" s="17" t="s">
        <v>40</v>
      </c>
      <c r="G118" s="17" t="s">
        <v>24</v>
      </c>
      <c r="H118" s="18">
        <f>ROUND(RAND()*4+6,1)</f>
      </c>
      <c r="I118" s="17" t="s">
        <v>41</v>
      </c>
      <c r="J118" s="19">
        <f>ROUND(77*1,0)&amp;"%"</f>
      </c>
    </row>
    <row x14ac:dyDescent="0.25" r="119" customHeight="1" ht="17.25">
      <c r="A119" s="20" t="s">
        <v>8258</v>
      </c>
      <c r="B119" s="20" t="s">
        <v>216</v>
      </c>
      <c r="C119" s="20" t="s">
        <v>76</v>
      </c>
      <c r="D119" s="20" t="s">
        <v>67</v>
      </c>
      <c r="E119" s="21">
        <f>ROUND(12902*1.05,2)</f>
      </c>
      <c r="F119" s="20" t="s">
        <v>44</v>
      </c>
      <c r="G119" s="20" t="s">
        <v>30</v>
      </c>
      <c r="H119" s="21">
        <f>ROUND(RAND()*4+6,1)</f>
      </c>
      <c r="I119" s="20" t="s">
        <v>45</v>
      </c>
      <c r="J119" s="23">
        <f>ROUND(89*1,0)&amp;"%"</f>
      </c>
    </row>
    <row x14ac:dyDescent="0.25" r="120" customHeight="1" ht="17.25">
      <c r="A120" s="17" t="s">
        <v>8259</v>
      </c>
      <c r="B120" s="17" t="s">
        <v>218</v>
      </c>
      <c r="C120" s="17" t="s">
        <v>76</v>
      </c>
      <c r="D120" s="17" t="s">
        <v>16</v>
      </c>
      <c r="E120" s="18">
        <f>ROUND(12103*1.05,2)</f>
      </c>
      <c r="F120" s="17" t="s">
        <v>48</v>
      </c>
      <c r="G120" s="17" t="s">
        <v>18</v>
      </c>
      <c r="H120" s="18">
        <f>ROUND(RAND()*4+6,1)</f>
      </c>
      <c r="I120" s="17" t="s">
        <v>19</v>
      </c>
      <c r="J120" s="19">
        <f>ROUND(98*1,0)&amp;"%"</f>
      </c>
    </row>
    <row x14ac:dyDescent="0.25" r="121" customHeight="1" ht="17.25">
      <c r="A121" s="20" t="s">
        <v>8260</v>
      </c>
      <c r="B121" s="20" t="s">
        <v>220</v>
      </c>
      <c r="C121" s="20" t="s">
        <v>76</v>
      </c>
      <c r="D121" s="20" t="s">
        <v>22</v>
      </c>
      <c r="E121" s="21">
        <f>ROUND(13553*1.05,2)</f>
      </c>
      <c r="F121" s="20" t="s">
        <v>51</v>
      </c>
      <c r="G121" s="20" t="s">
        <v>24</v>
      </c>
      <c r="H121" s="21">
        <f>ROUND(RAND()*4+6,1)</f>
      </c>
      <c r="I121" s="20" t="s">
        <v>25</v>
      </c>
      <c r="J121" s="23">
        <f>ROUND(91*1,0)&amp;"%"</f>
      </c>
    </row>
    <row x14ac:dyDescent="0.25" r="122" customHeight="1" ht="17.25">
      <c r="A122" s="24" t="s">
        <v>221</v>
      </c>
      <c r="B122" s="24"/>
      <c r="C122" s="24"/>
      <c r="D122" s="24"/>
      <c r="E122" s="25">
        <v>8</v>
      </c>
      <c r="F122" s="9"/>
      <c r="G122" s="9"/>
      <c r="H122" s="10"/>
      <c r="I122" s="9"/>
      <c r="J122" s="9"/>
    </row>
    <row x14ac:dyDescent="0.25" r="123" customHeight="1" ht="17.25">
      <c r="A123" s="7"/>
      <c r="B123" s="7"/>
      <c r="C123" s="7"/>
      <c r="D123" s="7"/>
      <c r="E123" s="8"/>
      <c r="F123" s="9"/>
      <c r="G123" s="9"/>
      <c r="H123" s="10"/>
      <c r="I123" s="9"/>
      <c r="J123" s="9"/>
    </row>
    <row x14ac:dyDescent="0.25" r="124" customHeight="1" ht="17.25">
      <c r="A124" s="11" t="s">
        <v>8261</v>
      </c>
      <c r="B124" s="11"/>
      <c r="C124" s="11"/>
      <c r="D124" s="11"/>
      <c r="E124" s="12"/>
      <c r="F124" s="11"/>
      <c r="G124" s="11"/>
      <c r="H124" s="13"/>
      <c r="I124" s="11"/>
      <c r="J124" s="11"/>
    </row>
    <row x14ac:dyDescent="0.25" r="125" customHeight="1" ht="17.25">
      <c r="A125" s="14" t="s">
        <v>3</v>
      </c>
      <c r="B125" s="14" t="s">
        <v>4</v>
      </c>
      <c r="C125" s="14" t="s">
        <v>5</v>
      </c>
      <c r="D125" s="14" t="s">
        <v>6</v>
      </c>
      <c r="E125" s="15" t="s">
        <v>7</v>
      </c>
      <c r="F125" s="14" t="s">
        <v>8</v>
      </c>
      <c r="G125" s="14" t="s">
        <v>9</v>
      </c>
      <c r="H125" s="16" t="s">
        <v>10</v>
      </c>
      <c r="I125" s="14" t="s">
        <v>11</v>
      </c>
      <c r="J125" s="14" t="s">
        <v>12</v>
      </c>
    </row>
    <row x14ac:dyDescent="0.25" r="126" customHeight="1" ht="17.25">
      <c r="A126" s="17" t="s">
        <v>8262</v>
      </c>
      <c r="B126" s="17" t="s">
        <v>224</v>
      </c>
      <c r="C126" s="17" t="s">
        <v>95</v>
      </c>
      <c r="D126" s="17" t="s">
        <v>16</v>
      </c>
      <c r="E126" s="18">
        <f>ROUND(5265*1.05,2)</f>
      </c>
      <c r="F126" s="17" t="s">
        <v>17</v>
      </c>
      <c r="G126" s="17" t="s">
        <v>18</v>
      </c>
      <c r="H126" s="26">
        <f>ROUND(RAND()*4+6,1)</f>
      </c>
      <c r="I126" s="17" t="s">
        <v>19</v>
      </c>
      <c r="J126" s="19">
        <f>ROUND(87*1,0)&amp;"%"</f>
      </c>
    </row>
    <row x14ac:dyDescent="0.25" r="127" customHeight="1" ht="17.25">
      <c r="A127" s="20" t="s">
        <v>8263</v>
      </c>
      <c r="B127" s="20" t="s">
        <v>226</v>
      </c>
      <c r="C127" s="20" t="s">
        <v>95</v>
      </c>
      <c r="D127" s="20" t="s">
        <v>22</v>
      </c>
      <c r="E127" s="21">
        <f>ROUND(11318*1.05,2)</f>
      </c>
      <c r="F127" s="20" t="s">
        <v>23</v>
      </c>
      <c r="G127" s="20" t="s">
        <v>24</v>
      </c>
      <c r="H127" s="21">
        <f>ROUND(RAND()*4+6,1)</f>
      </c>
      <c r="I127" s="20" t="s">
        <v>25</v>
      </c>
      <c r="J127" s="23">
        <f>ROUND(84*1,0)&amp;"%"</f>
      </c>
    </row>
    <row x14ac:dyDescent="0.25" r="128" customHeight="1" ht="17.25">
      <c r="A128" s="17" t="s">
        <v>8264</v>
      </c>
      <c r="B128" s="17" t="s">
        <v>228</v>
      </c>
      <c r="C128" s="17" t="s">
        <v>95</v>
      </c>
      <c r="D128" s="17" t="s">
        <v>28</v>
      </c>
      <c r="E128" s="18">
        <f>ROUND(14699*1.05,2)</f>
      </c>
      <c r="F128" s="17" t="s">
        <v>29</v>
      </c>
      <c r="G128" s="17" t="s">
        <v>30</v>
      </c>
      <c r="H128" s="18">
        <f>ROUND(RAND()*4+6,1)</f>
      </c>
      <c r="I128" s="17" t="s">
        <v>31</v>
      </c>
      <c r="J128" s="19">
        <f>ROUND(74*1,0)&amp;"%"</f>
      </c>
    </row>
    <row x14ac:dyDescent="0.25" r="129" customHeight="1" ht="17.25">
      <c r="A129" s="20" t="s">
        <v>8265</v>
      </c>
      <c r="B129" s="20" t="s">
        <v>230</v>
      </c>
      <c r="C129" s="20" t="s">
        <v>95</v>
      </c>
      <c r="D129" s="20" t="s">
        <v>34</v>
      </c>
      <c r="E129" s="21">
        <f>ROUND(12116*1.05,2)</f>
      </c>
      <c r="F129" s="20" t="s">
        <v>35</v>
      </c>
      <c r="G129" s="20" t="s">
        <v>18</v>
      </c>
      <c r="H129" s="21">
        <f>ROUND(RAND()*4+6,1)</f>
      </c>
      <c r="I129" s="20" t="s">
        <v>36</v>
      </c>
      <c r="J129" s="23">
        <f>ROUND(77*1,0)&amp;"%"</f>
      </c>
    </row>
    <row x14ac:dyDescent="0.25" r="130" customHeight="1" ht="17.25">
      <c r="A130" s="17" t="s">
        <v>8266</v>
      </c>
      <c r="B130" s="17" t="s">
        <v>232</v>
      </c>
      <c r="C130" s="17" t="s">
        <v>95</v>
      </c>
      <c r="D130" s="17" t="s">
        <v>39</v>
      </c>
      <c r="E130" s="18">
        <f>ROUND(13104*1.05,2)</f>
      </c>
      <c r="F130" s="17" t="s">
        <v>40</v>
      </c>
      <c r="G130" s="17" t="s">
        <v>24</v>
      </c>
      <c r="H130" s="18">
        <f>ROUND(RAND()*4+6,1)</f>
      </c>
      <c r="I130" s="17" t="s">
        <v>41</v>
      </c>
      <c r="J130" s="19">
        <f>ROUND(89*1,0)&amp;"%"</f>
      </c>
    </row>
    <row x14ac:dyDescent="0.25" r="131" customHeight="1" ht="17.25">
      <c r="A131" s="20" t="s">
        <v>8267</v>
      </c>
      <c r="B131" s="20" t="s">
        <v>234</v>
      </c>
      <c r="C131" s="20" t="s">
        <v>95</v>
      </c>
      <c r="D131" s="20" t="s">
        <v>67</v>
      </c>
      <c r="E131" s="21">
        <f>ROUND(6475*1.05,2)</f>
      </c>
      <c r="F131" s="20" t="s">
        <v>44</v>
      </c>
      <c r="G131" s="20" t="s">
        <v>30</v>
      </c>
      <c r="H131" s="22">
        <f>ROUND(RAND()*4+6,1)</f>
      </c>
      <c r="I131" s="20" t="s">
        <v>45</v>
      </c>
      <c r="J131" s="23">
        <f>ROUND(71*1,0)&amp;"%"</f>
      </c>
    </row>
    <row x14ac:dyDescent="0.25" r="132" customHeight="1" ht="17.25">
      <c r="A132" s="17" t="s">
        <v>8268</v>
      </c>
      <c r="B132" s="17" t="s">
        <v>236</v>
      </c>
      <c r="C132" s="17" t="s">
        <v>95</v>
      </c>
      <c r="D132" s="17" t="s">
        <v>16</v>
      </c>
      <c r="E132" s="18">
        <f>ROUND(4093*1.05,2)</f>
      </c>
      <c r="F132" s="17" t="s">
        <v>48</v>
      </c>
      <c r="G132" s="17" t="s">
        <v>18</v>
      </c>
      <c r="H132" s="18">
        <f>ROUND(RAND()*4+6,1)</f>
      </c>
      <c r="I132" s="17" t="s">
        <v>19</v>
      </c>
      <c r="J132" s="19">
        <f>ROUND(89*1,0)&amp;"%"</f>
      </c>
    </row>
    <row x14ac:dyDescent="0.25" r="133" customHeight="1" ht="17.25">
      <c r="A133" s="20" t="s">
        <v>8269</v>
      </c>
      <c r="B133" s="20" t="s">
        <v>238</v>
      </c>
      <c r="C133" s="20" t="s">
        <v>95</v>
      </c>
      <c r="D133" s="20" t="s">
        <v>22</v>
      </c>
      <c r="E133" s="21">
        <f>ROUND(14503*1.05,2)</f>
      </c>
      <c r="F133" s="20" t="s">
        <v>51</v>
      </c>
      <c r="G133" s="20" t="s">
        <v>24</v>
      </c>
      <c r="H133" s="21">
        <f>ROUND(RAND()*4+6,1)</f>
      </c>
      <c r="I133" s="20" t="s">
        <v>25</v>
      </c>
      <c r="J133" s="23">
        <f>ROUND(66*1,0)&amp;"%"</f>
      </c>
    </row>
    <row x14ac:dyDescent="0.25" r="134" customHeight="1" ht="17.25">
      <c r="A134" s="24" t="s">
        <v>239</v>
      </c>
      <c r="B134" s="24"/>
      <c r="C134" s="24"/>
      <c r="D134" s="24"/>
      <c r="E134" s="25">
        <v>8</v>
      </c>
      <c r="F134" s="9"/>
      <c r="G134" s="9"/>
      <c r="H134" s="10"/>
      <c r="I134" s="9"/>
      <c r="J134" s="9"/>
    </row>
    <row x14ac:dyDescent="0.25" r="135" customHeight="1" ht="17.25">
      <c r="A135" s="7"/>
      <c r="B135" s="7"/>
      <c r="C135" s="7"/>
      <c r="D135" s="7"/>
      <c r="E135" s="8"/>
      <c r="F135" s="9"/>
      <c r="G135" s="9"/>
      <c r="H135" s="10"/>
      <c r="I135" s="9"/>
      <c r="J135" s="9"/>
    </row>
    <row x14ac:dyDescent="0.25" r="136" customHeight="1" ht="17.25">
      <c r="A136" s="11" t="s">
        <v>8270</v>
      </c>
      <c r="B136" s="11"/>
      <c r="C136" s="11"/>
      <c r="D136" s="11"/>
      <c r="E136" s="12"/>
      <c r="F136" s="11"/>
      <c r="G136" s="11"/>
      <c r="H136" s="13"/>
      <c r="I136" s="11"/>
      <c r="J136" s="11"/>
    </row>
    <row x14ac:dyDescent="0.25" r="137" customHeight="1" ht="17.25">
      <c r="A137" s="14" t="s">
        <v>3</v>
      </c>
      <c r="B137" s="14" t="s">
        <v>4</v>
      </c>
      <c r="C137" s="14" t="s">
        <v>5</v>
      </c>
      <c r="D137" s="14" t="s">
        <v>6</v>
      </c>
      <c r="E137" s="15" t="s">
        <v>7</v>
      </c>
      <c r="F137" s="14" t="s">
        <v>8</v>
      </c>
      <c r="G137" s="14" t="s">
        <v>9</v>
      </c>
      <c r="H137" s="16" t="s">
        <v>10</v>
      </c>
      <c r="I137" s="14" t="s">
        <v>11</v>
      </c>
      <c r="J137" s="14" t="s">
        <v>12</v>
      </c>
    </row>
    <row x14ac:dyDescent="0.25" r="138" customHeight="1" ht="17.25">
      <c r="A138" s="17" t="s">
        <v>8271</v>
      </c>
      <c r="B138" s="17" t="s">
        <v>242</v>
      </c>
      <c r="C138" s="17" t="s">
        <v>114</v>
      </c>
      <c r="D138" s="17" t="s">
        <v>16</v>
      </c>
      <c r="E138" s="18">
        <f>ROUND(9919*1.05,2)</f>
      </c>
      <c r="F138" s="17" t="s">
        <v>17</v>
      </c>
      <c r="G138" s="17" t="s">
        <v>18</v>
      </c>
      <c r="H138" s="18">
        <f>ROUND(RAND()*4+6,1)</f>
      </c>
      <c r="I138" s="17" t="s">
        <v>19</v>
      </c>
      <c r="J138" s="19">
        <f>ROUND(81*1,0)&amp;"%"</f>
      </c>
    </row>
    <row x14ac:dyDescent="0.25" r="139" customHeight="1" ht="17.25">
      <c r="A139" s="20" t="s">
        <v>8272</v>
      </c>
      <c r="B139" s="20" t="s">
        <v>244</v>
      </c>
      <c r="C139" s="20" t="s">
        <v>114</v>
      </c>
      <c r="D139" s="20" t="s">
        <v>22</v>
      </c>
      <c r="E139" s="21">
        <f>ROUND(16391*1.05,2)</f>
      </c>
      <c r="F139" s="20" t="s">
        <v>23</v>
      </c>
      <c r="G139" s="20" t="s">
        <v>24</v>
      </c>
      <c r="H139" s="21">
        <f>ROUND(RAND()*4+6,1)</f>
      </c>
      <c r="I139" s="20" t="s">
        <v>25</v>
      </c>
      <c r="J139" s="23">
        <f>ROUND(79*1,0)&amp;"%"</f>
      </c>
    </row>
    <row x14ac:dyDescent="0.25" r="140" customHeight="1" ht="17.25">
      <c r="A140" s="17" t="s">
        <v>8273</v>
      </c>
      <c r="B140" s="17" t="s">
        <v>246</v>
      </c>
      <c r="C140" s="17" t="s">
        <v>114</v>
      </c>
      <c r="D140" s="17" t="s">
        <v>28</v>
      </c>
      <c r="E140" s="18">
        <f>ROUND(9141*1.05,2)</f>
      </c>
      <c r="F140" s="17" t="s">
        <v>29</v>
      </c>
      <c r="G140" s="17" t="s">
        <v>30</v>
      </c>
      <c r="H140" s="18">
        <f>ROUND(RAND()*4+6,1)</f>
      </c>
      <c r="I140" s="17" t="s">
        <v>31</v>
      </c>
      <c r="J140" s="19">
        <f>ROUND(65*1,0)&amp;"%"</f>
      </c>
    </row>
    <row x14ac:dyDescent="0.25" r="141" customHeight="1" ht="17.25">
      <c r="A141" s="20" t="s">
        <v>8274</v>
      </c>
      <c r="B141" s="20" t="s">
        <v>248</v>
      </c>
      <c r="C141" s="20" t="s">
        <v>114</v>
      </c>
      <c r="D141" s="20" t="s">
        <v>34</v>
      </c>
      <c r="E141" s="21">
        <f>ROUND(16778*1.05,2)</f>
      </c>
      <c r="F141" s="20" t="s">
        <v>35</v>
      </c>
      <c r="G141" s="20" t="s">
        <v>18</v>
      </c>
      <c r="H141" s="21">
        <f>ROUND(RAND()*4+6,1)</f>
      </c>
      <c r="I141" s="20" t="s">
        <v>36</v>
      </c>
      <c r="J141" s="23">
        <f>ROUND(63*1,0)&amp;"%"</f>
      </c>
    </row>
    <row x14ac:dyDescent="0.25" r="142" customHeight="1" ht="17.25">
      <c r="A142" s="17" t="s">
        <v>8275</v>
      </c>
      <c r="B142" s="17" t="s">
        <v>250</v>
      </c>
      <c r="C142" s="17" t="s">
        <v>114</v>
      </c>
      <c r="D142" s="17" t="s">
        <v>39</v>
      </c>
      <c r="E142" s="26">
        <f>ROUND(13040*1.05,2)</f>
      </c>
      <c r="F142" s="17" t="s">
        <v>40</v>
      </c>
      <c r="G142" s="17" t="s">
        <v>24</v>
      </c>
      <c r="H142" s="26">
        <f>ROUND(RAND()*4+6,1)</f>
      </c>
      <c r="I142" s="17" t="s">
        <v>41</v>
      </c>
      <c r="J142" s="19">
        <f>ROUND(90*1,0)&amp;"%"</f>
      </c>
    </row>
    <row x14ac:dyDescent="0.25" r="143" customHeight="1" ht="17.25">
      <c r="A143" s="20" t="s">
        <v>8276</v>
      </c>
      <c r="B143" s="20" t="s">
        <v>252</v>
      </c>
      <c r="C143" s="20" t="s">
        <v>114</v>
      </c>
      <c r="D143" s="20" t="s">
        <v>67</v>
      </c>
      <c r="E143" s="21">
        <f>ROUND(6285*1.05,2)</f>
      </c>
      <c r="F143" s="20" t="s">
        <v>44</v>
      </c>
      <c r="G143" s="20" t="s">
        <v>30</v>
      </c>
      <c r="H143" s="22">
        <f>ROUND(RAND()*4+6,1)</f>
      </c>
      <c r="I143" s="20" t="s">
        <v>45</v>
      </c>
      <c r="J143" s="23">
        <f>ROUND(71*1,0)&amp;"%"</f>
      </c>
    </row>
    <row x14ac:dyDescent="0.25" r="144" customHeight="1" ht="17.25">
      <c r="A144" s="17" t="s">
        <v>8277</v>
      </c>
      <c r="B144" s="17" t="s">
        <v>254</v>
      </c>
      <c r="C144" s="17" t="s">
        <v>114</v>
      </c>
      <c r="D144" s="17" t="s">
        <v>16</v>
      </c>
      <c r="E144" s="18">
        <f>ROUND(14026*1.05,2)</f>
      </c>
      <c r="F144" s="17" t="s">
        <v>48</v>
      </c>
      <c r="G144" s="17" t="s">
        <v>18</v>
      </c>
      <c r="H144" s="18">
        <f>ROUND(RAND()*4+6,1)</f>
      </c>
      <c r="I144" s="17" t="s">
        <v>19</v>
      </c>
      <c r="J144" s="19">
        <f>ROUND(85*1,0)&amp;"%"</f>
      </c>
    </row>
    <row x14ac:dyDescent="0.25" r="145" customHeight="1" ht="17.25">
      <c r="A145" s="20" t="s">
        <v>8278</v>
      </c>
      <c r="B145" s="20" t="s">
        <v>256</v>
      </c>
      <c r="C145" s="20" t="s">
        <v>114</v>
      </c>
      <c r="D145" s="20" t="s">
        <v>22</v>
      </c>
      <c r="E145" s="21">
        <f>ROUND(16149*1.05,2)</f>
      </c>
      <c r="F145" s="20" t="s">
        <v>51</v>
      </c>
      <c r="G145" s="20" t="s">
        <v>24</v>
      </c>
      <c r="H145" s="21">
        <f>ROUND(RAND()*4+6,1)</f>
      </c>
      <c r="I145" s="20" t="s">
        <v>25</v>
      </c>
      <c r="J145" s="23">
        <f>ROUND(72*1,0)&amp;"%"</f>
      </c>
    </row>
    <row x14ac:dyDescent="0.25" r="146" customHeight="1" ht="17.25">
      <c r="A146" s="24" t="s">
        <v>257</v>
      </c>
      <c r="B146" s="24"/>
      <c r="C146" s="24"/>
      <c r="D146" s="24"/>
      <c r="E146" s="25">
        <v>8</v>
      </c>
      <c r="F146" s="9"/>
      <c r="G146" s="9"/>
      <c r="H146" s="10"/>
      <c r="I146" s="9"/>
      <c r="J146" s="9"/>
    </row>
    <row x14ac:dyDescent="0.25" r="147" customHeight="1" ht="17.25">
      <c r="A147" s="7"/>
      <c r="B147" s="7"/>
      <c r="C147" s="7"/>
      <c r="D147" s="7"/>
      <c r="E147" s="8"/>
      <c r="F147" s="9"/>
      <c r="G147" s="9"/>
      <c r="H147" s="10"/>
      <c r="I147" s="9"/>
      <c r="J147" s="9"/>
    </row>
    <row x14ac:dyDescent="0.25" r="148" customHeight="1" ht="17.25">
      <c r="A148" s="11" t="s">
        <v>8279</v>
      </c>
      <c r="B148" s="11"/>
      <c r="C148" s="11"/>
      <c r="D148" s="11"/>
      <c r="E148" s="12"/>
      <c r="F148" s="11"/>
      <c r="G148" s="11"/>
      <c r="H148" s="13"/>
      <c r="I148" s="11"/>
      <c r="J148" s="11"/>
    </row>
    <row x14ac:dyDescent="0.25" r="149" customHeight="1" ht="17.25">
      <c r="A149" s="14" t="s">
        <v>3</v>
      </c>
      <c r="B149" s="14" t="s">
        <v>4</v>
      </c>
      <c r="C149" s="14" t="s">
        <v>5</v>
      </c>
      <c r="D149" s="14" t="s">
        <v>6</v>
      </c>
      <c r="E149" s="15" t="s">
        <v>7</v>
      </c>
      <c r="F149" s="14" t="s">
        <v>8</v>
      </c>
      <c r="G149" s="14" t="s">
        <v>9</v>
      </c>
      <c r="H149" s="16" t="s">
        <v>10</v>
      </c>
      <c r="I149" s="14" t="s">
        <v>11</v>
      </c>
      <c r="J149" s="14" t="s">
        <v>12</v>
      </c>
    </row>
    <row x14ac:dyDescent="0.25" r="150" customHeight="1" ht="17.25">
      <c r="A150" s="17" t="s">
        <v>8280</v>
      </c>
      <c r="B150" s="17" t="s">
        <v>260</v>
      </c>
      <c r="C150" s="17" t="s">
        <v>133</v>
      </c>
      <c r="D150" s="17" t="s">
        <v>16</v>
      </c>
      <c r="E150" s="26">
        <f>ROUND(9060*1.05,2)</f>
      </c>
      <c r="F150" s="17" t="s">
        <v>17</v>
      </c>
      <c r="G150" s="17" t="s">
        <v>18</v>
      </c>
      <c r="H150" s="18">
        <f>ROUND(RAND()*4+6,1)</f>
      </c>
      <c r="I150" s="17" t="s">
        <v>19</v>
      </c>
      <c r="J150" s="19">
        <f>ROUND(81*1,0)&amp;"%"</f>
      </c>
    </row>
    <row x14ac:dyDescent="0.25" r="151" customHeight="1" ht="17.25">
      <c r="A151" s="20" t="s">
        <v>8281</v>
      </c>
      <c r="B151" s="20" t="s">
        <v>262</v>
      </c>
      <c r="C151" s="20" t="s">
        <v>133</v>
      </c>
      <c r="D151" s="20" t="s">
        <v>22</v>
      </c>
      <c r="E151" s="21">
        <f>ROUND(16473*1.05,2)</f>
      </c>
      <c r="F151" s="20" t="s">
        <v>23</v>
      </c>
      <c r="G151" s="20" t="s">
        <v>24</v>
      </c>
      <c r="H151" s="21">
        <f>ROUND(RAND()*4+6,1)</f>
      </c>
      <c r="I151" s="20" t="s">
        <v>25</v>
      </c>
      <c r="J151" s="23">
        <f>ROUND(95*1,0)&amp;"%"</f>
      </c>
    </row>
    <row x14ac:dyDescent="0.25" r="152" customHeight="1" ht="17.25">
      <c r="A152" s="17" t="s">
        <v>8282</v>
      </c>
      <c r="B152" s="17" t="s">
        <v>264</v>
      </c>
      <c r="C152" s="17" t="s">
        <v>133</v>
      </c>
      <c r="D152" s="17" t="s">
        <v>28</v>
      </c>
      <c r="E152" s="18">
        <f>ROUND(14287*1.05,2)</f>
      </c>
      <c r="F152" s="17" t="s">
        <v>29</v>
      </c>
      <c r="G152" s="17" t="s">
        <v>30</v>
      </c>
      <c r="H152" s="26">
        <f>ROUND(RAND()*4+6,1)</f>
      </c>
      <c r="I152" s="17" t="s">
        <v>31</v>
      </c>
      <c r="J152" s="19">
        <f>ROUND(80*1,0)&amp;"%"</f>
      </c>
    </row>
    <row x14ac:dyDescent="0.25" r="153" customHeight="1" ht="17.25">
      <c r="A153" s="20" t="s">
        <v>8283</v>
      </c>
      <c r="B153" s="20" t="s">
        <v>266</v>
      </c>
      <c r="C153" s="20" t="s">
        <v>133</v>
      </c>
      <c r="D153" s="20" t="s">
        <v>34</v>
      </c>
      <c r="E153" s="21">
        <f>ROUND(6390*1.05,2)</f>
      </c>
      <c r="F153" s="20" t="s">
        <v>35</v>
      </c>
      <c r="G153" s="20" t="s">
        <v>18</v>
      </c>
      <c r="H153" s="21">
        <f>ROUND(RAND()*4+6,1)</f>
      </c>
      <c r="I153" s="20" t="s">
        <v>36</v>
      </c>
      <c r="J153" s="23">
        <f>ROUND(68*1,0)&amp;"%"</f>
      </c>
    </row>
    <row x14ac:dyDescent="0.25" r="154" customHeight="1" ht="17.25">
      <c r="A154" s="17" t="s">
        <v>8284</v>
      </c>
      <c r="B154" s="17" t="s">
        <v>268</v>
      </c>
      <c r="C154" s="17" t="s">
        <v>133</v>
      </c>
      <c r="D154" s="17" t="s">
        <v>39</v>
      </c>
      <c r="E154" s="18">
        <f>ROUND(12733*1.05,2)</f>
      </c>
      <c r="F154" s="17" t="s">
        <v>40</v>
      </c>
      <c r="G154" s="17" t="s">
        <v>24</v>
      </c>
      <c r="H154" s="26">
        <f>ROUND(RAND()*4+6,1)</f>
      </c>
      <c r="I154" s="17" t="s">
        <v>41</v>
      </c>
      <c r="J154" s="19">
        <f>ROUND(91*1,0)&amp;"%"</f>
      </c>
    </row>
    <row x14ac:dyDescent="0.25" r="155" customHeight="1" ht="17.25">
      <c r="A155" s="20" t="s">
        <v>8285</v>
      </c>
      <c r="B155" s="20" t="s">
        <v>270</v>
      </c>
      <c r="C155" s="20" t="s">
        <v>133</v>
      </c>
      <c r="D155" s="20" t="s">
        <v>67</v>
      </c>
      <c r="E155" s="21">
        <f>ROUND(5377*1.05,2)</f>
      </c>
      <c r="F155" s="20" t="s">
        <v>44</v>
      </c>
      <c r="G155" s="20" t="s">
        <v>30</v>
      </c>
      <c r="H155" s="21">
        <f>ROUND(RAND()*4+6,1)</f>
      </c>
      <c r="I155" s="20" t="s">
        <v>45</v>
      </c>
      <c r="J155" s="23">
        <f>ROUND(89*1,0)&amp;"%"</f>
      </c>
    </row>
    <row x14ac:dyDescent="0.25" r="156" customHeight="1" ht="17.25">
      <c r="A156" s="17" t="s">
        <v>8286</v>
      </c>
      <c r="B156" s="17" t="s">
        <v>272</v>
      </c>
      <c r="C156" s="17" t="s">
        <v>133</v>
      </c>
      <c r="D156" s="17" t="s">
        <v>16</v>
      </c>
      <c r="E156" s="26">
        <f>ROUND(15780*1.05,2)</f>
      </c>
      <c r="F156" s="17" t="s">
        <v>48</v>
      </c>
      <c r="G156" s="17" t="s">
        <v>18</v>
      </c>
      <c r="H156" s="18">
        <f>ROUND(RAND()*4+6,1)</f>
      </c>
      <c r="I156" s="17" t="s">
        <v>19</v>
      </c>
      <c r="J156" s="19">
        <f>ROUND(78*1,0)&amp;"%"</f>
      </c>
    </row>
    <row x14ac:dyDescent="0.25" r="157" customHeight="1" ht="17.25">
      <c r="A157" s="20" t="s">
        <v>8287</v>
      </c>
      <c r="B157" s="20" t="s">
        <v>274</v>
      </c>
      <c r="C157" s="20" t="s">
        <v>133</v>
      </c>
      <c r="D157" s="20" t="s">
        <v>22</v>
      </c>
      <c r="E157" s="21">
        <f>ROUND(9271*1.05,2)</f>
      </c>
      <c r="F157" s="20" t="s">
        <v>51</v>
      </c>
      <c r="G157" s="20" t="s">
        <v>24</v>
      </c>
      <c r="H157" s="21">
        <f>ROUND(RAND()*4+6,1)</f>
      </c>
      <c r="I157" s="20" t="s">
        <v>25</v>
      </c>
      <c r="J157" s="23">
        <f>ROUND(77*1,0)&amp;"%"</f>
      </c>
    </row>
    <row x14ac:dyDescent="0.25" r="158" customHeight="1" ht="17.25">
      <c r="A158" s="24" t="s">
        <v>275</v>
      </c>
      <c r="B158" s="24"/>
      <c r="C158" s="24"/>
      <c r="D158" s="24"/>
      <c r="E158" s="25">
        <v>8</v>
      </c>
      <c r="F158" s="9"/>
      <c r="G158" s="9"/>
      <c r="H158" s="10"/>
      <c r="I158" s="9"/>
      <c r="J158" s="9"/>
    </row>
    <row x14ac:dyDescent="0.25" r="159" customHeight="1" ht="17.25">
      <c r="A159" s="7"/>
      <c r="B159" s="7"/>
      <c r="C159" s="7"/>
      <c r="D159" s="7"/>
      <c r="E159" s="8"/>
      <c r="F159" s="9"/>
      <c r="G159" s="9"/>
      <c r="H159" s="10"/>
      <c r="I159" s="9"/>
      <c r="J159" s="9"/>
    </row>
    <row x14ac:dyDescent="0.25" r="160" customHeight="1" ht="17.25">
      <c r="A160" s="11" t="s">
        <v>8288</v>
      </c>
      <c r="B160" s="11"/>
      <c r="C160" s="11"/>
      <c r="D160" s="11"/>
      <c r="E160" s="12"/>
      <c r="F160" s="11"/>
      <c r="G160" s="11"/>
      <c r="H160" s="13"/>
      <c r="I160" s="11"/>
      <c r="J160" s="11"/>
    </row>
    <row x14ac:dyDescent="0.25" r="161" customHeight="1" ht="17.25">
      <c r="A161" s="14" t="s">
        <v>3</v>
      </c>
      <c r="B161" s="14" t="s">
        <v>4</v>
      </c>
      <c r="C161" s="14" t="s">
        <v>5</v>
      </c>
      <c r="D161" s="14" t="s">
        <v>6</v>
      </c>
      <c r="E161" s="15" t="s">
        <v>7</v>
      </c>
      <c r="F161" s="14" t="s">
        <v>8</v>
      </c>
      <c r="G161" s="14" t="s">
        <v>9</v>
      </c>
      <c r="H161" s="16" t="s">
        <v>10</v>
      </c>
      <c r="I161" s="14" t="s">
        <v>11</v>
      </c>
      <c r="J161" s="14" t="s">
        <v>12</v>
      </c>
    </row>
    <row x14ac:dyDescent="0.25" r="162" customHeight="1" ht="17.25">
      <c r="A162" s="17" t="s">
        <v>8289</v>
      </c>
      <c r="B162" s="17" t="s">
        <v>278</v>
      </c>
      <c r="C162" s="17" t="s">
        <v>152</v>
      </c>
      <c r="D162" s="17" t="s">
        <v>16</v>
      </c>
      <c r="E162" s="18">
        <f>ROUND(11604*1.05,2)</f>
      </c>
      <c r="F162" s="17" t="s">
        <v>17</v>
      </c>
      <c r="G162" s="17" t="s">
        <v>18</v>
      </c>
      <c r="H162" s="18">
        <f>ROUND(RAND()*4+6,1)</f>
      </c>
      <c r="I162" s="17" t="s">
        <v>19</v>
      </c>
      <c r="J162" s="19">
        <f>ROUND(97*1,0)&amp;"%"</f>
      </c>
    </row>
    <row x14ac:dyDescent="0.25" r="163" customHeight="1" ht="17.25">
      <c r="A163" s="20" t="s">
        <v>8290</v>
      </c>
      <c r="B163" s="20" t="s">
        <v>280</v>
      </c>
      <c r="C163" s="20" t="s">
        <v>152</v>
      </c>
      <c r="D163" s="20" t="s">
        <v>22</v>
      </c>
      <c r="E163" s="22">
        <f>ROUND(10180*1.05,2)</f>
      </c>
      <c r="F163" s="20" t="s">
        <v>23</v>
      </c>
      <c r="G163" s="20" t="s">
        <v>24</v>
      </c>
      <c r="H163" s="22">
        <f>ROUND(RAND()*4+6,1)</f>
      </c>
      <c r="I163" s="20" t="s">
        <v>25</v>
      </c>
      <c r="J163" s="23">
        <f>ROUND(68*1,0)&amp;"%"</f>
      </c>
    </row>
    <row x14ac:dyDescent="0.25" r="164" customHeight="1" ht="17.25">
      <c r="A164" s="17" t="s">
        <v>8291</v>
      </c>
      <c r="B164" s="17" t="s">
        <v>282</v>
      </c>
      <c r="C164" s="17" t="s">
        <v>152</v>
      </c>
      <c r="D164" s="17" t="s">
        <v>28</v>
      </c>
      <c r="E164" s="18">
        <f>ROUND(8798*1.05,2)</f>
      </c>
      <c r="F164" s="17" t="s">
        <v>29</v>
      </c>
      <c r="G164" s="17" t="s">
        <v>30</v>
      </c>
      <c r="H164" s="18">
        <f>ROUND(RAND()*4+6,1)</f>
      </c>
      <c r="I164" s="17" t="s">
        <v>31</v>
      </c>
      <c r="J164" s="19">
        <f>ROUND(66*1,0)&amp;"%"</f>
      </c>
    </row>
    <row x14ac:dyDescent="0.25" r="165" customHeight="1" ht="17.25">
      <c r="A165" s="20" t="s">
        <v>8292</v>
      </c>
      <c r="B165" s="20" t="s">
        <v>284</v>
      </c>
      <c r="C165" s="20" t="s">
        <v>152</v>
      </c>
      <c r="D165" s="20" t="s">
        <v>34</v>
      </c>
      <c r="E165" s="21">
        <f>ROUND(10410*1.05,2)</f>
      </c>
      <c r="F165" s="20" t="s">
        <v>35</v>
      </c>
      <c r="G165" s="20" t="s">
        <v>18</v>
      </c>
      <c r="H165" s="21">
        <f>ROUND(RAND()*4+6,1)</f>
      </c>
      <c r="I165" s="20" t="s">
        <v>36</v>
      </c>
      <c r="J165" s="23">
        <f>ROUND(70*1,0)&amp;"%"</f>
      </c>
    </row>
    <row x14ac:dyDescent="0.25" r="166" customHeight="1" ht="17.25">
      <c r="A166" s="17" t="s">
        <v>8293</v>
      </c>
      <c r="B166" s="17" t="s">
        <v>286</v>
      </c>
      <c r="C166" s="17" t="s">
        <v>152</v>
      </c>
      <c r="D166" s="17" t="s">
        <v>39</v>
      </c>
      <c r="E166" s="18">
        <f>ROUND(9535*1.05,2)</f>
      </c>
      <c r="F166" s="17" t="s">
        <v>40</v>
      </c>
      <c r="G166" s="17" t="s">
        <v>24</v>
      </c>
      <c r="H166" s="18">
        <f>ROUND(RAND()*4+6,1)</f>
      </c>
      <c r="I166" s="17" t="s">
        <v>41</v>
      </c>
      <c r="J166" s="19">
        <f>ROUND(82*1,0)&amp;"%"</f>
      </c>
    </row>
    <row x14ac:dyDescent="0.25" r="167" customHeight="1" ht="17.25">
      <c r="A167" s="20" t="s">
        <v>8294</v>
      </c>
      <c r="B167" s="20" t="s">
        <v>288</v>
      </c>
      <c r="C167" s="20" t="s">
        <v>152</v>
      </c>
      <c r="D167" s="20" t="s">
        <v>67</v>
      </c>
      <c r="E167" s="21">
        <f>ROUND(16357*1.05,2)</f>
      </c>
      <c r="F167" s="20" t="s">
        <v>44</v>
      </c>
      <c r="G167" s="20" t="s">
        <v>30</v>
      </c>
      <c r="H167" s="21">
        <f>ROUND(RAND()*4+6,1)</f>
      </c>
      <c r="I167" s="20" t="s">
        <v>45</v>
      </c>
      <c r="J167" s="23">
        <f>ROUND(89*1,0)&amp;"%"</f>
      </c>
    </row>
    <row x14ac:dyDescent="0.25" r="168" customHeight="1" ht="17.25">
      <c r="A168" s="17" t="s">
        <v>8295</v>
      </c>
      <c r="B168" s="17" t="s">
        <v>290</v>
      </c>
      <c r="C168" s="17" t="s">
        <v>152</v>
      </c>
      <c r="D168" s="17" t="s">
        <v>16</v>
      </c>
      <c r="E168" s="18">
        <f>ROUND(7927*1.05,2)</f>
      </c>
      <c r="F168" s="17" t="s">
        <v>48</v>
      </c>
      <c r="G168" s="17" t="s">
        <v>18</v>
      </c>
      <c r="H168" s="18">
        <f>ROUND(RAND()*4+6,1)</f>
      </c>
      <c r="I168" s="17" t="s">
        <v>19</v>
      </c>
      <c r="J168" s="19">
        <f>ROUND(65*1,0)&amp;"%"</f>
      </c>
    </row>
    <row x14ac:dyDescent="0.25" r="169" customHeight="1" ht="17.25">
      <c r="A169" s="20" t="s">
        <v>8296</v>
      </c>
      <c r="B169" s="20" t="s">
        <v>292</v>
      </c>
      <c r="C169" s="20" t="s">
        <v>152</v>
      </c>
      <c r="D169" s="20" t="s">
        <v>22</v>
      </c>
      <c r="E169" s="21">
        <f>ROUND(5698*1.05,2)</f>
      </c>
      <c r="F169" s="20" t="s">
        <v>51</v>
      </c>
      <c r="G169" s="20" t="s">
        <v>24</v>
      </c>
      <c r="H169" s="21">
        <f>ROUND(RAND()*4+6,1)</f>
      </c>
      <c r="I169" s="20" t="s">
        <v>25</v>
      </c>
      <c r="J169" s="23">
        <f>ROUND(69*1,0)&amp;"%"</f>
      </c>
    </row>
    <row x14ac:dyDescent="0.25" r="170" customHeight="1" ht="17.25">
      <c r="A170" s="24" t="s">
        <v>293</v>
      </c>
      <c r="B170" s="24"/>
      <c r="C170" s="24"/>
      <c r="D170" s="24"/>
      <c r="E170" s="25">
        <v>8</v>
      </c>
      <c r="F170" s="9"/>
      <c r="G170" s="9"/>
      <c r="H170" s="10"/>
      <c r="I170" s="9"/>
      <c r="J170" s="9"/>
    </row>
    <row x14ac:dyDescent="0.25" r="171" customHeight="1" ht="17.25">
      <c r="A171" s="7"/>
      <c r="B171" s="7"/>
      <c r="C171" s="7"/>
      <c r="D171" s="7"/>
      <c r="E171" s="8"/>
      <c r="F171" s="9"/>
      <c r="G171" s="9"/>
      <c r="H171" s="10"/>
      <c r="I171" s="9"/>
      <c r="J171" s="9"/>
    </row>
    <row x14ac:dyDescent="0.25" r="172" customHeight="1" ht="17.25">
      <c r="A172" s="11" t="s">
        <v>8297</v>
      </c>
      <c r="B172" s="11"/>
      <c r="C172" s="11"/>
      <c r="D172" s="11"/>
      <c r="E172" s="12"/>
      <c r="F172" s="11"/>
      <c r="G172" s="11"/>
      <c r="H172" s="13"/>
      <c r="I172" s="11"/>
      <c r="J172" s="11"/>
    </row>
    <row x14ac:dyDescent="0.25" r="173" customHeight="1" ht="17.25">
      <c r="A173" s="14" t="s">
        <v>3</v>
      </c>
      <c r="B173" s="14" t="s">
        <v>4</v>
      </c>
      <c r="C173" s="14" t="s">
        <v>5</v>
      </c>
      <c r="D173" s="14" t="s">
        <v>6</v>
      </c>
      <c r="E173" s="15" t="s">
        <v>7</v>
      </c>
      <c r="F173" s="14" t="s">
        <v>8</v>
      </c>
      <c r="G173" s="14" t="s">
        <v>9</v>
      </c>
      <c r="H173" s="16" t="s">
        <v>10</v>
      </c>
      <c r="I173" s="14" t="s">
        <v>11</v>
      </c>
      <c r="J173" s="14" t="s">
        <v>12</v>
      </c>
    </row>
    <row x14ac:dyDescent="0.25" r="174" customHeight="1" ht="17.25">
      <c r="A174" s="17" t="s">
        <v>8298</v>
      </c>
      <c r="B174" s="17" t="s">
        <v>296</v>
      </c>
      <c r="C174" s="17" t="s">
        <v>15</v>
      </c>
      <c r="D174" s="17" t="s">
        <v>16</v>
      </c>
      <c r="E174" s="18">
        <f>ROUND(7509*1.05,2)</f>
      </c>
      <c r="F174" s="17" t="s">
        <v>17</v>
      </c>
      <c r="G174" s="17" t="s">
        <v>18</v>
      </c>
      <c r="H174" s="26">
        <f>ROUND(RAND()*4+6,1)</f>
      </c>
      <c r="I174" s="17" t="s">
        <v>19</v>
      </c>
      <c r="J174" s="19">
        <f>ROUND(96*1,0)&amp;"%"</f>
      </c>
    </row>
    <row x14ac:dyDescent="0.25" r="175" customHeight="1" ht="17.25">
      <c r="A175" s="20" t="s">
        <v>8299</v>
      </c>
      <c r="B175" s="20" t="s">
        <v>298</v>
      </c>
      <c r="C175" s="20" t="s">
        <v>15</v>
      </c>
      <c r="D175" s="20" t="s">
        <v>22</v>
      </c>
      <c r="E175" s="21">
        <f>ROUND(6190*1.05,2)</f>
      </c>
      <c r="F175" s="20" t="s">
        <v>23</v>
      </c>
      <c r="G175" s="20" t="s">
        <v>24</v>
      </c>
      <c r="H175" s="21">
        <f>ROUND(RAND()*4+6,1)</f>
      </c>
      <c r="I175" s="20" t="s">
        <v>25</v>
      </c>
      <c r="J175" s="23">
        <f>ROUND(64*1,0)&amp;"%"</f>
      </c>
    </row>
    <row x14ac:dyDescent="0.25" r="176" customHeight="1" ht="17.25">
      <c r="A176" s="17" t="s">
        <v>8300</v>
      </c>
      <c r="B176" s="17" t="s">
        <v>300</v>
      </c>
      <c r="C176" s="17" t="s">
        <v>15</v>
      </c>
      <c r="D176" s="17" t="s">
        <v>28</v>
      </c>
      <c r="E176" s="18">
        <f>ROUND(10286*1.05,2)</f>
      </c>
      <c r="F176" s="17" t="s">
        <v>29</v>
      </c>
      <c r="G176" s="17" t="s">
        <v>30</v>
      </c>
      <c r="H176" s="18">
        <f>ROUND(RAND()*4+6,1)</f>
      </c>
      <c r="I176" s="17" t="s">
        <v>31</v>
      </c>
      <c r="J176" s="19">
        <f>ROUND(73*1,0)&amp;"%"</f>
      </c>
    </row>
    <row x14ac:dyDescent="0.25" r="177" customHeight="1" ht="17.25">
      <c r="A177" s="20" t="s">
        <v>8301</v>
      </c>
      <c r="B177" s="20" t="s">
        <v>302</v>
      </c>
      <c r="C177" s="20" t="s">
        <v>15</v>
      </c>
      <c r="D177" s="20" t="s">
        <v>34</v>
      </c>
      <c r="E177" s="21">
        <f>ROUND(4511*1.05,2)</f>
      </c>
      <c r="F177" s="20" t="s">
        <v>35</v>
      </c>
      <c r="G177" s="20" t="s">
        <v>18</v>
      </c>
      <c r="H177" s="21">
        <f>ROUND(RAND()*4+6,1)</f>
      </c>
      <c r="I177" s="20" t="s">
        <v>36</v>
      </c>
      <c r="J177" s="23">
        <f>ROUND(94*1,0)&amp;"%"</f>
      </c>
    </row>
    <row x14ac:dyDescent="0.25" r="178" customHeight="1" ht="17.25">
      <c r="A178" s="17" t="s">
        <v>8302</v>
      </c>
      <c r="B178" s="17" t="s">
        <v>304</v>
      </c>
      <c r="C178" s="17" t="s">
        <v>15</v>
      </c>
      <c r="D178" s="17" t="s">
        <v>39</v>
      </c>
      <c r="E178" s="18">
        <f>ROUND(6512*1.05,2)</f>
      </c>
      <c r="F178" s="17" t="s">
        <v>40</v>
      </c>
      <c r="G178" s="17" t="s">
        <v>24</v>
      </c>
      <c r="H178" s="18">
        <f>ROUND(RAND()*4+6,1)</f>
      </c>
      <c r="I178" s="17" t="s">
        <v>41</v>
      </c>
      <c r="J178" s="19">
        <f>ROUND(77*1,0)&amp;"%"</f>
      </c>
    </row>
    <row x14ac:dyDescent="0.25" r="179" customHeight="1" ht="17.25">
      <c r="A179" s="20" t="s">
        <v>8303</v>
      </c>
      <c r="B179" s="20" t="s">
        <v>306</v>
      </c>
      <c r="C179" s="20" t="s">
        <v>15</v>
      </c>
      <c r="D179" s="20" t="s">
        <v>67</v>
      </c>
      <c r="E179" s="21">
        <f>ROUND(6825*1.05,2)</f>
      </c>
      <c r="F179" s="20" t="s">
        <v>44</v>
      </c>
      <c r="G179" s="20" t="s">
        <v>30</v>
      </c>
      <c r="H179" s="21">
        <f>ROUND(RAND()*4+6,1)</f>
      </c>
      <c r="I179" s="20" t="s">
        <v>45</v>
      </c>
      <c r="J179" s="23">
        <f>ROUND(73*1,0)&amp;"%"</f>
      </c>
    </row>
    <row x14ac:dyDescent="0.25" r="180" customHeight="1" ht="17.25">
      <c r="A180" s="17" t="s">
        <v>8304</v>
      </c>
      <c r="B180" s="17" t="s">
        <v>308</v>
      </c>
      <c r="C180" s="17" t="s">
        <v>15</v>
      </c>
      <c r="D180" s="17" t="s">
        <v>16</v>
      </c>
      <c r="E180" s="18">
        <f>ROUND(16406*1.05,2)</f>
      </c>
      <c r="F180" s="17" t="s">
        <v>48</v>
      </c>
      <c r="G180" s="17" t="s">
        <v>18</v>
      </c>
      <c r="H180" s="26">
        <f>ROUND(RAND()*4+6,1)</f>
      </c>
      <c r="I180" s="17" t="s">
        <v>19</v>
      </c>
      <c r="J180" s="19">
        <f>ROUND(63*1,0)&amp;"%"</f>
      </c>
    </row>
    <row x14ac:dyDescent="0.25" r="181" customHeight="1" ht="17.25">
      <c r="A181" s="20" t="s">
        <v>8305</v>
      </c>
      <c r="B181" s="20" t="s">
        <v>310</v>
      </c>
      <c r="C181" s="20" t="s">
        <v>15</v>
      </c>
      <c r="D181" s="20" t="s">
        <v>22</v>
      </c>
      <c r="E181" s="21">
        <f>ROUND(16501*1.05,2)</f>
      </c>
      <c r="F181" s="20" t="s">
        <v>51</v>
      </c>
      <c r="G181" s="20" t="s">
        <v>24</v>
      </c>
      <c r="H181" s="21">
        <f>ROUND(RAND()*4+6,1)</f>
      </c>
      <c r="I181" s="20" t="s">
        <v>25</v>
      </c>
      <c r="J181" s="23">
        <f>ROUND(70*1,0)&amp;"%"</f>
      </c>
    </row>
    <row x14ac:dyDescent="0.25" r="182" customHeight="1" ht="17.25">
      <c r="A182" s="24" t="s">
        <v>311</v>
      </c>
      <c r="B182" s="24"/>
      <c r="C182" s="24"/>
      <c r="D182" s="24"/>
      <c r="E182" s="25">
        <v>8</v>
      </c>
      <c r="F182" s="9"/>
      <c r="G182" s="9"/>
      <c r="H182" s="10"/>
      <c r="I182" s="9"/>
      <c r="J182" s="9"/>
    </row>
    <row x14ac:dyDescent="0.25" r="183" customHeight="1" ht="17.25">
      <c r="A183" s="7"/>
      <c r="B183" s="7"/>
      <c r="C183" s="7"/>
      <c r="D183" s="7"/>
      <c r="E183" s="8"/>
      <c r="F183" s="9"/>
      <c r="G183" s="9"/>
      <c r="H183" s="10"/>
      <c r="I183" s="9"/>
      <c r="J183" s="9"/>
    </row>
    <row x14ac:dyDescent="0.25" r="184" customHeight="1" ht="17.25">
      <c r="A184" s="11" t="s">
        <v>8306</v>
      </c>
      <c r="B184" s="11"/>
      <c r="C184" s="11"/>
      <c r="D184" s="11"/>
      <c r="E184" s="12"/>
      <c r="F184" s="11"/>
      <c r="G184" s="11"/>
      <c r="H184" s="13"/>
      <c r="I184" s="11"/>
      <c r="J184" s="11"/>
    </row>
    <row x14ac:dyDescent="0.25" r="185" customHeight="1" ht="17.25">
      <c r="A185" s="14" t="s">
        <v>3</v>
      </c>
      <c r="B185" s="14" t="s">
        <v>4</v>
      </c>
      <c r="C185" s="14" t="s">
        <v>5</v>
      </c>
      <c r="D185" s="14" t="s">
        <v>6</v>
      </c>
      <c r="E185" s="15" t="s">
        <v>7</v>
      </c>
      <c r="F185" s="14" t="s">
        <v>8</v>
      </c>
      <c r="G185" s="14" t="s">
        <v>9</v>
      </c>
      <c r="H185" s="16" t="s">
        <v>10</v>
      </c>
      <c r="I185" s="14" t="s">
        <v>11</v>
      </c>
      <c r="J185" s="14" t="s">
        <v>12</v>
      </c>
    </row>
    <row x14ac:dyDescent="0.25" r="186" customHeight="1" ht="17.25">
      <c r="A186" s="17" t="s">
        <v>8307</v>
      </c>
      <c r="B186" s="17" t="s">
        <v>314</v>
      </c>
      <c r="C186" s="17" t="s">
        <v>56</v>
      </c>
      <c r="D186" s="17" t="s">
        <v>16</v>
      </c>
      <c r="E186" s="18">
        <f>ROUND(6263*1.05,2)</f>
      </c>
      <c r="F186" s="17" t="s">
        <v>17</v>
      </c>
      <c r="G186" s="17" t="s">
        <v>18</v>
      </c>
      <c r="H186" s="18">
        <f>ROUND(RAND()*4+6,1)</f>
      </c>
      <c r="I186" s="17" t="s">
        <v>19</v>
      </c>
      <c r="J186" s="19">
        <f>ROUND(76*1,0)&amp;"%"</f>
      </c>
    </row>
    <row x14ac:dyDescent="0.25" r="187" customHeight="1" ht="17.25">
      <c r="A187" s="20" t="s">
        <v>8308</v>
      </c>
      <c r="B187" s="20" t="s">
        <v>316</v>
      </c>
      <c r="C187" s="20" t="s">
        <v>56</v>
      </c>
      <c r="D187" s="20" t="s">
        <v>22</v>
      </c>
      <c r="E187" s="21">
        <f>ROUND(16808*1.05,2)</f>
      </c>
      <c r="F187" s="20" t="s">
        <v>23</v>
      </c>
      <c r="G187" s="20" t="s">
        <v>24</v>
      </c>
      <c r="H187" s="21">
        <f>ROUND(RAND()*4+6,1)</f>
      </c>
      <c r="I187" s="20" t="s">
        <v>25</v>
      </c>
      <c r="J187" s="23">
        <f>ROUND(82*1,0)&amp;"%"</f>
      </c>
    </row>
    <row x14ac:dyDescent="0.25" r="188" customHeight="1" ht="17.25">
      <c r="A188" s="17" t="s">
        <v>8309</v>
      </c>
      <c r="B188" s="17" t="s">
        <v>318</v>
      </c>
      <c r="C188" s="17" t="s">
        <v>56</v>
      </c>
      <c r="D188" s="17" t="s">
        <v>28</v>
      </c>
      <c r="E188" s="18">
        <f>ROUND(15365*1.05,2)</f>
      </c>
      <c r="F188" s="17" t="s">
        <v>29</v>
      </c>
      <c r="G188" s="17" t="s">
        <v>30</v>
      </c>
      <c r="H188" s="26">
        <f>ROUND(RAND()*4+6,1)</f>
      </c>
      <c r="I188" s="17" t="s">
        <v>31</v>
      </c>
      <c r="J188" s="19">
        <f>ROUND(75*1,0)&amp;"%"</f>
      </c>
    </row>
    <row x14ac:dyDescent="0.25" r="189" customHeight="1" ht="17.25">
      <c r="A189" s="20" t="s">
        <v>8310</v>
      </c>
      <c r="B189" s="20" t="s">
        <v>320</v>
      </c>
      <c r="C189" s="20" t="s">
        <v>56</v>
      </c>
      <c r="D189" s="20" t="s">
        <v>34</v>
      </c>
      <c r="E189" s="22">
        <f>ROUND(10540*1.05,2)</f>
      </c>
      <c r="F189" s="20" t="s">
        <v>35</v>
      </c>
      <c r="G189" s="20" t="s">
        <v>18</v>
      </c>
      <c r="H189" s="21">
        <f>ROUND(RAND()*4+6,1)</f>
      </c>
      <c r="I189" s="20" t="s">
        <v>36</v>
      </c>
      <c r="J189" s="23">
        <f>ROUND(80*1,0)&amp;"%"</f>
      </c>
    </row>
    <row x14ac:dyDescent="0.25" r="190" customHeight="1" ht="17.25">
      <c r="A190" s="17" t="s">
        <v>8311</v>
      </c>
      <c r="B190" s="17" t="s">
        <v>322</v>
      </c>
      <c r="C190" s="17" t="s">
        <v>56</v>
      </c>
      <c r="D190" s="17" t="s">
        <v>39</v>
      </c>
      <c r="E190" s="18">
        <f>ROUND(6645*1.05,2)</f>
      </c>
      <c r="F190" s="17" t="s">
        <v>40</v>
      </c>
      <c r="G190" s="17" t="s">
        <v>24</v>
      </c>
      <c r="H190" s="18">
        <f>ROUND(RAND()*4+6,1)</f>
      </c>
      <c r="I190" s="17" t="s">
        <v>41</v>
      </c>
      <c r="J190" s="19">
        <f>ROUND(84*1,0)&amp;"%"</f>
      </c>
    </row>
    <row x14ac:dyDescent="0.25" r="191" customHeight="1" ht="17.25">
      <c r="A191" s="20" t="s">
        <v>8312</v>
      </c>
      <c r="B191" s="20" t="s">
        <v>324</v>
      </c>
      <c r="C191" s="20" t="s">
        <v>56</v>
      </c>
      <c r="D191" s="20" t="s">
        <v>67</v>
      </c>
      <c r="E191" s="21">
        <f>ROUND(4123*1.05,2)</f>
      </c>
      <c r="F191" s="20" t="s">
        <v>44</v>
      </c>
      <c r="G191" s="20" t="s">
        <v>30</v>
      </c>
      <c r="H191" s="21">
        <f>ROUND(RAND()*4+6,1)</f>
      </c>
      <c r="I191" s="20" t="s">
        <v>45</v>
      </c>
      <c r="J191" s="23">
        <f>ROUND(93*1,0)&amp;"%"</f>
      </c>
    </row>
    <row x14ac:dyDescent="0.25" r="192" customHeight="1" ht="17.25">
      <c r="A192" s="17" t="s">
        <v>8313</v>
      </c>
      <c r="B192" s="17" t="s">
        <v>326</v>
      </c>
      <c r="C192" s="17" t="s">
        <v>56</v>
      </c>
      <c r="D192" s="17" t="s">
        <v>16</v>
      </c>
      <c r="E192" s="18">
        <f>ROUND(12794*1.05,2)</f>
      </c>
      <c r="F192" s="17" t="s">
        <v>48</v>
      </c>
      <c r="G192" s="17" t="s">
        <v>18</v>
      </c>
      <c r="H192" s="18">
        <f>ROUND(RAND()*4+6,1)</f>
      </c>
      <c r="I192" s="17" t="s">
        <v>19</v>
      </c>
      <c r="J192" s="19">
        <f>ROUND(79*1,0)&amp;"%"</f>
      </c>
    </row>
    <row x14ac:dyDescent="0.25" r="193" customHeight="1" ht="17.25">
      <c r="A193" s="20" t="s">
        <v>8314</v>
      </c>
      <c r="B193" s="20" t="s">
        <v>328</v>
      </c>
      <c r="C193" s="20" t="s">
        <v>56</v>
      </c>
      <c r="D193" s="20" t="s">
        <v>22</v>
      </c>
      <c r="E193" s="21">
        <f>ROUND(17559*1.05,2)</f>
      </c>
      <c r="F193" s="20" t="s">
        <v>51</v>
      </c>
      <c r="G193" s="20" t="s">
        <v>24</v>
      </c>
      <c r="H193" s="21">
        <f>ROUND(RAND()*4+6,1)</f>
      </c>
      <c r="I193" s="20" t="s">
        <v>25</v>
      </c>
      <c r="J193" s="23">
        <f>ROUND(70*1,0)&amp;"%"</f>
      </c>
    </row>
    <row x14ac:dyDescent="0.25" r="194" customHeight="1" ht="17.25">
      <c r="A194" s="24" t="s">
        <v>329</v>
      </c>
      <c r="B194" s="24"/>
      <c r="C194" s="24"/>
      <c r="D194" s="24"/>
      <c r="E194" s="25">
        <v>8</v>
      </c>
      <c r="F194" s="9"/>
      <c r="G194" s="9"/>
      <c r="H194" s="10"/>
      <c r="I194" s="9"/>
      <c r="J194" s="9"/>
    </row>
    <row x14ac:dyDescent="0.25" r="195" customHeight="1" ht="17.25">
      <c r="A195" s="7"/>
      <c r="B195" s="7"/>
      <c r="C195" s="7"/>
      <c r="D195" s="7"/>
      <c r="E195" s="8"/>
      <c r="F195" s="9"/>
      <c r="G195" s="9"/>
      <c r="H195" s="10"/>
      <c r="I195" s="9"/>
      <c r="J195" s="9"/>
    </row>
    <row x14ac:dyDescent="0.25" r="196" customHeight="1" ht="17.25">
      <c r="A196" s="11" t="s">
        <v>8315</v>
      </c>
      <c r="B196" s="11"/>
      <c r="C196" s="11"/>
      <c r="D196" s="11"/>
      <c r="E196" s="12"/>
      <c r="F196" s="11"/>
      <c r="G196" s="11"/>
      <c r="H196" s="13"/>
      <c r="I196" s="11"/>
      <c r="J196" s="11"/>
    </row>
    <row x14ac:dyDescent="0.25" r="197" customHeight="1" ht="17.25">
      <c r="A197" s="14" t="s">
        <v>3</v>
      </c>
      <c r="B197" s="14" t="s">
        <v>4</v>
      </c>
      <c r="C197" s="14" t="s">
        <v>5</v>
      </c>
      <c r="D197" s="14" t="s">
        <v>6</v>
      </c>
      <c r="E197" s="15" t="s">
        <v>7</v>
      </c>
      <c r="F197" s="14" t="s">
        <v>8</v>
      </c>
      <c r="G197" s="14" t="s">
        <v>9</v>
      </c>
      <c r="H197" s="16" t="s">
        <v>10</v>
      </c>
      <c r="I197" s="14" t="s">
        <v>11</v>
      </c>
      <c r="J197" s="14" t="s">
        <v>12</v>
      </c>
    </row>
    <row x14ac:dyDescent="0.25" r="198" customHeight="1" ht="17.25">
      <c r="A198" s="17" t="s">
        <v>8316</v>
      </c>
      <c r="B198" s="17" t="s">
        <v>332</v>
      </c>
      <c r="C198" s="17" t="s">
        <v>76</v>
      </c>
      <c r="D198" s="17" t="s">
        <v>16</v>
      </c>
      <c r="E198" s="18">
        <f>ROUND(9616*1.05,2)</f>
      </c>
      <c r="F198" s="17" t="s">
        <v>17</v>
      </c>
      <c r="G198" s="17" t="s">
        <v>18</v>
      </c>
      <c r="H198" s="18">
        <f>ROUND(RAND()*4+6,1)</f>
      </c>
      <c r="I198" s="17" t="s">
        <v>19</v>
      </c>
      <c r="J198" s="19">
        <f>ROUND(64*1,0)&amp;"%"</f>
      </c>
    </row>
    <row x14ac:dyDescent="0.25" r="199" customHeight="1" ht="17.25">
      <c r="A199" s="20" t="s">
        <v>8317</v>
      </c>
      <c r="B199" s="20" t="s">
        <v>334</v>
      </c>
      <c r="C199" s="20" t="s">
        <v>76</v>
      </c>
      <c r="D199" s="20" t="s">
        <v>22</v>
      </c>
      <c r="E199" s="21">
        <f>ROUND(9913*1.05,2)</f>
      </c>
      <c r="F199" s="20" t="s">
        <v>23</v>
      </c>
      <c r="G199" s="20" t="s">
        <v>24</v>
      </c>
      <c r="H199" s="21">
        <f>ROUND(RAND()*4+6,1)</f>
      </c>
      <c r="I199" s="20" t="s">
        <v>25</v>
      </c>
      <c r="J199" s="23">
        <f>ROUND(72*1,0)&amp;"%"</f>
      </c>
    </row>
    <row x14ac:dyDescent="0.25" r="200" customHeight="1" ht="17.25">
      <c r="A200" s="17" t="s">
        <v>8318</v>
      </c>
      <c r="B200" s="17" t="s">
        <v>336</v>
      </c>
      <c r="C200" s="17" t="s">
        <v>76</v>
      </c>
      <c r="D200" s="17" t="s">
        <v>28</v>
      </c>
      <c r="E200" s="18">
        <f>ROUND(16991*1.05,2)</f>
      </c>
      <c r="F200" s="17" t="s">
        <v>29</v>
      </c>
      <c r="G200" s="17" t="s">
        <v>30</v>
      </c>
      <c r="H200" s="18">
        <f>ROUND(RAND()*4+6,1)</f>
      </c>
      <c r="I200" s="17" t="s">
        <v>31</v>
      </c>
      <c r="J200" s="19">
        <f>ROUND(94*1,0)&amp;"%"</f>
      </c>
    </row>
    <row x14ac:dyDescent="0.25" r="201" customHeight="1" ht="17.25">
      <c r="A201" s="20" t="s">
        <v>8319</v>
      </c>
      <c r="B201" s="20" t="s">
        <v>338</v>
      </c>
      <c r="C201" s="20" t="s">
        <v>76</v>
      </c>
      <c r="D201" s="20" t="s">
        <v>34</v>
      </c>
      <c r="E201" s="21">
        <f>ROUND(14495*1.05,2)</f>
      </c>
      <c r="F201" s="20" t="s">
        <v>35</v>
      </c>
      <c r="G201" s="20" t="s">
        <v>18</v>
      </c>
      <c r="H201" s="21">
        <f>ROUND(RAND()*4+6,1)</f>
      </c>
      <c r="I201" s="20" t="s">
        <v>36</v>
      </c>
      <c r="J201" s="23">
        <f>ROUND(97*1,0)&amp;"%"</f>
      </c>
    </row>
    <row x14ac:dyDescent="0.25" r="202" customHeight="1" ht="17.25">
      <c r="A202" s="17" t="s">
        <v>8320</v>
      </c>
      <c r="B202" s="17" t="s">
        <v>340</v>
      </c>
      <c r="C202" s="17" t="s">
        <v>76</v>
      </c>
      <c r="D202" s="17" t="s">
        <v>39</v>
      </c>
      <c r="E202" s="18">
        <f>ROUND(16066*1.05,2)</f>
      </c>
      <c r="F202" s="17" t="s">
        <v>40</v>
      </c>
      <c r="G202" s="17" t="s">
        <v>24</v>
      </c>
      <c r="H202" s="18">
        <f>ROUND(RAND()*4+6,1)</f>
      </c>
      <c r="I202" s="17" t="s">
        <v>41</v>
      </c>
      <c r="J202" s="19">
        <f>ROUND(65*1,0)&amp;"%"</f>
      </c>
    </row>
    <row x14ac:dyDescent="0.25" r="203" customHeight="1" ht="17.25">
      <c r="A203" s="20" t="s">
        <v>8321</v>
      </c>
      <c r="B203" s="20" t="s">
        <v>342</v>
      </c>
      <c r="C203" s="20" t="s">
        <v>76</v>
      </c>
      <c r="D203" s="20" t="s">
        <v>67</v>
      </c>
      <c r="E203" s="21">
        <f>ROUND(11265*1.05,2)</f>
      </c>
      <c r="F203" s="20" t="s">
        <v>44</v>
      </c>
      <c r="G203" s="20" t="s">
        <v>30</v>
      </c>
      <c r="H203" s="21">
        <f>ROUND(RAND()*4+6,1)</f>
      </c>
      <c r="I203" s="20" t="s">
        <v>45</v>
      </c>
      <c r="J203" s="23">
        <f>ROUND(68*1,0)&amp;"%"</f>
      </c>
    </row>
    <row x14ac:dyDescent="0.25" r="204" customHeight="1" ht="17.25">
      <c r="A204" s="17" t="s">
        <v>8322</v>
      </c>
      <c r="B204" s="17" t="s">
        <v>344</v>
      </c>
      <c r="C204" s="17" t="s">
        <v>76</v>
      </c>
      <c r="D204" s="17" t="s">
        <v>16</v>
      </c>
      <c r="E204" s="18">
        <f>ROUND(4685*1.05,2)</f>
      </c>
      <c r="F204" s="17" t="s">
        <v>48</v>
      </c>
      <c r="G204" s="17" t="s">
        <v>18</v>
      </c>
      <c r="H204" s="18">
        <f>ROUND(RAND()*4+6,1)</f>
      </c>
      <c r="I204" s="17" t="s">
        <v>19</v>
      </c>
      <c r="J204" s="19">
        <f>ROUND(73*1,0)&amp;"%"</f>
      </c>
    </row>
    <row x14ac:dyDescent="0.25" r="205" customHeight="1" ht="17.25">
      <c r="A205" s="20" t="s">
        <v>8323</v>
      </c>
      <c r="B205" s="20" t="s">
        <v>346</v>
      </c>
      <c r="C205" s="20" t="s">
        <v>76</v>
      </c>
      <c r="D205" s="20" t="s">
        <v>22</v>
      </c>
      <c r="E205" s="21">
        <f>ROUND(10112*1.05,2)</f>
      </c>
      <c r="F205" s="20" t="s">
        <v>51</v>
      </c>
      <c r="G205" s="20" t="s">
        <v>24</v>
      </c>
      <c r="H205" s="21">
        <f>ROUND(RAND()*4+6,1)</f>
      </c>
      <c r="I205" s="20" t="s">
        <v>25</v>
      </c>
      <c r="J205" s="23">
        <f>ROUND(83*1,0)&amp;"%"</f>
      </c>
    </row>
    <row x14ac:dyDescent="0.25" r="206" customHeight="1" ht="17.25">
      <c r="A206" s="24" t="s">
        <v>347</v>
      </c>
      <c r="B206" s="24"/>
      <c r="C206" s="24"/>
      <c r="D206" s="24"/>
      <c r="E206" s="25">
        <v>8</v>
      </c>
      <c r="F206" s="9"/>
      <c r="G206" s="9"/>
      <c r="H206" s="10"/>
      <c r="I206" s="9"/>
      <c r="J206" s="9"/>
    </row>
    <row x14ac:dyDescent="0.25" r="207" customHeight="1" ht="17.25">
      <c r="A207" s="7"/>
      <c r="B207" s="7"/>
      <c r="C207" s="7"/>
      <c r="D207" s="7"/>
      <c r="E207" s="8"/>
      <c r="F207" s="9"/>
      <c r="G207" s="9"/>
      <c r="H207" s="10"/>
      <c r="I207" s="9"/>
      <c r="J207" s="9"/>
    </row>
    <row x14ac:dyDescent="0.25" r="208" customHeight="1" ht="17.25">
      <c r="A208" s="11" t="s">
        <v>8324</v>
      </c>
      <c r="B208" s="11"/>
      <c r="C208" s="11"/>
      <c r="D208" s="11"/>
      <c r="E208" s="12"/>
      <c r="F208" s="11"/>
      <c r="G208" s="11"/>
      <c r="H208" s="13"/>
      <c r="I208" s="11"/>
      <c r="J208" s="11"/>
    </row>
    <row x14ac:dyDescent="0.25" r="209" customHeight="1" ht="17.25">
      <c r="A209" s="14" t="s">
        <v>3</v>
      </c>
      <c r="B209" s="14" t="s">
        <v>4</v>
      </c>
      <c r="C209" s="14" t="s">
        <v>5</v>
      </c>
      <c r="D209" s="14" t="s">
        <v>6</v>
      </c>
      <c r="E209" s="15" t="s">
        <v>7</v>
      </c>
      <c r="F209" s="14" t="s">
        <v>8</v>
      </c>
      <c r="G209" s="14" t="s">
        <v>9</v>
      </c>
      <c r="H209" s="16" t="s">
        <v>10</v>
      </c>
      <c r="I209" s="14" t="s">
        <v>11</v>
      </c>
      <c r="J209" s="14" t="s">
        <v>12</v>
      </c>
    </row>
    <row x14ac:dyDescent="0.25" r="210" customHeight="1" ht="17.25">
      <c r="A210" s="17" t="s">
        <v>8325</v>
      </c>
      <c r="B210" s="17" t="s">
        <v>350</v>
      </c>
      <c r="C210" s="17" t="s">
        <v>95</v>
      </c>
      <c r="D210" s="17" t="s">
        <v>16</v>
      </c>
      <c r="E210" s="18">
        <f>ROUND(8283*1.05,2)</f>
      </c>
      <c r="F210" s="17" t="s">
        <v>17</v>
      </c>
      <c r="G210" s="17" t="s">
        <v>18</v>
      </c>
      <c r="H210" s="18">
        <f>ROUND(RAND()*4+6,1)</f>
      </c>
      <c r="I210" s="17" t="s">
        <v>19</v>
      </c>
      <c r="J210" s="19">
        <f>ROUND(64*1,0)&amp;"%"</f>
      </c>
    </row>
    <row x14ac:dyDescent="0.25" r="211" customHeight="1" ht="17.25">
      <c r="A211" s="20" t="s">
        <v>8326</v>
      </c>
      <c r="B211" s="20" t="s">
        <v>352</v>
      </c>
      <c r="C211" s="20" t="s">
        <v>95</v>
      </c>
      <c r="D211" s="20" t="s">
        <v>22</v>
      </c>
      <c r="E211" s="21">
        <f>ROUND(8443*1.05,2)</f>
      </c>
      <c r="F211" s="20" t="s">
        <v>23</v>
      </c>
      <c r="G211" s="20" t="s">
        <v>24</v>
      </c>
      <c r="H211" s="21">
        <f>ROUND(RAND()*4+6,1)</f>
      </c>
      <c r="I211" s="20" t="s">
        <v>25</v>
      </c>
      <c r="J211" s="23">
        <f>ROUND(67*1,0)&amp;"%"</f>
      </c>
    </row>
    <row x14ac:dyDescent="0.25" r="212" customHeight="1" ht="17.25">
      <c r="A212" s="17" t="s">
        <v>8327</v>
      </c>
      <c r="B212" s="17" t="s">
        <v>354</v>
      </c>
      <c r="C212" s="17" t="s">
        <v>95</v>
      </c>
      <c r="D212" s="17" t="s">
        <v>28</v>
      </c>
      <c r="E212" s="18">
        <f>ROUND(17621*1.05,2)</f>
      </c>
      <c r="F212" s="17" t="s">
        <v>29</v>
      </c>
      <c r="G212" s="17" t="s">
        <v>30</v>
      </c>
      <c r="H212" s="18">
        <f>ROUND(RAND()*4+6,1)</f>
      </c>
      <c r="I212" s="17" t="s">
        <v>31</v>
      </c>
      <c r="J212" s="19">
        <f>ROUND(98*1,0)&amp;"%"</f>
      </c>
    </row>
    <row x14ac:dyDescent="0.25" r="213" customHeight="1" ht="17.25">
      <c r="A213" s="20" t="s">
        <v>8328</v>
      </c>
      <c r="B213" s="20" t="s">
        <v>356</v>
      </c>
      <c r="C213" s="20" t="s">
        <v>95</v>
      </c>
      <c r="D213" s="20" t="s">
        <v>34</v>
      </c>
      <c r="E213" s="21">
        <f>ROUND(14662*1.05,2)</f>
      </c>
      <c r="F213" s="20" t="s">
        <v>35</v>
      </c>
      <c r="G213" s="20" t="s">
        <v>18</v>
      </c>
      <c r="H213" s="21">
        <f>ROUND(RAND()*4+6,1)</f>
      </c>
      <c r="I213" s="20" t="s">
        <v>36</v>
      </c>
      <c r="J213" s="23">
        <f>ROUND(91*1,0)&amp;"%"</f>
      </c>
    </row>
    <row x14ac:dyDescent="0.25" r="214" customHeight="1" ht="17.25">
      <c r="A214" s="17" t="s">
        <v>8329</v>
      </c>
      <c r="B214" s="17" t="s">
        <v>358</v>
      </c>
      <c r="C214" s="17" t="s">
        <v>95</v>
      </c>
      <c r="D214" s="17" t="s">
        <v>39</v>
      </c>
      <c r="E214" s="18">
        <f>ROUND(13765*1.05,2)</f>
      </c>
      <c r="F214" s="17" t="s">
        <v>40</v>
      </c>
      <c r="G214" s="17" t="s">
        <v>24</v>
      </c>
      <c r="H214" s="18">
        <f>ROUND(RAND()*4+6,1)</f>
      </c>
      <c r="I214" s="17" t="s">
        <v>41</v>
      </c>
      <c r="J214" s="19">
        <f>ROUND(77*1,0)&amp;"%"</f>
      </c>
    </row>
    <row x14ac:dyDescent="0.25" r="215" customHeight="1" ht="17.25">
      <c r="A215" s="20" t="s">
        <v>8330</v>
      </c>
      <c r="B215" s="20" t="s">
        <v>360</v>
      </c>
      <c r="C215" s="20" t="s">
        <v>95</v>
      </c>
      <c r="D215" s="20" t="s">
        <v>67</v>
      </c>
      <c r="E215" s="22">
        <f>ROUND(9080*1.05,2)</f>
      </c>
      <c r="F215" s="20" t="s">
        <v>44</v>
      </c>
      <c r="G215" s="20" t="s">
        <v>30</v>
      </c>
      <c r="H215" s="21">
        <f>ROUND(RAND()*4+6,1)</f>
      </c>
      <c r="I215" s="20" t="s">
        <v>45</v>
      </c>
      <c r="J215" s="23">
        <f>ROUND(86*1,0)&amp;"%"</f>
      </c>
    </row>
    <row x14ac:dyDescent="0.25" r="216" customHeight="1" ht="17.25">
      <c r="A216" s="17" t="s">
        <v>8331</v>
      </c>
      <c r="B216" s="17" t="s">
        <v>362</v>
      </c>
      <c r="C216" s="17" t="s">
        <v>95</v>
      </c>
      <c r="D216" s="17" t="s">
        <v>16</v>
      </c>
      <c r="E216" s="18">
        <f>ROUND(5765*1.05,2)</f>
      </c>
      <c r="F216" s="17" t="s">
        <v>48</v>
      </c>
      <c r="G216" s="17" t="s">
        <v>18</v>
      </c>
      <c r="H216" s="18">
        <f>ROUND(RAND()*4+6,1)</f>
      </c>
      <c r="I216" s="17" t="s">
        <v>19</v>
      </c>
      <c r="J216" s="19">
        <f>ROUND(83*1,0)&amp;"%"</f>
      </c>
    </row>
    <row x14ac:dyDescent="0.25" r="217" customHeight="1" ht="17.25">
      <c r="A217" s="20" t="s">
        <v>8332</v>
      </c>
      <c r="B217" s="20" t="s">
        <v>364</v>
      </c>
      <c r="C217" s="20" t="s">
        <v>95</v>
      </c>
      <c r="D217" s="20" t="s">
        <v>22</v>
      </c>
      <c r="E217" s="21">
        <f>ROUND(14839*1.05,2)</f>
      </c>
      <c r="F217" s="20" t="s">
        <v>51</v>
      </c>
      <c r="G217" s="20" t="s">
        <v>24</v>
      </c>
      <c r="H217" s="21">
        <f>ROUND(RAND()*4+6,1)</f>
      </c>
      <c r="I217" s="20" t="s">
        <v>25</v>
      </c>
      <c r="J217" s="23">
        <f>ROUND(97*1,0)&amp;"%"</f>
      </c>
    </row>
    <row x14ac:dyDescent="0.25" r="218" customHeight="1" ht="17.25">
      <c r="A218" s="24" t="s">
        <v>365</v>
      </c>
      <c r="B218" s="24"/>
      <c r="C218" s="24"/>
      <c r="D218" s="24"/>
      <c r="E218" s="25">
        <v>8</v>
      </c>
      <c r="F218" s="9"/>
      <c r="G218" s="9"/>
      <c r="H218" s="10"/>
      <c r="I218" s="9"/>
      <c r="J218" s="9"/>
    </row>
    <row x14ac:dyDescent="0.25" r="219" customHeight="1" ht="17.25">
      <c r="A219" s="7"/>
      <c r="B219" s="7"/>
      <c r="C219" s="7"/>
      <c r="D219" s="7"/>
      <c r="E219" s="8"/>
      <c r="F219" s="9"/>
      <c r="G219" s="9"/>
      <c r="H219" s="10"/>
      <c r="I219" s="9"/>
      <c r="J219" s="9"/>
    </row>
    <row x14ac:dyDescent="0.25" r="220" customHeight="1" ht="17.25">
      <c r="A220" s="11" t="s">
        <v>8333</v>
      </c>
      <c r="B220" s="11"/>
      <c r="C220" s="11"/>
      <c r="D220" s="11"/>
      <c r="E220" s="12"/>
      <c r="F220" s="11"/>
      <c r="G220" s="11"/>
      <c r="H220" s="13"/>
      <c r="I220" s="11"/>
      <c r="J220" s="11"/>
    </row>
    <row x14ac:dyDescent="0.25" r="221" customHeight="1" ht="17.25">
      <c r="A221" s="14" t="s">
        <v>3</v>
      </c>
      <c r="B221" s="14" t="s">
        <v>4</v>
      </c>
      <c r="C221" s="14" t="s">
        <v>5</v>
      </c>
      <c r="D221" s="14" t="s">
        <v>6</v>
      </c>
      <c r="E221" s="15" t="s">
        <v>7</v>
      </c>
      <c r="F221" s="14" t="s">
        <v>8</v>
      </c>
      <c r="G221" s="14" t="s">
        <v>9</v>
      </c>
      <c r="H221" s="16" t="s">
        <v>10</v>
      </c>
      <c r="I221" s="14" t="s">
        <v>11</v>
      </c>
      <c r="J221" s="14" t="s">
        <v>12</v>
      </c>
    </row>
    <row x14ac:dyDescent="0.25" r="222" customHeight="1" ht="17.25">
      <c r="A222" s="17" t="s">
        <v>8334</v>
      </c>
      <c r="B222" s="17" t="s">
        <v>368</v>
      </c>
      <c r="C222" s="17" t="s">
        <v>114</v>
      </c>
      <c r="D222" s="17" t="s">
        <v>16</v>
      </c>
      <c r="E222" s="18">
        <f>ROUND(17318*1.05,2)</f>
      </c>
      <c r="F222" s="17" t="s">
        <v>17</v>
      </c>
      <c r="G222" s="17" t="s">
        <v>18</v>
      </c>
      <c r="H222" s="18">
        <f>ROUND(RAND()*4+6,1)</f>
      </c>
      <c r="I222" s="17" t="s">
        <v>19</v>
      </c>
      <c r="J222" s="19">
        <f>ROUND(88*1,0)&amp;"%"</f>
      </c>
    </row>
    <row x14ac:dyDescent="0.25" r="223" customHeight="1" ht="17.25">
      <c r="A223" s="20" t="s">
        <v>8335</v>
      </c>
      <c r="B223" s="20" t="s">
        <v>370</v>
      </c>
      <c r="C223" s="20" t="s">
        <v>114</v>
      </c>
      <c r="D223" s="20" t="s">
        <v>22</v>
      </c>
      <c r="E223" s="21">
        <f>ROUND(11803*1.05,2)</f>
      </c>
      <c r="F223" s="20" t="s">
        <v>23</v>
      </c>
      <c r="G223" s="20" t="s">
        <v>24</v>
      </c>
      <c r="H223" s="21">
        <f>ROUND(RAND()*4+6,1)</f>
      </c>
      <c r="I223" s="20" t="s">
        <v>25</v>
      </c>
      <c r="J223" s="23">
        <f>ROUND(76*1,0)&amp;"%"</f>
      </c>
    </row>
    <row x14ac:dyDescent="0.25" r="224" customHeight="1" ht="17.25">
      <c r="A224" s="17" t="s">
        <v>8336</v>
      </c>
      <c r="B224" s="17" t="s">
        <v>372</v>
      </c>
      <c r="C224" s="17" t="s">
        <v>114</v>
      </c>
      <c r="D224" s="17" t="s">
        <v>28</v>
      </c>
      <c r="E224" s="18">
        <f>ROUND(7627*1.05,2)</f>
      </c>
      <c r="F224" s="17" t="s">
        <v>29</v>
      </c>
      <c r="G224" s="17" t="s">
        <v>30</v>
      </c>
      <c r="H224" s="18">
        <f>ROUND(RAND()*4+6,1)</f>
      </c>
      <c r="I224" s="17" t="s">
        <v>31</v>
      </c>
      <c r="J224" s="19">
        <f>ROUND(68*1,0)&amp;"%"</f>
      </c>
    </row>
    <row x14ac:dyDescent="0.25" r="225" customHeight="1" ht="17.25">
      <c r="A225" s="20" t="s">
        <v>8337</v>
      </c>
      <c r="B225" s="20" t="s">
        <v>374</v>
      </c>
      <c r="C225" s="20" t="s">
        <v>114</v>
      </c>
      <c r="D225" s="20" t="s">
        <v>34</v>
      </c>
      <c r="E225" s="21">
        <f>ROUND(9948*1.05,2)</f>
      </c>
      <c r="F225" s="20" t="s">
        <v>35</v>
      </c>
      <c r="G225" s="20" t="s">
        <v>18</v>
      </c>
      <c r="H225" s="21">
        <f>ROUND(RAND()*4+6,1)</f>
      </c>
      <c r="I225" s="20" t="s">
        <v>36</v>
      </c>
      <c r="J225" s="23">
        <f>ROUND(73*1,0)&amp;"%"</f>
      </c>
    </row>
    <row x14ac:dyDescent="0.25" r="226" customHeight="1" ht="17.25">
      <c r="A226" s="17" t="s">
        <v>8338</v>
      </c>
      <c r="B226" s="17" t="s">
        <v>376</v>
      </c>
      <c r="C226" s="17" t="s">
        <v>114</v>
      </c>
      <c r="D226" s="17" t="s">
        <v>39</v>
      </c>
      <c r="E226" s="18">
        <f>ROUND(13269*1.05,2)</f>
      </c>
      <c r="F226" s="17" t="s">
        <v>40</v>
      </c>
      <c r="G226" s="17" t="s">
        <v>24</v>
      </c>
      <c r="H226" s="18">
        <f>ROUND(RAND()*4+6,1)</f>
      </c>
      <c r="I226" s="17" t="s">
        <v>41</v>
      </c>
      <c r="J226" s="19">
        <f>ROUND(91*1,0)&amp;"%"</f>
      </c>
    </row>
    <row x14ac:dyDescent="0.25" r="227" customHeight="1" ht="17.25">
      <c r="A227" s="20" t="s">
        <v>8339</v>
      </c>
      <c r="B227" s="20" t="s">
        <v>378</v>
      </c>
      <c r="C227" s="20" t="s">
        <v>114</v>
      </c>
      <c r="D227" s="20" t="s">
        <v>67</v>
      </c>
      <c r="E227" s="22">
        <f>ROUND(16880*1.05,2)</f>
      </c>
      <c r="F227" s="20" t="s">
        <v>44</v>
      </c>
      <c r="G227" s="20" t="s">
        <v>30</v>
      </c>
      <c r="H227" s="21">
        <f>ROUND(RAND()*4+6,1)</f>
      </c>
      <c r="I227" s="20" t="s">
        <v>45</v>
      </c>
      <c r="J227" s="23">
        <f>ROUND(71*1,0)&amp;"%"</f>
      </c>
    </row>
    <row x14ac:dyDescent="0.25" r="228" customHeight="1" ht="17.25">
      <c r="A228" s="17" t="s">
        <v>8340</v>
      </c>
      <c r="B228" s="17" t="s">
        <v>380</v>
      </c>
      <c r="C228" s="17" t="s">
        <v>114</v>
      </c>
      <c r="D228" s="17" t="s">
        <v>16</v>
      </c>
      <c r="E228" s="18">
        <f>ROUND(16755*1.05,2)</f>
      </c>
      <c r="F228" s="17" t="s">
        <v>48</v>
      </c>
      <c r="G228" s="17" t="s">
        <v>18</v>
      </c>
      <c r="H228" s="18">
        <f>ROUND(RAND()*4+6,1)</f>
      </c>
      <c r="I228" s="17" t="s">
        <v>19</v>
      </c>
      <c r="J228" s="19">
        <f>ROUND(81*1,0)&amp;"%"</f>
      </c>
    </row>
    <row x14ac:dyDescent="0.25" r="229" customHeight="1" ht="17.25">
      <c r="A229" s="20" t="s">
        <v>8341</v>
      </c>
      <c r="B229" s="20" t="s">
        <v>382</v>
      </c>
      <c r="C229" s="20" t="s">
        <v>114</v>
      </c>
      <c r="D229" s="20" t="s">
        <v>22</v>
      </c>
      <c r="E229" s="21">
        <f>ROUND(9834*1.05,2)</f>
      </c>
      <c r="F229" s="20" t="s">
        <v>51</v>
      </c>
      <c r="G229" s="20" t="s">
        <v>24</v>
      </c>
      <c r="H229" s="21">
        <f>ROUND(RAND()*4+6,1)</f>
      </c>
      <c r="I229" s="20" t="s">
        <v>25</v>
      </c>
      <c r="J229" s="23">
        <f>ROUND(84*1,0)&amp;"%"</f>
      </c>
    </row>
    <row x14ac:dyDescent="0.25" r="230" customHeight="1" ht="17.25">
      <c r="A230" s="24" t="s">
        <v>383</v>
      </c>
      <c r="B230" s="24"/>
      <c r="C230" s="24"/>
      <c r="D230" s="24"/>
      <c r="E230" s="25">
        <v>8</v>
      </c>
      <c r="F230" s="9"/>
      <c r="G230" s="9"/>
      <c r="H230" s="10"/>
      <c r="I230" s="9"/>
      <c r="J230" s="9"/>
    </row>
    <row x14ac:dyDescent="0.25" r="231" customHeight="1" ht="17.25">
      <c r="A231" s="7"/>
      <c r="B231" s="7"/>
      <c r="C231" s="7"/>
      <c r="D231" s="7"/>
      <c r="E231" s="8"/>
      <c r="F231" s="9"/>
      <c r="G231" s="9"/>
      <c r="H231" s="10"/>
      <c r="I231" s="9"/>
      <c r="J231" s="9"/>
    </row>
    <row x14ac:dyDescent="0.25" r="232" customHeight="1" ht="17.25">
      <c r="A232" s="11" t="s">
        <v>8342</v>
      </c>
      <c r="B232" s="11"/>
      <c r="C232" s="11"/>
      <c r="D232" s="11"/>
      <c r="E232" s="12"/>
      <c r="F232" s="11"/>
      <c r="G232" s="11"/>
      <c r="H232" s="13"/>
      <c r="I232" s="11"/>
      <c r="J232" s="11"/>
    </row>
    <row x14ac:dyDescent="0.25" r="233" customHeight="1" ht="17.25">
      <c r="A233" s="14" t="s">
        <v>3</v>
      </c>
      <c r="B233" s="14" t="s">
        <v>4</v>
      </c>
      <c r="C233" s="14" t="s">
        <v>5</v>
      </c>
      <c r="D233" s="14" t="s">
        <v>6</v>
      </c>
      <c r="E233" s="15" t="s">
        <v>7</v>
      </c>
      <c r="F233" s="14" t="s">
        <v>8</v>
      </c>
      <c r="G233" s="14" t="s">
        <v>9</v>
      </c>
      <c r="H233" s="16" t="s">
        <v>10</v>
      </c>
      <c r="I233" s="14" t="s">
        <v>11</v>
      </c>
      <c r="J233" s="14" t="s">
        <v>12</v>
      </c>
    </row>
    <row x14ac:dyDescent="0.25" r="234" customHeight="1" ht="17.25">
      <c r="A234" s="17" t="s">
        <v>8343</v>
      </c>
      <c r="B234" s="17" t="s">
        <v>386</v>
      </c>
      <c r="C234" s="17" t="s">
        <v>133</v>
      </c>
      <c r="D234" s="17" t="s">
        <v>16</v>
      </c>
      <c r="E234" s="18">
        <f>ROUND(14604*1.05,2)</f>
      </c>
      <c r="F234" s="17" t="s">
        <v>17</v>
      </c>
      <c r="G234" s="17" t="s">
        <v>18</v>
      </c>
      <c r="H234" s="26">
        <f>ROUND(RAND()*4+6,1)</f>
      </c>
      <c r="I234" s="17" t="s">
        <v>19</v>
      </c>
      <c r="J234" s="19">
        <f>ROUND(94*1,0)&amp;"%"</f>
      </c>
    </row>
    <row x14ac:dyDescent="0.25" r="235" customHeight="1" ht="17.25">
      <c r="A235" s="20" t="s">
        <v>8344</v>
      </c>
      <c r="B235" s="20" t="s">
        <v>388</v>
      </c>
      <c r="C235" s="20" t="s">
        <v>133</v>
      </c>
      <c r="D235" s="20" t="s">
        <v>22</v>
      </c>
      <c r="E235" s="21">
        <f>ROUND(17068*1.05,2)</f>
      </c>
      <c r="F235" s="20" t="s">
        <v>23</v>
      </c>
      <c r="G235" s="20" t="s">
        <v>24</v>
      </c>
      <c r="H235" s="21">
        <f>ROUND(RAND()*4+6,1)</f>
      </c>
      <c r="I235" s="20" t="s">
        <v>25</v>
      </c>
      <c r="J235" s="23">
        <f>ROUND(87*1,0)&amp;"%"</f>
      </c>
    </row>
    <row x14ac:dyDescent="0.25" r="236" customHeight="1" ht="17.25">
      <c r="A236" s="17" t="s">
        <v>8345</v>
      </c>
      <c r="B236" s="17" t="s">
        <v>390</v>
      </c>
      <c r="C236" s="17" t="s">
        <v>133</v>
      </c>
      <c r="D236" s="17" t="s">
        <v>28</v>
      </c>
      <c r="E236" s="18">
        <f>ROUND(6968*1.05,2)</f>
      </c>
      <c r="F236" s="17" t="s">
        <v>29</v>
      </c>
      <c r="G236" s="17" t="s">
        <v>30</v>
      </c>
      <c r="H236" s="18">
        <f>ROUND(RAND()*4+6,1)</f>
      </c>
      <c r="I236" s="17" t="s">
        <v>31</v>
      </c>
      <c r="J236" s="19">
        <f>ROUND(85*1,0)&amp;"%"</f>
      </c>
    </row>
    <row x14ac:dyDescent="0.25" r="237" customHeight="1" ht="17.25">
      <c r="A237" s="20" t="s">
        <v>8346</v>
      </c>
      <c r="B237" s="20" t="s">
        <v>392</v>
      </c>
      <c r="C237" s="20" t="s">
        <v>133</v>
      </c>
      <c r="D237" s="20" t="s">
        <v>34</v>
      </c>
      <c r="E237" s="21">
        <f>ROUND(15953*1.05,2)</f>
      </c>
      <c r="F237" s="20" t="s">
        <v>35</v>
      </c>
      <c r="G237" s="20" t="s">
        <v>18</v>
      </c>
      <c r="H237" s="22">
        <f>ROUND(RAND()*4+6,1)</f>
      </c>
      <c r="I237" s="20" t="s">
        <v>36</v>
      </c>
      <c r="J237" s="23">
        <f>ROUND(62*1,0)&amp;"%"</f>
      </c>
    </row>
    <row x14ac:dyDescent="0.25" r="238" customHeight="1" ht="17.25">
      <c r="A238" s="17" t="s">
        <v>8347</v>
      </c>
      <c r="B238" s="17" t="s">
        <v>394</v>
      </c>
      <c r="C238" s="17" t="s">
        <v>133</v>
      </c>
      <c r="D238" s="17" t="s">
        <v>39</v>
      </c>
      <c r="E238" s="18">
        <f>ROUND(8011*1.05,2)</f>
      </c>
      <c r="F238" s="17" t="s">
        <v>40</v>
      </c>
      <c r="G238" s="17" t="s">
        <v>24</v>
      </c>
      <c r="H238" s="26">
        <f>ROUND(RAND()*4+6,1)</f>
      </c>
      <c r="I238" s="17" t="s">
        <v>41</v>
      </c>
      <c r="J238" s="19">
        <f>ROUND(81*1,0)&amp;"%"</f>
      </c>
    </row>
    <row x14ac:dyDescent="0.25" r="239" customHeight="1" ht="17.25">
      <c r="A239" s="20" t="s">
        <v>8348</v>
      </c>
      <c r="B239" s="20" t="s">
        <v>396</v>
      </c>
      <c r="C239" s="20" t="s">
        <v>133</v>
      </c>
      <c r="D239" s="20" t="s">
        <v>67</v>
      </c>
      <c r="E239" s="21">
        <f>ROUND(10349*1.05,2)</f>
      </c>
      <c r="F239" s="20" t="s">
        <v>44</v>
      </c>
      <c r="G239" s="20" t="s">
        <v>30</v>
      </c>
      <c r="H239" s="21">
        <f>ROUND(RAND()*4+6,1)</f>
      </c>
      <c r="I239" s="20" t="s">
        <v>45</v>
      </c>
      <c r="J239" s="23">
        <f>ROUND(100*1,0)&amp;"%"</f>
      </c>
    </row>
    <row x14ac:dyDescent="0.25" r="240" customHeight="1" ht="17.25">
      <c r="A240" s="17" t="s">
        <v>8349</v>
      </c>
      <c r="B240" s="17" t="s">
        <v>398</v>
      </c>
      <c r="C240" s="17" t="s">
        <v>133</v>
      </c>
      <c r="D240" s="17" t="s">
        <v>16</v>
      </c>
      <c r="E240" s="26">
        <f>ROUND(9740*1.05,2)</f>
      </c>
      <c r="F240" s="17" t="s">
        <v>48</v>
      </c>
      <c r="G240" s="17" t="s">
        <v>18</v>
      </c>
      <c r="H240" s="18">
        <f>ROUND(RAND()*4+6,1)</f>
      </c>
      <c r="I240" s="17" t="s">
        <v>19</v>
      </c>
      <c r="J240" s="19">
        <f>ROUND(81*1,0)&amp;"%"</f>
      </c>
    </row>
    <row x14ac:dyDescent="0.25" r="241" customHeight="1" ht="17.25">
      <c r="A241" s="20" t="s">
        <v>8350</v>
      </c>
      <c r="B241" s="20" t="s">
        <v>400</v>
      </c>
      <c r="C241" s="20" t="s">
        <v>133</v>
      </c>
      <c r="D241" s="20" t="s">
        <v>22</v>
      </c>
      <c r="E241" s="21">
        <f>ROUND(14291*1.05,2)</f>
      </c>
      <c r="F241" s="20" t="s">
        <v>51</v>
      </c>
      <c r="G241" s="20" t="s">
        <v>24</v>
      </c>
      <c r="H241" s="21">
        <f>ROUND(RAND()*4+6,1)</f>
      </c>
      <c r="I241" s="20" t="s">
        <v>25</v>
      </c>
      <c r="J241" s="23">
        <f>ROUND(82*1,0)&amp;"%"</f>
      </c>
    </row>
    <row x14ac:dyDescent="0.25" r="242" customHeight="1" ht="17.25">
      <c r="A242" s="24" t="s">
        <v>401</v>
      </c>
      <c r="B242" s="24"/>
      <c r="C242" s="24"/>
      <c r="D242" s="24"/>
      <c r="E242" s="25">
        <v>8</v>
      </c>
      <c r="F242" s="9"/>
      <c r="G242" s="9"/>
      <c r="H242" s="10"/>
      <c r="I242" s="9"/>
      <c r="J242" s="9"/>
    </row>
    <row x14ac:dyDescent="0.25" r="243" customHeight="1" ht="17.25">
      <c r="A243" s="7"/>
      <c r="B243" s="7"/>
      <c r="C243" s="7"/>
      <c r="D243" s="7"/>
      <c r="E243" s="8"/>
      <c r="F243" s="9"/>
      <c r="G243" s="9"/>
      <c r="H243" s="10"/>
      <c r="I243" s="9"/>
      <c r="J243" s="9"/>
    </row>
    <row x14ac:dyDescent="0.25" r="244" customHeight="1" ht="17.25">
      <c r="A244" s="11" t="s">
        <v>8351</v>
      </c>
      <c r="B244" s="11"/>
      <c r="C244" s="11"/>
      <c r="D244" s="11"/>
      <c r="E244" s="12"/>
      <c r="F244" s="11"/>
      <c r="G244" s="11"/>
      <c r="H244" s="13"/>
      <c r="I244" s="11"/>
      <c r="J244" s="11"/>
    </row>
    <row x14ac:dyDescent="0.25" r="245" customHeight="1" ht="17.25">
      <c r="A245" s="14" t="s">
        <v>3</v>
      </c>
      <c r="B245" s="14" t="s">
        <v>4</v>
      </c>
      <c r="C245" s="14" t="s">
        <v>5</v>
      </c>
      <c r="D245" s="14" t="s">
        <v>6</v>
      </c>
      <c r="E245" s="15" t="s">
        <v>7</v>
      </c>
      <c r="F245" s="14" t="s">
        <v>8</v>
      </c>
      <c r="G245" s="14" t="s">
        <v>9</v>
      </c>
      <c r="H245" s="16" t="s">
        <v>10</v>
      </c>
      <c r="I245" s="14" t="s">
        <v>11</v>
      </c>
      <c r="J245" s="14" t="s">
        <v>12</v>
      </c>
    </row>
    <row x14ac:dyDescent="0.25" r="246" customHeight="1" ht="17.25">
      <c r="A246" s="17" t="s">
        <v>8352</v>
      </c>
      <c r="B246" s="17" t="s">
        <v>404</v>
      </c>
      <c r="C246" s="17" t="s">
        <v>152</v>
      </c>
      <c r="D246" s="17" t="s">
        <v>16</v>
      </c>
      <c r="E246" s="26">
        <f>ROUND(14960*1.05,2)</f>
      </c>
      <c r="F246" s="17" t="s">
        <v>17</v>
      </c>
      <c r="G246" s="17" t="s">
        <v>18</v>
      </c>
      <c r="H246" s="18">
        <f>ROUND(RAND()*4+6,1)</f>
      </c>
      <c r="I246" s="17" t="s">
        <v>19</v>
      </c>
      <c r="J246" s="19">
        <f>ROUND(73*1,0)&amp;"%"</f>
      </c>
    </row>
    <row x14ac:dyDescent="0.25" r="247" customHeight="1" ht="17.25">
      <c r="A247" s="20" t="s">
        <v>8353</v>
      </c>
      <c r="B247" s="20" t="s">
        <v>406</v>
      </c>
      <c r="C247" s="20" t="s">
        <v>152</v>
      </c>
      <c r="D247" s="20" t="s">
        <v>22</v>
      </c>
      <c r="E247" s="21">
        <f>ROUND(10346*1.05,2)</f>
      </c>
      <c r="F247" s="20" t="s">
        <v>23</v>
      </c>
      <c r="G247" s="20" t="s">
        <v>24</v>
      </c>
      <c r="H247" s="21">
        <f>ROUND(RAND()*4+6,1)</f>
      </c>
      <c r="I247" s="20" t="s">
        <v>25</v>
      </c>
      <c r="J247" s="23">
        <f>ROUND(72*1,0)&amp;"%"</f>
      </c>
    </row>
    <row x14ac:dyDescent="0.25" r="248" customHeight="1" ht="17.25">
      <c r="A248" s="17" t="s">
        <v>8354</v>
      </c>
      <c r="B248" s="17" t="s">
        <v>408</v>
      </c>
      <c r="C248" s="17" t="s">
        <v>152</v>
      </c>
      <c r="D248" s="17" t="s">
        <v>28</v>
      </c>
      <c r="E248" s="18">
        <f>ROUND(9257*1.05,2)</f>
      </c>
      <c r="F248" s="17" t="s">
        <v>29</v>
      </c>
      <c r="G248" s="17" t="s">
        <v>30</v>
      </c>
      <c r="H248" s="18">
        <f>ROUND(RAND()*4+6,1)</f>
      </c>
      <c r="I248" s="17" t="s">
        <v>31</v>
      </c>
      <c r="J248" s="19">
        <f>ROUND(63*1,0)&amp;"%"</f>
      </c>
    </row>
    <row x14ac:dyDescent="0.25" r="249" customHeight="1" ht="17.25">
      <c r="A249" s="20" t="s">
        <v>8355</v>
      </c>
      <c r="B249" s="20" t="s">
        <v>410</v>
      </c>
      <c r="C249" s="20" t="s">
        <v>152</v>
      </c>
      <c r="D249" s="20" t="s">
        <v>34</v>
      </c>
      <c r="E249" s="21">
        <f>ROUND(8870*1.05,2)</f>
      </c>
      <c r="F249" s="20" t="s">
        <v>35</v>
      </c>
      <c r="G249" s="20" t="s">
        <v>18</v>
      </c>
      <c r="H249" s="21">
        <f>ROUND(RAND()*4+6,1)</f>
      </c>
      <c r="I249" s="20" t="s">
        <v>36</v>
      </c>
      <c r="J249" s="23">
        <f>ROUND(60*1,0)&amp;"%"</f>
      </c>
    </row>
    <row x14ac:dyDescent="0.25" r="250" customHeight="1" ht="17.25">
      <c r="A250" s="17" t="s">
        <v>8356</v>
      </c>
      <c r="B250" s="17" t="s">
        <v>412</v>
      </c>
      <c r="C250" s="17" t="s">
        <v>152</v>
      </c>
      <c r="D250" s="17" t="s">
        <v>39</v>
      </c>
      <c r="E250" s="18">
        <f>ROUND(10897*1.05,2)</f>
      </c>
      <c r="F250" s="17" t="s">
        <v>40</v>
      </c>
      <c r="G250" s="17" t="s">
        <v>24</v>
      </c>
      <c r="H250" s="18">
        <f>ROUND(RAND()*4+6,1)</f>
      </c>
      <c r="I250" s="17" t="s">
        <v>41</v>
      </c>
      <c r="J250" s="19">
        <f>ROUND(100*1,0)&amp;"%"</f>
      </c>
    </row>
    <row x14ac:dyDescent="0.25" r="251" customHeight="1" ht="17.25">
      <c r="A251" s="20" t="s">
        <v>8357</v>
      </c>
      <c r="B251" s="20" t="s">
        <v>414</v>
      </c>
      <c r="C251" s="20" t="s">
        <v>152</v>
      </c>
      <c r="D251" s="20" t="s">
        <v>67</v>
      </c>
      <c r="E251" s="21">
        <f>ROUND(7866*1.05,2)</f>
      </c>
      <c r="F251" s="20" t="s">
        <v>44</v>
      </c>
      <c r="G251" s="20" t="s">
        <v>30</v>
      </c>
      <c r="H251" s="21">
        <f>ROUND(RAND()*4+6,1)</f>
      </c>
      <c r="I251" s="20" t="s">
        <v>45</v>
      </c>
      <c r="J251" s="23">
        <f>ROUND(85*1,0)&amp;"%"</f>
      </c>
    </row>
    <row x14ac:dyDescent="0.25" r="252" customHeight="1" ht="17.25">
      <c r="A252" s="17" t="s">
        <v>8358</v>
      </c>
      <c r="B252" s="17" t="s">
        <v>416</v>
      </c>
      <c r="C252" s="17" t="s">
        <v>152</v>
      </c>
      <c r="D252" s="17" t="s">
        <v>16</v>
      </c>
      <c r="E252" s="18">
        <f>ROUND(9601*1.05,2)</f>
      </c>
      <c r="F252" s="17" t="s">
        <v>48</v>
      </c>
      <c r="G252" s="17" t="s">
        <v>18</v>
      </c>
      <c r="H252" s="18">
        <f>ROUND(RAND()*4+6,1)</f>
      </c>
      <c r="I252" s="17" t="s">
        <v>19</v>
      </c>
      <c r="J252" s="19">
        <f>ROUND(77*1,0)&amp;"%"</f>
      </c>
    </row>
    <row x14ac:dyDescent="0.25" r="253" customHeight="1" ht="17.25">
      <c r="A253" s="20" t="s">
        <v>8359</v>
      </c>
      <c r="B253" s="20" t="s">
        <v>418</v>
      </c>
      <c r="C253" s="20" t="s">
        <v>152</v>
      </c>
      <c r="D253" s="20" t="s">
        <v>22</v>
      </c>
      <c r="E253" s="21">
        <f>ROUND(13726*1.05,2)</f>
      </c>
      <c r="F253" s="20" t="s">
        <v>51</v>
      </c>
      <c r="G253" s="20" t="s">
        <v>24</v>
      </c>
      <c r="H253" s="21">
        <f>ROUND(RAND()*4+6,1)</f>
      </c>
      <c r="I253" s="20" t="s">
        <v>25</v>
      </c>
      <c r="J253" s="23">
        <f>ROUND(85*1,0)&amp;"%"</f>
      </c>
    </row>
    <row x14ac:dyDescent="0.25" r="254" customHeight="1" ht="17.25">
      <c r="A254" s="24" t="s">
        <v>419</v>
      </c>
      <c r="B254" s="24"/>
      <c r="C254" s="24"/>
      <c r="D254" s="24"/>
      <c r="E254" s="25">
        <v>8</v>
      </c>
      <c r="F254" s="9"/>
      <c r="G254" s="9"/>
      <c r="H254" s="10"/>
      <c r="I254" s="9"/>
      <c r="J254" s="9"/>
    </row>
    <row x14ac:dyDescent="0.25" r="255" customHeight="1" ht="17.25">
      <c r="A255" s="7"/>
      <c r="B255" s="7"/>
      <c r="C255" s="7"/>
      <c r="D255" s="7"/>
      <c r="E255" s="8"/>
      <c r="F255" s="9"/>
      <c r="G255" s="9"/>
      <c r="H255" s="10"/>
      <c r="I255" s="9"/>
      <c r="J255" s="9"/>
    </row>
    <row x14ac:dyDescent="0.25" r="256" customHeight="1" ht="17.25">
      <c r="A256" s="11" t="s">
        <v>8360</v>
      </c>
      <c r="B256" s="11"/>
      <c r="C256" s="11"/>
      <c r="D256" s="11"/>
      <c r="E256" s="12"/>
      <c r="F256" s="11"/>
      <c r="G256" s="11"/>
      <c r="H256" s="13"/>
      <c r="I256" s="11"/>
      <c r="J256" s="11"/>
    </row>
    <row x14ac:dyDescent="0.25" r="257" customHeight="1" ht="17.25">
      <c r="A257" s="14" t="s">
        <v>3</v>
      </c>
      <c r="B257" s="14" t="s">
        <v>4</v>
      </c>
      <c r="C257" s="14" t="s">
        <v>5</v>
      </c>
      <c r="D257" s="14" t="s">
        <v>6</v>
      </c>
      <c r="E257" s="15" t="s">
        <v>7</v>
      </c>
      <c r="F257" s="14" t="s">
        <v>8</v>
      </c>
      <c r="G257" s="14" t="s">
        <v>9</v>
      </c>
      <c r="H257" s="16" t="s">
        <v>10</v>
      </c>
      <c r="I257" s="14" t="s">
        <v>11</v>
      </c>
      <c r="J257" s="14" t="s">
        <v>12</v>
      </c>
    </row>
    <row x14ac:dyDescent="0.25" r="258" customHeight="1" ht="17.25">
      <c r="A258" s="17" t="s">
        <v>8361</v>
      </c>
      <c r="B258" s="17" t="s">
        <v>422</v>
      </c>
      <c r="C258" s="17" t="s">
        <v>15</v>
      </c>
      <c r="D258" s="17" t="s">
        <v>16</v>
      </c>
      <c r="E258" s="18">
        <f>ROUND(9229*1.05,2)</f>
      </c>
      <c r="F258" s="17" t="s">
        <v>17</v>
      </c>
      <c r="G258" s="17" t="s">
        <v>18</v>
      </c>
      <c r="H258" s="18">
        <f>ROUND(RAND()*4+6,1)</f>
      </c>
      <c r="I258" s="17" t="s">
        <v>19</v>
      </c>
      <c r="J258" s="19">
        <f>ROUND(84*1,0)&amp;"%"</f>
      </c>
    </row>
    <row x14ac:dyDescent="0.25" r="259" customHeight="1" ht="17.25">
      <c r="A259" s="20" t="s">
        <v>8362</v>
      </c>
      <c r="B259" s="20" t="s">
        <v>424</v>
      </c>
      <c r="C259" s="20" t="s">
        <v>15</v>
      </c>
      <c r="D259" s="20" t="s">
        <v>22</v>
      </c>
      <c r="E259" s="21">
        <f>ROUND(13872*1.05,2)</f>
      </c>
      <c r="F259" s="20" t="s">
        <v>23</v>
      </c>
      <c r="G259" s="20" t="s">
        <v>24</v>
      </c>
      <c r="H259" s="21">
        <f>ROUND(RAND()*4+6,1)</f>
      </c>
      <c r="I259" s="20" t="s">
        <v>25</v>
      </c>
      <c r="J259" s="23">
        <f>ROUND(100*1,0)&amp;"%"</f>
      </c>
    </row>
    <row x14ac:dyDescent="0.25" r="260" customHeight="1" ht="17.25">
      <c r="A260" s="17" t="s">
        <v>8363</v>
      </c>
      <c r="B260" s="17" t="s">
        <v>426</v>
      </c>
      <c r="C260" s="17" t="s">
        <v>15</v>
      </c>
      <c r="D260" s="17" t="s">
        <v>28</v>
      </c>
      <c r="E260" s="18">
        <f>ROUND(16715*1.05,2)</f>
      </c>
      <c r="F260" s="17" t="s">
        <v>29</v>
      </c>
      <c r="G260" s="17" t="s">
        <v>30</v>
      </c>
      <c r="H260" s="18">
        <f>ROUND(RAND()*4+6,1)</f>
      </c>
      <c r="I260" s="17" t="s">
        <v>31</v>
      </c>
      <c r="J260" s="19">
        <f>ROUND(76*1,0)&amp;"%"</f>
      </c>
    </row>
    <row x14ac:dyDescent="0.25" r="261" customHeight="1" ht="17.25">
      <c r="A261" s="20" t="s">
        <v>8364</v>
      </c>
      <c r="B261" s="20" t="s">
        <v>428</v>
      </c>
      <c r="C261" s="20" t="s">
        <v>15</v>
      </c>
      <c r="D261" s="20" t="s">
        <v>34</v>
      </c>
      <c r="E261" s="21">
        <f>ROUND(8415*1.05,2)</f>
      </c>
      <c r="F261" s="20" t="s">
        <v>35</v>
      </c>
      <c r="G261" s="20" t="s">
        <v>18</v>
      </c>
      <c r="H261" s="21">
        <f>ROUND(RAND()*4+6,1)</f>
      </c>
      <c r="I261" s="20" t="s">
        <v>36</v>
      </c>
      <c r="J261" s="23">
        <f>ROUND(98*1,0)&amp;"%"</f>
      </c>
    </row>
    <row x14ac:dyDescent="0.25" r="262" customHeight="1" ht="17.25">
      <c r="A262" s="17" t="s">
        <v>8365</v>
      </c>
      <c r="B262" s="17" t="s">
        <v>430</v>
      </c>
      <c r="C262" s="17" t="s">
        <v>15</v>
      </c>
      <c r="D262" s="17" t="s">
        <v>39</v>
      </c>
      <c r="E262" s="18">
        <f>ROUND(16775*1.05,2)</f>
      </c>
      <c r="F262" s="17" t="s">
        <v>40</v>
      </c>
      <c r="G262" s="17" t="s">
        <v>24</v>
      </c>
      <c r="H262" s="18">
        <f>ROUND(RAND()*4+6,1)</f>
      </c>
      <c r="I262" s="17" t="s">
        <v>41</v>
      </c>
      <c r="J262" s="19">
        <f>ROUND(72*1,0)&amp;"%"</f>
      </c>
    </row>
    <row x14ac:dyDescent="0.25" r="263" customHeight="1" ht="17.25">
      <c r="A263" s="20" t="s">
        <v>8366</v>
      </c>
      <c r="B263" s="20" t="s">
        <v>432</v>
      </c>
      <c r="C263" s="20" t="s">
        <v>15</v>
      </c>
      <c r="D263" s="20" t="s">
        <v>67</v>
      </c>
      <c r="E263" s="21">
        <f>ROUND(11713*1.05,2)</f>
      </c>
      <c r="F263" s="20" t="s">
        <v>44</v>
      </c>
      <c r="G263" s="20" t="s">
        <v>30</v>
      </c>
      <c r="H263" s="21">
        <f>ROUND(RAND()*4+6,1)</f>
      </c>
      <c r="I263" s="20" t="s">
        <v>45</v>
      </c>
      <c r="J263" s="23">
        <f>ROUND(76*1,0)&amp;"%"</f>
      </c>
    </row>
    <row x14ac:dyDescent="0.25" r="264" customHeight="1" ht="17.25">
      <c r="A264" s="17" t="s">
        <v>8367</v>
      </c>
      <c r="B264" s="17" t="s">
        <v>434</v>
      </c>
      <c r="C264" s="17" t="s">
        <v>15</v>
      </c>
      <c r="D264" s="17" t="s">
        <v>16</v>
      </c>
      <c r="E264" s="26">
        <f>ROUND(11940*1.05,2)</f>
      </c>
      <c r="F264" s="17" t="s">
        <v>48</v>
      </c>
      <c r="G264" s="17" t="s">
        <v>18</v>
      </c>
      <c r="H264" s="18">
        <f>ROUND(RAND()*4+6,1)</f>
      </c>
      <c r="I264" s="17" t="s">
        <v>19</v>
      </c>
      <c r="J264" s="19">
        <f>ROUND(61*1,0)&amp;"%"</f>
      </c>
    </row>
    <row x14ac:dyDescent="0.25" r="265" customHeight="1" ht="17.25">
      <c r="A265" s="20" t="s">
        <v>8368</v>
      </c>
      <c r="B265" s="20" t="s">
        <v>436</v>
      </c>
      <c r="C265" s="20" t="s">
        <v>15</v>
      </c>
      <c r="D265" s="20" t="s">
        <v>22</v>
      </c>
      <c r="E265" s="21">
        <f>ROUND(12053*1.05,2)</f>
      </c>
      <c r="F265" s="20" t="s">
        <v>51</v>
      </c>
      <c r="G265" s="20" t="s">
        <v>24</v>
      </c>
      <c r="H265" s="21">
        <f>ROUND(RAND()*4+6,1)</f>
      </c>
      <c r="I265" s="20" t="s">
        <v>25</v>
      </c>
      <c r="J265" s="23">
        <f>ROUND(76*1,0)&amp;"%"</f>
      </c>
    </row>
    <row x14ac:dyDescent="0.25" r="266" customHeight="1" ht="17.25">
      <c r="A266" s="24" t="s">
        <v>437</v>
      </c>
      <c r="B266" s="24"/>
      <c r="C266" s="24"/>
      <c r="D266" s="24"/>
      <c r="E266" s="25">
        <v>8</v>
      </c>
      <c r="F266" s="9"/>
      <c r="G266" s="9"/>
      <c r="H266" s="10"/>
      <c r="I266" s="9"/>
      <c r="J266" s="9"/>
    </row>
    <row x14ac:dyDescent="0.25" r="267" customHeight="1" ht="17.25">
      <c r="A267" s="7"/>
      <c r="B267" s="7"/>
      <c r="C267" s="7"/>
      <c r="D267" s="7"/>
      <c r="E267" s="8"/>
      <c r="F267" s="9"/>
      <c r="G267" s="9"/>
      <c r="H267" s="10"/>
      <c r="I267" s="9"/>
      <c r="J267" s="9"/>
    </row>
    <row x14ac:dyDescent="0.25" r="268" customHeight="1" ht="17.25">
      <c r="A268" s="11" t="s">
        <v>8369</v>
      </c>
      <c r="B268" s="11"/>
      <c r="C268" s="11"/>
      <c r="D268" s="11"/>
      <c r="E268" s="12"/>
      <c r="F268" s="11"/>
      <c r="G268" s="11"/>
      <c r="H268" s="13"/>
      <c r="I268" s="11"/>
      <c r="J268" s="11"/>
    </row>
    <row x14ac:dyDescent="0.25" r="269" customHeight="1" ht="17.25">
      <c r="A269" s="14" t="s">
        <v>3</v>
      </c>
      <c r="B269" s="14" t="s">
        <v>4</v>
      </c>
      <c r="C269" s="14" t="s">
        <v>5</v>
      </c>
      <c r="D269" s="14" t="s">
        <v>6</v>
      </c>
      <c r="E269" s="15" t="s">
        <v>7</v>
      </c>
      <c r="F269" s="14" t="s">
        <v>8</v>
      </c>
      <c r="G269" s="14" t="s">
        <v>9</v>
      </c>
      <c r="H269" s="16" t="s">
        <v>10</v>
      </c>
      <c r="I269" s="14" t="s">
        <v>11</v>
      </c>
      <c r="J269" s="14" t="s">
        <v>12</v>
      </c>
    </row>
    <row x14ac:dyDescent="0.25" r="270" customHeight="1" ht="17.25">
      <c r="A270" s="17" t="s">
        <v>8370</v>
      </c>
      <c r="B270" s="17" t="s">
        <v>440</v>
      </c>
      <c r="C270" s="17" t="s">
        <v>56</v>
      </c>
      <c r="D270" s="17" t="s">
        <v>16</v>
      </c>
      <c r="E270" s="18">
        <f>ROUND(15824*1.05,2)</f>
      </c>
      <c r="F270" s="17" t="s">
        <v>17</v>
      </c>
      <c r="G270" s="17" t="s">
        <v>18</v>
      </c>
      <c r="H270" s="18">
        <f>ROUND(RAND()*4+6,1)</f>
      </c>
      <c r="I270" s="17" t="s">
        <v>19</v>
      </c>
      <c r="J270" s="19">
        <f>ROUND(88*1,0)&amp;"%"</f>
      </c>
    </row>
    <row x14ac:dyDescent="0.25" r="271" customHeight="1" ht="17.25">
      <c r="A271" s="20" t="s">
        <v>8371</v>
      </c>
      <c r="B271" s="20" t="s">
        <v>442</v>
      </c>
      <c r="C271" s="20" t="s">
        <v>56</v>
      </c>
      <c r="D271" s="20" t="s">
        <v>22</v>
      </c>
      <c r="E271" s="22">
        <f>ROUND(14820*1.05,2)</f>
      </c>
      <c r="F271" s="20" t="s">
        <v>23</v>
      </c>
      <c r="G271" s="20" t="s">
        <v>24</v>
      </c>
      <c r="H271" s="21">
        <f>ROUND(RAND()*4+6,1)</f>
      </c>
      <c r="I271" s="20" t="s">
        <v>25</v>
      </c>
      <c r="J271" s="23">
        <f>ROUND(71*1,0)&amp;"%"</f>
      </c>
    </row>
    <row x14ac:dyDescent="0.25" r="272" customHeight="1" ht="17.25">
      <c r="A272" s="17" t="s">
        <v>8372</v>
      </c>
      <c r="B272" s="17" t="s">
        <v>444</v>
      </c>
      <c r="C272" s="17" t="s">
        <v>56</v>
      </c>
      <c r="D272" s="17" t="s">
        <v>28</v>
      </c>
      <c r="E272" s="18">
        <f>ROUND(14684*1.05,2)</f>
      </c>
      <c r="F272" s="17" t="s">
        <v>29</v>
      </c>
      <c r="G272" s="17" t="s">
        <v>30</v>
      </c>
      <c r="H272" s="18">
        <f>ROUND(RAND()*4+6,1)</f>
      </c>
      <c r="I272" s="17" t="s">
        <v>31</v>
      </c>
      <c r="J272" s="19">
        <f>ROUND(78*1,0)&amp;"%"</f>
      </c>
    </row>
    <row x14ac:dyDescent="0.25" r="273" customHeight="1" ht="17.25">
      <c r="A273" s="20" t="s">
        <v>8373</v>
      </c>
      <c r="B273" s="20" t="s">
        <v>446</v>
      </c>
      <c r="C273" s="20" t="s">
        <v>56</v>
      </c>
      <c r="D273" s="20" t="s">
        <v>34</v>
      </c>
      <c r="E273" s="21">
        <f>ROUND(17333*1.05,2)</f>
      </c>
      <c r="F273" s="20" t="s">
        <v>35</v>
      </c>
      <c r="G273" s="20" t="s">
        <v>18</v>
      </c>
      <c r="H273" s="21">
        <f>ROUND(RAND()*4+6,1)</f>
      </c>
      <c r="I273" s="20" t="s">
        <v>36</v>
      </c>
      <c r="J273" s="23">
        <f>ROUND(75*1,0)&amp;"%"</f>
      </c>
    </row>
    <row x14ac:dyDescent="0.25" r="274" customHeight="1" ht="17.25">
      <c r="A274" s="17" t="s">
        <v>8374</v>
      </c>
      <c r="B274" s="17" t="s">
        <v>448</v>
      </c>
      <c r="C274" s="17" t="s">
        <v>56</v>
      </c>
      <c r="D274" s="17" t="s">
        <v>39</v>
      </c>
      <c r="E274" s="18">
        <f>ROUND(12601*1.05,2)</f>
      </c>
      <c r="F274" s="17" t="s">
        <v>40</v>
      </c>
      <c r="G274" s="17" t="s">
        <v>24</v>
      </c>
      <c r="H274" s="18">
        <f>ROUND(RAND()*4+6,1)</f>
      </c>
      <c r="I274" s="17" t="s">
        <v>41</v>
      </c>
      <c r="J274" s="19">
        <f>ROUND(87*1,0)&amp;"%"</f>
      </c>
    </row>
    <row x14ac:dyDescent="0.25" r="275" customHeight="1" ht="17.25">
      <c r="A275" s="20" t="s">
        <v>8375</v>
      </c>
      <c r="B275" s="20" t="s">
        <v>450</v>
      </c>
      <c r="C275" s="20" t="s">
        <v>56</v>
      </c>
      <c r="D275" s="20" t="s">
        <v>67</v>
      </c>
      <c r="E275" s="21">
        <f>ROUND(8311*1.05,2)</f>
      </c>
      <c r="F275" s="20" t="s">
        <v>44</v>
      </c>
      <c r="G275" s="20" t="s">
        <v>30</v>
      </c>
      <c r="H275" s="22">
        <f>ROUND(RAND()*4+6,1)</f>
      </c>
      <c r="I275" s="20" t="s">
        <v>45</v>
      </c>
      <c r="J275" s="23">
        <f>ROUND(63*1,0)&amp;"%"</f>
      </c>
    </row>
    <row x14ac:dyDescent="0.25" r="276" customHeight="1" ht="17.25">
      <c r="A276" s="17" t="s">
        <v>8376</v>
      </c>
      <c r="B276" s="17" t="s">
        <v>452</v>
      </c>
      <c r="C276" s="17" t="s">
        <v>56</v>
      </c>
      <c r="D276" s="17" t="s">
        <v>16</v>
      </c>
      <c r="E276" s="18">
        <f>ROUND(8339*1.05,2)</f>
      </c>
      <c r="F276" s="17" t="s">
        <v>48</v>
      </c>
      <c r="G276" s="17" t="s">
        <v>18</v>
      </c>
      <c r="H276" s="18">
        <f>ROUND(RAND()*4+6,1)</f>
      </c>
      <c r="I276" s="17" t="s">
        <v>19</v>
      </c>
      <c r="J276" s="19">
        <f>ROUND(93*1,0)&amp;"%"</f>
      </c>
    </row>
    <row x14ac:dyDescent="0.25" r="277" customHeight="1" ht="17.25">
      <c r="A277" s="20" t="s">
        <v>8377</v>
      </c>
      <c r="B277" s="20" t="s">
        <v>454</v>
      </c>
      <c r="C277" s="20" t="s">
        <v>56</v>
      </c>
      <c r="D277" s="20" t="s">
        <v>22</v>
      </c>
      <c r="E277" s="21">
        <f>ROUND(10704*1.05,2)</f>
      </c>
      <c r="F277" s="20" t="s">
        <v>51</v>
      </c>
      <c r="G277" s="20" t="s">
        <v>24</v>
      </c>
      <c r="H277" s="21">
        <f>ROUND(RAND()*4+6,1)</f>
      </c>
      <c r="I277" s="20" t="s">
        <v>25</v>
      </c>
      <c r="J277" s="23">
        <f>ROUND(93*1,0)&amp;"%"</f>
      </c>
    </row>
    <row x14ac:dyDescent="0.25" r="278" customHeight="1" ht="17.25">
      <c r="A278" s="24" t="s">
        <v>455</v>
      </c>
      <c r="B278" s="24"/>
      <c r="C278" s="24"/>
      <c r="D278" s="24"/>
      <c r="E278" s="25">
        <v>8</v>
      </c>
      <c r="F278" s="9"/>
      <c r="G278" s="9"/>
      <c r="H278" s="10"/>
      <c r="I278" s="9"/>
      <c r="J278" s="9"/>
    </row>
    <row x14ac:dyDescent="0.25" r="279" customHeight="1" ht="17.25">
      <c r="A279" s="7"/>
      <c r="B279" s="7"/>
      <c r="C279" s="7"/>
      <c r="D279" s="7"/>
      <c r="E279" s="8"/>
      <c r="F279" s="9"/>
      <c r="G279" s="9"/>
      <c r="H279" s="10"/>
      <c r="I279" s="9"/>
      <c r="J279" s="9"/>
    </row>
    <row x14ac:dyDescent="0.25" r="280" customHeight="1" ht="17.25">
      <c r="A280" s="11" t="s">
        <v>8378</v>
      </c>
      <c r="B280" s="11"/>
      <c r="C280" s="11"/>
      <c r="D280" s="11"/>
      <c r="E280" s="12"/>
      <c r="F280" s="11"/>
      <c r="G280" s="11"/>
      <c r="H280" s="13"/>
      <c r="I280" s="11"/>
      <c r="J280" s="11"/>
    </row>
    <row x14ac:dyDescent="0.25" r="281" customHeight="1" ht="17.25">
      <c r="A281" s="14" t="s">
        <v>3</v>
      </c>
      <c r="B281" s="14" t="s">
        <v>4</v>
      </c>
      <c r="C281" s="14" t="s">
        <v>5</v>
      </c>
      <c r="D281" s="14" t="s">
        <v>6</v>
      </c>
      <c r="E281" s="15" t="s">
        <v>7</v>
      </c>
      <c r="F281" s="14" t="s">
        <v>8</v>
      </c>
      <c r="G281" s="14" t="s">
        <v>9</v>
      </c>
      <c r="H281" s="16" t="s">
        <v>10</v>
      </c>
      <c r="I281" s="14" t="s">
        <v>11</v>
      </c>
      <c r="J281" s="14" t="s">
        <v>12</v>
      </c>
    </row>
    <row x14ac:dyDescent="0.25" r="282" customHeight="1" ht="17.25">
      <c r="A282" s="17" t="s">
        <v>8379</v>
      </c>
      <c r="B282" s="17" t="s">
        <v>458</v>
      </c>
      <c r="C282" s="17" t="s">
        <v>76</v>
      </c>
      <c r="D282" s="17" t="s">
        <v>16</v>
      </c>
      <c r="E282" s="18">
        <f>ROUND(9691*1.05,2)</f>
      </c>
      <c r="F282" s="17" t="s">
        <v>17</v>
      </c>
      <c r="G282" s="17" t="s">
        <v>18</v>
      </c>
      <c r="H282" s="18">
        <f>ROUND(RAND()*4+6,1)</f>
      </c>
      <c r="I282" s="17" t="s">
        <v>19</v>
      </c>
      <c r="J282" s="19">
        <f>ROUND(71*1,0)&amp;"%"</f>
      </c>
    </row>
    <row x14ac:dyDescent="0.25" r="283" customHeight="1" ht="17.25">
      <c r="A283" s="20" t="s">
        <v>8380</v>
      </c>
      <c r="B283" s="20" t="s">
        <v>460</v>
      </c>
      <c r="C283" s="20" t="s">
        <v>76</v>
      </c>
      <c r="D283" s="20" t="s">
        <v>22</v>
      </c>
      <c r="E283" s="21">
        <f>ROUND(16663*1.05,2)</f>
      </c>
      <c r="F283" s="20" t="s">
        <v>23</v>
      </c>
      <c r="G283" s="20" t="s">
        <v>24</v>
      </c>
      <c r="H283" s="21">
        <f>ROUND(RAND()*4+6,1)</f>
      </c>
      <c r="I283" s="20" t="s">
        <v>25</v>
      </c>
      <c r="J283" s="23">
        <f>ROUND(92*1,0)&amp;"%"</f>
      </c>
    </row>
    <row x14ac:dyDescent="0.25" r="284" customHeight="1" ht="17.25">
      <c r="A284" s="17" t="s">
        <v>8381</v>
      </c>
      <c r="B284" s="17" t="s">
        <v>462</v>
      </c>
      <c r="C284" s="17" t="s">
        <v>76</v>
      </c>
      <c r="D284" s="17" t="s">
        <v>28</v>
      </c>
      <c r="E284" s="18">
        <f>ROUND(7757*1.05,2)</f>
      </c>
      <c r="F284" s="17" t="s">
        <v>29</v>
      </c>
      <c r="G284" s="17" t="s">
        <v>30</v>
      </c>
      <c r="H284" s="26">
        <f>ROUND(RAND()*4+6,1)</f>
      </c>
      <c r="I284" s="17" t="s">
        <v>31</v>
      </c>
      <c r="J284" s="19">
        <f>ROUND(73*1,0)&amp;"%"</f>
      </c>
    </row>
    <row x14ac:dyDescent="0.25" r="285" customHeight="1" ht="17.25">
      <c r="A285" s="20" t="s">
        <v>8382</v>
      </c>
      <c r="B285" s="20" t="s">
        <v>464</v>
      </c>
      <c r="C285" s="20" t="s">
        <v>76</v>
      </c>
      <c r="D285" s="20" t="s">
        <v>34</v>
      </c>
      <c r="E285" s="21">
        <f>ROUND(12614*1.05,2)</f>
      </c>
      <c r="F285" s="20" t="s">
        <v>35</v>
      </c>
      <c r="G285" s="20" t="s">
        <v>18</v>
      </c>
      <c r="H285" s="21">
        <f>ROUND(RAND()*4+6,1)</f>
      </c>
      <c r="I285" s="20" t="s">
        <v>36</v>
      </c>
      <c r="J285" s="23">
        <f>ROUND(83*1,0)&amp;"%"</f>
      </c>
    </row>
    <row x14ac:dyDescent="0.25" r="286" customHeight="1" ht="17.25">
      <c r="A286" s="17" t="s">
        <v>8383</v>
      </c>
      <c r="B286" s="17" t="s">
        <v>466</v>
      </c>
      <c r="C286" s="17" t="s">
        <v>76</v>
      </c>
      <c r="D286" s="17" t="s">
        <v>39</v>
      </c>
      <c r="E286" s="26">
        <f>ROUND(8040*1.05,2)</f>
      </c>
      <c r="F286" s="17" t="s">
        <v>40</v>
      </c>
      <c r="G286" s="17" t="s">
        <v>24</v>
      </c>
      <c r="H286" s="18">
        <f>ROUND(RAND()*4+6,1)</f>
      </c>
      <c r="I286" s="17" t="s">
        <v>41</v>
      </c>
      <c r="J286" s="19">
        <f>ROUND(61*1,0)&amp;"%"</f>
      </c>
    </row>
    <row x14ac:dyDescent="0.25" r="287" customHeight="1" ht="17.25">
      <c r="A287" s="20" t="s">
        <v>8384</v>
      </c>
      <c r="B287" s="20" t="s">
        <v>468</v>
      </c>
      <c r="C287" s="20" t="s">
        <v>76</v>
      </c>
      <c r="D287" s="20" t="s">
        <v>67</v>
      </c>
      <c r="E287" s="22">
        <f>ROUND(12600*1.05,2)</f>
      </c>
      <c r="F287" s="20" t="s">
        <v>44</v>
      </c>
      <c r="G287" s="20" t="s">
        <v>30</v>
      </c>
      <c r="H287" s="22">
        <f>ROUND(RAND()*4+6,1)</f>
      </c>
      <c r="I287" s="20" t="s">
        <v>45</v>
      </c>
      <c r="J287" s="23">
        <f>ROUND(86*1,0)&amp;"%"</f>
      </c>
    </row>
    <row x14ac:dyDescent="0.25" r="288" customHeight="1" ht="17.25">
      <c r="A288" s="17" t="s">
        <v>8385</v>
      </c>
      <c r="B288" s="17" t="s">
        <v>470</v>
      </c>
      <c r="C288" s="17" t="s">
        <v>76</v>
      </c>
      <c r="D288" s="17" t="s">
        <v>16</v>
      </c>
      <c r="E288" s="18">
        <f>ROUND(15645*1.05,2)</f>
      </c>
      <c r="F288" s="17" t="s">
        <v>48</v>
      </c>
      <c r="G288" s="17" t="s">
        <v>18</v>
      </c>
      <c r="H288" s="18">
        <f>ROUND(RAND()*4+6,1)</f>
      </c>
      <c r="I288" s="17" t="s">
        <v>19</v>
      </c>
      <c r="J288" s="19">
        <f>ROUND(74*1,0)&amp;"%"</f>
      </c>
    </row>
    <row x14ac:dyDescent="0.25" r="289" customHeight="1" ht="17.25">
      <c r="A289" s="20" t="s">
        <v>8386</v>
      </c>
      <c r="B289" s="20" t="s">
        <v>472</v>
      </c>
      <c r="C289" s="20" t="s">
        <v>76</v>
      </c>
      <c r="D289" s="20" t="s">
        <v>22</v>
      </c>
      <c r="E289" s="21">
        <f>ROUND(17010*1.05,2)</f>
      </c>
      <c r="F289" s="20" t="s">
        <v>51</v>
      </c>
      <c r="G289" s="20" t="s">
        <v>24</v>
      </c>
      <c r="H289" s="21">
        <f>ROUND(RAND()*4+6,1)</f>
      </c>
      <c r="I289" s="20" t="s">
        <v>25</v>
      </c>
      <c r="J289" s="23">
        <f>ROUND(88*1,0)&amp;"%"</f>
      </c>
    </row>
    <row x14ac:dyDescent="0.25" r="290" customHeight="1" ht="17.25">
      <c r="A290" s="24" t="s">
        <v>473</v>
      </c>
      <c r="B290" s="24"/>
      <c r="C290" s="24"/>
      <c r="D290" s="24"/>
      <c r="E290" s="25">
        <v>8</v>
      </c>
      <c r="F290" s="9"/>
      <c r="G290" s="9"/>
      <c r="H290" s="10"/>
      <c r="I290" s="9"/>
      <c r="J290" s="9"/>
    </row>
    <row x14ac:dyDescent="0.25" r="291" customHeight="1" ht="17.25">
      <c r="A291" s="7"/>
      <c r="B291" s="7"/>
      <c r="C291" s="7"/>
      <c r="D291" s="7"/>
      <c r="E291" s="8"/>
      <c r="F291" s="9"/>
      <c r="G291" s="9"/>
      <c r="H291" s="10"/>
      <c r="I291" s="9"/>
      <c r="J291" s="9"/>
    </row>
    <row x14ac:dyDescent="0.25" r="292" customHeight="1" ht="17.25">
      <c r="A292" s="11" t="s">
        <v>8387</v>
      </c>
      <c r="B292" s="11"/>
      <c r="C292" s="11"/>
      <c r="D292" s="11"/>
      <c r="E292" s="12"/>
      <c r="F292" s="11"/>
      <c r="G292" s="11"/>
      <c r="H292" s="13"/>
      <c r="I292" s="11"/>
      <c r="J292" s="11"/>
    </row>
    <row x14ac:dyDescent="0.25" r="293" customHeight="1" ht="17.25">
      <c r="A293" s="14" t="s">
        <v>3</v>
      </c>
      <c r="B293" s="14" t="s">
        <v>4</v>
      </c>
      <c r="C293" s="14" t="s">
        <v>5</v>
      </c>
      <c r="D293" s="14" t="s">
        <v>6</v>
      </c>
      <c r="E293" s="15" t="s">
        <v>7</v>
      </c>
      <c r="F293" s="14" t="s">
        <v>8</v>
      </c>
      <c r="G293" s="14" t="s">
        <v>9</v>
      </c>
      <c r="H293" s="16" t="s">
        <v>10</v>
      </c>
      <c r="I293" s="14" t="s">
        <v>11</v>
      </c>
      <c r="J293" s="14" t="s">
        <v>12</v>
      </c>
    </row>
    <row x14ac:dyDescent="0.25" r="294" customHeight="1" ht="17.25">
      <c r="A294" s="17" t="s">
        <v>8388</v>
      </c>
      <c r="B294" s="17" t="s">
        <v>476</v>
      </c>
      <c r="C294" s="17" t="s">
        <v>95</v>
      </c>
      <c r="D294" s="17" t="s">
        <v>16</v>
      </c>
      <c r="E294" s="18">
        <f>ROUND(12761*1.05,2)</f>
      </c>
      <c r="F294" s="17" t="s">
        <v>17</v>
      </c>
      <c r="G294" s="17" t="s">
        <v>18</v>
      </c>
      <c r="H294" s="18">
        <f>ROUND(RAND()*4+6,1)</f>
      </c>
      <c r="I294" s="17" t="s">
        <v>19</v>
      </c>
      <c r="J294" s="19">
        <f>ROUND(87*1,0)&amp;"%"</f>
      </c>
    </row>
    <row x14ac:dyDescent="0.25" r="295" customHeight="1" ht="17.25">
      <c r="A295" s="20" t="s">
        <v>8389</v>
      </c>
      <c r="B295" s="20" t="s">
        <v>478</v>
      </c>
      <c r="C295" s="20" t="s">
        <v>95</v>
      </c>
      <c r="D295" s="20" t="s">
        <v>22</v>
      </c>
      <c r="E295" s="21">
        <f>ROUND(11032*1.05,2)</f>
      </c>
      <c r="F295" s="20" t="s">
        <v>23</v>
      </c>
      <c r="G295" s="20" t="s">
        <v>24</v>
      </c>
      <c r="H295" s="22">
        <f>ROUND(RAND()*4+6,1)</f>
      </c>
      <c r="I295" s="20" t="s">
        <v>25</v>
      </c>
      <c r="J295" s="23">
        <f>ROUND(87*1,0)&amp;"%"</f>
      </c>
    </row>
    <row x14ac:dyDescent="0.25" r="296" customHeight="1" ht="17.25">
      <c r="A296" s="17" t="s">
        <v>8390</v>
      </c>
      <c r="B296" s="17" t="s">
        <v>480</v>
      </c>
      <c r="C296" s="17" t="s">
        <v>95</v>
      </c>
      <c r="D296" s="17" t="s">
        <v>28</v>
      </c>
      <c r="E296" s="18">
        <f>ROUND(10437*1.05,2)</f>
      </c>
      <c r="F296" s="17" t="s">
        <v>29</v>
      </c>
      <c r="G296" s="17" t="s">
        <v>30</v>
      </c>
      <c r="H296" s="18">
        <f>ROUND(RAND()*4+6,1)</f>
      </c>
      <c r="I296" s="17" t="s">
        <v>31</v>
      </c>
      <c r="J296" s="19">
        <f>ROUND(68*1,0)&amp;"%"</f>
      </c>
    </row>
    <row x14ac:dyDescent="0.25" r="297" customHeight="1" ht="17.25">
      <c r="A297" s="20" t="s">
        <v>8391</v>
      </c>
      <c r="B297" s="20" t="s">
        <v>482</v>
      </c>
      <c r="C297" s="20" t="s">
        <v>95</v>
      </c>
      <c r="D297" s="20" t="s">
        <v>34</v>
      </c>
      <c r="E297" s="21">
        <f>ROUND(8001*1.05,2)</f>
      </c>
      <c r="F297" s="20" t="s">
        <v>35</v>
      </c>
      <c r="G297" s="20" t="s">
        <v>18</v>
      </c>
      <c r="H297" s="21">
        <f>ROUND(RAND()*4+6,1)</f>
      </c>
      <c r="I297" s="20" t="s">
        <v>36</v>
      </c>
      <c r="J297" s="23">
        <f>ROUND(92*1,0)&amp;"%"</f>
      </c>
    </row>
    <row x14ac:dyDescent="0.25" r="298" customHeight="1" ht="17.25">
      <c r="A298" s="17" t="s">
        <v>8392</v>
      </c>
      <c r="B298" s="17" t="s">
        <v>484</v>
      </c>
      <c r="C298" s="17" t="s">
        <v>95</v>
      </c>
      <c r="D298" s="17" t="s">
        <v>39</v>
      </c>
      <c r="E298" s="18">
        <f>ROUND(13188*1.05,2)</f>
      </c>
      <c r="F298" s="17" t="s">
        <v>40</v>
      </c>
      <c r="G298" s="17" t="s">
        <v>24</v>
      </c>
      <c r="H298" s="18">
        <f>ROUND(RAND()*4+6,1)</f>
      </c>
      <c r="I298" s="17" t="s">
        <v>41</v>
      </c>
      <c r="J298" s="19">
        <f>ROUND(83*1,0)&amp;"%"</f>
      </c>
    </row>
    <row x14ac:dyDescent="0.25" r="299" customHeight="1" ht="17.25">
      <c r="A299" s="20" t="s">
        <v>8393</v>
      </c>
      <c r="B299" s="20" t="s">
        <v>486</v>
      </c>
      <c r="C299" s="20" t="s">
        <v>95</v>
      </c>
      <c r="D299" s="20" t="s">
        <v>67</v>
      </c>
      <c r="E299" s="21">
        <f>ROUND(12483*1.05,2)</f>
      </c>
      <c r="F299" s="20" t="s">
        <v>44</v>
      </c>
      <c r="G299" s="20" t="s">
        <v>30</v>
      </c>
      <c r="H299" s="21">
        <f>ROUND(RAND()*4+6,1)</f>
      </c>
      <c r="I299" s="20" t="s">
        <v>45</v>
      </c>
      <c r="J299" s="23">
        <f>ROUND(68*1,0)&amp;"%"</f>
      </c>
    </row>
    <row x14ac:dyDescent="0.25" r="300" customHeight="1" ht="17.25">
      <c r="A300" s="17" t="s">
        <v>8394</v>
      </c>
      <c r="B300" s="17" t="s">
        <v>488</v>
      </c>
      <c r="C300" s="17" t="s">
        <v>95</v>
      </c>
      <c r="D300" s="17" t="s">
        <v>16</v>
      </c>
      <c r="E300" s="18">
        <f>ROUND(8487*1.05,2)</f>
      </c>
      <c r="F300" s="17" t="s">
        <v>48</v>
      </c>
      <c r="G300" s="17" t="s">
        <v>18</v>
      </c>
      <c r="H300" s="18">
        <f>ROUND(RAND()*4+6,1)</f>
      </c>
      <c r="I300" s="17" t="s">
        <v>19</v>
      </c>
      <c r="J300" s="19">
        <f>ROUND(67*1,0)&amp;"%"</f>
      </c>
    </row>
    <row x14ac:dyDescent="0.25" r="301" customHeight="1" ht="17.25">
      <c r="A301" s="20" t="s">
        <v>8395</v>
      </c>
      <c r="B301" s="20" t="s">
        <v>490</v>
      </c>
      <c r="C301" s="20" t="s">
        <v>95</v>
      </c>
      <c r="D301" s="20" t="s">
        <v>22</v>
      </c>
      <c r="E301" s="21">
        <f>ROUND(10131*1.05,2)</f>
      </c>
      <c r="F301" s="20" t="s">
        <v>51</v>
      </c>
      <c r="G301" s="20" t="s">
        <v>24</v>
      </c>
      <c r="H301" s="22">
        <f>ROUND(RAND()*4+6,1)</f>
      </c>
      <c r="I301" s="20" t="s">
        <v>25</v>
      </c>
      <c r="J301" s="23">
        <f>ROUND(72*1,0)&amp;"%"</f>
      </c>
    </row>
    <row x14ac:dyDescent="0.25" r="302" customHeight="1" ht="17.25">
      <c r="A302" s="24" t="s">
        <v>491</v>
      </c>
      <c r="B302" s="24"/>
      <c r="C302" s="24"/>
      <c r="D302" s="24"/>
      <c r="E302" s="25">
        <v>8</v>
      </c>
      <c r="F302" s="9"/>
      <c r="G302" s="9"/>
      <c r="H302" s="10"/>
      <c r="I302" s="9"/>
      <c r="J302" s="9"/>
    </row>
    <row x14ac:dyDescent="0.25" r="303" customHeight="1" ht="17.25">
      <c r="A303" s="7"/>
      <c r="B303" s="7"/>
      <c r="C303" s="7"/>
      <c r="D303" s="7"/>
      <c r="E303" s="8"/>
      <c r="F303" s="9"/>
      <c r="G303" s="9"/>
      <c r="H303" s="10"/>
      <c r="I303" s="9"/>
      <c r="J303" s="9"/>
    </row>
    <row x14ac:dyDescent="0.25" r="304" customHeight="1" ht="17.25">
      <c r="A304" s="11" t="s">
        <v>8396</v>
      </c>
      <c r="B304" s="11"/>
      <c r="C304" s="11"/>
      <c r="D304" s="11"/>
      <c r="E304" s="12"/>
      <c r="F304" s="11"/>
      <c r="G304" s="11"/>
      <c r="H304" s="13"/>
      <c r="I304" s="11"/>
      <c r="J304" s="11"/>
    </row>
    <row x14ac:dyDescent="0.25" r="305" customHeight="1" ht="17.25">
      <c r="A305" s="14" t="s">
        <v>3</v>
      </c>
      <c r="B305" s="14" t="s">
        <v>4</v>
      </c>
      <c r="C305" s="14" t="s">
        <v>5</v>
      </c>
      <c r="D305" s="14" t="s">
        <v>6</v>
      </c>
      <c r="E305" s="15" t="s">
        <v>7</v>
      </c>
      <c r="F305" s="14" t="s">
        <v>8</v>
      </c>
      <c r="G305" s="14" t="s">
        <v>9</v>
      </c>
      <c r="H305" s="16" t="s">
        <v>10</v>
      </c>
      <c r="I305" s="14" t="s">
        <v>11</v>
      </c>
      <c r="J305" s="14" t="s">
        <v>12</v>
      </c>
    </row>
    <row x14ac:dyDescent="0.25" r="306" customHeight="1" ht="17.25">
      <c r="A306" s="17" t="s">
        <v>8397</v>
      </c>
      <c r="B306" s="17" t="s">
        <v>494</v>
      </c>
      <c r="C306" s="17" t="s">
        <v>114</v>
      </c>
      <c r="D306" s="17" t="s">
        <v>16</v>
      </c>
      <c r="E306" s="18">
        <f>ROUND(17441*1.05,2)</f>
      </c>
      <c r="F306" s="17" t="s">
        <v>17</v>
      </c>
      <c r="G306" s="17" t="s">
        <v>18</v>
      </c>
      <c r="H306" s="18">
        <f>ROUND(RAND()*4+6,1)</f>
      </c>
      <c r="I306" s="17" t="s">
        <v>19</v>
      </c>
      <c r="J306" s="19">
        <f>ROUND(67*1,0)&amp;"%"</f>
      </c>
    </row>
    <row x14ac:dyDescent="0.25" r="307" customHeight="1" ht="17.25">
      <c r="A307" s="20" t="s">
        <v>8398</v>
      </c>
      <c r="B307" s="20" t="s">
        <v>496</v>
      </c>
      <c r="C307" s="20" t="s">
        <v>114</v>
      </c>
      <c r="D307" s="20" t="s">
        <v>22</v>
      </c>
      <c r="E307" s="21">
        <f>ROUND(8275*1.05,2)</f>
      </c>
      <c r="F307" s="20" t="s">
        <v>23</v>
      </c>
      <c r="G307" s="20" t="s">
        <v>24</v>
      </c>
      <c r="H307" s="21">
        <f>ROUND(RAND()*4+6,1)</f>
      </c>
      <c r="I307" s="20" t="s">
        <v>25</v>
      </c>
      <c r="J307" s="23">
        <f>ROUND(82*1,0)&amp;"%"</f>
      </c>
    </row>
    <row x14ac:dyDescent="0.25" r="308" customHeight="1" ht="17.25">
      <c r="A308" s="17" t="s">
        <v>8399</v>
      </c>
      <c r="B308" s="17" t="s">
        <v>498</v>
      </c>
      <c r="C308" s="17" t="s">
        <v>114</v>
      </c>
      <c r="D308" s="17" t="s">
        <v>28</v>
      </c>
      <c r="E308" s="18">
        <f>ROUND(6949*1.05,2)</f>
      </c>
      <c r="F308" s="17" t="s">
        <v>29</v>
      </c>
      <c r="G308" s="17" t="s">
        <v>30</v>
      </c>
      <c r="H308" s="18">
        <f>ROUND(RAND()*4+6,1)</f>
      </c>
      <c r="I308" s="17" t="s">
        <v>31</v>
      </c>
      <c r="J308" s="19">
        <f>ROUND(67*1,0)&amp;"%"</f>
      </c>
    </row>
    <row x14ac:dyDescent="0.25" r="309" customHeight="1" ht="17.25">
      <c r="A309" s="20" t="s">
        <v>8400</v>
      </c>
      <c r="B309" s="20" t="s">
        <v>500</v>
      </c>
      <c r="C309" s="20" t="s">
        <v>114</v>
      </c>
      <c r="D309" s="20" t="s">
        <v>34</v>
      </c>
      <c r="E309" s="21">
        <f>ROUND(5571*1.05,2)</f>
      </c>
      <c r="F309" s="20" t="s">
        <v>35</v>
      </c>
      <c r="G309" s="20" t="s">
        <v>18</v>
      </c>
      <c r="H309" s="21">
        <f>ROUND(RAND()*4+6,1)</f>
      </c>
      <c r="I309" s="20" t="s">
        <v>36</v>
      </c>
      <c r="J309" s="23">
        <f>ROUND(80*1,0)&amp;"%"</f>
      </c>
    </row>
    <row x14ac:dyDescent="0.25" r="310" customHeight="1" ht="17.25">
      <c r="A310" s="17" t="s">
        <v>8401</v>
      </c>
      <c r="B310" s="17" t="s">
        <v>502</v>
      </c>
      <c r="C310" s="17" t="s">
        <v>114</v>
      </c>
      <c r="D310" s="17" t="s">
        <v>39</v>
      </c>
      <c r="E310" s="18">
        <f>ROUND(7312*1.05,2)</f>
      </c>
      <c r="F310" s="17" t="s">
        <v>40</v>
      </c>
      <c r="G310" s="17" t="s">
        <v>24</v>
      </c>
      <c r="H310" s="18">
        <f>ROUND(RAND()*4+6,1)</f>
      </c>
      <c r="I310" s="17" t="s">
        <v>41</v>
      </c>
      <c r="J310" s="19">
        <f>ROUND(70*1,0)&amp;"%"</f>
      </c>
    </row>
    <row x14ac:dyDescent="0.25" r="311" customHeight="1" ht="17.25">
      <c r="A311" s="20" t="s">
        <v>8402</v>
      </c>
      <c r="B311" s="20" t="s">
        <v>504</v>
      </c>
      <c r="C311" s="20" t="s">
        <v>114</v>
      </c>
      <c r="D311" s="20" t="s">
        <v>67</v>
      </c>
      <c r="E311" s="21">
        <f>ROUND(10979*1.05,2)</f>
      </c>
      <c r="F311" s="20" t="s">
        <v>44</v>
      </c>
      <c r="G311" s="20" t="s">
        <v>30</v>
      </c>
      <c r="H311" s="21">
        <f>ROUND(RAND()*4+6,1)</f>
      </c>
      <c r="I311" s="20" t="s">
        <v>45</v>
      </c>
      <c r="J311" s="23">
        <f>ROUND(69*1,0)&amp;"%"</f>
      </c>
    </row>
    <row x14ac:dyDescent="0.25" r="312" customHeight="1" ht="17.25">
      <c r="A312" s="17" t="s">
        <v>8403</v>
      </c>
      <c r="B312" s="17" t="s">
        <v>506</v>
      </c>
      <c r="C312" s="17" t="s">
        <v>114</v>
      </c>
      <c r="D312" s="17" t="s">
        <v>16</v>
      </c>
      <c r="E312" s="18">
        <f>ROUND(11979*1.05,2)</f>
      </c>
      <c r="F312" s="17" t="s">
        <v>48</v>
      </c>
      <c r="G312" s="17" t="s">
        <v>18</v>
      </c>
      <c r="H312" s="18">
        <f>ROUND(RAND()*4+6,1)</f>
      </c>
      <c r="I312" s="17" t="s">
        <v>19</v>
      </c>
      <c r="J312" s="19">
        <f>ROUND(69*1,0)&amp;"%"</f>
      </c>
    </row>
    <row x14ac:dyDescent="0.25" r="313" customHeight="1" ht="17.25">
      <c r="A313" s="20" t="s">
        <v>8404</v>
      </c>
      <c r="B313" s="20" t="s">
        <v>508</v>
      </c>
      <c r="C313" s="20" t="s">
        <v>114</v>
      </c>
      <c r="D313" s="20" t="s">
        <v>22</v>
      </c>
      <c r="E313" s="21">
        <f>ROUND(10334*1.05,2)</f>
      </c>
      <c r="F313" s="20" t="s">
        <v>51</v>
      </c>
      <c r="G313" s="20" t="s">
        <v>24</v>
      </c>
      <c r="H313" s="22">
        <f>ROUND(RAND()*4+6,1)</f>
      </c>
      <c r="I313" s="20" t="s">
        <v>25</v>
      </c>
      <c r="J313" s="23">
        <f>ROUND(98*1,0)&amp;"%"</f>
      </c>
    </row>
    <row x14ac:dyDescent="0.25" r="314" customHeight="1" ht="17.25">
      <c r="A314" s="24" t="s">
        <v>509</v>
      </c>
      <c r="B314" s="24"/>
      <c r="C314" s="24"/>
      <c r="D314" s="24"/>
      <c r="E314" s="25">
        <v>8</v>
      </c>
      <c r="F314" s="9"/>
      <c r="G314" s="9"/>
      <c r="H314" s="10"/>
      <c r="I314" s="9"/>
      <c r="J314" s="9"/>
    </row>
    <row x14ac:dyDescent="0.25" r="315" customHeight="1" ht="17.25">
      <c r="A315" s="7"/>
      <c r="B315" s="7"/>
      <c r="C315" s="7"/>
      <c r="D315" s="7"/>
      <c r="E315" s="8"/>
      <c r="F315" s="9"/>
      <c r="G315" s="9"/>
      <c r="H315" s="10"/>
      <c r="I315" s="9"/>
      <c r="J315" s="9"/>
    </row>
    <row x14ac:dyDescent="0.25" r="316" customHeight="1" ht="17.25">
      <c r="A316" s="11" t="s">
        <v>8405</v>
      </c>
      <c r="B316" s="11"/>
      <c r="C316" s="11"/>
      <c r="D316" s="11"/>
      <c r="E316" s="12"/>
      <c r="F316" s="11"/>
      <c r="G316" s="11"/>
      <c r="H316" s="13"/>
      <c r="I316" s="11"/>
      <c r="J316" s="11"/>
    </row>
    <row x14ac:dyDescent="0.25" r="317" customHeight="1" ht="17.25">
      <c r="A317" s="14" t="s">
        <v>3</v>
      </c>
      <c r="B317" s="14" t="s">
        <v>4</v>
      </c>
      <c r="C317" s="14" t="s">
        <v>5</v>
      </c>
      <c r="D317" s="14" t="s">
        <v>6</v>
      </c>
      <c r="E317" s="15" t="s">
        <v>7</v>
      </c>
      <c r="F317" s="14" t="s">
        <v>8</v>
      </c>
      <c r="G317" s="14" t="s">
        <v>9</v>
      </c>
      <c r="H317" s="16" t="s">
        <v>10</v>
      </c>
      <c r="I317" s="14" t="s">
        <v>11</v>
      </c>
      <c r="J317" s="14" t="s">
        <v>12</v>
      </c>
    </row>
    <row x14ac:dyDescent="0.25" r="318" customHeight="1" ht="17.25">
      <c r="A318" s="17" t="s">
        <v>8406</v>
      </c>
      <c r="B318" s="17" t="s">
        <v>512</v>
      </c>
      <c r="C318" s="17" t="s">
        <v>133</v>
      </c>
      <c r="D318" s="17" t="s">
        <v>16</v>
      </c>
      <c r="E318" s="26">
        <f>ROUND(15320*1.05,2)</f>
      </c>
      <c r="F318" s="17" t="s">
        <v>17</v>
      </c>
      <c r="G318" s="17" t="s">
        <v>18</v>
      </c>
      <c r="H318" s="18">
        <f>ROUND(RAND()*4+6,1)</f>
      </c>
      <c r="I318" s="17" t="s">
        <v>19</v>
      </c>
      <c r="J318" s="19">
        <f>ROUND(66*1,0)&amp;"%"</f>
      </c>
    </row>
    <row x14ac:dyDescent="0.25" r="319" customHeight="1" ht="17.25">
      <c r="A319" s="20" t="s">
        <v>8407</v>
      </c>
      <c r="B319" s="20" t="s">
        <v>514</v>
      </c>
      <c r="C319" s="20" t="s">
        <v>133</v>
      </c>
      <c r="D319" s="20" t="s">
        <v>22</v>
      </c>
      <c r="E319" s="21">
        <f>ROUND(9469*1.05,2)</f>
      </c>
      <c r="F319" s="20" t="s">
        <v>23</v>
      </c>
      <c r="G319" s="20" t="s">
        <v>24</v>
      </c>
      <c r="H319" s="22">
        <f>ROUND(RAND()*4+6,1)</f>
      </c>
      <c r="I319" s="20" t="s">
        <v>25</v>
      </c>
      <c r="J319" s="23">
        <f>ROUND(80*1,0)&amp;"%"</f>
      </c>
    </row>
    <row x14ac:dyDescent="0.25" r="320" customHeight="1" ht="17.25">
      <c r="A320" s="17" t="s">
        <v>8408</v>
      </c>
      <c r="B320" s="17" t="s">
        <v>516</v>
      </c>
      <c r="C320" s="17" t="s">
        <v>133</v>
      </c>
      <c r="D320" s="17" t="s">
        <v>28</v>
      </c>
      <c r="E320" s="18">
        <f>ROUND(9391*1.05,2)</f>
      </c>
      <c r="F320" s="17" t="s">
        <v>29</v>
      </c>
      <c r="G320" s="17" t="s">
        <v>30</v>
      </c>
      <c r="H320" s="18">
        <f>ROUND(RAND()*4+6,1)</f>
      </c>
      <c r="I320" s="17" t="s">
        <v>31</v>
      </c>
      <c r="J320" s="19">
        <f>ROUND(64*1,0)&amp;"%"</f>
      </c>
    </row>
    <row x14ac:dyDescent="0.25" r="321" customHeight="1" ht="17.25">
      <c r="A321" s="20" t="s">
        <v>8409</v>
      </c>
      <c r="B321" s="20" t="s">
        <v>518</v>
      </c>
      <c r="C321" s="20" t="s">
        <v>133</v>
      </c>
      <c r="D321" s="20" t="s">
        <v>34</v>
      </c>
      <c r="E321" s="21">
        <f>ROUND(4625*1.05,2)</f>
      </c>
      <c r="F321" s="20" t="s">
        <v>35</v>
      </c>
      <c r="G321" s="20" t="s">
        <v>18</v>
      </c>
      <c r="H321" s="21">
        <f>ROUND(RAND()*4+6,1)</f>
      </c>
      <c r="I321" s="20" t="s">
        <v>36</v>
      </c>
      <c r="J321" s="23">
        <f>ROUND(61*1,0)&amp;"%"</f>
      </c>
    </row>
    <row x14ac:dyDescent="0.25" r="322" customHeight="1" ht="17.25">
      <c r="A322" s="17" t="s">
        <v>8410</v>
      </c>
      <c r="B322" s="17" t="s">
        <v>520</v>
      </c>
      <c r="C322" s="17" t="s">
        <v>133</v>
      </c>
      <c r="D322" s="17" t="s">
        <v>39</v>
      </c>
      <c r="E322" s="18">
        <f>ROUND(14987*1.05,2)</f>
      </c>
      <c r="F322" s="17" t="s">
        <v>40</v>
      </c>
      <c r="G322" s="17" t="s">
        <v>24</v>
      </c>
      <c r="H322" s="18">
        <f>ROUND(RAND()*4+6,1)</f>
      </c>
      <c r="I322" s="17" t="s">
        <v>41</v>
      </c>
      <c r="J322" s="19">
        <f>ROUND(96*1,0)&amp;"%"</f>
      </c>
    </row>
    <row x14ac:dyDescent="0.25" r="323" customHeight="1" ht="17.25">
      <c r="A323" s="20" t="s">
        <v>8411</v>
      </c>
      <c r="B323" s="20" t="s">
        <v>522</v>
      </c>
      <c r="C323" s="20" t="s">
        <v>133</v>
      </c>
      <c r="D323" s="20" t="s">
        <v>67</v>
      </c>
      <c r="E323" s="21">
        <f>ROUND(16413*1.05,2)</f>
      </c>
      <c r="F323" s="20" t="s">
        <v>44</v>
      </c>
      <c r="G323" s="20" t="s">
        <v>30</v>
      </c>
      <c r="H323" s="21">
        <f>ROUND(RAND()*4+6,1)</f>
      </c>
      <c r="I323" s="20" t="s">
        <v>45</v>
      </c>
      <c r="J323" s="23">
        <f>ROUND(83*1,0)&amp;"%"</f>
      </c>
    </row>
    <row x14ac:dyDescent="0.25" r="324" customHeight="1" ht="17.25">
      <c r="A324" s="17" t="s">
        <v>8412</v>
      </c>
      <c r="B324" s="17" t="s">
        <v>524</v>
      </c>
      <c r="C324" s="17" t="s">
        <v>133</v>
      </c>
      <c r="D324" s="17" t="s">
        <v>16</v>
      </c>
      <c r="E324" s="18">
        <f>ROUND(14272*1.05,2)</f>
      </c>
      <c r="F324" s="17" t="s">
        <v>48</v>
      </c>
      <c r="G324" s="17" t="s">
        <v>18</v>
      </c>
      <c r="H324" s="18">
        <f>ROUND(RAND()*4+6,1)</f>
      </c>
      <c r="I324" s="17" t="s">
        <v>19</v>
      </c>
      <c r="J324" s="19">
        <f>ROUND(90*1,0)&amp;"%"</f>
      </c>
    </row>
    <row x14ac:dyDescent="0.25" r="325" customHeight="1" ht="17.25">
      <c r="A325" s="20" t="s">
        <v>8413</v>
      </c>
      <c r="B325" s="20" t="s">
        <v>526</v>
      </c>
      <c r="C325" s="20" t="s">
        <v>133</v>
      </c>
      <c r="D325" s="20" t="s">
        <v>22</v>
      </c>
      <c r="E325" s="21">
        <f>ROUND(10025*1.05,2)</f>
      </c>
      <c r="F325" s="20" t="s">
        <v>51</v>
      </c>
      <c r="G325" s="20" t="s">
        <v>24</v>
      </c>
      <c r="H325" s="21">
        <f>ROUND(RAND()*4+6,1)</f>
      </c>
      <c r="I325" s="20" t="s">
        <v>25</v>
      </c>
      <c r="J325" s="23">
        <f>ROUND(93*1,0)&amp;"%"</f>
      </c>
    </row>
    <row x14ac:dyDescent="0.25" r="326" customHeight="1" ht="17.25">
      <c r="A326" s="24" t="s">
        <v>527</v>
      </c>
      <c r="B326" s="24"/>
      <c r="C326" s="24"/>
      <c r="D326" s="24"/>
      <c r="E326" s="25">
        <v>8</v>
      </c>
      <c r="F326" s="9"/>
      <c r="G326" s="9"/>
      <c r="H326" s="10"/>
      <c r="I326" s="9"/>
      <c r="J326" s="9"/>
    </row>
    <row x14ac:dyDescent="0.25" r="327" customHeight="1" ht="17.25">
      <c r="A327" s="7"/>
      <c r="B327" s="7"/>
      <c r="C327" s="7"/>
      <c r="D327" s="7"/>
      <c r="E327" s="8"/>
      <c r="F327" s="9"/>
      <c r="G327" s="9"/>
      <c r="H327" s="10"/>
      <c r="I327" s="9"/>
      <c r="J327" s="9"/>
    </row>
    <row x14ac:dyDescent="0.25" r="328" customHeight="1" ht="17.25">
      <c r="A328" s="11" t="s">
        <v>8414</v>
      </c>
      <c r="B328" s="11"/>
      <c r="C328" s="11"/>
      <c r="D328" s="11"/>
      <c r="E328" s="12"/>
      <c r="F328" s="11"/>
      <c r="G328" s="11"/>
      <c r="H328" s="13"/>
      <c r="I328" s="11"/>
      <c r="J328" s="11"/>
    </row>
    <row x14ac:dyDescent="0.25" r="329" customHeight="1" ht="17.25">
      <c r="A329" s="14" t="s">
        <v>3</v>
      </c>
      <c r="B329" s="14" t="s">
        <v>4</v>
      </c>
      <c r="C329" s="14" t="s">
        <v>5</v>
      </c>
      <c r="D329" s="14" t="s">
        <v>6</v>
      </c>
      <c r="E329" s="15" t="s">
        <v>7</v>
      </c>
      <c r="F329" s="14" t="s">
        <v>8</v>
      </c>
      <c r="G329" s="14" t="s">
        <v>9</v>
      </c>
      <c r="H329" s="16" t="s">
        <v>10</v>
      </c>
      <c r="I329" s="14" t="s">
        <v>11</v>
      </c>
      <c r="J329" s="14" t="s">
        <v>12</v>
      </c>
    </row>
    <row x14ac:dyDescent="0.25" r="330" customHeight="1" ht="17.25">
      <c r="A330" s="17" t="s">
        <v>8415</v>
      </c>
      <c r="B330" s="17" t="s">
        <v>530</v>
      </c>
      <c r="C330" s="17" t="s">
        <v>152</v>
      </c>
      <c r="D330" s="17" t="s">
        <v>16</v>
      </c>
      <c r="E330" s="18">
        <f>ROUND(14739*1.05,2)</f>
      </c>
      <c r="F330" s="17" t="s">
        <v>17</v>
      </c>
      <c r="G330" s="17" t="s">
        <v>18</v>
      </c>
      <c r="H330" s="18">
        <f>ROUND(RAND()*4+6,1)</f>
      </c>
      <c r="I330" s="17" t="s">
        <v>19</v>
      </c>
      <c r="J330" s="19">
        <f>ROUND(78*1,0)&amp;"%"</f>
      </c>
    </row>
    <row x14ac:dyDescent="0.25" r="331" customHeight="1" ht="17.25">
      <c r="A331" s="20" t="s">
        <v>8416</v>
      </c>
      <c r="B331" s="20" t="s">
        <v>532</v>
      </c>
      <c r="C331" s="20" t="s">
        <v>152</v>
      </c>
      <c r="D331" s="20" t="s">
        <v>22</v>
      </c>
      <c r="E331" s="21">
        <f>ROUND(12729*1.05,2)</f>
      </c>
      <c r="F331" s="20" t="s">
        <v>23</v>
      </c>
      <c r="G331" s="20" t="s">
        <v>24</v>
      </c>
      <c r="H331" s="21">
        <f>ROUND(RAND()*4+6,1)</f>
      </c>
      <c r="I331" s="20" t="s">
        <v>25</v>
      </c>
      <c r="J331" s="23">
        <f>ROUND(88*1,0)&amp;"%"</f>
      </c>
    </row>
    <row x14ac:dyDescent="0.25" r="332" customHeight="1" ht="17.25">
      <c r="A332" s="17" t="s">
        <v>8417</v>
      </c>
      <c r="B332" s="17" t="s">
        <v>534</v>
      </c>
      <c r="C332" s="17" t="s">
        <v>152</v>
      </c>
      <c r="D332" s="17" t="s">
        <v>28</v>
      </c>
      <c r="E332" s="18">
        <f>ROUND(6512*1.05,2)</f>
      </c>
      <c r="F332" s="17" t="s">
        <v>29</v>
      </c>
      <c r="G332" s="17" t="s">
        <v>30</v>
      </c>
      <c r="H332" s="18">
        <f>ROUND(RAND()*4+6,1)</f>
      </c>
      <c r="I332" s="17" t="s">
        <v>31</v>
      </c>
      <c r="J332" s="19">
        <f>ROUND(96*1,0)&amp;"%"</f>
      </c>
    </row>
    <row x14ac:dyDescent="0.25" r="333" customHeight="1" ht="17.25">
      <c r="A333" s="20" t="s">
        <v>8418</v>
      </c>
      <c r="B333" s="20" t="s">
        <v>536</v>
      </c>
      <c r="C333" s="20" t="s">
        <v>152</v>
      </c>
      <c r="D333" s="20" t="s">
        <v>34</v>
      </c>
      <c r="E333" s="21">
        <f>ROUND(13737*1.05,2)</f>
      </c>
      <c r="F333" s="20" t="s">
        <v>35</v>
      </c>
      <c r="G333" s="20" t="s">
        <v>18</v>
      </c>
      <c r="H333" s="21">
        <f>ROUND(RAND()*4+6,1)</f>
      </c>
      <c r="I333" s="20" t="s">
        <v>36</v>
      </c>
      <c r="J333" s="23">
        <f>ROUND(93*1,0)&amp;"%"</f>
      </c>
    </row>
    <row x14ac:dyDescent="0.25" r="334" customHeight="1" ht="17.25">
      <c r="A334" s="17" t="s">
        <v>8419</v>
      </c>
      <c r="B334" s="17" t="s">
        <v>538</v>
      </c>
      <c r="C334" s="17" t="s">
        <v>152</v>
      </c>
      <c r="D334" s="17" t="s">
        <v>39</v>
      </c>
      <c r="E334" s="18">
        <f>ROUND(7367*1.05,2)</f>
      </c>
      <c r="F334" s="17" t="s">
        <v>40</v>
      </c>
      <c r="G334" s="17" t="s">
        <v>24</v>
      </c>
      <c r="H334" s="18">
        <f>ROUND(RAND()*4+6,1)</f>
      </c>
      <c r="I334" s="17" t="s">
        <v>41</v>
      </c>
      <c r="J334" s="19">
        <f>ROUND(92*1,0)&amp;"%"</f>
      </c>
    </row>
    <row x14ac:dyDescent="0.25" r="335" customHeight="1" ht="17.25">
      <c r="A335" s="20" t="s">
        <v>8420</v>
      </c>
      <c r="B335" s="20" t="s">
        <v>540</v>
      </c>
      <c r="C335" s="20" t="s">
        <v>152</v>
      </c>
      <c r="D335" s="20" t="s">
        <v>67</v>
      </c>
      <c r="E335" s="21">
        <f>ROUND(5218*1.05,2)</f>
      </c>
      <c r="F335" s="20" t="s">
        <v>44</v>
      </c>
      <c r="G335" s="20" t="s">
        <v>30</v>
      </c>
      <c r="H335" s="21">
        <f>ROUND(RAND()*4+6,1)</f>
      </c>
      <c r="I335" s="20" t="s">
        <v>45</v>
      </c>
      <c r="J335" s="23">
        <f>ROUND(68*1,0)&amp;"%"</f>
      </c>
    </row>
    <row x14ac:dyDescent="0.25" r="336" customHeight="1" ht="17.25">
      <c r="A336" s="17" t="s">
        <v>8421</v>
      </c>
      <c r="B336" s="17" t="s">
        <v>542</v>
      </c>
      <c r="C336" s="17" t="s">
        <v>152</v>
      </c>
      <c r="D336" s="17" t="s">
        <v>16</v>
      </c>
      <c r="E336" s="18">
        <f>ROUND(4394*1.05,2)</f>
      </c>
      <c r="F336" s="17" t="s">
        <v>48</v>
      </c>
      <c r="G336" s="17" t="s">
        <v>18</v>
      </c>
      <c r="H336" s="18">
        <f>ROUND(RAND()*4+6,1)</f>
      </c>
      <c r="I336" s="17" t="s">
        <v>19</v>
      </c>
      <c r="J336" s="19">
        <f>ROUND(90*1,0)&amp;"%"</f>
      </c>
    </row>
    <row x14ac:dyDescent="0.25" r="337" customHeight="1" ht="17.25">
      <c r="A337" s="20" t="s">
        <v>8422</v>
      </c>
      <c r="B337" s="20" t="s">
        <v>544</v>
      </c>
      <c r="C337" s="20" t="s">
        <v>152</v>
      </c>
      <c r="D337" s="20" t="s">
        <v>22</v>
      </c>
      <c r="E337" s="21">
        <f>ROUND(6957*1.05,2)</f>
      </c>
      <c r="F337" s="20" t="s">
        <v>51</v>
      </c>
      <c r="G337" s="20" t="s">
        <v>24</v>
      </c>
      <c r="H337" s="21">
        <f>ROUND(RAND()*4+6,1)</f>
      </c>
      <c r="I337" s="20" t="s">
        <v>25</v>
      </c>
      <c r="J337" s="23">
        <f>ROUND(77*1,0)&amp;"%"</f>
      </c>
    </row>
    <row x14ac:dyDescent="0.25" r="338" customHeight="1" ht="17.25">
      <c r="A338" s="24" t="s">
        <v>545</v>
      </c>
      <c r="B338" s="24"/>
      <c r="C338" s="24"/>
      <c r="D338" s="24"/>
      <c r="E338" s="25">
        <v>8</v>
      </c>
      <c r="F338" s="9"/>
      <c r="G338" s="9"/>
      <c r="H338" s="10"/>
      <c r="I338" s="9"/>
      <c r="J338" s="9"/>
    </row>
    <row x14ac:dyDescent="0.25" r="339" customHeight="1" ht="17.25">
      <c r="A339" s="7"/>
      <c r="B339" s="7"/>
      <c r="C339" s="7"/>
      <c r="D339" s="7"/>
      <c r="E339" s="8"/>
      <c r="F339" s="9"/>
      <c r="G339" s="9"/>
      <c r="H339" s="10"/>
      <c r="I339" s="9"/>
      <c r="J339" s="9"/>
    </row>
    <row x14ac:dyDescent="0.25" r="340" customHeight="1" ht="17.25">
      <c r="A340" s="11" t="s">
        <v>8423</v>
      </c>
      <c r="B340" s="11"/>
      <c r="C340" s="11"/>
      <c r="D340" s="11"/>
      <c r="E340" s="12"/>
      <c r="F340" s="11"/>
      <c r="G340" s="11"/>
      <c r="H340" s="13"/>
      <c r="I340" s="11"/>
      <c r="J340" s="11"/>
    </row>
    <row x14ac:dyDescent="0.25" r="341" customHeight="1" ht="17.25">
      <c r="A341" s="14" t="s">
        <v>3</v>
      </c>
      <c r="B341" s="14" t="s">
        <v>4</v>
      </c>
      <c r="C341" s="14" t="s">
        <v>5</v>
      </c>
      <c r="D341" s="14" t="s">
        <v>6</v>
      </c>
      <c r="E341" s="15" t="s">
        <v>7</v>
      </c>
      <c r="F341" s="14" t="s">
        <v>8</v>
      </c>
      <c r="G341" s="14" t="s">
        <v>9</v>
      </c>
      <c r="H341" s="16" t="s">
        <v>10</v>
      </c>
      <c r="I341" s="14" t="s">
        <v>11</v>
      </c>
      <c r="J341" s="14" t="s">
        <v>12</v>
      </c>
    </row>
    <row x14ac:dyDescent="0.25" r="342" customHeight="1" ht="17.25">
      <c r="A342" s="17" t="s">
        <v>8424</v>
      </c>
      <c r="B342" s="17" t="s">
        <v>548</v>
      </c>
      <c r="C342" s="17" t="s">
        <v>15</v>
      </c>
      <c r="D342" s="17" t="s">
        <v>16</v>
      </c>
      <c r="E342" s="18">
        <f>ROUND(4267*1.05,2)</f>
      </c>
      <c r="F342" s="17" t="s">
        <v>17</v>
      </c>
      <c r="G342" s="17" t="s">
        <v>18</v>
      </c>
      <c r="H342" s="18">
        <f>ROUND(RAND()*4+6,1)</f>
      </c>
      <c r="I342" s="17" t="s">
        <v>19</v>
      </c>
      <c r="J342" s="19">
        <f>ROUND(68*1,0)&amp;"%"</f>
      </c>
    </row>
    <row x14ac:dyDescent="0.25" r="343" customHeight="1" ht="17.25">
      <c r="A343" s="20" t="s">
        <v>8425</v>
      </c>
      <c r="B343" s="20" t="s">
        <v>550</v>
      </c>
      <c r="C343" s="20" t="s">
        <v>15</v>
      </c>
      <c r="D343" s="20" t="s">
        <v>22</v>
      </c>
      <c r="E343" s="21">
        <f>ROUND(4143*1.05,2)</f>
      </c>
      <c r="F343" s="20" t="s">
        <v>23</v>
      </c>
      <c r="G343" s="20" t="s">
        <v>24</v>
      </c>
      <c r="H343" s="21">
        <f>ROUND(RAND()*4+6,1)</f>
      </c>
      <c r="I343" s="20" t="s">
        <v>25</v>
      </c>
      <c r="J343" s="23">
        <f>ROUND(84*1,0)&amp;"%"</f>
      </c>
    </row>
    <row x14ac:dyDescent="0.25" r="344" customHeight="1" ht="17.25">
      <c r="A344" s="17" t="s">
        <v>8426</v>
      </c>
      <c r="B344" s="17" t="s">
        <v>552</v>
      </c>
      <c r="C344" s="17" t="s">
        <v>15</v>
      </c>
      <c r="D344" s="17" t="s">
        <v>28</v>
      </c>
      <c r="E344" s="18">
        <f>ROUND(15281*1.05,2)</f>
      </c>
      <c r="F344" s="17" t="s">
        <v>29</v>
      </c>
      <c r="G344" s="17" t="s">
        <v>30</v>
      </c>
      <c r="H344" s="18">
        <f>ROUND(RAND()*4+6,1)</f>
      </c>
      <c r="I344" s="17" t="s">
        <v>31</v>
      </c>
      <c r="J344" s="19">
        <f>ROUND(97*1,0)&amp;"%"</f>
      </c>
    </row>
    <row x14ac:dyDescent="0.25" r="345" customHeight="1" ht="17.25">
      <c r="A345" s="20" t="s">
        <v>8427</v>
      </c>
      <c r="B345" s="20" t="s">
        <v>554</v>
      </c>
      <c r="C345" s="20" t="s">
        <v>15</v>
      </c>
      <c r="D345" s="20" t="s">
        <v>34</v>
      </c>
      <c r="E345" s="22">
        <f>ROUND(17880*1.05,2)</f>
      </c>
      <c r="F345" s="20" t="s">
        <v>35</v>
      </c>
      <c r="G345" s="20" t="s">
        <v>18</v>
      </c>
      <c r="H345" s="22">
        <f>ROUND(RAND()*4+6,1)</f>
      </c>
      <c r="I345" s="20" t="s">
        <v>36</v>
      </c>
      <c r="J345" s="23">
        <f>ROUND(61*1,0)&amp;"%"</f>
      </c>
    </row>
    <row x14ac:dyDescent="0.25" r="346" customHeight="1" ht="17.25">
      <c r="A346" s="17" t="s">
        <v>8428</v>
      </c>
      <c r="B346" s="17" t="s">
        <v>556</v>
      </c>
      <c r="C346" s="17" t="s">
        <v>15</v>
      </c>
      <c r="D346" s="17" t="s">
        <v>39</v>
      </c>
      <c r="E346" s="18">
        <f>ROUND(13775*1.05,2)</f>
      </c>
      <c r="F346" s="17" t="s">
        <v>40</v>
      </c>
      <c r="G346" s="17" t="s">
        <v>24</v>
      </c>
      <c r="H346" s="18">
        <f>ROUND(RAND()*4+6,1)</f>
      </c>
      <c r="I346" s="17" t="s">
        <v>41</v>
      </c>
      <c r="J346" s="19">
        <f>ROUND(64*1,0)&amp;"%"</f>
      </c>
    </row>
    <row x14ac:dyDescent="0.25" r="347" customHeight="1" ht="17.25">
      <c r="A347" s="20" t="s">
        <v>8429</v>
      </c>
      <c r="B347" s="20" t="s">
        <v>558</v>
      </c>
      <c r="C347" s="20" t="s">
        <v>15</v>
      </c>
      <c r="D347" s="20" t="s">
        <v>67</v>
      </c>
      <c r="E347" s="21">
        <f>ROUND(8562*1.05,2)</f>
      </c>
      <c r="F347" s="20" t="s">
        <v>44</v>
      </c>
      <c r="G347" s="20" t="s">
        <v>30</v>
      </c>
      <c r="H347" s="22">
        <f>ROUND(RAND()*4+6,1)</f>
      </c>
      <c r="I347" s="20" t="s">
        <v>45</v>
      </c>
      <c r="J347" s="23">
        <f>ROUND(90*1,0)&amp;"%"</f>
      </c>
    </row>
    <row x14ac:dyDescent="0.25" r="348" customHeight="1" ht="17.25">
      <c r="A348" s="17" t="s">
        <v>8430</v>
      </c>
      <c r="B348" s="17" t="s">
        <v>560</v>
      </c>
      <c r="C348" s="17" t="s">
        <v>15</v>
      </c>
      <c r="D348" s="17" t="s">
        <v>16</v>
      </c>
      <c r="E348" s="18">
        <f>ROUND(16642*1.05,2)</f>
      </c>
      <c r="F348" s="17" t="s">
        <v>48</v>
      </c>
      <c r="G348" s="17" t="s">
        <v>18</v>
      </c>
      <c r="H348" s="18">
        <f>ROUND(RAND()*4+6,1)</f>
      </c>
      <c r="I348" s="17" t="s">
        <v>19</v>
      </c>
      <c r="J348" s="19">
        <f>ROUND(68*1,0)&amp;"%"</f>
      </c>
    </row>
    <row x14ac:dyDescent="0.25" r="349" customHeight="1" ht="17.25">
      <c r="A349" s="20" t="s">
        <v>8431</v>
      </c>
      <c r="B349" s="20" t="s">
        <v>562</v>
      </c>
      <c r="C349" s="20" t="s">
        <v>15</v>
      </c>
      <c r="D349" s="20" t="s">
        <v>22</v>
      </c>
      <c r="E349" s="21">
        <f>ROUND(12384*1.05,2)</f>
      </c>
      <c r="F349" s="20" t="s">
        <v>51</v>
      </c>
      <c r="G349" s="20" t="s">
        <v>24</v>
      </c>
      <c r="H349" s="21">
        <f>ROUND(RAND()*4+6,1)</f>
      </c>
      <c r="I349" s="20" t="s">
        <v>25</v>
      </c>
      <c r="J349" s="23">
        <f>ROUND(78*1,0)&amp;"%"</f>
      </c>
    </row>
    <row x14ac:dyDescent="0.25" r="350" customHeight="1" ht="17.25">
      <c r="A350" s="24" t="s">
        <v>563</v>
      </c>
      <c r="B350" s="24"/>
      <c r="C350" s="24"/>
      <c r="D350" s="24"/>
      <c r="E350" s="25">
        <v>8</v>
      </c>
      <c r="F350" s="9"/>
      <c r="G350" s="9"/>
      <c r="H350" s="10"/>
      <c r="I350" s="9"/>
      <c r="J350" s="9"/>
    </row>
    <row x14ac:dyDescent="0.25" r="351" customHeight="1" ht="17.25">
      <c r="A351" s="7"/>
      <c r="B351" s="7"/>
      <c r="C351" s="7"/>
      <c r="D351" s="7"/>
      <c r="E351" s="8"/>
      <c r="F351" s="9"/>
      <c r="G351" s="9"/>
      <c r="H351" s="10"/>
      <c r="I351" s="9"/>
      <c r="J351" s="9"/>
    </row>
    <row x14ac:dyDescent="0.25" r="352" customHeight="1" ht="17.25">
      <c r="A352" s="11" t="s">
        <v>8432</v>
      </c>
      <c r="B352" s="11"/>
      <c r="C352" s="11"/>
      <c r="D352" s="11"/>
      <c r="E352" s="12"/>
      <c r="F352" s="11"/>
      <c r="G352" s="11"/>
      <c r="H352" s="13"/>
      <c r="I352" s="11"/>
      <c r="J352" s="11"/>
    </row>
    <row x14ac:dyDescent="0.25" r="353" customHeight="1" ht="17.25">
      <c r="A353" s="14" t="s">
        <v>3</v>
      </c>
      <c r="B353" s="14" t="s">
        <v>4</v>
      </c>
      <c r="C353" s="14" t="s">
        <v>5</v>
      </c>
      <c r="D353" s="14" t="s">
        <v>6</v>
      </c>
      <c r="E353" s="15" t="s">
        <v>7</v>
      </c>
      <c r="F353" s="14" t="s">
        <v>8</v>
      </c>
      <c r="G353" s="14" t="s">
        <v>9</v>
      </c>
      <c r="H353" s="16" t="s">
        <v>10</v>
      </c>
      <c r="I353" s="14" t="s">
        <v>11</v>
      </c>
      <c r="J353" s="14" t="s">
        <v>12</v>
      </c>
    </row>
    <row x14ac:dyDescent="0.25" r="354" customHeight="1" ht="17.25">
      <c r="A354" s="17" t="s">
        <v>8433</v>
      </c>
      <c r="B354" s="17" t="s">
        <v>566</v>
      </c>
      <c r="C354" s="17" t="s">
        <v>56</v>
      </c>
      <c r="D354" s="17" t="s">
        <v>16</v>
      </c>
      <c r="E354" s="18">
        <f>ROUND(5232*1.05,2)</f>
      </c>
      <c r="F354" s="17" t="s">
        <v>17</v>
      </c>
      <c r="G354" s="17" t="s">
        <v>18</v>
      </c>
      <c r="H354" s="18">
        <f>ROUND(RAND()*4+6,1)</f>
      </c>
      <c r="I354" s="17" t="s">
        <v>19</v>
      </c>
      <c r="J354" s="19">
        <f>ROUND(100*1,0)&amp;"%"</f>
      </c>
    </row>
    <row x14ac:dyDescent="0.25" r="355" customHeight="1" ht="17.25">
      <c r="A355" s="20" t="s">
        <v>8434</v>
      </c>
      <c r="B355" s="20" t="s">
        <v>568</v>
      </c>
      <c r="C355" s="20" t="s">
        <v>56</v>
      </c>
      <c r="D355" s="20" t="s">
        <v>22</v>
      </c>
      <c r="E355" s="21">
        <f>ROUND(4193*1.05,2)</f>
      </c>
      <c r="F355" s="20" t="s">
        <v>23</v>
      </c>
      <c r="G355" s="20" t="s">
        <v>24</v>
      </c>
      <c r="H355" s="21">
        <f>ROUND(RAND()*4+6,1)</f>
      </c>
      <c r="I355" s="20" t="s">
        <v>25</v>
      </c>
      <c r="J355" s="23">
        <f>ROUND(70*1,0)&amp;"%"</f>
      </c>
    </row>
    <row x14ac:dyDescent="0.25" r="356" customHeight="1" ht="17.25">
      <c r="A356" s="17" t="s">
        <v>8435</v>
      </c>
      <c r="B356" s="17" t="s">
        <v>570</v>
      </c>
      <c r="C356" s="17" t="s">
        <v>56</v>
      </c>
      <c r="D356" s="17" t="s">
        <v>28</v>
      </c>
      <c r="E356" s="18">
        <f>ROUND(8235*1.05,2)</f>
      </c>
      <c r="F356" s="17" t="s">
        <v>29</v>
      </c>
      <c r="G356" s="17" t="s">
        <v>30</v>
      </c>
      <c r="H356" s="18">
        <f>ROUND(RAND()*4+6,1)</f>
      </c>
      <c r="I356" s="17" t="s">
        <v>31</v>
      </c>
      <c r="J356" s="19">
        <f>ROUND(79*1,0)&amp;"%"</f>
      </c>
    </row>
    <row x14ac:dyDescent="0.25" r="357" customHeight="1" ht="17.25">
      <c r="A357" s="20" t="s">
        <v>8436</v>
      </c>
      <c r="B357" s="20" t="s">
        <v>572</v>
      </c>
      <c r="C357" s="20" t="s">
        <v>56</v>
      </c>
      <c r="D357" s="20" t="s">
        <v>34</v>
      </c>
      <c r="E357" s="21">
        <f>ROUND(8211*1.05,2)</f>
      </c>
      <c r="F357" s="20" t="s">
        <v>35</v>
      </c>
      <c r="G357" s="20" t="s">
        <v>18</v>
      </c>
      <c r="H357" s="21">
        <f>ROUND(RAND()*4+6,1)</f>
      </c>
      <c r="I357" s="20" t="s">
        <v>36</v>
      </c>
      <c r="J357" s="23">
        <f>ROUND(89*1,0)&amp;"%"</f>
      </c>
    </row>
    <row x14ac:dyDescent="0.25" r="358" customHeight="1" ht="17.25">
      <c r="A358" s="17" t="s">
        <v>8437</v>
      </c>
      <c r="B358" s="17" t="s">
        <v>574</v>
      </c>
      <c r="C358" s="17" t="s">
        <v>56</v>
      </c>
      <c r="D358" s="17" t="s">
        <v>39</v>
      </c>
      <c r="E358" s="18">
        <f>ROUND(4032*1.05,2)</f>
      </c>
      <c r="F358" s="17" t="s">
        <v>40</v>
      </c>
      <c r="G358" s="17" t="s">
        <v>24</v>
      </c>
      <c r="H358" s="18">
        <f>ROUND(RAND()*4+6,1)</f>
      </c>
      <c r="I358" s="17" t="s">
        <v>41</v>
      </c>
      <c r="J358" s="19">
        <f>ROUND(86*1,0)&amp;"%"</f>
      </c>
    </row>
    <row x14ac:dyDescent="0.25" r="359" customHeight="1" ht="17.25">
      <c r="A359" s="20" t="s">
        <v>8438</v>
      </c>
      <c r="B359" s="20" t="s">
        <v>576</v>
      </c>
      <c r="C359" s="20" t="s">
        <v>56</v>
      </c>
      <c r="D359" s="20" t="s">
        <v>67</v>
      </c>
      <c r="E359" s="21">
        <f>ROUND(14396*1.05,2)</f>
      </c>
      <c r="F359" s="20" t="s">
        <v>44</v>
      </c>
      <c r="G359" s="20" t="s">
        <v>30</v>
      </c>
      <c r="H359" s="22">
        <f>ROUND(RAND()*4+6,1)</f>
      </c>
      <c r="I359" s="20" t="s">
        <v>45</v>
      </c>
      <c r="J359" s="23">
        <f>ROUND(65*1,0)&amp;"%"</f>
      </c>
    </row>
    <row x14ac:dyDescent="0.25" r="360" customHeight="1" ht="17.25">
      <c r="A360" s="17" t="s">
        <v>8439</v>
      </c>
      <c r="B360" s="17" t="s">
        <v>578</v>
      </c>
      <c r="C360" s="17" t="s">
        <v>56</v>
      </c>
      <c r="D360" s="17" t="s">
        <v>16</v>
      </c>
      <c r="E360" s="18">
        <f>ROUND(15035*1.05,2)</f>
      </c>
      <c r="F360" s="17" t="s">
        <v>48</v>
      </c>
      <c r="G360" s="17" t="s">
        <v>18</v>
      </c>
      <c r="H360" s="18">
        <f>ROUND(RAND()*4+6,1)</f>
      </c>
      <c r="I360" s="17" t="s">
        <v>19</v>
      </c>
      <c r="J360" s="19">
        <f>ROUND(78*1,0)&amp;"%"</f>
      </c>
    </row>
    <row x14ac:dyDescent="0.25" r="361" customHeight="1" ht="17.25">
      <c r="A361" s="20" t="s">
        <v>8440</v>
      </c>
      <c r="B361" s="20" t="s">
        <v>580</v>
      </c>
      <c r="C361" s="20" t="s">
        <v>56</v>
      </c>
      <c r="D361" s="20" t="s">
        <v>22</v>
      </c>
      <c r="E361" s="21">
        <f>ROUND(10594*1.05,2)</f>
      </c>
      <c r="F361" s="20" t="s">
        <v>51</v>
      </c>
      <c r="G361" s="20" t="s">
        <v>24</v>
      </c>
      <c r="H361" s="21">
        <f>ROUND(RAND()*4+6,1)</f>
      </c>
      <c r="I361" s="20" t="s">
        <v>25</v>
      </c>
      <c r="J361" s="23">
        <f>ROUND(77*1,0)&amp;"%"</f>
      </c>
    </row>
    <row x14ac:dyDescent="0.25" r="362" customHeight="1" ht="17.25">
      <c r="A362" s="24" t="s">
        <v>581</v>
      </c>
      <c r="B362" s="24"/>
      <c r="C362" s="24"/>
      <c r="D362" s="24"/>
      <c r="E362" s="25">
        <v>8</v>
      </c>
      <c r="F362" s="9"/>
      <c r="G362" s="9"/>
      <c r="H362" s="10"/>
      <c r="I362" s="9"/>
      <c r="J362" s="9"/>
    </row>
  </sheetData>
  <mergeCells count="62">
    <mergeCell ref="A1:J1"/>
    <mergeCell ref="A2:J2"/>
    <mergeCell ref="A4:J4"/>
    <mergeCell ref="A14:D14"/>
    <mergeCell ref="A16:J16"/>
    <mergeCell ref="A26:D26"/>
    <mergeCell ref="A28:J28"/>
    <mergeCell ref="A38:D38"/>
    <mergeCell ref="A40:J40"/>
    <mergeCell ref="A50:D50"/>
    <mergeCell ref="A52:J52"/>
    <mergeCell ref="A62:D62"/>
    <mergeCell ref="A64:J64"/>
    <mergeCell ref="A74:D74"/>
    <mergeCell ref="A76:J76"/>
    <mergeCell ref="A86:D86"/>
    <mergeCell ref="A88:J88"/>
    <mergeCell ref="A98:D98"/>
    <mergeCell ref="A100:J100"/>
    <mergeCell ref="A110:D110"/>
    <mergeCell ref="A112:J112"/>
    <mergeCell ref="A122:D122"/>
    <mergeCell ref="A124:J124"/>
    <mergeCell ref="A134:D134"/>
    <mergeCell ref="A136:J136"/>
    <mergeCell ref="A146:D146"/>
    <mergeCell ref="A148:J148"/>
    <mergeCell ref="A158:D158"/>
    <mergeCell ref="A160:J160"/>
    <mergeCell ref="A170:D170"/>
    <mergeCell ref="A172:J172"/>
    <mergeCell ref="A182:D182"/>
    <mergeCell ref="A184:J184"/>
    <mergeCell ref="A194:D194"/>
    <mergeCell ref="A196:J196"/>
    <mergeCell ref="A206:D206"/>
    <mergeCell ref="A208:J208"/>
    <mergeCell ref="A218:D218"/>
    <mergeCell ref="A220:J220"/>
    <mergeCell ref="A230:D230"/>
    <mergeCell ref="A232:J232"/>
    <mergeCell ref="A242:D242"/>
    <mergeCell ref="A244:J244"/>
    <mergeCell ref="A254:D254"/>
    <mergeCell ref="A256:J256"/>
    <mergeCell ref="A266:D266"/>
    <mergeCell ref="A268:J268"/>
    <mergeCell ref="A278:D278"/>
    <mergeCell ref="A280:J280"/>
    <mergeCell ref="A290:D290"/>
    <mergeCell ref="A292:J292"/>
    <mergeCell ref="A302:D302"/>
    <mergeCell ref="A304:J304"/>
    <mergeCell ref="A314:D314"/>
    <mergeCell ref="A316:J316"/>
    <mergeCell ref="A326:D326"/>
    <mergeCell ref="A328:J328"/>
    <mergeCell ref="A338:D338"/>
    <mergeCell ref="A340:J340"/>
    <mergeCell ref="A350:D350"/>
    <mergeCell ref="A352:J352"/>
    <mergeCell ref="A362:D362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J362"/>
  <sheetViews>
    <sheetView workbookViewId="0"/>
  </sheetViews>
  <sheetFormatPr defaultRowHeight="15" x14ac:dyDescent="0.25"/>
  <cols>
    <col min="1" max="1" style="27" width="8.005" customWidth="1" bestFit="1"/>
    <col min="2" max="2" style="27" width="22.005" customWidth="1" bestFit="1"/>
    <col min="3" max="3" style="27" width="16.005" customWidth="1" bestFit="1"/>
    <col min="4" max="4" style="27" width="14.005" customWidth="1" bestFit="1"/>
    <col min="5" max="5" style="28" width="12.005" customWidth="1" bestFit="1"/>
    <col min="6" max="6" style="29" width="16.005" customWidth="1" bestFit="1"/>
    <col min="7" max="7" style="29" width="10.005" customWidth="1" bestFit="1"/>
    <col min="8" max="8" style="30" width="10.005" customWidth="1" bestFit="1"/>
    <col min="9" max="9" style="29" width="14.005" customWidth="1" bestFit="1"/>
    <col min="10" max="10" style="29" width="8.005" customWidth="1" bestFit="1"/>
  </cols>
  <sheetData>
    <row x14ac:dyDescent="0.25" r="1" customHeight="1" ht="17.25">
      <c r="A1" s="1" t="s">
        <v>7899</v>
      </c>
      <c r="B1" s="1"/>
      <c r="C1" s="1"/>
      <c r="D1" s="1"/>
      <c r="E1" s="2"/>
      <c r="F1" s="1"/>
      <c r="G1" s="1"/>
      <c r="H1" s="3"/>
      <c r="I1" s="1"/>
      <c r="J1" s="1"/>
    </row>
    <row x14ac:dyDescent="0.25" r="2" customHeight="1" ht="17.25">
      <c r="A2" s="4" t="s">
        <v>1</v>
      </c>
      <c r="B2" s="4"/>
      <c r="C2" s="4"/>
      <c r="D2" s="4"/>
      <c r="E2" s="5"/>
      <c r="F2" s="4"/>
      <c r="G2" s="4"/>
      <c r="H2" s="6"/>
      <c r="I2" s="4"/>
      <c r="J2" s="4"/>
    </row>
    <row x14ac:dyDescent="0.25" r="3" customHeight="1" ht="17.25">
      <c r="A3" s="7"/>
      <c r="B3" s="7"/>
      <c r="C3" s="7"/>
      <c r="D3" s="7"/>
      <c r="E3" s="8"/>
      <c r="F3" s="9"/>
      <c r="G3" s="9"/>
      <c r="H3" s="10"/>
      <c r="I3" s="9"/>
      <c r="J3" s="9"/>
    </row>
    <row x14ac:dyDescent="0.25" r="4" customHeight="1" ht="17.25">
      <c r="A4" s="11" t="s">
        <v>7900</v>
      </c>
      <c r="B4" s="11"/>
      <c r="C4" s="11"/>
      <c r="D4" s="11"/>
      <c r="E4" s="12"/>
      <c r="F4" s="11"/>
      <c r="G4" s="11"/>
      <c r="H4" s="13"/>
      <c r="I4" s="11"/>
      <c r="J4" s="11"/>
    </row>
    <row x14ac:dyDescent="0.25" r="5" customHeight="1" ht="17.25">
      <c r="A5" s="14" t="s">
        <v>3</v>
      </c>
      <c r="B5" s="14" t="s">
        <v>4</v>
      </c>
      <c r="C5" s="14" t="s">
        <v>5</v>
      </c>
      <c r="D5" s="14" t="s">
        <v>6</v>
      </c>
      <c r="E5" s="15" t="s">
        <v>7</v>
      </c>
      <c r="F5" s="14" t="s">
        <v>8</v>
      </c>
      <c r="G5" s="14" t="s">
        <v>9</v>
      </c>
      <c r="H5" s="16" t="s">
        <v>10</v>
      </c>
      <c r="I5" s="14" t="s">
        <v>11</v>
      </c>
      <c r="J5" s="14" t="s">
        <v>12</v>
      </c>
    </row>
    <row x14ac:dyDescent="0.25" r="6" customHeight="1" ht="17.25">
      <c r="A6" s="17" t="s">
        <v>7901</v>
      </c>
      <c r="B6" s="17" t="s">
        <v>14</v>
      </c>
      <c r="C6" s="17" t="s">
        <v>15</v>
      </c>
      <c r="D6" s="17" t="s">
        <v>16</v>
      </c>
      <c r="E6" s="18">
        <f>ROUND(8118*1.05,2)</f>
      </c>
      <c r="F6" s="17" t="s">
        <v>17</v>
      </c>
      <c r="G6" s="17" t="s">
        <v>18</v>
      </c>
      <c r="H6" s="18">
        <f>ROUND(RAND()*4+6,1)</f>
      </c>
      <c r="I6" s="17" t="s">
        <v>19</v>
      </c>
      <c r="J6" s="19">
        <f>ROUND(64*1,0)&amp;"%"</f>
      </c>
    </row>
    <row x14ac:dyDescent="0.25" r="7" customHeight="1" ht="17.25">
      <c r="A7" s="20" t="s">
        <v>7902</v>
      </c>
      <c r="B7" s="20" t="s">
        <v>21</v>
      </c>
      <c r="C7" s="20" t="s">
        <v>15</v>
      </c>
      <c r="D7" s="20" t="s">
        <v>22</v>
      </c>
      <c r="E7" s="21">
        <f>ROUND(13563*1.05,2)</f>
      </c>
      <c r="F7" s="20" t="s">
        <v>23</v>
      </c>
      <c r="G7" s="20" t="s">
        <v>24</v>
      </c>
      <c r="H7" s="21">
        <f>ROUND(RAND()*4+6,1)</f>
      </c>
      <c r="I7" s="20" t="s">
        <v>25</v>
      </c>
      <c r="J7" s="23">
        <f>ROUND(79*1,0)&amp;"%"</f>
      </c>
    </row>
    <row x14ac:dyDescent="0.25" r="8" customHeight="1" ht="17.25">
      <c r="A8" s="17" t="s">
        <v>7903</v>
      </c>
      <c r="B8" s="17" t="s">
        <v>27</v>
      </c>
      <c r="C8" s="17" t="s">
        <v>15</v>
      </c>
      <c r="D8" s="17" t="s">
        <v>28</v>
      </c>
      <c r="E8" s="18">
        <f>ROUND(11443*1.05,2)</f>
      </c>
      <c r="F8" s="17" t="s">
        <v>29</v>
      </c>
      <c r="G8" s="17" t="s">
        <v>30</v>
      </c>
      <c r="H8" s="18">
        <f>ROUND(RAND()*4+6,1)</f>
      </c>
      <c r="I8" s="17" t="s">
        <v>31</v>
      </c>
      <c r="J8" s="19">
        <f>ROUND(98*1,0)&amp;"%"</f>
      </c>
    </row>
    <row x14ac:dyDescent="0.25" r="9" customHeight="1" ht="17.25">
      <c r="A9" s="20" t="s">
        <v>7904</v>
      </c>
      <c r="B9" s="20" t="s">
        <v>33</v>
      </c>
      <c r="C9" s="20" t="s">
        <v>15</v>
      </c>
      <c r="D9" s="20" t="s">
        <v>34</v>
      </c>
      <c r="E9" s="21">
        <f>ROUND(6282*1.05,2)</f>
      </c>
      <c r="F9" s="20" t="s">
        <v>35</v>
      </c>
      <c r="G9" s="20" t="s">
        <v>18</v>
      </c>
      <c r="H9" s="22">
        <f>ROUND(RAND()*4+6,1)</f>
      </c>
      <c r="I9" s="20" t="s">
        <v>36</v>
      </c>
      <c r="J9" s="23">
        <f>ROUND(61*1,0)&amp;"%"</f>
      </c>
    </row>
    <row x14ac:dyDescent="0.25" r="10" customHeight="1" ht="17.25">
      <c r="A10" s="17" t="s">
        <v>7905</v>
      </c>
      <c r="B10" s="17" t="s">
        <v>38</v>
      </c>
      <c r="C10" s="17" t="s">
        <v>15</v>
      </c>
      <c r="D10" s="17" t="s">
        <v>39</v>
      </c>
      <c r="E10" s="18">
        <f>ROUND(17464*1.05,2)</f>
      </c>
      <c r="F10" s="17" t="s">
        <v>40</v>
      </c>
      <c r="G10" s="17" t="s">
        <v>24</v>
      </c>
      <c r="H10" s="18">
        <f>ROUND(RAND()*4+6,1)</f>
      </c>
      <c r="I10" s="17" t="s">
        <v>41</v>
      </c>
      <c r="J10" s="19">
        <f>ROUND(90*1,0)&amp;"%"</f>
      </c>
    </row>
    <row x14ac:dyDescent="0.25" r="11" customHeight="1" ht="17.25">
      <c r="A11" s="20" t="s">
        <v>7906</v>
      </c>
      <c r="B11" s="20" t="s">
        <v>43</v>
      </c>
      <c r="C11" s="20" t="s">
        <v>15</v>
      </c>
      <c r="D11" s="20" t="s">
        <v>67</v>
      </c>
      <c r="E11" s="21">
        <f>ROUND(10657*1.05,2)</f>
      </c>
      <c r="F11" s="20" t="s">
        <v>44</v>
      </c>
      <c r="G11" s="20" t="s">
        <v>30</v>
      </c>
      <c r="H11" s="21">
        <f>ROUND(RAND()*4+6,1)</f>
      </c>
      <c r="I11" s="20" t="s">
        <v>45</v>
      </c>
      <c r="J11" s="23">
        <f>ROUND(70*1,0)&amp;"%"</f>
      </c>
    </row>
    <row x14ac:dyDescent="0.25" r="12" customHeight="1" ht="17.25">
      <c r="A12" s="17" t="s">
        <v>7907</v>
      </c>
      <c r="B12" s="17" t="s">
        <v>47</v>
      </c>
      <c r="C12" s="17" t="s">
        <v>15</v>
      </c>
      <c r="D12" s="17" t="s">
        <v>16</v>
      </c>
      <c r="E12" s="18">
        <f>ROUND(12214*1.05,2)</f>
      </c>
      <c r="F12" s="17" t="s">
        <v>48</v>
      </c>
      <c r="G12" s="17" t="s">
        <v>18</v>
      </c>
      <c r="H12" s="18">
        <f>ROUND(RAND()*4+6,1)</f>
      </c>
      <c r="I12" s="17" t="s">
        <v>19</v>
      </c>
      <c r="J12" s="19">
        <f>ROUND(74*1,0)&amp;"%"</f>
      </c>
    </row>
    <row x14ac:dyDescent="0.25" r="13" customHeight="1" ht="17.25">
      <c r="A13" s="20" t="s">
        <v>7908</v>
      </c>
      <c r="B13" s="20" t="s">
        <v>50</v>
      </c>
      <c r="C13" s="20" t="s">
        <v>15</v>
      </c>
      <c r="D13" s="20" t="s">
        <v>22</v>
      </c>
      <c r="E13" s="21">
        <f>ROUND(11176*1.05,2)</f>
      </c>
      <c r="F13" s="20" t="s">
        <v>51</v>
      </c>
      <c r="G13" s="20" t="s">
        <v>24</v>
      </c>
      <c r="H13" s="21">
        <f>ROUND(RAND()*4+6,1)</f>
      </c>
      <c r="I13" s="20" t="s">
        <v>25</v>
      </c>
      <c r="J13" s="23">
        <f>ROUND(87*1,0)&amp;"%"</f>
      </c>
    </row>
    <row x14ac:dyDescent="0.25" r="14" customHeight="1" ht="17.25">
      <c r="A14" s="24" t="s">
        <v>52</v>
      </c>
      <c r="B14" s="24"/>
      <c r="C14" s="24"/>
      <c r="D14" s="24"/>
      <c r="E14" s="25">
        <v>8</v>
      </c>
      <c r="F14" s="9"/>
      <c r="G14" s="9"/>
      <c r="H14" s="10"/>
      <c r="I14" s="9"/>
      <c r="J14" s="9"/>
    </row>
    <row x14ac:dyDescent="0.25" r="15" customHeight="1" ht="17.25">
      <c r="A15" s="7"/>
      <c r="B15" s="7"/>
      <c r="C15" s="7"/>
      <c r="D15" s="7"/>
      <c r="E15" s="8"/>
      <c r="F15" s="9"/>
      <c r="G15" s="9"/>
      <c r="H15" s="10"/>
      <c r="I15" s="9"/>
      <c r="J15" s="9"/>
    </row>
    <row x14ac:dyDescent="0.25" r="16" customHeight="1" ht="17.25">
      <c r="A16" s="11" t="s">
        <v>7909</v>
      </c>
      <c r="B16" s="11"/>
      <c r="C16" s="11"/>
      <c r="D16" s="11"/>
      <c r="E16" s="12"/>
      <c r="F16" s="11"/>
      <c r="G16" s="11"/>
      <c r="H16" s="13"/>
      <c r="I16" s="11"/>
      <c r="J16" s="11"/>
    </row>
    <row x14ac:dyDescent="0.25" r="17" customHeight="1" ht="17.25">
      <c r="A17" s="14" t="s">
        <v>3</v>
      </c>
      <c r="B17" s="14" t="s">
        <v>4</v>
      </c>
      <c r="C17" s="14" t="s">
        <v>5</v>
      </c>
      <c r="D17" s="14" t="s">
        <v>6</v>
      </c>
      <c r="E17" s="15" t="s">
        <v>7</v>
      </c>
      <c r="F17" s="14" t="s">
        <v>8</v>
      </c>
      <c r="G17" s="14" t="s">
        <v>9</v>
      </c>
      <c r="H17" s="16" t="s">
        <v>10</v>
      </c>
      <c r="I17" s="14" t="s">
        <v>11</v>
      </c>
      <c r="J17" s="14" t="s">
        <v>12</v>
      </c>
    </row>
    <row x14ac:dyDescent="0.25" r="18" customHeight="1" ht="17.25">
      <c r="A18" s="17" t="s">
        <v>7910</v>
      </c>
      <c r="B18" s="17" t="s">
        <v>55</v>
      </c>
      <c r="C18" s="17" t="s">
        <v>56</v>
      </c>
      <c r="D18" s="17" t="s">
        <v>16</v>
      </c>
      <c r="E18" s="18">
        <f>ROUND(13544*1.05,2)</f>
      </c>
      <c r="F18" s="17" t="s">
        <v>17</v>
      </c>
      <c r="G18" s="17" t="s">
        <v>18</v>
      </c>
      <c r="H18" s="18">
        <f>ROUND(RAND()*4+6,1)</f>
      </c>
      <c r="I18" s="17" t="s">
        <v>19</v>
      </c>
      <c r="J18" s="19">
        <f>ROUND(65*1,0)&amp;"%"</f>
      </c>
    </row>
    <row x14ac:dyDescent="0.25" r="19" customHeight="1" ht="17.25">
      <c r="A19" s="20" t="s">
        <v>7911</v>
      </c>
      <c r="B19" s="20" t="s">
        <v>58</v>
      </c>
      <c r="C19" s="20" t="s">
        <v>56</v>
      </c>
      <c r="D19" s="20" t="s">
        <v>22</v>
      </c>
      <c r="E19" s="21">
        <f>ROUND(4499*1.05,2)</f>
      </c>
      <c r="F19" s="20" t="s">
        <v>23</v>
      </c>
      <c r="G19" s="20" t="s">
        <v>24</v>
      </c>
      <c r="H19" s="21">
        <f>ROUND(RAND()*4+6,1)</f>
      </c>
      <c r="I19" s="20" t="s">
        <v>25</v>
      </c>
      <c r="J19" s="23">
        <f>ROUND(96*1,0)&amp;"%"</f>
      </c>
    </row>
    <row x14ac:dyDescent="0.25" r="20" customHeight="1" ht="17.25">
      <c r="A20" s="17" t="s">
        <v>7912</v>
      </c>
      <c r="B20" s="17" t="s">
        <v>60</v>
      </c>
      <c r="C20" s="17" t="s">
        <v>56</v>
      </c>
      <c r="D20" s="17" t="s">
        <v>28</v>
      </c>
      <c r="E20" s="18">
        <f>ROUND(11928*1.05,2)</f>
      </c>
      <c r="F20" s="17" t="s">
        <v>29</v>
      </c>
      <c r="G20" s="17" t="s">
        <v>30</v>
      </c>
      <c r="H20" s="18">
        <f>ROUND(RAND()*4+6,1)</f>
      </c>
      <c r="I20" s="17" t="s">
        <v>31</v>
      </c>
      <c r="J20" s="19">
        <f>ROUND(96*1,0)&amp;"%"</f>
      </c>
    </row>
    <row x14ac:dyDescent="0.25" r="21" customHeight="1" ht="17.25">
      <c r="A21" s="20" t="s">
        <v>7913</v>
      </c>
      <c r="B21" s="20" t="s">
        <v>62</v>
      </c>
      <c r="C21" s="20" t="s">
        <v>56</v>
      </c>
      <c r="D21" s="20" t="s">
        <v>34</v>
      </c>
      <c r="E21" s="21">
        <f>ROUND(15722*1.05,2)</f>
      </c>
      <c r="F21" s="20" t="s">
        <v>35</v>
      </c>
      <c r="G21" s="20" t="s">
        <v>18</v>
      </c>
      <c r="H21" s="21">
        <f>ROUND(RAND()*4+6,1)</f>
      </c>
      <c r="I21" s="20" t="s">
        <v>36</v>
      </c>
      <c r="J21" s="23">
        <f>ROUND(99*1,0)&amp;"%"</f>
      </c>
    </row>
    <row x14ac:dyDescent="0.25" r="22" customHeight="1" ht="17.25">
      <c r="A22" s="17" t="s">
        <v>7914</v>
      </c>
      <c r="B22" s="17" t="s">
        <v>64</v>
      </c>
      <c r="C22" s="17" t="s">
        <v>56</v>
      </c>
      <c r="D22" s="17" t="s">
        <v>39</v>
      </c>
      <c r="E22" s="18">
        <f>ROUND(14743*1.05,2)</f>
      </c>
      <c r="F22" s="17" t="s">
        <v>40</v>
      </c>
      <c r="G22" s="17" t="s">
        <v>24</v>
      </c>
      <c r="H22" s="18">
        <f>ROUND(RAND()*4+6,1)</f>
      </c>
      <c r="I22" s="17" t="s">
        <v>41</v>
      </c>
      <c r="J22" s="19">
        <f>ROUND(78*1,0)&amp;"%"</f>
      </c>
    </row>
    <row x14ac:dyDescent="0.25" r="23" customHeight="1" ht="17.25">
      <c r="A23" s="20" t="s">
        <v>7915</v>
      </c>
      <c r="B23" s="20" t="s">
        <v>66</v>
      </c>
      <c r="C23" s="20" t="s">
        <v>56</v>
      </c>
      <c r="D23" s="20" t="s">
        <v>67</v>
      </c>
      <c r="E23" s="21">
        <f>ROUND(8587*1.05,2)</f>
      </c>
      <c r="F23" s="20" t="s">
        <v>44</v>
      </c>
      <c r="G23" s="20" t="s">
        <v>30</v>
      </c>
      <c r="H23" s="21">
        <f>ROUND(RAND()*4+6,1)</f>
      </c>
      <c r="I23" s="20" t="s">
        <v>45</v>
      </c>
      <c r="J23" s="23">
        <f>ROUND(78*1,0)&amp;"%"</f>
      </c>
    </row>
    <row x14ac:dyDescent="0.25" r="24" customHeight="1" ht="17.25">
      <c r="A24" s="17" t="s">
        <v>7916</v>
      </c>
      <c r="B24" s="17" t="s">
        <v>69</v>
      </c>
      <c r="C24" s="17" t="s">
        <v>56</v>
      </c>
      <c r="D24" s="17" t="s">
        <v>16</v>
      </c>
      <c r="E24" s="26">
        <f>ROUND(5760*1.05,2)</f>
      </c>
      <c r="F24" s="17" t="s">
        <v>48</v>
      </c>
      <c r="G24" s="17" t="s">
        <v>18</v>
      </c>
      <c r="H24" s="18">
        <f>ROUND(RAND()*4+6,1)</f>
      </c>
      <c r="I24" s="17" t="s">
        <v>19</v>
      </c>
      <c r="J24" s="19">
        <f>ROUND(91*1,0)&amp;"%"</f>
      </c>
    </row>
    <row x14ac:dyDescent="0.25" r="25" customHeight="1" ht="17.25">
      <c r="A25" s="20" t="s">
        <v>7917</v>
      </c>
      <c r="B25" s="20" t="s">
        <v>71</v>
      </c>
      <c r="C25" s="20" t="s">
        <v>56</v>
      </c>
      <c r="D25" s="20" t="s">
        <v>22</v>
      </c>
      <c r="E25" s="21">
        <f>ROUND(9894*1.05,2)</f>
      </c>
      <c r="F25" s="20" t="s">
        <v>51</v>
      </c>
      <c r="G25" s="20" t="s">
        <v>24</v>
      </c>
      <c r="H25" s="21">
        <f>ROUND(RAND()*4+6,1)</f>
      </c>
      <c r="I25" s="20" t="s">
        <v>25</v>
      </c>
      <c r="J25" s="23">
        <f>ROUND(74*1,0)&amp;"%"</f>
      </c>
    </row>
    <row x14ac:dyDescent="0.25" r="26" customHeight="1" ht="17.25">
      <c r="A26" s="24" t="s">
        <v>72</v>
      </c>
      <c r="B26" s="24"/>
      <c r="C26" s="24"/>
      <c r="D26" s="24"/>
      <c r="E26" s="25">
        <v>8</v>
      </c>
      <c r="F26" s="9"/>
      <c r="G26" s="9"/>
      <c r="H26" s="10"/>
      <c r="I26" s="9"/>
      <c r="J26" s="9"/>
    </row>
    <row x14ac:dyDescent="0.25" r="27" customHeight="1" ht="17.25">
      <c r="A27" s="7"/>
      <c r="B27" s="7"/>
      <c r="C27" s="7"/>
      <c r="D27" s="7"/>
      <c r="E27" s="8"/>
      <c r="F27" s="9"/>
      <c r="G27" s="9"/>
      <c r="H27" s="10"/>
      <c r="I27" s="9"/>
      <c r="J27" s="9"/>
    </row>
    <row x14ac:dyDescent="0.25" r="28" customHeight="1" ht="17.25">
      <c r="A28" s="11" t="s">
        <v>7918</v>
      </c>
      <c r="B28" s="11"/>
      <c r="C28" s="11"/>
      <c r="D28" s="11"/>
      <c r="E28" s="12"/>
      <c r="F28" s="11"/>
      <c r="G28" s="11"/>
      <c r="H28" s="13"/>
      <c r="I28" s="11"/>
      <c r="J28" s="11"/>
    </row>
    <row x14ac:dyDescent="0.25" r="29" customHeight="1" ht="17.25">
      <c r="A29" s="14" t="s">
        <v>3</v>
      </c>
      <c r="B29" s="14" t="s">
        <v>4</v>
      </c>
      <c r="C29" s="14" t="s">
        <v>5</v>
      </c>
      <c r="D29" s="14" t="s">
        <v>6</v>
      </c>
      <c r="E29" s="15" t="s">
        <v>7</v>
      </c>
      <c r="F29" s="14" t="s">
        <v>8</v>
      </c>
      <c r="G29" s="14" t="s">
        <v>9</v>
      </c>
      <c r="H29" s="16" t="s">
        <v>10</v>
      </c>
      <c r="I29" s="14" t="s">
        <v>11</v>
      </c>
      <c r="J29" s="14" t="s">
        <v>12</v>
      </c>
    </row>
    <row x14ac:dyDescent="0.25" r="30" customHeight="1" ht="17.25">
      <c r="A30" s="17" t="s">
        <v>7919</v>
      </c>
      <c r="B30" s="17" t="s">
        <v>75</v>
      </c>
      <c r="C30" s="17" t="s">
        <v>76</v>
      </c>
      <c r="D30" s="17" t="s">
        <v>16</v>
      </c>
      <c r="E30" s="18">
        <f>ROUND(6711*1.05,2)</f>
      </c>
      <c r="F30" s="17" t="s">
        <v>17</v>
      </c>
      <c r="G30" s="17" t="s">
        <v>18</v>
      </c>
      <c r="H30" s="18">
        <f>ROUND(RAND()*4+6,1)</f>
      </c>
      <c r="I30" s="17" t="s">
        <v>19</v>
      </c>
      <c r="J30" s="19">
        <f>ROUND(62*1,0)&amp;"%"</f>
      </c>
    </row>
    <row x14ac:dyDescent="0.25" r="31" customHeight="1" ht="17.25">
      <c r="A31" s="20" t="s">
        <v>7920</v>
      </c>
      <c r="B31" s="20" t="s">
        <v>78</v>
      </c>
      <c r="C31" s="20" t="s">
        <v>76</v>
      </c>
      <c r="D31" s="20" t="s">
        <v>22</v>
      </c>
      <c r="E31" s="21">
        <f>ROUND(4716*1.05,2)</f>
      </c>
      <c r="F31" s="20" t="s">
        <v>23</v>
      </c>
      <c r="G31" s="20" t="s">
        <v>24</v>
      </c>
      <c r="H31" s="21">
        <f>ROUND(RAND()*4+6,1)</f>
      </c>
      <c r="I31" s="20" t="s">
        <v>25</v>
      </c>
      <c r="J31" s="23">
        <f>ROUND(87*1,0)&amp;"%"</f>
      </c>
    </row>
    <row x14ac:dyDescent="0.25" r="32" customHeight="1" ht="17.25">
      <c r="A32" s="17" t="s">
        <v>7921</v>
      </c>
      <c r="B32" s="17" t="s">
        <v>80</v>
      </c>
      <c r="C32" s="17" t="s">
        <v>76</v>
      </c>
      <c r="D32" s="17" t="s">
        <v>28</v>
      </c>
      <c r="E32" s="18">
        <f>ROUND(11494*1.05,2)</f>
      </c>
      <c r="F32" s="17" t="s">
        <v>29</v>
      </c>
      <c r="G32" s="17" t="s">
        <v>30</v>
      </c>
      <c r="H32" s="18">
        <f>ROUND(RAND()*4+6,1)</f>
      </c>
      <c r="I32" s="17" t="s">
        <v>31</v>
      </c>
      <c r="J32" s="19">
        <f>ROUND(73*1,0)&amp;"%"</f>
      </c>
    </row>
    <row x14ac:dyDescent="0.25" r="33" customHeight="1" ht="17.25">
      <c r="A33" s="20" t="s">
        <v>7922</v>
      </c>
      <c r="B33" s="20" t="s">
        <v>82</v>
      </c>
      <c r="C33" s="20" t="s">
        <v>76</v>
      </c>
      <c r="D33" s="20" t="s">
        <v>34</v>
      </c>
      <c r="E33" s="21">
        <f>ROUND(13903*1.05,2)</f>
      </c>
      <c r="F33" s="20" t="s">
        <v>35</v>
      </c>
      <c r="G33" s="20" t="s">
        <v>18</v>
      </c>
      <c r="H33" s="21">
        <f>ROUND(RAND()*4+6,1)</f>
      </c>
      <c r="I33" s="20" t="s">
        <v>36</v>
      </c>
      <c r="J33" s="23">
        <f>ROUND(75*1,0)&amp;"%"</f>
      </c>
    </row>
    <row x14ac:dyDescent="0.25" r="34" customHeight="1" ht="17.25">
      <c r="A34" s="17" t="s">
        <v>7923</v>
      </c>
      <c r="B34" s="17" t="s">
        <v>84</v>
      </c>
      <c r="C34" s="17" t="s">
        <v>76</v>
      </c>
      <c r="D34" s="17" t="s">
        <v>39</v>
      </c>
      <c r="E34" s="18">
        <f>ROUND(5174*1.05,2)</f>
      </c>
      <c r="F34" s="17" t="s">
        <v>40</v>
      </c>
      <c r="G34" s="17" t="s">
        <v>24</v>
      </c>
      <c r="H34" s="26">
        <f>ROUND(RAND()*4+6,1)</f>
      </c>
      <c r="I34" s="17" t="s">
        <v>41</v>
      </c>
      <c r="J34" s="19">
        <f>ROUND(92*1,0)&amp;"%"</f>
      </c>
    </row>
    <row x14ac:dyDescent="0.25" r="35" customHeight="1" ht="17.25">
      <c r="A35" s="20" t="s">
        <v>7924</v>
      </c>
      <c r="B35" s="20" t="s">
        <v>86</v>
      </c>
      <c r="C35" s="20" t="s">
        <v>76</v>
      </c>
      <c r="D35" s="20" t="s">
        <v>67</v>
      </c>
      <c r="E35" s="21">
        <f>ROUND(13516*1.05,2)</f>
      </c>
      <c r="F35" s="20" t="s">
        <v>44</v>
      </c>
      <c r="G35" s="20" t="s">
        <v>30</v>
      </c>
      <c r="H35" s="21">
        <f>ROUND(RAND()*4+6,1)</f>
      </c>
      <c r="I35" s="20" t="s">
        <v>45</v>
      </c>
      <c r="J35" s="23">
        <f>ROUND(78*1,0)&amp;"%"</f>
      </c>
    </row>
    <row x14ac:dyDescent="0.25" r="36" customHeight="1" ht="17.25">
      <c r="A36" s="17" t="s">
        <v>7925</v>
      </c>
      <c r="B36" s="17" t="s">
        <v>88</v>
      </c>
      <c r="C36" s="17" t="s">
        <v>76</v>
      </c>
      <c r="D36" s="17" t="s">
        <v>16</v>
      </c>
      <c r="E36" s="18">
        <f>ROUND(13442*1.05,2)</f>
      </c>
      <c r="F36" s="17" t="s">
        <v>48</v>
      </c>
      <c r="G36" s="17" t="s">
        <v>18</v>
      </c>
      <c r="H36" s="18">
        <f>ROUND(RAND()*4+6,1)</f>
      </c>
      <c r="I36" s="17" t="s">
        <v>19</v>
      </c>
      <c r="J36" s="19">
        <f>ROUND(73*1,0)&amp;"%"</f>
      </c>
    </row>
    <row x14ac:dyDescent="0.25" r="37" customHeight="1" ht="17.25">
      <c r="A37" s="20" t="s">
        <v>7926</v>
      </c>
      <c r="B37" s="20" t="s">
        <v>90</v>
      </c>
      <c r="C37" s="20" t="s">
        <v>76</v>
      </c>
      <c r="D37" s="20" t="s">
        <v>22</v>
      </c>
      <c r="E37" s="21">
        <f>ROUND(10785*1.05,2)</f>
      </c>
      <c r="F37" s="20" t="s">
        <v>51</v>
      </c>
      <c r="G37" s="20" t="s">
        <v>24</v>
      </c>
      <c r="H37" s="21">
        <f>ROUND(RAND()*4+6,1)</f>
      </c>
      <c r="I37" s="20" t="s">
        <v>25</v>
      </c>
      <c r="J37" s="23">
        <f>ROUND(83*1,0)&amp;"%"</f>
      </c>
    </row>
    <row x14ac:dyDescent="0.25" r="38" customHeight="1" ht="17.25">
      <c r="A38" s="24" t="s">
        <v>91</v>
      </c>
      <c r="B38" s="24"/>
      <c r="C38" s="24"/>
      <c r="D38" s="24"/>
      <c r="E38" s="25">
        <v>8</v>
      </c>
      <c r="F38" s="9"/>
      <c r="G38" s="9"/>
      <c r="H38" s="10"/>
      <c r="I38" s="9"/>
      <c r="J38" s="9"/>
    </row>
    <row x14ac:dyDescent="0.25" r="39" customHeight="1" ht="17.25">
      <c r="A39" s="7"/>
      <c r="B39" s="7"/>
      <c r="C39" s="7"/>
      <c r="D39" s="7"/>
      <c r="E39" s="8"/>
      <c r="F39" s="9"/>
      <c r="G39" s="9"/>
      <c r="H39" s="10"/>
      <c r="I39" s="9"/>
      <c r="J39" s="9"/>
    </row>
    <row x14ac:dyDescent="0.25" r="40" customHeight="1" ht="17.25">
      <c r="A40" s="11" t="s">
        <v>7927</v>
      </c>
      <c r="B40" s="11"/>
      <c r="C40" s="11"/>
      <c r="D40" s="11"/>
      <c r="E40" s="12"/>
      <c r="F40" s="11"/>
      <c r="G40" s="11"/>
      <c r="H40" s="13"/>
      <c r="I40" s="11"/>
      <c r="J40" s="11"/>
    </row>
    <row x14ac:dyDescent="0.25" r="41" customHeight="1" ht="17.25">
      <c r="A41" s="14" t="s">
        <v>3</v>
      </c>
      <c r="B41" s="14" t="s">
        <v>4</v>
      </c>
      <c r="C41" s="14" t="s">
        <v>5</v>
      </c>
      <c r="D41" s="14" t="s">
        <v>6</v>
      </c>
      <c r="E41" s="15" t="s">
        <v>7</v>
      </c>
      <c r="F41" s="14" t="s">
        <v>8</v>
      </c>
      <c r="G41" s="14" t="s">
        <v>9</v>
      </c>
      <c r="H41" s="16" t="s">
        <v>10</v>
      </c>
      <c r="I41" s="14" t="s">
        <v>11</v>
      </c>
      <c r="J41" s="14" t="s">
        <v>12</v>
      </c>
    </row>
    <row x14ac:dyDescent="0.25" r="42" customHeight="1" ht="17.25">
      <c r="A42" s="17" t="s">
        <v>7928</v>
      </c>
      <c r="B42" s="17" t="s">
        <v>94</v>
      </c>
      <c r="C42" s="17" t="s">
        <v>95</v>
      </c>
      <c r="D42" s="17" t="s">
        <v>16</v>
      </c>
      <c r="E42" s="18">
        <f>ROUND(16104*1.05,2)</f>
      </c>
      <c r="F42" s="17" t="s">
        <v>17</v>
      </c>
      <c r="G42" s="17" t="s">
        <v>18</v>
      </c>
      <c r="H42" s="18">
        <f>ROUND(RAND()*4+6,1)</f>
      </c>
      <c r="I42" s="17" t="s">
        <v>19</v>
      </c>
      <c r="J42" s="19">
        <f>ROUND(96*1,0)&amp;"%"</f>
      </c>
    </row>
    <row x14ac:dyDescent="0.25" r="43" customHeight="1" ht="17.25">
      <c r="A43" s="20" t="s">
        <v>7929</v>
      </c>
      <c r="B43" s="20" t="s">
        <v>97</v>
      </c>
      <c r="C43" s="20" t="s">
        <v>95</v>
      </c>
      <c r="D43" s="20" t="s">
        <v>22</v>
      </c>
      <c r="E43" s="22">
        <f>ROUND(5600*1.05,2)</f>
      </c>
      <c r="F43" s="20" t="s">
        <v>23</v>
      </c>
      <c r="G43" s="20" t="s">
        <v>24</v>
      </c>
      <c r="H43" s="21">
        <f>ROUND(RAND()*4+6,1)</f>
      </c>
      <c r="I43" s="20" t="s">
        <v>25</v>
      </c>
      <c r="J43" s="23">
        <f>ROUND(84*1,0)&amp;"%"</f>
      </c>
    </row>
    <row x14ac:dyDescent="0.25" r="44" customHeight="1" ht="17.25">
      <c r="A44" s="17" t="s">
        <v>7930</v>
      </c>
      <c r="B44" s="17" t="s">
        <v>99</v>
      </c>
      <c r="C44" s="17" t="s">
        <v>95</v>
      </c>
      <c r="D44" s="17" t="s">
        <v>28</v>
      </c>
      <c r="E44" s="18">
        <f>ROUND(6610*1.05,2)</f>
      </c>
      <c r="F44" s="17" t="s">
        <v>29</v>
      </c>
      <c r="G44" s="17" t="s">
        <v>30</v>
      </c>
      <c r="H44" s="18">
        <f>ROUND(RAND()*4+6,1)</f>
      </c>
      <c r="I44" s="17" t="s">
        <v>31</v>
      </c>
      <c r="J44" s="19">
        <f>ROUND(64*1,0)&amp;"%"</f>
      </c>
    </row>
    <row x14ac:dyDescent="0.25" r="45" customHeight="1" ht="17.25">
      <c r="A45" s="20" t="s">
        <v>7931</v>
      </c>
      <c r="B45" s="20" t="s">
        <v>101</v>
      </c>
      <c r="C45" s="20" t="s">
        <v>95</v>
      </c>
      <c r="D45" s="20" t="s">
        <v>34</v>
      </c>
      <c r="E45" s="21">
        <f>ROUND(4910*1.05,2)</f>
      </c>
      <c r="F45" s="20" t="s">
        <v>35</v>
      </c>
      <c r="G45" s="20" t="s">
        <v>18</v>
      </c>
      <c r="H45" s="21">
        <f>ROUND(RAND()*4+6,1)</f>
      </c>
      <c r="I45" s="20" t="s">
        <v>36</v>
      </c>
      <c r="J45" s="23">
        <f>ROUND(69*1,0)&amp;"%"</f>
      </c>
    </row>
    <row x14ac:dyDescent="0.25" r="46" customHeight="1" ht="17.25">
      <c r="A46" s="17" t="s">
        <v>7932</v>
      </c>
      <c r="B46" s="17" t="s">
        <v>103</v>
      </c>
      <c r="C46" s="17" t="s">
        <v>95</v>
      </c>
      <c r="D46" s="17" t="s">
        <v>39</v>
      </c>
      <c r="E46" s="18">
        <f>ROUND(13426*1.05,2)</f>
      </c>
      <c r="F46" s="17" t="s">
        <v>40</v>
      </c>
      <c r="G46" s="17" t="s">
        <v>24</v>
      </c>
      <c r="H46" s="18">
        <f>ROUND(RAND()*4+6,1)</f>
      </c>
      <c r="I46" s="17" t="s">
        <v>41</v>
      </c>
      <c r="J46" s="19">
        <f>ROUND(79*1,0)&amp;"%"</f>
      </c>
    </row>
    <row x14ac:dyDescent="0.25" r="47" customHeight="1" ht="17.25">
      <c r="A47" s="20" t="s">
        <v>7933</v>
      </c>
      <c r="B47" s="20" t="s">
        <v>105</v>
      </c>
      <c r="C47" s="20" t="s">
        <v>95</v>
      </c>
      <c r="D47" s="20" t="s">
        <v>67</v>
      </c>
      <c r="E47" s="21">
        <f>ROUND(16525*1.05,2)</f>
      </c>
      <c r="F47" s="20" t="s">
        <v>44</v>
      </c>
      <c r="G47" s="20" t="s">
        <v>30</v>
      </c>
      <c r="H47" s="21">
        <f>ROUND(RAND()*4+6,1)</f>
      </c>
      <c r="I47" s="20" t="s">
        <v>45</v>
      </c>
      <c r="J47" s="23">
        <f>ROUND(73*1,0)&amp;"%"</f>
      </c>
    </row>
    <row x14ac:dyDescent="0.25" r="48" customHeight="1" ht="17.25">
      <c r="A48" s="17" t="s">
        <v>7934</v>
      </c>
      <c r="B48" s="17" t="s">
        <v>107</v>
      </c>
      <c r="C48" s="17" t="s">
        <v>95</v>
      </c>
      <c r="D48" s="17" t="s">
        <v>16</v>
      </c>
      <c r="E48" s="18">
        <f>ROUND(16154*1.05,2)</f>
      </c>
      <c r="F48" s="17" t="s">
        <v>48</v>
      </c>
      <c r="G48" s="17" t="s">
        <v>18</v>
      </c>
      <c r="H48" s="18">
        <f>ROUND(RAND()*4+6,1)</f>
      </c>
      <c r="I48" s="17" t="s">
        <v>19</v>
      </c>
      <c r="J48" s="19">
        <f>ROUND(77*1,0)&amp;"%"</f>
      </c>
    </row>
    <row x14ac:dyDescent="0.25" r="49" customHeight="1" ht="17.25">
      <c r="A49" s="20" t="s">
        <v>7935</v>
      </c>
      <c r="B49" s="20" t="s">
        <v>109</v>
      </c>
      <c r="C49" s="20" t="s">
        <v>95</v>
      </c>
      <c r="D49" s="20" t="s">
        <v>22</v>
      </c>
      <c r="E49" s="21">
        <f>ROUND(15446*1.05,2)</f>
      </c>
      <c r="F49" s="20" t="s">
        <v>51</v>
      </c>
      <c r="G49" s="20" t="s">
        <v>24</v>
      </c>
      <c r="H49" s="22">
        <f>ROUND(RAND()*4+6,1)</f>
      </c>
      <c r="I49" s="20" t="s">
        <v>25</v>
      </c>
      <c r="J49" s="23">
        <f>ROUND(66*1,0)&amp;"%"</f>
      </c>
    </row>
    <row x14ac:dyDescent="0.25" r="50" customHeight="1" ht="17.25">
      <c r="A50" s="24" t="s">
        <v>110</v>
      </c>
      <c r="B50" s="24"/>
      <c r="C50" s="24"/>
      <c r="D50" s="24"/>
      <c r="E50" s="25">
        <v>8</v>
      </c>
      <c r="F50" s="9"/>
      <c r="G50" s="9"/>
      <c r="H50" s="10"/>
      <c r="I50" s="9"/>
      <c r="J50" s="9"/>
    </row>
    <row x14ac:dyDescent="0.25" r="51" customHeight="1" ht="17.25">
      <c r="A51" s="7"/>
      <c r="B51" s="7"/>
      <c r="C51" s="7"/>
      <c r="D51" s="7"/>
      <c r="E51" s="8"/>
      <c r="F51" s="9"/>
      <c r="G51" s="9"/>
      <c r="H51" s="10"/>
      <c r="I51" s="9"/>
      <c r="J51" s="9"/>
    </row>
    <row x14ac:dyDescent="0.25" r="52" customHeight="1" ht="17.25">
      <c r="A52" s="11" t="s">
        <v>7936</v>
      </c>
      <c r="B52" s="11"/>
      <c r="C52" s="11"/>
      <c r="D52" s="11"/>
      <c r="E52" s="12"/>
      <c r="F52" s="11"/>
      <c r="G52" s="11"/>
      <c r="H52" s="13"/>
      <c r="I52" s="11"/>
      <c r="J52" s="11"/>
    </row>
    <row x14ac:dyDescent="0.25" r="53" customHeight="1" ht="17.25">
      <c r="A53" s="14" t="s">
        <v>3</v>
      </c>
      <c r="B53" s="14" t="s">
        <v>4</v>
      </c>
      <c r="C53" s="14" t="s">
        <v>5</v>
      </c>
      <c r="D53" s="14" t="s">
        <v>6</v>
      </c>
      <c r="E53" s="15" t="s">
        <v>7</v>
      </c>
      <c r="F53" s="14" t="s">
        <v>8</v>
      </c>
      <c r="G53" s="14" t="s">
        <v>9</v>
      </c>
      <c r="H53" s="16" t="s">
        <v>10</v>
      </c>
      <c r="I53" s="14" t="s">
        <v>11</v>
      </c>
      <c r="J53" s="14" t="s">
        <v>12</v>
      </c>
    </row>
    <row x14ac:dyDescent="0.25" r="54" customHeight="1" ht="17.25">
      <c r="A54" s="17" t="s">
        <v>7937</v>
      </c>
      <c r="B54" s="17" t="s">
        <v>113</v>
      </c>
      <c r="C54" s="17" t="s">
        <v>114</v>
      </c>
      <c r="D54" s="17" t="s">
        <v>16</v>
      </c>
      <c r="E54" s="18">
        <f>ROUND(5350*1.05,2)</f>
      </c>
      <c r="F54" s="17" t="s">
        <v>17</v>
      </c>
      <c r="G54" s="17" t="s">
        <v>18</v>
      </c>
      <c r="H54" s="18">
        <f>ROUND(RAND()*4+6,1)</f>
      </c>
      <c r="I54" s="17" t="s">
        <v>19</v>
      </c>
      <c r="J54" s="19">
        <f>ROUND(88*1,0)&amp;"%"</f>
      </c>
    </row>
    <row x14ac:dyDescent="0.25" r="55" customHeight="1" ht="17.25">
      <c r="A55" s="20" t="s">
        <v>7938</v>
      </c>
      <c r="B55" s="20" t="s">
        <v>116</v>
      </c>
      <c r="C55" s="20" t="s">
        <v>114</v>
      </c>
      <c r="D55" s="20" t="s">
        <v>22</v>
      </c>
      <c r="E55" s="21">
        <f>ROUND(8729*1.05,2)</f>
      </c>
      <c r="F55" s="20" t="s">
        <v>23</v>
      </c>
      <c r="G55" s="20" t="s">
        <v>24</v>
      </c>
      <c r="H55" s="21">
        <f>ROUND(RAND()*4+6,1)</f>
      </c>
      <c r="I55" s="20" t="s">
        <v>25</v>
      </c>
      <c r="J55" s="23">
        <f>ROUND(60*1,0)&amp;"%"</f>
      </c>
    </row>
    <row x14ac:dyDescent="0.25" r="56" customHeight="1" ht="17.25">
      <c r="A56" s="17" t="s">
        <v>7939</v>
      </c>
      <c r="B56" s="17" t="s">
        <v>118</v>
      </c>
      <c r="C56" s="17" t="s">
        <v>114</v>
      </c>
      <c r="D56" s="17" t="s">
        <v>28</v>
      </c>
      <c r="E56" s="18">
        <f>ROUND(11831*1.05,2)</f>
      </c>
      <c r="F56" s="17" t="s">
        <v>29</v>
      </c>
      <c r="G56" s="17" t="s">
        <v>30</v>
      </c>
      <c r="H56" s="18">
        <f>ROUND(RAND()*4+6,1)</f>
      </c>
      <c r="I56" s="17" t="s">
        <v>31</v>
      </c>
      <c r="J56" s="19">
        <f>ROUND(83*1,0)&amp;"%"</f>
      </c>
    </row>
    <row x14ac:dyDescent="0.25" r="57" customHeight="1" ht="17.25">
      <c r="A57" s="20" t="s">
        <v>7940</v>
      </c>
      <c r="B57" s="20" t="s">
        <v>120</v>
      </c>
      <c r="C57" s="20" t="s">
        <v>114</v>
      </c>
      <c r="D57" s="20" t="s">
        <v>34</v>
      </c>
      <c r="E57" s="21">
        <f>ROUND(5630*1.05,2)</f>
      </c>
      <c r="F57" s="20" t="s">
        <v>35</v>
      </c>
      <c r="G57" s="20" t="s">
        <v>18</v>
      </c>
      <c r="H57" s="21">
        <f>ROUND(RAND()*4+6,1)</f>
      </c>
      <c r="I57" s="20" t="s">
        <v>36</v>
      </c>
      <c r="J57" s="23">
        <f>ROUND(82*1,0)&amp;"%"</f>
      </c>
    </row>
    <row x14ac:dyDescent="0.25" r="58" customHeight="1" ht="17.25">
      <c r="A58" s="17" t="s">
        <v>7941</v>
      </c>
      <c r="B58" s="17" t="s">
        <v>122</v>
      </c>
      <c r="C58" s="17" t="s">
        <v>114</v>
      </c>
      <c r="D58" s="17" t="s">
        <v>39</v>
      </c>
      <c r="E58" s="18">
        <f>ROUND(9415*1.05,2)</f>
      </c>
      <c r="F58" s="17" t="s">
        <v>40</v>
      </c>
      <c r="G58" s="17" t="s">
        <v>24</v>
      </c>
      <c r="H58" s="26">
        <f>ROUND(RAND()*4+6,1)</f>
      </c>
      <c r="I58" s="17" t="s">
        <v>41</v>
      </c>
      <c r="J58" s="19">
        <f>ROUND(81*1,0)&amp;"%"</f>
      </c>
    </row>
    <row x14ac:dyDescent="0.25" r="59" customHeight="1" ht="17.25">
      <c r="A59" s="20" t="s">
        <v>7942</v>
      </c>
      <c r="B59" s="20" t="s">
        <v>124</v>
      </c>
      <c r="C59" s="20" t="s">
        <v>114</v>
      </c>
      <c r="D59" s="20" t="s">
        <v>67</v>
      </c>
      <c r="E59" s="21">
        <f>ROUND(9819*1.05,2)</f>
      </c>
      <c r="F59" s="20" t="s">
        <v>44</v>
      </c>
      <c r="G59" s="20" t="s">
        <v>30</v>
      </c>
      <c r="H59" s="21">
        <f>ROUND(RAND()*4+6,1)</f>
      </c>
      <c r="I59" s="20" t="s">
        <v>45</v>
      </c>
      <c r="J59" s="23">
        <f>ROUND(73*1,0)&amp;"%"</f>
      </c>
    </row>
    <row x14ac:dyDescent="0.25" r="60" customHeight="1" ht="17.25">
      <c r="A60" s="17" t="s">
        <v>7943</v>
      </c>
      <c r="B60" s="17" t="s">
        <v>126</v>
      </c>
      <c r="C60" s="17" t="s">
        <v>114</v>
      </c>
      <c r="D60" s="17" t="s">
        <v>16</v>
      </c>
      <c r="E60" s="18">
        <f>ROUND(4835*1.05,2)</f>
      </c>
      <c r="F60" s="17" t="s">
        <v>48</v>
      </c>
      <c r="G60" s="17" t="s">
        <v>18</v>
      </c>
      <c r="H60" s="18">
        <f>ROUND(RAND()*4+6,1)</f>
      </c>
      <c r="I60" s="17" t="s">
        <v>19</v>
      </c>
      <c r="J60" s="19">
        <f>ROUND(60*1,0)&amp;"%"</f>
      </c>
    </row>
    <row x14ac:dyDescent="0.25" r="61" customHeight="1" ht="17.25">
      <c r="A61" s="20" t="s">
        <v>7944</v>
      </c>
      <c r="B61" s="20" t="s">
        <v>128</v>
      </c>
      <c r="C61" s="20" t="s">
        <v>114</v>
      </c>
      <c r="D61" s="20" t="s">
        <v>22</v>
      </c>
      <c r="E61" s="21">
        <f>ROUND(6291*1.05,2)</f>
      </c>
      <c r="F61" s="20" t="s">
        <v>51</v>
      </c>
      <c r="G61" s="20" t="s">
        <v>24</v>
      </c>
      <c r="H61" s="21">
        <f>ROUND(RAND()*4+6,1)</f>
      </c>
      <c r="I61" s="20" t="s">
        <v>25</v>
      </c>
      <c r="J61" s="23">
        <f>ROUND(92*1,0)&amp;"%"</f>
      </c>
    </row>
    <row x14ac:dyDescent="0.25" r="62" customHeight="1" ht="17.25">
      <c r="A62" s="24" t="s">
        <v>129</v>
      </c>
      <c r="B62" s="24"/>
      <c r="C62" s="24"/>
      <c r="D62" s="24"/>
      <c r="E62" s="25">
        <v>8</v>
      </c>
      <c r="F62" s="9"/>
      <c r="G62" s="9"/>
      <c r="H62" s="10"/>
      <c r="I62" s="9"/>
      <c r="J62" s="9"/>
    </row>
    <row x14ac:dyDescent="0.25" r="63" customHeight="1" ht="17.25">
      <c r="A63" s="7"/>
      <c r="B63" s="7"/>
      <c r="C63" s="7"/>
      <c r="D63" s="7"/>
      <c r="E63" s="8"/>
      <c r="F63" s="9"/>
      <c r="G63" s="9"/>
      <c r="H63" s="10"/>
      <c r="I63" s="9"/>
      <c r="J63" s="9"/>
    </row>
    <row x14ac:dyDescent="0.25" r="64" customHeight="1" ht="17.25">
      <c r="A64" s="11" t="s">
        <v>7945</v>
      </c>
      <c r="B64" s="11"/>
      <c r="C64" s="11"/>
      <c r="D64" s="11"/>
      <c r="E64" s="12"/>
      <c r="F64" s="11"/>
      <c r="G64" s="11"/>
      <c r="H64" s="13"/>
      <c r="I64" s="11"/>
      <c r="J64" s="11"/>
    </row>
    <row x14ac:dyDescent="0.25" r="65" customHeight="1" ht="17.25">
      <c r="A65" s="14" t="s">
        <v>3</v>
      </c>
      <c r="B65" s="14" t="s">
        <v>4</v>
      </c>
      <c r="C65" s="14" t="s">
        <v>5</v>
      </c>
      <c r="D65" s="14" t="s">
        <v>6</v>
      </c>
      <c r="E65" s="15" t="s">
        <v>7</v>
      </c>
      <c r="F65" s="14" t="s">
        <v>8</v>
      </c>
      <c r="G65" s="14" t="s">
        <v>9</v>
      </c>
      <c r="H65" s="16" t="s">
        <v>10</v>
      </c>
      <c r="I65" s="14" t="s">
        <v>11</v>
      </c>
      <c r="J65" s="14" t="s">
        <v>12</v>
      </c>
    </row>
    <row x14ac:dyDescent="0.25" r="66" customHeight="1" ht="17.25">
      <c r="A66" s="17" t="s">
        <v>7946</v>
      </c>
      <c r="B66" s="17" t="s">
        <v>132</v>
      </c>
      <c r="C66" s="17" t="s">
        <v>133</v>
      </c>
      <c r="D66" s="17" t="s">
        <v>16</v>
      </c>
      <c r="E66" s="18">
        <f>ROUND(16644*1.05,2)</f>
      </c>
      <c r="F66" s="17" t="s">
        <v>17</v>
      </c>
      <c r="G66" s="17" t="s">
        <v>18</v>
      </c>
      <c r="H66" s="18">
        <f>ROUND(RAND()*4+6,1)</f>
      </c>
      <c r="I66" s="17" t="s">
        <v>19</v>
      </c>
      <c r="J66" s="19">
        <f>ROUND(83*1,0)&amp;"%"</f>
      </c>
    </row>
    <row x14ac:dyDescent="0.25" r="67" customHeight="1" ht="17.25">
      <c r="A67" s="20" t="s">
        <v>7947</v>
      </c>
      <c r="B67" s="20" t="s">
        <v>135</v>
      </c>
      <c r="C67" s="20" t="s">
        <v>133</v>
      </c>
      <c r="D67" s="20" t="s">
        <v>22</v>
      </c>
      <c r="E67" s="21">
        <f>ROUND(10112*1.05,2)</f>
      </c>
      <c r="F67" s="20" t="s">
        <v>23</v>
      </c>
      <c r="G67" s="20" t="s">
        <v>24</v>
      </c>
      <c r="H67" s="21">
        <f>ROUND(RAND()*4+6,1)</f>
      </c>
      <c r="I67" s="20" t="s">
        <v>25</v>
      </c>
      <c r="J67" s="23">
        <f>ROUND(62*1,0)&amp;"%"</f>
      </c>
    </row>
    <row x14ac:dyDescent="0.25" r="68" customHeight="1" ht="17.25">
      <c r="A68" s="17" t="s">
        <v>7948</v>
      </c>
      <c r="B68" s="17" t="s">
        <v>137</v>
      </c>
      <c r="C68" s="17" t="s">
        <v>133</v>
      </c>
      <c r="D68" s="17" t="s">
        <v>28</v>
      </c>
      <c r="E68" s="18">
        <f>ROUND(5499*1.05,2)</f>
      </c>
      <c r="F68" s="17" t="s">
        <v>29</v>
      </c>
      <c r="G68" s="17" t="s">
        <v>30</v>
      </c>
      <c r="H68" s="18">
        <f>ROUND(RAND()*4+6,1)</f>
      </c>
      <c r="I68" s="17" t="s">
        <v>31</v>
      </c>
      <c r="J68" s="19">
        <f>ROUND(60*1,0)&amp;"%"</f>
      </c>
    </row>
    <row x14ac:dyDescent="0.25" r="69" customHeight="1" ht="17.25">
      <c r="A69" s="20" t="s">
        <v>7949</v>
      </c>
      <c r="B69" s="20" t="s">
        <v>139</v>
      </c>
      <c r="C69" s="20" t="s">
        <v>133</v>
      </c>
      <c r="D69" s="20" t="s">
        <v>34</v>
      </c>
      <c r="E69" s="21">
        <f>ROUND(10177*1.05,2)</f>
      </c>
      <c r="F69" s="20" t="s">
        <v>35</v>
      </c>
      <c r="G69" s="20" t="s">
        <v>18</v>
      </c>
      <c r="H69" s="21">
        <f>ROUND(RAND()*4+6,1)</f>
      </c>
      <c r="I69" s="20" t="s">
        <v>36</v>
      </c>
      <c r="J69" s="23">
        <f>ROUND(93*1,0)&amp;"%"</f>
      </c>
    </row>
    <row x14ac:dyDescent="0.25" r="70" customHeight="1" ht="17.25">
      <c r="A70" s="17" t="s">
        <v>7950</v>
      </c>
      <c r="B70" s="17" t="s">
        <v>141</v>
      </c>
      <c r="C70" s="17" t="s">
        <v>133</v>
      </c>
      <c r="D70" s="17" t="s">
        <v>39</v>
      </c>
      <c r="E70" s="18">
        <f>ROUND(13534*1.05,2)</f>
      </c>
      <c r="F70" s="17" t="s">
        <v>40</v>
      </c>
      <c r="G70" s="17" t="s">
        <v>24</v>
      </c>
      <c r="H70" s="26">
        <f>ROUND(RAND()*4+6,1)</f>
      </c>
      <c r="I70" s="17" t="s">
        <v>41</v>
      </c>
      <c r="J70" s="19">
        <f>ROUND(89*1,0)&amp;"%"</f>
      </c>
    </row>
    <row x14ac:dyDescent="0.25" r="71" customHeight="1" ht="17.25">
      <c r="A71" s="20" t="s">
        <v>7951</v>
      </c>
      <c r="B71" s="20" t="s">
        <v>143</v>
      </c>
      <c r="C71" s="20" t="s">
        <v>133</v>
      </c>
      <c r="D71" s="20" t="s">
        <v>67</v>
      </c>
      <c r="E71" s="21">
        <f>ROUND(4937*1.05,2)</f>
      </c>
      <c r="F71" s="20" t="s">
        <v>44</v>
      </c>
      <c r="G71" s="20" t="s">
        <v>30</v>
      </c>
      <c r="H71" s="21">
        <f>ROUND(RAND()*4+6,1)</f>
      </c>
      <c r="I71" s="20" t="s">
        <v>45</v>
      </c>
      <c r="J71" s="23">
        <f>ROUND(74*1,0)&amp;"%"</f>
      </c>
    </row>
    <row x14ac:dyDescent="0.25" r="72" customHeight="1" ht="17.25">
      <c r="A72" s="17" t="s">
        <v>7952</v>
      </c>
      <c r="B72" s="17" t="s">
        <v>145</v>
      </c>
      <c r="C72" s="17" t="s">
        <v>133</v>
      </c>
      <c r="D72" s="17" t="s">
        <v>16</v>
      </c>
      <c r="E72" s="18">
        <f>ROUND(7428*1.05,2)</f>
      </c>
      <c r="F72" s="17" t="s">
        <v>48</v>
      </c>
      <c r="G72" s="17" t="s">
        <v>18</v>
      </c>
      <c r="H72" s="18">
        <f>ROUND(RAND()*4+6,1)</f>
      </c>
      <c r="I72" s="17" t="s">
        <v>19</v>
      </c>
      <c r="J72" s="19">
        <f>ROUND(81*1,0)&amp;"%"</f>
      </c>
    </row>
    <row x14ac:dyDescent="0.25" r="73" customHeight="1" ht="17.25">
      <c r="A73" s="20" t="s">
        <v>7953</v>
      </c>
      <c r="B73" s="20" t="s">
        <v>147</v>
      </c>
      <c r="C73" s="20" t="s">
        <v>133</v>
      </c>
      <c r="D73" s="20" t="s">
        <v>22</v>
      </c>
      <c r="E73" s="21">
        <f>ROUND(10499*1.05,2)</f>
      </c>
      <c r="F73" s="20" t="s">
        <v>51</v>
      </c>
      <c r="G73" s="20" t="s">
        <v>24</v>
      </c>
      <c r="H73" s="21">
        <f>ROUND(RAND()*4+6,1)</f>
      </c>
      <c r="I73" s="20" t="s">
        <v>25</v>
      </c>
      <c r="J73" s="23">
        <f>ROUND(60*1,0)&amp;"%"</f>
      </c>
    </row>
    <row x14ac:dyDescent="0.25" r="74" customHeight="1" ht="17.25">
      <c r="A74" s="24" t="s">
        <v>148</v>
      </c>
      <c r="B74" s="24"/>
      <c r="C74" s="24"/>
      <c r="D74" s="24"/>
      <c r="E74" s="25">
        <v>8</v>
      </c>
      <c r="F74" s="9"/>
      <c r="G74" s="9"/>
      <c r="H74" s="10"/>
      <c r="I74" s="9"/>
      <c r="J74" s="9"/>
    </row>
    <row x14ac:dyDescent="0.25" r="75" customHeight="1" ht="17.25">
      <c r="A75" s="7"/>
      <c r="B75" s="7"/>
      <c r="C75" s="7"/>
      <c r="D75" s="7"/>
      <c r="E75" s="8"/>
      <c r="F75" s="9"/>
      <c r="G75" s="9"/>
      <c r="H75" s="10"/>
      <c r="I75" s="9"/>
      <c r="J75" s="9"/>
    </row>
    <row x14ac:dyDescent="0.25" r="76" customHeight="1" ht="17.25">
      <c r="A76" s="11" t="s">
        <v>7954</v>
      </c>
      <c r="B76" s="11"/>
      <c r="C76" s="11"/>
      <c r="D76" s="11"/>
      <c r="E76" s="12"/>
      <c r="F76" s="11"/>
      <c r="G76" s="11"/>
      <c r="H76" s="13"/>
      <c r="I76" s="11"/>
      <c r="J76" s="11"/>
    </row>
    <row x14ac:dyDescent="0.25" r="77" customHeight="1" ht="17.25">
      <c r="A77" s="14" t="s">
        <v>3</v>
      </c>
      <c r="B77" s="14" t="s">
        <v>4</v>
      </c>
      <c r="C77" s="14" t="s">
        <v>5</v>
      </c>
      <c r="D77" s="14" t="s">
        <v>6</v>
      </c>
      <c r="E77" s="15" t="s">
        <v>7</v>
      </c>
      <c r="F77" s="14" t="s">
        <v>8</v>
      </c>
      <c r="G77" s="14" t="s">
        <v>9</v>
      </c>
      <c r="H77" s="16" t="s">
        <v>10</v>
      </c>
      <c r="I77" s="14" t="s">
        <v>11</v>
      </c>
      <c r="J77" s="14" t="s">
        <v>12</v>
      </c>
    </row>
    <row x14ac:dyDescent="0.25" r="78" customHeight="1" ht="17.25">
      <c r="A78" s="17" t="s">
        <v>7955</v>
      </c>
      <c r="B78" s="17" t="s">
        <v>151</v>
      </c>
      <c r="C78" s="17" t="s">
        <v>152</v>
      </c>
      <c r="D78" s="17" t="s">
        <v>16</v>
      </c>
      <c r="E78" s="18">
        <f>ROUND(7107*1.05,2)</f>
      </c>
      <c r="F78" s="17" t="s">
        <v>17</v>
      </c>
      <c r="G78" s="17" t="s">
        <v>18</v>
      </c>
      <c r="H78" s="18">
        <f>ROUND(RAND()*4+6,1)</f>
      </c>
      <c r="I78" s="17" t="s">
        <v>19</v>
      </c>
      <c r="J78" s="19">
        <f>ROUND(95*1,0)&amp;"%"</f>
      </c>
    </row>
    <row x14ac:dyDescent="0.25" r="79" customHeight="1" ht="17.25">
      <c r="A79" s="20" t="s">
        <v>7956</v>
      </c>
      <c r="B79" s="20" t="s">
        <v>154</v>
      </c>
      <c r="C79" s="20" t="s">
        <v>152</v>
      </c>
      <c r="D79" s="20" t="s">
        <v>22</v>
      </c>
      <c r="E79" s="21">
        <f>ROUND(7745*1.05,2)</f>
      </c>
      <c r="F79" s="20" t="s">
        <v>23</v>
      </c>
      <c r="G79" s="20" t="s">
        <v>24</v>
      </c>
      <c r="H79" s="21">
        <f>ROUND(RAND()*4+6,1)</f>
      </c>
      <c r="I79" s="20" t="s">
        <v>25</v>
      </c>
      <c r="J79" s="23">
        <f>ROUND(73*1,0)&amp;"%"</f>
      </c>
    </row>
    <row x14ac:dyDescent="0.25" r="80" customHeight="1" ht="17.25">
      <c r="A80" s="17" t="s">
        <v>7957</v>
      </c>
      <c r="B80" s="17" t="s">
        <v>156</v>
      </c>
      <c r="C80" s="17" t="s">
        <v>152</v>
      </c>
      <c r="D80" s="17" t="s">
        <v>28</v>
      </c>
      <c r="E80" s="18">
        <f>ROUND(6835*1.05,2)</f>
      </c>
      <c r="F80" s="17" t="s">
        <v>29</v>
      </c>
      <c r="G80" s="17" t="s">
        <v>30</v>
      </c>
      <c r="H80" s="18">
        <f>ROUND(RAND()*4+6,1)</f>
      </c>
      <c r="I80" s="17" t="s">
        <v>31</v>
      </c>
      <c r="J80" s="19">
        <f>ROUND(63*1,0)&amp;"%"</f>
      </c>
    </row>
    <row x14ac:dyDescent="0.25" r="81" customHeight="1" ht="17.25">
      <c r="A81" s="20" t="s">
        <v>7958</v>
      </c>
      <c r="B81" s="20" t="s">
        <v>158</v>
      </c>
      <c r="C81" s="20" t="s">
        <v>152</v>
      </c>
      <c r="D81" s="20" t="s">
        <v>34</v>
      </c>
      <c r="E81" s="21">
        <f>ROUND(12870*1.05,2)</f>
      </c>
      <c r="F81" s="20" t="s">
        <v>35</v>
      </c>
      <c r="G81" s="20" t="s">
        <v>18</v>
      </c>
      <c r="H81" s="21">
        <f>ROUND(RAND()*4+6,1)</f>
      </c>
      <c r="I81" s="20" t="s">
        <v>36</v>
      </c>
      <c r="J81" s="23">
        <f>ROUND(78*1,0)&amp;"%"</f>
      </c>
    </row>
    <row x14ac:dyDescent="0.25" r="82" customHeight="1" ht="17.25">
      <c r="A82" s="17" t="s">
        <v>7959</v>
      </c>
      <c r="B82" s="17" t="s">
        <v>160</v>
      </c>
      <c r="C82" s="17" t="s">
        <v>152</v>
      </c>
      <c r="D82" s="17" t="s">
        <v>39</v>
      </c>
      <c r="E82" s="18">
        <f>ROUND(17964*1.05,2)</f>
      </c>
      <c r="F82" s="17" t="s">
        <v>40</v>
      </c>
      <c r="G82" s="17" t="s">
        <v>24</v>
      </c>
      <c r="H82" s="18">
        <f>ROUND(RAND()*4+6,1)</f>
      </c>
      <c r="I82" s="17" t="s">
        <v>41</v>
      </c>
      <c r="J82" s="19">
        <f>ROUND(86*1,0)&amp;"%"</f>
      </c>
    </row>
    <row x14ac:dyDescent="0.25" r="83" customHeight="1" ht="17.25">
      <c r="A83" s="20" t="s">
        <v>7960</v>
      </c>
      <c r="B83" s="20" t="s">
        <v>162</v>
      </c>
      <c r="C83" s="20" t="s">
        <v>152</v>
      </c>
      <c r="D83" s="20" t="s">
        <v>67</v>
      </c>
      <c r="E83" s="21">
        <f>ROUND(5722*1.05,2)</f>
      </c>
      <c r="F83" s="20" t="s">
        <v>44</v>
      </c>
      <c r="G83" s="20" t="s">
        <v>30</v>
      </c>
      <c r="H83" s="21">
        <f>ROUND(RAND()*4+6,1)</f>
      </c>
      <c r="I83" s="20" t="s">
        <v>45</v>
      </c>
      <c r="J83" s="23">
        <f>ROUND(70*1,0)&amp;"%"</f>
      </c>
    </row>
    <row x14ac:dyDescent="0.25" r="84" customHeight="1" ht="17.25">
      <c r="A84" s="17" t="s">
        <v>7961</v>
      </c>
      <c r="B84" s="17" t="s">
        <v>164</v>
      </c>
      <c r="C84" s="17" t="s">
        <v>152</v>
      </c>
      <c r="D84" s="17" t="s">
        <v>16</v>
      </c>
      <c r="E84" s="18">
        <f>ROUND(13987*1.05,2)</f>
      </c>
      <c r="F84" s="17" t="s">
        <v>48</v>
      </c>
      <c r="G84" s="17" t="s">
        <v>18</v>
      </c>
      <c r="H84" s="26">
        <f>ROUND(RAND()*4+6,1)</f>
      </c>
      <c r="I84" s="17" t="s">
        <v>19</v>
      </c>
      <c r="J84" s="19">
        <f>ROUND(87*1,0)&amp;"%"</f>
      </c>
    </row>
    <row x14ac:dyDescent="0.25" r="85" customHeight="1" ht="17.25">
      <c r="A85" s="20" t="s">
        <v>7962</v>
      </c>
      <c r="B85" s="20" t="s">
        <v>166</v>
      </c>
      <c r="C85" s="20" t="s">
        <v>152</v>
      </c>
      <c r="D85" s="20" t="s">
        <v>22</v>
      </c>
      <c r="E85" s="21">
        <f>ROUND(8363*1.05,2)</f>
      </c>
      <c r="F85" s="20" t="s">
        <v>51</v>
      </c>
      <c r="G85" s="20" t="s">
        <v>24</v>
      </c>
      <c r="H85" s="21">
        <f>ROUND(RAND()*4+6,1)</f>
      </c>
      <c r="I85" s="20" t="s">
        <v>25</v>
      </c>
      <c r="J85" s="23">
        <f>ROUND(75*1,0)&amp;"%"</f>
      </c>
    </row>
    <row x14ac:dyDescent="0.25" r="86" customHeight="1" ht="17.25">
      <c r="A86" s="24" t="s">
        <v>167</v>
      </c>
      <c r="B86" s="24"/>
      <c r="C86" s="24"/>
      <c r="D86" s="24"/>
      <c r="E86" s="25">
        <v>8</v>
      </c>
      <c r="F86" s="9"/>
      <c r="G86" s="9"/>
      <c r="H86" s="10"/>
      <c r="I86" s="9"/>
      <c r="J86" s="9"/>
    </row>
    <row x14ac:dyDescent="0.25" r="87" customHeight="1" ht="17.25">
      <c r="A87" s="7"/>
      <c r="B87" s="7"/>
      <c r="C87" s="7"/>
      <c r="D87" s="7"/>
      <c r="E87" s="8"/>
      <c r="F87" s="9"/>
      <c r="G87" s="9"/>
      <c r="H87" s="10"/>
      <c r="I87" s="9"/>
      <c r="J87" s="9"/>
    </row>
    <row x14ac:dyDescent="0.25" r="88" customHeight="1" ht="17.25">
      <c r="A88" s="11" t="s">
        <v>7963</v>
      </c>
      <c r="B88" s="11"/>
      <c r="C88" s="11"/>
      <c r="D88" s="11"/>
      <c r="E88" s="12"/>
      <c r="F88" s="11"/>
      <c r="G88" s="11"/>
      <c r="H88" s="13"/>
      <c r="I88" s="11"/>
      <c r="J88" s="11"/>
    </row>
    <row x14ac:dyDescent="0.25" r="89" customHeight="1" ht="17.25">
      <c r="A89" s="14" t="s">
        <v>3</v>
      </c>
      <c r="B89" s="14" t="s">
        <v>4</v>
      </c>
      <c r="C89" s="14" t="s">
        <v>5</v>
      </c>
      <c r="D89" s="14" t="s">
        <v>6</v>
      </c>
      <c r="E89" s="15" t="s">
        <v>7</v>
      </c>
      <c r="F89" s="14" t="s">
        <v>8</v>
      </c>
      <c r="G89" s="14" t="s">
        <v>9</v>
      </c>
      <c r="H89" s="16" t="s">
        <v>10</v>
      </c>
      <c r="I89" s="14" t="s">
        <v>11</v>
      </c>
      <c r="J89" s="14" t="s">
        <v>12</v>
      </c>
    </row>
    <row x14ac:dyDescent="0.25" r="90" customHeight="1" ht="17.25">
      <c r="A90" s="17" t="s">
        <v>7964</v>
      </c>
      <c r="B90" s="17" t="s">
        <v>170</v>
      </c>
      <c r="C90" s="17" t="s">
        <v>15</v>
      </c>
      <c r="D90" s="17" t="s">
        <v>16</v>
      </c>
      <c r="E90" s="26">
        <f>ROUND(11740*1.05,2)</f>
      </c>
      <c r="F90" s="17" t="s">
        <v>17</v>
      </c>
      <c r="G90" s="17" t="s">
        <v>18</v>
      </c>
      <c r="H90" s="18">
        <f>ROUND(RAND()*4+6,1)</f>
      </c>
      <c r="I90" s="17" t="s">
        <v>19</v>
      </c>
      <c r="J90" s="19">
        <f>ROUND(99*1,0)&amp;"%"</f>
      </c>
    </row>
    <row x14ac:dyDescent="0.25" r="91" customHeight="1" ht="17.25">
      <c r="A91" s="20" t="s">
        <v>7965</v>
      </c>
      <c r="B91" s="20" t="s">
        <v>172</v>
      </c>
      <c r="C91" s="20" t="s">
        <v>15</v>
      </c>
      <c r="D91" s="20" t="s">
        <v>22</v>
      </c>
      <c r="E91" s="21">
        <f>ROUND(8057*1.05,2)</f>
      </c>
      <c r="F91" s="20" t="s">
        <v>23</v>
      </c>
      <c r="G91" s="20" t="s">
        <v>24</v>
      </c>
      <c r="H91" s="21">
        <f>ROUND(RAND()*4+6,1)</f>
      </c>
      <c r="I91" s="20" t="s">
        <v>25</v>
      </c>
      <c r="J91" s="23">
        <f>ROUND(95*1,0)&amp;"%"</f>
      </c>
    </row>
    <row x14ac:dyDescent="0.25" r="92" customHeight="1" ht="17.25">
      <c r="A92" s="17" t="s">
        <v>7966</v>
      </c>
      <c r="B92" s="17" t="s">
        <v>174</v>
      </c>
      <c r="C92" s="17" t="s">
        <v>15</v>
      </c>
      <c r="D92" s="17" t="s">
        <v>28</v>
      </c>
      <c r="E92" s="18">
        <f>ROUND(14426*1.05,2)</f>
      </c>
      <c r="F92" s="17" t="s">
        <v>29</v>
      </c>
      <c r="G92" s="17" t="s">
        <v>30</v>
      </c>
      <c r="H92" s="18">
        <f>ROUND(RAND()*4+6,1)</f>
      </c>
      <c r="I92" s="17" t="s">
        <v>31</v>
      </c>
      <c r="J92" s="19">
        <f>ROUND(96*1,0)&amp;"%"</f>
      </c>
    </row>
    <row x14ac:dyDescent="0.25" r="93" customHeight="1" ht="17.25">
      <c r="A93" s="20" t="s">
        <v>7967</v>
      </c>
      <c r="B93" s="20" t="s">
        <v>176</v>
      </c>
      <c r="C93" s="20" t="s">
        <v>15</v>
      </c>
      <c r="D93" s="20" t="s">
        <v>34</v>
      </c>
      <c r="E93" s="21">
        <f>ROUND(4869*1.05,2)</f>
      </c>
      <c r="F93" s="20" t="s">
        <v>35</v>
      </c>
      <c r="G93" s="20" t="s">
        <v>18</v>
      </c>
      <c r="H93" s="21">
        <f>ROUND(RAND()*4+6,1)</f>
      </c>
      <c r="I93" s="20" t="s">
        <v>36</v>
      </c>
      <c r="J93" s="23">
        <f>ROUND(97*1,0)&amp;"%"</f>
      </c>
    </row>
    <row x14ac:dyDescent="0.25" r="94" customHeight="1" ht="17.25">
      <c r="A94" s="17" t="s">
        <v>7968</v>
      </c>
      <c r="B94" s="17" t="s">
        <v>178</v>
      </c>
      <c r="C94" s="17" t="s">
        <v>15</v>
      </c>
      <c r="D94" s="17" t="s">
        <v>39</v>
      </c>
      <c r="E94" s="18">
        <f>ROUND(7442*1.05,2)</f>
      </c>
      <c r="F94" s="17" t="s">
        <v>40</v>
      </c>
      <c r="G94" s="17" t="s">
        <v>24</v>
      </c>
      <c r="H94" s="26">
        <f>ROUND(RAND()*4+6,1)</f>
      </c>
      <c r="I94" s="17" t="s">
        <v>41</v>
      </c>
      <c r="J94" s="19">
        <f>ROUND(62*1,0)&amp;"%"</f>
      </c>
    </row>
    <row x14ac:dyDescent="0.25" r="95" customHeight="1" ht="17.25">
      <c r="A95" s="20" t="s">
        <v>7969</v>
      </c>
      <c r="B95" s="20" t="s">
        <v>180</v>
      </c>
      <c r="C95" s="20" t="s">
        <v>15</v>
      </c>
      <c r="D95" s="20" t="s">
        <v>67</v>
      </c>
      <c r="E95" s="21">
        <f>ROUND(13017*1.05,2)</f>
      </c>
      <c r="F95" s="20" t="s">
        <v>44</v>
      </c>
      <c r="G95" s="20" t="s">
        <v>30</v>
      </c>
      <c r="H95" s="21">
        <f>ROUND(RAND()*4+6,1)</f>
      </c>
      <c r="I95" s="20" t="s">
        <v>45</v>
      </c>
      <c r="J95" s="23">
        <f>ROUND(88*1,0)&amp;"%"</f>
      </c>
    </row>
    <row x14ac:dyDescent="0.25" r="96" customHeight="1" ht="17.25">
      <c r="A96" s="17" t="s">
        <v>7970</v>
      </c>
      <c r="B96" s="17" t="s">
        <v>182</v>
      </c>
      <c r="C96" s="17" t="s">
        <v>15</v>
      </c>
      <c r="D96" s="17" t="s">
        <v>16</v>
      </c>
      <c r="E96" s="18">
        <f>ROUND(12562*1.05,2)</f>
      </c>
      <c r="F96" s="17" t="s">
        <v>48</v>
      </c>
      <c r="G96" s="17" t="s">
        <v>18</v>
      </c>
      <c r="H96" s="18">
        <f>ROUND(RAND()*4+6,1)</f>
      </c>
      <c r="I96" s="17" t="s">
        <v>19</v>
      </c>
      <c r="J96" s="19">
        <f>ROUND(77*1,0)&amp;"%"</f>
      </c>
    </row>
    <row x14ac:dyDescent="0.25" r="97" customHeight="1" ht="17.25">
      <c r="A97" s="20" t="s">
        <v>7971</v>
      </c>
      <c r="B97" s="20" t="s">
        <v>184</v>
      </c>
      <c r="C97" s="20" t="s">
        <v>15</v>
      </c>
      <c r="D97" s="20" t="s">
        <v>22</v>
      </c>
      <c r="E97" s="21">
        <f>ROUND(8767*1.05,2)</f>
      </c>
      <c r="F97" s="20" t="s">
        <v>51</v>
      </c>
      <c r="G97" s="20" t="s">
        <v>24</v>
      </c>
      <c r="H97" s="21">
        <f>ROUND(RAND()*4+6,1)</f>
      </c>
      <c r="I97" s="20" t="s">
        <v>25</v>
      </c>
      <c r="J97" s="23">
        <f>ROUND(90*1,0)&amp;"%"</f>
      </c>
    </row>
    <row x14ac:dyDescent="0.25" r="98" customHeight="1" ht="17.25">
      <c r="A98" s="24" t="s">
        <v>185</v>
      </c>
      <c r="B98" s="24"/>
      <c r="C98" s="24"/>
      <c r="D98" s="24"/>
      <c r="E98" s="25">
        <v>8</v>
      </c>
      <c r="F98" s="9"/>
      <c r="G98" s="9"/>
      <c r="H98" s="10"/>
      <c r="I98" s="9"/>
      <c r="J98" s="9"/>
    </row>
    <row x14ac:dyDescent="0.25" r="99" customHeight="1" ht="17.25">
      <c r="A99" s="7"/>
      <c r="B99" s="7"/>
      <c r="C99" s="7"/>
      <c r="D99" s="7"/>
      <c r="E99" s="8"/>
      <c r="F99" s="9"/>
      <c r="G99" s="9"/>
      <c r="H99" s="10"/>
      <c r="I99" s="9"/>
      <c r="J99" s="9"/>
    </row>
    <row x14ac:dyDescent="0.25" r="100" customHeight="1" ht="17.25">
      <c r="A100" s="11" t="s">
        <v>7972</v>
      </c>
      <c r="B100" s="11"/>
      <c r="C100" s="11"/>
      <c r="D100" s="11"/>
      <c r="E100" s="12"/>
      <c r="F100" s="11"/>
      <c r="G100" s="11"/>
      <c r="H100" s="13"/>
      <c r="I100" s="11"/>
      <c r="J100" s="11"/>
    </row>
    <row x14ac:dyDescent="0.25" r="101" customHeight="1" ht="17.25">
      <c r="A101" s="14" t="s">
        <v>3</v>
      </c>
      <c r="B101" s="14" t="s">
        <v>4</v>
      </c>
      <c r="C101" s="14" t="s">
        <v>5</v>
      </c>
      <c r="D101" s="14" t="s">
        <v>6</v>
      </c>
      <c r="E101" s="15" t="s">
        <v>7</v>
      </c>
      <c r="F101" s="14" t="s">
        <v>8</v>
      </c>
      <c r="G101" s="14" t="s">
        <v>9</v>
      </c>
      <c r="H101" s="16" t="s">
        <v>10</v>
      </c>
      <c r="I101" s="14" t="s">
        <v>11</v>
      </c>
      <c r="J101" s="14" t="s">
        <v>12</v>
      </c>
    </row>
    <row x14ac:dyDescent="0.25" r="102" customHeight="1" ht="17.25">
      <c r="A102" s="17" t="s">
        <v>7973</v>
      </c>
      <c r="B102" s="17" t="s">
        <v>188</v>
      </c>
      <c r="C102" s="17" t="s">
        <v>56</v>
      </c>
      <c r="D102" s="17" t="s">
        <v>16</v>
      </c>
      <c r="E102" s="18">
        <f>ROUND(15486*1.05,2)</f>
      </c>
      <c r="F102" s="17" t="s">
        <v>17</v>
      </c>
      <c r="G102" s="17" t="s">
        <v>18</v>
      </c>
      <c r="H102" s="18">
        <f>ROUND(RAND()*4+6,1)</f>
      </c>
      <c r="I102" s="17" t="s">
        <v>19</v>
      </c>
      <c r="J102" s="19">
        <f>ROUND(81*1,0)&amp;"%"</f>
      </c>
    </row>
    <row x14ac:dyDescent="0.25" r="103" customHeight="1" ht="17.25">
      <c r="A103" s="20" t="s">
        <v>7974</v>
      </c>
      <c r="B103" s="20" t="s">
        <v>190</v>
      </c>
      <c r="C103" s="20" t="s">
        <v>56</v>
      </c>
      <c r="D103" s="20" t="s">
        <v>22</v>
      </c>
      <c r="E103" s="21">
        <f>ROUND(13107*1.05,2)</f>
      </c>
      <c r="F103" s="20" t="s">
        <v>23</v>
      </c>
      <c r="G103" s="20" t="s">
        <v>24</v>
      </c>
      <c r="H103" s="21">
        <f>ROUND(RAND()*4+6,1)</f>
      </c>
      <c r="I103" s="20" t="s">
        <v>25</v>
      </c>
      <c r="J103" s="23">
        <f>ROUND(91*1,0)&amp;"%"</f>
      </c>
    </row>
    <row x14ac:dyDescent="0.25" r="104" customHeight="1" ht="17.25">
      <c r="A104" s="17" t="s">
        <v>7975</v>
      </c>
      <c r="B104" s="17" t="s">
        <v>192</v>
      </c>
      <c r="C104" s="17" t="s">
        <v>56</v>
      </c>
      <c r="D104" s="17" t="s">
        <v>28</v>
      </c>
      <c r="E104" s="18">
        <f>ROUND(16802*1.05,2)</f>
      </c>
      <c r="F104" s="17" t="s">
        <v>29</v>
      </c>
      <c r="G104" s="17" t="s">
        <v>30</v>
      </c>
      <c r="H104" s="18">
        <f>ROUND(RAND()*4+6,1)</f>
      </c>
      <c r="I104" s="17" t="s">
        <v>31</v>
      </c>
      <c r="J104" s="19">
        <f>ROUND(60*1,0)&amp;"%"</f>
      </c>
    </row>
    <row x14ac:dyDescent="0.25" r="105" customHeight="1" ht="17.25">
      <c r="A105" s="20" t="s">
        <v>7976</v>
      </c>
      <c r="B105" s="20" t="s">
        <v>194</v>
      </c>
      <c r="C105" s="20" t="s">
        <v>56</v>
      </c>
      <c r="D105" s="20" t="s">
        <v>34</v>
      </c>
      <c r="E105" s="21">
        <f>ROUND(10002*1.05,2)</f>
      </c>
      <c r="F105" s="20" t="s">
        <v>35</v>
      </c>
      <c r="G105" s="20" t="s">
        <v>18</v>
      </c>
      <c r="H105" s="21">
        <f>ROUND(RAND()*4+6,1)</f>
      </c>
      <c r="I105" s="20" t="s">
        <v>36</v>
      </c>
      <c r="J105" s="23">
        <f>ROUND(85*1,0)&amp;"%"</f>
      </c>
    </row>
    <row x14ac:dyDescent="0.25" r="106" customHeight="1" ht="17.25">
      <c r="A106" s="17" t="s">
        <v>7977</v>
      </c>
      <c r="B106" s="17" t="s">
        <v>196</v>
      </c>
      <c r="C106" s="17" t="s">
        <v>56</v>
      </c>
      <c r="D106" s="17" t="s">
        <v>39</v>
      </c>
      <c r="E106" s="18">
        <f>ROUND(4167*1.05,2)</f>
      </c>
      <c r="F106" s="17" t="s">
        <v>40</v>
      </c>
      <c r="G106" s="17" t="s">
        <v>24</v>
      </c>
      <c r="H106" s="18">
        <f>ROUND(RAND()*4+6,1)</f>
      </c>
      <c r="I106" s="17" t="s">
        <v>41</v>
      </c>
      <c r="J106" s="19">
        <f>ROUND(80*1,0)&amp;"%"</f>
      </c>
    </row>
    <row x14ac:dyDescent="0.25" r="107" customHeight="1" ht="17.25">
      <c r="A107" s="20" t="s">
        <v>7978</v>
      </c>
      <c r="B107" s="20" t="s">
        <v>198</v>
      </c>
      <c r="C107" s="20" t="s">
        <v>56</v>
      </c>
      <c r="D107" s="20" t="s">
        <v>67</v>
      </c>
      <c r="E107" s="22">
        <f>ROUND(12920*1.05,2)</f>
      </c>
      <c r="F107" s="20" t="s">
        <v>44</v>
      </c>
      <c r="G107" s="20" t="s">
        <v>30</v>
      </c>
      <c r="H107" s="21">
        <f>ROUND(RAND()*4+6,1)</f>
      </c>
      <c r="I107" s="20" t="s">
        <v>45</v>
      </c>
      <c r="J107" s="23">
        <f>ROUND(64*1,0)&amp;"%"</f>
      </c>
    </row>
    <row x14ac:dyDescent="0.25" r="108" customHeight="1" ht="17.25">
      <c r="A108" s="17" t="s">
        <v>7979</v>
      </c>
      <c r="B108" s="17" t="s">
        <v>200</v>
      </c>
      <c r="C108" s="17" t="s">
        <v>56</v>
      </c>
      <c r="D108" s="17" t="s">
        <v>16</v>
      </c>
      <c r="E108" s="18">
        <f>ROUND(4382*1.05,2)</f>
      </c>
      <c r="F108" s="17" t="s">
        <v>48</v>
      </c>
      <c r="G108" s="17" t="s">
        <v>18</v>
      </c>
      <c r="H108" s="18">
        <f>ROUND(RAND()*4+6,1)</f>
      </c>
      <c r="I108" s="17" t="s">
        <v>19</v>
      </c>
      <c r="J108" s="19">
        <f>ROUND(91*1,0)&amp;"%"</f>
      </c>
    </row>
    <row x14ac:dyDescent="0.25" r="109" customHeight="1" ht="17.25">
      <c r="A109" s="20" t="s">
        <v>7980</v>
      </c>
      <c r="B109" s="20" t="s">
        <v>202</v>
      </c>
      <c r="C109" s="20" t="s">
        <v>56</v>
      </c>
      <c r="D109" s="20" t="s">
        <v>22</v>
      </c>
      <c r="E109" s="21">
        <f>ROUND(16829*1.05,2)</f>
      </c>
      <c r="F109" s="20" t="s">
        <v>51</v>
      </c>
      <c r="G109" s="20" t="s">
        <v>24</v>
      </c>
      <c r="H109" s="22">
        <f>ROUND(RAND()*4+6,1)</f>
      </c>
      <c r="I109" s="20" t="s">
        <v>25</v>
      </c>
      <c r="J109" s="23">
        <f>ROUND(76*1,0)&amp;"%"</f>
      </c>
    </row>
    <row x14ac:dyDescent="0.25" r="110" customHeight="1" ht="17.25">
      <c r="A110" s="24" t="s">
        <v>203</v>
      </c>
      <c r="B110" s="24"/>
      <c r="C110" s="24"/>
      <c r="D110" s="24"/>
      <c r="E110" s="25">
        <v>8</v>
      </c>
      <c r="F110" s="9"/>
      <c r="G110" s="9"/>
      <c r="H110" s="10"/>
      <c r="I110" s="9"/>
      <c r="J110" s="9"/>
    </row>
    <row x14ac:dyDescent="0.25" r="111" customHeight="1" ht="17.25">
      <c r="A111" s="7"/>
      <c r="B111" s="7"/>
      <c r="C111" s="7"/>
      <c r="D111" s="7"/>
      <c r="E111" s="8"/>
      <c r="F111" s="9"/>
      <c r="G111" s="9"/>
      <c r="H111" s="10"/>
      <c r="I111" s="9"/>
      <c r="J111" s="9"/>
    </row>
    <row x14ac:dyDescent="0.25" r="112" customHeight="1" ht="17.25">
      <c r="A112" s="11" t="s">
        <v>7981</v>
      </c>
      <c r="B112" s="11"/>
      <c r="C112" s="11"/>
      <c r="D112" s="11"/>
      <c r="E112" s="12"/>
      <c r="F112" s="11"/>
      <c r="G112" s="11"/>
      <c r="H112" s="13"/>
      <c r="I112" s="11"/>
      <c r="J112" s="11"/>
    </row>
    <row x14ac:dyDescent="0.25" r="113" customHeight="1" ht="17.25">
      <c r="A113" s="14" t="s">
        <v>3</v>
      </c>
      <c r="B113" s="14" t="s">
        <v>4</v>
      </c>
      <c r="C113" s="14" t="s">
        <v>5</v>
      </c>
      <c r="D113" s="14" t="s">
        <v>6</v>
      </c>
      <c r="E113" s="15" t="s">
        <v>7</v>
      </c>
      <c r="F113" s="14" t="s">
        <v>8</v>
      </c>
      <c r="G113" s="14" t="s">
        <v>9</v>
      </c>
      <c r="H113" s="16" t="s">
        <v>10</v>
      </c>
      <c r="I113" s="14" t="s">
        <v>11</v>
      </c>
      <c r="J113" s="14" t="s">
        <v>12</v>
      </c>
    </row>
    <row x14ac:dyDescent="0.25" r="114" customHeight="1" ht="17.25">
      <c r="A114" s="17" t="s">
        <v>7982</v>
      </c>
      <c r="B114" s="17" t="s">
        <v>206</v>
      </c>
      <c r="C114" s="17" t="s">
        <v>76</v>
      </c>
      <c r="D114" s="17" t="s">
        <v>16</v>
      </c>
      <c r="E114" s="18">
        <f>ROUND(11786*1.05,2)</f>
      </c>
      <c r="F114" s="17" t="s">
        <v>17</v>
      </c>
      <c r="G114" s="17" t="s">
        <v>18</v>
      </c>
      <c r="H114" s="18">
        <f>ROUND(RAND()*4+6,1)</f>
      </c>
      <c r="I114" s="17" t="s">
        <v>19</v>
      </c>
      <c r="J114" s="19">
        <f>ROUND(99*1,0)&amp;"%"</f>
      </c>
    </row>
    <row x14ac:dyDescent="0.25" r="115" customHeight="1" ht="17.25">
      <c r="A115" s="20" t="s">
        <v>7983</v>
      </c>
      <c r="B115" s="20" t="s">
        <v>208</v>
      </c>
      <c r="C115" s="20" t="s">
        <v>76</v>
      </c>
      <c r="D115" s="20" t="s">
        <v>22</v>
      </c>
      <c r="E115" s="21">
        <f>ROUND(9883*1.05,2)</f>
      </c>
      <c r="F115" s="20" t="s">
        <v>23</v>
      </c>
      <c r="G115" s="20" t="s">
        <v>24</v>
      </c>
      <c r="H115" s="22">
        <f>ROUND(RAND()*4+6,1)</f>
      </c>
      <c r="I115" s="20" t="s">
        <v>25</v>
      </c>
      <c r="J115" s="23">
        <f>ROUND(91*1,0)&amp;"%"</f>
      </c>
    </row>
    <row x14ac:dyDescent="0.25" r="116" customHeight="1" ht="17.25">
      <c r="A116" s="17" t="s">
        <v>7984</v>
      </c>
      <c r="B116" s="17" t="s">
        <v>210</v>
      </c>
      <c r="C116" s="17" t="s">
        <v>76</v>
      </c>
      <c r="D116" s="17" t="s">
        <v>28</v>
      </c>
      <c r="E116" s="18">
        <f>ROUND(15917*1.05,2)</f>
      </c>
      <c r="F116" s="17" t="s">
        <v>29</v>
      </c>
      <c r="G116" s="17" t="s">
        <v>30</v>
      </c>
      <c r="H116" s="26">
        <f>ROUND(RAND()*4+6,1)</f>
      </c>
      <c r="I116" s="17" t="s">
        <v>31</v>
      </c>
      <c r="J116" s="19">
        <f>ROUND(61*1,0)&amp;"%"</f>
      </c>
    </row>
    <row x14ac:dyDescent="0.25" r="117" customHeight="1" ht="17.25">
      <c r="A117" s="20" t="s">
        <v>7985</v>
      </c>
      <c r="B117" s="20" t="s">
        <v>212</v>
      </c>
      <c r="C117" s="20" t="s">
        <v>76</v>
      </c>
      <c r="D117" s="20" t="s">
        <v>34</v>
      </c>
      <c r="E117" s="21">
        <f>ROUND(14051*1.05,2)</f>
      </c>
      <c r="F117" s="20" t="s">
        <v>35</v>
      </c>
      <c r="G117" s="20" t="s">
        <v>18</v>
      </c>
      <c r="H117" s="21">
        <f>ROUND(RAND()*4+6,1)</f>
      </c>
      <c r="I117" s="20" t="s">
        <v>36</v>
      </c>
      <c r="J117" s="23">
        <f>ROUND(70*1,0)&amp;"%"</f>
      </c>
    </row>
    <row x14ac:dyDescent="0.25" r="118" customHeight="1" ht="17.25">
      <c r="A118" s="17" t="s">
        <v>7986</v>
      </c>
      <c r="B118" s="17" t="s">
        <v>214</v>
      </c>
      <c r="C118" s="17" t="s">
        <v>76</v>
      </c>
      <c r="D118" s="17" t="s">
        <v>39</v>
      </c>
      <c r="E118" s="18">
        <f>ROUND(16547*1.05,2)</f>
      </c>
      <c r="F118" s="17" t="s">
        <v>40</v>
      </c>
      <c r="G118" s="17" t="s">
        <v>24</v>
      </c>
      <c r="H118" s="18">
        <f>ROUND(RAND()*4+6,1)</f>
      </c>
      <c r="I118" s="17" t="s">
        <v>41</v>
      </c>
      <c r="J118" s="19">
        <f>ROUND(82*1,0)&amp;"%"</f>
      </c>
    </row>
    <row x14ac:dyDescent="0.25" r="119" customHeight="1" ht="17.25">
      <c r="A119" s="20" t="s">
        <v>7987</v>
      </c>
      <c r="B119" s="20" t="s">
        <v>216</v>
      </c>
      <c r="C119" s="20" t="s">
        <v>76</v>
      </c>
      <c r="D119" s="20" t="s">
        <v>67</v>
      </c>
      <c r="E119" s="21">
        <f>ROUND(11271*1.05,2)</f>
      </c>
      <c r="F119" s="20" t="s">
        <v>44</v>
      </c>
      <c r="G119" s="20" t="s">
        <v>30</v>
      </c>
      <c r="H119" s="21">
        <f>ROUND(RAND()*4+6,1)</f>
      </c>
      <c r="I119" s="20" t="s">
        <v>45</v>
      </c>
      <c r="J119" s="23">
        <f>ROUND(71*1,0)&amp;"%"</f>
      </c>
    </row>
    <row x14ac:dyDescent="0.25" r="120" customHeight="1" ht="17.25">
      <c r="A120" s="17" t="s">
        <v>7988</v>
      </c>
      <c r="B120" s="17" t="s">
        <v>218</v>
      </c>
      <c r="C120" s="17" t="s">
        <v>76</v>
      </c>
      <c r="D120" s="17" t="s">
        <v>16</v>
      </c>
      <c r="E120" s="18">
        <f>ROUND(5054*1.05,2)</f>
      </c>
      <c r="F120" s="17" t="s">
        <v>48</v>
      </c>
      <c r="G120" s="17" t="s">
        <v>18</v>
      </c>
      <c r="H120" s="18">
        <f>ROUND(RAND()*4+6,1)</f>
      </c>
      <c r="I120" s="17" t="s">
        <v>19</v>
      </c>
      <c r="J120" s="19">
        <f>ROUND(71*1,0)&amp;"%"</f>
      </c>
    </row>
    <row x14ac:dyDescent="0.25" r="121" customHeight="1" ht="17.25">
      <c r="A121" s="20" t="s">
        <v>7989</v>
      </c>
      <c r="B121" s="20" t="s">
        <v>220</v>
      </c>
      <c r="C121" s="20" t="s">
        <v>76</v>
      </c>
      <c r="D121" s="20" t="s">
        <v>22</v>
      </c>
      <c r="E121" s="21">
        <f>ROUND(6814*1.05,2)</f>
      </c>
      <c r="F121" s="20" t="s">
        <v>51</v>
      </c>
      <c r="G121" s="20" t="s">
        <v>24</v>
      </c>
      <c r="H121" s="21">
        <f>ROUND(RAND()*4+6,1)</f>
      </c>
      <c r="I121" s="20" t="s">
        <v>25</v>
      </c>
      <c r="J121" s="23">
        <f>ROUND(97*1,0)&amp;"%"</f>
      </c>
    </row>
    <row x14ac:dyDescent="0.25" r="122" customHeight="1" ht="17.25">
      <c r="A122" s="24" t="s">
        <v>221</v>
      </c>
      <c r="B122" s="24"/>
      <c r="C122" s="24"/>
      <c r="D122" s="24"/>
      <c r="E122" s="25">
        <v>8</v>
      </c>
      <c r="F122" s="9"/>
      <c r="G122" s="9"/>
      <c r="H122" s="10"/>
      <c r="I122" s="9"/>
      <c r="J122" s="9"/>
    </row>
    <row x14ac:dyDescent="0.25" r="123" customHeight="1" ht="17.25">
      <c r="A123" s="7"/>
      <c r="B123" s="7"/>
      <c r="C123" s="7"/>
      <c r="D123" s="7"/>
      <c r="E123" s="8"/>
      <c r="F123" s="9"/>
      <c r="G123" s="9"/>
      <c r="H123" s="10"/>
      <c r="I123" s="9"/>
      <c r="J123" s="9"/>
    </row>
    <row x14ac:dyDescent="0.25" r="124" customHeight="1" ht="17.25">
      <c r="A124" s="11" t="s">
        <v>7990</v>
      </c>
      <c r="B124" s="11"/>
      <c r="C124" s="11"/>
      <c r="D124" s="11"/>
      <c r="E124" s="12"/>
      <c r="F124" s="11"/>
      <c r="G124" s="11"/>
      <c r="H124" s="13"/>
      <c r="I124" s="11"/>
      <c r="J124" s="11"/>
    </row>
    <row x14ac:dyDescent="0.25" r="125" customHeight="1" ht="17.25">
      <c r="A125" s="14" t="s">
        <v>3</v>
      </c>
      <c r="B125" s="14" t="s">
        <v>4</v>
      </c>
      <c r="C125" s="14" t="s">
        <v>5</v>
      </c>
      <c r="D125" s="14" t="s">
        <v>6</v>
      </c>
      <c r="E125" s="15" t="s">
        <v>7</v>
      </c>
      <c r="F125" s="14" t="s">
        <v>8</v>
      </c>
      <c r="G125" s="14" t="s">
        <v>9</v>
      </c>
      <c r="H125" s="16" t="s">
        <v>10</v>
      </c>
      <c r="I125" s="14" t="s">
        <v>11</v>
      </c>
      <c r="J125" s="14" t="s">
        <v>12</v>
      </c>
    </row>
    <row x14ac:dyDescent="0.25" r="126" customHeight="1" ht="17.25">
      <c r="A126" s="17" t="s">
        <v>7991</v>
      </c>
      <c r="B126" s="17" t="s">
        <v>224</v>
      </c>
      <c r="C126" s="17" t="s">
        <v>95</v>
      </c>
      <c r="D126" s="17" t="s">
        <v>16</v>
      </c>
      <c r="E126" s="18">
        <f>ROUND(4803*1.05,2)</f>
      </c>
      <c r="F126" s="17" t="s">
        <v>17</v>
      </c>
      <c r="G126" s="17" t="s">
        <v>18</v>
      </c>
      <c r="H126" s="18">
        <f>ROUND(RAND()*4+6,1)</f>
      </c>
      <c r="I126" s="17" t="s">
        <v>19</v>
      </c>
      <c r="J126" s="19">
        <f>ROUND(73*1,0)&amp;"%"</f>
      </c>
    </row>
    <row x14ac:dyDescent="0.25" r="127" customHeight="1" ht="17.25">
      <c r="A127" s="20" t="s">
        <v>7992</v>
      </c>
      <c r="B127" s="20" t="s">
        <v>226</v>
      </c>
      <c r="C127" s="20" t="s">
        <v>95</v>
      </c>
      <c r="D127" s="20" t="s">
        <v>22</v>
      </c>
      <c r="E127" s="21">
        <f>ROUND(8037*1.05,2)</f>
      </c>
      <c r="F127" s="20" t="s">
        <v>23</v>
      </c>
      <c r="G127" s="20" t="s">
        <v>24</v>
      </c>
      <c r="H127" s="21">
        <f>ROUND(RAND()*4+6,1)</f>
      </c>
      <c r="I127" s="20" t="s">
        <v>25</v>
      </c>
      <c r="J127" s="23">
        <f>ROUND(78*1,0)&amp;"%"</f>
      </c>
    </row>
    <row x14ac:dyDescent="0.25" r="128" customHeight="1" ht="17.25">
      <c r="A128" s="17" t="s">
        <v>7993</v>
      </c>
      <c r="B128" s="17" t="s">
        <v>228</v>
      </c>
      <c r="C128" s="17" t="s">
        <v>95</v>
      </c>
      <c r="D128" s="17" t="s">
        <v>28</v>
      </c>
      <c r="E128" s="18">
        <f>ROUND(7257*1.05,2)</f>
      </c>
      <c r="F128" s="17" t="s">
        <v>29</v>
      </c>
      <c r="G128" s="17" t="s">
        <v>30</v>
      </c>
      <c r="H128" s="18">
        <f>ROUND(RAND()*4+6,1)</f>
      </c>
      <c r="I128" s="17" t="s">
        <v>31</v>
      </c>
      <c r="J128" s="19">
        <f>ROUND(93*1,0)&amp;"%"</f>
      </c>
    </row>
    <row x14ac:dyDescent="0.25" r="129" customHeight="1" ht="17.25">
      <c r="A129" s="20" t="s">
        <v>7994</v>
      </c>
      <c r="B129" s="20" t="s">
        <v>230</v>
      </c>
      <c r="C129" s="20" t="s">
        <v>95</v>
      </c>
      <c r="D129" s="20" t="s">
        <v>34</v>
      </c>
      <c r="E129" s="21">
        <f>ROUND(11197*1.05,2)</f>
      </c>
      <c r="F129" s="20" t="s">
        <v>35</v>
      </c>
      <c r="G129" s="20" t="s">
        <v>18</v>
      </c>
      <c r="H129" s="22">
        <f>ROUND(RAND()*4+6,1)</f>
      </c>
      <c r="I129" s="20" t="s">
        <v>36</v>
      </c>
      <c r="J129" s="23">
        <f>ROUND(93*1,0)&amp;"%"</f>
      </c>
    </row>
    <row x14ac:dyDescent="0.25" r="130" customHeight="1" ht="17.25">
      <c r="A130" s="17" t="s">
        <v>7995</v>
      </c>
      <c r="B130" s="17" t="s">
        <v>232</v>
      </c>
      <c r="C130" s="17" t="s">
        <v>95</v>
      </c>
      <c r="D130" s="17" t="s">
        <v>39</v>
      </c>
      <c r="E130" s="18">
        <f>ROUND(11998*1.05,2)</f>
      </c>
      <c r="F130" s="17" t="s">
        <v>40</v>
      </c>
      <c r="G130" s="17" t="s">
        <v>24</v>
      </c>
      <c r="H130" s="18">
        <f>ROUND(RAND()*4+6,1)</f>
      </c>
      <c r="I130" s="17" t="s">
        <v>41</v>
      </c>
      <c r="J130" s="19">
        <f>ROUND(96*1,0)&amp;"%"</f>
      </c>
    </row>
    <row x14ac:dyDescent="0.25" r="131" customHeight="1" ht="17.25">
      <c r="A131" s="20" t="s">
        <v>7996</v>
      </c>
      <c r="B131" s="20" t="s">
        <v>234</v>
      </c>
      <c r="C131" s="20" t="s">
        <v>95</v>
      </c>
      <c r="D131" s="20" t="s">
        <v>67</v>
      </c>
      <c r="E131" s="21">
        <f>ROUND(15804*1.05,2)</f>
      </c>
      <c r="F131" s="20" t="s">
        <v>44</v>
      </c>
      <c r="G131" s="20" t="s">
        <v>30</v>
      </c>
      <c r="H131" s="21">
        <f>ROUND(RAND()*4+6,1)</f>
      </c>
      <c r="I131" s="20" t="s">
        <v>45</v>
      </c>
      <c r="J131" s="23">
        <f>ROUND(80*1,0)&amp;"%"</f>
      </c>
    </row>
    <row x14ac:dyDescent="0.25" r="132" customHeight="1" ht="17.25">
      <c r="A132" s="17" t="s">
        <v>7997</v>
      </c>
      <c r="B132" s="17" t="s">
        <v>236</v>
      </c>
      <c r="C132" s="17" t="s">
        <v>95</v>
      </c>
      <c r="D132" s="17" t="s">
        <v>16</v>
      </c>
      <c r="E132" s="18">
        <f>ROUND(14266*1.05,2)</f>
      </c>
      <c r="F132" s="17" t="s">
        <v>48</v>
      </c>
      <c r="G132" s="17" t="s">
        <v>18</v>
      </c>
      <c r="H132" s="18">
        <f>ROUND(RAND()*4+6,1)</f>
      </c>
      <c r="I132" s="17" t="s">
        <v>19</v>
      </c>
      <c r="J132" s="19">
        <f>ROUND(100*1,0)&amp;"%"</f>
      </c>
    </row>
    <row x14ac:dyDescent="0.25" r="133" customHeight="1" ht="17.25">
      <c r="A133" s="20" t="s">
        <v>7998</v>
      </c>
      <c r="B133" s="20" t="s">
        <v>238</v>
      </c>
      <c r="C133" s="20" t="s">
        <v>95</v>
      </c>
      <c r="D133" s="20" t="s">
        <v>22</v>
      </c>
      <c r="E133" s="21">
        <f>ROUND(17189*1.05,2)</f>
      </c>
      <c r="F133" s="20" t="s">
        <v>51</v>
      </c>
      <c r="G133" s="20" t="s">
        <v>24</v>
      </c>
      <c r="H133" s="21">
        <f>ROUND(RAND()*4+6,1)</f>
      </c>
      <c r="I133" s="20" t="s">
        <v>25</v>
      </c>
      <c r="J133" s="23">
        <f>ROUND(76*1,0)&amp;"%"</f>
      </c>
    </row>
    <row x14ac:dyDescent="0.25" r="134" customHeight="1" ht="17.25">
      <c r="A134" s="24" t="s">
        <v>239</v>
      </c>
      <c r="B134" s="24"/>
      <c r="C134" s="24"/>
      <c r="D134" s="24"/>
      <c r="E134" s="25">
        <v>8</v>
      </c>
      <c r="F134" s="9"/>
      <c r="G134" s="9"/>
      <c r="H134" s="10"/>
      <c r="I134" s="9"/>
      <c r="J134" s="9"/>
    </row>
    <row x14ac:dyDescent="0.25" r="135" customHeight="1" ht="17.25">
      <c r="A135" s="7"/>
      <c r="B135" s="7"/>
      <c r="C135" s="7"/>
      <c r="D135" s="7"/>
      <c r="E135" s="8"/>
      <c r="F135" s="9"/>
      <c r="G135" s="9"/>
      <c r="H135" s="10"/>
      <c r="I135" s="9"/>
      <c r="J135" s="9"/>
    </row>
    <row x14ac:dyDescent="0.25" r="136" customHeight="1" ht="17.25">
      <c r="A136" s="11" t="s">
        <v>7999</v>
      </c>
      <c r="B136" s="11"/>
      <c r="C136" s="11"/>
      <c r="D136" s="11"/>
      <c r="E136" s="12"/>
      <c r="F136" s="11"/>
      <c r="G136" s="11"/>
      <c r="H136" s="13"/>
      <c r="I136" s="11"/>
      <c r="J136" s="11"/>
    </row>
    <row x14ac:dyDescent="0.25" r="137" customHeight="1" ht="17.25">
      <c r="A137" s="14" t="s">
        <v>3</v>
      </c>
      <c r="B137" s="14" t="s">
        <v>4</v>
      </c>
      <c r="C137" s="14" t="s">
        <v>5</v>
      </c>
      <c r="D137" s="14" t="s">
        <v>6</v>
      </c>
      <c r="E137" s="15" t="s">
        <v>7</v>
      </c>
      <c r="F137" s="14" t="s">
        <v>8</v>
      </c>
      <c r="G137" s="14" t="s">
        <v>9</v>
      </c>
      <c r="H137" s="16" t="s">
        <v>10</v>
      </c>
      <c r="I137" s="14" t="s">
        <v>11</v>
      </c>
      <c r="J137" s="14" t="s">
        <v>12</v>
      </c>
    </row>
    <row x14ac:dyDescent="0.25" r="138" customHeight="1" ht="17.25">
      <c r="A138" s="17" t="s">
        <v>8000</v>
      </c>
      <c r="B138" s="17" t="s">
        <v>242</v>
      </c>
      <c r="C138" s="17" t="s">
        <v>114</v>
      </c>
      <c r="D138" s="17" t="s">
        <v>16</v>
      </c>
      <c r="E138" s="18">
        <f>ROUND(15376*1.05,2)</f>
      </c>
      <c r="F138" s="17" t="s">
        <v>17</v>
      </c>
      <c r="G138" s="17" t="s">
        <v>18</v>
      </c>
      <c r="H138" s="18">
        <f>ROUND(RAND()*4+6,1)</f>
      </c>
      <c r="I138" s="17" t="s">
        <v>19</v>
      </c>
      <c r="J138" s="19">
        <f>ROUND(97*1,0)&amp;"%"</f>
      </c>
    </row>
    <row x14ac:dyDescent="0.25" r="139" customHeight="1" ht="17.25">
      <c r="A139" s="20" t="s">
        <v>8001</v>
      </c>
      <c r="B139" s="20" t="s">
        <v>244</v>
      </c>
      <c r="C139" s="20" t="s">
        <v>114</v>
      </c>
      <c r="D139" s="20" t="s">
        <v>22</v>
      </c>
      <c r="E139" s="21">
        <f>ROUND(14645*1.05,2)</f>
      </c>
      <c r="F139" s="20" t="s">
        <v>23</v>
      </c>
      <c r="G139" s="20" t="s">
        <v>24</v>
      </c>
      <c r="H139" s="21">
        <f>ROUND(RAND()*4+6,1)</f>
      </c>
      <c r="I139" s="20" t="s">
        <v>25</v>
      </c>
      <c r="J139" s="23">
        <f>ROUND(92*1,0)&amp;"%"</f>
      </c>
    </row>
    <row x14ac:dyDescent="0.25" r="140" customHeight="1" ht="17.25">
      <c r="A140" s="17" t="s">
        <v>8002</v>
      </c>
      <c r="B140" s="17" t="s">
        <v>246</v>
      </c>
      <c r="C140" s="17" t="s">
        <v>114</v>
      </c>
      <c r="D140" s="17" t="s">
        <v>28</v>
      </c>
      <c r="E140" s="18">
        <f>ROUND(16028*1.05,2)</f>
      </c>
      <c r="F140" s="17" t="s">
        <v>29</v>
      </c>
      <c r="G140" s="17" t="s">
        <v>30</v>
      </c>
      <c r="H140" s="18">
        <f>ROUND(RAND()*4+6,1)</f>
      </c>
      <c r="I140" s="17" t="s">
        <v>31</v>
      </c>
      <c r="J140" s="19">
        <f>ROUND(63*1,0)&amp;"%"</f>
      </c>
    </row>
    <row x14ac:dyDescent="0.25" r="141" customHeight="1" ht="17.25">
      <c r="A141" s="20" t="s">
        <v>8003</v>
      </c>
      <c r="B141" s="20" t="s">
        <v>248</v>
      </c>
      <c r="C141" s="20" t="s">
        <v>114</v>
      </c>
      <c r="D141" s="20" t="s">
        <v>34</v>
      </c>
      <c r="E141" s="21">
        <f>ROUND(4951*1.05,2)</f>
      </c>
      <c r="F141" s="20" t="s">
        <v>35</v>
      </c>
      <c r="G141" s="20" t="s">
        <v>18</v>
      </c>
      <c r="H141" s="21">
        <f>ROUND(RAND()*4+6,1)</f>
      </c>
      <c r="I141" s="20" t="s">
        <v>36</v>
      </c>
      <c r="J141" s="23">
        <f>ROUND(84*1,0)&amp;"%"</f>
      </c>
    </row>
    <row x14ac:dyDescent="0.25" r="142" customHeight="1" ht="17.25">
      <c r="A142" s="17" t="s">
        <v>8004</v>
      </c>
      <c r="B142" s="17" t="s">
        <v>250</v>
      </c>
      <c r="C142" s="17" t="s">
        <v>114</v>
      </c>
      <c r="D142" s="17" t="s">
        <v>39</v>
      </c>
      <c r="E142" s="18">
        <f>ROUND(15273*1.05,2)</f>
      </c>
      <c r="F142" s="17" t="s">
        <v>40</v>
      </c>
      <c r="G142" s="17" t="s">
        <v>24</v>
      </c>
      <c r="H142" s="26">
        <f>ROUND(RAND()*4+6,1)</f>
      </c>
      <c r="I142" s="17" t="s">
        <v>41</v>
      </c>
      <c r="J142" s="19">
        <f>ROUND(92*1,0)&amp;"%"</f>
      </c>
    </row>
    <row x14ac:dyDescent="0.25" r="143" customHeight="1" ht="17.25">
      <c r="A143" s="20" t="s">
        <v>8005</v>
      </c>
      <c r="B143" s="20" t="s">
        <v>252</v>
      </c>
      <c r="C143" s="20" t="s">
        <v>114</v>
      </c>
      <c r="D143" s="20" t="s">
        <v>67</v>
      </c>
      <c r="E143" s="21">
        <f>ROUND(12829*1.05,2)</f>
      </c>
      <c r="F143" s="20" t="s">
        <v>44</v>
      </c>
      <c r="G143" s="20" t="s">
        <v>30</v>
      </c>
      <c r="H143" s="21">
        <f>ROUND(RAND()*4+6,1)</f>
      </c>
      <c r="I143" s="20" t="s">
        <v>45</v>
      </c>
      <c r="J143" s="23">
        <f>ROUND(85*1,0)&amp;"%"</f>
      </c>
    </row>
    <row x14ac:dyDescent="0.25" r="144" customHeight="1" ht="17.25">
      <c r="A144" s="17" t="s">
        <v>8006</v>
      </c>
      <c r="B144" s="17" t="s">
        <v>254</v>
      </c>
      <c r="C144" s="17" t="s">
        <v>114</v>
      </c>
      <c r="D144" s="17" t="s">
        <v>16</v>
      </c>
      <c r="E144" s="18">
        <f>ROUND(4321*1.05,2)</f>
      </c>
      <c r="F144" s="17" t="s">
        <v>48</v>
      </c>
      <c r="G144" s="17" t="s">
        <v>18</v>
      </c>
      <c r="H144" s="18">
        <f>ROUND(RAND()*4+6,1)</f>
      </c>
      <c r="I144" s="17" t="s">
        <v>19</v>
      </c>
      <c r="J144" s="19">
        <f>ROUND(88*1,0)&amp;"%"</f>
      </c>
    </row>
    <row x14ac:dyDescent="0.25" r="145" customHeight="1" ht="17.25">
      <c r="A145" s="20" t="s">
        <v>8007</v>
      </c>
      <c r="B145" s="20" t="s">
        <v>256</v>
      </c>
      <c r="C145" s="20" t="s">
        <v>114</v>
      </c>
      <c r="D145" s="20" t="s">
        <v>22</v>
      </c>
      <c r="E145" s="21">
        <f>ROUND(14090*1.05,2)</f>
      </c>
      <c r="F145" s="20" t="s">
        <v>51</v>
      </c>
      <c r="G145" s="20" t="s">
        <v>24</v>
      </c>
      <c r="H145" s="21">
        <f>ROUND(RAND()*4+6,1)</f>
      </c>
      <c r="I145" s="20" t="s">
        <v>25</v>
      </c>
      <c r="J145" s="23">
        <f>ROUND(74*1,0)&amp;"%"</f>
      </c>
    </row>
    <row x14ac:dyDescent="0.25" r="146" customHeight="1" ht="17.25">
      <c r="A146" s="24" t="s">
        <v>257</v>
      </c>
      <c r="B146" s="24"/>
      <c r="C146" s="24"/>
      <c r="D146" s="24"/>
      <c r="E146" s="25">
        <v>8</v>
      </c>
      <c r="F146" s="9"/>
      <c r="G146" s="9"/>
      <c r="H146" s="10"/>
      <c r="I146" s="9"/>
      <c r="J146" s="9"/>
    </row>
    <row x14ac:dyDescent="0.25" r="147" customHeight="1" ht="17.25">
      <c r="A147" s="7"/>
      <c r="B147" s="7"/>
      <c r="C147" s="7"/>
      <c r="D147" s="7"/>
      <c r="E147" s="8"/>
      <c r="F147" s="9"/>
      <c r="G147" s="9"/>
      <c r="H147" s="10"/>
      <c r="I147" s="9"/>
      <c r="J147" s="9"/>
    </row>
    <row x14ac:dyDescent="0.25" r="148" customHeight="1" ht="17.25">
      <c r="A148" s="11" t="s">
        <v>8008</v>
      </c>
      <c r="B148" s="11"/>
      <c r="C148" s="11"/>
      <c r="D148" s="11"/>
      <c r="E148" s="12"/>
      <c r="F148" s="11"/>
      <c r="G148" s="11"/>
      <c r="H148" s="13"/>
      <c r="I148" s="11"/>
      <c r="J148" s="11"/>
    </row>
    <row x14ac:dyDescent="0.25" r="149" customHeight="1" ht="17.25">
      <c r="A149" s="14" t="s">
        <v>3</v>
      </c>
      <c r="B149" s="14" t="s">
        <v>4</v>
      </c>
      <c r="C149" s="14" t="s">
        <v>5</v>
      </c>
      <c r="D149" s="14" t="s">
        <v>6</v>
      </c>
      <c r="E149" s="15" t="s">
        <v>7</v>
      </c>
      <c r="F149" s="14" t="s">
        <v>8</v>
      </c>
      <c r="G149" s="14" t="s">
        <v>9</v>
      </c>
      <c r="H149" s="16" t="s">
        <v>10</v>
      </c>
      <c r="I149" s="14" t="s">
        <v>11</v>
      </c>
      <c r="J149" s="14" t="s">
        <v>12</v>
      </c>
    </row>
    <row x14ac:dyDescent="0.25" r="150" customHeight="1" ht="17.25">
      <c r="A150" s="17" t="s">
        <v>8009</v>
      </c>
      <c r="B150" s="17" t="s">
        <v>260</v>
      </c>
      <c r="C150" s="17" t="s">
        <v>133</v>
      </c>
      <c r="D150" s="17" t="s">
        <v>16</v>
      </c>
      <c r="E150" s="18">
        <f>ROUND(9902*1.05,2)</f>
      </c>
      <c r="F150" s="17" t="s">
        <v>17</v>
      </c>
      <c r="G150" s="17" t="s">
        <v>18</v>
      </c>
      <c r="H150" s="18">
        <f>ROUND(RAND()*4+6,1)</f>
      </c>
      <c r="I150" s="17" t="s">
        <v>19</v>
      </c>
      <c r="J150" s="19">
        <f>ROUND(60*1,0)&amp;"%"</f>
      </c>
    </row>
    <row x14ac:dyDescent="0.25" r="151" customHeight="1" ht="17.25">
      <c r="A151" s="20" t="s">
        <v>8010</v>
      </c>
      <c r="B151" s="20" t="s">
        <v>262</v>
      </c>
      <c r="C151" s="20" t="s">
        <v>133</v>
      </c>
      <c r="D151" s="20" t="s">
        <v>22</v>
      </c>
      <c r="E151" s="21">
        <f>ROUND(14245*1.05,2)</f>
      </c>
      <c r="F151" s="20" t="s">
        <v>23</v>
      </c>
      <c r="G151" s="20" t="s">
        <v>24</v>
      </c>
      <c r="H151" s="21">
        <f>ROUND(RAND()*4+6,1)</f>
      </c>
      <c r="I151" s="20" t="s">
        <v>25</v>
      </c>
      <c r="J151" s="23">
        <f>ROUND(95*1,0)&amp;"%"</f>
      </c>
    </row>
    <row x14ac:dyDescent="0.25" r="152" customHeight="1" ht="17.25">
      <c r="A152" s="17" t="s">
        <v>8011</v>
      </c>
      <c r="B152" s="17" t="s">
        <v>264</v>
      </c>
      <c r="C152" s="17" t="s">
        <v>133</v>
      </c>
      <c r="D152" s="17" t="s">
        <v>28</v>
      </c>
      <c r="E152" s="18">
        <f>ROUND(15169*1.05,2)</f>
      </c>
      <c r="F152" s="17" t="s">
        <v>29</v>
      </c>
      <c r="G152" s="17" t="s">
        <v>30</v>
      </c>
      <c r="H152" s="18">
        <f>ROUND(RAND()*4+6,1)</f>
      </c>
      <c r="I152" s="17" t="s">
        <v>31</v>
      </c>
      <c r="J152" s="19">
        <f>ROUND(74*1,0)&amp;"%"</f>
      </c>
    </row>
    <row x14ac:dyDescent="0.25" r="153" customHeight="1" ht="17.25">
      <c r="A153" s="20" t="s">
        <v>8012</v>
      </c>
      <c r="B153" s="20" t="s">
        <v>266</v>
      </c>
      <c r="C153" s="20" t="s">
        <v>133</v>
      </c>
      <c r="D153" s="20" t="s">
        <v>34</v>
      </c>
      <c r="E153" s="21">
        <f>ROUND(7225*1.05,2)</f>
      </c>
      <c r="F153" s="20" t="s">
        <v>35</v>
      </c>
      <c r="G153" s="20" t="s">
        <v>18</v>
      </c>
      <c r="H153" s="21">
        <f>ROUND(RAND()*4+6,1)</f>
      </c>
      <c r="I153" s="20" t="s">
        <v>36</v>
      </c>
      <c r="J153" s="23">
        <f>ROUND(99*1,0)&amp;"%"</f>
      </c>
    </row>
    <row x14ac:dyDescent="0.25" r="154" customHeight="1" ht="17.25">
      <c r="A154" s="17" t="s">
        <v>8013</v>
      </c>
      <c r="B154" s="17" t="s">
        <v>268</v>
      </c>
      <c r="C154" s="17" t="s">
        <v>133</v>
      </c>
      <c r="D154" s="17" t="s">
        <v>39</v>
      </c>
      <c r="E154" s="18">
        <f>ROUND(6273*1.05,2)</f>
      </c>
      <c r="F154" s="17" t="s">
        <v>40</v>
      </c>
      <c r="G154" s="17" t="s">
        <v>24</v>
      </c>
      <c r="H154" s="18">
        <f>ROUND(RAND()*4+6,1)</f>
      </c>
      <c r="I154" s="17" t="s">
        <v>41</v>
      </c>
      <c r="J154" s="19">
        <f>ROUND(70*1,0)&amp;"%"</f>
      </c>
    </row>
    <row x14ac:dyDescent="0.25" r="155" customHeight="1" ht="17.25">
      <c r="A155" s="20" t="s">
        <v>8014</v>
      </c>
      <c r="B155" s="20" t="s">
        <v>270</v>
      </c>
      <c r="C155" s="20" t="s">
        <v>133</v>
      </c>
      <c r="D155" s="20" t="s">
        <v>67</v>
      </c>
      <c r="E155" s="22">
        <f>ROUND(10840*1.05,2)</f>
      </c>
      <c r="F155" s="20" t="s">
        <v>44</v>
      </c>
      <c r="G155" s="20" t="s">
        <v>30</v>
      </c>
      <c r="H155" s="21">
        <f>ROUND(RAND()*4+6,1)</f>
      </c>
      <c r="I155" s="20" t="s">
        <v>45</v>
      </c>
      <c r="J155" s="23">
        <f>ROUND(60*1,0)&amp;"%"</f>
      </c>
    </row>
    <row x14ac:dyDescent="0.25" r="156" customHeight="1" ht="17.25">
      <c r="A156" s="17" t="s">
        <v>8015</v>
      </c>
      <c r="B156" s="17" t="s">
        <v>272</v>
      </c>
      <c r="C156" s="17" t="s">
        <v>133</v>
      </c>
      <c r="D156" s="17" t="s">
        <v>16</v>
      </c>
      <c r="E156" s="18">
        <f>ROUND(13007*1.05,2)</f>
      </c>
      <c r="F156" s="17" t="s">
        <v>48</v>
      </c>
      <c r="G156" s="17" t="s">
        <v>18</v>
      </c>
      <c r="H156" s="18">
        <f>ROUND(RAND()*4+6,1)</f>
      </c>
      <c r="I156" s="17" t="s">
        <v>19</v>
      </c>
      <c r="J156" s="19">
        <f>ROUND(64*1,0)&amp;"%"</f>
      </c>
    </row>
    <row x14ac:dyDescent="0.25" r="157" customHeight="1" ht="17.25">
      <c r="A157" s="20" t="s">
        <v>8016</v>
      </c>
      <c r="B157" s="20" t="s">
        <v>274</v>
      </c>
      <c r="C157" s="20" t="s">
        <v>133</v>
      </c>
      <c r="D157" s="20" t="s">
        <v>22</v>
      </c>
      <c r="E157" s="21">
        <f>ROUND(10817*1.05,2)</f>
      </c>
      <c r="F157" s="20" t="s">
        <v>51</v>
      </c>
      <c r="G157" s="20" t="s">
        <v>24</v>
      </c>
      <c r="H157" s="21">
        <f>ROUND(RAND()*4+6,1)</f>
      </c>
      <c r="I157" s="20" t="s">
        <v>25</v>
      </c>
      <c r="J157" s="23">
        <f>ROUND(86*1,0)&amp;"%"</f>
      </c>
    </row>
    <row x14ac:dyDescent="0.25" r="158" customHeight="1" ht="17.25">
      <c r="A158" s="24" t="s">
        <v>275</v>
      </c>
      <c r="B158" s="24"/>
      <c r="C158" s="24"/>
      <c r="D158" s="24"/>
      <c r="E158" s="25">
        <v>8</v>
      </c>
      <c r="F158" s="9"/>
      <c r="G158" s="9"/>
      <c r="H158" s="10"/>
      <c r="I158" s="9"/>
      <c r="J158" s="9"/>
    </row>
    <row x14ac:dyDescent="0.25" r="159" customHeight="1" ht="17.25">
      <c r="A159" s="7"/>
      <c r="B159" s="7"/>
      <c r="C159" s="7"/>
      <c r="D159" s="7"/>
      <c r="E159" s="8"/>
      <c r="F159" s="9"/>
      <c r="G159" s="9"/>
      <c r="H159" s="10"/>
      <c r="I159" s="9"/>
      <c r="J159" s="9"/>
    </row>
    <row x14ac:dyDescent="0.25" r="160" customHeight="1" ht="17.25">
      <c r="A160" s="11" t="s">
        <v>8017</v>
      </c>
      <c r="B160" s="11"/>
      <c r="C160" s="11"/>
      <c r="D160" s="11"/>
      <c r="E160" s="12"/>
      <c r="F160" s="11"/>
      <c r="G160" s="11"/>
      <c r="H160" s="13"/>
      <c r="I160" s="11"/>
      <c r="J160" s="11"/>
    </row>
    <row x14ac:dyDescent="0.25" r="161" customHeight="1" ht="17.25">
      <c r="A161" s="14" t="s">
        <v>3</v>
      </c>
      <c r="B161" s="14" t="s">
        <v>4</v>
      </c>
      <c r="C161" s="14" t="s">
        <v>5</v>
      </c>
      <c r="D161" s="14" t="s">
        <v>6</v>
      </c>
      <c r="E161" s="15" t="s">
        <v>7</v>
      </c>
      <c r="F161" s="14" t="s">
        <v>8</v>
      </c>
      <c r="G161" s="14" t="s">
        <v>9</v>
      </c>
      <c r="H161" s="16" t="s">
        <v>10</v>
      </c>
      <c r="I161" s="14" t="s">
        <v>11</v>
      </c>
      <c r="J161" s="14" t="s">
        <v>12</v>
      </c>
    </row>
    <row x14ac:dyDescent="0.25" r="162" customHeight="1" ht="17.25">
      <c r="A162" s="17" t="s">
        <v>8018</v>
      </c>
      <c r="B162" s="17" t="s">
        <v>278</v>
      </c>
      <c r="C162" s="17" t="s">
        <v>152</v>
      </c>
      <c r="D162" s="17" t="s">
        <v>16</v>
      </c>
      <c r="E162" s="18">
        <f>ROUND(8355*1.05,2)</f>
      </c>
      <c r="F162" s="17" t="s">
        <v>17</v>
      </c>
      <c r="G162" s="17" t="s">
        <v>18</v>
      </c>
      <c r="H162" s="18">
        <f>ROUND(RAND()*4+6,1)</f>
      </c>
      <c r="I162" s="17" t="s">
        <v>19</v>
      </c>
      <c r="J162" s="19">
        <f>ROUND(91*1,0)&amp;"%"</f>
      </c>
    </row>
    <row x14ac:dyDescent="0.25" r="163" customHeight="1" ht="17.25">
      <c r="A163" s="20" t="s">
        <v>8019</v>
      </c>
      <c r="B163" s="20" t="s">
        <v>280</v>
      </c>
      <c r="C163" s="20" t="s">
        <v>152</v>
      </c>
      <c r="D163" s="20" t="s">
        <v>22</v>
      </c>
      <c r="E163" s="21">
        <f>ROUND(17911*1.05,2)</f>
      </c>
      <c r="F163" s="20" t="s">
        <v>23</v>
      </c>
      <c r="G163" s="20" t="s">
        <v>24</v>
      </c>
      <c r="H163" s="21">
        <f>ROUND(RAND()*4+6,1)</f>
      </c>
      <c r="I163" s="20" t="s">
        <v>25</v>
      </c>
      <c r="J163" s="23">
        <f>ROUND(66*1,0)&amp;"%"</f>
      </c>
    </row>
    <row x14ac:dyDescent="0.25" r="164" customHeight="1" ht="17.25">
      <c r="A164" s="17" t="s">
        <v>8020</v>
      </c>
      <c r="B164" s="17" t="s">
        <v>282</v>
      </c>
      <c r="C164" s="17" t="s">
        <v>152</v>
      </c>
      <c r="D164" s="17" t="s">
        <v>28</v>
      </c>
      <c r="E164" s="18">
        <f>ROUND(15272*1.05,2)</f>
      </c>
      <c r="F164" s="17" t="s">
        <v>29</v>
      </c>
      <c r="G164" s="17" t="s">
        <v>30</v>
      </c>
      <c r="H164" s="18">
        <f>ROUND(RAND()*4+6,1)</f>
      </c>
      <c r="I164" s="17" t="s">
        <v>31</v>
      </c>
      <c r="J164" s="19">
        <f>ROUND(96*1,0)&amp;"%"</f>
      </c>
    </row>
    <row x14ac:dyDescent="0.25" r="165" customHeight="1" ht="17.25">
      <c r="A165" s="20" t="s">
        <v>8021</v>
      </c>
      <c r="B165" s="20" t="s">
        <v>284</v>
      </c>
      <c r="C165" s="20" t="s">
        <v>152</v>
      </c>
      <c r="D165" s="20" t="s">
        <v>34</v>
      </c>
      <c r="E165" s="22">
        <f>ROUND(9940*1.05,2)</f>
      </c>
      <c r="F165" s="20" t="s">
        <v>35</v>
      </c>
      <c r="G165" s="20" t="s">
        <v>18</v>
      </c>
      <c r="H165" s="22">
        <f>ROUND(RAND()*4+6,1)</f>
      </c>
      <c r="I165" s="20" t="s">
        <v>36</v>
      </c>
      <c r="J165" s="23">
        <f>ROUND(73*1,0)&amp;"%"</f>
      </c>
    </row>
    <row x14ac:dyDescent="0.25" r="166" customHeight="1" ht="17.25">
      <c r="A166" s="17" t="s">
        <v>8022</v>
      </c>
      <c r="B166" s="17" t="s">
        <v>286</v>
      </c>
      <c r="C166" s="17" t="s">
        <v>152</v>
      </c>
      <c r="D166" s="17" t="s">
        <v>39</v>
      </c>
      <c r="E166" s="18">
        <f>ROUND(8252*1.05,2)</f>
      </c>
      <c r="F166" s="17" t="s">
        <v>40</v>
      </c>
      <c r="G166" s="17" t="s">
        <v>24</v>
      </c>
      <c r="H166" s="26">
        <f>ROUND(RAND()*4+6,1)</f>
      </c>
      <c r="I166" s="17" t="s">
        <v>41</v>
      </c>
      <c r="J166" s="19">
        <f>ROUND(69*1,0)&amp;"%"</f>
      </c>
    </row>
    <row x14ac:dyDescent="0.25" r="167" customHeight="1" ht="17.25">
      <c r="A167" s="20" t="s">
        <v>8023</v>
      </c>
      <c r="B167" s="20" t="s">
        <v>288</v>
      </c>
      <c r="C167" s="20" t="s">
        <v>152</v>
      </c>
      <c r="D167" s="20" t="s">
        <v>67</v>
      </c>
      <c r="E167" s="21">
        <f>ROUND(5745*1.05,2)</f>
      </c>
      <c r="F167" s="20" t="s">
        <v>44</v>
      </c>
      <c r="G167" s="20" t="s">
        <v>30</v>
      </c>
      <c r="H167" s="21">
        <f>ROUND(RAND()*4+6,1)</f>
      </c>
      <c r="I167" s="20" t="s">
        <v>45</v>
      </c>
      <c r="J167" s="23">
        <f>ROUND(64*1,0)&amp;"%"</f>
      </c>
    </row>
    <row x14ac:dyDescent="0.25" r="168" customHeight="1" ht="17.25">
      <c r="A168" s="17" t="s">
        <v>8024</v>
      </c>
      <c r="B168" s="17" t="s">
        <v>290</v>
      </c>
      <c r="C168" s="17" t="s">
        <v>152</v>
      </c>
      <c r="D168" s="17" t="s">
        <v>16</v>
      </c>
      <c r="E168" s="18">
        <f>ROUND(10304*1.05,2)</f>
      </c>
      <c r="F168" s="17" t="s">
        <v>48</v>
      </c>
      <c r="G168" s="17" t="s">
        <v>18</v>
      </c>
      <c r="H168" s="18">
        <f>ROUND(RAND()*4+6,1)</f>
      </c>
      <c r="I168" s="17" t="s">
        <v>19</v>
      </c>
      <c r="J168" s="19">
        <f>ROUND(90*1,0)&amp;"%"</f>
      </c>
    </row>
    <row x14ac:dyDescent="0.25" r="169" customHeight="1" ht="17.25">
      <c r="A169" s="20" t="s">
        <v>8025</v>
      </c>
      <c r="B169" s="20" t="s">
        <v>292</v>
      </c>
      <c r="C169" s="20" t="s">
        <v>152</v>
      </c>
      <c r="D169" s="20" t="s">
        <v>22</v>
      </c>
      <c r="E169" s="21">
        <f>ROUND(10523*1.05,2)</f>
      </c>
      <c r="F169" s="20" t="s">
        <v>51</v>
      </c>
      <c r="G169" s="20" t="s">
        <v>24</v>
      </c>
      <c r="H169" s="22">
        <f>ROUND(RAND()*4+6,1)</f>
      </c>
      <c r="I169" s="20" t="s">
        <v>25</v>
      </c>
      <c r="J169" s="23">
        <f>ROUND(74*1,0)&amp;"%"</f>
      </c>
    </row>
    <row x14ac:dyDescent="0.25" r="170" customHeight="1" ht="17.25">
      <c r="A170" s="24" t="s">
        <v>293</v>
      </c>
      <c r="B170" s="24"/>
      <c r="C170" s="24"/>
      <c r="D170" s="24"/>
      <c r="E170" s="25">
        <v>8</v>
      </c>
      <c r="F170" s="9"/>
      <c r="G170" s="9"/>
      <c r="H170" s="10"/>
      <c r="I170" s="9"/>
      <c r="J170" s="9"/>
    </row>
    <row x14ac:dyDescent="0.25" r="171" customHeight="1" ht="17.25">
      <c r="A171" s="7"/>
      <c r="B171" s="7"/>
      <c r="C171" s="7"/>
      <c r="D171" s="7"/>
      <c r="E171" s="8"/>
      <c r="F171" s="9"/>
      <c r="G171" s="9"/>
      <c r="H171" s="10"/>
      <c r="I171" s="9"/>
      <c r="J171" s="9"/>
    </row>
    <row x14ac:dyDescent="0.25" r="172" customHeight="1" ht="17.25">
      <c r="A172" s="11" t="s">
        <v>8026</v>
      </c>
      <c r="B172" s="11"/>
      <c r="C172" s="11"/>
      <c r="D172" s="11"/>
      <c r="E172" s="12"/>
      <c r="F172" s="11"/>
      <c r="G172" s="11"/>
      <c r="H172" s="13"/>
      <c r="I172" s="11"/>
      <c r="J172" s="11"/>
    </row>
    <row x14ac:dyDescent="0.25" r="173" customHeight="1" ht="17.25">
      <c r="A173" s="14" t="s">
        <v>3</v>
      </c>
      <c r="B173" s="14" t="s">
        <v>4</v>
      </c>
      <c r="C173" s="14" t="s">
        <v>5</v>
      </c>
      <c r="D173" s="14" t="s">
        <v>6</v>
      </c>
      <c r="E173" s="15" t="s">
        <v>7</v>
      </c>
      <c r="F173" s="14" t="s">
        <v>8</v>
      </c>
      <c r="G173" s="14" t="s">
        <v>9</v>
      </c>
      <c r="H173" s="16" t="s">
        <v>10</v>
      </c>
      <c r="I173" s="14" t="s">
        <v>11</v>
      </c>
      <c r="J173" s="14" t="s">
        <v>12</v>
      </c>
    </row>
    <row x14ac:dyDescent="0.25" r="174" customHeight="1" ht="17.25">
      <c r="A174" s="17" t="s">
        <v>8027</v>
      </c>
      <c r="B174" s="17" t="s">
        <v>296</v>
      </c>
      <c r="C174" s="17" t="s">
        <v>15</v>
      </c>
      <c r="D174" s="17" t="s">
        <v>16</v>
      </c>
      <c r="E174" s="18">
        <f>ROUND(8790*1.05,2)</f>
      </c>
      <c r="F174" s="17" t="s">
        <v>17</v>
      </c>
      <c r="G174" s="17" t="s">
        <v>18</v>
      </c>
      <c r="H174" s="26">
        <f>ROUND(RAND()*4+6,1)</f>
      </c>
      <c r="I174" s="17" t="s">
        <v>19</v>
      </c>
      <c r="J174" s="19">
        <f>ROUND(81*1,0)&amp;"%"</f>
      </c>
    </row>
    <row x14ac:dyDescent="0.25" r="175" customHeight="1" ht="17.25">
      <c r="A175" s="20" t="s">
        <v>8028</v>
      </c>
      <c r="B175" s="20" t="s">
        <v>298</v>
      </c>
      <c r="C175" s="20" t="s">
        <v>15</v>
      </c>
      <c r="D175" s="20" t="s">
        <v>22</v>
      </c>
      <c r="E175" s="21">
        <f>ROUND(8312*1.05,2)</f>
      </c>
      <c r="F175" s="20" t="s">
        <v>23</v>
      </c>
      <c r="G175" s="20" t="s">
        <v>24</v>
      </c>
      <c r="H175" s="21">
        <f>ROUND(RAND()*4+6,1)</f>
      </c>
      <c r="I175" s="20" t="s">
        <v>25</v>
      </c>
      <c r="J175" s="23">
        <f>ROUND(70*1,0)&amp;"%"</f>
      </c>
    </row>
    <row x14ac:dyDescent="0.25" r="176" customHeight="1" ht="17.25">
      <c r="A176" s="17" t="s">
        <v>8029</v>
      </c>
      <c r="B176" s="17" t="s">
        <v>300</v>
      </c>
      <c r="C176" s="17" t="s">
        <v>15</v>
      </c>
      <c r="D176" s="17" t="s">
        <v>28</v>
      </c>
      <c r="E176" s="18">
        <f>ROUND(6317*1.05,2)</f>
      </c>
      <c r="F176" s="17" t="s">
        <v>29</v>
      </c>
      <c r="G176" s="17" t="s">
        <v>30</v>
      </c>
      <c r="H176" s="26">
        <f>ROUND(RAND()*4+6,1)</f>
      </c>
      <c r="I176" s="17" t="s">
        <v>31</v>
      </c>
      <c r="J176" s="19">
        <f>ROUND(82*1,0)&amp;"%"</f>
      </c>
    </row>
    <row x14ac:dyDescent="0.25" r="177" customHeight="1" ht="17.25">
      <c r="A177" s="20" t="s">
        <v>8030</v>
      </c>
      <c r="B177" s="20" t="s">
        <v>302</v>
      </c>
      <c r="C177" s="20" t="s">
        <v>15</v>
      </c>
      <c r="D177" s="20" t="s">
        <v>34</v>
      </c>
      <c r="E177" s="22">
        <f>ROUND(8760*1.05,2)</f>
      </c>
      <c r="F177" s="20" t="s">
        <v>35</v>
      </c>
      <c r="G177" s="20" t="s">
        <v>18</v>
      </c>
      <c r="H177" s="21">
        <f>ROUND(RAND()*4+6,1)</f>
      </c>
      <c r="I177" s="20" t="s">
        <v>36</v>
      </c>
      <c r="J177" s="23">
        <f>ROUND(93*1,0)&amp;"%"</f>
      </c>
    </row>
    <row x14ac:dyDescent="0.25" r="178" customHeight="1" ht="17.25">
      <c r="A178" s="17" t="s">
        <v>8031</v>
      </c>
      <c r="B178" s="17" t="s">
        <v>304</v>
      </c>
      <c r="C178" s="17" t="s">
        <v>15</v>
      </c>
      <c r="D178" s="17" t="s">
        <v>39</v>
      </c>
      <c r="E178" s="18">
        <f>ROUND(6035*1.05,2)</f>
      </c>
      <c r="F178" s="17" t="s">
        <v>40</v>
      </c>
      <c r="G178" s="17" t="s">
        <v>24</v>
      </c>
      <c r="H178" s="18">
        <f>ROUND(RAND()*4+6,1)</f>
      </c>
      <c r="I178" s="17" t="s">
        <v>41</v>
      </c>
      <c r="J178" s="19">
        <f>ROUND(90*1,0)&amp;"%"</f>
      </c>
    </row>
    <row x14ac:dyDescent="0.25" r="179" customHeight="1" ht="17.25">
      <c r="A179" s="20" t="s">
        <v>8032</v>
      </c>
      <c r="B179" s="20" t="s">
        <v>306</v>
      </c>
      <c r="C179" s="20" t="s">
        <v>15</v>
      </c>
      <c r="D179" s="20" t="s">
        <v>67</v>
      </c>
      <c r="E179" s="21">
        <f>ROUND(17442*1.05,2)</f>
      </c>
      <c r="F179" s="20" t="s">
        <v>44</v>
      </c>
      <c r="G179" s="20" t="s">
        <v>30</v>
      </c>
      <c r="H179" s="21">
        <f>ROUND(RAND()*4+6,1)</f>
      </c>
      <c r="I179" s="20" t="s">
        <v>45</v>
      </c>
      <c r="J179" s="23">
        <f>ROUND(61*1,0)&amp;"%"</f>
      </c>
    </row>
    <row x14ac:dyDescent="0.25" r="180" customHeight="1" ht="17.25">
      <c r="A180" s="17" t="s">
        <v>8033</v>
      </c>
      <c r="B180" s="17" t="s">
        <v>308</v>
      </c>
      <c r="C180" s="17" t="s">
        <v>15</v>
      </c>
      <c r="D180" s="17" t="s">
        <v>16</v>
      </c>
      <c r="E180" s="18">
        <f>ROUND(7031*1.05,2)</f>
      </c>
      <c r="F180" s="17" t="s">
        <v>48</v>
      </c>
      <c r="G180" s="17" t="s">
        <v>18</v>
      </c>
      <c r="H180" s="18">
        <f>ROUND(RAND()*4+6,1)</f>
      </c>
      <c r="I180" s="17" t="s">
        <v>19</v>
      </c>
      <c r="J180" s="19">
        <f>ROUND(71*1,0)&amp;"%"</f>
      </c>
    </row>
    <row x14ac:dyDescent="0.25" r="181" customHeight="1" ht="17.25">
      <c r="A181" s="20" t="s">
        <v>8034</v>
      </c>
      <c r="B181" s="20" t="s">
        <v>310</v>
      </c>
      <c r="C181" s="20" t="s">
        <v>15</v>
      </c>
      <c r="D181" s="20" t="s">
        <v>22</v>
      </c>
      <c r="E181" s="21">
        <f>ROUND(13305*1.05,2)</f>
      </c>
      <c r="F181" s="20" t="s">
        <v>51</v>
      </c>
      <c r="G181" s="20" t="s">
        <v>24</v>
      </c>
      <c r="H181" s="21">
        <f>ROUND(RAND()*4+6,1)</f>
      </c>
      <c r="I181" s="20" t="s">
        <v>25</v>
      </c>
      <c r="J181" s="23">
        <f>ROUND(85*1,0)&amp;"%"</f>
      </c>
    </row>
    <row x14ac:dyDescent="0.25" r="182" customHeight="1" ht="17.25">
      <c r="A182" s="24" t="s">
        <v>311</v>
      </c>
      <c r="B182" s="24"/>
      <c r="C182" s="24"/>
      <c r="D182" s="24"/>
      <c r="E182" s="25">
        <v>8</v>
      </c>
      <c r="F182" s="9"/>
      <c r="G182" s="9"/>
      <c r="H182" s="10"/>
      <c r="I182" s="9"/>
      <c r="J182" s="9"/>
    </row>
    <row x14ac:dyDescent="0.25" r="183" customHeight="1" ht="17.25">
      <c r="A183" s="7"/>
      <c r="B183" s="7"/>
      <c r="C183" s="7"/>
      <c r="D183" s="7"/>
      <c r="E183" s="8"/>
      <c r="F183" s="9"/>
      <c r="G183" s="9"/>
      <c r="H183" s="10"/>
      <c r="I183" s="9"/>
      <c r="J183" s="9"/>
    </row>
    <row x14ac:dyDescent="0.25" r="184" customHeight="1" ht="17.25">
      <c r="A184" s="11" t="s">
        <v>8035</v>
      </c>
      <c r="B184" s="11"/>
      <c r="C184" s="11"/>
      <c r="D184" s="11"/>
      <c r="E184" s="12"/>
      <c r="F184" s="11"/>
      <c r="G184" s="11"/>
      <c r="H184" s="13"/>
      <c r="I184" s="11"/>
      <c r="J184" s="11"/>
    </row>
    <row x14ac:dyDescent="0.25" r="185" customHeight="1" ht="17.25">
      <c r="A185" s="14" t="s">
        <v>3</v>
      </c>
      <c r="B185" s="14" t="s">
        <v>4</v>
      </c>
      <c r="C185" s="14" t="s">
        <v>5</v>
      </c>
      <c r="D185" s="14" t="s">
        <v>6</v>
      </c>
      <c r="E185" s="15" t="s">
        <v>7</v>
      </c>
      <c r="F185" s="14" t="s">
        <v>8</v>
      </c>
      <c r="G185" s="14" t="s">
        <v>9</v>
      </c>
      <c r="H185" s="16" t="s">
        <v>10</v>
      </c>
      <c r="I185" s="14" t="s">
        <v>11</v>
      </c>
      <c r="J185" s="14" t="s">
        <v>12</v>
      </c>
    </row>
    <row x14ac:dyDescent="0.25" r="186" customHeight="1" ht="17.25">
      <c r="A186" s="17" t="s">
        <v>8036</v>
      </c>
      <c r="B186" s="17" t="s">
        <v>314</v>
      </c>
      <c r="C186" s="17" t="s">
        <v>56</v>
      </c>
      <c r="D186" s="17" t="s">
        <v>16</v>
      </c>
      <c r="E186" s="18">
        <f>ROUND(6131*1.05,2)</f>
      </c>
      <c r="F186" s="17" t="s">
        <v>17</v>
      </c>
      <c r="G186" s="17" t="s">
        <v>18</v>
      </c>
      <c r="H186" s="18">
        <f>ROUND(RAND()*4+6,1)</f>
      </c>
      <c r="I186" s="17" t="s">
        <v>19</v>
      </c>
      <c r="J186" s="19">
        <f>ROUND(91*1,0)&amp;"%"</f>
      </c>
    </row>
    <row x14ac:dyDescent="0.25" r="187" customHeight="1" ht="17.25">
      <c r="A187" s="20" t="s">
        <v>8037</v>
      </c>
      <c r="B187" s="20" t="s">
        <v>316</v>
      </c>
      <c r="C187" s="20" t="s">
        <v>56</v>
      </c>
      <c r="D187" s="20" t="s">
        <v>22</v>
      </c>
      <c r="E187" s="21">
        <f>ROUND(11310*1.05,2)</f>
      </c>
      <c r="F187" s="20" t="s">
        <v>23</v>
      </c>
      <c r="G187" s="20" t="s">
        <v>24</v>
      </c>
      <c r="H187" s="21">
        <f>ROUND(RAND()*4+6,1)</f>
      </c>
      <c r="I187" s="20" t="s">
        <v>25</v>
      </c>
      <c r="J187" s="23">
        <f>ROUND(80*1,0)&amp;"%"</f>
      </c>
    </row>
    <row x14ac:dyDescent="0.25" r="188" customHeight="1" ht="17.25">
      <c r="A188" s="17" t="s">
        <v>8038</v>
      </c>
      <c r="B188" s="17" t="s">
        <v>318</v>
      </c>
      <c r="C188" s="17" t="s">
        <v>56</v>
      </c>
      <c r="D188" s="17" t="s">
        <v>28</v>
      </c>
      <c r="E188" s="18">
        <f>ROUND(9941*1.05,2)</f>
      </c>
      <c r="F188" s="17" t="s">
        <v>29</v>
      </c>
      <c r="G188" s="17" t="s">
        <v>30</v>
      </c>
      <c r="H188" s="18">
        <f>ROUND(RAND()*4+6,1)</f>
      </c>
      <c r="I188" s="17" t="s">
        <v>31</v>
      </c>
      <c r="J188" s="19">
        <f>ROUND(94*1,0)&amp;"%"</f>
      </c>
    </row>
    <row x14ac:dyDescent="0.25" r="189" customHeight="1" ht="17.25">
      <c r="A189" s="20" t="s">
        <v>8039</v>
      </c>
      <c r="B189" s="20" t="s">
        <v>320</v>
      </c>
      <c r="C189" s="20" t="s">
        <v>56</v>
      </c>
      <c r="D189" s="20" t="s">
        <v>34</v>
      </c>
      <c r="E189" s="21">
        <f>ROUND(14452*1.05,2)</f>
      </c>
      <c r="F189" s="20" t="s">
        <v>35</v>
      </c>
      <c r="G189" s="20" t="s">
        <v>18</v>
      </c>
      <c r="H189" s="21">
        <f>ROUND(RAND()*4+6,1)</f>
      </c>
      <c r="I189" s="20" t="s">
        <v>36</v>
      </c>
      <c r="J189" s="23">
        <f>ROUND(100*1,0)&amp;"%"</f>
      </c>
    </row>
    <row x14ac:dyDescent="0.25" r="190" customHeight="1" ht="17.25">
      <c r="A190" s="17" t="s">
        <v>8040</v>
      </c>
      <c r="B190" s="17" t="s">
        <v>322</v>
      </c>
      <c r="C190" s="17" t="s">
        <v>56</v>
      </c>
      <c r="D190" s="17" t="s">
        <v>39</v>
      </c>
      <c r="E190" s="18">
        <f>ROUND(12469*1.05,2)</f>
      </c>
      <c r="F190" s="17" t="s">
        <v>40</v>
      </c>
      <c r="G190" s="17" t="s">
        <v>24</v>
      </c>
      <c r="H190" s="18">
        <f>ROUND(RAND()*4+6,1)</f>
      </c>
      <c r="I190" s="17" t="s">
        <v>41</v>
      </c>
      <c r="J190" s="19">
        <f>ROUND(99*1,0)&amp;"%"</f>
      </c>
    </row>
    <row x14ac:dyDescent="0.25" r="191" customHeight="1" ht="17.25">
      <c r="A191" s="20" t="s">
        <v>8041</v>
      </c>
      <c r="B191" s="20" t="s">
        <v>324</v>
      </c>
      <c r="C191" s="20" t="s">
        <v>56</v>
      </c>
      <c r="D191" s="20" t="s">
        <v>67</v>
      </c>
      <c r="E191" s="21">
        <f>ROUND(5270*1.05,2)</f>
      </c>
      <c r="F191" s="20" t="s">
        <v>44</v>
      </c>
      <c r="G191" s="20" t="s">
        <v>30</v>
      </c>
      <c r="H191" s="21">
        <f>ROUND(RAND()*4+6,1)</f>
      </c>
      <c r="I191" s="20" t="s">
        <v>45</v>
      </c>
      <c r="J191" s="23">
        <f>ROUND(95*1,0)&amp;"%"</f>
      </c>
    </row>
    <row x14ac:dyDescent="0.25" r="192" customHeight="1" ht="17.25">
      <c r="A192" s="17" t="s">
        <v>8042</v>
      </c>
      <c r="B192" s="17" t="s">
        <v>326</v>
      </c>
      <c r="C192" s="17" t="s">
        <v>56</v>
      </c>
      <c r="D192" s="17" t="s">
        <v>16</v>
      </c>
      <c r="E192" s="18">
        <f>ROUND(13501*1.05,2)</f>
      </c>
      <c r="F192" s="17" t="s">
        <v>48</v>
      </c>
      <c r="G192" s="17" t="s">
        <v>18</v>
      </c>
      <c r="H192" s="18">
        <f>ROUND(RAND()*4+6,1)</f>
      </c>
      <c r="I192" s="17" t="s">
        <v>19</v>
      </c>
      <c r="J192" s="19">
        <f>ROUND(97*1,0)&amp;"%"</f>
      </c>
    </row>
    <row x14ac:dyDescent="0.25" r="193" customHeight="1" ht="17.25">
      <c r="A193" s="20" t="s">
        <v>8043</v>
      </c>
      <c r="B193" s="20" t="s">
        <v>328</v>
      </c>
      <c r="C193" s="20" t="s">
        <v>56</v>
      </c>
      <c r="D193" s="20" t="s">
        <v>22</v>
      </c>
      <c r="E193" s="21">
        <f>ROUND(12876*1.05,2)</f>
      </c>
      <c r="F193" s="20" t="s">
        <v>51</v>
      </c>
      <c r="G193" s="20" t="s">
        <v>24</v>
      </c>
      <c r="H193" s="22">
        <f>ROUND(RAND()*4+6,1)</f>
      </c>
      <c r="I193" s="20" t="s">
        <v>25</v>
      </c>
      <c r="J193" s="23">
        <f>ROUND(99*1,0)&amp;"%"</f>
      </c>
    </row>
    <row x14ac:dyDescent="0.25" r="194" customHeight="1" ht="17.25">
      <c r="A194" s="24" t="s">
        <v>329</v>
      </c>
      <c r="B194" s="24"/>
      <c r="C194" s="24"/>
      <c r="D194" s="24"/>
      <c r="E194" s="25">
        <v>8</v>
      </c>
      <c r="F194" s="9"/>
      <c r="G194" s="9"/>
      <c r="H194" s="10"/>
      <c r="I194" s="9"/>
      <c r="J194" s="9"/>
    </row>
    <row x14ac:dyDescent="0.25" r="195" customHeight="1" ht="17.25">
      <c r="A195" s="7"/>
      <c r="B195" s="7"/>
      <c r="C195" s="7"/>
      <c r="D195" s="7"/>
      <c r="E195" s="8"/>
      <c r="F195" s="9"/>
      <c r="G195" s="9"/>
      <c r="H195" s="10"/>
      <c r="I195" s="9"/>
      <c r="J195" s="9"/>
    </row>
    <row x14ac:dyDescent="0.25" r="196" customHeight="1" ht="17.25">
      <c r="A196" s="11" t="s">
        <v>8044</v>
      </c>
      <c r="B196" s="11"/>
      <c r="C196" s="11"/>
      <c r="D196" s="11"/>
      <c r="E196" s="12"/>
      <c r="F196" s="11"/>
      <c r="G196" s="11"/>
      <c r="H196" s="13"/>
      <c r="I196" s="11"/>
      <c r="J196" s="11"/>
    </row>
    <row x14ac:dyDescent="0.25" r="197" customHeight="1" ht="17.25">
      <c r="A197" s="14" t="s">
        <v>3</v>
      </c>
      <c r="B197" s="14" t="s">
        <v>4</v>
      </c>
      <c r="C197" s="14" t="s">
        <v>5</v>
      </c>
      <c r="D197" s="14" t="s">
        <v>6</v>
      </c>
      <c r="E197" s="15" t="s">
        <v>7</v>
      </c>
      <c r="F197" s="14" t="s">
        <v>8</v>
      </c>
      <c r="G197" s="14" t="s">
        <v>9</v>
      </c>
      <c r="H197" s="16" t="s">
        <v>10</v>
      </c>
      <c r="I197" s="14" t="s">
        <v>11</v>
      </c>
      <c r="J197" s="14" t="s">
        <v>12</v>
      </c>
    </row>
    <row x14ac:dyDescent="0.25" r="198" customHeight="1" ht="17.25">
      <c r="A198" s="17" t="s">
        <v>8045</v>
      </c>
      <c r="B198" s="17" t="s">
        <v>332</v>
      </c>
      <c r="C198" s="17" t="s">
        <v>76</v>
      </c>
      <c r="D198" s="17" t="s">
        <v>16</v>
      </c>
      <c r="E198" s="26">
        <f>ROUND(13160*1.05,2)</f>
      </c>
      <c r="F198" s="17" t="s">
        <v>17</v>
      </c>
      <c r="G198" s="17" t="s">
        <v>18</v>
      </c>
      <c r="H198" s="18">
        <f>ROUND(RAND()*4+6,1)</f>
      </c>
      <c r="I198" s="17" t="s">
        <v>19</v>
      </c>
      <c r="J198" s="19">
        <f>ROUND(60*1,0)&amp;"%"</f>
      </c>
    </row>
    <row x14ac:dyDescent="0.25" r="199" customHeight="1" ht="17.25">
      <c r="A199" s="20" t="s">
        <v>8046</v>
      </c>
      <c r="B199" s="20" t="s">
        <v>334</v>
      </c>
      <c r="C199" s="20" t="s">
        <v>76</v>
      </c>
      <c r="D199" s="20" t="s">
        <v>22</v>
      </c>
      <c r="E199" s="22">
        <f>ROUND(15840*1.05,2)</f>
      </c>
      <c r="F199" s="20" t="s">
        <v>23</v>
      </c>
      <c r="G199" s="20" t="s">
        <v>24</v>
      </c>
      <c r="H199" s="21">
        <f>ROUND(RAND()*4+6,1)</f>
      </c>
      <c r="I199" s="20" t="s">
        <v>25</v>
      </c>
      <c r="J199" s="23">
        <f>ROUND(90*1,0)&amp;"%"</f>
      </c>
    </row>
    <row x14ac:dyDescent="0.25" r="200" customHeight="1" ht="17.25">
      <c r="A200" s="17" t="s">
        <v>8047</v>
      </c>
      <c r="B200" s="17" t="s">
        <v>336</v>
      </c>
      <c r="C200" s="17" t="s">
        <v>76</v>
      </c>
      <c r="D200" s="17" t="s">
        <v>28</v>
      </c>
      <c r="E200" s="18">
        <f>ROUND(14303*1.05,2)</f>
      </c>
      <c r="F200" s="17" t="s">
        <v>29</v>
      </c>
      <c r="G200" s="17" t="s">
        <v>30</v>
      </c>
      <c r="H200" s="18">
        <f>ROUND(RAND()*4+6,1)</f>
      </c>
      <c r="I200" s="17" t="s">
        <v>31</v>
      </c>
      <c r="J200" s="19">
        <f>ROUND(65*1,0)&amp;"%"</f>
      </c>
    </row>
    <row x14ac:dyDescent="0.25" r="201" customHeight="1" ht="17.25">
      <c r="A201" s="20" t="s">
        <v>8048</v>
      </c>
      <c r="B201" s="20" t="s">
        <v>338</v>
      </c>
      <c r="C201" s="20" t="s">
        <v>76</v>
      </c>
      <c r="D201" s="20" t="s">
        <v>34</v>
      </c>
      <c r="E201" s="21">
        <f>ROUND(7764*1.05,2)</f>
      </c>
      <c r="F201" s="20" t="s">
        <v>35</v>
      </c>
      <c r="G201" s="20" t="s">
        <v>18</v>
      </c>
      <c r="H201" s="21">
        <f>ROUND(RAND()*4+6,1)</f>
      </c>
      <c r="I201" s="20" t="s">
        <v>36</v>
      </c>
      <c r="J201" s="23">
        <f>ROUND(93*1,0)&amp;"%"</f>
      </c>
    </row>
    <row x14ac:dyDescent="0.25" r="202" customHeight="1" ht="17.25">
      <c r="A202" s="17" t="s">
        <v>8049</v>
      </c>
      <c r="B202" s="17" t="s">
        <v>340</v>
      </c>
      <c r="C202" s="17" t="s">
        <v>76</v>
      </c>
      <c r="D202" s="17" t="s">
        <v>39</v>
      </c>
      <c r="E202" s="18">
        <f>ROUND(11274*1.05,2)</f>
      </c>
      <c r="F202" s="17" t="s">
        <v>40</v>
      </c>
      <c r="G202" s="17" t="s">
        <v>24</v>
      </c>
      <c r="H202" s="18">
        <f>ROUND(RAND()*4+6,1)</f>
      </c>
      <c r="I202" s="17" t="s">
        <v>41</v>
      </c>
      <c r="J202" s="19">
        <f>ROUND(98*1,0)&amp;"%"</f>
      </c>
    </row>
    <row x14ac:dyDescent="0.25" r="203" customHeight="1" ht="17.25">
      <c r="A203" s="20" t="s">
        <v>8050</v>
      </c>
      <c r="B203" s="20" t="s">
        <v>342</v>
      </c>
      <c r="C203" s="20" t="s">
        <v>76</v>
      </c>
      <c r="D203" s="20" t="s">
        <v>67</v>
      </c>
      <c r="E203" s="21">
        <f>ROUND(5636*1.05,2)</f>
      </c>
      <c r="F203" s="20" t="s">
        <v>44</v>
      </c>
      <c r="G203" s="20" t="s">
        <v>30</v>
      </c>
      <c r="H203" s="21">
        <f>ROUND(RAND()*4+6,1)</f>
      </c>
      <c r="I203" s="20" t="s">
        <v>45</v>
      </c>
      <c r="J203" s="23">
        <f>ROUND(78*1,0)&amp;"%"</f>
      </c>
    </row>
    <row x14ac:dyDescent="0.25" r="204" customHeight="1" ht="17.25">
      <c r="A204" s="17" t="s">
        <v>8051</v>
      </c>
      <c r="B204" s="17" t="s">
        <v>344</v>
      </c>
      <c r="C204" s="17" t="s">
        <v>76</v>
      </c>
      <c r="D204" s="17" t="s">
        <v>16</v>
      </c>
      <c r="E204" s="26">
        <f>ROUND(11920*1.05,2)</f>
      </c>
      <c r="F204" s="17" t="s">
        <v>48</v>
      </c>
      <c r="G204" s="17" t="s">
        <v>18</v>
      </c>
      <c r="H204" s="18">
        <f>ROUND(RAND()*4+6,1)</f>
      </c>
      <c r="I204" s="17" t="s">
        <v>19</v>
      </c>
      <c r="J204" s="19">
        <f>ROUND(60*1,0)&amp;"%"</f>
      </c>
    </row>
    <row x14ac:dyDescent="0.25" r="205" customHeight="1" ht="17.25">
      <c r="A205" s="20" t="s">
        <v>8052</v>
      </c>
      <c r="B205" s="20" t="s">
        <v>346</v>
      </c>
      <c r="C205" s="20" t="s">
        <v>76</v>
      </c>
      <c r="D205" s="20" t="s">
        <v>22</v>
      </c>
      <c r="E205" s="21">
        <f>ROUND(17533*1.05,2)</f>
      </c>
      <c r="F205" s="20" t="s">
        <v>51</v>
      </c>
      <c r="G205" s="20" t="s">
        <v>24</v>
      </c>
      <c r="H205" s="21">
        <f>ROUND(RAND()*4+6,1)</f>
      </c>
      <c r="I205" s="20" t="s">
        <v>25</v>
      </c>
      <c r="J205" s="23">
        <f>ROUND(93*1,0)&amp;"%"</f>
      </c>
    </row>
    <row x14ac:dyDescent="0.25" r="206" customHeight="1" ht="17.25">
      <c r="A206" s="24" t="s">
        <v>347</v>
      </c>
      <c r="B206" s="24"/>
      <c r="C206" s="24"/>
      <c r="D206" s="24"/>
      <c r="E206" s="25">
        <v>8</v>
      </c>
      <c r="F206" s="9"/>
      <c r="G206" s="9"/>
      <c r="H206" s="10"/>
      <c r="I206" s="9"/>
      <c r="J206" s="9"/>
    </row>
    <row x14ac:dyDescent="0.25" r="207" customHeight="1" ht="17.25">
      <c r="A207" s="7"/>
      <c r="B207" s="7"/>
      <c r="C207" s="7"/>
      <c r="D207" s="7"/>
      <c r="E207" s="8"/>
      <c r="F207" s="9"/>
      <c r="G207" s="9"/>
      <c r="H207" s="10"/>
      <c r="I207" s="9"/>
      <c r="J207" s="9"/>
    </row>
    <row x14ac:dyDescent="0.25" r="208" customHeight="1" ht="17.25">
      <c r="A208" s="11" t="s">
        <v>8053</v>
      </c>
      <c r="B208" s="11"/>
      <c r="C208" s="11"/>
      <c r="D208" s="11"/>
      <c r="E208" s="12"/>
      <c r="F208" s="11"/>
      <c r="G208" s="11"/>
      <c r="H208" s="13"/>
      <c r="I208" s="11"/>
      <c r="J208" s="11"/>
    </row>
    <row x14ac:dyDescent="0.25" r="209" customHeight="1" ht="17.25">
      <c r="A209" s="14" t="s">
        <v>3</v>
      </c>
      <c r="B209" s="14" t="s">
        <v>4</v>
      </c>
      <c r="C209" s="14" t="s">
        <v>5</v>
      </c>
      <c r="D209" s="14" t="s">
        <v>6</v>
      </c>
      <c r="E209" s="15" t="s">
        <v>7</v>
      </c>
      <c r="F209" s="14" t="s">
        <v>8</v>
      </c>
      <c r="G209" s="14" t="s">
        <v>9</v>
      </c>
      <c r="H209" s="16" t="s">
        <v>10</v>
      </c>
      <c r="I209" s="14" t="s">
        <v>11</v>
      </c>
      <c r="J209" s="14" t="s">
        <v>12</v>
      </c>
    </row>
    <row x14ac:dyDescent="0.25" r="210" customHeight="1" ht="17.25">
      <c r="A210" s="17" t="s">
        <v>8054</v>
      </c>
      <c r="B210" s="17" t="s">
        <v>350</v>
      </c>
      <c r="C210" s="17" t="s">
        <v>95</v>
      </c>
      <c r="D210" s="17" t="s">
        <v>16</v>
      </c>
      <c r="E210" s="18">
        <f>ROUND(13282*1.05,2)</f>
      </c>
      <c r="F210" s="17" t="s">
        <v>17</v>
      </c>
      <c r="G210" s="17" t="s">
        <v>18</v>
      </c>
      <c r="H210" s="18">
        <f>ROUND(RAND()*4+6,1)</f>
      </c>
      <c r="I210" s="17" t="s">
        <v>19</v>
      </c>
      <c r="J210" s="19">
        <f>ROUND(96*1,0)&amp;"%"</f>
      </c>
    </row>
    <row x14ac:dyDescent="0.25" r="211" customHeight="1" ht="17.25">
      <c r="A211" s="20" t="s">
        <v>8055</v>
      </c>
      <c r="B211" s="20" t="s">
        <v>352</v>
      </c>
      <c r="C211" s="20" t="s">
        <v>95</v>
      </c>
      <c r="D211" s="20" t="s">
        <v>22</v>
      </c>
      <c r="E211" s="21">
        <f>ROUND(14205*1.05,2)</f>
      </c>
      <c r="F211" s="20" t="s">
        <v>23</v>
      </c>
      <c r="G211" s="20" t="s">
        <v>24</v>
      </c>
      <c r="H211" s="21">
        <f>ROUND(RAND()*4+6,1)</f>
      </c>
      <c r="I211" s="20" t="s">
        <v>25</v>
      </c>
      <c r="J211" s="23">
        <f>ROUND(98*1,0)&amp;"%"</f>
      </c>
    </row>
    <row x14ac:dyDescent="0.25" r="212" customHeight="1" ht="17.25">
      <c r="A212" s="17" t="s">
        <v>8056</v>
      </c>
      <c r="B212" s="17" t="s">
        <v>354</v>
      </c>
      <c r="C212" s="17" t="s">
        <v>95</v>
      </c>
      <c r="D212" s="17" t="s">
        <v>28</v>
      </c>
      <c r="E212" s="18">
        <f>ROUND(16392*1.05,2)</f>
      </c>
      <c r="F212" s="17" t="s">
        <v>29</v>
      </c>
      <c r="G212" s="17" t="s">
        <v>30</v>
      </c>
      <c r="H212" s="26">
        <f>ROUND(RAND()*4+6,1)</f>
      </c>
      <c r="I212" s="17" t="s">
        <v>31</v>
      </c>
      <c r="J212" s="19">
        <f>ROUND(93*1,0)&amp;"%"</f>
      </c>
    </row>
    <row x14ac:dyDescent="0.25" r="213" customHeight="1" ht="17.25">
      <c r="A213" s="20" t="s">
        <v>8057</v>
      </c>
      <c r="B213" s="20" t="s">
        <v>356</v>
      </c>
      <c r="C213" s="20" t="s">
        <v>95</v>
      </c>
      <c r="D213" s="20" t="s">
        <v>34</v>
      </c>
      <c r="E213" s="21">
        <f>ROUND(9395*1.05,2)</f>
      </c>
      <c r="F213" s="20" t="s">
        <v>35</v>
      </c>
      <c r="G213" s="20" t="s">
        <v>18</v>
      </c>
      <c r="H213" s="21">
        <f>ROUND(RAND()*4+6,1)</f>
      </c>
      <c r="I213" s="20" t="s">
        <v>36</v>
      </c>
      <c r="J213" s="23">
        <f>ROUND(85*1,0)&amp;"%"</f>
      </c>
    </row>
    <row x14ac:dyDescent="0.25" r="214" customHeight="1" ht="17.25">
      <c r="A214" s="17" t="s">
        <v>8058</v>
      </c>
      <c r="B214" s="17" t="s">
        <v>358</v>
      </c>
      <c r="C214" s="17" t="s">
        <v>95</v>
      </c>
      <c r="D214" s="17" t="s">
        <v>39</v>
      </c>
      <c r="E214" s="18">
        <f>ROUND(6847*1.05,2)</f>
      </c>
      <c r="F214" s="17" t="s">
        <v>40</v>
      </c>
      <c r="G214" s="17" t="s">
        <v>24</v>
      </c>
      <c r="H214" s="18">
        <f>ROUND(RAND()*4+6,1)</f>
      </c>
      <c r="I214" s="17" t="s">
        <v>41</v>
      </c>
      <c r="J214" s="19">
        <f>ROUND(75*1,0)&amp;"%"</f>
      </c>
    </row>
    <row x14ac:dyDescent="0.25" r="215" customHeight="1" ht="17.25">
      <c r="A215" s="20" t="s">
        <v>8059</v>
      </c>
      <c r="B215" s="20" t="s">
        <v>360</v>
      </c>
      <c r="C215" s="20" t="s">
        <v>95</v>
      </c>
      <c r="D215" s="20" t="s">
        <v>67</v>
      </c>
      <c r="E215" s="21">
        <f>ROUND(14648*1.05,2)</f>
      </c>
      <c r="F215" s="20" t="s">
        <v>44</v>
      </c>
      <c r="G215" s="20" t="s">
        <v>30</v>
      </c>
      <c r="H215" s="21">
        <f>ROUND(RAND()*4+6,1)</f>
      </c>
      <c r="I215" s="20" t="s">
        <v>45</v>
      </c>
      <c r="J215" s="23">
        <f>ROUND(69*1,0)&amp;"%"</f>
      </c>
    </row>
    <row x14ac:dyDescent="0.25" r="216" customHeight="1" ht="17.25">
      <c r="A216" s="17" t="s">
        <v>8060</v>
      </c>
      <c r="B216" s="17" t="s">
        <v>362</v>
      </c>
      <c r="C216" s="17" t="s">
        <v>95</v>
      </c>
      <c r="D216" s="17" t="s">
        <v>16</v>
      </c>
      <c r="E216" s="18">
        <f>ROUND(12267*1.05,2)</f>
      </c>
      <c r="F216" s="17" t="s">
        <v>48</v>
      </c>
      <c r="G216" s="17" t="s">
        <v>18</v>
      </c>
      <c r="H216" s="18">
        <f>ROUND(RAND()*4+6,1)</f>
      </c>
      <c r="I216" s="17" t="s">
        <v>19</v>
      </c>
      <c r="J216" s="19">
        <f>ROUND(85*1,0)&amp;"%"</f>
      </c>
    </row>
    <row x14ac:dyDescent="0.25" r="217" customHeight="1" ht="17.25">
      <c r="A217" s="20" t="s">
        <v>8061</v>
      </c>
      <c r="B217" s="20" t="s">
        <v>364</v>
      </c>
      <c r="C217" s="20" t="s">
        <v>95</v>
      </c>
      <c r="D217" s="20" t="s">
        <v>22</v>
      </c>
      <c r="E217" s="21">
        <f>ROUND(5862*1.05,2)</f>
      </c>
      <c r="F217" s="20" t="s">
        <v>51</v>
      </c>
      <c r="G217" s="20" t="s">
        <v>24</v>
      </c>
      <c r="H217" s="21">
        <f>ROUND(RAND()*4+6,1)</f>
      </c>
      <c r="I217" s="20" t="s">
        <v>25</v>
      </c>
      <c r="J217" s="23">
        <f>ROUND(96*1,0)&amp;"%"</f>
      </c>
    </row>
    <row x14ac:dyDescent="0.25" r="218" customHeight="1" ht="17.25">
      <c r="A218" s="24" t="s">
        <v>365</v>
      </c>
      <c r="B218" s="24"/>
      <c r="C218" s="24"/>
      <c r="D218" s="24"/>
      <c r="E218" s="25">
        <v>8</v>
      </c>
      <c r="F218" s="9"/>
      <c r="G218" s="9"/>
      <c r="H218" s="10"/>
      <c r="I218" s="9"/>
      <c r="J218" s="9"/>
    </row>
    <row x14ac:dyDescent="0.25" r="219" customHeight="1" ht="17.25">
      <c r="A219" s="7"/>
      <c r="B219" s="7"/>
      <c r="C219" s="7"/>
      <c r="D219" s="7"/>
      <c r="E219" s="8"/>
      <c r="F219" s="9"/>
      <c r="G219" s="9"/>
      <c r="H219" s="10"/>
      <c r="I219" s="9"/>
      <c r="J219" s="9"/>
    </row>
    <row x14ac:dyDescent="0.25" r="220" customHeight="1" ht="17.25">
      <c r="A220" s="11" t="s">
        <v>8062</v>
      </c>
      <c r="B220" s="11"/>
      <c r="C220" s="11"/>
      <c r="D220" s="11"/>
      <c r="E220" s="12"/>
      <c r="F220" s="11"/>
      <c r="G220" s="11"/>
      <c r="H220" s="13"/>
      <c r="I220" s="11"/>
      <c r="J220" s="11"/>
    </row>
    <row x14ac:dyDescent="0.25" r="221" customHeight="1" ht="17.25">
      <c r="A221" s="14" t="s">
        <v>3</v>
      </c>
      <c r="B221" s="14" t="s">
        <v>4</v>
      </c>
      <c r="C221" s="14" t="s">
        <v>5</v>
      </c>
      <c r="D221" s="14" t="s">
        <v>6</v>
      </c>
      <c r="E221" s="15" t="s">
        <v>7</v>
      </c>
      <c r="F221" s="14" t="s">
        <v>8</v>
      </c>
      <c r="G221" s="14" t="s">
        <v>9</v>
      </c>
      <c r="H221" s="16" t="s">
        <v>10</v>
      </c>
      <c r="I221" s="14" t="s">
        <v>11</v>
      </c>
      <c r="J221" s="14" t="s">
        <v>12</v>
      </c>
    </row>
    <row x14ac:dyDescent="0.25" r="222" customHeight="1" ht="17.25">
      <c r="A222" s="17" t="s">
        <v>8063</v>
      </c>
      <c r="B222" s="17" t="s">
        <v>368</v>
      </c>
      <c r="C222" s="17" t="s">
        <v>114</v>
      </c>
      <c r="D222" s="17" t="s">
        <v>16</v>
      </c>
      <c r="E222" s="18">
        <f>ROUND(13856*1.05,2)</f>
      </c>
      <c r="F222" s="17" t="s">
        <v>17</v>
      </c>
      <c r="G222" s="17" t="s">
        <v>18</v>
      </c>
      <c r="H222" s="18">
        <f>ROUND(RAND()*4+6,1)</f>
      </c>
      <c r="I222" s="17" t="s">
        <v>19</v>
      </c>
      <c r="J222" s="19">
        <f>ROUND(68*1,0)&amp;"%"</f>
      </c>
    </row>
    <row x14ac:dyDescent="0.25" r="223" customHeight="1" ht="17.25">
      <c r="A223" s="20" t="s">
        <v>8064</v>
      </c>
      <c r="B223" s="20" t="s">
        <v>370</v>
      </c>
      <c r="C223" s="20" t="s">
        <v>114</v>
      </c>
      <c r="D223" s="20" t="s">
        <v>22</v>
      </c>
      <c r="E223" s="21">
        <f>ROUND(8755*1.05,2)</f>
      </c>
      <c r="F223" s="20" t="s">
        <v>23</v>
      </c>
      <c r="G223" s="20" t="s">
        <v>24</v>
      </c>
      <c r="H223" s="21">
        <f>ROUND(RAND()*4+6,1)</f>
      </c>
      <c r="I223" s="20" t="s">
        <v>25</v>
      </c>
      <c r="J223" s="23">
        <f>ROUND(97*1,0)&amp;"%"</f>
      </c>
    </row>
    <row x14ac:dyDescent="0.25" r="224" customHeight="1" ht="17.25">
      <c r="A224" s="17" t="s">
        <v>8065</v>
      </c>
      <c r="B224" s="17" t="s">
        <v>372</v>
      </c>
      <c r="C224" s="17" t="s">
        <v>114</v>
      </c>
      <c r="D224" s="17" t="s">
        <v>28</v>
      </c>
      <c r="E224" s="18">
        <f>ROUND(10132*1.05,2)</f>
      </c>
      <c r="F224" s="17" t="s">
        <v>29</v>
      </c>
      <c r="G224" s="17" t="s">
        <v>30</v>
      </c>
      <c r="H224" s="18">
        <f>ROUND(RAND()*4+6,1)</f>
      </c>
      <c r="I224" s="17" t="s">
        <v>31</v>
      </c>
      <c r="J224" s="19">
        <f>ROUND(82*1,0)&amp;"%"</f>
      </c>
    </row>
    <row x14ac:dyDescent="0.25" r="225" customHeight="1" ht="17.25">
      <c r="A225" s="20" t="s">
        <v>8066</v>
      </c>
      <c r="B225" s="20" t="s">
        <v>374</v>
      </c>
      <c r="C225" s="20" t="s">
        <v>114</v>
      </c>
      <c r="D225" s="20" t="s">
        <v>34</v>
      </c>
      <c r="E225" s="21">
        <f>ROUND(12763*1.05,2)</f>
      </c>
      <c r="F225" s="20" t="s">
        <v>35</v>
      </c>
      <c r="G225" s="20" t="s">
        <v>18</v>
      </c>
      <c r="H225" s="21">
        <f>ROUND(RAND()*4+6,1)</f>
      </c>
      <c r="I225" s="20" t="s">
        <v>36</v>
      </c>
      <c r="J225" s="23">
        <f>ROUND(98*1,0)&amp;"%"</f>
      </c>
    </row>
    <row x14ac:dyDescent="0.25" r="226" customHeight="1" ht="17.25">
      <c r="A226" s="17" t="s">
        <v>8067</v>
      </c>
      <c r="B226" s="17" t="s">
        <v>376</v>
      </c>
      <c r="C226" s="17" t="s">
        <v>114</v>
      </c>
      <c r="D226" s="17" t="s">
        <v>39</v>
      </c>
      <c r="E226" s="18">
        <f>ROUND(15644*1.05,2)</f>
      </c>
      <c r="F226" s="17" t="s">
        <v>40</v>
      </c>
      <c r="G226" s="17" t="s">
        <v>24</v>
      </c>
      <c r="H226" s="18">
        <f>ROUND(RAND()*4+6,1)</f>
      </c>
      <c r="I226" s="17" t="s">
        <v>41</v>
      </c>
      <c r="J226" s="19">
        <f>ROUND(98*1,0)&amp;"%"</f>
      </c>
    </row>
    <row x14ac:dyDescent="0.25" r="227" customHeight="1" ht="17.25">
      <c r="A227" s="20" t="s">
        <v>8068</v>
      </c>
      <c r="B227" s="20" t="s">
        <v>378</v>
      </c>
      <c r="C227" s="20" t="s">
        <v>114</v>
      </c>
      <c r="D227" s="20" t="s">
        <v>67</v>
      </c>
      <c r="E227" s="21">
        <f>ROUND(14896*1.05,2)</f>
      </c>
      <c r="F227" s="20" t="s">
        <v>44</v>
      </c>
      <c r="G227" s="20" t="s">
        <v>30</v>
      </c>
      <c r="H227" s="21">
        <f>ROUND(RAND()*4+6,1)</f>
      </c>
      <c r="I227" s="20" t="s">
        <v>45</v>
      </c>
      <c r="J227" s="23">
        <f>ROUND(75*1,0)&amp;"%"</f>
      </c>
    </row>
    <row x14ac:dyDescent="0.25" r="228" customHeight="1" ht="17.25">
      <c r="A228" s="17" t="s">
        <v>8069</v>
      </c>
      <c r="B228" s="17" t="s">
        <v>380</v>
      </c>
      <c r="C228" s="17" t="s">
        <v>114</v>
      </c>
      <c r="D228" s="17" t="s">
        <v>16</v>
      </c>
      <c r="E228" s="18">
        <f>ROUND(14204*1.05,2)</f>
      </c>
      <c r="F228" s="17" t="s">
        <v>48</v>
      </c>
      <c r="G228" s="17" t="s">
        <v>18</v>
      </c>
      <c r="H228" s="18">
        <f>ROUND(RAND()*4+6,1)</f>
      </c>
      <c r="I228" s="17" t="s">
        <v>19</v>
      </c>
      <c r="J228" s="19">
        <f>ROUND(81*1,0)&amp;"%"</f>
      </c>
    </row>
    <row x14ac:dyDescent="0.25" r="229" customHeight="1" ht="17.25">
      <c r="A229" s="20" t="s">
        <v>8070</v>
      </c>
      <c r="B229" s="20" t="s">
        <v>382</v>
      </c>
      <c r="C229" s="20" t="s">
        <v>114</v>
      </c>
      <c r="D229" s="20" t="s">
        <v>22</v>
      </c>
      <c r="E229" s="21">
        <f>ROUND(8892*1.05,2)</f>
      </c>
      <c r="F229" s="20" t="s">
        <v>51</v>
      </c>
      <c r="G229" s="20" t="s">
        <v>24</v>
      </c>
      <c r="H229" s="21">
        <f>ROUND(RAND()*4+6,1)</f>
      </c>
      <c r="I229" s="20" t="s">
        <v>25</v>
      </c>
      <c r="J229" s="23">
        <f>ROUND(93*1,0)&amp;"%"</f>
      </c>
    </row>
    <row x14ac:dyDescent="0.25" r="230" customHeight="1" ht="17.25">
      <c r="A230" s="24" t="s">
        <v>383</v>
      </c>
      <c r="B230" s="24"/>
      <c r="C230" s="24"/>
      <c r="D230" s="24"/>
      <c r="E230" s="25">
        <v>8</v>
      </c>
      <c r="F230" s="9"/>
      <c r="G230" s="9"/>
      <c r="H230" s="10"/>
      <c r="I230" s="9"/>
      <c r="J230" s="9"/>
    </row>
    <row x14ac:dyDescent="0.25" r="231" customHeight="1" ht="17.25">
      <c r="A231" s="7"/>
      <c r="B231" s="7"/>
      <c r="C231" s="7"/>
      <c r="D231" s="7"/>
      <c r="E231" s="8"/>
      <c r="F231" s="9"/>
      <c r="G231" s="9"/>
      <c r="H231" s="10"/>
      <c r="I231" s="9"/>
      <c r="J231" s="9"/>
    </row>
    <row x14ac:dyDescent="0.25" r="232" customHeight="1" ht="17.25">
      <c r="A232" s="11" t="s">
        <v>8071</v>
      </c>
      <c r="B232" s="11"/>
      <c r="C232" s="11"/>
      <c r="D232" s="11"/>
      <c r="E232" s="12"/>
      <c r="F232" s="11"/>
      <c r="G232" s="11"/>
      <c r="H232" s="13"/>
      <c r="I232" s="11"/>
      <c r="J232" s="11"/>
    </row>
    <row x14ac:dyDescent="0.25" r="233" customHeight="1" ht="17.25">
      <c r="A233" s="14" t="s">
        <v>3</v>
      </c>
      <c r="B233" s="14" t="s">
        <v>4</v>
      </c>
      <c r="C233" s="14" t="s">
        <v>5</v>
      </c>
      <c r="D233" s="14" t="s">
        <v>6</v>
      </c>
      <c r="E233" s="15" t="s">
        <v>7</v>
      </c>
      <c r="F233" s="14" t="s">
        <v>8</v>
      </c>
      <c r="G233" s="14" t="s">
        <v>9</v>
      </c>
      <c r="H233" s="16" t="s">
        <v>10</v>
      </c>
      <c r="I233" s="14" t="s">
        <v>11</v>
      </c>
      <c r="J233" s="14" t="s">
        <v>12</v>
      </c>
    </row>
    <row x14ac:dyDescent="0.25" r="234" customHeight="1" ht="17.25">
      <c r="A234" s="17" t="s">
        <v>8072</v>
      </c>
      <c r="B234" s="17" t="s">
        <v>386</v>
      </c>
      <c r="C234" s="17" t="s">
        <v>133</v>
      </c>
      <c r="D234" s="17" t="s">
        <v>16</v>
      </c>
      <c r="E234" s="18">
        <f>ROUND(9922*1.05,2)</f>
      </c>
      <c r="F234" s="17" t="s">
        <v>17</v>
      </c>
      <c r="G234" s="17" t="s">
        <v>18</v>
      </c>
      <c r="H234" s="18">
        <f>ROUND(RAND()*4+6,1)</f>
      </c>
      <c r="I234" s="17" t="s">
        <v>19</v>
      </c>
      <c r="J234" s="19">
        <f>ROUND(61*1,0)&amp;"%"</f>
      </c>
    </row>
    <row x14ac:dyDescent="0.25" r="235" customHeight="1" ht="17.25">
      <c r="A235" s="20" t="s">
        <v>8073</v>
      </c>
      <c r="B235" s="20" t="s">
        <v>388</v>
      </c>
      <c r="C235" s="20" t="s">
        <v>133</v>
      </c>
      <c r="D235" s="20" t="s">
        <v>22</v>
      </c>
      <c r="E235" s="21">
        <f>ROUND(17604*1.05,2)</f>
      </c>
      <c r="F235" s="20" t="s">
        <v>23</v>
      </c>
      <c r="G235" s="20" t="s">
        <v>24</v>
      </c>
      <c r="H235" s="21">
        <f>ROUND(RAND()*4+6,1)</f>
      </c>
      <c r="I235" s="20" t="s">
        <v>25</v>
      </c>
      <c r="J235" s="23">
        <f>ROUND(67*1,0)&amp;"%"</f>
      </c>
    </row>
    <row x14ac:dyDescent="0.25" r="236" customHeight="1" ht="17.25">
      <c r="A236" s="17" t="s">
        <v>8074</v>
      </c>
      <c r="B236" s="17" t="s">
        <v>390</v>
      </c>
      <c r="C236" s="17" t="s">
        <v>133</v>
      </c>
      <c r="D236" s="17" t="s">
        <v>28</v>
      </c>
      <c r="E236" s="18">
        <f>ROUND(14896*1.05,2)</f>
      </c>
      <c r="F236" s="17" t="s">
        <v>29</v>
      </c>
      <c r="G236" s="17" t="s">
        <v>30</v>
      </c>
      <c r="H236" s="18">
        <f>ROUND(RAND()*4+6,1)</f>
      </c>
      <c r="I236" s="17" t="s">
        <v>31</v>
      </c>
      <c r="J236" s="19">
        <f>ROUND(79*1,0)&amp;"%"</f>
      </c>
    </row>
    <row x14ac:dyDescent="0.25" r="237" customHeight="1" ht="17.25">
      <c r="A237" s="20" t="s">
        <v>8075</v>
      </c>
      <c r="B237" s="20" t="s">
        <v>392</v>
      </c>
      <c r="C237" s="20" t="s">
        <v>133</v>
      </c>
      <c r="D237" s="20" t="s">
        <v>34</v>
      </c>
      <c r="E237" s="21">
        <f>ROUND(10817*1.05,2)</f>
      </c>
      <c r="F237" s="20" t="s">
        <v>35</v>
      </c>
      <c r="G237" s="20" t="s">
        <v>18</v>
      </c>
      <c r="H237" s="22">
        <f>ROUND(RAND()*4+6,1)</f>
      </c>
      <c r="I237" s="20" t="s">
        <v>36</v>
      </c>
      <c r="J237" s="23">
        <f>ROUND(61*1,0)&amp;"%"</f>
      </c>
    </row>
    <row x14ac:dyDescent="0.25" r="238" customHeight="1" ht="17.25">
      <c r="A238" s="17" t="s">
        <v>8076</v>
      </c>
      <c r="B238" s="17" t="s">
        <v>394</v>
      </c>
      <c r="C238" s="17" t="s">
        <v>133</v>
      </c>
      <c r="D238" s="17" t="s">
        <v>39</v>
      </c>
      <c r="E238" s="18">
        <f>ROUND(7258*1.05,2)</f>
      </c>
      <c r="F238" s="17" t="s">
        <v>40</v>
      </c>
      <c r="G238" s="17" t="s">
        <v>24</v>
      </c>
      <c r="H238" s="18">
        <f>ROUND(RAND()*4+6,1)</f>
      </c>
      <c r="I238" s="17" t="s">
        <v>41</v>
      </c>
      <c r="J238" s="19">
        <f>ROUND(81*1,0)&amp;"%"</f>
      </c>
    </row>
    <row x14ac:dyDescent="0.25" r="239" customHeight="1" ht="17.25">
      <c r="A239" s="20" t="s">
        <v>8077</v>
      </c>
      <c r="B239" s="20" t="s">
        <v>396</v>
      </c>
      <c r="C239" s="20" t="s">
        <v>133</v>
      </c>
      <c r="D239" s="20" t="s">
        <v>67</v>
      </c>
      <c r="E239" s="21">
        <f>ROUND(10106*1.05,2)</f>
      </c>
      <c r="F239" s="20" t="s">
        <v>44</v>
      </c>
      <c r="G239" s="20" t="s">
        <v>30</v>
      </c>
      <c r="H239" s="21">
        <f>ROUND(RAND()*4+6,1)</f>
      </c>
      <c r="I239" s="20" t="s">
        <v>45</v>
      </c>
      <c r="J239" s="23">
        <f>ROUND(92*1,0)&amp;"%"</f>
      </c>
    </row>
    <row x14ac:dyDescent="0.25" r="240" customHeight="1" ht="17.25">
      <c r="A240" s="17" t="s">
        <v>8078</v>
      </c>
      <c r="B240" s="17" t="s">
        <v>398</v>
      </c>
      <c r="C240" s="17" t="s">
        <v>133</v>
      </c>
      <c r="D240" s="17" t="s">
        <v>16</v>
      </c>
      <c r="E240" s="18">
        <f>ROUND(7064*1.05,2)</f>
      </c>
      <c r="F240" s="17" t="s">
        <v>48</v>
      </c>
      <c r="G240" s="17" t="s">
        <v>18</v>
      </c>
      <c r="H240" s="18">
        <f>ROUND(RAND()*4+6,1)</f>
      </c>
      <c r="I240" s="17" t="s">
        <v>19</v>
      </c>
      <c r="J240" s="19">
        <f>ROUND(66*1,0)&amp;"%"</f>
      </c>
    </row>
    <row x14ac:dyDescent="0.25" r="241" customHeight="1" ht="17.25">
      <c r="A241" s="20" t="s">
        <v>8079</v>
      </c>
      <c r="B241" s="20" t="s">
        <v>400</v>
      </c>
      <c r="C241" s="20" t="s">
        <v>133</v>
      </c>
      <c r="D241" s="20" t="s">
        <v>22</v>
      </c>
      <c r="E241" s="21">
        <f>ROUND(15121*1.05,2)</f>
      </c>
      <c r="F241" s="20" t="s">
        <v>51</v>
      </c>
      <c r="G241" s="20" t="s">
        <v>24</v>
      </c>
      <c r="H241" s="21">
        <f>ROUND(RAND()*4+6,1)</f>
      </c>
      <c r="I241" s="20" t="s">
        <v>25</v>
      </c>
      <c r="J241" s="23">
        <f>ROUND(72*1,0)&amp;"%"</f>
      </c>
    </row>
    <row x14ac:dyDescent="0.25" r="242" customHeight="1" ht="17.25">
      <c r="A242" s="24" t="s">
        <v>401</v>
      </c>
      <c r="B242" s="24"/>
      <c r="C242" s="24"/>
      <c r="D242" s="24"/>
      <c r="E242" s="25">
        <v>8</v>
      </c>
      <c r="F242" s="9"/>
      <c r="G242" s="9"/>
      <c r="H242" s="10"/>
      <c r="I242" s="9"/>
      <c r="J242" s="9"/>
    </row>
    <row x14ac:dyDescent="0.25" r="243" customHeight="1" ht="17.25">
      <c r="A243" s="7"/>
      <c r="B243" s="7"/>
      <c r="C243" s="7"/>
      <c r="D243" s="7"/>
      <c r="E243" s="8"/>
      <c r="F243" s="9"/>
      <c r="G243" s="9"/>
      <c r="H243" s="10"/>
      <c r="I243" s="9"/>
      <c r="J243" s="9"/>
    </row>
    <row x14ac:dyDescent="0.25" r="244" customHeight="1" ht="17.25">
      <c r="A244" s="11" t="s">
        <v>8080</v>
      </c>
      <c r="B244" s="11"/>
      <c r="C244" s="11"/>
      <c r="D244" s="11"/>
      <c r="E244" s="12"/>
      <c r="F244" s="11"/>
      <c r="G244" s="11"/>
      <c r="H244" s="13"/>
      <c r="I244" s="11"/>
      <c r="J244" s="11"/>
    </row>
    <row x14ac:dyDescent="0.25" r="245" customHeight="1" ht="17.25">
      <c r="A245" s="14" t="s">
        <v>3</v>
      </c>
      <c r="B245" s="14" t="s">
        <v>4</v>
      </c>
      <c r="C245" s="14" t="s">
        <v>5</v>
      </c>
      <c r="D245" s="14" t="s">
        <v>6</v>
      </c>
      <c r="E245" s="15" t="s">
        <v>7</v>
      </c>
      <c r="F245" s="14" t="s">
        <v>8</v>
      </c>
      <c r="G245" s="14" t="s">
        <v>9</v>
      </c>
      <c r="H245" s="16" t="s">
        <v>10</v>
      </c>
      <c r="I245" s="14" t="s">
        <v>11</v>
      </c>
      <c r="J245" s="14" t="s">
        <v>12</v>
      </c>
    </row>
    <row x14ac:dyDescent="0.25" r="246" customHeight="1" ht="17.25">
      <c r="A246" s="17" t="s">
        <v>8081</v>
      </c>
      <c r="B246" s="17" t="s">
        <v>404</v>
      </c>
      <c r="C246" s="17" t="s">
        <v>152</v>
      </c>
      <c r="D246" s="17" t="s">
        <v>16</v>
      </c>
      <c r="E246" s="18">
        <f>ROUND(13350*1.05,2)</f>
      </c>
      <c r="F246" s="17" t="s">
        <v>17</v>
      </c>
      <c r="G246" s="17" t="s">
        <v>18</v>
      </c>
      <c r="H246" s="18">
        <f>ROUND(RAND()*4+6,1)</f>
      </c>
      <c r="I246" s="17" t="s">
        <v>19</v>
      </c>
      <c r="J246" s="19">
        <f>ROUND(97*1,0)&amp;"%"</f>
      </c>
    </row>
    <row x14ac:dyDescent="0.25" r="247" customHeight="1" ht="17.25">
      <c r="A247" s="20" t="s">
        <v>8082</v>
      </c>
      <c r="B247" s="20" t="s">
        <v>406</v>
      </c>
      <c r="C247" s="20" t="s">
        <v>152</v>
      </c>
      <c r="D247" s="20" t="s">
        <v>22</v>
      </c>
      <c r="E247" s="21">
        <f>ROUND(4799*1.05,2)</f>
      </c>
      <c r="F247" s="20" t="s">
        <v>23</v>
      </c>
      <c r="G247" s="20" t="s">
        <v>24</v>
      </c>
      <c r="H247" s="21">
        <f>ROUND(RAND()*4+6,1)</f>
      </c>
      <c r="I247" s="20" t="s">
        <v>25</v>
      </c>
      <c r="J247" s="23">
        <f>ROUND(96*1,0)&amp;"%"</f>
      </c>
    </row>
    <row x14ac:dyDescent="0.25" r="248" customHeight="1" ht="17.25">
      <c r="A248" s="17" t="s">
        <v>8083</v>
      </c>
      <c r="B248" s="17" t="s">
        <v>408</v>
      </c>
      <c r="C248" s="17" t="s">
        <v>152</v>
      </c>
      <c r="D248" s="17" t="s">
        <v>28</v>
      </c>
      <c r="E248" s="18">
        <f>ROUND(15609*1.05,2)</f>
      </c>
      <c r="F248" s="17" t="s">
        <v>29</v>
      </c>
      <c r="G248" s="17" t="s">
        <v>30</v>
      </c>
      <c r="H248" s="18">
        <f>ROUND(RAND()*4+6,1)</f>
      </c>
      <c r="I248" s="17" t="s">
        <v>31</v>
      </c>
      <c r="J248" s="19">
        <f>ROUND(72*1,0)&amp;"%"</f>
      </c>
    </row>
    <row x14ac:dyDescent="0.25" r="249" customHeight="1" ht="17.25">
      <c r="A249" s="20" t="s">
        <v>8084</v>
      </c>
      <c r="B249" s="20" t="s">
        <v>410</v>
      </c>
      <c r="C249" s="20" t="s">
        <v>152</v>
      </c>
      <c r="D249" s="20" t="s">
        <v>34</v>
      </c>
      <c r="E249" s="21">
        <f>ROUND(7504*1.05,2)</f>
      </c>
      <c r="F249" s="20" t="s">
        <v>35</v>
      </c>
      <c r="G249" s="20" t="s">
        <v>18</v>
      </c>
      <c r="H249" s="21">
        <f>ROUND(RAND()*4+6,1)</f>
      </c>
      <c r="I249" s="20" t="s">
        <v>36</v>
      </c>
      <c r="J249" s="23">
        <f>ROUND(85*1,0)&amp;"%"</f>
      </c>
    </row>
    <row x14ac:dyDescent="0.25" r="250" customHeight="1" ht="17.25">
      <c r="A250" s="17" t="s">
        <v>8085</v>
      </c>
      <c r="B250" s="17" t="s">
        <v>412</v>
      </c>
      <c r="C250" s="17" t="s">
        <v>152</v>
      </c>
      <c r="D250" s="17" t="s">
        <v>39</v>
      </c>
      <c r="E250" s="18">
        <f>ROUND(8650*1.05,2)</f>
      </c>
      <c r="F250" s="17" t="s">
        <v>40</v>
      </c>
      <c r="G250" s="17" t="s">
        <v>24</v>
      </c>
      <c r="H250" s="18">
        <f>ROUND(RAND()*4+6,1)</f>
      </c>
      <c r="I250" s="17" t="s">
        <v>41</v>
      </c>
      <c r="J250" s="19">
        <f>ROUND(76*1,0)&amp;"%"</f>
      </c>
    </row>
    <row x14ac:dyDescent="0.25" r="251" customHeight="1" ht="17.25">
      <c r="A251" s="20" t="s">
        <v>8086</v>
      </c>
      <c r="B251" s="20" t="s">
        <v>414</v>
      </c>
      <c r="C251" s="20" t="s">
        <v>152</v>
      </c>
      <c r="D251" s="20" t="s">
        <v>67</v>
      </c>
      <c r="E251" s="21">
        <f>ROUND(16384*1.05,2)</f>
      </c>
      <c r="F251" s="20" t="s">
        <v>44</v>
      </c>
      <c r="G251" s="20" t="s">
        <v>30</v>
      </c>
      <c r="H251" s="21">
        <f>ROUND(RAND()*4+6,1)</f>
      </c>
      <c r="I251" s="20" t="s">
        <v>45</v>
      </c>
      <c r="J251" s="23">
        <f>ROUND(65*1,0)&amp;"%"</f>
      </c>
    </row>
    <row x14ac:dyDescent="0.25" r="252" customHeight="1" ht="17.25">
      <c r="A252" s="17" t="s">
        <v>8087</v>
      </c>
      <c r="B252" s="17" t="s">
        <v>416</v>
      </c>
      <c r="C252" s="17" t="s">
        <v>152</v>
      </c>
      <c r="D252" s="17" t="s">
        <v>16</v>
      </c>
      <c r="E252" s="18">
        <f>ROUND(11706*1.05,2)</f>
      </c>
      <c r="F252" s="17" t="s">
        <v>48</v>
      </c>
      <c r="G252" s="17" t="s">
        <v>18</v>
      </c>
      <c r="H252" s="18">
        <f>ROUND(RAND()*4+6,1)</f>
      </c>
      <c r="I252" s="17" t="s">
        <v>19</v>
      </c>
      <c r="J252" s="19">
        <f>ROUND(85*1,0)&amp;"%"</f>
      </c>
    </row>
    <row x14ac:dyDescent="0.25" r="253" customHeight="1" ht="17.25">
      <c r="A253" s="20" t="s">
        <v>8088</v>
      </c>
      <c r="B253" s="20" t="s">
        <v>418</v>
      </c>
      <c r="C253" s="20" t="s">
        <v>152</v>
      </c>
      <c r="D253" s="20" t="s">
        <v>22</v>
      </c>
      <c r="E253" s="21">
        <f>ROUND(11414*1.05,2)</f>
      </c>
      <c r="F253" s="20" t="s">
        <v>51</v>
      </c>
      <c r="G253" s="20" t="s">
        <v>24</v>
      </c>
      <c r="H253" s="21">
        <f>ROUND(RAND()*4+6,1)</f>
      </c>
      <c r="I253" s="20" t="s">
        <v>25</v>
      </c>
      <c r="J253" s="23">
        <f>ROUND(66*1,0)&amp;"%"</f>
      </c>
    </row>
    <row x14ac:dyDescent="0.25" r="254" customHeight="1" ht="17.25">
      <c r="A254" s="24" t="s">
        <v>419</v>
      </c>
      <c r="B254" s="24"/>
      <c r="C254" s="24"/>
      <c r="D254" s="24"/>
      <c r="E254" s="25">
        <v>8</v>
      </c>
      <c r="F254" s="9"/>
      <c r="G254" s="9"/>
      <c r="H254" s="10"/>
      <c r="I254" s="9"/>
      <c r="J254" s="9"/>
    </row>
    <row x14ac:dyDescent="0.25" r="255" customHeight="1" ht="17.25">
      <c r="A255" s="7"/>
      <c r="B255" s="7"/>
      <c r="C255" s="7"/>
      <c r="D255" s="7"/>
      <c r="E255" s="8"/>
      <c r="F255" s="9"/>
      <c r="G255" s="9"/>
      <c r="H255" s="10"/>
      <c r="I255" s="9"/>
      <c r="J255" s="9"/>
    </row>
    <row x14ac:dyDescent="0.25" r="256" customHeight="1" ht="17.25">
      <c r="A256" s="11" t="s">
        <v>8089</v>
      </c>
      <c r="B256" s="11"/>
      <c r="C256" s="11"/>
      <c r="D256" s="11"/>
      <c r="E256" s="12"/>
      <c r="F256" s="11"/>
      <c r="G256" s="11"/>
      <c r="H256" s="13"/>
      <c r="I256" s="11"/>
      <c r="J256" s="11"/>
    </row>
    <row x14ac:dyDescent="0.25" r="257" customHeight="1" ht="17.25">
      <c r="A257" s="14" t="s">
        <v>3</v>
      </c>
      <c r="B257" s="14" t="s">
        <v>4</v>
      </c>
      <c r="C257" s="14" t="s">
        <v>5</v>
      </c>
      <c r="D257" s="14" t="s">
        <v>6</v>
      </c>
      <c r="E257" s="15" t="s">
        <v>7</v>
      </c>
      <c r="F257" s="14" t="s">
        <v>8</v>
      </c>
      <c r="G257" s="14" t="s">
        <v>9</v>
      </c>
      <c r="H257" s="16" t="s">
        <v>10</v>
      </c>
      <c r="I257" s="14" t="s">
        <v>11</v>
      </c>
      <c r="J257" s="14" t="s">
        <v>12</v>
      </c>
    </row>
    <row x14ac:dyDescent="0.25" r="258" customHeight="1" ht="17.25">
      <c r="A258" s="17" t="s">
        <v>8090</v>
      </c>
      <c r="B258" s="17" t="s">
        <v>422</v>
      </c>
      <c r="C258" s="17" t="s">
        <v>15</v>
      </c>
      <c r="D258" s="17" t="s">
        <v>16</v>
      </c>
      <c r="E258" s="18">
        <f>ROUND(9501*1.05,2)</f>
      </c>
      <c r="F258" s="17" t="s">
        <v>17</v>
      </c>
      <c r="G258" s="17" t="s">
        <v>18</v>
      </c>
      <c r="H258" s="18">
        <f>ROUND(RAND()*4+6,1)</f>
      </c>
      <c r="I258" s="17" t="s">
        <v>19</v>
      </c>
      <c r="J258" s="19">
        <f>ROUND(63*1,0)&amp;"%"</f>
      </c>
    </row>
    <row x14ac:dyDescent="0.25" r="259" customHeight="1" ht="17.25">
      <c r="A259" s="20" t="s">
        <v>8091</v>
      </c>
      <c r="B259" s="20" t="s">
        <v>424</v>
      </c>
      <c r="C259" s="20" t="s">
        <v>15</v>
      </c>
      <c r="D259" s="20" t="s">
        <v>22</v>
      </c>
      <c r="E259" s="21">
        <f>ROUND(11832*1.05,2)</f>
      </c>
      <c r="F259" s="20" t="s">
        <v>23</v>
      </c>
      <c r="G259" s="20" t="s">
        <v>24</v>
      </c>
      <c r="H259" s="21">
        <f>ROUND(RAND()*4+6,1)</f>
      </c>
      <c r="I259" s="20" t="s">
        <v>25</v>
      </c>
      <c r="J259" s="23">
        <f>ROUND(78*1,0)&amp;"%"</f>
      </c>
    </row>
    <row x14ac:dyDescent="0.25" r="260" customHeight="1" ht="17.25">
      <c r="A260" s="17" t="s">
        <v>8092</v>
      </c>
      <c r="B260" s="17" t="s">
        <v>426</v>
      </c>
      <c r="C260" s="17" t="s">
        <v>15</v>
      </c>
      <c r="D260" s="17" t="s">
        <v>28</v>
      </c>
      <c r="E260" s="18">
        <f>ROUND(9249*1.05,2)</f>
      </c>
      <c r="F260" s="17" t="s">
        <v>29</v>
      </c>
      <c r="G260" s="17" t="s">
        <v>30</v>
      </c>
      <c r="H260" s="18">
        <f>ROUND(RAND()*4+6,1)</f>
      </c>
      <c r="I260" s="17" t="s">
        <v>31</v>
      </c>
      <c r="J260" s="19">
        <f>ROUND(81*1,0)&amp;"%"</f>
      </c>
    </row>
    <row x14ac:dyDescent="0.25" r="261" customHeight="1" ht="17.25">
      <c r="A261" s="20" t="s">
        <v>8093</v>
      </c>
      <c r="B261" s="20" t="s">
        <v>428</v>
      </c>
      <c r="C261" s="20" t="s">
        <v>15</v>
      </c>
      <c r="D261" s="20" t="s">
        <v>34</v>
      </c>
      <c r="E261" s="21">
        <f>ROUND(10653*1.05,2)</f>
      </c>
      <c r="F261" s="20" t="s">
        <v>35</v>
      </c>
      <c r="G261" s="20" t="s">
        <v>18</v>
      </c>
      <c r="H261" s="21">
        <f>ROUND(RAND()*4+6,1)</f>
      </c>
      <c r="I261" s="20" t="s">
        <v>36</v>
      </c>
      <c r="J261" s="23">
        <f>ROUND(62*1,0)&amp;"%"</f>
      </c>
    </row>
    <row x14ac:dyDescent="0.25" r="262" customHeight="1" ht="17.25">
      <c r="A262" s="17" t="s">
        <v>8094</v>
      </c>
      <c r="B262" s="17" t="s">
        <v>430</v>
      </c>
      <c r="C262" s="17" t="s">
        <v>15</v>
      </c>
      <c r="D262" s="17" t="s">
        <v>39</v>
      </c>
      <c r="E262" s="18">
        <f>ROUND(16204*1.05,2)</f>
      </c>
      <c r="F262" s="17" t="s">
        <v>40</v>
      </c>
      <c r="G262" s="17" t="s">
        <v>24</v>
      </c>
      <c r="H262" s="18">
        <f>ROUND(RAND()*4+6,1)</f>
      </c>
      <c r="I262" s="17" t="s">
        <v>41</v>
      </c>
      <c r="J262" s="19">
        <f>ROUND(73*1,0)&amp;"%"</f>
      </c>
    </row>
    <row x14ac:dyDescent="0.25" r="263" customHeight="1" ht="17.25">
      <c r="A263" s="20" t="s">
        <v>8095</v>
      </c>
      <c r="B263" s="20" t="s">
        <v>432</v>
      </c>
      <c r="C263" s="20" t="s">
        <v>15</v>
      </c>
      <c r="D263" s="20" t="s">
        <v>67</v>
      </c>
      <c r="E263" s="21">
        <f>ROUND(8224*1.05,2)</f>
      </c>
      <c r="F263" s="20" t="s">
        <v>44</v>
      </c>
      <c r="G263" s="20" t="s">
        <v>30</v>
      </c>
      <c r="H263" s="21">
        <f>ROUND(RAND()*4+6,1)</f>
      </c>
      <c r="I263" s="20" t="s">
        <v>45</v>
      </c>
      <c r="J263" s="23">
        <f>ROUND(84*1,0)&amp;"%"</f>
      </c>
    </row>
    <row x14ac:dyDescent="0.25" r="264" customHeight="1" ht="17.25">
      <c r="A264" s="17" t="s">
        <v>8096</v>
      </c>
      <c r="B264" s="17" t="s">
        <v>434</v>
      </c>
      <c r="C264" s="17" t="s">
        <v>15</v>
      </c>
      <c r="D264" s="17" t="s">
        <v>16</v>
      </c>
      <c r="E264" s="18">
        <f>ROUND(14155*1.05,2)</f>
      </c>
      <c r="F264" s="17" t="s">
        <v>48</v>
      </c>
      <c r="G264" s="17" t="s">
        <v>18</v>
      </c>
      <c r="H264" s="18">
        <f>ROUND(RAND()*4+6,1)</f>
      </c>
      <c r="I264" s="17" t="s">
        <v>19</v>
      </c>
      <c r="J264" s="19">
        <f>ROUND(81*1,0)&amp;"%"</f>
      </c>
    </row>
    <row x14ac:dyDescent="0.25" r="265" customHeight="1" ht="17.25">
      <c r="A265" s="20" t="s">
        <v>8097</v>
      </c>
      <c r="B265" s="20" t="s">
        <v>436</v>
      </c>
      <c r="C265" s="20" t="s">
        <v>15</v>
      </c>
      <c r="D265" s="20" t="s">
        <v>22</v>
      </c>
      <c r="E265" s="21">
        <f>ROUND(13395*1.05,2)</f>
      </c>
      <c r="F265" s="20" t="s">
        <v>51</v>
      </c>
      <c r="G265" s="20" t="s">
        <v>24</v>
      </c>
      <c r="H265" s="21">
        <f>ROUND(RAND()*4+6,1)</f>
      </c>
      <c r="I265" s="20" t="s">
        <v>25</v>
      </c>
      <c r="J265" s="23">
        <f>ROUND(88*1,0)&amp;"%"</f>
      </c>
    </row>
    <row x14ac:dyDescent="0.25" r="266" customHeight="1" ht="17.25">
      <c r="A266" s="24" t="s">
        <v>437</v>
      </c>
      <c r="B266" s="24"/>
      <c r="C266" s="24"/>
      <c r="D266" s="24"/>
      <c r="E266" s="25">
        <v>8</v>
      </c>
      <c r="F266" s="9"/>
      <c r="G266" s="9"/>
      <c r="H266" s="10"/>
      <c r="I266" s="9"/>
      <c r="J266" s="9"/>
    </row>
    <row x14ac:dyDescent="0.25" r="267" customHeight="1" ht="17.25">
      <c r="A267" s="7"/>
      <c r="B267" s="7"/>
      <c r="C267" s="7"/>
      <c r="D267" s="7"/>
      <c r="E267" s="8"/>
      <c r="F267" s="9"/>
      <c r="G267" s="9"/>
      <c r="H267" s="10"/>
      <c r="I267" s="9"/>
      <c r="J267" s="9"/>
    </row>
    <row x14ac:dyDescent="0.25" r="268" customHeight="1" ht="17.25">
      <c r="A268" s="11" t="s">
        <v>8098</v>
      </c>
      <c r="B268" s="11"/>
      <c r="C268" s="11"/>
      <c r="D268" s="11"/>
      <c r="E268" s="12"/>
      <c r="F268" s="11"/>
      <c r="G268" s="11"/>
      <c r="H268" s="13"/>
      <c r="I268" s="11"/>
      <c r="J268" s="11"/>
    </row>
    <row x14ac:dyDescent="0.25" r="269" customHeight="1" ht="17.25">
      <c r="A269" s="14" t="s">
        <v>3</v>
      </c>
      <c r="B269" s="14" t="s">
        <v>4</v>
      </c>
      <c r="C269" s="14" t="s">
        <v>5</v>
      </c>
      <c r="D269" s="14" t="s">
        <v>6</v>
      </c>
      <c r="E269" s="15" t="s">
        <v>7</v>
      </c>
      <c r="F269" s="14" t="s">
        <v>8</v>
      </c>
      <c r="G269" s="14" t="s">
        <v>9</v>
      </c>
      <c r="H269" s="16" t="s">
        <v>10</v>
      </c>
      <c r="I269" s="14" t="s">
        <v>11</v>
      </c>
      <c r="J269" s="14" t="s">
        <v>12</v>
      </c>
    </row>
    <row x14ac:dyDescent="0.25" r="270" customHeight="1" ht="17.25">
      <c r="A270" s="17" t="s">
        <v>8099</v>
      </c>
      <c r="B270" s="17" t="s">
        <v>440</v>
      </c>
      <c r="C270" s="17" t="s">
        <v>56</v>
      </c>
      <c r="D270" s="17" t="s">
        <v>16</v>
      </c>
      <c r="E270" s="18">
        <f>ROUND(7112*1.05,2)</f>
      </c>
      <c r="F270" s="17" t="s">
        <v>17</v>
      </c>
      <c r="G270" s="17" t="s">
        <v>18</v>
      </c>
      <c r="H270" s="18">
        <f>ROUND(RAND()*4+6,1)</f>
      </c>
      <c r="I270" s="17" t="s">
        <v>19</v>
      </c>
      <c r="J270" s="19">
        <f>ROUND(78*1,0)&amp;"%"</f>
      </c>
    </row>
    <row x14ac:dyDescent="0.25" r="271" customHeight="1" ht="17.25">
      <c r="A271" s="20" t="s">
        <v>8100</v>
      </c>
      <c r="B271" s="20" t="s">
        <v>442</v>
      </c>
      <c r="C271" s="20" t="s">
        <v>56</v>
      </c>
      <c r="D271" s="20" t="s">
        <v>22</v>
      </c>
      <c r="E271" s="21">
        <f>ROUND(4638*1.05,2)</f>
      </c>
      <c r="F271" s="20" t="s">
        <v>23</v>
      </c>
      <c r="G271" s="20" t="s">
        <v>24</v>
      </c>
      <c r="H271" s="21">
        <f>ROUND(RAND()*4+6,1)</f>
      </c>
      <c r="I271" s="20" t="s">
        <v>25</v>
      </c>
      <c r="J271" s="23">
        <f>ROUND(76*1,0)&amp;"%"</f>
      </c>
    </row>
    <row x14ac:dyDescent="0.25" r="272" customHeight="1" ht="17.25">
      <c r="A272" s="17" t="s">
        <v>8101</v>
      </c>
      <c r="B272" s="17" t="s">
        <v>444</v>
      </c>
      <c r="C272" s="17" t="s">
        <v>56</v>
      </c>
      <c r="D272" s="17" t="s">
        <v>28</v>
      </c>
      <c r="E272" s="18">
        <f>ROUND(12579*1.05,2)</f>
      </c>
      <c r="F272" s="17" t="s">
        <v>29</v>
      </c>
      <c r="G272" s="17" t="s">
        <v>30</v>
      </c>
      <c r="H272" s="18">
        <f>ROUND(RAND()*4+6,1)</f>
      </c>
      <c r="I272" s="17" t="s">
        <v>31</v>
      </c>
      <c r="J272" s="19">
        <f>ROUND(86*1,0)&amp;"%"</f>
      </c>
    </row>
    <row x14ac:dyDescent="0.25" r="273" customHeight="1" ht="17.25">
      <c r="A273" s="20" t="s">
        <v>8102</v>
      </c>
      <c r="B273" s="20" t="s">
        <v>446</v>
      </c>
      <c r="C273" s="20" t="s">
        <v>56</v>
      </c>
      <c r="D273" s="20" t="s">
        <v>34</v>
      </c>
      <c r="E273" s="21">
        <f>ROUND(9605*1.05,2)</f>
      </c>
      <c r="F273" s="20" t="s">
        <v>35</v>
      </c>
      <c r="G273" s="20" t="s">
        <v>18</v>
      </c>
      <c r="H273" s="21">
        <f>ROUND(RAND()*4+6,1)</f>
      </c>
      <c r="I273" s="20" t="s">
        <v>36</v>
      </c>
      <c r="J273" s="23">
        <f>ROUND(80*1,0)&amp;"%"</f>
      </c>
    </row>
    <row x14ac:dyDescent="0.25" r="274" customHeight="1" ht="17.25">
      <c r="A274" s="17" t="s">
        <v>8103</v>
      </c>
      <c r="B274" s="17" t="s">
        <v>448</v>
      </c>
      <c r="C274" s="17" t="s">
        <v>56</v>
      </c>
      <c r="D274" s="17" t="s">
        <v>39</v>
      </c>
      <c r="E274" s="18">
        <f>ROUND(5887*1.05,2)</f>
      </c>
      <c r="F274" s="17" t="s">
        <v>40</v>
      </c>
      <c r="G274" s="17" t="s">
        <v>24</v>
      </c>
      <c r="H274" s="18">
        <f>ROUND(RAND()*4+6,1)</f>
      </c>
      <c r="I274" s="17" t="s">
        <v>41</v>
      </c>
      <c r="J274" s="19">
        <f>ROUND(92*1,0)&amp;"%"</f>
      </c>
    </row>
    <row x14ac:dyDescent="0.25" r="275" customHeight="1" ht="17.25">
      <c r="A275" s="20" t="s">
        <v>8104</v>
      </c>
      <c r="B275" s="20" t="s">
        <v>450</v>
      </c>
      <c r="C275" s="20" t="s">
        <v>56</v>
      </c>
      <c r="D275" s="20" t="s">
        <v>67</v>
      </c>
      <c r="E275" s="21">
        <f>ROUND(10062*1.05,2)</f>
      </c>
      <c r="F275" s="20" t="s">
        <v>44</v>
      </c>
      <c r="G275" s="20" t="s">
        <v>30</v>
      </c>
      <c r="H275" s="21">
        <f>ROUND(RAND()*4+6,1)</f>
      </c>
      <c r="I275" s="20" t="s">
        <v>45</v>
      </c>
      <c r="J275" s="23">
        <f>ROUND(67*1,0)&amp;"%"</f>
      </c>
    </row>
    <row x14ac:dyDescent="0.25" r="276" customHeight="1" ht="17.25">
      <c r="A276" s="17" t="s">
        <v>8105</v>
      </c>
      <c r="B276" s="17" t="s">
        <v>452</v>
      </c>
      <c r="C276" s="17" t="s">
        <v>56</v>
      </c>
      <c r="D276" s="17" t="s">
        <v>16</v>
      </c>
      <c r="E276" s="18">
        <f>ROUND(10830*1.05,2)</f>
      </c>
      <c r="F276" s="17" t="s">
        <v>48</v>
      </c>
      <c r="G276" s="17" t="s">
        <v>18</v>
      </c>
      <c r="H276" s="18">
        <f>ROUND(RAND()*4+6,1)</f>
      </c>
      <c r="I276" s="17" t="s">
        <v>19</v>
      </c>
      <c r="J276" s="19">
        <f>ROUND(71*1,0)&amp;"%"</f>
      </c>
    </row>
    <row x14ac:dyDescent="0.25" r="277" customHeight="1" ht="17.25">
      <c r="A277" s="20" t="s">
        <v>8106</v>
      </c>
      <c r="B277" s="20" t="s">
        <v>454</v>
      </c>
      <c r="C277" s="20" t="s">
        <v>56</v>
      </c>
      <c r="D277" s="20" t="s">
        <v>22</v>
      </c>
      <c r="E277" s="21">
        <f>ROUND(9007*1.05,2)</f>
      </c>
      <c r="F277" s="20" t="s">
        <v>51</v>
      </c>
      <c r="G277" s="20" t="s">
        <v>24</v>
      </c>
      <c r="H277" s="21">
        <f>ROUND(RAND()*4+6,1)</f>
      </c>
      <c r="I277" s="20" t="s">
        <v>25</v>
      </c>
      <c r="J277" s="23">
        <f>ROUND(62*1,0)&amp;"%"</f>
      </c>
    </row>
    <row x14ac:dyDescent="0.25" r="278" customHeight="1" ht="17.25">
      <c r="A278" s="24" t="s">
        <v>455</v>
      </c>
      <c r="B278" s="24"/>
      <c r="C278" s="24"/>
      <c r="D278" s="24"/>
      <c r="E278" s="25">
        <v>8</v>
      </c>
      <c r="F278" s="9"/>
      <c r="G278" s="9"/>
      <c r="H278" s="10"/>
      <c r="I278" s="9"/>
      <c r="J278" s="9"/>
    </row>
    <row x14ac:dyDescent="0.25" r="279" customHeight="1" ht="17.25">
      <c r="A279" s="7"/>
      <c r="B279" s="7"/>
      <c r="C279" s="7"/>
      <c r="D279" s="7"/>
      <c r="E279" s="8"/>
      <c r="F279" s="9"/>
      <c r="G279" s="9"/>
      <c r="H279" s="10"/>
      <c r="I279" s="9"/>
      <c r="J279" s="9"/>
    </row>
    <row x14ac:dyDescent="0.25" r="280" customHeight="1" ht="17.25">
      <c r="A280" s="11" t="s">
        <v>8107</v>
      </c>
      <c r="B280" s="11"/>
      <c r="C280" s="11"/>
      <c r="D280" s="11"/>
      <c r="E280" s="12"/>
      <c r="F280" s="11"/>
      <c r="G280" s="11"/>
      <c r="H280" s="13"/>
      <c r="I280" s="11"/>
      <c r="J280" s="11"/>
    </row>
    <row x14ac:dyDescent="0.25" r="281" customHeight="1" ht="17.25">
      <c r="A281" s="14" t="s">
        <v>3</v>
      </c>
      <c r="B281" s="14" t="s">
        <v>4</v>
      </c>
      <c r="C281" s="14" t="s">
        <v>5</v>
      </c>
      <c r="D281" s="14" t="s">
        <v>6</v>
      </c>
      <c r="E281" s="15" t="s">
        <v>7</v>
      </c>
      <c r="F281" s="14" t="s">
        <v>8</v>
      </c>
      <c r="G281" s="14" t="s">
        <v>9</v>
      </c>
      <c r="H281" s="16" t="s">
        <v>10</v>
      </c>
      <c r="I281" s="14" t="s">
        <v>11</v>
      </c>
      <c r="J281" s="14" t="s">
        <v>12</v>
      </c>
    </row>
    <row x14ac:dyDescent="0.25" r="282" customHeight="1" ht="17.25">
      <c r="A282" s="17" t="s">
        <v>8108</v>
      </c>
      <c r="B282" s="17" t="s">
        <v>458</v>
      </c>
      <c r="C282" s="17" t="s">
        <v>76</v>
      </c>
      <c r="D282" s="17" t="s">
        <v>16</v>
      </c>
      <c r="E282" s="18">
        <f>ROUND(5525*1.05,2)</f>
      </c>
      <c r="F282" s="17" t="s">
        <v>17</v>
      </c>
      <c r="G282" s="17" t="s">
        <v>18</v>
      </c>
      <c r="H282" s="18">
        <f>ROUND(RAND()*4+6,1)</f>
      </c>
      <c r="I282" s="17" t="s">
        <v>19</v>
      </c>
      <c r="J282" s="19">
        <f>ROUND(69*1,0)&amp;"%"</f>
      </c>
    </row>
    <row x14ac:dyDescent="0.25" r="283" customHeight="1" ht="17.25">
      <c r="A283" s="20" t="s">
        <v>8109</v>
      </c>
      <c r="B283" s="20" t="s">
        <v>460</v>
      </c>
      <c r="C283" s="20" t="s">
        <v>76</v>
      </c>
      <c r="D283" s="20" t="s">
        <v>22</v>
      </c>
      <c r="E283" s="21">
        <f>ROUND(17129*1.05,2)</f>
      </c>
      <c r="F283" s="20" t="s">
        <v>23</v>
      </c>
      <c r="G283" s="20" t="s">
        <v>24</v>
      </c>
      <c r="H283" s="21">
        <f>ROUND(RAND()*4+6,1)</f>
      </c>
      <c r="I283" s="20" t="s">
        <v>25</v>
      </c>
      <c r="J283" s="23">
        <f>ROUND(68*1,0)&amp;"%"</f>
      </c>
    </row>
    <row x14ac:dyDescent="0.25" r="284" customHeight="1" ht="17.25">
      <c r="A284" s="17" t="s">
        <v>8110</v>
      </c>
      <c r="B284" s="17" t="s">
        <v>462</v>
      </c>
      <c r="C284" s="17" t="s">
        <v>76</v>
      </c>
      <c r="D284" s="17" t="s">
        <v>28</v>
      </c>
      <c r="E284" s="18">
        <f>ROUND(17764*1.05,2)</f>
      </c>
      <c r="F284" s="17" t="s">
        <v>29</v>
      </c>
      <c r="G284" s="17" t="s">
        <v>30</v>
      </c>
      <c r="H284" s="18">
        <f>ROUND(RAND()*4+6,1)</f>
      </c>
      <c r="I284" s="17" t="s">
        <v>31</v>
      </c>
      <c r="J284" s="19">
        <f>ROUND(78*1,0)&amp;"%"</f>
      </c>
    </row>
    <row x14ac:dyDescent="0.25" r="285" customHeight="1" ht="17.25">
      <c r="A285" s="20" t="s">
        <v>8111</v>
      </c>
      <c r="B285" s="20" t="s">
        <v>464</v>
      </c>
      <c r="C285" s="20" t="s">
        <v>76</v>
      </c>
      <c r="D285" s="20" t="s">
        <v>34</v>
      </c>
      <c r="E285" s="21">
        <f>ROUND(7556*1.05,2)</f>
      </c>
      <c r="F285" s="20" t="s">
        <v>35</v>
      </c>
      <c r="G285" s="20" t="s">
        <v>18</v>
      </c>
      <c r="H285" s="21">
        <f>ROUND(RAND()*4+6,1)</f>
      </c>
      <c r="I285" s="20" t="s">
        <v>36</v>
      </c>
      <c r="J285" s="23">
        <f>ROUND(94*1,0)&amp;"%"</f>
      </c>
    </row>
    <row x14ac:dyDescent="0.25" r="286" customHeight="1" ht="17.25">
      <c r="A286" s="17" t="s">
        <v>8112</v>
      </c>
      <c r="B286" s="17" t="s">
        <v>466</v>
      </c>
      <c r="C286" s="17" t="s">
        <v>76</v>
      </c>
      <c r="D286" s="17" t="s">
        <v>39</v>
      </c>
      <c r="E286" s="18">
        <f>ROUND(6621*1.05,2)</f>
      </c>
      <c r="F286" s="17" t="s">
        <v>40</v>
      </c>
      <c r="G286" s="17" t="s">
        <v>24</v>
      </c>
      <c r="H286" s="18">
        <f>ROUND(RAND()*4+6,1)</f>
      </c>
      <c r="I286" s="17" t="s">
        <v>41</v>
      </c>
      <c r="J286" s="19">
        <f>ROUND(92*1,0)&amp;"%"</f>
      </c>
    </row>
    <row x14ac:dyDescent="0.25" r="287" customHeight="1" ht="17.25">
      <c r="A287" s="20" t="s">
        <v>8113</v>
      </c>
      <c r="B287" s="20" t="s">
        <v>468</v>
      </c>
      <c r="C287" s="20" t="s">
        <v>76</v>
      </c>
      <c r="D287" s="20" t="s">
        <v>67</v>
      </c>
      <c r="E287" s="21">
        <f>ROUND(15751*1.05,2)</f>
      </c>
      <c r="F287" s="20" t="s">
        <v>44</v>
      </c>
      <c r="G287" s="20" t="s">
        <v>30</v>
      </c>
      <c r="H287" s="21">
        <f>ROUND(RAND()*4+6,1)</f>
      </c>
      <c r="I287" s="20" t="s">
        <v>45</v>
      </c>
      <c r="J287" s="23">
        <f>ROUND(100*1,0)&amp;"%"</f>
      </c>
    </row>
    <row x14ac:dyDescent="0.25" r="288" customHeight="1" ht="17.25">
      <c r="A288" s="17" t="s">
        <v>8114</v>
      </c>
      <c r="B288" s="17" t="s">
        <v>470</v>
      </c>
      <c r="C288" s="17" t="s">
        <v>76</v>
      </c>
      <c r="D288" s="17" t="s">
        <v>16</v>
      </c>
      <c r="E288" s="18">
        <f>ROUND(12309*1.05,2)</f>
      </c>
      <c r="F288" s="17" t="s">
        <v>48</v>
      </c>
      <c r="G288" s="17" t="s">
        <v>18</v>
      </c>
      <c r="H288" s="18">
        <f>ROUND(RAND()*4+6,1)</f>
      </c>
      <c r="I288" s="17" t="s">
        <v>19</v>
      </c>
      <c r="J288" s="19">
        <f>ROUND(90*1,0)&amp;"%"</f>
      </c>
    </row>
    <row x14ac:dyDescent="0.25" r="289" customHeight="1" ht="17.25">
      <c r="A289" s="20" t="s">
        <v>8115</v>
      </c>
      <c r="B289" s="20" t="s">
        <v>472</v>
      </c>
      <c r="C289" s="20" t="s">
        <v>76</v>
      </c>
      <c r="D289" s="20" t="s">
        <v>22</v>
      </c>
      <c r="E289" s="21">
        <f>ROUND(11823*1.05,2)</f>
      </c>
      <c r="F289" s="20" t="s">
        <v>51</v>
      </c>
      <c r="G289" s="20" t="s">
        <v>24</v>
      </c>
      <c r="H289" s="21">
        <f>ROUND(RAND()*4+6,1)</f>
      </c>
      <c r="I289" s="20" t="s">
        <v>25</v>
      </c>
      <c r="J289" s="23">
        <f>ROUND(78*1,0)&amp;"%"</f>
      </c>
    </row>
    <row x14ac:dyDescent="0.25" r="290" customHeight="1" ht="17.25">
      <c r="A290" s="24" t="s">
        <v>473</v>
      </c>
      <c r="B290" s="24"/>
      <c r="C290" s="24"/>
      <c r="D290" s="24"/>
      <c r="E290" s="25">
        <v>8</v>
      </c>
      <c r="F290" s="9"/>
      <c r="G290" s="9"/>
      <c r="H290" s="10"/>
      <c r="I290" s="9"/>
      <c r="J290" s="9"/>
    </row>
    <row x14ac:dyDescent="0.25" r="291" customHeight="1" ht="17.25">
      <c r="A291" s="7"/>
      <c r="B291" s="7"/>
      <c r="C291" s="7"/>
      <c r="D291" s="7"/>
      <c r="E291" s="8"/>
      <c r="F291" s="9"/>
      <c r="G291" s="9"/>
      <c r="H291" s="10"/>
      <c r="I291" s="9"/>
      <c r="J291" s="9"/>
    </row>
    <row x14ac:dyDescent="0.25" r="292" customHeight="1" ht="17.25">
      <c r="A292" s="11" t="s">
        <v>8116</v>
      </c>
      <c r="B292" s="11"/>
      <c r="C292" s="11"/>
      <c r="D292" s="11"/>
      <c r="E292" s="12"/>
      <c r="F292" s="11"/>
      <c r="G292" s="11"/>
      <c r="H292" s="13"/>
      <c r="I292" s="11"/>
      <c r="J292" s="11"/>
    </row>
    <row x14ac:dyDescent="0.25" r="293" customHeight="1" ht="17.25">
      <c r="A293" s="14" t="s">
        <v>3</v>
      </c>
      <c r="B293" s="14" t="s">
        <v>4</v>
      </c>
      <c r="C293" s="14" t="s">
        <v>5</v>
      </c>
      <c r="D293" s="14" t="s">
        <v>6</v>
      </c>
      <c r="E293" s="15" t="s">
        <v>7</v>
      </c>
      <c r="F293" s="14" t="s">
        <v>8</v>
      </c>
      <c r="G293" s="14" t="s">
        <v>9</v>
      </c>
      <c r="H293" s="16" t="s">
        <v>10</v>
      </c>
      <c r="I293" s="14" t="s">
        <v>11</v>
      </c>
      <c r="J293" s="14" t="s">
        <v>12</v>
      </c>
    </row>
    <row x14ac:dyDescent="0.25" r="294" customHeight="1" ht="17.25">
      <c r="A294" s="17" t="s">
        <v>8117</v>
      </c>
      <c r="B294" s="17" t="s">
        <v>476</v>
      </c>
      <c r="C294" s="17" t="s">
        <v>95</v>
      </c>
      <c r="D294" s="17" t="s">
        <v>16</v>
      </c>
      <c r="E294" s="18">
        <f>ROUND(17727*1.05,2)</f>
      </c>
      <c r="F294" s="17" t="s">
        <v>17</v>
      </c>
      <c r="G294" s="17" t="s">
        <v>18</v>
      </c>
      <c r="H294" s="18">
        <f>ROUND(RAND()*4+6,1)</f>
      </c>
      <c r="I294" s="17" t="s">
        <v>19</v>
      </c>
      <c r="J294" s="19">
        <f>ROUND(78*1,0)&amp;"%"</f>
      </c>
    </row>
    <row x14ac:dyDescent="0.25" r="295" customHeight="1" ht="17.25">
      <c r="A295" s="20" t="s">
        <v>8118</v>
      </c>
      <c r="B295" s="20" t="s">
        <v>478</v>
      </c>
      <c r="C295" s="20" t="s">
        <v>95</v>
      </c>
      <c r="D295" s="20" t="s">
        <v>22</v>
      </c>
      <c r="E295" s="21">
        <f>ROUND(12591*1.05,2)</f>
      </c>
      <c r="F295" s="20" t="s">
        <v>23</v>
      </c>
      <c r="G295" s="20" t="s">
        <v>24</v>
      </c>
      <c r="H295" s="21">
        <f>ROUND(RAND()*4+6,1)</f>
      </c>
      <c r="I295" s="20" t="s">
        <v>25</v>
      </c>
      <c r="J295" s="23">
        <f>ROUND(95*1,0)&amp;"%"</f>
      </c>
    </row>
    <row x14ac:dyDescent="0.25" r="296" customHeight="1" ht="17.25">
      <c r="A296" s="17" t="s">
        <v>8119</v>
      </c>
      <c r="B296" s="17" t="s">
        <v>480</v>
      </c>
      <c r="C296" s="17" t="s">
        <v>95</v>
      </c>
      <c r="D296" s="17" t="s">
        <v>28</v>
      </c>
      <c r="E296" s="18">
        <f>ROUND(6851*1.05,2)</f>
      </c>
      <c r="F296" s="17" t="s">
        <v>29</v>
      </c>
      <c r="G296" s="17" t="s">
        <v>30</v>
      </c>
      <c r="H296" s="26">
        <f>ROUND(RAND()*4+6,1)</f>
      </c>
      <c r="I296" s="17" t="s">
        <v>31</v>
      </c>
      <c r="J296" s="19">
        <f>ROUND(84*1,0)&amp;"%"</f>
      </c>
    </row>
    <row x14ac:dyDescent="0.25" r="297" customHeight="1" ht="17.25">
      <c r="A297" s="20" t="s">
        <v>8120</v>
      </c>
      <c r="B297" s="20" t="s">
        <v>482</v>
      </c>
      <c r="C297" s="20" t="s">
        <v>95</v>
      </c>
      <c r="D297" s="20" t="s">
        <v>34</v>
      </c>
      <c r="E297" s="21">
        <f>ROUND(11157*1.05,2)</f>
      </c>
      <c r="F297" s="20" t="s">
        <v>35</v>
      </c>
      <c r="G297" s="20" t="s">
        <v>18</v>
      </c>
      <c r="H297" s="21">
        <f>ROUND(RAND()*4+6,1)</f>
      </c>
      <c r="I297" s="20" t="s">
        <v>36</v>
      </c>
      <c r="J297" s="23">
        <f>ROUND(90*1,0)&amp;"%"</f>
      </c>
    </row>
    <row x14ac:dyDescent="0.25" r="298" customHeight="1" ht="17.25">
      <c r="A298" s="17" t="s">
        <v>8121</v>
      </c>
      <c r="B298" s="17" t="s">
        <v>484</v>
      </c>
      <c r="C298" s="17" t="s">
        <v>95</v>
      </c>
      <c r="D298" s="17" t="s">
        <v>39</v>
      </c>
      <c r="E298" s="18">
        <f>ROUND(16871*1.05,2)</f>
      </c>
      <c r="F298" s="17" t="s">
        <v>40</v>
      </c>
      <c r="G298" s="17" t="s">
        <v>24</v>
      </c>
      <c r="H298" s="18">
        <f>ROUND(RAND()*4+6,1)</f>
      </c>
      <c r="I298" s="17" t="s">
        <v>41</v>
      </c>
      <c r="J298" s="19">
        <f>ROUND(64*1,0)&amp;"%"</f>
      </c>
    </row>
    <row x14ac:dyDescent="0.25" r="299" customHeight="1" ht="17.25">
      <c r="A299" s="20" t="s">
        <v>8122</v>
      </c>
      <c r="B299" s="20" t="s">
        <v>486</v>
      </c>
      <c r="C299" s="20" t="s">
        <v>95</v>
      </c>
      <c r="D299" s="20" t="s">
        <v>67</v>
      </c>
      <c r="E299" s="21">
        <f>ROUND(15675*1.05,2)</f>
      </c>
      <c r="F299" s="20" t="s">
        <v>44</v>
      </c>
      <c r="G299" s="20" t="s">
        <v>30</v>
      </c>
      <c r="H299" s="21">
        <f>ROUND(RAND()*4+6,1)</f>
      </c>
      <c r="I299" s="20" t="s">
        <v>45</v>
      </c>
      <c r="J299" s="23">
        <f>ROUND(62*1,0)&amp;"%"</f>
      </c>
    </row>
    <row x14ac:dyDescent="0.25" r="300" customHeight="1" ht="17.25">
      <c r="A300" s="17" t="s">
        <v>8123</v>
      </c>
      <c r="B300" s="17" t="s">
        <v>488</v>
      </c>
      <c r="C300" s="17" t="s">
        <v>95</v>
      </c>
      <c r="D300" s="17" t="s">
        <v>16</v>
      </c>
      <c r="E300" s="18">
        <f>ROUND(9888*1.05,2)</f>
      </c>
      <c r="F300" s="17" t="s">
        <v>48</v>
      </c>
      <c r="G300" s="17" t="s">
        <v>18</v>
      </c>
      <c r="H300" s="18">
        <f>ROUND(RAND()*4+6,1)</f>
      </c>
      <c r="I300" s="17" t="s">
        <v>19</v>
      </c>
      <c r="J300" s="19">
        <f>ROUND(61*1,0)&amp;"%"</f>
      </c>
    </row>
    <row x14ac:dyDescent="0.25" r="301" customHeight="1" ht="17.25">
      <c r="A301" s="20" t="s">
        <v>8124</v>
      </c>
      <c r="B301" s="20" t="s">
        <v>490</v>
      </c>
      <c r="C301" s="20" t="s">
        <v>95</v>
      </c>
      <c r="D301" s="20" t="s">
        <v>22</v>
      </c>
      <c r="E301" s="21">
        <f>ROUND(6948*1.05,2)</f>
      </c>
      <c r="F301" s="20" t="s">
        <v>51</v>
      </c>
      <c r="G301" s="20" t="s">
        <v>24</v>
      </c>
      <c r="H301" s="21">
        <f>ROUND(RAND()*4+6,1)</f>
      </c>
      <c r="I301" s="20" t="s">
        <v>25</v>
      </c>
      <c r="J301" s="23">
        <f>ROUND(74*1,0)&amp;"%"</f>
      </c>
    </row>
    <row x14ac:dyDescent="0.25" r="302" customHeight="1" ht="17.25">
      <c r="A302" s="24" t="s">
        <v>491</v>
      </c>
      <c r="B302" s="24"/>
      <c r="C302" s="24"/>
      <c r="D302" s="24"/>
      <c r="E302" s="25">
        <v>8</v>
      </c>
      <c r="F302" s="9"/>
      <c r="G302" s="9"/>
      <c r="H302" s="10"/>
      <c r="I302" s="9"/>
      <c r="J302" s="9"/>
    </row>
    <row x14ac:dyDescent="0.25" r="303" customHeight="1" ht="17.25">
      <c r="A303" s="7"/>
      <c r="B303" s="7"/>
      <c r="C303" s="7"/>
      <c r="D303" s="7"/>
      <c r="E303" s="8"/>
      <c r="F303" s="9"/>
      <c r="G303" s="9"/>
      <c r="H303" s="10"/>
      <c r="I303" s="9"/>
      <c r="J303" s="9"/>
    </row>
    <row x14ac:dyDescent="0.25" r="304" customHeight="1" ht="17.25">
      <c r="A304" s="11" t="s">
        <v>8125</v>
      </c>
      <c r="B304" s="11"/>
      <c r="C304" s="11"/>
      <c r="D304" s="11"/>
      <c r="E304" s="12"/>
      <c r="F304" s="11"/>
      <c r="G304" s="11"/>
      <c r="H304" s="13"/>
      <c r="I304" s="11"/>
      <c r="J304" s="11"/>
    </row>
    <row x14ac:dyDescent="0.25" r="305" customHeight="1" ht="17.25">
      <c r="A305" s="14" t="s">
        <v>3</v>
      </c>
      <c r="B305" s="14" t="s">
        <v>4</v>
      </c>
      <c r="C305" s="14" t="s">
        <v>5</v>
      </c>
      <c r="D305" s="14" t="s">
        <v>6</v>
      </c>
      <c r="E305" s="15" t="s">
        <v>7</v>
      </c>
      <c r="F305" s="14" t="s">
        <v>8</v>
      </c>
      <c r="G305" s="14" t="s">
        <v>9</v>
      </c>
      <c r="H305" s="16" t="s">
        <v>10</v>
      </c>
      <c r="I305" s="14" t="s">
        <v>11</v>
      </c>
      <c r="J305" s="14" t="s">
        <v>12</v>
      </c>
    </row>
    <row x14ac:dyDescent="0.25" r="306" customHeight="1" ht="17.25">
      <c r="A306" s="17" t="s">
        <v>8126</v>
      </c>
      <c r="B306" s="17" t="s">
        <v>494</v>
      </c>
      <c r="C306" s="17" t="s">
        <v>114</v>
      </c>
      <c r="D306" s="17" t="s">
        <v>16</v>
      </c>
      <c r="E306" s="18">
        <f>ROUND(6307*1.05,2)</f>
      </c>
      <c r="F306" s="17" t="s">
        <v>17</v>
      </c>
      <c r="G306" s="17" t="s">
        <v>18</v>
      </c>
      <c r="H306" s="18">
        <f>ROUND(RAND()*4+6,1)</f>
      </c>
      <c r="I306" s="17" t="s">
        <v>19</v>
      </c>
      <c r="J306" s="19">
        <f>ROUND(66*1,0)&amp;"%"</f>
      </c>
    </row>
    <row x14ac:dyDescent="0.25" r="307" customHeight="1" ht="17.25">
      <c r="A307" s="20" t="s">
        <v>8127</v>
      </c>
      <c r="B307" s="20" t="s">
        <v>496</v>
      </c>
      <c r="C307" s="20" t="s">
        <v>114</v>
      </c>
      <c r="D307" s="20" t="s">
        <v>22</v>
      </c>
      <c r="E307" s="21">
        <f>ROUND(14681*1.05,2)</f>
      </c>
      <c r="F307" s="20" t="s">
        <v>23</v>
      </c>
      <c r="G307" s="20" t="s">
        <v>24</v>
      </c>
      <c r="H307" s="21">
        <f>ROUND(RAND()*4+6,1)</f>
      </c>
      <c r="I307" s="20" t="s">
        <v>25</v>
      </c>
      <c r="J307" s="23">
        <f>ROUND(62*1,0)&amp;"%"</f>
      </c>
    </row>
    <row x14ac:dyDescent="0.25" r="308" customHeight="1" ht="17.25">
      <c r="A308" s="17" t="s">
        <v>8128</v>
      </c>
      <c r="B308" s="17" t="s">
        <v>498</v>
      </c>
      <c r="C308" s="17" t="s">
        <v>114</v>
      </c>
      <c r="D308" s="17" t="s">
        <v>28</v>
      </c>
      <c r="E308" s="26">
        <f>ROUND(12340*1.05,2)</f>
      </c>
      <c r="F308" s="17" t="s">
        <v>29</v>
      </c>
      <c r="G308" s="17" t="s">
        <v>30</v>
      </c>
      <c r="H308" s="18">
        <f>ROUND(RAND()*4+6,1)</f>
      </c>
      <c r="I308" s="17" t="s">
        <v>31</v>
      </c>
      <c r="J308" s="19">
        <f>ROUND(90*1,0)&amp;"%"</f>
      </c>
    </row>
    <row x14ac:dyDescent="0.25" r="309" customHeight="1" ht="17.25">
      <c r="A309" s="20" t="s">
        <v>8129</v>
      </c>
      <c r="B309" s="20" t="s">
        <v>500</v>
      </c>
      <c r="C309" s="20" t="s">
        <v>114</v>
      </c>
      <c r="D309" s="20" t="s">
        <v>34</v>
      </c>
      <c r="E309" s="21">
        <f>ROUND(11416*1.05,2)</f>
      </c>
      <c r="F309" s="20" t="s">
        <v>35</v>
      </c>
      <c r="G309" s="20" t="s">
        <v>18</v>
      </c>
      <c r="H309" s="21">
        <f>ROUND(RAND()*4+6,1)</f>
      </c>
      <c r="I309" s="20" t="s">
        <v>36</v>
      </c>
      <c r="J309" s="23">
        <f>ROUND(64*1,0)&amp;"%"</f>
      </c>
    </row>
    <row x14ac:dyDescent="0.25" r="310" customHeight="1" ht="17.25">
      <c r="A310" s="17" t="s">
        <v>8130</v>
      </c>
      <c r="B310" s="17" t="s">
        <v>502</v>
      </c>
      <c r="C310" s="17" t="s">
        <v>114</v>
      </c>
      <c r="D310" s="17" t="s">
        <v>39</v>
      </c>
      <c r="E310" s="18">
        <f>ROUND(9216*1.05,2)</f>
      </c>
      <c r="F310" s="17" t="s">
        <v>40</v>
      </c>
      <c r="G310" s="17" t="s">
        <v>24</v>
      </c>
      <c r="H310" s="18">
        <f>ROUND(RAND()*4+6,1)</f>
      </c>
      <c r="I310" s="17" t="s">
        <v>41</v>
      </c>
      <c r="J310" s="19">
        <f>ROUND(98*1,0)&amp;"%"</f>
      </c>
    </row>
    <row x14ac:dyDescent="0.25" r="311" customHeight="1" ht="17.25">
      <c r="A311" s="20" t="s">
        <v>8131</v>
      </c>
      <c r="B311" s="20" t="s">
        <v>504</v>
      </c>
      <c r="C311" s="20" t="s">
        <v>114</v>
      </c>
      <c r="D311" s="20" t="s">
        <v>67</v>
      </c>
      <c r="E311" s="21">
        <f>ROUND(6485*1.05,2)</f>
      </c>
      <c r="F311" s="20" t="s">
        <v>44</v>
      </c>
      <c r="G311" s="20" t="s">
        <v>30</v>
      </c>
      <c r="H311" s="21">
        <f>ROUND(RAND()*4+6,1)</f>
      </c>
      <c r="I311" s="20" t="s">
        <v>45</v>
      </c>
      <c r="J311" s="23">
        <f>ROUND(85*1,0)&amp;"%"</f>
      </c>
    </row>
    <row x14ac:dyDescent="0.25" r="312" customHeight="1" ht="17.25">
      <c r="A312" s="17" t="s">
        <v>8132</v>
      </c>
      <c r="B312" s="17" t="s">
        <v>506</v>
      </c>
      <c r="C312" s="17" t="s">
        <v>114</v>
      </c>
      <c r="D312" s="17" t="s">
        <v>16</v>
      </c>
      <c r="E312" s="18">
        <f>ROUND(11705*1.05,2)</f>
      </c>
      <c r="F312" s="17" t="s">
        <v>48</v>
      </c>
      <c r="G312" s="17" t="s">
        <v>18</v>
      </c>
      <c r="H312" s="18">
        <f>ROUND(RAND()*4+6,1)</f>
      </c>
      <c r="I312" s="17" t="s">
        <v>19</v>
      </c>
      <c r="J312" s="19">
        <f>ROUND(93*1,0)&amp;"%"</f>
      </c>
    </row>
    <row x14ac:dyDescent="0.25" r="313" customHeight="1" ht="17.25">
      <c r="A313" s="20" t="s">
        <v>8133</v>
      </c>
      <c r="B313" s="20" t="s">
        <v>508</v>
      </c>
      <c r="C313" s="20" t="s">
        <v>114</v>
      </c>
      <c r="D313" s="20" t="s">
        <v>22</v>
      </c>
      <c r="E313" s="21">
        <f>ROUND(4623*1.05,2)</f>
      </c>
      <c r="F313" s="20" t="s">
        <v>51</v>
      </c>
      <c r="G313" s="20" t="s">
        <v>24</v>
      </c>
      <c r="H313" s="21">
        <f>ROUND(RAND()*4+6,1)</f>
      </c>
      <c r="I313" s="20" t="s">
        <v>25</v>
      </c>
      <c r="J313" s="23">
        <f>ROUND(97*1,0)&amp;"%"</f>
      </c>
    </row>
    <row x14ac:dyDescent="0.25" r="314" customHeight="1" ht="17.25">
      <c r="A314" s="24" t="s">
        <v>509</v>
      </c>
      <c r="B314" s="24"/>
      <c r="C314" s="24"/>
      <c r="D314" s="24"/>
      <c r="E314" s="25">
        <v>8</v>
      </c>
      <c r="F314" s="9"/>
      <c r="G314" s="9"/>
      <c r="H314" s="10"/>
      <c r="I314" s="9"/>
      <c r="J314" s="9"/>
    </row>
    <row x14ac:dyDescent="0.25" r="315" customHeight="1" ht="17.25">
      <c r="A315" s="7"/>
      <c r="B315" s="7"/>
      <c r="C315" s="7"/>
      <c r="D315" s="7"/>
      <c r="E315" s="8"/>
      <c r="F315" s="9"/>
      <c r="G315" s="9"/>
      <c r="H315" s="10"/>
      <c r="I315" s="9"/>
      <c r="J315" s="9"/>
    </row>
    <row x14ac:dyDescent="0.25" r="316" customHeight="1" ht="17.25">
      <c r="A316" s="11" t="s">
        <v>8134</v>
      </c>
      <c r="B316" s="11"/>
      <c r="C316" s="11"/>
      <c r="D316" s="11"/>
      <c r="E316" s="12"/>
      <c r="F316" s="11"/>
      <c r="G316" s="11"/>
      <c r="H316" s="13"/>
      <c r="I316" s="11"/>
      <c r="J316" s="11"/>
    </row>
    <row x14ac:dyDescent="0.25" r="317" customHeight="1" ht="17.25">
      <c r="A317" s="14" t="s">
        <v>3</v>
      </c>
      <c r="B317" s="14" t="s">
        <v>4</v>
      </c>
      <c r="C317" s="14" t="s">
        <v>5</v>
      </c>
      <c r="D317" s="14" t="s">
        <v>6</v>
      </c>
      <c r="E317" s="15" t="s">
        <v>7</v>
      </c>
      <c r="F317" s="14" t="s">
        <v>8</v>
      </c>
      <c r="G317" s="14" t="s">
        <v>9</v>
      </c>
      <c r="H317" s="16" t="s">
        <v>10</v>
      </c>
      <c r="I317" s="14" t="s">
        <v>11</v>
      </c>
      <c r="J317" s="14" t="s">
        <v>12</v>
      </c>
    </row>
    <row x14ac:dyDescent="0.25" r="318" customHeight="1" ht="17.25">
      <c r="A318" s="17" t="s">
        <v>8135</v>
      </c>
      <c r="B318" s="17" t="s">
        <v>512</v>
      </c>
      <c r="C318" s="17" t="s">
        <v>133</v>
      </c>
      <c r="D318" s="17" t="s">
        <v>16</v>
      </c>
      <c r="E318" s="26">
        <f>ROUND(7720*1.05,2)</f>
      </c>
      <c r="F318" s="17" t="s">
        <v>17</v>
      </c>
      <c r="G318" s="17" t="s">
        <v>18</v>
      </c>
      <c r="H318" s="18">
        <f>ROUND(RAND()*4+6,1)</f>
      </c>
      <c r="I318" s="17" t="s">
        <v>19</v>
      </c>
      <c r="J318" s="19">
        <f>ROUND(71*1,0)&amp;"%"</f>
      </c>
    </row>
    <row x14ac:dyDescent="0.25" r="319" customHeight="1" ht="17.25">
      <c r="A319" s="20" t="s">
        <v>8136</v>
      </c>
      <c r="B319" s="20" t="s">
        <v>514</v>
      </c>
      <c r="C319" s="20" t="s">
        <v>133</v>
      </c>
      <c r="D319" s="20" t="s">
        <v>22</v>
      </c>
      <c r="E319" s="21">
        <f>ROUND(16070*1.05,2)</f>
      </c>
      <c r="F319" s="20" t="s">
        <v>23</v>
      </c>
      <c r="G319" s="20" t="s">
        <v>24</v>
      </c>
      <c r="H319" s="21">
        <f>ROUND(RAND()*4+6,1)</f>
      </c>
      <c r="I319" s="20" t="s">
        <v>25</v>
      </c>
      <c r="J319" s="23">
        <f>ROUND(66*1,0)&amp;"%"</f>
      </c>
    </row>
    <row x14ac:dyDescent="0.25" r="320" customHeight="1" ht="17.25">
      <c r="A320" s="17" t="s">
        <v>8137</v>
      </c>
      <c r="B320" s="17" t="s">
        <v>516</v>
      </c>
      <c r="C320" s="17" t="s">
        <v>133</v>
      </c>
      <c r="D320" s="17" t="s">
        <v>28</v>
      </c>
      <c r="E320" s="18">
        <f>ROUND(5493*1.05,2)</f>
      </c>
      <c r="F320" s="17" t="s">
        <v>29</v>
      </c>
      <c r="G320" s="17" t="s">
        <v>30</v>
      </c>
      <c r="H320" s="18">
        <f>ROUND(RAND()*4+6,1)</f>
      </c>
      <c r="I320" s="17" t="s">
        <v>31</v>
      </c>
      <c r="J320" s="19">
        <f>ROUND(76*1,0)&amp;"%"</f>
      </c>
    </row>
    <row x14ac:dyDescent="0.25" r="321" customHeight="1" ht="17.25">
      <c r="A321" s="20" t="s">
        <v>8138</v>
      </c>
      <c r="B321" s="20" t="s">
        <v>518</v>
      </c>
      <c r="C321" s="20" t="s">
        <v>133</v>
      </c>
      <c r="D321" s="20" t="s">
        <v>34</v>
      </c>
      <c r="E321" s="21">
        <f>ROUND(14784*1.05,2)</f>
      </c>
      <c r="F321" s="20" t="s">
        <v>35</v>
      </c>
      <c r="G321" s="20" t="s">
        <v>18</v>
      </c>
      <c r="H321" s="21">
        <f>ROUND(RAND()*4+6,1)</f>
      </c>
      <c r="I321" s="20" t="s">
        <v>36</v>
      </c>
      <c r="J321" s="23">
        <f>ROUND(75*1,0)&amp;"%"</f>
      </c>
    </row>
    <row x14ac:dyDescent="0.25" r="322" customHeight="1" ht="17.25">
      <c r="A322" s="17" t="s">
        <v>8139</v>
      </c>
      <c r="B322" s="17" t="s">
        <v>520</v>
      </c>
      <c r="C322" s="17" t="s">
        <v>133</v>
      </c>
      <c r="D322" s="17" t="s">
        <v>39</v>
      </c>
      <c r="E322" s="18">
        <f>ROUND(4703*1.05,2)</f>
      </c>
      <c r="F322" s="17" t="s">
        <v>40</v>
      </c>
      <c r="G322" s="17" t="s">
        <v>24</v>
      </c>
      <c r="H322" s="18">
        <f>ROUND(RAND()*4+6,1)</f>
      </c>
      <c r="I322" s="17" t="s">
        <v>41</v>
      </c>
      <c r="J322" s="19">
        <f>ROUND(67*1,0)&amp;"%"</f>
      </c>
    </row>
    <row x14ac:dyDescent="0.25" r="323" customHeight="1" ht="17.25">
      <c r="A323" s="20" t="s">
        <v>8140</v>
      </c>
      <c r="B323" s="20" t="s">
        <v>522</v>
      </c>
      <c r="C323" s="20" t="s">
        <v>133</v>
      </c>
      <c r="D323" s="20" t="s">
        <v>67</v>
      </c>
      <c r="E323" s="22">
        <f>ROUND(14600*1.05,2)</f>
      </c>
      <c r="F323" s="20" t="s">
        <v>44</v>
      </c>
      <c r="G323" s="20" t="s">
        <v>30</v>
      </c>
      <c r="H323" s="21">
        <f>ROUND(RAND()*4+6,1)</f>
      </c>
      <c r="I323" s="20" t="s">
        <v>45</v>
      </c>
      <c r="J323" s="23">
        <f>ROUND(73*1,0)&amp;"%"</f>
      </c>
    </row>
    <row x14ac:dyDescent="0.25" r="324" customHeight="1" ht="17.25">
      <c r="A324" s="17" t="s">
        <v>8141</v>
      </c>
      <c r="B324" s="17" t="s">
        <v>524</v>
      </c>
      <c r="C324" s="17" t="s">
        <v>133</v>
      </c>
      <c r="D324" s="17" t="s">
        <v>16</v>
      </c>
      <c r="E324" s="18">
        <f>ROUND(5854*1.05,2)</f>
      </c>
      <c r="F324" s="17" t="s">
        <v>48</v>
      </c>
      <c r="G324" s="17" t="s">
        <v>18</v>
      </c>
      <c r="H324" s="18">
        <f>ROUND(RAND()*4+6,1)</f>
      </c>
      <c r="I324" s="17" t="s">
        <v>19</v>
      </c>
      <c r="J324" s="19">
        <f>ROUND(71*1,0)&amp;"%"</f>
      </c>
    </row>
    <row x14ac:dyDescent="0.25" r="325" customHeight="1" ht="17.25">
      <c r="A325" s="20" t="s">
        <v>8142</v>
      </c>
      <c r="B325" s="20" t="s">
        <v>526</v>
      </c>
      <c r="C325" s="20" t="s">
        <v>133</v>
      </c>
      <c r="D325" s="20" t="s">
        <v>22</v>
      </c>
      <c r="E325" s="21">
        <f>ROUND(11699*1.05,2)</f>
      </c>
      <c r="F325" s="20" t="s">
        <v>51</v>
      </c>
      <c r="G325" s="20" t="s">
        <v>24</v>
      </c>
      <c r="H325" s="21">
        <f>ROUND(RAND()*4+6,1)</f>
      </c>
      <c r="I325" s="20" t="s">
        <v>25</v>
      </c>
      <c r="J325" s="23">
        <f>ROUND(83*1,0)&amp;"%"</f>
      </c>
    </row>
    <row x14ac:dyDescent="0.25" r="326" customHeight="1" ht="17.25">
      <c r="A326" s="24" t="s">
        <v>527</v>
      </c>
      <c r="B326" s="24"/>
      <c r="C326" s="24"/>
      <c r="D326" s="24"/>
      <c r="E326" s="25">
        <v>8</v>
      </c>
      <c r="F326" s="9"/>
      <c r="G326" s="9"/>
      <c r="H326" s="10"/>
      <c r="I326" s="9"/>
      <c r="J326" s="9"/>
    </row>
    <row x14ac:dyDescent="0.25" r="327" customHeight="1" ht="17.25">
      <c r="A327" s="7"/>
      <c r="B327" s="7"/>
      <c r="C327" s="7"/>
      <c r="D327" s="7"/>
      <c r="E327" s="8"/>
      <c r="F327" s="9"/>
      <c r="G327" s="9"/>
      <c r="H327" s="10"/>
      <c r="I327" s="9"/>
      <c r="J327" s="9"/>
    </row>
    <row x14ac:dyDescent="0.25" r="328" customHeight="1" ht="17.25">
      <c r="A328" s="11" t="s">
        <v>8143</v>
      </c>
      <c r="B328" s="11"/>
      <c r="C328" s="11"/>
      <c r="D328" s="11"/>
      <c r="E328" s="12"/>
      <c r="F328" s="11"/>
      <c r="G328" s="11"/>
      <c r="H328" s="13"/>
      <c r="I328" s="11"/>
      <c r="J328" s="11"/>
    </row>
    <row x14ac:dyDescent="0.25" r="329" customHeight="1" ht="17.25">
      <c r="A329" s="14" t="s">
        <v>3</v>
      </c>
      <c r="B329" s="14" t="s">
        <v>4</v>
      </c>
      <c r="C329" s="14" t="s">
        <v>5</v>
      </c>
      <c r="D329" s="14" t="s">
        <v>6</v>
      </c>
      <c r="E329" s="15" t="s">
        <v>7</v>
      </c>
      <c r="F329" s="14" t="s">
        <v>8</v>
      </c>
      <c r="G329" s="14" t="s">
        <v>9</v>
      </c>
      <c r="H329" s="16" t="s">
        <v>10</v>
      </c>
      <c r="I329" s="14" t="s">
        <v>11</v>
      </c>
      <c r="J329" s="14" t="s">
        <v>12</v>
      </c>
    </row>
    <row x14ac:dyDescent="0.25" r="330" customHeight="1" ht="17.25">
      <c r="A330" s="17" t="s">
        <v>8144</v>
      </c>
      <c r="B330" s="17" t="s">
        <v>530</v>
      </c>
      <c r="C330" s="17" t="s">
        <v>152</v>
      </c>
      <c r="D330" s="17" t="s">
        <v>16</v>
      </c>
      <c r="E330" s="18">
        <f>ROUND(11877*1.05,2)</f>
      </c>
      <c r="F330" s="17" t="s">
        <v>17</v>
      </c>
      <c r="G330" s="17" t="s">
        <v>18</v>
      </c>
      <c r="H330" s="18">
        <f>ROUND(RAND()*4+6,1)</f>
      </c>
      <c r="I330" s="17" t="s">
        <v>19</v>
      </c>
      <c r="J330" s="19">
        <f>ROUND(88*1,0)&amp;"%"</f>
      </c>
    </row>
    <row x14ac:dyDescent="0.25" r="331" customHeight="1" ht="17.25">
      <c r="A331" s="20" t="s">
        <v>8145</v>
      </c>
      <c r="B331" s="20" t="s">
        <v>532</v>
      </c>
      <c r="C331" s="20" t="s">
        <v>152</v>
      </c>
      <c r="D331" s="20" t="s">
        <v>22</v>
      </c>
      <c r="E331" s="21">
        <f>ROUND(8216*1.05,2)</f>
      </c>
      <c r="F331" s="20" t="s">
        <v>23</v>
      </c>
      <c r="G331" s="20" t="s">
        <v>24</v>
      </c>
      <c r="H331" s="21">
        <f>ROUND(RAND()*4+6,1)</f>
      </c>
      <c r="I331" s="20" t="s">
        <v>25</v>
      </c>
      <c r="J331" s="23">
        <f>ROUND(79*1,0)&amp;"%"</f>
      </c>
    </row>
    <row x14ac:dyDescent="0.25" r="332" customHeight="1" ht="17.25">
      <c r="A332" s="17" t="s">
        <v>8146</v>
      </c>
      <c r="B332" s="17" t="s">
        <v>534</v>
      </c>
      <c r="C332" s="17" t="s">
        <v>152</v>
      </c>
      <c r="D332" s="17" t="s">
        <v>28</v>
      </c>
      <c r="E332" s="18">
        <f>ROUND(14211*1.05,2)</f>
      </c>
      <c r="F332" s="17" t="s">
        <v>29</v>
      </c>
      <c r="G332" s="17" t="s">
        <v>30</v>
      </c>
      <c r="H332" s="18">
        <f>ROUND(RAND()*4+6,1)</f>
      </c>
      <c r="I332" s="17" t="s">
        <v>31</v>
      </c>
      <c r="J332" s="19">
        <f>ROUND(82*1,0)&amp;"%"</f>
      </c>
    </row>
    <row x14ac:dyDescent="0.25" r="333" customHeight="1" ht="17.25">
      <c r="A333" s="20" t="s">
        <v>8147</v>
      </c>
      <c r="B333" s="20" t="s">
        <v>536</v>
      </c>
      <c r="C333" s="20" t="s">
        <v>152</v>
      </c>
      <c r="D333" s="20" t="s">
        <v>34</v>
      </c>
      <c r="E333" s="21">
        <f>ROUND(14878*1.05,2)</f>
      </c>
      <c r="F333" s="20" t="s">
        <v>35</v>
      </c>
      <c r="G333" s="20" t="s">
        <v>18</v>
      </c>
      <c r="H333" s="21">
        <f>ROUND(RAND()*4+6,1)</f>
      </c>
      <c r="I333" s="20" t="s">
        <v>36</v>
      </c>
      <c r="J333" s="23">
        <f>ROUND(69*1,0)&amp;"%"</f>
      </c>
    </row>
    <row x14ac:dyDescent="0.25" r="334" customHeight="1" ht="17.25">
      <c r="A334" s="17" t="s">
        <v>8148</v>
      </c>
      <c r="B334" s="17" t="s">
        <v>538</v>
      </c>
      <c r="C334" s="17" t="s">
        <v>152</v>
      </c>
      <c r="D334" s="17" t="s">
        <v>39</v>
      </c>
      <c r="E334" s="18">
        <f>ROUND(17549*1.05,2)</f>
      </c>
      <c r="F334" s="17" t="s">
        <v>40</v>
      </c>
      <c r="G334" s="17" t="s">
        <v>24</v>
      </c>
      <c r="H334" s="18">
        <f>ROUND(RAND()*4+6,1)</f>
      </c>
      <c r="I334" s="17" t="s">
        <v>41</v>
      </c>
      <c r="J334" s="19">
        <f>ROUND(100*1,0)&amp;"%"</f>
      </c>
    </row>
    <row x14ac:dyDescent="0.25" r="335" customHeight="1" ht="17.25">
      <c r="A335" s="20" t="s">
        <v>8149</v>
      </c>
      <c r="B335" s="20" t="s">
        <v>540</v>
      </c>
      <c r="C335" s="20" t="s">
        <v>152</v>
      </c>
      <c r="D335" s="20" t="s">
        <v>67</v>
      </c>
      <c r="E335" s="21">
        <f>ROUND(7982*1.05,2)</f>
      </c>
      <c r="F335" s="20" t="s">
        <v>44</v>
      </c>
      <c r="G335" s="20" t="s">
        <v>30</v>
      </c>
      <c r="H335" s="21">
        <f>ROUND(RAND()*4+6,1)</f>
      </c>
      <c r="I335" s="20" t="s">
        <v>45</v>
      </c>
      <c r="J335" s="23">
        <f>ROUND(92*1,0)&amp;"%"</f>
      </c>
    </row>
    <row x14ac:dyDescent="0.25" r="336" customHeight="1" ht="17.25">
      <c r="A336" s="17" t="s">
        <v>8150</v>
      </c>
      <c r="B336" s="17" t="s">
        <v>542</v>
      </c>
      <c r="C336" s="17" t="s">
        <v>152</v>
      </c>
      <c r="D336" s="17" t="s">
        <v>16</v>
      </c>
      <c r="E336" s="18">
        <f>ROUND(17331*1.05,2)</f>
      </c>
      <c r="F336" s="17" t="s">
        <v>48</v>
      </c>
      <c r="G336" s="17" t="s">
        <v>18</v>
      </c>
      <c r="H336" s="18">
        <f>ROUND(RAND()*4+6,1)</f>
      </c>
      <c r="I336" s="17" t="s">
        <v>19</v>
      </c>
      <c r="J336" s="19">
        <f>ROUND(70*1,0)&amp;"%"</f>
      </c>
    </row>
    <row x14ac:dyDescent="0.25" r="337" customHeight="1" ht="17.25">
      <c r="A337" s="20" t="s">
        <v>8151</v>
      </c>
      <c r="B337" s="20" t="s">
        <v>544</v>
      </c>
      <c r="C337" s="20" t="s">
        <v>152</v>
      </c>
      <c r="D337" s="20" t="s">
        <v>22</v>
      </c>
      <c r="E337" s="21">
        <f>ROUND(12564*1.05,2)</f>
      </c>
      <c r="F337" s="20" t="s">
        <v>51</v>
      </c>
      <c r="G337" s="20" t="s">
        <v>24</v>
      </c>
      <c r="H337" s="21">
        <f>ROUND(RAND()*4+6,1)</f>
      </c>
      <c r="I337" s="20" t="s">
        <v>25</v>
      </c>
      <c r="J337" s="23">
        <f>ROUND(94*1,0)&amp;"%"</f>
      </c>
    </row>
    <row x14ac:dyDescent="0.25" r="338" customHeight="1" ht="17.25">
      <c r="A338" s="24" t="s">
        <v>545</v>
      </c>
      <c r="B338" s="24"/>
      <c r="C338" s="24"/>
      <c r="D338" s="24"/>
      <c r="E338" s="25">
        <v>8</v>
      </c>
      <c r="F338" s="9"/>
      <c r="G338" s="9"/>
      <c r="H338" s="10"/>
      <c r="I338" s="9"/>
      <c r="J338" s="9"/>
    </row>
    <row x14ac:dyDescent="0.25" r="339" customHeight="1" ht="17.25">
      <c r="A339" s="7"/>
      <c r="B339" s="7"/>
      <c r="C339" s="7"/>
      <c r="D339" s="7"/>
      <c r="E339" s="8"/>
      <c r="F339" s="9"/>
      <c r="G339" s="9"/>
      <c r="H339" s="10"/>
      <c r="I339" s="9"/>
      <c r="J339" s="9"/>
    </row>
    <row x14ac:dyDescent="0.25" r="340" customHeight="1" ht="17.25">
      <c r="A340" s="11" t="s">
        <v>8152</v>
      </c>
      <c r="B340" s="11"/>
      <c r="C340" s="11"/>
      <c r="D340" s="11"/>
      <c r="E340" s="12"/>
      <c r="F340" s="11"/>
      <c r="G340" s="11"/>
      <c r="H340" s="13"/>
      <c r="I340" s="11"/>
      <c r="J340" s="11"/>
    </row>
    <row x14ac:dyDescent="0.25" r="341" customHeight="1" ht="17.25">
      <c r="A341" s="14" t="s">
        <v>3</v>
      </c>
      <c r="B341" s="14" t="s">
        <v>4</v>
      </c>
      <c r="C341" s="14" t="s">
        <v>5</v>
      </c>
      <c r="D341" s="14" t="s">
        <v>6</v>
      </c>
      <c r="E341" s="15" t="s">
        <v>7</v>
      </c>
      <c r="F341" s="14" t="s">
        <v>8</v>
      </c>
      <c r="G341" s="14" t="s">
        <v>9</v>
      </c>
      <c r="H341" s="16" t="s">
        <v>10</v>
      </c>
      <c r="I341" s="14" t="s">
        <v>11</v>
      </c>
      <c r="J341" s="14" t="s">
        <v>12</v>
      </c>
    </row>
    <row x14ac:dyDescent="0.25" r="342" customHeight="1" ht="17.25">
      <c r="A342" s="17" t="s">
        <v>8153</v>
      </c>
      <c r="B342" s="17" t="s">
        <v>548</v>
      </c>
      <c r="C342" s="17" t="s">
        <v>15</v>
      </c>
      <c r="D342" s="17" t="s">
        <v>16</v>
      </c>
      <c r="E342" s="18">
        <f>ROUND(11429*1.05,2)</f>
      </c>
      <c r="F342" s="17" t="s">
        <v>17</v>
      </c>
      <c r="G342" s="17" t="s">
        <v>18</v>
      </c>
      <c r="H342" s="18">
        <f>ROUND(RAND()*4+6,1)</f>
      </c>
      <c r="I342" s="17" t="s">
        <v>19</v>
      </c>
      <c r="J342" s="19">
        <f>ROUND(71*1,0)&amp;"%"</f>
      </c>
    </row>
    <row x14ac:dyDescent="0.25" r="343" customHeight="1" ht="17.25">
      <c r="A343" s="20" t="s">
        <v>8154</v>
      </c>
      <c r="B343" s="20" t="s">
        <v>550</v>
      </c>
      <c r="C343" s="20" t="s">
        <v>15</v>
      </c>
      <c r="D343" s="20" t="s">
        <v>22</v>
      </c>
      <c r="E343" s="21">
        <f>ROUND(9572*1.05,2)</f>
      </c>
      <c r="F343" s="20" t="s">
        <v>23</v>
      </c>
      <c r="G343" s="20" t="s">
        <v>24</v>
      </c>
      <c r="H343" s="21">
        <f>ROUND(RAND()*4+6,1)</f>
      </c>
      <c r="I343" s="20" t="s">
        <v>25</v>
      </c>
      <c r="J343" s="23">
        <f>ROUND(70*1,0)&amp;"%"</f>
      </c>
    </row>
    <row x14ac:dyDescent="0.25" r="344" customHeight="1" ht="17.25">
      <c r="A344" s="17" t="s">
        <v>8155</v>
      </c>
      <c r="B344" s="17" t="s">
        <v>552</v>
      </c>
      <c r="C344" s="17" t="s">
        <v>15</v>
      </c>
      <c r="D344" s="17" t="s">
        <v>28</v>
      </c>
      <c r="E344" s="18">
        <f>ROUND(16017*1.05,2)</f>
      </c>
      <c r="F344" s="17" t="s">
        <v>29</v>
      </c>
      <c r="G344" s="17" t="s">
        <v>30</v>
      </c>
      <c r="H344" s="18">
        <f>ROUND(RAND()*4+6,1)</f>
      </c>
      <c r="I344" s="17" t="s">
        <v>31</v>
      </c>
      <c r="J344" s="19">
        <f>ROUND(95*1,0)&amp;"%"</f>
      </c>
    </row>
    <row x14ac:dyDescent="0.25" r="345" customHeight="1" ht="17.25">
      <c r="A345" s="20" t="s">
        <v>8156</v>
      </c>
      <c r="B345" s="20" t="s">
        <v>554</v>
      </c>
      <c r="C345" s="20" t="s">
        <v>15</v>
      </c>
      <c r="D345" s="20" t="s">
        <v>34</v>
      </c>
      <c r="E345" s="21">
        <f>ROUND(14741*1.05,2)</f>
      </c>
      <c r="F345" s="20" t="s">
        <v>35</v>
      </c>
      <c r="G345" s="20" t="s">
        <v>18</v>
      </c>
      <c r="H345" s="21">
        <f>ROUND(RAND()*4+6,1)</f>
      </c>
      <c r="I345" s="20" t="s">
        <v>36</v>
      </c>
      <c r="J345" s="23">
        <f>ROUND(94*1,0)&amp;"%"</f>
      </c>
    </row>
    <row x14ac:dyDescent="0.25" r="346" customHeight="1" ht="17.25">
      <c r="A346" s="17" t="s">
        <v>8157</v>
      </c>
      <c r="B346" s="17" t="s">
        <v>556</v>
      </c>
      <c r="C346" s="17" t="s">
        <v>15</v>
      </c>
      <c r="D346" s="17" t="s">
        <v>39</v>
      </c>
      <c r="E346" s="18">
        <f>ROUND(4181*1.05,2)</f>
      </c>
      <c r="F346" s="17" t="s">
        <v>40</v>
      </c>
      <c r="G346" s="17" t="s">
        <v>24</v>
      </c>
      <c r="H346" s="18">
        <f>ROUND(RAND()*4+6,1)</f>
      </c>
      <c r="I346" s="17" t="s">
        <v>41</v>
      </c>
      <c r="J346" s="19">
        <f>ROUND(96*1,0)&amp;"%"</f>
      </c>
    </row>
    <row x14ac:dyDescent="0.25" r="347" customHeight="1" ht="17.25">
      <c r="A347" s="20" t="s">
        <v>8158</v>
      </c>
      <c r="B347" s="20" t="s">
        <v>558</v>
      </c>
      <c r="C347" s="20" t="s">
        <v>15</v>
      </c>
      <c r="D347" s="20" t="s">
        <v>67</v>
      </c>
      <c r="E347" s="21">
        <f>ROUND(6452*1.05,2)</f>
      </c>
      <c r="F347" s="20" t="s">
        <v>44</v>
      </c>
      <c r="G347" s="20" t="s">
        <v>30</v>
      </c>
      <c r="H347" s="22">
        <f>ROUND(RAND()*4+6,1)</f>
      </c>
      <c r="I347" s="20" t="s">
        <v>45</v>
      </c>
      <c r="J347" s="23">
        <f>ROUND(76*1,0)&amp;"%"</f>
      </c>
    </row>
    <row x14ac:dyDescent="0.25" r="348" customHeight="1" ht="17.25">
      <c r="A348" s="17" t="s">
        <v>8159</v>
      </c>
      <c r="B348" s="17" t="s">
        <v>560</v>
      </c>
      <c r="C348" s="17" t="s">
        <v>15</v>
      </c>
      <c r="D348" s="17" t="s">
        <v>16</v>
      </c>
      <c r="E348" s="18">
        <f>ROUND(13978*1.05,2)</f>
      </c>
      <c r="F348" s="17" t="s">
        <v>48</v>
      </c>
      <c r="G348" s="17" t="s">
        <v>18</v>
      </c>
      <c r="H348" s="18">
        <f>ROUND(RAND()*4+6,1)</f>
      </c>
      <c r="I348" s="17" t="s">
        <v>19</v>
      </c>
      <c r="J348" s="19">
        <f>ROUND(79*1,0)&amp;"%"</f>
      </c>
    </row>
    <row x14ac:dyDescent="0.25" r="349" customHeight="1" ht="17.25">
      <c r="A349" s="20" t="s">
        <v>8160</v>
      </c>
      <c r="B349" s="20" t="s">
        <v>562</v>
      </c>
      <c r="C349" s="20" t="s">
        <v>15</v>
      </c>
      <c r="D349" s="20" t="s">
        <v>22</v>
      </c>
      <c r="E349" s="21">
        <f>ROUND(14518*1.05,2)</f>
      </c>
      <c r="F349" s="20" t="s">
        <v>51</v>
      </c>
      <c r="G349" s="20" t="s">
        <v>24</v>
      </c>
      <c r="H349" s="21">
        <f>ROUND(RAND()*4+6,1)</f>
      </c>
      <c r="I349" s="20" t="s">
        <v>25</v>
      </c>
      <c r="J349" s="23">
        <f>ROUND(69*1,0)&amp;"%"</f>
      </c>
    </row>
    <row x14ac:dyDescent="0.25" r="350" customHeight="1" ht="17.25">
      <c r="A350" s="24" t="s">
        <v>563</v>
      </c>
      <c r="B350" s="24"/>
      <c r="C350" s="24"/>
      <c r="D350" s="24"/>
      <c r="E350" s="25">
        <v>8</v>
      </c>
      <c r="F350" s="9"/>
      <c r="G350" s="9"/>
      <c r="H350" s="10"/>
      <c r="I350" s="9"/>
      <c r="J350" s="9"/>
    </row>
    <row x14ac:dyDescent="0.25" r="351" customHeight="1" ht="17.25">
      <c r="A351" s="7"/>
      <c r="B351" s="7"/>
      <c r="C351" s="7"/>
      <c r="D351" s="7"/>
      <c r="E351" s="8"/>
      <c r="F351" s="9"/>
      <c r="G351" s="9"/>
      <c r="H351" s="10"/>
      <c r="I351" s="9"/>
      <c r="J351" s="9"/>
    </row>
    <row x14ac:dyDescent="0.25" r="352" customHeight="1" ht="17.25">
      <c r="A352" s="11" t="s">
        <v>8161</v>
      </c>
      <c r="B352" s="11"/>
      <c r="C352" s="11"/>
      <c r="D352" s="11"/>
      <c r="E352" s="12"/>
      <c r="F352" s="11"/>
      <c r="G352" s="11"/>
      <c r="H352" s="13"/>
      <c r="I352" s="11"/>
      <c r="J352" s="11"/>
    </row>
    <row x14ac:dyDescent="0.25" r="353" customHeight="1" ht="17.25">
      <c r="A353" s="14" t="s">
        <v>3</v>
      </c>
      <c r="B353" s="14" t="s">
        <v>4</v>
      </c>
      <c r="C353" s="14" t="s">
        <v>5</v>
      </c>
      <c r="D353" s="14" t="s">
        <v>6</v>
      </c>
      <c r="E353" s="15" t="s">
        <v>7</v>
      </c>
      <c r="F353" s="14" t="s">
        <v>8</v>
      </c>
      <c r="G353" s="14" t="s">
        <v>9</v>
      </c>
      <c r="H353" s="16" t="s">
        <v>10</v>
      </c>
      <c r="I353" s="14" t="s">
        <v>11</v>
      </c>
      <c r="J353" s="14" t="s">
        <v>12</v>
      </c>
    </row>
    <row x14ac:dyDescent="0.25" r="354" customHeight="1" ht="17.25">
      <c r="A354" s="17" t="s">
        <v>8162</v>
      </c>
      <c r="B354" s="17" t="s">
        <v>566</v>
      </c>
      <c r="C354" s="17" t="s">
        <v>56</v>
      </c>
      <c r="D354" s="17" t="s">
        <v>16</v>
      </c>
      <c r="E354" s="18">
        <f>ROUND(9465*1.05,2)</f>
      </c>
      <c r="F354" s="17" t="s">
        <v>17</v>
      </c>
      <c r="G354" s="17" t="s">
        <v>18</v>
      </c>
      <c r="H354" s="18">
        <f>ROUND(RAND()*4+6,1)</f>
      </c>
      <c r="I354" s="17" t="s">
        <v>19</v>
      </c>
      <c r="J354" s="19">
        <f>ROUND(88*1,0)&amp;"%"</f>
      </c>
    </row>
    <row x14ac:dyDescent="0.25" r="355" customHeight="1" ht="17.25">
      <c r="A355" s="20" t="s">
        <v>8163</v>
      </c>
      <c r="B355" s="20" t="s">
        <v>568</v>
      </c>
      <c r="C355" s="20" t="s">
        <v>56</v>
      </c>
      <c r="D355" s="20" t="s">
        <v>22</v>
      </c>
      <c r="E355" s="21">
        <f>ROUND(7522*1.05,2)</f>
      </c>
      <c r="F355" s="20" t="s">
        <v>23</v>
      </c>
      <c r="G355" s="20" t="s">
        <v>24</v>
      </c>
      <c r="H355" s="21">
        <f>ROUND(RAND()*4+6,1)</f>
      </c>
      <c r="I355" s="20" t="s">
        <v>25</v>
      </c>
      <c r="J355" s="23">
        <f>ROUND(83*1,0)&amp;"%"</f>
      </c>
    </row>
    <row x14ac:dyDescent="0.25" r="356" customHeight="1" ht="17.25">
      <c r="A356" s="17" t="s">
        <v>8164</v>
      </c>
      <c r="B356" s="17" t="s">
        <v>570</v>
      </c>
      <c r="C356" s="17" t="s">
        <v>56</v>
      </c>
      <c r="D356" s="17" t="s">
        <v>28</v>
      </c>
      <c r="E356" s="18">
        <f>ROUND(14998*1.05,2)</f>
      </c>
      <c r="F356" s="17" t="s">
        <v>29</v>
      </c>
      <c r="G356" s="17" t="s">
        <v>30</v>
      </c>
      <c r="H356" s="18">
        <f>ROUND(RAND()*4+6,1)</f>
      </c>
      <c r="I356" s="17" t="s">
        <v>31</v>
      </c>
      <c r="J356" s="19">
        <f>ROUND(76*1,0)&amp;"%"</f>
      </c>
    </row>
    <row x14ac:dyDescent="0.25" r="357" customHeight="1" ht="17.25">
      <c r="A357" s="20" t="s">
        <v>8165</v>
      </c>
      <c r="B357" s="20" t="s">
        <v>572</v>
      </c>
      <c r="C357" s="20" t="s">
        <v>56</v>
      </c>
      <c r="D357" s="20" t="s">
        <v>34</v>
      </c>
      <c r="E357" s="21">
        <f>ROUND(8086*1.05,2)</f>
      </c>
      <c r="F357" s="20" t="s">
        <v>35</v>
      </c>
      <c r="G357" s="20" t="s">
        <v>18</v>
      </c>
      <c r="H357" s="21">
        <f>ROUND(RAND()*4+6,1)</f>
      </c>
      <c r="I357" s="20" t="s">
        <v>36</v>
      </c>
      <c r="J357" s="23">
        <f>ROUND(86*1,0)&amp;"%"</f>
      </c>
    </row>
    <row x14ac:dyDescent="0.25" r="358" customHeight="1" ht="17.25">
      <c r="A358" s="17" t="s">
        <v>8166</v>
      </c>
      <c r="B358" s="17" t="s">
        <v>574</v>
      </c>
      <c r="C358" s="17" t="s">
        <v>56</v>
      </c>
      <c r="D358" s="17" t="s">
        <v>39</v>
      </c>
      <c r="E358" s="18">
        <f>ROUND(15849*1.05,2)</f>
      </c>
      <c r="F358" s="17" t="s">
        <v>40</v>
      </c>
      <c r="G358" s="17" t="s">
        <v>24</v>
      </c>
      <c r="H358" s="18">
        <f>ROUND(RAND()*4+6,1)</f>
      </c>
      <c r="I358" s="17" t="s">
        <v>41</v>
      </c>
      <c r="J358" s="19">
        <f>ROUND(79*1,0)&amp;"%"</f>
      </c>
    </row>
    <row x14ac:dyDescent="0.25" r="359" customHeight="1" ht="17.25">
      <c r="A359" s="20" t="s">
        <v>8167</v>
      </c>
      <c r="B359" s="20" t="s">
        <v>576</v>
      </c>
      <c r="C359" s="20" t="s">
        <v>56</v>
      </c>
      <c r="D359" s="20" t="s">
        <v>67</v>
      </c>
      <c r="E359" s="21">
        <f>ROUND(7942*1.05,2)</f>
      </c>
      <c r="F359" s="20" t="s">
        <v>44</v>
      </c>
      <c r="G359" s="20" t="s">
        <v>30</v>
      </c>
      <c r="H359" s="22">
        <f>ROUND(RAND()*4+6,1)</f>
      </c>
      <c r="I359" s="20" t="s">
        <v>45</v>
      </c>
      <c r="J359" s="23">
        <f>ROUND(81*1,0)&amp;"%"</f>
      </c>
    </row>
    <row x14ac:dyDescent="0.25" r="360" customHeight="1" ht="17.25">
      <c r="A360" s="17" t="s">
        <v>8168</v>
      </c>
      <c r="B360" s="17" t="s">
        <v>578</v>
      </c>
      <c r="C360" s="17" t="s">
        <v>56</v>
      </c>
      <c r="D360" s="17" t="s">
        <v>16</v>
      </c>
      <c r="E360" s="18">
        <f>ROUND(11196*1.05,2)</f>
      </c>
      <c r="F360" s="17" t="s">
        <v>48</v>
      </c>
      <c r="G360" s="17" t="s">
        <v>18</v>
      </c>
      <c r="H360" s="18">
        <f>ROUND(RAND()*4+6,1)</f>
      </c>
      <c r="I360" s="17" t="s">
        <v>19</v>
      </c>
      <c r="J360" s="19">
        <f>ROUND(83*1,0)&amp;"%"</f>
      </c>
    </row>
    <row x14ac:dyDescent="0.25" r="361" customHeight="1" ht="17.25">
      <c r="A361" s="20" t="s">
        <v>8169</v>
      </c>
      <c r="B361" s="20" t="s">
        <v>580</v>
      </c>
      <c r="C361" s="20" t="s">
        <v>56</v>
      </c>
      <c r="D361" s="20" t="s">
        <v>22</v>
      </c>
      <c r="E361" s="21">
        <f>ROUND(6357*1.05,2)</f>
      </c>
      <c r="F361" s="20" t="s">
        <v>51</v>
      </c>
      <c r="G361" s="20" t="s">
        <v>24</v>
      </c>
      <c r="H361" s="21">
        <f>ROUND(RAND()*4+6,1)</f>
      </c>
      <c r="I361" s="20" t="s">
        <v>25</v>
      </c>
      <c r="J361" s="23">
        <f>ROUND(96*1,0)&amp;"%"</f>
      </c>
    </row>
    <row x14ac:dyDescent="0.25" r="362" customHeight="1" ht="17.25">
      <c r="A362" s="24" t="s">
        <v>581</v>
      </c>
      <c r="B362" s="24"/>
      <c r="C362" s="24"/>
      <c r="D362" s="24"/>
      <c r="E362" s="25">
        <v>8</v>
      </c>
      <c r="F362" s="9"/>
      <c r="G362" s="9"/>
      <c r="H362" s="10"/>
      <c r="I362" s="9"/>
      <c r="J362" s="9"/>
    </row>
  </sheetData>
  <mergeCells count="62">
    <mergeCell ref="A1:J1"/>
    <mergeCell ref="A2:J2"/>
    <mergeCell ref="A4:J4"/>
    <mergeCell ref="A14:D14"/>
    <mergeCell ref="A16:J16"/>
    <mergeCell ref="A26:D26"/>
    <mergeCell ref="A28:J28"/>
    <mergeCell ref="A38:D38"/>
    <mergeCell ref="A40:J40"/>
    <mergeCell ref="A50:D50"/>
    <mergeCell ref="A52:J52"/>
    <mergeCell ref="A62:D62"/>
    <mergeCell ref="A64:J64"/>
    <mergeCell ref="A74:D74"/>
    <mergeCell ref="A76:J76"/>
    <mergeCell ref="A86:D86"/>
    <mergeCell ref="A88:J88"/>
    <mergeCell ref="A98:D98"/>
    <mergeCell ref="A100:J100"/>
    <mergeCell ref="A110:D110"/>
    <mergeCell ref="A112:J112"/>
    <mergeCell ref="A122:D122"/>
    <mergeCell ref="A124:J124"/>
    <mergeCell ref="A134:D134"/>
    <mergeCell ref="A136:J136"/>
    <mergeCell ref="A146:D146"/>
    <mergeCell ref="A148:J148"/>
    <mergeCell ref="A158:D158"/>
    <mergeCell ref="A160:J160"/>
    <mergeCell ref="A170:D170"/>
    <mergeCell ref="A172:J172"/>
    <mergeCell ref="A182:D182"/>
    <mergeCell ref="A184:J184"/>
    <mergeCell ref="A194:D194"/>
    <mergeCell ref="A196:J196"/>
    <mergeCell ref="A206:D206"/>
    <mergeCell ref="A208:J208"/>
    <mergeCell ref="A218:D218"/>
    <mergeCell ref="A220:J220"/>
    <mergeCell ref="A230:D230"/>
    <mergeCell ref="A232:J232"/>
    <mergeCell ref="A242:D242"/>
    <mergeCell ref="A244:J244"/>
    <mergeCell ref="A254:D254"/>
    <mergeCell ref="A256:J256"/>
    <mergeCell ref="A266:D266"/>
    <mergeCell ref="A268:J268"/>
    <mergeCell ref="A278:D278"/>
    <mergeCell ref="A280:J280"/>
    <mergeCell ref="A290:D290"/>
    <mergeCell ref="A292:J292"/>
    <mergeCell ref="A302:D302"/>
    <mergeCell ref="A304:J304"/>
    <mergeCell ref="A314:D314"/>
    <mergeCell ref="A316:J316"/>
    <mergeCell ref="A326:D326"/>
    <mergeCell ref="A328:J328"/>
    <mergeCell ref="A338:D338"/>
    <mergeCell ref="A340:J340"/>
    <mergeCell ref="A350:D350"/>
    <mergeCell ref="A352:J352"/>
    <mergeCell ref="A362:D362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J362"/>
  <sheetViews>
    <sheetView workbookViewId="0"/>
  </sheetViews>
  <sheetFormatPr defaultRowHeight="15" x14ac:dyDescent="0.25"/>
  <cols>
    <col min="1" max="1" style="27" width="8.005" customWidth="1" bestFit="1"/>
    <col min="2" max="2" style="27" width="22.005" customWidth="1" bestFit="1"/>
    <col min="3" max="3" style="27" width="16.005" customWidth="1" bestFit="1"/>
    <col min="4" max="4" style="27" width="14.005" customWidth="1" bestFit="1"/>
    <col min="5" max="5" style="28" width="12.005" customWidth="1" bestFit="1"/>
    <col min="6" max="6" style="29" width="16.005" customWidth="1" bestFit="1"/>
    <col min="7" max="7" style="29" width="10.005" customWidth="1" bestFit="1"/>
    <col min="8" max="8" style="30" width="10.005" customWidth="1" bestFit="1"/>
    <col min="9" max="9" style="29" width="14.005" customWidth="1" bestFit="1"/>
    <col min="10" max="10" style="29" width="8.005" customWidth="1" bestFit="1"/>
  </cols>
  <sheetData>
    <row x14ac:dyDescent="0.25" r="1" customHeight="1" ht="17.25">
      <c r="A1" s="1" t="s">
        <v>7628</v>
      </c>
      <c r="B1" s="1"/>
      <c r="C1" s="1"/>
      <c r="D1" s="1"/>
      <c r="E1" s="2"/>
      <c r="F1" s="1"/>
      <c r="G1" s="1"/>
      <c r="H1" s="3"/>
      <c r="I1" s="1"/>
      <c r="J1" s="1"/>
    </row>
    <row x14ac:dyDescent="0.25" r="2" customHeight="1" ht="17.25">
      <c r="A2" s="4" t="s">
        <v>1</v>
      </c>
      <c r="B2" s="4"/>
      <c r="C2" s="4"/>
      <c r="D2" s="4"/>
      <c r="E2" s="5"/>
      <c r="F2" s="4"/>
      <c r="G2" s="4"/>
      <c r="H2" s="6"/>
      <c r="I2" s="4"/>
      <c r="J2" s="4"/>
    </row>
    <row x14ac:dyDescent="0.25" r="3" customHeight="1" ht="17.25">
      <c r="A3" s="7"/>
      <c r="B3" s="7"/>
      <c r="C3" s="7"/>
      <c r="D3" s="7"/>
      <c r="E3" s="8"/>
      <c r="F3" s="9"/>
      <c r="G3" s="9"/>
      <c r="H3" s="10"/>
      <c r="I3" s="9"/>
      <c r="J3" s="9"/>
    </row>
    <row x14ac:dyDescent="0.25" r="4" customHeight="1" ht="17.25">
      <c r="A4" s="11" t="s">
        <v>7629</v>
      </c>
      <c r="B4" s="11"/>
      <c r="C4" s="11"/>
      <c r="D4" s="11"/>
      <c r="E4" s="12"/>
      <c r="F4" s="11"/>
      <c r="G4" s="11"/>
      <c r="H4" s="13"/>
      <c r="I4" s="11"/>
      <c r="J4" s="11"/>
    </row>
    <row x14ac:dyDescent="0.25" r="5" customHeight="1" ht="17.25">
      <c r="A5" s="14" t="s">
        <v>3</v>
      </c>
      <c r="B5" s="14" t="s">
        <v>4</v>
      </c>
      <c r="C5" s="14" t="s">
        <v>5</v>
      </c>
      <c r="D5" s="14" t="s">
        <v>6</v>
      </c>
      <c r="E5" s="15" t="s">
        <v>7</v>
      </c>
      <c r="F5" s="14" t="s">
        <v>8</v>
      </c>
      <c r="G5" s="14" t="s">
        <v>9</v>
      </c>
      <c r="H5" s="16" t="s">
        <v>10</v>
      </c>
      <c r="I5" s="14" t="s">
        <v>11</v>
      </c>
      <c r="J5" s="14" t="s">
        <v>12</v>
      </c>
    </row>
    <row x14ac:dyDescent="0.25" r="6" customHeight="1" ht="17.25">
      <c r="A6" s="17" t="s">
        <v>7630</v>
      </c>
      <c r="B6" s="17" t="s">
        <v>14</v>
      </c>
      <c r="C6" s="17" t="s">
        <v>15</v>
      </c>
      <c r="D6" s="17" t="s">
        <v>16</v>
      </c>
      <c r="E6" s="26">
        <f>ROUND(17840*1.05,2)</f>
      </c>
      <c r="F6" s="17" t="s">
        <v>17</v>
      </c>
      <c r="G6" s="17" t="s">
        <v>18</v>
      </c>
      <c r="H6" s="18">
        <f>ROUND(RAND()*4+6,1)</f>
      </c>
      <c r="I6" s="17" t="s">
        <v>19</v>
      </c>
      <c r="J6" s="19">
        <f>ROUND(64*1,0)&amp;"%"</f>
      </c>
    </row>
    <row x14ac:dyDescent="0.25" r="7" customHeight="1" ht="17.25">
      <c r="A7" s="20" t="s">
        <v>7631</v>
      </c>
      <c r="B7" s="20" t="s">
        <v>21</v>
      </c>
      <c r="C7" s="20" t="s">
        <v>15</v>
      </c>
      <c r="D7" s="20" t="s">
        <v>22</v>
      </c>
      <c r="E7" s="21">
        <f>ROUND(16092*1.05,2)</f>
      </c>
      <c r="F7" s="20" t="s">
        <v>23</v>
      </c>
      <c r="G7" s="20" t="s">
        <v>24</v>
      </c>
      <c r="H7" s="21">
        <f>ROUND(RAND()*4+6,1)</f>
      </c>
      <c r="I7" s="20" t="s">
        <v>25</v>
      </c>
      <c r="J7" s="23">
        <f>ROUND(85*1,0)&amp;"%"</f>
      </c>
    </row>
    <row x14ac:dyDescent="0.25" r="8" customHeight="1" ht="17.25">
      <c r="A8" s="17" t="s">
        <v>7632</v>
      </c>
      <c r="B8" s="17" t="s">
        <v>27</v>
      </c>
      <c r="C8" s="17" t="s">
        <v>15</v>
      </c>
      <c r="D8" s="17" t="s">
        <v>28</v>
      </c>
      <c r="E8" s="18">
        <f>ROUND(8503*1.05,2)</f>
      </c>
      <c r="F8" s="17" t="s">
        <v>29</v>
      </c>
      <c r="G8" s="17" t="s">
        <v>30</v>
      </c>
      <c r="H8" s="26">
        <f>ROUND(RAND()*4+6,1)</f>
      </c>
      <c r="I8" s="17" t="s">
        <v>31</v>
      </c>
      <c r="J8" s="19">
        <f>ROUND(61*1,0)&amp;"%"</f>
      </c>
    </row>
    <row x14ac:dyDescent="0.25" r="9" customHeight="1" ht="17.25">
      <c r="A9" s="20" t="s">
        <v>7633</v>
      </c>
      <c r="B9" s="20" t="s">
        <v>33</v>
      </c>
      <c r="C9" s="20" t="s">
        <v>15</v>
      </c>
      <c r="D9" s="20" t="s">
        <v>34</v>
      </c>
      <c r="E9" s="21">
        <f>ROUND(17444*1.05,2)</f>
      </c>
      <c r="F9" s="20" t="s">
        <v>35</v>
      </c>
      <c r="G9" s="20" t="s">
        <v>18</v>
      </c>
      <c r="H9" s="21">
        <f>ROUND(RAND()*4+6,1)</f>
      </c>
      <c r="I9" s="20" t="s">
        <v>36</v>
      </c>
      <c r="J9" s="23">
        <f>ROUND(63*1,0)&amp;"%"</f>
      </c>
    </row>
    <row x14ac:dyDescent="0.25" r="10" customHeight="1" ht="17.25">
      <c r="A10" s="17" t="s">
        <v>7634</v>
      </c>
      <c r="B10" s="17" t="s">
        <v>38</v>
      </c>
      <c r="C10" s="17" t="s">
        <v>15</v>
      </c>
      <c r="D10" s="17" t="s">
        <v>39</v>
      </c>
      <c r="E10" s="18">
        <f>ROUND(10675*1.05,2)</f>
      </c>
      <c r="F10" s="17" t="s">
        <v>40</v>
      </c>
      <c r="G10" s="17" t="s">
        <v>24</v>
      </c>
      <c r="H10" s="18">
        <f>ROUND(RAND()*4+6,1)</f>
      </c>
      <c r="I10" s="17" t="s">
        <v>41</v>
      </c>
      <c r="J10" s="19">
        <f>ROUND(65*1,0)&amp;"%"</f>
      </c>
    </row>
    <row x14ac:dyDescent="0.25" r="11" customHeight="1" ht="17.25">
      <c r="A11" s="20" t="s">
        <v>7635</v>
      </c>
      <c r="B11" s="20" t="s">
        <v>43</v>
      </c>
      <c r="C11" s="20" t="s">
        <v>15</v>
      </c>
      <c r="D11" s="20" t="s">
        <v>67</v>
      </c>
      <c r="E11" s="21">
        <f>ROUND(12692*1.05,2)</f>
      </c>
      <c r="F11" s="20" t="s">
        <v>44</v>
      </c>
      <c r="G11" s="20" t="s">
        <v>30</v>
      </c>
      <c r="H11" s="21">
        <f>ROUND(RAND()*4+6,1)</f>
      </c>
      <c r="I11" s="20" t="s">
        <v>45</v>
      </c>
      <c r="J11" s="23">
        <f>ROUND(91*1,0)&amp;"%"</f>
      </c>
    </row>
    <row x14ac:dyDescent="0.25" r="12" customHeight="1" ht="17.25">
      <c r="A12" s="17" t="s">
        <v>7636</v>
      </c>
      <c r="B12" s="17" t="s">
        <v>47</v>
      </c>
      <c r="C12" s="17" t="s">
        <v>15</v>
      </c>
      <c r="D12" s="17" t="s">
        <v>16</v>
      </c>
      <c r="E12" s="18">
        <f>ROUND(10875*1.05,2)</f>
      </c>
      <c r="F12" s="17" t="s">
        <v>48</v>
      </c>
      <c r="G12" s="17" t="s">
        <v>18</v>
      </c>
      <c r="H12" s="18">
        <f>ROUND(RAND()*4+6,1)</f>
      </c>
      <c r="I12" s="17" t="s">
        <v>19</v>
      </c>
      <c r="J12" s="19">
        <f>ROUND(90*1,0)&amp;"%"</f>
      </c>
    </row>
    <row x14ac:dyDescent="0.25" r="13" customHeight="1" ht="17.25">
      <c r="A13" s="20" t="s">
        <v>7637</v>
      </c>
      <c r="B13" s="20" t="s">
        <v>50</v>
      </c>
      <c r="C13" s="20" t="s">
        <v>15</v>
      </c>
      <c r="D13" s="20" t="s">
        <v>22</v>
      </c>
      <c r="E13" s="21">
        <f>ROUND(6659*1.05,2)</f>
      </c>
      <c r="F13" s="20" t="s">
        <v>51</v>
      </c>
      <c r="G13" s="20" t="s">
        <v>24</v>
      </c>
      <c r="H13" s="21">
        <f>ROUND(RAND()*4+6,1)</f>
      </c>
      <c r="I13" s="20" t="s">
        <v>25</v>
      </c>
      <c r="J13" s="23">
        <f>ROUND(77*1,0)&amp;"%"</f>
      </c>
    </row>
    <row x14ac:dyDescent="0.25" r="14" customHeight="1" ht="17.25">
      <c r="A14" s="24" t="s">
        <v>52</v>
      </c>
      <c r="B14" s="24"/>
      <c r="C14" s="24"/>
      <c r="D14" s="24"/>
      <c r="E14" s="25">
        <v>8</v>
      </c>
      <c r="F14" s="9"/>
      <c r="G14" s="9"/>
      <c r="H14" s="10"/>
      <c r="I14" s="9"/>
      <c r="J14" s="9"/>
    </row>
    <row x14ac:dyDescent="0.25" r="15" customHeight="1" ht="17.25">
      <c r="A15" s="7"/>
      <c r="B15" s="7"/>
      <c r="C15" s="7"/>
      <c r="D15" s="7"/>
      <c r="E15" s="8"/>
      <c r="F15" s="9"/>
      <c r="G15" s="9"/>
      <c r="H15" s="10"/>
      <c r="I15" s="9"/>
      <c r="J15" s="9"/>
    </row>
    <row x14ac:dyDescent="0.25" r="16" customHeight="1" ht="17.25">
      <c r="A16" s="11" t="s">
        <v>7638</v>
      </c>
      <c r="B16" s="11"/>
      <c r="C16" s="11"/>
      <c r="D16" s="11"/>
      <c r="E16" s="12"/>
      <c r="F16" s="11"/>
      <c r="G16" s="11"/>
      <c r="H16" s="13"/>
      <c r="I16" s="11"/>
      <c r="J16" s="11"/>
    </row>
    <row x14ac:dyDescent="0.25" r="17" customHeight="1" ht="17.25">
      <c r="A17" s="14" t="s">
        <v>3</v>
      </c>
      <c r="B17" s="14" t="s">
        <v>4</v>
      </c>
      <c r="C17" s="14" t="s">
        <v>5</v>
      </c>
      <c r="D17" s="14" t="s">
        <v>6</v>
      </c>
      <c r="E17" s="15" t="s">
        <v>7</v>
      </c>
      <c r="F17" s="14" t="s">
        <v>8</v>
      </c>
      <c r="G17" s="14" t="s">
        <v>9</v>
      </c>
      <c r="H17" s="16" t="s">
        <v>10</v>
      </c>
      <c r="I17" s="14" t="s">
        <v>11</v>
      </c>
      <c r="J17" s="14" t="s">
        <v>12</v>
      </c>
    </row>
    <row x14ac:dyDescent="0.25" r="18" customHeight="1" ht="17.25">
      <c r="A18" s="17" t="s">
        <v>7639</v>
      </c>
      <c r="B18" s="17" t="s">
        <v>55</v>
      </c>
      <c r="C18" s="17" t="s">
        <v>56</v>
      </c>
      <c r="D18" s="17" t="s">
        <v>16</v>
      </c>
      <c r="E18" s="18">
        <f>ROUND(16736*1.05,2)</f>
      </c>
      <c r="F18" s="17" t="s">
        <v>17</v>
      </c>
      <c r="G18" s="17" t="s">
        <v>18</v>
      </c>
      <c r="H18" s="18">
        <f>ROUND(RAND()*4+6,1)</f>
      </c>
      <c r="I18" s="17" t="s">
        <v>19</v>
      </c>
      <c r="J18" s="19">
        <f>ROUND(66*1,0)&amp;"%"</f>
      </c>
    </row>
    <row x14ac:dyDescent="0.25" r="19" customHeight="1" ht="17.25">
      <c r="A19" s="20" t="s">
        <v>7640</v>
      </c>
      <c r="B19" s="20" t="s">
        <v>58</v>
      </c>
      <c r="C19" s="20" t="s">
        <v>56</v>
      </c>
      <c r="D19" s="20" t="s">
        <v>22</v>
      </c>
      <c r="E19" s="21">
        <f>ROUND(16189*1.05,2)</f>
      </c>
      <c r="F19" s="20" t="s">
        <v>23</v>
      </c>
      <c r="G19" s="20" t="s">
        <v>24</v>
      </c>
      <c r="H19" s="21">
        <f>ROUND(RAND()*4+6,1)</f>
      </c>
      <c r="I19" s="20" t="s">
        <v>25</v>
      </c>
      <c r="J19" s="23">
        <f>ROUND(66*1,0)&amp;"%"</f>
      </c>
    </row>
    <row x14ac:dyDescent="0.25" r="20" customHeight="1" ht="17.25">
      <c r="A20" s="17" t="s">
        <v>7641</v>
      </c>
      <c r="B20" s="17" t="s">
        <v>60</v>
      </c>
      <c r="C20" s="17" t="s">
        <v>56</v>
      </c>
      <c r="D20" s="17" t="s">
        <v>28</v>
      </c>
      <c r="E20" s="26">
        <f>ROUND(11680*1.05,2)</f>
      </c>
      <c r="F20" s="17" t="s">
        <v>29</v>
      </c>
      <c r="G20" s="17" t="s">
        <v>30</v>
      </c>
      <c r="H20" s="18">
        <f>ROUND(RAND()*4+6,1)</f>
      </c>
      <c r="I20" s="17" t="s">
        <v>31</v>
      </c>
      <c r="J20" s="19">
        <f>ROUND(85*1,0)&amp;"%"</f>
      </c>
    </row>
    <row x14ac:dyDescent="0.25" r="21" customHeight="1" ht="17.25">
      <c r="A21" s="20" t="s">
        <v>7642</v>
      </c>
      <c r="B21" s="20" t="s">
        <v>62</v>
      </c>
      <c r="C21" s="20" t="s">
        <v>56</v>
      </c>
      <c r="D21" s="20" t="s">
        <v>34</v>
      </c>
      <c r="E21" s="21">
        <f>ROUND(7629*1.05,2)</f>
      </c>
      <c r="F21" s="20" t="s">
        <v>35</v>
      </c>
      <c r="G21" s="20" t="s">
        <v>18</v>
      </c>
      <c r="H21" s="21">
        <f>ROUND(RAND()*4+6,1)</f>
      </c>
      <c r="I21" s="20" t="s">
        <v>36</v>
      </c>
      <c r="J21" s="23">
        <f>ROUND(62*1,0)&amp;"%"</f>
      </c>
    </row>
    <row x14ac:dyDescent="0.25" r="22" customHeight="1" ht="17.25">
      <c r="A22" s="17" t="s">
        <v>7643</v>
      </c>
      <c r="B22" s="17" t="s">
        <v>64</v>
      </c>
      <c r="C22" s="17" t="s">
        <v>56</v>
      </c>
      <c r="D22" s="17" t="s">
        <v>39</v>
      </c>
      <c r="E22" s="18">
        <f>ROUND(13272*1.05,2)</f>
      </c>
      <c r="F22" s="17" t="s">
        <v>40</v>
      </c>
      <c r="G22" s="17" t="s">
        <v>24</v>
      </c>
      <c r="H22" s="18">
        <f>ROUND(RAND()*4+6,1)</f>
      </c>
      <c r="I22" s="17" t="s">
        <v>41</v>
      </c>
      <c r="J22" s="19">
        <f>ROUND(100*1,0)&amp;"%"</f>
      </c>
    </row>
    <row x14ac:dyDescent="0.25" r="23" customHeight="1" ht="17.25">
      <c r="A23" s="20" t="s">
        <v>7644</v>
      </c>
      <c r="B23" s="20" t="s">
        <v>66</v>
      </c>
      <c r="C23" s="20" t="s">
        <v>56</v>
      </c>
      <c r="D23" s="20" t="s">
        <v>67</v>
      </c>
      <c r="E23" s="21">
        <f>ROUND(4181*1.05,2)</f>
      </c>
      <c r="F23" s="20" t="s">
        <v>44</v>
      </c>
      <c r="G23" s="20" t="s">
        <v>30</v>
      </c>
      <c r="H23" s="22">
        <f>ROUND(RAND()*4+6,1)</f>
      </c>
      <c r="I23" s="20" t="s">
        <v>45</v>
      </c>
      <c r="J23" s="23">
        <f>ROUND(77*1,0)&amp;"%"</f>
      </c>
    </row>
    <row x14ac:dyDescent="0.25" r="24" customHeight="1" ht="17.25">
      <c r="A24" s="17" t="s">
        <v>7645</v>
      </c>
      <c r="B24" s="17" t="s">
        <v>69</v>
      </c>
      <c r="C24" s="17" t="s">
        <v>56</v>
      </c>
      <c r="D24" s="17" t="s">
        <v>16</v>
      </c>
      <c r="E24" s="18">
        <f>ROUND(4954*1.05,2)</f>
      </c>
      <c r="F24" s="17" t="s">
        <v>48</v>
      </c>
      <c r="G24" s="17" t="s">
        <v>18</v>
      </c>
      <c r="H24" s="18">
        <f>ROUND(RAND()*4+6,1)</f>
      </c>
      <c r="I24" s="17" t="s">
        <v>19</v>
      </c>
      <c r="J24" s="19">
        <f>ROUND(62*1,0)&amp;"%"</f>
      </c>
    </row>
    <row x14ac:dyDescent="0.25" r="25" customHeight="1" ht="17.25">
      <c r="A25" s="20" t="s">
        <v>7646</v>
      </c>
      <c r="B25" s="20" t="s">
        <v>71</v>
      </c>
      <c r="C25" s="20" t="s">
        <v>56</v>
      </c>
      <c r="D25" s="20" t="s">
        <v>22</v>
      </c>
      <c r="E25" s="21">
        <f>ROUND(4172*1.05,2)</f>
      </c>
      <c r="F25" s="20" t="s">
        <v>51</v>
      </c>
      <c r="G25" s="20" t="s">
        <v>24</v>
      </c>
      <c r="H25" s="21">
        <f>ROUND(RAND()*4+6,1)</f>
      </c>
      <c r="I25" s="20" t="s">
        <v>25</v>
      </c>
      <c r="J25" s="23">
        <f>ROUND(65*1,0)&amp;"%"</f>
      </c>
    </row>
    <row x14ac:dyDescent="0.25" r="26" customHeight="1" ht="17.25">
      <c r="A26" s="24" t="s">
        <v>72</v>
      </c>
      <c r="B26" s="24"/>
      <c r="C26" s="24"/>
      <c r="D26" s="24"/>
      <c r="E26" s="25">
        <v>8</v>
      </c>
      <c r="F26" s="9"/>
      <c r="G26" s="9"/>
      <c r="H26" s="10"/>
      <c r="I26" s="9"/>
      <c r="J26" s="9"/>
    </row>
    <row x14ac:dyDescent="0.25" r="27" customHeight="1" ht="17.25">
      <c r="A27" s="7"/>
      <c r="B27" s="7"/>
      <c r="C27" s="7"/>
      <c r="D27" s="7"/>
      <c r="E27" s="8"/>
      <c r="F27" s="9"/>
      <c r="G27" s="9"/>
      <c r="H27" s="10"/>
      <c r="I27" s="9"/>
      <c r="J27" s="9"/>
    </row>
    <row x14ac:dyDescent="0.25" r="28" customHeight="1" ht="17.25">
      <c r="A28" s="11" t="s">
        <v>7647</v>
      </c>
      <c r="B28" s="11"/>
      <c r="C28" s="11"/>
      <c r="D28" s="11"/>
      <c r="E28" s="12"/>
      <c r="F28" s="11"/>
      <c r="G28" s="11"/>
      <c r="H28" s="13"/>
      <c r="I28" s="11"/>
      <c r="J28" s="11"/>
    </row>
    <row x14ac:dyDescent="0.25" r="29" customHeight="1" ht="17.25">
      <c r="A29" s="14" t="s">
        <v>3</v>
      </c>
      <c r="B29" s="14" t="s">
        <v>4</v>
      </c>
      <c r="C29" s="14" t="s">
        <v>5</v>
      </c>
      <c r="D29" s="14" t="s">
        <v>6</v>
      </c>
      <c r="E29" s="15" t="s">
        <v>7</v>
      </c>
      <c r="F29" s="14" t="s">
        <v>8</v>
      </c>
      <c r="G29" s="14" t="s">
        <v>9</v>
      </c>
      <c r="H29" s="16" t="s">
        <v>10</v>
      </c>
      <c r="I29" s="14" t="s">
        <v>11</v>
      </c>
      <c r="J29" s="14" t="s">
        <v>12</v>
      </c>
    </row>
    <row x14ac:dyDescent="0.25" r="30" customHeight="1" ht="17.25">
      <c r="A30" s="17" t="s">
        <v>7648</v>
      </c>
      <c r="B30" s="17" t="s">
        <v>75</v>
      </c>
      <c r="C30" s="17" t="s">
        <v>76</v>
      </c>
      <c r="D30" s="17" t="s">
        <v>16</v>
      </c>
      <c r="E30" s="18">
        <f>ROUND(7642*1.05,2)</f>
      </c>
      <c r="F30" s="17" t="s">
        <v>17</v>
      </c>
      <c r="G30" s="17" t="s">
        <v>18</v>
      </c>
      <c r="H30" s="18">
        <f>ROUND(RAND()*4+6,1)</f>
      </c>
      <c r="I30" s="17" t="s">
        <v>19</v>
      </c>
      <c r="J30" s="19">
        <f>ROUND(90*1,0)&amp;"%"</f>
      </c>
    </row>
    <row x14ac:dyDescent="0.25" r="31" customHeight="1" ht="17.25">
      <c r="A31" s="20" t="s">
        <v>7649</v>
      </c>
      <c r="B31" s="20" t="s">
        <v>78</v>
      </c>
      <c r="C31" s="20" t="s">
        <v>76</v>
      </c>
      <c r="D31" s="20" t="s">
        <v>22</v>
      </c>
      <c r="E31" s="21">
        <f>ROUND(16307*1.05,2)</f>
      </c>
      <c r="F31" s="20" t="s">
        <v>23</v>
      </c>
      <c r="G31" s="20" t="s">
        <v>24</v>
      </c>
      <c r="H31" s="21">
        <f>ROUND(RAND()*4+6,1)</f>
      </c>
      <c r="I31" s="20" t="s">
        <v>25</v>
      </c>
      <c r="J31" s="23">
        <f>ROUND(69*1,0)&amp;"%"</f>
      </c>
    </row>
    <row x14ac:dyDescent="0.25" r="32" customHeight="1" ht="17.25">
      <c r="A32" s="17" t="s">
        <v>7650</v>
      </c>
      <c r="B32" s="17" t="s">
        <v>80</v>
      </c>
      <c r="C32" s="17" t="s">
        <v>76</v>
      </c>
      <c r="D32" s="17" t="s">
        <v>28</v>
      </c>
      <c r="E32" s="18">
        <f>ROUND(11457*1.05,2)</f>
      </c>
      <c r="F32" s="17" t="s">
        <v>29</v>
      </c>
      <c r="G32" s="17" t="s">
        <v>30</v>
      </c>
      <c r="H32" s="18">
        <f>ROUND(RAND()*4+6,1)</f>
      </c>
      <c r="I32" s="17" t="s">
        <v>31</v>
      </c>
      <c r="J32" s="19">
        <f>ROUND(61*1,0)&amp;"%"</f>
      </c>
    </row>
    <row x14ac:dyDescent="0.25" r="33" customHeight="1" ht="17.25">
      <c r="A33" s="20" t="s">
        <v>7651</v>
      </c>
      <c r="B33" s="20" t="s">
        <v>82</v>
      </c>
      <c r="C33" s="20" t="s">
        <v>76</v>
      </c>
      <c r="D33" s="20" t="s">
        <v>34</v>
      </c>
      <c r="E33" s="21">
        <f>ROUND(16382*1.05,2)</f>
      </c>
      <c r="F33" s="20" t="s">
        <v>35</v>
      </c>
      <c r="G33" s="20" t="s">
        <v>18</v>
      </c>
      <c r="H33" s="21">
        <f>ROUND(RAND()*4+6,1)</f>
      </c>
      <c r="I33" s="20" t="s">
        <v>36</v>
      </c>
      <c r="J33" s="23">
        <f>ROUND(62*1,0)&amp;"%"</f>
      </c>
    </row>
    <row x14ac:dyDescent="0.25" r="34" customHeight="1" ht="17.25">
      <c r="A34" s="17" t="s">
        <v>7652</v>
      </c>
      <c r="B34" s="17" t="s">
        <v>84</v>
      </c>
      <c r="C34" s="17" t="s">
        <v>76</v>
      </c>
      <c r="D34" s="17" t="s">
        <v>39</v>
      </c>
      <c r="E34" s="18">
        <f>ROUND(4065*1.05,2)</f>
      </c>
      <c r="F34" s="17" t="s">
        <v>40</v>
      </c>
      <c r="G34" s="17" t="s">
        <v>24</v>
      </c>
      <c r="H34" s="18">
        <f>ROUND(RAND()*4+6,1)</f>
      </c>
      <c r="I34" s="17" t="s">
        <v>41</v>
      </c>
      <c r="J34" s="19">
        <f>ROUND(62*1,0)&amp;"%"</f>
      </c>
    </row>
    <row x14ac:dyDescent="0.25" r="35" customHeight="1" ht="17.25">
      <c r="A35" s="20" t="s">
        <v>7653</v>
      </c>
      <c r="B35" s="20" t="s">
        <v>86</v>
      </c>
      <c r="C35" s="20" t="s">
        <v>76</v>
      </c>
      <c r="D35" s="20" t="s">
        <v>67</v>
      </c>
      <c r="E35" s="21">
        <f>ROUND(8824*1.05,2)</f>
      </c>
      <c r="F35" s="20" t="s">
        <v>44</v>
      </c>
      <c r="G35" s="20" t="s">
        <v>30</v>
      </c>
      <c r="H35" s="21">
        <f>ROUND(RAND()*4+6,1)</f>
      </c>
      <c r="I35" s="20" t="s">
        <v>45</v>
      </c>
      <c r="J35" s="23">
        <f>ROUND(92*1,0)&amp;"%"</f>
      </c>
    </row>
    <row x14ac:dyDescent="0.25" r="36" customHeight="1" ht="17.25">
      <c r="A36" s="17" t="s">
        <v>7654</v>
      </c>
      <c r="B36" s="17" t="s">
        <v>88</v>
      </c>
      <c r="C36" s="17" t="s">
        <v>76</v>
      </c>
      <c r="D36" s="17" t="s">
        <v>16</v>
      </c>
      <c r="E36" s="18">
        <f>ROUND(16374*1.05,2)</f>
      </c>
      <c r="F36" s="17" t="s">
        <v>48</v>
      </c>
      <c r="G36" s="17" t="s">
        <v>18</v>
      </c>
      <c r="H36" s="18">
        <f>ROUND(RAND()*4+6,1)</f>
      </c>
      <c r="I36" s="17" t="s">
        <v>19</v>
      </c>
      <c r="J36" s="19">
        <f>ROUND(71*1,0)&amp;"%"</f>
      </c>
    </row>
    <row x14ac:dyDescent="0.25" r="37" customHeight="1" ht="17.25">
      <c r="A37" s="20" t="s">
        <v>7655</v>
      </c>
      <c r="B37" s="20" t="s">
        <v>90</v>
      </c>
      <c r="C37" s="20" t="s">
        <v>76</v>
      </c>
      <c r="D37" s="20" t="s">
        <v>22</v>
      </c>
      <c r="E37" s="21">
        <f>ROUND(9338*1.05,2)</f>
      </c>
      <c r="F37" s="20" t="s">
        <v>51</v>
      </c>
      <c r="G37" s="20" t="s">
        <v>24</v>
      </c>
      <c r="H37" s="22">
        <f>ROUND(RAND()*4+6,1)</f>
      </c>
      <c r="I37" s="20" t="s">
        <v>25</v>
      </c>
      <c r="J37" s="23">
        <f>ROUND(69*1,0)&amp;"%"</f>
      </c>
    </row>
    <row x14ac:dyDescent="0.25" r="38" customHeight="1" ht="17.25">
      <c r="A38" s="24" t="s">
        <v>91</v>
      </c>
      <c r="B38" s="24"/>
      <c r="C38" s="24"/>
      <c r="D38" s="24"/>
      <c r="E38" s="25">
        <v>8</v>
      </c>
      <c r="F38" s="9"/>
      <c r="G38" s="9"/>
      <c r="H38" s="10"/>
      <c r="I38" s="9"/>
      <c r="J38" s="9"/>
    </row>
    <row x14ac:dyDescent="0.25" r="39" customHeight="1" ht="17.25">
      <c r="A39" s="7"/>
      <c r="B39" s="7"/>
      <c r="C39" s="7"/>
      <c r="D39" s="7"/>
      <c r="E39" s="8"/>
      <c r="F39" s="9"/>
      <c r="G39" s="9"/>
      <c r="H39" s="10"/>
      <c r="I39" s="9"/>
      <c r="J39" s="9"/>
    </row>
    <row x14ac:dyDescent="0.25" r="40" customHeight="1" ht="17.25">
      <c r="A40" s="11" t="s">
        <v>7656</v>
      </c>
      <c r="B40" s="11"/>
      <c r="C40" s="11"/>
      <c r="D40" s="11"/>
      <c r="E40" s="12"/>
      <c r="F40" s="11"/>
      <c r="G40" s="11"/>
      <c r="H40" s="13"/>
      <c r="I40" s="11"/>
      <c r="J40" s="11"/>
    </row>
    <row x14ac:dyDescent="0.25" r="41" customHeight="1" ht="17.25">
      <c r="A41" s="14" t="s">
        <v>3</v>
      </c>
      <c r="B41" s="14" t="s">
        <v>4</v>
      </c>
      <c r="C41" s="14" t="s">
        <v>5</v>
      </c>
      <c r="D41" s="14" t="s">
        <v>6</v>
      </c>
      <c r="E41" s="15" t="s">
        <v>7</v>
      </c>
      <c r="F41" s="14" t="s">
        <v>8</v>
      </c>
      <c r="G41" s="14" t="s">
        <v>9</v>
      </c>
      <c r="H41" s="16" t="s">
        <v>10</v>
      </c>
      <c r="I41" s="14" t="s">
        <v>11</v>
      </c>
      <c r="J41" s="14" t="s">
        <v>12</v>
      </c>
    </row>
    <row x14ac:dyDescent="0.25" r="42" customHeight="1" ht="17.25">
      <c r="A42" s="17" t="s">
        <v>7657</v>
      </c>
      <c r="B42" s="17" t="s">
        <v>94</v>
      </c>
      <c r="C42" s="17" t="s">
        <v>95</v>
      </c>
      <c r="D42" s="17" t="s">
        <v>16</v>
      </c>
      <c r="E42" s="18">
        <f>ROUND(11522*1.05,2)</f>
      </c>
      <c r="F42" s="17" t="s">
        <v>17</v>
      </c>
      <c r="G42" s="17" t="s">
        <v>18</v>
      </c>
      <c r="H42" s="18">
        <f>ROUND(RAND()*4+6,1)</f>
      </c>
      <c r="I42" s="17" t="s">
        <v>19</v>
      </c>
      <c r="J42" s="19">
        <f>ROUND(97*1,0)&amp;"%"</f>
      </c>
    </row>
    <row x14ac:dyDescent="0.25" r="43" customHeight="1" ht="17.25">
      <c r="A43" s="20" t="s">
        <v>7658</v>
      </c>
      <c r="B43" s="20" t="s">
        <v>97</v>
      </c>
      <c r="C43" s="20" t="s">
        <v>95</v>
      </c>
      <c r="D43" s="20" t="s">
        <v>22</v>
      </c>
      <c r="E43" s="21">
        <f>ROUND(6491*1.05,2)</f>
      </c>
      <c r="F43" s="20" t="s">
        <v>23</v>
      </c>
      <c r="G43" s="20" t="s">
        <v>24</v>
      </c>
      <c r="H43" s="21">
        <f>ROUND(RAND()*4+6,1)</f>
      </c>
      <c r="I43" s="20" t="s">
        <v>25</v>
      </c>
      <c r="J43" s="23">
        <f>ROUND(99*1,0)&amp;"%"</f>
      </c>
    </row>
    <row x14ac:dyDescent="0.25" r="44" customHeight="1" ht="17.25">
      <c r="A44" s="17" t="s">
        <v>7659</v>
      </c>
      <c r="B44" s="17" t="s">
        <v>99</v>
      </c>
      <c r="C44" s="17" t="s">
        <v>95</v>
      </c>
      <c r="D44" s="17" t="s">
        <v>28</v>
      </c>
      <c r="E44" s="18">
        <f>ROUND(7744*1.05,2)</f>
      </c>
      <c r="F44" s="17" t="s">
        <v>29</v>
      </c>
      <c r="G44" s="17" t="s">
        <v>30</v>
      </c>
      <c r="H44" s="18">
        <f>ROUND(RAND()*4+6,1)</f>
      </c>
      <c r="I44" s="17" t="s">
        <v>31</v>
      </c>
      <c r="J44" s="19">
        <f>ROUND(66*1,0)&amp;"%"</f>
      </c>
    </row>
    <row x14ac:dyDescent="0.25" r="45" customHeight="1" ht="17.25">
      <c r="A45" s="20" t="s">
        <v>7660</v>
      </c>
      <c r="B45" s="20" t="s">
        <v>101</v>
      </c>
      <c r="C45" s="20" t="s">
        <v>95</v>
      </c>
      <c r="D45" s="20" t="s">
        <v>34</v>
      </c>
      <c r="E45" s="21">
        <f>ROUND(15550*1.05,2)</f>
      </c>
      <c r="F45" s="20" t="s">
        <v>35</v>
      </c>
      <c r="G45" s="20" t="s">
        <v>18</v>
      </c>
      <c r="H45" s="21">
        <f>ROUND(RAND()*4+6,1)</f>
      </c>
      <c r="I45" s="20" t="s">
        <v>36</v>
      </c>
      <c r="J45" s="23">
        <f>ROUND(76*1,0)&amp;"%"</f>
      </c>
    </row>
    <row x14ac:dyDescent="0.25" r="46" customHeight="1" ht="17.25">
      <c r="A46" s="17" t="s">
        <v>7661</v>
      </c>
      <c r="B46" s="17" t="s">
        <v>103</v>
      </c>
      <c r="C46" s="17" t="s">
        <v>95</v>
      </c>
      <c r="D46" s="17" t="s">
        <v>39</v>
      </c>
      <c r="E46" s="18">
        <f>ROUND(5521*1.05,2)</f>
      </c>
      <c r="F46" s="17" t="s">
        <v>40</v>
      </c>
      <c r="G46" s="17" t="s">
        <v>24</v>
      </c>
      <c r="H46" s="18">
        <f>ROUND(RAND()*4+6,1)</f>
      </c>
      <c r="I46" s="17" t="s">
        <v>41</v>
      </c>
      <c r="J46" s="19">
        <f>ROUND(66*1,0)&amp;"%"</f>
      </c>
    </row>
    <row x14ac:dyDescent="0.25" r="47" customHeight="1" ht="17.25">
      <c r="A47" s="20" t="s">
        <v>7662</v>
      </c>
      <c r="B47" s="20" t="s">
        <v>105</v>
      </c>
      <c r="C47" s="20" t="s">
        <v>95</v>
      </c>
      <c r="D47" s="20" t="s">
        <v>67</v>
      </c>
      <c r="E47" s="21">
        <f>ROUND(14922*1.05,2)</f>
      </c>
      <c r="F47" s="20" t="s">
        <v>44</v>
      </c>
      <c r="G47" s="20" t="s">
        <v>30</v>
      </c>
      <c r="H47" s="21">
        <f>ROUND(RAND()*4+6,1)</f>
      </c>
      <c r="I47" s="20" t="s">
        <v>45</v>
      </c>
      <c r="J47" s="23">
        <f>ROUND(89*1,0)&amp;"%"</f>
      </c>
    </row>
    <row x14ac:dyDescent="0.25" r="48" customHeight="1" ht="17.25">
      <c r="A48" s="17" t="s">
        <v>7663</v>
      </c>
      <c r="B48" s="17" t="s">
        <v>107</v>
      </c>
      <c r="C48" s="17" t="s">
        <v>95</v>
      </c>
      <c r="D48" s="17" t="s">
        <v>16</v>
      </c>
      <c r="E48" s="18">
        <f>ROUND(16619*1.05,2)</f>
      </c>
      <c r="F48" s="17" t="s">
        <v>48</v>
      </c>
      <c r="G48" s="17" t="s">
        <v>18</v>
      </c>
      <c r="H48" s="18">
        <f>ROUND(RAND()*4+6,1)</f>
      </c>
      <c r="I48" s="17" t="s">
        <v>19</v>
      </c>
      <c r="J48" s="19">
        <f>ROUND(85*1,0)&amp;"%"</f>
      </c>
    </row>
    <row x14ac:dyDescent="0.25" r="49" customHeight="1" ht="17.25">
      <c r="A49" s="20" t="s">
        <v>7664</v>
      </c>
      <c r="B49" s="20" t="s">
        <v>109</v>
      </c>
      <c r="C49" s="20" t="s">
        <v>95</v>
      </c>
      <c r="D49" s="20" t="s">
        <v>22</v>
      </c>
      <c r="E49" s="21">
        <f>ROUND(7670*1.05,2)</f>
      </c>
      <c r="F49" s="20" t="s">
        <v>51</v>
      </c>
      <c r="G49" s="20" t="s">
        <v>24</v>
      </c>
      <c r="H49" s="21">
        <f>ROUND(RAND()*4+6,1)</f>
      </c>
      <c r="I49" s="20" t="s">
        <v>25</v>
      </c>
      <c r="J49" s="23">
        <f>ROUND(62*1,0)&amp;"%"</f>
      </c>
    </row>
    <row x14ac:dyDescent="0.25" r="50" customHeight="1" ht="17.25">
      <c r="A50" s="24" t="s">
        <v>110</v>
      </c>
      <c r="B50" s="24"/>
      <c r="C50" s="24"/>
      <c r="D50" s="24"/>
      <c r="E50" s="25">
        <v>8</v>
      </c>
      <c r="F50" s="9"/>
      <c r="G50" s="9"/>
      <c r="H50" s="10"/>
      <c r="I50" s="9"/>
      <c r="J50" s="9"/>
    </row>
    <row x14ac:dyDescent="0.25" r="51" customHeight="1" ht="17.25">
      <c r="A51" s="7"/>
      <c r="B51" s="7"/>
      <c r="C51" s="7"/>
      <c r="D51" s="7"/>
      <c r="E51" s="8"/>
      <c r="F51" s="9"/>
      <c r="G51" s="9"/>
      <c r="H51" s="10"/>
      <c r="I51" s="9"/>
      <c r="J51" s="9"/>
    </row>
    <row x14ac:dyDescent="0.25" r="52" customHeight="1" ht="17.25">
      <c r="A52" s="11" t="s">
        <v>7665</v>
      </c>
      <c r="B52" s="11"/>
      <c r="C52" s="11"/>
      <c r="D52" s="11"/>
      <c r="E52" s="12"/>
      <c r="F52" s="11"/>
      <c r="G52" s="11"/>
      <c r="H52" s="13"/>
      <c r="I52" s="11"/>
      <c r="J52" s="11"/>
    </row>
    <row x14ac:dyDescent="0.25" r="53" customHeight="1" ht="17.25">
      <c r="A53" s="14" t="s">
        <v>3</v>
      </c>
      <c r="B53" s="14" t="s">
        <v>4</v>
      </c>
      <c r="C53" s="14" t="s">
        <v>5</v>
      </c>
      <c r="D53" s="14" t="s">
        <v>6</v>
      </c>
      <c r="E53" s="15" t="s">
        <v>7</v>
      </c>
      <c r="F53" s="14" t="s">
        <v>8</v>
      </c>
      <c r="G53" s="14" t="s">
        <v>9</v>
      </c>
      <c r="H53" s="16" t="s">
        <v>10</v>
      </c>
      <c r="I53" s="14" t="s">
        <v>11</v>
      </c>
      <c r="J53" s="14" t="s">
        <v>12</v>
      </c>
    </row>
    <row x14ac:dyDescent="0.25" r="54" customHeight="1" ht="17.25">
      <c r="A54" s="17" t="s">
        <v>7666</v>
      </c>
      <c r="B54" s="17" t="s">
        <v>113</v>
      </c>
      <c r="C54" s="17" t="s">
        <v>114</v>
      </c>
      <c r="D54" s="17" t="s">
        <v>16</v>
      </c>
      <c r="E54" s="18">
        <f>ROUND(11196*1.05,2)</f>
      </c>
      <c r="F54" s="17" t="s">
        <v>17</v>
      </c>
      <c r="G54" s="17" t="s">
        <v>18</v>
      </c>
      <c r="H54" s="18">
        <f>ROUND(RAND()*4+6,1)</f>
      </c>
      <c r="I54" s="17" t="s">
        <v>19</v>
      </c>
      <c r="J54" s="19">
        <f>ROUND(79*1,0)&amp;"%"</f>
      </c>
    </row>
    <row x14ac:dyDescent="0.25" r="55" customHeight="1" ht="17.25">
      <c r="A55" s="20" t="s">
        <v>7667</v>
      </c>
      <c r="B55" s="20" t="s">
        <v>116</v>
      </c>
      <c r="C55" s="20" t="s">
        <v>114</v>
      </c>
      <c r="D55" s="20" t="s">
        <v>22</v>
      </c>
      <c r="E55" s="21">
        <f>ROUND(17663*1.05,2)</f>
      </c>
      <c r="F55" s="20" t="s">
        <v>23</v>
      </c>
      <c r="G55" s="20" t="s">
        <v>24</v>
      </c>
      <c r="H55" s="21">
        <f>ROUND(RAND()*4+6,1)</f>
      </c>
      <c r="I55" s="20" t="s">
        <v>25</v>
      </c>
      <c r="J55" s="23">
        <f>ROUND(70*1,0)&amp;"%"</f>
      </c>
    </row>
    <row x14ac:dyDescent="0.25" r="56" customHeight="1" ht="17.25">
      <c r="A56" s="17" t="s">
        <v>7668</v>
      </c>
      <c r="B56" s="17" t="s">
        <v>118</v>
      </c>
      <c r="C56" s="17" t="s">
        <v>114</v>
      </c>
      <c r="D56" s="17" t="s">
        <v>28</v>
      </c>
      <c r="E56" s="18">
        <f>ROUND(12570*1.05,2)</f>
      </c>
      <c r="F56" s="17" t="s">
        <v>29</v>
      </c>
      <c r="G56" s="17" t="s">
        <v>30</v>
      </c>
      <c r="H56" s="18">
        <f>ROUND(RAND()*4+6,1)</f>
      </c>
      <c r="I56" s="17" t="s">
        <v>31</v>
      </c>
      <c r="J56" s="19">
        <f>ROUND(88*1,0)&amp;"%"</f>
      </c>
    </row>
    <row x14ac:dyDescent="0.25" r="57" customHeight="1" ht="17.25">
      <c r="A57" s="20" t="s">
        <v>7669</v>
      </c>
      <c r="B57" s="20" t="s">
        <v>120</v>
      </c>
      <c r="C57" s="20" t="s">
        <v>114</v>
      </c>
      <c r="D57" s="20" t="s">
        <v>34</v>
      </c>
      <c r="E57" s="21">
        <f>ROUND(15192*1.05,2)</f>
      </c>
      <c r="F57" s="20" t="s">
        <v>35</v>
      </c>
      <c r="G57" s="20" t="s">
        <v>18</v>
      </c>
      <c r="H57" s="21">
        <f>ROUND(RAND()*4+6,1)</f>
      </c>
      <c r="I57" s="20" t="s">
        <v>36</v>
      </c>
      <c r="J57" s="23">
        <f>ROUND(63*1,0)&amp;"%"</f>
      </c>
    </row>
    <row x14ac:dyDescent="0.25" r="58" customHeight="1" ht="17.25">
      <c r="A58" s="17" t="s">
        <v>7670</v>
      </c>
      <c r="B58" s="17" t="s">
        <v>122</v>
      </c>
      <c r="C58" s="17" t="s">
        <v>114</v>
      </c>
      <c r="D58" s="17" t="s">
        <v>39</v>
      </c>
      <c r="E58" s="18">
        <f>ROUND(13635*1.05,2)</f>
      </c>
      <c r="F58" s="17" t="s">
        <v>40</v>
      </c>
      <c r="G58" s="17" t="s">
        <v>24</v>
      </c>
      <c r="H58" s="18">
        <f>ROUND(RAND()*4+6,1)</f>
      </c>
      <c r="I58" s="17" t="s">
        <v>41</v>
      </c>
      <c r="J58" s="19">
        <f>ROUND(87*1,0)&amp;"%"</f>
      </c>
    </row>
    <row x14ac:dyDescent="0.25" r="59" customHeight="1" ht="17.25">
      <c r="A59" s="20" t="s">
        <v>7671</v>
      </c>
      <c r="B59" s="20" t="s">
        <v>124</v>
      </c>
      <c r="C59" s="20" t="s">
        <v>114</v>
      </c>
      <c r="D59" s="20" t="s">
        <v>67</v>
      </c>
      <c r="E59" s="21">
        <f>ROUND(4229*1.05,2)</f>
      </c>
      <c r="F59" s="20" t="s">
        <v>44</v>
      </c>
      <c r="G59" s="20" t="s">
        <v>30</v>
      </c>
      <c r="H59" s="21">
        <f>ROUND(RAND()*4+6,1)</f>
      </c>
      <c r="I59" s="20" t="s">
        <v>45</v>
      </c>
      <c r="J59" s="23">
        <f>ROUND(87*1,0)&amp;"%"</f>
      </c>
    </row>
    <row x14ac:dyDescent="0.25" r="60" customHeight="1" ht="17.25">
      <c r="A60" s="17" t="s">
        <v>7672</v>
      </c>
      <c r="B60" s="17" t="s">
        <v>126</v>
      </c>
      <c r="C60" s="17" t="s">
        <v>114</v>
      </c>
      <c r="D60" s="17" t="s">
        <v>16</v>
      </c>
      <c r="E60" s="18">
        <f>ROUND(13410*1.05,2)</f>
      </c>
      <c r="F60" s="17" t="s">
        <v>48</v>
      </c>
      <c r="G60" s="17" t="s">
        <v>18</v>
      </c>
      <c r="H60" s="18">
        <f>ROUND(RAND()*4+6,1)</f>
      </c>
      <c r="I60" s="17" t="s">
        <v>19</v>
      </c>
      <c r="J60" s="19">
        <f>ROUND(90*1,0)&amp;"%"</f>
      </c>
    </row>
    <row x14ac:dyDescent="0.25" r="61" customHeight="1" ht="17.25">
      <c r="A61" s="20" t="s">
        <v>7673</v>
      </c>
      <c r="B61" s="20" t="s">
        <v>128</v>
      </c>
      <c r="C61" s="20" t="s">
        <v>114</v>
      </c>
      <c r="D61" s="20" t="s">
        <v>22</v>
      </c>
      <c r="E61" s="21">
        <f>ROUND(5557*1.05,2)</f>
      </c>
      <c r="F61" s="20" t="s">
        <v>51</v>
      </c>
      <c r="G61" s="20" t="s">
        <v>24</v>
      </c>
      <c r="H61" s="21">
        <f>ROUND(RAND()*4+6,1)</f>
      </c>
      <c r="I61" s="20" t="s">
        <v>25</v>
      </c>
      <c r="J61" s="23">
        <f>ROUND(84*1,0)&amp;"%"</f>
      </c>
    </row>
    <row x14ac:dyDescent="0.25" r="62" customHeight="1" ht="17.25">
      <c r="A62" s="24" t="s">
        <v>129</v>
      </c>
      <c r="B62" s="24"/>
      <c r="C62" s="24"/>
      <c r="D62" s="24"/>
      <c r="E62" s="25">
        <v>8</v>
      </c>
      <c r="F62" s="9"/>
      <c r="G62" s="9"/>
      <c r="H62" s="10"/>
      <c r="I62" s="9"/>
      <c r="J62" s="9"/>
    </row>
    <row x14ac:dyDescent="0.25" r="63" customHeight="1" ht="17.25">
      <c r="A63" s="7"/>
      <c r="B63" s="7"/>
      <c r="C63" s="7"/>
      <c r="D63" s="7"/>
      <c r="E63" s="8"/>
      <c r="F63" s="9"/>
      <c r="G63" s="9"/>
      <c r="H63" s="10"/>
      <c r="I63" s="9"/>
      <c r="J63" s="9"/>
    </row>
    <row x14ac:dyDescent="0.25" r="64" customHeight="1" ht="17.25">
      <c r="A64" s="11" t="s">
        <v>7674</v>
      </c>
      <c r="B64" s="11"/>
      <c r="C64" s="11"/>
      <c r="D64" s="11"/>
      <c r="E64" s="12"/>
      <c r="F64" s="11"/>
      <c r="G64" s="11"/>
      <c r="H64" s="13"/>
      <c r="I64" s="11"/>
      <c r="J64" s="11"/>
    </row>
    <row x14ac:dyDescent="0.25" r="65" customHeight="1" ht="17.25">
      <c r="A65" s="14" t="s">
        <v>3</v>
      </c>
      <c r="B65" s="14" t="s">
        <v>4</v>
      </c>
      <c r="C65" s="14" t="s">
        <v>5</v>
      </c>
      <c r="D65" s="14" t="s">
        <v>6</v>
      </c>
      <c r="E65" s="15" t="s">
        <v>7</v>
      </c>
      <c r="F65" s="14" t="s">
        <v>8</v>
      </c>
      <c r="G65" s="14" t="s">
        <v>9</v>
      </c>
      <c r="H65" s="16" t="s">
        <v>10</v>
      </c>
      <c r="I65" s="14" t="s">
        <v>11</v>
      </c>
      <c r="J65" s="14" t="s">
        <v>12</v>
      </c>
    </row>
    <row x14ac:dyDescent="0.25" r="66" customHeight="1" ht="17.25">
      <c r="A66" s="17" t="s">
        <v>7675</v>
      </c>
      <c r="B66" s="17" t="s">
        <v>132</v>
      </c>
      <c r="C66" s="17" t="s">
        <v>133</v>
      </c>
      <c r="D66" s="17" t="s">
        <v>16</v>
      </c>
      <c r="E66" s="18">
        <f>ROUND(4122*1.05,2)</f>
      </c>
      <c r="F66" s="17" t="s">
        <v>17</v>
      </c>
      <c r="G66" s="17" t="s">
        <v>18</v>
      </c>
      <c r="H66" s="18">
        <f>ROUND(RAND()*4+6,1)</f>
      </c>
      <c r="I66" s="17" t="s">
        <v>19</v>
      </c>
      <c r="J66" s="19">
        <f>ROUND(66*1,0)&amp;"%"</f>
      </c>
    </row>
    <row x14ac:dyDescent="0.25" r="67" customHeight="1" ht="17.25">
      <c r="A67" s="20" t="s">
        <v>7676</v>
      </c>
      <c r="B67" s="20" t="s">
        <v>135</v>
      </c>
      <c r="C67" s="20" t="s">
        <v>133</v>
      </c>
      <c r="D67" s="20" t="s">
        <v>22</v>
      </c>
      <c r="E67" s="21">
        <f>ROUND(13233*1.05,2)</f>
      </c>
      <c r="F67" s="20" t="s">
        <v>23</v>
      </c>
      <c r="G67" s="20" t="s">
        <v>24</v>
      </c>
      <c r="H67" s="21">
        <f>ROUND(RAND()*4+6,1)</f>
      </c>
      <c r="I67" s="20" t="s">
        <v>25</v>
      </c>
      <c r="J67" s="23">
        <f>ROUND(95*1,0)&amp;"%"</f>
      </c>
    </row>
    <row x14ac:dyDescent="0.25" r="68" customHeight="1" ht="17.25">
      <c r="A68" s="17" t="s">
        <v>7677</v>
      </c>
      <c r="B68" s="17" t="s">
        <v>137</v>
      </c>
      <c r="C68" s="17" t="s">
        <v>133</v>
      </c>
      <c r="D68" s="17" t="s">
        <v>28</v>
      </c>
      <c r="E68" s="18">
        <f>ROUND(8477*1.05,2)</f>
      </c>
      <c r="F68" s="17" t="s">
        <v>29</v>
      </c>
      <c r="G68" s="17" t="s">
        <v>30</v>
      </c>
      <c r="H68" s="18">
        <f>ROUND(RAND()*4+6,1)</f>
      </c>
      <c r="I68" s="17" t="s">
        <v>31</v>
      </c>
      <c r="J68" s="19">
        <f>ROUND(71*1,0)&amp;"%"</f>
      </c>
    </row>
    <row x14ac:dyDescent="0.25" r="69" customHeight="1" ht="17.25">
      <c r="A69" s="20" t="s">
        <v>7678</v>
      </c>
      <c r="B69" s="20" t="s">
        <v>139</v>
      </c>
      <c r="C69" s="20" t="s">
        <v>133</v>
      </c>
      <c r="D69" s="20" t="s">
        <v>34</v>
      </c>
      <c r="E69" s="21">
        <f>ROUND(16090*1.05,2)</f>
      </c>
      <c r="F69" s="20" t="s">
        <v>35</v>
      </c>
      <c r="G69" s="20" t="s">
        <v>18</v>
      </c>
      <c r="H69" s="21">
        <f>ROUND(RAND()*4+6,1)</f>
      </c>
      <c r="I69" s="20" t="s">
        <v>36</v>
      </c>
      <c r="J69" s="23">
        <f>ROUND(77*1,0)&amp;"%"</f>
      </c>
    </row>
    <row x14ac:dyDescent="0.25" r="70" customHeight="1" ht="17.25">
      <c r="A70" s="17" t="s">
        <v>7679</v>
      </c>
      <c r="B70" s="17" t="s">
        <v>141</v>
      </c>
      <c r="C70" s="17" t="s">
        <v>133</v>
      </c>
      <c r="D70" s="17" t="s">
        <v>39</v>
      </c>
      <c r="E70" s="18">
        <f>ROUND(13129*1.05,2)</f>
      </c>
      <c r="F70" s="17" t="s">
        <v>40</v>
      </c>
      <c r="G70" s="17" t="s">
        <v>24</v>
      </c>
      <c r="H70" s="18">
        <f>ROUND(RAND()*4+6,1)</f>
      </c>
      <c r="I70" s="17" t="s">
        <v>41</v>
      </c>
      <c r="J70" s="19">
        <f>ROUND(92*1,0)&amp;"%"</f>
      </c>
    </row>
    <row x14ac:dyDescent="0.25" r="71" customHeight="1" ht="17.25">
      <c r="A71" s="20" t="s">
        <v>7680</v>
      </c>
      <c r="B71" s="20" t="s">
        <v>143</v>
      </c>
      <c r="C71" s="20" t="s">
        <v>133</v>
      </c>
      <c r="D71" s="20" t="s">
        <v>67</v>
      </c>
      <c r="E71" s="21">
        <f>ROUND(15417*1.05,2)</f>
      </c>
      <c r="F71" s="20" t="s">
        <v>44</v>
      </c>
      <c r="G71" s="20" t="s">
        <v>30</v>
      </c>
      <c r="H71" s="21">
        <f>ROUND(RAND()*4+6,1)</f>
      </c>
      <c r="I71" s="20" t="s">
        <v>45</v>
      </c>
      <c r="J71" s="23">
        <f>ROUND(63*1,0)&amp;"%"</f>
      </c>
    </row>
    <row x14ac:dyDescent="0.25" r="72" customHeight="1" ht="17.25">
      <c r="A72" s="17" t="s">
        <v>7681</v>
      </c>
      <c r="B72" s="17" t="s">
        <v>145</v>
      </c>
      <c r="C72" s="17" t="s">
        <v>133</v>
      </c>
      <c r="D72" s="17" t="s">
        <v>16</v>
      </c>
      <c r="E72" s="18">
        <f>ROUND(13844*1.05,2)</f>
      </c>
      <c r="F72" s="17" t="s">
        <v>48</v>
      </c>
      <c r="G72" s="17" t="s">
        <v>18</v>
      </c>
      <c r="H72" s="18">
        <f>ROUND(RAND()*4+6,1)</f>
      </c>
      <c r="I72" s="17" t="s">
        <v>19</v>
      </c>
      <c r="J72" s="19">
        <f>ROUND(79*1,0)&amp;"%"</f>
      </c>
    </row>
    <row x14ac:dyDescent="0.25" r="73" customHeight="1" ht="17.25">
      <c r="A73" s="20" t="s">
        <v>7682</v>
      </c>
      <c r="B73" s="20" t="s">
        <v>147</v>
      </c>
      <c r="C73" s="20" t="s">
        <v>133</v>
      </c>
      <c r="D73" s="20" t="s">
        <v>22</v>
      </c>
      <c r="E73" s="21">
        <f>ROUND(10976*1.05,2)</f>
      </c>
      <c r="F73" s="20" t="s">
        <v>51</v>
      </c>
      <c r="G73" s="20" t="s">
        <v>24</v>
      </c>
      <c r="H73" s="21">
        <f>ROUND(RAND()*4+6,1)</f>
      </c>
      <c r="I73" s="20" t="s">
        <v>25</v>
      </c>
      <c r="J73" s="23">
        <f>ROUND(96*1,0)&amp;"%"</f>
      </c>
    </row>
    <row x14ac:dyDescent="0.25" r="74" customHeight="1" ht="17.25">
      <c r="A74" s="24" t="s">
        <v>148</v>
      </c>
      <c r="B74" s="24"/>
      <c r="C74" s="24"/>
      <c r="D74" s="24"/>
      <c r="E74" s="25">
        <v>8</v>
      </c>
      <c r="F74" s="9"/>
      <c r="G74" s="9"/>
      <c r="H74" s="10"/>
      <c r="I74" s="9"/>
      <c r="J74" s="9"/>
    </row>
    <row x14ac:dyDescent="0.25" r="75" customHeight="1" ht="17.25">
      <c r="A75" s="7"/>
      <c r="B75" s="7"/>
      <c r="C75" s="7"/>
      <c r="D75" s="7"/>
      <c r="E75" s="8"/>
      <c r="F75" s="9"/>
      <c r="G75" s="9"/>
      <c r="H75" s="10"/>
      <c r="I75" s="9"/>
      <c r="J75" s="9"/>
    </row>
    <row x14ac:dyDescent="0.25" r="76" customHeight="1" ht="17.25">
      <c r="A76" s="11" t="s">
        <v>7683</v>
      </c>
      <c r="B76" s="11"/>
      <c r="C76" s="11"/>
      <c r="D76" s="11"/>
      <c r="E76" s="12"/>
      <c r="F76" s="11"/>
      <c r="G76" s="11"/>
      <c r="H76" s="13"/>
      <c r="I76" s="11"/>
      <c r="J76" s="11"/>
    </row>
    <row x14ac:dyDescent="0.25" r="77" customHeight="1" ht="17.25">
      <c r="A77" s="14" t="s">
        <v>3</v>
      </c>
      <c r="B77" s="14" t="s">
        <v>4</v>
      </c>
      <c r="C77" s="14" t="s">
        <v>5</v>
      </c>
      <c r="D77" s="14" t="s">
        <v>6</v>
      </c>
      <c r="E77" s="15" t="s">
        <v>7</v>
      </c>
      <c r="F77" s="14" t="s">
        <v>8</v>
      </c>
      <c r="G77" s="14" t="s">
        <v>9</v>
      </c>
      <c r="H77" s="16" t="s">
        <v>10</v>
      </c>
      <c r="I77" s="14" t="s">
        <v>11</v>
      </c>
      <c r="J77" s="14" t="s">
        <v>12</v>
      </c>
    </row>
    <row x14ac:dyDescent="0.25" r="78" customHeight="1" ht="17.25">
      <c r="A78" s="17" t="s">
        <v>7684</v>
      </c>
      <c r="B78" s="17" t="s">
        <v>151</v>
      </c>
      <c r="C78" s="17" t="s">
        <v>152</v>
      </c>
      <c r="D78" s="17" t="s">
        <v>16</v>
      </c>
      <c r="E78" s="18">
        <f>ROUND(8188*1.05,2)</f>
      </c>
      <c r="F78" s="17" t="s">
        <v>17</v>
      </c>
      <c r="G78" s="17" t="s">
        <v>18</v>
      </c>
      <c r="H78" s="18">
        <f>ROUND(RAND()*4+6,1)</f>
      </c>
      <c r="I78" s="17" t="s">
        <v>19</v>
      </c>
      <c r="J78" s="19">
        <f>ROUND(85*1,0)&amp;"%"</f>
      </c>
    </row>
    <row x14ac:dyDescent="0.25" r="79" customHeight="1" ht="17.25">
      <c r="A79" s="20" t="s">
        <v>7685</v>
      </c>
      <c r="B79" s="20" t="s">
        <v>154</v>
      </c>
      <c r="C79" s="20" t="s">
        <v>152</v>
      </c>
      <c r="D79" s="20" t="s">
        <v>22</v>
      </c>
      <c r="E79" s="21">
        <f>ROUND(13664*1.05,2)</f>
      </c>
      <c r="F79" s="20" t="s">
        <v>23</v>
      </c>
      <c r="G79" s="20" t="s">
        <v>24</v>
      </c>
      <c r="H79" s="21">
        <f>ROUND(RAND()*4+6,1)</f>
      </c>
      <c r="I79" s="20" t="s">
        <v>25</v>
      </c>
      <c r="J79" s="23">
        <f>ROUND(97*1,0)&amp;"%"</f>
      </c>
    </row>
    <row x14ac:dyDescent="0.25" r="80" customHeight="1" ht="17.25">
      <c r="A80" s="17" t="s">
        <v>7686</v>
      </c>
      <c r="B80" s="17" t="s">
        <v>156</v>
      </c>
      <c r="C80" s="17" t="s">
        <v>152</v>
      </c>
      <c r="D80" s="17" t="s">
        <v>28</v>
      </c>
      <c r="E80" s="26">
        <f>ROUND(5660*1.05,2)</f>
      </c>
      <c r="F80" s="17" t="s">
        <v>29</v>
      </c>
      <c r="G80" s="17" t="s">
        <v>30</v>
      </c>
      <c r="H80" s="18">
        <f>ROUND(RAND()*4+6,1)</f>
      </c>
      <c r="I80" s="17" t="s">
        <v>31</v>
      </c>
      <c r="J80" s="19">
        <f>ROUND(62*1,0)&amp;"%"</f>
      </c>
    </row>
    <row x14ac:dyDescent="0.25" r="81" customHeight="1" ht="17.25">
      <c r="A81" s="20" t="s">
        <v>7687</v>
      </c>
      <c r="B81" s="20" t="s">
        <v>158</v>
      </c>
      <c r="C81" s="20" t="s">
        <v>152</v>
      </c>
      <c r="D81" s="20" t="s">
        <v>34</v>
      </c>
      <c r="E81" s="21">
        <f>ROUND(5158*1.05,2)</f>
      </c>
      <c r="F81" s="20" t="s">
        <v>35</v>
      </c>
      <c r="G81" s="20" t="s">
        <v>18</v>
      </c>
      <c r="H81" s="21">
        <f>ROUND(RAND()*4+6,1)</f>
      </c>
      <c r="I81" s="20" t="s">
        <v>36</v>
      </c>
      <c r="J81" s="23">
        <f>ROUND(63*1,0)&amp;"%"</f>
      </c>
    </row>
    <row x14ac:dyDescent="0.25" r="82" customHeight="1" ht="17.25">
      <c r="A82" s="17" t="s">
        <v>7688</v>
      </c>
      <c r="B82" s="17" t="s">
        <v>160</v>
      </c>
      <c r="C82" s="17" t="s">
        <v>152</v>
      </c>
      <c r="D82" s="17" t="s">
        <v>39</v>
      </c>
      <c r="E82" s="18">
        <f>ROUND(12819*1.05,2)</f>
      </c>
      <c r="F82" s="17" t="s">
        <v>40</v>
      </c>
      <c r="G82" s="17" t="s">
        <v>24</v>
      </c>
      <c r="H82" s="18">
        <f>ROUND(RAND()*4+6,1)</f>
      </c>
      <c r="I82" s="17" t="s">
        <v>41</v>
      </c>
      <c r="J82" s="19">
        <f>ROUND(93*1,0)&amp;"%"</f>
      </c>
    </row>
    <row x14ac:dyDescent="0.25" r="83" customHeight="1" ht="17.25">
      <c r="A83" s="20" t="s">
        <v>7689</v>
      </c>
      <c r="B83" s="20" t="s">
        <v>162</v>
      </c>
      <c r="C83" s="20" t="s">
        <v>152</v>
      </c>
      <c r="D83" s="20" t="s">
        <v>67</v>
      </c>
      <c r="E83" s="21">
        <f>ROUND(7355*1.05,2)</f>
      </c>
      <c r="F83" s="20" t="s">
        <v>44</v>
      </c>
      <c r="G83" s="20" t="s">
        <v>30</v>
      </c>
      <c r="H83" s="21">
        <f>ROUND(RAND()*4+6,1)</f>
      </c>
      <c r="I83" s="20" t="s">
        <v>45</v>
      </c>
      <c r="J83" s="23">
        <f>ROUND(81*1,0)&amp;"%"</f>
      </c>
    </row>
    <row x14ac:dyDescent="0.25" r="84" customHeight="1" ht="17.25">
      <c r="A84" s="17" t="s">
        <v>7690</v>
      </c>
      <c r="B84" s="17" t="s">
        <v>164</v>
      </c>
      <c r="C84" s="17" t="s">
        <v>152</v>
      </c>
      <c r="D84" s="17" t="s">
        <v>16</v>
      </c>
      <c r="E84" s="18">
        <f>ROUND(11665*1.05,2)</f>
      </c>
      <c r="F84" s="17" t="s">
        <v>48</v>
      </c>
      <c r="G84" s="17" t="s">
        <v>18</v>
      </c>
      <c r="H84" s="26">
        <f>ROUND(RAND()*4+6,1)</f>
      </c>
      <c r="I84" s="17" t="s">
        <v>19</v>
      </c>
      <c r="J84" s="19">
        <f>ROUND(83*1,0)&amp;"%"</f>
      </c>
    </row>
    <row x14ac:dyDescent="0.25" r="85" customHeight="1" ht="17.25">
      <c r="A85" s="20" t="s">
        <v>7691</v>
      </c>
      <c r="B85" s="20" t="s">
        <v>166</v>
      </c>
      <c r="C85" s="20" t="s">
        <v>152</v>
      </c>
      <c r="D85" s="20" t="s">
        <v>22</v>
      </c>
      <c r="E85" s="21">
        <f>ROUND(17281*1.05,2)</f>
      </c>
      <c r="F85" s="20" t="s">
        <v>51</v>
      </c>
      <c r="G85" s="20" t="s">
        <v>24</v>
      </c>
      <c r="H85" s="21">
        <f>ROUND(RAND()*4+6,1)</f>
      </c>
      <c r="I85" s="20" t="s">
        <v>25</v>
      </c>
      <c r="J85" s="23">
        <f>ROUND(93*1,0)&amp;"%"</f>
      </c>
    </row>
    <row x14ac:dyDescent="0.25" r="86" customHeight="1" ht="17.25">
      <c r="A86" s="24" t="s">
        <v>167</v>
      </c>
      <c r="B86" s="24"/>
      <c r="C86" s="24"/>
      <c r="D86" s="24"/>
      <c r="E86" s="25">
        <v>8</v>
      </c>
      <c r="F86" s="9"/>
      <c r="G86" s="9"/>
      <c r="H86" s="10"/>
      <c r="I86" s="9"/>
      <c r="J86" s="9"/>
    </row>
    <row x14ac:dyDescent="0.25" r="87" customHeight="1" ht="17.25">
      <c r="A87" s="7"/>
      <c r="B87" s="7"/>
      <c r="C87" s="7"/>
      <c r="D87" s="7"/>
      <c r="E87" s="8"/>
      <c r="F87" s="9"/>
      <c r="G87" s="9"/>
      <c r="H87" s="10"/>
      <c r="I87" s="9"/>
      <c r="J87" s="9"/>
    </row>
    <row x14ac:dyDescent="0.25" r="88" customHeight="1" ht="17.25">
      <c r="A88" s="11" t="s">
        <v>7692</v>
      </c>
      <c r="B88" s="11"/>
      <c r="C88" s="11"/>
      <c r="D88" s="11"/>
      <c r="E88" s="12"/>
      <c r="F88" s="11"/>
      <c r="G88" s="11"/>
      <c r="H88" s="13"/>
      <c r="I88" s="11"/>
      <c r="J88" s="11"/>
    </row>
    <row x14ac:dyDescent="0.25" r="89" customHeight="1" ht="17.25">
      <c r="A89" s="14" t="s">
        <v>3</v>
      </c>
      <c r="B89" s="14" t="s">
        <v>4</v>
      </c>
      <c r="C89" s="14" t="s">
        <v>5</v>
      </c>
      <c r="D89" s="14" t="s">
        <v>6</v>
      </c>
      <c r="E89" s="15" t="s">
        <v>7</v>
      </c>
      <c r="F89" s="14" t="s">
        <v>8</v>
      </c>
      <c r="G89" s="14" t="s">
        <v>9</v>
      </c>
      <c r="H89" s="16" t="s">
        <v>10</v>
      </c>
      <c r="I89" s="14" t="s">
        <v>11</v>
      </c>
      <c r="J89" s="14" t="s">
        <v>12</v>
      </c>
    </row>
    <row x14ac:dyDescent="0.25" r="90" customHeight="1" ht="17.25">
      <c r="A90" s="17" t="s">
        <v>7693</v>
      </c>
      <c r="B90" s="17" t="s">
        <v>170</v>
      </c>
      <c r="C90" s="17" t="s">
        <v>15</v>
      </c>
      <c r="D90" s="17" t="s">
        <v>16</v>
      </c>
      <c r="E90" s="18">
        <f>ROUND(16233*1.05,2)</f>
      </c>
      <c r="F90" s="17" t="s">
        <v>17</v>
      </c>
      <c r="G90" s="17" t="s">
        <v>18</v>
      </c>
      <c r="H90" s="18">
        <f>ROUND(RAND()*4+6,1)</f>
      </c>
      <c r="I90" s="17" t="s">
        <v>19</v>
      </c>
      <c r="J90" s="19">
        <f>ROUND(88*1,0)&amp;"%"</f>
      </c>
    </row>
    <row x14ac:dyDescent="0.25" r="91" customHeight="1" ht="17.25">
      <c r="A91" s="20" t="s">
        <v>7694</v>
      </c>
      <c r="B91" s="20" t="s">
        <v>172</v>
      </c>
      <c r="C91" s="20" t="s">
        <v>15</v>
      </c>
      <c r="D91" s="20" t="s">
        <v>22</v>
      </c>
      <c r="E91" s="21">
        <f>ROUND(11547*1.05,2)</f>
      </c>
      <c r="F91" s="20" t="s">
        <v>23</v>
      </c>
      <c r="G91" s="20" t="s">
        <v>24</v>
      </c>
      <c r="H91" s="21">
        <f>ROUND(RAND()*4+6,1)</f>
      </c>
      <c r="I91" s="20" t="s">
        <v>25</v>
      </c>
      <c r="J91" s="23">
        <f>ROUND(72*1,0)&amp;"%"</f>
      </c>
    </row>
    <row x14ac:dyDescent="0.25" r="92" customHeight="1" ht="17.25">
      <c r="A92" s="17" t="s">
        <v>7695</v>
      </c>
      <c r="B92" s="17" t="s">
        <v>174</v>
      </c>
      <c r="C92" s="17" t="s">
        <v>15</v>
      </c>
      <c r="D92" s="17" t="s">
        <v>28</v>
      </c>
      <c r="E92" s="26">
        <f>ROUND(7820*1.05,2)</f>
      </c>
      <c r="F92" s="17" t="s">
        <v>29</v>
      </c>
      <c r="G92" s="17" t="s">
        <v>30</v>
      </c>
      <c r="H92" s="18">
        <f>ROUND(RAND()*4+6,1)</f>
      </c>
      <c r="I92" s="17" t="s">
        <v>31</v>
      </c>
      <c r="J92" s="19">
        <f>ROUND(88*1,0)&amp;"%"</f>
      </c>
    </row>
    <row x14ac:dyDescent="0.25" r="93" customHeight="1" ht="17.25">
      <c r="A93" s="20" t="s">
        <v>7696</v>
      </c>
      <c r="B93" s="20" t="s">
        <v>176</v>
      </c>
      <c r="C93" s="20" t="s">
        <v>15</v>
      </c>
      <c r="D93" s="20" t="s">
        <v>34</v>
      </c>
      <c r="E93" s="21">
        <f>ROUND(14393*1.05,2)</f>
      </c>
      <c r="F93" s="20" t="s">
        <v>35</v>
      </c>
      <c r="G93" s="20" t="s">
        <v>18</v>
      </c>
      <c r="H93" s="21">
        <f>ROUND(RAND()*4+6,1)</f>
      </c>
      <c r="I93" s="20" t="s">
        <v>36</v>
      </c>
      <c r="J93" s="23">
        <f>ROUND(68*1,0)&amp;"%"</f>
      </c>
    </row>
    <row x14ac:dyDescent="0.25" r="94" customHeight="1" ht="17.25">
      <c r="A94" s="17" t="s">
        <v>7697</v>
      </c>
      <c r="B94" s="17" t="s">
        <v>178</v>
      </c>
      <c r="C94" s="17" t="s">
        <v>15</v>
      </c>
      <c r="D94" s="17" t="s">
        <v>39</v>
      </c>
      <c r="E94" s="18">
        <f>ROUND(17491*1.05,2)</f>
      </c>
      <c r="F94" s="17" t="s">
        <v>40</v>
      </c>
      <c r="G94" s="17" t="s">
        <v>24</v>
      </c>
      <c r="H94" s="18">
        <f>ROUND(RAND()*4+6,1)</f>
      </c>
      <c r="I94" s="17" t="s">
        <v>41</v>
      </c>
      <c r="J94" s="19">
        <f>ROUND(64*1,0)&amp;"%"</f>
      </c>
    </row>
    <row x14ac:dyDescent="0.25" r="95" customHeight="1" ht="17.25">
      <c r="A95" s="20" t="s">
        <v>7698</v>
      </c>
      <c r="B95" s="20" t="s">
        <v>180</v>
      </c>
      <c r="C95" s="20" t="s">
        <v>15</v>
      </c>
      <c r="D95" s="20" t="s">
        <v>67</v>
      </c>
      <c r="E95" s="21">
        <f>ROUND(17565*1.05,2)</f>
      </c>
      <c r="F95" s="20" t="s">
        <v>44</v>
      </c>
      <c r="G95" s="20" t="s">
        <v>30</v>
      </c>
      <c r="H95" s="21">
        <f>ROUND(RAND()*4+6,1)</f>
      </c>
      <c r="I95" s="20" t="s">
        <v>45</v>
      </c>
      <c r="J95" s="23">
        <f>ROUND(71*1,0)&amp;"%"</f>
      </c>
    </row>
    <row x14ac:dyDescent="0.25" r="96" customHeight="1" ht="17.25">
      <c r="A96" s="17" t="s">
        <v>7699</v>
      </c>
      <c r="B96" s="17" t="s">
        <v>182</v>
      </c>
      <c r="C96" s="17" t="s">
        <v>15</v>
      </c>
      <c r="D96" s="17" t="s">
        <v>16</v>
      </c>
      <c r="E96" s="18">
        <f>ROUND(11428*1.05,2)</f>
      </c>
      <c r="F96" s="17" t="s">
        <v>48</v>
      </c>
      <c r="G96" s="17" t="s">
        <v>18</v>
      </c>
      <c r="H96" s="18">
        <f>ROUND(RAND()*4+6,1)</f>
      </c>
      <c r="I96" s="17" t="s">
        <v>19</v>
      </c>
      <c r="J96" s="19">
        <f>ROUND(84*1,0)&amp;"%"</f>
      </c>
    </row>
    <row x14ac:dyDescent="0.25" r="97" customHeight="1" ht="17.25">
      <c r="A97" s="20" t="s">
        <v>7700</v>
      </c>
      <c r="B97" s="20" t="s">
        <v>184</v>
      </c>
      <c r="C97" s="20" t="s">
        <v>15</v>
      </c>
      <c r="D97" s="20" t="s">
        <v>22</v>
      </c>
      <c r="E97" s="21">
        <f>ROUND(12471*1.05,2)</f>
      </c>
      <c r="F97" s="20" t="s">
        <v>51</v>
      </c>
      <c r="G97" s="20" t="s">
        <v>24</v>
      </c>
      <c r="H97" s="21">
        <f>ROUND(RAND()*4+6,1)</f>
      </c>
      <c r="I97" s="20" t="s">
        <v>25</v>
      </c>
      <c r="J97" s="23">
        <f>ROUND(67*1,0)&amp;"%"</f>
      </c>
    </row>
    <row x14ac:dyDescent="0.25" r="98" customHeight="1" ht="17.25">
      <c r="A98" s="24" t="s">
        <v>185</v>
      </c>
      <c r="B98" s="24"/>
      <c r="C98" s="24"/>
      <c r="D98" s="24"/>
      <c r="E98" s="25">
        <v>8</v>
      </c>
      <c r="F98" s="9"/>
      <c r="G98" s="9"/>
      <c r="H98" s="10"/>
      <c r="I98" s="9"/>
      <c r="J98" s="9"/>
    </row>
    <row x14ac:dyDescent="0.25" r="99" customHeight="1" ht="17.25">
      <c r="A99" s="7"/>
      <c r="B99" s="7"/>
      <c r="C99" s="7"/>
      <c r="D99" s="7"/>
      <c r="E99" s="8"/>
      <c r="F99" s="9"/>
      <c r="G99" s="9"/>
      <c r="H99" s="10"/>
      <c r="I99" s="9"/>
      <c r="J99" s="9"/>
    </row>
    <row x14ac:dyDescent="0.25" r="100" customHeight="1" ht="17.25">
      <c r="A100" s="11" t="s">
        <v>7701</v>
      </c>
      <c r="B100" s="11"/>
      <c r="C100" s="11"/>
      <c r="D100" s="11"/>
      <c r="E100" s="12"/>
      <c r="F100" s="11"/>
      <c r="G100" s="11"/>
      <c r="H100" s="13"/>
      <c r="I100" s="11"/>
      <c r="J100" s="11"/>
    </row>
    <row x14ac:dyDescent="0.25" r="101" customHeight="1" ht="17.25">
      <c r="A101" s="14" t="s">
        <v>3</v>
      </c>
      <c r="B101" s="14" t="s">
        <v>4</v>
      </c>
      <c r="C101" s="14" t="s">
        <v>5</v>
      </c>
      <c r="D101" s="14" t="s">
        <v>6</v>
      </c>
      <c r="E101" s="15" t="s">
        <v>7</v>
      </c>
      <c r="F101" s="14" t="s">
        <v>8</v>
      </c>
      <c r="G101" s="14" t="s">
        <v>9</v>
      </c>
      <c r="H101" s="16" t="s">
        <v>10</v>
      </c>
      <c r="I101" s="14" t="s">
        <v>11</v>
      </c>
      <c r="J101" s="14" t="s">
        <v>12</v>
      </c>
    </row>
    <row x14ac:dyDescent="0.25" r="102" customHeight="1" ht="17.25">
      <c r="A102" s="17" t="s">
        <v>7702</v>
      </c>
      <c r="B102" s="17" t="s">
        <v>188</v>
      </c>
      <c r="C102" s="17" t="s">
        <v>56</v>
      </c>
      <c r="D102" s="17" t="s">
        <v>16</v>
      </c>
      <c r="E102" s="18">
        <f>ROUND(7853*1.05,2)</f>
      </c>
      <c r="F102" s="17" t="s">
        <v>17</v>
      </c>
      <c r="G102" s="17" t="s">
        <v>18</v>
      </c>
      <c r="H102" s="18">
        <f>ROUND(RAND()*4+6,1)</f>
      </c>
      <c r="I102" s="17" t="s">
        <v>19</v>
      </c>
      <c r="J102" s="19">
        <f>ROUND(61*1,0)&amp;"%"</f>
      </c>
    </row>
    <row x14ac:dyDescent="0.25" r="103" customHeight="1" ht="17.25">
      <c r="A103" s="20" t="s">
        <v>7703</v>
      </c>
      <c r="B103" s="20" t="s">
        <v>190</v>
      </c>
      <c r="C103" s="20" t="s">
        <v>56</v>
      </c>
      <c r="D103" s="20" t="s">
        <v>22</v>
      </c>
      <c r="E103" s="21">
        <f>ROUND(6011*1.05,2)</f>
      </c>
      <c r="F103" s="20" t="s">
        <v>23</v>
      </c>
      <c r="G103" s="20" t="s">
        <v>24</v>
      </c>
      <c r="H103" s="21">
        <f>ROUND(RAND()*4+6,1)</f>
      </c>
      <c r="I103" s="20" t="s">
        <v>25</v>
      </c>
      <c r="J103" s="23">
        <f>ROUND(69*1,0)&amp;"%"</f>
      </c>
    </row>
    <row x14ac:dyDescent="0.25" r="104" customHeight="1" ht="17.25">
      <c r="A104" s="17" t="s">
        <v>7704</v>
      </c>
      <c r="B104" s="17" t="s">
        <v>192</v>
      </c>
      <c r="C104" s="17" t="s">
        <v>56</v>
      </c>
      <c r="D104" s="17" t="s">
        <v>28</v>
      </c>
      <c r="E104" s="18">
        <f>ROUND(10289*1.05,2)</f>
      </c>
      <c r="F104" s="17" t="s">
        <v>29</v>
      </c>
      <c r="G104" s="17" t="s">
        <v>30</v>
      </c>
      <c r="H104" s="18">
        <f>ROUND(RAND()*4+6,1)</f>
      </c>
      <c r="I104" s="17" t="s">
        <v>31</v>
      </c>
      <c r="J104" s="19">
        <f>ROUND(65*1,0)&amp;"%"</f>
      </c>
    </row>
    <row x14ac:dyDescent="0.25" r="105" customHeight="1" ht="17.25">
      <c r="A105" s="20" t="s">
        <v>7705</v>
      </c>
      <c r="B105" s="20" t="s">
        <v>194</v>
      </c>
      <c r="C105" s="20" t="s">
        <v>56</v>
      </c>
      <c r="D105" s="20" t="s">
        <v>34</v>
      </c>
      <c r="E105" s="22">
        <f>ROUND(11960*1.05,2)</f>
      </c>
      <c r="F105" s="20" t="s">
        <v>35</v>
      </c>
      <c r="G105" s="20" t="s">
        <v>18</v>
      </c>
      <c r="H105" s="21">
        <f>ROUND(RAND()*4+6,1)</f>
      </c>
      <c r="I105" s="20" t="s">
        <v>36</v>
      </c>
      <c r="J105" s="23">
        <f>ROUND(77*1,0)&amp;"%"</f>
      </c>
    </row>
    <row x14ac:dyDescent="0.25" r="106" customHeight="1" ht="17.25">
      <c r="A106" s="17" t="s">
        <v>7706</v>
      </c>
      <c r="B106" s="17" t="s">
        <v>196</v>
      </c>
      <c r="C106" s="17" t="s">
        <v>56</v>
      </c>
      <c r="D106" s="17" t="s">
        <v>39</v>
      </c>
      <c r="E106" s="18">
        <f>ROUND(4274*1.05,2)</f>
      </c>
      <c r="F106" s="17" t="s">
        <v>40</v>
      </c>
      <c r="G106" s="17" t="s">
        <v>24</v>
      </c>
      <c r="H106" s="18">
        <f>ROUND(RAND()*4+6,1)</f>
      </c>
      <c r="I106" s="17" t="s">
        <v>41</v>
      </c>
      <c r="J106" s="19">
        <f>ROUND(98*1,0)&amp;"%"</f>
      </c>
    </row>
    <row x14ac:dyDescent="0.25" r="107" customHeight="1" ht="17.25">
      <c r="A107" s="20" t="s">
        <v>7707</v>
      </c>
      <c r="B107" s="20" t="s">
        <v>198</v>
      </c>
      <c r="C107" s="20" t="s">
        <v>56</v>
      </c>
      <c r="D107" s="20" t="s">
        <v>67</v>
      </c>
      <c r="E107" s="21">
        <f>ROUND(11714*1.05,2)</f>
      </c>
      <c r="F107" s="20" t="s">
        <v>44</v>
      </c>
      <c r="G107" s="20" t="s">
        <v>30</v>
      </c>
      <c r="H107" s="21">
        <f>ROUND(RAND()*4+6,1)</f>
      </c>
      <c r="I107" s="20" t="s">
        <v>45</v>
      </c>
      <c r="J107" s="23">
        <f>ROUND(87*1,0)&amp;"%"</f>
      </c>
    </row>
    <row x14ac:dyDescent="0.25" r="108" customHeight="1" ht="17.25">
      <c r="A108" s="17" t="s">
        <v>7708</v>
      </c>
      <c r="B108" s="17" t="s">
        <v>200</v>
      </c>
      <c r="C108" s="17" t="s">
        <v>56</v>
      </c>
      <c r="D108" s="17" t="s">
        <v>16</v>
      </c>
      <c r="E108" s="18">
        <f>ROUND(9091*1.05,2)</f>
      </c>
      <c r="F108" s="17" t="s">
        <v>48</v>
      </c>
      <c r="G108" s="17" t="s">
        <v>18</v>
      </c>
      <c r="H108" s="18">
        <f>ROUND(RAND()*4+6,1)</f>
      </c>
      <c r="I108" s="17" t="s">
        <v>19</v>
      </c>
      <c r="J108" s="19">
        <f>ROUND(85*1,0)&amp;"%"</f>
      </c>
    </row>
    <row x14ac:dyDescent="0.25" r="109" customHeight="1" ht="17.25">
      <c r="A109" s="20" t="s">
        <v>7709</v>
      </c>
      <c r="B109" s="20" t="s">
        <v>202</v>
      </c>
      <c r="C109" s="20" t="s">
        <v>56</v>
      </c>
      <c r="D109" s="20" t="s">
        <v>22</v>
      </c>
      <c r="E109" s="21">
        <f>ROUND(16428*1.05,2)</f>
      </c>
      <c r="F109" s="20" t="s">
        <v>51</v>
      </c>
      <c r="G109" s="20" t="s">
        <v>24</v>
      </c>
      <c r="H109" s="21">
        <f>ROUND(RAND()*4+6,1)</f>
      </c>
      <c r="I109" s="20" t="s">
        <v>25</v>
      </c>
      <c r="J109" s="23">
        <f>ROUND(80*1,0)&amp;"%"</f>
      </c>
    </row>
    <row x14ac:dyDescent="0.25" r="110" customHeight="1" ht="17.25">
      <c r="A110" s="24" t="s">
        <v>203</v>
      </c>
      <c r="B110" s="24"/>
      <c r="C110" s="24"/>
      <c r="D110" s="24"/>
      <c r="E110" s="25">
        <v>8</v>
      </c>
      <c r="F110" s="9"/>
      <c r="G110" s="9"/>
      <c r="H110" s="10"/>
      <c r="I110" s="9"/>
      <c r="J110" s="9"/>
    </row>
    <row x14ac:dyDescent="0.25" r="111" customHeight="1" ht="17.25">
      <c r="A111" s="7"/>
      <c r="B111" s="7"/>
      <c r="C111" s="7"/>
      <c r="D111" s="7"/>
      <c r="E111" s="8"/>
      <c r="F111" s="9"/>
      <c r="G111" s="9"/>
      <c r="H111" s="10"/>
      <c r="I111" s="9"/>
      <c r="J111" s="9"/>
    </row>
    <row x14ac:dyDescent="0.25" r="112" customHeight="1" ht="17.25">
      <c r="A112" s="11" t="s">
        <v>7710</v>
      </c>
      <c r="B112" s="11"/>
      <c r="C112" s="11"/>
      <c r="D112" s="11"/>
      <c r="E112" s="12"/>
      <c r="F112" s="11"/>
      <c r="G112" s="11"/>
      <c r="H112" s="13"/>
      <c r="I112" s="11"/>
      <c r="J112" s="11"/>
    </row>
    <row x14ac:dyDescent="0.25" r="113" customHeight="1" ht="17.25">
      <c r="A113" s="14" t="s">
        <v>3</v>
      </c>
      <c r="B113" s="14" t="s">
        <v>4</v>
      </c>
      <c r="C113" s="14" t="s">
        <v>5</v>
      </c>
      <c r="D113" s="14" t="s">
        <v>6</v>
      </c>
      <c r="E113" s="15" t="s">
        <v>7</v>
      </c>
      <c r="F113" s="14" t="s">
        <v>8</v>
      </c>
      <c r="G113" s="14" t="s">
        <v>9</v>
      </c>
      <c r="H113" s="16" t="s">
        <v>10</v>
      </c>
      <c r="I113" s="14" t="s">
        <v>11</v>
      </c>
      <c r="J113" s="14" t="s">
        <v>12</v>
      </c>
    </row>
    <row x14ac:dyDescent="0.25" r="114" customHeight="1" ht="17.25">
      <c r="A114" s="17" t="s">
        <v>7711</v>
      </c>
      <c r="B114" s="17" t="s">
        <v>206</v>
      </c>
      <c r="C114" s="17" t="s">
        <v>76</v>
      </c>
      <c r="D114" s="17" t="s">
        <v>16</v>
      </c>
      <c r="E114" s="18">
        <f>ROUND(7690*1.05,2)</f>
      </c>
      <c r="F114" s="17" t="s">
        <v>17</v>
      </c>
      <c r="G114" s="17" t="s">
        <v>18</v>
      </c>
      <c r="H114" s="18">
        <f>ROUND(RAND()*4+6,1)</f>
      </c>
      <c r="I114" s="17" t="s">
        <v>19</v>
      </c>
      <c r="J114" s="19">
        <f>ROUND(62*1,0)&amp;"%"</f>
      </c>
    </row>
    <row x14ac:dyDescent="0.25" r="115" customHeight="1" ht="17.25">
      <c r="A115" s="20" t="s">
        <v>7712</v>
      </c>
      <c r="B115" s="20" t="s">
        <v>208</v>
      </c>
      <c r="C115" s="20" t="s">
        <v>76</v>
      </c>
      <c r="D115" s="20" t="s">
        <v>22</v>
      </c>
      <c r="E115" s="21">
        <f>ROUND(5325*1.05,2)</f>
      </c>
      <c r="F115" s="20" t="s">
        <v>23</v>
      </c>
      <c r="G115" s="20" t="s">
        <v>24</v>
      </c>
      <c r="H115" s="21">
        <f>ROUND(RAND()*4+6,1)</f>
      </c>
      <c r="I115" s="20" t="s">
        <v>25</v>
      </c>
      <c r="J115" s="23">
        <f>ROUND(95*1,0)&amp;"%"</f>
      </c>
    </row>
    <row x14ac:dyDescent="0.25" r="116" customHeight="1" ht="17.25">
      <c r="A116" s="17" t="s">
        <v>7713</v>
      </c>
      <c r="B116" s="17" t="s">
        <v>210</v>
      </c>
      <c r="C116" s="17" t="s">
        <v>76</v>
      </c>
      <c r="D116" s="17" t="s">
        <v>28</v>
      </c>
      <c r="E116" s="18">
        <f>ROUND(17230*1.05,2)</f>
      </c>
      <c r="F116" s="17" t="s">
        <v>29</v>
      </c>
      <c r="G116" s="17" t="s">
        <v>30</v>
      </c>
      <c r="H116" s="18">
        <f>ROUND(RAND()*4+6,1)</f>
      </c>
      <c r="I116" s="17" t="s">
        <v>31</v>
      </c>
      <c r="J116" s="19">
        <f>ROUND(80*1,0)&amp;"%"</f>
      </c>
    </row>
    <row x14ac:dyDescent="0.25" r="117" customHeight="1" ht="17.25">
      <c r="A117" s="20" t="s">
        <v>7714</v>
      </c>
      <c r="B117" s="20" t="s">
        <v>212</v>
      </c>
      <c r="C117" s="20" t="s">
        <v>76</v>
      </c>
      <c r="D117" s="20" t="s">
        <v>34</v>
      </c>
      <c r="E117" s="21">
        <f>ROUND(10834*1.05,2)</f>
      </c>
      <c r="F117" s="20" t="s">
        <v>35</v>
      </c>
      <c r="G117" s="20" t="s">
        <v>18</v>
      </c>
      <c r="H117" s="21">
        <f>ROUND(RAND()*4+6,1)</f>
      </c>
      <c r="I117" s="20" t="s">
        <v>36</v>
      </c>
      <c r="J117" s="23">
        <f>ROUND(77*1,0)&amp;"%"</f>
      </c>
    </row>
    <row x14ac:dyDescent="0.25" r="118" customHeight="1" ht="17.25">
      <c r="A118" s="17" t="s">
        <v>7715</v>
      </c>
      <c r="B118" s="17" t="s">
        <v>214</v>
      </c>
      <c r="C118" s="17" t="s">
        <v>76</v>
      </c>
      <c r="D118" s="17" t="s">
        <v>39</v>
      </c>
      <c r="E118" s="18">
        <f>ROUND(4969*1.05,2)</f>
      </c>
      <c r="F118" s="17" t="s">
        <v>40</v>
      </c>
      <c r="G118" s="17" t="s">
        <v>24</v>
      </c>
      <c r="H118" s="18">
        <f>ROUND(RAND()*4+6,1)</f>
      </c>
      <c r="I118" s="17" t="s">
        <v>41</v>
      </c>
      <c r="J118" s="19">
        <f>ROUND(84*1,0)&amp;"%"</f>
      </c>
    </row>
    <row x14ac:dyDescent="0.25" r="119" customHeight="1" ht="17.25">
      <c r="A119" s="20" t="s">
        <v>7716</v>
      </c>
      <c r="B119" s="20" t="s">
        <v>216</v>
      </c>
      <c r="C119" s="20" t="s">
        <v>76</v>
      </c>
      <c r="D119" s="20" t="s">
        <v>67</v>
      </c>
      <c r="E119" s="21">
        <f>ROUND(13077*1.05,2)</f>
      </c>
      <c r="F119" s="20" t="s">
        <v>44</v>
      </c>
      <c r="G119" s="20" t="s">
        <v>30</v>
      </c>
      <c r="H119" s="21">
        <f>ROUND(RAND()*4+6,1)</f>
      </c>
      <c r="I119" s="20" t="s">
        <v>45</v>
      </c>
      <c r="J119" s="23">
        <f>ROUND(95*1,0)&amp;"%"</f>
      </c>
    </row>
    <row x14ac:dyDescent="0.25" r="120" customHeight="1" ht="17.25">
      <c r="A120" s="17" t="s">
        <v>7717</v>
      </c>
      <c r="B120" s="17" t="s">
        <v>218</v>
      </c>
      <c r="C120" s="17" t="s">
        <v>76</v>
      </c>
      <c r="D120" s="17" t="s">
        <v>16</v>
      </c>
      <c r="E120" s="18">
        <f>ROUND(11910*1.05,2)</f>
      </c>
      <c r="F120" s="17" t="s">
        <v>48</v>
      </c>
      <c r="G120" s="17" t="s">
        <v>18</v>
      </c>
      <c r="H120" s="18">
        <f>ROUND(RAND()*4+6,1)</f>
      </c>
      <c r="I120" s="17" t="s">
        <v>19</v>
      </c>
      <c r="J120" s="19">
        <f>ROUND(62*1,0)&amp;"%"</f>
      </c>
    </row>
    <row x14ac:dyDescent="0.25" r="121" customHeight="1" ht="17.25">
      <c r="A121" s="20" t="s">
        <v>7718</v>
      </c>
      <c r="B121" s="20" t="s">
        <v>220</v>
      </c>
      <c r="C121" s="20" t="s">
        <v>76</v>
      </c>
      <c r="D121" s="20" t="s">
        <v>22</v>
      </c>
      <c r="E121" s="21">
        <f>ROUND(15036*1.05,2)</f>
      </c>
      <c r="F121" s="20" t="s">
        <v>51</v>
      </c>
      <c r="G121" s="20" t="s">
        <v>24</v>
      </c>
      <c r="H121" s="21">
        <f>ROUND(RAND()*4+6,1)</f>
      </c>
      <c r="I121" s="20" t="s">
        <v>25</v>
      </c>
      <c r="J121" s="23">
        <f>ROUND(77*1,0)&amp;"%"</f>
      </c>
    </row>
    <row x14ac:dyDescent="0.25" r="122" customHeight="1" ht="17.25">
      <c r="A122" s="24" t="s">
        <v>221</v>
      </c>
      <c r="B122" s="24"/>
      <c r="C122" s="24"/>
      <c r="D122" s="24"/>
      <c r="E122" s="25">
        <v>8</v>
      </c>
      <c r="F122" s="9"/>
      <c r="G122" s="9"/>
      <c r="H122" s="10"/>
      <c r="I122" s="9"/>
      <c r="J122" s="9"/>
    </row>
    <row x14ac:dyDescent="0.25" r="123" customHeight="1" ht="17.25">
      <c r="A123" s="7"/>
      <c r="B123" s="7"/>
      <c r="C123" s="7"/>
      <c r="D123" s="7"/>
      <c r="E123" s="8"/>
      <c r="F123" s="9"/>
      <c r="G123" s="9"/>
      <c r="H123" s="10"/>
      <c r="I123" s="9"/>
      <c r="J123" s="9"/>
    </row>
    <row x14ac:dyDescent="0.25" r="124" customHeight="1" ht="17.25">
      <c r="A124" s="11" t="s">
        <v>7719</v>
      </c>
      <c r="B124" s="11"/>
      <c r="C124" s="11"/>
      <c r="D124" s="11"/>
      <c r="E124" s="12"/>
      <c r="F124" s="11"/>
      <c r="G124" s="11"/>
      <c r="H124" s="13"/>
      <c r="I124" s="11"/>
      <c r="J124" s="11"/>
    </row>
    <row x14ac:dyDescent="0.25" r="125" customHeight="1" ht="17.25">
      <c r="A125" s="14" t="s">
        <v>3</v>
      </c>
      <c r="B125" s="14" t="s">
        <v>4</v>
      </c>
      <c r="C125" s="14" t="s">
        <v>5</v>
      </c>
      <c r="D125" s="14" t="s">
        <v>6</v>
      </c>
      <c r="E125" s="15" t="s">
        <v>7</v>
      </c>
      <c r="F125" s="14" t="s">
        <v>8</v>
      </c>
      <c r="G125" s="14" t="s">
        <v>9</v>
      </c>
      <c r="H125" s="16" t="s">
        <v>10</v>
      </c>
      <c r="I125" s="14" t="s">
        <v>11</v>
      </c>
      <c r="J125" s="14" t="s">
        <v>12</v>
      </c>
    </row>
    <row x14ac:dyDescent="0.25" r="126" customHeight="1" ht="17.25">
      <c r="A126" s="17" t="s">
        <v>7720</v>
      </c>
      <c r="B126" s="17" t="s">
        <v>224</v>
      </c>
      <c r="C126" s="17" t="s">
        <v>95</v>
      </c>
      <c r="D126" s="17" t="s">
        <v>16</v>
      </c>
      <c r="E126" s="18">
        <f>ROUND(16301*1.05,2)</f>
      </c>
      <c r="F126" s="17" t="s">
        <v>17</v>
      </c>
      <c r="G126" s="17" t="s">
        <v>18</v>
      </c>
      <c r="H126" s="18">
        <f>ROUND(RAND()*4+6,1)</f>
      </c>
      <c r="I126" s="17" t="s">
        <v>19</v>
      </c>
      <c r="J126" s="19">
        <f>ROUND(92*1,0)&amp;"%"</f>
      </c>
    </row>
    <row x14ac:dyDescent="0.25" r="127" customHeight="1" ht="17.25">
      <c r="A127" s="20" t="s">
        <v>7721</v>
      </c>
      <c r="B127" s="20" t="s">
        <v>226</v>
      </c>
      <c r="C127" s="20" t="s">
        <v>95</v>
      </c>
      <c r="D127" s="20" t="s">
        <v>22</v>
      </c>
      <c r="E127" s="21">
        <f>ROUND(10467*1.05,2)</f>
      </c>
      <c r="F127" s="20" t="s">
        <v>23</v>
      </c>
      <c r="G127" s="20" t="s">
        <v>24</v>
      </c>
      <c r="H127" s="21">
        <f>ROUND(RAND()*4+6,1)</f>
      </c>
      <c r="I127" s="20" t="s">
        <v>25</v>
      </c>
      <c r="J127" s="23">
        <f>ROUND(79*1,0)&amp;"%"</f>
      </c>
    </row>
    <row x14ac:dyDescent="0.25" r="128" customHeight="1" ht="17.25">
      <c r="A128" s="17" t="s">
        <v>7722</v>
      </c>
      <c r="B128" s="17" t="s">
        <v>228</v>
      </c>
      <c r="C128" s="17" t="s">
        <v>95</v>
      </c>
      <c r="D128" s="17" t="s">
        <v>28</v>
      </c>
      <c r="E128" s="18">
        <f>ROUND(10921*1.05,2)</f>
      </c>
      <c r="F128" s="17" t="s">
        <v>29</v>
      </c>
      <c r="G128" s="17" t="s">
        <v>30</v>
      </c>
      <c r="H128" s="18">
        <f>ROUND(RAND()*4+6,1)</f>
      </c>
      <c r="I128" s="17" t="s">
        <v>31</v>
      </c>
      <c r="J128" s="19">
        <f>ROUND(60*1,0)&amp;"%"</f>
      </c>
    </row>
    <row x14ac:dyDescent="0.25" r="129" customHeight="1" ht="17.25">
      <c r="A129" s="20" t="s">
        <v>7723</v>
      </c>
      <c r="B129" s="20" t="s">
        <v>230</v>
      </c>
      <c r="C129" s="20" t="s">
        <v>95</v>
      </c>
      <c r="D129" s="20" t="s">
        <v>34</v>
      </c>
      <c r="E129" s="21">
        <f>ROUND(4330*1.05,2)</f>
      </c>
      <c r="F129" s="20" t="s">
        <v>35</v>
      </c>
      <c r="G129" s="20" t="s">
        <v>18</v>
      </c>
      <c r="H129" s="21">
        <f>ROUND(RAND()*4+6,1)</f>
      </c>
      <c r="I129" s="20" t="s">
        <v>36</v>
      </c>
      <c r="J129" s="23">
        <f>ROUND(87*1,0)&amp;"%"</f>
      </c>
    </row>
    <row x14ac:dyDescent="0.25" r="130" customHeight="1" ht="17.25">
      <c r="A130" s="17" t="s">
        <v>7724</v>
      </c>
      <c r="B130" s="17" t="s">
        <v>232</v>
      </c>
      <c r="C130" s="17" t="s">
        <v>95</v>
      </c>
      <c r="D130" s="17" t="s">
        <v>39</v>
      </c>
      <c r="E130" s="18">
        <f>ROUND(17034*1.05,2)</f>
      </c>
      <c r="F130" s="17" t="s">
        <v>40</v>
      </c>
      <c r="G130" s="17" t="s">
        <v>24</v>
      </c>
      <c r="H130" s="18">
        <f>ROUND(RAND()*4+6,1)</f>
      </c>
      <c r="I130" s="17" t="s">
        <v>41</v>
      </c>
      <c r="J130" s="19">
        <f>ROUND(64*1,0)&amp;"%"</f>
      </c>
    </row>
    <row x14ac:dyDescent="0.25" r="131" customHeight="1" ht="17.25">
      <c r="A131" s="20" t="s">
        <v>7725</v>
      </c>
      <c r="B131" s="20" t="s">
        <v>234</v>
      </c>
      <c r="C131" s="20" t="s">
        <v>95</v>
      </c>
      <c r="D131" s="20" t="s">
        <v>67</v>
      </c>
      <c r="E131" s="21">
        <f>ROUND(16544*1.05,2)</f>
      </c>
      <c r="F131" s="20" t="s">
        <v>44</v>
      </c>
      <c r="G131" s="20" t="s">
        <v>30</v>
      </c>
      <c r="H131" s="21">
        <f>ROUND(RAND()*4+6,1)</f>
      </c>
      <c r="I131" s="20" t="s">
        <v>45</v>
      </c>
      <c r="J131" s="23">
        <f>ROUND(91*1,0)&amp;"%"</f>
      </c>
    </row>
    <row x14ac:dyDescent="0.25" r="132" customHeight="1" ht="17.25">
      <c r="A132" s="17" t="s">
        <v>7726</v>
      </c>
      <c r="B132" s="17" t="s">
        <v>236</v>
      </c>
      <c r="C132" s="17" t="s">
        <v>95</v>
      </c>
      <c r="D132" s="17" t="s">
        <v>16</v>
      </c>
      <c r="E132" s="18">
        <f>ROUND(6587*1.05,2)</f>
      </c>
      <c r="F132" s="17" t="s">
        <v>48</v>
      </c>
      <c r="G132" s="17" t="s">
        <v>18</v>
      </c>
      <c r="H132" s="26">
        <f>ROUND(RAND()*4+6,1)</f>
      </c>
      <c r="I132" s="17" t="s">
        <v>19</v>
      </c>
      <c r="J132" s="19">
        <f>ROUND(72*1,0)&amp;"%"</f>
      </c>
    </row>
    <row x14ac:dyDescent="0.25" r="133" customHeight="1" ht="17.25">
      <c r="A133" s="20" t="s">
        <v>7727</v>
      </c>
      <c r="B133" s="20" t="s">
        <v>238</v>
      </c>
      <c r="C133" s="20" t="s">
        <v>95</v>
      </c>
      <c r="D133" s="20" t="s">
        <v>22</v>
      </c>
      <c r="E133" s="21">
        <f>ROUND(12671*1.05,2)</f>
      </c>
      <c r="F133" s="20" t="s">
        <v>51</v>
      </c>
      <c r="G133" s="20" t="s">
        <v>24</v>
      </c>
      <c r="H133" s="21">
        <f>ROUND(RAND()*4+6,1)</f>
      </c>
      <c r="I133" s="20" t="s">
        <v>25</v>
      </c>
      <c r="J133" s="23">
        <f>ROUND(100*1,0)&amp;"%"</f>
      </c>
    </row>
    <row x14ac:dyDescent="0.25" r="134" customHeight="1" ht="17.25">
      <c r="A134" s="24" t="s">
        <v>239</v>
      </c>
      <c r="B134" s="24"/>
      <c r="C134" s="24"/>
      <c r="D134" s="24"/>
      <c r="E134" s="25">
        <v>8</v>
      </c>
      <c r="F134" s="9"/>
      <c r="G134" s="9"/>
      <c r="H134" s="10"/>
      <c r="I134" s="9"/>
      <c r="J134" s="9"/>
    </row>
    <row x14ac:dyDescent="0.25" r="135" customHeight="1" ht="17.25">
      <c r="A135" s="7"/>
      <c r="B135" s="7"/>
      <c r="C135" s="7"/>
      <c r="D135" s="7"/>
      <c r="E135" s="8"/>
      <c r="F135" s="9"/>
      <c r="G135" s="9"/>
      <c r="H135" s="10"/>
      <c r="I135" s="9"/>
      <c r="J135" s="9"/>
    </row>
    <row x14ac:dyDescent="0.25" r="136" customHeight="1" ht="17.25">
      <c r="A136" s="11" t="s">
        <v>7728</v>
      </c>
      <c r="B136" s="11"/>
      <c r="C136" s="11"/>
      <c r="D136" s="11"/>
      <c r="E136" s="12"/>
      <c r="F136" s="11"/>
      <c r="G136" s="11"/>
      <c r="H136" s="13"/>
      <c r="I136" s="11"/>
      <c r="J136" s="11"/>
    </row>
    <row x14ac:dyDescent="0.25" r="137" customHeight="1" ht="17.25">
      <c r="A137" s="14" t="s">
        <v>3</v>
      </c>
      <c r="B137" s="14" t="s">
        <v>4</v>
      </c>
      <c r="C137" s="14" t="s">
        <v>5</v>
      </c>
      <c r="D137" s="14" t="s">
        <v>6</v>
      </c>
      <c r="E137" s="15" t="s">
        <v>7</v>
      </c>
      <c r="F137" s="14" t="s">
        <v>8</v>
      </c>
      <c r="G137" s="14" t="s">
        <v>9</v>
      </c>
      <c r="H137" s="16" t="s">
        <v>10</v>
      </c>
      <c r="I137" s="14" t="s">
        <v>11</v>
      </c>
      <c r="J137" s="14" t="s">
        <v>12</v>
      </c>
    </row>
    <row x14ac:dyDescent="0.25" r="138" customHeight="1" ht="17.25">
      <c r="A138" s="17" t="s">
        <v>7729</v>
      </c>
      <c r="B138" s="17" t="s">
        <v>242</v>
      </c>
      <c r="C138" s="17" t="s">
        <v>114</v>
      </c>
      <c r="D138" s="17" t="s">
        <v>16</v>
      </c>
      <c r="E138" s="18">
        <f>ROUND(8207*1.05,2)</f>
      </c>
      <c r="F138" s="17" t="s">
        <v>17</v>
      </c>
      <c r="G138" s="17" t="s">
        <v>18</v>
      </c>
      <c r="H138" s="18">
        <f>ROUND(RAND()*4+6,1)</f>
      </c>
      <c r="I138" s="17" t="s">
        <v>19</v>
      </c>
      <c r="J138" s="19">
        <f>ROUND(61*1,0)&amp;"%"</f>
      </c>
    </row>
    <row x14ac:dyDescent="0.25" r="139" customHeight="1" ht="17.25">
      <c r="A139" s="20" t="s">
        <v>7730</v>
      </c>
      <c r="B139" s="20" t="s">
        <v>244</v>
      </c>
      <c r="C139" s="20" t="s">
        <v>114</v>
      </c>
      <c r="D139" s="20" t="s">
        <v>22</v>
      </c>
      <c r="E139" s="21">
        <f>ROUND(9558*1.05,2)</f>
      </c>
      <c r="F139" s="20" t="s">
        <v>23</v>
      </c>
      <c r="G139" s="20" t="s">
        <v>24</v>
      </c>
      <c r="H139" s="21">
        <f>ROUND(RAND()*4+6,1)</f>
      </c>
      <c r="I139" s="20" t="s">
        <v>25</v>
      </c>
      <c r="J139" s="23">
        <f>ROUND(95*1,0)&amp;"%"</f>
      </c>
    </row>
    <row x14ac:dyDescent="0.25" r="140" customHeight="1" ht="17.25">
      <c r="A140" s="17" t="s">
        <v>7731</v>
      </c>
      <c r="B140" s="17" t="s">
        <v>246</v>
      </c>
      <c r="C140" s="17" t="s">
        <v>114</v>
      </c>
      <c r="D140" s="17" t="s">
        <v>28</v>
      </c>
      <c r="E140" s="18">
        <f>ROUND(6668*1.05,2)</f>
      </c>
      <c r="F140" s="17" t="s">
        <v>29</v>
      </c>
      <c r="G140" s="17" t="s">
        <v>30</v>
      </c>
      <c r="H140" s="18">
        <f>ROUND(RAND()*4+6,1)</f>
      </c>
      <c r="I140" s="17" t="s">
        <v>31</v>
      </c>
      <c r="J140" s="19">
        <f>ROUND(77*1,0)&amp;"%"</f>
      </c>
    </row>
    <row x14ac:dyDescent="0.25" r="141" customHeight="1" ht="17.25">
      <c r="A141" s="20" t="s">
        <v>7732</v>
      </c>
      <c r="B141" s="20" t="s">
        <v>248</v>
      </c>
      <c r="C141" s="20" t="s">
        <v>114</v>
      </c>
      <c r="D141" s="20" t="s">
        <v>34</v>
      </c>
      <c r="E141" s="22">
        <f>ROUND(8620*1.05,2)</f>
      </c>
      <c r="F141" s="20" t="s">
        <v>35</v>
      </c>
      <c r="G141" s="20" t="s">
        <v>18</v>
      </c>
      <c r="H141" s="21">
        <f>ROUND(RAND()*4+6,1)</f>
      </c>
      <c r="I141" s="20" t="s">
        <v>36</v>
      </c>
      <c r="J141" s="23">
        <f>ROUND(94*1,0)&amp;"%"</f>
      </c>
    </row>
    <row x14ac:dyDescent="0.25" r="142" customHeight="1" ht="17.25">
      <c r="A142" s="17" t="s">
        <v>7733</v>
      </c>
      <c r="B142" s="17" t="s">
        <v>250</v>
      </c>
      <c r="C142" s="17" t="s">
        <v>114</v>
      </c>
      <c r="D142" s="17" t="s">
        <v>39</v>
      </c>
      <c r="E142" s="18">
        <f>ROUND(13072*1.05,2)</f>
      </c>
      <c r="F142" s="17" t="s">
        <v>40</v>
      </c>
      <c r="G142" s="17" t="s">
        <v>24</v>
      </c>
      <c r="H142" s="18">
        <f>ROUND(RAND()*4+6,1)</f>
      </c>
      <c r="I142" s="17" t="s">
        <v>41</v>
      </c>
      <c r="J142" s="19">
        <f>ROUND(90*1,0)&amp;"%"</f>
      </c>
    </row>
    <row x14ac:dyDescent="0.25" r="143" customHeight="1" ht="17.25">
      <c r="A143" s="20" t="s">
        <v>7734</v>
      </c>
      <c r="B143" s="20" t="s">
        <v>252</v>
      </c>
      <c r="C143" s="20" t="s">
        <v>114</v>
      </c>
      <c r="D143" s="20" t="s">
        <v>67</v>
      </c>
      <c r="E143" s="22">
        <f>ROUND(9240*1.05,2)</f>
      </c>
      <c r="F143" s="20" t="s">
        <v>44</v>
      </c>
      <c r="G143" s="20" t="s">
        <v>30</v>
      </c>
      <c r="H143" s="21">
        <f>ROUND(RAND()*4+6,1)</f>
      </c>
      <c r="I143" s="20" t="s">
        <v>45</v>
      </c>
      <c r="J143" s="23">
        <f>ROUND(90*1,0)&amp;"%"</f>
      </c>
    </row>
    <row x14ac:dyDescent="0.25" r="144" customHeight="1" ht="17.25">
      <c r="A144" s="17" t="s">
        <v>7735</v>
      </c>
      <c r="B144" s="17" t="s">
        <v>254</v>
      </c>
      <c r="C144" s="17" t="s">
        <v>114</v>
      </c>
      <c r="D144" s="17" t="s">
        <v>16</v>
      </c>
      <c r="E144" s="18">
        <f>ROUND(16163*1.05,2)</f>
      </c>
      <c r="F144" s="17" t="s">
        <v>48</v>
      </c>
      <c r="G144" s="17" t="s">
        <v>18</v>
      </c>
      <c r="H144" s="18">
        <f>ROUND(RAND()*4+6,1)</f>
      </c>
      <c r="I144" s="17" t="s">
        <v>19</v>
      </c>
      <c r="J144" s="19">
        <f>ROUND(94*1,0)&amp;"%"</f>
      </c>
    </row>
    <row x14ac:dyDescent="0.25" r="145" customHeight="1" ht="17.25">
      <c r="A145" s="20" t="s">
        <v>7736</v>
      </c>
      <c r="B145" s="20" t="s">
        <v>256</v>
      </c>
      <c r="C145" s="20" t="s">
        <v>114</v>
      </c>
      <c r="D145" s="20" t="s">
        <v>22</v>
      </c>
      <c r="E145" s="21">
        <f>ROUND(5089*1.05,2)</f>
      </c>
      <c r="F145" s="20" t="s">
        <v>51</v>
      </c>
      <c r="G145" s="20" t="s">
        <v>24</v>
      </c>
      <c r="H145" s="21">
        <f>ROUND(RAND()*4+6,1)</f>
      </c>
      <c r="I145" s="20" t="s">
        <v>25</v>
      </c>
      <c r="J145" s="23">
        <f>ROUND(83*1,0)&amp;"%"</f>
      </c>
    </row>
    <row x14ac:dyDescent="0.25" r="146" customHeight="1" ht="17.25">
      <c r="A146" s="24" t="s">
        <v>257</v>
      </c>
      <c r="B146" s="24"/>
      <c r="C146" s="24"/>
      <c r="D146" s="24"/>
      <c r="E146" s="25">
        <v>8</v>
      </c>
      <c r="F146" s="9"/>
      <c r="G146" s="9"/>
      <c r="H146" s="10"/>
      <c r="I146" s="9"/>
      <c r="J146" s="9"/>
    </row>
    <row x14ac:dyDescent="0.25" r="147" customHeight="1" ht="17.25">
      <c r="A147" s="7"/>
      <c r="B147" s="7"/>
      <c r="C147" s="7"/>
      <c r="D147" s="7"/>
      <c r="E147" s="8"/>
      <c r="F147" s="9"/>
      <c r="G147" s="9"/>
      <c r="H147" s="10"/>
      <c r="I147" s="9"/>
      <c r="J147" s="9"/>
    </row>
    <row x14ac:dyDescent="0.25" r="148" customHeight="1" ht="17.25">
      <c r="A148" s="11" t="s">
        <v>7737</v>
      </c>
      <c r="B148" s="11"/>
      <c r="C148" s="11"/>
      <c r="D148" s="11"/>
      <c r="E148" s="12"/>
      <c r="F148" s="11"/>
      <c r="G148" s="11"/>
      <c r="H148" s="13"/>
      <c r="I148" s="11"/>
      <c r="J148" s="11"/>
    </row>
    <row x14ac:dyDescent="0.25" r="149" customHeight="1" ht="17.25">
      <c r="A149" s="14" t="s">
        <v>3</v>
      </c>
      <c r="B149" s="14" t="s">
        <v>4</v>
      </c>
      <c r="C149" s="14" t="s">
        <v>5</v>
      </c>
      <c r="D149" s="14" t="s">
        <v>6</v>
      </c>
      <c r="E149" s="15" t="s">
        <v>7</v>
      </c>
      <c r="F149" s="14" t="s">
        <v>8</v>
      </c>
      <c r="G149" s="14" t="s">
        <v>9</v>
      </c>
      <c r="H149" s="16" t="s">
        <v>10</v>
      </c>
      <c r="I149" s="14" t="s">
        <v>11</v>
      </c>
      <c r="J149" s="14" t="s">
        <v>12</v>
      </c>
    </row>
    <row x14ac:dyDescent="0.25" r="150" customHeight="1" ht="17.25">
      <c r="A150" s="17" t="s">
        <v>7738</v>
      </c>
      <c r="B150" s="17" t="s">
        <v>260</v>
      </c>
      <c r="C150" s="17" t="s">
        <v>133</v>
      </c>
      <c r="D150" s="17" t="s">
        <v>16</v>
      </c>
      <c r="E150" s="18">
        <f>ROUND(17544*1.05,2)</f>
      </c>
      <c r="F150" s="17" t="s">
        <v>17</v>
      </c>
      <c r="G150" s="17" t="s">
        <v>18</v>
      </c>
      <c r="H150" s="18">
        <f>ROUND(RAND()*4+6,1)</f>
      </c>
      <c r="I150" s="17" t="s">
        <v>19</v>
      </c>
      <c r="J150" s="19">
        <f>ROUND(94*1,0)&amp;"%"</f>
      </c>
    </row>
    <row x14ac:dyDescent="0.25" r="151" customHeight="1" ht="17.25">
      <c r="A151" s="20" t="s">
        <v>7739</v>
      </c>
      <c r="B151" s="20" t="s">
        <v>262</v>
      </c>
      <c r="C151" s="20" t="s">
        <v>133</v>
      </c>
      <c r="D151" s="20" t="s">
        <v>22</v>
      </c>
      <c r="E151" s="21">
        <f>ROUND(14104*1.05,2)</f>
      </c>
      <c r="F151" s="20" t="s">
        <v>23</v>
      </c>
      <c r="G151" s="20" t="s">
        <v>24</v>
      </c>
      <c r="H151" s="21">
        <f>ROUND(RAND()*4+6,1)</f>
      </c>
      <c r="I151" s="20" t="s">
        <v>25</v>
      </c>
      <c r="J151" s="23">
        <f>ROUND(76*1,0)&amp;"%"</f>
      </c>
    </row>
    <row x14ac:dyDescent="0.25" r="152" customHeight="1" ht="17.25">
      <c r="A152" s="17" t="s">
        <v>7740</v>
      </c>
      <c r="B152" s="17" t="s">
        <v>264</v>
      </c>
      <c r="C152" s="17" t="s">
        <v>133</v>
      </c>
      <c r="D152" s="17" t="s">
        <v>28</v>
      </c>
      <c r="E152" s="18">
        <f>ROUND(5624*1.05,2)</f>
      </c>
      <c r="F152" s="17" t="s">
        <v>29</v>
      </c>
      <c r="G152" s="17" t="s">
        <v>30</v>
      </c>
      <c r="H152" s="18">
        <f>ROUND(RAND()*4+6,1)</f>
      </c>
      <c r="I152" s="17" t="s">
        <v>31</v>
      </c>
      <c r="J152" s="19">
        <f>ROUND(69*1,0)&amp;"%"</f>
      </c>
    </row>
    <row x14ac:dyDescent="0.25" r="153" customHeight="1" ht="17.25">
      <c r="A153" s="20" t="s">
        <v>7741</v>
      </c>
      <c r="B153" s="20" t="s">
        <v>266</v>
      </c>
      <c r="C153" s="20" t="s">
        <v>133</v>
      </c>
      <c r="D153" s="20" t="s">
        <v>34</v>
      </c>
      <c r="E153" s="21">
        <f>ROUND(8054*1.05,2)</f>
      </c>
      <c r="F153" s="20" t="s">
        <v>35</v>
      </c>
      <c r="G153" s="20" t="s">
        <v>18</v>
      </c>
      <c r="H153" s="21">
        <f>ROUND(RAND()*4+6,1)</f>
      </c>
      <c r="I153" s="20" t="s">
        <v>36</v>
      </c>
      <c r="J153" s="23">
        <f>ROUND(81*1,0)&amp;"%"</f>
      </c>
    </row>
    <row x14ac:dyDescent="0.25" r="154" customHeight="1" ht="17.25">
      <c r="A154" s="17" t="s">
        <v>7742</v>
      </c>
      <c r="B154" s="17" t="s">
        <v>268</v>
      </c>
      <c r="C154" s="17" t="s">
        <v>133</v>
      </c>
      <c r="D154" s="17" t="s">
        <v>39</v>
      </c>
      <c r="E154" s="18">
        <f>ROUND(11109*1.05,2)</f>
      </c>
      <c r="F154" s="17" t="s">
        <v>40</v>
      </c>
      <c r="G154" s="17" t="s">
        <v>24</v>
      </c>
      <c r="H154" s="18">
        <f>ROUND(RAND()*4+6,1)</f>
      </c>
      <c r="I154" s="17" t="s">
        <v>41</v>
      </c>
      <c r="J154" s="19">
        <f>ROUND(78*1,0)&amp;"%"</f>
      </c>
    </row>
    <row x14ac:dyDescent="0.25" r="155" customHeight="1" ht="17.25">
      <c r="A155" s="20" t="s">
        <v>7743</v>
      </c>
      <c r="B155" s="20" t="s">
        <v>270</v>
      </c>
      <c r="C155" s="20" t="s">
        <v>133</v>
      </c>
      <c r="D155" s="20" t="s">
        <v>67</v>
      </c>
      <c r="E155" s="21">
        <f>ROUND(9786*1.05,2)</f>
      </c>
      <c r="F155" s="20" t="s">
        <v>44</v>
      </c>
      <c r="G155" s="20" t="s">
        <v>30</v>
      </c>
      <c r="H155" s="21">
        <f>ROUND(RAND()*4+6,1)</f>
      </c>
      <c r="I155" s="20" t="s">
        <v>45</v>
      </c>
      <c r="J155" s="23">
        <f>ROUND(73*1,0)&amp;"%"</f>
      </c>
    </row>
    <row x14ac:dyDescent="0.25" r="156" customHeight="1" ht="17.25">
      <c r="A156" s="17" t="s">
        <v>7744</v>
      </c>
      <c r="B156" s="17" t="s">
        <v>272</v>
      </c>
      <c r="C156" s="17" t="s">
        <v>133</v>
      </c>
      <c r="D156" s="17" t="s">
        <v>16</v>
      </c>
      <c r="E156" s="18">
        <f>ROUND(6837*1.05,2)</f>
      </c>
      <c r="F156" s="17" t="s">
        <v>48</v>
      </c>
      <c r="G156" s="17" t="s">
        <v>18</v>
      </c>
      <c r="H156" s="18">
        <f>ROUND(RAND()*4+6,1)</f>
      </c>
      <c r="I156" s="17" t="s">
        <v>19</v>
      </c>
      <c r="J156" s="19">
        <f>ROUND(62*1,0)&amp;"%"</f>
      </c>
    </row>
    <row x14ac:dyDescent="0.25" r="157" customHeight="1" ht="17.25">
      <c r="A157" s="20" t="s">
        <v>7745</v>
      </c>
      <c r="B157" s="20" t="s">
        <v>274</v>
      </c>
      <c r="C157" s="20" t="s">
        <v>133</v>
      </c>
      <c r="D157" s="20" t="s">
        <v>22</v>
      </c>
      <c r="E157" s="21">
        <f>ROUND(16397*1.05,2)</f>
      </c>
      <c r="F157" s="20" t="s">
        <v>51</v>
      </c>
      <c r="G157" s="20" t="s">
        <v>24</v>
      </c>
      <c r="H157" s="22">
        <f>ROUND(RAND()*4+6,1)</f>
      </c>
      <c r="I157" s="20" t="s">
        <v>25</v>
      </c>
      <c r="J157" s="23">
        <f>ROUND(95*1,0)&amp;"%"</f>
      </c>
    </row>
    <row x14ac:dyDescent="0.25" r="158" customHeight="1" ht="17.25">
      <c r="A158" s="24" t="s">
        <v>275</v>
      </c>
      <c r="B158" s="24"/>
      <c r="C158" s="24"/>
      <c r="D158" s="24"/>
      <c r="E158" s="25">
        <v>8</v>
      </c>
      <c r="F158" s="9"/>
      <c r="G158" s="9"/>
      <c r="H158" s="10"/>
      <c r="I158" s="9"/>
      <c r="J158" s="9"/>
    </row>
    <row x14ac:dyDescent="0.25" r="159" customHeight="1" ht="17.25">
      <c r="A159" s="7"/>
      <c r="B159" s="7"/>
      <c r="C159" s="7"/>
      <c r="D159" s="7"/>
      <c r="E159" s="8"/>
      <c r="F159" s="9"/>
      <c r="G159" s="9"/>
      <c r="H159" s="10"/>
      <c r="I159" s="9"/>
      <c r="J159" s="9"/>
    </row>
    <row x14ac:dyDescent="0.25" r="160" customHeight="1" ht="17.25">
      <c r="A160" s="11" t="s">
        <v>7746</v>
      </c>
      <c r="B160" s="11"/>
      <c r="C160" s="11"/>
      <c r="D160" s="11"/>
      <c r="E160" s="12"/>
      <c r="F160" s="11"/>
      <c r="G160" s="11"/>
      <c r="H160" s="13"/>
      <c r="I160" s="11"/>
      <c r="J160" s="11"/>
    </row>
    <row x14ac:dyDescent="0.25" r="161" customHeight="1" ht="17.25">
      <c r="A161" s="14" t="s">
        <v>3</v>
      </c>
      <c r="B161" s="14" t="s">
        <v>4</v>
      </c>
      <c r="C161" s="14" t="s">
        <v>5</v>
      </c>
      <c r="D161" s="14" t="s">
        <v>6</v>
      </c>
      <c r="E161" s="15" t="s">
        <v>7</v>
      </c>
      <c r="F161" s="14" t="s">
        <v>8</v>
      </c>
      <c r="G161" s="14" t="s">
        <v>9</v>
      </c>
      <c r="H161" s="16" t="s">
        <v>10</v>
      </c>
      <c r="I161" s="14" t="s">
        <v>11</v>
      </c>
      <c r="J161" s="14" t="s">
        <v>12</v>
      </c>
    </row>
    <row x14ac:dyDescent="0.25" r="162" customHeight="1" ht="17.25">
      <c r="A162" s="17" t="s">
        <v>7747</v>
      </c>
      <c r="B162" s="17" t="s">
        <v>278</v>
      </c>
      <c r="C162" s="17" t="s">
        <v>152</v>
      </c>
      <c r="D162" s="17" t="s">
        <v>16</v>
      </c>
      <c r="E162" s="18">
        <f>ROUND(4958*1.05,2)</f>
      </c>
      <c r="F162" s="17" t="s">
        <v>17</v>
      </c>
      <c r="G162" s="17" t="s">
        <v>18</v>
      </c>
      <c r="H162" s="18">
        <f>ROUND(RAND()*4+6,1)</f>
      </c>
      <c r="I162" s="17" t="s">
        <v>19</v>
      </c>
      <c r="J162" s="19">
        <f>ROUND(65*1,0)&amp;"%"</f>
      </c>
    </row>
    <row x14ac:dyDescent="0.25" r="163" customHeight="1" ht="17.25">
      <c r="A163" s="20" t="s">
        <v>7748</v>
      </c>
      <c r="B163" s="20" t="s">
        <v>280</v>
      </c>
      <c r="C163" s="20" t="s">
        <v>152</v>
      </c>
      <c r="D163" s="20" t="s">
        <v>22</v>
      </c>
      <c r="E163" s="21">
        <f>ROUND(5429*1.05,2)</f>
      </c>
      <c r="F163" s="20" t="s">
        <v>23</v>
      </c>
      <c r="G163" s="20" t="s">
        <v>24</v>
      </c>
      <c r="H163" s="21">
        <f>ROUND(RAND()*4+6,1)</f>
      </c>
      <c r="I163" s="20" t="s">
        <v>25</v>
      </c>
      <c r="J163" s="23">
        <f>ROUND(89*1,0)&amp;"%"</f>
      </c>
    </row>
    <row x14ac:dyDescent="0.25" r="164" customHeight="1" ht="17.25">
      <c r="A164" s="17" t="s">
        <v>7749</v>
      </c>
      <c r="B164" s="17" t="s">
        <v>282</v>
      </c>
      <c r="C164" s="17" t="s">
        <v>152</v>
      </c>
      <c r="D164" s="17" t="s">
        <v>28</v>
      </c>
      <c r="E164" s="18">
        <f>ROUND(14256*1.05,2)</f>
      </c>
      <c r="F164" s="17" t="s">
        <v>29</v>
      </c>
      <c r="G164" s="17" t="s">
        <v>30</v>
      </c>
      <c r="H164" s="18">
        <f>ROUND(RAND()*4+6,1)</f>
      </c>
      <c r="I164" s="17" t="s">
        <v>31</v>
      </c>
      <c r="J164" s="19">
        <f>ROUND(93*1,0)&amp;"%"</f>
      </c>
    </row>
    <row x14ac:dyDescent="0.25" r="165" customHeight="1" ht="17.25">
      <c r="A165" s="20" t="s">
        <v>7750</v>
      </c>
      <c r="B165" s="20" t="s">
        <v>284</v>
      </c>
      <c r="C165" s="20" t="s">
        <v>152</v>
      </c>
      <c r="D165" s="20" t="s">
        <v>34</v>
      </c>
      <c r="E165" s="21">
        <f>ROUND(7903*1.05,2)</f>
      </c>
      <c r="F165" s="20" t="s">
        <v>35</v>
      </c>
      <c r="G165" s="20" t="s">
        <v>18</v>
      </c>
      <c r="H165" s="21">
        <f>ROUND(RAND()*4+6,1)</f>
      </c>
      <c r="I165" s="20" t="s">
        <v>36</v>
      </c>
      <c r="J165" s="23">
        <f>ROUND(86*1,0)&amp;"%"</f>
      </c>
    </row>
    <row x14ac:dyDescent="0.25" r="166" customHeight="1" ht="17.25">
      <c r="A166" s="17" t="s">
        <v>7751</v>
      </c>
      <c r="B166" s="17" t="s">
        <v>286</v>
      </c>
      <c r="C166" s="17" t="s">
        <v>152</v>
      </c>
      <c r="D166" s="17" t="s">
        <v>39</v>
      </c>
      <c r="E166" s="18">
        <f>ROUND(4242*1.05,2)</f>
      </c>
      <c r="F166" s="17" t="s">
        <v>40</v>
      </c>
      <c r="G166" s="17" t="s">
        <v>24</v>
      </c>
      <c r="H166" s="18">
        <f>ROUND(RAND()*4+6,1)</f>
      </c>
      <c r="I166" s="17" t="s">
        <v>41</v>
      </c>
      <c r="J166" s="19">
        <f>ROUND(84*1,0)&amp;"%"</f>
      </c>
    </row>
    <row x14ac:dyDescent="0.25" r="167" customHeight="1" ht="17.25">
      <c r="A167" s="20" t="s">
        <v>7752</v>
      </c>
      <c r="B167" s="20" t="s">
        <v>288</v>
      </c>
      <c r="C167" s="20" t="s">
        <v>152</v>
      </c>
      <c r="D167" s="20" t="s">
        <v>67</v>
      </c>
      <c r="E167" s="21">
        <f>ROUND(15373*1.05,2)</f>
      </c>
      <c r="F167" s="20" t="s">
        <v>44</v>
      </c>
      <c r="G167" s="20" t="s">
        <v>30</v>
      </c>
      <c r="H167" s="21">
        <f>ROUND(RAND()*4+6,1)</f>
      </c>
      <c r="I167" s="20" t="s">
        <v>45</v>
      </c>
      <c r="J167" s="23">
        <f>ROUND(67*1,0)&amp;"%"</f>
      </c>
    </row>
    <row x14ac:dyDescent="0.25" r="168" customHeight="1" ht="17.25">
      <c r="A168" s="17" t="s">
        <v>7753</v>
      </c>
      <c r="B168" s="17" t="s">
        <v>290</v>
      </c>
      <c r="C168" s="17" t="s">
        <v>152</v>
      </c>
      <c r="D168" s="17" t="s">
        <v>16</v>
      </c>
      <c r="E168" s="18">
        <f>ROUND(15129*1.05,2)</f>
      </c>
      <c r="F168" s="17" t="s">
        <v>48</v>
      </c>
      <c r="G168" s="17" t="s">
        <v>18</v>
      </c>
      <c r="H168" s="18">
        <f>ROUND(RAND()*4+6,1)</f>
      </c>
      <c r="I168" s="17" t="s">
        <v>19</v>
      </c>
      <c r="J168" s="19">
        <f>ROUND(97*1,0)&amp;"%"</f>
      </c>
    </row>
    <row x14ac:dyDescent="0.25" r="169" customHeight="1" ht="17.25">
      <c r="A169" s="20" t="s">
        <v>7754</v>
      </c>
      <c r="B169" s="20" t="s">
        <v>292</v>
      </c>
      <c r="C169" s="20" t="s">
        <v>152</v>
      </c>
      <c r="D169" s="20" t="s">
        <v>22</v>
      </c>
      <c r="E169" s="21">
        <f>ROUND(8821*1.05,2)</f>
      </c>
      <c r="F169" s="20" t="s">
        <v>51</v>
      </c>
      <c r="G169" s="20" t="s">
        <v>24</v>
      </c>
      <c r="H169" s="21">
        <f>ROUND(RAND()*4+6,1)</f>
      </c>
      <c r="I169" s="20" t="s">
        <v>25</v>
      </c>
      <c r="J169" s="23">
        <f>ROUND(99*1,0)&amp;"%"</f>
      </c>
    </row>
    <row x14ac:dyDescent="0.25" r="170" customHeight="1" ht="17.25">
      <c r="A170" s="24" t="s">
        <v>293</v>
      </c>
      <c r="B170" s="24"/>
      <c r="C170" s="24"/>
      <c r="D170" s="24"/>
      <c r="E170" s="25">
        <v>8</v>
      </c>
      <c r="F170" s="9"/>
      <c r="G170" s="9"/>
      <c r="H170" s="10"/>
      <c r="I170" s="9"/>
      <c r="J170" s="9"/>
    </row>
    <row x14ac:dyDescent="0.25" r="171" customHeight="1" ht="17.25">
      <c r="A171" s="7"/>
      <c r="B171" s="7"/>
      <c r="C171" s="7"/>
      <c r="D171" s="7"/>
      <c r="E171" s="8"/>
      <c r="F171" s="9"/>
      <c r="G171" s="9"/>
      <c r="H171" s="10"/>
      <c r="I171" s="9"/>
      <c r="J171" s="9"/>
    </row>
    <row x14ac:dyDescent="0.25" r="172" customHeight="1" ht="17.25">
      <c r="A172" s="11" t="s">
        <v>7755</v>
      </c>
      <c r="B172" s="11"/>
      <c r="C172" s="11"/>
      <c r="D172" s="11"/>
      <c r="E172" s="12"/>
      <c r="F172" s="11"/>
      <c r="G172" s="11"/>
      <c r="H172" s="13"/>
      <c r="I172" s="11"/>
      <c r="J172" s="11"/>
    </row>
    <row x14ac:dyDescent="0.25" r="173" customHeight="1" ht="17.25">
      <c r="A173" s="14" t="s">
        <v>3</v>
      </c>
      <c r="B173" s="14" t="s">
        <v>4</v>
      </c>
      <c r="C173" s="14" t="s">
        <v>5</v>
      </c>
      <c r="D173" s="14" t="s">
        <v>6</v>
      </c>
      <c r="E173" s="15" t="s">
        <v>7</v>
      </c>
      <c r="F173" s="14" t="s">
        <v>8</v>
      </c>
      <c r="G173" s="14" t="s">
        <v>9</v>
      </c>
      <c r="H173" s="16" t="s">
        <v>10</v>
      </c>
      <c r="I173" s="14" t="s">
        <v>11</v>
      </c>
      <c r="J173" s="14" t="s">
        <v>12</v>
      </c>
    </row>
    <row x14ac:dyDescent="0.25" r="174" customHeight="1" ht="17.25">
      <c r="A174" s="17" t="s">
        <v>7756</v>
      </c>
      <c r="B174" s="17" t="s">
        <v>296</v>
      </c>
      <c r="C174" s="17" t="s">
        <v>15</v>
      </c>
      <c r="D174" s="17" t="s">
        <v>16</v>
      </c>
      <c r="E174" s="18">
        <f>ROUND(5935*1.05,2)</f>
      </c>
      <c r="F174" s="17" t="s">
        <v>17</v>
      </c>
      <c r="G174" s="17" t="s">
        <v>18</v>
      </c>
      <c r="H174" s="26">
        <f>ROUND(RAND()*4+6,1)</f>
      </c>
      <c r="I174" s="17" t="s">
        <v>19</v>
      </c>
      <c r="J174" s="19">
        <f>ROUND(61*1,0)&amp;"%"</f>
      </c>
    </row>
    <row x14ac:dyDescent="0.25" r="175" customHeight="1" ht="17.25">
      <c r="A175" s="20" t="s">
        <v>7757</v>
      </c>
      <c r="B175" s="20" t="s">
        <v>298</v>
      </c>
      <c r="C175" s="20" t="s">
        <v>15</v>
      </c>
      <c r="D175" s="20" t="s">
        <v>22</v>
      </c>
      <c r="E175" s="21">
        <f>ROUND(12470*1.05,2)</f>
      </c>
      <c r="F175" s="20" t="s">
        <v>23</v>
      </c>
      <c r="G175" s="20" t="s">
        <v>24</v>
      </c>
      <c r="H175" s="21">
        <f>ROUND(RAND()*4+6,1)</f>
      </c>
      <c r="I175" s="20" t="s">
        <v>25</v>
      </c>
      <c r="J175" s="23">
        <f>ROUND(66*1,0)&amp;"%"</f>
      </c>
    </row>
    <row x14ac:dyDescent="0.25" r="176" customHeight="1" ht="17.25">
      <c r="A176" s="17" t="s">
        <v>7758</v>
      </c>
      <c r="B176" s="17" t="s">
        <v>300</v>
      </c>
      <c r="C176" s="17" t="s">
        <v>15</v>
      </c>
      <c r="D176" s="17" t="s">
        <v>28</v>
      </c>
      <c r="E176" s="18">
        <f>ROUND(15639*1.05,2)</f>
      </c>
      <c r="F176" s="17" t="s">
        <v>29</v>
      </c>
      <c r="G176" s="17" t="s">
        <v>30</v>
      </c>
      <c r="H176" s="18">
        <f>ROUND(RAND()*4+6,1)</f>
      </c>
      <c r="I176" s="17" t="s">
        <v>31</v>
      </c>
      <c r="J176" s="19">
        <f>ROUND(75*1,0)&amp;"%"</f>
      </c>
    </row>
    <row x14ac:dyDescent="0.25" r="177" customHeight="1" ht="17.25">
      <c r="A177" s="20" t="s">
        <v>7759</v>
      </c>
      <c r="B177" s="20" t="s">
        <v>302</v>
      </c>
      <c r="C177" s="20" t="s">
        <v>15</v>
      </c>
      <c r="D177" s="20" t="s">
        <v>34</v>
      </c>
      <c r="E177" s="21">
        <f>ROUND(8929*1.05,2)</f>
      </c>
      <c r="F177" s="20" t="s">
        <v>35</v>
      </c>
      <c r="G177" s="20" t="s">
        <v>18</v>
      </c>
      <c r="H177" s="21">
        <f>ROUND(RAND()*4+6,1)</f>
      </c>
      <c r="I177" s="20" t="s">
        <v>36</v>
      </c>
      <c r="J177" s="23">
        <f>ROUND(83*1,0)&amp;"%"</f>
      </c>
    </row>
    <row x14ac:dyDescent="0.25" r="178" customHeight="1" ht="17.25">
      <c r="A178" s="17" t="s">
        <v>7760</v>
      </c>
      <c r="B178" s="17" t="s">
        <v>304</v>
      </c>
      <c r="C178" s="17" t="s">
        <v>15</v>
      </c>
      <c r="D178" s="17" t="s">
        <v>39</v>
      </c>
      <c r="E178" s="18">
        <f>ROUND(11085*1.05,2)</f>
      </c>
      <c r="F178" s="17" t="s">
        <v>40</v>
      </c>
      <c r="G178" s="17" t="s">
        <v>24</v>
      </c>
      <c r="H178" s="18">
        <f>ROUND(RAND()*4+6,1)</f>
      </c>
      <c r="I178" s="17" t="s">
        <v>41</v>
      </c>
      <c r="J178" s="19">
        <f>ROUND(73*1,0)&amp;"%"</f>
      </c>
    </row>
    <row x14ac:dyDescent="0.25" r="179" customHeight="1" ht="17.25">
      <c r="A179" s="20" t="s">
        <v>7761</v>
      </c>
      <c r="B179" s="20" t="s">
        <v>306</v>
      </c>
      <c r="C179" s="20" t="s">
        <v>15</v>
      </c>
      <c r="D179" s="20" t="s">
        <v>67</v>
      </c>
      <c r="E179" s="21">
        <f>ROUND(4804*1.05,2)</f>
      </c>
      <c r="F179" s="20" t="s">
        <v>44</v>
      </c>
      <c r="G179" s="20" t="s">
        <v>30</v>
      </c>
      <c r="H179" s="21">
        <f>ROUND(RAND()*4+6,1)</f>
      </c>
      <c r="I179" s="20" t="s">
        <v>45</v>
      </c>
      <c r="J179" s="23">
        <f>ROUND(69*1,0)&amp;"%"</f>
      </c>
    </row>
    <row x14ac:dyDescent="0.25" r="180" customHeight="1" ht="17.25">
      <c r="A180" s="17" t="s">
        <v>7762</v>
      </c>
      <c r="B180" s="17" t="s">
        <v>308</v>
      </c>
      <c r="C180" s="17" t="s">
        <v>15</v>
      </c>
      <c r="D180" s="17" t="s">
        <v>16</v>
      </c>
      <c r="E180" s="18">
        <f>ROUND(13989*1.05,2)</f>
      </c>
      <c r="F180" s="17" t="s">
        <v>48</v>
      </c>
      <c r="G180" s="17" t="s">
        <v>18</v>
      </c>
      <c r="H180" s="18">
        <f>ROUND(RAND()*4+6,1)</f>
      </c>
      <c r="I180" s="17" t="s">
        <v>19</v>
      </c>
      <c r="J180" s="19">
        <f>ROUND(65*1,0)&amp;"%"</f>
      </c>
    </row>
    <row x14ac:dyDescent="0.25" r="181" customHeight="1" ht="17.25">
      <c r="A181" s="20" t="s">
        <v>7763</v>
      </c>
      <c r="B181" s="20" t="s">
        <v>310</v>
      </c>
      <c r="C181" s="20" t="s">
        <v>15</v>
      </c>
      <c r="D181" s="20" t="s">
        <v>22</v>
      </c>
      <c r="E181" s="21">
        <f>ROUND(6290*1.05,2)</f>
      </c>
      <c r="F181" s="20" t="s">
        <v>51</v>
      </c>
      <c r="G181" s="20" t="s">
        <v>24</v>
      </c>
      <c r="H181" s="21">
        <f>ROUND(RAND()*4+6,1)</f>
      </c>
      <c r="I181" s="20" t="s">
        <v>25</v>
      </c>
      <c r="J181" s="23">
        <f>ROUND(84*1,0)&amp;"%"</f>
      </c>
    </row>
    <row x14ac:dyDescent="0.25" r="182" customHeight="1" ht="17.25">
      <c r="A182" s="24" t="s">
        <v>311</v>
      </c>
      <c r="B182" s="24"/>
      <c r="C182" s="24"/>
      <c r="D182" s="24"/>
      <c r="E182" s="25">
        <v>8</v>
      </c>
      <c r="F182" s="9"/>
      <c r="G182" s="9"/>
      <c r="H182" s="10"/>
      <c r="I182" s="9"/>
      <c r="J182" s="9"/>
    </row>
    <row x14ac:dyDescent="0.25" r="183" customHeight="1" ht="17.25">
      <c r="A183" s="7"/>
      <c r="B183" s="7"/>
      <c r="C183" s="7"/>
      <c r="D183" s="7"/>
      <c r="E183" s="8"/>
      <c r="F183" s="9"/>
      <c r="G183" s="9"/>
      <c r="H183" s="10"/>
      <c r="I183" s="9"/>
      <c r="J183" s="9"/>
    </row>
    <row x14ac:dyDescent="0.25" r="184" customHeight="1" ht="17.25">
      <c r="A184" s="11" t="s">
        <v>7764</v>
      </c>
      <c r="B184" s="11"/>
      <c r="C184" s="11"/>
      <c r="D184" s="11"/>
      <c r="E184" s="12"/>
      <c r="F184" s="11"/>
      <c r="G184" s="11"/>
      <c r="H184" s="13"/>
      <c r="I184" s="11"/>
      <c r="J184" s="11"/>
    </row>
    <row x14ac:dyDescent="0.25" r="185" customHeight="1" ht="17.25">
      <c r="A185" s="14" t="s">
        <v>3</v>
      </c>
      <c r="B185" s="14" t="s">
        <v>4</v>
      </c>
      <c r="C185" s="14" t="s">
        <v>5</v>
      </c>
      <c r="D185" s="14" t="s">
        <v>6</v>
      </c>
      <c r="E185" s="15" t="s">
        <v>7</v>
      </c>
      <c r="F185" s="14" t="s">
        <v>8</v>
      </c>
      <c r="G185" s="14" t="s">
        <v>9</v>
      </c>
      <c r="H185" s="16" t="s">
        <v>10</v>
      </c>
      <c r="I185" s="14" t="s">
        <v>11</v>
      </c>
      <c r="J185" s="14" t="s">
        <v>12</v>
      </c>
    </row>
    <row x14ac:dyDescent="0.25" r="186" customHeight="1" ht="17.25">
      <c r="A186" s="17" t="s">
        <v>7765</v>
      </c>
      <c r="B186" s="17" t="s">
        <v>314</v>
      </c>
      <c r="C186" s="17" t="s">
        <v>56</v>
      </c>
      <c r="D186" s="17" t="s">
        <v>16</v>
      </c>
      <c r="E186" s="18">
        <f>ROUND(12021*1.05,2)</f>
      </c>
      <c r="F186" s="17" t="s">
        <v>17</v>
      </c>
      <c r="G186" s="17" t="s">
        <v>18</v>
      </c>
      <c r="H186" s="18">
        <f>ROUND(RAND()*4+6,1)</f>
      </c>
      <c r="I186" s="17" t="s">
        <v>19</v>
      </c>
      <c r="J186" s="19">
        <f>ROUND(69*1,0)&amp;"%"</f>
      </c>
    </row>
    <row x14ac:dyDescent="0.25" r="187" customHeight="1" ht="17.25">
      <c r="A187" s="20" t="s">
        <v>7766</v>
      </c>
      <c r="B187" s="20" t="s">
        <v>316</v>
      </c>
      <c r="C187" s="20" t="s">
        <v>56</v>
      </c>
      <c r="D187" s="20" t="s">
        <v>22</v>
      </c>
      <c r="E187" s="21">
        <f>ROUND(5958*1.05,2)</f>
      </c>
      <c r="F187" s="20" t="s">
        <v>23</v>
      </c>
      <c r="G187" s="20" t="s">
        <v>24</v>
      </c>
      <c r="H187" s="21">
        <f>ROUND(RAND()*4+6,1)</f>
      </c>
      <c r="I187" s="20" t="s">
        <v>25</v>
      </c>
      <c r="J187" s="23">
        <f>ROUND(81*1,0)&amp;"%"</f>
      </c>
    </row>
    <row x14ac:dyDescent="0.25" r="188" customHeight="1" ht="17.25">
      <c r="A188" s="17" t="s">
        <v>7767</v>
      </c>
      <c r="B188" s="17" t="s">
        <v>318</v>
      </c>
      <c r="C188" s="17" t="s">
        <v>56</v>
      </c>
      <c r="D188" s="17" t="s">
        <v>28</v>
      </c>
      <c r="E188" s="18">
        <f>ROUND(8576*1.05,2)</f>
      </c>
      <c r="F188" s="17" t="s">
        <v>29</v>
      </c>
      <c r="G188" s="17" t="s">
        <v>30</v>
      </c>
      <c r="H188" s="18">
        <f>ROUND(RAND()*4+6,1)</f>
      </c>
      <c r="I188" s="17" t="s">
        <v>31</v>
      </c>
      <c r="J188" s="19">
        <f>ROUND(92*1,0)&amp;"%"</f>
      </c>
    </row>
    <row x14ac:dyDescent="0.25" r="189" customHeight="1" ht="17.25">
      <c r="A189" s="20" t="s">
        <v>7768</v>
      </c>
      <c r="B189" s="20" t="s">
        <v>320</v>
      </c>
      <c r="C189" s="20" t="s">
        <v>56</v>
      </c>
      <c r="D189" s="20" t="s">
        <v>34</v>
      </c>
      <c r="E189" s="21">
        <f>ROUND(10593*1.05,2)</f>
      </c>
      <c r="F189" s="20" t="s">
        <v>35</v>
      </c>
      <c r="G189" s="20" t="s">
        <v>18</v>
      </c>
      <c r="H189" s="21">
        <f>ROUND(RAND()*4+6,1)</f>
      </c>
      <c r="I189" s="20" t="s">
        <v>36</v>
      </c>
      <c r="J189" s="23">
        <f>ROUND(98*1,0)&amp;"%"</f>
      </c>
    </row>
    <row x14ac:dyDescent="0.25" r="190" customHeight="1" ht="17.25">
      <c r="A190" s="17" t="s">
        <v>7769</v>
      </c>
      <c r="B190" s="17" t="s">
        <v>322</v>
      </c>
      <c r="C190" s="17" t="s">
        <v>56</v>
      </c>
      <c r="D190" s="17" t="s">
        <v>39</v>
      </c>
      <c r="E190" s="18">
        <f>ROUND(12765*1.05,2)</f>
      </c>
      <c r="F190" s="17" t="s">
        <v>40</v>
      </c>
      <c r="G190" s="17" t="s">
        <v>24</v>
      </c>
      <c r="H190" s="18">
        <f>ROUND(RAND()*4+6,1)</f>
      </c>
      <c r="I190" s="17" t="s">
        <v>41</v>
      </c>
      <c r="J190" s="19">
        <f>ROUND(76*1,0)&amp;"%"</f>
      </c>
    </row>
    <row x14ac:dyDescent="0.25" r="191" customHeight="1" ht="17.25">
      <c r="A191" s="20" t="s">
        <v>7770</v>
      </c>
      <c r="B191" s="20" t="s">
        <v>324</v>
      </c>
      <c r="C191" s="20" t="s">
        <v>56</v>
      </c>
      <c r="D191" s="20" t="s">
        <v>67</v>
      </c>
      <c r="E191" s="21">
        <f>ROUND(8528*1.05,2)</f>
      </c>
      <c r="F191" s="20" t="s">
        <v>44</v>
      </c>
      <c r="G191" s="20" t="s">
        <v>30</v>
      </c>
      <c r="H191" s="21">
        <f>ROUND(RAND()*4+6,1)</f>
      </c>
      <c r="I191" s="20" t="s">
        <v>45</v>
      </c>
      <c r="J191" s="23">
        <f>ROUND(80*1,0)&amp;"%"</f>
      </c>
    </row>
    <row x14ac:dyDescent="0.25" r="192" customHeight="1" ht="17.25">
      <c r="A192" s="17" t="s">
        <v>7771</v>
      </c>
      <c r="B192" s="17" t="s">
        <v>326</v>
      </c>
      <c r="C192" s="17" t="s">
        <v>56</v>
      </c>
      <c r="D192" s="17" t="s">
        <v>16</v>
      </c>
      <c r="E192" s="18">
        <f>ROUND(9309*1.05,2)</f>
      </c>
      <c r="F192" s="17" t="s">
        <v>48</v>
      </c>
      <c r="G192" s="17" t="s">
        <v>18</v>
      </c>
      <c r="H192" s="18">
        <f>ROUND(RAND()*4+6,1)</f>
      </c>
      <c r="I192" s="17" t="s">
        <v>19</v>
      </c>
      <c r="J192" s="19">
        <f>ROUND(62*1,0)&amp;"%"</f>
      </c>
    </row>
    <row x14ac:dyDescent="0.25" r="193" customHeight="1" ht="17.25">
      <c r="A193" s="20" t="s">
        <v>7772</v>
      </c>
      <c r="B193" s="20" t="s">
        <v>328</v>
      </c>
      <c r="C193" s="20" t="s">
        <v>56</v>
      </c>
      <c r="D193" s="20" t="s">
        <v>22</v>
      </c>
      <c r="E193" s="21">
        <f>ROUND(7421*1.05,2)</f>
      </c>
      <c r="F193" s="20" t="s">
        <v>51</v>
      </c>
      <c r="G193" s="20" t="s">
        <v>24</v>
      </c>
      <c r="H193" s="21">
        <f>ROUND(RAND()*4+6,1)</f>
      </c>
      <c r="I193" s="20" t="s">
        <v>25</v>
      </c>
      <c r="J193" s="23">
        <f>ROUND(64*1,0)&amp;"%"</f>
      </c>
    </row>
    <row x14ac:dyDescent="0.25" r="194" customHeight="1" ht="17.25">
      <c r="A194" s="24" t="s">
        <v>329</v>
      </c>
      <c r="B194" s="24"/>
      <c r="C194" s="24"/>
      <c r="D194" s="24"/>
      <c r="E194" s="25">
        <v>8</v>
      </c>
      <c r="F194" s="9"/>
      <c r="G194" s="9"/>
      <c r="H194" s="10"/>
      <c r="I194" s="9"/>
      <c r="J194" s="9"/>
    </row>
    <row x14ac:dyDescent="0.25" r="195" customHeight="1" ht="17.25">
      <c r="A195" s="7"/>
      <c r="B195" s="7"/>
      <c r="C195" s="7"/>
      <c r="D195" s="7"/>
      <c r="E195" s="8"/>
      <c r="F195" s="9"/>
      <c r="G195" s="9"/>
      <c r="H195" s="10"/>
      <c r="I195" s="9"/>
      <c r="J195" s="9"/>
    </row>
    <row x14ac:dyDescent="0.25" r="196" customHeight="1" ht="17.25">
      <c r="A196" s="11" t="s">
        <v>7773</v>
      </c>
      <c r="B196" s="11"/>
      <c r="C196" s="11"/>
      <c r="D196" s="11"/>
      <c r="E196" s="12"/>
      <c r="F196" s="11"/>
      <c r="G196" s="11"/>
      <c r="H196" s="13"/>
      <c r="I196" s="11"/>
      <c r="J196" s="11"/>
    </row>
    <row x14ac:dyDescent="0.25" r="197" customHeight="1" ht="17.25">
      <c r="A197" s="14" t="s">
        <v>3</v>
      </c>
      <c r="B197" s="14" t="s">
        <v>4</v>
      </c>
      <c r="C197" s="14" t="s">
        <v>5</v>
      </c>
      <c r="D197" s="14" t="s">
        <v>6</v>
      </c>
      <c r="E197" s="15" t="s">
        <v>7</v>
      </c>
      <c r="F197" s="14" t="s">
        <v>8</v>
      </c>
      <c r="G197" s="14" t="s">
        <v>9</v>
      </c>
      <c r="H197" s="16" t="s">
        <v>10</v>
      </c>
      <c r="I197" s="14" t="s">
        <v>11</v>
      </c>
      <c r="J197" s="14" t="s">
        <v>12</v>
      </c>
    </row>
    <row x14ac:dyDescent="0.25" r="198" customHeight="1" ht="17.25">
      <c r="A198" s="17" t="s">
        <v>7774</v>
      </c>
      <c r="B198" s="17" t="s">
        <v>332</v>
      </c>
      <c r="C198" s="17" t="s">
        <v>76</v>
      </c>
      <c r="D198" s="17" t="s">
        <v>16</v>
      </c>
      <c r="E198" s="18">
        <f>ROUND(9068*1.05,2)</f>
      </c>
      <c r="F198" s="17" t="s">
        <v>17</v>
      </c>
      <c r="G198" s="17" t="s">
        <v>18</v>
      </c>
      <c r="H198" s="18">
        <f>ROUND(RAND()*4+6,1)</f>
      </c>
      <c r="I198" s="17" t="s">
        <v>19</v>
      </c>
      <c r="J198" s="19">
        <f>ROUND(91*1,0)&amp;"%"</f>
      </c>
    </row>
    <row x14ac:dyDescent="0.25" r="199" customHeight="1" ht="17.25">
      <c r="A199" s="20" t="s">
        <v>7775</v>
      </c>
      <c r="B199" s="20" t="s">
        <v>334</v>
      </c>
      <c r="C199" s="20" t="s">
        <v>76</v>
      </c>
      <c r="D199" s="20" t="s">
        <v>22</v>
      </c>
      <c r="E199" s="22">
        <f>ROUND(16360*1.05,2)</f>
      </c>
      <c r="F199" s="20" t="s">
        <v>23</v>
      </c>
      <c r="G199" s="20" t="s">
        <v>24</v>
      </c>
      <c r="H199" s="21">
        <f>ROUND(RAND()*4+6,1)</f>
      </c>
      <c r="I199" s="20" t="s">
        <v>25</v>
      </c>
      <c r="J199" s="23">
        <f>ROUND(95*1,0)&amp;"%"</f>
      </c>
    </row>
    <row x14ac:dyDescent="0.25" r="200" customHeight="1" ht="17.25">
      <c r="A200" s="17" t="s">
        <v>7776</v>
      </c>
      <c r="B200" s="17" t="s">
        <v>336</v>
      </c>
      <c r="C200" s="17" t="s">
        <v>76</v>
      </c>
      <c r="D200" s="17" t="s">
        <v>28</v>
      </c>
      <c r="E200" s="18">
        <f>ROUND(11456*1.05,2)</f>
      </c>
      <c r="F200" s="17" t="s">
        <v>29</v>
      </c>
      <c r="G200" s="17" t="s">
        <v>30</v>
      </c>
      <c r="H200" s="18">
        <f>ROUND(RAND()*4+6,1)</f>
      </c>
      <c r="I200" s="17" t="s">
        <v>31</v>
      </c>
      <c r="J200" s="19">
        <f>ROUND(98*1,0)&amp;"%"</f>
      </c>
    </row>
    <row x14ac:dyDescent="0.25" r="201" customHeight="1" ht="17.25">
      <c r="A201" s="20" t="s">
        <v>7777</v>
      </c>
      <c r="B201" s="20" t="s">
        <v>338</v>
      </c>
      <c r="C201" s="20" t="s">
        <v>76</v>
      </c>
      <c r="D201" s="20" t="s">
        <v>34</v>
      </c>
      <c r="E201" s="21">
        <f>ROUND(5225*1.05,2)</f>
      </c>
      <c r="F201" s="20" t="s">
        <v>35</v>
      </c>
      <c r="G201" s="20" t="s">
        <v>18</v>
      </c>
      <c r="H201" s="21">
        <f>ROUND(RAND()*4+6,1)</f>
      </c>
      <c r="I201" s="20" t="s">
        <v>36</v>
      </c>
      <c r="J201" s="23">
        <f>ROUND(70*1,0)&amp;"%"</f>
      </c>
    </row>
    <row x14ac:dyDescent="0.25" r="202" customHeight="1" ht="17.25">
      <c r="A202" s="17" t="s">
        <v>7778</v>
      </c>
      <c r="B202" s="17" t="s">
        <v>340</v>
      </c>
      <c r="C202" s="17" t="s">
        <v>76</v>
      </c>
      <c r="D202" s="17" t="s">
        <v>39</v>
      </c>
      <c r="E202" s="18">
        <f>ROUND(7698*1.05,2)</f>
      </c>
      <c r="F202" s="17" t="s">
        <v>40</v>
      </c>
      <c r="G202" s="17" t="s">
        <v>24</v>
      </c>
      <c r="H202" s="18">
        <f>ROUND(RAND()*4+6,1)</f>
      </c>
      <c r="I202" s="17" t="s">
        <v>41</v>
      </c>
      <c r="J202" s="19">
        <f>ROUND(77*1,0)&amp;"%"</f>
      </c>
    </row>
    <row x14ac:dyDescent="0.25" r="203" customHeight="1" ht="17.25">
      <c r="A203" s="20" t="s">
        <v>7779</v>
      </c>
      <c r="B203" s="20" t="s">
        <v>342</v>
      </c>
      <c r="C203" s="20" t="s">
        <v>76</v>
      </c>
      <c r="D203" s="20" t="s">
        <v>67</v>
      </c>
      <c r="E203" s="21">
        <f>ROUND(15564*1.05,2)</f>
      </c>
      <c r="F203" s="20" t="s">
        <v>44</v>
      </c>
      <c r="G203" s="20" t="s">
        <v>30</v>
      </c>
      <c r="H203" s="21">
        <f>ROUND(RAND()*4+6,1)</f>
      </c>
      <c r="I203" s="20" t="s">
        <v>45</v>
      </c>
      <c r="J203" s="23">
        <f>ROUND(94*1,0)&amp;"%"</f>
      </c>
    </row>
    <row x14ac:dyDescent="0.25" r="204" customHeight="1" ht="17.25">
      <c r="A204" s="17" t="s">
        <v>7780</v>
      </c>
      <c r="B204" s="17" t="s">
        <v>344</v>
      </c>
      <c r="C204" s="17" t="s">
        <v>76</v>
      </c>
      <c r="D204" s="17" t="s">
        <v>16</v>
      </c>
      <c r="E204" s="18">
        <f>ROUND(6997*1.05,2)</f>
      </c>
      <c r="F204" s="17" t="s">
        <v>48</v>
      </c>
      <c r="G204" s="17" t="s">
        <v>18</v>
      </c>
      <c r="H204" s="18">
        <f>ROUND(RAND()*4+6,1)</f>
      </c>
      <c r="I204" s="17" t="s">
        <v>19</v>
      </c>
      <c r="J204" s="19">
        <f>ROUND(83*1,0)&amp;"%"</f>
      </c>
    </row>
    <row x14ac:dyDescent="0.25" r="205" customHeight="1" ht="17.25">
      <c r="A205" s="20" t="s">
        <v>7781</v>
      </c>
      <c r="B205" s="20" t="s">
        <v>346</v>
      </c>
      <c r="C205" s="20" t="s">
        <v>76</v>
      </c>
      <c r="D205" s="20" t="s">
        <v>22</v>
      </c>
      <c r="E205" s="21">
        <f>ROUND(9758*1.05,2)</f>
      </c>
      <c r="F205" s="20" t="s">
        <v>51</v>
      </c>
      <c r="G205" s="20" t="s">
        <v>24</v>
      </c>
      <c r="H205" s="21">
        <f>ROUND(RAND()*4+6,1)</f>
      </c>
      <c r="I205" s="20" t="s">
        <v>25</v>
      </c>
      <c r="J205" s="23">
        <f>ROUND(75*1,0)&amp;"%"</f>
      </c>
    </row>
    <row x14ac:dyDescent="0.25" r="206" customHeight="1" ht="17.25">
      <c r="A206" s="24" t="s">
        <v>347</v>
      </c>
      <c r="B206" s="24"/>
      <c r="C206" s="24"/>
      <c r="D206" s="24"/>
      <c r="E206" s="25">
        <v>8</v>
      </c>
      <c r="F206" s="9"/>
      <c r="G206" s="9"/>
      <c r="H206" s="10"/>
      <c r="I206" s="9"/>
      <c r="J206" s="9"/>
    </row>
    <row x14ac:dyDescent="0.25" r="207" customHeight="1" ht="17.25">
      <c r="A207" s="7"/>
      <c r="B207" s="7"/>
      <c r="C207" s="7"/>
      <c r="D207" s="7"/>
      <c r="E207" s="8"/>
      <c r="F207" s="9"/>
      <c r="G207" s="9"/>
      <c r="H207" s="10"/>
      <c r="I207" s="9"/>
      <c r="J207" s="9"/>
    </row>
    <row x14ac:dyDescent="0.25" r="208" customHeight="1" ht="17.25">
      <c r="A208" s="11" t="s">
        <v>7782</v>
      </c>
      <c r="B208" s="11"/>
      <c r="C208" s="11"/>
      <c r="D208" s="11"/>
      <c r="E208" s="12"/>
      <c r="F208" s="11"/>
      <c r="G208" s="11"/>
      <c r="H208" s="13"/>
      <c r="I208" s="11"/>
      <c r="J208" s="11"/>
    </row>
    <row x14ac:dyDescent="0.25" r="209" customHeight="1" ht="17.25">
      <c r="A209" s="14" t="s">
        <v>3</v>
      </c>
      <c r="B209" s="14" t="s">
        <v>4</v>
      </c>
      <c r="C209" s="14" t="s">
        <v>5</v>
      </c>
      <c r="D209" s="14" t="s">
        <v>6</v>
      </c>
      <c r="E209" s="15" t="s">
        <v>7</v>
      </c>
      <c r="F209" s="14" t="s">
        <v>8</v>
      </c>
      <c r="G209" s="14" t="s">
        <v>9</v>
      </c>
      <c r="H209" s="16" t="s">
        <v>10</v>
      </c>
      <c r="I209" s="14" t="s">
        <v>11</v>
      </c>
      <c r="J209" s="14" t="s">
        <v>12</v>
      </c>
    </row>
    <row x14ac:dyDescent="0.25" r="210" customHeight="1" ht="17.25">
      <c r="A210" s="17" t="s">
        <v>7783</v>
      </c>
      <c r="B210" s="17" t="s">
        <v>350</v>
      </c>
      <c r="C210" s="17" t="s">
        <v>95</v>
      </c>
      <c r="D210" s="17" t="s">
        <v>16</v>
      </c>
      <c r="E210" s="18">
        <f>ROUND(12585*1.05,2)</f>
      </c>
      <c r="F210" s="17" t="s">
        <v>17</v>
      </c>
      <c r="G210" s="17" t="s">
        <v>18</v>
      </c>
      <c r="H210" s="18">
        <f>ROUND(RAND()*4+6,1)</f>
      </c>
      <c r="I210" s="17" t="s">
        <v>19</v>
      </c>
      <c r="J210" s="19">
        <f>ROUND(81*1,0)&amp;"%"</f>
      </c>
    </row>
    <row x14ac:dyDescent="0.25" r="211" customHeight="1" ht="17.25">
      <c r="A211" s="20" t="s">
        <v>7784</v>
      </c>
      <c r="B211" s="20" t="s">
        <v>352</v>
      </c>
      <c r="C211" s="20" t="s">
        <v>95</v>
      </c>
      <c r="D211" s="20" t="s">
        <v>22</v>
      </c>
      <c r="E211" s="21">
        <f>ROUND(14367*1.05,2)</f>
      </c>
      <c r="F211" s="20" t="s">
        <v>23</v>
      </c>
      <c r="G211" s="20" t="s">
        <v>24</v>
      </c>
      <c r="H211" s="22">
        <f>ROUND(RAND()*4+6,1)</f>
      </c>
      <c r="I211" s="20" t="s">
        <v>25</v>
      </c>
      <c r="J211" s="23">
        <f>ROUND(97*1,0)&amp;"%"</f>
      </c>
    </row>
    <row x14ac:dyDescent="0.25" r="212" customHeight="1" ht="17.25">
      <c r="A212" s="17" t="s">
        <v>7785</v>
      </c>
      <c r="B212" s="17" t="s">
        <v>354</v>
      </c>
      <c r="C212" s="17" t="s">
        <v>95</v>
      </c>
      <c r="D212" s="17" t="s">
        <v>28</v>
      </c>
      <c r="E212" s="18">
        <f>ROUND(9017*1.05,2)</f>
      </c>
      <c r="F212" s="17" t="s">
        <v>29</v>
      </c>
      <c r="G212" s="17" t="s">
        <v>30</v>
      </c>
      <c r="H212" s="18">
        <f>ROUND(RAND()*4+6,1)</f>
      </c>
      <c r="I212" s="17" t="s">
        <v>31</v>
      </c>
      <c r="J212" s="19">
        <f>ROUND(100*1,0)&amp;"%"</f>
      </c>
    </row>
    <row x14ac:dyDescent="0.25" r="213" customHeight="1" ht="17.25">
      <c r="A213" s="20" t="s">
        <v>7786</v>
      </c>
      <c r="B213" s="20" t="s">
        <v>356</v>
      </c>
      <c r="C213" s="20" t="s">
        <v>95</v>
      </c>
      <c r="D213" s="20" t="s">
        <v>34</v>
      </c>
      <c r="E213" s="21">
        <f>ROUND(15281*1.05,2)</f>
      </c>
      <c r="F213" s="20" t="s">
        <v>35</v>
      </c>
      <c r="G213" s="20" t="s">
        <v>18</v>
      </c>
      <c r="H213" s="21">
        <f>ROUND(RAND()*4+6,1)</f>
      </c>
      <c r="I213" s="20" t="s">
        <v>36</v>
      </c>
      <c r="J213" s="23">
        <f>ROUND(94*1,0)&amp;"%"</f>
      </c>
    </row>
    <row x14ac:dyDescent="0.25" r="214" customHeight="1" ht="17.25">
      <c r="A214" s="17" t="s">
        <v>7787</v>
      </c>
      <c r="B214" s="17" t="s">
        <v>358</v>
      </c>
      <c r="C214" s="17" t="s">
        <v>95</v>
      </c>
      <c r="D214" s="17" t="s">
        <v>39</v>
      </c>
      <c r="E214" s="18">
        <f>ROUND(13822*1.05,2)</f>
      </c>
      <c r="F214" s="17" t="s">
        <v>40</v>
      </c>
      <c r="G214" s="17" t="s">
        <v>24</v>
      </c>
      <c r="H214" s="18">
        <f>ROUND(RAND()*4+6,1)</f>
      </c>
      <c r="I214" s="17" t="s">
        <v>41</v>
      </c>
      <c r="J214" s="19">
        <f>ROUND(60*1,0)&amp;"%"</f>
      </c>
    </row>
    <row x14ac:dyDescent="0.25" r="215" customHeight="1" ht="17.25">
      <c r="A215" s="20" t="s">
        <v>7788</v>
      </c>
      <c r="B215" s="20" t="s">
        <v>360</v>
      </c>
      <c r="C215" s="20" t="s">
        <v>95</v>
      </c>
      <c r="D215" s="20" t="s">
        <v>67</v>
      </c>
      <c r="E215" s="21">
        <f>ROUND(11627*1.05,2)</f>
      </c>
      <c r="F215" s="20" t="s">
        <v>44</v>
      </c>
      <c r="G215" s="20" t="s">
        <v>30</v>
      </c>
      <c r="H215" s="21">
        <f>ROUND(RAND()*4+6,1)</f>
      </c>
      <c r="I215" s="20" t="s">
        <v>45</v>
      </c>
      <c r="J215" s="23">
        <f>ROUND(85*1,0)&amp;"%"</f>
      </c>
    </row>
    <row x14ac:dyDescent="0.25" r="216" customHeight="1" ht="17.25">
      <c r="A216" s="17" t="s">
        <v>7789</v>
      </c>
      <c r="B216" s="17" t="s">
        <v>362</v>
      </c>
      <c r="C216" s="17" t="s">
        <v>95</v>
      </c>
      <c r="D216" s="17" t="s">
        <v>16</v>
      </c>
      <c r="E216" s="18">
        <f>ROUND(13968*1.05,2)</f>
      </c>
      <c r="F216" s="17" t="s">
        <v>48</v>
      </c>
      <c r="G216" s="17" t="s">
        <v>18</v>
      </c>
      <c r="H216" s="18">
        <f>ROUND(RAND()*4+6,1)</f>
      </c>
      <c r="I216" s="17" t="s">
        <v>19</v>
      </c>
      <c r="J216" s="19">
        <f>ROUND(84*1,0)&amp;"%"</f>
      </c>
    </row>
    <row x14ac:dyDescent="0.25" r="217" customHeight="1" ht="17.25">
      <c r="A217" s="20" t="s">
        <v>7790</v>
      </c>
      <c r="B217" s="20" t="s">
        <v>364</v>
      </c>
      <c r="C217" s="20" t="s">
        <v>95</v>
      </c>
      <c r="D217" s="20" t="s">
        <v>22</v>
      </c>
      <c r="E217" s="22">
        <f>ROUND(7960*1.05,2)</f>
      </c>
      <c r="F217" s="20" t="s">
        <v>51</v>
      </c>
      <c r="G217" s="20" t="s">
        <v>24</v>
      </c>
      <c r="H217" s="21">
        <f>ROUND(RAND()*4+6,1)</f>
      </c>
      <c r="I217" s="20" t="s">
        <v>25</v>
      </c>
      <c r="J217" s="23">
        <f>ROUND(87*1,0)&amp;"%"</f>
      </c>
    </row>
    <row x14ac:dyDescent="0.25" r="218" customHeight="1" ht="17.25">
      <c r="A218" s="24" t="s">
        <v>365</v>
      </c>
      <c r="B218" s="24"/>
      <c r="C218" s="24"/>
      <c r="D218" s="24"/>
      <c r="E218" s="25">
        <v>8</v>
      </c>
      <c r="F218" s="9"/>
      <c r="G218" s="9"/>
      <c r="H218" s="10"/>
      <c r="I218" s="9"/>
      <c r="J218" s="9"/>
    </row>
    <row x14ac:dyDescent="0.25" r="219" customHeight="1" ht="17.25">
      <c r="A219" s="7"/>
      <c r="B219" s="7"/>
      <c r="C219" s="7"/>
      <c r="D219" s="7"/>
      <c r="E219" s="8"/>
      <c r="F219" s="9"/>
      <c r="G219" s="9"/>
      <c r="H219" s="10"/>
      <c r="I219" s="9"/>
      <c r="J219" s="9"/>
    </row>
    <row x14ac:dyDescent="0.25" r="220" customHeight="1" ht="17.25">
      <c r="A220" s="11" t="s">
        <v>7791</v>
      </c>
      <c r="B220" s="11"/>
      <c r="C220" s="11"/>
      <c r="D220" s="11"/>
      <c r="E220" s="12"/>
      <c r="F220" s="11"/>
      <c r="G220" s="11"/>
      <c r="H220" s="13"/>
      <c r="I220" s="11"/>
      <c r="J220" s="11"/>
    </row>
    <row x14ac:dyDescent="0.25" r="221" customHeight="1" ht="17.25">
      <c r="A221" s="14" t="s">
        <v>3</v>
      </c>
      <c r="B221" s="14" t="s">
        <v>4</v>
      </c>
      <c r="C221" s="14" t="s">
        <v>5</v>
      </c>
      <c r="D221" s="14" t="s">
        <v>6</v>
      </c>
      <c r="E221" s="15" t="s">
        <v>7</v>
      </c>
      <c r="F221" s="14" t="s">
        <v>8</v>
      </c>
      <c r="G221" s="14" t="s">
        <v>9</v>
      </c>
      <c r="H221" s="16" t="s">
        <v>10</v>
      </c>
      <c r="I221" s="14" t="s">
        <v>11</v>
      </c>
      <c r="J221" s="14" t="s">
        <v>12</v>
      </c>
    </row>
    <row x14ac:dyDescent="0.25" r="222" customHeight="1" ht="17.25">
      <c r="A222" s="17" t="s">
        <v>7792</v>
      </c>
      <c r="B222" s="17" t="s">
        <v>368</v>
      </c>
      <c r="C222" s="17" t="s">
        <v>114</v>
      </c>
      <c r="D222" s="17" t="s">
        <v>16</v>
      </c>
      <c r="E222" s="18">
        <f>ROUND(16529*1.05,2)</f>
      </c>
      <c r="F222" s="17" t="s">
        <v>17</v>
      </c>
      <c r="G222" s="17" t="s">
        <v>18</v>
      </c>
      <c r="H222" s="18">
        <f>ROUND(RAND()*4+6,1)</f>
      </c>
      <c r="I222" s="17" t="s">
        <v>19</v>
      </c>
      <c r="J222" s="19">
        <f>ROUND(68*1,0)&amp;"%"</f>
      </c>
    </row>
    <row x14ac:dyDescent="0.25" r="223" customHeight="1" ht="17.25">
      <c r="A223" s="20" t="s">
        <v>7793</v>
      </c>
      <c r="B223" s="20" t="s">
        <v>370</v>
      </c>
      <c r="C223" s="20" t="s">
        <v>114</v>
      </c>
      <c r="D223" s="20" t="s">
        <v>22</v>
      </c>
      <c r="E223" s="21">
        <f>ROUND(13926*1.05,2)</f>
      </c>
      <c r="F223" s="20" t="s">
        <v>23</v>
      </c>
      <c r="G223" s="20" t="s">
        <v>24</v>
      </c>
      <c r="H223" s="21">
        <f>ROUND(RAND()*4+6,1)</f>
      </c>
      <c r="I223" s="20" t="s">
        <v>25</v>
      </c>
      <c r="J223" s="23">
        <f>ROUND(71*1,0)&amp;"%"</f>
      </c>
    </row>
    <row x14ac:dyDescent="0.25" r="224" customHeight="1" ht="17.25">
      <c r="A224" s="17" t="s">
        <v>7794</v>
      </c>
      <c r="B224" s="17" t="s">
        <v>372</v>
      </c>
      <c r="C224" s="17" t="s">
        <v>114</v>
      </c>
      <c r="D224" s="17" t="s">
        <v>28</v>
      </c>
      <c r="E224" s="18">
        <f>ROUND(17821*1.05,2)</f>
      </c>
      <c r="F224" s="17" t="s">
        <v>29</v>
      </c>
      <c r="G224" s="17" t="s">
        <v>30</v>
      </c>
      <c r="H224" s="26">
        <f>ROUND(RAND()*4+6,1)</f>
      </c>
      <c r="I224" s="17" t="s">
        <v>31</v>
      </c>
      <c r="J224" s="19">
        <f>ROUND(81*1,0)&amp;"%"</f>
      </c>
    </row>
    <row x14ac:dyDescent="0.25" r="225" customHeight="1" ht="17.25">
      <c r="A225" s="20" t="s">
        <v>7795</v>
      </c>
      <c r="B225" s="20" t="s">
        <v>374</v>
      </c>
      <c r="C225" s="20" t="s">
        <v>114</v>
      </c>
      <c r="D225" s="20" t="s">
        <v>34</v>
      </c>
      <c r="E225" s="21">
        <f>ROUND(11052*1.05,2)</f>
      </c>
      <c r="F225" s="20" t="s">
        <v>35</v>
      </c>
      <c r="G225" s="20" t="s">
        <v>18</v>
      </c>
      <c r="H225" s="21">
        <f>ROUND(RAND()*4+6,1)</f>
      </c>
      <c r="I225" s="20" t="s">
        <v>36</v>
      </c>
      <c r="J225" s="23">
        <f>ROUND(73*1,0)&amp;"%"</f>
      </c>
    </row>
    <row x14ac:dyDescent="0.25" r="226" customHeight="1" ht="17.25">
      <c r="A226" s="17" t="s">
        <v>7796</v>
      </c>
      <c r="B226" s="17" t="s">
        <v>376</v>
      </c>
      <c r="C226" s="17" t="s">
        <v>114</v>
      </c>
      <c r="D226" s="17" t="s">
        <v>39</v>
      </c>
      <c r="E226" s="18">
        <f>ROUND(12827*1.05,2)</f>
      </c>
      <c r="F226" s="17" t="s">
        <v>40</v>
      </c>
      <c r="G226" s="17" t="s">
        <v>24</v>
      </c>
      <c r="H226" s="26">
        <f>ROUND(RAND()*4+6,1)</f>
      </c>
      <c r="I226" s="17" t="s">
        <v>41</v>
      </c>
      <c r="J226" s="19">
        <f>ROUND(99*1,0)&amp;"%"</f>
      </c>
    </row>
    <row x14ac:dyDescent="0.25" r="227" customHeight="1" ht="17.25">
      <c r="A227" s="20" t="s">
        <v>7797</v>
      </c>
      <c r="B227" s="20" t="s">
        <v>378</v>
      </c>
      <c r="C227" s="20" t="s">
        <v>114</v>
      </c>
      <c r="D227" s="20" t="s">
        <v>67</v>
      </c>
      <c r="E227" s="21">
        <f>ROUND(14399*1.05,2)</f>
      </c>
      <c r="F227" s="20" t="s">
        <v>44</v>
      </c>
      <c r="G227" s="20" t="s">
        <v>30</v>
      </c>
      <c r="H227" s="21">
        <f>ROUND(RAND()*4+6,1)</f>
      </c>
      <c r="I227" s="20" t="s">
        <v>45</v>
      </c>
      <c r="J227" s="23">
        <f>ROUND(77*1,0)&amp;"%"</f>
      </c>
    </row>
    <row x14ac:dyDescent="0.25" r="228" customHeight="1" ht="17.25">
      <c r="A228" s="17" t="s">
        <v>7798</v>
      </c>
      <c r="B228" s="17" t="s">
        <v>380</v>
      </c>
      <c r="C228" s="17" t="s">
        <v>114</v>
      </c>
      <c r="D228" s="17" t="s">
        <v>16</v>
      </c>
      <c r="E228" s="18">
        <f>ROUND(17067*1.05,2)</f>
      </c>
      <c r="F228" s="17" t="s">
        <v>48</v>
      </c>
      <c r="G228" s="17" t="s">
        <v>18</v>
      </c>
      <c r="H228" s="18">
        <f>ROUND(RAND()*4+6,1)</f>
      </c>
      <c r="I228" s="17" t="s">
        <v>19</v>
      </c>
      <c r="J228" s="19">
        <f>ROUND(100*1,0)&amp;"%"</f>
      </c>
    </row>
    <row x14ac:dyDescent="0.25" r="229" customHeight="1" ht="17.25">
      <c r="A229" s="20" t="s">
        <v>7799</v>
      </c>
      <c r="B229" s="20" t="s">
        <v>382</v>
      </c>
      <c r="C229" s="20" t="s">
        <v>114</v>
      </c>
      <c r="D229" s="20" t="s">
        <v>22</v>
      </c>
      <c r="E229" s="21">
        <f>ROUND(9992*1.05,2)</f>
      </c>
      <c r="F229" s="20" t="s">
        <v>51</v>
      </c>
      <c r="G229" s="20" t="s">
        <v>24</v>
      </c>
      <c r="H229" s="21">
        <f>ROUND(RAND()*4+6,1)</f>
      </c>
      <c r="I229" s="20" t="s">
        <v>25</v>
      </c>
      <c r="J229" s="23">
        <f>ROUND(79*1,0)&amp;"%"</f>
      </c>
    </row>
    <row x14ac:dyDescent="0.25" r="230" customHeight="1" ht="17.25">
      <c r="A230" s="24" t="s">
        <v>383</v>
      </c>
      <c r="B230" s="24"/>
      <c r="C230" s="24"/>
      <c r="D230" s="24"/>
      <c r="E230" s="25">
        <v>8</v>
      </c>
      <c r="F230" s="9"/>
      <c r="G230" s="9"/>
      <c r="H230" s="10"/>
      <c r="I230" s="9"/>
      <c r="J230" s="9"/>
    </row>
    <row x14ac:dyDescent="0.25" r="231" customHeight="1" ht="17.25">
      <c r="A231" s="7"/>
      <c r="B231" s="7"/>
      <c r="C231" s="7"/>
      <c r="D231" s="7"/>
      <c r="E231" s="8"/>
      <c r="F231" s="9"/>
      <c r="G231" s="9"/>
      <c r="H231" s="10"/>
      <c r="I231" s="9"/>
      <c r="J231" s="9"/>
    </row>
    <row x14ac:dyDescent="0.25" r="232" customHeight="1" ht="17.25">
      <c r="A232" s="11" t="s">
        <v>7800</v>
      </c>
      <c r="B232" s="11"/>
      <c r="C232" s="11"/>
      <c r="D232" s="11"/>
      <c r="E232" s="12"/>
      <c r="F232" s="11"/>
      <c r="G232" s="11"/>
      <c r="H232" s="13"/>
      <c r="I232" s="11"/>
      <c r="J232" s="11"/>
    </row>
    <row x14ac:dyDescent="0.25" r="233" customHeight="1" ht="17.25">
      <c r="A233" s="14" t="s">
        <v>3</v>
      </c>
      <c r="B233" s="14" t="s">
        <v>4</v>
      </c>
      <c r="C233" s="14" t="s">
        <v>5</v>
      </c>
      <c r="D233" s="14" t="s">
        <v>6</v>
      </c>
      <c r="E233" s="15" t="s">
        <v>7</v>
      </c>
      <c r="F233" s="14" t="s">
        <v>8</v>
      </c>
      <c r="G233" s="14" t="s">
        <v>9</v>
      </c>
      <c r="H233" s="16" t="s">
        <v>10</v>
      </c>
      <c r="I233" s="14" t="s">
        <v>11</v>
      </c>
      <c r="J233" s="14" t="s">
        <v>12</v>
      </c>
    </row>
    <row x14ac:dyDescent="0.25" r="234" customHeight="1" ht="17.25">
      <c r="A234" s="17" t="s">
        <v>7801</v>
      </c>
      <c r="B234" s="17" t="s">
        <v>386</v>
      </c>
      <c r="C234" s="17" t="s">
        <v>133</v>
      </c>
      <c r="D234" s="17" t="s">
        <v>16</v>
      </c>
      <c r="E234" s="18">
        <f>ROUND(5064*1.05,2)</f>
      </c>
      <c r="F234" s="17" t="s">
        <v>17</v>
      </c>
      <c r="G234" s="17" t="s">
        <v>18</v>
      </c>
      <c r="H234" s="18">
        <f>ROUND(RAND()*4+6,1)</f>
      </c>
      <c r="I234" s="17" t="s">
        <v>19</v>
      </c>
      <c r="J234" s="19">
        <f>ROUND(67*1,0)&amp;"%"</f>
      </c>
    </row>
    <row x14ac:dyDescent="0.25" r="235" customHeight="1" ht="17.25">
      <c r="A235" s="20" t="s">
        <v>7802</v>
      </c>
      <c r="B235" s="20" t="s">
        <v>388</v>
      </c>
      <c r="C235" s="20" t="s">
        <v>133</v>
      </c>
      <c r="D235" s="20" t="s">
        <v>22</v>
      </c>
      <c r="E235" s="21">
        <f>ROUND(6824*1.05,2)</f>
      </c>
      <c r="F235" s="20" t="s">
        <v>23</v>
      </c>
      <c r="G235" s="20" t="s">
        <v>24</v>
      </c>
      <c r="H235" s="21">
        <f>ROUND(RAND()*4+6,1)</f>
      </c>
      <c r="I235" s="20" t="s">
        <v>25</v>
      </c>
      <c r="J235" s="23">
        <f>ROUND(67*1,0)&amp;"%"</f>
      </c>
    </row>
    <row x14ac:dyDescent="0.25" r="236" customHeight="1" ht="17.25">
      <c r="A236" s="17" t="s">
        <v>7803</v>
      </c>
      <c r="B236" s="17" t="s">
        <v>390</v>
      </c>
      <c r="C236" s="17" t="s">
        <v>133</v>
      </c>
      <c r="D236" s="17" t="s">
        <v>28</v>
      </c>
      <c r="E236" s="18">
        <f>ROUND(12070*1.05,2)</f>
      </c>
      <c r="F236" s="17" t="s">
        <v>29</v>
      </c>
      <c r="G236" s="17" t="s">
        <v>30</v>
      </c>
      <c r="H236" s="18">
        <f>ROUND(RAND()*4+6,1)</f>
      </c>
      <c r="I236" s="17" t="s">
        <v>31</v>
      </c>
      <c r="J236" s="19">
        <f>ROUND(77*1,0)&amp;"%"</f>
      </c>
    </row>
    <row x14ac:dyDescent="0.25" r="237" customHeight="1" ht="17.25">
      <c r="A237" s="20" t="s">
        <v>7804</v>
      </c>
      <c r="B237" s="20" t="s">
        <v>392</v>
      </c>
      <c r="C237" s="20" t="s">
        <v>133</v>
      </c>
      <c r="D237" s="20" t="s">
        <v>34</v>
      </c>
      <c r="E237" s="21">
        <f>ROUND(15570*1.05,2)</f>
      </c>
      <c r="F237" s="20" t="s">
        <v>35</v>
      </c>
      <c r="G237" s="20" t="s">
        <v>18</v>
      </c>
      <c r="H237" s="21">
        <f>ROUND(RAND()*4+6,1)</f>
      </c>
      <c r="I237" s="20" t="s">
        <v>36</v>
      </c>
      <c r="J237" s="23">
        <f>ROUND(97*1,0)&amp;"%"</f>
      </c>
    </row>
    <row x14ac:dyDescent="0.25" r="238" customHeight="1" ht="17.25">
      <c r="A238" s="17" t="s">
        <v>7805</v>
      </c>
      <c r="B238" s="17" t="s">
        <v>394</v>
      </c>
      <c r="C238" s="17" t="s">
        <v>133</v>
      </c>
      <c r="D238" s="17" t="s">
        <v>39</v>
      </c>
      <c r="E238" s="18">
        <f>ROUND(15393*1.05,2)</f>
      </c>
      <c r="F238" s="17" t="s">
        <v>40</v>
      </c>
      <c r="G238" s="17" t="s">
        <v>24</v>
      </c>
      <c r="H238" s="26">
        <f>ROUND(RAND()*4+6,1)</f>
      </c>
      <c r="I238" s="17" t="s">
        <v>41</v>
      </c>
      <c r="J238" s="19">
        <f>ROUND(81*1,0)&amp;"%"</f>
      </c>
    </row>
    <row x14ac:dyDescent="0.25" r="239" customHeight="1" ht="17.25">
      <c r="A239" s="20" t="s">
        <v>7806</v>
      </c>
      <c r="B239" s="20" t="s">
        <v>396</v>
      </c>
      <c r="C239" s="20" t="s">
        <v>133</v>
      </c>
      <c r="D239" s="20" t="s">
        <v>67</v>
      </c>
      <c r="E239" s="21">
        <f>ROUND(13541*1.05,2)</f>
      </c>
      <c r="F239" s="20" t="s">
        <v>44</v>
      </c>
      <c r="G239" s="20" t="s">
        <v>30</v>
      </c>
      <c r="H239" s="22">
        <f>ROUND(RAND()*4+6,1)</f>
      </c>
      <c r="I239" s="20" t="s">
        <v>45</v>
      </c>
      <c r="J239" s="23">
        <f>ROUND(83*1,0)&amp;"%"</f>
      </c>
    </row>
    <row x14ac:dyDescent="0.25" r="240" customHeight="1" ht="17.25">
      <c r="A240" s="17" t="s">
        <v>7807</v>
      </c>
      <c r="B240" s="17" t="s">
        <v>398</v>
      </c>
      <c r="C240" s="17" t="s">
        <v>133</v>
      </c>
      <c r="D240" s="17" t="s">
        <v>16</v>
      </c>
      <c r="E240" s="18">
        <f>ROUND(12717*1.05,2)</f>
      </c>
      <c r="F240" s="17" t="s">
        <v>48</v>
      </c>
      <c r="G240" s="17" t="s">
        <v>18</v>
      </c>
      <c r="H240" s="18">
        <f>ROUND(RAND()*4+6,1)</f>
      </c>
      <c r="I240" s="17" t="s">
        <v>19</v>
      </c>
      <c r="J240" s="19">
        <f>ROUND(70*1,0)&amp;"%"</f>
      </c>
    </row>
    <row x14ac:dyDescent="0.25" r="241" customHeight="1" ht="17.25">
      <c r="A241" s="20" t="s">
        <v>7808</v>
      </c>
      <c r="B241" s="20" t="s">
        <v>400</v>
      </c>
      <c r="C241" s="20" t="s">
        <v>133</v>
      </c>
      <c r="D241" s="20" t="s">
        <v>22</v>
      </c>
      <c r="E241" s="21">
        <f>ROUND(10452*1.05,2)</f>
      </c>
      <c r="F241" s="20" t="s">
        <v>51</v>
      </c>
      <c r="G241" s="20" t="s">
        <v>24</v>
      </c>
      <c r="H241" s="21">
        <f>ROUND(RAND()*4+6,1)</f>
      </c>
      <c r="I241" s="20" t="s">
        <v>25</v>
      </c>
      <c r="J241" s="23">
        <f>ROUND(80*1,0)&amp;"%"</f>
      </c>
    </row>
    <row x14ac:dyDescent="0.25" r="242" customHeight="1" ht="17.25">
      <c r="A242" s="24" t="s">
        <v>401</v>
      </c>
      <c r="B242" s="24"/>
      <c r="C242" s="24"/>
      <c r="D242" s="24"/>
      <c r="E242" s="25">
        <v>8</v>
      </c>
      <c r="F242" s="9"/>
      <c r="G242" s="9"/>
      <c r="H242" s="10"/>
      <c r="I242" s="9"/>
      <c r="J242" s="9"/>
    </row>
    <row x14ac:dyDescent="0.25" r="243" customHeight="1" ht="17.25">
      <c r="A243" s="7"/>
      <c r="B243" s="7"/>
      <c r="C243" s="7"/>
      <c r="D243" s="7"/>
      <c r="E243" s="8"/>
      <c r="F243" s="9"/>
      <c r="G243" s="9"/>
      <c r="H243" s="10"/>
      <c r="I243" s="9"/>
      <c r="J243" s="9"/>
    </row>
    <row x14ac:dyDescent="0.25" r="244" customHeight="1" ht="17.25">
      <c r="A244" s="11" t="s">
        <v>7809</v>
      </c>
      <c r="B244" s="11"/>
      <c r="C244" s="11"/>
      <c r="D244" s="11"/>
      <c r="E244" s="12"/>
      <c r="F244" s="11"/>
      <c r="G244" s="11"/>
      <c r="H244" s="13"/>
      <c r="I244" s="11"/>
      <c r="J244" s="11"/>
    </row>
    <row x14ac:dyDescent="0.25" r="245" customHeight="1" ht="17.25">
      <c r="A245" s="14" t="s">
        <v>3</v>
      </c>
      <c r="B245" s="14" t="s">
        <v>4</v>
      </c>
      <c r="C245" s="14" t="s">
        <v>5</v>
      </c>
      <c r="D245" s="14" t="s">
        <v>6</v>
      </c>
      <c r="E245" s="15" t="s">
        <v>7</v>
      </c>
      <c r="F245" s="14" t="s">
        <v>8</v>
      </c>
      <c r="G245" s="14" t="s">
        <v>9</v>
      </c>
      <c r="H245" s="16" t="s">
        <v>10</v>
      </c>
      <c r="I245" s="14" t="s">
        <v>11</v>
      </c>
      <c r="J245" s="14" t="s">
        <v>12</v>
      </c>
    </row>
    <row x14ac:dyDescent="0.25" r="246" customHeight="1" ht="17.25">
      <c r="A246" s="17" t="s">
        <v>7810</v>
      </c>
      <c r="B246" s="17" t="s">
        <v>404</v>
      </c>
      <c r="C246" s="17" t="s">
        <v>152</v>
      </c>
      <c r="D246" s="17" t="s">
        <v>16</v>
      </c>
      <c r="E246" s="18">
        <f>ROUND(13088*1.05,2)</f>
      </c>
      <c r="F246" s="17" t="s">
        <v>17</v>
      </c>
      <c r="G246" s="17" t="s">
        <v>18</v>
      </c>
      <c r="H246" s="18">
        <f>ROUND(RAND()*4+6,1)</f>
      </c>
      <c r="I246" s="17" t="s">
        <v>19</v>
      </c>
      <c r="J246" s="19">
        <f>ROUND(79*1,0)&amp;"%"</f>
      </c>
    </row>
    <row x14ac:dyDescent="0.25" r="247" customHeight="1" ht="17.25">
      <c r="A247" s="20" t="s">
        <v>7811</v>
      </c>
      <c r="B247" s="20" t="s">
        <v>406</v>
      </c>
      <c r="C247" s="20" t="s">
        <v>152</v>
      </c>
      <c r="D247" s="20" t="s">
        <v>22</v>
      </c>
      <c r="E247" s="21">
        <f>ROUND(13229*1.05,2)</f>
      </c>
      <c r="F247" s="20" t="s">
        <v>23</v>
      </c>
      <c r="G247" s="20" t="s">
        <v>24</v>
      </c>
      <c r="H247" s="21">
        <f>ROUND(RAND()*4+6,1)</f>
      </c>
      <c r="I247" s="20" t="s">
        <v>25</v>
      </c>
      <c r="J247" s="23">
        <f>ROUND(97*1,0)&amp;"%"</f>
      </c>
    </row>
    <row x14ac:dyDescent="0.25" r="248" customHeight="1" ht="17.25">
      <c r="A248" s="17" t="s">
        <v>7812</v>
      </c>
      <c r="B248" s="17" t="s">
        <v>408</v>
      </c>
      <c r="C248" s="17" t="s">
        <v>152</v>
      </c>
      <c r="D248" s="17" t="s">
        <v>28</v>
      </c>
      <c r="E248" s="18">
        <f>ROUND(9695*1.05,2)</f>
      </c>
      <c r="F248" s="17" t="s">
        <v>29</v>
      </c>
      <c r="G248" s="17" t="s">
        <v>30</v>
      </c>
      <c r="H248" s="18">
        <f>ROUND(RAND()*4+6,1)</f>
      </c>
      <c r="I248" s="17" t="s">
        <v>31</v>
      </c>
      <c r="J248" s="19">
        <f>ROUND(74*1,0)&amp;"%"</f>
      </c>
    </row>
    <row x14ac:dyDescent="0.25" r="249" customHeight="1" ht="17.25">
      <c r="A249" s="20" t="s">
        <v>7813</v>
      </c>
      <c r="B249" s="20" t="s">
        <v>410</v>
      </c>
      <c r="C249" s="20" t="s">
        <v>152</v>
      </c>
      <c r="D249" s="20" t="s">
        <v>34</v>
      </c>
      <c r="E249" s="21">
        <f>ROUND(14116*1.05,2)</f>
      </c>
      <c r="F249" s="20" t="s">
        <v>35</v>
      </c>
      <c r="G249" s="20" t="s">
        <v>18</v>
      </c>
      <c r="H249" s="21">
        <f>ROUND(RAND()*4+6,1)</f>
      </c>
      <c r="I249" s="20" t="s">
        <v>36</v>
      </c>
      <c r="J249" s="23">
        <f>ROUND(74*1,0)&amp;"%"</f>
      </c>
    </row>
    <row x14ac:dyDescent="0.25" r="250" customHeight="1" ht="17.25">
      <c r="A250" s="17" t="s">
        <v>7814</v>
      </c>
      <c r="B250" s="17" t="s">
        <v>412</v>
      </c>
      <c r="C250" s="17" t="s">
        <v>152</v>
      </c>
      <c r="D250" s="17" t="s">
        <v>39</v>
      </c>
      <c r="E250" s="18">
        <f>ROUND(4150*1.05,2)</f>
      </c>
      <c r="F250" s="17" t="s">
        <v>40</v>
      </c>
      <c r="G250" s="17" t="s">
        <v>24</v>
      </c>
      <c r="H250" s="26">
        <f>ROUND(RAND()*4+6,1)</f>
      </c>
      <c r="I250" s="17" t="s">
        <v>41</v>
      </c>
      <c r="J250" s="19">
        <f>ROUND(92*1,0)&amp;"%"</f>
      </c>
    </row>
    <row x14ac:dyDescent="0.25" r="251" customHeight="1" ht="17.25">
      <c r="A251" s="20" t="s">
        <v>7815</v>
      </c>
      <c r="B251" s="20" t="s">
        <v>414</v>
      </c>
      <c r="C251" s="20" t="s">
        <v>152</v>
      </c>
      <c r="D251" s="20" t="s">
        <v>67</v>
      </c>
      <c r="E251" s="21">
        <f>ROUND(13483*1.05,2)</f>
      </c>
      <c r="F251" s="20" t="s">
        <v>44</v>
      </c>
      <c r="G251" s="20" t="s">
        <v>30</v>
      </c>
      <c r="H251" s="21">
        <f>ROUND(RAND()*4+6,1)</f>
      </c>
      <c r="I251" s="20" t="s">
        <v>45</v>
      </c>
      <c r="J251" s="23">
        <f>ROUND(72*1,0)&amp;"%"</f>
      </c>
    </row>
    <row x14ac:dyDescent="0.25" r="252" customHeight="1" ht="17.25">
      <c r="A252" s="17" t="s">
        <v>7816</v>
      </c>
      <c r="B252" s="17" t="s">
        <v>416</v>
      </c>
      <c r="C252" s="17" t="s">
        <v>152</v>
      </c>
      <c r="D252" s="17" t="s">
        <v>16</v>
      </c>
      <c r="E252" s="18">
        <f>ROUND(13853*1.05,2)</f>
      </c>
      <c r="F252" s="17" t="s">
        <v>48</v>
      </c>
      <c r="G252" s="17" t="s">
        <v>18</v>
      </c>
      <c r="H252" s="18">
        <f>ROUND(RAND()*4+6,1)</f>
      </c>
      <c r="I252" s="17" t="s">
        <v>19</v>
      </c>
      <c r="J252" s="19">
        <f>ROUND(74*1,0)&amp;"%"</f>
      </c>
    </row>
    <row x14ac:dyDescent="0.25" r="253" customHeight="1" ht="17.25">
      <c r="A253" s="20" t="s">
        <v>7817</v>
      </c>
      <c r="B253" s="20" t="s">
        <v>418</v>
      </c>
      <c r="C253" s="20" t="s">
        <v>152</v>
      </c>
      <c r="D253" s="20" t="s">
        <v>22</v>
      </c>
      <c r="E253" s="22">
        <f>ROUND(4380*1.05,2)</f>
      </c>
      <c r="F253" s="20" t="s">
        <v>51</v>
      </c>
      <c r="G253" s="20" t="s">
        <v>24</v>
      </c>
      <c r="H253" s="21">
        <f>ROUND(RAND()*4+6,1)</f>
      </c>
      <c r="I253" s="20" t="s">
        <v>25</v>
      </c>
      <c r="J253" s="23">
        <f>ROUND(87*1,0)&amp;"%"</f>
      </c>
    </row>
    <row x14ac:dyDescent="0.25" r="254" customHeight="1" ht="17.25">
      <c r="A254" s="24" t="s">
        <v>419</v>
      </c>
      <c r="B254" s="24"/>
      <c r="C254" s="24"/>
      <c r="D254" s="24"/>
      <c r="E254" s="25">
        <v>8</v>
      </c>
      <c r="F254" s="9"/>
      <c r="G254" s="9"/>
      <c r="H254" s="10"/>
      <c r="I254" s="9"/>
      <c r="J254" s="9"/>
    </row>
    <row x14ac:dyDescent="0.25" r="255" customHeight="1" ht="17.25">
      <c r="A255" s="7"/>
      <c r="B255" s="7"/>
      <c r="C255" s="7"/>
      <c r="D255" s="7"/>
      <c r="E255" s="8"/>
      <c r="F255" s="9"/>
      <c r="G255" s="9"/>
      <c r="H255" s="10"/>
      <c r="I255" s="9"/>
      <c r="J255" s="9"/>
    </row>
    <row x14ac:dyDescent="0.25" r="256" customHeight="1" ht="17.25">
      <c r="A256" s="11" t="s">
        <v>7818</v>
      </c>
      <c r="B256" s="11"/>
      <c r="C256" s="11"/>
      <c r="D256" s="11"/>
      <c r="E256" s="12"/>
      <c r="F256" s="11"/>
      <c r="G256" s="11"/>
      <c r="H256" s="13"/>
      <c r="I256" s="11"/>
      <c r="J256" s="11"/>
    </row>
    <row x14ac:dyDescent="0.25" r="257" customHeight="1" ht="17.25">
      <c r="A257" s="14" t="s">
        <v>3</v>
      </c>
      <c r="B257" s="14" t="s">
        <v>4</v>
      </c>
      <c r="C257" s="14" t="s">
        <v>5</v>
      </c>
      <c r="D257" s="14" t="s">
        <v>6</v>
      </c>
      <c r="E257" s="15" t="s">
        <v>7</v>
      </c>
      <c r="F257" s="14" t="s">
        <v>8</v>
      </c>
      <c r="G257" s="14" t="s">
        <v>9</v>
      </c>
      <c r="H257" s="16" t="s">
        <v>10</v>
      </c>
      <c r="I257" s="14" t="s">
        <v>11</v>
      </c>
      <c r="J257" s="14" t="s">
        <v>12</v>
      </c>
    </row>
    <row x14ac:dyDescent="0.25" r="258" customHeight="1" ht="17.25">
      <c r="A258" s="17" t="s">
        <v>7819</v>
      </c>
      <c r="B258" s="17" t="s">
        <v>422</v>
      </c>
      <c r="C258" s="17" t="s">
        <v>15</v>
      </c>
      <c r="D258" s="17" t="s">
        <v>16</v>
      </c>
      <c r="E258" s="18">
        <f>ROUND(17946*1.05,2)</f>
      </c>
      <c r="F258" s="17" t="s">
        <v>17</v>
      </c>
      <c r="G258" s="17" t="s">
        <v>18</v>
      </c>
      <c r="H258" s="18">
        <f>ROUND(RAND()*4+6,1)</f>
      </c>
      <c r="I258" s="17" t="s">
        <v>19</v>
      </c>
      <c r="J258" s="19">
        <f>ROUND(82*1,0)&amp;"%"</f>
      </c>
    </row>
    <row x14ac:dyDescent="0.25" r="259" customHeight="1" ht="17.25">
      <c r="A259" s="20" t="s">
        <v>7820</v>
      </c>
      <c r="B259" s="20" t="s">
        <v>424</v>
      </c>
      <c r="C259" s="20" t="s">
        <v>15</v>
      </c>
      <c r="D259" s="20" t="s">
        <v>22</v>
      </c>
      <c r="E259" s="21">
        <f>ROUND(14287*1.05,2)</f>
      </c>
      <c r="F259" s="20" t="s">
        <v>23</v>
      </c>
      <c r="G259" s="20" t="s">
        <v>24</v>
      </c>
      <c r="H259" s="22">
        <f>ROUND(RAND()*4+6,1)</f>
      </c>
      <c r="I259" s="20" t="s">
        <v>25</v>
      </c>
      <c r="J259" s="23">
        <f>ROUND(81*1,0)&amp;"%"</f>
      </c>
    </row>
    <row x14ac:dyDescent="0.25" r="260" customHeight="1" ht="17.25">
      <c r="A260" s="17" t="s">
        <v>7821</v>
      </c>
      <c r="B260" s="17" t="s">
        <v>426</v>
      </c>
      <c r="C260" s="17" t="s">
        <v>15</v>
      </c>
      <c r="D260" s="17" t="s">
        <v>28</v>
      </c>
      <c r="E260" s="26">
        <f>ROUND(13820*1.05,2)</f>
      </c>
      <c r="F260" s="17" t="s">
        <v>29</v>
      </c>
      <c r="G260" s="17" t="s">
        <v>30</v>
      </c>
      <c r="H260" s="18">
        <f>ROUND(RAND()*4+6,1)</f>
      </c>
      <c r="I260" s="17" t="s">
        <v>31</v>
      </c>
      <c r="J260" s="19">
        <f>ROUND(97*1,0)&amp;"%"</f>
      </c>
    </row>
    <row x14ac:dyDescent="0.25" r="261" customHeight="1" ht="17.25">
      <c r="A261" s="20" t="s">
        <v>7822</v>
      </c>
      <c r="B261" s="20" t="s">
        <v>428</v>
      </c>
      <c r="C261" s="20" t="s">
        <v>15</v>
      </c>
      <c r="D261" s="20" t="s">
        <v>34</v>
      </c>
      <c r="E261" s="21">
        <f>ROUND(17858*1.05,2)</f>
      </c>
      <c r="F261" s="20" t="s">
        <v>35</v>
      </c>
      <c r="G261" s="20" t="s">
        <v>18</v>
      </c>
      <c r="H261" s="21">
        <f>ROUND(RAND()*4+6,1)</f>
      </c>
      <c r="I261" s="20" t="s">
        <v>36</v>
      </c>
      <c r="J261" s="23">
        <f>ROUND(85*1,0)&amp;"%"</f>
      </c>
    </row>
    <row x14ac:dyDescent="0.25" r="262" customHeight="1" ht="17.25">
      <c r="A262" s="17" t="s">
        <v>7823</v>
      </c>
      <c r="B262" s="17" t="s">
        <v>430</v>
      </c>
      <c r="C262" s="17" t="s">
        <v>15</v>
      </c>
      <c r="D262" s="17" t="s">
        <v>39</v>
      </c>
      <c r="E262" s="18">
        <f>ROUND(10616*1.05,2)</f>
      </c>
      <c r="F262" s="17" t="s">
        <v>40</v>
      </c>
      <c r="G262" s="17" t="s">
        <v>24</v>
      </c>
      <c r="H262" s="18">
        <f>ROUND(RAND()*4+6,1)</f>
      </c>
      <c r="I262" s="17" t="s">
        <v>41</v>
      </c>
      <c r="J262" s="19">
        <f>ROUND(61*1,0)&amp;"%"</f>
      </c>
    </row>
    <row x14ac:dyDescent="0.25" r="263" customHeight="1" ht="17.25">
      <c r="A263" s="20" t="s">
        <v>7824</v>
      </c>
      <c r="B263" s="20" t="s">
        <v>432</v>
      </c>
      <c r="C263" s="20" t="s">
        <v>15</v>
      </c>
      <c r="D263" s="20" t="s">
        <v>67</v>
      </c>
      <c r="E263" s="21">
        <f>ROUND(10202*1.05,2)</f>
      </c>
      <c r="F263" s="20" t="s">
        <v>44</v>
      </c>
      <c r="G263" s="20" t="s">
        <v>30</v>
      </c>
      <c r="H263" s="21">
        <f>ROUND(RAND()*4+6,1)</f>
      </c>
      <c r="I263" s="20" t="s">
        <v>45</v>
      </c>
      <c r="J263" s="23">
        <f>ROUND(67*1,0)&amp;"%"</f>
      </c>
    </row>
    <row x14ac:dyDescent="0.25" r="264" customHeight="1" ht="17.25">
      <c r="A264" s="17" t="s">
        <v>7825</v>
      </c>
      <c r="B264" s="17" t="s">
        <v>434</v>
      </c>
      <c r="C264" s="17" t="s">
        <v>15</v>
      </c>
      <c r="D264" s="17" t="s">
        <v>16</v>
      </c>
      <c r="E264" s="18">
        <f>ROUND(13507*1.05,2)</f>
      </c>
      <c r="F264" s="17" t="s">
        <v>48</v>
      </c>
      <c r="G264" s="17" t="s">
        <v>18</v>
      </c>
      <c r="H264" s="18">
        <f>ROUND(RAND()*4+6,1)</f>
      </c>
      <c r="I264" s="17" t="s">
        <v>19</v>
      </c>
      <c r="J264" s="19">
        <f>ROUND(98*1,0)&amp;"%"</f>
      </c>
    </row>
    <row x14ac:dyDescent="0.25" r="265" customHeight="1" ht="17.25">
      <c r="A265" s="20" t="s">
        <v>7826</v>
      </c>
      <c r="B265" s="20" t="s">
        <v>436</v>
      </c>
      <c r="C265" s="20" t="s">
        <v>15</v>
      </c>
      <c r="D265" s="20" t="s">
        <v>22</v>
      </c>
      <c r="E265" s="21">
        <f>ROUND(13953*1.05,2)</f>
      </c>
      <c r="F265" s="20" t="s">
        <v>51</v>
      </c>
      <c r="G265" s="20" t="s">
        <v>24</v>
      </c>
      <c r="H265" s="22">
        <f>ROUND(RAND()*4+6,1)</f>
      </c>
      <c r="I265" s="20" t="s">
        <v>25</v>
      </c>
      <c r="J265" s="23">
        <f>ROUND(65*1,0)&amp;"%"</f>
      </c>
    </row>
    <row x14ac:dyDescent="0.25" r="266" customHeight="1" ht="17.25">
      <c r="A266" s="24" t="s">
        <v>437</v>
      </c>
      <c r="B266" s="24"/>
      <c r="C266" s="24"/>
      <c r="D266" s="24"/>
      <c r="E266" s="25">
        <v>8</v>
      </c>
      <c r="F266" s="9"/>
      <c r="G266" s="9"/>
      <c r="H266" s="10"/>
      <c r="I266" s="9"/>
      <c r="J266" s="9"/>
    </row>
    <row x14ac:dyDescent="0.25" r="267" customHeight="1" ht="17.25">
      <c r="A267" s="7"/>
      <c r="B267" s="7"/>
      <c r="C267" s="7"/>
      <c r="D267" s="7"/>
      <c r="E267" s="8"/>
      <c r="F267" s="9"/>
      <c r="G267" s="9"/>
      <c r="H267" s="10"/>
      <c r="I267" s="9"/>
      <c r="J267" s="9"/>
    </row>
    <row x14ac:dyDescent="0.25" r="268" customHeight="1" ht="17.25">
      <c r="A268" s="11" t="s">
        <v>7827</v>
      </c>
      <c r="B268" s="11"/>
      <c r="C268" s="11"/>
      <c r="D268" s="11"/>
      <c r="E268" s="12"/>
      <c r="F268" s="11"/>
      <c r="G268" s="11"/>
      <c r="H268" s="13"/>
      <c r="I268" s="11"/>
      <c r="J268" s="11"/>
    </row>
    <row x14ac:dyDescent="0.25" r="269" customHeight="1" ht="17.25">
      <c r="A269" s="14" t="s">
        <v>3</v>
      </c>
      <c r="B269" s="14" t="s">
        <v>4</v>
      </c>
      <c r="C269" s="14" t="s">
        <v>5</v>
      </c>
      <c r="D269" s="14" t="s">
        <v>6</v>
      </c>
      <c r="E269" s="15" t="s">
        <v>7</v>
      </c>
      <c r="F269" s="14" t="s">
        <v>8</v>
      </c>
      <c r="G269" s="14" t="s">
        <v>9</v>
      </c>
      <c r="H269" s="16" t="s">
        <v>10</v>
      </c>
      <c r="I269" s="14" t="s">
        <v>11</v>
      </c>
      <c r="J269" s="14" t="s">
        <v>12</v>
      </c>
    </row>
    <row x14ac:dyDescent="0.25" r="270" customHeight="1" ht="17.25">
      <c r="A270" s="17" t="s">
        <v>7828</v>
      </c>
      <c r="B270" s="17" t="s">
        <v>440</v>
      </c>
      <c r="C270" s="17" t="s">
        <v>56</v>
      </c>
      <c r="D270" s="17" t="s">
        <v>16</v>
      </c>
      <c r="E270" s="18">
        <f>ROUND(13145*1.05,2)</f>
      </c>
      <c r="F270" s="17" t="s">
        <v>17</v>
      </c>
      <c r="G270" s="17" t="s">
        <v>18</v>
      </c>
      <c r="H270" s="18">
        <f>ROUND(RAND()*4+6,1)</f>
      </c>
      <c r="I270" s="17" t="s">
        <v>19</v>
      </c>
      <c r="J270" s="19">
        <f>ROUND(61*1,0)&amp;"%"</f>
      </c>
    </row>
    <row x14ac:dyDescent="0.25" r="271" customHeight="1" ht="17.25">
      <c r="A271" s="20" t="s">
        <v>7829</v>
      </c>
      <c r="B271" s="20" t="s">
        <v>442</v>
      </c>
      <c r="C271" s="20" t="s">
        <v>56</v>
      </c>
      <c r="D271" s="20" t="s">
        <v>22</v>
      </c>
      <c r="E271" s="21">
        <f>ROUND(4762*1.05,2)</f>
      </c>
      <c r="F271" s="20" t="s">
        <v>23</v>
      </c>
      <c r="G271" s="20" t="s">
        <v>24</v>
      </c>
      <c r="H271" s="21">
        <f>ROUND(RAND()*4+6,1)</f>
      </c>
      <c r="I271" s="20" t="s">
        <v>25</v>
      </c>
      <c r="J271" s="23">
        <f>ROUND(98*1,0)&amp;"%"</f>
      </c>
    </row>
    <row x14ac:dyDescent="0.25" r="272" customHeight="1" ht="17.25">
      <c r="A272" s="17" t="s">
        <v>7830</v>
      </c>
      <c r="B272" s="17" t="s">
        <v>444</v>
      </c>
      <c r="C272" s="17" t="s">
        <v>56</v>
      </c>
      <c r="D272" s="17" t="s">
        <v>28</v>
      </c>
      <c r="E272" s="18">
        <f>ROUND(10015*1.05,2)</f>
      </c>
      <c r="F272" s="17" t="s">
        <v>29</v>
      </c>
      <c r="G272" s="17" t="s">
        <v>30</v>
      </c>
      <c r="H272" s="18">
        <f>ROUND(RAND()*4+6,1)</f>
      </c>
      <c r="I272" s="17" t="s">
        <v>31</v>
      </c>
      <c r="J272" s="19">
        <f>ROUND(96*1,0)&amp;"%"</f>
      </c>
    </row>
    <row x14ac:dyDescent="0.25" r="273" customHeight="1" ht="17.25">
      <c r="A273" s="20" t="s">
        <v>7831</v>
      </c>
      <c r="B273" s="20" t="s">
        <v>446</v>
      </c>
      <c r="C273" s="20" t="s">
        <v>56</v>
      </c>
      <c r="D273" s="20" t="s">
        <v>34</v>
      </c>
      <c r="E273" s="21">
        <f>ROUND(16622*1.05,2)</f>
      </c>
      <c r="F273" s="20" t="s">
        <v>35</v>
      </c>
      <c r="G273" s="20" t="s">
        <v>18</v>
      </c>
      <c r="H273" s="21">
        <f>ROUND(RAND()*4+6,1)</f>
      </c>
      <c r="I273" s="20" t="s">
        <v>36</v>
      </c>
      <c r="J273" s="23">
        <f>ROUND(79*1,0)&amp;"%"</f>
      </c>
    </row>
    <row x14ac:dyDescent="0.25" r="274" customHeight="1" ht="17.25">
      <c r="A274" s="17" t="s">
        <v>7832</v>
      </c>
      <c r="B274" s="17" t="s">
        <v>448</v>
      </c>
      <c r="C274" s="17" t="s">
        <v>56</v>
      </c>
      <c r="D274" s="17" t="s">
        <v>39</v>
      </c>
      <c r="E274" s="18">
        <f>ROUND(12751*1.05,2)</f>
      </c>
      <c r="F274" s="17" t="s">
        <v>40</v>
      </c>
      <c r="G274" s="17" t="s">
        <v>24</v>
      </c>
      <c r="H274" s="18">
        <f>ROUND(RAND()*4+6,1)</f>
      </c>
      <c r="I274" s="17" t="s">
        <v>41</v>
      </c>
      <c r="J274" s="19">
        <f>ROUND(70*1,0)&amp;"%"</f>
      </c>
    </row>
    <row x14ac:dyDescent="0.25" r="275" customHeight="1" ht="17.25">
      <c r="A275" s="20" t="s">
        <v>7833</v>
      </c>
      <c r="B275" s="20" t="s">
        <v>450</v>
      </c>
      <c r="C275" s="20" t="s">
        <v>56</v>
      </c>
      <c r="D275" s="20" t="s">
        <v>67</v>
      </c>
      <c r="E275" s="21">
        <f>ROUND(16017*1.05,2)</f>
      </c>
      <c r="F275" s="20" t="s">
        <v>44</v>
      </c>
      <c r="G275" s="20" t="s">
        <v>30</v>
      </c>
      <c r="H275" s="21">
        <f>ROUND(RAND()*4+6,1)</f>
      </c>
      <c r="I275" s="20" t="s">
        <v>45</v>
      </c>
      <c r="J275" s="23">
        <f>ROUND(68*1,0)&amp;"%"</f>
      </c>
    </row>
    <row x14ac:dyDescent="0.25" r="276" customHeight="1" ht="17.25">
      <c r="A276" s="17" t="s">
        <v>7834</v>
      </c>
      <c r="B276" s="17" t="s">
        <v>452</v>
      </c>
      <c r="C276" s="17" t="s">
        <v>56</v>
      </c>
      <c r="D276" s="17" t="s">
        <v>16</v>
      </c>
      <c r="E276" s="18">
        <f>ROUND(10979*1.05,2)</f>
      </c>
      <c r="F276" s="17" t="s">
        <v>48</v>
      </c>
      <c r="G276" s="17" t="s">
        <v>18</v>
      </c>
      <c r="H276" s="18">
        <f>ROUND(RAND()*4+6,1)</f>
      </c>
      <c r="I276" s="17" t="s">
        <v>19</v>
      </c>
      <c r="J276" s="19">
        <f>ROUND(86*1,0)&amp;"%"</f>
      </c>
    </row>
    <row x14ac:dyDescent="0.25" r="277" customHeight="1" ht="17.25">
      <c r="A277" s="20" t="s">
        <v>7835</v>
      </c>
      <c r="B277" s="20" t="s">
        <v>454</v>
      </c>
      <c r="C277" s="20" t="s">
        <v>56</v>
      </c>
      <c r="D277" s="20" t="s">
        <v>22</v>
      </c>
      <c r="E277" s="21">
        <f>ROUND(16964*1.05,2)</f>
      </c>
      <c r="F277" s="20" t="s">
        <v>51</v>
      </c>
      <c r="G277" s="20" t="s">
        <v>24</v>
      </c>
      <c r="H277" s="21">
        <f>ROUND(RAND()*4+6,1)</f>
      </c>
      <c r="I277" s="20" t="s">
        <v>25</v>
      </c>
      <c r="J277" s="23">
        <f>ROUND(60*1,0)&amp;"%"</f>
      </c>
    </row>
    <row x14ac:dyDescent="0.25" r="278" customHeight="1" ht="17.25">
      <c r="A278" s="24" t="s">
        <v>455</v>
      </c>
      <c r="B278" s="24"/>
      <c r="C278" s="24"/>
      <c r="D278" s="24"/>
      <c r="E278" s="25">
        <v>8</v>
      </c>
      <c r="F278" s="9"/>
      <c r="G278" s="9"/>
      <c r="H278" s="10"/>
      <c r="I278" s="9"/>
      <c r="J278" s="9"/>
    </row>
    <row x14ac:dyDescent="0.25" r="279" customHeight="1" ht="17.25">
      <c r="A279" s="7"/>
      <c r="B279" s="7"/>
      <c r="C279" s="7"/>
      <c r="D279" s="7"/>
      <c r="E279" s="8"/>
      <c r="F279" s="9"/>
      <c r="G279" s="9"/>
      <c r="H279" s="10"/>
      <c r="I279" s="9"/>
      <c r="J279" s="9"/>
    </row>
    <row x14ac:dyDescent="0.25" r="280" customHeight="1" ht="17.25">
      <c r="A280" s="11" t="s">
        <v>7836</v>
      </c>
      <c r="B280" s="11"/>
      <c r="C280" s="11"/>
      <c r="D280" s="11"/>
      <c r="E280" s="12"/>
      <c r="F280" s="11"/>
      <c r="G280" s="11"/>
      <c r="H280" s="13"/>
      <c r="I280" s="11"/>
      <c r="J280" s="11"/>
    </row>
    <row x14ac:dyDescent="0.25" r="281" customHeight="1" ht="17.25">
      <c r="A281" s="14" t="s">
        <v>3</v>
      </c>
      <c r="B281" s="14" t="s">
        <v>4</v>
      </c>
      <c r="C281" s="14" t="s">
        <v>5</v>
      </c>
      <c r="D281" s="14" t="s">
        <v>6</v>
      </c>
      <c r="E281" s="15" t="s">
        <v>7</v>
      </c>
      <c r="F281" s="14" t="s">
        <v>8</v>
      </c>
      <c r="G281" s="14" t="s">
        <v>9</v>
      </c>
      <c r="H281" s="16" t="s">
        <v>10</v>
      </c>
      <c r="I281" s="14" t="s">
        <v>11</v>
      </c>
      <c r="J281" s="14" t="s">
        <v>12</v>
      </c>
    </row>
    <row x14ac:dyDescent="0.25" r="282" customHeight="1" ht="17.25">
      <c r="A282" s="17" t="s">
        <v>7837</v>
      </c>
      <c r="B282" s="17" t="s">
        <v>458</v>
      </c>
      <c r="C282" s="17" t="s">
        <v>76</v>
      </c>
      <c r="D282" s="17" t="s">
        <v>16</v>
      </c>
      <c r="E282" s="18">
        <f>ROUND(15563*1.05,2)</f>
      </c>
      <c r="F282" s="17" t="s">
        <v>17</v>
      </c>
      <c r="G282" s="17" t="s">
        <v>18</v>
      </c>
      <c r="H282" s="18">
        <f>ROUND(RAND()*4+6,1)</f>
      </c>
      <c r="I282" s="17" t="s">
        <v>19</v>
      </c>
      <c r="J282" s="19">
        <f>ROUND(76*1,0)&amp;"%"</f>
      </c>
    </row>
    <row x14ac:dyDescent="0.25" r="283" customHeight="1" ht="17.25">
      <c r="A283" s="20" t="s">
        <v>7838</v>
      </c>
      <c r="B283" s="20" t="s">
        <v>460</v>
      </c>
      <c r="C283" s="20" t="s">
        <v>76</v>
      </c>
      <c r="D283" s="20" t="s">
        <v>22</v>
      </c>
      <c r="E283" s="21">
        <f>ROUND(8239*1.05,2)</f>
      </c>
      <c r="F283" s="20" t="s">
        <v>23</v>
      </c>
      <c r="G283" s="20" t="s">
        <v>24</v>
      </c>
      <c r="H283" s="21">
        <f>ROUND(RAND()*4+6,1)</f>
      </c>
      <c r="I283" s="20" t="s">
        <v>25</v>
      </c>
      <c r="J283" s="23">
        <f>ROUND(83*1,0)&amp;"%"</f>
      </c>
    </row>
    <row x14ac:dyDescent="0.25" r="284" customHeight="1" ht="17.25">
      <c r="A284" s="17" t="s">
        <v>7839</v>
      </c>
      <c r="B284" s="17" t="s">
        <v>462</v>
      </c>
      <c r="C284" s="17" t="s">
        <v>76</v>
      </c>
      <c r="D284" s="17" t="s">
        <v>28</v>
      </c>
      <c r="E284" s="18">
        <f>ROUND(10427*1.05,2)</f>
      </c>
      <c r="F284" s="17" t="s">
        <v>29</v>
      </c>
      <c r="G284" s="17" t="s">
        <v>30</v>
      </c>
      <c r="H284" s="18">
        <f>ROUND(RAND()*4+6,1)</f>
      </c>
      <c r="I284" s="17" t="s">
        <v>31</v>
      </c>
      <c r="J284" s="19">
        <f>ROUND(96*1,0)&amp;"%"</f>
      </c>
    </row>
    <row x14ac:dyDescent="0.25" r="285" customHeight="1" ht="17.25">
      <c r="A285" s="20" t="s">
        <v>7840</v>
      </c>
      <c r="B285" s="20" t="s">
        <v>464</v>
      </c>
      <c r="C285" s="20" t="s">
        <v>76</v>
      </c>
      <c r="D285" s="20" t="s">
        <v>34</v>
      </c>
      <c r="E285" s="21">
        <f>ROUND(10559*1.05,2)</f>
      </c>
      <c r="F285" s="20" t="s">
        <v>35</v>
      </c>
      <c r="G285" s="20" t="s">
        <v>18</v>
      </c>
      <c r="H285" s="21">
        <f>ROUND(RAND()*4+6,1)</f>
      </c>
      <c r="I285" s="20" t="s">
        <v>36</v>
      </c>
      <c r="J285" s="23">
        <f>ROUND(66*1,0)&amp;"%"</f>
      </c>
    </row>
    <row x14ac:dyDescent="0.25" r="286" customHeight="1" ht="17.25">
      <c r="A286" s="17" t="s">
        <v>7841</v>
      </c>
      <c r="B286" s="17" t="s">
        <v>466</v>
      </c>
      <c r="C286" s="17" t="s">
        <v>76</v>
      </c>
      <c r="D286" s="17" t="s">
        <v>39</v>
      </c>
      <c r="E286" s="18">
        <f>ROUND(10772*1.05,2)</f>
      </c>
      <c r="F286" s="17" t="s">
        <v>40</v>
      </c>
      <c r="G286" s="17" t="s">
        <v>24</v>
      </c>
      <c r="H286" s="18">
        <f>ROUND(RAND()*4+6,1)</f>
      </c>
      <c r="I286" s="17" t="s">
        <v>41</v>
      </c>
      <c r="J286" s="19">
        <f>ROUND(74*1,0)&amp;"%"</f>
      </c>
    </row>
    <row x14ac:dyDescent="0.25" r="287" customHeight="1" ht="17.25">
      <c r="A287" s="20" t="s">
        <v>7842</v>
      </c>
      <c r="B287" s="20" t="s">
        <v>468</v>
      </c>
      <c r="C287" s="20" t="s">
        <v>76</v>
      </c>
      <c r="D287" s="20" t="s">
        <v>67</v>
      </c>
      <c r="E287" s="21">
        <f>ROUND(6494*1.05,2)</f>
      </c>
      <c r="F287" s="20" t="s">
        <v>44</v>
      </c>
      <c r="G287" s="20" t="s">
        <v>30</v>
      </c>
      <c r="H287" s="21">
        <f>ROUND(RAND()*4+6,1)</f>
      </c>
      <c r="I287" s="20" t="s">
        <v>45</v>
      </c>
      <c r="J287" s="23">
        <f>ROUND(64*1,0)&amp;"%"</f>
      </c>
    </row>
    <row x14ac:dyDescent="0.25" r="288" customHeight="1" ht="17.25">
      <c r="A288" s="17" t="s">
        <v>7843</v>
      </c>
      <c r="B288" s="17" t="s">
        <v>470</v>
      </c>
      <c r="C288" s="17" t="s">
        <v>76</v>
      </c>
      <c r="D288" s="17" t="s">
        <v>16</v>
      </c>
      <c r="E288" s="18">
        <f>ROUND(17592*1.05,2)</f>
      </c>
      <c r="F288" s="17" t="s">
        <v>48</v>
      </c>
      <c r="G288" s="17" t="s">
        <v>18</v>
      </c>
      <c r="H288" s="18">
        <f>ROUND(RAND()*4+6,1)</f>
      </c>
      <c r="I288" s="17" t="s">
        <v>19</v>
      </c>
      <c r="J288" s="19">
        <f>ROUND(91*1,0)&amp;"%"</f>
      </c>
    </row>
    <row x14ac:dyDescent="0.25" r="289" customHeight="1" ht="17.25">
      <c r="A289" s="20" t="s">
        <v>7844</v>
      </c>
      <c r="B289" s="20" t="s">
        <v>472</v>
      </c>
      <c r="C289" s="20" t="s">
        <v>76</v>
      </c>
      <c r="D289" s="20" t="s">
        <v>22</v>
      </c>
      <c r="E289" s="21">
        <f>ROUND(15172*1.05,2)</f>
      </c>
      <c r="F289" s="20" t="s">
        <v>51</v>
      </c>
      <c r="G289" s="20" t="s">
        <v>24</v>
      </c>
      <c r="H289" s="21">
        <f>ROUND(RAND()*4+6,1)</f>
      </c>
      <c r="I289" s="20" t="s">
        <v>25</v>
      </c>
      <c r="J289" s="23">
        <f>ROUND(83*1,0)&amp;"%"</f>
      </c>
    </row>
    <row x14ac:dyDescent="0.25" r="290" customHeight="1" ht="17.25">
      <c r="A290" s="24" t="s">
        <v>473</v>
      </c>
      <c r="B290" s="24"/>
      <c r="C290" s="24"/>
      <c r="D290" s="24"/>
      <c r="E290" s="25">
        <v>8</v>
      </c>
      <c r="F290" s="9"/>
      <c r="G290" s="9"/>
      <c r="H290" s="10"/>
      <c r="I290" s="9"/>
      <c r="J290" s="9"/>
    </row>
    <row x14ac:dyDescent="0.25" r="291" customHeight="1" ht="17.25">
      <c r="A291" s="7"/>
      <c r="B291" s="7"/>
      <c r="C291" s="7"/>
      <c r="D291" s="7"/>
      <c r="E291" s="8"/>
      <c r="F291" s="9"/>
      <c r="G291" s="9"/>
      <c r="H291" s="10"/>
      <c r="I291" s="9"/>
      <c r="J291" s="9"/>
    </row>
    <row x14ac:dyDescent="0.25" r="292" customHeight="1" ht="17.25">
      <c r="A292" s="11" t="s">
        <v>7845</v>
      </c>
      <c r="B292" s="11"/>
      <c r="C292" s="11"/>
      <c r="D292" s="11"/>
      <c r="E292" s="12"/>
      <c r="F292" s="11"/>
      <c r="G292" s="11"/>
      <c r="H292" s="13"/>
      <c r="I292" s="11"/>
      <c r="J292" s="11"/>
    </row>
    <row x14ac:dyDescent="0.25" r="293" customHeight="1" ht="17.25">
      <c r="A293" s="14" t="s">
        <v>3</v>
      </c>
      <c r="B293" s="14" t="s">
        <v>4</v>
      </c>
      <c r="C293" s="14" t="s">
        <v>5</v>
      </c>
      <c r="D293" s="14" t="s">
        <v>6</v>
      </c>
      <c r="E293" s="15" t="s">
        <v>7</v>
      </c>
      <c r="F293" s="14" t="s">
        <v>8</v>
      </c>
      <c r="G293" s="14" t="s">
        <v>9</v>
      </c>
      <c r="H293" s="16" t="s">
        <v>10</v>
      </c>
      <c r="I293" s="14" t="s">
        <v>11</v>
      </c>
      <c r="J293" s="14" t="s">
        <v>12</v>
      </c>
    </row>
    <row x14ac:dyDescent="0.25" r="294" customHeight="1" ht="17.25">
      <c r="A294" s="17" t="s">
        <v>7846</v>
      </c>
      <c r="B294" s="17" t="s">
        <v>476</v>
      </c>
      <c r="C294" s="17" t="s">
        <v>95</v>
      </c>
      <c r="D294" s="17" t="s">
        <v>16</v>
      </c>
      <c r="E294" s="18">
        <f>ROUND(14973*1.05,2)</f>
      </c>
      <c r="F294" s="17" t="s">
        <v>17</v>
      </c>
      <c r="G294" s="17" t="s">
        <v>18</v>
      </c>
      <c r="H294" s="18">
        <f>ROUND(RAND()*4+6,1)</f>
      </c>
      <c r="I294" s="17" t="s">
        <v>19</v>
      </c>
      <c r="J294" s="19">
        <f>ROUND(63*1,0)&amp;"%"</f>
      </c>
    </row>
    <row x14ac:dyDescent="0.25" r="295" customHeight="1" ht="17.25">
      <c r="A295" s="20" t="s">
        <v>7847</v>
      </c>
      <c r="B295" s="20" t="s">
        <v>478</v>
      </c>
      <c r="C295" s="20" t="s">
        <v>95</v>
      </c>
      <c r="D295" s="20" t="s">
        <v>22</v>
      </c>
      <c r="E295" s="21">
        <f>ROUND(5884*1.05,2)</f>
      </c>
      <c r="F295" s="20" t="s">
        <v>23</v>
      </c>
      <c r="G295" s="20" t="s">
        <v>24</v>
      </c>
      <c r="H295" s="22">
        <f>ROUND(RAND()*4+6,1)</f>
      </c>
      <c r="I295" s="20" t="s">
        <v>25</v>
      </c>
      <c r="J295" s="23">
        <f>ROUND(61*1,0)&amp;"%"</f>
      </c>
    </row>
    <row x14ac:dyDescent="0.25" r="296" customHeight="1" ht="17.25">
      <c r="A296" s="17" t="s">
        <v>7848</v>
      </c>
      <c r="B296" s="17" t="s">
        <v>480</v>
      </c>
      <c r="C296" s="17" t="s">
        <v>95</v>
      </c>
      <c r="D296" s="17" t="s">
        <v>28</v>
      </c>
      <c r="E296" s="18">
        <f>ROUND(10012*1.05,2)</f>
      </c>
      <c r="F296" s="17" t="s">
        <v>29</v>
      </c>
      <c r="G296" s="17" t="s">
        <v>30</v>
      </c>
      <c r="H296" s="18">
        <f>ROUND(RAND()*4+6,1)</f>
      </c>
      <c r="I296" s="17" t="s">
        <v>31</v>
      </c>
      <c r="J296" s="19">
        <f>ROUND(94*1,0)&amp;"%"</f>
      </c>
    </row>
    <row x14ac:dyDescent="0.25" r="297" customHeight="1" ht="17.25">
      <c r="A297" s="20" t="s">
        <v>7849</v>
      </c>
      <c r="B297" s="20" t="s">
        <v>482</v>
      </c>
      <c r="C297" s="20" t="s">
        <v>95</v>
      </c>
      <c r="D297" s="20" t="s">
        <v>34</v>
      </c>
      <c r="E297" s="21">
        <f>ROUND(5330*1.05,2)</f>
      </c>
      <c r="F297" s="20" t="s">
        <v>35</v>
      </c>
      <c r="G297" s="20" t="s">
        <v>18</v>
      </c>
      <c r="H297" s="21">
        <f>ROUND(RAND()*4+6,1)</f>
      </c>
      <c r="I297" s="20" t="s">
        <v>36</v>
      </c>
      <c r="J297" s="23">
        <f>ROUND(88*1,0)&amp;"%"</f>
      </c>
    </row>
    <row x14ac:dyDescent="0.25" r="298" customHeight="1" ht="17.25">
      <c r="A298" s="17" t="s">
        <v>7850</v>
      </c>
      <c r="B298" s="17" t="s">
        <v>484</v>
      </c>
      <c r="C298" s="17" t="s">
        <v>95</v>
      </c>
      <c r="D298" s="17" t="s">
        <v>39</v>
      </c>
      <c r="E298" s="18">
        <f>ROUND(7438*1.05,2)</f>
      </c>
      <c r="F298" s="17" t="s">
        <v>40</v>
      </c>
      <c r="G298" s="17" t="s">
        <v>24</v>
      </c>
      <c r="H298" s="18">
        <f>ROUND(RAND()*4+6,1)</f>
      </c>
      <c r="I298" s="17" t="s">
        <v>41</v>
      </c>
      <c r="J298" s="19">
        <f>ROUND(76*1,0)&amp;"%"</f>
      </c>
    </row>
    <row x14ac:dyDescent="0.25" r="299" customHeight="1" ht="17.25">
      <c r="A299" s="20" t="s">
        <v>7851</v>
      </c>
      <c r="B299" s="20" t="s">
        <v>486</v>
      </c>
      <c r="C299" s="20" t="s">
        <v>95</v>
      </c>
      <c r="D299" s="20" t="s">
        <v>67</v>
      </c>
      <c r="E299" s="21">
        <f>ROUND(10992*1.05,2)</f>
      </c>
      <c r="F299" s="20" t="s">
        <v>44</v>
      </c>
      <c r="G299" s="20" t="s">
        <v>30</v>
      </c>
      <c r="H299" s="21">
        <f>ROUND(RAND()*4+6,1)</f>
      </c>
      <c r="I299" s="20" t="s">
        <v>45</v>
      </c>
      <c r="J299" s="23">
        <f>ROUND(69*1,0)&amp;"%"</f>
      </c>
    </row>
    <row x14ac:dyDescent="0.25" r="300" customHeight="1" ht="17.25">
      <c r="A300" s="17" t="s">
        <v>7852</v>
      </c>
      <c r="B300" s="17" t="s">
        <v>488</v>
      </c>
      <c r="C300" s="17" t="s">
        <v>95</v>
      </c>
      <c r="D300" s="17" t="s">
        <v>16</v>
      </c>
      <c r="E300" s="18">
        <f>ROUND(11892*1.05,2)</f>
      </c>
      <c r="F300" s="17" t="s">
        <v>48</v>
      </c>
      <c r="G300" s="17" t="s">
        <v>18</v>
      </c>
      <c r="H300" s="18">
        <f>ROUND(RAND()*4+6,1)</f>
      </c>
      <c r="I300" s="17" t="s">
        <v>19</v>
      </c>
      <c r="J300" s="19">
        <f>ROUND(64*1,0)&amp;"%"</f>
      </c>
    </row>
    <row x14ac:dyDescent="0.25" r="301" customHeight="1" ht="17.25">
      <c r="A301" s="20" t="s">
        <v>7853</v>
      </c>
      <c r="B301" s="20" t="s">
        <v>490</v>
      </c>
      <c r="C301" s="20" t="s">
        <v>95</v>
      </c>
      <c r="D301" s="20" t="s">
        <v>22</v>
      </c>
      <c r="E301" s="22">
        <f>ROUND(15540*1.05,2)</f>
      </c>
      <c r="F301" s="20" t="s">
        <v>51</v>
      </c>
      <c r="G301" s="20" t="s">
        <v>24</v>
      </c>
      <c r="H301" s="21">
        <f>ROUND(RAND()*4+6,1)</f>
      </c>
      <c r="I301" s="20" t="s">
        <v>25</v>
      </c>
      <c r="J301" s="23">
        <f>ROUND(92*1,0)&amp;"%"</f>
      </c>
    </row>
    <row x14ac:dyDescent="0.25" r="302" customHeight="1" ht="17.25">
      <c r="A302" s="24" t="s">
        <v>491</v>
      </c>
      <c r="B302" s="24"/>
      <c r="C302" s="24"/>
      <c r="D302" s="24"/>
      <c r="E302" s="25">
        <v>8</v>
      </c>
      <c r="F302" s="9"/>
      <c r="G302" s="9"/>
      <c r="H302" s="10"/>
      <c r="I302" s="9"/>
      <c r="J302" s="9"/>
    </row>
    <row x14ac:dyDescent="0.25" r="303" customHeight="1" ht="17.25">
      <c r="A303" s="7"/>
      <c r="B303" s="7"/>
      <c r="C303" s="7"/>
      <c r="D303" s="7"/>
      <c r="E303" s="8"/>
      <c r="F303" s="9"/>
      <c r="G303" s="9"/>
      <c r="H303" s="10"/>
      <c r="I303" s="9"/>
      <c r="J303" s="9"/>
    </row>
    <row x14ac:dyDescent="0.25" r="304" customHeight="1" ht="17.25">
      <c r="A304" s="11" t="s">
        <v>7854</v>
      </c>
      <c r="B304" s="11"/>
      <c r="C304" s="11"/>
      <c r="D304" s="11"/>
      <c r="E304" s="12"/>
      <c r="F304" s="11"/>
      <c r="G304" s="11"/>
      <c r="H304" s="13"/>
      <c r="I304" s="11"/>
      <c r="J304" s="11"/>
    </row>
    <row x14ac:dyDescent="0.25" r="305" customHeight="1" ht="17.25">
      <c r="A305" s="14" t="s">
        <v>3</v>
      </c>
      <c r="B305" s="14" t="s">
        <v>4</v>
      </c>
      <c r="C305" s="14" t="s">
        <v>5</v>
      </c>
      <c r="D305" s="14" t="s">
        <v>6</v>
      </c>
      <c r="E305" s="15" t="s">
        <v>7</v>
      </c>
      <c r="F305" s="14" t="s">
        <v>8</v>
      </c>
      <c r="G305" s="14" t="s">
        <v>9</v>
      </c>
      <c r="H305" s="16" t="s">
        <v>10</v>
      </c>
      <c r="I305" s="14" t="s">
        <v>11</v>
      </c>
      <c r="J305" s="14" t="s">
        <v>12</v>
      </c>
    </row>
    <row x14ac:dyDescent="0.25" r="306" customHeight="1" ht="17.25">
      <c r="A306" s="17" t="s">
        <v>7855</v>
      </c>
      <c r="B306" s="17" t="s">
        <v>494</v>
      </c>
      <c r="C306" s="17" t="s">
        <v>114</v>
      </c>
      <c r="D306" s="17" t="s">
        <v>16</v>
      </c>
      <c r="E306" s="18">
        <f>ROUND(6994*1.05,2)</f>
      </c>
      <c r="F306" s="17" t="s">
        <v>17</v>
      </c>
      <c r="G306" s="17" t="s">
        <v>18</v>
      </c>
      <c r="H306" s="26">
        <f>ROUND(RAND()*4+6,1)</f>
      </c>
      <c r="I306" s="17" t="s">
        <v>19</v>
      </c>
      <c r="J306" s="19">
        <f>ROUND(62*1,0)&amp;"%"</f>
      </c>
    </row>
    <row x14ac:dyDescent="0.25" r="307" customHeight="1" ht="17.25">
      <c r="A307" s="20" t="s">
        <v>7856</v>
      </c>
      <c r="B307" s="20" t="s">
        <v>496</v>
      </c>
      <c r="C307" s="20" t="s">
        <v>114</v>
      </c>
      <c r="D307" s="20" t="s">
        <v>22</v>
      </c>
      <c r="E307" s="21">
        <f>ROUND(13054*1.05,2)</f>
      </c>
      <c r="F307" s="20" t="s">
        <v>23</v>
      </c>
      <c r="G307" s="20" t="s">
        <v>24</v>
      </c>
      <c r="H307" s="21">
        <f>ROUND(RAND()*4+6,1)</f>
      </c>
      <c r="I307" s="20" t="s">
        <v>25</v>
      </c>
      <c r="J307" s="23">
        <f>ROUND(96*1,0)&amp;"%"</f>
      </c>
    </row>
    <row x14ac:dyDescent="0.25" r="308" customHeight="1" ht="17.25">
      <c r="A308" s="17" t="s">
        <v>7857</v>
      </c>
      <c r="B308" s="17" t="s">
        <v>498</v>
      </c>
      <c r="C308" s="17" t="s">
        <v>114</v>
      </c>
      <c r="D308" s="17" t="s">
        <v>28</v>
      </c>
      <c r="E308" s="18">
        <f>ROUND(8562*1.05,2)</f>
      </c>
      <c r="F308" s="17" t="s">
        <v>29</v>
      </c>
      <c r="G308" s="17" t="s">
        <v>30</v>
      </c>
      <c r="H308" s="18">
        <f>ROUND(RAND()*4+6,1)</f>
      </c>
      <c r="I308" s="17" t="s">
        <v>31</v>
      </c>
      <c r="J308" s="19">
        <f>ROUND(64*1,0)&amp;"%"</f>
      </c>
    </row>
    <row x14ac:dyDescent="0.25" r="309" customHeight="1" ht="17.25">
      <c r="A309" s="20" t="s">
        <v>7858</v>
      </c>
      <c r="B309" s="20" t="s">
        <v>500</v>
      </c>
      <c r="C309" s="20" t="s">
        <v>114</v>
      </c>
      <c r="D309" s="20" t="s">
        <v>34</v>
      </c>
      <c r="E309" s="21">
        <f>ROUND(7742*1.05,2)</f>
      </c>
      <c r="F309" s="20" t="s">
        <v>35</v>
      </c>
      <c r="G309" s="20" t="s">
        <v>18</v>
      </c>
      <c r="H309" s="21">
        <f>ROUND(RAND()*4+6,1)</f>
      </c>
      <c r="I309" s="20" t="s">
        <v>36</v>
      </c>
      <c r="J309" s="23">
        <f>ROUND(68*1,0)&amp;"%"</f>
      </c>
    </row>
    <row x14ac:dyDescent="0.25" r="310" customHeight="1" ht="17.25">
      <c r="A310" s="17" t="s">
        <v>7859</v>
      </c>
      <c r="B310" s="17" t="s">
        <v>502</v>
      </c>
      <c r="C310" s="17" t="s">
        <v>114</v>
      </c>
      <c r="D310" s="17" t="s">
        <v>39</v>
      </c>
      <c r="E310" s="18">
        <f>ROUND(10339*1.05,2)</f>
      </c>
      <c r="F310" s="17" t="s">
        <v>40</v>
      </c>
      <c r="G310" s="17" t="s">
        <v>24</v>
      </c>
      <c r="H310" s="18">
        <f>ROUND(RAND()*4+6,1)</f>
      </c>
      <c r="I310" s="17" t="s">
        <v>41</v>
      </c>
      <c r="J310" s="19">
        <f>ROUND(89*1,0)&amp;"%"</f>
      </c>
    </row>
    <row x14ac:dyDescent="0.25" r="311" customHeight="1" ht="17.25">
      <c r="A311" s="20" t="s">
        <v>7860</v>
      </c>
      <c r="B311" s="20" t="s">
        <v>504</v>
      </c>
      <c r="C311" s="20" t="s">
        <v>114</v>
      </c>
      <c r="D311" s="20" t="s">
        <v>67</v>
      </c>
      <c r="E311" s="21">
        <f>ROUND(9787*1.05,2)</f>
      </c>
      <c r="F311" s="20" t="s">
        <v>44</v>
      </c>
      <c r="G311" s="20" t="s">
        <v>30</v>
      </c>
      <c r="H311" s="21">
        <f>ROUND(RAND()*4+6,1)</f>
      </c>
      <c r="I311" s="20" t="s">
        <v>45</v>
      </c>
      <c r="J311" s="23">
        <f>ROUND(79*1,0)&amp;"%"</f>
      </c>
    </row>
    <row x14ac:dyDescent="0.25" r="312" customHeight="1" ht="17.25">
      <c r="A312" s="17" t="s">
        <v>7861</v>
      </c>
      <c r="B312" s="17" t="s">
        <v>506</v>
      </c>
      <c r="C312" s="17" t="s">
        <v>114</v>
      </c>
      <c r="D312" s="17" t="s">
        <v>16</v>
      </c>
      <c r="E312" s="18">
        <f>ROUND(5483*1.05,2)</f>
      </c>
      <c r="F312" s="17" t="s">
        <v>48</v>
      </c>
      <c r="G312" s="17" t="s">
        <v>18</v>
      </c>
      <c r="H312" s="18">
        <f>ROUND(RAND()*4+6,1)</f>
      </c>
      <c r="I312" s="17" t="s">
        <v>19</v>
      </c>
      <c r="J312" s="19">
        <f>ROUND(81*1,0)&amp;"%"</f>
      </c>
    </row>
    <row x14ac:dyDescent="0.25" r="313" customHeight="1" ht="17.25">
      <c r="A313" s="20" t="s">
        <v>7862</v>
      </c>
      <c r="B313" s="20" t="s">
        <v>508</v>
      </c>
      <c r="C313" s="20" t="s">
        <v>114</v>
      </c>
      <c r="D313" s="20" t="s">
        <v>22</v>
      </c>
      <c r="E313" s="21">
        <f>ROUND(16244*1.05,2)</f>
      </c>
      <c r="F313" s="20" t="s">
        <v>51</v>
      </c>
      <c r="G313" s="20" t="s">
        <v>24</v>
      </c>
      <c r="H313" s="21">
        <f>ROUND(RAND()*4+6,1)</f>
      </c>
      <c r="I313" s="20" t="s">
        <v>25</v>
      </c>
      <c r="J313" s="23">
        <f>ROUND(72*1,0)&amp;"%"</f>
      </c>
    </row>
    <row x14ac:dyDescent="0.25" r="314" customHeight="1" ht="17.25">
      <c r="A314" s="24" t="s">
        <v>509</v>
      </c>
      <c r="B314" s="24"/>
      <c r="C314" s="24"/>
      <c r="D314" s="24"/>
      <c r="E314" s="25">
        <v>8</v>
      </c>
      <c r="F314" s="9"/>
      <c r="G314" s="9"/>
      <c r="H314" s="10"/>
      <c r="I314" s="9"/>
      <c r="J314" s="9"/>
    </row>
    <row x14ac:dyDescent="0.25" r="315" customHeight="1" ht="17.25">
      <c r="A315" s="7"/>
      <c r="B315" s="7"/>
      <c r="C315" s="7"/>
      <c r="D315" s="7"/>
      <c r="E315" s="8"/>
      <c r="F315" s="9"/>
      <c r="G315" s="9"/>
      <c r="H315" s="10"/>
      <c r="I315" s="9"/>
      <c r="J315" s="9"/>
    </row>
    <row x14ac:dyDescent="0.25" r="316" customHeight="1" ht="17.25">
      <c r="A316" s="11" t="s">
        <v>7863</v>
      </c>
      <c r="B316" s="11"/>
      <c r="C316" s="11"/>
      <c r="D316" s="11"/>
      <c r="E316" s="12"/>
      <c r="F316" s="11"/>
      <c r="G316" s="11"/>
      <c r="H316" s="13"/>
      <c r="I316" s="11"/>
      <c r="J316" s="11"/>
    </row>
    <row x14ac:dyDescent="0.25" r="317" customHeight="1" ht="17.25">
      <c r="A317" s="14" t="s">
        <v>3</v>
      </c>
      <c r="B317" s="14" t="s">
        <v>4</v>
      </c>
      <c r="C317" s="14" t="s">
        <v>5</v>
      </c>
      <c r="D317" s="14" t="s">
        <v>6</v>
      </c>
      <c r="E317" s="15" t="s">
        <v>7</v>
      </c>
      <c r="F317" s="14" t="s">
        <v>8</v>
      </c>
      <c r="G317" s="14" t="s">
        <v>9</v>
      </c>
      <c r="H317" s="16" t="s">
        <v>10</v>
      </c>
      <c r="I317" s="14" t="s">
        <v>11</v>
      </c>
      <c r="J317" s="14" t="s">
        <v>12</v>
      </c>
    </row>
    <row x14ac:dyDescent="0.25" r="318" customHeight="1" ht="17.25">
      <c r="A318" s="17" t="s">
        <v>7864</v>
      </c>
      <c r="B318" s="17" t="s">
        <v>512</v>
      </c>
      <c r="C318" s="17" t="s">
        <v>133</v>
      </c>
      <c r="D318" s="17" t="s">
        <v>16</v>
      </c>
      <c r="E318" s="18">
        <f>ROUND(4931*1.05,2)</f>
      </c>
      <c r="F318" s="17" t="s">
        <v>17</v>
      </c>
      <c r="G318" s="17" t="s">
        <v>18</v>
      </c>
      <c r="H318" s="18">
        <f>ROUND(RAND()*4+6,1)</f>
      </c>
      <c r="I318" s="17" t="s">
        <v>19</v>
      </c>
      <c r="J318" s="19">
        <f>ROUND(90*1,0)&amp;"%"</f>
      </c>
    </row>
    <row x14ac:dyDescent="0.25" r="319" customHeight="1" ht="17.25">
      <c r="A319" s="20" t="s">
        <v>7865</v>
      </c>
      <c r="B319" s="20" t="s">
        <v>514</v>
      </c>
      <c r="C319" s="20" t="s">
        <v>133</v>
      </c>
      <c r="D319" s="20" t="s">
        <v>22</v>
      </c>
      <c r="E319" s="21">
        <f>ROUND(4982*1.05,2)</f>
      </c>
      <c r="F319" s="20" t="s">
        <v>23</v>
      </c>
      <c r="G319" s="20" t="s">
        <v>24</v>
      </c>
      <c r="H319" s="21">
        <f>ROUND(RAND()*4+6,1)</f>
      </c>
      <c r="I319" s="20" t="s">
        <v>25</v>
      </c>
      <c r="J319" s="23">
        <f>ROUND(83*1,0)&amp;"%"</f>
      </c>
    </row>
    <row x14ac:dyDescent="0.25" r="320" customHeight="1" ht="17.25">
      <c r="A320" s="17" t="s">
        <v>7866</v>
      </c>
      <c r="B320" s="17" t="s">
        <v>516</v>
      </c>
      <c r="C320" s="17" t="s">
        <v>133</v>
      </c>
      <c r="D320" s="17" t="s">
        <v>28</v>
      </c>
      <c r="E320" s="18">
        <f>ROUND(4483*1.05,2)</f>
      </c>
      <c r="F320" s="17" t="s">
        <v>29</v>
      </c>
      <c r="G320" s="17" t="s">
        <v>30</v>
      </c>
      <c r="H320" s="18">
        <f>ROUND(RAND()*4+6,1)</f>
      </c>
      <c r="I320" s="17" t="s">
        <v>31</v>
      </c>
      <c r="J320" s="19">
        <f>ROUND(91*1,0)&amp;"%"</f>
      </c>
    </row>
    <row x14ac:dyDescent="0.25" r="321" customHeight="1" ht="17.25">
      <c r="A321" s="20" t="s">
        <v>7867</v>
      </c>
      <c r="B321" s="20" t="s">
        <v>518</v>
      </c>
      <c r="C321" s="20" t="s">
        <v>133</v>
      </c>
      <c r="D321" s="20" t="s">
        <v>34</v>
      </c>
      <c r="E321" s="21">
        <f>ROUND(7629*1.05,2)</f>
      </c>
      <c r="F321" s="20" t="s">
        <v>35</v>
      </c>
      <c r="G321" s="20" t="s">
        <v>18</v>
      </c>
      <c r="H321" s="21">
        <f>ROUND(RAND()*4+6,1)</f>
      </c>
      <c r="I321" s="20" t="s">
        <v>36</v>
      </c>
      <c r="J321" s="23">
        <f>ROUND(71*1,0)&amp;"%"</f>
      </c>
    </row>
    <row x14ac:dyDescent="0.25" r="322" customHeight="1" ht="17.25">
      <c r="A322" s="17" t="s">
        <v>7868</v>
      </c>
      <c r="B322" s="17" t="s">
        <v>520</v>
      </c>
      <c r="C322" s="17" t="s">
        <v>133</v>
      </c>
      <c r="D322" s="17" t="s">
        <v>39</v>
      </c>
      <c r="E322" s="26">
        <f>ROUND(9420*1.05,2)</f>
      </c>
      <c r="F322" s="17" t="s">
        <v>40</v>
      </c>
      <c r="G322" s="17" t="s">
        <v>24</v>
      </c>
      <c r="H322" s="18">
        <f>ROUND(RAND()*4+6,1)</f>
      </c>
      <c r="I322" s="17" t="s">
        <v>41</v>
      </c>
      <c r="J322" s="19">
        <f>ROUND(95*1,0)&amp;"%"</f>
      </c>
    </row>
    <row x14ac:dyDescent="0.25" r="323" customHeight="1" ht="17.25">
      <c r="A323" s="20" t="s">
        <v>7869</v>
      </c>
      <c r="B323" s="20" t="s">
        <v>522</v>
      </c>
      <c r="C323" s="20" t="s">
        <v>133</v>
      </c>
      <c r="D323" s="20" t="s">
        <v>67</v>
      </c>
      <c r="E323" s="21">
        <f>ROUND(15345*1.05,2)</f>
      </c>
      <c r="F323" s="20" t="s">
        <v>44</v>
      </c>
      <c r="G323" s="20" t="s">
        <v>30</v>
      </c>
      <c r="H323" s="21">
        <f>ROUND(RAND()*4+6,1)</f>
      </c>
      <c r="I323" s="20" t="s">
        <v>45</v>
      </c>
      <c r="J323" s="23">
        <f>ROUND(87*1,0)&amp;"%"</f>
      </c>
    </row>
    <row x14ac:dyDescent="0.25" r="324" customHeight="1" ht="17.25">
      <c r="A324" s="17" t="s">
        <v>7870</v>
      </c>
      <c r="B324" s="17" t="s">
        <v>524</v>
      </c>
      <c r="C324" s="17" t="s">
        <v>133</v>
      </c>
      <c r="D324" s="17" t="s">
        <v>16</v>
      </c>
      <c r="E324" s="18">
        <f>ROUND(17128*1.05,2)</f>
      </c>
      <c r="F324" s="17" t="s">
        <v>48</v>
      </c>
      <c r="G324" s="17" t="s">
        <v>18</v>
      </c>
      <c r="H324" s="26">
        <f>ROUND(RAND()*4+6,1)</f>
      </c>
      <c r="I324" s="17" t="s">
        <v>19</v>
      </c>
      <c r="J324" s="19">
        <f>ROUND(85*1,0)&amp;"%"</f>
      </c>
    </row>
    <row x14ac:dyDescent="0.25" r="325" customHeight="1" ht="17.25">
      <c r="A325" s="20" t="s">
        <v>7871</v>
      </c>
      <c r="B325" s="20" t="s">
        <v>526</v>
      </c>
      <c r="C325" s="20" t="s">
        <v>133</v>
      </c>
      <c r="D325" s="20" t="s">
        <v>22</v>
      </c>
      <c r="E325" s="21">
        <f>ROUND(16211*1.05,2)</f>
      </c>
      <c r="F325" s="20" t="s">
        <v>51</v>
      </c>
      <c r="G325" s="20" t="s">
        <v>24</v>
      </c>
      <c r="H325" s="21">
        <f>ROUND(RAND()*4+6,1)</f>
      </c>
      <c r="I325" s="20" t="s">
        <v>25</v>
      </c>
      <c r="J325" s="23">
        <f>ROUND(93*1,0)&amp;"%"</f>
      </c>
    </row>
    <row x14ac:dyDescent="0.25" r="326" customHeight="1" ht="17.25">
      <c r="A326" s="24" t="s">
        <v>527</v>
      </c>
      <c r="B326" s="24"/>
      <c r="C326" s="24"/>
      <c r="D326" s="24"/>
      <c r="E326" s="25">
        <v>8</v>
      </c>
      <c r="F326" s="9"/>
      <c r="G326" s="9"/>
      <c r="H326" s="10"/>
      <c r="I326" s="9"/>
      <c r="J326" s="9"/>
    </row>
    <row x14ac:dyDescent="0.25" r="327" customHeight="1" ht="17.25">
      <c r="A327" s="7"/>
      <c r="B327" s="7"/>
      <c r="C327" s="7"/>
      <c r="D327" s="7"/>
      <c r="E327" s="8"/>
      <c r="F327" s="9"/>
      <c r="G327" s="9"/>
      <c r="H327" s="10"/>
      <c r="I327" s="9"/>
      <c r="J327" s="9"/>
    </row>
    <row x14ac:dyDescent="0.25" r="328" customHeight="1" ht="17.25">
      <c r="A328" s="11" t="s">
        <v>7872</v>
      </c>
      <c r="B328" s="11"/>
      <c r="C328" s="11"/>
      <c r="D328" s="11"/>
      <c r="E328" s="12"/>
      <c r="F328" s="11"/>
      <c r="G328" s="11"/>
      <c r="H328" s="13"/>
      <c r="I328" s="11"/>
      <c r="J328" s="11"/>
    </row>
    <row x14ac:dyDescent="0.25" r="329" customHeight="1" ht="17.25">
      <c r="A329" s="14" t="s">
        <v>3</v>
      </c>
      <c r="B329" s="14" t="s">
        <v>4</v>
      </c>
      <c r="C329" s="14" t="s">
        <v>5</v>
      </c>
      <c r="D329" s="14" t="s">
        <v>6</v>
      </c>
      <c r="E329" s="15" t="s">
        <v>7</v>
      </c>
      <c r="F329" s="14" t="s">
        <v>8</v>
      </c>
      <c r="G329" s="14" t="s">
        <v>9</v>
      </c>
      <c r="H329" s="16" t="s">
        <v>10</v>
      </c>
      <c r="I329" s="14" t="s">
        <v>11</v>
      </c>
      <c r="J329" s="14" t="s">
        <v>12</v>
      </c>
    </row>
    <row x14ac:dyDescent="0.25" r="330" customHeight="1" ht="17.25">
      <c r="A330" s="17" t="s">
        <v>7873</v>
      </c>
      <c r="B330" s="17" t="s">
        <v>530</v>
      </c>
      <c r="C330" s="17" t="s">
        <v>152</v>
      </c>
      <c r="D330" s="17" t="s">
        <v>16</v>
      </c>
      <c r="E330" s="18">
        <f>ROUND(13447*1.05,2)</f>
      </c>
      <c r="F330" s="17" t="s">
        <v>17</v>
      </c>
      <c r="G330" s="17" t="s">
        <v>18</v>
      </c>
      <c r="H330" s="18">
        <f>ROUND(RAND()*4+6,1)</f>
      </c>
      <c r="I330" s="17" t="s">
        <v>19</v>
      </c>
      <c r="J330" s="19">
        <f>ROUND(84*1,0)&amp;"%"</f>
      </c>
    </row>
    <row x14ac:dyDescent="0.25" r="331" customHeight="1" ht="17.25">
      <c r="A331" s="20" t="s">
        <v>7874</v>
      </c>
      <c r="B331" s="20" t="s">
        <v>532</v>
      </c>
      <c r="C331" s="20" t="s">
        <v>152</v>
      </c>
      <c r="D331" s="20" t="s">
        <v>22</v>
      </c>
      <c r="E331" s="21">
        <f>ROUND(11108*1.05,2)</f>
      </c>
      <c r="F331" s="20" t="s">
        <v>23</v>
      </c>
      <c r="G331" s="20" t="s">
        <v>24</v>
      </c>
      <c r="H331" s="21">
        <f>ROUND(RAND()*4+6,1)</f>
      </c>
      <c r="I331" s="20" t="s">
        <v>25</v>
      </c>
      <c r="J331" s="23">
        <f>ROUND(99*1,0)&amp;"%"</f>
      </c>
    </row>
    <row x14ac:dyDescent="0.25" r="332" customHeight="1" ht="17.25">
      <c r="A332" s="17" t="s">
        <v>7875</v>
      </c>
      <c r="B332" s="17" t="s">
        <v>534</v>
      </c>
      <c r="C332" s="17" t="s">
        <v>152</v>
      </c>
      <c r="D332" s="17" t="s">
        <v>28</v>
      </c>
      <c r="E332" s="18">
        <f>ROUND(14284*1.05,2)</f>
      </c>
      <c r="F332" s="17" t="s">
        <v>29</v>
      </c>
      <c r="G332" s="17" t="s">
        <v>30</v>
      </c>
      <c r="H332" s="18">
        <f>ROUND(RAND()*4+6,1)</f>
      </c>
      <c r="I332" s="17" t="s">
        <v>31</v>
      </c>
      <c r="J332" s="19">
        <f>ROUND(68*1,0)&amp;"%"</f>
      </c>
    </row>
    <row x14ac:dyDescent="0.25" r="333" customHeight="1" ht="17.25">
      <c r="A333" s="20" t="s">
        <v>7876</v>
      </c>
      <c r="B333" s="20" t="s">
        <v>536</v>
      </c>
      <c r="C333" s="20" t="s">
        <v>152</v>
      </c>
      <c r="D333" s="20" t="s">
        <v>34</v>
      </c>
      <c r="E333" s="21">
        <f>ROUND(7797*1.05,2)</f>
      </c>
      <c r="F333" s="20" t="s">
        <v>35</v>
      </c>
      <c r="G333" s="20" t="s">
        <v>18</v>
      </c>
      <c r="H333" s="21">
        <f>ROUND(RAND()*4+6,1)</f>
      </c>
      <c r="I333" s="20" t="s">
        <v>36</v>
      </c>
      <c r="J333" s="23">
        <f>ROUND(85*1,0)&amp;"%"</f>
      </c>
    </row>
    <row x14ac:dyDescent="0.25" r="334" customHeight="1" ht="17.25">
      <c r="A334" s="17" t="s">
        <v>7877</v>
      </c>
      <c r="B334" s="17" t="s">
        <v>538</v>
      </c>
      <c r="C334" s="17" t="s">
        <v>152</v>
      </c>
      <c r="D334" s="17" t="s">
        <v>39</v>
      </c>
      <c r="E334" s="26">
        <f>ROUND(12660*1.05,2)</f>
      </c>
      <c r="F334" s="17" t="s">
        <v>40</v>
      </c>
      <c r="G334" s="17" t="s">
        <v>24</v>
      </c>
      <c r="H334" s="26">
        <f>ROUND(RAND()*4+6,1)</f>
      </c>
      <c r="I334" s="17" t="s">
        <v>41</v>
      </c>
      <c r="J334" s="19">
        <f>ROUND(92*1,0)&amp;"%"</f>
      </c>
    </row>
    <row x14ac:dyDescent="0.25" r="335" customHeight="1" ht="17.25">
      <c r="A335" s="20" t="s">
        <v>7878</v>
      </c>
      <c r="B335" s="20" t="s">
        <v>540</v>
      </c>
      <c r="C335" s="20" t="s">
        <v>152</v>
      </c>
      <c r="D335" s="20" t="s">
        <v>67</v>
      </c>
      <c r="E335" s="21">
        <f>ROUND(17481*1.05,2)</f>
      </c>
      <c r="F335" s="20" t="s">
        <v>44</v>
      </c>
      <c r="G335" s="20" t="s">
        <v>30</v>
      </c>
      <c r="H335" s="21">
        <f>ROUND(RAND()*4+6,1)</f>
      </c>
      <c r="I335" s="20" t="s">
        <v>45</v>
      </c>
      <c r="J335" s="23">
        <f>ROUND(80*1,0)&amp;"%"</f>
      </c>
    </row>
    <row x14ac:dyDescent="0.25" r="336" customHeight="1" ht="17.25">
      <c r="A336" s="17" t="s">
        <v>7879</v>
      </c>
      <c r="B336" s="17" t="s">
        <v>542</v>
      </c>
      <c r="C336" s="17" t="s">
        <v>152</v>
      </c>
      <c r="D336" s="17" t="s">
        <v>16</v>
      </c>
      <c r="E336" s="18">
        <f>ROUND(7322*1.05,2)</f>
      </c>
      <c r="F336" s="17" t="s">
        <v>48</v>
      </c>
      <c r="G336" s="17" t="s">
        <v>18</v>
      </c>
      <c r="H336" s="18">
        <f>ROUND(RAND()*4+6,1)</f>
      </c>
      <c r="I336" s="17" t="s">
        <v>19</v>
      </c>
      <c r="J336" s="19">
        <f>ROUND(80*1,0)&amp;"%"</f>
      </c>
    </row>
    <row x14ac:dyDescent="0.25" r="337" customHeight="1" ht="17.25">
      <c r="A337" s="20" t="s">
        <v>7880</v>
      </c>
      <c r="B337" s="20" t="s">
        <v>544</v>
      </c>
      <c r="C337" s="20" t="s">
        <v>152</v>
      </c>
      <c r="D337" s="20" t="s">
        <v>22</v>
      </c>
      <c r="E337" s="21">
        <f>ROUND(9649*1.05,2)</f>
      </c>
      <c r="F337" s="20" t="s">
        <v>51</v>
      </c>
      <c r="G337" s="20" t="s">
        <v>24</v>
      </c>
      <c r="H337" s="21">
        <f>ROUND(RAND()*4+6,1)</f>
      </c>
      <c r="I337" s="20" t="s">
        <v>25</v>
      </c>
      <c r="J337" s="23">
        <f>ROUND(79*1,0)&amp;"%"</f>
      </c>
    </row>
    <row x14ac:dyDescent="0.25" r="338" customHeight="1" ht="17.25">
      <c r="A338" s="24" t="s">
        <v>545</v>
      </c>
      <c r="B338" s="24"/>
      <c r="C338" s="24"/>
      <c r="D338" s="24"/>
      <c r="E338" s="25">
        <v>8</v>
      </c>
      <c r="F338" s="9"/>
      <c r="G338" s="9"/>
      <c r="H338" s="10"/>
      <c r="I338" s="9"/>
      <c r="J338" s="9"/>
    </row>
    <row x14ac:dyDescent="0.25" r="339" customHeight="1" ht="17.25">
      <c r="A339" s="7"/>
      <c r="B339" s="7"/>
      <c r="C339" s="7"/>
      <c r="D339" s="7"/>
      <c r="E339" s="8"/>
      <c r="F339" s="9"/>
      <c r="G339" s="9"/>
      <c r="H339" s="10"/>
      <c r="I339" s="9"/>
      <c r="J339" s="9"/>
    </row>
    <row x14ac:dyDescent="0.25" r="340" customHeight="1" ht="17.25">
      <c r="A340" s="11" t="s">
        <v>7881</v>
      </c>
      <c r="B340" s="11"/>
      <c r="C340" s="11"/>
      <c r="D340" s="11"/>
      <c r="E340" s="12"/>
      <c r="F340" s="11"/>
      <c r="G340" s="11"/>
      <c r="H340" s="13"/>
      <c r="I340" s="11"/>
      <c r="J340" s="11"/>
    </row>
    <row x14ac:dyDescent="0.25" r="341" customHeight="1" ht="17.25">
      <c r="A341" s="14" t="s">
        <v>3</v>
      </c>
      <c r="B341" s="14" t="s">
        <v>4</v>
      </c>
      <c r="C341" s="14" t="s">
        <v>5</v>
      </c>
      <c r="D341" s="14" t="s">
        <v>6</v>
      </c>
      <c r="E341" s="15" t="s">
        <v>7</v>
      </c>
      <c r="F341" s="14" t="s">
        <v>8</v>
      </c>
      <c r="G341" s="14" t="s">
        <v>9</v>
      </c>
      <c r="H341" s="16" t="s">
        <v>10</v>
      </c>
      <c r="I341" s="14" t="s">
        <v>11</v>
      </c>
      <c r="J341" s="14" t="s">
        <v>12</v>
      </c>
    </row>
    <row x14ac:dyDescent="0.25" r="342" customHeight="1" ht="17.25">
      <c r="A342" s="17" t="s">
        <v>7882</v>
      </c>
      <c r="B342" s="17" t="s">
        <v>548</v>
      </c>
      <c r="C342" s="17" t="s">
        <v>15</v>
      </c>
      <c r="D342" s="17" t="s">
        <v>16</v>
      </c>
      <c r="E342" s="18">
        <f>ROUND(4046*1.05,2)</f>
      </c>
      <c r="F342" s="17" t="s">
        <v>17</v>
      </c>
      <c r="G342" s="17" t="s">
        <v>18</v>
      </c>
      <c r="H342" s="18">
        <f>ROUND(RAND()*4+6,1)</f>
      </c>
      <c r="I342" s="17" t="s">
        <v>19</v>
      </c>
      <c r="J342" s="19">
        <f>ROUND(83*1,0)&amp;"%"</f>
      </c>
    </row>
    <row x14ac:dyDescent="0.25" r="343" customHeight="1" ht="17.25">
      <c r="A343" s="20" t="s">
        <v>7883</v>
      </c>
      <c r="B343" s="20" t="s">
        <v>550</v>
      </c>
      <c r="C343" s="20" t="s">
        <v>15</v>
      </c>
      <c r="D343" s="20" t="s">
        <v>22</v>
      </c>
      <c r="E343" s="21">
        <f>ROUND(14585*1.05,2)</f>
      </c>
      <c r="F343" s="20" t="s">
        <v>23</v>
      </c>
      <c r="G343" s="20" t="s">
        <v>24</v>
      </c>
      <c r="H343" s="21">
        <f>ROUND(RAND()*4+6,1)</f>
      </c>
      <c r="I343" s="20" t="s">
        <v>25</v>
      </c>
      <c r="J343" s="23">
        <f>ROUND(78*1,0)&amp;"%"</f>
      </c>
    </row>
    <row x14ac:dyDescent="0.25" r="344" customHeight="1" ht="17.25">
      <c r="A344" s="17" t="s">
        <v>7884</v>
      </c>
      <c r="B344" s="17" t="s">
        <v>552</v>
      </c>
      <c r="C344" s="17" t="s">
        <v>15</v>
      </c>
      <c r="D344" s="17" t="s">
        <v>28</v>
      </c>
      <c r="E344" s="18">
        <f>ROUND(9949*1.05,2)</f>
      </c>
      <c r="F344" s="17" t="s">
        <v>29</v>
      </c>
      <c r="G344" s="17" t="s">
        <v>30</v>
      </c>
      <c r="H344" s="18">
        <f>ROUND(RAND()*4+6,1)</f>
      </c>
      <c r="I344" s="17" t="s">
        <v>31</v>
      </c>
      <c r="J344" s="19">
        <f>ROUND(86*1,0)&amp;"%"</f>
      </c>
    </row>
    <row x14ac:dyDescent="0.25" r="345" customHeight="1" ht="17.25">
      <c r="A345" s="20" t="s">
        <v>7885</v>
      </c>
      <c r="B345" s="20" t="s">
        <v>554</v>
      </c>
      <c r="C345" s="20" t="s">
        <v>15</v>
      </c>
      <c r="D345" s="20" t="s">
        <v>34</v>
      </c>
      <c r="E345" s="22">
        <f>ROUND(6940*1.05,2)</f>
      </c>
      <c r="F345" s="20" t="s">
        <v>35</v>
      </c>
      <c r="G345" s="20" t="s">
        <v>18</v>
      </c>
      <c r="H345" s="21">
        <f>ROUND(RAND()*4+6,1)</f>
      </c>
      <c r="I345" s="20" t="s">
        <v>36</v>
      </c>
      <c r="J345" s="23">
        <f>ROUND(60*1,0)&amp;"%"</f>
      </c>
    </row>
    <row x14ac:dyDescent="0.25" r="346" customHeight="1" ht="17.25">
      <c r="A346" s="17" t="s">
        <v>7886</v>
      </c>
      <c r="B346" s="17" t="s">
        <v>556</v>
      </c>
      <c r="C346" s="17" t="s">
        <v>15</v>
      </c>
      <c r="D346" s="17" t="s">
        <v>39</v>
      </c>
      <c r="E346" s="18">
        <f>ROUND(13254*1.05,2)</f>
      </c>
      <c r="F346" s="17" t="s">
        <v>40</v>
      </c>
      <c r="G346" s="17" t="s">
        <v>24</v>
      </c>
      <c r="H346" s="18">
        <f>ROUND(RAND()*4+6,1)</f>
      </c>
      <c r="I346" s="17" t="s">
        <v>41</v>
      </c>
      <c r="J346" s="19">
        <f>ROUND(79*1,0)&amp;"%"</f>
      </c>
    </row>
    <row x14ac:dyDescent="0.25" r="347" customHeight="1" ht="17.25">
      <c r="A347" s="20" t="s">
        <v>7887</v>
      </c>
      <c r="B347" s="20" t="s">
        <v>558</v>
      </c>
      <c r="C347" s="20" t="s">
        <v>15</v>
      </c>
      <c r="D347" s="20" t="s">
        <v>67</v>
      </c>
      <c r="E347" s="21">
        <f>ROUND(4741*1.05,2)</f>
      </c>
      <c r="F347" s="20" t="s">
        <v>44</v>
      </c>
      <c r="G347" s="20" t="s">
        <v>30</v>
      </c>
      <c r="H347" s="21">
        <f>ROUND(RAND()*4+6,1)</f>
      </c>
      <c r="I347" s="20" t="s">
        <v>45</v>
      </c>
      <c r="J347" s="23">
        <f>ROUND(93*1,0)&amp;"%"</f>
      </c>
    </row>
    <row x14ac:dyDescent="0.25" r="348" customHeight="1" ht="17.25">
      <c r="A348" s="17" t="s">
        <v>7888</v>
      </c>
      <c r="B348" s="17" t="s">
        <v>560</v>
      </c>
      <c r="C348" s="17" t="s">
        <v>15</v>
      </c>
      <c r="D348" s="17" t="s">
        <v>16</v>
      </c>
      <c r="E348" s="18">
        <f>ROUND(11035*1.05,2)</f>
      </c>
      <c r="F348" s="17" t="s">
        <v>48</v>
      </c>
      <c r="G348" s="17" t="s">
        <v>18</v>
      </c>
      <c r="H348" s="18">
        <f>ROUND(RAND()*4+6,1)</f>
      </c>
      <c r="I348" s="17" t="s">
        <v>19</v>
      </c>
      <c r="J348" s="19">
        <f>ROUND(95*1,0)&amp;"%"</f>
      </c>
    </row>
    <row x14ac:dyDescent="0.25" r="349" customHeight="1" ht="17.25">
      <c r="A349" s="20" t="s">
        <v>7889</v>
      </c>
      <c r="B349" s="20" t="s">
        <v>562</v>
      </c>
      <c r="C349" s="20" t="s">
        <v>15</v>
      </c>
      <c r="D349" s="20" t="s">
        <v>22</v>
      </c>
      <c r="E349" s="21">
        <f>ROUND(7621*1.05,2)</f>
      </c>
      <c r="F349" s="20" t="s">
        <v>51</v>
      </c>
      <c r="G349" s="20" t="s">
        <v>24</v>
      </c>
      <c r="H349" s="22">
        <f>ROUND(RAND()*4+6,1)</f>
      </c>
      <c r="I349" s="20" t="s">
        <v>25</v>
      </c>
      <c r="J349" s="23">
        <f>ROUND(99*1,0)&amp;"%"</f>
      </c>
    </row>
    <row x14ac:dyDescent="0.25" r="350" customHeight="1" ht="17.25">
      <c r="A350" s="24" t="s">
        <v>563</v>
      </c>
      <c r="B350" s="24"/>
      <c r="C350" s="24"/>
      <c r="D350" s="24"/>
      <c r="E350" s="25">
        <v>8</v>
      </c>
      <c r="F350" s="9"/>
      <c r="G350" s="9"/>
      <c r="H350" s="10"/>
      <c r="I350" s="9"/>
      <c r="J350" s="9"/>
    </row>
    <row x14ac:dyDescent="0.25" r="351" customHeight="1" ht="17.25">
      <c r="A351" s="7"/>
      <c r="B351" s="7"/>
      <c r="C351" s="7"/>
      <c r="D351" s="7"/>
      <c r="E351" s="8"/>
      <c r="F351" s="9"/>
      <c r="G351" s="9"/>
      <c r="H351" s="10"/>
      <c r="I351" s="9"/>
      <c r="J351" s="9"/>
    </row>
    <row x14ac:dyDescent="0.25" r="352" customHeight="1" ht="17.25">
      <c r="A352" s="11" t="s">
        <v>7890</v>
      </c>
      <c r="B352" s="11"/>
      <c r="C352" s="11"/>
      <c r="D352" s="11"/>
      <c r="E352" s="12"/>
      <c r="F352" s="11"/>
      <c r="G352" s="11"/>
      <c r="H352" s="13"/>
      <c r="I352" s="11"/>
      <c r="J352" s="11"/>
    </row>
    <row x14ac:dyDescent="0.25" r="353" customHeight="1" ht="17.25">
      <c r="A353" s="14" t="s">
        <v>3</v>
      </c>
      <c r="B353" s="14" t="s">
        <v>4</v>
      </c>
      <c r="C353" s="14" t="s">
        <v>5</v>
      </c>
      <c r="D353" s="14" t="s">
        <v>6</v>
      </c>
      <c r="E353" s="15" t="s">
        <v>7</v>
      </c>
      <c r="F353" s="14" t="s">
        <v>8</v>
      </c>
      <c r="G353" s="14" t="s">
        <v>9</v>
      </c>
      <c r="H353" s="16" t="s">
        <v>10</v>
      </c>
      <c r="I353" s="14" t="s">
        <v>11</v>
      </c>
      <c r="J353" s="14" t="s">
        <v>12</v>
      </c>
    </row>
    <row x14ac:dyDescent="0.25" r="354" customHeight="1" ht="17.25">
      <c r="A354" s="17" t="s">
        <v>7891</v>
      </c>
      <c r="B354" s="17" t="s">
        <v>566</v>
      </c>
      <c r="C354" s="17" t="s">
        <v>56</v>
      </c>
      <c r="D354" s="17" t="s">
        <v>16</v>
      </c>
      <c r="E354" s="18">
        <f>ROUND(9212*1.05,2)</f>
      </c>
      <c r="F354" s="17" t="s">
        <v>17</v>
      </c>
      <c r="G354" s="17" t="s">
        <v>18</v>
      </c>
      <c r="H354" s="18">
        <f>ROUND(RAND()*4+6,1)</f>
      </c>
      <c r="I354" s="17" t="s">
        <v>19</v>
      </c>
      <c r="J354" s="19">
        <f>ROUND(98*1,0)&amp;"%"</f>
      </c>
    </row>
    <row x14ac:dyDescent="0.25" r="355" customHeight="1" ht="17.25">
      <c r="A355" s="20" t="s">
        <v>7892</v>
      </c>
      <c r="B355" s="20" t="s">
        <v>568</v>
      </c>
      <c r="C355" s="20" t="s">
        <v>56</v>
      </c>
      <c r="D355" s="20" t="s">
        <v>22</v>
      </c>
      <c r="E355" s="21">
        <f>ROUND(7202*1.05,2)</f>
      </c>
      <c r="F355" s="20" t="s">
        <v>23</v>
      </c>
      <c r="G355" s="20" t="s">
        <v>24</v>
      </c>
      <c r="H355" s="21">
        <f>ROUND(RAND()*4+6,1)</f>
      </c>
      <c r="I355" s="20" t="s">
        <v>25</v>
      </c>
      <c r="J355" s="23">
        <f>ROUND(99*1,0)&amp;"%"</f>
      </c>
    </row>
    <row x14ac:dyDescent="0.25" r="356" customHeight="1" ht="17.25">
      <c r="A356" s="17" t="s">
        <v>7893</v>
      </c>
      <c r="B356" s="17" t="s">
        <v>570</v>
      </c>
      <c r="C356" s="17" t="s">
        <v>56</v>
      </c>
      <c r="D356" s="17" t="s">
        <v>28</v>
      </c>
      <c r="E356" s="18">
        <f>ROUND(8086*1.05,2)</f>
      </c>
      <c r="F356" s="17" t="s">
        <v>29</v>
      </c>
      <c r="G356" s="17" t="s">
        <v>30</v>
      </c>
      <c r="H356" s="18">
        <f>ROUND(RAND()*4+6,1)</f>
      </c>
      <c r="I356" s="17" t="s">
        <v>31</v>
      </c>
      <c r="J356" s="19">
        <f>ROUND(69*1,0)&amp;"%"</f>
      </c>
    </row>
    <row x14ac:dyDescent="0.25" r="357" customHeight="1" ht="17.25">
      <c r="A357" s="20" t="s">
        <v>7894</v>
      </c>
      <c r="B357" s="20" t="s">
        <v>572</v>
      </c>
      <c r="C357" s="20" t="s">
        <v>56</v>
      </c>
      <c r="D357" s="20" t="s">
        <v>34</v>
      </c>
      <c r="E357" s="21">
        <f>ROUND(15937*1.05,2)</f>
      </c>
      <c r="F357" s="20" t="s">
        <v>35</v>
      </c>
      <c r="G357" s="20" t="s">
        <v>18</v>
      </c>
      <c r="H357" s="21">
        <f>ROUND(RAND()*4+6,1)</f>
      </c>
      <c r="I357" s="20" t="s">
        <v>36</v>
      </c>
      <c r="J357" s="23">
        <f>ROUND(87*1,0)&amp;"%"</f>
      </c>
    </row>
    <row x14ac:dyDescent="0.25" r="358" customHeight="1" ht="17.25">
      <c r="A358" s="17" t="s">
        <v>7895</v>
      </c>
      <c r="B358" s="17" t="s">
        <v>574</v>
      </c>
      <c r="C358" s="17" t="s">
        <v>56</v>
      </c>
      <c r="D358" s="17" t="s">
        <v>39</v>
      </c>
      <c r="E358" s="18">
        <f>ROUND(9292*1.05,2)</f>
      </c>
      <c r="F358" s="17" t="s">
        <v>40</v>
      </c>
      <c r="G358" s="17" t="s">
        <v>24</v>
      </c>
      <c r="H358" s="18">
        <f>ROUND(RAND()*4+6,1)</f>
      </c>
      <c r="I358" s="17" t="s">
        <v>41</v>
      </c>
      <c r="J358" s="19">
        <f>ROUND(93*1,0)&amp;"%"</f>
      </c>
    </row>
    <row x14ac:dyDescent="0.25" r="359" customHeight="1" ht="17.25">
      <c r="A359" s="20" t="s">
        <v>7896</v>
      </c>
      <c r="B359" s="20" t="s">
        <v>576</v>
      </c>
      <c r="C359" s="20" t="s">
        <v>56</v>
      </c>
      <c r="D359" s="20" t="s">
        <v>67</v>
      </c>
      <c r="E359" s="21">
        <f>ROUND(11657*1.05,2)</f>
      </c>
      <c r="F359" s="20" t="s">
        <v>44</v>
      </c>
      <c r="G359" s="20" t="s">
        <v>30</v>
      </c>
      <c r="H359" s="21">
        <f>ROUND(RAND()*4+6,1)</f>
      </c>
      <c r="I359" s="20" t="s">
        <v>45</v>
      </c>
      <c r="J359" s="23">
        <f>ROUND(60*1,0)&amp;"%"</f>
      </c>
    </row>
    <row x14ac:dyDescent="0.25" r="360" customHeight="1" ht="17.25">
      <c r="A360" s="17" t="s">
        <v>7897</v>
      </c>
      <c r="B360" s="17" t="s">
        <v>578</v>
      </c>
      <c r="C360" s="17" t="s">
        <v>56</v>
      </c>
      <c r="D360" s="17" t="s">
        <v>16</v>
      </c>
      <c r="E360" s="18">
        <f>ROUND(11772*1.05,2)</f>
      </c>
      <c r="F360" s="17" t="s">
        <v>48</v>
      </c>
      <c r="G360" s="17" t="s">
        <v>18</v>
      </c>
      <c r="H360" s="18">
        <f>ROUND(RAND()*4+6,1)</f>
      </c>
      <c r="I360" s="17" t="s">
        <v>19</v>
      </c>
      <c r="J360" s="19">
        <f>ROUND(84*1,0)&amp;"%"</f>
      </c>
    </row>
    <row x14ac:dyDescent="0.25" r="361" customHeight="1" ht="17.25">
      <c r="A361" s="20" t="s">
        <v>7898</v>
      </c>
      <c r="B361" s="20" t="s">
        <v>580</v>
      </c>
      <c r="C361" s="20" t="s">
        <v>56</v>
      </c>
      <c r="D361" s="20" t="s">
        <v>22</v>
      </c>
      <c r="E361" s="21">
        <f>ROUND(11428*1.05,2)</f>
      </c>
      <c r="F361" s="20" t="s">
        <v>51</v>
      </c>
      <c r="G361" s="20" t="s">
        <v>24</v>
      </c>
      <c r="H361" s="21">
        <f>ROUND(RAND()*4+6,1)</f>
      </c>
      <c r="I361" s="20" t="s">
        <v>25</v>
      </c>
      <c r="J361" s="23">
        <f>ROUND(73*1,0)&amp;"%"</f>
      </c>
    </row>
    <row x14ac:dyDescent="0.25" r="362" customHeight="1" ht="17.25">
      <c r="A362" s="24" t="s">
        <v>581</v>
      </c>
      <c r="B362" s="24"/>
      <c r="C362" s="24"/>
      <c r="D362" s="24"/>
      <c r="E362" s="25">
        <v>8</v>
      </c>
      <c r="F362" s="9"/>
      <c r="G362" s="9"/>
      <c r="H362" s="10"/>
      <c r="I362" s="9"/>
      <c r="J362" s="9"/>
    </row>
  </sheetData>
  <mergeCells count="62">
    <mergeCell ref="A1:J1"/>
    <mergeCell ref="A2:J2"/>
    <mergeCell ref="A4:J4"/>
    <mergeCell ref="A14:D14"/>
    <mergeCell ref="A16:J16"/>
    <mergeCell ref="A26:D26"/>
    <mergeCell ref="A28:J28"/>
    <mergeCell ref="A38:D38"/>
    <mergeCell ref="A40:J40"/>
    <mergeCell ref="A50:D50"/>
    <mergeCell ref="A52:J52"/>
    <mergeCell ref="A62:D62"/>
    <mergeCell ref="A64:J64"/>
    <mergeCell ref="A74:D74"/>
    <mergeCell ref="A76:J76"/>
    <mergeCell ref="A86:D86"/>
    <mergeCell ref="A88:J88"/>
    <mergeCell ref="A98:D98"/>
    <mergeCell ref="A100:J100"/>
    <mergeCell ref="A110:D110"/>
    <mergeCell ref="A112:J112"/>
    <mergeCell ref="A122:D122"/>
    <mergeCell ref="A124:J124"/>
    <mergeCell ref="A134:D134"/>
    <mergeCell ref="A136:J136"/>
    <mergeCell ref="A146:D146"/>
    <mergeCell ref="A148:J148"/>
    <mergeCell ref="A158:D158"/>
    <mergeCell ref="A160:J160"/>
    <mergeCell ref="A170:D170"/>
    <mergeCell ref="A172:J172"/>
    <mergeCell ref="A182:D182"/>
    <mergeCell ref="A184:J184"/>
    <mergeCell ref="A194:D194"/>
    <mergeCell ref="A196:J196"/>
    <mergeCell ref="A206:D206"/>
    <mergeCell ref="A208:J208"/>
    <mergeCell ref="A218:D218"/>
    <mergeCell ref="A220:J220"/>
    <mergeCell ref="A230:D230"/>
    <mergeCell ref="A232:J232"/>
    <mergeCell ref="A242:D242"/>
    <mergeCell ref="A244:J244"/>
    <mergeCell ref="A254:D254"/>
    <mergeCell ref="A256:J256"/>
    <mergeCell ref="A266:D266"/>
    <mergeCell ref="A268:J268"/>
    <mergeCell ref="A278:D278"/>
    <mergeCell ref="A280:J280"/>
    <mergeCell ref="A290:D290"/>
    <mergeCell ref="A292:J292"/>
    <mergeCell ref="A302:D302"/>
    <mergeCell ref="A304:J304"/>
    <mergeCell ref="A314:D314"/>
    <mergeCell ref="A316:J316"/>
    <mergeCell ref="A326:D326"/>
    <mergeCell ref="A328:J328"/>
    <mergeCell ref="A338:D338"/>
    <mergeCell ref="A340:J340"/>
    <mergeCell ref="A350:D350"/>
    <mergeCell ref="A352:J352"/>
    <mergeCell ref="A362:D362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J362"/>
  <sheetViews>
    <sheetView workbookViewId="0"/>
  </sheetViews>
  <sheetFormatPr defaultRowHeight="15" x14ac:dyDescent="0.25"/>
  <cols>
    <col min="1" max="1" style="27" width="8.005" customWidth="1" bestFit="1"/>
    <col min="2" max="2" style="27" width="22.005" customWidth="1" bestFit="1"/>
    <col min="3" max="3" style="27" width="16.005" customWidth="1" bestFit="1"/>
    <col min="4" max="4" style="27" width="14.005" customWidth="1" bestFit="1"/>
    <col min="5" max="5" style="28" width="12.005" customWidth="1" bestFit="1"/>
    <col min="6" max="6" style="29" width="16.005" customWidth="1" bestFit="1"/>
    <col min="7" max="7" style="29" width="10.005" customWidth="1" bestFit="1"/>
    <col min="8" max="8" style="30" width="10.005" customWidth="1" bestFit="1"/>
    <col min="9" max="9" style="29" width="14.005" customWidth="1" bestFit="1"/>
    <col min="10" max="10" style="29" width="8.005" customWidth="1" bestFit="1"/>
  </cols>
  <sheetData>
    <row x14ac:dyDescent="0.25" r="1" customHeight="1" ht="17.25">
      <c r="A1" s="1" t="s">
        <v>7357</v>
      </c>
      <c r="B1" s="1"/>
      <c r="C1" s="1"/>
      <c r="D1" s="1"/>
      <c r="E1" s="2"/>
      <c r="F1" s="1"/>
      <c r="G1" s="1"/>
      <c r="H1" s="3"/>
      <c r="I1" s="1"/>
      <c r="J1" s="1"/>
    </row>
    <row x14ac:dyDescent="0.25" r="2" customHeight="1" ht="17.25">
      <c r="A2" s="4" t="s">
        <v>1</v>
      </c>
      <c r="B2" s="4"/>
      <c r="C2" s="4"/>
      <c r="D2" s="4"/>
      <c r="E2" s="5"/>
      <c r="F2" s="4"/>
      <c r="G2" s="4"/>
      <c r="H2" s="6"/>
      <c r="I2" s="4"/>
      <c r="J2" s="4"/>
    </row>
    <row x14ac:dyDescent="0.25" r="3" customHeight="1" ht="17.25">
      <c r="A3" s="7"/>
      <c r="B3" s="7"/>
      <c r="C3" s="7"/>
      <c r="D3" s="7"/>
      <c r="E3" s="8"/>
      <c r="F3" s="9"/>
      <c r="G3" s="9"/>
      <c r="H3" s="10"/>
      <c r="I3" s="9"/>
      <c r="J3" s="9"/>
    </row>
    <row x14ac:dyDescent="0.25" r="4" customHeight="1" ht="17.25">
      <c r="A4" s="11" t="s">
        <v>7358</v>
      </c>
      <c r="B4" s="11"/>
      <c r="C4" s="11"/>
      <c r="D4" s="11"/>
      <c r="E4" s="12"/>
      <c r="F4" s="11"/>
      <c r="G4" s="11"/>
      <c r="H4" s="13"/>
      <c r="I4" s="11"/>
      <c r="J4" s="11"/>
    </row>
    <row x14ac:dyDescent="0.25" r="5" customHeight="1" ht="17.25">
      <c r="A5" s="14" t="s">
        <v>3</v>
      </c>
      <c r="B5" s="14" t="s">
        <v>4</v>
      </c>
      <c r="C5" s="14" t="s">
        <v>5</v>
      </c>
      <c r="D5" s="14" t="s">
        <v>6</v>
      </c>
      <c r="E5" s="15" t="s">
        <v>7</v>
      </c>
      <c r="F5" s="14" t="s">
        <v>8</v>
      </c>
      <c r="G5" s="14" t="s">
        <v>9</v>
      </c>
      <c r="H5" s="16" t="s">
        <v>10</v>
      </c>
      <c r="I5" s="14" t="s">
        <v>11</v>
      </c>
      <c r="J5" s="14" t="s">
        <v>12</v>
      </c>
    </row>
    <row x14ac:dyDescent="0.25" r="6" customHeight="1" ht="17.25">
      <c r="A6" s="17" t="s">
        <v>7359</v>
      </c>
      <c r="B6" s="17" t="s">
        <v>14</v>
      </c>
      <c r="C6" s="17" t="s">
        <v>15</v>
      </c>
      <c r="D6" s="17" t="s">
        <v>16</v>
      </c>
      <c r="E6" s="18">
        <f>ROUND(11614*1.05,2)</f>
      </c>
      <c r="F6" s="17" t="s">
        <v>17</v>
      </c>
      <c r="G6" s="17" t="s">
        <v>18</v>
      </c>
      <c r="H6" s="18">
        <f>ROUND(RAND()*4+6,1)</f>
      </c>
      <c r="I6" s="17" t="s">
        <v>19</v>
      </c>
      <c r="J6" s="19">
        <f>ROUND(63*1,0)&amp;"%"</f>
      </c>
    </row>
    <row x14ac:dyDescent="0.25" r="7" customHeight="1" ht="17.25">
      <c r="A7" s="20" t="s">
        <v>7360</v>
      </c>
      <c r="B7" s="20" t="s">
        <v>21</v>
      </c>
      <c r="C7" s="20" t="s">
        <v>15</v>
      </c>
      <c r="D7" s="20" t="s">
        <v>22</v>
      </c>
      <c r="E7" s="21">
        <f>ROUND(13698*1.05,2)</f>
      </c>
      <c r="F7" s="20" t="s">
        <v>23</v>
      </c>
      <c r="G7" s="20" t="s">
        <v>24</v>
      </c>
      <c r="H7" s="21">
        <f>ROUND(RAND()*4+6,1)</f>
      </c>
      <c r="I7" s="20" t="s">
        <v>25</v>
      </c>
      <c r="J7" s="23">
        <f>ROUND(98*1,0)&amp;"%"</f>
      </c>
    </row>
    <row x14ac:dyDescent="0.25" r="8" customHeight="1" ht="17.25">
      <c r="A8" s="17" t="s">
        <v>7361</v>
      </c>
      <c r="B8" s="17" t="s">
        <v>27</v>
      </c>
      <c r="C8" s="17" t="s">
        <v>15</v>
      </c>
      <c r="D8" s="17" t="s">
        <v>28</v>
      </c>
      <c r="E8" s="18">
        <f>ROUND(12593*1.05,2)</f>
      </c>
      <c r="F8" s="17" t="s">
        <v>29</v>
      </c>
      <c r="G8" s="17" t="s">
        <v>30</v>
      </c>
      <c r="H8" s="18">
        <f>ROUND(RAND()*4+6,1)</f>
      </c>
      <c r="I8" s="17" t="s">
        <v>31</v>
      </c>
      <c r="J8" s="19">
        <f>ROUND(62*1,0)&amp;"%"</f>
      </c>
    </row>
    <row x14ac:dyDescent="0.25" r="9" customHeight="1" ht="17.25">
      <c r="A9" s="20" t="s">
        <v>7362</v>
      </c>
      <c r="B9" s="20" t="s">
        <v>33</v>
      </c>
      <c r="C9" s="20" t="s">
        <v>15</v>
      </c>
      <c r="D9" s="20" t="s">
        <v>34</v>
      </c>
      <c r="E9" s="21">
        <f>ROUND(14585*1.05,2)</f>
      </c>
      <c r="F9" s="20" t="s">
        <v>35</v>
      </c>
      <c r="G9" s="20" t="s">
        <v>18</v>
      </c>
      <c r="H9" s="21">
        <f>ROUND(RAND()*4+6,1)</f>
      </c>
      <c r="I9" s="20" t="s">
        <v>36</v>
      </c>
      <c r="J9" s="23">
        <f>ROUND(73*1,0)&amp;"%"</f>
      </c>
    </row>
    <row x14ac:dyDescent="0.25" r="10" customHeight="1" ht="17.25">
      <c r="A10" s="17" t="s">
        <v>7363</v>
      </c>
      <c r="B10" s="17" t="s">
        <v>38</v>
      </c>
      <c r="C10" s="17" t="s">
        <v>15</v>
      </c>
      <c r="D10" s="17" t="s">
        <v>39</v>
      </c>
      <c r="E10" s="18">
        <f>ROUND(7352*1.05,2)</f>
      </c>
      <c r="F10" s="17" t="s">
        <v>40</v>
      </c>
      <c r="G10" s="17" t="s">
        <v>24</v>
      </c>
      <c r="H10" s="18">
        <f>ROUND(RAND()*4+6,1)</f>
      </c>
      <c r="I10" s="17" t="s">
        <v>41</v>
      </c>
      <c r="J10" s="19">
        <f>ROUND(100*1,0)&amp;"%"</f>
      </c>
    </row>
    <row x14ac:dyDescent="0.25" r="11" customHeight="1" ht="17.25">
      <c r="A11" s="20" t="s">
        <v>7364</v>
      </c>
      <c r="B11" s="20" t="s">
        <v>43</v>
      </c>
      <c r="C11" s="20" t="s">
        <v>15</v>
      </c>
      <c r="D11" s="20" t="s">
        <v>67</v>
      </c>
      <c r="E11" s="21">
        <f>ROUND(7933*1.05,2)</f>
      </c>
      <c r="F11" s="20" t="s">
        <v>44</v>
      </c>
      <c r="G11" s="20" t="s">
        <v>30</v>
      </c>
      <c r="H11" s="21">
        <f>ROUND(RAND()*4+6,1)</f>
      </c>
      <c r="I11" s="20" t="s">
        <v>45</v>
      </c>
      <c r="J11" s="23">
        <f>ROUND(62*1,0)&amp;"%"</f>
      </c>
    </row>
    <row x14ac:dyDescent="0.25" r="12" customHeight="1" ht="17.25">
      <c r="A12" s="17" t="s">
        <v>7365</v>
      </c>
      <c r="B12" s="17" t="s">
        <v>47</v>
      </c>
      <c r="C12" s="17" t="s">
        <v>15</v>
      </c>
      <c r="D12" s="17" t="s">
        <v>16</v>
      </c>
      <c r="E12" s="18">
        <f>ROUND(15903*1.05,2)</f>
      </c>
      <c r="F12" s="17" t="s">
        <v>48</v>
      </c>
      <c r="G12" s="17" t="s">
        <v>18</v>
      </c>
      <c r="H12" s="26">
        <f>ROUND(RAND()*4+6,1)</f>
      </c>
      <c r="I12" s="17" t="s">
        <v>19</v>
      </c>
      <c r="J12" s="19">
        <f>ROUND(79*1,0)&amp;"%"</f>
      </c>
    </row>
    <row x14ac:dyDescent="0.25" r="13" customHeight="1" ht="17.25">
      <c r="A13" s="20" t="s">
        <v>7366</v>
      </c>
      <c r="B13" s="20" t="s">
        <v>50</v>
      </c>
      <c r="C13" s="20" t="s">
        <v>15</v>
      </c>
      <c r="D13" s="20" t="s">
        <v>22</v>
      </c>
      <c r="E13" s="21">
        <f>ROUND(5811*1.05,2)</f>
      </c>
      <c r="F13" s="20" t="s">
        <v>51</v>
      </c>
      <c r="G13" s="20" t="s">
        <v>24</v>
      </c>
      <c r="H13" s="21">
        <f>ROUND(RAND()*4+6,1)</f>
      </c>
      <c r="I13" s="20" t="s">
        <v>25</v>
      </c>
      <c r="J13" s="23">
        <f>ROUND(64*1,0)&amp;"%"</f>
      </c>
    </row>
    <row x14ac:dyDescent="0.25" r="14" customHeight="1" ht="17.25">
      <c r="A14" s="24" t="s">
        <v>52</v>
      </c>
      <c r="B14" s="24"/>
      <c r="C14" s="24"/>
      <c r="D14" s="24"/>
      <c r="E14" s="25">
        <v>8</v>
      </c>
      <c r="F14" s="9"/>
      <c r="G14" s="9"/>
      <c r="H14" s="10"/>
      <c r="I14" s="9"/>
      <c r="J14" s="9"/>
    </row>
    <row x14ac:dyDescent="0.25" r="15" customHeight="1" ht="17.25">
      <c r="A15" s="7"/>
      <c r="B15" s="7"/>
      <c r="C15" s="7"/>
      <c r="D15" s="7"/>
      <c r="E15" s="8"/>
      <c r="F15" s="9"/>
      <c r="G15" s="9"/>
      <c r="H15" s="10"/>
      <c r="I15" s="9"/>
      <c r="J15" s="9"/>
    </row>
    <row x14ac:dyDescent="0.25" r="16" customHeight="1" ht="17.25">
      <c r="A16" s="11" t="s">
        <v>7367</v>
      </c>
      <c r="B16" s="11"/>
      <c r="C16" s="11"/>
      <c r="D16" s="11"/>
      <c r="E16" s="12"/>
      <c r="F16" s="11"/>
      <c r="G16" s="11"/>
      <c r="H16" s="13"/>
      <c r="I16" s="11"/>
      <c r="J16" s="11"/>
    </row>
    <row x14ac:dyDescent="0.25" r="17" customHeight="1" ht="17.25">
      <c r="A17" s="14" t="s">
        <v>3</v>
      </c>
      <c r="B17" s="14" t="s">
        <v>4</v>
      </c>
      <c r="C17" s="14" t="s">
        <v>5</v>
      </c>
      <c r="D17" s="14" t="s">
        <v>6</v>
      </c>
      <c r="E17" s="15" t="s">
        <v>7</v>
      </c>
      <c r="F17" s="14" t="s">
        <v>8</v>
      </c>
      <c r="G17" s="14" t="s">
        <v>9</v>
      </c>
      <c r="H17" s="16" t="s">
        <v>10</v>
      </c>
      <c r="I17" s="14" t="s">
        <v>11</v>
      </c>
      <c r="J17" s="14" t="s">
        <v>12</v>
      </c>
    </row>
    <row x14ac:dyDescent="0.25" r="18" customHeight="1" ht="17.25">
      <c r="A18" s="17" t="s">
        <v>7368</v>
      </c>
      <c r="B18" s="17" t="s">
        <v>55</v>
      </c>
      <c r="C18" s="17" t="s">
        <v>56</v>
      </c>
      <c r="D18" s="17" t="s">
        <v>16</v>
      </c>
      <c r="E18" s="18">
        <f>ROUND(6099*1.05,2)</f>
      </c>
      <c r="F18" s="17" t="s">
        <v>17</v>
      </c>
      <c r="G18" s="17" t="s">
        <v>18</v>
      </c>
      <c r="H18" s="18">
        <f>ROUND(RAND()*4+6,1)</f>
      </c>
      <c r="I18" s="17" t="s">
        <v>19</v>
      </c>
      <c r="J18" s="19">
        <f>ROUND(84*1,0)&amp;"%"</f>
      </c>
    </row>
    <row x14ac:dyDescent="0.25" r="19" customHeight="1" ht="17.25">
      <c r="A19" s="20" t="s">
        <v>7369</v>
      </c>
      <c r="B19" s="20" t="s">
        <v>58</v>
      </c>
      <c r="C19" s="20" t="s">
        <v>56</v>
      </c>
      <c r="D19" s="20" t="s">
        <v>22</v>
      </c>
      <c r="E19" s="21">
        <f>ROUND(13221*1.05,2)</f>
      </c>
      <c r="F19" s="20" t="s">
        <v>23</v>
      </c>
      <c r="G19" s="20" t="s">
        <v>24</v>
      </c>
      <c r="H19" s="21">
        <f>ROUND(RAND()*4+6,1)</f>
      </c>
      <c r="I19" s="20" t="s">
        <v>25</v>
      </c>
      <c r="J19" s="23">
        <f>ROUND(67*1,0)&amp;"%"</f>
      </c>
    </row>
    <row x14ac:dyDescent="0.25" r="20" customHeight="1" ht="17.25">
      <c r="A20" s="17" t="s">
        <v>7370</v>
      </c>
      <c r="B20" s="17" t="s">
        <v>60</v>
      </c>
      <c r="C20" s="17" t="s">
        <v>56</v>
      </c>
      <c r="D20" s="17" t="s">
        <v>28</v>
      </c>
      <c r="E20" s="18">
        <f>ROUND(16365*1.05,2)</f>
      </c>
      <c r="F20" s="17" t="s">
        <v>29</v>
      </c>
      <c r="G20" s="17" t="s">
        <v>30</v>
      </c>
      <c r="H20" s="18">
        <f>ROUND(RAND()*4+6,1)</f>
      </c>
      <c r="I20" s="17" t="s">
        <v>31</v>
      </c>
      <c r="J20" s="19">
        <f>ROUND(81*1,0)&amp;"%"</f>
      </c>
    </row>
    <row x14ac:dyDescent="0.25" r="21" customHeight="1" ht="17.25">
      <c r="A21" s="20" t="s">
        <v>7371</v>
      </c>
      <c r="B21" s="20" t="s">
        <v>62</v>
      </c>
      <c r="C21" s="20" t="s">
        <v>56</v>
      </c>
      <c r="D21" s="20" t="s">
        <v>34</v>
      </c>
      <c r="E21" s="21">
        <f>ROUND(14763*1.05,2)</f>
      </c>
      <c r="F21" s="20" t="s">
        <v>35</v>
      </c>
      <c r="G21" s="20" t="s">
        <v>18</v>
      </c>
      <c r="H21" s="21">
        <f>ROUND(RAND()*4+6,1)</f>
      </c>
      <c r="I21" s="20" t="s">
        <v>36</v>
      </c>
      <c r="J21" s="23">
        <f>ROUND(79*1,0)&amp;"%"</f>
      </c>
    </row>
    <row x14ac:dyDescent="0.25" r="22" customHeight="1" ht="17.25">
      <c r="A22" s="17" t="s">
        <v>7372</v>
      </c>
      <c r="B22" s="17" t="s">
        <v>64</v>
      </c>
      <c r="C22" s="17" t="s">
        <v>56</v>
      </c>
      <c r="D22" s="17" t="s">
        <v>39</v>
      </c>
      <c r="E22" s="18">
        <f>ROUND(9041*1.05,2)</f>
      </c>
      <c r="F22" s="17" t="s">
        <v>40</v>
      </c>
      <c r="G22" s="17" t="s">
        <v>24</v>
      </c>
      <c r="H22" s="18">
        <f>ROUND(RAND()*4+6,1)</f>
      </c>
      <c r="I22" s="17" t="s">
        <v>41</v>
      </c>
      <c r="J22" s="19">
        <f>ROUND(75*1,0)&amp;"%"</f>
      </c>
    </row>
    <row x14ac:dyDescent="0.25" r="23" customHeight="1" ht="17.25">
      <c r="A23" s="20" t="s">
        <v>7373</v>
      </c>
      <c r="B23" s="20" t="s">
        <v>66</v>
      </c>
      <c r="C23" s="20" t="s">
        <v>56</v>
      </c>
      <c r="D23" s="20" t="s">
        <v>67</v>
      </c>
      <c r="E23" s="21">
        <f>ROUND(15951*1.05,2)</f>
      </c>
      <c r="F23" s="20" t="s">
        <v>44</v>
      </c>
      <c r="G23" s="20" t="s">
        <v>30</v>
      </c>
      <c r="H23" s="21">
        <f>ROUND(RAND()*4+6,1)</f>
      </c>
      <c r="I23" s="20" t="s">
        <v>45</v>
      </c>
      <c r="J23" s="23">
        <f>ROUND(83*1,0)&amp;"%"</f>
      </c>
    </row>
    <row x14ac:dyDescent="0.25" r="24" customHeight="1" ht="17.25">
      <c r="A24" s="17" t="s">
        <v>7374</v>
      </c>
      <c r="B24" s="17" t="s">
        <v>69</v>
      </c>
      <c r="C24" s="17" t="s">
        <v>56</v>
      </c>
      <c r="D24" s="17" t="s">
        <v>16</v>
      </c>
      <c r="E24" s="18">
        <f>ROUND(9284*1.05,2)</f>
      </c>
      <c r="F24" s="17" t="s">
        <v>48</v>
      </c>
      <c r="G24" s="17" t="s">
        <v>18</v>
      </c>
      <c r="H24" s="18">
        <f>ROUND(RAND()*4+6,1)</f>
      </c>
      <c r="I24" s="17" t="s">
        <v>19</v>
      </c>
      <c r="J24" s="19">
        <f>ROUND(80*1,0)&amp;"%"</f>
      </c>
    </row>
    <row x14ac:dyDescent="0.25" r="25" customHeight="1" ht="17.25">
      <c r="A25" s="20" t="s">
        <v>7375</v>
      </c>
      <c r="B25" s="20" t="s">
        <v>71</v>
      </c>
      <c r="C25" s="20" t="s">
        <v>56</v>
      </c>
      <c r="D25" s="20" t="s">
        <v>22</v>
      </c>
      <c r="E25" s="21">
        <f>ROUND(16813*1.05,2)</f>
      </c>
      <c r="F25" s="20" t="s">
        <v>51</v>
      </c>
      <c r="G25" s="20" t="s">
        <v>24</v>
      </c>
      <c r="H25" s="21">
        <f>ROUND(RAND()*4+6,1)</f>
      </c>
      <c r="I25" s="20" t="s">
        <v>25</v>
      </c>
      <c r="J25" s="23">
        <f>ROUND(81*1,0)&amp;"%"</f>
      </c>
    </row>
    <row x14ac:dyDescent="0.25" r="26" customHeight="1" ht="17.25">
      <c r="A26" s="24" t="s">
        <v>72</v>
      </c>
      <c r="B26" s="24"/>
      <c r="C26" s="24"/>
      <c r="D26" s="24"/>
      <c r="E26" s="25">
        <v>8</v>
      </c>
      <c r="F26" s="9"/>
      <c r="G26" s="9"/>
      <c r="H26" s="10"/>
      <c r="I26" s="9"/>
      <c r="J26" s="9"/>
    </row>
    <row x14ac:dyDescent="0.25" r="27" customHeight="1" ht="17.25">
      <c r="A27" s="7"/>
      <c r="B27" s="7"/>
      <c r="C27" s="7"/>
      <c r="D27" s="7"/>
      <c r="E27" s="8"/>
      <c r="F27" s="9"/>
      <c r="G27" s="9"/>
      <c r="H27" s="10"/>
      <c r="I27" s="9"/>
      <c r="J27" s="9"/>
    </row>
    <row x14ac:dyDescent="0.25" r="28" customHeight="1" ht="17.25">
      <c r="A28" s="11" t="s">
        <v>7376</v>
      </c>
      <c r="B28" s="11"/>
      <c r="C28" s="11"/>
      <c r="D28" s="11"/>
      <c r="E28" s="12"/>
      <c r="F28" s="11"/>
      <c r="G28" s="11"/>
      <c r="H28" s="13"/>
      <c r="I28" s="11"/>
      <c r="J28" s="11"/>
    </row>
    <row x14ac:dyDescent="0.25" r="29" customHeight="1" ht="17.25">
      <c r="A29" s="14" t="s">
        <v>3</v>
      </c>
      <c r="B29" s="14" t="s">
        <v>4</v>
      </c>
      <c r="C29" s="14" t="s">
        <v>5</v>
      </c>
      <c r="D29" s="14" t="s">
        <v>6</v>
      </c>
      <c r="E29" s="15" t="s">
        <v>7</v>
      </c>
      <c r="F29" s="14" t="s">
        <v>8</v>
      </c>
      <c r="G29" s="14" t="s">
        <v>9</v>
      </c>
      <c r="H29" s="16" t="s">
        <v>10</v>
      </c>
      <c r="I29" s="14" t="s">
        <v>11</v>
      </c>
      <c r="J29" s="14" t="s">
        <v>12</v>
      </c>
    </row>
    <row x14ac:dyDescent="0.25" r="30" customHeight="1" ht="17.25">
      <c r="A30" s="17" t="s">
        <v>7377</v>
      </c>
      <c r="B30" s="17" t="s">
        <v>75</v>
      </c>
      <c r="C30" s="17" t="s">
        <v>76</v>
      </c>
      <c r="D30" s="17" t="s">
        <v>16</v>
      </c>
      <c r="E30" s="18">
        <f>ROUND(7547*1.05,2)</f>
      </c>
      <c r="F30" s="17" t="s">
        <v>17</v>
      </c>
      <c r="G30" s="17" t="s">
        <v>18</v>
      </c>
      <c r="H30" s="18">
        <f>ROUND(RAND()*4+6,1)</f>
      </c>
      <c r="I30" s="17" t="s">
        <v>19</v>
      </c>
      <c r="J30" s="19">
        <f>ROUND(92*1,0)&amp;"%"</f>
      </c>
    </row>
    <row x14ac:dyDescent="0.25" r="31" customHeight="1" ht="17.25">
      <c r="A31" s="20" t="s">
        <v>7378</v>
      </c>
      <c r="B31" s="20" t="s">
        <v>78</v>
      </c>
      <c r="C31" s="20" t="s">
        <v>76</v>
      </c>
      <c r="D31" s="20" t="s">
        <v>22</v>
      </c>
      <c r="E31" s="21">
        <f>ROUND(8942*1.05,2)</f>
      </c>
      <c r="F31" s="20" t="s">
        <v>23</v>
      </c>
      <c r="G31" s="20" t="s">
        <v>24</v>
      </c>
      <c r="H31" s="21">
        <f>ROUND(RAND()*4+6,1)</f>
      </c>
      <c r="I31" s="20" t="s">
        <v>25</v>
      </c>
      <c r="J31" s="23">
        <f>ROUND(88*1,0)&amp;"%"</f>
      </c>
    </row>
    <row x14ac:dyDescent="0.25" r="32" customHeight="1" ht="17.25">
      <c r="A32" s="17" t="s">
        <v>7379</v>
      </c>
      <c r="B32" s="17" t="s">
        <v>80</v>
      </c>
      <c r="C32" s="17" t="s">
        <v>76</v>
      </c>
      <c r="D32" s="17" t="s">
        <v>28</v>
      </c>
      <c r="E32" s="18">
        <f>ROUND(7795*1.05,2)</f>
      </c>
      <c r="F32" s="17" t="s">
        <v>29</v>
      </c>
      <c r="G32" s="17" t="s">
        <v>30</v>
      </c>
      <c r="H32" s="26">
        <f>ROUND(RAND()*4+6,1)</f>
      </c>
      <c r="I32" s="17" t="s">
        <v>31</v>
      </c>
      <c r="J32" s="19">
        <f>ROUND(97*1,0)&amp;"%"</f>
      </c>
    </row>
    <row x14ac:dyDescent="0.25" r="33" customHeight="1" ht="17.25">
      <c r="A33" s="20" t="s">
        <v>7380</v>
      </c>
      <c r="B33" s="20" t="s">
        <v>82</v>
      </c>
      <c r="C33" s="20" t="s">
        <v>76</v>
      </c>
      <c r="D33" s="20" t="s">
        <v>34</v>
      </c>
      <c r="E33" s="21">
        <f>ROUND(5717*1.05,2)</f>
      </c>
      <c r="F33" s="20" t="s">
        <v>35</v>
      </c>
      <c r="G33" s="20" t="s">
        <v>18</v>
      </c>
      <c r="H33" s="21">
        <f>ROUND(RAND()*4+6,1)</f>
      </c>
      <c r="I33" s="20" t="s">
        <v>36</v>
      </c>
      <c r="J33" s="23">
        <f>ROUND(92*1,0)&amp;"%"</f>
      </c>
    </row>
    <row x14ac:dyDescent="0.25" r="34" customHeight="1" ht="17.25">
      <c r="A34" s="17" t="s">
        <v>7381</v>
      </c>
      <c r="B34" s="17" t="s">
        <v>84</v>
      </c>
      <c r="C34" s="17" t="s">
        <v>76</v>
      </c>
      <c r="D34" s="17" t="s">
        <v>39</v>
      </c>
      <c r="E34" s="18">
        <f>ROUND(5872*1.05,2)</f>
      </c>
      <c r="F34" s="17" t="s">
        <v>40</v>
      </c>
      <c r="G34" s="17" t="s">
        <v>24</v>
      </c>
      <c r="H34" s="18">
        <f>ROUND(RAND()*4+6,1)</f>
      </c>
      <c r="I34" s="17" t="s">
        <v>41</v>
      </c>
      <c r="J34" s="19">
        <f>ROUND(100*1,0)&amp;"%"</f>
      </c>
    </row>
    <row x14ac:dyDescent="0.25" r="35" customHeight="1" ht="17.25">
      <c r="A35" s="20" t="s">
        <v>7382</v>
      </c>
      <c r="B35" s="20" t="s">
        <v>86</v>
      </c>
      <c r="C35" s="20" t="s">
        <v>76</v>
      </c>
      <c r="D35" s="20" t="s">
        <v>67</v>
      </c>
      <c r="E35" s="21">
        <f>ROUND(11750*1.05,2)</f>
      </c>
      <c r="F35" s="20" t="s">
        <v>44</v>
      </c>
      <c r="G35" s="20" t="s">
        <v>30</v>
      </c>
      <c r="H35" s="21">
        <f>ROUND(RAND()*4+6,1)</f>
      </c>
      <c r="I35" s="20" t="s">
        <v>45</v>
      </c>
      <c r="J35" s="23">
        <f>ROUND(62*1,0)&amp;"%"</f>
      </c>
    </row>
    <row x14ac:dyDescent="0.25" r="36" customHeight="1" ht="17.25">
      <c r="A36" s="17" t="s">
        <v>7383</v>
      </c>
      <c r="B36" s="17" t="s">
        <v>88</v>
      </c>
      <c r="C36" s="17" t="s">
        <v>76</v>
      </c>
      <c r="D36" s="17" t="s">
        <v>16</v>
      </c>
      <c r="E36" s="18">
        <f>ROUND(15982*1.05,2)</f>
      </c>
      <c r="F36" s="17" t="s">
        <v>48</v>
      </c>
      <c r="G36" s="17" t="s">
        <v>18</v>
      </c>
      <c r="H36" s="18">
        <f>ROUND(RAND()*4+6,1)</f>
      </c>
      <c r="I36" s="17" t="s">
        <v>19</v>
      </c>
      <c r="J36" s="19">
        <f>ROUND(75*1,0)&amp;"%"</f>
      </c>
    </row>
    <row x14ac:dyDescent="0.25" r="37" customHeight="1" ht="17.25">
      <c r="A37" s="20" t="s">
        <v>7384</v>
      </c>
      <c r="B37" s="20" t="s">
        <v>90</v>
      </c>
      <c r="C37" s="20" t="s">
        <v>76</v>
      </c>
      <c r="D37" s="20" t="s">
        <v>22</v>
      </c>
      <c r="E37" s="21">
        <f>ROUND(11038*1.05,2)</f>
      </c>
      <c r="F37" s="20" t="s">
        <v>51</v>
      </c>
      <c r="G37" s="20" t="s">
        <v>24</v>
      </c>
      <c r="H37" s="21">
        <f>ROUND(RAND()*4+6,1)</f>
      </c>
      <c r="I37" s="20" t="s">
        <v>25</v>
      </c>
      <c r="J37" s="23">
        <f>ROUND(67*1,0)&amp;"%"</f>
      </c>
    </row>
    <row x14ac:dyDescent="0.25" r="38" customHeight="1" ht="17.25">
      <c r="A38" s="24" t="s">
        <v>91</v>
      </c>
      <c r="B38" s="24"/>
      <c r="C38" s="24"/>
      <c r="D38" s="24"/>
      <c r="E38" s="25">
        <v>8</v>
      </c>
      <c r="F38" s="9"/>
      <c r="G38" s="9"/>
      <c r="H38" s="10"/>
      <c r="I38" s="9"/>
      <c r="J38" s="9"/>
    </row>
    <row x14ac:dyDescent="0.25" r="39" customHeight="1" ht="17.25">
      <c r="A39" s="7"/>
      <c r="B39" s="7"/>
      <c r="C39" s="7"/>
      <c r="D39" s="7"/>
      <c r="E39" s="8"/>
      <c r="F39" s="9"/>
      <c r="G39" s="9"/>
      <c r="H39" s="10"/>
      <c r="I39" s="9"/>
      <c r="J39" s="9"/>
    </row>
    <row x14ac:dyDescent="0.25" r="40" customHeight="1" ht="17.25">
      <c r="A40" s="11" t="s">
        <v>7385</v>
      </c>
      <c r="B40" s="11"/>
      <c r="C40" s="11"/>
      <c r="D40" s="11"/>
      <c r="E40" s="12"/>
      <c r="F40" s="11"/>
      <c r="G40" s="11"/>
      <c r="H40" s="13"/>
      <c r="I40" s="11"/>
      <c r="J40" s="11"/>
    </row>
    <row x14ac:dyDescent="0.25" r="41" customHeight="1" ht="17.25">
      <c r="A41" s="14" t="s">
        <v>3</v>
      </c>
      <c r="B41" s="14" t="s">
        <v>4</v>
      </c>
      <c r="C41" s="14" t="s">
        <v>5</v>
      </c>
      <c r="D41" s="14" t="s">
        <v>6</v>
      </c>
      <c r="E41" s="15" t="s">
        <v>7</v>
      </c>
      <c r="F41" s="14" t="s">
        <v>8</v>
      </c>
      <c r="G41" s="14" t="s">
        <v>9</v>
      </c>
      <c r="H41" s="16" t="s">
        <v>10</v>
      </c>
      <c r="I41" s="14" t="s">
        <v>11</v>
      </c>
      <c r="J41" s="14" t="s">
        <v>12</v>
      </c>
    </row>
    <row x14ac:dyDescent="0.25" r="42" customHeight="1" ht="17.25">
      <c r="A42" s="17" t="s">
        <v>7386</v>
      </c>
      <c r="B42" s="17" t="s">
        <v>94</v>
      </c>
      <c r="C42" s="17" t="s">
        <v>95</v>
      </c>
      <c r="D42" s="17" t="s">
        <v>16</v>
      </c>
      <c r="E42" s="18">
        <f>ROUND(4592*1.05,2)</f>
      </c>
      <c r="F42" s="17" t="s">
        <v>17</v>
      </c>
      <c r="G42" s="17" t="s">
        <v>18</v>
      </c>
      <c r="H42" s="18">
        <f>ROUND(RAND()*4+6,1)</f>
      </c>
      <c r="I42" s="17" t="s">
        <v>19</v>
      </c>
      <c r="J42" s="19">
        <f>ROUND(71*1,0)&amp;"%"</f>
      </c>
    </row>
    <row x14ac:dyDescent="0.25" r="43" customHeight="1" ht="17.25">
      <c r="A43" s="20" t="s">
        <v>7387</v>
      </c>
      <c r="B43" s="20" t="s">
        <v>97</v>
      </c>
      <c r="C43" s="20" t="s">
        <v>95</v>
      </c>
      <c r="D43" s="20" t="s">
        <v>22</v>
      </c>
      <c r="E43" s="21">
        <f>ROUND(4362*1.05,2)</f>
      </c>
      <c r="F43" s="20" t="s">
        <v>23</v>
      </c>
      <c r="G43" s="20" t="s">
        <v>24</v>
      </c>
      <c r="H43" s="21">
        <f>ROUND(RAND()*4+6,1)</f>
      </c>
      <c r="I43" s="20" t="s">
        <v>25</v>
      </c>
      <c r="J43" s="23">
        <f>ROUND(66*1,0)&amp;"%"</f>
      </c>
    </row>
    <row x14ac:dyDescent="0.25" r="44" customHeight="1" ht="17.25">
      <c r="A44" s="17" t="s">
        <v>7388</v>
      </c>
      <c r="B44" s="17" t="s">
        <v>99</v>
      </c>
      <c r="C44" s="17" t="s">
        <v>95</v>
      </c>
      <c r="D44" s="17" t="s">
        <v>28</v>
      </c>
      <c r="E44" s="18">
        <f>ROUND(14167*1.05,2)</f>
      </c>
      <c r="F44" s="17" t="s">
        <v>29</v>
      </c>
      <c r="G44" s="17" t="s">
        <v>30</v>
      </c>
      <c r="H44" s="18">
        <f>ROUND(RAND()*4+6,1)</f>
      </c>
      <c r="I44" s="17" t="s">
        <v>31</v>
      </c>
      <c r="J44" s="19">
        <f>ROUND(63*1,0)&amp;"%"</f>
      </c>
    </row>
    <row x14ac:dyDescent="0.25" r="45" customHeight="1" ht="17.25">
      <c r="A45" s="20" t="s">
        <v>7389</v>
      </c>
      <c r="B45" s="20" t="s">
        <v>101</v>
      </c>
      <c r="C45" s="20" t="s">
        <v>95</v>
      </c>
      <c r="D45" s="20" t="s">
        <v>34</v>
      </c>
      <c r="E45" s="21">
        <f>ROUND(12706*1.05,2)</f>
      </c>
      <c r="F45" s="20" t="s">
        <v>35</v>
      </c>
      <c r="G45" s="20" t="s">
        <v>18</v>
      </c>
      <c r="H45" s="21">
        <f>ROUND(RAND()*4+6,1)</f>
      </c>
      <c r="I45" s="20" t="s">
        <v>36</v>
      </c>
      <c r="J45" s="23">
        <f>ROUND(91*1,0)&amp;"%"</f>
      </c>
    </row>
    <row x14ac:dyDescent="0.25" r="46" customHeight="1" ht="17.25">
      <c r="A46" s="17" t="s">
        <v>7390</v>
      </c>
      <c r="B46" s="17" t="s">
        <v>103</v>
      </c>
      <c r="C46" s="17" t="s">
        <v>95</v>
      </c>
      <c r="D46" s="17" t="s">
        <v>39</v>
      </c>
      <c r="E46" s="18">
        <f>ROUND(15953*1.05,2)</f>
      </c>
      <c r="F46" s="17" t="s">
        <v>40</v>
      </c>
      <c r="G46" s="17" t="s">
        <v>24</v>
      </c>
      <c r="H46" s="18">
        <f>ROUND(RAND()*4+6,1)</f>
      </c>
      <c r="I46" s="17" t="s">
        <v>41</v>
      </c>
      <c r="J46" s="19">
        <f>ROUND(77*1,0)&amp;"%"</f>
      </c>
    </row>
    <row x14ac:dyDescent="0.25" r="47" customHeight="1" ht="17.25">
      <c r="A47" s="20" t="s">
        <v>7391</v>
      </c>
      <c r="B47" s="20" t="s">
        <v>105</v>
      </c>
      <c r="C47" s="20" t="s">
        <v>95</v>
      </c>
      <c r="D47" s="20" t="s">
        <v>67</v>
      </c>
      <c r="E47" s="21">
        <f>ROUND(13755*1.05,2)</f>
      </c>
      <c r="F47" s="20" t="s">
        <v>44</v>
      </c>
      <c r="G47" s="20" t="s">
        <v>30</v>
      </c>
      <c r="H47" s="21">
        <f>ROUND(RAND()*4+6,1)</f>
      </c>
      <c r="I47" s="20" t="s">
        <v>45</v>
      </c>
      <c r="J47" s="23">
        <f>ROUND(67*1,0)&amp;"%"</f>
      </c>
    </row>
    <row x14ac:dyDescent="0.25" r="48" customHeight="1" ht="17.25">
      <c r="A48" s="17" t="s">
        <v>7392</v>
      </c>
      <c r="B48" s="17" t="s">
        <v>107</v>
      </c>
      <c r="C48" s="17" t="s">
        <v>95</v>
      </c>
      <c r="D48" s="17" t="s">
        <v>16</v>
      </c>
      <c r="E48" s="18">
        <f>ROUND(11735*1.05,2)</f>
      </c>
      <c r="F48" s="17" t="s">
        <v>48</v>
      </c>
      <c r="G48" s="17" t="s">
        <v>18</v>
      </c>
      <c r="H48" s="18">
        <f>ROUND(RAND()*4+6,1)</f>
      </c>
      <c r="I48" s="17" t="s">
        <v>19</v>
      </c>
      <c r="J48" s="19">
        <f>ROUND(89*1,0)&amp;"%"</f>
      </c>
    </row>
    <row x14ac:dyDescent="0.25" r="49" customHeight="1" ht="17.25">
      <c r="A49" s="20" t="s">
        <v>7393</v>
      </c>
      <c r="B49" s="20" t="s">
        <v>109</v>
      </c>
      <c r="C49" s="20" t="s">
        <v>95</v>
      </c>
      <c r="D49" s="20" t="s">
        <v>22</v>
      </c>
      <c r="E49" s="21">
        <f>ROUND(9493*1.05,2)</f>
      </c>
      <c r="F49" s="20" t="s">
        <v>51</v>
      </c>
      <c r="G49" s="20" t="s">
        <v>24</v>
      </c>
      <c r="H49" s="21">
        <f>ROUND(RAND()*4+6,1)</f>
      </c>
      <c r="I49" s="20" t="s">
        <v>25</v>
      </c>
      <c r="J49" s="23">
        <f>ROUND(100*1,0)&amp;"%"</f>
      </c>
    </row>
    <row x14ac:dyDescent="0.25" r="50" customHeight="1" ht="17.25">
      <c r="A50" s="24" t="s">
        <v>110</v>
      </c>
      <c r="B50" s="24"/>
      <c r="C50" s="24"/>
      <c r="D50" s="24"/>
      <c r="E50" s="25">
        <v>8</v>
      </c>
      <c r="F50" s="9"/>
      <c r="G50" s="9"/>
      <c r="H50" s="10"/>
      <c r="I50" s="9"/>
      <c r="J50" s="9"/>
    </row>
    <row x14ac:dyDescent="0.25" r="51" customHeight="1" ht="17.25">
      <c r="A51" s="7"/>
      <c r="B51" s="7"/>
      <c r="C51" s="7"/>
      <c r="D51" s="7"/>
      <c r="E51" s="8"/>
      <c r="F51" s="9"/>
      <c r="G51" s="9"/>
      <c r="H51" s="10"/>
      <c r="I51" s="9"/>
      <c r="J51" s="9"/>
    </row>
    <row x14ac:dyDescent="0.25" r="52" customHeight="1" ht="17.25">
      <c r="A52" s="11" t="s">
        <v>7394</v>
      </c>
      <c r="B52" s="11"/>
      <c r="C52" s="11"/>
      <c r="D52" s="11"/>
      <c r="E52" s="12"/>
      <c r="F52" s="11"/>
      <c r="G52" s="11"/>
      <c r="H52" s="13"/>
      <c r="I52" s="11"/>
      <c r="J52" s="11"/>
    </row>
    <row x14ac:dyDescent="0.25" r="53" customHeight="1" ht="17.25">
      <c r="A53" s="14" t="s">
        <v>3</v>
      </c>
      <c r="B53" s="14" t="s">
        <v>4</v>
      </c>
      <c r="C53" s="14" t="s">
        <v>5</v>
      </c>
      <c r="D53" s="14" t="s">
        <v>6</v>
      </c>
      <c r="E53" s="15" t="s">
        <v>7</v>
      </c>
      <c r="F53" s="14" t="s">
        <v>8</v>
      </c>
      <c r="G53" s="14" t="s">
        <v>9</v>
      </c>
      <c r="H53" s="16" t="s">
        <v>10</v>
      </c>
      <c r="I53" s="14" t="s">
        <v>11</v>
      </c>
      <c r="J53" s="14" t="s">
        <v>12</v>
      </c>
    </row>
    <row x14ac:dyDescent="0.25" r="54" customHeight="1" ht="17.25">
      <c r="A54" s="17" t="s">
        <v>7395</v>
      </c>
      <c r="B54" s="17" t="s">
        <v>113</v>
      </c>
      <c r="C54" s="17" t="s">
        <v>114</v>
      </c>
      <c r="D54" s="17" t="s">
        <v>16</v>
      </c>
      <c r="E54" s="18">
        <f>ROUND(12815*1.05,2)</f>
      </c>
      <c r="F54" s="17" t="s">
        <v>17</v>
      </c>
      <c r="G54" s="17" t="s">
        <v>18</v>
      </c>
      <c r="H54" s="18">
        <f>ROUND(RAND()*4+6,1)</f>
      </c>
      <c r="I54" s="17" t="s">
        <v>19</v>
      </c>
      <c r="J54" s="19">
        <f>ROUND(80*1,0)&amp;"%"</f>
      </c>
    </row>
    <row x14ac:dyDescent="0.25" r="55" customHeight="1" ht="17.25">
      <c r="A55" s="20" t="s">
        <v>7396</v>
      </c>
      <c r="B55" s="20" t="s">
        <v>116</v>
      </c>
      <c r="C55" s="20" t="s">
        <v>114</v>
      </c>
      <c r="D55" s="20" t="s">
        <v>22</v>
      </c>
      <c r="E55" s="21">
        <f>ROUND(5761*1.05,2)</f>
      </c>
      <c r="F55" s="20" t="s">
        <v>23</v>
      </c>
      <c r="G55" s="20" t="s">
        <v>24</v>
      </c>
      <c r="H55" s="21">
        <f>ROUND(RAND()*4+6,1)</f>
      </c>
      <c r="I55" s="20" t="s">
        <v>25</v>
      </c>
      <c r="J55" s="23">
        <f>ROUND(60*1,0)&amp;"%"</f>
      </c>
    </row>
    <row x14ac:dyDescent="0.25" r="56" customHeight="1" ht="17.25">
      <c r="A56" s="17" t="s">
        <v>7397</v>
      </c>
      <c r="B56" s="17" t="s">
        <v>118</v>
      </c>
      <c r="C56" s="17" t="s">
        <v>114</v>
      </c>
      <c r="D56" s="17" t="s">
        <v>28</v>
      </c>
      <c r="E56" s="18">
        <f>ROUND(16877*1.05,2)</f>
      </c>
      <c r="F56" s="17" t="s">
        <v>29</v>
      </c>
      <c r="G56" s="17" t="s">
        <v>30</v>
      </c>
      <c r="H56" s="18">
        <f>ROUND(RAND()*4+6,1)</f>
      </c>
      <c r="I56" s="17" t="s">
        <v>31</v>
      </c>
      <c r="J56" s="19">
        <f>ROUND(89*1,0)&amp;"%"</f>
      </c>
    </row>
    <row x14ac:dyDescent="0.25" r="57" customHeight="1" ht="17.25">
      <c r="A57" s="20" t="s">
        <v>7398</v>
      </c>
      <c r="B57" s="20" t="s">
        <v>120</v>
      </c>
      <c r="C57" s="20" t="s">
        <v>114</v>
      </c>
      <c r="D57" s="20" t="s">
        <v>34</v>
      </c>
      <c r="E57" s="21">
        <f>ROUND(14395*1.05,2)</f>
      </c>
      <c r="F57" s="20" t="s">
        <v>35</v>
      </c>
      <c r="G57" s="20" t="s">
        <v>18</v>
      </c>
      <c r="H57" s="21">
        <f>ROUND(RAND()*4+6,1)</f>
      </c>
      <c r="I57" s="20" t="s">
        <v>36</v>
      </c>
      <c r="J57" s="23">
        <f>ROUND(95*1,0)&amp;"%"</f>
      </c>
    </row>
    <row x14ac:dyDescent="0.25" r="58" customHeight="1" ht="17.25">
      <c r="A58" s="17" t="s">
        <v>7399</v>
      </c>
      <c r="B58" s="17" t="s">
        <v>122</v>
      </c>
      <c r="C58" s="17" t="s">
        <v>114</v>
      </c>
      <c r="D58" s="17" t="s">
        <v>39</v>
      </c>
      <c r="E58" s="18">
        <f>ROUND(14248*1.05,2)</f>
      </c>
      <c r="F58" s="17" t="s">
        <v>40</v>
      </c>
      <c r="G58" s="17" t="s">
        <v>24</v>
      </c>
      <c r="H58" s="18">
        <f>ROUND(RAND()*4+6,1)</f>
      </c>
      <c r="I58" s="17" t="s">
        <v>41</v>
      </c>
      <c r="J58" s="19">
        <f>ROUND(70*1,0)&amp;"%"</f>
      </c>
    </row>
    <row x14ac:dyDescent="0.25" r="59" customHeight="1" ht="17.25">
      <c r="A59" s="20" t="s">
        <v>7400</v>
      </c>
      <c r="B59" s="20" t="s">
        <v>124</v>
      </c>
      <c r="C59" s="20" t="s">
        <v>114</v>
      </c>
      <c r="D59" s="20" t="s">
        <v>67</v>
      </c>
      <c r="E59" s="22">
        <f>ROUND(12560*1.05,2)</f>
      </c>
      <c r="F59" s="20" t="s">
        <v>44</v>
      </c>
      <c r="G59" s="20" t="s">
        <v>30</v>
      </c>
      <c r="H59" s="21">
        <f>ROUND(RAND()*4+6,1)</f>
      </c>
      <c r="I59" s="20" t="s">
        <v>45</v>
      </c>
      <c r="J59" s="23">
        <f>ROUND(96*1,0)&amp;"%"</f>
      </c>
    </row>
    <row x14ac:dyDescent="0.25" r="60" customHeight="1" ht="17.25">
      <c r="A60" s="17" t="s">
        <v>7401</v>
      </c>
      <c r="B60" s="17" t="s">
        <v>126</v>
      </c>
      <c r="C60" s="17" t="s">
        <v>114</v>
      </c>
      <c r="D60" s="17" t="s">
        <v>16</v>
      </c>
      <c r="E60" s="18">
        <f>ROUND(13270*1.05,2)</f>
      </c>
      <c r="F60" s="17" t="s">
        <v>48</v>
      </c>
      <c r="G60" s="17" t="s">
        <v>18</v>
      </c>
      <c r="H60" s="18">
        <f>ROUND(RAND()*4+6,1)</f>
      </c>
      <c r="I60" s="17" t="s">
        <v>19</v>
      </c>
      <c r="J60" s="19">
        <f>ROUND(69*1,0)&amp;"%"</f>
      </c>
    </row>
    <row x14ac:dyDescent="0.25" r="61" customHeight="1" ht="17.25">
      <c r="A61" s="20" t="s">
        <v>7402</v>
      </c>
      <c r="B61" s="20" t="s">
        <v>128</v>
      </c>
      <c r="C61" s="20" t="s">
        <v>114</v>
      </c>
      <c r="D61" s="20" t="s">
        <v>22</v>
      </c>
      <c r="E61" s="21">
        <f>ROUND(10327*1.05,2)</f>
      </c>
      <c r="F61" s="20" t="s">
        <v>51</v>
      </c>
      <c r="G61" s="20" t="s">
        <v>24</v>
      </c>
      <c r="H61" s="21">
        <f>ROUND(RAND()*4+6,1)</f>
      </c>
      <c r="I61" s="20" t="s">
        <v>25</v>
      </c>
      <c r="J61" s="23">
        <f>ROUND(83*1,0)&amp;"%"</f>
      </c>
    </row>
    <row x14ac:dyDescent="0.25" r="62" customHeight="1" ht="17.25">
      <c r="A62" s="24" t="s">
        <v>129</v>
      </c>
      <c r="B62" s="24"/>
      <c r="C62" s="24"/>
      <c r="D62" s="24"/>
      <c r="E62" s="25">
        <v>8</v>
      </c>
      <c r="F62" s="9"/>
      <c r="G62" s="9"/>
      <c r="H62" s="10"/>
      <c r="I62" s="9"/>
      <c r="J62" s="9"/>
    </row>
    <row x14ac:dyDescent="0.25" r="63" customHeight="1" ht="17.25">
      <c r="A63" s="7"/>
      <c r="B63" s="7"/>
      <c r="C63" s="7"/>
      <c r="D63" s="7"/>
      <c r="E63" s="8"/>
      <c r="F63" s="9"/>
      <c r="G63" s="9"/>
      <c r="H63" s="10"/>
      <c r="I63" s="9"/>
      <c r="J63" s="9"/>
    </row>
    <row x14ac:dyDescent="0.25" r="64" customHeight="1" ht="17.25">
      <c r="A64" s="11" t="s">
        <v>7403</v>
      </c>
      <c r="B64" s="11"/>
      <c r="C64" s="11"/>
      <c r="D64" s="11"/>
      <c r="E64" s="12"/>
      <c r="F64" s="11"/>
      <c r="G64" s="11"/>
      <c r="H64" s="13"/>
      <c r="I64" s="11"/>
      <c r="J64" s="11"/>
    </row>
    <row x14ac:dyDescent="0.25" r="65" customHeight="1" ht="17.25">
      <c r="A65" s="14" t="s">
        <v>3</v>
      </c>
      <c r="B65" s="14" t="s">
        <v>4</v>
      </c>
      <c r="C65" s="14" t="s">
        <v>5</v>
      </c>
      <c r="D65" s="14" t="s">
        <v>6</v>
      </c>
      <c r="E65" s="15" t="s">
        <v>7</v>
      </c>
      <c r="F65" s="14" t="s">
        <v>8</v>
      </c>
      <c r="G65" s="14" t="s">
        <v>9</v>
      </c>
      <c r="H65" s="16" t="s">
        <v>10</v>
      </c>
      <c r="I65" s="14" t="s">
        <v>11</v>
      </c>
      <c r="J65" s="14" t="s">
        <v>12</v>
      </c>
    </row>
    <row x14ac:dyDescent="0.25" r="66" customHeight="1" ht="17.25">
      <c r="A66" s="17" t="s">
        <v>7404</v>
      </c>
      <c r="B66" s="17" t="s">
        <v>132</v>
      </c>
      <c r="C66" s="17" t="s">
        <v>133</v>
      </c>
      <c r="D66" s="17" t="s">
        <v>16</v>
      </c>
      <c r="E66" s="18">
        <f>ROUND(11209*1.05,2)</f>
      </c>
      <c r="F66" s="17" t="s">
        <v>17</v>
      </c>
      <c r="G66" s="17" t="s">
        <v>18</v>
      </c>
      <c r="H66" s="26">
        <f>ROUND(RAND()*4+6,1)</f>
      </c>
      <c r="I66" s="17" t="s">
        <v>19</v>
      </c>
      <c r="J66" s="19">
        <f>ROUND(78*1,0)&amp;"%"</f>
      </c>
    </row>
    <row x14ac:dyDescent="0.25" r="67" customHeight="1" ht="17.25">
      <c r="A67" s="20" t="s">
        <v>7405</v>
      </c>
      <c r="B67" s="20" t="s">
        <v>135</v>
      </c>
      <c r="C67" s="20" t="s">
        <v>133</v>
      </c>
      <c r="D67" s="20" t="s">
        <v>22</v>
      </c>
      <c r="E67" s="21">
        <f>ROUND(15638*1.05,2)</f>
      </c>
      <c r="F67" s="20" t="s">
        <v>23</v>
      </c>
      <c r="G67" s="20" t="s">
        <v>24</v>
      </c>
      <c r="H67" s="21">
        <f>ROUND(RAND()*4+6,1)</f>
      </c>
      <c r="I67" s="20" t="s">
        <v>25</v>
      </c>
      <c r="J67" s="23">
        <f>ROUND(84*1,0)&amp;"%"</f>
      </c>
    </row>
    <row x14ac:dyDescent="0.25" r="68" customHeight="1" ht="17.25">
      <c r="A68" s="17" t="s">
        <v>7406</v>
      </c>
      <c r="B68" s="17" t="s">
        <v>137</v>
      </c>
      <c r="C68" s="17" t="s">
        <v>133</v>
      </c>
      <c r="D68" s="17" t="s">
        <v>28</v>
      </c>
      <c r="E68" s="18">
        <f>ROUND(5657*1.05,2)</f>
      </c>
      <c r="F68" s="17" t="s">
        <v>29</v>
      </c>
      <c r="G68" s="17" t="s">
        <v>30</v>
      </c>
      <c r="H68" s="18">
        <f>ROUND(RAND()*4+6,1)</f>
      </c>
      <c r="I68" s="17" t="s">
        <v>31</v>
      </c>
      <c r="J68" s="19">
        <f>ROUND(71*1,0)&amp;"%"</f>
      </c>
    </row>
    <row x14ac:dyDescent="0.25" r="69" customHeight="1" ht="17.25">
      <c r="A69" s="20" t="s">
        <v>7407</v>
      </c>
      <c r="B69" s="20" t="s">
        <v>139</v>
      </c>
      <c r="C69" s="20" t="s">
        <v>133</v>
      </c>
      <c r="D69" s="20" t="s">
        <v>34</v>
      </c>
      <c r="E69" s="22">
        <f>ROUND(8700*1.05,2)</f>
      </c>
      <c r="F69" s="20" t="s">
        <v>35</v>
      </c>
      <c r="G69" s="20" t="s">
        <v>18</v>
      </c>
      <c r="H69" s="21">
        <f>ROUND(RAND()*4+6,1)</f>
      </c>
      <c r="I69" s="20" t="s">
        <v>36</v>
      </c>
      <c r="J69" s="23">
        <f>ROUND(82*1,0)&amp;"%"</f>
      </c>
    </row>
    <row x14ac:dyDescent="0.25" r="70" customHeight="1" ht="17.25">
      <c r="A70" s="17" t="s">
        <v>7408</v>
      </c>
      <c r="B70" s="17" t="s">
        <v>141</v>
      </c>
      <c r="C70" s="17" t="s">
        <v>133</v>
      </c>
      <c r="D70" s="17" t="s">
        <v>39</v>
      </c>
      <c r="E70" s="18">
        <f>ROUND(6883*1.05,2)</f>
      </c>
      <c r="F70" s="17" t="s">
        <v>40</v>
      </c>
      <c r="G70" s="17" t="s">
        <v>24</v>
      </c>
      <c r="H70" s="18">
        <f>ROUND(RAND()*4+6,1)</f>
      </c>
      <c r="I70" s="17" t="s">
        <v>41</v>
      </c>
      <c r="J70" s="19">
        <f>ROUND(92*1,0)&amp;"%"</f>
      </c>
    </row>
    <row x14ac:dyDescent="0.25" r="71" customHeight="1" ht="17.25">
      <c r="A71" s="20" t="s">
        <v>7409</v>
      </c>
      <c r="B71" s="20" t="s">
        <v>143</v>
      </c>
      <c r="C71" s="20" t="s">
        <v>133</v>
      </c>
      <c r="D71" s="20" t="s">
        <v>67</v>
      </c>
      <c r="E71" s="21">
        <f>ROUND(10882*1.05,2)</f>
      </c>
      <c r="F71" s="20" t="s">
        <v>44</v>
      </c>
      <c r="G71" s="20" t="s">
        <v>30</v>
      </c>
      <c r="H71" s="21">
        <f>ROUND(RAND()*4+6,1)</f>
      </c>
      <c r="I71" s="20" t="s">
        <v>45</v>
      </c>
      <c r="J71" s="23">
        <f>ROUND(93*1,0)&amp;"%"</f>
      </c>
    </row>
    <row x14ac:dyDescent="0.25" r="72" customHeight="1" ht="17.25">
      <c r="A72" s="17" t="s">
        <v>7410</v>
      </c>
      <c r="B72" s="17" t="s">
        <v>145</v>
      </c>
      <c r="C72" s="17" t="s">
        <v>133</v>
      </c>
      <c r="D72" s="17" t="s">
        <v>16</v>
      </c>
      <c r="E72" s="18">
        <f>ROUND(13553*1.05,2)</f>
      </c>
      <c r="F72" s="17" t="s">
        <v>48</v>
      </c>
      <c r="G72" s="17" t="s">
        <v>18</v>
      </c>
      <c r="H72" s="26">
        <f>ROUND(RAND()*4+6,1)</f>
      </c>
      <c r="I72" s="17" t="s">
        <v>19</v>
      </c>
      <c r="J72" s="19">
        <f>ROUND(73*1,0)&amp;"%"</f>
      </c>
    </row>
    <row x14ac:dyDescent="0.25" r="73" customHeight="1" ht="17.25">
      <c r="A73" s="20" t="s">
        <v>7411</v>
      </c>
      <c r="B73" s="20" t="s">
        <v>147</v>
      </c>
      <c r="C73" s="20" t="s">
        <v>133</v>
      </c>
      <c r="D73" s="20" t="s">
        <v>22</v>
      </c>
      <c r="E73" s="21">
        <f>ROUND(13802*1.05,2)</f>
      </c>
      <c r="F73" s="20" t="s">
        <v>51</v>
      </c>
      <c r="G73" s="20" t="s">
        <v>24</v>
      </c>
      <c r="H73" s="21">
        <f>ROUND(RAND()*4+6,1)</f>
      </c>
      <c r="I73" s="20" t="s">
        <v>25</v>
      </c>
      <c r="J73" s="23">
        <f>ROUND(83*1,0)&amp;"%"</f>
      </c>
    </row>
    <row x14ac:dyDescent="0.25" r="74" customHeight="1" ht="17.25">
      <c r="A74" s="24" t="s">
        <v>148</v>
      </c>
      <c r="B74" s="24"/>
      <c r="C74" s="24"/>
      <c r="D74" s="24"/>
      <c r="E74" s="25">
        <v>8</v>
      </c>
      <c r="F74" s="9"/>
      <c r="G74" s="9"/>
      <c r="H74" s="10"/>
      <c r="I74" s="9"/>
      <c r="J74" s="9"/>
    </row>
    <row x14ac:dyDescent="0.25" r="75" customHeight="1" ht="17.25">
      <c r="A75" s="7"/>
      <c r="B75" s="7"/>
      <c r="C75" s="7"/>
      <c r="D75" s="7"/>
      <c r="E75" s="8"/>
      <c r="F75" s="9"/>
      <c r="G75" s="9"/>
      <c r="H75" s="10"/>
      <c r="I75" s="9"/>
      <c r="J75" s="9"/>
    </row>
    <row x14ac:dyDescent="0.25" r="76" customHeight="1" ht="17.25">
      <c r="A76" s="11" t="s">
        <v>7412</v>
      </c>
      <c r="B76" s="11"/>
      <c r="C76" s="11"/>
      <c r="D76" s="11"/>
      <c r="E76" s="12"/>
      <c r="F76" s="11"/>
      <c r="G76" s="11"/>
      <c r="H76" s="13"/>
      <c r="I76" s="11"/>
      <c r="J76" s="11"/>
    </row>
    <row x14ac:dyDescent="0.25" r="77" customHeight="1" ht="17.25">
      <c r="A77" s="14" t="s">
        <v>3</v>
      </c>
      <c r="B77" s="14" t="s">
        <v>4</v>
      </c>
      <c r="C77" s="14" t="s">
        <v>5</v>
      </c>
      <c r="D77" s="14" t="s">
        <v>6</v>
      </c>
      <c r="E77" s="15" t="s">
        <v>7</v>
      </c>
      <c r="F77" s="14" t="s">
        <v>8</v>
      </c>
      <c r="G77" s="14" t="s">
        <v>9</v>
      </c>
      <c r="H77" s="16" t="s">
        <v>10</v>
      </c>
      <c r="I77" s="14" t="s">
        <v>11</v>
      </c>
      <c r="J77" s="14" t="s">
        <v>12</v>
      </c>
    </row>
    <row x14ac:dyDescent="0.25" r="78" customHeight="1" ht="17.25">
      <c r="A78" s="17" t="s">
        <v>7413</v>
      </c>
      <c r="B78" s="17" t="s">
        <v>151</v>
      </c>
      <c r="C78" s="17" t="s">
        <v>152</v>
      </c>
      <c r="D78" s="17" t="s">
        <v>16</v>
      </c>
      <c r="E78" s="18">
        <f>ROUND(7739*1.05,2)</f>
      </c>
      <c r="F78" s="17" t="s">
        <v>17</v>
      </c>
      <c r="G78" s="17" t="s">
        <v>18</v>
      </c>
      <c r="H78" s="18">
        <f>ROUND(RAND()*4+6,1)</f>
      </c>
      <c r="I78" s="17" t="s">
        <v>19</v>
      </c>
      <c r="J78" s="19">
        <f>ROUND(70*1,0)&amp;"%"</f>
      </c>
    </row>
    <row x14ac:dyDescent="0.25" r="79" customHeight="1" ht="17.25">
      <c r="A79" s="20" t="s">
        <v>7414</v>
      </c>
      <c r="B79" s="20" t="s">
        <v>154</v>
      </c>
      <c r="C79" s="20" t="s">
        <v>152</v>
      </c>
      <c r="D79" s="20" t="s">
        <v>22</v>
      </c>
      <c r="E79" s="21">
        <f>ROUND(14554*1.05,2)</f>
      </c>
      <c r="F79" s="20" t="s">
        <v>23</v>
      </c>
      <c r="G79" s="20" t="s">
        <v>24</v>
      </c>
      <c r="H79" s="21">
        <f>ROUND(RAND()*4+6,1)</f>
      </c>
      <c r="I79" s="20" t="s">
        <v>25</v>
      </c>
      <c r="J79" s="23">
        <f>ROUND(95*1,0)&amp;"%"</f>
      </c>
    </row>
    <row x14ac:dyDescent="0.25" r="80" customHeight="1" ht="17.25">
      <c r="A80" s="17" t="s">
        <v>7415</v>
      </c>
      <c r="B80" s="17" t="s">
        <v>156</v>
      </c>
      <c r="C80" s="17" t="s">
        <v>152</v>
      </c>
      <c r="D80" s="17" t="s">
        <v>28</v>
      </c>
      <c r="E80" s="18">
        <f>ROUND(17775*1.05,2)</f>
      </c>
      <c r="F80" s="17" t="s">
        <v>29</v>
      </c>
      <c r="G80" s="17" t="s">
        <v>30</v>
      </c>
      <c r="H80" s="18">
        <f>ROUND(RAND()*4+6,1)</f>
      </c>
      <c r="I80" s="17" t="s">
        <v>31</v>
      </c>
      <c r="J80" s="19">
        <f>ROUND(88*1,0)&amp;"%"</f>
      </c>
    </row>
    <row x14ac:dyDescent="0.25" r="81" customHeight="1" ht="17.25">
      <c r="A81" s="20" t="s">
        <v>7416</v>
      </c>
      <c r="B81" s="20" t="s">
        <v>158</v>
      </c>
      <c r="C81" s="20" t="s">
        <v>152</v>
      </c>
      <c r="D81" s="20" t="s">
        <v>34</v>
      </c>
      <c r="E81" s="21">
        <f>ROUND(7613*1.05,2)</f>
      </c>
      <c r="F81" s="20" t="s">
        <v>35</v>
      </c>
      <c r="G81" s="20" t="s">
        <v>18</v>
      </c>
      <c r="H81" s="21">
        <f>ROUND(RAND()*4+6,1)</f>
      </c>
      <c r="I81" s="20" t="s">
        <v>36</v>
      </c>
      <c r="J81" s="23">
        <f>ROUND(68*1,0)&amp;"%"</f>
      </c>
    </row>
    <row x14ac:dyDescent="0.25" r="82" customHeight="1" ht="17.25">
      <c r="A82" s="17" t="s">
        <v>7417</v>
      </c>
      <c r="B82" s="17" t="s">
        <v>160</v>
      </c>
      <c r="C82" s="17" t="s">
        <v>152</v>
      </c>
      <c r="D82" s="17" t="s">
        <v>39</v>
      </c>
      <c r="E82" s="18">
        <f>ROUND(11207*1.05,2)</f>
      </c>
      <c r="F82" s="17" t="s">
        <v>40</v>
      </c>
      <c r="G82" s="17" t="s">
        <v>24</v>
      </c>
      <c r="H82" s="18">
        <f>ROUND(RAND()*4+6,1)</f>
      </c>
      <c r="I82" s="17" t="s">
        <v>41</v>
      </c>
      <c r="J82" s="19">
        <f>ROUND(79*1,0)&amp;"%"</f>
      </c>
    </row>
    <row x14ac:dyDescent="0.25" r="83" customHeight="1" ht="17.25">
      <c r="A83" s="20" t="s">
        <v>7418</v>
      </c>
      <c r="B83" s="20" t="s">
        <v>162</v>
      </c>
      <c r="C83" s="20" t="s">
        <v>152</v>
      </c>
      <c r="D83" s="20" t="s">
        <v>67</v>
      </c>
      <c r="E83" s="21">
        <f>ROUND(9187*1.05,2)</f>
      </c>
      <c r="F83" s="20" t="s">
        <v>44</v>
      </c>
      <c r="G83" s="20" t="s">
        <v>30</v>
      </c>
      <c r="H83" s="21">
        <f>ROUND(RAND()*4+6,1)</f>
      </c>
      <c r="I83" s="20" t="s">
        <v>45</v>
      </c>
      <c r="J83" s="23">
        <f>ROUND(99*1,0)&amp;"%"</f>
      </c>
    </row>
    <row x14ac:dyDescent="0.25" r="84" customHeight="1" ht="17.25">
      <c r="A84" s="17" t="s">
        <v>7419</v>
      </c>
      <c r="B84" s="17" t="s">
        <v>164</v>
      </c>
      <c r="C84" s="17" t="s">
        <v>152</v>
      </c>
      <c r="D84" s="17" t="s">
        <v>16</v>
      </c>
      <c r="E84" s="18">
        <f>ROUND(16107*1.05,2)</f>
      </c>
      <c r="F84" s="17" t="s">
        <v>48</v>
      </c>
      <c r="G84" s="17" t="s">
        <v>18</v>
      </c>
      <c r="H84" s="18">
        <f>ROUND(RAND()*4+6,1)</f>
      </c>
      <c r="I84" s="17" t="s">
        <v>19</v>
      </c>
      <c r="J84" s="19">
        <f>ROUND(69*1,0)&amp;"%"</f>
      </c>
    </row>
    <row x14ac:dyDescent="0.25" r="85" customHeight="1" ht="17.25">
      <c r="A85" s="20" t="s">
        <v>7420</v>
      </c>
      <c r="B85" s="20" t="s">
        <v>166</v>
      </c>
      <c r="C85" s="20" t="s">
        <v>152</v>
      </c>
      <c r="D85" s="20" t="s">
        <v>22</v>
      </c>
      <c r="E85" s="21">
        <f>ROUND(17295*1.05,2)</f>
      </c>
      <c r="F85" s="20" t="s">
        <v>51</v>
      </c>
      <c r="G85" s="20" t="s">
        <v>24</v>
      </c>
      <c r="H85" s="21">
        <f>ROUND(RAND()*4+6,1)</f>
      </c>
      <c r="I85" s="20" t="s">
        <v>25</v>
      </c>
      <c r="J85" s="23">
        <f>ROUND(92*1,0)&amp;"%"</f>
      </c>
    </row>
    <row x14ac:dyDescent="0.25" r="86" customHeight="1" ht="17.25">
      <c r="A86" s="24" t="s">
        <v>167</v>
      </c>
      <c r="B86" s="24"/>
      <c r="C86" s="24"/>
      <c r="D86" s="24"/>
      <c r="E86" s="25">
        <v>8</v>
      </c>
      <c r="F86" s="9"/>
      <c r="G86" s="9"/>
      <c r="H86" s="10"/>
      <c r="I86" s="9"/>
      <c r="J86" s="9"/>
    </row>
    <row x14ac:dyDescent="0.25" r="87" customHeight="1" ht="17.25">
      <c r="A87" s="7"/>
      <c r="B87" s="7"/>
      <c r="C87" s="7"/>
      <c r="D87" s="7"/>
      <c r="E87" s="8"/>
      <c r="F87" s="9"/>
      <c r="G87" s="9"/>
      <c r="H87" s="10"/>
      <c r="I87" s="9"/>
      <c r="J87" s="9"/>
    </row>
    <row x14ac:dyDescent="0.25" r="88" customHeight="1" ht="17.25">
      <c r="A88" s="11" t="s">
        <v>7421</v>
      </c>
      <c r="B88" s="11"/>
      <c r="C88" s="11"/>
      <c r="D88" s="11"/>
      <c r="E88" s="12"/>
      <c r="F88" s="11"/>
      <c r="G88" s="11"/>
      <c r="H88" s="13"/>
      <c r="I88" s="11"/>
      <c r="J88" s="11"/>
    </row>
    <row x14ac:dyDescent="0.25" r="89" customHeight="1" ht="17.25">
      <c r="A89" s="14" t="s">
        <v>3</v>
      </c>
      <c r="B89" s="14" t="s">
        <v>4</v>
      </c>
      <c r="C89" s="14" t="s">
        <v>5</v>
      </c>
      <c r="D89" s="14" t="s">
        <v>6</v>
      </c>
      <c r="E89" s="15" t="s">
        <v>7</v>
      </c>
      <c r="F89" s="14" t="s">
        <v>8</v>
      </c>
      <c r="G89" s="14" t="s">
        <v>9</v>
      </c>
      <c r="H89" s="16" t="s">
        <v>10</v>
      </c>
      <c r="I89" s="14" t="s">
        <v>11</v>
      </c>
      <c r="J89" s="14" t="s">
        <v>12</v>
      </c>
    </row>
    <row x14ac:dyDescent="0.25" r="90" customHeight="1" ht="17.25">
      <c r="A90" s="17" t="s">
        <v>7422</v>
      </c>
      <c r="B90" s="17" t="s">
        <v>170</v>
      </c>
      <c r="C90" s="17" t="s">
        <v>15</v>
      </c>
      <c r="D90" s="17" t="s">
        <v>16</v>
      </c>
      <c r="E90" s="18">
        <f>ROUND(15655*1.05,2)</f>
      </c>
      <c r="F90" s="17" t="s">
        <v>17</v>
      </c>
      <c r="G90" s="17" t="s">
        <v>18</v>
      </c>
      <c r="H90" s="18">
        <f>ROUND(RAND()*4+6,1)</f>
      </c>
      <c r="I90" s="17" t="s">
        <v>19</v>
      </c>
      <c r="J90" s="19">
        <f>ROUND(80*1,0)&amp;"%"</f>
      </c>
    </row>
    <row x14ac:dyDescent="0.25" r="91" customHeight="1" ht="17.25">
      <c r="A91" s="20" t="s">
        <v>7423</v>
      </c>
      <c r="B91" s="20" t="s">
        <v>172</v>
      </c>
      <c r="C91" s="20" t="s">
        <v>15</v>
      </c>
      <c r="D91" s="20" t="s">
        <v>22</v>
      </c>
      <c r="E91" s="21">
        <f>ROUND(13542*1.05,2)</f>
      </c>
      <c r="F91" s="20" t="s">
        <v>23</v>
      </c>
      <c r="G91" s="20" t="s">
        <v>24</v>
      </c>
      <c r="H91" s="21">
        <f>ROUND(RAND()*4+6,1)</f>
      </c>
      <c r="I91" s="20" t="s">
        <v>25</v>
      </c>
      <c r="J91" s="23">
        <f>ROUND(76*1,0)&amp;"%"</f>
      </c>
    </row>
    <row x14ac:dyDescent="0.25" r="92" customHeight="1" ht="17.25">
      <c r="A92" s="17" t="s">
        <v>7424</v>
      </c>
      <c r="B92" s="17" t="s">
        <v>174</v>
      </c>
      <c r="C92" s="17" t="s">
        <v>15</v>
      </c>
      <c r="D92" s="17" t="s">
        <v>28</v>
      </c>
      <c r="E92" s="18">
        <f>ROUND(17705*1.05,2)</f>
      </c>
      <c r="F92" s="17" t="s">
        <v>29</v>
      </c>
      <c r="G92" s="17" t="s">
        <v>30</v>
      </c>
      <c r="H92" s="18">
        <f>ROUND(RAND()*4+6,1)</f>
      </c>
      <c r="I92" s="17" t="s">
        <v>31</v>
      </c>
      <c r="J92" s="19">
        <f>ROUND(63*1,0)&amp;"%"</f>
      </c>
    </row>
    <row x14ac:dyDescent="0.25" r="93" customHeight="1" ht="17.25">
      <c r="A93" s="20" t="s">
        <v>7425</v>
      </c>
      <c r="B93" s="20" t="s">
        <v>176</v>
      </c>
      <c r="C93" s="20" t="s">
        <v>15</v>
      </c>
      <c r="D93" s="20" t="s">
        <v>34</v>
      </c>
      <c r="E93" s="21">
        <f>ROUND(5733*1.05,2)</f>
      </c>
      <c r="F93" s="20" t="s">
        <v>35</v>
      </c>
      <c r="G93" s="20" t="s">
        <v>18</v>
      </c>
      <c r="H93" s="22">
        <f>ROUND(RAND()*4+6,1)</f>
      </c>
      <c r="I93" s="20" t="s">
        <v>36</v>
      </c>
      <c r="J93" s="23">
        <f>ROUND(75*1,0)&amp;"%"</f>
      </c>
    </row>
    <row x14ac:dyDescent="0.25" r="94" customHeight="1" ht="17.25">
      <c r="A94" s="17" t="s">
        <v>7426</v>
      </c>
      <c r="B94" s="17" t="s">
        <v>178</v>
      </c>
      <c r="C94" s="17" t="s">
        <v>15</v>
      </c>
      <c r="D94" s="17" t="s">
        <v>39</v>
      </c>
      <c r="E94" s="18">
        <f>ROUND(6804*1.05,2)</f>
      </c>
      <c r="F94" s="17" t="s">
        <v>40</v>
      </c>
      <c r="G94" s="17" t="s">
        <v>24</v>
      </c>
      <c r="H94" s="18">
        <f>ROUND(RAND()*4+6,1)</f>
      </c>
      <c r="I94" s="17" t="s">
        <v>41</v>
      </c>
      <c r="J94" s="19">
        <f>ROUND(95*1,0)&amp;"%"</f>
      </c>
    </row>
    <row x14ac:dyDescent="0.25" r="95" customHeight="1" ht="17.25">
      <c r="A95" s="20" t="s">
        <v>7427</v>
      </c>
      <c r="B95" s="20" t="s">
        <v>180</v>
      </c>
      <c r="C95" s="20" t="s">
        <v>15</v>
      </c>
      <c r="D95" s="20" t="s">
        <v>67</v>
      </c>
      <c r="E95" s="21">
        <f>ROUND(14033*1.05,2)</f>
      </c>
      <c r="F95" s="20" t="s">
        <v>44</v>
      </c>
      <c r="G95" s="20" t="s">
        <v>30</v>
      </c>
      <c r="H95" s="21">
        <f>ROUND(RAND()*4+6,1)</f>
      </c>
      <c r="I95" s="20" t="s">
        <v>45</v>
      </c>
      <c r="J95" s="23">
        <f>ROUND(74*1,0)&amp;"%"</f>
      </c>
    </row>
    <row x14ac:dyDescent="0.25" r="96" customHeight="1" ht="17.25">
      <c r="A96" s="17" t="s">
        <v>7428</v>
      </c>
      <c r="B96" s="17" t="s">
        <v>182</v>
      </c>
      <c r="C96" s="17" t="s">
        <v>15</v>
      </c>
      <c r="D96" s="17" t="s">
        <v>16</v>
      </c>
      <c r="E96" s="18">
        <f>ROUND(15826*1.05,2)</f>
      </c>
      <c r="F96" s="17" t="s">
        <v>48</v>
      </c>
      <c r="G96" s="17" t="s">
        <v>18</v>
      </c>
      <c r="H96" s="18">
        <f>ROUND(RAND()*4+6,1)</f>
      </c>
      <c r="I96" s="17" t="s">
        <v>19</v>
      </c>
      <c r="J96" s="19">
        <f>ROUND(96*1,0)&amp;"%"</f>
      </c>
    </row>
    <row x14ac:dyDescent="0.25" r="97" customHeight="1" ht="17.25">
      <c r="A97" s="20" t="s">
        <v>7429</v>
      </c>
      <c r="B97" s="20" t="s">
        <v>184</v>
      </c>
      <c r="C97" s="20" t="s">
        <v>15</v>
      </c>
      <c r="D97" s="20" t="s">
        <v>22</v>
      </c>
      <c r="E97" s="21">
        <f>ROUND(7526*1.05,2)</f>
      </c>
      <c r="F97" s="20" t="s">
        <v>51</v>
      </c>
      <c r="G97" s="20" t="s">
        <v>24</v>
      </c>
      <c r="H97" s="21">
        <f>ROUND(RAND()*4+6,1)</f>
      </c>
      <c r="I97" s="20" t="s">
        <v>25</v>
      </c>
      <c r="J97" s="23">
        <f>ROUND(100*1,0)&amp;"%"</f>
      </c>
    </row>
    <row x14ac:dyDescent="0.25" r="98" customHeight="1" ht="17.25">
      <c r="A98" s="24" t="s">
        <v>185</v>
      </c>
      <c r="B98" s="24"/>
      <c r="C98" s="24"/>
      <c r="D98" s="24"/>
      <c r="E98" s="25">
        <v>8</v>
      </c>
      <c r="F98" s="9"/>
      <c r="G98" s="9"/>
      <c r="H98" s="10"/>
      <c r="I98" s="9"/>
      <c r="J98" s="9"/>
    </row>
    <row x14ac:dyDescent="0.25" r="99" customHeight="1" ht="17.25">
      <c r="A99" s="7"/>
      <c r="B99" s="7"/>
      <c r="C99" s="7"/>
      <c r="D99" s="7"/>
      <c r="E99" s="8"/>
      <c r="F99" s="9"/>
      <c r="G99" s="9"/>
      <c r="H99" s="10"/>
      <c r="I99" s="9"/>
      <c r="J99" s="9"/>
    </row>
    <row x14ac:dyDescent="0.25" r="100" customHeight="1" ht="17.25">
      <c r="A100" s="11" t="s">
        <v>7430</v>
      </c>
      <c r="B100" s="11"/>
      <c r="C100" s="11"/>
      <c r="D100" s="11"/>
      <c r="E100" s="12"/>
      <c r="F100" s="11"/>
      <c r="G100" s="11"/>
      <c r="H100" s="13"/>
      <c r="I100" s="11"/>
      <c r="J100" s="11"/>
    </row>
    <row x14ac:dyDescent="0.25" r="101" customHeight="1" ht="17.25">
      <c r="A101" s="14" t="s">
        <v>3</v>
      </c>
      <c r="B101" s="14" t="s">
        <v>4</v>
      </c>
      <c r="C101" s="14" t="s">
        <v>5</v>
      </c>
      <c r="D101" s="14" t="s">
        <v>6</v>
      </c>
      <c r="E101" s="15" t="s">
        <v>7</v>
      </c>
      <c r="F101" s="14" t="s">
        <v>8</v>
      </c>
      <c r="G101" s="14" t="s">
        <v>9</v>
      </c>
      <c r="H101" s="16" t="s">
        <v>10</v>
      </c>
      <c r="I101" s="14" t="s">
        <v>11</v>
      </c>
      <c r="J101" s="14" t="s">
        <v>12</v>
      </c>
    </row>
    <row x14ac:dyDescent="0.25" r="102" customHeight="1" ht="17.25">
      <c r="A102" s="17" t="s">
        <v>7431</v>
      </c>
      <c r="B102" s="17" t="s">
        <v>188</v>
      </c>
      <c r="C102" s="17" t="s">
        <v>56</v>
      </c>
      <c r="D102" s="17" t="s">
        <v>16</v>
      </c>
      <c r="E102" s="26">
        <f>ROUND(12660*1.05,2)</f>
      </c>
      <c r="F102" s="17" t="s">
        <v>17</v>
      </c>
      <c r="G102" s="17" t="s">
        <v>18</v>
      </c>
      <c r="H102" s="18">
        <f>ROUND(RAND()*4+6,1)</f>
      </c>
      <c r="I102" s="17" t="s">
        <v>19</v>
      </c>
      <c r="J102" s="19">
        <f>ROUND(86*1,0)&amp;"%"</f>
      </c>
    </row>
    <row x14ac:dyDescent="0.25" r="103" customHeight="1" ht="17.25">
      <c r="A103" s="20" t="s">
        <v>7432</v>
      </c>
      <c r="B103" s="20" t="s">
        <v>190</v>
      </c>
      <c r="C103" s="20" t="s">
        <v>56</v>
      </c>
      <c r="D103" s="20" t="s">
        <v>22</v>
      </c>
      <c r="E103" s="21">
        <f>ROUND(17216*1.05,2)</f>
      </c>
      <c r="F103" s="20" t="s">
        <v>23</v>
      </c>
      <c r="G103" s="20" t="s">
        <v>24</v>
      </c>
      <c r="H103" s="21">
        <f>ROUND(RAND()*4+6,1)</f>
      </c>
      <c r="I103" s="20" t="s">
        <v>25</v>
      </c>
      <c r="J103" s="23">
        <f>ROUND(68*1,0)&amp;"%"</f>
      </c>
    </row>
    <row x14ac:dyDescent="0.25" r="104" customHeight="1" ht="17.25">
      <c r="A104" s="17" t="s">
        <v>7433</v>
      </c>
      <c r="B104" s="17" t="s">
        <v>192</v>
      </c>
      <c r="C104" s="17" t="s">
        <v>56</v>
      </c>
      <c r="D104" s="17" t="s">
        <v>28</v>
      </c>
      <c r="E104" s="26">
        <f>ROUND(6460*1.05,2)</f>
      </c>
      <c r="F104" s="17" t="s">
        <v>29</v>
      </c>
      <c r="G104" s="17" t="s">
        <v>30</v>
      </c>
      <c r="H104" s="18">
        <f>ROUND(RAND()*4+6,1)</f>
      </c>
      <c r="I104" s="17" t="s">
        <v>31</v>
      </c>
      <c r="J104" s="19">
        <f>ROUND(77*1,0)&amp;"%"</f>
      </c>
    </row>
    <row x14ac:dyDescent="0.25" r="105" customHeight="1" ht="17.25">
      <c r="A105" s="20" t="s">
        <v>7434</v>
      </c>
      <c r="B105" s="20" t="s">
        <v>194</v>
      </c>
      <c r="C105" s="20" t="s">
        <v>56</v>
      </c>
      <c r="D105" s="20" t="s">
        <v>34</v>
      </c>
      <c r="E105" s="21">
        <f>ROUND(7646*1.05,2)</f>
      </c>
      <c r="F105" s="20" t="s">
        <v>35</v>
      </c>
      <c r="G105" s="20" t="s">
        <v>18</v>
      </c>
      <c r="H105" s="22">
        <f>ROUND(RAND()*4+6,1)</f>
      </c>
      <c r="I105" s="20" t="s">
        <v>36</v>
      </c>
      <c r="J105" s="23">
        <f>ROUND(84*1,0)&amp;"%"</f>
      </c>
    </row>
    <row x14ac:dyDescent="0.25" r="106" customHeight="1" ht="17.25">
      <c r="A106" s="17" t="s">
        <v>7435</v>
      </c>
      <c r="B106" s="17" t="s">
        <v>196</v>
      </c>
      <c r="C106" s="17" t="s">
        <v>56</v>
      </c>
      <c r="D106" s="17" t="s">
        <v>39</v>
      </c>
      <c r="E106" s="26">
        <f>ROUND(8880*1.05,2)</f>
      </c>
      <c r="F106" s="17" t="s">
        <v>40</v>
      </c>
      <c r="G106" s="17" t="s">
        <v>24</v>
      </c>
      <c r="H106" s="18">
        <f>ROUND(RAND()*4+6,1)</f>
      </c>
      <c r="I106" s="17" t="s">
        <v>41</v>
      </c>
      <c r="J106" s="19">
        <f>ROUND(97*1,0)&amp;"%"</f>
      </c>
    </row>
    <row x14ac:dyDescent="0.25" r="107" customHeight="1" ht="17.25">
      <c r="A107" s="20" t="s">
        <v>7436</v>
      </c>
      <c r="B107" s="20" t="s">
        <v>198</v>
      </c>
      <c r="C107" s="20" t="s">
        <v>56</v>
      </c>
      <c r="D107" s="20" t="s">
        <v>67</v>
      </c>
      <c r="E107" s="21">
        <f>ROUND(9091*1.05,2)</f>
      </c>
      <c r="F107" s="20" t="s">
        <v>44</v>
      </c>
      <c r="G107" s="20" t="s">
        <v>30</v>
      </c>
      <c r="H107" s="21">
        <f>ROUND(RAND()*4+6,1)</f>
      </c>
      <c r="I107" s="20" t="s">
        <v>45</v>
      </c>
      <c r="J107" s="23">
        <f>ROUND(71*1,0)&amp;"%"</f>
      </c>
    </row>
    <row x14ac:dyDescent="0.25" r="108" customHeight="1" ht="17.25">
      <c r="A108" s="17" t="s">
        <v>7437</v>
      </c>
      <c r="B108" s="17" t="s">
        <v>200</v>
      </c>
      <c r="C108" s="17" t="s">
        <v>56</v>
      </c>
      <c r="D108" s="17" t="s">
        <v>16</v>
      </c>
      <c r="E108" s="18">
        <f>ROUND(16622*1.05,2)</f>
      </c>
      <c r="F108" s="17" t="s">
        <v>48</v>
      </c>
      <c r="G108" s="17" t="s">
        <v>18</v>
      </c>
      <c r="H108" s="18">
        <f>ROUND(RAND()*4+6,1)</f>
      </c>
      <c r="I108" s="17" t="s">
        <v>19</v>
      </c>
      <c r="J108" s="19">
        <f>ROUND(90*1,0)&amp;"%"</f>
      </c>
    </row>
    <row x14ac:dyDescent="0.25" r="109" customHeight="1" ht="17.25">
      <c r="A109" s="20" t="s">
        <v>7438</v>
      </c>
      <c r="B109" s="20" t="s">
        <v>202</v>
      </c>
      <c r="C109" s="20" t="s">
        <v>56</v>
      </c>
      <c r="D109" s="20" t="s">
        <v>22</v>
      </c>
      <c r="E109" s="22">
        <f>ROUND(13440*1.05,2)</f>
      </c>
      <c r="F109" s="20" t="s">
        <v>51</v>
      </c>
      <c r="G109" s="20" t="s">
        <v>24</v>
      </c>
      <c r="H109" s="21">
        <f>ROUND(RAND()*4+6,1)</f>
      </c>
      <c r="I109" s="20" t="s">
        <v>25</v>
      </c>
      <c r="J109" s="23">
        <f>ROUND(88*1,0)&amp;"%"</f>
      </c>
    </row>
    <row x14ac:dyDescent="0.25" r="110" customHeight="1" ht="17.25">
      <c r="A110" s="24" t="s">
        <v>203</v>
      </c>
      <c r="B110" s="24"/>
      <c r="C110" s="24"/>
      <c r="D110" s="24"/>
      <c r="E110" s="25">
        <v>8</v>
      </c>
      <c r="F110" s="9"/>
      <c r="G110" s="9"/>
      <c r="H110" s="10"/>
      <c r="I110" s="9"/>
      <c r="J110" s="9"/>
    </row>
    <row x14ac:dyDescent="0.25" r="111" customHeight="1" ht="17.25">
      <c r="A111" s="7"/>
      <c r="B111" s="7"/>
      <c r="C111" s="7"/>
      <c r="D111" s="7"/>
      <c r="E111" s="8"/>
      <c r="F111" s="9"/>
      <c r="G111" s="9"/>
      <c r="H111" s="10"/>
      <c r="I111" s="9"/>
      <c r="J111" s="9"/>
    </row>
    <row x14ac:dyDescent="0.25" r="112" customHeight="1" ht="17.25">
      <c r="A112" s="11" t="s">
        <v>7439</v>
      </c>
      <c r="B112" s="11"/>
      <c r="C112" s="11"/>
      <c r="D112" s="11"/>
      <c r="E112" s="12"/>
      <c r="F112" s="11"/>
      <c r="G112" s="11"/>
      <c r="H112" s="13"/>
      <c r="I112" s="11"/>
      <c r="J112" s="11"/>
    </row>
    <row x14ac:dyDescent="0.25" r="113" customHeight="1" ht="17.25">
      <c r="A113" s="14" t="s">
        <v>3</v>
      </c>
      <c r="B113" s="14" t="s">
        <v>4</v>
      </c>
      <c r="C113" s="14" t="s">
        <v>5</v>
      </c>
      <c r="D113" s="14" t="s">
        <v>6</v>
      </c>
      <c r="E113" s="15" t="s">
        <v>7</v>
      </c>
      <c r="F113" s="14" t="s">
        <v>8</v>
      </c>
      <c r="G113" s="14" t="s">
        <v>9</v>
      </c>
      <c r="H113" s="16" t="s">
        <v>10</v>
      </c>
      <c r="I113" s="14" t="s">
        <v>11</v>
      </c>
      <c r="J113" s="14" t="s">
        <v>12</v>
      </c>
    </row>
    <row x14ac:dyDescent="0.25" r="114" customHeight="1" ht="17.25">
      <c r="A114" s="17" t="s">
        <v>7440</v>
      </c>
      <c r="B114" s="17" t="s">
        <v>206</v>
      </c>
      <c r="C114" s="17" t="s">
        <v>76</v>
      </c>
      <c r="D114" s="17" t="s">
        <v>16</v>
      </c>
      <c r="E114" s="18">
        <f>ROUND(7777*1.05,2)</f>
      </c>
      <c r="F114" s="17" t="s">
        <v>17</v>
      </c>
      <c r="G114" s="17" t="s">
        <v>18</v>
      </c>
      <c r="H114" s="26">
        <f>ROUND(RAND()*4+6,1)</f>
      </c>
      <c r="I114" s="17" t="s">
        <v>19</v>
      </c>
      <c r="J114" s="19">
        <f>ROUND(60*1,0)&amp;"%"</f>
      </c>
    </row>
    <row x14ac:dyDescent="0.25" r="115" customHeight="1" ht="17.25">
      <c r="A115" s="20" t="s">
        <v>7441</v>
      </c>
      <c r="B115" s="20" t="s">
        <v>208</v>
      </c>
      <c r="C115" s="20" t="s">
        <v>76</v>
      </c>
      <c r="D115" s="20" t="s">
        <v>22</v>
      </c>
      <c r="E115" s="21">
        <f>ROUND(5530*1.05,2)</f>
      </c>
      <c r="F115" s="20" t="s">
        <v>23</v>
      </c>
      <c r="G115" s="20" t="s">
        <v>24</v>
      </c>
      <c r="H115" s="21">
        <f>ROUND(RAND()*4+6,1)</f>
      </c>
      <c r="I115" s="20" t="s">
        <v>25</v>
      </c>
      <c r="J115" s="23">
        <f>ROUND(75*1,0)&amp;"%"</f>
      </c>
    </row>
    <row x14ac:dyDescent="0.25" r="116" customHeight="1" ht="17.25">
      <c r="A116" s="17" t="s">
        <v>7442</v>
      </c>
      <c r="B116" s="17" t="s">
        <v>210</v>
      </c>
      <c r="C116" s="17" t="s">
        <v>76</v>
      </c>
      <c r="D116" s="17" t="s">
        <v>28</v>
      </c>
      <c r="E116" s="18">
        <f>ROUND(12049*1.05,2)</f>
      </c>
      <c r="F116" s="17" t="s">
        <v>29</v>
      </c>
      <c r="G116" s="17" t="s">
        <v>30</v>
      </c>
      <c r="H116" s="18">
        <f>ROUND(RAND()*4+6,1)</f>
      </c>
      <c r="I116" s="17" t="s">
        <v>31</v>
      </c>
      <c r="J116" s="19">
        <f>ROUND(76*1,0)&amp;"%"</f>
      </c>
    </row>
    <row x14ac:dyDescent="0.25" r="117" customHeight="1" ht="17.25">
      <c r="A117" s="20" t="s">
        <v>7443</v>
      </c>
      <c r="B117" s="20" t="s">
        <v>212</v>
      </c>
      <c r="C117" s="20" t="s">
        <v>76</v>
      </c>
      <c r="D117" s="20" t="s">
        <v>34</v>
      </c>
      <c r="E117" s="21">
        <f>ROUND(4423*1.05,2)</f>
      </c>
      <c r="F117" s="20" t="s">
        <v>35</v>
      </c>
      <c r="G117" s="20" t="s">
        <v>18</v>
      </c>
      <c r="H117" s="22">
        <f>ROUND(RAND()*4+6,1)</f>
      </c>
      <c r="I117" s="20" t="s">
        <v>36</v>
      </c>
      <c r="J117" s="23">
        <f>ROUND(64*1,0)&amp;"%"</f>
      </c>
    </row>
    <row x14ac:dyDescent="0.25" r="118" customHeight="1" ht="17.25">
      <c r="A118" s="17" t="s">
        <v>7444</v>
      </c>
      <c r="B118" s="17" t="s">
        <v>214</v>
      </c>
      <c r="C118" s="17" t="s">
        <v>76</v>
      </c>
      <c r="D118" s="17" t="s">
        <v>39</v>
      </c>
      <c r="E118" s="18">
        <f>ROUND(12975*1.05,2)</f>
      </c>
      <c r="F118" s="17" t="s">
        <v>40</v>
      </c>
      <c r="G118" s="17" t="s">
        <v>24</v>
      </c>
      <c r="H118" s="18">
        <f>ROUND(RAND()*4+6,1)</f>
      </c>
      <c r="I118" s="17" t="s">
        <v>41</v>
      </c>
      <c r="J118" s="19">
        <f>ROUND(100*1,0)&amp;"%"</f>
      </c>
    </row>
    <row x14ac:dyDescent="0.25" r="119" customHeight="1" ht="17.25">
      <c r="A119" s="20" t="s">
        <v>7445</v>
      </c>
      <c r="B119" s="20" t="s">
        <v>216</v>
      </c>
      <c r="C119" s="20" t="s">
        <v>76</v>
      </c>
      <c r="D119" s="20" t="s">
        <v>67</v>
      </c>
      <c r="E119" s="21">
        <f>ROUND(9006*1.05,2)</f>
      </c>
      <c r="F119" s="20" t="s">
        <v>44</v>
      </c>
      <c r="G119" s="20" t="s">
        <v>30</v>
      </c>
      <c r="H119" s="21">
        <f>ROUND(RAND()*4+6,1)</f>
      </c>
      <c r="I119" s="20" t="s">
        <v>45</v>
      </c>
      <c r="J119" s="23">
        <f>ROUND(94*1,0)&amp;"%"</f>
      </c>
    </row>
    <row x14ac:dyDescent="0.25" r="120" customHeight="1" ht="17.25">
      <c r="A120" s="17" t="s">
        <v>7446</v>
      </c>
      <c r="B120" s="17" t="s">
        <v>218</v>
      </c>
      <c r="C120" s="17" t="s">
        <v>76</v>
      </c>
      <c r="D120" s="17" t="s">
        <v>16</v>
      </c>
      <c r="E120" s="18">
        <f>ROUND(13839*1.05,2)</f>
      </c>
      <c r="F120" s="17" t="s">
        <v>48</v>
      </c>
      <c r="G120" s="17" t="s">
        <v>18</v>
      </c>
      <c r="H120" s="18">
        <f>ROUND(RAND()*4+6,1)</f>
      </c>
      <c r="I120" s="17" t="s">
        <v>19</v>
      </c>
      <c r="J120" s="19">
        <f>ROUND(74*1,0)&amp;"%"</f>
      </c>
    </row>
    <row x14ac:dyDescent="0.25" r="121" customHeight="1" ht="17.25">
      <c r="A121" s="20" t="s">
        <v>7447</v>
      </c>
      <c r="B121" s="20" t="s">
        <v>220</v>
      </c>
      <c r="C121" s="20" t="s">
        <v>76</v>
      </c>
      <c r="D121" s="20" t="s">
        <v>22</v>
      </c>
      <c r="E121" s="21">
        <f>ROUND(8526*1.05,2)</f>
      </c>
      <c r="F121" s="20" t="s">
        <v>51</v>
      </c>
      <c r="G121" s="20" t="s">
        <v>24</v>
      </c>
      <c r="H121" s="21">
        <f>ROUND(RAND()*4+6,1)</f>
      </c>
      <c r="I121" s="20" t="s">
        <v>25</v>
      </c>
      <c r="J121" s="23">
        <f>ROUND(75*1,0)&amp;"%"</f>
      </c>
    </row>
    <row x14ac:dyDescent="0.25" r="122" customHeight="1" ht="17.25">
      <c r="A122" s="24" t="s">
        <v>221</v>
      </c>
      <c r="B122" s="24"/>
      <c r="C122" s="24"/>
      <c r="D122" s="24"/>
      <c r="E122" s="25">
        <v>8</v>
      </c>
      <c r="F122" s="9"/>
      <c r="G122" s="9"/>
      <c r="H122" s="10"/>
      <c r="I122" s="9"/>
      <c r="J122" s="9"/>
    </row>
    <row x14ac:dyDescent="0.25" r="123" customHeight="1" ht="17.25">
      <c r="A123" s="7"/>
      <c r="B123" s="7"/>
      <c r="C123" s="7"/>
      <c r="D123" s="7"/>
      <c r="E123" s="8"/>
      <c r="F123" s="9"/>
      <c r="G123" s="9"/>
      <c r="H123" s="10"/>
      <c r="I123" s="9"/>
      <c r="J123" s="9"/>
    </row>
    <row x14ac:dyDescent="0.25" r="124" customHeight="1" ht="17.25">
      <c r="A124" s="11" t="s">
        <v>7448</v>
      </c>
      <c r="B124" s="11"/>
      <c r="C124" s="11"/>
      <c r="D124" s="11"/>
      <c r="E124" s="12"/>
      <c r="F124" s="11"/>
      <c r="G124" s="11"/>
      <c r="H124" s="13"/>
      <c r="I124" s="11"/>
      <c r="J124" s="11"/>
    </row>
    <row x14ac:dyDescent="0.25" r="125" customHeight="1" ht="17.25">
      <c r="A125" s="14" t="s">
        <v>3</v>
      </c>
      <c r="B125" s="14" t="s">
        <v>4</v>
      </c>
      <c r="C125" s="14" t="s">
        <v>5</v>
      </c>
      <c r="D125" s="14" t="s">
        <v>6</v>
      </c>
      <c r="E125" s="15" t="s">
        <v>7</v>
      </c>
      <c r="F125" s="14" t="s">
        <v>8</v>
      </c>
      <c r="G125" s="14" t="s">
        <v>9</v>
      </c>
      <c r="H125" s="16" t="s">
        <v>10</v>
      </c>
      <c r="I125" s="14" t="s">
        <v>11</v>
      </c>
      <c r="J125" s="14" t="s">
        <v>12</v>
      </c>
    </row>
    <row x14ac:dyDescent="0.25" r="126" customHeight="1" ht="17.25">
      <c r="A126" s="17" t="s">
        <v>7449</v>
      </c>
      <c r="B126" s="17" t="s">
        <v>224</v>
      </c>
      <c r="C126" s="17" t="s">
        <v>95</v>
      </c>
      <c r="D126" s="17" t="s">
        <v>16</v>
      </c>
      <c r="E126" s="18">
        <f>ROUND(13371*1.05,2)</f>
      </c>
      <c r="F126" s="17" t="s">
        <v>17</v>
      </c>
      <c r="G126" s="17" t="s">
        <v>18</v>
      </c>
      <c r="H126" s="18">
        <f>ROUND(RAND()*4+6,1)</f>
      </c>
      <c r="I126" s="17" t="s">
        <v>19</v>
      </c>
      <c r="J126" s="19">
        <f>ROUND(93*1,0)&amp;"%"</f>
      </c>
    </row>
    <row x14ac:dyDescent="0.25" r="127" customHeight="1" ht="17.25">
      <c r="A127" s="20" t="s">
        <v>7450</v>
      </c>
      <c r="B127" s="20" t="s">
        <v>226</v>
      </c>
      <c r="C127" s="20" t="s">
        <v>95</v>
      </c>
      <c r="D127" s="20" t="s">
        <v>22</v>
      </c>
      <c r="E127" s="21">
        <f>ROUND(14606*1.05,2)</f>
      </c>
      <c r="F127" s="20" t="s">
        <v>23</v>
      </c>
      <c r="G127" s="20" t="s">
        <v>24</v>
      </c>
      <c r="H127" s="21">
        <f>ROUND(RAND()*4+6,1)</f>
      </c>
      <c r="I127" s="20" t="s">
        <v>25</v>
      </c>
      <c r="J127" s="23">
        <f>ROUND(81*1,0)&amp;"%"</f>
      </c>
    </row>
    <row x14ac:dyDescent="0.25" r="128" customHeight="1" ht="17.25">
      <c r="A128" s="17" t="s">
        <v>7451</v>
      </c>
      <c r="B128" s="17" t="s">
        <v>228</v>
      </c>
      <c r="C128" s="17" t="s">
        <v>95</v>
      </c>
      <c r="D128" s="17" t="s">
        <v>28</v>
      </c>
      <c r="E128" s="18">
        <f>ROUND(7621*1.05,2)</f>
      </c>
      <c r="F128" s="17" t="s">
        <v>29</v>
      </c>
      <c r="G128" s="17" t="s">
        <v>30</v>
      </c>
      <c r="H128" s="18">
        <f>ROUND(RAND()*4+6,1)</f>
      </c>
      <c r="I128" s="17" t="s">
        <v>31</v>
      </c>
      <c r="J128" s="19">
        <f>ROUND(63*1,0)&amp;"%"</f>
      </c>
    </row>
    <row x14ac:dyDescent="0.25" r="129" customHeight="1" ht="17.25">
      <c r="A129" s="20" t="s">
        <v>7452</v>
      </c>
      <c r="B129" s="20" t="s">
        <v>230</v>
      </c>
      <c r="C129" s="20" t="s">
        <v>95</v>
      </c>
      <c r="D129" s="20" t="s">
        <v>34</v>
      </c>
      <c r="E129" s="21">
        <f>ROUND(16224*1.05,2)</f>
      </c>
      <c r="F129" s="20" t="s">
        <v>35</v>
      </c>
      <c r="G129" s="20" t="s">
        <v>18</v>
      </c>
      <c r="H129" s="21">
        <f>ROUND(RAND()*4+6,1)</f>
      </c>
      <c r="I129" s="20" t="s">
        <v>36</v>
      </c>
      <c r="J129" s="23">
        <f>ROUND(82*1,0)&amp;"%"</f>
      </c>
    </row>
    <row x14ac:dyDescent="0.25" r="130" customHeight="1" ht="17.25">
      <c r="A130" s="17" t="s">
        <v>7453</v>
      </c>
      <c r="B130" s="17" t="s">
        <v>232</v>
      </c>
      <c r="C130" s="17" t="s">
        <v>95</v>
      </c>
      <c r="D130" s="17" t="s">
        <v>39</v>
      </c>
      <c r="E130" s="26">
        <f>ROUND(5080*1.05,2)</f>
      </c>
      <c r="F130" s="17" t="s">
        <v>40</v>
      </c>
      <c r="G130" s="17" t="s">
        <v>24</v>
      </c>
      <c r="H130" s="18">
        <f>ROUND(RAND()*4+6,1)</f>
      </c>
      <c r="I130" s="17" t="s">
        <v>41</v>
      </c>
      <c r="J130" s="19">
        <f>ROUND(65*1,0)&amp;"%"</f>
      </c>
    </row>
    <row x14ac:dyDescent="0.25" r="131" customHeight="1" ht="17.25">
      <c r="A131" s="20" t="s">
        <v>7454</v>
      </c>
      <c r="B131" s="20" t="s">
        <v>234</v>
      </c>
      <c r="C131" s="20" t="s">
        <v>95</v>
      </c>
      <c r="D131" s="20" t="s">
        <v>67</v>
      </c>
      <c r="E131" s="21">
        <f>ROUND(9896*1.05,2)</f>
      </c>
      <c r="F131" s="20" t="s">
        <v>44</v>
      </c>
      <c r="G131" s="20" t="s">
        <v>30</v>
      </c>
      <c r="H131" s="21">
        <f>ROUND(RAND()*4+6,1)</f>
      </c>
      <c r="I131" s="20" t="s">
        <v>45</v>
      </c>
      <c r="J131" s="23">
        <f>ROUND(81*1,0)&amp;"%"</f>
      </c>
    </row>
    <row x14ac:dyDescent="0.25" r="132" customHeight="1" ht="17.25">
      <c r="A132" s="17" t="s">
        <v>7455</v>
      </c>
      <c r="B132" s="17" t="s">
        <v>236</v>
      </c>
      <c r="C132" s="17" t="s">
        <v>95</v>
      </c>
      <c r="D132" s="17" t="s">
        <v>16</v>
      </c>
      <c r="E132" s="18">
        <f>ROUND(14956*1.05,2)</f>
      </c>
      <c r="F132" s="17" t="s">
        <v>48</v>
      </c>
      <c r="G132" s="17" t="s">
        <v>18</v>
      </c>
      <c r="H132" s="18">
        <f>ROUND(RAND()*4+6,1)</f>
      </c>
      <c r="I132" s="17" t="s">
        <v>19</v>
      </c>
      <c r="J132" s="19">
        <f>ROUND(68*1,0)&amp;"%"</f>
      </c>
    </row>
    <row x14ac:dyDescent="0.25" r="133" customHeight="1" ht="17.25">
      <c r="A133" s="20" t="s">
        <v>7456</v>
      </c>
      <c r="B133" s="20" t="s">
        <v>238</v>
      </c>
      <c r="C133" s="20" t="s">
        <v>95</v>
      </c>
      <c r="D133" s="20" t="s">
        <v>22</v>
      </c>
      <c r="E133" s="21">
        <f>ROUND(16321*1.05,2)</f>
      </c>
      <c r="F133" s="20" t="s">
        <v>51</v>
      </c>
      <c r="G133" s="20" t="s">
        <v>24</v>
      </c>
      <c r="H133" s="21">
        <f>ROUND(RAND()*4+6,1)</f>
      </c>
      <c r="I133" s="20" t="s">
        <v>25</v>
      </c>
      <c r="J133" s="23">
        <f>ROUND(89*1,0)&amp;"%"</f>
      </c>
    </row>
    <row x14ac:dyDescent="0.25" r="134" customHeight="1" ht="17.25">
      <c r="A134" s="24" t="s">
        <v>239</v>
      </c>
      <c r="B134" s="24"/>
      <c r="C134" s="24"/>
      <c r="D134" s="24"/>
      <c r="E134" s="25">
        <v>8</v>
      </c>
      <c r="F134" s="9"/>
      <c r="G134" s="9"/>
      <c r="H134" s="10"/>
      <c r="I134" s="9"/>
      <c r="J134" s="9"/>
    </row>
    <row x14ac:dyDescent="0.25" r="135" customHeight="1" ht="17.25">
      <c r="A135" s="7"/>
      <c r="B135" s="7"/>
      <c r="C135" s="7"/>
      <c r="D135" s="7"/>
      <c r="E135" s="8"/>
      <c r="F135" s="9"/>
      <c r="G135" s="9"/>
      <c r="H135" s="10"/>
      <c r="I135" s="9"/>
      <c r="J135" s="9"/>
    </row>
    <row x14ac:dyDescent="0.25" r="136" customHeight="1" ht="17.25">
      <c r="A136" s="11" t="s">
        <v>7457</v>
      </c>
      <c r="B136" s="11"/>
      <c r="C136" s="11"/>
      <c r="D136" s="11"/>
      <c r="E136" s="12"/>
      <c r="F136" s="11"/>
      <c r="G136" s="11"/>
      <c r="H136" s="13"/>
      <c r="I136" s="11"/>
      <c r="J136" s="11"/>
    </row>
    <row x14ac:dyDescent="0.25" r="137" customHeight="1" ht="17.25">
      <c r="A137" s="14" t="s">
        <v>3</v>
      </c>
      <c r="B137" s="14" t="s">
        <v>4</v>
      </c>
      <c r="C137" s="14" t="s">
        <v>5</v>
      </c>
      <c r="D137" s="14" t="s">
        <v>6</v>
      </c>
      <c r="E137" s="15" t="s">
        <v>7</v>
      </c>
      <c r="F137" s="14" t="s">
        <v>8</v>
      </c>
      <c r="G137" s="14" t="s">
        <v>9</v>
      </c>
      <c r="H137" s="16" t="s">
        <v>10</v>
      </c>
      <c r="I137" s="14" t="s">
        <v>11</v>
      </c>
      <c r="J137" s="14" t="s">
        <v>12</v>
      </c>
    </row>
    <row x14ac:dyDescent="0.25" r="138" customHeight="1" ht="17.25">
      <c r="A138" s="17" t="s">
        <v>7458</v>
      </c>
      <c r="B138" s="17" t="s">
        <v>242</v>
      </c>
      <c r="C138" s="17" t="s">
        <v>114</v>
      </c>
      <c r="D138" s="17" t="s">
        <v>16</v>
      </c>
      <c r="E138" s="18">
        <f>ROUND(16163*1.05,2)</f>
      </c>
      <c r="F138" s="17" t="s">
        <v>17</v>
      </c>
      <c r="G138" s="17" t="s">
        <v>18</v>
      </c>
      <c r="H138" s="18">
        <f>ROUND(RAND()*4+6,1)</f>
      </c>
      <c r="I138" s="17" t="s">
        <v>19</v>
      </c>
      <c r="J138" s="19">
        <f>ROUND(75*1,0)&amp;"%"</f>
      </c>
    </row>
    <row x14ac:dyDescent="0.25" r="139" customHeight="1" ht="17.25">
      <c r="A139" s="20" t="s">
        <v>7459</v>
      </c>
      <c r="B139" s="20" t="s">
        <v>244</v>
      </c>
      <c r="C139" s="20" t="s">
        <v>114</v>
      </c>
      <c r="D139" s="20" t="s">
        <v>22</v>
      </c>
      <c r="E139" s="21">
        <f>ROUND(4132*1.05,2)</f>
      </c>
      <c r="F139" s="20" t="s">
        <v>23</v>
      </c>
      <c r="G139" s="20" t="s">
        <v>24</v>
      </c>
      <c r="H139" s="21">
        <f>ROUND(RAND()*4+6,1)</f>
      </c>
      <c r="I139" s="20" t="s">
        <v>25</v>
      </c>
      <c r="J139" s="23">
        <f>ROUND(99*1,0)&amp;"%"</f>
      </c>
    </row>
    <row x14ac:dyDescent="0.25" r="140" customHeight="1" ht="17.25">
      <c r="A140" s="17" t="s">
        <v>7460</v>
      </c>
      <c r="B140" s="17" t="s">
        <v>246</v>
      </c>
      <c r="C140" s="17" t="s">
        <v>114</v>
      </c>
      <c r="D140" s="17" t="s">
        <v>28</v>
      </c>
      <c r="E140" s="18">
        <f>ROUND(15304*1.05,2)</f>
      </c>
      <c r="F140" s="17" t="s">
        <v>29</v>
      </c>
      <c r="G140" s="17" t="s">
        <v>30</v>
      </c>
      <c r="H140" s="18">
        <f>ROUND(RAND()*4+6,1)</f>
      </c>
      <c r="I140" s="17" t="s">
        <v>31</v>
      </c>
      <c r="J140" s="19">
        <f>ROUND(77*1,0)&amp;"%"</f>
      </c>
    </row>
    <row x14ac:dyDescent="0.25" r="141" customHeight="1" ht="17.25">
      <c r="A141" s="20" t="s">
        <v>7461</v>
      </c>
      <c r="B141" s="20" t="s">
        <v>248</v>
      </c>
      <c r="C141" s="20" t="s">
        <v>114</v>
      </c>
      <c r="D141" s="20" t="s">
        <v>34</v>
      </c>
      <c r="E141" s="21">
        <f>ROUND(6097*1.05,2)</f>
      </c>
      <c r="F141" s="20" t="s">
        <v>35</v>
      </c>
      <c r="G141" s="20" t="s">
        <v>18</v>
      </c>
      <c r="H141" s="21">
        <f>ROUND(RAND()*4+6,1)</f>
      </c>
      <c r="I141" s="20" t="s">
        <v>36</v>
      </c>
      <c r="J141" s="23">
        <f>ROUND(85*1,0)&amp;"%"</f>
      </c>
    </row>
    <row x14ac:dyDescent="0.25" r="142" customHeight="1" ht="17.25">
      <c r="A142" s="17" t="s">
        <v>7462</v>
      </c>
      <c r="B142" s="17" t="s">
        <v>250</v>
      </c>
      <c r="C142" s="17" t="s">
        <v>114</v>
      </c>
      <c r="D142" s="17" t="s">
        <v>39</v>
      </c>
      <c r="E142" s="18">
        <f>ROUND(13729*1.05,2)</f>
      </c>
      <c r="F142" s="17" t="s">
        <v>40</v>
      </c>
      <c r="G142" s="17" t="s">
        <v>24</v>
      </c>
      <c r="H142" s="18">
        <f>ROUND(RAND()*4+6,1)</f>
      </c>
      <c r="I142" s="17" t="s">
        <v>41</v>
      </c>
      <c r="J142" s="19">
        <f>ROUND(95*1,0)&amp;"%"</f>
      </c>
    </row>
    <row x14ac:dyDescent="0.25" r="143" customHeight="1" ht="17.25">
      <c r="A143" s="20" t="s">
        <v>7463</v>
      </c>
      <c r="B143" s="20" t="s">
        <v>252</v>
      </c>
      <c r="C143" s="20" t="s">
        <v>114</v>
      </c>
      <c r="D143" s="20" t="s">
        <v>67</v>
      </c>
      <c r="E143" s="21">
        <f>ROUND(15676*1.05,2)</f>
      </c>
      <c r="F143" s="20" t="s">
        <v>44</v>
      </c>
      <c r="G143" s="20" t="s">
        <v>30</v>
      </c>
      <c r="H143" s="21">
        <f>ROUND(RAND()*4+6,1)</f>
      </c>
      <c r="I143" s="20" t="s">
        <v>45</v>
      </c>
      <c r="J143" s="23">
        <f>ROUND(100*1,0)&amp;"%"</f>
      </c>
    </row>
    <row x14ac:dyDescent="0.25" r="144" customHeight="1" ht="17.25">
      <c r="A144" s="17" t="s">
        <v>7464</v>
      </c>
      <c r="B144" s="17" t="s">
        <v>254</v>
      </c>
      <c r="C144" s="17" t="s">
        <v>114</v>
      </c>
      <c r="D144" s="17" t="s">
        <v>16</v>
      </c>
      <c r="E144" s="18">
        <f>ROUND(8907*1.05,2)</f>
      </c>
      <c r="F144" s="17" t="s">
        <v>48</v>
      </c>
      <c r="G144" s="17" t="s">
        <v>18</v>
      </c>
      <c r="H144" s="18">
        <f>ROUND(RAND()*4+6,1)</f>
      </c>
      <c r="I144" s="17" t="s">
        <v>19</v>
      </c>
      <c r="J144" s="19">
        <f>ROUND(64*1,0)&amp;"%"</f>
      </c>
    </row>
    <row x14ac:dyDescent="0.25" r="145" customHeight="1" ht="17.25">
      <c r="A145" s="20" t="s">
        <v>7465</v>
      </c>
      <c r="B145" s="20" t="s">
        <v>256</v>
      </c>
      <c r="C145" s="20" t="s">
        <v>114</v>
      </c>
      <c r="D145" s="20" t="s">
        <v>22</v>
      </c>
      <c r="E145" s="21">
        <f>ROUND(8571*1.05,2)</f>
      </c>
      <c r="F145" s="20" t="s">
        <v>51</v>
      </c>
      <c r="G145" s="20" t="s">
        <v>24</v>
      </c>
      <c r="H145" s="21">
        <f>ROUND(RAND()*4+6,1)</f>
      </c>
      <c r="I145" s="20" t="s">
        <v>25</v>
      </c>
      <c r="J145" s="23">
        <f>ROUND(100*1,0)&amp;"%"</f>
      </c>
    </row>
    <row x14ac:dyDescent="0.25" r="146" customHeight="1" ht="17.25">
      <c r="A146" s="24" t="s">
        <v>257</v>
      </c>
      <c r="B146" s="24"/>
      <c r="C146" s="24"/>
      <c r="D146" s="24"/>
      <c r="E146" s="25">
        <v>8</v>
      </c>
      <c r="F146" s="9"/>
      <c r="G146" s="9"/>
      <c r="H146" s="10"/>
      <c r="I146" s="9"/>
      <c r="J146" s="9"/>
    </row>
    <row x14ac:dyDescent="0.25" r="147" customHeight="1" ht="17.25">
      <c r="A147" s="7"/>
      <c r="B147" s="7"/>
      <c r="C147" s="7"/>
      <c r="D147" s="7"/>
      <c r="E147" s="8"/>
      <c r="F147" s="9"/>
      <c r="G147" s="9"/>
      <c r="H147" s="10"/>
      <c r="I147" s="9"/>
      <c r="J147" s="9"/>
    </row>
    <row x14ac:dyDescent="0.25" r="148" customHeight="1" ht="17.25">
      <c r="A148" s="11" t="s">
        <v>7466</v>
      </c>
      <c r="B148" s="11"/>
      <c r="C148" s="11"/>
      <c r="D148" s="11"/>
      <c r="E148" s="12"/>
      <c r="F148" s="11"/>
      <c r="G148" s="11"/>
      <c r="H148" s="13"/>
      <c r="I148" s="11"/>
      <c r="J148" s="11"/>
    </row>
    <row x14ac:dyDescent="0.25" r="149" customHeight="1" ht="17.25">
      <c r="A149" s="14" t="s">
        <v>3</v>
      </c>
      <c r="B149" s="14" t="s">
        <v>4</v>
      </c>
      <c r="C149" s="14" t="s">
        <v>5</v>
      </c>
      <c r="D149" s="14" t="s">
        <v>6</v>
      </c>
      <c r="E149" s="15" t="s">
        <v>7</v>
      </c>
      <c r="F149" s="14" t="s">
        <v>8</v>
      </c>
      <c r="G149" s="14" t="s">
        <v>9</v>
      </c>
      <c r="H149" s="16" t="s">
        <v>10</v>
      </c>
      <c r="I149" s="14" t="s">
        <v>11</v>
      </c>
      <c r="J149" s="14" t="s">
        <v>12</v>
      </c>
    </row>
    <row x14ac:dyDescent="0.25" r="150" customHeight="1" ht="17.25">
      <c r="A150" s="17" t="s">
        <v>7467</v>
      </c>
      <c r="B150" s="17" t="s">
        <v>260</v>
      </c>
      <c r="C150" s="17" t="s">
        <v>133</v>
      </c>
      <c r="D150" s="17" t="s">
        <v>16</v>
      </c>
      <c r="E150" s="18">
        <f>ROUND(17729*1.05,2)</f>
      </c>
      <c r="F150" s="17" t="s">
        <v>17</v>
      </c>
      <c r="G150" s="17" t="s">
        <v>18</v>
      </c>
      <c r="H150" s="18">
        <f>ROUND(RAND()*4+6,1)</f>
      </c>
      <c r="I150" s="17" t="s">
        <v>19</v>
      </c>
      <c r="J150" s="19">
        <f>ROUND(84*1,0)&amp;"%"</f>
      </c>
    </row>
    <row x14ac:dyDescent="0.25" r="151" customHeight="1" ht="17.25">
      <c r="A151" s="20" t="s">
        <v>7468</v>
      </c>
      <c r="B151" s="20" t="s">
        <v>262</v>
      </c>
      <c r="C151" s="20" t="s">
        <v>133</v>
      </c>
      <c r="D151" s="20" t="s">
        <v>22</v>
      </c>
      <c r="E151" s="21">
        <f>ROUND(4584*1.05,2)</f>
      </c>
      <c r="F151" s="20" t="s">
        <v>23</v>
      </c>
      <c r="G151" s="20" t="s">
        <v>24</v>
      </c>
      <c r="H151" s="21">
        <f>ROUND(RAND()*4+6,1)</f>
      </c>
      <c r="I151" s="20" t="s">
        <v>25</v>
      </c>
      <c r="J151" s="23">
        <f>ROUND(80*1,0)&amp;"%"</f>
      </c>
    </row>
    <row x14ac:dyDescent="0.25" r="152" customHeight="1" ht="17.25">
      <c r="A152" s="17" t="s">
        <v>7469</v>
      </c>
      <c r="B152" s="17" t="s">
        <v>264</v>
      </c>
      <c r="C152" s="17" t="s">
        <v>133</v>
      </c>
      <c r="D152" s="17" t="s">
        <v>28</v>
      </c>
      <c r="E152" s="18">
        <f>ROUND(6474*1.05,2)</f>
      </c>
      <c r="F152" s="17" t="s">
        <v>29</v>
      </c>
      <c r="G152" s="17" t="s">
        <v>30</v>
      </c>
      <c r="H152" s="18">
        <f>ROUND(RAND()*4+6,1)</f>
      </c>
      <c r="I152" s="17" t="s">
        <v>31</v>
      </c>
      <c r="J152" s="19">
        <f>ROUND(77*1,0)&amp;"%"</f>
      </c>
    </row>
    <row x14ac:dyDescent="0.25" r="153" customHeight="1" ht="17.25">
      <c r="A153" s="20" t="s">
        <v>7470</v>
      </c>
      <c r="B153" s="20" t="s">
        <v>266</v>
      </c>
      <c r="C153" s="20" t="s">
        <v>133</v>
      </c>
      <c r="D153" s="20" t="s">
        <v>34</v>
      </c>
      <c r="E153" s="21">
        <f>ROUND(8667*1.05,2)</f>
      </c>
      <c r="F153" s="20" t="s">
        <v>35</v>
      </c>
      <c r="G153" s="20" t="s">
        <v>18</v>
      </c>
      <c r="H153" s="21">
        <f>ROUND(RAND()*4+6,1)</f>
      </c>
      <c r="I153" s="20" t="s">
        <v>36</v>
      </c>
      <c r="J153" s="23">
        <f>ROUND(96*1,0)&amp;"%"</f>
      </c>
    </row>
    <row x14ac:dyDescent="0.25" r="154" customHeight="1" ht="17.25">
      <c r="A154" s="17" t="s">
        <v>7471</v>
      </c>
      <c r="B154" s="17" t="s">
        <v>268</v>
      </c>
      <c r="C154" s="17" t="s">
        <v>133</v>
      </c>
      <c r="D154" s="17" t="s">
        <v>39</v>
      </c>
      <c r="E154" s="18">
        <f>ROUND(12163*1.05,2)</f>
      </c>
      <c r="F154" s="17" t="s">
        <v>40</v>
      </c>
      <c r="G154" s="17" t="s">
        <v>24</v>
      </c>
      <c r="H154" s="18">
        <f>ROUND(RAND()*4+6,1)</f>
      </c>
      <c r="I154" s="17" t="s">
        <v>41</v>
      </c>
      <c r="J154" s="19">
        <f>ROUND(60*1,0)&amp;"%"</f>
      </c>
    </row>
    <row x14ac:dyDescent="0.25" r="155" customHeight="1" ht="17.25">
      <c r="A155" s="20" t="s">
        <v>7472</v>
      </c>
      <c r="B155" s="20" t="s">
        <v>270</v>
      </c>
      <c r="C155" s="20" t="s">
        <v>133</v>
      </c>
      <c r="D155" s="20" t="s">
        <v>67</v>
      </c>
      <c r="E155" s="21">
        <f>ROUND(15082*1.05,2)</f>
      </c>
      <c r="F155" s="20" t="s">
        <v>44</v>
      </c>
      <c r="G155" s="20" t="s">
        <v>30</v>
      </c>
      <c r="H155" s="22">
        <f>ROUND(RAND()*4+6,1)</f>
      </c>
      <c r="I155" s="20" t="s">
        <v>45</v>
      </c>
      <c r="J155" s="23">
        <f>ROUND(90*1,0)&amp;"%"</f>
      </c>
    </row>
    <row x14ac:dyDescent="0.25" r="156" customHeight="1" ht="17.25">
      <c r="A156" s="17" t="s">
        <v>7473</v>
      </c>
      <c r="B156" s="17" t="s">
        <v>272</v>
      </c>
      <c r="C156" s="17" t="s">
        <v>133</v>
      </c>
      <c r="D156" s="17" t="s">
        <v>16</v>
      </c>
      <c r="E156" s="18">
        <f>ROUND(13403*1.05,2)</f>
      </c>
      <c r="F156" s="17" t="s">
        <v>48</v>
      </c>
      <c r="G156" s="17" t="s">
        <v>18</v>
      </c>
      <c r="H156" s="18">
        <f>ROUND(RAND()*4+6,1)</f>
      </c>
      <c r="I156" s="17" t="s">
        <v>19</v>
      </c>
      <c r="J156" s="19">
        <f>ROUND(68*1,0)&amp;"%"</f>
      </c>
    </row>
    <row x14ac:dyDescent="0.25" r="157" customHeight="1" ht="17.25">
      <c r="A157" s="20" t="s">
        <v>7474</v>
      </c>
      <c r="B157" s="20" t="s">
        <v>274</v>
      </c>
      <c r="C157" s="20" t="s">
        <v>133</v>
      </c>
      <c r="D157" s="20" t="s">
        <v>22</v>
      </c>
      <c r="E157" s="21">
        <f>ROUND(10582*1.05,2)</f>
      </c>
      <c r="F157" s="20" t="s">
        <v>51</v>
      </c>
      <c r="G157" s="20" t="s">
        <v>24</v>
      </c>
      <c r="H157" s="21">
        <f>ROUND(RAND()*4+6,1)</f>
      </c>
      <c r="I157" s="20" t="s">
        <v>25</v>
      </c>
      <c r="J157" s="23">
        <f>ROUND(94*1,0)&amp;"%"</f>
      </c>
    </row>
    <row x14ac:dyDescent="0.25" r="158" customHeight="1" ht="17.25">
      <c r="A158" s="24" t="s">
        <v>275</v>
      </c>
      <c r="B158" s="24"/>
      <c r="C158" s="24"/>
      <c r="D158" s="24"/>
      <c r="E158" s="25">
        <v>8</v>
      </c>
      <c r="F158" s="9"/>
      <c r="G158" s="9"/>
      <c r="H158" s="10"/>
      <c r="I158" s="9"/>
      <c r="J158" s="9"/>
    </row>
    <row x14ac:dyDescent="0.25" r="159" customHeight="1" ht="17.25">
      <c r="A159" s="7"/>
      <c r="B159" s="7"/>
      <c r="C159" s="7"/>
      <c r="D159" s="7"/>
      <c r="E159" s="8"/>
      <c r="F159" s="9"/>
      <c r="G159" s="9"/>
      <c r="H159" s="10"/>
      <c r="I159" s="9"/>
      <c r="J159" s="9"/>
    </row>
    <row x14ac:dyDescent="0.25" r="160" customHeight="1" ht="17.25">
      <c r="A160" s="11" t="s">
        <v>7475</v>
      </c>
      <c r="B160" s="11"/>
      <c r="C160" s="11"/>
      <c r="D160" s="11"/>
      <c r="E160" s="12"/>
      <c r="F160" s="11"/>
      <c r="G160" s="11"/>
      <c r="H160" s="13"/>
      <c r="I160" s="11"/>
      <c r="J160" s="11"/>
    </row>
    <row x14ac:dyDescent="0.25" r="161" customHeight="1" ht="17.25">
      <c r="A161" s="14" t="s">
        <v>3</v>
      </c>
      <c r="B161" s="14" t="s">
        <v>4</v>
      </c>
      <c r="C161" s="14" t="s">
        <v>5</v>
      </c>
      <c r="D161" s="14" t="s">
        <v>6</v>
      </c>
      <c r="E161" s="15" t="s">
        <v>7</v>
      </c>
      <c r="F161" s="14" t="s">
        <v>8</v>
      </c>
      <c r="G161" s="14" t="s">
        <v>9</v>
      </c>
      <c r="H161" s="16" t="s">
        <v>10</v>
      </c>
      <c r="I161" s="14" t="s">
        <v>11</v>
      </c>
      <c r="J161" s="14" t="s">
        <v>12</v>
      </c>
    </row>
    <row x14ac:dyDescent="0.25" r="162" customHeight="1" ht="17.25">
      <c r="A162" s="17" t="s">
        <v>7476</v>
      </c>
      <c r="B162" s="17" t="s">
        <v>278</v>
      </c>
      <c r="C162" s="17" t="s">
        <v>152</v>
      </c>
      <c r="D162" s="17" t="s">
        <v>16</v>
      </c>
      <c r="E162" s="18">
        <f>ROUND(9055*1.05,2)</f>
      </c>
      <c r="F162" s="17" t="s">
        <v>17</v>
      </c>
      <c r="G162" s="17" t="s">
        <v>18</v>
      </c>
      <c r="H162" s="26">
        <f>ROUND(RAND()*4+6,1)</f>
      </c>
      <c r="I162" s="17" t="s">
        <v>19</v>
      </c>
      <c r="J162" s="19">
        <f>ROUND(96*1,0)&amp;"%"</f>
      </c>
    </row>
    <row x14ac:dyDescent="0.25" r="163" customHeight="1" ht="17.25">
      <c r="A163" s="20" t="s">
        <v>7477</v>
      </c>
      <c r="B163" s="20" t="s">
        <v>280</v>
      </c>
      <c r="C163" s="20" t="s">
        <v>152</v>
      </c>
      <c r="D163" s="20" t="s">
        <v>22</v>
      </c>
      <c r="E163" s="21">
        <f>ROUND(4919*1.05,2)</f>
      </c>
      <c r="F163" s="20" t="s">
        <v>23</v>
      </c>
      <c r="G163" s="20" t="s">
        <v>24</v>
      </c>
      <c r="H163" s="21">
        <f>ROUND(RAND()*4+6,1)</f>
      </c>
      <c r="I163" s="20" t="s">
        <v>25</v>
      </c>
      <c r="J163" s="23">
        <f>ROUND(92*1,0)&amp;"%"</f>
      </c>
    </row>
    <row x14ac:dyDescent="0.25" r="164" customHeight="1" ht="17.25">
      <c r="A164" s="17" t="s">
        <v>7478</v>
      </c>
      <c r="B164" s="17" t="s">
        <v>282</v>
      </c>
      <c r="C164" s="17" t="s">
        <v>152</v>
      </c>
      <c r="D164" s="17" t="s">
        <v>28</v>
      </c>
      <c r="E164" s="18">
        <f>ROUND(8154*1.05,2)</f>
      </c>
      <c r="F164" s="17" t="s">
        <v>29</v>
      </c>
      <c r="G164" s="17" t="s">
        <v>30</v>
      </c>
      <c r="H164" s="18">
        <f>ROUND(RAND()*4+6,1)</f>
      </c>
      <c r="I164" s="17" t="s">
        <v>31</v>
      </c>
      <c r="J164" s="19">
        <f>ROUND(68*1,0)&amp;"%"</f>
      </c>
    </row>
    <row x14ac:dyDescent="0.25" r="165" customHeight="1" ht="17.25">
      <c r="A165" s="20" t="s">
        <v>7479</v>
      </c>
      <c r="B165" s="20" t="s">
        <v>284</v>
      </c>
      <c r="C165" s="20" t="s">
        <v>152</v>
      </c>
      <c r="D165" s="20" t="s">
        <v>34</v>
      </c>
      <c r="E165" s="21">
        <f>ROUND(4081*1.05,2)</f>
      </c>
      <c r="F165" s="20" t="s">
        <v>35</v>
      </c>
      <c r="G165" s="20" t="s">
        <v>18</v>
      </c>
      <c r="H165" s="21">
        <f>ROUND(RAND()*4+6,1)</f>
      </c>
      <c r="I165" s="20" t="s">
        <v>36</v>
      </c>
      <c r="J165" s="23">
        <f>ROUND(74*1,0)&amp;"%"</f>
      </c>
    </row>
    <row x14ac:dyDescent="0.25" r="166" customHeight="1" ht="17.25">
      <c r="A166" s="17" t="s">
        <v>7480</v>
      </c>
      <c r="B166" s="17" t="s">
        <v>286</v>
      </c>
      <c r="C166" s="17" t="s">
        <v>152</v>
      </c>
      <c r="D166" s="17" t="s">
        <v>39</v>
      </c>
      <c r="E166" s="18">
        <f>ROUND(16248*1.05,2)</f>
      </c>
      <c r="F166" s="17" t="s">
        <v>40</v>
      </c>
      <c r="G166" s="17" t="s">
        <v>24</v>
      </c>
      <c r="H166" s="18">
        <f>ROUND(RAND()*4+6,1)</f>
      </c>
      <c r="I166" s="17" t="s">
        <v>41</v>
      </c>
      <c r="J166" s="19">
        <f>ROUND(87*1,0)&amp;"%"</f>
      </c>
    </row>
    <row x14ac:dyDescent="0.25" r="167" customHeight="1" ht="17.25">
      <c r="A167" s="20" t="s">
        <v>7481</v>
      </c>
      <c r="B167" s="20" t="s">
        <v>288</v>
      </c>
      <c r="C167" s="20" t="s">
        <v>152</v>
      </c>
      <c r="D167" s="20" t="s">
        <v>67</v>
      </c>
      <c r="E167" s="21">
        <f>ROUND(17326*1.05,2)</f>
      </c>
      <c r="F167" s="20" t="s">
        <v>44</v>
      </c>
      <c r="G167" s="20" t="s">
        <v>30</v>
      </c>
      <c r="H167" s="21">
        <f>ROUND(RAND()*4+6,1)</f>
      </c>
      <c r="I167" s="20" t="s">
        <v>45</v>
      </c>
      <c r="J167" s="23">
        <f>ROUND(65*1,0)&amp;"%"</f>
      </c>
    </row>
    <row x14ac:dyDescent="0.25" r="168" customHeight="1" ht="17.25">
      <c r="A168" s="17" t="s">
        <v>7482</v>
      </c>
      <c r="B168" s="17" t="s">
        <v>290</v>
      </c>
      <c r="C168" s="17" t="s">
        <v>152</v>
      </c>
      <c r="D168" s="17" t="s">
        <v>16</v>
      </c>
      <c r="E168" s="18">
        <f>ROUND(14172*1.05,2)</f>
      </c>
      <c r="F168" s="17" t="s">
        <v>48</v>
      </c>
      <c r="G168" s="17" t="s">
        <v>18</v>
      </c>
      <c r="H168" s="18">
        <f>ROUND(RAND()*4+6,1)</f>
      </c>
      <c r="I168" s="17" t="s">
        <v>19</v>
      </c>
      <c r="J168" s="19">
        <f>ROUND(65*1,0)&amp;"%"</f>
      </c>
    </row>
    <row x14ac:dyDescent="0.25" r="169" customHeight="1" ht="17.25">
      <c r="A169" s="20" t="s">
        <v>7483</v>
      </c>
      <c r="B169" s="20" t="s">
        <v>292</v>
      </c>
      <c r="C169" s="20" t="s">
        <v>152</v>
      </c>
      <c r="D169" s="20" t="s">
        <v>22</v>
      </c>
      <c r="E169" s="21">
        <f>ROUND(8274*1.05,2)</f>
      </c>
      <c r="F169" s="20" t="s">
        <v>51</v>
      </c>
      <c r="G169" s="20" t="s">
        <v>24</v>
      </c>
      <c r="H169" s="21">
        <f>ROUND(RAND()*4+6,1)</f>
      </c>
      <c r="I169" s="20" t="s">
        <v>25</v>
      </c>
      <c r="J169" s="23">
        <f>ROUND(96*1,0)&amp;"%"</f>
      </c>
    </row>
    <row x14ac:dyDescent="0.25" r="170" customHeight="1" ht="17.25">
      <c r="A170" s="24" t="s">
        <v>293</v>
      </c>
      <c r="B170" s="24"/>
      <c r="C170" s="24"/>
      <c r="D170" s="24"/>
      <c r="E170" s="25">
        <v>8</v>
      </c>
      <c r="F170" s="9"/>
      <c r="G170" s="9"/>
      <c r="H170" s="10"/>
      <c r="I170" s="9"/>
      <c r="J170" s="9"/>
    </row>
    <row x14ac:dyDescent="0.25" r="171" customHeight="1" ht="17.25">
      <c r="A171" s="7"/>
      <c r="B171" s="7"/>
      <c r="C171" s="7"/>
      <c r="D171" s="7"/>
      <c r="E171" s="8"/>
      <c r="F171" s="9"/>
      <c r="G171" s="9"/>
      <c r="H171" s="10"/>
      <c r="I171" s="9"/>
      <c r="J171" s="9"/>
    </row>
    <row x14ac:dyDescent="0.25" r="172" customHeight="1" ht="17.25">
      <c r="A172" s="11" t="s">
        <v>7484</v>
      </c>
      <c r="B172" s="11"/>
      <c r="C172" s="11"/>
      <c r="D172" s="11"/>
      <c r="E172" s="12"/>
      <c r="F172" s="11"/>
      <c r="G172" s="11"/>
      <c r="H172" s="13"/>
      <c r="I172" s="11"/>
      <c r="J172" s="11"/>
    </row>
    <row x14ac:dyDescent="0.25" r="173" customHeight="1" ht="17.25">
      <c r="A173" s="14" t="s">
        <v>3</v>
      </c>
      <c r="B173" s="14" t="s">
        <v>4</v>
      </c>
      <c r="C173" s="14" t="s">
        <v>5</v>
      </c>
      <c r="D173" s="14" t="s">
        <v>6</v>
      </c>
      <c r="E173" s="15" t="s">
        <v>7</v>
      </c>
      <c r="F173" s="14" t="s">
        <v>8</v>
      </c>
      <c r="G173" s="14" t="s">
        <v>9</v>
      </c>
      <c r="H173" s="16" t="s">
        <v>10</v>
      </c>
      <c r="I173" s="14" t="s">
        <v>11</v>
      </c>
      <c r="J173" s="14" t="s">
        <v>12</v>
      </c>
    </row>
    <row x14ac:dyDescent="0.25" r="174" customHeight="1" ht="17.25">
      <c r="A174" s="17" t="s">
        <v>7485</v>
      </c>
      <c r="B174" s="17" t="s">
        <v>296</v>
      </c>
      <c r="C174" s="17" t="s">
        <v>15</v>
      </c>
      <c r="D174" s="17" t="s">
        <v>16</v>
      </c>
      <c r="E174" s="18">
        <f>ROUND(14189*1.05,2)</f>
      </c>
      <c r="F174" s="17" t="s">
        <v>17</v>
      </c>
      <c r="G174" s="17" t="s">
        <v>18</v>
      </c>
      <c r="H174" s="18">
        <f>ROUND(RAND()*4+6,1)</f>
      </c>
      <c r="I174" s="17" t="s">
        <v>19</v>
      </c>
      <c r="J174" s="19">
        <f>ROUND(91*1,0)&amp;"%"</f>
      </c>
    </row>
    <row x14ac:dyDescent="0.25" r="175" customHeight="1" ht="17.25">
      <c r="A175" s="20" t="s">
        <v>7486</v>
      </c>
      <c r="B175" s="20" t="s">
        <v>298</v>
      </c>
      <c r="C175" s="20" t="s">
        <v>15</v>
      </c>
      <c r="D175" s="20" t="s">
        <v>22</v>
      </c>
      <c r="E175" s="21">
        <f>ROUND(17071*1.05,2)</f>
      </c>
      <c r="F175" s="20" t="s">
        <v>23</v>
      </c>
      <c r="G175" s="20" t="s">
        <v>24</v>
      </c>
      <c r="H175" s="21">
        <f>ROUND(RAND()*4+6,1)</f>
      </c>
      <c r="I175" s="20" t="s">
        <v>25</v>
      </c>
      <c r="J175" s="23">
        <f>ROUND(70*1,0)&amp;"%"</f>
      </c>
    </row>
    <row x14ac:dyDescent="0.25" r="176" customHeight="1" ht="17.25">
      <c r="A176" s="17" t="s">
        <v>7487</v>
      </c>
      <c r="B176" s="17" t="s">
        <v>300</v>
      </c>
      <c r="C176" s="17" t="s">
        <v>15</v>
      </c>
      <c r="D176" s="17" t="s">
        <v>28</v>
      </c>
      <c r="E176" s="18">
        <f>ROUND(9829*1.05,2)</f>
      </c>
      <c r="F176" s="17" t="s">
        <v>29</v>
      </c>
      <c r="G176" s="17" t="s">
        <v>30</v>
      </c>
      <c r="H176" s="18">
        <f>ROUND(RAND()*4+6,1)</f>
      </c>
      <c r="I176" s="17" t="s">
        <v>31</v>
      </c>
      <c r="J176" s="19">
        <f>ROUND(70*1,0)&amp;"%"</f>
      </c>
    </row>
    <row x14ac:dyDescent="0.25" r="177" customHeight="1" ht="17.25">
      <c r="A177" s="20" t="s">
        <v>7488</v>
      </c>
      <c r="B177" s="20" t="s">
        <v>302</v>
      </c>
      <c r="C177" s="20" t="s">
        <v>15</v>
      </c>
      <c r="D177" s="20" t="s">
        <v>34</v>
      </c>
      <c r="E177" s="21">
        <f>ROUND(8894*1.05,2)</f>
      </c>
      <c r="F177" s="20" t="s">
        <v>35</v>
      </c>
      <c r="G177" s="20" t="s">
        <v>18</v>
      </c>
      <c r="H177" s="22">
        <f>ROUND(RAND()*4+6,1)</f>
      </c>
      <c r="I177" s="20" t="s">
        <v>36</v>
      </c>
      <c r="J177" s="23">
        <f>ROUND(68*1,0)&amp;"%"</f>
      </c>
    </row>
    <row x14ac:dyDescent="0.25" r="178" customHeight="1" ht="17.25">
      <c r="A178" s="17" t="s">
        <v>7489</v>
      </c>
      <c r="B178" s="17" t="s">
        <v>304</v>
      </c>
      <c r="C178" s="17" t="s">
        <v>15</v>
      </c>
      <c r="D178" s="17" t="s">
        <v>39</v>
      </c>
      <c r="E178" s="26">
        <f>ROUND(10380*1.05,2)</f>
      </c>
      <c r="F178" s="17" t="s">
        <v>40</v>
      </c>
      <c r="G178" s="17" t="s">
        <v>24</v>
      </c>
      <c r="H178" s="18">
        <f>ROUND(RAND()*4+6,1)</f>
      </c>
      <c r="I178" s="17" t="s">
        <v>41</v>
      </c>
      <c r="J178" s="19">
        <f>ROUND(86*1,0)&amp;"%"</f>
      </c>
    </row>
    <row x14ac:dyDescent="0.25" r="179" customHeight="1" ht="17.25">
      <c r="A179" s="20" t="s">
        <v>7490</v>
      </c>
      <c r="B179" s="20" t="s">
        <v>306</v>
      </c>
      <c r="C179" s="20" t="s">
        <v>15</v>
      </c>
      <c r="D179" s="20" t="s">
        <v>67</v>
      </c>
      <c r="E179" s="21">
        <f>ROUND(10326*1.05,2)</f>
      </c>
      <c r="F179" s="20" t="s">
        <v>44</v>
      </c>
      <c r="G179" s="20" t="s">
        <v>30</v>
      </c>
      <c r="H179" s="22">
        <f>ROUND(RAND()*4+6,1)</f>
      </c>
      <c r="I179" s="20" t="s">
        <v>45</v>
      </c>
      <c r="J179" s="23">
        <f>ROUND(81*1,0)&amp;"%"</f>
      </c>
    </row>
    <row x14ac:dyDescent="0.25" r="180" customHeight="1" ht="17.25">
      <c r="A180" s="17" t="s">
        <v>7491</v>
      </c>
      <c r="B180" s="17" t="s">
        <v>308</v>
      </c>
      <c r="C180" s="17" t="s">
        <v>15</v>
      </c>
      <c r="D180" s="17" t="s">
        <v>16</v>
      </c>
      <c r="E180" s="18">
        <f>ROUND(12035*1.05,2)</f>
      </c>
      <c r="F180" s="17" t="s">
        <v>48</v>
      </c>
      <c r="G180" s="17" t="s">
        <v>18</v>
      </c>
      <c r="H180" s="18">
        <f>ROUND(RAND()*4+6,1)</f>
      </c>
      <c r="I180" s="17" t="s">
        <v>19</v>
      </c>
      <c r="J180" s="19">
        <f>ROUND(95*1,0)&amp;"%"</f>
      </c>
    </row>
    <row x14ac:dyDescent="0.25" r="181" customHeight="1" ht="17.25">
      <c r="A181" s="20" t="s">
        <v>7492</v>
      </c>
      <c r="B181" s="20" t="s">
        <v>310</v>
      </c>
      <c r="C181" s="20" t="s">
        <v>15</v>
      </c>
      <c r="D181" s="20" t="s">
        <v>22</v>
      </c>
      <c r="E181" s="21">
        <f>ROUND(5088*1.05,2)</f>
      </c>
      <c r="F181" s="20" t="s">
        <v>51</v>
      </c>
      <c r="G181" s="20" t="s">
        <v>24</v>
      </c>
      <c r="H181" s="22">
        <f>ROUND(RAND()*4+6,1)</f>
      </c>
      <c r="I181" s="20" t="s">
        <v>25</v>
      </c>
      <c r="J181" s="23">
        <f>ROUND(76*1,0)&amp;"%"</f>
      </c>
    </row>
    <row x14ac:dyDescent="0.25" r="182" customHeight="1" ht="17.25">
      <c r="A182" s="24" t="s">
        <v>311</v>
      </c>
      <c r="B182" s="24"/>
      <c r="C182" s="24"/>
      <c r="D182" s="24"/>
      <c r="E182" s="25">
        <v>8</v>
      </c>
      <c r="F182" s="9"/>
      <c r="G182" s="9"/>
      <c r="H182" s="10"/>
      <c r="I182" s="9"/>
      <c r="J182" s="9"/>
    </row>
    <row x14ac:dyDescent="0.25" r="183" customHeight="1" ht="17.25">
      <c r="A183" s="7"/>
      <c r="B183" s="7"/>
      <c r="C183" s="7"/>
      <c r="D183" s="7"/>
      <c r="E183" s="8"/>
      <c r="F183" s="9"/>
      <c r="G183" s="9"/>
      <c r="H183" s="10"/>
      <c r="I183" s="9"/>
      <c r="J183" s="9"/>
    </row>
    <row x14ac:dyDescent="0.25" r="184" customHeight="1" ht="17.25">
      <c r="A184" s="11" t="s">
        <v>7493</v>
      </c>
      <c r="B184" s="11"/>
      <c r="C184" s="11"/>
      <c r="D184" s="11"/>
      <c r="E184" s="12"/>
      <c r="F184" s="11"/>
      <c r="G184" s="11"/>
      <c r="H184" s="13"/>
      <c r="I184" s="11"/>
      <c r="J184" s="11"/>
    </row>
    <row x14ac:dyDescent="0.25" r="185" customHeight="1" ht="17.25">
      <c r="A185" s="14" t="s">
        <v>3</v>
      </c>
      <c r="B185" s="14" t="s">
        <v>4</v>
      </c>
      <c r="C185" s="14" t="s">
        <v>5</v>
      </c>
      <c r="D185" s="14" t="s">
        <v>6</v>
      </c>
      <c r="E185" s="15" t="s">
        <v>7</v>
      </c>
      <c r="F185" s="14" t="s">
        <v>8</v>
      </c>
      <c r="G185" s="14" t="s">
        <v>9</v>
      </c>
      <c r="H185" s="16" t="s">
        <v>10</v>
      </c>
      <c r="I185" s="14" t="s">
        <v>11</v>
      </c>
      <c r="J185" s="14" t="s">
        <v>12</v>
      </c>
    </row>
    <row x14ac:dyDescent="0.25" r="186" customHeight="1" ht="17.25">
      <c r="A186" s="17" t="s">
        <v>7494</v>
      </c>
      <c r="B186" s="17" t="s">
        <v>314</v>
      </c>
      <c r="C186" s="17" t="s">
        <v>56</v>
      </c>
      <c r="D186" s="17" t="s">
        <v>16</v>
      </c>
      <c r="E186" s="26">
        <f>ROUND(17400*1.05,2)</f>
      </c>
      <c r="F186" s="17" t="s">
        <v>17</v>
      </c>
      <c r="G186" s="17" t="s">
        <v>18</v>
      </c>
      <c r="H186" s="18">
        <f>ROUND(RAND()*4+6,1)</f>
      </c>
      <c r="I186" s="17" t="s">
        <v>19</v>
      </c>
      <c r="J186" s="19">
        <f>ROUND(76*1,0)&amp;"%"</f>
      </c>
    </row>
    <row x14ac:dyDescent="0.25" r="187" customHeight="1" ht="17.25">
      <c r="A187" s="20" t="s">
        <v>7495</v>
      </c>
      <c r="B187" s="20" t="s">
        <v>316</v>
      </c>
      <c r="C187" s="20" t="s">
        <v>56</v>
      </c>
      <c r="D187" s="20" t="s">
        <v>22</v>
      </c>
      <c r="E187" s="21">
        <f>ROUND(7846*1.05,2)</f>
      </c>
      <c r="F187" s="20" t="s">
        <v>23</v>
      </c>
      <c r="G187" s="20" t="s">
        <v>24</v>
      </c>
      <c r="H187" s="21">
        <f>ROUND(RAND()*4+6,1)</f>
      </c>
      <c r="I187" s="20" t="s">
        <v>25</v>
      </c>
      <c r="J187" s="23">
        <f>ROUND(60*1,0)&amp;"%"</f>
      </c>
    </row>
    <row x14ac:dyDescent="0.25" r="188" customHeight="1" ht="17.25">
      <c r="A188" s="17" t="s">
        <v>7496</v>
      </c>
      <c r="B188" s="17" t="s">
        <v>318</v>
      </c>
      <c r="C188" s="17" t="s">
        <v>56</v>
      </c>
      <c r="D188" s="17" t="s">
        <v>28</v>
      </c>
      <c r="E188" s="18">
        <f>ROUND(16009*1.05,2)</f>
      </c>
      <c r="F188" s="17" t="s">
        <v>29</v>
      </c>
      <c r="G188" s="17" t="s">
        <v>30</v>
      </c>
      <c r="H188" s="18">
        <f>ROUND(RAND()*4+6,1)</f>
      </c>
      <c r="I188" s="17" t="s">
        <v>31</v>
      </c>
      <c r="J188" s="19">
        <f>ROUND(90*1,0)&amp;"%"</f>
      </c>
    </row>
    <row x14ac:dyDescent="0.25" r="189" customHeight="1" ht="17.25">
      <c r="A189" s="20" t="s">
        <v>7497</v>
      </c>
      <c r="B189" s="20" t="s">
        <v>320</v>
      </c>
      <c r="C189" s="20" t="s">
        <v>56</v>
      </c>
      <c r="D189" s="20" t="s">
        <v>34</v>
      </c>
      <c r="E189" s="21">
        <f>ROUND(8610*1.05,2)</f>
      </c>
      <c r="F189" s="20" t="s">
        <v>35</v>
      </c>
      <c r="G189" s="20" t="s">
        <v>18</v>
      </c>
      <c r="H189" s="21">
        <f>ROUND(RAND()*4+6,1)</f>
      </c>
      <c r="I189" s="20" t="s">
        <v>36</v>
      </c>
      <c r="J189" s="23">
        <f>ROUND(91*1,0)&amp;"%"</f>
      </c>
    </row>
    <row x14ac:dyDescent="0.25" r="190" customHeight="1" ht="17.25">
      <c r="A190" s="17" t="s">
        <v>7498</v>
      </c>
      <c r="B190" s="17" t="s">
        <v>322</v>
      </c>
      <c r="C190" s="17" t="s">
        <v>56</v>
      </c>
      <c r="D190" s="17" t="s">
        <v>39</v>
      </c>
      <c r="E190" s="18">
        <f>ROUND(14187*1.05,2)</f>
      </c>
      <c r="F190" s="17" t="s">
        <v>40</v>
      </c>
      <c r="G190" s="17" t="s">
        <v>24</v>
      </c>
      <c r="H190" s="18">
        <f>ROUND(RAND()*4+6,1)</f>
      </c>
      <c r="I190" s="17" t="s">
        <v>41</v>
      </c>
      <c r="J190" s="19">
        <f>ROUND(93*1,0)&amp;"%"</f>
      </c>
    </row>
    <row x14ac:dyDescent="0.25" r="191" customHeight="1" ht="17.25">
      <c r="A191" s="20" t="s">
        <v>7499</v>
      </c>
      <c r="B191" s="20" t="s">
        <v>324</v>
      </c>
      <c r="C191" s="20" t="s">
        <v>56</v>
      </c>
      <c r="D191" s="20" t="s">
        <v>67</v>
      </c>
      <c r="E191" s="21">
        <f>ROUND(10789*1.05,2)</f>
      </c>
      <c r="F191" s="20" t="s">
        <v>44</v>
      </c>
      <c r="G191" s="20" t="s">
        <v>30</v>
      </c>
      <c r="H191" s="21">
        <f>ROUND(RAND()*4+6,1)</f>
      </c>
      <c r="I191" s="20" t="s">
        <v>45</v>
      </c>
      <c r="J191" s="23">
        <f>ROUND(64*1,0)&amp;"%"</f>
      </c>
    </row>
    <row x14ac:dyDescent="0.25" r="192" customHeight="1" ht="17.25">
      <c r="A192" s="17" t="s">
        <v>7500</v>
      </c>
      <c r="B192" s="17" t="s">
        <v>326</v>
      </c>
      <c r="C192" s="17" t="s">
        <v>56</v>
      </c>
      <c r="D192" s="17" t="s">
        <v>16</v>
      </c>
      <c r="E192" s="18">
        <f>ROUND(13902*1.05,2)</f>
      </c>
      <c r="F192" s="17" t="s">
        <v>48</v>
      </c>
      <c r="G192" s="17" t="s">
        <v>18</v>
      </c>
      <c r="H192" s="18">
        <f>ROUND(RAND()*4+6,1)</f>
      </c>
      <c r="I192" s="17" t="s">
        <v>19</v>
      </c>
      <c r="J192" s="19">
        <f>ROUND(90*1,0)&amp;"%"</f>
      </c>
    </row>
    <row x14ac:dyDescent="0.25" r="193" customHeight="1" ht="17.25">
      <c r="A193" s="20" t="s">
        <v>7501</v>
      </c>
      <c r="B193" s="20" t="s">
        <v>328</v>
      </c>
      <c r="C193" s="20" t="s">
        <v>56</v>
      </c>
      <c r="D193" s="20" t="s">
        <v>22</v>
      </c>
      <c r="E193" s="21">
        <f>ROUND(17886*1.05,2)</f>
      </c>
      <c r="F193" s="20" t="s">
        <v>51</v>
      </c>
      <c r="G193" s="20" t="s">
        <v>24</v>
      </c>
      <c r="H193" s="21">
        <f>ROUND(RAND()*4+6,1)</f>
      </c>
      <c r="I193" s="20" t="s">
        <v>25</v>
      </c>
      <c r="J193" s="23">
        <f>ROUND(97*1,0)&amp;"%"</f>
      </c>
    </row>
    <row x14ac:dyDescent="0.25" r="194" customHeight="1" ht="17.25">
      <c r="A194" s="24" t="s">
        <v>329</v>
      </c>
      <c r="B194" s="24"/>
      <c r="C194" s="24"/>
      <c r="D194" s="24"/>
      <c r="E194" s="25">
        <v>8</v>
      </c>
      <c r="F194" s="9"/>
      <c r="G194" s="9"/>
      <c r="H194" s="10"/>
      <c r="I194" s="9"/>
      <c r="J194" s="9"/>
    </row>
    <row x14ac:dyDescent="0.25" r="195" customHeight="1" ht="17.25">
      <c r="A195" s="7"/>
      <c r="B195" s="7"/>
      <c r="C195" s="7"/>
      <c r="D195" s="7"/>
      <c r="E195" s="8"/>
      <c r="F195" s="9"/>
      <c r="G195" s="9"/>
      <c r="H195" s="10"/>
      <c r="I195" s="9"/>
      <c r="J195" s="9"/>
    </row>
    <row x14ac:dyDescent="0.25" r="196" customHeight="1" ht="17.25">
      <c r="A196" s="11" t="s">
        <v>7502</v>
      </c>
      <c r="B196" s="11"/>
      <c r="C196" s="11"/>
      <c r="D196" s="11"/>
      <c r="E196" s="12"/>
      <c r="F196" s="11"/>
      <c r="G196" s="11"/>
      <c r="H196" s="13"/>
      <c r="I196" s="11"/>
      <c r="J196" s="11"/>
    </row>
    <row x14ac:dyDescent="0.25" r="197" customHeight="1" ht="17.25">
      <c r="A197" s="14" t="s">
        <v>3</v>
      </c>
      <c r="B197" s="14" t="s">
        <v>4</v>
      </c>
      <c r="C197" s="14" t="s">
        <v>5</v>
      </c>
      <c r="D197" s="14" t="s">
        <v>6</v>
      </c>
      <c r="E197" s="15" t="s">
        <v>7</v>
      </c>
      <c r="F197" s="14" t="s">
        <v>8</v>
      </c>
      <c r="G197" s="14" t="s">
        <v>9</v>
      </c>
      <c r="H197" s="16" t="s">
        <v>10</v>
      </c>
      <c r="I197" s="14" t="s">
        <v>11</v>
      </c>
      <c r="J197" s="14" t="s">
        <v>12</v>
      </c>
    </row>
    <row x14ac:dyDescent="0.25" r="198" customHeight="1" ht="17.25">
      <c r="A198" s="17" t="s">
        <v>7503</v>
      </c>
      <c r="B198" s="17" t="s">
        <v>332</v>
      </c>
      <c r="C198" s="17" t="s">
        <v>76</v>
      </c>
      <c r="D198" s="17" t="s">
        <v>16</v>
      </c>
      <c r="E198" s="18">
        <f>ROUND(16558*1.05,2)</f>
      </c>
      <c r="F198" s="17" t="s">
        <v>17</v>
      </c>
      <c r="G198" s="17" t="s">
        <v>18</v>
      </c>
      <c r="H198" s="26">
        <f>ROUND(RAND()*4+6,1)</f>
      </c>
      <c r="I198" s="17" t="s">
        <v>19</v>
      </c>
      <c r="J198" s="19">
        <f>ROUND(67*1,0)&amp;"%"</f>
      </c>
    </row>
    <row x14ac:dyDescent="0.25" r="199" customHeight="1" ht="17.25">
      <c r="A199" s="20" t="s">
        <v>7504</v>
      </c>
      <c r="B199" s="20" t="s">
        <v>334</v>
      </c>
      <c r="C199" s="20" t="s">
        <v>76</v>
      </c>
      <c r="D199" s="20" t="s">
        <v>22</v>
      </c>
      <c r="E199" s="21">
        <f>ROUND(7451*1.05,2)</f>
      </c>
      <c r="F199" s="20" t="s">
        <v>23</v>
      </c>
      <c r="G199" s="20" t="s">
        <v>24</v>
      </c>
      <c r="H199" s="22">
        <f>ROUND(RAND()*4+6,1)</f>
      </c>
      <c r="I199" s="20" t="s">
        <v>25</v>
      </c>
      <c r="J199" s="23">
        <f>ROUND(96*1,0)&amp;"%"</f>
      </c>
    </row>
    <row x14ac:dyDescent="0.25" r="200" customHeight="1" ht="17.25">
      <c r="A200" s="17" t="s">
        <v>7505</v>
      </c>
      <c r="B200" s="17" t="s">
        <v>336</v>
      </c>
      <c r="C200" s="17" t="s">
        <v>76</v>
      </c>
      <c r="D200" s="17" t="s">
        <v>28</v>
      </c>
      <c r="E200" s="18">
        <f>ROUND(11794*1.05,2)</f>
      </c>
      <c r="F200" s="17" t="s">
        <v>29</v>
      </c>
      <c r="G200" s="17" t="s">
        <v>30</v>
      </c>
      <c r="H200" s="18">
        <f>ROUND(RAND()*4+6,1)</f>
      </c>
      <c r="I200" s="17" t="s">
        <v>31</v>
      </c>
      <c r="J200" s="19">
        <f>ROUND(76*1,0)&amp;"%"</f>
      </c>
    </row>
    <row x14ac:dyDescent="0.25" r="201" customHeight="1" ht="17.25">
      <c r="A201" s="20" t="s">
        <v>7506</v>
      </c>
      <c r="B201" s="20" t="s">
        <v>338</v>
      </c>
      <c r="C201" s="20" t="s">
        <v>76</v>
      </c>
      <c r="D201" s="20" t="s">
        <v>34</v>
      </c>
      <c r="E201" s="21">
        <f>ROUND(5797*1.05,2)</f>
      </c>
      <c r="F201" s="20" t="s">
        <v>35</v>
      </c>
      <c r="G201" s="20" t="s">
        <v>18</v>
      </c>
      <c r="H201" s="21">
        <f>ROUND(RAND()*4+6,1)</f>
      </c>
      <c r="I201" s="20" t="s">
        <v>36</v>
      </c>
      <c r="J201" s="23">
        <f>ROUND(68*1,0)&amp;"%"</f>
      </c>
    </row>
    <row x14ac:dyDescent="0.25" r="202" customHeight="1" ht="17.25">
      <c r="A202" s="17" t="s">
        <v>7507</v>
      </c>
      <c r="B202" s="17" t="s">
        <v>340</v>
      </c>
      <c r="C202" s="17" t="s">
        <v>76</v>
      </c>
      <c r="D202" s="17" t="s">
        <v>39</v>
      </c>
      <c r="E202" s="18">
        <f>ROUND(11607*1.05,2)</f>
      </c>
      <c r="F202" s="17" t="s">
        <v>40</v>
      </c>
      <c r="G202" s="17" t="s">
        <v>24</v>
      </c>
      <c r="H202" s="18">
        <f>ROUND(RAND()*4+6,1)</f>
      </c>
      <c r="I202" s="17" t="s">
        <v>41</v>
      </c>
      <c r="J202" s="19">
        <f>ROUND(67*1,0)&amp;"%"</f>
      </c>
    </row>
    <row x14ac:dyDescent="0.25" r="203" customHeight="1" ht="17.25">
      <c r="A203" s="20" t="s">
        <v>7508</v>
      </c>
      <c r="B203" s="20" t="s">
        <v>342</v>
      </c>
      <c r="C203" s="20" t="s">
        <v>76</v>
      </c>
      <c r="D203" s="20" t="s">
        <v>67</v>
      </c>
      <c r="E203" s="21">
        <f>ROUND(14283*1.05,2)</f>
      </c>
      <c r="F203" s="20" t="s">
        <v>44</v>
      </c>
      <c r="G203" s="20" t="s">
        <v>30</v>
      </c>
      <c r="H203" s="21">
        <f>ROUND(RAND()*4+6,1)</f>
      </c>
      <c r="I203" s="20" t="s">
        <v>45</v>
      </c>
      <c r="J203" s="23">
        <f>ROUND(73*1,0)&amp;"%"</f>
      </c>
    </row>
    <row x14ac:dyDescent="0.25" r="204" customHeight="1" ht="17.25">
      <c r="A204" s="17" t="s">
        <v>7509</v>
      </c>
      <c r="B204" s="17" t="s">
        <v>344</v>
      </c>
      <c r="C204" s="17" t="s">
        <v>76</v>
      </c>
      <c r="D204" s="17" t="s">
        <v>16</v>
      </c>
      <c r="E204" s="18">
        <f>ROUND(11563*1.05,2)</f>
      </c>
      <c r="F204" s="17" t="s">
        <v>48</v>
      </c>
      <c r="G204" s="17" t="s">
        <v>18</v>
      </c>
      <c r="H204" s="26">
        <f>ROUND(RAND()*4+6,1)</f>
      </c>
      <c r="I204" s="17" t="s">
        <v>19</v>
      </c>
      <c r="J204" s="19">
        <f>ROUND(72*1,0)&amp;"%"</f>
      </c>
    </row>
    <row x14ac:dyDescent="0.25" r="205" customHeight="1" ht="17.25">
      <c r="A205" s="20" t="s">
        <v>7510</v>
      </c>
      <c r="B205" s="20" t="s">
        <v>346</v>
      </c>
      <c r="C205" s="20" t="s">
        <v>76</v>
      </c>
      <c r="D205" s="20" t="s">
        <v>22</v>
      </c>
      <c r="E205" s="21">
        <f>ROUND(8364*1.05,2)</f>
      </c>
      <c r="F205" s="20" t="s">
        <v>51</v>
      </c>
      <c r="G205" s="20" t="s">
        <v>24</v>
      </c>
      <c r="H205" s="21">
        <f>ROUND(RAND()*4+6,1)</f>
      </c>
      <c r="I205" s="20" t="s">
        <v>25</v>
      </c>
      <c r="J205" s="23">
        <f>ROUND(63*1,0)&amp;"%"</f>
      </c>
    </row>
    <row x14ac:dyDescent="0.25" r="206" customHeight="1" ht="17.25">
      <c r="A206" s="24" t="s">
        <v>347</v>
      </c>
      <c r="B206" s="24"/>
      <c r="C206" s="24"/>
      <c r="D206" s="24"/>
      <c r="E206" s="25">
        <v>8</v>
      </c>
      <c r="F206" s="9"/>
      <c r="G206" s="9"/>
      <c r="H206" s="10"/>
      <c r="I206" s="9"/>
      <c r="J206" s="9"/>
    </row>
    <row x14ac:dyDescent="0.25" r="207" customHeight="1" ht="17.25">
      <c r="A207" s="7"/>
      <c r="B207" s="7"/>
      <c r="C207" s="7"/>
      <c r="D207" s="7"/>
      <c r="E207" s="8"/>
      <c r="F207" s="9"/>
      <c r="G207" s="9"/>
      <c r="H207" s="10"/>
      <c r="I207" s="9"/>
      <c r="J207" s="9"/>
    </row>
    <row x14ac:dyDescent="0.25" r="208" customHeight="1" ht="17.25">
      <c r="A208" s="11" t="s">
        <v>7511</v>
      </c>
      <c r="B208" s="11"/>
      <c r="C208" s="11"/>
      <c r="D208" s="11"/>
      <c r="E208" s="12"/>
      <c r="F208" s="11"/>
      <c r="G208" s="11"/>
      <c r="H208" s="13"/>
      <c r="I208" s="11"/>
      <c r="J208" s="11"/>
    </row>
    <row x14ac:dyDescent="0.25" r="209" customHeight="1" ht="17.25">
      <c r="A209" s="14" t="s">
        <v>3</v>
      </c>
      <c r="B209" s="14" t="s">
        <v>4</v>
      </c>
      <c r="C209" s="14" t="s">
        <v>5</v>
      </c>
      <c r="D209" s="14" t="s">
        <v>6</v>
      </c>
      <c r="E209" s="15" t="s">
        <v>7</v>
      </c>
      <c r="F209" s="14" t="s">
        <v>8</v>
      </c>
      <c r="G209" s="14" t="s">
        <v>9</v>
      </c>
      <c r="H209" s="16" t="s">
        <v>10</v>
      </c>
      <c r="I209" s="14" t="s">
        <v>11</v>
      </c>
      <c r="J209" s="14" t="s">
        <v>12</v>
      </c>
    </row>
    <row x14ac:dyDescent="0.25" r="210" customHeight="1" ht="17.25">
      <c r="A210" s="17" t="s">
        <v>7512</v>
      </c>
      <c r="B210" s="17" t="s">
        <v>350</v>
      </c>
      <c r="C210" s="17" t="s">
        <v>95</v>
      </c>
      <c r="D210" s="17" t="s">
        <v>16</v>
      </c>
      <c r="E210" s="18">
        <f>ROUND(8153*1.05,2)</f>
      </c>
      <c r="F210" s="17" t="s">
        <v>17</v>
      </c>
      <c r="G210" s="17" t="s">
        <v>18</v>
      </c>
      <c r="H210" s="18">
        <f>ROUND(RAND()*4+6,1)</f>
      </c>
      <c r="I210" s="17" t="s">
        <v>19</v>
      </c>
      <c r="J210" s="19">
        <f>ROUND(81*1,0)&amp;"%"</f>
      </c>
    </row>
    <row x14ac:dyDescent="0.25" r="211" customHeight="1" ht="17.25">
      <c r="A211" s="20" t="s">
        <v>7513</v>
      </c>
      <c r="B211" s="20" t="s">
        <v>352</v>
      </c>
      <c r="C211" s="20" t="s">
        <v>95</v>
      </c>
      <c r="D211" s="20" t="s">
        <v>22</v>
      </c>
      <c r="E211" s="22">
        <f>ROUND(15880*1.05,2)</f>
      </c>
      <c r="F211" s="20" t="s">
        <v>23</v>
      </c>
      <c r="G211" s="20" t="s">
        <v>24</v>
      </c>
      <c r="H211" s="22">
        <f>ROUND(RAND()*4+6,1)</f>
      </c>
      <c r="I211" s="20" t="s">
        <v>25</v>
      </c>
      <c r="J211" s="23">
        <f>ROUND(94*1,0)&amp;"%"</f>
      </c>
    </row>
    <row x14ac:dyDescent="0.25" r="212" customHeight="1" ht="17.25">
      <c r="A212" s="17" t="s">
        <v>7514</v>
      </c>
      <c r="B212" s="17" t="s">
        <v>354</v>
      </c>
      <c r="C212" s="17" t="s">
        <v>95</v>
      </c>
      <c r="D212" s="17" t="s">
        <v>28</v>
      </c>
      <c r="E212" s="18">
        <f>ROUND(12314*1.05,2)</f>
      </c>
      <c r="F212" s="17" t="s">
        <v>29</v>
      </c>
      <c r="G212" s="17" t="s">
        <v>30</v>
      </c>
      <c r="H212" s="18">
        <f>ROUND(RAND()*4+6,1)</f>
      </c>
      <c r="I212" s="17" t="s">
        <v>31</v>
      </c>
      <c r="J212" s="19">
        <f>ROUND(76*1,0)&amp;"%"</f>
      </c>
    </row>
    <row x14ac:dyDescent="0.25" r="213" customHeight="1" ht="17.25">
      <c r="A213" s="20" t="s">
        <v>7515</v>
      </c>
      <c r="B213" s="20" t="s">
        <v>356</v>
      </c>
      <c r="C213" s="20" t="s">
        <v>95</v>
      </c>
      <c r="D213" s="20" t="s">
        <v>34</v>
      </c>
      <c r="E213" s="21">
        <f>ROUND(8196*1.05,2)</f>
      </c>
      <c r="F213" s="20" t="s">
        <v>35</v>
      </c>
      <c r="G213" s="20" t="s">
        <v>18</v>
      </c>
      <c r="H213" s="21">
        <f>ROUND(RAND()*4+6,1)</f>
      </c>
      <c r="I213" s="20" t="s">
        <v>36</v>
      </c>
      <c r="J213" s="23">
        <f>ROUND(90*1,0)&amp;"%"</f>
      </c>
    </row>
    <row x14ac:dyDescent="0.25" r="214" customHeight="1" ht="17.25">
      <c r="A214" s="17" t="s">
        <v>7516</v>
      </c>
      <c r="B214" s="17" t="s">
        <v>358</v>
      </c>
      <c r="C214" s="17" t="s">
        <v>95</v>
      </c>
      <c r="D214" s="17" t="s">
        <v>39</v>
      </c>
      <c r="E214" s="18">
        <f>ROUND(13995*1.05,2)</f>
      </c>
      <c r="F214" s="17" t="s">
        <v>40</v>
      </c>
      <c r="G214" s="17" t="s">
        <v>24</v>
      </c>
      <c r="H214" s="26">
        <f>ROUND(RAND()*4+6,1)</f>
      </c>
      <c r="I214" s="17" t="s">
        <v>41</v>
      </c>
      <c r="J214" s="19">
        <f>ROUND(75*1,0)&amp;"%"</f>
      </c>
    </row>
    <row x14ac:dyDescent="0.25" r="215" customHeight="1" ht="17.25">
      <c r="A215" s="20" t="s">
        <v>7517</v>
      </c>
      <c r="B215" s="20" t="s">
        <v>360</v>
      </c>
      <c r="C215" s="20" t="s">
        <v>95</v>
      </c>
      <c r="D215" s="20" t="s">
        <v>67</v>
      </c>
      <c r="E215" s="21">
        <f>ROUND(12623*1.05,2)</f>
      </c>
      <c r="F215" s="20" t="s">
        <v>44</v>
      </c>
      <c r="G215" s="20" t="s">
        <v>30</v>
      </c>
      <c r="H215" s="21">
        <f>ROUND(RAND()*4+6,1)</f>
      </c>
      <c r="I215" s="20" t="s">
        <v>45</v>
      </c>
      <c r="J215" s="23">
        <f>ROUND(92*1,0)&amp;"%"</f>
      </c>
    </row>
    <row x14ac:dyDescent="0.25" r="216" customHeight="1" ht="17.25">
      <c r="A216" s="17" t="s">
        <v>7518</v>
      </c>
      <c r="B216" s="17" t="s">
        <v>362</v>
      </c>
      <c r="C216" s="17" t="s">
        <v>95</v>
      </c>
      <c r="D216" s="17" t="s">
        <v>16</v>
      </c>
      <c r="E216" s="18">
        <f>ROUND(5667*1.05,2)</f>
      </c>
      <c r="F216" s="17" t="s">
        <v>48</v>
      </c>
      <c r="G216" s="17" t="s">
        <v>18</v>
      </c>
      <c r="H216" s="18">
        <f>ROUND(RAND()*4+6,1)</f>
      </c>
      <c r="I216" s="17" t="s">
        <v>19</v>
      </c>
      <c r="J216" s="19">
        <f>ROUND(79*1,0)&amp;"%"</f>
      </c>
    </row>
    <row x14ac:dyDescent="0.25" r="217" customHeight="1" ht="17.25">
      <c r="A217" s="20" t="s">
        <v>7519</v>
      </c>
      <c r="B217" s="20" t="s">
        <v>364</v>
      </c>
      <c r="C217" s="20" t="s">
        <v>95</v>
      </c>
      <c r="D217" s="20" t="s">
        <v>22</v>
      </c>
      <c r="E217" s="21">
        <f>ROUND(11831*1.05,2)</f>
      </c>
      <c r="F217" s="20" t="s">
        <v>51</v>
      </c>
      <c r="G217" s="20" t="s">
        <v>24</v>
      </c>
      <c r="H217" s="21">
        <f>ROUND(RAND()*4+6,1)</f>
      </c>
      <c r="I217" s="20" t="s">
        <v>25</v>
      </c>
      <c r="J217" s="23">
        <f>ROUND(91*1,0)&amp;"%"</f>
      </c>
    </row>
    <row x14ac:dyDescent="0.25" r="218" customHeight="1" ht="17.25">
      <c r="A218" s="24" t="s">
        <v>365</v>
      </c>
      <c r="B218" s="24"/>
      <c r="C218" s="24"/>
      <c r="D218" s="24"/>
      <c r="E218" s="25">
        <v>8</v>
      </c>
      <c r="F218" s="9"/>
      <c r="G218" s="9"/>
      <c r="H218" s="10"/>
      <c r="I218" s="9"/>
      <c r="J218" s="9"/>
    </row>
    <row x14ac:dyDescent="0.25" r="219" customHeight="1" ht="17.25">
      <c r="A219" s="7"/>
      <c r="B219" s="7"/>
      <c r="C219" s="7"/>
      <c r="D219" s="7"/>
      <c r="E219" s="8"/>
      <c r="F219" s="9"/>
      <c r="G219" s="9"/>
      <c r="H219" s="10"/>
      <c r="I219" s="9"/>
      <c r="J219" s="9"/>
    </row>
    <row x14ac:dyDescent="0.25" r="220" customHeight="1" ht="17.25">
      <c r="A220" s="11" t="s">
        <v>7520</v>
      </c>
      <c r="B220" s="11"/>
      <c r="C220" s="11"/>
      <c r="D220" s="11"/>
      <c r="E220" s="12"/>
      <c r="F220" s="11"/>
      <c r="G220" s="11"/>
      <c r="H220" s="13"/>
      <c r="I220" s="11"/>
      <c r="J220" s="11"/>
    </row>
    <row x14ac:dyDescent="0.25" r="221" customHeight="1" ht="17.25">
      <c r="A221" s="14" t="s">
        <v>3</v>
      </c>
      <c r="B221" s="14" t="s">
        <v>4</v>
      </c>
      <c r="C221" s="14" t="s">
        <v>5</v>
      </c>
      <c r="D221" s="14" t="s">
        <v>6</v>
      </c>
      <c r="E221" s="15" t="s">
        <v>7</v>
      </c>
      <c r="F221" s="14" t="s">
        <v>8</v>
      </c>
      <c r="G221" s="14" t="s">
        <v>9</v>
      </c>
      <c r="H221" s="16" t="s">
        <v>10</v>
      </c>
      <c r="I221" s="14" t="s">
        <v>11</v>
      </c>
      <c r="J221" s="14" t="s">
        <v>12</v>
      </c>
    </row>
    <row x14ac:dyDescent="0.25" r="222" customHeight="1" ht="17.25">
      <c r="A222" s="17" t="s">
        <v>7521</v>
      </c>
      <c r="B222" s="17" t="s">
        <v>368</v>
      </c>
      <c r="C222" s="17" t="s">
        <v>114</v>
      </c>
      <c r="D222" s="17" t="s">
        <v>16</v>
      </c>
      <c r="E222" s="18">
        <f>ROUND(6823*1.05,2)</f>
      </c>
      <c r="F222" s="17" t="s">
        <v>17</v>
      </c>
      <c r="G222" s="17" t="s">
        <v>18</v>
      </c>
      <c r="H222" s="18">
        <f>ROUND(RAND()*4+6,1)</f>
      </c>
      <c r="I222" s="17" t="s">
        <v>19</v>
      </c>
      <c r="J222" s="19">
        <f>ROUND(60*1,0)&amp;"%"</f>
      </c>
    </row>
    <row x14ac:dyDescent="0.25" r="223" customHeight="1" ht="17.25">
      <c r="A223" s="20" t="s">
        <v>7522</v>
      </c>
      <c r="B223" s="20" t="s">
        <v>370</v>
      </c>
      <c r="C223" s="20" t="s">
        <v>114</v>
      </c>
      <c r="D223" s="20" t="s">
        <v>22</v>
      </c>
      <c r="E223" s="21">
        <f>ROUND(11248*1.05,2)</f>
      </c>
      <c r="F223" s="20" t="s">
        <v>23</v>
      </c>
      <c r="G223" s="20" t="s">
        <v>24</v>
      </c>
      <c r="H223" s="21">
        <f>ROUND(RAND()*4+6,1)</f>
      </c>
      <c r="I223" s="20" t="s">
        <v>25</v>
      </c>
      <c r="J223" s="23">
        <f>ROUND(77*1,0)&amp;"%"</f>
      </c>
    </row>
    <row x14ac:dyDescent="0.25" r="224" customHeight="1" ht="17.25">
      <c r="A224" s="17" t="s">
        <v>7523</v>
      </c>
      <c r="B224" s="17" t="s">
        <v>372</v>
      </c>
      <c r="C224" s="17" t="s">
        <v>114</v>
      </c>
      <c r="D224" s="17" t="s">
        <v>28</v>
      </c>
      <c r="E224" s="18">
        <f>ROUND(13052*1.05,2)</f>
      </c>
      <c r="F224" s="17" t="s">
        <v>29</v>
      </c>
      <c r="G224" s="17" t="s">
        <v>30</v>
      </c>
      <c r="H224" s="18">
        <f>ROUND(RAND()*4+6,1)</f>
      </c>
      <c r="I224" s="17" t="s">
        <v>31</v>
      </c>
      <c r="J224" s="19">
        <f>ROUND(70*1,0)&amp;"%"</f>
      </c>
    </row>
    <row x14ac:dyDescent="0.25" r="225" customHeight="1" ht="17.25">
      <c r="A225" s="20" t="s">
        <v>7524</v>
      </c>
      <c r="B225" s="20" t="s">
        <v>374</v>
      </c>
      <c r="C225" s="20" t="s">
        <v>114</v>
      </c>
      <c r="D225" s="20" t="s">
        <v>34</v>
      </c>
      <c r="E225" s="21">
        <f>ROUND(8089*1.05,2)</f>
      </c>
      <c r="F225" s="20" t="s">
        <v>35</v>
      </c>
      <c r="G225" s="20" t="s">
        <v>18</v>
      </c>
      <c r="H225" s="21">
        <f>ROUND(RAND()*4+6,1)</f>
      </c>
      <c r="I225" s="20" t="s">
        <v>36</v>
      </c>
      <c r="J225" s="23">
        <f>ROUND(83*1,0)&amp;"%"</f>
      </c>
    </row>
    <row x14ac:dyDescent="0.25" r="226" customHeight="1" ht="17.25">
      <c r="A226" s="17" t="s">
        <v>7525</v>
      </c>
      <c r="B226" s="17" t="s">
        <v>376</v>
      </c>
      <c r="C226" s="17" t="s">
        <v>114</v>
      </c>
      <c r="D226" s="17" t="s">
        <v>39</v>
      </c>
      <c r="E226" s="18">
        <f>ROUND(6929*1.05,2)</f>
      </c>
      <c r="F226" s="17" t="s">
        <v>40</v>
      </c>
      <c r="G226" s="17" t="s">
        <v>24</v>
      </c>
      <c r="H226" s="18">
        <f>ROUND(RAND()*4+6,1)</f>
      </c>
      <c r="I226" s="17" t="s">
        <v>41</v>
      </c>
      <c r="J226" s="19">
        <f>ROUND(64*1,0)&amp;"%"</f>
      </c>
    </row>
    <row x14ac:dyDescent="0.25" r="227" customHeight="1" ht="17.25">
      <c r="A227" s="20" t="s">
        <v>7526</v>
      </c>
      <c r="B227" s="20" t="s">
        <v>378</v>
      </c>
      <c r="C227" s="20" t="s">
        <v>114</v>
      </c>
      <c r="D227" s="20" t="s">
        <v>67</v>
      </c>
      <c r="E227" s="21">
        <f>ROUND(7476*1.05,2)</f>
      </c>
      <c r="F227" s="20" t="s">
        <v>44</v>
      </c>
      <c r="G227" s="20" t="s">
        <v>30</v>
      </c>
      <c r="H227" s="21">
        <f>ROUND(RAND()*4+6,1)</f>
      </c>
      <c r="I227" s="20" t="s">
        <v>45</v>
      </c>
      <c r="J227" s="23">
        <f>ROUND(70*1,0)&amp;"%"</f>
      </c>
    </row>
    <row x14ac:dyDescent="0.25" r="228" customHeight="1" ht="17.25">
      <c r="A228" s="17" t="s">
        <v>7527</v>
      </c>
      <c r="B228" s="17" t="s">
        <v>380</v>
      </c>
      <c r="C228" s="17" t="s">
        <v>114</v>
      </c>
      <c r="D228" s="17" t="s">
        <v>16</v>
      </c>
      <c r="E228" s="18">
        <f>ROUND(17921*1.05,2)</f>
      </c>
      <c r="F228" s="17" t="s">
        <v>48</v>
      </c>
      <c r="G228" s="17" t="s">
        <v>18</v>
      </c>
      <c r="H228" s="18">
        <f>ROUND(RAND()*4+6,1)</f>
      </c>
      <c r="I228" s="17" t="s">
        <v>19</v>
      </c>
      <c r="J228" s="19">
        <f>ROUND(81*1,0)&amp;"%"</f>
      </c>
    </row>
    <row x14ac:dyDescent="0.25" r="229" customHeight="1" ht="17.25">
      <c r="A229" s="20" t="s">
        <v>7528</v>
      </c>
      <c r="B229" s="20" t="s">
        <v>382</v>
      </c>
      <c r="C229" s="20" t="s">
        <v>114</v>
      </c>
      <c r="D229" s="20" t="s">
        <v>22</v>
      </c>
      <c r="E229" s="21">
        <f>ROUND(6692*1.05,2)</f>
      </c>
      <c r="F229" s="20" t="s">
        <v>51</v>
      </c>
      <c r="G229" s="20" t="s">
        <v>24</v>
      </c>
      <c r="H229" s="21">
        <f>ROUND(RAND()*4+6,1)</f>
      </c>
      <c r="I229" s="20" t="s">
        <v>25</v>
      </c>
      <c r="J229" s="23">
        <f>ROUND(87*1,0)&amp;"%"</f>
      </c>
    </row>
    <row x14ac:dyDescent="0.25" r="230" customHeight="1" ht="17.25">
      <c r="A230" s="24" t="s">
        <v>383</v>
      </c>
      <c r="B230" s="24"/>
      <c r="C230" s="24"/>
      <c r="D230" s="24"/>
      <c r="E230" s="25">
        <v>8</v>
      </c>
      <c r="F230" s="9"/>
      <c r="G230" s="9"/>
      <c r="H230" s="10"/>
      <c r="I230" s="9"/>
      <c r="J230" s="9"/>
    </row>
    <row x14ac:dyDescent="0.25" r="231" customHeight="1" ht="17.25">
      <c r="A231" s="7"/>
      <c r="B231" s="7"/>
      <c r="C231" s="7"/>
      <c r="D231" s="7"/>
      <c r="E231" s="8"/>
      <c r="F231" s="9"/>
      <c r="G231" s="9"/>
      <c r="H231" s="10"/>
      <c r="I231" s="9"/>
      <c r="J231" s="9"/>
    </row>
    <row x14ac:dyDescent="0.25" r="232" customHeight="1" ht="17.25">
      <c r="A232" s="11" t="s">
        <v>7529</v>
      </c>
      <c r="B232" s="11"/>
      <c r="C232" s="11"/>
      <c r="D232" s="11"/>
      <c r="E232" s="12"/>
      <c r="F232" s="11"/>
      <c r="G232" s="11"/>
      <c r="H232" s="13"/>
      <c r="I232" s="11"/>
      <c r="J232" s="11"/>
    </row>
    <row x14ac:dyDescent="0.25" r="233" customHeight="1" ht="17.25">
      <c r="A233" s="14" t="s">
        <v>3</v>
      </c>
      <c r="B233" s="14" t="s">
        <v>4</v>
      </c>
      <c r="C233" s="14" t="s">
        <v>5</v>
      </c>
      <c r="D233" s="14" t="s">
        <v>6</v>
      </c>
      <c r="E233" s="15" t="s">
        <v>7</v>
      </c>
      <c r="F233" s="14" t="s">
        <v>8</v>
      </c>
      <c r="G233" s="14" t="s">
        <v>9</v>
      </c>
      <c r="H233" s="16" t="s">
        <v>10</v>
      </c>
      <c r="I233" s="14" t="s">
        <v>11</v>
      </c>
      <c r="J233" s="14" t="s">
        <v>12</v>
      </c>
    </row>
    <row x14ac:dyDescent="0.25" r="234" customHeight="1" ht="17.25">
      <c r="A234" s="17" t="s">
        <v>7530</v>
      </c>
      <c r="B234" s="17" t="s">
        <v>386</v>
      </c>
      <c r="C234" s="17" t="s">
        <v>133</v>
      </c>
      <c r="D234" s="17" t="s">
        <v>16</v>
      </c>
      <c r="E234" s="26">
        <f>ROUND(12840*1.05,2)</f>
      </c>
      <c r="F234" s="17" t="s">
        <v>17</v>
      </c>
      <c r="G234" s="17" t="s">
        <v>18</v>
      </c>
      <c r="H234" s="18">
        <f>ROUND(RAND()*4+6,1)</f>
      </c>
      <c r="I234" s="17" t="s">
        <v>19</v>
      </c>
      <c r="J234" s="19">
        <f>ROUND(86*1,0)&amp;"%"</f>
      </c>
    </row>
    <row x14ac:dyDescent="0.25" r="235" customHeight="1" ht="17.25">
      <c r="A235" s="20" t="s">
        <v>7531</v>
      </c>
      <c r="B235" s="20" t="s">
        <v>388</v>
      </c>
      <c r="C235" s="20" t="s">
        <v>133</v>
      </c>
      <c r="D235" s="20" t="s">
        <v>22</v>
      </c>
      <c r="E235" s="21">
        <f>ROUND(5854*1.05,2)</f>
      </c>
      <c r="F235" s="20" t="s">
        <v>23</v>
      </c>
      <c r="G235" s="20" t="s">
        <v>24</v>
      </c>
      <c r="H235" s="21">
        <f>ROUND(RAND()*4+6,1)</f>
      </c>
      <c r="I235" s="20" t="s">
        <v>25</v>
      </c>
      <c r="J235" s="23">
        <f>ROUND(100*1,0)&amp;"%"</f>
      </c>
    </row>
    <row x14ac:dyDescent="0.25" r="236" customHeight="1" ht="17.25">
      <c r="A236" s="17" t="s">
        <v>7532</v>
      </c>
      <c r="B236" s="17" t="s">
        <v>390</v>
      </c>
      <c r="C236" s="17" t="s">
        <v>133</v>
      </c>
      <c r="D236" s="17" t="s">
        <v>28</v>
      </c>
      <c r="E236" s="18">
        <f>ROUND(11777*1.05,2)</f>
      </c>
      <c r="F236" s="17" t="s">
        <v>29</v>
      </c>
      <c r="G236" s="17" t="s">
        <v>30</v>
      </c>
      <c r="H236" s="18">
        <f>ROUND(RAND()*4+6,1)</f>
      </c>
      <c r="I236" s="17" t="s">
        <v>31</v>
      </c>
      <c r="J236" s="19">
        <f>ROUND(87*1,0)&amp;"%"</f>
      </c>
    </row>
    <row x14ac:dyDescent="0.25" r="237" customHeight="1" ht="17.25">
      <c r="A237" s="20" t="s">
        <v>7533</v>
      </c>
      <c r="B237" s="20" t="s">
        <v>392</v>
      </c>
      <c r="C237" s="20" t="s">
        <v>133</v>
      </c>
      <c r="D237" s="20" t="s">
        <v>34</v>
      </c>
      <c r="E237" s="21">
        <f>ROUND(12768*1.05,2)</f>
      </c>
      <c r="F237" s="20" t="s">
        <v>35</v>
      </c>
      <c r="G237" s="20" t="s">
        <v>18</v>
      </c>
      <c r="H237" s="21">
        <f>ROUND(RAND()*4+6,1)</f>
      </c>
      <c r="I237" s="20" t="s">
        <v>36</v>
      </c>
      <c r="J237" s="23">
        <f>ROUND(96*1,0)&amp;"%"</f>
      </c>
    </row>
    <row x14ac:dyDescent="0.25" r="238" customHeight="1" ht="17.25">
      <c r="A238" s="17" t="s">
        <v>7534</v>
      </c>
      <c r="B238" s="17" t="s">
        <v>394</v>
      </c>
      <c r="C238" s="17" t="s">
        <v>133</v>
      </c>
      <c r="D238" s="17" t="s">
        <v>39</v>
      </c>
      <c r="E238" s="18">
        <f>ROUND(4504*1.05,2)</f>
      </c>
      <c r="F238" s="17" t="s">
        <v>40</v>
      </c>
      <c r="G238" s="17" t="s">
        <v>24</v>
      </c>
      <c r="H238" s="18">
        <f>ROUND(RAND()*4+6,1)</f>
      </c>
      <c r="I238" s="17" t="s">
        <v>41</v>
      </c>
      <c r="J238" s="19">
        <f>ROUND(75*1,0)&amp;"%"</f>
      </c>
    </row>
    <row x14ac:dyDescent="0.25" r="239" customHeight="1" ht="17.25">
      <c r="A239" s="20" t="s">
        <v>7535</v>
      </c>
      <c r="B239" s="20" t="s">
        <v>396</v>
      </c>
      <c r="C239" s="20" t="s">
        <v>133</v>
      </c>
      <c r="D239" s="20" t="s">
        <v>67</v>
      </c>
      <c r="E239" s="21">
        <f>ROUND(5667*1.05,2)</f>
      </c>
      <c r="F239" s="20" t="s">
        <v>44</v>
      </c>
      <c r="G239" s="20" t="s">
        <v>30</v>
      </c>
      <c r="H239" s="22">
        <f>ROUND(RAND()*4+6,1)</f>
      </c>
      <c r="I239" s="20" t="s">
        <v>45</v>
      </c>
      <c r="J239" s="23">
        <f>ROUND(91*1,0)&amp;"%"</f>
      </c>
    </row>
    <row x14ac:dyDescent="0.25" r="240" customHeight="1" ht="17.25">
      <c r="A240" s="17" t="s">
        <v>7536</v>
      </c>
      <c r="B240" s="17" t="s">
        <v>398</v>
      </c>
      <c r="C240" s="17" t="s">
        <v>133</v>
      </c>
      <c r="D240" s="17" t="s">
        <v>16</v>
      </c>
      <c r="E240" s="18">
        <f>ROUND(7007*1.05,2)</f>
      </c>
      <c r="F240" s="17" t="s">
        <v>48</v>
      </c>
      <c r="G240" s="17" t="s">
        <v>18</v>
      </c>
      <c r="H240" s="18">
        <f>ROUND(RAND()*4+6,1)</f>
      </c>
      <c r="I240" s="17" t="s">
        <v>19</v>
      </c>
      <c r="J240" s="19">
        <f>ROUND(92*1,0)&amp;"%"</f>
      </c>
    </row>
    <row x14ac:dyDescent="0.25" r="241" customHeight="1" ht="17.25">
      <c r="A241" s="20" t="s">
        <v>7537</v>
      </c>
      <c r="B241" s="20" t="s">
        <v>400</v>
      </c>
      <c r="C241" s="20" t="s">
        <v>133</v>
      </c>
      <c r="D241" s="20" t="s">
        <v>22</v>
      </c>
      <c r="E241" s="21">
        <f>ROUND(9496*1.05,2)</f>
      </c>
      <c r="F241" s="20" t="s">
        <v>51</v>
      </c>
      <c r="G241" s="20" t="s">
        <v>24</v>
      </c>
      <c r="H241" s="21">
        <f>ROUND(RAND()*4+6,1)</f>
      </c>
      <c r="I241" s="20" t="s">
        <v>25</v>
      </c>
      <c r="J241" s="23">
        <f>ROUND(67*1,0)&amp;"%"</f>
      </c>
    </row>
    <row x14ac:dyDescent="0.25" r="242" customHeight="1" ht="17.25">
      <c r="A242" s="24" t="s">
        <v>401</v>
      </c>
      <c r="B242" s="24"/>
      <c r="C242" s="24"/>
      <c r="D242" s="24"/>
      <c r="E242" s="25">
        <v>8</v>
      </c>
      <c r="F242" s="9"/>
      <c r="G242" s="9"/>
      <c r="H242" s="10"/>
      <c r="I242" s="9"/>
      <c r="J242" s="9"/>
    </row>
    <row x14ac:dyDescent="0.25" r="243" customHeight="1" ht="17.25">
      <c r="A243" s="7"/>
      <c r="B243" s="7"/>
      <c r="C243" s="7"/>
      <c r="D243" s="7"/>
      <c r="E243" s="8"/>
      <c r="F243" s="9"/>
      <c r="G243" s="9"/>
      <c r="H243" s="10"/>
      <c r="I243" s="9"/>
      <c r="J243" s="9"/>
    </row>
    <row x14ac:dyDescent="0.25" r="244" customHeight="1" ht="17.25">
      <c r="A244" s="11" t="s">
        <v>7538</v>
      </c>
      <c r="B244" s="11"/>
      <c r="C244" s="11"/>
      <c r="D244" s="11"/>
      <c r="E244" s="12"/>
      <c r="F244" s="11"/>
      <c r="G244" s="11"/>
      <c r="H244" s="13"/>
      <c r="I244" s="11"/>
      <c r="J244" s="11"/>
    </row>
    <row x14ac:dyDescent="0.25" r="245" customHeight="1" ht="17.25">
      <c r="A245" s="14" t="s">
        <v>3</v>
      </c>
      <c r="B245" s="14" t="s">
        <v>4</v>
      </c>
      <c r="C245" s="14" t="s">
        <v>5</v>
      </c>
      <c r="D245" s="14" t="s">
        <v>6</v>
      </c>
      <c r="E245" s="15" t="s">
        <v>7</v>
      </c>
      <c r="F245" s="14" t="s">
        <v>8</v>
      </c>
      <c r="G245" s="14" t="s">
        <v>9</v>
      </c>
      <c r="H245" s="16" t="s">
        <v>10</v>
      </c>
      <c r="I245" s="14" t="s">
        <v>11</v>
      </c>
      <c r="J245" s="14" t="s">
        <v>12</v>
      </c>
    </row>
    <row x14ac:dyDescent="0.25" r="246" customHeight="1" ht="17.25">
      <c r="A246" s="17" t="s">
        <v>7539</v>
      </c>
      <c r="B246" s="17" t="s">
        <v>404</v>
      </c>
      <c r="C246" s="17" t="s">
        <v>152</v>
      </c>
      <c r="D246" s="17" t="s">
        <v>16</v>
      </c>
      <c r="E246" s="18">
        <f>ROUND(14584*1.05,2)</f>
      </c>
      <c r="F246" s="17" t="s">
        <v>17</v>
      </c>
      <c r="G246" s="17" t="s">
        <v>18</v>
      </c>
      <c r="H246" s="18">
        <f>ROUND(RAND()*4+6,1)</f>
      </c>
      <c r="I246" s="17" t="s">
        <v>19</v>
      </c>
      <c r="J246" s="19">
        <f>ROUND(65*1,0)&amp;"%"</f>
      </c>
    </row>
    <row x14ac:dyDescent="0.25" r="247" customHeight="1" ht="17.25">
      <c r="A247" s="20" t="s">
        <v>7540</v>
      </c>
      <c r="B247" s="20" t="s">
        <v>406</v>
      </c>
      <c r="C247" s="20" t="s">
        <v>152</v>
      </c>
      <c r="D247" s="20" t="s">
        <v>22</v>
      </c>
      <c r="E247" s="21">
        <f>ROUND(10129*1.05,2)</f>
      </c>
      <c r="F247" s="20" t="s">
        <v>23</v>
      </c>
      <c r="G247" s="20" t="s">
        <v>24</v>
      </c>
      <c r="H247" s="21">
        <f>ROUND(RAND()*4+6,1)</f>
      </c>
      <c r="I247" s="20" t="s">
        <v>25</v>
      </c>
      <c r="J247" s="23">
        <f>ROUND(69*1,0)&amp;"%"</f>
      </c>
    </row>
    <row x14ac:dyDescent="0.25" r="248" customHeight="1" ht="17.25">
      <c r="A248" s="17" t="s">
        <v>7541</v>
      </c>
      <c r="B248" s="17" t="s">
        <v>408</v>
      </c>
      <c r="C248" s="17" t="s">
        <v>152</v>
      </c>
      <c r="D248" s="17" t="s">
        <v>28</v>
      </c>
      <c r="E248" s="18">
        <f>ROUND(15732*1.05,2)</f>
      </c>
      <c r="F248" s="17" t="s">
        <v>29</v>
      </c>
      <c r="G248" s="17" t="s">
        <v>30</v>
      </c>
      <c r="H248" s="18">
        <f>ROUND(RAND()*4+6,1)</f>
      </c>
      <c r="I248" s="17" t="s">
        <v>31</v>
      </c>
      <c r="J248" s="19">
        <f>ROUND(78*1,0)&amp;"%"</f>
      </c>
    </row>
    <row x14ac:dyDescent="0.25" r="249" customHeight="1" ht="17.25">
      <c r="A249" s="20" t="s">
        <v>7542</v>
      </c>
      <c r="B249" s="20" t="s">
        <v>410</v>
      </c>
      <c r="C249" s="20" t="s">
        <v>152</v>
      </c>
      <c r="D249" s="20" t="s">
        <v>34</v>
      </c>
      <c r="E249" s="21">
        <f>ROUND(6742*1.05,2)</f>
      </c>
      <c r="F249" s="20" t="s">
        <v>35</v>
      </c>
      <c r="G249" s="20" t="s">
        <v>18</v>
      </c>
      <c r="H249" s="21">
        <f>ROUND(RAND()*4+6,1)</f>
      </c>
      <c r="I249" s="20" t="s">
        <v>36</v>
      </c>
      <c r="J249" s="23">
        <f>ROUND(98*1,0)&amp;"%"</f>
      </c>
    </row>
    <row x14ac:dyDescent="0.25" r="250" customHeight="1" ht="17.25">
      <c r="A250" s="17" t="s">
        <v>7543</v>
      </c>
      <c r="B250" s="17" t="s">
        <v>412</v>
      </c>
      <c r="C250" s="17" t="s">
        <v>152</v>
      </c>
      <c r="D250" s="17" t="s">
        <v>39</v>
      </c>
      <c r="E250" s="18">
        <f>ROUND(10948*1.05,2)</f>
      </c>
      <c r="F250" s="17" t="s">
        <v>40</v>
      </c>
      <c r="G250" s="17" t="s">
        <v>24</v>
      </c>
      <c r="H250" s="18">
        <f>ROUND(RAND()*4+6,1)</f>
      </c>
      <c r="I250" s="17" t="s">
        <v>41</v>
      </c>
      <c r="J250" s="19">
        <f>ROUND(91*1,0)&amp;"%"</f>
      </c>
    </row>
    <row x14ac:dyDescent="0.25" r="251" customHeight="1" ht="17.25">
      <c r="A251" s="20" t="s">
        <v>7544</v>
      </c>
      <c r="B251" s="20" t="s">
        <v>414</v>
      </c>
      <c r="C251" s="20" t="s">
        <v>152</v>
      </c>
      <c r="D251" s="20" t="s">
        <v>67</v>
      </c>
      <c r="E251" s="21">
        <f>ROUND(9792*1.05,2)</f>
      </c>
      <c r="F251" s="20" t="s">
        <v>44</v>
      </c>
      <c r="G251" s="20" t="s">
        <v>30</v>
      </c>
      <c r="H251" s="21">
        <f>ROUND(RAND()*4+6,1)</f>
      </c>
      <c r="I251" s="20" t="s">
        <v>45</v>
      </c>
      <c r="J251" s="23">
        <f>ROUND(82*1,0)&amp;"%"</f>
      </c>
    </row>
    <row x14ac:dyDescent="0.25" r="252" customHeight="1" ht="17.25">
      <c r="A252" s="17" t="s">
        <v>7545</v>
      </c>
      <c r="B252" s="17" t="s">
        <v>416</v>
      </c>
      <c r="C252" s="17" t="s">
        <v>152</v>
      </c>
      <c r="D252" s="17" t="s">
        <v>16</v>
      </c>
      <c r="E252" s="26">
        <f>ROUND(8760*1.05,2)</f>
      </c>
      <c r="F252" s="17" t="s">
        <v>48</v>
      </c>
      <c r="G252" s="17" t="s">
        <v>18</v>
      </c>
      <c r="H252" s="18">
        <f>ROUND(RAND()*4+6,1)</f>
      </c>
      <c r="I252" s="17" t="s">
        <v>19</v>
      </c>
      <c r="J252" s="19">
        <f>ROUND(60*1,0)&amp;"%"</f>
      </c>
    </row>
    <row x14ac:dyDescent="0.25" r="253" customHeight="1" ht="17.25">
      <c r="A253" s="20" t="s">
        <v>7546</v>
      </c>
      <c r="B253" s="20" t="s">
        <v>418</v>
      </c>
      <c r="C253" s="20" t="s">
        <v>152</v>
      </c>
      <c r="D253" s="20" t="s">
        <v>22</v>
      </c>
      <c r="E253" s="21">
        <f>ROUND(11631*1.05,2)</f>
      </c>
      <c r="F253" s="20" t="s">
        <v>51</v>
      </c>
      <c r="G253" s="20" t="s">
        <v>24</v>
      </c>
      <c r="H253" s="21">
        <f>ROUND(RAND()*4+6,1)</f>
      </c>
      <c r="I253" s="20" t="s">
        <v>25</v>
      </c>
      <c r="J253" s="23">
        <f>ROUND(78*1,0)&amp;"%"</f>
      </c>
    </row>
    <row x14ac:dyDescent="0.25" r="254" customHeight="1" ht="17.25">
      <c r="A254" s="24" t="s">
        <v>419</v>
      </c>
      <c r="B254" s="24"/>
      <c r="C254" s="24"/>
      <c r="D254" s="24"/>
      <c r="E254" s="25">
        <v>8</v>
      </c>
      <c r="F254" s="9"/>
      <c r="G254" s="9"/>
      <c r="H254" s="10"/>
      <c r="I254" s="9"/>
      <c r="J254" s="9"/>
    </row>
    <row x14ac:dyDescent="0.25" r="255" customHeight="1" ht="17.25">
      <c r="A255" s="7"/>
      <c r="B255" s="7"/>
      <c r="C255" s="7"/>
      <c r="D255" s="7"/>
      <c r="E255" s="8"/>
      <c r="F255" s="9"/>
      <c r="G255" s="9"/>
      <c r="H255" s="10"/>
      <c r="I255" s="9"/>
      <c r="J255" s="9"/>
    </row>
    <row x14ac:dyDescent="0.25" r="256" customHeight="1" ht="17.25">
      <c r="A256" s="11" t="s">
        <v>7547</v>
      </c>
      <c r="B256" s="11"/>
      <c r="C256" s="11"/>
      <c r="D256" s="11"/>
      <c r="E256" s="12"/>
      <c r="F256" s="11"/>
      <c r="G256" s="11"/>
      <c r="H256" s="13"/>
      <c r="I256" s="11"/>
      <c r="J256" s="11"/>
    </row>
    <row x14ac:dyDescent="0.25" r="257" customHeight="1" ht="17.25">
      <c r="A257" s="14" t="s">
        <v>3</v>
      </c>
      <c r="B257" s="14" t="s">
        <v>4</v>
      </c>
      <c r="C257" s="14" t="s">
        <v>5</v>
      </c>
      <c r="D257" s="14" t="s">
        <v>6</v>
      </c>
      <c r="E257" s="15" t="s">
        <v>7</v>
      </c>
      <c r="F257" s="14" t="s">
        <v>8</v>
      </c>
      <c r="G257" s="14" t="s">
        <v>9</v>
      </c>
      <c r="H257" s="16" t="s">
        <v>10</v>
      </c>
      <c r="I257" s="14" t="s">
        <v>11</v>
      </c>
      <c r="J257" s="14" t="s">
        <v>12</v>
      </c>
    </row>
    <row x14ac:dyDescent="0.25" r="258" customHeight="1" ht="17.25">
      <c r="A258" s="17" t="s">
        <v>7548</v>
      </c>
      <c r="B258" s="17" t="s">
        <v>422</v>
      </c>
      <c r="C258" s="17" t="s">
        <v>15</v>
      </c>
      <c r="D258" s="17" t="s">
        <v>16</v>
      </c>
      <c r="E258" s="18">
        <f>ROUND(10149*1.05,2)</f>
      </c>
      <c r="F258" s="17" t="s">
        <v>17</v>
      </c>
      <c r="G258" s="17" t="s">
        <v>18</v>
      </c>
      <c r="H258" s="18">
        <f>ROUND(RAND()*4+6,1)</f>
      </c>
      <c r="I258" s="17" t="s">
        <v>19</v>
      </c>
      <c r="J258" s="19">
        <f>ROUND(95*1,0)&amp;"%"</f>
      </c>
    </row>
    <row x14ac:dyDescent="0.25" r="259" customHeight="1" ht="17.25">
      <c r="A259" s="20" t="s">
        <v>7549</v>
      </c>
      <c r="B259" s="20" t="s">
        <v>424</v>
      </c>
      <c r="C259" s="20" t="s">
        <v>15</v>
      </c>
      <c r="D259" s="20" t="s">
        <v>22</v>
      </c>
      <c r="E259" s="21">
        <f>ROUND(15401*1.05,2)</f>
      </c>
      <c r="F259" s="20" t="s">
        <v>23</v>
      </c>
      <c r="G259" s="20" t="s">
        <v>24</v>
      </c>
      <c r="H259" s="22">
        <f>ROUND(RAND()*4+6,1)</f>
      </c>
      <c r="I259" s="20" t="s">
        <v>25</v>
      </c>
      <c r="J259" s="23">
        <f>ROUND(100*1,0)&amp;"%"</f>
      </c>
    </row>
    <row x14ac:dyDescent="0.25" r="260" customHeight="1" ht="17.25">
      <c r="A260" s="17" t="s">
        <v>7550</v>
      </c>
      <c r="B260" s="17" t="s">
        <v>426</v>
      </c>
      <c r="C260" s="17" t="s">
        <v>15</v>
      </c>
      <c r="D260" s="17" t="s">
        <v>28</v>
      </c>
      <c r="E260" s="18">
        <f>ROUND(13635*1.05,2)</f>
      </c>
      <c r="F260" s="17" t="s">
        <v>29</v>
      </c>
      <c r="G260" s="17" t="s">
        <v>30</v>
      </c>
      <c r="H260" s="18">
        <f>ROUND(RAND()*4+6,1)</f>
      </c>
      <c r="I260" s="17" t="s">
        <v>31</v>
      </c>
      <c r="J260" s="19">
        <f>ROUND(89*1,0)&amp;"%"</f>
      </c>
    </row>
    <row x14ac:dyDescent="0.25" r="261" customHeight="1" ht="17.25">
      <c r="A261" s="20" t="s">
        <v>7551</v>
      </c>
      <c r="B261" s="20" t="s">
        <v>428</v>
      </c>
      <c r="C261" s="20" t="s">
        <v>15</v>
      </c>
      <c r="D261" s="20" t="s">
        <v>34</v>
      </c>
      <c r="E261" s="22">
        <f>ROUND(9540*1.05,2)</f>
      </c>
      <c r="F261" s="20" t="s">
        <v>35</v>
      </c>
      <c r="G261" s="20" t="s">
        <v>18</v>
      </c>
      <c r="H261" s="21">
        <f>ROUND(RAND()*4+6,1)</f>
      </c>
      <c r="I261" s="20" t="s">
        <v>36</v>
      </c>
      <c r="J261" s="23">
        <f>ROUND(66*1,0)&amp;"%"</f>
      </c>
    </row>
    <row x14ac:dyDescent="0.25" r="262" customHeight="1" ht="17.25">
      <c r="A262" s="17" t="s">
        <v>7552</v>
      </c>
      <c r="B262" s="17" t="s">
        <v>430</v>
      </c>
      <c r="C262" s="17" t="s">
        <v>15</v>
      </c>
      <c r="D262" s="17" t="s">
        <v>39</v>
      </c>
      <c r="E262" s="18">
        <f>ROUND(10097*1.05,2)</f>
      </c>
      <c r="F262" s="17" t="s">
        <v>40</v>
      </c>
      <c r="G262" s="17" t="s">
        <v>24</v>
      </c>
      <c r="H262" s="18">
        <f>ROUND(RAND()*4+6,1)</f>
      </c>
      <c r="I262" s="17" t="s">
        <v>41</v>
      </c>
      <c r="J262" s="19">
        <f>ROUND(94*1,0)&amp;"%"</f>
      </c>
    </row>
    <row x14ac:dyDescent="0.25" r="263" customHeight="1" ht="17.25">
      <c r="A263" s="20" t="s">
        <v>7553</v>
      </c>
      <c r="B263" s="20" t="s">
        <v>432</v>
      </c>
      <c r="C263" s="20" t="s">
        <v>15</v>
      </c>
      <c r="D263" s="20" t="s">
        <v>67</v>
      </c>
      <c r="E263" s="21">
        <f>ROUND(12050*1.05,2)</f>
      </c>
      <c r="F263" s="20" t="s">
        <v>44</v>
      </c>
      <c r="G263" s="20" t="s">
        <v>30</v>
      </c>
      <c r="H263" s="21">
        <f>ROUND(RAND()*4+6,1)</f>
      </c>
      <c r="I263" s="20" t="s">
        <v>45</v>
      </c>
      <c r="J263" s="23">
        <f>ROUND(84*1,0)&amp;"%"</f>
      </c>
    </row>
    <row x14ac:dyDescent="0.25" r="264" customHeight="1" ht="17.25">
      <c r="A264" s="17" t="s">
        <v>7554</v>
      </c>
      <c r="B264" s="17" t="s">
        <v>434</v>
      </c>
      <c r="C264" s="17" t="s">
        <v>15</v>
      </c>
      <c r="D264" s="17" t="s">
        <v>16</v>
      </c>
      <c r="E264" s="18">
        <f>ROUND(17093*1.05,2)</f>
      </c>
      <c r="F264" s="17" t="s">
        <v>48</v>
      </c>
      <c r="G264" s="17" t="s">
        <v>18</v>
      </c>
      <c r="H264" s="18">
        <f>ROUND(RAND()*4+6,1)</f>
      </c>
      <c r="I264" s="17" t="s">
        <v>19</v>
      </c>
      <c r="J264" s="19">
        <f>ROUND(73*1,0)&amp;"%"</f>
      </c>
    </row>
    <row x14ac:dyDescent="0.25" r="265" customHeight="1" ht="17.25">
      <c r="A265" s="20" t="s">
        <v>7555</v>
      </c>
      <c r="B265" s="20" t="s">
        <v>436</v>
      </c>
      <c r="C265" s="20" t="s">
        <v>15</v>
      </c>
      <c r="D265" s="20" t="s">
        <v>22</v>
      </c>
      <c r="E265" s="21">
        <f>ROUND(4529*1.05,2)</f>
      </c>
      <c r="F265" s="20" t="s">
        <v>51</v>
      </c>
      <c r="G265" s="20" t="s">
        <v>24</v>
      </c>
      <c r="H265" s="21">
        <f>ROUND(RAND()*4+6,1)</f>
      </c>
      <c r="I265" s="20" t="s">
        <v>25</v>
      </c>
      <c r="J265" s="23">
        <f>ROUND(61*1,0)&amp;"%"</f>
      </c>
    </row>
    <row x14ac:dyDescent="0.25" r="266" customHeight="1" ht="17.25">
      <c r="A266" s="24" t="s">
        <v>437</v>
      </c>
      <c r="B266" s="24"/>
      <c r="C266" s="24"/>
      <c r="D266" s="24"/>
      <c r="E266" s="25">
        <v>8</v>
      </c>
      <c r="F266" s="9"/>
      <c r="G266" s="9"/>
      <c r="H266" s="10"/>
      <c r="I266" s="9"/>
      <c r="J266" s="9"/>
    </row>
    <row x14ac:dyDescent="0.25" r="267" customHeight="1" ht="17.25">
      <c r="A267" s="7"/>
      <c r="B267" s="7"/>
      <c r="C267" s="7"/>
      <c r="D267" s="7"/>
      <c r="E267" s="8"/>
      <c r="F267" s="9"/>
      <c r="G267" s="9"/>
      <c r="H267" s="10"/>
      <c r="I267" s="9"/>
      <c r="J267" s="9"/>
    </row>
    <row x14ac:dyDescent="0.25" r="268" customHeight="1" ht="17.25">
      <c r="A268" s="11" t="s">
        <v>7556</v>
      </c>
      <c r="B268" s="11"/>
      <c r="C268" s="11"/>
      <c r="D268" s="11"/>
      <c r="E268" s="12"/>
      <c r="F268" s="11"/>
      <c r="G268" s="11"/>
      <c r="H268" s="13"/>
      <c r="I268" s="11"/>
      <c r="J268" s="11"/>
    </row>
    <row x14ac:dyDescent="0.25" r="269" customHeight="1" ht="17.25">
      <c r="A269" s="14" t="s">
        <v>3</v>
      </c>
      <c r="B269" s="14" t="s">
        <v>4</v>
      </c>
      <c r="C269" s="14" t="s">
        <v>5</v>
      </c>
      <c r="D269" s="14" t="s">
        <v>6</v>
      </c>
      <c r="E269" s="15" t="s">
        <v>7</v>
      </c>
      <c r="F269" s="14" t="s">
        <v>8</v>
      </c>
      <c r="G269" s="14" t="s">
        <v>9</v>
      </c>
      <c r="H269" s="16" t="s">
        <v>10</v>
      </c>
      <c r="I269" s="14" t="s">
        <v>11</v>
      </c>
      <c r="J269" s="14" t="s">
        <v>12</v>
      </c>
    </row>
    <row x14ac:dyDescent="0.25" r="270" customHeight="1" ht="17.25">
      <c r="A270" s="17" t="s">
        <v>7557</v>
      </c>
      <c r="B270" s="17" t="s">
        <v>440</v>
      </c>
      <c r="C270" s="17" t="s">
        <v>56</v>
      </c>
      <c r="D270" s="17" t="s">
        <v>16</v>
      </c>
      <c r="E270" s="18">
        <f>ROUND(11308*1.05,2)</f>
      </c>
      <c r="F270" s="17" t="s">
        <v>17</v>
      </c>
      <c r="G270" s="17" t="s">
        <v>18</v>
      </c>
      <c r="H270" s="18">
        <f>ROUND(RAND()*4+6,1)</f>
      </c>
      <c r="I270" s="17" t="s">
        <v>19</v>
      </c>
      <c r="J270" s="19">
        <f>ROUND(92*1,0)&amp;"%"</f>
      </c>
    </row>
    <row x14ac:dyDescent="0.25" r="271" customHeight="1" ht="17.25">
      <c r="A271" s="20" t="s">
        <v>7558</v>
      </c>
      <c r="B271" s="20" t="s">
        <v>442</v>
      </c>
      <c r="C271" s="20" t="s">
        <v>56</v>
      </c>
      <c r="D271" s="20" t="s">
        <v>22</v>
      </c>
      <c r="E271" s="21">
        <f>ROUND(7335*1.05,2)</f>
      </c>
      <c r="F271" s="20" t="s">
        <v>23</v>
      </c>
      <c r="G271" s="20" t="s">
        <v>24</v>
      </c>
      <c r="H271" s="21">
        <f>ROUND(RAND()*4+6,1)</f>
      </c>
      <c r="I271" s="20" t="s">
        <v>25</v>
      </c>
      <c r="J271" s="23">
        <f>ROUND(78*1,0)&amp;"%"</f>
      </c>
    </row>
    <row x14ac:dyDescent="0.25" r="272" customHeight="1" ht="17.25">
      <c r="A272" s="17" t="s">
        <v>7559</v>
      </c>
      <c r="B272" s="17" t="s">
        <v>444</v>
      </c>
      <c r="C272" s="17" t="s">
        <v>56</v>
      </c>
      <c r="D272" s="17" t="s">
        <v>28</v>
      </c>
      <c r="E272" s="18">
        <f>ROUND(13683*1.05,2)</f>
      </c>
      <c r="F272" s="17" t="s">
        <v>29</v>
      </c>
      <c r="G272" s="17" t="s">
        <v>30</v>
      </c>
      <c r="H272" s="18">
        <f>ROUND(RAND()*4+6,1)</f>
      </c>
      <c r="I272" s="17" t="s">
        <v>31</v>
      </c>
      <c r="J272" s="19">
        <f>ROUND(97*1,0)&amp;"%"</f>
      </c>
    </row>
    <row x14ac:dyDescent="0.25" r="273" customHeight="1" ht="17.25">
      <c r="A273" s="20" t="s">
        <v>7560</v>
      </c>
      <c r="B273" s="20" t="s">
        <v>446</v>
      </c>
      <c r="C273" s="20" t="s">
        <v>56</v>
      </c>
      <c r="D273" s="20" t="s">
        <v>34</v>
      </c>
      <c r="E273" s="21">
        <f>ROUND(8061*1.05,2)</f>
      </c>
      <c r="F273" s="20" t="s">
        <v>35</v>
      </c>
      <c r="G273" s="20" t="s">
        <v>18</v>
      </c>
      <c r="H273" s="21">
        <f>ROUND(RAND()*4+6,1)</f>
      </c>
      <c r="I273" s="20" t="s">
        <v>36</v>
      </c>
      <c r="J273" s="23">
        <f>ROUND(65*1,0)&amp;"%"</f>
      </c>
    </row>
    <row x14ac:dyDescent="0.25" r="274" customHeight="1" ht="17.25">
      <c r="A274" s="17" t="s">
        <v>7561</v>
      </c>
      <c r="B274" s="17" t="s">
        <v>448</v>
      </c>
      <c r="C274" s="17" t="s">
        <v>56</v>
      </c>
      <c r="D274" s="17" t="s">
        <v>39</v>
      </c>
      <c r="E274" s="18">
        <f>ROUND(11893*1.05,2)</f>
      </c>
      <c r="F274" s="17" t="s">
        <v>40</v>
      </c>
      <c r="G274" s="17" t="s">
        <v>24</v>
      </c>
      <c r="H274" s="18">
        <f>ROUND(RAND()*4+6,1)</f>
      </c>
      <c r="I274" s="17" t="s">
        <v>41</v>
      </c>
      <c r="J274" s="19">
        <f>ROUND(79*1,0)&amp;"%"</f>
      </c>
    </row>
    <row x14ac:dyDescent="0.25" r="275" customHeight="1" ht="17.25">
      <c r="A275" s="20" t="s">
        <v>7562</v>
      </c>
      <c r="B275" s="20" t="s">
        <v>450</v>
      </c>
      <c r="C275" s="20" t="s">
        <v>56</v>
      </c>
      <c r="D275" s="20" t="s">
        <v>67</v>
      </c>
      <c r="E275" s="22">
        <f>ROUND(9420*1.05,2)</f>
      </c>
      <c r="F275" s="20" t="s">
        <v>44</v>
      </c>
      <c r="G275" s="20" t="s">
        <v>30</v>
      </c>
      <c r="H275" s="21">
        <f>ROUND(RAND()*4+6,1)</f>
      </c>
      <c r="I275" s="20" t="s">
        <v>45</v>
      </c>
      <c r="J275" s="23">
        <f>ROUND(71*1,0)&amp;"%"</f>
      </c>
    </row>
    <row x14ac:dyDescent="0.25" r="276" customHeight="1" ht="17.25">
      <c r="A276" s="17" t="s">
        <v>7563</v>
      </c>
      <c r="B276" s="17" t="s">
        <v>452</v>
      </c>
      <c r="C276" s="17" t="s">
        <v>56</v>
      </c>
      <c r="D276" s="17" t="s">
        <v>16</v>
      </c>
      <c r="E276" s="18">
        <f>ROUND(15871*1.05,2)</f>
      </c>
      <c r="F276" s="17" t="s">
        <v>48</v>
      </c>
      <c r="G276" s="17" t="s">
        <v>18</v>
      </c>
      <c r="H276" s="18">
        <f>ROUND(RAND()*4+6,1)</f>
      </c>
      <c r="I276" s="17" t="s">
        <v>19</v>
      </c>
      <c r="J276" s="19">
        <f>ROUND(67*1,0)&amp;"%"</f>
      </c>
    </row>
    <row x14ac:dyDescent="0.25" r="277" customHeight="1" ht="17.25">
      <c r="A277" s="20" t="s">
        <v>7564</v>
      </c>
      <c r="B277" s="20" t="s">
        <v>454</v>
      </c>
      <c r="C277" s="20" t="s">
        <v>56</v>
      </c>
      <c r="D277" s="20" t="s">
        <v>22</v>
      </c>
      <c r="E277" s="21">
        <f>ROUND(16902*1.05,2)</f>
      </c>
      <c r="F277" s="20" t="s">
        <v>51</v>
      </c>
      <c r="G277" s="20" t="s">
        <v>24</v>
      </c>
      <c r="H277" s="21">
        <f>ROUND(RAND()*4+6,1)</f>
      </c>
      <c r="I277" s="20" t="s">
        <v>25</v>
      </c>
      <c r="J277" s="23">
        <f>ROUND(90*1,0)&amp;"%"</f>
      </c>
    </row>
    <row x14ac:dyDescent="0.25" r="278" customHeight="1" ht="17.25">
      <c r="A278" s="24" t="s">
        <v>455</v>
      </c>
      <c r="B278" s="24"/>
      <c r="C278" s="24"/>
      <c r="D278" s="24"/>
      <c r="E278" s="25">
        <v>8</v>
      </c>
      <c r="F278" s="9"/>
      <c r="G278" s="9"/>
      <c r="H278" s="10"/>
      <c r="I278" s="9"/>
      <c r="J278" s="9"/>
    </row>
    <row x14ac:dyDescent="0.25" r="279" customHeight="1" ht="17.25">
      <c r="A279" s="7"/>
      <c r="B279" s="7"/>
      <c r="C279" s="7"/>
      <c r="D279" s="7"/>
      <c r="E279" s="8"/>
      <c r="F279" s="9"/>
      <c r="G279" s="9"/>
      <c r="H279" s="10"/>
      <c r="I279" s="9"/>
      <c r="J279" s="9"/>
    </row>
    <row x14ac:dyDescent="0.25" r="280" customHeight="1" ht="17.25">
      <c r="A280" s="11" t="s">
        <v>7565</v>
      </c>
      <c r="B280" s="11"/>
      <c r="C280" s="11"/>
      <c r="D280" s="11"/>
      <c r="E280" s="12"/>
      <c r="F280" s="11"/>
      <c r="G280" s="11"/>
      <c r="H280" s="13"/>
      <c r="I280" s="11"/>
      <c r="J280" s="11"/>
    </row>
    <row x14ac:dyDescent="0.25" r="281" customHeight="1" ht="17.25">
      <c r="A281" s="14" t="s">
        <v>3</v>
      </c>
      <c r="B281" s="14" t="s">
        <v>4</v>
      </c>
      <c r="C281" s="14" t="s">
        <v>5</v>
      </c>
      <c r="D281" s="14" t="s">
        <v>6</v>
      </c>
      <c r="E281" s="15" t="s">
        <v>7</v>
      </c>
      <c r="F281" s="14" t="s">
        <v>8</v>
      </c>
      <c r="G281" s="14" t="s">
        <v>9</v>
      </c>
      <c r="H281" s="16" t="s">
        <v>10</v>
      </c>
      <c r="I281" s="14" t="s">
        <v>11</v>
      </c>
      <c r="J281" s="14" t="s">
        <v>12</v>
      </c>
    </row>
    <row x14ac:dyDescent="0.25" r="282" customHeight="1" ht="17.25">
      <c r="A282" s="17" t="s">
        <v>7566</v>
      </c>
      <c r="B282" s="17" t="s">
        <v>458</v>
      </c>
      <c r="C282" s="17" t="s">
        <v>76</v>
      </c>
      <c r="D282" s="17" t="s">
        <v>16</v>
      </c>
      <c r="E282" s="18">
        <f>ROUND(10234*1.05,2)</f>
      </c>
      <c r="F282" s="17" t="s">
        <v>17</v>
      </c>
      <c r="G282" s="17" t="s">
        <v>18</v>
      </c>
      <c r="H282" s="18">
        <f>ROUND(RAND()*4+6,1)</f>
      </c>
      <c r="I282" s="17" t="s">
        <v>19</v>
      </c>
      <c r="J282" s="19">
        <f>ROUND(76*1,0)&amp;"%"</f>
      </c>
    </row>
    <row x14ac:dyDescent="0.25" r="283" customHeight="1" ht="17.25">
      <c r="A283" s="20" t="s">
        <v>7567</v>
      </c>
      <c r="B283" s="20" t="s">
        <v>460</v>
      </c>
      <c r="C283" s="20" t="s">
        <v>76</v>
      </c>
      <c r="D283" s="20" t="s">
        <v>22</v>
      </c>
      <c r="E283" s="21">
        <f>ROUND(16631*1.05,2)</f>
      </c>
      <c r="F283" s="20" t="s">
        <v>23</v>
      </c>
      <c r="G283" s="20" t="s">
        <v>24</v>
      </c>
      <c r="H283" s="21">
        <f>ROUND(RAND()*4+6,1)</f>
      </c>
      <c r="I283" s="20" t="s">
        <v>25</v>
      </c>
      <c r="J283" s="23">
        <f>ROUND(82*1,0)&amp;"%"</f>
      </c>
    </row>
    <row x14ac:dyDescent="0.25" r="284" customHeight="1" ht="17.25">
      <c r="A284" s="17" t="s">
        <v>7568</v>
      </c>
      <c r="B284" s="17" t="s">
        <v>462</v>
      </c>
      <c r="C284" s="17" t="s">
        <v>76</v>
      </c>
      <c r="D284" s="17" t="s">
        <v>28</v>
      </c>
      <c r="E284" s="26">
        <f>ROUND(4000*1.05,2)</f>
      </c>
      <c r="F284" s="17" t="s">
        <v>29</v>
      </c>
      <c r="G284" s="17" t="s">
        <v>30</v>
      </c>
      <c r="H284" s="18">
        <f>ROUND(RAND()*4+6,1)</f>
      </c>
      <c r="I284" s="17" t="s">
        <v>31</v>
      </c>
      <c r="J284" s="19">
        <f>ROUND(70*1,0)&amp;"%"</f>
      </c>
    </row>
    <row x14ac:dyDescent="0.25" r="285" customHeight="1" ht="17.25">
      <c r="A285" s="20" t="s">
        <v>7569</v>
      </c>
      <c r="B285" s="20" t="s">
        <v>464</v>
      </c>
      <c r="C285" s="20" t="s">
        <v>76</v>
      </c>
      <c r="D285" s="20" t="s">
        <v>34</v>
      </c>
      <c r="E285" s="21">
        <f>ROUND(11163*1.05,2)</f>
      </c>
      <c r="F285" s="20" t="s">
        <v>35</v>
      </c>
      <c r="G285" s="20" t="s">
        <v>18</v>
      </c>
      <c r="H285" s="21">
        <f>ROUND(RAND()*4+6,1)</f>
      </c>
      <c r="I285" s="20" t="s">
        <v>36</v>
      </c>
      <c r="J285" s="23">
        <f>ROUND(60*1,0)&amp;"%"</f>
      </c>
    </row>
    <row x14ac:dyDescent="0.25" r="286" customHeight="1" ht="17.25">
      <c r="A286" s="17" t="s">
        <v>7570</v>
      </c>
      <c r="B286" s="17" t="s">
        <v>466</v>
      </c>
      <c r="C286" s="17" t="s">
        <v>76</v>
      </c>
      <c r="D286" s="17" t="s">
        <v>39</v>
      </c>
      <c r="E286" s="18">
        <f>ROUND(16045*1.05,2)</f>
      </c>
      <c r="F286" s="17" t="s">
        <v>40</v>
      </c>
      <c r="G286" s="17" t="s">
        <v>24</v>
      </c>
      <c r="H286" s="18">
        <f>ROUND(RAND()*4+6,1)</f>
      </c>
      <c r="I286" s="17" t="s">
        <v>41</v>
      </c>
      <c r="J286" s="19">
        <f>ROUND(74*1,0)&amp;"%"</f>
      </c>
    </row>
    <row x14ac:dyDescent="0.25" r="287" customHeight="1" ht="17.25">
      <c r="A287" s="20" t="s">
        <v>7571</v>
      </c>
      <c r="B287" s="20" t="s">
        <v>468</v>
      </c>
      <c r="C287" s="20" t="s">
        <v>76</v>
      </c>
      <c r="D287" s="20" t="s">
        <v>67</v>
      </c>
      <c r="E287" s="21">
        <f>ROUND(10419*1.05,2)</f>
      </c>
      <c r="F287" s="20" t="s">
        <v>44</v>
      </c>
      <c r="G287" s="20" t="s">
        <v>30</v>
      </c>
      <c r="H287" s="21">
        <f>ROUND(RAND()*4+6,1)</f>
      </c>
      <c r="I287" s="20" t="s">
        <v>45</v>
      </c>
      <c r="J287" s="23">
        <f>ROUND(65*1,0)&amp;"%"</f>
      </c>
    </row>
    <row x14ac:dyDescent="0.25" r="288" customHeight="1" ht="17.25">
      <c r="A288" s="17" t="s">
        <v>7572</v>
      </c>
      <c r="B288" s="17" t="s">
        <v>470</v>
      </c>
      <c r="C288" s="17" t="s">
        <v>76</v>
      </c>
      <c r="D288" s="17" t="s">
        <v>16</v>
      </c>
      <c r="E288" s="18">
        <f>ROUND(4690*1.05,2)</f>
      </c>
      <c r="F288" s="17" t="s">
        <v>48</v>
      </c>
      <c r="G288" s="17" t="s">
        <v>18</v>
      </c>
      <c r="H288" s="18">
        <f>ROUND(RAND()*4+6,1)</f>
      </c>
      <c r="I288" s="17" t="s">
        <v>19</v>
      </c>
      <c r="J288" s="19">
        <f>ROUND(74*1,0)&amp;"%"</f>
      </c>
    </row>
    <row x14ac:dyDescent="0.25" r="289" customHeight="1" ht="17.25">
      <c r="A289" s="20" t="s">
        <v>7573</v>
      </c>
      <c r="B289" s="20" t="s">
        <v>472</v>
      </c>
      <c r="C289" s="20" t="s">
        <v>76</v>
      </c>
      <c r="D289" s="20" t="s">
        <v>22</v>
      </c>
      <c r="E289" s="21">
        <f>ROUND(11550*1.05,2)</f>
      </c>
      <c r="F289" s="20" t="s">
        <v>51</v>
      </c>
      <c r="G289" s="20" t="s">
        <v>24</v>
      </c>
      <c r="H289" s="22">
        <f>ROUND(RAND()*4+6,1)</f>
      </c>
      <c r="I289" s="20" t="s">
        <v>25</v>
      </c>
      <c r="J289" s="23">
        <f>ROUND(75*1,0)&amp;"%"</f>
      </c>
    </row>
    <row x14ac:dyDescent="0.25" r="290" customHeight="1" ht="17.25">
      <c r="A290" s="24" t="s">
        <v>473</v>
      </c>
      <c r="B290" s="24"/>
      <c r="C290" s="24"/>
      <c r="D290" s="24"/>
      <c r="E290" s="25">
        <v>8</v>
      </c>
      <c r="F290" s="9"/>
      <c r="G290" s="9"/>
      <c r="H290" s="10"/>
      <c r="I290" s="9"/>
      <c r="J290" s="9"/>
    </row>
    <row x14ac:dyDescent="0.25" r="291" customHeight="1" ht="17.25">
      <c r="A291" s="7"/>
      <c r="B291" s="7"/>
      <c r="C291" s="7"/>
      <c r="D291" s="7"/>
      <c r="E291" s="8"/>
      <c r="F291" s="9"/>
      <c r="G291" s="9"/>
      <c r="H291" s="10"/>
      <c r="I291" s="9"/>
      <c r="J291" s="9"/>
    </row>
    <row x14ac:dyDescent="0.25" r="292" customHeight="1" ht="17.25">
      <c r="A292" s="11" t="s">
        <v>7574</v>
      </c>
      <c r="B292" s="11"/>
      <c r="C292" s="11"/>
      <c r="D292" s="11"/>
      <c r="E292" s="12"/>
      <c r="F292" s="11"/>
      <c r="G292" s="11"/>
      <c r="H292" s="13"/>
      <c r="I292" s="11"/>
      <c r="J292" s="11"/>
    </row>
    <row x14ac:dyDescent="0.25" r="293" customHeight="1" ht="17.25">
      <c r="A293" s="14" t="s">
        <v>3</v>
      </c>
      <c r="B293" s="14" t="s">
        <v>4</v>
      </c>
      <c r="C293" s="14" t="s">
        <v>5</v>
      </c>
      <c r="D293" s="14" t="s">
        <v>6</v>
      </c>
      <c r="E293" s="15" t="s">
        <v>7</v>
      </c>
      <c r="F293" s="14" t="s">
        <v>8</v>
      </c>
      <c r="G293" s="14" t="s">
        <v>9</v>
      </c>
      <c r="H293" s="16" t="s">
        <v>10</v>
      </c>
      <c r="I293" s="14" t="s">
        <v>11</v>
      </c>
      <c r="J293" s="14" t="s">
        <v>12</v>
      </c>
    </row>
    <row x14ac:dyDescent="0.25" r="294" customHeight="1" ht="17.25">
      <c r="A294" s="17" t="s">
        <v>7575</v>
      </c>
      <c r="B294" s="17" t="s">
        <v>476</v>
      </c>
      <c r="C294" s="17" t="s">
        <v>95</v>
      </c>
      <c r="D294" s="17" t="s">
        <v>16</v>
      </c>
      <c r="E294" s="18">
        <f>ROUND(14834*1.05,2)</f>
      </c>
      <c r="F294" s="17" t="s">
        <v>17</v>
      </c>
      <c r="G294" s="17" t="s">
        <v>18</v>
      </c>
      <c r="H294" s="18">
        <f>ROUND(RAND()*4+6,1)</f>
      </c>
      <c r="I294" s="17" t="s">
        <v>19</v>
      </c>
      <c r="J294" s="19">
        <f>ROUND(96*1,0)&amp;"%"</f>
      </c>
    </row>
    <row x14ac:dyDescent="0.25" r="295" customHeight="1" ht="17.25">
      <c r="A295" s="20" t="s">
        <v>7576</v>
      </c>
      <c r="B295" s="20" t="s">
        <v>478</v>
      </c>
      <c r="C295" s="20" t="s">
        <v>95</v>
      </c>
      <c r="D295" s="20" t="s">
        <v>22</v>
      </c>
      <c r="E295" s="21">
        <f>ROUND(10491*1.05,2)</f>
      </c>
      <c r="F295" s="20" t="s">
        <v>23</v>
      </c>
      <c r="G295" s="20" t="s">
        <v>24</v>
      </c>
      <c r="H295" s="21">
        <f>ROUND(RAND()*4+6,1)</f>
      </c>
      <c r="I295" s="20" t="s">
        <v>25</v>
      </c>
      <c r="J295" s="23">
        <f>ROUND(91*1,0)&amp;"%"</f>
      </c>
    </row>
    <row x14ac:dyDescent="0.25" r="296" customHeight="1" ht="17.25">
      <c r="A296" s="17" t="s">
        <v>7577</v>
      </c>
      <c r="B296" s="17" t="s">
        <v>480</v>
      </c>
      <c r="C296" s="17" t="s">
        <v>95</v>
      </c>
      <c r="D296" s="17" t="s">
        <v>28</v>
      </c>
      <c r="E296" s="18">
        <f>ROUND(14395*1.05,2)</f>
      </c>
      <c r="F296" s="17" t="s">
        <v>29</v>
      </c>
      <c r="G296" s="17" t="s">
        <v>30</v>
      </c>
      <c r="H296" s="18">
        <f>ROUND(RAND()*4+6,1)</f>
      </c>
      <c r="I296" s="17" t="s">
        <v>31</v>
      </c>
      <c r="J296" s="19">
        <f>ROUND(95*1,0)&amp;"%"</f>
      </c>
    </row>
    <row x14ac:dyDescent="0.25" r="297" customHeight="1" ht="17.25">
      <c r="A297" s="20" t="s">
        <v>7578</v>
      </c>
      <c r="B297" s="20" t="s">
        <v>482</v>
      </c>
      <c r="C297" s="20" t="s">
        <v>95</v>
      </c>
      <c r="D297" s="20" t="s">
        <v>34</v>
      </c>
      <c r="E297" s="21">
        <f>ROUND(9264*1.05,2)</f>
      </c>
      <c r="F297" s="20" t="s">
        <v>35</v>
      </c>
      <c r="G297" s="20" t="s">
        <v>18</v>
      </c>
      <c r="H297" s="21">
        <f>ROUND(RAND()*4+6,1)</f>
      </c>
      <c r="I297" s="20" t="s">
        <v>36</v>
      </c>
      <c r="J297" s="23">
        <f>ROUND(87*1,0)&amp;"%"</f>
      </c>
    </row>
    <row x14ac:dyDescent="0.25" r="298" customHeight="1" ht="17.25">
      <c r="A298" s="17" t="s">
        <v>7579</v>
      </c>
      <c r="B298" s="17" t="s">
        <v>484</v>
      </c>
      <c r="C298" s="17" t="s">
        <v>95</v>
      </c>
      <c r="D298" s="17" t="s">
        <v>39</v>
      </c>
      <c r="E298" s="18">
        <f>ROUND(14414*1.05,2)</f>
      </c>
      <c r="F298" s="17" t="s">
        <v>40</v>
      </c>
      <c r="G298" s="17" t="s">
        <v>24</v>
      </c>
      <c r="H298" s="18">
        <f>ROUND(RAND()*4+6,1)</f>
      </c>
      <c r="I298" s="17" t="s">
        <v>41</v>
      </c>
      <c r="J298" s="19">
        <f>ROUND(100*1,0)&amp;"%"</f>
      </c>
    </row>
    <row x14ac:dyDescent="0.25" r="299" customHeight="1" ht="17.25">
      <c r="A299" s="20" t="s">
        <v>7580</v>
      </c>
      <c r="B299" s="20" t="s">
        <v>486</v>
      </c>
      <c r="C299" s="20" t="s">
        <v>95</v>
      </c>
      <c r="D299" s="20" t="s">
        <v>67</v>
      </c>
      <c r="E299" s="21">
        <f>ROUND(10499*1.05,2)</f>
      </c>
      <c r="F299" s="20" t="s">
        <v>44</v>
      </c>
      <c r="G299" s="20" t="s">
        <v>30</v>
      </c>
      <c r="H299" s="21">
        <f>ROUND(RAND()*4+6,1)</f>
      </c>
      <c r="I299" s="20" t="s">
        <v>45</v>
      </c>
      <c r="J299" s="23">
        <f>ROUND(61*1,0)&amp;"%"</f>
      </c>
    </row>
    <row x14ac:dyDescent="0.25" r="300" customHeight="1" ht="17.25">
      <c r="A300" s="17" t="s">
        <v>7581</v>
      </c>
      <c r="B300" s="17" t="s">
        <v>488</v>
      </c>
      <c r="C300" s="17" t="s">
        <v>95</v>
      </c>
      <c r="D300" s="17" t="s">
        <v>16</v>
      </c>
      <c r="E300" s="18">
        <f>ROUND(4622*1.05,2)</f>
      </c>
      <c r="F300" s="17" t="s">
        <v>48</v>
      </c>
      <c r="G300" s="17" t="s">
        <v>18</v>
      </c>
      <c r="H300" s="18">
        <f>ROUND(RAND()*4+6,1)</f>
      </c>
      <c r="I300" s="17" t="s">
        <v>19</v>
      </c>
      <c r="J300" s="19">
        <f>ROUND(94*1,0)&amp;"%"</f>
      </c>
    </row>
    <row x14ac:dyDescent="0.25" r="301" customHeight="1" ht="17.25">
      <c r="A301" s="20" t="s">
        <v>7582</v>
      </c>
      <c r="B301" s="20" t="s">
        <v>490</v>
      </c>
      <c r="C301" s="20" t="s">
        <v>95</v>
      </c>
      <c r="D301" s="20" t="s">
        <v>22</v>
      </c>
      <c r="E301" s="21">
        <f>ROUND(16316*1.05,2)</f>
      </c>
      <c r="F301" s="20" t="s">
        <v>51</v>
      </c>
      <c r="G301" s="20" t="s">
        <v>24</v>
      </c>
      <c r="H301" s="21">
        <f>ROUND(RAND()*4+6,1)</f>
      </c>
      <c r="I301" s="20" t="s">
        <v>25</v>
      </c>
      <c r="J301" s="23">
        <f>ROUND(71*1,0)&amp;"%"</f>
      </c>
    </row>
    <row x14ac:dyDescent="0.25" r="302" customHeight="1" ht="17.25">
      <c r="A302" s="24" t="s">
        <v>491</v>
      </c>
      <c r="B302" s="24"/>
      <c r="C302" s="24"/>
      <c r="D302" s="24"/>
      <c r="E302" s="25">
        <v>8</v>
      </c>
      <c r="F302" s="9"/>
      <c r="G302" s="9"/>
      <c r="H302" s="10"/>
      <c r="I302" s="9"/>
      <c r="J302" s="9"/>
    </row>
    <row x14ac:dyDescent="0.25" r="303" customHeight="1" ht="17.25">
      <c r="A303" s="7"/>
      <c r="B303" s="7"/>
      <c r="C303" s="7"/>
      <c r="D303" s="7"/>
      <c r="E303" s="8"/>
      <c r="F303" s="9"/>
      <c r="G303" s="9"/>
      <c r="H303" s="10"/>
      <c r="I303" s="9"/>
      <c r="J303" s="9"/>
    </row>
    <row x14ac:dyDescent="0.25" r="304" customHeight="1" ht="17.25">
      <c r="A304" s="11" t="s">
        <v>7583</v>
      </c>
      <c r="B304" s="11"/>
      <c r="C304" s="11"/>
      <c r="D304" s="11"/>
      <c r="E304" s="12"/>
      <c r="F304" s="11"/>
      <c r="G304" s="11"/>
      <c r="H304" s="13"/>
      <c r="I304" s="11"/>
      <c r="J304" s="11"/>
    </row>
    <row x14ac:dyDescent="0.25" r="305" customHeight="1" ht="17.25">
      <c r="A305" s="14" t="s">
        <v>3</v>
      </c>
      <c r="B305" s="14" t="s">
        <v>4</v>
      </c>
      <c r="C305" s="14" t="s">
        <v>5</v>
      </c>
      <c r="D305" s="14" t="s">
        <v>6</v>
      </c>
      <c r="E305" s="15" t="s">
        <v>7</v>
      </c>
      <c r="F305" s="14" t="s">
        <v>8</v>
      </c>
      <c r="G305" s="14" t="s">
        <v>9</v>
      </c>
      <c r="H305" s="16" t="s">
        <v>10</v>
      </c>
      <c r="I305" s="14" t="s">
        <v>11</v>
      </c>
      <c r="J305" s="14" t="s">
        <v>12</v>
      </c>
    </row>
    <row x14ac:dyDescent="0.25" r="306" customHeight="1" ht="17.25">
      <c r="A306" s="17" t="s">
        <v>7584</v>
      </c>
      <c r="B306" s="17" t="s">
        <v>494</v>
      </c>
      <c r="C306" s="17" t="s">
        <v>114</v>
      </c>
      <c r="D306" s="17" t="s">
        <v>16</v>
      </c>
      <c r="E306" s="18">
        <f>ROUND(7505*1.05,2)</f>
      </c>
      <c r="F306" s="17" t="s">
        <v>17</v>
      </c>
      <c r="G306" s="17" t="s">
        <v>18</v>
      </c>
      <c r="H306" s="18">
        <f>ROUND(RAND()*4+6,1)</f>
      </c>
      <c r="I306" s="17" t="s">
        <v>19</v>
      </c>
      <c r="J306" s="19">
        <f>ROUND(98*1,0)&amp;"%"</f>
      </c>
    </row>
    <row x14ac:dyDescent="0.25" r="307" customHeight="1" ht="17.25">
      <c r="A307" s="20" t="s">
        <v>7585</v>
      </c>
      <c r="B307" s="20" t="s">
        <v>496</v>
      </c>
      <c r="C307" s="20" t="s">
        <v>114</v>
      </c>
      <c r="D307" s="20" t="s">
        <v>22</v>
      </c>
      <c r="E307" s="21">
        <f>ROUND(5831*1.05,2)</f>
      </c>
      <c r="F307" s="20" t="s">
        <v>23</v>
      </c>
      <c r="G307" s="20" t="s">
        <v>24</v>
      </c>
      <c r="H307" s="21">
        <f>ROUND(RAND()*4+6,1)</f>
      </c>
      <c r="I307" s="20" t="s">
        <v>25</v>
      </c>
      <c r="J307" s="23">
        <f>ROUND(77*1,0)&amp;"%"</f>
      </c>
    </row>
    <row x14ac:dyDescent="0.25" r="308" customHeight="1" ht="17.25">
      <c r="A308" s="17" t="s">
        <v>7586</v>
      </c>
      <c r="B308" s="17" t="s">
        <v>498</v>
      </c>
      <c r="C308" s="17" t="s">
        <v>114</v>
      </c>
      <c r="D308" s="17" t="s">
        <v>28</v>
      </c>
      <c r="E308" s="18">
        <f>ROUND(9386*1.05,2)</f>
      </c>
      <c r="F308" s="17" t="s">
        <v>29</v>
      </c>
      <c r="G308" s="17" t="s">
        <v>30</v>
      </c>
      <c r="H308" s="18">
        <f>ROUND(RAND()*4+6,1)</f>
      </c>
      <c r="I308" s="17" t="s">
        <v>31</v>
      </c>
      <c r="J308" s="19">
        <f>ROUND(76*1,0)&amp;"%"</f>
      </c>
    </row>
    <row x14ac:dyDescent="0.25" r="309" customHeight="1" ht="17.25">
      <c r="A309" s="20" t="s">
        <v>7587</v>
      </c>
      <c r="B309" s="20" t="s">
        <v>500</v>
      </c>
      <c r="C309" s="20" t="s">
        <v>114</v>
      </c>
      <c r="D309" s="20" t="s">
        <v>34</v>
      </c>
      <c r="E309" s="21">
        <f>ROUND(4695*1.05,2)</f>
      </c>
      <c r="F309" s="20" t="s">
        <v>35</v>
      </c>
      <c r="G309" s="20" t="s">
        <v>18</v>
      </c>
      <c r="H309" s="21">
        <f>ROUND(RAND()*4+6,1)</f>
      </c>
      <c r="I309" s="20" t="s">
        <v>36</v>
      </c>
      <c r="J309" s="23">
        <f>ROUND(89*1,0)&amp;"%"</f>
      </c>
    </row>
    <row x14ac:dyDescent="0.25" r="310" customHeight="1" ht="17.25">
      <c r="A310" s="17" t="s">
        <v>7588</v>
      </c>
      <c r="B310" s="17" t="s">
        <v>502</v>
      </c>
      <c r="C310" s="17" t="s">
        <v>114</v>
      </c>
      <c r="D310" s="17" t="s">
        <v>39</v>
      </c>
      <c r="E310" s="18">
        <f>ROUND(13899*1.05,2)</f>
      </c>
      <c r="F310" s="17" t="s">
        <v>40</v>
      </c>
      <c r="G310" s="17" t="s">
        <v>24</v>
      </c>
      <c r="H310" s="18">
        <f>ROUND(RAND()*4+6,1)</f>
      </c>
      <c r="I310" s="17" t="s">
        <v>41</v>
      </c>
      <c r="J310" s="19">
        <f>ROUND(75*1,0)&amp;"%"</f>
      </c>
    </row>
    <row x14ac:dyDescent="0.25" r="311" customHeight="1" ht="17.25">
      <c r="A311" s="20" t="s">
        <v>7589</v>
      </c>
      <c r="B311" s="20" t="s">
        <v>504</v>
      </c>
      <c r="C311" s="20" t="s">
        <v>114</v>
      </c>
      <c r="D311" s="20" t="s">
        <v>67</v>
      </c>
      <c r="E311" s="21">
        <f>ROUND(8950*1.05,2)</f>
      </c>
      <c r="F311" s="20" t="s">
        <v>44</v>
      </c>
      <c r="G311" s="20" t="s">
        <v>30</v>
      </c>
      <c r="H311" s="22">
        <f>ROUND(RAND()*4+6,1)</f>
      </c>
      <c r="I311" s="20" t="s">
        <v>45</v>
      </c>
      <c r="J311" s="23">
        <f>ROUND(78*1,0)&amp;"%"</f>
      </c>
    </row>
    <row x14ac:dyDescent="0.25" r="312" customHeight="1" ht="17.25">
      <c r="A312" s="17" t="s">
        <v>7590</v>
      </c>
      <c r="B312" s="17" t="s">
        <v>506</v>
      </c>
      <c r="C312" s="17" t="s">
        <v>114</v>
      </c>
      <c r="D312" s="17" t="s">
        <v>16</v>
      </c>
      <c r="E312" s="18">
        <f>ROUND(9599*1.05,2)</f>
      </c>
      <c r="F312" s="17" t="s">
        <v>48</v>
      </c>
      <c r="G312" s="17" t="s">
        <v>18</v>
      </c>
      <c r="H312" s="26">
        <f>ROUND(RAND()*4+6,1)</f>
      </c>
      <c r="I312" s="17" t="s">
        <v>19</v>
      </c>
      <c r="J312" s="19">
        <f>ROUND(66*1,0)&amp;"%"</f>
      </c>
    </row>
    <row x14ac:dyDescent="0.25" r="313" customHeight="1" ht="17.25">
      <c r="A313" s="20" t="s">
        <v>7591</v>
      </c>
      <c r="B313" s="20" t="s">
        <v>508</v>
      </c>
      <c r="C313" s="20" t="s">
        <v>114</v>
      </c>
      <c r="D313" s="20" t="s">
        <v>22</v>
      </c>
      <c r="E313" s="21">
        <f>ROUND(17938*1.05,2)</f>
      </c>
      <c r="F313" s="20" t="s">
        <v>51</v>
      </c>
      <c r="G313" s="20" t="s">
        <v>24</v>
      </c>
      <c r="H313" s="21">
        <f>ROUND(RAND()*4+6,1)</f>
      </c>
      <c r="I313" s="20" t="s">
        <v>25</v>
      </c>
      <c r="J313" s="23">
        <f>ROUND(77*1,0)&amp;"%"</f>
      </c>
    </row>
    <row x14ac:dyDescent="0.25" r="314" customHeight="1" ht="17.25">
      <c r="A314" s="24" t="s">
        <v>509</v>
      </c>
      <c r="B314" s="24"/>
      <c r="C314" s="24"/>
      <c r="D314" s="24"/>
      <c r="E314" s="25">
        <v>8</v>
      </c>
      <c r="F314" s="9"/>
      <c r="G314" s="9"/>
      <c r="H314" s="10"/>
      <c r="I314" s="9"/>
      <c r="J314" s="9"/>
    </row>
    <row x14ac:dyDescent="0.25" r="315" customHeight="1" ht="17.25">
      <c r="A315" s="7"/>
      <c r="B315" s="7"/>
      <c r="C315" s="7"/>
      <c r="D315" s="7"/>
      <c r="E315" s="8"/>
      <c r="F315" s="9"/>
      <c r="G315" s="9"/>
      <c r="H315" s="10"/>
      <c r="I315" s="9"/>
      <c r="J315" s="9"/>
    </row>
    <row x14ac:dyDescent="0.25" r="316" customHeight="1" ht="17.25">
      <c r="A316" s="11" t="s">
        <v>7592</v>
      </c>
      <c r="B316" s="11"/>
      <c r="C316" s="11"/>
      <c r="D316" s="11"/>
      <c r="E316" s="12"/>
      <c r="F316" s="11"/>
      <c r="G316" s="11"/>
      <c r="H316" s="13"/>
      <c r="I316" s="11"/>
      <c r="J316" s="11"/>
    </row>
    <row x14ac:dyDescent="0.25" r="317" customHeight="1" ht="17.25">
      <c r="A317" s="14" t="s">
        <v>3</v>
      </c>
      <c r="B317" s="14" t="s">
        <v>4</v>
      </c>
      <c r="C317" s="14" t="s">
        <v>5</v>
      </c>
      <c r="D317" s="14" t="s">
        <v>6</v>
      </c>
      <c r="E317" s="15" t="s">
        <v>7</v>
      </c>
      <c r="F317" s="14" t="s">
        <v>8</v>
      </c>
      <c r="G317" s="14" t="s">
        <v>9</v>
      </c>
      <c r="H317" s="16" t="s">
        <v>10</v>
      </c>
      <c r="I317" s="14" t="s">
        <v>11</v>
      </c>
      <c r="J317" s="14" t="s">
        <v>12</v>
      </c>
    </row>
    <row x14ac:dyDescent="0.25" r="318" customHeight="1" ht="17.25">
      <c r="A318" s="17" t="s">
        <v>7593</v>
      </c>
      <c r="B318" s="17" t="s">
        <v>512</v>
      </c>
      <c r="C318" s="17" t="s">
        <v>133</v>
      </c>
      <c r="D318" s="17" t="s">
        <v>16</v>
      </c>
      <c r="E318" s="18">
        <f>ROUND(13551*1.05,2)</f>
      </c>
      <c r="F318" s="17" t="s">
        <v>17</v>
      </c>
      <c r="G318" s="17" t="s">
        <v>18</v>
      </c>
      <c r="H318" s="18">
        <f>ROUND(RAND()*4+6,1)</f>
      </c>
      <c r="I318" s="17" t="s">
        <v>19</v>
      </c>
      <c r="J318" s="19">
        <f>ROUND(75*1,0)&amp;"%"</f>
      </c>
    </row>
    <row x14ac:dyDescent="0.25" r="319" customHeight="1" ht="17.25">
      <c r="A319" s="20" t="s">
        <v>7594</v>
      </c>
      <c r="B319" s="20" t="s">
        <v>514</v>
      </c>
      <c r="C319" s="20" t="s">
        <v>133</v>
      </c>
      <c r="D319" s="20" t="s">
        <v>22</v>
      </c>
      <c r="E319" s="21">
        <f>ROUND(5893*1.05,2)</f>
      </c>
      <c r="F319" s="20" t="s">
        <v>23</v>
      </c>
      <c r="G319" s="20" t="s">
        <v>24</v>
      </c>
      <c r="H319" s="21">
        <f>ROUND(RAND()*4+6,1)</f>
      </c>
      <c r="I319" s="20" t="s">
        <v>25</v>
      </c>
      <c r="J319" s="23">
        <f>ROUND(95*1,0)&amp;"%"</f>
      </c>
    </row>
    <row x14ac:dyDescent="0.25" r="320" customHeight="1" ht="17.25">
      <c r="A320" s="17" t="s">
        <v>7595</v>
      </c>
      <c r="B320" s="17" t="s">
        <v>516</v>
      </c>
      <c r="C320" s="17" t="s">
        <v>133</v>
      </c>
      <c r="D320" s="17" t="s">
        <v>28</v>
      </c>
      <c r="E320" s="18">
        <f>ROUND(17507*1.05,2)</f>
      </c>
      <c r="F320" s="17" t="s">
        <v>29</v>
      </c>
      <c r="G320" s="17" t="s">
        <v>30</v>
      </c>
      <c r="H320" s="18">
        <f>ROUND(RAND()*4+6,1)</f>
      </c>
      <c r="I320" s="17" t="s">
        <v>31</v>
      </c>
      <c r="J320" s="19">
        <f>ROUND(100*1,0)&amp;"%"</f>
      </c>
    </row>
    <row x14ac:dyDescent="0.25" r="321" customHeight="1" ht="17.25">
      <c r="A321" s="20" t="s">
        <v>7596</v>
      </c>
      <c r="B321" s="20" t="s">
        <v>518</v>
      </c>
      <c r="C321" s="20" t="s">
        <v>133</v>
      </c>
      <c r="D321" s="20" t="s">
        <v>34</v>
      </c>
      <c r="E321" s="21">
        <f>ROUND(8594*1.05,2)</f>
      </c>
      <c r="F321" s="20" t="s">
        <v>35</v>
      </c>
      <c r="G321" s="20" t="s">
        <v>18</v>
      </c>
      <c r="H321" s="21">
        <f>ROUND(RAND()*4+6,1)</f>
      </c>
      <c r="I321" s="20" t="s">
        <v>36</v>
      </c>
      <c r="J321" s="23">
        <f>ROUND(92*1,0)&amp;"%"</f>
      </c>
    </row>
    <row x14ac:dyDescent="0.25" r="322" customHeight="1" ht="17.25">
      <c r="A322" s="17" t="s">
        <v>7597</v>
      </c>
      <c r="B322" s="17" t="s">
        <v>520</v>
      </c>
      <c r="C322" s="17" t="s">
        <v>133</v>
      </c>
      <c r="D322" s="17" t="s">
        <v>39</v>
      </c>
      <c r="E322" s="18">
        <f>ROUND(16786*1.05,2)</f>
      </c>
      <c r="F322" s="17" t="s">
        <v>40</v>
      </c>
      <c r="G322" s="17" t="s">
        <v>24</v>
      </c>
      <c r="H322" s="18">
        <f>ROUND(RAND()*4+6,1)</f>
      </c>
      <c r="I322" s="17" t="s">
        <v>41</v>
      </c>
      <c r="J322" s="19">
        <f>ROUND(70*1,0)&amp;"%"</f>
      </c>
    </row>
    <row x14ac:dyDescent="0.25" r="323" customHeight="1" ht="17.25">
      <c r="A323" s="20" t="s">
        <v>7598</v>
      </c>
      <c r="B323" s="20" t="s">
        <v>522</v>
      </c>
      <c r="C323" s="20" t="s">
        <v>133</v>
      </c>
      <c r="D323" s="20" t="s">
        <v>67</v>
      </c>
      <c r="E323" s="21">
        <f>ROUND(7925*1.05,2)</f>
      </c>
      <c r="F323" s="20" t="s">
        <v>44</v>
      </c>
      <c r="G323" s="20" t="s">
        <v>30</v>
      </c>
      <c r="H323" s="22">
        <f>ROUND(RAND()*4+6,1)</f>
      </c>
      <c r="I323" s="20" t="s">
        <v>45</v>
      </c>
      <c r="J323" s="23">
        <f>ROUND(96*1,0)&amp;"%"</f>
      </c>
    </row>
    <row x14ac:dyDescent="0.25" r="324" customHeight="1" ht="17.25">
      <c r="A324" s="17" t="s">
        <v>7599</v>
      </c>
      <c r="B324" s="17" t="s">
        <v>524</v>
      </c>
      <c r="C324" s="17" t="s">
        <v>133</v>
      </c>
      <c r="D324" s="17" t="s">
        <v>16</v>
      </c>
      <c r="E324" s="18">
        <f>ROUND(9351*1.05,2)</f>
      </c>
      <c r="F324" s="17" t="s">
        <v>48</v>
      </c>
      <c r="G324" s="17" t="s">
        <v>18</v>
      </c>
      <c r="H324" s="18">
        <f>ROUND(RAND()*4+6,1)</f>
      </c>
      <c r="I324" s="17" t="s">
        <v>19</v>
      </c>
      <c r="J324" s="19">
        <f>ROUND(95*1,0)&amp;"%"</f>
      </c>
    </row>
    <row x14ac:dyDescent="0.25" r="325" customHeight="1" ht="17.25">
      <c r="A325" s="20" t="s">
        <v>7600</v>
      </c>
      <c r="B325" s="20" t="s">
        <v>526</v>
      </c>
      <c r="C325" s="20" t="s">
        <v>133</v>
      </c>
      <c r="D325" s="20" t="s">
        <v>22</v>
      </c>
      <c r="E325" s="21">
        <f>ROUND(12851*1.05,2)</f>
      </c>
      <c r="F325" s="20" t="s">
        <v>51</v>
      </c>
      <c r="G325" s="20" t="s">
        <v>24</v>
      </c>
      <c r="H325" s="21">
        <f>ROUND(RAND()*4+6,1)</f>
      </c>
      <c r="I325" s="20" t="s">
        <v>25</v>
      </c>
      <c r="J325" s="23">
        <f>ROUND(61*1,0)&amp;"%"</f>
      </c>
    </row>
    <row x14ac:dyDescent="0.25" r="326" customHeight="1" ht="17.25">
      <c r="A326" s="24" t="s">
        <v>527</v>
      </c>
      <c r="B326" s="24"/>
      <c r="C326" s="24"/>
      <c r="D326" s="24"/>
      <c r="E326" s="25">
        <v>8</v>
      </c>
      <c r="F326" s="9"/>
      <c r="G326" s="9"/>
      <c r="H326" s="10"/>
      <c r="I326" s="9"/>
      <c r="J326" s="9"/>
    </row>
    <row x14ac:dyDescent="0.25" r="327" customHeight="1" ht="17.25">
      <c r="A327" s="7"/>
      <c r="B327" s="7"/>
      <c r="C327" s="7"/>
      <c r="D327" s="7"/>
      <c r="E327" s="8"/>
      <c r="F327" s="9"/>
      <c r="G327" s="9"/>
      <c r="H327" s="10"/>
      <c r="I327" s="9"/>
      <c r="J327" s="9"/>
    </row>
    <row x14ac:dyDescent="0.25" r="328" customHeight="1" ht="17.25">
      <c r="A328" s="11" t="s">
        <v>7601</v>
      </c>
      <c r="B328" s="11"/>
      <c r="C328" s="11"/>
      <c r="D328" s="11"/>
      <c r="E328" s="12"/>
      <c r="F328" s="11"/>
      <c r="G328" s="11"/>
      <c r="H328" s="13"/>
      <c r="I328" s="11"/>
      <c r="J328" s="11"/>
    </row>
    <row x14ac:dyDescent="0.25" r="329" customHeight="1" ht="17.25">
      <c r="A329" s="14" t="s">
        <v>3</v>
      </c>
      <c r="B329" s="14" t="s">
        <v>4</v>
      </c>
      <c r="C329" s="14" t="s">
        <v>5</v>
      </c>
      <c r="D329" s="14" t="s">
        <v>6</v>
      </c>
      <c r="E329" s="15" t="s">
        <v>7</v>
      </c>
      <c r="F329" s="14" t="s">
        <v>8</v>
      </c>
      <c r="G329" s="14" t="s">
        <v>9</v>
      </c>
      <c r="H329" s="16" t="s">
        <v>10</v>
      </c>
      <c r="I329" s="14" t="s">
        <v>11</v>
      </c>
      <c r="J329" s="14" t="s">
        <v>12</v>
      </c>
    </row>
    <row x14ac:dyDescent="0.25" r="330" customHeight="1" ht="17.25">
      <c r="A330" s="17" t="s">
        <v>7602</v>
      </c>
      <c r="B330" s="17" t="s">
        <v>530</v>
      </c>
      <c r="C330" s="17" t="s">
        <v>152</v>
      </c>
      <c r="D330" s="17" t="s">
        <v>16</v>
      </c>
      <c r="E330" s="18">
        <f>ROUND(11901*1.05,2)</f>
      </c>
      <c r="F330" s="17" t="s">
        <v>17</v>
      </c>
      <c r="G330" s="17" t="s">
        <v>18</v>
      </c>
      <c r="H330" s="18">
        <f>ROUND(RAND()*4+6,1)</f>
      </c>
      <c r="I330" s="17" t="s">
        <v>19</v>
      </c>
      <c r="J330" s="19">
        <f>ROUND(91*1,0)&amp;"%"</f>
      </c>
    </row>
    <row x14ac:dyDescent="0.25" r="331" customHeight="1" ht="17.25">
      <c r="A331" s="20" t="s">
        <v>7603</v>
      </c>
      <c r="B331" s="20" t="s">
        <v>532</v>
      </c>
      <c r="C331" s="20" t="s">
        <v>152</v>
      </c>
      <c r="D331" s="20" t="s">
        <v>22</v>
      </c>
      <c r="E331" s="22">
        <f>ROUND(4960*1.05,2)</f>
      </c>
      <c r="F331" s="20" t="s">
        <v>23</v>
      </c>
      <c r="G331" s="20" t="s">
        <v>24</v>
      </c>
      <c r="H331" s="21">
        <f>ROUND(RAND()*4+6,1)</f>
      </c>
      <c r="I331" s="20" t="s">
        <v>25</v>
      </c>
      <c r="J331" s="23">
        <f>ROUND(81*1,0)&amp;"%"</f>
      </c>
    </row>
    <row x14ac:dyDescent="0.25" r="332" customHeight="1" ht="17.25">
      <c r="A332" s="17" t="s">
        <v>7604</v>
      </c>
      <c r="B332" s="17" t="s">
        <v>534</v>
      </c>
      <c r="C332" s="17" t="s">
        <v>152</v>
      </c>
      <c r="D332" s="17" t="s">
        <v>28</v>
      </c>
      <c r="E332" s="18">
        <f>ROUND(4451*1.05,2)</f>
      </c>
      <c r="F332" s="17" t="s">
        <v>29</v>
      </c>
      <c r="G332" s="17" t="s">
        <v>30</v>
      </c>
      <c r="H332" s="18">
        <f>ROUND(RAND()*4+6,1)</f>
      </c>
      <c r="I332" s="17" t="s">
        <v>31</v>
      </c>
      <c r="J332" s="19">
        <f>ROUND(100*1,0)&amp;"%"</f>
      </c>
    </row>
    <row x14ac:dyDescent="0.25" r="333" customHeight="1" ht="17.25">
      <c r="A333" s="20" t="s">
        <v>7605</v>
      </c>
      <c r="B333" s="20" t="s">
        <v>536</v>
      </c>
      <c r="C333" s="20" t="s">
        <v>152</v>
      </c>
      <c r="D333" s="20" t="s">
        <v>34</v>
      </c>
      <c r="E333" s="21">
        <f>ROUND(13272*1.05,2)</f>
      </c>
      <c r="F333" s="20" t="s">
        <v>35</v>
      </c>
      <c r="G333" s="20" t="s">
        <v>18</v>
      </c>
      <c r="H333" s="22">
        <f>ROUND(RAND()*4+6,1)</f>
      </c>
      <c r="I333" s="20" t="s">
        <v>36</v>
      </c>
      <c r="J333" s="23">
        <f>ROUND(76*1,0)&amp;"%"</f>
      </c>
    </row>
    <row x14ac:dyDescent="0.25" r="334" customHeight="1" ht="17.25">
      <c r="A334" s="17" t="s">
        <v>7606</v>
      </c>
      <c r="B334" s="17" t="s">
        <v>538</v>
      </c>
      <c r="C334" s="17" t="s">
        <v>152</v>
      </c>
      <c r="D334" s="17" t="s">
        <v>39</v>
      </c>
      <c r="E334" s="18">
        <f>ROUND(9490*1.05,2)</f>
      </c>
      <c r="F334" s="17" t="s">
        <v>40</v>
      </c>
      <c r="G334" s="17" t="s">
        <v>24</v>
      </c>
      <c r="H334" s="18">
        <f>ROUND(RAND()*4+6,1)</f>
      </c>
      <c r="I334" s="17" t="s">
        <v>41</v>
      </c>
      <c r="J334" s="19">
        <f>ROUND(76*1,0)&amp;"%"</f>
      </c>
    </row>
    <row x14ac:dyDescent="0.25" r="335" customHeight="1" ht="17.25">
      <c r="A335" s="20" t="s">
        <v>7607</v>
      </c>
      <c r="B335" s="20" t="s">
        <v>540</v>
      </c>
      <c r="C335" s="20" t="s">
        <v>152</v>
      </c>
      <c r="D335" s="20" t="s">
        <v>67</v>
      </c>
      <c r="E335" s="21">
        <f>ROUND(5075*1.05,2)</f>
      </c>
      <c r="F335" s="20" t="s">
        <v>44</v>
      </c>
      <c r="G335" s="20" t="s">
        <v>30</v>
      </c>
      <c r="H335" s="21">
        <f>ROUND(RAND()*4+6,1)</f>
      </c>
      <c r="I335" s="20" t="s">
        <v>45</v>
      </c>
      <c r="J335" s="23">
        <f>ROUND(92*1,0)&amp;"%"</f>
      </c>
    </row>
    <row x14ac:dyDescent="0.25" r="336" customHeight="1" ht="17.25">
      <c r="A336" s="17" t="s">
        <v>7608</v>
      </c>
      <c r="B336" s="17" t="s">
        <v>542</v>
      </c>
      <c r="C336" s="17" t="s">
        <v>152</v>
      </c>
      <c r="D336" s="17" t="s">
        <v>16</v>
      </c>
      <c r="E336" s="26">
        <f>ROUND(10680*1.05,2)</f>
      </c>
      <c r="F336" s="17" t="s">
        <v>48</v>
      </c>
      <c r="G336" s="17" t="s">
        <v>18</v>
      </c>
      <c r="H336" s="26">
        <f>ROUND(RAND()*4+6,1)</f>
      </c>
      <c r="I336" s="17" t="s">
        <v>19</v>
      </c>
      <c r="J336" s="19">
        <f>ROUND(95*1,0)&amp;"%"</f>
      </c>
    </row>
    <row x14ac:dyDescent="0.25" r="337" customHeight="1" ht="17.25">
      <c r="A337" s="20" t="s">
        <v>7609</v>
      </c>
      <c r="B337" s="20" t="s">
        <v>544</v>
      </c>
      <c r="C337" s="20" t="s">
        <v>152</v>
      </c>
      <c r="D337" s="20" t="s">
        <v>22</v>
      </c>
      <c r="E337" s="21">
        <f>ROUND(7913*1.05,2)</f>
      </c>
      <c r="F337" s="20" t="s">
        <v>51</v>
      </c>
      <c r="G337" s="20" t="s">
        <v>24</v>
      </c>
      <c r="H337" s="21">
        <f>ROUND(RAND()*4+6,1)</f>
      </c>
      <c r="I337" s="20" t="s">
        <v>25</v>
      </c>
      <c r="J337" s="23">
        <f>ROUND(91*1,0)&amp;"%"</f>
      </c>
    </row>
    <row x14ac:dyDescent="0.25" r="338" customHeight="1" ht="17.25">
      <c r="A338" s="24" t="s">
        <v>545</v>
      </c>
      <c r="B338" s="24"/>
      <c r="C338" s="24"/>
      <c r="D338" s="24"/>
      <c r="E338" s="25">
        <v>8</v>
      </c>
      <c r="F338" s="9"/>
      <c r="G338" s="9"/>
      <c r="H338" s="10"/>
      <c r="I338" s="9"/>
      <c r="J338" s="9"/>
    </row>
    <row x14ac:dyDescent="0.25" r="339" customHeight="1" ht="17.25">
      <c r="A339" s="7"/>
      <c r="B339" s="7"/>
      <c r="C339" s="7"/>
      <c r="D339" s="7"/>
      <c r="E339" s="8"/>
      <c r="F339" s="9"/>
      <c r="G339" s="9"/>
      <c r="H339" s="10"/>
      <c r="I339" s="9"/>
      <c r="J339" s="9"/>
    </row>
    <row x14ac:dyDescent="0.25" r="340" customHeight="1" ht="17.25">
      <c r="A340" s="11" t="s">
        <v>7610</v>
      </c>
      <c r="B340" s="11"/>
      <c r="C340" s="11"/>
      <c r="D340" s="11"/>
      <c r="E340" s="12"/>
      <c r="F340" s="11"/>
      <c r="G340" s="11"/>
      <c r="H340" s="13"/>
      <c r="I340" s="11"/>
      <c r="J340" s="11"/>
    </row>
    <row x14ac:dyDescent="0.25" r="341" customHeight="1" ht="17.25">
      <c r="A341" s="14" t="s">
        <v>3</v>
      </c>
      <c r="B341" s="14" t="s">
        <v>4</v>
      </c>
      <c r="C341" s="14" t="s">
        <v>5</v>
      </c>
      <c r="D341" s="14" t="s">
        <v>6</v>
      </c>
      <c r="E341" s="15" t="s">
        <v>7</v>
      </c>
      <c r="F341" s="14" t="s">
        <v>8</v>
      </c>
      <c r="G341" s="14" t="s">
        <v>9</v>
      </c>
      <c r="H341" s="16" t="s">
        <v>10</v>
      </c>
      <c r="I341" s="14" t="s">
        <v>11</v>
      </c>
      <c r="J341" s="14" t="s">
        <v>12</v>
      </c>
    </row>
    <row x14ac:dyDescent="0.25" r="342" customHeight="1" ht="17.25">
      <c r="A342" s="17" t="s">
        <v>7611</v>
      </c>
      <c r="B342" s="17" t="s">
        <v>548</v>
      </c>
      <c r="C342" s="17" t="s">
        <v>15</v>
      </c>
      <c r="D342" s="17" t="s">
        <v>16</v>
      </c>
      <c r="E342" s="18">
        <f>ROUND(14142*1.05,2)</f>
      </c>
      <c r="F342" s="17" t="s">
        <v>17</v>
      </c>
      <c r="G342" s="17" t="s">
        <v>18</v>
      </c>
      <c r="H342" s="18">
        <f>ROUND(RAND()*4+6,1)</f>
      </c>
      <c r="I342" s="17" t="s">
        <v>19</v>
      </c>
      <c r="J342" s="19">
        <f>ROUND(94*1,0)&amp;"%"</f>
      </c>
    </row>
    <row x14ac:dyDescent="0.25" r="343" customHeight="1" ht="17.25">
      <c r="A343" s="20" t="s">
        <v>7612</v>
      </c>
      <c r="B343" s="20" t="s">
        <v>550</v>
      </c>
      <c r="C343" s="20" t="s">
        <v>15</v>
      </c>
      <c r="D343" s="20" t="s">
        <v>22</v>
      </c>
      <c r="E343" s="21">
        <f>ROUND(8617*1.05,2)</f>
      </c>
      <c r="F343" s="20" t="s">
        <v>23</v>
      </c>
      <c r="G343" s="20" t="s">
        <v>24</v>
      </c>
      <c r="H343" s="21">
        <f>ROUND(RAND()*4+6,1)</f>
      </c>
      <c r="I343" s="20" t="s">
        <v>25</v>
      </c>
      <c r="J343" s="23">
        <f>ROUND(100*1,0)&amp;"%"</f>
      </c>
    </row>
    <row x14ac:dyDescent="0.25" r="344" customHeight="1" ht="17.25">
      <c r="A344" s="17" t="s">
        <v>7613</v>
      </c>
      <c r="B344" s="17" t="s">
        <v>552</v>
      </c>
      <c r="C344" s="17" t="s">
        <v>15</v>
      </c>
      <c r="D344" s="17" t="s">
        <v>28</v>
      </c>
      <c r="E344" s="18">
        <f>ROUND(14018*1.05,2)</f>
      </c>
      <c r="F344" s="17" t="s">
        <v>29</v>
      </c>
      <c r="G344" s="17" t="s">
        <v>30</v>
      </c>
      <c r="H344" s="18">
        <f>ROUND(RAND()*4+6,1)</f>
      </c>
      <c r="I344" s="17" t="s">
        <v>31</v>
      </c>
      <c r="J344" s="19">
        <f>ROUND(100*1,0)&amp;"%"</f>
      </c>
    </row>
    <row x14ac:dyDescent="0.25" r="345" customHeight="1" ht="17.25">
      <c r="A345" s="20" t="s">
        <v>7614</v>
      </c>
      <c r="B345" s="20" t="s">
        <v>554</v>
      </c>
      <c r="C345" s="20" t="s">
        <v>15</v>
      </c>
      <c r="D345" s="20" t="s">
        <v>34</v>
      </c>
      <c r="E345" s="21">
        <f>ROUND(12031*1.05,2)</f>
      </c>
      <c r="F345" s="20" t="s">
        <v>35</v>
      </c>
      <c r="G345" s="20" t="s">
        <v>18</v>
      </c>
      <c r="H345" s="21">
        <f>ROUND(RAND()*4+6,1)</f>
      </c>
      <c r="I345" s="20" t="s">
        <v>36</v>
      </c>
      <c r="J345" s="23">
        <f>ROUND(68*1,0)&amp;"%"</f>
      </c>
    </row>
    <row x14ac:dyDescent="0.25" r="346" customHeight="1" ht="17.25">
      <c r="A346" s="17" t="s">
        <v>7615</v>
      </c>
      <c r="B346" s="17" t="s">
        <v>556</v>
      </c>
      <c r="C346" s="17" t="s">
        <v>15</v>
      </c>
      <c r="D346" s="17" t="s">
        <v>39</v>
      </c>
      <c r="E346" s="18">
        <f>ROUND(12343*1.05,2)</f>
      </c>
      <c r="F346" s="17" t="s">
        <v>40</v>
      </c>
      <c r="G346" s="17" t="s">
        <v>24</v>
      </c>
      <c r="H346" s="18">
        <f>ROUND(RAND()*4+6,1)</f>
      </c>
      <c r="I346" s="17" t="s">
        <v>41</v>
      </c>
      <c r="J346" s="19">
        <f>ROUND(81*1,0)&amp;"%"</f>
      </c>
    </row>
    <row x14ac:dyDescent="0.25" r="347" customHeight="1" ht="17.25">
      <c r="A347" s="20" t="s">
        <v>7616</v>
      </c>
      <c r="B347" s="20" t="s">
        <v>558</v>
      </c>
      <c r="C347" s="20" t="s">
        <v>15</v>
      </c>
      <c r="D347" s="20" t="s">
        <v>67</v>
      </c>
      <c r="E347" s="21">
        <f>ROUND(7876*1.05,2)</f>
      </c>
      <c r="F347" s="20" t="s">
        <v>44</v>
      </c>
      <c r="G347" s="20" t="s">
        <v>30</v>
      </c>
      <c r="H347" s="21">
        <f>ROUND(RAND()*4+6,1)</f>
      </c>
      <c r="I347" s="20" t="s">
        <v>45</v>
      </c>
      <c r="J347" s="23">
        <f>ROUND(99*1,0)&amp;"%"</f>
      </c>
    </row>
    <row x14ac:dyDescent="0.25" r="348" customHeight="1" ht="17.25">
      <c r="A348" s="17" t="s">
        <v>7617</v>
      </c>
      <c r="B348" s="17" t="s">
        <v>560</v>
      </c>
      <c r="C348" s="17" t="s">
        <v>15</v>
      </c>
      <c r="D348" s="17" t="s">
        <v>16</v>
      </c>
      <c r="E348" s="18">
        <f>ROUND(11619*1.05,2)</f>
      </c>
      <c r="F348" s="17" t="s">
        <v>48</v>
      </c>
      <c r="G348" s="17" t="s">
        <v>18</v>
      </c>
      <c r="H348" s="18">
        <f>ROUND(RAND()*4+6,1)</f>
      </c>
      <c r="I348" s="17" t="s">
        <v>19</v>
      </c>
      <c r="J348" s="19">
        <f>ROUND(76*1,0)&amp;"%"</f>
      </c>
    </row>
    <row x14ac:dyDescent="0.25" r="349" customHeight="1" ht="17.25">
      <c r="A349" s="20" t="s">
        <v>7618</v>
      </c>
      <c r="B349" s="20" t="s">
        <v>562</v>
      </c>
      <c r="C349" s="20" t="s">
        <v>15</v>
      </c>
      <c r="D349" s="20" t="s">
        <v>22</v>
      </c>
      <c r="E349" s="21">
        <f>ROUND(9554*1.05,2)</f>
      </c>
      <c r="F349" s="20" t="s">
        <v>51</v>
      </c>
      <c r="G349" s="20" t="s">
        <v>24</v>
      </c>
      <c r="H349" s="21">
        <f>ROUND(RAND()*4+6,1)</f>
      </c>
      <c r="I349" s="20" t="s">
        <v>25</v>
      </c>
      <c r="J349" s="23">
        <f>ROUND(73*1,0)&amp;"%"</f>
      </c>
    </row>
    <row x14ac:dyDescent="0.25" r="350" customHeight="1" ht="17.25">
      <c r="A350" s="24" t="s">
        <v>563</v>
      </c>
      <c r="B350" s="24"/>
      <c r="C350" s="24"/>
      <c r="D350" s="24"/>
      <c r="E350" s="25">
        <v>8</v>
      </c>
      <c r="F350" s="9"/>
      <c r="G350" s="9"/>
      <c r="H350" s="10"/>
      <c r="I350" s="9"/>
      <c r="J350" s="9"/>
    </row>
    <row x14ac:dyDescent="0.25" r="351" customHeight="1" ht="17.25">
      <c r="A351" s="7"/>
      <c r="B351" s="7"/>
      <c r="C351" s="7"/>
      <c r="D351" s="7"/>
      <c r="E351" s="8"/>
      <c r="F351" s="9"/>
      <c r="G351" s="9"/>
      <c r="H351" s="10"/>
      <c r="I351" s="9"/>
      <c r="J351" s="9"/>
    </row>
    <row x14ac:dyDescent="0.25" r="352" customHeight="1" ht="17.25">
      <c r="A352" s="11" t="s">
        <v>7619</v>
      </c>
      <c r="B352" s="11"/>
      <c r="C352" s="11"/>
      <c r="D352" s="11"/>
      <c r="E352" s="12"/>
      <c r="F352" s="11"/>
      <c r="G352" s="11"/>
      <c r="H352" s="13"/>
      <c r="I352" s="11"/>
      <c r="J352" s="11"/>
    </row>
    <row x14ac:dyDescent="0.25" r="353" customHeight="1" ht="17.25">
      <c r="A353" s="14" t="s">
        <v>3</v>
      </c>
      <c r="B353" s="14" t="s">
        <v>4</v>
      </c>
      <c r="C353" s="14" t="s">
        <v>5</v>
      </c>
      <c r="D353" s="14" t="s">
        <v>6</v>
      </c>
      <c r="E353" s="15" t="s">
        <v>7</v>
      </c>
      <c r="F353" s="14" t="s">
        <v>8</v>
      </c>
      <c r="G353" s="14" t="s">
        <v>9</v>
      </c>
      <c r="H353" s="16" t="s">
        <v>10</v>
      </c>
      <c r="I353" s="14" t="s">
        <v>11</v>
      </c>
      <c r="J353" s="14" t="s">
        <v>12</v>
      </c>
    </row>
    <row x14ac:dyDescent="0.25" r="354" customHeight="1" ht="17.25">
      <c r="A354" s="17" t="s">
        <v>7620</v>
      </c>
      <c r="B354" s="17" t="s">
        <v>566</v>
      </c>
      <c r="C354" s="17" t="s">
        <v>56</v>
      </c>
      <c r="D354" s="17" t="s">
        <v>16</v>
      </c>
      <c r="E354" s="18">
        <f>ROUND(6358*1.05,2)</f>
      </c>
      <c r="F354" s="17" t="s">
        <v>17</v>
      </c>
      <c r="G354" s="17" t="s">
        <v>18</v>
      </c>
      <c r="H354" s="18">
        <f>ROUND(RAND()*4+6,1)</f>
      </c>
      <c r="I354" s="17" t="s">
        <v>19</v>
      </c>
      <c r="J354" s="19">
        <f>ROUND(69*1,0)&amp;"%"</f>
      </c>
    </row>
    <row x14ac:dyDescent="0.25" r="355" customHeight="1" ht="17.25">
      <c r="A355" s="20" t="s">
        <v>7621</v>
      </c>
      <c r="B355" s="20" t="s">
        <v>568</v>
      </c>
      <c r="C355" s="20" t="s">
        <v>56</v>
      </c>
      <c r="D355" s="20" t="s">
        <v>22</v>
      </c>
      <c r="E355" s="21">
        <f>ROUND(12132*1.05,2)</f>
      </c>
      <c r="F355" s="20" t="s">
        <v>23</v>
      </c>
      <c r="G355" s="20" t="s">
        <v>24</v>
      </c>
      <c r="H355" s="21">
        <f>ROUND(RAND()*4+6,1)</f>
      </c>
      <c r="I355" s="20" t="s">
        <v>25</v>
      </c>
      <c r="J355" s="23">
        <f>ROUND(70*1,0)&amp;"%"</f>
      </c>
    </row>
    <row x14ac:dyDescent="0.25" r="356" customHeight="1" ht="17.25">
      <c r="A356" s="17" t="s">
        <v>7622</v>
      </c>
      <c r="B356" s="17" t="s">
        <v>570</v>
      </c>
      <c r="C356" s="17" t="s">
        <v>56</v>
      </c>
      <c r="D356" s="17" t="s">
        <v>28</v>
      </c>
      <c r="E356" s="18">
        <f>ROUND(17591*1.05,2)</f>
      </c>
      <c r="F356" s="17" t="s">
        <v>29</v>
      </c>
      <c r="G356" s="17" t="s">
        <v>30</v>
      </c>
      <c r="H356" s="26">
        <f>ROUND(RAND()*4+6,1)</f>
      </c>
      <c r="I356" s="17" t="s">
        <v>31</v>
      </c>
      <c r="J356" s="19">
        <f>ROUND(88*1,0)&amp;"%"</f>
      </c>
    </row>
    <row x14ac:dyDescent="0.25" r="357" customHeight="1" ht="17.25">
      <c r="A357" s="20" t="s">
        <v>7623</v>
      </c>
      <c r="B357" s="20" t="s">
        <v>572</v>
      </c>
      <c r="C357" s="20" t="s">
        <v>56</v>
      </c>
      <c r="D357" s="20" t="s">
        <v>34</v>
      </c>
      <c r="E357" s="22">
        <f>ROUND(13520*1.05,2)</f>
      </c>
      <c r="F357" s="20" t="s">
        <v>35</v>
      </c>
      <c r="G357" s="20" t="s">
        <v>18</v>
      </c>
      <c r="H357" s="21">
        <f>ROUND(RAND()*4+6,1)</f>
      </c>
      <c r="I357" s="20" t="s">
        <v>36</v>
      </c>
      <c r="J357" s="23">
        <f>ROUND(98*1,0)&amp;"%"</f>
      </c>
    </row>
    <row x14ac:dyDescent="0.25" r="358" customHeight="1" ht="17.25">
      <c r="A358" s="17" t="s">
        <v>7624</v>
      </c>
      <c r="B358" s="17" t="s">
        <v>574</v>
      </c>
      <c r="C358" s="17" t="s">
        <v>56</v>
      </c>
      <c r="D358" s="17" t="s">
        <v>39</v>
      </c>
      <c r="E358" s="18">
        <f>ROUND(9549*1.05,2)</f>
      </c>
      <c r="F358" s="17" t="s">
        <v>40</v>
      </c>
      <c r="G358" s="17" t="s">
        <v>24</v>
      </c>
      <c r="H358" s="18">
        <f>ROUND(RAND()*4+6,1)</f>
      </c>
      <c r="I358" s="17" t="s">
        <v>41</v>
      </c>
      <c r="J358" s="19">
        <f>ROUND(83*1,0)&amp;"%"</f>
      </c>
    </row>
    <row x14ac:dyDescent="0.25" r="359" customHeight="1" ht="17.25">
      <c r="A359" s="20" t="s">
        <v>7625</v>
      </c>
      <c r="B359" s="20" t="s">
        <v>576</v>
      </c>
      <c r="C359" s="20" t="s">
        <v>56</v>
      </c>
      <c r="D359" s="20" t="s">
        <v>67</v>
      </c>
      <c r="E359" s="22">
        <f>ROUND(9420*1.05,2)</f>
      </c>
      <c r="F359" s="20" t="s">
        <v>44</v>
      </c>
      <c r="G359" s="20" t="s">
        <v>30</v>
      </c>
      <c r="H359" s="21">
        <f>ROUND(RAND()*4+6,1)</f>
      </c>
      <c r="I359" s="20" t="s">
        <v>45</v>
      </c>
      <c r="J359" s="23">
        <f>ROUND(63*1,0)&amp;"%"</f>
      </c>
    </row>
    <row x14ac:dyDescent="0.25" r="360" customHeight="1" ht="17.25">
      <c r="A360" s="17" t="s">
        <v>7626</v>
      </c>
      <c r="B360" s="17" t="s">
        <v>578</v>
      </c>
      <c r="C360" s="17" t="s">
        <v>56</v>
      </c>
      <c r="D360" s="17" t="s">
        <v>16</v>
      </c>
      <c r="E360" s="18">
        <f>ROUND(16566*1.05,2)</f>
      </c>
      <c r="F360" s="17" t="s">
        <v>48</v>
      </c>
      <c r="G360" s="17" t="s">
        <v>18</v>
      </c>
      <c r="H360" s="18">
        <f>ROUND(RAND()*4+6,1)</f>
      </c>
      <c r="I360" s="17" t="s">
        <v>19</v>
      </c>
      <c r="J360" s="19">
        <f>ROUND(75*1,0)&amp;"%"</f>
      </c>
    </row>
    <row x14ac:dyDescent="0.25" r="361" customHeight="1" ht="17.25">
      <c r="A361" s="20" t="s">
        <v>7627</v>
      </c>
      <c r="B361" s="20" t="s">
        <v>580</v>
      </c>
      <c r="C361" s="20" t="s">
        <v>56</v>
      </c>
      <c r="D361" s="20" t="s">
        <v>22</v>
      </c>
      <c r="E361" s="21">
        <f>ROUND(4894*1.05,2)</f>
      </c>
      <c r="F361" s="20" t="s">
        <v>51</v>
      </c>
      <c r="G361" s="20" t="s">
        <v>24</v>
      </c>
      <c r="H361" s="21">
        <f>ROUND(RAND()*4+6,1)</f>
      </c>
      <c r="I361" s="20" t="s">
        <v>25</v>
      </c>
      <c r="J361" s="23">
        <f>ROUND(72*1,0)&amp;"%"</f>
      </c>
    </row>
    <row x14ac:dyDescent="0.25" r="362" customHeight="1" ht="17.25">
      <c r="A362" s="24" t="s">
        <v>581</v>
      </c>
      <c r="B362" s="24"/>
      <c r="C362" s="24"/>
      <c r="D362" s="24"/>
      <c r="E362" s="25">
        <v>8</v>
      </c>
      <c r="F362" s="9"/>
      <c r="G362" s="9"/>
      <c r="H362" s="10"/>
      <c r="I362" s="9"/>
      <c r="J362" s="9"/>
    </row>
  </sheetData>
  <mergeCells count="62">
    <mergeCell ref="A1:J1"/>
    <mergeCell ref="A2:J2"/>
    <mergeCell ref="A4:J4"/>
    <mergeCell ref="A14:D14"/>
    <mergeCell ref="A16:J16"/>
    <mergeCell ref="A26:D26"/>
    <mergeCell ref="A28:J28"/>
    <mergeCell ref="A38:D38"/>
    <mergeCell ref="A40:J40"/>
    <mergeCell ref="A50:D50"/>
    <mergeCell ref="A52:J52"/>
    <mergeCell ref="A62:D62"/>
    <mergeCell ref="A64:J64"/>
    <mergeCell ref="A74:D74"/>
    <mergeCell ref="A76:J76"/>
    <mergeCell ref="A86:D86"/>
    <mergeCell ref="A88:J88"/>
    <mergeCell ref="A98:D98"/>
    <mergeCell ref="A100:J100"/>
    <mergeCell ref="A110:D110"/>
    <mergeCell ref="A112:J112"/>
    <mergeCell ref="A122:D122"/>
    <mergeCell ref="A124:J124"/>
    <mergeCell ref="A134:D134"/>
    <mergeCell ref="A136:J136"/>
    <mergeCell ref="A146:D146"/>
    <mergeCell ref="A148:J148"/>
    <mergeCell ref="A158:D158"/>
    <mergeCell ref="A160:J160"/>
    <mergeCell ref="A170:D170"/>
    <mergeCell ref="A172:J172"/>
    <mergeCell ref="A182:D182"/>
    <mergeCell ref="A184:J184"/>
    <mergeCell ref="A194:D194"/>
    <mergeCell ref="A196:J196"/>
    <mergeCell ref="A206:D206"/>
    <mergeCell ref="A208:J208"/>
    <mergeCell ref="A218:D218"/>
    <mergeCell ref="A220:J220"/>
    <mergeCell ref="A230:D230"/>
    <mergeCell ref="A232:J232"/>
    <mergeCell ref="A242:D242"/>
    <mergeCell ref="A244:J244"/>
    <mergeCell ref="A254:D254"/>
    <mergeCell ref="A256:J256"/>
    <mergeCell ref="A266:D266"/>
    <mergeCell ref="A268:J268"/>
    <mergeCell ref="A278:D278"/>
    <mergeCell ref="A280:J280"/>
    <mergeCell ref="A290:D290"/>
    <mergeCell ref="A292:J292"/>
    <mergeCell ref="A302:D302"/>
    <mergeCell ref="A304:J304"/>
    <mergeCell ref="A314:D314"/>
    <mergeCell ref="A316:J316"/>
    <mergeCell ref="A326:D326"/>
    <mergeCell ref="A328:J328"/>
    <mergeCell ref="A338:D338"/>
    <mergeCell ref="A340:J340"/>
    <mergeCell ref="A350:D350"/>
    <mergeCell ref="A352:J352"/>
    <mergeCell ref="A362:D362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J362"/>
  <sheetViews>
    <sheetView workbookViewId="0"/>
  </sheetViews>
  <sheetFormatPr defaultRowHeight="15" x14ac:dyDescent="0.25"/>
  <cols>
    <col min="1" max="1" style="27" width="8.005" customWidth="1" bestFit="1"/>
    <col min="2" max="2" style="27" width="22.005" customWidth="1" bestFit="1"/>
    <col min="3" max="3" style="27" width="16.005" customWidth="1" bestFit="1"/>
    <col min="4" max="4" style="27" width="14.005" customWidth="1" bestFit="1"/>
    <col min="5" max="5" style="28" width="12.005" customWidth="1" bestFit="1"/>
    <col min="6" max="6" style="29" width="16.005" customWidth="1" bestFit="1"/>
    <col min="7" max="7" style="29" width="10.005" customWidth="1" bestFit="1"/>
    <col min="8" max="8" style="30" width="10.005" customWidth="1" bestFit="1"/>
    <col min="9" max="9" style="29" width="14.005" customWidth="1" bestFit="1"/>
    <col min="10" max="10" style="29" width="8.005" customWidth="1" bestFit="1"/>
  </cols>
  <sheetData>
    <row x14ac:dyDescent="0.25" r="1" customHeight="1" ht="17.25">
      <c r="A1" s="1" t="s">
        <v>7086</v>
      </c>
      <c r="B1" s="1"/>
      <c r="C1" s="1"/>
      <c r="D1" s="1"/>
      <c r="E1" s="2"/>
      <c r="F1" s="1"/>
      <c r="G1" s="1"/>
      <c r="H1" s="3"/>
      <c r="I1" s="1"/>
      <c r="J1" s="1"/>
    </row>
    <row x14ac:dyDescent="0.25" r="2" customHeight="1" ht="17.25">
      <c r="A2" s="4" t="s">
        <v>1</v>
      </c>
      <c r="B2" s="4"/>
      <c r="C2" s="4"/>
      <c r="D2" s="4"/>
      <c r="E2" s="5"/>
      <c r="F2" s="4"/>
      <c r="G2" s="4"/>
      <c r="H2" s="6"/>
      <c r="I2" s="4"/>
      <c r="J2" s="4"/>
    </row>
    <row x14ac:dyDescent="0.25" r="3" customHeight="1" ht="17.25">
      <c r="A3" s="7"/>
      <c r="B3" s="7"/>
      <c r="C3" s="7"/>
      <c r="D3" s="7"/>
      <c r="E3" s="8"/>
      <c r="F3" s="9"/>
      <c r="G3" s="9"/>
      <c r="H3" s="10"/>
      <c r="I3" s="9"/>
      <c r="J3" s="9"/>
    </row>
    <row x14ac:dyDescent="0.25" r="4" customHeight="1" ht="17.25">
      <c r="A4" s="11" t="s">
        <v>7087</v>
      </c>
      <c r="B4" s="11"/>
      <c r="C4" s="11"/>
      <c r="D4" s="11"/>
      <c r="E4" s="12"/>
      <c r="F4" s="11"/>
      <c r="G4" s="11"/>
      <c r="H4" s="13"/>
      <c r="I4" s="11"/>
      <c r="J4" s="11"/>
    </row>
    <row x14ac:dyDescent="0.25" r="5" customHeight="1" ht="17.25">
      <c r="A5" s="14" t="s">
        <v>3</v>
      </c>
      <c r="B5" s="14" t="s">
        <v>4</v>
      </c>
      <c r="C5" s="14" t="s">
        <v>5</v>
      </c>
      <c r="D5" s="14" t="s">
        <v>6</v>
      </c>
      <c r="E5" s="15" t="s">
        <v>7</v>
      </c>
      <c r="F5" s="14" t="s">
        <v>8</v>
      </c>
      <c r="G5" s="14" t="s">
        <v>9</v>
      </c>
      <c r="H5" s="16" t="s">
        <v>10</v>
      </c>
      <c r="I5" s="14" t="s">
        <v>11</v>
      </c>
      <c r="J5" s="14" t="s">
        <v>12</v>
      </c>
    </row>
    <row x14ac:dyDescent="0.25" r="6" customHeight="1" ht="17.25">
      <c r="A6" s="17" t="s">
        <v>7088</v>
      </c>
      <c r="B6" s="17" t="s">
        <v>14</v>
      </c>
      <c r="C6" s="17" t="s">
        <v>15</v>
      </c>
      <c r="D6" s="17" t="s">
        <v>16</v>
      </c>
      <c r="E6" s="18">
        <f>ROUND(4572*1.05,2)</f>
      </c>
      <c r="F6" s="17" t="s">
        <v>17</v>
      </c>
      <c r="G6" s="17" t="s">
        <v>18</v>
      </c>
      <c r="H6" s="18">
        <f>ROUND(RAND()*4+6,1)</f>
      </c>
      <c r="I6" s="17" t="s">
        <v>19</v>
      </c>
      <c r="J6" s="19">
        <f>ROUND(70*1,0)&amp;"%"</f>
      </c>
    </row>
    <row x14ac:dyDescent="0.25" r="7" customHeight="1" ht="17.25">
      <c r="A7" s="20" t="s">
        <v>7089</v>
      </c>
      <c r="B7" s="20" t="s">
        <v>21</v>
      </c>
      <c r="C7" s="20" t="s">
        <v>15</v>
      </c>
      <c r="D7" s="20" t="s">
        <v>22</v>
      </c>
      <c r="E7" s="21">
        <f>ROUND(5897*1.05,2)</f>
      </c>
      <c r="F7" s="20" t="s">
        <v>23</v>
      </c>
      <c r="G7" s="20" t="s">
        <v>24</v>
      </c>
      <c r="H7" s="21">
        <f>ROUND(RAND()*4+6,1)</f>
      </c>
      <c r="I7" s="20" t="s">
        <v>25</v>
      </c>
      <c r="J7" s="23">
        <f>ROUND(65*1,0)&amp;"%"</f>
      </c>
    </row>
    <row x14ac:dyDescent="0.25" r="8" customHeight="1" ht="17.25">
      <c r="A8" s="17" t="s">
        <v>7090</v>
      </c>
      <c r="B8" s="17" t="s">
        <v>27</v>
      </c>
      <c r="C8" s="17" t="s">
        <v>15</v>
      </c>
      <c r="D8" s="17" t="s">
        <v>28</v>
      </c>
      <c r="E8" s="18">
        <f>ROUND(6775*1.05,2)</f>
      </c>
      <c r="F8" s="17" t="s">
        <v>29</v>
      </c>
      <c r="G8" s="17" t="s">
        <v>30</v>
      </c>
      <c r="H8" s="18">
        <f>ROUND(RAND()*4+6,1)</f>
      </c>
      <c r="I8" s="17" t="s">
        <v>31</v>
      </c>
      <c r="J8" s="19">
        <f>ROUND(81*1,0)&amp;"%"</f>
      </c>
    </row>
    <row x14ac:dyDescent="0.25" r="9" customHeight="1" ht="17.25">
      <c r="A9" s="20" t="s">
        <v>7091</v>
      </c>
      <c r="B9" s="20" t="s">
        <v>33</v>
      </c>
      <c r="C9" s="20" t="s">
        <v>15</v>
      </c>
      <c r="D9" s="20" t="s">
        <v>34</v>
      </c>
      <c r="E9" s="21">
        <f>ROUND(15798*1.05,2)</f>
      </c>
      <c r="F9" s="20" t="s">
        <v>35</v>
      </c>
      <c r="G9" s="20" t="s">
        <v>18</v>
      </c>
      <c r="H9" s="21">
        <f>ROUND(RAND()*4+6,1)</f>
      </c>
      <c r="I9" s="20" t="s">
        <v>36</v>
      </c>
      <c r="J9" s="23">
        <f>ROUND(81*1,0)&amp;"%"</f>
      </c>
    </row>
    <row x14ac:dyDescent="0.25" r="10" customHeight="1" ht="17.25">
      <c r="A10" s="17" t="s">
        <v>7092</v>
      </c>
      <c r="B10" s="17" t="s">
        <v>38</v>
      </c>
      <c r="C10" s="17" t="s">
        <v>15</v>
      </c>
      <c r="D10" s="17" t="s">
        <v>39</v>
      </c>
      <c r="E10" s="18">
        <f>ROUND(13830*1.05,2)</f>
      </c>
      <c r="F10" s="17" t="s">
        <v>40</v>
      </c>
      <c r="G10" s="17" t="s">
        <v>24</v>
      </c>
      <c r="H10" s="18">
        <f>ROUND(RAND()*4+6,1)</f>
      </c>
      <c r="I10" s="17" t="s">
        <v>41</v>
      </c>
      <c r="J10" s="19">
        <f>ROUND(99*1,0)&amp;"%"</f>
      </c>
    </row>
    <row x14ac:dyDescent="0.25" r="11" customHeight="1" ht="17.25">
      <c r="A11" s="20" t="s">
        <v>7093</v>
      </c>
      <c r="B11" s="20" t="s">
        <v>43</v>
      </c>
      <c r="C11" s="20" t="s">
        <v>15</v>
      </c>
      <c r="D11" s="20" t="s">
        <v>67</v>
      </c>
      <c r="E11" s="21">
        <f>ROUND(7555*1.05,2)</f>
      </c>
      <c r="F11" s="20" t="s">
        <v>44</v>
      </c>
      <c r="G11" s="20" t="s">
        <v>30</v>
      </c>
      <c r="H11" s="21">
        <f>ROUND(RAND()*4+6,1)</f>
      </c>
      <c r="I11" s="20" t="s">
        <v>45</v>
      </c>
      <c r="J11" s="23">
        <f>ROUND(67*1,0)&amp;"%"</f>
      </c>
    </row>
    <row x14ac:dyDescent="0.25" r="12" customHeight="1" ht="17.25">
      <c r="A12" s="17" t="s">
        <v>7094</v>
      </c>
      <c r="B12" s="17" t="s">
        <v>47</v>
      </c>
      <c r="C12" s="17" t="s">
        <v>15</v>
      </c>
      <c r="D12" s="17" t="s">
        <v>16</v>
      </c>
      <c r="E12" s="18">
        <f>ROUND(13414*1.05,2)</f>
      </c>
      <c r="F12" s="17" t="s">
        <v>48</v>
      </c>
      <c r="G12" s="17" t="s">
        <v>18</v>
      </c>
      <c r="H12" s="18">
        <f>ROUND(RAND()*4+6,1)</f>
      </c>
      <c r="I12" s="17" t="s">
        <v>19</v>
      </c>
      <c r="J12" s="19">
        <f>ROUND(83*1,0)&amp;"%"</f>
      </c>
    </row>
    <row x14ac:dyDescent="0.25" r="13" customHeight="1" ht="17.25">
      <c r="A13" s="20" t="s">
        <v>7095</v>
      </c>
      <c r="B13" s="20" t="s">
        <v>50</v>
      </c>
      <c r="C13" s="20" t="s">
        <v>15</v>
      </c>
      <c r="D13" s="20" t="s">
        <v>22</v>
      </c>
      <c r="E13" s="21">
        <f>ROUND(15302*1.05,2)</f>
      </c>
      <c r="F13" s="20" t="s">
        <v>51</v>
      </c>
      <c r="G13" s="20" t="s">
        <v>24</v>
      </c>
      <c r="H13" s="21">
        <f>ROUND(RAND()*4+6,1)</f>
      </c>
      <c r="I13" s="20" t="s">
        <v>25</v>
      </c>
      <c r="J13" s="23">
        <f>ROUND(87*1,0)&amp;"%"</f>
      </c>
    </row>
    <row x14ac:dyDescent="0.25" r="14" customHeight="1" ht="17.25">
      <c r="A14" s="24" t="s">
        <v>52</v>
      </c>
      <c r="B14" s="24"/>
      <c r="C14" s="24"/>
      <c r="D14" s="24"/>
      <c r="E14" s="25">
        <v>8</v>
      </c>
      <c r="F14" s="9"/>
      <c r="G14" s="9"/>
      <c r="H14" s="10"/>
      <c r="I14" s="9"/>
      <c r="J14" s="9"/>
    </row>
    <row x14ac:dyDescent="0.25" r="15" customHeight="1" ht="17.25">
      <c r="A15" s="7"/>
      <c r="B15" s="7"/>
      <c r="C15" s="7"/>
      <c r="D15" s="7"/>
      <c r="E15" s="8"/>
      <c r="F15" s="9"/>
      <c r="G15" s="9"/>
      <c r="H15" s="10"/>
      <c r="I15" s="9"/>
      <c r="J15" s="9"/>
    </row>
    <row x14ac:dyDescent="0.25" r="16" customHeight="1" ht="17.25">
      <c r="A16" s="11" t="s">
        <v>7096</v>
      </c>
      <c r="B16" s="11"/>
      <c r="C16" s="11"/>
      <c r="D16" s="11"/>
      <c r="E16" s="12"/>
      <c r="F16" s="11"/>
      <c r="G16" s="11"/>
      <c r="H16" s="13"/>
      <c r="I16" s="11"/>
      <c r="J16" s="11"/>
    </row>
    <row x14ac:dyDescent="0.25" r="17" customHeight="1" ht="17.25">
      <c r="A17" s="14" t="s">
        <v>3</v>
      </c>
      <c r="B17" s="14" t="s">
        <v>4</v>
      </c>
      <c r="C17" s="14" t="s">
        <v>5</v>
      </c>
      <c r="D17" s="14" t="s">
        <v>6</v>
      </c>
      <c r="E17" s="15" t="s">
        <v>7</v>
      </c>
      <c r="F17" s="14" t="s">
        <v>8</v>
      </c>
      <c r="G17" s="14" t="s">
        <v>9</v>
      </c>
      <c r="H17" s="16" t="s">
        <v>10</v>
      </c>
      <c r="I17" s="14" t="s">
        <v>11</v>
      </c>
      <c r="J17" s="14" t="s">
        <v>12</v>
      </c>
    </row>
    <row x14ac:dyDescent="0.25" r="18" customHeight="1" ht="17.25">
      <c r="A18" s="17" t="s">
        <v>7097</v>
      </c>
      <c r="B18" s="17" t="s">
        <v>55</v>
      </c>
      <c r="C18" s="17" t="s">
        <v>56</v>
      </c>
      <c r="D18" s="17" t="s">
        <v>16</v>
      </c>
      <c r="E18" s="26">
        <f>ROUND(17160*1.05,2)</f>
      </c>
      <c r="F18" s="17" t="s">
        <v>17</v>
      </c>
      <c r="G18" s="17" t="s">
        <v>18</v>
      </c>
      <c r="H18" s="18">
        <f>ROUND(RAND()*4+6,1)</f>
      </c>
      <c r="I18" s="17" t="s">
        <v>19</v>
      </c>
      <c r="J18" s="19">
        <f>ROUND(63*1,0)&amp;"%"</f>
      </c>
    </row>
    <row x14ac:dyDescent="0.25" r="19" customHeight="1" ht="17.25">
      <c r="A19" s="20" t="s">
        <v>7098</v>
      </c>
      <c r="B19" s="20" t="s">
        <v>58</v>
      </c>
      <c r="C19" s="20" t="s">
        <v>56</v>
      </c>
      <c r="D19" s="20" t="s">
        <v>22</v>
      </c>
      <c r="E19" s="21">
        <f>ROUND(6302*1.05,2)</f>
      </c>
      <c r="F19" s="20" t="s">
        <v>23</v>
      </c>
      <c r="G19" s="20" t="s">
        <v>24</v>
      </c>
      <c r="H19" s="21">
        <f>ROUND(RAND()*4+6,1)</f>
      </c>
      <c r="I19" s="20" t="s">
        <v>25</v>
      </c>
      <c r="J19" s="23">
        <f>ROUND(60*1,0)&amp;"%"</f>
      </c>
    </row>
    <row x14ac:dyDescent="0.25" r="20" customHeight="1" ht="17.25">
      <c r="A20" s="17" t="s">
        <v>7099</v>
      </c>
      <c r="B20" s="17" t="s">
        <v>60</v>
      </c>
      <c r="C20" s="17" t="s">
        <v>56</v>
      </c>
      <c r="D20" s="17" t="s">
        <v>28</v>
      </c>
      <c r="E20" s="18">
        <f>ROUND(11913*1.05,2)</f>
      </c>
      <c r="F20" s="17" t="s">
        <v>29</v>
      </c>
      <c r="G20" s="17" t="s">
        <v>30</v>
      </c>
      <c r="H20" s="18">
        <f>ROUND(RAND()*4+6,1)</f>
      </c>
      <c r="I20" s="17" t="s">
        <v>31</v>
      </c>
      <c r="J20" s="19">
        <f>ROUND(84*1,0)&amp;"%"</f>
      </c>
    </row>
    <row x14ac:dyDescent="0.25" r="21" customHeight="1" ht="17.25">
      <c r="A21" s="20" t="s">
        <v>7100</v>
      </c>
      <c r="B21" s="20" t="s">
        <v>62</v>
      </c>
      <c r="C21" s="20" t="s">
        <v>56</v>
      </c>
      <c r="D21" s="20" t="s">
        <v>34</v>
      </c>
      <c r="E21" s="21">
        <f>ROUND(11110*1.05,2)</f>
      </c>
      <c r="F21" s="20" t="s">
        <v>35</v>
      </c>
      <c r="G21" s="20" t="s">
        <v>18</v>
      </c>
      <c r="H21" s="22">
        <f>ROUND(RAND()*4+6,1)</f>
      </c>
      <c r="I21" s="20" t="s">
        <v>36</v>
      </c>
      <c r="J21" s="23">
        <f>ROUND(81*1,0)&amp;"%"</f>
      </c>
    </row>
    <row x14ac:dyDescent="0.25" r="22" customHeight="1" ht="17.25">
      <c r="A22" s="17" t="s">
        <v>7101</v>
      </c>
      <c r="B22" s="17" t="s">
        <v>64</v>
      </c>
      <c r="C22" s="17" t="s">
        <v>56</v>
      </c>
      <c r="D22" s="17" t="s">
        <v>39</v>
      </c>
      <c r="E22" s="18">
        <f>ROUND(5242*1.05,2)</f>
      </c>
      <c r="F22" s="17" t="s">
        <v>40</v>
      </c>
      <c r="G22" s="17" t="s">
        <v>24</v>
      </c>
      <c r="H22" s="18">
        <f>ROUND(RAND()*4+6,1)</f>
      </c>
      <c r="I22" s="17" t="s">
        <v>41</v>
      </c>
      <c r="J22" s="19">
        <f>ROUND(77*1,0)&amp;"%"</f>
      </c>
    </row>
    <row x14ac:dyDescent="0.25" r="23" customHeight="1" ht="17.25">
      <c r="A23" s="20" t="s">
        <v>7102</v>
      </c>
      <c r="B23" s="20" t="s">
        <v>66</v>
      </c>
      <c r="C23" s="20" t="s">
        <v>56</v>
      </c>
      <c r="D23" s="20" t="s">
        <v>67</v>
      </c>
      <c r="E23" s="21">
        <f>ROUND(16777*1.05,2)</f>
      </c>
      <c r="F23" s="20" t="s">
        <v>44</v>
      </c>
      <c r="G23" s="20" t="s">
        <v>30</v>
      </c>
      <c r="H23" s="21">
        <f>ROUND(RAND()*4+6,1)</f>
      </c>
      <c r="I23" s="20" t="s">
        <v>45</v>
      </c>
      <c r="J23" s="23">
        <f>ROUND(92*1,0)&amp;"%"</f>
      </c>
    </row>
    <row x14ac:dyDescent="0.25" r="24" customHeight="1" ht="17.25">
      <c r="A24" s="17" t="s">
        <v>7103</v>
      </c>
      <c r="B24" s="17" t="s">
        <v>69</v>
      </c>
      <c r="C24" s="17" t="s">
        <v>56</v>
      </c>
      <c r="D24" s="17" t="s">
        <v>16</v>
      </c>
      <c r="E24" s="18">
        <f>ROUND(8929*1.05,2)</f>
      </c>
      <c r="F24" s="17" t="s">
        <v>48</v>
      </c>
      <c r="G24" s="17" t="s">
        <v>18</v>
      </c>
      <c r="H24" s="18">
        <f>ROUND(RAND()*4+6,1)</f>
      </c>
      <c r="I24" s="17" t="s">
        <v>19</v>
      </c>
      <c r="J24" s="19">
        <f>ROUND(91*1,0)&amp;"%"</f>
      </c>
    </row>
    <row x14ac:dyDescent="0.25" r="25" customHeight="1" ht="17.25">
      <c r="A25" s="20" t="s">
        <v>7104</v>
      </c>
      <c r="B25" s="20" t="s">
        <v>71</v>
      </c>
      <c r="C25" s="20" t="s">
        <v>56</v>
      </c>
      <c r="D25" s="20" t="s">
        <v>22</v>
      </c>
      <c r="E25" s="21">
        <f>ROUND(8307*1.05,2)</f>
      </c>
      <c r="F25" s="20" t="s">
        <v>51</v>
      </c>
      <c r="G25" s="20" t="s">
        <v>24</v>
      </c>
      <c r="H25" s="21">
        <f>ROUND(RAND()*4+6,1)</f>
      </c>
      <c r="I25" s="20" t="s">
        <v>25</v>
      </c>
      <c r="J25" s="23">
        <f>ROUND(96*1,0)&amp;"%"</f>
      </c>
    </row>
    <row x14ac:dyDescent="0.25" r="26" customHeight="1" ht="17.25">
      <c r="A26" s="24" t="s">
        <v>72</v>
      </c>
      <c r="B26" s="24"/>
      <c r="C26" s="24"/>
      <c r="D26" s="24"/>
      <c r="E26" s="25">
        <v>8</v>
      </c>
      <c r="F26" s="9"/>
      <c r="G26" s="9"/>
      <c r="H26" s="10"/>
      <c r="I26" s="9"/>
      <c r="J26" s="9"/>
    </row>
    <row x14ac:dyDescent="0.25" r="27" customHeight="1" ht="17.25">
      <c r="A27" s="7"/>
      <c r="B27" s="7"/>
      <c r="C27" s="7"/>
      <c r="D27" s="7"/>
      <c r="E27" s="8"/>
      <c r="F27" s="9"/>
      <c r="G27" s="9"/>
      <c r="H27" s="10"/>
      <c r="I27" s="9"/>
      <c r="J27" s="9"/>
    </row>
    <row x14ac:dyDescent="0.25" r="28" customHeight="1" ht="17.25">
      <c r="A28" s="11" t="s">
        <v>7105</v>
      </c>
      <c r="B28" s="11"/>
      <c r="C28" s="11"/>
      <c r="D28" s="11"/>
      <c r="E28" s="12"/>
      <c r="F28" s="11"/>
      <c r="G28" s="11"/>
      <c r="H28" s="13"/>
      <c r="I28" s="11"/>
      <c r="J28" s="11"/>
    </row>
    <row x14ac:dyDescent="0.25" r="29" customHeight="1" ht="17.25">
      <c r="A29" s="14" t="s">
        <v>3</v>
      </c>
      <c r="B29" s="14" t="s">
        <v>4</v>
      </c>
      <c r="C29" s="14" t="s">
        <v>5</v>
      </c>
      <c r="D29" s="14" t="s">
        <v>6</v>
      </c>
      <c r="E29" s="15" t="s">
        <v>7</v>
      </c>
      <c r="F29" s="14" t="s">
        <v>8</v>
      </c>
      <c r="G29" s="14" t="s">
        <v>9</v>
      </c>
      <c r="H29" s="16" t="s">
        <v>10</v>
      </c>
      <c r="I29" s="14" t="s">
        <v>11</v>
      </c>
      <c r="J29" s="14" t="s">
        <v>12</v>
      </c>
    </row>
    <row x14ac:dyDescent="0.25" r="30" customHeight="1" ht="17.25">
      <c r="A30" s="17" t="s">
        <v>7106</v>
      </c>
      <c r="B30" s="17" t="s">
        <v>75</v>
      </c>
      <c r="C30" s="17" t="s">
        <v>76</v>
      </c>
      <c r="D30" s="17" t="s">
        <v>16</v>
      </c>
      <c r="E30" s="18">
        <f>ROUND(11476*1.05,2)</f>
      </c>
      <c r="F30" s="17" t="s">
        <v>17</v>
      </c>
      <c r="G30" s="17" t="s">
        <v>18</v>
      </c>
      <c r="H30" s="18">
        <f>ROUND(RAND()*4+6,1)</f>
      </c>
      <c r="I30" s="17" t="s">
        <v>19</v>
      </c>
      <c r="J30" s="19">
        <f>ROUND(80*1,0)&amp;"%"</f>
      </c>
    </row>
    <row x14ac:dyDescent="0.25" r="31" customHeight="1" ht="17.25">
      <c r="A31" s="20" t="s">
        <v>7107</v>
      </c>
      <c r="B31" s="20" t="s">
        <v>78</v>
      </c>
      <c r="C31" s="20" t="s">
        <v>76</v>
      </c>
      <c r="D31" s="20" t="s">
        <v>22</v>
      </c>
      <c r="E31" s="21">
        <f>ROUND(4907*1.05,2)</f>
      </c>
      <c r="F31" s="20" t="s">
        <v>23</v>
      </c>
      <c r="G31" s="20" t="s">
        <v>24</v>
      </c>
      <c r="H31" s="21">
        <f>ROUND(RAND()*4+6,1)</f>
      </c>
      <c r="I31" s="20" t="s">
        <v>25</v>
      </c>
      <c r="J31" s="23">
        <f>ROUND(73*1,0)&amp;"%"</f>
      </c>
    </row>
    <row x14ac:dyDescent="0.25" r="32" customHeight="1" ht="17.25">
      <c r="A32" s="17" t="s">
        <v>7108</v>
      </c>
      <c r="B32" s="17" t="s">
        <v>80</v>
      </c>
      <c r="C32" s="17" t="s">
        <v>76</v>
      </c>
      <c r="D32" s="17" t="s">
        <v>28</v>
      </c>
      <c r="E32" s="18">
        <f>ROUND(7205*1.05,2)</f>
      </c>
      <c r="F32" s="17" t="s">
        <v>29</v>
      </c>
      <c r="G32" s="17" t="s">
        <v>30</v>
      </c>
      <c r="H32" s="26">
        <f>ROUND(RAND()*4+6,1)</f>
      </c>
      <c r="I32" s="17" t="s">
        <v>31</v>
      </c>
      <c r="J32" s="19">
        <f>ROUND(90*1,0)&amp;"%"</f>
      </c>
    </row>
    <row x14ac:dyDescent="0.25" r="33" customHeight="1" ht="17.25">
      <c r="A33" s="20" t="s">
        <v>7109</v>
      </c>
      <c r="B33" s="20" t="s">
        <v>82</v>
      </c>
      <c r="C33" s="20" t="s">
        <v>76</v>
      </c>
      <c r="D33" s="20" t="s">
        <v>34</v>
      </c>
      <c r="E33" s="21">
        <f>ROUND(4953*1.05,2)</f>
      </c>
      <c r="F33" s="20" t="s">
        <v>35</v>
      </c>
      <c r="G33" s="20" t="s">
        <v>18</v>
      </c>
      <c r="H33" s="21">
        <f>ROUND(RAND()*4+6,1)</f>
      </c>
      <c r="I33" s="20" t="s">
        <v>36</v>
      </c>
      <c r="J33" s="23">
        <f>ROUND(93*1,0)&amp;"%"</f>
      </c>
    </row>
    <row x14ac:dyDescent="0.25" r="34" customHeight="1" ht="17.25">
      <c r="A34" s="17" t="s">
        <v>7110</v>
      </c>
      <c r="B34" s="17" t="s">
        <v>84</v>
      </c>
      <c r="C34" s="17" t="s">
        <v>76</v>
      </c>
      <c r="D34" s="17" t="s">
        <v>39</v>
      </c>
      <c r="E34" s="18">
        <f>ROUND(12446*1.05,2)</f>
      </c>
      <c r="F34" s="17" t="s">
        <v>40</v>
      </c>
      <c r="G34" s="17" t="s">
        <v>24</v>
      </c>
      <c r="H34" s="18">
        <f>ROUND(RAND()*4+6,1)</f>
      </c>
      <c r="I34" s="17" t="s">
        <v>41</v>
      </c>
      <c r="J34" s="19">
        <f>ROUND(89*1,0)&amp;"%"</f>
      </c>
    </row>
    <row x14ac:dyDescent="0.25" r="35" customHeight="1" ht="17.25">
      <c r="A35" s="20" t="s">
        <v>7111</v>
      </c>
      <c r="B35" s="20" t="s">
        <v>86</v>
      </c>
      <c r="C35" s="20" t="s">
        <v>76</v>
      </c>
      <c r="D35" s="20" t="s">
        <v>67</v>
      </c>
      <c r="E35" s="21">
        <f>ROUND(4207*1.05,2)</f>
      </c>
      <c r="F35" s="20" t="s">
        <v>44</v>
      </c>
      <c r="G35" s="20" t="s">
        <v>30</v>
      </c>
      <c r="H35" s="22">
        <f>ROUND(RAND()*4+6,1)</f>
      </c>
      <c r="I35" s="20" t="s">
        <v>45</v>
      </c>
      <c r="J35" s="23">
        <f>ROUND(73*1,0)&amp;"%"</f>
      </c>
    </row>
    <row x14ac:dyDescent="0.25" r="36" customHeight="1" ht="17.25">
      <c r="A36" s="17" t="s">
        <v>7112</v>
      </c>
      <c r="B36" s="17" t="s">
        <v>88</v>
      </c>
      <c r="C36" s="17" t="s">
        <v>76</v>
      </c>
      <c r="D36" s="17" t="s">
        <v>16</v>
      </c>
      <c r="E36" s="18">
        <f>ROUND(10748*1.05,2)</f>
      </c>
      <c r="F36" s="17" t="s">
        <v>48</v>
      </c>
      <c r="G36" s="17" t="s">
        <v>18</v>
      </c>
      <c r="H36" s="18">
        <f>ROUND(RAND()*4+6,1)</f>
      </c>
      <c r="I36" s="17" t="s">
        <v>19</v>
      </c>
      <c r="J36" s="19">
        <f>ROUND(91*1,0)&amp;"%"</f>
      </c>
    </row>
    <row x14ac:dyDescent="0.25" r="37" customHeight="1" ht="17.25">
      <c r="A37" s="20" t="s">
        <v>7113</v>
      </c>
      <c r="B37" s="20" t="s">
        <v>90</v>
      </c>
      <c r="C37" s="20" t="s">
        <v>76</v>
      </c>
      <c r="D37" s="20" t="s">
        <v>22</v>
      </c>
      <c r="E37" s="21">
        <f>ROUND(14166*1.05,2)</f>
      </c>
      <c r="F37" s="20" t="s">
        <v>51</v>
      </c>
      <c r="G37" s="20" t="s">
        <v>24</v>
      </c>
      <c r="H37" s="21">
        <f>ROUND(RAND()*4+6,1)</f>
      </c>
      <c r="I37" s="20" t="s">
        <v>25</v>
      </c>
      <c r="J37" s="23">
        <f>ROUND(72*1,0)&amp;"%"</f>
      </c>
    </row>
    <row x14ac:dyDescent="0.25" r="38" customHeight="1" ht="17.25">
      <c r="A38" s="24" t="s">
        <v>91</v>
      </c>
      <c r="B38" s="24"/>
      <c r="C38" s="24"/>
      <c r="D38" s="24"/>
      <c r="E38" s="25">
        <v>8</v>
      </c>
      <c r="F38" s="9"/>
      <c r="G38" s="9"/>
      <c r="H38" s="10"/>
      <c r="I38" s="9"/>
      <c r="J38" s="9"/>
    </row>
    <row x14ac:dyDescent="0.25" r="39" customHeight="1" ht="17.25">
      <c r="A39" s="7"/>
      <c r="B39" s="7"/>
      <c r="C39" s="7"/>
      <c r="D39" s="7"/>
      <c r="E39" s="8"/>
      <c r="F39" s="9"/>
      <c r="G39" s="9"/>
      <c r="H39" s="10"/>
      <c r="I39" s="9"/>
      <c r="J39" s="9"/>
    </row>
    <row x14ac:dyDescent="0.25" r="40" customHeight="1" ht="17.25">
      <c r="A40" s="11" t="s">
        <v>7114</v>
      </c>
      <c r="B40" s="11"/>
      <c r="C40" s="11"/>
      <c r="D40" s="11"/>
      <c r="E40" s="12"/>
      <c r="F40" s="11"/>
      <c r="G40" s="11"/>
      <c r="H40" s="13"/>
      <c r="I40" s="11"/>
      <c r="J40" s="11"/>
    </row>
    <row x14ac:dyDescent="0.25" r="41" customHeight="1" ht="17.25">
      <c r="A41" s="14" t="s">
        <v>3</v>
      </c>
      <c r="B41" s="14" t="s">
        <v>4</v>
      </c>
      <c r="C41" s="14" t="s">
        <v>5</v>
      </c>
      <c r="D41" s="14" t="s">
        <v>6</v>
      </c>
      <c r="E41" s="15" t="s">
        <v>7</v>
      </c>
      <c r="F41" s="14" t="s">
        <v>8</v>
      </c>
      <c r="G41" s="14" t="s">
        <v>9</v>
      </c>
      <c r="H41" s="16" t="s">
        <v>10</v>
      </c>
      <c r="I41" s="14" t="s">
        <v>11</v>
      </c>
      <c r="J41" s="14" t="s">
        <v>12</v>
      </c>
    </row>
    <row x14ac:dyDescent="0.25" r="42" customHeight="1" ht="17.25">
      <c r="A42" s="17" t="s">
        <v>7115</v>
      </c>
      <c r="B42" s="17" t="s">
        <v>94</v>
      </c>
      <c r="C42" s="17" t="s">
        <v>95</v>
      </c>
      <c r="D42" s="17" t="s">
        <v>16</v>
      </c>
      <c r="E42" s="18">
        <f>ROUND(5307*1.05,2)</f>
      </c>
      <c r="F42" s="17" t="s">
        <v>17</v>
      </c>
      <c r="G42" s="17" t="s">
        <v>18</v>
      </c>
      <c r="H42" s="18">
        <f>ROUND(RAND()*4+6,1)</f>
      </c>
      <c r="I42" s="17" t="s">
        <v>19</v>
      </c>
      <c r="J42" s="19">
        <f>ROUND(97*1,0)&amp;"%"</f>
      </c>
    </row>
    <row x14ac:dyDescent="0.25" r="43" customHeight="1" ht="17.25">
      <c r="A43" s="20" t="s">
        <v>7116</v>
      </c>
      <c r="B43" s="20" t="s">
        <v>97</v>
      </c>
      <c r="C43" s="20" t="s">
        <v>95</v>
      </c>
      <c r="D43" s="20" t="s">
        <v>22</v>
      </c>
      <c r="E43" s="21">
        <f>ROUND(15901*1.05,2)</f>
      </c>
      <c r="F43" s="20" t="s">
        <v>23</v>
      </c>
      <c r="G43" s="20" t="s">
        <v>24</v>
      </c>
      <c r="H43" s="21">
        <f>ROUND(RAND()*4+6,1)</f>
      </c>
      <c r="I43" s="20" t="s">
        <v>25</v>
      </c>
      <c r="J43" s="23">
        <f>ROUND(78*1,0)&amp;"%"</f>
      </c>
    </row>
    <row x14ac:dyDescent="0.25" r="44" customHeight="1" ht="17.25">
      <c r="A44" s="17" t="s">
        <v>7117</v>
      </c>
      <c r="B44" s="17" t="s">
        <v>99</v>
      </c>
      <c r="C44" s="17" t="s">
        <v>95</v>
      </c>
      <c r="D44" s="17" t="s">
        <v>28</v>
      </c>
      <c r="E44" s="18">
        <f>ROUND(7772*1.05,2)</f>
      </c>
      <c r="F44" s="17" t="s">
        <v>29</v>
      </c>
      <c r="G44" s="17" t="s">
        <v>30</v>
      </c>
      <c r="H44" s="18">
        <f>ROUND(RAND()*4+6,1)</f>
      </c>
      <c r="I44" s="17" t="s">
        <v>31</v>
      </c>
      <c r="J44" s="19">
        <f>ROUND(79*1,0)&amp;"%"</f>
      </c>
    </row>
    <row x14ac:dyDescent="0.25" r="45" customHeight="1" ht="17.25">
      <c r="A45" s="20" t="s">
        <v>7118</v>
      </c>
      <c r="B45" s="20" t="s">
        <v>101</v>
      </c>
      <c r="C45" s="20" t="s">
        <v>95</v>
      </c>
      <c r="D45" s="20" t="s">
        <v>34</v>
      </c>
      <c r="E45" s="21">
        <f>ROUND(7248*1.05,2)</f>
      </c>
      <c r="F45" s="20" t="s">
        <v>35</v>
      </c>
      <c r="G45" s="20" t="s">
        <v>18</v>
      </c>
      <c r="H45" s="21">
        <f>ROUND(RAND()*4+6,1)</f>
      </c>
      <c r="I45" s="20" t="s">
        <v>36</v>
      </c>
      <c r="J45" s="23">
        <f>ROUND(80*1,0)&amp;"%"</f>
      </c>
    </row>
    <row x14ac:dyDescent="0.25" r="46" customHeight="1" ht="17.25">
      <c r="A46" s="17" t="s">
        <v>7119</v>
      </c>
      <c r="B46" s="17" t="s">
        <v>103</v>
      </c>
      <c r="C46" s="17" t="s">
        <v>95</v>
      </c>
      <c r="D46" s="17" t="s">
        <v>39</v>
      </c>
      <c r="E46" s="18">
        <f>ROUND(12941*1.05,2)</f>
      </c>
      <c r="F46" s="17" t="s">
        <v>40</v>
      </c>
      <c r="G46" s="17" t="s">
        <v>24</v>
      </c>
      <c r="H46" s="26">
        <f>ROUND(RAND()*4+6,1)</f>
      </c>
      <c r="I46" s="17" t="s">
        <v>41</v>
      </c>
      <c r="J46" s="19">
        <f>ROUND(85*1,0)&amp;"%"</f>
      </c>
    </row>
    <row x14ac:dyDescent="0.25" r="47" customHeight="1" ht="17.25">
      <c r="A47" s="20" t="s">
        <v>7120</v>
      </c>
      <c r="B47" s="20" t="s">
        <v>105</v>
      </c>
      <c r="C47" s="20" t="s">
        <v>95</v>
      </c>
      <c r="D47" s="20" t="s">
        <v>67</v>
      </c>
      <c r="E47" s="21">
        <f>ROUND(4012*1.05,2)</f>
      </c>
      <c r="F47" s="20" t="s">
        <v>44</v>
      </c>
      <c r="G47" s="20" t="s">
        <v>30</v>
      </c>
      <c r="H47" s="21">
        <f>ROUND(RAND()*4+6,1)</f>
      </c>
      <c r="I47" s="20" t="s">
        <v>45</v>
      </c>
      <c r="J47" s="23">
        <f>ROUND(84*1,0)&amp;"%"</f>
      </c>
    </row>
    <row x14ac:dyDescent="0.25" r="48" customHeight="1" ht="17.25">
      <c r="A48" s="17" t="s">
        <v>7121</v>
      </c>
      <c r="B48" s="17" t="s">
        <v>107</v>
      </c>
      <c r="C48" s="17" t="s">
        <v>95</v>
      </c>
      <c r="D48" s="17" t="s">
        <v>16</v>
      </c>
      <c r="E48" s="18">
        <f>ROUND(11659*1.05,2)</f>
      </c>
      <c r="F48" s="17" t="s">
        <v>48</v>
      </c>
      <c r="G48" s="17" t="s">
        <v>18</v>
      </c>
      <c r="H48" s="18">
        <f>ROUND(RAND()*4+6,1)</f>
      </c>
      <c r="I48" s="17" t="s">
        <v>19</v>
      </c>
      <c r="J48" s="19">
        <f>ROUND(100*1,0)&amp;"%"</f>
      </c>
    </row>
    <row x14ac:dyDescent="0.25" r="49" customHeight="1" ht="17.25">
      <c r="A49" s="20" t="s">
        <v>7122</v>
      </c>
      <c r="B49" s="20" t="s">
        <v>109</v>
      </c>
      <c r="C49" s="20" t="s">
        <v>95</v>
      </c>
      <c r="D49" s="20" t="s">
        <v>22</v>
      </c>
      <c r="E49" s="21">
        <f>ROUND(14481*1.05,2)</f>
      </c>
      <c r="F49" s="20" t="s">
        <v>51</v>
      </c>
      <c r="G49" s="20" t="s">
        <v>24</v>
      </c>
      <c r="H49" s="21">
        <f>ROUND(RAND()*4+6,1)</f>
      </c>
      <c r="I49" s="20" t="s">
        <v>25</v>
      </c>
      <c r="J49" s="23">
        <f>ROUND(91*1,0)&amp;"%"</f>
      </c>
    </row>
    <row x14ac:dyDescent="0.25" r="50" customHeight="1" ht="17.25">
      <c r="A50" s="24" t="s">
        <v>110</v>
      </c>
      <c r="B50" s="24"/>
      <c r="C50" s="24"/>
      <c r="D50" s="24"/>
      <c r="E50" s="25">
        <v>8</v>
      </c>
      <c r="F50" s="9"/>
      <c r="G50" s="9"/>
      <c r="H50" s="10"/>
      <c r="I50" s="9"/>
      <c r="J50" s="9"/>
    </row>
    <row x14ac:dyDescent="0.25" r="51" customHeight="1" ht="17.25">
      <c r="A51" s="7"/>
      <c r="B51" s="7"/>
      <c r="C51" s="7"/>
      <c r="D51" s="7"/>
      <c r="E51" s="8"/>
      <c r="F51" s="9"/>
      <c r="G51" s="9"/>
      <c r="H51" s="10"/>
      <c r="I51" s="9"/>
      <c r="J51" s="9"/>
    </row>
    <row x14ac:dyDescent="0.25" r="52" customHeight="1" ht="17.25">
      <c r="A52" s="11" t="s">
        <v>7123</v>
      </c>
      <c r="B52" s="11"/>
      <c r="C52" s="11"/>
      <c r="D52" s="11"/>
      <c r="E52" s="12"/>
      <c r="F52" s="11"/>
      <c r="G52" s="11"/>
      <c r="H52" s="13"/>
      <c r="I52" s="11"/>
      <c r="J52" s="11"/>
    </row>
    <row x14ac:dyDescent="0.25" r="53" customHeight="1" ht="17.25">
      <c r="A53" s="14" t="s">
        <v>3</v>
      </c>
      <c r="B53" s="14" t="s">
        <v>4</v>
      </c>
      <c r="C53" s="14" t="s">
        <v>5</v>
      </c>
      <c r="D53" s="14" t="s">
        <v>6</v>
      </c>
      <c r="E53" s="15" t="s">
        <v>7</v>
      </c>
      <c r="F53" s="14" t="s">
        <v>8</v>
      </c>
      <c r="G53" s="14" t="s">
        <v>9</v>
      </c>
      <c r="H53" s="16" t="s">
        <v>10</v>
      </c>
      <c r="I53" s="14" t="s">
        <v>11</v>
      </c>
      <c r="J53" s="14" t="s">
        <v>12</v>
      </c>
    </row>
    <row x14ac:dyDescent="0.25" r="54" customHeight="1" ht="17.25">
      <c r="A54" s="17" t="s">
        <v>7124</v>
      </c>
      <c r="B54" s="17" t="s">
        <v>113</v>
      </c>
      <c r="C54" s="17" t="s">
        <v>114</v>
      </c>
      <c r="D54" s="17" t="s">
        <v>16</v>
      </c>
      <c r="E54" s="18">
        <f>ROUND(16267*1.05,2)</f>
      </c>
      <c r="F54" s="17" t="s">
        <v>17</v>
      </c>
      <c r="G54" s="17" t="s">
        <v>18</v>
      </c>
      <c r="H54" s="18">
        <f>ROUND(RAND()*4+6,1)</f>
      </c>
      <c r="I54" s="17" t="s">
        <v>19</v>
      </c>
      <c r="J54" s="19">
        <f>ROUND(82*1,0)&amp;"%"</f>
      </c>
    </row>
    <row x14ac:dyDescent="0.25" r="55" customHeight="1" ht="17.25">
      <c r="A55" s="20" t="s">
        <v>7125</v>
      </c>
      <c r="B55" s="20" t="s">
        <v>116</v>
      </c>
      <c r="C55" s="20" t="s">
        <v>114</v>
      </c>
      <c r="D55" s="20" t="s">
        <v>22</v>
      </c>
      <c r="E55" s="21">
        <f>ROUND(17455*1.05,2)</f>
      </c>
      <c r="F55" s="20" t="s">
        <v>23</v>
      </c>
      <c r="G55" s="20" t="s">
        <v>24</v>
      </c>
      <c r="H55" s="21">
        <f>ROUND(RAND()*4+6,1)</f>
      </c>
      <c r="I55" s="20" t="s">
        <v>25</v>
      </c>
      <c r="J55" s="23">
        <f>ROUND(78*1,0)&amp;"%"</f>
      </c>
    </row>
    <row x14ac:dyDescent="0.25" r="56" customHeight="1" ht="17.25">
      <c r="A56" s="17" t="s">
        <v>7126</v>
      </c>
      <c r="B56" s="17" t="s">
        <v>118</v>
      </c>
      <c r="C56" s="17" t="s">
        <v>114</v>
      </c>
      <c r="D56" s="17" t="s">
        <v>28</v>
      </c>
      <c r="E56" s="18">
        <f>ROUND(15633*1.05,2)</f>
      </c>
      <c r="F56" s="17" t="s">
        <v>29</v>
      </c>
      <c r="G56" s="17" t="s">
        <v>30</v>
      </c>
      <c r="H56" s="18">
        <f>ROUND(RAND()*4+6,1)</f>
      </c>
      <c r="I56" s="17" t="s">
        <v>31</v>
      </c>
      <c r="J56" s="19">
        <f>ROUND(91*1,0)&amp;"%"</f>
      </c>
    </row>
    <row x14ac:dyDescent="0.25" r="57" customHeight="1" ht="17.25">
      <c r="A57" s="20" t="s">
        <v>7127</v>
      </c>
      <c r="B57" s="20" t="s">
        <v>120</v>
      </c>
      <c r="C57" s="20" t="s">
        <v>114</v>
      </c>
      <c r="D57" s="20" t="s">
        <v>34</v>
      </c>
      <c r="E57" s="21">
        <f>ROUND(10334*1.05,2)</f>
      </c>
      <c r="F57" s="20" t="s">
        <v>35</v>
      </c>
      <c r="G57" s="20" t="s">
        <v>18</v>
      </c>
      <c r="H57" s="21">
        <f>ROUND(RAND()*4+6,1)</f>
      </c>
      <c r="I57" s="20" t="s">
        <v>36</v>
      </c>
      <c r="J57" s="23">
        <f>ROUND(63*1,0)&amp;"%"</f>
      </c>
    </row>
    <row x14ac:dyDescent="0.25" r="58" customHeight="1" ht="17.25">
      <c r="A58" s="17" t="s">
        <v>7128</v>
      </c>
      <c r="B58" s="17" t="s">
        <v>122</v>
      </c>
      <c r="C58" s="17" t="s">
        <v>114</v>
      </c>
      <c r="D58" s="17" t="s">
        <v>39</v>
      </c>
      <c r="E58" s="18">
        <f>ROUND(7046*1.05,2)</f>
      </c>
      <c r="F58" s="17" t="s">
        <v>40</v>
      </c>
      <c r="G58" s="17" t="s">
        <v>24</v>
      </c>
      <c r="H58" s="18">
        <f>ROUND(RAND()*4+6,1)</f>
      </c>
      <c r="I58" s="17" t="s">
        <v>41</v>
      </c>
      <c r="J58" s="19">
        <f>ROUND(89*1,0)&amp;"%"</f>
      </c>
    </row>
    <row x14ac:dyDescent="0.25" r="59" customHeight="1" ht="17.25">
      <c r="A59" s="20" t="s">
        <v>7129</v>
      </c>
      <c r="B59" s="20" t="s">
        <v>124</v>
      </c>
      <c r="C59" s="20" t="s">
        <v>114</v>
      </c>
      <c r="D59" s="20" t="s">
        <v>67</v>
      </c>
      <c r="E59" s="21">
        <f>ROUND(13552*1.05,2)</f>
      </c>
      <c r="F59" s="20" t="s">
        <v>44</v>
      </c>
      <c r="G59" s="20" t="s">
        <v>30</v>
      </c>
      <c r="H59" s="21">
        <f>ROUND(RAND()*4+6,1)</f>
      </c>
      <c r="I59" s="20" t="s">
        <v>45</v>
      </c>
      <c r="J59" s="23">
        <f>ROUND(81*1,0)&amp;"%"</f>
      </c>
    </row>
    <row x14ac:dyDescent="0.25" r="60" customHeight="1" ht="17.25">
      <c r="A60" s="17" t="s">
        <v>7130</v>
      </c>
      <c r="B60" s="17" t="s">
        <v>126</v>
      </c>
      <c r="C60" s="17" t="s">
        <v>114</v>
      </c>
      <c r="D60" s="17" t="s">
        <v>16</v>
      </c>
      <c r="E60" s="18">
        <f>ROUND(12965*1.05,2)</f>
      </c>
      <c r="F60" s="17" t="s">
        <v>48</v>
      </c>
      <c r="G60" s="17" t="s">
        <v>18</v>
      </c>
      <c r="H60" s="18">
        <f>ROUND(RAND()*4+6,1)</f>
      </c>
      <c r="I60" s="17" t="s">
        <v>19</v>
      </c>
      <c r="J60" s="19">
        <f>ROUND(99*1,0)&amp;"%"</f>
      </c>
    </row>
    <row x14ac:dyDescent="0.25" r="61" customHeight="1" ht="17.25">
      <c r="A61" s="20" t="s">
        <v>7131</v>
      </c>
      <c r="B61" s="20" t="s">
        <v>128</v>
      </c>
      <c r="C61" s="20" t="s">
        <v>114</v>
      </c>
      <c r="D61" s="20" t="s">
        <v>22</v>
      </c>
      <c r="E61" s="21">
        <f>ROUND(11543*1.05,2)</f>
      </c>
      <c r="F61" s="20" t="s">
        <v>51</v>
      </c>
      <c r="G61" s="20" t="s">
        <v>24</v>
      </c>
      <c r="H61" s="21">
        <f>ROUND(RAND()*4+6,1)</f>
      </c>
      <c r="I61" s="20" t="s">
        <v>25</v>
      </c>
      <c r="J61" s="23">
        <f>ROUND(62*1,0)&amp;"%"</f>
      </c>
    </row>
    <row x14ac:dyDescent="0.25" r="62" customHeight="1" ht="17.25">
      <c r="A62" s="24" t="s">
        <v>129</v>
      </c>
      <c r="B62" s="24"/>
      <c r="C62" s="24"/>
      <c r="D62" s="24"/>
      <c r="E62" s="25">
        <v>8</v>
      </c>
      <c r="F62" s="9"/>
      <c r="G62" s="9"/>
      <c r="H62" s="10"/>
      <c r="I62" s="9"/>
      <c r="J62" s="9"/>
    </row>
    <row x14ac:dyDescent="0.25" r="63" customHeight="1" ht="17.25">
      <c r="A63" s="7"/>
      <c r="B63" s="7"/>
      <c r="C63" s="7"/>
      <c r="D63" s="7"/>
      <c r="E63" s="8"/>
      <c r="F63" s="9"/>
      <c r="G63" s="9"/>
      <c r="H63" s="10"/>
      <c r="I63" s="9"/>
      <c r="J63" s="9"/>
    </row>
    <row x14ac:dyDescent="0.25" r="64" customHeight="1" ht="17.25">
      <c r="A64" s="11" t="s">
        <v>7132</v>
      </c>
      <c r="B64" s="11"/>
      <c r="C64" s="11"/>
      <c r="D64" s="11"/>
      <c r="E64" s="12"/>
      <c r="F64" s="11"/>
      <c r="G64" s="11"/>
      <c r="H64" s="13"/>
      <c r="I64" s="11"/>
      <c r="J64" s="11"/>
    </row>
    <row x14ac:dyDescent="0.25" r="65" customHeight="1" ht="17.25">
      <c r="A65" s="14" t="s">
        <v>3</v>
      </c>
      <c r="B65" s="14" t="s">
        <v>4</v>
      </c>
      <c r="C65" s="14" t="s">
        <v>5</v>
      </c>
      <c r="D65" s="14" t="s">
        <v>6</v>
      </c>
      <c r="E65" s="15" t="s">
        <v>7</v>
      </c>
      <c r="F65" s="14" t="s">
        <v>8</v>
      </c>
      <c r="G65" s="14" t="s">
        <v>9</v>
      </c>
      <c r="H65" s="16" t="s">
        <v>10</v>
      </c>
      <c r="I65" s="14" t="s">
        <v>11</v>
      </c>
      <c r="J65" s="14" t="s">
        <v>12</v>
      </c>
    </row>
    <row x14ac:dyDescent="0.25" r="66" customHeight="1" ht="17.25">
      <c r="A66" s="17" t="s">
        <v>7133</v>
      </c>
      <c r="B66" s="17" t="s">
        <v>132</v>
      </c>
      <c r="C66" s="17" t="s">
        <v>133</v>
      </c>
      <c r="D66" s="17" t="s">
        <v>16</v>
      </c>
      <c r="E66" s="18">
        <f>ROUND(4291*1.05,2)</f>
      </c>
      <c r="F66" s="17" t="s">
        <v>17</v>
      </c>
      <c r="G66" s="17" t="s">
        <v>18</v>
      </c>
      <c r="H66" s="18">
        <f>ROUND(RAND()*4+6,1)</f>
      </c>
      <c r="I66" s="17" t="s">
        <v>19</v>
      </c>
      <c r="J66" s="19">
        <f>ROUND(61*1,0)&amp;"%"</f>
      </c>
    </row>
    <row x14ac:dyDescent="0.25" r="67" customHeight="1" ht="17.25">
      <c r="A67" s="20" t="s">
        <v>7134</v>
      </c>
      <c r="B67" s="20" t="s">
        <v>135</v>
      </c>
      <c r="C67" s="20" t="s">
        <v>133</v>
      </c>
      <c r="D67" s="20" t="s">
        <v>22</v>
      </c>
      <c r="E67" s="21">
        <f>ROUND(16437*1.05,2)</f>
      </c>
      <c r="F67" s="20" t="s">
        <v>23</v>
      </c>
      <c r="G67" s="20" t="s">
        <v>24</v>
      </c>
      <c r="H67" s="21">
        <f>ROUND(RAND()*4+6,1)</f>
      </c>
      <c r="I67" s="20" t="s">
        <v>25</v>
      </c>
      <c r="J67" s="23">
        <f>ROUND(80*1,0)&amp;"%"</f>
      </c>
    </row>
    <row x14ac:dyDescent="0.25" r="68" customHeight="1" ht="17.25">
      <c r="A68" s="17" t="s">
        <v>7135</v>
      </c>
      <c r="B68" s="17" t="s">
        <v>137</v>
      </c>
      <c r="C68" s="17" t="s">
        <v>133</v>
      </c>
      <c r="D68" s="17" t="s">
        <v>28</v>
      </c>
      <c r="E68" s="18">
        <f>ROUND(4430*1.05,2)</f>
      </c>
      <c r="F68" s="17" t="s">
        <v>29</v>
      </c>
      <c r="G68" s="17" t="s">
        <v>30</v>
      </c>
      <c r="H68" s="18">
        <f>ROUND(RAND()*4+6,1)</f>
      </c>
      <c r="I68" s="17" t="s">
        <v>31</v>
      </c>
      <c r="J68" s="19">
        <f>ROUND(81*1,0)&amp;"%"</f>
      </c>
    </row>
    <row x14ac:dyDescent="0.25" r="69" customHeight="1" ht="17.25">
      <c r="A69" s="20" t="s">
        <v>7136</v>
      </c>
      <c r="B69" s="20" t="s">
        <v>139</v>
      </c>
      <c r="C69" s="20" t="s">
        <v>133</v>
      </c>
      <c r="D69" s="20" t="s">
        <v>34</v>
      </c>
      <c r="E69" s="21">
        <f>ROUND(8261*1.05,2)</f>
      </c>
      <c r="F69" s="20" t="s">
        <v>35</v>
      </c>
      <c r="G69" s="20" t="s">
        <v>18</v>
      </c>
      <c r="H69" s="21">
        <f>ROUND(RAND()*4+6,1)</f>
      </c>
      <c r="I69" s="20" t="s">
        <v>36</v>
      </c>
      <c r="J69" s="23">
        <f>ROUND(83*1,0)&amp;"%"</f>
      </c>
    </row>
    <row x14ac:dyDescent="0.25" r="70" customHeight="1" ht="17.25">
      <c r="A70" s="17" t="s">
        <v>7137</v>
      </c>
      <c r="B70" s="17" t="s">
        <v>141</v>
      </c>
      <c r="C70" s="17" t="s">
        <v>133</v>
      </c>
      <c r="D70" s="17" t="s">
        <v>39</v>
      </c>
      <c r="E70" s="18">
        <f>ROUND(5988*1.05,2)</f>
      </c>
      <c r="F70" s="17" t="s">
        <v>40</v>
      </c>
      <c r="G70" s="17" t="s">
        <v>24</v>
      </c>
      <c r="H70" s="18">
        <f>ROUND(RAND()*4+6,1)</f>
      </c>
      <c r="I70" s="17" t="s">
        <v>41</v>
      </c>
      <c r="J70" s="19">
        <f>ROUND(78*1,0)&amp;"%"</f>
      </c>
    </row>
    <row x14ac:dyDescent="0.25" r="71" customHeight="1" ht="17.25">
      <c r="A71" s="20" t="s">
        <v>7138</v>
      </c>
      <c r="B71" s="20" t="s">
        <v>143</v>
      </c>
      <c r="C71" s="20" t="s">
        <v>133</v>
      </c>
      <c r="D71" s="20" t="s">
        <v>67</v>
      </c>
      <c r="E71" s="21">
        <f>ROUND(9073*1.05,2)</f>
      </c>
      <c r="F71" s="20" t="s">
        <v>44</v>
      </c>
      <c r="G71" s="20" t="s">
        <v>30</v>
      </c>
      <c r="H71" s="21">
        <f>ROUND(RAND()*4+6,1)</f>
      </c>
      <c r="I71" s="20" t="s">
        <v>45</v>
      </c>
      <c r="J71" s="23">
        <f>ROUND(83*1,0)&amp;"%"</f>
      </c>
    </row>
    <row x14ac:dyDescent="0.25" r="72" customHeight="1" ht="17.25">
      <c r="A72" s="17" t="s">
        <v>7139</v>
      </c>
      <c r="B72" s="17" t="s">
        <v>145</v>
      </c>
      <c r="C72" s="17" t="s">
        <v>133</v>
      </c>
      <c r="D72" s="17" t="s">
        <v>16</v>
      </c>
      <c r="E72" s="18">
        <f>ROUND(13319*1.05,2)</f>
      </c>
      <c r="F72" s="17" t="s">
        <v>48</v>
      </c>
      <c r="G72" s="17" t="s">
        <v>18</v>
      </c>
      <c r="H72" s="18">
        <f>ROUND(RAND()*4+6,1)</f>
      </c>
      <c r="I72" s="17" t="s">
        <v>19</v>
      </c>
      <c r="J72" s="19">
        <f>ROUND(60*1,0)&amp;"%"</f>
      </c>
    </row>
    <row x14ac:dyDescent="0.25" r="73" customHeight="1" ht="17.25">
      <c r="A73" s="20" t="s">
        <v>7140</v>
      </c>
      <c r="B73" s="20" t="s">
        <v>147</v>
      </c>
      <c r="C73" s="20" t="s">
        <v>133</v>
      </c>
      <c r="D73" s="20" t="s">
        <v>22</v>
      </c>
      <c r="E73" s="21">
        <f>ROUND(14610*1.05,2)</f>
      </c>
      <c r="F73" s="20" t="s">
        <v>51</v>
      </c>
      <c r="G73" s="20" t="s">
        <v>24</v>
      </c>
      <c r="H73" s="21">
        <f>ROUND(RAND()*4+6,1)</f>
      </c>
      <c r="I73" s="20" t="s">
        <v>25</v>
      </c>
      <c r="J73" s="23">
        <f>ROUND(92*1,0)&amp;"%"</f>
      </c>
    </row>
    <row x14ac:dyDescent="0.25" r="74" customHeight="1" ht="17.25">
      <c r="A74" s="24" t="s">
        <v>148</v>
      </c>
      <c r="B74" s="24"/>
      <c r="C74" s="24"/>
      <c r="D74" s="24"/>
      <c r="E74" s="25">
        <v>8</v>
      </c>
      <c r="F74" s="9"/>
      <c r="G74" s="9"/>
      <c r="H74" s="10"/>
      <c r="I74" s="9"/>
      <c r="J74" s="9"/>
    </row>
    <row x14ac:dyDescent="0.25" r="75" customHeight="1" ht="17.25">
      <c r="A75" s="7"/>
      <c r="B75" s="7"/>
      <c r="C75" s="7"/>
      <c r="D75" s="7"/>
      <c r="E75" s="8"/>
      <c r="F75" s="9"/>
      <c r="G75" s="9"/>
      <c r="H75" s="10"/>
      <c r="I75" s="9"/>
      <c r="J75" s="9"/>
    </row>
    <row x14ac:dyDescent="0.25" r="76" customHeight="1" ht="17.25">
      <c r="A76" s="11" t="s">
        <v>7141</v>
      </c>
      <c r="B76" s="11"/>
      <c r="C76" s="11"/>
      <c r="D76" s="11"/>
      <c r="E76" s="12"/>
      <c r="F76" s="11"/>
      <c r="G76" s="11"/>
      <c r="H76" s="13"/>
      <c r="I76" s="11"/>
      <c r="J76" s="11"/>
    </row>
    <row x14ac:dyDescent="0.25" r="77" customHeight="1" ht="17.25">
      <c r="A77" s="14" t="s">
        <v>3</v>
      </c>
      <c r="B77" s="14" t="s">
        <v>4</v>
      </c>
      <c r="C77" s="14" t="s">
        <v>5</v>
      </c>
      <c r="D77" s="14" t="s">
        <v>6</v>
      </c>
      <c r="E77" s="15" t="s">
        <v>7</v>
      </c>
      <c r="F77" s="14" t="s">
        <v>8</v>
      </c>
      <c r="G77" s="14" t="s">
        <v>9</v>
      </c>
      <c r="H77" s="16" t="s">
        <v>10</v>
      </c>
      <c r="I77" s="14" t="s">
        <v>11</v>
      </c>
      <c r="J77" s="14" t="s">
        <v>12</v>
      </c>
    </row>
    <row x14ac:dyDescent="0.25" r="78" customHeight="1" ht="17.25">
      <c r="A78" s="17" t="s">
        <v>7142</v>
      </c>
      <c r="B78" s="17" t="s">
        <v>151</v>
      </c>
      <c r="C78" s="17" t="s">
        <v>152</v>
      </c>
      <c r="D78" s="17" t="s">
        <v>16</v>
      </c>
      <c r="E78" s="18">
        <f>ROUND(8502*1.05,2)</f>
      </c>
      <c r="F78" s="17" t="s">
        <v>17</v>
      </c>
      <c r="G78" s="17" t="s">
        <v>18</v>
      </c>
      <c r="H78" s="18">
        <f>ROUND(RAND()*4+6,1)</f>
      </c>
      <c r="I78" s="17" t="s">
        <v>19</v>
      </c>
      <c r="J78" s="19">
        <f>ROUND(67*1,0)&amp;"%"</f>
      </c>
    </row>
    <row x14ac:dyDescent="0.25" r="79" customHeight="1" ht="17.25">
      <c r="A79" s="20" t="s">
        <v>7143</v>
      </c>
      <c r="B79" s="20" t="s">
        <v>154</v>
      </c>
      <c r="C79" s="20" t="s">
        <v>152</v>
      </c>
      <c r="D79" s="20" t="s">
        <v>22</v>
      </c>
      <c r="E79" s="21">
        <f>ROUND(12433*1.05,2)</f>
      </c>
      <c r="F79" s="20" t="s">
        <v>23</v>
      </c>
      <c r="G79" s="20" t="s">
        <v>24</v>
      </c>
      <c r="H79" s="21">
        <f>ROUND(RAND()*4+6,1)</f>
      </c>
      <c r="I79" s="20" t="s">
        <v>25</v>
      </c>
      <c r="J79" s="23">
        <f>ROUND(63*1,0)&amp;"%"</f>
      </c>
    </row>
    <row x14ac:dyDescent="0.25" r="80" customHeight="1" ht="17.25">
      <c r="A80" s="17" t="s">
        <v>7144</v>
      </c>
      <c r="B80" s="17" t="s">
        <v>156</v>
      </c>
      <c r="C80" s="17" t="s">
        <v>152</v>
      </c>
      <c r="D80" s="17" t="s">
        <v>28</v>
      </c>
      <c r="E80" s="18">
        <f>ROUND(13118*1.05,2)</f>
      </c>
      <c r="F80" s="17" t="s">
        <v>29</v>
      </c>
      <c r="G80" s="17" t="s">
        <v>30</v>
      </c>
      <c r="H80" s="18">
        <f>ROUND(RAND()*4+6,1)</f>
      </c>
      <c r="I80" s="17" t="s">
        <v>31</v>
      </c>
      <c r="J80" s="19">
        <f>ROUND(69*1,0)&amp;"%"</f>
      </c>
    </row>
    <row x14ac:dyDescent="0.25" r="81" customHeight="1" ht="17.25">
      <c r="A81" s="20" t="s">
        <v>7145</v>
      </c>
      <c r="B81" s="20" t="s">
        <v>158</v>
      </c>
      <c r="C81" s="20" t="s">
        <v>152</v>
      </c>
      <c r="D81" s="20" t="s">
        <v>34</v>
      </c>
      <c r="E81" s="21">
        <f>ROUND(12338*1.05,2)</f>
      </c>
      <c r="F81" s="20" t="s">
        <v>35</v>
      </c>
      <c r="G81" s="20" t="s">
        <v>18</v>
      </c>
      <c r="H81" s="21">
        <f>ROUND(RAND()*4+6,1)</f>
      </c>
      <c r="I81" s="20" t="s">
        <v>36</v>
      </c>
      <c r="J81" s="23">
        <f>ROUND(82*1,0)&amp;"%"</f>
      </c>
    </row>
    <row x14ac:dyDescent="0.25" r="82" customHeight="1" ht="17.25">
      <c r="A82" s="17" t="s">
        <v>7146</v>
      </c>
      <c r="B82" s="17" t="s">
        <v>160</v>
      </c>
      <c r="C82" s="17" t="s">
        <v>152</v>
      </c>
      <c r="D82" s="17" t="s">
        <v>39</v>
      </c>
      <c r="E82" s="18">
        <f>ROUND(12666*1.05,2)</f>
      </c>
      <c r="F82" s="17" t="s">
        <v>40</v>
      </c>
      <c r="G82" s="17" t="s">
        <v>24</v>
      </c>
      <c r="H82" s="18">
        <f>ROUND(RAND()*4+6,1)</f>
      </c>
      <c r="I82" s="17" t="s">
        <v>41</v>
      </c>
      <c r="J82" s="19">
        <f>ROUND(76*1,0)&amp;"%"</f>
      </c>
    </row>
    <row x14ac:dyDescent="0.25" r="83" customHeight="1" ht="17.25">
      <c r="A83" s="20" t="s">
        <v>7147</v>
      </c>
      <c r="B83" s="20" t="s">
        <v>162</v>
      </c>
      <c r="C83" s="20" t="s">
        <v>152</v>
      </c>
      <c r="D83" s="20" t="s">
        <v>67</v>
      </c>
      <c r="E83" s="21">
        <f>ROUND(8476*1.05,2)</f>
      </c>
      <c r="F83" s="20" t="s">
        <v>44</v>
      </c>
      <c r="G83" s="20" t="s">
        <v>30</v>
      </c>
      <c r="H83" s="21">
        <f>ROUND(RAND()*4+6,1)</f>
      </c>
      <c r="I83" s="20" t="s">
        <v>45</v>
      </c>
      <c r="J83" s="23">
        <f>ROUND(67*1,0)&amp;"%"</f>
      </c>
    </row>
    <row x14ac:dyDescent="0.25" r="84" customHeight="1" ht="17.25">
      <c r="A84" s="17" t="s">
        <v>7148</v>
      </c>
      <c r="B84" s="17" t="s">
        <v>164</v>
      </c>
      <c r="C84" s="17" t="s">
        <v>152</v>
      </c>
      <c r="D84" s="17" t="s">
        <v>16</v>
      </c>
      <c r="E84" s="18">
        <f>ROUND(13778*1.05,2)</f>
      </c>
      <c r="F84" s="17" t="s">
        <v>48</v>
      </c>
      <c r="G84" s="17" t="s">
        <v>18</v>
      </c>
      <c r="H84" s="18">
        <f>ROUND(RAND()*4+6,1)</f>
      </c>
      <c r="I84" s="17" t="s">
        <v>19</v>
      </c>
      <c r="J84" s="19">
        <f>ROUND(73*1,0)&amp;"%"</f>
      </c>
    </row>
    <row x14ac:dyDescent="0.25" r="85" customHeight="1" ht="17.25">
      <c r="A85" s="20" t="s">
        <v>7149</v>
      </c>
      <c r="B85" s="20" t="s">
        <v>166</v>
      </c>
      <c r="C85" s="20" t="s">
        <v>152</v>
      </c>
      <c r="D85" s="20" t="s">
        <v>22</v>
      </c>
      <c r="E85" s="21">
        <f>ROUND(13105*1.05,2)</f>
      </c>
      <c r="F85" s="20" t="s">
        <v>51</v>
      </c>
      <c r="G85" s="20" t="s">
        <v>24</v>
      </c>
      <c r="H85" s="21">
        <f>ROUND(RAND()*4+6,1)</f>
      </c>
      <c r="I85" s="20" t="s">
        <v>25</v>
      </c>
      <c r="J85" s="23">
        <f>ROUND(78*1,0)&amp;"%"</f>
      </c>
    </row>
    <row x14ac:dyDescent="0.25" r="86" customHeight="1" ht="17.25">
      <c r="A86" s="24" t="s">
        <v>167</v>
      </c>
      <c r="B86" s="24"/>
      <c r="C86" s="24"/>
      <c r="D86" s="24"/>
      <c r="E86" s="25">
        <v>8</v>
      </c>
      <c r="F86" s="9"/>
      <c r="G86" s="9"/>
      <c r="H86" s="10"/>
      <c r="I86" s="9"/>
      <c r="J86" s="9"/>
    </row>
    <row x14ac:dyDescent="0.25" r="87" customHeight="1" ht="17.25">
      <c r="A87" s="7"/>
      <c r="B87" s="7"/>
      <c r="C87" s="7"/>
      <c r="D87" s="7"/>
      <c r="E87" s="8"/>
      <c r="F87" s="9"/>
      <c r="G87" s="9"/>
      <c r="H87" s="10"/>
      <c r="I87" s="9"/>
      <c r="J87" s="9"/>
    </row>
    <row x14ac:dyDescent="0.25" r="88" customHeight="1" ht="17.25">
      <c r="A88" s="11" t="s">
        <v>7150</v>
      </c>
      <c r="B88" s="11"/>
      <c r="C88" s="11"/>
      <c r="D88" s="11"/>
      <c r="E88" s="12"/>
      <c r="F88" s="11"/>
      <c r="G88" s="11"/>
      <c r="H88" s="13"/>
      <c r="I88" s="11"/>
      <c r="J88" s="11"/>
    </row>
    <row x14ac:dyDescent="0.25" r="89" customHeight="1" ht="17.25">
      <c r="A89" s="14" t="s">
        <v>3</v>
      </c>
      <c r="B89" s="14" t="s">
        <v>4</v>
      </c>
      <c r="C89" s="14" t="s">
        <v>5</v>
      </c>
      <c r="D89" s="14" t="s">
        <v>6</v>
      </c>
      <c r="E89" s="15" t="s">
        <v>7</v>
      </c>
      <c r="F89" s="14" t="s">
        <v>8</v>
      </c>
      <c r="G89" s="14" t="s">
        <v>9</v>
      </c>
      <c r="H89" s="16" t="s">
        <v>10</v>
      </c>
      <c r="I89" s="14" t="s">
        <v>11</v>
      </c>
      <c r="J89" s="14" t="s">
        <v>12</v>
      </c>
    </row>
    <row x14ac:dyDescent="0.25" r="90" customHeight="1" ht="17.25">
      <c r="A90" s="17" t="s">
        <v>7151</v>
      </c>
      <c r="B90" s="17" t="s">
        <v>170</v>
      </c>
      <c r="C90" s="17" t="s">
        <v>15</v>
      </c>
      <c r="D90" s="17" t="s">
        <v>16</v>
      </c>
      <c r="E90" s="18">
        <f>ROUND(6291*1.05,2)</f>
      </c>
      <c r="F90" s="17" t="s">
        <v>17</v>
      </c>
      <c r="G90" s="17" t="s">
        <v>18</v>
      </c>
      <c r="H90" s="18">
        <f>ROUND(RAND()*4+6,1)</f>
      </c>
      <c r="I90" s="17" t="s">
        <v>19</v>
      </c>
      <c r="J90" s="19">
        <f>ROUND(62*1,0)&amp;"%"</f>
      </c>
    </row>
    <row x14ac:dyDescent="0.25" r="91" customHeight="1" ht="17.25">
      <c r="A91" s="20" t="s">
        <v>7152</v>
      </c>
      <c r="B91" s="20" t="s">
        <v>172</v>
      </c>
      <c r="C91" s="20" t="s">
        <v>15</v>
      </c>
      <c r="D91" s="20" t="s">
        <v>22</v>
      </c>
      <c r="E91" s="21">
        <f>ROUND(5016*1.05,2)</f>
      </c>
      <c r="F91" s="20" t="s">
        <v>23</v>
      </c>
      <c r="G91" s="20" t="s">
        <v>24</v>
      </c>
      <c r="H91" s="21">
        <f>ROUND(RAND()*4+6,1)</f>
      </c>
      <c r="I91" s="20" t="s">
        <v>25</v>
      </c>
      <c r="J91" s="23">
        <f>ROUND(86*1,0)&amp;"%"</f>
      </c>
    </row>
    <row x14ac:dyDescent="0.25" r="92" customHeight="1" ht="17.25">
      <c r="A92" s="17" t="s">
        <v>7153</v>
      </c>
      <c r="B92" s="17" t="s">
        <v>174</v>
      </c>
      <c r="C92" s="17" t="s">
        <v>15</v>
      </c>
      <c r="D92" s="17" t="s">
        <v>28</v>
      </c>
      <c r="E92" s="18">
        <f>ROUND(5857*1.05,2)</f>
      </c>
      <c r="F92" s="17" t="s">
        <v>29</v>
      </c>
      <c r="G92" s="17" t="s">
        <v>30</v>
      </c>
      <c r="H92" s="18">
        <f>ROUND(RAND()*4+6,1)</f>
      </c>
      <c r="I92" s="17" t="s">
        <v>31</v>
      </c>
      <c r="J92" s="19">
        <f>ROUND(97*1,0)&amp;"%"</f>
      </c>
    </row>
    <row x14ac:dyDescent="0.25" r="93" customHeight="1" ht="17.25">
      <c r="A93" s="20" t="s">
        <v>7154</v>
      </c>
      <c r="B93" s="20" t="s">
        <v>176</v>
      </c>
      <c r="C93" s="20" t="s">
        <v>15</v>
      </c>
      <c r="D93" s="20" t="s">
        <v>34</v>
      </c>
      <c r="E93" s="21">
        <f>ROUND(16258*1.05,2)</f>
      </c>
      <c r="F93" s="20" t="s">
        <v>35</v>
      </c>
      <c r="G93" s="20" t="s">
        <v>18</v>
      </c>
      <c r="H93" s="21">
        <f>ROUND(RAND()*4+6,1)</f>
      </c>
      <c r="I93" s="20" t="s">
        <v>36</v>
      </c>
      <c r="J93" s="23">
        <f>ROUND(76*1,0)&amp;"%"</f>
      </c>
    </row>
    <row x14ac:dyDescent="0.25" r="94" customHeight="1" ht="17.25">
      <c r="A94" s="17" t="s">
        <v>7155</v>
      </c>
      <c r="B94" s="17" t="s">
        <v>178</v>
      </c>
      <c r="C94" s="17" t="s">
        <v>15</v>
      </c>
      <c r="D94" s="17" t="s">
        <v>39</v>
      </c>
      <c r="E94" s="18">
        <f>ROUND(5390*1.05,2)</f>
      </c>
      <c r="F94" s="17" t="s">
        <v>40</v>
      </c>
      <c r="G94" s="17" t="s">
        <v>24</v>
      </c>
      <c r="H94" s="26">
        <f>ROUND(RAND()*4+6,1)</f>
      </c>
      <c r="I94" s="17" t="s">
        <v>41</v>
      </c>
      <c r="J94" s="19">
        <f>ROUND(93*1,0)&amp;"%"</f>
      </c>
    </row>
    <row x14ac:dyDescent="0.25" r="95" customHeight="1" ht="17.25">
      <c r="A95" s="20" t="s">
        <v>7156</v>
      </c>
      <c r="B95" s="20" t="s">
        <v>180</v>
      </c>
      <c r="C95" s="20" t="s">
        <v>15</v>
      </c>
      <c r="D95" s="20" t="s">
        <v>67</v>
      </c>
      <c r="E95" s="21">
        <f>ROUND(10646*1.05,2)</f>
      </c>
      <c r="F95" s="20" t="s">
        <v>44</v>
      </c>
      <c r="G95" s="20" t="s">
        <v>30</v>
      </c>
      <c r="H95" s="21">
        <f>ROUND(RAND()*4+6,1)</f>
      </c>
      <c r="I95" s="20" t="s">
        <v>45</v>
      </c>
      <c r="J95" s="23">
        <f>ROUND(75*1,0)&amp;"%"</f>
      </c>
    </row>
    <row x14ac:dyDescent="0.25" r="96" customHeight="1" ht="17.25">
      <c r="A96" s="17" t="s">
        <v>7157</v>
      </c>
      <c r="B96" s="17" t="s">
        <v>182</v>
      </c>
      <c r="C96" s="17" t="s">
        <v>15</v>
      </c>
      <c r="D96" s="17" t="s">
        <v>16</v>
      </c>
      <c r="E96" s="18">
        <f>ROUND(17758*1.05,2)</f>
      </c>
      <c r="F96" s="17" t="s">
        <v>48</v>
      </c>
      <c r="G96" s="17" t="s">
        <v>18</v>
      </c>
      <c r="H96" s="18">
        <f>ROUND(RAND()*4+6,1)</f>
      </c>
      <c r="I96" s="17" t="s">
        <v>19</v>
      </c>
      <c r="J96" s="19">
        <f>ROUND(76*1,0)&amp;"%"</f>
      </c>
    </row>
    <row x14ac:dyDescent="0.25" r="97" customHeight="1" ht="17.25">
      <c r="A97" s="20" t="s">
        <v>7158</v>
      </c>
      <c r="B97" s="20" t="s">
        <v>184</v>
      </c>
      <c r="C97" s="20" t="s">
        <v>15</v>
      </c>
      <c r="D97" s="20" t="s">
        <v>22</v>
      </c>
      <c r="E97" s="21">
        <f>ROUND(4476*1.05,2)</f>
      </c>
      <c r="F97" s="20" t="s">
        <v>51</v>
      </c>
      <c r="G97" s="20" t="s">
        <v>24</v>
      </c>
      <c r="H97" s="21">
        <f>ROUND(RAND()*4+6,1)</f>
      </c>
      <c r="I97" s="20" t="s">
        <v>25</v>
      </c>
      <c r="J97" s="23">
        <f>ROUND(83*1,0)&amp;"%"</f>
      </c>
    </row>
    <row x14ac:dyDescent="0.25" r="98" customHeight="1" ht="17.25">
      <c r="A98" s="24" t="s">
        <v>185</v>
      </c>
      <c r="B98" s="24"/>
      <c r="C98" s="24"/>
      <c r="D98" s="24"/>
      <c r="E98" s="25">
        <v>8</v>
      </c>
      <c r="F98" s="9"/>
      <c r="G98" s="9"/>
      <c r="H98" s="10"/>
      <c r="I98" s="9"/>
      <c r="J98" s="9"/>
    </row>
    <row x14ac:dyDescent="0.25" r="99" customHeight="1" ht="17.25">
      <c r="A99" s="7"/>
      <c r="B99" s="7"/>
      <c r="C99" s="7"/>
      <c r="D99" s="7"/>
      <c r="E99" s="8"/>
      <c r="F99" s="9"/>
      <c r="G99" s="9"/>
      <c r="H99" s="10"/>
      <c r="I99" s="9"/>
      <c r="J99" s="9"/>
    </row>
    <row x14ac:dyDescent="0.25" r="100" customHeight="1" ht="17.25">
      <c r="A100" s="11" t="s">
        <v>7159</v>
      </c>
      <c r="B100" s="11"/>
      <c r="C100" s="11"/>
      <c r="D100" s="11"/>
      <c r="E100" s="12"/>
      <c r="F100" s="11"/>
      <c r="G100" s="11"/>
      <c r="H100" s="13"/>
      <c r="I100" s="11"/>
      <c r="J100" s="11"/>
    </row>
    <row x14ac:dyDescent="0.25" r="101" customHeight="1" ht="17.25">
      <c r="A101" s="14" t="s">
        <v>3</v>
      </c>
      <c r="B101" s="14" t="s">
        <v>4</v>
      </c>
      <c r="C101" s="14" t="s">
        <v>5</v>
      </c>
      <c r="D101" s="14" t="s">
        <v>6</v>
      </c>
      <c r="E101" s="15" t="s">
        <v>7</v>
      </c>
      <c r="F101" s="14" t="s">
        <v>8</v>
      </c>
      <c r="G101" s="14" t="s">
        <v>9</v>
      </c>
      <c r="H101" s="16" t="s">
        <v>10</v>
      </c>
      <c r="I101" s="14" t="s">
        <v>11</v>
      </c>
      <c r="J101" s="14" t="s">
        <v>12</v>
      </c>
    </row>
    <row x14ac:dyDescent="0.25" r="102" customHeight="1" ht="17.25">
      <c r="A102" s="17" t="s">
        <v>7160</v>
      </c>
      <c r="B102" s="17" t="s">
        <v>188</v>
      </c>
      <c r="C102" s="17" t="s">
        <v>56</v>
      </c>
      <c r="D102" s="17" t="s">
        <v>16</v>
      </c>
      <c r="E102" s="18">
        <f>ROUND(7387*1.05,2)</f>
      </c>
      <c r="F102" s="17" t="s">
        <v>17</v>
      </c>
      <c r="G102" s="17" t="s">
        <v>18</v>
      </c>
      <c r="H102" s="18">
        <f>ROUND(RAND()*4+6,1)</f>
      </c>
      <c r="I102" s="17" t="s">
        <v>19</v>
      </c>
      <c r="J102" s="19">
        <f>ROUND(73*1,0)&amp;"%"</f>
      </c>
    </row>
    <row x14ac:dyDescent="0.25" r="103" customHeight="1" ht="17.25">
      <c r="A103" s="20" t="s">
        <v>7161</v>
      </c>
      <c r="B103" s="20" t="s">
        <v>190</v>
      </c>
      <c r="C103" s="20" t="s">
        <v>56</v>
      </c>
      <c r="D103" s="20" t="s">
        <v>22</v>
      </c>
      <c r="E103" s="21">
        <f>ROUND(7538*1.05,2)</f>
      </c>
      <c r="F103" s="20" t="s">
        <v>23</v>
      </c>
      <c r="G103" s="20" t="s">
        <v>24</v>
      </c>
      <c r="H103" s="21">
        <f>ROUND(RAND()*4+6,1)</f>
      </c>
      <c r="I103" s="20" t="s">
        <v>25</v>
      </c>
      <c r="J103" s="23">
        <f>ROUND(88*1,0)&amp;"%"</f>
      </c>
    </row>
    <row x14ac:dyDescent="0.25" r="104" customHeight="1" ht="17.25">
      <c r="A104" s="17" t="s">
        <v>7162</v>
      </c>
      <c r="B104" s="17" t="s">
        <v>192</v>
      </c>
      <c r="C104" s="17" t="s">
        <v>56</v>
      </c>
      <c r="D104" s="17" t="s">
        <v>28</v>
      </c>
      <c r="E104" s="18">
        <f>ROUND(8917*1.05,2)</f>
      </c>
      <c r="F104" s="17" t="s">
        <v>29</v>
      </c>
      <c r="G104" s="17" t="s">
        <v>30</v>
      </c>
      <c r="H104" s="18">
        <f>ROUND(RAND()*4+6,1)</f>
      </c>
      <c r="I104" s="17" t="s">
        <v>31</v>
      </c>
      <c r="J104" s="19">
        <f>ROUND(73*1,0)&amp;"%"</f>
      </c>
    </row>
    <row x14ac:dyDescent="0.25" r="105" customHeight="1" ht="17.25">
      <c r="A105" s="20" t="s">
        <v>7163</v>
      </c>
      <c r="B105" s="20" t="s">
        <v>194</v>
      </c>
      <c r="C105" s="20" t="s">
        <v>56</v>
      </c>
      <c r="D105" s="20" t="s">
        <v>34</v>
      </c>
      <c r="E105" s="21">
        <f>ROUND(15045*1.05,2)</f>
      </c>
      <c r="F105" s="20" t="s">
        <v>35</v>
      </c>
      <c r="G105" s="20" t="s">
        <v>18</v>
      </c>
      <c r="H105" s="21">
        <f>ROUND(RAND()*4+6,1)</f>
      </c>
      <c r="I105" s="20" t="s">
        <v>36</v>
      </c>
      <c r="J105" s="23">
        <f>ROUND(98*1,0)&amp;"%"</f>
      </c>
    </row>
    <row x14ac:dyDescent="0.25" r="106" customHeight="1" ht="17.25">
      <c r="A106" s="17" t="s">
        <v>7164</v>
      </c>
      <c r="B106" s="17" t="s">
        <v>196</v>
      </c>
      <c r="C106" s="17" t="s">
        <v>56</v>
      </c>
      <c r="D106" s="17" t="s">
        <v>39</v>
      </c>
      <c r="E106" s="18">
        <f>ROUND(7077*1.05,2)</f>
      </c>
      <c r="F106" s="17" t="s">
        <v>40</v>
      </c>
      <c r="G106" s="17" t="s">
        <v>24</v>
      </c>
      <c r="H106" s="18">
        <f>ROUND(RAND()*4+6,1)</f>
      </c>
      <c r="I106" s="17" t="s">
        <v>41</v>
      </c>
      <c r="J106" s="19">
        <f>ROUND(90*1,0)&amp;"%"</f>
      </c>
    </row>
    <row x14ac:dyDescent="0.25" r="107" customHeight="1" ht="17.25">
      <c r="A107" s="20" t="s">
        <v>7165</v>
      </c>
      <c r="B107" s="20" t="s">
        <v>198</v>
      </c>
      <c r="C107" s="20" t="s">
        <v>56</v>
      </c>
      <c r="D107" s="20" t="s">
        <v>67</v>
      </c>
      <c r="E107" s="21">
        <f>ROUND(7692*1.05,2)</f>
      </c>
      <c r="F107" s="20" t="s">
        <v>44</v>
      </c>
      <c r="G107" s="20" t="s">
        <v>30</v>
      </c>
      <c r="H107" s="21">
        <f>ROUND(RAND()*4+6,1)</f>
      </c>
      <c r="I107" s="20" t="s">
        <v>45</v>
      </c>
      <c r="J107" s="23">
        <f>ROUND(80*1,0)&amp;"%"</f>
      </c>
    </row>
    <row x14ac:dyDescent="0.25" r="108" customHeight="1" ht="17.25">
      <c r="A108" s="17" t="s">
        <v>7166</v>
      </c>
      <c r="B108" s="17" t="s">
        <v>200</v>
      </c>
      <c r="C108" s="17" t="s">
        <v>56</v>
      </c>
      <c r="D108" s="17" t="s">
        <v>16</v>
      </c>
      <c r="E108" s="18">
        <f>ROUND(8707*1.05,2)</f>
      </c>
      <c r="F108" s="17" t="s">
        <v>48</v>
      </c>
      <c r="G108" s="17" t="s">
        <v>18</v>
      </c>
      <c r="H108" s="26">
        <f>ROUND(RAND()*4+6,1)</f>
      </c>
      <c r="I108" s="17" t="s">
        <v>19</v>
      </c>
      <c r="J108" s="19">
        <f>ROUND(92*1,0)&amp;"%"</f>
      </c>
    </row>
    <row x14ac:dyDescent="0.25" r="109" customHeight="1" ht="17.25">
      <c r="A109" s="20" t="s">
        <v>7167</v>
      </c>
      <c r="B109" s="20" t="s">
        <v>202</v>
      </c>
      <c r="C109" s="20" t="s">
        <v>56</v>
      </c>
      <c r="D109" s="20" t="s">
        <v>22</v>
      </c>
      <c r="E109" s="21">
        <f>ROUND(4085*1.05,2)</f>
      </c>
      <c r="F109" s="20" t="s">
        <v>51</v>
      </c>
      <c r="G109" s="20" t="s">
        <v>24</v>
      </c>
      <c r="H109" s="21">
        <f>ROUND(RAND()*4+6,1)</f>
      </c>
      <c r="I109" s="20" t="s">
        <v>25</v>
      </c>
      <c r="J109" s="23">
        <f>ROUND(100*1,0)&amp;"%"</f>
      </c>
    </row>
    <row x14ac:dyDescent="0.25" r="110" customHeight="1" ht="17.25">
      <c r="A110" s="24" t="s">
        <v>203</v>
      </c>
      <c r="B110" s="24"/>
      <c r="C110" s="24"/>
      <c r="D110" s="24"/>
      <c r="E110" s="25">
        <v>8</v>
      </c>
      <c r="F110" s="9"/>
      <c r="G110" s="9"/>
      <c r="H110" s="10"/>
      <c r="I110" s="9"/>
      <c r="J110" s="9"/>
    </row>
    <row x14ac:dyDescent="0.25" r="111" customHeight="1" ht="17.25">
      <c r="A111" s="7"/>
      <c r="B111" s="7"/>
      <c r="C111" s="7"/>
      <c r="D111" s="7"/>
      <c r="E111" s="8"/>
      <c r="F111" s="9"/>
      <c r="G111" s="9"/>
      <c r="H111" s="10"/>
      <c r="I111" s="9"/>
      <c r="J111" s="9"/>
    </row>
    <row x14ac:dyDescent="0.25" r="112" customHeight="1" ht="17.25">
      <c r="A112" s="11" t="s">
        <v>7168</v>
      </c>
      <c r="B112" s="11"/>
      <c r="C112" s="11"/>
      <c r="D112" s="11"/>
      <c r="E112" s="12"/>
      <c r="F112" s="11"/>
      <c r="G112" s="11"/>
      <c r="H112" s="13"/>
      <c r="I112" s="11"/>
      <c r="J112" s="11"/>
    </row>
    <row x14ac:dyDescent="0.25" r="113" customHeight="1" ht="17.25">
      <c r="A113" s="14" t="s">
        <v>3</v>
      </c>
      <c r="B113" s="14" t="s">
        <v>4</v>
      </c>
      <c r="C113" s="14" t="s">
        <v>5</v>
      </c>
      <c r="D113" s="14" t="s">
        <v>6</v>
      </c>
      <c r="E113" s="15" t="s">
        <v>7</v>
      </c>
      <c r="F113" s="14" t="s">
        <v>8</v>
      </c>
      <c r="G113" s="14" t="s">
        <v>9</v>
      </c>
      <c r="H113" s="16" t="s">
        <v>10</v>
      </c>
      <c r="I113" s="14" t="s">
        <v>11</v>
      </c>
      <c r="J113" s="14" t="s">
        <v>12</v>
      </c>
    </row>
    <row x14ac:dyDescent="0.25" r="114" customHeight="1" ht="17.25">
      <c r="A114" s="17" t="s">
        <v>7169</v>
      </c>
      <c r="B114" s="17" t="s">
        <v>206</v>
      </c>
      <c r="C114" s="17" t="s">
        <v>76</v>
      </c>
      <c r="D114" s="17" t="s">
        <v>16</v>
      </c>
      <c r="E114" s="18">
        <f>ROUND(16724*1.05,2)</f>
      </c>
      <c r="F114" s="17" t="s">
        <v>17</v>
      </c>
      <c r="G114" s="17" t="s">
        <v>18</v>
      </c>
      <c r="H114" s="18">
        <f>ROUND(RAND()*4+6,1)</f>
      </c>
      <c r="I114" s="17" t="s">
        <v>19</v>
      </c>
      <c r="J114" s="19">
        <f>ROUND(90*1,0)&amp;"%"</f>
      </c>
    </row>
    <row x14ac:dyDescent="0.25" r="115" customHeight="1" ht="17.25">
      <c r="A115" s="20" t="s">
        <v>7170</v>
      </c>
      <c r="B115" s="20" t="s">
        <v>208</v>
      </c>
      <c r="C115" s="20" t="s">
        <v>76</v>
      </c>
      <c r="D115" s="20" t="s">
        <v>22</v>
      </c>
      <c r="E115" s="21">
        <f>ROUND(4744*1.05,2)</f>
      </c>
      <c r="F115" s="20" t="s">
        <v>23</v>
      </c>
      <c r="G115" s="20" t="s">
        <v>24</v>
      </c>
      <c r="H115" s="22">
        <f>ROUND(RAND()*4+6,1)</f>
      </c>
      <c r="I115" s="20" t="s">
        <v>25</v>
      </c>
      <c r="J115" s="23">
        <f>ROUND(81*1,0)&amp;"%"</f>
      </c>
    </row>
    <row x14ac:dyDescent="0.25" r="116" customHeight="1" ht="17.25">
      <c r="A116" s="17" t="s">
        <v>7171</v>
      </c>
      <c r="B116" s="17" t="s">
        <v>210</v>
      </c>
      <c r="C116" s="17" t="s">
        <v>76</v>
      </c>
      <c r="D116" s="17" t="s">
        <v>28</v>
      </c>
      <c r="E116" s="18">
        <f>ROUND(12926*1.05,2)</f>
      </c>
      <c r="F116" s="17" t="s">
        <v>29</v>
      </c>
      <c r="G116" s="17" t="s">
        <v>30</v>
      </c>
      <c r="H116" s="18">
        <f>ROUND(RAND()*4+6,1)</f>
      </c>
      <c r="I116" s="17" t="s">
        <v>31</v>
      </c>
      <c r="J116" s="19">
        <f>ROUND(62*1,0)&amp;"%"</f>
      </c>
    </row>
    <row x14ac:dyDescent="0.25" r="117" customHeight="1" ht="17.25">
      <c r="A117" s="20" t="s">
        <v>7172</v>
      </c>
      <c r="B117" s="20" t="s">
        <v>212</v>
      </c>
      <c r="C117" s="20" t="s">
        <v>76</v>
      </c>
      <c r="D117" s="20" t="s">
        <v>34</v>
      </c>
      <c r="E117" s="21">
        <f>ROUND(5883*1.05,2)</f>
      </c>
      <c r="F117" s="20" t="s">
        <v>35</v>
      </c>
      <c r="G117" s="20" t="s">
        <v>18</v>
      </c>
      <c r="H117" s="21">
        <f>ROUND(RAND()*4+6,1)</f>
      </c>
      <c r="I117" s="20" t="s">
        <v>36</v>
      </c>
      <c r="J117" s="23">
        <f>ROUND(70*1,0)&amp;"%"</f>
      </c>
    </row>
    <row x14ac:dyDescent="0.25" r="118" customHeight="1" ht="17.25">
      <c r="A118" s="17" t="s">
        <v>7173</v>
      </c>
      <c r="B118" s="17" t="s">
        <v>214</v>
      </c>
      <c r="C118" s="17" t="s">
        <v>76</v>
      </c>
      <c r="D118" s="17" t="s">
        <v>39</v>
      </c>
      <c r="E118" s="18">
        <f>ROUND(16093*1.05,2)</f>
      </c>
      <c r="F118" s="17" t="s">
        <v>40</v>
      </c>
      <c r="G118" s="17" t="s">
        <v>24</v>
      </c>
      <c r="H118" s="18">
        <f>ROUND(RAND()*4+6,1)</f>
      </c>
      <c r="I118" s="17" t="s">
        <v>41</v>
      </c>
      <c r="J118" s="19">
        <f>ROUND(76*1,0)&amp;"%"</f>
      </c>
    </row>
    <row x14ac:dyDescent="0.25" r="119" customHeight="1" ht="17.25">
      <c r="A119" s="20" t="s">
        <v>7174</v>
      </c>
      <c r="B119" s="20" t="s">
        <v>216</v>
      </c>
      <c r="C119" s="20" t="s">
        <v>76</v>
      </c>
      <c r="D119" s="20" t="s">
        <v>67</v>
      </c>
      <c r="E119" s="21">
        <f>ROUND(9713*1.05,2)</f>
      </c>
      <c r="F119" s="20" t="s">
        <v>44</v>
      </c>
      <c r="G119" s="20" t="s">
        <v>30</v>
      </c>
      <c r="H119" s="21">
        <f>ROUND(RAND()*4+6,1)</f>
      </c>
      <c r="I119" s="20" t="s">
        <v>45</v>
      </c>
      <c r="J119" s="23">
        <f>ROUND(74*1,0)&amp;"%"</f>
      </c>
    </row>
    <row x14ac:dyDescent="0.25" r="120" customHeight="1" ht="17.25">
      <c r="A120" s="17" t="s">
        <v>7175</v>
      </c>
      <c r="B120" s="17" t="s">
        <v>218</v>
      </c>
      <c r="C120" s="17" t="s">
        <v>76</v>
      </c>
      <c r="D120" s="17" t="s">
        <v>16</v>
      </c>
      <c r="E120" s="18">
        <f>ROUND(12675*1.05,2)</f>
      </c>
      <c r="F120" s="17" t="s">
        <v>48</v>
      </c>
      <c r="G120" s="17" t="s">
        <v>18</v>
      </c>
      <c r="H120" s="18">
        <f>ROUND(RAND()*4+6,1)</f>
      </c>
      <c r="I120" s="17" t="s">
        <v>19</v>
      </c>
      <c r="J120" s="19">
        <f>ROUND(73*1,0)&amp;"%"</f>
      </c>
    </row>
    <row x14ac:dyDescent="0.25" r="121" customHeight="1" ht="17.25">
      <c r="A121" s="20" t="s">
        <v>7176</v>
      </c>
      <c r="B121" s="20" t="s">
        <v>220</v>
      </c>
      <c r="C121" s="20" t="s">
        <v>76</v>
      </c>
      <c r="D121" s="20" t="s">
        <v>22</v>
      </c>
      <c r="E121" s="21">
        <f>ROUND(11142*1.05,2)</f>
      </c>
      <c r="F121" s="20" t="s">
        <v>51</v>
      </c>
      <c r="G121" s="20" t="s">
        <v>24</v>
      </c>
      <c r="H121" s="22">
        <f>ROUND(RAND()*4+6,1)</f>
      </c>
      <c r="I121" s="20" t="s">
        <v>25</v>
      </c>
      <c r="J121" s="23">
        <f>ROUND(82*1,0)&amp;"%"</f>
      </c>
    </row>
    <row x14ac:dyDescent="0.25" r="122" customHeight="1" ht="17.25">
      <c r="A122" s="24" t="s">
        <v>221</v>
      </c>
      <c r="B122" s="24"/>
      <c r="C122" s="24"/>
      <c r="D122" s="24"/>
      <c r="E122" s="25">
        <v>8</v>
      </c>
      <c r="F122" s="9"/>
      <c r="G122" s="9"/>
      <c r="H122" s="10"/>
      <c r="I122" s="9"/>
      <c r="J122" s="9"/>
    </row>
    <row x14ac:dyDescent="0.25" r="123" customHeight="1" ht="17.25">
      <c r="A123" s="7"/>
      <c r="B123" s="7"/>
      <c r="C123" s="7"/>
      <c r="D123" s="7"/>
      <c r="E123" s="8"/>
      <c r="F123" s="9"/>
      <c r="G123" s="9"/>
      <c r="H123" s="10"/>
      <c r="I123" s="9"/>
      <c r="J123" s="9"/>
    </row>
    <row x14ac:dyDescent="0.25" r="124" customHeight="1" ht="17.25">
      <c r="A124" s="11" t="s">
        <v>7177</v>
      </c>
      <c r="B124" s="11"/>
      <c r="C124" s="11"/>
      <c r="D124" s="11"/>
      <c r="E124" s="12"/>
      <c r="F124" s="11"/>
      <c r="G124" s="11"/>
      <c r="H124" s="13"/>
      <c r="I124" s="11"/>
      <c r="J124" s="11"/>
    </row>
    <row x14ac:dyDescent="0.25" r="125" customHeight="1" ht="17.25">
      <c r="A125" s="14" t="s">
        <v>3</v>
      </c>
      <c r="B125" s="14" t="s">
        <v>4</v>
      </c>
      <c r="C125" s="14" t="s">
        <v>5</v>
      </c>
      <c r="D125" s="14" t="s">
        <v>6</v>
      </c>
      <c r="E125" s="15" t="s">
        <v>7</v>
      </c>
      <c r="F125" s="14" t="s">
        <v>8</v>
      </c>
      <c r="G125" s="14" t="s">
        <v>9</v>
      </c>
      <c r="H125" s="16" t="s">
        <v>10</v>
      </c>
      <c r="I125" s="14" t="s">
        <v>11</v>
      </c>
      <c r="J125" s="14" t="s">
        <v>12</v>
      </c>
    </row>
    <row x14ac:dyDescent="0.25" r="126" customHeight="1" ht="17.25">
      <c r="A126" s="17" t="s">
        <v>7178</v>
      </c>
      <c r="B126" s="17" t="s">
        <v>224</v>
      </c>
      <c r="C126" s="17" t="s">
        <v>95</v>
      </c>
      <c r="D126" s="17" t="s">
        <v>16</v>
      </c>
      <c r="E126" s="18">
        <f>ROUND(10537*1.05,2)</f>
      </c>
      <c r="F126" s="17" t="s">
        <v>17</v>
      </c>
      <c r="G126" s="17" t="s">
        <v>18</v>
      </c>
      <c r="H126" s="18">
        <f>ROUND(RAND()*4+6,1)</f>
      </c>
      <c r="I126" s="17" t="s">
        <v>19</v>
      </c>
      <c r="J126" s="19">
        <f>ROUND(70*1,0)&amp;"%"</f>
      </c>
    </row>
    <row x14ac:dyDescent="0.25" r="127" customHeight="1" ht="17.25">
      <c r="A127" s="20" t="s">
        <v>7179</v>
      </c>
      <c r="B127" s="20" t="s">
        <v>226</v>
      </c>
      <c r="C127" s="20" t="s">
        <v>95</v>
      </c>
      <c r="D127" s="20" t="s">
        <v>22</v>
      </c>
      <c r="E127" s="21">
        <f>ROUND(5628*1.05,2)</f>
      </c>
      <c r="F127" s="20" t="s">
        <v>23</v>
      </c>
      <c r="G127" s="20" t="s">
        <v>24</v>
      </c>
      <c r="H127" s="21">
        <f>ROUND(RAND()*4+6,1)</f>
      </c>
      <c r="I127" s="20" t="s">
        <v>25</v>
      </c>
      <c r="J127" s="23">
        <f>ROUND(73*1,0)&amp;"%"</f>
      </c>
    </row>
    <row x14ac:dyDescent="0.25" r="128" customHeight="1" ht="17.25">
      <c r="A128" s="17" t="s">
        <v>7180</v>
      </c>
      <c r="B128" s="17" t="s">
        <v>228</v>
      </c>
      <c r="C128" s="17" t="s">
        <v>95</v>
      </c>
      <c r="D128" s="17" t="s">
        <v>28</v>
      </c>
      <c r="E128" s="18">
        <f>ROUND(4134*1.05,2)</f>
      </c>
      <c r="F128" s="17" t="s">
        <v>29</v>
      </c>
      <c r="G128" s="17" t="s">
        <v>30</v>
      </c>
      <c r="H128" s="18">
        <f>ROUND(RAND()*4+6,1)</f>
      </c>
      <c r="I128" s="17" t="s">
        <v>31</v>
      </c>
      <c r="J128" s="19">
        <f>ROUND(96*1,0)&amp;"%"</f>
      </c>
    </row>
    <row x14ac:dyDescent="0.25" r="129" customHeight="1" ht="17.25">
      <c r="A129" s="20" t="s">
        <v>7181</v>
      </c>
      <c r="B129" s="20" t="s">
        <v>230</v>
      </c>
      <c r="C129" s="20" t="s">
        <v>95</v>
      </c>
      <c r="D129" s="20" t="s">
        <v>34</v>
      </c>
      <c r="E129" s="21">
        <f>ROUND(9594*1.05,2)</f>
      </c>
      <c r="F129" s="20" t="s">
        <v>35</v>
      </c>
      <c r="G129" s="20" t="s">
        <v>18</v>
      </c>
      <c r="H129" s="21">
        <f>ROUND(RAND()*4+6,1)</f>
      </c>
      <c r="I129" s="20" t="s">
        <v>36</v>
      </c>
      <c r="J129" s="23">
        <f>ROUND(62*1,0)&amp;"%"</f>
      </c>
    </row>
    <row x14ac:dyDescent="0.25" r="130" customHeight="1" ht="17.25">
      <c r="A130" s="17" t="s">
        <v>7182</v>
      </c>
      <c r="B130" s="17" t="s">
        <v>232</v>
      </c>
      <c r="C130" s="17" t="s">
        <v>95</v>
      </c>
      <c r="D130" s="17" t="s">
        <v>39</v>
      </c>
      <c r="E130" s="18">
        <f>ROUND(10007*1.05,2)</f>
      </c>
      <c r="F130" s="17" t="s">
        <v>40</v>
      </c>
      <c r="G130" s="17" t="s">
        <v>24</v>
      </c>
      <c r="H130" s="18">
        <f>ROUND(RAND()*4+6,1)</f>
      </c>
      <c r="I130" s="17" t="s">
        <v>41</v>
      </c>
      <c r="J130" s="19">
        <f>ROUND(84*1,0)&amp;"%"</f>
      </c>
    </row>
    <row x14ac:dyDescent="0.25" r="131" customHeight="1" ht="17.25">
      <c r="A131" s="20" t="s">
        <v>7183</v>
      </c>
      <c r="B131" s="20" t="s">
        <v>234</v>
      </c>
      <c r="C131" s="20" t="s">
        <v>95</v>
      </c>
      <c r="D131" s="20" t="s">
        <v>67</v>
      </c>
      <c r="E131" s="21">
        <f>ROUND(7722*1.05,2)</f>
      </c>
      <c r="F131" s="20" t="s">
        <v>44</v>
      </c>
      <c r="G131" s="20" t="s">
        <v>30</v>
      </c>
      <c r="H131" s="21">
        <f>ROUND(RAND()*4+6,1)</f>
      </c>
      <c r="I131" s="20" t="s">
        <v>45</v>
      </c>
      <c r="J131" s="23">
        <f>ROUND(88*1,0)&amp;"%"</f>
      </c>
    </row>
    <row x14ac:dyDescent="0.25" r="132" customHeight="1" ht="17.25">
      <c r="A132" s="17" t="s">
        <v>7184</v>
      </c>
      <c r="B132" s="17" t="s">
        <v>236</v>
      </c>
      <c r="C132" s="17" t="s">
        <v>95</v>
      </c>
      <c r="D132" s="17" t="s">
        <v>16</v>
      </c>
      <c r="E132" s="18">
        <f>ROUND(13705*1.05,2)</f>
      </c>
      <c r="F132" s="17" t="s">
        <v>48</v>
      </c>
      <c r="G132" s="17" t="s">
        <v>18</v>
      </c>
      <c r="H132" s="18">
        <f>ROUND(RAND()*4+6,1)</f>
      </c>
      <c r="I132" s="17" t="s">
        <v>19</v>
      </c>
      <c r="J132" s="19">
        <f>ROUND(79*1,0)&amp;"%"</f>
      </c>
    </row>
    <row x14ac:dyDescent="0.25" r="133" customHeight="1" ht="17.25">
      <c r="A133" s="20" t="s">
        <v>7185</v>
      </c>
      <c r="B133" s="20" t="s">
        <v>238</v>
      </c>
      <c r="C133" s="20" t="s">
        <v>95</v>
      </c>
      <c r="D133" s="20" t="s">
        <v>22</v>
      </c>
      <c r="E133" s="21">
        <f>ROUND(16154*1.05,2)</f>
      </c>
      <c r="F133" s="20" t="s">
        <v>51</v>
      </c>
      <c r="G133" s="20" t="s">
        <v>24</v>
      </c>
      <c r="H133" s="21">
        <f>ROUND(RAND()*4+6,1)</f>
      </c>
      <c r="I133" s="20" t="s">
        <v>25</v>
      </c>
      <c r="J133" s="23">
        <f>ROUND(77*1,0)&amp;"%"</f>
      </c>
    </row>
    <row x14ac:dyDescent="0.25" r="134" customHeight="1" ht="17.25">
      <c r="A134" s="24" t="s">
        <v>239</v>
      </c>
      <c r="B134" s="24"/>
      <c r="C134" s="24"/>
      <c r="D134" s="24"/>
      <c r="E134" s="25">
        <v>8</v>
      </c>
      <c r="F134" s="9"/>
      <c r="G134" s="9"/>
      <c r="H134" s="10"/>
      <c r="I134" s="9"/>
      <c r="J134" s="9"/>
    </row>
    <row x14ac:dyDescent="0.25" r="135" customHeight="1" ht="17.25">
      <c r="A135" s="7"/>
      <c r="B135" s="7"/>
      <c r="C135" s="7"/>
      <c r="D135" s="7"/>
      <c r="E135" s="8"/>
      <c r="F135" s="9"/>
      <c r="G135" s="9"/>
      <c r="H135" s="10"/>
      <c r="I135" s="9"/>
      <c r="J135" s="9"/>
    </row>
    <row x14ac:dyDescent="0.25" r="136" customHeight="1" ht="17.25">
      <c r="A136" s="11" t="s">
        <v>7186</v>
      </c>
      <c r="B136" s="11"/>
      <c r="C136" s="11"/>
      <c r="D136" s="11"/>
      <c r="E136" s="12"/>
      <c r="F136" s="11"/>
      <c r="G136" s="11"/>
      <c r="H136" s="13"/>
      <c r="I136" s="11"/>
      <c r="J136" s="11"/>
    </row>
    <row x14ac:dyDescent="0.25" r="137" customHeight="1" ht="17.25">
      <c r="A137" s="14" t="s">
        <v>3</v>
      </c>
      <c r="B137" s="14" t="s">
        <v>4</v>
      </c>
      <c r="C137" s="14" t="s">
        <v>5</v>
      </c>
      <c r="D137" s="14" t="s">
        <v>6</v>
      </c>
      <c r="E137" s="15" t="s">
        <v>7</v>
      </c>
      <c r="F137" s="14" t="s">
        <v>8</v>
      </c>
      <c r="G137" s="14" t="s">
        <v>9</v>
      </c>
      <c r="H137" s="16" t="s">
        <v>10</v>
      </c>
      <c r="I137" s="14" t="s">
        <v>11</v>
      </c>
      <c r="J137" s="14" t="s">
        <v>12</v>
      </c>
    </row>
    <row x14ac:dyDescent="0.25" r="138" customHeight="1" ht="17.25">
      <c r="A138" s="17" t="s">
        <v>7187</v>
      </c>
      <c r="B138" s="17" t="s">
        <v>242</v>
      </c>
      <c r="C138" s="17" t="s">
        <v>114</v>
      </c>
      <c r="D138" s="17" t="s">
        <v>16</v>
      </c>
      <c r="E138" s="18">
        <f>ROUND(16689*1.05,2)</f>
      </c>
      <c r="F138" s="17" t="s">
        <v>17</v>
      </c>
      <c r="G138" s="17" t="s">
        <v>18</v>
      </c>
      <c r="H138" s="18">
        <f>ROUND(RAND()*4+6,1)</f>
      </c>
      <c r="I138" s="17" t="s">
        <v>19</v>
      </c>
      <c r="J138" s="19">
        <f>ROUND(87*1,0)&amp;"%"</f>
      </c>
    </row>
    <row x14ac:dyDescent="0.25" r="139" customHeight="1" ht="17.25">
      <c r="A139" s="20" t="s">
        <v>7188</v>
      </c>
      <c r="B139" s="20" t="s">
        <v>244</v>
      </c>
      <c r="C139" s="20" t="s">
        <v>114</v>
      </c>
      <c r="D139" s="20" t="s">
        <v>22</v>
      </c>
      <c r="E139" s="21">
        <f>ROUND(5499*1.05,2)</f>
      </c>
      <c r="F139" s="20" t="s">
        <v>23</v>
      </c>
      <c r="G139" s="20" t="s">
        <v>24</v>
      </c>
      <c r="H139" s="21">
        <f>ROUND(RAND()*4+6,1)</f>
      </c>
      <c r="I139" s="20" t="s">
        <v>25</v>
      </c>
      <c r="J139" s="23">
        <f>ROUND(77*1,0)&amp;"%"</f>
      </c>
    </row>
    <row x14ac:dyDescent="0.25" r="140" customHeight="1" ht="17.25">
      <c r="A140" s="17" t="s">
        <v>7189</v>
      </c>
      <c r="B140" s="17" t="s">
        <v>246</v>
      </c>
      <c r="C140" s="17" t="s">
        <v>114</v>
      </c>
      <c r="D140" s="17" t="s">
        <v>28</v>
      </c>
      <c r="E140" s="18">
        <f>ROUND(10350*1.05,2)</f>
      </c>
      <c r="F140" s="17" t="s">
        <v>29</v>
      </c>
      <c r="G140" s="17" t="s">
        <v>30</v>
      </c>
      <c r="H140" s="18">
        <f>ROUND(RAND()*4+6,1)</f>
      </c>
      <c r="I140" s="17" t="s">
        <v>31</v>
      </c>
      <c r="J140" s="19">
        <f>ROUND(87*1,0)&amp;"%"</f>
      </c>
    </row>
    <row x14ac:dyDescent="0.25" r="141" customHeight="1" ht="17.25">
      <c r="A141" s="20" t="s">
        <v>7190</v>
      </c>
      <c r="B141" s="20" t="s">
        <v>248</v>
      </c>
      <c r="C141" s="20" t="s">
        <v>114</v>
      </c>
      <c r="D141" s="20" t="s">
        <v>34</v>
      </c>
      <c r="E141" s="21">
        <f>ROUND(15321*1.05,2)</f>
      </c>
      <c r="F141" s="20" t="s">
        <v>35</v>
      </c>
      <c r="G141" s="20" t="s">
        <v>18</v>
      </c>
      <c r="H141" s="21">
        <f>ROUND(RAND()*4+6,1)</f>
      </c>
      <c r="I141" s="20" t="s">
        <v>36</v>
      </c>
      <c r="J141" s="23">
        <f>ROUND(96*1,0)&amp;"%"</f>
      </c>
    </row>
    <row x14ac:dyDescent="0.25" r="142" customHeight="1" ht="17.25">
      <c r="A142" s="17" t="s">
        <v>7191</v>
      </c>
      <c r="B142" s="17" t="s">
        <v>250</v>
      </c>
      <c r="C142" s="17" t="s">
        <v>114</v>
      </c>
      <c r="D142" s="17" t="s">
        <v>39</v>
      </c>
      <c r="E142" s="18">
        <f>ROUND(15471*1.05,2)</f>
      </c>
      <c r="F142" s="17" t="s">
        <v>40</v>
      </c>
      <c r="G142" s="17" t="s">
        <v>24</v>
      </c>
      <c r="H142" s="18">
        <f>ROUND(RAND()*4+6,1)</f>
      </c>
      <c r="I142" s="17" t="s">
        <v>41</v>
      </c>
      <c r="J142" s="19">
        <f>ROUND(70*1,0)&amp;"%"</f>
      </c>
    </row>
    <row x14ac:dyDescent="0.25" r="143" customHeight="1" ht="17.25">
      <c r="A143" s="20" t="s">
        <v>7192</v>
      </c>
      <c r="B143" s="20" t="s">
        <v>252</v>
      </c>
      <c r="C143" s="20" t="s">
        <v>114</v>
      </c>
      <c r="D143" s="20" t="s">
        <v>67</v>
      </c>
      <c r="E143" s="21">
        <f>ROUND(12094*1.05,2)</f>
      </c>
      <c r="F143" s="20" t="s">
        <v>44</v>
      </c>
      <c r="G143" s="20" t="s">
        <v>30</v>
      </c>
      <c r="H143" s="22">
        <f>ROUND(RAND()*4+6,1)</f>
      </c>
      <c r="I143" s="20" t="s">
        <v>45</v>
      </c>
      <c r="J143" s="23">
        <f>ROUND(88*1,0)&amp;"%"</f>
      </c>
    </row>
    <row x14ac:dyDescent="0.25" r="144" customHeight="1" ht="17.25">
      <c r="A144" s="17" t="s">
        <v>7193</v>
      </c>
      <c r="B144" s="17" t="s">
        <v>254</v>
      </c>
      <c r="C144" s="17" t="s">
        <v>114</v>
      </c>
      <c r="D144" s="17" t="s">
        <v>16</v>
      </c>
      <c r="E144" s="18">
        <f>ROUND(12258*1.05,2)</f>
      </c>
      <c r="F144" s="17" t="s">
        <v>48</v>
      </c>
      <c r="G144" s="17" t="s">
        <v>18</v>
      </c>
      <c r="H144" s="18">
        <f>ROUND(RAND()*4+6,1)</f>
      </c>
      <c r="I144" s="17" t="s">
        <v>19</v>
      </c>
      <c r="J144" s="19">
        <f>ROUND(62*1,0)&amp;"%"</f>
      </c>
    </row>
    <row x14ac:dyDescent="0.25" r="145" customHeight="1" ht="17.25">
      <c r="A145" s="20" t="s">
        <v>7194</v>
      </c>
      <c r="B145" s="20" t="s">
        <v>256</v>
      </c>
      <c r="C145" s="20" t="s">
        <v>114</v>
      </c>
      <c r="D145" s="20" t="s">
        <v>22</v>
      </c>
      <c r="E145" s="21">
        <f>ROUND(7353*1.05,2)</f>
      </c>
      <c r="F145" s="20" t="s">
        <v>51</v>
      </c>
      <c r="G145" s="20" t="s">
        <v>24</v>
      </c>
      <c r="H145" s="21">
        <f>ROUND(RAND()*4+6,1)</f>
      </c>
      <c r="I145" s="20" t="s">
        <v>25</v>
      </c>
      <c r="J145" s="23">
        <f>ROUND(76*1,0)&amp;"%"</f>
      </c>
    </row>
    <row x14ac:dyDescent="0.25" r="146" customHeight="1" ht="17.25">
      <c r="A146" s="24" t="s">
        <v>257</v>
      </c>
      <c r="B146" s="24"/>
      <c r="C146" s="24"/>
      <c r="D146" s="24"/>
      <c r="E146" s="25">
        <v>8</v>
      </c>
      <c r="F146" s="9"/>
      <c r="G146" s="9"/>
      <c r="H146" s="10"/>
      <c r="I146" s="9"/>
      <c r="J146" s="9"/>
    </row>
    <row x14ac:dyDescent="0.25" r="147" customHeight="1" ht="17.25">
      <c r="A147" s="7"/>
      <c r="B147" s="7"/>
      <c r="C147" s="7"/>
      <c r="D147" s="7"/>
      <c r="E147" s="8"/>
      <c r="F147" s="9"/>
      <c r="G147" s="9"/>
      <c r="H147" s="10"/>
      <c r="I147" s="9"/>
      <c r="J147" s="9"/>
    </row>
    <row x14ac:dyDescent="0.25" r="148" customHeight="1" ht="17.25">
      <c r="A148" s="11" t="s">
        <v>7195</v>
      </c>
      <c r="B148" s="11"/>
      <c r="C148" s="11"/>
      <c r="D148" s="11"/>
      <c r="E148" s="12"/>
      <c r="F148" s="11"/>
      <c r="G148" s="11"/>
      <c r="H148" s="13"/>
      <c r="I148" s="11"/>
      <c r="J148" s="11"/>
    </row>
    <row x14ac:dyDescent="0.25" r="149" customHeight="1" ht="17.25">
      <c r="A149" s="14" t="s">
        <v>3</v>
      </c>
      <c r="B149" s="14" t="s">
        <v>4</v>
      </c>
      <c r="C149" s="14" t="s">
        <v>5</v>
      </c>
      <c r="D149" s="14" t="s">
        <v>6</v>
      </c>
      <c r="E149" s="15" t="s">
        <v>7</v>
      </c>
      <c r="F149" s="14" t="s">
        <v>8</v>
      </c>
      <c r="G149" s="14" t="s">
        <v>9</v>
      </c>
      <c r="H149" s="16" t="s">
        <v>10</v>
      </c>
      <c r="I149" s="14" t="s">
        <v>11</v>
      </c>
      <c r="J149" s="14" t="s">
        <v>12</v>
      </c>
    </row>
    <row x14ac:dyDescent="0.25" r="150" customHeight="1" ht="17.25">
      <c r="A150" s="17" t="s">
        <v>7196</v>
      </c>
      <c r="B150" s="17" t="s">
        <v>260</v>
      </c>
      <c r="C150" s="17" t="s">
        <v>133</v>
      </c>
      <c r="D150" s="17" t="s">
        <v>16</v>
      </c>
      <c r="E150" s="18">
        <f>ROUND(8636*1.05,2)</f>
      </c>
      <c r="F150" s="17" t="s">
        <v>17</v>
      </c>
      <c r="G150" s="17" t="s">
        <v>18</v>
      </c>
      <c r="H150" s="26">
        <f>ROUND(RAND()*4+6,1)</f>
      </c>
      <c r="I150" s="17" t="s">
        <v>19</v>
      </c>
      <c r="J150" s="19">
        <f>ROUND(65*1,0)&amp;"%"</f>
      </c>
    </row>
    <row x14ac:dyDescent="0.25" r="151" customHeight="1" ht="17.25">
      <c r="A151" s="20" t="s">
        <v>7197</v>
      </c>
      <c r="B151" s="20" t="s">
        <v>262</v>
      </c>
      <c r="C151" s="20" t="s">
        <v>133</v>
      </c>
      <c r="D151" s="20" t="s">
        <v>22</v>
      </c>
      <c r="E151" s="21">
        <f>ROUND(12984*1.05,2)</f>
      </c>
      <c r="F151" s="20" t="s">
        <v>23</v>
      </c>
      <c r="G151" s="20" t="s">
        <v>24</v>
      </c>
      <c r="H151" s="22">
        <f>ROUND(RAND()*4+6,1)</f>
      </c>
      <c r="I151" s="20" t="s">
        <v>25</v>
      </c>
      <c r="J151" s="23">
        <f>ROUND(71*1,0)&amp;"%"</f>
      </c>
    </row>
    <row x14ac:dyDescent="0.25" r="152" customHeight="1" ht="17.25">
      <c r="A152" s="17" t="s">
        <v>7198</v>
      </c>
      <c r="B152" s="17" t="s">
        <v>264</v>
      </c>
      <c r="C152" s="17" t="s">
        <v>133</v>
      </c>
      <c r="D152" s="17" t="s">
        <v>28</v>
      </c>
      <c r="E152" s="18">
        <f>ROUND(8983*1.05,2)</f>
      </c>
      <c r="F152" s="17" t="s">
        <v>29</v>
      </c>
      <c r="G152" s="17" t="s">
        <v>30</v>
      </c>
      <c r="H152" s="18">
        <f>ROUND(RAND()*4+6,1)</f>
      </c>
      <c r="I152" s="17" t="s">
        <v>31</v>
      </c>
      <c r="J152" s="19">
        <f>ROUND(83*1,0)&amp;"%"</f>
      </c>
    </row>
    <row x14ac:dyDescent="0.25" r="153" customHeight="1" ht="17.25">
      <c r="A153" s="20" t="s">
        <v>7199</v>
      </c>
      <c r="B153" s="20" t="s">
        <v>266</v>
      </c>
      <c r="C153" s="20" t="s">
        <v>133</v>
      </c>
      <c r="D153" s="20" t="s">
        <v>34</v>
      </c>
      <c r="E153" s="21">
        <f>ROUND(4270*1.05,2)</f>
      </c>
      <c r="F153" s="20" t="s">
        <v>35</v>
      </c>
      <c r="G153" s="20" t="s">
        <v>18</v>
      </c>
      <c r="H153" s="21">
        <f>ROUND(RAND()*4+6,1)</f>
      </c>
      <c r="I153" s="20" t="s">
        <v>36</v>
      </c>
      <c r="J153" s="23">
        <f>ROUND(97*1,0)&amp;"%"</f>
      </c>
    </row>
    <row x14ac:dyDescent="0.25" r="154" customHeight="1" ht="17.25">
      <c r="A154" s="17" t="s">
        <v>7200</v>
      </c>
      <c r="B154" s="17" t="s">
        <v>268</v>
      </c>
      <c r="C154" s="17" t="s">
        <v>133</v>
      </c>
      <c r="D154" s="17" t="s">
        <v>39</v>
      </c>
      <c r="E154" s="18">
        <f>ROUND(10097*1.05,2)</f>
      </c>
      <c r="F154" s="17" t="s">
        <v>40</v>
      </c>
      <c r="G154" s="17" t="s">
        <v>24</v>
      </c>
      <c r="H154" s="18">
        <f>ROUND(RAND()*4+6,1)</f>
      </c>
      <c r="I154" s="17" t="s">
        <v>41</v>
      </c>
      <c r="J154" s="19">
        <f>ROUND(77*1,0)&amp;"%"</f>
      </c>
    </row>
    <row x14ac:dyDescent="0.25" r="155" customHeight="1" ht="17.25">
      <c r="A155" s="20" t="s">
        <v>7201</v>
      </c>
      <c r="B155" s="20" t="s">
        <v>270</v>
      </c>
      <c r="C155" s="20" t="s">
        <v>133</v>
      </c>
      <c r="D155" s="20" t="s">
        <v>67</v>
      </c>
      <c r="E155" s="21">
        <f>ROUND(12332*1.05,2)</f>
      </c>
      <c r="F155" s="20" t="s">
        <v>44</v>
      </c>
      <c r="G155" s="20" t="s">
        <v>30</v>
      </c>
      <c r="H155" s="21">
        <f>ROUND(RAND()*4+6,1)</f>
      </c>
      <c r="I155" s="20" t="s">
        <v>45</v>
      </c>
      <c r="J155" s="23">
        <f>ROUND(91*1,0)&amp;"%"</f>
      </c>
    </row>
    <row x14ac:dyDescent="0.25" r="156" customHeight="1" ht="17.25">
      <c r="A156" s="17" t="s">
        <v>7202</v>
      </c>
      <c r="B156" s="17" t="s">
        <v>272</v>
      </c>
      <c r="C156" s="17" t="s">
        <v>133</v>
      </c>
      <c r="D156" s="17" t="s">
        <v>16</v>
      </c>
      <c r="E156" s="18">
        <f>ROUND(6422*1.05,2)</f>
      </c>
      <c r="F156" s="17" t="s">
        <v>48</v>
      </c>
      <c r="G156" s="17" t="s">
        <v>18</v>
      </c>
      <c r="H156" s="26">
        <f>ROUND(RAND()*4+6,1)</f>
      </c>
      <c r="I156" s="17" t="s">
        <v>19</v>
      </c>
      <c r="J156" s="19">
        <f>ROUND(86*1,0)&amp;"%"</f>
      </c>
    </row>
    <row x14ac:dyDescent="0.25" r="157" customHeight="1" ht="17.25">
      <c r="A157" s="20" t="s">
        <v>7203</v>
      </c>
      <c r="B157" s="20" t="s">
        <v>274</v>
      </c>
      <c r="C157" s="20" t="s">
        <v>133</v>
      </c>
      <c r="D157" s="20" t="s">
        <v>22</v>
      </c>
      <c r="E157" s="21">
        <f>ROUND(8927*1.05,2)</f>
      </c>
      <c r="F157" s="20" t="s">
        <v>51</v>
      </c>
      <c r="G157" s="20" t="s">
        <v>24</v>
      </c>
      <c r="H157" s="21">
        <f>ROUND(RAND()*4+6,1)</f>
      </c>
      <c r="I157" s="20" t="s">
        <v>25</v>
      </c>
      <c r="J157" s="23">
        <f>ROUND(100*1,0)&amp;"%"</f>
      </c>
    </row>
    <row x14ac:dyDescent="0.25" r="158" customHeight="1" ht="17.25">
      <c r="A158" s="24" t="s">
        <v>275</v>
      </c>
      <c r="B158" s="24"/>
      <c r="C158" s="24"/>
      <c r="D158" s="24"/>
      <c r="E158" s="25">
        <v>8</v>
      </c>
      <c r="F158" s="9"/>
      <c r="G158" s="9"/>
      <c r="H158" s="10"/>
      <c r="I158" s="9"/>
      <c r="J158" s="9"/>
    </row>
    <row x14ac:dyDescent="0.25" r="159" customHeight="1" ht="17.25">
      <c r="A159" s="7"/>
      <c r="B159" s="7"/>
      <c r="C159" s="7"/>
      <c r="D159" s="7"/>
      <c r="E159" s="8"/>
      <c r="F159" s="9"/>
      <c r="G159" s="9"/>
      <c r="H159" s="10"/>
      <c r="I159" s="9"/>
      <c r="J159" s="9"/>
    </row>
    <row x14ac:dyDescent="0.25" r="160" customHeight="1" ht="17.25">
      <c r="A160" s="11" t="s">
        <v>7204</v>
      </c>
      <c r="B160" s="11"/>
      <c r="C160" s="11"/>
      <c r="D160" s="11"/>
      <c r="E160" s="12"/>
      <c r="F160" s="11"/>
      <c r="G160" s="11"/>
      <c r="H160" s="13"/>
      <c r="I160" s="11"/>
      <c r="J160" s="11"/>
    </row>
    <row x14ac:dyDescent="0.25" r="161" customHeight="1" ht="17.25">
      <c r="A161" s="14" t="s">
        <v>3</v>
      </c>
      <c r="B161" s="14" t="s">
        <v>4</v>
      </c>
      <c r="C161" s="14" t="s">
        <v>5</v>
      </c>
      <c r="D161" s="14" t="s">
        <v>6</v>
      </c>
      <c r="E161" s="15" t="s">
        <v>7</v>
      </c>
      <c r="F161" s="14" t="s">
        <v>8</v>
      </c>
      <c r="G161" s="14" t="s">
        <v>9</v>
      </c>
      <c r="H161" s="16" t="s">
        <v>10</v>
      </c>
      <c r="I161" s="14" t="s">
        <v>11</v>
      </c>
      <c r="J161" s="14" t="s">
        <v>12</v>
      </c>
    </row>
    <row x14ac:dyDescent="0.25" r="162" customHeight="1" ht="17.25">
      <c r="A162" s="17" t="s">
        <v>7205</v>
      </c>
      <c r="B162" s="17" t="s">
        <v>278</v>
      </c>
      <c r="C162" s="17" t="s">
        <v>152</v>
      </c>
      <c r="D162" s="17" t="s">
        <v>16</v>
      </c>
      <c r="E162" s="18">
        <f>ROUND(4537*1.05,2)</f>
      </c>
      <c r="F162" s="17" t="s">
        <v>17</v>
      </c>
      <c r="G162" s="17" t="s">
        <v>18</v>
      </c>
      <c r="H162" s="18">
        <f>ROUND(RAND()*4+6,1)</f>
      </c>
      <c r="I162" s="17" t="s">
        <v>19</v>
      </c>
      <c r="J162" s="19">
        <f>ROUND(64*1,0)&amp;"%"</f>
      </c>
    </row>
    <row x14ac:dyDescent="0.25" r="163" customHeight="1" ht="17.25">
      <c r="A163" s="20" t="s">
        <v>7206</v>
      </c>
      <c r="B163" s="20" t="s">
        <v>280</v>
      </c>
      <c r="C163" s="20" t="s">
        <v>152</v>
      </c>
      <c r="D163" s="20" t="s">
        <v>22</v>
      </c>
      <c r="E163" s="21">
        <f>ROUND(11882*1.05,2)</f>
      </c>
      <c r="F163" s="20" t="s">
        <v>23</v>
      </c>
      <c r="G163" s="20" t="s">
        <v>24</v>
      </c>
      <c r="H163" s="21">
        <f>ROUND(RAND()*4+6,1)</f>
      </c>
      <c r="I163" s="20" t="s">
        <v>25</v>
      </c>
      <c r="J163" s="23">
        <f>ROUND(70*1,0)&amp;"%"</f>
      </c>
    </row>
    <row x14ac:dyDescent="0.25" r="164" customHeight="1" ht="17.25">
      <c r="A164" s="17" t="s">
        <v>7207</v>
      </c>
      <c r="B164" s="17" t="s">
        <v>282</v>
      </c>
      <c r="C164" s="17" t="s">
        <v>152</v>
      </c>
      <c r="D164" s="17" t="s">
        <v>28</v>
      </c>
      <c r="E164" s="18">
        <f>ROUND(11009*1.05,2)</f>
      </c>
      <c r="F164" s="17" t="s">
        <v>29</v>
      </c>
      <c r="G164" s="17" t="s">
        <v>30</v>
      </c>
      <c r="H164" s="18">
        <f>ROUND(RAND()*4+6,1)</f>
      </c>
      <c r="I164" s="17" t="s">
        <v>31</v>
      </c>
      <c r="J164" s="19">
        <f>ROUND(90*1,0)&amp;"%"</f>
      </c>
    </row>
    <row x14ac:dyDescent="0.25" r="165" customHeight="1" ht="17.25">
      <c r="A165" s="20" t="s">
        <v>7208</v>
      </c>
      <c r="B165" s="20" t="s">
        <v>284</v>
      </c>
      <c r="C165" s="20" t="s">
        <v>152</v>
      </c>
      <c r="D165" s="20" t="s">
        <v>34</v>
      </c>
      <c r="E165" s="21">
        <f>ROUND(12618*1.05,2)</f>
      </c>
      <c r="F165" s="20" t="s">
        <v>35</v>
      </c>
      <c r="G165" s="20" t="s">
        <v>18</v>
      </c>
      <c r="H165" s="21">
        <f>ROUND(RAND()*4+6,1)</f>
      </c>
      <c r="I165" s="20" t="s">
        <v>36</v>
      </c>
      <c r="J165" s="23">
        <f>ROUND(63*1,0)&amp;"%"</f>
      </c>
    </row>
    <row x14ac:dyDescent="0.25" r="166" customHeight="1" ht="17.25">
      <c r="A166" s="17" t="s">
        <v>7209</v>
      </c>
      <c r="B166" s="17" t="s">
        <v>286</v>
      </c>
      <c r="C166" s="17" t="s">
        <v>152</v>
      </c>
      <c r="D166" s="17" t="s">
        <v>39</v>
      </c>
      <c r="E166" s="18">
        <f>ROUND(12866*1.05,2)</f>
      </c>
      <c r="F166" s="17" t="s">
        <v>40</v>
      </c>
      <c r="G166" s="17" t="s">
        <v>24</v>
      </c>
      <c r="H166" s="18">
        <f>ROUND(RAND()*4+6,1)</f>
      </c>
      <c r="I166" s="17" t="s">
        <v>41</v>
      </c>
      <c r="J166" s="19">
        <f>ROUND(90*1,0)&amp;"%"</f>
      </c>
    </row>
    <row x14ac:dyDescent="0.25" r="167" customHeight="1" ht="17.25">
      <c r="A167" s="20" t="s">
        <v>7210</v>
      </c>
      <c r="B167" s="20" t="s">
        <v>288</v>
      </c>
      <c r="C167" s="20" t="s">
        <v>152</v>
      </c>
      <c r="D167" s="20" t="s">
        <v>67</v>
      </c>
      <c r="E167" s="21">
        <f>ROUND(11264*1.05,2)</f>
      </c>
      <c r="F167" s="20" t="s">
        <v>44</v>
      </c>
      <c r="G167" s="20" t="s">
        <v>30</v>
      </c>
      <c r="H167" s="21">
        <f>ROUND(RAND()*4+6,1)</f>
      </c>
      <c r="I167" s="20" t="s">
        <v>45</v>
      </c>
      <c r="J167" s="23">
        <f>ROUND(62*1,0)&amp;"%"</f>
      </c>
    </row>
    <row x14ac:dyDescent="0.25" r="168" customHeight="1" ht="17.25">
      <c r="A168" s="17" t="s">
        <v>7211</v>
      </c>
      <c r="B168" s="17" t="s">
        <v>290</v>
      </c>
      <c r="C168" s="17" t="s">
        <v>152</v>
      </c>
      <c r="D168" s="17" t="s">
        <v>16</v>
      </c>
      <c r="E168" s="18">
        <f>ROUND(15274*1.05,2)</f>
      </c>
      <c r="F168" s="17" t="s">
        <v>48</v>
      </c>
      <c r="G168" s="17" t="s">
        <v>18</v>
      </c>
      <c r="H168" s="18">
        <f>ROUND(RAND()*4+6,1)</f>
      </c>
      <c r="I168" s="17" t="s">
        <v>19</v>
      </c>
      <c r="J168" s="19">
        <f>ROUND(96*1,0)&amp;"%"</f>
      </c>
    </row>
    <row x14ac:dyDescent="0.25" r="169" customHeight="1" ht="17.25">
      <c r="A169" s="20" t="s">
        <v>7212</v>
      </c>
      <c r="B169" s="20" t="s">
        <v>292</v>
      </c>
      <c r="C169" s="20" t="s">
        <v>152</v>
      </c>
      <c r="D169" s="20" t="s">
        <v>22</v>
      </c>
      <c r="E169" s="21">
        <f>ROUND(8894*1.05,2)</f>
      </c>
      <c r="F169" s="20" t="s">
        <v>51</v>
      </c>
      <c r="G169" s="20" t="s">
        <v>24</v>
      </c>
      <c r="H169" s="21">
        <f>ROUND(RAND()*4+6,1)</f>
      </c>
      <c r="I169" s="20" t="s">
        <v>25</v>
      </c>
      <c r="J169" s="23">
        <f>ROUND(90*1,0)&amp;"%"</f>
      </c>
    </row>
    <row x14ac:dyDescent="0.25" r="170" customHeight="1" ht="17.25">
      <c r="A170" s="24" t="s">
        <v>293</v>
      </c>
      <c r="B170" s="24"/>
      <c r="C170" s="24"/>
      <c r="D170" s="24"/>
      <c r="E170" s="25">
        <v>8</v>
      </c>
      <c r="F170" s="9"/>
      <c r="G170" s="9"/>
      <c r="H170" s="10"/>
      <c r="I170" s="9"/>
      <c r="J170" s="9"/>
    </row>
    <row x14ac:dyDescent="0.25" r="171" customHeight="1" ht="17.25">
      <c r="A171" s="7"/>
      <c r="B171" s="7"/>
      <c r="C171" s="7"/>
      <c r="D171" s="7"/>
      <c r="E171" s="8"/>
      <c r="F171" s="9"/>
      <c r="G171" s="9"/>
      <c r="H171" s="10"/>
      <c r="I171" s="9"/>
      <c r="J171" s="9"/>
    </row>
    <row x14ac:dyDescent="0.25" r="172" customHeight="1" ht="17.25">
      <c r="A172" s="11" t="s">
        <v>7213</v>
      </c>
      <c r="B172" s="11"/>
      <c r="C172" s="11"/>
      <c r="D172" s="11"/>
      <c r="E172" s="12"/>
      <c r="F172" s="11"/>
      <c r="G172" s="11"/>
      <c r="H172" s="13"/>
      <c r="I172" s="11"/>
      <c r="J172" s="11"/>
    </row>
    <row x14ac:dyDescent="0.25" r="173" customHeight="1" ht="17.25">
      <c r="A173" s="14" t="s">
        <v>3</v>
      </c>
      <c r="B173" s="14" t="s">
        <v>4</v>
      </c>
      <c r="C173" s="14" t="s">
        <v>5</v>
      </c>
      <c r="D173" s="14" t="s">
        <v>6</v>
      </c>
      <c r="E173" s="15" t="s">
        <v>7</v>
      </c>
      <c r="F173" s="14" t="s">
        <v>8</v>
      </c>
      <c r="G173" s="14" t="s">
        <v>9</v>
      </c>
      <c r="H173" s="16" t="s">
        <v>10</v>
      </c>
      <c r="I173" s="14" t="s">
        <v>11</v>
      </c>
      <c r="J173" s="14" t="s">
        <v>12</v>
      </c>
    </row>
    <row x14ac:dyDescent="0.25" r="174" customHeight="1" ht="17.25">
      <c r="A174" s="17" t="s">
        <v>7214</v>
      </c>
      <c r="B174" s="17" t="s">
        <v>296</v>
      </c>
      <c r="C174" s="17" t="s">
        <v>15</v>
      </c>
      <c r="D174" s="17" t="s">
        <v>16</v>
      </c>
      <c r="E174" s="18">
        <f>ROUND(13471*1.05,2)</f>
      </c>
      <c r="F174" s="17" t="s">
        <v>17</v>
      </c>
      <c r="G174" s="17" t="s">
        <v>18</v>
      </c>
      <c r="H174" s="18">
        <f>ROUND(RAND()*4+6,1)</f>
      </c>
      <c r="I174" s="17" t="s">
        <v>19</v>
      </c>
      <c r="J174" s="19">
        <f>ROUND(74*1,0)&amp;"%"</f>
      </c>
    </row>
    <row x14ac:dyDescent="0.25" r="175" customHeight="1" ht="17.25">
      <c r="A175" s="20" t="s">
        <v>7215</v>
      </c>
      <c r="B175" s="20" t="s">
        <v>298</v>
      </c>
      <c r="C175" s="20" t="s">
        <v>15</v>
      </c>
      <c r="D175" s="20" t="s">
        <v>22</v>
      </c>
      <c r="E175" s="21">
        <f>ROUND(17671*1.05,2)</f>
      </c>
      <c r="F175" s="20" t="s">
        <v>23</v>
      </c>
      <c r="G175" s="20" t="s">
        <v>24</v>
      </c>
      <c r="H175" s="21">
        <f>ROUND(RAND()*4+6,1)</f>
      </c>
      <c r="I175" s="20" t="s">
        <v>25</v>
      </c>
      <c r="J175" s="23">
        <f>ROUND(87*1,0)&amp;"%"</f>
      </c>
    </row>
    <row x14ac:dyDescent="0.25" r="176" customHeight="1" ht="17.25">
      <c r="A176" s="17" t="s">
        <v>7216</v>
      </c>
      <c r="B176" s="17" t="s">
        <v>300</v>
      </c>
      <c r="C176" s="17" t="s">
        <v>15</v>
      </c>
      <c r="D176" s="17" t="s">
        <v>28</v>
      </c>
      <c r="E176" s="18">
        <f>ROUND(15916*1.05,2)</f>
      </c>
      <c r="F176" s="17" t="s">
        <v>29</v>
      </c>
      <c r="G176" s="17" t="s">
        <v>30</v>
      </c>
      <c r="H176" s="18">
        <f>ROUND(RAND()*4+6,1)</f>
      </c>
      <c r="I176" s="17" t="s">
        <v>31</v>
      </c>
      <c r="J176" s="19">
        <f>ROUND(76*1,0)&amp;"%"</f>
      </c>
    </row>
    <row x14ac:dyDescent="0.25" r="177" customHeight="1" ht="17.25">
      <c r="A177" s="20" t="s">
        <v>7217</v>
      </c>
      <c r="B177" s="20" t="s">
        <v>302</v>
      </c>
      <c r="C177" s="20" t="s">
        <v>15</v>
      </c>
      <c r="D177" s="20" t="s">
        <v>34</v>
      </c>
      <c r="E177" s="21">
        <f>ROUND(9553*1.05,2)</f>
      </c>
      <c r="F177" s="20" t="s">
        <v>35</v>
      </c>
      <c r="G177" s="20" t="s">
        <v>18</v>
      </c>
      <c r="H177" s="21">
        <f>ROUND(RAND()*4+6,1)</f>
      </c>
      <c r="I177" s="20" t="s">
        <v>36</v>
      </c>
      <c r="J177" s="23">
        <f>ROUND(98*1,0)&amp;"%"</f>
      </c>
    </row>
    <row x14ac:dyDescent="0.25" r="178" customHeight="1" ht="17.25">
      <c r="A178" s="17" t="s">
        <v>7218</v>
      </c>
      <c r="B178" s="17" t="s">
        <v>304</v>
      </c>
      <c r="C178" s="17" t="s">
        <v>15</v>
      </c>
      <c r="D178" s="17" t="s">
        <v>39</v>
      </c>
      <c r="E178" s="18">
        <f>ROUND(16308*1.05,2)</f>
      </c>
      <c r="F178" s="17" t="s">
        <v>40</v>
      </c>
      <c r="G178" s="17" t="s">
        <v>24</v>
      </c>
      <c r="H178" s="18">
        <f>ROUND(RAND()*4+6,1)</f>
      </c>
      <c r="I178" s="17" t="s">
        <v>41</v>
      </c>
      <c r="J178" s="19">
        <f>ROUND(77*1,0)&amp;"%"</f>
      </c>
    </row>
    <row x14ac:dyDescent="0.25" r="179" customHeight="1" ht="17.25">
      <c r="A179" s="20" t="s">
        <v>7219</v>
      </c>
      <c r="B179" s="20" t="s">
        <v>306</v>
      </c>
      <c r="C179" s="20" t="s">
        <v>15</v>
      </c>
      <c r="D179" s="20" t="s">
        <v>67</v>
      </c>
      <c r="E179" s="21">
        <f>ROUND(7149*1.05,2)</f>
      </c>
      <c r="F179" s="20" t="s">
        <v>44</v>
      </c>
      <c r="G179" s="20" t="s">
        <v>30</v>
      </c>
      <c r="H179" s="21">
        <f>ROUND(RAND()*4+6,1)</f>
      </c>
      <c r="I179" s="20" t="s">
        <v>45</v>
      </c>
      <c r="J179" s="23">
        <f>ROUND(79*1,0)&amp;"%"</f>
      </c>
    </row>
    <row x14ac:dyDescent="0.25" r="180" customHeight="1" ht="17.25">
      <c r="A180" s="17" t="s">
        <v>7220</v>
      </c>
      <c r="B180" s="17" t="s">
        <v>308</v>
      </c>
      <c r="C180" s="17" t="s">
        <v>15</v>
      </c>
      <c r="D180" s="17" t="s">
        <v>16</v>
      </c>
      <c r="E180" s="18">
        <f>ROUND(7255*1.05,2)</f>
      </c>
      <c r="F180" s="17" t="s">
        <v>48</v>
      </c>
      <c r="G180" s="17" t="s">
        <v>18</v>
      </c>
      <c r="H180" s="18">
        <f>ROUND(RAND()*4+6,1)</f>
      </c>
      <c r="I180" s="17" t="s">
        <v>19</v>
      </c>
      <c r="J180" s="19">
        <f>ROUND(99*1,0)&amp;"%"</f>
      </c>
    </row>
    <row x14ac:dyDescent="0.25" r="181" customHeight="1" ht="17.25">
      <c r="A181" s="20" t="s">
        <v>7221</v>
      </c>
      <c r="B181" s="20" t="s">
        <v>310</v>
      </c>
      <c r="C181" s="20" t="s">
        <v>15</v>
      </c>
      <c r="D181" s="20" t="s">
        <v>22</v>
      </c>
      <c r="E181" s="21">
        <f>ROUND(16993*1.05,2)</f>
      </c>
      <c r="F181" s="20" t="s">
        <v>51</v>
      </c>
      <c r="G181" s="20" t="s">
        <v>24</v>
      </c>
      <c r="H181" s="21">
        <f>ROUND(RAND()*4+6,1)</f>
      </c>
      <c r="I181" s="20" t="s">
        <v>25</v>
      </c>
      <c r="J181" s="23">
        <f>ROUND(96*1,0)&amp;"%"</f>
      </c>
    </row>
    <row x14ac:dyDescent="0.25" r="182" customHeight="1" ht="17.25">
      <c r="A182" s="24" t="s">
        <v>311</v>
      </c>
      <c r="B182" s="24"/>
      <c r="C182" s="24"/>
      <c r="D182" s="24"/>
      <c r="E182" s="25">
        <v>8</v>
      </c>
      <c r="F182" s="9"/>
      <c r="G182" s="9"/>
      <c r="H182" s="10"/>
      <c r="I182" s="9"/>
      <c r="J182" s="9"/>
    </row>
    <row x14ac:dyDescent="0.25" r="183" customHeight="1" ht="17.25">
      <c r="A183" s="7"/>
      <c r="B183" s="7"/>
      <c r="C183" s="7"/>
      <c r="D183" s="7"/>
      <c r="E183" s="8"/>
      <c r="F183" s="9"/>
      <c r="G183" s="9"/>
      <c r="H183" s="10"/>
      <c r="I183" s="9"/>
      <c r="J183" s="9"/>
    </row>
    <row x14ac:dyDescent="0.25" r="184" customHeight="1" ht="17.25">
      <c r="A184" s="11" t="s">
        <v>7222</v>
      </c>
      <c r="B184" s="11"/>
      <c r="C184" s="11"/>
      <c r="D184" s="11"/>
      <c r="E184" s="12"/>
      <c r="F184" s="11"/>
      <c r="G184" s="11"/>
      <c r="H184" s="13"/>
      <c r="I184" s="11"/>
      <c r="J184" s="11"/>
    </row>
    <row x14ac:dyDescent="0.25" r="185" customHeight="1" ht="17.25">
      <c r="A185" s="14" t="s">
        <v>3</v>
      </c>
      <c r="B185" s="14" t="s">
        <v>4</v>
      </c>
      <c r="C185" s="14" t="s">
        <v>5</v>
      </c>
      <c r="D185" s="14" t="s">
        <v>6</v>
      </c>
      <c r="E185" s="15" t="s">
        <v>7</v>
      </c>
      <c r="F185" s="14" t="s">
        <v>8</v>
      </c>
      <c r="G185" s="14" t="s">
        <v>9</v>
      </c>
      <c r="H185" s="16" t="s">
        <v>10</v>
      </c>
      <c r="I185" s="14" t="s">
        <v>11</v>
      </c>
      <c r="J185" s="14" t="s">
        <v>12</v>
      </c>
    </row>
    <row x14ac:dyDescent="0.25" r="186" customHeight="1" ht="17.25">
      <c r="A186" s="17" t="s">
        <v>7223</v>
      </c>
      <c r="B186" s="17" t="s">
        <v>314</v>
      </c>
      <c r="C186" s="17" t="s">
        <v>56</v>
      </c>
      <c r="D186" s="17" t="s">
        <v>16</v>
      </c>
      <c r="E186" s="18">
        <f>ROUND(4552*1.05,2)</f>
      </c>
      <c r="F186" s="17" t="s">
        <v>17</v>
      </c>
      <c r="G186" s="17" t="s">
        <v>18</v>
      </c>
      <c r="H186" s="18">
        <f>ROUND(RAND()*4+6,1)</f>
      </c>
      <c r="I186" s="17" t="s">
        <v>19</v>
      </c>
      <c r="J186" s="19">
        <f>ROUND(74*1,0)&amp;"%"</f>
      </c>
    </row>
    <row x14ac:dyDescent="0.25" r="187" customHeight="1" ht="17.25">
      <c r="A187" s="20" t="s">
        <v>7224</v>
      </c>
      <c r="B187" s="20" t="s">
        <v>316</v>
      </c>
      <c r="C187" s="20" t="s">
        <v>56</v>
      </c>
      <c r="D187" s="20" t="s">
        <v>22</v>
      </c>
      <c r="E187" s="21">
        <f>ROUND(5931*1.05,2)</f>
      </c>
      <c r="F187" s="20" t="s">
        <v>23</v>
      </c>
      <c r="G187" s="20" t="s">
        <v>24</v>
      </c>
      <c r="H187" s="21">
        <f>ROUND(RAND()*4+6,1)</f>
      </c>
      <c r="I187" s="20" t="s">
        <v>25</v>
      </c>
      <c r="J187" s="23">
        <f>ROUND(82*1,0)&amp;"%"</f>
      </c>
    </row>
    <row x14ac:dyDescent="0.25" r="188" customHeight="1" ht="17.25">
      <c r="A188" s="17" t="s">
        <v>7225</v>
      </c>
      <c r="B188" s="17" t="s">
        <v>318</v>
      </c>
      <c r="C188" s="17" t="s">
        <v>56</v>
      </c>
      <c r="D188" s="17" t="s">
        <v>28</v>
      </c>
      <c r="E188" s="18">
        <f>ROUND(15144*1.05,2)</f>
      </c>
      <c r="F188" s="17" t="s">
        <v>29</v>
      </c>
      <c r="G188" s="17" t="s">
        <v>30</v>
      </c>
      <c r="H188" s="26">
        <f>ROUND(RAND()*4+6,1)</f>
      </c>
      <c r="I188" s="17" t="s">
        <v>31</v>
      </c>
      <c r="J188" s="19">
        <f>ROUND(60*1,0)&amp;"%"</f>
      </c>
    </row>
    <row x14ac:dyDescent="0.25" r="189" customHeight="1" ht="17.25">
      <c r="A189" s="20" t="s">
        <v>7226</v>
      </c>
      <c r="B189" s="20" t="s">
        <v>320</v>
      </c>
      <c r="C189" s="20" t="s">
        <v>56</v>
      </c>
      <c r="D189" s="20" t="s">
        <v>34</v>
      </c>
      <c r="E189" s="21">
        <f>ROUND(4249*1.05,2)</f>
      </c>
      <c r="F189" s="20" t="s">
        <v>35</v>
      </c>
      <c r="G189" s="20" t="s">
        <v>18</v>
      </c>
      <c r="H189" s="21">
        <f>ROUND(RAND()*4+6,1)</f>
      </c>
      <c r="I189" s="20" t="s">
        <v>36</v>
      </c>
      <c r="J189" s="23">
        <f>ROUND(63*1,0)&amp;"%"</f>
      </c>
    </row>
    <row x14ac:dyDescent="0.25" r="190" customHeight="1" ht="17.25">
      <c r="A190" s="17" t="s">
        <v>7227</v>
      </c>
      <c r="B190" s="17" t="s">
        <v>322</v>
      </c>
      <c r="C190" s="17" t="s">
        <v>56</v>
      </c>
      <c r="D190" s="17" t="s">
        <v>39</v>
      </c>
      <c r="E190" s="18">
        <f>ROUND(17291*1.05,2)</f>
      </c>
      <c r="F190" s="17" t="s">
        <v>40</v>
      </c>
      <c r="G190" s="17" t="s">
        <v>24</v>
      </c>
      <c r="H190" s="18">
        <f>ROUND(RAND()*4+6,1)</f>
      </c>
      <c r="I190" s="17" t="s">
        <v>41</v>
      </c>
      <c r="J190" s="19">
        <f>ROUND(90*1,0)&amp;"%"</f>
      </c>
    </row>
    <row x14ac:dyDescent="0.25" r="191" customHeight="1" ht="17.25">
      <c r="A191" s="20" t="s">
        <v>7228</v>
      </c>
      <c r="B191" s="20" t="s">
        <v>324</v>
      </c>
      <c r="C191" s="20" t="s">
        <v>56</v>
      </c>
      <c r="D191" s="20" t="s">
        <v>67</v>
      </c>
      <c r="E191" s="21">
        <f>ROUND(7139*1.05,2)</f>
      </c>
      <c r="F191" s="20" t="s">
        <v>44</v>
      </c>
      <c r="G191" s="20" t="s">
        <v>30</v>
      </c>
      <c r="H191" s="21">
        <f>ROUND(RAND()*4+6,1)</f>
      </c>
      <c r="I191" s="20" t="s">
        <v>45</v>
      </c>
      <c r="J191" s="23">
        <f>ROUND(89*1,0)&amp;"%"</f>
      </c>
    </row>
    <row x14ac:dyDescent="0.25" r="192" customHeight="1" ht="17.25">
      <c r="A192" s="17" t="s">
        <v>7229</v>
      </c>
      <c r="B192" s="17" t="s">
        <v>326</v>
      </c>
      <c r="C192" s="17" t="s">
        <v>56</v>
      </c>
      <c r="D192" s="17" t="s">
        <v>16</v>
      </c>
      <c r="E192" s="26">
        <f>ROUND(15040*1.05,2)</f>
      </c>
      <c r="F192" s="17" t="s">
        <v>48</v>
      </c>
      <c r="G192" s="17" t="s">
        <v>18</v>
      </c>
      <c r="H192" s="18">
        <f>ROUND(RAND()*4+6,1)</f>
      </c>
      <c r="I192" s="17" t="s">
        <v>19</v>
      </c>
      <c r="J192" s="19">
        <f>ROUND(74*1,0)&amp;"%"</f>
      </c>
    </row>
    <row x14ac:dyDescent="0.25" r="193" customHeight="1" ht="17.25">
      <c r="A193" s="20" t="s">
        <v>7230</v>
      </c>
      <c r="B193" s="20" t="s">
        <v>328</v>
      </c>
      <c r="C193" s="20" t="s">
        <v>56</v>
      </c>
      <c r="D193" s="20" t="s">
        <v>22</v>
      </c>
      <c r="E193" s="21">
        <f>ROUND(9370*1.05,2)</f>
      </c>
      <c r="F193" s="20" t="s">
        <v>51</v>
      </c>
      <c r="G193" s="20" t="s">
        <v>24</v>
      </c>
      <c r="H193" s="21">
        <f>ROUND(RAND()*4+6,1)</f>
      </c>
      <c r="I193" s="20" t="s">
        <v>25</v>
      </c>
      <c r="J193" s="23">
        <f>ROUND(60*1,0)&amp;"%"</f>
      </c>
    </row>
    <row x14ac:dyDescent="0.25" r="194" customHeight="1" ht="17.25">
      <c r="A194" s="24" t="s">
        <v>329</v>
      </c>
      <c r="B194" s="24"/>
      <c r="C194" s="24"/>
      <c r="D194" s="24"/>
      <c r="E194" s="25">
        <v>8</v>
      </c>
      <c r="F194" s="9"/>
      <c r="G194" s="9"/>
      <c r="H194" s="10"/>
      <c r="I194" s="9"/>
      <c r="J194" s="9"/>
    </row>
    <row x14ac:dyDescent="0.25" r="195" customHeight="1" ht="17.25">
      <c r="A195" s="7"/>
      <c r="B195" s="7"/>
      <c r="C195" s="7"/>
      <c r="D195" s="7"/>
      <c r="E195" s="8"/>
      <c r="F195" s="9"/>
      <c r="G195" s="9"/>
      <c r="H195" s="10"/>
      <c r="I195" s="9"/>
      <c r="J195" s="9"/>
    </row>
    <row x14ac:dyDescent="0.25" r="196" customHeight="1" ht="17.25">
      <c r="A196" s="11" t="s">
        <v>7231</v>
      </c>
      <c r="B196" s="11"/>
      <c r="C196" s="11"/>
      <c r="D196" s="11"/>
      <c r="E196" s="12"/>
      <c r="F196" s="11"/>
      <c r="G196" s="11"/>
      <c r="H196" s="13"/>
      <c r="I196" s="11"/>
      <c r="J196" s="11"/>
    </row>
    <row x14ac:dyDescent="0.25" r="197" customHeight="1" ht="17.25">
      <c r="A197" s="14" t="s">
        <v>3</v>
      </c>
      <c r="B197" s="14" t="s">
        <v>4</v>
      </c>
      <c r="C197" s="14" t="s">
        <v>5</v>
      </c>
      <c r="D197" s="14" t="s">
        <v>6</v>
      </c>
      <c r="E197" s="15" t="s">
        <v>7</v>
      </c>
      <c r="F197" s="14" t="s">
        <v>8</v>
      </c>
      <c r="G197" s="14" t="s">
        <v>9</v>
      </c>
      <c r="H197" s="16" t="s">
        <v>10</v>
      </c>
      <c r="I197" s="14" t="s">
        <v>11</v>
      </c>
      <c r="J197" s="14" t="s">
        <v>12</v>
      </c>
    </row>
    <row x14ac:dyDescent="0.25" r="198" customHeight="1" ht="17.25">
      <c r="A198" s="17" t="s">
        <v>7232</v>
      </c>
      <c r="B198" s="17" t="s">
        <v>332</v>
      </c>
      <c r="C198" s="17" t="s">
        <v>76</v>
      </c>
      <c r="D198" s="17" t="s">
        <v>16</v>
      </c>
      <c r="E198" s="18">
        <f>ROUND(17173*1.05,2)</f>
      </c>
      <c r="F198" s="17" t="s">
        <v>17</v>
      </c>
      <c r="G198" s="17" t="s">
        <v>18</v>
      </c>
      <c r="H198" s="18">
        <f>ROUND(RAND()*4+6,1)</f>
      </c>
      <c r="I198" s="17" t="s">
        <v>19</v>
      </c>
      <c r="J198" s="19">
        <f>ROUND(85*1,0)&amp;"%"</f>
      </c>
    </row>
    <row x14ac:dyDescent="0.25" r="199" customHeight="1" ht="17.25">
      <c r="A199" s="20" t="s">
        <v>7233</v>
      </c>
      <c r="B199" s="20" t="s">
        <v>334</v>
      </c>
      <c r="C199" s="20" t="s">
        <v>76</v>
      </c>
      <c r="D199" s="20" t="s">
        <v>22</v>
      </c>
      <c r="E199" s="21">
        <f>ROUND(4276*1.05,2)</f>
      </c>
      <c r="F199" s="20" t="s">
        <v>23</v>
      </c>
      <c r="G199" s="20" t="s">
        <v>24</v>
      </c>
      <c r="H199" s="21">
        <f>ROUND(RAND()*4+6,1)</f>
      </c>
      <c r="I199" s="20" t="s">
        <v>25</v>
      </c>
      <c r="J199" s="23">
        <f>ROUND(74*1,0)&amp;"%"</f>
      </c>
    </row>
    <row x14ac:dyDescent="0.25" r="200" customHeight="1" ht="17.25">
      <c r="A200" s="17" t="s">
        <v>7234</v>
      </c>
      <c r="B200" s="17" t="s">
        <v>336</v>
      </c>
      <c r="C200" s="17" t="s">
        <v>76</v>
      </c>
      <c r="D200" s="17" t="s">
        <v>28</v>
      </c>
      <c r="E200" s="18">
        <f>ROUND(14083*1.05,2)</f>
      </c>
      <c r="F200" s="17" t="s">
        <v>29</v>
      </c>
      <c r="G200" s="17" t="s">
        <v>30</v>
      </c>
      <c r="H200" s="18">
        <f>ROUND(RAND()*4+6,1)</f>
      </c>
      <c r="I200" s="17" t="s">
        <v>31</v>
      </c>
      <c r="J200" s="19">
        <f>ROUND(60*1,0)&amp;"%"</f>
      </c>
    </row>
    <row x14ac:dyDescent="0.25" r="201" customHeight="1" ht="17.25">
      <c r="A201" s="20" t="s">
        <v>7235</v>
      </c>
      <c r="B201" s="20" t="s">
        <v>338</v>
      </c>
      <c r="C201" s="20" t="s">
        <v>76</v>
      </c>
      <c r="D201" s="20" t="s">
        <v>34</v>
      </c>
      <c r="E201" s="21">
        <f>ROUND(9467*1.05,2)</f>
      </c>
      <c r="F201" s="20" t="s">
        <v>35</v>
      </c>
      <c r="G201" s="20" t="s">
        <v>18</v>
      </c>
      <c r="H201" s="21">
        <f>ROUND(RAND()*4+6,1)</f>
      </c>
      <c r="I201" s="20" t="s">
        <v>36</v>
      </c>
      <c r="J201" s="23">
        <f>ROUND(78*1,0)&amp;"%"</f>
      </c>
    </row>
    <row x14ac:dyDescent="0.25" r="202" customHeight="1" ht="17.25">
      <c r="A202" s="17" t="s">
        <v>7236</v>
      </c>
      <c r="B202" s="17" t="s">
        <v>340</v>
      </c>
      <c r="C202" s="17" t="s">
        <v>76</v>
      </c>
      <c r="D202" s="17" t="s">
        <v>39</v>
      </c>
      <c r="E202" s="18">
        <f>ROUND(15818*1.05,2)</f>
      </c>
      <c r="F202" s="17" t="s">
        <v>40</v>
      </c>
      <c r="G202" s="17" t="s">
        <v>24</v>
      </c>
      <c r="H202" s="18">
        <f>ROUND(RAND()*4+6,1)</f>
      </c>
      <c r="I202" s="17" t="s">
        <v>41</v>
      </c>
      <c r="J202" s="19">
        <f>ROUND(74*1,0)&amp;"%"</f>
      </c>
    </row>
    <row x14ac:dyDescent="0.25" r="203" customHeight="1" ht="17.25">
      <c r="A203" s="20" t="s">
        <v>7237</v>
      </c>
      <c r="B203" s="20" t="s">
        <v>342</v>
      </c>
      <c r="C203" s="20" t="s">
        <v>76</v>
      </c>
      <c r="D203" s="20" t="s">
        <v>67</v>
      </c>
      <c r="E203" s="21">
        <f>ROUND(14733*1.05,2)</f>
      </c>
      <c r="F203" s="20" t="s">
        <v>44</v>
      </c>
      <c r="G203" s="20" t="s">
        <v>30</v>
      </c>
      <c r="H203" s="22">
        <f>ROUND(RAND()*4+6,1)</f>
      </c>
      <c r="I203" s="20" t="s">
        <v>45</v>
      </c>
      <c r="J203" s="23">
        <f>ROUND(79*1,0)&amp;"%"</f>
      </c>
    </row>
    <row x14ac:dyDescent="0.25" r="204" customHeight="1" ht="17.25">
      <c r="A204" s="17" t="s">
        <v>7238</v>
      </c>
      <c r="B204" s="17" t="s">
        <v>344</v>
      </c>
      <c r="C204" s="17" t="s">
        <v>76</v>
      </c>
      <c r="D204" s="17" t="s">
        <v>16</v>
      </c>
      <c r="E204" s="18">
        <f>ROUND(4687*1.05,2)</f>
      </c>
      <c r="F204" s="17" t="s">
        <v>48</v>
      </c>
      <c r="G204" s="17" t="s">
        <v>18</v>
      </c>
      <c r="H204" s="18">
        <f>ROUND(RAND()*4+6,1)</f>
      </c>
      <c r="I204" s="17" t="s">
        <v>19</v>
      </c>
      <c r="J204" s="19">
        <f>ROUND(96*1,0)&amp;"%"</f>
      </c>
    </row>
    <row x14ac:dyDescent="0.25" r="205" customHeight="1" ht="17.25">
      <c r="A205" s="20" t="s">
        <v>7239</v>
      </c>
      <c r="B205" s="20" t="s">
        <v>346</v>
      </c>
      <c r="C205" s="20" t="s">
        <v>76</v>
      </c>
      <c r="D205" s="20" t="s">
        <v>22</v>
      </c>
      <c r="E205" s="21">
        <f>ROUND(17774*1.05,2)</f>
      </c>
      <c r="F205" s="20" t="s">
        <v>51</v>
      </c>
      <c r="G205" s="20" t="s">
        <v>24</v>
      </c>
      <c r="H205" s="21">
        <f>ROUND(RAND()*4+6,1)</f>
      </c>
      <c r="I205" s="20" t="s">
        <v>25</v>
      </c>
      <c r="J205" s="23">
        <f>ROUND(93*1,0)&amp;"%"</f>
      </c>
    </row>
    <row x14ac:dyDescent="0.25" r="206" customHeight="1" ht="17.25">
      <c r="A206" s="24" t="s">
        <v>347</v>
      </c>
      <c r="B206" s="24"/>
      <c r="C206" s="24"/>
      <c r="D206" s="24"/>
      <c r="E206" s="25">
        <v>8</v>
      </c>
      <c r="F206" s="9"/>
      <c r="G206" s="9"/>
      <c r="H206" s="10"/>
      <c r="I206" s="9"/>
      <c r="J206" s="9"/>
    </row>
    <row x14ac:dyDescent="0.25" r="207" customHeight="1" ht="17.25">
      <c r="A207" s="7"/>
      <c r="B207" s="7"/>
      <c r="C207" s="7"/>
      <c r="D207" s="7"/>
      <c r="E207" s="8"/>
      <c r="F207" s="9"/>
      <c r="G207" s="9"/>
      <c r="H207" s="10"/>
      <c r="I207" s="9"/>
      <c r="J207" s="9"/>
    </row>
    <row x14ac:dyDescent="0.25" r="208" customHeight="1" ht="17.25">
      <c r="A208" s="11" t="s">
        <v>7240</v>
      </c>
      <c r="B208" s="11"/>
      <c r="C208" s="11"/>
      <c r="D208" s="11"/>
      <c r="E208" s="12"/>
      <c r="F208" s="11"/>
      <c r="G208" s="11"/>
      <c r="H208" s="13"/>
      <c r="I208" s="11"/>
      <c r="J208" s="11"/>
    </row>
    <row x14ac:dyDescent="0.25" r="209" customHeight="1" ht="17.25">
      <c r="A209" s="14" t="s">
        <v>3</v>
      </c>
      <c r="B209" s="14" t="s">
        <v>4</v>
      </c>
      <c r="C209" s="14" t="s">
        <v>5</v>
      </c>
      <c r="D209" s="14" t="s">
        <v>6</v>
      </c>
      <c r="E209" s="15" t="s">
        <v>7</v>
      </c>
      <c r="F209" s="14" t="s">
        <v>8</v>
      </c>
      <c r="G209" s="14" t="s">
        <v>9</v>
      </c>
      <c r="H209" s="16" t="s">
        <v>10</v>
      </c>
      <c r="I209" s="14" t="s">
        <v>11</v>
      </c>
      <c r="J209" s="14" t="s">
        <v>12</v>
      </c>
    </row>
    <row x14ac:dyDescent="0.25" r="210" customHeight="1" ht="17.25">
      <c r="A210" s="17" t="s">
        <v>7241</v>
      </c>
      <c r="B210" s="17" t="s">
        <v>350</v>
      </c>
      <c r="C210" s="17" t="s">
        <v>95</v>
      </c>
      <c r="D210" s="17" t="s">
        <v>16</v>
      </c>
      <c r="E210" s="18">
        <f>ROUND(15256*1.05,2)</f>
      </c>
      <c r="F210" s="17" t="s">
        <v>17</v>
      </c>
      <c r="G210" s="17" t="s">
        <v>18</v>
      </c>
      <c r="H210" s="18">
        <f>ROUND(RAND()*4+6,1)</f>
      </c>
      <c r="I210" s="17" t="s">
        <v>19</v>
      </c>
      <c r="J210" s="19">
        <f>ROUND(89*1,0)&amp;"%"</f>
      </c>
    </row>
    <row x14ac:dyDescent="0.25" r="211" customHeight="1" ht="17.25">
      <c r="A211" s="20" t="s">
        <v>7242</v>
      </c>
      <c r="B211" s="20" t="s">
        <v>352</v>
      </c>
      <c r="C211" s="20" t="s">
        <v>95</v>
      </c>
      <c r="D211" s="20" t="s">
        <v>22</v>
      </c>
      <c r="E211" s="21">
        <f>ROUND(7024*1.05,2)</f>
      </c>
      <c r="F211" s="20" t="s">
        <v>23</v>
      </c>
      <c r="G211" s="20" t="s">
        <v>24</v>
      </c>
      <c r="H211" s="21">
        <f>ROUND(RAND()*4+6,1)</f>
      </c>
      <c r="I211" s="20" t="s">
        <v>25</v>
      </c>
      <c r="J211" s="23">
        <f>ROUND(78*1,0)&amp;"%"</f>
      </c>
    </row>
    <row x14ac:dyDescent="0.25" r="212" customHeight="1" ht="17.25">
      <c r="A212" s="17" t="s">
        <v>7243</v>
      </c>
      <c r="B212" s="17" t="s">
        <v>354</v>
      </c>
      <c r="C212" s="17" t="s">
        <v>95</v>
      </c>
      <c r="D212" s="17" t="s">
        <v>28</v>
      </c>
      <c r="E212" s="18">
        <f>ROUND(9968*1.05,2)</f>
      </c>
      <c r="F212" s="17" t="s">
        <v>29</v>
      </c>
      <c r="G212" s="17" t="s">
        <v>30</v>
      </c>
      <c r="H212" s="18">
        <f>ROUND(RAND()*4+6,1)</f>
      </c>
      <c r="I212" s="17" t="s">
        <v>31</v>
      </c>
      <c r="J212" s="19">
        <f>ROUND(73*1,0)&amp;"%"</f>
      </c>
    </row>
    <row x14ac:dyDescent="0.25" r="213" customHeight="1" ht="17.25">
      <c r="A213" s="20" t="s">
        <v>7244</v>
      </c>
      <c r="B213" s="20" t="s">
        <v>356</v>
      </c>
      <c r="C213" s="20" t="s">
        <v>95</v>
      </c>
      <c r="D213" s="20" t="s">
        <v>34</v>
      </c>
      <c r="E213" s="21">
        <f>ROUND(13885*1.05,2)</f>
      </c>
      <c r="F213" s="20" t="s">
        <v>35</v>
      </c>
      <c r="G213" s="20" t="s">
        <v>18</v>
      </c>
      <c r="H213" s="21">
        <f>ROUND(RAND()*4+6,1)</f>
      </c>
      <c r="I213" s="20" t="s">
        <v>36</v>
      </c>
      <c r="J213" s="23">
        <f>ROUND(62*1,0)&amp;"%"</f>
      </c>
    </row>
    <row x14ac:dyDescent="0.25" r="214" customHeight="1" ht="17.25">
      <c r="A214" s="17" t="s">
        <v>7245</v>
      </c>
      <c r="B214" s="17" t="s">
        <v>358</v>
      </c>
      <c r="C214" s="17" t="s">
        <v>95</v>
      </c>
      <c r="D214" s="17" t="s">
        <v>39</v>
      </c>
      <c r="E214" s="18">
        <f>ROUND(4677*1.05,2)</f>
      </c>
      <c r="F214" s="17" t="s">
        <v>40</v>
      </c>
      <c r="G214" s="17" t="s">
        <v>24</v>
      </c>
      <c r="H214" s="18">
        <f>ROUND(RAND()*4+6,1)</f>
      </c>
      <c r="I214" s="17" t="s">
        <v>41</v>
      </c>
      <c r="J214" s="19">
        <f>ROUND(98*1,0)&amp;"%"</f>
      </c>
    </row>
    <row x14ac:dyDescent="0.25" r="215" customHeight="1" ht="17.25">
      <c r="A215" s="20" t="s">
        <v>7246</v>
      </c>
      <c r="B215" s="20" t="s">
        <v>360</v>
      </c>
      <c r="C215" s="20" t="s">
        <v>95</v>
      </c>
      <c r="D215" s="20" t="s">
        <v>67</v>
      </c>
      <c r="E215" s="21">
        <f>ROUND(16087*1.05,2)</f>
      </c>
      <c r="F215" s="20" t="s">
        <v>44</v>
      </c>
      <c r="G215" s="20" t="s">
        <v>30</v>
      </c>
      <c r="H215" s="21">
        <f>ROUND(RAND()*4+6,1)</f>
      </c>
      <c r="I215" s="20" t="s">
        <v>45</v>
      </c>
      <c r="J215" s="23">
        <f>ROUND(96*1,0)&amp;"%"</f>
      </c>
    </row>
    <row x14ac:dyDescent="0.25" r="216" customHeight="1" ht="17.25">
      <c r="A216" s="17" t="s">
        <v>7247</v>
      </c>
      <c r="B216" s="17" t="s">
        <v>362</v>
      </c>
      <c r="C216" s="17" t="s">
        <v>95</v>
      </c>
      <c r="D216" s="17" t="s">
        <v>16</v>
      </c>
      <c r="E216" s="18">
        <f>ROUND(6069*1.05,2)</f>
      </c>
      <c r="F216" s="17" t="s">
        <v>48</v>
      </c>
      <c r="G216" s="17" t="s">
        <v>18</v>
      </c>
      <c r="H216" s="18">
        <f>ROUND(RAND()*4+6,1)</f>
      </c>
      <c r="I216" s="17" t="s">
        <v>19</v>
      </c>
      <c r="J216" s="19">
        <f>ROUND(100*1,0)&amp;"%"</f>
      </c>
    </row>
    <row x14ac:dyDescent="0.25" r="217" customHeight="1" ht="17.25">
      <c r="A217" s="20" t="s">
        <v>7248</v>
      </c>
      <c r="B217" s="20" t="s">
        <v>364</v>
      </c>
      <c r="C217" s="20" t="s">
        <v>95</v>
      </c>
      <c r="D217" s="20" t="s">
        <v>22</v>
      </c>
      <c r="E217" s="21">
        <f>ROUND(6107*1.05,2)</f>
      </c>
      <c r="F217" s="20" t="s">
        <v>51</v>
      </c>
      <c r="G217" s="20" t="s">
        <v>24</v>
      </c>
      <c r="H217" s="21">
        <f>ROUND(RAND()*4+6,1)</f>
      </c>
      <c r="I217" s="20" t="s">
        <v>25</v>
      </c>
      <c r="J217" s="23">
        <f>ROUND(96*1,0)&amp;"%"</f>
      </c>
    </row>
    <row x14ac:dyDescent="0.25" r="218" customHeight="1" ht="17.25">
      <c r="A218" s="24" t="s">
        <v>365</v>
      </c>
      <c r="B218" s="24"/>
      <c r="C218" s="24"/>
      <c r="D218" s="24"/>
      <c r="E218" s="25">
        <v>8</v>
      </c>
      <c r="F218" s="9"/>
      <c r="G218" s="9"/>
      <c r="H218" s="10"/>
      <c r="I218" s="9"/>
      <c r="J218" s="9"/>
    </row>
    <row x14ac:dyDescent="0.25" r="219" customHeight="1" ht="17.25">
      <c r="A219" s="7"/>
      <c r="B219" s="7"/>
      <c r="C219" s="7"/>
      <c r="D219" s="7"/>
      <c r="E219" s="8"/>
      <c r="F219" s="9"/>
      <c r="G219" s="9"/>
      <c r="H219" s="10"/>
      <c r="I219" s="9"/>
      <c r="J219" s="9"/>
    </row>
    <row x14ac:dyDescent="0.25" r="220" customHeight="1" ht="17.25">
      <c r="A220" s="11" t="s">
        <v>7249</v>
      </c>
      <c r="B220" s="11"/>
      <c r="C220" s="11"/>
      <c r="D220" s="11"/>
      <c r="E220" s="12"/>
      <c r="F220" s="11"/>
      <c r="G220" s="11"/>
      <c r="H220" s="13"/>
      <c r="I220" s="11"/>
      <c r="J220" s="11"/>
    </row>
    <row x14ac:dyDescent="0.25" r="221" customHeight="1" ht="17.25">
      <c r="A221" s="14" t="s">
        <v>3</v>
      </c>
      <c r="B221" s="14" t="s">
        <v>4</v>
      </c>
      <c r="C221" s="14" t="s">
        <v>5</v>
      </c>
      <c r="D221" s="14" t="s">
        <v>6</v>
      </c>
      <c r="E221" s="15" t="s">
        <v>7</v>
      </c>
      <c r="F221" s="14" t="s">
        <v>8</v>
      </c>
      <c r="G221" s="14" t="s">
        <v>9</v>
      </c>
      <c r="H221" s="16" t="s">
        <v>10</v>
      </c>
      <c r="I221" s="14" t="s">
        <v>11</v>
      </c>
      <c r="J221" s="14" t="s">
        <v>12</v>
      </c>
    </row>
    <row x14ac:dyDescent="0.25" r="222" customHeight="1" ht="17.25">
      <c r="A222" s="17" t="s">
        <v>7250</v>
      </c>
      <c r="B222" s="17" t="s">
        <v>368</v>
      </c>
      <c r="C222" s="17" t="s">
        <v>114</v>
      </c>
      <c r="D222" s="17" t="s">
        <v>16</v>
      </c>
      <c r="E222" s="18">
        <f>ROUND(6539*1.05,2)</f>
      </c>
      <c r="F222" s="17" t="s">
        <v>17</v>
      </c>
      <c r="G222" s="17" t="s">
        <v>18</v>
      </c>
      <c r="H222" s="18">
        <f>ROUND(RAND()*4+6,1)</f>
      </c>
      <c r="I222" s="17" t="s">
        <v>19</v>
      </c>
      <c r="J222" s="19">
        <f>ROUND(61*1,0)&amp;"%"</f>
      </c>
    </row>
    <row x14ac:dyDescent="0.25" r="223" customHeight="1" ht="17.25">
      <c r="A223" s="20" t="s">
        <v>7251</v>
      </c>
      <c r="B223" s="20" t="s">
        <v>370</v>
      </c>
      <c r="C223" s="20" t="s">
        <v>114</v>
      </c>
      <c r="D223" s="20" t="s">
        <v>22</v>
      </c>
      <c r="E223" s="21">
        <f>ROUND(7232*1.05,2)</f>
      </c>
      <c r="F223" s="20" t="s">
        <v>23</v>
      </c>
      <c r="G223" s="20" t="s">
        <v>24</v>
      </c>
      <c r="H223" s="21">
        <f>ROUND(RAND()*4+6,1)</f>
      </c>
      <c r="I223" s="20" t="s">
        <v>25</v>
      </c>
      <c r="J223" s="23">
        <f>ROUND(75*1,0)&amp;"%"</f>
      </c>
    </row>
    <row x14ac:dyDescent="0.25" r="224" customHeight="1" ht="17.25">
      <c r="A224" s="17" t="s">
        <v>7252</v>
      </c>
      <c r="B224" s="17" t="s">
        <v>372</v>
      </c>
      <c r="C224" s="17" t="s">
        <v>114</v>
      </c>
      <c r="D224" s="17" t="s">
        <v>28</v>
      </c>
      <c r="E224" s="18">
        <f>ROUND(13782*1.05,2)</f>
      </c>
      <c r="F224" s="17" t="s">
        <v>29</v>
      </c>
      <c r="G224" s="17" t="s">
        <v>30</v>
      </c>
      <c r="H224" s="18">
        <f>ROUND(RAND()*4+6,1)</f>
      </c>
      <c r="I224" s="17" t="s">
        <v>31</v>
      </c>
      <c r="J224" s="19">
        <f>ROUND(99*1,0)&amp;"%"</f>
      </c>
    </row>
    <row x14ac:dyDescent="0.25" r="225" customHeight="1" ht="17.25">
      <c r="A225" s="20" t="s">
        <v>7253</v>
      </c>
      <c r="B225" s="20" t="s">
        <v>374</v>
      </c>
      <c r="C225" s="20" t="s">
        <v>114</v>
      </c>
      <c r="D225" s="20" t="s">
        <v>34</v>
      </c>
      <c r="E225" s="21">
        <f>ROUND(10611*1.05,2)</f>
      </c>
      <c r="F225" s="20" t="s">
        <v>35</v>
      </c>
      <c r="G225" s="20" t="s">
        <v>18</v>
      </c>
      <c r="H225" s="21">
        <f>ROUND(RAND()*4+6,1)</f>
      </c>
      <c r="I225" s="20" t="s">
        <v>36</v>
      </c>
      <c r="J225" s="23">
        <f>ROUND(69*1,0)&amp;"%"</f>
      </c>
    </row>
    <row x14ac:dyDescent="0.25" r="226" customHeight="1" ht="17.25">
      <c r="A226" s="17" t="s">
        <v>7254</v>
      </c>
      <c r="B226" s="17" t="s">
        <v>376</v>
      </c>
      <c r="C226" s="17" t="s">
        <v>114</v>
      </c>
      <c r="D226" s="17" t="s">
        <v>39</v>
      </c>
      <c r="E226" s="18">
        <f>ROUND(10388*1.05,2)</f>
      </c>
      <c r="F226" s="17" t="s">
        <v>40</v>
      </c>
      <c r="G226" s="17" t="s">
        <v>24</v>
      </c>
      <c r="H226" s="18">
        <f>ROUND(RAND()*4+6,1)</f>
      </c>
      <c r="I226" s="17" t="s">
        <v>41</v>
      </c>
      <c r="J226" s="19">
        <f>ROUND(99*1,0)&amp;"%"</f>
      </c>
    </row>
    <row x14ac:dyDescent="0.25" r="227" customHeight="1" ht="17.25">
      <c r="A227" s="20" t="s">
        <v>7255</v>
      </c>
      <c r="B227" s="20" t="s">
        <v>378</v>
      </c>
      <c r="C227" s="20" t="s">
        <v>114</v>
      </c>
      <c r="D227" s="20" t="s">
        <v>67</v>
      </c>
      <c r="E227" s="21">
        <f>ROUND(13042*1.05,2)</f>
      </c>
      <c r="F227" s="20" t="s">
        <v>44</v>
      </c>
      <c r="G227" s="20" t="s">
        <v>30</v>
      </c>
      <c r="H227" s="21">
        <f>ROUND(RAND()*4+6,1)</f>
      </c>
      <c r="I227" s="20" t="s">
        <v>45</v>
      </c>
      <c r="J227" s="23">
        <f>ROUND(62*1,0)&amp;"%"</f>
      </c>
    </row>
    <row x14ac:dyDescent="0.25" r="228" customHeight="1" ht="17.25">
      <c r="A228" s="17" t="s">
        <v>7256</v>
      </c>
      <c r="B228" s="17" t="s">
        <v>380</v>
      </c>
      <c r="C228" s="17" t="s">
        <v>114</v>
      </c>
      <c r="D228" s="17" t="s">
        <v>16</v>
      </c>
      <c r="E228" s="18">
        <f>ROUND(11355*1.05,2)</f>
      </c>
      <c r="F228" s="17" t="s">
        <v>48</v>
      </c>
      <c r="G228" s="17" t="s">
        <v>18</v>
      </c>
      <c r="H228" s="18">
        <f>ROUND(RAND()*4+6,1)</f>
      </c>
      <c r="I228" s="17" t="s">
        <v>19</v>
      </c>
      <c r="J228" s="19">
        <f>ROUND(74*1,0)&amp;"%"</f>
      </c>
    </row>
    <row x14ac:dyDescent="0.25" r="229" customHeight="1" ht="17.25">
      <c r="A229" s="20" t="s">
        <v>7257</v>
      </c>
      <c r="B229" s="20" t="s">
        <v>382</v>
      </c>
      <c r="C229" s="20" t="s">
        <v>114</v>
      </c>
      <c r="D229" s="20" t="s">
        <v>22</v>
      </c>
      <c r="E229" s="21">
        <f>ROUND(12919*1.05,2)</f>
      </c>
      <c r="F229" s="20" t="s">
        <v>51</v>
      </c>
      <c r="G229" s="20" t="s">
        <v>24</v>
      </c>
      <c r="H229" s="21">
        <f>ROUND(RAND()*4+6,1)</f>
      </c>
      <c r="I229" s="20" t="s">
        <v>25</v>
      </c>
      <c r="J229" s="23">
        <f>ROUND(75*1,0)&amp;"%"</f>
      </c>
    </row>
    <row x14ac:dyDescent="0.25" r="230" customHeight="1" ht="17.25">
      <c r="A230" s="24" t="s">
        <v>383</v>
      </c>
      <c r="B230" s="24"/>
      <c r="C230" s="24"/>
      <c r="D230" s="24"/>
      <c r="E230" s="25">
        <v>8</v>
      </c>
      <c r="F230" s="9"/>
      <c r="G230" s="9"/>
      <c r="H230" s="10"/>
      <c r="I230" s="9"/>
      <c r="J230" s="9"/>
    </row>
    <row x14ac:dyDescent="0.25" r="231" customHeight="1" ht="17.25">
      <c r="A231" s="7"/>
      <c r="B231" s="7"/>
      <c r="C231" s="7"/>
      <c r="D231" s="7"/>
      <c r="E231" s="8"/>
      <c r="F231" s="9"/>
      <c r="G231" s="9"/>
      <c r="H231" s="10"/>
      <c r="I231" s="9"/>
      <c r="J231" s="9"/>
    </row>
    <row x14ac:dyDescent="0.25" r="232" customHeight="1" ht="17.25">
      <c r="A232" s="11" t="s">
        <v>7258</v>
      </c>
      <c r="B232" s="11"/>
      <c r="C232" s="11"/>
      <c r="D232" s="11"/>
      <c r="E232" s="12"/>
      <c r="F232" s="11"/>
      <c r="G232" s="11"/>
      <c r="H232" s="13"/>
      <c r="I232" s="11"/>
      <c r="J232" s="11"/>
    </row>
    <row x14ac:dyDescent="0.25" r="233" customHeight="1" ht="17.25">
      <c r="A233" s="14" t="s">
        <v>3</v>
      </c>
      <c r="B233" s="14" t="s">
        <v>4</v>
      </c>
      <c r="C233" s="14" t="s">
        <v>5</v>
      </c>
      <c r="D233" s="14" t="s">
        <v>6</v>
      </c>
      <c r="E233" s="15" t="s">
        <v>7</v>
      </c>
      <c r="F233" s="14" t="s">
        <v>8</v>
      </c>
      <c r="G233" s="14" t="s">
        <v>9</v>
      </c>
      <c r="H233" s="16" t="s">
        <v>10</v>
      </c>
      <c r="I233" s="14" t="s">
        <v>11</v>
      </c>
      <c r="J233" s="14" t="s">
        <v>12</v>
      </c>
    </row>
    <row x14ac:dyDescent="0.25" r="234" customHeight="1" ht="17.25">
      <c r="A234" s="17" t="s">
        <v>7259</v>
      </c>
      <c r="B234" s="17" t="s">
        <v>386</v>
      </c>
      <c r="C234" s="17" t="s">
        <v>133</v>
      </c>
      <c r="D234" s="17" t="s">
        <v>16</v>
      </c>
      <c r="E234" s="18">
        <f>ROUND(10061*1.05,2)</f>
      </c>
      <c r="F234" s="17" t="s">
        <v>17</v>
      </c>
      <c r="G234" s="17" t="s">
        <v>18</v>
      </c>
      <c r="H234" s="18">
        <f>ROUND(RAND()*4+6,1)</f>
      </c>
      <c r="I234" s="17" t="s">
        <v>19</v>
      </c>
      <c r="J234" s="19">
        <f>ROUND(97*1,0)&amp;"%"</f>
      </c>
    </row>
    <row x14ac:dyDescent="0.25" r="235" customHeight="1" ht="17.25">
      <c r="A235" s="20" t="s">
        <v>7260</v>
      </c>
      <c r="B235" s="20" t="s">
        <v>388</v>
      </c>
      <c r="C235" s="20" t="s">
        <v>133</v>
      </c>
      <c r="D235" s="20" t="s">
        <v>22</v>
      </c>
      <c r="E235" s="21">
        <f>ROUND(15045*1.05,2)</f>
      </c>
      <c r="F235" s="20" t="s">
        <v>23</v>
      </c>
      <c r="G235" s="20" t="s">
        <v>24</v>
      </c>
      <c r="H235" s="21">
        <f>ROUND(RAND()*4+6,1)</f>
      </c>
      <c r="I235" s="20" t="s">
        <v>25</v>
      </c>
      <c r="J235" s="23">
        <f>ROUND(90*1,0)&amp;"%"</f>
      </c>
    </row>
    <row x14ac:dyDescent="0.25" r="236" customHeight="1" ht="17.25">
      <c r="A236" s="17" t="s">
        <v>7261</v>
      </c>
      <c r="B236" s="17" t="s">
        <v>390</v>
      </c>
      <c r="C236" s="17" t="s">
        <v>133</v>
      </c>
      <c r="D236" s="17" t="s">
        <v>28</v>
      </c>
      <c r="E236" s="18">
        <f>ROUND(14772*1.05,2)</f>
      </c>
      <c r="F236" s="17" t="s">
        <v>29</v>
      </c>
      <c r="G236" s="17" t="s">
        <v>30</v>
      </c>
      <c r="H236" s="18">
        <f>ROUND(RAND()*4+6,1)</f>
      </c>
      <c r="I236" s="17" t="s">
        <v>31</v>
      </c>
      <c r="J236" s="19">
        <f>ROUND(82*1,0)&amp;"%"</f>
      </c>
    </row>
    <row x14ac:dyDescent="0.25" r="237" customHeight="1" ht="17.25">
      <c r="A237" s="20" t="s">
        <v>7262</v>
      </c>
      <c r="B237" s="20" t="s">
        <v>392</v>
      </c>
      <c r="C237" s="20" t="s">
        <v>133</v>
      </c>
      <c r="D237" s="20" t="s">
        <v>34</v>
      </c>
      <c r="E237" s="21">
        <f>ROUND(9335*1.05,2)</f>
      </c>
      <c r="F237" s="20" t="s">
        <v>35</v>
      </c>
      <c r="G237" s="20" t="s">
        <v>18</v>
      </c>
      <c r="H237" s="21">
        <f>ROUND(RAND()*4+6,1)</f>
      </c>
      <c r="I237" s="20" t="s">
        <v>36</v>
      </c>
      <c r="J237" s="23">
        <f>ROUND(68*1,0)&amp;"%"</f>
      </c>
    </row>
    <row x14ac:dyDescent="0.25" r="238" customHeight="1" ht="17.25">
      <c r="A238" s="17" t="s">
        <v>7263</v>
      </c>
      <c r="B238" s="17" t="s">
        <v>394</v>
      </c>
      <c r="C238" s="17" t="s">
        <v>133</v>
      </c>
      <c r="D238" s="17" t="s">
        <v>39</v>
      </c>
      <c r="E238" s="18">
        <f>ROUND(12394*1.05,2)</f>
      </c>
      <c r="F238" s="17" t="s">
        <v>40</v>
      </c>
      <c r="G238" s="17" t="s">
        <v>24</v>
      </c>
      <c r="H238" s="18">
        <f>ROUND(RAND()*4+6,1)</f>
      </c>
      <c r="I238" s="17" t="s">
        <v>41</v>
      </c>
      <c r="J238" s="19">
        <f>ROUND(88*1,0)&amp;"%"</f>
      </c>
    </row>
    <row x14ac:dyDescent="0.25" r="239" customHeight="1" ht="17.25">
      <c r="A239" s="20" t="s">
        <v>7264</v>
      </c>
      <c r="B239" s="20" t="s">
        <v>396</v>
      </c>
      <c r="C239" s="20" t="s">
        <v>133</v>
      </c>
      <c r="D239" s="20" t="s">
        <v>67</v>
      </c>
      <c r="E239" s="21">
        <f>ROUND(15426*1.05,2)</f>
      </c>
      <c r="F239" s="20" t="s">
        <v>44</v>
      </c>
      <c r="G239" s="20" t="s">
        <v>30</v>
      </c>
      <c r="H239" s="21">
        <f>ROUND(RAND()*4+6,1)</f>
      </c>
      <c r="I239" s="20" t="s">
        <v>45</v>
      </c>
      <c r="J239" s="23">
        <f>ROUND(64*1,0)&amp;"%"</f>
      </c>
    </row>
    <row x14ac:dyDescent="0.25" r="240" customHeight="1" ht="17.25">
      <c r="A240" s="17" t="s">
        <v>7265</v>
      </c>
      <c r="B240" s="17" t="s">
        <v>398</v>
      </c>
      <c r="C240" s="17" t="s">
        <v>133</v>
      </c>
      <c r="D240" s="17" t="s">
        <v>16</v>
      </c>
      <c r="E240" s="26">
        <f>ROUND(11680*1.05,2)</f>
      </c>
      <c r="F240" s="17" t="s">
        <v>48</v>
      </c>
      <c r="G240" s="17" t="s">
        <v>18</v>
      </c>
      <c r="H240" s="26">
        <f>ROUND(RAND()*4+6,1)</f>
      </c>
      <c r="I240" s="17" t="s">
        <v>19</v>
      </c>
      <c r="J240" s="19">
        <f>ROUND(92*1,0)&amp;"%"</f>
      </c>
    </row>
    <row x14ac:dyDescent="0.25" r="241" customHeight="1" ht="17.25">
      <c r="A241" s="20" t="s">
        <v>7266</v>
      </c>
      <c r="B241" s="20" t="s">
        <v>400</v>
      </c>
      <c r="C241" s="20" t="s">
        <v>133</v>
      </c>
      <c r="D241" s="20" t="s">
        <v>22</v>
      </c>
      <c r="E241" s="21">
        <f>ROUND(12679*1.05,2)</f>
      </c>
      <c r="F241" s="20" t="s">
        <v>51</v>
      </c>
      <c r="G241" s="20" t="s">
        <v>24</v>
      </c>
      <c r="H241" s="21">
        <f>ROUND(RAND()*4+6,1)</f>
      </c>
      <c r="I241" s="20" t="s">
        <v>25</v>
      </c>
      <c r="J241" s="23">
        <f>ROUND(80*1,0)&amp;"%"</f>
      </c>
    </row>
    <row x14ac:dyDescent="0.25" r="242" customHeight="1" ht="17.25">
      <c r="A242" s="24" t="s">
        <v>401</v>
      </c>
      <c r="B242" s="24"/>
      <c r="C242" s="24"/>
      <c r="D242" s="24"/>
      <c r="E242" s="25">
        <v>8</v>
      </c>
      <c r="F242" s="9"/>
      <c r="G242" s="9"/>
      <c r="H242" s="10"/>
      <c r="I242" s="9"/>
      <c r="J242" s="9"/>
    </row>
    <row x14ac:dyDescent="0.25" r="243" customHeight="1" ht="17.25">
      <c r="A243" s="7"/>
      <c r="B243" s="7"/>
      <c r="C243" s="7"/>
      <c r="D243" s="7"/>
      <c r="E243" s="8"/>
      <c r="F243" s="9"/>
      <c r="G243" s="9"/>
      <c r="H243" s="10"/>
      <c r="I243" s="9"/>
      <c r="J243" s="9"/>
    </row>
    <row x14ac:dyDescent="0.25" r="244" customHeight="1" ht="17.25">
      <c r="A244" s="11" t="s">
        <v>7267</v>
      </c>
      <c r="B244" s="11"/>
      <c r="C244" s="11"/>
      <c r="D244" s="11"/>
      <c r="E244" s="12"/>
      <c r="F244" s="11"/>
      <c r="G244" s="11"/>
      <c r="H244" s="13"/>
      <c r="I244" s="11"/>
      <c r="J244" s="11"/>
    </row>
    <row x14ac:dyDescent="0.25" r="245" customHeight="1" ht="17.25">
      <c r="A245" s="14" t="s">
        <v>3</v>
      </c>
      <c r="B245" s="14" t="s">
        <v>4</v>
      </c>
      <c r="C245" s="14" t="s">
        <v>5</v>
      </c>
      <c r="D245" s="14" t="s">
        <v>6</v>
      </c>
      <c r="E245" s="15" t="s">
        <v>7</v>
      </c>
      <c r="F245" s="14" t="s">
        <v>8</v>
      </c>
      <c r="G245" s="14" t="s">
        <v>9</v>
      </c>
      <c r="H245" s="16" t="s">
        <v>10</v>
      </c>
      <c r="I245" s="14" t="s">
        <v>11</v>
      </c>
      <c r="J245" s="14" t="s">
        <v>12</v>
      </c>
    </row>
    <row x14ac:dyDescent="0.25" r="246" customHeight="1" ht="17.25">
      <c r="A246" s="17" t="s">
        <v>7268</v>
      </c>
      <c r="B246" s="17" t="s">
        <v>404</v>
      </c>
      <c r="C246" s="17" t="s">
        <v>152</v>
      </c>
      <c r="D246" s="17" t="s">
        <v>16</v>
      </c>
      <c r="E246" s="18">
        <f>ROUND(6488*1.05,2)</f>
      </c>
      <c r="F246" s="17" t="s">
        <v>17</v>
      </c>
      <c r="G246" s="17" t="s">
        <v>18</v>
      </c>
      <c r="H246" s="18">
        <f>ROUND(RAND()*4+6,1)</f>
      </c>
      <c r="I246" s="17" t="s">
        <v>19</v>
      </c>
      <c r="J246" s="19">
        <f>ROUND(81*1,0)&amp;"%"</f>
      </c>
    </row>
    <row x14ac:dyDescent="0.25" r="247" customHeight="1" ht="17.25">
      <c r="A247" s="20" t="s">
        <v>7269</v>
      </c>
      <c r="B247" s="20" t="s">
        <v>406</v>
      </c>
      <c r="C247" s="20" t="s">
        <v>152</v>
      </c>
      <c r="D247" s="20" t="s">
        <v>22</v>
      </c>
      <c r="E247" s="21">
        <f>ROUND(6618*1.05,2)</f>
      </c>
      <c r="F247" s="20" t="s">
        <v>23</v>
      </c>
      <c r="G247" s="20" t="s">
        <v>24</v>
      </c>
      <c r="H247" s="22">
        <f>ROUND(RAND()*4+6,1)</f>
      </c>
      <c r="I247" s="20" t="s">
        <v>25</v>
      </c>
      <c r="J247" s="23">
        <f>ROUND(91*1,0)&amp;"%"</f>
      </c>
    </row>
    <row x14ac:dyDescent="0.25" r="248" customHeight="1" ht="17.25">
      <c r="A248" s="17" t="s">
        <v>7270</v>
      </c>
      <c r="B248" s="17" t="s">
        <v>408</v>
      </c>
      <c r="C248" s="17" t="s">
        <v>152</v>
      </c>
      <c r="D248" s="17" t="s">
        <v>28</v>
      </c>
      <c r="E248" s="18">
        <f>ROUND(15752*1.05,2)</f>
      </c>
      <c r="F248" s="17" t="s">
        <v>29</v>
      </c>
      <c r="G248" s="17" t="s">
        <v>30</v>
      </c>
      <c r="H248" s="18">
        <f>ROUND(RAND()*4+6,1)</f>
      </c>
      <c r="I248" s="17" t="s">
        <v>31</v>
      </c>
      <c r="J248" s="19">
        <f>ROUND(61*1,0)&amp;"%"</f>
      </c>
    </row>
    <row x14ac:dyDescent="0.25" r="249" customHeight="1" ht="17.25">
      <c r="A249" s="20" t="s">
        <v>7271</v>
      </c>
      <c r="B249" s="20" t="s">
        <v>410</v>
      </c>
      <c r="C249" s="20" t="s">
        <v>152</v>
      </c>
      <c r="D249" s="20" t="s">
        <v>34</v>
      </c>
      <c r="E249" s="21">
        <f>ROUND(7804*1.05,2)</f>
      </c>
      <c r="F249" s="20" t="s">
        <v>35</v>
      </c>
      <c r="G249" s="20" t="s">
        <v>18</v>
      </c>
      <c r="H249" s="22">
        <f>ROUND(RAND()*4+6,1)</f>
      </c>
      <c r="I249" s="20" t="s">
        <v>36</v>
      </c>
      <c r="J249" s="23">
        <f>ROUND(91*1,0)&amp;"%"</f>
      </c>
    </row>
    <row x14ac:dyDescent="0.25" r="250" customHeight="1" ht="17.25">
      <c r="A250" s="17" t="s">
        <v>7272</v>
      </c>
      <c r="B250" s="17" t="s">
        <v>412</v>
      </c>
      <c r="C250" s="17" t="s">
        <v>152</v>
      </c>
      <c r="D250" s="17" t="s">
        <v>39</v>
      </c>
      <c r="E250" s="18">
        <f>ROUND(6422*1.05,2)</f>
      </c>
      <c r="F250" s="17" t="s">
        <v>40</v>
      </c>
      <c r="G250" s="17" t="s">
        <v>24</v>
      </c>
      <c r="H250" s="18">
        <f>ROUND(RAND()*4+6,1)</f>
      </c>
      <c r="I250" s="17" t="s">
        <v>41</v>
      </c>
      <c r="J250" s="19">
        <f>ROUND(99*1,0)&amp;"%"</f>
      </c>
    </row>
    <row x14ac:dyDescent="0.25" r="251" customHeight="1" ht="17.25">
      <c r="A251" s="20" t="s">
        <v>7273</v>
      </c>
      <c r="B251" s="20" t="s">
        <v>414</v>
      </c>
      <c r="C251" s="20" t="s">
        <v>152</v>
      </c>
      <c r="D251" s="20" t="s">
        <v>67</v>
      </c>
      <c r="E251" s="21">
        <f>ROUND(11746*1.05,2)</f>
      </c>
      <c r="F251" s="20" t="s">
        <v>44</v>
      </c>
      <c r="G251" s="20" t="s">
        <v>30</v>
      </c>
      <c r="H251" s="21">
        <f>ROUND(RAND()*4+6,1)</f>
      </c>
      <c r="I251" s="20" t="s">
        <v>45</v>
      </c>
      <c r="J251" s="23">
        <f>ROUND(89*1,0)&amp;"%"</f>
      </c>
    </row>
    <row x14ac:dyDescent="0.25" r="252" customHeight="1" ht="17.25">
      <c r="A252" s="17" t="s">
        <v>7274</v>
      </c>
      <c r="B252" s="17" t="s">
        <v>416</v>
      </c>
      <c r="C252" s="17" t="s">
        <v>152</v>
      </c>
      <c r="D252" s="17" t="s">
        <v>16</v>
      </c>
      <c r="E252" s="18">
        <f>ROUND(9483*1.05,2)</f>
      </c>
      <c r="F252" s="17" t="s">
        <v>48</v>
      </c>
      <c r="G252" s="17" t="s">
        <v>18</v>
      </c>
      <c r="H252" s="18">
        <f>ROUND(RAND()*4+6,1)</f>
      </c>
      <c r="I252" s="17" t="s">
        <v>19</v>
      </c>
      <c r="J252" s="19">
        <f>ROUND(97*1,0)&amp;"%"</f>
      </c>
    </row>
    <row x14ac:dyDescent="0.25" r="253" customHeight="1" ht="17.25">
      <c r="A253" s="20" t="s">
        <v>7275</v>
      </c>
      <c r="B253" s="20" t="s">
        <v>418</v>
      </c>
      <c r="C253" s="20" t="s">
        <v>152</v>
      </c>
      <c r="D253" s="20" t="s">
        <v>22</v>
      </c>
      <c r="E253" s="21">
        <f>ROUND(10597*1.05,2)</f>
      </c>
      <c r="F253" s="20" t="s">
        <v>51</v>
      </c>
      <c r="G253" s="20" t="s">
        <v>24</v>
      </c>
      <c r="H253" s="21">
        <f>ROUND(RAND()*4+6,1)</f>
      </c>
      <c r="I253" s="20" t="s">
        <v>25</v>
      </c>
      <c r="J253" s="23">
        <f>ROUND(95*1,0)&amp;"%"</f>
      </c>
    </row>
    <row x14ac:dyDescent="0.25" r="254" customHeight="1" ht="17.25">
      <c r="A254" s="24" t="s">
        <v>419</v>
      </c>
      <c r="B254" s="24"/>
      <c r="C254" s="24"/>
      <c r="D254" s="24"/>
      <c r="E254" s="25">
        <v>8</v>
      </c>
      <c r="F254" s="9"/>
      <c r="G254" s="9"/>
      <c r="H254" s="10"/>
      <c r="I254" s="9"/>
      <c r="J254" s="9"/>
    </row>
    <row x14ac:dyDescent="0.25" r="255" customHeight="1" ht="17.25">
      <c r="A255" s="7"/>
      <c r="B255" s="7"/>
      <c r="C255" s="7"/>
      <c r="D255" s="7"/>
      <c r="E255" s="8"/>
      <c r="F255" s="9"/>
      <c r="G255" s="9"/>
      <c r="H255" s="10"/>
      <c r="I255" s="9"/>
      <c r="J255" s="9"/>
    </row>
    <row x14ac:dyDescent="0.25" r="256" customHeight="1" ht="17.25">
      <c r="A256" s="11" t="s">
        <v>7276</v>
      </c>
      <c r="B256" s="11"/>
      <c r="C256" s="11"/>
      <c r="D256" s="11"/>
      <c r="E256" s="12"/>
      <c r="F256" s="11"/>
      <c r="G256" s="11"/>
      <c r="H256" s="13"/>
      <c r="I256" s="11"/>
      <c r="J256" s="11"/>
    </row>
    <row x14ac:dyDescent="0.25" r="257" customHeight="1" ht="17.25">
      <c r="A257" s="14" t="s">
        <v>3</v>
      </c>
      <c r="B257" s="14" t="s">
        <v>4</v>
      </c>
      <c r="C257" s="14" t="s">
        <v>5</v>
      </c>
      <c r="D257" s="14" t="s">
        <v>6</v>
      </c>
      <c r="E257" s="15" t="s">
        <v>7</v>
      </c>
      <c r="F257" s="14" t="s">
        <v>8</v>
      </c>
      <c r="G257" s="14" t="s">
        <v>9</v>
      </c>
      <c r="H257" s="16" t="s">
        <v>10</v>
      </c>
      <c r="I257" s="14" t="s">
        <v>11</v>
      </c>
      <c r="J257" s="14" t="s">
        <v>12</v>
      </c>
    </row>
    <row x14ac:dyDescent="0.25" r="258" customHeight="1" ht="17.25">
      <c r="A258" s="17" t="s">
        <v>7277</v>
      </c>
      <c r="B258" s="17" t="s">
        <v>422</v>
      </c>
      <c r="C258" s="17" t="s">
        <v>15</v>
      </c>
      <c r="D258" s="17" t="s">
        <v>16</v>
      </c>
      <c r="E258" s="18">
        <f>ROUND(4779*1.05,2)</f>
      </c>
      <c r="F258" s="17" t="s">
        <v>17</v>
      </c>
      <c r="G258" s="17" t="s">
        <v>18</v>
      </c>
      <c r="H258" s="26">
        <f>ROUND(RAND()*4+6,1)</f>
      </c>
      <c r="I258" s="17" t="s">
        <v>19</v>
      </c>
      <c r="J258" s="19">
        <f>ROUND(62*1,0)&amp;"%"</f>
      </c>
    </row>
    <row x14ac:dyDescent="0.25" r="259" customHeight="1" ht="17.25">
      <c r="A259" s="20" t="s">
        <v>7278</v>
      </c>
      <c r="B259" s="20" t="s">
        <v>424</v>
      </c>
      <c r="C259" s="20" t="s">
        <v>15</v>
      </c>
      <c r="D259" s="20" t="s">
        <v>22</v>
      </c>
      <c r="E259" s="21">
        <f>ROUND(5245*1.05,2)</f>
      </c>
      <c r="F259" s="20" t="s">
        <v>23</v>
      </c>
      <c r="G259" s="20" t="s">
        <v>24</v>
      </c>
      <c r="H259" s="22">
        <f>ROUND(RAND()*4+6,1)</f>
      </c>
      <c r="I259" s="20" t="s">
        <v>25</v>
      </c>
      <c r="J259" s="23">
        <f>ROUND(90*1,0)&amp;"%"</f>
      </c>
    </row>
    <row x14ac:dyDescent="0.25" r="260" customHeight="1" ht="17.25">
      <c r="A260" s="17" t="s">
        <v>7279</v>
      </c>
      <c r="B260" s="17" t="s">
        <v>426</v>
      </c>
      <c r="C260" s="17" t="s">
        <v>15</v>
      </c>
      <c r="D260" s="17" t="s">
        <v>28</v>
      </c>
      <c r="E260" s="18">
        <f>ROUND(11490*1.05,2)</f>
      </c>
      <c r="F260" s="17" t="s">
        <v>29</v>
      </c>
      <c r="G260" s="17" t="s">
        <v>30</v>
      </c>
      <c r="H260" s="26">
        <f>ROUND(RAND()*4+6,1)</f>
      </c>
      <c r="I260" s="17" t="s">
        <v>31</v>
      </c>
      <c r="J260" s="19">
        <f>ROUND(60*1,0)&amp;"%"</f>
      </c>
    </row>
    <row x14ac:dyDescent="0.25" r="261" customHeight="1" ht="17.25">
      <c r="A261" s="20" t="s">
        <v>7280</v>
      </c>
      <c r="B261" s="20" t="s">
        <v>428</v>
      </c>
      <c r="C261" s="20" t="s">
        <v>15</v>
      </c>
      <c r="D261" s="20" t="s">
        <v>34</v>
      </c>
      <c r="E261" s="22">
        <f>ROUND(9520*1.05,2)</f>
      </c>
      <c r="F261" s="20" t="s">
        <v>35</v>
      </c>
      <c r="G261" s="20" t="s">
        <v>18</v>
      </c>
      <c r="H261" s="21">
        <f>ROUND(RAND()*4+6,1)</f>
      </c>
      <c r="I261" s="20" t="s">
        <v>36</v>
      </c>
      <c r="J261" s="23">
        <f>ROUND(80*1,0)&amp;"%"</f>
      </c>
    </row>
    <row x14ac:dyDescent="0.25" r="262" customHeight="1" ht="17.25">
      <c r="A262" s="17" t="s">
        <v>7281</v>
      </c>
      <c r="B262" s="17" t="s">
        <v>430</v>
      </c>
      <c r="C262" s="17" t="s">
        <v>15</v>
      </c>
      <c r="D262" s="17" t="s">
        <v>39</v>
      </c>
      <c r="E262" s="26">
        <f>ROUND(7400*1.05,2)</f>
      </c>
      <c r="F262" s="17" t="s">
        <v>40</v>
      </c>
      <c r="G262" s="17" t="s">
        <v>24</v>
      </c>
      <c r="H262" s="18">
        <f>ROUND(RAND()*4+6,1)</f>
      </c>
      <c r="I262" s="17" t="s">
        <v>41</v>
      </c>
      <c r="J262" s="19">
        <f>ROUND(69*1,0)&amp;"%"</f>
      </c>
    </row>
    <row x14ac:dyDescent="0.25" r="263" customHeight="1" ht="17.25">
      <c r="A263" s="20" t="s">
        <v>7282</v>
      </c>
      <c r="B263" s="20" t="s">
        <v>432</v>
      </c>
      <c r="C263" s="20" t="s">
        <v>15</v>
      </c>
      <c r="D263" s="20" t="s">
        <v>67</v>
      </c>
      <c r="E263" s="22">
        <f>ROUND(13940*1.05,2)</f>
      </c>
      <c r="F263" s="20" t="s">
        <v>44</v>
      </c>
      <c r="G263" s="20" t="s">
        <v>30</v>
      </c>
      <c r="H263" s="21">
        <f>ROUND(RAND()*4+6,1)</f>
      </c>
      <c r="I263" s="20" t="s">
        <v>45</v>
      </c>
      <c r="J263" s="23">
        <f>ROUND(63*1,0)&amp;"%"</f>
      </c>
    </row>
    <row x14ac:dyDescent="0.25" r="264" customHeight="1" ht="17.25">
      <c r="A264" s="17" t="s">
        <v>7283</v>
      </c>
      <c r="B264" s="17" t="s">
        <v>434</v>
      </c>
      <c r="C264" s="17" t="s">
        <v>15</v>
      </c>
      <c r="D264" s="17" t="s">
        <v>16</v>
      </c>
      <c r="E264" s="18">
        <f>ROUND(17823*1.05,2)</f>
      </c>
      <c r="F264" s="17" t="s">
        <v>48</v>
      </c>
      <c r="G264" s="17" t="s">
        <v>18</v>
      </c>
      <c r="H264" s="18">
        <f>ROUND(RAND()*4+6,1)</f>
      </c>
      <c r="I264" s="17" t="s">
        <v>19</v>
      </c>
      <c r="J264" s="19">
        <f>ROUND(85*1,0)&amp;"%"</f>
      </c>
    </row>
    <row x14ac:dyDescent="0.25" r="265" customHeight="1" ht="17.25">
      <c r="A265" s="20" t="s">
        <v>7284</v>
      </c>
      <c r="B265" s="20" t="s">
        <v>436</v>
      </c>
      <c r="C265" s="20" t="s">
        <v>15</v>
      </c>
      <c r="D265" s="20" t="s">
        <v>22</v>
      </c>
      <c r="E265" s="21">
        <f>ROUND(8429*1.05,2)</f>
      </c>
      <c r="F265" s="20" t="s">
        <v>51</v>
      </c>
      <c r="G265" s="20" t="s">
        <v>24</v>
      </c>
      <c r="H265" s="21">
        <f>ROUND(RAND()*4+6,1)</f>
      </c>
      <c r="I265" s="20" t="s">
        <v>25</v>
      </c>
      <c r="J265" s="23">
        <f>ROUND(86*1,0)&amp;"%"</f>
      </c>
    </row>
    <row x14ac:dyDescent="0.25" r="266" customHeight="1" ht="17.25">
      <c r="A266" s="24" t="s">
        <v>437</v>
      </c>
      <c r="B266" s="24"/>
      <c r="C266" s="24"/>
      <c r="D266" s="24"/>
      <c r="E266" s="25">
        <v>8</v>
      </c>
      <c r="F266" s="9"/>
      <c r="G266" s="9"/>
      <c r="H266" s="10"/>
      <c r="I266" s="9"/>
      <c r="J266" s="9"/>
    </row>
    <row x14ac:dyDescent="0.25" r="267" customHeight="1" ht="17.25">
      <c r="A267" s="7"/>
      <c r="B267" s="7"/>
      <c r="C267" s="7"/>
      <c r="D267" s="7"/>
      <c r="E267" s="8"/>
      <c r="F267" s="9"/>
      <c r="G267" s="9"/>
      <c r="H267" s="10"/>
      <c r="I267" s="9"/>
      <c r="J267" s="9"/>
    </row>
    <row x14ac:dyDescent="0.25" r="268" customHeight="1" ht="17.25">
      <c r="A268" s="11" t="s">
        <v>7285</v>
      </c>
      <c r="B268" s="11"/>
      <c r="C268" s="11"/>
      <c r="D268" s="11"/>
      <c r="E268" s="12"/>
      <c r="F268" s="11"/>
      <c r="G268" s="11"/>
      <c r="H268" s="13"/>
      <c r="I268" s="11"/>
      <c r="J268" s="11"/>
    </row>
    <row x14ac:dyDescent="0.25" r="269" customHeight="1" ht="17.25">
      <c r="A269" s="14" t="s">
        <v>3</v>
      </c>
      <c r="B269" s="14" t="s">
        <v>4</v>
      </c>
      <c r="C269" s="14" t="s">
        <v>5</v>
      </c>
      <c r="D269" s="14" t="s">
        <v>6</v>
      </c>
      <c r="E269" s="15" t="s">
        <v>7</v>
      </c>
      <c r="F269" s="14" t="s">
        <v>8</v>
      </c>
      <c r="G269" s="14" t="s">
        <v>9</v>
      </c>
      <c r="H269" s="16" t="s">
        <v>10</v>
      </c>
      <c r="I269" s="14" t="s">
        <v>11</v>
      </c>
      <c r="J269" s="14" t="s">
        <v>12</v>
      </c>
    </row>
    <row x14ac:dyDescent="0.25" r="270" customHeight="1" ht="17.25">
      <c r="A270" s="17" t="s">
        <v>7286</v>
      </c>
      <c r="B270" s="17" t="s">
        <v>440</v>
      </c>
      <c r="C270" s="17" t="s">
        <v>56</v>
      </c>
      <c r="D270" s="17" t="s">
        <v>16</v>
      </c>
      <c r="E270" s="18">
        <f>ROUND(8336*1.05,2)</f>
      </c>
      <c r="F270" s="17" t="s">
        <v>17</v>
      </c>
      <c r="G270" s="17" t="s">
        <v>18</v>
      </c>
      <c r="H270" s="18">
        <f>ROUND(RAND()*4+6,1)</f>
      </c>
      <c r="I270" s="17" t="s">
        <v>19</v>
      </c>
      <c r="J270" s="19">
        <f>ROUND(98*1,0)&amp;"%"</f>
      </c>
    </row>
    <row x14ac:dyDescent="0.25" r="271" customHeight="1" ht="17.25">
      <c r="A271" s="20" t="s">
        <v>7287</v>
      </c>
      <c r="B271" s="20" t="s">
        <v>442</v>
      </c>
      <c r="C271" s="20" t="s">
        <v>56</v>
      </c>
      <c r="D271" s="20" t="s">
        <v>22</v>
      </c>
      <c r="E271" s="21">
        <f>ROUND(11388*1.05,2)</f>
      </c>
      <c r="F271" s="20" t="s">
        <v>23</v>
      </c>
      <c r="G271" s="20" t="s">
        <v>24</v>
      </c>
      <c r="H271" s="21">
        <f>ROUND(RAND()*4+6,1)</f>
      </c>
      <c r="I271" s="20" t="s">
        <v>25</v>
      </c>
      <c r="J271" s="23">
        <f>ROUND(96*1,0)&amp;"%"</f>
      </c>
    </row>
    <row x14ac:dyDescent="0.25" r="272" customHeight="1" ht="17.25">
      <c r="A272" s="17" t="s">
        <v>7288</v>
      </c>
      <c r="B272" s="17" t="s">
        <v>444</v>
      </c>
      <c r="C272" s="17" t="s">
        <v>56</v>
      </c>
      <c r="D272" s="17" t="s">
        <v>28</v>
      </c>
      <c r="E272" s="18">
        <f>ROUND(15119*1.05,2)</f>
      </c>
      <c r="F272" s="17" t="s">
        <v>29</v>
      </c>
      <c r="G272" s="17" t="s">
        <v>30</v>
      </c>
      <c r="H272" s="18">
        <f>ROUND(RAND()*4+6,1)</f>
      </c>
      <c r="I272" s="17" t="s">
        <v>31</v>
      </c>
      <c r="J272" s="19">
        <f>ROUND(86*1,0)&amp;"%"</f>
      </c>
    </row>
    <row x14ac:dyDescent="0.25" r="273" customHeight="1" ht="17.25">
      <c r="A273" s="20" t="s">
        <v>7289</v>
      </c>
      <c r="B273" s="20" t="s">
        <v>446</v>
      </c>
      <c r="C273" s="20" t="s">
        <v>56</v>
      </c>
      <c r="D273" s="20" t="s">
        <v>34</v>
      </c>
      <c r="E273" s="21">
        <f>ROUND(8256*1.05,2)</f>
      </c>
      <c r="F273" s="20" t="s">
        <v>35</v>
      </c>
      <c r="G273" s="20" t="s">
        <v>18</v>
      </c>
      <c r="H273" s="21">
        <f>ROUND(RAND()*4+6,1)</f>
      </c>
      <c r="I273" s="20" t="s">
        <v>36</v>
      </c>
      <c r="J273" s="23">
        <f>ROUND(86*1,0)&amp;"%"</f>
      </c>
    </row>
    <row x14ac:dyDescent="0.25" r="274" customHeight="1" ht="17.25">
      <c r="A274" s="17" t="s">
        <v>7290</v>
      </c>
      <c r="B274" s="17" t="s">
        <v>448</v>
      </c>
      <c r="C274" s="17" t="s">
        <v>56</v>
      </c>
      <c r="D274" s="17" t="s">
        <v>39</v>
      </c>
      <c r="E274" s="18">
        <f>ROUND(16492*1.05,2)</f>
      </c>
      <c r="F274" s="17" t="s">
        <v>40</v>
      </c>
      <c r="G274" s="17" t="s">
        <v>24</v>
      </c>
      <c r="H274" s="18">
        <f>ROUND(RAND()*4+6,1)</f>
      </c>
      <c r="I274" s="17" t="s">
        <v>41</v>
      </c>
      <c r="J274" s="19">
        <f>ROUND(74*1,0)&amp;"%"</f>
      </c>
    </row>
    <row x14ac:dyDescent="0.25" r="275" customHeight="1" ht="17.25">
      <c r="A275" s="20" t="s">
        <v>7291</v>
      </c>
      <c r="B275" s="20" t="s">
        <v>450</v>
      </c>
      <c r="C275" s="20" t="s">
        <v>56</v>
      </c>
      <c r="D275" s="20" t="s">
        <v>67</v>
      </c>
      <c r="E275" s="21">
        <f>ROUND(15807*1.05,2)</f>
      </c>
      <c r="F275" s="20" t="s">
        <v>44</v>
      </c>
      <c r="G275" s="20" t="s">
        <v>30</v>
      </c>
      <c r="H275" s="21">
        <f>ROUND(RAND()*4+6,1)</f>
      </c>
      <c r="I275" s="20" t="s">
        <v>45</v>
      </c>
      <c r="J275" s="23">
        <f>ROUND(86*1,0)&amp;"%"</f>
      </c>
    </row>
    <row x14ac:dyDescent="0.25" r="276" customHeight="1" ht="17.25">
      <c r="A276" s="17" t="s">
        <v>7292</v>
      </c>
      <c r="B276" s="17" t="s">
        <v>452</v>
      </c>
      <c r="C276" s="17" t="s">
        <v>56</v>
      </c>
      <c r="D276" s="17" t="s">
        <v>16</v>
      </c>
      <c r="E276" s="18">
        <f>ROUND(13693*1.05,2)</f>
      </c>
      <c r="F276" s="17" t="s">
        <v>48</v>
      </c>
      <c r="G276" s="17" t="s">
        <v>18</v>
      </c>
      <c r="H276" s="18">
        <f>ROUND(RAND()*4+6,1)</f>
      </c>
      <c r="I276" s="17" t="s">
        <v>19</v>
      </c>
      <c r="J276" s="19">
        <f>ROUND(81*1,0)&amp;"%"</f>
      </c>
    </row>
    <row x14ac:dyDescent="0.25" r="277" customHeight="1" ht="17.25">
      <c r="A277" s="20" t="s">
        <v>7293</v>
      </c>
      <c r="B277" s="20" t="s">
        <v>454</v>
      </c>
      <c r="C277" s="20" t="s">
        <v>56</v>
      </c>
      <c r="D277" s="20" t="s">
        <v>22</v>
      </c>
      <c r="E277" s="21">
        <f>ROUND(13737*1.05,2)</f>
      </c>
      <c r="F277" s="20" t="s">
        <v>51</v>
      </c>
      <c r="G277" s="20" t="s">
        <v>24</v>
      </c>
      <c r="H277" s="22">
        <f>ROUND(RAND()*4+6,1)</f>
      </c>
      <c r="I277" s="20" t="s">
        <v>25</v>
      </c>
      <c r="J277" s="23">
        <f>ROUND(96*1,0)&amp;"%"</f>
      </c>
    </row>
    <row x14ac:dyDescent="0.25" r="278" customHeight="1" ht="17.25">
      <c r="A278" s="24" t="s">
        <v>455</v>
      </c>
      <c r="B278" s="24"/>
      <c r="C278" s="24"/>
      <c r="D278" s="24"/>
      <c r="E278" s="25">
        <v>8</v>
      </c>
      <c r="F278" s="9"/>
      <c r="G278" s="9"/>
      <c r="H278" s="10"/>
      <c r="I278" s="9"/>
      <c r="J278" s="9"/>
    </row>
    <row x14ac:dyDescent="0.25" r="279" customHeight="1" ht="17.25">
      <c r="A279" s="7"/>
      <c r="B279" s="7"/>
      <c r="C279" s="7"/>
      <c r="D279" s="7"/>
      <c r="E279" s="8"/>
      <c r="F279" s="9"/>
      <c r="G279" s="9"/>
      <c r="H279" s="10"/>
      <c r="I279" s="9"/>
      <c r="J279" s="9"/>
    </row>
    <row x14ac:dyDescent="0.25" r="280" customHeight="1" ht="17.25">
      <c r="A280" s="11" t="s">
        <v>7294</v>
      </c>
      <c r="B280" s="11"/>
      <c r="C280" s="11"/>
      <c r="D280" s="11"/>
      <c r="E280" s="12"/>
      <c r="F280" s="11"/>
      <c r="G280" s="11"/>
      <c r="H280" s="13"/>
      <c r="I280" s="11"/>
      <c r="J280" s="11"/>
    </row>
    <row x14ac:dyDescent="0.25" r="281" customHeight="1" ht="17.25">
      <c r="A281" s="14" t="s">
        <v>3</v>
      </c>
      <c r="B281" s="14" t="s">
        <v>4</v>
      </c>
      <c r="C281" s="14" t="s">
        <v>5</v>
      </c>
      <c r="D281" s="14" t="s">
        <v>6</v>
      </c>
      <c r="E281" s="15" t="s">
        <v>7</v>
      </c>
      <c r="F281" s="14" t="s">
        <v>8</v>
      </c>
      <c r="G281" s="14" t="s">
        <v>9</v>
      </c>
      <c r="H281" s="16" t="s">
        <v>10</v>
      </c>
      <c r="I281" s="14" t="s">
        <v>11</v>
      </c>
      <c r="J281" s="14" t="s">
        <v>12</v>
      </c>
    </row>
    <row x14ac:dyDescent="0.25" r="282" customHeight="1" ht="17.25">
      <c r="A282" s="17" t="s">
        <v>7295</v>
      </c>
      <c r="B282" s="17" t="s">
        <v>458</v>
      </c>
      <c r="C282" s="17" t="s">
        <v>76</v>
      </c>
      <c r="D282" s="17" t="s">
        <v>16</v>
      </c>
      <c r="E282" s="18">
        <f>ROUND(11916*1.05,2)</f>
      </c>
      <c r="F282" s="17" t="s">
        <v>17</v>
      </c>
      <c r="G282" s="17" t="s">
        <v>18</v>
      </c>
      <c r="H282" s="18">
        <f>ROUND(RAND()*4+6,1)</f>
      </c>
      <c r="I282" s="17" t="s">
        <v>19</v>
      </c>
      <c r="J282" s="19">
        <f>ROUND(67*1,0)&amp;"%"</f>
      </c>
    </row>
    <row x14ac:dyDescent="0.25" r="283" customHeight="1" ht="17.25">
      <c r="A283" s="20" t="s">
        <v>7296</v>
      </c>
      <c r="B283" s="20" t="s">
        <v>460</v>
      </c>
      <c r="C283" s="20" t="s">
        <v>76</v>
      </c>
      <c r="D283" s="20" t="s">
        <v>22</v>
      </c>
      <c r="E283" s="21">
        <f>ROUND(12068*1.05,2)</f>
      </c>
      <c r="F283" s="20" t="s">
        <v>23</v>
      </c>
      <c r="G283" s="20" t="s">
        <v>24</v>
      </c>
      <c r="H283" s="21">
        <f>ROUND(RAND()*4+6,1)</f>
      </c>
      <c r="I283" s="20" t="s">
        <v>25</v>
      </c>
      <c r="J283" s="23">
        <f>ROUND(63*1,0)&amp;"%"</f>
      </c>
    </row>
    <row x14ac:dyDescent="0.25" r="284" customHeight="1" ht="17.25">
      <c r="A284" s="17" t="s">
        <v>7297</v>
      </c>
      <c r="B284" s="17" t="s">
        <v>462</v>
      </c>
      <c r="C284" s="17" t="s">
        <v>76</v>
      </c>
      <c r="D284" s="17" t="s">
        <v>28</v>
      </c>
      <c r="E284" s="18">
        <f>ROUND(15316*1.05,2)</f>
      </c>
      <c r="F284" s="17" t="s">
        <v>29</v>
      </c>
      <c r="G284" s="17" t="s">
        <v>30</v>
      </c>
      <c r="H284" s="18">
        <f>ROUND(RAND()*4+6,1)</f>
      </c>
      <c r="I284" s="17" t="s">
        <v>31</v>
      </c>
      <c r="J284" s="19">
        <f>ROUND(86*1,0)&amp;"%"</f>
      </c>
    </row>
    <row x14ac:dyDescent="0.25" r="285" customHeight="1" ht="17.25">
      <c r="A285" s="20" t="s">
        <v>7298</v>
      </c>
      <c r="B285" s="20" t="s">
        <v>464</v>
      </c>
      <c r="C285" s="20" t="s">
        <v>76</v>
      </c>
      <c r="D285" s="20" t="s">
        <v>34</v>
      </c>
      <c r="E285" s="21">
        <f>ROUND(17311*1.05,2)</f>
      </c>
      <c r="F285" s="20" t="s">
        <v>35</v>
      </c>
      <c r="G285" s="20" t="s">
        <v>18</v>
      </c>
      <c r="H285" s="21">
        <f>ROUND(RAND()*4+6,1)</f>
      </c>
      <c r="I285" s="20" t="s">
        <v>36</v>
      </c>
      <c r="J285" s="23">
        <f>ROUND(92*1,0)&amp;"%"</f>
      </c>
    </row>
    <row x14ac:dyDescent="0.25" r="286" customHeight="1" ht="17.25">
      <c r="A286" s="17" t="s">
        <v>7299</v>
      </c>
      <c r="B286" s="17" t="s">
        <v>466</v>
      </c>
      <c r="C286" s="17" t="s">
        <v>76</v>
      </c>
      <c r="D286" s="17" t="s">
        <v>39</v>
      </c>
      <c r="E286" s="18">
        <f>ROUND(13212*1.05,2)</f>
      </c>
      <c r="F286" s="17" t="s">
        <v>40</v>
      </c>
      <c r="G286" s="17" t="s">
        <v>24</v>
      </c>
      <c r="H286" s="18">
        <f>ROUND(RAND()*4+6,1)</f>
      </c>
      <c r="I286" s="17" t="s">
        <v>41</v>
      </c>
      <c r="J286" s="19">
        <f>ROUND(86*1,0)&amp;"%"</f>
      </c>
    </row>
    <row x14ac:dyDescent="0.25" r="287" customHeight="1" ht="17.25">
      <c r="A287" s="20" t="s">
        <v>7300</v>
      </c>
      <c r="B287" s="20" t="s">
        <v>468</v>
      </c>
      <c r="C287" s="20" t="s">
        <v>76</v>
      </c>
      <c r="D287" s="20" t="s">
        <v>67</v>
      </c>
      <c r="E287" s="21">
        <f>ROUND(4754*1.05,2)</f>
      </c>
      <c r="F287" s="20" t="s">
        <v>44</v>
      </c>
      <c r="G287" s="20" t="s">
        <v>30</v>
      </c>
      <c r="H287" s="21">
        <f>ROUND(RAND()*4+6,1)</f>
      </c>
      <c r="I287" s="20" t="s">
        <v>45</v>
      </c>
      <c r="J287" s="23">
        <f>ROUND(78*1,0)&amp;"%"</f>
      </c>
    </row>
    <row x14ac:dyDescent="0.25" r="288" customHeight="1" ht="17.25">
      <c r="A288" s="17" t="s">
        <v>7301</v>
      </c>
      <c r="B288" s="17" t="s">
        <v>470</v>
      </c>
      <c r="C288" s="17" t="s">
        <v>76</v>
      </c>
      <c r="D288" s="17" t="s">
        <v>16</v>
      </c>
      <c r="E288" s="18">
        <f>ROUND(12615*1.05,2)</f>
      </c>
      <c r="F288" s="17" t="s">
        <v>48</v>
      </c>
      <c r="G288" s="17" t="s">
        <v>18</v>
      </c>
      <c r="H288" s="26">
        <f>ROUND(RAND()*4+6,1)</f>
      </c>
      <c r="I288" s="17" t="s">
        <v>19</v>
      </c>
      <c r="J288" s="19">
        <f>ROUND(94*1,0)&amp;"%"</f>
      </c>
    </row>
    <row x14ac:dyDescent="0.25" r="289" customHeight="1" ht="17.25">
      <c r="A289" s="20" t="s">
        <v>7302</v>
      </c>
      <c r="B289" s="20" t="s">
        <v>472</v>
      </c>
      <c r="C289" s="20" t="s">
        <v>76</v>
      </c>
      <c r="D289" s="20" t="s">
        <v>22</v>
      </c>
      <c r="E289" s="22">
        <f>ROUND(7260*1.05,2)</f>
      </c>
      <c r="F289" s="20" t="s">
        <v>51</v>
      </c>
      <c r="G289" s="20" t="s">
        <v>24</v>
      </c>
      <c r="H289" s="21">
        <f>ROUND(RAND()*4+6,1)</f>
      </c>
      <c r="I289" s="20" t="s">
        <v>25</v>
      </c>
      <c r="J289" s="23">
        <f>ROUND(89*1,0)&amp;"%"</f>
      </c>
    </row>
    <row x14ac:dyDescent="0.25" r="290" customHeight="1" ht="17.25">
      <c r="A290" s="24" t="s">
        <v>473</v>
      </c>
      <c r="B290" s="24"/>
      <c r="C290" s="24"/>
      <c r="D290" s="24"/>
      <c r="E290" s="25">
        <v>8</v>
      </c>
      <c r="F290" s="9"/>
      <c r="G290" s="9"/>
      <c r="H290" s="10"/>
      <c r="I290" s="9"/>
      <c r="J290" s="9"/>
    </row>
    <row x14ac:dyDescent="0.25" r="291" customHeight="1" ht="17.25">
      <c r="A291" s="7"/>
      <c r="B291" s="7"/>
      <c r="C291" s="7"/>
      <c r="D291" s="7"/>
      <c r="E291" s="8"/>
      <c r="F291" s="9"/>
      <c r="G291" s="9"/>
      <c r="H291" s="10"/>
      <c r="I291" s="9"/>
      <c r="J291" s="9"/>
    </row>
    <row x14ac:dyDescent="0.25" r="292" customHeight="1" ht="17.25">
      <c r="A292" s="11" t="s">
        <v>7303</v>
      </c>
      <c r="B292" s="11"/>
      <c r="C292" s="11"/>
      <c r="D292" s="11"/>
      <c r="E292" s="12"/>
      <c r="F292" s="11"/>
      <c r="G292" s="11"/>
      <c r="H292" s="13"/>
      <c r="I292" s="11"/>
      <c r="J292" s="11"/>
    </row>
    <row x14ac:dyDescent="0.25" r="293" customHeight="1" ht="17.25">
      <c r="A293" s="14" t="s">
        <v>3</v>
      </c>
      <c r="B293" s="14" t="s">
        <v>4</v>
      </c>
      <c r="C293" s="14" t="s">
        <v>5</v>
      </c>
      <c r="D293" s="14" t="s">
        <v>6</v>
      </c>
      <c r="E293" s="15" t="s">
        <v>7</v>
      </c>
      <c r="F293" s="14" t="s">
        <v>8</v>
      </c>
      <c r="G293" s="14" t="s">
        <v>9</v>
      </c>
      <c r="H293" s="16" t="s">
        <v>10</v>
      </c>
      <c r="I293" s="14" t="s">
        <v>11</v>
      </c>
      <c r="J293" s="14" t="s">
        <v>12</v>
      </c>
    </row>
    <row x14ac:dyDescent="0.25" r="294" customHeight="1" ht="17.25">
      <c r="A294" s="17" t="s">
        <v>7304</v>
      </c>
      <c r="B294" s="17" t="s">
        <v>476</v>
      </c>
      <c r="C294" s="17" t="s">
        <v>95</v>
      </c>
      <c r="D294" s="17" t="s">
        <v>16</v>
      </c>
      <c r="E294" s="18">
        <f>ROUND(13793*1.05,2)</f>
      </c>
      <c r="F294" s="17" t="s">
        <v>17</v>
      </c>
      <c r="G294" s="17" t="s">
        <v>18</v>
      </c>
      <c r="H294" s="18">
        <f>ROUND(RAND()*4+6,1)</f>
      </c>
      <c r="I294" s="17" t="s">
        <v>19</v>
      </c>
      <c r="J294" s="19">
        <f>ROUND(100*1,0)&amp;"%"</f>
      </c>
    </row>
    <row x14ac:dyDescent="0.25" r="295" customHeight="1" ht="17.25">
      <c r="A295" s="20" t="s">
        <v>7305</v>
      </c>
      <c r="B295" s="20" t="s">
        <v>478</v>
      </c>
      <c r="C295" s="20" t="s">
        <v>95</v>
      </c>
      <c r="D295" s="20" t="s">
        <v>22</v>
      </c>
      <c r="E295" s="21">
        <f>ROUND(10005*1.05,2)</f>
      </c>
      <c r="F295" s="20" t="s">
        <v>23</v>
      </c>
      <c r="G295" s="20" t="s">
        <v>24</v>
      </c>
      <c r="H295" s="21">
        <f>ROUND(RAND()*4+6,1)</f>
      </c>
      <c r="I295" s="20" t="s">
        <v>25</v>
      </c>
      <c r="J295" s="23">
        <f>ROUND(94*1,0)&amp;"%"</f>
      </c>
    </row>
    <row x14ac:dyDescent="0.25" r="296" customHeight="1" ht="17.25">
      <c r="A296" s="17" t="s">
        <v>7306</v>
      </c>
      <c r="B296" s="17" t="s">
        <v>480</v>
      </c>
      <c r="C296" s="17" t="s">
        <v>95</v>
      </c>
      <c r="D296" s="17" t="s">
        <v>28</v>
      </c>
      <c r="E296" s="18">
        <f>ROUND(9134*1.05,2)</f>
      </c>
      <c r="F296" s="17" t="s">
        <v>29</v>
      </c>
      <c r="G296" s="17" t="s">
        <v>30</v>
      </c>
      <c r="H296" s="18">
        <f>ROUND(RAND()*4+6,1)</f>
      </c>
      <c r="I296" s="17" t="s">
        <v>31</v>
      </c>
      <c r="J296" s="19">
        <f>ROUND(85*1,0)&amp;"%"</f>
      </c>
    </row>
    <row x14ac:dyDescent="0.25" r="297" customHeight="1" ht="17.25">
      <c r="A297" s="20" t="s">
        <v>7307</v>
      </c>
      <c r="B297" s="20" t="s">
        <v>482</v>
      </c>
      <c r="C297" s="20" t="s">
        <v>95</v>
      </c>
      <c r="D297" s="20" t="s">
        <v>34</v>
      </c>
      <c r="E297" s="21">
        <f>ROUND(5932*1.05,2)</f>
      </c>
      <c r="F297" s="20" t="s">
        <v>35</v>
      </c>
      <c r="G297" s="20" t="s">
        <v>18</v>
      </c>
      <c r="H297" s="21">
        <f>ROUND(RAND()*4+6,1)</f>
      </c>
      <c r="I297" s="20" t="s">
        <v>36</v>
      </c>
      <c r="J297" s="23">
        <f>ROUND(67*1,0)&amp;"%"</f>
      </c>
    </row>
    <row x14ac:dyDescent="0.25" r="298" customHeight="1" ht="17.25">
      <c r="A298" s="17" t="s">
        <v>7308</v>
      </c>
      <c r="B298" s="17" t="s">
        <v>484</v>
      </c>
      <c r="C298" s="17" t="s">
        <v>95</v>
      </c>
      <c r="D298" s="17" t="s">
        <v>39</v>
      </c>
      <c r="E298" s="18">
        <f>ROUND(8557*1.05,2)</f>
      </c>
      <c r="F298" s="17" t="s">
        <v>40</v>
      </c>
      <c r="G298" s="17" t="s">
        <v>24</v>
      </c>
      <c r="H298" s="18">
        <f>ROUND(RAND()*4+6,1)</f>
      </c>
      <c r="I298" s="17" t="s">
        <v>41</v>
      </c>
      <c r="J298" s="19">
        <f>ROUND(66*1,0)&amp;"%"</f>
      </c>
    </row>
    <row x14ac:dyDescent="0.25" r="299" customHeight="1" ht="17.25">
      <c r="A299" s="20" t="s">
        <v>7309</v>
      </c>
      <c r="B299" s="20" t="s">
        <v>486</v>
      </c>
      <c r="C299" s="20" t="s">
        <v>95</v>
      </c>
      <c r="D299" s="20" t="s">
        <v>67</v>
      </c>
      <c r="E299" s="21">
        <f>ROUND(4098*1.05,2)</f>
      </c>
      <c r="F299" s="20" t="s">
        <v>44</v>
      </c>
      <c r="G299" s="20" t="s">
        <v>30</v>
      </c>
      <c r="H299" s="21">
        <f>ROUND(RAND()*4+6,1)</f>
      </c>
      <c r="I299" s="20" t="s">
        <v>45</v>
      </c>
      <c r="J299" s="23">
        <f>ROUND(95*1,0)&amp;"%"</f>
      </c>
    </row>
    <row x14ac:dyDescent="0.25" r="300" customHeight="1" ht="17.25">
      <c r="A300" s="17" t="s">
        <v>7310</v>
      </c>
      <c r="B300" s="17" t="s">
        <v>488</v>
      </c>
      <c r="C300" s="17" t="s">
        <v>95</v>
      </c>
      <c r="D300" s="17" t="s">
        <v>16</v>
      </c>
      <c r="E300" s="18">
        <f>ROUND(14464*1.05,2)</f>
      </c>
      <c r="F300" s="17" t="s">
        <v>48</v>
      </c>
      <c r="G300" s="17" t="s">
        <v>18</v>
      </c>
      <c r="H300" s="18">
        <f>ROUND(RAND()*4+6,1)</f>
      </c>
      <c r="I300" s="17" t="s">
        <v>19</v>
      </c>
      <c r="J300" s="19">
        <f>ROUND(68*1,0)&amp;"%"</f>
      </c>
    </row>
    <row x14ac:dyDescent="0.25" r="301" customHeight="1" ht="17.25">
      <c r="A301" s="20" t="s">
        <v>7311</v>
      </c>
      <c r="B301" s="20" t="s">
        <v>490</v>
      </c>
      <c r="C301" s="20" t="s">
        <v>95</v>
      </c>
      <c r="D301" s="20" t="s">
        <v>22</v>
      </c>
      <c r="E301" s="21">
        <f>ROUND(11495*1.05,2)</f>
      </c>
      <c r="F301" s="20" t="s">
        <v>51</v>
      </c>
      <c r="G301" s="20" t="s">
        <v>24</v>
      </c>
      <c r="H301" s="22">
        <f>ROUND(RAND()*4+6,1)</f>
      </c>
      <c r="I301" s="20" t="s">
        <v>25</v>
      </c>
      <c r="J301" s="23">
        <f>ROUND(83*1,0)&amp;"%"</f>
      </c>
    </row>
    <row x14ac:dyDescent="0.25" r="302" customHeight="1" ht="17.25">
      <c r="A302" s="24" t="s">
        <v>491</v>
      </c>
      <c r="B302" s="24"/>
      <c r="C302" s="24"/>
      <c r="D302" s="24"/>
      <c r="E302" s="25">
        <v>8</v>
      </c>
      <c r="F302" s="9"/>
      <c r="G302" s="9"/>
      <c r="H302" s="10"/>
      <c r="I302" s="9"/>
      <c r="J302" s="9"/>
    </row>
    <row x14ac:dyDescent="0.25" r="303" customHeight="1" ht="17.25">
      <c r="A303" s="7"/>
      <c r="B303" s="7"/>
      <c r="C303" s="7"/>
      <c r="D303" s="7"/>
      <c r="E303" s="8"/>
      <c r="F303" s="9"/>
      <c r="G303" s="9"/>
      <c r="H303" s="10"/>
      <c r="I303" s="9"/>
      <c r="J303" s="9"/>
    </row>
    <row x14ac:dyDescent="0.25" r="304" customHeight="1" ht="17.25">
      <c r="A304" s="11" t="s">
        <v>7312</v>
      </c>
      <c r="B304" s="11"/>
      <c r="C304" s="11"/>
      <c r="D304" s="11"/>
      <c r="E304" s="12"/>
      <c r="F304" s="11"/>
      <c r="G304" s="11"/>
      <c r="H304" s="13"/>
      <c r="I304" s="11"/>
      <c r="J304" s="11"/>
    </row>
    <row x14ac:dyDescent="0.25" r="305" customHeight="1" ht="17.25">
      <c r="A305" s="14" t="s">
        <v>3</v>
      </c>
      <c r="B305" s="14" t="s">
        <v>4</v>
      </c>
      <c r="C305" s="14" t="s">
        <v>5</v>
      </c>
      <c r="D305" s="14" t="s">
        <v>6</v>
      </c>
      <c r="E305" s="15" t="s">
        <v>7</v>
      </c>
      <c r="F305" s="14" t="s">
        <v>8</v>
      </c>
      <c r="G305" s="14" t="s">
        <v>9</v>
      </c>
      <c r="H305" s="16" t="s">
        <v>10</v>
      </c>
      <c r="I305" s="14" t="s">
        <v>11</v>
      </c>
      <c r="J305" s="14" t="s">
        <v>12</v>
      </c>
    </row>
    <row x14ac:dyDescent="0.25" r="306" customHeight="1" ht="17.25">
      <c r="A306" s="17" t="s">
        <v>7313</v>
      </c>
      <c r="B306" s="17" t="s">
        <v>494</v>
      </c>
      <c r="C306" s="17" t="s">
        <v>114</v>
      </c>
      <c r="D306" s="17" t="s">
        <v>16</v>
      </c>
      <c r="E306" s="18">
        <f>ROUND(4174*1.05,2)</f>
      </c>
      <c r="F306" s="17" t="s">
        <v>17</v>
      </c>
      <c r="G306" s="17" t="s">
        <v>18</v>
      </c>
      <c r="H306" s="26">
        <f>ROUND(RAND()*4+6,1)</f>
      </c>
      <c r="I306" s="17" t="s">
        <v>19</v>
      </c>
      <c r="J306" s="19">
        <f>ROUND(84*1,0)&amp;"%"</f>
      </c>
    </row>
    <row x14ac:dyDescent="0.25" r="307" customHeight="1" ht="17.25">
      <c r="A307" s="20" t="s">
        <v>7314</v>
      </c>
      <c r="B307" s="20" t="s">
        <v>496</v>
      </c>
      <c r="C307" s="20" t="s">
        <v>114</v>
      </c>
      <c r="D307" s="20" t="s">
        <v>22</v>
      </c>
      <c r="E307" s="21">
        <f>ROUND(14621*1.05,2)</f>
      </c>
      <c r="F307" s="20" t="s">
        <v>23</v>
      </c>
      <c r="G307" s="20" t="s">
        <v>24</v>
      </c>
      <c r="H307" s="21">
        <f>ROUND(RAND()*4+6,1)</f>
      </c>
      <c r="I307" s="20" t="s">
        <v>25</v>
      </c>
      <c r="J307" s="23">
        <f>ROUND(86*1,0)&amp;"%"</f>
      </c>
    </row>
    <row x14ac:dyDescent="0.25" r="308" customHeight="1" ht="17.25">
      <c r="A308" s="17" t="s">
        <v>7315</v>
      </c>
      <c r="B308" s="17" t="s">
        <v>498</v>
      </c>
      <c r="C308" s="17" t="s">
        <v>114</v>
      </c>
      <c r="D308" s="17" t="s">
        <v>28</v>
      </c>
      <c r="E308" s="18">
        <f>ROUND(5758*1.05,2)</f>
      </c>
      <c r="F308" s="17" t="s">
        <v>29</v>
      </c>
      <c r="G308" s="17" t="s">
        <v>30</v>
      </c>
      <c r="H308" s="18">
        <f>ROUND(RAND()*4+6,1)</f>
      </c>
      <c r="I308" s="17" t="s">
        <v>31</v>
      </c>
      <c r="J308" s="19">
        <f>ROUND(88*1,0)&amp;"%"</f>
      </c>
    </row>
    <row x14ac:dyDescent="0.25" r="309" customHeight="1" ht="17.25">
      <c r="A309" s="20" t="s">
        <v>7316</v>
      </c>
      <c r="B309" s="20" t="s">
        <v>500</v>
      </c>
      <c r="C309" s="20" t="s">
        <v>114</v>
      </c>
      <c r="D309" s="20" t="s">
        <v>34</v>
      </c>
      <c r="E309" s="21">
        <f>ROUND(8725*1.05,2)</f>
      </c>
      <c r="F309" s="20" t="s">
        <v>35</v>
      </c>
      <c r="G309" s="20" t="s">
        <v>18</v>
      </c>
      <c r="H309" s="21">
        <f>ROUND(RAND()*4+6,1)</f>
      </c>
      <c r="I309" s="20" t="s">
        <v>36</v>
      </c>
      <c r="J309" s="23">
        <f>ROUND(79*1,0)&amp;"%"</f>
      </c>
    </row>
    <row x14ac:dyDescent="0.25" r="310" customHeight="1" ht="17.25">
      <c r="A310" s="17" t="s">
        <v>7317</v>
      </c>
      <c r="B310" s="17" t="s">
        <v>502</v>
      </c>
      <c r="C310" s="17" t="s">
        <v>114</v>
      </c>
      <c r="D310" s="17" t="s">
        <v>39</v>
      </c>
      <c r="E310" s="18">
        <f>ROUND(8304*1.05,2)</f>
      </c>
      <c r="F310" s="17" t="s">
        <v>40</v>
      </c>
      <c r="G310" s="17" t="s">
        <v>24</v>
      </c>
      <c r="H310" s="26">
        <f>ROUND(RAND()*4+6,1)</f>
      </c>
      <c r="I310" s="17" t="s">
        <v>41</v>
      </c>
      <c r="J310" s="19">
        <f>ROUND(96*1,0)&amp;"%"</f>
      </c>
    </row>
    <row x14ac:dyDescent="0.25" r="311" customHeight="1" ht="17.25">
      <c r="A311" s="20" t="s">
        <v>7318</v>
      </c>
      <c r="B311" s="20" t="s">
        <v>504</v>
      </c>
      <c r="C311" s="20" t="s">
        <v>114</v>
      </c>
      <c r="D311" s="20" t="s">
        <v>67</v>
      </c>
      <c r="E311" s="21">
        <f>ROUND(14168*1.05,2)</f>
      </c>
      <c r="F311" s="20" t="s">
        <v>44</v>
      </c>
      <c r="G311" s="20" t="s">
        <v>30</v>
      </c>
      <c r="H311" s="21">
        <f>ROUND(RAND()*4+6,1)</f>
      </c>
      <c r="I311" s="20" t="s">
        <v>45</v>
      </c>
      <c r="J311" s="23">
        <f>ROUND(60*1,0)&amp;"%"</f>
      </c>
    </row>
    <row x14ac:dyDescent="0.25" r="312" customHeight="1" ht="17.25">
      <c r="A312" s="17" t="s">
        <v>7319</v>
      </c>
      <c r="B312" s="17" t="s">
        <v>506</v>
      </c>
      <c r="C312" s="17" t="s">
        <v>114</v>
      </c>
      <c r="D312" s="17" t="s">
        <v>16</v>
      </c>
      <c r="E312" s="18">
        <f>ROUND(15416*1.05,2)</f>
      </c>
      <c r="F312" s="17" t="s">
        <v>48</v>
      </c>
      <c r="G312" s="17" t="s">
        <v>18</v>
      </c>
      <c r="H312" s="18">
        <f>ROUND(RAND()*4+6,1)</f>
      </c>
      <c r="I312" s="17" t="s">
        <v>19</v>
      </c>
      <c r="J312" s="19">
        <f>ROUND(81*1,0)&amp;"%"</f>
      </c>
    </row>
    <row x14ac:dyDescent="0.25" r="313" customHeight="1" ht="17.25">
      <c r="A313" s="20" t="s">
        <v>7320</v>
      </c>
      <c r="B313" s="20" t="s">
        <v>508</v>
      </c>
      <c r="C313" s="20" t="s">
        <v>114</v>
      </c>
      <c r="D313" s="20" t="s">
        <v>22</v>
      </c>
      <c r="E313" s="21">
        <f>ROUND(15836*1.05,2)</f>
      </c>
      <c r="F313" s="20" t="s">
        <v>51</v>
      </c>
      <c r="G313" s="20" t="s">
        <v>24</v>
      </c>
      <c r="H313" s="21">
        <f>ROUND(RAND()*4+6,1)</f>
      </c>
      <c r="I313" s="20" t="s">
        <v>25</v>
      </c>
      <c r="J313" s="23">
        <f>ROUND(74*1,0)&amp;"%"</f>
      </c>
    </row>
    <row x14ac:dyDescent="0.25" r="314" customHeight="1" ht="17.25">
      <c r="A314" s="24" t="s">
        <v>509</v>
      </c>
      <c r="B314" s="24"/>
      <c r="C314" s="24"/>
      <c r="D314" s="24"/>
      <c r="E314" s="25">
        <v>8</v>
      </c>
      <c r="F314" s="9"/>
      <c r="G314" s="9"/>
      <c r="H314" s="10"/>
      <c r="I314" s="9"/>
      <c r="J314" s="9"/>
    </row>
    <row x14ac:dyDescent="0.25" r="315" customHeight="1" ht="17.25">
      <c r="A315" s="7"/>
      <c r="B315" s="7"/>
      <c r="C315" s="7"/>
      <c r="D315" s="7"/>
      <c r="E315" s="8"/>
      <c r="F315" s="9"/>
      <c r="G315" s="9"/>
      <c r="H315" s="10"/>
      <c r="I315" s="9"/>
      <c r="J315" s="9"/>
    </row>
    <row x14ac:dyDescent="0.25" r="316" customHeight="1" ht="17.25">
      <c r="A316" s="11" t="s">
        <v>7321</v>
      </c>
      <c r="B316" s="11"/>
      <c r="C316" s="11"/>
      <c r="D316" s="11"/>
      <c r="E316" s="12"/>
      <c r="F316" s="11"/>
      <c r="G316" s="11"/>
      <c r="H316" s="13"/>
      <c r="I316" s="11"/>
      <c r="J316" s="11"/>
    </row>
    <row x14ac:dyDescent="0.25" r="317" customHeight="1" ht="17.25">
      <c r="A317" s="14" t="s">
        <v>3</v>
      </c>
      <c r="B317" s="14" t="s">
        <v>4</v>
      </c>
      <c r="C317" s="14" t="s">
        <v>5</v>
      </c>
      <c r="D317" s="14" t="s">
        <v>6</v>
      </c>
      <c r="E317" s="15" t="s">
        <v>7</v>
      </c>
      <c r="F317" s="14" t="s">
        <v>8</v>
      </c>
      <c r="G317" s="14" t="s">
        <v>9</v>
      </c>
      <c r="H317" s="16" t="s">
        <v>10</v>
      </c>
      <c r="I317" s="14" t="s">
        <v>11</v>
      </c>
      <c r="J317" s="14" t="s">
        <v>12</v>
      </c>
    </row>
    <row x14ac:dyDescent="0.25" r="318" customHeight="1" ht="17.25">
      <c r="A318" s="17" t="s">
        <v>7322</v>
      </c>
      <c r="B318" s="17" t="s">
        <v>512</v>
      </c>
      <c r="C318" s="17" t="s">
        <v>133</v>
      </c>
      <c r="D318" s="17" t="s">
        <v>16</v>
      </c>
      <c r="E318" s="18">
        <f>ROUND(8037*1.05,2)</f>
      </c>
      <c r="F318" s="17" t="s">
        <v>17</v>
      </c>
      <c r="G318" s="17" t="s">
        <v>18</v>
      </c>
      <c r="H318" s="18">
        <f>ROUND(RAND()*4+6,1)</f>
      </c>
      <c r="I318" s="17" t="s">
        <v>19</v>
      </c>
      <c r="J318" s="19">
        <f>ROUND(71*1,0)&amp;"%"</f>
      </c>
    </row>
    <row x14ac:dyDescent="0.25" r="319" customHeight="1" ht="17.25">
      <c r="A319" s="20" t="s">
        <v>7323</v>
      </c>
      <c r="B319" s="20" t="s">
        <v>514</v>
      </c>
      <c r="C319" s="20" t="s">
        <v>133</v>
      </c>
      <c r="D319" s="20" t="s">
        <v>22</v>
      </c>
      <c r="E319" s="21">
        <f>ROUND(13094*1.05,2)</f>
      </c>
      <c r="F319" s="20" t="s">
        <v>23</v>
      </c>
      <c r="G319" s="20" t="s">
        <v>24</v>
      </c>
      <c r="H319" s="21">
        <f>ROUND(RAND()*4+6,1)</f>
      </c>
      <c r="I319" s="20" t="s">
        <v>25</v>
      </c>
      <c r="J319" s="23">
        <f>ROUND(93*1,0)&amp;"%"</f>
      </c>
    </row>
    <row x14ac:dyDescent="0.25" r="320" customHeight="1" ht="17.25">
      <c r="A320" s="17" t="s">
        <v>7324</v>
      </c>
      <c r="B320" s="17" t="s">
        <v>516</v>
      </c>
      <c r="C320" s="17" t="s">
        <v>133</v>
      </c>
      <c r="D320" s="17" t="s">
        <v>28</v>
      </c>
      <c r="E320" s="18">
        <f>ROUND(7525*1.05,2)</f>
      </c>
      <c r="F320" s="17" t="s">
        <v>29</v>
      </c>
      <c r="G320" s="17" t="s">
        <v>30</v>
      </c>
      <c r="H320" s="18">
        <f>ROUND(RAND()*4+6,1)</f>
      </c>
      <c r="I320" s="17" t="s">
        <v>31</v>
      </c>
      <c r="J320" s="19">
        <f>ROUND(60*1,0)&amp;"%"</f>
      </c>
    </row>
    <row x14ac:dyDescent="0.25" r="321" customHeight="1" ht="17.25">
      <c r="A321" s="20" t="s">
        <v>7325</v>
      </c>
      <c r="B321" s="20" t="s">
        <v>518</v>
      </c>
      <c r="C321" s="20" t="s">
        <v>133</v>
      </c>
      <c r="D321" s="20" t="s">
        <v>34</v>
      </c>
      <c r="E321" s="21">
        <f>ROUND(4659*1.05,2)</f>
      </c>
      <c r="F321" s="20" t="s">
        <v>35</v>
      </c>
      <c r="G321" s="20" t="s">
        <v>18</v>
      </c>
      <c r="H321" s="21">
        <f>ROUND(RAND()*4+6,1)</f>
      </c>
      <c r="I321" s="20" t="s">
        <v>36</v>
      </c>
      <c r="J321" s="23">
        <f>ROUND(72*1,0)&amp;"%"</f>
      </c>
    </row>
    <row x14ac:dyDescent="0.25" r="322" customHeight="1" ht="17.25">
      <c r="A322" s="17" t="s">
        <v>7326</v>
      </c>
      <c r="B322" s="17" t="s">
        <v>520</v>
      </c>
      <c r="C322" s="17" t="s">
        <v>133</v>
      </c>
      <c r="D322" s="17" t="s">
        <v>39</v>
      </c>
      <c r="E322" s="18">
        <f>ROUND(8535*1.05,2)</f>
      </c>
      <c r="F322" s="17" t="s">
        <v>40</v>
      </c>
      <c r="G322" s="17" t="s">
        <v>24</v>
      </c>
      <c r="H322" s="18">
        <f>ROUND(RAND()*4+6,1)</f>
      </c>
      <c r="I322" s="17" t="s">
        <v>41</v>
      </c>
      <c r="J322" s="19">
        <f>ROUND(100*1,0)&amp;"%"</f>
      </c>
    </row>
    <row x14ac:dyDescent="0.25" r="323" customHeight="1" ht="17.25">
      <c r="A323" s="20" t="s">
        <v>7327</v>
      </c>
      <c r="B323" s="20" t="s">
        <v>522</v>
      </c>
      <c r="C323" s="20" t="s">
        <v>133</v>
      </c>
      <c r="D323" s="20" t="s">
        <v>67</v>
      </c>
      <c r="E323" s="21">
        <f>ROUND(6838*1.05,2)</f>
      </c>
      <c r="F323" s="20" t="s">
        <v>44</v>
      </c>
      <c r="G323" s="20" t="s">
        <v>30</v>
      </c>
      <c r="H323" s="21">
        <f>ROUND(RAND()*4+6,1)</f>
      </c>
      <c r="I323" s="20" t="s">
        <v>45</v>
      </c>
      <c r="J323" s="23">
        <f>ROUND(60*1,0)&amp;"%"</f>
      </c>
    </row>
    <row x14ac:dyDescent="0.25" r="324" customHeight="1" ht="17.25">
      <c r="A324" s="17" t="s">
        <v>7328</v>
      </c>
      <c r="B324" s="17" t="s">
        <v>524</v>
      </c>
      <c r="C324" s="17" t="s">
        <v>133</v>
      </c>
      <c r="D324" s="17" t="s">
        <v>16</v>
      </c>
      <c r="E324" s="26">
        <f>ROUND(9860*1.05,2)</f>
      </c>
      <c r="F324" s="17" t="s">
        <v>48</v>
      </c>
      <c r="G324" s="17" t="s">
        <v>18</v>
      </c>
      <c r="H324" s="18">
        <f>ROUND(RAND()*4+6,1)</f>
      </c>
      <c r="I324" s="17" t="s">
        <v>19</v>
      </c>
      <c r="J324" s="19">
        <f>ROUND(61*1,0)&amp;"%"</f>
      </c>
    </row>
    <row x14ac:dyDescent="0.25" r="325" customHeight="1" ht="17.25">
      <c r="A325" s="20" t="s">
        <v>7329</v>
      </c>
      <c r="B325" s="20" t="s">
        <v>526</v>
      </c>
      <c r="C325" s="20" t="s">
        <v>133</v>
      </c>
      <c r="D325" s="20" t="s">
        <v>22</v>
      </c>
      <c r="E325" s="21">
        <f>ROUND(14916*1.05,2)</f>
      </c>
      <c r="F325" s="20" t="s">
        <v>51</v>
      </c>
      <c r="G325" s="20" t="s">
        <v>24</v>
      </c>
      <c r="H325" s="21">
        <f>ROUND(RAND()*4+6,1)</f>
      </c>
      <c r="I325" s="20" t="s">
        <v>25</v>
      </c>
      <c r="J325" s="23">
        <f>ROUND(64*1,0)&amp;"%"</f>
      </c>
    </row>
    <row x14ac:dyDescent="0.25" r="326" customHeight="1" ht="17.25">
      <c r="A326" s="24" t="s">
        <v>527</v>
      </c>
      <c r="B326" s="24"/>
      <c r="C326" s="24"/>
      <c r="D326" s="24"/>
      <c r="E326" s="25">
        <v>8</v>
      </c>
      <c r="F326" s="9"/>
      <c r="G326" s="9"/>
      <c r="H326" s="10"/>
      <c r="I326" s="9"/>
      <c r="J326" s="9"/>
    </row>
    <row x14ac:dyDescent="0.25" r="327" customHeight="1" ht="17.25">
      <c r="A327" s="7"/>
      <c r="B327" s="7"/>
      <c r="C327" s="7"/>
      <c r="D327" s="7"/>
      <c r="E327" s="8"/>
      <c r="F327" s="9"/>
      <c r="G327" s="9"/>
      <c r="H327" s="10"/>
      <c r="I327" s="9"/>
      <c r="J327" s="9"/>
    </row>
    <row x14ac:dyDescent="0.25" r="328" customHeight="1" ht="17.25">
      <c r="A328" s="11" t="s">
        <v>7330</v>
      </c>
      <c r="B328" s="11"/>
      <c r="C328" s="11"/>
      <c r="D328" s="11"/>
      <c r="E328" s="12"/>
      <c r="F328" s="11"/>
      <c r="G328" s="11"/>
      <c r="H328" s="13"/>
      <c r="I328" s="11"/>
      <c r="J328" s="11"/>
    </row>
    <row x14ac:dyDescent="0.25" r="329" customHeight="1" ht="17.25">
      <c r="A329" s="14" t="s">
        <v>3</v>
      </c>
      <c r="B329" s="14" t="s">
        <v>4</v>
      </c>
      <c r="C329" s="14" t="s">
        <v>5</v>
      </c>
      <c r="D329" s="14" t="s">
        <v>6</v>
      </c>
      <c r="E329" s="15" t="s">
        <v>7</v>
      </c>
      <c r="F329" s="14" t="s">
        <v>8</v>
      </c>
      <c r="G329" s="14" t="s">
        <v>9</v>
      </c>
      <c r="H329" s="16" t="s">
        <v>10</v>
      </c>
      <c r="I329" s="14" t="s">
        <v>11</v>
      </c>
      <c r="J329" s="14" t="s">
        <v>12</v>
      </c>
    </row>
    <row x14ac:dyDescent="0.25" r="330" customHeight="1" ht="17.25">
      <c r="A330" s="17" t="s">
        <v>7331</v>
      </c>
      <c r="B330" s="17" t="s">
        <v>530</v>
      </c>
      <c r="C330" s="17" t="s">
        <v>152</v>
      </c>
      <c r="D330" s="17" t="s">
        <v>16</v>
      </c>
      <c r="E330" s="18">
        <f>ROUND(12343*1.05,2)</f>
      </c>
      <c r="F330" s="17" t="s">
        <v>17</v>
      </c>
      <c r="G330" s="17" t="s">
        <v>18</v>
      </c>
      <c r="H330" s="18">
        <f>ROUND(RAND()*4+6,1)</f>
      </c>
      <c r="I330" s="17" t="s">
        <v>19</v>
      </c>
      <c r="J330" s="19">
        <f>ROUND(65*1,0)&amp;"%"</f>
      </c>
    </row>
    <row x14ac:dyDescent="0.25" r="331" customHeight="1" ht="17.25">
      <c r="A331" s="20" t="s">
        <v>7332</v>
      </c>
      <c r="B331" s="20" t="s">
        <v>532</v>
      </c>
      <c r="C331" s="20" t="s">
        <v>152</v>
      </c>
      <c r="D331" s="20" t="s">
        <v>22</v>
      </c>
      <c r="E331" s="21">
        <f>ROUND(15944*1.05,2)</f>
      </c>
      <c r="F331" s="20" t="s">
        <v>23</v>
      </c>
      <c r="G331" s="20" t="s">
        <v>24</v>
      </c>
      <c r="H331" s="22">
        <f>ROUND(RAND()*4+6,1)</f>
      </c>
      <c r="I331" s="20" t="s">
        <v>25</v>
      </c>
      <c r="J331" s="23">
        <f>ROUND(78*1,0)&amp;"%"</f>
      </c>
    </row>
    <row x14ac:dyDescent="0.25" r="332" customHeight="1" ht="17.25">
      <c r="A332" s="17" t="s">
        <v>7333</v>
      </c>
      <c r="B332" s="17" t="s">
        <v>534</v>
      </c>
      <c r="C332" s="17" t="s">
        <v>152</v>
      </c>
      <c r="D332" s="17" t="s">
        <v>28</v>
      </c>
      <c r="E332" s="26">
        <f>ROUND(15380*1.05,2)</f>
      </c>
      <c r="F332" s="17" t="s">
        <v>29</v>
      </c>
      <c r="G332" s="17" t="s">
        <v>30</v>
      </c>
      <c r="H332" s="18">
        <f>ROUND(RAND()*4+6,1)</f>
      </c>
      <c r="I332" s="17" t="s">
        <v>31</v>
      </c>
      <c r="J332" s="19">
        <f>ROUND(79*1,0)&amp;"%"</f>
      </c>
    </row>
    <row x14ac:dyDescent="0.25" r="333" customHeight="1" ht="17.25">
      <c r="A333" s="20" t="s">
        <v>7334</v>
      </c>
      <c r="B333" s="20" t="s">
        <v>536</v>
      </c>
      <c r="C333" s="20" t="s">
        <v>152</v>
      </c>
      <c r="D333" s="20" t="s">
        <v>34</v>
      </c>
      <c r="E333" s="21">
        <f>ROUND(7446*1.05,2)</f>
      </c>
      <c r="F333" s="20" t="s">
        <v>35</v>
      </c>
      <c r="G333" s="20" t="s">
        <v>18</v>
      </c>
      <c r="H333" s="21">
        <f>ROUND(RAND()*4+6,1)</f>
      </c>
      <c r="I333" s="20" t="s">
        <v>36</v>
      </c>
      <c r="J333" s="23">
        <f>ROUND(81*1,0)&amp;"%"</f>
      </c>
    </row>
    <row x14ac:dyDescent="0.25" r="334" customHeight="1" ht="17.25">
      <c r="A334" s="17" t="s">
        <v>7335</v>
      </c>
      <c r="B334" s="17" t="s">
        <v>538</v>
      </c>
      <c r="C334" s="17" t="s">
        <v>152</v>
      </c>
      <c r="D334" s="17" t="s">
        <v>39</v>
      </c>
      <c r="E334" s="18">
        <f>ROUND(9248*1.05,2)</f>
      </c>
      <c r="F334" s="17" t="s">
        <v>40</v>
      </c>
      <c r="G334" s="17" t="s">
        <v>24</v>
      </c>
      <c r="H334" s="18">
        <f>ROUND(RAND()*4+6,1)</f>
      </c>
      <c r="I334" s="17" t="s">
        <v>41</v>
      </c>
      <c r="J334" s="19">
        <f>ROUND(80*1,0)&amp;"%"</f>
      </c>
    </row>
    <row x14ac:dyDescent="0.25" r="335" customHeight="1" ht="17.25">
      <c r="A335" s="20" t="s">
        <v>7336</v>
      </c>
      <c r="B335" s="20" t="s">
        <v>540</v>
      </c>
      <c r="C335" s="20" t="s">
        <v>152</v>
      </c>
      <c r="D335" s="20" t="s">
        <v>67</v>
      </c>
      <c r="E335" s="21">
        <f>ROUND(10996*1.05,2)</f>
      </c>
      <c r="F335" s="20" t="s">
        <v>44</v>
      </c>
      <c r="G335" s="20" t="s">
        <v>30</v>
      </c>
      <c r="H335" s="21">
        <f>ROUND(RAND()*4+6,1)</f>
      </c>
      <c r="I335" s="20" t="s">
        <v>45</v>
      </c>
      <c r="J335" s="23">
        <f>ROUND(84*1,0)&amp;"%"</f>
      </c>
    </row>
    <row x14ac:dyDescent="0.25" r="336" customHeight="1" ht="17.25">
      <c r="A336" s="17" t="s">
        <v>7337</v>
      </c>
      <c r="B336" s="17" t="s">
        <v>542</v>
      </c>
      <c r="C336" s="17" t="s">
        <v>152</v>
      </c>
      <c r="D336" s="17" t="s">
        <v>16</v>
      </c>
      <c r="E336" s="18">
        <f>ROUND(17235*1.05,2)</f>
      </c>
      <c r="F336" s="17" t="s">
        <v>48</v>
      </c>
      <c r="G336" s="17" t="s">
        <v>18</v>
      </c>
      <c r="H336" s="18">
        <f>ROUND(RAND()*4+6,1)</f>
      </c>
      <c r="I336" s="17" t="s">
        <v>19</v>
      </c>
      <c r="J336" s="19">
        <f>ROUND(74*1,0)&amp;"%"</f>
      </c>
    </row>
    <row x14ac:dyDescent="0.25" r="337" customHeight="1" ht="17.25">
      <c r="A337" s="20" t="s">
        <v>7338</v>
      </c>
      <c r="B337" s="20" t="s">
        <v>544</v>
      </c>
      <c r="C337" s="20" t="s">
        <v>152</v>
      </c>
      <c r="D337" s="20" t="s">
        <v>22</v>
      </c>
      <c r="E337" s="21">
        <f>ROUND(6257*1.05,2)</f>
      </c>
      <c r="F337" s="20" t="s">
        <v>51</v>
      </c>
      <c r="G337" s="20" t="s">
        <v>24</v>
      </c>
      <c r="H337" s="21">
        <f>ROUND(RAND()*4+6,1)</f>
      </c>
      <c r="I337" s="20" t="s">
        <v>25</v>
      </c>
      <c r="J337" s="23">
        <f>ROUND(83*1,0)&amp;"%"</f>
      </c>
    </row>
    <row x14ac:dyDescent="0.25" r="338" customHeight="1" ht="17.25">
      <c r="A338" s="24" t="s">
        <v>545</v>
      </c>
      <c r="B338" s="24"/>
      <c r="C338" s="24"/>
      <c r="D338" s="24"/>
      <c r="E338" s="25">
        <v>8</v>
      </c>
      <c r="F338" s="9"/>
      <c r="G338" s="9"/>
      <c r="H338" s="10"/>
      <c r="I338" s="9"/>
      <c r="J338" s="9"/>
    </row>
    <row x14ac:dyDescent="0.25" r="339" customHeight="1" ht="17.25">
      <c r="A339" s="7"/>
      <c r="B339" s="7"/>
      <c r="C339" s="7"/>
      <c r="D339" s="7"/>
      <c r="E339" s="8"/>
      <c r="F339" s="9"/>
      <c r="G339" s="9"/>
      <c r="H339" s="10"/>
      <c r="I339" s="9"/>
      <c r="J339" s="9"/>
    </row>
    <row x14ac:dyDescent="0.25" r="340" customHeight="1" ht="17.25">
      <c r="A340" s="11" t="s">
        <v>7339</v>
      </c>
      <c r="B340" s="11"/>
      <c r="C340" s="11"/>
      <c r="D340" s="11"/>
      <c r="E340" s="12"/>
      <c r="F340" s="11"/>
      <c r="G340" s="11"/>
      <c r="H340" s="13"/>
      <c r="I340" s="11"/>
      <c r="J340" s="11"/>
    </row>
    <row x14ac:dyDescent="0.25" r="341" customHeight="1" ht="17.25">
      <c r="A341" s="14" t="s">
        <v>3</v>
      </c>
      <c r="B341" s="14" t="s">
        <v>4</v>
      </c>
      <c r="C341" s="14" t="s">
        <v>5</v>
      </c>
      <c r="D341" s="14" t="s">
        <v>6</v>
      </c>
      <c r="E341" s="15" t="s">
        <v>7</v>
      </c>
      <c r="F341" s="14" t="s">
        <v>8</v>
      </c>
      <c r="G341" s="14" t="s">
        <v>9</v>
      </c>
      <c r="H341" s="16" t="s">
        <v>10</v>
      </c>
      <c r="I341" s="14" t="s">
        <v>11</v>
      </c>
      <c r="J341" s="14" t="s">
        <v>12</v>
      </c>
    </row>
    <row x14ac:dyDescent="0.25" r="342" customHeight="1" ht="17.25">
      <c r="A342" s="17" t="s">
        <v>7340</v>
      </c>
      <c r="B342" s="17" t="s">
        <v>548</v>
      </c>
      <c r="C342" s="17" t="s">
        <v>15</v>
      </c>
      <c r="D342" s="17" t="s">
        <v>16</v>
      </c>
      <c r="E342" s="18">
        <f>ROUND(5106*1.05,2)</f>
      </c>
      <c r="F342" s="17" t="s">
        <v>17</v>
      </c>
      <c r="G342" s="17" t="s">
        <v>18</v>
      </c>
      <c r="H342" s="18">
        <f>ROUND(RAND()*4+6,1)</f>
      </c>
      <c r="I342" s="17" t="s">
        <v>19</v>
      </c>
      <c r="J342" s="19">
        <f>ROUND(71*1,0)&amp;"%"</f>
      </c>
    </row>
    <row x14ac:dyDescent="0.25" r="343" customHeight="1" ht="17.25">
      <c r="A343" s="20" t="s">
        <v>7341</v>
      </c>
      <c r="B343" s="20" t="s">
        <v>550</v>
      </c>
      <c r="C343" s="20" t="s">
        <v>15</v>
      </c>
      <c r="D343" s="20" t="s">
        <v>22</v>
      </c>
      <c r="E343" s="21">
        <f>ROUND(14249*1.05,2)</f>
      </c>
      <c r="F343" s="20" t="s">
        <v>23</v>
      </c>
      <c r="G343" s="20" t="s">
        <v>24</v>
      </c>
      <c r="H343" s="21">
        <f>ROUND(RAND()*4+6,1)</f>
      </c>
      <c r="I343" s="20" t="s">
        <v>25</v>
      </c>
      <c r="J343" s="23">
        <f>ROUND(97*1,0)&amp;"%"</f>
      </c>
    </row>
    <row x14ac:dyDescent="0.25" r="344" customHeight="1" ht="17.25">
      <c r="A344" s="17" t="s">
        <v>7342</v>
      </c>
      <c r="B344" s="17" t="s">
        <v>552</v>
      </c>
      <c r="C344" s="17" t="s">
        <v>15</v>
      </c>
      <c r="D344" s="17" t="s">
        <v>28</v>
      </c>
      <c r="E344" s="18">
        <f>ROUND(16128*1.05,2)</f>
      </c>
      <c r="F344" s="17" t="s">
        <v>29</v>
      </c>
      <c r="G344" s="17" t="s">
        <v>30</v>
      </c>
      <c r="H344" s="18">
        <f>ROUND(RAND()*4+6,1)</f>
      </c>
      <c r="I344" s="17" t="s">
        <v>31</v>
      </c>
      <c r="J344" s="19">
        <f>ROUND(97*1,0)&amp;"%"</f>
      </c>
    </row>
    <row x14ac:dyDescent="0.25" r="345" customHeight="1" ht="17.25">
      <c r="A345" s="20" t="s">
        <v>7343</v>
      </c>
      <c r="B345" s="20" t="s">
        <v>554</v>
      </c>
      <c r="C345" s="20" t="s">
        <v>15</v>
      </c>
      <c r="D345" s="20" t="s">
        <v>34</v>
      </c>
      <c r="E345" s="21">
        <f>ROUND(8615*1.05,2)</f>
      </c>
      <c r="F345" s="20" t="s">
        <v>35</v>
      </c>
      <c r="G345" s="20" t="s">
        <v>18</v>
      </c>
      <c r="H345" s="21">
        <f>ROUND(RAND()*4+6,1)</f>
      </c>
      <c r="I345" s="20" t="s">
        <v>36</v>
      </c>
      <c r="J345" s="23">
        <f>ROUND(70*1,0)&amp;"%"</f>
      </c>
    </row>
    <row x14ac:dyDescent="0.25" r="346" customHeight="1" ht="17.25">
      <c r="A346" s="17" t="s">
        <v>7344</v>
      </c>
      <c r="B346" s="17" t="s">
        <v>556</v>
      </c>
      <c r="C346" s="17" t="s">
        <v>15</v>
      </c>
      <c r="D346" s="17" t="s">
        <v>39</v>
      </c>
      <c r="E346" s="18">
        <f>ROUND(12983*1.05,2)</f>
      </c>
      <c r="F346" s="17" t="s">
        <v>40</v>
      </c>
      <c r="G346" s="17" t="s">
        <v>24</v>
      </c>
      <c r="H346" s="26">
        <f>ROUND(RAND()*4+6,1)</f>
      </c>
      <c r="I346" s="17" t="s">
        <v>41</v>
      </c>
      <c r="J346" s="19">
        <f>ROUND(73*1,0)&amp;"%"</f>
      </c>
    </row>
    <row x14ac:dyDescent="0.25" r="347" customHeight="1" ht="17.25">
      <c r="A347" s="20" t="s">
        <v>7345</v>
      </c>
      <c r="B347" s="20" t="s">
        <v>558</v>
      </c>
      <c r="C347" s="20" t="s">
        <v>15</v>
      </c>
      <c r="D347" s="20" t="s">
        <v>67</v>
      </c>
      <c r="E347" s="21">
        <f>ROUND(4613*1.05,2)</f>
      </c>
      <c r="F347" s="20" t="s">
        <v>44</v>
      </c>
      <c r="G347" s="20" t="s">
        <v>30</v>
      </c>
      <c r="H347" s="21">
        <f>ROUND(RAND()*4+6,1)</f>
      </c>
      <c r="I347" s="20" t="s">
        <v>45</v>
      </c>
      <c r="J347" s="23">
        <f>ROUND(98*1,0)&amp;"%"</f>
      </c>
    </row>
    <row x14ac:dyDescent="0.25" r="348" customHeight="1" ht="17.25">
      <c r="A348" s="17" t="s">
        <v>7346</v>
      </c>
      <c r="B348" s="17" t="s">
        <v>560</v>
      </c>
      <c r="C348" s="17" t="s">
        <v>15</v>
      </c>
      <c r="D348" s="17" t="s">
        <v>16</v>
      </c>
      <c r="E348" s="18">
        <f>ROUND(10443*1.05,2)</f>
      </c>
      <c r="F348" s="17" t="s">
        <v>48</v>
      </c>
      <c r="G348" s="17" t="s">
        <v>18</v>
      </c>
      <c r="H348" s="18">
        <f>ROUND(RAND()*4+6,1)</f>
      </c>
      <c r="I348" s="17" t="s">
        <v>19</v>
      </c>
      <c r="J348" s="19">
        <f>ROUND(98*1,0)&amp;"%"</f>
      </c>
    </row>
    <row x14ac:dyDescent="0.25" r="349" customHeight="1" ht="17.25">
      <c r="A349" s="20" t="s">
        <v>7347</v>
      </c>
      <c r="B349" s="20" t="s">
        <v>562</v>
      </c>
      <c r="C349" s="20" t="s">
        <v>15</v>
      </c>
      <c r="D349" s="20" t="s">
        <v>22</v>
      </c>
      <c r="E349" s="21">
        <f>ROUND(5223*1.05,2)</f>
      </c>
      <c r="F349" s="20" t="s">
        <v>51</v>
      </c>
      <c r="G349" s="20" t="s">
        <v>24</v>
      </c>
      <c r="H349" s="21">
        <f>ROUND(RAND()*4+6,1)</f>
      </c>
      <c r="I349" s="20" t="s">
        <v>25</v>
      </c>
      <c r="J349" s="23">
        <f>ROUND(82*1,0)&amp;"%"</f>
      </c>
    </row>
    <row x14ac:dyDescent="0.25" r="350" customHeight="1" ht="17.25">
      <c r="A350" s="24" t="s">
        <v>563</v>
      </c>
      <c r="B350" s="24"/>
      <c r="C350" s="24"/>
      <c r="D350" s="24"/>
      <c r="E350" s="25">
        <v>8</v>
      </c>
      <c r="F350" s="9"/>
      <c r="G350" s="9"/>
      <c r="H350" s="10"/>
      <c r="I350" s="9"/>
      <c r="J350" s="9"/>
    </row>
    <row x14ac:dyDescent="0.25" r="351" customHeight="1" ht="17.25">
      <c r="A351" s="7"/>
      <c r="B351" s="7"/>
      <c r="C351" s="7"/>
      <c r="D351" s="7"/>
      <c r="E351" s="8"/>
      <c r="F351" s="9"/>
      <c r="G351" s="9"/>
      <c r="H351" s="10"/>
      <c r="I351" s="9"/>
      <c r="J351" s="9"/>
    </row>
    <row x14ac:dyDescent="0.25" r="352" customHeight="1" ht="17.25">
      <c r="A352" s="11" t="s">
        <v>7348</v>
      </c>
      <c r="B352" s="11"/>
      <c r="C352" s="11"/>
      <c r="D352" s="11"/>
      <c r="E352" s="12"/>
      <c r="F352" s="11"/>
      <c r="G352" s="11"/>
      <c r="H352" s="13"/>
      <c r="I352" s="11"/>
      <c r="J352" s="11"/>
    </row>
    <row x14ac:dyDescent="0.25" r="353" customHeight="1" ht="17.25">
      <c r="A353" s="14" t="s">
        <v>3</v>
      </c>
      <c r="B353" s="14" t="s">
        <v>4</v>
      </c>
      <c r="C353" s="14" t="s">
        <v>5</v>
      </c>
      <c r="D353" s="14" t="s">
        <v>6</v>
      </c>
      <c r="E353" s="15" t="s">
        <v>7</v>
      </c>
      <c r="F353" s="14" t="s">
        <v>8</v>
      </c>
      <c r="G353" s="14" t="s">
        <v>9</v>
      </c>
      <c r="H353" s="16" t="s">
        <v>10</v>
      </c>
      <c r="I353" s="14" t="s">
        <v>11</v>
      </c>
      <c r="J353" s="14" t="s">
        <v>12</v>
      </c>
    </row>
    <row x14ac:dyDescent="0.25" r="354" customHeight="1" ht="17.25">
      <c r="A354" s="17" t="s">
        <v>7349</v>
      </c>
      <c r="B354" s="17" t="s">
        <v>566</v>
      </c>
      <c r="C354" s="17" t="s">
        <v>56</v>
      </c>
      <c r="D354" s="17" t="s">
        <v>16</v>
      </c>
      <c r="E354" s="18">
        <f>ROUND(15884*1.05,2)</f>
      </c>
      <c r="F354" s="17" t="s">
        <v>17</v>
      </c>
      <c r="G354" s="17" t="s">
        <v>18</v>
      </c>
      <c r="H354" s="18">
        <f>ROUND(RAND()*4+6,1)</f>
      </c>
      <c r="I354" s="17" t="s">
        <v>19</v>
      </c>
      <c r="J354" s="19">
        <f>ROUND(93*1,0)&amp;"%"</f>
      </c>
    </row>
    <row x14ac:dyDescent="0.25" r="355" customHeight="1" ht="17.25">
      <c r="A355" s="20" t="s">
        <v>7350</v>
      </c>
      <c r="B355" s="20" t="s">
        <v>568</v>
      </c>
      <c r="C355" s="20" t="s">
        <v>56</v>
      </c>
      <c r="D355" s="20" t="s">
        <v>22</v>
      </c>
      <c r="E355" s="21">
        <f>ROUND(10538*1.05,2)</f>
      </c>
      <c r="F355" s="20" t="s">
        <v>23</v>
      </c>
      <c r="G355" s="20" t="s">
        <v>24</v>
      </c>
      <c r="H355" s="21">
        <f>ROUND(RAND()*4+6,1)</f>
      </c>
      <c r="I355" s="20" t="s">
        <v>25</v>
      </c>
      <c r="J355" s="23">
        <f>ROUND(74*1,0)&amp;"%"</f>
      </c>
    </row>
    <row x14ac:dyDescent="0.25" r="356" customHeight="1" ht="17.25">
      <c r="A356" s="17" t="s">
        <v>7351</v>
      </c>
      <c r="B356" s="17" t="s">
        <v>570</v>
      </c>
      <c r="C356" s="17" t="s">
        <v>56</v>
      </c>
      <c r="D356" s="17" t="s">
        <v>28</v>
      </c>
      <c r="E356" s="18">
        <f>ROUND(13602*1.05,2)</f>
      </c>
      <c r="F356" s="17" t="s">
        <v>29</v>
      </c>
      <c r="G356" s="17" t="s">
        <v>30</v>
      </c>
      <c r="H356" s="18">
        <f>ROUND(RAND()*4+6,1)</f>
      </c>
      <c r="I356" s="17" t="s">
        <v>31</v>
      </c>
      <c r="J356" s="19">
        <f>ROUND(99*1,0)&amp;"%"</f>
      </c>
    </row>
    <row x14ac:dyDescent="0.25" r="357" customHeight="1" ht="17.25">
      <c r="A357" s="20" t="s">
        <v>7352</v>
      </c>
      <c r="B357" s="20" t="s">
        <v>572</v>
      </c>
      <c r="C357" s="20" t="s">
        <v>56</v>
      </c>
      <c r="D357" s="20" t="s">
        <v>34</v>
      </c>
      <c r="E357" s="21">
        <f>ROUND(15053*1.05,2)</f>
      </c>
      <c r="F357" s="20" t="s">
        <v>35</v>
      </c>
      <c r="G357" s="20" t="s">
        <v>18</v>
      </c>
      <c r="H357" s="21">
        <f>ROUND(RAND()*4+6,1)</f>
      </c>
      <c r="I357" s="20" t="s">
        <v>36</v>
      </c>
      <c r="J357" s="23">
        <f>ROUND(69*1,0)&amp;"%"</f>
      </c>
    </row>
    <row x14ac:dyDescent="0.25" r="358" customHeight="1" ht="17.25">
      <c r="A358" s="17" t="s">
        <v>7353</v>
      </c>
      <c r="B358" s="17" t="s">
        <v>574</v>
      </c>
      <c r="C358" s="17" t="s">
        <v>56</v>
      </c>
      <c r="D358" s="17" t="s">
        <v>39</v>
      </c>
      <c r="E358" s="18">
        <f>ROUND(12722*1.05,2)</f>
      </c>
      <c r="F358" s="17" t="s">
        <v>40</v>
      </c>
      <c r="G358" s="17" t="s">
        <v>24</v>
      </c>
      <c r="H358" s="26">
        <f>ROUND(RAND()*4+6,1)</f>
      </c>
      <c r="I358" s="17" t="s">
        <v>41</v>
      </c>
      <c r="J358" s="19">
        <f>ROUND(91*1,0)&amp;"%"</f>
      </c>
    </row>
    <row x14ac:dyDescent="0.25" r="359" customHeight="1" ht="17.25">
      <c r="A359" s="20" t="s">
        <v>7354</v>
      </c>
      <c r="B359" s="20" t="s">
        <v>576</v>
      </c>
      <c r="C359" s="20" t="s">
        <v>56</v>
      </c>
      <c r="D359" s="20" t="s">
        <v>67</v>
      </c>
      <c r="E359" s="21">
        <f>ROUND(9774*1.05,2)</f>
      </c>
      <c r="F359" s="20" t="s">
        <v>44</v>
      </c>
      <c r="G359" s="20" t="s">
        <v>30</v>
      </c>
      <c r="H359" s="21">
        <f>ROUND(RAND()*4+6,1)</f>
      </c>
      <c r="I359" s="20" t="s">
        <v>45</v>
      </c>
      <c r="J359" s="23">
        <f>ROUND(64*1,0)&amp;"%"</f>
      </c>
    </row>
    <row x14ac:dyDescent="0.25" r="360" customHeight="1" ht="17.25">
      <c r="A360" s="17" t="s">
        <v>7355</v>
      </c>
      <c r="B360" s="17" t="s">
        <v>578</v>
      </c>
      <c r="C360" s="17" t="s">
        <v>56</v>
      </c>
      <c r="D360" s="17" t="s">
        <v>16</v>
      </c>
      <c r="E360" s="18">
        <f>ROUND(9433*1.05,2)</f>
      </c>
      <c r="F360" s="17" t="s">
        <v>48</v>
      </c>
      <c r="G360" s="17" t="s">
        <v>18</v>
      </c>
      <c r="H360" s="18">
        <f>ROUND(RAND()*4+6,1)</f>
      </c>
      <c r="I360" s="17" t="s">
        <v>19</v>
      </c>
      <c r="J360" s="19">
        <f>ROUND(100*1,0)&amp;"%"</f>
      </c>
    </row>
    <row x14ac:dyDescent="0.25" r="361" customHeight="1" ht="17.25">
      <c r="A361" s="20" t="s">
        <v>7356</v>
      </c>
      <c r="B361" s="20" t="s">
        <v>580</v>
      </c>
      <c r="C361" s="20" t="s">
        <v>56</v>
      </c>
      <c r="D361" s="20" t="s">
        <v>22</v>
      </c>
      <c r="E361" s="21">
        <f>ROUND(16055*1.05,2)</f>
      </c>
      <c r="F361" s="20" t="s">
        <v>51</v>
      </c>
      <c r="G361" s="20" t="s">
        <v>24</v>
      </c>
      <c r="H361" s="21">
        <f>ROUND(RAND()*4+6,1)</f>
      </c>
      <c r="I361" s="20" t="s">
        <v>25</v>
      </c>
      <c r="J361" s="23">
        <f>ROUND(81*1,0)&amp;"%"</f>
      </c>
    </row>
    <row x14ac:dyDescent="0.25" r="362" customHeight="1" ht="17.25">
      <c r="A362" s="24" t="s">
        <v>581</v>
      </c>
      <c r="B362" s="24"/>
      <c r="C362" s="24"/>
      <c r="D362" s="24"/>
      <c r="E362" s="25">
        <v>8</v>
      </c>
      <c r="F362" s="9"/>
      <c r="G362" s="9"/>
      <c r="H362" s="10"/>
      <c r="I362" s="9"/>
      <c r="J362" s="9"/>
    </row>
  </sheetData>
  <mergeCells count="62">
    <mergeCell ref="A1:J1"/>
    <mergeCell ref="A2:J2"/>
    <mergeCell ref="A4:J4"/>
    <mergeCell ref="A14:D14"/>
    <mergeCell ref="A16:J16"/>
    <mergeCell ref="A26:D26"/>
    <mergeCell ref="A28:J28"/>
    <mergeCell ref="A38:D38"/>
    <mergeCell ref="A40:J40"/>
    <mergeCell ref="A50:D50"/>
    <mergeCell ref="A52:J52"/>
    <mergeCell ref="A62:D62"/>
    <mergeCell ref="A64:J64"/>
    <mergeCell ref="A74:D74"/>
    <mergeCell ref="A76:J76"/>
    <mergeCell ref="A86:D86"/>
    <mergeCell ref="A88:J88"/>
    <mergeCell ref="A98:D98"/>
    <mergeCell ref="A100:J100"/>
    <mergeCell ref="A110:D110"/>
    <mergeCell ref="A112:J112"/>
    <mergeCell ref="A122:D122"/>
    <mergeCell ref="A124:J124"/>
    <mergeCell ref="A134:D134"/>
    <mergeCell ref="A136:J136"/>
    <mergeCell ref="A146:D146"/>
    <mergeCell ref="A148:J148"/>
    <mergeCell ref="A158:D158"/>
    <mergeCell ref="A160:J160"/>
    <mergeCell ref="A170:D170"/>
    <mergeCell ref="A172:J172"/>
    <mergeCell ref="A182:D182"/>
    <mergeCell ref="A184:J184"/>
    <mergeCell ref="A194:D194"/>
    <mergeCell ref="A196:J196"/>
    <mergeCell ref="A206:D206"/>
    <mergeCell ref="A208:J208"/>
    <mergeCell ref="A218:D218"/>
    <mergeCell ref="A220:J220"/>
    <mergeCell ref="A230:D230"/>
    <mergeCell ref="A232:J232"/>
    <mergeCell ref="A242:D242"/>
    <mergeCell ref="A244:J244"/>
    <mergeCell ref="A254:D254"/>
    <mergeCell ref="A256:J256"/>
    <mergeCell ref="A266:D266"/>
    <mergeCell ref="A268:J268"/>
    <mergeCell ref="A278:D278"/>
    <mergeCell ref="A280:J280"/>
    <mergeCell ref="A290:D290"/>
    <mergeCell ref="A292:J292"/>
    <mergeCell ref="A302:D302"/>
    <mergeCell ref="A304:J304"/>
    <mergeCell ref="A314:D314"/>
    <mergeCell ref="A316:J316"/>
    <mergeCell ref="A326:D326"/>
    <mergeCell ref="A328:J328"/>
    <mergeCell ref="A338:D338"/>
    <mergeCell ref="A340:J340"/>
    <mergeCell ref="A350:D350"/>
    <mergeCell ref="A352:J352"/>
    <mergeCell ref="A362:D362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J362"/>
  <sheetViews>
    <sheetView workbookViewId="0"/>
  </sheetViews>
  <sheetFormatPr defaultRowHeight="15" x14ac:dyDescent="0.25"/>
  <cols>
    <col min="1" max="1" style="27" width="8.005" customWidth="1" bestFit="1"/>
    <col min="2" max="2" style="27" width="22.005" customWidth="1" bestFit="1"/>
    <col min="3" max="3" style="27" width="16.005" customWidth="1" bestFit="1"/>
    <col min="4" max="4" style="27" width="14.005" customWidth="1" bestFit="1"/>
    <col min="5" max="5" style="28" width="12.005" customWidth="1" bestFit="1"/>
    <col min="6" max="6" style="29" width="16.005" customWidth="1" bestFit="1"/>
    <col min="7" max="7" style="29" width="10.005" customWidth="1" bestFit="1"/>
    <col min="8" max="8" style="32" width="10.005" customWidth="1" bestFit="1"/>
    <col min="9" max="9" style="29" width="14.005" customWidth="1" bestFit="1"/>
    <col min="10" max="10" style="29" width="8.005" customWidth="1" bestFit="1"/>
  </cols>
  <sheetData>
    <row x14ac:dyDescent="0.25" r="1" customHeight="1" ht="17.25">
      <c r="A1" s="1" t="s">
        <v>6815</v>
      </c>
      <c r="B1" s="1"/>
      <c r="C1" s="1"/>
      <c r="D1" s="1"/>
      <c r="E1" s="2"/>
      <c r="F1" s="1"/>
      <c r="G1" s="1"/>
      <c r="H1" s="2"/>
      <c r="I1" s="1"/>
      <c r="J1" s="1"/>
    </row>
    <row x14ac:dyDescent="0.25" r="2" customHeight="1" ht="17.25">
      <c r="A2" s="4" t="s">
        <v>1</v>
      </c>
      <c r="B2" s="4"/>
      <c r="C2" s="4"/>
      <c r="D2" s="4"/>
      <c r="E2" s="5"/>
      <c r="F2" s="4"/>
      <c r="G2" s="4"/>
      <c r="H2" s="5"/>
      <c r="I2" s="4"/>
      <c r="J2" s="4"/>
    </row>
    <row x14ac:dyDescent="0.25" r="3" customHeight="1" ht="17.25">
      <c r="A3" s="7"/>
      <c r="B3" s="7"/>
      <c r="C3" s="7"/>
      <c r="D3" s="7"/>
      <c r="E3" s="8"/>
      <c r="F3" s="9"/>
      <c r="G3" s="9"/>
      <c r="H3" s="31"/>
      <c r="I3" s="9"/>
      <c r="J3" s="9"/>
    </row>
    <row x14ac:dyDescent="0.25" r="4" customHeight="1" ht="17.25">
      <c r="A4" s="11" t="s">
        <v>6816</v>
      </c>
      <c r="B4" s="11"/>
      <c r="C4" s="11"/>
      <c r="D4" s="11"/>
      <c r="E4" s="12"/>
      <c r="F4" s="11"/>
      <c r="G4" s="11"/>
      <c r="H4" s="12"/>
      <c r="I4" s="11"/>
      <c r="J4" s="11"/>
    </row>
    <row x14ac:dyDescent="0.25" r="5" customHeight="1" ht="17.25">
      <c r="A5" s="14" t="s">
        <v>3</v>
      </c>
      <c r="B5" s="14" t="s">
        <v>4</v>
      </c>
      <c r="C5" s="14" t="s">
        <v>5</v>
      </c>
      <c r="D5" s="14" t="s">
        <v>6</v>
      </c>
      <c r="E5" s="15" t="s">
        <v>7</v>
      </c>
      <c r="F5" s="14" t="s">
        <v>8</v>
      </c>
      <c r="G5" s="14" t="s">
        <v>9</v>
      </c>
      <c r="H5" s="15" t="s">
        <v>10</v>
      </c>
      <c r="I5" s="14" t="s">
        <v>11</v>
      </c>
      <c r="J5" s="14" t="s">
        <v>12</v>
      </c>
    </row>
    <row x14ac:dyDescent="0.25" r="6" customHeight="1" ht="17.25">
      <c r="A6" s="17" t="s">
        <v>6817</v>
      </c>
      <c r="B6" s="17" t="s">
        <v>14</v>
      </c>
      <c r="C6" s="17" t="s">
        <v>15</v>
      </c>
      <c r="D6" s="17" t="s">
        <v>16</v>
      </c>
      <c r="E6" s="18">
        <f>ROUND(5299*1.05,2)</f>
      </c>
      <c r="F6" s="17" t="s">
        <v>17</v>
      </c>
      <c r="G6" s="17" t="s">
        <v>18</v>
      </c>
      <c r="H6" s="18">
        <f>ROUND(RAND()*4+6,1)</f>
      </c>
      <c r="I6" s="17" t="s">
        <v>19</v>
      </c>
      <c r="J6" s="19">
        <f>ROUND(93*1,0)&amp;"%"</f>
      </c>
    </row>
    <row x14ac:dyDescent="0.25" r="7" customHeight="1" ht="17.25">
      <c r="A7" s="20" t="s">
        <v>6818</v>
      </c>
      <c r="B7" s="20" t="s">
        <v>21</v>
      </c>
      <c r="C7" s="20" t="s">
        <v>15</v>
      </c>
      <c r="D7" s="20" t="s">
        <v>22</v>
      </c>
      <c r="E7" s="21">
        <f>ROUND(9151*1.05,2)</f>
      </c>
      <c r="F7" s="20" t="s">
        <v>23</v>
      </c>
      <c r="G7" s="20" t="s">
        <v>24</v>
      </c>
      <c r="H7" s="21">
        <f>ROUND(RAND()*4+6,1)</f>
      </c>
      <c r="I7" s="20" t="s">
        <v>25</v>
      </c>
      <c r="J7" s="23">
        <f>ROUND(63*1,0)&amp;"%"</f>
      </c>
    </row>
    <row x14ac:dyDescent="0.25" r="8" customHeight="1" ht="17.25">
      <c r="A8" s="17" t="s">
        <v>6819</v>
      </c>
      <c r="B8" s="17" t="s">
        <v>27</v>
      </c>
      <c r="C8" s="17" t="s">
        <v>15</v>
      </c>
      <c r="D8" s="17" t="s">
        <v>28</v>
      </c>
      <c r="E8" s="18">
        <f>ROUND(14147*1.05,2)</f>
      </c>
      <c r="F8" s="17" t="s">
        <v>29</v>
      </c>
      <c r="G8" s="17" t="s">
        <v>30</v>
      </c>
      <c r="H8" s="18">
        <f>ROUND(RAND()*4+6,1)</f>
      </c>
      <c r="I8" s="17" t="s">
        <v>31</v>
      </c>
      <c r="J8" s="19">
        <f>ROUND(84*1,0)&amp;"%"</f>
      </c>
    </row>
    <row x14ac:dyDescent="0.25" r="9" customHeight="1" ht="17.25">
      <c r="A9" s="20" t="s">
        <v>6820</v>
      </c>
      <c r="B9" s="20" t="s">
        <v>33</v>
      </c>
      <c r="C9" s="20" t="s">
        <v>15</v>
      </c>
      <c r="D9" s="20" t="s">
        <v>34</v>
      </c>
      <c r="E9" s="21">
        <f>ROUND(10064*1.05,2)</f>
      </c>
      <c r="F9" s="20" t="s">
        <v>35</v>
      </c>
      <c r="G9" s="20" t="s">
        <v>18</v>
      </c>
      <c r="H9" s="22">
        <f>ROUND(RAND()*4+6,1)</f>
      </c>
      <c r="I9" s="20" t="s">
        <v>36</v>
      </c>
      <c r="J9" s="23">
        <f>ROUND(82*1,0)&amp;"%"</f>
      </c>
    </row>
    <row x14ac:dyDescent="0.25" r="10" customHeight="1" ht="17.25">
      <c r="A10" s="17" t="s">
        <v>6821</v>
      </c>
      <c r="B10" s="17" t="s">
        <v>38</v>
      </c>
      <c r="C10" s="17" t="s">
        <v>15</v>
      </c>
      <c r="D10" s="17" t="s">
        <v>39</v>
      </c>
      <c r="E10" s="18">
        <f>ROUND(16866*1.05,2)</f>
      </c>
      <c r="F10" s="17" t="s">
        <v>40</v>
      </c>
      <c r="G10" s="17" t="s">
        <v>24</v>
      </c>
      <c r="H10" s="18">
        <f>ROUND(RAND()*4+6,1)</f>
      </c>
      <c r="I10" s="17" t="s">
        <v>41</v>
      </c>
      <c r="J10" s="19">
        <f>ROUND(68*1,0)&amp;"%"</f>
      </c>
    </row>
    <row x14ac:dyDescent="0.25" r="11" customHeight="1" ht="17.25">
      <c r="A11" s="20" t="s">
        <v>6822</v>
      </c>
      <c r="B11" s="20" t="s">
        <v>43</v>
      </c>
      <c r="C11" s="20" t="s">
        <v>15</v>
      </c>
      <c r="D11" s="20" t="s">
        <v>67</v>
      </c>
      <c r="E11" s="21">
        <f>ROUND(8722*1.05,2)</f>
      </c>
      <c r="F11" s="20" t="s">
        <v>44</v>
      </c>
      <c r="G11" s="20" t="s">
        <v>30</v>
      </c>
      <c r="H11" s="21">
        <f>ROUND(RAND()*4+6,1)</f>
      </c>
      <c r="I11" s="20" t="s">
        <v>45</v>
      </c>
      <c r="J11" s="23">
        <f>ROUND(95*1,0)&amp;"%"</f>
      </c>
    </row>
    <row x14ac:dyDescent="0.25" r="12" customHeight="1" ht="17.25">
      <c r="A12" s="17" t="s">
        <v>6823</v>
      </c>
      <c r="B12" s="17" t="s">
        <v>47</v>
      </c>
      <c r="C12" s="17" t="s">
        <v>15</v>
      </c>
      <c r="D12" s="17" t="s">
        <v>16</v>
      </c>
      <c r="E12" s="18">
        <f>ROUND(8176*1.05,2)</f>
      </c>
      <c r="F12" s="17" t="s">
        <v>48</v>
      </c>
      <c r="G12" s="17" t="s">
        <v>18</v>
      </c>
      <c r="H12" s="26">
        <f>ROUND(RAND()*4+6,1)</f>
      </c>
      <c r="I12" s="17" t="s">
        <v>19</v>
      </c>
      <c r="J12" s="19">
        <f>ROUND(94*1,0)&amp;"%"</f>
      </c>
    </row>
    <row x14ac:dyDescent="0.25" r="13" customHeight="1" ht="17.25">
      <c r="A13" s="20" t="s">
        <v>6824</v>
      </c>
      <c r="B13" s="20" t="s">
        <v>50</v>
      </c>
      <c r="C13" s="20" t="s">
        <v>15</v>
      </c>
      <c r="D13" s="20" t="s">
        <v>22</v>
      </c>
      <c r="E13" s="21">
        <f>ROUND(14909*1.05,2)</f>
      </c>
      <c r="F13" s="20" t="s">
        <v>51</v>
      </c>
      <c r="G13" s="20" t="s">
        <v>24</v>
      </c>
      <c r="H13" s="21">
        <f>ROUND(RAND()*4+6,1)</f>
      </c>
      <c r="I13" s="20" t="s">
        <v>25</v>
      </c>
      <c r="J13" s="23">
        <f>ROUND(73*1,0)&amp;"%"</f>
      </c>
    </row>
    <row x14ac:dyDescent="0.25" r="14" customHeight="1" ht="17.25">
      <c r="A14" s="24" t="s">
        <v>52</v>
      </c>
      <c r="B14" s="24"/>
      <c r="C14" s="24"/>
      <c r="D14" s="24"/>
      <c r="E14" s="25">
        <v>8</v>
      </c>
      <c r="F14" s="9"/>
      <c r="G14" s="9"/>
      <c r="H14" s="31"/>
      <c r="I14" s="9"/>
      <c r="J14" s="9"/>
    </row>
    <row x14ac:dyDescent="0.25" r="15" customHeight="1" ht="17.25">
      <c r="A15" s="7"/>
      <c r="B15" s="7"/>
      <c r="C15" s="7"/>
      <c r="D15" s="7"/>
      <c r="E15" s="8"/>
      <c r="F15" s="9"/>
      <c r="G15" s="9"/>
      <c r="H15" s="31"/>
      <c r="I15" s="9"/>
      <c r="J15" s="9"/>
    </row>
    <row x14ac:dyDescent="0.25" r="16" customHeight="1" ht="17.25">
      <c r="A16" s="11" t="s">
        <v>6825</v>
      </c>
      <c r="B16" s="11"/>
      <c r="C16" s="11"/>
      <c r="D16" s="11"/>
      <c r="E16" s="12"/>
      <c r="F16" s="11"/>
      <c r="G16" s="11"/>
      <c r="H16" s="12"/>
      <c r="I16" s="11"/>
      <c r="J16" s="11"/>
    </row>
    <row x14ac:dyDescent="0.25" r="17" customHeight="1" ht="17.25">
      <c r="A17" s="14" t="s">
        <v>3</v>
      </c>
      <c r="B17" s="14" t="s">
        <v>4</v>
      </c>
      <c r="C17" s="14" t="s">
        <v>5</v>
      </c>
      <c r="D17" s="14" t="s">
        <v>6</v>
      </c>
      <c r="E17" s="15" t="s">
        <v>7</v>
      </c>
      <c r="F17" s="14" t="s">
        <v>8</v>
      </c>
      <c r="G17" s="14" t="s">
        <v>9</v>
      </c>
      <c r="H17" s="15" t="s">
        <v>10</v>
      </c>
      <c r="I17" s="14" t="s">
        <v>11</v>
      </c>
      <c r="J17" s="14" t="s">
        <v>12</v>
      </c>
    </row>
    <row x14ac:dyDescent="0.25" r="18" customHeight="1" ht="17.25">
      <c r="A18" s="17" t="s">
        <v>6826</v>
      </c>
      <c r="B18" s="17" t="s">
        <v>55</v>
      </c>
      <c r="C18" s="17" t="s">
        <v>56</v>
      </c>
      <c r="D18" s="17" t="s">
        <v>16</v>
      </c>
      <c r="E18" s="18">
        <f>ROUND(13013*1.05,2)</f>
      </c>
      <c r="F18" s="17" t="s">
        <v>17</v>
      </c>
      <c r="G18" s="17" t="s">
        <v>18</v>
      </c>
      <c r="H18" s="18">
        <f>ROUND(RAND()*4+6,1)</f>
      </c>
      <c r="I18" s="17" t="s">
        <v>19</v>
      </c>
      <c r="J18" s="19">
        <f>ROUND(79*1,0)&amp;"%"</f>
      </c>
    </row>
    <row x14ac:dyDescent="0.25" r="19" customHeight="1" ht="17.25">
      <c r="A19" s="20" t="s">
        <v>6827</v>
      </c>
      <c r="B19" s="20" t="s">
        <v>58</v>
      </c>
      <c r="C19" s="20" t="s">
        <v>56</v>
      </c>
      <c r="D19" s="20" t="s">
        <v>22</v>
      </c>
      <c r="E19" s="22">
        <f>ROUND(14300*1.05,2)</f>
      </c>
      <c r="F19" s="20" t="s">
        <v>23</v>
      </c>
      <c r="G19" s="20" t="s">
        <v>24</v>
      </c>
      <c r="H19" s="21">
        <f>ROUND(RAND()*4+6,1)</f>
      </c>
      <c r="I19" s="20" t="s">
        <v>25</v>
      </c>
      <c r="J19" s="23">
        <f>ROUND(74*1,0)&amp;"%"</f>
      </c>
    </row>
    <row x14ac:dyDescent="0.25" r="20" customHeight="1" ht="17.25">
      <c r="A20" s="17" t="s">
        <v>6828</v>
      </c>
      <c r="B20" s="17" t="s">
        <v>60</v>
      </c>
      <c r="C20" s="17" t="s">
        <v>56</v>
      </c>
      <c r="D20" s="17" t="s">
        <v>28</v>
      </c>
      <c r="E20" s="18">
        <f>ROUND(4856*1.05,2)</f>
      </c>
      <c r="F20" s="17" t="s">
        <v>29</v>
      </c>
      <c r="G20" s="17" t="s">
        <v>30</v>
      </c>
      <c r="H20" s="18">
        <f>ROUND(RAND()*4+6,1)</f>
      </c>
      <c r="I20" s="17" t="s">
        <v>31</v>
      </c>
      <c r="J20" s="19">
        <f>ROUND(70*1,0)&amp;"%"</f>
      </c>
    </row>
    <row x14ac:dyDescent="0.25" r="21" customHeight="1" ht="17.25">
      <c r="A21" s="20" t="s">
        <v>6829</v>
      </c>
      <c r="B21" s="20" t="s">
        <v>62</v>
      </c>
      <c r="C21" s="20" t="s">
        <v>56</v>
      </c>
      <c r="D21" s="20" t="s">
        <v>34</v>
      </c>
      <c r="E21" s="21">
        <f>ROUND(14786*1.05,2)</f>
      </c>
      <c r="F21" s="20" t="s">
        <v>35</v>
      </c>
      <c r="G21" s="20" t="s">
        <v>18</v>
      </c>
      <c r="H21" s="21">
        <f>ROUND(RAND()*4+6,1)</f>
      </c>
      <c r="I21" s="20" t="s">
        <v>36</v>
      </c>
      <c r="J21" s="23">
        <f>ROUND(90*1,0)&amp;"%"</f>
      </c>
    </row>
    <row x14ac:dyDescent="0.25" r="22" customHeight="1" ht="17.25">
      <c r="A22" s="17" t="s">
        <v>6830</v>
      </c>
      <c r="B22" s="17" t="s">
        <v>64</v>
      </c>
      <c r="C22" s="17" t="s">
        <v>56</v>
      </c>
      <c r="D22" s="17" t="s">
        <v>39</v>
      </c>
      <c r="E22" s="18">
        <f>ROUND(14881*1.05,2)</f>
      </c>
      <c r="F22" s="17" t="s">
        <v>40</v>
      </c>
      <c r="G22" s="17" t="s">
        <v>24</v>
      </c>
      <c r="H22" s="18">
        <f>ROUND(RAND()*4+6,1)</f>
      </c>
      <c r="I22" s="17" t="s">
        <v>41</v>
      </c>
      <c r="J22" s="19">
        <f>ROUND(64*1,0)&amp;"%"</f>
      </c>
    </row>
    <row x14ac:dyDescent="0.25" r="23" customHeight="1" ht="17.25">
      <c r="A23" s="20" t="s">
        <v>6831</v>
      </c>
      <c r="B23" s="20" t="s">
        <v>66</v>
      </c>
      <c r="C23" s="20" t="s">
        <v>56</v>
      </c>
      <c r="D23" s="20" t="s">
        <v>67</v>
      </c>
      <c r="E23" s="21">
        <f>ROUND(4475*1.05,2)</f>
      </c>
      <c r="F23" s="20" t="s">
        <v>44</v>
      </c>
      <c r="G23" s="20" t="s">
        <v>30</v>
      </c>
      <c r="H23" s="21">
        <f>ROUND(RAND()*4+6,1)</f>
      </c>
      <c r="I23" s="20" t="s">
        <v>45</v>
      </c>
      <c r="J23" s="23">
        <f>ROUND(84*1,0)&amp;"%"</f>
      </c>
    </row>
    <row x14ac:dyDescent="0.25" r="24" customHeight="1" ht="17.25">
      <c r="A24" s="17" t="s">
        <v>6832</v>
      </c>
      <c r="B24" s="17" t="s">
        <v>69</v>
      </c>
      <c r="C24" s="17" t="s">
        <v>56</v>
      </c>
      <c r="D24" s="17" t="s">
        <v>16</v>
      </c>
      <c r="E24" s="18">
        <f>ROUND(15606*1.05,2)</f>
      </c>
      <c r="F24" s="17" t="s">
        <v>48</v>
      </c>
      <c r="G24" s="17" t="s">
        <v>18</v>
      </c>
      <c r="H24" s="18">
        <f>ROUND(RAND()*4+6,1)</f>
      </c>
      <c r="I24" s="17" t="s">
        <v>19</v>
      </c>
      <c r="J24" s="19">
        <f>ROUND(77*1,0)&amp;"%"</f>
      </c>
    </row>
    <row x14ac:dyDescent="0.25" r="25" customHeight="1" ht="17.25">
      <c r="A25" s="20" t="s">
        <v>6833</v>
      </c>
      <c r="B25" s="20" t="s">
        <v>71</v>
      </c>
      <c r="C25" s="20" t="s">
        <v>56</v>
      </c>
      <c r="D25" s="20" t="s">
        <v>22</v>
      </c>
      <c r="E25" s="21">
        <f>ROUND(10124*1.05,2)</f>
      </c>
      <c r="F25" s="20" t="s">
        <v>51</v>
      </c>
      <c r="G25" s="20" t="s">
        <v>24</v>
      </c>
      <c r="H25" s="21">
        <f>ROUND(RAND()*4+6,1)</f>
      </c>
      <c r="I25" s="20" t="s">
        <v>25</v>
      </c>
      <c r="J25" s="23">
        <f>ROUND(78*1,0)&amp;"%"</f>
      </c>
    </row>
    <row x14ac:dyDescent="0.25" r="26" customHeight="1" ht="17.25">
      <c r="A26" s="24" t="s">
        <v>72</v>
      </c>
      <c r="B26" s="24"/>
      <c r="C26" s="24"/>
      <c r="D26" s="24"/>
      <c r="E26" s="25">
        <v>8</v>
      </c>
      <c r="F26" s="9"/>
      <c r="G26" s="9"/>
      <c r="H26" s="31"/>
      <c r="I26" s="9"/>
      <c r="J26" s="9"/>
    </row>
    <row x14ac:dyDescent="0.25" r="27" customHeight="1" ht="17.25">
      <c r="A27" s="7"/>
      <c r="B27" s="7"/>
      <c r="C27" s="7"/>
      <c r="D27" s="7"/>
      <c r="E27" s="8"/>
      <c r="F27" s="9"/>
      <c r="G27" s="9"/>
      <c r="H27" s="31"/>
      <c r="I27" s="9"/>
      <c r="J27" s="9"/>
    </row>
    <row x14ac:dyDescent="0.25" r="28" customHeight="1" ht="17.25">
      <c r="A28" s="11" t="s">
        <v>6834</v>
      </c>
      <c r="B28" s="11"/>
      <c r="C28" s="11"/>
      <c r="D28" s="11"/>
      <c r="E28" s="12"/>
      <c r="F28" s="11"/>
      <c r="G28" s="11"/>
      <c r="H28" s="12"/>
      <c r="I28" s="11"/>
      <c r="J28" s="11"/>
    </row>
    <row x14ac:dyDescent="0.25" r="29" customHeight="1" ht="17.25">
      <c r="A29" s="14" t="s">
        <v>3</v>
      </c>
      <c r="B29" s="14" t="s">
        <v>4</v>
      </c>
      <c r="C29" s="14" t="s">
        <v>5</v>
      </c>
      <c r="D29" s="14" t="s">
        <v>6</v>
      </c>
      <c r="E29" s="15" t="s">
        <v>7</v>
      </c>
      <c r="F29" s="14" t="s">
        <v>8</v>
      </c>
      <c r="G29" s="14" t="s">
        <v>9</v>
      </c>
      <c r="H29" s="15" t="s">
        <v>10</v>
      </c>
      <c r="I29" s="14" t="s">
        <v>11</v>
      </c>
      <c r="J29" s="14" t="s">
        <v>12</v>
      </c>
    </row>
    <row x14ac:dyDescent="0.25" r="30" customHeight="1" ht="17.25">
      <c r="A30" s="17" t="s">
        <v>6835</v>
      </c>
      <c r="B30" s="17" t="s">
        <v>75</v>
      </c>
      <c r="C30" s="17" t="s">
        <v>76</v>
      </c>
      <c r="D30" s="17" t="s">
        <v>16</v>
      </c>
      <c r="E30" s="18">
        <f>ROUND(12663*1.05,2)</f>
      </c>
      <c r="F30" s="17" t="s">
        <v>17</v>
      </c>
      <c r="G30" s="17" t="s">
        <v>18</v>
      </c>
      <c r="H30" s="18">
        <f>ROUND(RAND()*4+6,1)</f>
      </c>
      <c r="I30" s="17" t="s">
        <v>19</v>
      </c>
      <c r="J30" s="19">
        <f>ROUND(91*1,0)&amp;"%"</f>
      </c>
    </row>
    <row x14ac:dyDescent="0.25" r="31" customHeight="1" ht="17.25">
      <c r="A31" s="20" t="s">
        <v>6836</v>
      </c>
      <c r="B31" s="20" t="s">
        <v>78</v>
      </c>
      <c r="C31" s="20" t="s">
        <v>76</v>
      </c>
      <c r="D31" s="20" t="s">
        <v>22</v>
      </c>
      <c r="E31" s="21">
        <f>ROUND(10434*1.05,2)</f>
      </c>
      <c r="F31" s="20" t="s">
        <v>23</v>
      </c>
      <c r="G31" s="20" t="s">
        <v>24</v>
      </c>
      <c r="H31" s="21">
        <f>ROUND(RAND()*4+6,1)</f>
      </c>
      <c r="I31" s="20" t="s">
        <v>25</v>
      </c>
      <c r="J31" s="23">
        <f>ROUND(63*1,0)&amp;"%"</f>
      </c>
    </row>
    <row x14ac:dyDescent="0.25" r="32" customHeight="1" ht="17.25">
      <c r="A32" s="17" t="s">
        <v>6837</v>
      </c>
      <c r="B32" s="17" t="s">
        <v>80</v>
      </c>
      <c r="C32" s="17" t="s">
        <v>76</v>
      </c>
      <c r="D32" s="17" t="s">
        <v>28</v>
      </c>
      <c r="E32" s="18">
        <f>ROUND(6336*1.05,2)</f>
      </c>
      <c r="F32" s="17" t="s">
        <v>29</v>
      </c>
      <c r="G32" s="17" t="s">
        <v>30</v>
      </c>
      <c r="H32" s="18">
        <f>ROUND(RAND()*4+6,1)</f>
      </c>
      <c r="I32" s="17" t="s">
        <v>31</v>
      </c>
      <c r="J32" s="19">
        <f>ROUND(68*1,0)&amp;"%"</f>
      </c>
    </row>
    <row x14ac:dyDescent="0.25" r="33" customHeight="1" ht="17.25">
      <c r="A33" s="20" t="s">
        <v>6838</v>
      </c>
      <c r="B33" s="20" t="s">
        <v>82</v>
      </c>
      <c r="C33" s="20" t="s">
        <v>76</v>
      </c>
      <c r="D33" s="20" t="s">
        <v>34</v>
      </c>
      <c r="E33" s="21">
        <f>ROUND(16303*1.05,2)</f>
      </c>
      <c r="F33" s="20" t="s">
        <v>35</v>
      </c>
      <c r="G33" s="20" t="s">
        <v>18</v>
      </c>
      <c r="H33" s="21">
        <f>ROUND(RAND()*4+6,1)</f>
      </c>
      <c r="I33" s="20" t="s">
        <v>36</v>
      </c>
      <c r="J33" s="23">
        <f>ROUND(80*1,0)&amp;"%"</f>
      </c>
    </row>
    <row x14ac:dyDescent="0.25" r="34" customHeight="1" ht="17.25">
      <c r="A34" s="17" t="s">
        <v>6839</v>
      </c>
      <c r="B34" s="17" t="s">
        <v>84</v>
      </c>
      <c r="C34" s="17" t="s">
        <v>76</v>
      </c>
      <c r="D34" s="17" t="s">
        <v>39</v>
      </c>
      <c r="E34" s="18">
        <f>ROUND(4955*1.05,2)</f>
      </c>
      <c r="F34" s="17" t="s">
        <v>40</v>
      </c>
      <c r="G34" s="17" t="s">
        <v>24</v>
      </c>
      <c r="H34" s="18">
        <f>ROUND(RAND()*4+6,1)</f>
      </c>
      <c r="I34" s="17" t="s">
        <v>41</v>
      </c>
      <c r="J34" s="19">
        <f>ROUND(93*1,0)&amp;"%"</f>
      </c>
    </row>
    <row x14ac:dyDescent="0.25" r="35" customHeight="1" ht="17.25">
      <c r="A35" s="20" t="s">
        <v>6840</v>
      </c>
      <c r="B35" s="20" t="s">
        <v>86</v>
      </c>
      <c r="C35" s="20" t="s">
        <v>76</v>
      </c>
      <c r="D35" s="20" t="s">
        <v>67</v>
      </c>
      <c r="E35" s="21">
        <f>ROUND(5028*1.05,2)</f>
      </c>
      <c r="F35" s="20" t="s">
        <v>44</v>
      </c>
      <c r="G35" s="20" t="s">
        <v>30</v>
      </c>
      <c r="H35" s="22">
        <f>ROUND(RAND()*4+6,1)</f>
      </c>
      <c r="I35" s="20" t="s">
        <v>45</v>
      </c>
      <c r="J35" s="23">
        <f>ROUND(78*1,0)&amp;"%"</f>
      </c>
    </row>
    <row x14ac:dyDescent="0.25" r="36" customHeight="1" ht="17.25">
      <c r="A36" s="17" t="s">
        <v>6841</v>
      </c>
      <c r="B36" s="17" t="s">
        <v>88</v>
      </c>
      <c r="C36" s="17" t="s">
        <v>76</v>
      </c>
      <c r="D36" s="17" t="s">
        <v>16</v>
      </c>
      <c r="E36" s="18">
        <f>ROUND(13010*1.05,2)</f>
      </c>
      <c r="F36" s="17" t="s">
        <v>48</v>
      </c>
      <c r="G36" s="17" t="s">
        <v>18</v>
      </c>
      <c r="H36" s="18">
        <f>ROUND(RAND()*4+6,1)</f>
      </c>
      <c r="I36" s="17" t="s">
        <v>19</v>
      </c>
      <c r="J36" s="19">
        <f>ROUND(66*1,0)&amp;"%"</f>
      </c>
    </row>
    <row x14ac:dyDescent="0.25" r="37" customHeight="1" ht="17.25">
      <c r="A37" s="20" t="s">
        <v>6842</v>
      </c>
      <c r="B37" s="20" t="s">
        <v>90</v>
      </c>
      <c r="C37" s="20" t="s">
        <v>76</v>
      </c>
      <c r="D37" s="20" t="s">
        <v>22</v>
      </c>
      <c r="E37" s="22">
        <f>ROUND(12960*1.05,2)</f>
      </c>
      <c r="F37" s="20" t="s">
        <v>51</v>
      </c>
      <c r="G37" s="20" t="s">
        <v>24</v>
      </c>
      <c r="H37" s="22">
        <f>ROUND(RAND()*4+6,1)</f>
      </c>
      <c r="I37" s="20" t="s">
        <v>25</v>
      </c>
      <c r="J37" s="23">
        <f>ROUND(91*1,0)&amp;"%"</f>
      </c>
    </row>
    <row x14ac:dyDescent="0.25" r="38" customHeight="1" ht="17.25">
      <c r="A38" s="24" t="s">
        <v>91</v>
      </c>
      <c r="B38" s="24"/>
      <c r="C38" s="24"/>
      <c r="D38" s="24"/>
      <c r="E38" s="25">
        <v>8</v>
      </c>
      <c r="F38" s="9"/>
      <c r="G38" s="9"/>
      <c r="H38" s="31"/>
      <c r="I38" s="9"/>
      <c r="J38" s="9"/>
    </row>
    <row x14ac:dyDescent="0.25" r="39" customHeight="1" ht="17.25">
      <c r="A39" s="7"/>
      <c r="B39" s="7"/>
      <c r="C39" s="7"/>
      <c r="D39" s="7"/>
      <c r="E39" s="8"/>
      <c r="F39" s="9"/>
      <c r="G39" s="9"/>
      <c r="H39" s="31"/>
      <c r="I39" s="9"/>
      <c r="J39" s="9"/>
    </row>
    <row x14ac:dyDescent="0.25" r="40" customHeight="1" ht="17.25">
      <c r="A40" s="11" t="s">
        <v>6843</v>
      </c>
      <c r="B40" s="11"/>
      <c r="C40" s="11"/>
      <c r="D40" s="11"/>
      <c r="E40" s="12"/>
      <c r="F40" s="11"/>
      <c r="G40" s="11"/>
      <c r="H40" s="12"/>
      <c r="I40" s="11"/>
      <c r="J40" s="11"/>
    </row>
    <row x14ac:dyDescent="0.25" r="41" customHeight="1" ht="17.25">
      <c r="A41" s="14" t="s">
        <v>3</v>
      </c>
      <c r="B41" s="14" t="s">
        <v>4</v>
      </c>
      <c r="C41" s="14" t="s">
        <v>5</v>
      </c>
      <c r="D41" s="14" t="s">
        <v>6</v>
      </c>
      <c r="E41" s="15" t="s">
        <v>7</v>
      </c>
      <c r="F41" s="14" t="s">
        <v>8</v>
      </c>
      <c r="G41" s="14" t="s">
        <v>9</v>
      </c>
      <c r="H41" s="15" t="s">
        <v>10</v>
      </c>
      <c r="I41" s="14" t="s">
        <v>11</v>
      </c>
      <c r="J41" s="14" t="s">
        <v>12</v>
      </c>
    </row>
    <row x14ac:dyDescent="0.25" r="42" customHeight="1" ht="17.25">
      <c r="A42" s="17" t="s">
        <v>6844</v>
      </c>
      <c r="B42" s="17" t="s">
        <v>94</v>
      </c>
      <c r="C42" s="17" t="s">
        <v>95</v>
      </c>
      <c r="D42" s="17" t="s">
        <v>16</v>
      </c>
      <c r="E42" s="18">
        <f>ROUND(10816*1.05,2)</f>
      </c>
      <c r="F42" s="17" t="s">
        <v>17</v>
      </c>
      <c r="G42" s="17" t="s">
        <v>18</v>
      </c>
      <c r="H42" s="18">
        <f>ROUND(RAND()*4+6,1)</f>
      </c>
      <c r="I42" s="17" t="s">
        <v>19</v>
      </c>
      <c r="J42" s="19">
        <f>ROUND(87*1,0)&amp;"%"</f>
      </c>
    </row>
    <row x14ac:dyDescent="0.25" r="43" customHeight="1" ht="17.25">
      <c r="A43" s="20" t="s">
        <v>6845</v>
      </c>
      <c r="B43" s="20" t="s">
        <v>97</v>
      </c>
      <c r="C43" s="20" t="s">
        <v>95</v>
      </c>
      <c r="D43" s="20" t="s">
        <v>22</v>
      </c>
      <c r="E43" s="21">
        <f>ROUND(10933*1.05,2)</f>
      </c>
      <c r="F43" s="20" t="s">
        <v>23</v>
      </c>
      <c r="G43" s="20" t="s">
        <v>24</v>
      </c>
      <c r="H43" s="21">
        <f>ROUND(RAND()*4+6,1)</f>
      </c>
      <c r="I43" s="20" t="s">
        <v>25</v>
      </c>
      <c r="J43" s="23">
        <f>ROUND(94*1,0)&amp;"%"</f>
      </c>
    </row>
    <row x14ac:dyDescent="0.25" r="44" customHeight="1" ht="17.25">
      <c r="A44" s="17" t="s">
        <v>6846</v>
      </c>
      <c r="B44" s="17" t="s">
        <v>99</v>
      </c>
      <c r="C44" s="17" t="s">
        <v>95</v>
      </c>
      <c r="D44" s="17" t="s">
        <v>28</v>
      </c>
      <c r="E44" s="18">
        <f>ROUND(4562*1.05,2)</f>
      </c>
      <c r="F44" s="17" t="s">
        <v>29</v>
      </c>
      <c r="G44" s="17" t="s">
        <v>30</v>
      </c>
      <c r="H44" s="18">
        <f>ROUND(RAND()*4+6,1)</f>
      </c>
      <c r="I44" s="17" t="s">
        <v>31</v>
      </c>
      <c r="J44" s="19">
        <f>ROUND(97*1,0)&amp;"%"</f>
      </c>
    </row>
    <row x14ac:dyDescent="0.25" r="45" customHeight="1" ht="17.25">
      <c r="A45" s="20" t="s">
        <v>6847</v>
      </c>
      <c r="B45" s="20" t="s">
        <v>101</v>
      </c>
      <c r="C45" s="20" t="s">
        <v>95</v>
      </c>
      <c r="D45" s="20" t="s">
        <v>34</v>
      </c>
      <c r="E45" s="21">
        <f>ROUND(12775*1.05,2)</f>
      </c>
      <c r="F45" s="20" t="s">
        <v>35</v>
      </c>
      <c r="G45" s="20" t="s">
        <v>18</v>
      </c>
      <c r="H45" s="21">
        <f>ROUND(RAND()*4+6,1)</f>
      </c>
      <c r="I45" s="20" t="s">
        <v>36</v>
      </c>
      <c r="J45" s="23">
        <f>ROUND(72*1,0)&amp;"%"</f>
      </c>
    </row>
    <row x14ac:dyDescent="0.25" r="46" customHeight="1" ht="17.25">
      <c r="A46" s="17" t="s">
        <v>6848</v>
      </c>
      <c r="B46" s="17" t="s">
        <v>103</v>
      </c>
      <c r="C46" s="17" t="s">
        <v>95</v>
      </c>
      <c r="D46" s="17" t="s">
        <v>39</v>
      </c>
      <c r="E46" s="18">
        <f>ROUND(17070*1.05,2)</f>
      </c>
      <c r="F46" s="17" t="s">
        <v>40</v>
      </c>
      <c r="G46" s="17" t="s">
        <v>24</v>
      </c>
      <c r="H46" s="18">
        <f>ROUND(RAND()*4+6,1)</f>
      </c>
      <c r="I46" s="17" t="s">
        <v>41</v>
      </c>
      <c r="J46" s="19">
        <f>ROUND(61*1,0)&amp;"%"</f>
      </c>
    </row>
    <row x14ac:dyDescent="0.25" r="47" customHeight="1" ht="17.25">
      <c r="A47" s="20" t="s">
        <v>6849</v>
      </c>
      <c r="B47" s="20" t="s">
        <v>105</v>
      </c>
      <c r="C47" s="20" t="s">
        <v>95</v>
      </c>
      <c r="D47" s="20" t="s">
        <v>67</v>
      </c>
      <c r="E47" s="21">
        <f>ROUND(12912*1.05,2)</f>
      </c>
      <c r="F47" s="20" t="s">
        <v>44</v>
      </c>
      <c r="G47" s="20" t="s">
        <v>30</v>
      </c>
      <c r="H47" s="21">
        <f>ROUND(RAND()*4+6,1)</f>
      </c>
      <c r="I47" s="20" t="s">
        <v>45</v>
      </c>
      <c r="J47" s="23">
        <f>ROUND(94*1,0)&amp;"%"</f>
      </c>
    </row>
    <row x14ac:dyDescent="0.25" r="48" customHeight="1" ht="17.25">
      <c r="A48" s="17" t="s">
        <v>6850</v>
      </c>
      <c r="B48" s="17" t="s">
        <v>107</v>
      </c>
      <c r="C48" s="17" t="s">
        <v>95</v>
      </c>
      <c r="D48" s="17" t="s">
        <v>16</v>
      </c>
      <c r="E48" s="18">
        <f>ROUND(6621*1.05,2)</f>
      </c>
      <c r="F48" s="17" t="s">
        <v>48</v>
      </c>
      <c r="G48" s="17" t="s">
        <v>18</v>
      </c>
      <c r="H48" s="18">
        <f>ROUND(RAND()*4+6,1)</f>
      </c>
      <c r="I48" s="17" t="s">
        <v>19</v>
      </c>
      <c r="J48" s="19">
        <f>ROUND(78*1,0)&amp;"%"</f>
      </c>
    </row>
    <row x14ac:dyDescent="0.25" r="49" customHeight="1" ht="17.25">
      <c r="A49" s="20" t="s">
        <v>6851</v>
      </c>
      <c r="B49" s="20" t="s">
        <v>109</v>
      </c>
      <c r="C49" s="20" t="s">
        <v>95</v>
      </c>
      <c r="D49" s="20" t="s">
        <v>22</v>
      </c>
      <c r="E49" s="21">
        <f>ROUND(17312*1.05,2)</f>
      </c>
      <c r="F49" s="20" t="s">
        <v>51</v>
      </c>
      <c r="G49" s="20" t="s">
        <v>24</v>
      </c>
      <c r="H49" s="21">
        <f>ROUND(RAND()*4+6,1)</f>
      </c>
      <c r="I49" s="20" t="s">
        <v>25</v>
      </c>
      <c r="J49" s="23">
        <f>ROUND(63*1,0)&amp;"%"</f>
      </c>
    </row>
    <row x14ac:dyDescent="0.25" r="50" customHeight="1" ht="17.25">
      <c r="A50" s="24" t="s">
        <v>110</v>
      </c>
      <c r="B50" s="24"/>
      <c r="C50" s="24"/>
      <c r="D50" s="24"/>
      <c r="E50" s="25">
        <v>8</v>
      </c>
      <c r="F50" s="9"/>
      <c r="G50" s="9"/>
      <c r="H50" s="31"/>
      <c r="I50" s="9"/>
      <c r="J50" s="9"/>
    </row>
    <row x14ac:dyDescent="0.25" r="51" customHeight="1" ht="17.25">
      <c r="A51" s="7"/>
      <c r="B51" s="7"/>
      <c r="C51" s="7"/>
      <c r="D51" s="7"/>
      <c r="E51" s="8"/>
      <c r="F51" s="9"/>
      <c r="G51" s="9"/>
      <c r="H51" s="31"/>
      <c r="I51" s="9"/>
      <c r="J51" s="9"/>
    </row>
    <row x14ac:dyDescent="0.25" r="52" customHeight="1" ht="17.25">
      <c r="A52" s="11" t="s">
        <v>6852</v>
      </c>
      <c r="B52" s="11"/>
      <c r="C52" s="11"/>
      <c r="D52" s="11"/>
      <c r="E52" s="12"/>
      <c r="F52" s="11"/>
      <c r="G52" s="11"/>
      <c r="H52" s="12"/>
      <c r="I52" s="11"/>
      <c r="J52" s="11"/>
    </row>
    <row x14ac:dyDescent="0.25" r="53" customHeight="1" ht="17.25">
      <c r="A53" s="14" t="s">
        <v>3</v>
      </c>
      <c r="B53" s="14" t="s">
        <v>4</v>
      </c>
      <c r="C53" s="14" t="s">
        <v>5</v>
      </c>
      <c r="D53" s="14" t="s">
        <v>6</v>
      </c>
      <c r="E53" s="15" t="s">
        <v>7</v>
      </c>
      <c r="F53" s="14" t="s">
        <v>8</v>
      </c>
      <c r="G53" s="14" t="s">
        <v>9</v>
      </c>
      <c r="H53" s="15" t="s">
        <v>10</v>
      </c>
      <c r="I53" s="14" t="s">
        <v>11</v>
      </c>
      <c r="J53" s="14" t="s">
        <v>12</v>
      </c>
    </row>
    <row x14ac:dyDescent="0.25" r="54" customHeight="1" ht="17.25">
      <c r="A54" s="17" t="s">
        <v>6853</v>
      </c>
      <c r="B54" s="17" t="s">
        <v>113</v>
      </c>
      <c r="C54" s="17" t="s">
        <v>114</v>
      </c>
      <c r="D54" s="17" t="s">
        <v>16</v>
      </c>
      <c r="E54" s="18">
        <f>ROUND(4047*1.05,2)</f>
      </c>
      <c r="F54" s="17" t="s">
        <v>17</v>
      </c>
      <c r="G54" s="17" t="s">
        <v>18</v>
      </c>
      <c r="H54" s="18">
        <f>ROUND(RAND()*4+6,1)</f>
      </c>
      <c r="I54" s="17" t="s">
        <v>19</v>
      </c>
      <c r="J54" s="19">
        <f>ROUND(84*1,0)&amp;"%"</f>
      </c>
    </row>
    <row x14ac:dyDescent="0.25" r="55" customHeight="1" ht="17.25">
      <c r="A55" s="20" t="s">
        <v>6854</v>
      </c>
      <c r="B55" s="20" t="s">
        <v>116</v>
      </c>
      <c r="C55" s="20" t="s">
        <v>114</v>
      </c>
      <c r="D55" s="20" t="s">
        <v>22</v>
      </c>
      <c r="E55" s="21">
        <f>ROUND(11939*1.05,2)</f>
      </c>
      <c r="F55" s="20" t="s">
        <v>23</v>
      </c>
      <c r="G55" s="20" t="s">
        <v>24</v>
      </c>
      <c r="H55" s="21">
        <f>ROUND(RAND()*4+6,1)</f>
      </c>
      <c r="I55" s="20" t="s">
        <v>25</v>
      </c>
      <c r="J55" s="23">
        <f>ROUND(78*1,0)&amp;"%"</f>
      </c>
    </row>
    <row x14ac:dyDescent="0.25" r="56" customHeight="1" ht="17.25">
      <c r="A56" s="17" t="s">
        <v>6855</v>
      </c>
      <c r="B56" s="17" t="s">
        <v>118</v>
      </c>
      <c r="C56" s="17" t="s">
        <v>114</v>
      </c>
      <c r="D56" s="17" t="s">
        <v>28</v>
      </c>
      <c r="E56" s="18">
        <f>ROUND(7204*1.05,2)</f>
      </c>
      <c r="F56" s="17" t="s">
        <v>29</v>
      </c>
      <c r="G56" s="17" t="s">
        <v>30</v>
      </c>
      <c r="H56" s="18">
        <f>ROUND(RAND()*4+6,1)</f>
      </c>
      <c r="I56" s="17" t="s">
        <v>31</v>
      </c>
      <c r="J56" s="19">
        <f>ROUND(91*1,0)&amp;"%"</f>
      </c>
    </row>
    <row x14ac:dyDescent="0.25" r="57" customHeight="1" ht="17.25">
      <c r="A57" s="20" t="s">
        <v>6856</v>
      </c>
      <c r="B57" s="20" t="s">
        <v>120</v>
      </c>
      <c r="C57" s="20" t="s">
        <v>114</v>
      </c>
      <c r="D57" s="20" t="s">
        <v>34</v>
      </c>
      <c r="E57" s="21">
        <f>ROUND(7098*1.05,2)</f>
      </c>
      <c r="F57" s="20" t="s">
        <v>35</v>
      </c>
      <c r="G57" s="20" t="s">
        <v>18</v>
      </c>
      <c r="H57" s="21">
        <f>ROUND(RAND()*4+6,1)</f>
      </c>
      <c r="I57" s="20" t="s">
        <v>36</v>
      </c>
      <c r="J57" s="23">
        <f>ROUND(96*1,0)&amp;"%"</f>
      </c>
    </row>
    <row x14ac:dyDescent="0.25" r="58" customHeight="1" ht="17.25">
      <c r="A58" s="17" t="s">
        <v>6857</v>
      </c>
      <c r="B58" s="17" t="s">
        <v>122</v>
      </c>
      <c r="C58" s="17" t="s">
        <v>114</v>
      </c>
      <c r="D58" s="17" t="s">
        <v>39</v>
      </c>
      <c r="E58" s="18">
        <f>ROUND(14319*1.05,2)</f>
      </c>
      <c r="F58" s="17" t="s">
        <v>40</v>
      </c>
      <c r="G58" s="17" t="s">
        <v>24</v>
      </c>
      <c r="H58" s="18">
        <f>ROUND(RAND()*4+6,1)</f>
      </c>
      <c r="I58" s="17" t="s">
        <v>41</v>
      </c>
      <c r="J58" s="19">
        <f>ROUND(86*1,0)&amp;"%"</f>
      </c>
    </row>
    <row x14ac:dyDescent="0.25" r="59" customHeight="1" ht="17.25">
      <c r="A59" s="20" t="s">
        <v>6858</v>
      </c>
      <c r="B59" s="20" t="s">
        <v>124</v>
      </c>
      <c r="C59" s="20" t="s">
        <v>114</v>
      </c>
      <c r="D59" s="20" t="s">
        <v>67</v>
      </c>
      <c r="E59" s="21">
        <f>ROUND(14758*1.05,2)</f>
      </c>
      <c r="F59" s="20" t="s">
        <v>44</v>
      </c>
      <c r="G59" s="20" t="s">
        <v>30</v>
      </c>
      <c r="H59" s="21">
        <f>ROUND(RAND()*4+6,1)</f>
      </c>
      <c r="I59" s="20" t="s">
        <v>45</v>
      </c>
      <c r="J59" s="23">
        <f>ROUND(79*1,0)&amp;"%"</f>
      </c>
    </row>
    <row x14ac:dyDescent="0.25" r="60" customHeight="1" ht="17.25">
      <c r="A60" s="17" t="s">
        <v>6859</v>
      </c>
      <c r="B60" s="17" t="s">
        <v>126</v>
      </c>
      <c r="C60" s="17" t="s">
        <v>114</v>
      </c>
      <c r="D60" s="17" t="s">
        <v>16</v>
      </c>
      <c r="E60" s="18">
        <f>ROUND(4148*1.05,2)</f>
      </c>
      <c r="F60" s="17" t="s">
        <v>48</v>
      </c>
      <c r="G60" s="17" t="s">
        <v>18</v>
      </c>
      <c r="H60" s="26">
        <f>ROUND(RAND()*4+6,1)</f>
      </c>
      <c r="I60" s="17" t="s">
        <v>19</v>
      </c>
      <c r="J60" s="19">
        <f>ROUND(90*1,0)&amp;"%"</f>
      </c>
    </row>
    <row x14ac:dyDescent="0.25" r="61" customHeight="1" ht="17.25">
      <c r="A61" s="20" t="s">
        <v>6860</v>
      </c>
      <c r="B61" s="20" t="s">
        <v>128</v>
      </c>
      <c r="C61" s="20" t="s">
        <v>114</v>
      </c>
      <c r="D61" s="20" t="s">
        <v>22</v>
      </c>
      <c r="E61" s="21">
        <f>ROUND(9841*1.05,2)</f>
      </c>
      <c r="F61" s="20" t="s">
        <v>51</v>
      </c>
      <c r="G61" s="20" t="s">
        <v>24</v>
      </c>
      <c r="H61" s="21">
        <f>ROUND(RAND()*4+6,1)</f>
      </c>
      <c r="I61" s="20" t="s">
        <v>25</v>
      </c>
      <c r="J61" s="23">
        <f>ROUND(62*1,0)&amp;"%"</f>
      </c>
    </row>
    <row x14ac:dyDescent="0.25" r="62" customHeight="1" ht="17.25">
      <c r="A62" s="24" t="s">
        <v>129</v>
      </c>
      <c r="B62" s="24"/>
      <c r="C62" s="24"/>
      <c r="D62" s="24"/>
      <c r="E62" s="25">
        <v>8</v>
      </c>
      <c r="F62" s="9"/>
      <c r="G62" s="9"/>
      <c r="H62" s="31"/>
      <c r="I62" s="9"/>
      <c r="J62" s="9"/>
    </row>
    <row x14ac:dyDescent="0.25" r="63" customHeight="1" ht="17.25">
      <c r="A63" s="7"/>
      <c r="B63" s="7"/>
      <c r="C63" s="7"/>
      <c r="D63" s="7"/>
      <c r="E63" s="8"/>
      <c r="F63" s="9"/>
      <c r="G63" s="9"/>
      <c r="H63" s="31"/>
      <c r="I63" s="9"/>
      <c r="J63" s="9"/>
    </row>
    <row x14ac:dyDescent="0.25" r="64" customHeight="1" ht="17.25">
      <c r="A64" s="11" t="s">
        <v>6861</v>
      </c>
      <c r="B64" s="11"/>
      <c r="C64" s="11"/>
      <c r="D64" s="11"/>
      <c r="E64" s="12"/>
      <c r="F64" s="11"/>
      <c r="G64" s="11"/>
      <c r="H64" s="12"/>
      <c r="I64" s="11"/>
      <c r="J64" s="11"/>
    </row>
    <row x14ac:dyDescent="0.25" r="65" customHeight="1" ht="17.25">
      <c r="A65" s="14" t="s">
        <v>3</v>
      </c>
      <c r="B65" s="14" t="s">
        <v>4</v>
      </c>
      <c r="C65" s="14" t="s">
        <v>5</v>
      </c>
      <c r="D65" s="14" t="s">
        <v>6</v>
      </c>
      <c r="E65" s="15" t="s">
        <v>7</v>
      </c>
      <c r="F65" s="14" t="s">
        <v>8</v>
      </c>
      <c r="G65" s="14" t="s">
        <v>9</v>
      </c>
      <c r="H65" s="15" t="s">
        <v>10</v>
      </c>
      <c r="I65" s="14" t="s">
        <v>11</v>
      </c>
      <c r="J65" s="14" t="s">
        <v>12</v>
      </c>
    </row>
    <row x14ac:dyDescent="0.25" r="66" customHeight="1" ht="17.25">
      <c r="A66" s="17" t="s">
        <v>6862</v>
      </c>
      <c r="B66" s="17" t="s">
        <v>132</v>
      </c>
      <c r="C66" s="17" t="s">
        <v>133</v>
      </c>
      <c r="D66" s="17" t="s">
        <v>16</v>
      </c>
      <c r="E66" s="18">
        <f>ROUND(9275*1.05,2)</f>
      </c>
      <c r="F66" s="17" t="s">
        <v>17</v>
      </c>
      <c r="G66" s="17" t="s">
        <v>18</v>
      </c>
      <c r="H66" s="18">
        <f>ROUND(RAND()*4+6,1)</f>
      </c>
      <c r="I66" s="17" t="s">
        <v>19</v>
      </c>
      <c r="J66" s="19">
        <f>ROUND(93*1,0)&amp;"%"</f>
      </c>
    </row>
    <row x14ac:dyDescent="0.25" r="67" customHeight="1" ht="17.25">
      <c r="A67" s="20" t="s">
        <v>6863</v>
      </c>
      <c r="B67" s="20" t="s">
        <v>135</v>
      </c>
      <c r="C67" s="20" t="s">
        <v>133</v>
      </c>
      <c r="D67" s="20" t="s">
        <v>22</v>
      </c>
      <c r="E67" s="21">
        <f>ROUND(14815*1.05,2)</f>
      </c>
      <c r="F67" s="20" t="s">
        <v>23</v>
      </c>
      <c r="G67" s="20" t="s">
        <v>24</v>
      </c>
      <c r="H67" s="21">
        <f>ROUND(RAND()*4+6,1)</f>
      </c>
      <c r="I67" s="20" t="s">
        <v>25</v>
      </c>
      <c r="J67" s="23">
        <f>ROUND(88*1,0)&amp;"%"</f>
      </c>
    </row>
    <row x14ac:dyDescent="0.25" r="68" customHeight="1" ht="17.25">
      <c r="A68" s="17" t="s">
        <v>6864</v>
      </c>
      <c r="B68" s="17" t="s">
        <v>137</v>
      </c>
      <c r="C68" s="17" t="s">
        <v>133</v>
      </c>
      <c r="D68" s="17" t="s">
        <v>28</v>
      </c>
      <c r="E68" s="18">
        <f>ROUND(10091*1.05,2)</f>
      </c>
      <c r="F68" s="17" t="s">
        <v>29</v>
      </c>
      <c r="G68" s="17" t="s">
        <v>30</v>
      </c>
      <c r="H68" s="18">
        <f>ROUND(RAND()*4+6,1)</f>
      </c>
      <c r="I68" s="17" t="s">
        <v>31</v>
      </c>
      <c r="J68" s="19">
        <f>ROUND(89*1,0)&amp;"%"</f>
      </c>
    </row>
    <row x14ac:dyDescent="0.25" r="69" customHeight="1" ht="17.25">
      <c r="A69" s="20" t="s">
        <v>6865</v>
      </c>
      <c r="B69" s="20" t="s">
        <v>139</v>
      </c>
      <c r="C69" s="20" t="s">
        <v>133</v>
      </c>
      <c r="D69" s="20" t="s">
        <v>34</v>
      </c>
      <c r="E69" s="21">
        <f>ROUND(6571*1.05,2)</f>
      </c>
      <c r="F69" s="20" t="s">
        <v>35</v>
      </c>
      <c r="G69" s="20" t="s">
        <v>18</v>
      </c>
      <c r="H69" s="21">
        <f>ROUND(RAND()*4+6,1)</f>
      </c>
      <c r="I69" s="20" t="s">
        <v>36</v>
      </c>
      <c r="J69" s="23">
        <f>ROUND(90*1,0)&amp;"%"</f>
      </c>
    </row>
    <row x14ac:dyDescent="0.25" r="70" customHeight="1" ht="17.25">
      <c r="A70" s="17" t="s">
        <v>6866</v>
      </c>
      <c r="B70" s="17" t="s">
        <v>141</v>
      </c>
      <c r="C70" s="17" t="s">
        <v>133</v>
      </c>
      <c r="D70" s="17" t="s">
        <v>39</v>
      </c>
      <c r="E70" s="18">
        <f>ROUND(16947*1.05,2)</f>
      </c>
      <c r="F70" s="17" t="s">
        <v>40</v>
      </c>
      <c r="G70" s="17" t="s">
        <v>24</v>
      </c>
      <c r="H70" s="18">
        <f>ROUND(RAND()*4+6,1)</f>
      </c>
      <c r="I70" s="17" t="s">
        <v>41</v>
      </c>
      <c r="J70" s="19">
        <f>ROUND(92*1,0)&amp;"%"</f>
      </c>
    </row>
    <row x14ac:dyDescent="0.25" r="71" customHeight="1" ht="17.25">
      <c r="A71" s="20" t="s">
        <v>6867</v>
      </c>
      <c r="B71" s="20" t="s">
        <v>143</v>
      </c>
      <c r="C71" s="20" t="s">
        <v>133</v>
      </c>
      <c r="D71" s="20" t="s">
        <v>67</v>
      </c>
      <c r="E71" s="21">
        <f>ROUND(11543*1.05,2)</f>
      </c>
      <c r="F71" s="20" t="s">
        <v>44</v>
      </c>
      <c r="G71" s="20" t="s">
        <v>30</v>
      </c>
      <c r="H71" s="21">
        <f>ROUND(RAND()*4+6,1)</f>
      </c>
      <c r="I71" s="20" t="s">
        <v>45</v>
      </c>
      <c r="J71" s="23">
        <f>ROUND(97*1,0)&amp;"%"</f>
      </c>
    </row>
    <row x14ac:dyDescent="0.25" r="72" customHeight="1" ht="17.25">
      <c r="A72" s="17" t="s">
        <v>6868</v>
      </c>
      <c r="B72" s="17" t="s">
        <v>145</v>
      </c>
      <c r="C72" s="17" t="s">
        <v>133</v>
      </c>
      <c r="D72" s="17" t="s">
        <v>16</v>
      </c>
      <c r="E72" s="18">
        <f>ROUND(4090*1.05,2)</f>
      </c>
      <c r="F72" s="17" t="s">
        <v>48</v>
      </c>
      <c r="G72" s="17" t="s">
        <v>18</v>
      </c>
      <c r="H72" s="18">
        <f>ROUND(RAND()*4+6,1)</f>
      </c>
      <c r="I72" s="17" t="s">
        <v>19</v>
      </c>
      <c r="J72" s="19">
        <f>ROUND(71*1,0)&amp;"%"</f>
      </c>
    </row>
    <row x14ac:dyDescent="0.25" r="73" customHeight="1" ht="17.25">
      <c r="A73" s="20" t="s">
        <v>6869</v>
      </c>
      <c r="B73" s="20" t="s">
        <v>147</v>
      </c>
      <c r="C73" s="20" t="s">
        <v>133</v>
      </c>
      <c r="D73" s="20" t="s">
        <v>22</v>
      </c>
      <c r="E73" s="21">
        <f>ROUND(9098*1.05,2)</f>
      </c>
      <c r="F73" s="20" t="s">
        <v>51</v>
      </c>
      <c r="G73" s="20" t="s">
        <v>24</v>
      </c>
      <c r="H73" s="21">
        <f>ROUND(RAND()*4+6,1)</f>
      </c>
      <c r="I73" s="20" t="s">
        <v>25</v>
      </c>
      <c r="J73" s="23">
        <f>ROUND(69*1,0)&amp;"%"</f>
      </c>
    </row>
    <row x14ac:dyDescent="0.25" r="74" customHeight="1" ht="17.25">
      <c r="A74" s="24" t="s">
        <v>148</v>
      </c>
      <c r="B74" s="24"/>
      <c r="C74" s="24"/>
      <c r="D74" s="24"/>
      <c r="E74" s="25">
        <v>8</v>
      </c>
      <c r="F74" s="9"/>
      <c r="G74" s="9"/>
      <c r="H74" s="31"/>
      <c r="I74" s="9"/>
      <c r="J74" s="9"/>
    </row>
    <row x14ac:dyDescent="0.25" r="75" customHeight="1" ht="17.25">
      <c r="A75" s="7"/>
      <c r="B75" s="7"/>
      <c r="C75" s="7"/>
      <c r="D75" s="7"/>
      <c r="E75" s="8"/>
      <c r="F75" s="9"/>
      <c r="G75" s="9"/>
      <c r="H75" s="31"/>
      <c r="I75" s="9"/>
      <c r="J75" s="9"/>
    </row>
    <row x14ac:dyDescent="0.25" r="76" customHeight="1" ht="17.25">
      <c r="A76" s="11" t="s">
        <v>6870</v>
      </c>
      <c r="B76" s="11"/>
      <c r="C76" s="11"/>
      <c r="D76" s="11"/>
      <c r="E76" s="12"/>
      <c r="F76" s="11"/>
      <c r="G76" s="11"/>
      <c r="H76" s="12"/>
      <c r="I76" s="11"/>
      <c r="J76" s="11"/>
    </row>
    <row x14ac:dyDescent="0.25" r="77" customHeight="1" ht="17.25">
      <c r="A77" s="14" t="s">
        <v>3</v>
      </c>
      <c r="B77" s="14" t="s">
        <v>4</v>
      </c>
      <c r="C77" s="14" t="s">
        <v>5</v>
      </c>
      <c r="D77" s="14" t="s">
        <v>6</v>
      </c>
      <c r="E77" s="15" t="s">
        <v>7</v>
      </c>
      <c r="F77" s="14" t="s">
        <v>8</v>
      </c>
      <c r="G77" s="14" t="s">
        <v>9</v>
      </c>
      <c r="H77" s="15" t="s">
        <v>10</v>
      </c>
      <c r="I77" s="14" t="s">
        <v>11</v>
      </c>
      <c r="J77" s="14" t="s">
        <v>12</v>
      </c>
    </row>
    <row x14ac:dyDescent="0.25" r="78" customHeight="1" ht="17.25">
      <c r="A78" s="17" t="s">
        <v>6871</v>
      </c>
      <c r="B78" s="17" t="s">
        <v>151</v>
      </c>
      <c r="C78" s="17" t="s">
        <v>152</v>
      </c>
      <c r="D78" s="17" t="s">
        <v>16</v>
      </c>
      <c r="E78" s="18">
        <f>ROUND(8510*1.05,2)</f>
      </c>
      <c r="F78" s="17" t="s">
        <v>17</v>
      </c>
      <c r="G78" s="17" t="s">
        <v>18</v>
      </c>
      <c r="H78" s="18">
        <f>ROUND(RAND()*4+6,1)</f>
      </c>
      <c r="I78" s="17" t="s">
        <v>19</v>
      </c>
      <c r="J78" s="19">
        <f>ROUND(95*1,0)&amp;"%"</f>
      </c>
    </row>
    <row x14ac:dyDescent="0.25" r="79" customHeight="1" ht="17.25">
      <c r="A79" s="20" t="s">
        <v>6872</v>
      </c>
      <c r="B79" s="20" t="s">
        <v>154</v>
      </c>
      <c r="C79" s="20" t="s">
        <v>152</v>
      </c>
      <c r="D79" s="20" t="s">
        <v>22</v>
      </c>
      <c r="E79" s="21">
        <f>ROUND(17692*1.05,2)</f>
      </c>
      <c r="F79" s="20" t="s">
        <v>23</v>
      </c>
      <c r="G79" s="20" t="s">
        <v>24</v>
      </c>
      <c r="H79" s="21">
        <f>ROUND(RAND()*4+6,1)</f>
      </c>
      <c r="I79" s="20" t="s">
        <v>25</v>
      </c>
      <c r="J79" s="23">
        <f>ROUND(79*1,0)&amp;"%"</f>
      </c>
    </row>
    <row x14ac:dyDescent="0.25" r="80" customHeight="1" ht="17.25">
      <c r="A80" s="17" t="s">
        <v>6873</v>
      </c>
      <c r="B80" s="17" t="s">
        <v>156</v>
      </c>
      <c r="C80" s="17" t="s">
        <v>152</v>
      </c>
      <c r="D80" s="17" t="s">
        <v>28</v>
      </c>
      <c r="E80" s="18">
        <f>ROUND(15506*1.05,2)</f>
      </c>
      <c r="F80" s="17" t="s">
        <v>29</v>
      </c>
      <c r="G80" s="17" t="s">
        <v>30</v>
      </c>
      <c r="H80" s="18">
        <f>ROUND(RAND()*4+6,1)</f>
      </c>
      <c r="I80" s="17" t="s">
        <v>31</v>
      </c>
      <c r="J80" s="19">
        <f>ROUND(89*1,0)&amp;"%"</f>
      </c>
    </row>
    <row x14ac:dyDescent="0.25" r="81" customHeight="1" ht="17.25">
      <c r="A81" s="20" t="s">
        <v>6874</v>
      </c>
      <c r="B81" s="20" t="s">
        <v>158</v>
      </c>
      <c r="C81" s="20" t="s">
        <v>152</v>
      </c>
      <c r="D81" s="20" t="s">
        <v>34</v>
      </c>
      <c r="E81" s="21">
        <f>ROUND(9659*1.05,2)</f>
      </c>
      <c r="F81" s="20" t="s">
        <v>35</v>
      </c>
      <c r="G81" s="20" t="s">
        <v>18</v>
      </c>
      <c r="H81" s="21">
        <f>ROUND(RAND()*4+6,1)</f>
      </c>
      <c r="I81" s="20" t="s">
        <v>36</v>
      </c>
      <c r="J81" s="23">
        <f>ROUND(72*1,0)&amp;"%"</f>
      </c>
    </row>
    <row x14ac:dyDescent="0.25" r="82" customHeight="1" ht="17.25">
      <c r="A82" s="17" t="s">
        <v>6875</v>
      </c>
      <c r="B82" s="17" t="s">
        <v>160</v>
      </c>
      <c r="C82" s="17" t="s">
        <v>152</v>
      </c>
      <c r="D82" s="17" t="s">
        <v>39</v>
      </c>
      <c r="E82" s="18">
        <f>ROUND(12167*1.05,2)</f>
      </c>
      <c r="F82" s="17" t="s">
        <v>40</v>
      </c>
      <c r="G82" s="17" t="s">
        <v>24</v>
      </c>
      <c r="H82" s="18">
        <f>ROUND(RAND()*4+6,1)</f>
      </c>
      <c r="I82" s="17" t="s">
        <v>41</v>
      </c>
      <c r="J82" s="19">
        <f>ROUND(61*1,0)&amp;"%"</f>
      </c>
    </row>
    <row x14ac:dyDescent="0.25" r="83" customHeight="1" ht="17.25">
      <c r="A83" s="20" t="s">
        <v>6876</v>
      </c>
      <c r="B83" s="20" t="s">
        <v>162</v>
      </c>
      <c r="C83" s="20" t="s">
        <v>152</v>
      </c>
      <c r="D83" s="20" t="s">
        <v>67</v>
      </c>
      <c r="E83" s="21">
        <f>ROUND(17228*1.05,2)</f>
      </c>
      <c r="F83" s="20" t="s">
        <v>44</v>
      </c>
      <c r="G83" s="20" t="s">
        <v>30</v>
      </c>
      <c r="H83" s="21">
        <f>ROUND(RAND()*4+6,1)</f>
      </c>
      <c r="I83" s="20" t="s">
        <v>45</v>
      </c>
      <c r="J83" s="23">
        <f>ROUND(92*1,0)&amp;"%"</f>
      </c>
    </row>
    <row x14ac:dyDescent="0.25" r="84" customHeight="1" ht="17.25">
      <c r="A84" s="17" t="s">
        <v>6877</v>
      </c>
      <c r="B84" s="17" t="s">
        <v>164</v>
      </c>
      <c r="C84" s="17" t="s">
        <v>152</v>
      </c>
      <c r="D84" s="17" t="s">
        <v>16</v>
      </c>
      <c r="E84" s="18">
        <f>ROUND(17891*1.05,2)</f>
      </c>
      <c r="F84" s="17" t="s">
        <v>48</v>
      </c>
      <c r="G84" s="17" t="s">
        <v>18</v>
      </c>
      <c r="H84" s="18">
        <f>ROUND(RAND()*4+6,1)</f>
      </c>
      <c r="I84" s="17" t="s">
        <v>19</v>
      </c>
      <c r="J84" s="19">
        <f>ROUND(71*1,0)&amp;"%"</f>
      </c>
    </row>
    <row x14ac:dyDescent="0.25" r="85" customHeight="1" ht="17.25">
      <c r="A85" s="20" t="s">
        <v>6878</v>
      </c>
      <c r="B85" s="20" t="s">
        <v>166</v>
      </c>
      <c r="C85" s="20" t="s">
        <v>152</v>
      </c>
      <c r="D85" s="20" t="s">
        <v>22</v>
      </c>
      <c r="E85" s="21">
        <f>ROUND(13614*1.05,2)</f>
      </c>
      <c r="F85" s="20" t="s">
        <v>51</v>
      </c>
      <c r="G85" s="20" t="s">
        <v>24</v>
      </c>
      <c r="H85" s="21">
        <f>ROUND(RAND()*4+6,1)</f>
      </c>
      <c r="I85" s="20" t="s">
        <v>25</v>
      </c>
      <c r="J85" s="23">
        <f>ROUND(86*1,0)&amp;"%"</f>
      </c>
    </row>
    <row x14ac:dyDescent="0.25" r="86" customHeight="1" ht="17.25">
      <c r="A86" s="24" t="s">
        <v>167</v>
      </c>
      <c r="B86" s="24"/>
      <c r="C86" s="24"/>
      <c r="D86" s="24"/>
      <c r="E86" s="25">
        <v>8</v>
      </c>
      <c r="F86" s="9"/>
      <c r="G86" s="9"/>
      <c r="H86" s="31"/>
      <c r="I86" s="9"/>
      <c r="J86" s="9"/>
    </row>
    <row x14ac:dyDescent="0.25" r="87" customHeight="1" ht="17.25">
      <c r="A87" s="7"/>
      <c r="B87" s="7"/>
      <c r="C87" s="7"/>
      <c r="D87" s="7"/>
      <c r="E87" s="8"/>
      <c r="F87" s="9"/>
      <c r="G87" s="9"/>
      <c r="H87" s="31"/>
      <c r="I87" s="9"/>
      <c r="J87" s="9"/>
    </row>
    <row x14ac:dyDescent="0.25" r="88" customHeight="1" ht="17.25">
      <c r="A88" s="11" t="s">
        <v>6879</v>
      </c>
      <c r="B88" s="11"/>
      <c r="C88" s="11"/>
      <c r="D88" s="11"/>
      <c r="E88" s="12"/>
      <c r="F88" s="11"/>
      <c r="G88" s="11"/>
      <c r="H88" s="12"/>
      <c r="I88" s="11"/>
      <c r="J88" s="11"/>
    </row>
    <row x14ac:dyDescent="0.25" r="89" customHeight="1" ht="17.25">
      <c r="A89" s="14" t="s">
        <v>3</v>
      </c>
      <c r="B89" s="14" t="s">
        <v>4</v>
      </c>
      <c r="C89" s="14" t="s">
        <v>5</v>
      </c>
      <c r="D89" s="14" t="s">
        <v>6</v>
      </c>
      <c r="E89" s="15" t="s">
        <v>7</v>
      </c>
      <c r="F89" s="14" t="s">
        <v>8</v>
      </c>
      <c r="G89" s="14" t="s">
        <v>9</v>
      </c>
      <c r="H89" s="15" t="s">
        <v>10</v>
      </c>
      <c r="I89" s="14" t="s">
        <v>11</v>
      </c>
      <c r="J89" s="14" t="s">
        <v>12</v>
      </c>
    </row>
    <row x14ac:dyDescent="0.25" r="90" customHeight="1" ht="17.25">
      <c r="A90" s="17" t="s">
        <v>6880</v>
      </c>
      <c r="B90" s="17" t="s">
        <v>170</v>
      </c>
      <c r="C90" s="17" t="s">
        <v>15</v>
      </c>
      <c r="D90" s="17" t="s">
        <v>16</v>
      </c>
      <c r="E90" s="18">
        <f>ROUND(6286*1.05,2)</f>
      </c>
      <c r="F90" s="17" t="s">
        <v>17</v>
      </c>
      <c r="G90" s="17" t="s">
        <v>18</v>
      </c>
      <c r="H90" s="18">
        <f>ROUND(RAND()*4+6,1)</f>
      </c>
      <c r="I90" s="17" t="s">
        <v>19</v>
      </c>
      <c r="J90" s="19">
        <f>ROUND(85*1,0)&amp;"%"</f>
      </c>
    </row>
    <row x14ac:dyDescent="0.25" r="91" customHeight="1" ht="17.25">
      <c r="A91" s="20" t="s">
        <v>6881</v>
      </c>
      <c r="B91" s="20" t="s">
        <v>172</v>
      </c>
      <c r="C91" s="20" t="s">
        <v>15</v>
      </c>
      <c r="D91" s="20" t="s">
        <v>22</v>
      </c>
      <c r="E91" s="21">
        <f>ROUND(13489*1.05,2)</f>
      </c>
      <c r="F91" s="20" t="s">
        <v>23</v>
      </c>
      <c r="G91" s="20" t="s">
        <v>24</v>
      </c>
      <c r="H91" s="21">
        <f>ROUND(RAND()*4+6,1)</f>
      </c>
      <c r="I91" s="20" t="s">
        <v>25</v>
      </c>
      <c r="J91" s="23">
        <f>ROUND(78*1,0)&amp;"%"</f>
      </c>
    </row>
    <row x14ac:dyDescent="0.25" r="92" customHeight="1" ht="17.25">
      <c r="A92" s="17" t="s">
        <v>6882</v>
      </c>
      <c r="B92" s="17" t="s">
        <v>174</v>
      </c>
      <c r="C92" s="17" t="s">
        <v>15</v>
      </c>
      <c r="D92" s="17" t="s">
        <v>28</v>
      </c>
      <c r="E92" s="18">
        <f>ROUND(9572*1.05,2)</f>
      </c>
      <c r="F92" s="17" t="s">
        <v>29</v>
      </c>
      <c r="G92" s="17" t="s">
        <v>30</v>
      </c>
      <c r="H92" s="18">
        <f>ROUND(RAND()*4+6,1)</f>
      </c>
      <c r="I92" s="17" t="s">
        <v>31</v>
      </c>
      <c r="J92" s="19">
        <f>ROUND(72*1,0)&amp;"%"</f>
      </c>
    </row>
    <row x14ac:dyDescent="0.25" r="93" customHeight="1" ht="17.25">
      <c r="A93" s="20" t="s">
        <v>6883</v>
      </c>
      <c r="B93" s="20" t="s">
        <v>176</v>
      </c>
      <c r="C93" s="20" t="s">
        <v>15</v>
      </c>
      <c r="D93" s="20" t="s">
        <v>34</v>
      </c>
      <c r="E93" s="21">
        <f>ROUND(6112*1.05,2)</f>
      </c>
      <c r="F93" s="20" t="s">
        <v>35</v>
      </c>
      <c r="G93" s="20" t="s">
        <v>18</v>
      </c>
      <c r="H93" s="21">
        <f>ROUND(RAND()*4+6,1)</f>
      </c>
      <c r="I93" s="20" t="s">
        <v>36</v>
      </c>
      <c r="J93" s="23">
        <f>ROUND(94*1,0)&amp;"%"</f>
      </c>
    </row>
    <row x14ac:dyDescent="0.25" r="94" customHeight="1" ht="17.25">
      <c r="A94" s="17" t="s">
        <v>6884</v>
      </c>
      <c r="B94" s="17" t="s">
        <v>178</v>
      </c>
      <c r="C94" s="17" t="s">
        <v>15</v>
      </c>
      <c r="D94" s="17" t="s">
        <v>39</v>
      </c>
      <c r="E94" s="18">
        <f>ROUND(12730*1.05,2)</f>
      </c>
      <c r="F94" s="17" t="s">
        <v>40</v>
      </c>
      <c r="G94" s="17" t="s">
        <v>24</v>
      </c>
      <c r="H94" s="18">
        <f>ROUND(RAND()*4+6,1)</f>
      </c>
      <c r="I94" s="17" t="s">
        <v>41</v>
      </c>
      <c r="J94" s="19">
        <f>ROUND(66*1,0)&amp;"%"</f>
      </c>
    </row>
    <row x14ac:dyDescent="0.25" r="95" customHeight="1" ht="17.25">
      <c r="A95" s="20" t="s">
        <v>6885</v>
      </c>
      <c r="B95" s="20" t="s">
        <v>180</v>
      </c>
      <c r="C95" s="20" t="s">
        <v>15</v>
      </c>
      <c r="D95" s="20" t="s">
        <v>67</v>
      </c>
      <c r="E95" s="21">
        <f>ROUND(17196*1.05,2)</f>
      </c>
      <c r="F95" s="20" t="s">
        <v>44</v>
      </c>
      <c r="G95" s="20" t="s">
        <v>30</v>
      </c>
      <c r="H95" s="21">
        <f>ROUND(RAND()*4+6,1)</f>
      </c>
      <c r="I95" s="20" t="s">
        <v>45</v>
      </c>
      <c r="J95" s="23">
        <f>ROUND(71*1,0)&amp;"%"</f>
      </c>
    </row>
    <row x14ac:dyDescent="0.25" r="96" customHeight="1" ht="17.25">
      <c r="A96" s="17" t="s">
        <v>6886</v>
      </c>
      <c r="B96" s="17" t="s">
        <v>182</v>
      </c>
      <c r="C96" s="17" t="s">
        <v>15</v>
      </c>
      <c r="D96" s="17" t="s">
        <v>16</v>
      </c>
      <c r="E96" s="18">
        <f>ROUND(7103*1.05,2)</f>
      </c>
      <c r="F96" s="17" t="s">
        <v>48</v>
      </c>
      <c r="G96" s="17" t="s">
        <v>18</v>
      </c>
      <c r="H96" s="18">
        <f>ROUND(RAND()*4+6,1)</f>
      </c>
      <c r="I96" s="17" t="s">
        <v>19</v>
      </c>
      <c r="J96" s="19">
        <f>ROUND(62*1,0)&amp;"%"</f>
      </c>
    </row>
    <row x14ac:dyDescent="0.25" r="97" customHeight="1" ht="17.25">
      <c r="A97" s="20" t="s">
        <v>6887</v>
      </c>
      <c r="B97" s="20" t="s">
        <v>184</v>
      </c>
      <c r="C97" s="20" t="s">
        <v>15</v>
      </c>
      <c r="D97" s="20" t="s">
        <v>22</v>
      </c>
      <c r="E97" s="21">
        <f>ROUND(9829*1.05,2)</f>
      </c>
      <c r="F97" s="20" t="s">
        <v>51</v>
      </c>
      <c r="G97" s="20" t="s">
        <v>24</v>
      </c>
      <c r="H97" s="21">
        <f>ROUND(RAND()*4+6,1)</f>
      </c>
      <c r="I97" s="20" t="s">
        <v>25</v>
      </c>
      <c r="J97" s="23">
        <f>ROUND(90*1,0)&amp;"%"</f>
      </c>
    </row>
    <row x14ac:dyDescent="0.25" r="98" customHeight="1" ht="17.25">
      <c r="A98" s="24" t="s">
        <v>185</v>
      </c>
      <c r="B98" s="24"/>
      <c r="C98" s="24"/>
      <c r="D98" s="24"/>
      <c r="E98" s="25">
        <v>8</v>
      </c>
      <c r="F98" s="9"/>
      <c r="G98" s="9"/>
      <c r="H98" s="31"/>
      <c r="I98" s="9"/>
      <c r="J98" s="9"/>
    </row>
    <row x14ac:dyDescent="0.25" r="99" customHeight="1" ht="17.25">
      <c r="A99" s="7"/>
      <c r="B99" s="7"/>
      <c r="C99" s="7"/>
      <c r="D99" s="7"/>
      <c r="E99" s="8"/>
      <c r="F99" s="9"/>
      <c r="G99" s="9"/>
      <c r="H99" s="31"/>
      <c r="I99" s="9"/>
      <c r="J99" s="9"/>
    </row>
    <row x14ac:dyDescent="0.25" r="100" customHeight="1" ht="17.25">
      <c r="A100" s="11" t="s">
        <v>6888</v>
      </c>
      <c r="B100" s="11"/>
      <c r="C100" s="11"/>
      <c r="D100" s="11"/>
      <c r="E100" s="12"/>
      <c r="F100" s="11"/>
      <c r="G100" s="11"/>
      <c r="H100" s="12"/>
      <c r="I100" s="11"/>
      <c r="J100" s="11"/>
    </row>
    <row x14ac:dyDescent="0.25" r="101" customHeight="1" ht="17.25">
      <c r="A101" s="14" t="s">
        <v>3</v>
      </c>
      <c r="B101" s="14" t="s">
        <v>4</v>
      </c>
      <c r="C101" s="14" t="s">
        <v>5</v>
      </c>
      <c r="D101" s="14" t="s">
        <v>6</v>
      </c>
      <c r="E101" s="15" t="s">
        <v>7</v>
      </c>
      <c r="F101" s="14" t="s">
        <v>8</v>
      </c>
      <c r="G101" s="14" t="s">
        <v>9</v>
      </c>
      <c r="H101" s="15" t="s">
        <v>10</v>
      </c>
      <c r="I101" s="14" t="s">
        <v>11</v>
      </c>
      <c r="J101" s="14" t="s">
        <v>12</v>
      </c>
    </row>
    <row x14ac:dyDescent="0.25" r="102" customHeight="1" ht="17.25">
      <c r="A102" s="17" t="s">
        <v>6889</v>
      </c>
      <c r="B102" s="17" t="s">
        <v>188</v>
      </c>
      <c r="C102" s="17" t="s">
        <v>56</v>
      </c>
      <c r="D102" s="17" t="s">
        <v>16</v>
      </c>
      <c r="E102" s="18">
        <f>ROUND(5757*1.05,2)</f>
      </c>
      <c r="F102" s="17" t="s">
        <v>17</v>
      </c>
      <c r="G102" s="17" t="s">
        <v>18</v>
      </c>
      <c r="H102" s="18">
        <f>ROUND(RAND()*4+6,1)</f>
      </c>
      <c r="I102" s="17" t="s">
        <v>19</v>
      </c>
      <c r="J102" s="19">
        <f>ROUND(80*1,0)&amp;"%"</f>
      </c>
    </row>
    <row x14ac:dyDescent="0.25" r="103" customHeight="1" ht="17.25">
      <c r="A103" s="20" t="s">
        <v>6890</v>
      </c>
      <c r="B103" s="20" t="s">
        <v>190</v>
      </c>
      <c r="C103" s="20" t="s">
        <v>56</v>
      </c>
      <c r="D103" s="20" t="s">
        <v>22</v>
      </c>
      <c r="E103" s="21">
        <f>ROUND(15782*1.05,2)</f>
      </c>
      <c r="F103" s="20" t="s">
        <v>23</v>
      </c>
      <c r="G103" s="20" t="s">
        <v>24</v>
      </c>
      <c r="H103" s="21">
        <f>ROUND(RAND()*4+6,1)</f>
      </c>
      <c r="I103" s="20" t="s">
        <v>25</v>
      </c>
      <c r="J103" s="23">
        <f>ROUND(78*1,0)&amp;"%"</f>
      </c>
    </row>
    <row x14ac:dyDescent="0.25" r="104" customHeight="1" ht="17.25">
      <c r="A104" s="17" t="s">
        <v>6891</v>
      </c>
      <c r="B104" s="17" t="s">
        <v>192</v>
      </c>
      <c r="C104" s="17" t="s">
        <v>56</v>
      </c>
      <c r="D104" s="17" t="s">
        <v>28</v>
      </c>
      <c r="E104" s="18">
        <f>ROUND(9159*1.05,2)</f>
      </c>
      <c r="F104" s="17" t="s">
        <v>29</v>
      </c>
      <c r="G104" s="17" t="s">
        <v>30</v>
      </c>
      <c r="H104" s="18">
        <f>ROUND(RAND()*4+6,1)</f>
      </c>
      <c r="I104" s="17" t="s">
        <v>31</v>
      </c>
      <c r="J104" s="19">
        <f>ROUND(85*1,0)&amp;"%"</f>
      </c>
    </row>
    <row x14ac:dyDescent="0.25" r="105" customHeight="1" ht="17.25">
      <c r="A105" s="20" t="s">
        <v>6892</v>
      </c>
      <c r="B105" s="20" t="s">
        <v>194</v>
      </c>
      <c r="C105" s="20" t="s">
        <v>56</v>
      </c>
      <c r="D105" s="20" t="s">
        <v>34</v>
      </c>
      <c r="E105" s="21">
        <f>ROUND(15176*1.05,2)</f>
      </c>
      <c r="F105" s="20" t="s">
        <v>35</v>
      </c>
      <c r="G105" s="20" t="s">
        <v>18</v>
      </c>
      <c r="H105" s="21">
        <f>ROUND(RAND()*4+6,1)</f>
      </c>
      <c r="I105" s="20" t="s">
        <v>36</v>
      </c>
      <c r="J105" s="23">
        <f>ROUND(83*1,0)&amp;"%"</f>
      </c>
    </row>
    <row x14ac:dyDescent="0.25" r="106" customHeight="1" ht="17.25">
      <c r="A106" s="17" t="s">
        <v>6893</v>
      </c>
      <c r="B106" s="17" t="s">
        <v>196</v>
      </c>
      <c r="C106" s="17" t="s">
        <v>56</v>
      </c>
      <c r="D106" s="17" t="s">
        <v>39</v>
      </c>
      <c r="E106" s="18">
        <f>ROUND(17541*1.05,2)</f>
      </c>
      <c r="F106" s="17" t="s">
        <v>40</v>
      </c>
      <c r="G106" s="17" t="s">
        <v>24</v>
      </c>
      <c r="H106" s="18">
        <f>ROUND(RAND()*4+6,1)</f>
      </c>
      <c r="I106" s="17" t="s">
        <v>41</v>
      </c>
      <c r="J106" s="19">
        <f>ROUND(99*1,0)&amp;"%"</f>
      </c>
    </row>
    <row x14ac:dyDescent="0.25" r="107" customHeight="1" ht="17.25">
      <c r="A107" s="20" t="s">
        <v>6894</v>
      </c>
      <c r="B107" s="20" t="s">
        <v>198</v>
      </c>
      <c r="C107" s="20" t="s">
        <v>56</v>
      </c>
      <c r="D107" s="20" t="s">
        <v>67</v>
      </c>
      <c r="E107" s="21">
        <f>ROUND(13946*1.05,2)</f>
      </c>
      <c r="F107" s="20" t="s">
        <v>44</v>
      </c>
      <c r="G107" s="20" t="s">
        <v>30</v>
      </c>
      <c r="H107" s="22">
        <f>ROUND(RAND()*4+6,1)</f>
      </c>
      <c r="I107" s="20" t="s">
        <v>45</v>
      </c>
      <c r="J107" s="23">
        <f>ROUND(65*1,0)&amp;"%"</f>
      </c>
    </row>
    <row x14ac:dyDescent="0.25" r="108" customHeight="1" ht="17.25">
      <c r="A108" s="17" t="s">
        <v>6895</v>
      </c>
      <c r="B108" s="17" t="s">
        <v>200</v>
      </c>
      <c r="C108" s="17" t="s">
        <v>56</v>
      </c>
      <c r="D108" s="17" t="s">
        <v>16</v>
      </c>
      <c r="E108" s="18">
        <f>ROUND(7547*1.05,2)</f>
      </c>
      <c r="F108" s="17" t="s">
        <v>48</v>
      </c>
      <c r="G108" s="17" t="s">
        <v>18</v>
      </c>
      <c r="H108" s="18">
        <f>ROUND(RAND()*4+6,1)</f>
      </c>
      <c r="I108" s="17" t="s">
        <v>19</v>
      </c>
      <c r="J108" s="19">
        <f>ROUND(99*1,0)&amp;"%"</f>
      </c>
    </row>
    <row x14ac:dyDescent="0.25" r="109" customHeight="1" ht="17.25">
      <c r="A109" s="20" t="s">
        <v>6896</v>
      </c>
      <c r="B109" s="20" t="s">
        <v>202</v>
      </c>
      <c r="C109" s="20" t="s">
        <v>56</v>
      </c>
      <c r="D109" s="20" t="s">
        <v>22</v>
      </c>
      <c r="E109" s="21">
        <f>ROUND(13447*1.05,2)</f>
      </c>
      <c r="F109" s="20" t="s">
        <v>51</v>
      </c>
      <c r="G109" s="20" t="s">
        <v>24</v>
      </c>
      <c r="H109" s="21">
        <f>ROUND(RAND()*4+6,1)</f>
      </c>
      <c r="I109" s="20" t="s">
        <v>25</v>
      </c>
      <c r="J109" s="23">
        <f>ROUND(95*1,0)&amp;"%"</f>
      </c>
    </row>
    <row x14ac:dyDescent="0.25" r="110" customHeight="1" ht="17.25">
      <c r="A110" s="24" t="s">
        <v>203</v>
      </c>
      <c r="B110" s="24"/>
      <c r="C110" s="24"/>
      <c r="D110" s="24"/>
      <c r="E110" s="25">
        <v>8</v>
      </c>
      <c r="F110" s="9"/>
      <c r="G110" s="9"/>
      <c r="H110" s="31"/>
      <c r="I110" s="9"/>
      <c r="J110" s="9"/>
    </row>
    <row x14ac:dyDescent="0.25" r="111" customHeight="1" ht="17.25">
      <c r="A111" s="7"/>
      <c r="B111" s="7"/>
      <c r="C111" s="7"/>
      <c r="D111" s="7"/>
      <c r="E111" s="8"/>
      <c r="F111" s="9"/>
      <c r="G111" s="9"/>
      <c r="H111" s="31"/>
      <c r="I111" s="9"/>
      <c r="J111" s="9"/>
    </row>
    <row x14ac:dyDescent="0.25" r="112" customHeight="1" ht="17.25">
      <c r="A112" s="11" t="s">
        <v>6897</v>
      </c>
      <c r="B112" s="11"/>
      <c r="C112" s="11"/>
      <c r="D112" s="11"/>
      <c r="E112" s="12"/>
      <c r="F112" s="11"/>
      <c r="G112" s="11"/>
      <c r="H112" s="12"/>
      <c r="I112" s="11"/>
      <c r="J112" s="11"/>
    </row>
    <row x14ac:dyDescent="0.25" r="113" customHeight="1" ht="17.25">
      <c r="A113" s="14" t="s">
        <v>3</v>
      </c>
      <c r="B113" s="14" t="s">
        <v>4</v>
      </c>
      <c r="C113" s="14" t="s">
        <v>5</v>
      </c>
      <c r="D113" s="14" t="s">
        <v>6</v>
      </c>
      <c r="E113" s="15" t="s">
        <v>7</v>
      </c>
      <c r="F113" s="14" t="s">
        <v>8</v>
      </c>
      <c r="G113" s="14" t="s">
        <v>9</v>
      </c>
      <c r="H113" s="15" t="s">
        <v>10</v>
      </c>
      <c r="I113" s="14" t="s">
        <v>11</v>
      </c>
      <c r="J113" s="14" t="s">
        <v>12</v>
      </c>
    </row>
    <row x14ac:dyDescent="0.25" r="114" customHeight="1" ht="17.25">
      <c r="A114" s="17" t="s">
        <v>6898</v>
      </c>
      <c r="B114" s="17" t="s">
        <v>206</v>
      </c>
      <c r="C114" s="17" t="s">
        <v>76</v>
      </c>
      <c r="D114" s="17" t="s">
        <v>16</v>
      </c>
      <c r="E114" s="18">
        <f>ROUND(16741*1.05,2)</f>
      </c>
      <c r="F114" s="17" t="s">
        <v>17</v>
      </c>
      <c r="G114" s="17" t="s">
        <v>18</v>
      </c>
      <c r="H114" s="18">
        <f>ROUND(RAND()*4+6,1)</f>
      </c>
      <c r="I114" s="17" t="s">
        <v>19</v>
      </c>
      <c r="J114" s="19">
        <f>ROUND(98*1,0)&amp;"%"</f>
      </c>
    </row>
    <row x14ac:dyDescent="0.25" r="115" customHeight="1" ht="17.25">
      <c r="A115" s="20" t="s">
        <v>6899</v>
      </c>
      <c r="B115" s="20" t="s">
        <v>208</v>
      </c>
      <c r="C115" s="20" t="s">
        <v>76</v>
      </c>
      <c r="D115" s="20" t="s">
        <v>22</v>
      </c>
      <c r="E115" s="21">
        <f>ROUND(11289*1.05,2)</f>
      </c>
      <c r="F115" s="20" t="s">
        <v>23</v>
      </c>
      <c r="G115" s="20" t="s">
        <v>24</v>
      </c>
      <c r="H115" s="21">
        <f>ROUND(RAND()*4+6,1)</f>
      </c>
      <c r="I115" s="20" t="s">
        <v>25</v>
      </c>
      <c r="J115" s="23">
        <f>ROUND(85*1,0)&amp;"%"</f>
      </c>
    </row>
    <row x14ac:dyDescent="0.25" r="116" customHeight="1" ht="17.25">
      <c r="A116" s="17" t="s">
        <v>6900</v>
      </c>
      <c r="B116" s="17" t="s">
        <v>210</v>
      </c>
      <c r="C116" s="17" t="s">
        <v>76</v>
      </c>
      <c r="D116" s="17" t="s">
        <v>28</v>
      </c>
      <c r="E116" s="18">
        <f>ROUND(7039*1.05,2)</f>
      </c>
      <c r="F116" s="17" t="s">
        <v>29</v>
      </c>
      <c r="G116" s="17" t="s">
        <v>30</v>
      </c>
      <c r="H116" s="18">
        <f>ROUND(RAND()*4+6,1)</f>
      </c>
      <c r="I116" s="17" t="s">
        <v>31</v>
      </c>
      <c r="J116" s="19">
        <f>ROUND(85*1,0)&amp;"%"</f>
      </c>
    </row>
    <row x14ac:dyDescent="0.25" r="117" customHeight="1" ht="17.25">
      <c r="A117" s="20" t="s">
        <v>6901</v>
      </c>
      <c r="B117" s="20" t="s">
        <v>212</v>
      </c>
      <c r="C117" s="20" t="s">
        <v>76</v>
      </c>
      <c r="D117" s="20" t="s">
        <v>34</v>
      </c>
      <c r="E117" s="21">
        <f>ROUND(4604*1.05,2)</f>
      </c>
      <c r="F117" s="20" t="s">
        <v>35</v>
      </c>
      <c r="G117" s="20" t="s">
        <v>18</v>
      </c>
      <c r="H117" s="21">
        <f>ROUND(RAND()*4+6,1)</f>
      </c>
      <c r="I117" s="20" t="s">
        <v>36</v>
      </c>
      <c r="J117" s="23">
        <f>ROUND(100*1,0)&amp;"%"</f>
      </c>
    </row>
    <row x14ac:dyDescent="0.25" r="118" customHeight="1" ht="17.25">
      <c r="A118" s="17" t="s">
        <v>6902</v>
      </c>
      <c r="B118" s="17" t="s">
        <v>214</v>
      </c>
      <c r="C118" s="17" t="s">
        <v>76</v>
      </c>
      <c r="D118" s="17" t="s">
        <v>39</v>
      </c>
      <c r="E118" s="18">
        <f>ROUND(6259*1.05,2)</f>
      </c>
      <c r="F118" s="17" t="s">
        <v>40</v>
      </c>
      <c r="G118" s="17" t="s">
        <v>24</v>
      </c>
      <c r="H118" s="18">
        <f>ROUND(RAND()*4+6,1)</f>
      </c>
      <c r="I118" s="17" t="s">
        <v>41</v>
      </c>
      <c r="J118" s="19">
        <f>ROUND(98*1,0)&amp;"%"</f>
      </c>
    </row>
    <row x14ac:dyDescent="0.25" r="119" customHeight="1" ht="17.25">
      <c r="A119" s="20" t="s">
        <v>6903</v>
      </c>
      <c r="B119" s="20" t="s">
        <v>216</v>
      </c>
      <c r="C119" s="20" t="s">
        <v>76</v>
      </c>
      <c r="D119" s="20" t="s">
        <v>67</v>
      </c>
      <c r="E119" s="21">
        <f>ROUND(13268*1.05,2)</f>
      </c>
      <c r="F119" s="20" t="s">
        <v>44</v>
      </c>
      <c r="G119" s="20" t="s">
        <v>30</v>
      </c>
      <c r="H119" s="21">
        <f>ROUND(RAND()*4+6,1)</f>
      </c>
      <c r="I119" s="20" t="s">
        <v>45</v>
      </c>
      <c r="J119" s="23">
        <f>ROUND(87*1,0)&amp;"%"</f>
      </c>
    </row>
    <row x14ac:dyDescent="0.25" r="120" customHeight="1" ht="17.25">
      <c r="A120" s="17" t="s">
        <v>6904</v>
      </c>
      <c r="B120" s="17" t="s">
        <v>218</v>
      </c>
      <c r="C120" s="17" t="s">
        <v>76</v>
      </c>
      <c r="D120" s="17" t="s">
        <v>16</v>
      </c>
      <c r="E120" s="18">
        <f>ROUND(6515*1.05,2)</f>
      </c>
      <c r="F120" s="17" t="s">
        <v>48</v>
      </c>
      <c r="G120" s="17" t="s">
        <v>18</v>
      </c>
      <c r="H120" s="18">
        <f>ROUND(RAND()*4+6,1)</f>
      </c>
      <c r="I120" s="17" t="s">
        <v>19</v>
      </c>
      <c r="J120" s="19">
        <f>ROUND(60*1,0)&amp;"%"</f>
      </c>
    </row>
    <row x14ac:dyDescent="0.25" r="121" customHeight="1" ht="17.25">
      <c r="A121" s="20" t="s">
        <v>6905</v>
      </c>
      <c r="B121" s="20" t="s">
        <v>220</v>
      </c>
      <c r="C121" s="20" t="s">
        <v>76</v>
      </c>
      <c r="D121" s="20" t="s">
        <v>22</v>
      </c>
      <c r="E121" s="21">
        <f>ROUND(7681*1.05,2)</f>
      </c>
      <c r="F121" s="20" t="s">
        <v>51</v>
      </c>
      <c r="G121" s="20" t="s">
        <v>24</v>
      </c>
      <c r="H121" s="21">
        <f>ROUND(RAND()*4+6,1)</f>
      </c>
      <c r="I121" s="20" t="s">
        <v>25</v>
      </c>
      <c r="J121" s="23">
        <f>ROUND(71*1,0)&amp;"%"</f>
      </c>
    </row>
    <row x14ac:dyDescent="0.25" r="122" customHeight="1" ht="17.25">
      <c r="A122" s="24" t="s">
        <v>221</v>
      </c>
      <c r="B122" s="24"/>
      <c r="C122" s="24"/>
      <c r="D122" s="24"/>
      <c r="E122" s="25">
        <v>8</v>
      </c>
      <c r="F122" s="9"/>
      <c r="G122" s="9"/>
      <c r="H122" s="31"/>
      <c r="I122" s="9"/>
      <c r="J122" s="9"/>
    </row>
    <row x14ac:dyDescent="0.25" r="123" customHeight="1" ht="17.25">
      <c r="A123" s="7"/>
      <c r="B123" s="7"/>
      <c r="C123" s="7"/>
      <c r="D123" s="7"/>
      <c r="E123" s="8"/>
      <c r="F123" s="9"/>
      <c r="G123" s="9"/>
      <c r="H123" s="31"/>
      <c r="I123" s="9"/>
      <c r="J123" s="9"/>
    </row>
    <row x14ac:dyDescent="0.25" r="124" customHeight="1" ht="17.25">
      <c r="A124" s="11" t="s">
        <v>6906</v>
      </c>
      <c r="B124" s="11"/>
      <c r="C124" s="11"/>
      <c r="D124" s="11"/>
      <c r="E124" s="12"/>
      <c r="F124" s="11"/>
      <c r="G124" s="11"/>
      <c r="H124" s="12"/>
      <c r="I124" s="11"/>
      <c r="J124" s="11"/>
    </row>
    <row x14ac:dyDescent="0.25" r="125" customHeight="1" ht="17.25">
      <c r="A125" s="14" t="s">
        <v>3</v>
      </c>
      <c r="B125" s="14" t="s">
        <v>4</v>
      </c>
      <c r="C125" s="14" t="s">
        <v>5</v>
      </c>
      <c r="D125" s="14" t="s">
        <v>6</v>
      </c>
      <c r="E125" s="15" t="s">
        <v>7</v>
      </c>
      <c r="F125" s="14" t="s">
        <v>8</v>
      </c>
      <c r="G125" s="14" t="s">
        <v>9</v>
      </c>
      <c r="H125" s="15" t="s">
        <v>10</v>
      </c>
      <c r="I125" s="14" t="s">
        <v>11</v>
      </c>
      <c r="J125" s="14" t="s">
        <v>12</v>
      </c>
    </row>
    <row x14ac:dyDescent="0.25" r="126" customHeight="1" ht="17.25">
      <c r="A126" s="17" t="s">
        <v>6907</v>
      </c>
      <c r="B126" s="17" t="s">
        <v>224</v>
      </c>
      <c r="C126" s="17" t="s">
        <v>95</v>
      </c>
      <c r="D126" s="17" t="s">
        <v>16</v>
      </c>
      <c r="E126" s="18">
        <f>ROUND(6019*1.05,2)</f>
      </c>
      <c r="F126" s="17" t="s">
        <v>17</v>
      </c>
      <c r="G126" s="17" t="s">
        <v>18</v>
      </c>
      <c r="H126" s="18">
        <f>ROUND(RAND()*4+6,1)</f>
      </c>
      <c r="I126" s="17" t="s">
        <v>19</v>
      </c>
      <c r="J126" s="19">
        <f>ROUND(82*1,0)&amp;"%"</f>
      </c>
    </row>
    <row x14ac:dyDescent="0.25" r="127" customHeight="1" ht="17.25">
      <c r="A127" s="20" t="s">
        <v>6908</v>
      </c>
      <c r="B127" s="20" t="s">
        <v>226</v>
      </c>
      <c r="C127" s="20" t="s">
        <v>95</v>
      </c>
      <c r="D127" s="20" t="s">
        <v>22</v>
      </c>
      <c r="E127" s="21">
        <f>ROUND(7393*1.05,2)</f>
      </c>
      <c r="F127" s="20" t="s">
        <v>23</v>
      </c>
      <c r="G127" s="20" t="s">
        <v>24</v>
      </c>
      <c r="H127" s="22">
        <f>ROUND(RAND()*4+6,1)</f>
      </c>
      <c r="I127" s="20" t="s">
        <v>25</v>
      </c>
      <c r="J127" s="23">
        <f>ROUND(93*1,0)&amp;"%"</f>
      </c>
    </row>
    <row x14ac:dyDescent="0.25" r="128" customHeight="1" ht="17.25">
      <c r="A128" s="17" t="s">
        <v>6909</v>
      </c>
      <c r="B128" s="17" t="s">
        <v>228</v>
      </c>
      <c r="C128" s="17" t="s">
        <v>95</v>
      </c>
      <c r="D128" s="17" t="s">
        <v>28</v>
      </c>
      <c r="E128" s="18">
        <f>ROUND(15957*1.05,2)</f>
      </c>
      <c r="F128" s="17" t="s">
        <v>29</v>
      </c>
      <c r="G128" s="17" t="s">
        <v>30</v>
      </c>
      <c r="H128" s="18">
        <f>ROUND(RAND()*4+6,1)</f>
      </c>
      <c r="I128" s="17" t="s">
        <v>31</v>
      </c>
      <c r="J128" s="19">
        <f>ROUND(100*1,0)&amp;"%"</f>
      </c>
    </row>
    <row x14ac:dyDescent="0.25" r="129" customHeight="1" ht="17.25">
      <c r="A129" s="20" t="s">
        <v>6910</v>
      </c>
      <c r="B129" s="20" t="s">
        <v>230</v>
      </c>
      <c r="C129" s="20" t="s">
        <v>95</v>
      </c>
      <c r="D129" s="20" t="s">
        <v>34</v>
      </c>
      <c r="E129" s="21">
        <f>ROUND(10738*1.05,2)</f>
      </c>
      <c r="F129" s="20" t="s">
        <v>35</v>
      </c>
      <c r="G129" s="20" t="s">
        <v>18</v>
      </c>
      <c r="H129" s="21">
        <f>ROUND(RAND()*4+6,1)</f>
      </c>
      <c r="I129" s="20" t="s">
        <v>36</v>
      </c>
      <c r="J129" s="23">
        <f>ROUND(73*1,0)&amp;"%"</f>
      </c>
    </row>
    <row x14ac:dyDescent="0.25" r="130" customHeight="1" ht="17.25">
      <c r="A130" s="17" t="s">
        <v>6911</v>
      </c>
      <c r="B130" s="17" t="s">
        <v>232</v>
      </c>
      <c r="C130" s="17" t="s">
        <v>95</v>
      </c>
      <c r="D130" s="17" t="s">
        <v>39</v>
      </c>
      <c r="E130" s="18">
        <f>ROUND(10651*1.05,2)</f>
      </c>
      <c r="F130" s="17" t="s">
        <v>40</v>
      </c>
      <c r="G130" s="17" t="s">
        <v>24</v>
      </c>
      <c r="H130" s="18">
        <f>ROUND(RAND()*4+6,1)</f>
      </c>
      <c r="I130" s="17" t="s">
        <v>41</v>
      </c>
      <c r="J130" s="19">
        <f>ROUND(84*1,0)&amp;"%"</f>
      </c>
    </row>
    <row x14ac:dyDescent="0.25" r="131" customHeight="1" ht="17.25">
      <c r="A131" s="20" t="s">
        <v>6912</v>
      </c>
      <c r="B131" s="20" t="s">
        <v>234</v>
      </c>
      <c r="C131" s="20" t="s">
        <v>95</v>
      </c>
      <c r="D131" s="20" t="s">
        <v>67</v>
      </c>
      <c r="E131" s="21">
        <f>ROUND(5527*1.05,2)</f>
      </c>
      <c r="F131" s="20" t="s">
        <v>44</v>
      </c>
      <c r="G131" s="20" t="s">
        <v>30</v>
      </c>
      <c r="H131" s="21">
        <f>ROUND(RAND()*4+6,1)</f>
      </c>
      <c r="I131" s="20" t="s">
        <v>45</v>
      </c>
      <c r="J131" s="23">
        <f>ROUND(83*1,0)&amp;"%"</f>
      </c>
    </row>
    <row x14ac:dyDescent="0.25" r="132" customHeight="1" ht="17.25">
      <c r="A132" s="17" t="s">
        <v>6913</v>
      </c>
      <c r="B132" s="17" t="s">
        <v>236</v>
      </c>
      <c r="C132" s="17" t="s">
        <v>95</v>
      </c>
      <c r="D132" s="17" t="s">
        <v>16</v>
      </c>
      <c r="E132" s="18">
        <f>ROUND(4385*1.05,2)</f>
      </c>
      <c r="F132" s="17" t="s">
        <v>48</v>
      </c>
      <c r="G132" s="17" t="s">
        <v>18</v>
      </c>
      <c r="H132" s="18">
        <f>ROUND(RAND()*4+6,1)</f>
      </c>
      <c r="I132" s="17" t="s">
        <v>19</v>
      </c>
      <c r="J132" s="19">
        <f>ROUND(80*1,0)&amp;"%"</f>
      </c>
    </row>
    <row x14ac:dyDescent="0.25" r="133" customHeight="1" ht="17.25">
      <c r="A133" s="20" t="s">
        <v>6914</v>
      </c>
      <c r="B133" s="20" t="s">
        <v>238</v>
      </c>
      <c r="C133" s="20" t="s">
        <v>95</v>
      </c>
      <c r="D133" s="20" t="s">
        <v>22</v>
      </c>
      <c r="E133" s="21">
        <f>ROUND(14451*1.05,2)</f>
      </c>
      <c r="F133" s="20" t="s">
        <v>51</v>
      </c>
      <c r="G133" s="20" t="s">
        <v>24</v>
      </c>
      <c r="H133" s="21">
        <f>ROUND(RAND()*4+6,1)</f>
      </c>
      <c r="I133" s="20" t="s">
        <v>25</v>
      </c>
      <c r="J133" s="23">
        <f>ROUND(76*1,0)&amp;"%"</f>
      </c>
    </row>
    <row x14ac:dyDescent="0.25" r="134" customHeight="1" ht="17.25">
      <c r="A134" s="24" t="s">
        <v>239</v>
      </c>
      <c r="B134" s="24"/>
      <c r="C134" s="24"/>
      <c r="D134" s="24"/>
      <c r="E134" s="25">
        <v>8</v>
      </c>
      <c r="F134" s="9"/>
      <c r="G134" s="9"/>
      <c r="H134" s="31"/>
      <c r="I134" s="9"/>
      <c r="J134" s="9"/>
    </row>
    <row x14ac:dyDescent="0.25" r="135" customHeight="1" ht="17.25">
      <c r="A135" s="7"/>
      <c r="B135" s="7"/>
      <c r="C135" s="7"/>
      <c r="D135" s="7"/>
      <c r="E135" s="8"/>
      <c r="F135" s="9"/>
      <c r="G135" s="9"/>
      <c r="H135" s="31"/>
      <c r="I135" s="9"/>
      <c r="J135" s="9"/>
    </row>
    <row x14ac:dyDescent="0.25" r="136" customHeight="1" ht="17.25">
      <c r="A136" s="11" t="s">
        <v>6915</v>
      </c>
      <c r="B136" s="11"/>
      <c r="C136" s="11"/>
      <c r="D136" s="11"/>
      <c r="E136" s="12"/>
      <c r="F136" s="11"/>
      <c r="G136" s="11"/>
      <c r="H136" s="12"/>
      <c r="I136" s="11"/>
      <c r="J136" s="11"/>
    </row>
    <row x14ac:dyDescent="0.25" r="137" customHeight="1" ht="17.25">
      <c r="A137" s="14" t="s">
        <v>3</v>
      </c>
      <c r="B137" s="14" t="s">
        <v>4</v>
      </c>
      <c r="C137" s="14" t="s">
        <v>5</v>
      </c>
      <c r="D137" s="14" t="s">
        <v>6</v>
      </c>
      <c r="E137" s="15" t="s">
        <v>7</v>
      </c>
      <c r="F137" s="14" t="s">
        <v>8</v>
      </c>
      <c r="G137" s="14" t="s">
        <v>9</v>
      </c>
      <c r="H137" s="15" t="s">
        <v>10</v>
      </c>
      <c r="I137" s="14" t="s">
        <v>11</v>
      </c>
      <c r="J137" s="14" t="s">
        <v>12</v>
      </c>
    </row>
    <row x14ac:dyDescent="0.25" r="138" customHeight="1" ht="17.25">
      <c r="A138" s="17" t="s">
        <v>6916</v>
      </c>
      <c r="B138" s="17" t="s">
        <v>242</v>
      </c>
      <c r="C138" s="17" t="s">
        <v>114</v>
      </c>
      <c r="D138" s="17" t="s">
        <v>16</v>
      </c>
      <c r="E138" s="18">
        <f>ROUND(4907*1.05,2)</f>
      </c>
      <c r="F138" s="17" t="s">
        <v>17</v>
      </c>
      <c r="G138" s="17" t="s">
        <v>18</v>
      </c>
      <c r="H138" s="18">
        <f>ROUND(RAND()*4+6,1)</f>
      </c>
      <c r="I138" s="17" t="s">
        <v>19</v>
      </c>
      <c r="J138" s="19">
        <f>ROUND(66*1,0)&amp;"%"</f>
      </c>
    </row>
    <row x14ac:dyDescent="0.25" r="139" customHeight="1" ht="17.25">
      <c r="A139" s="20" t="s">
        <v>6917</v>
      </c>
      <c r="B139" s="20" t="s">
        <v>244</v>
      </c>
      <c r="C139" s="20" t="s">
        <v>114</v>
      </c>
      <c r="D139" s="20" t="s">
        <v>22</v>
      </c>
      <c r="E139" s="21">
        <f>ROUND(16284*1.05,2)</f>
      </c>
      <c r="F139" s="20" t="s">
        <v>23</v>
      </c>
      <c r="G139" s="20" t="s">
        <v>24</v>
      </c>
      <c r="H139" s="21">
        <f>ROUND(RAND()*4+6,1)</f>
      </c>
      <c r="I139" s="20" t="s">
        <v>25</v>
      </c>
      <c r="J139" s="23">
        <f>ROUND(81*1,0)&amp;"%"</f>
      </c>
    </row>
    <row x14ac:dyDescent="0.25" r="140" customHeight="1" ht="17.25">
      <c r="A140" s="17" t="s">
        <v>6918</v>
      </c>
      <c r="B140" s="17" t="s">
        <v>246</v>
      </c>
      <c r="C140" s="17" t="s">
        <v>114</v>
      </c>
      <c r="D140" s="17" t="s">
        <v>28</v>
      </c>
      <c r="E140" s="18">
        <f>ROUND(8455*1.05,2)</f>
      </c>
      <c r="F140" s="17" t="s">
        <v>29</v>
      </c>
      <c r="G140" s="17" t="s">
        <v>30</v>
      </c>
      <c r="H140" s="18">
        <f>ROUND(RAND()*4+6,1)</f>
      </c>
      <c r="I140" s="17" t="s">
        <v>31</v>
      </c>
      <c r="J140" s="19">
        <f>ROUND(63*1,0)&amp;"%"</f>
      </c>
    </row>
    <row x14ac:dyDescent="0.25" r="141" customHeight="1" ht="17.25">
      <c r="A141" s="20" t="s">
        <v>6919</v>
      </c>
      <c r="B141" s="20" t="s">
        <v>248</v>
      </c>
      <c r="C141" s="20" t="s">
        <v>114</v>
      </c>
      <c r="D141" s="20" t="s">
        <v>34</v>
      </c>
      <c r="E141" s="21">
        <f>ROUND(14810*1.05,2)</f>
      </c>
      <c r="F141" s="20" t="s">
        <v>35</v>
      </c>
      <c r="G141" s="20" t="s">
        <v>18</v>
      </c>
      <c r="H141" s="21">
        <f>ROUND(RAND()*4+6,1)</f>
      </c>
      <c r="I141" s="20" t="s">
        <v>36</v>
      </c>
      <c r="J141" s="23">
        <f>ROUND(80*1,0)&amp;"%"</f>
      </c>
    </row>
    <row x14ac:dyDescent="0.25" r="142" customHeight="1" ht="17.25">
      <c r="A142" s="17" t="s">
        <v>6920</v>
      </c>
      <c r="B142" s="17" t="s">
        <v>250</v>
      </c>
      <c r="C142" s="17" t="s">
        <v>114</v>
      </c>
      <c r="D142" s="17" t="s">
        <v>39</v>
      </c>
      <c r="E142" s="18">
        <f>ROUND(5894*1.05,2)</f>
      </c>
      <c r="F142" s="17" t="s">
        <v>40</v>
      </c>
      <c r="G142" s="17" t="s">
        <v>24</v>
      </c>
      <c r="H142" s="18">
        <f>ROUND(RAND()*4+6,1)</f>
      </c>
      <c r="I142" s="17" t="s">
        <v>41</v>
      </c>
      <c r="J142" s="19">
        <f>ROUND(78*1,0)&amp;"%"</f>
      </c>
    </row>
    <row x14ac:dyDescent="0.25" r="143" customHeight="1" ht="17.25">
      <c r="A143" s="20" t="s">
        <v>6921</v>
      </c>
      <c r="B143" s="20" t="s">
        <v>252</v>
      </c>
      <c r="C143" s="20" t="s">
        <v>114</v>
      </c>
      <c r="D143" s="20" t="s">
        <v>67</v>
      </c>
      <c r="E143" s="21">
        <f>ROUND(11735*1.05,2)</f>
      </c>
      <c r="F143" s="20" t="s">
        <v>44</v>
      </c>
      <c r="G143" s="20" t="s">
        <v>30</v>
      </c>
      <c r="H143" s="21">
        <f>ROUND(RAND()*4+6,1)</f>
      </c>
      <c r="I143" s="20" t="s">
        <v>45</v>
      </c>
      <c r="J143" s="23">
        <f>ROUND(72*1,0)&amp;"%"</f>
      </c>
    </row>
    <row x14ac:dyDescent="0.25" r="144" customHeight="1" ht="17.25">
      <c r="A144" s="17" t="s">
        <v>6922</v>
      </c>
      <c r="B144" s="17" t="s">
        <v>254</v>
      </c>
      <c r="C144" s="17" t="s">
        <v>114</v>
      </c>
      <c r="D144" s="17" t="s">
        <v>16</v>
      </c>
      <c r="E144" s="18">
        <f>ROUND(11274*1.05,2)</f>
      </c>
      <c r="F144" s="17" t="s">
        <v>48</v>
      </c>
      <c r="G144" s="17" t="s">
        <v>18</v>
      </c>
      <c r="H144" s="26">
        <f>ROUND(RAND()*4+6,1)</f>
      </c>
      <c r="I144" s="17" t="s">
        <v>19</v>
      </c>
      <c r="J144" s="19">
        <f>ROUND(68*1,0)&amp;"%"</f>
      </c>
    </row>
    <row x14ac:dyDescent="0.25" r="145" customHeight="1" ht="17.25">
      <c r="A145" s="20" t="s">
        <v>6923</v>
      </c>
      <c r="B145" s="20" t="s">
        <v>256</v>
      </c>
      <c r="C145" s="20" t="s">
        <v>114</v>
      </c>
      <c r="D145" s="20" t="s">
        <v>22</v>
      </c>
      <c r="E145" s="21">
        <f>ROUND(17033*1.05,2)</f>
      </c>
      <c r="F145" s="20" t="s">
        <v>51</v>
      </c>
      <c r="G145" s="20" t="s">
        <v>24</v>
      </c>
      <c r="H145" s="22">
        <f>ROUND(RAND()*4+6,1)</f>
      </c>
      <c r="I145" s="20" t="s">
        <v>25</v>
      </c>
      <c r="J145" s="23">
        <f>ROUND(95*1,0)&amp;"%"</f>
      </c>
    </row>
    <row x14ac:dyDescent="0.25" r="146" customHeight="1" ht="17.25">
      <c r="A146" s="24" t="s">
        <v>257</v>
      </c>
      <c r="B146" s="24"/>
      <c r="C146" s="24"/>
      <c r="D146" s="24"/>
      <c r="E146" s="25">
        <v>8</v>
      </c>
      <c r="F146" s="9"/>
      <c r="G146" s="9"/>
      <c r="H146" s="31"/>
      <c r="I146" s="9"/>
      <c r="J146" s="9"/>
    </row>
    <row x14ac:dyDescent="0.25" r="147" customHeight="1" ht="17.25">
      <c r="A147" s="7"/>
      <c r="B147" s="7"/>
      <c r="C147" s="7"/>
      <c r="D147" s="7"/>
      <c r="E147" s="8"/>
      <c r="F147" s="9"/>
      <c r="G147" s="9"/>
      <c r="H147" s="31"/>
      <c r="I147" s="9"/>
      <c r="J147" s="9"/>
    </row>
    <row x14ac:dyDescent="0.25" r="148" customHeight="1" ht="17.25">
      <c r="A148" s="11" t="s">
        <v>6924</v>
      </c>
      <c r="B148" s="11"/>
      <c r="C148" s="11"/>
      <c r="D148" s="11"/>
      <c r="E148" s="12"/>
      <c r="F148" s="11"/>
      <c r="G148" s="11"/>
      <c r="H148" s="12"/>
      <c r="I148" s="11"/>
      <c r="J148" s="11"/>
    </row>
    <row x14ac:dyDescent="0.25" r="149" customHeight="1" ht="17.25">
      <c r="A149" s="14" t="s">
        <v>3</v>
      </c>
      <c r="B149" s="14" t="s">
        <v>4</v>
      </c>
      <c r="C149" s="14" t="s">
        <v>5</v>
      </c>
      <c r="D149" s="14" t="s">
        <v>6</v>
      </c>
      <c r="E149" s="15" t="s">
        <v>7</v>
      </c>
      <c r="F149" s="14" t="s">
        <v>8</v>
      </c>
      <c r="G149" s="14" t="s">
        <v>9</v>
      </c>
      <c r="H149" s="15" t="s">
        <v>10</v>
      </c>
      <c r="I149" s="14" t="s">
        <v>11</v>
      </c>
      <c r="J149" s="14" t="s">
        <v>12</v>
      </c>
    </row>
    <row x14ac:dyDescent="0.25" r="150" customHeight="1" ht="17.25">
      <c r="A150" s="17" t="s">
        <v>6925</v>
      </c>
      <c r="B150" s="17" t="s">
        <v>260</v>
      </c>
      <c r="C150" s="17" t="s">
        <v>133</v>
      </c>
      <c r="D150" s="17" t="s">
        <v>16</v>
      </c>
      <c r="E150" s="18">
        <f>ROUND(13418*1.05,2)</f>
      </c>
      <c r="F150" s="17" t="s">
        <v>17</v>
      </c>
      <c r="G150" s="17" t="s">
        <v>18</v>
      </c>
      <c r="H150" s="18">
        <f>ROUND(RAND()*4+6,1)</f>
      </c>
      <c r="I150" s="17" t="s">
        <v>19</v>
      </c>
      <c r="J150" s="19">
        <f>ROUND(90*1,0)&amp;"%"</f>
      </c>
    </row>
    <row x14ac:dyDescent="0.25" r="151" customHeight="1" ht="17.25">
      <c r="A151" s="20" t="s">
        <v>6926</v>
      </c>
      <c r="B151" s="20" t="s">
        <v>262</v>
      </c>
      <c r="C151" s="20" t="s">
        <v>133</v>
      </c>
      <c r="D151" s="20" t="s">
        <v>22</v>
      </c>
      <c r="E151" s="21">
        <f>ROUND(11376*1.05,2)</f>
      </c>
      <c r="F151" s="20" t="s">
        <v>23</v>
      </c>
      <c r="G151" s="20" t="s">
        <v>24</v>
      </c>
      <c r="H151" s="22">
        <f>ROUND(RAND()*4+6,1)</f>
      </c>
      <c r="I151" s="20" t="s">
        <v>25</v>
      </c>
      <c r="J151" s="23">
        <f>ROUND(87*1,0)&amp;"%"</f>
      </c>
    </row>
    <row x14ac:dyDescent="0.25" r="152" customHeight="1" ht="17.25">
      <c r="A152" s="17" t="s">
        <v>6927</v>
      </c>
      <c r="B152" s="17" t="s">
        <v>264</v>
      </c>
      <c r="C152" s="17" t="s">
        <v>133</v>
      </c>
      <c r="D152" s="17" t="s">
        <v>28</v>
      </c>
      <c r="E152" s="26">
        <f>ROUND(5360*1.05,2)</f>
      </c>
      <c r="F152" s="17" t="s">
        <v>29</v>
      </c>
      <c r="G152" s="17" t="s">
        <v>30</v>
      </c>
      <c r="H152" s="18">
        <f>ROUND(RAND()*4+6,1)</f>
      </c>
      <c r="I152" s="17" t="s">
        <v>31</v>
      </c>
      <c r="J152" s="19">
        <f>ROUND(79*1,0)&amp;"%"</f>
      </c>
    </row>
    <row x14ac:dyDescent="0.25" r="153" customHeight="1" ht="17.25">
      <c r="A153" s="20" t="s">
        <v>6928</v>
      </c>
      <c r="B153" s="20" t="s">
        <v>266</v>
      </c>
      <c r="C153" s="20" t="s">
        <v>133</v>
      </c>
      <c r="D153" s="20" t="s">
        <v>34</v>
      </c>
      <c r="E153" s="21">
        <f>ROUND(6275*1.05,2)</f>
      </c>
      <c r="F153" s="20" t="s">
        <v>35</v>
      </c>
      <c r="G153" s="20" t="s">
        <v>18</v>
      </c>
      <c r="H153" s="21">
        <f>ROUND(RAND()*4+6,1)</f>
      </c>
      <c r="I153" s="20" t="s">
        <v>36</v>
      </c>
      <c r="J153" s="23">
        <f>ROUND(87*1,0)&amp;"%"</f>
      </c>
    </row>
    <row x14ac:dyDescent="0.25" r="154" customHeight="1" ht="17.25">
      <c r="A154" s="17" t="s">
        <v>6929</v>
      </c>
      <c r="B154" s="17" t="s">
        <v>268</v>
      </c>
      <c r="C154" s="17" t="s">
        <v>133</v>
      </c>
      <c r="D154" s="17" t="s">
        <v>39</v>
      </c>
      <c r="E154" s="18">
        <f>ROUND(7163*1.05,2)</f>
      </c>
      <c r="F154" s="17" t="s">
        <v>40</v>
      </c>
      <c r="G154" s="17" t="s">
        <v>24</v>
      </c>
      <c r="H154" s="18">
        <f>ROUND(RAND()*4+6,1)</f>
      </c>
      <c r="I154" s="17" t="s">
        <v>41</v>
      </c>
      <c r="J154" s="19">
        <f>ROUND(78*1,0)&amp;"%"</f>
      </c>
    </row>
    <row x14ac:dyDescent="0.25" r="155" customHeight="1" ht="17.25">
      <c r="A155" s="20" t="s">
        <v>6930</v>
      </c>
      <c r="B155" s="20" t="s">
        <v>270</v>
      </c>
      <c r="C155" s="20" t="s">
        <v>133</v>
      </c>
      <c r="D155" s="20" t="s">
        <v>67</v>
      </c>
      <c r="E155" s="21">
        <f>ROUND(16355*1.05,2)</f>
      </c>
      <c r="F155" s="20" t="s">
        <v>44</v>
      </c>
      <c r="G155" s="20" t="s">
        <v>30</v>
      </c>
      <c r="H155" s="21">
        <f>ROUND(RAND()*4+6,1)</f>
      </c>
      <c r="I155" s="20" t="s">
        <v>45</v>
      </c>
      <c r="J155" s="23">
        <f>ROUND(83*1,0)&amp;"%"</f>
      </c>
    </row>
    <row x14ac:dyDescent="0.25" r="156" customHeight="1" ht="17.25">
      <c r="A156" s="17" t="s">
        <v>6931</v>
      </c>
      <c r="B156" s="17" t="s">
        <v>272</v>
      </c>
      <c r="C156" s="17" t="s">
        <v>133</v>
      </c>
      <c r="D156" s="17" t="s">
        <v>16</v>
      </c>
      <c r="E156" s="18">
        <f>ROUND(17829*1.05,2)</f>
      </c>
      <c r="F156" s="17" t="s">
        <v>48</v>
      </c>
      <c r="G156" s="17" t="s">
        <v>18</v>
      </c>
      <c r="H156" s="18">
        <f>ROUND(RAND()*4+6,1)</f>
      </c>
      <c r="I156" s="17" t="s">
        <v>19</v>
      </c>
      <c r="J156" s="19">
        <f>ROUND(74*1,0)&amp;"%"</f>
      </c>
    </row>
    <row x14ac:dyDescent="0.25" r="157" customHeight="1" ht="17.25">
      <c r="A157" s="20" t="s">
        <v>6932</v>
      </c>
      <c r="B157" s="20" t="s">
        <v>274</v>
      </c>
      <c r="C157" s="20" t="s">
        <v>133</v>
      </c>
      <c r="D157" s="20" t="s">
        <v>22</v>
      </c>
      <c r="E157" s="21">
        <f>ROUND(12437*1.05,2)</f>
      </c>
      <c r="F157" s="20" t="s">
        <v>51</v>
      </c>
      <c r="G157" s="20" t="s">
        <v>24</v>
      </c>
      <c r="H157" s="21">
        <f>ROUND(RAND()*4+6,1)</f>
      </c>
      <c r="I157" s="20" t="s">
        <v>25</v>
      </c>
      <c r="J157" s="23">
        <f>ROUND(68*1,0)&amp;"%"</f>
      </c>
    </row>
    <row x14ac:dyDescent="0.25" r="158" customHeight="1" ht="17.25">
      <c r="A158" s="24" t="s">
        <v>275</v>
      </c>
      <c r="B158" s="24"/>
      <c r="C158" s="24"/>
      <c r="D158" s="24"/>
      <c r="E158" s="25">
        <v>8</v>
      </c>
      <c r="F158" s="9"/>
      <c r="G158" s="9"/>
      <c r="H158" s="31"/>
      <c r="I158" s="9"/>
      <c r="J158" s="9"/>
    </row>
    <row x14ac:dyDescent="0.25" r="159" customHeight="1" ht="17.25">
      <c r="A159" s="7"/>
      <c r="B159" s="7"/>
      <c r="C159" s="7"/>
      <c r="D159" s="7"/>
      <c r="E159" s="8"/>
      <c r="F159" s="9"/>
      <c r="G159" s="9"/>
      <c r="H159" s="31"/>
      <c r="I159" s="9"/>
      <c r="J159" s="9"/>
    </row>
    <row x14ac:dyDescent="0.25" r="160" customHeight="1" ht="17.25">
      <c r="A160" s="11" t="s">
        <v>6933</v>
      </c>
      <c r="B160" s="11"/>
      <c r="C160" s="11"/>
      <c r="D160" s="11"/>
      <c r="E160" s="12"/>
      <c r="F160" s="11"/>
      <c r="G160" s="11"/>
      <c r="H160" s="12"/>
      <c r="I160" s="11"/>
      <c r="J160" s="11"/>
    </row>
    <row x14ac:dyDescent="0.25" r="161" customHeight="1" ht="17.25">
      <c r="A161" s="14" t="s">
        <v>3</v>
      </c>
      <c r="B161" s="14" t="s">
        <v>4</v>
      </c>
      <c r="C161" s="14" t="s">
        <v>5</v>
      </c>
      <c r="D161" s="14" t="s">
        <v>6</v>
      </c>
      <c r="E161" s="15" t="s">
        <v>7</v>
      </c>
      <c r="F161" s="14" t="s">
        <v>8</v>
      </c>
      <c r="G161" s="14" t="s">
        <v>9</v>
      </c>
      <c r="H161" s="15" t="s">
        <v>10</v>
      </c>
      <c r="I161" s="14" t="s">
        <v>11</v>
      </c>
      <c r="J161" s="14" t="s">
        <v>12</v>
      </c>
    </row>
    <row x14ac:dyDescent="0.25" r="162" customHeight="1" ht="17.25">
      <c r="A162" s="17" t="s">
        <v>6934</v>
      </c>
      <c r="B162" s="17" t="s">
        <v>278</v>
      </c>
      <c r="C162" s="17" t="s">
        <v>152</v>
      </c>
      <c r="D162" s="17" t="s">
        <v>16</v>
      </c>
      <c r="E162" s="18">
        <f>ROUND(13794*1.05,2)</f>
      </c>
      <c r="F162" s="17" t="s">
        <v>17</v>
      </c>
      <c r="G162" s="17" t="s">
        <v>18</v>
      </c>
      <c r="H162" s="18">
        <f>ROUND(RAND()*4+6,1)</f>
      </c>
      <c r="I162" s="17" t="s">
        <v>19</v>
      </c>
      <c r="J162" s="19">
        <f>ROUND(79*1,0)&amp;"%"</f>
      </c>
    </row>
    <row x14ac:dyDescent="0.25" r="163" customHeight="1" ht="17.25">
      <c r="A163" s="20" t="s">
        <v>6935</v>
      </c>
      <c r="B163" s="20" t="s">
        <v>280</v>
      </c>
      <c r="C163" s="20" t="s">
        <v>152</v>
      </c>
      <c r="D163" s="20" t="s">
        <v>22</v>
      </c>
      <c r="E163" s="21">
        <f>ROUND(10868*1.05,2)</f>
      </c>
      <c r="F163" s="20" t="s">
        <v>23</v>
      </c>
      <c r="G163" s="20" t="s">
        <v>24</v>
      </c>
      <c r="H163" s="21">
        <f>ROUND(RAND()*4+6,1)</f>
      </c>
      <c r="I163" s="20" t="s">
        <v>25</v>
      </c>
      <c r="J163" s="23">
        <f>ROUND(94*1,0)&amp;"%"</f>
      </c>
    </row>
    <row x14ac:dyDescent="0.25" r="164" customHeight="1" ht="17.25">
      <c r="A164" s="17" t="s">
        <v>6936</v>
      </c>
      <c r="B164" s="17" t="s">
        <v>282</v>
      </c>
      <c r="C164" s="17" t="s">
        <v>152</v>
      </c>
      <c r="D164" s="17" t="s">
        <v>28</v>
      </c>
      <c r="E164" s="18">
        <f>ROUND(10014*1.05,2)</f>
      </c>
      <c r="F164" s="17" t="s">
        <v>29</v>
      </c>
      <c r="G164" s="17" t="s">
        <v>30</v>
      </c>
      <c r="H164" s="18">
        <f>ROUND(RAND()*4+6,1)</f>
      </c>
      <c r="I164" s="17" t="s">
        <v>31</v>
      </c>
      <c r="J164" s="19">
        <f>ROUND(73*1,0)&amp;"%"</f>
      </c>
    </row>
    <row x14ac:dyDescent="0.25" r="165" customHeight="1" ht="17.25">
      <c r="A165" s="20" t="s">
        <v>6937</v>
      </c>
      <c r="B165" s="20" t="s">
        <v>284</v>
      </c>
      <c r="C165" s="20" t="s">
        <v>152</v>
      </c>
      <c r="D165" s="20" t="s">
        <v>34</v>
      </c>
      <c r="E165" s="21">
        <f>ROUND(17326*1.05,2)</f>
      </c>
      <c r="F165" s="20" t="s">
        <v>35</v>
      </c>
      <c r="G165" s="20" t="s">
        <v>18</v>
      </c>
      <c r="H165" s="21">
        <f>ROUND(RAND()*4+6,1)</f>
      </c>
      <c r="I165" s="20" t="s">
        <v>36</v>
      </c>
      <c r="J165" s="23">
        <f>ROUND(76*1,0)&amp;"%"</f>
      </c>
    </row>
    <row x14ac:dyDescent="0.25" r="166" customHeight="1" ht="17.25">
      <c r="A166" s="17" t="s">
        <v>6938</v>
      </c>
      <c r="B166" s="17" t="s">
        <v>286</v>
      </c>
      <c r="C166" s="17" t="s">
        <v>152</v>
      </c>
      <c r="D166" s="17" t="s">
        <v>39</v>
      </c>
      <c r="E166" s="18">
        <f>ROUND(8825*1.05,2)</f>
      </c>
      <c r="F166" s="17" t="s">
        <v>40</v>
      </c>
      <c r="G166" s="17" t="s">
        <v>24</v>
      </c>
      <c r="H166" s="26">
        <f>ROUND(RAND()*4+6,1)</f>
      </c>
      <c r="I166" s="17" t="s">
        <v>41</v>
      </c>
      <c r="J166" s="19">
        <f>ROUND(60*1,0)&amp;"%"</f>
      </c>
    </row>
    <row x14ac:dyDescent="0.25" r="167" customHeight="1" ht="17.25">
      <c r="A167" s="20" t="s">
        <v>6939</v>
      </c>
      <c r="B167" s="20" t="s">
        <v>288</v>
      </c>
      <c r="C167" s="20" t="s">
        <v>152</v>
      </c>
      <c r="D167" s="20" t="s">
        <v>67</v>
      </c>
      <c r="E167" s="21">
        <f>ROUND(9864*1.05,2)</f>
      </c>
      <c r="F167" s="20" t="s">
        <v>44</v>
      </c>
      <c r="G167" s="20" t="s">
        <v>30</v>
      </c>
      <c r="H167" s="21">
        <f>ROUND(RAND()*4+6,1)</f>
      </c>
      <c r="I167" s="20" t="s">
        <v>45</v>
      </c>
      <c r="J167" s="23">
        <f>ROUND(62*1,0)&amp;"%"</f>
      </c>
    </row>
    <row x14ac:dyDescent="0.25" r="168" customHeight="1" ht="17.25">
      <c r="A168" s="17" t="s">
        <v>6940</v>
      </c>
      <c r="B168" s="17" t="s">
        <v>290</v>
      </c>
      <c r="C168" s="17" t="s">
        <v>152</v>
      </c>
      <c r="D168" s="17" t="s">
        <v>16</v>
      </c>
      <c r="E168" s="18">
        <f>ROUND(10584*1.05,2)</f>
      </c>
      <c r="F168" s="17" t="s">
        <v>48</v>
      </c>
      <c r="G168" s="17" t="s">
        <v>18</v>
      </c>
      <c r="H168" s="18">
        <f>ROUND(RAND()*4+6,1)</f>
      </c>
      <c r="I168" s="17" t="s">
        <v>19</v>
      </c>
      <c r="J168" s="19">
        <f>ROUND(63*1,0)&amp;"%"</f>
      </c>
    </row>
    <row x14ac:dyDescent="0.25" r="169" customHeight="1" ht="17.25">
      <c r="A169" s="20" t="s">
        <v>6941</v>
      </c>
      <c r="B169" s="20" t="s">
        <v>292</v>
      </c>
      <c r="C169" s="20" t="s">
        <v>152</v>
      </c>
      <c r="D169" s="20" t="s">
        <v>22</v>
      </c>
      <c r="E169" s="21">
        <f>ROUND(9046*1.05,2)</f>
      </c>
      <c r="F169" s="20" t="s">
        <v>51</v>
      </c>
      <c r="G169" s="20" t="s">
        <v>24</v>
      </c>
      <c r="H169" s="21">
        <f>ROUND(RAND()*4+6,1)</f>
      </c>
      <c r="I169" s="20" t="s">
        <v>25</v>
      </c>
      <c r="J169" s="23">
        <f>ROUND(77*1,0)&amp;"%"</f>
      </c>
    </row>
    <row x14ac:dyDescent="0.25" r="170" customHeight="1" ht="17.25">
      <c r="A170" s="24" t="s">
        <v>293</v>
      </c>
      <c r="B170" s="24"/>
      <c r="C170" s="24"/>
      <c r="D170" s="24"/>
      <c r="E170" s="25">
        <v>8</v>
      </c>
      <c r="F170" s="9"/>
      <c r="G170" s="9"/>
      <c r="H170" s="31"/>
      <c r="I170" s="9"/>
      <c r="J170" s="9"/>
    </row>
    <row x14ac:dyDescent="0.25" r="171" customHeight="1" ht="17.25">
      <c r="A171" s="7"/>
      <c r="B171" s="7"/>
      <c r="C171" s="7"/>
      <c r="D171" s="7"/>
      <c r="E171" s="8"/>
      <c r="F171" s="9"/>
      <c r="G171" s="9"/>
      <c r="H171" s="31"/>
      <c r="I171" s="9"/>
      <c r="J171" s="9"/>
    </row>
    <row x14ac:dyDescent="0.25" r="172" customHeight="1" ht="17.25">
      <c r="A172" s="11" t="s">
        <v>6942</v>
      </c>
      <c r="B172" s="11"/>
      <c r="C172" s="11"/>
      <c r="D172" s="11"/>
      <c r="E172" s="12"/>
      <c r="F172" s="11"/>
      <c r="G172" s="11"/>
      <c r="H172" s="12"/>
      <c r="I172" s="11"/>
      <c r="J172" s="11"/>
    </row>
    <row x14ac:dyDescent="0.25" r="173" customHeight="1" ht="17.25">
      <c r="A173" s="14" t="s">
        <v>3</v>
      </c>
      <c r="B173" s="14" t="s">
        <v>4</v>
      </c>
      <c r="C173" s="14" t="s">
        <v>5</v>
      </c>
      <c r="D173" s="14" t="s">
        <v>6</v>
      </c>
      <c r="E173" s="15" t="s">
        <v>7</v>
      </c>
      <c r="F173" s="14" t="s">
        <v>8</v>
      </c>
      <c r="G173" s="14" t="s">
        <v>9</v>
      </c>
      <c r="H173" s="15" t="s">
        <v>10</v>
      </c>
      <c r="I173" s="14" t="s">
        <v>11</v>
      </c>
      <c r="J173" s="14" t="s">
        <v>12</v>
      </c>
    </row>
    <row x14ac:dyDescent="0.25" r="174" customHeight="1" ht="17.25">
      <c r="A174" s="17" t="s">
        <v>6943</v>
      </c>
      <c r="B174" s="17" t="s">
        <v>296</v>
      </c>
      <c r="C174" s="17" t="s">
        <v>15</v>
      </c>
      <c r="D174" s="17" t="s">
        <v>16</v>
      </c>
      <c r="E174" s="18">
        <f>ROUND(14658*1.05,2)</f>
      </c>
      <c r="F174" s="17" t="s">
        <v>17</v>
      </c>
      <c r="G174" s="17" t="s">
        <v>18</v>
      </c>
      <c r="H174" s="18">
        <f>ROUND(RAND()*4+6,1)</f>
      </c>
      <c r="I174" s="17" t="s">
        <v>19</v>
      </c>
      <c r="J174" s="19">
        <f>ROUND(83*1,0)&amp;"%"</f>
      </c>
    </row>
    <row x14ac:dyDescent="0.25" r="175" customHeight="1" ht="17.25">
      <c r="A175" s="20" t="s">
        <v>6944</v>
      </c>
      <c r="B175" s="20" t="s">
        <v>298</v>
      </c>
      <c r="C175" s="20" t="s">
        <v>15</v>
      </c>
      <c r="D175" s="20" t="s">
        <v>22</v>
      </c>
      <c r="E175" s="21">
        <f>ROUND(17494*1.05,2)</f>
      </c>
      <c r="F175" s="20" t="s">
        <v>23</v>
      </c>
      <c r="G175" s="20" t="s">
        <v>24</v>
      </c>
      <c r="H175" s="22">
        <f>ROUND(RAND()*4+6,1)</f>
      </c>
      <c r="I175" s="20" t="s">
        <v>25</v>
      </c>
      <c r="J175" s="23">
        <f>ROUND(95*1,0)&amp;"%"</f>
      </c>
    </row>
    <row x14ac:dyDescent="0.25" r="176" customHeight="1" ht="17.25">
      <c r="A176" s="17" t="s">
        <v>6945</v>
      </c>
      <c r="B176" s="17" t="s">
        <v>300</v>
      </c>
      <c r="C176" s="17" t="s">
        <v>15</v>
      </c>
      <c r="D176" s="17" t="s">
        <v>28</v>
      </c>
      <c r="E176" s="18">
        <f>ROUND(7235*1.05,2)</f>
      </c>
      <c r="F176" s="17" t="s">
        <v>29</v>
      </c>
      <c r="G176" s="17" t="s">
        <v>30</v>
      </c>
      <c r="H176" s="18">
        <f>ROUND(RAND()*4+6,1)</f>
      </c>
      <c r="I176" s="17" t="s">
        <v>31</v>
      </c>
      <c r="J176" s="19">
        <f>ROUND(96*1,0)&amp;"%"</f>
      </c>
    </row>
    <row x14ac:dyDescent="0.25" r="177" customHeight="1" ht="17.25">
      <c r="A177" s="20" t="s">
        <v>6946</v>
      </c>
      <c r="B177" s="20" t="s">
        <v>302</v>
      </c>
      <c r="C177" s="20" t="s">
        <v>15</v>
      </c>
      <c r="D177" s="20" t="s">
        <v>34</v>
      </c>
      <c r="E177" s="21">
        <f>ROUND(10174*1.05,2)</f>
      </c>
      <c r="F177" s="20" t="s">
        <v>35</v>
      </c>
      <c r="G177" s="20" t="s">
        <v>18</v>
      </c>
      <c r="H177" s="21">
        <f>ROUND(RAND()*4+6,1)</f>
      </c>
      <c r="I177" s="20" t="s">
        <v>36</v>
      </c>
      <c r="J177" s="23">
        <f>ROUND(98*1,0)&amp;"%"</f>
      </c>
    </row>
    <row x14ac:dyDescent="0.25" r="178" customHeight="1" ht="17.25">
      <c r="A178" s="17" t="s">
        <v>6947</v>
      </c>
      <c r="B178" s="17" t="s">
        <v>304</v>
      </c>
      <c r="C178" s="17" t="s">
        <v>15</v>
      </c>
      <c r="D178" s="17" t="s">
        <v>39</v>
      </c>
      <c r="E178" s="18">
        <f>ROUND(12796*1.05,2)</f>
      </c>
      <c r="F178" s="17" t="s">
        <v>40</v>
      </c>
      <c r="G178" s="17" t="s">
        <v>24</v>
      </c>
      <c r="H178" s="18">
        <f>ROUND(RAND()*4+6,1)</f>
      </c>
      <c r="I178" s="17" t="s">
        <v>41</v>
      </c>
      <c r="J178" s="19">
        <f>ROUND(74*1,0)&amp;"%"</f>
      </c>
    </row>
    <row x14ac:dyDescent="0.25" r="179" customHeight="1" ht="17.25">
      <c r="A179" s="20" t="s">
        <v>6948</v>
      </c>
      <c r="B179" s="20" t="s">
        <v>306</v>
      </c>
      <c r="C179" s="20" t="s">
        <v>15</v>
      </c>
      <c r="D179" s="20" t="s">
        <v>67</v>
      </c>
      <c r="E179" s="21">
        <f>ROUND(8407*1.05,2)</f>
      </c>
      <c r="F179" s="20" t="s">
        <v>44</v>
      </c>
      <c r="G179" s="20" t="s">
        <v>30</v>
      </c>
      <c r="H179" s="21">
        <f>ROUND(RAND()*4+6,1)</f>
      </c>
      <c r="I179" s="20" t="s">
        <v>45</v>
      </c>
      <c r="J179" s="23">
        <f>ROUND(67*1,0)&amp;"%"</f>
      </c>
    </row>
    <row x14ac:dyDescent="0.25" r="180" customHeight="1" ht="17.25">
      <c r="A180" s="17" t="s">
        <v>6949</v>
      </c>
      <c r="B180" s="17" t="s">
        <v>308</v>
      </c>
      <c r="C180" s="17" t="s">
        <v>15</v>
      </c>
      <c r="D180" s="17" t="s">
        <v>16</v>
      </c>
      <c r="E180" s="18">
        <f>ROUND(14036*1.05,2)</f>
      </c>
      <c r="F180" s="17" t="s">
        <v>48</v>
      </c>
      <c r="G180" s="17" t="s">
        <v>18</v>
      </c>
      <c r="H180" s="18">
        <f>ROUND(RAND()*4+6,1)</f>
      </c>
      <c r="I180" s="17" t="s">
        <v>19</v>
      </c>
      <c r="J180" s="19">
        <f>ROUND(70*1,0)&amp;"%"</f>
      </c>
    </row>
    <row x14ac:dyDescent="0.25" r="181" customHeight="1" ht="17.25">
      <c r="A181" s="20" t="s">
        <v>6950</v>
      </c>
      <c r="B181" s="20" t="s">
        <v>310</v>
      </c>
      <c r="C181" s="20" t="s">
        <v>15</v>
      </c>
      <c r="D181" s="20" t="s">
        <v>22</v>
      </c>
      <c r="E181" s="21">
        <f>ROUND(16571*1.05,2)</f>
      </c>
      <c r="F181" s="20" t="s">
        <v>51</v>
      </c>
      <c r="G181" s="20" t="s">
        <v>24</v>
      </c>
      <c r="H181" s="21">
        <f>ROUND(RAND()*4+6,1)</f>
      </c>
      <c r="I181" s="20" t="s">
        <v>25</v>
      </c>
      <c r="J181" s="23">
        <f>ROUND(85*1,0)&amp;"%"</f>
      </c>
    </row>
    <row x14ac:dyDescent="0.25" r="182" customHeight="1" ht="17.25">
      <c r="A182" s="24" t="s">
        <v>311</v>
      </c>
      <c r="B182" s="24"/>
      <c r="C182" s="24"/>
      <c r="D182" s="24"/>
      <c r="E182" s="25">
        <v>8</v>
      </c>
      <c r="F182" s="9"/>
      <c r="G182" s="9"/>
      <c r="H182" s="31"/>
      <c r="I182" s="9"/>
      <c r="J182" s="9"/>
    </row>
    <row x14ac:dyDescent="0.25" r="183" customHeight="1" ht="17.25">
      <c r="A183" s="7"/>
      <c r="B183" s="7"/>
      <c r="C183" s="7"/>
      <c r="D183" s="7"/>
      <c r="E183" s="8"/>
      <c r="F183" s="9"/>
      <c r="G183" s="9"/>
      <c r="H183" s="31"/>
      <c r="I183" s="9"/>
      <c r="J183" s="9"/>
    </row>
    <row x14ac:dyDescent="0.25" r="184" customHeight="1" ht="17.25">
      <c r="A184" s="11" t="s">
        <v>6951</v>
      </c>
      <c r="B184" s="11"/>
      <c r="C184" s="11"/>
      <c r="D184" s="11"/>
      <c r="E184" s="12"/>
      <c r="F184" s="11"/>
      <c r="G184" s="11"/>
      <c r="H184" s="12"/>
      <c r="I184" s="11"/>
      <c r="J184" s="11"/>
    </row>
    <row x14ac:dyDescent="0.25" r="185" customHeight="1" ht="17.25">
      <c r="A185" s="14" t="s">
        <v>3</v>
      </c>
      <c r="B185" s="14" t="s">
        <v>4</v>
      </c>
      <c r="C185" s="14" t="s">
        <v>5</v>
      </c>
      <c r="D185" s="14" t="s">
        <v>6</v>
      </c>
      <c r="E185" s="15" t="s">
        <v>7</v>
      </c>
      <c r="F185" s="14" t="s">
        <v>8</v>
      </c>
      <c r="G185" s="14" t="s">
        <v>9</v>
      </c>
      <c r="H185" s="15" t="s">
        <v>10</v>
      </c>
      <c r="I185" s="14" t="s">
        <v>11</v>
      </c>
      <c r="J185" s="14" t="s">
        <v>12</v>
      </c>
    </row>
    <row x14ac:dyDescent="0.25" r="186" customHeight="1" ht="17.25">
      <c r="A186" s="17" t="s">
        <v>6952</v>
      </c>
      <c r="B186" s="17" t="s">
        <v>314</v>
      </c>
      <c r="C186" s="17" t="s">
        <v>56</v>
      </c>
      <c r="D186" s="17" t="s">
        <v>16</v>
      </c>
      <c r="E186" s="18">
        <f>ROUND(11949*1.05,2)</f>
      </c>
      <c r="F186" s="17" t="s">
        <v>17</v>
      </c>
      <c r="G186" s="17" t="s">
        <v>18</v>
      </c>
      <c r="H186" s="18">
        <f>ROUND(RAND()*4+6,1)</f>
      </c>
      <c r="I186" s="17" t="s">
        <v>19</v>
      </c>
      <c r="J186" s="19">
        <f>ROUND(76*1,0)&amp;"%"</f>
      </c>
    </row>
    <row x14ac:dyDescent="0.25" r="187" customHeight="1" ht="17.25">
      <c r="A187" s="20" t="s">
        <v>6953</v>
      </c>
      <c r="B187" s="20" t="s">
        <v>316</v>
      </c>
      <c r="C187" s="20" t="s">
        <v>56</v>
      </c>
      <c r="D187" s="20" t="s">
        <v>22</v>
      </c>
      <c r="E187" s="21">
        <f>ROUND(17813*1.05,2)</f>
      </c>
      <c r="F187" s="20" t="s">
        <v>23</v>
      </c>
      <c r="G187" s="20" t="s">
        <v>24</v>
      </c>
      <c r="H187" s="21">
        <f>ROUND(RAND()*4+6,1)</f>
      </c>
      <c r="I187" s="20" t="s">
        <v>25</v>
      </c>
      <c r="J187" s="23">
        <f>ROUND(81*1,0)&amp;"%"</f>
      </c>
    </row>
    <row x14ac:dyDescent="0.25" r="188" customHeight="1" ht="17.25">
      <c r="A188" s="17" t="s">
        <v>6954</v>
      </c>
      <c r="B188" s="17" t="s">
        <v>318</v>
      </c>
      <c r="C188" s="17" t="s">
        <v>56</v>
      </c>
      <c r="D188" s="17" t="s">
        <v>28</v>
      </c>
      <c r="E188" s="18">
        <f>ROUND(9647*1.05,2)</f>
      </c>
      <c r="F188" s="17" t="s">
        <v>29</v>
      </c>
      <c r="G188" s="17" t="s">
        <v>30</v>
      </c>
      <c r="H188" s="18">
        <f>ROUND(RAND()*4+6,1)</f>
      </c>
      <c r="I188" s="17" t="s">
        <v>31</v>
      </c>
      <c r="J188" s="19">
        <f>ROUND(100*1,0)&amp;"%"</f>
      </c>
    </row>
    <row x14ac:dyDescent="0.25" r="189" customHeight="1" ht="17.25">
      <c r="A189" s="20" t="s">
        <v>6955</v>
      </c>
      <c r="B189" s="20" t="s">
        <v>320</v>
      </c>
      <c r="C189" s="20" t="s">
        <v>56</v>
      </c>
      <c r="D189" s="20" t="s">
        <v>34</v>
      </c>
      <c r="E189" s="21">
        <f>ROUND(4528*1.05,2)</f>
      </c>
      <c r="F189" s="20" t="s">
        <v>35</v>
      </c>
      <c r="G189" s="20" t="s">
        <v>18</v>
      </c>
      <c r="H189" s="21">
        <f>ROUND(RAND()*4+6,1)</f>
      </c>
      <c r="I189" s="20" t="s">
        <v>36</v>
      </c>
      <c r="J189" s="23">
        <f>ROUND(76*1,0)&amp;"%"</f>
      </c>
    </row>
    <row x14ac:dyDescent="0.25" r="190" customHeight="1" ht="17.25">
      <c r="A190" s="17" t="s">
        <v>6956</v>
      </c>
      <c r="B190" s="17" t="s">
        <v>322</v>
      </c>
      <c r="C190" s="17" t="s">
        <v>56</v>
      </c>
      <c r="D190" s="17" t="s">
        <v>39</v>
      </c>
      <c r="E190" s="18">
        <f>ROUND(15338*1.05,2)</f>
      </c>
      <c r="F190" s="17" t="s">
        <v>40</v>
      </c>
      <c r="G190" s="17" t="s">
        <v>24</v>
      </c>
      <c r="H190" s="18">
        <f>ROUND(RAND()*4+6,1)</f>
      </c>
      <c r="I190" s="17" t="s">
        <v>41</v>
      </c>
      <c r="J190" s="19">
        <f>ROUND(96*1,0)&amp;"%"</f>
      </c>
    </row>
    <row x14ac:dyDescent="0.25" r="191" customHeight="1" ht="17.25">
      <c r="A191" s="20" t="s">
        <v>6957</v>
      </c>
      <c r="B191" s="20" t="s">
        <v>324</v>
      </c>
      <c r="C191" s="20" t="s">
        <v>56</v>
      </c>
      <c r="D191" s="20" t="s">
        <v>67</v>
      </c>
      <c r="E191" s="21">
        <f>ROUND(11071*1.05,2)</f>
      </c>
      <c r="F191" s="20" t="s">
        <v>44</v>
      </c>
      <c r="G191" s="20" t="s">
        <v>30</v>
      </c>
      <c r="H191" s="21">
        <f>ROUND(RAND()*4+6,1)</f>
      </c>
      <c r="I191" s="20" t="s">
        <v>45</v>
      </c>
      <c r="J191" s="23">
        <f>ROUND(86*1,0)&amp;"%"</f>
      </c>
    </row>
    <row x14ac:dyDescent="0.25" r="192" customHeight="1" ht="17.25">
      <c r="A192" s="17" t="s">
        <v>6958</v>
      </c>
      <c r="B192" s="17" t="s">
        <v>326</v>
      </c>
      <c r="C192" s="17" t="s">
        <v>56</v>
      </c>
      <c r="D192" s="17" t="s">
        <v>16</v>
      </c>
      <c r="E192" s="18">
        <f>ROUND(15311*1.05,2)</f>
      </c>
      <c r="F192" s="17" t="s">
        <v>48</v>
      </c>
      <c r="G192" s="17" t="s">
        <v>18</v>
      </c>
      <c r="H192" s="18">
        <f>ROUND(RAND()*4+6,1)</f>
      </c>
      <c r="I192" s="17" t="s">
        <v>19</v>
      </c>
      <c r="J192" s="19">
        <f>ROUND(98*1,0)&amp;"%"</f>
      </c>
    </row>
    <row x14ac:dyDescent="0.25" r="193" customHeight="1" ht="17.25">
      <c r="A193" s="20" t="s">
        <v>6959</v>
      </c>
      <c r="B193" s="20" t="s">
        <v>328</v>
      </c>
      <c r="C193" s="20" t="s">
        <v>56</v>
      </c>
      <c r="D193" s="20" t="s">
        <v>22</v>
      </c>
      <c r="E193" s="21">
        <f>ROUND(14433*1.05,2)</f>
      </c>
      <c r="F193" s="20" t="s">
        <v>51</v>
      </c>
      <c r="G193" s="20" t="s">
        <v>24</v>
      </c>
      <c r="H193" s="22">
        <f>ROUND(RAND()*4+6,1)</f>
      </c>
      <c r="I193" s="20" t="s">
        <v>25</v>
      </c>
      <c r="J193" s="23">
        <f>ROUND(80*1,0)&amp;"%"</f>
      </c>
    </row>
    <row x14ac:dyDescent="0.25" r="194" customHeight="1" ht="17.25">
      <c r="A194" s="24" t="s">
        <v>329</v>
      </c>
      <c r="B194" s="24"/>
      <c r="C194" s="24"/>
      <c r="D194" s="24"/>
      <c r="E194" s="25">
        <v>8</v>
      </c>
      <c r="F194" s="9"/>
      <c r="G194" s="9"/>
      <c r="H194" s="31"/>
      <c r="I194" s="9"/>
      <c r="J194" s="9"/>
    </row>
    <row x14ac:dyDescent="0.25" r="195" customHeight="1" ht="17.25">
      <c r="A195" s="7"/>
      <c r="B195" s="7"/>
      <c r="C195" s="7"/>
      <c r="D195" s="7"/>
      <c r="E195" s="8"/>
      <c r="F195" s="9"/>
      <c r="G195" s="9"/>
      <c r="H195" s="31"/>
      <c r="I195" s="9"/>
      <c r="J195" s="9"/>
    </row>
    <row x14ac:dyDescent="0.25" r="196" customHeight="1" ht="17.25">
      <c r="A196" s="11" t="s">
        <v>6960</v>
      </c>
      <c r="B196" s="11"/>
      <c r="C196" s="11"/>
      <c r="D196" s="11"/>
      <c r="E196" s="12"/>
      <c r="F196" s="11"/>
      <c r="G196" s="11"/>
      <c r="H196" s="12"/>
      <c r="I196" s="11"/>
      <c r="J196" s="11"/>
    </row>
    <row x14ac:dyDescent="0.25" r="197" customHeight="1" ht="17.25">
      <c r="A197" s="14" t="s">
        <v>3</v>
      </c>
      <c r="B197" s="14" t="s">
        <v>4</v>
      </c>
      <c r="C197" s="14" t="s">
        <v>5</v>
      </c>
      <c r="D197" s="14" t="s">
        <v>6</v>
      </c>
      <c r="E197" s="15" t="s">
        <v>7</v>
      </c>
      <c r="F197" s="14" t="s">
        <v>8</v>
      </c>
      <c r="G197" s="14" t="s">
        <v>9</v>
      </c>
      <c r="H197" s="15" t="s">
        <v>10</v>
      </c>
      <c r="I197" s="14" t="s">
        <v>11</v>
      </c>
      <c r="J197" s="14" t="s">
        <v>12</v>
      </c>
    </row>
    <row x14ac:dyDescent="0.25" r="198" customHeight="1" ht="17.25">
      <c r="A198" s="17" t="s">
        <v>6961</v>
      </c>
      <c r="B198" s="17" t="s">
        <v>332</v>
      </c>
      <c r="C198" s="17" t="s">
        <v>76</v>
      </c>
      <c r="D198" s="17" t="s">
        <v>16</v>
      </c>
      <c r="E198" s="18">
        <f>ROUND(6319*1.05,2)</f>
      </c>
      <c r="F198" s="17" t="s">
        <v>17</v>
      </c>
      <c r="G198" s="17" t="s">
        <v>18</v>
      </c>
      <c r="H198" s="18">
        <f>ROUND(RAND()*4+6,1)</f>
      </c>
      <c r="I198" s="17" t="s">
        <v>19</v>
      </c>
      <c r="J198" s="19">
        <f>ROUND(63*1,0)&amp;"%"</f>
      </c>
    </row>
    <row x14ac:dyDescent="0.25" r="199" customHeight="1" ht="17.25">
      <c r="A199" s="20" t="s">
        <v>6962</v>
      </c>
      <c r="B199" s="20" t="s">
        <v>334</v>
      </c>
      <c r="C199" s="20" t="s">
        <v>76</v>
      </c>
      <c r="D199" s="20" t="s">
        <v>22</v>
      </c>
      <c r="E199" s="21">
        <f>ROUND(15513*1.05,2)</f>
      </c>
      <c r="F199" s="20" t="s">
        <v>23</v>
      </c>
      <c r="G199" s="20" t="s">
        <v>24</v>
      </c>
      <c r="H199" s="21">
        <f>ROUND(RAND()*4+6,1)</f>
      </c>
      <c r="I199" s="20" t="s">
        <v>25</v>
      </c>
      <c r="J199" s="23">
        <f>ROUND(83*1,0)&amp;"%"</f>
      </c>
    </row>
    <row x14ac:dyDescent="0.25" r="200" customHeight="1" ht="17.25">
      <c r="A200" s="17" t="s">
        <v>6963</v>
      </c>
      <c r="B200" s="17" t="s">
        <v>336</v>
      </c>
      <c r="C200" s="17" t="s">
        <v>76</v>
      </c>
      <c r="D200" s="17" t="s">
        <v>28</v>
      </c>
      <c r="E200" s="18">
        <f>ROUND(8863*1.05,2)</f>
      </c>
      <c r="F200" s="17" t="s">
        <v>29</v>
      </c>
      <c r="G200" s="17" t="s">
        <v>30</v>
      </c>
      <c r="H200" s="18">
        <f>ROUND(RAND()*4+6,1)</f>
      </c>
      <c r="I200" s="17" t="s">
        <v>31</v>
      </c>
      <c r="J200" s="19">
        <f>ROUND(99*1,0)&amp;"%"</f>
      </c>
    </row>
    <row x14ac:dyDescent="0.25" r="201" customHeight="1" ht="17.25">
      <c r="A201" s="20" t="s">
        <v>6964</v>
      </c>
      <c r="B201" s="20" t="s">
        <v>338</v>
      </c>
      <c r="C201" s="20" t="s">
        <v>76</v>
      </c>
      <c r="D201" s="20" t="s">
        <v>34</v>
      </c>
      <c r="E201" s="22">
        <f>ROUND(9580*1.05,2)</f>
      </c>
      <c r="F201" s="20" t="s">
        <v>35</v>
      </c>
      <c r="G201" s="20" t="s">
        <v>18</v>
      </c>
      <c r="H201" s="21">
        <f>ROUND(RAND()*4+6,1)</f>
      </c>
      <c r="I201" s="20" t="s">
        <v>36</v>
      </c>
      <c r="J201" s="23">
        <f>ROUND(100*1,0)&amp;"%"</f>
      </c>
    </row>
    <row x14ac:dyDescent="0.25" r="202" customHeight="1" ht="17.25">
      <c r="A202" s="17" t="s">
        <v>6965</v>
      </c>
      <c r="B202" s="17" t="s">
        <v>340</v>
      </c>
      <c r="C202" s="17" t="s">
        <v>76</v>
      </c>
      <c r="D202" s="17" t="s">
        <v>39</v>
      </c>
      <c r="E202" s="18">
        <f>ROUND(15373*1.05,2)</f>
      </c>
      <c r="F202" s="17" t="s">
        <v>40</v>
      </c>
      <c r="G202" s="17" t="s">
        <v>24</v>
      </c>
      <c r="H202" s="18">
        <f>ROUND(RAND()*4+6,1)</f>
      </c>
      <c r="I202" s="17" t="s">
        <v>41</v>
      </c>
      <c r="J202" s="19">
        <f>ROUND(76*1,0)&amp;"%"</f>
      </c>
    </row>
    <row x14ac:dyDescent="0.25" r="203" customHeight="1" ht="17.25">
      <c r="A203" s="20" t="s">
        <v>6966</v>
      </c>
      <c r="B203" s="20" t="s">
        <v>342</v>
      </c>
      <c r="C203" s="20" t="s">
        <v>76</v>
      </c>
      <c r="D203" s="20" t="s">
        <v>67</v>
      </c>
      <c r="E203" s="21">
        <f>ROUND(7389*1.05,2)</f>
      </c>
      <c r="F203" s="20" t="s">
        <v>44</v>
      </c>
      <c r="G203" s="20" t="s">
        <v>30</v>
      </c>
      <c r="H203" s="21">
        <f>ROUND(RAND()*4+6,1)</f>
      </c>
      <c r="I203" s="20" t="s">
        <v>45</v>
      </c>
      <c r="J203" s="23">
        <f>ROUND(94*1,0)&amp;"%"</f>
      </c>
    </row>
    <row x14ac:dyDescent="0.25" r="204" customHeight="1" ht="17.25">
      <c r="A204" s="17" t="s">
        <v>6967</v>
      </c>
      <c r="B204" s="17" t="s">
        <v>344</v>
      </c>
      <c r="C204" s="17" t="s">
        <v>76</v>
      </c>
      <c r="D204" s="17" t="s">
        <v>16</v>
      </c>
      <c r="E204" s="18">
        <f>ROUND(16750*1.05,2)</f>
      </c>
      <c r="F204" s="17" t="s">
        <v>48</v>
      </c>
      <c r="G204" s="17" t="s">
        <v>18</v>
      </c>
      <c r="H204" s="18">
        <f>ROUND(RAND()*4+6,1)</f>
      </c>
      <c r="I204" s="17" t="s">
        <v>19</v>
      </c>
      <c r="J204" s="19">
        <f>ROUND(73*1,0)&amp;"%"</f>
      </c>
    </row>
    <row x14ac:dyDescent="0.25" r="205" customHeight="1" ht="17.25">
      <c r="A205" s="20" t="s">
        <v>6968</v>
      </c>
      <c r="B205" s="20" t="s">
        <v>346</v>
      </c>
      <c r="C205" s="20" t="s">
        <v>76</v>
      </c>
      <c r="D205" s="20" t="s">
        <v>22</v>
      </c>
      <c r="E205" s="21">
        <f>ROUND(7252*1.05,2)</f>
      </c>
      <c r="F205" s="20" t="s">
        <v>51</v>
      </c>
      <c r="G205" s="20" t="s">
        <v>24</v>
      </c>
      <c r="H205" s="21">
        <f>ROUND(RAND()*4+6,1)</f>
      </c>
      <c r="I205" s="20" t="s">
        <v>25</v>
      </c>
      <c r="J205" s="23">
        <f>ROUND(66*1,0)&amp;"%"</f>
      </c>
    </row>
    <row x14ac:dyDescent="0.25" r="206" customHeight="1" ht="17.25">
      <c r="A206" s="24" t="s">
        <v>347</v>
      </c>
      <c r="B206" s="24"/>
      <c r="C206" s="24"/>
      <c r="D206" s="24"/>
      <c r="E206" s="25">
        <v>8</v>
      </c>
      <c r="F206" s="9"/>
      <c r="G206" s="9"/>
      <c r="H206" s="31"/>
      <c r="I206" s="9"/>
      <c r="J206" s="9"/>
    </row>
    <row x14ac:dyDescent="0.25" r="207" customHeight="1" ht="17.25">
      <c r="A207" s="7"/>
      <c r="B207" s="7"/>
      <c r="C207" s="7"/>
      <c r="D207" s="7"/>
      <c r="E207" s="8"/>
      <c r="F207" s="9"/>
      <c r="G207" s="9"/>
      <c r="H207" s="31"/>
      <c r="I207" s="9"/>
      <c r="J207" s="9"/>
    </row>
    <row x14ac:dyDescent="0.25" r="208" customHeight="1" ht="17.25">
      <c r="A208" s="11" t="s">
        <v>6969</v>
      </c>
      <c r="B208" s="11"/>
      <c r="C208" s="11"/>
      <c r="D208" s="11"/>
      <c r="E208" s="12"/>
      <c r="F208" s="11"/>
      <c r="G208" s="11"/>
      <c r="H208" s="12"/>
      <c r="I208" s="11"/>
      <c r="J208" s="11"/>
    </row>
    <row x14ac:dyDescent="0.25" r="209" customHeight="1" ht="17.25">
      <c r="A209" s="14" t="s">
        <v>3</v>
      </c>
      <c r="B209" s="14" t="s">
        <v>4</v>
      </c>
      <c r="C209" s="14" t="s">
        <v>5</v>
      </c>
      <c r="D209" s="14" t="s">
        <v>6</v>
      </c>
      <c r="E209" s="15" t="s">
        <v>7</v>
      </c>
      <c r="F209" s="14" t="s">
        <v>8</v>
      </c>
      <c r="G209" s="14" t="s">
        <v>9</v>
      </c>
      <c r="H209" s="15" t="s">
        <v>10</v>
      </c>
      <c r="I209" s="14" t="s">
        <v>11</v>
      </c>
      <c r="J209" s="14" t="s">
        <v>12</v>
      </c>
    </row>
    <row x14ac:dyDescent="0.25" r="210" customHeight="1" ht="17.25">
      <c r="A210" s="17" t="s">
        <v>6970</v>
      </c>
      <c r="B210" s="17" t="s">
        <v>350</v>
      </c>
      <c r="C210" s="17" t="s">
        <v>95</v>
      </c>
      <c r="D210" s="17" t="s">
        <v>16</v>
      </c>
      <c r="E210" s="18">
        <f>ROUND(17507*1.05,2)</f>
      </c>
      <c r="F210" s="17" t="s">
        <v>17</v>
      </c>
      <c r="G210" s="17" t="s">
        <v>18</v>
      </c>
      <c r="H210" s="18">
        <f>ROUND(RAND()*4+6,1)</f>
      </c>
      <c r="I210" s="17" t="s">
        <v>19</v>
      </c>
      <c r="J210" s="19">
        <f>ROUND(98*1,0)&amp;"%"</f>
      </c>
    </row>
    <row x14ac:dyDescent="0.25" r="211" customHeight="1" ht="17.25">
      <c r="A211" s="20" t="s">
        <v>6971</v>
      </c>
      <c r="B211" s="20" t="s">
        <v>352</v>
      </c>
      <c r="C211" s="20" t="s">
        <v>95</v>
      </c>
      <c r="D211" s="20" t="s">
        <v>22</v>
      </c>
      <c r="E211" s="21">
        <f>ROUND(10617*1.05,2)</f>
      </c>
      <c r="F211" s="20" t="s">
        <v>23</v>
      </c>
      <c r="G211" s="20" t="s">
        <v>24</v>
      </c>
      <c r="H211" s="21">
        <f>ROUND(RAND()*4+6,1)</f>
      </c>
      <c r="I211" s="20" t="s">
        <v>25</v>
      </c>
      <c r="J211" s="23">
        <f>ROUND(97*1,0)&amp;"%"</f>
      </c>
    </row>
    <row x14ac:dyDescent="0.25" r="212" customHeight="1" ht="17.25">
      <c r="A212" s="17" t="s">
        <v>6972</v>
      </c>
      <c r="B212" s="17" t="s">
        <v>354</v>
      </c>
      <c r="C212" s="17" t="s">
        <v>95</v>
      </c>
      <c r="D212" s="17" t="s">
        <v>28</v>
      </c>
      <c r="E212" s="18">
        <f>ROUND(8232*1.05,2)</f>
      </c>
      <c r="F212" s="17" t="s">
        <v>29</v>
      </c>
      <c r="G212" s="17" t="s">
        <v>30</v>
      </c>
      <c r="H212" s="18">
        <f>ROUND(RAND()*4+6,1)</f>
      </c>
      <c r="I212" s="17" t="s">
        <v>31</v>
      </c>
      <c r="J212" s="19">
        <f>ROUND(82*1,0)&amp;"%"</f>
      </c>
    </row>
    <row x14ac:dyDescent="0.25" r="213" customHeight="1" ht="17.25">
      <c r="A213" s="20" t="s">
        <v>6973</v>
      </c>
      <c r="B213" s="20" t="s">
        <v>356</v>
      </c>
      <c r="C213" s="20" t="s">
        <v>95</v>
      </c>
      <c r="D213" s="20" t="s">
        <v>34</v>
      </c>
      <c r="E213" s="21">
        <f>ROUND(11434*1.05,2)</f>
      </c>
      <c r="F213" s="20" t="s">
        <v>35</v>
      </c>
      <c r="G213" s="20" t="s">
        <v>18</v>
      </c>
      <c r="H213" s="21">
        <f>ROUND(RAND()*4+6,1)</f>
      </c>
      <c r="I213" s="20" t="s">
        <v>36</v>
      </c>
      <c r="J213" s="23">
        <f>ROUND(89*1,0)&amp;"%"</f>
      </c>
    </row>
    <row x14ac:dyDescent="0.25" r="214" customHeight="1" ht="17.25">
      <c r="A214" s="17" t="s">
        <v>6974</v>
      </c>
      <c r="B214" s="17" t="s">
        <v>358</v>
      </c>
      <c r="C214" s="17" t="s">
        <v>95</v>
      </c>
      <c r="D214" s="17" t="s">
        <v>39</v>
      </c>
      <c r="E214" s="18">
        <f>ROUND(12104*1.05,2)</f>
      </c>
      <c r="F214" s="17" t="s">
        <v>40</v>
      </c>
      <c r="G214" s="17" t="s">
        <v>24</v>
      </c>
      <c r="H214" s="18">
        <f>ROUND(RAND()*4+6,1)</f>
      </c>
      <c r="I214" s="17" t="s">
        <v>41</v>
      </c>
      <c r="J214" s="19">
        <f>ROUND(82*1,0)&amp;"%"</f>
      </c>
    </row>
    <row x14ac:dyDescent="0.25" r="215" customHeight="1" ht="17.25">
      <c r="A215" s="20" t="s">
        <v>6975</v>
      </c>
      <c r="B215" s="20" t="s">
        <v>360</v>
      </c>
      <c r="C215" s="20" t="s">
        <v>95</v>
      </c>
      <c r="D215" s="20" t="s">
        <v>67</v>
      </c>
      <c r="E215" s="21">
        <f>ROUND(13662*1.05,2)</f>
      </c>
      <c r="F215" s="20" t="s">
        <v>44</v>
      </c>
      <c r="G215" s="20" t="s">
        <v>30</v>
      </c>
      <c r="H215" s="21">
        <f>ROUND(RAND()*4+6,1)</f>
      </c>
      <c r="I215" s="20" t="s">
        <v>45</v>
      </c>
      <c r="J215" s="23">
        <f>ROUND(82*1,0)&amp;"%"</f>
      </c>
    </row>
    <row x14ac:dyDescent="0.25" r="216" customHeight="1" ht="17.25">
      <c r="A216" s="17" t="s">
        <v>6976</v>
      </c>
      <c r="B216" s="17" t="s">
        <v>362</v>
      </c>
      <c r="C216" s="17" t="s">
        <v>95</v>
      </c>
      <c r="D216" s="17" t="s">
        <v>16</v>
      </c>
      <c r="E216" s="18">
        <f>ROUND(16321*1.05,2)</f>
      </c>
      <c r="F216" s="17" t="s">
        <v>48</v>
      </c>
      <c r="G216" s="17" t="s">
        <v>18</v>
      </c>
      <c r="H216" s="18">
        <f>ROUND(RAND()*4+6,1)</f>
      </c>
      <c r="I216" s="17" t="s">
        <v>19</v>
      </c>
      <c r="J216" s="19">
        <f>ROUND(81*1,0)&amp;"%"</f>
      </c>
    </row>
    <row x14ac:dyDescent="0.25" r="217" customHeight="1" ht="17.25">
      <c r="A217" s="20" t="s">
        <v>6977</v>
      </c>
      <c r="B217" s="20" t="s">
        <v>364</v>
      </c>
      <c r="C217" s="20" t="s">
        <v>95</v>
      </c>
      <c r="D217" s="20" t="s">
        <v>22</v>
      </c>
      <c r="E217" s="21">
        <f>ROUND(12244*1.05,2)</f>
      </c>
      <c r="F217" s="20" t="s">
        <v>51</v>
      </c>
      <c r="G217" s="20" t="s">
        <v>24</v>
      </c>
      <c r="H217" s="21">
        <f>ROUND(RAND()*4+6,1)</f>
      </c>
      <c r="I217" s="20" t="s">
        <v>25</v>
      </c>
      <c r="J217" s="23">
        <f>ROUND(94*1,0)&amp;"%"</f>
      </c>
    </row>
    <row x14ac:dyDescent="0.25" r="218" customHeight="1" ht="17.25">
      <c r="A218" s="24" t="s">
        <v>365</v>
      </c>
      <c r="B218" s="24"/>
      <c r="C218" s="24"/>
      <c r="D218" s="24"/>
      <c r="E218" s="25">
        <v>8</v>
      </c>
      <c r="F218" s="9"/>
      <c r="G218" s="9"/>
      <c r="H218" s="31"/>
      <c r="I218" s="9"/>
      <c r="J218" s="9"/>
    </row>
    <row x14ac:dyDescent="0.25" r="219" customHeight="1" ht="17.25">
      <c r="A219" s="7"/>
      <c r="B219" s="7"/>
      <c r="C219" s="7"/>
      <c r="D219" s="7"/>
      <c r="E219" s="8"/>
      <c r="F219" s="9"/>
      <c r="G219" s="9"/>
      <c r="H219" s="31"/>
      <c r="I219" s="9"/>
      <c r="J219" s="9"/>
    </row>
    <row x14ac:dyDescent="0.25" r="220" customHeight="1" ht="17.25">
      <c r="A220" s="11" t="s">
        <v>6978</v>
      </c>
      <c r="B220" s="11"/>
      <c r="C220" s="11"/>
      <c r="D220" s="11"/>
      <c r="E220" s="12"/>
      <c r="F220" s="11"/>
      <c r="G220" s="11"/>
      <c r="H220" s="12"/>
      <c r="I220" s="11"/>
      <c r="J220" s="11"/>
    </row>
    <row x14ac:dyDescent="0.25" r="221" customHeight="1" ht="17.25">
      <c r="A221" s="14" t="s">
        <v>3</v>
      </c>
      <c r="B221" s="14" t="s">
        <v>4</v>
      </c>
      <c r="C221" s="14" t="s">
        <v>5</v>
      </c>
      <c r="D221" s="14" t="s">
        <v>6</v>
      </c>
      <c r="E221" s="15" t="s">
        <v>7</v>
      </c>
      <c r="F221" s="14" t="s">
        <v>8</v>
      </c>
      <c r="G221" s="14" t="s">
        <v>9</v>
      </c>
      <c r="H221" s="15" t="s">
        <v>10</v>
      </c>
      <c r="I221" s="14" t="s">
        <v>11</v>
      </c>
      <c r="J221" s="14" t="s">
        <v>12</v>
      </c>
    </row>
    <row x14ac:dyDescent="0.25" r="222" customHeight="1" ht="17.25">
      <c r="A222" s="17" t="s">
        <v>6979</v>
      </c>
      <c r="B222" s="17" t="s">
        <v>368</v>
      </c>
      <c r="C222" s="17" t="s">
        <v>114</v>
      </c>
      <c r="D222" s="17" t="s">
        <v>16</v>
      </c>
      <c r="E222" s="18">
        <f>ROUND(16934*1.05,2)</f>
      </c>
      <c r="F222" s="17" t="s">
        <v>17</v>
      </c>
      <c r="G222" s="17" t="s">
        <v>18</v>
      </c>
      <c r="H222" s="18">
        <f>ROUND(RAND()*4+6,1)</f>
      </c>
      <c r="I222" s="17" t="s">
        <v>19</v>
      </c>
      <c r="J222" s="19">
        <f>ROUND(98*1,0)&amp;"%"</f>
      </c>
    </row>
    <row x14ac:dyDescent="0.25" r="223" customHeight="1" ht="17.25">
      <c r="A223" s="20" t="s">
        <v>6980</v>
      </c>
      <c r="B223" s="20" t="s">
        <v>370</v>
      </c>
      <c r="C223" s="20" t="s">
        <v>114</v>
      </c>
      <c r="D223" s="20" t="s">
        <v>22</v>
      </c>
      <c r="E223" s="21">
        <f>ROUND(12751*1.05,2)</f>
      </c>
      <c r="F223" s="20" t="s">
        <v>23</v>
      </c>
      <c r="G223" s="20" t="s">
        <v>24</v>
      </c>
      <c r="H223" s="21">
        <f>ROUND(RAND()*4+6,1)</f>
      </c>
      <c r="I223" s="20" t="s">
        <v>25</v>
      </c>
      <c r="J223" s="23">
        <f>ROUND(60*1,0)&amp;"%"</f>
      </c>
    </row>
    <row x14ac:dyDescent="0.25" r="224" customHeight="1" ht="17.25">
      <c r="A224" s="17" t="s">
        <v>6981</v>
      </c>
      <c r="B224" s="17" t="s">
        <v>372</v>
      </c>
      <c r="C224" s="17" t="s">
        <v>114</v>
      </c>
      <c r="D224" s="17" t="s">
        <v>28</v>
      </c>
      <c r="E224" s="18">
        <f>ROUND(15812*1.05,2)</f>
      </c>
      <c r="F224" s="17" t="s">
        <v>29</v>
      </c>
      <c r="G224" s="17" t="s">
        <v>30</v>
      </c>
      <c r="H224" s="18">
        <f>ROUND(RAND()*4+6,1)</f>
      </c>
      <c r="I224" s="17" t="s">
        <v>31</v>
      </c>
      <c r="J224" s="19">
        <f>ROUND(63*1,0)&amp;"%"</f>
      </c>
    </row>
    <row x14ac:dyDescent="0.25" r="225" customHeight="1" ht="17.25">
      <c r="A225" s="20" t="s">
        <v>6982</v>
      </c>
      <c r="B225" s="20" t="s">
        <v>374</v>
      </c>
      <c r="C225" s="20" t="s">
        <v>114</v>
      </c>
      <c r="D225" s="20" t="s">
        <v>34</v>
      </c>
      <c r="E225" s="21">
        <f>ROUND(6531*1.05,2)</f>
      </c>
      <c r="F225" s="20" t="s">
        <v>35</v>
      </c>
      <c r="G225" s="20" t="s">
        <v>18</v>
      </c>
      <c r="H225" s="21">
        <f>ROUND(RAND()*4+6,1)</f>
      </c>
      <c r="I225" s="20" t="s">
        <v>36</v>
      </c>
      <c r="J225" s="23">
        <f>ROUND(85*1,0)&amp;"%"</f>
      </c>
    </row>
    <row x14ac:dyDescent="0.25" r="226" customHeight="1" ht="17.25">
      <c r="A226" s="17" t="s">
        <v>6983</v>
      </c>
      <c r="B226" s="17" t="s">
        <v>376</v>
      </c>
      <c r="C226" s="17" t="s">
        <v>114</v>
      </c>
      <c r="D226" s="17" t="s">
        <v>39</v>
      </c>
      <c r="E226" s="18">
        <f>ROUND(10750*1.05,2)</f>
      </c>
      <c r="F226" s="17" t="s">
        <v>40</v>
      </c>
      <c r="G226" s="17" t="s">
        <v>24</v>
      </c>
      <c r="H226" s="18">
        <f>ROUND(RAND()*4+6,1)</f>
      </c>
      <c r="I226" s="17" t="s">
        <v>41</v>
      </c>
      <c r="J226" s="19">
        <f>ROUND(97*1,0)&amp;"%"</f>
      </c>
    </row>
    <row x14ac:dyDescent="0.25" r="227" customHeight="1" ht="17.25">
      <c r="A227" s="20" t="s">
        <v>6984</v>
      </c>
      <c r="B227" s="20" t="s">
        <v>378</v>
      </c>
      <c r="C227" s="20" t="s">
        <v>114</v>
      </c>
      <c r="D227" s="20" t="s">
        <v>67</v>
      </c>
      <c r="E227" s="21">
        <f>ROUND(11948*1.05,2)</f>
      </c>
      <c r="F227" s="20" t="s">
        <v>44</v>
      </c>
      <c r="G227" s="20" t="s">
        <v>30</v>
      </c>
      <c r="H227" s="22">
        <f>ROUND(RAND()*4+6,1)</f>
      </c>
      <c r="I227" s="20" t="s">
        <v>45</v>
      </c>
      <c r="J227" s="23">
        <f>ROUND(78*1,0)&amp;"%"</f>
      </c>
    </row>
    <row x14ac:dyDescent="0.25" r="228" customHeight="1" ht="17.25">
      <c r="A228" s="17" t="s">
        <v>6985</v>
      </c>
      <c r="B228" s="17" t="s">
        <v>380</v>
      </c>
      <c r="C228" s="17" t="s">
        <v>114</v>
      </c>
      <c r="D228" s="17" t="s">
        <v>16</v>
      </c>
      <c r="E228" s="18">
        <f>ROUND(11785*1.05,2)</f>
      </c>
      <c r="F228" s="17" t="s">
        <v>48</v>
      </c>
      <c r="G228" s="17" t="s">
        <v>18</v>
      </c>
      <c r="H228" s="18">
        <f>ROUND(RAND()*4+6,1)</f>
      </c>
      <c r="I228" s="17" t="s">
        <v>19</v>
      </c>
      <c r="J228" s="19">
        <f>ROUND(67*1,0)&amp;"%"</f>
      </c>
    </row>
    <row x14ac:dyDescent="0.25" r="229" customHeight="1" ht="17.25">
      <c r="A229" s="20" t="s">
        <v>6986</v>
      </c>
      <c r="B229" s="20" t="s">
        <v>382</v>
      </c>
      <c r="C229" s="20" t="s">
        <v>114</v>
      </c>
      <c r="D229" s="20" t="s">
        <v>22</v>
      </c>
      <c r="E229" s="21">
        <f>ROUND(4484*1.05,2)</f>
      </c>
      <c r="F229" s="20" t="s">
        <v>51</v>
      </c>
      <c r="G229" s="20" t="s">
        <v>24</v>
      </c>
      <c r="H229" s="21">
        <f>ROUND(RAND()*4+6,1)</f>
      </c>
      <c r="I229" s="20" t="s">
        <v>25</v>
      </c>
      <c r="J229" s="23">
        <f>ROUND(69*1,0)&amp;"%"</f>
      </c>
    </row>
    <row x14ac:dyDescent="0.25" r="230" customHeight="1" ht="17.25">
      <c r="A230" s="24" t="s">
        <v>383</v>
      </c>
      <c r="B230" s="24"/>
      <c r="C230" s="24"/>
      <c r="D230" s="24"/>
      <c r="E230" s="25">
        <v>8</v>
      </c>
      <c r="F230" s="9"/>
      <c r="G230" s="9"/>
      <c r="H230" s="31"/>
      <c r="I230" s="9"/>
      <c r="J230" s="9"/>
    </row>
    <row x14ac:dyDescent="0.25" r="231" customHeight="1" ht="17.25">
      <c r="A231" s="7"/>
      <c r="B231" s="7"/>
      <c r="C231" s="7"/>
      <c r="D231" s="7"/>
      <c r="E231" s="8"/>
      <c r="F231" s="9"/>
      <c r="G231" s="9"/>
      <c r="H231" s="31"/>
      <c r="I231" s="9"/>
      <c r="J231" s="9"/>
    </row>
    <row x14ac:dyDescent="0.25" r="232" customHeight="1" ht="17.25">
      <c r="A232" s="11" t="s">
        <v>6987</v>
      </c>
      <c r="B232" s="11"/>
      <c r="C232" s="11"/>
      <c r="D232" s="11"/>
      <c r="E232" s="12"/>
      <c r="F232" s="11"/>
      <c r="G232" s="11"/>
      <c r="H232" s="12"/>
      <c r="I232" s="11"/>
      <c r="J232" s="11"/>
    </row>
    <row x14ac:dyDescent="0.25" r="233" customHeight="1" ht="17.25">
      <c r="A233" s="14" t="s">
        <v>3</v>
      </c>
      <c r="B233" s="14" t="s">
        <v>4</v>
      </c>
      <c r="C233" s="14" t="s">
        <v>5</v>
      </c>
      <c r="D233" s="14" t="s">
        <v>6</v>
      </c>
      <c r="E233" s="15" t="s">
        <v>7</v>
      </c>
      <c r="F233" s="14" t="s">
        <v>8</v>
      </c>
      <c r="G233" s="14" t="s">
        <v>9</v>
      </c>
      <c r="H233" s="15" t="s">
        <v>10</v>
      </c>
      <c r="I233" s="14" t="s">
        <v>11</v>
      </c>
      <c r="J233" s="14" t="s">
        <v>12</v>
      </c>
    </row>
    <row x14ac:dyDescent="0.25" r="234" customHeight="1" ht="17.25">
      <c r="A234" s="17" t="s">
        <v>6988</v>
      </c>
      <c r="B234" s="17" t="s">
        <v>386</v>
      </c>
      <c r="C234" s="17" t="s">
        <v>133</v>
      </c>
      <c r="D234" s="17" t="s">
        <v>16</v>
      </c>
      <c r="E234" s="18">
        <f>ROUND(8389*1.05,2)</f>
      </c>
      <c r="F234" s="17" t="s">
        <v>17</v>
      </c>
      <c r="G234" s="17" t="s">
        <v>18</v>
      </c>
      <c r="H234" s="18">
        <f>ROUND(RAND()*4+6,1)</f>
      </c>
      <c r="I234" s="17" t="s">
        <v>19</v>
      </c>
      <c r="J234" s="19">
        <f>ROUND(79*1,0)&amp;"%"</f>
      </c>
    </row>
    <row x14ac:dyDescent="0.25" r="235" customHeight="1" ht="17.25">
      <c r="A235" s="20" t="s">
        <v>6989</v>
      </c>
      <c r="B235" s="20" t="s">
        <v>388</v>
      </c>
      <c r="C235" s="20" t="s">
        <v>133</v>
      </c>
      <c r="D235" s="20" t="s">
        <v>22</v>
      </c>
      <c r="E235" s="21">
        <f>ROUND(4616*1.05,2)</f>
      </c>
      <c r="F235" s="20" t="s">
        <v>23</v>
      </c>
      <c r="G235" s="20" t="s">
        <v>24</v>
      </c>
      <c r="H235" s="21">
        <f>ROUND(RAND()*4+6,1)</f>
      </c>
      <c r="I235" s="20" t="s">
        <v>25</v>
      </c>
      <c r="J235" s="23">
        <f>ROUND(63*1,0)&amp;"%"</f>
      </c>
    </row>
    <row x14ac:dyDescent="0.25" r="236" customHeight="1" ht="17.25">
      <c r="A236" s="17" t="s">
        <v>6990</v>
      </c>
      <c r="B236" s="17" t="s">
        <v>390</v>
      </c>
      <c r="C236" s="17" t="s">
        <v>133</v>
      </c>
      <c r="D236" s="17" t="s">
        <v>28</v>
      </c>
      <c r="E236" s="18">
        <f>ROUND(13090*1.05,2)</f>
      </c>
      <c r="F236" s="17" t="s">
        <v>29</v>
      </c>
      <c r="G236" s="17" t="s">
        <v>30</v>
      </c>
      <c r="H236" s="18">
        <f>ROUND(RAND()*4+6,1)</f>
      </c>
      <c r="I236" s="17" t="s">
        <v>31</v>
      </c>
      <c r="J236" s="19">
        <f>ROUND(87*1,0)&amp;"%"</f>
      </c>
    </row>
    <row x14ac:dyDescent="0.25" r="237" customHeight="1" ht="17.25">
      <c r="A237" s="20" t="s">
        <v>6991</v>
      </c>
      <c r="B237" s="20" t="s">
        <v>392</v>
      </c>
      <c r="C237" s="20" t="s">
        <v>133</v>
      </c>
      <c r="D237" s="20" t="s">
        <v>34</v>
      </c>
      <c r="E237" s="21">
        <f>ROUND(11448*1.05,2)</f>
      </c>
      <c r="F237" s="20" t="s">
        <v>35</v>
      </c>
      <c r="G237" s="20" t="s">
        <v>18</v>
      </c>
      <c r="H237" s="21">
        <f>ROUND(RAND()*4+6,1)</f>
      </c>
      <c r="I237" s="20" t="s">
        <v>36</v>
      </c>
      <c r="J237" s="23">
        <f>ROUND(89*1,0)&amp;"%"</f>
      </c>
    </row>
    <row x14ac:dyDescent="0.25" r="238" customHeight="1" ht="17.25">
      <c r="A238" s="17" t="s">
        <v>6992</v>
      </c>
      <c r="B238" s="17" t="s">
        <v>394</v>
      </c>
      <c r="C238" s="17" t="s">
        <v>133</v>
      </c>
      <c r="D238" s="17" t="s">
        <v>39</v>
      </c>
      <c r="E238" s="18">
        <f>ROUND(15532*1.05,2)</f>
      </c>
      <c r="F238" s="17" t="s">
        <v>40</v>
      </c>
      <c r="G238" s="17" t="s">
        <v>24</v>
      </c>
      <c r="H238" s="18">
        <f>ROUND(RAND()*4+6,1)</f>
      </c>
      <c r="I238" s="17" t="s">
        <v>41</v>
      </c>
      <c r="J238" s="19">
        <f>ROUND(71*1,0)&amp;"%"</f>
      </c>
    </row>
    <row x14ac:dyDescent="0.25" r="239" customHeight="1" ht="17.25">
      <c r="A239" s="20" t="s">
        <v>6993</v>
      </c>
      <c r="B239" s="20" t="s">
        <v>396</v>
      </c>
      <c r="C239" s="20" t="s">
        <v>133</v>
      </c>
      <c r="D239" s="20" t="s">
        <v>67</v>
      </c>
      <c r="E239" s="21">
        <f>ROUND(15507*1.05,2)</f>
      </c>
      <c r="F239" s="20" t="s">
        <v>44</v>
      </c>
      <c r="G239" s="20" t="s">
        <v>30</v>
      </c>
      <c r="H239" s="21">
        <f>ROUND(RAND()*4+6,1)</f>
      </c>
      <c r="I239" s="20" t="s">
        <v>45</v>
      </c>
      <c r="J239" s="23">
        <f>ROUND(90*1,0)&amp;"%"</f>
      </c>
    </row>
    <row x14ac:dyDescent="0.25" r="240" customHeight="1" ht="17.25">
      <c r="A240" s="17" t="s">
        <v>6994</v>
      </c>
      <c r="B240" s="17" t="s">
        <v>398</v>
      </c>
      <c r="C240" s="17" t="s">
        <v>133</v>
      </c>
      <c r="D240" s="17" t="s">
        <v>16</v>
      </c>
      <c r="E240" s="26">
        <f>ROUND(16340*1.05,2)</f>
      </c>
      <c r="F240" s="17" t="s">
        <v>48</v>
      </c>
      <c r="G240" s="17" t="s">
        <v>18</v>
      </c>
      <c r="H240" s="18">
        <f>ROUND(RAND()*4+6,1)</f>
      </c>
      <c r="I240" s="17" t="s">
        <v>19</v>
      </c>
      <c r="J240" s="19">
        <f>ROUND(79*1,0)&amp;"%"</f>
      </c>
    </row>
    <row x14ac:dyDescent="0.25" r="241" customHeight="1" ht="17.25">
      <c r="A241" s="20" t="s">
        <v>6995</v>
      </c>
      <c r="B241" s="20" t="s">
        <v>400</v>
      </c>
      <c r="C241" s="20" t="s">
        <v>133</v>
      </c>
      <c r="D241" s="20" t="s">
        <v>22</v>
      </c>
      <c r="E241" s="21">
        <f>ROUND(5226*1.05,2)</f>
      </c>
      <c r="F241" s="20" t="s">
        <v>51</v>
      </c>
      <c r="G241" s="20" t="s">
        <v>24</v>
      </c>
      <c r="H241" s="22">
        <f>ROUND(RAND()*4+6,1)</f>
      </c>
      <c r="I241" s="20" t="s">
        <v>25</v>
      </c>
      <c r="J241" s="23">
        <f>ROUND(91*1,0)&amp;"%"</f>
      </c>
    </row>
    <row x14ac:dyDescent="0.25" r="242" customHeight="1" ht="17.25">
      <c r="A242" s="24" t="s">
        <v>401</v>
      </c>
      <c r="B242" s="24"/>
      <c r="C242" s="24"/>
      <c r="D242" s="24"/>
      <c r="E242" s="25">
        <v>8</v>
      </c>
      <c r="F242" s="9"/>
      <c r="G242" s="9"/>
      <c r="H242" s="31"/>
      <c r="I242" s="9"/>
      <c r="J242" s="9"/>
    </row>
    <row x14ac:dyDescent="0.25" r="243" customHeight="1" ht="17.25">
      <c r="A243" s="7"/>
      <c r="B243" s="7"/>
      <c r="C243" s="7"/>
      <c r="D243" s="7"/>
      <c r="E243" s="8"/>
      <c r="F243" s="9"/>
      <c r="G243" s="9"/>
      <c r="H243" s="31"/>
      <c r="I243" s="9"/>
      <c r="J243" s="9"/>
    </row>
    <row x14ac:dyDescent="0.25" r="244" customHeight="1" ht="17.25">
      <c r="A244" s="11" t="s">
        <v>6996</v>
      </c>
      <c r="B244" s="11"/>
      <c r="C244" s="11"/>
      <c r="D244" s="11"/>
      <c r="E244" s="12"/>
      <c r="F244" s="11"/>
      <c r="G244" s="11"/>
      <c r="H244" s="12"/>
      <c r="I244" s="11"/>
      <c r="J244" s="11"/>
    </row>
    <row x14ac:dyDescent="0.25" r="245" customHeight="1" ht="17.25">
      <c r="A245" s="14" t="s">
        <v>3</v>
      </c>
      <c r="B245" s="14" t="s">
        <v>4</v>
      </c>
      <c r="C245" s="14" t="s">
        <v>5</v>
      </c>
      <c r="D245" s="14" t="s">
        <v>6</v>
      </c>
      <c r="E245" s="15" t="s">
        <v>7</v>
      </c>
      <c r="F245" s="14" t="s">
        <v>8</v>
      </c>
      <c r="G245" s="14" t="s">
        <v>9</v>
      </c>
      <c r="H245" s="15" t="s">
        <v>10</v>
      </c>
      <c r="I245" s="14" t="s">
        <v>11</v>
      </c>
      <c r="J245" s="14" t="s">
        <v>12</v>
      </c>
    </row>
    <row x14ac:dyDescent="0.25" r="246" customHeight="1" ht="17.25">
      <c r="A246" s="17" t="s">
        <v>6997</v>
      </c>
      <c r="B246" s="17" t="s">
        <v>404</v>
      </c>
      <c r="C246" s="17" t="s">
        <v>152</v>
      </c>
      <c r="D246" s="17" t="s">
        <v>16</v>
      </c>
      <c r="E246" s="18">
        <f>ROUND(16547*1.05,2)</f>
      </c>
      <c r="F246" s="17" t="s">
        <v>17</v>
      </c>
      <c r="G246" s="17" t="s">
        <v>18</v>
      </c>
      <c r="H246" s="18">
        <f>ROUND(RAND()*4+6,1)</f>
      </c>
      <c r="I246" s="17" t="s">
        <v>19</v>
      </c>
      <c r="J246" s="19">
        <f>ROUND(64*1,0)&amp;"%"</f>
      </c>
    </row>
    <row x14ac:dyDescent="0.25" r="247" customHeight="1" ht="17.25">
      <c r="A247" s="20" t="s">
        <v>6998</v>
      </c>
      <c r="B247" s="20" t="s">
        <v>406</v>
      </c>
      <c r="C247" s="20" t="s">
        <v>152</v>
      </c>
      <c r="D247" s="20" t="s">
        <v>22</v>
      </c>
      <c r="E247" s="21">
        <f>ROUND(9010*1.05,2)</f>
      </c>
      <c r="F247" s="20" t="s">
        <v>23</v>
      </c>
      <c r="G247" s="20" t="s">
        <v>24</v>
      </c>
      <c r="H247" s="21">
        <f>ROUND(RAND()*4+6,1)</f>
      </c>
      <c r="I247" s="20" t="s">
        <v>25</v>
      </c>
      <c r="J247" s="23">
        <f>ROUND(82*1,0)&amp;"%"</f>
      </c>
    </row>
    <row x14ac:dyDescent="0.25" r="248" customHeight="1" ht="17.25">
      <c r="A248" s="17" t="s">
        <v>6999</v>
      </c>
      <c r="B248" s="17" t="s">
        <v>408</v>
      </c>
      <c r="C248" s="17" t="s">
        <v>152</v>
      </c>
      <c r="D248" s="17" t="s">
        <v>28</v>
      </c>
      <c r="E248" s="18">
        <f>ROUND(9341*1.05,2)</f>
      </c>
      <c r="F248" s="17" t="s">
        <v>29</v>
      </c>
      <c r="G248" s="17" t="s">
        <v>30</v>
      </c>
      <c r="H248" s="18">
        <f>ROUND(RAND()*4+6,1)</f>
      </c>
      <c r="I248" s="17" t="s">
        <v>31</v>
      </c>
      <c r="J248" s="19">
        <f>ROUND(73*1,0)&amp;"%"</f>
      </c>
    </row>
    <row x14ac:dyDescent="0.25" r="249" customHeight="1" ht="17.25">
      <c r="A249" s="20" t="s">
        <v>7000</v>
      </c>
      <c r="B249" s="20" t="s">
        <v>410</v>
      </c>
      <c r="C249" s="20" t="s">
        <v>152</v>
      </c>
      <c r="D249" s="20" t="s">
        <v>34</v>
      </c>
      <c r="E249" s="21">
        <f>ROUND(17422*1.05,2)</f>
      </c>
      <c r="F249" s="20" t="s">
        <v>35</v>
      </c>
      <c r="G249" s="20" t="s">
        <v>18</v>
      </c>
      <c r="H249" s="21">
        <f>ROUND(RAND()*4+6,1)</f>
      </c>
      <c r="I249" s="20" t="s">
        <v>36</v>
      </c>
      <c r="J249" s="23">
        <f>ROUND(92*1,0)&amp;"%"</f>
      </c>
    </row>
    <row x14ac:dyDescent="0.25" r="250" customHeight="1" ht="17.25">
      <c r="A250" s="17" t="s">
        <v>7001</v>
      </c>
      <c r="B250" s="17" t="s">
        <v>412</v>
      </c>
      <c r="C250" s="17" t="s">
        <v>152</v>
      </c>
      <c r="D250" s="17" t="s">
        <v>39</v>
      </c>
      <c r="E250" s="18">
        <f>ROUND(16683*1.05,2)</f>
      </c>
      <c r="F250" s="17" t="s">
        <v>40</v>
      </c>
      <c r="G250" s="17" t="s">
        <v>24</v>
      </c>
      <c r="H250" s="26">
        <f>ROUND(RAND()*4+6,1)</f>
      </c>
      <c r="I250" s="17" t="s">
        <v>41</v>
      </c>
      <c r="J250" s="19">
        <f>ROUND(90*1,0)&amp;"%"</f>
      </c>
    </row>
    <row x14ac:dyDescent="0.25" r="251" customHeight="1" ht="17.25">
      <c r="A251" s="20" t="s">
        <v>7002</v>
      </c>
      <c r="B251" s="20" t="s">
        <v>414</v>
      </c>
      <c r="C251" s="20" t="s">
        <v>152</v>
      </c>
      <c r="D251" s="20" t="s">
        <v>67</v>
      </c>
      <c r="E251" s="21">
        <f>ROUND(16155*1.05,2)</f>
      </c>
      <c r="F251" s="20" t="s">
        <v>44</v>
      </c>
      <c r="G251" s="20" t="s">
        <v>30</v>
      </c>
      <c r="H251" s="21">
        <f>ROUND(RAND()*4+6,1)</f>
      </c>
      <c r="I251" s="20" t="s">
        <v>45</v>
      </c>
      <c r="J251" s="23">
        <f>ROUND(62*1,0)&amp;"%"</f>
      </c>
    </row>
    <row x14ac:dyDescent="0.25" r="252" customHeight="1" ht="17.25">
      <c r="A252" s="17" t="s">
        <v>7003</v>
      </c>
      <c r="B252" s="17" t="s">
        <v>416</v>
      </c>
      <c r="C252" s="17" t="s">
        <v>152</v>
      </c>
      <c r="D252" s="17" t="s">
        <v>16</v>
      </c>
      <c r="E252" s="18">
        <f>ROUND(4199*1.05,2)</f>
      </c>
      <c r="F252" s="17" t="s">
        <v>48</v>
      </c>
      <c r="G252" s="17" t="s">
        <v>18</v>
      </c>
      <c r="H252" s="18">
        <f>ROUND(RAND()*4+6,1)</f>
      </c>
      <c r="I252" s="17" t="s">
        <v>19</v>
      </c>
      <c r="J252" s="19">
        <f>ROUND(69*1,0)&amp;"%"</f>
      </c>
    </row>
    <row x14ac:dyDescent="0.25" r="253" customHeight="1" ht="17.25">
      <c r="A253" s="20" t="s">
        <v>7004</v>
      </c>
      <c r="B253" s="20" t="s">
        <v>418</v>
      </c>
      <c r="C253" s="20" t="s">
        <v>152</v>
      </c>
      <c r="D253" s="20" t="s">
        <v>22</v>
      </c>
      <c r="E253" s="21">
        <f>ROUND(12452*1.05,2)</f>
      </c>
      <c r="F253" s="20" t="s">
        <v>51</v>
      </c>
      <c r="G253" s="20" t="s">
        <v>24</v>
      </c>
      <c r="H253" s="21">
        <f>ROUND(RAND()*4+6,1)</f>
      </c>
      <c r="I253" s="20" t="s">
        <v>25</v>
      </c>
      <c r="J253" s="23">
        <f>ROUND(93*1,0)&amp;"%"</f>
      </c>
    </row>
    <row x14ac:dyDescent="0.25" r="254" customHeight="1" ht="17.25">
      <c r="A254" s="24" t="s">
        <v>419</v>
      </c>
      <c r="B254" s="24"/>
      <c r="C254" s="24"/>
      <c r="D254" s="24"/>
      <c r="E254" s="25">
        <v>8</v>
      </c>
      <c r="F254" s="9"/>
      <c r="G254" s="9"/>
      <c r="H254" s="31"/>
      <c r="I254" s="9"/>
      <c r="J254" s="9"/>
    </row>
    <row x14ac:dyDescent="0.25" r="255" customHeight="1" ht="17.25">
      <c r="A255" s="7"/>
      <c r="B255" s="7"/>
      <c r="C255" s="7"/>
      <c r="D255" s="7"/>
      <c r="E255" s="8"/>
      <c r="F255" s="9"/>
      <c r="G255" s="9"/>
      <c r="H255" s="31"/>
      <c r="I255" s="9"/>
      <c r="J255" s="9"/>
    </row>
    <row x14ac:dyDescent="0.25" r="256" customHeight="1" ht="17.25">
      <c r="A256" s="11" t="s">
        <v>7005</v>
      </c>
      <c r="B256" s="11"/>
      <c r="C256" s="11"/>
      <c r="D256" s="11"/>
      <c r="E256" s="12"/>
      <c r="F256" s="11"/>
      <c r="G256" s="11"/>
      <c r="H256" s="12"/>
      <c r="I256" s="11"/>
      <c r="J256" s="11"/>
    </row>
    <row x14ac:dyDescent="0.25" r="257" customHeight="1" ht="17.25">
      <c r="A257" s="14" t="s">
        <v>3</v>
      </c>
      <c r="B257" s="14" t="s">
        <v>4</v>
      </c>
      <c r="C257" s="14" t="s">
        <v>5</v>
      </c>
      <c r="D257" s="14" t="s">
        <v>6</v>
      </c>
      <c r="E257" s="15" t="s">
        <v>7</v>
      </c>
      <c r="F257" s="14" t="s">
        <v>8</v>
      </c>
      <c r="G257" s="14" t="s">
        <v>9</v>
      </c>
      <c r="H257" s="15" t="s">
        <v>10</v>
      </c>
      <c r="I257" s="14" t="s">
        <v>11</v>
      </c>
      <c r="J257" s="14" t="s">
        <v>12</v>
      </c>
    </row>
    <row x14ac:dyDescent="0.25" r="258" customHeight="1" ht="17.25">
      <c r="A258" s="17" t="s">
        <v>7006</v>
      </c>
      <c r="B258" s="17" t="s">
        <v>422</v>
      </c>
      <c r="C258" s="17" t="s">
        <v>15</v>
      </c>
      <c r="D258" s="17" t="s">
        <v>16</v>
      </c>
      <c r="E258" s="18">
        <f>ROUND(6814*1.05,2)</f>
      </c>
      <c r="F258" s="17" t="s">
        <v>17</v>
      </c>
      <c r="G258" s="17" t="s">
        <v>18</v>
      </c>
      <c r="H258" s="18">
        <f>ROUND(RAND()*4+6,1)</f>
      </c>
      <c r="I258" s="17" t="s">
        <v>19</v>
      </c>
      <c r="J258" s="19">
        <f>ROUND(72*1,0)&amp;"%"</f>
      </c>
    </row>
    <row x14ac:dyDescent="0.25" r="259" customHeight="1" ht="17.25">
      <c r="A259" s="20" t="s">
        <v>7007</v>
      </c>
      <c r="B259" s="20" t="s">
        <v>424</v>
      </c>
      <c r="C259" s="20" t="s">
        <v>15</v>
      </c>
      <c r="D259" s="20" t="s">
        <v>22</v>
      </c>
      <c r="E259" s="21">
        <f>ROUND(16701*1.05,2)</f>
      </c>
      <c r="F259" s="20" t="s">
        <v>23</v>
      </c>
      <c r="G259" s="20" t="s">
        <v>24</v>
      </c>
      <c r="H259" s="21">
        <f>ROUND(RAND()*4+6,1)</f>
      </c>
      <c r="I259" s="20" t="s">
        <v>25</v>
      </c>
      <c r="J259" s="23">
        <f>ROUND(66*1,0)&amp;"%"</f>
      </c>
    </row>
    <row x14ac:dyDescent="0.25" r="260" customHeight="1" ht="17.25">
      <c r="A260" s="17" t="s">
        <v>7008</v>
      </c>
      <c r="B260" s="17" t="s">
        <v>426</v>
      </c>
      <c r="C260" s="17" t="s">
        <v>15</v>
      </c>
      <c r="D260" s="17" t="s">
        <v>28</v>
      </c>
      <c r="E260" s="18">
        <f>ROUND(15439*1.05,2)</f>
      </c>
      <c r="F260" s="17" t="s">
        <v>29</v>
      </c>
      <c r="G260" s="17" t="s">
        <v>30</v>
      </c>
      <c r="H260" s="18">
        <f>ROUND(RAND()*4+6,1)</f>
      </c>
      <c r="I260" s="17" t="s">
        <v>31</v>
      </c>
      <c r="J260" s="19">
        <f>ROUND(87*1,0)&amp;"%"</f>
      </c>
    </row>
    <row x14ac:dyDescent="0.25" r="261" customHeight="1" ht="17.25">
      <c r="A261" s="20" t="s">
        <v>7009</v>
      </c>
      <c r="B261" s="20" t="s">
        <v>428</v>
      </c>
      <c r="C261" s="20" t="s">
        <v>15</v>
      </c>
      <c r="D261" s="20" t="s">
        <v>34</v>
      </c>
      <c r="E261" s="21">
        <f>ROUND(11838*1.05,2)</f>
      </c>
      <c r="F261" s="20" t="s">
        <v>35</v>
      </c>
      <c r="G261" s="20" t="s">
        <v>18</v>
      </c>
      <c r="H261" s="21">
        <f>ROUND(RAND()*4+6,1)</f>
      </c>
      <c r="I261" s="20" t="s">
        <v>36</v>
      </c>
      <c r="J261" s="23">
        <f>ROUND(63*1,0)&amp;"%"</f>
      </c>
    </row>
    <row x14ac:dyDescent="0.25" r="262" customHeight="1" ht="17.25">
      <c r="A262" s="17" t="s">
        <v>7010</v>
      </c>
      <c r="B262" s="17" t="s">
        <v>430</v>
      </c>
      <c r="C262" s="17" t="s">
        <v>15</v>
      </c>
      <c r="D262" s="17" t="s">
        <v>39</v>
      </c>
      <c r="E262" s="18">
        <f>ROUND(4633*1.05,2)</f>
      </c>
      <c r="F262" s="17" t="s">
        <v>40</v>
      </c>
      <c r="G262" s="17" t="s">
        <v>24</v>
      </c>
      <c r="H262" s="18">
        <f>ROUND(RAND()*4+6,1)</f>
      </c>
      <c r="I262" s="17" t="s">
        <v>41</v>
      </c>
      <c r="J262" s="19">
        <f>ROUND(62*1,0)&amp;"%"</f>
      </c>
    </row>
    <row x14ac:dyDescent="0.25" r="263" customHeight="1" ht="17.25">
      <c r="A263" s="20" t="s">
        <v>7011</v>
      </c>
      <c r="B263" s="20" t="s">
        <v>432</v>
      </c>
      <c r="C263" s="20" t="s">
        <v>15</v>
      </c>
      <c r="D263" s="20" t="s">
        <v>67</v>
      </c>
      <c r="E263" s="21">
        <f>ROUND(9629*1.05,2)</f>
      </c>
      <c r="F263" s="20" t="s">
        <v>44</v>
      </c>
      <c r="G263" s="20" t="s">
        <v>30</v>
      </c>
      <c r="H263" s="21">
        <f>ROUND(RAND()*4+6,1)</f>
      </c>
      <c r="I263" s="20" t="s">
        <v>45</v>
      </c>
      <c r="J263" s="23">
        <f>ROUND(90*1,0)&amp;"%"</f>
      </c>
    </row>
    <row x14ac:dyDescent="0.25" r="264" customHeight="1" ht="17.25">
      <c r="A264" s="17" t="s">
        <v>7012</v>
      </c>
      <c r="B264" s="17" t="s">
        <v>434</v>
      </c>
      <c r="C264" s="17" t="s">
        <v>15</v>
      </c>
      <c r="D264" s="17" t="s">
        <v>16</v>
      </c>
      <c r="E264" s="18">
        <f>ROUND(9483*1.05,2)</f>
      </c>
      <c r="F264" s="17" t="s">
        <v>48</v>
      </c>
      <c r="G264" s="17" t="s">
        <v>18</v>
      </c>
      <c r="H264" s="18">
        <f>ROUND(RAND()*4+6,1)</f>
      </c>
      <c r="I264" s="17" t="s">
        <v>19</v>
      </c>
      <c r="J264" s="19">
        <f>ROUND(69*1,0)&amp;"%"</f>
      </c>
    </row>
    <row x14ac:dyDescent="0.25" r="265" customHeight="1" ht="17.25">
      <c r="A265" s="20" t="s">
        <v>7013</v>
      </c>
      <c r="B265" s="20" t="s">
        <v>436</v>
      </c>
      <c r="C265" s="20" t="s">
        <v>15</v>
      </c>
      <c r="D265" s="20" t="s">
        <v>22</v>
      </c>
      <c r="E265" s="21">
        <f>ROUND(6574*1.05,2)</f>
      </c>
      <c r="F265" s="20" t="s">
        <v>51</v>
      </c>
      <c r="G265" s="20" t="s">
        <v>24</v>
      </c>
      <c r="H265" s="21">
        <f>ROUND(RAND()*4+6,1)</f>
      </c>
      <c r="I265" s="20" t="s">
        <v>25</v>
      </c>
      <c r="J265" s="23">
        <f>ROUND(97*1,0)&amp;"%"</f>
      </c>
    </row>
    <row x14ac:dyDescent="0.25" r="266" customHeight="1" ht="17.25">
      <c r="A266" s="24" t="s">
        <v>437</v>
      </c>
      <c r="B266" s="24"/>
      <c r="C266" s="24"/>
      <c r="D266" s="24"/>
      <c r="E266" s="25">
        <v>8</v>
      </c>
      <c r="F266" s="9"/>
      <c r="G266" s="9"/>
      <c r="H266" s="31"/>
      <c r="I266" s="9"/>
      <c r="J266" s="9"/>
    </row>
    <row x14ac:dyDescent="0.25" r="267" customHeight="1" ht="17.25">
      <c r="A267" s="7"/>
      <c r="B267" s="7"/>
      <c r="C267" s="7"/>
      <c r="D267" s="7"/>
      <c r="E267" s="8"/>
      <c r="F267" s="9"/>
      <c r="G267" s="9"/>
      <c r="H267" s="31"/>
      <c r="I267" s="9"/>
      <c r="J267" s="9"/>
    </row>
    <row x14ac:dyDescent="0.25" r="268" customHeight="1" ht="17.25">
      <c r="A268" s="11" t="s">
        <v>7014</v>
      </c>
      <c r="B268" s="11"/>
      <c r="C268" s="11"/>
      <c r="D268" s="11"/>
      <c r="E268" s="12"/>
      <c r="F268" s="11"/>
      <c r="G268" s="11"/>
      <c r="H268" s="12"/>
      <c r="I268" s="11"/>
      <c r="J268" s="11"/>
    </row>
    <row x14ac:dyDescent="0.25" r="269" customHeight="1" ht="17.25">
      <c r="A269" s="14" t="s">
        <v>3</v>
      </c>
      <c r="B269" s="14" t="s">
        <v>4</v>
      </c>
      <c r="C269" s="14" t="s">
        <v>5</v>
      </c>
      <c r="D269" s="14" t="s">
        <v>6</v>
      </c>
      <c r="E269" s="15" t="s">
        <v>7</v>
      </c>
      <c r="F269" s="14" t="s">
        <v>8</v>
      </c>
      <c r="G269" s="14" t="s">
        <v>9</v>
      </c>
      <c r="H269" s="15" t="s">
        <v>10</v>
      </c>
      <c r="I269" s="14" t="s">
        <v>11</v>
      </c>
      <c r="J269" s="14" t="s">
        <v>12</v>
      </c>
    </row>
    <row x14ac:dyDescent="0.25" r="270" customHeight="1" ht="17.25">
      <c r="A270" s="17" t="s">
        <v>7015</v>
      </c>
      <c r="B270" s="17" t="s">
        <v>440</v>
      </c>
      <c r="C270" s="17" t="s">
        <v>56</v>
      </c>
      <c r="D270" s="17" t="s">
        <v>16</v>
      </c>
      <c r="E270" s="18">
        <f>ROUND(7374*1.05,2)</f>
      </c>
      <c r="F270" s="17" t="s">
        <v>17</v>
      </c>
      <c r="G270" s="17" t="s">
        <v>18</v>
      </c>
      <c r="H270" s="18">
        <f>ROUND(RAND()*4+6,1)</f>
      </c>
      <c r="I270" s="17" t="s">
        <v>19</v>
      </c>
      <c r="J270" s="19">
        <f>ROUND(91*1,0)&amp;"%"</f>
      </c>
    </row>
    <row x14ac:dyDescent="0.25" r="271" customHeight="1" ht="17.25">
      <c r="A271" s="20" t="s">
        <v>7016</v>
      </c>
      <c r="B271" s="20" t="s">
        <v>442</v>
      </c>
      <c r="C271" s="20" t="s">
        <v>56</v>
      </c>
      <c r="D271" s="20" t="s">
        <v>22</v>
      </c>
      <c r="E271" s="21">
        <f>ROUND(7389*1.05,2)</f>
      </c>
      <c r="F271" s="20" t="s">
        <v>23</v>
      </c>
      <c r="G271" s="20" t="s">
        <v>24</v>
      </c>
      <c r="H271" s="21">
        <f>ROUND(RAND()*4+6,1)</f>
      </c>
      <c r="I271" s="20" t="s">
        <v>25</v>
      </c>
      <c r="J271" s="23">
        <f>ROUND(79*1,0)&amp;"%"</f>
      </c>
    </row>
    <row x14ac:dyDescent="0.25" r="272" customHeight="1" ht="17.25">
      <c r="A272" s="17" t="s">
        <v>7017</v>
      </c>
      <c r="B272" s="17" t="s">
        <v>444</v>
      </c>
      <c r="C272" s="17" t="s">
        <v>56</v>
      </c>
      <c r="D272" s="17" t="s">
        <v>28</v>
      </c>
      <c r="E272" s="18">
        <f>ROUND(15734*1.05,2)</f>
      </c>
      <c r="F272" s="17" t="s">
        <v>29</v>
      </c>
      <c r="G272" s="17" t="s">
        <v>30</v>
      </c>
      <c r="H272" s="18">
        <f>ROUND(RAND()*4+6,1)</f>
      </c>
      <c r="I272" s="17" t="s">
        <v>31</v>
      </c>
      <c r="J272" s="19">
        <f>ROUND(65*1,0)&amp;"%"</f>
      </c>
    </row>
    <row x14ac:dyDescent="0.25" r="273" customHeight="1" ht="17.25">
      <c r="A273" s="20" t="s">
        <v>7018</v>
      </c>
      <c r="B273" s="20" t="s">
        <v>446</v>
      </c>
      <c r="C273" s="20" t="s">
        <v>56</v>
      </c>
      <c r="D273" s="20" t="s">
        <v>34</v>
      </c>
      <c r="E273" s="21">
        <f>ROUND(14275*1.05,2)</f>
      </c>
      <c r="F273" s="20" t="s">
        <v>35</v>
      </c>
      <c r="G273" s="20" t="s">
        <v>18</v>
      </c>
      <c r="H273" s="21">
        <f>ROUND(RAND()*4+6,1)</f>
      </c>
      <c r="I273" s="20" t="s">
        <v>36</v>
      </c>
      <c r="J273" s="23">
        <f>ROUND(80*1,0)&amp;"%"</f>
      </c>
    </row>
    <row x14ac:dyDescent="0.25" r="274" customHeight="1" ht="17.25">
      <c r="A274" s="17" t="s">
        <v>7019</v>
      </c>
      <c r="B274" s="17" t="s">
        <v>448</v>
      </c>
      <c r="C274" s="17" t="s">
        <v>56</v>
      </c>
      <c r="D274" s="17" t="s">
        <v>39</v>
      </c>
      <c r="E274" s="26">
        <f>ROUND(10980*1.05,2)</f>
      </c>
      <c r="F274" s="17" t="s">
        <v>40</v>
      </c>
      <c r="G274" s="17" t="s">
        <v>24</v>
      </c>
      <c r="H274" s="18">
        <f>ROUND(RAND()*4+6,1)</f>
      </c>
      <c r="I274" s="17" t="s">
        <v>41</v>
      </c>
      <c r="J274" s="19">
        <f>ROUND(77*1,0)&amp;"%"</f>
      </c>
    </row>
    <row x14ac:dyDescent="0.25" r="275" customHeight="1" ht="17.25">
      <c r="A275" s="20" t="s">
        <v>7020</v>
      </c>
      <c r="B275" s="20" t="s">
        <v>450</v>
      </c>
      <c r="C275" s="20" t="s">
        <v>56</v>
      </c>
      <c r="D275" s="20" t="s">
        <v>67</v>
      </c>
      <c r="E275" s="21">
        <f>ROUND(14370*1.05,2)</f>
      </c>
      <c r="F275" s="20" t="s">
        <v>44</v>
      </c>
      <c r="G275" s="20" t="s">
        <v>30</v>
      </c>
      <c r="H275" s="21">
        <f>ROUND(RAND()*4+6,1)</f>
      </c>
      <c r="I275" s="20" t="s">
        <v>45</v>
      </c>
      <c r="J275" s="23">
        <f>ROUND(79*1,0)&amp;"%"</f>
      </c>
    </row>
    <row x14ac:dyDescent="0.25" r="276" customHeight="1" ht="17.25">
      <c r="A276" s="17" t="s">
        <v>7021</v>
      </c>
      <c r="B276" s="17" t="s">
        <v>452</v>
      </c>
      <c r="C276" s="17" t="s">
        <v>56</v>
      </c>
      <c r="D276" s="17" t="s">
        <v>16</v>
      </c>
      <c r="E276" s="18">
        <f>ROUND(7419*1.05,2)</f>
      </c>
      <c r="F276" s="17" t="s">
        <v>48</v>
      </c>
      <c r="G276" s="17" t="s">
        <v>18</v>
      </c>
      <c r="H276" s="18">
        <f>ROUND(RAND()*4+6,1)</f>
      </c>
      <c r="I276" s="17" t="s">
        <v>19</v>
      </c>
      <c r="J276" s="19">
        <f>ROUND(93*1,0)&amp;"%"</f>
      </c>
    </row>
    <row x14ac:dyDescent="0.25" r="277" customHeight="1" ht="17.25">
      <c r="A277" s="20" t="s">
        <v>7022</v>
      </c>
      <c r="B277" s="20" t="s">
        <v>454</v>
      </c>
      <c r="C277" s="20" t="s">
        <v>56</v>
      </c>
      <c r="D277" s="20" t="s">
        <v>22</v>
      </c>
      <c r="E277" s="21">
        <f>ROUND(5544*1.05,2)</f>
      </c>
      <c r="F277" s="20" t="s">
        <v>51</v>
      </c>
      <c r="G277" s="20" t="s">
        <v>24</v>
      </c>
      <c r="H277" s="21">
        <f>ROUND(RAND()*4+6,1)</f>
      </c>
      <c r="I277" s="20" t="s">
        <v>25</v>
      </c>
      <c r="J277" s="23">
        <f>ROUND(81*1,0)&amp;"%"</f>
      </c>
    </row>
    <row x14ac:dyDescent="0.25" r="278" customHeight="1" ht="17.25">
      <c r="A278" s="24" t="s">
        <v>455</v>
      </c>
      <c r="B278" s="24"/>
      <c r="C278" s="24"/>
      <c r="D278" s="24"/>
      <c r="E278" s="25">
        <v>8</v>
      </c>
      <c r="F278" s="9"/>
      <c r="G278" s="9"/>
      <c r="H278" s="31"/>
      <c r="I278" s="9"/>
      <c r="J278" s="9"/>
    </row>
    <row x14ac:dyDescent="0.25" r="279" customHeight="1" ht="17.25">
      <c r="A279" s="7"/>
      <c r="B279" s="7"/>
      <c r="C279" s="7"/>
      <c r="D279" s="7"/>
      <c r="E279" s="8"/>
      <c r="F279" s="9"/>
      <c r="G279" s="9"/>
      <c r="H279" s="31"/>
      <c r="I279" s="9"/>
      <c r="J279" s="9"/>
    </row>
    <row x14ac:dyDescent="0.25" r="280" customHeight="1" ht="17.25">
      <c r="A280" s="11" t="s">
        <v>7023</v>
      </c>
      <c r="B280" s="11"/>
      <c r="C280" s="11"/>
      <c r="D280" s="11"/>
      <c r="E280" s="12"/>
      <c r="F280" s="11"/>
      <c r="G280" s="11"/>
      <c r="H280" s="12"/>
      <c r="I280" s="11"/>
      <c r="J280" s="11"/>
    </row>
    <row x14ac:dyDescent="0.25" r="281" customHeight="1" ht="17.25">
      <c r="A281" s="14" t="s">
        <v>3</v>
      </c>
      <c r="B281" s="14" t="s">
        <v>4</v>
      </c>
      <c r="C281" s="14" t="s">
        <v>5</v>
      </c>
      <c r="D281" s="14" t="s">
        <v>6</v>
      </c>
      <c r="E281" s="15" t="s">
        <v>7</v>
      </c>
      <c r="F281" s="14" t="s">
        <v>8</v>
      </c>
      <c r="G281" s="14" t="s">
        <v>9</v>
      </c>
      <c r="H281" s="15" t="s">
        <v>10</v>
      </c>
      <c r="I281" s="14" t="s">
        <v>11</v>
      </c>
      <c r="J281" s="14" t="s">
        <v>12</v>
      </c>
    </row>
    <row x14ac:dyDescent="0.25" r="282" customHeight="1" ht="17.25">
      <c r="A282" s="17" t="s">
        <v>7024</v>
      </c>
      <c r="B282" s="17" t="s">
        <v>458</v>
      </c>
      <c r="C282" s="17" t="s">
        <v>76</v>
      </c>
      <c r="D282" s="17" t="s">
        <v>16</v>
      </c>
      <c r="E282" s="18">
        <f>ROUND(6745*1.05,2)</f>
      </c>
      <c r="F282" s="17" t="s">
        <v>17</v>
      </c>
      <c r="G282" s="17" t="s">
        <v>18</v>
      </c>
      <c r="H282" s="18">
        <f>ROUND(RAND()*4+6,1)</f>
      </c>
      <c r="I282" s="17" t="s">
        <v>19</v>
      </c>
      <c r="J282" s="19">
        <f>ROUND(92*1,0)&amp;"%"</f>
      </c>
    </row>
    <row x14ac:dyDescent="0.25" r="283" customHeight="1" ht="17.25">
      <c r="A283" s="20" t="s">
        <v>7025</v>
      </c>
      <c r="B283" s="20" t="s">
        <v>460</v>
      </c>
      <c r="C283" s="20" t="s">
        <v>76</v>
      </c>
      <c r="D283" s="20" t="s">
        <v>22</v>
      </c>
      <c r="E283" s="21">
        <f>ROUND(14243*1.05,2)</f>
      </c>
      <c r="F283" s="20" t="s">
        <v>23</v>
      </c>
      <c r="G283" s="20" t="s">
        <v>24</v>
      </c>
      <c r="H283" s="21">
        <f>ROUND(RAND()*4+6,1)</f>
      </c>
      <c r="I283" s="20" t="s">
        <v>25</v>
      </c>
      <c r="J283" s="23">
        <f>ROUND(74*1,0)&amp;"%"</f>
      </c>
    </row>
    <row x14ac:dyDescent="0.25" r="284" customHeight="1" ht="17.25">
      <c r="A284" s="17" t="s">
        <v>7026</v>
      </c>
      <c r="B284" s="17" t="s">
        <v>462</v>
      </c>
      <c r="C284" s="17" t="s">
        <v>76</v>
      </c>
      <c r="D284" s="17" t="s">
        <v>28</v>
      </c>
      <c r="E284" s="18">
        <f>ROUND(4318*1.05,2)</f>
      </c>
      <c r="F284" s="17" t="s">
        <v>29</v>
      </c>
      <c r="G284" s="17" t="s">
        <v>30</v>
      </c>
      <c r="H284" s="18">
        <f>ROUND(RAND()*4+6,1)</f>
      </c>
      <c r="I284" s="17" t="s">
        <v>31</v>
      </c>
      <c r="J284" s="19">
        <f>ROUND(86*1,0)&amp;"%"</f>
      </c>
    </row>
    <row x14ac:dyDescent="0.25" r="285" customHeight="1" ht="17.25">
      <c r="A285" s="20" t="s">
        <v>7027</v>
      </c>
      <c r="B285" s="20" t="s">
        <v>464</v>
      </c>
      <c r="C285" s="20" t="s">
        <v>76</v>
      </c>
      <c r="D285" s="20" t="s">
        <v>34</v>
      </c>
      <c r="E285" s="21">
        <f>ROUND(15508*1.05,2)</f>
      </c>
      <c r="F285" s="20" t="s">
        <v>35</v>
      </c>
      <c r="G285" s="20" t="s">
        <v>18</v>
      </c>
      <c r="H285" s="21">
        <f>ROUND(RAND()*4+6,1)</f>
      </c>
      <c r="I285" s="20" t="s">
        <v>36</v>
      </c>
      <c r="J285" s="23">
        <f>ROUND(65*1,0)&amp;"%"</f>
      </c>
    </row>
    <row x14ac:dyDescent="0.25" r="286" customHeight="1" ht="17.25">
      <c r="A286" s="17" t="s">
        <v>7028</v>
      </c>
      <c r="B286" s="17" t="s">
        <v>466</v>
      </c>
      <c r="C286" s="17" t="s">
        <v>76</v>
      </c>
      <c r="D286" s="17" t="s">
        <v>39</v>
      </c>
      <c r="E286" s="18">
        <f>ROUND(17676*1.05,2)</f>
      </c>
      <c r="F286" s="17" t="s">
        <v>40</v>
      </c>
      <c r="G286" s="17" t="s">
        <v>24</v>
      </c>
      <c r="H286" s="18">
        <f>ROUND(RAND()*4+6,1)</f>
      </c>
      <c r="I286" s="17" t="s">
        <v>41</v>
      </c>
      <c r="J286" s="19">
        <f>ROUND(70*1,0)&amp;"%"</f>
      </c>
    </row>
    <row x14ac:dyDescent="0.25" r="287" customHeight="1" ht="17.25">
      <c r="A287" s="20" t="s">
        <v>7029</v>
      </c>
      <c r="B287" s="20" t="s">
        <v>468</v>
      </c>
      <c r="C287" s="20" t="s">
        <v>76</v>
      </c>
      <c r="D287" s="20" t="s">
        <v>67</v>
      </c>
      <c r="E287" s="21">
        <f>ROUND(8221*1.05,2)</f>
      </c>
      <c r="F287" s="20" t="s">
        <v>44</v>
      </c>
      <c r="G287" s="20" t="s">
        <v>30</v>
      </c>
      <c r="H287" s="21">
        <f>ROUND(RAND()*4+6,1)</f>
      </c>
      <c r="I287" s="20" t="s">
        <v>45</v>
      </c>
      <c r="J287" s="23">
        <f>ROUND(62*1,0)&amp;"%"</f>
      </c>
    </row>
    <row x14ac:dyDescent="0.25" r="288" customHeight="1" ht="17.25">
      <c r="A288" s="17" t="s">
        <v>7030</v>
      </c>
      <c r="B288" s="17" t="s">
        <v>470</v>
      </c>
      <c r="C288" s="17" t="s">
        <v>76</v>
      </c>
      <c r="D288" s="17" t="s">
        <v>16</v>
      </c>
      <c r="E288" s="18">
        <f>ROUND(6768*1.05,2)</f>
      </c>
      <c r="F288" s="17" t="s">
        <v>48</v>
      </c>
      <c r="G288" s="17" t="s">
        <v>18</v>
      </c>
      <c r="H288" s="18">
        <f>ROUND(RAND()*4+6,1)</f>
      </c>
      <c r="I288" s="17" t="s">
        <v>19</v>
      </c>
      <c r="J288" s="19">
        <f>ROUND(79*1,0)&amp;"%"</f>
      </c>
    </row>
    <row x14ac:dyDescent="0.25" r="289" customHeight="1" ht="17.25">
      <c r="A289" s="20" t="s">
        <v>7031</v>
      </c>
      <c r="B289" s="20" t="s">
        <v>472</v>
      </c>
      <c r="C289" s="20" t="s">
        <v>76</v>
      </c>
      <c r="D289" s="20" t="s">
        <v>22</v>
      </c>
      <c r="E289" s="21">
        <f>ROUND(13707*1.05,2)</f>
      </c>
      <c r="F289" s="20" t="s">
        <v>51</v>
      </c>
      <c r="G289" s="20" t="s">
        <v>24</v>
      </c>
      <c r="H289" s="22">
        <f>ROUND(RAND()*4+6,1)</f>
      </c>
      <c r="I289" s="20" t="s">
        <v>25</v>
      </c>
      <c r="J289" s="23">
        <f>ROUND(89*1,0)&amp;"%"</f>
      </c>
    </row>
    <row x14ac:dyDescent="0.25" r="290" customHeight="1" ht="17.25">
      <c r="A290" s="24" t="s">
        <v>473</v>
      </c>
      <c r="B290" s="24"/>
      <c r="C290" s="24"/>
      <c r="D290" s="24"/>
      <c r="E290" s="25">
        <v>8</v>
      </c>
      <c r="F290" s="9"/>
      <c r="G290" s="9"/>
      <c r="H290" s="31"/>
      <c r="I290" s="9"/>
      <c r="J290" s="9"/>
    </row>
    <row x14ac:dyDescent="0.25" r="291" customHeight="1" ht="17.25">
      <c r="A291" s="7"/>
      <c r="B291" s="7"/>
      <c r="C291" s="7"/>
      <c r="D291" s="7"/>
      <c r="E291" s="8"/>
      <c r="F291" s="9"/>
      <c r="G291" s="9"/>
      <c r="H291" s="31"/>
      <c r="I291" s="9"/>
      <c r="J291" s="9"/>
    </row>
    <row x14ac:dyDescent="0.25" r="292" customHeight="1" ht="17.25">
      <c r="A292" s="11" t="s">
        <v>7032</v>
      </c>
      <c r="B292" s="11"/>
      <c r="C292" s="11"/>
      <c r="D292" s="11"/>
      <c r="E292" s="12"/>
      <c r="F292" s="11"/>
      <c r="G292" s="11"/>
      <c r="H292" s="12"/>
      <c r="I292" s="11"/>
      <c r="J292" s="11"/>
    </row>
    <row x14ac:dyDescent="0.25" r="293" customHeight="1" ht="17.25">
      <c r="A293" s="14" t="s">
        <v>3</v>
      </c>
      <c r="B293" s="14" t="s">
        <v>4</v>
      </c>
      <c r="C293" s="14" t="s">
        <v>5</v>
      </c>
      <c r="D293" s="14" t="s">
        <v>6</v>
      </c>
      <c r="E293" s="15" t="s">
        <v>7</v>
      </c>
      <c r="F293" s="14" t="s">
        <v>8</v>
      </c>
      <c r="G293" s="14" t="s">
        <v>9</v>
      </c>
      <c r="H293" s="15" t="s">
        <v>10</v>
      </c>
      <c r="I293" s="14" t="s">
        <v>11</v>
      </c>
      <c r="J293" s="14" t="s">
        <v>12</v>
      </c>
    </row>
    <row x14ac:dyDescent="0.25" r="294" customHeight="1" ht="17.25">
      <c r="A294" s="17" t="s">
        <v>7033</v>
      </c>
      <c r="B294" s="17" t="s">
        <v>476</v>
      </c>
      <c r="C294" s="17" t="s">
        <v>95</v>
      </c>
      <c r="D294" s="17" t="s">
        <v>16</v>
      </c>
      <c r="E294" s="18">
        <f>ROUND(12731*1.05,2)</f>
      </c>
      <c r="F294" s="17" t="s">
        <v>17</v>
      </c>
      <c r="G294" s="17" t="s">
        <v>18</v>
      </c>
      <c r="H294" s="18">
        <f>ROUND(RAND()*4+6,1)</f>
      </c>
      <c r="I294" s="17" t="s">
        <v>19</v>
      </c>
      <c r="J294" s="19">
        <f>ROUND(76*1,0)&amp;"%"</f>
      </c>
    </row>
    <row x14ac:dyDescent="0.25" r="295" customHeight="1" ht="17.25">
      <c r="A295" s="20" t="s">
        <v>7034</v>
      </c>
      <c r="B295" s="20" t="s">
        <v>478</v>
      </c>
      <c r="C295" s="20" t="s">
        <v>95</v>
      </c>
      <c r="D295" s="20" t="s">
        <v>22</v>
      </c>
      <c r="E295" s="21">
        <f>ROUND(16972*1.05,2)</f>
      </c>
      <c r="F295" s="20" t="s">
        <v>23</v>
      </c>
      <c r="G295" s="20" t="s">
        <v>24</v>
      </c>
      <c r="H295" s="21">
        <f>ROUND(RAND()*4+6,1)</f>
      </c>
      <c r="I295" s="20" t="s">
        <v>25</v>
      </c>
      <c r="J295" s="23">
        <f>ROUND(78*1,0)&amp;"%"</f>
      </c>
    </row>
    <row x14ac:dyDescent="0.25" r="296" customHeight="1" ht="17.25">
      <c r="A296" s="17" t="s">
        <v>7035</v>
      </c>
      <c r="B296" s="17" t="s">
        <v>480</v>
      </c>
      <c r="C296" s="17" t="s">
        <v>95</v>
      </c>
      <c r="D296" s="17" t="s">
        <v>28</v>
      </c>
      <c r="E296" s="18">
        <f>ROUND(16979*1.05,2)</f>
      </c>
      <c r="F296" s="17" t="s">
        <v>29</v>
      </c>
      <c r="G296" s="17" t="s">
        <v>30</v>
      </c>
      <c r="H296" s="18">
        <f>ROUND(RAND()*4+6,1)</f>
      </c>
      <c r="I296" s="17" t="s">
        <v>31</v>
      </c>
      <c r="J296" s="19">
        <f>ROUND(60*1,0)&amp;"%"</f>
      </c>
    </row>
    <row x14ac:dyDescent="0.25" r="297" customHeight="1" ht="17.25">
      <c r="A297" s="20" t="s">
        <v>7036</v>
      </c>
      <c r="B297" s="20" t="s">
        <v>482</v>
      </c>
      <c r="C297" s="20" t="s">
        <v>95</v>
      </c>
      <c r="D297" s="20" t="s">
        <v>34</v>
      </c>
      <c r="E297" s="21">
        <f>ROUND(16049*1.05,2)</f>
      </c>
      <c r="F297" s="20" t="s">
        <v>35</v>
      </c>
      <c r="G297" s="20" t="s">
        <v>18</v>
      </c>
      <c r="H297" s="21">
        <f>ROUND(RAND()*4+6,1)</f>
      </c>
      <c r="I297" s="20" t="s">
        <v>36</v>
      </c>
      <c r="J297" s="23">
        <f>ROUND(91*1,0)&amp;"%"</f>
      </c>
    </row>
    <row x14ac:dyDescent="0.25" r="298" customHeight="1" ht="17.25">
      <c r="A298" s="17" t="s">
        <v>7037</v>
      </c>
      <c r="B298" s="17" t="s">
        <v>484</v>
      </c>
      <c r="C298" s="17" t="s">
        <v>95</v>
      </c>
      <c r="D298" s="17" t="s">
        <v>39</v>
      </c>
      <c r="E298" s="18">
        <f>ROUND(4586*1.05,2)</f>
      </c>
      <c r="F298" s="17" t="s">
        <v>40</v>
      </c>
      <c r="G298" s="17" t="s">
        <v>24</v>
      </c>
      <c r="H298" s="18">
        <f>ROUND(RAND()*4+6,1)</f>
      </c>
      <c r="I298" s="17" t="s">
        <v>41</v>
      </c>
      <c r="J298" s="19">
        <f>ROUND(62*1,0)&amp;"%"</f>
      </c>
    </row>
    <row x14ac:dyDescent="0.25" r="299" customHeight="1" ht="17.25">
      <c r="A299" s="20" t="s">
        <v>7038</v>
      </c>
      <c r="B299" s="20" t="s">
        <v>486</v>
      </c>
      <c r="C299" s="20" t="s">
        <v>95</v>
      </c>
      <c r="D299" s="20" t="s">
        <v>67</v>
      </c>
      <c r="E299" s="21">
        <f>ROUND(12408*1.05,2)</f>
      </c>
      <c r="F299" s="20" t="s">
        <v>44</v>
      </c>
      <c r="G299" s="20" t="s">
        <v>30</v>
      </c>
      <c r="H299" s="21">
        <f>ROUND(RAND()*4+6,1)</f>
      </c>
      <c r="I299" s="20" t="s">
        <v>45</v>
      </c>
      <c r="J299" s="23">
        <f>ROUND(79*1,0)&amp;"%"</f>
      </c>
    </row>
    <row x14ac:dyDescent="0.25" r="300" customHeight="1" ht="17.25">
      <c r="A300" s="17" t="s">
        <v>7039</v>
      </c>
      <c r="B300" s="17" t="s">
        <v>488</v>
      </c>
      <c r="C300" s="17" t="s">
        <v>95</v>
      </c>
      <c r="D300" s="17" t="s">
        <v>16</v>
      </c>
      <c r="E300" s="18">
        <f>ROUND(11295*1.05,2)</f>
      </c>
      <c r="F300" s="17" t="s">
        <v>48</v>
      </c>
      <c r="G300" s="17" t="s">
        <v>18</v>
      </c>
      <c r="H300" s="18">
        <f>ROUND(RAND()*4+6,1)</f>
      </c>
      <c r="I300" s="17" t="s">
        <v>19</v>
      </c>
      <c r="J300" s="19">
        <f>ROUND(99*1,0)&amp;"%"</f>
      </c>
    </row>
    <row x14ac:dyDescent="0.25" r="301" customHeight="1" ht="17.25">
      <c r="A301" s="20" t="s">
        <v>7040</v>
      </c>
      <c r="B301" s="20" t="s">
        <v>490</v>
      </c>
      <c r="C301" s="20" t="s">
        <v>95</v>
      </c>
      <c r="D301" s="20" t="s">
        <v>22</v>
      </c>
      <c r="E301" s="21">
        <f>ROUND(15153*1.05,2)</f>
      </c>
      <c r="F301" s="20" t="s">
        <v>51</v>
      </c>
      <c r="G301" s="20" t="s">
        <v>24</v>
      </c>
      <c r="H301" s="21">
        <f>ROUND(RAND()*4+6,1)</f>
      </c>
      <c r="I301" s="20" t="s">
        <v>25</v>
      </c>
      <c r="J301" s="23">
        <f>ROUND(81*1,0)&amp;"%"</f>
      </c>
    </row>
    <row x14ac:dyDescent="0.25" r="302" customHeight="1" ht="17.25">
      <c r="A302" s="24" t="s">
        <v>491</v>
      </c>
      <c r="B302" s="24"/>
      <c r="C302" s="24"/>
      <c r="D302" s="24"/>
      <c r="E302" s="25">
        <v>8</v>
      </c>
      <c r="F302" s="9"/>
      <c r="G302" s="9"/>
      <c r="H302" s="31"/>
      <c r="I302" s="9"/>
      <c r="J302" s="9"/>
    </row>
    <row x14ac:dyDescent="0.25" r="303" customHeight="1" ht="17.25">
      <c r="A303" s="7"/>
      <c r="B303" s="7"/>
      <c r="C303" s="7"/>
      <c r="D303" s="7"/>
      <c r="E303" s="8"/>
      <c r="F303" s="9"/>
      <c r="G303" s="9"/>
      <c r="H303" s="31"/>
      <c r="I303" s="9"/>
      <c r="J303" s="9"/>
    </row>
    <row x14ac:dyDescent="0.25" r="304" customHeight="1" ht="17.25">
      <c r="A304" s="11" t="s">
        <v>7041</v>
      </c>
      <c r="B304" s="11"/>
      <c r="C304" s="11"/>
      <c r="D304" s="11"/>
      <c r="E304" s="12"/>
      <c r="F304" s="11"/>
      <c r="G304" s="11"/>
      <c r="H304" s="12"/>
      <c r="I304" s="11"/>
      <c r="J304" s="11"/>
    </row>
    <row x14ac:dyDescent="0.25" r="305" customHeight="1" ht="17.25">
      <c r="A305" s="14" t="s">
        <v>3</v>
      </c>
      <c r="B305" s="14" t="s">
        <v>4</v>
      </c>
      <c r="C305" s="14" t="s">
        <v>5</v>
      </c>
      <c r="D305" s="14" t="s">
        <v>6</v>
      </c>
      <c r="E305" s="15" t="s">
        <v>7</v>
      </c>
      <c r="F305" s="14" t="s">
        <v>8</v>
      </c>
      <c r="G305" s="14" t="s">
        <v>9</v>
      </c>
      <c r="H305" s="15" t="s">
        <v>10</v>
      </c>
      <c r="I305" s="14" t="s">
        <v>11</v>
      </c>
      <c r="J305" s="14" t="s">
        <v>12</v>
      </c>
    </row>
    <row x14ac:dyDescent="0.25" r="306" customHeight="1" ht="17.25">
      <c r="A306" s="17" t="s">
        <v>7042</v>
      </c>
      <c r="B306" s="17" t="s">
        <v>494</v>
      </c>
      <c r="C306" s="17" t="s">
        <v>114</v>
      </c>
      <c r="D306" s="17" t="s">
        <v>16</v>
      </c>
      <c r="E306" s="18">
        <f>ROUND(9924*1.05,2)</f>
      </c>
      <c r="F306" s="17" t="s">
        <v>17</v>
      </c>
      <c r="G306" s="17" t="s">
        <v>18</v>
      </c>
      <c r="H306" s="18">
        <f>ROUND(RAND()*4+6,1)</f>
      </c>
      <c r="I306" s="17" t="s">
        <v>19</v>
      </c>
      <c r="J306" s="19">
        <f>ROUND(76*1,0)&amp;"%"</f>
      </c>
    </row>
    <row x14ac:dyDescent="0.25" r="307" customHeight="1" ht="17.25">
      <c r="A307" s="20" t="s">
        <v>7043</v>
      </c>
      <c r="B307" s="20" t="s">
        <v>496</v>
      </c>
      <c r="C307" s="20" t="s">
        <v>114</v>
      </c>
      <c r="D307" s="20" t="s">
        <v>22</v>
      </c>
      <c r="E307" s="21">
        <f>ROUND(17254*1.05,2)</f>
      </c>
      <c r="F307" s="20" t="s">
        <v>23</v>
      </c>
      <c r="G307" s="20" t="s">
        <v>24</v>
      </c>
      <c r="H307" s="21">
        <f>ROUND(RAND()*4+6,1)</f>
      </c>
      <c r="I307" s="20" t="s">
        <v>25</v>
      </c>
      <c r="J307" s="23">
        <f>ROUND(73*1,0)&amp;"%"</f>
      </c>
    </row>
    <row x14ac:dyDescent="0.25" r="308" customHeight="1" ht="17.25">
      <c r="A308" s="17" t="s">
        <v>7044</v>
      </c>
      <c r="B308" s="17" t="s">
        <v>498</v>
      </c>
      <c r="C308" s="17" t="s">
        <v>114</v>
      </c>
      <c r="D308" s="17" t="s">
        <v>28</v>
      </c>
      <c r="E308" s="18">
        <f>ROUND(16973*1.05,2)</f>
      </c>
      <c r="F308" s="17" t="s">
        <v>29</v>
      </c>
      <c r="G308" s="17" t="s">
        <v>30</v>
      </c>
      <c r="H308" s="18">
        <f>ROUND(RAND()*4+6,1)</f>
      </c>
      <c r="I308" s="17" t="s">
        <v>31</v>
      </c>
      <c r="J308" s="19">
        <f>ROUND(66*1,0)&amp;"%"</f>
      </c>
    </row>
    <row x14ac:dyDescent="0.25" r="309" customHeight="1" ht="17.25">
      <c r="A309" s="20" t="s">
        <v>7045</v>
      </c>
      <c r="B309" s="20" t="s">
        <v>500</v>
      </c>
      <c r="C309" s="20" t="s">
        <v>114</v>
      </c>
      <c r="D309" s="20" t="s">
        <v>34</v>
      </c>
      <c r="E309" s="21">
        <f>ROUND(14568*1.05,2)</f>
      </c>
      <c r="F309" s="20" t="s">
        <v>35</v>
      </c>
      <c r="G309" s="20" t="s">
        <v>18</v>
      </c>
      <c r="H309" s="21">
        <f>ROUND(RAND()*4+6,1)</f>
      </c>
      <c r="I309" s="20" t="s">
        <v>36</v>
      </c>
      <c r="J309" s="23">
        <f>ROUND(76*1,0)&amp;"%"</f>
      </c>
    </row>
    <row x14ac:dyDescent="0.25" r="310" customHeight="1" ht="17.25">
      <c r="A310" s="17" t="s">
        <v>7046</v>
      </c>
      <c r="B310" s="17" t="s">
        <v>502</v>
      </c>
      <c r="C310" s="17" t="s">
        <v>114</v>
      </c>
      <c r="D310" s="17" t="s">
        <v>39</v>
      </c>
      <c r="E310" s="18">
        <f>ROUND(17593*1.05,2)</f>
      </c>
      <c r="F310" s="17" t="s">
        <v>40</v>
      </c>
      <c r="G310" s="17" t="s">
        <v>24</v>
      </c>
      <c r="H310" s="18">
        <f>ROUND(RAND()*4+6,1)</f>
      </c>
      <c r="I310" s="17" t="s">
        <v>41</v>
      </c>
      <c r="J310" s="19">
        <f>ROUND(64*1,0)&amp;"%"</f>
      </c>
    </row>
    <row x14ac:dyDescent="0.25" r="311" customHeight="1" ht="17.25">
      <c r="A311" s="20" t="s">
        <v>7047</v>
      </c>
      <c r="B311" s="20" t="s">
        <v>504</v>
      </c>
      <c r="C311" s="20" t="s">
        <v>114</v>
      </c>
      <c r="D311" s="20" t="s">
        <v>67</v>
      </c>
      <c r="E311" s="21">
        <f>ROUND(7546*1.05,2)</f>
      </c>
      <c r="F311" s="20" t="s">
        <v>44</v>
      </c>
      <c r="G311" s="20" t="s">
        <v>30</v>
      </c>
      <c r="H311" s="21">
        <f>ROUND(RAND()*4+6,1)</f>
      </c>
      <c r="I311" s="20" t="s">
        <v>45</v>
      </c>
      <c r="J311" s="23">
        <f>ROUND(83*1,0)&amp;"%"</f>
      </c>
    </row>
    <row x14ac:dyDescent="0.25" r="312" customHeight="1" ht="17.25">
      <c r="A312" s="17" t="s">
        <v>7048</v>
      </c>
      <c r="B312" s="17" t="s">
        <v>506</v>
      </c>
      <c r="C312" s="17" t="s">
        <v>114</v>
      </c>
      <c r="D312" s="17" t="s">
        <v>16</v>
      </c>
      <c r="E312" s="18">
        <f>ROUND(5157*1.05,2)</f>
      </c>
      <c r="F312" s="17" t="s">
        <v>48</v>
      </c>
      <c r="G312" s="17" t="s">
        <v>18</v>
      </c>
      <c r="H312" s="18">
        <f>ROUND(RAND()*4+6,1)</f>
      </c>
      <c r="I312" s="17" t="s">
        <v>19</v>
      </c>
      <c r="J312" s="19">
        <f>ROUND(69*1,0)&amp;"%"</f>
      </c>
    </row>
    <row x14ac:dyDescent="0.25" r="313" customHeight="1" ht="17.25">
      <c r="A313" s="20" t="s">
        <v>7049</v>
      </c>
      <c r="B313" s="20" t="s">
        <v>508</v>
      </c>
      <c r="C313" s="20" t="s">
        <v>114</v>
      </c>
      <c r="D313" s="20" t="s">
        <v>22</v>
      </c>
      <c r="E313" s="21">
        <f>ROUND(4843*1.05,2)</f>
      </c>
      <c r="F313" s="20" t="s">
        <v>51</v>
      </c>
      <c r="G313" s="20" t="s">
        <v>24</v>
      </c>
      <c r="H313" s="21">
        <f>ROUND(RAND()*4+6,1)</f>
      </c>
      <c r="I313" s="20" t="s">
        <v>25</v>
      </c>
      <c r="J313" s="23">
        <f>ROUND(87*1,0)&amp;"%"</f>
      </c>
    </row>
    <row x14ac:dyDescent="0.25" r="314" customHeight="1" ht="17.25">
      <c r="A314" s="24" t="s">
        <v>509</v>
      </c>
      <c r="B314" s="24"/>
      <c r="C314" s="24"/>
      <c r="D314" s="24"/>
      <c r="E314" s="25">
        <v>8</v>
      </c>
      <c r="F314" s="9"/>
      <c r="G314" s="9"/>
      <c r="H314" s="31"/>
      <c r="I314" s="9"/>
      <c r="J314" s="9"/>
    </row>
    <row x14ac:dyDescent="0.25" r="315" customHeight="1" ht="17.25">
      <c r="A315" s="7"/>
      <c r="B315" s="7"/>
      <c r="C315" s="7"/>
      <c r="D315" s="7"/>
      <c r="E315" s="8"/>
      <c r="F315" s="9"/>
      <c r="G315" s="9"/>
      <c r="H315" s="31"/>
      <c r="I315" s="9"/>
      <c r="J315" s="9"/>
    </row>
    <row x14ac:dyDescent="0.25" r="316" customHeight="1" ht="17.25">
      <c r="A316" s="11" t="s">
        <v>7050</v>
      </c>
      <c r="B316" s="11"/>
      <c r="C316" s="11"/>
      <c r="D316" s="11"/>
      <c r="E316" s="12"/>
      <c r="F316" s="11"/>
      <c r="G316" s="11"/>
      <c r="H316" s="12"/>
      <c r="I316" s="11"/>
      <c r="J316" s="11"/>
    </row>
    <row x14ac:dyDescent="0.25" r="317" customHeight="1" ht="17.25">
      <c r="A317" s="14" t="s">
        <v>3</v>
      </c>
      <c r="B317" s="14" t="s">
        <v>4</v>
      </c>
      <c r="C317" s="14" t="s">
        <v>5</v>
      </c>
      <c r="D317" s="14" t="s">
        <v>6</v>
      </c>
      <c r="E317" s="15" t="s">
        <v>7</v>
      </c>
      <c r="F317" s="14" t="s">
        <v>8</v>
      </c>
      <c r="G317" s="14" t="s">
        <v>9</v>
      </c>
      <c r="H317" s="15" t="s">
        <v>10</v>
      </c>
      <c r="I317" s="14" t="s">
        <v>11</v>
      </c>
      <c r="J317" s="14" t="s">
        <v>12</v>
      </c>
    </row>
    <row x14ac:dyDescent="0.25" r="318" customHeight="1" ht="17.25">
      <c r="A318" s="17" t="s">
        <v>7051</v>
      </c>
      <c r="B318" s="17" t="s">
        <v>512</v>
      </c>
      <c r="C318" s="17" t="s">
        <v>133</v>
      </c>
      <c r="D318" s="17" t="s">
        <v>16</v>
      </c>
      <c r="E318" s="18">
        <f>ROUND(9217*1.05,2)</f>
      </c>
      <c r="F318" s="17" t="s">
        <v>17</v>
      </c>
      <c r="G318" s="17" t="s">
        <v>18</v>
      </c>
      <c r="H318" s="18">
        <f>ROUND(RAND()*4+6,1)</f>
      </c>
      <c r="I318" s="17" t="s">
        <v>19</v>
      </c>
      <c r="J318" s="19">
        <f>ROUND(61*1,0)&amp;"%"</f>
      </c>
    </row>
    <row x14ac:dyDescent="0.25" r="319" customHeight="1" ht="17.25">
      <c r="A319" s="20" t="s">
        <v>7052</v>
      </c>
      <c r="B319" s="20" t="s">
        <v>514</v>
      </c>
      <c r="C319" s="20" t="s">
        <v>133</v>
      </c>
      <c r="D319" s="20" t="s">
        <v>22</v>
      </c>
      <c r="E319" s="21">
        <f>ROUND(17313*1.05,2)</f>
      </c>
      <c r="F319" s="20" t="s">
        <v>23</v>
      </c>
      <c r="G319" s="20" t="s">
        <v>24</v>
      </c>
      <c r="H319" s="21">
        <f>ROUND(RAND()*4+6,1)</f>
      </c>
      <c r="I319" s="20" t="s">
        <v>25</v>
      </c>
      <c r="J319" s="23">
        <f>ROUND(87*1,0)&amp;"%"</f>
      </c>
    </row>
    <row x14ac:dyDescent="0.25" r="320" customHeight="1" ht="17.25">
      <c r="A320" s="17" t="s">
        <v>7053</v>
      </c>
      <c r="B320" s="17" t="s">
        <v>516</v>
      </c>
      <c r="C320" s="17" t="s">
        <v>133</v>
      </c>
      <c r="D320" s="17" t="s">
        <v>28</v>
      </c>
      <c r="E320" s="18">
        <f>ROUND(11927*1.05,2)</f>
      </c>
      <c r="F320" s="17" t="s">
        <v>29</v>
      </c>
      <c r="G320" s="17" t="s">
        <v>30</v>
      </c>
      <c r="H320" s="18">
        <f>ROUND(RAND()*4+6,1)</f>
      </c>
      <c r="I320" s="17" t="s">
        <v>31</v>
      </c>
      <c r="J320" s="19">
        <f>ROUND(84*1,0)&amp;"%"</f>
      </c>
    </row>
    <row x14ac:dyDescent="0.25" r="321" customHeight="1" ht="17.25">
      <c r="A321" s="20" t="s">
        <v>7054</v>
      </c>
      <c r="B321" s="20" t="s">
        <v>518</v>
      </c>
      <c r="C321" s="20" t="s">
        <v>133</v>
      </c>
      <c r="D321" s="20" t="s">
        <v>34</v>
      </c>
      <c r="E321" s="21">
        <f>ROUND(16307*1.05,2)</f>
      </c>
      <c r="F321" s="20" t="s">
        <v>35</v>
      </c>
      <c r="G321" s="20" t="s">
        <v>18</v>
      </c>
      <c r="H321" s="21">
        <f>ROUND(RAND()*4+6,1)</f>
      </c>
      <c r="I321" s="20" t="s">
        <v>36</v>
      </c>
      <c r="J321" s="23">
        <f>ROUND(87*1,0)&amp;"%"</f>
      </c>
    </row>
    <row x14ac:dyDescent="0.25" r="322" customHeight="1" ht="17.25">
      <c r="A322" s="17" t="s">
        <v>7055</v>
      </c>
      <c r="B322" s="17" t="s">
        <v>520</v>
      </c>
      <c r="C322" s="17" t="s">
        <v>133</v>
      </c>
      <c r="D322" s="17" t="s">
        <v>39</v>
      </c>
      <c r="E322" s="18">
        <f>ROUND(4056*1.05,2)</f>
      </c>
      <c r="F322" s="17" t="s">
        <v>40</v>
      </c>
      <c r="G322" s="17" t="s">
        <v>24</v>
      </c>
      <c r="H322" s="18">
        <f>ROUND(RAND()*4+6,1)</f>
      </c>
      <c r="I322" s="17" t="s">
        <v>41</v>
      </c>
      <c r="J322" s="19">
        <f>ROUND(66*1,0)&amp;"%"</f>
      </c>
    </row>
    <row x14ac:dyDescent="0.25" r="323" customHeight="1" ht="17.25">
      <c r="A323" s="20" t="s">
        <v>7056</v>
      </c>
      <c r="B323" s="20" t="s">
        <v>522</v>
      </c>
      <c r="C323" s="20" t="s">
        <v>133</v>
      </c>
      <c r="D323" s="20" t="s">
        <v>67</v>
      </c>
      <c r="E323" s="21">
        <f>ROUND(16237*1.05,2)</f>
      </c>
      <c r="F323" s="20" t="s">
        <v>44</v>
      </c>
      <c r="G323" s="20" t="s">
        <v>30</v>
      </c>
      <c r="H323" s="21">
        <f>ROUND(RAND()*4+6,1)</f>
      </c>
      <c r="I323" s="20" t="s">
        <v>45</v>
      </c>
      <c r="J323" s="23">
        <f>ROUND(69*1,0)&amp;"%"</f>
      </c>
    </row>
    <row x14ac:dyDescent="0.25" r="324" customHeight="1" ht="17.25">
      <c r="A324" s="17" t="s">
        <v>7057</v>
      </c>
      <c r="B324" s="17" t="s">
        <v>524</v>
      </c>
      <c r="C324" s="17" t="s">
        <v>133</v>
      </c>
      <c r="D324" s="17" t="s">
        <v>16</v>
      </c>
      <c r="E324" s="18">
        <f>ROUND(5650*1.05,2)</f>
      </c>
      <c r="F324" s="17" t="s">
        <v>48</v>
      </c>
      <c r="G324" s="17" t="s">
        <v>18</v>
      </c>
      <c r="H324" s="18">
        <f>ROUND(RAND()*4+6,1)</f>
      </c>
      <c r="I324" s="17" t="s">
        <v>19</v>
      </c>
      <c r="J324" s="19">
        <f>ROUND(91*1,0)&amp;"%"</f>
      </c>
    </row>
    <row x14ac:dyDescent="0.25" r="325" customHeight="1" ht="17.25">
      <c r="A325" s="20" t="s">
        <v>7058</v>
      </c>
      <c r="B325" s="20" t="s">
        <v>526</v>
      </c>
      <c r="C325" s="20" t="s">
        <v>133</v>
      </c>
      <c r="D325" s="20" t="s">
        <v>22</v>
      </c>
      <c r="E325" s="21">
        <f>ROUND(11877*1.05,2)</f>
      </c>
      <c r="F325" s="20" t="s">
        <v>51</v>
      </c>
      <c r="G325" s="20" t="s">
        <v>24</v>
      </c>
      <c r="H325" s="21">
        <f>ROUND(RAND()*4+6,1)</f>
      </c>
      <c r="I325" s="20" t="s">
        <v>25</v>
      </c>
      <c r="J325" s="23">
        <f>ROUND(71*1,0)&amp;"%"</f>
      </c>
    </row>
    <row x14ac:dyDescent="0.25" r="326" customHeight="1" ht="17.25">
      <c r="A326" s="24" t="s">
        <v>527</v>
      </c>
      <c r="B326" s="24"/>
      <c r="C326" s="24"/>
      <c r="D326" s="24"/>
      <c r="E326" s="25">
        <v>8</v>
      </c>
      <c r="F326" s="9"/>
      <c r="G326" s="9"/>
      <c r="H326" s="31"/>
      <c r="I326" s="9"/>
      <c r="J326" s="9"/>
    </row>
    <row x14ac:dyDescent="0.25" r="327" customHeight="1" ht="17.25">
      <c r="A327" s="7"/>
      <c r="B327" s="7"/>
      <c r="C327" s="7"/>
      <c r="D327" s="7"/>
      <c r="E327" s="8"/>
      <c r="F327" s="9"/>
      <c r="G327" s="9"/>
      <c r="H327" s="31"/>
      <c r="I327" s="9"/>
      <c r="J327" s="9"/>
    </row>
    <row x14ac:dyDescent="0.25" r="328" customHeight="1" ht="17.25">
      <c r="A328" s="11" t="s">
        <v>7059</v>
      </c>
      <c r="B328" s="11"/>
      <c r="C328" s="11"/>
      <c r="D328" s="11"/>
      <c r="E328" s="12"/>
      <c r="F328" s="11"/>
      <c r="G328" s="11"/>
      <c r="H328" s="12"/>
      <c r="I328" s="11"/>
      <c r="J328" s="11"/>
    </row>
    <row x14ac:dyDescent="0.25" r="329" customHeight="1" ht="17.25">
      <c r="A329" s="14" t="s">
        <v>3</v>
      </c>
      <c r="B329" s="14" t="s">
        <v>4</v>
      </c>
      <c r="C329" s="14" t="s">
        <v>5</v>
      </c>
      <c r="D329" s="14" t="s">
        <v>6</v>
      </c>
      <c r="E329" s="15" t="s">
        <v>7</v>
      </c>
      <c r="F329" s="14" t="s">
        <v>8</v>
      </c>
      <c r="G329" s="14" t="s">
        <v>9</v>
      </c>
      <c r="H329" s="15" t="s">
        <v>10</v>
      </c>
      <c r="I329" s="14" t="s">
        <v>11</v>
      </c>
      <c r="J329" s="14" t="s">
        <v>12</v>
      </c>
    </row>
    <row x14ac:dyDescent="0.25" r="330" customHeight="1" ht="17.25">
      <c r="A330" s="17" t="s">
        <v>7060</v>
      </c>
      <c r="B330" s="17" t="s">
        <v>530</v>
      </c>
      <c r="C330" s="17" t="s">
        <v>152</v>
      </c>
      <c r="D330" s="17" t="s">
        <v>16</v>
      </c>
      <c r="E330" s="18">
        <f>ROUND(7105*1.05,2)</f>
      </c>
      <c r="F330" s="17" t="s">
        <v>17</v>
      </c>
      <c r="G330" s="17" t="s">
        <v>18</v>
      </c>
      <c r="H330" s="18">
        <f>ROUND(RAND()*4+6,1)</f>
      </c>
      <c r="I330" s="17" t="s">
        <v>19</v>
      </c>
      <c r="J330" s="19">
        <f>ROUND(60*1,0)&amp;"%"</f>
      </c>
    </row>
    <row x14ac:dyDescent="0.25" r="331" customHeight="1" ht="17.25">
      <c r="A331" s="20" t="s">
        <v>7061</v>
      </c>
      <c r="B331" s="20" t="s">
        <v>532</v>
      </c>
      <c r="C331" s="20" t="s">
        <v>152</v>
      </c>
      <c r="D331" s="20" t="s">
        <v>22</v>
      </c>
      <c r="E331" s="21">
        <f>ROUND(10889*1.05,2)</f>
      </c>
      <c r="F331" s="20" t="s">
        <v>23</v>
      </c>
      <c r="G331" s="20" t="s">
        <v>24</v>
      </c>
      <c r="H331" s="21">
        <f>ROUND(RAND()*4+6,1)</f>
      </c>
      <c r="I331" s="20" t="s">
        <v>25</v>
      </c>
      <c r="J331" s="23">
        <f>ROUND(61*1,0)&amp;"%"</f>
      </c>
    </row>
    <row x14ac:dyDescent="0.25" r="332" customHeight="1" ht="17.25">
      <c r="A332" s="17" t="s">
        <v>7062</v>
      </c>
      <c r="B332" s="17" t="s">
        <v>534</v>
      </c>
      <c r="C332" s="17" t="s">
        <v>152</v>
      </c>
      <c r="D332" s="17" t="s">
        <v>28</v>
      </c>
      <c r="E332" s="18">
        <f>ROUND(16083*1.05,2)</f>
      </c>
      <c r="F332" s="17" t="s">
        <v>29</v>
      </c>
      <c r="G332" s="17" t="s">
        <v>30</v>
      </c>
      <c r="H332" s="18">
        <f>ROUND(RAND()*4+6,1)</f>
      </c>
      <c r="I332" s="17" t="s">
        <v>31</v>
      </c>
      <c r="J332" s="19">
        <f>ROUND(94*1,0)&amp;"%"</f>
      </c>
    </row>
    <row x14ac:dyDescent="0.25" r="333" customHeight="1" ht="17.25">
      <c r="A333" s="20" t="s">
        <v>7063</v>
      </c>
      <c r="B333" s="20" t="s">
        <v>536</v>
      </c>
      <c r="C333" s="20" t="s">
        <v>152</v>
      </c>
      <c r="D333" s="20" t="s">
        <v>34</v>
      </c>
      <c r="E333" s="21">
        <f>ROUND(7565*1.05,2)</f>
      </c>
      <c r="F333" s="20" t="s">
        <v>35</v>
      </c>
      <c r="G333" s="20" t="s">
        <v>18</v>
      </c>
      <c r="H333" s="21">
        <f>ROUND(RAND()*4+6,1)</f>
      </c>
      <c r="I333" s="20" t="s">
        <v>36</v>
      </c>
      <c r="J333" s="23">
        <f>ROUND(70*1,0)&amp;"%"</f>
      </c>
    </row>
    <row x14ac:dyDescent="0.25" r="334" customHeight="1" ht="17.25">
      <c r="A334" s="17" t="s">
        <v>7064</v>
      </c>
      <c r="B334" s="17" t="s">
        <v>538</v>
      </c>
      <c r="C334" s="17" t="s">
        <v>152</v>
      </c>
      <c r="D334" s="17" t="s">
        <v>39</v>
      </c>
      <c r="E334" s="18">
        <f>ROUND(4937*1.05,2)</f>
      </c>
      <c r="F334" s="17" t="s">
        <v>40</v>
      </c>
      <c r="G334" s="17" t="s">
        <v>24</v>
      </c>
      <c r="H334" s="18">
        <f>ROUND(RAND()*4+6,1)</f>
      </c>
      <c r="I334" s="17" t="s">
        <v>41</v>
      </c>
      <c r="J334" s="19">
        <f>ROUND(97*1,0)&amp;"%"</f>
      </c>
    </row>
    <row x14ac:dyDescent="0.25" r="335" customHeight="1" ht="17.25">
      <c r="A335" s="20" t="s">
        <v>7065</v>
      </c>
      <c r="B335" s="20" t="s">
        <v>540</v>
      </c>
      <c r="C335" s="20" t="s">
        <v>152</v>
      </c>
      <c r="D335" s="20" t="s">
        <v>67</v>
      </c>
      <c r="E335" s="21">
        <f>ROUND(7705*1.05,2)</f>
      </c>
      <c r="F335" s="20" t="s">
        <v>44</v>
      </c>
      <c r="G335" s="20" t="s">
        <v>30</v>
      </c>
      <c r="H335" s="21">
        <f>ROUND(RAND()*4+6,1)</f>
      </c>
      <c r="I335" s="20" t="s">
        <v>45</v>
      </c>
      <c r="J335" s="23">
        <f>ROUND(86*1,0)&amp;"%"</f>
      </c>
    </row>
    <row x14ac:dyDescent="0.25" r="336" customHeight="1" ht="17.25">
      <c r="A336" s="17" t="s">
        <v>7066</v>
      </c>
      <c r="B336" s="17" t="s">
        <v>542</v>
      </c>
      <c r="C336" s="17" t="s">
        <v>152</v>
      </c>
      <c r="D336" s="17" t="s">
        <v>16</v>
      </c>
      <c r="E336" s="18">
        <f>ROUND(15456*1.05,2)</f>
      </c>
      <c r="F336" s="17" t="s">
        <v>48</v>
      </c>
      <c r="G336" s="17" t="s">
        <v>18</v>
      </c>
      <c r="H336" s="18">
        <f>ROUND(RAND()*4+6,1)</f>
      </c>
      <c r="I336" s="17" t="s">
        <v>19</v>
      </c>
      <c r="J336" s="19">
        <f>ROUND(79*1,0)&amp;"%"</f>
      </c>
    </row>
    <row x14ac:dyDescent="0.25" r="337" customHeight="1" ht="17.25">
      <c r="A337" s="20" t="s">
        <v>7067</v>
      </c>
      <c r="B337" s="20" t="s">
        <v>544</v>
      </c>
      <c r="C337" s="20" t="s">
        <v>152</v>
      </c>
      <c r="D337" s="20" t="s">
        <v>22</v>
      </c>
      <c r="E337" s="21">
        <f>ROUND(6577*1.05,2)</f>
      </c>
      <c r="F337" s="20" t="s">
        <v>51</v>
      </c>
      <c r="G337" s="20" t="s">
        <v>24</v>
      </c>
      <c r="H337" s="21">
        <f>ROUND(RAND()*4+6,1)</f>
      </c>
      <c r="I337" s="20" t="s">
        <v>25</v>
      </c>
      <c r="J337" s="23">
        <f>ROUND(65*1,0)&amp;"%"</f>
      </c>
    </row>
    <row x14ac:dyDescent="0.25" r="338" customHeight="1" ht="17.25">
      <c r="A338" s="24" t="s">
        <v>545</v>
      </c>
      <c r="B338" s="24"/>
      <c r="C338" s="24"/>
      <c r="D338" s="24"/>
      <c r="E338" s="25">
        <v>8</v>
      </c>
      <c r="F338" s="9"/>
      <c r="G338" s="9"/>
      <c r="H338" s="31"/>
      <c r="I338" s="9"/>
      <c r="J338" s="9"/>
    </row>
    <row x14ac:dyDescent="0.25" r="339" customHeight="1" ht="17.25">
      <c r="A339" s="7"/>
      <c r="B339" s="7"/>
      <c r="C339" s="7"/>
      <c r="D339" s="7"/>
      <c r="E339" s="8"/>
      <c r="F339" s="9"/>
      <c r="G339" s="9"/>
      <c r="H339" s="31"/>
      <c r="I339" s="9"/>
      <c r="J339" s="9"/>
    </row>
    <row x14ac:dyDescent="0.25" r="340" customHeight="1" ht="17.25">
      <c r="A340" s="11" t="s">
        <v>7068</v>
      </c>
      <c r="B340" s="11"/>
      <c r="C340" s="11"/>
      <c r="D340" s="11"/>
      <c r="E340" s="12"/>
      <c r="F340" s="11"/>
      <c r="G340" s="11"/>
      <c r="H340" s="12"/>
      <c r="I340" s="11"/>
      <c r="J340" s="11"/>
    </row>
    <row x14ac:dyDescent="0.25" r="341" customHeight="1" ht="17.25">
      <c r="A341" s="14" t="s">
        <v>3</v>
      </c>
      <c r="B341" s="14" t="s">
        <v>4</v>
      </c>
      <c r="C341" s="14" t="s">
        <v>5</v>
      </c>
      <c r="D341" s="14" t="s">
        <v>6</v>
      </c>
      <c r="E341" s="15" t="s">
        <v>7</v>
      </c>
      <c r="F341" s="14" t="s">
        <v>8</v>
      </c>
      <c r="G341" s="14" t="s">
        <v>9</v>
      </c>
      <c r="H341" s="15" t="s">
        <v>10</v>
      </c>
      <c r="I341" s="14" t="s">
        <v>11</v>
      </c>
      <c r="J341" s="14" t="s">
        <v>12</v>
      </c>
    </row>
    <row x14ac:dyDescent="0.25" r="342" customHeight="1" ht="17.25">
      <c r="A342" s="17" t="s">
        <v>7069</v>
      </c>
      <c r="B342" s="17" t="s">
        <v>548</v>
      </c>
      <c r="C342" s="17" t="s">
        <v>15</v>
      </c>
      <c r="D342" s="17" t="s">
        <v>16</v>
      </c>
      <c r="E342" s="18">
        <f>ROUND(12534*1.05,2)</f>
      </c>
      <c r="F342" s="17" t="s">
        <v>17</v>
      </c>
      <c r="G342" s="17" t="s">
        <v>18</v>
      </c>
      <c r="H342" s="18">
        <f>ROUND(RAND()*4+6,1)</f>
      </c>
      <c r="I342" s="17" t="s">
        <v>19</v>
      </c>
      <c r="J342" s="19">
        <f>ROUND(88*1,0)&amp;"%"</f>
      </c>
    </row>
    <row x14ac:dyDescent="0.25" r="343" customHeight="1" ht="17.25">
      <c r="A343" s="20" t="s">
        <v>7070</v>
      </c>
      <c r="B343" s="20" t="s">
        <v>550</v>
      </c>
      <c r="C343" s="20" t="s">
        <v>15</v>
      </c>
      <c r="D343" s="20" t="s">
        <v>22</v>
      </c>
      <c r="E343" s="21">
        <f>ROUND(14055*1.05,2)</f>
      </c>
      <c r="F343" s="20" t="s">
        <v>23</v>
      </c>
      <c r="G343" s="20" t="s">
        <v>24</v>
      </c>
      <c r="H343" s="21">
        <f>ROUND(RAND()*4+6,1)</f>
      </c>
      <c r="I343" s="20" t="s">
        <v>25</v>
      </c>
      <c r="J343" s="23">
        <f>ROUND(79*1,0)&amp;"%"</f>
      </c>
    </row>
    <row x14ac:dyDescent="0.25" r="344" customHeight="1" ht="17.25">
      <c r="A344" s="17" t="s">
        <v>7071</v>
      </c>
      <c r="B344" s="17" t="s">
        <v>552</v>
      </c>
      <c r="C344" s="17" t="s">
        <v>15</v>
      </c>
      <c r="D344" s="17" t="s">
        <v>28</v>
      </c>
      <c r="E344" s="18">
        <f>ROUND(6870*1.05,2)</f>
      </c>
      <c r="F344" s="17" t="s">
        <v>29</v>
      </c>
      <c r="G344" s="17" t="s">
        <v>30</v>
      </c>
      <c r="H344" s="18">
        <f>ROUND(RAND()*4+6,1)</f>
      </c>
      <c r="I344" s="17" t="s">
        <v>31</v>
      </c>
      <c r="J344" s="19">
        <f>ROUND(63*1,0)&amp;"%"</f>
      </c>
    </row>
    <row x14ac:dyDescent="0.25" r="345" customHeight="1" ht="17.25">
      <c r="A345" s="20" t="s">
        <v>7072</v>
      </c>
      <c r="B345" s="20" t="s">
        <v>554</v>
      </c>
      <c r="C345" s="20" t="s">
        <v>15</v>
      </c>
      <c r="D345" s="20" t="s">
        <v>34</v>
      </c>
      <c r="E345" s="21">
        <f>ROUND(14635*1.05,2)</f>
      </c>
      <c r="F345" s="20" t="s">
        <v>35</v>
      </c>
      <c r="G345" s="20" t="s">
        <v>18</v>
      </c>
      <c r="H345" s="22">
        <f>ROUND(RAND()*4+6,1)</f>
      </c>
      <c r="I345" s="20" t="s">
        <v>36</v>
      </c>
      <c r="J345" s="23">
        <f>ROUND(96*1,0)&amp;"%"</f>
      </c>
    </row>
    <row x14ac:dyDescent="0.25" r="346" customHeight="1" ht="17.25">
      <c r="A346" s="17" t="s">
        <v>7073</v>
      </c>
      <c r="B346" s="17" t="s">
        <v>556</v>
      </c>
      <c r="C346" s="17" t="s">
        <v>15</v>
      </c>
      <c r="D346" s="17" t="s">
        <v>39</v>
      </c>
      <c r="E346" s="18">
        <f>ROUND(7761*1.05,2)</f>
      </c>
      <c r="F346" s="17" t="s">
        <v>40</v>
      </c>
      <c r="G346" s="17" t="s">
        <v>24</v>
      </c>
      <c r="H346" s="18">
        <f>ROUND(RAND()*4+6,1)</f>
      </c>
      <c r="I346" s="17" t="s">
        <v>41</v>
      </c>
      <c r="J346" s="19">
        <f>ROUND(83*1,0)&amp;"%"</f>
      </c>
    </row>
    <row x14ac:dyDescent="0.25" r="347" customHeight="1" ht="17.25">
      <c r="A347" s="20" t="s">
        <v>7074</v>
      </c>
      <c r="B347" s="20" t="s">
        <v>558</v>
      </c>
      <c r="C347" s="20" t="s">
        <v>15</v>
      </c>
      <c r="D347" s="20" t="s">
        <v>67</v>
      </c>
      <c r="E347" s="21">
        <f>ROUND(12084*1.05,2)</f>
      </c>
      <c r="F347" s="20" t="s">
        <v>44</v>
      </c>
      <c r="G347" s="20" t="s">
        <v>30</v>
      </c>
      <c r="H347" s="21">
        <f>ROUND(RAND()*4+6,1)</f>
      </c>
      <c r="I347" s="20" t="s">
        <v>45</v>
      </c>
      <c r="J347" s="23">
        <f>ROUND(85*1,0)&amp;"%"</f>
      </c>
    </row>
    <row x14ac:dyDescent="0.25" r="348" customHeight="1" ht="17.25">
      <c r="A348" s="17" t="s">
        <v>7075</v>
      </c>
      <c r="B348" s="17" t="s">
        <v>560</v>
      </c>
      <c r="C348" s="17" t="s">
        <v>15</v>
      </c>
      <c r="D348" s="17" t="s">
        <v>16</v>
      </c>
      <c r="E348" s="18">
        <f>ROUND(8163*1.05,2)</f>
      </c>
      <c r="F348" s="17" t="s">
        <v>48</v>
      </c>
      <c r="G348" s="17" t="s">
        <v>18</v>
      </c>
      <c r="H348" s="18">
        <f>ROUND(RAND()*4+6,1)</f>
      </c>
      <c r="I348" s="17" t="s">
        <v>19</v>
      </c>
      <c r="J348" s="19">
        <f>ROUND(100*1,0)&amp;"%"</f>
      </c>
    </row>
    <row x14ac:dyDescent="0.25" r="349" customHeight="1" ht="17.25">
      <c r="A349" s="20" t="s">
        <v>7076</v>
      </c>
      <c r="B349" s="20" t="s">
        <v>562</v>
      </c>
      <c r="C349" s="20" t="s">
        <v>15</v>
      </c>
      <c r="D349" s="20" t="s">
        <v>22</v>
      </c>
      <c r="E349" s="21">
        <f>ROUND(11035*1.05,2)</f>
      </c>
      <c r="F349" s="20" t="s">
        <v>51</v>
      </c>
      <c r="G349" s="20" t="s">
        <v>24</v>
      </c>
      <c r="H349" s="21">
        <f>ROUND(RAND()*4+6,1)</f>
      </c>
      <c r="I349" s="20" t="s">
        <v>25</v>
      </c>
      <c r="J349" s="23">
        <f>ROUND(76*1,0)&amp;"%"</f>
      </c>
    </row>
    <row x14ac:dyDescent="0.25" r="350" customHeight="1" ht="17.25">
      <c r="A350" s="24" t="s">
        <v>563</v>
      </c>
      <c r="B350" s="24"/>
      <c r="C350" s="24"/>
      <c r="D350" s="24"/>
      <c r="E350" s="25">
        <v>8</v>
      </c>
      <c r="F350" s="9"/>
      <c r="G350" s="9"/>
      <c r="H350" s="31"/>
      <c r="I350" s="9"/>
      <c r="J350" s="9"/>
    </row>
    <row x14ac:dyDescent="0.25" r="351" customHeight="1" ht="17.25">
      <c r="A351" s="7"/>
      <c r="B351" s="7"/>
      <c r="C351" s="7"/>
      <c r="D351" s="7"/>
      <c r="E351" s="8"/>
      <c r="F351" s="9"/>
      <c r="G351" s="9"/>
      <c r="H351" s="31"/>
      <c r="I351" s="9"/>
      <c r="J351" s="9"/>
    </row>
    <row x14ac:dyDescent="0.25" r="352" customHeight="1" ht="17.25">
      <c r="A352" s="11" t="s">
        <v>7077</v>
      </c>
      <c r="B352" s="11"/>
      <c r="C352" s="11"/>
      <c r="D352" s="11"/>
      <c r="E352" s="12"/>
      <c r="F352" s="11"/>
      <c r="G352" s="11"/>
      <c r="H352" s="12"/>
      <c r="I352" s="11"/>
      <c r="J352" s="11"/>
    </row>
    <row x14ac:dyDescent="0.25" r="353" customHeight="1" ht="17.25">
      <c r="A353" s="14" t="s">
        <v>3</v>
      </c>
      <c r="B353" s="14" t="s">
        <v>4</v>
      </c>
      <c r="C353" s="14" t="s">
        <v>5</v>
      </c>
      <c r="D353" s="14" t="s">
        <v>6</v>
      </c>
      <c r="E353" s="15" t="s">
        <v>7</v>
      </c>
      <c r="F353" s="14" t="s">
        <v>8</v>
      </c>
      <c r="G353" s="14" t="s">
        <v>9</v>
      </c>
      <c r="H353" s="15" t="s">
        <v>10</v>
      </c>
      <c r="I353" s="14" t="s">
        <v>11</v>
      </c>
      <c r="J353" s="14" t="s">
        <v>12</v>
      </c>
    </row>
    <row x14ac:dyDescent="0.25" r="354" customHeight="1" ht="17.25">
      <c r="A354" s="17" t="s">
        <v>7078</v>
      </c>
      <c r="B354" s="17" t="s">
        <v>566</v>
      </c>
      <c r="C354" s="17" t="s">
        <v>56</v>
      </c>
      <c r="D354" s="17" t="s">
        <v>16</v>
      </c>
      <c r="E354" s="18">
        <f>ROUND(11403*1.05,2)</f>
      </c>
      <c r="F354" s="17" t="s">
        <v>17</v>
      </c>
      <c r="G354" s="17" t="s">
        <v>18</v>
      </c>
      <c r="H354" s="18">
        <f>ROUND(RAND()*4+6,1)</f>
      </c>
      <c r="I354" s="17" t="s">
        <v>19</v>
      </c>
      <c r="J354" s="19">
        <f>ROUND(95*1,0)&amp;"%"</f>
      </c>
    </row>
    <row x14ac:dyDescent="0.25" r="355" customHeight="1" ht="17.25">
      <c r="A355" s="20" t="s">
        <v>7079</v>
      </c>
      <c r="B355" s="20" t="s">
        <v>568</v>
      </c>
      <c r="C355" s="20" t="s">
        <v>56</v>
      </c>
      <c r="D355" s="20" t="s">
        <v>22</v>
      </c>
      <c r="E355" s="21">
        <f>ROUND(11906*1.05,2)</f>
      </c>
      <c r="F355" s="20" t="s">
        <v>23</v>
      </c>
      <c r="G355" s="20" t="s">
        <v>24</v>
      </c>
      <c r="H355" s="21">
        <f>ROUND(RAND()*4+6,1)</f>
      </c>
      <c r="I355" s="20" t="s">
        <v>25</v>
      </c>
      <c r="J355" s="23">
        <f>ROUND(70*1,0)&amp;"%"</f>
      </c>
    </row>
    <row x14ac:dyDescent="0.25" r="356" customHeight="1" ht="17.25">
      <c r="A356" s="17" t="s">
        <v>7080</v>
      </c>
      <c r="B356" s="17" t="s">
        <v>570</v>
      </c>
      <c r="C356" s="17" t="s">
        <v>56</v>
      </c>
      <c r="D356" s="17" t="s">
        <v>28</v>
      </c>
      <c r="E356" s="18">
        <f>ROUND(14941*1.05,2)</f>
      </c>
      <c r="F356" s="17" t="s">
        <v>29</v>
      </c>
      <c r="G356" s="17" t="s">
        <v>30</v>
      </c>
      <c r="H356" s="18">
        <f>ROUND(RAND()*4+6,1)</f>
      </c>
      <c r="I356" s="17" t="s">
        <v>31</v>
      </c>
      <c r="J356" s="19">
        <f>ROUND(75*1,0)&amp;"%"</f>
      </c>
    </row>
    <row x14ac:dyDescent="0.25" r="357" customHeight="1" ht="17.25">
      <c r="A357" s="20" t="s">
        <v>7081</v>
      </c>
      <c r="B357" s="20" t="s">
        <v>572</v>
      </c>
      <c r="C357" s="20" t="s">
        <v>56</v>
      </c>
      <c r="D357" s="20" t="s">
        <v>34</v>
      </c>
      <c r="E357" s="21">
        <f>ROUND(5618*1.05,2)</f>
      </c>
      <c r="F357" s="20" t="s">
        <v>35</v>
      </c>
      <c r="G357" s="20" t="s">
        <v>18</v>
      </c>
      <c r="H357" s="21">
        <f>ROUND(RAND()*4+6,1)</f>
      </c>
      <c r="I357" s="20" t="s">
        <v>36</v>
      </c>
      <c r="J357" s="23">
        <f>ROUND(61*1,0)&amp;"%"</f>
      </c>
    </row>
    <row x14ac:dyDescent="0.25" r="358" customHeight="1" ht="17.25">
      <c r="A358" s="17" t="s">
        <v>7082</v>
      </c>
      <c r="B358" s="17" t="s">
        <v>574</v>
      </c>
      <c r="C358" s="17" t="s">
        <v>56</v>
      </c>
      <c r="D358" s="17" t="s">
        <v>39</v>
      </c>
      <c r="E358" s="18">
        <f>ROUND(13972*1.05,2)</f>
      </c>
      <c r="F358" s="17" t="s">
        <v>40</v>
      </c>
      <c r="G358" s="17" t="s">
        <v>24</v>
      </c>
      <c r="H358" s="18">
        <f>ROUND(RAND()*4+6,1)</f>
      </c>
      <c r="I358" s="17" t="s">
        <v>41</v>
      </c>
      <c r="J358" s="19">
        <f>ROUND(93*1,0)&amp;"%"</f>
      </c>
    </row>
    <row x14ac:dyDescent="0.25" r="359" customHeight="1" ht="17.25">
      <c r="A359" s="20" t="s">
        <v>7083</v>
      </c>
      <c r="B359" s="20" t="s">
        <v>576</v>
      </c>
      <c r="C359" s="20" t="s">
        <v>56</v>
      </c>
      <c r="D359" s="20" t="s">
        <v>67</v>
      </c>
      <c r="E359" s="21">
        <f>ROUND(16991*1.05,2)</f>
      </c>
      <c r="F359" s="20" t="s">
        <v>44</v>
      </c>
      <c r="G359" s="20" t="s">
        <v>30</v>
      </c>
      <c r="H359" s="22">
        <f>ROUND(RAND()*4+6,1)</f>
      </c>
      <c r="I359" s="20" t="s">
        <v>45</v>
      </c>
      <c r="J359" s="23">
        <f>ROUND(67*1,0)&amp;"%"</f>
      </c>
    </row>
    <row x14ac:dyDescent="0.25" r="360" customHeight="1" ht="17.25">
      <c r="A360" s="17" t="s">
        <v>7084</v>
      </c>
      <c r="B360" s="17" t="s">
        <v>578</v>
      </c>
      <c r="C360" s="17" t="s">
        <v>56</v>
      </c>
      <c r="D360" s="17" t="s">
        <v>16</v>
      </c>
      <c r="E360" s="18">
        <f>ROUND(10738*1.05,2)</f>
      </c>
      <c r="F360" s="17" t="s">
        <v>48</v>
      </c>
      <c r="G360" s="17" t="s">
        <v>18</v>
      </c>
      <c r="H360" s="18">
        <f>ROUND(RAND()*4+6,1)</f>
      </c>
      <c r="I360" s="17" t="s">
        <v>19</v>
      </c>
      <c r="J360" s="19">
        <f>ROUND(63*1,0)&amp;"%"</f>
      </c>
    </row>
    <row x14ac:dyDescent="0.25" r="361" customHeight="1" ht="17.25">
      <c r="A361" s="20" t="s">
        <v>7085</v>
      </c>
      <c r="B361" s="20" t="s">
        <v>580</v>
      </c>
      <c r="C361" s="20" t="s">
        <v>56</v>
      </c>
      <c r="D361" s="20" t="s">
        <v>22</v>
      </c>
      <c r="E361" s="21">
        <f>ROUND(12028*1.05,2)</f>
      </c>
      <c r="F361" s="20" t="s">
        <v>51</v>
      </c>
      <c r="G361" s="20" t="s">
        <v>24</v>
      </c>
      <c r="H361" s="22">
        <f>ROUND(RAND()*4+6,1)</f>
      </c>
      <c r="I361" s="20" t="s">
        <v>25</v>
      </c>
      <c r="J361" s="23">
        <f>ROUND(87*1,0)&amp;"%"</f>
      </c>
    </row>
    <row x14ac:dyDescent="0.25" r="362" customHeight="1" ht="17.25">
      <c r="A362" s="24" t="s">
        <v>581</v>
      </c>
      <c r="B362" s="24"/>
      <c r="C362" s="24"/>
      <c r="D362" s="24"/>
      <c r="E362" s="25">
        <v>8</v>
      </c>
      <c r="F362" s="9"/>
      <c r="G362" s="9"/>
      <c r="H362" s="31"/>
      <c r="I362" s="9"/>
      <c r="J362" s="9"/>
    </row>
  </sheetData>
  <mergeCells count="62">
    <mergeCell ref="A1:J1"/>
    <mergeCell ref="A2:J2"/>
    <mergeCell ref="A4:J4"/>
    <mergeCell ref="A14:D14"/>
    <mergeCell ref="A16:J16"/>
    <mergeCell ref="A26:D26"/>
    <mergeCell ref="A28:J28"/>
    <mergeCell ref="A38:D38"/>
    <mergeCell ref="A40:J40"/>
    <mergeCell ref="A50:D50"/>
    <mergeCell ref="A52:J52"/>
    <mergeCell ref="A62:D62"/>
    <mergeCell ref="A64:J64"/>
    <mergeCell ref="A74:D74"/>
    <mergeCell ref="A76:J76"/>
    <mergeCell ref="A86:D86"/>
    <mergeCell ref="A88:J88"/>
    <mergeCell ref="A98:D98"/>
    <mergeCell ref="A100:J100"/>
    <mergeCell ref="A110:D110"/>
    <mergeCell ref="A112:J112"/>
    <mergeCell ref="A122:D122"/>
    <mergeCell ref="A124:J124"/>
    <mergeCell ref="A134:D134"/>
    <mergeCell ref="A136:J136"/>
    <mergeCell ref="A146:D146"/>
    <mergeCell ref="A148:J148"/>
    <mergeCell ref="A158:D158"/>
    <mergeCell ref="A160:J160"/>
    <mergeCell ref="A170:D170"/>
    <mergeCell ref="A172:J172"/>
    <mergeCell ref="A182:D182"/>
    <mergeCell ref="A184:J184"/>
    <mergeCell ref="A194:D194"/>
    <mergeCell ref="A196:J196"/>
    <mergeCell ref="A206:D206"/>
    <mergeCell ref="A208:J208"/>
    <mergeCell ref="A218:D218"/>
    <mergeCell ref="A220:J220"/>
    <mergeCell ref="A230:D230"/>
    <mergeCell ref="A232:J232"/>
    <mergeCell ref="A242:D242"/>
    <mergeCell ref="A244:J244"/>
    <mergeCell ref="A254:D254"/>
    <mergeCell ref="A256:J256"/>
    <mergeCell ref="A266:D266"/>
    <mergeCell ref="A268:J268"/>
    <mergeCell ref="A278:D278"/>
    <mergeCell ref="A280:J280"/>
    <mergeCell ref="A290:D290"/>
    <mergeCell ref="A292:J292"/>
    <mergeCell ref="A302:D302"/>
    <mergeCell ref="A304:J304"/>
    <mergeCell ref="A314:D314"/>
    <mergeCell ref="A316:J316"/>
    <mergeCell ref="A326:D326"/>
    <mergeCell ref="A328:J328"/>
    <mergeCell ref="A338:D338"/>
    <mergeCell ref="A340:J340"/>
    <mergeCell ref="A350:D350"/>
    <mergeCell ref="A352:J352"/>
    <mergeCell ref="A362:D362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J362"/>
  <sheetViews>
    <sheetView workbookViewId="0"/>
  </sheetViews>
  <sheetFormatPr defaultRowHeight="15" x14ac:dyDescent="0.25"/>
  <cols>
    <col min="1" max="1" style="27" width="8.005" customWidth="1" bestFit="1"/>
    <col min="2" max="2" style="27" width="22.005" customWidth="1" bestFit="1"/>
    <col min="3" max="3" style="27" width="16.005" customWidth="1" bestFit="1"/>
    <col min="4" max="4" style="27" width="14.005" customWidth="1" bestFit="1"/>
    <col min="5" max="5" style="28" width="12.005" customWidth="1" bestFit="1"/>
    <col min="6" max="6" style="29" width="16.005" customWidth="1" bestFit="1"/>
    <col min="7" max="7" style="29" width="10.005" customWidth="1" bestFit="1"/>
    <col min="8" max="8" style="30" width="10.005" customWidth="1" bestFit="1"/>
    <col min="9" max="9" style="29" width="14.005" customWidth="1" bestFit="1"/>
    <col min="10" max="10" style="29" width="8.005" customWidth="1" bestFit="1"/>
  </cols>
  <sheetData>
    <row x14ac:dyDescent="0.25" r="1" customHeight="1" ht="17.25">
      <c r="A1" s="1" t="s">
        <v>6544</v>
      </c>
      <c r="B1" s="1"/>
      <c r="C1" s="1"/>
      <c r="D1" s="1"/>
      <c r="E1" s="2"/>
      <c r="F1" s="1"/>
      <c r="G1" s="1"/>
      <c r="H1" s="3"/>
      <c r="I1" s="1"/>
      <c r="J1" s="1"/>
    </row>
    <row x14ac:dyDescent="0.25" r="2" customHeight="1" ht="17.25">
      <c r="A2" s="4" t="s">
        <v>1</v>
      </c>
      <c r="B2" s="4"/>
      <c r="C2" s="4"/>
      <c r="D2" s="4"/>
      <c r="E2" s="5"/>
      <c r="F2" s="4"/>
      <c r="G2" s="4"/>
      <c r="H2" s="6"/>
      <c r="I2" s="4"/>
      <c r="J2" s="4"/>
    </row>
    <row x14ac:dyDescent="0.25" r="3" customHeight="1" ht="17.25">
      <c r="A3" s="7"/>
      <c r="B3" s="7"/>
      <c r="C3" s="7"/>
      <c r="D3" s="7"/>
      <c r="E3" s="8"/>
      <c r="F3" s="9"/>
      <c r="G3" s="9"/>
      <c r="H3" s="10"/>
      <c r="I3" s="9"/>
      <c r="J3" s="9"/>
    </row>
    <row x14ac:dyDescent="0.25" r="4" customHeight="1" ht="17.25">
      <c r="A4" s="11" t="s">
        <v>6545</v>
      </c>
      <c r="B4" s="11"/>
      <c r="C4" s="11"/>
      <c r="D4" s="11"/>
      <c r="E4" s="12"/>
      <c r="F4" s="11"/>
      <c r="G4" s="11"/>
      <c r="H4" s="13"/>
      <c r="I4" s="11"/>
      <c r="J4" s="11"/>
    </row>
    <row x14ac:dyDescent="0.25" r="5" customHeight="1" ht="17.25">
      <c r="A5" s="14" t="s">
        <v>3</v>
      </c>
      <c r="B5" s="14" t="s">
        <v>4</v>
      </c>
      <c r="C5" s="14" t="s">
        <v>5</v>
      </c>
      <c r="D5" s="14" t="s">
        <v>6</v>
      </c>
      <c r="E5" s="15" t="s">
        <v>7</v>
      </c>
      <c r="F5" s="14" t="s">
        <v>8</v>
      </c>
      <c r="G5" s="14" t="s">
        <v>9</v>
      </c>
      <c r="H5" s="16" t="s">
        <v>10</v>
      </c>
      <c r="I5" s="14" t="s">
        <v>11</v>
      </c>
      <c r="J5" s="14" t="s">
        <v>12</v>
      </c>
    </row>
    <row x14ac:dyDescent="0.25" r="6" customHeight="1" ht="17.25">
      <c r="A6" s="17" t="s">
        <v>6546</v>
      </c>
      <c r="B6" s="17" t="s">
        <v>14</v>
      </c>
      <c r="C6" s="17" t="s">
        <v>15</v>
      </c>
      <c r="D6" s="17" t="s">
        <v>16</v>
      </c>
      <c r="E6" s="18">
        <f>ROUND(16116*1.05,2)</f>
      </c>
      <c r="F6" s="17" t="s">
        <v>17</v>
      </c>
      <c r="G6" s="17" t="s">
        <v>18</v>
      </c>
      <c r="H6" s="26">
        <f>ROUND(RAND()*4+6,1)</f>
      </c>
      <c r="I6" s="17" t="s">
        <v>19</v>
      </c>
      <c r="J6" s="19">
        <f>ROUND(81*1,0)&amp;"%"</f>
      </c>
    </row>
    <row x14ac:dyDescent="0.25" r="7" customHeight="1" ht="17.25">
      <c r="A7" s="20" t="s">
        <v>6547</v>
      </c>
      <c r="B7" s="20" t="s">
        <v>21</v>
      </c>
      <c r="C7" s="20" t="s">
        <v>15</v>
      </c>
      <c r="D7" s="20" t="s">
        <v>22</v>
      </c>
      <c r="E7" s="21">
        <f>ROUND(14732*1.05,2)</f>
      </c>
      <c r="F7" s="20" t="s">
        <v>23</v>
      </c>
      <c r="G7" s="20" t="s">
        <v>24</v>
      </c>
      <c r="H7" s="22">
        <f>ROUND(RAND()*4+6,1)</f>
      </c>
      <c r="I7" s="20" t="s">
        <v>25</v>
      </c>
      <c r="J7" s="23">
        <f>ROUND(81*1,0)&amp;"%"</f>
      </c>
    </row>
    <row x14ac:dyDescent="0.25" r="8" customHeight="1" ht="17.25">
      <c r="A8" s="17" t="s">
        <v>6548</v>
      </c>
      <c r="B8" s="17" t="s">
        <v>27</v>
      </c>
      <c r="C8" s="17" t="s">
        <v>15</v>
      </c>
      <c r="D8" s="17" t="s">
        <v>28</v>
      </c>
      <c r="E8" s="18">
        <f>ROUND(9663*1.05,2)</f>
      </c>
      <c r="F8" s="17" t="s">
        <v>29</v>
      </c>
      <c r="G8" s="17" t="s">
        <v>30</v>
      </c>
      <c r="H8" s="26">
        <f>ROUND(RAND()*4+6,1)</f>
      </c>
      <c r="I8" s="17" t="s">
        <v>31</v>
      </c>
      <c r="J8" s="19">
        <f>ROUND(76*1,0)&amp;"%"</f>
      </c>
    </row>
    <row x14ac:dyDescent="0.25" r="9" customHeight="1" ht="17.25">
      <c r="A9" s="20" t="s">
        <v>6549</v>
      </c>
      <c r="B9" s="20" t="s">
        <v>33</v>
      </c>
      <c r="C9" s="20" t="s">
        <v>15</v>
      </c>
      <c r="D9" s="20" t="s">
        <v>34</v>
      </c>
      <c r="E9" s="21">
        <f>ROUND(12693*1.05,2)</f>
      </c>
      <c r="F9" s="20" t="s">
        <v>35</v>
      </c>
      <c r="G9" s="20" t="s">
        <v>18</v>
      </c>
      <c r="H9" s="21">
        <f>ROUND(RAND()*4+6,1)</f>
      </c>
      <c r="I9" s="20" t="s">
        <v>36</v>
      </c>
      <c r="J9" s="23">
        <f>ROUND(94*1,0)&amp;"%"</f>
      </c>
    </row>
    <row x14ac:dyDescent="0.25" r="10" customHeight="1" ht="17.25">
      <c r="A10" s="17" t="s">
        <v>6550</v>
      </c>
      <c r="B10" s="17" t="s">
        <v>38</v>
      </c>
      <c r="C10" s="17" t="s">
        <v>15</v>
      </c>
      <c r="D10" s="17" t="s">
        <v>39</v>
      </c>
      <c r="E10" s="18">
        <f>ROUND(15745*1.05,2)</f>
      </c>
      <c r="F10" s="17" t="s">
        <v>40</v>
      </c>
      <c r="G10" s="17" t="s">
        <v>24</v>
      </c>
      <c r="H10" s="26">
        <f>ROUND(RAND()*4+6,1)</f>
      </c>
      <c r="I10" s="17" t="s">
        <v>41</v>
      </c>
      <c r="J10" s="19">
        <f>ROUND(74*1,0)&amp;"%"</f>
      </c>
    </row>
    <row x14ac:dyDescent="0.25" r="11" customHeight="1" ht="17.25">
      <c r="A11" s="20" t="s">
        <v>6551</v>
      </c>
      <c r="B11" s="20" t="s">
        <v>43</v>
      </c>
      <c r="C11" s="20" t="s">
        <v>15</v>
      </c>
      <c r="D11" s="20" t="s">
        <v>67</v>
      </c>
      <c r="E11" s="21">
        <f>ROUND(10362*1.05,2)</f>
      </c>
      <c r="F11" s="20" t="s">
        <v>44</v>
      </c>
      <c r="G11" s="20" t="s">
        <v>30</v>
      </c>
      <c r="H11" s="21">
        <f>ROUND(RAND()*4+6,1)</f>
      </c>
      <c r="I11" s="20" t="s">
        <v>45</v>
      </c>
      <c r="J11" s="23">
        <f>ROUND(70*1,0)&amp;"%"</f>
      </c>
    </row>
    <row x14ac:dyDescent="0.25" r="12" customHeight="1" ht="17.25">
      <c r="A12" s="17" t="s">
        <v>6552</v>
      </c>
      <c r="B12" s="17" t="s">
        <v>47</v>
      </c>
      <c r="C12" s="17" t="s">
        <v>15</v>
      </c>
      <c r="D12" s="17" t="s">
        <v>16</v>
      </c>
      <c r="E12" s="18">
        <f>ROUND(16563*1.05,2)</f>
      </c>
      <c r="F12" s="17" t="s">
        <v>48</v>
      </c>
      <c r="G12" s="17" t="s">
        <v>18</v>
      </c>
      <c r="H12" s="18">
        <f>ROUND(RAND()*4+6,1)</f>
      </c>
      <c r="I12" s="17" t="s">
        <v>19</v>
      </c>
      <c r="J12" s="19">
        <f>ROUND(81*1,0)&amp;"%"</f>
      </c>
    </row>
    <row x14ac:dyDescent="0.25" r="13" customHeight="1" ht="17.25">
      <c r="A13" s="20" t="s">
        <v>6553</v>
      </c>
      <c r="B13" s="20" t="s">
        <v>50</v>
      </c>
      <c r="C13" s="20" t="s">
        <v>15</v>
      </c>
      <c r="D13" s="20" t="s">
        <v>22</v>
      </c>
      <c r="E13" s="21">
        <f>ROUND(13123*1.05,2)</f>
      </c>
      <c r="F13" s="20" t="s">
        <v>51</v>
      </c>
      <c r="G13" s="20" t="s">
        <v>24</v>
      </c>
      <c r="H13" s="22">
        <f>ROUND(RAND()*4+6,1)</f>
      </c>
      <c r="I13" s="20" t="s">
        <v>25</v>
      </c>
      <c r="J13" s="23">
        <f>ROUND(91*1,0)&amp;"%"</f>
      </c>
    </row>
    <row x14ac:dyDescent="0.25" r="14" customHeight="1" ht="17.25">
      <c r="A14" s="24" t="s">
        <v>52</v>
      </c>
      <c r="B14" s="24"/>
      <c r="C14" s="24"/>
      <c r="D14" s="24"/>
      <c r="E14" s="25">
        <v>8</v>
      </c>
      <c r="F14" s="9"/>
      <c r="G14" s="9"/>
      <c r="H14" s="10"/>
      <c r="I14" s="9"/>
      <c r="J14" s="9"/>
    </row>
    <row x14ac:dyDescent="0.25" r="15" customHeight="1" ht="17.25">
      <c r="A15" s="7"/>
      <c r="B15" s="7"/>
      <c r="C15" s="7"/>
      <c r="D15" s="7"/>
      <c r="E15" s="8"/>
      <c r="F15" s="9"/>
      <c r="G15" s="9"/>
      <c r="H15" s="10"/>
      <c r="I15" s="9"/>
      <c r="J15" s="9"/>
    </row>
    <row x14ac:dyDescent="0.25" r="16" customHeight="1" ht="17.25">
      <c r="A16" s="11" t="s">
        <v>6554</v>
      </c>
      <c r="B16" s="11"/>
      <c r="C16" s="11"/>
      <c r="D16" s="11"/>
      <c r="E16" s="12"/>
      <c r="F16" s="11"/>
      <c r="G16" s="11"/>
      <c r="H16" s="13"/>
      <c r="I16" s="11"/>
      <c r="J16" s="11"/>
    </row>
    <row x14ac:dyDescent="0.25" r="17" customHeight="1" ht="17.25">
      <c r="A17" s="14" t="s">
        <v>3</v>
      </c>
      <c r="B17" s="14" t="s">
        <v>4</v>
      </c>
      <c r="C17" s="14" t="s">
        <v>5</v>
      </c>
      <c r="D17" s="14" t="s">
        <v>6</v>
      </c>
      <c r="E17" s="15" t="s">
        <v>7</v>
      </c>
      <c r="F17" s="14" t="s">
        <v>8</v>
      </c>
      <c r="G17" s="14" t="s">
        <v>9</v>
      </c>
      <c r="H17" s="16" t="s">
        <v>10</v>
      </c>
      <c r="I17" s="14" t="s">
        <v>11</v>
      </c>
      <c r="J17" s="14" t="s">
        <v>12</v>
      </c>
    </row>
    <row x14ac:dyDescent="0.25" r="18" customHeight="1" ht="17.25">
      <c r="A18" s="17" t="s">
        <v>6555</v>
      </c>
      <c r="B18" s="17" t="s">
        <v>55</v>
      </c>
      <c r="C18" s="17" t="s">
        <v>56</v>
      </c>
      <c r="D18" s="17" t="s">
        <v>16</v>
      </c>
      <c r="E18" s="26">
        <f>ROUND(17560*1.05,2)</f>
      </c>
      <c r="F18" s="17" t="s">
        <v>17</v>
      </c>
      <c r="G18" s="17" t="s">
        <v>18</v>
      </c>
      <c r="H18" s="18">
        <f>ROUND(RAND()*4+6,1)</f>
      </c>
      <c r="I18" s="17" t="s">
        <v>19</v>
      </c>
      <c r="J18" s="19">
        <f>ROUND(90*1,0)&amp;"%"</f>
      </c>
    </row>
    <row x14ac:dyDescent="0.25" r="19" customHeight="1" ht="17.25">
      <c r="A19" s="20" t="s">
        <v>6556</v>
      </c>
      <c r="B19" s="20" t="s">
        <v>58</v>
      </c>
      <c r="C19" s="20" t="s">
        <v>56</v>
      </c>
      <c r="D19" s="20" t="s">
        <v>22</v>
      </c>
      <c r="E19" s="21">
        <f>ROUND(12838*1.05,2)</f>
      </c>
      <c r="F19" s="20" t="s">
        <v>23</v>
      </c>
      <c r="G19" s="20" t="s">
        <v>24</v>
      </c>
      <c r="H19" s="21">
        <f>ROUND(RAND()*4+6,1)</f>
      </c>
      <c r="I19" s="20" t="s">
        <v>25</v>
      </c>
      <c r="J19" s="23">
        <f>ROUND(98*1,0)&amp;"%"</f>
      </c>
    </row>
    <row x14ac:dyDescent="0.25" r="20" customHeight="1" ht="17.25">
      <c r="A20" s="17" t="s">
        <v>6557</v>
      </c>
      <c r="B20" s="17" t="s">
        <v>60</v>
      </c>
      <c r="C20" s="17" t="s">
        <v>56</v>
      </c>
      <c r="D20" s="17" t="s">
        <v>28</v>
      </c>
      <c r="E20" s="18">
        <f>ROUND(5504*1.05,2)</f>
      </c>
      <c r="F20" s="17" t="s">
        <v>29</v>
      </c>
      <c r="G20" s="17" t="s">
        <v>30</v>
      </c>
      <c r="H20" s="18">
        <f>ROUND(RAND()*4+6,1)</f>
      </c>
      <c r="I20" s="17" t="s">
        <v>31</v>
      </c>
      <c r="J20" s="19">
        <f>ROUND(67*1,0)&amp;"%"</f>
      </c>
    </row>
    <row x14ac:dyDescent="0.25" r="21" customHeight="1" ht="17.25">
      <c r="A21" s="20" t="s">
        <v>6558</v>
      </c>
      <c r="B21" s="20" t="s">
        <v>62</v>
      </c>
      <c r="C21" s="20" t="s">
        <v>56</v>
      </c>
      <c r="D21" s="20" t="s">
        <v>34</v>
      </c>
      <c r="E21" s="21">
        <f>ROUND(12483*1.05,2)</f>
      </c>
      <c r="F21" s="20" t="s">
        <v>35</v>
      </c>
      <c r="G21" s="20" t="s">
        <v>18</v>
      </c>
      <c r="H21" s="21">
        <f>ROUND(RAND()*4+6,1)</f>
      </c>
      <c r="I21" s="20" t="s">
        <v>36</v>
      </c>
      <c r="J21" s="23">
        <f>ROUND(81*1,0)&amp;"%"</f>
      </c>
    </row>
    <row x14ac:dyDescent="0.25" r="22" customHeight="1" ht="17.25">
      <c r="A22" s="17" t="s">
        <v>6559</v>
      </c>
      <c r="B22" s="17" t="s">
        <v>64</v>
      </c>
      <c r="C22" s="17" t="s">
        <v>56</v>
      </c>
      <c r="D22" s="17" t="s">
        <v>39</v>
      </c>
      <c r="E22" s="18">
        <f>ROUND(8924*1.05,2)</f>
      </c>
      <c r="F22" s="17" t="s">
        <v>40</v>
      </c>
      <c r="G22" s="17" t="s">
        <v>24</v>
      </c>
      <c r="H22" s="18">
        <f>ROUND(RAND()*4+6,1)</f>
      </c>
      <c r="I22" s="17" t="s">
        <v>41</v>
      </c>
      <c r="J22" s="19">
        <f>ROUND(88*1,0)&amp;"%"</f>
      </c>
    </row>
    <row x14ac:dyDescent="0.25" r="23" customHeight="1" ht="17.25">
      <c r="A23" s="20" t="s">
        <v>6560</v>
      </c>
      <c r="B23" s="20" t="s">
        <v>66</v>
      </c>
      <c r="C23" s="20" t="s">
        <v>56</v>
      </c>
      <c r="D23" s="20" t="s">
        <v>67</v>
      </c>
      <c r="E23" s="21">
        <f>ROUND(16225*1.05,2)</f>
      </c>
      <c r="F23" s="20" t="s">
        <v>44</v>
      </c>
      <c r="G23" s="20" t="s">
        <v>30</v>
      </c>
      <c r="H23" s="21">
        <f>ROUND(RAND()*4+6,1)</f>
      </c>
      <c r="I23" s="20" t="s">
        <v>45</v>
      </c>
      <c r="J23" s="23">
        <f>ROUND(100*1,0)&amp;"%"</f>
      </c>
    </row>
    <row x14ac:dyDescent="0.25" r="24" customHeight="1" ht="17.25">
      <c r="A24" s="17" t="s">
        <v>6561</v>
      </c>
      <c r="B24" s="17" t="s">
        <v>69</v>
      </c>
      <c r="C24" s="17" t="s">
        <v>56</v>
      </c>
      <c r="D24" s="17" t="s">
        <v>16</v>
      </c>
      <c r="E24" s="18">
        <f>ROUND(11752*1.05,2)</f>
      </c>
      <c r="F24" s="17" t="s">
        <v>48</v>
      </c>
      <c r="G24" s="17" t="s">
        <v>18</v>
      </c>
      <c r="H24" s="18">
        <f>ROUND(RAND()*4+6,1)</f>
      </c>
      <c r="I24" s="17" t="s">
        <v>19</v>
      </c>
      <c r="J24" s="19">
        <f>ROUND(87*1,0)&amp;"%"</f>
      </c>
    </row>
    <row x14ac:dyDescent="0.25" r="25" customHeight="1" ht="17.25">
      <c r="A25" s="20" t="s">
        <v>6562</v>
      </c>
      <c r="B25" s="20" t="s">
        <v>71</v>
      </c>
      <c r="C25" s="20" t="s">
        <v>56</v>
      </c>
      <c r="D25" s="20" t="s">
        <v>22</v>
      </c>
      <c r="E25" s="21">
        <f>ROUND(5731*1.05,2)</f>
      </c>
      <c r="F25" s="20" t="s">
        <v>51</v>
      </c>
      <c r="G25" s="20" t="s">
        <v>24</v>
      </c>
      <c r="H25" s="21">
        <f>ROUND(RAND()*4+6,1)</f>
      </c>
      <c r="I25" s="20" t="s">
        <v>25</v>
      </c>
      <c r="J25" s="23">
        <f>ROUND(97*1,0)&amp;"%"</f>
      </c>
    </row>
    <row x14ac:dyDescent="0.25" r="26" customHeight="1" ht="17.25">
      <c r="A26" s="24" t="s">
        <v>72</v>
      </c>
      <c r="B26" s="24"/>
      <c r="C26" s="24"/>
      <c r="D26" s="24"/>
      <c r="E26" s="25">
        <v>8</v>
      </c>
      <c r="F26" s="9"/>
      <c r="G26" s="9"/>
      <c r="H26" s="10"/>
      <c r="I26" s="9"/>
      <c r="J26" s="9"/>
    </row>
    <row x14ac:dyDescent="0.25" r="27" customHeight="1" ht="17.25">
      <c r="A27" s="7"/>
      <c r="B27" s="7"/>
      <c r="C27" s="7"/>
      <c r="D27" s="7"/>
      <c r="E27" s="8"/>
      <c r="F27" s="9"/>
      <c r="G27" s="9"/>
      <c r="H27" s="10"/>
      <c r="I27" s="9"/>
      <c r="J27" s="9"/>
    </row>
    <row x14ac:dyDescent="0.25" r="28" customHeight="1" ht="17.25">
      <c r="A28" s="11" t="s">
        <v>6563</v>
      </c>
      <c r="B28" s="11"/>
      <c r="C28" s="11"/>
      <c r="D28" s="11"/>
      <c r="E28" s="12"/>
      <c r="F28" s="11"/>
      <c r="G28" s="11"/>
      <c r="H28" s="13"/>
      <c r="I28" s="11"/>
      <c r="J28" s="11"/>
    </row>
    <row x14ac:dyDescent="0.25" r="29" customHeight="1" ht="17.25">
      <c r="A29" s="14" t="s">
        <v>3</v>
      </c>
      <c r="B29" s="14" t="s">
        <v>4</v>
      </c>
      <c r="C29" s="14" t="s">
        <v>5</v>
      </c>
      <c r="D29" s="14" t="s">
        <v>6</v>
      </c>
      <c r="E29" s="15" t="s">
        <v>7</v>
      </c>
      <c r="F29" s="14" t="s">
        <v>8</v>
      </c>
      <c r="G29" s="14" t="s">
        <v>9</v>
      </c>
      <c r="H29" s="16" t="s">
        <v>10</v>
      </c>
      <c r="I29" s="14" t="s">
        <v>11</v>
      </c>
      <c r="J29" s="14" t="s">
        <v>12</v>
      </c>
    </row>
    <row x14ac:dyDescent="0.25" r="30" customHeight="1" ht="17.25">
      <c r="A30" s="17" t="s">
        <v>6564</v>
      </c>
      <c r="B30" s="17" t="s">
        <v>75</v>
      </c>
      <c r="C30" s="17" t="s">
        <v>76</v>
      </c>
      <c r="D30" s="17" t="s">
        <v>16</v>
      </c>
      <c r="E30" s="18">
        <f>ROUND(4209*1.05,2)</f>
      </c>
      <c r="F30" s="17" t="s">
        <v>17</v>
      </c>
      <c r="G30" s="17" t="s">
        <v>18</v>
      </c>
      <c r="H30" s="18">
        <f>ROUND(RAND()*4+6,1)</f>
      </c>
      <c r="I30" s="17" t="s">
        <v>19</v>
      </c>
      <c r="J30" s="19">
        <f>ROUND(80*1,0)&amp;"%"</f>
      </c>
    </row>
    <row x14ac:dyDescent="0.25" r="31" customHeight="1" ht="17.25">
      <c r="A31" s="20" t="s">
        <v>6565</v>
      </c>
      <c r="B31" s="20" t="s">
        <v>78</v>
      </c>
      <c r="C31" s="20" t="s">
        <v>76</v>
      </c>
      <c r="D31" s="20" t="s">
        <v>22</v>
      </c>
      <c r="E31" s="21">
        <f>ROUND(10153*1.05,2)</f>
      </c>
      <c r="F31" s="20" t="s">
        <v>23</v>
      </c>
      <c r="G31" s="20" t="s">
        <v>24</v>
      </c>
      <c r="H31" s="21">
        <f>ROUND(RAND()*4+6,1)</f>
      </c>
      <c r="I31" s="20" t="s">
        <v>25</v>
      </c>
      <c r="J31" s="23">
        <f>ROUND(65*1,0)&amp;"%"</f>
      </c>
    </row>
    <row x14ac:dyDescent="0.25" r="32" customHeight="1" ht="17.25">
      <c r="A32" s="17" t="s">
        <v>6566</v>
      </c>
      <c r="B32" s="17" t="s">
        <v>80</v>
      </c>
      <c r="C32" s="17" t="s">
        <v>76</v>
      </c>
      <c r="D32" s="17" t="s">
        <v>28</v>
      </c>
      <c r="E32" s="18">
        <f>ROUND(7038*1.05,2)</f>
      </c>
      <c r="F32" s="17" t="s">
        <v>29</v>
      </c>
      <c r="G32" s="17" t="s">
        <v>30</v>
      </c>
      <c r="H32" s="18">
        <f>ROUND(RAND()*4+6,1)</f>
      </c>
      <c r="I32" s="17" t="s">
        <v>31</v>
      </c>
      <c r="J32" s="19">
        <f>ROUND(61*1,0)&amp;"%"</f>
      </c>
    </row>
    <row x14ac:dyDescent="0.25" r="33" customHeight="1" ht="17.25">
      <c r="A33" s="20" t="s">
        <v>6567</v>
      </c>
      <c r="B33" s="20" t="s">
        <v>82</v>
      </c>
      <c r="C33" s="20" t="s">
        <v>76</v>
      </c>
      <c r="D33" s="20" t="s">
        <v>34</v>
      </c>
      <c r="E33" s="21">
        <f>ROUND(10195*1.05,2)</f>
      </c>
      <c r="F33" s="20" t="s">
        <v>35</v>
      </c>
      <c r="G33" s="20" t="s">
        <v>18</v>
      </c>
      <c r="H33" s="21">
        <f>ROUND(RAND()*4+6,1)</f>
      </c>
      <c r="I33" s="20" t="s">
        <v>36</v>
      </c>
      <c r="J33" s="23">
        <f>ROUND(60*1,0)&amp;"%"</f>
      </c>
    </row>
    <row x14ac:dyDescent="0.25" r="34" customHeight="1" ht="17.25">
      <c r="A34" s="17" t="s">
        <v>6568</v>
      </c>
      <c r="B34" s="17" t="s">
        <v>84</v>
      </c>
      <c r="C34" s="17" t="s">
        <v>76</v>
      </c>
      <c r="D34" s="17" t="s">
        <v>39</v>
      </c>
      <c r="E34" s="18">
        <f>ROUND(4653*1.05,2)</f>
      </c>
      <c r="F34" s="17" t="s">
        <v>40</v>
      </c>
      <c r="G34" s="17" t="s">
        <v>24</v>
      </c>
      <c r="H34" s="18">
        <f>ROUND(RAND()*4+6,1)</f>
      </c>
      <c r="I34" s="17" t="s">
        <v>41</v>
      </c>
      <c r="J34" s="19">
        <f>ROUND(74*1,0)&amp;"%"</f>
      </c>
    </row>
    <row x14ac:dyDescent="0.25" r="35" customHeight="1" ht="17.25">
      <c r="A35" s="20" t="s">
        <v>6569</v>
      </c>
      <c r="B35" s="20" t="s">
        <v>86</v>
      </c>
      <c r="C35" s="20" t="s">
        <v>76</v>
      </c>
      <c r="D35" s="20" t="s">
        <v>67</v>
      </c>
      <c r="E35" s="21">
        <f>ROUND(15863*1.05,2)</f>
      </c>
      <c r="F35" s="20" t="s">
        <v>44</v>
      </c>
      <c r="G35" s="20" t="s">
        <v>30</v>
      </c>
      <c r="H35" s="21">
        <f>ROUND(RAND()*4+6,1)</f>
      </c>
      <c r="I35" s="20" t="s">
        <v>45</v>
      </c>
      <c r="J35" s="23">
        <f>ROUND(90*1,0)&amp;"%"</f>
      </c>
    </row>
    <row x14ac:dyDescent="0.25" r="36" customHeight="1" ht="17.25">
      <c r="A36" s="17" t="s">
        <v>6570</v>
      </c>
      <c r="B36" s="17" t="s">
        <v>88</v>
      </c>
      <c r="C36" s="17" t="s">
        <v>76</v>
      </c>
      <c r="D36" s="17" t="s">
        <v>16</v>
      </c>
      <c r="E36" s="18">
        <f>ROUND(12783*1.05,2)</f>
      </c>
      <c r="F36" s="17" t="s">
        <v>48</v>
      </c>
      <c r="G36" s="17" t="s">
        <v>18</v>
      </c>
      <c r="H36" s="18">
        <f>ROUND(RAND()*4+6,1)</f>
      </c>
      <c r="I36" s="17" t="s">
        <v>19</v>
      </c>
      <c r="J36" s="19">
        <f>ROUND(90*1,0)&amp;"%"</f>
      </c>
    </row>
    <row x14ac:dyDescent="0.25" r="37" customHeight="1" ht="17.25">
      <c r="A37" s="20" t="s">
        <v>6571</v>
      </c>
      <c r="B37" s="20" t="s">
        <v>90</v>
      </c>
      <c r="C37" s="20" t="s">
        <v>76</v>
      </c>
      <c r="D37" s="20" t="s">
        <v>22</v>
      </c>
      <c r="E37" s="21">
        <f>ROUND(5044*1.05,2)</f>
      </c>
      <c r="F37" s="20" t="s">
        <v>51</v>
      </c>
      <c r="G37" s="20" t="s">
        <v>24</v>
      </c>
      <c r="H37" s="21">
        <f>ROUND(RAND()*4+6,1)</f>
      </c>
      <c r="I37" s="20" t="s">
        <v>25</v>
      </c>
      <c r="J37" s="23">
        <f>ROUND(85*1,0)&amp;"%"</f>
      </c>
    </row>
    <row x14ac:dyDescent="0.25" r="38" customHeight="1" ht="17.25">
      <c r="A38" s="24" t="s">
        <v>91</v>
      </c>
      <c r="B38" s="24"/>
      <c r="C38" s="24"/>
      <c r="D38" s="24"/>
      <c r="E38" s="25">
        <v>8</v>
      </c>
      <c r="F38" s="9"/>
      <c r="G38" s="9"/>
      <c r="H38" s="10"/>
      <c r="I38" s="9"/>
      <c r="J38" s="9"/>
    </row>
    <row x14ac:dyDescent="0.25" r="39" customHeight="1" ht="17.25">
      <c r="A39" s="7"/>
      <c r="B39" s="7"/>
      <c r="C39" s="7"/>
      <c r="D39" s="7"/>
      <c r="E39" s="8"/>
      <c r="F39" s="9"/>
      <c r="G39" s="9"/>
      <c r="H39" s="10"/>
      <c r="I39" s="9"/>
      <c r="J39" s="9"/>
    </row>
    <row x14ac:dyDescent="0.25" r="40" customHeight="1" ht="17.25">
      <c r="A40" s="11" t="s">
        <v>6572</v>
      </c>
      <c r="B40" s="11"/>
      <c r="C40" s="11"/>
      <c r="D40" s="11"/>
      <c r="E40" s="12"/>
      <c r="F40" s="11"/>
      <c r="G40" s="11"/>
      <c r="H40" s="13"/>
      <c r="I40" s="11"/>
      <c r="J40" s="11"/>
    </row>
    <row x14ac:dyDescent="0.25" r="41" customHeight="1" ht="17.25">
      <c r="A41" s="14" t="s">
        <v>3</v>
      </c>
      <c r="B41" s="14" t="s">
        <v>4</v>
      </c>
      <c r="C41" s="14" t="s">
        <v>5</v>
      </c>
      <c r="D41" s="14" t="s">
        <v>6</v>
      </c>
      <c r="E41" s="15" t="s">
        <v>7</v>
      </c>
      <c r="F41" s="14" t="s">
        <v>8</v>
      </c>
      <c r="G41" s="14" t="s">
        <v>9</v>
      </c>
      <c r="H41" s="16" t="s">
        <v>10</v>
      </c>
      <c r="I41" s="14" t="s">
        <v>11</v>
      </c>
      <c r="J41" s="14" t="s">
        <v>12</v>
      </c>
    </row>
    <row x14ac:dyDescent="0.25" r="42" customHeight="1" ht="17.25">
      <c r="A42" s="17" t="s">
        <v>6573</v>
      </c>
      <c r="B42" s="17" t="s">
        <v>94</v>
      </c>
      <c r="C42" s="17" t="s">
        <v>95</v>
      </c>
      <c r="D42" s="17" t="s">
        <v>16</v>
      </c>
      <c r="E42" s="18">
        <f>ROUND(16755*1.05,2)</f>
      </c>
      <c r="F42" s="17" t="s">
        <v>17</v>
      </c>
      <c r="G42" s="17" t="s">
        <v>18</v>
      </c>
      <c r="H42" s="18">
        <f>ROUND(RAND()*4+6,1)</f>
      </c>
      <c r="I42" s="17" t="s">
        <v>19</v>
      </c>
      <c r="J42" s="19">
        <f>ROUND(95*1,0)&amp;"%"</f>
      </c>
    </row>
    <row x14ac:dyDescent="0.25" r="43" customHeight="1" ht="17.25">
      <c r="A43" s="20" t="s">
        <v>6574</v>
      </c>
      <c r="B43" s="20" t="s">
        <v>97</v>
      </c>
      <c r="C43" s="20" t="s">
        <v>95</v>
      </c>
      <c r="D43" s="20" t="s">
        <v>22</v>
      </c>
      <c r="E43" s="21">
        <f>ROUND(15465*1.05,2)</f>
      </c>
      <c r="F43" s="20" t="s">
        <v>23</v>
      </c>
      <c r="G43" s="20" t="s">
        <v>24</v>
      </c>
      <c r="H43" s="21">
        <f>ROUND(RAND()*4+6,1)</f>
      </c>
      <c r="I43" s="20" t="s">
        <v>25</v>
      </c>
      <c r="J43" s="23">
        <f>ROUND(63*1,0)&amp;"%"</f>
      </c>
    </row>
    <row x14ac:dyDescent="0.25" r="44" customHeight="1" ht="17.25">
      <c r="A44" s="17" t="s">
        <v>6575</v>
      </c>
      <c r="B44" s="17" t="s">
        <v>99</v>
      </c>
      <c r="C44" s="17" t="s">
        <v>95</v>
      </c>
      <c r="D44" s="17" t="s">
        <v>28</v>
      </c>
      <c r="E44" s="18">
        <f>ROUND(13259*1.05,2)</f>
      </c>
      <c r="F44" s="17" t="s">
        <v>29</v>
      </c>
      <c r="G44" s="17" t="s">
        <v>30</v>
      </c>
      <c r="H44" s="18">
        <f>ROUND(RAND()*4+6,1)</f>
      </c>
      <c r="I44" s="17" t="s">
        <v>31</v>
      </c>
      <c r="J44" s="19">
        <f>ROUND(68*1,0)&amp;"%"</f>
      </c>
    </row>
    <row x14ac:dyDescent="0.25" r="45" customHeight="1" ht="17.25">
      <c r="A45" s="20" t="s">
        <v>6576</v>
      </c>
      <c r="B45" s="20" t="s">
        <v>101</v>
      </c>
      <c r="C45" s="20" t="s">
        <v>95</v>
      </c>
      <c r="D45" s="20" t="s">
        <v>34</v>
      </c>
      <c r="E45" s="21">
        <f>ROUND(12084*1.05,2)</f>
      </c>
      <c r="F45" s="20" t="s">
        <v>35</v>
      </c>
      <c r="G45" s="20" t="s">
        <v>18</v>
      </c>
      <c r="H45" s="21">
        <f>ROUND(RAND()*4+6,1)</f>
      </c>
      <c r="I45" s="20" t="s">
        <v>36</v>
      </c>
      <c r="J45" s="23">
        <f>ROUND(75*1,0)&amp;"%"</f>
      </c>
    </row>
    <row x14ac:dyDescent="0.25" r="46" customHeight="1" ht="17.25">
      <c r="A46" s="17" t="s">
        <v>6577</v>
      </c>
      <c r="B46" s="17" t="s">
        <v>103</v>
      </c>
      <c r="C46" s="17" t="s">
        <v>95</v>
      </c>
      <c r="D46" s="17" t="s">
        <v>39</v>
      </c>
      <c r="E46" s="18">
        <f>ROUND(11518*1.05,2)</f>
      </c>
      <c r="F46" s="17" t="s">
        <v>40</v>
      </c>
      <c r="G46" s="17" t="s">
        <v>24</v>
      </c>
      <c r="H46" s="18">
        <f>ROUND(RAND()*4+6,1)</f>
      </c>
      <c r="I46" s="17" t="s">
        <v>41</v>
      </c>
      <c r="J46" s="19">
        <f>ROUND(62*1,0)&amp;"%"</f>
      </c>
    </row>
    <row x14ac:dyDescent="0.25" r="47" customHeight="1" ht="17.25">
      <c r="A47" s="20" t="s">
        <v>6578</v>
      </c>
      <c r="B47" s="20" t="s">
        <v>105</v>
      </c>
      <c r="C47" s="20" t="s">
        <v>95</v>
      </c>
      <c r="D47" s="20" t="s">
        <v>67</v>
      </c>
      <c r="E47" s="21">
        <f>ROUND(4593*1.05,2)</f>
      </c>
      <c r="F47" s="20" t="s">
        <v>44</v>
      </c>
      <c r="G47" s="20" t="s">
        <v>30</v>
      </c>
      <c r="H47" s="21">
        <f>ROUND(RAND()*4+6,1)</f>
      </c>
      <c r="I47" s="20" t="s">
        <v>45</v>
      </c>
      <c r="J47" s="23">
        <f>ROUND(99*1,0)&amp;"%"</f>
      </c>
    </row>
    <row x14ac:dyDescent="0.25" r="48" customHeight="1" ht="17.25">
      <c r="A48" s="17" t="s">
        <v>6579</v>
      </c>
      <c r="B48" s="17" t="s">
        <v>107</v>
      </c>
      <c r="C48" s="17" t="s">
        <v>95</v>
      </c>
      <c r="D48" s="17" t="s">
        <v>16</v>
      </c>
      <c r="E48" s="18">
        <f>ROUND(9037*1.05,2)</f>
      </c>
      <c r="F48" s="17" t="s">
        <v>48</v>
      </c>
      <c r="G48" s="17" t="s">
        <v>18</v>
      </c>
      <c r="H48" s="18">
        <f>ROUND(RAND()*4+6,1)</f>
      </c>
      <c r="I48" s="17" t="s">
        <v>19</v>
      </c>
      <c r="J48" s="19">
        <f>ROUND(61*1,0)&amp;"%"</f>
      </c>
    </row>
    <row x14ac:dyDescent="0.25" r="49" customHeight="1" ht="17.25">
      <c r="A49" s="20" t="s">
        <v>6580</v>
      </c>
      <c r="B49" s="20" t="s">
        <v>109</v>
      </c>
      <c r="C49" s="20" t="s">
        <v>95</v>
      </c>
      <c r="D49" s="20" t="s">
        <v>22</v>
      </c>
      <c r="E49" s="21">
        <f>ROUND(13897*1.05,2)</f>
      </c>
      <c r="F49" s="20" t="s">
        <v>51</v>
      </c>
      <c r="G49" s="20" t="s">
        <v>24</v>
      </c>
      <c r="H49" s="21">
        <f>ROUND(RAND()*4+6,1)</f>
      </c>
      <c r="I49" s="20" t="s">
        <v>25</v>
      </c>
      <c r="J49" s="23">
        <f>ROUND(86*1,0)&amp;"%"</f>
      </c>
    </row>
    <row x14ac:dyDescent="0.25" r="50" customHeight="1" ht="17.25">
      <c r="A50" s="24" t="s">
        <v>110</v>
      </c>
      <c r="B50" s="24"/>
      <c r="C50" s="24"/>
      <c r="D50" s="24"/>
      <c r="E50" s="25">
        <v>8</v>
      </c>
      <c r="F50" s="9"/>
      <c r="G50" s="9"/>
      <c r="H50" s="10"/>
      <c r="I50" s="9"/>
      <c r="J50" s="9"/>
    </row>
    <row x14ac:dyDescent="0.25" r="51" customHeight="1" ht="17.25">
      <c r="A51" s="7"/>
      <c r="B51" s="7"/>
      <c r="C51" s="7"/>
      <c r="D51" s="7"/>
      <c r="E51" s="8"/>
      <c r="F51" s="9"/>
      <c r="G51" s="9"/>
      <c r="H51" s="10"/>
      <c r="I51" s="9"/>
      <c r="J51" s="9"/>
    </row>
    <row x14ac:dyDescent="0.25" r="52" customHeight="1" ht="17.25">
      <c r="A52" s="11" t="s">
        <v>6581</v>
      </c>
      <c r="B52" s="11"/>
      <c r="C52" s="11"/>
      <c r="D52" s="11"/>
      <c r="E52" s="12"/>
      <c r="F52" s="11"/>
      <c r="G52" s="11"/>
      <c r="H52" s="13"/>
      <c r="I52" s="11"/>
      <c r="J52" s="11"/>
    </row>
    <row x14ac:dyDescent="0.25" r="53" customHeight="1" ht="17.25">
      <c r="A53" s="14" t="s">
        <v>3</v>
      </c>
      <c r="B53" s="14" t="s">
        <v>4</v>
      </c>
      <c r="C53" s="14" t="s">
        <v>5</v>
      </c>
      <c r="D53" s="14" t="s">
        <v>6</v>
      </c>
      <c r="E53" s="15" t="s">
        <v>7</v>
      </c>
      <c r="F53" s="14" t="s">
        <v>8</v>
      </c>
      <c r="G53" s="14" t="s">
        <v>9</v>
      </c>
      <c r="H53" s="16" t="s">
        <v>10</v>
      </c>
      <c r="I53" s="14" t="s">
        <v>11</v>
      </c>
      <c r="J53" s="14" t="s">
        <v>12</v>
      </c>
    </row>
    <row x14ac:dyDescent="0.25" r="54" customHeight="1" ht="17.25">
      <c r="A54" s="17" t="s">
        <v>6582</v>
      </c>
      <c r="B54" s="17" t="s">
        <v>113</v>
      </c>
      <c r="C54" s="17" t="s">
        <v>114</v>
      </c>
      <c r="D54" s="17" t="s">
        <v>16</v>
      </c>
      <c r="E54" s="18">
        <f>ROUND(16770*1.05,2)</f>
      </c>
      <c r="F54" s="17" t="s">
        <v>17</v>
      </c>
      <c r="G54" s="17" t="s">
        <v>18</v>
      </c>
      <c r="H54" s="18">
        <f>ROUND(RAND()*4+6,1)</f>
      </c>
      <c r="I54" s="17" t="s">
        <v>19</v>
      </c>
      <c r="J54" s="19">
        <f>ROUND(99*1,0)&amp;"%"</f>
      </c>
    </row>
    <row x14ac:dyDescent="0.25" r="55" customHeight="1" ht="17.25">
      <c r="A55" s="20" t="s">
        <v>6583</v>
      </c>
      <c r="B55" s="20" t="s">
        <v>116</v>
      </c>
      <c r="C55" s="20" t="s">
        <v>114</v>
      </c>
      <c r="D55" s="20" t="s">
        <v>22</v>
      </c>
      <c r="E55" s="21">
        <f>ROUND(13877*1.05,2)</f>
      </c>
      <c r="F55" s="20" t="s">
        <v>23</v>
      </c>
      <c r="G55" s="20" t="s">
        <v>24</v>
      </c>
      <c r="H55" s="21">
        <f>ROUND(RAND()*4+6,1)</f>
      </c>
      <c r="I55" s="20" t="s">
        <v>25</v>
      </c>
      <c r="J55" s="23">
        <f>ROUND(71*1,0)&amp;"%"</f>
      </c>
    </row>
    <row x14ac:dyDescent="0.25" r="56" customHeight="1" ht="17.25">
      <c r="A56" s="17" t="s">
        <v>6584</v>
      </c>
      <c r="B56" s="17" t="s">
        <v>118</v>
      </c>
      <c r="C56" s="17" t="s">
        <v>114</v>
      </c>
      <c r="D56" s="17" t="s">
        <v>28</v>
      </c>
      <c r="E56" s="18">
        <f>ROUND(8849*1.05,2)</f>
      </c>
      <c r="F56" s="17" t="s">
        <v>29</v>
      </c>
      <c r="G56" s="17" t="s">
        <v>30</v>
      </c>
      <c r="H56" s="18">
        <f>ROUND(RAND()*4+6,1)</f>
      </c>
      <c r="I56" s="17" t="s">
        <v>31</v>
      </c>
      <c r="J56" s="19">
        <f>ROUND(98*1,0)&amp;"%"</f>
      </c>
    </row>
    <row x14ac:dyDescent="0.25" r="57" customHeight="1" ht="17.25">
      <c r="A57" s="20" t="s">
        <v>6585</v>
      </c>
      <c r="B57" s="20" t="s">
        <v>120</v>
      </c>
      <c r="C57" s="20" t="s">
        <v>114</v>
      </c>
      <c r="D57" s="20" t="s">
        <v>34</v>
      </c>
      <c r="E57" s="21">
        <f>ROUND(11702*1.05,2)</f>
      </c>
      <c r="F57" s="20" t="s">
        <v>35</v>
      </c>
      <c r="G57" s="20" t="s">
        <v>18</v>
      </c>
      <c r="H57" s="21">
        <f>ROUND(RAND()*4+6,1)</f>
      </c>
      <c r="I57" s="20" t="s">
        <v>36</v>
      </c>
      <c r="J57" s="23">
        <f>ROUND(68*1,0)&amp;"%"</f>
      </c>
    </row>
    <row x14ac:dyDescent="0.25" r="58" customHeight="1" ht="17.25">
      <c r="A58" s="17" t="s">
        <v>6586</v>
      </c>
      <c r="B58" s="17" t="s">
        <v>122</v>
      </c>
      <c r="C58" s="17" t="s">
        <v>114</v>
      </c>
      <c r="D58" s="17" t="s">
        <v>39</v>
      </c>
      <c r="E58" s="18">
        <f>ROUND(6637*1.05,2)</f>
      </c>
      <c r="F58" s="17" t="s">
        <v>40</v>
      </c>
      <c r="G58" s="17" t="s">
        <v>24</v>
      </c>
      <c r="H58" s="18">
        <f>ROUND(RAND()*4+6,1)</f>
      </c>
      <c r="I58" s="17" t="s">
        <v>41</v>
      </c>
      <c r="J58" s="19">
        <f>ROUND(69*1,0)&amp;"%"</f>
      </c>
    </row>
    <row x14ac:dyDescent="0.25" r="59" customHeight="1" ht="17.25">
      <c r="A59" s="20" t="s">
        <v>6587</v>
      </c>
      <c r="B59" s="20" t="s">
        <v>124</v>
      </c>
      <c r="C59" s="20" t="s">
        <v>114</v>
      </c>
      <c r="D59" s="20" t="s">
        <v>67</v>
      </c>
      <c r="E59" s="21">
        <f>ROUND(15948*1.05,2)</f>
      </c>
      <c r="F59" s="20" t="s">
        <v>44</v>
      </c>
      <c r="G59" s="20" t="s">
        <v>30</v>
      </c>
      <c r="H59" s="21">
        <f>ROUND(RAND()*4+6,1)</f>
      </c>
      <c r="I59" s="20" t="s">
        <v>45</v>
      </c>
      <c r="J59" s="23">
        <f>ROUND(75*1,0)&amp;"%"</f>
      </c>
    </row>
    <row x14ac:dyDescent="0.25" r="60" customHeight="1" ht="17.25">
      <c r="A60" s="17" t="s">
        <v>6588</v>
      </c>
      <c r="B60" s="17" t="s">
        <v>126</v>
      </c>
      <c r="C60" s="17" t="s">
        <v>114</v>
      </c>
      <c r="D60" s="17" t="s">
        <v>16</v>
      </c>
      <c r="E60" s="18">
        <f>ROUND(16784*1.05,2)</f>
      </c>
      <c r="F60" s="17" t="s">
        <v>48</v>
      </c>
      <c r="G60" s="17" t="s">
        <v>18</v>
      </c>
      <c r="H60" s="26">
        <f>ROUND(RAND()*4+6,1)</f>
      </c>
      <c r="I60" s="17" t="s">
        <v>19</v>
      </c>
      <c r="J60" s="19">
        <f>ROUND(73*1,0)&amp;"%"</f>
      </c>
    </row>
    <row x14ac:dyDescent="0.25" r="61" customHeight="1" ht="17.25">
      <c r="A61" s="20" t="s">
        <v>6589</v>
      </c>
      <c r="B61" s="20" t="s">
        <v>128</v>
      </c>
      <c r="C61" s="20" t="s">
        <v>114</v>
      </c>
      <c r="D61" s="20" t="s">
        <v>22</v>
      </c>
      <c r="E61" s="21">
        <f>ROUND(4729*1.05,2)</f>
      </c>
      <c r="F61" s="20" t="s">
        <v>51</v>
      </c>
      <c r="G61" s="20" t="s">
        <v>24</v>
      </c>
      <c r="H61" s="21">
        <f>ROUND(RAND()*4+6,1)</f>
      </c>
      <c r="I61" s="20" t="s">
        <v>25</v>
      </c>
      <c r="J61" s="23">
        <f>ROUND(61*1,0)&amp;"%"</f>
      </c>
    </row>
    <row x14ac:dyDescent="0.25" r="62" customHeight="1" ht="17.25">
      <c r="A62" s="24" t="s">
        <v>129</v>
      </c>
      <c r="B62" s="24"/>
      <c r="C62" s="24"/>
      <c r="D62" s="24"/>
      <c r="E62" s="25">
        <v>8</v>
      </c>
      <c r="F62" s="9"/>
      <c r="G62" s="9"/>
      <c r="H62" s="10"/>
      <c r="I62" s="9"/>
      <c r="J62" s="9"/>
    </row>
    <row x14ac:dyDescent="0.25" r="63" customHeight="1" ht="17.25">
      <c r="A63" s="7"/>
      <c r="B63" s="7"/>
      <c r="C63" s="7"/>
      <c r="D63" s="7"/>
      <c r="E63" s="8"/>
      <c r="F63" s="9"/>
      <c r="G63" s="9"/>
      <c r="H63" s="10"/>
      <c r="I63" s="9"/>
      <c r="J63" s="9"/>
    </row>
    <row x14ac:dyDescent="0.25" r="64" customHeight="1" ht="17.25">
      <c r="A64" s="11" t="s">
        <v>6590</v>
      </c>
      <c r="B64" s="11"/>
      <c r="C64" s="11"/>
      <c r="D64" s="11"/>
      <c r="E64" s="12"/>
      <c r="F64" s="11"/>
      <c r="G64" s="11"/>
      <c r="H64" s="13"/>
      <c r="I64" s="11"/>
      <c r="J64" s="11"/>
    </row>
    <row x14ac:dyDescent="0.25" r="65" customHeight="1" ht="17.25">
      <c r="A65" s="14" t="s">
        <v>3</v>
      </c>
      <c r="B65" s="14" t="s">
        <v>4</v>
      </c>
      <c r="C65" s="14" t="s">
        <v>5</v>
      </c>
      <c r="D65" s="14" t="s">
        <v>6</v>
      </c>
      <c r="E65" s="15" t="s">
        <v>7</v>
      </c>
      <c r="F65" s="14" t="s">
        <v>8</v>
      </c>
      <c r="G65" s="14" t="s">
        <v>9</v>
      </c>
      <c r="H65" s="16" t="s">
        <v>10</v>
      </c>
      <c r="I65" s="14" t="s">
        <v>11</v>
      </c>
      <c r="J65" s="14" t="s">
        <v>12</v>
      </c>
    </row>
    <row x14ac:dyDescent="0.25" r="66" customHeight="1" ht="17.25">
      <c r="A66" s="17" t="s">
        <v>6591</v>
      </c>
      <c r="B66" s="17" t="s">
        <v>132</v>
      </c>
      <c r="C66" s="17" t="s">
        <v>133</v>
      </c>
      <c r="D66" s="17" t="s">
        <v>16</v>
      </c>
      <c r="E66" s="18">
        <f>ROUND(16979*1.05,2)</f>
      </c>
      <c r="F66" s="17" t="s">
        <v>17</v>
      </c>
      <c r="G66" s="17" t="s">
        <v>18</v>
      </c>
      <c r="H66" s="18">
        <f>ROUND(RAND()*4+6,1)</f>
      </c>
      <c r="I66" s="17" t="s">
        <v>19</v>
      </c>
      <c r="J66" s="19">
        <f>ROUND(89*1,0)&amp;"%"</f>
      </c>
    </row>
    <row x14ac:dyDescent="0.25" r="67" customHeight="1" ht="17.25">
      <c r="A67" s="20" t="s">
        <v>6592</v>
      </c>
      <c r="B67" s="20" t="s">
        <v>135</v>
      </c>
      <c r="C67" s="20" t="s">
        <v>133</v>
      </c>
      <c r="D67" s="20" t="s">
        <v>22</v>
      </c>
      <c r="E67" s="21">
        <f>ROUND(8725*1.05,2)</f>
      </c>
      <c r="F67" s="20" t="s">
        <v>23</v>
      </c>
      <c r="G67" s="20" t="s">
        <v>24</v>
      </c>
      <c r="H67" s="21">
        <f>ROUND(RAND()*4+6,1)</f>
      </c>
      <c r="I67" s="20" t="s">
        <v>25</v>
      </c>
      <c r="J67" s="23">
        <f>ROUND(94*1,0)&amp;"%"</f>
      </c>
    </row>
    <row x14ac:dyDescent="0.25" r="68" customHeight="1" ht="17.25">
      <c r="A68" s="17" t="s">
        <v>6593</v>
      </c>
      <c r="B68" s="17" t="s">
        <v>137</v>
      </c>
      <c r="C68" s="17" t="s">
        <v>133</v>
      </c>
      <c r="D68" s="17" t="s">
        <v>28</v>
      </c>
      <c r="E68" s="18">
        <f>ROUND(8703*1.05,2)</f>
      </c>
      <c r="F68" s="17" t="s">
        <v>29</v>
      </c>
      <c r="G68" s="17" t="s">
        <v>30</v>
      </c>
      <c r="H68" s="18">
        <f>ROUND(RAND()*4+6,1)</f>
      </c>
      <c r="I68" s="17" t="s">
        <v>31</v>
      </c>
      <c r="J68" s="19">
        <f>ROUND(80*1,0)&amp;"%"</f>
      </c>
    </row>
    <row x14ac:dyDescent="0.25" r="69" customHeight="1" ht="17.25">
      <c r="A69" s="20" t="s">
        <v>6594</v>
      </c>
      <c r="B69" s="20" t="s">
        <v>139</v>
      </c>
      <c r="C69" s="20" t="s">
        <v>133</v>
      </c>
      <c r="D69" s="20" t="s">
        <v>34</v>
      </c>
      <c r="E69" s="21">
        <f>ROUND(14415*1.05,2)</f>
      </c>
      <c r="F69" s="20" t="s">
        <v>35</v>
      </c>
      <c r="G69" s="20" t="s">
        <v>18</v>
      </c>
      <c r="H69" s="21">
        <f>ROUND(RAND()*4+6,1)</f>
      </c>
      <c r="I69" s="20" t="s">
        <v>36</v>
      </c>
      <c r="J69" s="23">
        <f>ROUND(100*1,0)&amp;"%"</f>
      </c>
    </row>
    <row x14ac:dyDescent="0.25" r="70" customHeight="1" ht="17.25">
      <c r="A70" s="17" t="s">
        <v>6595</v>
      </c>
      <c r="B70" s="17" t="s">
        <v>141</v>
      </c>
      <c r="C70" s="17" t="s">
        <v>133</v>
      </c>
      <c r="D70" s="17" t="s">
        <v>39</v>
      </c>
      <c r="E70" s="18">
        <f>ROUND(7852*1.05,2)</f>
      </c>
      <c r="F70" s="17" t="s">
        <v>40</v>
      </c>
      <c r="G70" s="17" t="s">
        <v>24</v>
      </c>
      <c r="H70" s="18">
        <f>ROUND(RAND()*4+6,1)</f>
      </c>
      <c r="I70" s="17" t="s">
        <v>41</v>
      </c>
      <c r="J70" s="19">
        <f>ROUND(79*1,0)&amp;"%"</f>
      </c>
    </row>
    <row x14ac:dyDescent="0.25" r="71" customHeight="1" ht="17.25">
      <c r="A71" s="20" t="s">
        <v>6596</v>
      </c>
      <c r="B71" s="20" t="s">
        <v>143</v>
      </c>
      <c r="C71" s="20" t="s">
        <v>133</v>
      </c>
      <c r="D71" s="20" t="s">
        <v>67</v>
      </c>
      <c r="E71" s="21">
        <f>ROUND(13955*1.05,2)</f>
      </c>
      <c r="F71" s="20" t="s">
        <v>44</v>
      </c>
      <c r="G71" s="20" t="s">
        <v>30</v>
      </c>
      <c r="H71" s="21">
        <f>ROUND(RAND()*4+6,1)</f>
      </c>
      <c r="I71" s="20" t="s">
        <v>45</v>
      </c>
      <c r="J71" s="23">
        <f>ROUND(97*1,0)&amp;"%"</f>
      </c>
    </row>
    <row x14ac:dyDescent="0.25" r="72" customHeight="1" ht="17.25">
      <c r="A72" s="17" t="s">
        <v>6597</v>
      </c>
      <c r="B72" s="17" t="s">
        <v>145</v>
      </c>
      <c r="C72" s="17" t="s">
        <v>133</v>
      </c>
      <c r="D72" s="17" t="s">
        <v>16</v>
      </c>
      <c r="E72" s="18">
        <f>ROUND(7184*1.05,2)</f>
      </c>
      <c r="F72" s="17" t="s">
        <v>48</v>
      </c>
      <c r="G72" s="17" t="s">
        <v>18</v>
      </c>
      <c r="H72" s="18">
        <f>ROUND(RAND()*4+6,1)</f>
      </c>
      <c r="I72" s="17" t="s">
        <v>19</v>
      </c>
      <c r="J72" s="19">
        <f>ROUND(67*1,0)&amp;"%"</f>
      </c>
    </row>
    <row x14ac:dyDescent="0.25" r="73" customHeight="1" ht="17.25">
      <c r="A73" s="20" t="s">
        <v>6598</v>
      </c>
      <c r="B73" s="20" t="s">
        <v>147</v>
      </c>
      <c r="C73" s="20" t="s">
        <v>133</v>
      </c>
      <c r="D73" s="20" t="s">
        <v>22</v>
      </c>
      <c r="E73" s="21">
        <f>ROUND(11443*1.05,2)</f>
      </c>
      <c r="F73" s="20" t="s">
        <v>51</v>
      </c>
      <c r="G73" s="20" t="s">
        <v>24</v>
      </c>
      <c r="H73" s="21">
        <f>ROUND(RAND()*4+6,1)</f>
      </c>
      <c r="I73" s="20" t="s">
        <v>25</v>
      </c>
      <c r="J73" s="23">
        <f>ROUND(96*1,0)&amp;"%"</f>
      </c>
    </row>
    <row x14ac:dyDescent="0.25" r="74" customHeight="1" ht="17.25">
      <c r="A74" s="24" t="s">
        <v>148</v>
      </c>
      <c r="B74" s="24"/>
      <c r="C74" s="24"/>
      <c r="D74" s="24"/>
      <c r="E74" s="25">
        <v>8</v>
      </c>
      <c r="F74" s="9"/>
      <c r="G74" s="9"/>
      <c r="H74" s="10"/>
      <c r="I74" s="9"/>
      <c r="J74" s="9"/>
    </row>
    <row x14ac:dyDescent="0.25" r="75" customHeight="1" ht="17.25">
      <c r="A75" s="7"/>
      <c r="B75" s="7"/>
      <c r="C75" s="7"/>
      <c r="D75" s="7"/>
      <c r="E75" s="8"/>
      <c r="F75" s="9"/>
      <c r="G75" s="9"/>
      <c r="H75" s="10"/>
      <c r="I75" s="9"/>
      <c r="J75" s="9"/>
    </row>
    <row x14ac:dyDescent="0.25" r="76" customHeight="1" ht="17.25">
      <c r="A76" s="11" t="s">
        <v>6599</v>
      </c>
      <c r="B76" s="11"/>
      <c r="C76" s="11"/>
      <c r="D76" s="11"/>
      <c r="E76" s="12"/>
      <c r="F76" s="11"/>
      <c r="G76" s="11"/>
      <c r="H76" s="13"/>
      <c r="I76" s="11"/>
      <c r="J76" s="11"/>
    </row>
    <row x14ac:dyDescent="0.25" r="77" customHeight="1" ht="17.25">
      <c r="A77" s="14" t="s">
        <v>3</v>
      </c>
      <c r="B77" s="14" t="s">
        <v>4</v>
      </c>
      <c r="C77" s="14" t="s">
        <v>5</v>
      </c>
      <c r="D77" s="14" t="s">
        <v>6</v>
      </c>
      <c r="E77" s="15" t="s">
        <v>7</v>
      </c>
      <c r="F77" s="14" t="s">
        <v>8</v>
      </c>
      <c r="G77" s="14" t="s">
        <v>9</v>
      </c>
      <c r="H77" s="16" t="s">
        <v>10</v>
      </c>
      <c r="I77" s="14" t="s">
        <v>11</v>
      </c>
      <c r="J77" s="14" t="s">
        <v>12</v>
      </c>
    </row>
    <row x14ac:dyDescent="0.25" r="78" customHeight="1" ht="17.25">
      <c r="A78" s="17" t="s">
        <v>6600</v>
      </c>
      <c r="B78" s="17" t="s">
        <v>151</v>
      </c>
      <c r="C78" s="17" t="s">
        <v>152</v>
      </c>
      <c r="D78" s="17" t="s">
        <v>16</v>
      </c>
      <c r="E78" s="18">
        <f>ROUND(5363*1.05,2)</f>
      </c>
      <c r="F78" s="17" t="s">
        <v>17</v>
      </c>
      <c r="G78" s="17" t="s">
        <v>18</v>
      </c>
      <c r="H78" s="18">
        <f>ROUND(RAND()*4+6,1)</f>
      </c>
      <c r="I78" s="17" t="s">
        <v>19</v>
      </c>
      <c r="J78" s="19">
        <f>ROUND(83*1,0)&amp;"%"</f>
      </c>
    </row>
    <row x14ac:dyDescent="0.25" r="79" customHeight="1" ht="17.25">
      <c r="A79" s="20" t="s">
        <v>6601</v>
      </c>
      <c r="B79" s="20" t="s">
        <v>154</v>
      </c>
      <c r="C79" s="20" t="s">
        <v>152</v>
      </c>
      <c r="D79" s="20" t="s">
        <v>22</v>
      </c>
      <c r="E79" s="21">
        <f>ROUND(7570*1.05,2)</f>
      </c>
      <c r="F79" s="20" t="s">
        <v>23</v>
      </c>
      <c r="G79" s="20" t="s">
        <v>24</v>
      </c>
      <c r="H79" s="21">
        <f>ROUND(RAND()*4+6,1)</f>
      </c>
      <c r="I79" s="20" t="s">
        <v>25</v>
      </c>
      <c r="J79" s="23">
        <f>ROUND(85*1,0)&amp;"%"</f>
      </c>
    </row>
    <row x14ac:dyDescent="0.25" r="80" customHeight="1" ht="17.25">
      <c r="A80" s="17" t="s">
        <v>6602</v>
      </c>
      <c r="B80" s="17" t="s">
        <v>156</v>
      </c>
      <c r="C80" s="17" t="s">
        <v>152</v>
      </c>
      <c r="D80" s="17" t="s">
        <v>28</v>
      </c>
      <c r="E80" s="18">
        <f>ROUND(14143*1.05,2)</f>
      </c>
      <c r="F80" s="17" t="s">
        <v>29</v>
      </c>
      <c r="G80" s="17" t="s">
        <v>30</v>
      </c>
      <c r="H80" s="18">
        <f>ROUND(RAND()*4+6,1)</f>
      </c>
      <c r="I80" s="17" t="s">
        <v>31</v>
      </c>
      <c r="J80" s="19">
        <f>ROUND(87*1,0)&amp;"%"</f>
      </c>
    </row>
    <row x14ac:dyDescent="0.25" r="81" customHeight="1" ht="17.25">
      <c r="A81" s="20" t="s">
        <v>6603</v>
      </c>
      <c r="B81" s="20" t="s">
        <v>158</v>
      </c>
      <c r="C81" s="20" t="s">
        <v>152</v>
      </c>
      <c r="D81" s="20" t="s">
        <v>34</v>
      </c>
      <c r="E81" s="21">
        <f>ROUND(9249*1.05,2)</f>
      </c>
      <c r="F81" s="20" t="s">
        <v>35</v>
      </c>
      <c r="G81" s="20" t="s">
        <v>18</v>
      </c>
      <c r="H81" s="21">
        <f>ROUND(RAND()*4+6,1)</f>
      </c>
      <c r="I81" s="20" t="s">
        <v>36</v>
      </c>
      <c r="J81" s="23">
        <f>ROUND(71*1,0)&amp;"%"</f>
      </c>
    </row>
    <row x14ac:dyDescent="0.25" r="82" customHeight="1" ht="17.25">
      <c r="A82" s="17" t="s">
        <v>6604</v>
      </c>
      <c r="B82" s="17" t="s">
        <v>160</v>
      </c>
      <c r="C82" s="17" t="s">
        <v>152</v>
      </c>
      <c r="D82" s="17" t="s">
        <v>39</v>
      </c>
      <c r="E82" s="18">
        <f>ROUND(12619*1.05,2)</f>
      </c>
      <c r="F82" s="17" t="s">
        <v>40</v>
      </c>
      <c r="G82" s="17" t="s">
        <v>24</v>
      </c>
      <c r="H82" s="18">
        <f>ROUND(RAND()*4+6,1)</f>
      </c>
      <c r="I82" s="17" t="s">
        <v>41</v>
      </c>
      <c r="J82" s="19">
        <f>ROUND(77*1,0)&amp;"%"</f>
      </c>
    </row>
    <row x14ac:dyDescent="0.25" r="83" customHeight="1" ht="17.25">
      <c r="A83" s="20" t="s">
        <v>6605</v>
      </c>
      <c r="B83" s="20" t="s">
        <v>162</v>
      </c>
      <c r="C83" s="20" t="s">
        <v>152</v>
      </c>
      <c r="D83" s="20" t="s">
        <v>67</v>
      </c>
      <c r="E83" s="21">
        <f>ROUND(4524*1.05,2)</f>
      </c>
      <c r="F83" s="20" t="s">
        <v>44</v>
      </c>
      <c r="G83" s="20" t="s">
        <v>30</v>
      </c>
      <c r="H83" s="21">
        <f>ROUND(RAND()*4+6,1)</f>
      </c>
      <c r="I83" s="20" t="s">
        <v>45</v>
      </c>
      <c r="J83" s="23">
        <f>ROUND(60*1,0)&amp;"%"</f>
      </c>
    </row>
    <row x14ac:dyDescent="0.25" r="84" customHeight="1" ht="17.25">
      <c r="A84" s="17" t="s">
        <v>6606</v>
      </c>
      <c r="B84" s="17" t="s">
        <v>164</v>
      </c>
      <c r="C84" s="17" t="s">
        <v>152</v>
      </c>
      <c r="D84" s="17" t="s">
        <v>16</v>
      </c>
      <c r="E84" s="18">
        <f>ROUND(4493*1.05,2)</f>
      </c>
      <c r="F84" s="17" t="s">
        <v>48</v>
      </c>
      <c r="G84" s="17" t="s">
        <v>18</v>
      </c>
      <c r="H84" s="18">
        <f>ROUND(RAND()*4+6,1)</f>
      </c>
      <c r="I84" s="17" t="s">
        <v>19</v>
      </c>
      <c r="J84" s="19">
        <f>ROUND(90*1,0)&amp;"%"</f>
      </c>
    </row>
    <row x14ac:dyDescent="0.25" r="85" customHeight="1" ht="17.25">
      <c r="A85" s="20" t="s">
        <v>6607</v>
      </c>
      <c r="B85" s="20" t="s">
        <v>166</v>
      </c>
      <c r="C85" s="20" t="s">
        <v>152</v>
      </c>
      <c r="D85" s="20" t="s">
        <v>22</v>
      </c>
      <c r="E85" s="21">
        <f>ROUND(4292*1.05,2)</f>
      </c>
      <c r="F85" s="20" t="s">
        <v>51</v>
      </c>
      <c r="G85" s="20" t="s">
        <v>24</v>
      </c>
      <c r="H85" s="21">
        <f>ROUND(RAND()*4+6,1)</f>
      </c>
      <c r="I85" s="20" t="s">
        <v>25</v>
      </c>
      <c r="J85" s="23">
        <f>ROUND(79*1,0)&amp;"%"</f>
      </c>
    </row>
    <row x14ac:dyDescent="0.25" r="86" customHeight="1" ht="17.25">
      <c r="A86" s="24" t="s">
        <v>167</v>
      </c>
      <c r="B86" s="24"/>
      <c r="C86" s="24"/>
      <c r="D86" s="24"/>
      <c r="E86" s="25">
        <v>8</v>
      </c>
      <c r="F86" s="9"/>
      <c r="G86" s="9"/>
      <c r="H86" s="10"/>
      <c r="I86" s="9"/>
      <c r="J86" s="9"/>
    </row>
    <row x14ac:dyDescent="0.25" r="87" customHeight="1" ht="17.25">
      <c r="A87" s="7"/>
      <c r="B87" s="7"/>
      <c r="C87" s="7"/>
      <c r="D87" s="7"/>
      <c r="E87" s="8"/>
      <c r="F87" s="9"/>
      <c r="G87" s="9"/>
      <c r="H87" s="10"/>
      <c r="I87" s="9"/>
      <c r="J87" s="9"/>
    </row>
    <row x14ac:dyDescent="0.25" r="88" customHeight="1" ht="17.25">
      <c r="A88" s="11" t="s">
        <v>6608</v>
      </c>
      <c r="B88" s="11"/>
      <c r="C88" s="11"/>
      <c r="D88" s="11"/>
      <c r="E88" s="12"/>
      <c r="F88" s="11"/>
      <c r="G88" s="11"/>
      <c r="H88" s="13"/>
      <c r="I88" s="11"/>
      <c r="J88" s="11"/>
    </row>
    <row x14ac:dyDescent="0.25" r="89" customHeight="1" ht="17.25">
      <c r="A89" s="14" t="s">
        <v>3</v>
      </c>
      <c r="B89" s="14" t="s">
        <v>4</v>
      </c>
      <c r="C89" s="14" t="s">
        <v>5</v>
      </c>
      <c r="D89" s="14" t="s">
        <v>6</v>
      </c>
      <c r="E89" s="15" t="s">
        <v>7</v>
      </c>
      <c r="F89" s="14" t="s">
        <v>8</v>
      </c>
      <c r="G89" s="14" t="s">
        <v>9</v>
      </c>
      <c r="H89" s="16" t="s">
        <v>10</v>
      </c>
      <c r="I89" s="14" t="s">
        <v>11</v>
      </c>
      <c r="J89" s="14" t="s">
        <v>12</v>
      </c>
    </row>
    <row x14ac:dyDescent="0.25" r="90" customHeight="1" ht="17.25">
      <c r="A90" s="17" t="s">
        <v>6609</v>
      </c>
      <c r="B90" s="17" t="s">
        <v>170</v>
      </c>
      <c r="C90" s="17" t="s">
        <v>15</v>
      </c>
      <c r="D90" s="17" t="s">
        <v>16</v>
      </c>
      <c r="E90" s="18">
        <f>ROUND(7566*1.05,2)</f>
      </c>
      <c r="F90" s="17" t="s">
        <v>17</v>
      </c>
      <c r="G90" s="17" t="s">
        <v>18</v>
      </c>
      <c r="H90" s="18">
        <f>ROUND(RAND()*4+6,1)</f>
      </c>
      <c r="I90" s="17" t="s">
        <v>19</v>
      </c>
      <c r="J90" s="19">
        <f>ROUND(87*1,0)&amp;"%"</f>
      </c>
    </row>
    <row x14ac:dyDescent="0.25" r="91" customHeight="1" ht="17.25">
      <c r="A91" s="20" t="s">
        <v>6610</v>
      </c>
      <c r="B91" s="20" t="s">
        <v>172</v>
      </c>
      <c r="C91" s="20" t="s">
        <v>15</v>
      </c>
      <c r="D91" s="20" t="s">
        <v>22</v>
      </c>
      <c r="E91" s="21">
        <f>ROUND(14496*1.05,2)</f>
      </c>
      <c r="F91" s="20" t="s">
        <v>23</v>
      </c>
      <c r="G91" s="20" t="s">
        <v>24</v>
      </c>
      <c r="H91" s="21">
        <f>ROUND(RAND()*4+6,1)</f>
      </c>
      <c r="I91" s="20" t="s">
        <v>25</v>
      </c>
      <c r="J91" s="23">
        <f>ROUND(97*1,0)&amp;"%"</f>
      </c>
    </row>
    <row x14ac:dyDescent="0.25" r="92" customHeight="1" ht="17.25">
      <c r="A92" s="17" t="s">
        <v>6611</v>
      </c>
      <c r="B92" s="17" t="s">
        <v>174</v>
      </c>
      <c r="C92" s="17" t="s">
        <v>15</v>
      </c>
      <c r="D92" s="17" t="s">
        <v>28</v>
      </c>
      <c r="E92" s="18">
        <f>ROUND(9903*1.05,2)</f>
      </c>
      <c r="F92" s="17" t="s">
        <v>29</v>
      </c>
      <c r="G92" s="17" t="s">
        <v>30</v>
      </c>
      <c r="H92" s="18">
        <f>ROUND(RAND()*4+6,1)</f>
      </c>
      <c r="I92" s="17" t="s">
        <v>31</v>
      </c>
      <c r="J92" s="19">
        <f>ROUND(86*1,0)&amp;"%"</f>
      </c>
    </row>
    <row x14ac:dyDescent="0.25" r="93" customHeight="1" ht="17.25">
      <c r="A93" s="20" t="s">
        <v>6612</v>
      </c>
      <c r="B93" s="20" t="s">
        <v>176</v>
      </c>
      <c r="C93" s="20" t="s">
        <v>15</v>
      </c>
      <c r="D93" s="20" t="s">
        <v>34</v>
      </c>
      <c r="E93" s="21">
        <f>ROUND(6261*1.05,2)</f>
      </c>
      <c r="F93" s="20" t="s">
        <v>35</v>
      </c>
      <c r="G93" s="20" t="s">
        <v>18</v>
      </c>
      <c r="H93" s="21">
        <f>ROUND(RAND()*4+6,1)</f>
      </c>
      <c r="I93" s="20" t="s">
        <v>36</v>
      </c>
      <c r="J93" s="23">
        <f>ROUND(70*1,0)&amp;"%"</f>
      </c>
    </row>
    <row x14ac:dyDescent="0.25" r="94" customHeight="1" ht="17.25">
      <c r="A94" s="17" t="s">
        <v>6613</v>
      </c>
      <c r="B94" s="17" t="s">
        <v>178</v>
      </c>
      <c r="C94" s="17" t="s">
        <v>15</v>
      </c>
      <c r="D94" s="17" t="s">
        <v>39</v>
      </c>
      <c r="E94" s="18">
        <f>ROUND(8837*1.05,2)</f>
      </c>
      <c r="F94" s="17" t="s">
        <v>40</v>
      </c>
      <c r="G94" s="17" t="s">
        <v>24</v>
      </c>
      <c r="H94" s="18">
        <f>ROUND(RAND()*4+6,1)</f>
      </c>
      <c r="I94" s="17" t="s">
        <v>41</v>
      </c>
      <c r="J94" s="19">
        <f>ROUND(92*1,0)&amp;"%"</f>
      </c>
    </row>
    <row x14ac:dyDescent="0.25" r="95" customHeight="1" ht="17.25">
      <c r="A95" s="20" t="s">
        <v>6614</v>
      </c>
      <c r="B95" s="20" t="s">
        <v>180</v>
      </c>
      <c r="C95" s="20" t="s">
        <v>15</v>
      </c>
      <c r="D95" s="20" t="s">
        <v>67</v>
      </c>
      <c r="E95" s="21">
        <f>ROUND(8319*1.05,2)</f>
      </c>
      <c r="F95" s="20" t="s">
        <v>44</v>
      </c>
      <c r="G95" s="20" t="s">
        <v>30</v>
      </c>
      <c r="H95" s="21">
        <f>ROUND(RAND()*4+6,1)</f>
      </c>
      <c r="I95" s="20" t="s">
        <v>45</v>
      </c>
      <c r="J95" s="23">
        <f>ROUND(61*1,0)&amp;"%"</f>
      </c>
    </row>
    <row x14ac:dyDescent="0.25" r="96" customHeight="1" ht="17.25">
      <c r="A96" s="17" t="s">
        <v>6615</v>
      </c>
      <c r="B96" s="17" t="s">
        <v>182</v>
      </c>
      <c r="C96" s="17" t="s">
        <v>15</v>
      </c>
      <c r="D96" s="17" t="s">
        <v>16</v>
      </c>
      <c r="E96" s="18">
        <f>ROUND(16659*1.05,2)</f>
      </c>
      <c r="F96" s="17" t="s">
        <v>48</v>
      </c>
      <c r="G96" s="17" t="s">
        <v>18</v>
      </c>
      <c r="H96" s="18">
        <f>ROUND(RAND()*4+6,1)</f>
      </c>
      <c r="I96" s="17" t="s">
        <v>19</v>
      </c>
      <c r="J96" s="19">
        <f>ROUND(81*1,0)&amp;"%"</f>
      </c>
    </row>
    <row x14ac:dyDescent="0.25" r="97" customHeight="1" ht="17.25">
      <c r="A97" s="20" t="s">
        <v>6616</v>
      </c>
      <c r="B97" s="20" t="s">
        <v>184</v>
      </c>
      <c r="C97" s="20" t="s">
        <v>15</v>
      </c>
      <c r="D97" s="20" t="s">
        <v>22</v>
      </c>
      <c r="E97" s="21">
        <f>ROUND(9943*1.05,2)</f>
      </c>
      <c r="F97" s="20" t="s">
        <v>51</v>
      </c>
      <c r="G97" s="20" t="s">
        <v>24</v>
      </c>
      <c r="H97" s="21">
        <f>ROUND(RAND()*4+6,1)</f>
      </c>
      <c r="I97" s="20" t="s">
        <v>25</v>
      </c>
      <c r="J97" s="23">
        <f>ROUND(96*1,0)&amp;"%"</f>
      </c>
    </row>
    <row x14ac:dyDescent="0.25" r="98" customHeight="1" ht="17.25">
      <c r="A98" s="24" t="s">
        <v>185</v>
      </c>
      <c r="B98" s="24"/>
      <c r="C98" s="24"/>
      <c r="D98" s="24"/>
      <c r="E98" s="25">
        <v>8</v>
      </c>
      <c r="F98" s="9"/>
      <c r="G98" s="9"/>
      <c r="H98" s="10"/>
      <c r="I98" s="9"/>
      <c r="J98" s="9"/>
    </row>
    <row x14ac:dyDescent="0.25" r="99" customHeight="1" ht="17.25">
      <c r="A99" s="7"/>
      <c r="B99" s="7"/>
      <c r="C99" s="7"/>
      <c r="D99" s="7"/>
      <c r="E99" s="8"/>
      <c r="F99" s="9"/>
      <c r="G99" s="9"/>
      <c r="H99" s="10"/>
      <c r="I99" s="9"/>
      <c r="J99" s="9"/>
    </row>
    <row x14ac:dyDescent="0.25" r="100" customHeight="1" ht="17.25">
      <c r="A100" s="11" t="s">
        <v>6617</v>
      </c>
      <c r="B100" s="11"/>
      <c r="C100" s="11"/>
      <c r="D100" s="11"/>
      <c r="E100" s="12"/>
      <c r="F100" s="11"/>
      <c r="G100" s="11"/>
      <c r="H100" s="13"/>
      <c r="I100" s="11"/>
      <c r="J100" s="11"/>
    </row>
    <row x14ac:dyDescent="0.25" r="101" customHeight="1" ht="17.25">
      <c r="A101" s="14" t="s">
        <v>3</v>
      </c>
      <c r="B101" s="14" t="s">
        <v>4</v>
      </c>
      <c r="C101" s="14" t="s">
        <v>5</v>
      </c>
      <c r="D101" s="14" t="s">
        <v>6</v>
      </c>
      <c r="E101" s="15" t="s">
        <v>7</v>
      </c>
      <c r="F101" s="14" t="s">
        <v>8</v>
      </c>
      <c r="G101" s="14" t="s">
        <v>9</v>
      </c>
      <c r="H101" s="16" t="s">
        <v>10</v>
      </c>
      <c r="I101" s="14" t="s">
        <v>11</v>
      </c>
      <c r="J101" s="14" t="s">
        <v>12</v>
      </c>
    </row>
    <row x14ac:dyDescent="0.25" r="102" customHeight="1" ht="17.25">
      <c r="A102" s="17" t="s">
        <v>6618</v>
      </c>
      <c r="B102" s="17" t="s">
        <v>188</v>
      </c>
      <c r="C102" s="17" t="s">
        <v>56</v>
      </c>
      <c r="D102" s="17" t="s">
        <v>16</v>
      </c>
      <c r="E102" s="18">
        <f>ROUND(7372*1.05,2)</f>
      </c>
      <c r="F102" s="17" t="s">
        <v>17</v>
      </c>
      <c r="G102" s="17" t="s">
        <v>18</v>
      </c>
      <c r="H102" s="18">
        <f>ROUND(RAND()*4+6,1)</f>
      </c>
      <c r="I102" s="17" t="s">
        <v>19</v>
      </c>
      <c r="J102" s="19">
        <f>ROUND(69*1,0)&amp;"%"</f>
      </c>
    </row>
    <row x14ac:dyDescent="0.25" r="103" customHeight="1" ht="17.25">
      <c r="A103" s="20" t="s">
        <v>6619</v>
      </c>
      <c r="B103" s="20" t="s">
        <v>190</v>
      </c>
      <c r="C103" s="20" t="s">
        <v>56</v>
      </c>
      <c r="D103" s="20" t="s">
        <v>22</v>
      </c>
      <c r="E103" s="21">
        <f>ROUND(4239*1.05,2)</f>
      </c>
      <c r="F103" s="20" t="s">
        <v>23</v>
      </c>
      <c r="G103" s="20" t="s">
        <v>24</v>
      </c>
      <c r="H103" s="21">
        <f>ROUND(RAND()*4+6,1)</f>
      </c>
      <c r="I103" s="20" t="s">
        <v>25</v>
      </c>
      <c r="J103" s="23">
        <f>ROUND(72*1,0)&amp;"%"</f>
      </c>
    </row>
    <row x14ac:dyDescent="0.25" r="104" customHeight="1" ht="17.25">
      <c r="A104" s="17" t="s">
        <v>6620</v>
      </c>
      <c r="B104" s="17" t="s">
        <v>192</v>
      </c>
      <c r="C104" s="17" t="s">
        <v>56</v>
      </c>
      <c r="D104" s="17" t="s">
        <v>28</v>
      </c>
      <c r="E104" s="18">
        <f>ROUND(6344*1.05,2)</f>
      </c>
      <c r="F104" s="17" t="s">
        <v>29</v>
      </c>
      <c r="G104" s="17" t="s">
        <v>30</v>
      </c>
      <c r="H104" s="18">
        <f>ROUND(RAND()*4+6,1)</f>
      </c>
      <c r="I104" s="17" t="s">
        <v>31</v>
      </c>
      <c r="J104" s="19">
        <f>ROUND(68*1,0)&amp;"%"</f>
      </c>
    </row>
    <row x14ac:dyDescent="0.25" r="105" customHeight="1" ht="17.25">
      <c r="A105" s="20" t="s">
        <v>6621</v>
      </c>
      <c r="B105" s="20" t="s">
        <v>194</v>
      </c>
      <c r="C105" s="20" t="s">
        <v>56</v>
      </c>
      <c r="D105" s="20" t="s">
        <v>34</v>
      </c>
      <c r="E105" s="22">
        <f>ROUND(10100*1.05,2)</f>
      </c>
      <c r="F105" s="20" t="s">
        <v>35</v>
      </c>
      <c r="G105" s="20" t="s">
        <v>18</v>
      </c>
      <c r="H105" s="21">
        <f>ROUND(RAND()*4+6,1)</f>
      </c>
      <c r="I105" s="20" t="s">
        <v>36</v>
      </c>
      <c r="J105" s="23">
        <f>ROUND(96*1,0)&amp;"%"</f>
      </c>
    </row>
    <row x14ac:dyDescent="0.25" r="106" customHeight="1" ht="17.25">
      <c r="A106" s="17" t="s">
        <v>6622</v>
      </c>
      <c r="B106" s="17" t="s">
        <v>196</v>
      </c>
      <c r="C106" s="17" t="s">
        <v>56</v>
      </c>
      <c r="D106" s="17" t="s">
        <v>39</v>
      </c>
      <c r="E106" s="18">
        <f>ROUND(8183*1.05,2)</f>
      </c>
      <c r="F106" s="17" t="s">
        <v>40</v>
      </c>
      <c r="G106" s="17" t="s">
        <v>24</v>
      </c>
      <c r="H106" s="18">
        <f>ROUND(RAND()*4+6,1)</f>
      </c>
      <c r="I106" s="17" t="s">
        <v>41</v>
      </c>
      <c r="J106" s="19">
        <f>ROUND(67*1,0)&amp;"%"</f>
      </c>
    </row>
    <row x14ac:dyDescent="0.25" r="107" customHeight="1" ht="17.25">
      <c r="A107" s="20" t="s">
        <v>6623</v>
      </c>
      <c r="B107" s="20" t="s">
        <v>198</v>
      </c>
      <c r="C107" s="20" t="s">
        <v>56</v>
      </c>
      <c r="D107" s="20" t="s">
        <v>67</v>
      </c>
      <c r="E107" s="21">
        <f>ROUND(13622*1.05,2)</f>
      </c>
      <c r="F107" s="20" t="s">
        <v>44</v>
      </c>
      <c r="G107" s="20" t="s">
        <v>30</v>
      </c>
      <c r="H107" s="21">
        <f>ROUND(RAND()*4+6,1)</f>
      </c>
      <c r="I107" s="20" t="s">
        <v>45</v>
      </c>
      <c r="J107" s="23">
        <f>ROUND(70*1,0)&amp;"%"</f>
      </c>
    </row>
    <row x14ac:dyDescent="0.25" r="108" customHeight="1" ht="17.25">
      <c r="A108" s="17" t="s">
        <v>6624</v>
      </c>
      <c r="B108" s="17" t="s">
        <v>200</v>
      </c>
      <c r="C108" s="17" t="s">
        <v>56</v>
      </c>
      <c r="D108" s="17" t="s">
        <v>16</v>
      </c>
      <c r="E108" s="18">
        <f>ROUND(5509*1.05,2)</f>
      </c>
      <c r="F108" s="17" t="s">
        <v>48</v>
      </c>
      <c r="G108" s="17" t="s">
        <v>18</v>
      </c>
      <c r="H108" s="18">
        <f>ROUND(RAND()*4+6,1)</f>
      </c>
      <c r="I108" s="17" t="s">
        <v>19</v>
      </c>
      <c r="J108" s="19">
        <f>ROUND(87*1,0)&amp;"%"</f>
      </c>
    </row>
    <row x14ac:dyDescent="0.25" r="109" customHeight="1" ht="17.25">
      <c r="A109" s="20" t="s">
        <v>6625</v>
      </c>
      <c r="B109" s="20" t="s">
        <v>202</v>
      </c>
      <c r="C109" s="20" t="s">
        <v>56</v>
      </c>
      <c r="D109" s="20" t="s">
        <v>22</v>
      </c>
      <c r="E109" s="21">
        <f>ROUND(11435*1.05,2)</f>
      </c>
      <c r="F109" s="20" t="s">
        <v>51</v>
      </c>
      <c r="G109" s="20" t="s">
        <v>24</v>
      </c>
      <c r="H109" s="21">
        <f>ROUND(RAND()*4+6,1)</f>
      </c>
      <c r="I109" s="20" t="s">
        <v>25</v>
      </c>
      <c r="J109" s="23">
        <f>ROUND(86*1,0)&amp;"%"</f>
      </c>
    </row>
    <row x14ac:dyDescent="0.25" r="110" customHeight="1" ht="17.25">
      <c r="A110" s="24" t="s">
        <v>203</v>
      </c>
      <c r="B110" s="24"/>
      <c r="C110" s="24"/>
      <c r="D110" s="24"/>
      <c r="E110" s="25">
        <v>8</v>
      </c>
      <c r="F110" s="9"/>
      <c r="G110" s="9"/>
      <c r="H110" s="10"/>
      <c r="I110" s="9"/>
      <c r="J110" s="9"/>
    </row>
    <row x14ac:dyDescent="0.25" r="111" customHeight="1" ht="17.25">
      <c r="A111" s="7"/>
      <c r="B111" s="7"/>
      <c r="C111" s="7"/>
      <c r="D111" s="7"/>
      <c r="E111" s="8"/>
      <c r="F111" s="9"/>
      <c r="G111" s="9"/>
      <c r="H111" s="10"/>
      <c r="I111" s="9"/>
      <c r="J111" s="9"/>
    </row>
    <row x14ac:dyDescent="0.25" r="112" customHeight="1" ht="17.25">
      <c r="A112" s="11" t="s">
        <v>6626</v>
      </c>
      <c r="B112" s="11"/>
      <c r="C112" s="11"/>
      <c r="D112" s="11"/>
      <c r="E112" s="12"/>
      <c r="F112" s="11"/>
      <c r="G112" s="11"/>
      <c r="H112" s="13"/>
      <c r="I112" s="11"/>
      <c r="J112" s="11"/>
    </row>
    <row x14ac:dyDescent="0.25" r="113" customHeight="1" ht="17.25">
      <c r="A113" s="14" t="s">
        <v>3</v>
      </c>
      <c r="B113" s="14" t="s">
        <v>4</v>
      </c>
      <c r="C113" s="14" t="s">
        <v>5</v>
      </c>
      <c r="D113" s="14" t="s">
        <v>6</v>
      </c>
      <c r="E113" s="15" t="s">
        <v>7</v>
      </c>
      <c r="F113" s="14" t="s">
        <v>8</v>
      </c>
      <c r="G113" s="14" t="s">
        <v>9</v>
      </c>
      <c r="H113" s="16" t="s">
        <v>10</v>
      </c>
      <c r="I113" s="14" t="s">
        <v>11</v>
      </c>
      <c r="J113" s="14" t="s">
        <v>12</v>
      </c>
    </row>
    <row x14ac:dyDescent="0.25" r="114" customHeight="1" ht="17.25">
      <c r="A114" s="17" t="s">
        <v>6627</v>
      </c>
      <c r="B114" s="17" t="s">
        <v>206</v>
      </c>
      <c r="C114" s="17" t="s">
        <v>76</v>
      </c>
      <c r="D114" s="17" t="s">
        <v>16</v>
      </c>
      <c r="E114" s="18">
        <f>ROUND(15276*1.05,2)</f>
      </c>
      <c r="F114" s="17" t="s">
        <v>17</v>
      </c>
      <c r="G114" s="17" t="s">
        <v>18</v>
      </c>
      <c r="H114" s="26">
        <f>ROUND(RAND()*4+6,1)</f>
      </c>
      <c r="I114" s="17" t="s">
        <v>19</v>
      </c>
      <c r="J114" s="19">
        <f>ROUND(67*1,0)&amp;"%"</f>
      </c>
    </row>
    <row x14ac:dyDescent="0.25" r="115" customHeight="1" ht="17.25">
      <c r="A115" s="20" t="s">
        <v>6628</v>
      </c>
      <c r="B115" s="20" t="s">
        <v>208</v>
      </c>
      <c r="C115" s="20" t="s">
        <v>76</v>
      </c>
      <c r="D115" s="20" t="s">
        <v>22</v>
      </c>
      <c r="E115" s="21">
        <f>ROUND(17428*1.05,2)</f>
      </c>
      <c r="F115" s="20" t="s">
        <v>23</v>
      </c>
      <c r="G115" s="20" t="s">
        <v>24</v>
      </c>
      <c r="H115" s="21">
        <f>ROUND(RAND()*4+6,1)</f>
      </c>
      <c r="I115" s="20" t="s">
        <v>25</v>
      </c>
      <c r="J115" s="23">
        <f>ROUND(90*1,0)&amp;"%"</f>
      </c>
    </row>
    <row x14ac:dyDescent="0.25" r="116" customHeight="1" ht="17.25">
      <c r="A116" s="17" t="s">
        <v>6629</v>
      </c>
      <c r="B116" s="17" t="s">
        <v>210</v>
      </c>
      <c r="C116" s="17" t="s">
        <v>76</v>
      </c>
      <c r="D116" s="17" t="s">
        <v>28</v>
      </c>
      <c r="E116" s="18">
        <f>ROUND(11299*1.05,2)</f>
      </c>
      <c r="F116" s="17" t="s">
        <v>29</v>
      </c>
      <c r="G116" s="17" t="s">
        <v>30</v>
      </c>
      <c r="H116" s="26">
        <f>ROUND(RAND()*4+6,1)</f>
      </c>
      <c r="I116" s="17" t="s">
        <v>31</v>
      </c>
      <c r="J116" s="19">
        <f>ROUND(80*1,0)&amp;"%"</f>
      </c>
    </row>
    <row x14ac:dyDescent="0.25" r="117" customHeight="1" ht="17.25">
      <c r="A117" s="20" t="s">
        <v>6630</v>
      </c>
      <c r="B117" s="20" t="s">
        <v>212</v>
      </c>
      <c r="C117" s="20" t="s">
        <v>76</v>
      </c>
      <c r="D117" s="20" t="s">
        <v>34</v>
      </c>
      <c r="E117" s="21">
        <f>ROUND(9025*1.05,2)</f>
      </c>
      <c r="F117" s="20" t="s">
        <v>35</v>
      </c>
      <c r="G117" s="20" t="s">
        <v>18</v>
      </c>
      <c r="H117" s="21">
        <f>ROUND(RAND()*4+6,1)</f>
      </c>
      <c r="I117" s="20" t="s">
        <v>36</v>
      </c>
      <c r="J117" s="23">
        <f>ROUND(100*1,0)&amp;"%"</f>
      </c>
    </row>
    <row x14ac:dyDescent="0.25" r="118" customHeight="1" ht="17.25">
      <c r="A118" s="17" t="s">
        <v>6631</v>
      </c>
      <c r="B118" s="17" t="s">
        <v>214</v>
      </c>
      <c r="C118" s="17" t="s">
        <v>76</v>
      </c>
      <c r="D118" s="17" t="s">
        <v>39</v>
      </c>
      <c r="E118" s="18">
        <f>ROUND(15436*1.05,2)</f>
      </c>
      <c r="F118" s="17" t="s">
        <v>40</v>
      </c>
      <c r="G118" s="17" t="s">
        <v>24</v>
      </c>
      <c r="H118" s="18">
        <f>ROUND(RAND()*4+6,1)</f>
      </c>
      <c r="I118" s="17" t="s">
        <v>41</v>
      </c>
      <c r="J118" s="19">
        <f>ROUND(85*1,0)&amp;"%"</f>
      </c>
    </row>
    <row x14ac:dyDescent="0.25" r="119" customHeight="1" ht="17.25">
      <c r="A119" s="20" t="s">
        <v>6632</v>
      </c>
      <c r="B119" s="20" t="s">
        <v>216</v>
      </c>
      <c r="C119" s="20" t="s">
        <v>76</v>
      </c>
      <c r="D119" s="20" t="s">
        <v>67</v>
      </c>
      <c r="E119" s="21">
        <f>ROUND(5477*1.05,2)</f>
      </c>
      <c r="F119" s="20" t="s">
        <v>44</v>
      </c>
      <c r="G119" s="20" t="s">
        <v>30</v>
      </c>
      <c r="H119" s="21">
        <f>ROUND(RAND()*4+6,1)</f>
      </c>
      <c r="I119" s="20" t="s">
        <v>45</v>
      </c>
      <c r="J119" s="23">
        <f>ROUND(68*1,0)&amp;"%"</f>
      </c>
    </row>
    <row x14ac:dyDescent="0.25" r="120" customHeight="1" ht="17.25">
      <c r="A120" s="17" t="s">
        <v>6633</v>
      </c>
      <c r="B120" s="17" t="s">
        <v>218</v>
      </c>
      <c r="C120" s="17" t="s">
        <v>76</v>
      </c>
      <c r="D120" s="17" t="s">
        <v>16</v>
      </c>
      <c r="E120" s="18">
        <f>ROUND(14261*1.05,2)</f>
      </c>
      <c r="F120" s="17" t="s">
        <v>48</v>
      </c>
      <c r="G120" s="17" t="s">
        <v>18</v>
      </c>
      <c r="H120" s="18">
        <f>ROUND(RAND()*4+6,1)</f>
      </c>
      <c r="I120" s="17" t="s">
        <v>19</v>
      </c>
      <c r="J120" s="19">
        <f>ROUND(86*1,0)&amp;"%"</f>
      </c>
    </row>
    <row x14ac:dyDescent="0.25" r="121" customHeight="1" ht="17.25">
      <c r="A121" s="20" t="s">
        <v>6634</v>
      </c>
      <c r="B121" s="20" t="s">
        <v>220</v>
      </c>
      <c r="C121" s="20" t="s">
        <v>76</v>
      </c>
      <c r="D121" s="20" t="s">
        <v>22</v>
      </c>
      <c r="E121" s="21">
        <f>ROUND(17805*1.05,2)</f>
      </c>
      <c r="F121" s="20" t="s">
        <v>51</v>
      </c>
      <c r="G121" s="20" t="s">
        <v>24</v>
      </c>
      <c r="H121" s="21">
        <f>ROUND(RAND()*4+6,1)</f>
      </c>
      <c r="I121" s="20" t="s">
        <v>25</v>
      </c>
      <c r="J121" s="23">
        <f>ROUND(96*1,0)&amp;"%"</f>
      </c>
    </row>
    <row x14ac:dyDescent="0.25" r="122" customHeight="1" ht="17.25">
      <c r="A122" s="24" t="s">
        <v>221</v>
      </c>
      <c r="B122" s="24"/>
      <c r="C122" s="24"/>
      <c r="D122" s="24"/>
      <c r="E122" s="25">
        <v>8</v>
      </c>
      <c r="F122" s="9"/>
      <c r="G122" s="9"/>
      <c r="H122" s="10"/>
      <c r="I122" s="9"/>
      <c r="J122" s="9"/>
    </row>
    <row x14ac:dyDescent="0.25" r="123" customHeight="1" ht="17.25">
      <c r="A123" s="7"/>
      <c r="B123" s="7"/>
      <c r="C123" s="7"/>
      <c r="D123" s="7"/>
      <c r="E123" s="8"/>
      <c r="F123" s="9"/>
      <c r="G123" s="9"/>
      <c r="H123" s="10"/>
      <c r="I123" s="9"/>
      <c r="J123" s="9"/>
    </row>
    <row x14ac:dyDescent="0.25" r="124" customHeight="1" ht="17.25">
      <c r="A124" s="11" t="s">
        <v>6635</v>
      </c>
      <c r="B124" s="11"/>
      <c r="C124" s="11"/>
      <c r="D124" s="11"/>
      <c r="E124" s="12"/>
      <c r="F124" s="11"/>
      <c r="G124" s="11"/>
      <c r="H124" s="13"/>
      <c r="I124" s="11"/>
      <c r="J124" s="11"/>
    </row>
    <row x14ac:dyDescent="0.25" r="125" customHeight="1" ht="17.25">
      <c r="A125" s="14" t="s">
        <v>3</v>
      </c>
      <c r="B125" s="14" t="s">
        <v>4</v>
      </c>
      <c r="C125" s="14" t="s">
        <v>5</v>
      </c>
      <c r="D125" s="14" t="s">
        <v>6</v>
      </c>
      <c r="E125" s="15" t="s">
        <v>7</v>
      </c>
      <c r="F125" s="14" t="s">
        <v>8</v>
      </c>
      <c r="G125" s="14" t="s">
        <v>9</v>
      </c>
      <c r="H125" s="16" t="s">
        <v>10</v>
      </c>
      <c r="I125" s="14" t="s">
        <v>11</v>
      </c>
      <c r="J125" s="14" t="s">
        <v>12</v>
      </c>
    </row>
    <row x14ac:dyDescent="0.25" r="126" customHeight="1" ht="17.25">
      <c r="A126" s="17" t="s">
        <v>6636</v>
      </c>
      <c r="B126" s="17" t="s">
        <v>224</v>
      </c>
      <c r="C126" s="17" t="s">
        <v>95</v>
      </c>
      <c r="D126" s="17" t="s">
        <v>16</v>
      </c>
      <c r="E126" s="18">
        <f>ROUND(14882*1.05,2)</f>
      </c>
      <c r="F126" s="17" t="s">
        <v>17</v>
      </c>
      <c r="G126" s="17" t="s">
        <v>18</v>
      </c>
      <c r="H126" s="26">
        <f>ROUND(RAND()*4+6,1)</f>
      </c>
      <c r="I126" s="17" t="s">
        <v>19</v>
      </c>
      <c r="J126" s="19">
        <f>ROUND(82*1,0)&amp;"%"</f>
      </c>
    </row>
    <row x14ac:dyDescent="0.25" r="127" customHeight="1" ht="17.25">
      <c r="A127" s="20" t="s">
        <v>6637</v>
      </c>
      <c r="B127" s="20" t="s">
        <v>226</v>
      </c>
      <c r="C127" s="20" t="s">
        <v>95</v>
      </c>
      <c r="D127" s="20" t="s">
        <v>22</v>
      </c>
      <c r="E127" s="21">
        <f>ROUND(5512*1.05,2)</f>
      </c>
      <c r="F127" s="20" t="s">
        <v>23</v>
      </c>
      <c r="G127" s="20" t="s">
        <v>24</v>
      </c>
      <c r="H127" s="21">
        <f>ROUND(RAND()*4+6,1)</f>
      </c>
      <c r="I127" s="20" t="s">
        <v>25</v>
      </c>
      <c r="J127" s="23">
        <f>ROUND(94*1,0)&amp;"%"</f>
      </c>
    </row>
    <row x14ac:dyDescent="0.25" r="128" customHeight="1" ht="17.25">
      <c r="A128" s="17" t="s">
        <v>6638</v>
      </c>
      <c r="B128" s="17" t="s">
        <v>228</v>
      </c>
      <c r="C128" s="17" t="s">
        <v>95</v>
      </c>
      <c r="D128" s="17" t="s">
        <v>28</v>
      </c>
      <c r="E128" s="18">
        <f>ROUND(17871*1.05,2)</f>
      </c>
      <c r="F128" s="17" t="s">
        <v>29</v>
      </c>
      <c r="G128" s="17" t="s">
        <v>30</v>
      </c>
      <c r="H128" s="18">
        <f>ROUND(RAND()*4+6,1)</f>
      </c>
      <c r="I128" s="17" t="s">
        <v>31</v>
      </c>
      <c r="J128" s="19">
        <f>ROUND(69*1,0)&amp;"%"</f>
      </c>
    </row>
    <row x14ac:dyDescent="0.25" r="129" customHeight="1" ht="17.25">
      <c r="A129" s="20" t="s">
        <v>6639</v>
      </c>
      <c r="B129" s="20" t="s">
        <v>230</v>
      </c>
      <c r="C129" s="20" t="s">
        <v>95</v>
      </c>
      <c r="D129" s="20" t="s">
        <v>34</v>
      </c>
      <c r="E129" s="21">
        <f>ROUND(15284*1.05,2)</f>
      </c>
      <c r="F129" s="20" t="s">
        <v>35</v>
      </c>
      <c r="G129" s="20" t="s">
        <v>18</v>
      </c>
      <c r="H129" s="21">
        <f>ROUND(RAND()*4+6,1)</f>
      </c>
      <c r="I129" s="20" t="s">
        <v>36</v>
      </c>
      <c r="J129" s="23">
        <f>ROUND(100*1,0)&amp;"%"</f>
      </c>
    </row>
    <row x14ac:dyDescent="0.25" r="130" customHeight="1" ht="17.25">
      <c r="A130" s="17" t="s">
        <v>6640</v>
      </c>
      <c r="B130" s="17" t="s">
        <v>232</v>
      </c>
      <c r="C130" s="17" t="s">
        <v>95</v>
      </c>
      <c r="D130" s="17" t="s">
        <v>39</v>
      </c>
      <c r="E130" s="18">
        <f>ROUND(9875*1.05,2)</f>
      </c>
      <c r="F130" s="17" t="s">
        <v>40</v>
      </c>
      <c r="G130" s="17" t="s">
        <v>24</v>
      </c>
      <c r="H130" s="18">
        <f>ROUND(RAND()*4+6,1)</f>
      </c>
      <c r="I130" s="17" t="s">
        <v>41</v>
      </c>
      <c r="J130" s="19">
        <f>ROUND(67*1,0)&amp;"%"</f>
      </c>
    </row>
    <row x14ac:dyDescent="0.25" r="131" customHeight="1" ht="17.25">
      <c r="A131" s="20" t="s">
        <v>6641</v>
      </c>
      <c r="B131" s="20" t="s">
        <v>234</v>
      </c>
      <c r="C131" s="20" t="s">
        <v>95</v>
      </c>
      <c r="D131" s="20" t="s">
        <v>67</v>
      </c>
      <c r="E131" s="21">
        <f>ROUND(6381*1.05,2)</f>
      </c>
      <c r="F131" s="20" t="s">
        <v>44</v>
      </c>
      <c r="G131" s="20" t="s">
        <v>30</v>
      </c>
      <c r="H131" s="21">
        <f>ROUND(RAND()*4+6,1)</f>
      </c>
      <c r="I131" s="20" t="s">
        <v>45</v>
      </c>
      <c r="J131" s="23">
        <f>ROUND(100*1,0)&amp;"%"</f>
      </c>
    </row>
    <row x14ac:dyDescent="0.25" r="132" customHeight="1" ht="17.25">
      <c r="A132" s="17" t="s">
        <v>6642</v>
      </c>
      <c r="B132" s="17" t="s">
        <v>236</v>
      </c>
      <c r="C132" s="17" t="s">
        <v>95</v>
      </c>
      <c r="D132" s="17" t="s">
        <v>16</v>
      </c>
      <c r="E132" s="18">
        <f>ROUND(7776*1.05,2)</f>
      </c>
      <c r="F132" s="17" t="s">
        <v>48</v>
      </c>
      <c r="G132" s="17" t="s">
        <v>18</v>
      </c>
      <c r="H132" s="18">
        <f>ROUND(RAND()*4+6,1)</f>
      </c>
      <c r="I132" s="17" t="s">
        <v>19</v>
      </c>
      <c r="J132" s="19">
        <f>ROUND(75*1,0)&amp;"%"</f>
      </c>
    </row>
    <row x14ac:dyDescent="0.25" r="133" customHeight="1" ht="17.25">
      <c r="A133" s="20" t="s">
        <v>6643</v>
      </c>
      <c r="B133" s="20" t="s">
        <v>238</v>
      </c>
      <c r="C133" s="20" t="s">
        <v>95</v>
      </c>
      <c r="D133" s="20" t="s">
        <v>22</v>
      </c>
      <c r="E133" s="21">
        <f>ROUND(6093*1.05,2)</f>
      </c>
      <c r="F133" s="20" t="s">
        <v>51</v>
      </c>
      <c r="G133" s="20" t="s">
        <v>24</v>
      </c>
      <c r="H133" s="21">
        <f>ROUND(RAND()*4+6,1)</f>
      </c>
      <c r="I133" s="20" t="s">
        <v>25</v>
      </c>
      <c r="J133" s="23">
        <f>ROUND(85*1,0)&amp;"%"</f>
      </c>
    </row>
    <row x14ac:dyDescent="0.25" r="134" customHeight="1" ht="17.25">
      <c r="A134" s="24" t="s">
        <v>239</v>
      </c>
      <c r="B134" s="24"/>
      <c r="C134" s="24"/>
      <c r="D134" s="24"/>
      <c r="E134" s="25">
        <v>8</v>
      </c>
      <c r="F134" s="9"/>
      <c r="G134" s="9"/>
      <c r="H134" s="10"/>
      <c r="I134" s="9"/>
      <c r="J134" s="9"/>
    </row>
    <row x14ac:dyDescent="0.25" r="135" customHeight="1" ht="17.25">
      <c r="A135" s="7"/>
      <c r="B135" s="7"/>
      <c r="C135" s="7"/>
      <c r="D135" s="7"/>
      <c r="E135" s="8"/>
      <c r="F135" s="9"/>
      <c r="G135" s="9"/>
      <c r="H135" s="10"/>
      <c r="I135" s="9"/>
      <c r="J135" s="9"/>
    </row>
    <row x14ac:dyDescent="0.25" r="136" customHeight="1" ht="17.25">
      <c r="A136" s="11" t="s">
        <v>6644</v>
      </c>
      <c r="B136" s="11"/>
      <c r="C136" s="11"/>
      <c r="D136" s="11"/>
      <c r="E136" s="12"/>
      <c r="F136" s="11"/>
      <c r="G136" s="11"/>
      <c r="H136" s="13"/>
      <c r="I136" s="11"/>
      <c r="J136" s="11"/>
    </row>
    <row x14ac:dyDescent="0.25" r="137" customHeight="1" ht="17.25">
      <c r="A137" s="14" t="s">
        <v>3</v>
      </c>
      <c r="B137" s="14" t="s">
        <v>4</v>
      </c>
      <c r="C137" s="14" t="s">
        <v>5</v>
      </c>
      <c r="D137" s="14" t="s">
        <v>6</v>
      </c>
      <c r="E137" s="15" t="s">
        <v>7</v>
      </c>
      <c r="F137" s="14" t="s">
        <v>8</v>
      </c>
      <c r="G137" s="14" t="s">
        <v>9</v>
      </c>
      <c r="H137" s="16" t="s">
        <v>10</v>
      </c>
      <c r="I137" s="14" t="s">
        <v>11</v>
      </c>
      <c r="J137" s="14" t="s">
        <v>12</v>
      </c>
    </row>
    <row x14ac:dyDescent="0.25" r="138" customHeight="1" ht="17.25">
      <c r="A138" s="17" t="s">
        <v>6645</v>
      </c>
      <c r="B138" s="17" t="s">
        <v>242</v>
      </c>
      <c r="C138" s="17" t="s">
        <v>114</v>
      </c>
      <c r="D138" s="17" t="s">
        <v>16</v>
      </c>
      <c r="E138" s="18">
        <f>ROUND(8802*1.05,2)</f>
      </c>
      <c r="F138" s="17" t="s">
        <v>17</v>
      </c>
      <c r="G138" s="17" t="s">
        <v>18</v>
      </c>
      <c r="H138" s="18">
        <f>ROUND(RAND()*4+6,1)</f>
      </c>
      <c r="I138" s="17" t="s">
        <v>19</v>
      </c>
      <c r="J138" s="19">
        <f>ROUND(74*1,0)&amp;"%"</f>
      </c>
    </row>
    <row x14ac:dyDescent="0.25" r="139" customHeight="1" ht="17.25">
      <c r="A139" s="20" t="s">
        <v>6646</v>
      </c>
      <c r="B139" s="20" t="s">
        <v>244</v>
      </c>
      <c r="C139" s="20" t="s">
        <v>114</v>
      </c>
      <c r="D139" s="20" t="s">
        <v>22</v>
      </c>
      <c r="E139" s="21">
        <f>ROUND(9761*1.05,2)</f>
      </c>
      <c r="F139" s="20" t="s">
        <v>23</v>
      </c>
      <c r="G139" s="20" t="s">
        <v>24</v>
      </c>
      <c r="H139" s="21">
        <f>ROUND(RAND()*4+6,1)</f>
      </c>
      <c r="I139" s="20" t="s">
        <v>25</v>
      </c>
      <c r="J139" s="23">
        <f>ROUND(73*1,0)&amp;"%"</f>
      </c>
    </row>
    <row x14ac:dyDescent="0.25" r="140" customHeight="1" ht="17.25">
      <c r="A140" s="17" t="s">
        <v>6647</v>
      </c>
      <c r="B140" s="17" t="s">
        <v>246</v>
      </c>
      <c r="C140" s="17" t="s">
        <v>114</v>
      </c>
      <c r="D140" s="17" t="s">
        <v>28</v>
      </c>
      <c r="E140" s="26">
        <f>ROUND(5640*1.05,2)</f>
      </c>
      <c r="F140" s="17" t="s">
        <v>29</v>
      </c>
      <c r="G140" s="17" t="s">
        <v>30</v>
      </c>
      <c r="H140" s="26">
        <f>ROUND(RAND()*4+6,1)</f>
      </c>
      <c r="I140" s="17" t="s">
        <v>31</v>
      </c>
      <c r="J140" s="19">
        <f>ROUND(80*1,0)&amp;"%"</f>
      </c>
    </row>
    <row x14ac:dyDescent="0.25" r="141" customHeight="1" ht="17.25">
      <c r="A141" s="20" t="s">
        <v>6648</v>
      </c>
      <c r="B141" s="20" t="s">
        <v>248</v>
      </c>
      <c r="C141" s="20" t="s">
        <v>114</v>
      </c>
      <c r="D141" s="20" t="s">
        <v>34</v>
      </c>
      <c r="E141" s="21">
        <f>ROUND(6931*1.05,2)</f>
      </c>
      <c r="F141" s="20" t="s">
        <v>35</v>
      </c>
      <c r="G141" s="20" t="s">
        <v>18</v>
      </c>
      <c r="H141" s="21">
        <f>ROUND(RAND()*4+6,1)</f>
      </c>
      <c r="I141" s="20" t="s">
        <v>36</v>
      </c>
      <c r="J141" s="23">
        <f>ROUND(81*1,0)&amp;"%"</f>
      </c>
    </row>
    <row x14ac:dyDescent="0.25" r="142" customHeight="1" ht="17.25">
      <c r="A142" s="17" t="s">
        <v>6649</v>
      </c>
      <c r="B142" s="17" t="s">
        <v>250</v>
      </c>
      <c r="C142" s="17" t="s">
        <v>114</v>
      </c>
      <c r="D142" s="17" t="s">
        <v>39</v>
      </c>
      <c r="E142" s="18">
        <f>ROUND(9914*1.05,2)</f>
      </c>
      <c r="F142" s="17" t="s">
        <v>40</v>
      </c>
      <c r="G142" s="17" t="s">
        <v>24</v>
      </c>
      <c r="H142" s="18">
        <f>ROUND(RAND()*4+6,1)</f>
      </c>
      <c r="I142" s="17" t="s">
        <v>41</v>
      </c>
      <c r="J142" s="19">
        <f>ROUND(86*1,0)&amp;"%"</f>
      </c>
    </row>
    <row x14ac:dyDescent="0.25" r="143" customHeight="1" ht="17.25">
      <c r="A143" s="20" t="s">
        <v>6650</v>
      </c>
      <c r="B143" s="20" t="s">
        <v>252</v>
      </c>
      <c r="C143" s="20" t="s">
        <v>114</v>
      </c>
      <c r="D143" s="20" t="s">
        <v>67</v>
      </c>
      <c r="E143" s="21">
        <f>ROUND(12950*1.05,2)</f>
      </c>
      <c r="F143" s="20" t="s">
        <v>44</v>
      </c>
      <c r="G143" s="20" t="s">
        <v>30</v>
      </c>
      <c r="H143" s="21">
        <f>ROUND(RAND()*4+6,1)</f>
      </c>
      <c r="I143" s="20" t="s">
        <v>45</v>
      </c>
      <c r="J143" s="23">
        <f>ROUND(78*1,0)&amp;"%"</f>
      </c>
    </row>
    <row x14ac:dyDescent="0.25" r="144" customHeight="1" ht="17.25">
      <c r="A144" s="17" t="s">
        <v>6651</v>
      </c>
      <c r="B144" s="17" t="s">
        <v>254</v>
      </c>
      <c r="C144" s="17" t="s">
        <v>114</v>
      </c>
      <c r="D144" s="17" t="s">
        <v>16</v>
      </c>
      <c r="E144" s="18">
        <f>ROUND(6778*1.05,2)</f>
      </c>
      <c r="F144" s="17" t="s">
        <v>48</v>
      </c>
      <c r="G144" s="17" t="s">
        <v>18</v>
      </c>
      <c r="H144" s="18">
        <f>ROUND(RAND()*4+6,1)</f>
      </c>
      <c r="I144" s="17" t="s">
        <v>19</v>
      </c>
      <c r="J144" s="19">
        <f>ROUND(88*1,0)&amp;"%"</f>
      </c>
    </row>
    <row x14ac:dyDescent="0.25" r="145" customHeight="1" ht="17.25">
      <c r="A145" s="20" t="s">
        <v>6652</v>
      </c>
      <c r="B145" s="20" t="s">
        <v>256</v>
      </c>
      <c r="C145" s="20" t="s">
        <v>114</v>
      </c>
      <c r="D145" s="20" t="s">
        <v>22</v>
      </c>
      <c r="E145" s="21">
        <f>ROUND(8465*1.05,2)</f>
      </c>
      <c r="F145" s="20" t="s">
        <v>51</v>
      </c>
      <c r="G145" s="20" t="s">
        <v>24</v>
      </c>
      <c r="H145" s="21">
        <f>ROUND(RAND()*4+6,1)</f>
      </c>
      <c r="I145" s="20" t="s">
        <v>25</v>
      </c>
      <c r="J145" s="23">
        <f>ROUND(95*1,0)&amp;"%"</f>
      </c>
    </row>
    <row x14ac:dyDescent="0.25" r="146" customHeight="1" ht="17.25">
      <c r="A146" s="24" t="s">
        <v>257</v>
      </c>
      <c r="B146" s="24"/>
      <c r="C146" s="24"/>
      <c r="D146" s="24"/>
      <c r="E146" s="25">
        <v>8</v>
      </c>
      <c r="F146" s="9"/>
      <c r="G146" s="9"/>
      <c r="H146" s="10"/>
      <c r="I146" s="9"/>
      <c r="J146" s="9"/>
    </row>
    <row x14ac:dyDescent="0.25" r="147" customHeight="1" ht="17.25">
      <c r="A147" s="7"/>
      <c r="B147" s="7"/>
      <c r="C147" s="7"/>
      <c r="D147" s="7"/>
      <c r="E147" s="8"/>
      <c r="F147" s="9"/>
      <c r="G147" s="9"/>
      <c r="H147" s="10"/>
      <c r="I147" s="9"/>
      <c r="J147" s="9"/>
    </row>
    <row x14ac:dyDescent="0.25" r="148" customHeight="1" ht="17.25">
      <c r="A148" s="11" t="s">
        <v>6653</v>
      </c>
      <c r="B148" s="11"/>
      <c r="C148" s="11"/>
      <c r="D148" s="11"/>
      <c r="E148" s="12"/>
      <c r="F148" s="11"/>
      <c r="G148" s="11"/>
      <c r="H148" s="13"/>
      <c r="I148" s="11"/>
      <c r="J148" s="11"/>
    </row>
    <row x14ac:dyDescent="0.25" r="149" customHeight="1" ht="17.25">
      <c r="A149" s="14" t="s">
        <v>3</v>
      </c>
      <c r="B149" s="14" t="s">
        <v>4</v>
      </c>
      <c r="C149" s="14" t="s">
        <v>5</v>
      </c>
      <c r="D149" s="14" t="s">
        <v>6</v>
      </c>
      <c r="E149" s="15" t="s">
        <v>7</v>
      </c>
      <c r="F149" s="14" t="s">
        <v>8</v>
      </c>
      <c r="G149" s="14" t="s">
        <v>9</v>
      </c>
      <c r="H149" s="16" t="s">
        <v>10</v>
      </c>
      <c r="I149" s="14" t="s">
        <v>11</v>
      </c>
      <c r="J149" s="14" t="s">
        <v>12</v>
      </c>
    </row>
    <row x14ac:dyDescent="0.25" r="150" customHeight="1" ht="17.25">
      <c r="A150" s="17" t="s">
        <v>6654</v>
      </c>
      <c r="B150" s="17" t="s">
        <v>260</v>
      </c>
      <c r="C150" s="17" t="s">
        <v>133</v>
      </c>
      <c r="D150" s="17" t="s">
        <v>16</v>
      </c>
      <c r="E150" s="18">
        <f>ROUND(16736*1.05,2)</f>
      </c>
      <c r="F150" s="17" t="s">
        <v>17</v>
      </c>
      <c r="G150" s="17" t="s">
        <v>18</v>
      </c>
      <c r="H150" s="18">
        <f>ROUND(RAND()*4+6,1)</f>
      </c>
      <c r="I150" s="17" t="s">
        <v>19</v>
      </c>
      <c r="J150" s="19">
        <f>ROUND(60*1,0)&amp;"%"</f>
      </c>
    </row>
    <row x14ac:dyDescent="0.25" r="151" customHeight="1" ht="17.25">
      <c r="A151" s="20" t="s">
        <v>6655</v>
      </c>
      <c r="B151" s="20" t="s">
        <v>262</v>
      </c>
      <c r="C151" s="20" t="s">
        <v>133</v>
      </c>
      <c r="D151" s="20" t="s">
        <v>22</v>
      </c>
      <c r="E151" s="21">
        <f>ROUND(16007*1.05,2)</f>
      </c>
      <c r="F151" s="20" t="s">
        <v>23</v>
      </c>
      <c r="G151" s="20" t="s">
        <v>24</v>
      </c>
      <c r="H151" s="21">
        <f>ROUND(RAND()*4+6,1)</f>
      </c>
      <c r="I151" s="20" t="s">
        <v>25</v>
      </c>
      <c r="J151" s="23">
        <f>ROUND(93*1,0)&amp;"%"</f>
      </c>
    </row>
    <row x14ac:dyDescent="0.25" r="152" customHeight="1" ht="17.25">
      <c r="A152" s="17" t="s">
        <v>6656</v>
      </c>
      <c r="B152" s="17" t="s">
        <v>264</v>
      </c>
      <c r="C152" s="17" t="s">
        <v>133</v>
      </c>
      <c r="D152" s="17" t="s">
        <v>28</v>
      </c>
      <c r="E152" s="18">
        <f>ROUND(7807*1.05,2)</f>
      </c>
      <c r="F152" s="17" t="s">
        <v>29</v>
      </c>
      <c r="G152" s="17" t="s">
        <v>30</v>
      </c>
      <c r="H152" s="18">
        <f>ROUND(RAND()*4+6,1)</f>
      </c>
      <c r="I152" s="17" t="s">
        <v>31</v>
      </c>
      <c r="J152" s="19">
        <f>ROUND(74*1,0)&amp;"%"</f>
      </c>
    </row>
    <row x14ac:dyDescent="0.25" r="153" customHeight="1" ht="17.25">
      <c r="A153" s="20" t="s">
        <v>6657</v>
      </c>
      <c r="B153" s="20" t="s">
        <v>266</v>
      </c>
      <c r="C153" s="20" t="s">
        <v>133</v>
      </c>
      <c r="D153" s="20" t="s">
        <v>34</v>
      </c>
      <c r="E153" s="21">
        <f>ROUND(10158*1.05,2)</f>
      </c>
      <c r="F153" s="20" t="s">
        <v>35</v>
      </c>
      <c r="G153" s="20" t="s">
        <v>18</v>
      </c>
      <c r="H153" s="21">
        <f>ROUND(RAND()*4+6,1)</f>
      </c>
      <c r="I153" s="20" t="s">
        <v>36</v>
      </c>
      <c r="J153" s="23">
        <f>ROUND(84*1,0)&amp;"%"</f>
      </c>
    </row>
    <row x14ac:dyDescent="0.25" r="154" customHeight="1" ht="17.25">
      <c r="A154" s="17" t="s">
        <v>6658</v>
      </c>
      <c r="B154" s="17" t="s">
        <v>268</v>
      </c>
      <c r="C154" s="17" t="s">
        <v>133</v>
      </c>
      <c r="D154" s="17" t="s">
        <v>39</v>
      </c>
      <c r="E154" s="18">
        <f>ROUND(10736*1.05,2)</f>
      </c>
      <c r="F154" s="17" t="s">
        <v>40</v>
      </c>
      <c r="G154" s="17" t="s">
        <v>24</v>
      </c>
      <c r="H154" s="18">
        <f>ROUND(RAND()*4+6,1)</f>
      </c>
      <c r="I154" s="17" t="s">
        <v>41</v>
      </c>
      <c r="J154" s="19">
        <f>ROUND(65*1,0)&amp;"%"</f>
      </c>
    </row>
    <row x14ac:dyDescent="0.25" r="155" customHeight="1" ht="17.25">
      <c r="A155" s="20" t="s">
        <v>6659</v>
      </c>
      <c r="B155" s="20" t="s">
        <v>270</v>
      </c>
      <c r="C155" s="20" t="s">
        <v>133</v>
      </c>
      <c r="D155" s="20" t="s">
        <v>67</v>
      </c>
      <c r="E155" s="21">
        <f>ROUND(8719*1.05,2)</f>
      </c>
      <c r="F155" s="20" t="s">
        <v>44</v>
      </c>
      <c r="G155" s="20" t="s">
        <v>30</v>
      </c>
      <c r="H155" s="21">
        <f>ROUND(RAND()*4+6,1)</f>
      </c>
      <c r="I155" s="20" t="s">
        <v>45</v>
      </c>
      <c r="J155" s="23">
        <f>ROUND(84*1,0)&amp;"%"</f>
      </c>
    </row>
    <row x14ac:dyDescent="0.25" r="156" customHeight="1" ht="17.25">
      <c r="A156" s="17" t="s">
        <v>6660</v>
      </c>
      <c r="B156" s="17" t="s">
        <v>272</v>
      </c>
      <c r="C156" s="17" t="s">
        <v>133</v>
      </c>
      <c r="D156" s="17" t="s">
        <v>16</v>
      </c>
      <c r="E156" s="18">
        <f>ROUND(11518*1.05,2)</f>
      </c>
      <c r="F156" s="17" t="s">
        <v>48</v>
      </c>
      <c r="G156" s="17" t="s">
        <v>18</v>
      </c>
      <c r="H156" s="18">
        <f>ROUND(RAND()*4+6,1)</f>
      </c>
      <c r="I156" s="17" t="s">
        <v>19</v>
      </c>
      <c r="J156" s="19">
        <f>ROUND(93*1,0)&amp;"%"</f>
      </c>
    </row>
    <row x14ac:dyDescent="0.25" r="157" customHeight="1" ht="17.25">
      <c r="A157" s="20" t="s">
        <v>6661</v>
      </c>
      <c r="B157" s="20" t="s">
        <v>274</v>
      </c>
      <c r="C157" s="20" t="s">
        <v>133</v>
      </c>
      <c r="D157" s="20" t="s">
        <v>22</v>
      </c>
      <c r="E157" s="21">
        <f>ROUND(14042*1.05,2)</f>
      </c>
      <c r="F157" s="20" t="s">
        <v>51</v>
      </c>
      <c r="G157" s="20" t="s">
        <v>24</v>
      </c>
      <c r="H157" s="22">
        <f>ROUND(RAND()*4+6,1)</f>
      </c>
      <c r="I157" s="20" t="s">
        <v>25</v>
      </c>
      <c r="J157" s="23">
        <f>ROUND(74*1,0)&amp;"%"</f>
      </c>
    </row>
    <row x14ac:dyDescent="0.25" r="158" customHeight="1" ht="17.25">
      <c r="A158" s="24" t="s">
        <v>275</v>
      </c>
      <c r="B158" s="24"/>
      <c r="C158" s="24"/>
      <c r="D158" s="24"/>
      <c r="E158" s="25">
        <v>8</v>
      </c>
      <c r="F158" s="9"/>
      <c r="G158" s="9"/>
      <c r="H158" s="10"/>
      <c r="I158" s="9"/>
      <c r="J158" s="9"/>
    </row>
    <row x14ac:dyDescent="0.25" r="159" customHeight="1" ht="17.25">
      <c r="A159" s="7"/>
      <c r="B159" s="7"/>
      <c r="C159" s="7"/>
      <c r="D159" s="7"/>
      <c r="E159" s="8"/>
      <c r="F159" s="9"/>
      <c r="G159" s="9"/>
      <c r="H159" s="10"/>
      <c r="I159" s="9"/>
      <c r="J159" s="9"/>
    </row>
    <row x14ac:dyDescent="0.25" r="160" customHeight="1" ht="17.25">
      <c r="A160" s="11" t="s">
        <v>6662</v>
      </c>
      <c r="B160" s="11"/>
      <c r="C160" s="11"/>
      <c r="D160" s="11"/>
      <c r="E160" s="12"/>
      <c r="F160" s="11"/>
      <c r="G160" s="11"/>
      <c r="H160" s="13"/>
      <c r="I160" s="11"/>
      <c r="J160" s="11"/>
    </row>
    <row x14ac:dyDescent="0.25" r="161" customHeight="1" ht="17.25">
      <c r="A161" s="14" t="s">
        <v>3</v>
      </c>
      <c r="B161" s="14" t="s">
        <v>4</v>
      </c>
      <c r="C161" s="14" t="s">
        <v>5</v>
      </c>
      <c r="D161" s="14" t="s">
        <v>6</v>
      </c>
      <c r="E161" s="15" t="s">
        <v>7</v>
      </c>
      <c r="F161" s="14" t="s">
        <v>8</v>
      </c>
      <c r="G161" s="14" t="s">
        <v>9</v>
      </c>
      <c r="H161" s="16" t="s">
        <v>10</v>
      </c>
      <c r="I161" s="14" t="s">
        <v>11</v>
      </c>
      <c r="J161" s="14" t="s">
        <v>12</v>
      </c>
    </row>
    <row x14ac:dyDescent="0.25" r="162" customHeight="1" ht="17.25">
      <c r="A162" s="17" t="s">
        <v>6663</v>
      </c>
      <c r="B162" s="17" t="s">
        <v>278</v>
      </c>
      <c r="C162" s="17" t="s">
        <v>152</v>
      </c>
      <c r="D162" s="17" t="s">
        <v>16</v>
      </c>
      <c r="E162" s="18">
        <f>ROUND(5052*1.05,2)</f>
      </c>
      <c r="F162" s="17" t="s">
        <v>17</v>
      </c>
      <c r="G162" s="17" t="s">
        <v>18</v>
      </c>
      <c r="H162" s="18">
        <f>ROUND(RAND()*4+6,1)</f>
      </c>
      <c r="I162" s="17" t="s">
        <v>19</v>
      </c>
      <c r="J162" s="19">
        <f>ROUND(62*1,0)&amp;"%"</f>
      </c>
    </row>
    <row x14ac:dyDescent="0.25" r="163" customHeight="1" ht="17.25">
      <c r="A163" s="20" t="s">
        <v>6664</v>
      </c>
      <c r="B163" s="20" t="s">
        <v>280</v>
      </c>
      <c r="C163" s="20" t="s">
        <v>152</v>
      </c>
      <c r="D163" s="20" t="s">
        <v>22</v>
      </c>
      <c r="E163" s="21">
        <f>ROUND(16638*1.05,2)</f>
      </c>
      <c r="F163" s="20" t="s">
        <v>23</v>
      </c>
      <c r="G163" s="20" t="s">
        <v>24</v>
      </c>
      <c r="H163" s="21">
        <f>ROUND(RAND()*4+6,1)</f>
      </c>
      <c r="I163" s="20" t="s">
        <v>25</v>
      </c>
      <c r="J163" s="23">
        <f>ROUND(84*1,0)&amp;"%"</f>
      </c>
    </row>
    <row x14ac:dyDescent="0.25" r="164" customHeight="1" ht="17.25">
      <c r="A164" s="17" t="s">
        <v>6665</v>
      </c>
      <c r="B164" s="17" t="s">
        <v>282</v>
      </c>
      <c r="C164" s="17" t="s">
        <v>152</v>
      </c>
      <c r="D164" s="17" t="s">
        <v>28</v>
      </c>
      <c r="E164" s="18">
        <f>ROUND(6241*1.05,2)</f>
      </c>
      <c r="F164" s="17" t="s">
        <v>29</v>
      </c>
      <c r="G164" s="17" t="s">
        <v>30</v>
      </c>
      <c r="H164" s="18">
        <f>ROUND(RAND()*4+6,1)</f>
      </c>
      <c r="I164" s="17" t="s">
        <v>31</v>
      </c>
      <c r="J164" s="19">
        <f>ROUND(65*1,0)&amp;"%"</f>
      </c>
    </row>
    <row x14ac:dyDescent="0.25" r="165" customHeight="1" ht="17.25">
      <c r="A165" s="20" t="s">
        <v>6666</v>
      </c>
      <c r="B165" s="20" t="s">
        <v>284</v>
      </c>
      <c r="C165" s="20" t="s">
        <v>152</v>
      </c>
      <c r="D165" s="20" t="s">
        <v>34</v>
      </c>
      <c r="E165" s="21">
        <f>ROUND(12731*1.05,2)</f>
      </c>
      <c r="F165" s="20" t="s">
        <v>35</v>
      </c>
      <c r="G165" s="20" t="s">
        <v>18</v>
      </c>
      <c r="H165" s="21">
        <f>ROUND(RAND()*4+6,1)</f>
      </c>
      <c r="I165" s="20" t="s">
        <v>36</v>
      </c>
      <c r="J165" s="23">
        <f>ROUND(86*1,0)&amp;"%"</f>
      </c>
    </row>
    <row x14ac:dyDescent="0.25" r="166" customHeight="1" ht="17.25">
      <c r="A166" s="17" t="s">
        <v>6667</v>
      </c>
      <c r="B166" s="17" t="s">
        <v>286</v>
      </c>
      <c r="C166" s="17" t="s">
        <v>152</v>
      </c>
      <c r="D166" s="17" t="s">
        <v>39</v>
      </c>
      <c r="E166" s="18">
        <f>ROUND(9970*1.05,2)</f>
      </c>
      <c r="F166" s="17" t="s">
        <v>40</v>
      </c>
      <c r="G166" s="17" t="s">
        <v>24</v>
      </c>
      <c r="H166" s="18">
        <f>ROUND(RAND()*4+6,1)</f>
      </c>
      <c r="I166" s="17" t="s">
        <v>41</v>
      </c>
      <c r="J166" s="19">
        <f>ROUND(78*1,0)&amp;"%"</f>
      </c>
    </row>
    <row x14ac:dyDescent="0.25" r="167" customHeight="1" ht="17.25">
      <c r="A167" s="20" t="s">
        <v>6668</v>
      </c>
      <c r="B167" s="20" t="s">
        <v>288</v>
      </c>
      <c r="C167" s="20" t="s">
        <v>152</v>
      </c>
      <c r="D167" s="20" t="s">
        <v>67</v>
      </c>
      <c r="E167" s="21">
        <f>ROUND(10377*1.05,2)</f>
      </c>
      <c r="F167" s="20" t="s">
        <v>44</v>
      </c>
      <c r="G167" s="20" t="s">
        <v>30</v>
      </c>
      <c r="H167" s="21">
        <f>ROUND(RAND()*4+6,1)</f>
      </c>
      <c r="I167" s="20" t="s">
        <v>45</v>
      </c>
      <c r="J167" s="23">
        <f>ROUND(87*1,0)&amp;"%"</f>
      </c>
    </row>
    <row x14ac:dyDescent="0.25" r="168" customHeight="1" ht="17.25">
      <c r="A168" s="17" t="s">
        <v>6669</v>
      </c>
      <c r="B168" s="17" t="s">
        <v>290</v>
      </c>
      <c r="C168" s="17" t="s">
        <v>152</v>
      </c>
      <c r="D168" s="17" t="s">
        <v>16</v>
      </c>
      <c r="E168" s="18">
        <f>ROUND(17548*1.05,2)</f>
      </c>
      <c r="F168" s="17" t="s">
        <v>48</v>
      </c>
      <c r="G168" s="17" t="s">
        <v>18</v>
      </c>
      <c r="H168" s="26">
        <f>ROUND(RAND()*4+6,1)</f>
      </c>
      <c r="I168" s="17" t="s">
        <v>19</v>
      </c>
      <c r="J168" s="19">
        <f>ROUND(81*1,0)&amp;"%"</f>
      </c>
    </row>
    <row x14ac:dyDescent="0.25" r="169" customHeight="1" ht="17.25">
      <c r="A169" s="20" t="s">
        <v>6670</v>
      </c>
      <c r="B169" s="20" t="s">
        <v>292</v>
      </c>
      <c r="C169" s="20" t="s">
        <v>152</v>
      </c>
      <c r="D169" s="20" t="s">
        <v>22</v>
      </c>
      <c r="E169" s="21">
        <f>ROUND(8362*1.05,2)</f>
      </c>
      <c r="F169" s="20" t="s">
        <v>51</v>
      </c>
      <c r="G169" s="20" t="s">
        <v>24</v>
      </c>
      <c r="H169" s="21">
        <f>ROUND(RAND()*4+6,1)</f>
      </c>
      <c r="I169" s="20" t="s">
        <v>25</v>
      </c>
      <c r="J169" s="23">
        <f>ROUND(74*1,0)&amp;"%"</f>
      </c>
    </row>
    <row x14ac:dyDescent="0.25" r="170" customHeight="1" ht="17.25">
      <c r="A170" s="24" t="s">
        <v>293</v>
      </c>
      <c r="B170" s="24"/>
      <c r="C170" s="24"/>
      <c r="D170" s="24"/>
      <c r="E170" s="25">
        <v>8</v>
      </c>
      <c r="F170" s="9"/>
      <c r="G170" s="9"/>
      <c r="H170" s="10"/>
      <c r="I170" s="9"/>
      <c r="J170" s="9"/>
    </row>
    <row x14ac:dyDescent="0.25" r="171" customHeight="1" ht="17.25">
      <c r="A171" s="7"/>
      <c r="B171" s="7"/>
      <c r="C171" s="7"/>
      <c r="D171" s="7"/>
      <c r="E171" s="8"/>
      <c r="F171" s="9"/>
      <c r="G171" s="9"/>
      <c r="H171" s="10"/>
      <c r="I171" s="9"/>
      <c r="J171" s="9"/>
    </row>
    <row x14ac:dyDescent="0.25" r="172" customHeight="1" ht="17.25">
      <c r="A172" s="11" t="s">
        <v>6671</v>
      </c>
      <c r="B172" s="11"/>
      <c r="C172" s="11"/>
      <c r="D172" s="11"/>
      <c r="E172" s="12"/>
      <c r="F172" s="11"/>
      <c r="G172" s="11"/>
      <c r="H172" s="13"/>
      <c r="I172" s="11"/>
      <c r="J172" s="11"/>
    </row>
    <row x14ac:dyDescent="0.25" r="173" customHeight="1" ht="17.25">
      <c r="A173" s="14" t="s">
        <v>3</v>
      </c>
      <c r="B173" s="14" t="s">
        <v>4</v>
      </c>
      <c r="C173" s="14" t="s">
        <v>5</v>
      </c>
      <c r="D173" s="14" t="s">
        <v>6</v>
      </c>
      <c r="E173" s="15" t="s">
        <v>7</v>
      </c>
      <c r="F173" s="14" t="s">
        <v>8</v>
      </c>
      <c r="G173" s="14" t="s">
        <v>9</v>
      </c>
      <c r="H173" s="16" t="s">
        <v>10</v>
      </c>
      <c r="I173" s="14" t="s">
        <v>11</v>
      </c>
      <c r="J173" s="14" t="s">
        <v>12</v>
      </c>
    </row>
    <row x14ac:dyDescent="0.25" r="174" customHeight="1" ht="17.25">
      <c r="A174" s="17" t="s">
        <v>6672</v>
      </c>
      <c r="B174" s="17" t="s">
        <v>296</v>
      </c>
      <c r="C174" s="17" t="s">
        <v>15</v>
      </c>
      <c r="D174" s="17" t="s">
        <v>16</v>
      </c>
      <c r="E174" s="26">
        <f>ROUND(7760*1.05,2)</f>
      </c>
      <c r="F174" s="17" t="s">
        <v>17</v>
      </c>
      <c r="G174" s="17" t="s">
        <v>18</v>
      </c>
      <c r="H174" s="18">
        <f>ROUND(RAND()*4+6,1)</f>
      </c>
      <c r="I174" s="17" t="s">
        <v>19</v>
      </c>
      <c r="J174" s="19">
        <f>ROUND(83*1,0)&amp;"%"</f>
      </c>
    </row>
    <row x14ac:dyDescent="0.25" r="175" customHeight="1" ht="17.25">
      <c r="A175" s="20" t="s">
        <v>6673</v>
      </c>
      <c r="B175" s="20" t="s">
        <v>298</v>
      </c>
      <c r="C175" s="20" t="s">
        <v>15</v>
      </c>
      <c r="D175" s="20" t="s">
        <v>22</v>
      </c>
      <c r="E175" s="21">
        <f>ROUND(14161*1.05,2)</f>
      </c>
      <c r="F175" s="20" t="s">
        <v>23</v>
      </c>
      <c r="G175" s="20" t="s">
        <v>24</v>
      </c>
      <c r="H175" s="21">
        <f>ROUND(RAND()*4+6,1)</f>
      </c>
      <c r="I175" s="20" t="s">
        <v>25</v>
      </c>
      <c r="J175" s="23">
        <f>ROUND(93*1,0)&amp;"%"</f>
      </c>
    </row>
    <row x14ac:dyDescent="0.25" r="176" customHeight="1" ht="17.25">
      <c r="A176" s="17" t="s">
        <v>6674</v>
      </c>
      <c r="B176" s="17" t="s">
        <v>300</v>
      </c>
      <c r="C176" s="17" t="s">
        <v>15</v>
      </c>
      <c r="D176" s="17" t="s">
        <v>28</v>
      </c>
      <c r="E176" s="18">
        <f>ROUND(7552*1.05,2)</f>
      </c>
      <c r="F176" s="17" t="s">
        <v>29</v>
      </c>
      <c r="G176" s="17" t="s">
        <v>30</v>
      </c>
      <c r="H176" s="18">
        <f>ROUND(RAND()*4+6,1)</f>
      </c>
      <c r="I176" s="17" t="s">
        <v>31</v>
      </c>
      <c r="J176" s="19">
        <f>ROUND(79*1,0)&amp;"%"</f>
      </c>
    </row>
    <row x14ac:dyDescent="0.25" r="177" customHeight="1" ht="17.25">
      <c r="A177" s="20" t="s">
        <v>6675</v>
      </c>
      <c r="B177" s="20" t="s">
        <v>302</v>
      </c>
      <c r="C177" s="20" t="s">
        <v>15</v>
      </c>
      <c r="D177" s="20" t="s">
        <v>34</v>
      </c>
      <c r="E177" s="21">
        <f>ROUND(4263*1.05,2)</f>
      </c>
      <c r="F177" s="20" t="s">
        <v>35</v>
      </c>
      <c r="G177" s="20" t="s">
        <v>18</v>
      </c>
      <c r="H177" s="21">
        <f>ROUND(RAND()*4+6,1)</f>
      </c>
      <c r="I177" s="20" t="s">
        <v>36</v>
      </c>
      <c r="J177" s="23">
        <f>ROUND(71*1,0)&amp;"%"</f>
      </c>
    </row>
    <row x14ac:dyDescent="0.25" r="178" customHeight="1" ht="17.25">
      <c r="A178" s="17" t="s">
        <v>6676</v>
      </c>
      <c r="B178" s="17" t="s">
        <v>304</v>
      </c>
      <c r="C178" s="17" t="s">
        <v>15</v>
      </c>
      <c r="D178" s="17" t="s">
        <v>39</v>
      </c>
      <c r="E178" s="18">
        <f>ROUND(10530*1.05,2)</f>
      </c>
      <c r="F178" s="17" t="s">
        <v>40</v>
      </c>
      <c r="G178" s="17" t="s">
        <v>24</v>
      </c>
      <c r="H178" s="26">
        <f>ROUND(RAND()*4+6,1)</f>
      </c>
      <c r="I178" s="17" t="s">
        <v>41</v>
      </c>
      <c r="J178" s="19">
        <f>ROUND(82*1,0)&amp;"%"</f>
      </c>
    </row>
    <row x14ac:dyDescent="0.25" r="179" customHeight="1" ht="17.25">
      <c r="A179" s="20" t="s">
        <v>6677</v>
      </c>
      <c r="B179" s="20" t="s">
        <v>306</v>
      </c>
      <c r="C179" s="20" t="s">
        <v>15</v>
      </c>
      <c r="D179" s="20" t="s">
        <v>67</v>
      </c>
      <c r="E179" s="21">
        <f>ROUND(4706*1.05,2)</f>
      </c>
      <c r="F179" s="20" t="s">
        <v>44</v>
      </c>
      <c r="G179" s="20" t="s">
        <v>30</v>
      </c>
      <c r="H179" s="21">
        <f>ROUND(RAND()*4+6,1)</f>
      </c>
      <c r="I179" s="20" t="s">
        <v>45</v>
      </c>
      <c r="J179" s="23">
        <f>ROUND(81*1,0)&amp;"%"</f>
      </c>
    </row>
    <row x14ac:dyDescent="0.25" r="180" customHeight="1" ht="17.25">
      <c r="A180" s="17" t="s">
        <v>6678</v>
      </c>
      <c r="B180" s="17" t="s">
        <v>308</v>
      </c>
      <c r="C180" s="17" t="s">
        <v>15</v>
      </c>
      <c r="D180" s="17" t="s">
        <v>16</v>
      </c>
      <c r="E180" s="18">
        <f>ROUND(12965*1.05,2)</f>
      </c>
      <c r="F180" s="17" t="s">
        <v>48</v>
      </c>
      <c r="G180" s="17" t="s">
        <v>18</v>
      </c>
      <c r="H180" s="18">
        <f>ROUND(RAND()*4+6,1)</f>
      </c>
      <c r="I180" s="17" t="s">
        <v>19</v>
      </c>
      <c r="J180" s="19">
        <f>ROUND(89*1,0)&amp;"%"</f>
      </c>
    </row>
    <row x14ac:dyDescent="0.25" r="181" customHeight="1" ht="17.25">
      <c r="A181" s="20" t="s">
        <v>6679</v>
      </c>
      <c r="B181" s="20" t="s">
        <v>310</v>
      </c>
      <c r="C181" s="20" t="s">
        <v>15</v>
      </c>
      <c r="D181" s="20" t="s">
        <v>22</v>
      </c>
      <c r="E181" s="21">
        <f>ROUND(6767*1.05,2)</f>
      </c>
      <c r="F181" s="20" t="s">
        <v>51</v>
      </c>
      <c r="G181" s="20" t="s">
        <v>24</v>
      </c>
      <c r="H181" s="21">
        <f>ROUND(RAND()*4+6,1)</f>
      </c>
      <c r="I181" s="20" t="s">
        <v>25</v>
      </c>
      <c r="J181" s="23">
        <f>ROUND(87*1,0)&amp;"%"</f>
      </c>
    </row>
    <row x14ac:dyDescent="0.25" r="182" customHeight="1" ht="17.25">
      <c r="A182" s="24" t="s">
        <v>311</v>
      </c>
      <c r="B182" s="24"/>
      <c r="C182" s="24"/>
      <c r="D182" s="24"/>
      <c r="E182" s="25">
        <v>8</v>
      </c>
      <c r="F182" s="9"/>
      <c r="G182" s="9"/>
      <c r="H182" s="10"/>
      <c r="I182" s="9"/>
      <c r="J182" s="9"/>
    </row>
    <row x14ac:dyDescent="0.25" r="183" customHeight="1" ht="17.25">
      <c r="A183" s="7"/>
      <c r="B183" s="7"/>
      <c r="C183" s="7"/>
      <c r="D183" s="7"/>
      <c r="E183" s="8"/>
      <c r="F183" s="9"/>
      <c r="G183" s="9"/>
      <c r="H183" s="10"/>
      <c r="I183" s="9"/>
      <c r="J183" s="9"/>
    </row>
    <row x14ac:dyDescent="0.25" r="184" customHeight="1" ht="17.25">
      <c r="A184" s="11" t="s">
        <v>6680</v>
      </c>
      <c r="B184" s="11"/>
      <c r="C184" s="11"/>
      <c r="D184" s="11"/>
      <c r="E184" s="12"/>
      <c r="F184" s="11"/>
      <c r="G184" s="11"/>
      <c r="H184" s="13"/>
      <c r="I184" s="11"/>
      <c r="J184" s="11"/>
    </row>
    <row x14ac:dyDescent="0.25" r="185" customHeight="1" ht="17.25">
      <c r="A185" s="14" t="s">
        <v>3</v>
      </c>
      <c r="B185" s="14" t="s">
        <v>4</v>
      </c>
      <c r="C185" s="14" t="s">
        <v>5</v>
      </c>
      <c r="D185" s="14" t="s">
        <v>6</v>
      </c>
      <c r="E185" s="15" t="s">
        <v>7</v>
      </c>
      <c r="F185" s="14" t="s">
        <v>8</v>
      </c>
      <c r="G185" s="14" t="s">
        <v>9</v>
      </c>
      <c r="H185" s="16" t="s">
        <v>10</v>
      </c>
      <c r="I185" s="14" t="s">
        <v>11</v>
      </c>
      <c r="J185" s="14" t="s">
        <v>12</v>
      </c>
    </row>
    <row x14ac:dyDescent="0.25" r="186" customHeight="1" ht="17.25">
      <c r="A186" s="17" t="s">
        <v>6681</v>
      </c>
      <c r="B186" s="17" t="s">
        <v>314</v>
      </c>
      <c r="C186" s="17" t="s">
        <v>56</v>
      </c>
      <c r="D186" s="17" t="s">
        <v>16</v>
      </c>
      <c r="E186" s="18">
        <f>ROUND(15974*1.05,2)</f>
      </c>
      <c r="F186" s="17" t="s">
        <v>17</v>
      </c>
      <c r="G186" s="17" t="s">
        <v>18</v>
      </c>
      <c r="H186" s="18">
        <f>ROUND(RAND()*4+6,1)</f>
      </c>
      <c r="I186" s="17" t="s">
        <v>19</v>
      </c>
      <c r="J186" s="19">
        <f>ROUND(98*1,0)&amp;"%"</f>
      </c>
    </row>
    <row x14ac:dyDescent="0.25" r="187" customHeight="1" ht="17.25">
      <c r="A187" s="20" t="s">
        <v>6682</v>
      </c>
      <c r="B187" s="20" t="s">
        <v>316</v>
      </c>
      <c r="C187" s="20" t="s">
        <v>56</v>
      </c>
      <c r="D187" s="20" t="s">
        <v>22</v>
      </c>
      <c r="E187" s="21">
        <f>ROUND(13226*1.05,2)</f>
      </c>
      <c r="F187" s="20" t="s">
        <v>23</v>
      </c>
      <c r="G187" s="20" t="s">
        <v>24</v>
      </c>
      <c r="H187" s="21">
        <f>ROUND(RAND()*4+6,1)</f>
      </c>
      <c r="I187" s="20" t="s">
        <v>25</v>
      </c>
      <c r="J187" s="23">
        <f>ROUND(83*1,0)&amp;"%"</f>
      </c>
    </row>
    <row x14ac:dyDescent="0.25" r="188" customHeight="1" ht="17.25">
      <c r="A188" s="17" t="s">
        <v>6683</v>
      </c>
      <c r="B188" s="17" t="s">
        <v>318</v>
      </c>
      <c r="C188" s="17" t="s">
        <v>56</v>
      </c>
      <c r="D188" s="17" t="s">
        <v>28</v>
      </c>
      <c r="E188" s="18">
        <f>ROUND(6902*1.05,2)</f>
      </c>
      <c r="F188" s="17" t="s">
        <v>29</v>
      </c>
      <c r="G188" s="17" t="s">
        <v>30</v>
      </c>
      <c r="H188" s="26">
        <f>ROUND(RAND()*4+6,1)</f>
      </c>
      <c r="I188" s="17" t="s">
        <v>31</v>
      </c>
      <c r="J188" s="19">
        <f>ROUND(82*1,0)&amp;"%"</f>
      </c>
    </row>
    <row x14ac:dyDescent="0.25" r="189" customHeight="1" ht="17.25">
      <c r="A189" s="20" t="s">
        <v>6684</v>
      </c>
      <c r="B189" s="20" t="s">
        <v>320</v>
      </c>
      <c r="C189" s="20" t="s">
        <v>56</v>
      </c>
      <c r="D189" s="20" t="s">
        <v>34</v>
      </c>
      <c r="E189" s="21">
        <f>ROUND(9966*1.05,2)</f>
      </c>
      <c r="F189" s="20" t="s">
        <v>35</v>
      </c>
      <c r="G189" s="20" t="s">
        <v>18</v>
      </c>
      <c r="H189" s="21">
        <f>ROUND(RAND()*4+6,1)</f>
      </c>
      <c r="I189" s="20" t="s">
        <v>36</v>
      </c>
      <c r="J189" s="23">
        <f>ROUND(87*1,0)&amp;"%"</f>
      </c>
    </row>
    <row x14ac:dyDescent="0.25" r="190" customHeight="1" ht="17.25">
      <c r="A190" s="17" t="s">
        <v>6685</v>
      </c>
      <c r="B190" s="17" t="s">
        <v>322</v>
      </c>
      <c r="C190" s="17" t="s">
        <v>56</v>
      </c>
      <c r="D190" s="17" t="s">
        <v>39</v>
      </c>
      <c r="E190" s="18">
        <f>ROUND(10216*1.05,2)</f>
      </c>
      <c r="F190" s="17" t="s">
        <v>40</v>
      </c>
      <c r="G190" s="17" t="s">
        <v>24</v>
      </c>
      <c r="H190" s="18">
        <f>ROUND(RAND()*4+6,1)</f>
      </c>
      <c r="I190" s="17" t="s">
        <v>41</v>
      </c>
      <c r="J190" s="19">
        <f>ROUND(61*1,0)&amp;"%"</f>
      </c>
    </row>
    <row x14ac:dyDescent="0.25" r="191" customHeight="1" ht="17.25">
      <c r="A191" s="20" t="s">
        <v>6686</v>
      </c>
      <c r="B191" s="20" t="s">
        <v>324</v>
      </c>
      <c r="C191" s="20" t="s">
        <v>56</v>
      </c>
      <c r="D191" s="20" t="s">
        <v>67</v>
      </c>
      <c r="E191" s="21">
        <f>ROUND(16434*1.05,2)</f>
      </c>
      <c r="F191" s="20" t="s">
        <v>44</v>
      </c>
      <c r="G191" s="20" t="s">
        <v>30</v>
      </c>
      <c r="H191" s="22">
        <f>ROUND(RAND()*4+6,1)</f>
      </c>
      <c r="I191" s="20" t="s">
        <v>45</v>
      </c>
      <c r="J191" s="23">
        <f>ROUND(93*1,0)&amp;"%"</f>
      </c>
    </row>
    <row x14ac:dyDescent="0.25" r="192" customHeight="1" ht="17.25">
      <c r="A192" s="17" t="s">
        <v>6687</v>
      </c>
      <c r="B192" s="17" t="s">
        <v>326</v>
      </c>
      <c r="C192" s="17" t="s">
        <v>56</v>
      </c>
      <c r="D192" s="17" t="s">
        <v>16</v>
      </c>
      <c r="E192" s="18">
        <f>ROUND(17585*1.05,2)</f>
      </c>
      <c r="F192" s="17" t="s">
        <v>48</v>
      </c>
      <c r="G192" s="17" t="s">
        <v>18</v>
      </c>
      <c r="H192" s="18">
        <f>ROUND(RAND()*4+6,1)</f>
      </c>
      <c r="I192" s="17" t="s">
        <v>19</v>
      </c>
      <c r="J192" s="19">
        <f>ROUND(98*1,0)&amp;"%"</f>
      </c>
    </row>
    <row x14ac:dyDescent="0.25" r="193" customHeight="1" ht="17.25">
      <c r="A193" s="20" t="s">
        <v>6688</v>
      </c>
      <c r="B193" s="20" t="s">
        <v>328</v>
      </c>
      <c r="C193" s="20" t="s">
        <v>56</v>
      </c>
      <c r="D193" s="20" t="s">
        <v>22</v>
      </c>
      <c r="E193" s="22">
        <f>ROUND(7860*1.05,2)</f>
      </c>
      <c r="F193" s="20" t="s">
        <v>51</v>
      </c>
      <c r="G193" s="20" t="s">
        <v>24</v>
      </c>
      <c r="H193" s="21">
        <f>ROUND(RAND()*4+6,1)</f>
      </c>
      <c r="I193" s="20" t="s">
        <v>25</v>
      </c>
      <c r="J193" s="23">
        <f>ROUND(72*1,0)&amp;"%"</f>
      </c>
    </row>
    <row x14ac:dyDescent="0.25" r="194" customHeight="1" ht="17.25">
      <c r="A194" s="24" t="s">
        <v>329</v>
      </c>
      <c r="B194" s="24"/>
      <c r="C194" s="24"/>
      <c r="D194" s="24"/>
      <c r="E194" s="25">
        <v>8</v>
      </c>
      <c r="F194" s="9"/>
      <c r="G194" s="9"/>
      <c r="H194" s="10"/>
      <c r="I194" s="9"/>
      <c r="J194" s="9"/>
    </row>
    <row x14ac:dyDescent="0.25" r="195" customHeight="1" ht="17.25">
      <c r="A195" s="7"/>
      <c r="B195" s="7"/>
      <c r="C195" s="7"/>
      <c r="D195" s="7"/>
      <c r="E195" s="8"/>
      <c r="F195" s="9"/>
      <c r="G195" s="9"/>
      <c r="H195" s="10"/>
      <c r="I195" s="9"/>
      <c r="J195" s="9"/>
    </row>
    <row x14ac:dyDescent="0.25" r="196" customHeight="1" ht="17.25">
      <c r="A196" s="11" t="s">
        <v>6689</v>
      </c>
      <c r="B196" s="11"/>
      <c r="C196" s="11"/>
      <c r="D196" s="11"/>
      <c r="E196" s="12"/>
      <c r="F196" s="11"/>
      <c r="G196" s="11"/>
      <c r="H196" s="13"/>
      <c r="I196" s="11"/>
      <c r="J196" s="11"/>
    </row>
    <row x14ac:dyDescent="0.25" r="197" customHeight="1" ht="17.25">
      <c r="A197" s="14" t="s">
        <v>3</v>
      </c>
      <c r="B197" s="14" t="s">
        <v>4</v>
      </c>
      <c r="C197" s="14" t="s">
        <v>5</v>
      </c>
      <c r="D197" s="14" t="s">
        <v>6</v>
      </c>
      <c r="E197" s="15" t="s">
        <v>7</v>
      </c>
      <c r="F197" s="14" t="s">
        <v>8</v>
      </c>
      <c r="G197" s="14" t="s">
        <v>9</v>
      </c>
      <c r="H197" s="16" t="s">
        <v>10</v>
      </c>
      <c r="I197" s="14" t="s">
        <v>11</v>
      </c>
      <c r="J197" s="14" t="s">
        <v>12</v>
      </c>
    </row>
    <row x14ac:dyDescent="0.25" r="198" customHeight="1" ht="17.25">
      <c r="A198" s="17" t="s">
        <v>6690</v>
      </c>
      <c r="B198" s="17" t="s">
        <v>332</v>
      </c>
      <c r="C198" s="17" t="s">
        <v>76</v>
      </c>
      <c r="D198" s="17" t="s">
        <v>16</v>
      </c>
      <c r="E198" s="18">
        <f>ROUND(11446*1.05,2)</f>
      </c>
      <c r="F198" s="17" t="s">
        <v>17</v>
      </c>
      <c r="G198" s="17" t="s">
        <v>18</v>
      </c>
      <c r="H198" s="18">
        <f>ROUND(RAND()*4+6,1)</f>
      </c>
      <c r="I198" s="17" t="s">
        <v>19</v>
      </c>
      <c r="J198" s="19">
        <f>ROUND(99*1,0)&amp;"%"</f>
      </c>
    </row>
    <row x14ac:dyDescent="0.25" r="199" customHeight="1" ht="17.25">
      <c r="A199" s="20" t="s">
        <v>6691</v>
      </c>
      <c r="B199" s="20" t="s">
        <v>334</v>
      </c>
      <c r="C199" s="20" t="s">
        <v>76</v>
      </c>
      <c r="D199" s="20" t="s">
        <v>22</v>
      </c>
      <c r="E199" s="21">
        <f>ROUND(6768*1.05,2)</f>
      </c>
      <c r="F199" s="20" t="s">
        <v>23</v>
      </c>
      <c r="G199" s="20" t="s">
        <v>24</v>
      </c>
      <c r="H199" s="21">
        <f>ROUND(RAND()*4+6,1)</f>
      </c>
      <c r="I199" s="20" t="s">
        <v>25</v>
      </c>
      <c r="J199" s="23">
        <f>ROUND(60*1,0)&amp;"%"</f>
      </c>
    </row>
    <row x14ac:dyDescent="0.25" r="200" customHeight="1" ht="17.25">
      <c r="A200" s="17" t="s">
        <v>6692</v>
      </c>
      <c r="B200" s="17" t="s">
        <v>336</v>
      </c>
      <c r="C200" s="17" t="s">
        <v>76</v>
      </c>
      <c r="D200" s="17" t="s">
        <v>28</v>
      </c>
      <c r="E200" s="18">
        <f>ROUND(9751*1.05,2)</f>
      </c>
      <c r="F200" s="17" t="s">
        <v>29</v>
      </c>
      <c r="G200" s="17" t="s">
        <v>30</v>
      </c>
      <c r="H200" s="26">
        <f>ROUND(RAND()*4+6,1)</f>
      </c>
      <c r="I200" s="17" t="s">
        <v>31</v>
      </c>
      <c r="J200" s="19">
        <f>ROUND(69*1,0)&amp;"%"</f>
      </c>
    </row>
    <row x14ac:dyDescent="0.25" r="201" customHeight="1" ht="17.25">
      <c r="A201" s="20" t="s">
        <v>6693</v>
      </c>
      <c r="B201" s="20" t="s">
        <v>338</v>
      </c>
      <c r="C201" s="20" t="s">
        <v>76</v>
      </c>
      <c r="D201" s="20" t="s">
        <v>34</v>
      </c>
      <c r="E201" s="21">
        <f>ROUND(13413*1.05,2)</f>
      </c>
      <c r="F201" s="20" t="s">
        <v>35</v>
      </c>
      <c r="G201" s="20" t="s">
        <v>18</v>
      </c>
      <c r="H201" s="21">
        <f>ROUND(RAND()*4+6,1)</f>
      </c>
      <c r="I201" s="20" t="s">
        <v>36</v>
      </c>
      <c r="J201" s="23">
        <f>ROUND(64*1,0)&amp;"%"</f>
      </c>
    </row>
    <row x14ac:dyDescent="0.25" r="202" customHeight="1" ht="17.25">
      <c r="A202" s="17" t="s">
        <v>6694</v>
      </c>
      <c r="B202" s="17" t="s">
        <v>340</v>
      </c>
      <c r="C202" s="17" t="s">
        <v>76</v>
      </c>
      <c r="D202" s="17" t="s">
        <v>39</v>
      </c>
      <c r="E202" s="18">
        <f>ROUND(13735*1.05,2)</f>
      </c>
      <c r="F202" s="17" t="s">
        <v>40</v>
      </c>
      <c r="G202" s="17" t="s">
        <v>24</v>
      </c>
      <c r="H202" s="18">
        <f>ROUND(RAND()*4+6,1)</f>
      </c>
      <c r="I202" s="17" t="s">
        <v>41</v>
      </c>
      <c r="J202" s="19">
        <f>ROUND(83*1,0)&amp;"%"</f>
      </c>
    </row>
    <row x14ac:dyDescent="0.25" r="203" customHeight="1" ht="17.25">
      <c r="A203" s="20" t="s">
        <v>6695</v>
      </c>
      <c r="B203" s="20" t="s">
        <v>342</v>
      </c>
      <c r="C203" s="20" t="s">
        <v>76</v>
      </c>
      <c r="D203" s="20" t="s">
        <v>67</v>
      </c>
      <c r="E203" s="21">
        <f>ROUND(6790*1.05,2)</f>
      </c>
      <c r="F203" s="20" t="s">
        <v>44</v>
      </c>
      <c r="G203" s="20" t="s">
        <v>30</v>
      </c>
      <c r="H203" s="21">
        <f>ROUND(RAND()*4+6,1)</f>
      </c>
      <c r="I203" s="20" t="s">
        <v>45</v>
      </c>
      <c r="J203" s="23">
        <f>ROUND(95*1,0)&amp;"%"</f>
      </c>
    </row>
    <row x14ac:dyDescent="0.25" r="204" customHeight="1" ht="17.25">
      <c r="A204" s="17" t="s">
        <v>6696</v>
      </c>
      <c r="B204" s="17" t="s">
        <v>344</v>
      </c>
      <c r="C204" s="17" t="s">
        <v>76</v>
      </c>
      <c r="D204" s="17" t="s">
        <v>16</v>
      </c>
      <c r="E204" s="18">
        <f>ROUND(7129*1.05,2)</f>
      </c>
      <c r="F204" s="17" t="s">
        <v>48</v>
      </c>
      <c r="G204" s="17" t="s">
        <v>18</v>
      </c>
      <c r="H204" s="18">
        <f>ROUND(RAND()*4+6,1)</f>
      </c>
      <c r="I204" s="17" t="s">
        <v>19</v>
      </c>
      <c r="J204" s="19">
        <f>ROUND(83*1,0)&amp;"%"</f>
      </c>
    </row>
    <row x14ac:dyDescent="0.25" r="205" customHeight="1" ht="17.25">
      <c r="A205" s="20" t="s">
        <v>6697</v>
      </c>
      <c r="B205" s="20" t="s">
        <v>346</v>
      </c>
      <c r="C205" s="20" t="s">
        <v>76</v>
      </c>
      <c r="D205" s="20" t="s">
        <v>22</v>
      </c>
      <c r="E205" s="21">
        <f>ROUND(5021*1.05,2)</f>
      </c>
      <c r="F205" s="20" t="s">
        <v>51</v>
      </c>
      <c r="G205" s="20" t="s">
        <v>24</v>
      </c>
      <c r="H205" s="21">
        <f>ROUND(RAND()*4+6,1)</f>
      </c>
      <c r="I205" s="20" t="s">
        <v>25</v>
      </c>
      <c r="J205" s="23">
        <f>ROUND(74*1,0)&amp;"%"</f>
      </c>
    </row>
    <row x14ac:dyDescent="0.25" r="206" customHeight="1" ht="17.25">
      <c r="A206" s="24" t="s">
        <v>347</v>
      </c>
      <c r="B206" s="24"/>
      <c r="C206" s="24"/>
      <c r="D206" s="24"/>
      <c r="E206" s="25">
        <v>8</v>
      </c>
      <c r="F206" s="9"/>
      <c r="G206" s="9"/>
      <c r="H206" s="10"/>
      <c r="I206" s="9"/>
      <c r="J206" s="9"/>
    </row>
    <row x14ac:dyDescent="0.25" r="207" customHeight="1" ht="17.25">
      <c r="A207" s="7"/>
      <c r="B207" s="7"/>
      <c r="C207" s="7"/>
      <c r="D207" s="7"/>
      <c r="E207" s="8"/>
      <c r="F207" s="9"/>
      <c r="G207" s="9"/>
      <c r="H207" s="10"/>
      <c r="I207" s="9"/>
      <c r="J207" s="9"/>
    </row>
    <row x14ac:dyDescent="0.25" r="208" customHeight="1" ht="17.25">
      <c r="A208" s="11" t="s">
        <v>6698</v>
      </c>
      <c r="B208" s="11"/>
      <c r="C208" s="11"/>
      <c r="D208" s="11"/>
      <c r="E208" s="12"/>
      <c r="F208" s="11"/>
      <c r="G208" s="11"/>
      <c r="H208" s="13"/>
      <c r="I208" s="11"/>
      <c r="J208" s="11"/>
    </row>
    <row x14ac:dyDescent="0.25" r="209" customHeight="1" ht="17.25">
      <c r="A209" s="14" t="s">
        <v>3</v>
      </c>
      <c r="B209" s="14" t="s">
        <v>4</v>
      </c>
      <c r="C209" s="14" t="s">
        <v>5</v>
      </c>
      <c r="D209" s="14" t="s">
        <v>6</v>
      </c>
      <c r="E209" s="15" t="s">
        <v>7</v>
      </c>
      <c r="F209" s="14" t="s">
        <v>8</v>
      </c>
      <c r="G209" s="14" t="s">
        <v>9</v>
      </c>
      <c r="H209" s="16" t="s">
        <v>10</v>
      </c>
      <c r="I209" s="14" t="s">
        <v>11</v>
      </c>
      <c r="J209" s="14" t="s">
        <v>12</v>
      </c>
    </row>
    <row x14ac:dyDescent="0.25" r="210" customHeight="1" ht="17.25">
      <c r="A210" s="17" t="s">
        <v>6699</v>
      </c>
      <c r="B210" s="17" t="s">
        <v>350</v>
      </c>
      <c r="C210" s="17" t="s">
        <v>95</v>
      </c>
      <c r="D210" s="17" t="s">
        <v>16</v>
      </c>
      <c r="E210" s="18">
        <f>ROUND(13184*1.05,2)</f>
      </c>
      <c r="F210" s="17" t="s">
        <v>17</v>
      </c>
      <c r="G210" s="17" t="s">
        <v>18</v>
      </c>
      <c r="H210" s="18">
        <f>ROUND(RAND()*4+6,1)</f>
      </c>
      <c r="I210" s="17" t="s">
        <v>19</v>
      </c>
      <c r="J210" s="19">
        <f>ROUND(73*1,0)&amp;"%"</f>
      </c>
    </row>
    <row x14ac:dyDescent="0.25" r="211" customHeight="1" ht="17.25">
      <c r="A211" s="20" t="s">
        <v>6700</v>
      </c>
      <c r="B211" s="20" t="s">
        <v>352</v>
      </c>
      <c r="C211" s="20" t="s">
        <v>95</v>
      </c>
      <c r="D211" s="20" t="s">
        <v>22</v>
      </c>
      <c r="E211" s="21">
        <f>ROUND(8127*1.05,2)</f>
      </c>
      <c r="F211" s="20" t="s">
        <v>23</v>
      </c>
      <c r="G211" s="20" t="s">
        <v>24</v>
      </c>
      <c r="H211" s="21">
        <f>ROUND(RAND()*4+6,1)</f>
      </c>
      <c r="I211" s="20" t="s">
        <v>25</v>
      </c>
      <c r="J211" s="23">
        <f>ROUND(67*1,0)&amp;"%"</f>
      </c>
    </row>
    <row x14ac:dyDescent="0.25" r="212" customHeight="1" ht="17.25">
      <c r="A212" s="17" t="s">
        <v>6701</v>
      </c>
      <c r="B212" s="17" t="s">
        <v>354</v>
      </c>
      <c r="C212" s="17" t="s">
        <v>95</v>
      </c>
      <c r="D212" s="17" t="s">
        <v>28</v>
      </c>
      <c r="E212" s="18">
        <f>ROUND(4234*1.05,2)</f>
      </c>
      <c r="F212" s="17" t="s">
        <v>29</v>
      </c>
      <c r="G212" s="17" t="s">
        <v>30</v>
      </c>
      <c r="H212" s="26">
        <f>ROUND(RAND()*4+6,1)</f>
      </c>
      <c r="I212" s="17" t="s">
        <v>31</v>
      </c>
      <c r="J212" s="19">
        <f>ROUND(90*1,0)&amp;"%"</f>
      </c>
    </row>
    <row x14ac:dyDescent="0.25" r="213" customHeight="1" ht="17.25">
      <c r="A213" s="20" t="s">
        <v>6702</v>
      </c>
      <c r="B213" s="20" t="s">
        <v>356</v>
      </c>
      <c r="C213" s="20" t="s">
        <v>95</v>
      </c>
      <c r="D213" s="20" t="s">
        <v>34</v>
      </c>
      <c r="E213" s="21">
        <f>ROUND(4504*1.05,2)</f>
      </c>
      <c r="F213" s="20" t="s">
        <v>35</v>
      </c>
      <c r="G213" s="20" t="s">
        <v>18</v>
      </c>
      <c r="H213" s="21">
        <f>ROUND(RAND()*4+6,1)</f>
      </c>
      <c r="I213" s="20" t="s">
        <v>36</v>
      </c>
      <c r="J213" s="23">
        <f>ROUND(72*1,0)&amp;"%"</f>
      </c>
    </row>
    <row x14ac:dyDescent="0.25" r="214" customHeight="1" ht="17.25">
      <c r="A214" s="17" t="s">
        <v>6703</v>
      </c>
      <c r="B214" s="17" t="s">
        <v>358</v>
      </c>
      <c r="C214" s="17" t="s">
        <v>95</v>
      </c>
      <c r="D214" s="17" t="s">
        <v>39</v>
      </c>
      <c r="E214" s="18">
        <f>ROUND(6702*1.05,2)</f>
      </c>
      <c r="F214" s="17" t="s">
        <v>40</v>
      </c>
      <c r="G214" s="17" t="s">
        <v>24</v>
      </c>
      <c r="H214" s="18">
        <f>ROUND(RAND()*4+6,1)</f>
      </c>
      <c r="I214" s="17" t="s">
        <v>41</v>
      </c>
      <c r="J214" s="19">
        <f>ROUND(83*1,0)&amp;"%"</f>
      </c>
    </row>
    <row x14ac:dyDescent="0.25" r="215" customHeight="1" ht="17.25">
      <c r="A215" s="20" t="s">
        <v>6704</v>
      </c>
      <c r="B215" s="20" t="s">
        <v>360</v>
      </c>
      <c r="C215" s="20" t="s">
        <v>95</v>
      </c>
      <c r="D215" s="20" t="s">
        <v>67</v>
      </c>
      <c r="E215" s="21">
        <f>ROUND(6403*1.05,2)</f>
      </c>
      <c r="F215" s="20" t="s">
        <v>44</v>
      </c>
      <c r="G215" s="20" t="s">
        <v>30</v>
      </c>
      <c r="H215" s="21">
        <f>ROUND(RAND()*4+6,1)</f>
      </c>
      <c r="I215" s="20" t="s">
        <v>45</v>
      </c>
      <c r="J215" s="23">
        <f>ROUND(87*1,0)&amp;"%"</f>
      </c>
    </row>
    <row x14ac:dyDescent="0.25" r="216" customHeight="1" ht="17.25">
      <c r="A216" s="17" t="s">
        <v>6705</v>
      </c>
      <c r="B216" s="17" t="s">
        <v>362</v>
      </c>
      <c r="C216" s="17" t="s">
        <v>95</v>
      </c>
      <c r="D216" s="17" t="s">
        <v>16</v>
      </c>
      <c r="E216" s="18">
        <f>ROUND(16474*1.05,2)</f>
      </c>
      <c r="F216" s="17" t="s">
        <v>48</v>
      </c>
      <c r="G216" s="17" t="s">
        <v>18</v>
      </c>
      <c r="H216" s="26">
        <f>ROUND(RAND()*4+6,1)</f>
      </c>
      <c r="I216" s="17" t="s">
        <v>19</v>
      </c>
      <c r="J216" s="19">
        <f>ROUND(76*1,0)&amp;"%"</f>
      </c>
    </row>
    <row x14ac:dyDescent="0.25" r="217" customHeight="1" ht="17.25">
      <c r="A217" s="20" t="s">
        <v>6706</v>
      </c>
      <c r="B217" s="20" t="s">
        <v>364</v>
      </c>
      <c r="C217" s="20" t="s">
        <v>95</v>
      </c>
      <c r="D217" s="20" t="s">
        <v>22</v>
      </c>
      <c r="E217" s="22">
        <f>ROUND(17700*1.05,2)</f>
      </c>
      <c r="F217" s="20" t="s">
        <v>51</v>
      </c>
      <c r="G217" s="20" t="s">
        <v>24</v>
      </c>
      <c r="H217" s="21">
        <f>ROUND(RAND()*4+6,1)</f>
      </c>
      <c r="I217" s="20" t="s">
        <v>25</v>
      </c>
      <c r="J217" s="23">
        <f>ROUND(67*1,0)&amp;"%"</f>
      </c>
    </row>
    <row x14ac:dyDescent="0.25" r="218" customHeight="1" ht="17.25">
      <c r="A218" s="24" t="s">
        <v>365</v>
      </c>
      <c r="B218" s="24"/>
      <c r="C218" s="24"/>
      <c r="D218" s="24"/>
      <c r="E218" s="25">
        <v>8</v>
      </c>
      <c r="F218" s="9"/>
      <c r="G218" s="9"/>
      <c r="H218" s="10"/>
      <c r="I218" s="9"/>
      <c r="J218" s="9"/>
    </row>
    <row x14ac:dyDescent="0.25" r="219" customHeight="1" ht="17.25">
      <c r="A219" s="7"/>
      <c r="B219" s="7"/>
      <c r="C219" s="7"/>
      <c r="D219" s="7"/>
      <c r="E219" s="8"/>
      <c r="F219" s="9"/>
      <c r="G219" s="9"/>
      <c r="H219" s="10"/>
      <c r="I219" s="9"/>
      <c r="J219" s="9"/>
    </row>
    <row x14ac:dyDescent="0.25" r="220" customHeight="1" ht="17.25">
      <c r="A220" s="11" t="s">
        <v>6707</v>
      </c>
      <c r="B220" s="11"/>
      <c r="C220" s="11"/>
      <c r="D220" s="11"/>
      <c r="E220" s="12"/>
      <c r="F220" s="11"/>
      <c r="G220" s="11"/>
      <c r="H220" s="13"/>
      <c r="I220" s="11"/>
      <c r="J220" s="11"/>
    </row>
    <row x14ac:dyDescent="0.25" r="221" customHeight="1" ht="17.25">
      <c r="A221" s="14" t="s">
        <v>3</v>
      </c>
      <c r="B221" s="14" t="s">
        <v>4</v>
      </c>
      <c r="C221" s="14" t="s">
        <v>5</v>
      </c>
      <c r="D221" s="14" t="s">
        <v>6</v>
      </c>
      <c r="E221" s="15" t="s">
        <v>7</v>
      </c>
      <c r="F221" s="14" t="s">
        <v>8</v>
      </c>
      <c r="G221" s="14" t="s">
        <v>9</v>
      </c>
      <c r="H221" s="16" t="s">
        <v>10</v>
      </c>
      <c r="I221" s="14" t="s">
        <v>11</v>
      </c>
      <c r="J221" s="14" t="s">
        <v>12</v>
      </c>
    </row>
    <row x14ac:dyDescent="0.25" r="222" customHeight="1" ht="17.25">
      <c r="A222" s="17" t="s">
        <v>6708</v>
      </c>
      <c r="B222" s="17" t="s">
        <v>368</v>
      </c>
      <c r="C222" s="17" t="s">
        <v>114</v>
      </c>
      <c r="D222" s="17" t="s">
        <v>16</v>
      </c>
      <c r="E222" s="18">
        <f>ROUND(8411*1.05,2)</f>
      </c>
      <c r="F222" s="17" t="s">
        <v>17</v>
      </c>
      <c r="G222" s="17" t="s">
        <v>18</v>
      </c>
      <c r="H222" s="18">
        <f>ROUND(RAND()*4+6,1)</f>
      </c>
      <c r="I222" s="17" t="s">
        <v>19</v>
      </c>
      <c r="J222" s="19">
        <f>ROUND(91*1,0)&amp;"%"</f>
      </c>
    </row>
    <row x14ac:dyDescent="0.25" r="223" customHeight="1" ht="17.25">
      <c r="A223" s="20" t="s">
        <v>6709</v>
      </c>
      <c r="B223" s="20" t="s">
        <v>370</v>
      </c>
      <c r="C223" s="20" t="s">
        <v>114</v>
      </c>
      <c r="D223" s="20" t="s">
        <v>22</v>
      </c>
      <c r="E223" s="22">
        <f>ROUND(17100*1.05,2)</f>
      </c>
      <c r="F223" s="20" t="s">
        <v>23</v>
      </c>
      <c r="G223" s="20" t="s">
        <v>24</v>
      </c>
      <c r="H223" s="21">
        <f>ROUND(RAND()*4+6,1)</f>
      </c>
      <c r="I223" s="20" t="s">
        <v>25</v>
      </c>
      <c r="J223" s="23">
        <f>ROUND(73*1,0)&amp;"%"</f>
      </c>
    </row>
    <row x14ac:dyDescent="0.25" r="224" customHeight="1" ht="17.25">
      <c r="A224" s="17" t="s">
        <v>6710</v>
      </c>
      <c r="B224" s="17" t="s">
        <v>372</v>
      </c>
      <c r="C224" s="17" t="s">
        <v>114</v>
      </c>
      <c r="D224" s="17" t="s">
        <v>28</v>
      </c>
      <c r="E224" s="26">
        <f>ROUND(8640*1.05,2)</f>
      </c>
      <c r="F224" s="17" t="s">
        <v>29</v>
      </c>
      <c r="G224" s="17" t="s">
        <v>30</v>
      </c>
      <c r="H224" s="18">
        <f>ROUND(RAND()*4+6,1)</f>
      </c>
      <c r="I224" s="17" t="s">
        <v>31</v>
      </c>
      <c r="J224" s="19">
        <f>ROUND(71*1,0)&amp;"%"</f>
      </c>
    </row>
    <row x14ac:dyDescent="0.25" r="225" customHeight="1" ht="17.25">
      <c r="A225" s="20" t="s">
        <v>6711</v>
      </c>
      <c r="B225" s="20" t="s">
        <v>374</v>
      </c>
      <c r="C225" s="20" t="s">
        <v>114</v>
      </c>
      <c r="D225" s="20" t="s">
        <v>34</v>
      </c>
      <c r="E225" s="21">
        <f>ROUND(7785*1.05,2)</f>
      </c>
      <c r="F225" s="20" t="s">
        <v>35</v>
      </c>
      <c r="G225" s="20" t="s">
        <v>18</v>
      </c>
      <c r="H225" s="21">
        <f>ROUND(RAND()*4+6,1)</f>
      </c>
      <c r="I225" s="20" t="s">
        <v>36</v>
      </c>
      <c r="J225" s="23">
        <f>ROUND(96*1,0)&amp;"%"</f>
      </c>
    </row>
    <row x14ac:dyDescent="0.25" r="226" customHeight="1" ht="17.25">
      <c r="A226" s="17" t="s">
        <v>6712</v>
      </c>
      <c r="B226" s="17" t="s">
        <v>376</v>
      </c>
      <c r="C226" s="17" t="s">
        <v>114</v>
      </c>
      <c r="D226" s="17" t="s">
        <v>39</v>
      </c>
      <c r="E226" s="18">
        <f>ROUND(14545*1.05,2)</f>
      </c>
      <c r="F226" s="17" t="s">
        <v>40</v>
      </c>
      <c r="G226" s="17" t="s">
        <v>24</v>
      </c>
      <c r="H226" s="26">
        <f>ROUND(RAND()*4+6,1)</f>
      </c>
      <c r="I226" s="17" t="s">
        <v>41</v>
      </c>
      <c r="J226" s="19">
        <f>ROUND(85*1,0)&amp;"%"</f>
      </c>
    </row>
    <row x14ac:dyDescent="0.25" r="227" customHeight="1" ht="17.25">
      <c r="A227" s="20" t="s">
        <v>6713</v>
      </c>
      <c r="B227" s="20" t="s">
        <v>378</v>
      </c>
      <c r="C227" s="20" t="s">
        <v>114</v>
      </c>
      <c r="D227" s="20" t="s">
        <v>67</v>
      </c>
      <c r="E227" s="21">
        <f>ROUND(10093*1.05,2)</f>
      </c>
      <c r="F227" s="20" t="s">
        <v>44</v>
      </c>
      <c r="G227" s="20" t="s">
        <v>30</v>
      </c>
      <c r="H227" s="21">
        <f>ROUND(RAND()*4+6,1)</f>
      </c>
      <c r="I227" s="20" t="s">
        <v>45</v>
      </c>
      <c r="J227" s="23">
        <f>ROUND(74*1,0)&amp;"%"</f>
      </c>
    </row>
    <row x14ac:dyDescent="0.25" r="228" customHeight="1" ht="17.25">
      <c r="A228" s="17" t="s">
        <v>6714</v>
      </c>
      <c r="B228" s="17" t="s">
        <v>380</v>
      </c>
      <c r="C228" s="17" t="s">
        <v>114</v>
      </c>
      <c r="D228" s="17" t="s">
        <v>16</v>
      </c>
      <c r="E228" s="18">
        <f>ROUND(4098*1.05,2)</f>
      </c>
      <c r="F228" s="17" t="s">
        <v>48</v>
      </c>
      <c r="G228" s="17" t="s">
        <v>18</v>
      </c>
      <c r="H228" s="18">
        <f>ROUND(RAND()*4+6,1)</f>
      </c>
      <c r="I228" s="17" t="s">
        <v>19</v>
      </c>
      <c r="J228" s="19">
        <f>ROUND(93*1,0)&amp;"%"</f>
      </c>
    </row>
    <row x14ac:dyDescent="0.25" r="229" customHeight="1" ht="17.25">
      <c r="A229" s="20" t="s">
        <v>6715</v>
      </c>
      <c r="B229" s="20" t="s">
        <v>382</v>
      </c>
      <c r="C229" s="20" t="s">
        <v>114</v>
      </c>
      <c r="D229" s="20" t="s">
        <v>22</v>
      </c>
      <c r="E229" s="21">
        <f>ROUND(11307*1.05,2)</f>
      </c>
      <c r="F229" s="20" t="s">
        <v>51</v>
      </c>
      <c r="G229" s="20" t="s">
        <v>24</v>
      </c>
      <c r="H229" s="21">
        <f>ROUND(RAND()*4+6,1)</f>
      </c>
      <c r="I229" s="20" t="s">
        <v>25</v>
      </c>
      <c r="J229" s="23">
        <f>ROUND(62*1,0)&amp;"%"</f>
      </c>
    </row>
    <row x14ac:dyDescent="0.25" r="230" customHeight="1" ht="17.25">
      <c r="A230" s="24" t="s">
        <v>383</v>
      </c>
      <c r="B230" s="24"/>
      <c r="C230" s="24"/>
      <c r="D230" s="24"/>
      <c r="E230" s="25">
        <v>8</v>
      </c>
      <c r="F230" s="9"/>
      <c r="G230" s="9"/>
      <c r="H230" s="10"/>
      <c r="I230" s="9"/>
      <c r="J230" s="9"/>
    </row>
    <row x14ac:dyDescent="0.25" r="231" customHeight="1" ht="17.25">
      <c r="A231" s="7"/>
      <c r="B231" s="7"/>
      <c r="C231" s="7"/>
      <c r="D231" s="7"/>
      <c r="E231" s="8"/>
      <c r="F231" s="9"/>
      <c r="G231" s="9"/>
      <c r="H231" s="10"/>
      <c r="I231" s="9"/>
      <c r="J231" s="9"/>
    </row>
    <row x14ac:dyDescent="0.25" r="232" customHeight="1" ht="17.25">
      <c r="A232" s="11" t="s">
        <v>6716</v>
      </c>
      <c r="B232" s="11"/>
      <c r="C232" s="11"/>
      <c r="D232" s="11"/>
      <c r="E232" s="12"/>
      <c r="F232" s="11"/>
      <c r="G232" s="11"/>
      <c r="H232" s="13"/>
      <c r="I232" s="11"/>
      <c r="J232" s="11"/>
    </row>
    <row x14ac:dyDescent="0.25" r="233" customHeight="1" ht="17.25">
      <c r="A233" s="14" t="s">
        <v>3</v>
      </c>
      <c r="B233" s="14" t="s">
        <v>4</v>
      </c>
      <c r="C233" s="14" t="s">
        <v>5</v>
      </c>
      <c r="D233" s="14" t="s">
        <v>6</v>
      </c>
      <c r="E233" s="15" t="s">
        <v>7</v>
      </c>
      <c r="F233" s="14" t="s">
        <v>8</v>
      </c>
      <c r="G233" s="14" t="s">
        <v>9</v>
      </c>
      <c r="H233" s="16" t="s">
        <v>10</v>
      </c>
      <c r="I233" s="14" t="s">
        <v>11</v>
      </c>
      <c r="J233" s="14" t="s">
        <v>12</v>
      </c>
    </row>
    <row x14ac:dyDescent="0.25" r="234" customHeight="1" ht="17.25">
      <c r="A234" s="17" t="s">
        <v>6717</v>
      </c>
      <c r="B234" s="17" t="s">
        <v>386</v>
      </c>
      <c r="C234" s="17" t="s">
        <v>133</v>
      </c>
      <c r="D234" s="17" t="s">
        <v>16</v>
      </c>
      <c r="E234" s="18">
        <f>ROUND(17615*1.05,2)</f>
      </c>
      <c r="F234" s="17" t="s">
        <v>17</v>
      </c>
      <c r="G234" s="17" t="s">
        <v>18</v>
      </c>
      <c r="H234" s="18">
        <f>ROUND(RAND()*4+6,1)</f>
      </c>
      <c r="I234" s="17" t="s">
        <v>19</v>
      </c>
      <c r="J234" s="19">
        <f>ROUND(96*1,0)&amp;"%"</f>
      </c>
    </row>
    <row x14ac:dyDescent="0.25" r="235" customHeight="1" ht="17.25">
      <c r="A235" s="20" t="s">
        <v>6718</v>
      </c>
      <c r="B235" s="20" t="s">
        <v>388</v>
      </c>
      <c r="C235" s="20" t="s">
        <v>133</v>
      </c>
      <c r="D235" s="20" t="s">
        <v>22</v>
      </c>
      <c r="E235" s="21">
        <f>ROUND(11534*1.05,2)</f>
      </c>
      <c r="F235" s="20" t="s">
        <v>23</v>
      </c>
      <c r="G235" s="20" t="s">
        <v>24</v>
      </c>
      <c r="H235" s="21">
        <f>ROUND(RAND()*4+6,1)</f>
      </c>
      <c r="I235" s="20" t="s">
        <v>25</v>
      </c>
      <c r="J235" s="23">
        <f>ROUND(93*1,0)&amp;"%"</f>
      </c>
    </row>
    <row x14ac:dyDescent="0.25" r="236" customHeight="1" ht="17.25">
      <c r="A236" s="17" t="s">
        <v>6719</v>
      </c>
      <c r="B236" s="17" t="s">
        <v>390</v>
      </c>
      <c r="C236" s="17" t="s">
        <v>133</v>
      </c>
      <c r="D236" s="17" t="s">
        <v>28</v>
      </c>
      <c r="E236" s="18">
        <f>ROUND(10989*1.05,2)</f>
      </c>
      <c r="F236" s="17" t="s">
        <v>29</v>
      </c>
      <c r="G236" s="17" t="s">
        <v>30</v>
      </c>
      <c r="H236" s="18">
        <f>ROUND(RAND()*4+6,1)</f>
      </c>
      <c r="I236" s="17" t="s">
        <v>31</v>
      </c>
      <c r="J236" s="19">
        <f>ROUND(81*1,0)&amp;"%"</f>
      </c>
    </row>
    <row x14ac:dyDescent="0.25" r="237" customHeight="1" ht="17.25">
      <c r="A237" s="20" t="s">
        <v>6720</v>
      </c>
      <c r="B237" s="20" t="s">
        <v>392</v>
      </c>
      <c r="C237" s="20" t="s">
        <v>133</v>
      </c>
      <c r="D237" s="20" t="s">
        <v>34</v>
      </c>
      <c r="E237" s="21">
        <f>ROUND(17383*1.05,2)</f>
      </c>
      <c r="F237" s="20" t="s">
        <v>35</v>
      </c>
      <c r="G237" s="20" t="s">
        <v>18</v>
      </c>
      <c r="H237" s="21">
        <f>ROUND(RAND()*4+6,1)</f>
      </c>
      <c r="I237" s="20" t="s">
        <v>36</v>
      </c>
      <c r="J237" s="23">
        <f>ROUND(86*1,0)&amp;"%"</f>
      </c>
    </row>
    <row x14ac:dyDescent="0.25" r="238" customHeight="1" ht="17.25">
      <c r="A238" s="17" t="s">
        <v>6721</v>
      </c>
      <c r="B238" s="17" t="s">
        <v>394</v>
      </c>
      <c r="C238" s="17" t="s">
        <v>133</v>
      </c>
      <c r="D238" s="17" t="s">
        <v>39</v>
      </c>
      <c r="E238" s="18">
        <f>ROUND(6494*1.05,2)</f>
      </c>
      <c r="F238" s="17" t="s">
        <v>40</v>
      </c>
      <c r="G238" s="17" t="s">
        <v>24</v>
      </c>
      <c r="H238" s="18">
        <f>ROUND(RAND()*4+6,1)</f>
      </c>
      <c r="I238" s="17" t="s">
        <v>41</v>
      </c>
      <c r="J238" s="19">
        <f>ROUND(78*1,0)&amp;"%"</f>
      </c>
    </row>
    <row x14ac:dyDescent="0.25" r="239" customHeight="1" ht="17.25">
      <c r="A239" s="20" t="s">
        <v>6722</v>
      </c>
      <c r="B239" s="20" t="s">
        <v>396</v>
      </c>
      <c r="C239" s="20" t="s">
        <v>133</v>
      </c>
      <c r="D239" s="20" t="s">
        <v>67</v>
      </c>
      <c r="E239" s="21">
        <f>ROUND(4699*1.05,2)</f>
      </c>
      <c r="F239" s="20" t="s">
        <v>44</v>
      </c>
      <c r="G239" s="20" t="s">
        <v>30</v>
      </c>
      <c r="H239" s="21">
        <f>ROUND(RAND()*4+6,1)</f>
      </c>
      <c r="I239" s="20" t="s">
        <v>45</v>
      </c>
      <c r="J239" s="23">
        <f>ROUND(88*1,0)&amp;"%"</f>
      </c>
    </row>
    <row x14ac:dyDescent="0.25" r="240" customHeight="1" ht="17.25">
      <c r="A240" s="17" t="s">
        <v>6723</v>
      </c>
      <c r="B240" s="17" t="s">
        <v>398</v>
      </c>
      <c r="C240" s="17" t="s">
        <v>133</v>
      </c>
      <c r="D240" s="17" t="s">
        <v>16</v>
      </c>
      <c r="E240" s="18">
        <f>ROUND(13904*1.05,2)</f>
      </c>
      <c r="F240" s="17" t="s">
        <v>48</v>
      </c>
      <c r="G240" s="17" t="s">
        <v>18</v>
      </c>
      <c r="H240" s="18">
        <f>ROUND(RAND()*4+6,1)</f>
      </c>
      <c r="I240" s="17" t="s">
        <v>19</v>
      </c>
      <c r="J240" s="19">
        <f>ROUND(63*1,0)&amp;"%"</f>
      </c>
    </row>
    <row x14ac:dyDescent="0.25" r="241" customHeight="1" ht="17.25">
      <c r="A241" s="20" t="s">
        <v>6724</v>
      </c>
      <c r="B241" s="20" t="s">
        <v>400</v>
      </c>
      <c r="C241" s="20" t="s">
        <v>133</v>
      </c>
      <c r="D241" s="20" t="s">
        <v>22</v>
      </c>
      <c r="E241" s="22">
        <f>ROUND(17120*1.05,2)</f>
      </c>
      <c r="F241" s="20" t="s">
        <v>51</v>
      </c>
      <c r="G241" s="20" t="s">
        <v>24</v>
      </c>
      <c r="H241" s="21">
        <f>ROUND(RAND()*4+6,1)</f>
      </c>
      <c r="I241" s="20" t="s">
        <v>25</v>
      </c>
      <c r="J241" s="23">
        <f>ROUND(95*1,0)&amp;"%"</f>
      </c>
    </row>
    <row x14ac:dyDescent="0.25" r="242" customHeight="1" ht="17.25">
      <c r="A242" s="24" t="s">
        <v>401</v>
      </c>
      <c r="B242" s="24"/>
      <c r="C242" s="24"/>
      <c r="D242" s="24"/>
      <c r="E242" s="25">
        <v>8</v>
      </c>
      <c r="F242" s="9"/>
      <c r="G242" s="9"/>
      <c r="H242" s="10"/>
      <c r="I242" s="9"/>
      <c r="J242" s="9"/>
    </row>
    <row x14ac:dyDescent="0.25" r="243" customHeight="1" ht="17.25">
      <c r="A243" s="7"/>
      <c r="B243" s="7"/>
      <c r="C243" s="7"/>
      <c r="D243" s="7"/>
      <c r="E243" s="8"/>
      <c r="F243" s="9"/>
      <c r="G243" s="9"/>
      <c r="H243" s="10"/>
      <c r="I243" s="9"/>
      <c r="J243" s="9"/>
    </row>
    <row x14ac:dyDescent="0.25" r="244" customHeight="1" ht="17.25">
      <c r="A244" s="11" t="s">
        <v>6725</v>
      </c>
      <c r="B244" s="11"/>
      <c r="C244" s="11"/>
      <c r="D244" s="11"/>
      <c r="E244" s="12"/>
      <c r="F244" s="11"/>
      <c r="G244" s="11"/>
      <c r="H244" s="13"/>
      <c r="I244" s="11"/>
      <c r="J244" s="11"/>
    </row>
    <row x14ac:dyDescent="0.25" r="245" customHeight="1" ht="17.25">
      <c r="A245" s="14" t="s">
        <v>3</v>
      </c>
      <c r="B245" s="14" t="s">
        <v>4</v>
      </c>
      <c r="C245" s="14" t="s">
        <v>5</v>
      </c>
      <c r="D245" s="14" t="s">
        <v>6</v>
      </c>
      <c r="E245" s="15" t="s">
        <v>7</v>
      </c>
      <c r="F245" s="14" t="s">
        <v>8</v>
      </c>
      <c r="G245" s="14" t="s">
        <v>9</v>
      </c>
      <c r="H245" s="16" t="s">
        <v>10</v>
      </c>
      <c r="I245" s="14" t="s">
        <v>11</v>
      </c>
      <c r="J245" s="14" t="s">
        <v>12</v>
      </c>
    </row>
    <row x14ac:dyDescent="0.25" r="246" customHeight="1" ht="17.25">
      <c r="A246" s="17" t="s">
        <v>6726</v>
      </c>
      <c r="B246" s="17" t="s">
        <v>404</v>
      </c>
      <c r="C246" s="17" t="s">
        <v>152</v>
      </c>
      <c r="D246" s="17" t="s">
        <v>16</v>
      </c>
      <c r="E246" s="26">
        <f>ROUND(15340*1.05,2)</f>
      </c>
      <c r="F246" s="17" t="s">
        <v>17</v>
      </c>
      <c r="G246" s="17" t="s">
        <v>18</v>
      </c>
      <c r="H246" s="18">
        <f>ROUND(RAND()*4+6,1)</f>
      </c>
      <c r="I246" s="17" t="s">
        <v>19</v>
      </c>
      <c r="J246" s="19">
        <f>ROUND(74*1,0)&amp;"%"</f>
      </c>
    </row>
    <row x14ac:dyDescent="0.25" r="247" customHeight="1" ht="17.25">
      <c r="A247" s="20" t="s">
        <v>6727</v>
      </c>
      <c r="B247" s="20" t="s">
        <v>406</v>
      </c>
      <c r="C247" s="20" t="s">
        <v>152</v>
      </c>
      <c r="D247" s="20" t="s">
        <v>22</v>
      </c>
      <c r="E247" s="21">
        <f>ROUND(10804*1.05,2)</f>
      </c>
      <c r="F247" s="20" t="s">
        <v>23</v>
      </c>
      <c r="G247" s="20" t="s">
        <v>24</v>
      </c>
      <c r="H247" s="21">
        <f>ROUND(RAND()*4+6,1)</f>
      </c>
      <c r="I247" s="20" t="s">
        <v>25</v>
      </c>
      <c r="J247" s="23">
        <f>ROUND(62*1,0)&amp;"%"</f>
      </c>
    </row>
    <row x14ac:dyDescent="0.25" r="248" customHeight="1" ht="17.25">
      <c r="A248" s="17" t="s">
        <v>6728</v>
      </c>
      <c r="B248" s="17" t="s">
        <v>408</v>
      </c>
      <c r="C248" s="17" t="s">
        <v>152</v>
      </c>
      <c r="D248" s="17" t="s">
        <v>28</v>
      </c>
      <c r="E248" s="26">
        <f>ROUND(14160*1.05,2)</f>
      </c>
      <c r="F248" s="17" t="s">
        <v>29</v>
      </c>
      <c r="G248" s="17" t="s">
        <v>30</v>
      </c>
      <c r="H248" s="26">
        <f>ROUND(RAND()*4+6,1)</f>
      </c>
      <c r="I248" s="17" t="s">
        <v>31</v>
      </c>
      <c r="J248" s="19">
        <f>ROUND(79*1,0)&amp;"%"</f>
      </c>
    </row>
    <row x14ac:dyDescent="0.25" r="249" customHeight="1" ht="17.25">
      <c r="A249" s="20" t="s">
        <v>6729</v>
      </c>
      <c r="B249" s="20" t="s">
        <v>410</v>
      </c>
      <c r="C249" s="20" t="s">
        <v>152</v>
      </c>
      <c r="D249" s="20" t="s">
        <v>34</v>
      </c>
      <c r="E249" s="21">
        <f>ROUND(16610*1.05,2)</f>
      </c>
      <c r="F249" s="20" t="s">
        <v>35</v>
      </c>
      <c r="G249" s="20" t="s">
        <v>18</v>
      </c>
      <c r="H249" s="21">
        <f>ROUND(RAND()*4+6,1)</f>
      </c>
      <c r="I249" s="20" t="s">
        <v>36</v>
      </c>
      <c r="J249" s="23">
        <f>ROUND(85*1,0)&amp;"%"</f>
      </c>
    </row>
    <row x14ac:dyDescent="0.25" r="250" customHeight="1" ht="17.25">
      <c r="A250" s="17" t="s">
        <v>6730</v>
      </c>
      <c r="B250" s="17" t="s">
        <v>412</v>
      </c>
      <c r="C250" s="17" t="s">
        <v>152</v>
      </c>
      <c r="D250" s="17" t="s">
        <v>39</v>
      </c>
      <c r="E250" s="18">
        <f>ROUND(10089*1.05,2)</f>
      </c>
      <c r="F250" s="17" t="s">
        <v>40</v>
      </c>
      <c r="G250" s="17" t="s">
        <v>24</v>
      </c>
      <c r="H250" s="18">
        <f>ROUND(RAND()*4+6,1)</f>
      </c>
      <c r="I250" s="17" t="s">
        <v>41</v>
      </c>
      <c r="J250" s="19">
        <f>ROUND(99*1,0)&amp;"%"</f>
      </c>
    </row>
    <row x14ac:dyDescent="0.25" r="251" customHeight="1" ht="17.25">
      <c r="A251" s="20" t="s">
        <v>6731</v>
      </c>
      <c r="B251" s="20" t="s">
        <v>414</v>
      </c>
      <c r="C251" s="20" t="s">
        <v>152</v>
      </c>
      <c r="D251" s="20" t="s">
        <v>67</v>
      </c>
      <c r="E251" s="21">
        <f>ROUND(16803*1.05,2)</f>
      </c>
      <c r="F251" s="20" t="s">
        <v>44</v>
      </c>
      <c r="G251" s="20" t="s">
        <v>30</v>
      </c>
      <c r="H251" s="21">
        <f>ROUND(RAND()*4+6,1)</f>
      </c>
      <c r="I251" s="20" t="s">
        <v>45</v>
      </c>
      <c r="J251" s="23">
        <f>ROUND(95*1,0)&amp;"%"</f>
      </c>
    </row>
    <row x14ac:dyDescent="0.25" r="252" customHeight="1" ht="17.25">
      <c r="A252" s="17" t="s">
        <v>6732</v>
      </c>
      <c r="B252" s="17" t="s">
        <v>416</v>
      </c>
      <c r="C252" s="17" t="s">
        <v>152</v>
      </c>
      <c r="D252" s="17" t="s">
        <v>16</v>
      </c>
      <c r="E252" s="18">
        <f>ROUND(9184*1.05,2)</f>
      </c>
      <c r="F252" s="17" t="s">
        <v>48</v>
      </c>
      <c r="G252" s="17" t="s">
        <v>18</v>
      </c>
      <c r="H252" s="18">
        <f>ROUND(RAND()*4+6,1)</f>
      </c>
      <c r="I252" s="17" t="s">
        <v>19</v>
      </c>
      <c r="J252" s="19">
        <f>ROUND(66*1,0)&amp;"%"</f>
      </c>
    </row>
    <row x14ac:dyDescent="0.25" r="253" customHeight="1" ht="17.25">
      <c r="A253" s="20" t="s">
        <v>6733</v>
      </c>
      <c r="B253" s="20" t="s">
        <v>418</v>
      </c>
      <c r="C253" s="20" t="s">
        <v>152</v>
      </c>
      <c r="D253" s="20" t="s">
        <v>22</v>
      </c>
      <c r="E253" s="21">
        <f>ROUND(5439*1.05,2)</f>
      </c>
      <c r="F253" s="20" t="s">
        <v>51</v>
      </c>
      <c r="G253" s="20" t="s">
        <v>24</v>
      </c>
      <c r="H253" s="21">
        <f>ROUND(RAND()*4+6,1)</f>
      </c>
      <c r="I253" s="20" t="s">
        <v>25</v>
      </c>
      <c r="J253" s="23">
        <f>ROUND(65*1,0)&amp;"%"</f>
      </c>
    </row>
    <row x14ac:dyDescent="0.25" r="254" customHeight="1" ht="17.25">
      <c r="A254" s="24" t="s">
        <v>419</v>
      </c>
      <c r="B254" s="24"/>
      <c r="C254" s="24"/>
      <c r="D254" s="24"/>
      <c r="E254" s="25">
        <v>8</v>
      </c>
      <c r="F254" s="9"/>
      <c r="G254" s="9"/>
      <c r="H254" s="10"/>
      <c r="I254" s="9"/>
      <c r="J254" s="9"/>
    </row>
    <row x14ac:dyDescent="0.25" r="255" customHeight="1" ht="17.25">
      <c r="A255" s="7"/>
      <c r="B255" s="7"/>
      <c r="C255" s="7"/>
      <c r="D255" s="7"/>
      <c r="E255" s="8"/>
      <c r="F255" s="9"/>
      <c r="G255" s="9"/>
      <c r="H255" s="10"/>
      <c r="I255" s="9"/>
      <c r="J255" s="9"/>
    </row>
    <row x14ac:dyDescent="0.25" r="256" customHeight="1" ht="17.25">
      <c r="A256" s="11" t="s">
        <v>6734</v>
      </c>
      <c r="B256" s="11"/>
      <c r="C256" s="11"/>
      <c r="D256" s="11"/>
      <c r="E256" s="12"/>
      <c r="F256" s="11"/>
      <c r="G256" s="11"/>
      <c r="H256" s="13"/>
      <c r="I256" s="11"/>
      <c r="J256" s="11"/>
    </row>
    <row x14ac:dyDescent="0.25" r="257" customHeight="1" ht="17.25">
      <c r="A257" s="14" t="s">
        <v>3</v>
      </c>
      <c r="B257" s="14" t="s">
        <v>4</v>
      </c>
      <c r="C257" s="14" t="s">
        <v>5</v>
      </c>
      <c r="D257" s="14" t="s">
        <v>6</v>
      </c>
      <c r="E257" s="15" t="s">
        <v>7</v>
      </c>
      <c r="F257" s="14" t="s">
        <v>8</v>
      </c>
      <c r="G257" s="14" t="s">
        <v>9</v>
      </c>
      <c r="H257" s="16" t="s">
        <v>10</v>
      </c>
      <c r="I257" s="14" t="s">
        <v>11</v>
      </c>
      <c r="J257" s="14" t="s">
        <v>12</v>
      </c>
    </row>
    <row x14ac:dyDescent="0.25" r="258" customHeight="1" ht="17.25">
      <c r="A258" s="17" t="s">
        <v>6735</v>
      </c>
      <c r="B258" s="17" t="s">
        <v>422</v>
      </c>
      <c r="C258" s="17" t="s">
        <v>15</v>
      </c>
      <c r="D258" s="17" t="s">
        <v>16</v>
      </c>
      <c r="E258" s="18">
        <f>ROUND(13996*1.05,2)</f>
      </c>
      <c r="F258" s="17" t="s">
        <v>17</v>
      </c>
      <c r="G258" s="17" t="s">
        <v>18</v>
      </c>
      <c r="H258" s="18">
        <f>ROUND(RAND()*4+6,1)</f>
      </c>
      <c r="I258" s="17" t="s">
        <v>19</v>
      </c>
      <c r="J258" s="19">
        <f>ROUND(93*1,0)&amp;"%"</f>
      </c>
    </row>
    <row x14ac:dyDescent="0.25" r="259" customHeight="1" ht="17.25">
      <c r="A259" s="20" t="s">
        <v>6736</v>
      </c>
      <c r="B259" s="20" t="s">
        <v>424</v>
      </c>
      <c r="C259" s="20" t="s">
        <v>15</v>
      </c>
      <c r="D259" s="20" t="s">
        <v>22</v>
      </c>
      <c r="E259" s="21">
        <f>ROUND(10733*1.05,2)</f>
      </c>
      <c r="F259" s="20" t="s">
        <v>23</v>
      </c>
      <c r="G259" s="20" t="s">
        <v>24</v>
      </c>
      <c r="H259" s="21">
        <f>ROUND(RAND()*4+6,1)</f>
      </c>
      <c r="I259" s="20" t="s">
        <v>25</v>
      </c>
      <c r="J259" s="23">
        <f>ROUND(60*1,0)&amp;"%"</f>
      </c>
    </row>
    <row x14ac:dyDescent="0.25" r="260" customHeight="1" ht="17.25">
      <c r="A260" s="17" t="s">
        <v>6737</v>
      </c>
      <c r="B260" s="17" t="s">
        <v>426</v>
      </c>
      <c r="C260" s="17" t="s">
        <v>15</v>
      </c>
      <c r="D260" s="17" t="s">
        <v>28</v>
      </c>
      <c r="E260" s="18">
        <f>ROUND(16272*1.05,2)</f>
      </c>
      <c r="F260" s="17" t="s">
        <v>29</v>
      </c>
      <c r="G260" s="17" t="s">
        <v>30</v>
      </c>
      <c r="H260" s="18">
        <f>ROUND(RAND()*4+6,1)</f>
      </c>
      <c r="I260" s="17" t="s">
        <v>31</v>
      </c>
      <c r="J260" s="19">
        <f>ROUND(76*1,0)&amp;"%"</f>
      </c>
    </row>
    <row x14ac:dyDescent="0.25" r="261" customHeight="1" ht="17.25">
      <c r="A261" s="20" t="s">
        <v>6738</v>
      </c>
      <c r="B261" s="20" t="s">
        <v>428</v>
      </c>
      <c r="C261" s="20" t="s">
        <v>15</v>
      </c>
      <c r="D261" s="20" t="s">
        <v>34</v>
      </c>
      <c r="E261" s="21">
        <f>ROUND(8473*1.05,2)</f>
      </c>
      <c r="F261" s="20" t="s">
        <v>35</v>
      </c>
      <c r="G261" s="20" t="s">
        <v>18</v>
      </c>
      <c r="H261" s="21">
        <f>ROUND(RAND()*4+6,1)</f>
      </c>
      <c r="I261" s="20" t="s">
        <v>36</v>
      </c>
      <c r="J261" s="23">
        <f>ROUND(60*1,0)&amp;"%"</f>
      </c>
    </row>
    <row x14ac:dyDescent="0.25" r="262" customHeight="1" ht="17.25">
      <c r="A262" s="17" t="s">
        <v>6739</v>
      </c>
      <c r="B262" s="17" t="s">
        <v>430</v>
      </c>
      <c r="C262" s="17" t="s">
        <v>15</v>
      </c>
      <c r="D262" s="17" t="s">
        <v>39</v>
      </c>
      <c r="E262" s="18">
        <f>ROUND(8786*1.05,2)</f>
      </c>
      <c r="F262" s="17" t="s">
        <v>40</v>
      </c>
      <c r="G262" s="17" t="s">
        <v>24</v>
      </c>
      <c r="H262" s="18">
        <f>ROUND(RAND()*4+6,1)</f>
      </c>
      <c r="I262" s="17" t="s">
        <v>41</v>
      </c>
      <c r="J262" s="19">
        <f>ROUND(63*1,0)&amp;"%"</f>
      </c>
    </row>
    <row x14ac:dyDescent="0.25" r="263" customHeight="1" ht="17.25">
      <c r="A263" s="20" t="s">
        <v>6740</v>
      </c>
      <c r="B263" s="20" t="s">
        <v>432</v>
      </c>
      <c r="C263" s="20" t="s">
        <v>15</v>
      </c>
      <c r="D263" s="20" t="s">
        <v>67</v>
      </c>
      <c r="E263" s="21">
        <f>ROUND(10304*1.05,2)</f>
      </c>
      <c r="F263" s="20" t="s">
        <v>44</v>
      </c>
      <c r="G263" s="20" t="s">
        <v>30</v>
      </c>
      <c r="H263" s="22">
        <f>ROUND(RAND()*4+6,1)</f>
      </c>
      <c r="I263" s="20" t="s">
        <v>45</v>
      </c>
      <c r="J263" s="23">
        <f>ROUND(81*1,0)&amp;"%"</f>
      </c>
    </row>
    <row x14ac:dyDescent="0.25" r="264" customHeight="1" ht="17.25">
      <c r="A264" s="17" t="s">
        <v>6741</v>
      </c>
      <c r="B264" s="17" t="s">
        <v>434</v>
      </c>
      <c r="C264" s="17" t="s">
        <v>15</v>
      </c>
      <c r="D264" s="17" t="s">
        <v>16</v>
      </c>
      <c r="E264" s="18">
        <f>ROUND(10051*1.05,2)</f>
      </c>
      <c r="F264" s="17" t="s">
        <v>48</v>
      </c>
      <c r="G264" s="17" t="s">
        <v>18</v>
      </c>
      <c r="H264" s="18">
        <f>ROUND(RAND()*4+6,1)</f>
      </c>
      <c r="I264" s="17" t="s">
        <v>19</v>
      </c>
      <c r="J264" s="19">
        <f>ROUND(92*1,0)&amp;"%"</f>
      </c>
    </row>
    <row x14ac:dyDescent="0.25" r="265" customHeight="1" ht="17.25">
      <c r="A265" s="20" t="s">
        <v>6742</v>
      </c>
      <c r="B265" s="20" t="s">
        <v>436</v>
      </c>
      <c r="C265" s="20" t="s">
        <v>15</v>
      </c>
      <c r="D265" s="20" t="s">
        <v>22</v>
      </c>
      <c r="E265" s="21">
        <f>ROUND(7327*1.05,2)</f>
      </c>
      <c r="F265" s="20" t="s">
        <v>51</v>
      </c>
      <c r="G265" s="20" t="s">
        <v>24</v>
      </c>
      <c r="H265" s="21">
        <f>ROUND(RAND()*4+6,1)</f>
      </c>
      <c r="I265" s="20" t="s">
        <v>25</v>
      </c>
      <c r="J265" s="23">
        <f>ROUND(69*1,0)&amp;"%"</f>
      </c>
    </row>
    <row x14ac:dyDescent="0.25" r="266" customHeight="1" ht="17.25">
      <c r="A266" s="24" t="s">
        <v>437</v>
      </c>
      <c r="B266" s="24"/>
      <c r="C266" s="24"/>
      <c r="D266" s="24"/>
      <c r="E266" s="25">
        <v>8</v>
      </c>
      <c r="F266" s="9"/>
      <c r="G266" s="9"/>
      <c r="H266" s="10"/>
      <c r="I266" s="9"/>
      <c r="J266" s="9"/>
    </row>
    <row x14ac:dyDescent="0.25" r="267" customHeight="1" ht="17.25">
      <c r="A267" s="7"/>
      <c r="B267" s="7"/>
      <c r="C267" s="7"/>
      <c r="D267" s="7"/>
      <c r="E267" s="8"/>
      <c r="F267" s="9"/>
      <c r="G267" s="9"/>
      <c r="H267" s="10"/>
      <c r="I267" s="9"/>
      <c r="J267" s="9"/>
    </row>
    <row x14ac:dyDescent="0.25" r="268" customHeight="1" ht="17.25">
      <c r="A268" s="11" t="s">
        <v>6743</v>
      </c>
      <c r="B268" s="11"/>
      <c r="C268" s="11"/>
      <c r="D268" s="11"/>
      <c r="E268" s="12"/>
      <c r="F268" s="11"/>
      <c r="G268" s="11"/>
      <c r="H268" s="13"/>
      <c r="I268" s="11"/>
      <c r="J268" s="11"/>
    </row>
    <row x14ac:dyDescent="0.25" r="269" customHeight="1" ht="17.25">
      <c r="A269" s="14" t="s">
        <v>3</v>
      </c>
      <c r="B269" s="14" t="s">
        <v>4</v>
      </c>
      <c r="C269" s="14" t="s">
        <v>5</v>
      </c>
      <c r="D269" s="14" t="s">
        <v>6</v>
      </c>
      <c r="E269" s="15" t="s">
        <v>7</v>
      </c>
      <c r="F269" s="14" t="s">
        <v>8</v>
      </c>
      <c r="G269" s="14" t="s">
        <v>9</v>
      </c>
      <c r="H269" s="16" t="s">
        <v>10</v>
      </c>
      <c r="I269" s="14" t="s">
        <v>11</v>
      </c>
      <c r="J269" s="14" t="s">
        <v>12</v>
      </c>
    </row>
    <row x14ac:dyDescent="0.25" r="270" customHeight="1" ht="17.25">
      <c r="A270" s="17" t="s">
        <v>6744</v>
      </c>
      <c r="B270" s="17" t="s">
        <v>440</v>
      </c>
      <c r="C270" s="17" t="s">
        <v>56</v>
      </c>
      <c r="D270" s="17" t="s">
        <v>16</v>
      </c>
      <c r="E270" s="18">
        <f>ROUND(4556*1.05,2)</f>
      </c>
      <c r="F270" s="17" t="s">
        <v>17</v>
      </c>
      <c r="G270" s="17" t="s">
        <v>18</v>
      </c>
      <c r="H270" s="18">
        <f>ROUND(RAND()*4+6,1)</f>
      </c>
      <c r="I270" s="17" t="s">
        <v>19</v>
      </c>
      <c r="J270" s="19">
        <f>ROUND(93*1,0)&amp;"%"</f>
      </c>
    </row>
    <row x14ac:dyDescent="0.25" r="271" customHeight="1" ht="17.25">
      <c r="A271" s="20" t="s">
        <v>6745</v>
      </c>
      <c r="B271" s="20" t="s">
        <v>442</v>
      </c>
      <c r="C271" s="20" t="s">
        <v>56</v>
      </c>
      <c r="D271" s="20" t="s">
        <v>22</v>
      </c>
      <c r="E271" s="22">
        <f>ROUND(15520*1.05,2)</f>
      </c>
      <c r="F271" s="20" t="s">
        <v>23</v>
      </c>
      <c r="G271" s="20" t="s">
        <v>24</v>
      </c>
      <c r="H271" s="21">
        <f>ROUND(RAND()*4+6,1)</f>
      </c>
      <c r="I271" s="20" t="s">
        <v>25</v>
      </c>
      <c r="J271" s="23">
        <f>ROUND(94*1,0)&amp;"%"</f>
      </c>
    </row>
    <row x14ac:dyDescent="0.25" r="272" customHeight="1" ht="17.25">
      <c r="A272" s="17" t="s">
        <v>6746</v>
      </c>
      <c r="B272" s="17" t="s">
        <v>444</v>
      </c>
      <c r="C272" s="17" t="s">
        <v>56</v>
      </c>
      <c r="D272" s="17" t="s">
        <v>28</v>
      </c>
      <c r="E272" s="18">
        <f>ROUND(13810*1.05,2)</f>
      </c>
      <c r="F272" s="17" t="s">
        <v>29</v>
      </c>
      <c r="G272" s="17" t="s">
        <v>30</v>
      </c>
      <c r="H272" s="26">
        <f>ROUND(RAND()*4+6,1)</f>
      </c>
      <c r="I272" s="17" t="s">
        <v>31</v>
      </c>
      <c r="J272" s="19">
        <f>ROUND(61*1,0)&amp;"%"</f>
      </c>
    </row>
    <row x14ac:dyDescent="0.25" r="273" customHeight="1" ht="17.25">
      <c r="A273" s="20" t="s">
        <v>6747</v>
      </c>
      <c r="B273" s="20" t="s">
        <v>446</v>
      </c>
      <c r="C273" s="20" t="s">
        <v>56</v>
      </c>
      <c r="D273" s="20" t="s">
        <v>34</v>
      </c>
      <c r="E273" s="21">
        <f>ROUND(7828*1.05,2)</f>
      </c>
      <c r="F273" s="20" t="s">
        <v>35</v>
      </c>
      <c r="G273" s="20" t="s">
        <v>18</v>
      </c>
      <c r="H273" s="22">
        <f>ROUND(RAND()*4+6,1)</f>
      </c>
      <c r="I273" s="20" t="s">
        <v>36</v>
      </c>
      <c r="J273" s="23">
        <f>ROUND(86*1,0)&amp;"%"</f>
      </c>
    </row>
    <row x14ac:dyDescent="0.25" r="274" customHeight="1" ht="17.25">
      <c r="A274" s="17" t="s">
        <v>6748</v>
      </c>
      <c r="B274" s="17" t="s">
        <v>448</v>
      </c>
      <c r="C274" s="17" t="s">
        <v>56</v>
      </c>
      <c r="D274" s="17" t="s">
        <v>39</v>
      </c>
      <c r="E274" s="18">
        <f>ROUND(7604*1.05,2)</f>
      </c>
      <c r="F274" s="17" t="s">
        <v>40</v>
      </c>
      <c r="G274" s="17" t="s">
        <v>24</v>
      </c>
      <c r="H274" s="18">
        <f>ROUND(RAND()*4+6,1)</f>
      </c>
      <c r="I274" s="17" t="s">
        <v>41</v>
      </c>
      <c r="J274" s="19">
        <f>ROUND(76*1,0)&amp;"%"</f>
      </c>
    </row>
    <row x14ac:dyDescent="0.25" r="275" customHeight="1" ht="17.25">
      <c r="A275" s="20" t="s">
        <v>6749</v>
      </c>
      <c r="B275" s="20" t="s">
        <v>450</v>
      </c>
      <c r="C275" s="20" t="s">
        <v>56</v>
      </c>
      <c r="D275" s="20" t="s">
        <v>67</v>
      </c>
      <c r="E275" s="22">
        <f>ROUND(13980*1.05,2)</f>
      </c>
      <c r="F275" s="20" t="s">
        <v>44</v>
      </c>
      <c r="G275" s="20" t="s">
        <v>30</v>
      </c>
      <c r="H275" s="21">
        <f>ROUND(RAND()*4+6,1)</f>
      </c>
      <c r="I275" s="20" t="s">
        <v>45</v>
      </c>
      <c r="J275" s="23">
        <f>ROUND(60*1,0)&amp;"%"</f>
      </c>
    </row>
    <row x14ac:dyDescent="0.25" r="276" customHeight="1" ht="17.25">
      <c r="A276" s="17" t="s">
        <v>6750</v>
      </c>
      <c r="B276" s="17" t="s">
        <v>452</v>
      </c>
      <c r="C276" s="17" t="s">
        <v>56</v>
      </c>
      <c r="D276" s="17" t="s">
        <v>16</v>
      </c>
      <c r="E276" s="18">
        <f>ROUND(17430*1.05,2)</f>
      </c>
      <c r="F276" s="17" t="s">
        <v>48</v>
      </c>
      <c r="G276" s="17" t="s">
        <v>18</v>
      </c>
      <c r="H276" s="18">
        <f>ROUND(RAND()*4+6,1)</f>
      </c>
      <c r="I276" s="17" t="s">
        <v>19</v>
      </c>
      <c r="J276" s="19">
        <f>ROUND(91*1,0)&amp;"%"</f>
      </c>
    </row>
    <row x14ac:dyDescent="0.25" r="277" customHeight="1" ht="17.25">
      <c r="A277" s="20" t="s">
        <v>6751</v>
      </c>
      <c r="B277" s="20" t="s">
        <v>454</v>
      </c>
      <c r="C277" s="20" t="s">
        <v>56</v>
      </c>
      <c r="D277" s="20" t="s">
        <v>22</v>
      </c>
      <c r="E277" s="21">
        <f>ROUND(15930*1.05,2)</f>
      </c>
      <c r="F277" s="20" t="s">
        <v>51</v>
      </c>
      <c r="G277" s="20" t="s">
        <v>24</v>
      </c>
      <c r="H277" s="21">
        <f>ROUND(RAND()*4+6,1)</f>
      </c>
      <c r="I277" s="20" t="s">
        <v>25</v>
      </c>
      <c r="J277" s="23">
        <f>ROUND(79*1,0)&amp;"%"</f>
      </c>
    </row>
    <row x14ac:dyDescent="0.25" r="278" customHeight="1" ht="17.25">
      <c r="A278" s="24" t="s">
        <v>455</v>
      </c>
      <c r="B278" s="24"/>
      <c r="C278" s="24"/>
      <c r="D278" s="24"/>
      <c r="E278" s="25">
        <v>8</v>
      </c>
      <c r="F278" s="9"/>
      <c r="G278" s="9"/>
      <c r="H278" s="10"/>
      <c r="I278" s="9"/>
      <c r="J278" s="9"/>
    </row>
    <row x14ac:dyDescent="0.25" r="279" customHeight="1" ht="17.25">
      <c r="A279" s="7"/>
      <c r="B279" s="7"/>
      <c r="C279" s="7"/>
      <c r="D279" s="7"/>
      <c r="E279" s="8"/>
      <c r="F279" s="9"/>
      <c r="G279" s="9"/>
      <c r="H279" s="10"/>
      <c r="I279" s="9"/>
      <c r="J279" s="9"/>
    </row>
    <row x14ac:dyDescent="0.25" r="280" customHeight="1" ht="17.25">
      <c r="A280" s="11" t="s">
        <v>6752</v>
      </c>
      <c r="B280" s="11"/>
      <c r="C280" s="11"/>
      <c r="D280" s="11"/>
      <c r="E280" s="12"/>
      <c r="F280" s="11"/>
      <c r="G280" s="11"/>
      <c r="H280" s="13"/>
      <c r="I280" s="11"/>
      <c r="J280" s="11"/>
    </row>
    <row x14ac:dyDescent="0.25" r="281" customHeight="1" ht="17.25">
      <c r="A281" s="14" t="s">
        <v>3</v>
      </c>
      <c r="B281" s="14" t="s">
        <v>4</v>
      </c>
      <c r="C281" s="14" t="s">
        <v>5</v>
      </c>
      <c r="D281" s="14" t="s">
        <v>6</v>
      </c>
      <c r="E281" s="15" t="s">
        <v>7</v>
      </c>
      <c r="F281" s="14" t="s">
        <v>8</v>
      </c>
      <c r="G281" s="14" t="s">
        <v>9</v>
      </c>
      <c r="H281" s="16" t="s">
        <v>10</v>
      </c>
      <c r="I281" s="14" t="s">
        <v>11</v>
      </c>
      <c r="J281" s="14" t="s">
        <v>12</v>
      </c>
    </row>
    <row x14ac:dyDescent="0.25" r="282" customHeight="1" ht="17.25">
      <c r="A282" s="17" t="s">
        <v>6753</v>
      </c>
      <c r="B282" s="17" t="s">
        <v>458</v>
      </c>
      <c r="C282" s="17" t="s">
        <v>76</v>
      </c>
      <c r="D282" s="17" t="s">
        <v>16</v>
      </c>
      <c r="E282" s="18">
        <f>ROUND(16344*1.05,2)</f>
      </c>
      <c r="F282" s="17" t="s">
        <v>17</v>
      </c>
      <c r="G282" s="17" t="s">
        <v>18</v>
      </c>
      <c r="H282" s="18">
        <f>ROUND(RAND()*4+6,1)</f>
      </c>
      <c r="I282" s="17" t="s">
        <v>19</v>
      </c>
      <c r="J282" s="19">
        <f>ROUND(83*1,0)&amp;"%"</f>
      </c>
    </row>
    <row x14ac:dyDescent="0.25" r="283" customHeight="1" ht="17.25">
      <c r="A283" s="20" t="s">
        <v>6754</v>
      </c>
      <c r="B283" s="20" t="s">
        <v>460</v>
      </c>
      <c r="C283" s="20" t="s">
        <v>76</v>
      </c>
      <c r="D283" s="20" t="s">
        <v>22</v>
      </c>
      <c r="E283" s="21">
        <f>ROUND(6401*1.05,2)</f>
      </c>
      <c r="F283" s="20" t="s">
        <v>23</v>
      </c>
      <c r="G283" s="20" t="s">
        <v>24</v>
      </c>
      <c r="H283" s="21">
        <f>ROUND(RAND()*4+6,1)</f>
      </c>
      <c r="I283" s="20" t="s">
        <v>25</v>
      </c>
      <c r="J283" s="23">
        <f>ROUND(69*1,0)&amp;"%"</f>
      </c>
    </row>
    <row x14ac:dyDescent="0.25" r="284" customHeight="1" ht="17.25">
      <c r="A284" s="17" t="s">
        <v>6755</v>
      </c>
      <c r="B284" s="17" t="s">
        <v>462</v>
      </c>
      <c r="C284" s="17" t="s">
        <v>76</v>
      </c>
      <c r="D284" s="17" t="s">
        <v>28</v>
      </c>
      <c r="E284" s="18">
        <f>ROUND(14361*1.05,2)</f>
      </c>
      <c r="F284" s="17" t="s">
        <v>29</v>
      </c>
      <c r="G284" s="17" t="s">
        <v>30</v>
      </c>
      <c r="H284" s="26">
        <f>ROUND(RAND()*4+6,1)</f>
      </c>
      <c r="I284" s="17" t="s">
        <v>31</v>
      </c>
      <c r="J284" s="19">
        <f>ROUND(96*1,0)&amp;"%"</f>
      </c>
    </row>
    <row x14ac:dyDescent="0.25" r="285" customHeight="1" ht="17.25">
      <c r="A285" s="20" t="s">
        <v>6756</v>
      </c>
      <c r="B285" s="20" t="s">
        <v>464</v>
      </c>
      <c r="C285" s="20" t="s">
        <v>76</v>
      </c>
      <c r="D285" s="20" t="s">
        <v>34</v>
      </c>
      <c r="E285" s="21">
        <f>ROUND(15501*1.05,2)</f>
      </c>
      <c r="F285" s="20" t="s">
        <v>35</v>
      </c>
      <c r="G285" s="20" t="s">
        <v>18</v>
      </c>
      <c r="H285" s="21">
        <f>ROUND(RAND()*4+6,1)</f>
      </c>
      <c r="I285" s="20" t="s">
        <v>36</v>
      </c>
      <c r="J285" s="23">
        <f>ROUND(76*1,0)&amp;"%"</f>
      </c>
    </row>
    <row x14ac:dyDescent="0.25" r="286" customHeight="1" ht="17.25">
      <c r="A286" s="17" t="s">
        <v>6757</v>
      </c>
      <c r="B286" s="17" t="s">
        <v>466</v>
      </c>
      <c r="C286" s="17" t="s">
        <v>76</v>
      </c>
      <c r="D286" s="17" t="s">
        <v>39</v>
      </c>
      <c r="E286" s="26">
        <f>ROUND(7240*1.05,2)</f>
      </c>
      <c r="F286" s="17" t="s">
        <v>40</v>
      </c>
      <c r="G286" s="17" t="s">
        <v>24</v>
      </c>
      <c r="H286" s="18">
        <f>ROUND(RAND()*4+6,1)</f>
      </c>
      <c r="I286" s="17" t="s">
        <v>41</v>
      </c>
      <c r="J286" s="19">
        <f>ROUND(80*1,0)&amp;"%"</f>
      </c>
    </row>
    <row x14ac:dyDescent="0.25" r="287" customHeight="1" ht="17.25">
      <c r="A287" s="20" t="s">
        <v>6758</v>
      </c>
      <c r="B287" s="20" t="s">
        <v>468</v>
      </c>
      <c r="C287" s="20" t="s">
        <v>76</v>
      </c>
      <c r="D287" s="20" t="s">
        <v>67</v>
      </c>
      <c r="E287" s="21">
        <f>ROUND(17659*1.05,2)</f>
      </c>
      <c r="F287" s="20" t="s">
        <v>44</v>
      </c>
      <c r="G287" s="20" t="s">
        <v>30</v>
      </c>
      <c r="H287" s="21">
        <f>ROUND(RAND()*4+6,1)</f>
      </c>
      <c r="I287" s="20" t="s">
        <v>45</v>
      </c>
      <c r="J287" s="23">
        <f>ROUND(96*1,0)&amp;"%"</f>
      </c>
    </row>
    <row x14ac:dyDescent="0.25" r="288" customHeight="1" ht="17.25">
      <c r="A288" s="17" t="s">
        <v>6759</v>
      </c>
      <c r="B288" s="17" t="s">
        <v>470</v>
      </c>
      <c r="C288" s="17" t="s">
        <v>76</v>
      </c>
      <c r="D288" s="17" t="s">
        <v>16</v>
      </c>
      <c r="E288" s="18">
        <f>ROUND(6437*1.05,2)</f>
      </c>
      <c r="F288" s="17" t="s">
        <v>48</v>
      </c>
      <c r="G288" s="17" t="s">
        <v>18</v>
      </c>
      <c r="H288" s="18">
        <f>ROUND(RAND()*4+6,1)</f>
      </c>
      <c r="I288" s="17" t="s">
        <v>19</v>
      </c>
      <c r="J288" s="19">
        <f>ROUND(89*1,0)&amp;"%"</f>
      </c>
    </row>
    <row x14ac:dyDescent="0.25" r="289" customHeight="1" ht="17.25">
      <c r="A289" s="20" t="s">
        <v>6760</v>
      </c>
      <c r="B289" s="20" t="s">
        <v>472</v>
      </c>
      <c r="C289" s="20" t="s">
        <v>76</v>
      </c>
      <c r="D289" s="20" t="s">
        <v>22</v>
      </c>
      <c r="E289" s="21">
        <f>ROUND(13853*1.05,2)</f>
      </c>
      <c r="F289" s="20" t="s">
        <v>51</v>
      </c>
      <c r="G289" s="20" t="s">
        <v>24</v>
      </c>
      <c r="H289" s="21">
        <f>ROUND(RAND()*4+6,1)</f>
      </c>
      <c r="I289" s="20" t="s">
        <v>25</v>
      </c>
      <c r="J289" s="23">
        <f>ROUND(64*1,0)&amp;"%"</f>
      </c>
    </row>
    <row x14ac:dyDescent="0.25" r="290" customHeight="1" ht="17.25">
      <c r="A290" s="24" t="s">
        <v>473</v>
      </c>
      <c r="B290" s="24"/>
      <c r="C290" s="24"/>
      <c r="D290" s="24"/>
      <c r="E290" s="25">
        <v>8</v>
      </c>
      <c r="F290" s="9"/>
      <c r="G290" s="9"/>
      <c r="H290" s="10"/>
      <c r="I290" s="9"/>
      <c r="J290" s="9"/>
    </row>
    <row x14ac:dyDescent="0.25" r="291" customHeight="1" ht="17.25">
      <c r="A291" s="7"/>
      <c r="B291" s="7"/>
      <c r="C291" s="7"/>
      <c r="D291" s="7"/>
      <c r="E291" s="8"/>
      <c r="F291" s="9"/>
      <c r="G291" s="9"/>
      <c r="H291" s="10"/>
      <c r="I291" s="9"/>
      <c r="J291" s="9"/>
    </row>
    <row x14ac:dyDescent="0.25" r="292" customHeight="1" ht="17.25">
      <c r="A292" s="11" t="s">
        <v>6761</v>
      </c>
      <c r="B292" s="11"/>
      <c r="C292" s="11"/>
      <c r="D292" s="11"/>
      <c r="E292" s="12"/>
      <c r="F292" s="11"/>
      <c r="G292" s="11"/>
      <c r="H292" s="13"/>
      <c r="I292" s="11"/>
      <c r="J292" s="11"/>
    </row>
    <row x14ac:dyDescent="0.25" r="293" customHeight="1" ht="17.25">
      <c r="A293" s="14" t="s">
        <v>3</v>
      </c>
      <c r="B293" s="14" t="s">
        <v>4</v>
      </c>
      <c r="C293" s="14" t="s">
        <v>5</v>
      </c>
      <c r="D293" s="14" t="s">
        <v>6</v>
      </c>
      <c r="E293" s="15" t="s">
        <v>7</v>
      </c>
      <c r="F293" s="14" t="s">
        <v>8</v>
      </c>
      <c r="G293" s="14" t="s">
        <v>9</v>
      </c>
      <c r="H293" s="16" t="s">
        <v>10</v>
      </c>
      <c r="I293" s="14" t="s">
        <v>11</v>
      </c>
      <c r="J293" s="14" t="s">
        <v>12</v>
      </c>
    </row>
    <row x14ac:dyDescent="0.25" r="294" customHeight="1" ht="17.25">
      <c r="A294" s="17" t="s">
        <v>6762</v>
      </c>
      <c r="B294" s="17" t="s">
        <v>476</v>
      </c>
      <c r="C294" s="17" t="s">
        <v>95</v>
      </c>
      <c r="D294" s="17" t="s">
        <v>16</v>
      </c>
      <c r="E294" s="18">
        <f>ROUND(4148*1.05,2)</f>
      </c>
      <c r="F294" s="17" t="s">
        <v>17</v>
      </c>
      <c r="G294" s="17" t="s">
        <v>18</v>
      </c>
      <c r="H294" s="18">
        <f>ROUND(RAND()*4+6,1)</f>
      </c>
      <c r="I294" s="17" t="s">
        <v>19</v>
      </c>
      <c r="J294" s="19">
        <f>ROUND(80*1,0)&amp;"%"</f>
      </c>
    </row>
    <row x14ac:dyDescent="0.25" r="295" customHeight="1" ht="17.25">
      <c r="A295" s="20" t="s">
        <v>6763</v>
      </c>
      <c r="B295" s="20" t="s">
        <v>478</v>
      </c>
      <c r="C295" s="20" t="s">
        <v>95</v>
      </c>
      <c r="D295" s="20" t="s">
        <v>22</v>
      </c>
      <c r="E295" s="21">
        <f>ROUND(9927*1.05,2)</f>
      </c>
      <c r="F295" s="20" t="s">
        <v>23</v>
      </c>
      <c r="G295" s="20" t="s">
        <v>24</v>
      </c>
      <c r="H295" s="21">
        <f>ROUND(RAND()*4+6,1)</f>
      </c>
      <c r="I295" s="20" t="s">
        <v>25</v>
      </c>
      <c r="J295" s="23">
        <f>ROUND(97*1,0)&amp;"%"</f>
      </c>
    </row>
    <row x14ac:dyDescent="0.25" r="296" customHeight="1" ht="17.25">
      <c r="A296" s="17" t="s">
        <v>6764</v>
      </c>
      <c r="B296" s="17" t="s">
        <v>480</v>
      </c>
      <c r="C296" s="17" t="s">
        <v>95</v>
      </c>
      <c r="D296" s="17" t="s">
        <v>28</v>
      </c>
      <c r="E296" s="18">
        <f>ROUND(15861*1.05,2)</f>
      </c>
      <c r="F296" s="17" t="s">
        <v>29</v>
      </c>
      <c r="G296" s="17" t="s">
        <v>30</v>
      </c>
      <c r="H296" s="18">
        <f>ROUND(RAND()*4+6,1)</f>
      </c>
      <c r="I296" s="17" t="s">
        <v>31</v>
      </c>
      <c r="J296" s="19">
        <f>ROUND(82*1,0)&amp;"%"</f>
      </c>
    </row>
    <row x14ac:dyDescent="0.25" r="297" customHeight="1" ht="17.25">
      <c r="A297" s="20" t="s">
        <v>6765</v>
      </c>
      <c r="B297" s="20" t="s">
        <v>482</v>
      </c>
      <c r="C297" s="20" t="s">
        <v>95</v>
      </c>
      <c r="D297" s="20" t="s">
        <v>34</v>
      </c>
      <c r="E297" s="21">
        <f>ROUND(7967*1.05,2)</f>
      </c>
      <c r="F297" s="20" t="s">
        <v>35</v>
      </c>
      <c r="G297" s="20" t="s">
        <v>18</v>
      </c>
      <c r="H297" s="21">
        <f>ROUND(RAND()*4+6,1)</f>
      </c>
      <c r="I297" s="20" t="s">
        <v>36</v>
      </c>
      <c r="J297" s="23">
        <f>ROUND(62*1,0)&amp;"%"</f>
      </c>
    </row>
    <row x14ac:dyDescent="0.25" r="298" customHeight="1" ht="17.25">
      <c r="A298" s="17" t="s">
        <v>6766</v>
      </c>
      <c r="B298" s="17" t="s">
        <v>484</v>
      </c>
      <c r="C298" s="17" t="s">
        <v>95</v>
      </c>
      <c r="D298" s="17" t="s">
        <v>39</v>
      </c>
      <c r="E298" s="18">
        <f>ROUND(8236*1.05,2)</f>
      </c>
      <c r="F298" s="17" t="s">
        <v>40</v>
      </c>
      <c r="G298" s="17" t="s">
        <v>24</v>
      </c>
      <c r="H298" s="18">
        <f>ROUND(RAND()*4+6,1)</f>
      </c>
      <c r="I298" s="17" t="s">
        <v>41</v>
      </c>
      <c r="J298" s="19">
        <f>ROUND(61*1,0)&amp;"%"</f>
      </c>
    </row>
    <row x14ac:dyDescent="0.25" r="299" customHeight="1" ht="17.25">
      <c r="A299" s="20" t="s">
        <v>6767</v>
      </c>
      <c r="B299" s="20" t="s">
        <v>486</v>
      </c>
      <c r="C299" s="20" t="s">
        <v>95</v>
      </c>
      <c r="D299" s="20" t="s">
        <v>67</v>
      </c>
      <c r="E299" s="21">
        <f>ROUND(7821*1.05,2)</f>
      </c>
      <c r="F299" s="20" t="s">
        <v>44</v>
      </c>
      <c r="G299" s="20" t="s">
        <v>30</v>
      </c>
      <c r="H299" s="21">
        <f>ROUND(RAND()*4+6,1)</f>
      </c>
      <c r="I299" s="20" t="s">
        <v>45</v>
      </c>
      <c r="J299" s="23">
        <f>ROUND(64*1,0)&amp;"%"</f>
      </c>
    </row>
    <row x14ac:dyDescent="0.25" r="300" customHeight="1" ht="17.25">
      <c r="A300" s="17" t="s">
        <v>6768</v>
      </c>
      <c r="B300" s="17" t="s">
        <v>488</v>
      </c>
      <c r="C300" s="17" t="s">
        <v>95</v>
      </c>
      <c r="D300" s="17" t="s">
        <v>16</v>
      </c>
      <c r="E300" s="18">
        <f>ROUND(17065*1.05,2)</f>
      </c>
      <c r="F300" s="17" t="s">
        <v>48</v>
      </c>
      <c r="G300" s="17" t="s">
        <v>18</v>
      </c>
      <c r="H300" s="18">
        <f>ROUND(RAND()*4+6,1)</f>
      </c>
      <c r="I300" s="17" t="s">
        <v>19</v>
      </c>
      <c r="J300" s="19">
        <f>ROUND(86*1,0)&amp;"%"</f>
      </c>
    </row>
    <row x14ac:dyDescent="0.25" r="301" customHeight="1" ht="17.25">
      <c r="A301" s="20" t="s">
        <v>6769</v>
      </c>
      <c r="B301" s="20" t="s">
        <v>490</v>
      </c>
      <c r="C301" s="20" t="s">
        <v>95</v>
      </c>
      <c r="D301" s="20" t="s">
        <v>22</v>
      </c>
      <c r="E301" s="21">
        <f>ROUND(16813*1.05,2)</f>
      </c>
      <c r="F301" s="20" t="s">
        <v>51</v>
      </c>
      <c r="G301" s="20" t="s">
        <v>24</v>
      </c>
      <c r="H301" s="21">
        <f>ROUND(RAND()*4+6,1)</f>
      </c>
      <c r="I301" s="20" t="s">
        <v>25</v>
      </c>
      <c r="J301" s="23">
        <f>ROUND(64*1,0)&amp;"%"</f>
      </c>
    </row>
    <row x14ac:dyDescent="0.25" r="302" customHeight="1" ht="17.25">
      <c r="A302" s="24" t="s">
        <v>491</v>
      </c>
      <c r="B302" s="24"/>
      <c r="C302" s="24"/>
      <c r="D302" s="24"/>
      <c r="E302" s="25">
        <v>8</v>
      </c>
      <c r="F302" s="9"/>
      <c r="G302" s="9"/>
      <c r="H302" s="10"/>
      <c r="I302" s="9"/>
      <c r="J302" s="9"/>
    </row>
    <row x14ac:dyDescent="0.25" r="303" customHeight="1" ht="17.25">
      <c r="A303" s="7"/>
      <c r="B303" s="7"/>
      <c r="C303" s="7"/>
      <c r="D303" s="7"/>
      <c r="E303" s="8"/>
      <c r="F303" s="9"/>
      <c r="G303" s="9"/>
      <c r="H303" s="10"/>
      <c r="I303" s="9"/>
      <c r="J303" s="9"/>
    </row>
    <row x14ac:dyDescent="0.25" r="304" customHeight="1" ht="17.25">
      <c r="A304" s="11" t="s">
        <v>6770</v>
      </c>
      <c r="B304" s="11"/>
      <c r="C304" s="11"/>
      <c r="D304" s="11"/>
      <c r="E304" s="12"/>
      <c r="F304" s="11"/>
      <c r="G304" s="11"/>
      <c r="H304" s="13"/>
      <c r="I304" s="11"/>
      <c r="J304" s="11"/>
    </row>
    <row x14ac:dyDescent="0.25" r="305" customHeight="1" ht="17.25">
      <c r="A305" s="14" t="s">
        <v>3</v>
      </c>
      <c r="B305" s="14" t="s">
        <v>4</v>
      </c>
      <c r="C305" s="14" t="s">
        <v>5</v>
      </c>
      <c r="D305" s="14" t="s">
        <v>6</v>
      </c>
      <c r="E305" s="15" t="s">
        <v>7</v>
      </c>
      <c r="F305" s="14" t="s">
        <v>8</v>
      </c>
      <c r="G305" s="14" t="s">
        <v>9</v>
      </c>
      <c r="H305" s="16" t="s">
        <v>10</v>
      </c>
      <c r="I305" s="14" t="s">
        <v>11</v>
      </c>
      <c r="J305" s="14" t="s">
        <v>12</v>
      </c>
    </row>
    <row x14ac:dyDescent="0.25" r="306" customHeight="1" ht="17.25">
      <c r="A306" s="17" t="s">
        <v>6771</v>
      </c>
      <c r="B306" s="17" t="s">
        <v>494</v>
      </c>
      <c r="C306" s="17" t="s">
        <v>114</v>
      </c>
      <c r="D306" s="17" t="s">
        <v>16</v>
      </c>
      <c r="E306" s="18">
        <f>ROUND(4644*1.05,2)</f>
      </c>
      <c r="F306" s="17" t="s">
        <v>17</v>
      </c>
      <c r="G306" s="17" t="s">
        <v>18</v>
      </c>
      <c r="H306" s="18">
        <f>ROUND(RAND()*4+6,1)</f>
      </c>
      <c r="I306" s="17" t="s">
        <v>19</v>
      </c>
      <c r="J306" s="19">
        <f>ROUND(79*1,0)&amp;"%"</f>
      </c>
    </row>
    <row x14ac:dyDescent="0.25" r="307" customHeight="1" ht="17.25">
      <c r="A307" s="20" t="s">
        <v>6772</v>
      </c>
      <c r="B307" s="20" t="s">
        <v>496</v>
      </c>
      <c r="C307" s="20" t="s">
        <v>114</v>
      </c>
      <c r="D307" s="20" t="s">
        <v>22</v>
      </c>
      <c r="E307" s="21">
        <f>ROUND(16401*1.05,2)</f>
      </c>
      <c r="F307" s="20" t="s">
        <v>23</v>
      </c>
      <c r="G307" s="20" t="s">
        <v>24</v>
      </c>
      <c r="H307" s="21">
        <f>ROUND(RAND()*4+6,1)</f>
      </c>
      <c r="I307" s="20" t="s">
        <v>25</v>
      </c>
      <c r="J307" s="23">
        <f>ROUND(95*1,0)&amp;"%"</f>
      </c>
    </row>
    <row x14ac:dyDescent="0.25" r="308" customHeight="1" ht="17.25">
      <c r="A308" s="17" t="s">
        <v>6773</v>
      </c>
      <c r="B308" s="17" t="s">
        <v>498</v>
      </c>
      <c r="C308" s="17" t="s">
        <v>114</v>
      </c>
      <c r="D308" s="17" t="s">
        <v>28</v>
      </c>
      <c r="E308" s="18">
        <f>ROUND(14217*1.05,2)</f>
      </c>
      <c r="F308" s="17" t="s">
        <v>29</v>
      </c>
      <c r="G308" s="17" t="s">
        <v>30</v>
      </c>
      <c r="H308" s="18">
        <f>ROUND(RAND()*4+6,1)</f>
      </c>
      <c r="I308" s="17" t="s">
        <v>31</v>
      </c>
      <c r="J308" s="19">
        <f>ROUND(97*1,0)&amp;"%"</f>
      </c>
    </row>
    <row x14ac:dyDescent="0.25" r="309" customHeight="1" ht="17.25">
      <c r="A309" s="20" t="s">
        <v>6774</v>
      </c>
      <c r="B309" s="20" t="s">
        <v>500</v>
      </c>
      <c r="C309" s="20" t="s">
        <v>114</v>
      </c>
      <c r="D309" s="20" t="s">
        <v>34</v>
      </c>
      <c r="E309" s="21">
        <f>ROUND(17547*1.05,2)</f>
      </c>
      <c r="F309" s="20" t="s">
        <v>35</v>
      </c>
      <c r="G309" s="20" t="s">
        <v>18</v>
      </c>
      <c r="H309" s="21">
        <f>ROUND(RAND()*4+6,1)</f>
      </c>
      <c r="I309" s="20" t="s">
        <v>36</v>
      </c>
      <c r="J309" s="23">
        <f>ROUND(78*1,0)&amp;"%"</f>
      </c>
    </row>
    <row x14ac:dyDescent="0.25" r="310" customHeight="1" ht="17.25">
      <c r="A310" s="17" t="s">
        <v>6775</v>
      </c>
      <c r="B310" s="17" t="s">
        <v>502</v>
      </c>
      <c r="C310" s="17" t="s">
        <v>114</v>
      </c>
      <c r="D310" s="17" t="s">
        <v>39</v>
      </c>
      <c r="E310" s="18">
        <f>ROUND(17062*1.05,2)</f>
      </c>
      <c r="F310" s="17" t="s">
        <v>40</v>
      </c>
      <c r="G310" s="17" t="s">
        <v>24</v>
      </c>
      <c r="H310" s="18">
        <f>ROUND(RAND()*4+6,1)</f>
      </c>
      <c r="I310" s="17" t="s">
        <v>41</v>
      </c>
      <c r="J310" s="19">
        <f>ROUND(72*1,0)&amp;"%"</f>
      </c>
    </row>
    <row x14ac:dyDescent="0.25" r="311" customHeight="1" ht="17.25">
      <c r="A311" s="20" t="s">
        <v>6776</v>
      </c>
      <c r="B311" s="20" t="s">
        <v>504</v>
      </c>
      <c r="C311" s="20" t="s">
        <v>114</v>
      </c>
      <c r="D311" s="20" t="s">
        <v>67</v>
      </c>
      <c r="E311" s="21">
        <f>ROUND(16152*1.05,2)</f>
      </c>
      <c r="F311" s="20" t="s">
        <v>44</v>
      </c>
      <c r="G311" s="20" t="s">
        <v>30</v>
      </c>
      <c r="H311" s="21">
        <f>ROUND(RAND()*4+6,1)</f>
      </c>
      <c r="I311" s="20" t="s">
        <v>45</v>
      </c>
      <c r="J311" s="23">
        <f>ROUND(85*1,0)&amp;"%"</f>
      </c>
    </row>
    <row x14ac:dyDescent="0.25" r="312" customHeight="1" ht="17.25">
      <c r="A312" s="17" t="s">
        <v>6777</v>
      </c>
      <c r="B312" s="17" t="s">
        <v>506</v>
      </c>
      <c r="C312" s="17" t="s">
        <v>114</v>
      </c>
      <c r="D312" s="17" t="s">
        <v>16</v>
      </c>
      <c r="E312" s="18">
        <f>ROUND(16231*1.05,2)</f>
      </c>
      <c r="F312" s="17" t="s">
        <v>48</v>
      </c>
      <c r="G312" s="17" t="s">
        <v>18</v>
      </c>
      <c r="H312" s="18">
        <f>ROUND(RAND()*4+6,1)</f>
      </c>
      <c r="I312" s="17" t="s">
        <v>19</v>
      </c>
      <c r="J312" s="19">
        <f>ROUND(98*1,0)&amp;"%"</f>
      </c>
    </row>
    <row x14ac:dyDescent="0.25" r="313" customHeight="1" ht="17.25">
      <c r="A313" s="20" t="s">
        <v>6778</v>
      </c>
      <c r="B313" s="20" t="s">
        <v>508</v>
      </c>
      <c r="C313" s="20" t="s">
        <v>114</v>
      </c>
      <c r="D313" s="20" t="s">
        <v>22</v>
      </c>
      <c r="E313" s="21">
        <f>ROUND(5029*1.05,2)</f>
      </c>
      <c r="F313" s="20" t="s">
        <v>51</v>
      </c>
      <c r="G313" s="20" t="s">
        <v>24</v>
      </c>
      <c r="H313" s="21">
        <f>ROUND(RAND()*4+6,1)</f>
      </c>
      <c r="I313" s="20" t="s">
        <v>25</v>
      </c>
      <c r="J313" s="23">
        <f>ROUND(83*1,0)&amp;"%"</f>
      </c>
    </row>
    <row x14ac:dyDescent="0.25" r="314" customHeight="1" ht="17.25">
      <c r="A314" s="24" t="s">
        <v>509</v>
      </c>
      <c r="B314" s="24"/>
      <c r="C314" s="24"/>
      <c r="D314" s="24"/>
      <c r="E314" s="25">
        <v>8</v>
      </c>
      <c r="F314" s="9"/>
      <c r="G314" s="9"/>
      <c r="H314" s="10"/>
      <c r="I314" s="9"/>
      <c r="J314" s="9"/>
    </row>
    <row x14ac:dyDescent="0.25" r="315" customHeight="1" ht="17.25">
      <c r="A315" s="7"/>
      <c r="B315" s="7"/>
      <c r="C315" s="7"/>
      <c r="D315" s="7"/>
      <c r="E315" s="8"/>
      <c r="F315" s="9"/>
      <c r="G315" s="9"/>
      <c r="H315" s="10"/>
      <c r="I315" s="9"/>
      <c r="J315" s="9"/>
    </row>
    <row x14ac:dyDescent="0.25" r="316" customHeight="1" ht="17.25">
      <c r="A316" s="11" t="s">
        <v>6779</v>
      </c>
      <c r="B316" s="11"/>
      <c r="C316" s="11"/>
      <c r="D316" s="11"/>
      <c r="E316" s="12"/>
      <c r="F316" s="11"/>
      <c r="G316" s="11"/>
      <c r="H316" s="13"/>
      <c r="I316" s="11"/>
      <c r="J316" s="11"/>
    </row>
    <row x14ac:dyDescent="0.25" r="317" customHeight="1" ht="17.25">
      <c r="A317" s="14" t="s">
        <v>3</v>
      </c>
      <c r="B317" s="14" t="s">
        <v>4</v>
      </c>
      <c r="C317" s="14" t="s">
        <v>5</v>
      </c>
      <c r="D317" s="14" t="s">
        <v>6</v>
      </c>
      <c r="E317" s="15" t="s">
        <v>7</v>
      </c>
      <c r="F317" s="14" t="s">
        <v>8</v>
      </c>
      <c r="G317" s="14" t="s">
        <v>9</v>
      </c>
      <c r="H317" s="16" t="s">
        <v>10</v>
      </c>
      <c r="I317" s="14" t="s">
        <v>11</v>
      </c>
      <c r="J317" s="14" t="s">
        <v>12</v>
      </c>
    </row>
    <row x14ac:dyDescent="0.25" r="318" customHeight="1" ht="17.25">
      <c r="A318" s="17" t="s">
        <v>6780</v>
      </c>
      <c r="B318" s="17" t="s">
        <v>512</v>
      </c>
      <c r="C318" s="17" t="s">
        <v>133</v>
      </c>
      <c r="D318" s="17" t="s">
        <v>16</v>
      </c>
      <c r="E318" s="26">
        <f>ROUND(7140*1.05,2)</f>
      </c>
      <c r="F318" s="17" t="s">
        <v>17</v>
      </c>
      <c r="G318" s="17" t="s">
        <v>18</v>
      </c>
      <c r="H318" s="18">
        <f>ROUND(RAND()*4+6,1)</f>
      </c>
      <c r="I318" s="17" t="s">
        <v>19</v>
      </c>
      <c r="J318" s="19">
        <f>ROUND(84*1,0)&amp;"%"</f>
      </c>
    </row>
    <row x14ac:dyDescent="0.25" r="319" customHeight="1" ht="17.25">
      <c r="A319" s="20" t="s">
        <v>6781</v>
      </c>
      <c r="B319" s="20" t="s">
        <v>514</v>
      </c>
      <c r="C319" s="20" t="s">
        <v>133</v>
      </c>
      <c r="D319" s="20" t="s">
        <v>22</v>
      </c>
      <c r="E319" s="21">
        <f>ROUND(13882*1.05,2)</f>
      </c>
      <c r="F319" s="20" t="s">
        <v>23</v>
      </c>
      <c r="G319" s="20" t="s">
        <v>24</v>
      </c>
      <c r="H319" s="21">
        <f>ROUND(RAND()*4+6,1)</f>
      </c>
      <c r="I319" s="20" t="s">
        <v>25</v>
      </c>
      <c r="J319" s="23">
        <f>ROUND(88*1,0)&amp;"%"</f>
      </c>
    </row>
    <row x14ac:dyDescent="0.25" r="320" customHeight="1" ht="17.25">
      <c r="A320" s="17" t="s">
        <v>6782</v>
      </c>
      <c r="B320" s="17" t="s">
        <v>516</v>
      </c>
      <c r="C320" s="17" t="s">
        <v>133</v>
      </c>
      <c r="D320" s="17" t="s">
        <v>28</v>
      </c>
      <c r="E320" s="18">
        <f>ROUND(12375*1.05,2)</f>
      </c>
      <c r="F320" s="17" t="s">
        <v>29</v>
      </c>
      <c r="G320" s="17" t="s">
        <v>30</v>
      </c>
      <c r="H320" s="18">
        <f>ROUND(RAND()*4+6,1)</f>
      </c>
      <c r="I320" s="17" t="s">
        <v>31</v>
      </c>
      <c r="J320" s="19">
        <f>ROUND(69*1,0)&amp;"%"</f>
      </c>
    </row>
    <row x14ac:dyDescent="0.25" r="321" customHeight="1" ht="17.25">
      <c r="A321" s="20" t="s">
        <v>6783</v>
      </c>
      <c r="B321" s="20" t="s">
        <v>518</v>
      </c>
      <c r="C321" s="20" t="s">
        <v>133</v>
      </c>
      <c r="D321" s="20" t="s">
        <v>34</v>
      </c>
      <c r="E321" s="21">
        <f>ROUND(7121*1.05,2)</f>
      </c>
      <c r="F321" s="20" t="s">
        <v>35</v>
      </c>
      <c r="G321" s="20" t="s">
        <v>18</v>
      </c>
      <c r="H321" s="21">
        <f>ROUND(RAND()*4+6,1)</f>
      </c>
      <c r="I321" s="20" t="s">
        <v>36</v>
      </c>
      <c r="J321" s="23">
        <f>ROUND(77*1,0)&amp;"%"</f>
      </c>
    </row>
    <row x14ac:dyDescent="0.25" r="322" customHeight="1" ht="17.25">
      <c r="A322" s="17" t="s">
        <v>6784</v>
      </c>
      <c r="B322" s="17" t="s">
        <v>520</v>
      </c>
      <c r="C322" s="17" t="s">
        <v>133</v>
      </c>
      <c r="D322" s="17" t="s">
        <v>39</v>
      </c>
      <c r="E322" s="18">
        <f>ROUND(9727*1.05,2)</f>
      </c>
      <c r="F322" s="17" t="s">
        <v>40</v>
      </c>
      <c r="G322" s="17" t="s">
        <v>24</v>
      </c>
      <c r="H322" s="18">
        <f>ROUND(RAND()*4+6,1)</f>
      </c>
      <c r="I322" s="17" t="s">
        <v>41</v>
      </c>
      <c r="J322" s="19">
        <f>ROUND(64*1,0)&amp;"%"</f>
      </c>
    </row>
    <row x14ac:dyDescent="0.25" r="323" customHeight="1" ht="17.25">
      <c r="A323" s="20" t="s">
        <v>6785</v>
      </c>
      <c r="B323" s="20" t="s">
        <v>522</v>
      </c>
      <c r="C323" s="20" t="s">
        <v>133</v>
      </c>
      <c r="D323" s="20" t="s">
        <v>67</v>
      </c>
      <c r="E323" s="21">
        <f>ROUND(6027*1.05,2)</f>
      </c>
      <c r="F323" s="20" t="s">
        <v>44</v>
      </c>
      <c r="G323" s="20" t="s">
        <v>30</v>
      </c>
      <c r="H323" s="21">
        <f>ROUND(RAND()*4+6,1)</f>
      </c>
      <c r="I323" s="20" t="s">
        <v>45</v>
      </c>
      <c r="J323" s="23">
        <f>ROUND(85*1,0)&amp;"%"</f>
      </c>
    </row>
    <row x14ac:dyDescent="0.25" r="324" customHeight="1" ht="17.25">
      <c r="A324" s="17" t="s">
        <v>6786</v>
      </c>
      <c r="B324" s="17" t="s">
        <v>524</v>
      </c>
      <c r="C324" s="17" t="s">
        <v>133</v>
      </c>
      <c r="D324" s="17" t="s">
        <v>16</v>
      </c>
      <c r="E324" s="18">
        <f>ROUND(13518*1.05,2)</f>
      </c>
      <c r="F324" s="17" t="s">
        <v>48</v>
      </c>
      <c r="G324" s="17" t="s">
        <v>18</v>
      </c>
      <c r="H324" s="18">
        <f>ROUND(RAND()*4+6,1)</f>
      </c>
      <c r="I324" s="17" t="s">
        <v>19</v>
      </c>
      <c r="J324" s="19">
        <f>ROUND(64*1,0)&amp;"%"</f>
      </c>
    </row>
    <row x14ac:dyDescent="0.25" r="325" customHeight="1" ht="17.25">
      <c r="A325" s="20" t="s">
        <v>6787</v>
      </c>
      <c r="B325" s="20" t="s">
        <v>526</v>
      </c>
      <c r="C325" s="20" t="s">
        <v>133</v>
      </c>
      <c r="D325" s="20" t="s">
        <v>22</v>
      </c>
      <c r="E325" s="21">
        <f>ROUND(10898*1.05,2)</f>
      </c>
      <c r="F325" s="20" t="s">
        <v>51</v>
      </c>
      <c r="G325" s="20" t="s">
        <v>24</v>
      </c>
      <c r="H325" s="21">
        <f>ROUND(RAND()*4+6,1)</f>
      </c>
      <c r="I325" s="20" t="s">
        <v>25</v>
      </c>
      <c r="J325" s="23">
        <f>ROUND(80*1,0)&amp;"%"</f>
      </c>
    </row>
    <row x14ac:dyDescent="0.25" r="326" customHeight="1" ht="17.25">
      <c r="A326" s="24" t="s">
        <v>527</v>
      </c>
      <c r="B326" s="24"/>
      <c r="C326" s="24"/>
      <c r="D326" s="24"/>
      <c r="E326" s="25">
        <v>8</v>
      </c>
      <c r="F326" s="9"/>
      <c r="G326" s="9"/>
      <c r="H326" s="10"/>
      <c r="I326" s="9"/>
      <c r="J326" s="9"/>
    </row>
    <row x14ac:dyDescent="0.25" r="327" customHeight="1" ht="17.25">
      <c r="A327" s="7"/>
      <c r="B327" s="7"/>
      <c r="C327" s="7"/>
      <c r="D327" s="7"/>
      <c r="E327" s="8"/>
      <c r="F327" s="9"/>
      <c r="G327" s="9"/>
      <c r="H327" s="10"/>
      <c r="I327" s="9"/>
      <c r="J327" s="9"/>
    </row>
    <row x14ac:dyDescent="0.25" r="328" customHeight="1" ht="17.25">
      <c r="A328" s="11" t="s">
        <v>6788</v>
      </c>
      <c r="B328" s="11"/>
      <c r="C328" s="11"/>
      <c r="D328" s="11"/>
      <c r="E328" s="12"/>
      <c r="F328" s="11"/>
      <c r="G328" s="11"/>
      <c r="H328" s="13"/>
      <c r="I328" s="11"/>
      <c r="J328" s="11"/>
    </row>
    <row x14ac:dyDescent="0.25" r="329" customHeight="1" ht="17.25">
      <c r="A329" s="14" t="s">
        <v>3</v>
      </c>
      <c r="B329" s="14" t="s">
        <v>4</v>
      </c>
      <c r="C329" s="14" t="s">
        <v>5</v>
      </c>
      <c r="D329" s="14" t="s">
        <v>6</v>
      </c>
      <c r="E329" s="15" t="s">
        <v>7</v>
      </c>
      <c r="F329" s="14" t="s">
        <v>8</v>
      </c>
      <c r="G329" s="14" t="s">
        <v>9</v>
      </c>
      <c r="H329" s="16" t="s">
        <v>10</v>
      </c>
      <c r="I329" s="14" t="s">
        <v>11</v>
      </c>
      <c r="J329" s="14" t="s">
        <v>12</v>
      </c>
    </row>
    <row x14ac:dyDescent="0.25" r="330" customHeight="1" ht="17.25">
      <c r="A330" s="17" t="s">
        <v>6789</v>
      </c>
      <c r="B330" s="17" t="s">
        <v>530</v>
      </c>
      <c r="C330" s="17" t="s">
        <v>152</v>
      </c>
      <c r="D330" s="17" t="s">
        <v>16</v>
      </c>
      <c r="E330" s="18">
        <f>ROUND(15323*1.05,2)</f>
      </c>
      <c r="F330" s="17" t="s">
        <v>17</v>
      </c>
      <c r="G330" s="17" t="s">
        <v>18</v>
      </c>
      <c r="H330" s="18">
        <f>ROUND(RAND()*4+6,1)</f>
      </c>
      <c r="I330" s="17" t="s">
        <v>19</v>
      </c>
      <c r="J330" s="19">
        <f>ROUND(60*1,0)&amp;"%"</f>
      </c>
    </row>
    <row x14ac:dyDescent="0.25" r="331" customHeight="1" ht="17.25">
      <c r="A331" s="20" t="s">
        <v>6790</v>
      </c>
      <c r="B331" s="20" t="s">
        <v>532</v>
      </c>
      <c r="C331" s="20" t="s">
        <v>152</v>
      </c>
      <c r="D331" s="20" t="s">
        <v>22</v>
      </c>
      <c r="E331" s="21">
        <f>ROUND(15355*1.05,2)</f>
      </c>
      <c r="F331" s="20" t="s">
        <v>23</v>
      </c>
      <c r="G331" s="20" t="s">
        <v>24</v>
      </c>
      <c r="H331" s="21">
        <f>ROUND(RAND()*4+6,1)</f>
      </c>
      <c r="I331" s="20" t="s">
        <v>25</v>
      </c>
      <c r="J331" s="23">
        <f>ROUND(93*1,0)&amp;"%"</f>
      </c>
    </row>
    <row x14ac:dyDescent="0.25" r="332" customHeight="1" ht="17.25">
      <c r="A332" s="17" t="s">
        <v>6791</v>
      </c>
      <c r="B332" s="17" t="s">
        <v>534</v>
      </c>
      <c r="C332" s="17" t="s">
        <v>152</v>
      </c>
      <c r="D332" s="17" t="s">
        <v>28</v>
      </c>
      <c r="E332" s="18">
        <f>ROUND(4351*1.05,2)</f>
      </c>
      <c r="F332" s="17" t="s">
        <v>29</v>
      </c>
      <c r="G332" s="17" t="s">
        <v>30</v>
      </c>
      <c r="H332" s="18">
        <f>ROUND(RAND()*4+6,1)</f>
      </c>
      <c r="I332" s="17" t="s">
        <v>31</v>
      </c>
      <c r="J332" s="19">
        <f>ROUND(64*1,0)&amp;"%"</f>
      </c>
    </row>
    <row x14ac:dyDescent="0.25" r="333" customHeight="1" ht="17.25">
      <c r="A333" s="20" t="s">
        <v>6792</v>
      </c>
      <c r="B333" s="20" t="s">
        <v>536</v>
      </c>
      <c r="C333" s="20" t="s">
        <v>152</v>
      </c>
      <c r="D333" s="20" t="s">
        <v>34</v>
      </c>
      <c r="E333" s="21">
        <f>ROUND(11617*1.05,2)</f>
      </c>
      <c r="F333" s="20" t="s">
        <v>35</v>
      </c>
      <c r="G333" s="20" t="s">
        <v>18</v>
      </c>
      <c r="H333" s="21">
        <f>ROUND(RAND()*4+6,1)</f>
      </c>
      <c r="I333" s="20" t="s">
        <v>36</v>
      </c>
      <c r="J333" s="23">
        <f>ROUND(66*1,0)&amp;"%"</f>
      </c>
    </row>
    <row x14ac:dyDescent="0.25" r="334" customHeight="1" ht="17.25">
      <c r="A334" s="17" t="s">
        <v>6793</v>
      </c>
      <c r="B334" s="17" t="s">
        <v>538</v>
      </c>
      <c r="C334" s="17" t="s">
        <v>152</v>
      </c>
      <c r="D334" s="17" t="s">
        <v>39</v>
      </c>
      <c r="E334" s="18">
        <f>ROUND(7542*1.05,2)</f>
      </c>
      <c r="F334" s="17" t="s">
        <v>40</v>
      </c>
      <c r="G334" s="17" t="s">
        <v>24</v>
      </c>
      <c r="H334" s="18">
        <f>ROUND(RAND()*4+6,1)</f>
      </c>
      <c r="I334" s="17" t="s">
        <v>41</v>
      </c>
      <c r="J334" s="19">
        <f>ROUND(79*1,0)&amp;"%"</f>
      </c>
    </row>
    <row x14ac:dyDescent="0.25" r="335" customHeight="1" ht="17.25">
      <c r="A335" s="20" t="s">
        <v>6794</v>
      </c>
      <c r="B335" s="20" t="s">
        <v>540</v>
      </c>
      <c r="C335" s="20" t="s">
        <v>152</v>
      </c>
      <c r="D335" s="20" t="s">
        <v>67</v>
      </c>
      <c r="E335" s="21">
        <f>ROUND(15951*1.05,2)</f>
      </c>
      <c r="F335" s="20" t="s">
        <v>44</v>
      </c>
      <c r="G335" s="20" t="s">
        <v>30</v>
      </c>
      <c r="H335" s="21">
        <f>ROUND(RAND()*4+6,1)</f>
      </c>
      <c r="I335" s="20" t="s">
        <v>45</v>
      </c>
      <c r="J335" s="23">
        <f>ROUND(62*1,0)&amp;"%"</f>
      </c>
    </row>
    <row x14ac:dyDescent="0.25" r="336" customHeight="1" ht="17.25">
      <c r="A336" s="17" t="s">
        <v>6795</v>
      </c>
      <c r="B336" s="17" t="s">
        <v>542</v>
      </c>
      <c r="C336" s="17" t="s">
        <v>152</v>
      </c>
      <c r="D336" s="17" t="s">
        <v>16</v>
      </c>
      <c r="E336" s="18">
        <f>ROUND(17856*1.05,2)</f>
      </c>
      <c r="F336" s="17" t="s">
        <v>48</v>
      </c>
      <c r="G336" s="17" t="s">
        <v>18</v>
      </c>
      <c r="H336" s="18">
        <f>ROUND(RAND()*4+6,1)</f>
      </c>
      <c r="I336" s="17" t="s">
        <v>19</v>
      </c>
      <c r="J336" s="19">
        <f>ROUND(66*1,0)&amp;"%"</f>
      </c>
    </row>
    <row x14ac:dyDescent="0.25" r="337" customHeight="1" ht="17.25">
      <c r="A337" s="20" t="s">
        <v>6796</v>
      </c>
      <c r="B337" s="20" t="s">
        <v>544</v>
      </c>
      <c r="C337" s="20" t="s">
        <v>152</v>
      </c>
      <c r="D337" s="20" t="s">
        <v>22</v>
      </c>
      <c r="E337" s="21">
        <f>ROUND(10824*1.05,2)</f>
      </c>
      <c r="F337" s="20" t="s">
        <v>51</v>
      </c>
      <c r="G337" s="20" t="s">
        <v>24</v>
      </c>
      <c r="H337" s="21">
        <f>ROUND(RAND()*4+6,1)</f>
      </c>
      <c r="I337" s="20" t="s">
        <v>25</v>
      </c>
      <c r="J337" s="23">
        <f>ROUND(100*1,0)&amp;"%"</f>
      </c>
    </row>
    <row x14ac:dyDescent="0.25" r="338" customHeight="1" ht="17.25">
      <c r="A338" s="24" t="s">
        <v>545</v>
      </c>
      <c r="B338" s="24"/>
      <c r="C338" s="24"/>
      <c r="D338" s="24"/>
      <c r="E338" s="25">
        <v>8</v>
      </c>
      <c r="F338" s="9"/>
      <c r="G338" s="9"/>
      <c r="H338" s="10"/>
      <c r="I338" s="9"/>
      <c r="J338" s="9"/>
    </row>
    <row x14ac:dyDescent="0.25" r="339" customHeight="1" ht="17.25">
      <c r="A339" s="7"/>
      <c r="B339" s="7"/>
      <c r="C339" s="7"/>
      <c r="D339" s="7"/>
      <c r="E339" s="8"/>
      <c r="F339" s="9"/>
      <c r="G339" s="9"/>
      <c r="H339" s="10"/>
      <c r="I339" s="9"/>
      <c r="J339" s="9"/>
    </row>
    <row x14ac:dyDescent="0.25" r="340" customHeight="1" ht="17.25">
      <c r="A340" s="11" t="s">
        <v>6797</v>
      </c>
      <c r="B340" s="11"/>
      <c r="C340" s="11"/>
      <c r="D340" s="11"/>
      <c r="E340" s="12"/>
      <c r="F340" s="11"/>
      <c r="G340" s="11"/>
      <c r="H340" s="13"/>
      <c r="I340" s="11"/>
      <c r="J340" s="11"/>
    </row>
    <row x14ac:dyDescent="0.25" r="341" customHeight="1" ht="17.25">
      <c r="A341" s="14" t="s">
        <v>3</v>
      </c>
      <c r="B341" s="14" t="s">
        <v>4</v>
      </c>
      <c r="C341" s="14" t="s">
        <v>5</v>
      </c>
      <c r="D341" s="14" t="s">
        <v>6</v>
      </c>
      <c r="E341" s="15" t="s">
        <v>7</v>
      </c>
      <c r="F341" s="14" t="s">
        <v>8</v>
      </c>
      <c r="G341" s="14" t="s">
        <v>9</v>
      </c>
      <c r="H341" s="16" t="s">
        <v>10</v>
      </c>
      <c r="I341" s="14" t="s">
        <v>11</v>
      </c>
      <c r="J341" s="14" t="s">
        <v>12</v>
      </c>
    </row>
    <row x14ac:dyDescent="0.25" r="342" customHeight="1" ht="17.25">
      <c r="A342" s="17" t="s">
        <v>6798</v>
      </c>
      <c r="B342" s="17" t="s">
        <v>548</v>
      </c>
      <c r="C342" s="17" t="s">
        <v>15</v>
      </c>
      <c r="D342" s="17" t="s">
        <v>16</v>
      </c>
      <c r="E342" s="18">
        <f>ROUND(11595*1.05,2)</f>
      </c>
      <c r="F342" s="17" t="s">
        <v>17</v>
      </c>
      <c r="G342" s="17" t="s">
        <v>18</v>
      </c>
      <c r="H342" s="18">
        <f>ROUND(RAND()*4+6,1)</f>
      </c>
      <c r="I342" s="17" t="s">
        <v>19</v>
      </c>
      <c r="J342" s="19">
        <f>ROUND(64*1,0)&amp;"%"</f>
      </c>
    </row>
    <row x14ac:dyDescent="0.25" r="343" customHeight="1" ht="17.25">
      <c r="A343" s="20" t="s">
        <v>6799</v>
      </c>
      <c r="B343" s="20" t="s">
        <v>550</v>
      </c>
      <c r="C343" s="20" t="s">
        <v>15</v>
      </c>
      <c r="D343" s="20" t="s">
        <v>22</v>
      </c>
      <c r="E343" s="21">
        <f>ROUND(13709*1.05,2)</f>
      </c>
      <c r="F343" s="20" t="s">
        <v>23</v>
      </c>
      <c r="G343" s="20" t="s">
        <v>24</v>
      </c>
      <c r="H343" s="21">
        <f>ROUND(RAND()*4+6,1)</f>
      </c>
      <c r="I343" s="20" t="s">
        <v>25</v>
      </c>
      <c r="J343" s="23">
        <f>ROUND(76*1,0)&amp;"%"</f>
      </c>
    </row>
    <row x14ac:dyDescent="0.25" r="344" customHeight="1" ht="17.25">
      <c r="A344" s="17" t="s">
        <v>6800</v>
      </c>
      <c r="B344" s="17" t="s">
        <v>552</v>
      </c>
      <c r="C344" s="17" t="s">
        <v>15</v>
      </c>
      <c r="D344" s="17" t="s">
        <v>28</v>
      </c>
      <c r="E344" s="18">
        <f>ROUND(6887*1.05,2)</f>
      </c>
      <c r="F344" s="17" t="s">
        <v>29</v>
      </c>
      <c r="G344" s="17" t="s">
        <v>30</v>
      </c>
      <c r="H344" s="18">
        <f>ROUND(RAND()*4+6,1)</f>
      </c>
      <c r="I344" s="17" t="s">
        <v>31</v>
      </c>
      <c r="J344" s="19">
        <f>ROUND(74*1,0)&amp;"%"</f>
      </c>
    </row>
    <row x14ac:dyDescent="0.25" r="345" customHeight="1" ht="17.25">
      <c r="A345" s="20" t="s">
        <v>6801</v>
      </c>
      <c r="B345" s="20" t="s">
        <v>554</v>
      </c>
      <c r="C345" s="20" t="s">
        <v>15</v>
      </c>
      <c r="D345" s="20" t="s">
        <v>34</v>
      </c>
      <c r="E345" s="21">
        <f>ROUND(4813*1.05,2)</f>
      </c>
      <c r="F345" s="20" t="s">
        <v>35</v>
      </c>
      <c r="G345" s="20" t="s">
        <v>18</v>
      </c>
      <c r="H345" s="21">
        <f>ROUND(RAND()*4+6,1)</f>
      </c>
      <c r="I345" s="20" t="s">
        <v>36</v>
      </c>
      <c r="J345" s="23">
        <f>ROUND(60*1,0)&amp;"%"</f>
      </c>
    </row>
    <row x14ac:dyDescent="0.25" r="346" customHeight="1" ht="17.25">
      <c r="A346" s="17" t="s">
        <v>6802</v>
      </c>
      <c r="B346" s="17" t="s">
        <v>556</v>
      </c>
      <c r="C346" s="17" t="s">
        <v>15</v>
      </c>
      <c r="D346" s="17" t="s">
        <v>39</v>
      </c>
      <c r="E346" s="18">
        <f>ROUND(8337*1.05,2)</f>
      </c>
      <c r="F346" s="17" t="s">
        <v>40</v>
      </c>
      <c r="G346" s="17" t="s">
        <v>24</v>
      </c>
      <c r="H346" s="26">
        <f>ROUND(RAND()*4+6,1)</f>
      </c>
      <c r="I346" s="17" t="s">
        <v>41</v>
      </c>
      <c r="J346" s="19">
        <f>ROUND(87*1,0)&amp;"%"</f>
      </c>
    </row>
    <row x14ac:dyDescent="0.25" r="347" customHeight="1" ht="17.25">
      <c r="A347" s="20" t="s">
        <v>6803</v>
      </c>
      <c r="B347" s="20" t="s">
        <v>558</v>
      </c>
      <c r="C347" s="20" t="s">
        <v>15</v>
      </c>
      <c r="D347" s="20" t="s">
        <v>67</v>
      </c>
      <c r="E347" s="21">
        <f>ROUND(5189*1.05,2)</f>
      </c>
      <c r="F347" s="20" t="s">
        <v>44</v>
      </c>
      <c r="G347" s="20" t="s">
        <v>30</v>
      </c>
      <c r="H347" s="21">
        <f>ROUND(RAND()*4+6,1)</f>
      </c>
      <c r="I347" s="20" t="s">
        <v>45</v>
      </c>
      <c r="J347" s="23">
        <f>ROUND(61*1,0)&amp;"%"</f>
      </c>
    </row>
    <row x14ac:dyDescent="0.25" r="348" customHeight="1" ht="17.25">
      <c r="A348" s="17" t="s">
        <v>6804</v>
      </c>
      <c r="B348" s="17" t="s">
        <v>560</v>
      </c>
      <c r="C348" s="17" t="s">
        <v>15</v>
      </c>
      <c r="D348" s="17" t="s">
        <v>16</v>
      </c>
      <c r="E348" s="18">
        <f>ROUND(10824*1.05,2)</f>
      </c>
      <c r="F348" s="17" t="s">
        <v>48</v>
      </c>
      <c r="G348" s="17" t="s">
        <v>18</v>
      </c>
      <c r="H348" s="26">
        <f>ROUND(RAND()*4+6,1)</f>
      </c>
      <c r="I348" s="17" t="s">
        <v>19</v>
      </c>
      <c r="J348" s="19">
        <f>ROUND(70*1,0)&amp;"%"</f>
      </c>
    </row>
    <row x14ac:dyDescent="0.25" r="349" customHeight="1" ht="17.25">
      <c r="A349" s="20" t="s">
        <v>6805</v>
      </c>
      <c r="B349" s="20" t="s">
        <v>562</v>
      </c>
      <c r="C349" s="20" t="s">
        <v>15</v>
      </c>
      <c r="D349" s="20" t="s">
        <v>22</v>
      </c>
      <c r="E349" s="21">
        <f>ROUND(5288*1.05,2)</f>
      </c>
      <c r="F349" s="20" t="s">
        <v>51</v>
      </c>
      <c r="G349" s="20" t="s">
        <v>24</v>
      </c>
      <c r="H349" s="21">
        <f>ROUND(RAND()*4+6,1)</f>
      </c>
      <c r="I349" s="20" t="s">
        <v>25</v>
      </c>
      <c r="J349" s="23">
        <f>ROUND(93*1,0)&amp;"%"</f>
      </c>
    </row>
    <row x14ac:dyDescent="0.25" r="350" customHeight="1" ht="17.25">
      <c r="A350" s="24" t="s">
        <v>563</v>
      </c>
      <c r="B350" s="24"/>
      <c r="C350" s="24"/>
      <c r="D350" s="24"/>
      <c r="E350" s="25">
        <v>8</v>
      </c>
      <c r="F350" s="9"/>
      <c r="G350" s="9"/>
      <c r="H350" s="10"/>
      <c r="I350" s="9"/>
      <c r="J350" s="9"/>
    </row>
    <row x14ac:dyDescent="0.25" r="351" customHeight="1" ht="17.25">
      <c r="A351" s="7"/>
      <c r="B351" s="7"/>
      <c r="C351" s="7"/>
      <c r="D351" s="7"/>
      <c r="E351" s="8"/>
      <c r="F351" s="9"/>
      <c r="G351" s="9"/>
      <c r="H351" s="10"/>
      <c r="I351" s="9"/>
      <c r="J351" s="9"/>
    </row>
    <row x14ac:dyDescent="0.25" r="352" customHeight="1" ht="17.25">
      <c r="A352" s="11" t="s">
        <v>6806</v>
      </c>
      <c r="B352" s="11"/>
      <c r="C352" s="11"/>
      <c r="D352" s="11"/>
      <c r="E352" s="12"/>
      <c r="F352" s="11"/>
      <c r="G352" s="11"/>
      <c r="H352" s="13"/>
      <c r="I352" s="11"/>
      <c r="J352" s="11"/>
    </row>
    <row x14ac:dyDescent="0.25" r="353" customHeight="1" ht="17.25">
      <c r="A353" s="14" t="s">
        <v>3</v>
      </c>
      <c r="B353" s="14" t="s">
        <v>4</v>
      </c>
      <c r="C353" s="14" t="s">
        <v>5</v>
      </c>
      <c r="D353" s="14" t="s">
        <v>6</v>
      </c>
      <c r="E353" s="15" t="s">
        <v>7</v>
      </c>
      <c r="F353" s="14" t="s">
        <v>8</v>
      </c>
      <c r="G353" s="14" t="s">
        <v>9</v>
      </c>
      <c r="H353" s="16" t="s">
        <v>10</v>
      </c>
      <c r="I353" s="14" t="s">
        <v>11</v>
      </c>
      <c r="J353" s="14" t="s">
        <v>12</v>
      </c>
    </row>
    <row x14ac:dyDescent="0.25" r="354" customHeight="1" ht="17.25">
      <c r="A354" s="17" t="s">
        <v>6807</v>
      </c>
      <c r="B354" s="17" t="s">
        <v>566</v>
      </c>
      <c r="C354" s="17" t="s">
        <v>56</v>
      </c>
      <c r="D354" s="17" t="s">
        <v>16</v>
      </c>
      <c r="E354" s="18">
        <f>ROUND(5565*1.05,2)</f>
      </c>
      <c r="F354" s="17" t="s">
        <v>17</v>
      </c>
      <c r="G354" s="17" t="s">
        <v>18</v>
      </c>
      <c r="H354" s="18">
        <f>ROUND(RAND()*4+6,1)</f>
      </c>
      <c r="I354" s="17" t="s">
        <v>19</v>
      </c>
      <c r="J354" s="19">
        <f>ROUND(98*1,0)&amp;"%"</f>
      </c>
    </row>
    <row x14ac:dyDescent="0.25" r="355" customHeight="1" ht="17.25">
      <c r="A355" s="20" t="s">
        <v>6808</v>
      </c>
      <c r="B355" s="20" t="s">
        <v>568</v>
      </c>
      <c r="C355" s="20" t="s">
        <v>56</v>
      </c>
      <c r="D355" s="20" t="s">
        <v>22</v>
      </c>
      <c r="E355" s="21">
        <f>ROUND(4934*1.05,2)</f>
      </c>
      <c r="F355" s="20" t="s">
        <v>23</v>
      </c>
      <c r="G355" s="20" t="s">
        <v>24</v>
      </c>
      <c r="H355" s="21">
        <f>ROUND(RAND()*4+6,1)</f>
      </c>
      <c r="I355" s="20" t="s">
        <v>25</v>
      </c>
      <c r="J355" s="23">
        <f>ROUND(93*1,0)&amp;"%"</f>
      </c>
    </row>
    <row x14ac:dyDescent="0.25" r="356" customHeight="1" ht="17.25">
      <c r="A356" s="17" t="s">
        <v>6809</v>
      </c>
      <c r="B356" s="17" t="s">
        <v>570</v>
      </c>
      <c r="C356" s="17" t="s">
        <v>56</v>
      </c>
      <c r="D356" s="17" t="s">
        <v>28</v>
      </c>
      <c r="E356" s="18">
        <f>ROUND(12791*1.05,2)</f>
      </c>
      <c r="F356" s="17" t="s">
        <v>29</v>
      </c>
      <c r="G356" s="17" t="s">
        <v>30</v>
      </c>
      <c r="H356" s="18">
        <f>ROUND(RAND()*4+6,1)</f>
      </c>
      <c r="I356" s="17" t="s">
        <v>31</v>
      </c>
      <c r="J356" s="19">
        <f>ROUND(64*1,0)&amp;"%"</f>
      </c>
    </row>
    <row x14ac:dyDescent="0.25" r="357" customHeight="1" ht="17.25">
      <c r="A357" s="20" t="s">
        <v>6810</v>
      </c>
      <c r="B357" s="20" t="s">
        <v>572</v>
      </c>
      <c r="C357" s="20" t="s">
        <v>56</v>
      </c>
      <c r="D357" s="20" t="s">
        <v>34</v>
      </c>
      <c r="E357" s="21">
        <f>ROUND(15778*1.05,2)</f>
      </c>
      <c r="F357" s="20" t="s">
        <v>35</v>
      </c>
      <c r="G357" s="20" t="s">
        <v>18</v>
      </c>
      <c r="H357" s="21">
        <f>ROUND(RAND()*4+6,1)</f>
      </c>
      <c r="I357" s="20" t="s">
        <v>36</v>
      </c>
      <c r="J357" s="23">
        <f>ROUND(60*1,0)&amp;"%"</f>
      </c>
    </row>
    <row x14ac:dyDescent="0.25" r="358" customHeight="1" ht="17.25">
      <c r="A358" s="17" t="s">
        <v>6811</v>
      </c>
      <c r="B358" s="17" t="s">
        <v>574</v>
      </c>
      <c r="C358" s="17" t="s">
        <v>56</v>
      </c>
      <c r="D358" s="17" t="s">
        <v>39</v>
      </c>
      <c r="E358" s="18">
        <f>ROUND(14737*1.05,2)</f>
      </c>
      <c r="F358" s="17" t="s">
        <v>40</v>
      </c>
      <c r="G358" s="17" t="s">
        <v>24</v>
      </c>
      <c r="H358" s="26">
        <f>ROUND(RAND()*4+6,1)</f>
      </c>
      <c r="I358" s="17" t="s">
        <v>41</v>
      </c>
      <c r="J358" s="19">
        <f>ROUND(84*1,0)&amp;"%"</f>
      </c>
    </row>
    <row x14ac:dyDescent="0.25" r="359" customHeight="1" ht="17.25">
      <c r="A359" s="20" t="s">
        <v>6812</v>
      </c>
      <c r="B359" s="20" t="s">
        <v>576</v>
      </c>
      <c r="C359" s="20" t="s">
        <v>56</v>
      </c>
      <c r="D359" s="20" t="s">
        <v>67</v>
      </c>
      <c r="E359" s="21">
        <f>ROUND(16969*1.05,2)</f>
      </c>
      <c r="F359" s="20" t="s">
        <v>44</v>
      </c>
      <c r="G359" s="20" t="s">
        <v>30</v>
      </c>
      <c r="H359" s="21">
        <f>ROUND(RAND()*4+6,1)</f>
      </c>
      <c r="I359" s="20" t="s">
        <v>45</v>
      </c>
      <c r="J359" s="23">
        <f>ROUND(78*1,0)&amp;"%"</f>
      </c>
    </row>
    <row x14ac:dyDescent="0.25" r="360" customHeight="1" ht="17.25">
      <c r="A360" s="17" t="s">
        <v>6813</v>
      </c>
      <c r="B360" s="17" t="s">
        <v>578</v>
      </c>
      <c r="C360" s="17" t="s">
        <v>56</v>
      </c>
      <c r="D360" s="17" t="s">
        <v>16</v>
      </c>
      <c r="E360" s="18">
        <f>ROUND(17244*1.05,2)</f>
      </c>
      <c r="F360" s="17" t="s">
        <v>48</v>
      </c>
      <c r="G360" s="17" t="s">
        <v>18</v>
      </c>
      <c r="H360" s="18">
        <f>ROUND(RAND()*4+6,1)</f>
      </c>
      <c r="I360" s="17" t="s">
        <v>19</v>
      </c>
      <c r="J360" s="19">
        <f>ROUND(66*1,0)&amp;"%"</f>
      </c>
    </row>
    <row x14ac:dyDescent="0.25" r="361" customHeight="1" ht="17.25">
      <c r="A361" s="20" t="s">
        <v>6814</v>
      </c>
      <c r="B361" s="20" t="s">
        <v>580</v>
      </c>
      <c r="C361" s="20" t="s">
        <v>56</v>
      </c>
      <c r="D361" s="20" t="s">
        <v>22</v>
      </c>
      <c r="E361" s="21">
        <f>ROUND(13884*1.05,2)</f>
      </c>
      <c r="F361" s="20" t="s">
        <v>51</v>
      </c>
      <c r="G361" s="20" t="s">
        <v>24</v>
      </c>
      <c r="H361" s="21">
        <f>ROUND(RAND()*4+6,1)</f>
      </c>
      <c r="I361" s="20" t="s">
        <v>25</v>
      </c>
      <c r="J361" s="23">
        <f>ROUND(85*1,0)&amp;"%"</f>
      </c>
    </row>
    <row x14ac:dyDescent="0.25" r="362" customHeight="1" ht="17.25">
      <c r="A362" s="24" t="s">
        <v>581</v>
      </c>
      <c r="B362" s="24"/>
      <c r="C362" s="24"/>
      <c r="D362" s="24"/>
      <c r="E362" s="25">
        <v>8</v>
      </c>
      <c r="F362" s="9"/>
      <c r="G362" s="9"/>
      <c r="H362" s="10"/>
      <c r="I362" s="9"/>
      <c r="J362" s="9"/>
    </row>
  </sheetData>
  <mergeCells count="62">
    <mergeCell ref="A1:J1"/>
    <mergeCell ref="A2:J2"/>
    <mergeCell ref="A4:J4"/>
    <mergeCell ref="A14:D14"/>
    <mergeCell ref="A16:J16"/>
    <mergeCell ref="A26:D26"/>
    <mergeCell ref="A28:J28"/>
    <mergeCell ref="A38:D38"/>
    <mergeCell ref="A40:J40"/>
    <mergeCell ref="A50:D50"/>
    <mergeCell ref="A52:J52"/>
    <mergeCell ref="A62:D62"/>
    <mergeCell ref="A64:J64"/>
    <mergeCell ref="A74:D74"/>
    <mergeCell ref="A76:J76"/>
    <mergeCell ref="A86:D86"/>
    <mergeCell ref="A88:J88"/>
    <mergeCell ref="A98:D98"/>
    <mergeCell ref="A100:J100"/>
    <mergeCell ref="A110:D110"/>
    <mergeCell ref="A112:J112"/>
    <mergeCell ref="A122:D122"/>
    <mergeCell ref="A124:J124"/>
    <mergeCell ref="A134:D134"/>
    <mergeCell ref="A136:J136"/>
    <mergeCell ref="A146:D146"/>
    <mergeCell ref="A148:J148"/>
    <mergeCell ref="A158:D158"/>
    <mergeCell ref="A160:J160"/>
    <mergeCell ref="A170:D170"/>
    <mergeCell ref="A172:J172"/>
    <mergeCell ref="A182:D182"/>
    <mergeCell ref="A184:J184"/>
    <mergeCell ref="A194:D194"/>
    <mergeCell ref="A196:J196"/>
    <mergeCell ref="A206:D206"/>
    <mergeCell ref="A208:J208"/>
    <mergeCell ref="A218:D218"/>
    <mergeCell ref="A220:J220"/>
    <mergeCell ref="A230:D230"/>
    <mergeCell ref="A232:J232"/>
    <mergeCell ref="A242:D242"/>
    <mergeCell ref="A244:J244"/>
    <mergeCell ref="A254:D254"/>
    <mergeCell ref="A256:J256"/>
    <mergeCell ref="A266:D266"/>
    <mergeCell ref="A268:J268"/>
    <mergeCell ref="A278:D278"/>
    <mergeCell ref="A280:J280"/>
    <mergeCell ref="A290:D290"/>
    <mergeCell ref="A292:J292"/>
    <mergeCell ref="A302:D302"/>
    <mergeCell ref="A304:J304"/>
    <mergeCell ref="A314:D314"/>
    <mergeCell ref="A316:J316"/>
    <mergeCell ref="A326:D326"/>
    <mergeCell ref="A328:J328"/>
    <mergeCell ref="A338:D338"/>
    <mergeCell ref="A340:J340"/>
    <mergeCell ref="A350:D350"/>
    <mergeCell ref="A352:J352"/>
    <mergeCell ref="A362:D362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J362"/>
  <sheetViews>
    <sheetView workbookViewId="0"/>
  </sheetViews>
  <sheetFormatPr defaultRowHeight="15" x14ac:dyDescent="0.25"/>
  <cols>
    <col min="1" max="1" style="27" width="8.005" customWidth="1" bestFit="1"/>
    <col min="2" max="2" style="27" width="22.005" customWidth="1" bestFit="1"/>
    <col min="3" max="3" style="27" width="16.005" customWidth="1" bestFit="1"/>
    <col min="4" max="4" style="27" width="14.005" customWidth="1" bestFit="1"/>
    <col min="5" max="5" style="28" width="12.005" customWidth="1" bestFit="1"/>
    <col min="6" max="6" style="29" width="16.005" customWidth="1" bestFit="1"/>
    <col min="7" max="7" style="29" width="10.005" customWidth="1" bestFit="1"/>
    <col min="8" max="8" style="30" width="10.005" customWidth="1" bestFit="1"/>
    <col min="9" max="9" style="29" width="14.005" customWidth="1" bestFit="1"/>
    <col min="10" max="10" style="29" width="8.005" customWidth="1" bestFit="1"/>
  </cols>
  <sheetData>
    <row x14ac:dyDescent="0.25" r="1" customHeight="1" ht="17.25">
      <c r="A1" s="1" t="s">
        <v>6273</v>
      </c>
      <c r="B1" s="1"/>
      <c r="C1" s="1"/>
      <c r="D1" s="1"/>
      <c r="E1" s="2"/>
      <c r="F1" s="1"/>
      <c r="G1" s="1"/>
      <c r="H1" s="3"/>
      <c r="I1" s="1"/>
      <c r="J1" s="1"/>
    </row>
    <row x14ac:dyDescent="0.25" r="2" customHeight="1" ht="17.25">
      <c r="A2" s="4" t="s">
        <v>1</v>
      </c>
      <c r="B2" s="4"/>
      <c r="C2" s="4"/>
      <c r="D2" s="4"/>
      <c r="E2" s="5"/>
      <c r="F2" s="4"/>
      <c r="G2" s="4"/>
      <c r="H2" s="6"/>
      <c r="I2" s="4"/>
      <c r="J2" s="4"/>
    </row>
    <row x14ac:dyDescent="0.25" r="3" customHeight="1" ht="17.25">
      <c r="A3" s="7"/>
      <c r="B3" s="7"/>
      <c r="C3" s="7"/>
      <c r="D3" s="7"/>
      <c r="E3" s="8"/>
      <c r="F3" s="9"/>
      <c r="G3" s="9"/>
      <c r="H3" s="10"/>
      <c r="I3" s="9"/>
      <c r="J3" s="9"/>
    </row>
    <row x14ac:dyDescent="0.25" r="4" customHeight="1" ht="17.25">
      <c r="A4" s="11" t="s">
        <v>6274</v>
      </c>
      <c r="B4" s="11"/>
      <c r="C4" s="11"/>
      <c r="D4" s="11"/>
      <c r="E4" s="12"/>
      <c r="F4" s="11"/>
      <c r="G4" s="11"/>
      <c r="H4" s="13"/>
      <c r="I4" s="11"/>
      <c r="J4" s="11"/>
    </row>
    <row x14ac:dyDescent="0.25" r="5" customHeight="1" ht="17.25">
      <c r="A5" s="14" t="s">
        <v>3</v>
      </c>
      <c r="B5" s="14" t="s">
        <v>4</v>
      </c>
      <c r="C5" s="14" t="s">
        <v>5</v>
      </c>
      <c r="D5" s="14" t="s">
        <v>6</v>
      </c>
      <c r="E5" s="15" t="s">
        <v>7</v>
      </c>
      <c r="F5" s="14" t="s">
        <v>8</v>
      </c>
      <c r="G5" s="14" t="s">
        <v>9</v>
      </c>
      <c r="H5" s="16" t="s">
        <v>10</v>
      </c>
      <c r="I5" s="14" t="s">
        <v>11</v>
      </c>
      <c r="J5" s="14" t="s">
        <v>12</v>
      </c>
    </row>
    <row x14ac:dyDescent="0.25" r="6" customHeight="1" ht="17.25">
      <c r="A6" s="17" t="s">
        <v>6275</v>
      </c>
      <c r="B6" s="17" t="s">
        <v>14</v>
      </c>
      <c r="C6" s="17" t="s">
        <v>15</v>
      </c>
      <c r="D6" s="17" t="s">
        <v>16</v>
      </c>
      <c r="E6" s="18">
        <f>ROUND(7182*1.05,2)</f>
      </c>
      <c r="F6" s="17" t="s">
        <v>17</v>
      </c>
      <c r="G6" s="17" t="s">
        <v>18</v>
      </c>
      <c r="H6" s="18">
        <f>ROUND(RAND()*4+6,1)</f>
      </c>
      <c r="I6" s="17" t="s">
        <v>19</v>
      </c>
      <c r="J6" s="19">
        <f>ROUND(93*1,0)&amp;"%"</f>
      </c>
    </row>
    <row x14ac:dyDescent="0.25" r="7" customHeight="1" ht="17.25">
      <c r="A7" s="20" t="s">
        <v>6276</v>
      </c>
      <c r="B7" s="20" t="s">
        <v>21</v>
      </c>
      <c r="C7" s="20" t="s">
        <v>15</v>
      </c>
      <c r="D7" s="20" t="s">
        <v>22</v>
      </c>
      <c r="E7" s="21">
        <f>ROUND(16330*1.05,2)</f>
      </c>
      <c r="F7" s="20" t="s">
        <v>23</v>
      </c>
      <c r="G7" s="20" t="s">
        <v>24</v>
      </c>
      <c r="H7" s="21">
        <f>ROUND(RAND()*4+6,1)</f>
      </c>
      <c r="I7" s="20" t="s">
        <v>25</v>
      </c>
      <c r="J7" s="23">
        <f>ROUND(95*1,0)&amp;"%"</f>
      </c>
    </row>
    <row x14ac:dyDescent="0.25" r="8" customHeight="1" ht="17.25">
      <c r="A8" s="17" t="s">
        <v>6277</v>
      </c>
      <c r="B8" s="17" t="s">
        <v>27</v>
      </c>
      <c r="C8" s="17" t="s">
        <v>15</v>
      </c>
      <c r="D8" s="17" t="s">
        <v>28</v>
      </c>
      <c r="E8" s="18">
        <f>ROUND(11530*1.05,2)</f>
      </c>
      <c r="F8" s="17" t="s">
        <v>29</v>
      </c>
      <c r="G8" s="17" t="s">
        <v>30</v>
      </c>
      <c r="H8" s="18">
        <f>ROUND(RAND()*4+6,1)</f>
      </c>
      <c r="I8" s="17" t="s">
        <v>31</v>
      </c>
      <c r="J8" s="19">
        <f>ROUND(75*1,0)&amp;"%"</f>
      </c>
    </row>
    <row x14ac:dyDescent="0.25" r="9" customHeight="1" ht="17.25">
      <c r="A9" s="20" t="s">
        <v>6278</v>
      </c>
      <c r="B9" s="20" t="s">
        <v>33</v>
      </c>
      <c r="C9" s="20" t="s">
        <v>15</v>
      </c>
      <c r="D9" s="20" t="s">
        <v>34</v>
      </c>
      <c r="E9" s="21">
        <f>ROUND(12944*1.05,2)</f>
      </c>
      <c r="F9" s="20" t="s">
        <v>35</v>
      </c>
      <c r="G9" s="20" t="s">
        <v>18</v>
      </c>
      <c r="H9" s="21">
        <f>ROUND(RAND()*4+6,1)</f>
      </c>
      <c r="I9" s="20" t="s">
        <v>36</v>
      </c>
      <c r="J9" s="23">
        <f>ROUND(91*1,0)&amp;"%"</f>
      </c>
    </row>
    <row x14ac:dyDescent="0.25" r="10" customHeight="1" ht="17.25">
      <c r="A10" s="17" t="s">
        <v>6279</v>
      </c>
      <c r="B10" s="17" t="s">
        <v>38</v>
      </c>
      <c r="C10" s="17" t="s">
        <v>15</v>
      </c>
      <c r="D10" s="17" t="s">
        <v>39</v>
      </c>
      <c r="E10" s="18">
        <f>ROUND(7065*1.05,2)</f>
      </c>
      <c r="F10" s="17" t="s">
        <v>40</v>
      </c>
      <c r="G10" s="17" t="s">
        <v>24</v>
      </c>
      <c r="H10" s="26">
        <f>ROUND(RAND()*4+6,1)</f>
      </c>
      <c r="I10" s="17" t="s">
        <v>41</v>
      </c>
      <c r="J10" s="19">
        <f>ROUND(70*1,0)&amp;"%"</f>
      </c>
    </row>
    <row x14ac:dyDescent="0.25" r="11" customHeight="1" ht="17.25">
      <c r="A11" s="20" t="s">
        <v>6280</v>
      </c>
      <c r="B11" s="20" t="s">
        <v>43</v>
      </c>
      <c r="C11" s="20" t="s">
        <v>15</v>
      </c>
      <c r="D11" s="20" t="s">
        <v>67</v>
      </c>
      <c r="E11" s="21">
        <f>ROUND(4053*1.05,2)</f>
      </c>
      <c r="F11" s="20" t="s">
        <v>44</v>
      </c>
      <c r="G11" s="20" t="s">
        <v>30</v>
      </c>
      <c r="H11" s="21">
        <f>ROUND(RAND()*4+6,1)</f>
      </c>
      <c r="I11" s="20" t="s">
        <v>45</v>
      </c>
      <c r="J11" s="23">
        <f>ROUND(92*1,0)&amp;"%"</f>
      </c>
    </row>
    <row x14ac:dyDescent="0.25" r="12" customHeight="1" ht="17.25">
      <c r="A12" s="17" t="s">
        <v>6281</v>
      </c>
      <c r="B12" s="17" t="s">
        <v>47</v>
      </c>
      <c r="C12" s="17" t="s">
        <v>15</v>
      </c>
      <c r="D12" s="17" t="s">
        <v>16</v>
      </c>
      <c r="E12" s="18">
        <f>ROUND(17219*1.05,2)</f>
      </c>
      <c r="F12" s="17" t="s">
        <v>48</v>
      </c>
      <c r="G12" s="17" t="s">
        <v>18</v>
      </c>
      <c r="H12" s="26">
        <f>ROUND(RAND()*4+6,1)</f>
      </c>
      <c r="I12" s="17" t="s">
        <v>19</v>
      </c>
      <c r="J12" s="19">
        <f>ROUND(61*1,0)&amp;"%"</f>
      </c>
    </row>
    <row x14ac:dyDescent="0.25" r="13" customHeight="1" ht="17.25">
      <c r="A13" s="20" t="s">
        <v>6282</v>
      </c>
      <c r="B13" s="20" t="s">
        <v>50</v>
      </c>
      <c r="C13" s="20" t="s">
        <v>15</v>
      </c>
      <c r="D13" s="20" t="s">
        <v>22</v>
      </c>
      <c r="E13" s="21">
        <f>ROUND(11654*1.05,2)</f>
      </c>
      <c r="F13" s="20" t="s">
        <v>51</v>
      </c>
      <c r="G13" s="20" t="s">
        <v>24</v>
      </c>
      <c r="H13" s="21">
        <f>ROUND(RAND()*4+6,1)</f>
      </c>
      <c r="I13" s="20" t="s">
        <v>25</v>
      </c>
      <c r="J13" s="23">
        <f>ROUND(66*1,0)&amp;"%"</f>
      </c>
    </row>
    <row x14ac:dyDescent="0.25" r="14" customHeight="1" ht="17.25">
      <c r="A14" s="24" t="s">
        <v>52</v>
      </c>
      <c r="B14" s="24"/>
      <c r="C14" s="24"/>
      <c r="D14" s="24"/>
      <c r="E14" s="25">
        <v>8</v>
      </c>
      <c r="F14" s="9"/>
      <c r="G14" s="9"/>
      <c r="H14" s="10"/>
      <c r="I14" s="9"/>
      <c r="J14" s="9"/>
    </row>
    <row x14ac:dyDescent="0.25" r="15" customHeight="1" ht="17.25">
      <c r="A15" s="7"/>
      <c r="B15" s="7"/>
      <c r="C15" s="7"/>
      <c r="D15" s="7"/>
      <c r="E15" s="8"/>
      <c r="F15" s="9"/>
      <c r="G15" s="9"/>
      <c r="H15" s="10"/>
      <c r="I15" s="9"/>
      <c r="J15" s="9"/>
    </row>
    <row x14ac:dyDescent="0.25" r="16" customHeight="1" ht="17.25">
      <c r="A16" s="11" t="s">
        <v>6283</v>
      </c>
      <c r="B16" s="11"/>
      <c r="C16" s="11"/>
      <c r="D16" s="11"/>
      <c r="E16" s="12"/>
      <c r="F16" s="11"/>
      <c r="G16" s="11"/>
      <c r="H16" s="13"/>
      <c r="I16" s="11"/>
      <c r="J16" s="11"/>
    </row>
    <row x14ac:dyDescent="0.25" r="17" customHeight="1" ht="17.25">
      <c r="A17" s="14" t="s">
        <v>3</v>
      </c>
      <c r="B17" s="14" t="s">
        <v>4</v>
      </c>
      <c r="C17" s="14" t="s">
        <v>5</v>
      </c>
      <c r="D17" s="14" t="s">
        <v>6</v>
      </c>
      <c r="E17" s="15" t="s">
        <v>7</v>
      </c>
      <c r="F17" s="14" t="s">
        <v>8</v>
      </c>
      <c r="G17" s="14" t="s">
        <v>9</v>
      </c>
      <c r="H17" s="16" t="s">
        <v>10</v>
      </c>
      <c r="I17" s="14" t="s">
        <v>11</v>
      </c>
      <c r="J17" s="14" t="s">
        <v>12</v>
      </c>
    </row>
    <row x14ac:dyDescent="0.25" r="18" customHeight="1" ht="17.25">
      <c r="A18" s="17" t="s">
        <v>6284</v>
      </c>
      <c r="B18" s="17" t="s">
        <v>55</v>
      </c>
      <c r="C18" s="17" t="s">
        <v>56</v>
      </c>
      <c r="D18" s="17" t="s">
        <v>16</v>
      </c>
      <c r="E18" s="18">
        <f>ROUND(14319*1.05,2)</f>
      </c>
      <c r="F18" s="17" t="s">
        <v>17</v>
      </c>
      <c r="G18" s="17" t="s">
        <v>18</v>
      </c>
      <c r="H18" s="18">
        <f>ROUND(RAND()*4+6,1)</f>
      </c>
      <c r="I18" s="17" t="s">
        <v>19</v>
      </c>
      <c r="J18" s="19">
        <f>ROUND(62*1,0)&amp;"%"</f>
      </c>
    </row>
    <row x14ac:dyDescent="0.25" r="19" customHeight="1" ht="17.25">
      <c r="A19" s="20" t="s">
        <v>6285</v>
      </c>
      <c r="B19" s="20" t="s">
        <v>58</v>
      </c>
      <c r="C19" s="20" t="s">
        <v>56</v>
      </c>
      <c r="D19" s="20" t="s">
        <v>22</v>
      </c>
      <c r="E19" s="21">
        <f>ROUND(17249*1.05,2)</f>
      </c>
      <c r="F19" s="20" t="s">
        <v>23</v>
      </c>
      <c r="G19" s="20" t="s">
        <v>24</v>
      </c>
      <c r="H19" s="22">
        <f>ROUND(RAND()*4+6,1)</f>
      </c>
      <c r="I19" s="20" t="s">
        <v>25</v>
      </c>
      <c r="J19" s="23">
        <f>ROUND(80*1,0)&amp;"%"</f>
      </c>
    </row>
    <row x14ac:dyDescent="0.25" r="20" customHeight="1" ht="17.25">
      <c r="A20" s="17" t="s">
        <v>6286</v>
      </c>
      <c r="B20" s="17" t="s">
        <v>60</v>
      </c>
      <c r="C20" s="17" t="s">
        <v>56</v>
      </c>
      <c r="D20" s="17" t="s">
        <v>28</v>
      </c>
      <c r="E20" s="18">
        <f>ROUND(8755*1.05,2)</f>
      </c>
      <c r="F20" s="17" t="s">
        <v>29</v>
      </c>
      <c r="G20" s="17" t="s">
        <v>30</v>
      </c>
      <c r="H20" s="18">
        <f>ROUND(RAND()*4+6,1)</f>
      </c>
      <c r="I20" s="17" t="s">
        <v>31</v>
      </c>
      <c r="J20" s="19">
        <f>ROUND(84*1,0)&amp;"%"</f>
      </c>
    </row>
    <row x14ac:dyDescent="0.25" r="21" customHeight="1" ht="17.25">
      <c r="A21" s="20" t="s">
        <v>6287</v>
      </c>
      <c r="B21" s="20" t="s">
        <v>62</v>
      </c>
      <c r="C21" s="20" t="s">
        <v>56</v>
      </c>
      <c r="D21" s="20" t="s">
        <v>34</v>
      </c>
      <c r="E21" s="21">
        <f>ROUND(15632*1.05,2)</f>
      </c>
      <c r="F21" s="20" t="s">
        <v>35</v>
      </c>
      <c r="G21" s="20" t="s">
        <v>18</v>
      </c>
      <c r="H21" s="21">
        <f>ROUND(RAND()*4+6,1)</f>
      </c>
      <c r="I21" s="20" t="s">
        <v>36</v>
      </c>
      <c r="J21" s="23">
        <f>ROUND(94*1,0)&amp;"%"</f>
      </c>
    </row>
    <row x14ac:dyDescent="0.25" r="22" customHeight="1" ht="17.25">
      <c r="A22" s="17" t="s">
        <v>6288</v>
      </c>
      <c r="B22" s="17" t="s">
        <v>64</v>
      </c>
      <c r="C22" s="17" t="s">
        <v>56</v>
      </c>
      <c r="D22" s="17" t="s">
        <v>39</v>
      </c>
      <c r="E22" s="18">
        <f>ROUND(17363*1.05,2)</f>
      </c>
      <c r="F22" s="17" t="s">
        <v>40</v>
      </c>
      <c r="G22" s="17" t="s">
        <v>24</v>
      </c>
      <c r="H22" s="18">
        <f>ROUND(RAND()*4+6,1)</f>
      </c>
      <c r="I22" s="17" t="s">
        <v>41</v>
      </c>
      <c r="J22" s="19">
        <f>ROUND(62*1,0)&amp;"%"</f>
      </c>
    </row>
    <row x14ac:dyDescent="0.25" r="23" customHeight="1" ht="17.25">
      <c r="A23" s="20" t="s">
        <v>6289</v>
      </c>
      <c r="B23" s="20" t="s">
        <v>66</v>
      </c>
      <c r="C23" s="20" t="s">
        <v>56</v>
      </c>
      <c r="D23" s="20" t="s">
        <v>67</v>
      </c>
      <c r="E23" s="21">
        <f>ROUND(10361*1.05,2)</f>
      </c>
      <c r="F23" s="20" t="s">
        <v>44</v>
      </c>
      <c r="G23" s="20" t="s">
        <v>30</v>
      </c>
      <c r="H23" s="21">
        <f>ROUND(RAND()*4+6,1)</f>
      </c>
      <c r="I23" s="20" t="s">
        <v>45</v>
      </c>
      <c r="J23" s="23">
        <f>ROUND(92*1,0)&amp;"%"</f>
      </c>
    </row>
    <row x14ac:dyDescent="0.25" r="24" customHeight="1" ht="17.25">
      <c r="A24" s="17" t="s">
        <v>6290</v>
      </c>
      <c r="B24" s="17" t="s">
        <v>69</v>
      </c>
      <c r="C24" s="17" t="s">
        <v>56</v>
      </c>
      <c r="D24" s="17" t="s">
        <v>16</v>
      </c>
      <c r="E24" s="18">
        <f>ROUND(16452*1.05,2)</f>
      </c>
      <c r="F24" s="17" t="s">
        <v>48</v>
      </c>
      <c r="G24" s="17" t="s">
        <v>18</v>
      </c>
      <c r="H24" s="18">
        <f>ROUND(RAND()*4+6,1)</f>
      </c>
      <c r="I24" s="17" t="s">
        <v>19</v>
      </c>
      <c r="J24" s="19">
        <f>ROUND(86*1,0)&amp;"%"</f>
      </c>
    </row>
    <row x14ac:dyDescent="0.25" r="25" customHeight="1" ht="17.25">
      <c r="A25" s="20" t="s">
        <v>6291</v>
      </c>
      <c r="B25" s="20" t="s">
        <v>71</v>
      </c>
      <c r="C25" s="20" t="s">
        <v>56</v>
      </c>
      <c r="D25" s="20" t="s">
        <v>22</v>
      </c>
      <c r="E25" s="21">
        <f>ROUND(7768*1.05,2)</f>
      </c>
      <c r="F25" s="20" t="s">
        <v>51</v>
      </c>
      <c r="G25" s="20" t="s">
        <v>24</v>
      </c>
      <c r="H25" s="21">
        <f>ROUND(RAND()*4+6,1)</f>
      </c>
      <c r="I25" s="20" t="s">
        <v>25</v>
      </c>
      <c r="J25" s="23">
        <f>ROUND(61*1,0)&amp;"%"</f>
      </c>
    </row>
    <row x14ac:dyDescent="0.25" r="26" customHeight="1" ht="17.25">
      <c r="A26" s="24" t="s">
        <v>72</v>
      </c>
      <c r="B26" s="24"/>
      <c r="C26" s="24"/>
      <c r="D26" s="24"/>
      <c r="E26" s="25">
        <v>8</v>
      </c>
      <c r="F26" s="9"/>
      <c r="G26" s="9"/>
      <c r="H26" s="10"/>
      <c r="I26" s="9"/>
      <c r="J26" s="9"/>
    </row>
    <row x14ac:dyDescent="0.25" r="27" customHeight="1" ht="17.25">
      <c r="A27" s="7"/>
      <c r="B27" s="7"/>
      <c r="C27" s="7"/>
      <c r="D27" s="7"/>
      <c r="E27" s="8"/>
      <c r="F27" s="9"/>
      <c r="G27" s="9"/>
      <c r="H27" s="10"/>
      <c r="I27" s="9"/>
      <c r="J27" s="9"/>
    </row>
    <row x14ac:dyDescent="0.25" r="28" customHeight="1" ht="17.25">
      <c r="A28" s="11" t="s">
        <v>6292</v>
      </c>
      <c r="B28" s="11"/>
      <c r="C28" s="11"/>
      <c r="D28" s="11"/>
      <c r="E28" s="12"/>
      <c r="F28" s="11"/>
      <c r="G28" s="11"/>
      <c r="H28" s="13"/>
      <c r="I28" s="11"/>
      <c r="J28" s="11"/>
    </row>
    <row x14ac:dyDescent="0.25" r="29" customHeight="1" ht="17.25">
      <c r="A29" s="14" t="s">
        <v>3</v>
      </c>
      <c r="B29" s="14" t="s">
        <v>4</v>
      </c>
      <c r="C29" s="14" t="s">
        <v>5</v>
      </c>
      <c r="D29" s="14" t="s">
        <v>6</v>
      </c>
      <c r="E29" s="15" t="s">
        <v>7</v>
      </c>
      <c r="F29" s="14" t="s">
        <v>8</v>
      </c>
      <c r="G29" s="14" t="s">
        <v>9</v>
      </c>
      <c r="H29" s="16" t="s">
        <v>10</v>
      </c>
      <c r="I29" s="14" t="s">
        <v>11</v>
      </c>
      <c r="J29" s="14" t="s">
        <v>12</v>
      </c>
    </row>
    <row x14ac:dyDescent="0.25" r="30" customHeight="1" ht="17.25">
      <c r="A30" s="17" t="s">
        <v>6293</v>
      </c>
      <c r="B30" s="17" t="s">
        <v>75</v>
      </c>
      <c r="C30" s="17" t="s">
        <v>76</v>
      </c>
      <c r="D30" s="17" t="s">
        <v>16</v>
      </c>
      <c r="E30" s="18">
        <f>ROUND(6401*1.05,2)</f>
      </c>
      <c r="F30" s="17" t="s">
        <v>17</v>
      </c>
      <c r="G30" s="17" t="s">
        <v>18</v>
      </c>
      <c r="H30" s="18">
        <f>ROUND(RAND()*4+6,1)</f>
      </c>
      <c r="I30" s="17" t="s">
        <v>19</v>
      </c>
      <c r="J30" s="19">
        <f>ROUND(71*1,0)&amp;"%"</f>
      </c>
    </row>
    <row x14ac:dyDescent="0.25" r="31" customHeight="1" ht="17.25">
      <c r="A31" s="20" t="s">
        <v>6294</v>
      </c>
      <c r="B31" s="20" t="s">
        <v>78</v>
      </c>
      <c r="C31" s="20" t="s">
        <v>76</v>
      </c>
      <c r="D31" s="20" t="s">
        <v>22</v>
      </c>
      <c r="E31" s="21">
        <f>ROUND(4684*1.05,2)</f>
      </c>
      <c r="F31" s="20" t="s">
        <v>23</v>
      </c>
      <c r="G31" s="20" t="s">
        <v>24</v>
      </c>
      <c r="H31" s="22">
        <f>ROUND(RAND()*4+6,1)</f>
      </c>
      <c r="I31" s="20" t="s">
        <v>25</v>
      </c>
      <c r="J31" s="23">
        <f>ROUND(65*1,0)&amp;"%"</f>
      </c>
    </row>
    <row x14ac:dyDescent="0.25" r="32" customHeight="1" ht="17.25">
      <c r="A32" s="17" t="s">
        <v>6295</v>
      </c>
      <c r="B32" s="17" t="s">
        <v>80</v>
      </c>
      <c r="C32" s="17" t="s">
        <v>76</v>
      </c>
      <c r="D32" s="17" t="s">
        <v>28</v>
      </c>
      <c r="E32" s="18">
        <f>ROUND(13876*1.05,2)</f>
      </c>
      <c r="F32" s="17" t="s">
        <v>29</v>
      </c>
      <c r="G32" s="17" t="s">
        <v>30</v>
      </c>
      <c r="H32" s="18">
        <f>ROUND(RAND()*4+6,1)</f>
      </c>
      <c r="I32" s="17" t="s">
        <v>31</v>
      </c>
      <c r="J32" s="19">
        <f>ROUND(83*1,0)&amp;"%"</f>
      </c>
    </row>
    <row x14ac:dyDescent="0.25" r="33" customHeight="1" ht="17.25">
      <c r="A33" s="20" t="s">
        <v>6296</v>
      </c>
      <c r="B33" s="20" t="s">
        <v>82</v>
      </c>
      <c r="C33" s="20" t="s">
        <v>76</v>
      </c>
      <c r="D33" s="20" t="s">
        <v>34</v>
      </c>
      <c r="E33" s="21">
        <f>ROUND(6922*1.05,2)</f>
      </c>
      <c r="F33" s="20" t="s">
        <v>35</v>
      </c>
      <c r="G33" s="20" t="s">
        <v>18</v>
      </c>
      <c r="H33" s="21">
        <f>ROUND(RAND()*4+6,1)</f>
      </c>
      <c r="I33" s="20" t="s">
        <v>36</v>
      </c>
      <c r="J33" s="23">
        <f>ROUND(86*1,0)&amp;"%"</f>
      </c>
    </row>
    <row x14ac:dyDescent="0.25" r="34" customHeight="1" ht="17.25">
      <c r="A34" s="17" t="s">
        <v>6297</v>
      </c>
      <c r="B34" s="17" t="s">
        <v>84</v>
      </c>
      <c r="C34" s="17" t="s">
        <v>76</v>
      </c>
      <c r="D34" s="17" t="s">
        <v>39</v>
      </c>
      <c r="E34" s="18">
        <f>ROUND(16432*1.05,2)</f>
      </c>
      <c r="F34" s="17" t="s">
        <v>40</v>
      </c>
      <c r="G34" s="17" t="s">
        <v>24</v>
      </c>
      <c r="H34" s="18">
        <f>ROUND(RAND()*4+6,1)</f>
      </c>
      <c r="I34" s="17" t="s">
        <v>41</v>
      </c>
      <c r="J34" s="19">
        <f>ROUND(76*1,0)&amp;"%"</f>
      </c>
    </row>
    <row x14ac:dyDescent="0.25" r="35" customHeight="1" ht="17.25">
      <c r="A35" s="20" t="s">
        <v>6298</v>
      </c>
      <c r="B35" s="20" t="s">
        <v>86</v>
      </c>
      <c r="C35" s="20" t="s">
        <v>76</v>
      </c>
      <c r="D35" s="20" t="s">
        <v>67</v>
      </c>
      <c r="E35" s="21">
        <f>ROUND(7269*1.05,2)</f>
      </c>
      <c r="F35" s="20" t="s">
        <v>44</v>
      </c>
      <c r="G35" s="20" t="s">
        <v>30</v>
      </c>
      <c r="H35" s="21">
        <f>ROUND(RAND()*4+6,1)</f>
      </c>
      <c r="I35" s="20" t="s">
        <v>45</v>
      </c>
      <c r="J35" s="23">
        <f>ROUND(67*1,0)&amp;"%"</f>
      </c>
    </row>
    <row x14ac:dyDescent="0.25" r="36" customHeight="1" ht="17.25">
      <c r="A36" s="17" t="s">
        <v>6299</v>
      </c>
      <c r="B36" s="17" t="s">
        <v>88</v>
      </c>
      <c r="C36" s="17" t="s">
        <v>76</v>
      </c>
      <c r="D36" s="17" t="s">
        <v>16</v>
      </c>
      <c r="E36" s="18">
        <f>ROUND(11481*1.05,2)</f>
      </c>
      <c r="F36" s="17" t="s">
        <v>48</v>
      </c>
      <c r="G36" s="17" t="s">
        <v>18</v>
      </c>
      <c r="H36" s="18">
        <f>ROUND(RAND()*4+6,1)</f>
      </c>
      <c r="I36" s="17" t="s">
        <v>19</v>
      </c>
      <c r="J36" s="19">
        <f>ROUND(98*1,0)&amp;"%"</f>
      </c>
    </row>
    <row x14ac:dyDescent="0.25" r="37" customHeight="1" ht="17.25">
      <c r="A37" s="20" t="s">
        <v>6300</v>
      </c>
      <c r="B37" s="20" t="s">
        <v>90</v>
      </c>
      <c r="C37" s="20" t="s">
        <v>76</v>
      </c>
      <c r="D37" s="20" t="s">
        <v>22</v>
      </c>
      <c r="E37" s="21">
        <f>ROUND(8173*1.05,2)</f>
      </c>
      <c r="F37" s="20" t="s">
        <v>51</v>
      </c>
      <c r="G37" s="20" t="s">
        <v>24</v>
      </c>
      <c r="H37" s="21">
        <f>ROUND(RAND()*4+6,1)</f>
      </c>
      <c r="I37" s="20" t="s">
        <v>25</v>
      </c>
      <c r="J37" s="23">
        <f>ROUND(90*1,0)&amp;"%"</f>
      </c>
    </row>
    <row x14ac:dyDescent="0.25" r="38" customHeight="1" ht="17.25">
      <c r="A38" s="24" t="s">
        <v>91</v>
      </c>
      <c r="B38" s="24"/>
      <c r="C38" s="24"/>
      <c r="D38" s="24"/>
      <c r="E38" s="25">
        <v>8</v>
      </c>
      <c r="F38" s="9"/>
      <c r="G38" s="9"/>
      <c r="H38" s="10"/>
      <c r="I38" s="9"/>
      <c r="J38" s="9"/>
    </row>
    <row x14ac:dyDescent="0.25" r="39" customHeight="1" ht="17.25">
      <c r="A39" s="7"/>
      <c r="B39" s="7"/>
      <c r="C39" s="7"/>
      <c r="D39" s="7"/>
      <c r="E39" s="8"/>
      <c r="F39" s="9"/>
      <c r="G39" s="9"/>
      <c r="H39" s="10"/>
      <c r="I39" s="9"/>
      <c r="J39" s="9"/>
    </row>
    <row x14ac:dyDescent="0.25" r="40" customHeight="1" ht="17.25">
      <c r="A40" s="11" t="s">
        <v>6301</v>
      </c>
      <c r="B40" s="11"/>
      <c r="C40" s="11"/>
      <c r="D40" s="11"/>
      <c r="E40" s="12"/>
      <c r="F40" s="11"/>
      <c r="G40" s="11"/>
      <c r="H40" s="13"/>
      <c r="I40" s="11"/>
      <c r="J40" s="11"/>
    </row>
    <row x14ac:dyDescent="0.25" r="41" customHeight="1" ht="17.25">
      <c r="A41" s="14" t="s">
        <v>3</v>
      </c>
      <c r="B41" s="14" t="s">
        <v>4</v>
      </c>
      <c r="C41" s="14" t="s">
        <v>5</v>
      </c>
      <c r="D41" s="14" t="s">
        <v>6</v>
      </c>
      <c r="E41" s="15" t="s">
        <v>7</v>
      </c>
      <c r="F41" s="14" t="s">
        <v>8</v>
      </c>
      <c r="G41" s="14" t="s">
        <v>9</v>
      </c>
      <c r="H41" s="16" t="s">
        <v>10</v>
      </c>
      <c r="I41" s="14" t="s">
        <v>11</v>
      </c>
      <c r="J41" s="14" t="s">
        <v>12</v>
      </c>
    </row>
    <row x14ac:dyDescent="0.25" r="42" customHeight="1" ht="17.25">
      <c r="A42" s="17" t="s">
        <v>6302</v>
      </c>
      <c r="B42" s="17" t="s">
        <v>94</v>
      </c>
      <c r="C42" s="17" t="s">
        <v>95</v>
      </c>
      <c r="D42" s="17" t="s">
        <v>16</v>
      </c>
      <c r="E42" s="18">
        <f>ROUND(15104*1.05,2)</f>
      </c>
      <c r="F42" s="17" t="s">
        <v>17</v>
      </c>
      <c r="G42" s="17" t="s">
        <v>18</v>
      </c>
      <c r="H42" s="18">
        <f>ROUND(RAND()*4+6,1)</f>
      </c>
      <c r="I42" s="17" t="s">
        <v>19</v>
      </c>
      <c r="J42" s="19">
        <f>ROUND(81*1,0)&amp;"%"</f>
      </c>
    </row>
    <row x14ac:dyDescent="0.25" r="43" customHeight="1" ht="17.25">
      <c r="A43" s="20" t="s">
        <v>6303</v>
      </c>
      <c r="B43" s="20" t="s">
        <v>97</v>
      </c>
      <c r="C43" s="20" t="s">
        <v>95</v>
      </c>
      <c r="D43" s="20" t="s">
        <v>22</v>
      </c>
      <c r="E43" s="21">
        <f>ROUND(12908*1.05,2)</f>
      </c>
      <c r="F43" s="20" t="s">
        <v>23</v>
      </c>
      <c r="G43" s="20" t="s">
        <v>24</v>
      </c>
      <c r="H43" s="22">
        <f>ROUND(RAND()*4+6,1)</f>
      </c>
      <c r="I43" s="20" t="s">
        <v>25</v>
      </c>
      <c r="J43" s="23">
        <f>ROUND(95*1,0)&amp;"%"</f>
      </c>
    </row>
    <row x14ac:dyDescent="0.25" r="44" customHeight="1" ht="17.25">
      <c r="A44" s="17" t="s">
        <v>6304</v>
      </c>
      <c r="B44" s="17" t="s">
        <v>99</v>
      </c>
      <c r="C44" s="17" t="s">
        <v>95</v>
      </c>
      <c r="D44" s="17" t="s">
        <v>28</v>
      </c>
      <c r="E44" s="18">
        <f>ROUND(4164*1.05,2)</f>
      </c>
      <c r="F44" s="17" t="s">
        <v>29</v>
      </c>
      <c r="G44" s="17" t="s">
        <v>30</v>
      </c>
      <c r="H44" s="18">
        <f>ROUND(RAND()*4+6,1)</f>
      </c>
      <c r="I44" s="17" t="s">
        <v>31</v>
      </c>
      <c r="J44" s="19">
        <f>ROUND(65*1,0)&amp;"%"</f>
      </c>
    </row>
    <row x14ac:dyDescent="0.25" r="45" customHeight="1" ht="17.25">
      <c r="A45" s="20" t="s">
        <v>6305</v>
      </c>
      <c r="B45" s="20" t="s">
        <v>101</v>
      </c>
      <c r="C45" s="20" t="s">
        <v>95</v>
      </c>
      <c r="D45" s="20" t="s">
        <v>34</v>
      </c>
      <c r="E45" s="21">
        <f>ROUND(13656*1.05,2)</f>
      </c>
      <c r="F45" s="20" t="s">
        <v>35</v>
      </c>
      <c r="G45" s="20" t="s">
        <v>18</v>
      </c>
      <c r="H45" s="21">
        <f>ROUND(RAND()*4+6,1)</f>
      </c>
      <c r="I45" s="20" t="s">
        <v>36</v>
      </c>
      <c r="J45" s="23">
        <f>ROUND(78*1,0)&amp;"%"</f>
      </c>
    </row>
    <row x14ac:dyDescent="0.25" r="46" customHeight="1" ht="17.25">
      <c r="A46" s="17" t="s">
        <v>6306</v>
      </c>
      <c r="B46" s="17" t="s">
        <v>103</v>
      </c>
      <c r="C46" s="17" t="s">
        <v>95</v>
      </c>
      <c r="D46" s="17" t="s">
        <v>39</v>
      </c>
      <c r="E46" s="18">
        <f>ROUND(17985*1.05,2)</f>
      </c>
      <c r="F46" s="17" t="s">
        <v>40</v>
      </c>
      <c r="G46" s="17" t="s">
        <v>24</v>
      </c>
      <c r="H46" s="18">
        <f>ROUND(RAND()*4+6,1)</f>
      </c>
      <c r="I46" s="17" t="s">
        <v>41</v>
      </c>
      <c r="J46" s="19">
        <f>ROUND(88*1,0)&amp;"%"</f>
      </c>
    </row>
    <row x14ac:dyDescent="0.25" r="47" customHeight="1" ht="17.25">
      <c r="A47" s="20" t="s">
        <v>6307</v>
      </c>
      <c r="B47" s="20" t="s">
        <v>105</v>
      </c>
      <c r="C47" s="20" t="s">
        <v>95</v>
      </c>
      <c r="D47" s="20" t="s">
        <v>67</v>
      </c>
      <c r="E47" s="21">
        <f>ROUND(11475*1.05,2)</f>
      </c>
      <c r="F47" s="20" t="s">
        <v>44</v>
      </c>
      <c r="G47" s="20" t="s">
        <v>30</v>
      </c>
      <c r="H47" s="21">
        <f>ROUND(RAND()*4+6,1)</f>
      </c>
      <c r="I47" s="20" t="s">
        <v>45</v>
      </c>
      <c r="J47" s="23">
        <f>ROUND(60*1,0)&amp;"%"</f>
      </c>
    </row>
    <row x14ac:dyDescent="0.25" r="48" customHeight="1" ht="17.25">
      <c r="A48" s="17" t="s">
        <v>6308</v>
      </c>
      <c r="B48" s="17" t="s">
        <v>107</v>
      </c>
      <c r="C48" s="17" t="s">
        <v>95</v>
      </c>
      <c r="D48" s="17" t="s">
        <v>16</v>
      </c>
      <c r="E48" s="18">
        <f>ROUND(4962*1.05,2)</f>
      </c>
      <c r="F48" s="17" t="s">
        <v>48</v>
      </c>
      <c r="G48" s="17" t="s">
        <v>18</v>
      </c>
      <c r="H48" s="26">
        <f>ROUND(RAND()*4+6,1)</f>
      </c>
      <c r="I48" s="17" t="s">
        <v>19</v>
      </c>
      <c r="J48" s="19">
        <f>ROUND(66*1,0)&amp;"%"</f>
      </c>
    </row>
    <row x14ac:dyDescent="0.25" r="49" customHeight="1" ht="17.25">
      <c r="A49" s="20" t="s">
        <v>6309</v>
      </c>
      <c r="B49" s="20" t="s">
        <v>109</v>
      </c>
      <c r="C49" s="20" t="s">
        <v>95</v>
      </c>
      <c r="D49" s="20" t="s">
        <v>22</v>
      </c>
      <c r="E49" s="22">
        <f>ROUND(14220*1.05,2)</f>
      </c>
      <c r="F49" s="20" t="s">
        <v>51</v>
      </c>
      <c r="G49" s="20" t="s">
        <v>24</v>
      </c>
      <c r="H49" s="21">
        <f>ROUND(RAND()*4+6,1)</f>
      </c>
      <c r="I49" s="20" t="s">
        <v>25</v>
      </c>
      <c r="J49" s="23">
        <f>ROUND(73*1,0)&amp;"%"</f>
      </c>
    </row>
    <row x14ac:dyDescent="0.25" r="50" customHeight="1" ht="17.25">
      <c r="A50" s="24" t="s">
        <v>110</v>
      </c>
      <c r="B50" s="24"/>
      <c r="C50" s="24"/>
      <c r="D50" s="24"/>
      <c r="E50" s="25">
        <v>8</v>
      </c>
      <c r="F50" s="9"/>
      <c r="G50" s="9"/>
      <c r="H50" s="10"/>
      <c r="I50" s="9"/>
      <c r="J50" s="9"/>
    </row>
    <row x14ac:dyDescent="0.25" r="51" customHeight="1" ht="17.25">
      <c r="A51" s="7"/>
      <c r="B51" s="7"/>
      <c r="C51" s="7"/>
      <c r="D51" s="7"/>
      <c r="E51" s="8"/>
      <c r="F51" s="9"/>
      <c r="G51" s="9"/>
      <c r="H51" s="10"/>
      <c r="I51" s="9"/>
      <c r="J51" s="9"/>
    </row>
    <row x14ac:dyDescent="0.25" r="52" customHeight="1" ht="17.25">
      <c r="A52" s="11" t="s">
        <v>6310</v>
      </c>
      <c r="B52" s="11"/>
      <c r="C52" s="11"/>
      <c r="D52" s="11"/>
      <c r="E52" s="12"/>
      <c r="F52" s="11"/>
      <c r="G52" s="11"/>
      <c r="H52" s="13"/>
      <c r="I52" s="11"/>
      <c r="J52" s="11"/>
    </row>
    <row x14ac:dyDescent="0.25" r="53" customHeight="1" ht="17.25">
      <c r="A53" s="14" t="s">
        <v>3</v>
      </c>
      <c r="B53" s="14" t="s">
        <v>4</v>
      </c>
      <c r="C53" s="14" t="s">
        <v>5</v>
      </c>
      <c r="D53" s="14" t="s">
        <v>6</v>
      </c>
      <c r="E53" s="15" t="s">
        <v>7</v>
      </c>
      <c r="F53" s="14" t="s">
        <v>8</v>
      </c>
      <c r="G53" s="14" t="s">
        <v>9</v>
      </c>
      <c r="H53" s="16" t="s">
        <v>10</v>
      </c>
      <c r="I53" s="14" t="s">
        <v>11</v>
      </c>
      <c r="J53" s="14" t="s">
        <v>12</v>
      </c>
    </row>
    <row x14ac:dyDescent="0.25" r="54" customHeight="1" ht="17.25">
      <c r="A54" s="17" t="s">
        <v>6311</v>
      </c>
      <c r="B54" s="17" t="s">
        <v>113</v>
      </c>
      <c r="C54" s="17" t="s">
        <v>114</v>
      </c>
      <c r="D54" s="17" t="s">
        <v>16</v>
      </c>
      <c r="E54" s="18">
        <f>ROUND(4091*1.05,2)</f>
      </c>
      <c r="F54" s="17" t="s">
        <v>17</v>
      </c>
      <c r="G54" s="17" t="s">
        <v>18</v>
      </c>
      <c r="H54" s="18">
        <f>ROUND(RAND()*4+6,1)</f>
      </c>
      <c r="I54" s="17" t="s">
        <v>19</v>
      </c>
      <c r="J54" s="19">
        <f>ROUND(98*1,0)&amp;"%"</f>
      </c>
    </row>
    <row x14ac:dyDescent="0.25" r="55" customHeight="1" ht="17.25">
      <c r="A55" s="20" t="s">
        <v>6312</v>
      </c>
      <c r="B55" s="20" t="s">
        <v>116</v>
      </c>
      <c r="C55" s="20" t="s">
        <v>114</v>
      </c>
      <c r="D55" s="20" t="s">
        <v>22</v>
      </c>
      <c r="E55" s="21">
        <f>ROUND(12250*1.05,2)</f>
      </c>
      <c r="F55" s="20" t="s">
        <v>23</v>
      </c>
      <c r="G55" s="20" t="s">
        <v>24</v>
      </c>
      <c r="H55" s="21">
        <f>ROUND(RAND()*4+6,1)</f>
      </c>
      <c r="I55" s="20" t="s">
        <v>25</v>
      </c>
      <c r="J55" s="23">
        <f>ROUND(76*1,0)&amp;"%"</f>
      </c>
    </row>
    <row x14ac:dyDescent="0.25" r="56" customHeight="1" ht="17.25">
      <c r="A56" s="17" t="s">
        <v>6313</v>
      </c>
      <c r="B56" s="17" t="s">
        <v>118</v>
      </c>
      <c r="C56" s="17" t="s">
        <v>114</v>
      </c>
      <c r="D56" s="17" t="s">
        <v>28</v>
      </c>
      <c r="E56" s="18">
        <f>ROUND(14228*1.05,2)</f>
      </c>
      <c r="F56" s="17" t="s">
        <v>29</v>
      </c>
      <c r="G56" s="17" t="s">
        <v>30</v>
      </c>
      <c r="H56" s="18">
        <f>ROUND(RAND()*4+6,1)</f>
      </c>
      <c r="I56" s="17" t="s">
        <v>31</v>
      </c>
      <c r="J56" s="19">
        <f>ROUND(92*1,0)&amp;"%"</f>
      </c>
    </row>
    <row x14ac:dyDescent="0.25" r="57" customHeight="1" ht="17.25">
      <c r="A57" s="20" t="s">
        <v>6314</v>
      </c>
      <c r="B57" s="20" t="s">
        <v>120</v>
      </c>
      <c r="C57" s="20" t="s">
        <v>114</v>
      </c>
      <c r="D57" s="20" t="s">
        <v>34</v>
      </c>
      <c r="E57" s="21">
        <f>ROUND(8232*1.05,2)</f>
      </c>
      <c r="F57" s="20" t="s">
        <v>35</v>
      </c>
      <c r="G57" s="20" t="s">
        <v>18</v>
      </c>
      <c r="H57" s="21">
        <f>ROUND(RAND()*4+6,1)</f>
      </c>
      <c r="I57" s="20" t="s">
        <v>36</v>
      </c>
      <c r="J57" s="23">
        <f>ROUND(67*1,0)&amp;"%"</f>
      </c>
    </row>
    <row x14ac:dyDescent="0.25" r="58" customHeight="1" ht="17.25">
      <c r="A58" s="17" t="s">
        <v>6315</v>
      </c>
      <c r="B58" s="17" t="s">
        <v>122</v>
      </c>
      <c r="C58" s="17" t="s">
        <v>114</v>
      </c>
      <c r="D58" s="17" t="s">
        <v>39</v>
      </c>
      <c r="E58" s="18">
        <f>ROUND(4737*1.05,2)</f>
      </c>
      <c r="F58" s="17" t="s">
        <v>40</v>
      </c>
      <c r="G58" s="17" t="s">
        <v>24</v>
      </c>
      <c r="H58" s="26">
        <f>ROUND(RAND()*4+6,1)</f>
      </c>
      <c r="I58" s="17" t="s">
        <v>41</v>
      </c>
      <c r="J58" s="19">
        <f>ROUND(100*1,0)&amp;"%"</f>
      </c>
    </row>
    <row x14ac:dyDescent="0.25" r="59" customHeight="1" ht="17.25">
      <c r="A59" s="20" t="s">
        <v>6316</v>
      </c>
      <c r="B59" s="20" t="s">
        <v>124</v>
      </c>
      <c r="C59" s="20" t="s">
        <v>114</v>
      </c>
      <c r="D59" s="20" t="s">
        <v>67</v>
      </c>
      <c r="E59" s="22">
        <f>ROUND(11400*1.05,2)</f>
      </c>
      <c r="F59" s="20" t="s">
        <v>44</v>
      </c>
      <c r="G59" s="20" t="s">
        <v>30</v>
      </c>
      <c r="H59" s="21">
        <f>ROUND(RAND()*4+6,1)</f>
      </c>
      <c r="I59" s="20" t="s">
        <v>45</v>
      </c>
      <c r="J59" s="23">
        <f>ROUND(70*1,0)&amp;"%"</f>
      </c>
    </row>
    <row x14ac:dyDescent="0.25" r="60" customHeight="1" ht="17.25">
      <c r="A60" s="17" t="s">
        <v>6317</v>
      </c>
      <c r="B60" s="17" t="s">
        <v>126</v>
      </c>
      <c r="C60" s="17" t="s">
        <v>114</v>
      </c>
      <c r="D60" s="17" t="s">
        <v>16</v>
      </c>
      <c r="E60" s="18">
        <f>ROUND(15171*1.05,2)</f>
      </c>
      <c r="F60" s="17" t="s">
        <v>48</v>
      </c>
      <c r="G60" s="17" t="s">
        <v>18</v>
      </c>
      <c r="H60" s="18">
        <f>ROUND(RAND()*4+6,1)</f>
      </c>
      <c r="I60" s="17" t="s">
        <v>19</v>
      </c>
      <c r="J60" s="19">
        <f>ROUND(75*1,0)&amp;"%"</f>
      </c>
    </row>
    <row x14ac:dyDescent="0.25" r="61" customHeight="1" ht="17.25">
      <c r="A61" s="20" t="s">
        <v>6318</v>
      </c>
      <c r="B61" s="20" t="s">
        <v>128</v>
      </c>
      <c r="C61" s="20" t="s">
        <v>114</v>
      </c>
      <c r="D61" s="20" t="s">
        <v>22</v>
      </c>
      <c r="E61" s="21">
        <f>ROUND(6473*1.05,2)</f>
      </c>
      <c r="F61" s="20" t="s">
        <v>51</v>
      </c>
      <c r="G61" s="20" t="s">
        <v>24</v>
      </c>
      <c r="H61" s="22">
        <f>ROUND(RAND()*4+6,1)</f>
      </c>
      <c r="I61" s="20" t="s">
        <v>25</v>
      </c>
      <c r="J61" s="23">
        <f>ROUND(70*1,0)&amp;"%"</f>
      </c>
    </row>
    <row x14ac:dyDescent="0.25" r="62" customHeight="1" ht="17.25">
      <c r="A62" s="24" t="s">
        <v>129</v>
      </c>
      <c r="B62" s="24"/>
      <c r="C62" s="24"/>
      <c r="D62" s="24"/>
      <c r="E62" s="25">
        <v>8</v>
      </c>
      <c r="F62" s="9"/>
      <c r="G62" s="9"/>
      <c r="H62" s="10"/>
      <c r="I62" s="9"/>
      <c r="J62" s="9"/>
    </row>
    <row x14ac:dyDescent="0.25" r="63" customHeight="1" ht="17.25">
      <c r="A63" s="7"/>
      <c r="B63" s="7"/>
      <c r="C63" s="7"/>
      <c r="D63" s="7"/>
      <c r="E63" s="8"/>
      <c r="F63" s="9"/>
      <c r="G63" s="9"/>
      <c r="H63" s="10"/>
      <c r="I63" s="9"/>
      <c r="J63" s="9"/>
    </row>
    <row x14ac:dyDescent="0.25" r="64" customHeight="1" ht="17.25">
      <c r="A64" s="11" t="s">
        <v>6319</v>
      </c>
      <c r="B64" s="11"/>
      <c r="C64" s="11"/>
      <c r="D64" s="11"/>
      <c r="E64" s="12"/>
      <c r="F64" s="11"/>
      <c r="G64" s="11"/>
      <c r="H64" s="13"/>
      <c r="I64" s="11"/>
      <c r="J64" s="11"/>
    </row>
    <row x14ac:dyDescent="0.25" r="65" customHeight="1" ht="17.25">
      <c r="A65" s="14" t="s">
        <v>3</v>
      </c>
      <c r="B65" s="14" t="s">
        <v>4</v>
      </c>
      <c r="C65" s="14" t="s">
        <v>5</v>
      </c>
      <c r="D65" s="14" t="s">
        <v>6</v>
      </c>
      <c r="E65" s="15" t="s">
        <v>7</v>
      </c>
      <c r="F65" s="14" t="s">
        <v>8</v>
      </c>
      <c r="G65" s="14" t="s">
        <v>9</v>
      </c>
      <c r="H65" s="16" t="s">
        <v>10</v>
      </c>
      <c r="I65" s="14" t="s">
        <v>11</v>
      </c>
      <c r="J65" s="14" t="s">
        <v>12</v>
      </c>
    </row>
    <row x14ac:dyDescent="0.25" r="66" customHeight="1" ht="17.25">
      <c r="A66" s="17" t="s">
        <v>6320</v>
      </c>
      <c r="B66" s="17" t="s">
        <v>132</v>
      </c>
      <c r="C66" s="17" t="s">
        <v>133</v>
      </c>
      <c r="D66" s="17" t="s">
        <v>16</v>
      </c>
      <c r="E66" s="18">
        <f>ROUND(11063*1.05,2)</f>
      </c>
      <c r="F66" s="17" t="s">
        <v>17</v>
      </c>
      <c r="G66" s="17" t="s">
        <v>18</v>
      </c>
      <c r="H66" s="18">
        <f>ROUND(RAND()*4+6,1)</f>
      </c>
      <c r="I66" s="17" t="s">
        <v>19</v>
      </c>
      <c r="J66" s="19">
        <f>ROUND(96*1,0)&amp;"%"</f>
      </c>
    </row>
    <row x14ac:dyDescent="0.25" r="67" customHeight="1" ht="17.25">
      <c r="A67" s="20" t="s">
        <v>6321</v>
      </c>
      <c r="B67" s="20" t="s">
        <v>135</v>
      </c>
      <c r="C67" s="20" t="s">
        <v>133</v>
      </c>
      <c r="D67" s="20" t="s">
        <v>22</v>
      </c>
      <c r="E67" s="21">
        <f>ROUND(12944*1.05,2)</f>
      </c>
      <c r="F67" s="20" t="s">
        <v>23</v>
      </c>
      <c r="G67" s="20" t="s">
        <v>24</v>
      </c>
      <c r="H67" s="21">
        <f>ROUND(RAND()*4+6,1)</f>
      </c>
      <c r="I67" s="20" t="s">
        <v>25</v>
      </c>
      <c r="J67" s="23">
        <f>ROUND(73*1,0)&amp;"%"</f>
      </c>
    </row>
    <row x14ac:dyDescent="0.25" r="68" customHeight="1" ht="17.25">
      <c r="A68" s="17" t="s">
        <v>6322</v>
      </c>
      <c r="B68" s="17" t="s">
        <v>137</v>
      </c>
      <c r="C68" s="17" t="s">
        <v>133</v>
      </c>
      <c r="D68" s="17" t="s">
        <v>28</v>
      </c>
      <c r="E68" s="18">
        <f>ROUND(13050*1.05,2)</f>
      </c>
      <c r="F68" s="17" t="s">
        <v>29</v>
      </c>
      <c r="G68" s="17" t="s">
        <v>30</v>
      </c>
      <c r="H68" s="18">
        <f>ROUND(RAND()*4+6,1)</f>
      </c>
      <c r="I68" s="17" t="s">
        <v>31</v>
      </c>
      <c r="J68" s="19">
        <f>ROUND(80*1,0)&amp;"%"</f>
      </c>
    </row>
    <row x14ac:dyDescent="0.25" r="69" customHeight="1" ht="17.25">
      <c r="A69" s="20" t="s">
        <v>6323</v>
      </c>
      <c r="B69" s="20" t="s">
        <v>139</v>
      </c>
      <c r="C69" s="20" t="s">
        <v>133</v>
      </c>
      <c r="D69" s="20" t="s">
        <v>34</v>
      </c>
      <c r="E69" s="21">
        <f>ROUND(14482*1.05,2)</f>
      </c>
      <c r="F69" s="20" t="s">
        <v>35</v>
      </c>
      <c r="G69" s="20" t="s">
        <v>18</v>
      </c>
      <c r="H69" s="21">
        <f>ROUND(RAND()*4+6,1)</f>
      </c>
      <c r="I69" s="20" t="s">
        <v>36</v>
      </c>
      <c r="J69" s="23">
        <f>ROUND(79*1,0)&amp;"%"</f>
      </c>
    </row>
    <row x14ac:dyDescent="0.25" r="70" customHeight="1" ht="17.25">
      <c r="A70" s="17" t="s">
        <v>6324</v>
      </c>
      <c r="B70" s="17" t="s">
        <v>141</v>
      </c>
      <c r="C70" s="17" t="s">
        <v>133</v>
      </c>
      <c r="D70" s="17" t="s">
        <v>39</v>
      </c>
      <c r="E70" s="18">
        <f>ROUND(14693*1.05,2)</f>
      </c>
      <c r="F70" s="17" t="s">
        <v>40</v>
      </c>
      <c r="G70" s="17" t="s">
        <v>24</v>
      </c>
      <c r="H70" s="26">
        <f>ROUND(RAND()*4+6,1)</f>
      </c>
      <c r="I70" s="17" t="s">
        <v>41</v>
      </c>
      <c r="J70" s="19">
        <f>ROUND(77*1,0)&amp;"%"</f>
      </c>
    </row>
    <row x14ac:dyDescent="0.25" r="71" customHeight="1" ht="17.25">
      <c r="A71" s="20" t="s">
        <v>6325</v>
      </c>
      <c r="B71" s="20" t="s">
        <v>143</v>
      </c>
      <c r="C71" s="20" t="s">
        <v>133</v>
      </c>
      <c r="D71" s="20" t="s">
        <v>67</v>
      </c>
      <c r="E71" s="21">
        <f>ROUND(10735*1.05,2)</f>
      </c>
      <c r="F71" s="20" t="s">
        <v>44</v>
      </c>
      <c r="G71" s="20" t="s">
        <v>30</v>
      </c>
      <c r="H71" s="21">
        <f>ROUND(RAND()*4+6,1)</f>
      </c>
      <c r="I71" s="20" t="s">
        <v>45</v>
      </c>
      <c r="J71" s="23">
        <f>ROUND(66*1,0)&amp;"%"</f>
      </c>
    </row>
    <row x14ac:dyDescent="0.25" r="72" customHeight="1" ht="17.25">
      <c r="A72" s="17" t="s">
        <v>6326</v>
      </c>
      <c r="B72" s="17" t="s">
        <v>145</v>
      </c>
      <c r="C72" s="17" t="s">
        <v>133</v>
      </c>
      <c r="D72" s="17" t="s">
        <v>16</v>
      </c>
      <c r="E72" s="18">
        <f>ROUND(10223*1.05,2)</f>
      </c>
      <c r="F72" s="17" t="s">
        <v>48</v>
      </c>
      <c r="G72" s="17" t="s">
        <v>18</v>
      </c>
      <c r="H72" s="18">
        <f>ROUND(RAND()*4+6,1)</f>
      </c>
      <c r="I72" s="17" t="s">
        <v>19</v>
      </c>
      <c r="J72" s="19">
        <f>ROUND(73*1,0)&amp;"%"</f>
      </c>
    </row>
    <row x14ac:dyDescent="0.25" r="73" customHeight="1" ht="17.25">
      <c r="A73" s="20" t="s">
        <v>6327</v>
      </c>
      <c r="B73" s="20" t="s">
        <v>147</v>
      </c>
      <c r="C73" s="20" t="s">
        <v>133</v>
      </c>
      <c r="D73" s="20" t="s">
        <v>22</v>
      </c>
      <c r="E73" s="21">
        <f>ROUND(13464*1.05,2)</f>
      </c>
      <c r="F73" s="20" t="s">
        <v>51</v>
      </c>
      <c r="G73" s="20" t="s">
        <v>24</v>
      </c>
      <c r="H73" s="21">
        <f>ROUND(RAND()*4+6,1)</f>
      </c>
      <c r="I73" s="20" t="s">
        <v>25</v>
      </c>
      <c r="J73" s="23">
        <f>ROUND(63*1,0)&amp;"%"</f>
      </c>
    </row>
    <row x14ac:dyDescent="0.25" r="74" customHeight="1" ht="17.25">
      <c r="A74" s="24" t="s">
        <v>148</v>
      </c>
      <c r="B74" s="24"/>
      <c r="C74" s="24"/>
      <c r="D74" s="24"/>
      <c r="E74" s="25">
        <v>8</v>
      </c>
      <c r="F74" s="9"/>
      <c r="G74" s="9"/>
      <c r="H74" s="10"/>
      <c r="I74" s="9"/>
      <c r="J74" s="9"/>
    </row>
    <row x14ac:dyDescent="0.25" r="75" customHeight="1" ht="17.25">
      <c r="A75" s="7"/>
      <c r="B75" s="7"/>
      <c r="C75" s="7"/>
      <c r="D75" s="7"/>
      <c r="E75" s="8"/>
      <c r="F75" s="9"/>
      <c r="G75" s="9"/>
      <c r="H75" s="10"/>
      <c r="I75" s="9"/>
      <c r="J75" s="9"/>
    </row>
    <row x14ac:dyDescent="0.25" r="76" customHeight="1" ht="17.25">
      <c r="A76" s="11" t="s">
        <v>6328</v>
      </c>
      <c r="B76" s="11"/>
      <c r="C76" s="11"/>
      <c r="D76" s="11"/>
      <c r="E76" s="12"/>
      <c r="F76" s="11"/>
      <c r="G76" s="11"/>
      <c r="H76" s="13"/>
      <c r="I76" s="11"/>
      <c r="J76" s="11"/>
    </row>
    <row x14ac:dyDescent="0.25" r="77" customHeight="1" ht="17.25">
      <c r="A77" s="14" t="s">
        <v>3</v>
      </c>
      <c r="B77" s="14" t="s">
        <v>4</v>
      </c>
      <c r="C77" s="14" t="s">
        <v>5</v>
      </c>
      <c r="D77" s="14" t="s">
        <v>6</v>
      </c>
      <c r="E77" s="15" t="s">
        <v>7</v>
      </c>
      <c r="F77" s="14" t="s">
        <v>8</v>
      </c>
      <c r="G77" s="14" t="s">
        <v>9</v>
      </c>
      <c r="H77" s="16" t="s">
        <v>10</v>
      </c>
      <c r="I77" s="14" t="s">
        <v>11</v>
      </c>
      <c r="J77" s="14" t="s">
        <v>12</v>
      </c>
    </row>
    <row x14ac:dyDescent="0.25" r="78" customHeight="1" ht="17.25">
      <c r="A78" s="17" t="s">
        <v>6329</v>
      </c>
      <c r="B78" s="17" t="s">
        <v>151</v>
      </c>
      <c r="C78" s="17" t="s">
        <v>152</v>
      </c>
      <c r="D78" s="17" t="s">
        <v>16</v>
      </c>
      <c r="E78" s="18">
        <f>ROUND(13355*1.05,2)</f>
      </c>
      <c r="F78" s="17" t="s">
        <v>17</v>
      </c>
      <c r="G78" s="17" t="s">
        <v>18</v>
      </c>
      <c r="H78" s="18">
        <f>ROUND(RAND()*4+6,1)</f>
      </c>
      <c r="I78" s="17" t="s">
        <v>19</v>
      </c>
      <c r="J78" s="19">
        <f>ROUND(73*1,0)&amp;"%"</f>
      </c>
    </row>
    <row x14ac:dyDescent="0.25" r="79" customHeight="1" ht="17.25">
      <c r="A79" s="20" t="s">
        <v>6330</v>
      </c>
      <c r="B79" s="20" t="s">
        <v>154</v>
      </c>
      <c r="C79" s="20" t="s">
        <v>152</v>
      </c>
      <c r="D79" s="20" t="s">
        <v>22</v>
      </c>
      <c r="E79" s="22">
        <f>ROUND(14280*1.05,2)</f>
      </c>
      <c r="F79" s="20" t="s">
        <v>23</v>
      </c>
      <c r="G79" s="20" t="s">
        <v>24</v>
      </c>
      <c r="H79" s="22">
        <f>ROUND(RAND()*4+6,1)</f>
      </c>
      <c r="I79" s="20" t="s">
        <v>25</v>
      </c>
      <c r="J79" s="23">
        <f>ROUND(80*1,0)&amp;"%"</f>
      </c>
    </row>
    <row x14ac:dyDescent="0.25" r="80" customHeight="1" ht="17.25">
      <c r="A80" s="17" t="s">
        <v>6331</v>
      </c>
      <c r="B80" s="17" t="s">
        <v>156</v>
      </c>
      <c r="C80" s="17" t="s">
        <v>152</v>
      </c>
      <c r="D80" s="17" t="s">
        <v>28</v>
      </c>
      <c r="E80" s="18">
        <f>ROUND(4702*1.05,2)</f>
      </c>
      <c r="F80" s="17" t="s">
        <v>29</v>
      </c>
      <c r="G80" s="17" t="s">
        <v>30</v>
      </c>
      <c r="H80" s="18">
        <f>ROUND(RAND()*4+6,1)</f>
      </c>
      <c r="I80" s="17" t="s">
        <v>31</v>
      </c>
      <c r="J80" s="19">
        <f>ROUND(67*1,0)&amp;"%"</f>
      </c>
    </row>
    <row x14ac:dyDescent="0.25" r="81" customHeight="1" ht="17.25">
      <c r="A81" s="20" t="s">
        <v>6332</v>
      </c>
      <c r="B81" s="20" t="s">
        <v>158</v>
      </c>
      <c r="C81" s="20" t="s">
        <v>152</v>
      </c>
      <c r="D81" s="20" t="s">
        <v>34</v>
      </c>
      <c r="E81" s="21">
        <f>ROUND(16713*1.05,2)</f>
      </c>
      <c r="F81" s="20" t="s">
        <v>35</v>
      </c>
      <c r="G81" s="20" t="s">
        <v>18</v>
      </c>
      <c r="H81" s="21">
        <f>ROUND(RAND()*4+6,1)</f>
      </c>
      <c r="I81" s="20" t="s">
        <v>36</v>
      </c>
      <c r="J81" s="23">
        <f>ROUND(68*1,0)&amp;"%"</f>
      </c>
    </row>
    <row x14ac:dyDescent="0.25" r="82" customHeight="1" ht="17.25">
      <c r="A82" s="17" t="s">
        <v>6333</v>
      </c>
      <c r="B82" s="17" t="s">
        <v>160</v>
      </c>
      <c r="C82" s="17" t="s">
        <v>152</v>
      </c>
      <c r="D82" s="17" t="s">
        <v>39</v>
      </c>
      <c r="E82" s="18">
        <f>ROUND(6697*1.05,2)</f>
      </c>
      <c r="F82" s="17" t="s">
        <v>40</v>
      </c>
      <c r="G82" s="17" t="s">
        <v>24</v>
      </c>
      <c r="H82" s="18">
        <f>ROUND(RAND()*4+6,1)</f>
      </c>
      <c r="I82" s="17" t="s">
        <v>41</v>
      </c>
      <c r="J82" s="19">
        <f>ROUND(93*1,0)&amp;"%"</f>
      </c>
    </row>
    <row x14ac:dyDescent="0.25" r="83" customHeight="1" ht="17.25">
      <c r="A83" s="20" t="s">
        <v>6334</v>
      </c>
      <c r="B83" s="20" t="s">
        <v>162</v>
      </c>
      <c r="C83" s="20" t="s">
        <v>152</v>
      </c>
      <c r="D83" s="20" t="s">
        <v>67</v>
      </c>
      <c r="E83" s="21">
        <f>ROUND(9889*1.05,2)</f>
      </c>
      <c r="F83" s="20" t="s">
        <v>44</v>
      </c>
      <c r="G83" s="20" t="s">
        <v>30</v>
      </c>
      <c r="H83" s="21">
        <f>ROUND(RAND()*4+6,1)</f>
      </c>
      <c r="I83" s="20" t="s">
        <v>45</v>
      </c>
      <c r="J83" s="23">
        <f>ROUND(65*1,0)&amp;"%"</f>
      </c>
    </row>
    <row x14ac:dyDescent="0.25" r="84" customHeight="1" ht="17.25">
      <c r="A84" s="17" t="s">
        <v>6335</v>
      </c>
      <c r="B84" s="17" t="s">
        <v>164</v>
      </c>
      <c r="C84" s="17" t="s">
        <v>152</v>
      </c>
      <c r="D84" s="17" t="s">
        <v>16</v>
      </c>
      <c r="E84" s="18">
        <f>ROUND(7147*1.05,2)</f>
      </c>
      <c r="F84" s="17" t="s">
        <v>48</v>
      </c>
      <c r="G84" s="17" t="s">
        <v>18</v>
      </c>
      <c r="H84" s="18">
        <f>ROUND(RAND()*4+6,1)</f>
      </c>
      <c r="I84" s="17" t="s">
        <v>19</v>
      </c>
      <c r="J84" s="19">
        <f>ROUND(66*1,0)&amp;"%"</f>
      </c>
    </row>
    <row x14ac:dyDescent="0.25" r="85" customHeight="1" ht="17.25">
      <c r="A85" s="20" t="s">
        <v>6336</v>
      </c>
      <c r="B85" s="20" t="s">
        <v>166</v>
      </c>
      <c r="C85" s="20" t="s">
        <v>152</v>
      </c>
      <c r="D85" s="20" t="s">
        <v>22</v>
      </c>
      <c r="E85" s="21">
        <f>ROUND(13453*1.05,2)</f>
      </c>
      <c r="F85" s="20" t="s">
        <v>51</v>
      </c>
      <c r="G85" s="20" t="s">
        <v>24</v>
      </c>
      <c r="H85" s="21">
        <f>ROUND(RAND()*4+6,1)</f>
      </c>
      <c r="I85" s="20" t="s">
        <v>25</v>
      </c>
      <c r="J85" s="23">
        <f>ROUND(68*1,0)&amp;"%"</f>
      </c>
    </row>
    <row x14ac:dyDescent="0.25" r="86" customHeight="1" ht="17.25">
      <c r="A86" s="24" t="s">
        <v>167</v>
      </c>
      <c r="B86" s="24"/>
      <c r="C86" s="24"/>
      <c r="D86" s="24"/>
      <c r="E86" s="25">
        <v>8</v>
      </c>
      <c r="F86" s="9"/>
      <c r="G86" s="9"/>
      <c r="H86" s="10"/>
      <c r="I86" s="9"/>
      <c r="J86" s="9"/>
    </row>
    <row x14ac:dyDescent="0.25" r="87" customHeight="1" ht="17.25">
      <c r="A87" s="7"/>
      <c r="B87" s="7"/>
      <c r="C87" s="7"/>
      <c r="D87" s="7"/>
      <c r="E87" s="8"/>
      <c r="F87" s="9"/>
      <c r="G87" s="9"/>
      <c r="H87" s="10"/>
      <c r="I87" s="9"/>
      <c r="J87" s="9"/>
    </row>
    <row x14ac:dyDescent="0.25" r="88" customHeight="1" ht="17.25">
      <c r="A88" s="11" t="s">
        <v>6337</v>
      </c>
      <c r="B88" s="11"/>
      <c r="C88" s="11"/>
      <c r="D88" s="11"/>
      <c r="E88" s="12"/>
      <c r="F88" s="11"/>
      <c r="G88" s="11"/>
      <c r="H88" s="13"/>
      <c r="I88" s="11"/>
      <c r="J88" s="11"/>
    </row>
    <row x14ac:dyDescent="0.25" r="89" customHeight="1" ht="17.25">
      <c r="A89" s="14" t="s">
        <v>3</v>
      </c>
      <c r="B89" s="14" t="s">
        <v>4</v>
      </c>
      <c r="C89" s="14" t="s">
        <v>5</v>
      </c>
      <c r="D89" s="14" t="s">
        <v>6</v>
      </c>
      <c r="E89" s="15" t="s">
        <v>7</v>
      </c>
      <c r="F89" s="14" t="s">
        <v>8</v>
      </c>
      <c r="G89" s="14" t="s">
        <v>9</v>
      </c>
      <c r="H89" s="16" t="s">
        <v>10</v>
      </c>
      <c r="I89" s="14" t="s">
        <v>11</v>
      </c>
      <c r="J89" s="14" t="s">
        <v>12</v>
      </c>
    </row>
    <row x14ac:dyDescent="0.25" r="90" customHeight="1" ht="17.25">
      <c r="A90" s="17" t="s">
        <v>6338</v>
      </c>
      <c r="B90" s="17" t="s">
        <v>170</v>
      </c>
      <c r="C90" s="17" t="s">
        <v>15</v>
      </c>
      <c r="D90" s="17" t="s">
        <v>16</v>
      </c>
      <c r="E90" s="18">
        <f>ROUND(13896*1.05,2)</f>
      </c>
      <c r="F90" s="17" t="s">
        <v>17</v>
      </c>
      <c r="G90" s="17" t="s">
        <v>18</v>
      </c>
      <c r="H90" s="18">
        <f>ROUND(RAND()*4+6,1)</f>
      </c>
      <c r="I90" s="17" t="s">
        <v>19</v>
      </c>
      <c r="J90" s="19">
        <f>ROUND(92*1,0)&amp;"%"</f>
      </c>
    </row>
    <row x14ac:dyDescent="0.25" r="91" customHeight="1" ht="17.25">
      <c r="A91" s="20" t="s">
        <v>6339</v>
      </c>
      <c r="B91" s="20" t="s">
        <v>172</v>
      </c>
      <c r="C91" s="20" t="s">
        <v>15</v>
      </c>
      <c r="D91" s="20" t="s">
        <v>22</v>
      </c>
      <c r="E91" s="21">
        <f>ROUND(6772*1.05,2)</f>
      </c>
      <c r="F91" s="20" t="s">
        <v>23</v>
      </c>
      <c r="G91" s="20" t="s">
        <v>24</v>
      </c>
      <c r="H91" s="22">
        <f>ROUND(RAND()*4+6,1)</f>
      </c>
      <c r="I91" s="20" t="s">
        <v>25</v>
      </c>
      <c r="J91" s="23">
        <f>ROUND(88*1,0)&amp;"%"</f>
      </c>
    </row>
    <row x14ac:dyDescent="0.25" r="92" customHeight="1" ht="17.25">
      <c r="A92" s="17" t="s">
        <v>6340</v>
      </c>
      <c r="B92" s="17" t="s">
        <v>174</v>
      </c>
      <c r="C92" s="17" t="s">
        <v>15</v>
      </c>
      <c r="D92" s="17" t="s">
        <v>28</v>
      </c>
      <c r="E92" s="18">
        <f>ROUND(8049*1.05,2)</f>
      </c>
      <c r="F92" s="17" t="s">
        <v>29</v>
      </c>
      <c r="G92" s="17" t="s">
        <v>30</v>
      </c>
      <c r="H92" s="18">
        <f>ROUND(RAND()*4+6,1)</f>
      </c>
      <c r="I92" s="17" t="s">
        <v>31</v>
      </c>
      <c r="J92" s="19">
        <f>ROUND(96*1,0)&amp;"%"</f>
      </c>
    </row>
    <row x14ac:dyDescent="0.25" r="93" customHeight="1" ht="17.25">
      <c r="A93" s="20" t="s">
        <v>6341</v>
      </c>
      <c r="B93" s="20" t="s">
        <v>176</v>
      </c>
      <c r="C93" s="20" t="s">
        <v>15</v>
      </c>
      <c r="D93" s="20" t="s">
        <v>34</v>
      </c>
      <c r="E93" s="21">
        <f>ROUND(12611*1.05,2)</f>
      </c>
      <c r="F93" s="20" t="s">
        <v>35</v>
      </c>
      <c r="G93" s="20" t="s">
        <v>18</v>
      </c>
      <c r="H93" s="21">
        <f>ROUND(RAND()*4+6,1)</f>
      </c>
      <c r="I93" s="20" t="s">
        <v>36</v>
      </c>
      <c r="J93" s="23">
        <f>ROUND(60*1,0)&amp;"%"</f>
      </c>
    </row>
    <row x14ac:dyDescent="0.25" r="94" customHeight="1" ht="17.25">
      <c r="A94" s="17" t="s">
        <v>6342</v>
      </c>
      <c r="B94" s="17" t="s">
        <v>178</v>
      </c>
      <c r="C94" s="17" t="s">
        <v>15</v>
      </c>
      <c r="D94" s="17" t="s">
        <v>39</v>
      </c>
      <c r="E94" s="18">
        <f>ROUND(16899*1.05,2)</f>
      </c>
      <c r="F94" s="17" t="s">
        <v>40</v>
      </c>
      <c r="G94" s="17" t="s">
        <v>24</v>
      </c>
      <c r="H94" s="18">
        <f>ROUND(RAND()*4+6,1)</f>
      </c>
      <c r="I94" s="17" t="s">
        <v>41</v>
      </c>
      <c r="J94" s="19">
        <f>ROUND(75*1,0)&amp;"%"</f>
      </c>
    </row>
    <row x14ac:dyDescent="0.25" r="95" customHeight="1" ht="17.25">
      <c r="A95" s="20" t="s">
        <v>6343</v>
      </c>
      <c r="B95" s="20" t="s">
        <v>180</v>
      </c>
      <c r="C95" s="20" t="s">
        <v>15</v>
      </c>
      <c r="D95" s="20" t="s">
        <v>67</v>
      </c>
      <c r="E95" s="21">
        <f>ROUND(17059*1.05,2)</f>
      </c>
      <c r="F95" s="20" t="s">
        <v>44</v>
      </c>
      <c r="G95" s="20" t="s">
        <v>30</v>
      </c>
      <c r="H95" s="21">
        <f>ROUND(RAND()*4+6,1)</f>
      </c>
      <c r="I95" s="20" t="s">
        <v>45</v>
      </c>
      <c r="J95" s="23">
        <f>ROUND(70*1,0)&amp;"%"</f>
      </c>
    </row>
    <row x14ac:dyDescent="0.25" r="96" customHeight="1" ht="17.25">
      <c r="A96" s="17" t="s">
        <v>6344</v>
      </c>
      <c r="B96" s="17" t="s">
        <v>182</v>
      </c>
      <c r="C96" s="17" t="s">
        <v>15</v>
      </c>
      <c r="D96" s="17" t="s">
        <v>16</v>
      </c>
      <c r="E96" s="18">
        <f>ROUND(14805*1.05,2)</f>
      </c>
      <c r="F96" s="17" t="s">
        <v>48</v>
      </c>
      <c r="G96" s="17" t="s">
        <v>18</v>
      </c>
      <c r="H96" s="26">
        <f>ROUND(RAND()*4+6,1)</f>
      </c>
      <c r="I96" s="17" t="s">
        <v>19</v>
      </c>
      <c r="J96" s="19">
        <f>ROUND(61*1,0)&amp;"%"</f>
      </c>
    </row>
    <row x14ac:dyDescent="0.25" r="97" customHeight="1" ht="17.25">
      <c r="A97" s="20" t="s">
        <v>6345</v>
      </c>
      <c r="B97" s="20" t="s">
        <v>184</v>
      </c>
      <c r="C97" s="20" t="s">
        <v>15</v>
      </c>
      <c r="D97" s="20" t="s">
        <v>22</v>
      </c>
      <c r="E97" s="21">
        <f>ROUND(14529*1.05,2)</f>
      </c>
      <c r="F97" s="20" t="s">
        <v>51</v>
      </c>
      <c r="G97" s="20" t="s">
        <v>24</v>
      </c>
      <c r="H97" s="21">
        <f>ROUND(RAND()*4+6,1)</f>
      </c>
      <c r="I97" s="20" t="s">
        <v>25</v>
      </c>
      <c r="J97" s="23">
        <f>ROUND(78*1,0)&amp;"%"</f>
      </c>
    </row>
    <row x14ac:dyDescent="0.25" r="98" customHeight="1" ht="17.25">
      <c r="A98" s="24" t="s">
        <v>185</v>
      </c>
      <c r="B98" s="24"/>
      <c r="C98" s="24"/>
      <c r="D98" s="24"/>
      <c r="E98" s="25">
        <v>8</v>
      </c>
      <c r="F98" s="9"/>
      <c r="G98" s="9"/>
      <c r="H98" s="10"/>
      <c r="I98" s="9"/>
      <c r="J98" s="9"/>
    </row>
    <row x14ac:dyDescent="0.25" r="99" customHeight="1" ht="17.25">
      <c r="A99" s="7"/>
      <c r="B99" s="7"/>
      <c r="C99" s="7"/>
      <c r="D99" s="7"/>
      <c r="E99" s="8"/>
      <c r="F99" s="9"/>
      <c r="G99" s="9"/>
      <c r="H99" s="10"/>
      <c r="I99" s="9"/>
      <c r="J99" s="9"/>
    </row>
    <row x14ac:dyDescent="0.25" r="100" customHeight="1" ht="17.25">
      <c r="A100" s="11" t="s">
        <v>6346</v>
      </c>
      <c r="B100" s="11"/>
      <c r="C100" s="11"/>
      <c r="D100" s="11"/>
      <c r="E100" s="12"/>
      <c r="F100" s="11"/>
      <c r="G100" s="11"/>
      <c r="H100" s="13"/>
      <c r="I100" s="11"/>
      <c r="J100" s="11"/>
    </row>
    <row x14ac:dyDescent="0.25" r="101" customHeight="1" ht="17.25">
      <c r="A101" s="14" t="s">
        <v>3</v>
      </c>
      <c r="B101" s="14" t="s">
        <v>4</v>
      </c>
      <c r="C101" s="14" t="s">
        <v>5</v>
      </c>
      <c r="D101" s="14" t="s">
        <v>6</v>
      </c>
      <c r="E101" s="15" t="s">
        <v>7</v>
      </c>
      <c r="F101" s="14" t="s">
        <v>8</v>
      </c>
      <c r="G101" s="14" t="s">
        <v>9</v>
      </c>
      <c r="H101" s="16" t="s">
        <v>10</v>
      </c>
      <c r="I101" s="14" t="s">
        <v>11</v>
      </c>
      <c r="J101" s="14" t="s">
        <v>12</v>
      </c>
    </row>
    <row x14ac:dyDescent="0.25" r="102" customHeight="1" ht="17.25">
      <c r="A102" s="17" t="s">
        <v>6347</v>
      </c>
      <c r="B102" s="17" t="s">
        <v>188</v>
      </c>
      <c r="C102" s="17" t="s">
        <v>56</v>
      </c>
      <c r="D102" s="17" t="s">
        <v>16</v>
      </c>
      <c r="E102" s="18">
        <f>ROUND(15899*1.05,2)</f>
      </c>
      <c r="F102" s="17" t="s">
        <v>17</v>
      </c>
      <c r="G102" s="17" t="s">
        <v>18</v>
      </c>
      <c r="H102" s="18">
        <f>ROUND(RAND()*4+6,1)</f>
      </c>
      <c r="I102" s="17" t="s">
        <v>19</v>
      </c>
      <c r="J102" s="19">
        <f>ROUND(75*1,0)&amp;"%"</f>
      </c>
    </row>
    <row x14ac:dyDescent="0.25" r="103" customHeight="1" ht="17.25">
      <c r="A103" s="20" t="s">
        <v>6348</v>
      </c>
      <c r="B103" s="20" t="s">
        <v>190</v>
      </c>
      <c r="C103" s="20" t="s">
        <v>56</v>
      </c>
      <c r="D103" s="20" t="s">
        <v>22</v>
      </c>
      <c r="E103" s="21">
        <f>ROUND(6237*1.05,2)</f>
      </c>
      <c r="F103" s="20" t="s">
        <v>23</v>
      </c>
      <c r="G103" s="20" t="s">
        <v>24</v>
      </c>
      <c r="H103" s="21">
        <f>ROUND(RAND()*4+6,1)</f>
      </c>
      <c r="I103" s="20" t="s">
        <v>25</v>
      </c>
      <c r="J103" s="23">
        <f>ROUND(83*1,0)&amp;"%"</f>
      </c>
    </row>
    <row x14ac:dyDescent="0.25" r="104" customHeight="1" ht="17.25">
      <c r="A104" s="17" t="s">
        <v>6349</v>
      </c>
      <c r="B104" s="17" t="s">
        <v>192</v>
      </c>
      <c r="C104" s="17" t="s">
        <v>56</v>
      </c>
      <c r="D104" s="17" t="s">
        <v>28</v>
      </c>
      <c r="E104" s="18">
        <f>ROUND(16304*1.05,2)</f>
      </c>
      <c r="F104" s="17" t="s">
        <v>29</v>
      </c>
      <c r="G104" s="17" t="s">
        <v>30</v>
      </c>
      <c r="H104" s="18">
        <f>ROUND(RAND()*4+6,1)</f>
      </c>
      <c r="I104" s="17" t="s">
        <v>31</v>
      </c>
      <c r="J104" s="19">
        <f>ROUND(83*1,0)&amp;"%"</f>
      </c>
    </row>
    <row x14ac:dyDescent="0.25" r="105" customHeight="1" ht="17.25">
      <c r="A105" s="20" t="s">
        <v>6350</v>
      </c>
      <c r="B105" s="20" t="s">
        <v>194</v>
      </c>
      <c r="C105" s="20" t="s">
        <v>56</v>
      </c>
      <c r="D105" s="20" t="s">
        <v>34</v>
      </c>
      <c r="E105" s="21">
        <f>ROUND(6350*1.05,2)</f>
      </c>
      <c r="F105" s="20" t="s">
        <v>35</v>
      </c>
      <c r="G105" s="20" t="s">
        <v>18</v>
      </c>
      <c r="H105" s="21">
        <f>ROUND(RAND()*4+6,1)</f>
      </c>
      <c r="I105" s="20" t="s">
        <v>36</v>
      </c>
      <c r="J105" s="23">
        <f>ROUND(88*1,0)&amp;"%"</f>
      </c>
    </row>
    <row x14ac:dyDescent="0.25" r="106" customHeight="1" ht="17.25">
      <c r="A106" s="17" t="s">
        <v>6351</v>
      </c>
      <c r="B106" s="17" t="s">
        <v>196</v>
      </c>
      <c r="C106" s="17" t="s">
        <v>56</v>
      </c>
      <c r="D106" s="17" t="s">
        <v>39</v>
      </c>
      <c r="E106" s="18">
        <f>ROUND(4734*1.05,2)</f>
      </c>
      <c r="F106" s="17" t="s">
        <v>40</v>
      </c>
      <c r="G106" s="17" t="s">
        <v>24</v>
      </c>
      <c r="H106" s="18">
        <f>ROUND(RAND()*4+6,1)</f>
      </c>
      <c r="I106" s="17" t="s">
        <v>41</v>
      </c>
      <c r="J106" s="19">
        <f>ROUND(82*1,0)&amp;"%"</f>
      </c>
    </row>
    <row x14ac:dyDescent="0.25" r="107" customHeight="1" ht="17.25">
      <c r="A107" s="20" t="s">
        <v>6352</v>
      </c>
      <c r="B107" s="20" t="s">
        <v>198</v>
      </c>
      <c r="C107" s="20" t="s">
        <v>56</v>
      </c>
      <c r="D107" s="20" t="s">
        <v>67</v>
      </c>
      <c r="E107" s="21">
        <f>ROUND(5933*1.05,2)</f>
      </c>
      <c r="F107" s="20" t="s">
        <v>44</v>
      </c>
      <c r="G107" s="20" t="s">
        <v>30</v>
      </c>
      <c r="H107" s="21">
        <f>ROUND(RAND()*4+6,1)</f>
      </c>
      <c r="I107" s="20" t="s">
        <v>45</v>
      </c>
      <c r="J107" s="23">
        <f>ROUND(98*1,0)&amp;"%"</f>
      </c>
    </row>
    <row x14ac:dyDescent="0.25" r="108" customHeight="1" ht="17.25">
      <c r="A108" s="17" t="s">
        <v>6353</v>
      </c>
      <c r="B108" s="17" t="s">
        <v>200</v>
      </c>
      <c r="C108" s="17" t="s">
        <v>56</v>
      </c>
      <c r="D108" s="17" t="s">
        <v>16</v>
      </c>
      <c r="E108" s="18">
        <f>ROUND(11585*1.05,2)</f>
      </c>
      <c r="F108" s="17" t="s">
        <v>48</v>
      </c>
      <c r="G108" s="17" t="s">
        <v>18</v>
      </c>
      <c r="H108" s="18">
        <f>ROUND(RAND()*4+6,1)</f>
      </c>
      <c r="I108" s="17" t="s">
        <v>19</v>
      </c>
      <c r="J108" s="19">
        <f>ROUND(64*1,0)&amp;"%"</f>
      </c>
    </row>
    <row x14ac:dyDescent="0.25" r="109" customHeight="1" ht="17.25">
      <c r="A109" s="20" t="s">
        <v>6354</v>
      </c>
      <c r="B109" s="20" t="s">
        <v>202</v>
      </c>
      <c r="C109" s="20" t="s">
        <v>56</v>
      </c>
      <c r="D109" s="20" t="s">
        <v>22</v>
      </c>
      <c r="E109" s="21">
        <f>ROUND(12266*1.05,2)</f>
      </c>
      <c r="F109" s="20" t="s">
        <v>51</v>
      </c>
      <c r="G109" s="20" t="s">
        <v>24</v>
      </c>
      <c r="H109" s="21">
        <f>ROUND(RAND()*4+6,1)</f>
      </c>
      <c r="I109" s="20" t="s">
        <v>25</v>
      </c>
      <c r="J109" s="23">
        <f>ROUND(82*1,0)&amp;"%"</f>
      </c>
    </row>
    <row x14ac:dyDescent="0.25" r="110" customHeight="1" ht="17.25">
      <c r="A110" s="24" t="s">
        <v>203</v>
      </c>
      <c r="B110" s="24"/>
      <c r="C110" s="24"/>
      <c r="D110" s="24"/>
      <c r="E110" s="25">
        <v>8</v>
      </c>
      <c r="F110" s="9"/>
      <c r="G110" s="9"/>
      <c r="H110" s="10"/>
      <c r="I110" s="9"/>
      <c r="J110" s="9"/>
    </row>
    <row x14ac:dyDescent="0.25" r="111" customHeight="1" ht="17.25">
      <c r="A111" s="7"/>
      <c r="B111" s="7"/>
      <c r="C111" s="7"/>
      <c r="D111" s="7"/>
      <c r="E111" s="8"/>
      <c r="F111" s="9"/>
      <c r="G111" s="9"/>
      <c r="H111" s="10"/>
      <c r="I111" s="9"/>
      <c r="J111" s="9"/>
    </row>
    <row x14ac:dyDescent="0.25" r="112" customHeight="1" ht="17.25">
      <c r="A112" s="11" t="s">
        <v>6355</v>
      </c>
      <c r="B112" s="11"/>
      <c r="C112" s="11"/>
      <c r="D112" s="11"/>
      <c r="E112" s="12"/>
      <c r="F112" s="11"/>
      <c r="G112" s="11"/>
      <c r="H112" s="13"/>
      <c r="I112" s="11"/>
      <c r="J112" s="11"/>
    </row>
    <row x14ac:dyDescent="0.25" r="113" customHeight="1" ht="17.25">
      <c r="A113" s="14" t="s">
        <v>3</v>
      </c>
      <c r="B113" s="14" t="s">
        <v>4</v>
      </c>
      <c r="C113" s="14" t="s">
        <v>5</v>
      </c>
      <c r="D113" s="14" t="s">
        <v>6</v>
      </c>
      <c r="E113" s="15" t="s">
        <v>7</v>
      </c>
      <c r="F113" s="14" t="s">
        <v>8</v>
      </c>
      <c r="G113" s="14" t="s">
        <v>9</v>
      </c>
      <c r="H113" s="16" t="s">
        <v>10</v>
      </c>
      <c r="I113" s="14" t="s">
        <v>11</v>
      </c>
      <c r="J113" s="14" t="s">
        <v>12</v>
      </c>
    </row>
    <row x14ac:dyDescent="0.25" r="114" customHeight="1" ht="17.25">
      <c r="A114" s="17" t="s">
        <v>6356</v>
      </c>
      <c r="B114" s="17" t="s">
        <v>206</v>
      </c>
      <c r="C114" s="17" t="s">
        <v>76</v>
      </c>
      <c r="D114" s="17" t="s">
        <v>16</v>
      </c>
      <c r="E114" s="18">
        <f>ROUND(9217*1.05,2)</f>
      </c>
      <c r="F114" s="17" t="s">
        <v>17</v>
      </c>
      <c r="G114" s="17" t="s">
        <v>18</v>
      </c>
      <c r="H114" s="18">
        <f>ROUND(RAND()*4+6,1)</f>
      </c>
      <c r="I114" s="17" t="s">
        <v>19</v>
      </c>
      <c r="J114" s="19">
        <f>ROUND(86*1,0)&amp;"%"</f>
      </c>
    </row>
    <row x14ac:dyDescent="0.25" r="115" customHeight="1" ht="17.25">
      <c r="A115" s="20" t="s">
        <v>6357</v>
      </c>
      <c r="B115" s="20" t="s">
        <v>208</v>
      </c>
      <c r="C115" s="20" t="s">
        <v>76</v>
      </c>
      <c r="D115" s="20" t="s">
        <v>22</v>
      </c>
      <c r="E115" s="21">
        <f>ROUND(4338*1.05,2)</f>
      </c>
      <c r="F115" s="20" t="s">
        <v>23</v>
      </c>
      <c r="G115" s="20" t="s">
        <v>24</v>
      </c>
      <c r="H115" s="21">
        <f>ROUND(RAND()*4+6,1)</f>
      </c>
      <c r="I115" s="20" t="s">
        <v>25</v>
      </c>
      <c r="J115" s="23">
        <f>ROUND(76*1,0)&amp;"%"</f>
      </c>
    </row>
    <row x14ac:dyDescent="0.25" r="116" customHeight="1" ht="17.25">
      <c r="A116" s="17" t="s">
        <v>6358</v>
      </c>
      <c r="B116" s="17" t="s">
        <v>210</v>
      </c>
      <c r="C116" s="17" t="s">
        <v>76</v>
      </c>
      <c r="D116" s="17" t="s">
        <v>28</v>
      </c>
      <c r="E116" s="18">
        <f>ROUND(8670*1.05,2)</f>
      </c>
      <c r="F116" s="17" t="s">
        <v>29</v>
      </c>
      <c r="G116" s="17" t="s">
        <v>30</v>
      </c>
      <c r="H116" s="18">
        <f>ROUND(RAND()*4+6,1)</f>
      </c>
      <c r="I116" s="17" t="s">
        <v>31</v>
      </c>
      <c r="J116" s="19">
        <f>ROUND(77*1,0)&amp;"%"</f>
      </c>
    </row>
    <row x14ac:dyDescent="0.25" r="117" customHeight="1" ht="17.25">
      <c r="A117" s="20" t="s">
        <v>6359</v>
      </c>
      <c r="B117" s="20" t="s">
        <v>212</v>
      </c>
      <c r="C117" s="20" t="s">
        <v>76</v>
      </c>
      <c r="D117" s="20" t="s">
        <v>34</v>
      </c>
      <c r="E117" s="21">
        <f>ROUND(4862*1.05,2)</f>
      </c>
      <c r="F117" s="20" t="s">
        <v>35</v>
      </c>
      <c r="G117" s="20" t="s">
        <v>18</v>
      </c>
      <c r="H117" s="21">
        <f>ROUND(RAND()*4+6,1)</f>
      </c>
      <c r="I117" s="20" t="s">
        <v>36</v>
      </c>
      <c r="J117" s="23">
        <f>ROUND(64*1,0)&amp;"%"</f>
      </c>
    </row>
    <row x14ac:dyDescent="0.25" r="118" customHeight="1" ht="17.25">
      <c r="A118" s="17" t="s">
        <v>6360</v>
      </c>
      <c r="B118" s="17" t="s">
        <v>214</v>
      </c>
      <c r="C118" s="17" t="s">
        <v>76</v>
      </c>
      <c r="D118" s="17" t="s">
        <v>39</v>
      </c>
      <c r="E118" s="18">
        <f>ROUND(10832*1.05,2)</f>
      </c>
      <c r="F118" s="17" t="s">
        <v>40</v>
      </c>
      <c r="G118" s="17" t="s">
        <v>24</v>
      </c>
      <c r="H118" s="18">
        <f>ROUND(RAND()*4+6,1)</f>
      </c>
      <c r="I118" s="17" t="s">
        <v>41</v>
      </c>
      <c r="J118" s="19">
        <f>ROUND(97*1,0)&amp;"%"</f>
      </c>
    </row>
    <row x14ac:dyDescent="0.25" r="119" customHeight="1" ht="17.25">
      <c r="A119" s="20" t="s">
        <v>6361</v>
      </c>
      <c r="B119" s="20" t="s">
        <v>216</v>
      </c>
      <c r="C119" s="20" t="s">
        <v>76</v>
      </c>
      <c r="D119" s="20" t="s">
        <v>67</v>
      </c>
      <c r="E119" s="22">
        <f>ROUND(7180*1.05,2)</f>
      </c>
      <c r="F119" s="20" t="s">
        <v>44</v>
      </c>
      <c r="G119" s="20" t="s">
        <v>30</v>
      </c>
      <c r="H119" s="21">
        <f>ROUND(RAND()*4+6,1)</f>
      </c>
      <c r="I119" s="20" t="s">
        <v>45</v>
      </c>
      <c r="J119" s="23">
        <f>ROUND(68*1,0)&amp;"%"</f>
      </c>
    </row>
    <row x14ac:dyDescent="0.25" r="120" customHeight="1" ht="17.25">
      <c r="A120" s="17" t="s">
        <v>6362</v>
      </c>
      <c r="B120" s="17" t="s">
        <v>218</v>
      </c>
      <c r="C120" s="17" t="s">
        <v>76</v>
      </c>
      <c r="D120" s="17" t="s">
        <v>16</v>
      </c>
      <c r="E120" s="26">
        <f>ROUND(11500*1.05,2)</f>
      </c>
      <c r="F120" s="17" t="s">
        <v>48</v>
      </c>
      <c r="G120" s="17" t="s">
        <v>18</v>
      </c>
      <c r="H120" s="18">
        <f>ROUND(RAND()*4+6,1)</f>
      </c>
      <c r="I120" s="17" t="s">
        <v>19</v>
      </c>
      <c r="J120" s="19">
        <f>ROUND(73*1,0)&amp;"%"</f>
      </c>
    </row>
    <row x14ac:dyDescent="0.25" r="121" customHeight="1" ht="17.25">
      <c r="A121" s="20" t="s">
        <v>6363</v>
      </c>
      <c r="B121" s="20" t="s">
        <v>220</v>
      </c>
      <c r="C121" s="20" t="s">
        <v>76</v>
      </c>
      <c r="D121" s="20" t="s">
        <v>22</v>
      </c>
      <c r="E121" s="21">
        <f>ROUND(8072*1.05,2)</f>
      </c>
      <c r="F121" s="20" t="s">
        <v>51</v>
      </c>
      <c r="G121" s="20" t="s">
        <v>24</v>
      </c>
      <c r="H121" s="21">
        <f>ROUND(RAND()*4+6,1)</f>
      </c>
      <c r="I121" s="20" t="s">
        <v>25</v>
      </c>
      <c r="J121" s="23">
        <f>ROUND(96*1,0)&amp;"%"</f>
      </c>
    </row>
    <row x14ac:dyDescent="0.25" r="122" customHeight="1" ht="17.25">
      <c r="A122" s="24" t="s">
        <v>221</v>
      </c>
      <c r="B122" s="24"/>
      <c r="C122" s="24"/>
      <c r="D122" s="24"/>
      <c r="E122" s="25">
        <v>8</v>
      </c>
      <c r="F122" s="9"/>
      <c r="G122" s="9"/>
      <c r="H122" s="10"/>
      <c r="I122" s="9"/>
      <c r="J122" s="9"/>
    </row>
    <row x14ac:dyDescent="0.25" r="123" customHeight="1" ht="17.25">
      <c r="A123" s="7"/>
      <c r="B123" s="7"/>
      <c r="C123" s="7"/>
      <c r="D123" s="7"/>
      <c r="E123" s="8"/>
      <c r="F123" s="9"/>
      <c r="G123" s="9"/>
      <c r="H123" s="10"/>
      <c r="I123" s="9"/>
      <c r="J123" s="9"/>
    </row>
    <row x14ac:dyDescent="0.25" r="124" customHeight="1" ht="17.25">
      <c r="A124" s="11" t="s">
        <v>6364</v>
      </c>
      <c r="B124" s="11"/>
      <c r="C124" s="11"/>
      <c r="D124" s="11"/>
      <c r="E124" s="12"/>
      <c r="F124" s="11"/>
      <c r="G124" s="11"/>
      <c r="H124" s="13"/>
      <c r="I124" s="11"/>
      <c r="J124" s="11"/>
    </row>
    <row x14ac:dyDescent="0.25" r="125" customHeight="1" ht="17.25">
      <c r="A125" s="14" t="s">
        <v>3</v>
      </c>
      <c r="B125" s="14" t="s">
        <v>4</v>
      </c>
      <c r="C125" s="14" t="s">
        <v>5</v>
      </c>
      <c r="D125" s="14" t="s">
        <v>6</v>
      </c>
      <c r="E125" s="15" t="s">
        <v>7</v>
      </c>
      <c r="F125" s="14" t="s">
        <v>8</v>
      </c>
      <c r="G125" s="14" t="s">
        <v>9</v>
      </c>
      <c r="H125" s="16" t="s">
        <v>10</v>
      </c>
      <c r="I125" s="14" t="s">
        <v>11</v>
      </c>
      <c r="J125" s="14" t="s">
        <v>12</v>
      </c>
    </row>
    <row x14ac:dyDescent="0.25" r="126" customHeight="1" ht="17.25">
      <c r="A126" s="17" t="s">
        <v>6365</v>
      </c>
      <c r="B126" s="17" t="s">
        <v>224</v>
      </c>
      <c r="C126" s="17" t="s">
        <v>95</v>
      </c>
      <c r="D126" s="17" t="s">
        <v>16</v>
      </c>
      <c r="E126" s="18">
        <f>ROUND(16210*1.05,2)</f>
      </c>
      <c r="F126" s="17" t="s">
        <v>17</v>
      </c>
      <c r="G126" s="17" t="s">
        <v>18</v>
      </c>
      <c r="H126" s="18">
        <f>ROUND(RAND()*4+6,1)</f>
      </c>
      <c r="I126" s="17" t="s">
        <v>19</v>
      </c>
      <c r="J126" s="19">
        <f>ROUND(83*1,0)&amp;"%"</f>
      </c>
    </row>
    <row x14ac:dyDescent="0.25" r="127" customHeight="1" ht="17.25">
      <c r="A127" s="20" t="s">
        <v>6366</v>
      </c>
      <c r="B127" s="20" t="s">
        <v>226</v>
      </c>
      <c r="C127" s="20" t="s">
        <v>95</v>
      </c>
      <c r="D127" s="20" t="s">
        <v>22</v>
      </c>
      <c r="E127" s="21">
        <f>ROUND(17621*1.05,2)</f>
      </c>
      <c r="F127" s="20" t="s">
        <v>23</v>
      </c>
      <c r="G127" s="20" t="s">
        <v>24</v>
      </c>
      <c r="H127" s="21">
        <f>ROUND(RAND()*4+6,1)</f>
      </c>
      <c r="I127" s="20" t="s">
        <v>25</v>
      </c>
      <c r="J127" s="23">
        <f>ROUND(65*1,0)&amp;"%"</f>
      </c>
    </row>
    <row x14ac:dyDescent="0.25" r="128" customHeight="1" ht="17.25">
      <c r="A128" s="17" t="s">
        <v>6367</v>
      </c>
      <c r="B128" s="17" t="s">
        <v>228</v>
      </c>
      <c r="C128" s="17" t="s">
        <v>95</v>
      </c>
      <c r="D128" s="17" t="s">
        <v>28</v>
      </c>
      <c r="E128" s="18">
        <f>ROUND(5924*1.05,2)</f>
      </c>
      <c r="F128" s="17" t="s">
        <v>29</v>
      </c>
      <c r="G128" s="17" t="s">
        <v>30</v>
      </c>
      <c r="H128" s="18">
        <f>ROUND(RAND()*4+6,1)</f>
      </c>
      <c r="I128" s="17" t="s">
        <v>31</v>
      </c>
      <c r="J128" s="19">
        <f>ROUND(72*1,0)&amp;"%"</f>
      </c>
    </row>
    <row x14ac:dyDescent="0.25" r="129" customHeight="1" ht="17.25">
      <c r="A129" s="20" t="s">
        <v>6368</v>
      </c>
      <c r="B129" s="20" t="s">
        <v>230</v>
      </c>
      <c r="C129" s="20" t="s">
        <v>95</v>
      </c>
      <c r="D129" s="20" t="s">
        <v>34</v>
      </c>
      <c r="E129" s="21">
        <f>ROUND(6859*1.05,2)</f>
      </c>
      <c r="F129" s="20" t="s">
        <v>35</v>
      </c>
      <c r="G129" s="20" t="s">
        <v>18</v>
      </c>
      <c r="H129" s="21">
        <f>ROUND(RAND()*4+6,1)</f>
      </c>
      <c r="I129" s="20" t="s">
        <v>36</v>
      </c>
      <c r="J129" s="23">
        <f>ROUND(61*1,0)&amp;"%"</f>
      </c>
    </row>
    <row x14ac:dyDescent="0.25" r="130" customHeight="1" ht="17.25">
      <c r="A130" s="17" t="s">
        <v>6369</v>
      </c>
      <c r="B130" s="17" t="s">
        <v>232</v>
      </c>
      <c r="C130" s="17" t="s">
        <v>95</v>
      </c>
      <c r="D130" s="17" t="s">
        <v>39</v>
      </c>
      <c r="E130" s="18">
        <f>ROUND(16626*1.05,2)</f>
      </c>
      <c r="F130" s="17" t="s">
        <v>40</v>
      </c>
      <c r="G130" s="17" t="s">
        <v>24</v>
      </c>
      <c r="H130" s="18">
        <f>ROUND(RAND()*4+6,1)</f>
      </c>
      <c r="I130" s="17" t="s">
        <v>41</v>
      </c>
      <c r="J130" s="19">
        <f>ROUND(81*1,0)&amp;"%"</f>
      </c>
    </row>
    <row x14ac:dyDescent="0.25" r="131" customHeight="1" ht="17.25">
      <c r="A131" s="20" t="s">
        <v>6370</v>
      </c>
      <c r="B131" s="20" t="s">
        <v>234</v>
      </c>
      <c r="C131" s="20" t="s">
        <v>95</v>
      </c>
      <c r="D131" s="20" t="s">
        <v>67</v>
      </c>
      <c r="E131" s="22">
        <f>ROUND(13460*1.05,2)</f>
      </c>
      <c r="F131" s="20" t="s">
        <v>44</v>
      </c>
      <c r="G131" s="20" t="s">
        <v>30</v>
      </c>
      <c r="H131" s="21">
        <f>ROUND(RAND()*4+6,1)</f>
      </c>
      <c r="I131" s="20" t="s">
        <v>45</v>
      </c>
      <c r="J131" s="23">
        <f>ROUND(67*1,0)&amp;"%"</f>
      </c>
    </row>
    <row x14ac:dyDescent="0.25" r="132" customHeight="1" ht="17.25">
      <c r="A132" s="17" t="s">
        <v>6371</v>
      </c>
      <c r="B132" s="17" t="s">
        <v>236</v>
      </c>
      <c r="C132" s="17" t="s">
        <v>95</v>
      </c>
      <c r="D132" s="17" t="s">
        <v>16</v>
      </c>
      <c r="E132" s="18">
        <f>ROUND(8453*1.05,2)</f>
      </c>
      <c r="F132" s="17" t="s">
        <v>48</v>
      </c>
      <c r="G132" s="17" t="s">
        <v>18</v>
      </c>
      <c r="H132" s="18">
        <f>ROUND(RAND()*4+6,1)</f>
      </c>
      <c r="I132" s="17" t="s">
        <v>19</v>
      </c>
      <c r="J132" s="19">
        <f>ROUND(61*1,0)&amp;"%"</f>
      </c>
    </row>
    <row x14ac:dyDescent="0.25" r="133" customHeight="1" ht="17.25">
      <c r="A133" s="20" t="s">
        <v>6372</v>
      </c>
      <c r="B133" s="20" t="s">
        <v>238</v>
      </c>
      <c r="C133" s="20" t="s">
        <v>95</v>
      </c>
      <c r="D133" s="20" t="s">
        <v>22</v>
      </c>
      <c r="E133" s="21">
        <f>ROUND(17814*1.05,2)</f>
      </c>
      <c r="F133" s="20" t="s">
        <v>51</v>
      </c>
      <c r="G133" s="20" t="s">
        <v>24</v>
      </c>
      <c r="H133" s="21">
        <f>ROUND(RAND()*4+6,1)</f>
      </c>
      <c r="I133" s="20" t="s">
        <v>25</v>
      </c>
      <c r="J133" s="23">
        <f>ROUND(68*1,0)&amp;"%"</f>
      </c>
    </row>
    <row x14ac:dyDescent="0.25" r="134" customHeight="1" ht="17.25">
      <c r="A134" s="24" t="s">
        <v>239</v>
      </c>
      <c r="B134" s="24"/>
      <c r="C134" s="24"/>
      <c r="D134" s="24"/>
      <c r="E134" s="25">
        <v>8</v>
      </c>
      <c r="F134" s="9"/>
      <c r="G134" s="9"/>
      <c r="H134" s="10"/>
      <c r="I134" s="9"/>
      <c r="J134" s="9"/>
    </row>
    <row x14ac:dyDescent="0.25" r="135" customHeight="1" ht="17.25">
      <c r="A135" s="7"/>
      <c r="B135" s="7"/>
      <c r="C135" s="7"/>
      <c r="D135" s="7"/>
      <c r="E135" s="8"/>
      <c r="F135" s="9"/>
      <c r="G135" s="9"/>
      <c r="H135" s="10"/>
      <c r="I135" s="9"/>
      <c r="J135" s="9"/>
    </row>
    <row x14ac:dyDescent="0.25" r="136" customHeight="1" ht="17.25">
      <c r="A136" s="11" t="s">
        <v>6373</v>
      </c>
      <c r="B136" s="11"/>
      <c r="C136" s="11"/>
      <c r="D136" s="11"/>
      <c r="E136" s="12"/>
      <c r="F136" s="11"/>
      <c r="G136" s="11"/>
      <c r="H136" s="13"/>
      <c r="I136" s="11"/>
      <c r="J136" s="11"/>
    </row>
    <row x14ac:dyDescent="0.25" r="137" customHeight="1" ht="17.25">
      <c r="A137" s="14" t="s">
        <v>3</v>
      </c>
      <c r="B137" s="14" t="s">
        <v>4</v>
      </c>
      <c r="C137" s="14" t="s">
        <v>5</v>
      </c>
      <c r="D137" s="14" t="s">
        <v>6</v>
      </c>
      <c r="E137" s="15" t="s">
        <v>7</v>
      </c>
      <c r="F137" s="14" t="s">
        <v>8</v>
      </c>
      <c r="G137" s="14" t="s">
        <v>9</v>
      </c>
      <c r="H137" s="16" t="s">
        <v>10</v>
      </c>
      <c r="I137" s="14" t="s">
        <v>11</v>
      </c>
      <c r="J137" s="14" t="s">
        <v>12</v>
      </c>
    </row>
    <row x14ac:dyDescent="0.25" r="138" customHeight="1" ht="17.25">
      <c r="A138" s="17" t="s">
        <v>6374</v>
      </c>
      <c r="B138" s="17" t="s">
        <v>242</v>
      </c>
      <c r="C138" s="17" t="s">
        <v>114</v>
      </c>
      <c r="D138" s="17" t="s">
        <v>16</v>
      </c>
      <c r="E138" s="18">
        <f>ROUND(5165*1.05,2)</f>
      </c>
      <c r="F138" s="17" t="s">
        <v>17</v>
      </c>
      <c r="G138" s="17" t="s">
        <v>18</v>
      </c>
      <c r="H138" s="18">
        <f>ROUND(RAND()*4+6,1)</f>
      </c>
      <c r="I138" s="17" t="s">
        <v>19</v>
      </c>
      <c r="J138" s="19">
        <f>ROUND(85*1,0)&amp;"%"</f>
      </c>
    </row>
    <row x14ac:dyDescent="0.25" r="139" customHeight="1" ht="17.25">
      <c r="A139" s="20" t="s">
        <v>6375</v>
      </c>
      <c r="B139" s="20" t="s">
        <v>244</v>
      </c>
      <c r="C139" s="20" t="s">
        <v>114</v>
      </c>
      <c r="D139" s="20" t="s">
        <v>22</v>
      </c>
      <c r="E139" s="21">
        <f>ROUND(15773*1.05,2)</f>
      </c>
      <c r="F139" s="20" t="s">
        <v>23</v>
      </c>
      <c r="G139" s="20" t="s">
        <v>24</v>
      </c>
      <c r="H139" s="21">
        <f>ROUND(RAND()*4+6,1)</f>
      </c>
      <c r="I139" s="20" t="s">
        <v>25</v>
      </c>
      <c r="J139" s="23">
        <f>ROUND(82*1,0)&amp;"%"</f>
      </c>
    </row>
    <row x14ac:dyDescent="0.25" r="140" customHeight="1" ht="17.25">
      <c r="A140" s="17" t="s">
        <v>6376</v>
      </c>
      <c r="B140" s="17" t="s">
        <v>246</v>
      </c>
      <c r="C140" s="17" t="s">
        <v>114</v>
      </c>
      <c r="D140" s="17" t="s">
        <v>28</v>
      </c>
      <c r="E140" s="18">
        <f>ROUND(7279*1.05,2)</f>
      </c>
      <c r="F140" s="17" t="s">
        <v>29</v>
      </c>
      <c r="G140" s="17" t="s">
        <v>30</v>
      </c>
      <c r="H140" s="18">
        <f>ROUND(RAND()*4+6,1)</f>
      </c>
      <c r="I140" s="17" t="s">
        <v>31</v>
      </c>
      <c r="J140" s="19">
        <f>ROUND(74*1,0)&amp;"%"</f>
      </c>
    </row>
    <row x14ac:dyDescent="0.25" r="141" customHeight="1" ht="17.25">
      <c r="A141" s="20" t="s">
        <v>6377</v>
      </c>
      <c r="B141" s="20" t="s">
        <v>248</v>
      </c>
      <c r="C141" s="20" t="s">
        <v>114</v>
      </c>
      <c r="D141" s="20" t="s">
        <v>34</v>
      </c>
      <c r="E141" s="21">
        <f>ROUND(13302*1.05,2)</f>
      </c>
      <c r="F141" s="20" t="s">
        <v>35</v>
      </c>
      <c r="G141" s="20" t="s">
        <v>18</v>
      </c>
      <c r="H141" s="21">
        <f>ROUND(RAND()*4+6,1)</f>
      </c>
      <c r="I141" s="20" t="s">
        <v>36</v>
      </c>
      <c r="J141" s="23">
        <f>ROUND(88*1,0)&amp;"%"</f>
      </c>
    </row>
    <row x14ac:dyDescent="0.25" r="142" customHeight="1" ht="17.25">
      <c r="A142" s="17" t="s">
        <v>6378</v>
      </c>
      <c r="B142" s="17" t="s">
        <v>250</v>
      </c>
      <c r="C142" s="17" t="s">
        <v>114</v>
      </c>
      <c r="D142" s="17" t="s">
        <v>39</v>
      </c>
      <c r="E142" s="18">
        <f>ROUND(16214*1.05,2)</f>
      </c>
      <c r="F142" s="17" t="s">
        <v>40</v>
      </c>
      <c r="G142" s="17" t="s">
        <v>24</v>
      </c>
      <c r="H142" s="18">
        <f>ROUND(RAND()*4+6,1)</f>
      </c>
      <c r="I142" s="17" t="s">
        <v>41</v>
      </c>
      <c r="J142" s="19">
        <f>ROUND(88*1,0)&amp;"%"</f>
      </c>
    </row>
    <row x14ac:dyDescent="0.25" r="143" customHeight="1" ht="17.25">
      <c r="A143" s="20" t="s">
        <v>6379</v>
      </c>
      <c r="B143" s="20" t="s">
        <v>252</v>
      </c>
      <c r="C143" s="20" t="s">
        <v>114</v>
      </c>
      <c r="D143" s="20" t="s">
        <v>67</v>
      </c>
      <c r="E143" s="21">
        <f>ROUND(7859*1.05,2)</f>
      </c>
      <c r="F143" s="20" t="s">
        <v>44</v>
      </c>
      <c r="G143" s="20" t="s">
        <v>30</v>
      </c>
      <c r="H143" s="21">
        <f>ROUND(RAND()*4+6,1)</f>
      </c>
      <c r="I143" s="20" t="s">
        <v>45</v>
      </c>
      <c r="J143" s="23">
        <f>ROUND(91*1,0)&amp;"%"</f>
      </c>
    </row>
    <row x14ac:dyDescent="0.25" r="144" customHeight="1" ht="17.25">
      <c r="A144" s="17" t="s">
        <v>6380</v>
      </c>
      <c r="B144" s="17" t="s">
        <v>254</v>
      </c>
      <c r="C144" s="17" t="s">
        <v>114</v>
      </c>
      <c r="D144" s="17" t="s">
        <v>16</v>
      </c>
      <c r="E144" s="18">
        <f>ROUND(10582*1.05,2)</f>
      </c>
      <c r="F144" s="17" t="s">
        <v>48</v>
      </c>
      <c r="G144" s="17" t="s">
        <v>18</v>
      </c>
      <c r="H144" s="18">
        <f>ROUND(RAND()*4+6,1)</f>
      </c>
      <c r="I144" s="17" t="s">
        <v>19</v>
      </c>
      <c r="J144" s="19">
        <f>ROUND(99*1,0)&amp;"%"</f>
      </c>
    </row>
    <row x14ac:dyDescent="0.25" r="145" customHeight="1" ht="17.25">
      <c r="A145" s="20" t="s">
        <v>6381</v>
      </c>
      <c r="B145" s="20" t="s">
        <v>256</v>
      </c>
      <c r="C145" s="20" t="s">
        <v>114</v>
      </c>
      <c r="D145" s="20" t="s">
        <v>22</v>
      </c>
      <c r="E145" s="21">
        <f>ROUND(11341*1.05,2)</f>
      </c>
      <c r="F145" s="20" t="s">
        <v>51</v>
      </c>
      <c r="G145" s="20" t="s">
        <v>24</v>
      </c>
      <c r="H145" s="22">
        <f>ROUND(RAND()*4+6,1)</f>
      </c>
      <c r="I145" s="20" t="s">
        <v>25</v>
      </c>
      <c r="J145" s="23">
        <f>ROUND(79*1,0)&amp;"%"</f>
      </c>
    </row>
    <row x14ac:dyDescent="0.25" r="146" customHeight="1" ht="17.25">
      <c r="A146" s="24" t="s">
        <v>257</v>
      </c>
      <c r="B146" s="24"/>
      <c r="C146" s="24"/>
      <c r="D146" s="24"/>
      <c r="E146" s="25">
        <v>8</v>
      </c>
      <c r="F146" s="9"/>
      <c r="G146" s="9"/>
      <c r="H146" s="10"/>
      <c r="I146" s="9"/>
      <c r="J146" s="9"/>
    </row>
    <row x14ac:dyDescent="0.25" r="147" customHeight="1" ht="17.25">
      <c r="A147" s="7"/>
      <c r="B147" s="7"/>
      <c r="C147" s="7"/>
      <c r="D147" s="7"/>
      <c r="E147" s="8"/>
      <c r="F147" s="9"/>
      <c r="G147" s="9"/>
      <c r="H147" s="10"/>
      <c r="I147" s="9"/>
      <c r="J147" s="9"/>
    </row>
    <row x14ac:dyDescent="0.25" r="148" customHeight="1" ht="17.25">
      <c r="A148" s="11" t="s">
        <v>6382</v>
      </c>
      <c r="B148" s="11"/>
      <c r="C148" s="11"/>
      <c r="D148" s="11"/>
      <c r="E148" s="12"/>
      <c r="F148" s="11"/>
      <c r="G148" s="11"/>
      <c r="H148" s="13"/>
      <c r="I148" s="11"/>
      <c r="J148" s="11"/>
    </row>
    <row x14ac:dyDescent="0.25" r="149" customHeight="1" ht="17.25">
      <c r="A149" s="14" t="s">
        <v>3</v>
      </c>
      <c r="B149" s="14" t="s">
        <v>4</v>
      </c>
      <c r="C149" s="14" t="s">
        <v>5</v>
      </c>
      <c r="D149" s="14" t="s">
        <v>6</v>
      </c>
      <c r="E149" s="15" t="s">
        <v>7</v>
      </c>
      <c r="F149" s="14" t="s">
        <v>8</v>
      </c>
      <c r="G149" s="14" t="s">
        <v>9</v>
      </c>
      <c r="H149" s="16" t="s">
        <v>10</v>
      </c>
      <c r="I149" s="14" t="s">
        <v>11</v>
      </c>
      <c r="J149" s="14" t="s">
        <v>12</v>
      </c>
    </row>
    <row x14ac:dyDescent="0.25" r="150" customHeight="1" ht="17.25">
      <c r="A150" s="17" t="s">
        <v>6383</v>
      </c>
      <c r="B150" s="17" t="s">
        <v>260</v>
      </c>
      <c r="C150" s="17" t="s">
        <v>133</v>
      </c>
      <c r="D150" s="17" t="s">
        <v>16</v>
      </c>
      <c r="E150" s="18">
        <f>ROUND(13446*1.05,2)</f>
      </c>
      <c r="F150" s="17" t="s">
        <v>17</v>
      </c>
      <c r="G150" s="17" t="s">
        <v>18</v>
      </c>
      <c r="H150" s="18">
        <f>ROUND(RAND()*4+6,1)</f>
      </c>
      <c r="I150" s="17" t="s">
        <v>19</v>
      </c>
      <c r="J150" s="19">
        <f>ROUND(94*1,0)&amp;"%"</f>
      </c>
    </row>
    <row x14ac:dyDescent="0.25" r="151" customHeight="1" ht="17.25">
      <c r="A151" s="20" t="s">
        <v>6384</v>
      </c>
      <c r="B151" s="20" t="s">
        <v>262</v>
      </c>
      <c r="C151" s="20" t="s">
        <v>133</v>
      </c>
      <c r="D151" s="20" t="s">
        <v>22</v>
      </c>
      <c r="E151" s="21">
        <f>ROUND(10494*1.05,2)</f>
      </c>
      <c r="F151" s="20" t="s">
        <v>23</v>
      </c>
      <c r="G151" s="20" t="s">
        <v>24</v>
      </c>
      <c r="H151" s="21">
        <f>ROUND(RAND()*4+6,1)</f>
      </c>
      <c r="I151" s="20" t="s">
        <v>25</v>
      </c>
      <c r="J151" s="23">
        <f>ROUND(73*1,0)&amp;"%"</f>
      </c>
    </row>
    <row x14ac:dyDescent="0.25" r="152" customHeight="1" ht="17.25">
      <c r="A152" s="17" t="s">
        <v>6385</v>
      </c>
      <c r="B152" s="17" t="s">
        <v>264</v>
      </c>
      <c r="C152" s="17" t="s">
        <v>133</v>
      </c>
      <c r="D152" s="17" t="s">
        <v>28</v>
      </c>
      <c r="E152" s="18">
        <f>ROUND(16095*1.05,2)</f>
      </c>
      <c r="F152" s="17" t="s">
        <v>29</v>
      </c>
      <c r="G152" s="17" t="s">
        <v>30</v>
      </c>
      <c r="H152" s="18">
        <f>ROUND(RAND()*4+6,1)</f>
      </c>
      <c r="I152" s="17" t="s">
        <v>31</v>
      </c>
      <c r="J152" s="19">
        <f>ROUND(86*1,0)&amp;"%"</f>
      </c>
    </row>
    <row x14ac:dyDescent="0.25" r="153" customHeight="1" ht="17.25">
      <c r="A153" s="20" t="s">
        <v>6386</v>
      </c>
      <c r="B153" s="20" t="s">
        <v>266</v>
      </c>
      <c r="C153" s="20" t="s">
        <v>133</v>
      </c>
      <c r="D153" s="20" t="s">
        <v>34</v>
      </c>
      <c r="E153" s="21">
        <f>ROUND(4098*1.05,2)</f>
      </c>
      <c r="F153" s="20" t="s">
        <v>35</v>
      </c>
      <c r="G153" s="20" t="s">
        <v>18</v>
      </c>
      <c r="H153" s="21">
        <f>ROUND(RAND()*4+6,1)</f>
      </c>
      <c r="I153" s="20" t="s">
        <v>36</v>
      </c>
      <c r="J153" s="23">
        <f>ROUND(91*1,0)&amp;"%"</f>
      </c>
    </row>
    <row x14ac:dyDescent="0.25" r="154" customHeight="1" ht="17.25">
      <c r="A154" s="17" t="s">
        <v>6387</v>
      </c>
      <c r="B154" s="17" t="s">
        <v>268</v>
      </c>
      <c r="C154" s="17" t="s">
        <v>133</v>
      </c>
      <c r="D154" s="17" t="s">
        <v>39</v>
      </c>
      <c r="E154" s="18">
        <f>ROUND(10016*1.05,2)</f>
      </c>
      <c r="F154" s="17" t="s">
        <v>40</v>
      </c>
      <c r="G154" s="17" t="s">
        <v>24</v>
      </c>
      <c r="H154" s="18">
        <f>ROUND(RAND()*4+6,1)</f>
      </c>
      <c r="I154" s="17" t="s">
        <v>41</v>
      </c>
      <c r="J154" s="19">
        <f>ROUND(92*1,0)&amp;"%"</f>
      </c>
    </row>
    <row x14ac:dyDescent="0.25" r="155" customHeight="1" ht="17.25">
      <c r="A155" s="20" t="s">
        <v>6388</v>
      </c>
      <c r="B155" s="20" t="s">
        <v>270</v>
      </c>
      <c r="C155" s="20" t="s">
        <v>133</v>
      </c>
      <c r="D155" s="20" t="s">
        <v>67</v>
      </c>
      <c r="E155" s="21">
        <f>ROUND(9677*1.05,2)</f>
      </c>
      <c r="F155" s="20" t="s">
        <v>44</v>
      </c>
      <c r="G155" s="20" t="s">
        <v>30</v>
      </c>
      <c r="H155" s="21">
        <f>ROUND(RAND()*4+6,1)</f>
      </c>
      <c r="I155" s="20" t="s">
        <v>45</v>
      </c>
      <c r="J155" s="23">
        <f>ROUND(86*1,0)&amp;"%"</f>
      </c>
    </row>
    <row x14ac:dyDescent="0.25" r="156" customHeight="1" ht="17.25">
      <c r="A156" s="17" t="s">
        <v>6389</v>
      </c>
      <c r="B156" s="17" t="s">
        <v>272</v>
      </c>
      <c r="C156" s="17" t="s">
        <v>133</v>
      </c>
      <c r="D156" s="17" t="s">
        <v>16</v>
      </c>
      <c r="E156" s="18">
        <f>ROUND(8729*1.05,2)</f>
      </c>
      <c r="F156" s="17" t="s">
        <v>48</v>
      </c>
      <c r="G156" s="17" t="s">
        <v>18</v>
      </c>
      <c r="H156" s="18">
        <f>ROUND(RAND()*4+6,1)</f>
      </c>
      <c r="I156" s="17" t="s">
        <v>19</v>
      </c>
      <c r="J156" s="19">
        <f>ROUND(65*1,0)&amp;"%"</f>
      </c>
    </row>
    <row x14ac:dyDescent="0.25" r="157" customHeight="1" ht="17.25">
      <c r="A157" s="20" t="s">
        <v>6390</v>
      </c>
      <c r="B157" s="20" t="s">
        <v>274</v>
      </c>
      <c r="C157" s="20" t="s">
        <v>133</v>
      </c>
      <c r="D157" s="20" t="s">
        <v>22</v>
      </c>
      <c r="E157" s="21">
        <f>ROUND(12596*1.05,2)</f>
      </c>
      <c r="F157" s="20" t="s">
        <v>51</v>
      </c>
      <c r="G157" s="20" t="s">
        <v>24</v>
      </c>
      <c r="H157" s="21">
        <f>ROUND(RAND()*4+6,1)</f>
      </c>
      <c r="I157" s="20" t="s">
        <v>25</v>
      </c>
      <c r="J157" s="23">
        <f>ROUND(77*1,0)&amp;"%"</f>
      </c>
    </row>
    <row x14ac:dyDescent="0.25" r="158" customHeight="1" ht="17.25">
      <c r="A158" s="24" t="s">
        <v>275</v>
      </c>
      <c r="B158" s="24"/>
      <c r="C158" s="24"/>
      <c r="D158" s="24"/>
      <c r="E158" s="25">
        <v>8</v>
      </c>
      <c r="F158" s="9"/>
      <c r="G158" s="9"/>
      <c r="H158" s="10"/>
      <c r="I158" s="9"/>
      <c r="J158" s="9"/>
    </row>
    <row x14ac:dyDescent="0.25" r="159" customHeight="1" ht="17.25">
      <c r="A159" s="7"/>
      <c r="B159" s="7"/>
      <c r="C159" s="7"/>
      <c r="D159" s="7"/>
      <c r="E159" s="8"/>
      <c r="F159" s="9"/>
      <c r="G159" s="9"/>
      <c r="H159" s="10"/>
      <c r="I159" s="9"/>
      <c r="J159" s="9"/>
    </row>
    <row x14ac:dyDescent="0.25" r="160" customHeight="1" ht="17.25">
      <c r="A160" s="11" t="s">
        <v>6391</v>
      </c>
      <c r="B160" s="11"/>
      <c r="C160" s="11"/>
      <c r="D160" s="11"/>
      <c r="E160" s="12"/>
      <c r="F160" s="11"/>
      <c r="G160" s="11"/>
      <c r="H160" s="13"/>
      <c r="I160" s="11"/>
      <c r="J160" s="11"/>
    </row>
    <row x14ac:dyDescent="0.25" r="161" customHeight="1" ht="17.25">
      <c r="A161" s="14" t="s">
        <v>3</v>
      </c>
      <c r="B161" s="14" t="s">
        <v>4</v>
      </c>
      <c r="C161" s="14" t="s">
        <v>5</v>
      </c>
      <c r="D161" s="14" t="s">
        <v>6</v>
      </c>
      <c r="E161" s="15" t="s">
        <v>7</v>
      </c>
      <c r="F161" s="14" t="s">
        <v>8</v>
      </c>
      <c r="G161" s="14" t="s">
        <v>9</v>
      </c>
      <c r="H161" s="16" t="s">
        <v>10</v>
      </c>
      <c r="I161" s="14" t="s">
        <v>11</v>
      </c>
      <c r="J161" s="14" t="s">
        <v>12</v>
      </c>
    </row>
    <row x14ac:dyDescent="0.25" r="162" customHeight="1" ht="17.25">
      <c r="A162" s="17" t="s">
        <v>6392</v>
      </c>
      <c r="B162" s="17" t="s">
        <v>278</v>
      </c>
      <c r="C162" s="17" t="s">
        <v>152</v>
      </c>
      <c r="D162" s="17" t="s">
        <v>16</v>
      </c>
      <c r="E162" s="18">
        <f>ROUND(12847*1.05,2)</f>
      </c>
      <c r="F162" s="17" t="s">
        <v>17</v>
      </c>
      <c r="G162" s="17" t="s">
        <v>18</v>
      </c>
      <c r="H162" s="18">
        <f>ROUND(RAND()*4+6,1)</f>
      </c>
      <c r="I162" s="17" t="s">
        <v>19</v>
      </c>
      <c r="J162" s="19">
        <f>ROUND(72*1,0)&amp;"%"</f>
      </c>
    </row>
    <row x14ac:dyDescent="0.25" r="163" customHeight="1" ht="17.25">
      <c r="A163" s="20" t="s">
        <v>6393</v>
      </c>
      <c r="B163" s="20" t="s">
        <v>280</v>
      </c>
      <c r="C163" s="20" t="s">
        <v>152</v>
      </c>
      <c r="D163" s="20" t="s">
        <v>22</v>
      </c>
      <c r="E163" s="21">
        <f>ROUND(10783*1.05,2)</f>
      </c>
      <c r="F163" s="20" t="s">
        <v>23</v>
      </c>
      <c r="G163" s="20" t="s">
        <v>24</v>
      </c>
      <c r="H163" s="21">
        <f>ROUND(RAND()*4+6,1)</f>
      </c>
      <c r="I163" s="20" t="s">
        <v>25</v>
      </c>
      <c r="J163" s="23">
        <f>ROUND(77*1,0)&amp;"%"</f>
      </c>
    </row>
    <row x14ac:dyDescent="0.25" r="164" customHeight="1" ht="17.25">
      <c r="A164" s="17" t="s">
        <v>6394</v>
      </c>
      <c r="B164" s="17" t="s">
        <v>282</v>
      </c>
      <c r="C164" s="17" t="s">
        <v>152</v>
      </c>
      <c r="D164" s="17" t="s">
        <v>28</v>
      </c>
      <c r="E164" s="18">
        <f>ROUND(16276*1.05,2)</f>
      </c>
      <c r="F164" s="17" t="s">
        <v>29</v>
      </c>
      <c r="G164" s="17" t="s">
        <v>30</v>
      </c>
      <c r="H164" s="18">
        <f>ROUND(RAND()*4+6,1)</f>
      </c>
      <c r="I164" s="17" t="s">
        <v>31</v>
      </c>
      <c r="J164" s="19">
        <f>ROUND(63*1,0)&amp;"%"</f>
      </c>
    </row>
    <row x14ac:dyDescent="0.25" r="165" customHeight="1" ht="17.25">
      <c r="A165" s="20" t="s">
        <v>6395</v>
      </c>
      <c r="B165" s="20" t="s">
        <v>284</v>
      </c>
      <c r="C165" s="20" t="s">
        <v>152</v>
      </c>
      <c r="D165" s="20" t="s">
        <v>34</v>
      </c>
      <c r="E165" s="21">
        <f>ROUND(10883*1.05,2)</f>
      </c>
      <c r="F165" s="20" t="s">
        <v>35</v>
      </c>
      <c r="G165" s="20" t="s">
        <v>18</v>
      </c>
      <c r="H165" s="21">
        <f>ROUND(RAND()*4+6,1)</f>
      </c>
      <c r="I165" s="20" t="s">
        <v>36</v>
      </c>
      <c r="J165" s="23">
        <f>ROUND(89*1,0)&amp;"%"</f>
      </c>
    </row>
    <row x14ac:dyDescent="0.25" r="166" customHeight="1" ht="17.25">
      <c r="A166" s="17" t="s">
        <v>6396</v>
      </c>
      <c r="B166" s="17" t="s">
        <v>286</v>
      </c>
      <c r="C166" s="17" t="s">
        <v>152</v>
      </c>
      <c r="D166" s="17" t="s">
        <v>39</v>
      </c>
      <c r="E166" s="18">
        <f>ROUND(7395*1.05,2)</f>
      </c>
      <c r="F166" s="17" t="s">
        <v>40</v>
      </c>
      <c r="G166" s="17" t="s">
        <v>24</v>
      </c>
      <c r="H166" s="18">
        <f>ROUND(RAND()*4+6,1)</f>
      </c>
      <c r="I166" s="17" t="s">
        <v>41</v>
      </c>
      <c r="J166" s="19">
        <f>ROUND(82*1,0)&amp;"%"</f>
      </c>
    </row>
    <row x14ac:dyDescent="0.25" r="167" customHeight="1" ht="17.25">
      <c r="A167" s="20" t="s">
        <v>6397</v>
      </c>
      <c r="B167" s="20" t="s">
        <v>288</v>
      </c>
      <c r="C167" s="20" t="s">
        <v>152</v>
      </c>
      <c r="D167" s="20" t="s">
        <v>67</v>
      </c>
      <c r="E167" s="21">
        <f>ROUND(17115*1.05,2)</f>
      </c>
      <c r="F167" s="20" t="s">
        <v>44</v>
      </c>
      <c r="G167" s="20" t="s">
        <v>30</v>
      </c>
      <c r="H167" s="21">
        <f>ROUND(RAND()*4+6,1)</f>
      </c>
      <c r="I167" s="20" t="s">
        <v>45</v>
      </c>
      <c r="J167" s="23">
        <f>ROUND(65*1,0)&amp;"%"</f>
      </c>
    </row>
    <row x14ac:dyDescent="0.25" r="168" customHeight="1" ht="17.25">
      <c r="A168" s="17" t="s">
        <v>6398</v>
      </c>
      <c r="B168" s="17" t="s">
        <v>290</v>
      </c>
      <c r="C168" s="17" t="s">
        <v>152</v>
      </c>
      <c r="D168" s="17" t="s">
        <v>16</v>
      </c>
      <c r="E168" s="18">
        <f>ROUND(8837*1.05,2)</f>
      </c>
      <c r="F168" s="17" t="s">
        <v>48</v>
      </c>
      <c r="G168" s="17" t="s">
        <v>18</v>
      </c>
      <c r="H168" s="18">
        <f>ROUND(RAND()*4+6,1)</f>
      </c>
      <c r="I168" s="17" t="s">
        <v>19</v>
      </c>
      <c r="J168" s="19">
        <f>ROUND(70*1,0)&amp;"%"</f>
      </c>
    </row>
    <row x14ac:dyDescent="0.25" r="169" customHeight="1" ht="17.25">
      <c r="A169" s="20" t="s">
        <v>6399</v>
      </c>
      <c r="B169" s="20" t="s">
        <v>292</v>
      </c>
      <c r="C169" s="20" t="s">
        <v>152</v>
      </c>
      <c r="D169" s="20" t="s">
        <v>22</v>
      </c>
      <c r="E169" s="21">
        <f>ROUND(14622*1.05,2)</f>
      </c>
      <c r="F169" s="20" t="s">
        <v>51</v>
      </c>
      <c r="G169" s="20" t="s">
        <v>24</v>
      </c>
      <c r="H169" s="21">
        <f>ROUND(RAND()*4+6,1)</f>
      </c>
      <c r="I169" s="20" t="s">
        <v>25</v>
      </c>
      <c r="J169" s="23">
        <f>ROUND(90*1,0)&amp;"%"</f>
      </c>
    </row>
    <row x14ac:dyDescent="0.25" r="170" customHeight="1" ht="17.25">
      <c r="A170" s="24" t="s">
        <v>293</v>
      </c>
      <c r="B170" s="24"/>
      <c r="C170" s="24"/>
      <c r="D170" s="24"/>
      <c r="E170" s="25">
        <v>8</v>
      </c>
      <c r="F170" s="9"/>
      <c r="G170" s="9"/>
      <c r="H170" s="10"/>
      <c r="I170" s="9"/>
      <c r="J170" s="9"/>
    </row>
    <row x14ac:dyDescent="0.25" r="171" customHeight="1" ht="17.25">
      <c r="A171" s="7"/>
      <c r="B171" s="7"/>
      <c r="C171" s="7"/>
      <c r="D171" s="7"/>
      <c r="E171" s="8"/>
      <c r="F171" s="9"/>
      <c r="G171" s="9"/>
      <c r="H171" s="10"/>
      <c r="I171" s="9"/>
      <c r="J171" s="9"/>
    </row>
    <row x14ac:dyDescent="0.25" r="172" customHeight="1" ht="17.25">
      <c r="A172" s="11" t="s">
        <v>6400</v>
      </c>
      <c r="B172" s="11"/>
      <c r="C172" s="11"/>
      <c r="D172" s="11"/>
      <c r="E172" s="12"/>
      <c r="F172" s="11"/>
      <c r="G172" s="11"/>
      <c r="H172" s="13"/>
      <c r="I172" s="11"/>
      <c r="J172" s="11"/>
    </row>
    <row x14ac:dyDescent="0.25" r="173" customHeight="1" ht="17.25">
      <c r="A173" s="14" t="s">
        <v>3</v>
      </c>
      <c r="B173" s="14" t="s">
        <v>4</v>
      </c>
      <c r="C173" s="14" t="s">
        <v>5</v>
      </c>
      <c r="D173" s="14" t="s">
        <v>6</v>
      </c>
      <c r="E173" s="15" t="s">
        <v>7</v>
      </c>
      <c r="F173" s="14" t="s">
        <v>8</v>
      </c>
      <c r="G173" s="14" t="s">
        <v>9</v>
      </c>
      <c r="H173" s="16" t="s">
        <v>10</v>
      </c>
      <c r="I173" s="14" t="s">
        <v>11</v>
      </c>
      <c r="J173" s="14" t="s">
        <v>12</v>
      </c>
    </row>
    <row x14ac:dyDescent="0.25" r="174" customHeight="1" ht="17.25">
      <c r="A174" s="17" t="s">
        <v>6401</v>
      </c>
      <c r="B174" s="17" t="s">
        <v>296</v>
      </c>
      <c r="C174" s="17" t="s">
        <v>15</v>
      </c>
      <c r="D174" s="17" t="s">
        <v>16</v>
      </c>
      <c r="E174" s="18">
        <f>ROUND(9357*1.05,2)</f>
      </c>
      <c r="F174" s="17" t="s">
        <v>17</v>
      </c>
      <c r="G174" s="17" t="s">
        <v>18</v>
      </c>
      <c r="H174" s="18">
        <f>ROUND(RAND()*4+6,1)</f>
      </c>
      <c r="I174" s="17" t="s">
        <v>19</v>
      </c>
      <c r="J174" s="19">
        <f>ROUND(82*1,0)&amp;"%"</f>
      </c>
    </row>
    <row x14ac:dyDescent="0.25" r="175" customHeight="1" ht="17.25">
      <c r="A175" s="20" t="s">
        <v>6402</v>
      </c>
      <c r="B175" s="20" t="s">
        <v>298</v>
      </c>
      <c r="C175" s="20" t="s">
        <v>15</v>
      </c>
      <c r="D175" s="20" t="s">
        <v>22</v>
      </c>
      <c r="E175" s="21">
        <f>ROUND(11641*1.05,2)</f>
      </c>
      <c r="F175" s="20" t="s">
        <v>23</v>
      </c>
      <c r="G175" s="20" t="s">
        <v>24</v>
      </c>
      <c r="H175" s="21">
        <f>ROUND(RAND()*4+6,1)</f>
      </c>
      <c r="I175" s="20" t="s">
        <v>25</v>
      </c>
      <c r="J175" s="23">
        <f>ROUND(93*1,0)&amp;"%"</f>
      </c>
    </row>
    <row x14ac:dyDescent="0.25" r="176" customHeight="1" ht="17.25">
      <c r="A176" s="17" t="s">
        <v>6403</v>
      </c>
      <c r="B176" s="17" t="s">
        <v>300</v>
      </c>
      <c r="C176" s="17" t="s">
        <v>15</v>
      </c>
      <c r="D176" s="17" t="s">
        <v>28</v>
      </c>
      <c r="E176" s="18">
        <f>ROUND(17147*1.05,2)</f>
      </c>
      <c r="F176" s="17" t="s">
        <v>29</v>
      </c>
      <c r="G176" s="17" t="s">
        <v>30</v>
      </c>
      <c r="H176" s="18">
        <f>ROUND(RAND()*4+6,1)</f>
      </c>
      <c r="I176" s="17" t="s">
        <v>31</v>
      </c>
      <c r="J176" s="19">
        <f>ROUND(83*1,0)&amp;"%"</f>
      </c>
    </row>
    <row x14ac:dyDescent="0.25" r="177" customHeight="1" ht="17.25">
      <c r="A177" s="20" t="s">
        <v>6404</v>
      </c>
      <c r="B177" s="20" t="s">
        <v>302</v>
      </c>
      <c r="C177" s="20" t="s">
        <v>15</v>
      </c>
      <c r="D177" s="20" t="s">
        <v>34</v>
      </c>
      <c r="E177" s="21">
        <f>ROUND(8656*1.05,2)</f>
      </c>
      <c r="F177" s="20" t="s">
        <v>35</v>
      </c>
      <c r="G177" s="20" t="s">
        <v>18</v>
      </c>
      <c r="H177" s="22">
        <f>ROUND(RAND()*4+6,1)</f>
      </c>
      <c r="I177" s="20" t="s">
        <v>36</v>
      </c>
      <c r="J177" s="23">
        <f>ROUND(75*1,0)&amp;"%"</f>
      </c>
    </row>
    <row x14ac:dyDescent="0.25" r="178" customHeight="1" ht="17.25">
      <c r="A178" s="17" t="s">
        <v>6405</v>
      </c>
      <c r="B178" s="17" t="s">
        <v>304</v>
      </c>
      <c r="C178" s="17" t="s">
        <v>15</v>
      </c>
      <c r="D178" s="17" t="s">
        <v>39</v>
      </c>
      <c r="E178" s="18">
        <f>ROUND(8873*1.05,2)</f>
      </c>
      <c r="F178" s="17" t="s">
        <v>40</v>
      </c>
      <c r="G178" s="17" t="s">
        <v>24</v>
      </c>
      <c r="H178" s="18">
        <f>ROUND(RAND()*4+6,1)</f>
      </c>
      <c r="I178" s="17" t="s">
        <v>41</v>
      </c>
      <c r="J178" s="19">
        <f>ROUND(93*1,0)&amp;"%"</f>
      </c>
    </row>
    <row x14ac:dyDescent="0.25" r="179" customHeight="1" ht="17.25">
      <c r="A179" s="20" t="s">
        <v>6406</v>
      </c>
      <c r="B179" s="20" t="s">
        <v>306</v>
      </c>
      <c r="C179" s="20" t="s">
        <v>15</v>
      </c>
      <c r="D179" s="20" t="s">
        <v>67</v>
      </c>
      <c r="E179" s="21">
        <f>ROUND(6014*1.05,2)</f>
      </c>
      <c r="F179" s="20" t="s">
        <v>44</v>
      </c>
      <c r="G179" s="20" t="s">
        <v>30</v>
      </c>
      <c r="H179" s="21">
        <f>ROUND(RAND()*4+6,1)</f>
      </c>
      <c r="I179" s="20" t="s">
        <v>45</v>
      </c>
      <c r="J179" s="23">
        <f>ROUND(100*1,0)&amp;"%"</f>
      </c>
    </row>
    <row x14ac:dyDescent="0.25" r="180" customHeight="1" ht="17.25">
      <c r="A180" s="17" t="s">
        <v>6407</v>
      </c>
      <c r="B180" s="17" t="s">
        <v>308</v>
      </c>
      <c r="C180" s="17" t="s">
        <v>15</v>
      </c>
      <c r="D180" s="17" t="s">
        <v>16</v>
      </c>
      <c r="E180" s="18">
        <f>ROUND(5730*1.05,2)</f>
      </c>
      <c r="F180" s="17" t="s">
        <v>48</v>
      </c>
      <c r="G180" s="17" t="s">
        <v>18</v>
      </c>
      <c r="H180" s="18">
        <f>ROUND(RAND()*4+6,1)</f>
      </c>
      <c r="I180" s="17" t="s">
        <v>19</v>
      </c>
      <c r="J180" s="19">
        <f>ROUND(88*1,0)&amp;"%"</f>
      </c>
    </row>
    <row x14ac:dyDescent="0.25" r="181" customHeight="1" ht="17.25">
      <c r="A181" s="20" t="s">
        <v>6408</v>
      </c>
      <c r="B181" s="20" t="s">
        <v>310</v>
      </c>
      <c r="C181" s="20" t="s">
        <v>15</v>
      </c>
      <c r="D181" s="20" t="s">
        <v>22</v>
      </c>
      <c r="E181" s="21">
        <f>ROUND(15098*1.05,2)</f>
      </c>
      <c r="F181" s="20" t="s">
        <v>51</v>
      </c>
      <c r="G181" s="20" t="s">
        <v>24</v>
      </c>
      <c r="H181" s="22">
        <f>ROUND(RAND()*4+6,1)</f>
      </c>
      <c r="I181" s="20" t="s">
        <v>25</v>
      </c>
      <c r="J181" s="23">
        <f>ROUND(74*1,0)&amp;"%"</f>
      </c>
    </row>
    <row x14ac:dyDescent="0.25" r="182" customHeight="1" ht="17.25">
      <c r="A182" s="24" t="s">
        <v>311</v>
      </c>
      <c r="B182" s="24"/>
      <c r="C182" s="24"/>
      <c r="D182" s="24"/>
      <c r="E182" s="25">
        <v>8</v>
      </c>
      <c r="F182" s="9"/>
      <c r="G182" s="9"/>
      <c r="H182" s="10"/>
      <c r="I182" s="9"/>
      <c r="J182" s="9"/>
    </row>
    <row x14ac:dyDescent="0.25" r="183" customHeight="1" ht="17.25">
      <c r="A183" s="7"/>
      <c r="B183" s="7"/>
      <c r="C183" s="7"/>
      <c r="D183" s="7"/>
      <c r="E183" s="8"/>
      <c r="F183" s="9"/>
      <c r="G183" s="9"/>
      <c r="H183" s="10"/>
      <c r="I183" s="9"/>
      <c r="J183" s="9"/>
    </row>
    <row x14ac:dyDescent="0.25" r="184" customHeight="1" ht="17.25">
      <c r="A184" s="11" t="s">
        <v>6409</v>
      </c>
      <c r="B184" s="11"/>
      <c r="C184" s="11"/>
      <c r="D184" s="11"/>
      <c r="E184" s="12"/>
      <c r="F184" s="11"/>
      <c r="G184" s="11"/>
      <c r="H184" s="13"/>
      <c r="I184" s="11"/>
      <c r="J184" s="11"/>
    </row>
    <row x14ac:dyDescent="0.25" r="185" customHeight="1" ht="17.25">
      <c r="A185" s="14" t="s">
        <v>3</v>
      </c>
      <c r="B185" s="14" t="s">
        <v>4</v>
      </c>
      <c r="C185" s="14" t="s">
        <v>5</v>
      </c>
      <c r="D185" s="14" t="s">
        <v>6</v>
      </c>
      <c r="E185" s="15" t="s">
        <v>7</v>
      </c>
      <c r="F185" s="14" t="s">
        <v>8</v>
      </c>
      <c r="G185" s="14" t="s">
        <v>9</v>
      </c>
      <c r="H185" s="16" t="s">
        <v>10</v>
      </c>
      <c r="I185" s="14" t="s">
        <v>11</v>
      </c>
      <c r="J185" s="14" t="s">
        <v>12</v>
      </c>
    </row>
    <row x14ac:dyDescent="0.25" r="186" customHeight="1" ht="17.25">
      <c r="A186" s="17" t="s">
        <v>6410</v>
      </c>
      <c r="B186" s="17" t="s">
        <v>314</v>
      </c>
      <c r="C186" s="17" t="s">
        <v>56</v>
      </c>
      <c r="D186" s="17" t="s">
        <v>16</v>
      </c>
      <c r="E186" s="18">
        <f>ROUND(15555*1.05,2)</f>
      </c>
      <c r="F186" s="17" t="s">
        <v>17</v>
      </c>
      <c r="G186" s="17" t="s">
        <v>18</v>
      </c>
      <c r="H186" s="18">
        <f>ROUND(RAND()*4+6,1)</f>
      </c>
      <c r="I186" s="17" t="s">
        <v>19</v>
      </c>
      <c r="J186" s="19">
        <f>ROUND(67*1,0)&amp;"%"</f>
      </c>
    </row>
    <row x14ac:dyDescent="0.25" r="187" customHeight="1" ht="17.25">
      <c r="A187" s="20" t="s">
        <v>6411</v>
      </c>
      <c r="B187" s="20" t="s">
        <v>316</v>
      </c>
      <c r="C187" s="20" t="s">
        <v>56</v>
      </c>
      <c r="D187" s="20" t="s">
        <v>22</v>
      </c>
      <c r="E187" s="21">
        <f>ROUND(11766*1.05,2)</f>
      </c>
      <c r="F187" s="20" t="s">
        <v>23</v>
      </c>
      <c r="G187" s="20" t="s">
        <v>24</v>
      </c>
      <c r="H187" s="21">
        <f>ROUND(RAND()*4+6,1)</f>
      </c>
      <c r="I187" s="20" t="s">
        <v>25</v>
      </c>
      <c r="J187" s="23">
        <f>ROUND(65*1,0)&amp;"%"</f>
      </c>
    </row>
    <row x14ac:dyDescent="0.25" r="188" customHeight="1" ht="17.25">
      <c r="A188" s="17" t="s">
        <v>6412</v>
      </c>
      <c r="B188" s="17" t="s">
        <v>318</v>
      </c>
      <c r="C188" s="17" t="s">
        <v>56</v>
      </c>
      <c r="D188" s="17" t="s">
        <v>28</v>
      </c>
      <c r="E188" s="18">
        <f>ROUND(6457*1.05,2)</f>
      </c>
      <c r="F188" s="17" t="s">
        <v>29</v>
      </c>
      <c r="G188" s="17" t="s">
        <v>30</v>
      </c>
      <c r="H188" s="18">
        <f>ROUND(RAND()*4+6,1)</f>
      </c>
      <c r="I188" s="17" t="s">
        <v>31</v>
      </c>
      <c r="J188" s="19">
        <f>ROUND(68*1,0)&amp;"%"</f>
      </c>
    </row>
    <row x14ac:dyDescent="0.25" r="189" customHeight="1" ht="17.25">
      <c r="A189" s="20" t="s">
        <v>6413</v>
      </c>
      <c r="B189" s="20" t="s">
        <v>320</v>
      </c>
      <c r="C189" s="20" t="s">
        <v>56</v>
      </c>
      <c r="D189" s="20" t="s">
        <v>34</v>
      </c>
      <c r="E189" s="21">
        <f>ROUND(9875*1.05,2)</f>
      </c>
      <c r="F189" s="20" t="s">
        <v>35</v>
      </c>
      <c r="G189" s="20" t="s">
        <v>18</v>
      </c>
      <c r="H189" s="21">
        <f>ROUND(RAND()*4+6,1)</f>
      </c>
      <c r="I189" s="20" t="s">
        <v>36</v>
      </c>
      <c r="J189" s="23">
        <f>ROUND(87*1,0)&amp;"%"</f>
      </c>
    </row>
    <row x14ac:dyDescent="0.25" r="190" customHeight="1" ht="17.25">
      <c r="A190" s="17" t="s">
        <v>6414</v>
      </c>
      <c r="B190" s="17" t="s">
        <v>322</v>
      </c>
      <c r="C190" s="17" t="s">
        <v>56</v>
      </c>
      <c r="D190" s="17" t="s">
        <v>39</v>
      </c>
      <c r="E190" s="18">
        <f>ROUND(12906*1.05,2)</f>
      </c>
      <c r="F190" s="17" t="s">
        <v>40</v>
      </c>
      <c r="G190" s="17" t="s">
        <v>24</v>
      </c>
      <c r="H190" s="18">
        <f>ROUND(RAND()*4+6,1)</f>
      </c>
      <c r="I190" s="17" t="s">
        <v>41</v>
      </c>
      <c r="J190" s="19">
        <f>ROUND(87*1,0)&amp;"%"</f>
      </c>
    </row>
    <row x14ac:dyDescent="0.25" r="191" customHeight="1" ht="17.25">
      <c r="A191" s="20" t="s">
        <v>6415</v>
      </c>
      <c r="B191" s="20" t="s">
        <v>324</v>
      </c>
      <c r="C191" s="20" t="s">
        <v>56</v>
      </c>
      <c r="D191" s="20" t="s">
        <v>67</v>
      </c>
      <c r="E191" s="21">
        <f>ROUND(14026*1.05,2)</f>
      </c>
      <c r="F191" s="20" t="s">
        <v>44</v>
      </c>
      <c r="G191" s="20" t="s">
        <v>30</v>
      </c>
      <c r="H191" s="21">
        <f>ROUND(RAND()*4+6,1)</f>
      </c>
      <c r="I191" s="20" t="s">
        <v>45</v>
      </c>
      <c r="J191" s="23">
        <f>ROUND(64*1,0)&amp;"%"</f>
      </c>
    </row>
    <row x14ac:dyDescent="0.25" r="192" customHeight="1" ht="17.25">
      <c r="A192" s="17" t="s">
        <v>6416</v>
      </c>
      <c r="B192" s="17" t="s">
        <v>326</v>
      </c>
      <c r="C192" s="17" t="s">
        <v>56</v>
      </c>
      <c r="D192" s="17" t="s">
        <v>16</v>
      </c>
      <c r="E192" s="18">
        <f>ROUND(5857*1.05,2)</f>
      </c>
      <c r="F192" s="17" t="s">
        <v>48</v>
      </c>
      <c r="G192" s="17" t="s">
        <v>18</v>
      </c>
      <c r="H192" s="18">
        <f>ROUND(RAND()*4+6,1)</f>
      </c>
      <c r="I192" s="17" t="s">
        <v>19</v>
      </c>
      <c r="J192" s="19">
        <f>ROUND(81*1,0)&amp;"%"</f>
      </c>
    </row>
    <row x14ac:dyDescent="0.25" r="193" customHeight="1" ht="17.25">
      <c r="A193" s="20" t="s">
        <v>6417</v>
      </c>
      <c r="B193" s="20" t="s">
        <v>328</v>
      </c>
      <c r="C193" s="20" t="s">
        <v>56</v>
      </c>
      <c r="D193" s="20" t="s">
        <v>22</v>
      </c>
      <c r="E193" s="21">
        <f>ROUND(4790*1.05,2)</f>
      </c>
      <c r="F193" s="20" t="s">
        <v>51</v>
      </c>
      <c r="G193" s="20" t="s">
        <v>24</v>
      </c>
      <c r="H193" s="21">
        <f>ROUND(RAND()*4+6,1)</f>
      </c>
      <c r="I193" s="20" t="s">
        <v>25</v>
      </c>
      <c r="J193" s="23">
        <f>ROUND(86*1,0)&amp;"%"</f>
      </c>
    </row>
    <row x14ac:dyDescent="0.25" r="194" customHeight="1" ht="17.25">
      <c r="A194" s="24" t="s">
        <v>329</v>
      </c>
      <c r="B194" s="24"/>
      <c r="C194" s="24"/>
      <c r="D194" s="24"/>
      <c r="E194" s="25">
        <v>8</v>
      </c>
      <c r="F194" s="9"/>
      <c r="G194" s="9"/>
      <c r="H194" s="10"/>
      <c r="I194" s="9"/>
      <c r="J194" s="9"/>
    </row>
    <row x14ac:dyDescent="0.25" r="195" customHeight="1" ht="17.25">
      <c r="A195" s="7"/>
      <c r="B195" s="7"/>
      <c r="C195" s="7"/>
      <c r="D195" s="7"/>
      <c r="E195" s="8"/>
      <c r="F195" s="9"/>
      <c r="G195" s="9"/>
      <c r="H195" s="10"/>
      <c r="I195" s="9"/>
      <c r="J195" s="9"/>
    </row>
    <row x14ac:dyDescent="0.25" r="196" customHeight="1" ht="17.25">
      <c r="A196" s="11" t="s">
        <v>6418</v>
      </c>
      <c r="B196" s="11"/>
      <c r="C196" s="11"/>
      <c r="D196" s="11"/>
      <c r="E196" s="12"/>
      <c r="F196" s="11"/>
      <c r="G196" s="11"/>
      <c r="H196" s="13"/>
      <c r="I196" s="11"/>
      <c r="J196" s="11"/>
    </row>
    <row x14ac:dyDescent="0.25" r="197" customHeight="1" ht="17.25">
      <c r="A197" s="14" t="s">
        <v>3</v>
      </c>
      <c r="B197" s="14" t="s">
        <v>4</v>
      </c>
      <c r="C197" s="14" t="s">
        <v>5</v>
      </c>
      <c r="D197" s="14" t="s">
        <v>6</v>
      </c>
      <c r="E197" s="15" t="s">
        <v>7</v>
      </c>
      <c r="F197" s="14" t="s">
        <v>8</v>
      </c>
      <c r="G197" s="14" t="s">
        <v>9</v>
      </c>
      <c r="H197" s="16" t="s">
        <v>10</v>
      </c>
      <c r="I197" s="14" t="s">
        <v>11</v>
      </c>
      <c r="J197" s="14" t="s">
        <v>12</v>
      </c>
    </row>
    <row x14ac:dyDescent="0.25" r="198" customHeight="1" ht="17.25">
      <c r="A198" s="17" t="s">
        <v>6419</v>
      </c>
      <c r="B198" s="17" t="s">
        <v>332</v>
      </c>
      <c r="C198" s="17" t="s">
        <v>76</v>
      </c>
      <c r="D198" s="17" t="s">
        <v>16</v>
      </c>
      <c r="E198" s="18">
        <f>ROUND(8332*1.05,2)</f>
      </c>
      <c r="F198" s="17" t="s">
        <v>17</v>
      </c>
      <c r="G198" s="17" t="s">
        <v>18</v>
      </c>
      <c r="H198" s="18">
        <f>ROUND(RAND()*4+6,1)</f>
      </c>
      <c r="I198" s="17" t="s">
        <v>19</v>
      </c>
      <c r="J198" s="19">
        <f>ROUND(69*1,0)&amp;"%"</f>
      </c>
    </row>
    <row x14ac:dyDescent="0.25" r="199" customHeight="1" ht="17.25">
      <c r="A199" s="20" t="s">
        <v>6420</v>
      </c>
      <c r="B199" s="20" t="s">
        <v>334</v>
      </c>
      <c r="C199" s="20" t="s">
        <v>76</v>
      </c>
      <c r="D199" s="20" t="s">
        <v>22</v>
      </c>
      <c r="E199" s="21">
        <f>ROUND(6445*1.05,2)</f>
      </c>
      <c r="F199" s="20" t="s">
        <v>23</v>
      </c>
      <c r="G199" s="20" t="s">
        <v>24</v>
      </c>
      <c r="H199" s="21">
        <f>ROUND(RAND()*4+6,1)</f>
      </c>
      <c r="I199" s="20" t="s">
        <v>25</v>
      </c>
      <c r="J199" s="23">
        <f>ROUND(66*1,0)&amp;"%"</f>
      </c>
    </row>
    <row x14ac:dyDescent="0.25" r="200" customHeight="1" ht="17.25">
      <c r="A200" s="17" t="s">
        <v>6421</v>
      </c>
      <c r="B200" s="17" t="s">
        <v>336</v>
      </c>
      <c r="C200" s="17" t="s">
        <v>76</v>
      </c>
      <c r="D200" s="17" t="s">
        <v>28</v>
      </c>
      <c r="E200" s="18">
        <f>ROUND(10479*1.05,2)</f>
      </c>
      <c r="F200" s="17" t="s">
        <v>29</v>
      </c>
      <c r="G200" s="17" t="s">
        <v>30</v>
      </c>
      <c r="H200" s="18">
        <f>ROUND(RAND()*4+6,1)</f>
      </c>
      <c r="I200" s="17" t="s">
        <v>31</v>
      </c>
      <c r="J200" s="19">
        <f>ROUND(93*1,0)&amp;"%"</f>
      </c>
    </row>
    <row x14ac:dyDescent="0.25" r="201" customHeight="1" ht="17.25">
      <c r="A201" s="20" t="s">
        <v>6422</v>
      </c>
      <c r="B201" s="20" t="s">
        <v>338</v>
      </c>
      <c r="C201" s="20" t="s">
        <v>76</v>
      </c>
      <c r="D201" s="20" t="s">
        <v>34</v>
      </c>
      <c r="E201" s="21">
        <f>ROUND(7350*1.05,2)</f>
      </c>
      <c r="F201" s="20" t="s">
        <v>35</v>
      </c>
      <c r="G201" s="20" t="s">
        <v>18</v>
      </c>
      <c r="H201" s="21">
        <f>ROUND(RAND()*4+6,1)</f>
      </c>
      <c r="I201" s="20" t="s">
        <v>36</v>
      </c>
      <c r="J201" s="23">
        <f>ROUND(81*1,0)&amp;"%"</f>
      </c>
    </row>
    <row x14ac:dyDescent="0.25" r="202" customHeight="1" ht="17.25">
      <c r="A202" s="17" t="s">
        <v>6423</v>
      </c>
      <c r="B202" s="17" t="s">
        <v>340</v>
      </c>
      <c r="C202" s="17" t="s">
        <v>76</v>
      </c>
      <c r="D202" s="17" t="s">
        <v>39</v>
      </c>
      <c r="E202" s="18">
        <f>ROUND(13484*1.05,2)</f>
      </c>
      <c r="F202" s="17" t="s">
        <v>40</v>
      </c>
      <c r="G202" s="17" t="s">
        <v>24</v>
      </c>
      <c r="H202" s="18">
        <f>ROUND(RAND()*4+6,1)</f>
      </c>
      <c r="I202" s="17" t="s">
        <v>41</v>
      </c>
      <c r="J202" s="19">
        <f>ROUND(82*1,0)&amp;"%"</f>
      </c>
    </row>
    <row x14ac:dyDescent="0.25" r="203" customHeight="1" ht="17.25">
      <c r="A203" s="20" t="s">
        <v>6424</v>
      </c>
      <c r="B203" s="20" t="s">
        <v>342</v>
      </c>
      <c r="C203" s="20" t="s">
        <v>76</v>
      </c>
      <c r="D203" s="20" t="s">
        <v>67</v>
      </c>
      <c r="E203" s="21">
        <f>ROUND(12661*1.05,2)</f>
      </c>
      <c r="F203" s="20" t="s">
        <v>44</v>
      </c>
      <c r="G203" s="20" t="s">
        <v>30</v>
      </c>
      <c r="H203" s="21">
        <f>ROUND(RAND()*4+6,1)</f>
      </c>
      <c r="I203" s="20" t="s">
        <v>45</v>
      </c>
      <c r="J203" s="23">
        <f>ROUND(78*1,0)&amp;"%"</f>
      </c>
    </row>
    <row x14ac:dyDescent="0.25" r="204" customHeight="1" ht="17.25">
      <c r="A204" s="17" t="s">
        <v>6425</v>
      </c>
      <c r="B204" s="17" t="s">
        <v>344</v>
      </c>
      <c r="C204" s="17" t="s">
        <v>76</v>
      </c>
      <c r="D204" s="17" t="s">
        <v>16</v>
      </c>
      <c r="E204" s="18">
        <f>ROUND(12865*1.05,2)</f>
      </c>
      <c r="F204" s="17" t="s">
        <v>48</v>
      </c>
      <c r="G204" s="17" t="s">
        <v>18</v>
      </c>
      <c r="H204" s="18">
        <f>ROUND(RAND()*4+6,1)</f>
      </c>
      <c r="I204" s="17" t="s">
        <v>19</v>
      </c>
      <c r="J204" s="19">
        <f>ROUND(84*1,0)&amp;"%"</f>
      </c>
    </row>
    <row x14ac:dyDescent="0.25" r="205" customHeight="1" ht="17.25">
      <c r="A205" s="20" t="s">
        <v>6426</v>
      </c>
      <c r="B205" s="20" t="s">
        <v>346</v>
      </c>
      <c r="C205" s="20" t="s">
        <v>76</v>
      </c>
      <c r="D205" s="20" t="s">
        <v>22</v>
      </c>
      <c r="E205" s="21">
        <f>ROUND(9394*1.05,2)</f>
      </c>
      <c r="F205" s="20" t="s">
        <v>51</v>
      </c>
      <c r="G205" s="20" t="s">
        <v>24</v>
      </c>
      <c r="H205" s="21">
        <f>ROUND(RAND()*4+6,1)</f>
      </c>
      <c r="I205" s="20" t="s">
        <v>25</v>
      </c>
      <c r="J205" s="23">
        <f>ROUND(89*1,0)&amp;"%"</f>
      </c>
    </row>
    <row x14ac:dyDescent="0.25" r="206" customHeight="1" ht="17.25">
      <c r="A206" s="24" t="s">
        <v>347</v>
      </c>
      <c r="B206" s="24"/>
      <c r="C206" s="24"/>
      <c r="D206" s="24"/>
      <c r="E206" s="25">
        <v>8</v>
      </c>
      <c r="F206" s="9"/>
      <c r="G206" s="9"/>
      <c r="H206" s="10"/>
      <c r="I206" s="9"/>
      <c r="J206" s="9"/>
    </row>
    <row x14ac:dyDescent="0.25" r="207" customHeight="1" ht="17.25">
      <c r="A207" s="7"/>
      <c r="B207" s="7"/>
      <c r="C207" s="7"/>
      <c r="D207" s="7"/>
      <c r="E207" s="8"/>
      <c r="F207" s="9"/>
      <c r="G207" s="9"/>
      <c r="H207" s="10"/>
      <c r="I207" s="9"/>
      <c r="J207" s="9"/>
    </row>
    <row x14ac:dyDescent="0.25" r="208" customHeight="1" ht="17.25">
      <c r="A208" s="11" t="s">
        <v>6427</v>
      </c>
      <c r="B208" s="11"/>
      <c r="C208" s="11"/>
      <c r="D208" s="11"/>
      <c r="E208" s="12"/>
      <c r="F208" s="11"/>
      <c r="G208" s="11"/>
      <c r="H208" s="13"/>
      <c r="I208" s="11"/>
      <c r="J208" s="11"/>
    </row>
    <row x14ac:dyDescent="0.25" r="209" customHeight="1" ht="17.25">
      <c r="A209" s="14" t="s">
        <v>3</v>
      </c>
      <c r="B209" s="14" t="s">
        <v>4</v>
      </c>
      <c r="C209" s="14" t="s">
        <v>5</v>
      </c>
      <c r="D209" s="14" t="s">
        <v>6</v>
      </c>
      <c r="E209" s="15" t="s">
        <v>7</v>
      </c>
      <c r="F209" s="14" t="s">
        <v>8</v>
      </c>
      <c r="G209" s="14" t="s">
        <v>9</v>
      </c>
      <c r="H209" s="16" t="s">
        <v>10</v>
      </c>
      <c r="I209" s="14" t="s">
        <v>11</v>
      </c>
      <c r="J209" s="14" t="s">
        <v>12</v>
      </c>
    </row>
    <row x14ac:dyDescent="0.25" r="210" customHeight="1" ht="17.25">
      <c r="A210" s="17" t="s">
        <v>6428</v>
      </c>
      <c r="B210" s="17" t="s">
        <v>350</v>
      </c>
      <c r="C210" s="17" t="s">
        <v>95</v>
      </c>
      <c r="D210" s="17" t="s">
        <v>16</v>
      </c>
      <c r="E210" s="18">
        <f>ROUND(14549*1.05,2)</f>
      </c>
      <c r="F210" s="17" t="s">
        <v>17</v>
      </c>
      <c r="G210" s="17" t="s">
        <v>18</v>
      </c>
      <c r="H210" s="18">
        <f>ROUND(RAND()*4+6,1)</f>
      </c>
      <c r="I210" s="17" t="s">
        <v>19</v>
      </c>
      <c r="J210" s="19">
        <f>ROUND(89*1,0)&amp;"%"</f>
      </c>
    </row>
    <row x14ac:dyDescent="0.25" r="211" customHeight="1" ht="17.25">
      <c r="A211" s="20" t="s">
        <v>6429</v>
      </c>
      <c r="B211" s="20" t="s">
        <v>352</v>
      </c>
      <c r="C211" s="20" t="s">
        <v>95</v>
      </c>
      <c r="D211" s="20" t="s">
        <v>22</v>
      </c>
      <c r="E211" s="21">
        <f>ROUND(16291*1.05,2)</f>
      </c>
      <c r="F211" s="20" t="s">
        <v>23</v>
      </c>
      <c r="G211" s="20" t="s">
        <v>24</v>
      </c>
      <c r="H211" s="21">
        <f>ROUND(RAND()*4+6,1)</f>
      </c>
      <c r="I211" s="20" t="s">
        <v>25</v>
      </c>
      <c r="J211" s="23">
        <f>ROUND(84*1,0)&amp;"%"</f>
      </c>
    </row>
    <row x14ac:dyDescent="0.25" r="212" customHeight="1" ht="17.25">
      <c r="A212" s="17" t="s">
        <v>6430</v>
      </c>
      <c r="B212" s="17" t="s">
        <v>354</v>
      </c>
      <c r="C212" s="17" t="s">
        <v>95</v>
      </c>
      <c r="D212" s="17" t="s">
        <v>28</v>
      </c>
      <c r="E212" s="18">
        <f>ROUND(7169*1.05,2)</f>
      </c>
      <c r="F212" s="17" t="s">
        <v>29</v>
      </c>
      <c r="G212" s="17" t="s">
        <v>30</v>
      </c>
      <c r="H212" s="18">
        <f>ROUND(RAND()*4+6,1)</f>
      </c>
      <c r="I212" s="17" t="s">
        <v>31</v>
      </c>
      <c r="J212" s="19">
        <f>ROUND(95*1,0)&amp;"%"</f>
      </c>
    </row>
    <row x14ac:dyDescent="0.25" r="213" customHeight="1" ht="17.25">
      <c r="A213" s="20" t="s">
        <v>6431</v>
      </c>
      <c r="B213" s="20" t="s">
        <v>356</v>
      </c>
      <c r="C213" s="20" t="s">
        <v>95</v>
      </c>
      <c r="D213" s="20" t="s">
        <v>34</v>
      </c>
      <c r="E213" s="21">
        <f>ROUND(9502*1.05,2)</f>
      </c>
      <c r="F213" s="20" t="s">
        <v>35</v>
      </c>
      <c r="G213" s="20" t="s">
        <v>18</v>
      </c>
      <c r="H213" s="21">
        <f>ROUND(RAND()*4+6,1)</f>
      </c>
      <c r="I213" s="20" t="s">
        <v>36</v>
      </c>
      <c r="J213" s="23">
        <f>ROUND(87*1,0)&amp;"%"</f>
      </c>
    </row>
    <row x14ac:dyDescent="0.25" r="214" customHeight="1" ht="17.25">
      <c r="A214" s="17" t="s">
        <v>6432</v>
      </c>
      <c r="B214" s="17" t="s">
        <v>358</v>
      </c>
      <c r="C214" s="17" t="s">
        <v>95</v>
      </c>
      <c r="D214" s="17" t="s">
        <v>39</v>
      </c>
      <c r="E214" s="18">
        <f>ROUND(4146*1.05,2)</f>
      </c>
      <c r="F214" s="17" t="s">
        <v>40</v>
      </c>
      <c r="G214" s="17" t="s">
        <v>24</v>
      </c>
      <c r="H214" s="18">
        <f>ROUND(RAND()*4+6,1)</f>
      </c>
      <c r="I214" s="17" t="s">
        <v>41</v>
      </c>
      <c r="J214" s="19">
        <f>ROUND(97*1,0)&amp;"%"</f>
      </c>
    </row>
    <row x14ac:dyDescent="0.25" r="215" customHeight="1" ht="17.25">
      <c r="A215" s="20" t="s">
        <v>6433</v>
      </c>
      <c r="B215" s="20" t="s">
        <v>360</v>
      </c>
      <c r="C215" s="20" t="s">
        <v>95</v>
      </c>
      <c r="D215" s="20" t="s">
        <v>67</v>
      </c>
      <c r="E215" s="21">
        <f>ROUND(4729*1.05,2)</f>
      </c>
      <c r="F215" s="20" t="s">
        <v>44</v>
      </c>
      <c r="G215" s="20" t="s">
        <v>30</v>
      </c>
      <c r="H215" s="21">
        <f>ROUND(RAND()*4+6,1)</f>
      </c>
      <c r="I215" s="20" t="s">
        <v>45</v>
      </c>
      <c r="J215" s="23">
        <f>ROUND(97*1,0)&amp;"%"</f>
      </c>
    </row>
    <row x14ac:dyDescent="0.25" r="216" customHeight="1" ht="17.25">
      <c r="A216" s="17" t="s">
        <v>6434</v>
      </c>
      <c r="B216" s="17" t="s">
        <v>362</v>
      </c>
      <c r="C216" s="17" t="s">
        <v>95</v>
      </c>
      <c r="D216" s="17" t="s">
        <v>16</v>
      </c>
      <c r="E216" s="18">
        <f>ROUND(10052*1.05,2)</f>
      </c>
      <c r="F216" s="17" t="s">
        <v>48</v>
      </c>
      <c r="G216" s="17" t="s">
        <v>18</v>
      </c>
      <c r="H216" s="26">
        <f>ROUND(RAND()*4+6,1)</f>
      </c>
      <c r="I216" s="17" t="s">
        <v>19</v>
      </c>
      <c r="J216" s="19">
        <f>ROUND(67*1,0)&amp;"%"</f>
      </c>
    </row>
    <row x14ac:dyDescent="0.25" r="217" customHeight="1" ht="17.25">
      <c r="A217" s="20" t="s">
        <v>6435</v>
      </c>
      <c r="B217" s="20" t="s">
        <v>364</v>
      </c>
      <c r="C217" s="20" t="s">
        <v>95</v>
      </c>
      <c r="D217" s="20" t="s">
        <v>22</v>
      </c>
      <c r="E217" s="21">
        <f>ROUND(16932*1.05,2)</f>
      </c>
      <c r="F217" s="20" t="s">
        <v>51</v>
      </c>
      <c r="G217" s="20" t="s">
        <v>24</v>
      </c>
      <c r="H217" s="21">
        <f>ROUND(RAND()*4+6,1)</f>
      </c>
      <c r="I217" s="20" t="s">
        <v>25</v>
      </c>
      <c r="J217" s="23">
        <f>ROUND(93*1,0)&amp;"%"</f>
      </c>
    </row>
    <row x14ac:dyDescent="0.25" r="218" customHeight="1" ht="17.25">
      <c r="A218" s="24" t="s">
        <v>365</v>
      </c>
      <c r="B218" s="24"/>
      <c r="C218" s="24"/>
      <c r="D218" s="24"/>
      <c r="E218" s="25">
        <v>8</v>
      </c>
      <c r="F218" s="9"/>
      <c r="G218" s="9"/>
      <c r="H218" s="10"/>
      <c r="I218" s="9"/>
      <c r="J218" s="9"/>
    </row>
    <row x14ac:dyDescent="0.25" r="219" customHeight="1" ht="17.25">
      <c r="A219" s="7"/>
      <c r="B219" s="7"/>
      <c r="C219" s="7"/>
      <c r="D219" s="7"/>
      <c r="E219" s="8"/>
      <c r="F219" s="9"/>
      <c r="G219" s="9"/>
      <c r="H219" s="10"/>
      <c r="I219" s="9"/>
      <c r="J219" s="9"/>
    </row>
    <row x14ac:dyDescent="0.25" r="220" customHeight="1" ht="17.25">
      <c r="A220" s="11" t="s">
        <v>6436</v>
      </c>
      <c r="B220" s="11"/>
      <c r="C220" s="11"/>
      <c r="D220" s="11"/>
      <c r="E220" s="12"/>
      <c r="F220" s="11"/>
      <c r="G220" s="11"/>
      <c r="H220" s="13"/>
      <c r="I220" s="11"/>
      <c r="J220" s="11"/>
    </row>
    <row x14ac:dyDescent="0.25" r="221" customHeight="1" ht="17.25">
      <c r="A221" s="14" t="s">
        <v>3</v>
      </c>
      <c r="B221" s="14" t="s">
        <v>4</v>
      </c>
      <c r="C221" s="14" t="s">
        <v>5</v>
      </c>
      <c r="D221" s="14" t="s">
        <v>6</v>
      </c>
      <c r="E221" s="15" t="s">
        <v>7</v>
      </c>
      <c r="F221" s="14" t="s">
        <v>8</v>
      </c>
      <c r="G221" s="14" t="s">
        <v>9</v>
      </c>
      <c r="H221" s="16" t="s">
        <v>10</v>
      </c>
      <c r="I221" s="14" t="s">
        <v>11</v>
      </c>
      <c r="J221" s="14" t="s">
        <v>12</v>
      </c>
    </row>
    <row x14ac:dyDescent="0.25" r="222" customHeight="1" ht="17.25">
      <c r="A222" s="17" t="s">
        <v>6437</v>
      </c>
      <c r="B222" s="17" t="s">
        <v>368</v>
      </c>
      <c r="C222" s="17" t="s">
        <v>114</v>
      </c>
      <c r="D222" s="17" t="s">
        <v>16</v>
      </c>
      <c r="E222" s="18">
        <f>ROUND(12177*1.05,2)</f>
      </c>
      <c r="F222" s="17" t="s">
        <v>17</v>
      </c>
      <c r="G222" s="17" t="s">
        <v>18</v>
      </c>
      <c r="H222" s="18">
        <f>ROUND(RAND()*4+6,1)</f>
      </c>
      <c r="I222" s="17" t="s">
        <v>19</v>
      </c>
      <c r="J222" s="19">
        <f>ROUND(88*1,0)&amp;"%"</f>
      </c>
    </row>
    <row x14ac:dyDescent="0.25" r="223" customHeight="1" ht="17.25">
      <c r="A223" s="20" t="s">
        <v>6438</v>
      </c>
      <c r="B223" s="20" t="s">
        <v>370</v>
      </c>
      <c r="C223" s="20" t="s">
        <v>114</v>
      </c>
      <c r="D223" s="20" t="s">
        <v>22</v>
      </c>
      <c r="E223" s="21">
        <f>ROUND(11914*1.05,2)</f>
      </c>
      <c r="F223" s="20" t="s">
        <v>23</v>
      </c>
      <c r="G223" s="20" t="s">
        <v>24</v>
      </c>
      <c r="H223" s="21">
        <f>ROUND(RAND()*4+6,1)</f>
      </c>
      <c r="I223" s="20" t="s">
        <v>25</v>
      </c>
      <c r="J223" s="23">
        <f>ROUND(68*1,0)&amp;"%"</f>
      </c>
    </row>
    <row x14ac:dyDescent="0.25" r="224" customHeight="1" ht="17.25">
      <c r="A224" s="17" t="s">
        <v>6439</v>
      </c>
      <c r="B224" s="17" t="s">
        <v>372</v>
      </c>
      <c r="C224" s="17" t="s">
        <v>114</v>
      </c>
      <c r="D224" s="17" t="s">
        <v>28</v>
      </c>
      <c r="E224" s="18">
        <f>ROUND(8158*1.05,2)</f>
      </c>
      <c r="F224" s="17" t="s">
        <v>29</v>
      </c>
      <c r="G224" s="17" t="s">
        <v>30</v>
      </c>
      <c r="H224" s="18">
        <f>ROUND(RAND()*4+6,1)</f>
      </c>
      <c r="I224" s="17" t="s">
        <v>31</v>
      </c>
      <c r="J224" s="19">
        <f>ROUND(93*1,0)&amp;"%"</f>
      </c>
    </row>
    <row x14ac:dyDescent="0.25" r="225" customHeight="1" ht="17.25">
      <c r="A225" s="20" t="s">
        <v>6440</v>
      </c>
      <c r="B225" s="20" t="s">
        <v>374</v>
      </c>
      <c r="C225" s="20" t="s">
        <v>114</v>
      </c>
      <c r="D225" s="20" t="s">
        <v>34</v>
      </c>
      <c r="E225" s="21">
        <f>ROUND(5074*1.05,2)</f>
      </c>
      <c r="F225" s="20" t="s">
        <v>35</v>
      </c>
      <c r="G225" s="20" t="s">
        <v>18</v>
      </c>
      <c r="H225" s="21">
        <f>ROUND(RAND()*4+6,1)</f>
      </c>
      <c r="I225" s="20" t="s">
        <v>36</v>
      </c>
      <c r="J225" s="23">
        <f>ROUND(70*1,0)&amp;"%"</f>
      </c>
    </row>
    <row x14ac:dyDescent="0.25" r="226" customHeight="1" ht="17.25">
      <c r="A226" s="17" t="s">
        <v>6441</v>
      </c>
      <c r="B226" s="17" t="s">
        <v>376</v>
      </c>
      <c r="C226" s="17" t="s">
        <v>114</v>
      </c>
      <c r="D226" s="17" t="s">
        <v>39</v>
      </c>
      <c r="E226" s="18">
        <f>ROUND(7412*1.05,2)</f>
      </c>
      <c r="F226" s="17" t="s">
        <v>40</v>
      </c>
      <c r="G226" s="17" t="s">
        <v>24</v>
      </c>
      <c r="H226" s="18">
        <f>ROUND(RAND()*4+6,1)</f>
      </c>
      <c r="I226" s="17" t="s">
        <v>41</v>
      </c>
      <c r="J226" s="19">
        <f>ROUND(79*1,0)&amp;"%"</f>
      </c>
    </row>
    <row x14ac:dyDescent="0.25" r="227" customHeight="1" ht="17.25">
      <c r="A227" s="20" t="s">
        <v>6442</v>
      </c>
      <c r="B227" s="20" t="s">
        <v>378</v>
      </c>
      <c r="C227" s="20" t="s">
        <v>114</v>
      </c>
      <c r="D227" s="20" t="s">
        <v>67</v>
      </c>
      <c r="E227" s="21">
        <f>ROUND(10614*1.05,2)</f>
      </c>
      <c r="F227" s="20" t="s">
        <v>44</v>
      </c>
      <c r="G227" s="20" t="s">
        <v>30</v>
      </c>
      <c r="H227" s="21">
        <f>ROUND(RAND()*4+6,1)</f>
      </c>
      <c r="I227" s="20" t="s">
        <v>45</v>
      </c>
      <c r="J227" s="23">
        <f>ROUND(96*1,0)&amp;"%"</f>
      </c>
    </row>
    <row x14ac:dyDescent="0.25" r="228" customHeight="1" ht="17.25">
      <c r="A228" s="17" t="s">
        <v>6443</v>
      </c>
      <c r="B228" s="17" t="s">
        <v>380</v>
      </c>
      <c r="C228" s="17" t="s">
        <v>114</v>
      </c>
      <c r="D228" s="17" t="s">
        <v>16</v>
      </c>
      <c r="E228" s="18">
        <f>ROUND(5304*1.05,2)</f>
      </c>
      <c r="F228" s="17" t="s">
        <v>48</v>
      </c>
      <c r="G228" s="17" t="s">
        <v>18</v>
      </c>
      <c r="H228" s="18">
        <f>ROUND(RAND()*4+6,1)</f>
      </c>
      <c r="I228" s="17" t="s">
        <v>19</v>
      </c>
      <c r="J228" s="19">
        <f>ROUND(81*1,0)&amp;"%"</f>
      </c>
    </row>
    <row x14ac:dyDescent="0.25" r="229" customHeight="1" ht="17.25">
      <c r="A229" s="20" t="s">
        <v>6444</v>
      </c>
      <c r="B229" s="20" t="s">
        <v>382</v>
      </c>
      <c r="C229" s="20" t="s">
        <v>114</v>
      </c>
      <c r="D229" s="20" t="s">
        <v>22</v>
      </c>
      <c r="E229" s="21">
        <f>ROUND(14311*1.05,2)</f>
      </c>
      <c r="F229" s="20" t="s">
        <v>51</v>
      </c>
      <c r="G229" s="20" t="s">
        <v>24</v>
      </c>
      <c r="H229" s="21">
        <f>ROUND(RAND()*4+6,1)</f>
      </c>
      <c r="I229" s="20" t="s">
        <v>25</v>
      </c>
      <c r="J229" s="23">
        <f>ROUND(76*1,0)&amp;"%"</f>
      </c>
    </row>
    <row x14ac:dyDescent="0.25" r="230" customHeight="1" ht="17.25">
      <c r="A230" s="24" t="s">
        <v>383</v>
      </c>
      <c r="B230" s="24"/>
      <c r="C230" s="24"/>
      <c r="D230" s="24"/>
      <c r="E230" s="25">
        <v>8</v>
      </c>
      <c r="F230" s="9"/>
      <c r="G230" s="9"/>
      <c r="H230" s="10"/>
      <c r="I230" s="9"/>
      <c r="J230" s="9"/>
    </row>
    <row x14ac:dyDescent="0.25" r="231" customHeight="1" ht="17.25">
      <c r="A231" s="7"/>
      <c r="B231" s="7"/>
      <c r="C231" s="7"/>
      <c r="D231" s="7"/>
      <c r="E231" s="8"/>
      <c r="F231" s="9"/>
      <c r="G231" s="9"/>
      <c r="H231" s="10"/>
      <c r="I231" s="9"/>
      <c r="J231" s="9"/>
    </row>
    <row x14ac:dyDescent="0.25" r="232" customHeight="1" ht="17.25">
      <c r="A232" s="11" t="s">
        <v>6445</v>
      </c>
      <c r="B232" s="11"/>
      <c r="C232" s="11"/>
      <c r="D232" s="11"/>
      <c r="E232" s="12"/>
      <c r="F232" s="11"/>
      <c r="G232" s="11"/>
      <c r="H232" s="13"/>
      <c r="I232" s="11"/>
      <c r="J232" s="11"/>
    </row>
    <row x14ac:dyDescent="0.25" r="233" customHeight="1" ht="17.25">
      <c r="A233" s="14" t="s">
        <v>3</v>
      </c>
      <c r="B233" s="14" t="s">
        <v>4</v>
      </c>
      <c r="C233" s="14" t="s">
        <v>5</v>
      </c>
      <c r="D233" s="14" t="s">
        <v>6</v>
      </c>
      <c r="E233" s="15" t="s">
        <v>7</v>
      </c>
      <c r="F233" s="14" t="s">
        <v>8</v>
      </c>
      <c r="G233" s="14" t="s">
        <v>9</v>
      </c>
      <c r="H233" s="16" t="s">
        <v>10</v>
      </c>
      <c r="I233" s="14" t="s">
        <v>11</v>
      </c>
      <c r="J233" s="14" t="s">
        <v>12</v>
      </c>
    </row>
    <row x14ac:dyDescent="0.25" r="234" customHeight="1" ht="17.25">
      <c r="A234" s="17" t="s">
        <v>6446</v>
      </c>
      <c r="B234" s="17" t="s">
        <v>386</v>
      </c>
      <c r="C234" s="17" t="s">
        <v>133</v>
      </c>
      <c r="D234" s="17" t="s">
        <v>16</v>
      </c>
      <c r="E234" s="18">
        <f>ROUND(17446*1.05,2)</f>
      </c>
      <c r="F234" s="17" t="s">
        <v>17</v>
      </c>
      <c r="G234" s="17" t="s">
        <v>18</v>
      </c>
      <c r="H234" s="18">
        <f>ROUND(RAND()*4+6,1)</f>
      </c>
      <c r="I234" s="17" t="s">
        <v>19</v>
      </c>
      <c r="J234" s="19">
        <f>ROUND(60*1,0)&amp;"%"</f>
      </c>
    </row>
    <row x14ac:dyDescent="0.25" r="235" customHeight="1" ht="17.25">
      <c r="A235" s="20" t="s">
        <v>6447</v>
      </c>
      <c r="B235" s="20" t="s">
        <v>388</v>
      </c>
      <c r="C235" s="20" t="s">
        <v>133</v>
      </c>
      <c r="D235" s="20" t="s">
        <v>22</v>
      </c>
      <c r="E235" s="21">
        <f>ROUND(9022*1.05,2)</f>
      </c>
      <c r="F235" s="20" t="s">
        <v>23</v>
      </c>
      <c r="G235" s="20" t="s">
        <v>24</v>
      </c>
      <c r="H235" s="22">
        <f>ROUND(RAND()*4+6,1)</f>
      </c>
      <c r="I235" s="20" t="s">
        <v>25</v>
      </c>
      <c r="J235" s="23">
        <f>ROUND(82*1,0)&amp;"%"</f>
      </c>
    </row>
    <row x14ac:dyDescent="0.25" r="236" customHeight="1" ht="17.25">
      <c r="A236" s="17" t="s">
        <v>6448</v>
      </c>
      <c r="B236" s="17" t="s">
        <v>390</v>
      </c>
      <c r="C236" s="17" t="s">
        <v>133</v>
      </c>
      <c r="D236" s="17" t="s">
        <v>28</v>
      </c>
      <c r="E236" s="18">
        <f>ROUND(14236*1.05,2)</f>
      </c>
      <c r="F236" s="17" t="s">
        <v>29</v>
      </c>
      <c r="G236" s="17" t="s">
        <v>30</v>
      </c>
      <c r="H236" s="18">
        <f>ROUND(RAND()*4+6,1)</f>
      </c>
      <c r="I236" s="17" t="s">
        <v>31</v>
      </c>
      <c r="J236" s="19">
        <f>ROUND(60*1,0)&amp;"%"</f>
      </c>
    </row>
    <row x14ac:dyDescent="0.25" r="237" customHeight="1" ht="17.25">
      <c r="A237" s="20" t="s">
        <v>6449</v>
      </c>
      <c r="B237" s="20" t="s">
        <v>392</v>
      </c>
      <c r="C237" s="20" t="s">
        <v>133</v>
      </c>
      <c r="D237" s="20" t="s">
        <v>34</v>
      </c>
      <c r="E237" s="21">
        <f>ROUND(6101*1.05,2)</f>
      </c>
      <c r="F237" s="20" t="s">
        <v>35</v>
      </c>
      <c r="G237" s="20" t="s">
        <v>18</v>
      </c>
      <c r="H237" s="21">
        <f>ROUND(RAND()*4+6,1)</f>
      </c>
      <c r="I237" s="20" t="s">
        <v>36</v>
      </c>
      <c r="J237" s="23">
        <f>ROUND(69*1,0)&amp;"%"</f>
      </c>
    </row>
    <row x14ac:dyDescent="0.25" r="238" customHeight="1" ht="17.25">
      <c r="A238" s="17" t="s">
        <v>6450</v>
      </c>
      <c r="B238" s="17" t="s">
        <v>394</v>
      </c>
      <c r="C238" s="17" t="s">
        <v>133</v>
      </c>
      <c r="D238" s="17" t="s">
        <v>39</v>
      </c>
      <c r="E238" s="18">
        <f>ROUND(9252*1.05,2)</f>
      </c>
      <c r="F238" s="17" t="s">
        <v>40</v>
      </c>
      <c r="G238" s="17" t="s">
        <v>24</v>
      </c>
      <c r="H238" s="18">
        <f>ROUND(RAND()*4+6,1)</f>
      </c>
      <c r="I238" s="17" t="s">
        <v>41</v>
      </c>
      <c r="J238" s="19">
        <f>ROUND(81*1,0)&amp;"%"</f>
      </c>
    </row>
    <row x14ac:dyDescent="0.25" r="239" customHeight="1" ht="17.25">
      <c r="A239" s="20" t="s">
        <v>6451</v>
      </c>
      <c r="B239" s="20" t="s">
        <v>396</v>
      </c>
      <c r="C239" s="20" t="s">
        <v>133</v>
      </c>
      <c r="D239" s="20" t="s">
        <v>67</v>
      </c>
      <c r="E239" s="21">
        <f>ROUND(13441*1.05,2)</f>
      </c>
      <c r="F239" s="20" t="s">
        <v>44</v>
      </c>
      <c r="G239" s="20" t="s">
        <v>30</v>
      </c>
      <c r="H239" s="21">
        <f>ROUND(RAND()*4+6,1)</f>
      </c>
      <c r="I239" s="20" t="s">
        <v>45</v>
      </c>
      <c r="J239" s="23">
        <f>ROUND(97*1,0)&amp;"%"</f>
      </c>
    </row>
    <row x14ac:dyDescent="0.25" r="240" customHeight="1" ht="17.25">
      <c r="A240" s="17" t="s">
        <v>6452</v>
      </c>
      <c r="B240" s="17" t="s">
        <v>398</v>
      </c>
      <c r="C240" s="17" t="s">
        <v>133</v>
      </c>
      <c r="D240" s="17" t="s">
        <v>16</v>
      </c>
      <c r="E240" s="18">
        <f>ROUND(16119*1.05,2)</f>
      </c>
      <c r="F240" s="17" t="s">
        <v>48</v>
      </c>
      <c r="G240" s="17" t="s">
        <v>18</v>
      </c>
      <c r="H240" s="18">
        <f>ROUND(RAND()*4+6,1)</f>
      </c>
      <c r="I240" s="17" t="s">
        <v>19</v>
      </c>
      <c r="J240" s="19">
        <f>ROUND(76*1,0)&amp;"%"</f>
      </c>
    </row>
    <row x14ac:dyDescent="0.25" r="241" customHeight="1" ht="17.25">
      <c r="A241" s="20" t="s">
        <v>6453</v>
      </c>
      <c r="B241" s="20" t="s">
        <v>400</v>
      </c>
      <c r="C241" s="20" t="s">
        <v>133</v>
      </c>
      <c r="D241" s="20" t="s">
        <v>22</v>
      </c>
      <c r="E241" s="21">
        <f>ROUND(17367*1.05,2)</f>
      </c>
      <c r="F241" s="20" t="s">
        <v>51</v>
      </c>
      <c r="G241" s="20" t="s">
        <v>24</v>
      </c>
      <c r="H241" s="21">
        <f>ROUND(RAND()*4+6,1)</f>
      </c>
      <c r="I241" s="20" t="s">
        <v>25</v>
      </c>
      <c r="J241" s="23">
        <f>ROUND(77*1,0)&amp;"%"</f>
      </c>
    </row>
    <row x14ac:dyDescent="0.25" r="242" customHeight="1" ht="17.25">
      <c r="A242" s="24" t="s">
        <v>401</v>
      </c>
      <c r="B242" s="24"/>
      <c r="C242" s="24"/>
      <c r="D242" s="24"/>
      <c r="E242" s="25">
        <v>8</v>
      </c>
      <c r="F242" s="9"/>
      <c r="G242" s="9"/>
      <c r="H242" s="10"/>
      <c r="I242" s="9"/>
      <c r="J242" s="9"/>
    </row>
    <row x14ac:dyDescent="0.25" r="243" customHeight="1" ht="17.25">
      <c r="A243" s="7"/>
      <c r="B243" s="7"/>
      <c r="C243" s="7"/>
      <c r="D243" s="7"/>
      <c r="E243" s="8"/>
      <c r="F243" s="9"/>
      <c r="G243" s="9"/>
      <c r="H243" s="10"/>
      <c r="I243" s="9"/>
      <c r="J243" s="9"/>
    </row>
    <row x14ac:dyDescent="0.25" r="244" customHeight="1" ht="17.25">
      <c r="A244" s="11" t="s">
        <v>6454</v>
      </c>
      <c r="B244" s="11"/>
      <c r="C244" s="11"/>
      <c r="D244" s="11"/>
      <c r="E244" s="12"/>
      <c r="F244" s="11"/>
      <c r="G244" s="11"/>
      <c r="H244" s="13"/>
      <c r="I244" s="11"/>
      <c r="J244" s="11"/>
    </row>
    <row x14ac:dyDescent="0.25" r="245" customHeight="1" ht="17.25">
      <c r="A245" s="14" t="s">
        <v>3</v>
      </c>
      <c r="B245" s="14" t="s">
        <v>4</v>
      </c>
      <c r="C245" s="14" t="s">
        <v>5</v>
      </c>
      <c r="D245" s="14" t="s">
        <v>6</v>
      </c>
      <c r="E245" s="15" t="s">
        <v>7</v>
      </c>
      <c r="F245" s="14" t="s">
        <v>8</v>
      </c>
      <c r="G245" s="14" t="s">
        <v>9</v>
      </c>
      <c r="H245" s="16" t="s">
        <v>10</v>
      </c>
      <c r="I245" s="14" t="s">
        <v>11</v>
      </c>
      <c r="J245" s="14" t="s">
        <v>12</v>
      </c>
    </row>
    <row x14ac:dyDescent="0.25" r="246" customHeight="1" ht="17.25">
      <c r="A246" s="17" t="s">
        <v>6455</v>
      </c>
      <c r="B246" s="17" t="s">
        <v>404</v>
      </c>
      <c r="C246" s="17" t="s">
        <v>152</v>
      </c>
      <c r="D246" s="17" t="s">
        <v>16</v>
      </c>
      <c r="E246" s="18">
        <f>ROUND(9886*1.05,2)</f>
      </c>
      <c r="F246" s="17" t="s">
        <v>17</v>
      </c>
      <c r="G246" s="17" t="s">
        <v>18</v>
      </c>
      <c r="H246" s="18">
        <f>ROUND(RAND()*4+6,1)</f>
      </c>
      <c r="I246" s="17" t="s">
        <v>19</v>
      </c>
      <c r="J246" s="19">
        <f>ROUND(72*1,0)&amp;"%"</f>
      </c>
    </row>
    <row x14ac:dyDescent="0.25" r="247" customHeight="1" ht="17.25">
      <c r="A247" s="20" t="s">
        <v>6456</v>
      </c>
      <c r="B247" s="20" t="s">
        <v>406</v>
      </c>
      <c r="C247" s="20" t="s">
        <v>152</v>
      </c>
      <c r="D247" s="20" t="s">
        <v>22</v>
      </c>
      <c r="E247" s="21">
        <f>ROUND(15653*1.05,2)</f>
      </c>
      <c r="F247" s="20" t="s">
        <v>23</v>
      </c>
      <c r="G247" s="20" t="s">
        <v>24</v>
      </c>
      <c r="H247" s="21">
        <f>ROUND(RAND()*4+6,1)</f>
      </c>
      <c r="I247" s="20" t="s">
        <v>25</v>
      </c>
      <c r="J247" s="23">
        <f>ROUND(75*1,0)&amp;"%"</f>
      </c>
    </row>
    <row x14ac:dyDescent="0.25" r="248" customHeight="1" ht="17.25">
      <c r="A248" s="17" t="s">
        <v>6457</v>
      </c>
      <c r="B248" s="17" t="s">
        <v>408</v>
      </c>
      <c r="C248" s="17" t="s">
        <v>152</v>
      </c>
      <c r="D248" s="17" t="s">
        <v>28</v>
      </c>
      <c r="E248" s="26">
        <f>ROUND(4720*1.05,2)</f>
      </c>
      <c r="F248" s="17" t="s">
        <v>29</v>
      </c>
      <c r="G248" s="17" t="s">
        <v>30</v>
      </c>
      <c r="H248" s="18">
        <f>ROUND(RAND()*4+6,1)</f>
      </c>
      <c r="I248" s="17" t="s">
        <v>31</v>
      </c>
      <c r="J248" s="19">
        <f>ROUND(84*1,0)&amp;"%"</f>
      </c>
    </row>
    <row x14ac:dyDescent="0.25" r="249" customHeight="1" ht="17.25">
      <c r="A249" s="20" t="s">
        <v>6458</v>
      </c>
      <c r="B249" s="20" t="s">
        <v>410</v>
      </c>
      <c r="C249" s="20" t="s">
        <v>152</v>
      </c>
      <c r="D249" s="20" t="s">
        <v>34</v>
      </c>
      <c r="E249" s="21">
        <f>ROUND(10350*1.05,2)</f>
      </c>
      <c r="F249" s="20" t="s">
        <v>35</v>
      </c>
      <c r="G249" s="20" t="s">
        <v>18</v>
      </c>
      <c r="H249" s="21">
        <f>ROUND(RAND()*4+6,1)</f>
      </c>
      <c r="I249" s="20" t="s">
        <v>36</v>
      </c>
      <c r="J249" s="23">
        <f>ROUND(83*1,0)&amp;"%"</f>
      </c>
    </row>
    <row x14ac:dyDescent="0.25" r="250" customHeight="1" ht="17.25">
      <c r="A250" s="17" t="s">
        <v>6459</v>
      </c>
      <c r="B250" s="17" t="s">
        <v>412</v>
      </c>
      <c r="C250" s="17" t="s">
        <v>152</v>
      </c>
      <c r="D250" s="17" t="s">
        <v>39</v>
      </c>
      <c r="E250" s="26">
        <f>ROUND(13700*1.05,2)</f>
      </c>
      <c r="F250" s="17" t="s">
        <v>40</v>
      </c>
      <c r="G250" s="17" t="s">
        <v>24</v>
      </c>
      <c r="H250" s="18">
        <f>ROUND(RAND()*4+6,1)</f>
      </c>
      <c r="I250" s="17" t="s">
        <v>41</v>
      </c>
      <c r="J250" s="19">
        <f>ROUND(77*1,0)&amp;"%"</f>
      </c>
    </row>
    <row x14ac:dyDescent="0.25" r="251" customHeight="1" ht="17.25">
      <c r="A251" s="20" t="s">
        <v>6460</v>
      </c>
      <c r="B251" s="20" t="s">
        <v>414</v>
      </c>
      <c r="C251" s="20" t="s">
        <v>152</v>
      </c>
      <c r="D251" s="20" t="s">
        <v>67</v>
      </c>
      <c r="E251" s="21">
        <f>ROUND(8958*1.05,2)</f>
      </c>
      <c r="F251" s="20" t="s">
        <v>44</v>
      </c>
      <c r="G251" s="20" t="s">
        <v>30</v>
      </c>
      <c r="H251" s="21">
        <f>ROUND(RAND()*4+6,1)</f>
      </c>
      <c r="I251" s="20" t="s">
        <v>45</v>
      </c>
      <c r="J251" s="23">
        <f>ROUND(88*1,0)&amp;"%"</f>
      </c>
    </row>
    <row x14ac:dyDescent="0.25" r="252" customHeight="1" ht="17.25">
      <c r="A252" s="17" t="s">
        <v>6461</v>
      </c>
      <c r="B252" s="17" t="s">
        <v>416</v>
      </c>
      <c r="C252" s="17" t="s">
        <v>152</v>
      </c>
      <c r="D252" s="17" t="s">
        <v>16</v>
      </c>
      <c r="E252" s="18">
        <f>ROUND(14975*1.05,2)</f>
      </c>
      <c r="F252" s="17" t="s">
        <v>48</v>
      </c>
      <c r="G252" s="17" t="s">
        <v>18</v>
      </c>
      <c r="H252" s="18">
        <f>ROUND(RAND()*4+6,1)</f>
      </c>
      <c r="I252" s="17" t="s">
        <v>19</v>
      </c>
      <c r="J252" s="19">
        <f>ROUND(63*1,0)&amp;"%"</f>
      </c>
    </row>
    <row x14ac:dyDescent="0.25" r="253" customHeight="1" ht="17.25">
      <c r="A253" s="20" t="s">
        <v>6462</v>
      </c>
      <c r="B253" s="20" t="s">
        <v>418</v>
      </c>
      <c r="C253" s="20" t="s">
        <v>152</v>
      </c>
      <c r="D253" s="20" t="s">
        <v>22</v>
      </c>
      <c r="E253" s="21">
        <f>ROUND(13707*1.05,2)</f>
      </c>
      <c r="F253" s="20" t="s">
        <v>51</v>
      </c>
      <c r="G253" s="20" t="s">
        <v>24</v>
      </c>
      <c r="H253" s="21">
        <f>ROUND(RAND()*4+6,1)</f>
      </c>
      <c r="I253" s="20" t="s">
        <v>25</v>
      </c>
      <c r="J253" s="23">
        <f>ROUND(95*1,0)&amp;"%"</f>
      </c>
    </row>
    <row x14ac:dyDescent="0.25" r="254" customHeight="1" ht="17.25">
      <c r="A254" s="24" t="s">
        <v>419</v>
      </c>
      <c r="B254" s="24"/>
      <c r="C254" s="24"/>
      <c r="D254" s="24"/>
      <c r="E254" s="25">
        <v>8</v>
      </c>
      <c r="F254" s="9"/>
      <c r="G254" s="9"/>
      <c r="H254" s="10"/>
      <c r="I254" s="9"/>
      <c r="J254" s="9"/>
    </row>
    <row x14ac:dyDescent="0.25" r="255" customHeight="1" ht="17.25">
      <c r="A255" s="7"/>
      <c r="B255" s="7"/>
      <c r="C255" s="7"/>
      <c r="D255" s="7"/>
      <c r="E255" s="8"/>
      <c r="F255" s="9"/>
      <c r="G255" s="9"/>
      <c r="H255" s="10"/>
      <c r="I255" s="9"/>
      <c r="J255" s="9"/>
    </row>
    <row x14ac:dyDescent="0.25" r="256" customHeight="1" ht="17.25">
      <c r="A256" s="11" t="s">
        <v>6463</v>
      </c>
      <c r="B256" s="11"/>
      <c r="C256" s="11"/>
      <c r="D256" s="11"/>
      <c r="E256" s="12"/>
      <c r="F256" s="11"/>
      <c r="G256" s="11"/>
      <c r="H256" s="13"/>
      <c r="I256" s="11"/>
      <c r="J256" s="11"/>
    </row>
    <row x14ac:dyDescent="0.25" r="257" customHeight="1" ht="17.25">
      <c r="A257" s="14" t="s">
        <v>3</v>
      </c>
      <c r="B257" s="14" t="s">
        <v>4</v>
      </c>
      <c r="C257" s="14" t="s">
        <v>5</v>
      </c>
      <c r="D257" s="14" t="s">
        <v>6</v>
      </c>
      <c r="E257" s="15" t="s">
        <v>7</v>
      </c>
      <c r="F257" s="14" t="s">
        <v>8</v>
      </c>
      <c r="G257" s="14" t="s">
        <v>9</v>
      </c>
      <c r="H257" s="16" t="s">
        <v>10</v>
      </c>
      <c r="I257" s="14" t="s">
        <v>11</v>
      </c>
      <c r="J257" s="14" t="s">
        <v>12</v>
      </c>
    </row>
    <row x14ac:dyDescent="0.25" r="258" customHeight="1" ht="17.25">
      <c r="A258" s="17" t="s">
        <v>6464</v>
      </c>
      <c r="B258" s="17" t="s">
        <v>422</v>
      </c>
      <c r="C258" s="17" t="s">
        <v>15</v>
      </c>
      <c r="D258" s="17" t="s">
        <v>16</v>
      </c>
      <c r="E258" s="18">
        <f>ROUND(6092*1.05,2)</f>
      </c>
      <c r="F258" s="17" t="s">
        <v>17</v>
      </c>
      <c r="G258" s="17" t="s">
        <v>18</v>
      </c>
      <c r="H258" s="18">
        <f>ROUND(RAND()*4+6,1)</f>
      </c>
      <c r="I258" s="17" t="s">
        <v>19</v>
      </c>
      <c r="J258" s="19">
        <f>ROUND(71*1,0)&amp;"%"</f>
      </c>
    </row>
    <row x14ac:dyDescent="0.25" r="259" customHeight="1" ht="17.25">
      <c r="A259" s="20" t="s">
        <v>6465</v>
      </c>
      <c r="B259" s="20" t="s">
        <v>424</v>
      </c>
      <c r="C259" s="20" t="s">
        <v>15</v>
      </c>
      <c r="D259" s="20" t="s">
        <v>22</v>
      </c>
      <c r="E259" s="21">
        <f>ROUND(13235*1.05,2)</f>
      </c>
      <c r="F259" s="20" t="s">
        <v>23</v>
      </c>
      <c r="G259" s="20" t="s">
        <v>24</v>
      </c>
      <c r="H259" s="21">
        <f>ROUND(RAND()*4+6,1)</f>
      </c>
      <c r="I259" s="20" t="s">
        <v>25</v>
      </c>
      <c r="J259" s="23">
        <f>ROUND(95*1,0)&amp;"%"</f>
      </c>
    </row>
    <row x14ac:dyDescent="0.25" r="260" customHeight="1" ht="17.25">
      <c r="A260" s="17" t="s">
        <v>6466</v>
      </c>
      <c r="B260" s="17" t="s">
        <v>426</v>
      </c>
      <c r="C260" s="17" t="s">
        <v>15</v>
      </c>
      <c r="D260" s="17" t="s">
        <v>28</v>
      </c>
      <c r="E260" s="18">
        <f>ROUND(12752*1.05,2)</f>
      </c>
      <c r="F260" s="17" t="s">
        <v>29</v>
      </c>
      <c r="G260" s="17" t="s">
        <v>30</v>
      </c>
      <c r="H260" s="18">
        <f>ROUND(RAND()*4+6,1)</f>
      </c>
      <c r="I260" s="17" t="s">
        <v>31</v>
      </c>
      <c r="J260" s="19">
        <f>ROUND(81*1,0)&amp;"%"</f>
      </c>
    </row>
    <row x14ac:dyDescent="0.25" r="261" customHeight="1" ht="17.25">
      <c r="A261" s="20" t="s">
        <v>6467</v>
      </c>
      <c r="B261" s="20" t="s">
        <v>428</v>
      </c>
      <c r="C261" s="20" t="s">
        <v>15</v>
      </c>
      <c r="D261" s="20" t="s">
        <v>34</v>
      </c>
      <c r="E261" s="21">
        <f>ROUND(12415*1.05,2)</f>
      </c>
      <c r="F261" s="20" t="s">
        <v>35</v>
      </c>
      <c r="G261" s="20" t="s">
        <v>18</v>
      </c>
      <c r="H261" s="22">
        <f>ROUND(RAND()*4+6,1)</f>
      </c>
      <c r="I261" s="20" t="s">
        <v>36</v>
      </c>
      <c r="J261" s="23">
        <f>ROUND(63*1,0)&amp;"%"</f>
      </c>
    </row>
    <row x14ac:dyDescent="0.25" r="262" customHeight="1" ht="17.25">
      <c r="A262" s="17" t="s">
        <v>6468</v>
      </c>
      <c r="B262" s="17" t="s">
        <v>430</v>
      </c>
      <c r="C262" s="17" t="s">
        <v>15</v>
      </c>
      <c r="D262" s="17" t="s">
        <v>39</v>
      </c>
      <c r="E262" s="18">
        <f>ROUND(11515*1.05,2)</f>
      </c>
      <c r="F262" s="17" t="s">
        <v>40</v>
      </c>
      <c r="G262" s="17" t="s">
        <v>24</v>
      </c>
      <c r="H262" s="18">
        <f>ROUND(RAND()*4+6,1)</f>
      </c>
      <c r="I262" s="17" t="s">
        <v>41</v>
      </c>
      <c r="J262" s="19">
        <f>ROUND(98*1,0)&amp;"%"</f>
      </c>
    </row>
    <row x14ac:dyDescent="0.25" r="263" customHeight="1" ht="17.25">
      <c r="A263" s="20" t="s">
        <v>6469</v>
      </c>
      <c r="B263" s="20" t="s">
        <v>432</v>
      </c>
      <c r="C263" s="20" t="s">
        <v>15</v>
      </c>
      <c r="D263" s="20" t="s">
        <v>67</v>
      </c>
      <c r="E263" s="21">
        <f>ROUND(17892*1.05,2)</f>
      </c>
      <c r="F263" s="20" t="s">
        <v>44</v>
      </c>
      <c r="G263" s="20" t="s">
        <v>30</v>
      </c>
      <c r="H263" s="21">
        <f>ROUND(RAND()*4+6,1)</f>
      </c>
      <c r="I263" s="20" t="s">
        <v>45</v>
      </c>
      <c r="J263" s="23">
        <f>ROUND(86*1,0)&amp;"%"</f>
      </c>
    </row>
    <row x14ac:dyDescent="0.25" r="264" customHeight="1" ht="17.25">
      <c r="A264" s="17" t="s">
        <v>6470</v>
      </c>
      <c r="B264" s="17" t="s">
        <v>434</v>
      </c>
      <c r="C264" s="17" t="s">
        <v>15</v>
      </c>
      <c r="D264" s="17" t="s">
        <v>16</v>
      </c>
      <c r="E264" s="18">
        <f>ROUND(6035*1.05,2)</f>
      </c>
      <c r="F264" s="17" t="s">
        <v>48</v>
      </c>
      <c r="G264" s="17" t="s">
        <v>18</v>
      </c>
      <c r="H264" s="18">
        <f>ROUND(RAND()*4+6,1)</f>
      </c>
      <c r="I264" s="17" t="s">
        <v>19</v>
      </c>
      <c r="J264" s="19">
        <f>ROUND(64*1,0)&amp;"%"</f>
      </c>
    </row>
    <row x14ac:dyDescent="0.25" r="265" customHeight="1" ht="17.25">
      <c r="A265" s="20" t="s">
        <v>6471</v>
      </c>
      <c r="B265" s="20" t="s">
        <v>436</v>
      </c>
      <c r="C265" s="20" t="s">
        <v>15</v>
      </c>
      <c r="D265" s="20" t="s">
        <v>22</v>
      </c>
      <c r="E265" s="22">
        <f>ROUND(17080*1.05,2)</f>
      </c>
      <c r="F265" s="20" t="s">
        <v>51</v>
      </c>
      <c r="G265" s="20" t="s">
        <v>24</v>
      </c>
      <c r="H265" s="21">
        <f>ROUND(RAND()*4+6,1)</f>
      </c>
      <c r="I265" s="20" t="s">
        <v>25</v>
      </c>
      <c r="J265" s="23">
        <f>ROUND(67*1,0)&amp;"%"</f>
      </c>
    </row>
    <row x14ac:dyDescent="0.25" r="266" customHeight="1" ht="17.25">
      <c r="A266" s="24" t="s">
        <v>437</v>
      </c>
      <c r="B266" s="24"/>
      <c r="C266" s="24"/>
      <c r="D266" s="24"/>
      <c r="E266" s="25">
        <v>8</v>
      </c>
      <c r="F266" s="9"/>
      <c r="G266" s="9"/>
      <c r="H266" s="10"/>
      <c r="I266" s="9"/>
      <c r="J266" s="9"/>
    </row>
    <row x14ac:dyDescent="0.25" r="267" customHeight="1" ht="17.25">
      <c r="A267" s="7"/>
      <c r="B267" s="7"/>
      <c r="C267" s="7"/>
      <c r="D267" s="7"/>
      <c r="E267" s="8"/>
      <c r="F267" s="9"/>
      <c r="G267" s="9"/>
      <c r="H267" s="10"/>
      <c r="I267" s="9"/>
      <c r="J267" s="9"/>
    </row>
    <row x14ac:dyDescent="0.25" r="268" customHeight="1" ht="17.25">
      <c r="A268" s="11" t="s">
        <v>6472</v>
      </c>
      <c r="B268" s="11"/>
      <c r="C268" s="11"/>
      <c r="D268" s="11"/>
      <c r="E268" s="12"/>
      <c r="F268" s="11"/>
      <c r="G268" s="11"/>
      <c r="H268" s="13"/>
      <c r="I268" s="11"/>
      <c r="J268" s="11"/>
    </row>
    <row x14ac:dyDescent="0.25" r="269" customHeight="1" ht="17.25">
      <c r="A269" s="14" t="s">
        <v>3</v>
      </c>
      <c r="B269" s="14" t="s">
        <v>4</v>
      </c>
      <c r="C269" s="14" t="s">
        <v>5</v>
      </c>
      <c r="D269" s="14" t="s">
        <v>6</v>
      </c>
      <c r="E269" s="15" t="s">
        <v>7</v>
      </c>
      <c r="F269" s="14" t="s">
        <v>8</v>
      </c>
      <c r="G269" s="14" t="s">
        <v>9</v>
      </c>
      <c r="H269" s="16" t="s">
        <v>10</v>
      </c>
      <c r="I269" s="14" t="s">
        <v>11</v>
      </c>
      <c r="J269" s="14" t="s">
        <v>12</v>
      </c>
    </row>
    <row x14ac:dyDescent="0.25" r="270" customHeight="1" ht="17.25">
      <c r="A270" s="17" t="s">
        <v>6473</v>
      </c>
      <c r="B270" s="17" t="s">
        <v>440</v>
      </c>
      <c r="C270" s="17" t="s">
        <v>56</v>
      </c>
      <c r="D270" s="17" t="s">
        <v>16</v>
      </c>
      <c r="E270" s="18">
        <f>ROUND(9934*1.05,2)</f>
      </c>
      <c r="F270" s="17" t="s">
        <v>17</v>
      </c>
      <c r="G270" s="17" t="s">
        <v>18</v>
      </c>
      <c r="H270" s="18">
        <f>ROUND(RAND()*4+6,1)</f>
      </c>
      <c r="I270" s="17" t="s">
        <v>19</v>
      </c>
      <c r="J270" s="19">
        <f>ROUND(75*1,0)&amp;"%"</f>
      </c>
    </row>
    <row x14ac:dyDescent="0.25" r="271" customHeight="1" ht="17.25">
      <c r="A271" s="20" t="s">
        <v>6474</v>
      </c>
      <c r="B271" s="20" t="s">
        <v>442</v>
      </c>
      <c r="C271" s="20" t="s">
        <v>56</v>
      </c>
      <c r="D271" s="20" t="s">
        <v>22</v>
      </c>
      <c r="E271" s="21">
        <f>ROUND(16969*1.05,2)</f>
      </c>
      <c r="F271" s="20" t="s">
        <v>23</v>
      </c>
      <c r="G271" s="20" t="s">
        <v>24</v>
      </c>
      <c r="H271" s="21">
        <f>ROUND(RAND()*4+6,1)</f>
      </c>
      <c r="I271" s="20" t="s">
        <v>25</v>
      </c>
      <c r="J271" s="23">
        <f>ROUND(84*1,0)&amp;"%"</f>
      </c>
    </row>
    <row x14ac:dyDescent="0.25" r="272" customHeight="1" ht="17.25">
      <c r="A272" s="17" t="s">
        <v>6475</v>
      </c>
      <c r="B272" s="17" t="s">
        <v>444</v>
      </c>
      <c r="C272" s="17" t="s">
        <v>56</v>
      </c>
      <c r="D272" s="17" t="s">
        <v>28</v>
      </c>
      <c r="E272" s="18">
        <f>ROUND(5190*1.05,2)</f>
      </c>
      <c r="F272" s="17" t="s">
        <v>29</v>
      </c>
      <c r="G272" s="17" t="s">
        <v>30</v>
      </c>
      <c r="H272" s="18">
        <f>ROUND(RAND()*4+6,1)</f>
      </c>
      <c r="I272" s="17" t="s">
        <v>31</v>
      </c>
      <c r="J272" s="19">
        <f>ROUND(71*1,0)&amp;"%"</f>
      </c>
    </row>
    <row x14ac:dyDescent="0.25" r="273" customHeight="1" ht="17.25">
      <c r="A273" s="20" t="s">
        <v>6476</v>
      </c>
      <c r="B273" s="20" t="s">
        <v>446</v>
      </c>
      <c r="C273" s="20" t="s">
        <v>56</v>
      </c>
      <c r="D273" s="20" t="s">
        <v>34</v>
      </c>
      <c r="E273" s="21">
        <f>ROUND(11865*1.05,2)</f>
      </c>
      <c r="F273" s="20" t="s">
        <v>35</v>
      </c>
      <c r="G273" s="20" t="s">
        <v>18</v>
      </c>
      <c r="H273" s="21">
        <f>ROUND(RAND()*4+6,1)</f>
      </c>
      <c r="I273" s="20" t="s">
        <v>36</v>
      </c>
      <c r="J273" s="23">
        <f>ROUND(72*1,0)&amp;"%"</f>
      </c>
    </row>
    <row x14ac:dyDescent="0.25" r="274" customHeight="1" ht="17.25">
      <c r="A274" s="17" t="s">
        <v>6477</v>
      </c>
      <c r="B274" s="17" t="s">
        <v>448</v>
      </c>
      <c r="C274" s="17" t="s">
        <v>56</v>
      </c>
      <c r="D274" s="17" t="s">
        <v>39</v>
      </c>
      <c r="E274" s="18">
        <f>ROUND(8157*1.05,2)</f>
      </c>
      <c r="F274" s="17" t="s">
        <v>40</v>
      </c>
      <c r="G274" s="17" t="s">
        <v>24</v>
      </c>
      <c r="H274" s="18">
        <f>ROUND(RAND()*4+6,1)</f>
      </c>
      <c r="I274" s="17" t="s">
        <v>41</v>
      </c>
      <c r="J274" s="19">
        <f>ROUND(88*1,0)&amp;"%"</f>
      </c>
    </row>
    <row x14ac:dyDescent="0.25" r="275" customHeight="1" ht="17.25">
      <c r="A275" s="20" t="s">
        <v>6478</v>
      </c>
      <c r="B275" s="20" t="s">
        <v>450</v>
      </c>
      <c r="C275" s="20" t="s">
        <v>56</v>
      </c>
      <c r="D275" s="20" t="s">
        <v>67</v>
      </c>
      <c r="E275" s="21">
        <f>ROUND(16746*1.05,2)</f>
      </c>
      <c r="F275" s="20" t="s">
        <v>44</v>
      </c>
      <c r="G275" s="20" t="s">
        <v>30</v>
      </c>
      <c r="H275" s="21">
        <f>ROUND(RAND()*4+6,1)</f>
      </c>
      <c r="I275" s="20" t="s">
        <v>45</v>
      </c>
      <c r="J275" s="23">
        <f>ROUND(66*1,0)&amp;"%"</f>
      </c>
    </row>
    <row x14ac:dyDescent="0.25" r="276" customHeight="1" ht="17.25">
      <c r="A276" s="17" t="s">
        <v>6479</v>
      </c>
      <c r="B276" s="17" t="s">
        <v>452</v>
      </c>
      <c r="C276" s="17" t="s">
        <v>56</v>
      </c>
      <c r="D276" s="17" t="s">
        <v>16</v>
      </c>
      <c r="E276" s="18">
        <f>ROUND(16057*1.05,2)</f>
      </c>
      <c r="F276" s="17" t="s">
        <v>48</v>
      </c>
      <c r="G276" s="17" t="s">
        <v>18</v>
      </c>
      <c r="H276" s="18">
        <f>ROUND(RAND()*4+6,1)</f>
      </c>
      <c r="I276" s="17" t="s">
        <v>19</v>
      </c>
      <c r="J276" s="19">
        <f>ROUND(81*1,0)&amp;"%"</f>
      </c>
    </row>
    <row x14ac:dyDescent="0.25" r="277" customHeight="1" ht="17.25">
      <c r="A277" s="20" t="s">
        <v>6480</v>
      </c>
      <c r="B277" s="20" t="s">
        <v>454</v>
      </c>
      <c r="C277" s="20" t="s">
        <v>56</v>
      </c>
      <c r="D277" s="20" t="s">
        <v>22</v>
      </c>
      <c r="E277" s="21">
        <f>ROUND(13287*1.05,2)</f>
      </c>
      <c r="F277" s="20" t="s">
        <v>51</v>
      </c>
      <c r="G277" s="20" t="s">
        <v>24</v>
      </c>
      <c r="H277" s="21">
        <f>ROUND(RAND()*4+6,1)</f>
      </c>
      <c r="I277" s="20" t="s">
        <v>25</v>
      </c>
      <c r="J277" s="23">
        <f>ROUND(62*1,0)&amp;"%"</f>
      </c>
    </row>
    <row x14ac:dyDescent="0.25" r="278" customHeight="1" ht="17.25">
      <c r="A278" s="24" t="s">
        <v>455</v>
      </c>
      <c r="B278" s="24"/>
      <c r="C278" s="24"/>
      <c r="D278" s="24"/>
      <c r="E278" s="25">
        <v>8</v>
      </c>
      <c r="F278" s="9"/>
      <c r="G278" s="9"/>
      <c r="H278" s="10"/>
      <c r="I278" s="9"/>
      <c r="J278" s="9"/>
    </row>
    <row x14ac:dyDescent="0.25" r="279" customHeight="1" ht="17.25">
      <c r="A279" s="7"/>
      <c r="B279" s="7"/>
      <c r="C279" s="7"/>
      <c r="D279" s="7"/>
      <c r="E279" s="8"/>
      <c r="F279" s="9"/>
      <c r="G279" s="9"/>
      <c r="H279" s="10"/>
      <c r="I279" s="9"/>
      <c r="J279" s="9"/>
    </row>
    <row x14ac:dyDescent="0.25" r="280" customHeight="1" ht="17.25">
      <c r="A280" s="11" t="s">
        <v>6481</v>
      </c>
      <c r="B280" s="11"/>
      <c r="C280" s="11"/>
      <c r="D280" s="11"/>
      <c r="E280" s="12"/>
      <c r="F280" s="11"/>
      <c r="G280" s="11"/>
      <c r="H280" s="13"/>
      <c r="I280" s="11"/>
      <c r="J280" s="11"/>
    </row>
    <row x14ac:dyDescent="0.25" r="281" customHeight="1" ht="17.25">
      <c r="A281" s="14" t="s">
        <v>3</v>
      </c>
      <c r="B281" s="14" t="s">
        <v>4</v>
      </c>
      <c r="C281" s="14" t="s">
        <v>5</v>
      </c>
      <c r="D281" s="14" t="s">
        <v>6</v>
      </c>
      <c r="E281" s="15" t="s">
        <v>7</v>
      </c>
      <c r="F281" s="14" t="s">
        <v>8</v>
      </c>
      <c r="G281" s="14" t="s">
        <v>9</v>
      </c>
      <c r="H281" s="16" t="s">
        <v>10</v>
      </c>
      <c r="I281" s="14" t="s">
        <v>11</v>
      </c>
      <c r="J281" s="14" t="s">
        <v>12</v>
      </c>
    </row>
    <row x14ac:dyDescent="0.25" r="282" customHeight="1" ht="17.25">
      <c r="A282" s="17" t="s">
        <v>6482</v>
      </c>
      <c r="B282" s="17" t="s">
        <v>458</v>
      </c>
      <c r="C282" s="17" t="s">
        <v>76</v>
      </c>
      <c r="D282" s="17" t="s">
        <v>16</v>
      </c>
      <c r="E282" s="18">
        <f>ROUND(5814*1.05,2)</f>
      </c>
      <c r="F282" s="17" t="s">
        <v>17</v>
      </c>
      <c r="G282" s="17" t="s">
        <v>18</v>
      </c>
      <c r="H282" s="18">
        <f>ROUND(RAND()*4+6,1)</f>
      </c>
      <c r="I282" s="17" t="s">
        <v>19</v>
      </c>
      <c r="J282" s="19">
        <f>ROUND(96*1,0)&amp;"%"</f>
      </c>
    </row>
    <row x14ac:dyDescent="0.25" r="283" customHeight="1" ht="17.25">
      <c r="A283" s="20" t="s">
        <v>6483</v>
      </c>
      <c r="B283" s="20" t="s">
        <v>460</v>
      </c>
      <c r="C283" s="20" t="s">
        <v>76</v>
      </c>
      <c r="D283" s="20" t="s">
        <v>22</v>
      </c>
      <c r="E283" s="21">
        <f>ROUND(13085*1.05,2)</f>
      </c>
      <c r="F283" s="20" t="s">
        <v>23</v>
      </c>
      <c r="G283" s="20" t="s">
        <v>24</v>
      </c>
      <c r="H283" s="21">
        <f>ROUND(RAND()*4+6,1)</f>
      </c>
      <c r="I283" s="20" t="s">
        <v>25</v>
      </c>
      <c r="J283" s="23">
        <f>ROUND(60*1,0)&amp;"%"</f>
      </c>
    </row>
    <row x14ac:dyDescent="0.25" r="284" customHeight="1" ht="17.25">
      <c r="A284" s="17" t="s">
        <v>6484</v>
      </c>
      <c r="B284" s="17" t="s">
        <v>462</v>
      </c>
      <c r="C284" s="17" t="s">
        <v>76</v>
      </c>
      <c r="D284" s="17" t="s">
        <v>28</v>
      </c>
      <c r="E284" s="18">
        <f>ROUND(14183*1.05,2)</f>
      </c>
      <c r="F284" s="17" t="s">
        <v>29</v>
      </c>
      <c r="G284" s="17" t="s">
        <v>30</v>
      </c>
      <c r="H284" s="18">
        <f>ROUND(RAND()*4+6,1)</f>
      </c>
      <c r="I284" s="17" t="s">
        <v>31</v>
      </c>
      <c r="J284" s="19">
        <f>ROUND(65*1,0)&amp;"%"</f>
      </c>
    </row>
    <row x14ac:dyDescent="0.25" r="285" customHeight="1" ht="17.25">
      <c r="A285" s="20" t="s">
        <v>6485</v>
      </c>
      <c r="B285" s="20" t="s">
        <v>464</v>
      </c>
      <c r="C285" s="20" t="s">
        <v>76</v>
      </c>
      <c r="D285" s="20" t="s">
        <v>34</v>
      </c>
      <c r="E285" s="21">
        <f>ROUND(8642*1.05,2)</f>
      </c>
      <c r="F285" s="20" t="s">
        <v>35</v>
      </c>
      <c r="G285" s="20" t="s">
        <v>18</v>
      </c>
      <c r="H285" s="21">
        <f>ROUND(RAND()*4+6,1)</f>
      </c>
      <c r="I285" s="20" t="s">
        <v>36</v>
      </c>
      <c r="J285" s="23">
        <f>ROUND(68*1,0)&amp;"%"</f>
      </c>
    </row>
    <row x14ac:dyDescent="0.25" r="286" customHeight="1" ht="17.25">
      <c r="A286" s="17" t="s">
        <v>6486</v>
      </c>
      <c r="B286" s="17" t="s">
        <v>466</v>
      </c>
      <c r="C286" s="17" t="s">
        <v>76</v>
      </c>
      <c r="D286" s="17" t="s">
        <v>39</v>
      </c>
      <c r="E286" s="18">
        <f>ROUND(17933*1.05,2)</f>
      </c>
      <c r="F286" s="17" t="s">
        <v>40</v>
      </c>
      <c r="G286" s="17" t="s">
        <v>24</v>
      </c>
      <c r="H286" s="18">
        <f>ROUND(RAND()*4+6,1)</f>
      </c>
      <c r="I286" s="17" t="s">
        <v>41</v>
      </c>
      <c r="J286" s="19">
        <f>ROUND(70*1,0)&amp;"%"</f>
      </c>
    </row>
    <row x14ac:dyDescent="0.25" r="287" customHeight="1" ht="17.25">
      <c r="A287" s="20" t="s">
        <v>6487</v>
      </c>
      <c r="B287" s="20" t="s">
        <v>468</v>
      </c>
      <c r="C287" s="20" t="s">
        <v>76</v>
      </c>
      <c r="D287" s="20" t="s">
        <v>67</v>
      </c>
      <c r="E287" s="21">
        <f>ROUND(5981*1.05,2)</f>
      </c>
      <c r="F287" s="20" t="s">
        <v>44</v>
      </c>
      <c r="G287" s="20" t="s">
        <v>30</v>
      </c>
      <c r="H287" s="21">
        <f>ROUND(RAND()*4+6,1)</f>
      </c>
      <c r="I287" s="20" t="s">
        <v>45</v>
      </c>
      <c r="J287" s="23">
        <f>ROUND(92*1,0)&amp;"%"</f>
      </c>
    </row>
    <row x14ac:dyDescent="0.25" r="288" customHeight="1" ht="17.25">
      <c r="A288" s="17" t="s">
        <v>6488</v>
      </c>
      <c r="B288" s="17" t="s">
        <v>470</v>
      </c>
      <c r="C288" s="17" t="s">
        <v>76</v>
      </c>
      <c r="D288" s="17" t="s">
        <v>16</v>
      </c>
      <c r="E288" s="18">
        <f>ROUND(6081*1.05,2)</f>
      </c>
      <c r="F288" s="17" t="s">
        <v>48</v>
      </c>
      <c r="G288" s="17" t="s">
        <v>18</v>
      </c>
      <c r="H288" s="18">
        <f>ROUND(RAND()*4+6,1)</f>
      </c>
      <c r="I288" s="17" t="s">
        <v>19</v>
      </c>
      <c r="J288" s="19">
        <f>ROUND(63*1,0)&amp;"%"</f>
      </c>
    </row>
    <row x14ac:dyDescent="0.25" r="289" customHeight="1" ht="17.25">
      <c r="A289" s="20" t="s">
        <v>6489</v>
      </c>
      <c r="B289" s="20" t="s">
        <v>472</v>
      </c>
      <c r="C289" s="20" t="s">
        <v>76</v>
      </c>
      <c r="D289" s="20" t="s">
        <v>22</v>
      </c>
      <c r="E289" s="21">
        <f>ROUND(9432*1.05,2)</f>
      </c>
      <c r="F289" s="20" t="s">
        <v>51</v>
      </c>
      <c r="G289" s="20" t="s">
        <v>24</v>
      </c>
      <c r="H289" s="21">
        <f>ROUND(RAND()*4+6,1)</f>
      </c>
      <c r="I289" s="20" t="s">
        <v>25</v>
      </c>
      <c r="J289" s="23">
        <f>ROUND(94*1,0)&amp;"%"</f>
      </c>
    </row>
    <row x14ac:dyDescent="0.25" r="290" customHeight="1" ht="17.25">
      <c r="A290" s="24" t="s">
        <v>473</v>
      </c>
      <c r="B290" s="24"/>
      <c r="C290" s="24"/>
      <c r="D290" s="24"/>
      <c r="E290" s="25">
        <v>8</v>
      </c>
      <c r="F290" s="9"/>
      <c r="G290" s="9"/>
      <c r="H290" s="10"/>
      <c r="I290" s="9"/>
      <c r="J290" s="9"/>
    </row>
    <row x14ac:dyDescent="0.25" r="291" customHeight="1" ht="17.25">
      <c r="A291" s="7"/>
      <c r="B291" s="7"/>
      <c r="C291" s="7"/>
      <c r="D291" s="7"/>
      <c r="E291" s="8"/>
      <c r="F291" s="9"/>
      <c r="G291" s="9"/>
      <c r="H291" s="10"/>
      <c r="I291" s="9"/>
      <c r="J291" s="9"/>
    </row>
    <row x14ac:dyDescent="0.25" r="292" customHeight="1" ht="17.25">
      <c r="A292" s="11" t="s">
        <v>6490</v>
      </c>
      <c r="B292" s="11"/>
      <c r="C292" s="11"/>
      <c r="D292" s="11"/>
      <c r="E292" s="12"/>
      <c r="F292" s="11"/>
      <c r="G292" s="11"/>
      <c r="H292" s="13"/>
      <c r="I292" s="11"/>
      <c r="J292" s="11"/>
    </row>
    <row x14ac:dyDescent="0.25" r="293" customHeight="1" ht="17.25">
      <c r="A293" s="14" t="s">
        <v>3</v>
      </c>
      <c r="B293" s="14" t="s">
        <v>4</v>
      </c>
      <c r="C293" s="14" t="s">
        <v>5</v>
      </c>
      <c r="D293" s="14" t="s">
        <v>6</v>
      </c>
      <c r="E293" s="15" t="s">
        <v>7</v>
      </c>
      <c r="F293" s="14" t="s">
        <v>8</v>
      </c>
      <c r="G293" s="14" t="s">
        <v>9</v>
      </c>
      <c r="H293" s="16" t="s">
        <v>10</v>
      </c>
      <c r="I293" s="14" t="s">
        <v>11</v>
      </c>
      <c r="J293" s="14" t="s">
        <v>12</v>
      </c>
    </row>
    <row x14ac:dyDescent="0.25" r="294" customHeight="1" ht="17.25">
      <c r="A294" s="17" t="s">
        <v>6491</v>
      </c>
      <c r="B294" s="17" t="s">
        <v>476</v>
      </c>
      <c r="C294" s="17" t="s">
        <v>95</v>
      </c>
      <c r="D294" s="17" t="s">
        <v>16</v>
      </c>
      <c r="E294" s="18">
        <f>ROUND(5085*1.05,2)</f>
      </c>
      <c r="F294" s="17" t="s">
        <v>17</v>
      </c>
      <c r="G294" s="17" t="s">
        <v>18</v>
      </c>
      <c r="H294" s="18">
        <f>ROUND(RAND()*4+6,1)</f>
      </c>
      <c r="I294" s="17" t="s">
        <v>19</v>
      </c>
      <c r="J294" s="19">
        <f>ROUND(91*1,0)&amp;"%"</f>
      </c>
    </row>
    <row x14ac:dyDescent="0.25" r="295" customHeight="1" ht="17.25">
      <c r="A295" s="20" t="s">
        <v>6492</v>
      </c>
      <c r="B295" s="20" t="s">
        <v>478</v>
      </c>
      <c r="C295" s="20" t="s">
        <v>95</v>
      </c>
      <c r="D295" s="20" t="s">
        <v>22</v>
      </c>
      <c r="E295" s="21">
        <f>ROUND(9218*1.05,2)</f>
      </c>
      <c r="F295" s="20" t="s">
        <v>23</v>
      </c>
      <c r="G295" s="20" t="s">
        <v>24</v>
      </c>
      <c r="H295" s="21">
        <f>ROUND(RAND()*4+6,1)</f>
      </c>
      <c r="I295" s="20" t="s">
        <v>25</v>
      </c>
      <c r="J295" s="23">
        <f>ROUND(83*1,0)&amp;"%"</f>
      </c>
    </row>
    <row x14ac:dyDescent="0.25" r="296" customHeight="1" ht="17.25">
      <c r="A296" s="17" t="s">
        <v>6493</v>
      </c>
      <c r="B296" s="17" t="s">
        <v>480</v>
      </c>
      <c r="C296" s="17" t="s">
        <v>95</v>
      </c>
      <c r="D296" s="17" t="s">
        <v>28</v>
      </c>
      <c r="E296" s="18">
        <f>ROUND(14973*1.05,2)</f>
      </c>
      <c r="F296" s="17" t="s">
        <v>29</v>
      </c>
      <c r="G296" s="17" t="s">
        <v>30</v>
      </c>
      <c r="H296" s="18">
        <f>ROUND(RAND()*4+6,1)</f>
      </c>
      <c r="I296" s="17" t="s">
        <v>31</v>
      </c>
      <c r="J296" s="19">
        <f>ROUND(76*1,0)&amp;"%"</f>
      </c>
    </row>
    <row x14ac:dyDescent="0.25" r="297" customHeight="1" ht="17.25">
      <c r="A297" s="20" t="s">
        <v>6494</v>
      </c>
      <c r="B297" s="20" t="s">
        <v>482</v>
      </c>
      <c r="C297" s="20" t="s">
        <v>95</v>
      </c>
      <c r="D297" s="20" t="s">
        <v>34</v>
      </c>
      <c r="E297" s="21">
        <f>ROUND(7716*1.05,2)</f>
      </c>
      <c r="F297" s="20" t="s">
        <v>35</v>
      </c>
      <c r="G297" s="20" t="s">
        <v>18</v>
      </c>
      <c r="H297" s="21">
        <f>ROUND(RAND()*4+6,1)</f>
      </c>
      <c r="I297" s="20" t="s">
        <v>36</v>
      </c>
      <c r="J297" s="23">
        <f>ROUND(87*1,0)&amp;"%"</f>
      </c>
    </row>
    <row x14ac:dyDescent="0.25" r="298" customHeight="1" ht="17.25">
      <c r="A298" s="17" t="s">
        <v>6495</v>
      </c>
      <c r="B298" s="17" t="s">
        <v>484</v>
      </c>
      <c r="C298" s="17" t="s">
        <v>95</v>
      </c>
      <c r="D298" s="17" t="s">
        <v>39</v>
      </c>
      <c r="E298" s="18">
        <f>ROUND(8172*1.05,2)</f>
      </c>
      <c r="F298" s="17" t="s">
        <v>40</v>
      </c>
      <c r="G298" s="17" t="s">
        <v>24</v>
      </c>
      <c r="H298" s="18">
        <f>ROUND(RAND()*4+6,1)</f>
      </c>
      <c r="I298" s="17" t="s">
        <v>41</v>
      </c>
      <c r="J298" s="19">
        <f>ROUND(72*1,0)&amp;"%"</f>
      </c>
    </row>
    <row x14ac:dyDescent="0.25" r="299" customHeight="1" ht="17.25">
      <c r="A299" s="20" t="s">
        <v>6496</v>
      </c>
      <c r="B299" s="20" t="s">
        <v>486</v>
      </c>
      <c r="C299" s="20" t="s">
        <v>95</v>
      </c>
      <c r="D299" s="20" t="s">
        <v>67</v>
      </c>
      <c r="E299" s="21">
        <f>ROUND(14252*1.05,2)</f>
      </c>
      <c r="F299" s="20" t="s">
        <v>44</v>
      </c>
      <c r="G299" s="20" t="s">
        <v>30</v>
      </c>
      <c r="H299" s="21">
        <f>ROUND(RAND()*4+6,1)</f>
      </c>
      <c r="I299" s="20" t="s">
        <v>45</v>
      </c>
      <c r="J299" s="23">
        <f>ROUND(96*1,0)&amp;"%"</f>
      </c>
    </row>
    <row x14ac:dyDescent="0.25" r="300" customHeight="1" ht="17.25">
      <c r="A300" s="17" t="s">
        <v>6497</v>
      </c>
      <c r="B300" s="17" t="s">
        <v>488</v>
      </c>
      <c r="C300" s="17" t="s">
        <v>95</v>
      </c>
      <c r="D300" s="17" t="s">
        <v>16</v>
      </c>
      <c r="E300" s="18">
        <f>ROUND(16950*1.05,2)</f>
      </c>
      <c r="F300" s="17" t="s">
        <v>48</v>
      </c>
      <c r="G300" s="17" t="s">
        <v>18</v>
      </c>
      <c r="H300" s="18">
        <f>ROUND(RAND()*4+6,1)</f>
      </c>
      <c r="I300" s="17" t="s">
        <v>19</v>
      </c>
      <c r="J300" s="19">
        <f>ROUND(79*1,0)&amp;"%"</f>
      </c>
    </row>
    <row x14ac:dyDescent="0.25" r="301" customHeight="1" ht="17.25">
      <c r="A301" s="20" t="s">
        <v>6498</v>
      </c>
      <c r="B301" s="20" t="s">
        <v>490</v>
      </c>
      <c r="C301" s="20" t="s">
        <v>95</v>
      </c>
      <c r="D301" s="20" t="s">
        <v>22</v>
      </c>
      <c r="E301" s="21">
        <f>ROUND(11881*1.05,2)</f>
      </c>
      <c r="F301" s="20" t="s">
        <v>51</v>
      </c>
      <c r="G301" s="20" t="s">
        <v>24</v>
      </c>
      <c r="H301" s="21">
        <f>ROUND(RAND()*4+6,1)</f>
      </c>
      <c r="I301" s="20" t="s">
        <v>25</v>
      </c>
      <c r="J301" s="23">
        <f>ROUND(76*1,0)&amp;"%"</f>
      </c>
    </row>
    <row x14ac:dyDescent="0.25" r="302" customHeight="1" ht="17.25">
      <c r="A302" s="24" t="s">
        <v>491</v>
      </c>
      <c r="B302" s="24"/>
      <c r="C302" s="24"/>
      <c r="D302" s="24"/>
      <c r="E302" s="25">
        <v>8</v>
      </c>
      <c r="F302" s="9"/>
      <c r="G302" s="9"/>
      <c r="H302" s="10"/>
      <c r="I302" s="9"/>
      <c r="J302" s="9"/>
    </row>
    <row x14ac:dyDescent="0.25" r="303" customHeight="1" ht="17.25">
      <c r="A303" s="7"/>
      <c r="B303" s="7"/>
      <c r="C303" s="7"/>
      <c r="D303" s="7"/>
      <c r="E303" s="8"/>
      <c r="F303" s="9"/>
      <c r="G303" s="9"/>
      <c r="H303" s="10"/>
      <c r="I303" s="9"/>
      <c r="J303" s="9"/>
    </row>
    <row x14ac:dyDescent="0.25" r="304" customHeight="1" ht="17.25">
      <c r="A304" s="11" t="s">
        <v>6499</v>
      </c>
      <c r="B304" s="11"/>
      <c r="C304" s="11"/>
      <c r="D304" s="11"/>
      <c r="E304" s="12"/>
      <c r="F304" s="11"/>
      <c r="G304" s="11"/>
      <c r="H304" s="13"/>
      <c r="I304" s="11"/>
      <c r="J304" s="11"/>
    </row>
    <row x14ac:dyDescent="0.25" r="305" customHeight="1" ht="17.25">
      <c r="A305" s="14" t="s">
        <v>3</v>
      </c>
      <c r="B305" s="14" t="s">
        <v>4</v>
      </c>
      <c r="C305" s="14" t="s">
        <v>5</v>
      </c>
      <c r="D305" s="14" t="s">
        <v>6</v>
      </c>
      <c r="E305" s="15" t="s">
        <v>7</v>
      </c>
      <c r="F305" s="14" t="s">
        <v>8</v>
      </c>
      <c r="G305" s="14" t="s">
        <v>9</v>
      </c>
      <c r="H305" s="16" t="s">
        <v>10</v>
      </c>
      <c r="I305" s="14" t="s">
        <v>11</v>
      </c>
      <c r="J305" s="14" t="s">
        <v>12</v>
      </c>
    </row>
    <row x14ac:dyDescent="0.25" r="306" customHeight="1" ht="17.25">
      <c r="A306" s="17" t="s">
        <v>6500</v>
      </c>
      <c r="B306" s="17" t="s">
        <v>494</v>
      </c>
      <c r="C306" s="17" t="s">
        <v>114</v>
      </c>
      <c r="D306" s="17" t="s">
        <v>16</v>
      </c>
      <c r="E306" s="18">
        <f>ROUND(4164*1.05,2)</f>
      </c>
      <c r="F306" s="17" t="s">
        <v>17</v>
      </c>
      <c r="G306" s="17" t="s">
        <v>18</v>
      </c>
      <c r="H306" s="18">
        <f>ROUND(RAND()*4+6,1)</f>
      </c>
      <c r="I306" s="17" t="s">
        <v>19</v>
      </c>
      <c r="J306" s="19">
        <f>ROUND(97*1,0)&amp;"%"</f>
      </c>
    </row>
    <row x14ac:dyDescent="0.25" r="307" customHeight="1" ht="17.25">
      <c r="A307" s="20" t="s">
        <v>6501</v>
      </c>
      <c r="B307" s="20" t="s">
        <v>496</v>
      </c>
      <c r="C307" s="20" t="s">
        <v>114</v>
      </c>
      <c r="D307" s="20" t="s">
        <v>22</v>
      </c>
      <c r="E307" s="21">
        <f>ROUND(5469*1.05,2)</f>
      </c>
      <c r="F307" s="20" t="s">
        <v>23</v>
      </c>
      <c r="G307" s="20" t="s">
        <v>24</v>
      </c>
      <c r="H307" s="21">
        <f>ROUND(RAND()*4+6,1)</f>
      </c>
      <c r="I307" s="20" t="s">
        <v>25</v>
      </c>
      <c r="J307" s="23">
        <f>ROUND(74*1,0)&amp;"%"</f>
      </c>
    </row>
    <row x14ac:dyDescent="0.25" r="308" customHeight="1" ht="17.25">
      <c r="A308" s="17" t="s">
        <v>6502</v>
      </c>
      <c r="B308" s="17" t="s">
        <v>498</v>
      </c>
      <c r="C308" s="17" t="s">
        <v>114</v>
      </c>
      <c r="D308" s="17" t="s">
        <v>28</v>
      </c>
      <c r="E308" s="18">
        <f>ROUND(14244*1.05,2)</f>
      </c>
      <c r="F308" s="17" t="s">
        <v>29</v>
      </c>
      <c r="G308" s="17" t="s">
        <v>30</v>
      </c>
      <c r="H308" s="18">
        <f>ROUND(RAND()*4+6,1)</f>
      </c>
      <c r="I308" s="17" t="s">
        <v>31</v>
      </c>
      <c r="J308" s="19">
        <f>ROUND(92*1,0)&amp;"%"</f>
      </c>
    </row>
    <row x14ac:dyDescent="0.25" r="309" customHeight="1" ht="17.25">
      <c r="A309" s="20" t="s">
        <v>6503</v>
      </c>
      <c r="B309" s="20" t="s">
        <v>500</v>
      </c>
      <c r="C309" s="20" t="s">
        <v>114</v>
      </c>
      <c r="D309" s="20" t="s">
        <v>34</v>
      </c>
      <c r="E309" s="21">
        <f>ROUND(13844*1.05,2)</f>
      </c>
      <c r="F309" s="20" t="s">
        <v>35</v>
      </c>
      <c r="G309" s="20" t="s">
        <v>18</v>
      </c>
      <c r="H309" s="21">
        <f>ROUND(RAND()*4+6,1)</f>
      </c>
      <c r="I309" s="20" t="s">
        <v>36</v>
      </c>
      <c r="J309" s="23">
        <f>ROUND(71*1,0)&amp;"%"</f>
      </c>
    </row>
    <row x14ac:dyDescent="0.25" r="310" customHeight="1" ht="17.25">
      <c r="A310" s="17" t="s">
        <v>6504</v>
      </c>
      <c r="B310" s="17" t="s">
        <v>502</v>
      </c>
      <c r="C310" s="17" t="s">
        <v>114</v>
      </c>
      <c r="D310" s="17" t="s">
        <v>39</v>
      </c>
      <c r="E310" s="18">
        <f>ROUND(5157*1.05,2)</f>
      </c>
      <c r="F310" s="17" t="s">
        <v>40</v>
      </c>
      <c r="G310" s="17" t="s">
        <v>24</v>
      </c>
      <c r="H310" s="18">
        <f>ROUND(RAND()*4+6,1)</f>
      </c>
      <c r="I310" s="17" t="s">
        <v>41</v>
      </c>
      <c r="J310" s="19">
        <f>ROUND(79*1,0)&amp;"%"</f>
      </c>
    </row>
    <row x14ac:dyDescent="0.25" r="311" customHeight="1" ht="17.25">
      <c r="A311" s="20" t="s">
        <v>6505</v>
      </c>
      <c r="B311" s="20" t="s">
        <v>504</v>
      </c>
      <c r="C311" s="20" t="s">
        <v>114</v>
      </c>
      <c r="D311" s="20" t="s">
        <v>67</v>
      </c>
      <c r="E311" s="21">
        <f>ROUND(13577*1.05,2)</f>
      </c>
      <c r="F311" s="20" t="s">
        <v>44</v>
      </c>
      <c r="G311" s="20" t="s">
        <v>30</v>
      </c>
      <c r="H311" s="21">
        <f>ROUND(RAND()*4+6,1)</f>
      </c>
      <c r="I311" s="20" t="s">
        <v>45</v>
      </c>
      <c r="J311" s="23">
        <f>ROUND(69*1,0)&amp;"%"</f>
      </c>
    </row>
    <row x14ac:dyDescent="0.25" r="312" customHeight="1" ht="17.25">
      <c r="A312" s="17" t="s">
        <v>6506</v>
      </c>
      <c r="B312" s="17" t="s">
        <v>506</v>
      </c>
      <c r="C312" s="17" t="s">
        <v>114</v>
      </c>
      <c r="D312" s="17" t="s">
        <v>16</v>
      </c>
      <c r="E312" s="18">
        <f>ROUND(6630*1.05,2)</f>
      </c>
      <c r="F312" s="17" t="s">
        <v>48</v>
      </c>
      <c r="G312" s="17" t="s">
        <v>18</v>
      </c>
      <c r="H312" s="18">
        <f>ROUND(RAND()*4+6,1)</f>
      </c>
      <c r="I312" s="17" t="s">
        <v>19</v>
      </c>
      <c r="J312" s="19">
        <f>ROUND(80*1,0)&amp;"%"</f>
      </c>
    </row>
    <row x14ac:dyDescent="0.25" r="313" customHeight="1" ht="17.25">
      <c r="A313" s="20" t="s">
        <v>6507</v>
      </c>
      <c r="B313" s="20" t="s">
        <v>508</v>
      </c>
      <c r="C313" s="20" t="s">
        <v>114</v>
      </c>
      <c r="D313" s="20" t="s">
        <v>22</v>
      </c>
      <c r="E313" s="21">
        <f>ROUND(14092*1.05,2)</f>
      </c>
      <c r="F313" s="20" t="s">
        <v>51</v>
      </c>
      <c r="G313" s="20" t="s">
        <v>24</v>
      </c>
      <c r="H313" s="22">
        <f>ROUND(RAND()*4+6,1)</f>
      </c>
      <c r="I313" s="20" t="s">
        <v>25</v>
      </c>
      <c r="J313" s="23">
        <f>ROUND(72*1,0)&amp;"%"</f>
      </c>
    </row>
    <row x14ac:dyDescent="0.25" r="314" customHeight="1" ht="17.25">
      <c r="A314" s="24" t="s">
        <v>509</v>
      </c>
      <c r="B314" s="24"/>
      <c r="C314" s="24"/>
      <c r="D314" s="24"/>
      <c r="E314" s="25">
        <v>8</v>
      </c>
      <c r="F314" s="9"/>
      <c r="G314" s="9"/>
      <c r="H314" s="10"/>
      <c r="I314" s="9"/>
      <c r="J314" s="9"/>
    </row>
    <row x14ac:dyDescent="0.25" r="315" customHeight="1" ht="17.25">
      <c r="A315" s="7"/>
      <c r="B315" s="7"/>
      <c r="C315" s="7"/>
      <c r="D315" s="7"/>
      <c r="E315" s="8"/>
      <c r="F315" s="9"/>
      <c r="G315" s="9"/>
      <c r="H315" s="10"/>
      <c r="I315" s="9"/>
      <c r="J315" s="9"/>
    </row>
    <row x14ac:dyDescent="0.25" r="316" customHeight="1" ht="17.25">
      <c r="A316" s="11" t="s">
        <v>6508</v>
      </c>
      <c r="B316" s="11"/>
      <c r="C316" s="11"/>
      <c r="D316" s="11"/>
      <c r="E316" s="12"/>
      <c r="F316" s="11"/>
      <c r="G316" s="11"/>
      <c r="H316" s="13"/>
      <c r="I316" s="11"/>
      <c r="J316" s="11"/>
    </row>
    <row x14ac:dyDescent="0.25" r="317" customHeight="1" ht="17.25">
      <c r="A317" s="14" t="s">
        <v>3</v>
      </c>
      <c r="B317" s="14" t="s">
        <v>4</v>
      </c>
      <c r="C317" s="14" t="s">
        <v>5</v>
      </c>
      <c r="D317" s="14" t="s">
        <v>6</v>
      </c>
      <c r="E317" s="15" t="s">
        <v>7</v>
      </c>
      <c r="F317" s="14" t="s">
        <v>8</v>
      </c>
      <c r="G317" s="14" t="s">
        <v>9</v>
      </c>
      <c r="H317" s="16" t="s">
        <v>10</v>
      </c>
      <c r="I317" s="14" t="s">
        <v>11</v>
      </c>
      <c r="J317" s="14" t="s">
        <v>12</v>
      </c>
    </row>
    <row x14ac:dyDescent="0.25" r="318" customHeight="1" ht="17.25">
      <c r="A318" s="17" t="s">
        <v>6509</v>
      </c>
      <c r="B318" s="17" t="s">
        <v>512</v>
      </c>
      <c r="C318" s="17" t="s">
        <v>133</v>
      </c>
      <c r="D318" s="17" t="s">
        <v>16</v>
      </c>
      <c r="E318" s="18">
        <f>ROUND(12891*1.05,2)</f>
      </c>
      <c r="F318" s="17" t="s">
        <v>17</v>
      </c>
      <c r="G318" s="17" t="s">
        <v>18</v>
      </c>
      <c r="H318" s="18">
        <f>ROUND(RAND()*4+6,1)</f>
      </c>
      <c r="I318" s="17" t="s">
        <v>19</v>
      </c>
      <c r="J318" s="19">
        <f>ROUND(74*1,0)&amp;"%"</f>
      </c>
    </row>
    <row x14ac:dyDescent="0.25" r="319" customHeight="1" ht="17.25">
      <c r="A319" s="20" t="s">
        <v>6510</v>
      </c>
      <c r="B319" s="20" t="s">
        <v>514</v>
      </c>
      <c r="C319" s="20" t="s">
        <v>133</v>
      </c>
      <c r="D319" s="20" t="s">
        <v>22</v>
      </c>
      <c r="E319" s="21">
        <f>ROUND(8333*1.05,2)</f>
      </c>
      <c r="F319" s="20" t="s">
        <v>23</v>
      </c>
      <c r="G319" s="20" t="s">
        <v>24</v>
      </c>
      <c r="H319" s="21">
        <f>ROUND(RAND()*4+6,1)</f>
      </c>
      <c r="I319" s="20" t="s">
        <v>25</v>
      </c>
      <c r="J319" s="23">
        <f>ROUND(65*1,0)&amp;"%"</f>
      </c>
    </row>
    <row x14ac:dyDescent="0.25" r="320" customHeight="1" ht="17.25">
      <c r="A320" s="17" t="s">
        <v>6511</v>
      </c>
      <c r="B320" s="17" t="s">
        <v>516</v>
      </c>
      <c r="C320" s="17" t="s">
        <v>133</v>
      </c>
      <c r="D320" s="17" t="s">
        <v>28</v>
      </c>
      <c r="E320" s="18">
        <f>ROUND(17956*1.05,2)</f>
      </c>
      <c r="F320" s="17" t="s">
        <v>29</v>
      </c>
      <c r="G320" s="17" t="s">
        <v>30</v>
      </c>
      <c r="H320" s="18">
        <f>ROUND(RAND()*4+6,1)</f>
      </c>
      <c r="I320" s="17" t="s">
        <v>31</v>
      </c>
      <c r="J320" s="19">
        <f>ROUND(71*1,0)&amp;"%"</f>
      </c>
    </row>
    <row x14ac:dyDescent="0.25" r="321" customHeight="1" ht="17.25">
      <c r="A321" s="20" t="s">
        <v>6512</v>
      </c>
      <c r="B321" s="20" t="s">
        <v>518</v>
      </c>
      <c r="C321" s="20" t="s">
        <v>133</v>
      </c>
      <c r="D321" s="20" t="s">
        <v>34</v>
      </c>
      <c r="E321" s="21">
        <f>ROUND(9521*1.05,2)</f>
      </c>
      <c r="F321" s="20" t="s">
        <v>35</v>
      </c>
      <c r="G321" s="20" t="s">
        <v>18</v>
      </c>
      <c r="H321" s="21">
        <f>ROUND(RAND()*4+6,1)</f>
      </c>
      <c r="I321" s="20" t="s">
        <v>36</v>
      </c>
      <c r="J321" s="23">
        <f>ROUND(62*1,0)&amp;"%"</f>
      </c>
    </row>
    <row x14ac:dyDescent="0.25" r="322" customHeight="1" ht="17.25">
      <c r="A322" s="17" t="s">
        <v>6513</v>
      </c>
      <c r="B322" s="17" t="s">
        <v>520</v>
      </c>
      <c r="C322" s="17" t="s">
        <v>133</v>
      </c>
      <c r="D322" s="17" t="s">
        <v>39</v>
      </c>
      <c r="E322" s="18">
        <f>ROUND(5117*1.05,2)</f>
      </c>
      <c r="F322" s="17" t="s">
        <v>40</v>
      </c>
      <c r="G322" s="17" t="s">
        <v>24</v>
      </c>
      <c r="H322" s="18">
        <f>ROUND(RAND()*4+6,1)</f>
      </c>
      <c r="I322" s="17" t="s">
        <v>41</v>
      </c>
      <c r="J322" s="19">
        <f>ROUND(81*1,0)&amp;"%"</f>
      </c>
    </row>
    <row x14ac:dyDescent="0.25" r="323" customHeight="1" ht="17.25">
      <c r="A323" s="20" t="s">
        <v>6514</v>
      </c>
      <c r="B323" s="20" t="s">
        <v>522</v>
      </c>
      <c r="C323" s="20" t="s">
        <v>133</v>
      </c>
      <c r="D323" s="20" t="s">
        <v>67</v>
      </c>
      <c r="E323" s="21">
        <f>ROUND(16459*1.05,2)</f>
      </c>
      <c r="F323" s="20" t="s">
        <v>44</v>
      </c>
      <c r="G323" s="20" t="s">
        <v>30</v>
      </c>
      <c r="H323" s="21">
        <f>ROUND(RAND()*4+6,1)</f>
      </c>
      <c r="I323" s="20" t="s">
        <v>45</v>
      </c>
      <c r="J323" s="23">
        <f>ROUND(72*1,0)&amp;"%"</f>
      </c>
    </row>
    <row x14ac:dyDescent="0.25" r="324" customHeight="1" ht="17.25">
      <c r="A324" s="17" t="s">
        <v>6515</v>
      </c>
      <c r="B324" s="17" t="s">
        <v>524</v>
      </c>
      <c r="C324" s="17" t="s">
        <v>133</v>
      </c>
      <c r="D324" s="17" t="s">
        <v>16</v>
      </c>
      <c r="E324" s="18">
        <f>ROUND(10039*1.05,2)</f>
      </c>
      <c r="F324" s="17" t="s">
        <v>48</v>
      </c>
      <c r="G324" s="17" t="s">
        <v>18</v>
      </c>
      <c r="H324" s="18">
        <f>ROUND(RAND()*4+6,1)</f>
      </c>
      <c r="I324" s="17" t="s">
        <v>19</v>
      </c>
      <c r="J324" s="19">
        <f>ROUND(72*1,0)&amp;"%"</f>
      </c>
    </row>
    <row x14ac:dyDescent="0.25" r="325" customHeight="1" ht="17.25">
      <c r="A325" s="20" t="s">
        <v>6516</v>
      </c>
      <c r="B325" s="20" t="s">
        <v>526</v>
      </c>
      <c r="C325" s="20" t="s">
        <v>133</v>
      </c>
      <c r="D325" s="20" t="s">
        <v>22</v>
      </c>
      <c r="E325" s="21">
        <f>ROUND(12998*1.05,2)</f>
      </c>
      <c r="F325" s="20" t="s">
        <v>51</v>
      </c>
      <c r="G325" s="20" t="s">
        <v>24</v>
      </c>
      <c r="H325" s="21">
        <f>ROUND(RAND()*4+6,1)</f>
      </c>
      <c r="I325" s="20" t="s">
        <v>25</v>
      </c>
      <c r="J325" s="23">
        <f>ROUND(88*1,0)&amp;"%"</f>
      </c>
    </row>
    <row x14ac:dyDescent="0.25" r="326" customHeight="1" ht="17.25">
      <c r="A326" s="24" t="s">
        <v>527</v>
      </c>
      <c r="B326" s="24"/>
      <c r="C326" s="24"/>
      <c r="D326" s="24"/>
      <c r="E326" s="25">
        <v>8</v>
      </c>
      <c r="F326" s="9"/>
      <c r="G326" s="9"/>
      <c r="H326" s="10"/>
      <c r="I326" s="9"/>
      <c r="J326" s="9"/>
    </row>
    <row x14ac:dyDescent="0.25" r="327" customHeight="1" ht="17.25">
      <c r="A327" s="7"/>
      <c r="B327" s="7"/>
      <c r="C327" s="7"/>
      <c r="D327" s="7"/>
      <c r="E327" s="8"/>
      <c r="F327" s="9"/>
      <c r="G327" s="9"/>
      <c r="H327" s="10"/>
      <c r="I327" s="9"/>
      <c r="J327" s="9"/>
    </row>
    <row x14ac:dyDescent="0.25" r="328" customHeight="1" ht="17.25">
      <c r="A328" s="11" t="s">
        <v>6517</v>
      </c>
      <c r="B328" s="11"/>
      <c r="C328" s="11"/>
      <c r="D328" s="11"/>
      <c r="E328" s="12"/>
      <c r="F328" s="11"/>
      <c r="G328" s="11"/>
      <c r="H328" s="13"/>
      <c r="I328" s="11"/>
      <c r="J328" s="11"/>
    </row>
    <row x14ac:dyDescent="0.25" r="329" customHeight="1" ht="17.25">
      <c r="A329" s="14" t="s">
        <v>3</v>
      </c>
      <c r="B329" s="14" t="s">
        <v>4</v>
      </c>
      <c r="C329" s="14" t="s">
        <v>5</v>
      </c>
      <c r="D329" s="14" t="s">
        <v>6</v>
      </c>
      <c r="E329" s="15" t="s">
        <v>7</v>
      </c>
      <c r="F329" s="14" t="s">
        <v>8</v>
      </c>
      <c r="G329" s="14" t="s">
        <v>9</v>
      </c>
      <c r="H329" s="16" t="s">
        <v>10</v>
      </c>
      <c r="I329" s="14" t="s">
        <v>11</v>
      </c>
      <c r="J329" s="14" t="s">
        <v>12</v>
      </c>
    </row>
    <row x14ac:dyDescent="0.25" r="330" customHeight="1" ht="17.25">
      <c r="A330" s="17" t="s">
        <v>6518</v>
      </c>
      <c r="B330" s="17" t="s">
        <v>530</v>
      </c>
      <c r="C330" s="17" t="s">
        <v>152</v>
      </c>
      <c r="D330" s="17" t="s">
        <v>16</v>
      </c>
      <c r="E330" s="18">
        <f>ROUND(11199*1.05,2)</f>
      </c>
      <c r="F330" s="17" t="s">
        <v>17</v>
      </c>
      <c r="G330" s="17" t="s">
        <v>18</v>
      </c>
      <c r="H330" s="18">
        <f>ROUND(RAND()*4+6,1)</f>
      </c>
      <c r="I330" s="17" t="s">
        <v>19</v>
      </c>
      <c r="J330" s="19">
        <f>ROUND(63*1,0)&amp;"%"</f>
      </c>
    </row>
    <row x14ac:dyDescent="0.25" r="331" customHeight="1" ht="17.25">
      <c r="A331" s="20" t="s">
        <v>6519</v>
      </c>
      <c r="B331" s="20" t="s">
        <v>532</v>
      </c>
      <c r="C331" s="20" t="s">
        <v>152</v>
      </c>
      <c r="D331" s="20" t="s">
        <v>22</v>
      </c>
      <c r="E331" s="21">
        <f>ROUND(5337*1.05,2)</f>
      </c>
      <c r="F331" s="20" t="s">
        <v>23</v>
      </c>
      <c r="G331" s="20" t="s">
        <v>24</v>
      </c>
      <c r="H331" s="21">
        <f>ROUND(RAND()*4+6,1)</f>
      </c>
      <c r="I331" s="20" t="s">
        <v>25</v>
      </c>
      <c r="J331" s="23">
        <f>ROUND(93*1,0)&amp;"%"</f>
      </c>
    </row>
    <row x14ac:dyDescent="0.25" r="332" customHeight="1" ht="17.25">
      <c r="A332" s="17" t="s">
        <v>6520</v>
      </c>
      <c r="B332" s="17" t="s">
        <v>534</v>
      </c>
      <c r="C332" s="17" t="s">
        <v>152</v>
      </c>
      <c r="D332" s="17" t="s">
        <v>28</v>
      </c>
      <c r="E332" s="18">
        <f>ROUND(6121*1.05,2)</f>
      </c>
      <c r="F332" s="17" t="s">
        <v>29</v>
      </c>
      <c r="G332" s="17" t="s">
        <v>30</v>
      </c>
      <c r="H332" s="18">
        <f>ROUND(RAND()*4+6,1)</f>
      </c>
      <c r="I332" s="17" t="s">
        <v>31</v>
      </c>
      <c r="J332" s="19">
        <f>ROUND(90*1,0)&amp;"%"</f>
      </c>
    </row>
    <row x14ac:dyDescent="0.25" r="333" customHeight="1" ht="17.25">
      <c r="A333" s="20" t="s">
        <v>6521</v>
      </c>
      <c r="B333" s="20" t="s">
        <v>536</v>
      </c>
      <c r="C333" s="20" t="s">
        <v>152</v>
      </c>
      <c r="D333" s="20" t="s">
        <v>34</v>
      </c>
      <c r="E333" s="21">
        <f>ROUND(4887*1.05,2)</f>
      </c>
      <c r="F333" s="20" t="s">
        <v>35</v>
      </c>
      <c r="G333" s="20" t="s">
        <v>18</v>
      </c>
      <c r="H333" s="21">
        <f>ROUND(RAND()*4+6,1)</f>
      </c>
      <c r="I333" s="20" t="s">
        <v>36</v>
      </c>
      <c r="J333" s="23">
        <f>ROUND(83*1,0)&amp;"%"</f>
      </c>
    </row>
    <row x14ac:dyDescent="0.25" r="334" customHeight="1" ht="17.25">
      <c r="A334" s="17" t="s">
        <v>6522</v>
      </c>
      <c r="B334" s="17" t="s">
        <v>538</v>
      </c>
      <c r="C334" s="17" t="s">
        <v>152</v>
      </c>
      <c r="D334" s="17" t="s">
        <v>39</v>
      </c>
      <c r="E334" s="18">
        <f>ROUND(7372*1.05,2)</f>
      </c>
      <c r="F334" s="17" t="s">
        <v>40</v>
      </c>
      <c r="G334" s="17" t="s">
        <v>24</v>
      </c>
      <c r="H334" s="18">
        <f>ROUND(RAND()*4+6,1)</f>
      </c>
      <c r="I334" s="17" t="s">
        <v>41</v>
      </c>
      <c r="J334" s="19">
        <f>ROUND(71*1,0)&amp;"%"</f>
      </c>
    </row>
    <row x14ac:dyDescent="0.25" r="335" customHeight="1" ht="17.25">
      <c r="A335" s="20" t="s">
        <v>6523</v>
      </c>
      <c r="B335" s="20" t="s">
        <v>540</v>
      </c>
      <c r="C335" s="20" t="s">
        <v>152</v>
      </c>
      <c r="D335" s="20" t="s">
        <v>67</v>
      </c>
      <c r="E335" s="21">
        <f>ROUND(10204*1.05,2)</f>
      </c>
      <c r="F335" s="20" t="s">
        <v>44</v>
      </c>
      <c r="G335" s="20" t="s">
        <v>30</v>
      </c>
      <c r="H335" s="21">
        <f>ROUND(RAND()*4+6,1)</f>
      </c>
      <c r="I335" s="20" t="s">
        <v>45</v>
      </c>
      <c r="J335" s="23">
        <f>ROUND(70*1,0)&amp;"%"</f>
      </c>
    </row>
    <row x14ac:dyDescent="0.25" r="336" customHeight="1" ht="17.25">
      <c r="A336" s="17" t="s">
        <v>6524</v>
      </c>
      <c r="B336" s="17" t="s">
        <v>542</v>
      </c>
      <c r="C336" s="17" t="s">
        <v>152</v>
      </c>
      <c r="D336" s="17" t="s">
        <v>16</v>
      </c>
      <c r="E336" s="18">
        <f>ROUND(14896*1.05,2)</f>
      </c>
      <c r="F336" s="17" t="s">
        <v>48</v>
      </c>
      <c r="G336" s="17" t="s">
        <v>18</v>
      </c>
      <c r="H336" s="18">
        <f>ROUND(RAND()*4+6,1)</f>
      </c>
      <c r="I336" s="17" t="s">
        <v>19</v>
      </c>
      <c r="J336" s="19">
        <f>ROUND(83*1,0)&amp;"%"</f>
      </c>
    </row>
    <row x14ac:dyDescent="0.25" r="337" customHeight="1" ht="17.25">
      <c r="A337" s="20" t="s">
        <v>6525</v>
      </c>
      <c r="B337" s="20" t="s">
        <v>544</v>
      </c>
      <c r="C337" s="20" t="s">
        <v>152</v>
      </c>
      <c r="D337" s="20" t="s">
        <v>22</v>
      </c>
      <c r="E337" s="21">
        <f>ROUND(12667*1.05,2)</f>
      </c>
      <c r="F337" s="20" t="s">
        <v>51</v>
      </c>
      <c r="G337" s="20" t="s">
        <v>24</v>
      </c>
      <c r="H337" s="21">
        <f>ROUND(RAND()*4+6,1)</f>
      </c>
      <c r="I337" s="20" t="s">
        <v>25</v>
      </c>
      <c r="J337" s="23">
        <f>ROUND(68*1,0)&amp;"%"</f>
      </c>
    </row>
    <row x14ac:dyDescent="0.25" r="338" customHeight="1" ht="17.25">
      <c r="A338" s="24" t="s">
        <v>545</v>
      </c>
      <c r="B338" s="24"/>
      <c r="C338" s="24"/>
      <c r="D338" s="24"/>
      <c r="E338" s="25">
        <v>8</v>
      </c>
      <c r="F338" s="9"/>
      <c r="G338" s="9"/>
      <c r="H338" s="10"/>
      <c r="I338" s="9"/>
      <c r="J338" s="9"/>
    </row>
    <row x14ac:dyDescent="0.25" r="339" customHeight="1" ht="17.25">
      <c r="A339" s="7"/>
      <c r="B339" s="7"/>
      <c r="C339" s="7"/>
      <c r="D339" s="7"/>
      <c r="E339" s="8"/>
      <c r="F339" s="9"/>
      <c r="G339" s="9"/>
      <c r="H339" s="10"/>
      <c r="I339" s="9"/>
      <c r="J339" s="9"/>
    </row>
    <row x14ac:dyDescent="0.25" r="340" customHeight="1" ht="17.25">
      <c r="A340" s="11" t="s">
        <v>6526</v>
      </c>
      <c r="B340" s="11"/>
      <c r="C340" s="11"/>
      <c r="D340" s="11"/>
      <c r="E340" s="12"/>
      <c r="F340" s="11"/>
      <c r="G340" s="11"/>
      <c r="H340" s="13"/>
      <c r="I340" s="11"/>
      <c r="J340" s="11"/>
    </row>
    <row x14ac:dyDescent="0.25" r="341" customHeight="1" ht="17.25">
      <c r="A341" s="14" t="s">
        <v>3</v>
      </c>
      <c r="B341" s="14" t="s">
        <v>4</v>
      </c>
      <c r="C341" s="14" t="s">
        <v>5</v>
      </c>
      <c r="D341" s="14" t="s">
        <v>6</v>
      </c>
      <c r="E341" s="15" t="s">
        <v>7</v>
      </c>
      <c r="F341" s="14" t="s">
        <v>8</v>
      </c>
      <c r="G341" s="14" t="s">
        <v>9</v>
      </c>
      <c r="H341" s="16" t="s">
        <v>10</v>
      </c>
      <c r="I341" s="14" t="s">
        <v>11</v>
      </c>
      <c r="J341" s="14" t="s">
        <v>12</v>
      </c>
    </row>
    <row x14ac:dyDescent="0.25" r="342" customHeight="1" ht="17.25">
      <c r="A342" s="17" t="s">
        <v>6527</v>
      </c>
      <c r="B342" s="17" t="s">
        <v>548</v>
      </c>
      <c r="C342" s="17" t="s">
        <v>15</v>
      </c>
      <c r="D342" s="17" t="s">
        <v>16</v>
      </c>
      <c r="E342" s="18">
        <f>ROUND(15025*1.05,2)</f>
      </c>
      <c r="F342" s="17" t="s">
        <v>17</v>
      </c>
      <c r="G342" s="17" t="s">
        <v>18</v>
      </c>
      <c r="H342" s="18">
        <f>ROUND(RAND()*4+6,1)</f>
      </c>
      <c r="I342" s="17" t="s">
        <v>19</v>
      </c>
      <c r="J342" s="19">
        <f>ROUND(72*1,0)&amp;"%"</f>
      </c>
    </row>
    <row x14ac:dyDescent="0.25" r="343" customHeight="1" ht="17.25">
      <c r="A343" s="20" t="s">
        <v>6528</v>
      </c>
      <c r="B343" s="20" t="s">
        <v>550</v>
      </c>
      <c r="C343" s="20" t="s">
        <v>15</v>
      </c>
      <c r="D343" s="20" t="s">
        <v>22</v>
      </c>
      <c r="E343" s="21">
        <f>ROUND(4202*1.05,2)</f>
      </c>
      <c r="F343" s="20" t="s">
        <v>23</v>
      </c>
      <c r="G343" s="20" t="s">
        <v>24</v>
      </c>
      <c r="H343" s="21">
        <f>ROUND(RAND()*4+6,1)</f>
      </c>
      <c r="I343" s="20" t="s">
        <v>25</v>
      </c>
      <c r="J343" s="23">
        <f>ROUND(65*1,0)&amp;"%"</f>
      </c>
    </row>
    <row x14ac:dyDescent="0.25" r="344" customHeight="1" ht="17.25">
      <c r="A344" s="17" t="s">
        <v>6529</v>
      </c>
      <c r="B344" s="17" t="s">
        <v>552</v>
      </c>
      <c r="C344" s="17" t="s">
        <v>15</v>
      </c>
      <c r="D344" s="17" t="s">
        <v>28</v>
      </c>
      <c r="E344" s="18">
        <f>ROUND(8450*1.05,2)</f>
      </c>
      <c r="F344" s="17" t="s">
        <v>29</v>
      </c>
      <c r="G344" s="17" t="s">
        <v>30</v>
      </c>
      <c r="H344" s="18">
        <f>ROUND(RAND()*4+6,1)</f>
      </c>
      <c r="I344" s="17" t="s">
        <v>31</v>
      </c>
      <c r="J344" s="19">
        <f>ROUND(68*1,0)&amp;"%"</f>
      </c>
    </row>
    <row x14ac:dyDescent="0.25" r="345" customHeight="1" ht="17.25">
      <c r="A345" s="20" t="s">
        <v>6530</v>
      </c>
      <c r="B345" s="20" t="s">
        <v>554</v>
      </c>
      <c r="C345" s="20" t="s">
        <v>15</v>
      </c>
      <c r="D345" s="20" t="s">
        <v>34</v>
      </c>
      <c r="E345" s="21">
        <f>ROUND(13646*1.05,2)</f>
      </c>
      <c r="F345" s="20" t="s">
        <v>35</v>
      </c>
      <c r="G345" s="20" t="s">
        <v>18</v>
      </c>
      <c r="H345" s="21">
        <f>ROUND(RAND()*4+6,1)</f>
      </c>
      <c r="I345" s="20" t="s">
        <v>36</v>
      </c>
      <c r="J345" s="23">
        <f>ROUND(65*1,0)&amp;"%"</f>
      </c>
    </row>
    <row x14ac:dyDescent="0.25" r="346" customHeight="1" ht="17.25">
      <c r="A346" s="17" t="s">
        <v>6531</v>
      </c>
      <c r="B346" s="17" t="s">
        <v>556</v>
      </c>
      <c r="C346" s="17" t="s">
        <v>15</v>
      </c>
      <c r="D346" s="17" t="s">
        <v>39</v>
      </c>
      <c r="E346" s="18">
        <f>ROUND(11463*1.05,2)</f>
      </c>
      <c r="F346" s="17" t="s">
        <v>40</v>
      </c>
      <c r="G346" s="17" t="s">
        <v>24</v>
      </c>
      <c r="H346" s="18">
        <f>ROUND(RAND()*4+6,1)</f>
      </c>
      <c r="I346" s="17" t="s">
        <v>41</v>
      </c>
      <c r="J346" s="19">
        <f>ROUND(74*1,0)&amp;"%"</f>
      </c>
    </row>
    <row x14ac:dyDescent="0.25" r="347" customHeight="1" ht="17.25">
      <c r="A347" s="20" t="s">
        <v>6532</v>
      </c>
      <c r="B347" s="20" t="s">
        <v>558</v>
      </c>
      <c r="C347" s="20" t="s">
        <v>15</v>
      </c>
      <c r="D347" s="20" t="s">
        <v>67</v>
      </c>
      <c r="E347" s="21">
        <f>ROUND(6428*1.05,2)</f>
      </c>
      <c r="F347" s="20" t="s">
        <v>44</v>
      </c>
      <c r="G347" s="20" t="s">
        <v>30</v>
      </c>
      <c r="H347" s="21">
        <f>ROUND(RAND()*4+6,1)</f>
      </c>
      <c r="I347" s="20" t="s">
        <v>45</v>
      </c>
      <c r="J347" s="23">
        <f>ROUND(72*1,0)&amp;"%"</f>
      </c>
    </row>
    <row x14ac:dyDescent="0.25" r="348" customHeight="1" ht="17.25">
      <c r="A348" s="17" t="s">
        <v>6533</v>
      </c>
      <c r="B348" s="17" t="s">
        <v>560</v>
      </c>
      <c r="C348" s="17" t="s">
        <v>15</v>
      </c>
      <c r="D348" s="17" t="s">
        <v>16</v>
      </c>
      <c r="E348" s="18">
        <f>ROUND(15673*1.05,2)</f>
      </c>
      <c r="F348" s="17" t="s">
        <v>48</v>
      </c>
      <c r="G348" s="17" t="s">
        <v>18</v>
      </c>
      <c r="H348" s="18">
        <f>ROUND(RAND()*4+6,1)</f>
      </c>
      <c r="I348" s="17" t="s">
        <v>19</v>
      </c>
      <c r="J348" s="19">
        <f>ROUND(65*1,0)&amp;"%"</f>
      </c>
    </row>
    <row x14ac:dyDescent="0.25" r="349" customHeight="1" ht="17.25">
      <c r="A349" s="20" t="s">
        <v>6534</v>
      </c>
      <c r="B349" s="20" t="s">
        <v>562</v>
      </c>
      <c r="C349" s="20" t="s">
        <v>15</v>
      </c>
      <c r="D349" s="20" t="s">
        <v>22</v>
      </c>
      <c r="E349" s="21">
        <f>ROUND(9642*1.05,2)</f>
      </c>
      <c r="F349" s="20" t="s">
        <v>51</v>
      </c>
      <c r="G349" s="20" t="s">
        <v>24</v>
      </c>
      <c r="H349" s="21">
        <f>ROUND(RAND()*4+6,1)</f>
      </c>
      <c r="I349" s="20" t="s">
        <v>25</v>
      </c>
      <c r="J349" s="23">
        <f>ROUND(92*1,0)&amp;"%"</f>
      </c>
    </row>
    <row x14ac:dyDescent="0.25" r="350" customHeight="1" ht="17.25">
      <c r="A350" s="24" t="s">
        <v>563</v>
      </c>
      <c r="B350" s="24"/>
      <c r="C350" s="24"/>
      <c r="D350" s="24"/>
      <c r="E350" s="25">
        <v>8</v>
      </c>
      <c r="F350" s="9"/>
      <c r="G350" s="9"/>
      <c r="H350" s="10"/>
      <c r="I350" s="9"/>
      <c r="J350" s="9"/>
    </row>
    <row x14ac:dyDescent="0.25" r="351" customHeight="1" ht="17.25">
      <c r="A351" s="7"/>
      <c r="B351" s="7"/>
      <c r="C351" s="7"/>
      <c r="D351" s="7"/>
      <c r="E351" s="8"/>
      <c r="F351" s="9"/>
      <c r="G351" s="9"/>
      <c r="H351" s="10"/>
      <c r="I351" s="9"/>
      <c r="J351" s="9"/>
    </row>
    <row x14ac:dyDescent="0.25" r="352" customHeight="1" ht="17.25">
      <c r="A352" s="11" t="s">
        <v>6535</v>
      </c>
      <c r="B352" s="11"/>
      <c r="C352" s="11"/>
      <c r="D352" s="11"/>
      <c r="E352" s="12"/>
      <c r="F352" s="11"/>
      <c r="G352" s="11"/>
      <c r="H352" s="13"/>
      <c r="I352" s="11"/>
      <c r="J352" s="11"/>
    </row>
    <row x14ac:dyDescent="0.25" r="353" customHeight="1" ht="17.25">
      <c r="A353" s="14" t="s">
        <v>3</v>
      </c>
      <c r="B353" s="14" t="s">
        <v>4</v>
      </c>
      <c r="C353" s="14" t="s">
        <v>5</v>
      </c>
      <c r="D353" s="14" t="s">
        <v>6</v>
      </c>
      <c r="E353" s="15" t="s">
        <v>7</v>
      </c>
      <c r="F353" s="14" t="s">
        <v>8</v>
      </c>
      <c r="G353" s="14" t="s">
        <v>9</v>
      </c>
      <c r="H353" s="16" t="s">
        <v>10</v>
      </c>
      <c r="I353" s="14" t="s">
        <v>11</v>
      </c>
      <c r="J353" s="14" t="s">
        <v>12</v>
      </c>
    </row>
    <row x14ac:dyDescent="0.25" r="354" customHeight="1" ht="17.25">
      <c r="A354" s="17" t="s">
        <v>6536</v>
      </c>
      <c r="B354" s="17" t="s">
        <v>566</v>
      </c>
      <c r="C354" s="17" t="s">
        <v>56</v>
      </c>
      <c r="D354" s="17" t="s">
        <v>16</v>
      </c>
      <c r="E354" s="26">
        <f>ROUND(15520*1.05,2)</f>
      </c>
      <c r="F354" s="17" t="s">
        <v>17</v>
      </c>
      <c r="G354" s="17" t="s">
        <v>18</v>
      </c>
      <c r="H354" s="18">
        <f>ROUND(RAND()*4+6,1)</f>
      </c>
      <c r="I354" s="17" t="s">
        <v>19</v>
      </c>
      <c r="J354" s="19">
        <f>ROUND(66*1,0)&amp;"%"</f>
      </c>
    </row>
    <row x14ac:dyDescent="0.25" r="355" customHeight="1" ht="17.25">
      <c r="A355" s="20" t="s">
        <v>6537</v>
      </c>
      <c r="B355" s="20" t="s">
        <v>568</v>
      </c>
      <c r="C355" s="20" t="s">
        <v>56</v>
      </c>
      <c r="D355" s="20" t="s">
        <v>22</v>
      </c>
      <c r="E355" s="21">
        <f>ROUND(16512*1.05,2)</f>
      </c>
      <c r="F355" s="20" t="s">
        <v>23</v>
      </c>
      <c r="G355" s="20" t="s">
        <v>24</v>
      </c>
      <c r="H355" s="21">
        <f>ROUND(RAND()*4+6,1)</f>
      </c>
      <c r="I355" s="20" t="s">
        <v>25</v>
      </c>
      <c r="J355" s="23">
        <f>ROUND(63*1,0)&amp;"%"</f>
      </c>
    </row>
    <row x14ac:dyDescent="0.25" r="356" customHeight="1" ht="17.25">
      <c r="A356" s="17" t="s">
        <v>6538</v>
      </c>
      <c r="B356" s="17" t="s">
        <v>570</v>
      </c>
      <c r="C356" s="17" t="s">
        <v>56</v>
      </c>
      <c r="D356" s="17" t="s">
        <v>28</v>
      </c>
      <c r="E356" s="26">
        <f>ROUND(4580*1.05,2)</f>
      </c>
      <c r="F356" s="17" t="s">
        <v>29</v>
      </c>
      <c r="G356" s="17" t="s">
        <v>30</v>
      </c>
      <c r="H356" s="18">
        <f>ROUND(RAND()*4+6,1)</f>
      </c>
      <c r="I356" s="17" t="s">
        <v>31</v>
      </c>
      <c r="J356" s="19">
        <f>ROUND(88*1,0)&amp;"%"</f>
      </c>
    </row>
    <row x14ac:dyDescent="0.25" r="357" customHeight="1" ht="17.25">
      <c r="A357" s="20" t="s">
        <v>6539</v>
      </c>
      <c r="B357" s="20" t="s">
        <v>572</v>
      </c>
      <c r="C357" s="20" t="s">
        <v>56</v>
      </c>
      <c r="D357" s="20" t="s">
        <v>34</v>
      </c>
      <c r="E357" s="21">
        <f>ROUND(9468*1.05,2)</f>
      </c>
      <c r="F357" s="20" t="s">
        <v>35</v>
      </c>
      <c r="G357" s="20" t="s">
        <v>18</v>
      </c>
      <c r="H357" s="21">
        <f>ROUND(RAND()*4+6,1)</f>
      </c>
      <c r="I357" s="20" t="s">
        <v>36</v>
      </c>
      <c r="J357" s="23">
        <f>ROUND(91*1,0)&amp;"%"</f>
      </c>
    </row>
    <row x14ac:dyDescent="0.25" r="358" customHeight="1" ht="17.25">
      <c r="A358" s="17" t="s">
        <v>6540</v>
      </c>
      <c r="B358" s="17" t="s">
        <v>574</v>
      </c>
      <c r="C358" s="17" t="s">
        <v>56</v>
      </c>
      <c r="D358" s="17" t="s">
        <v>39</v>
      </c>
      <c r="E358" s="18">
        <f>ROUND(6787*1.05,2)</f>
      </c>
      <c r="F358" s="17" t="s">
        <v>40</v>
      </c>
      <c r="G358" s="17" t="s">
        <v>24</v>
      </c>
      <c r="H358" s="18">
        <f>ROUND(RAND()*4+6,1)</f>
      </c>
      <c r="I358" s="17" t="s">
        <v>41</v>
      </c>
      <c r="J358" s="19">
        <f>ROUND(80*1,0)&amp;"%"</f>
      </c>
    </row>
    <row x14ac:dyDescent="0.25" r="359" customHeight="1" ht="17.25">
      <c r="A359" s="20" t="s">
        <v>6541</v>
      </c>
      <c r="B359" s="20" t="s">
        <v>576</v>
      </c>
      <c r="C359" s="20" t="s">
        <v>56</v>
      </c>
      <c r="D359" s="20" t="s">
        <v>67</v>
      </c>
      <c r="E359" s="21">
        <f>ROUND(12310*1.05,2)</f>
      </c>
      <c r="F359" s="20" t="s">
        <v>44</v>
      </c>
      <c r="G359" s="20" t="s">
        <v>30</v>
      </c>
      <c r="H359" s="21">
        <f>ROUND(RAND()*4+6,1)</f>
      </c>
      <c r="I359" s="20" t="s">
        <v>45</v>
      </c>
      <c r="J359" s="23">
        <f>ROUND(99*1,0)&amp;"%"</f>
      </c>
    </row>
    <row x14ac:dyDescent="0.25" r="360" customHeight="1" ht="17.25">
      <c r="A360" s="17" t="s">
        <v>6542</v>
      </c>
      <c r="B360" s="17" t="s">
        <v>578</v>
      </c>
      <c r="C360" s="17" t="s">
        <v>56</v>
      </c>
      <c r="D360" s="17" t="s">
        <v>16</v>
      </c>
      <c r="E360" s="18">
        <f>ROUND(16169*1.05,2)</f>
      </c>
      <c r="F360" s="17" t="s">
        <v>48</v>
      </c>
      <c r="G360" s="17" t="s">
        <v>18</v>
      </c>
      <c r="H360" s="18">
        <f>ROUND(RAND()*4+6,1)</f>
      </c>
      <c r="I360" s="17" t="s">
        <v>19</v>
      </c>
      <c r="J360" s="19">
        <f>ROUND(100*1,0)&amp;"%"</f>
      </c>
    </row>
    <row x14ac:dyDescent="0.25" r="361" customHeight="1" ht="17.25">
      <c r="A361" s="20" t="s">
        <v>6543</v>
      </c>
      <c r="B361" s="20" t="s">
        <v>580</v>
      </c>
      <c r="C361" s="20" t="s">
        <v>56</v>
      </c>
      <c r="D361" s="20" t="s">
        <v>22</v>
      </c>
      <c r="E361" s="21">
        <f>ROUND(4495*1.05,2)</f>
      </c>
      <c r="F361" s="20" t="s">
        <v>51</v>
      </c>
      <c r="G361" s="20" t="s">
        <v>24</v>
      </c>
      <c r="H361" s="21">
        <f>ROUND(RAND()*4+6,1)</f>
      </c>
      <c r="I361" s="20" t="s">
        <v>25</v>
      </c>
      <c r="J361" s="23">
        <f>ROUND(84*1,0)&amp;"%"</f>
      </c>
    </row>
    <row x14ac:dyDescent="0.25" r="362" customHeight="1" ht="17.25">
      <c r="A362" s="24" t="s">
        <v>581</v>
      </c>
      <c r="B362" s="24"/>
      <c r="C362" s="24"/>
      <c r="D362" s="24"/>
      <c r="E362" s="25">
        <v>8</v>
      </c>
      <c r="F362" s="9"/>
      <c r="G362" s="9"/>
      <c r="H362" s="10"/>
      <c r="I362" s="9"/>
      <c r="J362" s="9"/>
    </row>
  </sheetData>
  <mergeCells count="62">
    <mergeCell ref="A1:J1"/>
    <mergeCell ref="A2:J2"/>
    <mergeCell ref="A4:J4"/>
    <mergeCell ref="A14:D14"/>
    <mergeCell ref="A16:J16"/>
    <mergeCell ref="A26:D26"/>
    <mergeCell ref="A28:J28"/>
    <mergeCell ref="A38:D38"/>
    <mergeCell ref="A40:J40"/>
    <mergeCell ref="A50:D50"/>
    <mergeCell ref="A52:J52"/>
    <mergeCell ref="A62:D62"/>
    <mergeCell ref="A64:J64"/>
    <mergeCell ref="A74:D74"/>
    <mergeCell ref="A76:J76"/>
    <mergeCell ref="A86:D86"/>
    <mergeCell ref="A88:J88"/>
    <mergeCell ref="A98:D98"/>
    <mergeCell ref="A100:J100"/>
    <mergeCell ref="A110:D110"/>
    <mergeCell ref="A112:J112"/>
    <mergeCell ref="A122:D122"/>
    <mergeCell ref="A124:J124"/>
    <mergeCell ref="A134:D134"/>
    <mergeCell ref="A136:J136"/>
    <mergeCell ref="A146:D146"/>
    <mergeCell ref="A148:J148"/>
    <mergeCell ref="A158:D158"/>
    <mergeCell ref="A160:J160"/>
    <mergeCell ref="A170:D170"/>
    <mergeCell ref="A172:J172"/>
    <mergeCell ref="A182:D182"/>
    <mergeCell ref="A184:J184"/>
    <mergeCell ref="A194:D194"/>
    <mergeCell ref="A196:J196"/>
    <mergeCell ref="A206:D206"/>
    <mergeCell ref="A208:J208"/>
    <mergeCell ref="A218:D218"/>
    <mergeCell ref="A220:J220"/>
    <mergeCell ref="A230:D230"/>
    <mergeCell ref="A232:J232"/>
    <mergeCell ref="A242:D242"/>
    <mergeCell ref="A244:J244"/>
    <mergeCell ref="A254:D254"/>
    <mergeCell ref="A256:J256"/>
    <mergeCell ref="A266:D266"/>
    <mergeCell ref="A268:J268"/>
    <mergeCell ref="A278:D278"/>
    <mergeCell ref="A280:J280"/>
    <mergeCell ref="A290:D290"/>
    <mergeCell ref="A292:J292"/>
    <mergeCell ref="A302:D302"/>
    <mergeCell ref="A304:J304"/>
    <mergeCell ref="A314:D314"/>
    <mergeCell ref="A316:J316"/>
    <mergeCell ref="A326:D326"/>
    <mergeCell ref="A328:J328"/>
    <mergeCell ref="A338:D338"/>
    <mergeCell ref="A340:J340"/>
    <mergeCell ref="A350:D350"/>
    <mergeCell ref="A352:J352"/>
    <mergeCell ref="A362:D362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J362"/>
  <sheetViews>
    <sheetView workbookViewId="0"/>
  </sheetViews>
  <sheetFormatPr defaultRowHeight="15" x14ac:dyDescent="0.25"/>
  <cols>
    <col min="1" max="1" style="27" width="8.005" customWidth="1" bestFit="1"/>
    <col min="2" max="2" style="27" width="22.005" customWidth="1" bestFit="1"/>
    <col min="3" max="3" style="27" width="16.005" customWidth="1" bestFit="1"/>
    <col min="4" max="4" style="27" width="14.005" customWidth="1" bestFit="1"/>
    <col min="5" max="5" style="28" width="12.005" customWidth="1" bestFit="1"/>
    <col min="6" max="6" style="29" width="16.005" customWidth="1" bestFit="1"/>
    <col min="7" max="7" style="29" width="10.005" customWidth="1" bestFit="1"/>
    <col min="8" max="8" style="30" width="10.005" customWidth="1" bestFit="1"/>
    <col min="9" max="9" style="29" width="14.005" customWidth="1" bestFit="1"/>
    <col min="10" max="10" style="29" width="8.005" customWidth="1" bestFit="1"/>
  </cols>
  <sheetData>
    <row x14ac:dyDescent="0.25" r="1" customHeight="1" ht="17.25">
      <c r="A1" s="1" t="s">
        <v>6002</v>
      </c>
      <c r="B1" s="1"/>
      <c r="C1" s="1"/>
      <c r="D1" s="1"/>
      <c r="E1" s="2"/>
      <c r="F1" s="1"/>
      <c r="G1" s="1"/>
      <c r="H1" s="3"/>
      <c r="I1" s="1"/>
      <c r="J1" s="1"/>
    </row>
    <row x14ac:dyDescent="0.25" r="2" customHeight="1" ht="17.25">
      <c r="A2" s="4" t="s">
        <v>1</v>
      </c>
      <c r="B2" s="4"/>
      <c r="C2" s="4"/>
      <c r="D2" s="4"/>
      <c r="E2" s="5"/>
      <c r="F2" s="4"/>
      <c r="G2" s="4"/>
      <c r="H2" s="6"/>
      <c r="I2" s="4"/>
      <c r="J2" s="4"/>
    </row>
    <row x14ac:dyDescent="0.25" r="3" customHeight="1" ht="17.25">
      <c r="A3" s="7"/>
      <c r="B3" s="7"/>
      <c r="C3" s="7"/>
      <c r="D3" s="7"/>
      <c r="E3" s="8"/>
      <c r="F3" s="9"/>
      <c r="G3" s="9"/>
      <c r="H3" s="10"/>
      <c r="I3" s="9"/>
      <c r="J3" s="9"/>
    </row>
    <row x14ac:dyDescent="0.25" r="4" customHeight="1" ht="17.25">
      <c r="A4" s="11" t="s">
        <v>6003</v>
      </c>
      <c r="B4" s="11"/>
      <c r="C4" s="11"/>
      <c r="D4" s="11"/>
      <c r="E4" s="12"/>
      <c r="F4" s="11"/>
      <c r="G4" s="11"/>
      <c r="H4" s="13"/>
      <c r="I4" s="11"/>
      <c r="J4" s="11"/>
    </row>
    <row x14ac:dyDescent="0.25" r="5" customHeight="1" ht="17.25">
      <c r="A5" s="14" t="s">
        <v>3</v>
      </c>
      <c r="B5" s="14" t="s">
        <v>4</v>
      </c>
      <c r="C5" s="14" t="s">
        <v>5</v>
      </c>
      <c r="D5" s="14" t="s">
        <v>6</v>
      </c>
      <c r="E5" s="15" t="s">
        <v>7</v>
      </c>
      <c r="F5" s="14" t="s">
        <v>8</v>
      </c>
      <c r="G5" s="14" t="s">
        <v>9</v>
      </c>
      <c r="H5" s="16" t="s">
        <v>10</v>
      </c>
      <c r="I5" s="14" t="s">
        <v>11</v>
      </c>
      <c r="J5" s="14" t="s">
        <v>12</v>
      </c>
    </row>
    <row x14ac:dyDescent="0.25" r="6" customHeight="1" ht="17.25">
      <c r="A6" s="17" t="s">
        <v>6004</v>
      </c>
      <c r="B6" s="17" t="s">
        <v>14</v>
      </c>
      <c r="C6" s="17" t="s">
        <v>15</v>
      </c>
      <c r="D6" s="17" t="s">
        <v>16</v>
      </c>
      <c r="E6" s="18">
        <f>ROUND(4074*1.05,2)</f>
      </c>
      <c r="F6" s="17" t="s">
        <v>17</v>
      </c>
      <c r="G6" s="17" t="s">
        <v>18</v>
      </c>
      <c r="H6" s="18">
        <f>ROUND(RAND()*4+6,1)</f>
      </c>
      <c r="I6" s="17" t="s">
        <v>19</v>
      </c>
      <c r="J6" s="19">
        <f>ROUND(76*1,0)&amp;"%"</f>
      </c>
    </row>
    <row x14ac:dyDescent="0.25" r="7" customHeight="1" ht="17.25">
      <c r="A7" s="20" t="s">
        <v>6005</v>
      </c>
      <c r="B7" s="20" t="s">
        <v>21</v>
      </c>
      <c r="C7" s="20" t="s">
        <v>15</v>
      </c>
      <c r="D7" s="20" t="s">
        <v>22</v>
      </c>
      <c r="E7" s="21">
        <f>ROUND(12543*1.05,2)</f>
      </c>
      <c r="F7" s="20" t="s">
        <v>23</v>
      </c>
      <c r="G7" s="20" t="s">
        <v>24</v>
      </c>
      <c r="H7" s="22">
        <f>ROUND(RAND()*4+6,1)</f>
      </c>
      <c r="I7" s="20" t="s">
        <v>25</v>
      </c>
      <c r="J7" s="23">
        <f>ROUND(91*1,0)&amp;"%"</f>
      </c>
    </row>
    <row x14ac:dyDescent="0.25" r="8" customHeight="1" ht="17.25">
      <c r="A8" s="17" t="s">
        <v>6006</v>
      </c>
      <c r="B8" s="17" t="s">
        <v>27</v>
      </c>
      <c r="C8" s="17" t="s">
        <v>15</v>
      </c>
      <c r="D8" s="17" t="s">
        <v>28</v>
      </c>
      <c r="E8" s="26">
        <f>ROUND(5600*1.05,2)</f>
      </c>
      <c r="F8" s="17" t="s">
        <v>29</v>
      </c>
      <c r="G8" s="17" t="s">
        <v>30</v>
      </c>
      <c r="H8" s="26">
        <f>ROUND(RAND()*4+6,1)</f>
      </c>
      <c r="I8" s="17" t="s">
        <v>31</v>
      </c>
      <c r="J8" s="19">
        <f>ROUND(89*1,0)&amp;"%"</f>
      </c>
    </row>
    <row x14ac:dyDescent="0.25" r="9" customHeight="1" ht="17.25">
      <c r="A9" s="20" t="s">
        <v>6007</v>
      </c>
      <c r="B9" s="20" t="s">
        <v>33</v>
      </c>
      <c r="C9" s="20" t="s">
        <v>15</v>
      </c>
      <c r="D9" s="20" t="s">
        <v>34</v>
      </c>
      <c r="E9" s="21">
        <f>ROUND(8805*1.05,2)</f>
      </c>
      <c r="F9" s="20" t="s">
        <v>35</v>
      </c>
      <c r="G9" s="20" t="s">
        <v>18</v>
      </c>
      <c r="H9" s="21">
        <f>ROUND(RAND()*4+6,1)</f>
      </c>
      <c r="I9" s="20" t="s">
        <v>36</v>
      </c>
      <c r="J9" s="23">
        <f>ROUND(62*1,0)&amp;"%"</f>
      </c>
    </row>
    <row x14ac:dyDescent="0.25" r="10" customHeight="1" ht="17.25">
      <c r="A10" s="17" t="s">
        <v>6008</v>
      </c>
      <c r="B10" s="17" t="s">
        <v>38</v>
      </c>
      <c r="C10" s="17" t="s">
        <v>15</v>
      </c>
      <c r="D10" s="17" t="s">
        <v>39</v>
      </c>
      <c r="E10" s="18">
        <f>ROUND(12310*1.05,2)</f>
      </c>
      <c r="F10" s="17" t="s">
        <v>40</v>
      </c>
      <c r="G10" s="17" t="s">
        <v>24</v>
      </c>
      <c r="H10" s="18">
        <f>ROUND(RAND()*4+6,1)</f>
      </c>
      <c r="I10" s="17" t="s">
        <v>41</v>
      </c>
      <c r="J10" s="19">
        <f>ROUND(97*1,0)&amp;"%"</f>
      </c>
    </row>
    <row x14ac:dyDescent="0.25" r="11" customHeight="1" ht="17.25">
      <c r="A11" s="20" t="s">
        <v>6009</v>
      </c>
      <c r="B11" s="20" t="s">
        <v>43</v>
      </c>
      <c r="C11" s="20" t="s">
        <v>15</v>
      </c>
      <c r="D11" s="20" t="s">
        <v>67</v>
      </c>
      <c r="E11" s="21">
        <f>ROUND(12697*1.05,2)</f>
      </c>
      <c r="F11" s="20" t="s">
        <v>44</v>
      </c>
      <c r="G11" s="20" t="s">
        <v>30</v>
      </c>
      <c r="H11" s="21">
        <f>ROUND(RAND()*4+6,1)</f>
      </c>
      <c r="I11" s="20" t="s">
        <v>45</v>
      </c>
      <c r="J11" s="23">
        <f>ROUND(78*1,0)&amp;"%"</f>
      </c>
    </row>
    <row x14ac:dyDescent="0.25" r="12" customHeight="1" ht="17.25">
      <c r="A12" s="17" t="s">
        <v>6010</v>
      </c>
      <c r="B12" s="17" t="s">
        <v>47</v>
      </c>
      <c r="C12" s="17" t="s">
        <v>15</v>
      </c>
      <c r="D12" s="17" t="s">
        <v>16</v>
      </c>
      <c r="E12" s="18">
        <f>ROUND(6206*1.05,2)</f>
      </c>
      <c r="F12" s="17" t="s">
        <v>48</v>
      </c>
      <c r="G12" s="17" t="s">
        <v>18</v>
      </c>
      <c r="H12" s="18">
        <f>ROUND(RAND()*4+6,1)</f>
      </c>
      <c r="I12" s="17" t="s">
        <v>19</v>
      </c>
      <c r="J12" s="19">
        <f>ROUND(81*1,0)&amp;"%"</f>
      </c>
    </row>
    <row x14ac:dyDescent="0.25" r="13" customHeight="1" ht="17.25">
      <c r="A13" s="20" t="s">
        <v>6011</v>
      </c>
      <c r="B13" s="20" t="s">
        <v>50</v>
      </c>
      <c r="C13" s="20" t="s">
        <v>15</v>
      </c>
      <c r="D13" s="20" t="s">
        <v>22</v>
      </c>
      <c r="E13" s="21">
        <f>ROUND(9326*1.05,2)</f>
      </c>
      <c r="F13" s="20" t="s">
        <v>51</v>
      </c>
      <c r="G13" s="20" t="s">
        <v>24</v>
      </c>
      <c r="H13" s="21">
        <f>ROUND(RAND()*4+6,1)</f>
      </c>
      <c r="I13" s="20" t="s">
        <v>25</v>
      </c>
      <c r="J13" s="23">
        <f>ROUND(68*1,0)&amp;"%"</f>
      </c>
    </row>
    <row x14ac:dyDescent="0.25" r="14" customHeight="1" ht="17.25">
      <c r="A14" s="24" t="s">
        <v>52</v>
      </c>
      <c r="B14" s="24"/>
      <c r="C14" s="24"/>
      <c r="D14" s="24"/>
      <c r="E14" s="25">
        <v>8</v>
      </c>
      <c r="F14" s="9"/>
      <c r="G14" s="9"/>
      <c r="H14" s="10"/>
      <c r="I14" s="9"/>
      <c r="J14" s="9"/>
    </row>
    <row x14ac:dyDescent="0.25" r="15" customHeight="1" ht="17.25">
      <c r="A15" s="7"/>
      <c r="B15" s="7"/>
      <c r="C15" s="7"/>
      <c r="D15" s="7"/>
      <c r="E15" s="8"/>
      <c r="F15" s="9"/>
      <c r="G15" s="9"/>
      <c r="H15" s="10"/>
      <c r="I15" s="9"/>
      <c r="J15" s="9"/>
    </row>
    <row x14ac:dyDescent="0.25" r="16" customHeight="1" ht="17.25">
      <c r="A16" s="11" t="s">
        <v>6012</v>
      </c>
      <c r="B16" s="11"/>
      <c r="C16" s="11"/>
      <c r="D16" s="11"/>
      <c r="E16" s="12"/>
      <c r="F16" s="11"/>
      <c r="G16" s="11"/>
      <c r="H16" s="13"/>
      <c r="I16" s="11"/>
      <c r="J16" s="11"/>
    </row>
    <row x14ac:dyDescent="0.25" r="17" customHeight="1" ht="17.25">
      <c r="A17" s="14" t="s">
        <v>3</v>
      </c>
      <c r="B17" s="14" t="s">
        <v>4</v>
      </c>
      <c r="C17" s="14" t="s">
        <v>5</v>
      </c>
      <c r="D17" s="14" t="s">
        <v>6</v>
      </c>
      <c r="E17" s="15" t="s">
        <v>7</v>
      </c>
      <c r="F17" s="14" t="s">
        <v>8</v>
      </c>
      <c r="G17" s="14" t="s">
        <v>9</v>
      </c>
      <c r="H17" s="16" t="s">
        <v>10</v>
      </c>
      <c r="I17" s="14" t="s">
        <v>11</v>
      </c>
      <c r="J17" s="14" t="s">
        <v>12</v>
      </c>
    </row>
    <row x14ac:dyDescent="0.25" r="18" customHeight="1" ht="17.25">
      <c r="A18" s="17" t="s">
        <v>6013</v>
      </c>
      <c r="B18" s="17" t="s">
        <v>55</v>
      </c>
      <c r="C18" s="17" t="s">
        <v>56</v>
      </c>
      <c r="D18" s="17" t="s">
        <v>16</v>
      </c>
      <c r="E18" s="18">
        <f>ROUND(17208*1.05,2)</f>
      </c>
      <c r="F18" s="17" t="s">
        <v>17</v>
      </c>
      <c r="G18" s="17" t="s">
        <v>18</v>
      </c>
      <c r="H18" s="18">
        <f>ROUND(RAND()*4+6,1)</f>
      </c>
      <c r="I18" s="17" t="s">
        <v>19</v>
      </c>
      <c r="J18" s="19">
        <f>ROUND(79*1,0)&amp;"%"</f>
      </c>
    </row>
    <row x14ac:dyDescent="0.25" r="19" customHeight="1" ht="17.25">
      <c r="A19" s="20" t="s">
        <v>6014</v>
      </c>
      <c r="B19" s="20" t="s">
        <v>58</v>
      </c>
      <c r="C19" s="20" t="s">
        <v>56</v>
      </c>
      <c r="D19" s="20" t="s">
        <v>22</v>
      </c>
      <c r="E19" s="21">
        <f>ROUND(7751*1.05,2)</f>
      </c>
      <c r="F19" s="20" t="s">
        <v>23</v>
      </c>
      <c r="G19" s="20" t="s">
        <v>24</v>
      </c>
      <c r="H19" s="21">
        <f>ROUND(RAND()*4+6,1)</f>
      </c>
      <c r="I19" s="20" t="s">
        <v>25</v>
      </c>
      <c r="J19" s="23">
        <f>ROUND(73*1,0)&amp;"%"</f>
      </c>
    </row>
    <row x14ac:dyDescent="0.25" r="20" customHeight="1" ht="17.25">
      <c r="A20" s="17" t="s">
        <v>6015</v>
      </c>
      <c r="B20" s="17" t="s">
        <v>60</v>
      </c>
      <c r="C20" s="17" t="s">
        <v>56</v>
      </c>
      <c r="D20" s="17" t="s">
        <v>28</v>
      </c>
      <c r="E20" s="18">
        <f>ROUND(11350*1.05,2)</f>
      </c>
      <c r="F20" s="17" t="s">
        <v>29</v>
      </c>
      <c r="G20" s="17" t="s">
        <v>30</v>
      </c>
      <c r="H20" s="18">
        <f>ROUND(RAND()*4+6,1)</f>
      </c>
      <c r="I20" s="17" t="s">
        <v>31</v>
      </c>
      <c r="J20" s="19">
        <f>ROUND(68*1,0)&amp;"%"</f>
      </c>
    </row>
    <row x14ac:dyDescent="0.25" r="21" customHeight="1" ht="17.25">
      <c r="A21" s="20" t="s">
        <v>6016</v>
      </c>
      <c r="B21" s="20" t="s">
        <v>62</v>
      </c>
      <c r="C21" s="20" t="s">
        <v>56</v>
      </c>
      <c r="D21" s="20" t="s">
        <v>34</v>
      </c>
      <c r="E21" s="21">
        <f>ROUND(15206*1.05,2)</f>
      </c>
      <c r="F21" s="20" t="s">
        <v>35</v>
      </c>
      <c r="G21" s="20" t="s">
        <v>18</v>
      </c>
      <c r="H21" s="21">
        <f>ROUND(RAND()*4+6,1)</f>
      </c>
      <c r="I21" s="20" t="s">
        <v>36</v>
      </c>
      <c r="J21" s="23">
        <f>ROUND(65*1,0)&amp;"%"</f>
      </c>
    </row>
    <row x14ac:dyDescent="0.25" r="22" customHeight="1" ht="17.25">
      <c r="A22" s="17" t="s">
        <v>6017</v>
      </c>
      <c r="B22" s="17" t="s">
        <v>64</v>
      </c>
      <c r="C22" s="17" t="s">
        <v>56</v>
      </c>
      <c r="D22" s="17" t="s">
        <v>39</v>
      </c>
      <c r="E22" s="18">
        <f>ROUND(11939*1.05,2)</f>
      </c>
      <c r="F22" s="17" t="s">
        <v>40</v>
      </c>
      <c r="G22" s="17" t="s">
        <v>24</v>
      </c>
      <c r="H22" s="18">
        <f>ROUND(RAND()*4+6,1)</f>
      </c>
      <c r="I22" s="17" t="s">
        <v>41</v>
      </c>
      <c r="J22" s="19">
        <f>ROUND(64*1,0)&amp;"%"</f>
      </c>
    </row>
    <row x14ac:dyDescent="0.25" r="23" customHeight="1" ht="17.25">
      <c r="A23" s="20" t="s">
        <v>6018</v>
      </c>
      <c r="B23" s="20" t="s">
        <v>66</v>
      </c>
      <c r="C23" s="20" t="s">
        <v>56</v>
      </c>
      <c r="D23" s="20" t="s">
        <v>67</v>
      </c>
      <c r="E23" s="21">
        <f>ROUND(9367*1.05,2)</f>
      </c>
      <c r="F23" s="20" t="s">
        <v>44</v>
      </c>
      <c r="G23" s="20" t="s">
        <v>30</v>
      </c>
      <c r="H23" s="21">
        <f>ROUND(RAND()*4+6,1)</f>
      </c>
      <c r="I23" s="20" t="s">
        <v>45</v>
      </c>
      <c r="J23" s="23">
        <f>ROUND(80*1,0)&amp;"%"</f>
      </c>
    </row>
    <row x14ac:dyDescent="0.25" r="24" customHeight="1" ht="17.25">
      <c r="A24" s="17" t="s">
        <v>6019</v>
      </c>
      <c r="B24" s="17" t="s">
        <v>69</v>
      </c>
      <c r="C24" s="17" t="s">
        <v>56</v>
      </c>
      <c r="D24" s="17" t="s">
        <v>16</v>
      </c>
      <c r="E24" s="18">
        <f>ROUND(7624*1.05,2)</f>
      </c>
      <c r="F24" s="17" t="s">
        <v>48</v>
      </c>
      <c r="G24" s="17" t="s">
        <v>18</v>
      </c>
      <c r="H24" s="26">
        <f>ROUND(RAND()*4+6,1)</f>
      </c>
      <c r="I24" s="17" t="s">
        <v>19</v>
      </c>
      <c r="J24" s="19">
        <f>ROUND(73*1,0)&amp;"%"</f>
      </c>
    </row>
    <row x14ac:dyDescent="0.25" r="25" customHeight="1" ht="17.25">
      <c r="A25" s="20" t="s">
        <v>6020</v>
      </c>
      <c r="B25" s="20" t="s">
        <v>71</v>
      </c>
      <c r="C25" s="20" t="s">
        <v>56</v>
      </c>
      <c r="D25" s="20" t="s">
        <v>22</v>
      </c>
      <c r="E25" s="21">
        <f>ROUND(12977*1.05,2)</f>
      </c>
      <c r="F25" s="20" t="s">
        <v>51</v>
      </c>
      <c r="G25" s="20" t="s">
        <v>24</v>
      </c>
      <c r="H25" s="21">
        <f>ROUND(RAND()*4+6,1)</f>
      </c>
      <c r="I25" s="20" t="s">
        <v>25</v>
      </c>
      <c r="J25" s="23">
        <f>ROUND(91*1,0)&amp;"%"</f>
      </c>
    </row>
    <row x14ac:dyDescent="0.25" r="26" customHeight="1" ht="17.25">
      <c r="A26" s="24" t="s">
        <v>72</v>
      </c>
      <c r="B26" s="24"/>
      <c r="C26" s="24"/>
      <c r="D26" s="24"/>
      <c r="E26" s="25">
        <v>8</v>
      </c>
      <c r="F26" s="9"/>
      <c r="G26" s="9"/>
      <c r="H26" s="10"/>
      <c r="I26" s="9"/>
      <c r="J26" s="9"/>
    </row>
    <row x14ac:dyDescent="0.25" r="27" customHeight="1" ht="17.25">
      <c r="A27" s="7"/>
      <c r="B27" s="7"/>
      <c r="C27" s="7"/>
      <c r="D27" s="7"/>
      <c r="E27" s="8"/>
      <c r="F27" s="9"/>
      <c r="G27" s="9"/>
      <c r="H27" s="10"/>
      <c r="I27" s="9"/>
      <c r="J27" s="9"/>
    </row>
    <row x14ac:dyDescent="0.25" r="28" customHeight="1" ht="17.25">
      <c r="A28" s="11" t="s">
        <v>6021</v>
      </c>
      <c r="B28" s="11"/>
      <c r="C28" s="11"/>
      <c r="D28" s="11"/>
      <c r="E28" s="12"/>
      <c r="F28" s="11"/>
      <c r="G28" s="11"/>
      <c r="H28" s="13"/>
      <c r="I28" s="11"/>
      <c r="J28" s="11"/>
    </row>
    <row x14ac:dyDescent="0.25" r="29" customHeight="1" ht="17.25">
      <c r="A29" s="14" t="s">
        <v>3</v>
      </c>
      <c r="B29" s="14" t="s">
        <v>4</v>
      </c>
      <c r="C29" s="14" t="s">
        <v>5</v>
      </c>
      <c r="D29" s="14" t="s">
        <v>6</v>
      </c>
      <c r="E29" s="15" t="s">
        <v>7</v>
      </c>
      <c r="F29" s="14" t="s">
        <v>8</v>
      </c>
      <c r="G29" s="14" t="s">
        <v>9</v>
      </c>
      <c r="H29" s="16" t="s">
        <v>10</v>
      </c>
      <c r="I29" s="14" t="s">
        <v>11</v>
      </c>
      <c r="J29" s="14" t="s">
        <v>12</v>
      </c>
    </row>
    <row x14ac:dyDescent="0.25" r="30" customHeight="1" ht="17.25">
      <c r="A30" s="17" t="s">
        <v>6022</v>
      </c>
      <c r="B30" s="17" t="s">
        <v>75</v>
      </c>
      <c r="C30" s="17" t="s">
        <v>76</v>
      </c>
      <c r="D30" s="17" t="s">
        <v>16</v>
      </c>
      <c r="E30" s="18">
        <f>ROUND(7555*1.05,2)</f>
      </c>
      <c r="F30" s="17" t="s">
        <v>17</v>
      </c>
      <c r="G30" s="17" t="s">
        <v>18</v>
      </c>
      <c r="H30" s="18">
        <f>ROUND(RAND()*4+6,1)</f>
      </c>
      <c r="I30" s="17" t="s">
        <v>19</v>
      </c>
      <c r="J30" s="19">
        <f>ROUND(71*1,0)&amp;"%"</f>
      </c>
    </row>
    <row x14ac:dyDescent="0.25" r="31" customHeight="1" ht="17.25">
      <c r="A31" s="20" t="s">
        <v>6023</v>
      </c>
      <c r="B31" s="20" t="s">
        <v>78</v>
      </c>
      <c r="C31" s="20" t="s">
        <v>76</v>
      </c>
      <c r="D31" s="20" t="s">
        <v>22</v>
      </c>
      <c r="E31" s="21">
        <f>ROUND(5441*1.05,2)</f>
      </c>
      <c r="F31" s="20" t="s">
        <v>23</v>
      </c>
      <c r="G31" s="20" t="s">
        <v>24</v>
      </c>
      <c r="H31" s="21">
        <f>ROUND(RAND()*4+6,1)</f>
      </c>
      <c r="I31" s="20" t="s">
        <v>25</v>
      </c>
      <c r="J31" s="23">
        <f>ROUND(85*1,0)&amp;"%"</f>
      </c>
    </row>
    <row x14ac:dyDescent="0.25" r="32" customHeight="1" ht="17.25">
      <c r="A32" s="17" t="s">
        <v>6024</v>
      </c>
      <c r="B32" s="17" t="s">
        <v>80</v>
      </c>
      <c r="C32" s="17" t="s">
        <v>76</v>
      </c>
      <c r="D32" s="17" t="s">
        <v>28</v>
      </c>
      <c r="E32" s="18">
        <f>ROUND(13952*1.05,2)</f>
      </c>
      <c r="F32" s="17" t="s">
        <v>29</v>
      </c>
      <c r="G32" s="17" t="s">
        <v>30</v>
      </c>
      <c r="H32" s="18">
        <f>ROUND(RAND()*4+6,1)</f>
      </c>
      <c r="I32" s="17" t="s">
        <v>31</v>
      </c>
      <c r="J32" s="19">
        <f>ROUND(79*1,0)&amp;"%"</f>
      </c>
    </row>
    <row x14ac:dyDescent="0.25" r="33" customHeight="1" ht="17.25">
      <c r="A33" s="20" t="s">
        <v>6025</v>
      </c>
      <c r="B33" s="20" t="s">
        <v>82</v>
      </c>
      <c r="C33" s="20" t="s">
        <v>76</v>
      </c>
      <c r="D33" s="20" t="s">
        <v>34</v>
      </c>
      <c r="E33" s="21">
        <f>ROUND(4499*1.05,2)</f>
      </c>
      <c r="F33" s="20" t="s">
        <v>35</v>
      </c>
      <c r="G33" s="20" t="s">
        <v>18</v>
      </c>
      <c r="H33" s="21">
        <f>ROUND(RAND()*4+6,1)</f>
      </c>
      <c r="I33" s="20" t="s">
        <v>36</v>
      </c>
      <c r="J33" s="23">
        <f>ROUND(88*1,0)&amp;"%"</f>
      </c>
    </row>
    <row x14ac:dyDescent="0.25" r="34" customHeight="1" ht="17.25">
      <c r="A34" s="17" t="s">
        <v>6026</v>
      </c>
      <c r="B34" s="17" t="s">
        <v>84</v>
      </c>
      <c r="C34" s="17" t="s">
        <v>76</v>
      </c>
      <c r="D34" s="17" t="s">
        <v>39</v>
      </c>
      <c r="E34" s="18">
        <f>ROUND(9804*1.05,2)</f>
      </c>
      <c r="F34" s="17" t="s">
        <v>40</v>
      </c>
      <c r="G34" s="17" t="s">
        <v>24</v>
      </c>
      <c r="H34" s="18">
        <f>ROUND(RAND()*4+6,1)</f>
      </c>
      <c r="I34" s="17" t="s">
        <v>41</v>
      </c>
      <c r="J34" s="19">
        <f>ROUND(87*1,0)&amp;"%"</f>
      </c>
    </row>
    <row x14ac:dyDescent="0.25" r="35" customHeight="1" ht="17.25">
      <c r="A35" s="20" t="s">
        <v>6027</v>
      </c>
      <c r="B35" s="20" t="s">
        <v>86</v>
      </c>
      <c r="C35" s="20" t="s">
        <v>76</v>
      </c>
      <c r="D35" s="20" t="s">
        <v>67</v>
      </c>
      <c r="E35" s="21">
        <f>ROUND(10276*1.05,2)</f>
      </c>
      <c r="F35" s="20" t="s">
        <v>44</v>
      </c>
      <c r="G35" s="20" t="s">
        <v>30</v>
      </c>
      <c r="H35" s="21">
        <f>ROUND(RAND()*4+6,1)</f>
      </c>
      <c r="I35" s="20" t="s">
        <v>45</v>
      </c>
      <c r="J35" s="23">
        <f>ROUND(74*1,0)&amp;"%"</f>
      </c>
    </row>
    <row x14ac:dyDescent="0.25" r="36" customHeight="1" ht="17.25">
      <c r="A36" s="17" t="s">
        <v>6028</v>
      </c>
      <c r="B36" s="17" t="s">
        <v>88</v>
      </c>
      <c r="C36" s="17" t="s">
        <v>76</v>
      </c>
      <c r="D36" s="17" t="s">
        <v>16</v>
      </c>
      <c r="E36" s="18">
        <f>ROUND(10732*1.05,2)</f>
      </c>
      <c r="F36" s="17" t="s">
        <v>48</v>
      </c>
      <c r="G36" s="17" t="s">
        <v>18</v>
      </c>
      <c r="H36" s="18">
        <f>ROUND(RAND()*4+6,1)</f>
      </c>
      <c r="I36" s="17" t="s">
        <v>19</v>
      </c>
      <c r="J36" s="19">
        <f>ROUND(72*1,0)&amp;"%"</f>
      </c>
    </row>
    <row x14ac:dyDescent="0.25" r="37" customHeight="1" ht="17.25">
      <c r="A37" s="20" t="s">
        <v>6029</v>
      </c>
      <c r="B37" s="20" t="s">
        <v>90</v>
      </c>
      <c r="C37" s="20" t="s">
        <v>76</v>
      </c>
      <c r="D37" s="20" t="s">
        <v>22</v>
      </c>
      <c r="E37" s="21">
        <f>ROUND(4967*1.05,2)</f>
      </c>
      <c r="F37" s="20" t="s">
        <v>51</v>
      </c>
      <c r="G37" s="20" t="s">
        <v>24</v>
      </c>
      <c r="H37" s="21">
        <f>ROUND(RAND()*4+6,1)</f>
      </c>
      <c r="I37" s="20" t="s">
        <v>25</v>
      </c>
      <c r="J37" s="23">
        <f>ROUND(65*1,0)&amp;"%"</f>
      </c>
    </row>
    <row x14ac:dyDescent="0.25" r="38" customHeight="1" ht="17.25">
      <c r="A38" s="24" t="s">
        <v>91</v>
      </c>
      <c r="B38" s="24"/>
      <c r="C38" s="24"/>
      <c r="D38" s="24"/>
      <c r="E38" s="25">
        <v>8</v>
      </c>
      <c r="F38" s="9"/>
      <c r="G38" s="9"/>
      <c r="H38" s="10"/>
      <c r="I38" s="9"/>
      <c r="J38" s="9"/>
    </row>
    <row x14ac:dyDescent="0.25" r="39" customHeight="1" ht="17.25">
      <c r="A39" s="7"/>
      <c r="B39" s="7"/>
      <c r="C39" s="7"/>
      <c r="D39" s="7"/>
      <c r="E39" s="8"/>
      <c r="F39" s="9"/>
      <c r="G39" s="9"/>
      <c r="H39" s="10"/>
      <c r="I39" s="9"/>
      <c r="J39" s="9"/>
    </row>
    <row x14ac:dyDescent="0.25" r="40" customHeight="1" ht="17.25">
      <c r="A40" s="11" t="s">
        <v>6030</v>
      </c>
      <c r="B40" s="11"/>
      <c r="C40" s="11"/>
      <c r="D40" s="11"/>
      <c r="E40" s="12"/>
      <c r="F40" s="11"/>
      <c r="G40" s="11"/>
      <c r="H40" s="13"/>
      <c r="I40" s="11"/>
      <c r="J40" s="11"/>
    </row>
    <row x14ac:dyDescent="0.25" r="41" customHeight="1" ht="17.25">
      <c r="A41" s="14" t="s">
        <v>3</v>
      </c>
      <c r="B41" s="14" t="s">
        <v>4</v>
      </c>
      <c r="C41" s="14" t="s">
        <v>5</v>
      </c>
      <c r="D41" s="14" t="s">
        <v>6</v>
      </c>
      <c r="E41" s="15" t="s">
        <v>7</v>
      </c>
      <c r="F41" s="14" t="s">
        <v>8</v>
      </c>
      <c r="G41" s="14" t="s">
        <v>9</v>
      </c>
      <c r="H41" s="16" t="s">
        <v>10</v>
      </c>
      <c r="I41" s="14" t="s">
        <v>11</v>
      </c>
      <c r="J41" s="14" t="s">
        <v>12</v>
      </c>
    </row>
    <row x14ac:dyDescent="0.25" r="42" customHeight="1" ht="17.25">
      <c r="A42" s="17" t="s">
        <v>6031</v>
      </c>
      <c r="B42" s="17" t="s">
        <v>94</v>
      </c>
      <c r="C42" s="17" t="s">
        <v>95</v>
      </c>
      <c r="D42" s="17" t="s">
        <v>16</v>
      </c>
      <c r="E42" s="18">
        <f>ROUND(9938*1.05,2)</f>
      </c>
      <c r="F42" s="17" t="s">
        <v>17</v>
      </c>
      <c r="G42" s="17" t="s">
        <v>18</v>
      </c>
      <c r="H42" s="18">
        <f>ROUND(RAND()*4+6,1)</f>
      </c>
      <c r="I42" s="17" t="s">
        <v>19</v>
      </c>
      <c r="J42" s="19">
        <f>ROUND(86*1,0)&amp;"%"</f>
      </c>
    </row>
    <row x14ac:dyDescent="0.25" r="43" customHeight="1" ht="17.25">
      <c r="A43" s="20" t="s">
        <v>6032</v>
      </c>
      <c r="B43" s="20" t="s">
        <v>97</v>
      </c>
      <c r="C43" s="20" t="s">
        <v>95</v>
      </c>
      <c r="D43" s="20" t="s">
        <v>22</v>
      </c>
      <c r="E43" s="21">
        <f>ROUND(16999*1.05,2)</f>
      </c>
      <c r="F43" s="20" t="s">
        <v>23</v>
      </c>
      <c r="G43" s="20" t="s">
        <v>24</v>
      </c>
      <c r="H43" s="21">
        <f>ROUND(RAND()*4+6,1)</f>
      </c>
      <c r="I43" s="20" t="s">
        <v>25</v>
      </c>
      <c r="J43" s="23">
        <f>ROUND(78*1,0)&amp;"%"</f>
      </c>
    </row>
    <row x14ac:dyDescent="0.25" r="44" customHeight="1" ht="17.25">
      <c r="A44" s="17" t="s">
        <v>6033</v>
      </c>
      <c r="B44" s="17" t="s">
        <v>99</v>
      </c>
      <c r="C44" s="17" t="s">
        <v>95</v>
      </c>
      <c r="D44" s="17" t="s">
        <v>28</v>
      </c>
      <c r="E44" s="18">
        <f>ROUND(14681*1.05,2)</f>
      </c>
      <c r="F44" s="17" t="s">
        <v>29</v>
      </c>
      <c r="G44" s="17" t="s">
        <v>30</v>
      </c>
      <c r="H44" s="18">
        <f>ROUND(RAND()*4+6,1)</f>
      </c>
      <c r="I44" s="17" t="s">
        <v>31</v>
      </c>
      <c r="J44" s="19">
        <f>ROUND(82*1,0)&amp;"%"</f>
      </c>
    </row>
    <row x14ac:dyDescent="0.25" r="45" customHeight="1" ht="17.25">
      <c r="A45" s="20" t="s">
        <v>6034</v>
      </c>
      <c r="B45" s="20" t="s">
        <v>101</v>
      </c>
      <c r="C45" s="20" t="s">
        <v>95</v>
      </c>
      <c r="D45" s="20" t="s">
        <v>34</v>
      </c>
      <c r="E45" s="21">
        <f>ROUND(17662*1.05,2)</f>
      </c>
      <c r="F45" s="20" t="s">
        <v>35</v>
      </c>
      <c r="G45" s="20" t="s">
        <v>18</v>
      </c>
      <c r="H45" s="21">
        <f>ROUND(RAND()*4+6,1)</f>
      </c>
      <c r="I45" s="20" t="s">
        <v>36</v>
      </c>
      <c r="J45" s="23">
        <f>ROUND(98*1,0)&amp;"%"</f>
      </c>
    </row>
    <row x14ac:dyDescent="0.25" r="46" customHeight="1" ht="17.25">
      <c r="A46" s="17" t="s">
        <v>6035</v>
      </c>
      <c r="B46" s="17" t="s">
        <v>103</v>
      </c>
      <c r="C46" s="17" t="s">
        <v>95</v>
      </c>
      <c r="D46" s="17" t="s">
        <v>39</v>
      </c>
      <c r="E46" s="18">
        <f>ROUND(11938*1.05,2)</f>
      </c>
      <c r="F46" s="17" t="s">
        <v>40</v>
      </c>
      <c r="G46" s="17" t="s">
        <v>24</v>
      </c>
      <c r="H46" s="18">
        <f>ROUND(RAND()*4+6,1)</f>
      </c>
      <c r="I46" s="17" t="s">
        <v>41</v>
      </c>
      <c r="J46" s="19">
        <f>ROUND(71*1,0)&amp;"%"</f>
      </c>
    </row>
    <row x14ac:dyDescent="0.25" r="47" customHeight="1" ht="17.25">
      <c r="A47" s="20" t="s">
        <v>6036</v>
      </c>
      <c r="B47" s="20" t="s">
        <v>105</v>
      </c>
      <c r="C47" s="20" t="s">
        <v>95</v>
      </c>
      <c r="D47" s="20" t="s">
        <v>67</v>
      </c>
      <c r="E47" s="21">
        <f>ROUND(5625*1.05,2)</f>
      </c>
      <c r="F47" s="20" t="s">
        <v>44</v>
      </c>
      <c r="G47" s="20" t="s">
        <v>30</v>
      </c>
      <c r="H47" s="21">
        <f>ROUND(RAND()*4+6,1)</f>
      </c>
      <c r="I47" s="20" t="s">
        <v>45</v>
      </c>
      <c r="J47" s="23">
        <f>ROUND(70*1,0)&amp;"%"</f>
      </c>
    </row>
    <row x14ac:dyDescent="0.25" r="48" customHeight="1" ht="17.25">
      <c r="A48" s="17" t="s">
        <v>6037</v>
      </c>
      <c r="B48" s="17" t="s">
        <v>107</v>
      </c>
      <c r="C48" s="17" t="s">
        <v>95</v>
      </c>
      <c r="D48" s="17" t="s">
        <v>16</v>
      </c>
      <c r="E48" s="18">
        <f>ROUND(16205*1.05,2)</f>
      </c>
      <c r="F48" s="17" t="s">
        <v>48</v>
      </c>
      <c r="G48" s="17" t="s">
        <v>18</v>
      </c>
      <c r="H48" s="26">
        <f>ROUND(RAND()*4+6,1)</f>
      </c>
      <c r="I48" s="17" t="s">
        <v>19</v>
      </c>
      <c r="J48" s="19">
        <f>ROUND(61*1,0)&amp;"%"</f>
      </c>
    </row>
    <row x14ac:dyDescent="0.25" r="49" customHeight="1" ht="17.25">
      <c r="A49" s="20" t="s">
        <v>6038</v>
      </c>
      <c r="B49" s="20" t="s">
        <v>109</v>
      </c>
      <c r="C49" s="20" t="s">
        <v>95</v>
      </c>
      <c r="D49" s="20" t="s">
        <v>22</v>
      </c>
      <c r="E49" s="22">
        <f>ROUND(10980*1.05,2)</f>
      </c>
      <c r="F49" s="20" t="s">
        <v>51</v>
      </c>
      <c r="G49" s="20" t="s">
        <v>24</v>
      </c>
      <c r="H49" s="21">
        <f>ROUND(RAND()*4+6,1)</f>
      </c>
      <c r="I49" s="20" t="s">
        <v>25</v>
      </c>
      <c r="J49" s="23">
        <f>ROUND(63*1,0)&amp;"%"</f>
      </c>
    </row>
    <row x14ac:dyDescent="0.25" r="50" customHeight="1" ht="17.25">
      <c r="A50" s="24" t="s">
        <v>110</v>
      </c>
      <c r="B50" s="24"/>
      <c r="C50" s="24"/>
      <c r="D50" s="24"/>
      <c r="E50" s="25">
        <v>8</v>
      </c>
      <c r="F50" s="9"/>
      <c r="G50" s="9"/>
      <c r="H50" s="10"/>
      <c r="I50" s="9"/>
      <c r="J50" s="9"/>
    </row>
    <row x14ac:dyDescent="0.25" r="51" customHeight="1" ht="17.25">
      <c r="A51" s="7"/>
      <c r="B51" s="7"/>
      <c r="C51" s="7"/>
      <c r="D51" s="7"/>
      <c r="E51" s="8"/>
      <c r="F51" s="9"/>
      <c r="G51" s="9"/>
      <c r="H51" s="10"/>
      <c r="I51" s="9"/>
      <c r="J51" s="9"/>
    </row>
    <row x14ac:dyDescent="0.25" r="52" customHeight="1" ht="17.25">
      <c r="A52" s="11" t="s">
        <v>6039</v>
      </c>
      <c r="B52" s="11"/>
      <c r="C52" s="11"/>
      <c r="D52" s="11"/>
      <c r="E52" s="12"/>
      <c r="F52" s="11"/>
      <c r="G52" s="11"/>
      <c r="H52" s="13"/>
      <c r="I52" s="11"/>
      <c r="J52" s="11"/>
    </row>
    <row x14ac:dyDescent="0.25" r="53" customHeight="1" ht="17.25">
      <c r="A53" s="14" t="s">
        <v>3</v>
      </c>
      <c r="B53" s="14" t="s">
        <v>4</v>
      </c>
      <c r="C53" s="14" t="s">
        <v>5</v>
      </c>
      <c r="D53" s="14" t="s">
        <v>6</v>
      </c>
      <c r="E53" s="15" t="s">
        <v>7</v>
      </c>
      <c r="F53" s="14" t="s">
        <v>8</v>
      </c>
      <c r="G53" s="14" t="s">
        <v>9</v>
      </c>
      <c r="H53" s="16" t="s">
        <v>10</v>
      </c>
      <c r="I53" s="14" t="s">
        <v>11</v>
      </c>
      <c r="J53" s="14" t="s">
        <v>12</v>
      </c>
    </row>
    <row x14ac:dyDescent="0.25" r="54" customHeight="1" ht="17.25">
      <c r="A54" s="17" t="s">
        <v>6040</v>
      </c>
      <c r="B54" s="17" t="s">
        <v>113</v>
      </c>
      <c r="C54" s="17" t="s">
        <v>114</v>
      </c>
      <c r="D54" s="17" t="s">
        <v>16</v>
      </c>
      <c r="E54" s="18">
        <f>ROUND(4277*1.05,2)</f>
      </c>
      <c r="F54" s="17" t="s">
        <v>17</v>
      </c>
      <c r="G54" s="17" t="s">
        <v>18</v>
      </c>
      <c r="H54" s="18">
        <f>ROUND(RAND()*4+6,1)</f>
      </c>
      <c r="I54" s="17" t="s">
        <v>19</v>
      </c>
      <c r="J54" s="19">
        <f>ROUND(81*1,0)&amp;"%"</f>
      </c>
    </row>
    <row x14ac:dyDescent="0.25" r="55" customHeight="1" ht="17.25">
      <c r="A55" s="20" t="s">
        <v>6041</v>
      </c>
      <c r="B55" s="20" t="s">
        <v>116</v>
      </c>
      <c r="C55" s="20" t="s">
        <v>114</v>
      </c>
      <c r="D55" s="20" t="s">
        <v>22</v>
      </c>
      <c r="E55" s="21">
        <f>ROUND(9230*1.05,2)</f>
      </c>
      <c r="F55" s="20" t="s">
        <v>23</v>
      </c>
      <c r="G55" s="20" t="s">
        <v>24</v>
      </c>
      <c r="H55" s="21">
        <f>ROUND(RAND()*4+6,1)</f>
      </c>
      <c r="I55" s="20" t="s">
        <v>25</v>
      </c>
      <c r="J55" s="23">
        <f>ROUND(97*1,0)&amp;"%"</f>
      </c>
    </row>
    <row x14ac:dyDescent="0.25" r="56" customHeight="1" ht="17.25">
      <c r="A56" s="17" t="s">
        <v>6042</v>
      </c>
      <c r="B56" s="17" t="s">
        <v>118</v>
      </c>
      <c r="C56" s="17" t="s">
        <v>114</v>
      </c>
      <c r="D56" s="17" t="s">
        <v>28</v>
      </c>
      <c r="E56" s="18">
        <f>ROUND(12088*1.05,2)</f>
      </c>
      <c r="F56" s="17" t="s">
        <v>29</v>
      </c>
      <c r="G56" s="17" t="s">
        <v>30</v>
      </c>
      <c r="H56" s="18">
        <f>ROUND(RAND()*4+6,1)</f>
      </c>
      <c r="I56" s="17" t="s">
        <v>31</v>
      </c>
      <c r="J56" s="19">
        <f>ROUND(71*1,0)&amp;"%"</f>
      </c>
    </row>
    <row x14ac:dyDescent="0.25" r="57" customHeight="1" ht="17.25">
      <c r="A57" s="20" t="s">
        <v>6043</v>
      </c>
      <c r="B57" s="20" t="s">
        <v>120</v>
      </c>
      <c r="C57" s="20" t="s">
        <v>114</v>
      </c>
      <c r="D57" s="20" t="s">
        <v>34</v>
      </c>
      <c r="E57" s="21">
        <f>ROUND(17261*1.05,2)</f>
      </c>
      <c r="F57" s="20" t="s">
        <v>35</v>
      </c>
      <c r="G57" s="20" t="s">
        <v>18</v>
      </c>
      <c r="H57" s="21">
        <f>ROUND(RAND()*4+6,1)</f>
      </c>
      <c r="I57" s="20" t="s">
        <v>36</v>
      </c>
      <c r="J57" s="23">
        <f>ROUND(66*1,0)&amp;"%"</f>
      </c>
    </row>
    <row x14ac:dyDescent="0.25" r="58" customHeight="1" ht="17.25">
      <c r="A58" s="17" t="s">
        <v>6044</v>
      </c>
      <c r="B58" s="17" t="s">
        <v>122</v>
      </c>
      <c r="C58" s="17" t="s">
        <v>114</v>
      </c>
      <c r="D58" s="17" t="s">
        <v>39</v>
      </c>
      <c r="E58" s="18">
        <f>ROUND(4394*1.05,2)</f>
      </c>
      <c r="F58" s="17" t="s">
        <v>40</v>
      </c>
      <c r="G58" s="17" t="s">
        <v>24</v>
      </c>
      <c r="H58" s="18">
        <f>ROUND(RAND()*4+6,1)</f>
      </c>
      <c r="I58" s="17" t="s">
        <v>41</v>
      </c>
      <c r="J58" s="19">
        <f>ROUND(86*1,0)&amp;"%"</f>
      </c>
    </row>
    <row x14ac:dyDescent="0.25" r="59" customHeight="1" ht="17.25">
      <c r="A59" s="20" t="s">
        <v>6045</v>
      </c>
      <c r="B59" s="20" t="s">
        <v>124</v>
      </c>
      <c r="C59" s="20" t="s">
        <v>114</v>
      </c>
      <c r="D59" s="20" t="s">
        <v>67</v>
      </c>
      <c r="E59" s="21">
        <f>ROUND(7776*1.05,2)</f>
      </c>
      <c r="F59" s="20" t="s">
        <v>44</v>
      </c>
      <c r="G59" s="20" t="s">
        <v>30</v>
      </c>
      <c r="H59" s="21">
        <f>ROUND(RAND()*4+6,1)</f>
      </c>
      <c r="I59" s="20" t="s">
        <v>45</v>
      </c>
      <c r="J59" s="23">
        <f>ROUND(67*1,0)&amp;"%"</f>
      </c>
    </row>
    <row x14ac:dyDescent="0.25" r="60" customHeight="1" ht="17.25">
      <c r="A60" s="17" t="s">
        <v>6046</v>
      </c>
      <c r="B60" s="17" t="s">
        <v>126</v>
      </c>
      <c r="C60" s="17" t="s">
        <v>114</v>
      </c>
      <c r="D60" s="17" t="s">
        <v>16</v>
      </c>
      <c r="E60" s="18">
        <f>ROUND(9902*1.05,2)</f>
      </c>
      <c r="F60" s="17" t="s">
        <v>48</v>
      </c>
      <c r="G60" s="17" t="s">
        <v>18</v>
      </c>
      <c r="H60" s="26">
        <f>ROUND(RAND()*4+6,1)</f>
      </c>
      <c r="I60" s="17" t="s">
        <v>19</v>
      </c>
      <c r="J60" s="19">
        <f>ROUND(99*1,0)&amp;"%"</f>
      </c>
    </row>
    <row x14ac:dyDescent="0.25" r="61" customHeight="1" ht="17.25">
      <c r="A61" s="20" t="s">
        <v>6047</v>
      </c>
      <c r="B61" s="20" t="s">
        <v>128</v>
      </c>
      <c r="C61" s="20" t="s">
        <v>114</v>
      </c>
      <c r="D61" s="20" t="s">
        <v>22</v>
      </c>
      <c r="E61" s="21">
        <f>ROUND(13544*1.05,2)</f>
      </c>
      <c r="F61" s="20" t="s">
        <v>51</v>
      </c>
      <c r="G61" s="20" t="s">
        <v>24</v>
      </c>
      <c r="H61" s="21">
        <f>ROUND(RAND()*4+6,1)</f>
      </c>
      <c r="I61" s="20" t="s">
        <v>25</v>
      </c>
      <c r="J61" s="23">
        <f>ROUND(94*1,0)&amp;"%"</f>
      </c>
    </row>
    <row x14ac:dyDescent="0.25" r="62" customHeight="1" ht="17.25">
      <c r="A62" s="24" t="s">
        <v>129</v>
      </c>
      <c r="B62" s="24"/>
      <c r="C62" s="24"/>
      <c r="D62" s="24"/>
      <c r="E62" s="25">
        <v>8</v>
      </c>
      <c r="F62" s="9"/>
      <c r="G62" s="9"/>
      <c r="H62" s="10"/>
      <c r="I62" s="9"/>
      <c r="J62" s="9"/>
    </row>
    <row x14ac:dyDescent="0.25" r="63" customHeight="1" ht="17.25">
      <c r="A63" s="7"/>
      <c r="B63" s="7"/>
      <c r="C63" s="7"/>
      <c r="D63" s="7"/>
      <c r="E63" s="8"/>
      <c r="F63" s="9"/>
      <c r="G63" s="9"/>
      <c r="H63" s="10"/>
      <c r="I63" s="9"/>
      <c r="J63" s="9"/>
    </row>
    <row x14ac:dyDescent="0.25" r="64" customHeight="1" ht="17.25">
      <c r="A64" s="11" t="s">
        <v>6048</v>
      </c>
      <c r="B64" s="11"/>
      <c r="C64" s="11"/>
      <c r="D64" s="11"/>
      <c r="E64" s="12"/>
      <c r="F64" s="11"/>
      <c r="G64" s="11"/>
      <c r="H64" s="13"/>
      <c r="I64" s="11"/>
      <c r="J64" s="11"/>
    </row>
    <row x14ac:dyDescent="0.25" r="65" customHeight="1" ht="17.25">
      <c r="A65" s="14" t="s">
        <v>3</v>
      </c>
      <c r="B65" s="14" t="s">
        <v>4</v>
      </c>
      <c r="C65" s="14" t="s">
        <v>5</v>
      </c>
      <c r="D65" s="14" t="s">
        <v>6</v>
      </c>
      <c r="E65" s="15" t="s">
        <v>7</v>
      </c>
      <c r="F65" s="14" t="s">
        <v>8</v>
      </c>
      <c r="G65" s="14" t="s">
        <v>9</v>
      </c>
      <c r="H65" s="16" t="s">
        <v>10</v>
      </c>
      <c r="I65" s="14" t="s">
        <v>11</v>
      </c>
      <c r="J65" s="14" t="s">
        <v>12</v>
      </c>
    </row>
    <row x14ac:dyDescent="0.25" r="66" customHeight="1" ht="17.25">
      <c r="A66" s="17" t="s">
        <v>6049</v>
      </c>
      <c r="B66" s="17" t="s">
        <v>132</v>
      </c>
      <c r="C66" s="17" t="s">
        <v>133</v>
      </c>
      <c r="D66" s="17" t="s">
        <v>16</v>
      </c>
      <c r="E66" s="18">
        <f>ROUND(7375*1.05,2)</f>
      </c>
      <c r="F66" s="17" t="s">
        <v>17</v>
      </c>
      <c r="G66" s="17" t="s">
        <v>18</v>
      </c>
      <c r="H66" s="18">
        <f>ROUND(RAND()*4+6,1)</f>
      </c>
      <c r="I66" s="17" t="s">
        <v>19</v>
      </c>
      <c r="J66" s="19">
        <f>ROUND(73*1,0)&amp;"%"</f>
      </c>
    </row>
    <row x14ac:dyDescent="0.25" r="67" customHeight="1" ht="17.25">
      <c r="A67" s="20" t="s">
        <v>6050</v>
      </c>
      <c r="B67" s="20" t="s">
        <v>135</v>
      </c>
      <c r="C67" s="20" t="s">
        <v>133</v>
      </c>
      <c r="D67" s="20" t="s">
        <v>22</v>
      </c>
      <c r="E67" s="21">
        <f>ROUND(13222*1.05,2)</f>
      </c>
      <c r="F67" s="20" t="s">
        <v>23</v>
      </c>
      <c r="G67" s="20" t="s">
        <v>24</v>
      </c>
      <c r="H67" s="21">
        <f>ROUND(RAND()*4+6,1)</f>
      </c>
      <c r="I67" s="20" t="s">
        <v>25</v>
      </c>
      <c r="J67" s="23">
        <f>ROUND(98*1,0)&amp;"%"</f>
      </c>
    </row>
    <row x14ac:dyDescent="0.25" r="68" customHeight="1" ht="17.25">
      <c r="A68" s="17" t="s">
        <v>6051</v>
      </c>
      <c r="B68" s="17" t="s">
        <v>137</v>
      </c>
      <c r="C68" s="17" t="s">
        <v>133</v>
      </c>
      <c r="D68" s="17" t="s">
        <v>28</v>
      </c>
      <c r="E68" s="18">
        <f>ROUND(13294*1.05,2)</f>
      </c>
      <c r="F68" s="17" t="s">
        <v>29</v>
      </c>
      <c r="G68" s="17" t="s">
        <v>30</v>
      </c>
      <c r="H68" s="18">
        <f>ROUND(RAND()*4+6,1)</f>
      </c>
      <c r="I68" s="17" t="s">
        <v>31</v>
      </c>
      <c r="J68" s="19">
        <f>ROUND(64*1,0)&amp;"%"</f>
      </c>
    </row>
    <row x14ac:dyDescent="0.25" r="69" customHeight="1" ht="17.25">
      <c r="A69" s="20" t="s">
        <v>6052</v>
      </c>
      <c r="B69" s="20" t="s">
        <v>139</v>
      </c>
      <c r="C69" s="20" t="s">
        <v>133</v>
      </c>
      <c r="D69" s="20" t="s">
        <v>34</v>
      </c>
      <c r="E69" s="21">
        <f>ROUND(10283*1.05,2)</f>
      </c>
      <c r="F69" s="20" t="s">
        <v>35</v>
      </c>
      <c r="G69" s="20" t="s">
        <v>18</v>
      </c>
      <c r="H69" s="22">
        <f>ROUND(RAND()*4+6,1)</f>
      </c>
      <c r="I69" s="20" t="s">
        <v>36</v>
      </c>
      <c r="J69" s="23">
        <f>ROUND(74*1,0)&amp;"%"</f>
      </c>
    </row>
    <row x14ac:dyDescent="0.25" r="70" customHeight="1" ht="17.25">
      <c r="A70" s="17" t="s">
        <v>6053</v>
      </c>
      <c r="B70" s="17" t="s">
        <v>141</v>
      </c>
      <c r="C70" s="17" t="s">
        <v>133</v>
      </c>
      <c r="D70" s="17" t="s">
        <v>39</v>
      </c>
      <c r="E70" s="18">
        <f>ROUND(4553*1.05,2)</f>
      </c>
      <c r="F70" s="17" t="s">
        <v>40</v>
      </c>
      <c r="G70" s="17" t="s">
        <v>24</v>
      </c>
      <c r="H70" s="18">
        <f>ROUND(RAND()*4+6,1)</f>
      </c>
      <c r="I70" s="17" t="s">
        <v>41</v>
      </c>
      <c r="J70" s="19">
        <f>ROUND(99*1,0)&amp;"%"</f>
      </c>
    </row>
    <row x14ac:dyDescent="0.25" r="71" customHeight="1" ht="17.25">
      <c r="A71" s="20" t="s">
        <v>6054</v>
      </c>
      <c r="B71" s="20" t="s">
        <v>143</v>
      </c>
      <c r="C71" s="20" t="s">
        <v>133</v>
      </c>
      <c r="D71" s="20" t="s">
        <v>67</v>
      </c>
      <c r="E71" s="21">
        <f>ROUND(16715*1.05,2)</f>
      </c>
      <c r="F71" s="20" t="s">
        <v>44</v>
      </c>
      <c r="G71" s="20" t="s">
        <v>30</v>
      </c>
      <c r="H71" s="21">
        <f>ROUND(RAND()*4+6,1)</f>
      </c>
      <c r="I71" s="20" t="s">
        <v>45</v>
      </c>
      <c r="J71" s="23">
        <f>ROUND(96*1,0)&amp;"%"</f>
      </c>
    </row>
    <row x14ac:dyDescent="0.25" r="72" customHeight="1" ht="17.25">
      <c r="A72" s="17" t="s">
        <v>6055</v>
      </c>
      <c r="B72" s="17" t="s">
        <v>145</v>
      </c>
      <c r="C72" s="17" t="s">
        <v>133</v>
      </c>
      <c r="D72" s="17" t="s">
        <v>16</v>
      </c>
      <c r="E72" s="18">
        <f>ROUND(4146*1.05,2)</f>
      </c>
      <c r="F72" s="17" t="s">
        <v>48</v>
      </c>
      <c r="G72" s="17" t="s">
        <v>18</v>
      </c>
      <c r="H72" s="18">
        <f>ROUND(RAND()*4+6,1)</f>
      </c>
      <c r="I72" s="17" t="s">
        <v>19</v>
      </c>
      <c r="J72" s="19">
        <f>ROUND(75*1,0)&amp;"%"</f>
      </c>
    </row>
    <row x14ac:dyDescent="0.25" r="73" customHeight="1" ht="17.25">
      <c r="A73" s="20" t="s">
        <v>6056</v>
      </c>
      <c r="B73" s="20" t="s">
        <v>147</v>
      </c>
      <c r="C73" s="20" t="s">
        <v>133</v>
      </c>
      <c r="D73" s="20" t="s">
        <v>22</v>
      </c>
      <c r="E73" s="21">
        <f>ROUND(13070*1.05,2)</f>
      </c>
      <c r="F73" s="20" t="s">
        <v>51</v>
      </c>
      <c r="G73" s="20" t="s">
        <v>24</v>
      </c>
      <c r="H73" s="21">
        <f>ROUND(RAND()*4+6,1)</f>
      </c>
      <c r="I73" s="20" t="s">
        <v>25</v>
      </c>
      <c r="J73" s="23">
        <f>ROUND(64*1,0)&amp;"%"</f>
      </c>
    </row>
    <row x14ac:dyDescent="0.25" r="74" customHeight="1" ht="17.25">
      <c r="A74" s="24" t="s">
        <v>148</v>
      </c>
      <c r="B74" s="24"/>
      <c r="C74" s="24"/>
      <c r="D74" s="24"/>
      <c r="E74" s="25">
        <v>8</v>
      </c>
      <c r="F74" s="9"/>
      <c r="G74" s="9"/>
      <c r="H74" s="10"/>
      <c r="I74" s="9"/>
      <c r="J74" s="9"/>
    </row>
    <row x14ac:dyDescent="0.25" r="75" customHeight="1" ht="17.25">
      <c r="A75" s="7"/>
      <c r="B75" s="7"/>
      <c r="C75" s="7"/>
      <c r="D75" s="7"/>
      <c r="E75" s="8"/>
      <c r="F75" s="9"/>
      <c r="G75" s="9"/>
      <c r="H75" s="10"/>
      <c r="I75" s="9"/>
      <c r="J75" s="9"/>
    </row>
    <row x14ac:dyDescent="0.25" r="76" customHeight="1" ht="17.25">
      <c r="A76" s="11" t="s">
        <v>6057</v>
      </c>
      <c r="B76" s="11"/>
      <c r="C76" s="11"/>
      <c r="D76" s="11"/>
      <c r="E76" s="12"/>
      <c r="F76" s="11"/>
      <c r="G76" s="11"/>
      <c r="H76" s="13"/>
      <c r="I76" s="11"/>
      <c r="J76" s="11"/>
    </row>
    <row x14ac:dyDescent="0.25" r="77" customHeight="1" ht="17.25">
      <c r="A77" s="14" t="s">
        <v>3</v>
      </c>
      <c r="B77" s="14" t="s">
        <v>4</v>
      </c>
      <c r="C77" s="14" t="s">
        <v>5</v>
      </c>
      <c r="D77" s="14" t="s">
        <v>6</v>
      </c>
      <c r="E77" s="15" t="s">
        <v>7</v>
      </c>
      <c r="F77" s="14" t="s">
        <v>8</v>
      </c>
      <c r="G77" s="14" t="s">
        <v>9</v>
      </c>
      <c r="H77" s="16" t="s">
        <v>10</v>
      </c>
      <c r="I77" s="14" t="s">
        <v>11</v>
      </c>
      <c r="J77" s="14" t="s">
        <v>12</v>
      </c>
    </row>
    <row x14ac:dyDescent="0.25" r="78" customHeight="1" ht="17.25">
      <c r="A78" s="17" t="s">
        <v>6058</v>
      </c>
      <c r="B78" s="17" t="s">
        <v>151</v>
      </c>
      <c r="C78" s="17" t="s">
        <v>152</v>
      </c>
      <c r="D78" s="17" t="s">
        <v>16</v>
      </c>
      <c r="E78" s="18">
        <f>ROUND(7966*1.05,2)</f>
      </c>
      <c r="F78" s="17" t="s">
        <v>17</v>
      </c>
      <c r="G78" s="17" t="s">
        <v>18</v>
      </c>
      <c r="H78" s="18">
        <f>ROUND(RAND()*4+6,1)</f>
      </c>
      <c r="I78" s="17" t="s">
        <v>19</v>
      </c>
      <c r="J78" s="19">
        <f>ROUND(79*1,0)&amp;"%"</f>
      </c>
    </row>
    <row x14ac:dyDescent="0.25" r="79" customHeight="1" ht="17.25">
      <c r="A79" s="20" t="s">
        <v>6059</v>
      </c>
      <c r="B79" s="20" t="s">
        <v>154</v>
      </c>
      <c r="C79" s="20" t="s">
        <v>152</v>
      </c>
      <c r="D79" s="20" t="s">
        <v>22</v>
      </c>
      <c r="E79" s="21">
        <f>ROUND(15914*1.05,2)</f>
      </c>
      <c r="F79" s="20" t="s">
        <v>23</v>
      </c>
      <c r="G79" s="20" t="s">
        <v>24</v>
      </c>
      <c r="H79" s="21">
        <f>ROUND(RAND()*4+6,1)</f>
      </c>
      <c r="I79" s="20" t="s">
        <v>25</v>
      </c>
      <c r="J79" s="23">
        <f>ROUND(71*1,0)&amp;"%"</f>
      </c>
    </row>
    <row x14ac:dyDescent="0.25" r="80" customHeight="1" ht="17.25">
      <c r="A80" s="17" t="s">
        <v>6060</v>
      </c>
      <c r="B80" s="17" t="s">
        <v>156</v>
      </c>
      <c r="C80" s="17" t="s">
        <v>152</v>
      </c>
      <c r="D80" s="17" t="s">
        <v>28</v>
      </c>
      <c r="E80" s="18">
        <f>ROUND(11291*1.05,2)</f>
      </c>
      <c r="F80" s="17" t="s">
        <v>29</v>
      </c>
      <c r="G80" s="17" t="s">
        <v>30</v>
      </c>
      <c r="H80" s="18">
        <f>ROUND(RAND()*4+6,1)</f>
      </c>
      <c r="I80" s="17" t="s">
        <v>31</v>
      </c>
      <c r="J80" s="19">
        <f>ROUND(77*1,0)&amp;"%"</f>
      </c>
    </row>
    <row x14ac:dyDescent="0.25" r="81" customHeight="1" ht="17.25">
      <c r="A81" s="20" t="s">
        <v>6061</v>
      </c>
      <c r="B81" s="20" t="s">
        <v>158</v>
      </c>
      <c r="C81" s="20" t="s">
        <v>152</v>
      </c>
      <c r="D81" s="20" t="s">
        <v>34</v>
      </c>
      <c r="E81" s="21">
        <f>ROUND(17657*1.05,2)</f>
      </c>
      <c r="F81" s="20" t="s">
        <v>35</v>
      </c>
      <c r="G81" s="20" t="s">
        <v>18</v>
      </c>
      <c r="H81" s="21">
        <f>ROUND(RAND()*4+6,1)</f>
      </c>
      <c r="I81" s="20" t="s">
        <v>36</v>
      </c>
      <c r="J81" s="23">
        <f>ROUND(97*1,0)&amp;"%"</f>
      </c>
    </row>
    <row x14ac:dyDescent="0.25" r="82" customHeight="1" ht="17.25">
      <c r="A82" s="17" t="s">
        <v>6062</v>
      </c>
      <c r="B82" s="17" t="s">
        <v>160</v>
      </c>
      <c r="C82" s="17" t="s">
        <v>152</v>
      </c>
      <c r="D82" s="17" t="s">
        <v>39</v>
      </c>
      <c r="E82" s="18">
        <f>ROUND(4207*1.05,2)</f>
      </c>
      <c r="F82" s="17" t="s">
        <v>40</v>
      </c>
      <c r="G82" s="17" t="s">
        <v>24</v>
      </c>
      <c r="H82" s="18">
        <f>ROUND(RAND()*4+6,1)</f>
      </c>
      <c r="I82" s="17" t="s">
        <v>41</v>
      </c>
      <c r="J82" s="19">
        <f>ROUND(96*1,0)&amp;"%"</f>
      </c>
    </row>
    <row x14ac:dyDescent="0.25" r="83" customHeight="1" ht="17.25">
      <c r="A83" s="20" t="s">
        <v>6063</v>
      </c>
      <c r="B83" s="20" t="s">
        <v>162</v>
      </c>
      <c r="C83" s="20" t="s">
        <v>152</v>
      </c>
      <c r="D83" s="20" t="s">
        <v>67</v>
      </c>
      <c r="E83" s="21">
        <f>ROUND(10575*1.05,2)</f>
      </c>
      <c r="F83" s="20" t="s">
        <v>44</v>
      </c>
      <c r="G83" s="20" t="s">
        <v>30</v>
      </c>
      <c r="H83" s="21">
        <f>ROUND(RAND()*4+6,1)</f>
      </c>
      <c r="I83" s="20" t="s">
        <v>45</v>
      </c>
      <c r="J83" s="23">
        <f>ROUND(76*1,0)&amp;"%"</f>
      </c>
    </row>
    <row x14ac:dyDescent="0.25" r="84" customHeight="1" ht="17.25">
      <c r="A84" s="17" t="s">
        <v>6064</v>
      </c>
      <c r="B84" s="17" t="s">
        <v>164</v>
      </c>
      <c r="C84" s="17" t="s">
        <v>152</v>
      </c>
      <c r="D84" s="17" t="s">
        <v>16</v>
      </c>
      <c r="E84" s="18">
        <f>ROUND(9491*1.05,2)</f>
      </c>
      <c r="F84" s="17" t="s">
        <v>48</v>
      </c>
      <c r="G84" s="17" t="s">
        <v>18</v>
      </c>
      <c r="H84" s="18">
        <f>ROUND(RAND()*4+6,1)</f>
      </c>
      <c r="I84" s="17" t="s">
        <v>19</v>
      </c>
      <c r="J84" s="19">
        <f>ROUND(75*1,0)&amp;"%"</f>
      </c>
    </row>
    <row x14ac:dyDescent="0.25" r="85" customHeight="1" ht="17.25">
      <c r="A85" s="20" t="s">
        <v>6065</v>
      </c>
      <c r="B85" s="20" t="s">
        <v>166</v>
      </c>
      <c r="C85" s="20" t="s">
        <v>152</v>
      </c>
      <c r="D85" s="20" t="s">
        <v>22</v>
      </c>
      <c r="E85" s="21">
        <f>ROUND(4719*1.05,2)</f>
      </c>
      <c r="F85" s="20" t="s">
        <v>51</v>
      </c>
      <c r="G85" s="20" t="s">
        <v>24</v>
      </c>
      <c r="H85" s="22">
        <f>ROUND(RAND()*4+6,1)</f>
      </c>
      <c r="I85" s="20" t="s">
        <v>25</v>
      </c>
      <c r="J85" s="23">
        <f>ROUND(81*1,0)&amp;"%"</f>
      </c>
    </row>
    <row x14ac:dyDescent="0.25" r="86" customHeight="1" ht="17.25">
      <c r="A86" s="24" t="s">
        <v>167</v>
      </c>
      <c r="B86" s="24"/>
      <c r="C86" s="24"/>
      <c r="D86" s="24"/>
      <c r="E86" s="25">
        <v>8</v>
      </c>
      <c r="F86" s="9"/>
      <c r="G86" s="9"/>
      <c r="H86" s="10"/>
      <c r="I86" s="9"/>
      <c r="J86" s="9"/>
    </row>
    <row x14ac:dyDescent="0.25" r="87" customHeight="1" ht="17.25">
      <c r="A87" s="7"/>
      <c r="B87" s="7"/>
      <c r="C87" s="7"/>
      <c r="D87" s="7"/>
      <c r="E87" s="8"/>
      <c r="F87" s="9"/>
      <c r="G87" s="9"/>
      <c r="H87" s="10"/>
      <c r="I87" s="9"/>
      <c r="J87" s="9"/>
    </row>
    <row x14ac:dyDescent="0.25" r="88" customHeight="1" ht="17.25">
      <c r="A88" s="11" t="s">
        <v>6066</v>
      </c>
      <c r="B88" s="11"/>
      <c r="C88" s="11"/>
      <c r="D88" s="11"/>
      <c r="E88" s="12"/>
      <c r="F88" s="11"/>
      <c r="G88" s="11"/>
      <c r="H88" s="13"/>
      <c r="I88" s="11"/>
      <c r="J88" s="11"/>
    </row>
    <row x14ac:dyDescent="0.25" r="89" customHeight="1" ht="17.25">
      <c r="A89" s="14" t="s">
        <v>3</v>
      </c>
      <c r="B89" s="14" t="s">
        <v>4</v>
      </c>
      <c r="C89" s="14" t="s">
        <v>5</v>
      </c>
      <c r="D89" s="14" t="s">
        <v>6</v>
      </c>
      <c r="E89" s="15" t="s">
        <v>7</v>
      </c>
      <c r="F89" s="14" t="s">
        <v>8</v>
      </c>
      <c r="G89" s="14" t="s">
        <v>9</v>
      </c>
      <c r="H89" s="16" t="s">
        <v>10</v>
      </c>
      <c r="I89" s="14" t="s">
        <v>11</v>
      </c>
      <c r="J89" s="14" t="s">
        <v>12</v>
      </c>
    </row>
    <row x14ac:dyDescent="0.25" r="90" customHeight="1" ht="17.25">
      <c r="A90" s="17" t="s">
        <v>6067</v>
      </c>
      <c r="B90" s="17" t="s">
        <v>170</v>
      </c>
      <c r="C90" s="17" t="s">
        <v>15</v>
      </c>
      <c r="D90" s="17" t="s">
        <v>16</v>
      </c>
      <c r="E90" s="18">
        <f>ROUND(7131*1.05,2)</f>
      </c>
      <c r="F90" s="17" t="s">
        <v>17</v>
      </c>
      <c r="G90" s="17" t="s">
        <v>18</v>
      </c>
      <c r="H90" s="18">
        <f>ROUND(RAND()*4+6,1)</f>
      </c>
      <c r="I90" s="17" t="s">
        <v>19</v>
      </c>
      <c r="J90" s="19">
        <f>ROUND(73*1,0)&amp;"%"</f>
      </c>
    </row>
    <row x14ac:dyDescent="0.25" r="91" customHeight="1" ht="17.25">
      <c r="A91" s="20" t="s">
        <v>6068</v>
      </c>
      <c r="B91" s="20" t="s">
        <v>172</v>
      </c>
      <c r="C91" s="20" t="s">
        <v>15</v>
      </c>
      <c r="D91" s="20" t="s">
        <v>22</v>
      </c>
      <c r="E91" s="21">
        <f>ROUND(9641*1.05,2)</f>
      </c>
      <c r="F91" s="20" t="s">
        <v>23</v>
      </c>
      <c r="G91" s="20" t="s">
        <v>24</v>
      </c>
      <c r="H91" s="21">
        <f>ROUND(RAND()*4+6,1)</f>
      </c>
      <c r="I91" s="20" t="s">
        <v>25</v>
      </c>
      <c r="J91" s="23">
        <f>ROUND(98*1,0)&amp;"%"</f>
      </c>
    </row>
    <row x14ac:dyDescent="0.25" r="92" customHeight="1" ht="17.25">
      <c r="A92" s="17" t="s">
        <v>6069</v>
      </c>
      <c r="B92" s="17" t="s">
        <v>174</v>
      </c>
      <c r="C92" s="17" t="s">
        <v>15</v>
      </c>
      <c r="D92" s="17" t="s">
        <v>28</v>
      </c>
      <c r="E92" s="18">
        <f>ROUND(10561*1.05,2)</f>
      </c>
      <c r="F92" s="17" t="s">
        <v>29</v>
      </c>
      <c r="G92" s="17" t="s">
        <v>30</v>
      </c>
      <c r="H92" s="18">
        <f>ROUND(RAND()*4+6,1)</f>
      </c>
      <c r="I92" s="17" t="s">
        <v>31</v>
      </c>
      <c r="J92" s="19">
        <f>ROUND(92*1,0)&amp;"%"</f>
      </c>
    </row>
    <row x14ac:dyDescent="0.25" r="93" customHeight="1" ht="17.25">
      <c r="A93" s="20" t="s">
        <v>6070</v>
      </c>
      <c r="B93" s="20" t="s">
        <v>176</v>
      </c>
      <c r="C93" s="20" t="s">
        <v>15</v>
      </c>
      <c r="D93" s="20" t="s">
        <v>34</v>
      </c>
      <c r="E93" s="21">
        <f>ROUND(15575*1.05,2)</f>
      </c>
      <c r="F93" s="20" t="s">
        <v>35</v>
      </c>
      <c r="G93" s="20" t="s">
        <v>18</v>
      </c>
      <c r="H93" s="21">
        <f>ROUND(RAND()*4+6,1)</f>
      </c>
      <c r="I93" s="20" t="s">
        <v>36</v>
      </c>
      <c r="J93" s="23">
        <f>ROUND(65*1,0)&amp;"%"</f>
      </c>
    </row>
    <row x14ac:dyDescent="0.25" r="94" customHeight="1" ht="17.25">
      <c r="A94" s="17" t="s">
        <v>6071</v>
      </c>
      <c r="B94" s="17" t="s">
        <v>178</v>
      </c>
      <c r="C94" s="17" t="s">
        <v>15</v>
      </c>
      <c r="D94" s="17" t="s">
        <v>39</v>
      </c>
      <c r="E94" s="18">
        <f>ROUND(5875*1.05,2)</f>
      </c>
      <c r="F94" s="17" t="s">
        <v>40</v>
      </c>
      <c r="G94" s="17" t="s">
        <v>24</v>
      </c>
      <c r="H94" s="18">
        <f>ROUND(RAND()*4+6,1)</f>
      </c>
      <c r="I94" s="17" t="s">
        <v>41</v>
      </c>
      <c r="J94" s="19">
        <f>ROUND(69*1,0)&amp;"%"</f>
      </c>
    </row>
    <row x14ac:dyDescent="0.25" r="95" customHeight="1" ht="17.25">
      <c r="A95" s="20" t="s">
        <v>6072</v>
      </c>
      <c r="B95" s="20" t="s">
        <v>180</v>
      </c>
      <c r="C95" s="20" t="s">
        <v>15</v>
      </c>
      <c r="D95" s="20" t="s">
        <v>67</v>
      </c>
      <c r="E95" s="21">
        <f>ROUND(13972*1.05,2)</f>
      </c>
      <c r="F95" s="20" t="s">
        <v>44</v>
      </c>
      <c r="G95" s="20" t="s">
        <v>30</v>
      </c>
      <c r="H95" s="21">
        <f>ROUND(RAND()*4+6,1)</f>
      </c>
      <c r="I95" s="20" t="s">
        <v>45</v>
      </c>
      <c r="J95" s="23">
        <f>ROUND(76*1,0)&amp;"%"</f>
      </c>
    </row>
    <row x14ac:dyDescent="0.25" r="96" customHeight="1" ht="17.25">
      <c r="A96" s="17" t="s">
        <v>6073</v>
      </c>
      <c r="B96" s="17" t="s">
        <v>182</v>
      </c>
      <c r="C96" s="17" t="s">
        <v>15</v>
      </c>
      <c r="D96" s="17" t="s">
        <v>16</v>
      </c>
      <c r="E96" s="18">
        <f>ROUND(17802*1.05,2)</f>
      </c>
      <c r="F96" s="17" t="s">
        <v>48</v>
      </c>
      <c r="G96" s="17" t="s">
        <v>18</v>
      </c>
      <c r="H96" s="18">
        <f>ROUND(RAND()*4+6,1)</f>
      </c>
      <c r="I96" s="17" t="s">
        <v>19</v>
      </c>
      <c r="J96" s="19">
        <f>ROUND(81*1,0)&amp;"%"</f>
      </c>
    </row>
    <row x14ac:dyDescent="0.25" r="97" customHeight="1" ht="17.25">
      <c r="A97" s="20" t="s">
        <v>6074</v>
      </c>
      <c r="B97" s="20" t="s">
        <v>184</v>
      </c>
      <c r="C97" s="20" t="s">
        <v>15</v>
      </c>
      <c r="D97" s="20" t="s">
        <v>22</v>
      </c>
      <c r="E97" s="21">
        <f>ROUND(13070*1.05,2)</f>
      </c>
      <c r="F97" s="20" t="s">
        <v>51</v>
      </c>
      <c r="G97" s="20" t="s">
        <v>24</v>
      </c>
      <c r="H97" s="21">
        <f>ROUND(RAND()*4+6,1)</f>
      </c>
      <c r="I97" s="20" t="s">
        <v>25</v>
      </c>
      <c r="J97" s="23">
        <f>ROUND(75*1,0)&amp;"%"</f>
      </c>
    </row>
    <row x14ac:dyDescent="0.25" r="98" customHeight="1" ht="17.25">
      <c r="A98" s="24" t="s">
        <v>185</v>
      </c>
      <c r="B98" s="24"/>
      <c r="C98" s="24"/>
      <c r="D98" s="24"/>
      <c r="E98" s="25">
        <v>8</v>
      </c>
      <c r="F98" s="9"/>
      <c r="G98" s="9"/>
      <c r="H98" s="10"/>
      <c r="I98" s="9"/>
      <c r="J98" s="9"/>
    </row>
    <row x14ac:dyDescent="0.25" r="99" customHeight="1" ht="17.25">
      <c r="A99" s="7"/>
      <c r="B99" s="7"/>
      <c r="C99" s="7"/>
      <c r="D99" s="7"/>
      <c r="E99" s="8"/>
      <c r="F99" s="9"/>
      <c r="G99" s="9"/>
      <c r="H99" s="10"/>
      <c r="I99" s="9"/>
      <c r="J99" s="9"/>
    </row>
    <row x14ac:dyDescent="0.25" r="100" customHeight="1" ht="17.25">
      <c r="A100" s="11" t="s">
        <v>6075</v>
      </c>
      <c r="B100" s="11"/>
      <c r="C100" s="11"/>
      <c r="D100" s="11"/>
      <c r="E100" s="12"/>
      <c r="F100" s="11"/>
      <c r="G100" s="11"/>
      <c r="H100" s="13"/>
      <c r="I100" s="11"/>
      <c r="J100" s="11"/>
    </row>
    <row x14ac:dyDescent="0.25" r="101" customHeight="1" ht="17.25">
      <c r="A101" s="14" t="s">
        <v>3</v>
      </c>
      <c r="B101" s="14" t="s">
        <v>4</v>
      </c>
      <c r="C101" s="14" t="s">
        <v>5</v>
      </c>
      <c r="D101" s="14" t="s">
        <v>6</v>
      </c>
      <c r="E101" s="15" t="s">
        <v>7</v>
      </c>
      <c r="F101" s="14" t="s">
        <v>8</v>
      </c>
      <c r="G101" s="14" t="s">
        <v>9</v>
      </c>
      <c r="H101" s="16" t="s">
        <v>10</v>
      </c>
      <c r="I101" s="14" t="s">
        <v>11</v>
      </c>
      <c r="J101" s="14" t="s">
        <v>12</v>
      </c>
    </row>
    <row x14ac:dyDescent="0.25" r="102" customHeight="1" ht="17.25">
      <c r="A102" s="17" t="s">
        <v>6076</v>
      </c>
      <c r="B102" s="17" t="s">
        <v>188</v>
      </c>
      <c r="C102" s="17" t="s">
        <v>56</v>
      </c>
      <c r="D102" s="17" t="s">
        <v>16</v>
      </c>
      <c r="E102" s="18">
        <f>ROUND(7785*1.05,2)</f>
      </c>
      <c r="F102" s="17" t="s">
        <v>17</v>
      </c>
      <c r="G102" s="17" t="s">
        <v>18</v>
      </c>
      <c r="H102" s="18">
        <f>ROUND(RAND()*4+6,1)</f>
      </c>
      <c r="I102" s="17" t="s">
        <v>19</v>
      </c>
      <c r="J102" s="19">
        <f>ROUND(78*1,0)&amp;"%"</f>
      </c>
    </row>
    <row x14ac:dyDescent="0.25" r="103" customHeight="1" ht="17.25">
      <c r="A103" s="20" t="s">
        <v>6077</v>
      </c>
      <c r="B103" s="20" t="s">
        <v>190</v>
      </c>
      <c r="C103" s="20" t="s">
        <v>56</v>
      </c>
      <c r="D103" s="20" t="s">
        <v>22</v>
      </c>
      <c r="E103" s="21">
        <f>ROUND(16513*1.05,2)</f>
      </c>
      <c r="F103" s="20" t="s">
        <v>23</v>
      </c>
      <c r="G103" s="20" t="s">
        <v>24</v>
      </c>
      <c r="H103" s="21">
        <f>ROUND(RAND()*4+6,1)</f>
      </c>
      <c r="I103" s="20" t="s">
        <v>25</v>
      </c>
      <c r="J103" s="23">
        <f>ROUND(82*1,0)&amp;"%"</f>
      </c>
    </row>
    <row x14ac:dyDescent="0.25" r="104" customHeight="1" ht="17.25">
      <c r="A104" s="17" t="s">
        <v>6078</v>
      </c>
      <c r="B104" s="17" t="s">
        <v>192</v>
      </c>
      <c r="C104" s="17" t="s">
        <v>56</v>
      </c>
      <c r="D104" s="17" t="s">
        <v>28</v>
      </c>
      <c r="E104" s="26">
        <f>ROUND(12580*1.05,2)</f>
      </c>
      <c r="F104" s="17" t="s">
        <v>29</v>
      </c>
      <c r="G104" s="17" t="s">
        <v>30</v>
      </c>
      <c r="H104" s="18">
        <f>ROUND(RAND()*4+6,1)</f>
      </c>
      <c r="I104" s="17" t="s">
        <v>31</v>
      </c>
      <c r="J104" s="19">
        <f>ROUND(72*1,0)&amp;"%"</f>
      </c>
    </row>
    <row x14ac:dyDescent="0.25" r="105" customHeight="1" ht="17.25">
      <c r="A105" s="20" t="s">
        <v>6079</v>
      </c>
      <c r="B105" s="20" t="s">
        <v>194</v>
      </c>
      <c r="C105" s="20" t="s">
        <v>56</v>
      </c>
      <c r="D105" s="20" t="s">
        <v>34</v>
      </c>
      <c r="E105" s="21">
        <f>ROUND(15734*1.05,2)</f>
      </c>
      <c r="F105" s="20" t="s">
        <v>35</v>
      </c>
      <c r="G105" s="20" t="s">
        <v>18</v>
      </c>
      <c r="H105" s="21">
        <f>ROUND(RAND()*4+6,1)</f>
      </c>
      <c r="I105" s="20" t="s">
        <v>36</v>
      </c>
      <c r="J105" s="23">
        <f>ROUND(79*1,0)&amp;"%"</f>
      </c>
    </row>
    <row x14ac:dyDescent="0.25" r="106" customHeight="1" ht="17.25">
      <c r="A106" s="17" t="s">
        <v>6080</v>
      </c>
      <c r="B106" s="17" t="s">
        <v>196</v>
      </c>
      <c r="C106" s="17" t="s">
        <v>56</v>
      </c>
      <c r="D106" s="17" t="s">
        <v>39</v>
      </c>
      <c r="E106" s="26">
        <f>ROUND(10940*1.05,2)</f>
      </c>
      <c r="F106" s="17" t="s">
        <v>40</v>
      </c>
      <c r="G106" s="17" t="s">
        <v>24</v>
      </c>
      <c r="H106" s="18">
        <f>ROUND(RAND()*4+6,1)</f>
      </c>
      <c r="I106" s="17" t="s">
        <v>41</v>
      </c>
      <c r="J106" s="19">
        <f>ROUND(65*1,0)&amp;"%"</f>
      </c>
    </row>
    <row x14ac:dyDescent="0.25" r="107" customHeight="1" ht="17.25">
      <c r="A107" s="20" t="s">
        <v>6081</v>
      </c>
      <c r="B107" s="20" t="s">
        <v>198</v>
      </c>
      <c r="C107" s="20" t="s">
        <v>56</v>
      </c>
      <c r="D107" s="20" t="s">
        <v>67</v>
      </c>
      <c r="E107" s="21">
        <f>ROUND(6917*1.05,2)</f>
      </c>
      <c r="F107" s="20" t="s">
        <v>44</v>
      </c>
      <c r="G107" s="20" t="s">
        <v>30</v>
      </c>
      <c r="H107" s="21">
        <f>ROUND(RAND()*4+6,1)</f>
      </c>
      <c r="I107" s="20" t="s">
        <v>45</v>
      </c>
      <c r="J107" s="23">
        <f>ROUND(90*1,0)&amp;"%"</f>
      </c>
    </row>
    <row x14ac:dyDescent="0.25" r="108" customHeight="1" ht="17.25">
      <c r="A108" s="17" t="s">
        <v>6082</v>
      </c>
      <c r="B108" s="17" t="s">
        <v>200</v>
      </c>
      <c r="C108" s="17" t="s">
        <v>56</v>
      </c>
      <c r="D108" s="17" t="s">
        <v>16</v>
      </c>
      <c r="E108" s="18">
        <f>ROUND(14763*1.05,2)</f>
      </c>
      <c r="F108" s="17" t="s">
        <v>48</v>
      </c>
      <c r="G108" s="17" t="s">
        <v>18</v>
      </c>
      <c r="H108" s="18">
        <f>ROUND(RAND()*4+6,1)</f>
      </c>
      <c r="I108" s="17" t="s">
        <v>19</v>
      </c>
      <c r="J108" s="19">
        <f>ROUND(73*1,0)&amp;"%"</f>
      </c>
    </row>
    <row x14ac:dyDescent="0.25" r="109" customHeight="1" ht="17.25">
      <c r="A109" s="20" t="s">
        <v>6083</v>
      </c>
      <c r="B109" s="20" t="s">
        <v>202</v>
      </c>
      <c r="C109" s="20" t="s">
        <v>56</v>
      </c>
      <c r="D109" s="20" t="s">
        <v>22</v>
      </c>
      <c r="E109" s="21">
        <f>ROUND(15214*1.05,2)</f>
      </c>
      <c r="F109" s="20" t="s">
        <v>51</v>
      </c>
      <c r="G109" s="20" t="s">
        <v>24</v>
      </c>
      <c r="H109" s="21">
        <f>ROUND(RAND()*4+6,1)</f>
      </c>
      <c r="I109" s="20" t="s">
        <v>25</v>
      </c>
      <c r="J109" s="23">
        <f>ROUND(87*1,0)&amp;"%"</f>
      </c>
    </row>
    <row x14ac:dyDescent="0.25" r="110" customHeight="1" ht="17.25">
      <c r="A110" s="24" t="s">
        <v>203</v>
      </c>
      <c r="B110" s="24"/>
      <c r="C110" s="24"/>
      <c r="D110" s="24"/>
      <c r="E110" s="25">
        <v>8</v>
      </c>
      <c r="F110" s="9"/>
      <c r="G110" s="9"/>
      <c r="H110" s="10"/>
      <c r="I110" s="9"/>
      <c r="J110" s="9"/>
    </row>
    <row x14ac:dyDescent="0.25" r="111" customHeight="1" ht="17.25">
      <c r="A111" s="7"/>
      <c r="B111" s="7"/>
      <c r="C111" s="7"/>
      <c r="D111" s="7"/>
      <c r="E111" s="8"/>
      <c r="F111" s="9"/>
      <c r="G111" s="9"/>
      <c r="H111" s="10"/>
      <c r="I111" s="9"/>
      <c r="J111" s="9"/>
    </row>
    <row x14ac:dyDescent="0.25" r="112" customHeight="1" ht="17.25">
      <c r="A112" s="11" t="s">
        <v>6084</v>
      </c>
      <c r="B112" s="11"/>
      <c r="C112" s="11"/>
      <c r="D112" s="11"/>
      <c r="E112" s="12"/>
      <c r="F112" s="11"/>
      <c r="G112" s="11"/>
      <c r="H112" s="13"/>
      <c r="I112" s="11"/>
      <c r="J112" s="11"/>
    </row>
    <row x14ac:dyDescent="0.25" r="113" customHeight="1" ht="17.25">
      <c r="A113" s="14" t="s">
        <v>3</v>
      </c>
      <c r="B113" s="14" t="s">
        <v>4</v>
      </c>
      <c r="C113" s="14" t="s">
        <v>5</v>
      </c>
      <c r="D113" s="14" t="s">
        <v>6</v>
      </c>
      <c r="E113" s="15" t="s">
        <v>7</v>
      </c>
      <c r="F113" s="14" t="s">
        <v>8</v>
      </c>
      <c r="G113" s="14" t="s">
        <v>9</v>
      </c>
      <c r="H113" s="16" t="s">
        <v>10</v>
      </c>
      <c r="I113" s="14" t="s">
        <v>11</v>
      </c>
      <c r="J113" s="14" t="s">
        <v>12</v>
      </c>
    </row>
    <row x14ac:dyDescent="0.25" r="114" customHeight="1" ht="17.25">
      <c r="A114" s="17" t="s">
        <v>6085</v>
      </c>
      <c r="B114" s="17" t="s">
        <v>206</v>
      </c>
      <c r="C114" s="17" t="s">
        <v>76</v>
      </c>
      <c r="D114" s="17" t="s">
        <v>16</v>
      </c>
      <c r="E114" s="18">
        <f>ROUND(8085*1.05,2)</f>
      </c>
      <c r="F114" s="17" t="s">
        <v>17</v>
      </c>
      <c r="G114" s="17" t="s">
        <v>18</v>
      </c>
      <c r="H114" s="26">
        <f>ROUND(RAND()*4+6,1)</f>
      </c>
      <c r="I114" s="17" t="s">
        <v>19</v>
      </c>
      <c r="J114" s="19">
        <f>ROUND(93*1,0)&amp;"%"</f>
      </c>
    </row>
    <row x14ac:dyDescent="0.25" r="115" customHeight="1" ht="17.25">
      <c r="A115" s="20" t="s">
        <v>6086</v>
      </c>
      <c r="B115" s="20" t="s">
        <v>208</v>
      </c>
      <c r="C115" s="20" t="s">
        <v>76</v>
      </c>
      <c r="D115" s="20" t="s">
        <v>22</v>
      </c>
      <c r="E115" s="21">
        <f>ROUND(7113*1.05,2)</f>
      </c>
      <c r="F115" s="20" t="s">
        <v>23</v>
      </c>
      <c r="G115" s="20" t="s">
        <v>24</v>
      </c>
      <c r="H115" s="21">
        <f>ROUND(RAND()*4+6,1)</f>
      </c>
      <c r="I115" s="20" t="s">
        <v>25</v>
      </c>
      <c r="J115" s="23">
        <f>ROUND(65*1,0)&amp;"%"</f>
      </c>
    </row>
    <row x14ac:dyDescent="0.25" r="116" customHeight="1" ht="17.25">
      <c r="A116" s="17" t="s">
        <v>6087</v>
      </c>
      <c r="B116" s="17" t="s">
        <v>210</v>
      </c>
      <c r="C116" s="17" t="s">
        <v>76</v>
      </c>
      <c r="D116" s="17" t="s">
        <v>28</v>
      </c>
      <c r="E116" s="18">
        <f>ROUND(10089*1.05,2)</f>
      </c>
      <c r="F116" s="17" t="s">
        <v>29</v>
      </c>
      <c r="G116" s="17" t="s">
        <v>30</v>
      </c>
      <c r="H116" s="18">
        <f>ROUND(RAND()*4+6,1)</f>
      </c>
      <c r="I116" s="17" t="s">
        <v>31</v>
      </c>
      <c r="J116" s="19">
        <f>ROUND(88*1,0)&amp;"%"</f>
      </c>
    </row>
    <row x14ac:dyDescent="0.25" r="117" customHeight="1" ht="17.25">
      <c r="A117" s="20" t="s">
        <v>6088</v>
      </c>
      <c r="B117" s="20" t="s">
        <v>212</v>
      </c>
      <c r="C117" s="20" t="s">
        <v>76</v>
      </c>
      <c r="D117" s="20" t="s">
        <v>34</v>
      </c>
      <c r="E117" s="21">
        <f>ROUND(6351*1.05,2)</f>
      </c>
      <c r="F117" s="20" t="s">
        <v>35</v>
      </c>
      <c r="G117" s="20" t="s">
        <v>18</v>
      </c>
      <c r="H117" s="21">
        <f>ROUND(RAND()*4+6,1)</f>
      </c>
      <c r="I117" s="20" t="s">
        <v>36</v>
      </c>
      <c r="J117" s="23">
        <f>ROUND(93*1,0)&amp;"%"</f>
      </c>
    </row>
    <row x14ac:dyDescent="0.25" r="118" customHeight="1" ht="17.25">
      <c r="A118" s="17" t="s">
        <v>6089</v>
      </c>
      <c r="B118" s="17" t="s">
        <v>214</v>
      </c>
      <c r="C118" s="17" t="s">
        <v>76</v>
      </c>
      <c r="D118" s="17" t="s">
        <v>39</v>
      </c>
      <c r="E118" s="18">
        <f>ROUND(16957*1.05,2)</f>
      </c>
      <c r="F118" s="17" t="s">
        <v>40</v>
      </c>
      <c r="G118" s="17" t="s">
        <v>24</v>
      </c>
      <c r="H118" s="18">
        <f>ROUND(RAND()*4+6,1)</f>
      </c>
      <c r="I118" s="17" t="s">
        <v>41</v>
      </c>
      <c r="J118" s="19">
        <f>ROUND(89*1,0)&amp;"%"</f>
      </c>
    </row>
    <row x14ac:dyDescent="0.25" r="119" customHeight="1" ht="17.25">
      <c r="A119" s="20" t="s">
        <v>6090</v>
      </c>
      <c r="B119" s="20" t="s">
        <v>216</v>
      </c>
      <c r="C119" s="20" t="s">
        <v>76</v>
      </c>
      <c r="D119" s="20" t="s">
        <v>67</v>
      </c>
      <c r="E119" s="21">
        <f>ROUND(11072*1.05,2)</f>
      </c>
      <c r="F119" s="20" t="s">
        <v>44</v>
      </c>
      <c r="G119" s="20" t="s">
        <v>30</v>
      </c>
      <c r="H119" s="21">
        <f>ROUND(RAND()*4+6,1)</f>
      </c>
      <c r="I119" s="20" t="s">
        <v>45</v>
      </c>
      <c r="J119" s="23">
        <f>ROUND(72*1,0)&amp;"%"</f>
      </c>
    </row>
    <row x14ac:dyDescent="0.25" r="120" customHeight="1" ht="17.25">
      <c r="A120" s="17" t="s">
        <v>6091</v>
      </c>
      <c r="B120" s="17" t="s">
        <v>218</v>
      </c>
      <c r="C120" s="17" t="s">
        <v>76</v>
      </c>
      <c r="D120" s="17" t="s">
        <v>16</v>
      </c>
      <c r="E120" s="26">
        <f>ROUND(7880*1.05,2)</f>
      </c>
      <c r="F120" s="17" t="s">
        <v>48</v>
      </c>
      <c r="G120" s="17" t="s">
        <v>18</v>
      </c>
      <c r="H120" s="18">
        <f>ROUND(RAND()*4+6,1)</f>
      </c>
      <c r="I120" s="17" t="s">
        <v>19</v>
      </c>
      <c r="J120" s="19">
        <f>ROUND(87*1,0)&amp;"%"</f>
      </c>
    </row>
    <row x14ac:dyDescent="0.25" r="121" customHeight="1" ht="17.25">
      <c r="A121" s="20" t="s">
        <v>6092</v>
      </c>
      <c r="B121" s="20" t="s">
        <v>220</v>
      </c>
      <c r="C121" s="20" t="s">
        <v>76</v>
      </c>
      <c r="D121" s="20" t="s">
        <v>22</v>
      </c>
      <c r="E121" s="21">
        <f>ROUND(17463*1.05,2)</f>
      </c>
      <c r="F121" s="20" t="s">
        <v>51</v>
      </c>
      <c r="G121" s="20" t="s">
        <v>24</v>
      </c>
      <c r="H121" s="21">
        <f>ROUND(RAND()*4+6,1)</f>
      </c>
      <c r="I121" s="20" t="s">
        <v>25</v>
      </c>
      <c r="J121" s="23">
        <f>ROUND(80*1,0)&amp;"%"</f>
      </c>
    </row>
    <row x14ac:dyDescent="0.25" r="122" customHeight="1" ht="17.25">
      <c r="A122" s="24" t="s">
        <v>221</v>
      </c>
      <c r="B122" s="24"/>
      <c r="C122" s="24"/>
      <c r="D122" s="24"/>
      <c r="E122" s="25">
        <v>8</v>
      </c>
      <c r="F122" s="9"/>
      <c r="G122" s="9"/>
      <c r="H122" s="10"/>
      <c r="I122" s="9"/>
      <c r="J122" s="9"/>
    </row>
    <row x14ac:dyDescent="0.25" r="123" customHeight="1" ht="17.25">
      <c r="A123" s="7"/>
      <c r="B123" s="7"/>
      <c r="C123" s="7"/>
      <c r="D123" s="7"/>
      <c r="E123" s="8"/>
      <c r="F123" s="9"/>
      <c r="G123" s="9"/>
      <c r="H123" s="10"/>
      <c r="I123" s="9"/>
      <c r="J123" s="9"/>
    </row>
    <row x14ac:dyDescent="0.25" r="124" customHeight="1" ht="17.25">
      <c r="A124" s="11" t="s">
        <v>6093</v>
      </c>
      <c r="B124" s="11"/>
      <c r="C124" s="11"/>
      <c r="D124" s="11"/>
      <c r="E124" s="12"/>
      <c r="F124" s="11"/>
      <c r="G124" s="11"/>
      <c r="H124" s="13"/>
      <c r="I124" s="11"/>
      <c r="J124" s="11"/>
    </row>
    <row x14ac:dyDescent="0.25" r="125" customHeight="1" ht="17.25">
      <c r="A125" s="14" t="s">
        <v>3</v>
      </c>
      <c r="B125" s="14" t="s">
        <v>4</v>
      </c>
      <c r="C125" s="14" t="s">
        <v>5</v>
      </c>
      <c r="D125" s="14" t="s">
        <v>6</v>
      </c>
      <c r="E125" s="15" t="s">
        <v>7</v>
      </c>
      <c r="F125" s="14" t="s">
        <v>8</v>
      </c>
      <c r="G125" s="14" t="s">
        <v>9</v>
      </c>
      <c r="H125" s="16" t="s">
        <v>10</v>
      </c>
      <c r="I125" s="14" t="s">
        <v>11</v>
      </c>
      <c r="J125" s="14" t="s">
        <v>12</v>
      </c>
    </row>
    <row x14ac:dyDescent="0.25" r="126" customHeight="1" ht="17.25">
      <c r="A126" s="17" t="s">
        <v>6094</v>
      </c>
      <c r="B126" s="17" t="s">
        <v>224</v>
      </c>
      <c r="C126" s="17" t="s">
        <v>95</v>
      </c>
      <c r="D126" s="17" t="s">
        <v>16</v>
      </c>
      <c r="E126" s="18">
        <f>ROUND(11806*1.05,2)</f>
      </c>
      <c r="F126" s="17" t="s">
        <v>17</v>
      </c>
      <c r="G126" s="17" t="s">
        <v>18</v>
      </c>
      <c r="H126" s="18">
        <f>ROUND(RAND()*4+6,1)</f>
      </c>
      <c r="I126" s="17" t="s">
        <v>19</v>
      </c>
      <c r="J126" s="19">
        <f>ROUND(82*1,0)&amp;"%"</f>
      </c>
    </row>
    <row x14ac:dyDescent="0.25" r="127" customHeight="1" ht="17.25">
      <c r="A127" s="20" t="s">
        <v>6095</v>
      </c>
      <c r="B127" s="20" t="s">
        <v>226</v>
      </c>
      <c r="C127" s="20" t="s">
        <v>95</v>
      </c>
      <c r="D127" s="20" t="s">
        <v>22</v>
      </c>
      <c r="E127" s="21">
        <f>ROUND(13933*1.05,2)</f>
      </c>
      <c r="F127" s="20" t="s">
        <v>23</v>
      </c>
      <c r="G127" s="20" t="s">
        <v>24</v>
      </c>
      <c r="H127" s="22">
        <f>ROUND(RAND()*4+6,1)</f>
      </c>
      <c r="I127" s="20" t="s">
        <v>25</v>
      </c>
      <c r="J127" s="23">
        <f>ROUND(64*1,0)&amp;"%"</f>
      </c>
    </row>
    <row x14ac:dyDescent="0.25" r="128" customHeight="1" ht="17.25">
      <c r="A128" s="17" t="s">
        <v>6096</v>
      </c>
      <c r="B128" s="17" t="s">
        <v>228</v>
      </c>
      <c r="C128" s="17" t="s">
        <v>95</v>
      </c>
      <c r="D128" s="17" t="s">
        <v>28</v>
      </c>
      <c r="E128" s="18">
        <f>ROUND(12771*1.05,2)</f>
      </c>
      <c r="F128" s="17" t="s">
        <v>29</v>
      </c>
      <c r="G128" s="17" t="s">
        <v>30</v>
      </c>
      <c r="H128" s="18">
        <f>ROUND(RAND()*4+6,1)</f>
      </c>
      <c r="I128" s="17" t="s">
        <v>31</v>
      </c>
      <c r="J128" s="19">
        <f>ROUND(87*1,0)&amp;"%"</f>
      </c>
    </row>
    <row x14ac:dyDescent="0.25" r="129" customHeight="1" ht="17.25">
      <c r="A129" s="20" t="s">
        <v>6097</v>
      </c>
      <c r="B129" s="20" t="s">
        <v>230</v>
      </c>
      <c r="C129" s="20" t="s">
        <v>95</v>
      </c>
      <c r="D129" s="20" t="s">
        <v>34</v>
      </c>
      <c r="E129" s="22">
        <f>ROUND(12000*1.05,2)</f>
      </c>
      <c r="F129" s="20" t="s">
        <v>35</v>
      </c>
      <c r="G129" s="20" t="s">
        <v>18</v>
      </c>
      <c r="H129" s="21">
        <f>ROUND(RAND()*4+6,1)</f>
      </c>
      <c r="I129" s="20" t="s">
        <v>36</v>
      </c>
      <c r="J129" s="23">
        <f>ROUND(99*1,0)&amp;"%"</f>
      </c>
    </row>
    <row x14ac:dyDescent="0.25" r="130" customHeight="1" ht="17.25">
      <c r="A130" s="17" t="s">
        <v>6098</v>
      </c>
      <c r="B130" s="17" t="s">
        <v>232</v>
      </c>
      <c r="C130" s="17" t="s">
        <v>95</v>
      </c>
      <c r="D130" s="17" t="s">
        <v>39</v>
      </c>
      <c r="E130" s="18">
        <f>ROUND(9665*1.05,2)</f>
      </c>
      <c r="F130" s="17" t="s">
        <v>40</v>
      </c>
      <c r="G130" s="17" t="s">
        <v>24</v>
      </c>
      <c r="H130" s="18">
        <f>ROUND(RAND()*4+6,1)</f>
      </c>
      <c r="I130" s="17" t="s">
        <v>41</v>
      </c>
      <c r="J130" s="19">
        <f>ROUND(78*1,0)&amp;"%"</f>
      </c>
    </row>
    <row x14ac:dyDescent="0.25" r="131" customHeight="1" ht="17.25">
      <c r="A131" s="20" t="s">
        <v>6099</v>
      </c>
      <c r="B131" s="20" t="s">
        <v>234</v>
      </c>
      <c r="C131" s="20" t="s">
        <v>95</v>
      </c>
      <c r="D131" s="20" t="s">
        <v>67</v>
      </c>
      <c r="E131" s="21">
        <f>ROUND(7097*1.05,2)</f>
      </c>
      <c r="F131" s="20" t="s">
        <v>44</v>
      </c>
      <c r="G131" s="20" t="s">
        <v>30</v>
      </c>
      <c r="H131" s="21">
        <f>ROUND(RAND()*4+6,1)</f>
      </c>
      <c r="I131" s="20" t="s">
        <v>45</v>
      </c>
      <c r="J131" s="23">
        <f>ROUND(97*1,0)&amp;"%"</f>
      </c>
    </row>
    <row x14ac:dyDescent="0.25" r="132" customHeight="1" ht="17.25">
      <c r="A132" s="17" t="s">
        <v>6100</v>
      </c>
      <c r="B132" s="17" t="s">
        <v>236</v>
      </c>
      <c r="C132" s="17" t="s">
        <v>95</v>
      </c>
      <c r="D132" s="17" t="s">
        <v>16</v>
      </c>
      <c r="E132" s="18">
        <f>ROUND(12442*1.05,2)</f>
      </c>
      <c r="F132" s="17" t="s">
        <v>48</v>
      </c>
      <c r="G132" s="17" t="s">
        <v>18</v>
      </c>
      <c r="H132" s="18">
        <f>ROUND(RAND()*4+6,1)</f>
      </c>
      <c r="I132" s="17" t="s">
        <v>19</v>
      </c>
      <c r="J132" s="19">
        <f>ROUND(61*1,0)&amp;"%"</f>
      </c>
    </row>
    <row x14ac:dyDescent="0.25" r="133" customHeight="1" ht="17.25">
      <c r="A133" s="20" t="s">
        <v>6101</v>
      </c>
      <c r="B133" s="20" t="s">
        <v>238</v>
      </c>
      <c r="C133" s="20" t="s">
        <v>95</v>
      </c>
      <c r="D133" s="20" t="s">
        <v>22</v>
      </c>
      <c r="E133" s="21">
        <f>ROUND(6737*1.05,2)</f>
      </c>
      <c r="F133" s="20" t="s">
        <v>51</v>
      </c>
      <c r="G133" s="20" t="s">
        <v>24</v>
      </c>
      <c r="H133" s="21">
        <f>ROUND(RAND()*4+6,1)</f>
      </c>
      <c r="I133" s="20" t="s">
        <v>25</v>
      </c>
      <c r="J133" s="23">
        <f>ROUND(67*1,0)&amp;"%"</f>
      </c>
    </row>
    <row x14ac:dyDescent="0.25" r="134" customHeight="1" ht="17.25">
      <c r="A134" s="24" t="s">
        <v>239</v>
      </c>
      <c r="B134" s="24"/>
      <c r="C134" s="24"/>
      <c r="D134" s="24"/>
      <c r="E134" s="25">
        <v>8</v>
      </c>
      <c r="F134" s="9"/>
      <c r="G134" s="9"/>
      <c r="H134" s="10"/>
      <c r="I134" s="9"/>
      <c r="J134" s="9"/>
    </row>
    <row x14ac:dyDescent="0.25" r="135" customHeight="1" ht="17.25">
      <c r="A135" s="7"/>
      <c r="B135" s="7"/>
      <c r="C135" s="7"/>
      <c r="D135" s="7"/>
      <c r="E135" s="8"/>
      <c r="F135" s="9"/>
      <c r="G135" s="9"/>
      <c r="H135" s="10"/>
      <c r="I135" s="9"/>
      <c r="J135" s="9"/>
    </row>
    <row x14ac:dyDescent="0.25" r="136" customHeight="1" ht="17.25">
      <c r="A136" s="11" t="s">
        <v>6102</v>
      </c>
      <c r="B136" s="11"/>
      <c r="C136" s="11"/>
      <c r="D136" s="11"/>
      <c r="E136" s="12"/>
      <c r="F136" s="11"/>
      <c r="G136" s="11"/>
      <c r="H136" s="13"/>
      <c r="I136" s="11"/>
      <c r="J136" s="11"/>
    </row>
    <row x14ac:dyDescent="0.25" r="137" customHeight="1" ht="17.25">
      <c r="A137" s="14" t="s">
        <v>3</v>
      </c>
      <c r="B137" s="14" t="s">
        <v>4</v>
      </c>
      <c r="C137" s="14" t="s">
        <v>5</v>
      </c>
      <c r="D137" s="14" t="s">
        <v>6</v>
      </c>
      <c r="E137" s="15" t="s">
        <v>7</v>
      </c>
      <c r="F137" s="14" t="s">
        <v>8</v>
      </c>
      <c r="G137" s="14" t="s">
        <v>9</v>
      </c>
      <c r="H137" s="16" t="s">
        <v>10</v>
      </c>
      <c r="I137" s="14" t="s">
        <v>11</v>
      </c>
      <c r="J137" s="14" t="s">
        <v>12</v>
      </c>
    </row>
    <row x14ac:dyDescent="0.25" r="138" customHeight="1" ht="17.25">
      <c r="A138" s="17" t="s">
        <v>6103</v>
      </c>
      <c r="B138" s="17" t="s">
        <v>242</v>
      </c>
      <c r="C138" s="17" t="s">
        <v>114</v>
      </c>
      <c r="D138" s="17" t="s">
        <v>16</v>
      </c>
      <c r="E138" s="18">
        <f>ROUND(14212*1.05,2)</f>
      </c>
      <c r="F138" s="17" t="s">
        <v>17</v>
      </c>
      <c r="G138" s="17" t="s">
        <v>18</v>
      </c>
      <c r="H138" s="18">
        <f>ROUND(RAND()*4+6,1)</f>
      </c>
      <c r="I138" s="17" t="s">
        <v>19</v>
      </c>
      <c r="J138" s="19">
        <f>ROUND(62*1,0)&amp;"%"</f>
      </c>
    </row>
    <row x14ac:dyDescent="0.25" r="139" customHeight="1" ht="17.25">
      <c r="A139" s="20" t="s">
        <v>6104</v>
      </c>
      <c r="B139" s="20" t="s">
        <v>244</v>
      </c>
      <c r="C139" s="20" t="s">
        <v>114</v>
      </c>
      <c r="D139" s="20" t="s">
        <v>22</v>
      </c>
      <c r="E139" s="21">
        <f>ROUND(12772*1.05,2)</f>
      </c>
      <c r="F139" s="20" t="s">
        <v>23</v>
      </c>
      <c r="G139" s="20" t="s">
        <v>24</v>
      </c>
      <c r="H139" s="21">
        <f>ROUND(RAND()*4+6,1)</f>
      </c>
      <c r="I139" s="20" t="s">
        <v>25</v>
      </c>
      <c r="J139" s="23">
        <f>ROUND(67*1,0)&amp;"%"</f>
      </c>
    </row>
    <row x14ac:dyDescent="0.25" r="140" customHeight="1" ht="17.25">
      <c r="A140" s="17" t="s">
        <v>6105</v>
      </c>
      <c r="B140" s="17" t="s">
        <v>246</v>
      </c>
      <c r="C140" s="17" t="s">
        <v>114</v>
      </c>
      <c r="D140" s="17" t="s">
        <v>28</v>
      </c>
      <c r="E140" s="18">
        <f>ROUND(6310*1.05,2)</f>
      </c>
      <c r="F140" s="17" t="s">
        <v>29</v>
      </c>
      <c r="G140" s="17" t="s">
        <v>30</v>
      </c>
      <c r="H140" s="18">
        <f>ROUND(RAND()*4+6,1)</f>
      </c>
      <c r="I140" s="17" t="s">
        <v>31</v>
      </c>
      <c r="J140" s="19">
        <f>ROUND(66*1,0)&amp;"%"</f>
      </c>
    </row>
    <row x14ac:dyDescent="0.25" r="141" customHeight="1" ht="17.25">
      <c r="A141" s="20" t="s">
        <v>6106</v>
      </c>
      <c r="B141" s="20" t="s">
        <v>248</v>
      </c>
      <c r="C141" s="20" t="s">
        <v>114</v>
      </c>
      <c r="D141" s="20" t="s">
        <v>34</v>
      </c>
      <c r="E141" s="21">
        <f>ROUND(6145*1.05,2)</f>
      </c>
      <c r="F141" s="20" t="s">
        <v>35</v>
      </c>
      <c r="G141" s="20" t="s">
        <v>18</v>
      </c>
      <c r="H141" s="22">
        <f>ROUND(RAND()*4+6,1)</f>
      </c>
      <c r="I141" s="20" t="s">
        <v>36</v>
      </c>
      <c r="J141" s="23">
        <f>ROUND(86*1,0)&amp;"%"</f>
      </c>
    </row>
    <row x14ac:dyDescent="0.25" r="142" customHeight="1" ht="17.25">
      <c r="A142" s="17" t="s">
        <v>6107</v>
      </c>
      <c r="B142" s="17" t="s">
        <v>250</v>
      </c>
      <c r="C142" s="17" t="s">
        <v>114</v>
      </c>
      <c r="D142" s="17" t="s">
        <v>39</v>
      </c>
      <c r="E142" s="18">
        <f>ROUND(9068*1.05,2)</f>
      </c>
      <c r="F142" s="17" t="s">
        <v>40</v>
      </c>
      <c r="G142" s="17" t="s">
        <v>24</v>
      </c>
      <c r="H142" s="18">
        <f>ROUND(RAND()*4+6,1)</f>
      </c>
      <c r="I142" s="17" t="s">
        <v>41</v>
      </c>
      <c r="J142" s="19">
        <f>ROUND(70*1,0)&amp;"%"</f>
      </c>
    </row>
    <row x14ac:dyDescent="0.25" r="143" customHeight="1" ht="17.25">
      <c r="A143" s="20" t="s">
        <v>6108</v>
      </c>
      <c r="B143" s="20" t="s">
        <v>252</v>
      </c>
      <c r="C143" s="20" t="s">
        <v>114</v>
      </c>
      <c r="D143" s="20" t="s">
        <v>67</v>
      </c>
      <c r="E143" s="21">
        <f>ROUND(13504*1.05,2)</f>
      </c>
      <c r="F143" s="20" t="s">
        <v>44</v>
      </c>
      <c r="G143" s="20" t="s">
        <v>30</v>
      </c>
      <c r="H143" s="21">
        <f>ROUND(RAND()*4+6,1)</f>
      </c>
      <c r="I143" s="20" t="s">
        <v>45</v>
      </c>
      <c r="J143" s="23">
        <f>ROUND(91*1,0)&amp;"%"</f>
      </c>
    </row>
    <row x14ac:dyDescent="0.25" r="144" customHeight="1" ht="17.25">
      <c r="A144" s="17" t="s">
        <v>6109</v>
      </c>
      <c r="B144" s="17" t="s">
        <v>254</v>
      </c>
      <c r="C144" s="17" t="s">
        <v>114</v>
      </c>
      <c r="D144" s="17" t="s">
        <v>16</v>
      </c>
      <c r="E144" s="18">
        <f>ROUND(17395*1.05,2)</f>
      </c>
      <c r="F144" s="17" t="s">
        <v>48</v>
      </c>
      <c r="G144" s="17" t="s">
        <v>18</v>
      </c>
      <c r="H144" s="18">
        <f>ROUND(RAND()*4+6,1)</f>
      </c>
      <c r="I144" s="17" t="s">
        <v>19</v>
      </c>
      <c r="J144" s="19">
        <f>ROUND(73*1,0)&amp;"%"</f>
      </c>
    </row>
    <row x14ac:dyDescent="0.25" r="145" customHeight="1" ht="17.25">
      <c r="A145" s="20" t="s">
        <v>6110</v>
      </c>
      <c r="B145" s="20" t="s">
        <v>256</v>
      </c>
      <c r="C145" s="20" t="s">
        <v>114</v>
      </c>
      <c r="D145" s="20" t="s">
        <v>22</v>
      </c>
      <c r="E145" s="21">
        <f>ROUND(10244*1.05,2)</f>
      </c>
      <c r="F145" s="20" t="s">
        <v>51</v>
      </c>
      <c r="G145" s="20" t="s">
        <v>24</v>
      </c>
      <c r="H145" s="21">
        <f>ROUND(RAND()*4+6,1)</f>
      </c>
      <c r="I145" s="20" t="s">
        <v>25</v>
      </c>
      <c r="J145" s="23">
        <f>ROUND(93*1,0)&amp;"%"</f>
      </c>
    </row>
    <row x14ac:dyDescent="0.25" r="146" customHeight="1" ht="17.25">
      <c r="A146" s="24" t="s">
        <v>257</v>
      </c>
      <c r="B146" s="24"/>
      <c r="C146" s="24"/>
      <c r="D146" s="24"/>
      <c r="E146" s="25">
        <v>8</v>
      </c>
      <c r="F146" s="9"/>
      <c r="G146" s="9"/>
      <c r="H146" s="10"/>
      <c r="I146" s="9"/>
      <c r="J146" s="9"/>
    </row>
    <row x14ac:dyDescent="0.25" r="147" customHeight="1" ht="17.25">
      <c r="A147" s="7"/>
      <c r="B147" s="7"/>
      <c r="C147" s="7"/>
      <c r="D147" s="7"/>
      <c r="E147" s="8"/>
      <c r="F147" s="9"/>
      <c r="G147" s="9"/>
      <c r="H147" s="10"/>
      <c r="I147" s="9"/>
      <c r="J147" s="9"/>
    </row>
    <row x14ac:dyDescent="0.25" r="148" customHeight="1" ht="17.25">
      <c r="A148" s="11" t="s">
        <v>6111</v>
      </c>
      <c r="B148" s="11"/>
      <c r="C148" s="11"/>
      <c r="D148" s="11"/>
      <c r="E148" s="12"/>
      <c r="F148" s="11"/>
      <c r="G148" s="11"/>
      <c r="H148" s="13"/>
      <c r="I148" s="11"/>
      <c r="J148" s="11"/>
    </row>
    <row x14ac:dyDescent="0.25" r="149" customHeight="1" ht="17.25">
      <c r="A149" s="14" t="s">
        <v>3</v>
      </c>
      <c r="B149" s="14" t="s">
        <v>4</v>
      </c>
      <c r="C149" s="14" t="s">
        <v>5</v>
      </c>
      <c r="D149" s="14" t="s">
        <v>6</v>
      </c>
      <c r="E149" s="15" t="s">
        <v>7</v>
      </c>
      <c r="F149" s="14" t="s">
        <v>8</v>
      </c>
      <c r="G149" s="14" t="s">
        <v>9</v>
      </c>
      <c r="H149" s="16" t="s">
        <v>10</v>
      </c>
      <c r="I149" s="14" t="s">
        <v>11</v>
      </c>
      <c r="J149" s="14" t="s">
        <v>12</v>
      </c>
    </row>
    <row x14ac:dyDescent="0.25" r="150" customHeight="1" ht="17.25">
      <c r="A150" s="17" t="s">
        <v>6112</v>
      </c>
      <c r="B150" s="17" t="s">
        <v>260</v>
      </c>
      <c r="C150" s="17" t="s">
        <v>133</v>
      </c>
      <c r="D150" s="17" t="s">
        <v>16</v>
      </c>
      <c r="E150" s="18">
        <f>ROUND(17583*1.05,2)</f>
      </c>
      <c r="F150" s="17" t="s">
        <v>17</v>
      </c>
      <c r="G150" s="17" t="s">
        <v>18</v>
      </c>
      <c r="H150" s="18">
        <f>ROUND(RAND()*4+6,1)</f>
      </c>
      <c r="I150" s="17" t="s">
        <v>19</v>
      </c>
      <c r="J150" s="19">
        <f>ROUND(87*1,0)&amp;"%"</f>
      </c>
    </row>
    <row x14ac:dyDescent="0.25" r="151" customHeight="1" ht="17.25">
      <c r="A151" s="20" t="s">
        <v>6113</v>
      </c>
      <c r="B151" s="20" t="s">
        <v>262</v>
      </c>
      <c r="C151" s="20" t="s">
        <v>133</v>
      </c>
      <c r="D151" s="20" t="s">
        <v>22</v>
      </c>
      <c r="E151" s="21">
        <f>ROUND(11748*1.05,2)</f>
      </c>
      <c r="F151" s="20" t="s">
        <v>23</v>
      </c>
      <c r="G151" s="20" t="s">
        <v>24</v>
      </c>
      <c r="H151" s="21">
        <f>ROUND(RAND()*4+6,1)</f>
      </c>
      <c r="I151" s="20" t="s">
        <v>25</v>
      </c>
      <c r="J151" s="23">
        <f>ROUND(71*1,0)&amp;"%"</f>
      </c>
    </row>
    <row x14ac:dyDescent="0.25" r="152" customHeight="1" ht="17.25">
      <c r="A152" s="17" t="s">
        <v>6114</v>
      </c>
      <c r="B152" s="17" t="s">
        <v>264</v>
      </c>
      <c r="C152" s="17" t="s">
        <v>133</v>
      </c>
      <c r="D152" s="17" t="s">
        <v>28</v>
      </c>
      <c r="E152" s="18">
        <f>ROUND(8336*1.05,2)</f>
      </c>
      <c r="F152" s="17" t="s">
        <v>29</v>
      </c>
      <c r="G152" s="17" t="s">
        <v>30</v>
      </c>
      <c r="H152" s="18">
        <f>ROUND(RAND()*4+6,1)</f>
      </c>
      <c r="I152" s="17" t="s">
        <v>31</v>
      </c>
      <c r="J152" s="19">
        <f>ROUND(70*1,0)&amp;"%"</f>
      </c>
    </row>
    <row x14ac:dyDescent="0.25" r="153" customHeight="1" ht="17.25">
      <c r="A153" s="20" t="s">
        <v>6115</v>
      </c>
      <c r="B153" s="20" t="s">
        <v>266</v>
      </c>
      <c r="C153" s="20" t="s">
        <v>133</v>
      </c>
      <c r="D153" s="20" t="s">
        <v>34</v>
      </c>
      <c r="E153" s="21">
        <f>ROUND(10749*1.05,2)</f>
      </c>
      <c r="F153" s="20" t="s">
        <v>35</v>
      </c>
      <c r="G153" s="20" t="s">
        <v>18</v>
      </c>
      <c r="H153" s="21">
        <f>ROUND(RAND()*4+6,1)</f>
      </c>
      <c r="I153" s="20" t="s">
        <v>36</v>
      </c>
      <c r="J153" s="23">
        <f>ROUND(81*1,0)&amp;"%"</f>
      </c>
    </row>
    <row x14ac:dyDescent="0.25" r="154" customHeight="1" ht="17.25">
      <c r="A154" s="17" t="s">
        <v>6116</v>
      </c>
      <c r="B154" s="17" t="s">
        <v>268</v>
      </c>
      <c r="C154" s="17" t="s">
        <v>133</v>
      </c>
      <c r="D154" s="17" t="s">
        <v>39</v>
      </c>
      <c r="E154" s="18">
        <f>ROUND(9968*1.05,2)</f>
      </c>
      <c r="F154" s="17" t="s">
        <v>40</v>
      </c>
      <c r="G154" s="17" t="s">
        <v>24</v>
      </c>
      <c r="H154" s="18">
        <f>ROUND(RAND()*4+6,1)</f>
      </c>
      <c r="I154" s="17" t="s">
        <v>41</v>
      </c>
      <c r="J154" s="19">
        <f>ROUND(100*1,0)&amp;"%"</f>
      </c>
    </row>
    <row x14ac:dyDescent="0.25" r="155" customHeight="1" ht="17.25">
      <c r="A155" s="20" t="s">
        <v>6117</v>
      </c>
      <c r="B155" s="20" t="s">
        <v>270</v>
      </c>
      <c r="C155" s="20" t="s">
        <v>133</v>
      </c>
      <c r="D155" s="20" t="s">
        <v>67</v>
      </c>
      <c r="E155" s="21">
        <f>ROUND(12697*1.05,2)</f>
      </c>
      <c r="F155" s="20" t="s">
        <v>44</v>
      </c>
      <c r="G155" s="20" t="s">
        <v>30</v>
      </c>
      <c r="H155" s="21">
        <f>ROUND(RAND()*4+6,1)</f>
      </c>
      <c r="I155" s="20" t="s">
        <v>45</v>
      </c>
      <c r="J155" s="23">
        <f>ROUND(68*1,0)&amp;"%"</f>
      </c>
    </row>
    <row x14ac:dyDescent="0.25" r="156" customHeight="1" ht="17.25">
      <c r="A156" s="17" t="s">
        <v>6118</v>
      </c>
      <c r="B156" s="17" t="s">
        <v>272</v>
      </c>
      <c r="C156" s="17" t="s">
        <v>133</v>
      </c>
      <c r="D156" s="17" t="s">
        <v>16</v>
      </c>
      <c r="E156" s="18">
        <f>ROUND(16904*1.05,2)</f>
      </c>
      <c r="F156" s="17" t="s">
        <v>48</v>
      </c>
      <c r="G156" s="17" t="s">
        <v>18</v>
      </c>
      <c r="H156" s="18">
        <f>ROUND(RAND()*4+6,1)</f>
      </c>
      <c r="I156" s="17" t="s">
        <v>19</v>
      </c>
      <c r="J156" s="19">
        <f>ROUND(69*1,0)&amp;"%"</f>
      </c>
    </row>
    <row x14ac:dyDescent="0.25" r="157" customHeight="1" ht="17.25">
      <c r="A157" s="20" t="s">
        <v>6119</v>
      </c>
      <c r="B157" s="20" t="s">
        <v>274</v>
      </c>
      <c r="C157" s="20" t="s">
        <v>133</v>
      </c>
      <c r="D157" s="20" t="s">
        <v>22</v>
      </c>
      <c r="E157" s="21">
        <f>ROUND(8577*1.05,2)</f>
      </c>
      <c r="F157" s="20" t="s">
        <v>51</v>
      </c>
      <c r="G157" s="20" t="s">
        <v>24</v>
      </c>
      <c r="H157" s="21">
        <f>ROUND(RAND()*4+6,1)</f>
      </c>
      <c r="I157" s="20" t="s">
        <v>25</v>
      </c>
      <c r="J157" s="23">
        <f>ROUND(92*1,0)&amp;"%"</f>
      </c>
    </row>
    <row x14ac:dyDescent="0.25" r="158" customHeight="1" ht="17.25">
      <c r="A158" s="24" t="s">
        <v>275</v>
      </c>
      <c r="B158" s="24"/>
      <c r="C158" s="24"/>
      <c r="D158" s="24"/>
      <c r="E158" s="25">
        <v>8</v>
      </c>
      <c r="F158" s="9"/>
      <c r="G158" s="9"/>
      <c r="H158" s="10"/>
      <c r="I158" s="9"/>
      <c r="J158" s="9"/>
    </row>
    <row x14ac:dyDescent="0.25" r="159" customHeight="1" ht="17.25">
      <c r="A159" s="7"/>
      <c r="B159" s="7"/>
      <c r="C159" s="7"/>
      <c r="D159" s="7"/>
      <c r="E159" s="8"/>
      <c r="F159" s="9"/>
      <c r="G159" s="9"/>
      <c r="H159" s="10"/>
      <c r="I159" s="9"/>
      <c r="J159" s="9"/>
    </row>
    <row x14ac:dyDescent="0.25" r="160" customHeight="1" ht="17.25">
      <c r="A160" s="11" t="s">
        <v>6120</v>
      </c>
      <c r="B160" s="11"/>
      <c r="C160" s="11"/>
      <c r="D160" s="11"/>
      <c r="E160" s="12"/>
      <c r="F160" s="11"/>
      <c r="G160" s="11"/>
      <c r="H160" s="13"/>
      <c r="I160" s="11"/>
      <c r="J160" s="11"/>
    </row>
    <row x14ac:dyDescent="0.25" r="161" customHeight="1" ht="17.25">
      <c r="A161" s="14" t="s">
        <v>3</v>
      </c>
      <c r="B161" s="14" t="s">
        <v>4</v>
      </c>
      <c r="C161" s="14" t="s">
        <v>5</v>
      </c>
      <c r="D161" s="14" t="s">
        <v>6</v>
      </c>
      <c r="E161" s="15" t="s">
        <v>7</v>
      </c>
      <c r="F161" s="14" t="s">
        <v>8</v>
      </c>
      <c r="G161" s="14" t="s">
        <v>9</v>
      </c>
      <c r="H161" s="16" t="s">
        <v>10</v>
      </c>
      <c r="I161" s="14" t="s">
        <v>11</v>
      </c>
      <c r="J161" s="14" t="s">
        <v>12</v>
      </c>
    </row>
    <row x14ac:dyDescent="0.25" r="162" customHeight="1" ht="17.25">
      <c r="A162" s="17" t="s">
        <v>6121</v>
      </c>
      <c r="B162" s="17" t="s">
        <v>278</v>
      </c>
      <c r="C162" s="17" t="s">
        <v>152</v>
      </c>
      <c r="D162" s="17" t="s">
        <v>16</v>
      </c>
      <c r="E162" s="18">
        <f>ROUND(12417*1.05,2)</f>
      </c>
      <c r="F162" s="17" t="s">
        <v>17</v>
      </c>
      <c r="G162" s="17" t="s">
        <v>18</v>
      </c>
      <c r="H162" s="18">
        <f>ROUND(RAND()*4+6,1)</f>
      </c>
      <c r="I162" s="17" t="s">
        <v>19</v>
      </c>
      <c r="J162" s="19">
        <f>ROUND(93*1,0)&amp;"%"</f>
      </c>
    </row>
    <row x14ac:dyDescent="0.25" r="163" customHeight="1" ht="17.25">
      <c r="A163" s="20" t="s">
        <v>6122</v>
      </c>
      <c r="B163" s="20" t="s">
        <v>280</v>
      </c>
      <c r="C163" s="20" t="s">
        <v>152</v>
      </c>
      <c r="D163" s="20" t="s">
        <v>22</v>
      </c>
      <c r="E163" s="21">
        <f>ROUND(5230*1.05,2)</f>
      </c>
      <c r="F163" s="20" t="s">
        <v>23</v>
      </c>
      <c r="G163" s="20" t="s">
        <v>24</v>
      </c>
      <c r="H163" s="21">
        <f>ROUND(RAND()*4+6,1)</f>
      </c>
      <c r="I163" s="20" t="s">
        <v>25</v>
      </c>
      <c r="J163" s="23">
        <f>ROUND(74*1,0)&amp;"%"</f>
      </c>
    </row>
    <row x14ac:dyDescent="0.25" r="164" customHeight="1" ht="17.25">
      <c r="A164" s="17" t="s">
        <v>6123</v>
      </c>
      <c r="B164" s="17" t="s">
        <v>282</v>
      </c>
      <c r="C164" s="17" t="s">
        <v>152</v>
      </c>
      <c r="D164" s="17" t="s">
        <v>28</v>
      </c>
      <c r="E164" s="18">
        <f>ROUND(12231*1.05,2)</f>
      </c>
      <c r="F164" s="17" t="s">
        <v>29</v>
      </c>
      <c r="G164" s="17" t="s">
        <v>30</v>
      </c>
      <c r="H164" s="26">
        <f>ROUND(RAND()*4+6,1)</f>
      </c>
      <c r="I164" s="17" t="s">
        <v>31</v>
      </c>
      <c r="J164" s="19">
        <f>ROUND(60*1,0)&amp;"%"</f>
      </c>
    </row>
    <row x14ac:dyDescent="0.25" r="165" customHeight="1" ht="17.25">
      <c r="A165" s="20" t="s">
        <v>6124</v>
      </c>
      <c r="B165" s="20" t="s">
        <v>284</v>
      </c>
      <c r="C165" s="20" t="s">
        <v>152</v>
      </c>
      <c r="D165" s="20" t="s">
        <v>34</v>
      </c>
      <c r="E165" s="21">
        <f>ROUND(15946*1.05,2)</f>
      </c>
      <c r="F165" s="20" t="s">
        <v>35</v>
      </c>
      <c r="G165" s="20" t="s">
        <v>18</v>
      </c>
      <c r="H165" s="21">
        <f>ROUND(RAND()*4+6,1)</f>
      </c>
      <c r="I165" s="20" t="s">
        <v>36</v>
      </c>
      <c r="J165" s="23">
        <f>ROUND(63*1,0)&amp;"%"</f>
      </c>
    </row>
    <row x14ac:dyDescent="0.25" r="166" customHeight="1" ht="17.25">
      <c r="A166" s="17" t="s">
        <v>6125</v>
      </c>
      <c r="B166" s="17" t="s">
        <v>286</v>
      </c>
      <c r="C166" s="17" t="s">
        <v>152</v>
      </c>
      <c r="D166" s="17" t="s">
        <v>39</v>
      </c>
      <c r="E166" s="18">
        <f>ROUND(11465*1.05,2)</f>
      </c>
      <c r="F166" s="17" t="s">
        <v>40</v>
      </c>
      <c r="G166" s="17" t="s">
        <v>24</v>
      </c>
      <c r="H166" s="18">
        <f>ROUND(RAND()*4+6,1)</f>
      </c>
      <c r="I166" s="17" t="s">
        <v>41</v>
      </c>
      <c r="J166" s="19">
        <f>ROUND(97*1,0)&amp;"%"</f>
      </c>
    </row>
    <row x14ac:dyDescent="0.25" r="167" customHeight="1" ht="17.25">
      <c r="A167" s="20" t="s">
        <v>6126</v>
      </c>
      <c r="B167" s="20" t="s">
        <v>288</v>
      </c>
      <c r="C167" s="20" t="s">
        <v>152</v>
      </c>
      <c r="D167" s="20" t="s">
        <v>67</v>
      </c>
      <c r="E167" s="21">
        <f>ROUND(7730*1.05,2)</f>
      </c>
      <c r="F167" s="20" t="s">
        <v>44</v>
      </c>
      <c r="G167" s="20" t="s">
        <v>30</v>
      </c>
      <c r="H167" s="21">
        <f>ROUND(RAND()*4+6,1)</f>
      </c>
      <c r="I167" s="20" t="s">
        <v>45</v>
      </c>
      <c r="J167" s="23">
        <f>ROUND(96*1,0)&amp;"%"</f>
      </c>
    </row>
    <row x14ac:dyDescent="0.25" r="168" customHeight="1" ht="17.25">
      <c r="A168" s="17" t="s">
        <v>6127</v>
      </c>
      <c r="B168" s="17" t="s">
        <v>290</v>
      </c>
      <c r="C168" s="17" t="s">
        <v>152</v>
      </c>
      <c r="D168" s="17" t="s">
        <v>16</v>
      </c>
      <c r="E168" s="18">
        <f>ROUND(4993*1.05,2)</f>
      </c>
      <c r="F168" s="17" t="s">
        <v>48</v>
      </c>
      <c r="G168" s="17" t="s">
        <v>18</v>
      </c>
      <c r="H168" s="18">
        <f>ROUND(RAND()*4+6,1)</f>
      </c>
      <c r="I168" s="17" t="s">
        <v>19</v>
      </c>
      <c r="J168" s="19">
        <f>ROUND(64*1,0)&amp;"%"</f>
      </c>
    </row>
    <row x14ac:dyDescent="0.25" r="169" customHeight="1" ht="17.25">
      <c r="A169" s="20" t="s">
        <v>6128</v>
      </c>
      <c r="B169" s="20" t="s">
        <v>292</v>
      </c>
      <c r="C169" s="20" t="s">
        <v>152</v>
      </c>
      <c r="D169" s="20" t="s">
        <v>22</v>
      </c>
      <c r="E169" s="21">
        <f>ROUND(11823*1.05,2)</f>
      </c>
      <c r="F169" s="20" t="s">
        <v>51</v>
      </c>
      <c r="G169" s="20" t="s">
        <v>24</v>
      </c>
      <c r="H169" s="21">
        <f>ROUND(RAND()*4+6,1)</f>
      </c>
      <c r="I169" s="20" t="s">
        <v>25</v>
      </c>
      <c r="J169" s="23">
        <f>ROUND(92*1,0)&amp;"%"</f>
      </c>
    </row>
    <row x14ac:dyDescent="0.25" r="170" customHeight="1" ht="17.25">
      <c r="A170" s="24" t="s">
        <v>293</v>
      </c>
      <c r="B170" s="24"/>
      <c r="C170" s="24"/>
      <c r="D170" s="24"/>
      <c r="E170" s="25">
        <v>8</v>
      </c>
      <c r="F170" s="9"/>
      <c r="G170" s="9"/>
      <c r="H170" s="10"/>
      <c r="I170" s="9"/>
      <c r="J170" s="9"/>
    </row>
    <row x14ac:dyDescent="0.25" r="171" customHeight="1" ht="17.25">
      <c r="A171" s="7"/>
      <c r="B171" s="7"/>
      <c r="C171" s="7"/>
      <c r="D171" s="7"/>
      <c r="E171" s="8"/>
      <c r="F171" s="9"/>
      <c r="G171" s="9"/>
      <c r="H171" s="10"/>
      <c r="I171" s="9"/>
      <c r="J171" s="9"/>
    </row>
    <row x14ac:dyDescent="0.25" r="172" customHeight="1" ht="17.25">
      <c r="A172" s="11" t="s">
        <v>6129</v>
      </c>
      <c r="B172" s="11"/>
      <c r="C172" s="11"/>
      <c r="D172" s="11"/>
      <c r="E172" s="12"/>
      <c r="F172" s="11"/>
      <c r="G172" s="11"/>
      <c r="H172" s="13"/>
      <c r="I172" s="11"/>
      <c r="J172" s="11"/>
    </row>
    <row x14ac:dyDescent="0.25" r="173" customHeight="1" ht="17.25">
      <c r="A173" s="14" t="s">
        <v>3</v>
      </c>
      <c r="B173" s="14" t="s">
        <v>4</v>
      </c>
      <c r="C173" s="14" t="s">
        <v>5</v>
      </c>
      <c r="D173" s="14" t="s">
        <v>6</v>
      </c>
      <c r="E173" s="15" t="s">
        <v>7</v>
      </c>
      <c r="F173" s="14" t="s">
        <v>8</v>
      </c>
      <c r="G173" s="14" t="s">
        <v>9</v>
      </c>
      <c r="H173" s="16" t="s">
        <v>10</v>
      </c>
      <c r="I173" s="14" t="s">
        <v>11</v>
      </c>
      <c r="J173" s="14" t="s">
        <v>12</v>
      </c>
    </row>
    <row x14ac:dyDescent="0.25" r="174" customHeight="1" ht="17.25">
      <c r="A174" s="17" t="s">
        <v>6130</v>
      </c>
      <c r="B174" s="17" t="s">
        <v>296</v>
      </c>
      <c r="C174" s="17" t="s">
        <v>15</v>
      </c>
      <c r="D174" s="17" t="s">
        <v>16</v>
      </c>
      <c r="E174" s="26">
        <f>ROUND(13380*1.05,2)</f>
      </c>
      <c r="F174" s="17" t="s">
        <v>17</v>
      </c>
      <c r="G174" s="17" t="s">
        <v>18</v>
      </c>
      <c r="H174" s="18">
        <f>ROUND(RAND()*4+6,1)</f>
      </c>
      <c r="I174" s="17" t="s">
        <v>19</v>
      </c>
      <c r="J174" s="19">
        <f>ROUND(77*1,0)&amp;"%"</f>
      </c>
    </row>
    <row x14ac:dyDescent="0.25" r="175" customHeight="1" ht="17.25">
      <c r="A175" s="20" t="s">
        <v>6131</v>
      </c>
      <c r="B175" s="20" t="s">
        <v>298</v>
      </c>
      <c r="C175" s="20" t="s">
        <v>15</v>
      </c>
      <c r="D175" s="20" t="s">
        <v>22</v>
      </c>
      <c r="E175" s="21">
        <f>ROUND(10162*1.05,2)</f>
      </c>
      <c r="F175" s="20" t="s">
        <v>23</v>
      </c>
      <c r="G175" s="20" t="s">
        <v>24</v>
      </c>
      <c r="H175" s="21">
        <f>ROUND(RAND()*4+6,1)</f>
      </c>
      <c r="I175" s="20" t="s">
        <v>25</v>
      </c>
      <c r="J175" s="23">
        <f>ROUND(95*1,0)&amp;"%"</f>
      </c>
    </row>
    <row x14ac:dyDescent="0.25" r="176" customHeight="1" ht="17.25">
      <c r="A176" s="17" t="s">
        <v>6132</v>
      </c>
      <c r="B176" s="17" t="s">
        <v>300</v>
      </c>
      <c r="C176" s="17" t="s">
        <v>15</v>
      </c>
      <c r="D176" s="17" t="s">
        <v>28</v>
      </c>
      <c r="E176" s="18">
        <f>ROUND(15602*1.05,2)</f>
      </c>
      <c r="F176" s="17" t="s">
        <v>29</v>
      </c>
      <c r="G176" s="17" t="s">
        <v>30</v>
      </c>
      <c r="H176" s="26">
        <f>ROUND(RAND()*4+6,1)</f>
      </c>
      <c r="I176" s="17" t="s">
        <v>31</v>
      </c>
      <c r="J176" s="19">
        <f>ROUND(93*1,0)&amp;"%"</f>
      </c>
    </row>
    <row x14ac:dyDescent="0.25" r="177" customHeight="1" ht="17.25">
      <c r="A177" s="20" t="s">
        <v>6133</v>
      </c>
      <c r="B177" s="20" t="s">
        <v>302</v>
      </c>
      <c r="C177" s="20" t="s">
        <v>15</v>
      </c>
      <c r="D177" s="20" t="s">
        <v>34</v>
      </c>
      <c r="E177" s="21">
        <f>ROUND(5518*1.05,2)</f>
      </c>
      <c r="F177" s="20" t="s">
        <v>35</v>
      </c>
      <c r="G177" s="20" t="s">
        <v>18</v>
      </c>
      <c r="H177" s="21">
        <f>ROUND(RAND()*4+6,1)</f>
      </c>
      <c r="I177" s="20" t="s">
        <v>36</v>
      </c>
      <c r="J177" s="23">
        <f>ROUND(98*1,0)&amp;"%"</f>
      </c>
    </row>
    <row x14ac:dyDescent="0.25" r="178" customHeight="1" ht="17.25">
      <c r="A178" s="17" t="s">
        <v>6134</v>
      </c>
      <c r="B178" s="17" t="s">
        <v>304</v>
      </c>
      <c r="C178" s="17" t="s">
        <v>15</v>
      </c>
      <c r="D178" s="17" t="s">
        <v>39</v>
      </c>
      <c r="E178" s="18">
        <f>ROUND(17670*1.05,2)</f>
      </c>
      <c r="F178" s="17" t="s">
        <v>40</v>
      </c>
      <c r="G178" s="17" t="s">
        <v>24</v>
      </c>
      <c r="H178" s="18">
        <f>ROUND(RAND()*4+6,1)</f>
      </c>
      <c r="I178" s="17" t="s">
        <v>41</v>
      </c>
      <c r="J178" s="19">
        <f>ROUND(63*1,0)&amp;"%"</f>
      </c>
    </row>
    <row x14ac:dyDescent="0.25" r="179" customHeight="1" ht="17.25">
      <c r="A179" s="20" t="s">
        <v>6135</v>
      </c>
      <c r="B179" s="20" t="s">
        <v>306</v>
      </c>
      <c r="C179" s="20" t="s">
        <v>15</v>
      </c>
      <c r="D179" s="20" t="s">
        <v>67</v>
      </c>
      <c r="E179" s="21">
        <f>ROUND(9778*1.05,2)</f>
      </c>
      <c r="F179" s="20" t="s">
        <v>44</v>
      </c>
      <c r="G179" s="20" t="s">
        <v>30</v>
      </c>
      <c r="H179" s="21">
        <f>ROUND(RAND()*4+6,1)</f>
      </c>
      <c r="I179" s="20" t="s">
        <v>45</v>
      </c>
      <c r="J179" s="23">
        <f>ROUND(70*1,0)&amp;"%"</f>
      </c>
    </row>
    <row x14ac:dyDescent="0.25" r="180" customHeight="1" ht="17.25">
      <c r="A180" s="17" t="s">
        <v>6136</v>
      </c>
      <c r="B180" s="17" t="s">
        <v>308</v>
      </c>
      <c r="C180" s="17" t="s">
        <v>15</v>
      </c>
      <c r="D180" s="17" t="s">
        <v>16</v>
      </c>
      <c r="E180" s="18">
        <f>ROUND(11728*1.05,2)</f>
      </c>
      <c r="F180" s="17" t="s">
        <v>48</v>
      </c>
      <c r="G180" s="17" t="s">
        <v>18</v>
      </c>
      <c r="H180" s="18">
        <f>ROUND(RAND()*4+6,1)</f>
      </c>
      <c r="I180" s="17" t="s">
        <v>19</v>
      </c>
      <c r="J180" s="19">
        <f>ROUND(66*1,0)&amp;"%"</f>
      </c>
    </row>
    <row x14ac:dyDescent="0.25" r="181" customHeight="1" ht="17.25">
      <c r="A181" s="20" t="s">
        <v>6137</v>
      </c>
      <c r="B181" s="20" t="s">
        <v>310</v>
      </c>
      <c r="C181" s="20" t="s">
        <v>15</v>
      </c>
      <c r="D181" s="20" t="s">
        <v>22</v>
      </c>
      <c r="E181" s="22">
        <f>ROUND(16280*1.05,2)</f>
      </c>
      <c r="F181" s="20" t="s">
        <v>51</v>
      </c>
      <c r="G181" s="20" t="s">
        <v>24</v>
      </c>
      <c r="H181" s="21">
        <f>ROUND(RAND()*4+6,1)</f>
      </c>
      <c r="I181" s="20" t="s">
        <v>25</v>
      </c>
      <c r="J181" s="23">
        <f>ROUND(87*1,0)&amp;"%"</f>
      </c>
    </row>
    <row x14ac:dyDescent="0.25" r="182" customHeight="1" ht="17.25">
      <c r="A182" s="24" t="s">
        <v>311</v>
      </c>
      <c r="B182" s="24"/>
      <c r="C182" s="24"/>
      <c r="D182" s="24"/>
      <c r="E182" s="25">
        <v>8</v>
      </c>
      <c r="F182" s="9"/>
      <c r="G182" s="9"/>
      <c r="H182" s="10"/>
      <c r="I182" s="9"/>
      <c r="J182" s="9"/>
    </row>
    <row x14ac:dyDescent="0.25" r="183" customHeight="1" ht="17.25">
      <c r="A183" s="7"/>
      <c r="B183" s="7"/>
      <c r="C183" s="7"/>
      <c r="D183" s="7"/>
      <c r="E183" s="8"/>
      <c r="F183" s="9"/>
      <c r="G183" s="9"/>
      <c r="H183" s="10"/>
      <c r="I183" s="9"/>
      <c r="J183" s="9"/>
    </row>
    <row x14ac:dyDescent="0.25" r="184" customHeight="1" ht="17.25">
      <c r="A184" s="11" t="s">
        <v>6138</v>
      </c>
      <c r="B184" s="11"/>
      <c r="C184" s="11"/>
      <c r="D184" s="11"/>
      <c r="E184" s="12"/>
      <c r="F184" s="11"/>
      <c r="G184" s="11"/>
      <c r="H184" s="13"/>
      <c r="I184" s="11"/>
      <c r="J184" s="11"/>
    </row>
    <row x14ac:dyDescent="0.25" r="185" customHeight="1" ht="17.25">
      <c r="A185" s="14" t="s">
        <v>3</v>
      </c>
      <c r="B185" s="14" t="s">
        <v>4</v>
      </c>
      <c r="C185" s="14" t="s">
        <v>5</v>
      </c>
      <c r="D185" s="14" t="s">
        <v>6</v>
      </c>
      <c r="E185" s="15" t="s">
        <v>7</v>
      </c>
      <c r="F185" s="14" t="s">
        <v>8</v>
      </c>
      <c r="G185" s="14" t="s">
        <v>9</v>
      </c>
      <c r="H185" s="16" t="s">
        <v>10</v>
      </c>
      <c r="I185" s="14" t="s">
        <v>11</v>
      </c>
      <c r="J185" s="14" t="s">
        <v>12</v>
      </c>
    </row>
    <row x14ac:dyDescent="0.25" r="186" customHeight="1" ht="17.25">
      <c r="A186" s="17" t="s">
        <v>6139</v>
      </c>
      <c r="B186" s="17" t="s">
        <v>314</v>
      </c>
      <c r="C186" s="17" t="s">
        <v>56</v>
      </c>
      <c r="D186" s="17" t="s">
        <v>16</v>
      </c>
      <c r="E186" s="18">
        <f>ROUND(6394*1.05,2)</f>
      </c>
      <c r="F186" s="17" t="s">
        <v>17</v>
      </c>
      <c r="G186" s="17" t="s">
        <v>18</v>
      </c>
      <c r="H186" s="18">
        <f>ROUND(RAND()*4+6,1)</f>
      </c>
      <c r="I186" s="17" t="s">
        <v>19</v>
      </c>
      <c r="J186" s="19">
        <f>ROUND(86*1,0)&amp;"%"</f>
      </c>
    </row>
    <row x14ac:dyDescent="0.25" r="187" customHeight="1" ht="17.25">
      <c r="A187" s="20" t="s">
        <v>6140</v>
      </c>
      <c r="B187" s="20" t="s">
        <v>316</v>
      </c>
      <c r="C187" s="20" t="s">
        <v>56</v>
      </c>
      <c r="D187" s="20" t="s">
        <v>22</v>
      </c>
      <c r="E187" s="21">
        <f>ROUND(10913*1.05,2)</f>
      </c>
      <c r="F187" s="20" t="s">
        <v>23</v>
      </c>
      <c r="G187" s="20" t="s">
        <v>24</v>
      </c>
      <c r="H187" s="22">
        <f>ROUND(RAND()*4+6,1)</f>
      </c>
      <c r="I187" s="20" t="s">
        <v>25</v>
      </c>
      <c r="J187" s="23">
        <f>ROUND(81*1,0)&amp;"%"</f>
      </c>
    </row>
    <row x14ac:dyDescent="0.25" r="188" customHeight="1" ht="17.25">
      <c r="A188" s="17" t="s">
        <v>6141</v>
      </c>
      <c r="B188" s="17" t="s">
        <v>318</v>
      </c>
      <c r="C188" s="17" t="s">
        <v>56</v>
      </c>
      <c r="D188" s="17" t="s">
        <v>28</v>
      </c>
      <c r="E188" s="18">
        <f>ROUND(13776*1.05,2)</f>
      </c>
      <c r="F188" s="17" t="s">
        <v>29</v>
      </c>
      <c r="G188" s="17" t="s">
        <v>30</v>
      </c>
      <c r="H188" s="18">
        <f>ROUND(RAND()*4+6,1)</f>
      </c>
      <c r="I188" s="17" t="s">
        <v>31</v>
      </c>
      <c r="J188" s="19">
        <f>ROUND(100*1,0)&amp;"%"</f>
      </c>
    </row>
    <row x14ac:dyDescent="0.25" r="189" customHeight="1" ht="17.25">
      <c r="A189" s="20" t="s">
        <v>6142</v>
      </c>
      <c r="B189" s="20" t="s">
        <v>320</v>
      </c>
      <c r="C189" s="20" t="s">
        <v>56</v>
      </c>
      <c r="D189" s="20" t="s">
        <v>34</v>
      </c>
      <c r="E189" s="21">
        <f>ROUND(13757*1.05,2)</f>
      </c>
      <c r="F189" s="20" t="s">
        <v>35</v>
      </c>
      <c r="G189" s="20" t="s">
        <v>18</v>
      </c>
      <c r="H189" s="22">
        <f>ROUND(RAND()*4+6,1)</f>
      </c>
      <c r="I189" s="20" t="s">
        <v>36</v>
      </c>
      <c r="J189" s="23">
        <f>ROUND(67*1,0)&amp;"%"</f>
      </c>
    </row>
    <row x14ac:dyDescent="0.25" r="190" customHeight="1" ht="17.25">
      <c r="A190" s="17" t="s">
        <v>6143</v>
      </c>
      <c r="B190" s="17" t="s">
        <v>322</v>
      </c>
      <c r="C190" s="17" t="s">
        <v>56</v>
      </c>
      <c r="D190" s="17" t="s">
        <v>39</v>
      </c>
      <c r="E190" s="18">
        <f>ROUND(12604*1.05,2)</f>
      </c>
      <c r="F190" s="17" t="s">
        <v>40</v>
      </c>
      <c r="G190" s="17" t="s">
        <v>24</v>
      </c>
      <c r="H190" s="18">
        <f>ROUND(RAND()*4+6,1)</f>
      </c>
      <c r="I190" s="17" t="s">
        <v>41</v>
      </c>
      <c r="J190" s="19">
        <f>ROUND(65*1,0)&amp;"%"</f>
      </c>
    </row>
    <row x14ac:dyDescent="0.25" r="191" customHeight="1" ht="17.25">
      <c r="A191" s="20" t="s">
        <v>6144</v>
      </c>
      <c r="B191" s="20" t="s">
        <v>324</v>
      </c>
      <c r="C191" s="20" t="s">
        <v>56</v>
      </c>
      <c r="D191" s="20" t="s">
        <v>67</v>
      </c>
      <c r="E191" s="21">
        <f>ROUND(16013*1.05,2)</f>
      </c>
      <c r="F191" s="20" t="s">
        <v>44</v>
      </c>
      <c r="G191" s="20" t="s">
        <v>30</v>
      </c>
      <c r="H191" s="21">
        <f>ROUND(RAND()*4+6,1)</f>
      </c>
      <c r="I191" s="20" t="s">
        <v>45</v>
      </c>
      <c r="J191" s="23">
        <f>ROUND(66*1,0)&amp;"%"</f>
      </c>
    </row>
    <row x14ac:dyDescent="0.25" r="192" customHeight="1" ht="17.25">
      <c r="A192" s="17" t="s">
        <v>6145</v>
      </c>
      <c r="B192" s="17" t="s">
        <v>326</v>
      </c>
      <c r="C192" s="17" t="s">
        <v>56</v>
      </c>
      <c r="D192" s="17" t="s">
        <v>16</v>
      </c>
      <c r="E192" s="18">
        <f>ROUND(16851*1.05,2)</f>
      </c>
      <c r="F192" s="17" t="s">
        <v>48</v>
      </c>
      <c r="G192" s="17" t="s">
        <v>18</v>
      </c>
      <c r="H192" s="18">
        <f>ROUND(RAND()*4+6,1)</f>
      </c>
      <c r="I192" s="17" t="s">
        <v>19</v>
      </c>
      <c r="J192" s="19">
        <f>ROUND(66*1,0)&amp;"%"</f>
      </c>
    </row>
    <row x14ac:dyDescent="0.25" r="193" customHeight="1" ht="17.25">
      <c r="A193" s="20" t="s">
        <v>6146</v>
      </c>
      <c r="B193" s="20" t="s">
        <v>328</v>
      </c>
      <c r="C193" s="20" t="s">
        <v>56</v>
      </c>
      <c r="D193" s="20" t="s">
        <v>22</v>
      </c>
      <c r="E193" s="21">
        <f>ROUND(10550*1.05,2)</f>
      </c>
      <c r="F193" s="20" t="s">
        <v>51</v>
      </c>
      <c r="G193" s="20" t="s">
        <v>24</v>
      </c>
      <c r="H193" s="21">
        <f>ROUND(RAND()*4+6,1)</f>
      </c>
      <c r="I193" s="20" t="s">
        <v>25</v>
      </c>
      <c r="J193" s="23">
        <f>ROUND(96*1,0)&amp;"%"</f>
      </c>
    </row>
    <row x14ac:dyDescent="0.25" r="194" customHeight="1" ht="17.25">
      <c r="A194" s="24" t="s">
        <v>329</v>
      </c>
      <c r="B194" s="24"/>
      <c r="C194" s="24"/>
      <c r="D194" s="24"/>
      <c r="E194" s="25">
        <v>8</v>
      </c>
      <c r="F194" s="9"/>
      <c r="G194" s="9"/>
      <c r="H194" s="10"/>
      <c r="I194" s="9"/>
      <c r="J194" s="9"/>
    </row>
    <row x14ac:dyDescent="0.25" r="195" customHeight="1" ht="17.25">
      <c r="A195" s="7"/>
      <c r="B195" s="7"/>
      <c r="C195" s="7"/>
      <c r="D195" s="7"/>
      <c r="E195" s="8"/>
      <c r="F195" s="9"/>
      <c r="G195" s="9"/>
      <c r="H195" s="10"/>
      <c r="I195" s="9"/>
      <c r="J195" s="9"/>
    </row>
    <row x14ac:dyDescent="0.25" r="196" customHeight="1" ht="17.25">
      <c r="A196" s="11" t="s">
        <v>6147</v>
      </c>
      <c r="B196" s="11"/>
      <c r="C196" s="11"/>
      <c r="D196" s="11"/>
      <c r="E196" s="12"/>
      <c r="F196" s="11"/>
      <c r="G196" s="11"/>
      <c r="H196" s="13"/>
      <c r="I196" s="11"/>
      <c r="J196" s="11"/>
    </row>
    <row x14ac:dyDescent="0.25" r="197" customHeight="1" ht="17.25">
      <c r="A197" s="14" t="s">
        <v>3</v>
      </c>
      <c r="B197" s="14" t="s">
        <v>4</v>
      </c>
      <c r="C197" s="14" t="s">
        <v>5</v>
      </c>
      <c r="D197" s="14" t="s">
        <v>6</v>
      </c>
      <c r="E197" s="15" t="s">
        <v>7</v>
      </c>
      <c r="F197" s="14" t="s">
        <v>8</v>
      </c>
      <c r="G197" s="14" t="s">
        <v>9</v>
      </c>
      <c r="H197" s="16" t="s">
        <v>10</v>
      </c>
      <c r="I197" s="14" t="s">
        <v>11</v>
      </c>
      <c r="J197" s="14" t="s">
        <v>12</v>
      </c>
    </row>
    <row x14ac:dyDescent="0.25" r="198" customHeight="1" ht="17.25">
      <c r="A198" s="17" t="s">
        <v>6148</v>
      </c>
      <c r="B198" s="17" t="s">
        <v>332</v>
      </c>
      <c r="C198" s="17" t="s">
        <v>76</v>
      </c>
      <c r="D198" s="17" t="s">
        <v>16</v>
      </c>
      <c r="E198" s="18">
        <f>ROUND(10022*1.05,2)</f>
      </c>
      <c r="F198" s="17" t="s">
        <v>17</v>
      </c>
      <c r="G198" s="17" t="s">
        <v>18</v>
      </c>
      <c r="H198" s="18">
        <f>ROUND(RAND()*4+6,1)</f>
      </c>
      <c r="I198" s="17" t="s">
        <v>19</v>
      </c>
      <c r="J198" s="19">
        <f>ROUND(64*1,0)&amp;"%"</f>
      </c>
    </row>
    <row x14ac:dyDescent="0.25" r="199" customHeight="1" ht="17.25">
      <c r="A199" s="20" t="s">
        <v>6149</v>
      </c>
      <c r="B199" s="20" t="s">
        <v>334</v>
      </c>
      <c r="C199" s="20" t="s">
        <v>76</v>
      </c>
      <c r="D199" s="20" t="s">
        <v>22</v>
      </c>
      <c r="E199" s="21">
        <f>ROUND(10287*1.05,2)</f>
      </c>
      <c r="F199" s="20" t="s">
        <v>23</v>
      </c>
      <c r="G199" s="20" t="s">
        <v>24</v>
      </c>
      <c r="H199" s="21">
        <f>ROUND(RAND()*4+6,1)</f>
      </c>
      <c r="I199" s="20" t="s">
        <v>25</v>
      </c>
      <c r="J199" s="23">
        <f>ROUND(83*1,0)&amp;"%"</f>
      </c>
    </row>
    <row x14ac:dyDescent="0.25" r="200" customHeight="1" ht="17.25">
      <c r="A200" s="17" t="s">
        <v>6150</v>
      </c>
      <c r="B200" s="17" t="s">
        <v>336</v>
      </c>
      <c r="C200" s="17" t="s">
        <v>76</v>
      </c>
      <c r="D200" s="17" t="s">
        <v>28</v>
      </c>
      <c r="E200" s="18">
        <f>ROUND(9613*1.05,2)</f>
      </c>
      <c r="F200" s="17" t="s">
        <v>29</v>
      </c>
      <c r="G200" s="17" t="s">
        <v>30</v>
      </c>
      <c r="H200" s="18">
        <f>ROUND(RAND()*4+6,1)</f>
      </c>
      <c r="I200" s="17" t="s">
        <v>31</v>
      </c>
      <c r="J200" s="19">
        <f>ROUND(99*1,0)&amp;"%"</f>
      </c>
    </row>
    <row x14ac:dyDescent="0.25" r="201" customHeight="1" ht="17.25">
      <c r="A201" s="20" t="s">
        <v>6151</v>
      </c>
      <c r="B201" s="20" t="s">
        <v>338</v>
      </c>
      <c r="C201" s="20" t="s">
        <v>76</v>
      </c>
      <c r="D201" s="20" t="s">
        <v>34</v>
      </c>
      <c r="E201" s="21">
        <f>ROUND(12735*1.05,2)</f>
      </c>
      <c r="F201" s="20" t="s">
        <v>35</v>
      </c>
      <c r="G201" s="20" t="s">
        <v>18</v>
      </c>
      <c r="H201" s="21">
        <f>ROUND(RAND()*4+6,1)</f>
      </c>
      <c r="I201" s="20" t="s">
        <v>36</v>
      </c>
      <c r="J201" s="23">
        <f>ROUND(78*1,0)&amp;"%"</f>
      </c>
    </row>
    <row x14ac:dyDescent="0.25" r="202" customHeight="1" ht="17.25">
      <c r="A202" s="17" t="s">
        <v>6152</v>
      </c>
      <c r="B202" s="17" t="s">
        <v>340</v>
      </c>
      <c r="C202" s="17" t="s">
        <v>76</v>
      </c>
      <c r="D202" s="17" t="s">
        <v>39</v>
      </c>
      <c r="E202" s="18">
        <f>ROUND(4505*1.05,2)</f>
      </c>
      <c r="F202" s="17" t="s">
        <v>40</v>
      </c>
      <c r="G202" s="17" t="s">
        <v>24</v>
      </c>
      <c r="H202" s="18">
        <f>ROUND(RAND()*4+6,1)</f>
      </c>
      <c r="I202" s="17" t="s">
        <v>41</v>
      </c>
      <c r="J202" s="19">
        <f>ROUND(100*1,0)&amp;"%"</f>
      </c>
    </row>
    <row x14ac:dyDescent="0.25" r="203" customHeight="1" ht="17.25">
      <c r="A203" s="20" t="s">
        <v>6153</v>
      </c>
      <c r="B203" s="20" t="s">
        <v>342</v>
      </c>
      <c r="C203" s="20" t="s">
        <v>76</v>
      </c>
      <c r="D203" s="20" t="s">
        <v>67</v>
      </c>
      <c r="E203" s="21">
        <f>ROUND(13627*1.05,2)</f>
      </c>
      <c r="F203" s="20" t="s">
        <v>44</v>
      </c>
      <c r="G203" s="20" t="s">
        <v>30</v>
      </c>
      <c r="H203" s="21">
        <f>ROUND(RAND()*4+6,1)</f>
      </c>
      <c r="I203" s="20" t="s">
        <v>45</v>
      </c>
      <c r="J203" s="23">
        <f>ROUND(94*1,0)&amp;"%"</f>
      </c>
    </row>
    <row x14ac:dyDescent="0.25" r="204" customHeight="1" ht="17.25">
      <c r="A204" s="17" t="s">
        <v>6154</v>
      </c>
      <c r="B204" s="17" t="s">
        <v>344</v>
      </c>
      <c r="C204" s="17" t="s">
        <v>76</v>
      </c>
      <c r="D204" s="17" t="s">
        <v>16</v>
      </c>
      <c r="E204" s="18">
        <f>ROUND(16658*1.05,2)</f>
      </c>
      <c r="F204" s="17" t="s">
        <v>48</v>
      </c>
      <c r="G204" s="17" t="s">
        <v>18</v>
      </c>
      <c r="H204" s="18">
        <f>ROUND(RAND()*4+6,1)</f>
      </c>
      <c r="I204" s="17" t="s">
        <v>19</v>
      </c>
      <c r="J204" s="19">
        <f>ROUND(76*1,0)&amp;"%"</f>
      </c>
    </row>
    <row x14ac:dyDescent="0.25" r="205" customHeight="1" ht="17.25">
      <c r="A205" s="20" t="s">
        <v>6155</v>
      </c>
      <c r="B205" s="20" t="s">
        <v>346</v>
      </c>
      <c r="C205" s="20" t="s">
        <v>76</v>
      </c>
      <c r="D205" s="20" t="s">
        <v>22</v>
      </c>
      <c r="E205" s="21">
        <f>ROUND(6535*1.05,2)</f>
      </c>
      <c r="F205" s="20" t="s">
        <v>51</v>
      </c>
      <c r="G205" s="20" t="s">
        <v>24</v>
      </c>
      <c r="H205" s="21">
        <f>ROUND(RAND()*4+6,1)</f>
      </c>
      <c r="I205" s="20" t="s">
        <v>25</v>
      </c>
      <c r="J205" s="23">
        <f>ROUND(75*1,0)&amp;"%"</f>
      </c>
    </row>
    <row x14ac:dyDescent="0.25" r="206" customHeight="1" ht="17.25">
      <c r="A206" s="24" t="s">
        <v>347</v>
      </c>
      <c r="B206" s="24"/>
      <c r="C206" s="24"/>
      <c r="D206" s="24"/>
      <c r="E206" s="25">
        <v>8</v>
      </c>
      <c r="F206" s="9"/>
      <c r="G206" s="9"/>
      <c r="H206" s="10"/>
      <c r="I206" s="9"/>
      <c r="J206" s="9"/>
    </row>
    <row x14ac:dyDescent="0.25" r="207" customHeight="1" ht="17.25">
      <c r="A207" s="7"/>
      <c r="B207" s="7"/>
      <c r="C207" s="7"/>
      <c r="D207" s="7"/>
      <c r="E207" s="8"/>
      <c r="F207" s="9"/>
      <c r="G207" s="9"/>
      <c r="H207" s="10"/>
      <c r="I207" s="9"/>
      <c r="J207" s="9"/>
    </row>
    <row x14ac:dyDescent="0.25" r="208" customHeight="1" ht="17.25">
      <c r="A208" s="11" t="s">
        <v>6156</v>
      </c>
      <c r="B208" s="11"/>
      <c r="C208" s="11"/>
      <c r="D208" s="11"/>
      <c r="E208" s="12"/>
      <c r="F208" s="11"/>
      <c r="G208" s="11"/>
      <c r="H208" s="13"/>
      <c r="I208" s="11"/>
      <c r="J208" s="11"/>
    </row>
    <row x14ac:dyDescent="0.25" r="209" customHeight="1" ht="17.25">
      <c r="A209" s="14" t="s">
        <v>3</v>
      </c>
      <c r="B209" s="14" t="s">
        <v>4</v>
      </c>
      <c r="C209" s="14" t="s">
        <v>5</v>
      </c>
      <c r="D209" s="14" t="s">
        <v>6</v>
      </c>
      <c r="E209" s="15" t="s">
        <v>7</v>
      </c>
      <c r="F209" s="14" t="s">
        <v>8</v>
      </c>
      <c r="G209" s="14" t="s">
        <v>9</v>
      </c>
      <c r="H209" s="16" t="s">
        <v>10</v>
      </c>
      <c r="I209" s="14" t="s">
        <v>11</v>
      </c>
      <c r="J209" s="14" t="s">
        <v>12</v>
      </c>
    </row>
    <row x14ac:dyDescent="0.25" r="210" customHeight="1" ht="17.25">
      <c r="A210" s="17" t="s">
        <v>6157</v>
      </c>
      <c r="B210" s="17" t="s">
        <v>350</v>
      </c>
      <c r="C210" s="17" t="s">
        <v>95</v>
      </c>
      <c r="D210" s="17" t="s">
        <v>16</v>
      </c>
      <c r="E210" s="18">
        <f>ROUND(6079*1.05,2)</f>
      </c>
      <c r="F210" s="17" t="s">
        <v>17</v>
      </c>
      <c r="G210" s="17" t="s">
        <v>18</v>
      </c>
      <c r="H210" s="18">
        <f>ROUND(RAND()*4+6,1)</f>
      </c>
      <c r="I210" s="17" t="s">
        <v>19</v>
      </c>
      <c r="J210" s="19">
        <f>ROUND(62*1,0)&amp;"%"</f>
      </c>
    </row>
    <row x14ac:dyDescent="0.25" r="211" customHeight="1" ht="17.25">
      <c r="A211" s="20" t="s">
        <v>6158</v>
      </c>
      <c r="B211" s="20" t="s">
        <v>352</v>
      </c>
      <c r="C211" s="20" t="s">
        <v>95</v>
      </c>
      <c r="D211" s="20" t="s">
        <v>22</v>
      </c>
      <c r="E211" s="21">
        <f>ROUND(7257*1.05,2)</f>
      </c>
      <c r="F211" s="20" t="s">
        <v>23</v>
      </c>
      <c r="G211" s="20" t="s">
        <v>24</v>
      </c>
      <c r="H211" s="21">
        <f>ROUND(RAND()*4+6,1)</f>
      </c>
      <c r="I211" s="20" t="s">
        <v>25</v>
      </c>
      <c r="J211" s="23">
        <f>ROUND(78*1,0)&amp;"%"</f>
      </c>
    </row>
    <row x14ac:dyDescent="0.25" r="212" customHeight="1" ht="17.25">
      <c r="A212" s="17" t="s">
        <v>6159</v>
      </c>
      <c r="B212" s="17" t="s">
        <v>354</v>
      </c>
      <c r="C212" s="17" t="s">
        <v>95</v>
      </c>
      <c r="D212" s="17" t="s">
        <v>28</v>
      </c>
      <c r="E212" s="18">
        <f>ROUND(4575*1.05,2)</f>
      </c>
      <c r="F212" s="17" t="s">
        <v>29</v>
      </c>
      <c r="G212" s="17" t="s">
        <v>30</v>
      </c>
      <c r="H212" s="18">
        <f>ROUND(RAND()*4+6,1)</f>
      </c>
      <c r="I212" s="17" t="s">
        <v>31</v>
      </c>
      <c r="J212" s="19">
        <f>ROUND(92*1,0)&amp;"%"</f>
      </c>
    </row>
    <row x14ac:dyDescent="0.25" r="213" customHeight="1" ht="17.25">
      <c r="A213" s="20" t="s">
        <v>6160</v>
      </c>
      <c r="B213" s="20" t="s">
        <v>356</v>
      </c>
      <c r="C213" s="20" t="s">
        <v>95</v>
      </c>
      <c r="D213" s="20" t="s">
        <v>34</v>
      </c>
      <c r="E213" s="21">
        <f>ROUND(16667*1.05,2)</f>
      </c>
      <c r="F213" s="20" t="s">
        <v>35</v>
      </c>
      <c r="G213" s="20" t="s">
        <v>18</v>
      </c>
      <c r="H213" s="21">
        <f>ROUND(RAND()*4+6,1)</f>
      </c>
      <c r="I213" s="20" t="s">
        <v>36</v>
      </c>
      <c r="J213" s="23">
        <f>ROUND(83*1,0)&amp;"%"</f>
      </c>
    </row>
    <row x14ac:dyDescent="0.25" r="214" customHeight="1" ht="17.25">
      <c r="A214" s="17" t="s">
        <v>6161</v>
      </c>
      <c r="B214" s="17" t="s">
        <v>358</v>
      </c>
      <c r="C214" s="17" t="s">
        <v>95</v>
      </c>
      <c r="D214" s="17" t="s">
        <v>39</v>
      </c>
      <c r="E214" s="18">
        <f>ROUND(17179*1.05,2)</f>
      </c>
      <c r="F214" s="17" t="s">
        <v>40</v>
      </c>
      <c r="G214" s="17" t="s">
        <v>24</v>
      </c>
      <c r="H214" s="18">
        <f>ROUND(RAND()*4+6,1)</f>
      </c>
      <c r="I214" s="17" t="s">
        <v>41</v>
      </c>
      <c r="J214" s="19">
        <f>ROUND(63*1,0)&amp;"%"</f>
      </c>
    </row>
    <row x14ac:dyDescent="0.25" r="215" customHeight="1" ht="17.25">
      <c r="A215" s="20" t="s">
        <v>6162</v>
      </c>
      <c r="B215" s="20" t="s">
        <v>360</v>
      </c>
      <c r="C215" s="20" t="s">
        <v>95</v>
      </c>
      <c r="D215" s="20" t="s">
        <v>67</v>
      </c>
      <c r="E215" s="21">
        <f>ROUND(13174*1.05,2)</f>
      </c>
      <c r="F215" s="20" t="s">
        <v>44</v>
      </c>
      <c r="G215" s="20" t="s">
        <v>30</v>
      </c>
      <c r="H215" s="21">
        <f>ROUND(RAND()*4+6,1)</f>
      </c>
      <c r="I215" s="20" t="s">
        <v>45</v>
      </c>
      <c r="J215" s="23">
        <f>ROUND(69*1,0)&amp;"%"</f>
      </c>
    </row>
    <row x14ac:dyDescent="0.25" r="216" customHeight="1" ht="17.25">
      <c r="A216" s="17" t="s">
        <v>6163</v>
      </c>
      <c r="B216" s="17" t="s">
        <v>362</v>
      </c>
      <c r="C216" s="17" t="s">
        <v>95</v>
      </c>
      <c r="D216" s="17" t="s">
        <v>16</v>
      </c>
      <c r="E216" s="18">
        <f>ROUND(10143*1.05,2)</f>
      </c>
      <c r="F216" s="17" t="s">
        <v>48</v>
      </c>
      <c r="G216" s="17" t="s">
        <v>18</v>
      </c>
      <c r="H216" s="18">
        <f>ROUND(RAND()*4+6,1)</f>
      </c>
      <c r="I216" s="17" t="s">
        <v>19</v>
      </c>
      <c r="J216" s="19">
        <f>ROUND(78*1,0)&amp;"%"</f>
      </c>
    </row>
    <row x14ac:dyDescent="0.25" r="217" customHeight="1" ht="17.25">
      <c r="A217" s="20" t="s">
        <v>6164</v>
      </c>
      <c r="B217" s="20" t="s">
        <v>364</v>
      </c>
      <c r="C217" s="20" t="s">
        <v>95</v>
      </c>
      <c r="D217" s="20" t="s">
        <v>22</v>
      </c>
      <c r="E217" s="21">
        <f>ROUND(7363*1.05,2)</f>
      </c>
      <c r="F217" s="20" t="s">
        <v>51</v>
      </c>
      <c r="G217" s="20" t="s">
        <v>24</v>
      </c>
      <c r="H217" s="21">
        <f>ROUND(RAND()*4+6,1)</f>
      </c>
      <c r="I217" s="20" t="s">
        <v>25</v>
      </c>
      <c r="J217" s="23">
        <f>ROUND(89*1,0)&amp;"%"</f>
      </c>
    </row>
    <row x14ac:dyDescent="0.25" r="218" customHeight="1" ht="17.25">
      <c r="A218" s="24" t="s">
        <v>365</v>
      </c>
      <c r="B218" s="24"/>
      <c r="C218" s="24"/>
      <c r="D218" s="24"/>
      <c r="E218" s="25">
        <v>8</v>
      </c>
      <c r="F218" s="9"/>
      <c r="G218" s="9"/>
      <c r="H218" s="10"/>
      <c r="I218" s="9"/>
      <c r="J218" s="9"/>
    </row>
    <row x14ac:dyDescent="0.25" r="219" customHeight="1" ht="17.25">
      <c r="A219" s="7"/>
      <c r="B219" s="7"/>
      <c r="C219" s="7"/>
      <c r="D219" s="7"/>
      <c r="E219" s="8"/>
      <c r="F219" s="9"/>
      <c r="G219" s="9"/>
      <c r="H219" s="10"/>
      <c r="I219" s="9"/>
      <c r="J219" s="9"/>
    </row>
    <row x14ac:dyDescent="0.25" r="220" customHeight="1" ht="17.25">
      <c r="A220" s="11" t="s">
        <v>6165</v>
      </c>
      <c r="B220" s="11"/>
      <c r="C220" s="11"/>
      <c r="D220" s="11"/>
      <c r="E220" s="12"/>
      <c r="F220" s="11"/>
      <c r="G220" s="11"/>
      <c r="H220" s="13"/>
      <c r="I220" s="11"/>
      <c r="J220" s="11"/>
    </row>
    <row x14ac:dyDescent="0.25" r="221" customHeight="1" ht="17.25">
      <c r="A221" s="14" t="s">
        <v>3</v>
      </c>
      <c r="B221" s="14" t="s">
        <v>4</v>
      </c>
      <c r="C221" s="14" t="s">
        <v>5</v>
      </c>
      <c r="D221" s="14" t="s">
        <v>6</v>
      </c>
      <c r="E221" s="15" t="s">
        <v>7</v>
      </c>
      <c r="F221" s="14" t="s">
        <v>8</v>
      </c>
      <c r="G221" s="14" t="s">
        <v>9</v>
      </c>
      <c r="H221" s="16" t="s">
        <v>10</v>
      </c>
      <c r="I221" s="14" t="s">
        <v>11</v>
      </c>
      <c r="J221" s="14" t="s">
        <v>12</v>
      </c>
    </row>
    <row x14ac:dyDescent="0.25" r="222" customHeight="1" ht="17.25">
      <c r="A222" s="17" t="s">
        <v>6166</v>
      </c>
      <c r="B222" s="17" t="s">
        <v>368</v>
      </c>
      <c r="C222" s="17" t="s">
        <v>114</v>
      </c>
      <c r="D222" s="17" t="s">
        <v>16</v>
      </c>
      <c r="E222" s="18">
        <f>ROUND(12770*1.05,2)</f>
      </c>
      <c r="F222" s="17" t="s">
        <v>17</v>
      </c>
      <c r="G222" s="17" t="s">
        <v>18</v>
      </c>
      <c r="H222" s="18">
        <f>ROUND(RAND()*4+6,1)</f>
      </c>
      <c r="I222" s="17" t="s">
        <v>19</v>
      </c>
      <c r="J222" s="19">
        <f>ROUND(76*1,0)&amp;"%"</f>
      </c>
    </row>
    <row x14ac:dyDescent="0.25" r="223" customHeight="1" ht="17.25">
      <c r="A223" s="20" t="s">
        <v>6167</v>
      </c>
      <c r="B223" s="20" t="s">
        <v>370</v>
      </c>
      <c r="C223" s="20" t="s">
        <v>114</v>
      </c>
      <c r="D223" s="20" t="s">
        <v>22</v>
      </c>
      <c r="E223" s="21">
        <f>ROUND(16517*1.05,2)</f>
      </c>
      <c r="F223" s="20" t="s">
        <v>23</v>
      </c>
      <c r="G223" s="20" t="s">
        <v>24</v>
      </c>
      <c r="H223" s="21">
        <f>ROUND(RAND()*4+6,1)</f>
      </c>
      <c r="I223" s="20" t="s">
        <v>25</v>
      </c>
      <c r="J223" s="23">
        <f>ROUND(83*1,0)&amp;"%"</f>
      </c>
    </row>
    <row x14ac:dyDescent="0.25" r="224" customHeight="1" ht="17.25">
      <c r="A224" s="17" t="s">
        <v>6168</v>
      </c>
      <c r="B224" s="17" t="s">
        <v>372</v>
      </c>
      <c r="C224" s="17" t="s">
        <v>114</v>
      </c>
      <c r="D224" s="17" t="s">
        <v>28</v>
      </c>
      <c r="E224" s="18">
        <f>ROUND(13977*1.05,2)</f>
      </c>
      <c r="F224" s="17" t="s">
        <v>29</v>
      </c>
      <c r="G224" s="17" t="s">
        <v>30</v>
      </c>
      <c r="H224" s="18">
        <f>ROUND(RAND()*4+6,1)</f>
      </c>
      <c r="I224" s="17" t="s">
        <v>31</v>
      </c>
      <c r="J224" s="19">
        <f>ROUND(66*1,0)&amp;"%"</f>
      </c>
    </row>
    <row x14ac:dyDescent="0.25" r="225" customHeight="1" ht="17.25">
      <c r="A225" s="20" t="s">
        <v>6169</v>
      </c>
      <c r="B225" s="20" t="s">
        <v>374</v>
      </c>
      <c r="C225" s="20" t="s">
        <v>114</v>
      </c>
      <c r="D225" s="20" t="s">
        <v>34</v>
      </c>
      <c r="E225" s="21">
        <f>ROUND(15679*1.05,2)</f>
      </c>
      <c r="F225" s="20" t="s">
        <v>35</v>
      </c>
      <c r="G225" s="20" t="s">
        <v>18</v>
      </c>
      <c r="H225" s="21">
        <f>ROUND(RAND()*4+6,1)</f>
      </c>
      <c r="I225" s="20" t="s">
        <v>36</v>
      </c>
      <c r="J225" s="23">
        <f>ROUND(93*1,0)&amp;"%"</f>
      </c>
    </row>
    <row x14ac:dyDescent="0.25" r="226" customHeight="1" ht="17.25">
      <c r="A226" s="17" t="s">
        <v>6170</v>
      </c>
      <c r="B226" s="17" t="s">
        <v>376</v>
      </c>
      <c r="C226" s="17" t="s">
        <v>114</v>
      </c>
      <c r="D226" s="17" t="s">
        <v>39</v>
      </c>
      <c r="E226" s="18">
        <f>ROUND(11566*1.05,2)</f>
      </c>
      <c r="F226" s="17" t="s">
        <v>40</v>
      </c>
      <c r="G226" s="17" t="s">
        <v>24</v>
      </c>
      <c r="H226" s="18">
        <f>ROUND(RAND()*4+6,1)</f>
      </c>
      <c r="I226" s="17" t="s">
        <v>41</v>
      </c>
      <c r="J226" s="19">
        <f>ROUND(78*1,0)&amp;"%"</f>
      </c>
    </row>
    <row x14ac:dyDescent="0.25" r="227" customHeight="1" ht="17.25">
      <c r="A227" s="20" t="s">
        <v>6171</v>
      </c>
      <c r="B227" s="20" t="s">
        <v>378</v>
      </c>
      <c r="C227" s="20" t="s">
        <v>114</v>
      </c>
      <c r="D227" s="20" t="s">
        <v>67</v>
      </c>
      <c r="E227" s="21">
        <f>ROUND(4179*1.05,2)</f>
      </c>
      <c r="F227" s="20" t="s">
        <v>44</v>
      </c>
      <c r="G227" s="20" t="s">
        <v>30</v>
      </c>
      <c r="H227" s="21">
        <f>ROUND(RAND()*4+6,1)</f>
      </c>
      <c r="I227" s="20" t="s">
        <v>45</v>
      </c>
      <c r="J227" s="23">
        <f>ROUND(81*1,0)&amp;"%"</f>
      </c>
    </row>
    <row x14ac:dyDescent="0.25" r="228" customHeight="1" ht="17.25">
      <c r="A228" s="17" t="s">
        <v>6172</v>
      </c>
      <c r="B228" s="17" t="s">
        <v>380</v>
      </c>
      <c r="C228" s="17" t="s">
        <v>114</v>
      </c>
      <c r="D228" s="17" t="s">
        <v>16</v>
      </c>
      <c r="E228" s="18">
        <f>ROUND(12904*1.05,2)</f>
      </c>
      <c r="F228" s="17" t="s">
        <v>48</v>
      </c>
      <c r="G228" s="17" t="s">
        <v>18</v>
      </c>
      <c r="H228" s="18">
        <f>ROUND(RAND()*4+6,1)</f>
      </c>
      <c r="I228" s="17" t="s">
        <v>19</v>
      </c>
      <c r="J228" s="19">
        <f>ROUND(60*1,0)&amp;"%"</f>
      </c>
    </row>
    <row x14ac:dyDescent="0.25" r="229" customHeight="1" ht="17.25">
      <c r="A229" s="20" t="s">
        <v>6173</v>
      </c>
      <c r="B229" s="20" t="s">
        <v>382</v>
      </c>
      <c r="C229" s="20" t="s">
        <v>114</v>
      </c>
      <c r="D229" s="20" t="s">
        <v>22</v>
      </c>
      <c r="E229" s="21">
        <f>ROUND(17633*1.05,2)</f>
      </c>
      <c r="F229" s="20" t="s">
        <v>51</v>
      </c>
      <c r="G229" s="20" t="s">
        <v>24</v>
      </c>
      <c r="H229" s="21">
        <f>ROUND(RAND()*4+6,1)</f>
      </c>
      <c r="I229" s="20" t="s">
        <v>25</v>
      </c>
      <c r="J229" s="23">
        <f>ROUND(65*1,0)&amp;"%"</f>
      </c>
    </row>
    <row x14ac:dyDescent="0.25" r="230" customHeight="1" ht="17.25">
      <c r="A230" s="24" t="s">
        <v>383</v>
      </c>
      <c r="B230" s="24"/>
      <c r="C230" s="24"/>
      <c r="D230" s="24"/>
      <c r="E230" s="25">
        <v>8</v>
      </c>
      <c r="F230" s="9"/>
      <c r="G230" s="9"/>
      <c r="H230" s="10"/>
      <c r="I230" s="9"/>
      <c r="J230" s="9"/>
    </row>
    <row x14ac:dyDescent="0.25" r="231" customHeight="1" ht="17.25">
      <c r="A231" s="7"/>
      <c r="B231" s="7"/>
      <c r="C231" s="7"/>
      <c r="D231" s="7"/>
      <c r="E231" s="8"/>
      <c r="F231" s="9"/>
      <c r="G231" s="9"/>
      <c r="H231" s="10"/>
      <c r="I231" s="9"/>
      <c r="J231" s="9"/>
    </row>
    <row x14ac:dyDescent="0.25" r="232" customHeight="1" ht="17.25">
      <c r="A232" s="11" t="s">
        <v>6174</v>
      </c>
      <c r="B232" s="11"/>
      <c r="C232" s="11"/>
      <c r="D232" s="11"/>
      <c r="E232" s="12"/>
      <c r="F232" s="11"/>
      <c r="G232" s="11"/>
      <c r="H232" s="13"/>
      <c r="I232" s="11"/>
      <c r="J232" s="11"/>
    </row>
    <row x14ac:dyDescent="0.25" r="233" customHeight="1" ht="17.25">
      <c r="A233" s="14" t="s">
        <v>3</v>
      </c>
      <c r="B233" s="14" t="s">
        <v>4</v>
      </c>
      <c r="C233" s="14" t="s">
        <v>5</v>
      </c>
      <c r="D233" s="14" t="s">
        <v>6</v>
      </c>
      <c r="E233" s="15" t="s">
        <v>7</v>
      </c>
      <c r="F233" s="14" t="s">
        <v>8</v>
      </c>
      <c r="G233" s="14" t="s">
        <v>9</v>
      </c>
      <c r="H233" s="16" t="s">
        <v>10</v>
      </c>
      <c r="I233" s="14" t="s">
        <v>11</v>
      </c>
      <c r="J233" s="14" t="s">
        <v>12</v>
      </c>
    </row>
    <row x14ac:dyDescent="0.25" r="234" customHeight="1" ht="17.25">
      <c r="A234" s="17" t="s">
        <v>6175</v>
      </c>
      <c r="B234" s="17" t="s">
        <v>386</v>
      </c>
      <c r="C234" s="17" t="s">
        <v>133</v>
      </c>
      <c r="D234" s="17" t="s">
        <v>16</v>
      </c>
      <c r="E234" s="26">
        <f>ROUND(16920*1.05,2)</f>
      </c>
      <c r="F234" s="17" t="s">
        <v>17</v>
      </c>
      <c r="G234" s="17" t="s">
        <v>18</v>
      </c>
      <c r="H234" s="18">
        <f>ROUND(RAND()*4+6,1)</f>
      </c>
      <c r="I234" s="17" t="s">
        <v>19</v>
      </c>
      <c r="J234" s="19">
        <f>ROUND(88*1,0)&amp;"%"</f>
      </c>
    </row>
    <row x14ac:dyDescent="0.25" r="235" customHeight="1" ht="17.25">
      <c r="A235" s="20" t="s">
        <v>6176</v>
      </c>
      <c r="B235" s="20" t="s">
        <v>388</v>
      </c>
      <c r="C235" s="20" t="s">
        <v>133</v>
      </c>
      <c r="D235" s="20" t="s">
        <v>22</v>
      </c>
      <c r="E235" s="21">
        <f>ROUND(13216*1.05,2)</f>
      </c>
      <c r="F235" s="20" t="s">
        <v>23</v>
      </c>
      <c r="G235" s="20" t="s">
        <v>24</v>
      </c>
      <c r="H235" s="21">
        <f>ROUND(RAND()*4+6,1)</f>
      </c>
      <c r="I235" s="20" t="s">
        <v>25</v>
      </c>
      <c r="J235" s="23">
        <f>ROUND(93*1,0)&amp;"%"</f>
      </c>
    </row>
    <row x14ac:dyDescent="0.25" r="236" customHeight="1" ht="17.25">
      <c r="A236" s="17" t="s">
        <v>6177</v>
      </c>
      <c r="B236" s="17" t="s">
        <v>390</v>
      </c>
      <c r="C236" s="17" t="s">
        <v>133</v>
      </c>
      <c r="D236" s="17" t="s">
        <v>28</v>
      </c>
      <c r="E236" s="18">
        <f>ROUND(5948*1.05,2)</f>
      </c>
      <c r="F236" s="17" t="s">
        <v>29</v>
      </c>
      <c r="G236" s="17" t="s">
        <v>30</v>
      </c>
      <c r="H236" s="18">
        <f>ROUND(RAND()*4+6,1)</f>
      </c>
      <c r="I236" s="17" t="s">
        <v>31</v>
      </c>
      <c r="J236" s="19">
        <f>ROUND(74*1,0)&amp;"%"</f>
      </c>
    </row>
    <row x14ac:dyDescent="0.25" r="237" customHeight="1" ht="17.25">
      <c r="A237" s="20" t="s">
        <v>6178</v>
      </c>
      <c r="B237" s="20" t="s">
        <v>392</v>
      </c>
      <c r="C237" s="20" t="s">
        <v>133</v>
      </c>
      <c r="D237" s="20" t="s">
        <v>34</v>
      </c>
      <c r="E237" s="21">
        <f>ROUND(10596*1.05,2)</f>
      </c>
      <c r="F237" s="20" t="s">
        <v>35</v>
      </c>
      <c r="G237" s="20" t="s">
        <v>18</v>
      </c>
      <c r="H237" s="21">
        <f>ROUND(RAND()*4+6,1)</f>
      </c>
      <c r="I237" s="20" t="s">
        <v>36</v>
      </c>
      <c r="J237" s="23">
        <f>ROUND(90*1,0)&amp;"%"</f>
      </c>
    </row>
    <row x14ac:dyDescent="0.25" r="238" customHeight="1" ht="17.25">
      <c r="A238" s="17" t="s">
        <v>6179</v>
      </c>
      <c r="B238" s="17" t="s">
        <v>394</v>
      </c>
      <c r="C238" s="17" t="s">
        <v>133</v>
      </c>
      <c r="D238" s="17" t="s">
        <v>39</v>
      </c>
      <c r="E238" s="18">
        <f>ROUND(17650*1.05,2)</f>
      </c>
      <c r="F238" s="17" t="s">
        <v>40</v>
      </c>
      <c r="G238" s="17" t="s">
        <v>24</v>
      </c>
      <c r="H238" s="18">
        <f>ROUND(RAND()*4+6,1)</f>
      </c>
      <c r="I238" s="17" t="s">
        <v>41</v>
      </c>
      <c r="J238" s="19">
        <f>ROUND(71*1,0)&amp;"%"</f>
      </c>
    </row>
    <row x14ac:dyDescent="0.25" r="239" customHeight="1" ht="17.25">
      <c r="A239" s="20" t="s">
        <v>6180</v>
      </c>
      <c r="B239" s="20" t="s">
        <v>396</v>
      </c>
      <c r="C239" s="20" t="s">
        <v>133</v>
      </c>
      <c r="D239" s="20" t="s">
        <v>67</v>
      </c>
      <c r="E239" s="21">
        <f>ROUND(5735*1.05,2)</f>
      </c>
      <c r="F239" s="20" t="s">
        <v>44</v>
      </c>
      <c r="G239" s="20" t="s">
        <v>30</v>
      </c>
      <c r="H239" s="22">
        <f>ROUND(RAND()*4+6,1)</f>
      </c>
      <c r="I239" s="20" t="s">
        <v>45</v>
      </c>
      <c r="J239" s="23">
        <f>ROUND(66*1,0)&amp;"%"</f>
      </c>
    </row>
    <row x14ac:dyDescent="0.25" r="240" customHeight="1" ht="17.25">
      <c r="A240" s="17" t="s">
        <v>6181</v>
      </c>
      <c r="B240" s="17" t="s">
        <v>398</v>
      </c>
      <c r="C240" s="17" t="s">
        <v>133</v>
      </c>
      <c r="D240" s="17" t="s">
        <v>16</v>
      </c>
      <c r="E240" s="18">
        <f>ROUND(17197*1.05,2)</f>
      </c>
      <c r="F240" s="17" t="s">
        <v>48</v>
      </c>
      <c r="G240" s="17" t="s">
        <v>18</v>
      </c>
      <c r="H240" s="18">
        <f>ROUND(RAND()*4+6,1)</f>
      </c>
      <c r="I240" s="17" t="s">
        <v>19</v>
      </c>
      <c r="J240" s="19">
        <f>ROUND(64*1,0)&amp;"%"</f>
      </c>
    </row>
    <row x14ac:dyDescent="0.25" r="241" customHeight="1" ht="17.25">
      <c r="A241" s="20" t="s">
        <v>6182</v>
      </c>
      <c r="B241" s="20" t="s">
        <v>400</v>
      </c>
      <c r="C241" s="20" t="s">
        <v>133</v>
      </c>
      <c r="D241" s="20" t="s">
        <v>22</v>
      </c>
      <c r="E241" s="21">
        <f>ROUND(7633*1.05,2)</f>
      </c>
      <c r="F241" s="20" t="s">
        <v>51</v>
      </c>
      <c r="G241" s="20" t="s">
        <v>24</v>
      </c>
      <c r="H241" s="22">
        <f>ROUND(RAND()*4+6,1)</f>
      </c>
      <c r="I241" s="20" t="s">
        <v>25</v>
      </c>
      <c r="J241" s="23">
        <f>ROUND(60*1,0)&amp;"%"</f>
      </c>
    </row>
    <row x14ac:dyDescent="0.25" r="242" customHeight="1" ht="17.25">
      <c r="A242" s="24" t="s">
        <v>401</v>
      </c>
      <c r="B242" s="24"/>
      <c r="C242" s="24"/>
      <c r="D242" s="24"/>
      <c r="E242" s="25">
        <v>8</v>
      </c>
      <c r="F242" s="9"/>
      <c r="G242" s="9"/>
      <c r="H242" s="10"/>
      <c r="I242" s="9"/>
      <c r="J242" s="9"/>
    </row>
    <row x14ac:dyDescent="0.25" r="243" customHeight="1" ht="17.25">
      <c r="A243" s="7"/>
      <c r="B243" s="7"/>
      <c r="C243" s="7"/>
      <c r="D243" s="7"/>
      <c r="E243" s="8"/>
      <c r="F243" s="9"/>
      <c r="G243" s="9"/>
      <c r="H243" s="10"/>
      <c r="I243" s="9"/>
      <c r="J243" s="9"/>
    </row>
    <row x14ac:dyDescent="0.25" r="244" customHeight="1" ht="17.25">
      <c r="A244" s="11" t="s">
        <v>6183</v>
      </c>
      <c r="B244" s="11"/>
      <c r="C244" s="11"/>
      <c r="D244" s="11"/>
      <c r="E244" s="12"/>
      <c r="F244" s="11"/>
      <c r="G244" s="11"/>
      <c r="H244" s="13"/>
      <c r="I244" s="11"/>
      <c r="J244" s="11"/>
    </row>
    <row x14ac:dyDescent="0.25" r="245" customHeight="1" ht="17.25">
      <c r="A245" s="14" t="s">
        <v>3</v>
      </c>
      <c r="B245" s="14" t="s">
        <v>4</v>
      </c>
      <c r="C245" s="14" t="s">
        <v>5</v>
      </c>
      <c r="D245" s="14" t="s">
        <v>6</v>
      </c>
      <c r="E245" s="15" t="s">
        <v>7</v>
      </c>
      <c r="F245" s="14" t="s">
        <v>8</v>
      </c>
      <c r="G245" s="14" t="s">
        <v>9</v>
      </c>
      <c r="H245" s="16" t="s">
        <v>10</v>
      </c>
      <c r="I245" s="14" t="s">
        <v>11</v>
      </c>
      <c r="J245" s="14" t="s">
        <v>12</v>
      </c>
    </row>
    <row x14ac:dyDescent="0.25" r="246" customHeight="1" ht="17.25">
      <c r="A246" s="17" t="s">
        <v>6184</v>
      </c>
      <c r="B246" s="17" t="s">
        <v>404</v>
      </c>
      <c r="C246" s="17" t="s">
        <v>152</v>
      </c>
      <c r="D246" s="17" t="s">
        <v>16</v>
      </c>
      <c r="E246" s="18">
        <f>ROUND(6919*1.05,2)</f>
      </c>
      <c r="F246" s="17" t="s">
        <v>17</v>
      </c>
      <c r="G246" s="17" t="s">
        <v>18</v>
      </c>
      <c r="H246" s="18">
        <f>ROUND(RAND()*4+6,1)</f>
      </c>
      <c r="I246" s="17" t="s">
        <v>19</v>
      </c>
      <c r="J246" s="19">
        <f>ROUND(62*1,0)&amp;"%"</f>
      </c>
    </row>
    <row x14ac:dyDescent="0.25" r="247" customHeight="1" ht="17.25">
      <c r="A247" s="20" t="s">
        <v>6185</v>
      </c>
      <c r="B247" s="20" t="s">
        <v>406</v>
      </c>
      <c r="C247" s="20" t="s">
        <v>152</v>
      </c>
      <c r="D247" s="20" t="s">
        <v>22</v>
      </c>
      <c r="E247" s="21">
        <f>ROUND(17256*1.05,2)</f>
      </c>
      <c r="F247" s="20" t="s">
        <v>23</v>
      </c>
      <c r="G247" s="20" t="s">
        <v>24</v>
      </c>
      <c r="H247" s="21">
        <f>ROUND(RAND()*4+6,1)</f>
      </c>
      <c r="I247" s="20" t="s">
        <v>25</v>
      </c>
      <c r="J247" s="23">
        <f>ROUND(90*1,0)&amp;"%"</f>
      </c>
    </row>
    <row x14ac:dyDescent="0.25" r="248" customHeight="1" ht="17.25">
      <c r="A248" s="17" t="s">
        <v>6186</v>
      </c>
      <c r="B248" s="17" t="s">
        <v>408</v>
      </c>
      <c r="C248" s="17" t="s">
        <v>152</v>
      </c>
      <c r="D248" s="17" t="s">
        <v>28</v>
      </c>
      <c r="E248" s="18">
        <f>ROUND(17210*1.05,2)</f>
      </c>
      <c r="F248" s="17" t="s">
        <v>29</v>
      </c>
      <c r="G248" s="17" t="s">
        <v>30</v>
      </c>
      <c r="H248" s="26">
        <f>ROUND(RAND()*4+6,1)</f>
      </c>
      <c r="I248" s="17" t="s">
        <v>31</v>
      </c>
      <c r="J248" s="19">
        <f>ROUND(75*1,0)&amp;"%"</f>
      </c>
    </row>
    <row x14ac:dyDescent="0.25" r="249" customHeight="1" ht="17.25">
      <c r="A249" s="20" t="s">
        <v>6187</v>
      </c>
      <c r="B249" s="20" t="s">
        <v>410</v>
      </c>
      <c r="C249" s="20" t="s">
        <v>152</v>
      </c>
      <c r="D249" s="20" t="s">
        <v>34</v>
      </c>
      <c r="E249" s="21">
        <f>ROUND(12283*1.05,2)</f>
      </c>
      <c r="F249" s="20" t="s">
        <v>35</v>
      </c>
      <c r="G249" s="20" t="s">
        <v>18</v>
      </c>
      <c r="H249" s="21">
        <f>ROUND(RAND()*4+6,1)</f>
      </c>
      <c r="I249" s="20" t="s">
        <v>36</v>
      </c>
      <c r="J249" s="23">
        <f>ROUND(71*1,0)&amp;"%"</f>
      </c>
    </row>
    <row x14ac:dyDescent="0.25" r="250" customHeight="1" ht="17.25">
      <c r="A250" s="17" t="s">
        <v>6188</v>
      </c>
      <c r="B250" s="17" t="s">
        <v>412</v>
      </c>
      <c r="C250" s="17" t="s">
        <v>152</v>
      </c>
      <c r="D250" s="17" t="s">
        <v>39</v>
      </c>
      <c r="E250" s="26">
        <f>ROUND(6980*1.05,2)</f>
      </c>
      <c r="F250" s="17" t="s">
        <v>40</v>
      </c>
      <c r="G250" s="17" t="s">
        <v>24</v>
      </c>
      <c r="H250" s="18">
        <f>ROUND(RAND()*4+6,1)</f>
      </c>
      <c r="I250" s="17" t="s">
        <v>41</v>
      </c>
      <c r="J250" s="19">
        <f>ROUND(72*1,0)&amp;"%"</f>
      </c>
    </row>
    <row x14ac:dyDescent="0.25" r="251" customHeight="1" ht="17.25">
      <c r="A251" s="20" t="s">
        <v>6189</v>
      </c>
      <c r="B251" s="20" t="s">
        <v>414</v>
      </c>
      <c r="C251" s="20" t="s">
        <v>152</v>
      </c>
      <c r="D251" s="20" t="s">
        <v>67</v>
      </c>
      <c r="E251" s="21">
        <f>ROUND(12197*1.05,2)</f>
      </c>
      <c r="F251" s="20" t="s">
        <v>44</v>
      </c>
      <c r="G251" s="20" t="s">
        <v>30</v>
      </c>
      <c r="H251" s="21">
        <f>ROUND(RAND()*4+6,1)</f>
      </c>
      <c r="I251" s="20" t="s">
        <v>45</v>
      </c>
      <c r="J251" s="23">
        <f>ROUND(85*1,0)&amp;"%"</f>
      </c>
    </row>
    <row x14ac:dyDescent="0.25" r="252" customHeight="1" ht="17.25">
      <c r="A252" s="17" t="s">
        <v>6190</v>
      </c>
      <c r="B252" s="17" t="s">
        <v>416</v>
      </c>
      <c r="C252" s="17" t="s">
        <v>152</v>
      </c>
      <c r="D252" s="17" t="s">
        <v>16</v>
      </c>
      <c r="E252" s="18">
        <f>ROUND(13573*1.05,2)</f>
      </c>
      <c r="F252" s="17" t="s">
        <v>48</v>
      </c>
      <c r="G252" s="17" t="s">
        <v>18</v>
      </c>
      <c r="H252" s="18">
        <f>ROUND(RAND()*4+6,1)</f>
      </c>
      <c r="I252" s="17" t="s">
        <v>19</v>
      </c>
      <c r="J252" s="19">
        <f>ROUND(100*1,0)&amp;"%"</f>
      </c>
    </row>
    <row x14ac:dyDescent="0.25" r="253" customHeight="1" ht="17.25">
      <c r="A253" s="20" t="s">
        <v>6191</v>
      </c>
      <c r="B253" s="20" t="s">
        <v>418</v>
      </c>
      <c r="C253" s="20" t="s">
        <v>152</v>
      </c>
      <c r="D253" s="20" t="s">
        <v>22</v>
      </c>
      <c r="E253" s="21">
        <f>ROUND(11576*1.05,2)</f>
      </c>
      <c r="F253" s="20" t="s">
        <v>51</v>
      </c>
      <c r="G253" s="20" t="s">
        <v>24</v>
      </c>
      <c r="H253" s="21">
        <f>ROUND(RAND()*4+6,1)</f>
      </c>
      <c r="I253" s="20" t="s">
        <v>25</v>
      </c>
      <c r="J253" s="23">
        <f>ROUND(90*1,0)&amp;"%"</f>
      </c>
    </row>
    <row x14ac:dyDescent="0.25" r="254" customHeight="1" ht="17.25">
      <c r="A254" s="24" t="s">
        <v>419</v>
      </c>
      <c r="B254" s="24"/>
      <c r="C254" s="24"/>
      <c r="D254" s="24"/>
      <c r="E254" s="25">
        <v>8</v>
      </c>
      <c r="F254" s="9"/>
      <c r="G254" s="9"/>
      <c r="H254" s="10"/>
      <c r="I254" s="9"/>
      <c r="J254" s="9"/>
    </row>
    <row x14ac:dyDescent="0.25" r="255" customHeight="1" ht="17.25">
      <c r="A255" s="7"/>
      <c r="B255" s="7"/>
      <c r="C255" s="7"/>
      <c r="D255" s="7"/>
      <c r="E255" s="8"/>
      <c r="F255" s="9"/>
      <c r="G255" s="9"/>
      <c r="H255" s="10"/>
      <c r="I255" s="9"/>
      <c r="J255" s="9"/>
    </row>
    <row x14ac:dyDescent="0.25" r="256" customHeight="1" ht="17.25">
      <c r="A256" s="11" t="s">
        <v>6192</v>
      </c>
      <c r="B256" s="11"/>
      <c r="C256" s="11"/>
      <c r="D256" s="11"/>
      <c r="E256" s="12"/>
      <c r="F256" s="11"/>
      <c r="G256" s="11"/>
      <c r="H256" s="13"/>
      <c r="I256" s="11"/>
      <c r="J256" s="11"/>
    </row>
    <row x14ac:dyDescent="0.25" r="257" customHeight="1" ht="17.25">
      <c r="A257" s="14" t="s">
        <v>3</v>
      </c>
      <c r="B257" s="14" t="s">
        <v>4</v>
      </c>
      <c r="C257" s="14" t="s">
        <v>5</v>
      </c>
      <c r="D257" s="14" t="s">
        <v>6</v>
      </c>
      <c r="E257" s="15" t="s">
        <v>7</v>
      </c>
      <c r="F257" s="14" t="s">
        <v>8</v>
      </c>
      <c r="G257" s="14" t="s">
        <v>9</v>
      </c>
      <c r="H257" s="16" t="s">
        <v>10</v>
      </c>
      <c r="I257" s="14" t="s">
        <v>11</v>
      </c>
      <c r="J257" s="14" t="s">
        <v>12</v>
      </c>
    </row>
    <row x14ac:dyDescent="0.25" r="258" customHeight="1" ht="17.25">
      <c r="A258" s="17" t="s">
        <v>6193</v>
      </c>
      <c r="B258" s="17" t="s">
        <v>422</v>
      </c>
      <c r="C258" s="17" t="s">
        <v>15</v>
      </c>
      <c r="D258" s="17" t="s">
        <v>16</v>
      </c>
      <c r="E258" s="18">
        <f>ROUND(5372*1.05,2)</f>
      </c>
      <c r="F258" s="17" t="s">
        <v>17</v>
      </c>
      <c r="G258" s="17" t="s">
        <v>18</v>
      </c>
      <c r="H258" s="18">
        <f>ROUND(RAND()*4+6,1)</f>
      </c>
      <c r="I258" s="17" t="s">
        <v>19</v>
      </c>
      <c r="J258" s="19">
        <f>ROUND(71*1,0)&amp;"%"</f>
      </c>
    </row>
    <row x14ac:dyDescent="0.25" r="259" customHeight="1" ht="17.25">
      <c r="A259" s="20" t="s">
        <v>6194</v>
      </c>
      <c r="B259" s="20" t="s">
        <v>424</v>
      </c>
      <c r="C259" s="20" t="s">
        <v>15</v>
      </c>
      <c r="D259" s="20" t="s">
        <v>22</v>
      </c>
      <c r="E259" s="21">
        <f>ROUND(13412*1.05,2)</f>
      </c>
      <c r="F259" s="20" t="s">
        <v>23</v>
      </c>
      <c r="G259" s="20" t="s">
        <v>24</v>
      </c>
      <c r="H259" s="21">
        <f>ROUND(RAND()*4+6,1)</f>
      </c>
      <c r="I259" s="20" t="s">
        <v>25</v>
      </c>
      <c r="J259" s="23">
        <f>ROUND(85*1,0)&amp;"%"</f>
      </c>
    </row>
    <row x14ac:dyDescent="0.25" r="260" customHeight="1" ht="17.25">
      <c r="A260" s="17" t="s">
        <v>6195</v>
      </c>
      <c r="B260" s="17" t="s">
        <v>426</v>
      </c>
      <c r="C260" s="17" t="s">
        <v>15</v>
      </c>
      <c r="D260" s="17" t="s">
        <v>28</v>
      </c>
      <c r="E260" s="18">
        <f>ROUND(14728*1.05,2)</f>
      </c>
      <c r="F260" s="17" t="s">
        <v>29</v>
      </c>
      <c r="G260" s="17" t="s">
        <v>30</v>
      </c>
      <c r="H260" s="18">
        <f>ROUND(RAND()*4+6,1)</f>
      </c>
      <c r="I260" s="17" t="s">
        <v>31</v>
      </c>
      <c r="J260" s="19">
        <f>ROUND(67*1,0)&amp;"%"</f>
      </c>
    </row>
    <row x14ac:dyDescent="0.25" r="261" customHeight="1" ht="17.25">
      <c r="A261" s="20" t="s">
        <v>6196</v>
      </c>
      <c r="B261" s="20" t="s">
        <v>428</v>
      </c>
      <c r="C261" s="20" t="s">
        <v>15</v>
      </c>
      <c r="D261" s="20" t="s">
        <v>34</v>
      </c>
      <c r="E261" s="21">
        <f>ROUND(4348*1.05,2)</f>
      </c>
      <c r="F261" s="20" t="s">
        <v>35</v>
      </c>
      <c r="G261" s="20" t="s">
        <v>18</v>
      </c>
      <c r="H261" s="21">
        <f>ROUND(RAND()*4+6,1)</f>
      </c>
      <c r="I261" s="20" t="s">
        <v>36</v>
      </c>
      <c r="J261" s="23">
        <f>ROUND(92*1,0)&amp;"%"</f>
      </c>
    </row>
    <row x14ac:dyDescent="0.25" r="262" customHeight="1" ht="17.25">
      <c r="A262" s="17" t="s">
        <v>6197</v>
      </c>
      <c r="B262" s="17" t="s">
        <v>430</v>
      </c>
      <c r="C262" s="17" t="s">
        <v>15</v>
      </c>
      <c r="D262" s="17" t="s">
        <v>39</v>
      </c>
      <c r="E262" s="18">
        <f>ROUND(12102*1.05,2)</f>
      </c>
      <c r="F262" s="17" t="s">
        <v>40</v>
      </c>
      <c r="G262" s="17" t="s">
        <v>24</v>
      </c>
      <c r="H262" s="18">
        <f>ROUND(RAND()*4+6,1)</f>
      </c>
      <c r="I262" s="17" t="s">
        <v>41</v>
      </c>
      <c r="J262" s="19">
        <f>ROUND(75*1,0)&amp;"%"</f>
      </c>
    </row>
    <row x14ac:dyDescent="0.25" r="263" customHeight="1" ht="17.25">
      <c r="A263" s="20" t="s">
        <v>6198</v>
      </c>
      <c r="B263" s="20" t="s">
        <v>432</v>
      </c>
      <c r="C263" s="20" t="s">
        <v>15</v>
      </c>
      <c r="D263" s="20" t="s">
        <v>67</v>
      </c>
      <c r="E263" s="21">
        <f>ROUND(10893*1.05,2)</f>
      </c>
      <c r="F263" s="20" t="s">
        <v>44</v>
      </c>
      <c r="G263" s="20" t="s">
        <v>30</v>
      </c>
      <c r="H263" s="21">
        <f>ROUND(RAND()*4+6,1)</f>
      </c>
      <c r="I263" s="20" t="s">
        <v>45</v>
      </c>
      <c r="J263" s="23">
        <f>ROUND(73*1,0)&amp;"%"</f>
      </c>
    </row>
    <row x14ac:dyDescent="0.25" r="264" customHeight="1" ht="17.25">
      <c r="A264" s="17" t="s">
        <v>6199</v>
      </c>
      <c r="B264" s="17" t="s">
        <v>434</v>
      </c>
      <c r="C264" s="17" t="s">
        <v>15</v>
      </c>
      <c r="D264" s="17" t="s">
        <v>16</v>
      </c>
      <c r="E264" s="26">
        <f>ROUND(10920*1.05,2)</f>
      </c>
      <c r="F264" s="17" t="s">
        <v>48</v>
      </c>
      <c r="G264" s="17" t="s">
        <v>18</v>
      </c>
      <c r="H264" s="18">
        <f>ROUND(RAND()*4+6,1)</f>
      </c>
      <c r="I264" s="17" t="s">
        <v>19</v>
      </c>
      <c r="J264" s="19">
        <f>ROUND(98*1,0)&amp;"%"</f>
      </c>
    </row>
    <row x14ac:dyDescent="0.25" r="265" customHeight="1" ht="17.25">
      <c r="A265" s="20" t="s">
        <v>6200</v>
      </c>
      <c r="B265" s="20" t="s">
        <v>436</v>
      </c>
      <c r="C265" s="20" t="s">
        <v>15</v>
      </c>
      <c r="D265" s="20" t="s">
        <v>22</v>
      </c>
      <c r="E265" s="21">
        <f>ROUND(7165*1.05,2)</f>
      </c>
      <c r="F265" s="20" t="s">
        <v>51</v>
      </c>
      <c r="G265" s="20" t="s">
        <v>24</v>
      </c>
      <c r="H265" s="21">
        <f>ROUND(RAND()*4+6,1)</f>
      </c>
      <c r="I265" s="20" t="s">
        <v>25</v>
      </c>
      <c r="J265" s="23">
        <f>ROUND(95*1,0)&amp;"%"</f>
      </c>
    </row>
    <row x14ac:dyDescent="0.25" r="266" customHeight="1" ht="17.25">
      <c r="A266" s="24" t="s">
        <v>437</v>
      </c>
      <c r="B266" s="24"/>
      <c r="C266" s="24"/>
      <c r="D266" s="24"/>
      <c r="E266" s="25">
        <v>8</v>
      </c>
      <c r="F266" s="9"/>
      <c r="G266" s="9"/>
      <c r="H266" s="10"/>
      <c r="I266" s="9"/>
      <c r="J266" s="9"/>
    </row>
    <row x14ac:dyDescent="0.25" r="267" customHeight="1" ht="17.25">
      <c r="A267" s="7"/>
      <c r="B267" s="7"/>
      <c r="C267" s="7"/>
      <c r="D267" s="7"/>
      <c r="E267" s="8"/>
      <c r="F267" s="9"/>
      <c r="G267" s="9"/>
      <c r="H267" s="10"/>
      <c r="I267" s="9"/>
      <c r="J267" s="9"/>
    </row>
    <row x14ac:dyDescent="0.25" r="268" customHeight="1" ht="17.25">
      <c r="A268" s="11" t="s">
        <v>6201</v>
      </c>
      <c r="B268" s="11"/>
      <c r="C268" s="11"/>
      <c r="D268" s="11"/>
      <c r="E268" s="12"/>
      <c r="F268" s="11"/>
      <c r="G268" s="11"/>
      <c r="H268" s="13"/>
      <c r="I268" s="11"/>
      <c r="J268" s="11"/>
    </row>
    <row x14ac:dyDescent="0.25" r="269" customHeight="1" ht="17.25">
      <c r="A269" s="14" t="s">
        <v>3</v>
      </c>
      <c r="B269" s="14" t="s">
        <v>4</v>
      </c>
      <c r="C269" s="14" t="s">
        <v>5</v>
      </c>
      <c r="D269" s="14" t="s">
        <v>6</v>
      </c>
      <c r="E269" s="15" t="s">
        <v>7</v>
      </c>
      <c r="F269" s="14" t="s">
        <v>8</v>
      </c>
      <c r="G269" s="14" t="s">
        <v>9</v>
      </c>
      <c r="H269" s="16" t="s">
        <v>10</v>
      </c>
      <c r="I269" s="14" t="s">
        <v>11</v>
      </c>
      <c r="J269" s="14" t="s">
        <v>12</v>
      </c>
    </row>
    <row x14ac:dyDescent="0.25" r="270" customHeight="1" ht="17.25">
      <c r="A270" s="17" t="s">
        <v>6202</v>
      </c>
      <c r="B270" s="17" t="s">
        <v>440</v>
      </c>
      <c r="C270" s="17" t="s">
        <v>56</v>
      </c>
      <c r="D270" s="17" t="s">
        <v>16</v>
      </c>
      <c r="E270" s="26">
        <f>ROUND(5900*1.05,2)</f>
      </c>
      <c r="F270" s="17" t="s">
        <v>17</v>
      </c>
      <c r="G270" s="17" t="s">
        <v>18</v>
      </c>
      <c r="H270" s="18">
        <f>ROUND(RAND()*4+6,1)</f>
      </c>
      <c r="I270" s="17" t="s">
        <v>19</v>
      </c>
      <c r="J270" s="19">
        <f>ROUND(64*1,0)&amp;"%"</f>
      </c>
    </row>
    <row x14ac:dyDescent="0.25" r="271" customHeight="1" ht="17.25">
      <c r="A271" s="20" t="s">
        <v>6203</v>
      </c>
      <c r="B271" s="20" t="s">
        <v>442</v>
      </c>
      <c r="C271" s="20" t="s">
        <v>56</v>
      </c>
      <c r="D271" s="20" t="s">
        <v>22</v>
      </c>
      <c r="E271" s="21">
        <f>ROUND(5167*1.05,2)</f>
      </c>
      <c r="F271" s="20" t="s">
        <v>23</v>
      </c>
      <c r="G271" s="20" t="s">
        <v>24</v>
      </c>
      <c r="H271" s="21">
        <f>ROUND(RAND()*4+6,1)</f>
      </c>
      <c r="I271" s="20" t="s">
        <v>25</v>
      </c>
      <c r="J271" s="23">
        <f>ROUND(68*1,0)&amp;"%"</f>
      </c>
    </row>
    <row x14ac:dyDescent="0.25" r="272" customHeight="1" ht="17.25">
      <c r="A272" s="17" t="s">
        <v>6204</v>
      </c>
      <c r="B272" s="17" t="s">
        <v>444</v>
      </c>
      <c r="C272" s="17" t="s">
        <v>56</v>
      </c>
      <c r="D272" s="17" t="s">
        <v>28</v>
      </c>
      <c r="E272" s="18">
        <f>ROUND(15036*1.05,2)</f>
      </c>
      <c r="F272" s="17" t="s">
        <v>29</v>
      </c>
      <c r="G272" s="17" t="s">
        <v>30</v>
      </c>
      <c r="H272" s="18">
        <f>ROUND(RAND()*4+6,1)</f>
      </c>
      <c r="I272" s="17" t="s">
        <v>31</v>
      </c>
      <c r="J272" s="19">
        <f>ROUND(86*1,0)&amp;"%"</f>
      </c>
    </row>
    <row x14ac:dyDescent="0.25" r="273" customHeight="1" ht="17.25">
      <c r="A273" s="20" t="s">
        <v>6205</v>
      </c>
      <c r="B273" s="20" t="s">
        <v>446</v>
      </c>
      <c r="C273" s="20" t="s">
        <v>56</v>
      </c>
      <c r="D273" s="20" t="s">
        <v>34</v>
      </c>
      <c r="E273" s="21">
        <f>ROUND(10985*1.05,2)</f>
      </c>
      <c r="F273" s="20" t="s">
        <v>35</v>
      </c>
      <c r="G273" s="20" t="s">
        <v>18</v>
      </c>
      <c r="H273" s="21">
        <f>ROUND(RAND()*4+6,1)</f>
      </c>
      <c r="I273" s="20" t="s">
        <v>36</v>
      </c>
      <c r="J273" s="23">
        <f>ROUND(94*1,0)&amp;"%"</f>
      </c>
    </row>
    <row x14ac:dyDescent="0.25" r="274" customHeight="1" ht="17.25">
      <c r="A274" s="17" t="s">
        <v>6206</v>
      </c>
      <c r="B274" s="17" t="s">
        <v>448</v>
      </c>
      <c r="C274" s="17" t="s">
        <v>56</v>
      </c>
      <c r="D274" s="17" t="s">
        <v>39</v>
      </c>
      <c r="E274" s="26">
        <f>ROUND(13500*1.05,2)</f>
      </c>
      <c r="F274" s="17" t="s">
        <v>40</v>
      </c>
      <c r="G274" s="17" t="s">
        <v>24</v>
      </c>
      <c r="H274" s="18">
        <f>ROUND(RAND()*4+6,1)</f>
      </c>
      <c r="I274" s="17" t="s">
        <v>41</v>
      </c>
      <c r="J274" s="19">
        <f>ROUND(62*1,0)&amp;"%"</f>
      </c>
    </row>
    <row x14ac:dyDescent="0.25" r="275" customHeight="1" ht="17.25">
      <c r="A275" s="20" t="s">
        <v>6207</v>
      </c>
      <c r="B275" s="20" t="s">
        <v>450</v>
      </c>
      <c r="C275" s="20" t="s">
        <v>56</v>
      </c>
      <c r="D275" s="20" t="s">
        <v>67</v>
      </c>
      <c r="E275" s="21">
        <f>ROUND(13663*1.05,2)</f>
      </c>
      <c r="F275" s="20" t="s">
        <v>44</v>
      </c>
      <c r="G275" s="20" t="s">
        <v>30</v>
      </c>
      <c r="H275" s="21">
        <f>ROUND(RAND()*4+6,1)</f>
      </c>
      <c r="I275" s="20" t="s">
        <v>45</v>
      </c>
      <c r="J275" s="23">
        <f>ROUND(75*1,0)&amp;"%"</f>
      </c>
    </row>
    <row x14ac:dyDescent="0.25" r="276" customHeight="1" ht="17.25">
      <c r="A276" s="17" t="s">
        <v>6208</v>
      </c>
      <c r="B276" s="17" t="s">
        <v>452</v>
      </c>
      <c r="C276" s="17" t="s">
        <v>56</v>
      </c>
      <c r="D276" s="17" t="s">
        <v>16</v>
      </c>
      <c r="E276" s="18">
        <f>ROUND(5898*1.05,2)</f>
      </c>
      <c r="F276" s="17" t="s">
        <v>48</v>
      </c>
      <c r="G276" s="17" t="s">
        <v>18</v>
      </c>
      <c r="H276" s="26">
        <f>ROUND(RAND()*4+6,1)</f>
      </c>
      <c r="I276" s="17" t="s">
        <v>19</v>
      </c>
      <c r="J276" s="19">
        <f>ROUND(90*1,0)&amp;"%"</f>
      </c>
    </row>
    <row x14ac:dyDescent="0.25" r="277" customHeight="1" ht="17.25">
      <c r="A277" s="20" t="s">
        <v>6209</v>
      </c>
      <c r="B277" s="20" t="s">
        <v>454</v>
      </c>
      <c r="C277" s="20" t="s">
        <v>56</v>
      </c>
      <c r="D277" s="20" t="s">
        <v>22</v>
      </c>
      <c r="E277" s="21">
        <f>ROUND(7156*1.05,2)</f>
      </c>
      <c r="F277" s="20" t="s">
        <v>51</v>
      </c>
      <c r="G277" s="20" t="s">
        <v>24</v>
      </c>
      <c r="H277" s="21">
        <f>ROUND(RAND()*4+6,1)</f>
      </c>
      <c r="I277" s="20" t="s">
        <v>25</v>
      </c>
      <c r="J277" s="23">
        <f>ROUND(85*1,0)&amp;"%"</f>
      </c>
    </row>
    <row x14ac:dyDescent="0.25" r="278" customHeight="1" ht="17.25">
      <c r="A278" s="24" t="s">
        <v>455</v>
      </c>
      <c r="B278" s="24"/>
      <c r="C278" s="24"/>
      <c r="D278" s="24"/>
      <c r="E278" s="25">
        <v>8</v>
      </c>
      <c r="F278" s="9"/>
      <c r="G278" s="9"/>
      <c r="H278" s="10"/>
      <c r="I278" s="9"/>
      <c r="J278" s="9"/>
    </row>
    <row x14ac:dyDescent="0.25" r="279" customHeight="1" ht="17.25">
      <c r="A279" s="7"/>
      <c r="B279" s="7"/>
      <c r="C279" s="7"/>
      <c r="D279" s="7"/>
      <c r="E279" s="8"/>
      <c r="F279" s="9"/>
      <c r="G279" s="9"/>
      <c r="H279" s="10"/>
      <c r="I279" s="9"/>
      <c r="J279" s="9"/>
    </row>
    <row x14ac:dyDescent="0.25" r="280" customHeight="1" ht="17.25">
      <c r="A280" s="11" t="s">
        <v>6210</v>
      </c>
      <c r="B280" s="11"/>
      <c r="C280" s="11"/>
      <c r="D280" s="11"/>
      <c r="E280" s="12"/>
      <c r="F280" s="11"/>
      <c r="G280" s="11"/>
      <c r="H280" s="13"/>
      <c r="I280" s="11"/>
      <c r="J280" s="11"/>
    </row>
    <row x14ac:dyDescent="0.25" r="281" customHeight="1" ht="17.25">
      <c r="A281" s="14" t="s">
        <v>3</v>
      </c>
      <c r="B281" s="14" t="s">
        <v>4</v>
      </c>
      <c r="C281" s="14" t="s">
        <v>5</v>
      </c>
      <c r="D281" s="14" t="s">
        <v>6</v>
      </c>
      <c r="E281" s="15" t="s">
        <v>7</v>
      </c>
      <c r="F281" s="14" t="s">
        <v>8</v>
      </c>
      <c r="G281" s="14" t="s">
        <v>9</v>
      </c>
      <c r="H281" s="16" t="s">
        <v>10</v>
      </c>
      <c r="I281" s="14" t="s">
        <v>11</v>
      </c>
      <c r="J281" s="14" t="s">
        <v>12</v>
      </c>
    </row>
    <row x14ac:dyDescent="0.25" r="282" customHeight="1" ht="17.25">
      <c r="A282" s="17" t="s">
        <v>6211</v>
      </c>
      <c r="B282" s="17" t="s">
        <v>458</v>
      </c>
      <c r="C282" s="17" t="s">
        <v>76</v>
      </c>
      <c r="D282" s="17" t="s">
        <v>16</v>
      </c>
      <c r="E282" s="18">
        <f>ROUND(11912*1.05,2)</f>
      </c>
      <c r="F282" s="17" t="s">
        <v>17</v>
      </c>
      <c r="G282" s="17" t="s">
        <v>18</v>
      </c>
      <c r="H282" s="18">
        <f>ROUND(RAND()*4+6,1)</f>
      </c>
      <c r="I282" s="17" t="s">
        <v>19</v>
      </c>
      <c r="J282" s="19">
        <f>ROUND(92*1,0)&amp;"%"</f>
      </c>
    </row>
    <row x14ac:dyDescent="0.25" r="283" customHeight="1" ht="17.25">
      <c r="A283" s="20" t="s">
        <v>6212</v>
      </c>
      <c r="B283" s="20" t="s">
        <v>460</v>
      </c>
      <c r="C283" s="20" t="s">
        <v>76</v>
      </c>
      <c r="D283" s="20" t="s">
        <v>22</v>
      </c>
      <c r="E283" s="21">
        <f>ROUND(5848*1.05,2)</f>
      </c>
      <c r="F283" s="20" t="s">
        <v>23</v>
      </c>
      <c r="G283" s="20" t="s">
        <v>24</v>
      </c>
      <c r="H283" s="21">
        <f>ROUND(RAND()*4+6,1)</f>
      </c>
      <c r="I283" s="20" t="s">
        <v>25</v>
      </c>
      <c r="J283" s="23">
        <f>ROUND(89*1,0)&amp;"%"</f>
      </c>
    </row>
    <row x14ac:dyDescent="0.25" r="284" customHeight="1" ht="17.25">
      <c r="A284" s="17" t="s">
        <v>6213</v>
      </c>
      <c r="B284" s="17" t="s">
        <v>462</v>
      </c>
      <c r="C284" s="17" t="s">
        <v>76</v>
      </c>
      <c r="D284" s="17" t="s">
        <v>28</v>
      </c>
      <c r="E284" s="18">
        <f>ROUND(6985*1.05,2)</f>
      </c>
      <c r="F284" s="17" t="s">
        <v>29</v>
      </c>
      <c r="G284" s="17" t="s">
        <v>30</v>
      </c>
      <c r="H284" s="18">
        <f>ROUND(RAND()*4+6,1)</f>
      </c>
      <c r="I284" s="17" t="s">
        <v>31</v>
      </c>
      <c r="J284" s="19">
        <f>ROUND(75*1,0)&amp;"%"</f>
      </c>
    </row>
    <row x14ac:dyDescent="0.25" r="285" customHeight="1" ht="17.25">
      <c r="A285" s="20" t="s">
        <v>6214</v>
      </c>
      <c r="B285" s="20" t="s">
        <v>464</v>
      </c>
      <c r="C285" s="20" t="s">
        <v>76</v>
      </c>
      <c r="D285" s="20" t="s">
        <v>34</v>
      </c>
      <c r="E285" s="21">
        <f>ROUND(12883*1.05,2)</f>
      </c>
      <c r="F285" s="20" t="s">
        <v>35</v>
      </c>
      <c r="G285" s="20" t="s">
        <v>18</v>
      </c>
      <c r="H285" s="21">
        <f>ROUND(RAND()*4+6,1)</f>
      </c>
      <c r="I285" s="20" t="s">
        <v>36</v>
      </c>
      <c r="J285" s="23">
        <f>ROUND(100*1,0)&amp;"%"</f>
      </c>
    </row>
    <row x14ac:dyDescent="0.25" r="286" customHeight="1" ht="17.25">
      <c r="A286" s="17" t="s">
        <v>6215</v>
      </c>
      <c r="B286" s="17" t="s">
        <v>466</v>
      </c>
      <c r="C286" s="17" t="s">
        <v>76</v>
      </c>
      <c r="D286" s="17" t="s">
        <v>39</v>
      </c>
      <c r="E286" s="18">
        <f>ROUND(12487*1.05,2)</f>
      </c>
      <c r="F286" s="17" t="s">
        <v>40</v>
      </c>
      <c r="G286" s="17" t="s">
        <v>24</v>
      </c>
      <c r="H286" s="26">
        <f>ROUND(RAND()*4+6,1)</f>
      </c>
      <c r="I286" s="17" t="s">
        <v>41</v>
      </c>
      <c r="J286" s="19">
        <f>ROUND(65*1,0)&amp;"%"</f>
      </c>
    </row>
    <row x14ac:dyDescent="0.25" r="287" customHeight="1" ht="17.25">
      <c r="A287" s="20" t="s">
        <v>6216</v>
      </c>
      <c r="B287" s="20" t="s">
        <v>468</v>
      </c>
      <c r="C287" s="20" t="s">
        <v>76</v>
      </c>
      <c r="D287" s="20" t="s">
        <v>67</v>
      </c>
      <c r="E287" s="21">
        <f>ROUND(14531*1.05,2)</f>
      </c>
      <c r="F287" s="20" t="s">
        <v>44</v>
      </c>
      <c r="G287" s="20" t="s">
        <v>30</v>
      </c>
      <c r="H287" s="21">
        <f>ROUND(RAND()*4+6,1)</f>
      </c>
      <c r="I287" s="20" t="s">
        <v>45</v>
      </c>
      <c r="J287" s="23">
        <f>ROUND(65*1,0)&amp;"%"</f>
      </c>
    </row>
    <row x14ac:dyDescent="0.25" r="288" customHeight="1" ht="17.25">
      <c r="A288" s="17" t="s">
        <v>6217</v>
      </c>
      <c r="B288" s="17" t="s">
        <v>470</v>
      </c>
      <c r="C288" s="17" t="s">
        <v>76</v>
      </c>
      <c r="D288" s="17" t="s">
        <v>16</v>
      </c>
      <c r="E288" s="18">
        <f>ROUND(10975*1.05,2)</f>
      </c>
      <c r="F288" s="17" t="s">
        <v>48</v>
      </c>
      <c r="G288" s="17" t="s">
        <v>18</v>
      </c>
      <c r="H288" s="18">
        <f>ROUND(RAND()*4+6,1)</f>
      </c>
      <c r="I288" s="17" t="s">
        <v>19</v>
      </c>
      <c r="J288" s="19">
        <f>ROUND(60*1,0)&amp;"%"</f>
      </c>
    </row>
    <row x14ac:dyDescent="0.25" r="289" customHeight="1" ht="17.25">
      <c r="A289" s="20" t="s">
        <v>6218</v>
      </c>
      <c r="B289" s="20" t="s">
        <v>472</v>
      </c>
      <c r="C289" s="20" t="s">
        <v>76</v>
      </c>
      <c r="D289" s="20" t="s">
        <v>22</v>
      </c>
      <c r="E289" s="21">
        <f>ROUND(17073*1.05,2)</f>
      </c>
      <c r="F289" s="20" t="s">
        <v>51</v>
      </c>
      <c r="G289" s="20" t="s">
        <v>24</v>
      </c>
      <c r="H289" s="21">
        <f>ROUND(RAND()*4+6,1)</f>
      </c>
      <c r="I289" s="20" t="s">
        <v>25</v>
      </c>
      <c r="J289" s="23">
        <f>ROUND(68*1,0)&amp;"%"</f>
      </c>
    </row>
    <row x14ac:dyDescent="0.25" r="290" customHeight="1" ht="17.25">
      <c r="A290" s="24" t="s">
        <v>473</v>
      </c>
      <c r="B290" s="24"/>
      <c r="C290" s="24"/>
      <c r="D290" s="24"/>
      <c r="E290" s="25">
        <v>8</v>
      </c>
      <c r="F290" s="9"/>
      <c r="G290" s="9"/>
      <c r="H290" s="10"/>
      <c r="I290" s="9"/>
      <c r="J290" s="9"/>
    </row>
    <row x14ac:dyDescent="0.25" r="291" customHeight="1" ht="17.25">
      <c r="A291" s="7"/>
      <c r="B291" s="7"/>
      <c r="C291" s="7"/>
      <c r="D291" s="7"/>
      <c r="E291" s="8"/>
      <c r="F291" s="9"/>
      <c r="G291" s="9"/>
      <c r="H291" s="10"/>
      <c r="I291" s="9"/>
      <c r="J291" s="9"/>
    </row>
    <row x14ac:dyDescent="0.25" r="292" customHeight="1" ht="17.25">
      <c r="A292" s="11" t="s">
        <v>6219</v>
      </c>
      <c r="B292" s="11"/>
      <c r="C292" s="11"/>
      <c r="D292" s="11"/>
      <c r="E292" s="12"/>
      <c r="F292" s="11"/>
      <c r="G292" s="11"/>
      <c r="H292" s="13"/>
      <c r="I292" s="11"/>
      <c r="J292" s="11"/>
    </row>
    <row x14ac:dyDescent="0.25" r="293" customHeight="1" ht="17.25">
      <c r="A293" s="14" t="s">
        <v>3</v>
      </c>
      <c r="B293" s="14" t="s">
        <v>4</v>
      </c>
      <c r="C293" s="14" t="s">
        <v>5</v>
      </c>
      <c r="D293" s="14" t="s">
        <v>6</v>
      </c>
      <c r="E293" s="15" t="s">
        <v>7</v>
      </c>
      <c r="F293" s="14" t="s">
        <v>8</v>
      </c>
      <c r="G293" s="14" t="s">
        <v>9</v>
      </c>
      <c r="H293" s="16" t="s">
        <v>10</v>
      </c>
      <c r="I293" s="14" t="s">
        <v>11</v>
      </c>
      <c r="J293" s="14" t="s">
        <v>12</v>
      </c>
    </row>
    <row x14ac:dyDescent="0.25" r="294" customHeight="1" ht="17.25">
      <c r="A294" s="17" t="s">
        <v>6220</v>
      </c>
      <c r="B294" s="17" t="s">
        <v>476</v>
      </c>
      <c r="C294" s="17" t="s">
        <v>95</v>
      </c>
      <c r="D294" s="17" t="s">
        <v>16</v>
      </c>
      <c r="E294" s="18">
        <f>ROUND(10996*1.05,2)</f>
      </c>
      <c r="F294" s="17" t="s">
        <v>17</v>
      </c>
      <c r="G294" s="17" t="s">
        <v>18</v>
      </c>
      <c r="H294" s="18">
        <f>ROUND(RAND()*4+6,1)</f>
      </c>
      <c r="I294" s="17" t="s">
        <v>19</v>
      </c>
      <c r="J294" s="19">
        <f>ROUND(90*1,0)&amp;"%"</f>
      </c>
    </row>
    <row x14ac:dyDescent="0.25" r="295" customHeight="1" ht="17.25">
      <c r="A295" s="20" t="s">
        <v>6221</v>
      </c>
      <c r="B295" s="20" t="s">
        <v>478</v>
      </c>
      <c r="C295" s="20" t="s">
        <v>95</v>
      </c>
      <c r="D295" s="20" t="s">
        <v>22</v>
      </c>
      <c r="E295" s="21">
        <f>ROUND(7307*1.05,2)</f>
      </c>
      <c r="F295" s="20" t="s">
        <v>23</v>
      </c>
      <c r="G295" s="20" t="s">
        <v>24</v>
      </c>
      <c r="H295" s="21">
        <f>ROUND(RAND()*4+6,1)</f>
      </c>
      <c r="I295" s="20" t="s">
        <v>25</v>
      </c>
      <c r="J295" s="23">
        <f>ROUND(89*1,0)&amp;"%"</f>
      </c>
    </row>
    <row x14ac:dyDescent="0.25" r="296" customHeight="1" ht="17.25">
      <c r="A296" s="17" t="s">
        <v>6222</v>
      </c>
      <c r="B296" s="17" t="s">
        <v>480</v>
      </c>
      <c r="C296" s="17" t="s">
        <v>95</v>
      </c>
      <c r="D296" s="17" t="s">
        <v>28</v>
      </c>
      <c r="E296" s="18">
        <f>ROUND(12621*1.05,2)</f>
      </c>
      <c r="F296" s="17" t="s">
        <v>29</v>
      </c>
      <c r="G296" s="17" t="s">
        <v>30</v>
      </c>
      <c r="H296" s="26">
        <f>ROUND(RAND()*4+6,1)</f>
      </c>
      <c r="I296" s="17" t="s">
        <v>31</v>
      </c>
      <c r="J296" s="19">
        <f>ROUND(100*1,0)&amp;"%"</f>
      </c>
    </row>
    <row x14ac:dyDescent="0.25" r="297" customHeight="1" ht="17.25">
      <c r="A297" s="20" t="s">
        <v>6223</v>
      </c>
      <c r="B297" s="20" t="s">
        <v>482</v>
      </c>
      <c r="C297" s="20" t="s">
        <v>95</v>
      </c>
      <c r="D297" s="20" t="s">
        <v>34</v>
      </c>
      <c r="E297" s="21">
        <f>ROUND(6674*1.05,2)</f>
      </c>
      <c r="F297" s="20" t="s">
        <v>35</v>
      </c>
      <c r="G297" s="20" t="s">
        <v>18</v>
      </c>
      <c r="H297" s="21">
        <f>ROUND(RAND()*4+6,1)</f>
      </c>
      <c r="I297" s="20" t="s">
        <v>36</v>
      </c>
      <c r="J297" s="23">
        <f>ROUND(94*1,0)&amp;"%"</f>
      </c>
    </row>
    <row x14ac:dyDescent="0.25" r="298" customHeight="1" ht="17.25">
      <c r="A298" s="17" t="s">
        <v>6224</v>
      </c>
      <c r="B298" s="17" t="s">
        <v>484</v>
      </c>
      <c r="C298" s="17" t="s">
        <v>95</v>
      </c>
      <c r="D298" s="17" t="s">
        <v>39</v>
      </c>
      <c r="E298" s="18">
        <f>ROUND(14357*1.05,2)</f>
      </c>
      <c r="F298" s="17" t="s">
        <v>40</v>
      </c>
      <c r="G298" s="17" t="s">
        <v>24</v>
      </c>
      <c r="H298" s="18">
        <f>ROUND(RAND()*4+6,1)</f>
      </c>
      <c r="I298" s="17" t="s">
        <v>41</v>
      </c>
      <c r="J298" s="19">
        <f>ROUND(81*1,0)&amp;"%"</f>
      </c>
    </row>
    <row x14ac:dyDescent="0.25" r="299" customHeight="1" ht="17.25">
      <c r="A299" s="20" t="s">
        <v>6225</v>
      </c>
      <c r="B299" s="20" t="s">
        <v>486</v>
      </c>
      <c r="C299" s="20" t="s">
        <v>95</v>
      </c>
      <c r="D299" s="20" t="s">
        <v>67</v>
      </c>
      <c r="E299" s="21">
        <f>ROUND(12151*1.05,2)</f>
      </c>
      <c r="F299" s="20" t="s">
        <v>44</v>
      </c>
      <c r="G299" s="20" t="s">
        <v>30</v>
      </c>
      <c r="H299" s="21">
        <f>ROUND(RAND()*4+6,1)</f>
      </c>
      <c r="I299" s="20" t="s">
        <v>45</v>
      </c>
      <c r="J299" s="23">
        <f>ROUND(66*1,0)&amp;"%"</f>
      </c>
    </row>
    <row x14ac:dyDescent="0.25" r="300" customHeight="1" ht="17.25">
      <c r="A300" s="17" t="s">
        <v>6226</v>
      </c>
      <c r="B300" s="17" t="s">
        <v>488</v>
      </c>
      <c r="C300" s="17" t="s">
        <v>95</v>
      </c>
      <c r="D300" s="17" t="s">
        <v>16</v>
      </c>
      <c r="E300" s="18">
        <f>ROUND(16008*1.05,2)</f>
      </c>
      <c r="F300" s="17" t="s">
        <v>48</v>
      </c>
      <c r="G300" s="17" t="s">
        <v>18</v>
      </c>
      <c r="H300" s="18">
        <f>ROUND(RAND()*4+6,1)</f>
      </c>
      <c r="I300" s="17" t="s">
        <v>19</v>
      </c>
      <c r="J300" s="19">
        <f>ROUND(63*1,0)&amp;"%"</f>
      </c>
    </row>
    <row x14ac:dyDescent="0.25" r="301" customHeight="1" ht="17.25">
      <c r="A301" s="20" t="s">
        <v>6227</v>
      </c>
      <c r="B301" s="20" t="s">
        <v>490</v>
      </c>
      <c r="C301" s="20" t="s">
        <v>95</v>
      </c>
      <c r="D301" s="20" t="s">
        <v>22</v>
      </c>
      <c r="E301" s="22">
        <f>ROUND(8080*1.05,2)</f>
      </c>
      <c r="F301" s="20" t="s">
        <v>51</v>
      </c>
      <c r="G301" s="20" t="s">
        <v>24</v>
      </c>
      <c r="H301" s="21">
        <f>ROUND(RAND()*4+6,1)</f>
      </c>
      <c r="I301" s="20" t="s">
        <v>25</v>
      </c>
      <c r="J301" s="23">
        <f>ROUND(83*1,0)&amp;"%"</f>
      </c>
    </row>
    <row x14ac:dyDescent="0.25" r="302" customHeight="1" ht="17.25">
      <c r="A302" s="24" t="s">
        <v>491</v>
      </c>
      <c r="B302" s="24"/>
      <c r="C302" s="24"/>
      <c r="D302" s="24"/>
      <c r="E302" s="25">
        <v>8</v>
      </c>
      <c r="F302" s="9"/>
      <c r="G302" s="9"/>
      <c r="H302" s="10"/>
      <c r="I302" s="9"/>
      <c r="J302" s="9"/>
    </row>
    <row x14ac:dyDescent="0.25" r="303" customHeight="1" ht="17.25">
      <c r="A303" s="7"/>
      <c r="B303" s="7"/>
      <c r="C303" s="7"/>
      <c r="D303" s="7"/>
      <c r="E303" s="8"/>
      <c r="F303" s="9"/>
      <c r="G303" s="9"/>
      <c r="H303" s="10"/>
      <c r="I303" s="9"/>
      <c r="J303" s="9"/>
    </row>
    <row x14ac:dyDescent="0.25" r="304" customHeight="1" ht="17.25">
      <c r="A304" s="11" t="s">
        <v>6228</v>
      </c>
      <c r="B304" s="11"/>
      <c r="C304" s="11"/>
      <c r="D304" s="11"/>
      <c r="E304" s="12"/>
      <c r="F304" s="11"/>
      <c r="G304" s="11"/>
      <c r="H304" s="13"/>
      <c r="I304" s="11"/>
      <c r="J304" s="11"/>
    </row>
    <row x14ac:dyDescent="0.25" r="305" customHeight="1" ht="17.25">
      <c r="A305" s="14" t="s">
        <v>3</v>
      </c>
      <c r="B305" s="14" t="s">
        <v>4</v>
      </c>
      <c r="C305" s="14" t="s">
        <v>5</v>
      </c>
      <c r="D305" s="14" t="s">
        <v>6</v>
      </c>
      <c r="E305" s="15" t="s">
        <v>7</v>
      </c>
      <c r="F305" s="14" t="s">
        <v>8</v>
      </c>
      <c r="G305" s="14" t="s">
        <v>9</v>
      </c>
      <c r="H305" s="16" t="s">
        <v>10</v>
      </c>
      <c r="I305" s="14" t="s">
        <v>11</v>
      </c>
      <c r="J305" s="14" t="s">
        <v>12</v>
      </c>
    </row>
    <row x14ac:dyDescent="0.25" r="306" customHeight="1" ht="17.25">
      <c r="A306" s="17" t="s">
        <v>6229</v>
      </c>
      <c r="B306" s="17" t="s">
        <v>494</v>
      </c>
      <c r="C306" s="17" t="s">
        <v>114</v>
      </c>
      <c r="D306" s="17" t="s">
        <v>16</v>
      </c>
      <c r="E306" s="18">
        <f>ROUND(16687*1.05,2)</f>
      </c>
      <c r="F306" s="17" t="s">
        <v>17</v>
      </c>
      <c r="G306" s="17" t="s">
        <v>18</v>
      </c>
      <c r="H306" s="18">
        <f>ROUND(RAND()*4+6,1)</f>
      </c>
      <c r="I306" s="17" t="s">
        <v>19</v>
      </c>
      <c r="J306" s="19">
        <f>ROUND(86*1,0)&amp;"%"</f>
      </c>
    </row>
    <row x14ac:dyDescent="0.25" r="307" customHeight="1" ht="17.25">
      <c r="A307" s="20" t="s">
        <v>6230</v>
      </c>
      <c r="B307" s="20" t="s">
        <v>496</v>
      </c>
      <c r="C307" s="20" t="s">
        <v>114</v>
      </c>
      <c r="D307" s="20" t="s">
        <v>22</v>
      </c>
      <c r="E307" s="21">
        <f>ROUND(13716*1.05,2)</f>
      </c>
      <c r="F307" s="20" t="s">
        <v>23</v>
      </c>
      <c r="G307" s="20" t="s">
        <v>24</v>
      </c>
      <c r="H307" s="21">
        <f>ROUND(RAND()*4+6,1)</f>
      </c>
      <c r="I307" s="20" t="s">
        <v>25</v>
      </c>
      <c r="J307" s="23">
        <f>ROUND(68*1,0)&amp;"%"</f>
      </c>
    </row>
    <row x14ac:dyDescent="0.25" r="308" customHeight="1" ht="17.25">
      <c r="A308" s="17" t="s">
        <v>6231</v>
      </c>
      <c r="B308" s="17" t="s">
        <v>498</v>
      </c>
      <c r="C308" s="17" t="s">
        <v>114</v>
      </c>
      <c r="D308" s="17" t="s">
        <v>28</v>
      </c>
      <c r="E308" s="18">
        <f>ROUND(5356*1.05,2)</f>
      </c>
      <c r="F308" s="17" t="s">
        <v>29</v>
      </c>
      <c r="G308" s="17" t="s">
        <v>30</v>
      </c>
      <c r="H308" s="18">
        <f>ROUND(RAND()*4+6,1)</f>
      </c>
      <c r="I308" s="17" t="s">
        <v>31</v>
      </c>
      <c r="J308" s="19">
        <f>ROUND(67*1,0)&amp;"%"</f>
      </c>
    </row>
    <row x14ac:dyDescent="0.25" r="309" customHeight="1" ht="17.25">
      <c r="A309" s="20" t="s">
        <v>6232</v>
      </c>
      <c r="B309" s="20" t="s">
        <v>500</v>
      </c>
      <c r="C309" s="20" t="s">
        <v>114</v>
      </c>
      <c r="D309" s="20" t="s">
        <v>34</v>
      </c>
      <c r="E309" s="21">
        <f>ROUND(16570*1.05,2)</f>
      </c>
      <c r="F309" s="20" t="s">
        <v>35</v>
      </c>
      <c r="G309" s="20" t="s">
        <v>18</v>
      </c>
      <c r="H309" s="22">
        <f>ROUND(RAND()*4+6,1)</f>
      </c>
      <c r="I309" s="20" t="s">
        <v>36</v>
      </c>
      <c r="J309" s="23">
        <f>ROUND(72*1,0)&amp;"%"</f>
      </c>
    </row>
    <row x14ac:dyDescent="0.25" r="310" customHeight="1" ht="17.25">
      <c r="A310" s="17" t="s">
        <v>6233</v>
      </c>
      <c r="B310" s="17" t="s">
        <v>502</v>
      </c>
      <c r="C310" s="17" t="s">
        <v>114</v>
      </c>
      <c r="D310" s="17" t="s">
        <v>39</v>
      </c>
      <c r="E310" s="18">
        <f>ROUND(7038*1.05,2)</f>
      </c>
      <c r="F310" s="17" t="s">
        <v>40</v>
      </c>
      <c r="G310" s="17" t="s">
        <v>24</v>
      </c>
      <c r="H310" s="18">
        <f>ROUND(RAND()*4+6,1)</f>
      </c>
      <c r="I310" s="17" t="s">
        <v>41</v>
      </c>
      <c r="J310" s="19">
        <f>ROUND(84*1,0)&amp;"%"</f>
      </c>
    </row>
    <row x14ac:dyDescent="0.25" r="311" customHeight="1" ht="17.25">
      <c r="A311" s="20" t="s">
        <v>6234</v>
      </c>
      <c r="B311" s="20" t="s">
        <v>504</v>
      </c>
      <c r="C311" s="20" t="s">
        <v>114</v>
      </c>
      <c r="D311" s="20" t="s">
        <v>67</v>
      </c>
      <c r="E311" s="21">
        <f>ROUND(14885*1.05,2)</f>
      </c>
      <c r="F311" s="20" t="s">
        <v>44</v>
      </c>
      <c r="G311" s="20" t="s">
        <v>30</v>
      </c>
      <c r="H311" s="21">
        <f>ROUND(RAND()*4+6,1)</f>
      </c>
      <c r="I311" s="20" t="s">
        <v>45</v>
      </c>
      <c r="J311" s="23">
        <f>ROUND(83*1,0)&amp;"%"</f>
      </c>
    </row>
    <row x14ac:dyDescent="0.25" r="312" customHeight="1" ht="17.25">
      <c r="A312" s="17" t="s">
        <v>6235</v>
      </c>
      <c r="B312" s="17" t="s">
        <v>506</v>
      </c>
      <c r="C312" s="17" t="s">
        <v>114</v>
      </c>
      <c r="D312" s="17" t="s">
        <v>16</v>
      </c>
      <c r="E312" s="18">
        <f>ROUND(5071*1.05,2)</f>
      </c>
      <c r="F312" s="17" t="s">
        <v>48</v>
      </c>
      <c r="G312" s="17" t="s">
        <v>18</v>
      </c>
      <c r="H312" s="18">
        <f>ROUND(RAND()*4+6,1)</f>
      </c>
      <c r="I312" s="17" t="s">
        <v>19</v>
      </c>
      <c r="J312" s="19">
        <f>ROUND(72*1,0)&amp;"%"</f>
      </c>
    </row>
    <row x14ac:dyDescent="0.25" r="313" customHeight="1" ht="17.25">
      <c r="A313" s="20" t="s">
        <v>6236</v>
      </c>
      <c r="B313" s="20" t="s">
        <v>508</v>
      </c>
      <c r="C313" s="20" t="s">
        <v>114</v>
      </c>
      <c r="D313" s="20" t="s">
        <v>22</v>
      </c>
      <c r="E313" s="21">
        <f>ROUND(11587*1.05,2)</f>
      </c>
      <c r="F313" s="20" t="s">
        <v>51</v>
      </c>
      <c r="G313" s="20" t="s">
        <v>24</v>
      </c>
      <c r="H313" s="21">
        <f>ROUND(RAND()*4+6,1)</f>
      </c>
      <c r="I313" s="20" t="s">
        <v>25</v>
      </c>
      <c r="J313" s="23">
        <f>ROUND(93*1,0)&amp;"%"</f>
      </c>
    </row>
    <row x14ac:dyDescent="0.25" r="314" customHeight="1" ht="17.25">
      <c r="A314" s="24" t="s">
        <v>509</v>
      </c>
      <c r="B314" s="24"/>
      <c r="C314" s="24"/>
      <c r="D314" s="24"/>
      <c r="E314" s="25">
        <v>8</v>
      </c>
      <c r="F314" s="9"/>
      <c r="G314" s="9"/>
      <c r="H314" s="10"/>
      <c r="I314" s="9"/>
      <c r="J314" s="9"/>
    </row>
    <row x14ac:dyDescent="0.25" r="315" customHeight="1" ht="17.25">
      <c r="A315" s="7"/>
      <c r="B315" s="7"/>
      <c r="C315" s="7"/>
      <c r="D315" s="7"/>
      <c r="E315" s="8"/>
      <c r="F315" s="9"/>
      <c r="G315" s="9"/>
      <c r="H315" s="10"/>
      <c r="I315" s="9"/>
      <c r="J315" s="9"/>
    </row>
    <row x14ac:dyDescent="0.25" r="316" customHeight="1" ht="17.25">
      <c r="A316" s="11" t="s">
        <v>6237</v>
      </c>
      <c r="B316" s="11"/>
      <c r="C316" s="11"/>
      <c r="D316" s="11"/>
      <c r="E316" s="12"/>
      <c r="F316" s="11"/>
      <c r="G316" s="11"/>
      <c r="H316" s="13"/>
      <c r="I316" s="11"/>
      <c r="J316" s="11"/>
    </row>
    <row x14ac:dyDescent="0.25" r="317" customHeight="1" ht="17.25">
      <c r="A317" s="14" t="s">
        <v>3</v>
      </c>
      <c r="B317" s="14" t="s">
        <v>4</v>
      </c>
      <c r="C317" s="14" t="s">
        <v>5</v>
      </c>
      <c r="D317" s="14" t="s">
        <v>6</v>
      </c>
      <c r="E317" s="15" t="s">
        <v>7</v>
      </c>
      <c r="F317" s="14" t="s">
        <v>8</v>
      </c>
      <c r="G317" s="14" t="s">
        <v>9</v>
      </c>
      <c r="H317" s="16" t="s">
        <v>10</v>
      </c>
      <c r="I317" s="14" t="s">
        <v>11</v>
      </c>
      <c r="J317" s="14" t="s">
        <v>12</v>
      </c>
    </row>
    <row x14ac:dyDescent="0.25" r="318" customHeight="1" ht="17.25">
      <c r="A318" s="17" t="s">
        <v>6238</v>
      </c>
      <c r="B318" s="17" t="s">
        <v>512</v>
      </c>
      <c r="C318" s="17" t="s">
        <v>133</v>
      </c>
      <c r="D318" s="17" t="s">
        <v>16</v>
      </c>
      <c r="E318" s="18">
        <f>ROUND(5422*1.05,2)</f>
      </c>
      <c r="F318" s="17" t="s">
        <v>17</v>
      </c>
      <c r="G318" s="17" t="s">
        <v>18</v>
      </c>
      <c r="H318" s="18">
        <f>ROUND(RAND()*4+6,1)</f>
      </c>
      <c r="I318" s="17" t="s">
        <v>19</v>
      </c>
      <c r="J318" s="19">
        <f>ROUND(79*1,0)&amp;"%"</f>
      </c>
    </row>
    <row x14ac:dyDescent="0.25" r="319" customHeight="1" ht="17.25">
      <c r="A319" s="20" t="s">
        <v>6239</v>
      </c>
      <c r="B319" s="20" t="s">
        <v>514</v>
      </c>
      <c r="C319" s="20" t="s">
        <v>133</v>
      </c>
      <c r="D319" s="20" t="s">
        <v>22</v>
      </c>
      <c r="E319" s="21">
        <f>ROUND(5532*1.05,2)</f>
      </c>
      <c r="F319" s="20" t="s">
        <v>23</v>
      </c>
      <c r="G319" s="20" t="s">
        <v>24</v>
      </c>
      <c r="H319" s="21">
        <f>ROUND(RAND()*4+6,1)</f>
      </c>
      <c r="I319" s="20" t="s">
        <v>25</v>
      </c>
      <c r="J319" s="23">
        <f>ROUND(94*1,0)&amp;"%"</f>
      </c>
    </row>
    <row x14ac:dyDescent="0.25" r="320" customHeight="1" ht="17.25">
      <c r="A320" s="17" t="s">
        <v>6240</v>
      </c>
      <c r="B320" s="17" t="s">
        <v>516</v>
      </c>
      <c r="C320" s="17" t="s">
        <v>133</v>
      </c>
      <c r="D320" s="17" t="s">
        <v>28</v>
      </c>
      <c r="E320" s="18">
        <f>ROUND(15512*1.05,2)</f>
      </c>
      <c r="F320" s="17" t="s">
        <v>29</v>
      </c>
      <c r="G320" s="17" t="s">
        <v>30</v>
      </c>
      <c r="H320" s="18">
        <f>ROUND(RAND()*4+6,1)</f>
      </c>
      <c r="I320" s="17" t="s">
        <v>31</v>
      </c>
      <c r="J320" s="19">
        <f>ROUND(86*1,0)&amp;"%"</f>
      </c>
    </row>
    <row x14ac:dyDescent="0.25" r="321" customHeight="1" ht="17.25">
      <c r="A321" s="20" t="s">
        <v>6241</v>
      </c>
      <c r="B321" s="20" t="s">
        <v>518</v>
      </c>
      <c r="C321" s="20" t="s">
        <v>133</v>
      </c>
      <c r="D321" s="20" t="s">
        <v>34</v>
      </c>
      <c r="E321" s="21">
        <f>ROUND(15370*1.05,2)</f>
      </c>
      <c r="F321" s="20" t="s">
        <v>35</v>
      </c>
      <c r="G321" s="20" t="s">
        <v>18</v>
      </c>
      <c r="H321" s="21">
        <f>ROUND(RAND()*4+6,1)</f>
      </c>
      <c r="I321" s="20" t="s">
        <v>36</v>
      </c>
      <c r="J321" s="23">
        <f>ROUND(95*1,0)&amp;"%"</f>
      </c>
    </row>
    <row x14ac:dyDescent="0.25" r="322" customHeight="1" ht="17.25">
      <c r="A322" s="17" t="s">
        <v>6242</v>
      </c>
      <c r="B322" s="17" t="s">
        <v>520</v>
      </c>
      <c r="C322" s="17" t="s">
        <v>133</v>
      </c>
      <c r="D322" s="17" t="s">
        <v>39</v>
      </c>
      <c r="E322" s="18">
        <f>ROUND(10124*1.05,2)</f>
      </c>
      <c r="F322" s="17" t="s">
        <v>40</v>
      </c>
      <c r="G322" s="17" t="s">
        <v>24</v>
      </c>
      <c r="H322" s="18">
        <f>ROUND(RAND()*4+6,1)</f>
      </c>
      <c r="I322" s="17" t="s">
        <v>41</v>
      </c>
      <c r="J322" s="19">
        <f>ROUND(90*1,0)&amp;"%"</f>
      </c>
    </row>
    <row x14ac:dyDescent="0.25" r="323" customHeight="1" ht="17.25">
      <c r="A323" s="20" t="s">
        <v>6243</v>
      </c>
      <c r="B323" s="20" t="s">
        <v>522</v>
      </c>
      <c r="C323" s="20" t="s">
        <v>133</v>
      </c>
      <c r="D323" s="20" t="s">
        <v>67</v>
      </c>
      <c r="E323" s="21">
        <f>ROUND(6990*1.05,2)</f>
      </c>
      <c r="F323" s="20" t="s">
        <v>44</v>
      </c>
      <c r="G323" s="20" t="s">
        <v>30</v>
      </c>
      <c r="H323" s="22">
        <f>ROUND(RAND()*4+6,1)</f>
      </c>
      <c r="I323" s="20" t="s">
        <v>45</v>
      </c>
      <c r="J323" s="23">
        <f>ROUND(90*1,0)&amp;"%"</f>
      </c>
    </row>
    <row x14ac:dyDescent="0.25" r="324" customHeight="1" ht="17.25">
      <c r="A324" s="17" t="s">
        <v>6244</v>
      </c>
      <c r="B324" s="17" t="s">
        <v>524</v>
      </c>
      <c r="C324" s="17" t="s">
        <v>133</v>
      </c>
      <c r="D324" s="17" t="s">
        <v>16</v>
      </c>
      <c r="E324" s="18">
        <f>ROUND(7716*1.05,2)</f>
      </c>
      <c r="F324" s="17" t="s">
        <v>48</v>
      </c>
      <c r="G324" s="17" t="s">
        <v>18</v>
      </c>
      <c r="H324" s="18">
        <f>ROUND(RAND()*4+6,1)</f>
      </c>
      <c r="I324" s="17" t="s">
        <v>19</v>
      </c>
      <c r="J324" s="19">
        <f>ROUND(95*1,0)&amp;"%"</f>
      </c>
    </row>
    <row x14ac:dyDescent="0.25" r="325" customHeight="1" ht="17.25">
      <c r="A325" s="20" t="s">
        <v>6245</v>
      </c>
      <c r="B325" s="20" t="s">
        <v>526</v>
      </c>
      <c r="C325" s="20" t="s">
        <v>133</v>
      </c>
      <c r="D325" s="20" t="s">
        <v>22</v>
      </c>
      <c r="E325" s="21">
        <f>ROUND(10418*1.05,2)</f>
      </c>
      <c r="F325" s="20" t="s">
        <v>51</v>
      </c>
      <c r="G325" s="20" t="s">
        <v>24</v>
      </c>
      <c r="H325" s="21">
        <f>ROUND(RAND()*4+6,1)</f>
      </c>
      <c r="I325" s="20" t="s">
        <v>25</v>
      </c>
      <c r="J325" s="23">
        <f>ROUND(88*1,0)&amp;"%"</f>
      </c>
    </row>
    <row x14ac:dyDescent="0.25" r="326" customHeight="1" ht="17.25">
      <c r="A326" s="24" t="s">
        <v>527</v>
      </c>
      <c r="B326" s="24"/>
      <c r="C326" s="24"/>
      <c r="D326" s="24"/>
      <c r="E326" s="25">
        <v>8</v>
      </c>
      <c r="F326" s="9"/>
      <c r="G326" s="9"/>
      <c r="H326" s="10"/>
      <c r="I326" s="9"/>
      <c r="J326" s="9"/>
    </row>
    <row x14ac:dyDescent="0.25" r="327" customHeight="1" ht="17.25">
      <c r="A327" s="7"/>
      <c r="B327" s="7"/>
      <c r="C327" s="7"/>
      <c r="D327" s="7"/>
      <c r="E327" s="8"/>
      <c r="F327" s="9"/>
      <c r="G327" s="9"/>
      <c r="H327" s="10"/>
      <c r="I327" s="9"/>
      <c r="J327" s="9"/>
    </row>
    <row x14ac:dyDescent="0.25" r="328" customHeight="1" ht="17.25">
      <c r="A328" s="11" t="s">
        <v>6246</v>
      </c>
      <c r="B328" s="11"/>
      <c r="C328" s="11"/>
      <c r="D328" s="11"/>
      <c r="E328" s="12"/>
      <c r="F328" s="11"/>
      <c r="G328" s="11"/>
      <c r="H328" s="13"/>
      <c r="I328" s="11"/>
      <c r="J328" s="11"/>
    </row>
    <row x14ac:dyDescent="0.25" r="329" customHeight="1" ht="17.25">
      <c r="A329" s="14" t="s">
        <v>3</v>
      </c>
      <c r="B329" s="14" t="s">
        <v>4</v>
      </c>
      <c r="C329" s="14" t="s">
        <v>5</v>
      </c>
      <c r="D329" s="14" t="s">
        <v>6</v>
      </c>
      <c r="E329" s="15" t="s">
        <v>7</v>
      </c>
      <c r="F329" s="14" t="s">
        <v>8</v>
      </c>
      <c r="G329" s="14" t="s">
        <v>9</v>
      </c>
      <c r="H329" s="16" t="s">
        <v>10</v>
      </c>
      <c r="I329" s="14" t="s">
        <v>11</v>
      </c>
      <c r="J329" s="14" t="s">
        <v>12</v>
      </c>
    </row>
    <row x14ac:dyDescent="0.25" r="330" customHeight="1" ht="17.25">
      <c r="A330" s="17" t="s">
        <v>6247</v>
      </c>
      <c r="B330" s="17" t="s">
        <v>530</v>
      </c>
      <c r="C330" s="17" t="s">
        <v>152</v>
      </c>
      <c r="D330" s="17" t="s">
        <v>16</v>
      </c>
      <c r="E330" s="18">
        <f>ROUND(4966*1.05,2)</f>
      </c>
      <c r="F330" s="17" t="s">
        <v>17</v>
      </c>
      <c r="G330" s="17" t="s">
        <v>18</v>
      </c>
      <c r="H330" s="18">
        <f>ROUND(RAND()*4+6,1)</f>
      </c>
      <c r="I330" s="17" t="s">
        <v>19</v>
      </c>
      <c r="J330" s="19">
        <f>ROUND(91*1,0)&amp;"%"</f>
      </c>
    </row>
    <row x14ac:dyDescent="0.25" r="331" customHeight="1" ht="17.25">
      <c r="A331" s="20" t="s">
        <v>6248</v>
      </c>
      <c r="B331" s="20" t="s">
        <v>532</v>
      </c>
      <c r="C331" s="20" t="s">
        <v>152</v>
      </c>
      <c r="D331" s="20" t="s">
        <v>22</v>
      </c>
      <c r="E331" s="21">
        <f>ROUND(8876*1.05,2)</f>
      </c>
      <c r="F331" s="20" t="s">
        <v>23</v>
      </c>
      <c r="G331" s="20" t="s">
        <v>24</v>
      </c>
      <c r="H331" s="21">
        <f>ROUND(RAND()*4+6,1)</f>
      </c>
      <c r="I331" s="20" t="s">
        <v>25</v>
      </c>
      <c r="J331" s="23">
        <f>ROUND(96*1,0)&amp;"%"</f>
      </c>
    </row>
    <row x14ac:dyDescent="0.25" r="332" customHeight="1" ht="17.25">
      <c r="A332" s="17" t="s">
        <v>6249</v>
      </c>
      <c r="B332" s="17" t="s">
        <v>534</v>
      </c>
      <c r="C332" s="17" t="s">
        <v>152</v>
      </c>
      <c r="D332" s="17" t="s">
        <v>28</v>
      </c>
      <c r="E332" s="18">
        <f>ROUND(6982*1.05,2)</f>
      </c>
      <c r="F332" s="17" t="s">
        <v>29</v>
      </c>
      <c r="G332" s="17" t="s">
        <v>30</v>
      </c>
      <c r="H332" s="18">
        <f>ROUND(RAND()*4+6,1)</f>
      </c>
      <c r="I332" s="17" t="s">
        <v>31</v>
      </c>
      <c r="J332" s="19">
        <f>ROUND(73*1,0)&amp;"%"</f>
      </c>
    </row>
    <row x14ac:dyDescent="0.25" r="333" customHeight="1" ht="17.25">
      <c r="A333" s="20" t="s">
        <v>6250</v>
      </c>
      <c r="B333" s="20" t="s">
        <v>536</v>
      </c>
      <c r="C333" s="20" t="s">
        <v>152</v>
      </c>
      <c r="D333" s="20" t="s">
        <v>34</v>
      </c>
      <c r="E333" s="21">
        <f>ROUND(9327*1.05,2)</f>
      </c>
      <c r="F333" s="20" t="s">
        <v>35</v>
      </c>
      <c r="G333" s="20" t="s">
        <v>18</v>
      </c>
      <c r="H333" s="21">
        <f>ROUND(RAND()*4+6,1)</f>
      </c>
      <c r="I333" s="20" t="s">
        <v>36</v>
      </c>
      <c r="J333" s="23">
        <f>ROUND(68*1,0)&amp;"%"</f>
      </c>
    </row>
    <row x14ac:dyDescent="0.25" r="334" customHeight="1" ht="17.25">
      <c r="A334" s="17" t="s">
        <v>6251</v>
      </c>
      <c r="B334" s="17" t="s">
        <v>538</v>
      </c>
      <c r="C334" s="17" t="s">
        <v>152</v>
      </c>
      <c r="D334" s="17" t="s">
        <v>39</v>
      </c>
      <c r="E334" s="18">
        <f>ROUND(13947*1.05,2)</f>
      </c>
      <c r="F334" s="17" t="s">
        <v>40</v>
      </c>
      <c r="G334" s="17" t="s">
        <v>24</v>
      </c>
      <c r="H334" s="18">
        <f>ROUND(RAND()*4+6,1)</f>
      </c>
      <c r="I334" s="17" t="s">
        <v>41</v>
      </c>
      <c r="J334" s="19">
        <f>ROUND(68*1,0)&amp;"%"</f>
      </c>
    </row>
    <row x14ac:dyDescent="0.25" r="335" customHeight="1" ht="17.25">
      <c r="A335" s="20" t="s">
        <v>6252</v>
      </c>
      <c r="B335" s="20" t="s">
        <v>540</v>
      </c>
      <c r="C335" s="20" t="s">
        <v>152</v>
      </c>
      <c r="D335" s="20" t="s">
        <v>67</v>
      </c>
      <c r="E335" s="21">
        <f>ROUND(13798*1.05,2)</f>
      </c>
      <c r="F335" s="20" t="s">
        <v>44</v>
      </c>
      <c r="G335" s="20" t="s">
        <v>30</v>
      </c>
      <c r="H335" s="21">
        <f>ROUND(RAND()*4+6,1)</f>
      </c>
      <c r="I335" s="20" t="s">
        <v>45</v>
      </c>
      <c r="J335" s="23">
        <f>ROUND(86*1,0)&amp;"%"</f>
      </c>
    </row>
    <row x14ac:dyDescent="0.25" r="336" customHeight="1" ht="17.25">
      <c r="A336" s="17" t="s">
        <v>6253</v>
      </c>
      <c r="B336" s="17" t="s">
        <v>542</v>
      </c>
      <c r="C336" s="17" t="s">
        <v>152</v>
      </c>
      <c r="D336" s="17" t="s">
        <v>16</v>
      </c>
      <c r="E336" s="18">
        <f>ROUND(10144*1.05,2)</f>
      </c>
      <c r="F336" s="17" t="s">
        <v>48</v>
      </c>
      <c r="G336" s="17" t="s">
        <v>18</v>
      </c>
      <c r="H336" s="18">
        <f>ROUND(RAND()*4+6,1)</f>
      </c>
      <c r="I336" s="17" t="s">
        <v>19</v>
      </c>
      <c r="J336" s="19">
        <f>ROUND(99*1,0)&amp;"%"</f>
      </c>
    </row>
    <row x14ac:dyDescent="0.25" r="337" customHeight="1" ht="17.25">
      <c r="A337" s="20" t="s">
        <v>6254</v>
      </c>
      <c r="B337" s="20" t="s">
        <v>544</v>
      </c>
      <c r="C337" s="20" t="s">
        <v>152</v>
      </c>
      <c r="D337" s="20" t="s">
        <v>22</v>
      </c>
      <c r="E337" s="21">
        <f>ROUND(6074*1.05,2)</f>
      </c>
      <c r="F337" s="20" t="s">
        <v>51</v>
      </c>
      <c r="G337" s="20" t="s">
        <v>24</v>
      </c>
      <c r="H337" s="21">
        <f>ROUND(RAND()*4+6,1)</f>
      </c>
      <c r="I337" s="20" t="s">
        <v>25</v>
      </c>
      <c r="J337" s="23">
        <f>ROUND(64*1,0)&amp;"%"</f>
      </c>
    </row>
    <row x14ac:dyDescent="0.25" r="338" customHeight="1" ht="17.25">
      <c r="A338" s="24" t="s">
        <v>545</v>
      </c>
      <c r="B338" s="24"/>
      <c r="C338" s="24"/>
      <c r="D338" s="24"/>
      <c r="E338" s="25">
        <v>8</v>
      </c>
      <c r="F338" s="9"/>
      <c r="G338" s="9"/>
      <c r="H338" s="10"/>
      <c r="I338" s="9"/>
      <c r="J338" s="9"/>
    </row>
    <row x14ac:dyDescent="0.25" r="339" customHeight="1" ht="17.25">
      <c r="A339" s="7"/>
      <c r="B339" s="7"/>
      <c r="C339" s="7"/>
      <c r="D339" s="7"/>
      <c r="E339" s="8"/>
      <c r="F339" s="9"/>
      <c r="G339" s="9"/>
      <c r="H339" s="10"/>
      <c r="I339" s="9"/>
      <c r="J339" s="9"/>
    </row>
    <row x14ac:dyDescent="0.25" r="340" customHeight="1" ht="17.25">
      <c r="A340" s="11" t="s">
        <v>6255</v>
      </c>
      <c r="B340" s="11"/>
      <c r="C340" s="11"/>
      <c r="D340" s="11"/>
      <c r="E340" s="12"/>
      <c r="F340" s="11"/>
      <c r="G340" s="11"/>
      <c r="H340" s="13"/>
      <c r="I340" s="11"/>
      <c r="J340" s="11"/>
    </row>
    <row x14ac:dyDescent="0.25" r="341" customHeight="1" ht="17.25">
      <c r="A341" s="14" t="s">
        <v>3</v>
      </c>
      <c r="B341" s="14" t="s">
        <v>4</v>
      </c>
      <c r="C341" s="14" t="s">
        <v>5</v>
      </c>
      <c r="D341" s="14" t="s">
        <v>6</v>
      </c>
      <c r="E341" s="15" t="s">
        <v>7</v>
      </c>
      <c r="F341" s="14" t="s">
        <v>8</v>
      </c>
      <c r="G341" s="14" t="s">
        <v>9</v>
      </c>
      <c r="H341" s="16" t="s">
        <v>10</v>
      </c>
      <c r="I341" s="14" t="s">
        <v>11</v>
      </c>
      <c r="J341" s="14" t="s">
        <v>12</v>
      </c>
    </row>
    <row x14ac:dyDescent="0.25" r="342" customHeight="1" ht="17.25">
      <c r="A342" s="17" t="s">
        <v>6256</v>
      </c>
      <c r="B342" s="17" t="s">
        <v>548</v>
      </c>
      <c r="C342" s="17" t="s">
        <v>15</v>
      </c>
      <c r="D342" s="17" t="s">
        <v>16</v>
      </c>
      <c r="E342" s="18">
        <f>ROUND(17049*1.05,2)</f>
      </c>
      <c r="F342" s="17" t="s">
        <v>17</v>
      </c>
      <c r="G342" s="17" t="s">
        <v>18</v>
      </c>
      <c r="H342" s="18">
        <f>ROUND(RAND()*4+6,1)</f>
      </c>
      <c r="I342" s="17" t="s">
        <v>19</v>
      </c>
      <c r="J342" s="19">
        <f>ROUND(60*1,0)&amp;"%"</f>
      </c>
    </row>
    <row x14ac:dyDescent="0.25" r="343" customHeight="1" ht="17.25">
      <c r="A343" s="20" t="s">
        <v>6257</v>
      </c>
      <c r="B343" s="20" t="s">
        <v>550</v>
      </c>
      <c r="C343" s="20" t="s">
        <v>15</v>
      </c>
      <c r="D343" s="20" t="s">
        <v>22</v>
      </c>
      <c r="E343" s="21">
        <f>ROUND(15387*1.05,2)</f>
      </c>
      <c r="F343" s="20" t="s">
        <v>23</v>
      </c>
      <c r="G343" s="20" t="s">
        <v>24</v>
      </c>
      <c r="H343" s="21">
        <f>ROUND(RAND()*4+6,1)</f>
      </c>
      <c r="I343" s="20" t="s">
        <v>25</v>
      </c>
      <c r="J343" s="23">
        <f>ROUND(72*1,0)&amp;"%"</f>
      </c>
    </row>
    <row x14ac:dyDescent="0.25" r="344" customHeight="1" ht="17.25">
      <c r="A344" s="17" t="s">
        <v>6258</v>
      </c>
      <c r="B344" s="17" t="s">
        <v>552</v>
      </c>
      <c r="C344" s="17" t="s">
        <v>15</v>
      </c>
      <c r="D344" s="17" t="s">
        <v>28</v>
      </c>
      <c r="E344" s="18">
        <f>ROUND(4195*1.05,2)</f>
      </c>
      <c r="F344" s="17" t="s">
        <v>29</v>
      </c>
      <c r="G344" s="17" t="s">
        <v>30</v>
      </c>
      <c r="H344" s="18">
        <f>ROUND(RAND()*4+6,1)</f>
      </c>
      <c r="I344" s="17" t="s">
        <v>31</v>
      </c>
      <c r="J344" s="19">
        <f>ROUND(91*1,0)&amp;"%"</f>
      </c>
    </row>
    <row x14ac:dyDescent="0.25" r="345" customHeight="1" ht="17.25">
      <c r="A345" s="20" t="s">
        <v>6259</v>
      </c>
      <c r="B345" s="20" t="s">
        <v>554</v>
      </c>
      <c r="C345" s="20" t="s">
        <v>15</v>
      </c>
      <c r="D345" s="20" t="s">
        <v>34</v>
      </c>
      <c r="E345" s="21">
        <f>ROUND(16428*1.05,2)</f>
      </c>
      <c r="F345" s="20" t="s">
        <v>35</v>
      </c>
      <c r="G345" s="20" t="s">
        <v>18</v>
      </c>
      <c r="H345" s="21">
        <f>ROUND(RAND()*4+6,1)</f>
      </c>
      <c r="I345" s="20" t="s">
        <v>36</v>
      </c>
      <c r="J345" s="23">
        <f>ROUND(82*1,0)&amp;"%"</f>
      </c>
    </row>
    <row x14ac:dyDescent="0.25" r="346" customHeight="1" ht="17.25">
      <c r="A346" s="17" t="s">
        <v>6260</v>
      </c>
      <c r="B346" s="17" t="s">
        <v>556</v>
      </c>
      <c r="C346" s="17" t="s">
        <v>15</v>
      </c>
      <c r="D346" s="17" t="s">
        <v>39</v>
      </c>
      <c r="E346" s="18">
        <f>ROUND(15521*1.05,2)</f>
      </c>
      <c r="F346" s="17" t="s">
        <v>40</v>
      </c>
      <c r="G346" s="17" t="s">
        <v>24</v>
      </c>
      <c r="H346" s="18">
        <f>ROUND(RAND()*4+6,1)</f>
      </c>
      <c r="I346" s="17" t="s">
        <v>41</v>
      </c>
      <c r="J346" s="19">
        <f>ROUND(73*1,0)&amp;"%"</f>
      </c>
    </row>
    <row x14ac:dyDescent="0.25" r="347" customHeight="1" ht="17.25">
      <c r="A347" s="20" t="s">
        <v>6261</v>
      </c>
      <c r="B347" s="20" t="s">
        <v>558</v>
      </c>
      <c r="C347" s="20" t="s">
        <v>15</v>
      </c>
      <c r="D347" s="20" t="s">
        <v>67</v>
      </c>
      <c r="E347" s="21">
        <f>ROUND(8547*1.05,2)</f>
      </c>
      <c r="F347" s="20" t="s">
        <v>44</v>
      </c>
      <c r="G347" s="20" t="s">
        <v>30</v>
      </c>
      <c r="H347" s="21">
        <f>ROUND(RAND()*4+6,1)</f>
      </c>
      <c r="I347" s="20" t="s">
        <v>45</v>
      </c>
      <c r="J347" s="23">
        <f>ROUND(95*1,0)&amp;"%"</f>
      </c>
    </row>
    <row x14ac:dyDescent="0.25" r="348" customHeight="1" ht="17.25">
      <c r="A348" s="17" t="s">
        <v>6262</v>
      </c>
      <c r="B348" s="17" t="s">
        <v>560</v>
      </c>
      <c r="C348" s="17" t="s">
        <v>15</v>
      </c>
      <c r="D348" s="17" t="s">
        <v>16</v>
      </c>
      <c r="E348" s="18">
        <f>ROUND(13501*1.05,2)</f>
      </c>
      <c r="F348" s="17" t="s">
        <v>48</v>
      </c>
      <c r="G348" s="17" t="s">
        <v>18</v>
      </c>
      <c r="H348" s="18">
        <f>ROUND(RAND()*4+6,1)</f>
      </c>
      <c r="I348" s="17" t="s">
        <v>19</v>
      </c>
      <c r="J348" s="19">
        <f>ROUND(82*1,0)&amp;"%"</f>
      </c>
    </row>
    <row x14ac:dyDescent="0.25" r="349" customHeight="1" ht="17.25">
      <c r="A349" s="20" t="s">
        <v>6263</v>
      </c>
      <c r="B349" s="20" t="s">
        <v>562</v>
      </c>
      <c r="C349" s="20" t="s">
        <v>15</v>
      </c>
      <c r="D349" s="20" t="s">
        <v>22</v>
      </c>
      <c r="E349" s="21">
        <f>ROUND(4262*1.05,2)</f>
      </c>
      <c r="F349" s="20" t="s">
        <v>51</v>
      </c>
      <c r="G349" s="20" t="s">
        <v>24</v>
      </c>
      <c r="H349" s="21">
        <f>ROUND(RAND()*4+6,1)</f>
      </c>
      <c r="I349" s="20" t="s">
        <v>25</v>
      </c>
      <c r="J349" s="23">
        <f>ROUND(73*1,0)&amp;"%"</f>
      </c>
    </row>
    <row x14ac:dyDescent="0.25" r="350" customHeight="1" ht="17.25">
      <c r="A350" s="24" t="s">
        <v>563</v>
      </c>
      <c r="B350" s="24"/>
      <c r="C350" s="24"/>
      <c r="D350" s="24"/>
      <c r="E350" s="25">
        <v>8</v>
      </c>
      <c r="F350" s="9"/>
      <c r="G350" s="9"/>
      <c r="H350" s="10"/>
      <c r="I350" s="9"/>
      <c r="J350" s="9"/>
    </row>
    <row x14ac:dyDescent="0.25" r="351" customHeight="1" ht="17.25">
      <c r="A351" s="7"/>
      <c r="B351" s="7"/>
      <c r="C351" s="7"/>
      <c r="D351" s="7"/>
      <c r="E351" s="8"/>
      <c r="F351" s="9"/>
      <c r="G351" s="9"/>
      <c r="H351" s="10"/>
      <c r="I351" s="9"/>
      <c r="J351" s="9"/>
    </row>
    <row x14ac:dyDescent="0.25" r="352" customHeight="1" ht="17.25">
      <c r="A352" s="11" t="s">
        <v>6264</v>
      </c>
      <c r="B352" s="11"/>
      <c r="C352" s="11"/>
      <c r="D352" s="11"/>
      <c r="E352" s="12"/>
      <c r="F352" s="11"/>
      <c r="G352" s="11"/>
      <c r="H352" s="13"/>
      <c r="I352" s="11"/>
      <c r="J352" s="11"/>
    </row>
    <row x14ac:dyDescent="0.25" r="353" customHeight="1" ht="17.25">
      <c r="A353" s="14" t="s">
        <v>3</v>
      </c>
      <c r="B353" s="14" t="s">
        <v>4</v>
      </c>
      <c r="C353" s="14" t="s">
        <v>5</v>
      </c>
      <c r="D353" s="14" t="s">
        <v>6</v>
      </c>
      <c r="E353" s="15" t="s">
        <v>7</v>
      </c>
      <c r="F353" s="14" t="s">
        <v>8</v>
      </c>
      <c r="G353" s="14" t="s">
        <v>9</v>
      </c>
      <c r="H353" s="16" t="s">
        <v>10</v>
      </c>
      <c r="I353" s="14" t="s">
        <v>11</v>
      </c>
      <c r="J353" s="14" t="s">
        <v>12</v>
      </c>
    </row>
    <row x14ac:dyDescent="0.25" r="354" customHeight="1" ht="17.25">
      <c r="A354" s="17" t="s">
        <v>6265</v>
      </c>
      <c r="B354" s="17" t="s">
        <v>566</v>
      </c>
      <c r="C354" s="17" t="s">
        <v>56</v>
      </c>
      <c r="D354" s="17" t="s">
        <v>16</v>
      </c>
      <c r="E354" s="18">
        <f>ROUND(9884*1.05,2)</f>
      </c>
      <c r="F354" s="17" t="s">
        <v>17</v>
      </c>
      <c r="G354" s="17" t="s">
        <v>18</v>
      </c>
      <c r="H354" s="26">
        <f>ROUND(RAND()*4+6,1)</f>
      </c>
      <c r="I354" s="17" t="s">
        <v>19</v>
      </c>
      <c r="J354" s="19">
        <f>ROUND(85*1,0)&amp;"%"</f>
      </c>
    </row>
    <row x14ac:dyDescent="0.25" r="355" customHeight="1" ht="17.25">
      <c r="A355" s="20" t="s">
        <v>6266</v>
      </c>
      <c r="B355" s="20" t="s">
        <v>568</v>
      </c>
      <c r="C355" s="20" t="s">
        <v>56</v>
      </c>
      <c r="D355" s="20" t="s">
        <v>22</v>
      </c>
      <c r="E355" s="21">
        <f>ROUND(11324*1.05,2)</f>
      </c>
      <c r="F355" s="20" t="s">
        <v>23</v>
      </c>
      <c r="G355" s="20" t="s">
        <v>24</v>
      </c>
      <c r="H355" s="21">
        <f>ROUND(RAND()*4+6,1)</f>
      </c>
      <c r="I355" s="20" t="s">
        <v>25</v>
      </c>
      <c r="J355" s="23">
        <f>ROUND(87*1,0)&amp;"%"</f>
      </c>
    </row>
    <row x14ac:dyDescent="0.25" r="356" customHeight="1" ht="17.25">
      <c r="A356" s="17" t="s">
        <v>6267</v>
      </c>
      <c r="B356" s="17" t="s">
        <v>570</v>
      </c>
      <c r="C356" s="17" t="s">
        <v>56</v>
      </c>
      <c r="D356" s="17" t="s">
        <v>28</v>
      </c>
      <c r="E356" s="18">
        <f>ROUND(15554*1.05,2)</f>
      </c>
      <c r="F356" s="17" t="s">
        <v>29</v>
      </c>
      <c r="G356" s="17" t="s">
        <v>30</v>
      </c>
      <c r="H356" s="18">
        <f>ROUND(RAND()*4+6,1)</f>
      </c>
      <c r="I356" s="17" t="s">
        <v>31</v>
      </c>
      <c r="J356" s="19">
        <f>ROUND(72*1,0)&amp;"%"</f>
      </c>
    </row>
    <row x14ac:dyDescent="0.25" r="357" customHeight="1" ht="17.25">
      <c r="A357" s="20" t="s">
        <v>6268</v>
      </c>
      <c r="B357" s="20" t="s">
        <v>572</v>
      </c>
      <c r="C357" s="20" t="s">
        <v>56</v>
      </c>
      <c r="D357" s="20" t="s">
        <v>34</v>
      </c>
      <c r="E357" s="21">
        <f>ROUND(9366*1.05,2)</f>
      </c>
      <c r="F357" s="20" t="s">
        <v>35</v>
      </c>
      <c r="G357" s="20" t="s">
        <v>18</v>
      </c>
      <c r="H357" s="21">
        <f>ROUND(RAND()*4+6,1)</f>
      </c>
      <c r="I357" s="20" t="s">
        <v>36</v>
      </c>
      <c r="J357" s="23">
        <f>ROUND(82*1,0)&amp;"%"</f>
      </c>
    </row>
    <row x14ac:dyDescent="0.25" r="358" customHeight="1" ht="17.25">
      <c r="A358" s="17" t="s">
        <v>6269</v>
      </c>
      <c r="B358" s="17" t="s">
        <v>574</v>
      </c>
      <c r="C358" s="17" t="s">
        <v>56</v>
      </c>
      <c r="D358" s="17" t="s">
        <v>39</v>
      </c>
      <c r="E358" s="18">
        <f>ROUND(7597*1.05,2)</f>
      </c>
      <c r="F358" s="17" t="s">
        <v>40</v>
      </c>
      <c r="G358" s="17" t="s">
        <v>24</v>
      </c>
      <c r="H358" s="18">
        <f>ROUND(RAND()*4+6,1)</f>
      </c>
      <c r="I358" s="17" t="s">
        <v>41</v>
      </c>
      <c r="J358" s="19">
        <f>ROUND(91*1,0)&amp;"%"</f>
      </c>
    </row>
    <row x14ac:dyDescent="0.25" r="359" customHeight="1" ht="17.25">
      <c r="A359" s="20" t="s">
        <v>6270</v>
      </c>
      <c r="B359" s="20" t="s">
        <v>576</v>
      </c>
      <c r="C359" s="20" t="s">
        <v>56</v>
      </c>
      <c r="D359" s="20" t="s">
        <v>67</v>
      </c>
      <c r="E359" s="21">
        <f>ROUND(12811*1.05,2)</f>
      </c>
      <c r="F359" s="20" t="s">
        <v>44</v>
      </c>
      <c r="G359" s="20" t="s">
        <v>30</v>
      </c>
      <c r="H359" s="21">
        <f>ROUND(RAND()*4+6,1)</f>
      </c>
      <c r="I359" s="20" t="s">
        <v>45</v>
      </c>
      <c r="J359" s="23">
        <f>ROUND(79*1,0)&amp;"%"</f>
      </c>
    </row>
    <row x14ac:dyDescent="0.25" r="360" customHeight="1" ht="17.25">
      <c r="A360" s="17" t="s">
        <v>6271</v>
      </c>
      <c r="B360" s="17" t="s">
        <v>578</v>
      </c>
      <c r="C360" s="17" t="s">
        <v>56</v>
      </c>
      <c r="D360" s="17" t="s">
        <v>16</v>
      </c>
      <c r="E360" s="18">
        <f>ROUND(17369*1.05,2)</f>
      </c>
      <c r="F360" s="17" t="s">
        <v>48</v>
      </c>
      <c r="G360" s="17" t="s">
        <v>18</v>
      </c>
      <c r="H360" s="18">
        <f>ROUND(RAND()*4+6,1)</f>
      </c>
      <c r="I360" s="17" t="s">
        <v>19</v>
      </c>
      <c r="J360" s="19">
        <f>ROUND(92*1,0)&amp;"%"</f>
      </c>
    </row>
    <row x14ac:dyDescent="0.25" r="361" customHeight="1" ht="17.25">
      <c r="A361" s="20" t="s">
        <v>6272</v>
      </c>
      <c r="B361" s="20" t="s">
        <v>580</v>
      </c>
      <c r="C361" s="20" t="s">
        <v>56</v>
      </c>
      <c r="D361" s="20" t="s">
        <v>22</v>
      </c>
      <c r="E361" s="21">
        <f>ROUND(5523*1.05,2)</f>
      </c>
      <c r="F361" s="20" t="s">
        <v>51</v>
      </c>
      <c r="G361" s="20" t="s">
        <v>24</v>
      </c>
      <c r="H361" s="21">
        <f>ROUND(RAND()*4+6,1)</f>
      </c>
      <c r="I361" s="20" t="s">
        <v>25</v>
      </c>
      <c r="J361" s="23">
        <f>ROUND(60*1,0)&amp;"%"</f>
      </c>
    </row>
    <row x14ac:dyDescent="0.25" r="362" customHeight="1" ht="17.25">
      <c r="A362" s="24" t="s">
        <v>581</v>
      </c>
      <c r="B362" s="24"/>
      <c r="C362" s="24"/>
      <c r="D362" s="24"/>
      <c r="E362" s="25">
        <v>8</v>
      </c>
      <c r="F362" s="9"/>
      <c r="G362" s="9"/>
      <c r="H362" s="10"/>
      <c r="I362" s="9"/>
      <c r="J362" s="9"/>
    </row>
  </sheetData>
  <mergeCells count="62">
    <mergeCell ref="A1:J1"/>
    <mergeCell ref="A2:J2"/>
    <mergeCell ref="A4:J4"/>
    <mergeCell ref="A14:D14"/>
    <mergeCell ref="A16:J16"/>
    <mergeCell ref="A26:D26"/>
    <mergeCell ref="A28:J28"/>
    <mergeCell ref="A38:D38"/>
    <mergeCell ref="A40:J40"/>
    <mergeCell ref="A50:D50"/>
    <mergeCell ref="A52:J52"/>
    <mergeCell ref="A62:D62"/>
    <mergeCell ref="A64:J64"/>
    <mergeCell ref="A74:D74"/>
    <mergeCell ref="A76:J76"/>
    <mergeCell ref="A86:D86"/>
    <mergeCell ref="A88:J88"/>
    <mergeCell ref="A98:D98"/>
    <mergeCell ref="A100:J100"/>
    <mergeCell ref="A110:D110"/>
    <mergeCell ref="A112:J112"/>
    <mergeCell ref="A122:D122"/>
    <mergeCell ref="A124:J124"/>
    <mergeCell ref="A134:D134"/>
    <mergeCell ref="A136:J136"/>
    <mergeCell ref="A146:D146"/>
    <mergeCell ref="A148:J148"/>
    <mergeCell ref="A158:D158"/>
    <mergeCell ref="A160:J160"/>
    <mergeCell ref="A170:D170"/>
    <mergeCell ref="A172:J172"/>
    <mergeCell ref="A182:D182"/>
    <mergeCell ref="A184:J184"/>
    <mergeCell ref="A194:D194"/>
    <mergeCell ref="A196:J196"/>
    <mergeCell ref="A206:D206"/>
    <mergeCell ref="A208:J208"/>
    <mergeCell ref="A218:D218"/>
    <mergeCell ref="A220:J220"/>
    <mergeCell ref="A230:D230"/>
    <mergeCell ref="A232:J232"/>
    <mergeCell ref="A242:D242"/>
    <mergeCell ref="A244:J244"/>
    <mergeCell ref="A254:D254"/>
    <mergeCell ref="A256:J256"/>
    <mergeCell ref="A266:D266"/>
    <mergeCell ref="A268:J268"/>
    <mergeCell ref="A278:D278"/>
    <mergeCell ref="A280:J280"/>
    <mergeCell ref="A290:D290"/>
    <mergeCell ref="A292:J292"/>
    <mergeCell ref="A302:D302"/>
    <mergeCell ref="A304:J304"/>
    <mergeCell ref="A314:D314"/>
    <mergeCell ref="A316:J316"/>
    <mergeCell ref="A326:D326"/>
    <mergeCell ref="A328:J328"/>
    <mergeCell ref="A338:D338"/>
    <mergeCell ref="A340:J340"/>
    <mergeCell ref="A350:D350"/>
    <mergeCell ref="A352:J352"/>
    <mergeCell ref="A362:D362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J362"/>
  <sheetViews>
    <sheetView workbookViewId="0"/>
  </sheetViews>
  <sheetFormatPr defaultRowHeight="15" x14ac:dyDescent="0.25"/>
  <cols>
    <col min="1" max="1" style="27" width="8.005" customWidth="1" bestFit="1"/>
    <col min="2" max="2" style="27" width="22.005" customWidth="1" bestFit="1"/>
    <col min="3" max="3" style="27" width="16.005" customWidth="1" bestFit="1"/>
    <col min="4" max="4" style="27" width="14.005" customWidth="1" bestFit="1"/>
    <col min="5" max="5" style="28" width="12.005" customWidth="1" bestFit="1"/>
    <col min="6" max="6" style="29" width="16.005" customWidth="1" bestFit="1"/>
    <col min="7" max="7" style="29" width="10.005" customWidth="1" bestFit="1"/>
    <col min="8" max="8" style="30" width="10.005" customWidth="1" bestFit="1"/>
    <col min="9" max="9" style="29" width="14.005" customWidth="1" bestFit="1"/>
    <col min="10" max="10" style="29" width="8.005" customWidth="1" bestFit="1"/>
  </cols>
  <sheetData>
    <row x14ac:dyDescent="0.25" r="1" customHeight="1" ht="17.25">
      <c r="A1" s="1" t="s">
        <v>5731</v>
      </c>
      <c r="B1" s="1"/>
      <c r="C1" s="1"/>
      <c r="D1" s="1"/>
      <c r="E1" s="2"/>
      <c r="F1" s="1"/>
      <c r="G1" s="1"/>
      <c r="H1" s="3"/>
      <c r="I1" s="1"/>
      <c r="J1" s="1"/>
    </row>
    <row x14ac:dyDescent="0.25" r="2" customHeight="1" ht="17.25">
      <c r="A2" s="4" t="s">
        <v>1</v>
      </c>
      <c r="B2" s="4"/>
      <c r="C2" s="4"/>
      <c r="D2" s="4"/>
      <c r="E2" s="5"/>
      <c r="F2" s="4"/>
      <c r="G2" s="4"/>
      <c r="H2" s="6"/>
      <c r="I2" s="4"/>
      <c r="J2" s="4"/>
    </row>
    <row x14ac:dyDescent="0.25" r="3" customHeight="1" ht="17.25">
      <c r="A3" s="7"/>
      <c r="B3" s="7"/>
      <c r="C3" s="7"/>
      <c r="D3" s="7"/>
      <c r="E3" s="8"/>
      <c r="F3" s="9"/>
      <c r="G3" s="9"/>
      <c r="H3" s="10"/>
      <c r="I3" s="9"/>
      <c r="J3" s="9"/>
    </row>
    <row x14ac:dyDescent="0.25" r="4" customHeight="1" ht="17.25">
      <c r="A4" s="11" t="s">
        <v>5732</v>
      </c>
      <c r="B4" s="11"/>
      <c r="C4" s="11"/>
      <c r="D4" s="11"/>
      <c r="E4" s="12"/>
      <c r="F4" s="11"/>
      <c r="G4" s="11"/>
      <c r="H4" s="13"/>
      <c r="I4" s="11"/>
      <c r="J4" s="11"/>
    </row>
    <row x14ac:dyDescent="0.25" r="5" customHeight="1" ht="17.25">
      <c r="A5" s="14" t="s">
        <v>3</v>
      </c>
      <c r="B5" s="14" t="s">
        <v>4</v>
      </c>
      <c r="C5" s="14" t="s">
        <v>5</v>
      </c>
      <c r="D5" s="14" t="s">
        <v>6</v>
      </c>
      <c r="E5" s="15" t="s">
        <v>7</v>
      </c>
      <c r="F5" s="14" t="s">
        <v>8</v>
      </c>
      <c r="G5" s="14" t="s">
        <v>9</v>
      </c>
      <c r="H5" s="16" t="s">
        <v>10</v>
      </c>
      <c r="I5" s="14" t="s">
        <v>11</v>
      </c>
      <c r="J5" s="14" t="s">
        <v>12</v>
      </c>
    </row>
    <row x14ac:dyDescent="0.25" r="6" customHeight="1" ht="17.25">
      <c r="A6" s="17" t="s">
        <v>5733</v>
      </c>
      <c r="B6" s="17" t="s">
        <v>14</v>
      </c>
      <c r="C6" s="17" t="s">
        <v>15</v>
      </c>
      <c r="D6" s="17" t="s">
        <v>16</v>
      </c>
      <c r="E6" s="18">
        <f>ROUND(5830*1.05,2)</f>
      </c>
      <c r="F6" s="17" t="s">
        <v>17</v>
      </c>
      <c r="G6" s="17" t="s">
        <v>18</v>
      </c>
      <c r="H6" s="18">
        <f>ROUND(RAND()*4+6,1)</f>
      </c>
      <c r="I6" s="17" t="s">
        <v>19</v>
      </c>
      <c r="J6" s="19">
        <f>ROUND(70*1,0)&amp;"%"</f>
      </c>
    </row>
    <row x14ac:dyDescent="0.25" r="7" customHeight="1" ht="17.25">
      <c r="A7" s="20" t="s">
        <v>5734</v>
      </c>
      <c r="B7" s="20" t="s">
        <v>21</v>
      </c>
      <c r="C7" s="20" t="s">
        <v>15</v>
      </c>
      <c r="D7" s="20" t="s">
        <v>22</v>
      </c>
      <c r="E7" s="21">
        <f>ROUND(12036*1.05,2)</f>
      </c>
      <c r="F7" s="20" t="s">
        <v>23</v>
      </c>
      <c r="G7" s="20" t="s">
        <v>24</v>
      </c>
      <c r="H7" s="21">
        <f>ROUND(RAND()*4+6,1)</f>
      </c>
      <c r="I7" s="20" t="s">
        <v>25</v>
      </c>
      <c r="J7" s="23">
        <f>ROUND(76*1,0)&amp;"%"</f>
      </c>
    </row>
    <row x14ac:dyDescent="0.25" r="8" customHeight="1" ht="17.25">
      <c r="A8" s="17" t="s">
        <v>5735</v>
      </c>
      <c r="B8" s="17" t="s">
        <v>27</v>
      </c>
      <c r="C8" s="17" t="s">
        <v>15</v>
      </c>
      <c r="D8" s="17" t="s">
        <v>28</v>
      </c>
      <c r="E8" s="18">
        <f>ROUND(15334*1.05,2)</f>
      </c>
      <c r="F8" s="17" t="s">
        <v>29</v>
      </c>
      <c r="G8" s="17" t="s">
        <v>30</v>
      </c>
      <c r="H8" s="18">
        <f>ROUND(RAND()*4+6,1)</f>
      </c>
      <c r="I8" s="17" t="s">
        <v>31</v>
      </c>
      <c r="J8" s="19">
        <f>ROUND(64*1,0)&amp;"%"</f>
      </c>
    </row>
    <row x14ac:dyDescent="0.25" r="9" customHeight="1" ht="17.25">
      <c r="A9" s="20" t="s">
        <v>5736</v>
      </c>
      <c r="B9" s="20" t="s">
        <v>33</v>
      </c>
      <c r="C9" s="20" t="s">
        <v>15</v>
      </c>
      <c r="D9" s="20" t="s">
        <v>34</v>
      </c>
      <c r="E9" s="21">
        <f>ROUND(17473*1.05,2)</f>
      </c>
      <c r="F9" s="20" t="s">
        <v>35</v>
      </c>
      <c r="G9" s="20" t="s">
        <v>18</v>
      </c>
      <c r="H9" s="21">
        <f>ROUND(RAND()*4+6,1)</f>
      </c>
      <c r="I9" s="20" t="s">
        <v>36</v>
      </c>
      <c r="J9" s="23">
        <f>ROUND(82*1,0)&amp;"%"</f>
      </c>
    </row>
    <row x14ac:dyDescent="0.25" r="10" customHeight="1" ht="17.25">
      <c r="A10" s="17" t="s">
        <v>5737</v>
      </c>
      <c r="B10" s="17" t="s">
        <v>38</v>
      </c>
      <c r="C10" s="17" t="s">
        <v>15</v>
      </c>
      <c r="D10" s="17" t="s">
        <v>39</v>
      </c>
      <c r="E10" s="18">
        <f>ROUND(10168*1.05,2)</f>
      </c>
      <c r="F10" s="17" t="s">
        <v>40</v>
      </c>
      <c r="G10" s="17" t="s">
        <v>24</v>
      </c>
      <c r="H10" s="18">
        <f>ROUND(RAND()*4+6,1)</f>
      </c>
      <c r="I10" s="17" t="s">
        <v>41</v>
      </c>
      <c r="J10" s="19">
        <f>ROUND(74*1,0)&amp;"%"</f>
      </c>
    </row>
    <row x14ac:dyDescent="0.25" r="11" customHeight="1" ht="17.25">
      <c r="A11" s="20" t="s">
        <v>5738</v>
      </c>
      <c r="B11" s="20" t="s">
        <v>43</v>
      </c>
      <c r="C11" s="20" t="s">
        <v>15</v>
      </c>
      <c r="D11" s="20" t="s">
        <v>67</v>
      </c>
      <c r="E11" s="21">
        <f>ROUND(9126*1.05,2)</f>
      </c>
      <c r="F11" s="20" t="s">
        <v>44</v>
      </c>
      <c r="G11" s="20" t="s">
        <v>30</v>
      </c>
      <c r="H11" s="21">
        <f>ROUND(RAND()*4+6,1)</f>
      </c>
      <c r="I11" s="20" t="s">
        <v>45</v>
      </c>
      <c r="J11" s="23">
        <f>ROUND(63*1,0)&amp;"%"</f>
      </c>
    </row>
    <row x14ac:dyDescent="0.25" r="12" customHeight="1" ht="17.25">
      <c r="A12" s="17" t="s">
        <v>5739</v>
      </c>
      <c r="B12" s="17" t="s">
        <v>47</v>
      </c>
      <c r="C12" s="17" t="s">
        <v>15</v>
      </c>
      <c r="D12" s="17" t="s">
        <v>16</v>
      </c>
      <c r="E12" s="18">
        <f>ROUND(11272*1.05,2)</f>
      </c>
      <c r="F12" s="17" t="s">
        <v>48</v>
      </c>
      <c r="G12" s="17" t="s">
        <v>18</v>
      </c>
      <c r="H12" s="18">
        <f>ROUND(RAND()*4+6,1)</f>
      </c>
      <c r="I12" s="17" t="s">
        <v>19</v>
      </c>
      <c r="J12" s="19">
        <f>ROUND(73*1,0)&amp;"%"</f>
      </c>
    </row>
    <row x14ac:dyDescent="0.25" r="13" customHeight="1" ht="17.25">
      <c r="A13" s="20" t="s">
        <v>5740</v>
      </c>
      <c r="B13" s="20" t="s">
        <v>50</v>
      </c>
      <c r="C13" s="20" t="s">
        <v>15</v>
      </c>
      <c r="D13" s="20" t="s">
        <v>22</v>
      </c>
      <c r="E13" s="21">
        <f>ROUND(7324*1.05,2)</f>
      </c>
      <c r="F13" s="20" t="s">
        <v>51</v>
      </c>
      <c r="G13" s="20" t="s">
        <v>24</v>
      </c>
      <c r="H13" s="21">
        <f>ROUND(RAND()*4+6,1)</f>
      </c>
      <c r="I13" s="20" t="s">
        <v>25</v>
      </c>
      <c r="J13" s="23">
        <f>ROUND(67*1,0)&amp;"%"</f>
      </c>
    </row>
    <row x14ac:dyDescent="0.25" r="14" customHeight="1" ht="17.25">
      <c r="A14" s="24" t="s">
        <v>52</v>
      </c>
      <c r="B14" s="24"/>
      <c r="C14" s="24"/>
      <c r="D14" s="24"/>
      <c r="E14" s="25">
        <v>8</v>
      </c>
      <c r="F14" s="9"/>
      <c r="G14" s="9"/>
      <c r="H14" s="10"/>
      <c r="I14" s="9"/>
      <c r="J14" s="9"/>
    </row>
    <row x14ac:dyDescent="0.25" r="15" customHeight="1" ht="17.25">
      <c r="A15" s="7"/>
      <c r="B15" s="7"/>
      <c r="C15" s="7"/>
      <c r="D15" s="7"/>
      <c r="E15" s="8"/>
      <c r="F15" s="9"/>
      <c r="G15" s="9"/>
      <c r="H15" s="10"/>
      <c r="I15" s="9"/>
      <c r="J15" s="9"/>
    </row>
    <row x14ac:dyDescent="0.25" r="16" customHeight="1" ht="17.25">
      <c r="A16" s="11" t="s">
        <v>5741</v>
      </c>
      <c r="B16" s="11"/>
      <c r="C16" s="11"/>
      <c r="D16" s="11"/>
      <c r="E16" s="12"/>
      <c r="F16" s="11"/>
      <c r="G16" s="11"/>
      <c r="H16" s="13"/>
      <c r="I16" s="11"/>
      <c r="J16" s="11"/>
    </row>
    <row x14ac:dyDescent="0.25" r="17" customHeight="1" ht="17.25">
      <c r="A17" s="14" t="s">
        <v>3</v>
      </c>
      <c r="B17" s="14" t="s">
        <v>4</v>
      </c>
      <c r="C17" s="14" t="s">
        <v>5</v>
      </c>
      <c r="D17" s="14" t="s">
        <v>6</v>
      </c>
      <c r="E17" s="15" t="s">
        <v>7</v>
      </c>
      <c r="F17" s="14" t="s">
        <v>8</v>
      </c>
      <c r="G17" s="14" t="s">
        <v>9</v>
      </c>
      <c r="H17" s="16" t="s">
        <v>10</v>
      </c>
      <c r="I17" s="14" t="s">
        <v>11</v>
      </c>
      <c r="J17" s="14" t="s">
        <v>12</v>
      </c>
    </row>
    <row x14ac:dyDescent="0.25" r="18" customHeight="1" ht="17.25">
      <c r="A18" s="17" t="s">
        <v>5742</v>
      </c>
      <c r="B18" s="17" t="s">
        <v>55</v>
      </c>
      <c r="C18" s="17" t="s">
        <v>56</v>
      </c>
      <c r="D18" s="17" t="s">
        <v>16</v>
      </c>
      <c r="E18" s="18">
        <f>ROUND(5615*1.05,2)</f>
      </c>
      <c r="F18" s="17" t="s">
        <v>17</v>
      </c>
      <c r="G18" s="17" t="s">
        <v>18</v>
      </c>
      <c r="H18" s="18">
        <f>ROUND(RAND()*4+6,1)</f>
      </c>
      <c r="I18" s="17" t="s">
        <v>19</v>
      </c>
      <c r="J18" s="19">
        <f>ROUND(63*1,0)&amp;"%"</f>
      </c>
    </row>
    <row x14ac:dyDescent="0.25" r="19" customHeight="1" ht="17.25">
      <c r="A19" s="20" t="s">
        <v>5743</v>
      </c>
      <c r="B19" s="20" t="s">
        <v>58</v>
      </c>
      <c r="C19" s="20" t="s">
        <v>56</v>
      </c>
      <c r="D19" s="20" t="s">
        <v>22</v>
      </c>
      <c r="E19" s="21">
        <f>ROUND(6794*1.05,2)</f>
      </c>
      <c r="F19" s="20" t="s">
        <v>23</v>
      </c>
      <c r="G19" s="20" t="s">
        <v>24</v>
      </c>
      <c r="H19" s="21">
        <f>ROUND(RAND()*4+6,1)</f>
      </c>
      <c r="I19" s="20" t="s">
        <v>25</v>
      </c>
      <c r="J19" s="23">
        <f>ROUND(74*1,0)&amp;"%"</f>
      </c>
    </row>
    <row x14ac:dyDescent="0.25" r="20" customHeight="1" ht="17.25">
      <c r="A20" s="17" t="s">
        <v>5744</v>
      </c>
      <c r="B20" s="17" t="s">
        <v>60</v>
      </c>
      <c r="C20" s="17" t="s">
        <v>56</v>
      </c>
      <c r="D20" s="17" t="s">
        <v>28</v>
      </c>
      <c r="E20" s="18">
        <f>ROUND(5739*1.05,2)</f>
      </c>
      <c r="F20" s="17" t="s">
        <v>29</v>
      </c>
      <c r="G20" s="17" t="s">
        <v>30</v>
      </c>
      <c r="H20" s="26">
        <f>ROUND(RAND()*4+6,1)</f>
      </c>
      <c r="I20" s="17" t="s">
        <v>31</v>
      </c>
      <c r="J20" s="19">
        <f>ROUND(78*1,0)&amp;"%"</f>
      </c>
    </row>
    <row x14ac:dyDescent="0.25" r="21" customHeight="1" ht="17.25">
      <c r="A21" s="20" t="s">
        <v>5745</v>
      </c>
      <c r="B21" s="20" t="s">
        <v>62</v>
      </c>
      <c r="C21" s="20" t="s">
        <v>56</v>
      </c>
      <c r="D21" s="20" t="s">
        <v>34</v>
      </c>
      <c r="E21" s="21">
        <f>ROUND(9221*1.05,2)</f>
      </c>
      <c r="F21" s="20" t="s">
        <v>35</v>
      </c>
      <c r="G21" s="20" t="s">
        <v>18</v>
      </c>
      <c r="H21" s="21">
        <f>ROUND(RAND()*4+6,1)</f>
      </c>
      <c r="I21" s="20" t="s">
        <v>36</v>
      </c>
      <c r="J21" s="23">
        <f>ROUND(88*1,0)&amp;"%"</f>
      </c>
    </row>
    <row x14ac:dyDescent="0.25" r="22" customHeight="1" ht="17.25">
      <c r="A22" s="17" t="s">
        <v>5746</v>
      </c>
      <c r="B22" s="17" t="s">
        <v>64</v>
      </c>
      <c r="C22" s="17" t="s">
        <v>56</v>
      </c>
      <c r="D22" s="17" t="s">
        <v>39</v>
      </c>
      <c r="E22" s="18">
        <f>ROUND(5268*1.05,2)</f>
      </c>
      <c r="F22" s="17" t="s">
        <v>40</v>
      </c>
      <c r="G22" s="17" t="s">
        <v>24</v>
      </c>
      <c r="H22" s="18">
        <f>ROUND(RAND()*4+6,1)</f>
      </c>
      <c r="I22" s="17" t="s">
        <v>41</v>
      </c>
      <c r="J22" s="19">
        <f>ROUND(82*1,0)&amp;"%"</f>
      </c>
    </row>
    <row x14ac:dyDescent="0.25" r="23" customHeight="1" ht="17.25">
      <c r="A23" s="20" t="s">
        <v>5747</v>
      </c>
      <c r="B23" s="20" t="s">
        <v>66</v>
      </c>
      <c r="C23" s="20" t="s">
        <v>56</v>
      </c>
      <c r="D23" s="20" t="s">
        <v>67</v>
      </c>
      <c r="E23" s="21">
        <f>ROUND(6994*1.05,2)</f>
      </c>
      <c r="F23" s="20" t="s">
        <v>44</v>
      </c>
      <c r="G23" s="20" t="s">
        <v>30</v>
      </c>
      <c r="H23" s="21">
        <f>ROUND(RAND()*4+6,1)</f>
      </c>
      <c r="I23" s="20" t="s">
        <v>45</v>
      </c>
      <c r="J23" s="23">
        <f>ROUND(87*1,0)&amp;"%"</f>
      </c>
    </row>
    <row x14ac:dyDescent="0.25" r="24" customHeight="1" ht="17.25">
      <c r="A24" s="17" t="s">
        <v>5748</v>
      </c>
      <c r="B24" s="17" t="s">
        <v>69</v>
      </c>
      <c r="C24" s="17" t="s">
        <v>56</v>
      </c>
      <c r="D24" s="17" t="s">
        <v>16</v>
      </c>
      <c r="E24" s="18">
        <f>ROUND(17022*1.05,2)</f>
      </c>
      <c r="F24" s="17" t="s">
        <v>48</v>
      </c>
      <c r="G24" s="17" t="s">
        <v>18</v>
      </c>
      <c r="H24" s="26">
        <f>ROUND(RAND()*4+6,1)</f>
      </c>
      <c r="I24" s="17" t="s">
        <v>19</v>
      </c>
      <c r="J24" s="19">
        <f>ROUND(68*1,0)&amp;"%"</f>
      </c>
    </row>
    <row x14ac:dyDescent="0.25" r="25" customHeight="1" ht="17.25">
      <c r="A25" s="20" t="s">
        <v>5749</v>
      </c>
      <c r="B25" s="20" t="s">
        <v>71</v>
      </c>
      <c r="C25" s="20" t="s">
        <v>56</v>
      </c>
      <c r="D25" s="20" t="s">
        <v>22</v>
      </c>
      <c r="E25" s="21">
        <f>ROUND(14649*1.05,2)</f>
      </c>
      <c r="F25" s="20" t="s">
        <v>51</v>
      </c>
      <c r="G25" s="20" t="s">
        <v>24</v>
      </c>
      <c r="H25" s="22">
        <f>ROUND(RAND()*4+6,1)</f>
      </c>
      <c r="I25" s="20" t="s">
        <v>25</v>
      </c>
      <c r="J25" s="23">
        <f>ROUND(97*1,0)&amp;"%"</f>
      </c>
    </row>
    <row x14ac:dyDescent="0.25" r="26" customHeight="1" ht="17.25">
      <c r="A26" s="24" t="s">
        <v>72</v>
      </c>
      <c r="B26" s="24"/>
      <c r="C26" s="24"/>
      <c r="D26" s="24"/>
      <c r="E26" s="25">
        <v>8</v>
      </c>
      <c r="F26" s="9"/>
      <c r="G26" s="9"/>
      <c r="H26" s="10"/>
      <c r="I26" s="9"/>
      <c r="J26" s="9"/>
    </row>
    <row x14ac:dyDescent="0.25" r="27" customHeight="1" ht="17.25">
      <c r="A27" s="7"/>
      <c r="B27" s="7"/>
      <c r="C27" s="7"/>
      <c r="D27" s="7"/>
      <c r="E27" s="8"/>
      <c r="F27" s="9"/>
      <c r="G27" s="9"/>
      <c r="H27" s="10"/>
      <c r="I27" s="9"/>
      <c r="J27" s="9"/>
    </row>
    <row x14ac:dyDescent="0.25" r="28" customHeight="1" ht="17.25">
      <c r="A28" s="11" t="s">
        <v>5750</v>
      </c>
      <c r="B28" s="11"/>
      <c r="C28" s="11"/>
      <c r="D28" s="11"/>
      <c r="E28" s="12"/>
      <c r="F28" s="11"/>
      <c r="G28" s="11"/>
      <c r="H28" s="13"/>
      <c r="I28" s="11"/>
      <c r="J28" s="11"/>
    </row>
    <row x14ac:dyDescent="0.25" r="29" customHeight="1" ht="17.25">
      <c r="A29" s="14" t="s">
        <v>3</v>
      </c>
      <c r="B29" s="14" t="s">
        <v>4</v>
      </c>
      <c r="C29" s="14" t="s">
        <v>5</v>
      </c>
      <c r="D29" s="14" t="s">
        <v>6</v>
      </c>
      <c r="E29" s="15" t="s">
        <v>7</v>
      </c>
      <c r="F29" s="14" t="s">
        <v>8</v>
      </c>
      <c r="G29" s="14" t="s">
        <v>9</v>
      </c>
      <c r="H29" s="16" t="s">
        <v>10</v>
      </c>
      <c r="I29" s="14" t="s">
        <v>11</v>
      </c>
      <c r="J29" s="14" t="s">
        <v>12</v>
      </c>
    </row>
    <row x14ac:dyDescent="0.25" r="30" customHeight="1" ht="17.25">
      <c r="A30" s="17" t="s">
        <v>5751</v>
      </c>
      <c r="B30" s="17" t="s">
        <v>75</v>
      </c>
      <c r="C30" s="17" t="s">
        <v>76</v>
      </c>
      <c r="D30" s="17" t="s">
        <v>16</v>
      </c>
      <c r="E30" s="18">
        <f>ROUND(15793*1.05,2)</f>
      </c>
      <c r="F30" s="17" t="s">
        <v>17</v>
      </c>
      <c r="G30" s="17" t="s">
        <v>18</v>
      </c>
      <c r="H30" s="18">
        <f>ROUND(RAND()*4+6,1)</f>
      </c>
      <c r="I30" s="17" t="s">
        <v>19</v>
      </c>
      <c r="J30" s="19">
        <f>ROUND(60*1,0)&amp;"%"</f>
      </c>
    </row>
    <row x14ac:dyDescent="0.25" r="31" customHeight="1" ht="17.25">
      <c r="A31" s="20" t="s">
        <v>5752</v>
      </c>
      <c r="B31" s="20" t="s">
        <v>78</v>
      </c>
      <c r="C31" s="20" t="s">
        <v>76</v>
      </c>
      <c r="D31" s="20" t="s">
        <v>22</v>
      </c>
      <c r="E31" s="21">
        <f>ROUND(5682*1.05,2)</f>
      </c>
      <c r="F31" s="20" t="s">
        <v>23</v>
      </c>
      <c r="G31" s="20" t="s">
        <v>24</v>
      </c>
      <c r="H31" s="21">
        <f>ROUND(RAND()*4+6,1)</f>
      </c>
      <c r="I31" s="20" t="s">
        <v>25</v>
      </c>
      <c r="J31" s="23">
        <f>ROUND(64*1,0)&amp;"%"</f>
      </c>
    </row>
    <row x14ac:dyDescent="0.25" r="32" customHeight="1" ht="17.25">
      <c r="A32" s="17" t="s">
        <v>5753</v>
      </c>
      <c r="B32" s="17" t="s">
        <v>80</v>
      </c>
      <c r="C32" s="17" t="s">
        <v>76</v>
      </c>
      <c r="D32" s="17" t="s">
        <v>28</v>
      </c>
      <c r="E32" s="18">
        <f>ROUND(4410*1.05,2)</f>
      </c>
      <c r="F32" s="17" t="s">
        <v>29</v>
      </c>
      <c r="G32" s="17" t="s">
        <v>30</v>
      </c>
      <c r="H32" s="18">
        <f>ROUND(RAND()*4+6,1)</f>
      </c>
      <c r="I32" s="17" t="s">
        <v>31</v>
      </c>
      <c r="J32" s="19">
        <f>ROUND(71*1,0)&amp;"%"</f>
      </c>
    </row>
    <row x14ac:dyDescent="0.25" r="33" customHeight="1" ht="17.25">
      <c r="A33" s="20" t="s">
        <v>5754</v>
      </c>
      <c r="B33" s="20" t="s">
        <v>82</v>
      </c>
      <c r="C33" s="20" t="s">
        <v>76</v>
      </c>
      <c r="D33" s="20" t="s">
        <v>34</v>
      </c>
      <c r="E33" s="21">
        <f>ROUND(12085*1.05,2)</f>
      </c>
      <c r="F33" s="20" t="s">
        <v>35</v>
      </c>
      <c r="G33" s="20" t="s">
        <v>18</v>
      </c>
      <c r="H33" s="21">
        <f>ROUND(RAND()*4+6,1)</f>
      </c>
      <c r="I33" s="20" t="s">
        <v>36</v>
      </c>
      <c r="J33" s="23">
        <f>ROUND(70*1,0)&amp;"%"</f>
      </c>
    </row>
    <row x14ac:dyDescent="0.25" r="34" customHeight="1" ht="17.25">
      <c r="A34" s="17" t="s">
        <v>5755</v>
      </c>
      <c r="B34" s="17" t="s">
        <v>84</v>
      </c>
      <c r="C34" s="17" t="s">
        <v>76</v>
      </c>
      <c r="D34" s="17" t="s">
        <v>39</v>
      </c>
      <c r="E34" s="18">
        <f>ROUND(5439*1.05,2)</f>
      </c>
      <c r="F34" s="17" t="s">
        <v>40</v>
      </c>
      <c r="G34" s="17" t="s">
        <v>24</v>
      </c>
      <c r="H34" s="18">
        <f>ROUND(RAND()*4+6,1)</f>
      </c>
      <c r="I34" s="17" t="s">
        <v>41</v>
      </c>
      <c r="J34" s="19">
        <f>ROUND(94*1,0)&amp;"%"</f>
      </c>
    </row>
    <row x14ac:dyDescent="0.25" r="35" customHeight="1" ht="17.25">
      <c r="A35" s="20" t="s">
        <v>5756</v>
      </c>
      <c r="B35" s="20" t="s">
        <v>86</v>
      </c>
      <c r="C35" s="20" t="s">
        <v>76</v>
      </c>
      <c r="D35" s="20" t="s">
        <v>67</v>
      </c>
      <c r="E35" s="21">
        <f>ROUND(12591*1.05,2)</f>
      </c>
      <c r="F35" s="20" t="s">
        <v>44</v>
      </c>
      <c r="G35" s="20" t="s">
        <v>30</v>
      </c>
      <c r="H35" s="21">
        <f>ROUND(RAND()*4+6,1)</f>
      </c>
      <c r="I35" s="20" t="s">
        <v>45</v>
      </c>
      <c r="J35" s="23">
        <f>ROUND(92*1,0)&amp;"%"</f>
      </c>
    </row>
    <row x14ac:dyDescent="0.25" r="36" customHeight="1" ht="17.25">
      <c r="A36" s="17" t="s">
        <v>5757</v>
      </c>
      <c r="B36" s="17" t="s">
        <v>88</v>
      </c>
      <c r="C36" s="17" t="s">
        <v>76</v>
      </c>
      <c r="D36" s="17" t="s">
        <v>16</v>
      </c>
      <c r="E36" s="18">
        <f>ROUND(11452*1.05,2)</f>
      </c>
      <c r="F36" s="17" t="s">
        <v>48</v>
      </c>
      <c r="G36" s="17" t="s">
        <v>18</v>
      </c>
      <c r="H36" s="18">
        <f>ROUND(RAND()*4+6,1)</f>
      </c>
      <c r="I36" s="17" t="s">
        <v>19</v>
      </c>
      <c r="J36" s="19">
        <f>ROUND(84*1,0)&amp;"%"</f>
      </c>
    </row>
    <row x14ac:dyDescent="0.25" r="37" customHeight="1" ht="17.25">
      <c r="A37" s="20" t="s">
        <v>5758</v>
      </c>
      <c r="B37" s="20" t="s">
        <v>90</v>
      </c>
      <c r="C37" s="20" t="s">
        <v>76</v>
      </c>
      <c r="D37" s="20" t="s">
        <v>22</v>
      </c>
      <c r="E37" s="21">
        <f>ROUND(13096*1.05,2)</f>
      </c>
      <c r="F37" s="20" t="s">
        <v>51</v>
      </c>
      <c r="G37" s="20" t="s">
        <v>24</v>
      </c>
      <c r="H37" s="21">
        <f>ROUND(RAND()*4+6,1)</f>
      </c>
      <c r="I37" s="20" t="s">
        <v>25</v>
      </c>
      <c r="J37" s="23">
        <f>ROUND(86*1,0)&amp;"%"</f>
      </c>
    </row>
    <row x14ac:dyDescent="0.25" r="38" customHeight="1" ht="17.25">
      <c r="A38" s="24" t="s">
        <v>91</v>
      </c>
      <c r="B38" s="24"/>
      <c r="C38" s="24"/>
      <c r="D38" s="24"/>
      <c r="E38" s="25">
        <v>8</v>
      </c>
      <c r="F38" s="9"/>
      <c r="G38" s="9"/>
      <c r="H38" s="10"/>
      <c r="I38" s="9"/>
      <c r="J38" s="9"/>
    </row>
    <row x14ac:dyDescent="0.25" r="39" customHeight="1" ht="17.25">
      <c r="A39" s="7"/>
      <c r="B39" s="7"/>
      <c r="C39" s="7"/>
      <c r="D39" s="7"/>
      <c r="E39" s="8"/>
      <c r="F39" s="9"/>
      <c r="G39" s="9"/>
      <c r="H39" s="10"/>
      <c r="I39" s="9"/>
      <c r="J39" s="9"/>
    </row>
    <row x14ac:dyDescent="0.25" r="40" customHeight="1" ht="17.25">
      <c r="A40" s="11" t="s">
        <v>5759</v>
      </c>
      <c r="B40" s="11"/>
      <c r="C40" s="11"/>
      <c r="D40" s="11"/>
      <c r="E40" s="12"/>
      <c r="F40" s="11"/>
      <c r="G40" s="11"/>
      <c r="H40" s="13"/>
      <c r="I40" s="11"/>
      <c r="J40" s="11"/>
    </row>
    <row x14ac:dyDescent="0.25" r="41" customHeight="1" ht="17.25">
      <c r="A41" s="14" t="s">
        <v>3</v>
      </c>
      <c r="B41" s="14" t="s">
        <v>4</v>
      </c>
      <c r="C41" s="14" t="s">
        <v>5</v>
      </c>
      <c r="D41" s="14" t="s">
        <v>6</v>
      </c>
      <c r="E41" s="15" t="s">
        <v>7</v>
      </c>
      <c r="F41" s="14" t="s">
        <v>8</v>
      </c>
      <c r="G41" s="14" t="s">
        <v>9</v>
      </c>
      <c r="H41" s="16" t="s">
        <v>10</v>
      </c>
      <c r="I41" s="14" t="s">
        <v>11</v>
      </c>
      <c r="J41" s="14" t="s">
        <v>12</v>
      </c>
    </row>
    <row x14ac:dyDescent="0.25" r="42" customHeight="1" ht="17.25">
      <c r="A42" s="17" t="s">
        <v>5760</v>
      </c>
      <c r="B42" s="17" t="s">
        <v>94</v>
      </c>
      <c r="C42" s="17" t="s">
        <v>95</v>
      </c>
      <c r="D42" s="17" t="s">
        <v>16</v>
      </c>
      <c r="E42" s="18">
        <f>ROUND(7108*1.05,2)</f>
      </c>
      <c r="F42" s="17" t="s">
        <v>17</v>
      </c>
      <c r="G42" s="17" t="s">
        <v>18</v>
      </c>
      <c r="H42" s="26">
        <f>ROUND(RAND()*4+6,1)</f>
      </c>
      <c r="I42" s="17" t="s">
        <v>19</v>
      </c>
      <c r="J42" s="19">
        <f>ROUND(65*1,0)&amp;"%"</f>
      </c>
    </row>
    <row x14ac:dyDescent="0.25" r="43" customHeight="1" ht="17.25">
      <c r="A43" s="20" t="s">
        <v>5761</v>
      </c>
      <c r="B43" s="20" t="s">
        <v>97</v>
      </c>
      <c r="C43" s="20" t="s">
        <v>95</v>
      </c>
      <c r="D43" s="20" t="s">
        <v>22</v>
      </c>
      <c r="E43" s="21">
        <f>ROUND(16091*1.05,2)</f>
      </c>
      <c r="F43" s="20" t="s">
        <v>23</v>
      </c>
      <c r="G43" s="20" t="s">
        <v>24</v>
      </c>
      <c r="H43" s="21">
        <f>ROUND(RAND()*4+6,1)</f>
      </c>
      <c r="I43" s="20" t="s">
        <v>25</v>
      </c>
      <c r="J43" s="23">
        <f>ROUND(68*1,0)&amp;"%"</f>
      </c>
    </row>
    <row x14ac:dyDescent="0.25" r="44" customHeight="1" ht="17.25">
      <c r="A44" s="17" t="s">
        <v>5762</v>
      </c>
      <c r="B44" s="17" t="s">
        <v>99</v>
      </c>
      <c r="C44" s="17" t="s">
        <v>95</v>
      </c>
      <c r="D44" s="17" t="s">
        <v>28</v>
      </c>
      <c r="E44" s="18">
        <f>ROUND(9923*1.05,2)</f>
      </c>
      <c r="F44" s="17" t="s">
        <v>29</v>
      </c>
      <c r="G44" s="17" t="s">
        <v>30</v>
      </c>
      <c r="H44" s="18">
        <f>ROUND(RAND()*4+6,1)</f>
      </c>
      <c r="I44" s="17" t="s">
        <v>31</v>
      </c>
      <c r="J44" s="19">
        <f>ROUND(85*1,0)&amp;"%"</f>
      </c>
    </row>
    <row x14ac:dyDescent="0.25" r="45" customHeight="1" ht="17.25">
      <c r="A45" s="20" t="s">
        <v>5763</v>
      </c>
      <c r="B45" s="20" t="s">
        <v>101</v>
      </c>
      <c r="C45" s="20" t="s">
        <v>95</v>
      </c>
      <c r="D45" s="20" t="s">
        <v>34</v>
      </c>
      <c r="E45" s="21">
        <f>ROUND(16010*1.05,2)</f>
      </c>
      <c r="F45" s="20" t="s">
        <v>35</v>
      </c>
      <c r="G45" s="20" t="s">
        <v>18</v>
      </c>
      <c r="H45" s="21">
        <f>ROUND(RAND()*4+6,1)</f>
      </c>
      <c r="I45" s="20" t="s">
        <v>36</v>
      </c>
      <c r="J45" s="23">
        <f>ROUND(89*1,0)&amp;"%"</f>
      </c>
    </row>
    <row x14ac:dyDescent="0.25" r="46" customHeight="1" ht="17.25">
      <c r="A46" s="17" t="s">
        <v>5764</v>
      </c>
      <c r="B46" s="17" t="s">
        <v>103</v>
      </c>
      <c r="C46" s="17" t="s">
        <v>95</v>
      </c>
      <c r="D46" s="17" t="s">
        <v>39</v>
      </c>
      <c r="E46" s="18">
        <f>ROUND(8819*1.05,2)</f>
      </c>
      <c r="F46" s="17" t="s">
        <v>40</v>
      </c>
      <c r="G46" s="17" t="s">
        <v>24</v>
      </c>
      <c r="H46" s="18">
        <f>ROUND(RAND()*4+6,1)</f>
      </c>
      <c r="I46" s="17" t="s">
        <v>41</v>
      </c>
      <c r="J46" s="19">
        <f>ROUND(73*1,0)&amp;"%"</f>
      </c>
    </row>
    <row x14ac:dyDescent="0.25" r="47" customHeight="1" ht="17.25">
      <c r="A47" s="20" t="s">
        <v>5765</v>
      </c>
      <c r="B47" s="20" t="s">
        <v>105</v>
      </c>
      <c r="C47" s="20" t="s">
        <v>95</v>
      </c>
      <c r="D47" s="20" t="s">
        <v>67</v>
      </c>
      <c r="E47" s="22">
        <f>ROUND(13880*1.05,2)</f>
      </c>
      <c r="F47" s="20" t="s">
        <v>44</v>
      </c>
      <c r="G47" s="20" t="s">
        <v>30</v>
      </c>
      <c r="H47" s="21">
        <f>ROUND(RAND()*4+6,1)</f>
      </c>
      <c r="I47" s="20" t="s">
        <v>45</v>
      </c>
      <c r="J47" s="23">
        <f>ROUND(66*1,0)&amp;"%"</f>
      </c>
    </row>
    <row x14ac:dyDescent="0.25" r="48" customHeight="1" ht="17.25">
      <c r="A48" s="17" t="s">
        <v>5766</v>
      </c>
      <c r="B48" s="17" t="s">
        <v>107</v>
      </c>
      <c r="C48" s="17" t="s">
        <v>95</v>
      </c>
      <c r="D48" s="17" t="s">
        <v>16</v>
      </c>
      <c r="E48" s="18">
        <f>ROUND(14908*1.05,2)</f>
      </c>
      <c r="F48" s="17" t="s">
        <v>48</v>
      </c>
      <c r="G48" s="17" t="s">
        <v>18</v>
      </c>
      <c r="H48" s="18">
        <f>ROUND(RAND()*4+6,1)</f>
      </c>
      <c r="I48" s="17" t="s">
        <v>19</v>
      </c>
      <c r="J48" s="19">
        <f>ROUND(100*1,0)&amp;"%"</f>
      </c>
    </row>
    <row x14ac:dyDescent="0.25" r="49" customHeight="1" ht="17.25">
      <c r="A49" s="20" t="s">
        <v>5767</v>
      </c>
      <c r="B49" s="20" t="s">
        <v>109</v>
      </c>
      <c r="C49" s="20" t="s">
        <v>95</v>
      </c>
      <c r="D49" s="20" t="s">
        <v>22</v>
      </c>
      <c r="E49" s="21">
        <f>ROUND(7047*1.05,2)</f>
      </c>
      <c r="F49" s="20" t="s">
        <v>51</v>
      </c>
      <c r="G49" s="20" t="s">
        <v>24</v>
      </c>
      <c r="H49" s="22">
        <f>ROUND(RAND()*4+6,1)</f>
      </c>
      <c r="I49" s="20" t="s">
        <v>25</v>
      </c>
      <c r="J49" s="23">
        <f>ROUND(72*1,0)&amp;"%"</f>
      </c>
    </row>
    <row x14ac:dyDescent="0.25" r="50" customHeight="1" ht="17.25">
      <c r="A50" s="24" t="s">
        <v>110</v>
      </c>
      <c r="B50" s="24"/>
      <c r="C50" s="24"/>
      <c r="D50" s="24"/>
      <c r="E50" s="25">
        <v>8</v>
      </c>
      <c r="F50" s="9"/>
      <c r="G50" s="9"/>
      <c r="H50" s="10"/>
      <c r="I50" s="9"/>
      <c r="J50" s="9"/>
    </row>
    <row x14ac:dyDescent="0.25" r="51" customHeight="1" ht="17.25">
      <c r="A51" s="7"/>
      <c r="B51" s="7"/>
      <c r="C51" s="7"/>
      <c r="D51" s="7"/>
      <c r="E51" s="8"/>
      <c r="F51" s="9"/>
      <c r="G51" s="9"/>
      <c r="H51" s="10"/>
      <c r="I51" s="9"/>
      <c r="J51" s="9"/>
    </row>
    <row x14ac:dyDescent="0.25" r="52" customHeight="1" ht="17.25">
      <c r="A52" s="11" t="s">
        <v>5768</v>
      </c>
      <c r="B52" s="11"/>
      <c r="C52" s="11"/>
      <c r="D52" s="11"/>
      <c r="E52" s="12"/>
      <c r="F52" s="11"/>
      <c r="G52" s="11"/>
      <c r="H52" s="13"/>
      <c r="I52" s="11"/>
      <c r="J52" s="11"/>
    </row>
    <row x14ac:dyDescent="0.25" r="53" customHeight="1" ht="17.25">
      <c r="A53" s="14" t="s">
        <v>3</v>
      </c>
      <c r="B53" s="14" t="s">
        <v>4</v>
      </c>
      <c r="C53" s="14" t="s">
        <v>5</v>
      </c>
      <c r="D53" s="14" t="s">
        <v>6</v>
      </c>
      <c r="E53" s="15" t="s">
        <v>7</v>
      </c>
      <c r="F53" s="14" t="s">
        <v>8</v>
      </c>
      <c r="G53" s="14" t="s">
        <v>9</v>
      </c>
      <c r="H53" s="16" t="s">
        <v>10</v>
      </c>
      <c r="I53" s="14" t="s">
        <v>11</v>
      </c>
      <c r="J53" s="14" t="s">
        <v>12</v>
      </c>
    </row>
    <row x14ac:dyDescent="0.25" r="54" customHeight="1" ht="17.25">
      <c r="A54" s="17" t="s">
        <v>5769</v>
      </c>
      <c r="B54" s="17" t="s">
        <v>113</v>
      </c>
      <c r="C54" s="17" t="s">
        <v>114</v>
      </c>
      <c r="D54" s="17" t="s">
        <v>16</v>
      </c>
      <c r="E54" s="18">
        <f>ROUND(16221*1.05,2)</f>
      </c>
      <c r="F54" s="17" t="s">
        <v>17</v>
      </c>
      <c r="G54" s="17" t="s">
        <v>18</v>
      </c>
      <c r="H54" s="18">
        <f>ROUND(RAND()*4+6,1)</f>
      </c>
      <c r="I54" s="17" t="s">
        <v>19</v>
      </c>
      <c r="J54" s="19">
        <f>ROUND(77*1,0)&amp;"%"</f>
      </c>
    </row>
    <row x14ac:dyDescent="0.25" r="55" customHeight="1" ht="17.25">
      <c r="A55" s="20" t="s">
        <v>5770</v>
      </c>
      <c r="B55" s="20" t="s">
        <v>116</v>
      </c>
      <c r="C55" s="20" t="s">
        <v>114</v>
      </c>
      <c r="D55" s="20" t="s">
        <v>22</v>
      </c>
      <c r="E55" s="21">
        <f>ROUND(10350*1.05,2)</f>
      </c>
      <c r="F55" s="20" t="s">
        <v>23</v>
      </c>
      <c r="G55" s="20" t="s">
        <v>24</v>
      </c>
      <c r="H55" s="22">
        <f>ROUND(RAND()*4+6,1)</f>
      </c>
      <c r="I55" s="20" t="s">
        <v>25</v>
      </c>
      <c r="J55" s="23">
        <f>ROUND(62*1,0)&amp;"%"</f>
      </c>
    </row>
    <row x14ac:dyDescent="0.25" r="56" customHeight="1" ht="17.25">
      <c r="A56" s="17" t="s">
        <v>5771</v>
      </c>
      <c r="B56" s="17" t="s">
        <v>118</v>
      </c>
      <c r="C56" s="17" t="s">
        <v>114</v>
      </c>
      <c r="D56" s="17" t="s">
        <v>28</v>
      </c>
      <c r="E56" s="18">
        <f>ROUND(6784*1.05,2)</f>
      </c>
      <c r="F56" s="17" t="s">
        <v>29</v>
      </c>
      <c r="G56" s="17" t="s">
        <v>30</v>
      </c>
      <c r="H56" s="18">
        <f>ROUND(RAND()*4+6,1)</f>
      </c>
      <c r="I56" s="17" t="s">
        <v>31</v>
      </c>
      <c r="J56" s="19">
        <f>ROUND(86*1,0)&amp;"%"</f>
      </c>
    </row>
    <row x14ac:dyDescent="0.25" r="57" customHeight="1" ht="17.25">
      <c r="A57" s="20" t="s">
        <v>5772</v>
      </c>
      <c r="B57" s="20" t="s">
        <v>120</v>
      </c>
      <c r="C57" s="20" t="s">
        <v>114</v>
      </c>
      <c r="D57" s="20" t="s">
        <v>34</v>
      </c>
      <c r="E57" s="21">
        <f>ROUND(14639*1.05,2)</f>
      </c>
      <c r="F57" s="20" t="s">
        <v>35</v>
      </c>
      <c r="G57" s="20" t="s">
        <v>18</v>
      </c>
      <c r="H57" s="21">
        <f>ROUND(RAND()*4+6,1)</f>
      </c>
      <c r="I57" s="20" t="s">
        <v>36</v>
      </c>
      <c r="J57" s="23">
        <f>ROUND(66*1,0)&amp;"%"</f>
      </c>
    </row>
    <row x14ac:dyDescent="0.25" r="58" customHeight="1" ht="17.25">
      <c r="A58" s="17" t="s">
        <v>5773</v>
      </c>
      <c r="B58" s="17" t="s">
        <v>122</v>
      </c>
      <c r="C58" s="17" t="s">
        <v>114</v>
      </c>
      <c r="D58" s="17" t="s">
        <v>39</v>
      </c>
      <c r="E58" s="18">
        <f>ROUND(11422*1.05,2)</f>
      </c>
      <c r="F58" s="17" t="s">
        <v>40</v>
      </c>
      <c r="G58" s="17" t="s">
        <v>24</v>
      </c>
      <c r="H58" s="18">
        <f>ROUND(RAND()*4+6,1)</f>
      </c>
      <c r="I58" s="17" t="s">
        <v>41</v>
      </c>
      <c r="J58" s="19">
        <f>ROUND(65*1,0)&amp;"%"</f>
      </c>
    </row>
    <row x14ac:dyDescent="0.25" r="59" customHeight="1" ht="17.25">
      <c r="A59" s="20" t="s">
        <v>5774</v>
      </c>
      <c r="B59" s="20" t="s">
        <v>124</v>
      </c>
      <c r="C59" s="20" t="s">
        <v>114</v>
      </c>
      <c r="D59" s="20" t="s">
        <v>67</v>
      </c>
      <c r="E59" s="22">
        <f>ROUND(15820*1.05,2)</f>
      </c>
      <c r="F59" s="20" t="s">
        <v>44</v>
      </c>
      <c r="G59" s="20" t="s">
        <v>30</v>
      </c>
      <c r="H59" s="21">
        <f>ROUND(RAND()*4+6,1)</f>
      </c>
      <c r="I59" s="20" t="s">
        <v>45</v>
      </c>
      <c r="J59" s="23">
        <f>ROUND(72*1,0)&amp;"%"</f>
      </c>
    </row>
    <row x14ac:dyDescent="0.25" r="60" customHeight="1" ht="17.25">
      <c r="A60" s="17" t="s">
        <v>5775</v>
      </c>
      <c r="B60" s="17" t="s">
        <v>126</v>
      </c>
      <c r="C60" s="17" t="s">
        <v>114</v>
      </c>
      <c r="D60" s="17" t="s">
        <v>16</v>
      </c>
      <c r="E60" s="18">
        <f>ROUND(5802*1.05,2)</f>
      </c>
      <c r="F60" s="17" t="s">
        <v>48</v>
      </c>
      <c r="G60" s="17" t="s">
        <v>18</v>
      </c>
      <c r="H60" s="18">
        <f>ROUND(RAND()*4+6,1)</f>
      </c>
      <c r="I60" s="17" t="s">
        <v>19</v>
      </c>
      <c r="J60" s="19">
        <f>ROUND(86*1,0)&amp;"%"</f>
      </c>
    </row>
    <row x14ac:dyDescent="0.25" r="61" customHeight="1" ht="17.25">
      <c r="A61" s="20" t="s">
        <v>5776</v>
      </c>
      <c r="B61" s="20" t="s">
        <v>128</v>
      </c>
      <c r="C61" s="20" t="s">
        <v>114</v>
      </c>
      <c r="D61" s="20" t="s">
        <v>22</v>
      </c>
      <c r="E61" s="21">
        <f>ROUND(12207*1.05,2)</f>
      </c>
      <c r="F61" s="20" t="s">
        <v>51</v>
      </c>
      <c r="G61" s="20" t="s">
        <v>24</v>
      </c>
      <c r="H61" s="22">
        <f>ROUND(RAND()*4+6,1)</f>
      </c>
      <c r="I61" s="20" t="s">
        <v>25</v>
      </c>
      <c r="J61" s="23">
        <f>ROUND(84*1,0)&amp;"%"</f>
      </c>
    </row>
    <row x14ac:dyDescent="0.25" r="62" customHeight="1" ht="17.25">
      <c r="A62" s="24" t="s">
        <v>129</v>
      </c>
      <c r="B62" s="24"/>
      <c r="C62" s="24"/>
      <c r="D62" s="24"/>
      <c r="E62" s="25">
        <v>8</v>
      </c>
      <c r="F62" s="9"/>
      <c r="G62" s="9"/>
      <c r="H62" s="10"/>
      <c r="I62" s="9"/>
      <c r="J62" s="9"/>
    </row>
    <row x14ac:dyDescent="0.25" r="63" customHeight="1" ht="17.25">
      <c r="A63" s="7"/>
      <c r="B63" s="7"/>
      <c r="C63" s="7"/>
      <c r="D63" s="7"/>
      <c r="E63" s="8"/>
      <c r="F63" s="9"/>
      <c r="G63" s="9"/>
      <c r="H63" s="10"/>
      <c r="I63" s="9"/>
      <c r="J63" s="9"/>
    </row>
    <row x14ac:dyDescent="0.25" r="64" customHeight="1" ht="17.25">
      <c r="A64" s="11" t="s">
        <v>5777</v>
      </c>
      <c r="B64" s="11"/>
      <c r="C64" s="11"/>
      <c r="D64" s="11"/>
      <c r="E64" s="12"/>
      <c r="F64" s="11"/>
      <c r="G64" s="11"/>
      <c r="H64" s="13"/>
      <c r="I64" s="11"/>
      <c r="J64" s="11"/>
    </row>
    <row x14ac:dyDescent="0.25" r="65" customHeight="1" ht="17.25">
      <c r="A65" s="14" t="s">
        <v>3</v>
      </c>
      <c r="B65" s="14" t="s">
        <v>4</v>
      </c>
      <c r="C65" s="14" t="s">
        <v>5</v>
      </c>
      <c r="D65" s="14" t="s">
        <v>6</v>
      </c>
      <c r="E65" s="15" t="s">
        <v>7</v>
      </c>
      <c r="F65" s="14" t="s">
        <v>8</v>
      </c>
      <c r="G65" s="14" t="s">
        <v>9</v>
      </c>
      <c r="H65" s="16" t="s">
        <v>10</v>
      </c>
      <c r="I65" s="14" t="s">
        <v>11</v>
      </c>
      <c r="J65" s="14" t="s">
        <v>12</v>
      </c>
    </row>
    <row x14ac:dyDescent="0.25" r="66" customHeight="1" ht="17.25">
      <c r="A66" s="17" t="s">
        <v>5778</v>
      </c>
      <c r="B66" s="17" t="s">
        <v>132</v>
      </c>
      <c r="C66" s="17" t="s">
        <v>133</v>
      </c>
      <c r="D66" s="17" t="s">
        <v>16</v>
      </c>
      <c r="E66" s="18">
        <f>ROUND(7536*1.05,2)</f>
      </c>
      <c r="F66" s="17" t="s">
        <v>17</v>
      </c>
      <c r="G66" s="17" t="s">
        <v>18</v>
      </c>
      <c r="H66" s="18">
        <f>ROUND(RAND()*4+6,1)</f>
      </c>
      <c r="I66" s="17" t="s">
        <v>19</v>
      </c>
      <c r="J66" s="19">
        <f>ROUND(99*1,0)&amp;"%"</f>
      </c>
    </row>
    <row x14ac:dyDescent="0.25" r="67" customHeight="1" ht="17.25">
      <c r="A67" s="20" t="s">
        <v>5779</v>
      </c>
      <c r="B67" s="20" t="s">
        <v>135</v>
      </c>
      <c r="C67" s="20" t="s">
        <v>133</v>
      </c>
      <c r="D67" s="20" t="s">
        <v>22</v>
      </c>
      <c r="E67" s="21">
        <f>ROUND(9430*1.05,2)</f>
      </c>
      <c r="F67" s="20" t="s">
        <v>23</v>
      </c>
      <c r="G67" s="20" t="s">
        <v>24</v>
      </c>
      <c r="H67" s="21">
        <f>ROUND(RAND()*4+6,1)</f>
      </c>
      <c r="I67" s="20" t="s">
        <v>25</v>
      </c>
      <c r="J67" s="23">
        <f>ROUND(75*1,0)&amp;"%"</f>
      </c>
    </row>
    <row x14ac:dyDescent="0.25" r="68" customHeight="1" ht="17.25">
      <c r="A68" s="17" t="s">
        <v>5780</v>
      </c>
      <c r="B68" s="17" t="s">
        <v>137</v>
      </c>
      <c r="C68" s="17" t="s">
        <v>133</v>
      </c>
      <c r="D68" s="17" t="s">
        <v>28</v>
      </c>
      <c r="E68" s="18">
        <f>ROUND(17782*1.05,2)</f>
      </c>
      <c r="F68" s="17" t="s">
        <v>29</v>
      </c>
      <c r="G68" s="17" t="s">
        <v>30</v>
      </c>
      <c r="H68" s="18">
        <f>ROUND(RAND()*4+6,1)</f>
      </c>
      <c r="I68" s="17" t="s">
        <v>31</v>
      </c>
      <c r="J68" s="19">
        <f>ROUND(60*1,0)&amp;"%"</f>
      </c>
    </row>
    <row x14ac:dyDescent="0.25" r="69" customHeight="1" ht="17.25">
      <c r="A69" s="20" t="s">
        <v>5781</v>
      </c>
      <c r="B69" s="20" t="s">
        <v>139</v>
      </c>
      <c r="C69" s="20" t="s">
        <v>133</v>
      </c>
      <c r="D69" s="20" t="s">
        <v>34</v>
      </c>
      <c r="E69" s="21">
        <f>ROUND(12995*1.05,2)</f>
      </c>
      <c r="F69" s="20" t="s">
        <v>35</v>
      </c>
      <c r="G69" s="20" t="s">
        <v>18</v>
      </c>
      <c r="H69" s="21">
        <f>ROUND(RAND()*4+6,1)</f>
      </c>
      <c r="I69" s="20" t="s">
        <v>36</v>
      </c>
      <c r="J69" s="23">
        <f>ROUND(81*1,0)&amp;"%"</f>
      </c>
    </row>
    <row x14ac:dyDescent="0.25" r="70" customHeight="1" ht="17.25">
      <c r="A70" s="17" t="s">
        <v>5782</v>
      </c>
      <c r="B70" s="17" t="s">
        <v>141</v>
      </c>
      <c r="C70" s="17" t="s">
        <v>133</v>
      </c>
      <c r="D70" s="17" t="s">
        <v>39</v>
      </c>
      <c r="E70" s="18">
        <f>ROUND(15850*1.05,2)</f>
      </c>
      <c r="F70" s="17" t="s">
        <v>40</v>
      </c>
      <c r="G70" s="17" t="s">
        <v>24</v>
      </c>
      <c r="H70" s="18">
        <f>ROUND(RAND()*4+6,1)</f>
      </c>
      <c r="I70" s="17" t="s">
        <v>41</v>
      </c>
      <c r="J70" s="19">
        <f>ROUND(81*1,0)&amp;"%"</f>
      </c>
    </row>
    <row x14ac:dyDescent="0.25" r="71" customHeight="1" ht="17.25">
      <c r="A71" s="20" t="s">
        <v>5783</v>
      </c>
      <c r="B71" s="20" t="s">
        <v>143</v>
      </c>
      <c r="C71" s="20" t="s">
        <v>133</v>
      </c>
      <c r="D71" s="20" t="s">
        <v>67</v>
      </c>
      <c r="E71" s="21">
        <f>ROUND(13037*1.05,2)</f>
      </c>
      <c r="F71" s="20" t="s">
        <v>44</v>
      </c>
      <c r="G71" s="20" t="s">
        <v>30</v>
      </c>
      <c r="H71" s="21">
        <f>ROUND(RAND()*4+6,1)</f>
      </c>
      <c r="I71" s="20" t="s">
        <v>45</v>
      </c>
      <c r="J71" s="23">
        <f>ROUND(87*1,0)&amp;"%"</f>
      </c>
    </row>
    <row x14ac:dyDescent="0.25" r="72" customHeight="1" ht="17.25">
      <c r="A72" s="17" t="s">
        <v>5784</v>
      </c>
      <c r="B72" s="17" t="s">
        <v>145</v>
      </c>
      <c r="C72" s="17" t="s">
        <v>133</v>
      </c>
      <c r="D72" s="17" t="s">
        <v>16</v>
      </c>
      <c r="E72" s="26">
        <f>ROUND(6300*1.05,2)</f>
      </c>
      <c r="F72" s="17" t="s">
        <v>48</v>
      </c>
      <c r="G72" s="17" t="s">
        <v>18</v>
      </c>
      <c r="H72" s="18">
        <f>ROUND(RAND()*4+6,1)</f>
      </c>
      <c r="I72" s="17" t="s">
        <v>19</v>
      </c>
      <c r="J72" s="19">
        <f>ROUND(99*1,0)&amp;"%"</f>
      </c>
    </row>
    <row x14ac:dyDescent="0.25" r="73" customHeight="1" ht="17.25">
      <c r="A73" s="20" t="s">
        <v>5785</v>
      </c>
      <c r="B73" s="20" t="s">
        <v>147</v>
      </c>
      <c r="C73" s="20" t="s">
        <v>133</v>
      </c>
      <c r="D73" s="20" t="s">
        <v>22</v>
      </c>
      <c r="E73" s="21">
        <f>ROUND(16487*1.05,2)</f>
      </c>
      <c r="F73" s="20" t="s">
        <v>51</v>
      </c>
      <c r="G73" s="20" t="s">
        <v>24</v>
      </c>
      <c r="H73" s="21">
        <f>ROUND(RAND()*4+6,1)</f>
      </c>
      <c r="I73" s="20" t="s">
        <v>25</v>
      </c>
      <c r="J73" s="23">
        <f>ROUND(64*1,0)&amp;"%"</f>
      </c>
    </row>
    <row x14ac:dyDescent="0.25" r="74" customHeight="1" ht="17.25">
      <c r="A74" s="24" t="s">
        <v>148</v>
      </c>
      <c r="B74" s="24"/>
      <c r="C74" s="24"/>
      <c r="D74" s="24"/>
      <c r="E74" s="25">
        <v>8</v>
      </c>
      <c r="F74" s="9"/>
      <c r="G74" s="9"/>
      <c r="H74" s="10"/>
      <c r="I74" s="9"/>
      <c r="J74" s="9"/>
    </row>
    <row x14ac:dyDescent="0.25" r="75" customHeight="1" ht="17.25">
      <c r="A75" s="7"/>
      <c r="B75" s="7"/>
      <c r="C75" s="7"/>
      <c r="D75" s="7"/>
      <c r="E75" s="8"/>
      <c r="F75" s="9"/>
      <c r="G75" s="9"/>
      <c r="H75" s="10"/>
      <c r="I75" s="9"/>
      <c r="J75" s="9"/>
    </row>
    <row x14ac:dyDescent="0.25" r="76" customHeight="1" ht="17.25">
      <c r="A76" s="11" t="s">
        <v>5786</v>
      </c>
      <c r="B76" s="11"/>
      <c r="C76" s="11"/>
      <c r="D76" s="11"/>
      <c r="E76" s="12"/>
      <c r="F76" s="11"/>
      <c r="G76" s="11"/>
      <c r="H76" s="13"/>
      <c r="I76" s="11"/>
      <c r="J76" s="11"/>
    </row>
    <row x14ac:dyDescent="0.25" r="77" customHeight="1" ht="17.25">
      <c r="A77" s="14" t="s">
        <v>3</v>
      </c>
      <c r="B77" s="14" t="s">
        <v>4</v>
      </c>
      <c r="C77" s="14" t="s">
        <v>5</v>
      </c>
      <c r="D77" s="14" t="s">
        <v>6</v>
      </c>
      <c r="E77" s="15" t="s">
        <v>7</v>
      </c>
      <c r="F77" s="14" t="s">
        <v>8</v>
      </c>
      <c r="G77" s="14" t="s">
        <v>9</v>
      </c>
      <c r="H77" s="16" t="s">
        <v>10</v>
      </c>
      <c r="I77" s="14" t="s">
        <v>11</v>
      </c>
      <c r="J77" s="14" t="s">
        <v>12</v>
      </c>
    </row>
    <row x14ac:dyDescent="0.25" r="78" customHeight="1" ht="17.25">
      <c r="A78" s="17" t="s">
        <v>5787</v>
      </c>
      <c r="B78" s="17" t="s">
        <v>151</v>
      </c>
      <c r="C78" s="17" t="s">
        <v>152</v>
      </c>
      <c r="D78" s="17" t="s">
        <v>16</v>
      </c>
      <c r="E78" s="18">
        <f>ROUND(4054*1.05,2)</f>
      </c>
      <c r="F78" s="17" t="s">
        <v>17</v>
      </c>
      <c r="G78" s="17" t="s">
        <v>18</v>
      </c>
      <c r="H78" s="18">
        <f>ROUND(RAND()*4+6,1)</f>
      </c>
      <c r="I78" s="17" t="s">
        <v>19</v>
      </c>
      <c r="J78" s="19">
        <f>ROUND(60*1,0)&amp;"%"</f>
      </c>
    </row>
    <row x14ac:dyDescent="0.25" r="79" customHeight="1" ht="17.25">
      <c r="A79" s="20" t="s">
        <v>5788</v>
      </c>
      <c r="B79" s="20" t="s">
        <v>154</v>
      </c>
      <c r="C79" s="20" t="s">
        <v>152</v>
      </c>
      <c r="D79" s="20" t="s">
        <v>22</v>
      </c>
      <c r="E79" s="21">
        <f>ROUND(9038*1.05,2)</f>
      </c>
      <c r="F79" s="20" t="s">
        <v>23</v>
      </c>
      <c r="G79" s="20" t="s">
        <v>24</v>
      </c>
      <c r="H79" s="21">
        <f>ROUND(RAND()*4+6,1)</f>
      </c>
      <c r="I79" s="20" t="s">
        <v>25</v>
      </c>
      <c r="J79" s="23">
        <f>ROUND(84*1,0)&amp;"%"</f>
      </c>
    </row>
    <row x14ac:dyDescent="0.25" r="80" customHeight="1" ht="17.25">
      <c r="A80" s="17" t="s">
        <v>5789</v>
      </c>
      <c r="B80" s="17" t="s">
        <v>156</v>
      </c>
      <c r="C80" s="17" t="s">
        <v>152</v>
      </c>
      <c r="D80" s="17" t="s">
        <v>28</v>
      </c>
      <c r="E80" s="18">
        <f>ROUND(7671*1.05,2)</f>
      </c>
      <c r="F80" s="17" t="s">
        <v>29</v>
      </c>
      <c r="G80" s="17" t="s">
        <v>30</v>
      </c>
      <c r="H80" s="18">
        <f>ROUND(RAND()*4+6,1)</f>
      </c>
      <c r="I80" s="17" t="s">
        <v>31</v>
      </c>
      <c r="J80" s="19">
        <f>ROUND(70*1,0)&amp;"%"</f>
      </c>
    </row>
    <row x14ac:dyDescent="0.25" r="81" customHeight="1" ht="17.25">
      <c r="A81" s="20" t="s">
        <v>5790</v>
      </c>
      <c r="B81" s="20" t="s">
        <v>158</v>
      </c>
      <c r="C81" s="20" t="s">
        <v>152</v>
      </c>
      <c r="D81" s="20" t="s">
        <v>34</v>
      </c>
      <c r="E81" s="22">
        <f>ROUND(5400*1.05,2)</f>
      </c>
      <c r="F81" s="20" t="s">
        <v>35</v>
      </c>
      <c r="G81" s="20" t="s">
        <v>18</v>
      </c>
      <c r="H81" s="21">
        <f>ROUND(RAND()*4+6,1)</f>
      </c>
      <c r="I81" s="20" t="s">
        <v>36</v>
      </c>
      <c r="J81" s="23">
        <f>ROUND(100*1,0)&amp;"%"</f>
      </c>
    </row>
    <row x14ac:dyDescent="0.25" r="82" customHeight="1" ht="17.25">
      <c r="A82" s="17" t="s">
        <v>5791</v>
      </c>
      <c r="B82" s="17" t="s">
        <v>160</v>
      </c>
      <c r="C82" s="17" t="s">
        <v>152</v>
      </c>
      <c r="D82" s="17" t="s">
        <v>39</v>
      </c>
      <c r="E82" s="18">
        <f>ROUND(14334*1.05,2)</f>
      </c>
      <c r="F82" s="17" t="s">
        <v>40</v>
      </c>
      <c r="G82" s="17" t="s">
        <v>24</v>
      </c>
      <c r="H82" s="18">
        <f>ROUND(RAND()*4+6,1)</f>
      </c>
      <c r="I82" s="17" t="s">
        <v>41</v>
      </c>
      <c r="J82" s="19">
        <f>ROUND(60*1,0)&amp;"%"</f>
      </c>
    </row>
    <row x14ac:dyDescent="0.25" r="83" customHeight="1" ht="17.25">
      <c r="A83" s="20" t="s">
        <v>5792</v>
      </c>
      <c r="B83" s="20" t="s">
        <v>162</v>
      </c>
      <c r="C83" s="20" t="s">
        <v>152</v>
      </c>
      <c r="D83" s="20" t="s">
        <v>67</v>
      </c>
      <c r="E83" s="21">
        <f>ROUND(15105*1.05,2)</f>
      </c>
      <c r="F83" s="20" t="s">
        <v>44</v>
      </c>
      <c r="G83" s="20" t="s">
        <v>30</v>
      </c>
      <c r="H83" s="21">
        <f>ROUND(RAND()*4+6,1)</f>
      </c>
      <c r="I83" s="20" t="s">
        <v>45</v>
      </c>
      <c r="J83" s="23">
        <f>ROUND(99*1,0)&amp;"%"</f>
      </c>
    </row>
    <row x14ac:dyDescent="0.25" r="84" customHeight="1" ht="17.25">
      <c r="A84" s="17" t="s">
        <v>5793</v>
      </c>
      <c r="B84" s="17" t="s">
        <v>164</v>
      </c>
      <c r="C84" s="17" t="s">
        <v>152</v>
      </c>
      <c r="D84" s="17" t="s">
        <v>16</v>
      </c>
      <c r="E84" s="18">
        <f>ROUND(17214*1.05,2)</f>
      </c>
      <c r="F84" s="17" t="s">
        <v>48</v>
      </c>
      <c r="G84" s="17" t="s">
        <v>18</v>
      </c>
      <c r="H84" s="18">
        <f>ROUND(RAND()*4+6,1)</f>
      </c>
      <c r="I84" s="17" t="s">
        <v>19</v>
      </c>
      <c r="J84" s="19">
        <f>ROUND(62*1,0)&amp;"%"</f>
      </c>
    </row>
    <row x14ac:dyDescent="0.25" r="85" customHeight="1" ht="17.25">
      <c r="A85" s="20" t="s">
        <v>5794</v>
      </c>
      <c r="B85" s="20" t="s">
        <v>166</v>
      </c>
      <c r="C85" s="20" t="s">
        <v>152</v>
      </c>
      <c r="D85" s="20" t="s">
        <v>22</v>
      </c>
      <c r="E85" s="21">
        <f>ROUND(9286*1.05,2)</f>
      </c>
      <c r="F85" s="20" t="s">
        <v>51</v>
      </c>
      <c r="G85" s="20" t="s">
        <v>24</v>
      </c>
      <c r="H85" s="21">
        <f>ROUND(RAND()*4+6,1)</f>
      </c>
      <c r="I85" s="20" t="s">
        <v>25</v>
      </c>
      <c r="J85" s="23">
        <f>ROUND(97*1,0)&amp;"%"</f>
      </c>
    </row>
    <row x14ac:dyDescent="0.25" r="86" customHeight="1" ht="17.25">
      <c r="A86" s="24" t="s">
        <v>167</v>
      </c>
      <c r="B86" s="24"/>
      <c r="C86" s="24"/>
      <c r="D86" s="24"/>
      <c r="E86" s="25">
        <v>8</v>
      </c>
      <c r="F86" s="9"/>
      <c r="G86" s="9"/>
      <c r="H86" s="10"/>
      <c r="I86" s="9"/>
      <c r="J86" s="9"/>
    </row>
    <row x14ac:dyDescent="0.25" r="87" customHeight="1" ht="17.25">
      <c r="A87" s="7"/>
      <c r="B87" s="7"/>
      <c r="C87" s="7"/>
      <c r="D87" s="7"/>
      <c r="E87" s="8"/>
      <c r="F87" s="9"/>
      <c r="G87" s="9"/>
      <c r="H87" s="10"/>
      <c r="I87" s="9"/>
      <c r="J87" s="9"/>
    </row>
    <row x14ac:dyDescent="0.25" r="88" customHeight="1" ht="17.25">
      <c r="A88" s="11" t="s">
        <v>5795</v>
      </c>
      <c r="B88" s="11"/>
      <c r="C88" s="11"/>
      <c r="D88" s="11"/>
      <c r="E88" s="12"/>
      <c r="F88" s="11"/>
      <c r="G88" s="11"/>
      <c r="H88" s="13"/>
      <c r="I88" s="11"/>
      <c r="J88" s="11"/>
    </row>
    <row x14ac:dyDescent="0.25" r="89" customHeight="1" ht="17.25">
      <c r="A89" s="14" t="s">
        <v>3</v>
      </c>
      <c r="B89" s="14" t="s">
        <v>4</v>
      </c>
      <c r="C89" s="14" t="s">
        <v>5</v>
      </c>
      <c r="D89" s="14" t="s">
        <v>6</v>
      </c>
      <c r="E89" s="15" t="s">
        <v>7</v>
      </c>
      <c r="F89" s="14" t="s">
        <v>8</v>
      </c>
      <c r="G89" s="14" t="s">
        <v>9</v>
      </c>
      <c r="H89" s="16" t="s">
        <v>10</v>
      </c>
      <c r="I89" s="14" t="s">
        <v>11</v>
      </c>
      <c r="J89" s="14" t="s">
        <v>12</v>
      </c>
    </row>
    <row x14ac:dyDescent="0.25" r="90" customHeight="1" ht="17.25">
      <c r="A90" s="17" t="s">
        <v>5796</v>
      </c>
      <c r="B90" s="17" t="s">
        <v>170</v>
      </c>
      <c r="C90" s="17" t="s">
        <v>15</v>
      </c>
      <c r="D90" s="17" t="s">
        <v>16</v>
      </c>
      <c r="E90" s="18">
        <f>ROUND(16795*1.05,2)</f>
      </c>
      <c r="F90" s="17" t="s">
        <v>17</v>
      </c>
      <c r="G90" s="17" t="s">
        <v>18</v>
      </c>
      <c r="H90" s="18">
        <f>ROUND(RAND()*4+6,1)</f>
      </c>
      <c r="I90" s="17" t="s">
        <v>19</v>
      </c>
      <c r="J90" s="19">
        <f>ROUND(86*1,0)&amp;"%"</f>
      </c>
    </row>
    <row x14ac:dyDescent="0.25" r="91" customHeight="1" ht="17.25">
      <c r="A91" s="20" t="s">
        <v>5797</v>
      </c>
      <c r="B91" s="20" t="s">
        <v>172</v>
      </c>
      <c r="C91" s="20" t="s">
        <v>15</v>
      </c>
      <c r="D91" s="20" t="s">
        <v>22</v>
      </c>
      <c r="E91" s="21">
        <f>ROUND(12027*1.05,2)</f>
      </c>
      <c r="F91" s="20" t="s">
        <v>23</v>
      </c>
      <c r="G91" s="20" t="s">
        <v>24</v>
      </c>
      <c r="H91" s="21">
        <f>ROUND(RAND()*4+6,1)</f>
      </c>
      <c r="I91" s="20" t="s">
        <v>25</v>
      </c>
      <c r="J91" s="23">
        <f>ROUND(80*1,0)&amp;"%"</f>
      </c>
    </row>
    <row x14ac:dyDescent="0.25" r="92" customHeight="1" ht="17.25">
      <c r="A92" s="17" t="s">
        <v>5798</v>
      </c>
      <c r="B92" s="17" t="s">
        <v>174</v>
      </c>
      <c r="C92" s="17" t="s">
        <v>15</v>
      </c>
      <c r="D92" s="17" t="s">
        <v>28</v>
      </c>
      <c r="E92" s="18">
        <f>ROUND(6605*1.05,2)</f>
      </c>
      <c r="F92" s="17" t="s">
        <v>29</v>
      </c>
      <c r="G92" s="17" t="s">
        <v>30</v>
      </c>
      <c r="H92" s="18">
        <f>ROUND(RAND()*4+6,1)</f>
      </c>
      <c r="I92" s="17" t="s">
        <v>31</v>
      </c>
      <c r="J92" s="19">
        <f>ROUND(92*1,0)&amp;"%"</f>
      </c>
    </row>
    <row x14ac:dyDescent="0.25" r="93" customHeight="1" ht="17.25">
      <c r="A93" s="20" t="s">
        <v>5799</v>
      </c>
      <c r="B93" s="20" t="s">
        <v>176</v>
      </c>
      <c r="C93" s="20" t="s">
        <v>15</v>
      </c>
      <c r="D93" s="20" t="s">
        <v>34</v>
      </c>
      <c r="E93" s="21">
        <f>ROUND(4855*1.05,2)</f>
      </c>
      <c r="F93" s="20" t="s">
        <v>35</v>
      </c>
      <c r="G93" s="20" t="s">
        <v>18</v>
      </c>
      <c r="H93" s="21">
        <f>ROUND(RAND()*4+6,1)</f>
      </c>
      <c r="I93" s="20" t="s">
        <v>36</v>
      </c>
      <c r="J93" s="23">
        <f>ROUND(64*1,0)&amp;"%"</f>
      </c>
    </row>
    <row x14ac:dyDescent="0.25" r="94" customHeight="1" ht="17.25">
      <c r="A94" s="17" t="s">
        <v>5800</v>
      </c>
      <c r="B94" s="17" t="s">
        <v>178</v>
      </c>
      <c r="C94" s="17" t="s">
        <v>15</v>
      </c>
      <c r="D94" s="17" t="s">
        <v>39</v>
      </c>
      <c r="E94" s="18">
        <f>ROUND(8288*1.05,2)</f>
      </c>
      <c r="F94" s="17" t="s">
        <v>40</v>
      </c>
      <c r="G94" s="17" t="s">
        <v>24</v>
      </c>
      <c r="H94" s="18">
        <f>ROUND(RAND()*4+6,1)</f>
      </c>
      <c r="I94" s="17" t="s">
        <v>41</v>
      </c>
      <c r="J94" s="19">
        <f>ROUND(98*1,0)&amp;"%"</f>
      </c>
    </row>
    <row x14ac:dyDescent="0.25" r="95" customHeight="1" ht="17.25">
      <c r="A95" s="20" t="s">
        <v>5801</v>
      </c>
      <c r="B95" s="20" t="s">
        <v>180</v>
      </c>
      <c r="C95" s="20" t="s">
        <v>15</v>
      </c>
      <c r="D95" s="20" t="s">
        <v>67</v>
      </c>
      <c r="E95" s="21">
        <f>ROUND(17237*1.05,2)</f>
      </c>
      <c r="F95" s="20" t="s">
        <v>44</v>
      </c>
      <c r="G95" s="20" t="s">
        <v>30</v>
      </c>
      <c r="H95" s="21">
        <f>ROUND(RAND()*4+6,1)</f>
      </c>
      <c r="I95" s="20" t="s">
        <v>45</v>
      </c>
      <c r="J95" s="23">
        <f>ROUND(91*1,0)&amp;"%"</f>
      </c>
    </row>
    <row x14ac:dyDescent="0.25" r="96" customHeight="1" ht="17.25">
      <c r="A96" s="17" t="s">
        <v>5802</v>
      </c>
      <c r="B96" s="17" t="s">
        <v>182</v>
      </c>
      <c r="C96" s="17" t="s">
        <v>15</v>
      </c>
      <c r="D96" s="17" t="s">
        <v>16</v>
      </c>
      <c r="E96" s="18">
        <f>ROUND(12922*1.05,2)</f>
      </c>
      <c r="F96" s="17" t="s">
        <v>48</v>
      </c>
      <c r="G96" s="17" t="s">
        <v>18</v>
      </c>
      <c r="H96" s="18">
        <f>ROUND(RAND()*4+6,1)</f>
      </c>
      <c r="I96" s="17" t="s">
        <v>19</v>
      </c>
      <c r="J96" s="19">
        <f>ROUND(91*1,0)&amp;"%"</f>
      </c>
    </row>
    <row x14ac:dyDescent="0.25" r="97" customHeight="1" ht="17.25">
      <c r="A97" s="20" t="s">
        <v>5803</v>
      </c>
      <c r="B97" s="20" t="s">
        <v>184</v>
      </c>
      <c r="C97" s="20" t="s">
        <v>15</v>
      </c>
      <c r="D97" s="20" t="s">
        <v>22</v>
      </c>
      <c r="E97" s="21">
        <f>ROUND(16617*1.05,2)</f>
      </c>
      <c r="F97" s="20" t="s">
        <v>51</v>
      </c>
      <c r="G97" s="20" t="s">
        <v>24</v>
      </c>
      <c r="H97" s="22">
        <f>ROUND(RAND()*4+6,1)</f>
      </c>
      <c r="I97" s="20" t="s">
        <v>25</v>
      </c>
      <c r="J97" s="23">
        <f>ROUND(83*1,0)&amp;"%"</f>
      </c>
    </row>
    <row x14ac:dyDescent="0.25" r="98" customHeight="1" ht="17.25">
      <c r="A98" s="24" t="s">
        <v>185</v>
      </c>
      <c r="B98" s="24"/>
      <c r="C98" s="24"/>
      <c r="D98" s="24"/>
      <c r="E98" s="25">
        <v>8</v>
      </c>
      <c r="F98" s="9"/>
      <c r="G98" s="9"/>
      <c r="H98" s="10"/>
      <c r="I98" s="9"/>
      <c r="J98" s="9"/>
    </row>
    <row x14ac:dyDescent="0.25" r="99" customHeight="1" ht="17.25">
      <c r="A99" s="7"/>
      <c r="B99" s="7"/>
      <c r="C99" s="7"/>
      <c r="D99" s="7"/>
      <c r="E99" s="8"/>
      <c r="F99" s="9"/>
      <c r="G99" s="9"/>
      <c r="H99" s="10"/>
      <c r="I99" s="9"/>
      <c r="J99" s="9"/>
    </row>
    <row x14ac:dyDescent="0.25" r="100" customHeight="1" ht="17.25">
      <c r="A100" s="11" t="s">
        <v>5804</v>
      </c>
      <c r="B100" s="11"/>
      <c r="C100" s="11"/>
      <c r="D100" s="11"/>
      <c r="E100" s="12"/>
      <c r="F100" s="11"/>
      <c r="G100" s="11"/>
      <c r="H100" s="13"/>
      <c r="I100" s="11"/>
      <c r="J100" s="11"/>
    </row>
    <row x14ac:dyDescent="0.25" r="101" customHeight="1" ht="17.25">
      <c r="A101" s="14" t="s">
        <v>3</v>
      </c>
      <c r="B101" s="14" t="s">
        <v>4</v>
      </c>
      <c r="C101" s="14" t="s">
        <v>5</v>
      </c>
      <c r="D101" s="14" t="s">
        <v>6</v>
      </c>
      <c r="E101" s="15" t="s">
        <v>7</v>
      </c>
      <c r="F101" s="14" t="s">
        <v>8</v>
      </c>
      <c r="G101" s="14" t="s">
        <v>9</v>
      </c>
      <c r="H101" s="16" t="s">
        <v>10</v>
      </c>
      <c r="I101" s="14" t="s">
        <v>11</v>
      </c>
      <c r="J101" s="14" t="s">
        <v>12</v>
      </c>
    </row>
    <row x14ac:dyDescent="0.25" r="102" customHeight="1" ht="17.25">
      <c r="A102" s="17" t="s">
        <v>5805</v>
      </c>
      <c r="B102" s="17" t="s">
        <v>188</v>
      </c>
      <c r="C102" s="17" t="s">
        <v>56</v>
      </c>
      <c r="D102" s="17" t="s">
        <v>16</v>
      </c>
      <c r="E102" s="18">
        <f>ROUND(8501*1.05,2)</f>
      </c>
      <c r="F102" s="17" t="s">
        <v>17</v>
      </c>
      <c r="G102" s="17" t="s">
        <v>18</v>
      </c>
      <c r="H102" s="18">
        <f>ROUND(RAND()*4+6,1)</f>
      </c>
      <c r="I102" s="17" t="s">
        <v>19</v>
      </c>
      <c r="J102" s="19">
        <f>ROUND(85*1,0)&amp;"%"</f>
      </c>
    </row>
    <row x14ac:dyDescent="0.25" r="103" customHeight="1" ht="17.25">
      <c r="A103" s="20" t="s">
        <v>5806</v>
      </c>
      <c r="B103" s="20" t="s">
        <v>190</v>
      </c>
      <c r="C103" s="20" t="s">
        <v>56</v>
      </c>
      <c r="D103" s="20" t="s">
        <v>22</v>
      </c>
      <c r="E103" s="21">
        <f>ROUND(9131*1.05,2)</f>
      </c>
      <c r="F103" s="20" t="s">
        <v>23</v>
      </c>
      <c r="G103" s="20" t="s">
        <v>24</v>
      </c>
      <c r="H103" s="21">
        <f>ROUND(RAND()*4+6,1)</f>
      </c>
      <c r="I103" s="20" t="s">
        <v>25</v>
      </c>
      <c r="J103" s="23">
        <f>ROUND(86*1,0)&amp;"%"</f>
      </c>
    </row>
    <row x14ac:dyDescent="0.25" r="104" customHeight="1" ht="17.25">
      <c r="A104" s="17" t="s">
        <v>5807</v>
      </c>
      <c r="B104" s="17" t="s">
        <v>192</v>
      </c>
      <c r="C104" s="17" t="s">
        <v>56</v>
      </c>
      <c r="D104" s="17" t="s">
        <v>28</v>
      </c>
      <c r="E104" s="18">
        <f>ROUND(13608*1.05,2)</f>
      </c>
      <c r="F104" s="17" t="s">
        <v>29</v>
      </c>
      <c r="G104" s="17" t="s">
        <v>30</v>
      </c>
      <c r="H104" s="18">
        <f>ROUND(RAND()*4+6,1)</f>
      </c>
      <c r="I104" s="17" t="s">
        <v>31</v>
      </c>
      <c r="J104" s="19">
        <f>ROUND(71*1,0)&amp;"%"</f>
      </c>
    </row>
    <row x14ac:dyDescent="0.25" r="105" customHeight="1" ht="17.25">
      <c r="A105" s="20" t="s">
        <v>5808</v>
      </c>
      <c r="B105" s="20" t="s">
        <v>194</v>
      </c>
      <c r="C105" s="20" t="s">
        <v>56</v>
      </c>
      <c r="D105" s="20" t="s">
        <v>34</v>
      </c>
      <c r="E105" s="21">
        <f>ROUND(6274*1.05,2)</f>
      </c>
      <c r="F105" s="20" t="s">
        <v>35</v>
      </c>
      <c r="G105" s="20" t="s">
        <v>18</v>
      </c>
      <c r="H105" s="21">
        <f>ROUND(RAND()*4+6,1)</f>
      </c>
      <c r="I105" s="20" t="s">
        <v>36</v>
      </c>
      <c r="J105" s="23">
        <f>ROUND(89*1,0)&amp;"%"</f>
      </c>
    </row>
    <row x14ac:dyDescent="0.25" r="106" customHeight="1" ht="17.25">
      <c r="A106" s="17" t="s">
        <v>5809</v>
      </c>
      <c r="B106" s="17" t="s">
        <v>196</v>
      </c>
      <c r="C106" s="17" t="s">
        <v>56</v>
      </c>
      <c r="D106" s="17" t="s">
        <v>39</v>
      </c>
      <c r="E106" s="18">
        <f>ROUND(15697*1.05,2)</f>
      </c>
      <c r="F106" s="17" t="s">
        <v>40</v>
      </c>
      <c r="G106" s="17" t="s">
        <v>24</v>
      </c>
      <c r="H106" s="18">
        <f>ROUND(RAND()*4+6,1)</f>
      </c>
      <c r="I106" s="17" t="s">
        <v>41</v>
      </c>
      <c r="J106" s="19">
        <f>ROUND(83*1,0)&amp;"%"</f>
      </c>
    </row>
    <row x14ac:dyDescent="0.25" r="107" customHeight="1" ht="17.25">
      <c r="A107" s="20" t="s">
        <v>5810</v>
      </c>
      <c r="B107" s="20" t="s">
        <v>198</v>
      </c>
      <c r="C107" s="20" t="s">
        <v>56</v>
      </c>
      <c r="D107" s="20" t="s">
        <v>67</v>
      </c>
      <c r="E107" s="21">
        <f>ROUND(10922*1.05,2)</f>
      </c>
      <c r="F107" s="20" t="s">
        <v>44</v>
      </c>
      <c r="G107" s="20" t="s">
        <v>30</v>
      </c>
      <c r="H107" s="21">
        <f>ROUND(RAND()*4+6,1)</f>
      </c>
      <c r="I107" s="20" t="s">
        <v>45</v>
      </c>
      <c r="J107" s="23">
        <f>ROUND(75*1,0)&amp;"%"</f>
      </c>
    </row>
    <row x14ac:dyDescent="0.25" r="108" customHeight="1" ht="17.25">
      <c r="A108" s="17" t="s">
        <v>5811</v>
      </c>
      <c r="B108" s="17" t="s">
        <v>200</v>
      </c>
      <c r="C108" s="17" t="s">
        <v>56</v>
      </c>
      <c r="D108" s="17" t="s">
        <v>16</v>
      </c>
      <c r="E108" s="18">
        <f>ROUND(14274*1.05,2)</f>
      </c>
      <c r="F108" s="17" t="s">
        <v>48</v>
      </c>
      <c r="G108" s="17" t="s">
        <v>18</v>
      </c>
      <c r="H108" s="18">
        <f>ROUND(RAND()*4+6,1)</f>
      </c>
      <c r="I108" s="17" t="s">
        <v>19</v>
      </c>
      <c r="J108" s="19">
        <f>ROUND(97*1,0)&amp;"%"</f>
      </c>
    </row>
    <row x14ac:dyDescent="0.25" r="109" customHeight="1" ht="17.25">
      <c r="A109" s="20" t="s">
        <v>5812</v>
      </c>
      <c r="B109" s="20" t="s">
        <v>202</v>
      </c>
      <c r="C109" s="20" t="s">
        <v>56</v>
      </c>
      <c r="D109" s="20" t="s">
        <v>22</v>
      </c>
      <c r="E109" s="22">
        <f>ROUND(16680*1.05,2)</f>
      </c>
      <c r="F109" s="20" t="s">
        <v>51</v>
      </c>
      <c r="G109" s="20" t="s">
        <v>24</v>
      </c>
      <c r="H109" s="21">
        <f>ROUND(RAND()*4+6,1)</f>
      </c>
      <c r="I109" s="20" t="s">
        <v>25</v>
      </c>
      <c r="J109" s="23">
        <f>ROUND(72*1,0)&amp;"%"</f>
      </c>
    </row>
    <row x14ac:dyDescent="0.25" r="110" customHeight="1" ht="17.25">
      <c r="A110" s="24" t="s">
        <v>203</v>
      </c>
      <c r="B110" s="24"/>
      <c r="C110" s="24"/>
      <c r="D110" s="24"/>
      <c r="E110" s="25">
        <v>8</v>
      </c>
      <c r="F110" s="9"/>
      <c r="G110" s="9"/>
      <c r="H110" s="10"/>
      <c r="I110" s="9"/>
      <c r="J110" s="9"/>
    </row>
    <row x14ac:dyDescent="0.25" r="111" customHeight="1" ht="17.25">
      <c r="A111" s="7"/>
      <c r="B111" s="7"/>
      <c r="C111" s="7"/>
      <c r="D111" s="7"/>
      <c r="E111" s="8"/>
      <c r="F111" s="9"/>
      <c r="G111" s="9"/>
      <c r="H111" s="10"/>
      <c r="I111" s="9"/>
      <c r="J111" s="9"/>
    </row>
    <row x14ac:dyDescent="0.25" r="112" customHeight="1" ht="17.25">
      <c r="A112" s="11" t="s">
        <v>5813</v>
      </c>
      <c r="B112" s="11"/>
      <c r="C112" s="11"/>
      <c r="D112" s="11"/>
      <c r="E112" s="12"/>
      <c r="F112" s="11"/>
      <c r="G112" s="11"/>
      <c r="H112" s="13"/>
      <c r="I112" s="11"/>
      <c r="J112" s="11"/>
    </row>
    <row x14ac:dyDescent="0.25" r="113" customHeight="1" ht="17.25">
      <c r="A113" s="14" t="s">
        <v>3</v>
      </c>
      <c r="B113" s="14" t="s">
        <v>4</v>
      </c>
      <c r="C113" s="14" t="s">
        <v>5</v>
      </c>
      <c r="D113" s="14" t="s">
        <v>6</v>
      </c>
      <c r="E113" s="15" t="s">
        <v>7</v>
      </c>
      <c r="F113" s="14" t="s">
        <v>8</v>
      </c>
      <c r="G113" s="14" t="s">
        <v>9</v>
      </c>
      <c r="H113" s="16" t="s">
        <v>10</v>
      </c>
      <c r="I113" s="14" t="s">
        <v>11</v>
      </c>
      <c r="J113" s="14" t="s">
        <v>12</v>
      </c>
    </row>
    <row x14ac:dyDescent="0.25" r="114" customHeight="1" ht="17.25">
      <c r="A114" s="17" t="s">
        <v>5814</v>
      </c>
      <c r="B114" s="17" t="s">
        <v>206</v>
      </c>
      <c r="C114" s="17" t="s">
        <v>76</v>
      </c>
      <c r="D114" s="17" t="s">
        <v>16</v>
      </c>
      <c r="E114" s="18">
        <f>ROUND(15236*1.05,2)</f>
      </c>
      <c r="F114" s="17" t="s">
        <v>17</v>
      </c>
      <c r="G114" s="17" t="s">
        <v>18</v>
      </c>
      <c r="H114" s="26">
        <f>ROUND(RAND()*4+6,1)</f>
      </c>
      <c r="I114" s="17" t="s">
        <v>19</v>
      </c>
      <c r="J114" s="19">
        <f>ROUND(87*1,0)&amp;"%"</f>
      </c>
    </row>
    <row x14ac:dyDescent="0.25" r="115" customHeight="1" ht="17.25">
      <c r="A115" s="20" t="s">
        <v>5815</v>
      </c>
      <c r="B115" s="20" t="s">
        <v>208</v>
      </c>
      <c r="C115" s="20" t="s">
        <v>76</v>
      </c>
      <c r="D115" s="20" t="s">
        <v>22</v>
      </c>
      <c r="E115" s="21">
        <f>ROUND(17707*1.05,2)</f>
      </c>
      <c r="F115" s="20" t="s">
        <v>23</v>
      </c>
      <c r="G115" s="20" t="s">
        <v>24</v>
      </c>
      <c r="H115" s="22">
        <f>ROUND(RAND()*4+6,1)</f>
      </c>
      <c r="I115" s="20" t="s">
        <v>25</v>
      </c>
      <c r="J115" s="23">
        <f>ROUND(61*1,0)&amp;"%"</f>
      </c>
    </row>
    <row x14ac:dyDescent="0.25" r="116" customHeight="1" ht="17.25">
      <c r="A116" s="17" t="s">
        <v>5816</v>
      </c>
      <c r="B116" s="17" t="s">
        <v>210</v>
      </c>
      <c r="C116" s="17" t="s">
        <v>76</v>
      </c>
      <c r="D116" s="17" t="s">
        <v>28</v>
      </c>
      <c r="E116" s="18">
        <f>ROUND(7774*1.05,2)</f>
      </c>
      <c r="F116" s="17" t="s">
        <v>29</v>
      </c>
      <c r="G116" s="17" t="s">
        <v>30</v>
      </c>
      <c r="H116" s="18">
        <f>ROUND(RAND()*4+6,1)</f>
      </c>
      <c r="I116" s="17" t="s">
        <v>31</v>
      </c>
      <c r="J116" s="19">
        <f>ROUND(98*1,0)&amp;"%"</f>
      </c>
    </row>
    <row x14ac:dyDescent="0.25" r="117" customHeight="1" ht="17.25">
      <c r="A117" s="20" t="s">
        <v>5817</v>
      </c>
      <c r="B117" s="20" t="s">
        <v>212</v>
      </c>
      <c r="C117" s="20" t="s">
        <v>76</v>
      </c>
      <c r="D117" s="20" t="s">
        <v>34</v>
      </c>
      <c r="E117" s="21">
        <f>ROUND(4159*1.05,2)</f>
      </c>
      <c r="F117" s="20" t="s">
        <v>35</v>
      </c>
      <c r="G117" s="20" t="s">
        <v>18</v>
      </c>
      <c r="H117" s="22">
        <f>ROUND(RAND()*4+6,1)</f>
      </c>
      <c r="I117" s="20" t="s">
        <v>36</v>
      </c>
      <c r="J117" s="23">
        <f>ROUND(94*1,0)&amp;"%"</f>
      </c>
    </row>
    <row x14ac:dyDescent="0.25" r="118" customHeight="1" ht="17.25">
      <c r="A118" s="17" t="s">
        <v>5818</v>
      </c>
      <c r="B118" s="17" t="s">
        <v>214</v>
      </c>
      <c r="C118" s="17" t="s">
        <v>76</v>
      </c>
      <c r="D118" s="17" t="s">
        <v>39</v>
      </c>
      <c r="E118" s="18">
        <f>ROUND(4372*1.05,2)</f>
      </c>
      <c r="F118" s="17" t="s">
        <v>40</v>
      </c>
      <c r="G118" s="17" t="s">
        <v>24</v>
      </c>
      <c r="H118" s="18">
        <f>ROUND(RAND()*4+6,1)</f>
      </c>
      <c r="I118" s="17" t="s">
        <v>41</v>
      </c>
      <c r="J118" s="19">
        <f>ROUND(65*1,0)&amp;"%"</f>
      </c>
    </row>
    <row x14ac:dyDescent="0.25" r="119" customHeight="1" ht="17.25">
      <c r="A119" s="20" t="s">
        <v>5819</v>
      </c>
      <c r="B119" s="20" t="s">
        <v>216</v>
      </c>
      <c r="C119" s="20" t="s">
        <v>76</v>
      </c>
      <c r="D119" s="20" t="s">
        <v>67</v>
      </c>
      <c r="E119" s="21">
        <f>ROUND(6824*1.05,2)</f>
      </c>
      <c r="F119" s="20" t="s">
        <v>44</v>
      </c>
      <c r="G119" s="20" t="s">
        <v>30</v>
      </c>
      <c r="H119" s="21">
        <f>ROUND(RAND()*4+6,1)</f>
      </c>
      <c r="I119" s="20" t="s">
        <v>45</v>
      </c>
      <c r="J119" s="23">
        <f>ROUND(87*1,0)&amp;"%"</f>
      </c>
    </row>
    <row x14ac:dyDescent="0.25" r="120" customHeight="1" ht="17.25">
      <c r="A120" s="17" t="s">
        <v>5820</v>
      </c>
      <c r="B120" s="17" t="s">
        <v>218</v>
      </c>
      <c r="C120" s="17" t="s">
        <v>76</v>
      </c>
      <c r="D120" s="17" t="s">
        <v>16</v>
      </c>
      <c r="E120" s="18">
        <f>ROUND(9613*1.05,2)</f>
      </c>
      <c r="F120" s="17" t="s">
        <v>48</v>
      </c>
      <c r="G120" s="17" t="s">
        <v>18</v>
      </c>
      <c r="H120" s="18">
        <f>ROUND(RAND()*4+6,1)</f>
      </c>
      <c r="I120" s="17" t="s">
        <v>19</v>
      </c>
      <c r="J120" s="19">
        <f>ROUND(63*1,0)&amp;"%"</f>
      </c>
    </row>
    <row x14ac:dyDescent="0.25" r="121" customHeight="1" ht="17.25">
      <c r="A121" s="20" t="s">
        <v>5821</v>
      </c>
      <c r="B121" s="20" t="s">
        <v>220</v>
      </c>
      <c r="C121" s="20" t="s">
        <v>76</v>
      </c>
      <c r="D121" s="20" t="s">
        <v>22</v>
      </c>
      <c r="E121" s="21">
        <f>ROUND(8849*1.05,2)</f>
      </c>
      <c r="F121" s="20" t="s">
        <v>51</v>
      </c>
      <c r="G121" s="20" t="s">
        <v>24</v>
      </c>
      <c r="H121" s="21">
        <f>ROUND(RAND()*4+6,1)</f>
      </c>
      <c r="I121" s="20" t="s">
        <v>25</v>
      </c>
      <c r="J121" s="23">
        <f>ROUND(99*1,0)&amp;"%"</f>
      </c>
    </row>
    <row x14ac:dyDescent="0.25" r="122" customHeight="1" ht="17.25">
      <c r="A122" s="24" t="s">
        <v>221</v>
      </c>
      <c r="B122" s="24"/>
      <c r="C122" s="24"/>
      <c r="D122" s="24"/>
      <c r="E122" s="25">
        <v>8</v>
      </c>
      <c r="F122" s="9"/>
      <c r="G122" s="9"/>
      <c r="H122" s="10"/>
      <c r="I122" s="9"/>
      <c r="J122" s="9"/>
    </row>
    <row x14ac:dyDescent="0.25" r="123" customHeight="1" ht="17.25">
      <c r="A123" s="7"/>
      <c r="B123" s="7"/>
      <c r="C123" s="7"/>
      <c r="D123" s="7"/>
      <c r="E123" s="8"/>
      <c r="F123" s="9"/>
      <c r="G123" s="9"/>
      <c r="H123" s="10"/>
      <c r="I123" s="9"/>
      <c r="J123" s="9"/>
    </row>
    <row x14ac:dyDescent="0.25" r="124" customHeight="1" ht="17.25">
      <c r="A124" s="11" t="s">
        <v>5822</v>
      </c>
      <c r="B124" s="11"/>
      <c r="C124" s="11"/>
      <c r="D124" s="11"/>
      <c r="E124" s="12"/>
      <c r="F124" s="11"/>
      <c r="G124" s="11"/>
      <c r="H124" s="13"/>
      <c r="I124" s="11"/>
      <c r="J124" s="11"/>
    </row>
    <row x14ac:dyDescent="0.25" r="125" customHeight="1" ht="17.25">
      <c r="A125" s="14" t="s">
        <v>3</v>
      </c>
      <c r="B125" s="14" t="s">
        <v>4</v>
      </c>
      <c r="C125" s="14" t="s">
        <v>5</v>
      </c>
      <c r="D125" s="14" t="s">
        <v>6</v>
      </c>
      <c r="E125" s="15" t="s">
        <v>7</v>
      </c>
      <c r="F125" s="14" t="s">
        <v>8</v>
      </c>
      <c r="G125" s="14" t="s">
        <v>9</v>
      </c>
      <c r="H125" s="16" t="s">
        <v>10</v>
      </c>
      <c r="I125" s="14" t="s">
        <v>11</v>
      </c>
      <c r="J125" s="14" t="s">
        <v>12</v>
      </c>
    </row>
    <row x14ac:dyDescent="0.25" r="126" customHeight="1" ht="17.25">
      <c r="A126" s="17" t="s">
        <v>5823</v>
      </c>
      <c r="B126" s="17" t="s">
        <v>224</v>
      </c>
      <c r="C126" s="17" t="s">
        <v>95</v>
      </c>
      <c r="D126" s="17" t="s">
        <v>16</v>
      </c>
      <c r="E126" s="18">
        <f>ROUND(8270*1.05,2)</f>
      </c>
      <c r="F126" s="17" t="s">
        <v>17</v>
      </c>
      <c r="G126" s="17" t="s">
        <v>18</v>
      </c>
      <c r="H126" s="18">
        <f>ROUND(RAND()*4+6,1)</f>
      </c>
      <c r="I126" s="17" t="s">
        <v>19</v>
      </c>
      <c r="J126" s="19">
        <f>ROUND(85*1,0)&amp;"%"</f>
      </c>
    </row>
    <row x14ac:dyDescent="0.25" r="127" customHeight="1" ht="17.25">
      <c r="A127" s="20" t="s">
        <v>5824</v>
      </c>
      <c r="B127" s="20" t="s">
        <v>226</v>
      </c>
      <c r="C127" s="20" t="s">
        <v>95</v>
      </c>
      <c r="D127" s="20" t="s">
        <v>22</v>
      </c>
      <c r="E127" s="21">
        <f>ROUND(9791*1.05,2)</f>
      </c>
      <c r="F127" s="20" t="s">
        <v>23</v>
      </c>
      <c r="G127" s="20" t="s">
        <v>24</v>
      </c>
      <c r="H127" s="21">
        <f>ROUND(RAND()*4+6,1)</f>
      </c>
      <c r="I127" s="20" t="s">
        <v>25</v>
      </c>
      <c r="J127" s="23">
        <f>ROUND(79*1,0)&amp;"%"</f>
      </c>
    </row>
    <row x14ac:dyDescent="0.25" r="128" customHeight="1" ht="17.25">
      <c r="A128" s="17" t="s">
        <v>5825</v>
      </c>
      <c r="B128" s="17" t="s">
        <v>228</v>
      </c>
      <c r="C128" s="17" t="s">
        <v>95</v>
      </c>
      <c r="D128" s="17" t="s">
        <v>28</v>
      </c>
      <c r="E128" s="18">
        <f>ROUND(6219*1.05,2)</f>
      </c>
      <c r="F128" s="17" t="s">
        <v>29</v>
      </c>
      <c r="G128" s="17" t="s">
        <v>30</v>
      </c>
      <c r="H128" s="18">
        <f>ROUND(RAND()*4+6,1)</f>
      </c>
      <c r="I128" s="17" t="s">
        <v>31</v>
      </c>
      <c r="J128" s="19">
        <f>ROUND(76*1,0)&amp;"%"</f>
      </c>
    </row>
    <row x14ac:dyDescent="0.25" r="129" customHeight="1" ht="17.25">
      <c r="A129" s="20" t="s">
        <v>5826</v>
      </c>
      <c r="B129" s="20" t="s">
        <v>230</v>
      </c>
      <c r="C129" s="20" t="s">
        <v>95</v>
      </c>
      <c r="D129" s="20" t="s">
        <v>34</v>
      </c>
      <c r="E129" s="21">
        <f>ROUND(7724*1.05,2)</f>
      </c>
      <c r="F129" s="20" t="s">
        <v>35</v>
      </c>
      <c r="G129" s="20" t="s">
        <v>18</v>
      </c>
      <c r="H129" s="22">
        <f>ROUND(RAND()*4+6,1)</f>
      </c>
      <c r="I129" s="20" t="s">
        <v>36</v>
      </c>
      <c r="J129" s="23">
        <f>ROUND(65*1,0)&amp;"%"</f>
      </c>
    </row>
    <row x14ac:dyDescent="0.25" r="130" customHeight="1" ht="17.25">
      <c r="A130" s="17" t="s">
        <v>5827</v>
      </c>
      <c r="B130" s="17" t="s">
        <v>232</v>
      </c>
      <c r="C130" s="17" t="s">
        <v>95</v>
      </c>
      <c r="D130" s="17" t="s">
        <v>39</v>
      </c>
      <c r="E130" s="18">
        <f>ROUND(8961*1.05,2)</f>
      </c>
      <c r="F130" s="17" t="s">
        <v>40</v>
      </c>
      <c r="G130" s="17" t="s">
        <v>24</v>
      </c>
      <c r="H130" s="18">
        <f>ROUND(RAND()*4+6,1)</f>
      </c>
      <c r="I130" s="17" t="s">
        <v>41</v>
      </c>
      <c r="J130" s="19">
        <f>ROUND(84*1,0)&amp;"%"</f>
      </c>
    </row>
    <row x14ac:dyDescent="0.25" r="131" customHeight="1" ht="17.25">
      <c r="A131" s="20" t="s">
        <v>5828</v>
      </c>
      <c r="B131" s="20" t="s">
        <v>234</v>
      </c>
      <c r="C131" s="20" t="s">
        <v>95</v>
      </c>
      <c r="D131" s="20" t="s">
        <v>67</v>
      </c>
      <c r="E131" s="21">
        <f>ROUND(15862*1.05,2)</f>
      </c>
      <c r="F131" s="20" t="s">
        <v>44</v>
      </c>
      <c r="G131" s="20" t="s">
        <v>30</v>
      </c>
      <c r="H131" s="21">
        <f>ROUND(RAND()*4+6,1)</f>
      </c>
      <c r="I131" s="20" t="s">
        <v>45</v>
      </c>
      <c r="J131" s="23">
        <f>ROUND(87*1,0)&amp;"%"</f>
      </c>
    </row>
    <row x14ac:dyDescent="0.25" r="132" customHeight="1" ht="17.25">
      <c r="A132" s="17" t="s">
        <v>5829</v>
      </c>
      <c r="B132" s="17" t="s">
        <v>236</v>
      </c>
      <c r="C132" s="17" t="s">
        <v>95</v>
      </c>
      <c r="D132" s="17" t="s">
        <v>16</v>
      </c>
      <c r="E132" s="18">
        <f>ROUND(6149*1.05,2)</f>
      </c>
      <c r="F132" s="17" t="s">
        <v>48</v>
      </c>
      <c r="G132" s="17" t="s">
        <v>18</v>
      </c>
      <c r="H132" s="18">
        <f>ROUND(RAND()*4+6,1)</f>
      </c>
      <c r="I132" s="17" t="s">
        <v>19</v>
      </c>
      <c r="J132" s="19">
        <f>ROUND(81*1,0)&amp;"%"</f>
      </c>
    </row>
    <row x14ac:dyDescent="0.25" r="133" customHeight="1" ht="17.25">
      <c r="A133" s="20" t="s">
        <v>5830</v>
      </c>
      <c r="B133" s="20" t="s">
        <v>238</v>
      </c>
      <c r="C133" s="20" t="s">
        <v>95</v>
      </c>
      <c r="D133" s="20" t="s">
        <v>22</v>
      </c>
      <c r="E133" s="21">
        <f>ROUND(12076*1.05,2)</f>
      </c>
      <c r="F133" s="20" t="s">
        <v>51</v>
      </c>
      <c r="G133" s="20" t="s">
        <v>24</v>
      </c>
      <c r="H133" s="21">
        <f>ROUND(RAND()*4+6,1)</f>
      </c>
      <c r="I133" s="20" t="s">
        <v>25</v>
      </c>
      <c r="J133" s="23">
        <f>ROUND(62*1,0)&amp;"%"</f>
      </c>
    </row>
    <row x14ac:dyDescent="0.25" r="134" customHeight="1" ht="17.25">
      <c r="A134" s="24" t="s">
        <v>239</v>
      </c>
      <c r="B134" s="24"/>
      <c r="C134" s="24"/>
      <c r="D134" s="24"/>
      <c r="E134" s="25">
        <v>8</v>
      </c>
      <c r="F134" s="9"/>
      <c r="G134" s="9"/>
      <c r="H134" s="10"/>
      <c r="I134" s="9"/>
      <c r="J134" s="9"/>
    </row>
    <row x14ac:dyDescent="0.25" r="135" customHeight="1" ht="17.25">
      <c r="A135" s="7"/>
      <c r="B135" s="7"/>
      <c r="C135" s="7"/>
      <c r="D135" s="7"/>
      <c r="E135" s="8"/>
      <c r="F135" s="9"/>
      <c r="G135" s="9"/>
      <c r="H135" s="10"/>
      <c r="I135" s="9"/>
      <c r="J135" s="9"/>
    </row>
    <row x14ac:dyDescent="0.25" r="136" customHeight="1" ht="17.25">
      <c r="A136" s="11" t="s">
        <v>5831</v>
      </c>
      <c r="B136" s="11"/>
      <c r="C136" s="11"/>
      <c r="D136" s="11"/>
      <c r="E136" s="12"/>
      <c r="F136" s="11"/>
      <c r="G136" s="11"/>
      <c r="H136" s="13"/>
      <c r="I136" s="11"/>
      <c r="J136" s="11"/>
    </row>
    <row x14ac:dyDescent="0.25" r="137" customHeight="1" ht="17.25">
      <c r="A137" s="14" t="s">
        <v>3</v>
      </c>
      <c r="B137" s="14" t="s">
        <v>4</v>
      </c>
      <c r="C137" s="14" t="s">
        <v>5</v>
      </c>
      <c r="D137" s="14" t="s">
        <v>6</v>
      </c>
      <c r="E137" s="15" t="s">
        <v>7</v>
      </c>
      <c r="F137" s="14" t="s">
        <v>8</v>
      </c>
      <c r="G137" s="14" t="s">
        <v>9</v>
      </c>
      <c r="H137" s="16" t="s">
        <v>10</v>
      </c>
      <c r="I137" s="14" t="s">
        <v>11</v>
      </c>
      <c r="J137" s="14" t="s">
        <v>12</v>
      </c>
    </row>
    <row x14ac:dyDescent="0.25" r="138" customHeight="1" ht="17.25">
      <c r="A138" s="17" t="s">
        <v>5832</v>
      </c>
      <c r="B138" s="17" t="s">
        <v>242</v>
      </c>
      <c r="C138" s="17" t="s">
        <v>114</v>
      </c>
      <c r="D138" s="17" t="s">
        <v>16</v>
      </c>
      <c r="E138" s="18">
        <f>ROUND(13211*1.05,2)</f>
      </c>
      <c r="F138" s="17" t="s">
        <v>17</v>
      </c>
      <c r="G138" s="17" t="s">
        <v>18</v>
      </c>
      <c r="H138" s="18">
        <f>ROUND(RAND()*4+6,1)</f>
      </c>
      <c r="I138" s="17" t="s">
        <v>19</v>
      </c>
      <c r="J138" s="19">
        <f>ROUND(67*1,0)&amp;"%"</f>
      </c>
    </row>
    <row x14ac:dyDescent="0.25" r="139" customHeight="1" ht="17.25">
      <c r="A139" s="20" t="s">
        <v>5833</v>
      </c>
      <c r="B139" s="20" t="s">
        <v>244</v>
      </c>
      <c r="C139" s="20" t="s">
        <v>114</v>
      </c>
      <c r="D139" s="20" t="s">
        <v>22</v>
      </c>
      <c r="E139" s="22">
        <f>ROUND(9440*1.05,2)</f>
      </c>
      <c r="F139" s="20" t="s">
        <v>23</v>
      </c>
      <c r="G139" s="20" t="s">
        <v>24</v>
      </c>
      <c r="H139" s="21">
        <f>ROUND(RAND()*4+6,1)</f>
      </c>
      <c r="I139" s="20" t="s">
        <v>25</v>
      </c>
      <c r="J139" s="23">
        <f>ROUND(93*1,0)&amp;"%"</f>
      </c>
    </row>
    <row x14ac:dyDescent="0.25" r="140" customHeight="1" ht="17.25">
      <c r="A140" s="17" t="s">
        <v>5834</v>
      </c>
      <c r="B140" s="17" t="s">
        <v>246</v>
      </c>
      <c r="C140" s="17" t="s">
        <v>114</v>
      </c>
      <c r="D140" s="17" t="s">
        <v>28</v>
      </c>
      <c r="E140" s="26">
        <f>ROUND(14300*1.05,2)</f>
      </c>
      <c r="F140" s="17" t="s">
        <v>29</v>
      </c>
      <c r="G140" s="17" t="s">
        <v>30</v>
      </c>
      <c r="H140" s="26">
        <f>ROUND(RAND()*4+6,1)</f>
      </c>
      <c r="I140" s="17" t="s">
        <v>31</v>
      </c>
      <c r="J140" s="19">
        <f>ROUND(68*1,0)&amp;"%"</f>
      </c>
    </row>
    <row x14ac:dyDescent="0.25" r="141" customHeight="1" ht="17.25">
      <c r="A141" s="20" t="s">
        <v>5835</v>
      </c>
      <c r="B141" s="20" t="s">
        <v>248</v>
      </c>
      <c r="C141" s="20" t="s">
        <v>114</v>
      </c>
      <c r="D141" s="20" t="s">
        <v>34</v>
      </c>
      <c r="E141" s="21">
        <f>ROUND(15519*1.05,2)</f>
      </c>
      <c r="F141" s="20" t="s">
        <v>35</v>
      </c>
      <c r="G141" s="20" t="s">
        <v>18</v>
      </c>
      <c r="H141" s="21">
        <f>ROUND(RAND()*4+6,1)</f>
      </c>
      <c r="I141" s="20" t="s">
        <v>36</v>
      </c>
      <c r="J141" s="23">
        <f>ROUND(81*1,0)&amp;"%"</f>
      </c>
    </row>
    <row x14ac:dyDescent="0.25" r="142" customHeight="1" ht="17.25">
      <c r="A142" s="17" t="s">
        <v>5836</v>
      </c>
      <c r="B142" s="17" t="s">
        <v>250</v>
      </c>
      <c r="C142" s="17" t="s">
        <v>114</v>
      </c>
      <c r="D142" s="17" t="s">
        <v>39</v>
      </c>
      <c r="E142" s="18">
        <f>ROUND(12466*1.05,2)</f>
      </c>
      <c r="F142" s="17" t="s">
        <v>40</v>
      </c>
      <c r="G142" s="17" t="s">
        <v>24</v>
      </c>
      <c r="H142" s="18">
        <f>ROUND(RAND()*4+6,1)</f>
      </c>
      <c r="I142" s="17" t="s">
        <v>41</v>
      </c>
      <c r="J142" s="19">
        <f>ROUND(63*1,0)&amp;"%"</f>
      </c>
    </row>
    <row x14ac:dyDescent="0.25" r="143" customHeight="1" ht="17.25">
      <c r="A143" s="20" t="s">
        <v>5837</v>
      </c>
      <c r="B143" s="20" t="s">
        <v>252</v>
      </c>
      <c r="C143" s="20" t="s">
        <v>114</v>
      </c>
      <c r="D143" s="20" t="s">
        <v>67</v>
      </c>
      <c r="E143" s="21">
        <f>ROUND(15794*1.05,2)</f>
      </c>
      <c r="F143" s="20" t="s">
        <v>44</v>
      </c>
      <c r="G143" s="20" t="s">
        <v>30</v>
      </c>
      <c r="H143" s="21">
        <f>ROUND(RAND()*4+6,1)</f>
      </c>
      <c r="I143" s="20" t="s">
        <v>45</v>
      </c>
      <c r="J143" s="23">
        <f>ROUND(84*1,0)&amp;"%"</f>
      </c>
    </row>
    <row x14ac:dyDescent="0.25" r="144" customHeight="1" ht="17.25">
      <c r="A144" s="17" t="s">
        <v>5838</v>
      </c>
      <c r="B144" s="17" t="s">
        <v>254</v>
      </c>
      <c r="C144" s="17" t="s">
        <v>114</v>
      </c>
      <c r="D144" s="17" t="s">
        <v>16</v>
      </c>
      <c r="E144" s="18">
        <f>ROUND(6074*1.05,2)</f>
      </c>
      <c r="F144" s="17" t="s">
        <v>48</v>
      </c>
      <c r="G144" s="17" t="s">
        <v>18</v>
      </c>
      <c r="H144" s="18">
        <f>ROUND(RAND()*4+6,1)</f>
      </c>
      <c r="I144" s="17" t="s">
        <v>19</v>
      </c>
      <c r="J144" s="19">
        <f>ROUND(80*1,0)&amp;"%"</f>
      </c>
    </row>
    <row x14ac:dyDescent="0.25" r="145" customHeight="1" ht="17.25">
      <c r="A145" s="20" t="s">
        <v>5839</v>
      </c>
      <c r="B145" s="20" t="s">
        <v>256</v>
      </c>
      <c r="C145" s="20" t="s">
        <v>114</v>
      </c>
      <c r="D145" s="20" t="s">
        <v>22</v>
      </c>
      <c r="E145" s="21">
        <f>ROUND(7365*1.05,2)</f>
      </c>
      <c r="F145" s="20" t="s">
        <v>51</v>
      </c>
      <c r="G145" s="20" t="s">
        <v>24</v>
      </c>
      <c r="H145" s="21">
        <f>ROUND(RAND()*4+6,1)</f>
      </c>
      <c r="I145" s="20" t="s">
        <v>25</v>
      </c>
      <c r="J145" s="23">
        <f>ROUND(88*1,0)&amp;"%"</f>
      </c>
    </row>
    <row x14ac:dyDescent="0.25" r="146" customHeight="1" ht="17.25">
      <c r="A146" s="24" t="s">
        <v>257</v>
      </c>
      <c r="B146" s="24"/>
      <c r="C146" s="24"/>
      <c r="D146" s="24"/>
      <c r="E146" s="25">
        <v>8</v>
      </c>
      <c r="F146" s="9"/>
      <c r="G146" s="9"/>
      <c r="H146" s="10"/>
      <c r="I146" s="9"/>
      <c r="J146" s="9"/>
    </row>
    <row x14ac:dyDescent="0.25" r="147" customHeight="1" ht="17.25">
      <c r="A147" s="7"/>
      <c r="B147" s="7"/>
      <c r="C147" s="7"/>
      <c r="D147" s="7"/>
      <c r="E147" s="8"/>
      <c r="F147" s="9"/>
      <c r="G147" s="9"/>
      <c r="H147" s="10"/>
      <c r="I147" s="9"/>
      <c r="J147" s="9"/>
    </row>
    <row x14ac:dyDescent="0.25" r="148" customHeight="1" ht="17.25">
      <c r="A148" s="11" t="s">
        <v>5840</v>
      </c>
      <c r="B148" s="11"/>
      <c r="C148" s="11"/>
      <c r="D148" s="11"/>
      <c r="E148" s="12"/>
      <c r="F148" s="11"/>
      <c r="G148" s="11"/>
      <c r="H148" s="13"/>
      <c r="I148" s="11"/>
      <c r="J148" s="11"/>
    </row>
    <row x14ac:dyDescent="0.25" r="149" customHeight="1" ht="17.25">
      <c r="A149" s="14" t="s">
        <v>3</v>
      </c>
      <c r="B149" s="14" t="s">
        <v>4</v>
      </c>
      <c r="C149" s="14" t="s">
        <v>5</v>
      </c>
      <c r="D149" s="14" t="s">
        <v>6</v>
      </c>
      <c r="E149" s="15" t="s">
        <v>7</v>
      </c>
      <c r="F149" s="14" t="s">
        <v>8</v>
      </c>
      <c r="G149" s="14" t="s">
        <v>9</v>
      </c>
      <c r="H149" s="16" t="s">
        <v>10</v>
      </c>
      <c r="I149" s="14" t="s">
        <v>11</v>
      </c>
      <c r="J149" s="14" t="s">
        <v>12</v>
      </c>
    </row>
    <row x14ac:dyDescent="0.25" r="150" customHeight="1" ht="17.25">
      <c r="A150" s="17" t="s">
        <v>5841</v>
      </c>
      <c r="B150" s="17" t="s">
        <v>260</v>
      </c>
      <c r="C150" s="17" t="s">
        <v>133</v>
      </c>
      <c r="D150" s="17" t="s">
        <v>16</v>
      </c>
      <c r="E150" s="18">
        <f>ROUND(15947*1.05,2)</f>
      </c>
      <c r="F150" s="17" t="s">
        <v>17</v>
      </c>
      <c r="G150" s="17" t="s">
        <v>18</v>
      </c>
      <c r="H150" s="26">
        <f>ROUND(RAND()*4+6,1)</f>
      </c>
      <c r="I150" s="17" t="s">
        <v>19</v>
      </c>
      <c r="J150" s="19">
        <f>ROUND(84*1,0)&amp;"%"</f>
      </c>
    </row>
    <row x14ac:dyDescent="0.25" r="151" customHeight="1" ht="17.25">
      <c r="A151" s="20" t="s">
        <v>5842</v>
      </c>
      <c r="B151" s="20" t="s">
        <v>262</v>
      </c>
      <c r="C151" s="20" t="s">
        <v>133</v>
      </c>
      <c r="D151" s="20" t="s">
        <v>22</v>
      </c>
      <c r="E151" s="21">
        <f>ROUND(9154*1.05,2)</f>
      </c>
      <c r="F151" s="20" t="s">
        <v>23</v>
      </c>
      <c r="G151" s="20" t="s">
        <v>24</v>
      </c>
      <c r="H151" s="21">
        <f>ROUND(RAND()*4+6,1)</f>
      </c>
      <c r="I151" s="20" t="s">
        <v>25</v>
      </c>
      <c r="J151" s="23">
        <f>ROUND(72*1,0)&amp;"%"</f>
      </c>
    </row>
    <row x14ac:dyDescent="0.25" r="152" customHeight="1" ht="17.25">
      <c r="A152" s="17" t="s">
        <v>5843</v>
      </c>
      <c r="B152" s="17" t="s">
        <v>264</v>
      </c>
      <c r="C152" s="17" t="s">
        <v>133</v>
      </c>
      <c r="D152" s="17" t="s">
        <v>28</v>
      </c>
      <c r="E152" s="18">
        <f>ROUND(5565*1.05,2)</f>
      </c>
      <c r="F152" s="17" t="s">
        <v>29</v>
      </c>
      <c r="G152" s="17" t="s">
        <v>30</v>
      </c>
      <c r="H152" s="18">
        <f>ROUND(RAND()*4+6,1)</f>
      </c>
      <c r="I152" s="17" t="s">
        <v>31</v>
      </c>
      <c r="J152" s="19">
        <f>ROUND(79*1,0)&amp;"%"</f>
      </c>
    </row>
    <row x14ac:dyDescent="0.25" r="153" customHeight="1" ht="17.25">
      <c r="A153" s="20" t="s">
        <v>5844</v>
      </c>
      <c r="B153" s="20" t="s">
        <v>266</v>
      </c>
      <c r="C153" s="20" t="s">
        <v>133</v>
      </c>
      <c r="D153" s="20" t="s">
        <v>34</v>
      </c>
      <c r="E153" s="21">
        <f>ROUND(7524*1.05,2)</f>
      </c>
      <c r="F153" s="20" t="s">
        <v>35</v>
      </c>
      <c r="G153" s="20" t="s">
        <v>18</v>
      </c>
      <c r="H153" s="21">
        <f>ROUND(RAND()*4+6,1)</f>
      </c>
      <c r="I153" s="20" t="s">
        <v>36</v>
      </c>
      <c r="J153" s="23">
        <f>ROUND(67*1,0)&amp;"%"</f>
      </c>
    </row>
    <row x14ac:dyDescent="0.25" r="154" customHeight="1" ht="17.25">
      <c r="A154" s="17" t="s">
        <v>5845</v>
      </c>
      <c r="B154" s="17" t="s">
        <v>268</v>
      </c>
      <c r="C154" s="17" t="s">
        <v>133</v>
      </c>
      <c r="D154" s="17" t="s">
        <v>39</v>
      </c>
      <c r="E154" s="18">
        <f>ROUND(9237*1.05,2)</f>
      </c>
      <c r="F154" s="17" t="s">
        <v>40</v>
      </c>
      <c r="G154" s="17" t="s">
        <v>24</v>
      </c>
      <c r="H154" s="18">
        <f>ROUND(RAND()*4+6,1)</f>
      </c>
      <c r="I154" s="17" t="s">
        <v>41</v>
      </c>
      <c r="J154" s="19">
        <f>ROUND(63*1,0)&amp;"%"</f>
      </c>
    </row>
    <row x14ac:dyDescent="0.25" r="155" customHeight="1" ht="17.25">
      <c r="A155" s="20" t="s">
        <v>5846</v>
      </c>
      <c r="B155" s="20" t="s">
        <v>270</v>
      </c>
      <c r="C155" s="20" t="s">
        <v>133</v>
      </c>
      <c r="D155" s="20" t="s">
        <v>67</v>
      </c>
      <c r="E155" s="21">
        <f>ROUND(6038*1.05,2)</f>
      </c>
      <c r="F155" s="20" t="s">
        <v>44</v>
      </c>
      <c r="G155" s="20" t="s">
        <v>30</v>
      </c>
      <c r="H155" s="21">
        <f>ROUND(RAND()*4+6,1)</f>
      </c>
      <c r="I155" s="20" t="s">
        <v>45</v>
      </c>
      <c r="J155" s="23">
        <f>ROUND(86*1,0)&amp;"%"</f>
      </c>
    </row>
    <row x14ac:dyDescent="0.25" r="156" customHeight="1" ht="17.25">
      <c r="A156" s="17" t="s">
        <v>5847</v>
      </c>
      <c r="B156" s="17" t="s">
        <v>272</v>
      </c>
      <c r="C156" s="17" t="s">
        <v>133</v>
      </c>
      <c r="D156" s="17" t="s">
        <v>16</v>
      </c>
      <c r="E156" s="18">
        <f>ROUND(14938*1.05,2)</f>
      </c>
      <c r="F156" s="17" t="s">
        <v>48</v>
      </c>
      <c r="G156" s="17" t="s">
        <v>18</v>
      </c>
      <c r="H156" s="18">
        <f>ROUND(RAND()*4+6,1)</f>
      </c>
      <c r="I156" s="17" t="s">
        <v>19</v>
      </c>
      <c r="J156" s="19">
        <f>ROUND(66*1,0)&amp;"%"</f>
      </c>
    </row>
    <row x14ac:dyDescent="0.25" r="157" customHeight="1" ht="17.25">
      <c r="A157" s="20" t="s">
        <v>5848</v>
      </c>
      <c r="B157" s="20" t="s">
        <v>274</v>
      </c>
      <c r="C157" s="20" t="s">
        <v>133</v>
      </c>
      <c r="D157" s="20" t="s">
        <v>22</v>
      </c>
      <c r="E157" s="21">
        <f>ROUND(8093*1.05,2)</f>
      </c>
      <c r="F157" s="20" t="s">
        <v>51</v>
      </c>
      <c r="G157" s="20" t="s">
        <v>24</v>
      </c>
      <c r="H157" s="21">
        <f>ROUND(RAND()*4+6,1)</f>
      </c>
      <c r="I157" s="20" t="s">
        <v>25</v>
      </c>
      <c r="J157" s="23">
        <f>ROUND(87*1,0)&amp;"%"</f>
      </c>
    </row>
    <row x14ac:dyDescent="0.25" r="158" customHeight="1" ht="17.25">
      <c r="A158" s="24" t="s">
        <v>275</v>
      </c>
      <c r="B158" s="24"/>
      <c r="C158" s="24"/>
      <c r="D158" s="24"/>
      <c r="E158" s="25">
        <v>8</v>
      </c>
      <c r="F158" s="9"/>
      <c r="G158" s="9"/>
      <c r="H158" s="10"/>
      <c r="I158" s="9"/>
      <c r="J158" s="9"/>
    </row>
    <row x14ac:dyDescent="0.25" r="159" customHeight="1" ht="17.25">
      <c r="A159" s="7"/>
      <c r="B159" s="7"/>
      <c r="C159" s="7"/>
      <c r="D159" s="7"/>
      <c r="E159" s="8"/>
      <c r="F159" s="9"/>
      <c r="G159" s="9"/>
      <c r="H159" s="10"/>
      <c r="I159" s="9"/>
      <c r="J159" s="9"/>
    </row>
    <row x14ac:dyDescent="0.25" r="160" customHeight="1" ht="17.25">
      <c r="A160" s="11" t="s">
        <v>5849</v>
      </c>
      <c r="B160" s="11"/>
      <c r="C160" s="11"/>
      <c r="D160" s="11"/>
      <c r="E160" s="12"/>
      <c r="F160" s="11"/>
      <c r="G160" s="11"/>
      <c r="H160" s="13"/>
      <c r="I160" s="11"/>
      <c r="J160" s="11"/>
    </row>
    <row x14ac:dyDescent="0.25" r="161" customHeight="1" ht="17.25">
      <c r="A161" s="14" t="s">
        <v>3</v>
      </c>
      <c r="B161" s="14" t="s">
        <v>4</v>
      </c>
      <c r="C161" s="14" t="s">
        <v>5</v>
      </c>
      <c r="D161" s="14" t="s">
        <v>6</v>
      </c>
      <c r="E161" s="15" t="s">
        <v>7</v>
      </c>
      <c r="F161" s="14" t="s">
        <v>8</v>
      </c>
      <c r="G161" s="14" t="s">
        <v>9</v>
      </c>
      <c r="H161" s="16" t="s">
        <v>10</v>
      </c>
      <c r="I161" s="14" t="s">
        <v>11</v>
      </c>
      <c r="J161" s="14" t="s">
        <v>12</v>
      </c>
    </row>
    <row x14ac:dyDescent="0.25" r="162" customHeight="1" ht="17.25">
      <c r="A162" s="17" t="s">
        <v>5850</v>
      </c>
      <c r="B162" s="17" t="s">
        <v>278</v>
      </c>
      <c r="C162" s="17" t="s">
        <v>152</v>
      </c>
      <c r="D162" s="17" t="s">
        <v>16</v>
      </c>
      <c r="E162" s="18">
        <f>ROUND(5986*1.05,2)</f>
      </c>
      <c r="F162" s="17" t="s">
        <v>17</v>
      </c>
      <c r="G162" s="17" t="s">
        <v>18</v>
      </c>
      <c r="H162" s="18">
        <f>ROUND(RAND()*4+6,1)</f>
      </c>
      <c r="I162" s="17" t="s">
        <v>19</v>
      </c>
      <c r="J162" s="19">
        <f>ROUND(64*1,0)&amp;"%"</f>
      </c>
    </row>
    <row x14ac:dyDescent="0.25" r="163" customHeight="1" ht="17.25">
      <c r="A163" s="20" t="s">
        <v>5851</v>
      </c>
      <c r="B163" s="20" t="s">
        <v>280</v>
      </c>
      <c r="C163" s="20" t="s">
        <v>152</v>
      </c>
      <c r="D163" s="20" t="s">
        <v>22</v>
      </c>
      <c r="E163" s="21">
        <f>ROUND(8290*1.05,2)</f>
      </c>
      <c r="F163" s="20" t="s">
        <v>23</v>
      </c>
      <c r="G163" s="20" t="s">
        <v>24</v>
      </c>
      <c r="H163" s="22">
        <f>ROUND(RAND()*4+6,1)</f>
      </c>
      <c r="I163" s="20" t="s">
        <v>25</v>
      </c>
      <c r="J163" s="23">
        <f>ROUND(91*1,0)&amp;"%"</f>
      </c>
    </row>
    <row x14ac:dyDescent="0.25" r="164" customHeight="1" ht="17.25">
      <c r="A164" s="17" t="s">
        <v>5852</v>
      </c>
      <c r="B164" s="17" t="s">
        <v>282</v>
      </c>
      <c r="C164" s="17" t="s">
        <v>152</v>
      </c>
      <c r="D164" s="17" t="s">
        <v>28</v>
      </c>
      <c r="E164" s="26">
        <f>ROUND(7800*1.05,2)</f>
      </c>
      <c r="F164" s="17" t="s">
        <v>29</v>
      </c>
      <c r="G164" s="17" t="s">
        <v>30</v>
      </c>
      <c r="H164" s="18">
        <f>ROUND(RAND()*4+6,1)</f>
      </c>
      <c r="I164" s="17" t="s">
        <v>31</v>
      </c>
      <c r="J164" s="19">
        <f>ROUND(87*1,0)&amp;"%"</f>
      </c>
    </row>
    <row x14ac:dyDescent="0.25" r="165" customHeight="1" ht="17.25">
      <c r="A165" s="20" t="s">
        <v>5853</v>
      </c>
      <c r="B165" s="20" t="s">
        <v>284</v>
      </c>
      <c r="C165" s="20" t="s">
        <v>152</v>
      </c>
      <c r="D165" s="20" t="s">
        <v>34</v>
      </c>
      <c r="E165" s="21">
        <f>ROUND(4238*1.05,2)</f>
      </c>
      <c r="F165" s="20" t="s">
        <v>35</v>
      </c>
      <c r="G165" s="20" t="s">
        <v>18</v>
      </c>
      <c r="H165" s="21">
        <f>ROUND(RAND()*4+6,1)</f>
      </c>
      <c r="I165" s="20" t="s">
        <v>36</v>
      </c>
      <c r="J165" s="23">
        <f>ROUND(61*1,0)&amp;"%"</f>
      </c>
    </row>
    <row x14ac:dyDescent="0.25" r="166" customHeight="1" ht="17.25">
      <c r="A166" s="17" t="s">
        <v>5854</v>
      </c>
      <c r="B166" s="17" t="s">
        <v>286</v>
      </c>
      <c r="C166" s="17" t="s">
        <v>152</v>
      </c>
      <c r="D166" s="17" t="s">
        <v>39</v>
      </c>
      <c r="E166" s="18">
        <f>ROUND(13613*1.05,2)</f>
      </c>
      <c r="F166" s="17" t="s">
        <v>40</v>
      </c>
      <c r="G166" s="17" t="s">
        <v>24</v>
      </c>
      <c r="H166" s="18">
        <f>ROUND(RAND()*4+6,1)</f>
      </c>
      <c r="I166" s="17" t="s">
        <v>41</v>
      </c>
      <c r="J166" s="19">
        <f>ROUND(88*1,0)&amp;"%"</f>
      </c>
    </row>
    <row x14ac:dyDescent="0.25" r="167" customHeight="1" ht="17.25">
      <c r="A167" s="20" t="s">
        <v>5855</v>
      </c>
      <c r="B167" s="20" t="s">
        <v>288</v>
      </c>
      <c r="C167" s="20" t="s">
        <v>152</v>
      </c>
      <c r="D167" s="20" t="s">
        <v>67</v>
      </c>
      <c r="E167" s="21">
        <f>ROUND(6494*1.05,2)</f>
      </c>
      <c r="F167" s="20" t="s">
        <v>44</v>
      </c>
      <c r="G167" s="20" t="s">
        <v>30</v>
      </c>
      <c r="H167" s="21">
        <f>ROUND(RAND()*4+6,1)</f>
      </c>
      <c r="I167" s="20" t="s">
        <v>45</v>
      </c>
      <c r="J167" s="23">
        <f>ROUND(65*1,0)&amp;"%"</f>
      </c>
    </row>
    <row x14ac:dyDescent="0.25" r="168" customHeight="1" ht="17.25">
      <c r="A168" s="17" t="s">
        <v>5856</v>
      </c>
      <c r="B168" s="17" t="s">
        <v>290</v>
      </c>
      <c r="C168" s="17" t="s">
        <v>152</v>
      </c>
      <c r="D168" s="17" t="s">
        <v>16</v>
      </c>
      <c r="E168" s="18">
        <f>ROUND(7325*1.05,2)</f>
      </c>
      <c r="F168" s="17" t="s">
        <v>48</v>
      </c>
      <c r="G168" s="17" t="s">
        <v>18</v>
      </c>
      <c r="H168" s="18">
        <f>ROUND(RAND()*4+6,1)</f>
      </c>
      <c r="I168" s="17" t="s">
        <v>19</v>
      </c>
      <c r="J168" s="19">
        <f>ROUND(73*1,0)&amp;"%"</f>
      </c>
    </row>
    <row x14ac:dyDescent="0.25" r="169" customHeight="1" ht="17.25">
      <c r="A169" s="20" t="s">
        <v>5857</v>
      </c>
      <c r="B169" s="20" t="s">
        <v>292</v>
      </c>
      <c r="C169" s="20" t="s">
        <v>152</v>
      </c>
      <c r="D169" s="20" t="s">
        <v>22</v>
      </c>
      <c r="E169" s="21">
        <f>ROUND(14351*1.05,2)</f>
      </c>
      <c r="F169" s="20" t="s">
        <v>51</v>
      </c>
      <c r="G169" s="20" t="s">
        <v>24</v>
      </c>
      <c r="H169" s="21">
        <f>ROUND(RAND()*4+6,1)</f>
      </c>
      <c r="I169" s="20" t="s">
        <v>25</v>
      </c>
      <c r="J169" s="23">
        <f>ROUND(95*1,0)&amp;"%"</f>
      </c>
    </row>
    <row x14ac:dyDescent="0.25" r="170" customHeight="1" ht="17.25">
      <c r="A170" s="24" t="s">
        <v>293</v>
      </c>
      <c r="B170" s="24"/>
      <c r="C170" s="24"/>
      <c r="D170" s="24"/>
      <c r="E170" s="25">
        <v>8</v>
      </c>
      <c r="F170" s="9"/>
      <c r="G170" s="9"/>
      <c r="H170" s="10"/>
      <c r="I170" s="9"/>
      <c r="J170" s="9"/>
    </row>
    <row x14ac:dyDescent="0.25" r="171" customHeight="1" ht="17.25">
      <c r="A171" s="7"/>
      <c r="B171" s="7"/>
      <c r="C171" s="7"/>
      <c r="D171" s="7"/>
      <c r="E171" s="8"/>
      <c r="F171" s="9"/>
      <c r="G171" s="9"/>
      <c r="H171" s="10"/>
      <c r="I171" s="9"/>
      <c r="J171" s="9"/>
    </row>
    <row x14ac:dyDescent="0.25" r="172" customHeight="1" ht="17.25">
      <c r="A172" s="11" t="s">
        <v>5858</v>
      </c>
      <c r="B172" s="11"/>
      <c r="C172" s="11"/>
      <c r="D172" s="11"/>
      <c r="E172" s="12"/>
      <c r="F172" s="11"/>
      <c r="G172" s="11"/>
      <c r="H172" s="13"/>
      <c r="I172" s="11"/>
      <c r="J172" s="11"/>
    </row>
    <row x14ac:dyDescent="0.25" r="173" customHeight="1" ht="17.25">
      <c r="A173" s="14" t="s">
        <v>3</v>
      </c>
      <c r="B173" s="14" t="s">
        <v>4</v>
      </c>
      <c r="C173" s="14" t="s">
        <v>5</v>
      </c>
      <c r="D173" s="14" t="s">
        <v>6</v>
      </c>
      <c r="E173" s="15" t="s">
        <v>7</v>
      </c>
      <c r="F173" s="14" t="s">
        <v>8</v>
      </c>
      <c r="G173" s="14" t="s">
        <v>9</v>
      </c>
      <c r="H173" s="16" t="s">
        <v>10</v>
      </c>
      <c r="I173" s="14" t="s">
        <v>11</v>
      </c>
      <c r="J173" s="14" t="s">
        <v>12</v>
      </c>
    </row>
    <row x14ac:dyDescent="0.25" r="174" customHeight="1" ht="17.25">
      <c r="A174" s="17" t="s">
        <v>5859</v>
      </c>
      <c r="B174" s="17" t="s">
        <v>296</v>
      </c>
      <c r="C174" s="17" t="s">
        <v>15</v>
      </c>
      <c r="D174" s="17" t="s">
        <v>16</v>
      </c>
      <c r="E174" s="18">
        <f>ROUND(6977*1.05,2)</f>
      </c>
      <c r="F174" s="17" t="s">
        <v>17</v>
      </c>
      <c r="G174" s="17" t="s">
        <v>18</v>
      </c>
      <c r="H174" s="18">
        <f>ROUND(RAND()*4+6,1)</f>
      </c>
      <c r="I174" s="17" t="s">
        <v>19</v>
      </c>
      <c r="J174" s="19">
        <f>ROUND(90*1,0)&amp;"%"</f>
      </c>
    </row>
    <row x14ac:dyDescent="0.25" r="175" customHeight="1" ht="17.25">
      <c r="A175" s="20" t="s">
        <v>5860</v>
      </c>
      <c r="B175" s="20" t="s">
        <v>298</v>
      </c>
      <c r="C175" s="20" t="s">
        <v>15</v>
      </c>
      <c r="D175" s="20" t="s">
        <v>22</v>
      </c>
      <c r="E175" s="21">
        <f>ROUND(11652*1.05,2)</f>
      </c>
      <c r="F175" s="20" t="s">
        <v>23</v>
      </c>
      <c r="G175" s="20" t="s">
        <v>24</v>
      </c>
      <c r="H175" s="21">
        <f>ROUND(RAND()*4+6,1)</f>
      </c>
      <c r="I175" s="20" t="s">
        <v>25</v>
      </c>
      <c r="J175" s="23">
        <f>ROUND(78*1,0)&amp;"%"</f>
      </c>
    </row>
    <row x14ac:dyDescent="0.25" r="176" customHeight="1" ht="17.25">
      <c r="A176" s="17" t="s">
        <v>5861</v>
      </c>
      <c r="B176" s="17" t="s">
        <v>300</v>
      </c>
      <c r="C176" s="17" t="s">
        <v>15</v>
      </c>
      <c r="D176" s="17" t="s">
        <v>28</v>
      </c>
      <c r="E176" s="18">
        <f>ROUND(6857*1.05,2)</f>
      </c>
      <c r="F176" s="17" t="s">
        <v>29</v>
      </c>
      <c r="G176" s="17" t="s">
        <v>30</v>
      </c>
      <c r="H176" s="26">
        <f>ROUND(RAND()*4+6,1)</f>
      </c>
      <c r="I176" s="17" t="s">
        <v>31</v>
      </c>
      <c r="J176" s="19">
        <f>ROUND(97*1,0)&amp;"%"</f>
      </c>
    </row>
    <row x14ac:dyDescent="0.25" r="177" customHeight="1" ht="17.25">
      <c r="A177" s="20" t="s">
        <v>5862</v>
      </c>
      <c r="B177" s="20" t="s">
        <v>302</v>
      </c>
      <c r="C177" s="20" t="s">
        <v>15</v>
      </c>
      <c r="D177" s="20" t="s">
        <v>34</v>
      </c>
      <c r="E177" s="21">
        <f>ROUND(6286*1.05,2)</f>
      </c>
      <c r="F177" s="20" t="s">
        <v>35</v>
      </c>
      <c r="G177" s="20" t="s">
        <v>18</v>
      </c>
      <c r="H177" s="21">
        <f>ROUND(RAND()*4+6,1)</f>
      </c>
      <c r="I177" s="20" t="s">
        <v>36</v>
      </c>
      <c r="J177" s="23">
        <f>ROUND(96*1,0)&amp;"%"</f>
      </c>
    </row>
    <row x14ac:dyDescent="0.25" r="178" customHeight="1" ht="17.25">
      <c r="A178" s="17" t="s">
        <v>5863</v>
      </c>
      <c r="B178" s="17" t="s">
        <v>304</v>
      </c>
      <c r="C178" s="17" t="s">
        <v>15</v>
      </c>
      <c r="D178" s="17" t="s">
        <v>39</v>
      </c>
      <c r="E178" s="18">
        <f>ROUND(10312*1.05,2)</f>
      </c>
      <c r="F178" s="17" t="s">
        <v>40</v>
      </c>
      <c r="G178" s="17" t="s">
        <v>24</v>
      </c>
      <c r="H178" s="26">
        <f>ROUND(RAND()*4+6,1)</f>
      </c>
      <c r="I178" s="17" t="s">
        <v>41</v>
      </c>
      <c r="J178" s="19">
        <f>ROUND(90*1,0)&amp;"%"</f>
      </c>
    </row>
    <row x14ac:dyDescent="0.25" r="179" customHeight="1" ht="17.25">
      <c r="A179" s="20" t="s">
        <v>5864</v>
      </c>
      <c r="B179" s="20" t="s">
        <v>306</v>
      </c>
      <c r="C179" s="20" t="s">
        <v>15</v>
      </c>
      <c r="D179" s="20" t="s">
        <v>67</v>
      </c>
      <c r="E179" s="21">
        <f>ROUND(5259*1.05,2)</f>
      </c>
      <c r="F179" s="20" t="s">
        <v>44</v>
      </c>
      <c r="G179" s="20" t="s">
        <v>30</v>
      </c>
      <c r="H179" s="21">
        <f>ROUND(RAND()*4+6,1)</f>
      </c>
      <c r="I179" s="20" t="s">
        <v>45</v>
      </c>
      <c r="J179" s="23">
        <f>ROUND(83*1,0)&amp;"%"</f>
      </c>
    </row>
    <row x14ac:dyDescent="0.25" r="180" customHeight="1" ht="17.25">
      <c r="A180" s="17" t="s">
        <v>5865</v>
      </c>
      <c r="B180" s="17" t="s">
        <v>308</v>
      </c>
      <c r="C180" s="17" t="s">
        <v>15</v>
      </c>
      <c r="D180" s="17" t="s">
        <v>16</v>
      </c>
      <c r="E180" s="18">
        <f>ROUND(8424*1.05,2)</f>
      </c>
      <c r="F180" s="17" t="s">
        <v>48</v>
      </c>
      <c r="G180" s="17" t="s">
        <v>18</v>
      </c>
      <c r="H180" s="18">
        <f>ROUND(RAND()*4+6,1)</f>
      </c>
      <c r="I180" s="17" t="s">
        <v>19</v>
      </c>
      <c r="J180" s="19">
        <f>ROUND(60*1,0)&amp;"%"</f>
      </c>
    </row>
    <row x14ac:dyDescent="0.25" r="181" customHeight="1" ht="17.25">
      <c r="A181" s="20" t="s">
        <v>5866</v>
      </c>
      <c r="B181" s="20" t="s">
        <v>310</v>
      </c>
      <c r="C181" s="20" t="s">
        <v>15</v>
      </c>
      <c r="D181" s="20" t="s">
        <v>22</v>
      </c>
      <c r="E181" s="21">
        <f>ROUND(9001*1.05,2)</f>
      </c>
      <c r="F181" s="20" t="s">
        <v>51</v>
      </c>
      <c r="G181" s="20" t="s">
        <v>24</v>
      </c>
      <c r="H181" s="22">
        <f>ROUND(RAND()*4+6,1)</f>
      </c>
      <c r="I181" s="20" t="s">
        <v>25</v>
      </c>
      <c r="J181" s="23">
        <f>ROUND(78*1,0)&amp;"%"</f>
      </c>
    </row>
    <row x14ac:dyDescent="0.25" r="182" customHeight="1" ht="17.25">
      <c r="A182" s="24" t="s">
        <v>311</v>
      </c>
      <c r="B182" s="24"/>
      <c r="C182" s="24"/>
      <c r="D182" s="24"/>
      <c r="E182" s="25">
        <v>8</v>
      </c>
      <c r="F182" s="9"/>
      <c r="G182" s="9"/>
      <c r="H182" s="10"/>
      <c r="I182" s="9"/>
      <c r="J182" s="9"/>
    </row>
    <row x14ac:dyDescent="0.25" r="183" customHeight="1" ht="17.25">
      <c r="A183" s="7"/>
      <c r="B183" s="7"/>
      <c r="C183" s="7"/>
      <c r="D183" s="7"/>
      <c r="E183" s="8"/>
      <c r="F183" s="9"/>
      <c r="G183" s="9"/>
      <c r="H183" s="10"/>
      <c r="I183" s="9"/>
      <c r="J183" s="9"/>
    </row>
    <row x14ac:dyDescent="0.25" r="184" customHeight="1" ht="17.25">
      <c r="A184" s="11" t="s">
        <v>5867</v>
      </c>
      <c r="B184" s="11"/>
      <c r="C184" s="11"/>
      <c r="D184" s="11"/>
      <c r="E184" s="12"/>
      <c r="F184" s="11"/>
      <c r="G184" s="11"/>
      <c r="H184" s="13"/>
      <c r="I184" s="11"/>
      <c r="J184" s="11"/>
    </row>
    <row x14ac:dyDescent="0.25" r="185" customHeight="1" ht="17.25">
      <c r="A185" s="14" t="s">
        <v>3</v>
      </c>
      <c r="B185" s="14" t="s">
        <v>4</v>
      </c>
      <c r="C185" s="14" t="s">
        <v>5</v>
      </c>
      <c r="D185" s="14" t="s">
        <v>6</v>
      </c>
      <c r="E185" s="15" t="s">
        <v>7</v>
      </c>
      <c r="F185" s="14" t="s">
        <v>8</v>
      </c>
      <c r="G185" s="14" t="s">
        <v>9</v>
      </c>
      <c r="H185" s="16" t="s">
        <v>10</v>
      </c>
      <c r="I185" s="14" t="s">
        <v>11</v>
      </c>
      <c r="J185" s="14" t="s">
        <v>12</v>
      </c>
    </row>
    <row x14ac:dyDescent="0.25" r="186" customHeight="1" ht="17.25">
      <c r="A186" s="17" t="s">
        <v>5868</v>
      </c>
      <c r="B186" s="17" t="s">
        <v>314</v>
      </c>
      <c r="C186" s="17" t="s">
        <v>56</v>
      </c>
      <c r="D186" s="17" t="s">
        <v>16</v>
      </c>
      <c r="E186" s="18">
        <f>ROUND(5971*1.05,2)</f>
      </c>
      <c r="F186" s="17" t="s">
        <v>17</v>
      </c>
      <c r="G186" s="17" t="s">
        <v>18</v>
      </c>
      <c r="H186" s="18">
        <f>ROUND(RAND()*4+6,1)</f>
      </c>
      <c r="I186" s="17" t="s">
        <v>19</v>
      </c>
      <c r="J186" s="19">
        <f>ROUND(91*1,0)&amp;"%"</f>
      </c>
    </row>
    <row x14ac:dyDescent="0.25" r="187" customHeight="1" ht="17.25">
      <c r="A187" s="20" t="s">
        <v>5869</v>
      </c>
      <c r="B187" s="20" t="s">
        <v>316</v>
      </c>
      <c r="C187" s="20" t="s">
        <v>56</v>
      </c>
      <c r="D187" s="20" t="s">
        <v>22</v>
      </c>
      <c r="E187" s="21">
        <f>ROUND(8248*1.05,2)</f>
      </c>
      <c r="F187" s="20" t="s">
        <v>23</v>
      </c>
      <c r="G187" s="20" t="s">
        <v>24</v>
      </c>
      <c r="H187" s="21">
        <f>ROUND(RAND()*4+6,1)</f>
      </c>
      <c r="I187" s="20" t="s">
        <v>25</v>
      </c>
      <c r="J187" s="23">
        <f>ROUND(70*1,0)&amp;"%"</f>
      </c>
    </row>
    <row x14ac:dyDescent="0.25" r="188" customHeight="1" ht="17.25">
      <c r="A188" s="17" t="s">
        <v>5870</v>
      </c>
      <c r="B188" s="17" t="s">
        <v>318</v>
      </c>
      <c r="C188" s="17" t="s">
        <v>56</v>
      </c>
      <c r="D188" s="17" t="s">
        <v>28</v>
      </c>
      <c r="E188" s="26">
        <f>ROUND(16920*1.05,2)</f>
      </c>
      <c r="F188" s="17" t="s">
        <v>29</v>
      </c>
      <c r="G188" s="17" t="s">
        <v>30</v>
      </c>
      <c r="H188" s="18">
        <f>ROUND(RAND()*4+6,1)</f>
      </c>
      <c r="I188" s="17" t="s">
        <v>31</v>
      </c>
      <c r="J188" s="19">
        <f>ROUND(92*1,0)&amp;"%"</f>
      </c>
    </row>
    <row x14ac:dyDescent="0.25" r="189" customHeight="1" ht="17.25">
      <c r="A189" s="20" t="s">
        <v>5871</v>
      </c>
      <c r="B189" s="20" t="s">
        <v>320</v>
      </c>
      <c r="C189" s="20" t="s">
        <v>56</v>
      </c>
      <c r="D189" s="20" t="s">
        <v>34</v>
      </c>
      <c r="E189" s="21">
        <f>ROUND(6614*1.05,2)</f>
      </c>
      <c r="F189" s="20" t="s">
        <v>35</v>
      </c>
      <c r="G189" s="20" t="s">
        <v>18</v>
      </c>
      <c r="H189" s="21">
        <f>ROUND(RAND()*4+6,1)</f>
      </c>
      <c r="I189" s="20" t="s">
        <v>36</v>
      </c>
      <c r="J189" s="23">
        <f>ROUND(74*1,0)&amp;"%"</f>
      </c>
    </row>
    <row x14ac:dyDescent="0.25" r="190" customHeight="1" ht="17.25">
      <c r="A190" s="17" t="s">
        <v>5872</v>
      </c>
      <c r="B190" s="17" t="s">
        <v>322</v>
      </c>
      <c r="C190" s="17" t="s">
        <v>56</v>
      </c>
      <c r="D190" s="17" t="s">
        <v>39</v>
      </c>
      <c r="E190" s="18">
        <f>ROUND(17951*1.05,2)</f>
      </c>
      <c r="F190" s="17" t="s">
        <v>40</v>
      </c>
      <c r="G190" s="17" t="s">
        <v>24</v>
      </c>
      <c r="H190" s="18">
        <f>ROUND(RAND()*4+6,1)</f>
      </c>
      <c r="I190" s="17" t="s">
        <v>41</v>
      </c>
      <c r="J190" s="19">
        <f>ROUND(76*1,0)&amp;"%"</f>
      </c>
    </row>
    <row x14ac:dyDescent="0.25" r="191" customHeight="1" ht="17.25">
      <c r="A191" s="20" t="s">
        <v>5873</v>
      </c>
      <c r="B191" s="20" t="s">
        <v>324</v>
      </c>
      <c r="C191" s="20" t="s">
        <v>56</v>
      </c>
      <c r="D191" s="20" t="s">
        <v>67</v>
      </c>
      <c r="E191" s="22">
        <f>ROUND(11360*1.05,2)</f>
      </c>
      <c r="F191" s="20" t="s">
        <v>44</v>
      </c>
      <c r="G191" s="20" t="s">
        <v>30</v>
      </c>
      <c r="H191" s="21">
        <f>ROUND(RAND()*4+6,1)</f>
      </c>
      <c r="I191" s="20" t="s">
        <v>45</v>
      </c>
      <c r="J191" s="23">
        <f>ROUND(60*1,0)&amp;"%"</f>
      </c>
    </row>
    <row x14ac:dyDescent="0.25" r="192" customHeight="1" ht="17.25">
      <c r="A192" s="17" t="s">
        <v>5874</v>
      </c>
      <c r="B192" s="17" t="s">
        <v>326</v>
      </c>
      <c r="C192" s="17" t="s">
        <v>56</v>
      </c>
      <c r="D192" s="17" t="s">
        <v>16</v>
      </c>
      <c r="E192" s="18">
        <f>ROUND(4819*1.05,2)</f>
      </c>
      <c r="F192" s="17" t="s">
        <v>48</v>
      </c>
      <c r="G192" s="17" t="s">
        <v>18</v>
      </c>
      <c r="H192" s="18">
        <f>ROUND(RAND()*4+6,1)</f>
      </c>
      <c r="I192" s="17" t="s">
        <v>19</v>
      </c>
      <c r="J192" s="19">
        <f>ROUND(64*1,0)&amp;"%"</f>
      </c>
    </row>
    <row x14ac:dyDescent="0.25" r="193" customHeight="1" ht="17.25">
      <c r="A193" s="20" t="s">
        <v>5875</v>
      </c>
      <c r="B193" s="20" t="s">
        <v>328</v>
      </c>
      <c r="C193" s="20" t="s">
        <v>56</v>
      </c>
      <c r="D193" s="20" t="s">
        <v>22</v>
      </c>
      <c r="E193" s="21">
        <f>ROUND(11589*1.05,2)</f>
      </c>
      <c r="F193" s="20" t="s">
        <v>51</v>
      </c>
      <c r="G193" s="20" t="s">
        <v>24</v>
      </c>
      <c r="H193" s="21">
        <f>ROUND(RAND()*4+6,1)</f>
      </c>
      <c r="I193" s="20" t="s">
        <v>25</v>
      </c>
      <c r="J193" s="23">
        <f>ROUND(81*1,0)&amp;"%"</f>
      </c>
    </row>
    <row x14ac:dyDescent="0.25" r="194" customHeight="1" ht="17.25">
      <c r="A194" s="24" t="s">
        <v>329</v>
      </c>
      <c r="B194" s="24"/>
      <c r="C194" s="24"/>
      <c r="D194" s="24"/>
      <c r="E194" s="25">
        <v>8</v>
      </c>
      <c r="F194" s="9"/>
      <c r="G194" s="9"/>
      <c r="H194" s="10"/>
      <c r="I194" s="9"/>
      <c r="J194" s="9"/>
    </row>
    <row x14ac:dyDescent="0.25" r="195" customHeight="1" ht="17.25">
      <c r="A195" s="7"/>
      <c r="B195" s="7"/>
      <c r="C195" s="7"/>
      <c r="D195" s="7"/>
      <c r="E195" s="8"/>
      <c r="F195" s="9"/>
      <c r="G195" s="9"/>
      <c r="H195" s="10"/>
      <c r="I195" s="9"/>
      <c r="J195" s="9"/>
    </row>
    <row x14ac:dyDescent="0.25" r="196" customHeight="1" ht="17.25">
      <c r="A196" s="11" t="s">
        <v>5876</v>
      </c>
      <c r="B196" s="11"/>
      <c r="C196" s="11"/>
      <c r="D196" s="11"/>
      <c r="E196" s="12"/>
      <c r="F196" s="11"/>
      <c r="G196" s="11"/>
      <c r="H196" s="13"/>
      <c r="I196" s="11"/>
      <c r="J196" s="11"/>
    </row>
    <row x14ac:dyDescent="0.25" r="197" customHeight="1" ht="17.25">
      <c r="A197" s="14" t="s">
        <v>3</v>
      </c>
      <c r="B197" s="14" t="s">
        <v>4</v>
      </c>
      <c r="C197" s="14" t="s">
        <v>5</v>
      </c>
      <c r="D197" s="14" t="s">
        <v>6</v>
      </c>
      <c r="E197" s="15" t="s">
        <v>7</v>
      </c>
      <c r="F197" s="14" t="s">
        <v>8</v>
      </c>
      <c r="G197" s="14" t="s">
        <v>9</v>
      </c>
      <c r="H197" s="16" t="s">
        <v>10</v>
      </c>
      <c r="I197" s="14" t="s">
        <v>11</v>
      </c>
      <c r="J197" s="14" t="s">
        <v>12</v>
      </c>
    </row>
    <row x14ac:dyDescent="0.25" r="198" customHeight="1" ht="17.25">
      <c r="A198" s="17" t="s">
        <v>5877</v>
      </c>
      <c r="B198" s="17" t="s">
        <v>332</v>
      </c>
      <c r="C198" s="17" t="s">
        <v>76</v>
      </c>
      <c r="D198" s="17" t="s">
        <v>16</v>
      </c>
      <c r="E198" s="18">
        <f>ROUND(6845*1.05,2)</f>
      </c>
      <c r="F198" s="17" t="s">
        <v>17</v>
      </c>
      <c r="G198" s="17" t="s">
        <v>18</v>
      </c>
      <c r="H198" s="26">
        <f>ROUND(RAND()*4+6,1)</f>
      </c>
      <c r="I198" s="17" t="s">
        <v>19</v>
      </c>
      <c r="J198" s="19">
        <f>ROUND(84*1,0)&amp;"%"</f>
      </c>
    </row>
    <row x14ac:dyDescent="0.25" r="199" customHeight="1" ht="17.25">
      <c r="A199" s="20" t="s">
        <v>5878</v>
      </c>
      <c r="B199" s="20" t="s">
        <v>334</v>
      </c>
      <c r="C199" s="20" t="s">
        <v>76</v>
      </c>
      <c r="D199" s="20" t="s">
        <v>22</v>
      </c>
      <c r="E199" s="21">
        <f>ROUND(6397*1.05,2)</f>
      </c>
      <c r="F199" s="20" t="s">
        <v>23</v>
      </c>
      <c r="G199" s="20" t="s">
        <v>24</v>
      </c>
      <c r="H199" s="21">
        <f>ROUND(RAND()*4+6,1)</f>
      </c>
      <c r="I199" s="20" t="s">
        <v>25</v>
      </c>
      <c r="J199" s="23">
        <f>ROUND(87*1,0)&amp;"%"</f>
      </c>
    </row>
    <row x14ac:dyDescent="0.25" r="200" customHeight="1" ht="17.25">
      <c r="A200" s="17" t="s">
        <v>5879</v>
      </c>
      <c r="B200" s="17" t="s">
        <v>336</v>
      </c>
      <c r="C200" s="17" t="s">
        <v>76</v>
      </c>
      <c r="D200" s="17" t="s">
        <v>28</v>
      </c>
      <c r="E200" s="18">
        <f>ROUND(8387*1.05,2)</f>
      </c>
      <c r="F200" s="17" t="s">
        <v>29</v>
      </c>
      <c r="G200" s="17" t="s">
        <v>30</v>
      </c>
      <c r="H200" s="18">
        <f>ROUND(RAND()*4+6,1)</f>
      </c>
      <c r="I200" s="17" t="s">
        <v>31</v>
      </c>
      <c r="J200" s="19">
        <f>ROUND(94*1,0)&amp;"%"</f>
      </c>
    </row>
    <row x14ac:dyDescent="0.25" r="201" customHeight="1" ht="17.25">
      <c r="A201" s="20" t="s">
        <v>5880</v>
      </c>
      <c r="B201" s="20" t="s">
        <v>338</v>
      </c>
      <c r="C201" s="20" t="s">
        <v>76</v>
      </c>
      <c r="D201" s="20" t="s">
        <v>34</v>
      </c>
      <c r="E201" s="21">
        <f>ROUND(6408*1.05,2)</f>
      </c>
      <c r="F201" s="20" t="s">
        <v>35</v>
      </c>
      <c r="G201" s="20" t="s">
        <v>18</v>
      </c>
      <c r="H201" s="21">
        <f>ROUND(RAND()*4+6,1)</f>
      </c>
      <c r="I201" s="20" t="s">
        <v>36</v>
      </c>
      <c r="J201" s="23">
        <f>ROUND(63*1,0)&amp;"%"</f>
      </c>
    </row>
    <row x14ac:dyDescent="0.25" r="202" customHeight="1" ht="17.25">
      <c r="A202" s="17" t="s">
        <v>5881</v>
      </c>
      <c r="B202" s="17" t="s">
        <v>340</v>
      </c>
      <c r="C202" s="17" t="s">
        <v>76</v>
      </c>
      <c r="D202" s="17" t="s">
        <v>39</v>
      </c>
      <c r="E202" s="18">
        <f>ROUND(12565*1.05,2)</f>
      </c>
      <c r="F202" s="17" t="s">
        <v>40</v>
      </c>
      <c r="G202" s="17" t="s">
        <v>24</v>
      </c>
      <c r="H202" s="26">
        <f>ROUND(RAND()*4+6,1)</f>
      </c>
      <c r="I202" s="17" t="s">
        <v>41</v>
      </c>
      <c r="J202" s="19">
        <f>ROUND(92*1,0)&amp;"%"</f>
      </c>
    </row>
    <row x14ac:dyDescent="0.25" r="203" customHeight="1" ht="17.25">
      <c r="A203" s="20" t="s">
        <v>5882</v>
      </c>
      <c r="B203" s="20" t="s">
        <v>342</v>
      </c>
      <c r="C203" s="20" t="s">
        <v>76</v>
      </c>
      <c r="D203" s="20" t="s">
        <v>67</v>
      </c>
      <c r="E203" s="21">
        <f>ROUND(14857*1.05,2)</f>
      </c>
      <c r="F203" s="20" t="s">
        <v>44</v>
      </c>
      <c r="G203" s="20" t="s">
        <v>30</v>
      </c>
      <c r="H203" s="21">
        <f>ROUND(RAND()*4+6,1)</f>
      </c>
      <c r="I203" s="20" t="s">
        <v>45</v>
      </c>
      <c r="J203" s="23">
        <f>ROUND(68*1,0)&amp;"%"</f>
      </c>
    </row>
    <row x14ac:dyDescent="0.25" r="204" customHeight="1" ht="17.25">
      <c r="A204" s="17" t="s">
        <v>5883</v>
      </c>
      <c r="B204" s="17" t="s">
        <v>344</v>
      </c>
      <c r="C204" s="17" t="s">
        <v>76</v>
      </c>
      <c r="D204" s="17" t="s">
        <v>16</v>
      </c>
      <c r="E204" s="18">
        <f>ROUND(12244*1.05,2)</f>
      </c>
      <c r="F204" s="17" t="s">
        <v>48</v>
      </c>
      <c r="G204" s="17" t="s">
        <v>18</v>
      </c>
      <c r="H204" s="18">
        <f>ROUND(RAND()*4+6,1)</f>
      </c>
      <c r="I204" s="17" t="s">
        <v>19</v>
      </c>
      <c r="J204" s="19">
        <f>ROUND(86*1,0)&amp;"%"</f>
      </c>
    </row>
    <row x14ac:dyDescent="0.25" r="205" customHeight="1" ht="17.25">
      <c r="A205" s="20" t="s">
        <v>5884</v>
      </c>
      <c r="B205" s="20" t="s">
        <v>346</v>
      </c>
      <c r="C205" s="20" t="s">
        <v>76</v>
      </c>
      <c r="D205" s="20" t="s">
        <v>22</v>
      </c>
      <c r="E205" s="21">
        <f>ROUND(12394*1.05,2)</f>
      </c>
      <c r="F205" s="20" t="s">
        <v>51</v>
      </c>
      <c r="G205" s="20" t="s">
        <v>24</v>
      </c>
      <c r="H205" s="22">
        <f>ROUND(RAND()*4+6,1)</f>
      </c>
      <c r="I205" s="20" t="s">
        <v>25</v>
      </c>
      <c r="J205" s="23">
        <f>ROUND(86*1,0)&amp;"%"</f>
      </c>
    </row>
    <row x14ac:dyDescent="0.25" r="206" customHeight="1" ht="17.25">
      <c r="A206" s="24" t="s">
        <v>347</v>
      </c>
      <c r="B206" s="24"/>
      <c r="C206" s="24"/>
      <c r="D206" s="24"/>
      <c r="E206" s="25">
        <v>8</v>
      </c>
      <c r="F206" s="9"/>
      <c r="G206" s="9"/>
      <c r="H206" s="10"/>
      <c r="I206" s="9"/>
      <c r="J206" s="9"/>
    </row>
    <row x14ac:dyDescent="0.25" r="207" customHeight="1" ht="17.25">
      <c r="A207" s="7"/>
      <c r="B207" s="7"/>
      <c r="C207" s="7"/>
      <c r="D207" s="7"/>
      <c r="E207" s="8"/>
      <c r="F207" s="9"/>
      <c r="G207" s="9"/>
      <c r="H207" s="10"/>
      <c r="I207" s="9"/>
      <c r="J207" s="9"/>
    </row>
    <row x14ac:dyDescent="0.25" r="208" customHeight="1" ht="17.25">
      <c r="A208" s="11" t="s">
        <v>5885</v>
      </c>
      <c r="B208" s="11"/>
      <c r="C208" s="11"/>
      <c r="D208" s="11"/>
      <c r="E208" s="12"/>
      <c r="F208" s="11"/>
      <c r="G208" s="11"/>
      <c r="H208" s="13"/>
      <c r="I208" s="11"/>
      <c r="J208" s="11"/>
    </row>
    <row x14ac:dyDescent="0.25" r="209" customHeight="1" ht="17.25">
      <c r="A209" s="14" t="s">
        <v>3</v>
      </c>
      <c r="B209" s="14" t="s">
        <v>4</v>
      </c>
      <c r="C209" s="14" t="s">
        <v>5</v>
      </c>
      <c r="D209" s="14" t="s">
        <v>6</v>
      </c>
      <c r="E209" s="15" t="s">
        <v>7</v>
      </c>
      <c r="F209" s="14" t="s">
        <v>8</v>
      </c>
      <c r="G209" s="14" t="s">
        <v>9</v>
      </c>
      <c r="H209" s="16" t="s">
        <v>10</v>
      </c>
      <c r="I209" s="14" t="s">
        <v>11</v>
      </c>
      <c r="J209" s="14" t="s">
        <v>12</v>
      </c>
    </row>
    <row x14ac:dyDescent="0.25" r="210" customHeight="1" ht="17.25">
      <c r="A210" s="17" t="s">
        <v>5886</v>
      </c>
      <c r="B210" s="17" t="s">
        <v>350</v>
      </c>
      <c r="C210" s="17" t="s">
        <v>95</v>
      </c>
      <c r="D210" s="17" t="s">
        <v>16</v>
      </c>
      <c r="E210" s="18">
        <f>ROUND(7786*1.05,2)</f>
      </c>
      <c r="F210" s="17" t="s">
        <v>17</v>
      </c>
      <c r="G210" s="17" t="s">
        <v>18</v>
      </c>
      <c r="H210" s="18">
        <f>ROUND(RAND()*4+6,1)</f>
      </c>
      <c r="I210" s="17" t="s">
        <v>19</v>
      </c>
      <c r="J210" s="19">
        <f>ROUND(80*1,0)&amp;"%"</f>
      </c>
    </row>
    <row x14ac:dyDescent="0.25" r="211" customHeight="1" ht="17.25">
      <c r="A211" s="20" t="s">
        <v>5887</v>
      </c>
      <c r="B211" s="20" t="s">
        <v>352</v>
      </c>
      <c r="C211" s="20" t="s">
        <v>95</v>
      </c>
      <c r="D211" s="20" t="s">
        <v>22</v>
      </c>
      <c r="E211" s="21">
        <f>ROUND(9104*1.05,2)</f>
      </c>
      <c r="F211" s="20" t="s">
        <v>23</v>
      </c>
      <c r="G211" s="20" t="s">
        <v>24</v>
      </c>
      <c r="H211" s="21">
        <f>ROUND(RAND()*4+6,1)</f>
      </c>
      <c r="I211" s="20" t="s">
        <v>25</v>
      </c>
      <c r="J211" s="23">
        <f>ROUND(88*1,0)&amp;"%"</f>
      </c>
    </row>
    <row x14ac:dyDescent="0.25" r="212" customHeight="1" ht="17.25">
      <c r="A212" s="17" t="s">
        <v>5888</v>
      </c>
      <c r="B212" s="17" t="s">
        <v>354</v>
      </c>
      <c r="C212" s="17" t="s">
        <v>95</v>
      </c>
      <c r="D212" s="17" t="s">
        <v>28</v>
      </c>
      <c r="E212" s="18">
        <f>ROUND(17648*1.05,2)</f>
      </c>
      <c r="F212" s="17" t="s">
        <v>29</v>
      </c>
      <c r="G212" s="17" t="s">
        <v>30</v>
      </c>
      <c r="H212" s="26">
        <f>ROUND(RAND()*4+6,1)</f>
      </c>
      <c r="I212" s="17" t="s">
        <v>31</v>
      </c>
      <c r="J212" s="19">
        <f>ROUND(88*1,0)&amp;"%"</f>
      </c>
    </row>
    <row x14ac:dyDescent="0.25" r="213" customHeight="1" ht="17.25">
      <c r="A213" s="20" t="s">
        <v>5889</v>
      </c>
      <c r="B213" s="20" t="s">
        <v>356</v>
      </c>
      <c r="C213" s="20" t="s">
        <v>95</v>
      </c>
      <c r="D213" s="20" t="s">
        <v>34</v>
      </c>
      <c r="E213" s="21">
        <f>ROUND(8731*1.05,2)</f>
      </c>
      <c r="F213" s="20" t="s">
        <v>35</v>
      </c>
      <c r="G213" s="20" t="s">
        <v>18</v>
      </c>
      <c r="H213" s="21">
        <f>ROUND(RAND()*4+6,1)</f>
      </c>
      <c r="I213" s="20" t="s">
        <v>36</v>
      </c>
      <c r="J213" s="23">
        <f>ROUND(60*1,0)&amp;"%"</f>
      </c>
    </row>
    <row x14ac:dyDescent="0.25" r="214" customHeight="1" ht="17.25">
      <c r="A214" s="17" t="s">
        <v>5890</v>
      </c>
      <c r="B214" s="17" t="s">
        <v>358</v>
      </c>
      <c r="C214" s="17" t="s">
        <v>95</v>
      </c>
      <c r="D214" s="17" t="s">
        <v>39</v>
      </c>
      <c r="E214" s="18">
        <f>ROUND(15724*1.05,2)</f>
      </c>
      <c r="F214" s="17" t="s">
        <v>40</v>
      </c>
      <c r="G214" s="17" t="s">
        <v>24</v>
      </c>
      <c r="H214" s="18">
        <f>ROUND(RAND()*4+6,1)</f>
      </c>
      <c r="I214" s="17" t="s">
        <v>41</v>
      </c>
      <c r="J214" s="19">
        <f>ROUND(95*1,0)&amp;"%"</f>
      </c>
    </row>
    <row x14ac:dyDescent="0.25" r="215" customHeight="1" ht="17.25">
      <c r="A215" s="20" t="s">
        <v>5891</v>
      </c>
      <c r="B215" s="20" t="s">
        <v>360</v>
      </c>
      <c r="C215" s="20" t="s">
        <v>95</v>
      </c>
      <c r="D215" s="20" t="s">
        <v>67</v>
      </c>
      <c r="E215" s="21">
        <f>ROUND(10617*1.05,2)</f>
      </c>
      <c r="F215" s="20" t="s">
        <v>44</v>
      </c>
      <c r="G215" s="20" t="s">
        <v>30</v>
      </c>
      <c r="H215" s="21">
        <f>ROUND(RAND()*4+6,1)</f>
      </c>
      <c r="I215" s="20" t="s">
        <v>45</v>
      </c>
      <c r="J215" s="23">
        <f>ROUND(69*1,0)&amp;"%"</f>
      </c>
    </row>
    <row x14ac:dyDescent="0.25" r="216" customHeight="1" ht="17.25">
      <c r="A216" s="17" t="s">
        <v>5892</v>
      </c>
      <c r="B216" s="17" t="s">
        <v>362</v>
      </c>
      <c r="C216" s="17" t="s">
        <v>95</v>
      </c>
      <c r="D216" s="17" t="s">
        <v>16</v>
      </c>
      <c r="E216" s="18">
        <f>ROUND(17478*1.05,2)</f>
      </c>
      <c r="F216" s="17" t="s">
        <v>48</v>
      </c>
      <c r="G216" s="17" t="s">
        <v>18</v>
      </c>
      <c r="H216" s="18">
        <f>ROUND(RAND()*4+6,1)</f>
      </c>
      <c r="I216" s="17" t="s">
        <v>19</v>
      </c>
      <c r="J216" s="19">
        <f>ROUND(99*1,0)&amp;"%"</f>
      </c>
    </row>
    <row x14ac:dyDescent="0.25" r="217" customHeight="1" ht="17.25">
      <c r="A217" s="20" t="s">
        <v>5893</v>
      </c>
      <c r="B217" s="20" t="s">
        <v>364</v>
      </c>
      <c r="C217" s="20" t="s">
        <v>95</v>
      </c>
      <c r="D217" s="20" t="s">
        <v>22</v>
      </c>
      <c r="E217" s="21">
        <f>ROUND(6835*1.05,2)</f>
      </c>
      <c r="F217" s="20" t="s">
        <v>51</v>
      </c>
      <c r="G217" s="20" t="s">
        <v>24</v>
      </c>
      <c r="H217" s="21">
        <f>ROUND(RAND()*4+6,1)</f>
      </c>
      <c r="I217" s="20" t="s">
        <v>25</v>
      </c>
      <c r="J217" s="23">
        <f>ROUND(68*1,0)&amp;"%"</f>
      </c>
    </row>
    <row x14ac:dyDescent="0.25" r="218" customHeight="1" ht="17.25">
      <c r="A218" s="24" t="s">
        <v>365</v>
      </c>
      <c r="B218" s="24"/>
      <c r="C218" s="24"/>
      <c r="D218" s="24"/>
      <c r="E218" s="25">
        <v>8</v>
      </c>
      <c r="F218" s="9"/>
      <c r="G218" s="9"/>
      <c r="H218" s="10"/>
      <c r="I218" s="9"/>
      <c r="J218" s="9"/>
    </row>
    <row x14ac:dyDescent="0.25" r="219" customHeight="1" ht="17.25">
      <c r="A219" s="7"/>
      <c r="B219" s="7"/>
      <c r="C219" s="7"/>
      <c r="D219" s="7"/>
      <c r="E219" s="8"/>
      <c r="F219" s="9"/>
      <c r="G219" s="9"/>
      <c r="H219" s="10"/>
      <c r="I219" s="9"/>
      <c r="J219" s="9"/>
    </row>
    <row x14ac:dyDescent="0.25" r="220" customHeight="1" ht="17.25">
      <c r="A220" s="11" t="s">
        <v>5894</v>
      </c>
      <c r="B220" s="11"/>
      <c r="C220" s="11"/>
      <c r="D220" s="11"/>
      <c r="E220" s="12"/>
      <c r="F220" s="11"/>
      <c r="G220" s="11"/>
      <c r="H220" s="13"/>
      <c r="I220" s="11"/>
      <c r="J220" s="11"/>
    </row>
    <row x14ac:dyDescent="0.25" r="221" customHeight="1" ht="17.25">
      <c r="A221" s="14" t="s">
        <v>3</v>
      </c>
      <c r="B221" s="14" t="s">
        <v>4</v>
      </c>
      <c r="C221" s="14" t="s">
        <v>5</v>
      </c>
      <c r="D221" s="14" t="s">
        <v>6</v>
      </c>
      <c r="E221" s="15" t="s">
        <v>7</v>
      </c>
      <c r="F221" s="14" t="s">
        <v>8</v>
      </c>
      <c r="G221" s="14" t="s">
        <v>9</v>
      </c>
      <c r="H221" s="16" t="s">
        <v>10</v>
      </c>
      <c r="I221" s="14" t="s">
        <v>11</v>
      </c>
      <c r="J221" s="14" t="s">
        <v>12</v>
      </c>
    </row>
    <row x14ac:dyDescent="0.25" r="222" customHeight="1" ht="17.25">
      <c r="A222" s="17" t="s">
        <v>5895</v>
      </c>
      <c r="B222" s="17" t="s">
        <v>368</v>
      </c>
      <c r="C222" s="17" t="s">
        <v>114</v>
      </c>
      <c r="D222" s="17" t="s">
        <v>16</v>
      </c>
      <c r="E222" s="18">
        <f>ROUND(12232*1.05,2)</f>
      </c>
      <c r="F222" s="17" t="s">
        <v>17</v>
      </c>
      <c r="G222" s="17" t="s">
        <v>18</v>
      </c>
      <c r="H222" s="18">
        <f>ROUND(RAND()*4+6,1)</f>
      </c>
      <c r="I222" s="17" t="s">
        <v>19</v>
      </c>
      <c r="J222" s="19">
        <f>ROUND(84*1,0)&amp;"%"</f>
      </c>
    </row>
    <row x14ac:dyDescent="0.25" r="223" customHeight="1" ht="17.25">
      <c r="A223" s="20" t="s">
        <v>5896</v>
      </c>
      <c r="B223" s="20" t="s">
        <v>370</v>
      </c>
      <c r="C223" s="20" t="s">
        <v>114</v>
      </c>
      <c r="D223" s="20" t="s">
        <v>22</v>
      </c>
      <c r="E223" s="21">
        <f>ROUND(11314*1.05,2)</f>
      </c>
      <c r="F223" s="20" t="s">
        <v>23</v>
      </c>
      <c r="G223" s="20" t="s">
        <v>24</v>
      </c>
      <c r="H223" s="22">
        <f>ROUND(RAND()*4+6,1)</f>
      </c>
      <c r="I223" s="20" t="s">
        <v>25</v>
      </c>
      <c r="J223" s="23">
        <f>ROUND(90*1,0)&amp;"%"</f>
      </c>
    </row>
    <row x14ac:dyDescent="0.25" r="224" customHeight="1" ht="17.25">
      <c r="A224" s="17" t="s">
        <v>5897</v>
      </c>
      <c r="B224" s="17" t="s">
        <v>372</v>
      </c>
      <c r="C224" s="17" t="s">
        <v>114</v>
      </c>
      <c r="D224" s="17" t="s">
        <v>28</v>
      </c>
      <c r="E224" s="18">
        <f>ROUND(15765*1.05,2)</f>
      </c>
      <c r="F224" s="17" t="s">
        <v>29</v>
      </c>
      <c r="G224" s="17" t="s">
        <v>30</v>
      </c>
      <c r="H224" s="18">
        <f>ROUND(RAND()*4+6,1)</f>
      </c>
      <c r="I224" s="17" t="s">
        <v>31</v>
      </c>
      <c r="J224" s="19">
        <f>ROUND(75*1,0)&amp;"%"</f>
      </c>
    </row>
    <row x14ac:dyDescent="0.25" r="225" customHeight="1" ht="17.25">
      <c r="A225" s="20" t="s">
        <v>5898</v>
      </c>
      <c r="B225" s="20" t="s">
        <v>374</v>
      </c>
      <c r="C225" s="20" t="s">
        <v>114</v>
      </c>
      <c r="D225" s="20" t="s">
        <v>34</v>
      </c>
      <c r="E225" s="21">
        <f>ROUND(7392*1.05,2)</f>
      </c>
      <c r="F225" s="20" t="s">
        <v>35</v>
      </c>
      <c r="G225" s="20" t="s">
        <v>18</v>
      </c>
      <c r="H225" s="21">
        <f>ROUND(RAND()*4+6,1)</f>
      </c>
      <c r="I225" s="20" t="s">
        <v>36</v>
      </c>
      <c r="J225" s="23">
        <f>ROUND(65*1,0)&amp;"%"</f>
      </c>
    </row>
    <row x14ac:dyDescent="0.25" r="226" customHeight="1" ht="17.25">
      <c r="A226" s="17" t="s">
        <v>5899</v>
      </c>
      <c r="B226" s="17" t="s">
        <v>376</v>
      </c>
      <c r="C226" s="17" t="s">
        <v>114</v>
      </c>
      <c r="D226" s="17" t="s">
        <v>39</v>
      </c>
      <c r="E226" s="18">
        <f>ROUND(10192*1.05,2)</f>
      </c>
      <c r="F226" s="17" t="s">
        <v>40</v>
      </c>
      <c r="G226" s="17" t="s">
        <v>24</v>
      </c>
      <c r="H226" s="18">
        <f>ROUND(RAND()*4+6,1)</f>
      </c>
      <c r="I226" s="17" t="s">
        <v>41</v>
      </c>
      <c r="J226" s="19">
        <f>ROUND(63*1,0)&amp;"%"</f>
      </c>
    </row>
    <row x14ac:dyDescent="0.25" r="227" customHeight="1" ht="17.25">
      <c r="A227" s="20" t="s">
        <v>5900</v>
      </c>
      <c r="B227" s="20" t="s">
        <v>378</v>
      </c>
      <c r="C227" s="20" t="s">
        <v>114</v>
      </c>
      <c r="D227" s="20" t="s">
        <v>67</v>
      </c>
      <c r="E227" s="21">
        <f>ROUND(12515*1.05,2)</f>
      </c>
      <c r="F227" s="20" t="s">
        <v>44</v>
      </c>
      <c r="G227" s="20" t="s">
        <v>30</v>
      </c>
      <c r="H227" s="21">
        <f>ROUND(RAND()*4+6,1)</f>
      </c>
      <c r="I227" s="20" t="s">
        <v>45</v>
      </c>
      <c r="J227" s="23">
        <f>ROUND(83*1,0)&amp;"%"</f>
      </c>
    </row>
    <row x14ac:dyDescent="0.25" r="228" customHeight="1" ht="17.25">
      <c r="A228" s="17" t="s">
        <v>5901</v>
      </c>
      <c r="B228" s="17" t="s">
        <v>380</v>
      </c>
      <c r="C228" s="17" t="s">
        <v>114</v>
      </c>
      <c r="D228" s="17" t="s">
        <v>16</v>
      </c>
      <c r="E228" s="18">
        <f>ROUND(4997*1.05,2)</f>
      </c>
      <c r="F228" s="17" t="s">
        <v>48</v>
      </c>
      <c r="G228" s="17" t="s">
        <v>18</v>
      </c>
      <c r="H228" s="18">
        <f>ROUND(RAND()*4+6,1)</f>
      </c>
      <c r="I228" s="17" t="s">
        <v>19</v>
      </c>
      <c r="J228" s="19">
        <f>ROUND(97*1,0)&amp;"%"</f>
      </c>
    </row>
    <row x14ac:dyDescent="0.25" r="229" customHeight="1" ht="17.25">
      <c r="A229" s="20" t="s">
        <v>5902</v>
      </c>
      <c r="B229" s="20" t="s">
        <v>382</v>
      </c>
      <c r="C229" s="20" t="s">
        <v>114</v>
      </c>
      <c r="D229" s="20" t="s">
        <v>22</v>
      </c>
      <c r="E229" s="21">
        <f>ROUND(17523*1.05,2)</f>
      </c>
      <c r="F229" s="20" t="s">
        <v>51</v>
      </c>
      <c r="G229" s="20" t="s">
        <v>24</v>
      </c>
      <c r="H229" s="21">
        <f>ROUND(RAND()*4+6,1)</f>
      </c>
      <c r="I229" s="20" t="s">
        <v>25</v>
      </c>
      <c r="J229" s="23">
        <f>ROUND(65*1,0)&amp;"%"</f>
      </c>
    </row>
    <row x14ac:dyDescent="0.25" r="230" customHeight="1" ht="17.25">
      <c r="A230" s="24" t="s">
        <v>383</v>
      </c>
      <c r="B230" s="24"/>
      <c r="C230" s="24"/>
      <c r="D230" s="24"/>
      <c r="E230" s="25">
        <v>8</v>
      </c>
      <c r="F230" s="9"/>
      <c r="G230" s="9"/>
      <c r="H230" s="10"/>
      <c r="I230" s="9"/>
      <c r="J230" s="9"/>
    </row>
    <row x14ac:dyDescent="0.25" r="231" customHeight="1" ht="17.25">
      <c r="A231" s="7"/>
      <c r="B231" s="7"/>
      <c r="C231" s="7"/>
      <c r="D231" s="7"/>
      <c r="E231" s="8"/>
      <c r="F231" s="9"/>
      <c r="G231" s="9"/>
      <c r="H231" s="10"/>
      <c r="I231" s="9"/>
      <c r="J231" s="9"/>
    </row>
    <row x14ac:dyDescent="0.25" r="232" customHeight="1" ht="17.25">
      <c r="A232" s="11" t="s">
        <v>5903</v>
      </c>
      <c r="B232" s="11"/>
      <c r="C232" s="11"/>
      <c r="D232" s="11"/>
      <c r="E232" s="12"/>
      <c r="F232" s="11"/>
      <c r="G232" s="11"/>
      <c r="H232" s="13"/>
      <c r="I232" s="11"/>
      <c r="J232" s="11"/>
    </row>
    <row x14ac:dyDescent="0.25" r="233" customHeight="1" ht="17.25">
      <c r="A233" s="14" t="s">
        <v>3</v>
      </c>
      <c r="B233" s="14" t="s">
        <v>4</v>
      </c>
      <c r="C233" s="14" t="s">
        <v>5</v>
      </c>
      <c r="D233" s="14" t="s">
        <v>6</v>
      </c>
      <c r="E233" s="15" t="s">
        <v>7</v>
      </c>
      <c r="F233" s="14" t="s">
        <v>8</v>
      </c>
      <c r="G233" s="14" t="s">
        <v>9</v>
      </c>
      <c r="H233" s="16" t="s">
        <v>10</v>
      </c>
      <c r="I233" s="14" t="s">
        <v>11</v>
      </c>
      <c r="J233" s="14" t="s">
        <v>12</v>
      </c>
    </row>
    <row x14ac:dyDescent="0.25" r="234" customHeight="1" ht="17.25">
      <c r="A234" s="17" t="s">
        <v>5904</v>
      </c>
      <c r="B234" s="17" t="s">
        <v>386</v>
      </c>
      <c r="C234" s="17" t="s">
        <v>133</v>
      </c>
      <c r="D234" s="17" t="s">
        <v>16</v>
      </c>
      <c r="E234" s="18">
        <f>ROUND(12288*1.05,2)</f>
      </c>
      <c r="F234" s="17" t="s">
        <v>17</v>
      </c>
      <c r="G234" s="17" t="s">
        <v>18</v>
      </c>
      <c r="H234" s="18">
        <f>ROUND(RAND()*4+6,1)</f>
      </c>
      <c r="I234" s="17" t="s">
        <v>19</v>
      </c>
      <c r="J234" s="19">
        <f>ROUND(98*1,0)&amp;"%"</f>
      </c>
    </row>
    <row x14ac:dyDescent="0.25" r="235" customHeight="1" ht="17.25">
      <c r="A235" s="20" t="s">
        <v>5905</v>
      </c>
      <c r="B235" s="20" t="s">
        <v>388</v>
      </c>
      <c r="C235" s="20" t="s">
        <v>133</v>
      </c>
      <c r="D235" s="20" t="s">
        <v>22</v>
      </c>
      <c r="E235" s="22">
        <f>ROUND(16480*1.05,2)</f>
      </c>
      <c r="F235" s="20" t="s">
        <v>23</v>
      </c>
      <c r="G235" s="20" t="s">
        <v>24</v>
      </c>
      <c r="H235" s="21">
        <f>ROUND(RAND()*4+6,1)</f>
      </c>
      <c r="I235" s="20" t="s">
        <v>25</v>
      </c>
      <c r="J235" s="23">
        <f>ROUND(90*1,0)&amp;"%"</f>
      </c>
    </row>
    <row x14ac:dyDescent="0.25" r="236" customHeight="1" ht="17.25">
      <c r="A236" s="17" t="s">
        <v>5906</v>
      </c>
      <c r="B236" s="17" t="s">
        <v>390</v>
      </c>
      <c r="C236" s="17" t="s">
        <v>133</v>
      </c>
      <c r="D236" s="17" t="s">
        <v>28</v>
      </c>
      <c r="E236" s="18">
        <f>ROUND(12712*1.05,2)</f>
      </c>
      <c r="F236" s="17" t="s">
        <v>29</v>
      </c>
      <c r="G236" s="17" t="s">
        <v>30</v>
      </c>
      <c r="H236" s="18">
        <f>ROUND(RAND()*4+6,1)</f>
      </c>
      <c r="I236" s="17" t="s">
        <v>31</v>
      </c>
      <c r="J236" s="19">
        <f>ROUND(86*1,0)&amp;"%"</f>
      </c>
    </row>
    <row x14ac:dyDescent="0.25" r="237" customHeight="1" ht="17.25">
      <c r="A237" s="20" t="s">
        <v>5907</v>
      </c>
      <c r="B237" s="20" t="s">
        <v>392</v>
      </c>
      <c r="C237" s="20" t="s">
        <v>133</v>
      </c>
      <c r="D237" s="20" t="s">
        <v>34</v>
      </c>
      <c r="E237" s="21">
        <f>ROUND(8845*1.05,2)</f>
      </c>
      <c r="F237" s="20" t="s">
        <v>35</v>
      </c>
      <c r="G237" s="20" t="s">
        <v>18</v>
      </c>
      <c r="H237" s="21">
        <f>ROUND(RAND()*4+6,1)</f>
      </c>
      <c r="I237" s="20" t="s">
        <v>36</v>
      </c>
      <c r="J237" s="23">
        <f>ROUND(97*1,0)&amp;"%"</f>
      </c>
    </row>
    <row x14ac:dyDescent="0.25" r="238" customHeight="1" ht="17.25">
      <c r="A238" s="17" t="s">
        <v>5908</v>
      </c>
      <c r="B238" s="17" t="s">
        <v>394</v>
      </c>
      <c r="C238" s="17" t="s">
        <v>133</v>
      </c>
      <c r="D238" s="17" t="s">
        <v>39</v>
      </c>
      <c r="E238" s="18">
        <f>ROUND(5453*1.05,2)</f>
      </c>
      <c r="F238" s="17" t="s">
        <v>40</v>
      </c>
      <c r="G238" s="17" t="s">
        <v>24</v>
      </c>
      <c r="H238" s="26">
        <f>ROUND(RAND()*4+6,1)</f>
      </c>
      <c r="I238" s="17" t="s">
        <v>41</v>
      </c>
      <c r="J238" s="19">
        <f>ROUND(100*1,0)&amp;"%"</f>
      </c>
    </row>
    <row x14ac:dyDescent="0.25" r="239" customHeight="1" ht="17.25">
      <c r="A239" s="20" t="s">
        <v>5909</v>
      </c>
      <c r="B239" s="20" t="s">
        <v>396</v>
      </c>
      <c r="C239" s="20" t="s">
        <v>133</v>
      </c>
      <c r="D239" s="20" t="s">
        <v>67</v>
      </c>
      <c r="E239" s="21">
        <f>ROUND(4449*1.05,2)</f>
      </c>
      <c r="F239" s="20" t="s">
        <v>44</v>
      </c>
      <c r="G239" s="20" t="s">
        <v>30</v>
      </c>
      <c r="H239" s="22">
        <f>ROUND(RAND()*4+6,1)</f>
      </c>
      <c r="I239" s="20" t="s">
        <v>45</v>
      </c>
      <c r="J239" s="23">
        <f>ROUND(96*1,0)&amp;"%"</f>
      </c>
    </row>
    <row x14ac:dyDescent="0.25" r="240" customHeight="1" ht="17.25">
      <c r="A240" s="17" t="s">
        <v>5910</v>
      </c>
      <c r="B240" s="17" t="s">
        <v>398</v>
      </c>
      <c r="C240" s="17" t="s">
        <v>133</v>
      </c>
      <c r="D240" s="17" t="s">
        <v>16</v>
      </c>
      <c r="E240" s="18">
        <f>ROUND(16599*1.05,2)</f>
      </c>
      <c r="F240" s="17" t="s">
        <v>48</v>
      </c>
      <c r="G240" s="17" t="s">
        <v>18</v>
      </c>
      <c r="H240" s="18">
        <f>ROUND(RAND()*4+6,1)</f>
      </c>
      <c r="I240" s="17" t="s">
        <v>19</v>
      </c>
      <c r="J240" s="19">
        <f>ROUND(63*1,0)&amp;"%"</f>
      </c>
    </row>
    <row x14ac:dyDescent="0.25" r="241" customHeight="1" ht="17.25">
      <c r="A241" s="20" t="s">
        <v>5911</v>
      </c>
      <c r="B241" s="20" t="s">
        <v>400</v>
      </c>
      <c r="C241" s="20" t="s">
        <v>133</v>
      </c>
      <c r="D241" s="20" t="s">
        <v>22</v>
      </c>
      <c r="E241" s="21">
        <f>ROUND(10611*1.05,2)</f>
      </c>
      <c r="F241" s="20" t="s">
        <v>51</v>
      </c>
      <c r="G241" s="20" t="s">
        <v>24</v>
      </c>
      <c r="H241" s="21">
        <f>ROUND(RAND()*4+6,1)</f>
      </c>
      <c r="I241" s="20" t="s">
        <v>25</v>
      </c>
      <c r="J241" s="23">
        <f>ROUND(71*1,0)&amp;"%"</f>
      </c>
    </row>
    <row x14ac:dyDescent="0.25" r="242" customHeight="1" ht="17.25">
      <c r="A242" s="24" t="s">
        <v>401</v>
      </c>
      <c r="B242" s="24"/>
      <c r="C242" s="24"/>
      <c r="D242" s="24"/>
      <c r="E242" s="25">
        <v>8</v>
      </c>
      <c r="F242" s="9"/>
      <c r="G242" s="9"/>
      <c r="H242" s="10"/>
      <c r="I242" s="9"/>
      <c r="J242" s="9"/>
    </row>
    <row x14ac:dyDescent="0.25" r="243" customHeight="1" ht="17.25">
      <c r="A243" s="7"/>
      <c r="B243" s="7"/>
      <c r="C243" s="7"/>
      <c r="D243" s="7"/>
      <c r="E243" s="8"/>
      <c r="F243" s="9"/>
      <c r="G243" s="9"/>
      <c r="H243" s="10"/>
      <c r="I243" s="9"/>
      <c r="J243" s="9"/>
    </row>
    <row x14ac:dyDescent="0.25" r="244" customHeight="1" ht="17.25">
      <c r="A244" s="11" t="s">
        <v>5912</v>
      </c>
      <c r="B244" s="11"/>
      <c r="C244" s="11"/>
      <c r="D244" s="11"/>
      <c r="E244" s="12"/>
      <c r="F244" s="11"/>
      <c r="G244" s="11"/>
      <c r="H244" s="13"/>
      <c r="I244" s="11"/>
      <c r="J244" s="11"/>
    </row>
    <row x14ac:dyDescent="0.25" r="245" customHeight="1" ht="17.25">
      <c r="A245" s="14" t="s">
        <v>3</v>
      </c>
      <c r="B245" s="14" t="s">
        <v>4</v>
      </c>
      <c r="C245" s="14" t="s">
        <v>5</v>
      </c>
      <c r="D245" s="14" t="s">
        <v>6</v>
      </c>
      <c r="E245" s="15" t="s">
        <v>7</v>
      </c>
      <c r="F245" s="14" t="s">
        <v>8</v>
      </c>
      <c r="G245" s="14" t="s">
        <v>9</v>
      </c>
      <c r="H245" s="16" t="s">
        <v>10</v>
      </c>
      <c r="I245" s="14" t="s">
        <v>11</v>
      </c>
      <c r="J245" s="14" t="s">
        <v>12</v>
      </c>
    </row>
    <row x14ac:dyDescent="0.25" r="246" customHeight="1" ht="17.25">
      <c r="A246" s="17" t="s">
        <v>5913</v>
      </c>
      <c r="B246" s="17" t="s">
        <v>404</v>
      </c>
      <c r="C246" s="17" t="s">
        <v>152</v>
      </c>
      <c r="D246" s="17" t="s">
        <v>16</v>
      </c>
      <c r="E246" s="18">
        <f>ROUND(12204*1.05,2)</f>
      </c>
      <c r="F246" s="17" t="s">
        <v>17</v>
      </c>
      <c r="G246" s="17" t="s">
        <v>18</v>
      </c>
      <c r="H246" s="18">
        <f>ROUND(RAND()*4+6,1)</f>
      </c>
      <c r="I246" s="17" t="s">
        <v>19</v>
      </c>
      <c r="J246" s="19">
        <f>ROUND(86*1,0)&amp;"%"</f>
      </c>
    </row>
    <row x14ac:dyDescent="0.25" r="247" customHeight="1" ht="17.25">
      <c r="A247" s="20" t="s">
        <v>5914</v>
      </c>
      <c r="B247" s="20" t="s">
        <v>406</v>
      </c>
      <c r="C247" s="20" t="s">
        <v>152</v>
      </c>
      <c r="D247" s="20" t="s">
        <v>22</v>
      </c>
      <c r="E247" s="21">
        <f>ROUND(10523*1.05,2)</f>
      </c>
      <c r="F247" s="20" t="s">
        <v>23</v>
      </c>
      <c r="G247" s="20" t="s">
        <v>24</v>
      </c>
      <c r="H247" s="21">
        <f>ROUND(RAND()*4+6,1)</f>
      </c>
      <c r="I247" s="20" t="s">
        <v>25</v>
      </c>
      <c r="J247" s="23">
        <f>ROUND(98*1,0)&amp;"%"</f>
      </c>
    </row>
    <row x14ac:dyDescent="0.25" r="248" customHeight="1" ht="17.25">
      <c r="A248" s="17" t="s">
        <v>5915</v>
      </c>
      <c r="B248" s="17" t="s">
        <v>408</v>
      </c>
      <c r="C248" s="17" t="s">
        <v>152</v>
      </c>
      <c r="D248" s="17" t="s">
        <v>28</v>
      </c>
      <c r="E248" s="18">
        <f>ROUND(5985*1.05,2)</f>
      </c>
      <c r="F248" s="17" t="s">
        <v>29</v>
      </c>
      <c r="G248" s="17" t="s">
        <v>30</v>
      </c>
      <c r="H248" s="18">
        <f>ROUND(RAND()*4+6,1)</f>
      </c>
      <c r="I248" s="17" t="s">
        <v>31</v>
      </c>
      <c r="J248" s="19">
        <f>ROUND(67*1,0)&amp;"%"</f>
      </c>
    </row>
    <row x14ac:dyDescent="0.25" r="249" customHeight="1" ht="17.25">
      <c r="A249" s="20" t="s">
        <v>5916</v>
      </c>
      <c r="B249" s="20" t="s">
        <v>410</v>
      </c>
      <c r="C249" s="20" t="s">
        <v>152</v>
      </c>
      <c r="D249" s="20" t="s">
        <v>34</v>
      </c>
      <c r="E249" s="21">
        <f>ROUND(6258*1.05,2)</f>
      </c>
      <c r="F249" s="20" t="s">
        <v>35</v>
      </c>
      <c r="G249" s="20" t="s">
        <v>18</v>
      </c>
      <c r="H249" s="21">
        <f>ROUND(RAND()*4+6,1)</f>
      </c>
      <c r="I249" s="20" t="s">
        <v>36</v>
      </c>
      <c r="J249" s="23">
        <f>ROUND(93*1,0)&amp;"%"</f>
      </c>
    </row>
    <row x14ac:dyDescent="0.25" r="250" customHeight="1" ht="17.25">
      <c r="A250" s="17" t="s">
        <v>5917</v>
      </c>
      <c r="B250" s="17" t="s">
        <v>412</v>
      </c>
      <c r="C250" s="17" t="s">
        <v>152</v>
      </c>
      <c r="D250" s="17" t="s">
        <v>39</v>
      </c>
      <c r="E250" s="18">
        <f>ROUND(16392*1.05,2)</f>
      </c>
      <c r="F250" s="17" t="s">
        <v>40</v>
      </c>
      <c r="G250" s="17" t="s">
        <v>24</v>
      </c>
      <c r="H250" s="18">
        <f>ROUND(RAND()*4+6,1)</f>
      </c>
      <c r="I250" s="17" t="s">
        <v>41</v>
      </c>
      <c r="J250" s="19">
        <f>ROUND(93*1,0)&amp;"%"</f>
      </c>
    </row>
    <row x14ac:dyDescent="0.25" r="251" customHeight="1" ht="17.25">
      <c r="A251" s="20" t="s">
        <v>5918</v>
      </c>
      <c r="B251" s="20" t="s">
        <v>414</v>
      </c>
      <c r="C251" s="20" t="s">
        <v>152</v>
      </c>
      <c r="D251" s="20" t="s">
        <v>67</v>
      </c>
      <c r="E251" s="21">
        <f>ROUND(4753*1.05,2)</f>
      </c>
      <c r="F251" s="20" t="s">
        <v>44</v>
      </c>
      <c r="G251" s="20" t="s">
        <v>30</v>
      </c>
      <c r="H251" s="21">
        <f>ROUND(RAND()*4+6,1)</f>
      </c>
      <c r="I251" s="20" t="s">
        <v>45</v>
      </c>
      <c r="J251" s="23">
        <f>ROUND(74*1,0)&amp;"%"</f>
      </c>
    </row>
    <row x14ac:dyDescent="0.25" r="252" customHeight="1" ht="17.25">
      <c r="A252" s="17" t="s">
        <v>5919</v>
      </c>
      <c r="B252" s="17" t="s">
        <v>416</v>
      </c>
      <c r="C252" s="17" t="s">
        <v>152</v>
      </c>
      <c r="D252" s="17" t="s">
        <v>16</v>
      </c>
      <c r="E252" s="18">
        <f>ROUND(4535*1.05,2)</f>
      </c>
      <c r="F252" s="17" t="s">
        <v>48</v>
      </c>
      <c r="G252" s="17" t="s">
        <v>18</v>
      </c>
      <c r="H252" s="18">
        <f>ROUND(RAND()*4+6,1)</f>
      </c>
      <c r="I252" s="17" t="s">
        <v>19</v>
      </c>
      <c r="J252" s="19">
        <f>ROUND(91*1,0)&amp;"%"</f>
      </c>
    </row>
    <row x14ac:dyDescent="0.25" r="253" customHeight="1" ht="17.25">
      <c r="A253" s="20" t="s">
        <v>5920</v>
      </c>
      <c r="B253" s="20" t="s">
        <v>418</v>
      </c>
      <c r="C253" s="20" t="s">
        <v>152</v>
      </c>
      <c r="D253" s="20" t="s">
        <v>22</v>
      </c>
      <c r="E253" s="21">
        <f>ROUND(6829*1.05,2)</f>
      </c>
      <c r="F253" s="20" t="s">
        <v>51</v>
      </c>
      <c r="G253" s="20" t="s">
        <v>24</v>
      </c>
      <c r="H253" s="22">
        <f>ROUND(RAND()*4+6,1)</f>
      </c>
      <c r="I253" s="20" t="s">
        <v>25</v>
      </c>
      <c r="J253" s="23">
        <f>ROUND(61*1,0)&amp;"%"</f>
      </c>
    </row>
    <row x14ac:dyDescent="0.25" r="254" customHeight="1" ht="17.25">
      <c r="A254" s="24" t="s">
        <v>419</v>
      </c>
      <c r="B254" s="24"/>
      <c r="C254" s="24"/>
      <c r="D254" s="24"/>
      <c r="E254" s="25">
        <v>8</v>
      </c>
      <c r="F254" s="9"/>
      <c r="G254" s="9"/>
      <c r="H254" s="10"/>
      <c r="I254" s="9"/>
      <c r="J254" s="9"/>
    </row>
    <row x14ac:dyDescent="0.25" r="255" customHeight="1" ht="17.25">
      <c r="A255" s="7"/>
      <c r="B255" s="7"/>
      <c r="C255" s="7"/>
      <c r="D255" s="7"/>
      <c r="E255" s="8"/>
      <c r="F255" s="9"/>
      <c r="G255" s="9"/>
      <c r="H255" s="10"/>
      <c r="I255" s="9"/>
      <c r="J255" s="9"/>
    </row>
    <row x14ac:dyDescent="0.25" r="256" customHeight="1" ht="17.25">
      <c r="A256" s="11" t="s">
        <v>5921</v>
      </c>
      <c r="B256" s="11"/>
      <c r="C256" s="11"/>
      <c r="D256" s="11"/>
      <c r="E256" s="12"/>
      <c r="F256" s="11"/>
      <c r="G256" s="11"/>
      <c r="H256" s="13"/>
      <c r="I256" s="11"/>
      <c r="J256" s="11"/>
    </row>
    <row x14ac:dyDescent="0.25" r="257" customHeight="1" ht="17.25">
      <c r="A257" s="14" t="s">
        <v>3</v>
      </c>
      <c r="B257" s="14" t="s">
        <v>4</v>
      </c>
      <c r="C257" s="14" t="s">
        <v>5</v>
      </c>
      <c r="D257" s="14" t="s">
        <v>6</v>
      </c>
      <c r="E257" s="15" t="s">
        <v>7</v>
      </c>
      <c r="F257" s="14" t="s">
        <v>8</v>
      </c>
      <c r="G257" s="14" t="s">
        <v>9</v>
      </c>
      <c r="H257" s="16" t="s">
        <v>10</v>
      </c>
      <c r="I257" s="14" t="s">
        <v>11</v>
      </c>
      <c r="J257" s="14" t="s">
        <v>12</v>
      </c>
    </row>
    <row x14ac:dyDescent="0.25" r="258" customHeight="1" ht="17.25">
      <c r="A258" s="17" t="s">
        <v>5922</v>
      </c>
      <c r="B258" s="17" t="s">
        <v>422</v>
      </c>
      <c r="C258" s="17" t="s">
        <v>15</v>
      </c>
      <c r="D258" s="17" t="s">
        <v>16</v>
      </c>
      <c r="E258" s="18">
        <f>ROUND(4312*1.05,2)</f>
      </c>
      <c r="F258" s="17" t="s">
        <v>17</v>
      </c>
      <c r="G258" s="17" t="s">
        <v>18</v>
      </c>
      <c r="H258" s="18">
        <f>ROUND(RAND()*4+6,1)</f>
      </c>
      <c r="I258" s="17" t="s">
        <v>19</v>
      </c>
      <c r="J258" s="19">
        <f>ROUND(93*1,0)&amp;"%"</f>
      </c>
    </row>
    <row x14ac:dyDescent="0.25" r="259" customHeight="1" ht="17.25">
      <c r="A259" s="20" t="s">
        <v>5923</v>
      </c>
      <c r="B259" s="20" t="s">
        <v>424</v>
      </c>
      <c r="C259" s="20" t="s">
        <v>15</v>
      </c>
      <c r="D259" s="20" t="s">
        <v>22</v>
      </c>
      <c r="E259" s="21">
        <f>ROUND(13463*1.05,2)</f>
      </c>
      <c r="F259" s="20" t="s">
        <v>23</v>
      </c>
      <c r="G259" s="20" t="s">
        <v>24</v>
      </c>
      <c r="H259" s="21">
        <f>ROUND(RAND()*4+6,1)</f>
      </c>
      <c r="I259" s="20" t="s">
        <v>25</v>
      </c>
      <c r="J259" s="23">
        <f>ROUND(72*1,0)&amp;"%"</f>
      </c>
    </row>
    <row x14ac:dyDescent="0.25" r="260" customHeight="1" ht="17.25">
      <c r="A260" s="17" t="s">
        <v>5924</v>
      </c>
      <c r="B260" s="17" t="s">
        <v>426</v>
      </c>
      <c r="C260" s="17" t="s">
        <v>15</v>
      </c>
      <c r="D260" s="17" t="s">
        <v>28</v>
      </c>
      <c r="E260" s="18">
        <f>ROUND(13862*1.05,2)</f>
      </c>
      <c r="F260" s="17" t="s">
        <v>29</v>
      </c>
      <c r="G260" s="17" t="s">
        <v>30</v>
      </c>
      <c r="H260" s="18">
        <f>ROUND(RAND()*4+6,1)</f>
      </c>
      <c r="I260" s="17" t="s">
        <v>31</v>
      </c>
      <c r="J260" s="19">
        <f>ROUND(92*1,0)&amp;"%"</f>
      </c>
    </row>
    <row x14ac:dyDescent="0.25" r="261" customHeight="1" ht="17.25">
      <c r="A261" s="20" t="s">
        <v>5925</v>
      </c>
      <c r="B261" s="20" t="s">
        <v>428</v>
      </c>
      <c r="C261" s="20" t="s">
        <v>15</v>
      </c>
      <c r="D261" s="20" t="s">
        <v>34</v>
      </c>
      <c r="E261" s="21">
        <f>ROUND(13278*1.05,2)</f>
      </c>
      <c r="F261" s="20" t="s">
        <v>35</v>
      </c>
      <c r="G261" s="20" t="s">
        <v>18</v>
      </c>
      <c r="H261" s="21">
        <f>ROUND(RAND()*4+6,1)</f>
      </c>
      <c r="I261" s="20" t="s">
        <v>36</v>
      </c>
      <c r="J261" s="23">
        <f>ROUND(74*1,0)&amp;"%"</f>
      </c>
    </row>
    <row x14ac:dyDescent="0.25" r="262" customHeight="1" ht="17.25">
      <c r="A262" s="17" t="s">
        <v>5926</v>
      </c>
      <c r="B262" s="17" t="s">
        <v>430</v>
      </c>
      <c r="C262" s="17" t="s">
        <v>15</v>
      </c>
      <c r="D262" s="17" t="s">
        <v>39</v>
      </c>
      <c r="E262" s="18">
        <f>ROUND(4116*1.05,2)</f>
      </c>
      <c r="F262" s="17" t="s">
        <v>40</v>
      </c>
      <c r="G262" s="17" t="s">
        <v>24</v>
      </c>
      <c r="H262" s="18">
        <f>ROUND(RAND()*4+6,1)</f>
      </c>
      <c r="I262" s="17" t="s">
        <v>41</v>
      </c>
      <c r="J262" s="19">
        <f>ROUND(69*1,0)&amp;"%"</f>
      </c>
    </row>
    <row x14ac:dyDescent="0.25" r="263" customHeight="1" ht="17.25">
      <c r="A263" s="20" t="s">
        <v>5927</v>
      </c>
      <c r="B263" s="20" t="s">
        <v>432</v>
      </c>
      <c r="C263" s="20" t="s">
        <v>15</v>
      </c>
      <c r="D263" s="20" t="s">
        <v>67</v>
      </c>
      <c r="E263" s="21">
        <f>ROUND(9848*1.05,2)</f>
      </c>
      <c r="F263" s="20" t="s">
        <v>44</v>
      </c>
      <c r="G263" s="20" t="s">
        <v>30</v>
      </c>
      <c r="H263" s="21">
        <f>ROUND(RAND()*4+6,1)</f>
      </c>
      <c r="I263" s="20" t="s">
        <v>45</v>
      </c>
      <c r="J263" s="23">
        <f>ROUND(93*1,0)&amp;"%"</f>
      </c>
    </row>
    <row x14ac:dyDescent="0.25" r="264" customHeight="1" ht="17.25">
      <c r="A264" s="17" t="s">
        <v>5928</v>
      </c>
      <c r="B264" s="17" t="s">
        <v>434</v>
      </c>
      <c r="C264" s="17" t="s">
        <v>15</v>
      </c>
      <c r="D264" s="17" t="s">
        <v>16</v>
      </c>
      <c r="E264" s="18">
        <f>ROUND(5467*1.05,2)</f>
      </c>
      <c r="F264" s="17" t="s">
        <v>48</v>
      </c>
      <c r="G264" s="17" t="s">
        <v>18</v>
      </c>
      <c r="H264" s="18">
        <f>ROUND(RAND()*4+6,1)</f>
      </c>
      <c r="I264" s="17" t="s">
        <v>19</v>
      </c>
      <c r="J264" s="19">
        <f>ROUND(85*1,0)&amp;"%"</f>
      </c>
    </row>
    <row x14ac:dyDescent="0.25" r="265" customHeight="1" ht="17.25">
      <c r="A265" s="20" t="s">
        <v>5929</v>
      </c>
      <c r="B265" s="20" t="s">
        <v>436</v>
      </c>
      <c r="C265" s="20" t="s">
        <v>15</v>
      </c>
      <c r="D265" s="20" t="s">
        <v>22</v>
      </c>
      <c r="E265" s="21">
        <f>ROUND(17397*1.05,2)</f>
      </c>
      <c r="F265" s="20" t="s">
        <v>51</v>
      </c>
      <c r="G265" s="20" t="s">
        <v>24</v>
      </c>
      <c r="H265" s="21">
        <f>ROUND(RAND()*4+6,1)</f>
      </c>
      <c r="I265" s="20" t="s">
        <v>25</v>
      </c>
      <c r="J265" s="23">
        <f>ROUND(76*1,0)&amp;"%"</f>
      </c>
    </row>
    <row x14ac:dyDescent="0.25" r="266" customHeight="1" ht="17.25">
      <c r="A266" s="24" t="s">
        <v>437</v>
      </c>
      <c r="B266" s="24"/>
      <c r="C266" s="24"/>
      <c r="D266" s="24"/>
      <c r="E266" s="25">
        <v>8</v>
      </c>
      <c r="F266" s="9"/>
      <c r="G266" s="9"/>
      <c r="H266" s="10"/>
      <c r="I266" s="9"/>
      <c r="J266" s="9"/>
    </row>
    <row x14ac:dyDescent="0.25" r="267" customHeight="1" ht="17.25">
      <c r="A267" s="7"/>
      <c r="B267" s="7"/>
      <c r="C267" s="7"/>
      <c r="D267" s="7"/>
      <c r="E267" s="8"/>
      <c r="F267" s="9"/>
      <c r="G267" s="9"/>
      <c r="H267" s="10"/>
      <c r="I267" s="9"/>
      <c r="J267" s="9"/>
    </row>
    <row x14ac:dyDescent="0.25" r="268" customHeight="1" ht="17.25">
      <c r="A268" s="11" t="s">
        <v>5930</v>
      </c>
      <c r="B268" s="11"/>
      <c r="C268" s="11"/>
      <c r="D268" s="11"/>
      <c r="E268" s="12"/>
      <c r="F268" s="11"/>
      <c r="G268" s="11"/>
      <c r="H268" s="13"/>
      <c r="I268" s="11"/>
      <c r="J268" s="11"/>
    </row>
    <row x14ac:dyDescent="0.25" r="269" customHeight="1" ht="17.25">
      <c r="A269" s="14" t="s">
        <v>3</v>
      </c>
      <c r="B269" s="14" t="s">
        <v>4</v>
      </c>
      <c r="C269" s="14" t="s">
        <v>5</v>
      </c>
      <c r="D269" s="14" t="s">
        <v>6</v>
      </c>
      <c r="E269" s="15" t="s">
        <v>7</v>
      </c>
      <c r="F269" s="14" t="s">
        <v>8</v>
      </c>
      <c r="G269" s="14" t="s">
        <v>9</v>
      </c>
      <c r="H269" s="16" t="s">
        <v>10</v>
      </c>
      <c r="I269" s="14" t="s">
        <v>11</v>
      </c>
      <c r="J269" s="14" t="s">
        <v>12</v>
      </c>
    </row>
    <row x14ac:dyDescent="0.25" r="270" customHeight="1" ht="17.25">
      <c r="A270" s="17" t="s">
        <v>5931</v>
      </c>
      <c r="B270" s="17" t="s">
        <v>440</v>
      </c>
      <c r="C270" s="17" t="s">
        <v>56</v>
      </c>
      <c r="D270" s="17" t="s">
        <v>16</v>
      </c>
      <c r="E270" s="18">
        <f>ROUND(10503*1.05,2)</f>
      </c>
      <c r="F270" s="17" t="s">
        <v>17</v>
      </c>
      <c r="G270" s="17" t="s">
        <v>18</v>
      </c>
      <c r="H270" s="18">
        <f>ROUND(RAND()*4+6,1)</f>
      </c>
      <c r="I270" s="17" t="s">
        <v>19</v>
      </c>
      <c r="J270" s="19">
        <f>ROUND(61*1,0)&amp;"%"</f>
      </c>
    </row>
    <row x14ac:dyDescent="0.25" r="271" customHeight="1" ht="17.25">
      <c r="A271" s="20" t="s">
        <v>5932</v>
      </c>
      <c r="B271" s="20" t="s">
        <v>442</v>
      </c>
      <c r="C271" s="20" t="s">
        <v>56</v>
      </c>
      <c r="D271" s="20" t="s">
        <v>22</v>
      </c>
      <c r="E271" s="21">
        <f>ROUND(11646*1.05,2)</f>
      </c>
      <c r="F271" s="20" t="s">
        <v>23</v>
      </c>
      <c r="G271" s="20" t="s">
        <v>24</v>
      </c>
      <c r="H271" s="21">
        <f>ROUND(RAND()*4+6,1)</f>
      </c>
      <c r="I271" s="20" t="s">
        <v>25</v>
      </c>
      <c r="J271" s="23">
        <f>ROUND(92*1,0)&amp;"%"</f>
      </c>
    </row>
    <row x14ac:dyDescent="0.25" r="272" customHeight="1" ht="17.25">
      <c r="A272" s="17" t="s">
        <v>5933</v>
      </c>
      <c r="B272" s="17" t="s">
        <v>444</v>
      </c>
      <c r="C272" s="17" t="s">
        <v>56</v>
      </c>
      <c r="D272" s="17" t="s">
        <v>28</v>
      </c>
      <c r="E272" s="18">
        <f>ROUND(9044*1.05,2)</f>
      </c>
      <c r="F272" s="17" t="s">
        <v>29</v>
      </c>
      <c r="G272" s="17" t="s">
        <v>30</v>
      </c>
      <c r="H272" s="18">
        <f>ROUND(RAND()*4+6,1)</f>
      </c>
      <c r="I272" s="17" t="s">
        <v>31</v>
      </c>
      <c r="J272" s="19">
        <f>ROUND(71*1,0)&amp;"%"</f>
      </c>
    </row>
    <row x14ac:dyDescent="0.25" r="273" customHeight="1" ht="17.25">
      <c r="A273" s="20" t="s">
        <v>5934</v>
      </c>
      <c r="B273" s="20" t="s">
        <v>446</v>
      </c>
      <c r="C273" s="20" t="s">
        <v>56</v>
      </c>
      <c r="D273" s="20" t="s">
        <v>34</v>
      </c>
      <c r="E273" s="21">
        <f>ROUND(7334*1.05,2)</f>
      </c>
      <c r="F273" s="20" t="s">
        <v>35</v>
      </c>
      <c r="G273" s="20" t="s">
        <v>18</v>
      </c>
      <c r="H273" s="21">
        <f>ROUND(RAND()*4+6,1)</f>
      </c>
      <c r="I273" s="20" t="s">
        <v>36</v>
      </c>
      <c r="J273" s="23">
        <f>ROUND(92*1,0)&amp;"%"</f>
      </c>
    </row>
    <row x14ac:dyDescent="0.25" r="274" customHeight="1" ht="17.25">
      <c r="A274" s="17" t="s">
        <v>5935</v>
      </c>
      <c r="B274" s="17" t="s">
        <v>448</v>
      </c>
      <c r="C274" s="17" t="s">
        <v>56</v>
      </c>
      <c r="D274" s="17" t="s">
        <v>39</v>
      </c>
      <c r="E274" s="18">
        <f>ROUND(8393*1.05,2)</f>
      </c>
      <c r="F274" s="17" t="s">
        <v>40</v>
      </c>
      <c r="G274" s="17" t="s">
        <v>24</v>
      </c>
      <c r="H274" s="18">
        <f>ROUND(RAND()*4+6,1)</f>
      </c>
      <c r="I274" s="17" t="s">
        <v>41</v>
      </c>
      <c r="J274" s="19">
        <f>ROUND(80*1,0)&amp;"%"</f>
      </c>
    </row>
    <row x14ac:dyDescent="0.25" r="275" customHeight="1" ht="17.25">
      <c r="A275" s="20" t="s">
        <v>5936</v>
      </c>
      <c r="B275" s="20" t="s">
        <v>450</v>
      </c>
      <c r="C275" s="20" t="s">
        <v>56</v>
      </c>
      <c r="D275" s="20" t="s">
        <v>67</v>
      </c>
      <c r="E275" s="21">
        <f>ROUND(15403*1.05,2)</f>
      </c>
      <c r="F275" s="20" t="s">
        <v>44</v>
      </c>
      <c r="G275" s="20" t="s">
        <v>30</v>
      </c>
      <c r="H275" s="21">
        <f>ROUND(RAND()*4+6,1)</f>
      </c>
      <c r="I275" s="20" t="s">
        <v>45</v>
      </c>
      <c r="J275" s="23">
        <f>ROUND(74*1,0)&amp;"%"</f>
      </c>
    </row>
    <row x14ac:dyDescent="0.25" r="276" customHeight="1" ht="17.25">
      <c r="A276" s="17" t="s">
        <v>5937</v>
      </c>
      <c r="B276" s="17" t="s">
        <v>452</v>
      </c>
      <c r="C276" s="17" t="s">
        <v>56</v>
      </c>
      <c r="D276" s="17" t="s">
        <v>16</v>
      </c>
      <c r="E276" s="18">
        <f>ROUND(13508*1.05,2)</f>
      </c>
      <c r="F276" s="17" t="s">
        <v>48</v>
      </c>
      <c r="G276" s="17" t="s">
        <v>18</v>
      </c>
      <c r="H276" s="18">
        <f>ROUND(RAND()*4+6,1)</f>
      </c>
      <c r="I276" s="17" t="s">
        <v>19</v>
      </c>
      <c r="J276" s="19">
        <f>ROUND(69*1,0)&amp;"%"</f>
      </c>
    </row>
    <row x14ac:dyDescent="0.25" r="277" customHeight="1" ht="17.25">
      <c r="A277" s="20" t="s">
        <v>5938</v>
      </c>
      <c r="B277" s="20" t="s">
        <v>454</v>
      </c>
      <c r="C277" s="20" t="s">
        <v>56</v>
      </c>
      <c r="D277" s="20" t="s">
        <v>22</v>
      </c>
      <c r="E277" s="21">
        <f>ROUND(5742*1.05,2)</f>
      </c>
      <c r="F277" s="20" t="s">
        <v>51</v>
      </c>
      <c r="G277" s="20" t="s">
        <v>24</v>
      </c>
      <c r="H277" s="21">
        <f>ROUND(RAND()*4+6,1)</f>
      </c>
      <c r="I277" s="20" t="s">
        <v>25</v>
      </c>
      <c r="J277" s="23">
        <f>ROUND(60*1,0)&amp;"%"</f>
      </c>
    </row>
    <row x14ac:dyDescent="0.25" r="278" customHeight="1" ht="17.25">
      <c r="A278" s="24" t="s">
        <v>455</v>
      </c>
      <c r="B278" s="24"/>
      <c r="C278" s="24"/>
      <c r="D278" s="24"/>
      <c r="E278" s="25">
        <v>8</v>
      </c>
      <c r="F278" s="9"/>
      <c r="G278" s="9"/>
      <c r="H278" s="10"/>
      <c r="I278" s="9"/>
      <c r="J278" s="9"/>
    </row>
    <row x14ac:dyDescent="0.25" r="279" customHeight="1" ht="17.25">
      <c r="A279" s="7"/>
      <c r="B279" s="7"/>
      <c r="C279" s="7"/>
      <c r="D279" s="7"/>
      <c r="E279" s="8"/>
      <c r="F279" s="9"/>
      <c r="G279" s="9"/>
      <c r="H279" s="10"/>
      <c r="I279" s="9"/>
      <c r="J279" s="9"/>
    </row>
    <row x14ac:dyDescent="0.25" r="280" customHeight="1" ht="17.25">
      <c r="A280" s="11" t="s">
        <v>5939</v>
      </c>
      <c r="B280" s="11"/>
      <c r="C280" s="11"/>
      <c r="D280" s="11"/>
      <c r="E280" s="12"/>
      <c r="F280" s="11"/>
      <c r="G280" s="11"/>
      <c r="H280" s="13"/>
      <c r="I280" s="11"/>
      <c r="J280" s="11"/>
    </row>
    <row x14ac:dyDescent="0.25" r="281" customHeight="1" ht="17.25">
      <c r="A281" s="14" t="s">
        <v>3</v>
      </c>
      <c r="B281" s="14" t="s">
        <v>4</v>
      </c>
      <c r="C281" s="14" t="s">
        <v>5</v>
      </c>
      <c r="D281" s="14" t="s">
        <v>6</v>
      </c>
      <c r="E281" s="15" t="s">
        <v>7</v>
      </c>
      <c r="F281" s="14" t="s">
        <v>8</v>
      </c>
      <c r="G281" s="14" t="s">
        <v>9</v>
      </c>
      <c r="H281" s="16" t="s">
        <v>10</v>
      </c>
      <c r="I281" s="14" t="s">
        <v>11</v>
      </c>
      <c r="J281" s="14" t="s">
        <v>12</v>
      </c>
    </row>
    <row x14ac:dyDescent="0.25" r="282" customHeight="1" ht="17.25">
      <c r="A282" s="17" t="s">
        <v>5940</v>
      </c>
      <c r="B282" s="17" t="s">
        <v>458</v>
      </c>
      <c r="C282" s="17" t="s">
        <v>76</v>
      </c>
      <c r="D282" s="17" t="s">
        <v>16</v>
      </c>
      <c r="E282" s="18">
        <f>ROUND(11744*1.05,2)</f>
      </c>
      <c r="F282" s="17" t="s">
        <v>17</v>
      </c>
      <c r="G282" s="17" t="s">
        <v>18</v>
      </c>
      <c r="H282" s="18">
        <f>ROUND(RAND()*4+6,1)</f>
      </c>
      <c r="I282" s="17" t="s">
        <v>19</v>
      </c>
      <c r="J282" s="19">
        <f>ROUND(72*1,0)&amp;"%"</f>
      </c>
    </row>
    <row x14ac:dyDescent="0.25" r="283" customHeight="1" ht="17.25">
      <c r="A283" s="20" t="s">
        <v>5941</v>
      </c>
      <c r="B283" s="20" t="s">
        <v>460</v>
      </c>
      <c r="C283" s="20" t="s">
        <v>76</v>
      </c>
      <c r="D283" s="20" t="s">
        <v>22</v>
      </c>
      <c r="E283" s="21">
        <f>ROUND(4491*1.05,2)</f>
      </c>
      <c r="F283" s="20" t="s">
        <v>23</v>
      </c>
      <c r="G283" s="20" t="s">
        <v>24</v>
      </c>
      <c r="H283" s="21">
        <f>ROUND(RAND()*4+6,1)</f>
      </c>
      <c r="I283" s="20" t="s">
        <v>25</v>
      </c>
      <c r="J283" s="23">
        <f>ROUND(91*1,0)&amp;"%"</f>
      </c>
    </row>
    <row x14ac:dyDescent="0.25" r="284" customHeight="1" ht="17.25">
      <c r="A284" s="17" t="s">
        <v>5942</v>
      </c>
      <c r="B284" s="17" t="s">
        <v>462</v>
      </c>
      <c r="C284" s="17" t="s">
        <v>76</v>
      </c>
      <c r="D284" s="17" t="s">
        <v>28</v>
      </c>
      <c r="E284" s="18">
        <f>ROUND(13052*1.05,2)</f>
      </c>
      <c r="F284" s="17" t="s">
        <v>29</v>
      </c>
      <c r="G284" s="17" t="s">
        <v>30</v>
      </c>
      <c r="H284" s="18">
        <f>ROUND(RAND()*4+6,1)</f>
      </c>
      <c r="I284" s="17" t="s">
        <v>31</v>
      </c>
      <c r="J284" s="19">
        <f>ROUND(84*1,0)&amp;"%"</f>
      </c>
    </row>
    <row x14ac:dyDescent="0.25" r="285" customHeight="1" ht="17.25">
      <c r="A285" s="20" t="s">
        <v>5943</v>
      </c>
      <c r="B285" s="20" t="s">
        <v>464</v>
      </c>
      <c r="C285" s="20" t="s">
        <v>76</v>
      </c>
      <c r="D285" s="20" t="s">
        <v>34</v>
      </c>
      <c r="E285" s="21">
        <f>ROUND(16157*1.05,2)</f>
      </c>
      <c r="F285" s="20" t="s">
        <v>35</v>
      </c>
      <c r="G285" s="20" t="s">
        <v>18</v>
      </c>
      <c r="H285" s="21">
        <f>ROUND(RAND()*4+6,1)</f>
      </c>
      <c r="I285" s="20" t="s">
        <v>36</v>
      </c>
      <c r="J285" s="23">
        <f>ROUND(77*1,0)&amp;"%"</f>
      </c>
    </row>
    <row x14ac:dyDescent="0.25" r="286" customHeight="1" ht="17.25">
      <c r="A286" s="17" t="s">
        <v>5944</v>
      </c>
      <c r="B286" s="17" t="s">
        <v>466</v>
      </c>
      <c r="C286" s="17" t="s">
        <v>76</v>
      </c>
      <c r="D286" s="17" t="s">
        <v>39</v>
      </c>
      <c r="E286" s="18">
        <f>ROUND(16772*1.05,2)</f>
      </c>
      <c r="F286" s="17" t="s">
        <v>40</v>
      </c>
      <c r="G286" s="17" t="s">
        <v>24</v>
      </c>
      <c r="H286" s="18">
        <f>ROUND(RAND()*4+6,1)</f>
      </c>
      <c r="I286" s="17" t="s">
        <v>41</v>
      </c>
      <c r="J286" s="19">
        <f>ROUND(97*1,0)&amp;"%"</f>
      </c>
    </row>
    <row x14ac:dyDescent="0.25" r="287" customHeight="1" ht="17.25">
      <c r="A287" s="20" t="s">
        <v>5945</v>
      </c>
      <c r="B287" s="20" t="s">
        <v>468</v>
      </c>
      <c r="C287" s="20" t="s">
        <v>76</v>
      </c>
      <c r="D287" s="20" t="s">
        <v>67</v>
      </c>
      <c r="E287" s="21">
        <f>ROUND(17982*1.05,2)</f>
      </c>
      <c r="F287" s="20" t="s">
        <v>44</v>
      </c>
      <c r="G287" s="20" t="s">
        <v>30</v>
      </c>
      <c r="H287" s="21">
        <f>ROUND(RAND()*4+6,1)</f>
      </c>
      <c r="I287" s="20" t="s">
        <v>45</v>
      </c>
      <c r="J287" s="23">
        <f>ROUND(77*1,0)&amp;"%"</f>
      </c>
    </row>
    <row x14ac:dyDescent="0.25" r="288" customHeight="1" ht="17.25">
      <c r="A288" s="17" t="s">
        <v>5946</v>
      </c>
      <c r="B288" s="17" t="s">
        <v>470</v>
      </c>
      <c r="C288" s="17" t="s">
        <v>76</v>
      </c>
      <c r="D288" s="17" t="s">
        <v>16</v>
      </c>
      <c r="E288" s="18">
        <f>ROUND(12952*1.05,2)</f>
      </c>
      <c r="F288" s="17" t="s">
        <v>48</v>
      </c>
      <c r="G288" s="17" t="s">
        <v>18</v>
      </c>
      <c r="H288" s="18">
        <f>ROUND(RAND()*4+6,1)</f>
      </c>
      <c r="I288" s="17" t="s">
        <v>19</v>
      </c>
      <c r="J288" s="19">
        <f>ROUND(72*1,0)&amp;"%"</f>
      </c>
    </row>
    <row x14ac:dyDescent="0.25" r="289" customHeight="1" ht="17.25">
      <c r="A289" s="20" t="s">
        <v>5947</v>
      </c>
      <c r="B289" s="20" t="s">
        <v>472</v>
      </c>
      <c r="C289" s="20" t="s">
        <v>76</v>
      </c>
      <c r="D289" s="20" t="s">
        <v>22</v>
      </c>
      <c r="E289" s="21">
        <f>ROUND(9781*1.05,2)</f>
      </c>
      <c r="F289" s="20" t="s">
        <v>51</v>
      </c>
      <c r="G289" s="20" t="s">
        <v>24</v>
      </c>
      <c r="H289" s="21">
        <f>ROUND(RAND()*4+6,1)</f>
      </c>
      <c r="I289" s="20" t="s">
        <v>25</v>
      </c>
      <c r="J289" s="23">
        <f>ROUND(60*1,0)&amp;"%"</f>
      </c>
    </row>
    <row x14ac:dyDescent="0.25" r="290" customHeight="1" ht="17.25">
      <c r="A290" s="24" t="s">
        <v>473</v>
      </c>
      <c r="B290" s="24"/>
      <c r="C290" s="24"/>
      <c r="D290" s="24"/>
      <c r="E290" s="25">
        <v>8</v>
      </c>
      <c r="F290" s="9"/>
      <c r="G290" s="9"/>
      <c r="H290" s="10"/>
      <c r="I290" s="9"/>
      <c r="J290" s="9"/>
    </row>
    <row x14ac:dyDescent="0.25" r="291" customHeight="1" ht="17.25">
      <c r="A291" s="7"/>
      <c r="B291" s="7"/>
      <c r="C291" s="7"/>
      <c r="D291" s="7"/>
      <c r="E291" s="8"/>
      <c r="F291" s="9"/>
      <c r="G291" s="9"/>
      <c r="H291" s="10"/>
      <c r="I291" s="9"/>
      <c r="J291" s="9"/>
    </row>
    <row x14ac:dyDescent="0.25" r="292" customHeight="1" ht="17.25">
      <c r="A292" s="11" t="s">
        <v>5948</v>
      </c>
      <c r="B292" s="11"/>
      <c r="C292" s="11"/>
      <c r="D292" s="11"/>
      <c r="E292" s="12"/>
      <c r="F292" s="11"/>
      <c r="G292" s="11"/>
      <c r="H292" s="13"/>
      <c r="I292" s="11"/>
      <c r="J292" s="11"/>
    </row>
    <row x14ac:dyDescent="0.25" r="293" customHeight="1" ht="17.25">
      <c r="A293" s="14" t="s">
        <v>3</v>
      </c>
      <c r="B293" s="14" t="s">
        <v>4</v>
      </c>
      <c r="C293" s="14" t="s">
        <v>5</v>
      </c>
      <c r="D293" s="14" t="s">
        <v>6</v>
      </c>
      <c r="E293" s="15" t="s">
        <v>7</v>
      </c>
      <c r="F293" s="14" t="s">
        <v>8</v>
      </c>
      <c r="G293" s="14" t="s">
        <v>9</v>
      </c>
      <c r="H293" s="16" t="s">
        <v>10</v>
      </c>
      <c r="I293" s="14" t="s">
        <v>11</v>
      </c>
      <c r="J293" s="14" t="s">
        <v>12</v>
      </c>
    </row>
    <row x14ac:dyDescent="0.25" r="294" customHeight="1" ht="17.25">
      <c r="A294" s="17" t="s">
        <v>5949</v>
      </c>
      <c r="B294" s="17" t="s">
        <v>476</v>
      </c>
      <c r="C294" s="17" t="s">
        <v>95</v>
      </c>
      <c r="D294" s="17" t="s">
        <v>16</v>
      </c>
      <c r="E294" s="26">
        <f>ROUND(17800*1.05,2)</f>
      </c>
      <c r="F294" s="17" t="s">
        <v>17</v>
      </c>
      <c r="G294" s="17" t="s">
        <v>18</v>
      </c>
      <c r="H294" s="18">
        <f>ROUND(RAND()*4+6,1)</f>
      </c>
      <c r="I294" s="17" t="s">
        <v>19</v>
      </c>
      <c r="J294" s="19">
        <f>ROUND(100*1,0)&amp;"%"</f>
      </c>
    </row>
    <row x14ac:dyDescent="0.25" r="295" customHeight="1" ht="17.25">
      <c r="A295" s="20" t="s">
        <v>5950</v>
      </c>
      <c r="B295" s="20" t="s">
        <v>478</v>
      </c>
      <c r="C295" s="20" t="s">
        <v>95</v>
      </c>
      <c r="D295" s="20" t="s">
        <v>22</v>
      </c>
      <c r="E295" s="21">
        <f>ROUND(5229*1.05,2)</f>
      </c>
      <c r="F295" s="20" t="s">
        <v>23</v>
      </c>
      <c r="G295" s="20" t="s">
        <v>24</v>
      </c>
      <c r="H295" s="21">
        <f>ROUND(RAND()*4+6,1)</f>
      </c>
      <c r="I295" s="20" t="s">
        <v>25</v>
      </c>
      <c r="J295" s="23">
        <f>ROUND(90*1,0)&amp;"%"</f>
      </c>
    </row>
    <row x14ac:dyDescent="0.25" r="296" customHeight="1" ht="17.25">
      <c r="A296" s="17" t="s">
        <v>5951</v>
      </c>
      <c r="B296" s="17" t="s">
        <v>480</v>
      </c>
      <c r="C296" s="17" t="s">
        <v>95</v>
      </c>
      <c r="D296" s="17" t="s">
        <v>28</v>
      </c>
      <c r="E296" s="18">
        <f>ROUND(13061*1.05,2)</f>
      </c>
      <c r="F296" s="17" t="s">
        <v>29</v>
      </c>
      <c r="G296" s="17" t="s">
        <v>30</v>
      </c>
      <c r="H296" s="26">
        <f>ROUND(RAND()*4+6,1)</f>
      </c>
      <c r="I296" s="17" t="s">
        <v>31</v>
      </c>
      <c r="J296" s="19">
        <f>ROUND(95*1,0)&amp;"%"</f>
      </c>
    </row>
    <row x14ac:dyDescent="0.25" r="297" customHeight="1" ht="17.25">
      <c r="A297" s="20" t="s">
        <v>5952</v>
      </c>
      <c r="B297" s="20" t="s">
        <v>482</v>
      </c>
      <c r="C297" s="20" t="s">
        <v>95</v>
      </c>
      <c r="D297" s="20" t="s">
        <v>34</v>
      </c>
      <c r="E297" s="21">
        <f>ROUND(7441*1.05,2)</f>
      </c>
      <c r="F297" s="20" t="s">
        <v>35</v>
      </c>
      <c r="G297" s="20" t="s">
        <v>18</v>
      </c>
      <c r="H297" s="21">
        <f>ROUND(RAND()*4+6,1)</f>
      </c>
      <c r="I297" s="20" t="s">
        <v>36</v>
      </c>
      <c r="J297" s="23">
        <f>ROUND(72*1,0)&amp;"%"</f>
      </c>
    </row>
    <row x14ac:dyDescent="0.25" r="298" customHeight="1" ht="17.25">
      <c r="A298" s="17" t="s">
        <v>5953</v>
      </c>
      <c r="B298" s="17" t="s">
        <v>484</v>
      </c>
      <c r="C298" s="17" t="s">
        <v>95</v>
      </c>
      <c r="D298" s="17" t="s">
        <v>39</v>
      </c>
      <c r="E298" s="18">
        <f>ROUND(13028*1.05,2)</f>
      </c>
      <c r="F298" s="17" t="s">
        <v>40</v>
      </c>
      <c r="G298" s="17" t="s">
        <v>24</v>
      </c>
      <c r="H298" s="18">
        <f>ROUND(RAND()*4+6,1)</f>
      </c>
      <c r="I298" s="17" t="s">
        <v>41</v>
      </c>
      <c r="J298" s="19">
        <f>ROUND(87*1,0)&amp;"%"</f>
      </c>
    </row>
    <row x14ac:dyDescent="0.25" r="299" customHeight="1" ht="17.25">
      <c r="A299" s="20" t="s">
        <v>5954</v>
      </c>
      <c r="B299" s="20" t="s">
        <v>486</v>
      </c>
      <c r="C299" s="20" t="s">
        <v>95</v>
      </c>
      <c r="D299" s="20" t="s">
        <v>67</v>
      </c>
      <c r="E299" s="21">
        <f>ROUND(9314*1.05,2)</f>
      </c>
      <c r="F299" s="20" t="s">
        <v>44</v>
      </c>
      <c r="G299" s="20" t="s">
        <v>30</v>
      </c>
      <c r="H299" s="21">
        <f>ROUND(RAND()*4+6,1)</f>
      </c>
      <c r="I299" s="20" t="s">
        <v>45</v>
      </c>
      <c r="J299" s="23">
        <f>ROUND(72*1,0)&amp;"%"</f>
      </c>
    </row>
    <row x14ac:dyDescent="0.25" r="300" customHeight="1" ht="17.25">
      <c r="A300" s="17" t="s">
        <v>5955</v>
      </c>
      <c r="B300" s="17" t="s">
        <v>488</v>
      </c>
      <c r="C300" s="17" t="s">
        <v>95</v>
      </c>
      <c r="D300" s="17" t="s">
        <v>16</v>
      </c>
      <c r="E300" s="18">
        <f>ROUND(6606*1.05,2)</f>
      </c>
      <c r="F300" s="17" t="s">
        <v>48</v>
      </c>
      <c r="G300" s="17" t="s">
        <v>18</v>
      </c>
      <c r="H300" s="18">
        <f>ROUND(RAND()*4+6,1)</f>
      </c>
      <c r="I300" s="17" t="s">
        <v>19</v>
      </c>
      <c r="J300" s="19">
        <f>ROUND(82*1,0)&amp;"%"</f>
      </c>
    </row>
    <row x14ac:dyDescent="0.25" r="301" customHeight="1" ht="17.25">
      <c r="A301" s="20" t="s">
        <v>5956</v>
      </c>
      <c r="B301" s="20" t="s">
        <v>490</v>
      </c>
      <c r="C301" s="20" t="s">
        <v>95</v>
      </c>
      <c r="D301" s="20" t="s">
        <v>22</v>
      </c>
      <c r="E301" s="21">
        <f>ROUND(13916*1.05,2)</f>
      </c>
      <c r="F301" s="20" t="s">
        <v>51</v>
      </c>
      <c r="G301" s="20" t="s">
        <v>24</v>
      </c>
      <c r="H301" s="21">
        <f>ROUND(RAND()*4+6,1)</f>
      </c>
      <c r="I301" s="20" t="s">
        <v>25</v>
      </c>
      <c r="J301" s="23">
        <f>ROUND(93*1,0)&amp;"%"</f>
      </c>
    </row>
    <row x14ac:dyDescent="0.25" r="302" customHeight="1" ht="17.25">
      <c r="A302" s="24" t="s">
        <v>491</v>
      </c>
      <c r="B302" s="24"/>
      <c r="C302" s="24"/>
      <c r="D302" s="24"/>
      <c r="E302" s="25">
        <v>8</v>
      </c>
      <c r="F302" s="9"/>
      <c r="G302" s="9"/>
      <c r="H302" s="10"/>
      <c r="I302" s="9"/>
      <c r="J302" s="9"/>
    </row>
    <row x14ac:dyDescent="0.25" r="303" customHeight="1" ht="17.25">
      <c r="A303" s="7"/>
      <c r="B303" s="7"/>
      <c r="C303" s="7"/>
      <c r="D303" s="7"/>
      <c r="E303" s="8"/>
      <c r="F303" s="9"/>
      <c r="G303" s="9"/>
      <c r="H303" s="10"/>
      <c r="I303" s="9"/>
      <c r="J303" s="9"/>
    </row>
    <row x14ac:dyDescent="0.25" r="304" customHeight="1" ht="17.25">
      <c r="A304" s="11" t="s">
        <v>5957</v>
      </c>
      <c r="B304" s="11"/>
      <c r="C304" s="11"/>
      <c r="D304" s="11"/>
      <c r="E304" s="12"/>
      <c r="F304" s="11"/>
      <c r="G304" s="11"/>
      <c r="H304" s="13"/>
      <c r="I304" s="11"/>
      <c r="J304" s="11"/>
    </row>
    <row x14ac:dyDescent="0.25" r="305" customHeight="1" ht="17.25">
      <c r="A305" s="14" t="s">
        <v>3</v>
      </c>
      <c r="B305" s="14" t="s">
        <v>4</v>
      </c>
      <c r="C305" s="14" t="s">
        <v>5</v>
      </c>
      <c r="D305" s="14" t="s">
        <v>6</v>
      </c>
      <c r="E305" s="15" t="s">
        <v>7</v>
      </c>
      <c r="F305" s="14" t="s">
        <v>8</v>
      </c>
      <c r="G305" s="14" t="s">
        <v>9</v>
      </c>
      <c r="H305" s="16" t="s">
        <v>10</v>
      </c>
      <c r="I305" s="14" t="s">
        <v>11</v>
      </c>
      <c r="J305" s="14" t="s">
        <v>12</v>
      </c>
    </row>
    <row x14ac:dyDescent="0.25" r="306" customHeight="1" ht="17.25">
      <c r="A306" s="17" t="s">
        <v>5958</v>
      </c>
      <c r="B306" s="17" t="s">
        <v>494</v>
      </c>
      <c r="C306" s="17" t="s">
        <v>114</v>
      </c>
      <c r="D306" s="17" t="s">
        <v>16</v>
      </c>
      <c r="E306" s="18">
        <f>ROUND(15790*1.05,2)</f>
      </c>
      <c r="F306" s="17" t="s">
        <v>17</v>
      </c>
      <c r="G306" s="17" t="s">
        <v>18</v>
      </c>
      <c r="H306" s="18">
        <f>ROUND(RAND()*4+6,1)</f>
      </c>
      <c r="I306" s="17" t="s">
        <v>19</v>
      </c>
      <c r="J306" s="19">
        <f>ROUND(89*1,0)&amp;"%"</f>
      </c>
    </row>
    <row x14ac:dyDescent="0.25" r="307" customHeight="1" ht="17.25">
      <c r="A307" s="20" t="s">
        <v>5959</v>
      </c>
      <c r="B307" s="20" t="s">
        <v>496</v>
      </c>
      <c r="C307" s="20" t="s">
        <v>114</v>
      </c>
      <c r="D307" s="20" t="s">
        <v>22</v>
      </c>
      <c r="E307" s="21">
        <f>ROUND(10510*1.05,2)</f>
      </c>
      <c r="F307" s="20" t="s">
        <v>23</v>
      </c>
      <c r="G307" s="20" t="s">
        <v>24</v>
      </c>
      <c r="H307" s="21">
        <f>ROUND(RAND()*4+6,1)</f>
      </c>
      <c r="I307" s="20" t="s">
        <v>25</v>
      </c>
      <c r="J307" s="23">
        <f>ROUND(98*1,0)&amp;"%"</f>
      </c>
    </row>
    <row x14ac:dyDescent="0.25" r="308" customHeight="1" ht="17.25">
      <c r="A308" s="17" t="s">
        <v>5960</v>
      </c>
      <c r="B308" s="17" t="s">
        <v>498</v>
      </c>
      <c r="C308" s="17" t="s">
        <v>114</v>
      </c>
      <c r="D308" s="17" t="s">
        <v>28</v>
      </c>
      <c r="E308" s="18">
        <f>ROUND(13811*1.05,2)</f>
      </c>
      <c r="F308" s="17" t="s">
        <v>29</v>
      </c>
      <c r="G308" s="17" t="s">
        <v>30</v>
      </c>
      <c r="H308" s="18">
        <f>ROUND(RAND()*4+6,1)</f>
      </c>
      <c r="I308" s="17" t="s">
        <v>31</v>
      </c>
      <c r="J308" s="19">
        <f>ROUND(84*1,0)&amp;"%"</f>
      </c>
    </row>
    <row x14ac:dyDescent="0.25" r="309" customHeight="1" ht="17.25">
      <c r="A309" s="20" t="s">
        <v>5961</v>
      </c>
      <c r="B309" s="20" t="s">
        <v>500</v>
      </c>
      <c r="C309" s="20" t="s">
        <v>114</v>
      </c>
      <c r="D309" s="20" t="s">
        <v>34</v>
      </c>
      <c r="E309" s="21">
        <f>ROUND(5667*1.05,2)</f>
      </c>
      <c r="F309" s="20" t="s">
        <v>35</v>
      </c>
      <c r="G309" s="20" t="s">
        <v>18</v>
      </c>
      <c r="H309" s="21">
        <f>ROUND(RAND()*4+6,1)</f>
      </c>
      <c r="I309" s="20" t="s">
        <v>36</v>
      </c>
      <c r="J309" s="23">
        <f>ROUND(100*1,0)&amp;"%"</f>
      </c>
    </row>
    <row x14ac:dyDescent="0.25" r="310" customHeight="1" ht="17.25">
      <c r="A310" s="17" t="s">
        <v>5962</v>
      </c>
      <c r="B310" s="17" t="s">
        <v>502</v>
      </c>
      <c r="C310" s="17" t="s">
        <v>114</v>
      </c>
      <c r="D310" s="17" t="s">
        <v>39</v>
      </c>
      <c r="E310" s="26">
        <f>ROUND(6200*1.05,2)</f>
      </c>
      <c r="F310" s="17" t="s">
        <v>40</v>
      </c>
      <c r="G310" s="17" t="s">
        <v>24</v>
      </c>
      <c r="H310" s="18">
        <f>ROUND(RAND()*4+6,1)</f>
      </c>
      <c r="I310" s="17" t="s">
        <v>41</v>
      </c>
      <c r="J310" s="19">
        <f>ROUND(77*1,0)&amp;"%"</f>
      </c>
    </row>
    <row x14ac:dyDescent="0.25" r="311" customHeight="1" ht="17.25">
      <c r="A311" s="20" t="s">
        <v>5963</v>
      </c>
      <c r="B311" s="20" t="s">
        <v>504</v>
      </c>
      <c r="C311" s="20" t="s">
        <v>114</v>
      </c>
      <c r="D311" s="20" t="s">
        <v>67</v>
      </c>
      <c r="E311" s="21">
        <f>ROUND(13224*1.05,2)</f>
      </c>
      <c r="F311" s="20" t="s">
        <v>44</v>
      </c>
      <c r="G311" s="20" t="s">
        <v>30</v>
      </c>
      <c r="H311" s="21">
        <f>ROUND(RAND()*4+6,1)</f>
      </c>
      <c r="I311" s="20" t="s">
        <v>45</v>
      </c>
      <c r="J311" s="23">
        <f>ROUND(70*1,0)&amp;"%"</f>
      </c>
    </row>
    <row x14ac:dyDescent="0.25" r="312" customHeight="1" ht="17.25">
      <c r="A312" s="17" t="s">
        <v>5964</v>
      </c>
      <c r="B312" s="17" t="s">
        <v>506</v>
      </c>
      <c r="C312" s="17" t="s">
        <v>114</v>
      </c>
      <c r="D312" s="17" t="s">
        <v>16</v>
      </c>
      <c r="E312" s="18">
        <f>ROUND(6345*1.05,2)</f>
      </c>
      <c r="F312" s="17" t="s">
        <v>48</v>
      </c>
      <c r="G312" s="17" t="s">
        <v>18</v>
      </c>
      <c r="H312" s="18">
        <f>ROUND(RAND()*4+6,1)</f>
      </c>
      <c r="I312" s="17" t="s">
        <v>19</v>
      </c>
      <c r="J312" s="19">
        <f>ROUND(76*1,0)&amp;"%"</f>
      </c>
    </row>
    <row x14ac:dyDescent="0.25" r="313" customHeight="1" ht="17.25">
      <c r="A313" s="20" t="s">
        <v>5965</v>
      </c>
      <c r="B313" s="20" t="s">
        <v>508</v>
      </c>
      <c r="C313" s="20" t="s">
        <v>114</v>
      </c>
      <c r="D313" s="20" t="s">
        <v>22</v>
      </c>
      <c r="E313" s="21">
        <f>ROUND(14146*1.05,2)</f>
      </c>
      <c r="F313" s="20" t="s">
        <v>51</v>
      </c>
      <c r="G313" s="20" t="s">
        <v>24</v>
      </c>
      <c r="H313" s="21">
        <f>ROUND(RAND()*4+6,1)</f>
      </c>
      <c r="I313" s="20" t="s">
        <v>25</v>
      </c>
      <c r="J313" s="23">
        <f>ROUND(78*1,0)&amp;"%"</f>
      </c>
    </row>
    <row x14ac:dyDescent="0.25" r="314" customHeight="1" ht="17.25">
      <c r="A314" s="24" t="s">
        <v>509</v>
      </c>
      <c r="B314" s="24"/>
      <c r="C314" s="24"/>
      <c r="D314" s="24"/>
      <c r="E314" s="25">
        <v>8</v>
      </c>
      <c r="F314" s="9"/>
      <c r="G314" s="9"/>
      <c r="H314" s="10"/>
      <c r="I314" s="9"/>
      <c r="J314" s="9"/>
    </row>
    <row x14ac:dyDescent="0.25" r="315" customHeight="1" ht="17.25">
      <c r="A315" s="7"/>
      <c r="B315" s="7"/>
      <c r="C315" s="7"/>
      <c r="D315" s="7"/>
      <c r="E315" s="8"/>
      <c r="F315" s="9"/>
      <c r="G315" s="9"/>
      <c r="H315" s="10"/>
      <c r="I315" s="9"/>
      <c r="J315" s="9"/>
    </row>
    <row x14ac:dyDescent="0.25" r="316" customHeight="1" ht="17.25">
      <c r="A316" s="11" t="s">
        <v>5966</v>
      </c>
      <c r="B316" s="11"/>
      <c r="C316" s="11"/>
      <c r="D316" s="11"/>
      <c r="E316" s="12"/>
      <c r="F316" s="11"/>
      <c r="G316" s="11"/>
      <c r="H316" s="13"/>
      <c r="I316" s="11"/>
      <c r="J316" s="11"/>
    </row>
    <row x14ac:dyDescent="0.25" r="317" customHeight="1" ht="17.25">
      <c r="A317" s="14" t="s">
        <v>3</v>
      </c>
      <c r="B317" s="14" t="s">
        <v>4</v>
      </c>
      <c r="C317" s="14" t="s">
        <v>5</v>
      </c>
      <c r="D317" s="14" t="s">
        <v>6</v>
      </c>
      <c r="E317" s="15" t="s">
        <v>7</v>
      </c>
      <c r="F317" s="14" t="s">
        <v>8</v>
      </c>
      <c r="G317" s="14" t="s">
        <v>9</v>
      </c>
      <c r="H317" s="16" t="s">
        <v>10</v>
      </c>
      <c r="I317" s="14" t="s">
        <v>11</v>
      </c>
      <c r="J317" s="14" t="s">
        <v>12</v>
      </c>
    </row>
    <row x14ac:dyDescent="0.25" r="318" customHeight="1" ht="17.25">
      <c r="A318" s="17" t="s">
        <v>5967</v>
      </c>
      <c r="B318" s="17" t="s">
        <v>512</v>
      </c>
      <c r="C318" s="17" t="s">
        <v>133</v>
      </c>
      <c r="D318" s="17" t="s">
        <v>16</v>
      </c>
      <c r="E318" s="18">
        <f>ROUND(10797*1.05,2)</f>
      </c>
      <c r="F318" s="17" t="s">
        <v>17</v>
      </c>
      <c r="G318" s="17" t="s">
        <v>18</v>
      </c>
      <c r="H318" s="18">
        <f>ROUND(RAND()*4+6,1)</f>
      </c>
      <c r="I318" s="17" t="s">
        <v>19</v>
      </c>
      <c r="J318" s="19">
        <f>ROUND(83*1,0)&amp;"%"</f>
      </c>
    </row>
    <row x14ac:dyDescent="0.25" r="319" customHeight="1" ht="17.25">
      <c r="A319" s="20" t="s">
        <v>5968</v>
      </c>
      <c r="B319" s="20" t="s">
        <v>514</v>
      </c>
      <c r="C319" s="20" t="s">
        <v>133</v>
      </c>
      <c r="D319" s="20" t="s">
        <v>22</v>
      </c>
      <c r="E319" s="21">
        <f>ROUND(9602*1.05,2)</f>
      </c>
      <c r="F319" s="20" t="s">
        <v>23</v>
      </c>
      <c r="G319" s="20" t="s">
        <v>24</v>
      </c>
      <c r="H319" s="21">
        <f>ROUND(RAND()*4+6,1)</f>
      </c>
      <c r="I319" s="20" t="s">
        <v>25</v>
      </c>
      <c r="J319" s="23">
        <f>ROUND(75*1,0)&amp;"%"</f>
      </c>
    </row>
    <row x14ac:dyDescent="0.25" r="320" customHeight="1" ht="17.25">
      <c r="A320" s="17" t="s">
        <v>5969</v>
      </c>
      <c r="B320" s="17" t="s">
        <v>516</v>
      </c>
      <c r="C320" s="17" t="s">
        <v>133</v>
      </c>
      <c r="D320" s="17" t="s">
        <v>28</v>
      </c>
      <c r="E320" s="18">
        <f>ROUND(17783*1.05,2)</f>
      </c>
      <c r="F320" s="17" t="s">
        <v>29</v>
      </c>
      <c r="G320" s="17" t="s">
        <v>30</v>
      </c>
      <c r="H320" s="18">
        <f>ROUND(RAND()*4+6,1)</f>
      </c>
      <c r="I320" s="17" t="s">
        <v>31</v>
      </c>
      <c r="J320" s="19">
        <f>ROUND(100*1,0)&amp;"%"</f>
      </c>
    </row>
    <row x14ac:dyDescent="0.25" r="321" customHeight="1" ht="17.25">
      <c r="A321" s="20" t="s">
        <v>5970</v>
      </c>
      <c r="B321" s="20" t="s">
        <v>518</v>
      </c>
      <c r="C321" s="20" t="s">
        <v>133</v>
      </c>
      <c r="D321" s="20" t="s">
        <v>34</v>
      </c>
      <c r="E321" s="21">
        <f>ROUND(15810*1.05,2)</f>
      </c>
      <c r="F321" s="20" t="s">
        <v>35</v>
      </c>
      <c r="G321" s="20" t="s">
        <v>18</v>
      </c>
      <c r="H321" s="21">
        <f>ROUND(RAND()*4+6,1)</f>
      </c>
      <c r="I321" s="20" t="s">
        <v>36</v>
      </c>
      <c r="J321" s="23">
        <f>ROUND(71*1,0)&amp;"%"</f>
      </c>
    </row>
    <row x14ac:dyDescent="0.25" r="322" customHeight="1" ht="17.25">
      <c r="A322" s="17" t="s">
        <v>5971</v>
      </c>
      <c r="B322" s="17" t="s">
        <v>520</v>
      </c>
      <c r="C322" s="17" t="s">
        <v>133</v>
      </c>
      <c r="D322" s="17" t="s">
        <v>39</v>
      </c>
      <c r="E322" s="18">
        <f>ROUND(16281*1.05,2)</f>
      </c>
      <c r="F322" s="17" t="s">
        <v>40</v>
      </c>
      <c r="G322" s="17" t="s">
        <v>24</v>
      </c>
      <c r="H322" s="18">
        <f>ROUND(RAND()*4+6,1)</f>
      </c>
      <c r="I322" s="17" t="s">
        <v>41</v>
      </c>
      <c r="J322" s="19">
        <f>ROUND(98*1,0)&amp;"%"</f>
      </c>
    </row>
    <row x14ac:dyDescent="0.25" r="323" customHeight="1" ht="17.25">
      <c r="A323" s="20" t="s">
        <v>5972</v>
      </c>
      <c r="B323" s="20" t="s">
        <v>522</v>
      </c>
      <c r="C323" s="20" t="s">
        <v>133</v>
      </c>
      <c r="D323" s="20" t="s">
        <v>67</v>
      </c>
      <c r="E323" s="21">
        <f>ROUND(5399*1.05,2)</f>
      </c>
      <c r="F323" s="20" t="s">
        <v>44</v>
      </c>
      <c r="G323" s="20" t="s">
        <v>30</v>
      </c>
      <c r="H323" s="21">
        <f>ROUND(RAND()*4+6,1)</f>
      </c>
      <c r="I323" s="20" t="s">
        <v>45</v>
      </c>
      <c r="J323" s="23">
        <f>ROUND(93*1,0)&amp;"%"</f>
      </c>
    </row>
    <row x14ac:dyDescent="0.25" r="324" customHeight="1" ht="17.25">
      <c r="A324" s="17" t="s">
        <v>5973</v>
      </c>
      <c r="B324" s="17" t="s">
        <v>524</v>
      </c>
      <c r="C324" s="17" t="s">
        <v>133</v>
      </c>
      <c r="D324" s="17" t="s">
        <v>16</v>
      </c>
      <c r="E324" s="18">
        <f>ROUND(7982*1.05,2)</f>
      </c>
      <c r="F324" s="17" t="s">
        <v>48</v>
      </c>
      <c r="G324" s="17" t="s">
        <v>18</v>
      </c>
      <c r="H324" s="18">
        <f>ROUND(RAND()*4+6,1)</f>
      </c>
      <c r="I324" s="17" t="s">
        <v>19</v>
      </c>
      <c r="J324" s="19">
        <f>ROUND(93*1,0)&amp;"%"</f>
      </c>
    </row>
    <row x14ac:dyDescent="0.25" r="325" customHeight="1" ht="17.25">
      <c r="A325" s="20" t="s">
        <v>5974</v>
      </c>
      <c r="B325" s="20" t="s">
        <v>526</v>
      </c>
      <c r="C325" s="20" t="s">
        <v>133</v>
      </c>
      <c r="D325" s="20" t="s">
        <v>22</v>
      </c>
      <c r="E325" s="21">
        <f>ROUND(9456*1.05,2)</f>
      </c>
      <c r="F325" s="20" t="s">
        <v>51</v>
      </c>
      <c r="G325" s="20" t="s">
        <v>24</v>
      </c>
      <c r="H325" s="21">
        <f>ROUND(RAND()*4+6,1)</f>
      </c>
      <c r="I325" s="20" t="s">
        <v>25</v>
      </c>
      <c r="J325" s="23">
        <f>ROUND(81*1,0)&amp;"%"</f>
      </c>
    </row>
    <row x14ac:dyDescent="0.25" r="326" customHeight="1" ht="17.25">
      <c r="A326" s="24" t="s">
        <v>527</v>
      </c>
      <c r="B326" s="24"/>
      <c r="C326" s="24"/>
      <c r="D326" s="24"/>
      <c r="E326" s="25">
        <v>8</v>
      </c>
      <c r="F326" s="9"/>
      <c r="G326" s="9"/>
      <c r="H326" s="10"/>
      <c r="I326" s="9"/>
      <c r="J326" s="9"/>
    </row>
    <row x14ac:dyDescent="0.25" r="327" customHeight="1" ht="17.25">
      <c r="A327" s="7"/>
      <c r="B327" s="7"/>
      <c r="C327" s="7"/>
      <c r="D327" s="7"/>
      <c r="E327" s="8"/>
      <c r="F327" s="9"/>
      <c r="G327" s="9"/>
      <c r="H327" s="10"/>
      <c r="I327" s="9"/>
      <c r="J327" s="9"/>
    </row>
    <row x14ac:dyDescent="0.25" r="328" customHeight="1" ht="17.25">
      <c r="A328" s="11" t="s">
        <v>5975</v>
      </c>
      <c r="B328" s="11"/>
      <c r="C328" s="11"/>
      <c r="D328" s="11"/>
      <c r="E328" s="12"/>
      <c r="F328" s="11"/>
      <c r="G328" s="11"/>
      <c r="H328" s="13"/>
      <c r="I328" s="11"/>
      <c r="J328" s="11"/>
    </row>
    <row x14ac:dyDescent="0.25" r="329" customHeight="1" ht="17.25">
      <c r="A329" s="14" t="s">
        <v>3</v>
      </c>
      <c r="B329" s="14" t="s">
        <v>4</v>
      </c>
      <c r="C329" s="14" t="s">
        <v>5</v>
      </c>
      <c r="D329" s="14" t="s">
        <v>6</v>
      </c>
      <c r="E329" s="15" t="s">
        <v>7</v>
      </c>
      <c r="F329" s="14" t="s">
        <v>8</v>
      </c>
      <c r="G329" s="14" t="s">
        <v>9</v>
      </c>
      <c r="H329" s="16" t="s">
        <v>10</v>
      </c>
      <c r="I329" s="14" t="s">
        <v>11</v>
      </c>
      <c r="J329" s="14" t="s">
        <v>12</v>
      </c>
    </row>
    <row x14ac:dyDescent="0.25" r="330" customHeight="1" ht="17.25">
      <c r="A330" s="17" t="s">
        <v>5976</v>
      </c>
      <c r="B330" s="17" t="s">
        <v>530</v>
      </c>
      <c r="C330" s="17" t="s">
        <v>152</v>
      </c>
      <c r="D330" s="17" t="s">
        <v>16</v>
      </c>
      <c r="E330" s="18">
        <f>ROUND(9265*1.05,2)</f>
      </c>
      <c r="F330" s="17" t="s">
        <v>17</v>
      </c>
      <c r="G330" s="17" t="s">
        <v>18</v>
      </c>
      <c r="H330" s="18">
        <f>ROUND(RAND()*4+6,1)</f>
      </c>
      <c r="I330" s="17" t="s">
        <v>19</v>
      </c>
      <c r="J330" s="19">
        <f>ROUND(80*1,0)&amp;"%"</f>
      </c>
    </row>
    <row x14ac:dyDescent="0.25" r="331" customHeight="1" ht="17.25">
      <c r="A331" s="20" t="s">
        <v>5977</v>
      </c>
      <c r="B331" s="20" t="s">
        <v>532</v>
      </c>
      <c r="C331" s="20" t="s">
        <v>152</v>
      </c>
      <c r="D331" s="20" t="s">
        <v>22</v>
      </c>
      <c r="E331" s="21">
        <f>ROUND(12955*1.05,2)</f>
      </c>
      <c r="F331" s="20" t="s">
        <v>23</v>
      </c>
      <c r="G331" s="20" t="s">
        <v>24</v>
      </c>
      <c r="H331" s="21">
        <f>ROUND(RAND()*4+6,1)</f>
      </c>
      <c r="I331" s="20" t="s">
        <v>25</v>
      </c>
      <c r="J331" s="23">
        <f>ROUND(63*1,0)&amp;"%"</f>
      </c>
    </row>
    <row x14ac:dyDescent="0.25" r="332" customHeight="1" ht="17.25">
      <c r="A332" s="17" t="s">
        <v>5978</v>
      </c>
      <c r="B332" s="17" t="s">
        <v>534</v>
      </c>
      <c r="C332" s="17" t="s">
        <v>152</v>
      </c>
      <c r="D332" s="17" t="s">
        <v>28</v>
      </c>
      <c r="E332" s="18">
        <f>ROUND(17063*1.05,2)</f>
      </c>
      <c r="F332" s="17" t="s">
        <v>29</v>
      </c>
      <c r="G332" s="17" t="s">
        <v>30</v>
      </c>
      <c r="H332" s="18">
        <f>ROUND(RAND()*4+6,1)</f>
      </c>
      <c r="I332" s="17" t="s">
        <v>31</v>
      </c>
      <c r="J332" s="19">
        <f>ROUND(76*1,0)&amp;"%"</f>
      </c>
    </row>
    <row x14ac:dyDescent="0.25" r="333" customHeight="1" ht="17.25">
      <c r="A333" s="20" t="s">
        <v>5979</v>
      </c>
      <c r="B333" s="20" t="s">
        <v>536</v>
      </c>
      <c r="C333" s="20" t="s">
        <v>152</v>
      </c>
      <c r="D333" s="20" t="s">
        <v>34</v>
      </c>
      <c r="E333" s="21">
        <f>ROUND(9204*1.05,2)</f>
      </c>
      <c r="F333" s="20" t="s">
        <v>35</v>
      </c>
      <c r="G333" s="20" t="s">
        <v>18</v>
      </c>
      <c r="H333" s="21">
        <f>ROUND(RAND()*4+6,1)</f>
      </c>
      <c r="I333" s="20" t="s">
        <v>36</v>
      </c>
      <c r="J333" s="23">
        <f>ROUND(66*1,0)&amp;"%"</f>
      </c>
    </row>
    <row x14ac:dyDescent="0.25" r="334" customHeight="1" ht="17.25">
      <c r="A334" s="17" t="s">
        <v>5980</v>
      </c>
      <c r="B334" s="17" t="s">
        <v>538</v>
      </c>
      <c r="C334" s="17" t="s">
        <v>152</v>
      </c>
      <c r="D334" s="17" t="s">
        <v>39</v>
      </c>
      <c r="E334" s="18">
        <f>ROUND(12037*1.05,2)</f>
      </c>
      <c r="F334" s="17" t="s">
        <v>40</v>
      </c>
      <c r="G334" s="17" t="s">
        <v>24</v>
      </c>
      <c r="H334" s="18">
        <f>ROUND(RAND()*4+6,1)</f>
      </c>
      <c r="I334" s="17" t="s">
        <v>41</v>
      </c>
      <c r="J334" s="19">
        <f>ROUND(97*1,0)&amp;"%"</f>
      </c>
    </row>
    <row x14ac:dyDescent="0.25" r="335" customHeight="1" ht="17.25">
      <c r="A335" s="20" t="s">
        <v>5981</v>
      </c>
      <c r="B335" s="20" t="s">
        <v>540</v>
      </c>
      <c r="C335" s="20" t="s">
        <v>152</v>
      </c>
      <c r="D335" s="20" t="s">
        <v>67</v>
      </c>
      <c r="E335" s="21">
        <f>ROUND(12305*1.05,2)</f>
      </c>
      <c r="F335" s="20" t="s">
        <v>44</v>
      </c>
      <c r="G335" s="20" t="s">
        <v>30</v>
      </c>
      <c r="H335" s="22">
        <f>ROUND(RAND()*4+6,1)</f>
      </c>
      <c r="I335" s="20" t="s">
        <v>45</v>
      </c>
      <c r="J335" s="23">
        <f>ROUND(94*1,0)&amp;"%"</f>
      </c>
    </row>
    <row x14ac:dyDescent="0.25" r="336" customHeight="1" ht="17.25">
      <c r="A336" s="17" t="s">
        <v>5982</v>
      </c>
      <c r="B336" s="17" t="s">
        <v>542</v>
      </c>
      <c r="C336" s="17" t="s">
        <v>152</v>
      </c>
      <c r="D336" s="17" t="s">
        <v>16</v>
      </c>
      <c r="E336" s="18">
        <f>ROUND(15073*1.05,2)</f>
      </c>
      <c r="F336" s="17" t="s">
        <v>48</v>
      </c>
      <c r="G336" s="17" t="s">
        <v>18</v>
      </c>
      <c r="H336" s="18">
        <f>ROUND(RAND()*4+6,1)</f>
      </c>
      <c r="I336" s="17" t="s">
        <v>19</v>
      </c>
      <c r="J336" s="19">
        <f>ROUND(86*1,0)&amp;"%"</f>
      </c>
    </row>
    <row x14ac:dyDescent="0.25" r="337" customHeight="1" ht="17.25">
      <c r="A337" s="20" t="s">
        <v>5983</v>
      </c>
      <c r="B337" s="20" t="s">
        <v>544</v>
      </c>
      <c r="C337" s="20" t="s">
        <v>152</v>
      </c>
      <c r="D337" s="20" t="s">
        <v>22</v>
      </c>
      <c r="E337" s="22">
        <f>ROUND(4660*1.05,2)</f>
      </c>
      <c r="F337" s="20" t="s">
        <v>51</v>
      </c>
      <c r="G337" s="20" t="s">
        <v>24</v>
      </c>
      <c r="H337" s="21">
        <f>ROUND(RAND()*4+6,1)</f>
      </c>
      <c r="I337" s="20" t="s">
        <v>25</v>
      </c>
      <c r="J337" s="23">
        <f>ROUND(62*1,0)&amp;"%"</f>
      </c>
    </row>
    <row x14ac:dyDescent="0.25" r="338" customHeight="1" ht="17.25">
      <c r="A338" s="24" t="s">
        <v>545</v>
      </c>
      <c r="B338" s="24"/>
      <c r="C338" s="24"/>
      <c r="D338" s="24"/>
      <c r="E338" s="25">
        <v>8</v>
      </c>
      <c r="F338" s="9"/>
      <c r="G338" s="9"/>
      <c r="H338" s="10"/>
      <c r="I338" s="9"/>
      <c r="J338" s="9"/>
    </row>
    <row x14ac:dyDescent="0.25" r="339" customHeight="1" ht="17.25">
      <c r="A339" s="7"/>
      <c r="B339" s="7"/>
      <c r="C339" s="7"/>
      <c r="D339" s="7"/>
      <c r="E339" s="8"/>
      <c r="F339" s="9"/>
      <c r="G339" s="9"/>
      <c r="H339" s="10"/>
      <c r="I339" s="9"/>
      <c r="J339" s="9"/>
    </row>
    <row x14ac:dyDescent="0.25" r="340" customHeight="1" ht="17.25">
      <c r="A340" s="11" t="s">
        <v>5984</v>
      </c>
      <c r="B340" s="11"/>
      <c r="C340" s="11"/>
      <c r="D340" s="11"/>
      <c r="E340" s="12"/>
      <c r="F340" s="11"/>
      <c r="G340" s="11"/>
      <c r="H340" s="13"/>
      <c r="I340" s="11"/>
      <c r="J340" s="11"/>
    </row>
    <row x14ac:dyDescent="0.25" r="341" customHeight="1" ht="17.25">
      <c r="A341" s="14" t="s">
        <v>3</v>
      </c>
      <c r="B341" s="14" t="s">
        <v>4</v>
      </c>
      <c r="C341" s="14" t="s">
        <v>5</v>
      </c>
      <c r="D341" s="14" t="s">
        <v>6</v>
      </c>
      <c r="E341" s="15" t="s">
        <v>7</v>
      </c>
      <c r="F341" s="14" t="s">
        <v>8</v>
      </c>
      <c r="G341" s="14" t="s">
        <v>9</v>
      </c>
      <c r="H341" s="16" t="s">
        <v>10</v>
      </c>
      <c r="I341" s="14" t="s">
        <v>11</v>
      </c>
      <c r="J341" s="14" t="s">
        <v>12</v>
      </c>
    </row>
    <row x14ac:dyDescent="0.25" r="342" customHeight="1" ht="17.25">
      <c r="A342" s="17" t="s">
        <v>5985</v>
      </c>
      <c r="B342" s="17" t="s">
        <v>548</v>
      </c>
      <c r="C342" s="17" t="s">
        <v>15</v>
      </c>
      <c r="D342" s="17" t="s">
        <v>16</v>
      </c>
      <c r="E342" s="18">
        <f>ROUND(8625*1.05,2)</f>
      </c>
      <c r="F342" s="17" t="s">
        <v>17</v>
      </c>
      <c r="G342" s="17" t="s">
        <v>18</v>
      </c>
      <c r="H342" s="18">
        <f>ROUND(RAND()*4+6,1)</f>
      </c>
      <c r="I342" s="17" t="s">
        <v>19</v>
      </c>
      <c r="J342" s="19">
        <f>ROUND(70*1,0)&amp;"%"</f>
      </c>
    </row>
    <row x14ac:dyDescent="0.25" r="343" customHeight="1" ht="17.25">
      <c r="A343" s="20" t="s">
        <v>5986</v>
      </c>
      <c r="B343" s="20" t="s">
        <v>550</v>
      </c>
      <c r="C343" s="20" t="s">
        <v>15</v>
      </c>
      <c r="D343" s="20" t="s">
        <v>22</v>
      </c>
      <c r="E343" s="21">
        <f>ROUND(14422*1.05,2)</f>
      </c>
      <c r="F343" s="20" t="s">
        <v>23</v>
      </c>
      <c r="G343" s="20" t="s">
        <v>24</v>
      </c>
      <c r="H343" s="21">
        <f>ROUND(RAND()*4+6,1)</f>
      </c>
      <c r="I343" s="20" t="s">
        <v>25</v>
      </c>
      <c r="J343" s="23">
        <f>ROUND(97*1,0)&amp;"%"</f>
      </c>
    </row>
    <row x14ac:dyDescent="0.25" r="344" customHeight="1" ht="17.25">
      <c r="A344" s="17" t="s">
        <v>5987</v>
      </c>
      <c r="B344" s="17" t="s">
        <v>552</v>
      </c>
      <c r="C344" s="17" t="s">
        <v>15</v>
      </c>
      <c r="D344" s="17" t="s">
        <v>28</v>
      </c>
      <c r="E344" s="26">
        <f>ROUND(9120*1.05,2)</f>
      </c>
      <c r="F344" s="17" t="s">
        <v>29</v>
      </c>
      <c r="G344" s="17" t="s">
        <v>30</v>
      </c>
      <c r="H344" s="18">
        <f>ROUND(RAND()*4+6,1)</f>
      </c>
      <c r="I344" s="17" t="s">
        <v>31</v>
      </c>
      <c r="J344" s="19">
        <f>ROUND(82*1,0)&amp;"%"</f>
      </c>
    </row>
    <row x14ac:dyDescent="0.25" r="345" customHeight="1" ht="17.25">
      <c r="A345" s="20" t="s">
        <v>5988</v>
      </c>
      <c r="B345" s="20" t="s">
        <v>554</v>
      </c>
      <c r="C345" s="20" t="s">
        <v>15</v>
      </c>
      <c r="D345" s="20" t="s">
        <v>34</v>
      </c>
      <c r="E345" s="21">
        <f>ROUND(16663*1.05,2)</f>
      </c>
      <c r="F345" s="20" t="s">
        <v>35</v>
      </c>
      <c r="G345" s="20" t="s">
        <v>18</v>
      </c>
      <c r="H345" s="21">
        <f>ROUND(RAND()*4+6,1)</f>
      </c>
      <c r="I345" s="20" t="s">
        <v>36</v>
      </c>
      <c r="J345" s="23">
        <f>ROUND(85*1,0)&amp;"%"</f>
      </c>
    </row>
    <row x14ac:dyDescent="0.25" r="346" customHeight="1" ht="17.25">
      <c r="A346" s="17" t="s">
        <v>5989</v>
      </c>
      <c r="B346" s="17" t="s">
        <v>556</v>
      </c>
      <c r="C346" s="17" t="s">
        <v>15</v>
      </c>
      <c r="D346" s="17" t="s">
        <v>39</v>
      </c>
      <c r="E346" s="18">
        <f>ROUND(4652*1.05,2)</f>
      </c>
      <c r="F346" s="17" t="s">
        <v>40</v>
      </c>
      <c r="G346" s="17" t="s">
        <v>24</v>
      </c>
      <c r="H346" s="18">
        <f>ROUND(RAND()*4+6,1)</f>
      </c>
      <c r="I346" s="17" t="s">
        <v>41</v>
      </c>
      <c r="J346" s="19">
        <f>ROUND(75*1,0)&amp;"%"</f>
      </c>
    </row>
    <row x14ac:dyDescent="0.25" r="347" customHeight="1" ht="17.25">
      <c r="A347" s="20" t="s">
        <v>5990</v>
      </c>
      <c r="B347" s="20" t="s">
        <v>558</v>
      </c>
      <c r="C347" s="20" t="s">
        <v>15</v>
      </c>
      <c r="D347" s="20" t="s">
        <v>67</v>
      </c>
      <c r="E347" s="21">
        <f>ROUND(17455*1.05,2)</f>
      </c>
      <c r="F347" s="20" t="s">
        <v>44</v>
      </c>
      <c r="G347" s="20" t="s">
        <v>30</v>
      </c>
      <c r="H347" s="21">
        <f>ROUND(RAND()*4+6,1)</f>
      </c>
      <c r="I347" s="20" t="s">
        <v>45</v>
      </c>
      <c r="J347" s="23">
        <f>ROUND(83*1,0)&amp;"%"</f>
      </c>
    </row>
    <row x14ac:dyDescent="0.25" r="348" customHeight="1" ht="17.25">
      <c r="A348" s="17" t="s">
        <v>5991</v>
      </c>
      <c r="B348" s="17" t="s">
        <v>560</v>
      </c>
      <c r="C348" s="17" t="s">
        <v>15</v>
      </c>
      <c r="D348" s="17" t="s">
        <v>16</v>
      </c>
      <c r="E348" s="18">
        <f>ROUND(11791*1.05,2)</f>
      </c>
      <c r="F348" s="17" t="s">
        <v>48</v>
      </c>
      <c r="G348" s="17" t="s">
        <v>18</v>
      </c>
      <c r="H348" s="18">
        <f>ROUND(RAND()*4+6,1)</f>
      </c>
      <c r="I348" s="17" t="s">
        <v>19</v>
      </c>
      <c r="J348" s="19">
        <f>ROUND(62*1,0)&amp;"%"</f>
      </c>
    </row>
    <row x14ac:dyDescent="0.25" r="349" customHeight="1" ht="17.25">
      <c r="A349" s="20" t="s">
        <v>5992</v>
      </c>
      <c r="B349" s="20" t="s">
        <v>562</v>
      </c>
      <c r="C349" s="20" t="s">
        <v>15</v>
      </c>
      <c r="D349" s="20" t="s">
        <v>22</v>
      </c>
      <c r="E349" s="21">
        <f>ROUND(16747*1.05,2)</f>
      </c>
      <c r="F349" s="20" t="s">
        <v>51</v>
      </c>
      <c r="G349" s="20" t="s">
        <v>24</v>
      </c>
      <c r="H349" s="21">
        <f>ROUND(RAND()*4+6,1)</f>
      </c>
      <c r="I349" s="20" t="s">
        <v>25</v>
      </c>
      <c r="J349" s="23">
        <f>ROUND(63*1,0)&amp;"%"</f>
      </c>
    </row>
    <row x14ac:dyDescent="0.25" r="350" customHeight="1" ht="17.25">
      <c r="A350" s="24" t="s">
        <v>563</v>
      </c>
      <c r="B350" s="24"/>
      <c r="C350" s="24"/>
      <c r="D350" s="24"/>
      <c r="E350" s="25">
        <v>8</v>
      </c>
      <c r="F350" s="9"/>
      <c r="G350" s="9"/>
      <c r="H350" s="10"/>
      <c r="I350" s="9"/>
      <c r="J350" s="9"/>
    </row>
    <row x14ac:dyDescent="0.25" r="351" customHeight="1" ht="17.25">
      <c r="A351" s="7"/>
      <c r="B351" s="7"/>
      <c r="C351" s="7"/>
      <c r="D351" s="7"/>
      <c r="E351" s="8"/>
      <c r="F351" s="9"/>
      <c r="G351" s="9"/>
      <c r="H351" s="10"/>
      <c r="I351" s="9"/>
      <c r="J351" s="9"/>
    </row>
    <row x14ac:dyDescent="0.25" r="352" customHeight="1" ht="17.25">
      <c r="A352" s="11" t="s">
        <v>5993</v>
      </c>
      <c r="B352" s="11"/>
      <c r="C352" s="11"/>
      <c r="D352" s="11"/>
      <c r="E352" s="12"/>
      <c r="F352" s="11"/>
      <c r="G352" s="11"/>
      <c r="H352" s="13"/>
      <c r="I352" s="11"/>
      <c r="J352" s="11"/>
    </row>
    <row x14ac:dyDescent="0.25" r="353" customHeight="1" ht="17.25">
      <c r="A353" s="14" t="s">
        <v>3</v>
      </c>
      <c r="B353" s="14" t="s">
        <v>4</v>
      </c>
      <c r="C353" s="14" t="s">
        <v>5</v>
      </c>
      <c r="D353" s="14" t="s">
        <v>6</v>
      </c>
      <c r="E353" s="15" t="s">
        <v>7</v>
      </c>
      <c r="F353" s="14" t="s">
        <v>8</v>
      </c>
      <c r="G353" s="14" t="s">
        <v>9</v>
      </c>
      <c r="H353" s="16" t="s">
        <v>10</v>
      </c>
      <c r="I353" s="14" t="s">
        <v>11</v>
      </c>
      <c r="J353" s="14" t="s">
        <v>12</v>
      </c>
    </row>
    <row x14ac:dyDescent="0.25" r="354" customHeight="1" ht="17.25">
      <c r="A354" s="17" t="s">
        <v>5994</v>
      </c>
      <c r="B354" s="17" t="s">
        <v>566</v>
      </c>
      <c r="C354" s="17" t="s">
        <v>56</v>
      </c>
      <c r="D354" s="17" t="s">
        <v>16</v>
      </c>
      <c r="E354" s="18">
        <f>ROUND(8308*1.05,2)</f>
      </c>
      <c r="F354" s="17" t="s">
        <v>17</v>
      </c>
      <c r="G354" s="17" t="s">
        <v>18</v>
      </c>
      <c r="H354" s="18">
        <f>ROUND(RAND()*4+6,1)</f>
      </c>
      <c r="I354" s="17" t="s">
        <v>19</v>
      </c>
      <c r="J354" s="19">
        <f>ROUND(68*1,0)&amp;"%"</f>
      </c>
    </row>
    <row x14ac:dyDescent="0.25" r="355" customHeight="1" ht="17.25">
      <c r="A355" s="20" t="s">
        <v>5995</v>
      </c>
      <c r="B355" s="20" t="s">
        <v>568</v>
      </c>
      <c r="C355" s="20" t="s">
        <v>56</v>
      </c>
      <c r="D355" s="20" t="s">
        <v>22</v>
      </c>
      <c r="E355" s="21">
        <f>ROUND(17551*1.05,2)</f>
      </c>
      <c r="F355" s="20" t="s">
        <v>23</v>
      </c>
      <c r="G355" s="20" t="s">
        <v>24</v>
      </c>
      <c r="H355" s="21">
        <f>ROUND(RAND()*4+6,1)</f>
      </c>
      <c r="I355" s="20" t="s">
        <v>25</v>
      </c>
      <c r="J355" s="23">
        <f>ROUND(95*1,0)&amp;"%"</f>
      </c>
    </row>
    <row x14ac:dyDescent="0.25" r="356" customHeight="1" ht="17.25">
      <c r="A356" s="17" t="s">
        <v>5996</v>
      </c>
      <c r="B356" s="17" t="s">
        <v>570</v>
      </c>
      <c r="C356" s="17" t="s">
        <v>56</v>
      </c>
      <c r="D356" s="17" t="s">
        <v>28</v>
      </c>
      <c r="E356" s="18">
        <f>ROUND(5439*1.05,2)</f>
      </c>
      <c r="F356" s="17" t="s">
        <v>29</v>
      </c>
      <c r="G356" s="17" t="s">
        <v>30</v>
      </c>
      <c r="H356" s="18">
        <f>ROUND(RAND()*4+6,1)</f>
      </c>
      <c r="I356" s="17" t="s">
        <v>31</v>
      </c>
      <c r="J356" s="19">
        <f>ROUND(73*1,0)&amp;"%"</f>
      </c>
    </row>
    <row x14ac:dyDescent="0.25" r="357" customHeight="1" ht="17.25">
      <c r="A357" s="20" t="s">
        <v>5997</v>
      </c>
      <c r="B357" s="20" t="s">
        <v>572</v>
      </c>
      <c r="C357" s="20" t="s">
        <v>56</v>
      </c>
      <c r="D357" s="20" t="s">
        <v>34</v>
      </c>
      <c r="E357" s="21">
        <f>ROUND(10802*1.05,2)</f>
      </c>
      <c r="F357" s="20" t="s">
        <v>35</v>
      </c>
      <c r="G357" s="20" t="s">
        <v>18</v>
      </c>
      <c r="H357" s="21">
        <f>ROUND(RAND()*4+6,1)</f>
      </c>
      <c r="I357" s="20" t="s">
        <v>36</v>
      </c>
      <c r="J357" s="23">
        <f>ROUND(79*1,0)&amp;"%"</f>
      </c>
    </row>
    <row x14ac:dyDescent="0.25" r="358" customHeight="1" ht="17.25">
      <c r="A358" s="17" t="s">
        <v>5998</v>
      </c>
      <c r="B358" s="17" t="s">
        <v>574</v>
      </c>
      <c r="C358" s="17" t="s">
        <v>56</v>
      </c>
      <c r="D358" s="17" t="s">
        <v>39</v>
      </c>
      <c r="E358" s="18">
        <f>ROUND(17259*1.05,2)</f>
      </c>
      <c r="F358" s="17" t="s">
        <v>40</v>
      </c>
      <c r="G358" s="17" t="s">
        <v>24</v>
      </c>
      <c r="H358" s="18">
        <f>ROUND(RAND()*4+6,1)</f>
      </c>
      <c r="I358" s="17" t="s">
        <v>41</v>
      </c>
      <c r="J358" s="19">
        <f>ROUND(68*1,0)&amp;"%"</f>
      </c>
    </row>
    <row x14ac:dyDescent="0.25" r="359" customHeight="1" ht="17.25">
      <c r="A359" s="20" t="s">
        <v>5999</v>
      </c>
      <c r="B359" s="20" t="s">
        <v>576</v>
      </c>
      <c r="C359" s="20" t="s">
        <v>56</v>
      </c>
      <c r="D359" s="20" t="s">
        <v>67</v>
      </c>
      <c r="E359" s="21">
        <f>ROUND(12214*1.05,2)</f>
      </c>
      <c r="F359" s="20" t="s">
        <v>44</v>
      </c>
      <c r="G359" s="20" t="s">
        <v>30</v>
      </c>
      <c r="H359" s="21">
        <f>ROUND(RAND()*4+6,1)</f>
      </c>
      <c r="I359" s="20" t="s">
        <v>45</v>
      </c>
      <c r="J359" s="23">
        <f>ROUND(84*1,0)&amp;"%"</f>
      </c>
    </row>
    <row x14ac:dyDescent="0.25" r="360" customHeight="1" ht="17.25">
      <c r="A360" s="17" t="s">
        <v>6000</v>
      </c>
      <c r="B360" s="17" t="s">
        <v>578</v>
      </c>
      <c r="C360" s="17" t="s">
        <v>56</v>
      </c>
      <c r="D360" s="17" t="s">
        <v>16</v>
      </c>
      <c r="E360" s="18">
        <f>ROUND(11745*1.05,2)</f>
      </c>
      <c r="F360" s="17" t="s">
        <v>48</v>
      </c>
      <c r="G360" s="17" t="s">
        <v>18</v>
      </c>
      <c r="H360" s="18">
        <f>ROUND(RAND()*4+6,1)</f>
      </c>
      <c r="I360" s="17" t="s">
        <v>19</v>
      </c>
      <c r="J360" s="19">
        <f>ROUND(91*1,0)&amp;"%"</f>
      </c>
    </row>
    <row x14ac:dyDescent="0.25" r="361" customHeight="1" ht="17.25">
      <c r="A361" s="20" t="s">
        <v>6001</v>
      </c>
      <c r="B361" s="20" t="s">
        <v>580</v>
      </c>
      <c r="C361" s="20" t="s">
        <v>56</v>
      </c>
      <c r="D361" s="20" t="s">
        <v>22</v>
      </c>
      <c r="E361" s="21">
        <f>ROUND(17491*1.05,2)</f>
      </c>
      <c r="F361" s="20" t="s">
        <v>51</v>
      </c>
      <c r="G361" s="20" t="s">
        <v>24</v>
      </c>
      <c r="H361" s="21">
        <f>ROUND(RAND()*4+6,1)</f>
      </c>
      <c r="I361" s="20" t="s">
        <v>25</v>
      </c>
      <c r="J361" s="23">
        <f>ROUND(90*1,0)&amp;"%"</f>
      </c>
    </row>
    <row x14ac:dyDescent="0.25" r="362" customHeight="1" ht="17.25">
      <c r="A362" s="24" t="s">
        <v>581</v>
      </c>
      <c r="B362" s="24"/>
      <c r="C362" s="24"/>
      <c r="D362" s="24"/>
      <c r="E362" s="25">
        <v>8</v>
      </c>
      <c r="F362" s="9"/>
      <c r="G362" s="9"/>
      <c r="H362" s="10"/>
      <c r="I362" s="9"/>
      <c r="J362" s="9"/>
    </row>
  </sheetData>
  <mergeCells count="62">
    <mergeCell ref="A1:J1"/>
    <mergeCell ref="A2:J2"/>
    <mergeCell ref="A4:J4"/>
    <mergeCell ref="A14:D14"/>
    <mergeCell ref="A16:J16"/>
    <mergeCell ref="A26:D26"/>
    <mergeCell ref="A28:J28"/>
    <mergeCell ref="A38:D38"/>
    <mergeCell ref="A40:J40"/>
    <mergeCell ref="A50:D50"/>
    <mergeCell ref="A52:J52"/>
    <mergeCell ref="A62:D62"/>
    <mergeCell ref="A64:J64"/>
    <mergeCell ref="A74:D74"/>
    <mergeCell ref="A76:J76"/>
    <mergeCell ref="A86:D86"/>
    <mergeCell ref="A88:J88"/>
    <mergeCell ref="A98:D98"/>
    <mergeCell ref="A100:J100"/>
    <mergeCell ref="A110:D110"/>
    <mergeCell ref="A112:J112"/>
    <mergeCell ref="A122:D122"/>
    <mergeCell ref="A124:J124"/>
    <mergeCell ref="A134:D134"/>
    <mergeCell ref="A136:J136"/>
    <mergeCell ref="A146:D146"/>
    <mergeCell ref="A148:J148"/>
    <mergeCell ref="A158:D158"/>
    <mergeCell ref="A160:J160"/>
    <mergeCell ref="A170:D170"/>
    <mergeCell ref="A172:J172"/>
    <mergeCell ref="A182:D182"/>
    <mergeCell ref="A184:J184"/>
    <mergeCell ref="A194:D194"/>
    <mergeCell ref="A196:J196"/>
    <mergeCell ref="A206:D206"/>
    <mergeCell ref="A208:J208"/>
    <mergeCell ref="A218:D218"/>
    <mergeCell ref="A220:J220"/>
    <mergeCell ref="A230:D230"/>
    <mergeCell ref="A232:J232"/>
    <mergeCell ref="A242:D242"/>
    <mergeCell ref="A244:J244"/>
    <mergeCell ref="A254:D254"/>
    <mergeCell ref="A256:J256"/>
    <mergeCell ref="A266:D266"/>
    <mergeCell ref="A268:J268"/>
    <mergeCell ref="A278:D278"/>
    <mergeCell ref="A280:J280"/>
    <mergeCell ref="A290:D290"/>
    <mergeCell ref="A292:J292"/>
    <mergeCell ref="A302:D302"/>
    <mergeCell ref="A304:J304"/>
    <mergeCell ref="A314:D314"/>
    <mergeCell ref="A316:J316"/>
    <mergeCell ref="A326:D326"/>
    <mergeCell ref="A328:J328"/>
    <mergeCell ref="A338:D338"/>
    <mergeCell ref="A340:J340"/>
    <mergeCell ref="A350:D350"/>
    <mergeCell ref="A352:J352"/>
    <mergeCell ref="A362:D362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J362"/>
  <sheetViews>
    <sheetView workbookViewId="0"/>
  </sheetViews>
  <sheetFormatPr defaultRowHeight="15" x14ac:dyDescent="0.25"/>
  <cols>
    <col min="1" max="1" style="27" width="8.005" customWidth="1" bestFit="1"/>
    <col min="2" max="2" style="27" width="22.005" customWidth="1" bestFit="1"/>
    <col min="3" max="3" style="27" width="16.005" customWidth="1" bestFit="1"/>
    <col min="4" max="4" style="27" width="14.005" customWidth="1" bestFit="1"/>
    <col min="5" max="5" style="28" width="12.005" customWidth="1" bestFit="1"/>
    <col min="6" max="6" style="29" width="16.005" customWidth="1" bestFit="1"/>
    <col min="7" max="7" style="29" width="10.005" customWidth="1" bestFit="1"/>
    <col min="8" max="8" style="30" width="10.005" customWidth="1" bestFit="1"/>
    <col min="9" max="9" style="29" width="14.005" customWidth="1" bestFit="1"/>
    <col min="10" max="10" style="29" width="8.005" customWidth="1" bestFit="1"/>
  </cols>
  <sheetData>
    <row x14ac:dyDescent="0.25" r="1" customHeight="1" ht="17.25">
      <c r="A1" s="1" t="s">
        <v>5460</v>
      </c>
      <c r="B1" s="1"/>
      <c r="C1" s="1"/>
      <c r="D1" s="1"/>
      <c r="E1" s="2"/>
      <c r="F1" s="1"/>
      <c r="G1" s="1"/>
      <c r="H1" s="3"/>
      <c r="I1" s="1"/>
      <c r="J1" s="1"/>
    </row>
    <row x14ac:dyDescent="0.25" r="2" customHeight="1" ht="17.25">
      <c r="A2" s="4" t="s">
        <v>1</v>
      </c>
      <c r="B2" s="4"/>
      <c r="C2" s="4"/>
      <c r="D2" s="4"/>
      <c r="E2" s="5"/>
      <c r="F2" s="4"/>
      <c r="G2" s="4"/>
      <c r="H2" s="6"/>
      <c r="I2" s="4"/>
      <c r="J2" s="4"/>
    </row>
    <row x14ac:dyDescent="0.25" r="3" customHeight="1" ht="17.25">
      <c r="A3" s="7"/>
      <c r="B3" s="7"/>
      <c r="C3" s="7"/>
      <c r="D3" s="7"/>
      <c r="E3" s="8"/>
      <c r="F3" s="9"/>
      <c r="G3" s="9"/>
      <c r="H3" s="10"/>
      <c r="I3" s="9"/>
      <c r="J3" s="9"/>
    </row>
    <row x14ac:dyDescent="0.25" r="4" customHeight="1" ht="17.25">
      <c r="A4" s="11" t="s">
        <v>5461</v>
      </c>
      <c r="B4" s="11"/>
      <c r="C4" s="11"/>
      <c r="D4" s="11"/>
      <c r="E4" s="12"/>
      <c r="F4" s="11"/>
      <c r="G4" s="11"/>
      <c r="H4" s="13"/>
      <c r="I4" s="11"/>
      <c r="J4" s="11"/>
    </row>
    <row x14ac:dyDescent="0.25" r="5" customHeight="1" ht="17.25">
      <c r="A5" s="14" t="s">
        <v>3</v>
      </c>
      <c r="B5" s="14" t="s">
        <v>4</v>
      </c>
      <c r="C5" s="14" t="s">
        <v>5</v>
      </c>
      <c r="D5" s="14" t="s">
        <v>6</v>
      </c>
      <c r="E5" s="15" t="s">
        <v>7</v>
      </c>
      <c r="F5" s="14" t="s">
        <v>8</v>
      </c>
      <c r="G5" s="14" t="s">
        <v>9</v>
      </c>
      <c r="H5" s="16" t="s">
        <v>10</v>
      </c>
      <c r="I5" s="14" t="s">
        <v>11</v>
      </c>
      <c r="J5" s="14" t="s">
        <v>12</v>
      </c>
    </row>
    <row x14ac:dyDescent="0.25" r="6" customHeight="1" ht="17.25">
      <c r="A6" s="17" t="s">
        <v>5462</v>
      </c>
      <c r="B6" s="17" t="s">
        <v>14</v>
      </c>
      <c r="C6" s="17" t="s">
        <v>15</v>
      </c>
      <c r="D6" s="17" t="s">
        <v>16</v>
      </c>
      <c r="E6" s="18">
        <f>ROUND(17902*1.05,2)</f>
      </c>
      <c r="F6" s="17" t="s">
        <v>17</v>
      </c>
      <c r="G6" s="17" t="s">
        <v>18</v>
      </c>
      <c r="H6" s="18">
        <f>ROUND(RAND()*4+6,1)</f>
      </c>
      <c r="I6" s="17" t="s">
        <v>19</v>
      </c>
      <c r="J6" s="19">
        <f>ROUND(67*1,0)&amp;"%"</f>
      </c>
    </row>
    <row x14ac:dyDescent="0.25" r="7" customHeight="1" ht="17.25">
      <c r="A7" s="20" t="s">
        <v>5463</v>
      </c>
      <c r="B7" s="20" t="s">
        <v>21</v>
      </c>
      <c r="C7" s="20" t="s">
        <v>15</v>
      </c>
      <c r="D7" s="20" t="s">
        <v>22</v>
      </c>
      <c r="E7" s="21">
        <f>ROUND(7877*1.05,2)</f>
      </c>
      <c r="F7" s="20" t="s">
        <v>23</v>
      </c>
      <c r="G7" s="20" t="s">
        <v>24</v>
      </c>
      <c r="H7" s="21">
        <f>ROUND(RAND()*4+6,1)</f>
      </c>
      <c r="I7" s="20" t="s">
        <v>25</v>
      </c>
      <c r="J7" s="23">
        <f>ROUND(77*1,0)&amp;"%"</f>
      </c>
    </row>
    <row x14ac:dyDescent="0.25" r="8" customHeight="1" ht="17.25">
      <c r="A8" s="17" t="s">
        <v>5464</v>
      </c>
      <c r="B8" s="17" t="s">
        <v>27</v>
      </c>
      <c r="C8" s="17" t="s">
        <v>15</v>
      </c>
      <c r="D8" s="17" t="s">
        <v>28</v>
      </c>
      <c r="E8" s="18">
        <f>ROUND(8034*1.05,2)</f>
      </c>
      <c r="F8" s="17" t="s">
        <v>29</v>
      </c>
      <c r="G8" s="17" t="s">
        <v>30</v>
      </c>
      <c r="H8" s="26">
        <f>ROUND(RAND()*4+6,1)</f>
      </c>
      <c r="I8" s="17" t="s">
        <v>31</v>
      </c>
      <c r="J8" s="19">
        <f>ROUND(96*1,0)&amp;"%"</f>
      </c>
    </row>
    <row x14ac:dyDescent="0.25" r="9" customHeight="1" ht="17.25">
      <c r="A9" s="20" t="s">
        <v>5465</v>
      </c>
      <c r="B9" s="20" t="s">
        <v>33</v>
      </c>
      <c r="C9" s="20" t="s">
        <v>15</v>
      </c>
      <c r="D9" s="20" t="s">
        <v>34</v>
      </c>
      <c r="E9" s="21">
        <f>ROUND(5438*1.05,2)</f>
      </c>
      <c r="F9" s="20" t="s">
        <v>35</v>
      </c>
      <c r="G9" s="20" t="s">
        <v>18</v>
      </c>
      <c r="H9" s="21">
        <f>ROUND(RAND()*4+6,1)</f>
      </c>
      <c r="I9" s="20" t="s">
        <v>36</v>
      </c>
      <c r="J9" s="23">
        <f>ROUND(66*1,0)&amp;"%"</f>
      </c>
    </row>
    <row x14ac:dyDescent="0.25" r="10" customHeight="1" ht="17.25">
      <c r="A10" s="17" t="s">
        <v>5466</v>
      </c>
      <c r="B10" s="17" t="s">
        <v>38</v>
      </c>
      <c r="C10" s="17" t="s">
        <v>15</v>
      </c>
      <c r="D10" s="17" t="s">
        <v>39</v>
      </c>
      <c r="E10" s="18">
        <f>ROUND(8542*1.05,2)</f>
      </c>
      <c r="F10" s="17" t="s">
        <v>40</v>
      </c>
      <c r="G10" s="17" t="s">
        <v>24</v>
      </c>
      <c r="H10" s="18">
        <f>ROUND(RAND()*4+6,1)</f>
      </c>
      <c r="I10" s="17" t="s">
        <v>41</v>
      </c>
      <c r="J10" s="19">
        <f>ROUND(88*1,0)&amp;"%"</f>
      </c>
    </row>
    <row x14ac:dyDescent="0.25" r="11" customHeight="1" ht="17.25">
      <c r="A11" s="20" t="s">
        <v>5467</v>
      </c>
      <c r="B11" s="20" t="s">
        <v>43</v>
      </c>
      <c r="C11" s="20" t="s">
        <v>15</v>
      </c>
      <c r="D11" s="20" t="s">
        <v>67</v>
      </c>
      <c r="E11" s="21">
        <f>ROUND(9268*1.05,2)</f>
      </c>
      <c r="F11" s="20" t="s">
        <v>44</v>
      </c>
      <c r="G11" s="20" t="s">
        <v>30</v>
      </c>
      <c r="H11" s="21">
        <f>ROUND(RAND()*4+6,1)</f>
      </c>
      <c r="I11" s="20" t="s">
        <v>45</v>
      </c>
      <c r="J11" s="23">
        <f>ROUND(70*1,0)&amp;"%"</f>
      </c>
    </row>
    <row x14ac:dyDescent="0.25" r="12" customHeight="1" ht="17.25">
      <c r="A12" s="17" t="s">
        <v>5468</v>
      </c>
      <c r="B12" s="17" t="s">
        <v>47</v>
      </c>
      <c r="C12" s="17" t="s">
        <v>15</v>
      </c>
      <c r="D12" s="17" t="s">
        <v>16</v>
      </c>
      <c r="E12" s="18">
        <f>ROUND(4630*1.05,2)</f>
      </c>
      <c r="F12" s="17" t="s">
        <v>48</v>
      </c>
      <c r="G12" s="17" t="s">
        <v>18</v>
      </c>
      <c r="H12" s="18">
        <f>ROUND(RAND()*4+6,1)</f>
      </c>
      <c r="I12" s="17" t="s">
        <v>19</v>
      </c>
      <c r="J12" s="19">
        <f>ROUND(65*1,0)&amp;"%"</f>
      </c>
    </row>
    <row x14ac:dyDescent="0.25" r="13" customHeight="1" ht="17.25">
      <c r="A13" s="20" t="s">
        <v>5469</v>
      </c>
      <c r="B13" s="20" t="s">
        <v>50</v>
      </c>
      <c r="C13" s="20" t="s">
        <v>15</v>
      </c>
      <c r="D13" s="20" t="s">
        <v>22</v>
      </c>
      <c r="E13" s="21">
        <f>ROUND(9854*1.05,2)</f>
      </c>
      <c r="F13" s="20" t="s">
        <v>51</v>
      </c>
      <c r="G13" s="20" t="s">
        <v>24</v>
      </c>
      <c r="H13" s="21">
        <f>ROUND(RAND()*4+6,1)</f>
      </c>
      <c r="I13" s="20" t="s">
        <v>25</v>
      </c>
      <c r="J13" s="23">
        <f>ROUND(78*1,0)&amp;"%"</f>
      </c>
    </row>
    <row x14ac:dyDescent="0.25" r="14" customHeight="1" ht="17.25">
      <c r="A14" s="24" t="s">
        <v>52</v>
      </c>
      <c r="B14" s="24"/>
      <c r="C14" s="24"/>
      <c r="D14" s="24"/>
      <c r="E14" s="25">
        <v>8</v>
      </c>
      <c r="F14" s="9"/>
      <c r="G14" s="9"/>
      <c r="H14" s="10"/>
      <c r="I14" s="9"/>
      <c r="J14" s="9"/>
    </row>
    <row x14ac:dyDescent="0.25" r="15" customHeight="1" ht="17.25">
      <c r="A15" s="7"/>
      <c r="B15" s="7"/>
      <c r="C15" s="7"/>
      <c r="D15" s="7"/>
      <c r="E15" s="8"/>
      <c r="F15" s="9"/>
      <c r="G15" s="9"/>
      <c r="H15" s="10"/>
      <c r="I15" s="9"/>
      <c r="J15" s="9"/>
    </row>
    <row x14ac:dyDescent="0.25" r="16" customHeight="1" ht="17.25">
      <c r="A16" s="11" t="s">
        <v>5470</v>
      </c>
      <c r="B16" s="11"/>
      <c r="C16" s="11"/>
      <c r="D16" s="11"/>
      <c r="E16" s="12"/>
      <c r="F16" s="11"/>
      <c r="G16" s="11"/>
      <c r="H16" s="13"/>
      <c r="I16" s="11"/>
      <c r="J16" s="11"/>
    </row>
    <row x14ac:dyDescent="0.25" r="17" customHeight="1" ht="17.25">
      <c r="A17" s="14" t="s">
        <v>3</v>
      </c>
      <c r="B17" s="14" t="s">
        <v>4</v>
      </c>
      <c r="C17" s="14" t="s">
        <v>5</v>
      </c>
      <c r="D17" s="14" t="s">
        <v>6</v>
      </c>
      <c r="E17" s="15" t="s">
        <v>7</v>
      </c>
      <c r="F17" s="14" t="s">
        <v>8</v>
      </c>
      <c r="G17" s="14" t="s">
        <v>9</v>
      </c>
      <c r="H17" s="16" t="s">
        <v>10</v>
      </c>
      <c r="I17" s="14" t="s">
        <v>11</v>
      </c>
      <c r="J17" s="14" t="s">
        <v>12</v>
      </c>
    </row>
    <row x14ac:dyDescent="0.25" r="18" customHeight="1" ht="17.25">
      <c r="A18" s="17" t="s">
        <v>5471</v>
      </c>
      <c r="B18" s="17" t="s">
        <v>55</v>
      </c>
      <c r="C18" s="17" t="s">
        <v>56</v>
      </c>
      <c r="D18" s="17" t="s">
        <v>16</v>
      </c>
      <c r="E18" s="18">
        <f>ROUND(11916*1.05,2)</f>
      </c>
      <c r="F18" s="17" t="s">
        <v>17</v>
      </c>
      <c r="G18" s="17" t="s">
        <v>18</v>
      </c>
      <c r="H18" s="18">
        <f>ROUND(RAND()*4+6,1)</f>
      </c>
      <c r="I18" s="17" t="s">
        <v>19</v>
      </c>
      <c r="J18" s="19">
        <f>ROUND(97*1,0)&amp;"%"</f>
      </c>
    </row>
    <row x14ac:dyDescent="0.25" r="19" customHeight="1" ht="17.25">
      <c r="A19" s="20" t="s">
        <v>5472</v>
      </c>
      <c r="B19" s="20" t="s">
        <v>58</v>
      </c>
      <c r="C19" s="20" t="s">
        <v>56</v>
      </c>
      <c r="D19" s="20" t="s">
        <v>22</v>
      </c>
      <c r="E19" s="21">
        <f>ROUND(7227*1.05,2)</f>
      </c>
      <c r="F19" s="20" t="s">
        <v>23</v>
      </c>
      <c r="G19" s="20" t="s">
        <v>24</v>
      </c>
      <c r="H19" s="21">
        <f>ROUND(RAND()*4+6,1)</f>
      </c>
      <c r="I19" s="20" t="s">
        <v>25</v>
      </c>
      <c r="J19" s="23">
        <f>ROUND(86*1,0)&amp;"%"</f>
      </c>
    </row>
    <row x14ac:dyDescent="0.25" r="20" customHeight="1" ht="17.25">
      <c r="A20" s="17" t="s">
        <v>5473</v>
      </c>
      <c r="B20" s="17" t="s">
        <v>60</v>
      </c>
      <c r="C20" s="17" t="s">
        <v>56</v>
      </c>
      <c r="D20" s="17" t="s">
        <v>28</v>
      </c>
      <c r="E20" s="18">
        <f>ROUND(14155*1.05,2)</f>
      </c>
      <c r="F20" s="17" t="s">
        <v>29</v>
      </c>
      <c r="G20" s="17" t="s">
        <v>30</v>
      </c>
      <c r="H20" s="18">
        <f>ROUND(RAND()*4+6,1)</f>
      </c>
      <c r="I20" s="17" t="s">
        <v>31</v>
      </c>
      <c r="J20" s="19">
        <f>ROUND(76*1,0)&amp;"%"</f>
      </c>
    </row>
    <row x14ac:dyDescent="0.25" r="21" customHeight="1" ht="17.25">
      <c r="A21" s="20" t="s">
        <v>5474</v>
      </c>
      <c r="B21" s="20" t="s">
        <v>62</v>
      </c>
      <c r="C21" s="20" t="s">
        <v>56</v>
      </c>
      <c r="D21" s="20" t="s">
        <v>34</v>
      </c>
      <c r="E21" s="21">
        <f>ROUND(16933*1.05,2)</f>
      </c>
      <c r="F21" s="20" t="s">
        <v>35</v>
      </c>
      <c r="G21" s="20" t="s">
        <v>18</v>
      </c>
      <c r="H21" s="21">
        <f>ROUND(RAND()*4+6,1)</f>
      </c>
      <c r="I21" s="20" t="s">
        <v>36</v>
      </c>
      <c r="J21" s="23">
        <f>ROUND(78*1,0)&amp;"%"</f>
      </c>
    </row>
    <row x14ac:dyDescent="0.25" r="22" customHeight="1" ht="17.25">
      <c r="A22" s="17" t="s">
        <v>5475</v>
      </c>
      <c r="B22" s="17" t="s">
        <v>64</v>
      </c>
      <c r="C22" s="17" t="s">
        <v>56</v>
      </c>
      <c r="D22" s="17" t="s">
        <v>39</v>
      </c>
      <c r="E22" s="18">
        <f>ROUND(13362*1.05,2)</f>
      </c>
      <c r="F22" s="17" t="s">
        <v>40</v>
      </c>
      <c r="G22" s="17" t="s">
        <v>24</v>
      </c>
      <c r="H22" s="18">
        <f>ROUND(RAND()*4+6,1)</f>
      </c>
      <c r="I22" s="17" t="s">
        <v>41</v>
      </c>
      <c r="J22" s="19">
        <f>ROUND(74*1,0)&amp;"%"</f>
      </c>
    </row>
    <row x14ac:dyDescent="0.25" r="23" customHeight="1" ht="17.25">
      <c r="A23" s="20" t="s">
        <v>5476</v>
      </c>
      <c r="B23" s="20" t="s">
        <v>66</v>
      </c>
      <c r="C23" s="20" t="s">
        <v>56</v>
      </c>
      <c r="D23" s="20" t="s">
        <v>67</v>
      </c>
      <c r="E23" s="21">
        <f>ROUND(4877*1.05,2)</f>
      </c>
      <c r="F23" s="20" t="s">
        <v>44</v>
      </c>
      <c r="G23" s="20" t="s">
        <v>30</v>
      </c>
      <c r="H23" s="21">
        <f>ROUND(RAND()*4+6,1)</f>
      </c>
      <c r="I23" s="20" t="s">
        <v>45</v>
      </c>
      <c r="J23" s="23">
        <f>ROUND(60*1,0)&amp;"%"</f>
      </c>
    </row>
    <row x14ac:dyDescent="0.25" r="24" customHeight="1" ht="17.25">
      <c r="A24" s="17" t="s">
        <v>5477</v>
      </c>
      <c r="B24" s="17" t="s">
        <v>69</v>
      </c>
      <c r="C24" s="17" t="s">
        <v>56</v>
      </c>
      <c r="D24" s="17" t="s">
        <v>16</v>
      </c>
      <c r="E24" s="18">
        <f>ROUND(5954*1.05,2)</f>
      </c>
      <c r="F24" s="17" t="s">
        <v>48</v>
      </c>
      <c r="G24" s="17" t="s">
        <v>18</v>
      </c>
      <c r="H24" s="18">
        <f>ROUND(RAND()*4+6,1)</f>
      </c>
      <c r="I24" s="17" t="s">
        <v>19</v>
      </c>
      <c r="J24" s="19">
        <f>ROUND(82*1,0)&amp;"%"</f>
      </c>
    </row>
    <row x14ac:dyDescent="0.25" r="25" customHeight="1" ht="17.25">
      <c r="A25" s="20" t="s">
        <v>5478</v>
      </c>
      <c r="B25" s="20" t="s">
        <v>71</v>
      </c>
      <c r="C25" s="20" t="s">
        <v>56</v>
      </c>
      <c r="D25" s="20" t="s">
        <v>22</v>
      </c>
      <c r="E25" s="21">
        <f>ROUND(5516*1.05,2)</f>
      </c>
      <c r="F25" s="20" t="s">
        <v>51</v>
      </c>
      <c r="G25" s="20" t="s">
        <v>24</v>
      </c>
      <c r="H25" s="21">
        <f>ROUND(RAND()*4+6,1)</f>
      </c>
      <c r="I25" s="20" t="s">
        <v>25</v>
      </c>
      <c r="J25" s="23">
        <f>ROUND(72*1,0)&amp;"%"</f>
      </c>
    </row>
    <row x14ac:dyDescent="0.25" r="26" customHeight="1" ht="17.25">
      <c r="A26" s="24" t="s">
        <v>72</v>
      </c>
      <c r="B26" s="24"/>
      <c r="C26" s="24"/>
      <c r="D26" s="24"/>
      <c r="E26" s="25">
        <v>8</v>
      </c>
      <c r="F26" s="9"/>
      <c r="G26" s="9"/>
      <c r="H26" s="10"/>
      <c r="I26" s="9"/>
      <c r="J26" s="9"/>
    </row>
    <row x14ac:dyDescent="0.25" r="27" customHeight="1" ht="17.25">
      <c r="A27" s="7"/>
      <c r="B27" s="7"/>
      <c r="C27" s="7"/>
      <c r="D27" s="7"/>
      <c r="E27" s="8"/>
      <c r="F27" s="9"/>
      <c r="G27" s="9"/>
      <c r="H27" s="10"/>
      <c r="I27" s="9"/>
      <c r="J27" s="9"/>
    </row>
    <row x14ac:dyDescent="0.25" r="28" customHeight="1" ht="17.25">
      <c r="A28" s="11" t="s">
        <v>5479</v>
      </c>
      <c r="B28" s="11"/>
      <c r="C28" s="11"/>
      <c r="D28" s="11"/>
      <c r="E28" s="12"/>
      <c r="F28" s="11"/>
      <c r="G28" s="11"/>
      <c r="H28" s="13"/>
      <c r="I28" s="11"/>
      <c r="J28" s="11"/>
    </row>
    <row x14ac:dyDescent="0.25" r="29" customHeight="1" ht="17.25">
      <c r="A29" s="14" t="s">
        <v>3</v>
      </c>
      <c r="B29" s="14" t="s">
        <v>4</v>
      </c>
      <c r="C29" s="14" t="s">
        <v>5</v>
      </c>
      <c r="D29" s="14" t="s">
        <v>6</v>
      </c>
      <c r="E29" s="15" t="s">
        <v>7</v>
      </c>
      <c r="F29" s="14" t="s">
        <v>8</v>
      </c>
      <c r="G29" s="14" t="s">
        <v>9</v>
      </c>
      <c r="H29" s="16" t="s">
        <v>10</v>
      </c>
      <c r="I29" s="14" t="s">
        <v>11</v>
      </c>
      <c r="J29" s="14" t="s">
        <v>12</v>
      </c>
    </row>
    <row x14ac:dyDescent="0.25" r="30" customHeight="1" ht="17.25">
      <c r="A30" s="17" t="s">
        <v>5480</v>
      </c>
      <c r="B30" s="17" t="s">
        <v>75</v>
      </c>
      <c r="C30" s="17" t="s">
        <v>76</v>
      </c>
      <c r="D30" s="17" t="s">
        <v>16</v>
      </c>
      <c r="E30" s="18">
        <f>ROUND(10974*1.05,2)</f>
      </c>
      <c r="F30" s="17" t="s">
        <v>17</v>
      </c>
      <c r="G30" s="17" t="s">
        <v>18</v>
      </c>
      <c r="H30" s="18">
        <f>ROUND(RAND()*4+6,1)</f>
      </c>
      <c r="I30" s="17" t="s">
        <v>19</v>
      </c>
      <c r="J30" s="19">
        <f>ROUND(98*1,0)&amp;"%"</f>
      </c>
    </row>
    <row x14ac:dyDescent="0.25" r="31" customHeight="1" ht="17.25">
      <c r="A31" s="20" t="s">
        <v>5481</v>
      </c>
      <c r="B31" s="20" t="s">
        <v>78</v>
      </c>
      <c r="C31" s="20" t="s">
        <v>76</v>
      </c>
      <c r="D31" s="20" t="s">
        <v>22</v>
      </c>
      <c r="E31" s="21">
        <f>ROUND(13629*1.05,2)</f>
      </c>
      <c r="F31" s="20" t="s">
        <v>23</v>
      </c>
      <c r="G31" s="20" t="s">
        <v>24</v>
      </c>
      <c r="H31" s="21">
        <f>ROUND(RAND()*4+6,1)</f>
      </c>
      <c r="I31" s="20" t="s">
        <v>25</v>
      </c>
      <c r="J31" s="23">
        <f>ROUND(71*1,0)&amp;"%"</f>
      </c>
    </row>
    <row x14ac:dyDescent="0.25" r="32" customHeight="1" ht="17.25">
      <c r="A32" s="17" t="s">
        <v>5482</v>
      </c>
      <c r="B32" s="17" t="s">
        <v>80</v>
      </c>
      <c r="C32" s="17" t="s">
        <v>76</v>
      </c>
      <c r="D32" s="17" t="s">
        <v>28</v>
      </c>
      <c r="E32" s="18">
        <f>ROUND(16205*1.05,2)</f>
      </c>
      <c r="F32" s="17" t="s">
        <v>29</v>
      </c>
      <c r="G32" s="17" t="s">
        <v>30</v>
      </c>
      <c r="H32" s="18">
        <f>ROUND(RAND()*4+6,1)</f>
      </c>
      <c r="I32" s="17" t="s">
        <v>31</v>
      </c>
      <c r="J32" s="19">
        <f>ROUND(66*1,0)&amp;"%"</f>
      </c>
    </row>
    <row x14ac:dyDescent="0.25" r="33" customHeight="1" ht="17.25">
      <c r="A33" s="20" t="s">
        <v>5483</v>
      </c>
      <c r="B33" s="20" t="s">
        <v>82</v>
      </c>
      <c r="C33" s="20" t="s">
        <v>76</v>
      </c>
      <c r="D33" s="20" t="s">
        <v>34</v>
      </c>
      <c r="E33" s="21">
        <f>ROUND(5215*1.05,2)</f>
      </c>
      <c r="F33" s="20" t="s">
        <v>35</v>
      </c>
      <c r="G33" s="20" t="s">
        <v>18</v>
      </c>
      <c r="H33" s="21">
        <f>ROUND(RAND()*4+6,1)</f>
      </c>
      <c r="I33" s="20" t="s">
        <v>36</v>
      </c>
      <c r="J33" s="23">
        <f>ROUND(89*1,0)&amp;"%"</f>
      </c>
    </row>
    <row x14ac:dyDescent="0.25" r="34" customHeight="1" ht="17.25">
      <c r="A34" s="17" t="s">
        <v>5484</v>
      </c>
      <c r="B34" s="17" t="s">
        <v>84</v>
      </c>
      <c r="C34" s="17" t="s">
        <v>76</v>
      </c>
      <c r="D34" s="17" t="s">
        <v>39</v>
      </c>
      <c r="E34" s="18">
        <f>ROUND(8001*1.05,2)</f>
      </c>
      <c r="F34" s="17" t="s">
        <v>40</v>
      </c>
      <c r="G34" s="17" t="s">
        <v>24</v>
      </c>
      <c r="H34" s="18">
        <f>ROUND(RAND()*4+6,1)</f>
      </c>
      <c r="I34" s="17" t="s">
        <v>41</v>
      </c>
      <c r="J34" s="19">
        <f>ROUND(79*1,0)&amp;"%"</f>
      </c>
    </row>
    <row x14ac:dyDescent="0.25" r="35" customHeight="1" ht="17.25">
      <c r="A35" s="20" t="s">
        <v>5485</v>
      </c>
      <c r="B35" s="20" t="s">
        <v>86</v>
      </c>
      <c r="C35" s="20" t="s">
        <v>76</v>
      </c>
      <c r="D35" s="20" t="s">
        <v>67</v>
      </c>
      <c r="E35" s="21">
        <f>ROUND(11661*1.05,2)</f>
      </c>
      <c r="F35" s="20" t="s">
        <v>44</v>
      </c>
      <c r="G35" s="20" t="s">
        <v>30</v>
      </c>
      <c r="H35" s="21">
        <f>ROUND(RAND()*4+6,1)</f>
      </c>
      <c r="I35" s="20" t="s">
        <v>45</v>
      </c>
      <c r="J35" s="23">
        <f>ROUND(72*1,0)&amp;"%"</f>
      </c>
    </row>
    <row x14ac:dyDescent="0.25" r="36" customHeight="1" ht="17.25">
      <c r="A36" s="17" t="s">
        <v>5486</v>
      </c>
      <c r="B36" s="17" t="s">
        <v>88</v>
      </c>
      <c r="C36" s="17" t="s">
        <v>76</v>
      </c>
      <c r="D36" s="17" t="s">
        <v>16</v>
      </c>
      <c r="E36" s="18">
        <f>ROUND(15438*1.05,2)</f>
      </c>
      <c r="F36" s="17" t="s">
        <v>48</v>
      </c>
      <c r="G36" s="17" t="s">
        <v>18</v>
      </c>
      <c r="H36" s="18">
        <f>ROUND(RAND()*4+6,1)</f>
      </c>
      <c r="I36" s="17" t="s">
        <v>19</v>
      </c>
      <c r="J36" s="19">
        <f>ROUND(100*1,0)&amp;"%"</f>
      </c>
    </row>
    <row x14ac:dyDescent="0.25" r="37" customHeight="1" ht="17.25">
      <c r="A37" s="20" t="s">
        <v>5487</v>
      </c>
      <c r="B37" s="20" t="s">
        <v>90</v>
      </c>
      <c r="C37" s="20" t="s">
        <v>76</v>
      </c>
      <c r="D37" s="20" t="s">
        <v>22</v>
      </c>
      <c r="E37" s="21">
        <f>ROUND(4325*1.05,2)</f>
      </c>
      <c r="F37" s="20" t="s">
        <v>51</v>
      </c>
      <c r="G37" s="20" t="s">
        <v>24</v>
      </c>
      <c r="H37" s="21">
        <f>ROUND(RAND()*4+6,1)</f>
      </c>
      <c r="I37" s="20" t="s">
        <v>25</v>
      </c>
      <c r="J37" s="23">
        <f>ROUND(61*1,0)&amp;"%"</f>
      </c>
    </row>
    <row x14ac:dyDescent="0.25" r="38" customHeight="1" ht="17.25">
      <c r="A38" s="24" t="s">
        <v>91</v>
      </c>
      <c r="B38" s="24"/>
      <c r="C38" s="24"/>
      <c r="D38" s="24"/>
      <c r="E38" s="25">
        <v>8</v>
      </c>
      <c r="F38" s="9"/>
      <c r="G38" s="9"/>
      <c r="H38" s="10"/>
      <c r="I38" s="9"/>
      <c r="J38" s="9"/>
    </row>
    <row x14ac:dyDescent="0.25" r="39" customHeight="1" ht="17.25">
      <c r="A39" s="7"/>
      <c r="B39" s="7"/>
      <c r="C39" s="7"/>
      <c r="D39" s="7"/>
      <c r="E39" s="8"/>
      <c r="F39" s="9"/>
      <c r="G39" s="9"/>
      <c r="H39" s="10"/>
      <c r="I39" s="9"/>
      <c r="J39" s="9"/>
    </row>
    <row x14ac:dyDescent="0.25" r="40" customHeight="1" ht="17.25">
      <c r="A40" s="11" t="s">
        <v>5488</v>
      </c>
      <c r="B40" s="11"/>
      <c r="C40" s="11"/>
      <c r="D40" s="11"/>
      <c r="E40" s="12"/>
      <c r="F40" s="11"/>
      <c r="G40" s="11"/>
      <c r="H40" s="13"/>
      <c r="I40" s="11"/>
      <c r="J40" s="11"/>
    </row>
    <row x14ac:dyDescent="0.25" r="41" customHeight="1" ht="17.25">
      <c r="A41" s="14" t="s">
        <v>3</v>
      </c>
      <c r="B41" s="14" t="s">
        <v>4</v>
      </c>
      <c r="C41" s="14" t="s">
        <v>5</v>
      </c>
      <c r="D41" s="14" t="s">
        <v>6</v>
      </c>
      <c r="E41" s="15" t="s">
        <v>7</v>
      </c>
      <c r="F41" s="14" t="s">
        <v>8</v>
      </c>
      <c r="G41" s="14" t="s">
        <v>9</v>
      </c>
      <c r="H41" s="16" t="s">
        <v>10</v>
      </c>
      <c r="I41" s="14" t="s">
        <v>11</v>
      </c>
      <c r="J41" s="14" t="s">
        <v>12</v>
      </c>
    </row>
    <row x14ac:dyDescent="0.25" r="42" customHeight="1" ht="17.25">
      <c r="A42" s="17" t="s">
        <v>5489</v>
      </c>
      <c r="B42" s="17" t="s">
        <v>94</v>
      </c>
      <c r="C42" s="17" t="s">
        <v>95</v>
      </c>
      <c r="D42" s="17" t="s">
        <v>16</v>
      </c>
      <c r="E42" s="18">
        <f>ROUND(6088*1.05,2)</f>
      </c>
      <c r="F42" s="17" t="s">
        <v>17</v>
      </c>
      <c r="G42" s="17" t="s">
        <v>18</v>
      </c>
      <c r="H42" s="18">
        <f>ROUND(RAND()*4+6,1)</f>
      </c>
      <c r="I42" s="17" t="s">
        <v>19</v>
      </c>
      <c r="J42" s="19">
        <f>ROUND(83*1,0)&amp;"%"</f>
      </c>
    </row>
    <row x14ac:dyDescent="0.25" r="43" customHeight="1" ht="17.25">
      <c r="A43" s="20" t="s">
        <v>5490</v>
      </c>
      <c r="B43" s="20" t="s">
        <v>97</v>
      </c>
      <c r="C43" s="20" t="s">
        <v>95</v>
      </c>
      <c r="D43" s="20" t="s">
        <v>22</v>
      </c>
      <c r="E43" s="21">
        <f>ROUND(11176*1.05,2)</f>
      </c>
      <c r="F43" s="20" t="s">
        <v>23</v>
      </c>
      <c r="G43" s="20" t="s">
        <v>24</v>
      </c>
      <c r="H43" s="21">
        <f>ROUND(RAND()*4+6,1)</f>
      </c>
      <c r="I43" s="20" t="s">
        <v>25</v>
      </c>
      <c r="J43" s="23">
        <f>ROUND(96*1,0)&amp;"%"</f>
      </c>
    </row>
    <row x14ac:dyDescent="0.25" r="44" customHeight="1" ht="17.25">
      <c r="A44" s="17" t="s">
        <v>5491</v>
      </c>
      <c r="B44" s="17" t="s">
        <v>99</v>
      </c>
      <c r="C44" s="17" t="s">
        <v>95</v>
      </c>
      <c r="D44" s="17" t="s">
        <v>28</v>
      </c>
      <c r="E44" s="18">
        <f>ROUND(11753*1.05,2)</f>
      </c>
      <c r="F44" s="17" t="s">
        <v>29</v>
      </c>
      <c r="G44" s="17" t="s">
        <v>30</v>
      </c>
      <c r="H44" s="18">
        <f>ROUND(RAND()*4+6,1)</f>
      </c>
      <c r="I44" s="17" t="s">
        <v>31</v>
      </c>
      <c r="J44" s="19">
        <f>ROUND(69*1,0)&amp;"%"</f>
      </c>
    </row>
    <row x14ac:dyDescent="0.25" r="45" customHeight="1" ht="17.25">
      <c r="A45" s="20" t="s">
        <v>5492</v>
      </c>
      <c r="B45" s="20" t="s">
        <v>101</v>
      </c>
      <c r="C45" s="20" t="s">
        <v>95</v>
      </c>
      <c r="D45" s="20" t="s">
        <v>34</v>
      </c>
      <c r="E45" s="21">
        <f>ROUND(6659*1.05,2)</f>
      </c>
      <c r="F45" s="20" t="s">
        <v>35</v>
      </c>
      <c r="G45" s="20" t="s">
        <v>18</v>
      </c>
      <c r="H45" s="21">
        <f>ROUND(RAND()*4+6,1)</f>
      </c>
      <c r="I45" s="20" t="s">
        <v>36</v>
      </c>
      <c r="J45" s="23">
        <f>ROUND(79*1,0)&amp;"%"</f>
      </c>
    </row>
    <row x14ac:dyDescent="0.25" r="46" customHeight="1" ht="17.25">
      <c r="A46" s="17" t="s">
        <v>5493</v>
      </c>
      <c r="B46" s="17" t="s">
        <v>103</v>
      </c>
      <c r="C46" s="17" t="s">
        <v>95</v>
      </c>
      <c r="D46" s="17" t="s">
        <v>39</v>
      </c>
      <c r="E46" s="18">
        <f>ROUND(7835*1.05,2)</f>
      </c>
      <c r="F46" s="17" t="s">
        <v>40</v>
      </c>
      <c r="G46" s="17" t="s">
        <v>24</v>
      </c>
      <c r="H46" s="26">
        <f>ROUND(RAND()*4+6,1)</f>
      </c>
      <c r="I46" s="17" t="s">
        <v>41</v>
      </c>
      <c r="J46" s="19">
        <f>ROUND(93*1,0)&amp;"%"</f>
      </c>
    </row>
    <row x14ac:dyDescent="0.25" r="47" customHeight="1" ht="17.25">
      <c r="A47" s="20" t="s">
        <v>5494</v>
      </c>
      <c r="B47" s="20" t="s">
        <v>105</v>
      </c>
      <c r="C47" s="20" t="s">
        <v>95</v>
      </c>
      <c r="D47" s="20" t="s">
        <v>67</v>
      </c>
      <c r="E47" s="21">
        <f>ROUND(8627*1.05,2)</f>
      </c>
      <c r="F47" s="20" t="s">
        <v>44</v>
      </c>
      <c r="G47" s="20" t="s">
        <v>30</v>
      </c>
      <c r="H47" s="21">
        <f>ROUND(RAND()*4+6,1)</f>
      </c>
      <c r="I47" s="20" t="s">
        <v>45</v>
      </c>
      <c r="J47" s="23">
        <f>ROUND(68*1,0)&amp;"%"</f>
      </c>
    </row>
    <row x14ac:dyDescent="0.25" r="48" customHeight="1" ht="17.25">
      <c r="A48" s="17" t="s">
        <v>5495</v>
      </c>
      <c r="B48" s="17" t="s">
        <v>107</v>
      </c>
      <c r="C48" s="17" t="s">
        <v>95</v>
      </c>
      <c r="D48" s="17" t="s">
        <v>16</v>
      </c>
      <c r="E48" s="18">
        <f>ROUND(6994*1.05,2)</f>
      </c>
      <c r="F48" s="17" t="s">
        <v>48</v>
      </c>
      <c r="G48" s="17" t="s">
        <v>18</v>
      </c>
      <c r="H48" s="18">
        <f>ROUND(RAND()*4+6,1)</f>
      </c>
      <c r="I48" s="17" t="s">
        <v>19</v>
      </c>
      <c r="J48" s="19">
        <f>ROUND(61*1,0)&amp;"%"</f>
      </c>
    </row>
    <row x14ac:dyDescent="0.25" r="49" customHeight="1" ht="17.25">
      <c r="A49" s="20" t="s">
        <v>5496</v>
      </c>
      <c r="B49" s="20" t="s">
        <v>109</v>
      </c>
      <c r="C49" s="20" t="s">
        <v>95</v>
      </c>
      <c r="D49" s="20" t="s">
        <v>22</v>
      </c>
      <c r="E49" s="21">
        <f>ROUND(11795*1.05,2)</f>
      </c>
      <c r="F49" s="20" t="s">
        <v>51</v>
      </c>
      <c r="G49" s="20" t="s">
        <v>24</v>
      </c>
      <c r="H49" s="21">
        <f>ROUND(RAND()*4+6,1)</f>
      </c>
      <c r="I49" s="20" t="s">
        <v>25</v>
      </c>
      <c r="J49" s="23">
        <f>ROUND(94*1,0)&amp;"%"</f>
      </c>
    </row>
    <row x14ac:dyDescent="0.25" r="50" customHeight="1" ht="17.25">
      <c r="A50" s="24" t="s">
        <v>110</v>
      </c>
      <c r="B50" s="24"/>
      <c r="C50" s="24"/>
      <c r="D50" s="24"/>
      <c r="E50" s="25">
        <v>8</v>
      </c>
      <c r="F50" s="9"/>
      <c r="G50" s="9"/>
      <c r="H50" s="10"/>
      <c r="I50" s="9"/>
      <c r="J50" s="9"/>
    </row>
    <row x14ac:dyDescent="0.25" r="51" customHeight="1" ht="17.25">
      <c r="A51" s="7"/>
      <c r="B51" s="7"/>
      <c r="C51" s="7"/>
      <c r="D51" s="7"/>
      <c r="E51" s="8"/>
      <c r="F51" s="9"/>
      <c r="G51" s="9"/>
      <c r="H51" s="10"/>
      <c r="I51" s="9"/>
      <c r="J51" s="9"/>
    </row>
    <row x14ac:dyDescent="0.25" r="52" customHeight="1" ht="17.25">
      <c r="A52" s="11" t="s">
        <v>5497</v>
      </c>
      <c r="B52" s="11"/>
      <c r="C52" s="11"/>
      <c r="D52" s="11"/>
      <c r="E52" s="12"/>
      <c r="F52" s="11"/>
      <c r="G52" s="11"/>
      <c r="H52" s="13"/>
      <c r="I52" s="11"/>
      <c r="J52" s="11"/>
    </row>
    <row x14ac:dyDescent="0.25" r="53" customHeight="1" ht="17.25">
      <c r="A53" s="14" t="s">
        <v>3</v>
      </c>
      <c r="B53" s="14" t="s">
        <v>4</v>
      </c>
      <c r="C53" s="14" t="s">
        <v>5</v>
      </c>
      <c r="D53" s="14" t="s">
        <v>6</v>
      </c>
      <c r="E53" s="15" t="s">
        <v>7</v>
      </c>
      <c r="F53" s="14" t="s">
        <v>8</v>
      </c>
      <c r="G53" s="14" t="s">
        <v>9</v>
      </c>
      <c r="H53" s="16" t="s">
        <v>10</v>
      </c>
      <c r="I53" s="14" t="s">
        <v>11</v>
      </c>
      <c r="J53" s="14" t="s">
        <v>12</v>
      </c>
    </row>
    <row x14ac:dyDescent="0.25" r="54" customHeight="1" ht="17.25">
      <c r="A54" s="17" t="s">
        <v>5498</v>
      </c>
      <c r="B54" s="17" t="s">
        <v>113</v>
      </c>
      <c r="C54" s="17" t="s">
        <v>114</v>
      </c>
      <c r="D54" s="17" t="s">
        <v>16</v>
      </c>
      <c r="E54" s="18">
        <f>ROUND(4391*1.05,2)</f>
      </c>
      <c r="F54" s="17" t="s">
        <v>17</v>
      </c>
      <c r="G54" s="17" t="s">
        <v>18</v>
      </c>
      <c r="H54" s="26">
        <f>ROUND(RAND()*4+6,1)</f>
      </c>
      <c r="I54" s="17" t="s">
        <v>19</v>
      </c>
      <c r="J54" s="19">
        <f>ROUND(97*1,0)&amp;"%"</f>
      </c>
    </row>
    <row x14ac:dyDescent="0.25" r="55" customHeight="1" ht="17.25">
      <c r="A55" s="20" t="s">
        <v>5499</v>
      </c>
      <c r="B55" s="20" t="s">
        <v>116</v>
      </c>
      <c r="C55" s="20" t="s">
        <v>114</v>
      </c>
      <c r="D55" s="20" t="s">
        <v>22</v>
      </c>
      <c r="E55" s="21">
        <f>ROUND(9576*1.05,2)</f>
      </c>
      <c r="F55" s="20" t="s">
        <v>23</v>
      </c>
      <c r="G55" s="20" t="s">
        <v>24</v>
      </c>
      <c r="H55" s="21">
        <f>ROUND(RAND()*4+6,1)</f>
      </c>
      <c r="I55" s="20" t="s">
        <v>25</v>
      </c>
      <c r="J55" s="23">
        <f>ROUND(64*1,0)&amp;"%"</f>
      </c>
    </row>
    <row x14ac:dyDescent="0.25" r="56" customHeight="1" ht="17.25">
      <c r="A56" s="17" t="s">
        <v>5500</v>
      </c>
      <c r="B56" s="17" t="s">
        <v>118</v>
      </c>
      <c r="C56" s="17" t="s">
        <v>114</v>
      </c>
      <c r="D56" s="17" t="s">
        <v>28</v>
      </c>
      <c r="E56" s="18">
        <f>ROUND(14621*1.05,2)</f>
      </c>
      <c r="F56" s="17" t="s">
        <v>29</v>
      </c>
      <c r="G56" s="17" t="s">
        <v>30</v>
      </c>
      <c r="H56" s="18">
        <f>ROUND(RAND()*4+6,1)</f>
      </c>
      <c r="I56" s="17" t="s">
        <v>31</v>
      </c>
      <c r="J56" s="19">
        <f>ROUND(98*1,0)&amp;"%"</f>
      </c>
    </row>
    <row x14ac:dyDescent="0.25" r="57" customHeight="1" ht="17.25">
      <c r="A57" s="20" t="s">
        <v>5501</v>
      </c>
      <c r="B57" s="20" t="s">
        <v>120</v>
      </c>
      <c r="C57" s="20" t="s">
        <v>114</v>
      </c>
      <c r="D57" s="20" t="s">
        <v>34</v>
      </c>
      <c r="E57" s="21">
        <f>ROUND(16188*1.05,2)</f>
      </c>
      <c r="F57" s="20" t="s">
        <v>35</v>
      </c>
      <c r="G57" s="20" t="s">
        <v>18</v>
      </c>
      <c r="H57" s="21">
        <f>ROUND(RAND()*4+6,1)</f>
      </c>
      <c r="I57" s="20" t="s">
        <v>36</v>
      </c>
      <c r="J57" s="23">
        <f>ROUND(77*1,0)&amp;"%"</f>
      </c>
    </row>
    <row x14ac:dyDescent="0.25" r="58" customHeight="1" ht="17.25">
      <c r="A58" s="17" t="s">
        <v>5502</v>
      </c>
      <c r="B58" s="17" t="s">
        <v>122</v>
      </c>
      <c r="C58" s="17" t="s">
        <v>114</v>
      </c>
      <c r="D58" s="17" t="s">
        <v>39</v>
      </c>
      <c r="E58" s="18">
        <f>ROUND(10878*1.05,2)</f>
      </c>
      <c r="F58" s="17" t="s">
        <v>40</v>
      </c>
      <c r="G58" s="17" t="s">
        <v>24</v>
      </c>
      <c r="H58" s="18">
        <f>ROUND(RAND()*4+6,1)</f>
      </c>
      <c r="I58" s="17" t="s">
        <v>41</v>
      </c>
      <c r="J58" s="19">
        <f>ROUND(74*1,0)&amp;"%"</f>
      </c>
    </row>
    <row x14ac:dyDescent="0.25" r="59" customHeight="1" ht="17.25">
      <c r="A59" s="20" t="s">
        <v>5503</v>
      </c>
      <c r="B59" s="20" t="s">
        <v>124</v>
      </c>
      <c r="C59" s="20" t="s">
        <v>114</v>
      </c>
      <c r="D59" s="20" t="s">
        <v>67</v>
      </c>
      <c r="E59" s="21">
        <f>ROUND(5667*1.05,2)</f>
      </c>
      <c r="F59" s="20" t="s">
        <v>44</v>
      </c>
      <c r="G59" s="20" t="s">
        <v>30</v>
      </c>
      <c r="H59" s="21">
        <f>ROUND(RAND()*4+6,1)</f>
      </c>
      <c r="I59" s="20" t="s">
        <v>45</v>
      </c>
      <c r="J59" s="23">
        <f>ROUND(76*1,0)&amp;"%"</f>
      </c>
    </row>
    <row x14ac:dyDescent="0.25" r="60" customHeight="1" ht="17.25">
      <c r="A60" s="17" t="s">
        <v>5504</v>
      </c>
      <c r="B60" s="17" t="s">
        <v>126</v>
      </c>
      <c r="C60" s="17" t="s">
        <v>114</v>
      </c>
      <c r="D60" s="17" t="s">
        <v>16</v>
      </c>
      <c r="E60" s="18">
        <f>ROUND(14187*1.05,2)</f>
      </c>
      <c r="F60" s="17" t="s">
        <v>48</v>
      </c>
      <c r="G60" s="17" t="s">
        <v>18</v>
      </c>
      <c r="H60" s="26">
        <f>ROUND(RAND()*4+6,1)</f>
      </c>
      <c r="I60" s="17" t="s">
        <v>19</v>
      </c>
      <c r="J60" s="19">
        <f>ROUND(81*1,0)&amp;"%"</f>
      </c>
    </row>
    <row x14ac:dyDescent="0.25" r="61" customHeight="1" ht="17.25">
      <c r="A61" s="20" t="s">
        <v>5505</v>
      </c>
      <c r="B61" s="20" t="s">
        <v>128</v>
      </c>
      <c r="C61" s="20" t="s">
        <v>114</v>
      </c>
      <c r="D61" s="20" t="s">
        <v>22</v>
      </c>
      <c r="E61" s="21">
        <f>ROUND(12316*1.05,2)</f>
      </c>
      <c r="F61" s="20" t="s">
        <v>51</v>
      </c>
      <c r="G61" s="20" t="s">
        <v>24</v>
      </c>
      <c r="H61" s="21">
        <f>ROUND(RAND()*4+6,1)</f>
      </c>
      <c r="I61" s="20" t="s">
        <v>25</v>
      </c>
      <c r="J61" s="23">
        <f>ROUND(83*1,0)&amp;"%"</f>
      </c>
    </row>
    <row x14ac:dyDescent="0.25" r="62" customHeight="1" ht="17.25">
      <c r="A62" s="24" t="s">
        <v>129</v>
      </c>
      <c r="B62" s="24"/>
      <c r="C62" s="24"/>
      <c r="D62" s="24"/>
      <c r="E62" s="25">
        <v>8</v>
      </c>
      <c r="F62" s="9"/>
      <c r="G62" s="9"/>
      <c r="H62" s="10"/>
      <c r="I62" s="9"/>
      <c r="J62" s="9"/>
    </row>
    <row x14ac:dyDescent="0.25" r="63" customHeight="1" ht="17.25">
      <c r="A63" s="7"/>
      <c r="B63" s="7"/>
      <c r="C63" s="7"/>
      <c r="D63" s="7"/>
      <c r="E63" s="8"/>
      <c r="F63" s="9"/>
      <c r="G63" s="9"/>
      <c r="H63" s="10"/>
      <c r="I63" s="9"/>
      <c r="J63" s="9"/>
    </row>
    <row x14ac:dyDescent="0.25" r="64" customHeight="1" ht="17.25">
      <c r="A64" s="11" t="s">
        <v>5506</v>
      </c>
      <c r="B64" s="11"/>
      <c r="C64" s="11"/>
      <c r="D64" s="11"/>
      <c r="E64" s="12"/>
      <c r="F64" s="11"/>
      <c r="G64" s="11"/>
      <c r="H64" s="13"/>
      <c r="I64" s="11"/>
      <c r="J64" s="11"/>
    </row>
    <row x14ac:dyDescent="0.25" r="65" customHeight="1" ht="17.25">
      <c r="A65" s="14" t="s">
        <v>3</v>
      </c>
      <c r="B65" s="14" t="s">
        <v>4</v>
      </c>
      <c r="C65" s="14" t="s">
        <v>5</v>
      </c>
      <c r="D65" s="14" t="s">
        <v>6</v>
      </c>
      <c r="E65" s="15" t="s">
        <v>7</v>
      </c>
      <c r="F65" s="14" t="s">
        <v>8</v>
      </c>
      <c r="G65" s="14" t="s">
        <v>9</v>
      </c>
      <c r="H65" s="16" t="s">
        <v>10</v>
      </c>
      <c r="I65" s="14" t="s">
        <v>11</v>
      </c>
      <c r="J65" s="14" t="s">
        <v>12</v>
      </c>
    </row>
    <row x14ac:dyDescent="0.25" r="66" customHeight="1" ht="17.25">
      <c r="A66" s="17" t="s">
        <v>5507</v>
      </c>
      <c r="B66" s="17" t="s">
        <v>132</v>
      </c>
      <c r="C66" s="17" t="s">
        <v>133</v>
      </c>
      <c r="D66" s="17" t="s">
        <v>16</v>
      </c>
      <c r="E66" s="18">
        <f>ROUND(5385*1.05,2)</f>
      </c>
      <c r="F66" s="17" t="s">
        <v>17</v>
      </c>
      <c r="G66" s="17" t="s">
        <v>18</v>
      </c>
      <c r="H66" s="18">
        <f>ROUND(RAND()*4+6,1)</f>
      </c>
      <c r="I66" s="17" t="s">
        <v>19</v>
      </c>
      <c r="J66" s="19">
        <f>ROUND(79*1,0)&amp;"%"</f>
      </c>
    </row>
    <row x14ac:dyDescent="0.25" r="67" customHeight="1" ht="17.25">
      <c r="A67" s="20" t="s">
        <v>5508</v>
      </c>
      <c r="B67" s="20" t="s">
        <v>135</v>
      </c>
      <c r="C67" s="20" t="s">
        <v>133</v>
      </c>
      <c r="D67" s="20" t="s">
        <v>22</v>
      </c>
      <c r="E67" s="21">
        <f>ROUND(16733*1.05,2)</f>
      </c>
      <c r="F67" s="20" t="s">
        <v>23</v>
      </c>
      <c r="G67" s="20" t="s">
        <v>24</v>
      </c>
      <c r="H67" s="21">
        <f>ROUND(RAND()*4+6,1)</f>
      </c>
      <c r="I67" s="20" t="s">
        <v>25</v>
      </c>
      <c r="J67" s="23">
        <f>ROUND(96*1,0)&amp;"%"</f>
      </c>
    </row>
    <row x14ac:dyDescent="0.25" r="68" customHeight="1" ht="17.25">
      <c r="A68" s="17" t="s">
        <v>5509</v>
      </c>
      <c r="B68" s="17" t="s">
        <v>137</v>
      </c>
      <c r="C68" s="17" t="s">
        <v>133</v>
      </c>
      <c r="D68" s="17" t="s">
        <v>28</v>
      </c>
      <c r="E68" s="18">
        <f>ROUND(7957*1.05,2)</f>
      </c>
      <c r="F68" s="17" t="s">
        <v>29</v>
      </c>
      <c r="G68" s="17" t="s">
        <v>30</v>
      </c>
      <c r="H68" s="26">
        <f>ROUND(RAND()*4+6,1)</f>
      </c>
      <c r="I68" s="17" t="s">
        <v>31</v>
      </c>
      <c r="J68" s="19">
        <f>ROUND(63*1,0)&amp;"%"</f>
      </c>
    </row>
    <row x14ac:dyDescent="0.25" r="69" customHeight="1" ht="17.25">
      <c r="A69" s="20" t="s">
        <v>5510</v>
      </c>
      <c r="B69" s="20" t="s">
        <v>139</v>
      </c>
      <c r="C69" s="20" t="s">
        <v>133</v>
      </c>
      <c r="D69" s="20" t="s">
        <v>34</v>
      </c>
      <c r="E69" s="21">
        <f>ROUND(13455*1.05,2)</f>
      </c>
      <c r="F69" s="20" t="s">
        <v>35</v>
      </c>
      <c r="G69" s="20" t="s">
        <v>18</v>
      </c>
      <c r="H69" s="21">
        <f>ROUND(RAND()*4+6,1)</f>
      </c>
      <c r="I69" s="20" t="s">
        <v>36</v>
      </c>
      <c r="J69" s="23">
        <f>ROUND(86*1,0)&amp;"%"</f>
      </c>
    </row>
    <row x14ac:dyDescent="0.25" r="70" customHeight="1" ht="17.25">
      <c r="A70" s="17" t="s">
        <v>5511</v>
      </c>
      <c r="B70" s="17" t="s">
        <v>141</v>
      </c>
      <c r="C70" s="17" t="s">
        <v>133</v>
      </c>
      <c r="D70" s="17" t="s">
        <v>39</v>
      </c>
      <c r="E70" s="18">
        <f>ROUND(4186*1.05,2)</f>
      </c>
      <c r="F70" s="17" t="s">
        <v>40</v>
      </c>
      <c r="G70" s="17" t="s">
        <v>24</v>
      </c>
      <c r="H70" s="18">
        <f>ROUND(RAND()*4+6,1)</f>
      </c>
      <c r="I70" s="17" t="s">
        <v>41</v>
      </c>
      <c r="J70" s="19">
        <f>ROUND(75*1,0)&amp;"%"</f>
      </c>
    </row>
    <row x14ac:dyDescent="0.25" r="71" customHeight="1" ht="17.25">
      <c r="A71" s="20" t="s">
        <v>5512</v>
      </c>
      <c r="B71" s="20" t="s">
        <v>143</v>
      </c>
      <c r="C71" s="20" t="s">
        <v>133</v>
      </c>
      <c r="D71" s="20" t="s">
        <v>67</v>
      </c>
      <c r="E71" s="21">
        <f>ROUND(11257*1.05,2)</f>
      </c>
      <c r="F71" s="20" t="s">
        <v>44</v>
      </c>
      <c r="G71" s="20" t="s">
        <v>30</v>
      </c>
      <c r="H71" s="21">
        <f>ROUND(RAND()*4+6,1)</f>
      </c>
      <c r="I71" s="20" t="s">
        <v>45</v>
      </c>
      <c r="J71" s="23">
        <f>ROUND(80*1,0)&amp;"%"</f>
      </c>
    </row>
    <row x14ac:dyDescent="0.25" r="72" customHeight="1" ht="17.25">
      <c r="A72" s="17" t="s">
        <v>5513</v>
      </c>
      <c r="B72" s="17" t="s">
        <v>145</v>
      </c>
      <c r="C72" s="17" t="s">
        <v>133</v>
      </c>
      <c r="D72" s="17" t="s">
        <v>16</v>
      </c>
      <c r="E72" s="18">
        <f>ROUND(4885*1.05,2)</f>
      </c>
      <c r="F72" s="17" t="s">
        <v>48</v>
      </c>
      <c r="G72" s="17" t="s">
        <v>18</v>
      </c>
      <c r="H72" s="18">
        <f>ROUND(RAND()*4+6,1)</f>
      </c>
      <c r="I72" s="17" t="s">
        <v>19</v>
      </c>
      <c r="J72" s="19">
        <f>ROUND(77*1,0)&amp;"%"</f>
      </c>
    </row>
    <row x14ac:dyDescent="0.25" r="73" customHeight="1" ht="17.25">
      <c r="A73" s="20" t="s">
        <v>5514</v>
      </c>
      <c r="B73" s="20" t="s">
        <v>147</v>
      </c>
      <c r="C73" s="20" t="s">
        <v>133</v>
      </c>
      <c r="D73" s="20" t="s">
        <v>22</v>
      </c>
      <c r="E73" s="21">
        <f>ROUND(17674*1.05,2)</f>
      </c>
      <c r="F73" s="20" t="s">
        <v>51</v>
      </c>
      <c r="G73" s="20" t="s">
        <v>24</v>
      </c>
      <c r="H73" s="21">
        <f>ROUND(RAND()*4+6,1)</f>
      </c>
      <c r="I73" s="20" t="s">
        <v>25</v>
      </c>
      <c r="J73" s="23">
        <f>ROUND(90*1,0)&amp;"%"</f>
      </c>
    </row>
    <row x14ac:dyDescent="0.25" r="74" customHeight="1" ht="17.25">
      <c r="A74" s="24" t="s">
        <v>148</v>
      </c>
      <c r="B74" s="24"/>
      <c r="C74" s="24"/>
      <c r="D74" s="24"/>
      <c r="E74" s="25">
        <v>8</v>
      </c>
      <c r="F74" s="9"/>
      <c r="G74" s="9"/>
      <c r="H74" s="10"/>
      <c r="I74" s="9"/>
      <c r="J74" s="9"/>
    </row>
    <row x14ac:dyDescent="0.25" r="75" customHeight="1" ht="17.25">
      <c r="A75" s="7"/>
      <c r="B75" s="7"/>
      <c r="C75" s="7"/>
      <c r="D75" s="7"/>
      <c r="E75" s="8"/>
      <c r="F75" s="9"/>
      <c r="G75" s="9"/>
      <c r="H75" s="10"/>
      <c r="I75" s="9"/>
      <c r="J75" s="9"/>
    </row>
    <row x14ac:dyDescent="0.25" r="76" customHeight="1" ht="17.25">
      <c r="A76" s="11" t="s">
        <v>5515</v>
      </c>
      <c r="B76" s="11"/>
      <c r="C76" s="11"/>
      <c r="D76" s="11"/>
      <c r="E76" s="12"/>
      <c r="F76" s="11"/>
      <c r="G76" s="11"/>
      <c r="H76" s="13"/>
      <c r="I76" s="11"/>
      <c r="J76" s="11"/>
    </row>
    <row x14ac:dyDescent="0.25" r="77" customHeight="1" ht="17.25">
      <c r="A77" s="14" t="s">
        <v>3</v>
      </c>
      <c r="B77" s="14" t="s">
        <v>4</v>
      </c>
      <c r="C77" s="14" t="s">
        <v>5</v>
      </c>
      <c r="D77" s="14" t="s">
        <v>6</v>
      </c>
      <c r="E77" s="15" t="s">
        <v>7</v>
      </c>
      <c r="F77" s="14" t="s">
        <v>8</v>
      </c>
      <c r="G77" s="14" t="s">
        <v>9</v>
      </c>
      <c r="H77" s="16" t="s">
        <v>10</v>
      </c>
      <c r="I77" s="14" t="s">
        <v>11</v>
      </c>
      <c r="J77" s="14" t="s">
        <v>12</v>
      </c>
    </row>
    <row x14ac:dyDescent="0.25" r="78" customHeight="1" ht="17.25">
      <c r="A78" s="17" t="s">
        <v>5516</v>
      </c>
      <c r="B78" s="17" t="s">
        <v>151</v>
      </c>
      <c r="C78" s="17" t="s">
        <v>152</v>
      </c>
      <c r="D78" s="17" t="s">
        <v>16</v>
      </c>
      <c r="E78" s="18">
        <f>ROUND(5278*1.05,2)</f>
      </c>
      <c r="F78" s="17" t="s">
        <v>17</v>
      </c>
      <c r="G78" s="17" t="s">
        <v>18</v>
      </c>
      <c r="H78" s="26">
        <f>ROUND(RAND()*4+6,1)</f>
      </c>
      <c r="I78" s="17" t="s">
        <v>19</v>
      </c>
      <c r="J78" s="19">
        <f>ROUND(70*1,0)&amp;"%"</f>
      </c>
    </row>
    <row x14ac:dyDescent="0.25" r="79" customHeight="1" ht="17.25">
      <c r="A79" s="20" t="s">
        <v>5517</v>
      </c>
      <c r="B79" s="20" t="s">
        <v>154</v>
      </c>
      <c r="C79" s="20" t="s">
        <v>152</v>
      </c>
      <c r="D79" s="20" t="s">
        <v>22</v>
      </c>
      <c r="E79" s="21">
        <f>ROUND(6639*1.05,2)</f>
      </c>
      <c r="F79" s="20" t="s">
        <v>23</v>
      </c>
      <c r="G79" s="20" t="s">
        <v>24</v>
      </c>
      <c r="H79" s="21">
        <f>ROUND(RAND()*4+6,1)</f>
      </c>
      <c r="I79" s="20" t="s">
        <v>25</v>
      </c>
      <c r="J79" s="23">
        <f>ROUND(77*1,0)&amp;"%"</f>
      </c>
    </row>
    <row x14ac:dyDescent="0.25" r="80" customHeight="1" ht="17.25">
      <c r="A80" s="17" t="s">
        <v>5518</v>
      </c>
      <c r="B80" s="17" t="s">
        <v>156</v>
      </c>
      <c r="C80" s="17" t="s">
        <v>152</v>
      </c>
      <c r="D80" s="17" t="s">
        <v>28</v>
      </c>
      <c r="E80" s="18">
        <f>ROUND(17321*1.05,2)</f>
      </c>
      <c r="F80" s="17" t="s">
        <v>29</v>
      </c>
      <c r="G80" s="17" t="s">
        <v>30</v>
      </c>
      <c r="H80" s="18">
        <f>ROUND(RAND()*4+6,1)</f>
      </c>
      <c r="I80" s="17" t="s">
        <v>31</v>
      </c>
      <c r="J80" s="19">
        <f>ROUND(75*1,0)&amp;"%"</f>
      </c>
    </row>
    <row x14ac:dyDescent="0.25" r="81" customHeight="1" ht="17.25">
      <c r="A81" s="20" t="s">
        <v>5519</v>
      </c>
      <c r="B81" s="20" t="s">
        <v>158</v>
      </c>
      <c r="C81" s="20" t="s">
        <v>152</v>
      </c>
      <c r="D81" s="20" t="s">
        <v>34</v>
      </c>
      <c r="E81" s="21">
        <f>ROUND(12442*1.05,2)</f>
      </c>
      <c r="F81" s="20" t="s">
        <v>35</v>
      </c>
      <c r="G81" s="20" t="s">
        <v>18</v>
      </c>
      <c r="H81" s="22">
        <f>ROUND(RAND()*4+6,1)</f>
      </c>
      <c r="I81" s="20" t="s">
        <v>36</v>
      </c>
      <c r="J81" s="23">
        <f>ROUND(97*1,0)&amp;"%"</f>
      </c>
    </row>
    <row x14ac:dyDescent="0.25" r="82" customHeight="1" ht="17.25">
      <c r="A82" s="17" t="s">
        <v>5520</v>
      </c>
      <c r="B82" s="17" t="s">
        <v>160</v>
      </c>
      <c r="C82" s="17" t="s">
        <v>152</v>
      </c>
      <c r="D82" s="17" t="s">
        <v>39</v>
      </c>
      <c r="E82" s="18">
        <f>ROUND(10879*1.05,2)</f>
      </c>
      <c r="F82" s="17" t="s">
        <v>40</v>
      </c>
      <c r="G82" s="17" t="s">
        <v>24</v>
      </c>
      <c r="H82" s="18">
        <f>ROUND(RAND()*4+6,1)</f>
      </c>
      <c r="I82" s="17" t="s">
        <v>41</v>
      </c>
      <c r="J82" s="19">
        <f>ROUND(83*1,0)&amp;"%"</f>
      </c>
    </row>
    <row x14ac:dyDescent="0.25" r="83" customHeight="1" ht="17.25">
      <c r="A83" s="20" t="s">
        <v>5521</v>
      </c>
      <c r="B83" s="20" t="s">
        <v>162</v>
      </c>
      <c r="C83" s="20" t="s">
        <v>152</v>
      </c>
      <c r="D83" s="20" t="s">
        <v>67</v>
      </c>
      <c r="E83" s="21">
        <f>ROUND(12298*1.05,2)</f>
      </c>
      <c r="F83" s="20" t="s">
        <v>44</v>
      </c>
      <c r="G83" s="20" t="s">
        <v>30</v>
      </c>
      <c r="H83" s="21">
        <f>ROUND(RAND()*4+6,1)</f>
      </c>
      <c r="I83" s="20" t="s">
        <v>45</v>
      </c>
      <c r="J83" s="23">
        <f>ROUND(94*1,0)&amp;"%"</f>
      </c>
    </row>
    <row x14ac:dyDescent="0.25" r="84" customHeight="1" ht="17.25">
      <c r="A84" s="17" t="s">
        <v>5522</v>
      </c>
      <c r="B84" s="17" t="s">
        <v>164</v>
      </c>
      <c r="C84" s="17" t="s">
        <v>152</v>
      </c>
      <c r="D84" s="17" t="s">
        <v>16</v>
      </c>
      <c r="E84" s="18">
        <f>ROUND(8927*1.05,2)</f>
      </c>
      <c r="F84" s="17" t="s">
        <v>48</v>
      </c>
      <c r="G84" s="17" t="s">
        <v>18</v>
      </c>
      <c r="H84" s="18">
        <f>ROUND(RAND()*4+6,1)</f>
      </c>
      <c r="I84" s="17" t="s">
        <v>19</v>
      </c>
      <c r="J84" s="19">
        <f>ROUND(89*1,0)&amp;"%"</f>
      </c>
    </row>
    <row x14ac:dyDescent="0.25" r="85" customHeight="1" ht="17.25">
      <c r="A85" s="20" t="s">
        <v>5523</v>
      </c>
      <c r="B85" s="20" t="s">
        <v>166</v>
      </c>
      <c r="C85" s="20" t="s">
        <v>152</v>
      </c>
      <c r="D85" s="20" t="s">
        <v>22</v>
      </c>
      <c r="E85" s="21">
        <f>ROUND(15672*1.05,2)</f>
      </c>
      <c r="F85" s="20" t="s">
        <v>51</v>
      </c>
      <c r="G85" s="20" t="s">
        <v>24</v>
      </c>
      <c r="H85" s="21">
        <f>ROUND(RAND()*4+6,1)</f>
      </c>
      <c r="I85" s="20" t="s">
        <v>25</v>
      </c>
      <c r="J85" s="23">
        <f>ROUND(70*1,0)&amp;"%"</f>
      </c>
    </row>
    <row x14ac:dyDescent="0.25" r="86" customHeight="1" ht="17.25">
      <c r="A86" s="24" t="s">
        <v>167</v>
      </c>
      <c r="B86" s="24"/>
      <c r="C86" s="24"/>
      <c r="D86" s="24"/>
      <c r="E86" s="25">
        <v>8</v>
      </c>
      <c r="F86" s="9"/>
      <c r="G86" s="9"/>
      <c r="H86" s="10"/>
      <c r="I86" s="9"/>
      <c r="J86" s="9"/>
    </row>
    <row x14ac:dyDescent="0.25" r="87" customHeight="1" ht="17.25">
      <c r="A87" s="7"/>
      <c r="B87" s="7"/>
      <c r="C87" s="7"/>
      <c r="D87" s="7"/>
      <c r="E87" s="8"/>
      <c r="F87" s="9"/>
      <c r="G87" s="9"/>
      <c r="H87" s="10"/>
      <c r="I87" s="9"/>
      <c r="J87" s="9"/>
    </row>
    <row x14ac:dyDescent="0.25" r="88" customHeight="1" ht="17.25">
      <c r="A88" s="11" t="s">
        <v>5524</v>
      </c>
      <c r="B88" s="11"/>
      <c r="C88" s="11"/>
      <c r="D88" s="11"/>
      <c r="E88" s="12"/>
      <c r="F88" s="11"/>
      <c r="G88" s="11"/>
      <c r="H88" s="13"/>
      <c r="I88" s="11"/>
      <c r="J88" s="11"/>
    </row>
    <row x14ac:dyDescent="0.25" r="89" customHeight="1" ht="17.25">
      <c r="A89" s="14" t="s">
        <v>3</v>
      </c>
      <c r="B89" s="14" t="s">
        <v>4</v>
      </c>
      <c r="C89" s="14" t="s">
        <v>5</v>
      </c>
      <c r="D89" s="14" t="s">
        <v>6</v>
      </c>
      <c r="E89" s="15" t="s">
        <v>7</v>
      </c>
      <c r="F89" s="14" t="s">
        <v>8</v>
      </c>
      <c r="G89" s="14" t="s">
        <v>9</v>
      </c>
      <c r="H89" s="16" t="s">
        <v>10</v>
      </c>
      <c r="I89" s="14" t="s">
        <v>11</v>
      </c>
      <c r="J89" s="14" t="s">
        <v>12</v>
      </c>
    </row>
    <row x14ac:dyDescent="0.25" r="90" customHeight="1" ht="17.25">
      <c r="A90" s="17" t="s">
        <v>5525</v>
      </c>
      <c r="B90" s="17" t="s">
        <v>170</v>
      </c>
      <c r="C90" s="17" t="s">
        <v>15</v>
      </c>
      <c r="D90" s="17" t="s">
        <v>16</v>
      </c>
      <c r="E90" s="18">
        <f>ROUND(7385*1.05,2)</f>
      </c>
      <c r="F90" s="17" t="s">
        <v>17</v>
      </c>
      <c r="G90" s="17" t="s">
        <v>18</v>
      </c>
      <c r="H90" s="18">
        <f>ROUND(RAND()*4+6,1)</f>
      </c>
      <c r="I90" s="17" t="s">
        <v>19</v>
      </c>
      <c r="J90" s="19">
        <f>ROUND(91*1,0)&amp;"%"</f>
      </c>
    </row>
    <row x14ac:dyDescent="0.25" r="91" customHeight="1" ht="17.25">
      <c r="A91" s="20" t="s">
        <v>5526</v>
      </c>
      <c r="B91" s="20" t="s">
        <v>172</v>
      </c>
      <c r="C91" s="20" t="s">
        <v>15</v>
      </c>
      <c r="D91" s="20" t="s">
        <v>22</v>
      </c>
      <c r="E91" s="21">
        <f>ROUND(11105*1.05,2)</f>
      </c>
      <c r="F91" s="20" t="s">
        <v>23</v>
      </c>
      <c r="G91" s="20" t="s">
        <v>24</v>
      </c>
      <c r="H91" s="21">
        <f>ROUND(RAND()*4+6,1)</f>
      </c>
      <c r="I91" s="20" t="s">
        <v>25</v>
      </c>
      <c r="J91" s="23">
        <f>ROUND(84*1,0)&amp;"%"</f>
      </c>
    </row>
    <row x14ac:dyDescent="0.25" r="92" customHeight="1" ht="17.25">
      <c r="A92" s="17" t="s">
        <v>5527</v>
      </c>
      <c r="B92" s="17" t="s">
        <v>174</v>
      </c>
      <c r="C92" s="17" t="s">
        <v>15</v>
      </c>
      <c r="D92" s="17" t="s">
        <v>28</v>
      </c>
      <c r="E92" s="18">
        <f>ROUND(9429*1.05,2)</f>
      </c>
      <c r="F92" s="17" t="s">
        <v>29</v>
      </c>
      <c r="G92" s="17" t="s">
        <v>30</v>
      </c>
      <c r="H92" s="18">
        <f>ROUND(RAND()*4+6,1)</f>
      </c>
      <c r="I92" s="17" t="s">
        <v>31</v>
      </c>
      <c r="J92" s="19">
        <f>ROUND(67*1,0)&amp;"%"</f>
      </c>
    </row>
    <row x14ac:dyDescent="0.25" r="93" customHeight="1" ht="17.25">
      <c r="A93" s="20" t="s">
        <v>5528</v>
      </c>
      <c r="B93" s="20" t="s">
        <v>176</v>
      </c>
      <c r="C93" s="20" t="s">
        <v>15</v>
      </c>
      <c r="D93" s="20" t="s">
        <v>34</v>
      </c>
      <c r="E93" s="21">
        <f>ROUND(17964*1.05,2)</f>
      </c>
      <c r="F93" s="20" t="s">
        <v>35</v>
      </c>
      <c r="G93" s="20" t="s">
        <v>18</v>
      </c>
      <c r="H93" s="21">
        <f>ROUND(RAND()*4+6,1)</f>
      </c>
      <c r="I93" s="20" t="s">
        <v>36</v>
      </c>
      <c r="J93" s="23">
        <f>ROUND(60*1,0)&amp;"%"</f>
      </c>
    </row>
    <row x14ac:dyDescent="0.25" r="94" customHeight="1" ht="17.25">
      <c r="A94" s="17" t="s">
        <v>5529</v>
      </c>
      <c r="B94" s="17" t="s">
        <v>178</v>
      </c>
      <c r="C94" s="17" t="s">
        <v>15</v>
      </c>
      <c r="D94" s="17" t="s">
        <v>39</v>
      </c>
      <c r="E94" s="18">
        <f>ROUND(6009*1.05,2)</f>
      </c>
      <c r="F94" s="17" t="s">
        <v>40</v>
      </c>
      <c r="G94" s="17" t="s">
        <v>24</v>
      </c>
      <c r="H94" s="18">
        <f>ROUND(RAND()*4+6,1)</f>
      </c>
      <c r="I94" s="17" t="s">
        <v>41</v>
      </c>
      <c r="J94" s="19">
        <f>ROUND(95*1,0)&amp;"%"</f>
      </c>
    </row>
    <row x14ac:dyDescent="0.25" r="95" customHeight="1" ht="17.25">
      <c r="A95" s="20" t="s">
        <v>5530</v>
      </c>
      <c r="B95" s="20" t="s">
        <v>180</v>
      </c>
      <c r="C95" s="20" t="s">
        <v>15</v>
      </c>
      <c r="D95" s="20" t="s">
        <v>67</v>
      </c>
      <c r="E95" s="21">
        <f>ROUND(11314*1.05,2)</f>
      </c>
      <c r="F95" s="20" t="s">
        <v>44</v>
      </c>
      <c r="G95" s="20" t="s">
        <v>30</v>
      </c>
      <c r="H95" s="21">
        <f>ROUND(RAND()*4+6,1)</f>
      </c>
      <c r="I95" s="20" t="s">
        <v>45</v>
      </c>
      <c r="J95" s="23">
        <f>ROUND(84*1,0)&amp;"%"</f>
      </c>
    </row>
    <row x14ac:dyDescent="0.25" r="96" customHeight="1" ht="17.25">
      <c r="A96" s="17" t="s">
        <v>5531</v>
      </c>
      <c r="B96" s="17" t="s">
        <v>182</v>
      </c>
      <c r="C96" s="17" t="s">
        <v>15</v>
      </c>
      <c r="D96" s="17" t="s">
        <v>16</v>
      </c>
      <c r="E96" s="18">
        <f>ROUND(16816*1.05,2)</f>
      </c>
      <c r="F96" s="17" t="s">
        <v>48</v>
      </c>
      <c r="G96" s="17" t="s">
        <v>18</v>
      </c>
      <c r="H96" s="18">
        <f>ROUND(RAND()*4+6,1)</f>
      </c>
      <c r="I96" s="17" t="s">
        <v>19</v>
      </c>
      <c r="J96" s="19">
        <f>ROUND(65*1,0)&amp;"%"</f>
      </c>
    </row>
    <row x14ac:dyDescent="0.25" r="97" customHeight="1" ht="17.25">
      <c r="A97" s="20" t="s">
        <v>5532</v>
      </c>
      <c r="B97" s="20" t="s">
        <v>184</v>
      </c>
      <c r="C97" s="20" t="s">
        <v>15</v>
      </c>
      <c r="D97" s="20" t="s">
        <v>22</v>
      </c>
      <c r="E97" s="21">
        <f>ROUND(4648*1.05,2)</f>
      </c>
      <c r="F97" s="20" t="s">
        <v>51</v>
      </c>
      <c r="G97" s="20" t="s">
        <v>24</v>
      </c>
      <c r="H97" s="21">
        <f>ROUND(RAND()*4+6,1)</f>
      </c>
      <c r="I97" s="20" t="s">
        <v>25</v>
      </c>
      <c r="J97" s="23">
        <f>ROUND(87*1,0)&amp;"%"</f>
      </c>
    </row>
    <row x14ac:dyDescent="0.25" r="98" customHeight="1" ht="17.25">
      <c r="A98" s="24" t="s">
        <v>185</v>
      </c>
      <c r="B98" s="24"/>
      <c r="C98" s="24"/>
      <c r="D98" s="24"/>
      <c r="E98" s="25">
        <v>8</v>
      </c>
      <c r="F98" s="9"/>
      <c r="G98" s="9"/>
      <c r="H98" s="10"/>
      <c r="I98" s="9"/>
      <c r="J98" s="9"/>
    </row>
    <row x14ac:dyDescent="0.25" r="99" customHeight="1" ht="17.25">
      <c r="A99" s="7"/>
      <c r="B99" s="7"/>
      <c r="C99" s="7"/>
      <c r="D99" s="7"/>
      <c r="E99" s="8"/>
      <c r="F99" s="9"/>
      <c r="G99" s="9"/>
      <c r="H99" s="10"/>
      <c r="I99" s="9"/>
      <c r="J99" s="9"/>
    </row>
    <row x14ac:dyDescent="0.25" r="100" customHeight="1" ht="17.25">
      <c r="A100" s="11" t="s">
        <v>5533</v>
      </c>
      <c r="B100" s="11"/>
      <c r="C100" s="11"/>
      <c r="D100" s="11"/>
      <c r="E100" s="12"/>
      <c r="F100" s="11"/>
      <c r="G100" s="11"/>
      <c r="H100" s="13"/>
      <c r="I100" s="11"/>
      <c r="J100" s="11"/>
    </row>
    <row x14ac:dyDescent="0.25" r="101" customHeight="1" ht="17.25">
      <c r="A101" s="14" t="s">
        <v>3</v>
      </c>
      <c r="B101" s="14" t="s">
        <v>4</v>
      </c>
      <c r="C101" s="14" t="s">
        <v>5</v>
      </c>
      <c r="D101" s="14" t="s">
        <v>6</v>
      </c>
      <c r="E101" s="15" t="s">
        <v>7</v>
      </c>
      <c r="F101" s="14" t="s">
        <v>8</v>
      </c>
      <c r="G101" s="14" t="s">
        <v>9</v>
      </c>
      <c r="H101" s="16" t="s">
        <v>10</v>
      </c>
      <c r="I101" s="14" t="s">
        <v>11</v>
      </c>
      <c r="J101" s="14" t="s">
        <v>12</v>
      </c>
    </row>
    <row x14ac:dyDescent="0.25" r="102" customHeight="1" ht="17.25">
      <c r="A102" s="17" t="s">
        <v>5534</v>
      </c>
      <c r="B102" s="17" t="s">
        <v>188</v>
      </c>
      <c r="C102" s="17" t="s">
        <v>56</v>
      </c>
      <c r="D102" s="17" t="s">
        <v>16</v>
      </c>
      <c r="E102" s="18">
        <f>ROUND(13990*1.05,2)</f>
      </c>
      <c r="F102" s="17" t="s">
        <v>17</v>
      </c>
      <c r="G102" s="17" t="s">
        <v>18</v>
      </c>
      <c r="H102" s="18">
        <f>ROUND(RAND()*4+6,1)</f>
      </c>
      <c r="I102" s="17" t="s">
        <v>19</v>
      </c>
      <c r="J102" s="19">
        <f>ROUND(69*1,0)&amp;"%"</f>
      </c>
    </row>
    <row x14ac:dyDescent="0.25" r="103" customHeight="1" ht="17.25">
      <c r="A103" s="20" t="s">
        <v>5535</v>
      </c>
      <c r="B103" s="20" t="s">
        <v>190</v>
      </c>
      <c r="C103" s="20" t="s">
        <v>56</v>
      </c>
      <c r="D103" s="20" t="s">
        <v>22</v>
      </c>
      <c r="E103" s="22">
        <f>ROUND(15660*1.05,2)</f>
      </c>
      <c r="F103" s="20" t="s">
        <v>23</v>
      </c>
      <c r="G103" s="20" t="s">
        <v>24</v>
      </c>
      <c r="H103" s="21">
        <f>ROUND(RAND()*4+6,1)</f>
      </c>
      <c r="I103" s="20" t="s">
        <v>25</v>
      </c>
      <c r="J103" s="23">
        <f>ROUND(95*1,0)&amp;"%"</f>
      </c>
    </row>
    <row x14ac:dyDescent="0.25" r="104" customHeight="1" ht="17.25">
      <c r="A104" s="17" t="s">
        <v>5536</v>
      </c>
      <c r="B104" s="17" t="s">
        <v>192</v>
      </c>
      <c r="C104" s="17" t="s">
        <v>56</v>
      </c>
      <c r="D104" s="17" t="s">
        <v>28</v>
      </c>
      <c r="E104" s="26">
        <f>ROUND(11020*1.05,2)</f>
      </c>
      <c r="F104" s="17" t="s">
        <v>29</v>
      </c>
      <c r="G104" s="17" t="s">
        <v>30</v>
      </c>
      <c r="H104" s="18">
        <f>ROUND(RAND()*4+6,1)</f>
      </c>
      <c r="I104" s="17" t="s">
        <v>31</v>
      </c>
      <c r="J104" s="19">
        <f>ROUND(98*1,0)&amp;"%"</f>
      </c>
    </row>
    <row x14ac:dyDescent="0.25" r="105" customHeight="1" ht="17.25">
      <c r="A105" s="20" t="s">
        <v>5537</v>
      </c>
      <c r="B105" s="20" t="s">
        <v>194</v>
      </c>
      <c r="C105" s="20" t="s">
        <v>56</v>
      </c>
      <c r="D105" s="20" t="s">
        <v>34</v>
      </c>
      <c r="E105" s="21">
        <f>ROUND(15199*1.05,2)</f>
      </c>
      <c r="F105" s="20" t="s">
        <v>35</v>
      </c>
      <c r="G105" s="20" t="s">
        <v>18</v>
      </c>
      <c r="H105" s="21">
        <f>ROUND(RAND()*4+6,1)</f>
      </c>
      <c r="I105" s="20" t="s">
        <v>36</v>
      </c>
      <c r="J105" s="23">
        <f>ROUND(95*1,0)&amp;"%"</f>
      </c>
    </row>
    <row x14ac:dyDescent="0.25" r="106" customHeight="1" ht="17.25">
      <c r="A106" s="17" t="s">
        <v>5538</v>
      </c>
      <c r="B106" s="17" t="s">
        <v>196</v>
      </c>
      <c r="C106" s="17" t="s">
        <v>56</v>
      </c>
      <c r="D106" s="17" t="s">
        <v>39</v>
      </c>
      <c r="E106" s="18">
        <f>ROUND(16656*1.05,2)</f>
      </c>
      <c r="F106" s="17" t="s">
        <v>40</v>
      </c>
      <c r="G106" s="17" t="s">
        <v>24</v>
      </c>
      <c r="H106" s="18">
        <f>ROUND(RAND()*4+6,1)</f>
      </c>
      <c r="I106" s="17" t="s">
        <v>41</v>
      </c>
      <c r="J106" s="19">
        <f>ROUND(69*1,0)&amp;"%"</f>
      </c>
    </row>
    <row x14ac:dyDescent="0.25" r="107" customHeight="1" ht="17.25">
      <c r="A107" s="20" t="s">
        <v>5539</v>
      </c>
      <c r="B107" s="20" t="s">
        <v>198</v>
      </c>
      <c r="C107" s="20" t="s">
        <v>56</v>
      </c>
      <c r="D107" s="20" t="s">
        <v>67</v>
      </c>
      <c r="E107" s="21">
        <f>ROUND(16498*1.05,2)</f>
      </c>
      <c r="F107" s="20" t="s">
        <v>44</v>
      </c>
      <c r="G107" s="20" t="s">
        <v>30</v>
      </c>
      <c r="H107" s="21">
        <f>ROUND(RAND()*4+6,1)</f>
      </c>
      <c r="I107" s="20" t="s">
        <v>45</v>
      </c>
      <c r="J107" s="23">
        <f>ROUND(90*1,0)&amp;"%"</f>
      </c>
    </row>
    <row x14ac:dyDescent="0.25" r="108" customHeight="1" ht="17.25">
      <c r="A108" s="17" t="s">
        <v>5540</v>
      </c>
      <c r="B108" s="17" t="s">
        <v>200</v>
      </c>
      <c r="C108" s="17" t="s">
        <v>56</v>
      </c>
      <c r="D108" s="17" t="s">
        <v>16</v>
      </c>
      <c r="E108" s="18">
        <f>ROUND(13593*1.05,2)</f>
      </c>
      <c r="F108" s="17" t="s">
        <v>48</v>
      </c>
      <c r="G108" s="17" t="s">
        <v>18</v>
      </c>
      <c r="H108" s="18">
        <f>ROUND(RAND()*4+6,1)</f>
      </c>
      <c r="I108" s="17" t="s">
        <v>19</v>
      </c>
      <c r="J108" s="19">
        <f>ROUND(80*1,0)&amp;"%"</f>
      </c>
    </row>
    <row x14ac:dyDescent="0.25" r="109" customHeight="1" ht="17.25">
      <c r="A109" s="20" t="s">
        <v>5541</v>
      </c>
      <c r="B109" s="20" t="s">
        <v>202</v>
      </c>
      <c r="C109" s="20" t="s">
        <v>56</v>
      </c>
      <c r="D109" s="20" t="s">
        <v>22</v>
      </c>
      <c r="E109" s="21">
        <f>ROUND(4782*1.05,2)</f>
      </c>
      <c r="F109" s="20" t="s">
        <v>51</v>
      </c>
      <c r="G109" s="20" t="s">
        <v>24</v>
      </c>
      <c r="H109" s="21">
        <f>ROUND(RAND()*4+6,1)</f>
      </c>
      <c r="I109" s="20" t="s">
        <v>25</v>
      </c>
      <c r="J109" s="23">
        <f>ROUND(79*1,0)&amp;"%"</f>
      </c>
    </row>
    <row x14ac:dyDescent="0.25" r="110" customHeight="1" ht="17.25">
      <c r="A110" s="24" t="s">
        <v>203</v>
      </c>
      <c r="B110" s="24"/>
      <c r="C110" s="24"/>
      <c r="D110" s="24"/>
      <c r="E110" s="25">
        <v>8</v>
      </c>
      <c r="F110" s="9"/>
      <c r="G110" s="9"/>
      <c r="H110" s="10"/>
      <c r="I110" s="9"/>
      <c r="J110" s="9"/>
    </row>
    <row x14ac:dyDescent="0.25" r="111" customHeight="1" ht="17.25">
      <c r="A111" s="7"/>
      <c r="B111" s="7"/>
      <c r="C111" s="7"/>
      <c r="D111" s="7"/>
      <c r="E111" s="8"/>
      <c r="F111" s="9"/>
      <c r="G111" s="9"/>
      <c r="H111" s="10"/>
      <c r="I111" s="9"/>
      <c r="J111" s="9"/>
    </row>
    <row x14ac:dyDescent="0.25" r="112" customHeight="1" ht="17.25">
      <c r="A112" s="11" t="s">
        <v>5542</v>
      </c>
      <c r="B112" s="11"/>
      <c r="C112" s="11"/>
      <c r="D112" s="11"/>
      <c r="E112" s="12"/>
      <c r="F112" s="11"/>
      <c r="G112" s="11"/>
      <c r="H112" s="13"/>
      <c r="I112" s="11"/>
      <c r="J112" s="11"/>
    </row>
    <row x14ac:dyDescent="0.25" r="113" customHeight="1" ht="17.25">
      <c r="A113" s="14" t="s">
        <v>3</v>
      </c>
      <c r="B113" s="14" t="s">
        <v>4</v>
      </c>
      <c r="C113" s="14" t="s">
        <v>5</v>
      </c>
      <c r="D113" s="14" t="s">
        <v>6</v>
      </c>
      <c r="E113" s="15" t="s">
        <v>7</v>
      </c>
      <c r="F113" s="14" t="s">
        <v>8</v>
      </c>
      <c r="G113" s="14" t="s">
        <v>9</v>
      </c>
      <c r="H113" s="16" t="s">
        <v>10</v>
      </c>
      <c r="I113" s="14" t="s">
        <v>11</v>
      </c>
      <c r="J113" s="14" t="s">
        <v>12</v>
      </c>
    </row>
    <row x14ac:dyDescent="0.25" r="114" customHeight="1" ht="17.25">
      <c r="A114" s="17" t="s">
        <v>5543</v>
      </c>
      <c r="B114" s="17" t="s">
        <v>206</v>
      </c>
      <c r="C114" s="17" t="s">
        <v>76</v>
      </c>
      <c r="D114" s="17" t="s">
        <v>16</v>
      </c>
      <c r="E114" s="18">
        <f>ROUND(5019*1.05,2)</f>
      </c>
      <c r="F114" s="17" t="s">
        <v>17</v>
      </c>
      <c r="G114" s="17" t="s">
        <v>18</v>
      </c>
      <c r="H114" s="18">
        <f>ROUND(RAND()*4+6,1)</f>
      </c>
      <c r="I114" s="17" t="s">
        <v>19</v>
      </c>
      <c r="J114" s="19">
        <f>ROUND(76*1,0)&amp;"%"</f>
      </c>
    </row>
    <row x14ac:dyDescent="0.25" r="115" customHeight="1" ht="17.25">
      <c r="A115" s="20" t="s">
        <v>5544</v>
      </c>
      <c r="B115" s="20" t="s">
        <v>208</v>
      </c>
      <c r="C115" s="20" t="s">
        <v>76</v>
      </c>
      <c r="D115" s="20" t="s">
        <v>22</v>
      </c>
      <c r="E115" s="22">
        <f>ROUND(4700*1.05,2)</f>
      </c>
      <c r="F115" s="20" t="s">
        <v>23</v>
      </c>
      <c r="G115" s="20" t="s">
        <v>24</v>
      </c>
      <c r="H115" s="21">
        <f>ROUND(RAND()*4+6,1)</f>
      </c>
      <c r="I115" s="20" t="s">
        <v>25</v>
      </c>
      <c r="J115" s="23">
        <f>ROUND(94*1,0)&amp;"%"</f>
      </c>
    </row>
    <row x14ac:dyDescent="0.25" r="116" customHeight="1" ht="17.25">
      <c r="A116" s="17" t="s">
        <v>5545</v>
      </c>
      <c r="B116" s="17" t="s">
        <v>210</v>
      </c>
      <c r="C116" s="17" t="s">
        <v>76</v>
      </c>
      <c r="D116" s="17" t="s">
        <v>28</v>
      </c>
      <c r="E116" s="18">
        <f>ROUND(10622*1.05,2)</f>
      </c>
      <c r="F116" s="17" t="s">
        <v>29</v>
      </c>
      <c r="G116" s="17" t="s">
        <v>30</v>
      </c>
      <c r="H116" s="18">
        <f>ROUND(RAND()*4+6,1)</f>
      </c>
      <c r="I116" s="17" t="s">
        <v>31</v>
      </c>
      <c r="J116" s="19">
        <f>ROUND(62*1,0)&amp;"%"</f>
      </c>
    </row>
    <row x14ac:dyDescent="0.25" r="117" customHeight="1" ht="17.25">
      <c r="A117" s="20" t="s">
        <v>5546</v>
      </c>
      <c r="B117" s="20" t="s">
        <v>212</v>
      </c>
      <c r="C117" s="20" t="s">
        <v>76</v>
      </c>
      <c r="D117" s="20" t="s">
        <v>34</v>
      </c>
      <c r="E117" s="21">
        <f>ROUND(16546*1.05,2)</f>
      </c>
      <c r="F117" s="20" t="s">
        <v>35</v>
      </c>
      <c r="G117" s="20" t="s">
        <v>18</v>
      </c>
      <c r="H117" s="21">
        <f>ROUND(RAND()*4+6,1)</f>
      </c>
      <c r="I117" s="20" t="s">
        <v>36</v>
      </c>
      <c r="J117" s="23">
        <f>ROUND(72*1,0)&amp;"%"</f>
      </c>
    </row>
    <row x14ac:dyDescent="0.25" r="118" customHeight="1" ht="17.25">
      <c r="A118" s="17" t="s">
        <v>5547</v>
      </c>
      <c r="B118" s="17" t="s">
        <v>214</v>
      </c>
      <c r="C118" s="17" t="s">
        <v>76</v>
      </c>
      <c r="D118" s="17" t="s">
        <v>39</v>
      </c>
      <c r="E118" s="18">
        <f>ROUND(9421*1.05,2)</f>
      </c>
      <c r="F118" s="17" t="s">
        <v>40</v>
      </c>
      <c r="G118" s="17" t="s">
        <v>24</v>
      </c>
      <c r="H118" s="18">
        <f>ROUND(RAND()*4+6,1)</f>
      </c>
      <c r="I118" s="17" t="s">
        <v>41</v>
      </c>
      <c r="J118" s="19">
        <f>ROUND(72*1,0)&amp;"%"</f>
      </c>
    </row>
    <row x14ac:dyDescent="0.25" r="119" customHeight="1" ht="17.25">
      <c r="A119" s="20" t="s">
        <v>5548</v>
      </c>
      <c r="B119" s="20" t="s">
        <v>216</v>
      </c>
      <c r="C119" s="20" t="s">
        <v>76</v>
      </c>
      <c r="D119" s="20" t="s">
        <v>67</v>
      </c>
      <c r="E119" s="21">
        <f>ROUND(5442*1.05,2)</f>
      </c>
      <c r="F119" s="20" t="s">
        <v>44</v>
      </c>
      <c r="G119" s="20" t="s">
        <v>30</v>
      </c>
      <c r="H119" s="21">
        <f>ROUND(RAND()*4+6,1)</f>
      </c>
      <c r="I119" s="20" t="s">
        <v>45</v>
      </c>
      <c r="J119" s="23">
        <f>ROUND(83*1,0)&amp;"%"</f>
      </c>
    </row>
    <row x14ac:dyDescent="0.25" r="120" customHeight="1" ht="17.25">
      <c r="A120" s="17" t="s">
        <v>5549</v>
      </c>
      <c r="B120" s="17" t="s">
        <v>218</v>
      </c>
      <c r="C120" s="17" t="s">
        <v>76</v>
      </c>
      <c r="D120" s="17" t="s">
        <v>16</v>
      </c>
      <c r="E120" s="18">
        <f>ROUND(6327*1.05,2)</f>
      </c>
      <c r="F120" s="17" t="s">
        <v>48</v>
      </c>
      <c r="G120" s="17" t="s">
        <v>18</v>
      </c>
      <c r="H120" s="18">
        <f>ROUND(RAND()*4+6,1)</f>
      </c>
      <c r="I120" s="17" t="s">
        <v>19</v>
      </c>
      <c r="J120" s="19">
        <f>ROUND(75*1,0)&amp;"%"</f>
      </c>
    </row>
    <row x14ac:dyDescent="0.25" r="121" customHeight="1" ht="17.25">
      <c r="A121" s="20" t="s">
        <v>5550</v>
      </c>
      <c r="B121" s="20" t="s">
        <v>220</v>
      </c>
      <c r="C121" s="20" t="s">
        <v>76</v>
      </c>
      <c r="D121" s="20" t="s">
        <v>22</v>
      </c>
      <c r="E121" s="21">
        <f>ROUND(16725*1.05,2)</f>
      </c>
      <c r="F121" s="20" t="s">
        <v>51</v>
      </c>
      <c r="G121" s="20" t="s">
        <v>24</v>
      </c>
      <c r="H121" s="21">
        <f>ROUND(RAND()*4+6,1)</f>
      </c>
      <c r="I121" s="20" t="s">
        <v>25</v>
      </c>
      <c r="J121" s="23">
        <f>ROUND(66*1,0)&amp;"%"</f>
      </c>
    </row>
    <row x14ac:dyDescent="0.25" r="122" customHeight="1" ht="17.25">
      <c r="A122" s="24" t="s">
        <v>221</v>
      </c>
      <c r="B122" s="24"/>
      <c r="C122" s="24"/>
      <c r="D122" s="24"/>
      <c r="E122" s="25">
        <v>8</v>
      </c>
      <c r="F122" s="9"/>
      <c r="G122" s="9"/>
      <c r="H122" s="10"/>
      <c r="I122" s="9"/>
      <c r="J122" s="9"/>
    </row>
    <row x14ac:dyDescent="0.25" r="123" customHeight="1" ht="17.25">
      <c r="A123" s="7"/>
      <c r="B123" s="7"/>
      <c r="C123" s="7"/>
      <c r="D123" s="7"/>
      <c r="E123" s="8"/>
      <c r="F123" s="9"/>
      <c r="G123" s="9"/>
      <c r="H123" s="10"/>
      <c r="I123" s="9"/>
      <c r="J123" s="9"/>
    </row>
    <row x14ac:dyDescent="0.25" r="124" customHeight="1" ht="17.25">
      <c r="A124" s="11" t="s">
        <v>5551</v>
      </c>
      <c r="B124" s="11"/>
      <c r="C124" s="11"/>
      <c r="D124" s="11"/>
      <c r="E124" s="12"/>
      <c r="F124" s="11"/>
      <c r="G124" s="11"/>
      <c r="H124" s="13"/>
      <c r="I124" s="11"/>
      <c r="J124" s="11"/>
    </row>
    <row x14ac:dyDescent="0.25" r="125" customHeight="1" ht="17.25">
      <c r="A125" s="14" t="s">
        <v>3</v>
      </c>
      <c r="B125" s="14" t="s">
        <v>4</v>
      </c>
      <c r="C125" s="14" t="s">
        <v>5</v>
      </c>
      <c r="D125" s="14" t="s">
        <v>6</v>
      </c>
      <c r="E125" s="15" t="s">
        <v>7</v>
      </c>
      <c r="F125" s="14" t="s">
        <v>8</v>
      </c>
      <c r="G125" s="14" t="s">
        <v>9</v>
      </c>
      <c r="H125" s="16" t="s">
        <v>10</v>
      </c>
      <c r="I125" s="14" t="s">
        <v>11</v>
      </c>
      <c r="J125" s="14" t="s">
        <v>12</v>
      </c>
    </row>
    <row x14ac:dyDescent="0.25" r="126" customHeight="1" ht="17.25">
      <c r="A126" s="17" t="s">
        <v>5552</v>
      </c>
      <c r="B126" s="17" t="s">
        <v>224</v>
      </c>
      <c r="C126" s="17" t="s">
        <v>95</v>
      </c>
      <c r="D126" s="17" t="s">
        <v>16</v>
      </c>
      <c r="E126" s="18">
        <f>ROUND(4697*1.05,2)</f>
      </c>
      <c r="F126" s="17" t="s">
        <v>17</v>
      </c>
      <c r="G126" s="17" t="s">
        <v>18</v>
      </c>
      <c r="H126" s="26">
        <f>ROUND(RAND()*4+6,1)</f>
      </c>
      <c r="I126" s="17" t="s">
        <v>19</v>
      </c>
      <c r="J126" s="19">
        <f>ROUND(68*1,0)&amp;"%"</f>
      </c>
    </row>
    <row x14ac:dyDescent="0.25" r="127" customHeight="1" ht="17.25">
      <c r="A127" s="20" t="s">
        <v>5553</v>
      </c>
      <c r="B127" s="20" t="s">
        <v>226</v>
      </c>
      <c r="C127" s="20" t="s">
        <v>95</v>
      </c>
      <c r="D127" s="20" t="s">
        <v>22</v>
      </c>
      <c r="E127" s="21">
        <f>ROUND(6351*1.05,2)</f>
      </c>
      <c r="F127" s="20" t="s">
        <v>23</v>
      </c>
      <c r="G127" s="20" t="s">
        <v>24</v>
      </c>
      <c r="H127" s="21">
        <f>ROUND(RAND()*4+6,1)</f>
      </c>
      <c r="I127" s="20" t="s">
        <v>25</v>
      </c>
      <c r="J127" s="23">
        <f>ROUND(80*1,0)&amp;"%"</f>
      </c>
    </row>
    <row x14ac:dyDescent="0.25" r="128" customHeight="1" ht="17.25">
      <c r="A128" s="17" t="s">
        <v>5554</v>
      </c>
      <c r="B128" s="17" t="s">
        <v>228</v>
      </c>
      <c r="C128" s="17" t="s">
        <v>95</v>
      </c>
      <c r="D128" s="17" t="s">
        <v>28</v>
      </c>
      <c r="E128" s="18">
        <f>ROUND(10603*1.05,2)</f>
      </c>
      <c r="F128" s="17" t="s">
        <v>29</v>
      </c>
      <c r="G128" s="17" t="s">
        <v>30</v>
      </c>
      <c r="H128" s="26">
        <f>ROUND(RAND()*4+6,1)</f>
      </c>
      <c r="I128" s="17" t="s">
        <v>31</v>
      </c>
      <c r="J128" s="19">
        <f>ROUND(76*1,0)&amp;"%"</f>
      </c>
    </row>
    <row x14ac:dyDescent="0.25" r="129" customHeight="1" ht="17.25">
      <c r="A129" s="20" t="s">
        <v>5555</v>
      </c>
      <c r="B129" s="20" t="s">
        <v>230</v>
      </c>
      <c r="C129" s="20" t="s">
        <v>95</v>
      </c>
      <c r="D129" s="20" t="s">
        <v>34</v>
      </c>
      <c r="E129" s="21">
        <f>ROUND(9691*1.05,2)</f>
      </c>
      <c r="F129" s="20" t="s">
        <v>35</v>
      </c>
      <c r="G129" s="20" t="s">
        <v>18</v>
      </c>
      <c r="H129" s="21">
        <f>ROUND(RAND()*4+6,1)</f>
      </c>
      <c r="I129" s="20" t="s">
        <v>36</v>
      </c>
      <c r="J129" s="23">
        <f>ROUND(75*1,0)&amp;"%"</f>
      </c>
    </row>
    <row x14ac:dyDescent="0.25" r="130" customHeight="1" ht="17.25">
      <c r="A130" s="17" t="s">
        <v>5556</v>
      </c>
      <c r="B130" s="17" t="s">
        <v>232</v>
      </c>
      <c r="C130" s="17" t="s">
        <v>95</v>
      </c>
      <c r="D130" s="17" t="s">
        <v>39</v>
      </c>
      <c r="E130" s="26">
        <f>ROUND(16300*1.05,2)</f>
      </c>
      <c r="F130" s="17" t="s">
        <v>40</v>
      </c>
      <c r="G130" s="17" t="s">
        <v>24</v>
      </c>
      <c r="H130" s="18">
        <f>ROUND(RAND()*4+6,1)</f>
      </c>
      <c r="I130" s="17" t="s">
        <v>41</v>
      </c>
      <c r="J130" s="19">
        <f>ROUND(94*1,0)&amp;"%"</f>
      </c>
    </row>
    <row x14ac:dyDescent="0.25" r="131" customHeight="1" ht="17.25">
      <c r="A131" s="20" t="s">
        <v>5557</v>
      </c>
      <c r="B131" s="20" t="s">
        <v>234</v>
      </c>
      <c r="C131" s="20" t="s">
        <v>95</v>
      </c>
      <c r="D131" s="20" t="s">
        <v>67</v>
      </c>
      <c r="E131" s="21">
        <f>ROUND(7358*1.05,2)</f>
      </c>
      <c r="F131" s="20" t="s">
        <v>44</v>
      </c>
      <c r="G131" s="20" t="s">
        <v>30</v>
      </c>
      <c r="H131" s="21">
        <f>ROUND(RAND()*4+6,1)</f>
      </c>
      <c r="I131" s="20" t="s">
        <v>45</v>
      </c>
      <c r="J131" s="23">
        <f>ROUND(69*1,0)&amp;"%"</f>
      </c>
    </row>
    <row x14ac:dyDescent="0.25" r="132" customHeight="1" ht="17.25">
      <c r="A132" s="17" t="s">
        <v>5558</v>
      </c>
      <c r="B132" s="17" t="s">
        <v>236</v>
      </c>
      <c r="C132" s="17" t="s">
        <v>95</v>
      </c>
      <c r="D132" s="17" t="s">
        <v>16</v>
      </c>
      <c r="E132" s="18">
        <f>ROUND(8312*1.05,2)</f>
      </c>
      <c r="F132" s="17" t="s">
        <v>48</v>
      </c>
      <c r="G132" s="17" t="s">
        <v>18</v>
      </c>
      <c r="H132" s="18">
        <f>ROUND(RAND()*4+6,1)</f>
      </c>
      <c r="I132" s="17" t="s">
        <v>19</v>
      </c>
      <c r="J132" s="19">
        <f>ROUND(76*1,0)&amp;"%"</f>
      </c>
    </row>
    <row x14ac:dyDescent="0.25" r="133" customHeight="1" ht="17.25">
      <c r="A133" s="20" t="s">
        <v>5559</v>
      </c>
      <c r="B133" s="20" t="s">
        <v>238</v>
      </c>
      <c r="C133" s="20" t="s">
        <v>95</v>
      </c>
      <c r="D133" s="20" t="s">
        <v>22</v>
      </c>
      <c r="E133" s="21">
        <f>ROUND(6067*1.05,2)</f>
      </c>
      <c r="F133" s="20" t="s">
        <v>51</v>
      </c>
      <c r="G133" s="20" t="s">
        <v>24</v>
      </c>
      <c r="H133" s="22">
        <f>ROUND(RAND()*4+6,1)</f>
      </c>
      <c r="I133" s="20" t="s">
        <v>25</v>
      </c>
      <c r="J133" s="23">
        <f>ROUND(91*1,0)&amp;"%"</f>
      </c>
    </row>
    <row x14ac:dyDescent="0.25" r="134" customHeight="1" ht="17.25">
      <c r="A134" s="24" t="s">
        <v>239</v>
      </c>
      <c r="B134" s="24"/>
      <c r="C134" s="24"/>
      <c r="D134" s="24"/>
      <c r="E134" s="25">
        <v>8</v>
      </c>
      <c r="F134" s="9"/>
      <c r="G134" s="9"/>
      <c r="H134" s="10"/>
      <c r="I134" s="9"/>
      <c r="J134" s="9"/>
    </row>
    <row x14ac:dyDescent="0.25" r="135" customHeight="1" ht="17.25">
      <c r="A135" s="7"/>
      <c r="B135" s="7"/>
      <c r="C135" s="7"/>
      <c r="D135" s="7"/>
      <c r="E135" s="8"/>
      <c r="F135" s="9"/>
      <c r="G135" s="9"/>
      <c r="H135" s="10"/>
      <c r="I135" s="9"/>
      <c r="J135" s="9"/>
    </row>
    <row x14ac:dyDescent="0.25" r="136" customHeight="1" ht="17.25">
      <c r="A136" s="11" t="s">
        <v>5560</v>
      </c>
      <c r="B136" s="11"/>
      <c r="C136" s="11"/>
      <c r="D136" s="11"/>
      <c r="E136" s="12"/>
      <c r="F136" s="11"/>
      <c r="G136" s="11"/>
      <c r="H136" s="13"/>
      <c r="I136" s="11"/>
      <c r="J136" s="11"/>
    </row>
    <row x14ac:dyDescent="0.25" r="137" customHeight="1" ht="17.25">
      <c r="A137" s="14" t="s">
        <v>3</v>
      </c>
      <c r="B137" s="14" t="s">
        <v>4</v>
      </c>
      <c r="C137" s="14" t="s">
        <v>5</v>
      </c>
      <c r="D137" s="14" t="s">
        <v>6</v>
      </c>
      <c r="E137" s="15" t="s">
        <v>7</v>
      </c>
      <c r="F137" s="14" t="s">
        <v>8</v>
      </c>
      <c r="G137" s="14" t="s">
        <v>9</v>
      </c>
      <c r="H137" s="16" t="s">
        <v>10</v>
      </c>
      <c r="I137" s="14" t="s">
        <v>11</v>
      </c>
      <c r="J137" s="14" t="s">
        <v>12</v>
      </c>
    </row>
    <row x14ac:dyDescent="0.25" r="138" customHeight="1" ht="17.25">
      <c r="A138" s="17" t="s">
        <v>5561</v>
      </c>
      <c r="B138" s="17" t="s">
        <v>242</v>
      </c>
      <c r="C138" s="17" t="s">
        <v>114</v>
      </c>
      <c r="D138" s="17" t="s">
        <v>16</v>
      </c>
      <c r="E138" s="18">
        <f>ROUND(14514*1.05,2)</f>
      </c>
      <c r="F138" s="17" t="s">
        <v>17</v>
      </c>
      <c r="G138" s="17" t="s">
        <v>18</v>
      </c>
      <c r="H138" s="18">
        <f>ROUND(RAND()*4+6,1)</f>
      </c>
      <c r="I138" s="17" t="s">
        <v>19</v>
      </c>
      <c r="J138" s="19">
        <f>ROUND(86*1,0)&amp;"%"</f>
      </c>
    </row>
    <row x14ac:dyDescent="0.25" r="139" customHeight="1" ht="17.25">
      <c r="A139" s="20" t="s">
        <v>5562</v>
      </c>
      <c r="B139" s="20" t="s">
        <v>244</v>
      </c>
      <c r="C139" s="20" t="s">
        <v>114</v>
      </c>
      <c r="D139" s="20" t="s">
        <v>22</v>
      </c>
      <c r="E139" s="21">
        <f>ROUND(15709*1.05,2)</f>
      </c>
      <c r="F139" s="20" t="s">
        <v>23</v>
      </c>
      <c r="G139" s="20" t="s">
        <v>24</v>
      </c>
      <c r="H139" s="21">
        <f>ROUND(RAND()*4+6,1)</f>
      </c>
      <c r="I139" s="20" t="s">
        <v>25</v>
      </c>
      <c r="J139" s="23">
        <f>ROUND(98*1,0)&amp;"%"</f>
      </c>
    </row>
    <row x14ac:dyDescent="0.25" r="140" customHeight="1" ht="17.25">
      <c r="A140" s="17" t="s">
        <v>5563</v>
      </c>
      <c r="B140" s="17" t="s">
        <v>246</v>
      </c>
      <c r="C140" s="17" t="s">
        <v>114</v>
      </c>
      <c r="D140" s="17" t="s">
        <v>28</v>
      </c>
      <c r="E140" s="18">
        <f>ROUND(12625*1.05,2)</f>
      </c>
      <c r="F140" s="17" t="s">
        <v>29</v>
      </c>
      <c r="G140" s="17" t="s">
        <v>30</v>
      </c>
      <c r="H140" s="26">
        <f>ROUND(RAND()*4+6,1)</f>
      </c>
      <c r="I140" s="17" t="s">
        <v>31</v>
      </c>
      <c r="J140" s="19">
        <f>ROUND(97*1,0)&amp;"%"</f>
      </c>
    </row>
    <row x14ac:dyDescent="0.25" r="141" customHeight="1" ht="17.25">
      <c r="A141" s="20" t="s">
        <v>5564</v>
      </c>
      <c r="B141" s="20" t="s">
        <v>248</v>
      </c>
      <c r="C141" s="20" t="s">
        <v>114</v>
      </c>
      <c r="D141" s="20" t="s">
        <v>34</v>
      </c>
      <c r="E141" s="21">
        <f>ROUND(8243*1.05,2)</f>
      </c>
      <c r="F141" s="20" t="s">
        <v>35</v>
      </c>
      <c r="G141" s="20" t="s">
        <v>18</v>
      </c>
      <c r="H141" s="21">
        <f>ROUND(RAND()*4+6,1)</f>
      </c>
      <c r="I141" s="20" t="s">
        <v>36</v>
      </c>
      <c r="J141" s="23">
        <f>ROUND(92*1,0)&amp;"%"</f>
      </c>
    </row>
    <row x14ac:dyDescent="0.25" r="142" customHeight="1" ht="17.25">
      <c r="A142" s="17" t="s">
        <v>5565</v>
      </c>
      <c r="B142" s="17" t="s">
        <v>250</v>
      </c>
      <c r="C142" s="17" t="s">
        <v>114</v>
      </c>
      <c r="D142" s="17" t="s">
        <v>39</v>
      </c>
      <c r="E142" s="18">
        <f>ROUND(10710*1.05,2)</f>
      </c>
      <c r="F142" s="17" t="s">
        <v>40</v>
      </c>
      <c r="G142" s="17" t="s">
        <v>24</v>
      </c>
      <c r="H142" s="26">
        <f>ROUND(RAND()*4+6,1)</f>
      </c>
      <c r="I142" s="17" t="s">
        <v>41</v>
      </c>
      <c r="J142" s="19">
        <f>ROUND(80*1,0)&amp;"%"</f>
      </c>
    </row>
    <row x14ac:dyDescent="0.25" r="143" customHeight="1" ht="17.25">
      <c r="A143" s="20" t="s">
        <v>5566</v>
      </c>
      <c r="B143" s="20" t="s">
        <v>252</v>
      </c>
      <c r="C143" s="20" t="s">
        <v>114</v>
      </c>
      <c r="D143" s="20" t="s">
        <v>67</v>
      </c>
      <c r="E143" s="21">
        <f>ROUND(16808*1.05,2)</f>
      </c>
      <c r="F143" s="20" t="s">
        <v>44</v>
      </c>
      <c r="G143" s="20" t="s">
        <v>30</v>
      </c>
      <c r="H143" s="22">
        <f>ROUND(RAND()*4+6,1)</f>
      </c>
      <c r="I143" s="20" t="s">
        <v>45</v>
      </c>
      <c r="J143" s="23">
        <f>ROUND(97*1,0)&amp;"%"</f>
      </c>
    </row>
    <row x14ac:dyDescent="0.25" r="144" customHeight="1" ht="17.25">
      <c r="A144" s="17" t="s">
        <v>5567</v>
      </c>
      <c r="B144" s="17" t="s">
        <v>254</v>
      </c>
      <c r="C144" s="17" t="s">
        <v>114</v>
      </c>
      <c r="D144" s="17" t="s">
        <v>16</v>
      </c>
      <c r="E144" s="18">
        <f>ROUND(6186*1.05,2)</f>
      </c>
      <c r="F144" s="17" t="s">
        <v>48</v>
      </c>
      <c r="G144" s="17" t="s">
        <v>18</v>
      </c>
      <c r="H144" s="18">
        <f>ROUND(RAND()*4+6,1)</f>
      </c>
      <c r="I144" s="17" t="s">
        <v>19</v>
      </c>
      <c r="J144" s="19">
        <f>ROUND(72*1,0)&amp;"%"</f>
      </c>
    </row>
    <row x14ac:dyDescent="0.25" r="145" customHeight="1" ht="17.25">
      <c r="A145" s="20" t="s">
        <v>5568</v>
      </c>
      <c r="B145" s="20" t="s">
        <v>256</v>
      </c>
      <c r="C145" s="20" t="s">
        <v>114</v>
      </c>
      <c r="D145" s="20" t="s">
        <v>22</v>
      </c>
      <c r="E145" s="21">
        <f>ROUND(14444*1.05,2)</f>
      </c>
      <c r="F145" s="20" t="s">
        <v>51</v>
      </c>
      <c r="G145" s="20" t="s">
        <v>24</v>
      </c>
      <c r="H145" s="21">
        <f>ROUND(RAND()*4+6,1)</f>
      </c>
      <c r="I145" s="20" t="s">
        <v>25</v>
      </c>
      <c r="J145" s="23">
        <f>ROUND(70*1,0)&amp;"%"</f>
      </c>
    </row>
    <row x14ac:dyDescent="0.25" r="146" customHeight="1" ht="17.25">
      <c r="A146" s="24" t="s">
        <v>257</v>
      </c>
      <c r="B146" s="24"/>
      <c r="C146" s="24"/>
      <c r="D146" s="24"/>
      <c r="E146" s="25">
        <v>8</v>
      </c>
      <c r="F146" s="9"/>
      <c r="G146" s="9"/>
      <c r="H146" s="10"/>
      <c r="I146" s="9"/>
      <c r="J146" s="9"/>
    </row>
    <row x14ac:dyDescent="0.25" r="147" customHeight="1" ht="17.25">
      <c r="A147" s="7"/>
      <c r="B147" s="7"/>
      <c r="C147" s="7"/>
      <c r="D147" s="7"/>
      <c r="E147" s="8"/>
      <c r="F147" s="9"/>
      <c r="G147" s="9"/>
      <c r="H147" s="10"/>
      <c r="I147" s="9"/>
      <c r="J147" s="9"/>
    </row>
    <row x14ac:dyDescent="0.25" r="148" customHeight="1" ht="17.25">
      <c r="A148" s="11" t="s">
        <v>5569</v>
      </c>
      <c r="B148" s="11"/>
      <c r="C148" s="11"/>
      <c r="D148" s="11"/>
      <c r="E148" s="12"/>
      <c r="F148" s="11"/>
      <c r="G148" s="11"/>
      <c r="H148" s="13"/>
      <c r="I148" s="11"/>
      <c r="J148" s="11"/>
    </row>
    <row x14ac:dyDescent="0.25" r="149" customHeight="1" ht="17.25">
      <c r="A149" s="14" t="s">
        <v>3</v>
      </c>
      <c r="B149" s="14" t="s">
        <v>4</v>
      </c>
      <c r="C149" s="14" t="s">
        <v>5</v>
      </c>
      <c r="D149" s="14" t="s">
        <v>6</v>
      </c>
      <c r="E149" s="15" t="s">
        <v>7</v>
      </c>
      <c r="F149" s="14" t="s">
        <v>8</v>
      </c>
      <c r="G149" s="14" t="s">
        <v>9</v>
      </c>
      <c r="H149" s="16" t="s">
        <v>10</v>
      </c>
      <c r="I149" s="14" t="s">
        <v>11</v>
      </c>
      <c r="J149" s="14" t="s">
        <v>12</v>
      </c>
    </row>
    <row x14ac:dyDescent="0.25" r="150" customHeight="1" ht="17.25">
      <c r="A150" s="17" t="s">
        <v>5570</v>
      </c>
      <c r="B150" s="17" t="s">
        <v>260</v>
      </c>
      <c r="C150" s="17" t="s">
        <v>133</v>
      </c>
      <c r="D150" s="17" t="s">
        <v>16</v>
      </c>
      <c r="E150" s="18">
        <f>ROUND(6358*1.05,2)</f>
      </c>
      <c r="F150" s="17" t="s">
        <v>17</v>
      </c>
      <c r="G150" s="17" t="s">
        <v>18</v>
      </c>
      <c r="H150" s="18">
        <f>ROUND(RAND()*4+6,1)</f>
      </c>
      <c r="I150" s="17" t="s">
        <v>19</v>
      </c>
      <c r="J150" s="19">
        <f>ROUND(98*1,0)&amp;"%"</f>
      </c>
    </row>
    <row x14ac:dyDescent="0.25" r="151" customHeight="1" ht="17.25">
      <c r="A151" s="20" t="s">
        <v>5571</v>
      </c>
      <c r="B151" s="20" t="s">
        <v>262</v>
      </c>
      <c r="C151" s="20" t="s">
        <v>133</v>
      </c>
      <c r="D151" s="20" t="s">
        <v>22</v>
      </c>
      <c r="E151" s="21">
        <f>ROUND(16153*1.05,2)</f>
      </c>
      <c r="F151" s="20" t="s">
        <v>23</v>
      </c>
      <c r="G151" s="20" t="s">
        <v>24</v>
      </c>
      <c r="H151" s="21">
        <f>ROUND(RAND()*4+6,1)</f>
      </c>
      <c r="I151" s="20" t="s">
        <v>25</v>
      </c>
      <c r="J151" s="23">
        <f>ROUND(87*1,0)&amp;"%"</f>
      </c>
    </row>
    <row x14ac:dyDescent="0.25" r="152" customHeight="1" ht="17.25">
      <c r="A152" s="17" t="s">
        <v>5572</v>
      </c>
      <c r="B152" s="17" t="s">
        <v>264</v>
      </c>
      <c r="C152" s="17" t="s">
        <v>133</v>
      </c>
      <c r="D152" s="17" t="s">
        <v>28</v>
      </c>
      <c r="E152" s="18">
        <f>ROUND(15093*1.05,2)</f>
      </c>
      <c r="F152" s="17" t="s">
        <v>29</v>
      </c>
      <c r="G152" s="17" t="s">
        <v>30</v>
      </c>
      <c r="H152" s="18">
        <f>ROUND(RAND()*4+6,1)</f>
      </c>
      <c r="I152" s="17" t="s">
        <v>31</v>
      </c>
      <c r="J152" s="19">
        <f>ROUND(78*1,0)&amp;"%"</f>
      </c>
    </row>
    <row x14ac:dyDescent="0.25" r="153" customHeight="1" ht="17.25">
      <c r="A153" s="20" t="s">
        <v>5573</v>
      </c>
      <c r="B153" s="20" t="s">
        <v>266</v>
      </c>
      <c r="C153" s="20" t="s">
        <v>133</v>
      </c>
      <c r="D153" s="20" t="s">
        <v>34</v>
      </c>
      <c r="E153" s="21">
        <f>ROUND(5057*1.05,2)</f>
      </c>
      <c r="F153" s="20" t="s">
        <v>35</v>
      </c>
      <c r="G153" s="20" t="s">
        <v>18</v>
      </c>
      <c r="H153" s="21">
        <f>ROUND(RAND()*4+6,1)</f>
      </c>
      <c r="I153" s="20" t="s">
        <v>36</v>
      </c>
      <c r="J153" s="23">
        <f>ROUND(70*1,0)&amp;"%"</f>
      </c>
    </row>
    <row x14ac:dyDescent="0.25" r="154" customHeight="1" ht="17.25">
      <c r="A154" s="17" t="s">
        <v>5574</v>
      </c>
      <c r="B154" s="17" t="s">
        <v>268</v>
      </c>
      <c r="C154" s="17" t="s">
        <v>133</v>
      </c>
      <c r="D154" s="17" t="s">
        <v>39</v>
      </c>
      <c r="E154" s="18">
        <f>ROUND(11473*1.05,2)</f>
      </c>
      <c r="F154" s="17" t="s">
        <v>40</v>
      </c>
      <c r="G154" s="17" t="s">
        <v>24</v>
      </c>
      <c r="H154" s="18">
        <f>ROUND(RAND()*4+6,1)</f>
      </c>
      <c r="I154" s="17" t="s">
        <v>41</v>
      </c>
      <c r="J154" s="19">
        <f>ROUND(90*1,0)&amp;"%"</f>
      </c>
    </row>
    <row x14ac:dyDescent="0.25" r="155" customHeight="1" ht="17.25">
      <c r="A155" s="20" t="s">
        <v>5575</v>
      </c>
      <c r="B155" s="20" t="s">
        <v>270</v>
      </c>
      <c r="C155" s="20" t="s">
        <v>133</v>
      </c>
      <c r="D155" s="20" t="s">
        <v>67</v>
      </c>
      <c r="E155" s="21">
        <f>ROUND(12118*1.05,2)</f>
      </c>
      <c r="F155" s="20" t="s">
        <v>44</v>
      </c>
      <c r="G155" s="20" t="s">
        <v>30</v>
      </c>
      <c r="H155" s="21">
        <f>ROUND(RAND()*4+6,1)</f>
      </c>
      <c r="I155" s="20" t="s">
        <v>45</v>
      </c>
      <c r="J155" s="23">
        <f>ROUND(83*1,0)&amp;"%"</f>
      </c>
    </row>
    <row x14ac:dyDescent="0.25" r="156" customHeight="1" ht="17.25">
      <c r="A156" s="17" t="s">
        <v>5576</v>
      </c>
      <c r="B156" s="17" t="s">
        <v>272</v>
      </c>
      <c r="C156" s="17" t="s">
        <v>133</v>
      </c>
      <c r="D156" s="17" t="s">
        <v>16</v>
      </c>
      <c r="E156" s="18">
        <f>ROUND(14545*1.05,2)</f>
      </c>
      <c r="F156" s="17" t="s">
        <v>48</v>
      </c>
      <c r="G156" s="17" t="s">
        <v>18</v>
      </c>
      <c r="H156" s="26">
        <f>ROUND(RAND()*4+6,1)</f>
      </c>
      <c r="I156" s="17" t="s">
        <v>19</v>
      </c>
      <c r="J156" s="19">
        <f>ROUND(92*1,0)&amp;"%"</f>
      </c>
    </row>
    <row x14ac:dyDescent="0.25" r="157" customHeight="1" ht="17.25">
      <c r="A157" s="20" t="s">
        <v>5577</v>
      </c>
      <c r="B157" s="20" t="s">
        <v>274</v>
      </c>
      <c r="C157" s="20" t="s">
        <v>133</v>
      </c>
      <c r="D157" s="20" t="s">
        <v>22</v>
      </c>
      <c r="E157" s="21">
        <f>ROUND(12604*1.05,2)</f>
      </c>
      <c r="F157" s="20" t="s">
        <v>51</v>
      </c>
      <c r="G157" s="20" t="s">
        <v>24</v>
      </c>
      <c r="H157" s="21">
        <f>ROUND(RAND()*4+6,1)</f>
      </c>
      <c r="I157" s="20" t="s">
        <v>25</v>
      </c>
      <c r="J157" s="23">
        <f>ROUND(78*1,0)&amp;"%"</f>
      </c>
    </row>
    <row x14ac:dyDescent="0.25" r="158" customHeight="1" ht="17.25">
      <c r="A158" s="24" t="s">
        <v>275</v>
      </c>
      <c r="B158" s="24"/>
      <c r="C158" s="24"/>
      <c r="D158" s="24"/>
      <c r="E158" s="25">
        <v>8</v>
      </c>
      <c r="F158" s="9"/>
      <c r="G158" s="9"/>
      <c r="H158" s="10"/>
      <c r="I158" s="9"/>
      <c r="J158" s="9"/>
    </row>
    <row x14ac:dyDescent="0.25" r="159" customHeight="1" ht="17.25">
      <c r="A159" s="7"/>
      <c r="B159" s="7"/>
      <c r="C159" s="7"/>
      <c r="D159" s="7"/>
      <c r="E159" s="8"/>
      <c r="F159" s="9"/>
      <c r="G159" s="9"/>
      <c r="H159" s="10"/>
      <c r="I159" s="9"/>
      <c r="J159" s="9"/>
    </row>
    <row x14ac:dyDescent="0.25" r="160" customHeight="1" ht="17.25">
      <c r="A160" s="11" t="s">
        <v>5578</v>
      </c>
      <c r="B160" s="11"/>
      <c r="C160" s="11"/>
      <c r="D160" s="11"/>
      <c r="E160" s="12"/>
      <c r="F160" s="11"/>
      <c r="G160" s="11"/>
      <c r="H160" s="13"/>
      <c r="I160" s="11"/>
      <c r="J160" s="11"/>
    </row>
    <row x14ac:dyDescent="0.25" r="161" customHeight="1" ht="17.25">
      <c r="A161" s="14" t="s">
        <v>3</v>
      </c>
      <c r="B161" s="14" t="s">
        <v>4</v>
      </c>
      <c r="C161" s="14" t="s">
        <v>5</v>
      </c>
      <c r="D161" s="14" t="s">
        <v>6</v>
      </c>
      <c r="E161" s="15" t="s">
        <v>7</v>
      </c>
      <c r="F161" s="14" t="s">
        <v>8</v>
      </c>
      <c r="G161" s="14" t="s">
        <v>9</v>
      </c>
      <c r="H161" s="16" t="s">
        <v>10</v>
      </c>
      <c r="I161" s="14" t="s">
        <v>11</v>
      </c>
      <c r="J161" s="14" t="s">
        <v>12</v>
      </c>
    </row>
    <row x14ac:dyDescent="0.25" r="162" customHeight="1" ht="17.25">
      <c r="A162" s="17" t="s">
        <v>5579</v>
      </c>
      <c r="B162" s="17" t="s">
        <v>278</v>
      </c>
      <c r="C162" s="17" t="s">
        <v>152</v>
      </c>
      <c r="D162" s="17" t="s">
        <v>16</v>
      </c>
      <c r="E162" s="18">
        <f>ROUND(16652*1.05,2)</f>
      </c>
      <c r="F162" s="17" t="s">
        <v>17</v>
      </c>
      <c r="G162" s="17" t="s">
        <v>18</v>
      </c>
      <c r="H162" s="18">
        <f>ROUND(RAND()*4+6,1)</f>
      </c>
      <c r="I162" s="17" t="s">
        <v>19</v>
      </c>
      <c r="J162" s="19">
        <f>ROUND(94*1,0)&amp;"%"</f>
      </c>
    </row>
    <row x14ac:dyDescent="0.25" r="163" customHeight="1" ht="17.25">
      <c r="A163" s="20" t="s">
        <v>5580</v>
      </c>
      <c r="B163" s="20" t="s">
        <v>280</v>
      </c>
      <c r="C163" s="20" t="s">
        <v>152</v>
      </c>
      <c r="D163" s="20" t="s">
        <v>22</v>
      </c>
      <c r="E163" s="21">
        <f>ROUND(12037*1.05,2)</f>
      </c>
      <c r="F163" s="20" t="s">
        <v>23</v>
      </c>
      <c r="G163" s="20" t="s">
        <v>24</v>
      </c>
      <c r="H163" s="21">
        <f>ROUND(RAND()*4+6,1)</f>
      </c>
      <c r="I163" s="20" t="s">
        <v>25</v>
      </c>
      <c r="J163" s="23">
        <f>ROUND(73*1,0)&amp;"%"</f>
      </c>
    </row>
    <row x14ac:dyDescent="0.25" r="164" customHeight="1" ht="17.25">
      <c r="A164" s="17" t="s">
        <v>5581</v>
      </c>
      <c r="B164" s="17" t="s">
        <v>282</v>
      </c>
      <c r="C164" s="17" t="s">
        <v>152</v>
      </c>
      <c r="D164" s="17" t="s">
        <v>28</v>
      </c>
      <c r="E164" s="18">
        <f>ROUND(13158*1.05,2)</f>
      </c>
      <c r="F164" s="17" t="s">
        <v>29</v>
      </c>
      <c r="G164" s="17" t="s">
        <v>30</v>
      </c>
      <c r="H164" s="18">
        <f>ROUND(RAND()*4+6,1)</f>
      </c>
      <c r="I164" s="17" t="s">
        <v>31</v>
      </c>
      <c r="J164" s="19">
        <f>ROUND(92*1,0)&amp;"%"</f>
      </c>
    </row>
    <row x14ac:dyDescent="0.25" r="165" customHeight="1" ht="17.25">
      <c r="A165" s="20" t="s">
        <v>5582</v>
      </c>
      <c r="B165" s="20" t="s">
        <v>284</v>
      </c>
      <c r="C165" s="20" t="s">
        <v>152</v>
      </c>
      <c r="D165" s="20" t="s">
        <v>34</v>
      </c>
      <c r="E165" s="21">
        <f>ROUND(9314*1.05,2)</f>
      </c>
      <c r="F165" s="20" t="s">
        <v>35</v>
      </c>
      <c r="G165" s="20" t="s">
        <v>18</v>
      </c>
      <c r="H165" s="21">
        <f>ROUND(RAND()*4+6,1)</f>
      </c>
      <c r="I165" s="20" t="s">
        <v>36</v>
      </c>
      <c r="J165" s="23">
        <f>ROUND(92*1,0)&amp;"%"</f>
      </c>
    </row>
    <row x14ac:dyDescent="0.25" r="166" customHeight="1" ht="17.25">
      <c r="A166" s="17" t="s">
        <v>5583</v>
      </c>
      <c r="B166" s="17" t="s">
        <v>286</v>
      </c>
      <c r="C166" s="17" t="s">
        <v>152</v>
      </c>
      <c r="D166" s="17" t="s">
        <v>39</v>
      </c>
      <c r="E166" s="18">
        <f>ROUND(17150*1.05,2)</f>
      </c>
      <c r="F166" s="17" t="s">
        <v>40</v>
      </c>
      <c r="G166" s="17" t="s">
        <v>24</v>
      </c>
      <c r="H166" s="18">
        <f>ROUND(RAND()*4+6,1)</f>
      </c>
      <c r="I166" s="17" t="s">
        <v>41</v>
      </c>
      <c r="J166" s="19">
        <f>ROUND(78*1,0)&amp;"%"</f>
      </c>
    </row>
    <row x14ac:dyDescent="0.25" r="167" customHeight="1" ht="17.25">
      <c r="A167" s="20" t="s">
        <v>5584</v>
      </c>
      <c r="B167" s="20" t="s">
        <v>288</v>
      </c>
      <c r="C167" s="20" t="s">
        <v>152</v>
      </c>
      <c r="D167" s="20" t="s">
        <v>67</v>
      </c>
      <c r="E167" s="21">
        <f>ROUND(4488*1.05,2)</f>
      </c>
      <c r="F167" s="20" t="s">
        <v>44</v>
      </c>
      <c r="G167" s="20" t="s">
        <v>30</v>
      </c>
      <c r="H167" s="21">
        <f>ROUND(RAND()*4+6,1)</f>
      </c>
      <c r="I167" s="20" t="s">
        <v>45</v>
      </c>
      <c r="J167" s="23">
        <f>ROUND(75*1,0)&amp;"%"</f>
      </c>
    </row>
    <row x14ac:dyDescent="0.25" r="168" customHeight="1" ht="17.25">
      <c r="A168" s="17" t="s">
        <v>5585</v>
      </c>
      <c r="B168" s="17" t="s">
        <v>290</v>
      </c>
      <c r="C168" s="17" t="s">
        <v>152</v>
      </c>
      <c r="D168" s="17" t="s">
        <v>16</v>
      </c>
      <c r="E168" s="18">
        <f>ROUND(7525*1.05,2)</f>
      </c>
      <c r="F168" s="17" t="s">
        <v>48</v>
      </c>
      <c r="G168" s="17" t="s">
        <v>18</v>
      </c>
      <c r="H168" s="18">
        <f>ROUND(RAND()*4+6,1)</f>
      </c>
      <c r="I168" s="17" t="s">
        <v>19</v>
      </c>
      <c r="J168" s="19">
        <f>ROUND(73*1,0)&amp;"%"</f>
      </c>
    </row>
    <row x14ac:dyDescent="0.25" r="169" customHeight="1" ht="17.25">
      <c r="A169" s="20" t="s">
        <v>5586</v>
      </c>
      <c r="B169" s="20" t="s">
        <v>292</v>
      </c>
      <c r="C169" s="20" t="s">
        <v>152</v>
      </c>
      <c r="D169" s="20" t="s">
        <v>22</v>
      </c>
      <c r="E169" s="21">
        <f>ROUND(13802*1.05,2)</f>
      </c>
      <c r="F169" s="20" t="s">
        <v>51</v>
      </c>
      <c r="G169" s="20" t="s">
        <v>24</v>
      </c>
      <c r="H169" s="21">
        <f>ROUND(RAND()*4+6,1)</f>
      </c>
      <c r="I169" s="20" t="s">
        <v>25</v>
      </c>
      <c r="J169" s="23">
        <f>ROUND(93*1,0)&amp;"%"</f>
      </c>
    </row>
    <row x14ac:dyDescent="0.25" r="170" customHeight="1" ht="17.25">
      <c r="A170" s="24" t="s">
        <v>293</v>
      </c>
      <c r="B170" s="24"/>
      <c r="C170" s="24"/>
      <c r="D170" s="24"/>
      <c r="E170" s="25">
        <v>8</v>
      </c>
      <c r="F170" s="9"/>
      <c r="G170" s="9"/>
      <c r="H170" s="10"/>
      <c r="I170" s="9"/>
      <c r="J170" s="9"/>
    </row>
    <row x14ac:dyDescent="0.25" r="171" customHeight="1" ht="17.25">
      <c r="A171" s="7"/>
      <c r="B171" s="7"/>
      <c r="C171" s="7"/>
      <c r="D171" s="7"/>
      <c r="E171" s="8"/>
      <c r="F171" s="9"/>
      <c r="G171" s="9"/>
      <c r="H171" s="10"/>
      <c r="I171" s="9"/>
      <c r="J171" s="9"/>
    </row>
    <row x14ac:dyDescent="0.25" r="172" customHeight="1" ht="17.25">
      <c r="A172" s="11" t="s">
        <v>5587</v>
      </c>
      <c r="B172" s="11"/>
      <c r="C172" s="11"/>
      <c r="D172" s="11"/>
      <c r="E172" s="12"/>
      <c r="F172" s="11"/>
      <c r="G172" s="11"/>
      <c r="H172" s="13"/>
      <c r="I172" s="11"/>
      <c r="J172" s="11"/>
    </row>
    <row x14ac:dyDescent="0.25" r="173" customHeight="1" ht="17.25">
      <c r="A173" s="14" t="s">
        <v>3</v>
      </c>
      <c r="B173" s="14" t="s">
        <v>4</v>
      </c>
      <c r="C173" s="14" t="s">
        <v>5</v>
      </c>
      <c r="D173" s="14" t="s">
        <v>6</v>
      </c>
      <c r="E173" s="15" t="s">
        <v>7</v>
      </c>
      <c r="F173" s="14" t="s">
        <v>8</v>
      </c>
      <c r="G173" s="14" t="s">
        <v>9</v>
      </c>
      <c r="H173" s="16" t="s">
        <v>10</v>
      </c>
      <c r="I173" s="14" t="s">
        <v>11</v>
      </c>
      <c r="J173" s="14" t="s">
        <v>12</v>
      </c>
    </row>
    <row x14ac:dyDescent="0.25" r="174" customHeight="1" ht="17.25">
      <c r="A174" s="17" t="s">
        <v>5588</v>
      </c>
      <c r="B174" s="17" t="s">
        <v>296</v>
      </c>
      <c r="C174" s="17" t="s">
        <v>15</v>
      </c>
      <c r="D174" s="17" t="s">
        <v>16</v>
      </c>
      <c r="E174" s="18">
        <f>ROUND(12122*1.05,2)</f>
      </c>
      <c r="F174" s="17" t="s">
        <v>17</v>
      </c>
      <c r="G174" s="17" t="s">
        <v>18</v>
      </c>
      <c r="H174" s="18">
        <f>ROUND(RAND()*4+6,1)</f>
      </c>
      <c r="I174" s="17" t="s">
        <v>19</v>
      </c>
      <c r="J174" s="19">
        <f>ROUND(90*1,0)&amp;"%"</f>
      </c>
    </row>
    <row x14ac:dyDescent="0.25" r="175" customHeight="1" ht="17.25">
      <c r="A175" s="20" t="s">
        <v>5589</v>
      </c>
      <c r="B175" s="20" t="s">
        <v>298</v>
      </c>
      <c r="C175" s="20" t="s">
        <v>15</v>
      </c>
      <c r="D175" s="20" t="s">
        <v>22</v>
      </c>
      <c r="E175" s="22">
        <f>ROUND(10480*1.05,2)</f>
      </c>
      <c r="F175" s="20" t="s">
        <v>23</v>
      </c>
      <c r="G175" s="20" t="s">
        <v>24</v>
      </c>
      <c r="H175" s="21">
        <f>ROUND(RAND()*4+6,1)</f>
      </c>
      <c r="I175" s="20" t="s">
        <v>25</v>
      </c>
      <c r="J175" s="23">
        <f>ROUND(79*1,0)&amp;"%"</f>
      </c>
    </row>
    <row x14ac:dyDescent="0.25" r="176" customHeight="1" ht="17.25">
      <c r="A176" s="17" t="s">
        <v>5590</v>
      </c>
      <c r="B176" s="17" t="s">
        <v>300</v>
      </c>
      <c r="C176" s="17" t="s">
        <v>15</v>
      </c>
      <c r="D176" s="17" t="s">
        <v>28</v>
      </c>
      <c r="E176" s="18">
        <f>ROUND(5398*1.05,2)</f>
      </c>
      <c r="F176" s="17" t="s">
        <v>29</v>
      </c>
      <c r="G176" s="17" t="s">
        <v>30</v>
      </c>
      <c r="H176" s="18">
        <f>ROUND(RAND()*4+6,1)</f>
      </c>
      <c r="I176" s="17" t="s">
        <v>31</v>
      </c>
      <c r="J176" s="19">
        <f>ROUND(66*1,0)&amp;"%"</f>
      </c>
    </row>
    <row x14ac:dyDescent="0.25" r="177" customHeight="1" ht="17.25">
      <c r="A177" s="20" t="s">
        <v>5591</v>
      </c>
      <c r="B177" s="20" t="s">
        <v>302</v>
      </c>
      <c r="C177" s="20" t="s">
        <v>15</v>
      </c>
      <c r="D177" s="20" t="s">
        <v>34</v>
      </c>
      <c r="E177" s="21">
        <f>ROUND(5708*1.05,2)</f>
      </c>
      <c r="F177" s="20" t="s">
        <v>35</v>
      </c>
      <c r="G177" s="20" t="s">
        <v>18</v>
      </c>
      <c r="H177" s="21">
        <f>ROUND(RAND()*4+6,1)</f>
      </c>
      <c r="I177" s="20" t="s">
        <v>36</v>
      </c>
      <c r="J177" s="23">
        <f>ROUND(88*1,0)&amp;"%"</f>
      </c>
    </row>
    <row x14ac:dyDescent="0.25" r="178" customHeight="1" ht="17.25">
      <c r="A178" s="17" t="s">
        <v>5592</v>
      </c>
      <c r="B178" s="17" t="s">
        <v>304</v>
      </c>
      <c r="C178" s="17" t="s">
        <v>15</v>
      </c>
      <c r="D178" s="17" t="s">
        <v>39</v>
      </c>
      <c r="E178" s="18">
        <f>ROUND(11730*1.05,2)</f>
      </c>
      <c r="F178" s="17" t="s">
        <v>40</v>
      </c>
      <c r="G178" s="17" t="s">
        <v>24</v>
      </c>
      <c r="H178" s="18">
        <f>ROUND(RAND()*4+6,1)</f>
      </c>
      <c r="I178" s="17" t="s">
        <v>41</v>
      </c>
      <c r="J178" s="19">
        <f>ROUND(99*1,0)&amp;"%"</f>
      </c>
    </row>
    <row x14ac:dyDescent="0.25" r="179" customHeight="1" ht="17.25">
      <c r="A179" s="20" t="s">
        <v>5593</v>
      </c>
      <c r="B179" s="20" t="s">
        <v>306</v>
      </c>
      <c r="C179" s="20" t="s">
        <v>15</v>
      </c>
      <c r="D179" s="20" t="s">
        <v>67</v>
      </c>
      <c r="E179" s="21">
        <f>ROUND(17681*1.05,2)</f>
      </c>
      <c r="F179" s="20" t="s">
        <v>44</v>
      </c>
      <c r="G179" s="20" t="s">
        <v>30</v>
      </c>
      <c r="H179" s="21">
        <f>ROUND(RAND()*4+6,1)</f>
      </c>
      <c r="I179" s="20" t="s">
        <v>45</v>
      </c>
      <c r="J179" s="23">
        <f>ROUND(62*1,0)&amp;"%"</f>
      </c>
    </row>
    <row x14ac:dyDescent="0.25" r="180" customHeight="1" ht="17.25">
      <c r="A180" s="17" t="s">
        <v>5594</v>
      </c>
      <c r="B180" s="17" t="s">
        <v>308</v>
      </c>
      <c r="C180" s="17" t="s">
        <v>15</v>
      </c>
      <c r="D180" s="17" t="s">
        <v>16</v>
      </c>
      <c r="E180" s="18">
        <f>ROUND(15297*1.05,2)</f>
      </c>
      <c r="F180" s="17" t="s">
        <v>48</v>
      </c>
      <c r="G180" s="17" t="s">
        <v>18</v>
      </c>
      <c r="H180" s="18">
        <f>ROUND(RAND()*4+6,1)</f>
      </c>
      <c r="I180" s="17" t="s">
        <v>19</v>
      </c>
      <c r="J180" s="19">
        <f>ROUND(61*1,0)&amp;"%"</f>
      </c>
    </row>
    <row x14ac:dyDescent="0.25" r="181" customHeight="1" ht="17.25">
      <c r="A181" s="20" t="s">
        <v>5595</v>
      </c>
      <c r="B181" s="20" t="s">
        <v>310</v>
      </c>
      <c r="C181" s="20" t="s">
        <v>15</v>
      </c>
      <c r="D181" s="20" t="s">
        <v>22</v>
      </c>
      <c r="E181" s="21">
        <f>ROUND(5215*1.05,2)</f>
      </c>
      <c r="F181" s="20" t="s">
        <v>51</v>
      </c>
      <c r="G181" s="20" t="s">
        <v>24</v>
      </c>
      <c r="H181" s="22">
        <f>ROUND(RAND()*4+6,1)</f>
      </c>
      <c r="I181" s="20" t="s">
        <v>25</v>
      </c>
      <c r="J181" s="23">
        <f>ROUND(72*1,0)&amp;"%"</f>
      </c>
    </row>
    <row x14ac:dyDescent="0.25" r="182" customHeight="1" ht="17.25">
      <c r="A182" s="24" t="s">
        <v>311</v>
      </c>
      <c r="B182" s="24"/>
      <c r="C182" s="24"/>
      <c r="D182" s="24"/>
      <c r="E182" s="25">
        <v>8</v>
      </c>
      <c r="F182" s="9"/>
      <c r="G182" s="9"/>
      <c r="H182" s="10"/>
      <c r="I182" s="9"/>
      <c r="J182" s="9"/>
    </row>
    <row x14ac:dyDescent="0.25" r="183" customHeight="1" ht="17.25">
      <c r="A183" s="7"/>
      <c r="B183" s="7"/>
      <c r="C183" s="7"/>
      <c r="D183" s="7"/>
      <c r="E183" s="8"/>
      <c r="F183" s="9"/>
      <c r="G183" s="9"/>
      <c r="H183" s="10"/>
      <c r="I183" s="9"/>
      <c r="J183" s="9"/>
    </row>
    <row x14ac:dyDescent="0.25" r="184" customHeight="1" ht="17.25">
      <c r="A184" s="11" t="s">
        <v>5596</v>
      </c>
      <c r="B184" s="11"/>
      <c r="C184" s="11"/>
      <c r="D184" s="11"/>
      <c r="E184" s="12"/>
      <c r="F184" s="11"/>
      <c r="G184" s="11"/>
      <c r="H184" s="13"/>
      <c r="I184" s="11"/>
      <c r="J184" s="11"/>
    </row>
    <row x14ac:dyDescent="0.25" r="185" customHeight="1" ht="17.25">
      <c r="A185" s="14" t="s">
        <v>3</v>
      </c>
      <c r="B185" s="14" t="s">
        <v>4</v>
      </c>
      <c r="C185" s="14" t="s">
        <v>5</v>
      </c>
      <c r="D185" s="14" t="s">
        <v>6</v>
      </c>
      <c r="E185" s="15" t="s">
        <v>7</v>
      </c>
      <c r="F185" s="14" t="s">
        <v>8</v>
      </c>
      <c r="G185" s="14" t="s">
        <v>9</v>
      </c>
      <c r="H185" s="16" t="s">
        <v>10</v>
      </c>
      <c r="I185" s="14" t="s">
        <v>11</v>
      </c>
      <c r="J185" s="14" t="s">
        <v>12</v>
      </c>
    </row>
    <row x14ac:dyDescent="0.25" r="186" customHeight="1" ht="17.25">
      <c r="A186" s="17" t="s">
        <v>5597</v>
      </c>
      <c r="B186" s="17" t="s">
        <v>314</v>
      </c>
      <c r="C186" s="17" t="s">
        <v>56</v>
      </c>
      <c r="D186" s="17" t="s">
        <v>16</v>
      </c>
      <c r="E186" s="18">
        <f>ROUND(11037*1.05,2)</f>
      </c>
      <c r="F186" s="17" t="s">
        <v>17</v>
      </c>
      <c r="G186" s="17" t="s">
        <v>18</v>
      </c>
      <c r="H186" s="18">
        <f>ROUND(RAND()*4+6,1)</f>
      </c>
      <c r="I186" s="17" t="s">
        <v>19</v>
      </c>
      <c r="J186" s="19">
        <f>ROUND(76*1,0)&amp;"%"</f>
      </c>
    </row>
    <row x14ac:dyDescent="0.25" r="187" customHeight="1" ht="17.25">
      <c r="A187" s="20" t="s">
        <v>5598</v>
      </c>
      <c r="B187" s="20" t="s">
        <v>316</v>
      </c>
      <c r="C187" s="20" t="s">
        <v>56</v>
      </c>
      <c r="D187" s="20" t="s">
        <v>22</v>
      </c>
      <c r="E187" s="21">
        <f>ROUND(9003*1.05,2)</f>
      </c>
      <c r="F187" s="20" t="s">
        <v>23</v>
      </c>
      <c r="G187" s="20" t="s">
        <v>24</v>
      </c>
      <c r="H187" s="21">
        <f>ROUND(RAND()*4+6,1)</f>
      </c>
      <c r="I187" s="20" t="s">
        <v>25</v>
      </c>
      <c r="J187" s="23">
        <f>ROUND(69*1,0)&amp;"%"</f>
      </c>
    </row>
    <row x14ac:dyDescent="0.25" r="188" customHeight="1" ht="17.25">
      <c r="A188" s="17" t="s">
        <v>5599</v>
      </c>
      <c r="B188" s="17" t="s">
        <v>318</v>
      </c>
      <c r="C188" s="17" t="s">
        <v>56</v>
      </c>
      <c r="D188" s="17" t="s">
        <v>28</v>
      </c>
      <c r="E188" s="18">
        <f>ROUND(17424*1.05,2)</f>
      </c>
      <c r="F188" s="17" t="s">
        <v>29</v>
      </c>
      <c r="G188" s="17" t="s">
        <v>30</v>
      </c>
      <c r="H188" s="18">
        <f>ROUND(RAND()*4+6,1)</f>
      </c>
      <c r="I188" s="17" t="s">
        <v>31</v>
      </c>
      <c r="J188" s="19">
        <f>ROUND(89*1,0)&amp;"%"</f>
      </c>
    </row>
    <row x14ac:dyDescent="0.25" r="189" customHeight="1" ht="17.25">
      <c r="A189" s="20" t="s">
        <v>5600</v>
      </c>
      <c r="B189" s="20" t="s">
        <v>320</v>
      </c>
      <c r="C189" s="20" t="s">
        <v>56</v>
      </c>
      <c r="D189" s="20" t="s">
        <v>34</v>
      </c>
      <c r="E189" s="21">
        <f>ROUND(14577*1.05,2)</f>
      </c>
      <c r="F189" s="20" t="s">
        <v>35</v>
      </c>
      <c r="G189" s="20" t="s">
        <v>18</v>
      </c>
      <c r="H189" s="21">
        <f>ROUND(RAND()*4+6,1)</f>
      </c>
      <c r="I189" s="20" t="s">
        <v>36</v>
      </c>
      <c r="J189" s="23">
        <f>ROUND(71*1,0)&amp;"%"</f>
      </c>
    </row>
    <row x14ac:dyDescent="0.25" r="190" customHeight="1" ht="17.25">
      <c r="A190" s="17" t="s">
        <v>5601</v>
      </c>
      <c r="B190" s="17" t="s">
        <v>322</v>
      </c>
      <c r="C190" s="17" t="s">
        <v>56</v>
      </c>
      <c r="D190" s="17" t="s">
        <v>39</v>
      </c>
      <c r="E190" s="18">
        <f>ROUND(10068*1.05,2)</f>
      </c>
      <c r="F190" s="17" t="s">
        <v>40</v>
      </c>
      <c r="G190" s="17" t="s">
        <v>24</v>
      </c>
      <c r="H190" s="18">
        <f>ROUND(RAND()*4+6,1)</f>
      </c>
      <c r="I190" s="17" t="s">
        <v>41</v>
      </c>
      <c r="J190" s="19">
        <f>ROUND(93*1,0)&amp;"%"</f>
      </c>
    </row>
    <row x14ac:dyDescent="0.25" r="191" customHeight="1" ht="17.25">
      <c r="A191" s="20" t="s">
        <v>5602</v>
      </c>
      <c r="B191" s="20" t="s">
        <v>324</v>
      </c>
      <c r="C191" s="20" t="s">
        <v>56</v>
      </c>
      <c r="D191" s="20" t="s">
        <v>67</v>
      </c>
      <c r="E191" s="21">
        <f>ROUND(10750*1.05,2)</f>
      </c>
      <c r="F191" s="20" t="s">
        <v>44</v>
      </c>
      <c r="G191" s="20" t="s">
        <v>30</v>
      </c>
      <c r="H191" s="21">
        <f>ROUND(RAND()*4+6,1)</f>
      </c>
      <c r="I191" s="20" t="s">
        <v>45</v>
      </c>
      <c r="J191" s="23">
        <f>ROUND(66*1,0)&amp;"%"</f>
      </c>
    </row>
    <row x14ac:dyDescent="0.25" r="192" customHeight="1" ht="17.25">
      <c r="A192" s="17" t="s">
        <v>5603</v>
      </c>
      <c r="B192" s="17" t="s">
        <v>326</v>
      </c>
      <c r="C192" s="17" t="s">
        <v>56</v>
      </c>
      <c r="D192" s="17" t="s">
        <v>16</v>
      </c>
      <c r="E192" s="18">
        <f>ROUND(9184*1.05,2)</f>
      </c>
      <c r="F192" s="17" t="s">
        <v>48</v>
      </c>
      <c r="G192" s="17" t="s">
        <v>18</v>
      </c>
      <c r="H192" s="18">
        <f>ROUND(RAND()*4+6,1)</f>
      </c>
      <c r="I192" s="17" t="s">
        <v>19</v>
      </c>
      <c r="J192" s="19">
        <f>ROUND(71*1,0)&amp;"%"</f>
      </c>
    </row>
    <row x14ac:dyDescent="0.25" r="193" customHeight="1" ht="17.25">
      <c r="A193" s="20" t="s">
        <v>5604</v>
      </c>
      <c r="B193" s="20" t="s">
        <v>328</v>
      </c>
      <c r="C193" s="20" t="s">
        <v>56</v>
      </c>
      <c r="D193" s="20" t="s">
        <v>22</v>
      </c>
      <c r="E193" s="21">
        <f>ROUND(9159*1.05,2)</f>
      </c>
      <c r="F193" s="20" t="s">
        <v>51</v>
      </c>
      <c r="G193" s="20" t="s">
        <v>24</v>
      </c>
      <c r="H193" s="21">
        <f>ROUND(RAND()*4+6,1)</f>
      </c>
      <c r="I193" s="20" t="s">
        <v>25</v>
      </c>
      <c r="J193" s="23">
        <f>ROUND(80*1,0)&amp;"%"</f>
      </c>
    </row>
    <row x14ac:dyDescent="0.25" r="194" customHeight="1" ht="17.25">
      <c r="A194" s="24" t="s">
        <v>329</v>
      </c>
      <c r="B194" s="24"/>
      <c r="C194" s="24"/>
      <c r="D194" s="24"/>
      <c r="E194" s="25">
        <v>8</v>
      </c>
      <c r="F194" s="9"/>
      <c r="G194" s="9"/>
      <c r="H194" s="10"/>
      <c r="I194" s="9"/>
      <c r="J194" s="9"/>
    </row>
    <row x14ac:dyDescent="0.25" r="195" customHeight="1" ht="17.25">
      <c r="A195" s="7"/>
      <c r="B195" s="7"/>
      <c r="C195" s="7"/>
      <c r="D195" s="7"/>
      <c r="E195" s="8"/>
      <c r="F195" s="9"/>
      <c r="G195" s="9"/>
      <c r="H195" s="10"/>
      <c r="I195" s="9"/>
      <c r="J195" s="9"/>
    </row>
    <row x14ac:dyDescent="0.25" r="196" customHeight="1" ht="17.25">
      <c r="A196" s="11" t="s">
        <v>5605</v>
      </c>
      <c r="B196" s="11"/>
      <c r="C196" s="11"/>
      <c r="D196" s="11"/>
      <c r="E196" s="12"/>
      <c r="F196" s="11"/>
      <c r="G196" s="11"/>
      <c r="H196" s="13"/>
      <c r="I196" s="11"/>
      <c r="J196" s="11"/>
    </row>
    <row x14ac:dyDescent="0.25" r="197" customHeight="1" ht="17.25">
      <c r="A197" s="14" t="s">
        <v>3</v>
      </c>
      <c r="B197" s="14" t="s">
        <v>4</v>
      </c>
      <c r="C197" s="14" t="s">
        <v>5</v>
      </c>
      <c r="D197" s="14" t="s">
        <v>6</v>
      </c>
      <c r="E197" s="15" t="s">
        <v>7</v>
      </c>
      <c r="F197" s="14" t="s">
        <v>8</v>
      </c>
      <c r="G197" s="14" t="s">
        <v>9</v>
      </c>
      <c r="H197" s="16" t="s">
        <v>10</v>
      </c>
      <c r="I197" s="14" t="s">
        <v>11</v>
      </c>
      <c r="J197" s="14" t="s">
        <v>12</v>
      </c>
    </row>
    <row x14ac:dyDescent="0.25" r="198" customHeight="1" ht="17.25">
      <c r="A198" s="17" t="s">
        <v>5606</v>
      </c>
      <c r="B198" s="17" t="s">
        <v>332</v>
      </c>
      <c r="C198" s="17" t="s">
        <v>76</v>
      </c>
      <c r="D198" s="17" t="s">
        <v>16</v>
      </c>
      <c r="E198" s="18">
        <f>ROUND(10752*1.05,2)</f>
      </c>
      <c r="F198" s="17" t="s">
        <v>17</v>
      </c>
      <c r="G198" s="17" t="s">
        <v>18</v>
      </c>
      <c r="H198" s="26">
        <f>ROUND(RAND()*4+6,1)</f>
      </c>
      <c r="I198" s="17" t="s">
        <v>19</v>
      </c>
      <c r="J198" s="19">
        <f>ROUND(64*1,0)&amp;"%"</f>
      </c>
    </row>
    <row x14ac:dyDescent="0.25" r="199" customHeight="1" ht="17.25">
      <c r="A199" s="20" t="s">
        <v>5607</v>
      </c>
      <c r="B199" s="20" t="s">
        <v>334</v>
      </c>
      <c r="C199" s="20" t="s">
        <v>76</v>
      </c>
      <c r="D199" s="20" t="s">
        <v>22</v>
      </c>
      <c r="E199" s="21">
        <f>ROUND(12839*1.05,2)</f>
      </c>
      <c r="F199" s="20" t="s">
        <v>23</v>
      </c>
      <c r="G199" s="20" t="s">
        <v>24</v>
      </c>
      <c r="H199" s="21">
        <f>ROUND(RAND()*4+6,1)</f>
      </c>
      <c r="I199" s="20" t="s">
        <v>25</v>
      </c>
      <c r="J199" s="23">
        <f>ROUND(76*1,0)&amp;"%"</f>
      </c>
    </row>
    <row x14ac:dyDescent="0.25" r="200" customHeight="1" ht="17.25">
      <c r="A200" s="17" t="s">
        <v>5608</v>
      </c>
      <c r="B200" s="17" t="s">
        <v>336</v>
      </c>
      <c r="C200" s="17" t="s">
        <v>76</v>
      </c>
      <c r="D200" s="17" t="s">
        <v>28</v>
      </c>
      <c r="E200" s="18">
        <f>ROUND(15992*1.05,2)</f>
      </c>
      <c r="F200" s="17" t="s">
        <v>29</v>
      </c>
      <c r="G200" s="17" t="s">
        <v>30</v>
      </c>
      <c r="H200" s="18">
        <f>ROUND(RAND()*4+6,1)</f>
      </c>
      <c r="I200" s="17" t="s">
        <v>31</v>
      </c>
      <c r="J200" s="19">
        <f>ROUND(66*1,0)&amp;"%"</f>
      </c>
    </row>
    <row x14ac:dyDescent="0.25" r="201" customHeight="1" ht="17.25">
      <c r="A201" s="20" t="s">
        <v>5609</v>
      </c>
      <c r="B201" s="20" t="s">
        <v>338</v>
      </c>
      <c r="C201" s="20" t="s">
        <v>76</v>
      </c>
      <c r="D201" s="20" t="s">
        <v>34</v>
      </c>
      <c r="E201" s="21">
        <f>ROUND(7488*1.05,2)</f>
      </c>
      <c r="F201" s="20" t="s">
        <v>35</v>
      </c>
      <c r="G201" s="20" t="s">
        <v>18</v>
      </c>
      <c r="H201" s="21">
        <f>ROUND(RAND()*4+6,1)</f>
      </c>
      <c r="I201" s="20" t="s">
        <v>36</v>
      </c>
      <c r="J201" s="23">
        <f>ROUND(70*1,0)&amp;"%"</f>
      </c>
    </row>
    <row x14ac:dyDescent="0.25" r="202" customHeight="1" ht="17.25">
      <c r="A202" s="17" t="s">
        <v>5610</v>
      </c>
      <c r="B202" s="17" t="s">
        <v>340</v>
      </c>
      <c r="C202" s="17" t="s">
        <v>76</v>
      </c>
      <c r="D202" s="17" t="s">
        <v>39</v>
      </c>
      <c r="E202" s="18">
        <f>ROUND(8371*1.05,2)</f>
      </c>
      <c r="F202" s="17" t="s">
        <v>40</v>
      </c>
      <c r="G202" s="17" t="s">
        <v>24</v>
      </c>
      <c r="H202" s="18">
        <f>ROUND(RAND()*4+6,1)</f>
      </c>
      <c r="I202" s="17" t="s">
        <v>41</v>
      </c>
      <c r="J202" s="19">
        <f>ROUND(90*1,0)&amp;"%"</f>
      </c>
    </row>
    <row x14ac:dyDescent="0.25" r="203" customHeight="1" ht="17.25">
      <c r="A203" s="20" t="s">
        <v>5611</v>
      </c>
      <c r="B203" s="20" t="s">
        <v>342</v>
      </c>
      <c r="C203" s="20" t="s">
        <v>76</v>
      </c>
      <c r="D203" s="20" t="s">
        <v>67</v>
      </c>
      <c r="E203" s="21">
        <f>ROUND(7242*1.05,2)</f>
      </c>
      <c r="F203" s="20" t="s">
        <v>44</v>
      </c>
      <c r="G203" s="20" t="s">
        <v>30</v>
      </c>
      <c r="H203" s="21">
        <f>ROUND(RAND()*4+6,1)</f>
      </c>
      <c r="I203" s="20" t="s">
        <v>45</v>
      </c>
      <c r="J203" s="23">
        <f>ROUND(91*1,0)&amp;"%"</f>
      </c>
    </row>
    <row x14ac:dyDescent="0.25" r="204" customHeight="1" ht="17.25">
      <c r="A204" s="17" t="s">
        <v>5612</v>
      </c>
      <c r="B204" s="17" t="s">
        <v>344</v>
      </c>
      <c r="C204" s="17" t="s">
        <v>76</v>
      </c>
      <c r="D204" s="17" t="s">
        <v>16</v>
      </c>
      <c r="E204" s="18">
        <f>ROUND(8316*1.05,2)</f>
      </c>
      <c r="F204" s="17" t="s">
        <v>48</v>
      </c>
      <c r="G204" s="17" t="s">
        <v>18</v>
      </c>
      <c r="H204" s="18">
        <f>ROUND(RAND()*4+6,1)</f>
      </c>
      <c r="I204" s="17" t="s">
        <v>19</v>
      </c>
      <c r="J204" s="19">
        <f>ROUND(97*1,0)&amp;"%"</f>
      </c>
    </row>
    <row x14ac:dyDescent="0.25" r="205" customHeight="1" ht="17.25">
      <c r="A205" s="20" t="s">
        <v>5613</v>
      </c>
      <c r="B205" s="20" t="s">
        <v>346</v>
      </c>
      <c r="C205" s="20" t="s">
        <v>76</v>
      </c>
      <c r="D205" s="20" t="s">
        <v>22</v>
      </c>
      <c r="E205" s="21">
        <f>ROUND(15658*1.05,2)</f>
      </c>
      <c r="F205" s="20" t="s">
        <v>51</v>
      </c>
      <c r="G205" s="20" t="s">
        <v>24</v>
      </c>
      <c r="H205" s="21">
        <f>ROUND(RAND()*4+6,1)</f>
      </c>
      <c r="I205" s="20" t="s">
        <v>25</v>
      </c>
      <c r="J205" s="23">
        <f>ROUND(95*1,0)&amp;"%"</f>
      </c>
    </row>
    <row x14ac:dyDescent="0.25" r="206" customHeight="1" ht="17.25">
      <c r="A206" s="24" t="s">
        <v>347</v>
      </c>
      <c r="B206" s="24"/>
      <c r="C206" s="24"/>
      <c r="D206" s="24"/>
      <c r="E206" s="25">
        <v>8</v>
      </c>
      <c r="F206" s="9"/>
      <c r="G206" s="9"/>
      <c r="H206" s="10"/>
      <c r="I206" s="9"/>
      <c r="J206" s="9"/>
    </row>
    <row x14ac:dyDescent="0.25" r="207" customHeight="1" ht="17.25">
      <c r="A207" s="7"/>
      <c r="B207" s="7"/>
      <c r="C207" s="7"/>
      <c r="D207" s="7"/>
      <c r="E207" s="8"/>
      <c r="F207" s="9"/>
      <c r="G207" s="9"/>
      <c r="H207" s="10"/>
      <c r="I207" s="9"/>
      <c r="J207" s="9"/>
    </row>
    <row x14ac:dyDescent="0.25" r="208" customHeight="1" ht="17.25">
      <c r="A208" s="11" t="s">
        <v>5614</v>
      </c>
      <c r="B208" s="11"/>
      <c r="C208" s="11"/>
      <c r="D208" s="11"/>
      <c r="E208" s="12"/>
      <c r="F208" s="11"/>
      <c r="G208" s="11"/>
      <c r="H208" s="13"/>
      <c r="I208" s="11"/>
      <c r="J208" s="11"/>
    </row>
    <row x14ac:dyDescent="0.25" r="209" customHeight="1" ht="17.25">
      <c r="A209" s="14" t="s">
        <v>3</v>
      </c>
      <c r="B209" s="14" t="s">
        <v>4</v>
      </c>
      <c r="C209" s="14" t="s">
        <v>5</v>
      </c>
      <c r="D209" s="14" t="s">
        <v>6</v>
      </c>
      <c r="E209" s="15" t="s">
        <v>7</v>
      </c>
      <c r="F209" s="14" t="s">
        <v>8</v>
      </c>
      <c r="G209" s="14" t="s">
        <v>9</v>
      </c>
      <c r="H209" s="16" t="s">
        <v>10</v>
      </c>
      <c r="I209" s="14" t="s">
        <v>11</v>
      </c>
      <c r="J209" s="14" t="s">
        <v>12</v>
      </c>
    </row>
    <row x14ac:dyDescent="0.25" r="210" customHeight="1" ht="17.25">
      <c r="A210" s="17" t="s">
        <v>5615</v>
      </c>
      <c r="B210" s="17" t="s">
        <v>350</v>
      </c>
      <c r="C210" s="17" t="s">
        <v>95</v>
      </c>
      <c r="D210" s="17" t="s">
        <v>16</v>
      </c>
      <c r="E210" s="18">
        <f>ROUND(17946*1.05,2)</f>
      </c>
      <c r="F210" s="17" t="s">
        <v>17</v>
      </c>
      <c r="G210" s="17" t="s">
        <v>18</v>
      </c>
      <c r="H210" s="18">
        <f>ROUND(RAND()*4+6,1)</f>
      </c>
      <c r="I210" s="17" t="s">
        <v>19</v>
      </c>
      <c r="J210" s="19">
        <f>ROUND(85*1,0)&amp;"%"</f>
      </c>
    </row>
    <row x14ac:dyDescent="0.25" r="211" customHeight="1" ht="17.25">
      <c r="A211" s="20" t="s">
        <v>5616</v>
      </c>
      <c r="B211" s="20" t="s">
        <v>352</v>
      </c>
      <c r="C211" s="20" t="s">
        <v>95</v>
      </c>
      <c r="D211" s="20" t="s">
        <v>22</v>
      </c>
      <c r="E211" s="21">
        <f>ROUND(9182*1.05,2)</f>
      </c>
      <c r="F211" s="20" t="s">
        <v>23</v>
      </c>
      <c r="G211" s="20" t="s">
        <v>24</v>
      </c>
      <c r="H211" s="21">
        <f>ROUND(RAND()*4+6,1)</f>
      </c>
      <c r="I211" s="20" t="s">
        <v>25</v>
      </c>
      <c r="J211" s="23">
        <f>ROUND(87*1,0)&amp;"%"</f>
      </c>
    </row>
    <row x14ac:dyDescent="0.25" r="212" customHeight="1" ht="17.25">
      <c r="A212" s="17" t="s">
        <v>5617</v>
      </c>
      <c r="B212" s="17" t="s">
        <v>354</v>
      </c>
      <c r="C212" s="17" t="s">
        <v>95</v>
      </c>
      <c r="D212" s="17" t="s">
        <v>28</v>
      </c>
      <c r="E212" s="18">
        <f>ROUND(7952*1.05,2)</f>
      </c>
      <c r="F212" s="17" t="s">
        <v>29</v>
      </c>
      <c r="G212" s="17" t="s">
        <v>30</v>
      </c>
      <c r="H212" s="18">
        <f>ROUND(RAND()*4+6,1)</f>
      </c>
      <c r="I212" s="17" t="s">
        <v>31</v>
      </c>
      <c r="J212" s="19">
        <f>ROUND(76*1,0)&amp;"%"</f>
      </c>
    </row>
    <row x14ac:dyDescent="0.25" r="213" customHeight="1" ht="17.25">
      <c r="A213" s="20" t="s">
        <v>5618</v>
      </c>
      <c r="B213" s="20" t="s">
        <v>356</v>
      </c>
      <c r="C213" s="20" t="s">
        <v>95</v>
      </c>
      <c r="D213" s="20" t="s">
        <v>34</v>
      </c>
      <c r="E213" s="21">
        <f>ROUND(6105*1.05,2)</f>
      </c>
      <c r="F213" s="20" t="s">
        <v>35</v>
      </c>
      <c r="G213" s="20" t="s">
        <v>18</v>
      </c>
      <c r="H213" s="21">
        <f>ROUND(RAND()*4+6,1)</f>
      </c>
      <c r="I213" s="20" t="s">
        <v>36</v>
      </c>
      <c r="J213" s="23">
        <f>ROUND(87*1,0)&amp;"%"</f>
      </c>
    </row>
    <row x14ac:dyDescent="0.25" r="214" customHeight="1" ht="17.25">
      <c r="A214" s="17" t="s">
        <v>5619</v>
      </c>
      <c r="B214" s="17" t="s">
        <v>358</v>
      </c>
      <c r="C214" s="17" t="s">
        <v>95</v>
      </c>
      <c r="D214" s="17" t="s">
        <v>39</v>
      </c>
      <c r="E214" s="18">
        <f>ROUND(7336*1.05,2)</f>
      </c>
      <c r="F214" s="17" t="s">
        <v>40</v>
      </c>
      <c r="G214" s="17" t="s">
        <v>24</v>
      </c>
      <c r="H214" s="18">
        <f>ROUND(RAND()*4+6,1)</f>
      </c>
      <c r="I214" s="17" t="s">
        <v>41</v>
      </c>
      <c r="J214" s="19">
        <f>ROUND(87*1,0)&amp;"%"</f>
      </c>
    </row>
    <row x14ac:dyDescent="0.25" r="215" customHeight="1" ht="17.25">
      <c r="A215" s="20" t="s">
        <v>5620</v>
      </c>
      <c r="B215" s="20" t="s">
        <v>360</v>
      </c>
      <c r="C215" s="20" t="s">
        <v>95</v>
      </c>
      <c r="D215" s="20" t="s">
        <v>67</v>
      </c>
      <c r="E215" s="21">
        <f>ROUND(4055*1.05,2)</f>
      </c>
      <c r="F215" s="20" t="s">
        <v>44</v>
      </c>
      <c r="G215" s="20" t="s">
        <v>30</v>
      </c>
      <c r="H215" s="21">
        <f>ROUND(RAND()*4+6,1)</f>
      </c>
      <c r="I215" s="20" t="s">
        <v>45</v>
      </c>
      <c r="J215" s="23">
        <f>ROUND(77*1,0)&amp;"%"</f>
      </c>
    </row>
    <row x14ac:dyDescent="0.25" r="216" customHeight="1" ht="17.25">
      <c r="A216" s="17" t="s">
        <v>5621</v>
      </c>
      <c r="B216" s="17" t="s">
        <v>362</v>
      </c>
      <c r="C216" s="17" t="s">
        <v>95</v>
      </c>
      <c r="D216" s="17" t="s">
        <v>16</v>
      </c>
      <c r="E216" s="18">
        <f>ROUND(10488*1.05,2)</f>
      </c>
      <c r="F216" s="17" t="s">
        <v>48</v>
      </c>
      <c r="G216" s="17" t="s">
        <v>18</v>
      </c>
      <c r="H216" s="18">
        <f>ROUND(RAND()*4+6,1)</f>
      </c>
      <c r="I216" s="17" t="s">
        <v>19</v>
      </c>
      <c r="J216" s="19">
        <f>ROUND(74*1,0)&amp;"%"</f>
      </c>
    </row>
    <row x14ac:dyDescent="0.25" r="217" customHeight="1" ht="17.25">
      <c r="A217" s="20" t="s">
        <v>5622</v>
      </c>
      <c r="B217" s="20" t="s">
        <v>364</v>
      </c>
      <c r="C217" s="20" t="s">
        <v>95</v>
      </c>
      <c r="D217" s="20" t="s">
        <v>22</v>
      </c>
      <c r="E217" s="21">
        <f>ROUND(7802*1.05,2)</f>
      </c>
      <c r="F217" s="20" t="s">
        <v>51</v>
      </c>
      <c r="G217" s="20" t="s">
        <v>24</v>
      </c>
      <c r="H217" s="21">
        <f>ROUND(RAND()*4+6,1)</f>
      </c>
      <c r="I217" s="20" t="s">
        <v>25</v>
      </c>
      <c r="J217" s="23">
        <f>ROUND(95*1,0)&amp;"%"</f>
      </c>
    </row>
    <row x14ac:dyDescent="0.25" r="218" customHeight="1" ht="17.25">
      <c r="A218" s="24" t="s">
        <v>365</v>
      </c>
      <c r="B218" s="24"/>
      <c r="C218" s="24"/>
      <c r="D218" s="24"/>
      <c r="E218" s="25">
        <v>8</v>
      </c>
      <c r="F218" s="9"/>
      <c r="G218" s="9"/>
      <c r="H218" s="10"/>
      <c r="I218" s="9"/>
      <c r="J218" s="9"/>
    </row>
    <row x14ac:dyDescent="0.25" r="219" customHeight="1" ht="17.25">
      <c r="A219" s="7"/>
      <c r="B219" s="7"/>
      <c r="C219" s="7"/>
      <c r="D219" s="7"/>
      <c r="E219" s="8"/>
      <c r="F219" s="9"/>
      <c r="G219" s="9"/>
      <c r="H219" s="10"/>
      <c r="I219" s="9"/>
      <c r="J219" s="9"/>
    </row>
    <row x14ac:dyDescent="0.25" r="220" customHeight="1" ht="17.25">
      <c r="A220" s="11" t="s">
        <v>5623</v>
      </c>
      <c r="B220" s="11"/>
      <c r="C220" s="11"/>
      <c r="D220" s="11"/>
      <c r="E220" s="12"/>
      <c r="F220" s="11"/>
      <c r="G220" s="11"/>
      <c r="H220" s="13"/>
      <c r="I220" s="11"/>
      <c r="J220" s="11"/>
    </row>
    <row x14ac:dyDescent="0.25" r="221" customHeight="1" ht="17.25">
      <c r="A221" s="14" t="s">
        <v>3</v>
      </c>
      <c r="B221" s="14" t="s">
        <v>4</v>
      </c>
      <c r="C221" s="14" t="s">
        <v>5</v>
      </c>
      <c r="D221" s="14" t="s">
        <v>6</v>
      </c>
      <c r="E221" s="15" t="s">
        <v>7</v>
      </c>
      <c r="F221" s="14" t="s">
        <v>8</v>
      </c>
      <c r="G221" s="14" t="s">
        <v>9</v>
      </c>
      <c r="H221" s="16" t="s">
        <v>10</v>
      </c>
      <c r="I221" s="14" t="s">
        <v>11</v>
      </c>
      <c r="J221" s="14" t="s">
        <v>12</v>
      </c>
    </row>
    <row x14ac:dyDescent="0.25" r="222" customHeight="1" ht="17.25">
      <c r="A222" s="17" t="s">
        <v>5624</v>
      </c>
      <c r="B222" s="17" t="s">
        <v>368</v>
      </c>
      <c r="C222" s="17" t="s">
        <v>114</v>
      </c>
      <c r="D222" s="17" t="s">
        <v>16</v>
      </c>
      <c r="E222" s="18">
        <f>ROUND(8246*1.05,2)</f>
      </c>
      <c r="F222" s="17" t="s">
        <v>17</v>
      </c>
      <c r="G222" s="17" t="s">
        <v>18</v>
      </c>
      <c r="H222" s="18">
        <f>ROUND(RAND()*4+6,1)</f>
      </c>
      <c r="I222" s="17" t="s">
        <v>19</v>
      </c>
      <c r="J222" s="19">
        <f>ROUND(97*1,0)&amp;"%"</f>
      </c>
    </row>
    <row x14ac:dyDescent="0.25" r="223" customHeight="1" ht="17.25">
      <c r="A223" s="20" t="s">
        <v>5625</v>
      </c>
      <c r="B223" s="20" t="s">
        <v>370</v>
      </c>
      <c r="C223" s="20" t="s">
        <v>114</v>
      </c>
      <c r="D223" s="20" t="s">
        <v>22</v>
      </c>
      <c r="E223" s="21">
        <f>ROUND(9970*1.05,2)</f>
      </c>
      <c r="F223" s="20" t="s">
        <v>23</v>
      </c>
      <c r="G223" s="20" t="s">
        <v>24</v>
      </c>
      <c r="H223" s="21">
        <f>ROUND(RAND()*4+6,1)</f>
      </c>
      <c r="I223" s="20" t="s">
        <v>25</v>
      </c>
      <c r="J223" s="23">
        <f>ROUND(89*1,0)&amp;"%"</f>
      </c>
    </row>
    <row x14ac:dyDescent="0.25" r="224" customHeight="1" ht="17.25">
      <c r="A224" s="17" t="s">
        <v>5626</v>
      </c>
      <c r="B224" s="17" t="s">
        <v>372</v>
      </c>
      <c r="C224" s="17" t="s">
        <v>114</v>
      </c>
      <c r="D224" s="17" t="s">
        <v>28</v>
      </c>
      <c r="E224" s="18">
        <f>ROUND(6942*1.05,2)</f>
      </c>
      <c r="F224" s="17" t="s">
        <v>29</v>
      </c>
      <c r="G224" s="17" t="s">
        <v>30</v>
      </c>
      <c r="H224" s="18">
        <f>ROUND(RAND()*4+6,1)</f>
      </c>
      <c r="I224" s="17" t="s">
        <v>31</v>
      </c>
      <c r="J224" s="19">
        <f>ROUND(83*1,0)&amp;"%"</f>
      </c>
    </row>
    <row x14ac:dyDescent="0.25" r="225" customHeight="1" ht="17.25">
      <c r="A225" s="20" t="s">
        <v>5627</v>
      </c>
      <c r="B225" s="20" t="s">
        <v>374</v>
      </c>
      <c r="C225" s="20" t="s">
        <v>114</v>
      </c>
      <c r="D225" s="20" t="s">
        <v>34</v>
      </c>
      <c r="E225" s="21">
        <f>ROUND(6444*1.05,2)</f>
      </c>
      <c r="F225" s="20" t="s">
        <v>35</v>
      </c>
      <c r="G225" s="20" t="s">
        <v>18</v>
      </c>
      <c r="H225" s="21">
        <f>ROUND(RAND()*4+6,1)</f>
      </c>
      <c r="I225" s="20" t="s">
        <v>36</v>
      </c>
      <c r="J225" s="23">
        <f>ROUND(63*1,0)&amp;"%"</f>
      </c>
    </row>
    <row x14ac:dyDescent="0.25" r="226" customHeight="1" ht="17.25">
      <c r="A226" s="17" t="s">
        <v>5628</v>
      </c>
      <c r="B226" s="17" t="s">
        <v>376</v>
      </c>
      <c r="C226" s="17" t="s">
        <v>114</v>
      </c>
      <c r="D226" s="17" t="s">
        <v>39</v>
      </c>
      <c r="E226" s="18">
        <f>ROUND(12990*1.05,2)</f>
      </c>
      <c r="F226" s="17" t="s">
        <v>40</v>
      </c>
      <c r="G226" s="17" t="s">
        <v>24</v>
      </c>
      <c r="H226" s="18">
        <f>ROUND(RAND()*4+6,1)</f>
      </c>
      <c r="I226" s="17" t="s">
        <v>41</v>
      </c>
      <c r="J226" s="19">
        <f>ROUND(70*1,0)&amp;"%"</f>
      </c>
    </row>
    <row x14ac:dyDescent="0.25" r="227" customHeight="1" ht="17.25">
      <c r="A227" s="20" t="s">
        <v>5629</v>
      </c>
      <c r="B227" s="20" t="s">
        <v>378</v>
      </c>
      <c r="C227" s="20" t="s">
        <v>114</v>
      </c>
      <c r="D227" s="20" t="s">
        <v>67</v>
      </c>
      <c r="E227" s="21">
        <f>ROUND(13931*1.05,2)</f>
      </c>
      <c r="F227" s="20" t="s">
        <v>44</v>
      </c>
      <c r="G227" s="20" t="s">
        <v>30</v>
      </c>
      <c r="H227" s="21">
        <f>ROUND(RAND()*4+6,1)</f>
      </c>
      <c r="I227" s="20" t="s">
        <v>45</v>
      </c>
      <c r="J227" s="23">
        <f>ROUND(90*1,0)&amp;"%"</f>
      </c>
    </row>
    <row x14ac:dyDescent="0.25" r="228" customHeight="1" ht="17.25">
      <c r="A228" s="17" t="s">
        <v>5630</v>
      </c>
      <c r="B228" s="17" t="s">
        <v>380</v>
      </c>
      <c r="C228" s="17" t="s">
        <v>114</v>
      </c>
      <c r="D228" s="17" t="s">
        <v>16</v>
      </c>
      <c r="E228" s="18">
        <f>ROUND(14568*1.05,2)</f>
      </c>
      <c r="F228" s="17" t="s">
        <v>48</v>
      </c>
      <c r="G228" s="17" t="s">
        <v>18</v>
      </c>
      <c r="H228" s="18">
        <f>ROUND(RAND()*4+6,1)</f>
      </c>
      <c r="I228" s="17" t="s">
        <v>19</v>
      </c>
      <c r="J228" s="19">
        <f>ROUND(83*1,0)&amp;"%"</f>
      </c>
    </row>
    <row x14ac:dyDescent="0.25" r="229" customHeight="1" ht="17.25">
      <c r="A229" s="20" t="s">
        <v>5631</v>
      </c>
      <c r="B229" s="20" t="s">
        <v>382</v>
      </c>
      <c r="C229" s="20" t="s">
        <v>114</v>
      </c>
      <c r="D229" s="20" t="s">
        <v>22</v>
      </c>
      <c r="E229" s="21">
        <f>ROUND(17199*1.05,2)</f>
      </c>
      <c r="F229" s="20" t="s">
        <v>51</v>
      </c>
      <c r="G229" s="20" t="s">
        <v>24</v>
      </c>
      <c r="H229" s="21">
        <f>ROUND(RAND()*4+6,1)</f>
      </c>
      <c r="I229" s="20" t="s">
        <v>25</v>
      </c>
      <c r="J229" s="23">
        <f>ROUND(60*1,0)&amp;"%"</f>
      </c>
    </row>
    <row x14ac:dyDescent="0.25" r="230" customHeight="1" ht="17.25">
      <c r="A230" s="24" t="s">
        <v>383</v>
      </c>
      <c r="B230" s="24"/>
      <c r="C230" s="24"/>
      <c r="D230" s="24"/>
      <c r="E230" s="25">
        <v>8</v>
      </c>
      <c r="F230" s="9"/>
      <c r="G230" s="9"/>
      <c r="H230" s="10"/>
      <c r="I230" s="9"/>
      <c r="J230" s="9"/>
    </row>
    <row x14ac:dyDescent="0.25" r="231" customHeight="1" ht="17.25">
      <c r="A231" s="7"/>
      <c r="B231" s="7"/>
      <c r="C231" s="7"/>
      <c r="D231" s="7"/>
      <c r="E231" s="8"/>
      <c r="F231" s="9"/>
      <c r="G231" s="9"/>
      <c r="H231" s="10"/>
      <c r="I231" s="9"/>
      <c r="J231" s="9"/>
    </row>
    <row x14ac:dyDescent="0.25" r="232" customHeight="1" ht="17.25">
      <c r="A232" s="11" t="s">
        <v>5632</v>
      </c>
      <c r="B232" s="11"/>
      <c r="C232" s="11"/>
      <c r="D232" s="11"/>
      <c r="E232" s="12"/>
      <c r="F232" s="11"/>
      <c r="G232" s="11"/>
      <c r="H232" s="13"/>
      <c r="I232" s="11"/>
      <c r="J232" s="11"/>
    </row>
    <row x14ac:dyDescent="0.25" r="233" customHeight="1" ht="17.25">
      <c r="A233" s="14" t="s">
        <v>3</v>
      </c>
      <c r="B233" s="14" t="s">
        <v>4</v>
      </c>
      <c r="C233" s="14" t="s">
        <v>5</v>
      </c>
      <c r="D233" s="14" t="s">
        <v>6</v>
      </c>
      <c r="E233" s="15" t="s">
        <v>7</v>
      </c>
      <c r="F233" s="14" t="s">
        <v>8</v>
      </c>
      <c r="G233" s="14" t="s">
        <v>9</v>
      </c>
      <c r="H233" s="16" t="s">
        <v>10</v>
      </c>
      <c r="I233" s="14" t="s">
        <v>11</v>
      </c>
      <c r="J233" s="14" t="s">
        <v>12</v>
      </c>
    </row>
    <row x14ac:dyDescent="0.25" r="234" customHeight="1" ht="17.25">
      <c r="A234" s="17" t="s">
        <v>5633</v>
      </c>
      <c r="B234" s="17" t="s">
        <v>386</v>
      </c>
      <c r="C234" s="17" t="s">
        <v>133</v>
      </c>
      <c r="D234" s="17" t="s">
        <v>16</v>
      </c>
      <c r="E234" s="18">
        <f>ROUND(13684*1.05,2)</f>
      </c>
      <c r="F234" s="17" t="s">
        <v>17</v>
      </c>
      <c r="G234" s="17" t="s">
        <v>18</v>
      </c>
      <c r="H234" s="18">
        <f>ROUND(RAND()*4+6,1)</f>
      </c>
      <c r="I234" s="17" t="s">
        <v>19</v>
      </c>
      <c r="J234" s="19">
        <f>ROUND(95*1,0)&amp;"%"</f>
      </c>
    </row>
    <row x14ac:dyDescent="0.25" r="235" customHeight="1" ht="17.25">
      <c r="A235" s="20" t="s">
        <v>5634</v>
      </c>
      <c r="B235" s="20" t="s">
        <v>388</v>
      </c>
      <c r="C235" s="20" t="s">
        <v>133</v>
      </c>
      <c r="D235" s="20" t="s">
        <v>22</v>
      </c>
      <c r="E235" s="21">
        <f>ROUND(12478*1.05,2)</f>
      </c>
      <c r="F235" s="20" t="s">
        <v>23</v>
      </c>
      <c r="G235" s="20" t="s">
        <v>24</v>
      </c>
      <c r="H235" s="21">
        <f>ROUND(RAND()*4+6,1)</f>
      </c>
      <c r="I235" s="20" t="s">
        <v>25</v>
      </c>
      <c r="J235" s="23">
        <f>ROUND(78*1,0)&amp;"%"</f>
      </c>
    </row>
    <row x14ac:dyDescent="0.25" r="236" customHeight="1" ht="17.25">
      <c r="A236" s="17" t="s">
        <v>5635</v>
      </c>
      <c r="B236" s="17" t="s">
        <v>390</v>
      </c>
      <c r="C236" s="17" t="s">
        <v>133</v>
      </c>
      <c r="D236" s="17" t="s">
        <v>28</v>
      </c>
      <c r="E236" s="18">
        <f>ROUND(4781*1.05,2)</f>
      </c>
      <c r="F236" s="17" t="s">
        <v>29</v>
      </c>
      <c r="G236" s="17" t="s">
        <v>30</v>
      </c>
      <c r="H236" s="18">
        <f>ROUND(RAND()*4+6,1)</f>
      </c>
      <c r="I236" s="17" t="s">
        <v>31</v>
      </c>
      <c r="J236" s="19">
        <f>ROUND(67*1,0)&amp;"%"</f>
      </c>
    </row>
    <row x14ac:dyDescent="0.25" r="237" customHeight="1" ht="17.25">
      <c r="A237" s="20" t="s">
        <v>5636</v>
      </c>
      <c r="B237" s="20" t="s">
        <v>392</v>
      </c>
      <c r="C237" s="20" t="s">
        <v>133</v>
      </c>
      <c r="D237" s="20" t="s">
        <v>34</v>
      </c>
      <c r="E237" s="21">
        <f>ROUND(6512*1.05,2)</f>
      </c>
      <c r="F237" s="20" t="s">
        <v>35</v>
      </c>
      <c r="G237" s="20" t="s">
        <v>18</v>
      </c>
      <c r="H237" s="21">
        <f>ROUND(RAND()*4+6,1)</f>
      </c>
      <c r="I237" s="20" t="s">
        <v>36</v>
      </c>
      <c r="J237" s="23">
        <f>ROUND(96*1,0)&amp;"%"</f>
      </c>
    </row>
    <row x14ac:dyDescent="0.25" r="238" customHeight="1" ht="17.25">
      <c r="A238" s="17" t="s">
        <v>5637</v>
      </c>
      <c r="B238" s="17" t="s">
        <v>394</v>
      </c>
      <c r="C238" s="17" t="s">
        <v>133</v>
      </c>
      <c r="D238" s="17" t="s">
        <v>39</v>
      </c>
      <c r="E238" s="18">
        <f>ROUND(7227*1.05,2)</f>
      </c>
      <c r="F238" s="17" t="s">
        <v>40</v>
      </c>
      <c r="G238" s="17" t="s">
        <v>24</v>
      </c>
      <c r="H238" s="18">
        <f>ROUND(RAND()*4+6,1)</f>
      </c>
      <c r="I238" s="17" t="s">
        <v>41</v>
      </c>
      <c r="J238" s="19">
        <f>ROUND(79*1,0)&amp;"%"</f>
      </c>
    </row>
    <row x14ac:dyDescent="0.25" r="239" customHeight="1" ht="17.25">
      <c r="A239" s="20" t="s">
        <v>5638</v>
      </c>
      <c r="B239" s="20" t="s">
        <v>396</v>
      </c>
      <c r="C239" s="20" t="s">
        <v>133</v>
      </c>
      <c r="D239" s="20" t="s">
        <v>67</v>
      </c>
      <c r="E239" s="21">
        <f>ROUND(9495*1.05,2)</f>
      </c>
      <c r="F239" s="20" t="s">
        <v>44</v>
      </c>
      <c r="G239" s="20" t="s">
        <v>30</v>
      </c>
      <c r="H239" s="21">
        <f>ROUND(RAND()*4+6,1)</f>
      </c>
      <c r="I239" s="20" t="s">
        <v>45</v>
      </c>
      <c r="J239" s="23">
        <f>ROUND(71*1,0)&amp;"%"</f>
      </c>
    </row>
    <row x14ac:dyDescent="0.25" r="240" customHeight="1" ht="17.25">
      <c r="A240" s="17" t="s">
        <v>5639</v>
      </c>
      <c r="B240" s="17" t="s">
        <v>398</v>
      </c>
      <c r="C240" s="17" t="s">
        <v>133</v>
      </c>
      <c r="D240" s="17" t="s">
        <v>16</v>
      </c>
      <c r="E240" s="18">
        <f>ROUND(5464*1.05,2)</f>
      </c>
      <c r="F240" s="17" t="s">
        <v>48</v>
      </c>
      <c r="G240" s="17" t="s">
        <v>18</v>
      </c>
      <c r="H240" s="18">
        <f>ROUND(RAND()*4+6,1)</f>
      </c>
      <c r="I240" s="17" t="s">
        <v>19</v>
      </c>
      <c r="J240" s="19">
        <f>ROUND(79*1,0)&amp;"%"</f>
      </c>
    </row>
    <row x14ac:dyDescent="0.25" r="241" customHeight="1" ht="17.25">
      <c r="A241" s="20" t="s">
        <v>5640</v>
      </c>
      <c r="B241" s="20" t="s">
        <v>400</v>
      </c>
      <c r="C241" s="20" t="s">
        <v>133</v>
      </c>
      <c r="D241" s="20" t="s">
        <v>22</v>
      </c>
      <c r="E241" s="21">
        <f>ROUND(5241*1.05,2)</f>
      </c>
      <c r="F241" s="20" t="s">
        <v>51</v>
      </c>
      <c r="G241" s="20" t="s">
        <v>24</v>
      </c>
      <c r="H241" s="21">
        <f>ROUND(RAND()*4+6,1)</f>
      </c>
      <c r="I241" s="20" t="s">
        <v>25</v>
      </c>
      <c r="J241" s="23">
        <f>ROUND(61*1,0)&amp;"%"</f>
      </c>
    </row>
    <row x14ac:dyDescent="0.25" r="242" customHeight="1" ht="17.25">
      <c r="A242" s="24" t="s">
        <v>401</v>
      </c>
      <c r="B242" s="24"/>
      <c r="C242" s="24"/>
      <c r="D242" s="24"/>
      <c r="E242" s="25">
        <v>8</v>
      </c>
      <c r="F242" s="9"/>
      <c r="G242" s="9"/>
      <c r="H242" s="10"/>
      <c r="I242" s="9"/>
      <c r="J242" s="9"/>
    </row>
    <row x14ac:dyDescent="0.25" r="243" customHeight="1" ht="17.25">
      <c r="A243" s="7"/>
      <c r="B243" s="7"/>
      <c r="C243" s="7"/>
      <c r="D243" s="7"/>
      <c r="E243" s="8"/>
      <c r="F243" s="9"/>
      <c r="G243" s="9"/>
      <c r="H243" s="10"/>
      <c r="I243" s="9"/>
      <c r="J243" s="9"/>
    </row>
    <row x14ac:dyDescent="0.25" r="244" customHeight="1" ht="17.25">
      <c r="A244" s="11" t="s">
        <v>5641</v>
      </c>
      <c r="B244" s="11"/>
      <c r="C244" s="11"/>
      <c r="D244" s="11"/>
      <c r="E244" s="12"/>
      <c r="F244" s="11"/>
      <c r="G244" s="11"/>
      <c r="H244" s="13"/>
      <c r="I244" s="11"/>
      <c r="J244" s="11"/>
    </row>
    <row x14ac:dyDescent="0.25" r="245" customHeight="1" ht="17.25">
      <c r="A245" s="14" t="s">
        <v>3</v>
      </c>
      <c r="B245" s="14" t="s">
        <v>4</v>
      </c>
      <c r="C245" s="14" t="s">
        <v>5</v>
      </c>
      <c r="D245" s="14" t="s">
        <v>6</v>
      </c>
      <c r="E245" s="15" t="s">
        <v>7</v>
      </c>
      <c r="F245" s="14" t="s">
        <v>8</v>
      </c>
      <c r="G245" s="14" t="s">
        <v>9</v>
      </c>
      <c r="H245" s="16" t="s">
        <v>10</v>
      </c>
      <c r="I245" s="14" t="s">
        <v>11</v>
      </c>
      <c r="J245" s="14" t="s">
        <v>12</v>
      </c>
    </row>
    <row x14ac:dyDescent="0.25" r="246" customHeight="1" ht="17.25">
      <c r="A246" s="17" t="s">
        <v>5642</v>
      </c>
      <c r="B246" s="17" t="s">
        <v>404</v>
      </c>
      <c r="C246" s="17" t="s">
        <v>152</v>
      </c>
      <c r="D246" s="17" t="s">
        <v>16</v>
      </c>
      <c r="E246" s="18">
        <f>ROUND(12366*1.05,2)</f>
      </c>
      <c r="F246" s="17" t="s">
        <v>17</v>
      </c>
      <c r="G246" s="17" t="s">
        <v>18</v>
      </c>
      <c r="H246" s="18">
        <f>ROUND(RAND()*4+6,1)</f>
      </c>
      <c r="I246" s="17" t="s">
        <v>19</v>
      </c>
      <c r="J246" s="19">
        <f>ROUND(66*1,0)&amp;"%"</f>
      </c>
    </row>
    <row x14ac:dyDescent="0.25" r="247" customHeight="1" ht="17.25">
      <c r="A247" s="20" t="s">
        <v>5643</v>
      </c>
      <c r="B247" s="20" t="s">
        <v>406</v>
      </c>
      <c r="C247" s="20" t="s">
        <v>152</v>
      </c>
      <c r="D247" s="20" t="s">
        <v>22</v>
      </c>
      <c r="E247" s="21">
        <f>ROUND(9674*1.05,2)</f>
      </c>
      <c r="F247" s="20" t="s">
        <v>23</v>
      </c>
      <c r="G247" s="20" t="s">
        <v>24</v>
      </c>
      <c r="H247" s="22">
        <f>ROUND(RAND()*4+6,1)</f>
      </c>
      <c r="I247" s="20" t="s">
        <v>25</v>
      </c>
      <c r="J247" s="23">
        <f>ROUND(100*1,0)&amp;"%"</f>
      </c>
    </row>
    <row x14ac:dyDescent="0.25" r="248" customHeight="1" ht="17.25">
      <c r="A248" s="17" t="s">
        <v>5644</v>
      </c>
      <c r="B248" s="17" t="s">
        <v>408</v>
      </c>
      <c r="C248" s="17" t="s">
        <v>152</v>
      </c>
      <c r="D248" s="17" t="s">
        <v>28</v>
      </c>
      <c r="E248" s="18">
        <f>ROUND(13222*1.05,2)</f>
      </c>
      <c r="F248" s="17" t="s">
        <v>29</v>
      </c>
      <c r="G248" s="17" t="s">
        <v>30</v>
      </c>
      <c r="H248" s="18">
        <f>ROUND(RAND()*4+6,1)</f>
      </c>
      <c r="I248" s="17" t="s">
        <v>31</v>
      </c>
      <c r="J248" s="19">
        <f>ROUND(79*1,0)&amp;"%"</f>
      </c>
    </row>
    <row x14ac:dyDescent="0.25" r="249" customHeight="1" ht="17.25">
      <c r="A249" s="20" t="s">
        <v>5645</v>
      </c>
      <c r="B249" s="20" t="s">
        <v>410</v>
      </c>
      <c r="C249" s="20" t="s">
        <v>152</v>
      </c>
      <c r="D249" s="20" t="s">
        <v>34</v>
      </c>
      <c r="E249" s="21">
        <f>ROUND(17571*1.05,2)</f>
      </c>
      <c r="F249" s="20" t="s">
        <v>35</v>
      </c>
      <c r="G249" s="20" t="s">
        <v>18</v>
      </c>
      <c r="H249" s="21">
        <f>ROUND(RAND()*4+6,1)</f>
      </c>
      <c r="I249" s="20" t="s">
        <v>36</v>
      </c>
      <c r="J249" s="23">
        <f>ROUND(65*1,0)&amp;"%"</f>
      </c>
    </row>
    <row x14ac:dyDescent="0.25" r="250" customHeight="1" ht="17.25">
      <c r="A250" s="17" t="s">
        <v>5646</v>
      </c>
      <c r="B250" s="17" t="s">
        <v>412</v>
      </c>
      <c r="C250" s="17" t="s">
        <v>152</v>
      </c>
      <c r="D250" s="17" t="s">
        <v>39</v>
      </c>
      <c r="E250" s="18">
        <f>ROUND(10567*1.05,2)</f>
      </c>
      <c r="F250" s="17" t="s">
        <v>40</v>
      </c>
      <c r="G250" s="17" t="s">
        <v>24</v>
      </c>
      <c r="H250" s="26">
        <f>ROUND(RAND()*4+6,1)</f>
      </c>
      <c r="I250" s="17" t="s">
        <v>41</v>
      </c>
      <c r="J250" s="19">
        <f>ROUND(99*1,0)&amp;"%"</f>
      </c>
    </row>
    <row x14ac:dyDescent="0.25" r="251" customHeight="1" ht="17.25">
      <c r="A251" s="20" t="s">
        <v>5647</v>
      </c>
      <c r="B251" s="20" t="s">
        <v>414</v>
      </c>
      <c r="C251" s="20" t="s">
        <v>152</v>
      </c>
      <c r="D251" s="20" t="s">
        <v>67</v>
      </c>
      <c r="E251" s="21">
        <f>ROUND(15273*1.05,2)</f>
      </c>
      <c r="F251" s="20" t="s">
        <v>44</v>
      </c>
      <c r="G251" s="20" t="s">
        <v>30</v>
      </c>
      <c r="H251" s="21">
        <f>ROUND(RAND()*4+6,1)</f>
      </c>
      <c r="I251" s="20" t="s">
        <v>45</v>
      </c>
      <c r="J251" s="23">
        <f>ROUND(60*1,0)&amp;"%"</f>
      </c>
    </row>
    <row x14ac:dyDescent="0.25" r="252" customHeight="1" ht="17.25">
      <c r="A252" s="17" t="s">
        <v>5648</v>
      </c>
      <c r="B252" s="17" t="s">
        <v>416</v>
      </c>
      <c r="C252" s="17" t="s">
        <v>152</v>
      </c>
      <c r="D252" s="17" t="s">
        <v>16</v>
      </c>
      <c r="E252" s="18">
        <f>ROUND(13330*1.05,2)</f>
      </c>
      <c r="F252" s="17" t="s">
        <v>48</v>
      </c>
      <c r="G252" s="17" t="s">
        <v>18</v>
      </c>
      <c r="H252" s="26">
        <f>ROUND(RAND()*4+6,1)</f>
      </c>
      <c r="I252" s="17" t="s">
        <v>19</v>
      </c>
      <c r="J252" s="19">
        <f>ROUND(72*1,0)&amp;"%"</f>
      </c>
    </row>
    <row x14ac:dyDescent="0.25" r="253" customHeight="1" ht="17.25">
      <c r="A253" s="20" t="s">
        <v>5649</v>
      </c>
      <c r="B253" s="20" t="s">
        <v>418</v>
      </c>
      <c r="C253" s="20" t="s">
        <v>152</v>
      </c>
      <c r="D253" s="20" t="s">
        <v>22</v>
      </c>
      <c r="E253" s="21">
        <f>ROUND(11630*1.05,2)</f>
      </c>
      <c r="F253" s="20" t="s">
        <v>51</v>
      </c>
      <c r="G253" s="20" t="s">
        <v>24</v>
      </c>
      <c r="H253" s="21">
        <f>ROUND(RAND()*4+6,1)</f>
      </c>
      <c r="I253" s="20" t="s">
        <v>25</v>
      </c>
      <c r="J253" s="23">
        <f>ROUND(73*1,0)&amp;"%"</f>
      </c>
    </row>
    <row x14ac:dyDescent="0.25" r="254" customHeight="1" ht="17.25">
      <c r="A254" s="24" t="s">
        <v>419</v>
      </c>
      <c r="B254" s="24"/>
      <c r="C254" s="24"/>
      <c r="D254" s="24"/>
      <c r="E254" s="25">
        <v>8</v>
      </c>
      <c r="F254" s="9"/>
      <c r="G254" s="9"/>
      <c r="H254" s="10"/>
      <c r="I254" s="9"/>
      <c r="J254" s="9"/>
    </row>
    <row x14ac:dyDescent="0.25" r="255" customHeight="1" ht="17.25">
      <c r="A255" s="7"/>
      <c r="B255" s="7"/>
      <c r="C255" s="7"/>
      <c r="D255" s="7"/>
      <c r="E255" s="8"/>
      <c r="F255" s="9"/>
      <c r="G255" s="9"/>
      <c r="H255" s="10"/>
      <c r="I255" s="9"/>
      <c r="J255" s="9"/>
    </row>
    <row x14ac:dyDescent="0.25" r="256" customHeight="1" ht="17.25">
      <c r="A256" s="11" t="s">
        <v>5650</v>
      </c>
      <c r="B256" s="11"/>
      <c r="C256" s="11"/>
      <c r="D256" s="11"/>
      <c r="E256" s="12"/>
      <c r="F256" s="11"/>
      <c r="G256" s="11"/>
      <c r="H256" s="13"/>
      <c r="I256" s="11"/>
      <c r="J256" s="11"/>
    </row>
    <row x14ac:dyDescent="0.25" r="257" customHeight="1" ht="17.25">
      <c r="A257" s="14" t="s">
        <v>3</v>
      </c>
      <c r="B257" s="14" t="s">
        <v>4</v>
      </c>
      <c r="C257" s="14" t="s">
        <v>5</v>
      </c>
      <c r="D257" s="14" t="s">
        <v>6</v>
      </c>
      <c r="E257" s="15" t="s">
        <v>7</v>
      </c>
      <c r="F257" s="14" t="s">
        <v>8</v>
      </c>
      <c r="G257" s="14" t="s">
        <v>9</v>
      </c>
      <c r="H257" s="16" t="s">
        <v>10</v>
      </c>
      <c r="I257" s="14" t="s">
        <v>11</v>
      </c>
      <c r="J257" s="14" t="s">
        <v>12</v>
      </c>
    </row>
    <row x14ac:dyDescent="0.25" r="258" customHeight="1" ht="17.25">
      <c r="A258" s="17" t="s">
        <v>5651</v>
      </c>
      <c r="B258" s="17" t="s">
        <v>422</v>
      </c>
      <c r="C258" s="17" t="s">
        <v>15</v>
      </c>
      <c r="D258" s="17" t="s">
        <v>16</v>
      </c>
      <c r="E258" s="18">
        <f>ROUND(10990*1.05,2)</f>
      </c>
      <c r="F258" s="17" t="s">
        <v>17</v>
      </c>
      <c r="G258" s="17" t="s">
        <v>18</v>
      </c>
      <c r="H258" s="18">
        <f>ROUND(RAND()*4+6,1)</f>
      </c>
      <c r="I258" s="17" t="s">
        <v>19</v>
      </c>
      <c r="J258" s="19">
        <f>ROUND(95*1,0)&amp;"%"</f>
      </c>
    </row>
    <row x14ac:dyDescent="0.25" r="259" customHeight="1" ht="17.25">
      <c r="A259" s="20" t="s">
        <v>5652</v>
      </c>
      <c r="B259" s="20" t="s">
        <v>424</v>
      </c>
      <c r="C259" s="20" t="s">
        <v>15</v>
      </c>
      <c r="D259" s="20" t="s">
        <v>22</v>
      </c>
      <c r="E259" s="21">
        <f>ROUND(5217*1.05,2)</f>
      </c>
      <c r="F259" s="20" t="s">
        <v>23</v>
      </c>
      <c r="G259" s="20" t="s">
        <v>24</v>
      </c>
      <c r="H259" s="21">
        <f>ROUND(RAND()*4+6,1)</f>
      </c>
      <c r="I259" s="20" t="s">
        <v>25</v>
      </c>
      <c r="J259" s="23">
        <f>ROUND(74*1,0)&amp;"%"</f>
      </c>
    </row>
    <row x14ac:dyDescent="0.25" r="260" customHeight="1" ht="17.25">
      <c r="A260" s="17" t="s">
        <v>5653</v>
      </c>
      <c r="B260" s="17" t="s">
        <v>426</v>
      </c>
      <c r="C260" s="17" t="s">
        <v>15</v>
      </c>
      <c r="D260" s="17" t="s">
        <v>28</v>
      </c>
      <c r="E260" s="18">
        <f>ROUND(16708*1.05,2)</f>
      </c>
      <c r="F260" s="17" t="s">
        <v>29</v>
      </c>
      <c r="G260" s="17" t="s">
        <v>30</v>
      </c>
      <c r="H260" s="18">
        <f>ROUND(RAND()*4+6,1)</f>
      </c>
      <c r="I260" s="17" t="s">
        <v>31</v>
      </c>
      <c r="J260" s="19">
        <f>ROUND(68*1,0)&amp;"%"</f>
      </c>
    </row>
    <row x14ac:dyDescent="0.25" r="261" customHeight="1" ht="17.25">
      <c r="A261" s="20" t="s">
        <v>5654</v>
      </c>
      <c r="B261" s="20" t="s">
        <v>428</v>
      </c>
      <c r="C261" s="20" t="s">
        <v>15</v>
      </c>
      <c r="D261" s="20" t="s">
        <v>34</v>
      </c>
      <c r="E261" s="21">
        <f>ROUND(8092*1.05,2)</f>
      </c>
      <c r="F261" s="20" t="s">
        <v>35</v>
      </c>
      <c r="G261" s="20" t="s">
        <v>18</v>
      </c>
      <c r="H261" s="21">
        <f>ROUND(RAND()*4+6,1)</f>
      </c>
      <c r="I261" s="20" t="s">
        <v>36</v>
      </c>
      <c r="J261" s="23">
        <f>ROUND(85*1,0)&amp;"%"</f>
      </c>
    </row>
    <row x14ac:dyDescent="0.25" r="262" customHeight="1" ht="17.25">
      <c r="A262" s="17" t="s">
        <v>5655</v>
      </c>
      <c r="B262" s="17" t="s">
        <v>430</v>
      </c>
      <c r="C262" s="17" t="s">
        <v>15</v>
      </c>
      <c r="D262" s="17" t="s">
        <v>39</v>
      </c>
      <c r="E262" s="18">
        <f>ROUND(11681*1.05,2)</f>
      </c>
      <c r="F262" s="17" t="s">
        <v>40</v>
      </c>
      <c r="G262" s="17" t="s">
        <v>24</v>
      </c>
      <c r="H262" s="18">
        <f>ROUND(RAND()*4+6,1)</f>
      </c>
      <c r="I262" s="17" t="s">
        <v>41</v>
      </c>
      <c r="J262" s="19">
        <f>ROUND(69*1,0)&amp;"%"</f>
      </c>
    </row>
    <row x14ac:dyDescent="0.25" r="263" customHeight="1" ht="17.25">
      <c r="A263" s="20" t="s">
        <v>5656</v>
      </c>
      <c r="B263" s="20" t="s">
        <v>432</v>
      </c>
      <c r="C263" s="20" t="s">
        <v>15</v>
      </c>
      <c r="D263" s="20" t="s">
        <v>67</v>
      </c>
      <c r="E263" s="21">
        <f>ROUND(8834*1.05,2)</f>
      </c>
      <c r="F263" s="20" t="s">
        <v>44</v>
      </c>
      <c r="G263" s="20" t="s">
        <v>30</v>
      </c>
      <c r="H263" s="21">
        <f>ROUND(RAND()*4+6,1)</f>
      </c>
      <c r="I263" s="20" t="s">
        <v>45</v>
      </c>
      <c r="J263" s="23">
        <f>ROUND(98*1,0)&amp;"%"</f>
      </c>
    </row>
    <row x14ac:dyDescent="0.25" r="264" customHeight="1" ht="17.25">
      <c r="A264" s="17" t="s">
        <v>5657</v>
      </c>
      <c r="B264" s="17" t="s">
        <v>434</v>
      </c>
      <c r="C264" s="17" t="s">
        <v>15</v>
      </c>
      <c r="D264" s="17" t="s">
        <v>16</v>
      </c>
      <c r="E264" s="18">
        <f>ROUND(12046*1.05,2)</f>
      </c>
      <c r="F264" s="17" t="s">
        <v>48</v>
      </c>
      <c r="G264" s="17" t="s">
        <v>18</v>
      </c>
      <c r="H264" s="18">
        <f>ROUND(RAND()*4+6,1)</f>
      </c>
      <c r="I264" s="17" t="s">
        <v>19</v>
      </c>
      <c r="J264" s="19">
        <f>ROUND(83*1,0)&amp;"%"</f>
      </c>
    </row>
    <row x14ac:dyDescent="0.25" r="265" customHeight="1" ht="17.25">
      <c r="A265" s="20" t="s">
        <v>5658</v>
      </c>
      <c r="B265" s="20" t="s">
        <v>436</v>
      </c>
      <c r="C265" s="20" t="s">
        <v>15</v>
      </c>
      <c r="D265" s="20" t="s">
        <v>22</v>
      </c>
      <c r="E265" s="21">
        <f>ROUND(6998*1.05,2)</f>
      </c>
      <c r="F265" s="20" t="s">
        <v>51</v>
      </c>
      <c r="G265" s="20" t="s">
        <v>24</v>
      </c>
      <c r="H265" s="21">
        <f>ROUND(RAND()*4+6,1)</f>
      </c>
      <c r="I265" s="20" t="s">
        <v>25</v>
      </c>
      <c r="J265" s="23">
        <f>ROUND(85*1,0)&amp;"%"</f>
      </c>
    </row>
    <row x14ac:dyDescent="0.25" r="266" customHeight="1" ht="17.25">
      <c r="A266" s="24" t="s">
        <v>437</v>
      </c>
      <c r="B266" s="24"/>
      <c r="C266" s="24"/>
      <c r="D266" s="24"/>
      <c r="E266" s="25">
        <v>8</v>
      </c>
      <c r="F266" s="9"/>
      <c r="G266" s="9"/>
      <c r="H266" s="10"/>
      <c r="I266" s="9"/>
      <c r="J266" s="9"/>
    </row>
    <row x14ac:dyDescent="0.25" r="267" customHeight="1" ht="17.25">
      <c r="A267" s="7"/>
      <c r="B267" s="7"/>
      <c r="C267" s="7"/>
      <c r="D267" s="7"/>
      <c r="E267" s="8"/>
      <c r="F267" s="9"/>
      <c r="G267" s="9"/>
      <c r="H267" s="10"/>
      <c r="I267" s="9"/>
      <c r="J267" s="9"/>
    </row>
    <row x14ac:dyDescent="0.25" r="268" customHeight="1" ht="17.25">
      <c r="A268" s="11" t="s">
        <v>5659</v>
      </c>
      <c r="B268" s="11"/>
      <c r="C268" s="11"/>
      <c r="D268" s="11"/>
      <c r="E268" s="12"/>
      <c r="F268" s="11"/>
      <c r="G268" s="11"/>
      <c r="H268" s="13"/>
      <c r="I268" s="11"/>
      <c r="J268" s="11"/>
    </row>
    <row x14ac:dyDescent="0.25" r="269" customHeight="1" ht="17.25">
      <c r="A269" s="14" t="s">
        <v>3</v>
      </c>
      <c r="B269" s="14" t="s">
        <v>4</v>
      </c>
      <c r="C269" s="14" t="s">
        <v>5</v>
      </c>
      <c r="D269" s="14" t="s">
        <v>6</v>
      </c>
      <c r="E269" s="15" t="s">
        <v>7</v>
      </c>
      <c r="F269" s="14" t="s">
        <v>8</v>
      </c>
      <c r="G269" s="14" t="s">
        <v>9</v>
      </c>
      <c r="H269" s="16" t="s">
        <v>10</v>
      </c>
      <c r="I269" s="14" t="s">
        <v>11</v>
      </c>
      <c r="J269" s="14" t="s">
        <v>12</v>
      </c>
    </row>
    <row x14ac:dyDescent="0.25" r="270" customHeight="1" ht="17.25">
      <c r="A270" s="17" t="s">
        <v>5660</v>
      </c>
      <c r="B270" s="17" t="s">
        <v>440</v>
      </c>
      <c r="C270" s="17" t="s">
        <v>56</v>
      </c>
      <c r="D270" s="17" t="s">
        <v>16</v>
      </c>
      <c r="E270" s="18">
        <f>ROUND(8105*1.05,2)</f>
      </c>
      <c r="F270" s="17" t="s">
        <v>17</v>
      </c>
      <c r="G270" s="17" t="s">
        <v>18</v>
      </c>
      <c r="H270" s="18">
        <f>ROUND(RAND()*4+6,1)</f>
      </c>
      <c r="I270" s="17" t="s">
        <v>19</v>
      </c>
      <c r="J270" s="19">
        <f>ROUND(63*1,0)&amp;"%"</f>
      </c>
    </row>
    <row x14ac:dyDescent="0.25" r="271" customHeight="1" ht="17.25">
      <c r="A271" s="20" t="s">
        <v>5661</v>
      </c>
      <c r="B271" s="20" t="s">
        <v>442</v>
      </c>
      <c r="C271" s="20" t="s">
        <v>56</v>
      </c>
      <c r="D271" s="20" t="s">
        <v>22</v>
      </c>
      <c r="E271" s="21">
        <f>ROUND(15218*1.05,2)</f>
      </c>
      <c r="F271" s="20" t="s">
        <v>23</v>
      </c>
      <c r="G271" s="20" t="s">
        <v>24</v>
      </c>
      <c r="H271" s="21">
        <f>ROUND(RAND()*4+6,1)</f>
      </c>
      <c r="I271" s="20" t="s">
        <v>25</v>
      </c>
      <c r="J271" s="23">
        <f>ROUND(89*1,0)&amp;"%"</f>
      </c>
    </row>
    <row x14ac:dyDescent="0.25" r="272" customHeight="1" ht="17.25">
      <c r="A272" s="17" t="s">
        <v>5662</v>
      </c>
      <c r="B272" s="17" t="s">
        <v>444</v>
      </c>
      <c r="C272" s="17" t="s">
        <v>56</v>
      </c>
      <c r="D272" s="17" t="s">
        <v>28</v>
      </c>
      <c r="E272" s="18">
        <f>ROUND(15327*1.05,2)</f>
      </c>
      <c r="F272" s="17" t="s">
        <v>29</v>
      </c>
      <c r="G272" s="17" t="s">
        <v>30</v>
      </c>
      <c r="H272" s="18">
        <f>ROUND(RAND()*4+6,1)</f>
      </c>
      <c r="I272" s="17" t="s">
        <v>31</v>
      </c>
      <c r="J272" s="19">
        <f>ROUND(75*1,0)&amp;"%"</f>
      </c>
    </row>
    <row x14ac:dyDescent="0.25" r="273" customHeight="1" ht="17.25">
      <c r="A273" s="20" t="s">
        <v>5663</v>
      </c>
      <c r="B273" s="20" t="s">
        <v>446</v>
      </c>
      <c r="C273" s="20" t="s">
        <v>56</v>
      </c>
      <c r="D273" s="20" t="s">
        <v>34</v>
      </c>
      <c r="E273" s="21">
        <f>ROUND(4910*1.05,2)</f>
      </c>
      <c r="F273" s="20" t="s">
        <v>35</v>
      </c>
      <c r="G273" s="20" t="s">
        <v>18</v>
      </c>
      <c r="H273" s="21">
        <f>ROUND(RAND()*4+6,1)</f>
      </c>
      <c r="I273" s="20" t="s">
        <v>36</v>
      </c>
      <c r="J273" s="23">
        <f>ROUND(77*1,0)&amp;"%"</f>
      </c>
    </row>
    <row x14ac:dyDescent="0.25" r="274" customHeight="1" ht="17.25">
      <c r="A274" s="17" t="s">
        <v>5664</v>
      </c>
      <c r="B274" s="17" t="s">
        <v>448</v>
      </c>
      <c r="C274" s="17" t="s">
        <v>56</v>
      </c>
      <c r="D274" s="17" t="s">
        <v>39</v>
      </c>
      <c r="E274" s="18">
        <f>ROUND(14866*1.05,2)</f>
      </c>
      <c r="F274" s="17" t="s">
        <v>40</v>
      </c>
      <c r="G274" s="17" t="s">
        <v>24</v>
      </c>
      <c r="H274" s="18">
        <f>ROUND(RAND()*4+6,1)</f>
      </c>
      <c r="I274" s="17" t="s">
        <v>41</v>
      </c>
      <c r="J274" s="19">
        <f>ROUND(88*1,0)&amp;"%"</f>
      </c>
    </row>
    <row x14ac:dyDescent="0.25" r="275" customHeight="1" ht="17.25">
      <c r="A275" s="20" t="s">
        <v>5665</v>
      </c>
      <c r="B275" s="20" t="s">
        <v>450</v>
      </c>
      <c r="C275" s="20" t="s">
        <v>56</v>
      </c>
      <c r="D275" s="20" t="s">
        <v>67</v>
      </c>
      <c r="E275" s="21">
        <f>ROUND(4476*1.05,2)</f>
      </c>
      <c r="F275" s="20" t="s">
        <v>44</v>
      </c>
      <c r="G275" s="20" t="s">
        <v>30</v>
      </c>
      <c r="H275" s="21">
        <f>ROUND(RAND()*4+6,1)</f>
      </c>
      <c r="I275" s="20" t="s">
        <v>45</v>
      </c>
      <c r="J275" s="23">
        <f>ROUND(73*1,0)&amp;"%"</f>
      </c>
    </row>
    <row x14ac:dyDescent="0.25" r="276" customHeight="1" ht="17.25">
      <c r="A276" s="17" t="s">
        <v>5666</v>
      </c>
      <c r="B276" s="17" t="s">
        <v>452</v>
      </c>
      <c r="C276" s="17" t="s">
        <v>56</v>
      </c>
      <c r="D276" s="17" t="s">
        <v>16</v>
      </c>
      <c r="E276" s="18">
        <f>ROUND(12436*1.05,2)</f>
      </c>
      <c r="F276" s="17" t="s">
        <v>48</v>
      </c>
      <c r="G276" s="17" t="s">
        <v>18</v>
      </c>
      <c r="H276" s="18">
        <f>ROUND(RAND()*4+6,1)</f>
      </c>
      <c r="I276" s="17" t="s">
        <v>19</v>
      </c>
      <c r="J276" s="19">
        <f>ROUND(79*1,0)&amp;"%"</f>
      </c>
    </row>
    <row x14ac:dyDescent="0.25" r="277" customHeight="1" ht="17.25">
      <c r="A277" s="20" t="s">
        <v>5667</v>
      </c>
      <c r="B277" s="20" t="s">
        <v>454</v>
      </c>
      <c r="C277" s="20" t="s">
        <v>56</v>
      </c>
      <c r="D277" s="20" t="s">
        <v>22</v>
      </c>
      <c r="E277" s="21">
        <f>ROUND(16957*1.05,2)</f>
      </c>
      <c r="F277" s="20" t="s">
        <v>51</v>
      </c>
      <c r="G277" s="20" t="s">
        <v>24</v>
      </c>
      <c r="H277" s="21">
        <f>ROUND(RAND()*4+6,1)</f>
      </c>
      <c r="I277" s="20" t="s">
        <v>25</v>
      </c>
      <c r="J277" s="23">
        <f>ROUND(85*1,0)&amp;"%"</f>
      </c>
    </row>
    <row x14ac:dyDescent="0.25" r="278" customHeight="1" ht="17.25">
      <c r="A278" s="24" t="s">
        <v>455</v>
      </c>
      <c r="B278" s="24"/>
      <c r="C278" s="24"/>
      <c r="D278" s="24"/>
      <c r="E278" s="25">
        <v>8</v>
      </c>
      <c r="F278" s="9"/>
      <c r="G278" s="9"/>
      <c r="H278" s="10"/>
      <c r="I278" s="9"/>
      <c r="J278" s="9"/>
    </row>
    <row x14ac:dyDescent="0.25" r="279" customHeight="1" ht="17.25">
      <c r="A279" s="7"/>
      <c r="B279" s="7"/>
      <c r="C279" s="7"/>
      <c r="D279" s="7"/>
      <c r="E279" s="8"/>
      <c r="F279" s="9"/>
      <c r="G279" s="9"/>
      <c r="H279" s="10"/>
      <c r="I279" s="9"/>
      <c r="J279" s="9"/>
    </row>
    <row x14ac:dyDescent="0.25" r="280" customHeight="1" ht="17.25">
      <c r="A280" s="11" t="s">
        <v>5668</v>
      </c>
      <c r="B280" s="11"/>
      <c r="C280" s="11"/>
      <c r="D280" s="11"/>
      <c r="E280" s="12"/>
      <c r="F280" s="11"/>
      <c r="G280" s="11"/>
      <c r="H280" s="13"/>
      <c r="I280" s="11"/>
      <c r="J280" s="11"/>
    </row>
    <row x14ac:dyDescent="0.25" r="281" customHeight="1" ht="17.25">
      <c r="A281" s="14" t="s">
        <v>3</v>
      </c>
      <c r="B281" s="14" t="s">
        <v>4</v>
      </c>
      <c r="C281" s="14" t="s">
        <v>5</v>
      </c>
      <c r="D281" s="14" t="s">
        <v>6</v>
      </c>
      <c r="E281" s="15" t="s">
        <v>7</v>
      </c>
      <c r="F281" s="14" t="s">
        <v>8</v>
      </c>
      <c r="G281" s="14" t="s">
        <v>9</v>
      </c>
      <c r="H281" s="16" t="s">
        <v>10</v>
      </c>
      <c r="I281" s="14" t="s">
        <v>11</v>
      </c>
      <c r="J281" s="14" t="s">
        <v>12</v>
      </c>
    </row>
    <row x14ac:dyDescent="0.25" r="282" customHeight="1" ht="17.25">
      <c r="A282" s="17" t="s">
        <v>5669</v>
      </c>
      <c r="B282" s="17" t="s">
        <v>458</v>
      </c>
      <c r="C282" s="17" t="s">
        <v>76</v>
      </c>
      <c r="D282" s="17" t="s">
        <v>16</v>
      </c>
      <c r="E282" s="18">
        <f>ROUND(15670*1.05,2)</f>
      </c>
      <c r="F282" s="17" t="s">
        <v>17</v>
      </c>
      <c r="G282" s="17" t="s">
        <v>18</v>
      </c>
      <c r="H282" s="18">
        <f>ROUND(RAND()*4+6,1)</f>
      </c>
      <c r="I282" s="17" t="s">
        <v>19</v>
      </c>
      <c r="J282" s="19">
        <f>ROUND(72*1,0)&amp;"%"</f>
      </c>
    </row>
    <row x14ac:dyDescent="0.25" r="283" customHeight="1" ht="17.25">
      <c r="A283" s="20" t="s">
        <v>5670</v>
      </c>
      <c r="B283" s="20" t="s">
        <v>460</v>
      </c>
      <c r="C283" s="20" t="s">
        <v>76</v>
      </c>
      <c r="D283" s="20" t="s">
        <v>22</v>
      </c>
      <c r="E283" s="21">
        <f>ROUND(10107*1.05,2)</f>
      </c>
      <c r="F283" s="20" t="s">
        <v>23</v>
      </c>
      <c r="G283" s="20" t="s">
        <v>24</v>
      </c>
      <c r="H283" s="21">
        <f>ROUND(RAND()*4+6,1)</f>
      </c>
      <c r="I283" s="20" t="s">
        <v>25</v>
      </c>
      <c r="J283" s="23">
        <f>ROUND(100*1,0)&amp;"%"</f>
      </c>
    </row>
    <row x14ac:dyDescent="0.25" r="284" customHeight="1" ht="17.25">
      <c r="A284" s="17" t="s">
        <v>5671</v>
      </c>
      <c r="B284" s="17" t="s">
        <v>462</v>
      </c>
      <c r="C284" s="17" t="s">
        <v>76</v>
      </c>
      <c r="D284" s="17" t="s">
        <v>28</v>
      </c>
      <c r="E284" s="18">
        <f>ROUND(13723*1.05,2)</f>
      </c>
      <c r="F284" s="17" t="s">
        <v>29</v>
      </c>
      <c r="G284" s="17" t="s">
        <v>30</v>
      </c>
      <c r="H284" s="18">
        <f>ROUND(RAND()*4+6,1)</f>
      </c>
      <c r="I284" s="17" t="s">
        <v>31</v>
      </c>
      <c r="J284" s="19">
        <f>ROUND(85*1,0)&amp;"%"</f>
      </c>
    </row>
    <row x14ac:dyDescent="0.25" r="285" customHeight="1" ht="17.25">
      <c r="A285" s="20" t="s">
        <v>5672</v>
      </c>
      <c r="B285" s="20" t="s">
        <v>464</v>
      </c>
      <c r="C285" s="20" t="s">
        <v>76</v>
      </c>
      <c r="D285" s="20" t="s">
        <v>34</v>
      </c>
      <c r="E285" s="21">
        <f>ROUND(9008*1.05,2)</f>
      </c>
      <c r="F285" s="20" t="s">
        <v>35</v>
      </c>
      <c r="G285" s="20" t="s">
        <v>18</v>
      </c>
      <c r="H285" s="21">
        <f>ROUND(RAND()*4+6,1)</f>
      </c>
      <c r="I285" s="20" t="s">
        <v>36</v>
      </c>
      <c r="J285" s="23">
        <f>ROUND(87*1,0)&amp;"%"</f>
      </c>
    </row>
    <row x14ac:dyDescent="0.25" r="286" customHeight="1" ht="17.25">
      <c r="A286" s="17" t="s">
        <v>5673</v>
      </c>
      <c r="B286" s="17" t="s">
        <v>466</v>
      </c>
      <c r="C286" s="17" t="s">
        <v>76</v>
      </c>
      <c r="D286" s="17" t="s">
        <v>39</v>
      </c>
      <c r="E286" s="18">
        <f>ROUND(13087*1.05,2)</f>
      </c>
      <c r="F286" s="17" t="s">
        <v>40</v>
      </c>
      <c r="G286" s="17" t="s">
        <v>24</v>
      </c>
      <c r="H286" s="18">
        <f>ROUND(RAND()*4+6,1)</f>
      </c>
      <c r="I286" s="17" t="s">
        <v>41</v>
      </c>
      <c r="J286" s="19">
        <f>ROUND(61*1,0)&amp;"%"</f>
      </c>
    </row>
    <row x14ac:dyDescent="0.25" r="287" customHeight="1" ht="17.25">
      <c r="A287" s="20" t="s">
        <v>5674</v>
      </c>
      <c r="B287" s="20" t="s">
        <v>468</v>
      </c>
      <c r="C287" s="20" t="s">
        <v>76</v>
      </c>
      <c r="D287" s="20" t="s">
        <v>67</v>
      </c>
      <c r="E287" s="21">
        <f>ROUND(9669*1.05,2)</f>
      </c>
      <c r="F287" s="20" t="s">
        <v>44</v>
      </c>
      <c r="G287" s="20" t="s">
        <v>30</v>
      </c>
      <c r="H287" s="21">
        <f>ROUND(RAND()*4+6,1)</f>
      </c>
      <c r="I287" s="20" t="s">
        <v>45</v>
      </c>
      <c r="J287" s="23">
        <f>ROUND(85*1,0)&amp;"%"</f>
      </c>
    </row>
    <row x14ac:dyDescent="0.25" r="288" customHeight="1" ht="17.25">
      <c r="A288" s="17" t="s">
        <v>5675</v>
      </c>
      <c r="B288" s="17" t="s">
        <v>470</v>
      </c>
      <c r="C288" s="17" t="s">
        <v>76</v>
      </c>
      <c r="D288" s="17" t="s">
        <v>16</v>
      </c>
      <c r="E288" s="18">
        <f>ROUND(13583*1.05,2)</f>
      </c>
      <c r="F288" s="17" t="s">
        <v>48</v>
      </c>
      <c r="G288" s="17" t="s">
        <v>18</v>
      </c>
      <c r="H288" s="18">
        <f>ROUND(RAND()*4+6,1)</f>
      </c>
      <c r="I288" s="17" t="s">
        <v>19</v>
      </c>
      <c r="J288" s="19">
        <f>ROUND(75*1,0)&amp;"%"</f>
      </c>
    </row>
    <row x14ac:dyDescent="0.25" r="289" customHeight="1" ht="17.25">
      <c r="A289" s="20" t="s">
        <v>5676</v>
      </c>
      <c r="B289" s="20" t="s">
        <v>472</v>
      </c>
      <c r="C289" s="20" t="s">
        <v>76</v>
      </c>
      <c r="D289" s="20" t="s">
        <v>22</v>
      </c>
      <c r="E289" s="21">
        <f>ROUND(11761*1.05,2)</f>
      </c>
      <c r="F289" s="20" t="s">
        <v>51</v>
      </c>
      <c r="G289" s="20" t="s">
        <v>24</v>
      </c>
      <c r="H289" s="21">
        <f>ROUND(RAND()*4+6,1)</f>
      </c>
      <c r="I289" s="20" t="s">
        <v>25</v>
      </c>
      <c r="J289" s="23">
        <f>ROUND(99*1,0)&amp;"%"</f>
      </c>
    </row>
    <row x14ac:dyDescent="0.25" r="290" customHeight="1" ht="17.25">
      <c r="A290" s="24" t="s">
        <v>473</v>
      </c>
      <c r="B290" s="24"/>
      <c r="C290" s="24"/>
      <c r="D290" s="24"/>
      <c r="E290" s="25">
        <v>8</v>
      </c>
      <c r="F290" s="9"/>
      <c r="G290" s="9"/>
      <c r="H290" s="10"/>
      <c r="I290" s="9"/>
      <c r="J290" s="9"/>
    </row>
    <row x14ac:dyDescent="0.25" r="291" customHeight="1" ht="17.25">
      <c r="A291" s="7"/>
      <c r="B291" s="7"/>
      <c r="C291" s="7"/>
      <c r="D291" s="7"/>
      <c r="E291" s="8"/>
      <c r="F291" s="9"/>
      <c r="G291" s="9"/>
      <c r="H291" s="10"/>
      <c r="I291" s="9"/>
      <c r="J291" s="9"/>
    </row>
    <row x14ac:dyDescent="0.25" r="292" customHeight="1" ht="17.25">
      <c r="A292" s="11" t="s">
        <v>5677</v>
      </c>
      <c r="B292" s="11"/>
      <c r="C292" s="11"/>
      <c r="D292" s="11"/>
      <c r="E292" s="12"/>
      <c r="F292" s="11"/>
      <c r="G292" s="11"/>
      <c r="H292" s="13"/>
      <c r="I292" s="11"/>
      <c r="J292" s="11"/>
    </row>
    <row x14ac:dyDescent="0.25" r="293" customHeight="1" ht="17.25">
      <c r="A293" s="14" t="s">
        <v>3</v>
      </c>
      <c r="B293" s="14" t="s">
        <v>4</v>
      </c>
      <c r="C293" s="14" t="s">
        <v>5</v>
      </c>
      <c r="D293" s="14" t="s">
        <v>6</v>
      </c>
      <c r="E293" s="15" t="s">
        <v>7</v>
      </c>
      <c r="F293" s="14" t="s">
        <v>8</v>
      </c>
      <c r="G293" s="14" t="s">
        <v>9</v>
      </c>
      <c r="H293" s="16" t="s">
        <v>10</v>
      </c>
      <c r="I293" s="14" t="s">
        <v>11</v>
      </c>
      <c r="J293" s="14" t="s">
        <v>12</v>
      </c>
    </row>
    <row x14ac:dyDescent="0.25" r="294" customHeight="1" ht="17.25">
      <c r="A294" s="17" t="s">
        <v>5678</v>
      </c>
      <c r="B294" s="17" t="s">
        <v>476</v>
      </c>
      <c r="C294" s="17" t="s">
        <v>95</v>
      </c>
      <c r="D294" s="17" t="s">
        <v>16</v>
      </c>
      <c r="E294" s="18">
        <f>ROUND(4021*1.05,2)</f>
      </c>
      <c r="F294" s="17" t="s">
        <v>17</v>
      </c>
      <c r="G294" s="17" t="s">
        <v>18</v>
      </c>
      <c r="H294" s="18">
        <f>ROUND(RAND()*4+6,1)</f>
      </c>
      <c r="I294" s="17" t="s">
        <v>19</v>
      </c>
      <c r="J294" s="19">
        <f>ROUND(80*1,0)&amp;"%"</f>
      </c>
    </row>
    <row x14ac:dyDescent="0.25" r="295" customHeight="1" ht="17.25">
      <c r="A295" s="20" t="s">
        <v>5679</v>
      </c>
      <c r="B295" s="20" t="s">
        <v>478</v>
      </c>
      <c r="C295" s="20" t="s">
        <v>95</v>
      </c>
      <c r="D295" s="20" t="s">
        <v>22</v>
      </c>
      <c r="E295" s="21">
        <f>ROUND(5663*1.05,2)</f>
      </c>
      <c r="F295" s="20" t="s">
        <v>23</v>
      </c>
      <c r="G295" s="20" t="s">
        <v>24</v>
      </c>
      <c r="H295" s="21">
        <f>ROUND(RAND()*4+6,1)</f>
      </c>
      <c r="I295" s="20" t="s">
        <v>25</v>
      </c>
      <c r="J295" s="23">
        <f>ROUND(92*1,0)&amp;"%"</f>
      </c>
    </row>
    <row x14ac:dyDescent="0.25" r="296" customHeight="1" ht="17.25">
      <c r="A296" s="17" t="s">
        <v>5680</v>
      </c>
      <c r="B296" s="17" t="s">
        <v>480</v>
      </c>
      <c r="C296" s="17" t="s">
        <v>95</v>
      </c>
      <c r="D296" s="17" t="s">
        <v>28</v>
      </c>
      <c r="E296" s="18">
        <f>ROUND(14623*1.05,2)</f>
      </c>
      <c r="F296" s="17" t="s">
        <v>29</v>
      </c>
      <c r="G296" s="17" t="s">
        <v>30</v>
      </c>
      <c r="H296" s="18">
        <f>ROUND(RAND()*4+6,1)</f>
      </c>
      <c r="I296" s="17" t="s">
        <v>31</v>
      </c>
      <c r="J296" s="19">
        <f>ROUND(96*1,0)&amp;"%"</f>
      </c>
    </row>
    <row x14ac:dyDescent="0.25" r="297" customHeight="1" ht="17.25">
      <c r="A297" s="20" t="s">
        <v>5681</v>
      </c>
      <c r="B297" s="20" t="s">
        <v>482</v>
      </c>
      <c r="C297" s="20" t="s">
        <v>95</v>
      </c>
      <c r="D297" s="20" t="s">
        <v>34</v>
      </c>
      <c r="E297" s="21">
        <f>ROUND(10646*1.05,2)</f>
      </c>
      <c r="F297" s="20" t="s">
        <v>35</v>
      </c>
      <c r="G297" s="20" t="s">
        <v>18</v>
      </c>
      <c r="H297" s="21">
        <f>ROUND(RAND()*4+6,1)</f>
      </c>
      <c r="I297" s="20" t="s">
        <v>36</v>
      </c>
      <c r="J297" s="23">
        <f>ROUND(88*1,0)&amp;"%"</f>
      </c>
    </row>
    <row x14ac:dyDescent="0.25" r="298" customHeight="1" ht="17.25">
      <c r="A298" s="17" t="s">
        <v>5682</v>
      </c>
      <c r="B298" s="17" t="s">
        <v>484</v>
      </c>
      <c r="C298" s="17" t="s">
        <v>95</v>
      </c>
      <c r="D298" s="17" t="s">
        <v>39</v>
      </c>
      <c r="E298" s="18">
        <f>ROUND(14077*1.05,2)</f>
      </c>
      <c r="F298" s="17" t="s">
        <v>40</v>
      </c>
      <c r="G298" s="17" t="s">
        <v>24</v>
      </c>
      <c r="H298" s="18">
        <f>ROUND(RAND()*4+6,1)</f>
      </c>
      <c r="I298" s="17" t="s">
        <v>41</v>
      </c>
      <c r="J298" s="19">
        <f>ROUND(99*1,0)&amp;"%"</f>
      </c>
    </row>
    <row x14ac:dyDescent="0.25" r="299" customHeight="1" ht="17.25">
      <c r="A299" s="20" t="s">
        <v>5683</v>
      </c>
      <c r="B299" s="20" t="s">
        <v>486</v>
      </c>
      <c r="C299" s="20" t="s">
        <v>95</v>
      </c>
      <c r="D299" s="20" t="s">
        <v>67</v>
      </c>
      <c r="E299" s="21">
        <f>ROUND(15962*1.05,2)</f>
      </c>
      <c r="F299" s="20" t="s">
        <v>44</v>
      </c>
      <c r="G299" s="20" t="s">
        <v>30</v>
      </c>
      <c r="H299" s="21">
        <f>ROUND(RAND()*4+6,1)</f>
      </c>
      <c r="I299" s="20" t="s">
        <v>45</v>
      </c>
      <c r="J299" s="23">
        <f>ROUND(73*1,0)&amp;"%"</f>
      </c>
    </row>
    <row x14ac:dyDescent="0.25" r="300" customHeight="1" ht="17.25">
      <c r="A300" s="17" t="s">
        <v>5684</v>
      </c>
      <c r="B300" s="17" t="s">
        <v>488</v>
      </c>
      <c r="C300" s="17" t="s">
        <v>95</v>
      </c>
      <c r="D300" s="17" t="s">
        <v>16</v>
      </c>
      <c r="E300" s="18">
        <f>ROUND(9499*1.05,2)</f>
      </c>
      <c r="F300" s="17" t="s">
        <v>48</v>
      </c>
      <c r="G300" s="17" t="s">
        <v>18</v>
      </c>
      <c r="H300" s="18">
        <f>ROUND(RAND()*4+6,1)</f>
      </c>
      <c r="I300" s="17" t="s">
        <v>19</v>
      </c>
      <c r="J300" s="19">
        <f>ROUND(86*1,0)&amp;"%"</f>
      </c>
    </row>
    <row x14ac:dyDescent="0.25" r="301" customHeight="1" ht="17.25">
      <c r="A301" s="20" t="s">
        <v>5685</v>
      </c>
      <c r="B301" s="20" t="s">
        <v>490</v>
      </c>
      <c r="C301" s="20" t="s">
        <v>95</v>
      </c>
      <c r="D301" s="20" t="s">
        <v>22</v>
      </c>
      <c r="E301" s="21">
        <f>ROUND(4343*1.05,2)</f>
      </c>
      <c r="F301" s="20" t="s">
        <v>51</v>
      </c>
      <c r="G301" s="20" t="s">
        <v>24</v>
      </c>
      <c r="H301" s="21">
        <f>ROUND(RAND()*4+6,1)</f>
      </c>
      <c r="I301" s="20" t="s">
        <v>25</v>
      </c>
      <c r="J301" s="23">
        <f>ROUND(85*1,0)&amp;"%"</f>
      </c>
    </row>
    <row x14ac:dyDescent="0.25" r="302" customHeight="1" ht="17.25">
      <c r="A302" s="24" t="s">
        <v>491</v>
      </c>
      <c r="B302" s="24"/>
      <c r="C302" s="24"/>
      <c r="D302" s="24"/>
      <c r="E302" s="25">
        <v>8</v>
      </c>
      <c r="F302" s="9"/>
      <c r="G302" s="9"/>
      <c r="H302" s="10"/>
      <c r="I302" s="9"/>
      <c r="J302" s="9"/>
    </row>
    <row x14ac:dyDescent="0.25" r="303" customHeight="1" ht="17.25">
      <c r="A303" s="7"/>
      <c r="B303" s="7"/>
      <c r="C303" s="7"/>
      <c r="D303" s="7"/>
      <c r="E303" s="8"/>
      <c r="F303" s="9"/>
      <c r="G303" s="9"/>
      <c r="H303" s="10"/>
      <c r="I303" s="9"/>
      <c r="J303" s="9"/>
    </row>
    <row x14ac:dyDescent="0.25" r="304" customHeight="1" ht="17.25">
      <c r="A304" s="11" t="s">
        <v>5686</v>
      </c>
      <c r="B304" s="11"/>
      <c r="C304" s="11"/>
      <c r="D304" s="11"/>
      <c r="E304" s="12"/>
      <c r="F304" s="11"/>
      <c r="G304" s="11"/>
      <c r="H304" s="13"/>
      <c r="I304" s="11"/>
      <c r="J304" s="11"/>
    </row>
    <row x14ac:dyDescent="0.25" r="305" customHeight="1" ht="17.25">
      <c r="A305" s="14" t="s">
        <v>3</v>
      </c>
      <c r="B305" s="14" t="s">
        <v>4</v>
      </c>
      <c r="C305" s="14" t="s">
        <v>5</v>
      </c>
      <c r="D305" s="14" t="s">
        <v>6</v>
      </c>
      <c r="E305" s="15" t="s">
        <v>7</v>
      </c>
      <c r="F305" s="14" t="s">
        <v>8</v>
      </c>
      <c r="G305" s="14" t="s">
        <v>9</v>
      </c>
      <c r="H305" s="16" t="s">
        <v>10</v>
      </c>
      <c r="I305" s="14" t="s">
        <v>11</v>
      </c>
      <c r="J305" s="14" t="s">
        <v>12</v>
      </c>
    </row>
    <row x14ac:dyDescent="0.25" r="306" customHeight="1" ht="17.25">
      <c r="A306" s="17" t="s">
        <v>5687</v>
      </c>
      <c r="B306" s="17" t="s">
        <v>494</v>
      </c>
      <c r="C306" s="17" t="s">
        <v>114</v>
      </c>
      <c r="D306" s="17" t="s">
        <v>16</v>
      </c>
      <c r="E306" s="18">
        <f>ROUND(9451*1.05,2)</f>
      </c>
      <c r="F306" s="17" t="s">
        <v>17</v>
      </c>
      <c r="G306" s="17" t="s">
        <v>18</v>
      </c>
      <c r="H306" s="18">
        <f>ROUND(RAND()*4+6,1)</f>
      </c>
      <c r="I306" s="17" t="s">
        <v>19</v>
      </c>
      <c r="J306" s="19">
        <f>ROUND(67*1,0)&amp;"%"</f>
      </c>
    </row>
    <row x14ac:dyDescent="0.25" r="307" customHeight="1" ht="17.25">
      <c r="A307" s="20" t="s">
        <v>5688</v>
      </c>
      <c r="B307" s="20" t="s">
        <v>496</v>
      </c>
      <c r="C307" s="20" t="s">
        <v>114</v>
      </c>
      <c r="D307" s="20" t="s">
        <v>22</v>
      </c>
      <c r="E307" s="21">
        <f>ROUND(16106*1.05,2)</f>
      </c>
      <c r="F307" s="20" t="s">
        <v>23</v>
      </c>
      <c r="G307" s="20" t="s">
        <v>24</v>
      </c>
      <c r="H307" s="21">
        <f>ROUND(RAND()*4+6,1)</f>
      </c>
      <c r="I307" s="20" t="s">
        <v>25</v>
      </c>
      <c r="J307" s="23">
        <f>ROUND(61*1,0)&amp;"%"</f>
      </c>
    </row>
    <row x14ac:dyDescent="0.25" r="308" customHeight="1" ht="17.25">
      <c r="A308" s="17" t="s">
        <v>5689</v>
      </c>
      <c r="B308" s="17" t="s">
        <v>498</v>
      </c>
      <c r="C308" s="17" t="s">
        <v>114</v>
      </c>
      <c r="D308" s="17" t="s">
        <v>28</v>
      </c>
      <c r="E308" s="18">
        <f>ROUND(6996*1.05,2)</f>
      </c>
      <c r="F308" s="17" t="s">
        <v>29</v>
      </c>
      <c r="G308" s="17" t="s">
        <v>30</v>
      </c>
      <c r="H308" s="18">
        <f>ROUND(RAND()*4+6,1)</f>
      </c>
      <c r="I308" s="17" t="s">
        <v>31</v>
      </c>
      <c r="J308" s="19">
        <f>ROUND(93*1,0)&amp;"%"</f>
      </c>
    </row>
    <row x14ac:dyDescent="0.25" r="309" customHeight="1" ht="17.25">
      <c r="A309" s="20" t="s">
        <v>5690</v>
      </c>
      <c r="B309" s="20" t="s">
        <v>500</v>
      </c>
      <c r="C309" s="20" t="s">
        <v>114</v>
      </c>
      <c r="D309" s="20" t="s">
        <v>34</v>
      </c>
      <c r="E309" s="21">
        <f>ROUND(15021*1.05,2)</f>
      </c>
      <c r="F309" s="20" t="s">
        <v>35</v>
      </c>
      <c r="G309" s="20" t="s">
        <v>18</v>
      </c>
      <c r="H309" s="21">
        <f>ROUND(RAND()*4+6,1)</f>
      </c>
      <c r="I309" s="20" t="s">
        <v>36</v>
      </c>
      <c r="J309" s="23">
        <f>ROUND(84*1,0)&amp;"%"</f>
      </c>
    </row>
    <row x14ac:dyDescent="0.25" r="310" customHeight="1" ht="17.25">
      <c r="A310" s="17" t="s">
        <v>5691</v>
      </c>
      <c r="B310" s="17" t="s">
        <v>502</v>
      </c>
      <c r="C310" s="17" t="s">
        <v>114</v>
      </c>
      <c r="D310" s="17" t="s">
        <v>39</v>
      </c>
      <c r="E310" s="18">
        <f>ROUND(17782*1.05,2)</f>
      </c>
      <c r="F310" s="17" t="s">
        <v>40</v>
      </c>
      <c r="G310" s="17" t="s">
        <v>24</v>
      </c>
      <c r="H310" s="18">
        <f>ROUND(RAND()*4+6,1)</f>
      </c>
      <c r="I310" s="17" t="s">
        <v>41</v>
      </c>
      <c r="J310" s="19">
        <f>ROUND(95*1,0)&amp;"%"</f>
      </c>
    </row>
    <row x14ac:dyDescent="0.25" r="311" customHeight="1" ht="17.25">
      <c r="A311" s="20" t="s">
        <v>5692</v>
      </c>
      <c r="B311" s="20" t="s">
        <v>504</v>
      </c>
      <c r="C311" s="20" t="s">
        <v>114</v>
      </c>
      <c r="D311" s="20" t="s">
        <v>67</v>
      </c>
      <c r="E311" s="21">
        <f>ROUND(15557*1.05,2)</f>
      </c>
      <c r="F311" s="20" t="s">
        <v>44</v>
      </c>
      <c r="G311" s="20" t="s">
        <v>30</v>
      </c>
      <c r="H311" s="21">
        <f>ROUND(RAND()*4+6,1)</f>
      </c>
      <c r="I311" s="20" t="s">
        <v>45</v>
      </c>
      <c r="J311" s="23">
        <f>ROUND(77*1,0)&amp;"%"</f>
      </c>
    </row>
    <row x14ac:dyDescent="0.25" r="312" customHeight="1" ht="17.25">
      <c r="A312" s="17" t="s">
        <v>5693</v>
      </c>
      <c r="B312" s="17" t="s">
        <v>506</v>
      </c>
      <c r="C312" s="17" t="s">
        <v>114</v>
      </c>
      <c r="D312" s="17" t="s">
        <v>16</v>
      </c>
      <c r="E312" s="18">
        <f>ROUND(6736*1.05,2)</f>
      </c>
      <c r="F312" s="17" t="s">
        <v>48</v>
      </c>
      <c r="G312" s="17" t="s">
        <v>18</v>
      </c>
      <c r="H312" s="18">
        <f>ROUND(RAND()*4+6,1)</f>
      </c>
      <c r="I312" s="17" t="s">
        <v>19</v>
      </c>
      <c r="J312" s="19">
        <f>ROUND(96*1,0)&amp;"%"</f>
      </c>
    </row>
    <row x14ac:dyDescent="0.25" r="313" customHeight="1" ht="17.25">
      <c r="A313" s="20" t="s">
        <v>5694</v>
      </c>
      <c r="B313" s="20" t="s">
        <v>508</v>
      </c>
      <c r="C313" s="20" t="s">
        <v>114</v>
      </c>
      <c r="D313" s="20" t="s">
        <v>22</v>
      </c>
      <c r="E313" s="21">
        <f>ROUND(5942*1.05,2)</f>
      </c>
      <c r="F313" s="20" t="s">
        <v>51</v>
      </c>
      <c r="G313" s="20" t="s">
        <v>24</v>
      </c>
      <c r="H313" s="21">
        <f>ROUND(RAND()*4+6,1)</f>
      </c>
      <c r="I313" s="20" t="s">
        <v>25</v>
      </c>
      <c r="J313" s="23">
        <f>ROUND(63*1,0)&amp;"%"</f>
      </c>
    </row>
    <row x14ac:dyDescent="0.25" r="314" customHeight="1" ht="17.25">
      <c r="A314" s="24" t="s">
        <v>509</v>
      </c>
      <c r="B314" s="24"/>
      <c r="C314" s="24"/>
      <c r="D314" s="24"/>
      <c r="E314" s="25">
        <v>8</v>
      </c>
      <c r="F314" s="9"/>
      <c r="G314" s="9"/>
      <c r="H314" s="10"/>
      <c r="I314" s="9"/>
      <c r="J314" s="9"/>
    </row>
    <row x14ac:dyDescent="0.25" r="315" customHeight="1" ht="17.25">
      <c r="A315" s="7"/>
      <c r="B315" s="7"/>
      <c r="C315" s="7"/>
      <c r="D315" s="7"/>
      <c r="E315" s="8"/>
      <c r="F315" s="9"/>
      <c r="G315" s="9"/>
      <c r="H315" s="10"/>
      <c r="I315" s="9"/>
      <c r="J315" s="9"/>
    </row>
    <row x14ac:dyDescent="0.25" r="316" customHeight="1" ht="17.25">
      <c r="A316" s="11" t="s">
        <v>5695</v>
      </c>
      <c r="B316" s="11"/>
      <c r="C316" s="11"/>
      <c r="D316" s="11"/>
      <c r="E316" s="12"/>
      <c r="F316" s="11"/>
      <c r="G316" s="11"/>
      <c r="H316" s="13"/>
      <c r="I316" s="11"/>
      <c r="J316" s="11"/>
    </row>
    <row x14ac:dyDescent="0.25" r="317" customHeight="1" ht="17.25">
      <c r="A317" s="14" t="s">
        <v>3</v>
      </c>
      <c r="B317" s="14" t="s">
        <v>4</v>
      </c>
      <c r="C317" s="14" t="s">
        <v>5</v>
      </c>
      <c r="D317" s="14" t="s">
        <v>6</v>
      </c>
      <c r="E317" s="15" t="s">
        <v>7</v>
      </c>
      <c r="F317" s="14" t="s">
        <v>8</v>
      </c>
      <c r="G317" s="14" t="s">
        <v>9</v>
      </c>
      <c r="H317" s="16" t="s">
        <v>10</v>
      </c>
      <c r="I317" s="14" t="s">
        <v>11</v>
      </c>
      <c r="J317" s="14" t="s">
        <v>12</v>
      </c>
    </row>
    <row x14ac:dyDescent="0.25" r="318" customHeight="1" ht="17.25">
      <c r="A318" s="17" t="s">
        <v>5696</v>
      </c>
      <c r="B318" s="17" t="s">
        <v>512</v>
      </c>
      <c r="C318" s="17" t="s">
        <v>133</v>
      </c>
      <c r="D318" s="17" t="s">
        <v>16</v>
      </c>
      <c r="E318" s="18">
        <f>ROUND(13998*1.05,2)</f>
      </c>
      <c r="F318" s="17" t="s">
        <v>17</v>
      </c>
      <c r="G318" s="17" t="s">
        <v>18</v>
      </c>
      <c r="H318" s="26">
        <f>ROUND(RAND()*4+6,1)</f>
      </c>
      <c r="I318" s="17" t="s">
        <v>19</v>
      </c>
      <c r="J318" s="19">
        <f>ROUND(84*1,0)&amp;"%"</f>
      </c>
    </row>
    <row x14ac:dyDescent="0.25" r="319" customHeight="1" ht="17.25">
      <c r="A319" s="20" t="s">
        <v>5697</v>
      </c>
      <c r="B319" s="20" t="s">
        <v>514</v>
      </c>
      <c r="C319" s="20" t="s">
        <v>133</v>
      </c>
      <c r="D319" s="20" t="s">
        <v>22</v>
      </c>
      <c r="E319" s="21">
        <f>ROUND(17370*1.05,2)</f>
      </c>
      <c r="F319" s="20" t="s">
        <v>23</v>
      </c>
      <c r="G319" s="20" t="s">
        <v>24</v>
      </c>
      <c r="H319" s="22">
        <f>ROUND(RAND()*4+6,1)</f>
      </c>
      <c r="I319" s="20" t="s">
        <v>25</v>
      </c>
      <c r="J319" s="23">
        <f>ROUND(63*1,0)&amp;"%"</f>
      </c>
    </row>
    <row x14ac:dyDescent="0.25" r="320" customHeight="1" ht="17.25">
      <c r="A320" s="17" t="s">
        <v>5698</v>
      </c>
      <c r="B320" s="17" t="s">
        <v>516</v>
      </c>
      <c r="C320" s="17" t="s">
        <v>133</v>
      </c>
      <c r="D320" s="17" t="s">
        <v>28</v>
      </c>
      <c r="E320" s="18">
        <f>ROUND(13834*1.05,2)</f>
      </c>
      <c r="F320" s="17" t="s">
        <v>29</v>
      </c>
      <c r="G320" s="17" t="s">
        <v>30</v>
      </c>
      <c r="H320" s="18">
        <f>ROUND(RAND()*4+6,1)</f>
      </c>
      <c r="I320" s="17" t="s">
        <v>31</v>
      </c>
      <c r="J320" s="19">
        <f>ROUND(64*1,0)&amp;"%"</f>
      </c>
    </row>
    <row x14ac:dyDescent="0.25" r="321" customHeight="1" ht="17.25">
      <c r="A321" s="20" t="s">
        <v>5699</v>
      </c>
      <c r="B321" s="20" t="s">
        <v>518</v>
      </c>
      <c r="C321" s="20" t="s">
        <v>133</v>
      </c>
      <c r="D321" s="20" t="s">
        <v>34</v>
      </c>
      <c r="E321" s="21">
        <f>ROUND(7415*1.05,2)</f>
      </c>
      <c r="F321" s="20" t="s">
        <v>35</v>
      </c>
      <c r="G321" s="20" t="s">
        <v>18</v>
      </c>
      <c r="H321" s="21">
        <f>ROUND(RAND()*4+6,1)</f>
      </c>
      <c r="I321" s="20" t="s">
        <v>36</v>
      </c>
      <c r="J321" s="23">
        <f>ROUND(96*1,0)&amp;"%"</f>
      </c>
    </row>
    <row x14ac:dyDescent="0.25" r="322" customHeight="1" ht="17.25">
      <c r="A322" s="17" t="s">
        <v>5700</v>
      </c>
      <c r="B322" s="17" t="s">
        <v>520</v>
      </c>
      <c r="C322" s="17" t="s">
        <v>133</v>
      </c>
      <c r="D322" s="17" t="s">
        <v>39</v>
      </c>
      <c r="E322" s="18">
        <f>ROUND(6084*1.05,2)</f>
      </c>
      <c r="F322" s="17" t="s">
        <v>40</v>
      </c>
      <c r="G322" s="17" t="s">
        <v>24</v>
      </c>
      <c r="H322" s="18">
        <f>ROUND(RAND()*4+6,1)</f>
      </c>
      <c r="I322" s="17" t="s">
        <v>41</v>
      </c>
      <c r="J322" s="19">
        <f>ROUND(95*1,0)&amp;"%"</f>
      </c>
    </row>
    <row x14ac:dyDescent="0.25" r="323" customHeight="1" ht="17.25">
      <c r="A323" s="20" t="s">
        <v>5701</v>
      </c>
      <c r="B323" s="20" t="s">
        <v>522</v>
      </c>
      <c r="C323" s="20" t="s">
        <v>133</v>
      </c>
      <c r="D323" s="20" t="s">
        <v>67</v>
      </c>
      <c r="E323" s="21">
        <f>ROUND(15943*1.05,2)</f>
      </c>
      <c r="F323" s="20" t="s">
        <v>44</v>
      </c>
      <c r="G323" s="20" t="s">
        <v>30</v>
      </c>
      <c r="H323" s="21">
        <f>ROUND(RAND()*4+6,1)</f>
      </c>
      <c r="I323" s="20" t="s">
        <v>45</v>
      </c>
      <c r="J323" s="23">
        <f>ROUND(77*1,0)&amp;"%"</f>
      </c>
    </row>
    <row x14ac:dyDescent="0.25" r="324" customHeight="1" ht="17.25">
      <c r="A324" s="17" t="s">
        <v>5702</v>
      </c>
      <c r="B324" s="17" t="s">
        <v>524</v>
      </c>
      <c r="C324" s="17" t="s">
        <v>133</v>
      </c>
      <c r="D324" s="17" t="s">
        <v>16</v>
      </c>
      <c r="E324" s="18">
        <f>ROUND(7977*1.05,2)</f>
      </c>
      <c r="F324" s="17" t="s">
        <v>48</v>
      </c>
      <c r="G324" s="17" t="s">
        <v>18</v>
      </c>
      <c r="H324" s="18">
        <f>ROUND(RAND()*4+6,1)</f>
      </c>
      <c r="I324" s="17" t="s">
        <v>19</v>
      </c>
      <c r="J324" s="19">
        <f>ROUND(66*1,0)&amp;"%"</f>
      </c>
    </row>
    <row x14ac:dyDescent="0.25" r="325" customHeight="1" ht="17.25">
      <c r="A325" s="20" t="s">
        <v>5703</v>
      </c>
      <c r="B325" s="20" t="s">
        <v>526</v>
      </c>
      <c r="C325" s="20" t="s">
        <v>133</v>
      </c>
      <c r="D325" s="20" t="s">
        <v>22</v>
      </c>
      <c r="E325" s="21">
        <f>ROUND(13521*1.05,2)</f>
      </c>
      <c r="F325" s="20" t="s">
        <v>51</v>
      </c>
      <c r="G325" s="20" t="s">
        <v>24</v>
      </c>
      <c r="H325" s="21">
        <f>ROUND(RAND()*4+6,1)</f>
      </c>
      <c r="I325" s="20" t="s">
        <v>25</v>
      </c>
      <c r="J325" s="23">
        <f>ROUND(95*1,0)&amp;"%"</f>
      </c>
    </row>
    <row x14ac:dyDescent="0.25" r="326" customHeight="1" ht="17.25">
      <c r="A326" s="24" t="s">
        <v>527</v>
      </c>
      <c r="B326" s="24"/>
      <c r="C326" s="24"/>
      <c r="D326" s="24"/>
      <c r="E326" s="25">
        <v>8</v>
      </c>
      <c r="F326" s="9"/>
      <c r="G326" s="9"/>
      <c r="H326" s="10"/>
      <c r="I326" s="9"/>
      <c r="J326" s="9"/>
    </row>
    <row x14ac:dyDescent="0.25" r="327" customHeight="1" ht="17.25">
      <c r="A327" s="7"/>
      <c r="B327" s="7"/>
      <c r="C327" s="7"/>
      <c r="D327" s="7"/>
      <c r="E327" s="8"/>
      <c r="F327" s="9"/>
      <c r="G327" s="9"/>
      <c r="H327" s="10"/>
      <c r="I327" s="9"/>
      <c r="J327" s="9"/>
    </row>
    <row x14ac:dyDescent="0.25" r="328" customHeight="1" ht="17.25">
      <c r="A328" s="11" t="s">
        <v>5704</v>
      </c>
      <c r="B328" s="11"/>
      <c r="C328" s="11"/>
      <c r="D328" s="11"/>
      <c r="E328" s="12"/>
      <c r="F328" s="11"/>
      <c r="G328" s="11"/>
      <c r="H328" s="13"/>
      <c r="I328" s="11"/>
      <c r="J328" s="11"/>
    </row>
    <row x14ac:dyDescent="0.25" r="329" customHeight="1" ht="17.25">
      <c r="A329" s="14" t="s">
        <v>3</v>
      </c>
      <c r="B329" s="14" t="s">
        <v>4</v>
      </c>
      <c r="C329" s="14" t="s">
        <v>5</v>
      </c>
      <c r="D329" s="14" t="s">
        <v>6</v>
      </c>
      <c r="E329" s="15" t="s">
        <v>7</v>
      </c>
      <c r="F329" s="14" t="s">
        <v>8</v>
      </c>
      <c r="G329" s="14" t="s">
        <v>9</v>
      </c>
      <c r="H329" s="16" t="s">
        <v>10</v>
      </c>
      <c r="I329" s="14" t="s">
        <v>11</v>
      </c>
      <c r="J329" s="14" t="s">
        <v>12</v>
      </c>
    </row>
    <row x14ac:dyDescent="0.25" r="330" customHeight="1" ht="17.25">
      <c r="A330" s="17" t="s">
        <v>5705</v>
      </c>
      <c r="B330" s="17" t="s">
        <v>530</v>
      </c>
      <c r="C330" s="17" t="s">
        <v>152</v>
      </c>
      <c r="D330" s="17" t="s">
        <v>16</v>
      </c>
      <c r="E330" s="18">
        <f>ROUND(10866*1.05,2)</f>
      </c>
      <c r="F330" s="17" t="s">
        <v>17</v>
      </c>
      <c r="G330" s="17" t="s">
        <v>18</v>
      </c>
      <c r="H330" s="18">
        <f>ROUND(RAND()*4+6,1)</f>
      </c>
      <c r="I330" s="17" t="s">
        <v>19</v>
      </c>
      <c r="J330" s="19">
        <f>ROUND(60*1,0)&amp;"%"</f>
      </c>
    </row>
    <row x14ac:dyDescent="0.25" r="331" customHeight="1" ht="17.25">
      <c r="A331" s="20" t="s">
        <v>5706</v>
      </c>
      <c r="B331" s="20" t="s">
        <v>532</v>
      </c>
      <c r="C331" s="20" t="s">
        <v>152</v>
      </c>
      <c r="D331" s="20" t="s">
        <v>22</v>
      </c>
      <c r="E331" s="21">
        <f>ROUND(14575*1.05,2)</f>
      </c>
      <c r="F331" s="20" t="s">
        <v>23</v>
      </c>
      <c r="G331" s="20" t="s">
        <v>24</v>
      </c>
      <c r="H331" s="21">
        <f>ROUND(RAND()*4+6,1)</f>
      </c>
      <c r="I331" s="20" t="s">
        <v>25</v>
      </c>
      <c r="J331" s="23">
        <f>ROUND(68*1,0)&amp;"%"</f>
      </c>
    </row>
    <row x14ac:dyDescent="0.25" r="332" customHeight="1" ht="17.25">
      <c r="A332" s="17" t="s">
        <v>5707</v>
      </c>
      <c r="B332" s="17" t="s">
        <v>534</v>
      </c>
      <c r="C332" s="17" t="s">
        <v>152</v>
      </c>
      <c r="D332" s="17" t="s">
        <v>28</v>
      </c>
      <c r="E332" s="18">
        <f>ROUND(8537*1.05,2)</f>
      </c>
      <c r="F332" s="17" t="s">
        <v>29</v>
      </c>
      <c r="G332" s="17" t="s">
        <v>30</v>
      </c>
      <c r="H332" s="18">
        <f>ROUND(RAND()*4+6,1)</f>
      </c>
      <c r="I332" s="17" t="s">
        <v>31</v>
      </c>
      <c r="J332" s="19">
        <f>ROUND(72*1,0)&amp;"%"</f>
      </c>
    </row>
    <row x14ac:dyDescent="0.25" r="333" customHeight="1" ht="17.25">
      <c r="A333" s="20" t="s">
        <v>5708</v>
      </c>
      <c r="B333" s="20" t="s">
        <v>536</v>
      </c>
      <c r="C333" s="20" t="s">
        <v>152</v>
      </c>
      <c r="D333" s="20" t="s">
        <v>34</v>
      </c>
      <c r="E333" s="21">
        <f>ROUND(8746*1.05,2)</f>
      </c>
      <c r="F333" s="20" t="s">
        <v>35</v>
      </c>
      <c r="G333" s="20" t="s">
        <v>18</v>
      </c>
      <c r="H333" s="21">
        <f>ROUND(RAND()*4+6,1)</f>
      </c>
      <c r="I333" s="20" t="s">
        <v>36</v>
      </c>
      <c r="J333" s="23">
        <f>ROUND(85*1,0)&amp;"%"</f>
      </c>
    </row>
    <row x14ac:dyDescent="0.25" r="334" customHeight="1" ht="17.25">
      <c r="A334" s="17" t="s">
        <v>5709</v>
      </c>
      <c r="B334" s="17" t="s">
        <v>538</v>
      </c>
      <c r="C334" s="17" t="s">
        <v>152</v>
      </c>
      <c r="D334" s="17" t="s">
        <v>39</v>
      </c>
      <c r="E334" s="18">
        <f>ROUND(11774*1.05,2)</f>
      </c>
      <c r="F334" s="17" t="s">
        <v>40</v>
      </c>
      <c r="G334" s="17" t="s">
        <v>24</v>
      </c>
      <c r="H334" s="18">
        <f>ROUND(RAND()*4+6,1)</f>
      </c>
      <c r="I334" s="17" t="s">
        <v>41</v>
      </c>
      <c r="J334" s="19">
        <f>ROUND(84*1,0)&amp;"%"</f>
      </c>
    </row>
    <row x14ac:dyDescent="0.25" r="335" customHeight="1" ht="17.25">
      <c r="A335" s="20" t="s">
        <v>5710</v>
      </c>
      <c r="B335" s="20" t="s">
        <v>540</v>
      </c>
      <c r="C335" s="20" t="s">
        <v>152</v>
      </c>
      <c r="D335" s="20" t="s">
        <v>67</v>
      </c>
      <c r="E335" s="21">
        <f>ROUND(17290*1.05,2)</f>
      </c>
      <c r="F335" s="20" t="s">
        <v>44</v>
      </c>
      <c r="G335" s="20" t="s">
        <v>30</v>
      </c>
      <c r="H335" s="21">
        <f>ROUND(RAND()*4+6,1)</f>
      </c>
      <c r="I335" s="20" t="s">
        <v>45</v>
      </c>
      <c r="J335" s="23">
        <f>ROUND(93*1,0)&amp;"%"</f>
      </c>
    </row>
    <row x14ac:dyDescent="0.25" r="336" customHeight="1" ht="17.25">
      <c r="A336" s="17" t="s">
        <v>5711</v>
      </c>
      <c r="B336" s="17" t="s">
        <v>542</v>
      </c>
      <c r="C336" s="17" t="s">
        <v>152</v>
      </c>
      <c r="D336" s="17" t="s">
        <v>16</v>
      </c>
      <c r="E336" s="18">
        <f>ROUND(5515*1.05,2)</f>
      </c>
      <c r="F336" s="17" t="s">
        <v>48</v>
      </c>
      <c r="G336" s="17" t="s">
        <v>18</v>
      </c>
      <c r="H336" s="18">
        <f>ROUND(RAND()*4+6,1)</f>
      </c>
      <c r="I336" s="17" t="s">
        <v>19</v>
      </c>
      <c r="J336" s="19">
        <f>ROUND(74*1,0)&amp;"%"</f>
      </c>
    </row>
    <row x14ac:dyDescent="0.25" r="337" customHeight="1" ht="17.25">
      <c r="A337" s="20" t="s">
        <v>5712</v>
      </c>
      <c r="B337" s="20" t="s">
        <v>544</v>
      </c>
      <c r="C337" s="20" t="s">
        <v>152</v>
      </c>
      <c r="D337" s="20" t="s">
        <v>22</v>
      </c>
      <c r="E337" s="22">
        <f>ROUND(6180*1.05,2)</f>
      </c>
      <c r="F337" s="20" t="s">
        <v>51</v>
      </c>
      <c r="G337" s="20" t="s">
        <v>24</v>
      </c>
      <c r="H337" s="21">
        <f>ROUND(RAND()*4+6,1)</f>
      </c>
      <c r="I337" s="20" t="s">
        <v>25</v>
      </c>
      <c r="J337" s="23">
        <f>ROUND(100*1,0)&amp;"%"</f>
      </c>
    </row>
    <row x14ac:dyDescent="0.25" r="338" customHeight="1" ht="17.25">
      <c r="A338" s="24" t="s">
        <v>545</v>
      </c>
      <c r="B338" s="24"/>
      <c r="C338" s="24"/>
      <c r="D338" s="24"/>
      <c r="E338" s="25">
        <v>8</v>
      </c>
      <c r="F338" s="9"/>
      <c r="G338" s="9"/>
      <c r="H338" s="10"/>
      <c r="I338" s="9"/>
      <c r="J338" s="9"/>
    </row>
    <row x14ac:dyDescent="0.25" r="339" customHeight="1" ht="17.25">
      <c r="A339" s="7"/>
      <c r="B339" s="7"/>
      <c r="C339" s="7"/>
      <c r="D339" s="7"/>
      <c r="E339" s="8"/>
      <c r="F339" s="9"/>
      <c r="G339" s="9"/>
      <c r="H339" s="10"/>
      <c r="I339" s="9"/>
      <c r="J339" s="9"/>
    </row>
    <row x14ac:dyDescent="0.25" r="340" customHeight="1" ht="17.25">
      <c r="A340" s="11" t="s">
        <v>5713</v>
      </c>
      <c r="B340" s="11"/>
      <c r="C340" s="11"/>
      <c r="D340" s="11"/>
      <c r="E340" s="12"/>
      <c r="F340" s="11"/>
      <c r="G340" s="11"/>
      <c r="H340" s="13"/>
      <c r="I340" s="11"/>
      <c r="J340" s="11"/>
    </row>
    <row x14ac:dyDescent="0.25" r="341" customHeight="1" ht="17.25">
      <c r="A341" s="14" t="s">
        <v>3</v>
      </c>
      <c r="B341" s="14" t="s">
        <v>4</v>
      </c>
      <c r="C341" s="14" t="s">
        <v>5</v>
      </c>
      <c r="D341" s="14" t="s">
        <v>6</v>
      </c>
      <c r="E341" s="15" t="s">
        <v>7</v>
      </c>
      <c r="F341" s="14" t="s">
        <v>8</v>
      </c>
      <c r="G341" s="14" t="s">
        <v>9</v>
      </c>
      <c r="H341" s="16" t="s">
        <v>10</v>
      </c>
      <c r="I341" s="14" t="s">
        <v>11</v>
      </c>
      <c r="J341" s="14" t="s">
        <v>12</v>
      </c>
    </row>
    <row x14ac:dyDescent="0.25" r="342" customHeight="1" ht="17.25">
      <c r="A342" s="17" t="s">
        <v>5714</v>
      </c>
      <c r="B342" s="17" t="s">
        <v>548</v>
      </c>
      <c r="C342" s="17" t="s">
        <v>15</v>
      </c>
      <c r="D342" s="17" t="s">
        <v>16</v>
      </c>
      <c r="E342" s="18">
        <f>ROUND(17535*1.05,2)</f>
      </c>
      <c r="F342" s="17" t="s">
        <v>17</v>
      </c>
      <c r="G342" s="17" t="s">
        <v>18</v>
      </c>
      <c r="H342" s="18">
        <f>ROUND(RAND()*4+6,1)</f>
      </c>
      <c r="I342" s="17" t="s">
        <v>19</v>
      </c>
      <c r="J342" s="19">
        <f>ROUND(92*1,0)&amp;"%"</f>
      </c>
    </row>
    <row x14ac:dyDescent="0.25" r="343" customHeight="1" ht="17.25">
      <c r="A343" s="20" t="s">
        <v>5715</v>
      </c>
      <c r="B343" s="20" t="s">
        <v>550</v>
      </c>
      <c r="C343" s="20" t="s">
        <v>15</v>
      </c>
      <c r="D343" s="20" t="s">
        <v>22</v>
      </c>
      <c r="E343" s="21">
        <f>ROUND(12022*1.05,2)</f>
      </c>
      <c r="F343" s="20" t="s">
        <v>23</v>
      </c>
      <c r="G343" s="20" t="s">
        <v>24</v>
      </c>
      <c r="H343" s="21">
        <f>ROUND(RAND()*4+6,1)</f>
      </c>
      <c r="I343" s="20" t="s">
        <v>25</v>
      </c>
      <c r="J343" s="23">
        <f>ROUND(99*1,0)&amp;"%"</f>
      </c>
    </row>
    <row x14ac:dyDescent="0.25" r="344" customHeight="1" ht="17.25">
      <c r="A344" s="17" t="s">
        <v>5716</v>
      </c>
      <c r="B344" s="17" t="s">
        <v>552</v>
      </c>
      <c r="C344" s="17" t="s">
        <v>15</v>
      </c>
      <c r="D344" s="17" t="s">
        <v>28</v>
      </c>
      <c r="E344" s="18">
        <f>ROUND(6744*1.05,2)</f>
      </c>
      <c r="F344" s="17" t="s">
        <v>29</v>
      </c>
      <c r="G344" s="17" t="s">
        <v>30</v>
      </c>
      <c r="H344" s="18">
        <f>ROUND(RAND()*4+6,1)</f>
      </c>
      <c r="I344" s="17" t="s">
        <v>31</v>
      </c>
      <c r="J344" s="19">
        <f>ROUND(93*1,0)&amp;"%"</f>
      </c>
    </row>
    <row x14ac:dyDescent="0.25" r="345" customHeight="1" ht="17.25">
      <c r="A345" s="20" t="s">
        <v>5717</v>
      </c>
      <c r="B345" s="20" t="s">
        <v>554</v>
      </c>
      <c r="C345" s="20" t="s">
        <v>15</v>
      </c>
      <c r="D345" s="20" t="s">
        <v>34</v>
      </c>
      <c r="E345" s="21">
        <f>ROUND(10344*1.05,2)</f>
      </c>
      <c r="F345" s="20" t="s">
        <v>35</v>
      </c>
      <c r="G345" s="20" t="s">
        <v>18</v>
      </c>
      <c r="H345" s="21">
        <f>ROUND(RAND()*4+6,1)</f>
      </c>
      <c r="I345" s="20" t="s">
        <v>36</v>
      </c>
      <c r="J345" s="23">
        <f>ROUND(71*1,0)&amp;"%"</f>
      </c>
    </row>
    <row x14ac:dyDescent="0.25" r="346" customHeight="1" ht="17.25">
      <c r="A346" s="17" t="s">
        <v>5718</v>
      </c>
      <c r="B346" s="17" t="s">
        <v>556</v>
      </c>
      <c r="C346" s="17" t="s">
        <v>15</v>
      </c>
      <c r="D346" s="17" t="s">
        <v>39</v>
      </c>
      <c r="E346" s="18">
        <f>ROUND(15501*1.05,2)</f>
      </c>
      <c r="F346" s="17" t="s">
        <v>40</v>
      </c>
      <c r="G346" s="17" t="s">
        <v>24</v>
      </c>
      <c r="H346" s="26">
        <f>ROUND(RAND()*4+6,1)</f>
      </c>
      <c r="I346" s="17" t="s">
        <v>41</v>
      </c>
      <c r="J346" s="19">
        <f>ROUND(63*1,0)&amp;"%"</f>
      </c>
    </row>
    <row x14ac:dyDescent="0.25" r="347" customHeight="1" ht="17.25">
      <c r="A347" s="20" t="s">
        <v>5719</v>
      </c>
      <c r="B347" s="20" t="s">
        <v>558</v>
      </c>
      <c r="C347" s="20" t="s">
        <v>15</v>
      </c>
      <c r="D347" s="20" t="s">
        <v>67</v>
      </c>
      <c r="E347" s="21">
        <f>ROUND(9154*1.05,2)</f>
      </c>
      <c r="F347" s="20" t="s">
        <v>44</v>
      </c>
      <c r="G347" s="20" t="s">
        <v>30</v>
      </c>
      <c r="H347" s="21">
        <f>ROUND(RAND()*4+6,1)</f>
      </c>
      <c r="I347" s="20" t="s">
        <v>45</v>
      </c>
      <c r="J347" s="23">
        <f>ROUND(91*1,0)&amp;"%"</f>
      </c>
    </row>
    <row x14ac:dyDescent="0.25" r="348" customHeight="1" ht="17.25">
      <c r="A348" s="17" t="s">
        <v>5720</v>
      </c>
      <c r="B348" s="17" t="s">
        <v>560</v>
      </c>
      <c r="C348" s="17" t="s">
        <v>15</v>
      </c>
      <c r="D348" s="17" t="s">
        <v>16</v>
      </c>
      <c r="E348" s="18">
        <f>ROUND(6014*1.05,2)</f>
      </c>
      <c r="F348" s="17" t="s">
        <v>48</v>
      </c>
      <c r="G348" s="17" t="s">
        <v>18</v>
      </c>
      <c r="H348" s="18">
        <f>ROUND(RAND()*4+6,1)</f>
      </c>
      <c r="I348" s="17" t="s">
        <v>19</v>
      </c>
      <c r="J348" s="19">
        <f>ROUND(68*1,0)&amp;"%"</f>
      </c>
    </row>
    <row x14ac:dyDescent="0.25" r="349" customHeight="1" ht="17.25">
      <c r="A349" s="20" t="s">
        <v>5721</v>
      </c>
      <c r="B349" s="20" t="s">
        <v>562</v>
      </c>
      <c r="C349" s="20" t="s">
        <v>15</v>
      </c>
      <c r="D349" s="20" t="s">
        <v>22</v>
      </c>
      <c r="E349" s="21">
        <f>ROUND(4935*1.05,2)</f>
      </c>
      <c r="F349" s="20" t="s">
        <v>51</v>
      </c>
      <c r="G349" s="20" t="s">
        <v>24</v>
      </c>
      <c r="H349" s="21">
        <f>ROUND(RAND()*4+6,1)</f>
      </c>
      <c r="I349" s="20" t="s">
        <v>25</v>
      </c>
      <c r="J349" s="23">
        <f>ROUND(70*1,0)&amp;"%"</f>
      </c>
    </row>
    <row x14ac:dyDescent="0.25" r="350" customHeight="1" ht="17.25">
      <c r="A350" s="24" t="s">
        <v>563</v>
      </c>
      <c r="B350" s="24"/>
      <c r="C350" s="24"/>
      <c r="D350" s="24"/>
      <c r="E350" s="25">
        <v>8</v>
      </c>
      <c r="F350" s="9"/>
      <c r="G350" s="9"/>
      <c r="H350" s="10"/>
      <c r="I350" s="9"/>
      <c r="J350" s="9"/>
    </row>
    <row x14ac:dyDescent="0.25" r="351" customHeight="1" ht="17.25">
      <c r="A351" s="7"/>
      <c r="B351" s="7"/>
      <c r="C351" s="7"/>
      <c r="D351" s="7"/>
      <c r="E351" s="8"/>
      <c r="F351" s="9"/>
      <c r="G351" s="9"/>
      <c r="H351" s="10"/>
      <c r="I351" s="9"/>
      <c r="J351" s="9"/>
    </row>
    <row x14ac:dyDescent="0.25" r="352" customHeight="1" ht="17.25">
      <c r="A352" s="11" t="s">
        <v>5722</v>
      </c>
      <c r="B352" s="11"/>
      <c r="C352" s="11"/>
      <c r="D352" s="11"/>
      <c r="E352" s="12"/>
      <c r="F352" s="11"/>
      <c r="G352" s="11"/>
      <c r="H352" s="13"/>
      <c r="I352" s="11"/>
      <c r="J352" s="11"/>
    </row>
    <row x14ac:dyDescent="0.25" r="353" customHeight="1" ht="17.25">
      <c r="A353" s="14" t="s">
        <v>3</v>
      </c>
      <c r="B353" s="14" t="s">
        <v>4</v>
      </c>
      <c r="C353" s="14" t="s">
        <v>5</v>
      </c>
      <c r="D353" s="14" t="s">
        <v>6</v>
      </c>
      <c r="E353" s="15" t="s">
        <v>7</v>
      </c>
      <c r="F353" s="14" t="s">
        <v>8</v>
      </c>
      <c r="G353" s="14" t="s">
        <v>9</v>
      </c>
      <c r="H353" s="16" t="s">
        <v>10</v>
      </c>
      <c r="I353" s="14" t="s">
        <v>11</v>
      </c>
      <c r="J353" s="14" t="s">
        <v>12</v>
      </c>
    </row>
    <row x14ac:dyDescent="0.25" r="354" customHeight="1" ht="17.25">
      <c r="A354" s="17" t="s">
        <v>5723</v>
      </c>
      <c r="B354" s="17" t="s">
        <v>566</v>
      </c>
      <c r="C354" s="17" t="s">
        <v>56</v>
      </c>
      <c r="D354" s="17" t="s">
        <v>16</v>
      </c>
      <c r="E354" s="18">
        <f>ROUND(10683*1.05,2)</f>
      </c>
      <c r="F354" s="17" t="s">
        <v>17</v>
      </c>
      <c r="G354" s="17" t="s">
        <v>18</v>
      </c>
      <c r="H354" s="26">
        <f>ROUND(RAND()*4+6,1)</f>
      </c>
      <c r="I354" s="17" t="s">
        <v>19</v>
      </c>
      <c r="J354" s="19">
        <f>ROUND(75*1,0)&amp;"%"</f>
      </c>
    </row>
    <row x14ac:dyDescent="0.25" r="355" customHeight="1" ht="17.25">
      <c r="A355" s="20" t="s">
        <v>5724</v>
      </c>
      <c r="B355" s="20" t="s">
        <v>568</v>
      </c>
      <c r="C355" s="20" t="s">
        <v>56</v>
      </c>
      <c r="D355" s="20" t="s">
        <v>22</v>
      </c>
      <c r="E355" s="22">
        <f>ROUND(6980*1.05,2)</f>
      </c>
      <c r="F355" s="20" t="s">
        <v>23</v>
      </c>
      <c r="G355" s="20" t="s">
        <v>24</v>
      </c>
      <c r="H355" s="21">
        <f>ROUND(RAND()*4+6,1)</f>
      </c>
      <c r="I355" s="20" t="s">
        <v>25</v>
      </c>
      <c r="J355" s="23">
        <f>ROUND(77*1,0)&amp;"%"</f>
      </c>
    </row>
    <row x14ac:dyDescent="0.25" r="356" customHeight="1" ht="17.25">
      <c r="A356" s="17" t="s">
        <v>5725</v>
      </c>
      <c r="B356" s="17" t="s">
        <v>570</v>
      </c>
      <c r="C356" s="17" t="s">
        <v>56</v>
      </c>
      <c r="D356" s="17" t="s">
        <v>28</v>
      </c>
      <c r="E356" s="18">
        <f>ROUND(9608*1.05,2)</f>
      </c>
      <c r="F356" s="17" t="s">
        <v>29</v>
      </c>
      <c r="G356" s="17" t="s">
        <v>30</v>
      </c>
      <c r="H356" s="26">
        <f>ROUND(RAND()*4+6,1)</f>
      </c>
      <c r="I356" s="17" t="s">
        <v>31</v>
      </c>
      <c r="J356" s="19">
        <f>ROUND(75*1,0)&amp;"%"</f>
      </c>
    </row>
    <row x14ac:dyDescent="0.25" r="357" customHeight="1" ht="17.25">
      <c r="A357" s="20" t="s">
        <v>5726</v>
      </c>
      <c r="B357" s="20" t="s">
        <v>572</v>
      </c>
      <c r="C357" s="20" t="s">
        <v>56</v>
      </c>
      <c r="D357" s="20" t="s">
        <v>34</v>
      </c>
      <c r="E357" s="21">
        <f>ROUND(10644*1.05,2)</f>
      </c>
      <c r="F357" s="20" t="s">
        <v>35</v>
      </c>
      <c r="G357" s="20" t="s">
        <v>18</v>
      </c>
      <c r="H357" s="21">
        <f>ROUND(RAND()*4+6,1)</f>
      </c>
      <c r="I357" s="20" t="s">
        <v>36</v>
      </c>
      <c r="J357" s="23">
        <f>ROUND(85*1,0)&amp;"%"</f>
      </c>
    </row>
    <row x14ac:dyDescent="0.25" r="358" customHeight="1" ht="17.25">
      <c r="A358" s="17" t="s">
        <v>5727</v>
      </c>
      <c r="B358" s="17" t="s">
        <v>574</v>
      </c>
      <c r="C358" s="17" t="s">
        <v>56</v>
      </c>
      <c r="D358" s="17" t="s">
        <v>39</v>
      </c>
      <c r="E358" s="18">
        <f>ROUND(5181*1.05,2)</f>
      </c>
      <c r="F358" s="17" t="s">
        <v>40</v>
      </c>
      <c r="G358" s="17" t="s">
        <v>24</v>
      </c>
      <c r="H358" s="18">
        <f>ROUND(RAND()*4+6,1)</f>
      </c>
      <c r="I358" s="17" t="s">
        <v>41</v>
      </c>
      <c r="J358" s="19">
        <f>ROUND(95*1,0)&amp;"%"</f>
      </c>
    </row>
    <row x14ac:dyDescent="0.25" r="359" customHeight="1" ht="17.25">
      <c r="A359" s="20" t="s">
        <v>5728</v>
      </c>
      <c r="B359" s="20" t="s">
        <v>576</v>
      </c>
      <c r="C359" s="20" t="s">
        <v>56</v>
      </c>
      <c r="D359" s="20" t="s">
        <v>67</v>
      </c>
      <c r="E359" s="21">
        <f>ROUND(13666*1.05,2)</f>
      </c>
      <c r="F359" s="20" t="s">
        <v>44</v>
      </c>
      <c r="G359" s="20" t="s">
        <v>30</v>
      </c>
      <c r="H359" s="21">
        <f>ROUND(RAND()*4+6,1)</f>
      </c>
      <c r="I359" s="20" t="s">
        <v>45</v>
      </c>
      <c r="J359" s="23">
        <f>ROUND(79*1,0)&amp;"%"</f>
      </c>
    </row>
    <row x14ac:dyDescent="0.25" r="360" customHeight="1" ht="17.25">
      <c r="A360" s="17" t="s">
        <v>5729</v>
      </c>
      <c r="B360" s="17" t="s">
        <v>578</v>
      </c>
      <c r="C360" s="17" t="s">
        <v>56</v>
      </c>
      <c r="D360" s="17" t="s">
        <v>16</v>
      </c>
      <c r="E360" s="18">
        <f>ROUND(9523*1.05,2)</f>
      </c>
      <c r="F360" s="17" t="s">
        <v>48</v>
      </c>
      <c r="G360" s="17" t="s">
        <v>18</v>
      </c>
      <c r="H360" s="18">
        <f>ROUND(RAND()*4+6,1)</f>
      </c>
      <c r="I360" s="17" t="s">
        <v>19</v>
      </c>
      <c r="J360" s="19">
        <f>ROUND(90*1,0)&amp;"%"</f>
      </c>
    </row>
    <row x14ac:dyDescent="0.25" r="361" customHeight="1" ht="17.25">
      <c r="A361" s="20" t="s">
        <v>5730</v>
      </c>
      <c r="B361" s="20" t="s">
        <v>580</v>
      </c>
      <c r="C361" s="20" t="s">
        <v>56</v>
      </c>
      <c r="D361" s="20" t="s">
        <v>22</v>
      </c>
      <c r="E361" s="21">
        <f>ROUND(8751*1.05,2)</f>
      </c>
      <c r="F361" s="20" t="s">
        <v>51</v>
      </c>
      <c r="G361" s="20" t="s">
        <v>24</v>
      </c>
      <c r="H361" s="21">
        <f>ROUND(RAND()*4+6,1)</f>
      </c>
      <c r="I361" s="20" t="s">
        <v>25</v>
      </c>
      <c r="J361" s="23">
        <f>ROUND(77*1,0)&amp;"%"</f>
      </c>
    </row>
    <row x14ac:dyDescent="0.25" r="362" customHeight="1" ht="17.25">
      <c r="A362" s="24" t="s">
        <v>581</v>
      </c>
      <c r="B362" s="24"/>
      <c r="C362" s="24"/>
      <c r="D362" s="24"/>
      <c r="E362" s="25">
        <v>8</v>
      </c>
      <c r="F362" s="9"/>
      <c r="G362" s="9"/>
      <c r="H362" s="10"/>
      <c r="I362" s="9"/>
      <c r="J362" s="9"/>
    </row>
  </sheetData>
  <mergeCells count="62">
    <mergeCell ref="A1:J1"/>
    <mergeCell ref="A2:J2"/>
    <mergeCell ref="A4:J4"/>
    <mergeCell ref="A14:D14"/>
    <mergeCell ref="A16:J16"/>
    <mergeCell ref="A26:D26"/>
    <mergeCell ref="A28:J28"/>
    <mergeCell ref="A38:D38"/>
    <mergeCell ref="A40:J40"/>
    <mergeCell ref="A50:D50"/>
    <mergeCell ref="A52:J52"/>
    <mergeCell ref="A62:D62"/>
    <mergeCell ref="A64:J64"/>
    <mergeCell ref="A74:D74"/>
    <mergeCell ref="A76:J76"/>
    <mergeCell ref="A86:D86"/>
    <mergeCell ref="A88:J88"/>
    <mergeCell ref="A98:D98"/>
    <mergeCell ref="A100:J100"/>
    <mergeCell ref="A110:D110"/>
    <mergeCell ref="A112:J112"/>
    <mergeCell ref="A122:D122"/>
    <mergeCell ref="A124:J124"/>
    <mergeCell ref="A134:D134"/>
    <mergeCell ref="A136:J136"/>
    <mergeCell ref="A146:D146"/>
    <mergeCell ref="A148:J148"/>
    <mergeCell ref="A158:D158"/>
    <mergeCell ref="A160:J160"/>
    <mergeCell ref="A170:D170"/>
    <mergeCell ref="A172:J172"/>
    <mergeCell ref="A182:D182"/>
    <mergeCell ref="A184:J184"/>
    <mergeCell ref="A194:D194"/>
    <mergeCell ref="A196:J196"/>
    <mergeCell ref="A206:D206"/>
    <mergeCell ref="A208:J208"/>
    <mergeCell ref="A218:D218"/>
    <mergeCell ref="A220:J220"/>
    <mergeCell ref="A230:D230"/>
    <mergeCell ref="A232:J232"/>
    <mergeCell ref="A242:D242"/>
    <mergeCell ref="A244:J244"/>
    <mergeCell ref="A254:D254"/>
    <mergeCell ref="A256:J256"/>
    <mergeCell ref="A266:D266"/>
    <mergeCell ref="A268:J268"/>
    <mergeCell ref="A278:D278"/>
    <mergeCell ref="A280:J280"/>
    <mergeCell ref="A290:D290"/>
    <mergeCell ref="A292:J292"/>
    <mergeCell ref="A302:D302"/>
    <mergeCell ref="A304:J304"/>
    <mergeCell ref="A314:D314"/>
    <mergeCell ref="A316:J316"/>
    <mergeCell ref="A326:D326"/>
    <mergeCell ref="A328:J328"/>
    <mergeCell ref="A338:D338"/>
    <mergeCell ref="A340:J340"/>
    <mergeCell ref="A350:D350"/>
    <mergeCell ref="A352:J352"/>
    <mergeCell ref="A362:D362"/>
  </mergeCell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J362"/>
  <sheetViews>
    <sheetView workbookViewId="0"/>
  </sheetViews>
  <sheetFormatPr defaultRowHeight="15" x14ac:dyDescent="0.25"/>
  <cols>
    <col min="1" max="1" style="27" width="8.005" customWidth="1" bestFit="1"/>
    <col min="2" max="2" style="27" width="22.005" customWidth="1" bestFit="1"/>
    <col min="3" max="3" style="27" width="16.005" customWidth="1" bestFit="1"/>
    <col min="4" max="4" style="27" width="14.005" customWidth="1" bestFit="1"/>
    <col min="5" max="5" style="28" width="12.005" customWidth="1" bestFit="1"/>
    <col min="6" max="6" style="29" width="16.005" customWidth="1" bestFit="1"/>
    <col min="7" max="7" style="29" width="10.005" customWidth="1" bestFit="1"/>
    <col min="8" max="8" style="30" width="10.005" customWidth="1" bestFit="1"/>
    <col min="9" max="9" style="29" width="14.005" customWidth="1" bestFit="1"/>
    <col min="10" max="10" style="29" width="8.005" customWidth="1" bestFit="1"/>
  </cols>
  <sheetData>
    <row x14ac:dyDescent="0.25" r="1" customHeight="1" ht="17.25">
      <c r="A1" s="1" t="s">
        <v>5189</v>
      </c>
      <c r="B1" s="1"/>
      <c r="C1" s="1"/>
      <c r="D1" s="1"/>
      <c r="E1" s="2"/>
      <c r="F1" s="1"/>
      <c r="G1" s="1"/>
      <c r="H1" s="3"/>
      <c r="I1" s="1"/>
      <c r="J1" s="1"/>
    </row>
    <row x14ac:dyDescent="0.25" r="2" customHeight="1" ht="17.25">
      <c r="A2" s="4" t="s">
        <v>1</v>
      </c>
      <c r="B2" s="4"/>
      <c r="C2" s="4"/>
      <c r="D2" s="4"/>
      <c r="E2" s="5"/>
      <c r="F2" s="4"/>
      <c r="G2" s="4"/>
      <c r="H2" s="6"/>
      <c r="I2" s="4"/>
      <c r="J2" s="4"/>
    </row>
    <row x14ac:dyDescent="0.25" r="3" customHeight="1" ht="17.25">
      <c r="A3" s="7"/>
      <c r="B3" s="7"/>
      <c r="C3" s="7"/>
      <c r="D3" s="7"/>
      <c r="E3" s="8"/>
      <c r="F3" s="9"/>
      <c r="G3" s="9"/>
      <c r="H3" s="10"/>
      <c r="I3" s="9"/>
      <c r="J3" s="9"/>
    </row>
    <row x14ac:dyDescent="0.25" r="4" customHeight="1" ht="17.25">
      <c r="A4" s="11" t="s">
        <v>5190</v>
      </c>
      <c r="B4" s="11"/>
      <c r="C4" s="11"/>
      <c r="D4" s="11"/>
      <c r="E4" s="12"/>
      <c r="F4" s="11"/>
      <c r="G4" s="11"/>
      <c r="H4" s="13"/>
      <c r="I4" s="11"/>
      <c r="J4" s="11"/>
    </row>
    <row x14ac:dyDescent="0.25" r="5" customHeight="1" ht="17.25">
      <c r="A5" s="14" t="s">
        <v>3</v>
      </c>
      <c r="B5" s="14" t="s">
        <v>4</v>
      </c>
      <c r="C5" s="14" t="s">
        <v>5</v>
      </c>
      <c r="D5" s="14" t="s">
        <v>6</v>
      </c>
      <c r="E5" s="15" t="s">
        <v>7</v>
      </c>
      <c r="F5" s="14" t="s">
        <v>8</v>
      </c>
      <c r="G5" s="14" t="s">
        <v>9</v>
      </c>
      <c r="H5" s="16" t="s">
        <v>10</v>
      </c>
      <c r="I5" s="14" t="s">
        <v>11</v>
      </c>
      <c r="J5" s="14" t="s">
        <v>12</v>
      </c>
    </row>
    <row x14ac:dyDescent="0.25" r="6" customHeight="1" ht="17.25">
      <c r="A6" s="17" t="s">
        <v>5191</v>
      </c>
      <c r="B6" s="17" t="s">
        <v>14</v>
      </c>
      <c r="C6" s="17" t="s">
        <v>15</v>
      </c>
      <c r="D6" s="17" t="s">
        <v>16</v>
      </c>
      <c r="E6" s="18">
        <f>ROUND(10756*1.05,2)</f>
      </c>
      <c r="F6" s="17" t="s">
        <v>17</v>
      </c>
      <c r="G6" s="17" t="s">
        <v>18</v>
      </c>
      <c r="H6" s="26">
        <f>ROUND(RAND()*4+6,1)</f>
      </c>
      <c r="I6" s="17" t="s">
        <v>19</v>
      </c>
      <c r="J6" s="19">
        <f>ROUND(62*1,0)&amp;"%"</f>
      </c>
    </row>
    <row x14ac:dyDescent="0.25" r="7" customHeight="1" ht="17.25">
      <c r="A7" s="20" t="s">
        <v>5192</v>
      </c>
      <c r="B7" s="20" t="s">
        <v>21</v>
      </c>
      <c r="C7" s="20" t="s">
        <v>15</v>
      </c>
      <c r="D7" s="20" t="s">
        <v>22</v>
      </c>
      <c r="E7" s="21">
        <f>ROUND(15573*1.05,2)</f>
      </c>
      <c r="F7" s="20" t="s">
        <v>23</v>
      </c>
      <c r="G7" s="20" t="s">
        <v>24</v>
      </c>
      <c r="H7" s="21">
        <f>ROUND(RAND()*4+6,1)</f>
      </c>
      <c r="I7" s="20" t="s">
        <v>25</v>
      </c>
      <c r="J7" s="23">
        <f>ROUND(70*1,0)&amp;"%"</f>
      </c>
    </row>
    <row x14ac:dyDescent="0.25" r="8" customHeight="1" ht="17.25">
      <c r="A8" s="17" t="s">
        <v>5193</v>
      </c>
      <c r="B8" s="17" t="s">
        <v>27</v>
      </c>
      <c r="C8" s="17" t="s">
        <v>15</v>
      </c>
      <c r="D8" s="17" t="s">
        <v>28</v>
      </c>
      <c r="E8" s="18">
        <f>ROUND(13298*1.05,2)</f>
      </c>
      <c r="F8" s="17" t="s">
        <v>29</v>
      </c>
      <c r="G8" s="17" t="s">
        <v>30</v>
      </c>
      <c r="H8" s="18">
        <f>ROUND(RAND()*4+6,1)</f>
      </c>
      <c r="I8" s="17" t="s">
        <v>31</v>
      </c>
      <c r="J8" s="19">
        <f>ROUND(93*1,0)&amp;"%"</f>
      </c>
    </row>
    <row x14ac:dyDescent="0.25" r="9" customHeight="1" ht="17.25">
      <c r="A9" s="20" t="s">
        <v>5194</v>
      </c>
      <c r="B9" s="20" t="s">
        <v>33</v>
      </c>
      <c r="C9" s="20" t="s">
        <v>15</v>
      </c>
      <c r="D9" s="20" t="s">
        <v>34</v>
      </c>
      <c r="E9" s="22">
        <f>ROUND(7860*1.05,2)</f>
      </c>
      <c r="F9" s="20" t="s">
        <v>35</v>
      </c>
      <c r="G9" s="20" t="s">
        <v>18</v>
      </c>
      <c r="H9" s="21">
        <f>ROUND(RAND()*4+6,1)</f>
      </c>
      <c r="I9" s="20" t="s">
        <v>36</v>
      </c>
      <c r="J9" s="23">
        <f>ROUND(80*1,0)&amp;"%"</f>
      </c>
    </row>
    <row x14ac:dyDescent="0.25" r="10" customHeight="1" ht="17.25">
      <c r="A10" s="17" t="s">
        <v>5195</v>
      </c>
      <c r="B10" s="17" t="s">
        <v>38</v>
      </c>
      <c r="C10" s="17" t="s">
        <v>15</v>
      </c>
      <c r="D10" s="17" t="s">
        <v>39</v>
      </c>
      <c r="E10" s="18">
        <f>ROUND(17852*1.05,2)</f>
      </c>
      <c r="F10" s="17" t="s">
        <v>40</v>
      </c>
      <c r="G10" s="17" t="s">
        <v>24</v>
      </c>
      <c r="H10" s="18">
        <f>ROUND(RAND()*4+6,1)</f>
      </c>
      <c r="I10" s="17" t="s">
        <v>41</v>
      </c>
      <c r="J10" s="19">
        <f>ROUND(64*1,0)&amp;"%"</f>
      </c>
    </row>
    <row x14ac:dyDescent="0.25" r="11" customHeight="1" ht="17.25">
      <c r="A11" s="20" t="s">
        <v>5196</v>
      </c>
      <c r="B11" s="20" t="s">
        <v>43</v>
      </c>
      <c r="C11" s="20" t="s">
        <v>15</v>
      </c>
      <c r="D11" s="20" t="s">
        <v>67</v>
      </c>
      <c r="E11" s="21">
        <f>ROUND(16223*1.05,2)</f>
      </c>
      <c r="F11" s="20" t="s">
        <v>44</v>
      </c>
      <c r="G11" s="20" t="s">
        <v>30</v>
      </c>
      <c r="H11" s="22">
        <f>ROUND(RAND()*4+6,1)</f>
      </c>
      <c r="I11" s="20" t="s">
        <v>45</v>
      </c>
      <c r="J11" s="23">
        <f>ROUND(89*1,0)&amp;"%"</f>
      </c>
    </row>
    <row x14ac:dyDescent="0.25" r="12" customHeight="1" ht="17.25">
      <c r="A12" s="17" t="s">
        <v>5197</v>
      </c>
      <c r="B12" s="17" t="s">
        <v>47</v>
      </c>
      <c r="C12" s="17" t="s">
        <v>15</v>
      </c>
      <c r="D12" s="17" t="s">
        <v>16</v>
      </c>
      <c r="E12" s="18">
        <f>ROUND(16479*1.05,2)</f>
      </c>
      <c r="F12" s="17" t="s">
        <v>48</v>
      </c>
      <c r="G12" s="17" t="s">
        <v>18</v>
      </c>
      <c r="H12" s="18">
        <f>ROUND(RAND()*4+6,1)</f>
      </c>
      <c r="I12" s="17" t="s">
        <v>19</v>
      </c>
      <c r="J12" s="19">
        <f>ROUND(83*1,0)&amp;"%"</f>
      </c>
    </row>
    <row x14ac:dyDescent="0.25" r="13" customHeight="1" ht="17.25">
      <c r="A13" s="20" t="s">
        <v>5198</v>
      </c>
      <c r="B13" s="20" t="s">
        <v>50</v>
      </c>
      <c r="C13" s="20" t="s">
        <v>15</v>
      </c>
      <c r="D13" s="20" t="s">
        <v>22</v>
      </c>
      <c r="E13" s="21">
        <f>ROUND(10586*1.05,2)</f>
      </c>
      <c r="F13" s="20" t="s">
        <v>51</v>
      </c>
      <c r="G13" s="20" t="s">
        <v>24</v>
      </c>
      <c r="H13" s="21">
        <f>ROUND(RAND()*4+6,1)</f>
      </c>
      <c r="I13" s="20" t="s">
        <v>25</v>
      </c>
      <c r="J13" s="23">
        <f>ROUND(85*1,0)&amp;"%"</f>
      </c>
    </row>
    <row x14ac:dyDescent="0.25" r="14" customHeight="1" ht="17.25">
      <c r="A14" s="24" t="s">
        <v>52</v>
      </c>
      <c r="B14" s="24"/>
      <c r="C14" s="24"/>
      <c r="D14" s="24"/>
      <c r="E14" s="25">
        <v>8</v>
      </c>
      <c r="F14" s="9"/>
      <c r="G14" s="9"/>
      <c r="H14" s="10"/>
      <c r="I14" s="9"/>
      <c r="J14" s="9"/>
    </row>
    <row x14ac:dyDescent="0.25" r="15" customHeight="1" ht="17.25">
      <c r="A15" s="7"/>
      <c r="B15" s="7"/>
      <c r="C15" s="7"/>
      <c r="D15" s="7"/>
      <c r="E15" s="8"/>
      <c r="F15" s="9"/>
      <c r="G15" s="9"/>
      <c r="H15" s="10"/>
      <c r="I15" s="9"/>
      <c r="J15" s="9"/>
    </row>
    <row x14ac:dyDescent="0.25" r="16" customHeight="1" ht="17.25">
      <c r="A16" s="11" t="s">
        <v>5199</v>
      </c>
      <c r="B16" s="11"/>
      <c r="C16" s="11"/>
      <c r="D16" s="11"/>
      <c r="E16" s="12"/>
      <c r="F16" s="11"/>
      <c r="G16" s="11"/>
      <c r="H16" s="13"/>
      <c r="I16" s="11"/>
      <c r="J16" s="11"/>
    </row>
    <row x14ac:dyDescent="0.25" r="17" customHeight="1" ht="17.25">
      <c r="A17" s="14" t="s">
        <v>3</v>
      </c>
      <c r="B17" s="14" t="s">
        <v>4</v>
      </c>
      <c r="C17" s="14" t="s">
        <v>5</v>
      </c>
      <c r="D17" s="14" t="s">
        <v>6</v>
      </c>
      <c r="E17" s="15" t="s">
        <v>7</v>
      </c>
      <c r="F17" s="14" t="s">
        <v>8</v>
      </c>
      <c r="G17" s="14" t="s">
        <v>9</v>
      </c>
      <c r="H17" s="16" t="s">
        <v>10</v>
      </c>
      <c r="I17" s="14" t="s">
        <v>11</v>
      </c>
      <c r="J17" s="14" t="s">
        <v>12</v>
      </c>
    </row>
    <row x14ac:dyDescent="0.25" r="18" customHeight="1" ht="17.25">
      <c r="A18" s="17" t="s">
        <v>5200</v>
      </c>
      <c r="B18" s="17" t="s">
        <v>55</v>
      </c>
      <c r="C18" s="17" t="s">
        <v>56</v>
      </c>
      <c r="D18" s="17" t="s">
        <v>16</v>
      </c>
      <c r="E18" s="18">
        <f>ROUND(12178*1.05,2)</f>
      </c>
      <c r="F18" s="17" t="s">
        <v>17</v>
      </c>
      <c r="G18" s="17" t="s">
        <v>18</v>
      </c>
      <c r="H18" s="18">
        <f>ROUND(RAND()*4+6,1)</f>
      </c>
      <c r="I18" s="17" t="s">
        <v>19</v>
      </c>
      <c r="J18" s="19">
        <f>ROUND(61*1,0)&amp;"%"</f>
      </c>
    </row>
    <row x14ac:dyDescent="0.25" r="19" customHeight="1" ht="17.25">
      <c r="A19" s="20" t="s">
        <v>5201</v>
      </c>
      <c r="B19" s="20" t="s">
        <v>58</v>
      </c>
      <c r="C19" s="20" t="s">
        <v>56</v>
      </c>
      <c r="D19" s="20" t="s">
        <v>22</v>
      </c>
      <c r="E19" s="21">
        <f>ROUND(14823*1.05,2)</f>
      </c>
      <c r="F19" s="20" t="s">
        <v>23</v>
      </c>
      <c r="G19" s="20" t="s">
        <v>24</v>
      </c>
      <c r="H19" s="21">
        <f>ROUND(RAND()*4+6,1)</f>
      </c>
      <c r="I19" s="20" t="s">
        <v>25</v>
      </c>
      <c r="J19" s="23">
        <f>ROUND(86*1,0)&amp;"%"</f>
      </c>
    </row>
    <row x14ac:dyDescent="0.25" r="20" customHeight="1" ht="17.25">
      <c r="A20" s="17" t="s">
        <v>5202</v>
      </c>
      <c r="B20" s="17" t="s">
        <v>60</v>
      </c>
      <c r="C20" s="17" t="s">
        <v>56</v>
      </c>
      <c r="D20" s="17" t="s">
        <v>28</v>
      </c>
      <c r="E20" s="18">
        <f>ROUND(9566*1.05,2)</f>
      </c>
      <c r="F20" s="17" t="s">
        <v>29</v>
      </c>
      <c r="G20" s="17" t="s">
        <v>30</v>
      </c>
      <c r="H20" s="26">
        <f>ROUND(RAND()*4+6,1)</f>
      </c>
      <c r="I20" s="17" t="s">
        <v>31</v>
      </c>
      <c r="J20" s="19">
        <f>ROUND(79*1,0)&amp;"%"</f>
      </c>
    </row>
    <row x14ac:dyDescent="0.25" r="21" customHeight="1" ht="17.25">
      <c r="A21" s="20" t="s">
        <v>5203</v>
      </c>
      <c r="B21" s="20" t="s">
        <v>62</v>
      </c>
      <c r="C21" s="20" t="s">
        <v>56</v>
      </c>
      <c r="D21" s="20" t="s">
        <v>34</v>
      </c>
      <c r="E21" s="21">
        <f>ROUND(13981*1.05,2)</f>
      </c>
      <c r="F21" s="20" t="s">
        <v>35</v>
      </c>
      <c r="G21" s="20" t="s">
        <v>18</v>
      </c>
      <c r="H21" s="22">
        <f>ROUND(RAND()*4+6,1)</f>
      </c>
      <c r="I21" s="20" t="s">
        <v>36</v>
      </c>
      <c r="J21" s="23">
        <f>ROUND(93*1,0)&amp;"%"</f>
      </c>
    </row>
    <row x14ac:dyDescent="0.25" r="22" customHeight="1" ht="17.25">
      <c r="A22" s="17" t="s">
        <v>5204</v>
      </c>
      <c r="B22" s="17" t="s">
        <v>64</v>
      </c>
      <c r="C22" s="17" t="s">
        <v>56</v>
      </c>
      <c r="D22" s="17" t="s">
        <v>39</v>
      </c>
      <c r="E22" s="18">
        <f>ROUND(4458*1.05,2)</f>
      </c>
      <c r="F22" s="17" t="s">
        <v>40</v>
      </c>
      <c r="G22" s="17" t="s">
        <v>24</v>
      </c>
      <c r="H22" s="18">
        <f>ROUND(RAND()*4+6,1)</f>
      </c>
      <c r="I22" s="17" t="s">
        <v>41</v>
      </c>
      <c r="J22" s="19">
        <f>ROUND(73*1,0)&amp;"%"</f>
      </c>
    </row>
    <row x14ac:dyDescent="0.25" r="23" customHeight="1" ht="17.25">
      <c r="A23" s="20" t="s">
        <v>5205</v>
      </c>
      <c r="B23" s="20" t="s">
        <v>66</v>
      </c>
      <c r="C23" s="20" t="s">
        <v>56</v>
      </c>
      <c r="D23" s="20" t="s">
        <v>67</v>
      </c>
      <c r="E23" s="21">
        <f>ROUND(12855*1.05,2)</f>
      </c>
      <c r="F23" s="20" t="s">
        <v>44</v>
      </c>
      <c r="G23" s="20" t="s">
        <v>30</v>
      </c>
      <c r="H23" s="21">
        <f>ROUND(RAND()*4+6,1)</f>
      </c>
      <c r="I23" s="20" t="s">
        <v>45</v>
      </c>
      <c r="J23" s="23">
        <f>ROUND(64*1,0)&amp;"%"</f>
      </c>
    </row>
    <row x14ac:dyDescent="0.25" r="24" customHeight="1" ht="17.25">
      <c r="A24" s="17" t="s">
        <v>5206</v>
      </c>
      <c r="B24" s="17" t="s">
        <v>69</v>
      </c>
      <c r="C24" s="17" t="s">
        <v>56</v>
      </c>
      <c r="D24" s="17" t="s">
        <v>16</v>
      </c>
      <c r="E24" s="18">
        <f>ROUND(4918*1.05,2)</f>
      </c>
      <c r="F24" s="17" t="s">
        <v>48</v>
      </c>
      <c r="G24" s="17" t="s">
        <v>18</v>
      </c>
      <c r="H24" s="18">
        <f>ROUND(RAND()*4+6,1)</f>
      </c>
      <c r="I24" s="17" t="s">
        <v>19</v>
      </c>
      <c r="J24" s="19">
        <f>ROUND(92*1,0)&amp;"%"</f>
      </c>
    </row>
    <row x14ac:dyDescent="0.25" r="25" customHeight="1" ht="17.25">
      <c r="A25" s="20" t="s">
        <v>5207</v>
      </c>
      <c r="B25" s="20" t="s">
        <v>71</v>
      </c>
      <c r="C25" s="20" t="s">
        <v>56</v>
      </c>
      <c r="D25" s="20" t="s">
        <v>22</v>
      </c>
      <c r="E25" s="21">
        <f>ROUND(6668*1.05,2)</f>
      </c>
      <c r="F25" s="20" t="s">
        <v>51</v>
      </c>
      <c r="G25" s="20" t="s">
        <v>24</v>
      </c>
      <c r="H25" s="21">
        <f>ROUND(RAND()*4+6,1)</f>
      </c>
      <c r="I25" s="20" t="s">
        <v>25</v>
      </c>
      <c r="J25" s="23">
        <f>ROUND(61*1,0)&amp;"%"</f>
      </c>
    </row>
    <row x14ac:dyDescent="0.25" r="26" customHeight="1" ht="17.25">
      <c r="A26" s="24" t="s">
        <v>72</v>
      </c>
      <c r="B26" s="24"/>
      <c r="C26" s="24"/>
      <c r="D26" s="24"/>
      <c r="E26" s="25">
        <v>8</v>
      </c>
      <c r="F26" s="9"/>
      <c r="G26" s="9"/>
      <c r="H26" s="10"/>
      <c r="I26" s="9"/>
      <c r="J26" s="9"/>
    </row>
    <row x14ac:dyDescent="0.25" r="27" customHeight="1" ht="17.25">
      <c r="A27" s="7"/>
      <c r="B27" s="7"/>
      <c r="C27" s="7"/>
      <c r="D27" s="7"/>
      <c r="E27" s="8"/>
      <c r="F27" s="9"/>
      <c r="G27" s="9"/>
      <c r="H27" s="10"/>
      <c r="I27" s="9"/>
      <c r="J27" s="9"/>
    </row>
    <row x14ac:dyDescent="0.25" r="28" customHeight="1" ht="17.25">
      <c r="A28" s="11" t="s">
        <v>5208</v>
      </c>
      <c r="B28" s="11"/>
      <c r="C28" s="11"/>
      <c r="D28" s="11"/>
      <c r="E28" s="12"/>
      <c r="F28" s="11"/>
      <c r="G28" s="11"/>
      <c r="H28" s="13"/>
      <c r="I28" s="11"/>
      <c r="J28" s="11"/>
    </row>
    <row x14ac:dyDescent="0.25" r="29" customHeight="1" ht="17.25">
      <c r="A29" s="14" t="s">
        <v>3</v>
      </c>
      <c r="B29" s="14" t="s">
        <v>4</v>
      </c>
      <c r="C29" s="14" t="s">
        <v>5</v>
      </c>
      <c r="D29" s="14" t="s">
        <v>6</v>
      </c>
      <c r="E29" s="15" t="s">
        <v>7</v>
      </c>
      <c r="F29" s="14" t="s">
        <v>8</v>
      </c>
      <c r="G29" s="14" t="s">
        <v>9</v>
      </c>
      <c r="H29" s="16" t="s">
        <v>10</v>
      </c>
      <c r="I29" s="14" t="s">
        <v>11</v>
      </c>
      <c r="J29" s="14" t="s">
        <v>12</v>
      </c>
    </row>
    <row x14ac:dyDescent="0.25" r="30" customHeight="1" ht="17.25">
      <c r="A30" s="17" t="s">
        <v>5209</v>
      </c>
      <c r="B30" s="17" t="s">
        <v>75</v>
      </c>
      <c r="C30" s="17" t="s">
        <v>76</v>
      </c>
      <c r="D30" s="17" t="s">
        <v>16</v>
      </c>
      <c r="E30" s="18">
        <f>ROUND(6155*1.05,2)</f>
      </c>
      <c r="F30" s="17" t="s">
        <v>17</v>
      </c>
      <c r="G30" s="17" t="s">
        <v>18</v>
      </c>
      <c r="H30" s="18">
        <f>ROUND(RAND()*4+6,1)</f>
      </c>
      <c r="I30" s="17" t="s">
        <v>19</v>
      </c>
      <c r="J30" s="19">
        <f>ROUND(66*1,0)&amp;"%"</f>
      </c>
    </row>
    <row x14ac:dyDescent="0.25" r="31" customHeight="1" ht="17.25">
      <c r="A31" s="20" t="s">
        <v>5210</v>
      </c>
      <c r="B31" s="20" t="s">
        <v>78</v>
      </c>
      <c r="C31" s="20" t="s">
        <v>76</v>
      </c>
      <c r="D31" s="20" t="s">
        <v>22</v>
      </c>
      <c r="E31" s="21">
        <f>ROUND(12616*1.05,2)</f>
      </c>
      <c r="F31" s="20" t="s">
        <v>23</v>
      </c>
      <c r="G31" s="20" t="s">
        <v>24</v>
      </c>
      <c r="H31" s="21">
        <f>ROUND(RAND()*4+6,1)</f>
      </c>
      <c r="I31" s="20" t="s">
        <v>25</v>
      </c>
      <c r="J31" s="23">
        <f>ROUND(77*1,0)&amp;"%"</f>
      </c>
    </row>
    <row x14ac:dyDescent="0.25" r="32" customHeight="1" ht="17.25">
      <c r="A32" s="17" t="s">
        <v>5211</v>
      </c>
      <c r="B32" s="17" t="s">
        <v>80</v>
      </c>
      <c r="C32" s="17" t="s">
        <v>76</v>
      </c>
      <c r="D32" s="17" t="s">
        <v>28</v>
      </c>
      <c r="E32" s="18">
        <f>ROUND(12439*1.05,2)</f>
      </c>
      <c r="F32" s="17" t="s">
        <v>29</v>
      </c>
      <c r="G32" s="17" t="s">
        <v>30</v>
      </c>
      <c r="H32" s="18">
        <f>ROUND(RAND()*4+6,1)</f>
      </c>
      <c r="I32" s="17" t="s">
        <v>31</v>
      </c>
      <c r="J32" s="19">
        <f>ROUND(95*1,0)&amp;"%"</f>
      </c>
    </row>
    <row x14ac:dyDescent="0.25" r="33" customHeight="1" ht="17.25">
      <c r="A33" s="20" t="s">
        <v>5212</v>
      </c>
      <c r="B33" s="20" t="s">
        <v>82</v>
      </c>
      <c r="C33" s="20" t="s">
        <v>76</v>
      </c>
      <c r="D33" s="20" t="s">
        <v>34</v>
      </c>
      <c r="E33" s="21">
        <f>ROUND(8947*1.05,2)</f>
      </c>
      <c r="F33" s="20" t="s">
        <v>35</v>
      </c>
      <c r="G33" s="20" t="s">
        <v>18</v>
      </c>
      <c r="H33" s="22">
        <f>ROUND(RAND()*4+6,1)</f>
      </c>
      <c r="I33" s="20" t="s">
        <v>36</v>
      </c>
      <c r="J33" s="23">
        <f>ROUND(94*1,0)&amp;"%"</f>
      </c>
    </row>
    <row x14ac:dyDescent="0.25" r="34" customHeight="1" ht="17.25">
      <c r="A34" s="17" t="s">
        <v>5213</v>
      </c>
      <c r="B34" s="17" t="s">
        <v>84</v>
      </c>
      <c r="C34" s="17" t="s">
        <v>76</v>
      </c>
      <c r="D34" s="17" t="s">
        <v>39</v>
      </c>
      <c r="E34" s="18">
        <f>ROUND(15756*1.05,2)</f>
      </c>
      <c r="F34" s="17" t="s">
        <v>40</v>
      </c>
      <c r="G34" s="17" t="s">
        <v>24</v>
      </c>
      <c r="H34" s="26">
        <f>ROUND(RAND()*4+6,1)</f>
      </c>
      <c r="I34" s="17" t="s">
        <v>41</v>
      </c>
      <c r="J34" s="19">
        <f>ROUND(81*1,0)&amp;"%"</f>
      </c>
    </row>
    <row x14ac:dyDescent="0.25" r="35" customHeight="1" ht="17.25">
      <c r="A35" s="20" t="s">
        <v>5214</v>
      </c>
      <c r="B35" s="20" t="s">
        <v>86</v>
      </c>
      <c r="C35" s="20" t="s">
        <v>76</v>
      </c>
      <c r="D35" s="20" t="s">
        <v>67</v>
      </c>
      <c r="E35" s="21">
        <f>ROUND(15786*1.05,2)</f>
      </c>
      <c r="F35" s="20" t="s">
        <v>44</v>
      </c>
      <c r="G35" s="20" t="s">
        <v>30</v>
      </c>
      <c r="H35" s="21">
        <f>ROUND(RAND()*4+6,1)</f>
      </c>
      <c r="I35" s="20" t="s">
        <v>45</v>
      </c>
      <c r="J35" s="23">
        <f>ROUND(76*1,0)&amp;"%"</f>
      </c>
    </row>
    <row x14ac:dyDescent="0.25" r="36" customHeight="1" ht="17.25">
      <c r="A36" s="17" t="s">
        <v>5215</v>
      </c>
      <c r="B36" s="17" t="s">
        <v>88</v>
      </c>
      <c r="C36" s="17" t="s">
        <v>76</v>
      </c>
      <c r="D36" s="17" t="s">
        <v>16</v>
      </c>
      <c r="E36" s="18">
        <f>ROUND(10382*1.05,2)</f>
      </c>
      <c r="F36" s="17" t="s">
        <v>48</v>
      </c>
      <c r="G36" s="17" t="s">
        <v>18</v>
      </c>
      <c r="H36" s="18">
        <f>ROUND(RAND()*4+6,1)</f>
      </c>
      <c r="I36" s="17" t="s">
        <v>19</v>
      </c>
      <c r="J36" s="19">
        <f>ROUND(64*1,0)&amp;"%"</f>
      </c>
    </row>
    <row x14ac:dyDescent="0.25" r="37" customHeight="1" ht="17.25">
      <c r="A37" s="20" t="s">
        <v>5216</v>
      </c>
      <c r="B37" s="20" t="s">
        <v>90</v>
      </c>
      <c r="C37" s="20" t="s">
        <v>76</v>
      </c>
      <c r="D37" s="20" t="s">
        <v>22</v>
      </c>
      <c r="E37" s="21">
        <f>ROUND(5076*1.05,2)</f>
      </c>
      <c r="F37" s="20" t="s">
        <v>51</v>
      </c>
      <c r="G37" s="20" t="s">
        <v>24</v>
      </c>
      <c r="H37" s="21">
        <f>ROUND(RAND()*4+6,1)</f>
      </c>
      <c r="I37" s="20" t="s">
        <v>25</v>
      </c>
      <c r="J37" s="23">
        <f>ROUND(64*1,0)&amp;"%"</f>
      </c>
    </row>
    <row x14ac:dyDescent="0.25" r="38" customHeight="1" ht="17.25">
      <c r="A38" s="24" t="s">
        <v>91</v>
      </c>
      <c r="B38" s="24"/>
      <c r="C38" s="24"/>
      <c r="D38" s="24"/>
      <c r="E38" s="25">
        <v>8</v>
      </c>
      <c r="F38" s="9"/>
      <c r="G38" s="9"/>
      <c r="H38" s="10"/>
      <c r="I38" s="9"/>
      <c r="J38" s="9"/>
    </row>
    <row x14ac:dyDescent="0.25" r="39" customHeight="1" ht="17.25">
      <c r="A39" s="7"/>
      <c r="B39" s="7"/>
      <c r="C39" s="7"/>
      <c r="D39" s="7"/>
      <c r="E39" s="8"/>
      <c r="F39" s="9"/>
      <c r="G39" s="9"/>
      <c r="H39" s="10"/>
      <c r="I39" s="9"/>
      <c r="J39" s="9"/>
    </row>
    <row x14ac:dyDescent="0.25" r="40" customHeight="1" ht="17.25">
      <c r="A40" s="11" t="s">
        <v>5217</v>
      </c>
      <c r="B40" s="11"/>
      <c r="C40" s="11"/>
      <c r="D40" s="11"/>
      <c r="E40" s="12"/>
      <c r="F40" s="11"/>
      <c r="G40" s="11"/>
      <c r="H40" s="13"/>
      <c r="I40" s="11"/>
      <c r="J40" s="11"/>
    </row>
    <row x14ac:dyDescent="0.25" r="41" customHeight="1" ht="17.25">
      <c r="A41" s="14" t="s">
        <v>3</v>
      </c>
      <c r="B41" s="14" t="s">
        <v>4</v>
      </c>
      <c r="C41" s="14" t="s">
        <v>5</v>
      </c>
      <c r="D41" s="14" t="s">
        <v>6</v>
      </c>
      <c r="E41" s="15" t="s">
        <v>7</v>
      </c>
      <c r="F41" s="14" t="s">
        <v>8</v>
      </c>
      <c r="G41" s="14" t="s">
        <v>9</v>
      </c>
      <c r="H41" s="16" t="s">
        <v>10</v>
      </c>
      <c r="I41" s="14" t="s">
        <v>11</v>
      </c>
      <c r="J41" s="14" t="s">
        <v>12</v>
      </c>
    </row>
    <row x14ac:dyDescent="0.25" r="42" customHeight="1" ht="17.25">
      <c r="A42" s="17" t="s">
        <v>5218</v>
      </c>
      <c r="B42" s="17" t="s">
        <v>94</v>
      </c>
      <c r="C42" s="17" t="s">
        <v>95</v>
      </c>
      <c r="D42" s="17" t="s">
        <v>16</v>
      </c>
      <c r="E42" s="18">
        <f>ROUND(8079*1.05,2)</f>
      </c>
      <c r="F42" s="17" t="s">
        <v>17</v>
      </c>
      <c r="G42" s="17" t="s">
        <v>18</v>
      </c>
      <c r="H42" s="18">
        <f>ROUND(RAND()*4+6,1)</f>
      </c>
      <c r="I42" s="17" t="s">
        <v>19</v>
      </c>
      <c r="J42" s="19">
        <f>ROUND(82*1,0)&amp;"%"</f>
      </c>
    </row>
    <row x14ac:dyDescent="0.25" r="43" customHeight="1" ht="17.25">
      <c r="A43" s="20" t="s">
        <v>5219</v>
      </c>
      <c r="B43" s="20" t="s">
        <v>97</v>
      </c>
      <c r="C43" s="20" t="s">
        <v>95</v>
      </c>
      <c r="D43" s="20" t="s">
        <v>22</v>
      </c>
      <c r="E43" s="21">
        <f>ROUND(15123*1.05,2)</f>
      </c>
      <c r="F43" s="20" t="s">
        <v>23</v>
      </c>
      <c r="G43" s="20" t="s">
        <v>24</v>
      </c>
      <c r="H43" s="21">
        <f>ROUND(RAND()*4+6,1)</f>
      </c>
      <c r="I43" s="20" t="s">
        <v>25</v>
      </c>
      <c r="J43" s="23">
        <f>ROUND(66*1,0)&amp;"%"</f>
      </c>
    </row>
    <row x14ac:dyDescent="0.25" r="44" customHeight="1" ht="17.25">
      <c r="A44" s="17" t="s">
        <v>5220</v>
      </c>
      <c r="B44" s="17" t="s">
        <v>99</v>
      </c>
      <c r="C44" s="17" t="s">
        <v>95</v>
      </c>
      <c r="D44" s="17" t="s">
        <v>28</v>
      </c>
      <c r="E44" s="18">
        <f>ROUND(9510*1.05,2)</f>
      </c>
      <c r="F44" s="17" t="s">
        <v>29</v>
      </c>
      <c r="G44" s="17" t="s">
        <v>30</v>
      </c>
      <c r="H44" s="18">
        <f>ROUND(RAND()*4+6,1)</f>
      </c>
      <c r="I44" s="17" t="s">
        <v>31</v>
      </c>
      <c r="J44" s="19">
        <f>ROUND(83*1,0)&amp;"%"</f>
      </c>
    </row>
    <row x14ac:dyDescent="0.25" r="45" customHeight="1" ht="17.25">
      <c r="A45" s="20" t="s">
        <v>5221</v>
      </c>
      <c r="B45" s="20" t="s">
        <v>101</v>
      </c>
      <c r="C45" s="20" t="s">
        <v>95</v>
      </c>
      <c r="D45" s="20" t="s">
        <v>34</v>
      </c>
      <c r="E45" s="21">
        <f>ROUND(14836*1.05,2)</f>
      </c>
      <c r="F45" s="20" t="s">
        <v>35</v>
      </c>
      <c r="G45" s="20" t="s">
        <v>18</v>
      </c>
      <c r="H45" s="21">
        <f>ROUND(RAND()*4+6,1)</f>
      </c>
      <c r="I45" s="20" t="s">
        <v>36</v>
      </c>
      <c r="J45" s="23">
        <f>ROUND(83*1,0)&amp;"%"</f>
      </c>
    </row>
    <row x14ac:dyDescent="0.25" r="46" customHeight="1" ht="17.25">
      <c r="A46" s="17" t="s">
        <v>5222</v>
      </c>
      <c r="B46" s="17" t="s">
        <v>103</v>
      </c>
      <c r="C46" s="17" t="s">
        <v>95</v>
      </c>
      <c r="D46" s="17" t="s">
        <v>39</v>
      </c>
      <c r="E46" s="18">
        <f>ROUND(7135*1.05,2)</f>
      </c>
      <c r="F46" s="17" t="s">
        <v>40</v>
      </c>
      <c r="G46" s="17" t="s">
        <v>24</v>
      </c>
      <c r="H46" s="18">
        <f>ROUND(RAND()*4+6,1)</f>
      </c>
      <c r="I46" s="17" t="s">
        <v>41</v>
      </c>
      <c r="J46" s="19">
        <f>ROUND(80*1,0)&amp;"%"</f>
      </c>
    </row>
    <row x14ac:dyDescent="0.25" r="47" customHeight="1" ht="17.25">
      <c r="A47" s="20" t="s">
        <v>5223</v>
      </c>
      <c r="B47" s="20" t="s">
        <v>105</v>
      </c>
      <c r="C47" s="20" t="s">
        <v>95</v>
      </c>
      <c r="D47" s="20" t="s">
        <v>67</v>
      </c>
      <c r="E47" s="21">
        <f>ROUND(9586*1.05,2)</f>
      </c>
      <c r="F47" s="20" t="s">
        <v>44</v>
      </c>
      <c r="G47" s="20" t="s">
        <v>30</v>
      </c>
      <c r="H47" s="21">
        <f>ROUND(RAND()*4+6,1)</f>
      </c>
      <c r="I47" s="20" t="s">
        <v>45</v>
      </c>
      <c r="J47" s="23">
        <f>ROUND(90*1,0)&amp;"%"</f>
      </c>
    </row>
    <row x14ac:dyDescent="0.25" r="48" customHeight="1" ht="17.25">
      <c r="A48" s="17" t="s">
        <v>5224</v>
      </c>
      <c r="B48" s="17" t="s">
        <v>107</v>
      </c>
      <c r="C48" s="17" t="s">
        <v>95</v>
      </c>
      <c r="D48" s="17" t="s">
        <v>16</v>
      </c>
      <c r="E48" s="18">
        <f>ROUND(14974*1.05,2)</f>
      </c>
      <c r="F48" s="17" t="s">
        <v>48</v>
      </c>
      <c r="G48" s="17" t="s">
        <v>18</v>
      </c>
      <c r="H48" s="18">
        <f>ROUND(RAND()*4+6,1)</f>
      </c>
      <c r="I48" s="17" t="s">
        <v>19</v>
      </c>
      <c r="J48" s="19">
        <f>ROUND(99*1,0)&amp;"%"</f>
      </c>
    </row>
    <row x14ac:dyDescent="0.25" r="49" customHeight="1" ht="17.25">
      <c r="A49" s="20" t="s">
        <v>5225</v>
      </c>
      <c r="B49" s="20" t="s">
        <v>109</v>
      </c>
      <c r="C49" s="20" t="s">
        <v>95</v>
      </c>
      <c r="D49" s="20" t="s">
        <v>22</v>
      </c>
      <c r="E49" s="21">
        <f>ROUND(8125*1.05,2)</f>
      </c>
      <c r="F49" s="20" t="s">
        <v>51</v>
      </c>
      <c r="G49" s="20" t="s">
        <v>24</v>
      </c>
      <c r="H49" s="21">
        <f>ROUND(RAND()*4+6,1)</f>
      </c>
      <c r="I49" s="20" t="s">
        <v>25</v>
      </c>
      <c r="J49" s="23">
        <f>ROUND(94*1,0)&amp;"%"</f>
      </c>
    </row>
    <row x14ac:dyDescent="0.25" r="50" customHeight="1" ht="17.25">
      <c r="A50" s="24" t="s">
        <v>110</v>
      </c>
      <c r="B50" s="24"/>
      <c r="C50" s="24"/>
      <c r="D50" s="24"/>
      <c r="E50" s="25">
        <v>8</v>
      </c>
      <c r="F50" s="9"/>
      <c r="G50" s="9"/>
      <c r="H50" s="10"/>
      <c r="I50" s="9"/>
      <c r="J50" s="9"/>
    </row>
    <row x14ac:dyDescent="0.25" r="51" customHeight="1" ht="17.25">
      <c r="A51" s="7"/>
      <c r="B51" s="7"/>
      <c r="C51" s="7"/>
      <c r="D51" s="7"/>
      <c r="E51" s="8"/>
      <c r="F51" s="9"/>
      <c r="G51" s="9"/>
      <c r="H51" s="10"/>
      <c r="I51" s="9"/>
      <c r="J51" s="9"/>
    </row>
    <row x14ac:dyDescent="0.25" r="52" customHeight="1" ht="17.25">
      <c r="A52" s="11" t="s">
        <v>5226</v>
      </c>
      <c r="B52" s="11"/>
      <c r="C52" s="11"/>
      <c r="D52" s="11"/>
      <c r="E52" s="12"/>
      <c r="F52" s="11"/>
      <c r="G52" s="11"/>
      <c r="H52" s="13"/>
      <c r="I52" s="11"/>
      <c r="J52" s="11"/>
    </row>
    <row x14ac:dyDescent="0.25" r="53" customHeight="1" ht="17.25">
      <c r="A53" s="14" t="s">
        <v>3</v>
      </c>
      <c r="B53" s="14" t="s">
        <v>4</v>
      </c>
      <c r="C53" s="14" t="s">
        <v>5</v>
      </c>
      <c r="D53" s="14" t="s">
        <v>6</v>
      </c>
      <c r="E53" s="15" t="s">
        <v>7</v>
      </c>
      <c r="F53" s="14" t="s">
        <v>8</v>
      </c>
      <c r="G53" s="14" t="s">
        <v>9</v>
      </c>
      <c r="H53" s="16" t="s">
        <v>10</v>
      </c>
      <c r="I53" s="14" t="s">
        <v>11</v>
      </c>
      <c r="J53" s="14" t="s">
        <v>12</v>
      </c>
    </row>
    <row x14ac:dyDescent="0.25" r="54" customHeight="1" ht="17.25">
      <c r="A54" s="17" t="s">
        <v>5227</v>
      </c>
      <c r="B54" s="17" t="s">
        <v>113</v>
      </c>
      <c r="C54" s="17" t="s">
        <v>114</v>
      </c>
      <c r="D54" s="17" t="s">
        <v>16</v>
      </c>
      <c r="E54" s="18">
        <f>ROUND(11668*1.05,2)</f>
      </c>
      <c r="F54" s="17" t="s">
        <v>17</v>
      </c>
      <c r="G54" s="17" t="s">
        <v>18</v>
      </c>
      <c r="H54" s="18">
        <f>ROUND(RAND()*4+6,1)</f>
      </c>
      <c r="I54" s="17" t="s">
        <v>19</v>
      </c>
      <c r="J54" s="19">
        <f>ROUND(73*1,0)&amp;"%"</f>
      </c>
    </row>
    <row x14ac:dyDescent="0.25" r="55" customHeight="1" ht="17.25">
      <c r="A55" s="20" t="s">
        <v>5228</v>
      </c>
      <c r="B55" s="20" t="s">
        <v>116</v>
      </c>
      <c r="C55" s="20" t="s">
        <v>114</v>
      </c>
      <c r="D55" s="20" t="s">
        <v>22</v>
      </c>
      <c r="E55" s="21">
        <f>ROUND(14376*1.05,2)</f>
      </c>
      <c r="F55" s="20" t="s">
        <v>23</v>
      </c>
      <c r="G55" s="20" t="s">
        <v>24</v>
      </c>
      <c r="H55" s="21">
        <f>ROUND(RAND()*4+6,1)</f>
      </c>
      <c r="I55" s="20" t="s">
        <v>25</v>
      </c>
      <c r="J55" s="23">
        <f>ROUND(68*1,0)&amp;"%"</f>
      </c>
    </row>
    <row x14ac:dyDescent="0.25" r="56" customHeight="1" ht="17.25">
      <c r="A56" s="17" t="s">
        <v>5229</v>
      </c>
      <c r="B56" s="17" t="s">
        <v>118</v>
      </c>
      <c r="C56" s="17" t="s">
        <v>114</v>
      </c>
      <c r="D56" s="17" t="s">
        <v>28</v>
      </c>
      <c r="E56" s="18">
        <f>ROUND(6724*1.05,2)</f>
      </c>
      <c r="F56" s="17" t="s">
        <v>29</v>
      </c>
      <c r="G56" s="17" t="s">
        <v>30</v>
      </c>
      <c r="H56" s="18">
        <f>ROUND(RAND()*4+6,1)</f>
      </c>
      <c r="I56" s="17" t="s">
        <v>31</v>
      </c>
      <c r="J56" s="19">
        <f>ROUND(75*1,0)&amp;"%"</f>
      </c>
    </row>
    <row x14ac:dyDescent="0.25" r="57" customHeight="1" ht="17.25">
      <c r="A57" s="20" t="s">
        <v>5230</v>
      </c>
      <c r="B57" s="20" t="s">
        <v>120</v>
      </c>
      <c r="C57" s="20" t="s">
        <v>114</v>
      </c>
      <c r="D57" s="20" t="s">
        <v>34</v>
      </c>
      <c r="E57" s="21">
        <f>ROUND(17298*1.05,2)</f>
      </c>
      <c r="F57" s="20" t="s">
        <v>35</v>
      </c>
      <c r="G57" s="20" t="s">
        <v>18</v>
      </c>
      <c r="H57" s="21">
        <f>ROUND(RAND()*4+6,1)</f>
      </c>
      <c r="I57" s="20" t="s">
        <v>36</v>
      </c>
      <c r="J57" s="23">
        <f>ROUND(75*1,0)&amp;"%"</f>
      </c>
    </row>
    <row x14ac:dyDescent="0.25" r="58" customHeight="1" ht="17.25">
      <c r="A58" s="17" t="s">
        <v>5231</v>
      </c>
      <c r="B58" s="17" t="s">
        <v>122</v>
      </c>
      <c r="C58" s="17" t="s">
        <v>114</v>
      </c>
      <c r="D58" s="17" t="s">
        <v>39</v>
      </c>
      <c r="E58" s="18">
        <f>ROUND(6879*1.05,2)</f>
      </c>
      <c r="F58" s="17" t="s">
        <v>40</v>
      </c>
      <c r="G58" s="17" t="s">
        <v>24</v>
      </c>
      <c r="H58" s="18">
        <f>ROUND(RAND()*4+6,1)</f>
      </c>
      <c r="I58" s="17" t="s">
        <v>41</v>
      </c>
      <c r="J58" s="19">
        <f>ROUND(96*1,0)&amp;"%"</f>
      </c>
    </row>
    <row x14ac:dyDescent="0.25" r="59" customHeight="1" ht="17.25">
      <c r="A59" s="20" t="s">
        <v>5232</v>
      </c>
      <c r="B59" s="20" t="s">
        <v>124</v>
      </c>
      <c r="C59" s="20" t="s">
        <v>114</v>
      </c>
      <c r="D59" s="20" t="s">
        <v>67</v>
      </c>
      <c r="E59" s="21">
        <f>ROUND(14023*1.05,2)</f>
      </c>
      <c r="F59" s="20" t="s">
        <v>44</v>
      </c>
      <c r="G59" s="20" t="s">
        <v>30</v>
      </c>
      <c r="H59" s="21">
        <f>ROUND(RAND()*4+6,1)</f>
      </c>
      <c r="I59" s="20" t="s">
        <v>45</v>
      </c>
      <c r="J59" s="23">
        <f>ROUND(73*1,0)&amp;"%"</f>
      </c>
    </row>
    <row x14ac:dyDescent="0.25" r="60" customHeight="1" ht="17.25">
      <c r="A60" s="17" t="s">
        <v>5233</v>
      </c>
      <c r="B60" s="17" t="s">
        <v>126</v>
      </c>
      <c r="C60" s="17" t="s">
        <v>114</v>
      </c>
      <c r="D60" s="17" t="s">
        <v>16</v>
      </c>
      <c r="E60" s="18">
        <f>ROUND(15358*1.05,2)</f>
      </c>
      <c r="F60" s="17" t="s">
        <v>48</v>
      </c>
      <c r="G60" s="17" t="s">
        <v>18</v>
      </c>
      <c r="H60" s="18">
        <f>ROUND(RAND()*4+6,1)</f>
      </c>
      <c r="I60" s="17" t="s">
        <v>19</v>
      </c>
      <c r="J60" s="19">
        <f>ROUND(99*1,0)&amp;"%"</f>
      </c>
    </row>
    <row x14ac:dyDescent="0.25" r="61" customHeight="1" ht="17.25">
      <c r="A61" s="20" t="s">
        <v>5234</v>
      </c>
      <c r="B61" s="20" t="s">
        <v>128</v>
      </c>
      <c r="C61" s="20" t="s">
        <v>114</v>
      </c>
      <c r="D61" s="20" t="s">
        <v>22</v>
      </c>
      <c r="E61" s="21">
        <f>ROUND(14608*1.05,2)</f>
      </c>
      <c r="F61" s="20" t="s">
        <v>51</v>
      </c>
      <c r="G61" s="20" t="s">
        <v>24</v>
      </c>
      <c r="H61" s="21">
        <f>ROUND(RAND()*4+6,1)</f>
      </c>
      <c r="I61" s="20" t="s">
        <v>25</v>
      </c>
      <c r="J61" s="23">
        <f>ROUND(77*1,0)&amp;"%"</f>
      </c>
    </row>
    <row x14ac:dyDescent="0.25" r="62" customHeight="1" ht="17.25">
      <c r="A62" s="24" t="s">
        <v>129</v>
      </c>
      <c r="B62" s="24"/>
      <c r="C62" s="24"/>
      <c r="D62" s="24"/>
      <c r="E62" s="25">
        <v>8</v>
      </c>
      <c r="F62" s="9"/>
      <c r="G62" s="9"/>
      <c r="H62" s="10"/>
      <c r="I62" s="9"/>
      <c r="J62" s="9"/>
    </row>
    <row x14ac:dyDescent="0.25" r="63" customHeight="1" ht="17.25">
      <c r="A63" s="7"/>
      <c r="B63" s="7"/>
      <c r="C63" s="7"/>
      <c r="D63" s="7"/>
      <c r="E63" s="8"/>
      <c r="F63" s="9"/>
      <c r="G63" s="9"/>
      <c r="H63" s="10"/>
      <c r="I63" s="9"/>
      <c r="J63" s="9"/>
    </row>
    <row x14ac:dyDescent="0.25" r="64" customHeight="1" ht="17.25">
      <c r="A64" s="11" t="s">
        <v>5235</v>
      </c>
      <c r="B64" s="11"/>
      <c r="C64" s="11"/>
      <c r="D64" s="11"/>
      <c r="E64" s="12"/>
      <c r="F64" s="11"/>
      <c r="G64" s="11"/>
      <c r="H64" s="13"/>
      <c r="I64" s="11"/>
      <c r="J64" s="11"/>
    </row>
    <row x14ac:dyDescent="0.25" r="65" customHeight="1" ht="17.25">
      <c r="A65" s="14" t="s">
        <v>3</v>
      </c>
      <c r="B65" s="14" t="s">
        <v>4</v>
      </c>
      <c r="C65" s="14" t="s">
        <v>5</v>
      </c>
      <c r="D65" s="14" t="s">
        <v>6</v>
      </c>
      <c r="E65" s="15" t="s">
        <v>7</v>
      </c>
      <c r="F65" s="14" t="s">
        <v>8</v>
      </c>
      <c r="G65" s="14" t="s">
        <v>9</v>
      </c>
      <c r="H65" s="16" t="s">
        <v>10</v>
      </c>
      <c r="I65" s="14" t="s">
        <v>11</v>
      </c>
      <c r="J65" s="14" t="s">
        <v>12</v>
      </c>
    </row>
    <row x14ac:dyDescent="0.25" r="66" customHeight="1" ht="17.25">
      <c r="A66" s="17" t="s">
        <v>5236</v>
      </c>
      <c r="B66" s="17" t="s">
        <v>132</v>
      </c>
      <c r="C66" s="17" t="s">
        <v>133</v>
      </c>
      <c r="D66" s="17" t="s">
        <v>16</v>
      </c>
      <c r="E66" s="18">
        <f>ROUND(7757*1.05,2)</f>
      </c>
      <c r="F66" s="17" t="s">
        <v>17</v>
      </c>
      <c r="G66" s="17" t="s">
        <v>18</v>
      </c>
      <c r="H66" s="18">
        <f>ROUND(RAND()*4+6,1)</f>
      </c>
      <c r="I66" s="17" t="s">
        <v>19</v>
      </c>
      <c r="J66" s="19">
        <f>ROUND(97*1,0)&amp;"%"</f>
      </c>
    </row>
    <row x14ac:dyDescent="0.25" r="67" customHeight="1" ht="17.25">
      <c r="A67" s="20" t="s">
        <v>5237</v>
      </c>
      <c r="B67" s="20" t="s">
        <v>135</v>
      </c>
      <c r="C67" s="20" t="s">
        <v>133</v>
      </c>
      <c r="D67" s="20" t="s">
        <v>22</v>
      </c>
      <c r="E67" s="21">
        <f>ROUND(13641*1.05,2)</f>
      </c>
      <c r="F67" s="20" t="s">
        <v>23</v>
      </c>
      <c r="G67" s="20" t="s">
        <v>24</v>
      </c>
      <c r="H67" s="21">
        <f>ROUND(RAND()*4+6,1)</f>
      </c>
      <c r="I67" s="20" t="s">
        <v>25</v>
      </c>
      <c r="J67" s="23">
        <f>ROUND(70*1,0)&amp;"%"</f>
      </c>
    </row>
    <row x14ac:dyDescent="0.25" r="68" customHeight="1" ht="17.25">
      <c r="A68" s="17" t="s">
        <v>5238</v>
      </c>
      <c r="B68" s="17" t="s">
        <v>137</v>
      </c>
      <c r="C68" s="17" t="s">
        <v>133</v>
      </c>
      <c r="D68" s="17" t="s">
        <v>28</v>
      </c>
      <c r="E68" s="18">
        <f>ROUND(12422*1.05,2)</f>
      </c>
      <c r="F68" s="17" t="s">
        <v>29</v>
      </c>
      <c r="G68" s="17" t="s">
        <v>30</v>
      </c>
      <c r="H68" s="18">
        <f>ROUND(RAND()*4+6,1)</f>
      </c>
      <c r="I68" s="17" t="s">
        <v>31</v>
      </c>
      <c r="J68" s="19">
        <f>ROUND(87*1,0)&amp;"%"</f>
      </c>
    </row>
    <row x14ac:dyDescent="0.25" r="69" customHeight="1" ht="17.25">
      <c r="A69" s="20" t="s">
        <v>5239</v>
      </c>
      <c r="B69" s="20" t="s">
        <v>139</v>
      </c>
      <c r="C69" s="20" t="s">
        <v>133</v>
      </c>
      <c r="D69" s="20" t="s">
        <v>34</v>
      </c>
      <c r="E69" s="21">
        <f>ROUND(10752*1.05,2)</f>
      </c>
      <c r="F69" s="20" t="s">
        <v>35</v>
      </c>
      <c r="G69" s="20" t="s">
        <v>18</v>
      </c>
      <c r="H69" s="21">
        <f>ROUND(RAND()*4+6,1)</f>
      </c>
      <c r="I69" s="20" t="s">
        <v>36</v>
      </c>
      <c r="J69" s="23">
        <f>ROUND(64*1,0)&amp;"%"</f>
      </c>
    </row>
    <row x14ac:dyDescent="0.25" r="70" customHeight="1" ht="17.25">
      <c r="A70" s="17" t="s">
        <v>5240</v>
      </c>
      <c r="B70" s="17" t="s">
        <v>141</v>
      </c>
      <c r="C70" s="17" t="s">
        <v>133</v>
      </c>
      <c r="D70" s="17" t="s">
        <v>39</v>
      </c>
      <c r="E70" s="18">
        <f>ROUND(5177*1.05,2)</f>
      </c>
      <c r="F70" s="17" t="s">
        <v>40</v>
      </c>
      <c r="G70" s="17" t="s">
        <v>24</v>
      </c>
      <c r="H70" s="18">
        <f>ROUND(RAND()*4+6,1)</f>
      </c>
      <c r="I70" s="17" t="s">
        <v>41</v>
      </c>
      <c r="J70" s="19">
        <f>ROUND(90*1,0)&amp;"%"</f>
      </c>
    </row>
    <row x14ac:dyDescent="0.25" r="71" customHeight="1" ht="17.25">
      <c r="A71" s="20" t="s">
        <v>5241</v>
      </c>
      <c r="B71" s="20" t="s">
        <v>143</v>
      </c>
      <c r="C71" s="20" t="s">
        <v>133</v>
      </c>
      <c r="D71" s="20" t="s">
        <v>67</v>
      </c>
      <c r="E71" s="21">
        <f>ROUND(17797*1.05,2)</f>
      </c>
      <c r="F71" s="20" t="s">
        <v>44</v>
      </c>
      <c r="G71" s="20" t="s">
        <v>30</v>
      </c>
      <c r="H71" s="21">
        <f>ROUND(RAND()*4+6,1)</f>
      </c>
      <c r="I71" s="20" t="s">
        <v>45</v>
      </c>
      <c r="J71" s="23">
        <f>ROUND(70*1,0)&amp;"%"</f>
      </c>
    </row>
    <row x14ac:dyDescent="0.25" r="72" customHeight="1" ht="17.25">
      <c r="A72" s="17" t="s">
        <v>5242</v>
      </c>
      <c r="B72" s="17" t="s">
        <v>145</v>
      </c>
      <c r="C72" s="17" t="s">
        <v>133</v>
      </c>
      <c r="D72" s="17" t="s">
        <v>16</v>
      </c>
      <c r="E72" s="18">
        <f>ROUND(14185*1.05,2)</f>
      </c>
      <c r="F72" s="17" t="s">
        <v>48</v>
      </c>
      <c r="G72" s="17" t="s">
        <v>18</v>
      </c>
      <c r="H72" s="26">
        <f>ROUND(RAND()*4+6,1)</f>
      </c>
      <c r="I72" s="17" t="s">
        <v>19</v>
      </c>
      <c r="J72" s="19">
        <f>ROUND(65*1,0)&amp;"%"</f>
      </c>
    </row>
    <row x14ac:dyDescent="0.25" r="73" customHeight="1" ht="17.25">
      <c r="A73" s="20" t="s">
        <v>5243</v>
      </c>
      <c r="B73" s="20" t="s">
        <v>147</v>
      </c>
      <c r="C73" s="20" t="s">
        <v>133</v>
      </c>
      <c r="D73" s="20" t="s">
        <v>22</v>
      </c>
      <c r="E73" s="21">
        <f>ROUND(12769*1.05,2)</f>
      </c>
      <c r="F73" s="20" t="s">
        <v>51</v>
      </c>
      <c r="G73" s="20" t="s">
        <v>24</v>
      </c>
      <c r="H73" s="21">
        <f>ROUND(RAND()*4+6,1)</f>
      </c>
      <c r="I73" s="20" t="s">
        <v>25</v>
      </c>
      <c r="J73" s="23">
        <f>ROUND(61*1,0)&amp;"%"</f>
      </c>
    </row>
    <row x14ac:dyDescent="0.25" r="74" customHeight="1" ht="17.25">
      <c r="A74" s="24" t="s">
        <v>148</v>
      </c>
      <c r="B74" s="24"/>
      <c r="C74" s="24"/>
      <c r="D74" s="24"/>
      <c r="E74" s="25">
        <v>8</v>
      </c>
      <c r="F74" s="9"/>
      <c r="G74" s="9"/>
      <c r="H74" s="10"/>
      <c r="I74" s="9"/>
      <c r="J74" s="9"/>
    </row>
    <row x14ac:dyDescent="0.25" r="75" customHeight="1" ht="17.25">
      <c r="A75" s="7"/>
      <c r="B75" s="7"/>
      <c r="C75" s="7"/>
      <c r="D75" s="7"/>
      <c r="E75" s="8"/>
      <c r="F75" s="9"/>
      <c r="G75" s="9"/>
      <c r="H75" s="10"/>
      <c r="I75" s="9"/>
      <c r="J75" s="9"/>
    </row>
    <row x14ac:dyDescent="0.25" r="76" customHeight="1" ht="17.25">
      <c r="A76" s="11" t="s">
        <v>5244</v>
      </c>
      <c r="B76" s="11"/>
      <c r="C76" s="11"/>
      <c r="D76" s="11"/>
      <c r="E76" s="12"/>
      <c r="F76" s="11"/>
      <c r="G76" s="11"/>
      <c r="H76" s="13"/>
      <c r="I76" s="11"/>
      <c r="J76" s="11"/>
    </row>
    <row x14ac:dyDescent="0.25" r="77" customHeight="1" ht="17.25">
      <c r="A77" s="14" t="s">
        <v>3</v>
      </c>
      <c r="B77" s="14" t="s">
        <v>4</v>
      </c>
      <c r="C77" s="14" t="s">
        <v>5</v>
      </c>
      <c r="D77" s="14" t="s">
        <v>6</v>
      </c>
      <c r="E77" s="15" t="s">
        <v>7</v>
      </c>
      <c r="F77" s="14" t="s">
        <v>8</v>
      </c>
      <c r="G77" s="14" t="s">
        <v>9</v>
      </c>
      <c r="H77" s="16" t="s">
        <v>10</v>
      </c>
      <c r="I77" s="14" t="s">
        <v>11</v>
      </c>
      <c r="J77" s="14" t="s">
        <v>12</v>
      </c>
    </row>
    <row x14ac:dyDescent="0.25" r="78" customHeight="1" ht="17.25">
      <c r="A78" s="17" t="s">
        <v>5245</v>
      </c>
      <c r="B78" s="17" t="s">
        <v>151</v>
      </c>
      <c r="C78" s="17" t="s">
        <v>152</v>
      </c>
      <c r="D78" s="17" t="s">
        <v>16</v>
      </c>
      <c r="E78" s="18">
        <f>ROUND(8916*1.05,2)</f>
      </c>
      <c r="F78" s="17" t="s">
        <v>17</v>
      </c>
      <c r="G78" s="17" t="s">
        <v>18</v>
      </c>
      <c r="H78" s="18">
        <f>ROUND(RAND()*4+6,1)</f>
      </c>
      <c r="I78" s="17" t="s">
        <v>19</v>
      </c>
      <c r="J78" s="19">
        <f>ROUND(91*1,0)&amp;"%"</f>
      </c>
    </row>
    <row x14ac:dyDescent="0.25" r="79" customHeight="1" ht="17.25">
      <c r="A79" s="20" t="s">
        <v>5246</v>
      </c>
      <c r="B79" s="20" t="s">
        <v>154</v>
      </c>
      <c r="C79" s="20" t="s">
        <v>152</v>
      </c>
      <c r="D79" s="20" t="s">
        <v>22</v>
      </c>
      <c r="E79" s="21">
        <f>ROUND(12694*1.05,2)</f>
      </c>
      <c r="F79" s="20" t="s">
        <v>23</v>
      </c>
      <c r="G79" s="20" t="s">
        <v>24</v>
      </c>
      <c r="H79" s="22">
        <f>ROUND(RAND()*4+6,1)</f>
      </c>
      <c r="I79" s="20" t="s">
        <v>25</v>
      </c>
      <c r="J79" s="23">
        <f>ROUND(65*1,0)&amp;"%"</f>
      </c>
    </row>
    <row x14ac:dyDescent="0.25" r="80" customHeight="1" ht="17.25">
      <c r="A80" s="17" t="s">
        <v>5247</v>
      </c>
      <c r="B80" s="17" t="s">
        <v>156</v>
      </c>
      <c r="C80" s="17" t="s">
        <v>152</v>
      </c>
      <c r="D80" s="17" t="s">
        <v>28</v>
      </c>
      <c r="E80" s="18">
        <f>ROUND(8866*1.05,2)</f>
      </c>
      <c r="F80" s="17" t="s">
        <v>29</v>
      </c>
      <c r="G80" s="17" t="s">
        <v>30</v>
      </c>
      <c r="H80" s="18">
        <f>ROUND(RAND()*4+6,1)</f>
      </c>
      <c r="I80" s="17" t="s">
        <v>31</v>
      </c>
      <c r="J80" s="19">
        <f>ROUND(81*1,0)&amp;"%"</f>
      </c>
    </row>
    <row x14ac:dyDescent="0.25" r="81" customHeight="1" ht="17.25">
      <c r="A81" s="20" t="s">
        <v>5248</v>
      </c>
      <c r="B81" s="20" t="s">
        <v>158</v>
      </c>
      <c r="C81" s="20" t="s">
        <v>152</v>
      </c>
      <c r="D81" s="20" t="s">
        <v>34</v>
      </c>
      <c r="E81" s="21">
        <f>ROUND(8434*1.05,2)</f>
      </c>
      <c r="F81" s="20" t="s">
        <v>35</v>
      </c>
      <c r="G81" s="20" t="s">
        <v>18</v>
      </c>
      <c r="H81" s="21">
        <f>ROUND(RAND()*4+6,1)</f>
      </c>
      <c r="I81" s="20" t="s">
        <v>36</v>
      </c>
      <c r="J81" s="23">
        <f>ROUND(67*1,0)&amp;"%"</f>
      </c>
    </row>
    <row x14ac:dyDescent="0.25" r="82" customHeight="1" ht="17.25">
      <c r="A82" s="17" t="s">
        <v>5249</v>
      </c>
      <c r="B82" s="17" t="s">
        <v>160</v>
      </c>
      <c r="C82" s="17" t="s">
        <v>152</v>
      </c>
      <c r="D82" s="17" t="s">
        <v>39</v>
      </c>
      <c r="E82" s="18">
        <f>ROUND(13726*1.05,2)</f>
      </c>
      <c r="F82" s="17" t="s">
        <v>40</v>
      </c>
      <c r="G82" s="17" t="s">
        <v>24</v>
      </c>
      <c r="H82" s="26">
        <f>ROUND(RAND()*4+6,1)</f>
      </c>
      <c r="I82" s="17" t="s">
        <v>41</v>
      </c>
      <c r="J82" s="19">
        <f>ROUND(100*1,0)&amp;"%"</f>
      </c>
    </row>
    <row x14ac:dyDescent="0.25" r="83" customHeight="1" ht="17.25">
      <c r="A83" s="20" t="s">
        <v>5250</v>
      </c>
      <c r="B83" s="20" t="s">
        <v>162</v>
      </c>
      <c r="C83" s="20" t="s">
        <v>152</v>
      </c>
      <c r="D83" s="20" t="s">
        <v>67</v>
      </c>
      <c r="E83" s="21">
        <f>ROUND(4499*1.05,2)</f>
      </c>
      <c r="F83" s="20" t="s">
        <v>44</v>
      </c>
      <c r="G83" s="20" t="s">
        <v>30</v>
      </c>
      <c r="H83" s="21">
        <f>ROUND(RAND()*4+6,1)</f>
      </c>
      <c r="I83" s="20" t="s">
        <v>45</v>
      </c>
      <c r="J83" s="23">
        <f>ROUND(87*1,0)&amp;"%"</f>
      </c>
    </row>
    <row x14ac:dyDescent="0.25" r="84" customHeight="1" ht="17.25">
      <c r="A84" s="17" t="s">
        <v>5251</v>
      </c>
      <c r="B84" s="17" t="s">
        <v>164</v>
      </c>
      <c r="C84" s="17" t="s">
        <v>152</v>
      </c>
      <c r="D84" s="17" t="s">
        <v>16</v>
      </c>
      <c r="E84" s="18">
        <f>ROUND(15299*1.05,2)</f>
      </c>
      <c r="F84" s="17" t="s">
        <v>48</v>
      </c>
      <c r="G84" s="17" t="s">
        <v>18</v>
      </c>
      <c r="H84" s="18">
        <f>ROUND(RAND()*4+6,1)</f>
      </c>
      <c r="I84" s="17" t="s">
        <v>19</v>
      </c>
      <c r="J84" s="19">
        <f>ROUND(62*1,0)&amp;"%"</f>
      </c>
    </row>
    <row x14ac:dyDescent="0.25" r="85" customHeight="1" ht="17.25">
      <c r="A85" s="20" t="s">
        <v>5252</v>
      </c>
      <c r="B85" s="20" t="s">
        <v>166</v>
      </c>
      <c r="C85" s="20" t="s">
        <v>152</v>
      </c>
      <c r="D85" s="20" t="s">
        <v>22</v>
      </c>
      <c r="E85" s="21">
        <f>ROUND(4783*1.05,2)</f>
      </c>
      <c r="F85" s="20" t="s">
        <v>51</v>
      </c>
      <c r="G85" s="20" t="s">
        <v>24</v>
      </c>
      <c r="H85" s="21">
        <f>ROUND(RAND()*4+6,1)</f>
      </c>
      <c r="I85" s="20" t="s">
        <v>25</v>
      </c>
      <c r="J85" s="23">
        <f>ROUND(61*1,0)&amp;"%"</f>
      </c>
    </row>
    <row x14ac:dyDescent="0.25" r="86" customHeight="1" ht="17.25">
      <c r="A86" s="24" t="s">
        <v>167</v>
      </c>
      <c r="B86" s="24"/>
      <c r="C86" s="24"/>
      <c r="D86" s="24"/>
      <c r="E86" s="25">
        <v>8</v>
      </c>
      <c r="F86" s="9"/>
      <c r="G86" s="9"/>
      <c r="H86" s="10"/>
      <c r="I86" s="9"/>
      <c r="J86" s="9"/>
    </row>
    <row x14ac:dyDescent="0.25" r="87" customHeight="1" ht="17.25">
      <c r="A87" s="7"/>
      <c r="B87" s="7"/>
      <c r="C87" s="7"/>
      <c r="D87" s="7"/>
      <c r="E87" s="8"/>
      <c r="F87" s="9"/>
      <c r="G87" s="9"/>
      <c r="H87" s="10"/>
      <c r="I87" s="9"/>
      <c r="J87" s="9"/>
    </row>
    <row x14ac:dyDescent="0.25" r="88" customHeight="1" ht="17.25">
      <c r="A88" s="11" t="s">
        <v>5253</v>
      </c>
      <c r="B88" s="11"/>
      <c r="C88" s="11"/>
      <c r="D88" s="11"/>
      <c r="E88" s="12"/>
      <c r="F88" s="11"/>
      <c r="G88" s="11"/>
      <c r="H88" s="13"/>
      <c r="I88" s="11"/>
      <c r="J88" s="11"/>
    </row>
    <row x14ac:dyDescent="0.25" r="89" customHeight="1" ht="17.25">
      <c r="A89" s="14" t="s">
        <v>3</v>
      </c>
      <c r="B89" s="14" t="s">
        <v>4</v>
      </c>
      <c r="C89" s="14" t="s">
        <v>5</v>
      </c>
      <c r="D89" s="14" t="s">
        <v>6</v>
      </c>
      <c r="E89" s="15" t="s">
        <v>7</v>
      </c>
      <c r="F89" s="14" t="s">
        <v>8</v>
      </c>
      <c r="G89" s="14" t="s">
        <v>9</v>
      </c>
      <c r="H89" s="16" t="s">
        <v>10</v>
      </c>
      <c r="I89" s="14" t="s">
        <v>11</v>
      </c>
      <c r="J89" s="14" t="s">
        <v>12</v>
      </c>
    </row>
    <row x14ac:dyDescent="0.25" r="90" customHeight="1" ht="17.25">
      <c r="A90" s="17" t="s">
        <v>5254</v>
      </c>
      <c r="B90" s="17" t="s">
        <v>170</v>
      </c>
      <c r="C90" s="17" t="s">
        <v>15</v>
      </c>
      <c r="D90" s="17" t="s">
        <v>16</v>
      </c>
      <c r="E90" s="18">
        <f>ROUND(6711*1.05,2)</f>
      </c>
      <c r="F90" s="17" t="s">
        <v>17</v>
      </c>
      <c r="G90" s="17" t="s">
        <v>18</v>
      </c>
      <c r="H90" s="18">
        <f>ROUND(RAND()*4+6,1)</f>
      </c>
      <c r="I90" s="17" t="s">
        <v>19</v>
      </c>
      <c r="J90" s="19">
        <f>ROUND(84*1,0)&amp;"%"</f>
      </c>
    </row>
    <row x14ac:dyDescent="0.25" r="91" customHeight="1" ht="17.25">
      <c r="A91" s="20" t="s">
        <v>5255</v>
      </c>
      <c r="B91" s="20" t="s">
        <v>172</v>
      </c>
      <c r="C91" s="20" t="s">
        <v>15</v>
      </c>
      <c r="D91" s="20" t="s">
        <v>22</v>
      </c>
      <c r="E91" s="21">
        <f>ROUND(7957*1.05,2)</f>
      </c>
      <c r="F91" s="20" t="s">
        <v>23</v>
      </c>
      <c r="G91" s="20" t="s">
        <v>24</v>
      </c>
      <c r="H91" s="22">
        <f>ROUND(RAND()*4+6,1)</f>
      </c>
      <c r="I91" s="20" t="s">
        <v>25</v>
      </c>
      <c r="J91" s="23">
        <f>ROUND(95*1,0)&amp;"%"</f>
      </c>
    </row>
    <row x14ac:dyDescent="0.25" r="92" customHeight="1" ht="17.25">
      <c r="A92" s="17" t="s">
        <v>5256</v>
      </c>
      <c r="B92" s="17" t="s">
        <v>174</v>
      </c>
      <c r="C92" s="17" t="s">
        <v>15</v>
      </c>
      <c r="D92" s="17" t="s">
        <v>28</v>
      </c>
      <c r="E92" s="18">
        <f>ROUND(13393*1.05,2)</f>
      </c>
      <c r="F92" s="17" t="s">
        <v>29</v>
      </c>
      <c r="G92" s="17" t="s">
        <v>30</v>
      </c>
      <c r="H92" s="26">
        <f>ROUND(RAND()*4+6,1)</f>
      </c>
      <c r="I92" s="17" t="s">
        <v>31</v>
      </c>
      <c r="J92" s="19">
        <f>ROUND(78*1,0)&amp;"%"</f>
      </c>
    </row>
    <row x14ac:dyDescent="0.25" r="93" customHeight="1" ht="17.25">
      <c r="A93" s="20" t="s">
        <v>5257</v>
      </c>
      <c r="B93" s="20" t="s">
        <v>176</v>
      </c>
      <c r="C93" s="20" t="s">
        <v>15</v>
      </c>
      <c r="D93" s="20" t="s">
        <v>34</v>
      </c>
      <c r="E93" s="21">
        <f>ROUND(16322*1.05,2)</f>
      </c>
      <c r="F93" s="20" t="s">
        <v>35</v>
      </c>
      <c r="G93" s="20" t="s">
        <v>18</v>
      </c>
      <c r="H93" s="21">
        <f>ROUND(RAND()*4+6,1)</f>
      </c>
      <c r="I93" s="20" t="s">
        <v>36</v>
      </c>
      <c r="J93" s="23">
        <f>ROUND(100*1,0)&amp;"%"</f>
      </c>
    </row>
    <row x14ac:dyDescent="0.25" r="94" customHeight="1" ht="17.25">
      <c r="A94" s="17" t="s">
        <v>5258</v>
      </c>
      <c r="B94" s="17" t="s">
        <v>178</v>
      </c>
      <c r="C94" s="17" t="s">
        <v>15</v>
      </c>
      <c r="D94" s="17" t="s">
        <v>39</v>
      </c>
      <c r="E94" s="18">
        <f>ROUND(12035*1.05,2)</f>
      </c>
      <c r="F94" s="17" t="s">
        <v>40</v>
      </c>
      <c r="G94" s="17" t="s">
        <v>24</v>
      </c>
      <c r="H94" s="18">
        <f>ROUND(RAND()*4+6,1)</f>
      </c>
      <c r="I94" s="17" t="s">
        <v>41</v>
      </c>
      <c r="J94" s="19">
        <f>ROUND(82*1,0)&amp;"%"</f>
      </c>
    </row>
    <row x14ac:dyDescent="0.25" r="95" customHeight="1" ht="17.25">
      <c r="A95" s="20" t="s">
        <v>5259</v>
      </c>
      <c r="B95" s="20" t="s">
        <v>180</v>
      </c>
      <c r="C95" s="20" t="s">
        <v>15</v>
      </c>
      <c r="D95" s="20" t="s">
        <v>67</v>
      </c>
      <c r="E95" s="21">
        <f>ROUND(14119*1.05,2)</f>
      </c>
      <c r="F95" s="20" t="s">
        <v>44</v>
      </c>
      <c r="G95" s="20" t="s">
        <v>30</v>
      </c>
      <c r="H95" s="21">
        <f>ROUND(RAND()*4+6,1)</f>
      </c>
      <c r="I95" s="20" t="s">
        <v>45</v>
      </c>
      <c r="J95" s="23">
        <f>ROUND(63*1,0)&amp;"%"</f>
      </c>
    </row>
    <row x14ac:dyDescent="0.25" r="96" customHeight="1" ht="17.25">
      <c r="A96" s="17" t="s">
        <v>5260</v>
      </c>
      <c r="B96" s="17" t="s">
        <v>182</v>
      </c>
      <c r="C96" s="17" t="s">
        <v>15</v>
      </c>
      <c r="D96" s="17" t="s">
        <v>16</v>
      </c>
      <c r="E96" s="18">
        <f>ROUND(7624*1.05,2)</f>
      </c>
      <c r="F96" s="17" t="s">
        <v>48</v>
      </c>
      <c r="G96" s="17" t="s">
        <v>18</v>
      </c>
      <c r="H96" s="18">
        <f>ROUND(RAND()*4+6,1)</f>
      </c>
      <c r="I96" s="17" t="s">
        <v>19</v>
      </c>
      <c r="J96" s="19">
        <f>ROUND(89*1,0)&amp;"%"</f>
      </c>
    </row>
    <row x14ac:dyDescent="0.25" r="97" customHeight="1" ht="17.25">
      <c r="A97" s="20" t="s">
        <v>5261</v>
      </c>
      <c r="B97" s="20" t="s">
        <v>184</v>
      </c>
      <c r="C97" s="20" t="s">
        <v>15</v>
      </c>
      <c r="D97" s="20" t="s">
        <v>22</v>
      </c>
      <c r="E97" s="21">
        <f>ROUND(5884*1.05,2)</f>
      </c>
      <c r="F97" s="20" t="s">
        <v>51</v>
      </c>
      <c r="G97" s="20" t="s">
        <v>24</v>
      </c>
      <c r="H97" s="21">
        <f>ROUND(RAND()*4+6,1)</f>
      </c>
      <c r="I97" s="20" t="s">
        <v>25</v>
      </c>
      <c r="J97" s="23">
        <f>ROUND(81*1,0)&amp;"%"</f>
      </c>
    </row>
    <row x14ac:dyDescent="0.25" r="98" customHeight="1" ht="17.25">
      <c r="A98" s="24" t="s">
        <v>185</v>
      </c>
      <c r="B98" s="24"/>
      <c r="C98" s="24"/>
      <c r="D98" s="24"/>
      <c r="E98" s="25">
        <v>8</v>
      </c>
      <c r="F98" s="9"/>
      <c r="G98" s="9"/>
      <c r="H98" s="10"/>
      <c r="I98" s="9"/>
      <c r="J98" s="9"/>
    </row>
    <row x14ac:dyDescent="0.25" r="99" customHeight="1" ht="17.25">
      <c r="A99" s="7"/>
      <c r="B99" s="7"/>
      <c r="C99" s="7"/>
      <c r="D99" s="7"/>
      <c r="E99" s="8"/>
      <c r="F99" s="9"/>
      <c r="G99" s="9"/>
      <c r="H99" s="10"/>
      <c r="I99" s="9"/>
      <c r="J99" s="9"/>
    </row>
    <row x14ac:dyDescent="0.25" r="100" customHeight="1" ht="17.25">
      <c r="A100" s="11" t="s">
        <v>5262</v>
      </c>
      <c r="B100" s="11"/>
      <c r="C100" s="11"/>
      <c r="D100" s="11"/>
      <c r="E100" s="12"/>
      <c r="F100" s="11"/>
      <c r="G100" s="11"/>
      <c r="H100" s="13"/>
      <c r="I100" s="11"/>
      <c r="J100" s="11"/>
    </row>
    <row x14ac:dyDescent="0.25" r="101" customHeight="1" ht="17.25">
      <c r="A101" s="14" t="s">
        <v>3</v>
      </c>
      <c r="B101" s="14" t="s">
        <v>4</v>
      </c>
      <c r="C101" s="14" t="s">
        <v>5</v>
      </c>
      <c r="D101" s="14" t="s">
        <v>6</v>
      </c>
      <c r="E101" s="15" t="s">
        <v>7</v>
      </c>
      <c r="F101" s="14" t="s">
        <v>8</v>
      </c>
      <c r="G101" s="14" t="s">
        <v>9</v>
      </c>
      <c r="H101" s="16" t="s">
        <v>10</v>
      </c>
      <c r="I101" s="14" t="s">
        <v>11</v>
      </c>
      <c r="J101" s="14" t="s">
        <v>12</v>
      </c>
    </row>
    <row x14ac:dyDescent="0.25" r="102" customHeight="1" ht="17.25">
      <c r="A102" s="17" t="s">
        <v>5263</v>
      </c>
      <c r="B102" s="17" t="s">
        <v>188</v>
      </c>
      <c r="C102" s="17" t="s">
        <v>56</v>
      </c>
      <c r="D102" s="17" t="s">
        <v>16</v>
      </c>
      <c r="E102" s="18">
        <f>ROUND(11696*1.05,2)</f>
      </c>
      <c r="F102" s="17" t="s">
        <v>17</v>
      </c>
      <c r="G102" s="17" t="s">
        <v>18</v>
      </c>
      <c r="H102" s="18">
        <f>ROUND(RAND()*4+6,1)</f>
      </c>
      <c r="I102" s="17" t="s">
        <v>19</v>
      </c>
      <c r="J102" s="19">
        <f>ROUND(74*1,0)&amp;"%"</f>
      </c>
    </row>
    <row x14ac:dyDescent="0.25" r="103" customHeight="1" ht="17.25">
      <c r="A103" s="20" t="s">
        <v>5264</v>
      </c>
      <c r="B103" s="20" t="s">
        <v>190</v>
      </c>
      <c r="C103" s="20" t="s">
        <v>56</v>
      </c>
      <c r="D103" s="20" t="s">
        <v>22</v>
      </c>
      <c r="E103" s="21">
        <f>ROUND(11163*1.05,2)</f>
      </c>
      <c r="F103" s="20" t="s">
        <v>23</v>
      </c>
      <c r="G103" s="20" t="s">
        <v>24</v>
      </c>
      <c r="H103" s="21">
        <f>ROUND(RAND()*4+6,1)</f>
      </c>
      <c r="I103" s="20" t="s">
        <v>25</v>
      </c>
      <c r="J103" s="23">
        <f>ROUND(65*1,0)&amp;"%"</f>
      </c>
    </row>
    <row x14ac:dyDescent="0.25" r="104" customHeight="1" ht="17.25">
      <c r="A104" s="17" t="s">
        <v>5265</v>
      </c>
      <c r="B104" s="17" t="s">
        <v>192</v>
      </c>
      <c r="C104" s="17" t="s">
        <v>56</v>
      </c>
      <c r="D104" s="17" t="s">
        <v>28</v>
      </c>
      <c r="E104" s="18">
        <f>ROUND(6609*1.05,2)</f>
      </c>
      <c r="F104" s="17" t="s">
        <v>29</v>
      </c>
      <c r="G104" s="17" t="s">
        <v>30</v>
      </c>
      <c r="H104" s="18">
        <f>ROUND(RAND()*4+6,1)</f>
      </c>
      <c r="I104" s="17" t="s">
        <v>31</v>
      </c>
      <c r="J104" s="19">
        <f>ROUND(100*1,0)&amp;"%"</f>
      </c>
    </row>
    <row x14ac:dyDescent="0.25" r="105" customHeight="1" ht="17.25">
      <c r="A105" s="20" t="s">
        <v>5266</v>
      </c>
      <c r="B105" s="20" t="s">
        <v>194</v>
      </c>
      <c r="C105" s="20" t="s">
        <v>56</v>
      </c>
      <c r="D105" s="20" t="s">
        <v>34</v>
      </c>
      <c r="E105" s="21">
        <f>ROUND(6821*1.05,2)</f>
      </c>
      <c r="F105" s="20" t="s">
        <v>35</v>
      </c>
      <c r="G105" s="20" t="s">
        <v>18</v>
      </c>
      <c r="H105" s="21">
        <f>ROUND(RAND()*4+6,1)</f>
      </c>
      <c r="I105" s="20" t="s">
        <v>36</v>
      </c>
      <c r="J105" s="23">
        <f>ROUND(75*1,0)&amp;"%"</f>
      </c>
    </row>
    <row x14ac:dyDescent="0.25" r="106" customHeight="1" ht="17.25">
      <c r="A106" s="17" t="s">
        <v>5267</v>
      </c>
      <c r="B106" s="17" t="s">
        <v>196</v>
      </c>
      <c r="C106" s="17" t="s">
        <v>56</v>
      </c>
      <c r="D106" s="17" t="s">
        <v>39</v>
      </c>
      <c r="E106" s="18">
        <f>ROUND(6912*1.05,2)</f>
      </c>
      <c r="F106" s="17" t="s">
        <v>40</v>
      </c>
      <c r="G106" s="17" t="s">
        <v>24</v>
      </c>
      <c r="H106" s="18">
        <f>ROUND(RAND()*4+6,1)</f>
      </c>
      <c r="I106" s="17" t="s">
        <v>41</v>
      </c>
      <c r="J106" s="19">
        <f>ROUND(82*1,0)&amp;"%"</f>
      </c>
    </row>
    <row x14ac:dyDescent="0.25" r="107" customHeight="1" ht="17.25">
      <c r="A107" s="20" t="s">
        <v>5268</v>
      </c>
      <c r="B107" s="20" t="s">
        <v>198</v>
      </c>
      <c r="C107" s="20" t="s">
        <v>56</v>
      </c>
      <c r="D107" s="20" t="s">
        <v>67</v>
      </c>
      <c r="E107" s="21">
        <f>ROUND(10115*1.05,2)</f>
      </c>
      <c r="F107" s="20" t="s">
        <v>44</v>
      </c>
      <c r="G107" s="20" t="s">
        <v>30</v>
      </c>
      <c r="H107" s="21">
        <f>ROUND(RAND()*4+6,1)</f>
      </c>
      <c r="I107" s="20" t="s">
        <v>45</v>
      </c>
      <c r="J107" s="23">
        <f>ROUND(77*1,0)&amp;"%"</f>
      </c>
    </row>
    <row x14ac:dyDescent="0.25" r="108" customHeight="1" ht="17.25">
      <c r="A108" s="17" t="s">
        <v>5269</v>
      </c>
      <c r="B108" s="17" t="s">
        <v>200</v>
      </c>
      <c r="C108" s="17" t="s">
        <v>56</v>
      </c>
      <c r="D108" s="17" t="s">
        <v>16</v>
      </c>
      <c r="E108" s="18">
        <f>ROUND(16690*1.05,2)</f>
      </c>
      <c r="F108" s="17" t="s">
        <v>48</v>
      </c>
      <c r="G108" s="17" t="s">
        <v>18</v>
      </c>
      <c r="H108" s="18">
        <f>ROUND(RAND()*4+6,1)</f>
      </c>
      <c r="I108" s="17" t="s">
        <v>19</v>
      </c>
      <c r="J108" s="19">
        <f>ROUND(76*1,0)&amp;"%"</f>
      </c>
    </row>
    <row x14ac:dyDescent="0.25" r="109" customHeight="1" ht="17.25">
      <c r="A109" s="20" t="s">
        <v>5270</v>
      </c>
      <c r="B109" s="20" t="s">
        <v>202</v>
      </c>
      <c r="C109" s="20" t="s">
        <v>56</v>
      </c>
      <c r="D109" s="20" t="s">
        <v>22</v>
      </c>
      <c r="E109" s="21">
        <f>ROUND(5647*1.05,2)</f>
      </c>
      <c r="F109" s="20" t="s">
        <v>51</v>
      </c>
      <c r="G109" s="20" t="s">
        <v>24</v>
      </c>
      <c r="H109" s="21">
        <f>ROUND(RAND()*4+6,1)</f>
      </c>
      <c r="I109" s="20" t="s">
        <v>25</v>
      </c>
      <c r="J109" s="23">
        <f>ROUND(77*1,0)&amp;"%"</f>
      </c>
    </row>
    <row x14ac:dyDescent="0.25" r="110" customHeight="1" ht="17.25">
      <c r="A110" s="24" t="s">
        <v>203</v>
      </c>
      <c r="B110" s="24"/>
      <c r="C110" s="24"/>
      <c r="D110" s="24"/>
      <c r="E110" s="25">
        <v>8</v>
      </c>
      <c r="F110" s="9"/>
      <c r="G110" s="9"/>
      <c r="H110" s="10"/>
      <c r="I110" s="9"/>
      <c r="J110" s="9"/>
    </row>
    <row x14ac:dyDescent="0.25" r="111" customHeight="1" ht="17.25">
      <c r="A111" s="7"/>
      <c r="B111" s="7"/>
      <c r="C111" s="7"/>
      <c r="D111" s="7"/>
      <c r="E111" s="8"/>
      <c r="F111" s="9"/>
      <c r="G111" s="9"/>
      <c r="H111" s="10"/>
      <c r="I111" s="9"/>
      <c r="J111" s="9"/>
    </row>
    <row x14ac:dyDescent="0.25" r="112" customHeight="1" ht="17.25">
      <c r="A112" s="11" t="s">
        <v>5271</v>
      </c>
      <c r="B112" s="11"/>
      <c r="C112" s="11"/>
      <c r="D112" s="11"/>
      <c r="E112" s="12"/>
      <c r="F112" s="11"/>
      <c r="G112" s="11"/>
      <c r="H112" s="13"/>
      <c r="I112" s="11"/>
      <c r="J112" s="11"/>
    </row>
    <row x14ac:dyDescent="0.25" r="113" customHeight="1" ht="17.25">
      <c r="A113" s="14" t="s">
        <v>3</v>
      </c>
      <c r="B113" s="14" t="s">
        <v>4</v>
      </c>
      <c r="C113" s="14" t="s">
        <v>5</v>
      </c>
      <c r="D113" s="14" t="s">
        <v>6</v>
      </c>
      <c r="E113" s="15" t="s">
        <v>7</v>
      </c>
      <c r="F113" s="14" t="s">
        <v>8</v>
      </c>
      <c r="G113" s="14" t="s">
        <v>9</v>
      </c>
      <c r="H113" s="16" t="s">
        <v>10</v>
      </c>
      <c r="I113" s="14" t="s">
        <v>11</v>
      </c>
      <c r="J113" s="14" t="s">
        <v>12</v>
      </c>
    </row>
    <row x14ac:dyDescent="0.25" r="114" customHeight="1" ht="17.25">
      <c r="A114" s="17" t="s">
        <v>5272</v>
      </c>
      <c r="B114" s="17" t="s">
        <v>206</v>
      </c>
      <c r="C114" s="17" t="s">
        <v>76</v>
      </c>
      <c r="D114" s="17" t="s">
        <v>16</v>
      </c>
      <c r="E114" s="18">
        <f>ROUND(8621*1.05,2)</f>
      </c>
      <c r="F114" s="17" t="s">
        <v>17</v>
      </c>
      <c r="G114" s="17" t="s">
        <v>18</v>
      </c>
      <c r="H114" s="18">
        <f>ROUND(RAND()*4+6,1)</f>
      </c>
      <c r="I114" s="17" t="s">
        <v>19</v>
      </c>
      <c r="J114" s="19">
        <f>ROUND(76*1,0)&amp;"%"</f>
      </c>
    </row>
    <row x14ac:dyDescent="0.25" r="115" customHeight="1" ht="17.25">
      <c r="A115" s="20" t="s">
        <v>5273</v>
      </c>
      <c r="B115" s="20" t="s">
        <v>208</v>
      </c>
      <c r="C115" s="20" t="s">
        <v>76</v>
      </c>
      <c r="D115" s="20" t="s">
        <v>22</v>
      </c>
      <c r="E115" s="21">
        <f>ROUND(12765*1.05,2)</f>
      </c>
      <c r="F115" s="20" t="s">
        <v>23</v>
      </c>
      <c r="G115" s="20" t="s">
        <v>24</v>
      </c>
      <c r="H115" s="21">
        <f>ROUND(RAND()*4+6,1)</f>
      </c>
      <c r="I115" s="20" t="s">
        <v>25</v>
      </c>
      <c r="J115" s="23">
        <f>ROUND(77*1,0)&amp;"%"</f>
      </c>
    </row>
    <row x14ac:dyDescent="0.25" r="116" customHeight="1" ht="17.25">
      <c r="A116" s="17" t="s">
        <v>5274</v>
      </c>
      <c r="B116" s="17" t="s">
        <v>210</v>
      </c>
      <c r="C116" s="17" t="s">
        <v>76</v>
      </c>
      <c r="D116" s="17" t="s">
        <v>28</v>
      </c>
      <c r="E116" s="18">
        <f>ROUND(14126*1.05,2)</f>
      </c>
      <c r="F116" s="17" t="s">
        <v>29</v>
      </c>
      <c r="G116" s="17" t="s">
        <v>30</v>
      </c>
      <c r="H116" s="18">
        <f>ROUND(RAND()*4+6,1)</f>
      </c>
      <c r="I116" s="17" t="s">
        <v>31</v>
      </c>
      <c r="J116" s="19">
        <f>ROUND(89*1,0)&amp;"%"</f>
      </c>
    </row>
    <row x14ac:dyDescent="0.25" r="117" customHeight="1" ht="17.25">
      <c r="A117" s="20" t="s">
        <v>5275</v>
      </c>
      <c r="B117" s="20" t="s">
        <v>212</v>
      </c>
      <c r="C117" s="20" t="s">
        <v>76</v>
      </c>
      <c r="D117" s="20" t="s">
        <v>34</v>
      </c>
      <c r="E117" s="21">
        <f>ROUND(8233*1.05,2)</f>
      </c>
      <c r="F117" s="20" t="s">
        <v>35</v>
      </c>
      <c r="G117" s="20" t="s">
        <v>18</v>
      </c>
      <c r="H117" s="21">
        <f>ROUND(RAND()*4+6,1)</f>
      </c>
      <c r="I117" s="20" t="s">
        <v>36</v>
      </c>
      <c r="J117" s="23">
        <f>ROUND(92*1,0)&amp;"%"</f>
      </c>
    </row>
    <row x14ac:dyDescent="0.25" r="118" customHeight="1" ht="17.25">
      <c r="A118" s="17" t="s">
        <v>5276</v>
      </c>
      <c r="B118" s="17" t="s">
        <v>214</v>
      </c>
      <c r="C118" s="17" t="s">
        <v>76</v>
      </c>
      <c r="D118" s="17" t="s">
        <v>39</v>
      </c>
      <c r="E118" s="18">
        <f>ROUND(10679*1.05,2)</f>
      </c>
      <c r="F118" s="17" t="s">
        <v>40</v>
      </c>
      <c r="G118" s="17" t="s">
        <v>24</v>
      </c>
      <c r="H118" s="26">
        <f>ROUND(RAND()*4+6,1)</f>
      </c>
      <c r="I118" s="17" t="s">
        <v>41</v>
      </c>
      <c r="J118" s="19">
        <f>ROUND(85*1,0)&amp;"%"</f>
      </c>
    </row>
    <row x14ac:dyDescent="0.25" r="119" customHeight="1" ht="17.25">
      <c r="A119" s="20" t="s">
        <v>5277</v>
      </c>
      <c r="B119" s="20" t="s">
        <v>216</v>
      </c>
      <c r="C119" s="20" t="s">
        <v>76</v>
      </c>
      <c r="D119" s="20" t="s">
        <v>67</v>
      </c>
      <c r="E119" s="21">
        <f>ROUND(14284*1.05,2)</f>
      </c>
      <c r="F119" s="20" t="s">
        <v>44</v>
      </c>
      <c r="G119" s="20" t="s">
        <v>30</v>
      </c>
      <c r="H119" s="21">
        <f>ROUND(RAND()*4+6,1)</f>
      </c>
      <c r="I119" s="20" t="s">
        <v>45</v>
      </c>
      <c r="J119" s="23">
        <f>ROUND(77*1,0)&amp;"%"</f>
      </c>
    </row>
    <row x14ac:dyDescent="0.25" r="120" customHeight="1" ht="17.25">
      <c r="A120" s="17" t="s">
        <v>5278</v>
      </c>
      <c r="B120" s="17" t="s">
        <v>218</v>
      </c>
      <c r="C120" s="17" t="s">
        <v>76</v>
      </c>
      <c r="D120" s="17" t="s">
        <v>16</v>
      </c>
      <c r="E120" s="18">
        <f>ROUND(6435*1.05,2)</f>
      </c>
      <c r="F120" s="17" t="s">
        <v>48</v>
      </c>
      <c r="G120" s="17" t="s">
        <v>18</v>
      </c>
      <c r="H120" s="18">
        <f>ROUND(RAND()*4+6,1)</f>
      </c>
      <c r="I120" s="17" t="s">
        <v>19</v>
      </c>
      <c r="J120" s="19">
        <f>ROUND(73*1,0)&amp;"%"</f>
      </c>
    </row>
    <row x14ac:dyDescent="0.25" r="121" customHeight="1" ht="17.25">
      <c r="A121" s="20" t="s">
        <v>5279</v>
      </c>
      <c r="B121" s="20" t="s">
        <v>220</v>
      </c>
      <c r="C121" s="20" t="s">
        <v>76</v>
      </c>
      <c r="D121" s="20" t="s">
        <v>22</v>
      </c>
      <c r="E121" s="21">
        <f>ROUND(13345*1.05,2)</f>
      </c>
      <c r="F121" s="20" t="s">
        <v>51</v>
      </c>
      <c r="G121" s="20" t="s">
        <v>24</v>
      </c>
      <c r="H121" s="21">
        <f>ROUND(RAND()*4+6,1)</f>
      </c>
      <c r="I121" s="20" t="s">
        <v>25</v>
      </c>
      <c r="J121" s="23">
        <f>ROUND(74*1,0)&amp;"%"</f>
      </c>
    </row>
    <row x14ac:dyDescent="0.25" r="122" customHeight="1" ht="17.25">
      <c r="A122" s="24" t="s">
        <v>221</v>
      </c>
      <c r="B122" s="24"/>
      <c r="C122" s="24"/>
      <c r="D122" s="24"/>
      <c r="E122" s="25">
        <v>8</v>
      </c>
      <c r="F122" s="9"/>
      <c r="G122" s="9"/>
      <c r="H122" s="10"/>
      <c r="I122" s="9"/>
      <c r="J122" s="9"/>
    </row>
    <row x14ac:dyDescent="0.25" r="123" customHeight="1" ht="17.25">
      <c r="A123" s="7"/>
      <c r="B123" s="7"/>
      <c r="C123" s="7"/>
      <c r="D123" s="7"/>
      <c r="E123" s="8"/>
      <c r="F123" s="9"/>
      <c r="G123" s="9"/>
      <c r="H123" s="10"/>
      <c r="I123" s="9"/>
      <c r="J123" s="9"/>
    </row>
    <row x14ac:dyDescent="0.25" r="124" customHeight="1" ht="17.25">
      <c r="A124" s="11" t="s">
        <v>5280</v>
      </c>
      <c r="B124" s="11"/>
      <c r="C124" s="11"/>
      <c r="D124" s="11"/>
      <c r="E124" s="12"/>
      <c r="F124" s="11"/>
      <c r="G124" s="11"/>
      <c r="H124" s="13"/>
      <c r="I124" s="11"/>
      <c r="J124" s="11"/>
    </row>
    <row x14ac:dyDescent="0.25" r="125" customHeight="1" ht="17.25">
      <c r="A125" s="14" t="s">
        <v>3</v>
      </c>
      <c r="B125" s="14" t="s">
        <v>4</v>
      </c>
      <c r="C125" s="14" t="s">
        <v>5</v>
      </c>
      <c r="D125" s="14" t="s">
        <v>6</v>
      </c>
      <c r="E125" s="15" t="s">
        <v>7</v>
      </c>
      <c r="F125" s="14" t="s">
        <v>8</v>
      </c>
      <c r="G125" s="14" t="s">
        <v>9</v>
      </c>
      <c r="H125" s="16" t="s">
        <v>10</v>
      </c>
      <c r="I125" s="14" t="s">
        <v>11</v>
      </c>
      <c r="J125" s="14" t="s">
        <v>12</v>
      </c>
    </row>
    <row x14ac:dyDescent="0.25" r="126" customHeight="1" ht="17.25">
      <c r="A126" s="17" t="s">
        <v>5281</v>
      </c>
      <c r="B126" s="17" t="s">
        <v>224</v>
      </c>
      <c r="C126" s="17" t="s">
        <v>95</v>
      </c>
      <c r="D126" s="17" t="s">
        <v>16</v>
      </c>
      <c r="E126" s="18">
        <f>ROUND(5902*1.05,2)</f>
      </c>
      <c r="F126" s="17" t="s">
        <v>17</v>
      </c>
      <c r="G126" s="17" t="s">
        <v>18</v>
      </c>
      <c r="H126" s="18">
        <f>ROUND(RAND()*4+6,1)</f>
      </c>
      <c r="I126" s="17" t="s">
        <v>19</v>
      </c>
      <c r="J126" s="19">
        <f>ROUND(60*1,0)&amp;"%"</f>
      </c>
    </row>
    <row x14ac:dyDescent="0.25" r="127" customHeight="1" ht="17.25">
      <c r="A127" s="20" t="s">
        <v>5282</v>
      </c>
      <c r="B127" s="20" t="s">
        <v>226</v>
      </c>
      <c r="C127" s="20" t="s">
        <v>95</v>
      </c>
      <c r="D127" s="20" t="s">
        <v>22</v>
      </c>
      <c r="E127" s="21">
        <f>ROUND(17628*1.05,2)</f>
      </c>
      <c r="F127" s="20" t="s">
        <v>23</v>
      </c>
      <c r="G127" s="20" t="s">
        <v>24</v>
      </c>
      <c r="H127" s="21">
        <f>ROUND(RAND()*4+6,1)</f>
      </c>
      <c r="I127" s="20" t="s">
        <v>25</v>
      </c>
      <c r="J127" s="23">
        <f>ROUND(87*1,0)&amp;"%"</f>
      </c>
    </row>
    <row x14ac:dyDescent="0.25" r="128" customHeight="1" ht="17.25">
      <c r="A128" s="17" t="s">
        <v>5283</v>
      </c>
      <c r="B128" s="17" t="s">
        <v>228</v>
      </c>
      <c r="C128" s="17" t="s">
        <v>95</v>
      </c>
      <c r="D128" s="17" t="s">
        <v>28</v>
      </c>
      <c r="E128" s="18">
        <f>ROUND(11126*1.05,2)</f>
      </c>
      <c r="F128" s="17" t="s">
        <v>29</v>
      </c>
      <c r="G128" s="17" t="s">
        <v>30</v>
      </c>
      <c r="H128" s="18">
        <f>ROUND(RAND()*4+6,1)</f>
      </c>
      <c r="I128" s="17" t="s">
        <v>31</v>
      </c>
      <c r="J128" s="19">
        <f>ROUND(68*1,0)&amp;"%"</f>
      </c>
    </row>
    <row x14ac:dyDescent="0.25" r="129" customHeight="1" ht="17.25">
      <c r="A129" s="20" t="s">
        <v>5284</v>
      </c>
      <c r="B129" s="20" t="s">
        <v>230</v>
      </c>
      <c r="C129" s="20" t="s">
        <v>95</v>
      </c>
      <c r="D129" s="20" t="s">
        <v>34</v>
      </c>
      <c r="E129" s="21">
        <f>ROUND(12374*1.05,2)</f>
      </c>
      <c r="F129" s="20" t="s">
        <v>35</v>
      </c>
      <c r="G129" s="20" t="s">
        <v>18</v>
      </c>
      <c r="H129" s="21">
        <f>ROUND(RAND()*4+6,1)</f>
      </c>
      <c r="I129" s="20" t="s">
        <v>36</v>
      </c>
      <c r="J129" s="23">
        <f>ROUND(64*1,0)&amp;"%"</f>
      </c>
    </row>
    <row x14ac:dyDescent="0.25" r="130" customHeight="1" ht="17.25">
      <c r="A130" s="17" t="s">
        <v>5285</v>
      </c>
      <c r="B130" s="17" t="s">
        <v>232</v>
      </c>
      <c r="C130" s="17" t="s">
        <v>95</v>
      </c>
      <c r="D130" s="17" t="s">
        <v>39</v>
      </c>
      <c r="E130" s="18">
        <f>ROUND(12284*1.05,2)</f>
      </c>
      <c r="F130" s="17" t="s">
        <v>40</v>
      </c>
      <c r="G130" s="17" t="s">
        <v>24</v>
      </c>
      <c r="H130" s="18">
        <f>ROUND(RAND()*4+6,1)</f>
      </c>
      <c r="I130" s="17" t="s">
        <v>41</v>
      </c>
      <c r="J130" s="19">
        <f>ROUND(80*1,0)&amp;"%"</f>
      </c>
    </row>
    <row x14ac:dyDescent="0.25" r="131" customHeight="1" ht="17.25">
      <c r="A131" s="20" t="s">
        <v>5286</v>
      </c>
      <c r="B131" s="20" t="s">
        <v>234</v>
      </c>
      <c r="C131" s="20" t="s">
        <v>95</v>
      </c>
      <c r="D131" s="20" t="s">
        <v>67</v>
      </c>
      <c r="E131" s="21">
        <f>ROUND(13399*1.05,2)</f>
      </c>
      <c r="F131" s="20" t="s">
        <v>44</v>
      </c>
      <c r="G131" s="20" t="s">
        <v>30</v>
      </c>
      <c r="H131" s="21">
        <f>ROUND(RAND()*4+6,1)</f>
      </c>
      <c r="I131" s="20" t="s">
        <v>45</v>
      </c>
      <c r="J131" s="23">
        <f>ROUND(99*1,0)&amp;"%"</f>
      </c>
    </row>
    <row x14ac:dyDescent="0.25" r="132" customHeight="1" ht="17.25">
      <c r="A132" s="17" t="s">
        <v>5287</v>
      </c>
      <c r="B132" s="17" t="s">
        <v>236</v>
      </c>
      <c r="C132" s="17" t="s">
        <v>95</v>
      </c>
      <c r="D132" s="17" t="s">
        <v>16</v>
      </c>
      <c r="E132" s="18">
        <f>ROUND(15937*1.05,2)</f>
      </c>
      <c r="F132" s="17" t="s">
        <v>48</v>
      </c>
      <c r="G132" s="17" t="s">
        <v>18</v>
      </c>
      <c r="H132" s="18">
        <f>ROUND(RAND()*4+6,1)</f>
      </c>
      <c r="I132" s="17" t="s">
        <v>19</v>
      </c>
      <c r="J132" s="19">
        <f>ROUND(78*1,0)&amp;"%"</f>
      </c>
    </row>
    <row x14ac:dyDescent="0.25" r="133" customHeight="1" ht="17.25">
      <c r="A133" s="20" t="s">
        <v>5288</v>
      </c>
      <c r="B133" s="20" t="s">
        <v>238</v>
      </c>
      <c r="C133" s="20" t="s">
        <v>95</v>
      </c>
      <c r="D133" s="20" t="s">
        <v>22</v>
      </c>
      <c r="E133" s="21">
        <f>ROUND(14411*1.05,2)</f>
      </c>
      <c r="F133" s="20" t="s">
        <v>51</v>
      </c>
      <c r="G133" s="20" t="s">
        <v>24</v>
      </c>
      <c r="H133" s="21">
        <f>ROUND(RAND()*4+6,1)</f>
      </c>
      <c r="I133" s="20" t="s">
        <v>25</v>
      </c>
      <c r="J133" s="23">
        <f>ROUND(66*1,0)&amp;"%"</f>
      </c>
    </row>
    <row x14ac:dyDescent="0.25" r="134" customHeight="1" ht="17.25">
      <c r="A134" s="24" t="s">
        <v>239</v>
      </c>
      <c r="B134" s="24"/>
      <c r="C134" s="24"/>
      <c r="D134" s="24"/>
      <c r="E134" s="25">
        <v>8</v>
      </c>
      <c r="F134" s="9"/>
      <c r="G134" s="9"/>
      <c r="H134" s="10"/>
      <c r="I134" s="9"/>
      <c r="J134" s="9"/>
    </row>
    <row x14ac:dyDescent="0.25" r="135" customHeight="1" ht="17.25">
      <c r="A135" s="7"/>
      <c r="B135" s="7"/>
      <c r="C135" s="7"/>
      <c r="D135" s="7"/>
      <c r="E135" s="8"/>
      <c r="F135" s="9"/>
      <c r="G135" s="9"/>
      <c r="H135" s="10"/>
      <c r="I135" s="9"/>
      <c r="J135" s="9"/>
    </row>
    <row x14ac:dyDescent="0.25" r="136" customHeight="1" ht="17.25">
      <c r="A136" s="11" t="s">
        <v>5289</v>
      </c>
      <c r="B136" s="11"/>
      <c r="C136" s="11"/>
      <c r="D136" s="11"/>
      <c r="E136" s="12"/>
      <c r="F136" s="11"/>
      <c r="G136" s="11"/>
      <c r="H136" s="13"/>
      <c r="I136" s="11"/>
      <c r="J136" s="11"/>
    </row>
    <row x14ac:dyDescent="0.25" r="137" customHeight="1" ht="17.25">
      <c r="A137" s="14" t="s">
        <v>3</v>
      </c>
      <c r="B137" s="14" t="s">
        <v>4</v>
      </c>
      <c r="C137" s="14" t="s">
        <v>5</v>
      </c>
      <c r="D137" s="14" t="s">
        <v>6</v>
      </c>
      <c r="E137" s="15" t="s">
        <v>7</v>
      </c>
      <c r="F137" s="14" t="s">
        <v>8</v>
      </c>
      <c r="G137" s="14" t="s">
        <v>9</v>
      </c>
      <c r="H137" s="16" t="s">
        <v>10</v>
      </c>
      <c r="I137" s="14" t="s">
        <v>11</v>
      </c>
      <c r="J137" s="14" t="s">
        <v>12</v>
      </c>
    </row>
    <row x14ac:dyDescent="0.25" r="138" customHeight="1" ht="17.25">
      <c r="A138" s="17" t="s">
        <v>5290</v>
      </c>
      <c r="B138" s="17" t="s">
        <v>242</v>
      </c>
      <c r="C138" s="17" t="s">
        <v>114</v>
      </c>
      <c r="D138" s="17" t="s">
        <v>16</v>
      </c>
      <c r="E138" s="18">
        <f>ROUND(17907*1.05,2)</f>
      </c>
      <c r="F138" s="17" t="s">
        <v>17</v>
      </c>
      <c r="G138" s="17" t="s">
        <v>18</v>
      </c>
      <c r="H138" s="18">
        <f>ROUND(RAND()*4+6,1)</f>
      </c>
      <c r="I138" s="17" t="s">
        <v>19</v>
      </c>
      <c r="J138" s="19">
        <f>ROUND(82*1,0)&amp;"%"</f>
      </c>
    </row>
    <row x14ac:dyDescent="0.25" r="139" customHeight="1" ht="17.25">
      <c r="A139" s="20" t="s">
        <v>5291</v>
      </c>
      <c r="B139" s="20" t="s">
        <v>244</v>
      </c>
      <c r="C139" s="20" t="s">
        <v>114</v>
      </c>
      <c r="D139" s="20" t="s">
        <v>22</v>
      </c>
      <c r="E139" s="21">
        <f>ROUND(8396*1.05,2)</f>
      </c>
      <c r="F139" s="20" t="s">
        <v>23</v>
      </c>
      <c r="G139" s="20" t="s">
        <v>24</v>
      </c>
      <c r="H139" s="21">
        <f>ROUND(RAND()*4+6,1)</f>
      </c>
      <c r="I139" s="20" t="s">
        <v>25</v>
      </c>
      <c r="J139" s="23">
        <f>ROUND(96*1,0)&amp;"%"</f>
      </c>
    </row>
    <row x14ac:dyDescent="0.25" r="140" customHeight="1" ht="17.25">
      <c r="A140" s="17" t="s">
        <v>5292</v>
      </c>
      <c r="B140" s="17" t="s">
        <v>246</v>
      </c>
      <c r="C140" s="17" t="s">
        <v>114</v>
      </c>
      <c r="D140" s="17" t="s">
        <v>28</v>
      </c>
      <c r="E140" s="18">
        <f>ROUND(17827*1.05,2)</f>
      </c>
      <c r="F140" s="17" t="s">
        <v>29</v>
      </c>
      <c r="G140" s="17" t="s">
        <v>30</v>
      </c>
      <c r="H140" s="18">
        <f>ROUND(RAND()*4+6,1)</f>
      </c>
      <c r="I140" s="17" t="s">
        <v>31</v>
      </c>
      <c r="J140" s="19">
        <f>ROUND(97*1,0)&amp;"%"</f>
      </c>
    </row>
    <row x14ac:dyDescent="0.25" r="141" customHeight="1" ht="17.25">
      <c r="A141" s="20" t="s">
        <v>5293</v>
      </c>
      <c r="B141" s="20" t="s">
        <v>248</v>
      </c>
      <c r="C141" s="20" t="s">
        <v>114</v>
      </c>
      <c r="D141" s="20" t="s">
        <v>34</v>
      </c>
      <c r="E141" s="21">
        <f>ROUND(5365*1.05,2)</f>
      </c>
      <c r="F141" s="20" t="s">
        <v>35</v>
      </c>
      <c r="G141" s="20" t="s">
        <v>18</v>
      </c>
      <c r="H141" s="21">
        <f>ROUND(RAND()*4+6,1)</f>
      </c>
      <c r="I141" s="20" t="s">
        <v>36</v>
      </c>
      <c r="J141" s="23">
        <f>ROUND(72*1,0)&amp;"%"</f>
      </c>
    </row>
    <row x14ac:dyDescent="0.25" r="142" customHeight="1" ht="17.25">
      <c r="A142" s="17" t="s">
        <v>5294</v>
      </c>
      <c r="B142" s="17" t="s">
        <v>250</v>
      </c>
      <c r="C142" s="17" t="s">
        <v>114</v>
      </c>
      <c r="D142" s="17" t="s">
        <v>39</v>
      </c>
      <c r="E142" s="18">
        <f>ROUND(14479*1.05,2)</f>
      </c>
      <c r="F142" s="17" t="s">
        <v>40</v>
      </c>
      <c r="G142" s="17" t="s">
        <v>24</v>
      </c>
      <c r="H142" s="18">
        <f>ROUND(RAND()*4+6,1)</f>
      </c>
      <c r="I142" s="17" t="s">
        <v>41</v>
      </c>
      <c r="J142" s="19">
        <f>ROUND(94*1,0)&amp;"%"</f>
      </c>
    </row>
    <row x14ac:dyDescent="0.25" r="143" customHeight="1" ht="17.25">
      <c r="A143" s="20" t="s">
        <v>5295</v>
      </c>
      <c r="B143" s="20" t="s">
        <v>252</v>
      </c>
      <c r="C143" s="20" t="s">
        <v>114</v>
      </c>
      <c r="D143" s="20" t="s">
        <v>67</v>
      </c>
      <c r="E143" s="21">
        <f>ROUND(5869*1.05,2)</f>
      </c>
      <c r="F143" s="20" t="s">
        <v>44</v>
      </c>
      <c r="G143" s="20" t="s">
        <v>30</v>
      </c>
      <c r="H143" s="22">
        <f>ROUND(RAND()*4+6,1)</f>
      </c>
      <c r="I143" s="20" t="s">
        <v>45</v>
      </c>
      <c r="J143" s="23">
        <f>ROUND(72*1,0)&amp;"%"</f>
      </c>
    </row>
    <row x14ac:dyDescent="0.25" r="144" customHeight="1" ht="17.25">
      <c r="A144" s="17" t="s">
        <v>5296</v>
      </c>
      <c r="B144" s="17" t="s">
        <v>254</v>
      </c>
      <c r="C144" s="17" t="s">
        <v>114</v>
      </c>
      <c r="D144" s="17" t="s">
        <v>16</v>
      </c>
      <c r="E144" s="18">
        <f>ROUND(10548*1.05,2)</f>
      </c>
      <c r="F144" s="17" t="s">
        <v>48</v>
      </c>
      <c r="G144" s="17" t="s">
        <v>18</v>
      </c>
      <c r="H144" s="26">
        <f>ROUND(RAND()*4+6,1)</f>
      </c>
      <c r="I144" s="17" t="s">
        <v>19</v>
      </c>
      <c r="J144" s="19">
        <f>ROUND(61*1,0)&amp;"%"</f>
      </c>
    </row>
    <row x14ac:dyDescent="0.25" r="145" customHeight="1" ht="17.25">
      <c r="A145" s="20" t="s">
        <v>5297</v>
      </c>
      <c r="B145" s="20" t="s">
        <v>256</v>
      </c>
      <c r="C145" s="20" t="s">
        <v>114</v>
      </c>
      <c r="D145" s="20" t="s">
        <v>22</v>
      </c>
      <c r="E145" s="21">
        <f>ROUND(17186*1.05,2)</f>
      </c>
      <c r="F145" s="20" t="s">
        <v>51</v>
      </c>
      <c r="G145" s="20" t="s">
        <v>24</v>
      </c>
      <c r="H145" s="21">
        <f>ROUND(RAND()*4+6,1)</f>
      </c>
      <c r="I145" s="20" t="s">
        <v>25</v>
      </c>
      <c r="J145" s="23">
        <f>ROUND(64*1,0)&amp;"%"</f>
      </c>
    </row>
    <row x14ac:dyDescent="0.25" r="146" customHeight="1" ht="17.25">
      <c r="A146" s="24" t="s">
        <v>257</v>
      </c>
      <c r="B146" s="24"/>
      <c r="C146" s="24"/>
      <c r="D146" s="24"/>
      <c r="E146" s="25">
        <v>8</v>
      </c>
      <c r="F146" s="9"/>
      <c r="G146" s="9"/>
      <c r="H146" s="10"/>
      <c r="I146" s="9"/>
      <c r="J146" s="9"/>
    </row>
    <row x14ac:dyDescent="0.25" r="147" customHeight="1" ht="17.25">
      <c r="A147" s="7"/>
      <c r="B147" s="7"/>
      <c r="C147" s="7"/>
      <c r="D147" s="7"/>
      <c r="E147" s="8"/>
      <c r="F147" s="9"/>
      <c r="G147" s="9"/>
      <c r="H147" s="10"/>
      <c r="I147" s="9"/>
      <c r="J147" s="9"/>
    </row>
    <row x14ac:dyDescent="0.25" r="148" customHeight="1" ht="17.25">
      <c r="A148" s="11" t="s">
        <v>5298</v>
      </c>
      <c r="B148" s="11"/>
      <c r="C148" s="11"/>
      <c r="D148" s="11"/>
      <c r="E148" s="12"/>
      <c r="F148" s="11"/>
      <c r="G148" s="11"/>
      <c r="H148" s="13"/>
      <c r="I148" s="11"/>
      <c r="J148" s="11"/>
    </row>
    <row x14ac:dyDescent="0.25" r="149" customHeight="1" ht="17.25">
      <c r="A149" s="14" t="s">
        <v>3</v>
      </c>
      <c r="B149" s="14" t="s">
        <v>4</v>
      </c>
      <c r="C149" s="14" t="s">
        <v>5</v>
      </c>
      <c r="D149" s="14" t="s">
        <v>6</v>
      </c>
      <c r="E149" s="15" t="s">
        <v>7</v>
      </c>
      <c r="F149" s="14" t="s">
        <v>8</v>
      </c>
      <c r="G149" s="14" t="s">
        <v>9</v>
      </c>
      <c r="H149" s="16" t="s">
        <v>10</v>
      </c>
      <c r="I149" s="14" t="s">
        <v>11</v>
      </c>
      <c r="J149" s="14" t="s">
        <v>12</v>
      </c>
    </row>
    <row x14ac:dyDescent="0.25" r="150" customHeight="1" ht="17.25">
      <c r="A150" s="17" t="s">
        <v>5299</v>
      </c>
      <c r="B150" s="17" t="s">
        <v>260</v>
      </c>
      <c r="C150" s="17" t="s">
        <v>133</v>
      </c>
      <c r="D150" s="17" t="s">
        <v>16</v>
      </c>
      <c r="E150" s="18">
        <f>ROUND(10749*1.05,2)</f>
      </c>
      <c r="F150" s="17" t="s">
        <v>17</v>
      </c>
      <c r="G150" s="17" t="s">
        <v>18</v>
      </c>
      <c r="H150" s="18">
        <f>ROUND(RAND()*4+6,1)</f>
      </c>
      <c r="I150" s="17" t="s">
        <v>19</v>
      </c>
      <c r="J150" s="19">
        <f>ROUND(94*1,0)&amp;"%"</f>
      </c>
    </row>
    <row x14ac:dyDescent="0.25" r="151" customHeight="1" ht="17.25">
      <c r="A151" s="20" t="s">
        <v>5300</v>
      </c>
      <c r="B151" s="20" t="s">
        <v>262</v>
      </c>
      <c r="C151" s="20" t="s">
        <v>133</v>
      </c>
      <c r="D151" s="20" t="s">
        <v>22</v>
      </c>
      <c r="E151" s="21">
        <f>ROUND(12436*1.05,2)</f>
      </c>
      <c r="F151" s="20" t="s">
        <v>23</v>
      </c>
      <c r="G151" s="20" t="s">
        <v>24</v>
      </c>
      <c r="H151" s="21">
        <f>ROUND(RAND()*4+6,1)</f>
      </c>
      <c r="I151" s="20" t="s">
        <v>25</v>
      </c>
      <c r="J151" s="23">
        <f>ROUND(83*1,0)&amp;"%"</f>
      </c>
    </row>
    <row x14ac:dyDescent="0.25" r="152" customHeight="1" ht="17.25">
      <c r="A152" s="17" t="s">
        <v>5301</v>
      </c>
      <c r="B152" s="17" t="s">
        <v>264</v>
      </c>
      <c r="C152" s="17" t="s">
        <v>133</v>
      </c>
      <c r="D152" s="17" t="s">
        <v>28</v>
      </c>
      <c r="E152" s="18">
        <f>ROUND(14389*1.05,2)</f>
      </c>
      <c r="F152" s="17" t="s">
        <v>29</v>
      </c>
      <c r="G152" s="17" t="s">
        <v>30</v>
      </c>
      <c r="H152" s="18">
        <f>ROUND(RAND()*4+6,1)</f>
      </c>
      <c r="I152" s="17" t="s">
        <v>31</v>
      </c>
      <c r="J152" s="19">
        <f>ROUND(79*1,0)&amp;"%"</f>
      </c>
    </row>
    <row x14ac:dyDescent="0.25" r="153" customHeight="1" ht="17.25">
      <c r="A153" s="20" t="s">
        <v>5302</v>
      </c>
      <c r="B153" s="20" t="s">
        <v>266</v>
      </c>
      <c r="C153" s="20" t="s">
        <v>133</v>
      </c>
      <c r="D153" s="20" t="s">
        <v>34</v>
      </c>
      <c r="E153" s="21">
        <f>ROUND(5094*1.05,2)</f>
      </c>
      <c r="F153" s="20" t="s">
        <v>35</v>
      </c>
      <c r="G153" s="20" t="s">
        <v>18</v>
      </c>
      <c r="H153" s="21">
        <f>ROUND(RAND()*4+6,1)</f>
      </c>
      <c r="I153" s="20" t="s">
        <v>36</v>
      </c>
      <c r="J153" s="23">
        <f>ROUND(60*1,0)&amp;"%"</f>
      </c>
    </row>
    <row x14ac:dyDescent="0.25" r="154" customHeight="1" ht="17.25">
      <c r="A154" s="17" t="s">
        <v>5303</v>
      </c>
      <c r="B154" s="17" t="s">
        <v>268</v>
      </c>
      <c r="C154" s="17" t="s">
        <v>133</v>
      </c>
      <c r="D154" s="17" t="s">
        <v>39</v>
      </c>
      <c r="E154" s="18">
        <f>ROUND(12965*1.05,2)</f>
      </c>
      <c r="F154" s="17" t="s">
        <v>40</v>
      </c>
      <c r="G154" s="17" t="s">
        <v>24</v>
      </c>
      <c r="H154" s="18">
        <f>ROUND(RAND()*4+6,1)</f>
      </c>
      <c r="I154" s="17" t="s">
        <v>41</v>
      </c>
      <c r="J154" s="19">
        <f>ROUND(66*1,0)&amp;"%"</f>
      </c>
    </row>
    <row x14ac:dyDescent="0.25" r="155" customHeight="1" ht="17.25">
      <c r="A155" s="20" t="s">
        <v>5304</v>
      </c>
      <c r="B155" s="20" t="s">
        <v>270</v>
      </c>
      <c r="C155" s="20" t="s">
        <v>133</v>
      </c>
      <c r="D155" s="20" t="s">
        <v>67</v>
      </c>
      <c r="E155" s="21">
        <f>ROUND(6715*1.05,2)</f>
      </c>
      <c r="F155" s="20" t="s">
        <v>44</v>
      </c>
      <c r="G155" s="20" t="s">
        <v>30</v>
      </c>
      <c r="H155" s="22">
        <f>ROUND(RAND()*4+6,1)</f>
      </c>
      <c r="I155" s="20" t="s">
        <v>45</v>
      </c>
      <c r="J155" s="23">
        <f>ROUND(100*1,0)&amp;"%"</f>
      </c>
    </row>
    <row x14ac:dyDescent="0.25" r="156" customHeight="1" ht="17.25">
      <c r="A156" s="17" t="s">
        <v>5305</v>
      </c>
      <c r="B156" s="17" t="s">
        <v>272</v>
      </c>
      <c r="C156" s="17" t="s">
        <v>133</v>
      </c>
      <c r="D156" s="17" t="s">
        <v>16</v>
      </c>
      <c r="E156" s="18">
        <f>ROUND(9125*1.05,2)</f>
      </c>
      <c r="F156" s="17" t="s">
        <v>48</v>
      </c>
      <c r="G156" s="17" t="s">
        <v>18</v>
      </c>
      <c r="H156" s="18">
        <f>ROUND(RAND()*4+6,1)</f>
      </c>
      <c r="I156" s="17" t="s">
        <v>19</v>
      </c>
      <c r="J156" s="19">
        <f>ROUND(74*1,0)&amp;"%"</f>
      </c>
    </row>
    <row x14ac:dyDescent="0.25" r="157" customHeight="1" ht="17.25">
      <c r="A157" s="20" t="s">
        <v>5306</v>
      </c>
      <c r="B157" s="20" t="s">
        <v>274</v>
      </c>
      <c r="C157" s="20" t="s">
        <v>133</v>
      </c>
      <c r="D157" s="20" t="s">
        <v>22</v>
      </c>
      <c r="E157" s="21">
        <f>ROUND(11347*1.05,2)</f>
      </c>
      <c r="F157" s="20" t="s">
        <v>51</v>
      </c>
      <c r="G157" s="20" t="s">
        <v>24</v>
      </c>
      <c r="H157" s="21">
        <f>ROUND(RAND()*4+6,1)</f>
      </c>
      <c r="I157" s="20" t="s">
        <v>25</v>
      </c>
      <c r="J157" s="23">
        <f>ROUND(70*1,0)&amp;"%"</f>
      </c>
    </row>
    <row x14ac:dyDescent="0.25" r="158" customHeight="1" ht="17.25">
      <c r="A158" s="24" t="s">
        <v>275</v>
      </c>
      <c r="B158" s="24"/>
      <c r="C158" s="24"/>
      <c r="D158" s="24"/>
      <c r="E158" s="25">
        <v>8</v>
      </c>
      <c r="F158" s="9"/>
      <c r="G158" s="9"/>
      <c r="H158" s="10"/>
      <c r="I158" s="9"/>
      <c r="J158" s="9"/>
    </row>
    <row x14ac:dyDescent="0.25" r="159" customHeight="1" ht="17.25">
      <c r="A159" s="7"/>
      <c r="B159" s="7"/>
      <c r="C159" s="7"/>
      <c r="D159" s="7"/>
      <c r="E159" s="8"/>
      <c r="F159" s="9"/>
      <c r="G159" s="9"/>
      <c r="H159" s="10"/>
      <c r="I159" s="9"/>
      <c r="J159" s="9"/>
    </row>
    <row x14ac:dyDescent="0.25" r="160" customHeight="1" ht="17.25">
      <c r="A160" s="11" t="s">
        <v>5307</v>
      </c>
      <c r="B160" s="11"/>
      <c r="C160" s="11"/>
      <c r="D160" s="11"/>
      <c r="E160" s="12"/>
      <c r="F160" s="11"/>
      <c r="G160" s="11"/>
      <c r="H160" s="13"/>
      <c r="I160" s="11"/>
      <c r="J160" s="11"/>
    </row>
    <row x14ac:dyDescent="0.25" r="161" customHeight="1" ht="17.25">
      <c r="A161" s="14" t="s">
        <v>3</v>
      </c>
      <c r="B161" s="14" t="s">
        <v>4</v>
      </c>
      <c r="C161" s="14" t="s">
        <v>5</v>
      </c>
      <c r="D161" s="14" t="s">
        <v>6</v>
      </c>
      <c r="E161" s="15" t="s">
        <v>7</v>
      </c>
      <c r="F161" s="14" t="s">
        <v>8</v>
      </c>
      <c r="G161" s="14" t="s">
        <v>9</v>
      </c>
      <c r="H161" s="16" t="s">
        <v>10</v>
      </c>
      <c r="I161" s="14" t="s">
        <v>11</v>
      </c>
      <c r="J161" s="14" t="s">
        <v>12</v>
      </c>
    </row>
    <row x14ac:dyDescent="0.25" r="162" customHeight="1" ht="17.25">
      <c r="A162" s="17" t="s">
        <v>5308</v>
      </c>
      <c r="B162" s="17" t="s">
        <v>278</v>
      </c>
      <c r="C162" s="17" t="s">
        <v>152</v>
      </c>
      <c r="D162" s="17" t="s">
        <v>16</v>
      </c>
      <c r="E162" s="18">
        <f>ROUND(14713*1.05,2)</f>
      </c>
      <c r="F162" s="17" t="s">
        <v>17</v>
      </c>
      <c r="G162" s="17" t="s">
        <v>18</v>
      </c>
      <c r="H162" s="18">
        <f>ROUND(RAND()*4+6,1)</f>
      </c>
      <c r="I162" s="17" t="s">
        <v>19</v>
      </c>
      <c r="J162" s="19">
        <f>ROUND(91*1,0)&amp;"%"</f>
      </c>
    </row>
    <row x14ac:dyDescent="0.25" r="163" customHeight="1" ht="17.25">
      <c r="A163" s="20" t="s">
        <v>5309</v>
      </c>
      <c r="B163" s="20" t="s">
        <v>280</v>
      </c>
      <c r="C163" s="20" t="s">
        <v>152</v>
      </c>
      <c r="D163" s="20" t="s">
        <v>22</v>
      </c>
      <c r="E163" s="21">
        <f>ROUND(5189*1.05,2)</f>
      </c>
      <c r="F163" s="20" t="s">
        <v>23</v>
      </c>
      <c r="G163" s="20" t="s">
        <v>24</v>
      </c>
      <c r="H163" s="21">
        <f>ROUND(RAND()*4+6,1)</f>
      </c>
      <c r="I163" s="20" t="s">
        <v>25</v>
      </c>
      <c r="J163" s="23">
        <f>ROUND(68*1,0)&amp;"%"</f>
      </c>
    </row>
    <row x14ac:dyDescent="0.25" r="164" customHeight="1" ht="17.25">
      <c r="A164" s="17" t="s">
        <v>5310</v>
      </c>
      <c r="B164" s="17" t="s">
        <v>282</v>
      </c>
      <c r="C164" s="17" t="s">
        <v>152</v>
      </c>
      <c r="D164" s="17" t="s">
        <v>28</v>
      </c>
      <c r="E164" s="18">
        <f>ROUND(13599*1.05,2)</f>
      </c>
      <c r="F164" s="17" t="s">
        <v>29</v>
      </c>
      <c r="G164" s="17" t="s">
        <v>30</v>
      </c>
      <c r="H164" s="18">
        <f>ROUND(RAND()*4+6,1)</f>
      </c>
      <c r="I164" s="17" t="s">
        <v>31</v>
      </c>
      <c r="J164" s="19">
        <f>ROUND(72*1,0)&amp;"%"</f>
      </c>
    </row>
    <row x14ac:dyDescent="0.25" r="165" customHeight="1" ht="17.25">
      <c r="A165" s="20" t="s">
        <v>5311</v>
      </c>
      <c r="B165" s="20" t="s">
        <v>284</v>
      </c>
      <c r="C165" s="20" t="s">
        <v>152</v>
      </c>
      <c r="D165" s="20" t="s">
        <v>34</v>
      </c>
      <c r="E165" s="21">
        <f>ROUND(11201*1.05,2)</f>
      </c>
      <c r="F165" s="20" t="s">
        <v>35</v>
      </c>
      <c r="G165" s="20" t="s">
        <v>18</v>
      </c>
      <c r="H165" s="21">
        <f>ROUND(RAND()*4+6,1)</f>
      </c>
      <c r="I165" s="20" t="s">
        <v>36</v>
      </c>
      <c r="J165" s="23">
        <f>ROUND(66*1,0)&amp;"%"</f>
      </c>
    </row>
    <row x14ac:dyDescent="0.25" r="166" customHeight="1" ht="17.25">
      <c r="A166" s="17" t="s">
        <v>5312</v>
      </c>
      <c r="B166" s="17" t="s">
        <v>286</v>
      </c>
      <c r="C166" s="17" t="s">
        <v>152</v>
      </c>
      <c r="D166" s="17" t="s">
        <v>39</v>
      </c>
      <c r="E166" s="18">
        <f>ROUND(5622*1.05,2)</f>
      </c>
      <c r="F166" s="17" t="s">
        <v>40</v>
      </c>
      <c r="G166" s="17" t="s">
        <v>24</v>
      </c>
      <c r="H166" s="18">
        <f>ROUND(RAND()*4+6,1)</f>
      </c>
      <c r="I166" s="17" t="s">
        <v>41</v>
      </c>
      <c r="J166" s="19">
        <f>ROUND(67*1,0)&amp;"%"</f>
      </c>
    </row>
    <row x14ac:dyDescent="0.25" r="167" customHeight="1" ht="17.25">
      <c r="A167" s="20" t="s">
        <v>5313</v>
      </c>
      <c r="B167" s="20" t="s">
        <v>288</v>
      </c>
      <c r="C167" s="20" t="s">
        <v>152</v>
      </c>
      <c r="D167" s="20" t="s">
        <v>67</v>
      </c>
      <c r="E167" s="21">
        <f>ROUND(13813*1.05,2)</f>
      </c>
      <c r="F167" s="20" t="s">
        <v>44</v>
      </c>
      <c r="G167" s="20" t="s">
        <v>30</v>
      </c>
      <c r="H167" s="21">
        <f>ROUND(RAND()*4+6,1)</f>
      </c>
      <c r="I167" s="20" t="s">
        <v>45</v>
      </c>
      <c r="J167" s="23">
        <f>ROUND(80*1,0)&amp;"%"</f>
      </c>
    </row>
    <row x14ac:dyDescent="0.25" r="168" customHeight="1" ht="17.25">
      <c r="A168" s="17" t="s">
        <v>5314</v>
      </c>
      <c r="B168" s="17" t="s">
        <v>290</v>
      </c>
      <c r="C168" s="17" t="s">
        <v>152</v>
      </c>
      <c r="D168" s="17" t="s">
        <v>16</v>
      </c>
      <c r="E168" s="18">
        <f>ROUND(7344*1.05,2)</f>
      </c>
      <c r="F168" s="17" t="s">
        <v>48</v>
      </c>
      <c r="G168" s="17" t="s">
        <v>18</v>
      </c>
      <c r="H168" s="18">
        <f>ROUND(RAND()*4+6,1)</f>
      </c>
      <c r="I168" s="17" t="s">
        <v>19</v>
      </c>
      <c r="J168" s="19">
        <f>ROUND(69*1,0)&amp;"%"</f>
      </c>
    </row>
    <row x14ac:dyDescent="0.25" r="169" customHeight="1" ht="17.25">
      <c r="A169" s="20" t="s">
        <v>5315</v>
      </c>
      <c r="B169" s="20" t="s">
        <v>292</v>
      </c>
      <c r="C169" s="20" t="s">
        <v>152</v>
      </c>
      <c r="D169" s="20" t="s">
        <v>22</v>
      </c>
      <c r="E169" s="21">
        <f>ROUND(10022*1.05,2)</f>
      </c>
      <c r="F169" s="20" t="s">
        <v>51</v>
      </c>
      <c r="G169" s="20" t="s">
        <v>24</v>
      </c>
      <c r="H169" s="21">
        <f>ROUND(RAND()*4+6,1)</f>
      </c>
      <c r="I169" s="20" t="s">
        <v>25</v>
      </c>
      <c r="J169" s="23">
        <f>ROUND(60*1,0)&amp;"%"</f>
      </c>
    </row>
    <row x14ac:dyDescent="0.25" r="170" customHeight="1" ht="17.25">
      <c r="A170" s="24" t="s">
        <v>293</v>
      </c>
      <c r="B170" s="24"/>
      <c r="C170" s="24"/>
      <c r="D170" s="24"/>
      <c r="E170" s="25">
        <v>8</v>
      </c>
      <c r="F170" s="9"/>
      <c r="G170" s="9"/>
      <c r="H170" s="10"/>
      <c r="I170" s="9"/>
      <c r="J170" s="9"/>
    </row>
    <row x14ac:dyDescent="0.25" r="171" customHeight="1" ht="17.25">
      <c r="A171" s="7"/>
      <c r="B171" s="7"/>
      <c r="C171" s="7"/>
      <c r="D171" s="7"/>
      <c r="E171" s="8"/>
      <c r="F171" s="9"/>
      <c r="G171" s="9"/>
      <c r="H171" s="10"/>
      <c r="I171" s="9"/>
      <c r="J171" s="9"/>
    </row>
    <row x14ac:dyDescent="0.25" r="172" customHeight="1" ht="17.25">
      <c r="A172" s="11" t="s">
        <v>5316</v>
      </c>
      <c r="B172" s="11"/>
      <c r="C172" s="11"/>
      <c r="D172" s="11"/>
      <c r="E172" s="12"/>
      <c r="F172" s="11"/>
      <c r="G172" s="11"/>
      <c r="H172" s="13"/>
      <c r="I172" s="11"/>
      <c r="J172" s="11"/>
    </row>
    <row x14ac:dyDescent="0.25" r="173" customHeight="1" ht="17.25">
      <c r="A173" s="14" t="s">
        <v>3</v>
      </c>
      <c r="B173" s="14" t="s">
        <v>4</v>
      </c>
      <c r="C173" s="14" t="s">
        <v>5</v>
      </c>
      <c r="D173" s="14" t="s">
        <v>6</v>
      </c>
      <c r="E173" s="15" t="s">
        <v>7</v>
      </c>
      <c r="F173" s="14" t="s">
        <v>8</v>
      </c>
      <c r="G173" s="14" t="s">
        <v>9</v>
      </c>
      <c r="H173" s="16" t="s">
        <v>10</v>
      </c>
      <c r="I173" s="14" t="s">
        <v>11</v>
      </c>
      <c r="J173" s="14" t="s">
        <v>12</v>
      </c>
    </row>
    <row x14ac:dyDescent="0.25" r="174" customHeight="1" ht="17.25">
      <c r="A174" s="17" t="s">
        <v>5317</v>
      </c>
      <c r="B174" s="17" t="s">
        <v>296</v>
      </c>
      <c r="C174" s="17" t="s">
        <v>15</v>
      </c>
      <c r="D174" s="17" t="s">
        <v>16</v>
      </c>
      <c r="E174" s="18">
        <f>ROUND(12987*1.05,2)</f>
      </c>
      <c r="F174" s="17" t="s">
        <v>17</v>
      </c>
      <c r="G174" s="17" t="s">
        <v>18</v>
      </c>
      <c r="H174" s="18">
        <f>ROUND(RAND()*4+6,1)</f>
      </c>
      <c r="I174" s="17" t="s">
        <v>19</v>
      </c>
      <c r="J174" s="19">
        <f>ROUND(60*1,0)&amp;"%"</f>
      </c>
    </row>
    <row x14ac:dyDescent="0.25" r="175" customHeight="1" ht="17.25">
      <c r="A175" s="20" t="s">
        <v>5318</v>
      </c>
      <c r="B175" s="20" t="s">
        <v>298</v>
      </c>
      <c r="C175" s="20" t="s">
        <v>15</v>
      </c>
      <c r="D175" s="20" t="s">
        <v>22</v>
      </c>
      <c r="E175" s="21">
        <f>ROUND(13674*1.05,2)</f>
      </c>
      <c r="F175" s="20" t="s">
        <v>23</v>
      </c>
      <c r="G175" s="20" t="s">
        <v>24</v>
      </c>
      <c r="H175" s="21">
        <f>ROUND(RAND()*4+6,1)</f>
      </c>
      <c r="I175" s="20" t="s">
        <v>25</v>
      </c>
      <c r="J175" s="23">
        <f>ROUND(64*1,0)&amp;"%"</f>
      </c>
    </row>
    <row x14ac:dyDescent="0.25" r="176" customHeight="1" ht="17.25">
      <c r="A176" s="17" t="s">
        <v>5319</v>
      </c>
      <c r="B176" s="17" t="s">
        <v>300</v>
      </c>
      <c r="C176" s="17" t="s">
        <v>15</v>
      </c>
      <c r="D176" s="17" t="s">
        <v>28</v>
      </c>
      <c r="E176" s="18">
        <f>ROUND(12849*1.05,2)</f>
      </c>
      <c r="F176" s="17" t="s">
        <v>29</v>
      </c>
      <c r="G176" s="17" t="s">
        <v>30</v>
      </c>
      <c r="H176" s="18">
        <f>ROUND(RAND()*4+6,1)</f>
      </c>
      <c r="I176" s="17" t="s">
        <v>31</v>
      </c>
      <c r="J176" s="19">
        <f>ROUND(97*1,0)&amp;"%"</f>
      </c>
    </row>
    <row x14ac:dyDescent="0.25" r="177" customHeight="1" ht="17.25">
      <c r="A177" s="20" t="s">
        <v>5320</v>
      </c>
      <c r="B177" s="20" t="s">
        <v>302</v>
      </c>
      <c r="C177" s="20" t="s">
        <v>15</v>
      </c>
      <c r="D177" s="20" t="s">
        <v>34</v>
      </c>
      <c r="E177" s="21">
        <f>ROUND(8559*1.05,2)</f>
      </c>
      <c r="F177" s="20" t="s">
        <v>35</v>
      </c>
      <c r="G177" s="20" t="s">
        <v>18</v>
      </c>
      <c r="H177" s="21">
        <f>ROUND(RAND()*4+6,1)</f>
      </c>
      <c r="I177" s="20" t="s">
        <v>36</v>
      </c>
      <c r="J177" s="23">
        <f>ROUND(86*1,0)&amp;"%"</f>
      </c>
    </row>
    <row x14ac:dyDescent="0.25" r="178" customHeight="1" ht="17.25">
      <c r="A178" s="17" t="s">
        <v>5321</v>
      </c>
      <c r="B178" s="17" t="s">
        <v>304</v>
      </c>
      <c r="C178" s="17" t="s">
        <v>15</v>
      </c>
      <c r="D178" s="17" t="s">
        <v>39</v>
      </c>
      <c r="E178" s="18">
        <f>ROUND(14610*1.05,2)</f>
      </c>
      <c r="F178" s="17" t="s">
        <v>40</v>
      </c>
      <c r="G178" s="17" t="s">
        <v>24</v>
      </c>
      <c r="H178" s="18">
        <f>ROUND(RAND()*4+6,1)</f>
      </c>
      <c r="I178" s="17" t="s">
        <v>41</v>
      </c>
      <c r="J178" s="19">
        <f>ROUND(86*1,0)&amp;"%"</f>
      </c>
    </row>
    <row x14ac:dyDescent="0.25" r="179" customHeight="1" ht="17.25">
      <c r="A179" s="20" t="s">
        <v>5322</v>
      </c>
      <c r="B179" s="20" t="s">
        <v>306</v>
      </c>
      <c r="C179" s="20" t="s">
        <v>15</v>
      </c>
      <c r="D179" s="20" t="s">
        <v>67</v>
      </c>
      <c r="E179" s="21">
        <f>ROUND(11278*1.05,2)</f>
      </c>
      <c r="F179" s="20" t="s">
        <v>44</v>
      </c>
      <c r="G179" s="20" t="s">
        <v>30</v>
      </c>
      <c r="H179" s="21">
        <f>ROUND(RAND()*4+6,1)</f>
      </c>
      <c r="I179" s="20" t="s">
        <v>45</v>
      </c>
      <c r="J179" s="23">
        <f>ROUND(61*1,0)&amp;"%"</f>
      </c>
    </row>
    <row x14ac:dyDescent="0.25" r="180" customHeight="1" ht="17.25">
      <c r="A180" s="17" t="s">
        <v>5323</v>
      </c>
      <c r="B180" s="17" t="s">
        <v>308</v>
      </c>
      <c r="C180" s="17" t="s">
        <v>15</v>
      </c>
      <c r="D180" s="17" t="s">
        <v>16</v>
      </c>
      <c r="E180" s="18">
        <f>ROUND(4590*1.05,2)</f>
      </c>
      <c r="F180" s="17" t="s">
        <v>48</v>
      </c>
      <c r="G180" s="17" t="s">
        <v>18</v>
      </c>
      <c r="H180" s="18">
        <f>ROUND(RAND()*4+6,1)</f>
      </c>
      <c r="I180" s="17" t="s">
        <v>19</v>
      </c>
      <c r="J180" s="19">
        <f>ROUND(98*1,0)&amp;"%"</f>
      </c>
    </row>
    <row x14ac:dyDescent="0.25" r="181" customHeight="1" ht="17.25">
      <c r="A181" s="20" t="s">
        <v>5324</v>
      </c>
      <c r="B181" s="20" t="s">
        <v>310</v>
      </c>
      <c r="C181" s="20" t="s">
        <v>15</v>
      </c>
      <c r="D181" s="20" t="s">
        <v>22</v>
      </c>
      <c r="E181" s="21">
        <f>ROUND(7958*1.05,2)</f>
      </c>
      <c r="F181" s="20" t="s">
        <v>51</v>
      </c>
      <c r="G181" s="20" t="s">
        <v>24</v>
      </c>
      <c r="H181" s="21">
        <f>ROUND(RAND()*4+6,1)</f>
      </c>
      <c r="I181" s="20" t="s">
        <v>25</v>
      </c>
      <c r="J181" s="23">
        <f>ROUND(71*1,0)&amp;"%"</f>
      </c>
    </row>
    <row x14ac:dyDescent="0.25" r="182" customHeight="1" ht="17.25">
      <c r="A182" s="24" t="s">
        <v>311</v>
      </c>
      <c r="B182" s="24"/>
      <c r="C182" s="24"/>
      <c r="D182" s="24"/>
      <c r="E182" s="25">
        <v>8</v>
      </c>
      <c r="F182" s="9"/>
      <c r="G182" s="9"/>
      <c r="H182" s="10"/>
      <c r="I182" s="9"/>
      <c r="J182" s="9"/>
    </row>
    <row x14ac:dyDescent="0.25" r="183" customHeight="1" ht="17.25">
      <c r="A183" s="7"/>
      <c r="B183" s="7"/>
      <c r="C183" s="7"/>
      <c r="D183" s="7"/>
      <c r="E183" s="8"/>
      <c r="F183" s="9"/>
      <c r="G183" s="9"/>
      <c r="H183" s="10"/>
      <c r="I183" s="9"/>
      <c r="J183" s="9"/>
    </row>
    <row x14ac:dyDescent="0.25" r="184" customHeight="1" ht="17.25">
      <c r="A184" s="11" t="s">
        <v>5325</v>
      </c>
      <c r="B184" s="11"/>
      <c r="C184" s="11"/>
      <c r="D184" s="11"/>
      <c r="E184" s="12"/>
      <c r="F184" s="11"/>
      <c r="G184" s="11"/>
      <c r="H184" s="13"/>
      <c r="I184" s="11"/>
      <c r="J184" s="11"/>
    </row>
    <row x14ac:dyDescent="0.25" r="185" customHeight="1" ht="17.25">
      <c r="A185" s="14" t="s">
        <v>3</v>
      </c>
      <c r="B185" s="14" t="s">
        <v>4</v>
      </c>
      <c r="C185" s="14" t="s">
        <v>5</v>
      </c>
      <c r="D185" s="14" t="s">
        <v>6</v>
      </c>
      <c r="E185" s="15" t="s">
        <v>7</v>
      </c>
      <c r="F185" s="14" t="s">
        <v>8</v>
      </c>
      <c r="G185" s="14" t="s">
        <v>9</v>
      </c>
      <c r="H185" s="16" t="s">
        <v>10</v>
      </c>
      <c r="I185" s="14" t="s">
        <v>11</v>
      </c>
      <c r="J185" s="14" t="s">
        <v>12</v>
      </c>
    </row>
    <row x14ac:dyDescent="0.25" r="186" customHeight="1" ht="17.25">
      <c r="A186" s="17" t="s">
        <v>5326</v>
      </c>
      <c r="B186" s="17" t="s">
        <v>314</v>
      </c>
      <c r="C186" s="17" t="s">
        <v>56</v>
      </c>
      <c r="D186" s="17" t="s">
        <v>16</v>
      </c>
      <c r="E186" s="18">
        <f>ROUND(5437*1.05,2)</f>
      </c>
      <c r="F186" s="17" t="s">
        <v>17</v>
      </c>
      <c r="G186" s="17" t="s">
        <v>18</v>
      </c>
      <c r="H186" s="18">
        <f>ROUND(RAND()*4+6,1)</f>
      </c>
      <c r="I186" s="17" t="s">
        <v>19</v>
      </c>
      <c r="J186" s="19">
        <f>ROUND(81*1,0)&amp;"%"</f>
      </c>
    </row>
    <row x14ac:dyDescent="0.25" r="187" customHeight="1" ht="17.25">
      <c r="A187" s="20" t="s">
        <v>5327</v>
      </c>
      <c r="B187" s="20" t="s">
        <v>316</v>
      </c>
      <c r="C187" s="20" t="s">
        <v>56</v>
      </c>
      <c r="D187" s="20" t="s">
        <v>22</v>
      </c>
      <c r="E187" s="21">
        <f>ROUND(4150*1.05,2)</f>
      </c>
      <c r="F187" s="20" t="s">
        <v>23</v>
      </c>
      <c r="G187" s="20" t="s">
        <v>24</v>
      </c>
      <c r="H187" s="21">
        <f>ROUND(RAND()*4+6,1)</f>
      </c>
      <c r="I187" s="20" t="s">
        <v>25</v>
      </c>
      <c r="J187" s="23">
        <f>ROUND(88*1,0)&amp;"%"</f>
      </c>
    </row>
    <row x14ac:dyDescent="0.25" r="188" customHeight="1" ht="17.25">
      <c r="A188" s="17" t="s">
        <v>5328</v>
      </c>
      <c r="B188" s="17" t="s">
        <v>318</v>
      </c>
      <c r="C188" s="17" t="s">
        <v>56</v>
      </c>
      <c r="D188" s="17" t="s">
        <v>28</v>
      </c>
      <c r="E188" s="18">
        <f>ROUND(9022*1.05,2)</f>
      </c>
      <c r="F188" s="17" t="s">
        <v>29</v>
      </c>
      <c r="G188" s="17" t="s">
        <v>30</v>
      </c>
      <c r="H188" s="18">
        <f>ROUND(RAND()*4+6,1)</f>
      </c>
      <c r="I188" s="17" t="s">
        <v>31</v>
      </c>
      <c r="J188" s="19">
        <f>ROUND(67*1,0)&amp;"%"</f>
      </c>
    </row>
    <row x14ac:dyDescent="0.25" r="189" customHeight="1" ht="17.25">
      <c r="A189" s="20" t="s">
        <v>5329</v>
      </c>
      <c r="B189" s="20" t="s">
        <v>320</v>
      </c>
      <c r="C189" s="20" t="s">
        <v>56</v>
      </c>
      <c r="D189" s="20" t="s">
        <v>34</v>
      </c>
      <c r="E189" s="21">
        <f>ROUND(11923*1.05,2)</f>
      </c>
      <c r="F189" s="20" t="s">
        <v>35</v>
      </c>
      <c r="G189" s="20" t="s">
        <v>18</v>
      </c>
      <c r="H189" s="21">
        <f>ROUND(RAND()*4+6,1)</f>
      </c>
      <c r="I189" s="20" t="s">
        <v>36</v>
      </c>
      <c r="J189" s="23">
        <f>ROUND(79*1,0)&amp;"%"</f>
      </c>
    </row>
    <row x14ac:dyDescent="0.25" r="190" customHeight="1" ht="17.25">
      <c r="A190" s="17" t="s">
        <v>5330</v>
      </c>
      <c r="B190" s="17" t="s">
        <v>322</v>
      </c>
      <c r="C190" s="17" t="s">
        <v>56</v>
      </c>
      <c r="D190" s="17" t="s">
        <v>39</v>
      </c>
      <c r="E190" s="18">
        <f>ROUND(4485*1.05,2)</f>
      </c>
      <c r="F190" s="17" t="s">
        <v>40</v>
      </c>
      <c r="G190" s="17" t="s">
        <v>24</v>
      </c>
      <c r="H190" s="18">
        <f>ROUND(RAND()*4+6,1)</f>
      </c>
      <c r="I190" s="17" t="s">
        <v>41</v>
      </c>
      <c r="J190" s="19">
        <f>ROUND(76*1,0)&amp;"%"</f>
      </c>
    </row>
    <row x14ac:dyDescent="0.25" r="191" customHeight="1" ht="17.25">
      <c r="A191" s="20" t="s">
        <v>5331</v>
      </c>
      <c r="B191" s="20" t="s">
        <v>324</v>
      </c>
      <c r="C191" s="20" t="s">
        <v>56</v>
      </c>
      <c r="D191" s="20" t="s">
        <v>67</v>
      </c>
      <c r="E191" s="22">
        <f>ROUND(15520*1.05,2)</f>
      </c>
      <c r="F191" s="20" t="s">
        <v>44</v>
      </c>
      <c r="G191" s="20" t="s">
        <v>30</v>
      </c>
      <c r="H191" s="21">
        <f>ROUND(RAND()*4+6,1)</f>
      </c>
      <c r="I191" s="20" t="s">
        <v>45</v>
      </c>
      <c r="J191" s="23">
        <f>ROUND(63*1,0)&amp;"%"</f>
      </c>
    </row>
    <row x14ac:dyDescent="0.25" r="192" customHeight="1" ht="17.25">
      <c r="A192" s="17" t="s">
        <v>5332</v>
      </c>
      <c r="B192" s="17" t="s">
        <v>326</v>
      </c>
      <c r="C192" s="17" t="s">
        <v>56</v>
      </c>
      <c r="D192" s="17" t="s">
        <v>16</v>
      </c>
      <c r="E192" s="18">
        <f>ROUND(17081*1.05,2)</f>
      </c>
      <c r="F192" s="17" t="s">
        <v>48</v>
      </c>
      <c r="G192" s="17" t="s">
        <v>18</v>
      </c>
      <c r="H192" s="26">
        <f>ROUND(RAND()*4+6,1)</f>
      </c>
      <c r="I192" s="17" t="s">
        <v>19</v>
      </c>
      <c r="J192" s="19">
        <f>ROUND(87*1,0)&amp;"%"</f>
      </c>
    </row>
    <row x14ac:dyDescent="0.25" r="193" customHeight="1" ht="17.25">
      <c r="A193" s="20" t="s">
        <v>5333</v>
      </c>
      <c r="B193" s="20" t="s">
        <v>328</v>
      </c>
      <c r="C193" s="20" t="s">
        <v>56</v>
      </c>
      <c r="D193" s="20" t="s">
        <v>22</v>
      </c>
      <c r="E193" s="21">
        <f>ROUND(14622*1.05,2)</f>
      </c>
      <c r="F193" s="20" t="s">
        <v>51</v>
      </c>
      <c r="G193" s="20" t="s">
        <v>24</v>
      </c>
      <c r="H193" s="22">
        <f>ROUND(RAND()*4+6,1)</f>
      </c>
      <c r="I193" s="20" t="s">
        <v>25</v>
      </c>
      <c r="J193" s="23">
        <f>ROUND(60*1,0)&amp;"%"</f>
      </c>
    </row>
    <row x14ac:dyDescent="0.25" r="194" customHeight="1" ht="17.25">
      <c r="A194" s="24" t="s">
        <v>329</v>
      </c>
      <c r="B194" s="24"/>
      <c r="C194" s="24"/>
      <c r="D194" s="24"/>
      <c r="E194" s="25">
        <v>8</v>
      </c>
      <c r="F194" s="9"/>
      <c r="G194" s="9"/>
      <c r="H194" s="10"/>
      <c r="I194" s="9"/>
      <c r="J194" s="9"/>
    </row>
    <row x14ac:dyDescent="0.25" r="195" customHeight="1" ht="17.25">
      <c r="A195" s="7"/>
      <c r="B195" s="7"/>
      <c r="C195" s="7"/>
      <c r="D195" s="7"/>
      <c r="E195" s="8"/>
      <c r="F195" s="9"/>
      <c r="G195" s="9"/>
      <c r="H195" s="10"/>
      <c r="I195" s="9"/>
      <c r="J195" s="9"/>
    </row>
    <row x14ac:dyDescent="0.25" r="196" customHeight="1" ht="17.25">
      <c r="A196" s="11" t="s">
        <v>5334</v>
      </c>
      <c r="B196" s="11"/>
      <c r="C196" s="11"/>
      <c r="D196" s="11"/>
      <c r="E196" s="12"/>
      <c r="F196" s="11"/>
      <c r="G196" s="11"/>
      <c r="H196" s="13"/>
      <c r="I196" s="11"/>
      <c r="J196" s="11"/>
    </row>
    <row x14ac:dyDescent="0.25" r="197" customHeight="1" ht="17.25">
      <c r="A197" s="14" t="s">
        <v>3</v>
      </c>
      <c r="B197" s="14" t="s">
        <v>4</v>
      </c>
      <c r="C197" s="14" t="s">
        <v>5</v>
      </c>
      <c r="D197" s="14" t="s">
        <v>6</v>
      </c>
      <c r="E197" s="15" t="s">
        <v>7</v>
      </c>
      <c r="F197" s="14" t="s">
        <v>8</v>
      </c>
      <c r="G197" s="14" t="s">
        <v>9</v>
      </c>
      <c r="H197" s="16" t="s">
        <v>10</v>
      </c>
      <c r="I197" s="14" t="s">
        <v>11</v>
      </c>
      <c r="J197" s="14" t="s">
        <v>12</v>
      </c>
    </row>
    <row x14ac:dyDescent="0.25" r="198" customHeight="1" ht="17.25">
      <c r="A198" s="17" t="s">
        <v>5335</v>
      </c>
      <c r="B198" s="17" t="s">
        <v>332</v>
      </c>
      <c r="C198" s="17" t="s">
        <v>76</v>
      </c>
      <c r="D198" s="17" t="s">
        <v>16</v>
      </c>
      <c r="E198" s="18">
        <f>ROUND(11267*1.05,2)</f>
      </c>
      <c r="F198" s="17" t="s">
        <v>17</v>
      </c>
      <c r="G198" s="17" t="s">
        <v>18</v>
      </c>
      <c r="H198" s="18">
        <f>ROUND(RAND()*4+6,1)</f>
      </c>
      <c r="I198" s="17" t="s">
        <v>19</v>
      </c>
      <c r="J198" s="19">
        <f>ROUND(72*1,0)&amp;"%"</f>
      </c>
    </row>
    <row x14ac:dyDescent="0.25" r="199" customHeight="1" ht="17.25">
      <c r="A199" s="20" t="s">
        <v>5336</v>
      </c>
      <c r="B199" s="20" t="s">
        <v>334</v>
      </c>
      <c r="C199" s="20" t="s">
        <v>76</v>
      </c>
      <c r="D199" s="20" t="s">
        <v>22</v>
      </c>
      <c r="E199" s="21">
        <f>ROUND(10483*1.05,2)</f>
      </c>
      <c r="F199" s="20" t="s">
        <v>23</v>
      </c>
      <c r="G199" s="20" t="s">
        <v>24</v>
      </c>
      <c r="H199" s="21">
        <f>ROUND(RAND()*4+6,1)</f>
      </c>
      <c r="I199" s="20" t="s">
        <v>25</v>
      </c>
      <c r="J199" s="23">
        <f>ROUND(77*1,0)&amp;"%"</f>
      </c>
    </row>
    <row x14ac:dyDescent="0.25" r="200" customHeight="1" ht="17.25">
      <c r="A200" s="17" t="s">
        <v>5337</v>
      </c>
      <c r="B200" s="17" t="s">
        <v>336</v>
      </c>
      <c r="C200" s="17" t="s">
        <v>76</v>
      </c>
      <c r="D200" s="17" t="s">
        <v>28</v>
      </c>
      <c r="E200" s="18">
        <f>ROUND(14462*1.05,2)</f>
      </c>
      <c r="F200" s="17" t="s">
        <v>29</v>
      </c>
      <c r="G200" s="17" t="s">
        <v>30</v>
      </c>
      <c r="H200" s="18">
        <f>ROUND(RAND()*4+6,1)</f>
      </c>
      <c r="I200" s="17" t="s">
        <v>31</v>
      </c>
      <c r="J200" s="19">
        <f>ROUND(96*1,0)&amp;"%"</f>
      </c>
    </row>
    <row x14ac:dyDescent="0.25" r="201" customHeight="1" ht="17.25">
      <c r="A201" s="20" t="s">
        <v>5338</v>
      </c>
      <c r="B201" s="20" t="s">
        <v>338</v>
      </c>
      <c r="C201" s="20" t="s">
        <v>76</v>
      </c>
      <c r="D201" s="20" t="s">
        <v>34</v>
      </c>
      <c r="E201" s="21">
        <f>ROUND(17009*1.05,2)</f>
      </c>
      <c r="F201" s="20" t="s">
        <v>35</v>
      </c>
      <c r="G201" s="20" t="s">
        <v>18</v>
      </c>
      <c r="H201" s="21">
        <f>ROUND(RAND()*4+6,1)</f>
      </c>
      <c r="I201" s="20" t="s">
        <v>36</v>
      </c>
      <c r="J201" s="23">
        <f>ROUND(71*1,0)&amp;"%"</f>
      </c>
    </row>
    <row x14ac:dyDescent="0.25" r="202" customHeight="1" ht="17.25">
      <c r="A202" s="17" t="s">
        <v>5339</v>
      </c>
      <c r="B202" s="17" t="s">
        <v>340</v>
      </c>
      <c r="C202" s="17" t="s">
        <v>76</v>
      </c>
      <c r="D202" s="17" t="s">
        <v>39</v>
      </c>
      <c r="E202" s="18">
        <f>ROUND(9797*1.05,2)</f>
      </c>
      <c r="F202" s="17" t="s">
        <v>40</v>
      </c>
      <c r="G202" s="17" t="s">
        <v>24</v>
      </c>
      <c r="H202" s="26">
        <f>ROUND(RAND()*4+6,1)</f>
      </c>
      <c r="I202" s="17" t="s">
        <v>41</v>
      </c>
      <c r="J202" s="19">
        <f>ROUND(77*1,0)&amp;"%"</f>
      </c>
    </row>
    <row x14ac:dyDescent="0.25" r="203" customHeight="1" ht="17.25">
      <c r="A203" s="20" t="s">
        <v>5340</v>
      </c>
      <c r="B203" s="20" t="s">
        <v>342</v>
      </c>
      <c r="C203" s="20" t="s">
        <v>76</v>
      </c>
      <c r="D203" s="20" t="s">
        <v>67</v>
      </c>
      <c r="E203" s="21">
        <f>ROUND(4833*1.05,2)</f>
      </c>
      <c r="F203" s="20" t="s">
        <v>44</v>
      </c>
      <c r="G203" s="20" t="s">
        <v>30</v>
      </c>
      <c r="H203" s="21">
        <f>ROUND(RAND()*4+6,1)</f>
      </c>
      <c r="I203" s="20" t="s">
        <v>45</v>
      </c>
      <c r="J203" s="23">
        <f>ROUND(86*1,0)&amp;"%"</f>
      </c>
    </row>
    <row x14ac:dyDescent="0.25" r="204" customHeight="1" ht="17.25">
      <c r="A204" s="17" t="s">
        <v>5341</v>
      </c>
      <c r="B204" s="17" t="s">
        <v>344</v>
      </c>
      <c r="C204" s="17" t="s">
        <v>76</v>
      </c>
      <c r="D204" s="17" t="s">
        <v>16</v>
      </c>
      <c r="E204" s="18">
        <f>ROUND(13949*1.05,2)</f>
      </c>
      <c r="F204" s="17" t="s">
        <v>48</v>
      </c>
      <c r="G204" s="17" t="s">
        <v>18</v>
      </c>
      <c r="H204" s="18">
        <f>ROUND(RAND()*4+6,1)</f>
      </c>
      <c r="I204" s="17" t="s">
        <v>19</v>
      </c>
      <c r="J204" s="19">
        <f>ROUND(68*1,0)&amp;"%"</f>
      </c>
    </row>
    <row x14ac:dyDescent="0.25" r="205" customHeight="1" ht="17.25">
      <c r="A205" s="20" t="s">
        <v>5342</v>
      </c>
      <c r="B205" s="20" t="s">
        <v>346</v>
      </c>
      <c r="C205" s="20" t="s">
        <v>76</v>
      </c>
      <c r="D205" s="20" t="s">
        <v>22</v>
      </c>
      <c r="E205" s="21">
        <f>ROUND(9293*1.05,2)</f>
      </c>
      <c r="F205" s="20" t="s">
        <v>51</v>
      </c>
      <c r="G205" s="20" t="s">
        <v>24</v>
      </c>
      <c r="H205" s="22">
        <f>ROUND(RAND()*4+6,1)</f>
      </c>
      <c r="I205" s="20" t="s">
        <v>25</v>
      </c>
      <c r="J205" s="23">
        <f>ROUND(74*1,0)&amp;"%"</f>
      </c>
    </row>
    <row x14ac:dyDescent="0.25" r="206" customHeight="1" ht="17.25">
      <c r="A206" s="24" t="s">
        <v>347</v>
      </c>
      <c r="B206" s="24"/>
      <c r="C206" s="24"/>
      <c r="D206" s="24"/>
      <c r="E206" s="25">
        <v>8</v>
      </c>
      <c r="F206" s="9"/>
      <c r="G206" s="9"/>
      <c r="H206" s="10"/>
      <c r="I206" s="9"/>
      <c r="J206" s="9"/>
    </row>
    <row x14ac:dyDescent="0.25" r="207" customHeight="1" ht="17.25">
      <c r="A207" s="7"/>
      <c r="B207" s="7"/>
      <c r="C207" s="7"/>
      <c r="D207" s="7"/>
      <c r="E207" s="8"/>
      <c r="F207" s="9"/>
      <c r="G207" s="9"/>
      <c r="H207" s="10"/>
      <c r="I207" s="9"/>
      <c r="J207" s="9"/>
    </row>
    <row x14ac:dyDescent="0.25" r="208" customHeight="1" ht="17.25">
      <c r="A208" s="11" t="s">
        <v>5343</v>
      </c>
      <c r="B208" s="11"/>
      <c r="C208" s="11"/>
      <c r="D208" s="11"/>
      <c r="E208" s="12"/>
      <c r="F208" s="11"/>
      <c r="G208" s="11"/>
      <c r="H208" s="13"/>
      <c r="I208" s="11"/>
      <c r="J208" s="11"/>
    </row>
    <row x14ac:dyDescent="0.25" r="209" customHeight="1" ht="17.25">
      <c r="A209" s="14" t="s">
        <v>3</v>
      </c>
      <c r="B209" s="14" t="s">
        <v>4</v>
      </c>
      <c r="C209" s="14" t="s">
        <v>5</v>
      </c>
      <c r="D209" s="14" t="s">
        <v>6</v>
      </c>
      <c r="E209" s="15" t="s">
        <v>7</v>
      </c>
      <c r="F209" s="14" t="s">
        <v>8</v>
      </c>
      <c r="G209" s="14" t="s">
        <v>9</v>
      </c>
      <c r="H209" s="16" t="s">
        <v>10</v>
      </c>
      <c r="I209" s="14" t="s">
        <v>11</v>
      </c>
      <c r="J209" s="14" t="s">
        <v>12</v>
      </c>
    </row>
    <row x14ac:dyDescent="0.25" r="210" customHeight="1" ht="17.25">
      <c r="A210" s="17" t="s">
        <v>5344</v>
      </c>
      <c r="B210" s="17" t="s">
        <v>350</v>
      </c>
      <c r="C210" s="17" t="s">
        <v>95</v>
      </c>
      <c r="D210" s="17" t="s">
        <v>16</v>
      </c>
      <c r="E210" s="18">
        <f>ROUND(17957*1.05,2)</f>
      </c>
      <c r="F210" s="17" t="s">
        <v>17</v>
      </c>
      <c r="G210" s="17" t="s">
        <v>18</v>
      </c>
      <c r="H210" s="18">
        <f>ROUND(RAND()*4+6,1)</f>
      </c>
      <c r="I210" s="17" t="s">
        <v>19</v>
      </c>
      <c r="J210" s="19">
        <f>ROUND(80*1,0)&amp;"%"</f>
      </c>
    </row>
    <row x14ac:dyDescent="0.25" r="211" customHeight="1" ht="17.25">
      <c r="A211" s="20" t="s">
        <v>5345</v>
      </c>
      <c r="B211" s="20" t="s">
        <v>352</v>
      </c>
      <c r="C211" s="20" t="s">
        <v>95</v>
      </c>
      <c r="D211" s="20" t="s">
        <v>22</v>
      </c>
      <c r="E211" s="21">
        <f>ROUND(5316*1.05,2)</f>
      </c>
      <c r="F211" s="20" t="s">
        <v>23</v>
      </c>
      <c r="G211" s="20" t="s">
        <v>24</v>
      </c>
      <c r="H211" s="22">
        <f>ROUND(RAND()*4+6,1)</f>
      </c>
      <c r="I211" s="20" t="s">
        <v>25</v>
      </c>
      <c r="J211" s="23">
        <f>ROUND(86*1,0)&amp;"%"</f>
      </c>
    </row>
    <row x14ac:dyDescent="0.25" r="212" customHeight="1" ht="17.25">
      <c r="A212" s="17" t="s">
        <v>5346</v>
      </c>
      <c r="B212" s="17" t="s">
        <v>354</v>
      </c>
      <c r="C212" s="17" t="s">
        <v>95</v>
      </c>
      <c r="D212" s="17" t="s">
        <v>28</v>
      </c>
      <c r="E212" s="18">
        <f>ROUND(17485*1.05,2)</f>
      </c>
      <c r="F212" s="17" t="s">
        <v>29</v>
      </c>
      <c r="G212" s="17" t="s">
        <v>30</v>
      </c>
      <c r="H212" s="18">
        <f>ROUND(RAND()*4+6,1)</f>
      </c>
      <c r="I212" s="17" t="s">
        <v>31</v>
      </c>
      <c r="J212" s="19">
        <f>ROUND(65*1,0)&amp;"%"</f>
      </c>
    </row>
    <row x14ac:dyDescent="0.25" r="213" customHeight="1" ht="17.25">
      <c r="A213" s="20" t="s">
        <v>5347</v>
      </c>
      <c r="B213" s="20" t="s">
        <v>356</v>
      </c>
      <c r="C213" s="20" t="s">
        <v>95</v>
      </c>
      <c r="D213" s="20" t="s">
        <v>34</v>
      </c>
      <c r="E213" s="21">
        <f>ROUND(15912*1.05,2)</f>
      </c>
      <c r="F213" s="20" t="s">
        <v>35</v>
      </c>
      <c r="G213" s="20" t="s">
        <v>18</v>
      </c>
      <c r="H213" s="21">
        <f>ROUND(RAND()*4+6,1)</f>
      </c>
      <c r="I213" s="20" t="s">
        <v>36</v>
      </c>
      <c r="J213" s="23">
        <f>ROUND(81*1,0)&amp;"%"</f>
      </c>
    </row>
    <row x14ac:dyDescent="0.25" r="214" customHeight="1" ht="17.25">
      <c r="A214" s="17" t="s">
        <v>5348</v>
      </c>
      <c r="B214" s="17" t="s">
        <v>358</v>
      </c>
      <c r="C214" s="17" t="s">
        <v>95</v>
      </c>
      <c r="D214" s="17" t="s">
        <v>39</v>
      </c>
      <c r="E214" s="18">
        <f>ROUND(5146*1.05,2)</f>
      </c>
      <c r="F214" s="17" t="s">
        <v>40</v>
      </c>
      <c r="G214" s="17" t="s">
        <v>24</v>
      </c>
      <c r="H214" s="18">
        <f>ROUND(RAND()*4+6,1)</f>
      </c>
      <c r="I214" s="17" t="s">
        <v>41</v>
      </c>
      <c r="J214" s="19">
        <f>ROUND(69*1,0)&amp;"%"</f>
      </c>
    </row>
    <row x14ac:dyDescent="0.25" r="215" customHeight="1" ht="17.25">
      <c r="A215" s="20" t="s">
        <v>5349</v>
      </c>
      <c r="B215" s="20" t="s">
        <v>360</v>
      </c>
      <c r="C215" s="20" t="s">
        <v>95</v>
      </c>
      <c r="D215" s="20" t="s">
        <v>67</v>
      </c>
      <c r="E215" s="21">
        <f>ROUND(8847*1.05,2)</f>
      </c>
      <c r="F215" s="20" t="s">
        <v>44</v>
      </c>
      <c r="G215" s="20" t="s">
        <v>30</v>
      </c>
      <c r="H215" s="21">
        <f>ROUND(RAND()*4+6,1)</f>
      </c>
      <c r="I215" s="20" t="s">
        <v>45</v>
      </c>
      <c r="J215" s="23">
        <f>ROUND(64*1,0)&amp;"%"</f>
      </c>
    </row>
    <row x14ac:dyDescent="0.25" r="216" customHeight="1" ht="17.25">
      <c r="A216" s="17" t="s">
        <v>5350</v>
      </c>
      <c r="B216" s="17" t="s">
        <v>362</v>
      </c>
      <c r="C216" s="17" t="s">
        <v>95</v>
      </c>
      <c r="D216" s="17" t="s">
        <v>16</v>
      </c>
      <c r="E216" s="18">
        <f>ROUND(8769*1.05,2)</f>
      </c>
      <c r="F216" s="17" t="s">
        <v>48</v>
      </c>
      <c r="G216" s="17" t="s">
        <v>18</v>
      </c>
      <c r="H216" s="18">
        <f>ROUND(RAND()*4+6,1)</f>
      </c>
      <c r="I216" s="17" t="s">
        <v>19</v>
      </c>
      <c r="J216" s="19">
        <f>ROUND(90*1,0)&amp;"%"</f>
      </c>
    </row>
    <row x14ac:dyDescent="0.25" r="217" customHeight="1" ht="17.25">
      <c r="A217" s="20" t="s">
        <v>5351</v>
      </c>
      <c r="B217" s="20" t="s">
        <v>364</v>
      </c>
      <c r="C217" s="20" t="s">
        <v>95</v>
      </c>
      <c r="D217" s="20" t="s">
        <v>22</v>
      </c>
      <c r="E217" s="21">
        <f>ROUND(14019*1.05,2)</f>
      </c>
      <c r="F217" s="20" t="s">
        <v>51</v>
      </c>
      <c r="G217" s="20" t="s">
        <v>24</v>
      </c>
      <c r="H217" s="21">
        <f>ROUND(RAND()*4+6,1)</f>
      </c>
      <c r="I217" s="20" t="s">
        <v>25</v>
      </c>
      <c r="J217" s="23">
        <f>ROUND(81*1,0)&amp;"%"</f>
      </c>
    </row>
    <row x14ac:dyDescent="0.25" r="218" customHeight="1" ht="17.25">
      <c r="A218" s="24" t="s">
        <v>365</v>
      </c>
      <c r="B218" s="24"/>
      <c r="C218" s="24"/>
      <c r="D218" s="24"/>
      <c r="E218" s="25">
        <v>8</v>
      </c>
      <c r="F218" s="9"/>
      <c r="G218" s="9"/>
      <c r="H218" s="10"/>
      <c r="I218" s="9"/>
      <c r="J218" s="9"/>
    </row>
    <row x14ac:dyDescent="0.25" r="219" customHeight="1" ht="17.25">
      <c r="A219" s="7"/>
      <c r="B219" s="7"/>
      <c r="C219" s="7"/>
      <c r="D219" s="7"/>
      <c r="E219" s="8"/>
      <c r="F219" s="9"/>
      <c r="G219" s="9"/>
      <c r="H219" s="10"/>
      <c r="I219" s="9"/>
      <c r="J219" s="9"/>
    </row>
    <row x14ac:dyDescent="0.25" r="220" customHeight="1" ht="17.25">
      <c r="A220" s="11" t="s">
        <v>5352</v>
      </c>
      <c r="B220" s="11"/>
      <c r="C220" s="11"/>
      <c r="D220" s="11"/>
      <c r="E220" s="12"/>
      <c r="F220" s="11"/>
      <c r="G220" s="11"/>
      <c r="H220" s="13"/>
      <c r="I220" s="11"/>
      <c r="J220" s="11"/>
    </row>
    <row x14ac:dyDescent="0.25" r="221" customHeight="1" ht="17.25">
      <c r="A221" s="14" t="s">
        <v>3</v>
      </c>
      <c r="B221" s="14" t="s">
        <v>4</v>
      </c>
      <c r="C221" s="14" t="s">
        <v>5</v>
      </c>
      <c r="D221" s="14" t="s">
        <v>6</v>
      </c>
      <c r="E221" s="15" t="s">
        <v>7</v>
      </c>
      <c r="F221" s="14" t="s">
        <v>8</v>
      </c>
      <c r="G221" s="14" t="s">
        <v>9</v>
      </c>
      <c r="H221" s="16" t="s">
        <v>10</v>
      </c>
      <c r="I221" s="14" t="s">
        <v>11</v>
      </c>
      <c r="J221" s="14" t="s">
        <v>12</v>
      </c>
    </row>
    <row x14ac:dyDescent="0.25" r="222" customHeight="1" ht="17.25">
      <c r="A222" s="17" t="s">
        <v>5353</v>
      </c>
      <c r="B222" s="17" t="s">
        <v>368</v>
      </c>
      <c r="C222" s="17" t="s">
        <v>114</v>
      </c>
      <c r="D222" s="17" t="s">
        <v>16</v>
      </c>
      <c r="E222" s="18">
        <f>ROUND(13201*1.05,2)</f>
      </c>
      <c r="F222" s="17" t="s">
        <v>17</v>
      </c>
      <c r="G222" s="17" t="s">
        <v>18</v>
      </c>
      <c r="H222" s="18">
        <f>ROUND(RAND()*4+6,1)</f>
      </c>
      <c r="I222" s="17" t="s">
        <v>19</v>
      </c>
      <c r="J222" s="19">
        <f>ROUND(97*1,0)&amp;"%"</f>
      </c>
    </row>
    <row x14ac:dyDescent="0.25" r="223" customHeight="1" ht="17.25">
      <c r="A223" s="20" t="s">
        <v>5354</v>
      </c>
      <c r="B223" s="20" t="s">
        <v>370</v>
      </c>
      <c r="C223" s="20" t="s">
        <v>114</v>
      </c>
      <c r="D223" s="20" t="s">
        <v>22</v>
      </c>
      <c r="E223" s="21">
        <f>ROUND(7037*1.05,2)</f>
      </c>
      <c r="F223" s="20" t="s">
        <v>23</v>
      </c>
      <c r="G223" s="20" t="s">
        <v>24</v>
      </c>
      <c r="H223" s="21">
        <f>ROUND(RAND()*4+6,1)</f>
      </c>
      <c r="I223" s="20" t="s">
        <v>25</v>
      </c>
      <c r="J223" s="23">
        <f>ROUND(80*1,0)&amp;"%"</f>
      </c>
    </row>
    <row x14ac:dyDescent="0.25" r="224" customHeight="1" ht="17.25">
      <c r="A224" s="17" t="s">
        <v>5355</v>
      </c>
      <c r="B224" s="17" t="s">
        <v>372</v>
      </c>
      <c r="C224" s="17" t="s">
        <v>114</v>
      </c>
      <c r="D224" s="17" t="s">
        <v>28</v>
      </c>
      <c r="E224" s="18">
        <f>ROUND(17645*1.05,2)</f>
      </c>
      <c r="F224" s="17" t="s">
        <v>29</v>
      </c>
      <c r="G224" s="17" t="s">
        <v>30</v>
      </c>
      <c r="H224" s="18">
        <f>ROUND(RAND()*4+6,1)</f>
      </c>
      <c r="I224" s="17" t="s">
        <v>31</v>
      </c>
      <c r="J224" s="19">
        <f>ROUND(96*1,0)&amp;"%"</f>
      </c>
    </row>
    <row x14ac:dyDescent="0.25" r="225" customHeight="1" ht="17.25">
      <c r="A225" s="20" t="s">
        <v>5356</v>
      </c>
      <c r="B225" s="20" t="s">
        <v>374</v>
      </c>
      <c r="C225" s="20" t="s">
        <v>114</v>
      </c>
      <c r="D225" s="20" t="s">
        <v>34</v>
      </c>
      <c r="E225" s="21">
        <f>ROUND(13907*1.05,2)</f>
      </c>
      <c r="F225" s="20" t="s">
        <v>35</v>
      </c>
      <c r="G225" s="20" t="s">
        <v>18</v>
      </c>
      <c r="H225" s="21">
        <f>ROUND(RAND()*4+6,1)</f>
      </c>
      <c r="I225" s="20" t="s">
        <v>36</v>
      </c>
      <c r="J225" s="23">
        <f>ROUND(79*1,0)&amp;"%"</f>
      </c>
    </row>
    <row x14ac:dyDescent="0.25" r="226" customHeight="1" ht="17.25">
      <c r="A226" s="17" t="s">
        <v>5357</v>
      </c>
      <c r="B226" s="17" t="s">
        <v>376</v>
      </c>
      <c r="C226" s="17" t="s">
        <v>114</v>
      </c>
      <c r="D226" s="17" t="s">
        <v>39</v>
      </c>
      <c r="E226" s="18">
        <f>ROUND(16624*1.05,2)</f>
      </c>
      <c r="F226" s="17" t="s">
        <v>40</v>
      </c>
      <c r="G226" s="17" t="s">
        <v>24</v>
      </c>
      <c r="H226" s="18">
        <f>ROUND(RAND()*4+6,1)</f>
      </c>
      <c r="I226" s="17" t="s">
        <v>41</v>
      </c>
      <c r="J226" s="19">
        <f>ROUND(92*1,0)&amp;"%"</f>
      </c>
    </row>
    <row x14ac:dyDescent="0.25" r="227" customHeight="1" ht="17.25">
      <c r="A227" s="20" t="s">
        <v>5358</v>
      </c>
      <c r="B227" s="20" t="s">
        <v>378</v>
      </c>
      <c r="C227" s="20" t="s">
        <v>114</v>
      </c>
      <c r="D227" s="20" t="s">
        <v>67</v>
      </c>
      <c r="E227" s="21">
        <f>ROUND(9750*1.05,2)</f>
      </c>
      <c r="F227" s="20" t="s">
        <v>44</v>
      </c>
      <c r="G227" s="20" t="s">
        <v>30</v>
      </c>
      <c r="H227" s="21">
        <f>ROUND(RAND()*4+6,1)</f>
      </c>
      <c r="I227" s="20" t="s">
        <v>45</v>
      </c>
      <c r="J227" s="23">
        <f>ROUND(84*1,0)&amp;"%"</f>
      </c>
    </row>
    <row x14ac:dyDescent="0.25" r="228" customHeight="1" ht="17.25">
      <c r="A228" s="17" t="s">
        <v>5359</v>
      </c>
      <c r="B228" s="17" t="s">
        <v>380</v>
      </c>
      <c r="C228" s="17" t="s">
        <v>114</v>
      </c>
      <c r="D228" s="17" t="s">
        <v>16</v>
      </c>
      <c r="E228" s="26">
        <f>ROUND(4820*1.05,2)</f>
      </c>
      <c r="F228" s="17" t="s">
        <v>48</v>
      </c>
      <c r="G228" s="17" t="s">
        <v>18</v>
      </c>
      <c r="H228" s="26">
        <f>ROUND(RAND()*4+6,1)</f>
      </c>
      <c r="I228" s="17" t="s">
        <v>19</v>
      </c>
      <c r="J228" s="19">
        <f>ROUND(96*1,0)&amp;"%"</f>
      </c>
    </row>
    <row x14ac:dyDescent="0.25" r="229" customHeight="1" ht="17.25">
      <c r="A229" s="20" t="s">
        <v>5360</v>
      </c>
      <c r="B229" s="20" t="s">
        <v>382</v>
      </c>
      <c r="C229" s="20" t="s">
        <v>114</v>
      </c>
      <c r="D229" s="20" t="s">
        <v>22</v>
      </c>
      <c r="E229" s="21">
        <f>ROUND(4148*1.05,2)</f>
      </c>
      <c r="F229" s="20" t="s">
        <v>51</v>
      </c>
      <c r="G229" s="20" t="s">
        <v>24</v>
      </c>
      <c r="H229" s="21">
        <f>ROUND(RAND()*4+6,1)</f>
      </c>
      <c r="I229" s="20" t="s">
        <v>25</v>
      </c>
      <c r="J229" s="23">
        <f>ROUND(65*1,0)&amp;"%"</f>
      </c>
    </row>
    <row x14ac:dyDescent="0.25" r="230" customHeight="1" ht="17.25">
      <c r="A230" s="24" t="s">
        <v>383</v>
      </c>
      <c r="B230" s="24"/>
      <c r="C230" s="24"/>
      <c r="D230" s="24"/>
      <c r="E230" s="25">
        <v>8</v>
      </c>
      <c r="F230" s="9"/>
      <c r="G230" s="9"/>
      <c r="H230" s="10"/>
      <c r="I230" s="9"/>
      <c r="J230" s="9"/>
    </row>
    <row x14ac:dyDescent="0.25" r="231" customHeight="1" ht="17.25">
      <c r="A231" s="7"/>
      <c r="B231" s="7"/>
      <c r="C231" s="7"/>
      <c r="D231" s="7"/>
      <c r="E231" s="8"/>
      <c r="F231" s="9"/>
      <c r="G231" s="9"/>
      <c r="H231" s="10"/>
      <c r="I231" s="9"/>
      <c r="J231" s="9"/>
    </row>
    <row x14ac:dyDescent="0.25" r="232" customHeight="1" ht="17.25">
      <c r="A232" s="11" t="s">
        <v>5361</v>
      </c>
      <c r="B232" s="11"/>
      <c r="C232" s="11"/>
      <c r="D232" s="11"/>
      <c r="E232" s="12"/>
      <c r="F232" s="11"/>
      <c r="G232" s="11"/>
      <c r="H232" s="13"/>
      <c r="I232" s="11"/>
      <c r="J232" s="11"/>
    </row>
    <row x14ac:dyDescent="0.25" r="233" customHeight="1" ht="17.25">
      <c r="A233" s="14" t="s">
        <v>3</v>
      </c>
      <c r="B233" s="14" t="s">
        <v>4</v>
      </c>
      <c r="C233" s="14" t="s">
        <v>5</v>
      </c>
      <c r="D233" s="14" t="s">
        <v>6</v>
      </c>
      <c r="E233" s="15" t="s">
        <v>7</v>
      </c>
      <c r="F233" s="14" t="s">
        <v>8</v>
      </c>
      <c r="G233" s="14" t="s">
        <v>9</v>
      </c>
      <c r="H233" s="16" t="s">
        <v>10</v>
      </c>
      <c r="I233" s="14" t="s">
        <v>11</v>
      </c>
      <c r="J233" s="14" t="s">
        <v>12</v>
      </c>
    </row>
    <row x14ac:dyDescent="0.25" r="234" customHeight="1" ht="17.25">
      <c r="A234" s="17" t="s">
        <v>5362</v>
      </c>
      <c r="B234" s="17" t="s">
        <v>386</v>
      </c>
      <c r="C234" s="17" t="s">
        <v>133</v>
      </c>
      <c r="D234" s="17" t="s">
        <v>16</v>
      </c>
      <c r="E234" s="26">
        <f>ROUND(9840*1.05,2)</f>
      </c>
      <c r="F234" s="17" t="s">
        <v>17</v>
      </c>
      <c r="G234" s="17" t="s">
        <v>18</v>
      </c>
      <c r="H234" s="18">
        <f>ROUND(RAND()*4+6,1)</f>
      </c>
      <c r="I234" s="17" t="s">
        <v>19</v>
      </c>
      <c r="J234" s="19">
        <f>ROUND(81*1,0)&amp;"%"</f>
      </c>
    </row>
    <row x14ac:dyDescent="0.25" r="235" customHeight="1" ht="17.25">
      <c r="A235" s="20" t="s">
        <v>5363</v>
      </c>
      <c r="B235" s="20" t="s">
        <v>388</v>
      </c>
      <c r="C235" s="20" t="s">
        <v>133</v>
      </c>
      <c r="D235" s="20" t="s">
        <v>22</v>
      </c>
      <c r="E235" s="21">
        <f>ROUND(7922*1.05,2)</f>
      </c>
      <c r="F235" s="20" t="s">
        <v>23</v>
      </c>
      <c r="G235" s="20" t="s">
        <v>24</v>
      </c>
      <c r="H235" s="21">
        <f>ROUND(RAND()*4+6,1)</f>
      </c>
      <c r="I235" s="20" t="s">
        <v>25</v>
      </c>
      <c r="J235" s="23">
        <f>ROUND(71*1,0)&amp;"%"</f>
      </c>
    </row>
    <row x14ac:dyDescent="0.25" r="236" customHeight="1" ht="17.25">
      <c r="A236" s="17" t="s">
        <v>5364</v>
      </c>
      <c r="B236" s="17" t="s">
        <v>390</v>
      </c>
      <c r="C236" s="17" t="s">
        <v>133</v>
      </c>
      <c r="D236" s="17" t="s">
        <v>28</v>
      </c>
      <c r="E236" s="18">
        <f>ROUND(12414*1.05,2)</f>
      </c>
      <c r="F236" s="17" t="s">
        <v>29</v>
      </c>
      <c r="G236" s="17" t="s">
        <v>30</v>
      </c>
      <c r="H236" s="18">
        <f>ROUND(RAND()*4+6,1)</f>
      </c>
      <c r="I236" s="17" t="s">
        <v>31</v>
      </c>
      <c r="J236" s="19">
        <f>ROUND(73*1,0)&amp;"%"</f>
      </c>
    </row>
    <row x14ac:dyDescent="0.25" r="237" customHeight="1" ht="17.25">
      <c r="A237" s="20" t="s">
        <v>5365</v>
      </c>
      <c r="B237" s="20" t="s">
        <v>392</v>
      </c>
      <c r="C237" s="20" t="s">
        <v>133</v>
      </c>
      <c r="D237" s="20" t="s">
        <v>34</v>
      </c>
      <c r="E237" s="21">
        <f>ROUND(15590*1.05,2)</f>
      </c>
      <c r="F237" s="20" t="s">
        <v>35</v>
      </c>
      <c r="G237" s="20" t="s">
        <v>18</v>
      </c>
      <c r="H237" s="21">
        <f>ROUND(RAND()*4+6,1)</f>
      </c>
      <c r="I237" s="20" t="s">
        <v>36</v>
      </c>
      <c r="J237" s="23">
        <f>ROUND(79*1,0)&amp;"%"</f>
      </c>
    </row>
    <row x14ac:dyDescent="0.25" r="238" customHeight="1" ht="17.25">
      <c r="A238" s="17" t="s">
        <v>5366</v>
      </c>
      <c r="B238" s="17" t="s">
        <v>394</v>
      </c>
      <c r="C238" s="17" t="s">
        <v>133</v>
      </c>
      <c r="D238" s="17" t="s">
        <v>39</v>
      </c>
      <c r="E238" s="18">
        <f>ROUND(8414*1.05,2)</f>
      </c>
      <c r="F238" s="17" t="s">
        <v>40</v>
      </c>
      <c r="G238" s="17" t="s">
        <v>24</v>
      </c>
      <c r="H238" s="18">
        <f>ROUND(RAND()*4+6,1)</f>
      </c>
      <c r="I238" s="17" t="s">
        <v>41</v>
      </c>
      <c r="J238" s="19">
        <f>ROUND(79*1,0)&amp;"%"</f>
      </c>
    </row>
    <row x14ac:dyDescent="0.25" r="239" customHeight="1" ht="17.25">
      <c r="A239" s="20" t="s">
        <v>5367</v>
      </c>
      <c r="B239" s="20" t="s">
        <v>396</v>
      </c>
      <c r="C239" s="20" t="s">
        <v>133</v>
      </c>
      <c r="D239" s="20" t="s">
        <v>67</v>
      </c>
      <c r="E239" s="21">
        <f>ROUND(6062*1.05,2)</f>
      </c>
      <c r="F239" s="20" t="s">
        <v>44</v>
      </c>
      <c r="G239" s="20" t="s">
        <v>30</v>
      </c>
      <c r="H239" s="21">
        <f>ROUND(RAND()*4+6,1)</f>
      </c>
      <c r="I239" s="20" t="s">
        <v>45</v>
      </c>
      <c r="J239" s="23">
        <f>ROUND(60*1,0)&amp;"%"</f>
      </c>
    </row>
    <row x14ac:dyDescent="0.25" r="240" customHeight="1" ht="17.25">
      <c r="A240" s="17" t="s">
        <v>5368</v>
      </c>
      <c r="B240" s="17" t="s">
        <v>398</v>
      </c>
      <c r="C240" s="17" t="s">
        <v>133</v>
      </c>
      <c r="D240" s="17" t="s">
        <v>16</v>
      </c>
      <c r="E240" s="18">
        <f>ROUND(16856*1.05,2)</f>
      </c>
      <c r="F240" s="17" t="s">
        <v>48</v>
      </c>
      <c r="G240" s="17" t="s">
        <v>18</v>
      </c>
      <c r="H240" s="18">
        <f>ROUND(RAND()*4+6,1)</f>
      </c>
      <c r="I240" s="17" t="s">
        <v>19</v>
      </c>
      <c r="J240" s="19">
        <f>ROUND(83*1,0)&amp;"%"</f>
      </c>
    </row>
    <row x14ac:dyDescent="0.25" r="241" customHeight="1" ht="17.25">
      <c r="A241" s="20" t="s">
        <v>5369</v>
      </c>
      <c r="B241" s="20" t="s">
        <v>400</v>
      </c>
      <c r="C241" s="20" t="s">
        <v>133</v>
      </c>
      <c r="D241" s="20" t="s">
        <v>22</v>
      </c>
      <c r="E241" s="21">
        <f>ROUND(13785*1.05,2)</f>
      </c>
      <c r="F241" s="20" t="s">
        <v>51</v>
      </c>
      <c r="G241" s="20" t="s">
        <v>24</v>
      </c>
      <c r="H241" s="21">
        <f>ROUND(RAND()*4+6,1)</f>
      </c>
      <c r="I241" s="20" t="s">
        <v>25</v>
      </c>
      <c r="J241" s="23">
        <f>ROUND(62*1,0)&amp;"%"</f>
      </c>
    </row>
    <row x14ac:dyDescent="0.25" r="242" customHeight="1" ht="17.25">
      <c r="A242" s="24" t="s">
        <v>401</v>
      </c>
      <c r="B242" s="24"/>
      <c r="C242" s="24"/>
      <c r="D242" s="24"/>
      <c r="E242" s="25">
        <v>8</v>
      </c>
      <c r="F242" s="9"/>
      <c r="G242" s="9"/>
      <c r="H242" s="10"/>
      <c r="I242" s="9"/>
      <c r="J242" s="9"/>
    </row>
    <row x14ac:dyDescent="0.25" r="243" customHeight="1" ht="17.25">
      <c r="A243" s="7"/>
      <c r="B243" s="7"/>
      <c r="C243" s="7"/>
      <c r="D243" s="7"/>
      <c r="E243" s="8"/>
      <c r="F243" s="9"/>
      <c r="G243" s="9"/>
      <c r="H243" s="10"/>
      <c r="I243" s="9"/>
      <c r="J243" s="9"/>
    </row>
    <row x14ac:dyDescent="0.25" r="244" customHeight="1" ht="17.25">
      <c r="A244" s="11" t="s">
        <v>5370</v>
      </c>
      <c r="B244" s="11"/>
      <c r="C244" s="11"/>
      <c r="D244" s="11"/>
      <c r="E244" s="12"/>
      <c r="F244" s="11"/>
      <c r="G244" s="11"/>
      <c r="H244" s="13"/>
      <c r="I244" s="11"/>
      <c r="J244" s="11"/>
    </row>
    <row x14ac:dyDescent="0.25" r="245" customHeight="1" ht="17.25">
      <c r="A245" s="14" t="s">
        <v>3</v>
      </c>
      <c r="B245" s="14" t="s">
        <v>4</v>
      </c>
      <c r="C245" s="14" t="s">
        <v>5</v>
      </c>
      <c r="D245" s="14" t="s">
        <v>6</v>
      </c>
      <c r="E245" s="15" t="s">
        <v>7</v>
      </c>
      <c r="F245" s="14" t="s">
        <v>8</v>
      </c>
      <c r="G245" s="14" t="s">
        <v>9</v>
      </c>
      <c r="H245" s="16" t="s">
        <v>10</v>
      </c>
      <c r="I245" s="14" t="s">
        <v>11</v>
      </c>
      <c r="J245" s="14" t="s">
        <v>12</v>
      </c>
    </row>
    <row x14ac:dyDescent="0.25" r="246" customHeight="1" ht="17.25">
      <c r="A246" s="17" t="s">
        <v>5371</v>
      </c>
      <c r="B246" s="17" t="s">
        <v>404</v>
      </c>
      <c r="C246" s="17" t="s">
        <v>152</v>
      </c>
      <c r="D246" s="17" t="s">
        <v>16</v>
      </c>
      <c r="E246" s="18">
        <f>ROUND(17235*1.05,2)</f>
      </c>
      <c r="F246" s="17" t="s">
        <v>17</v>
      </c>
      <c r="G246" s="17" t="s">
        <v>18</v>
      </c>
      <c r="H246" s="18">
        <f>ROUND(RAND()*4+6,1)</f>
      </c>
      <c r="I246" s="17" t="s">
        <v>19</v>
      </c>
      <c r="J246" s="19">
        <f>ROUND(63*1,0)&amp;"%"</f>
      </c>
    </row>
    <row x14ac:dyDescent="0.25" r="247" customHeight="1" ht="17.25">
      <c r="A247" s="20" t="s">
        <v>5372</v>
      </c>
      <c r="B247" s="20" t="s">
        <v>406</v>
      </c>
      <c r="C247" s="20" t="s">
        <v>152</v>
      </c>
      <c r="D247" s="20" t="s">
        <v>22</v>
      </c>
      <c r="E247" s="21">
        <f>ROUND(11422*1.05,2)</f>
      </c>
      <c r="F247" s="20" t="s">
        <v>23</v>
      </c>
      <c r="G247" s="20" t="s">
        <v>24</v>
      </c>
      <c r="H247" s="22">
        <f>ROUND(RAND()*4+6,1)</f>
      </c>
      <c r="I247" s="20" t="s">
        <v>25</v>
      </c>
      <c r="J247" s="23">
        <f>ROUND(84*1,0)&amp;"%"</f>
      </c>
    </row>
    <row x14ac:dyDescent="0.25" r="248" customHeight="1" ht="17.25">
      <c r="A248" s="17" t="s">
        <v>5373</v>
      </c>
      <c r="B248" s="17" t="s">
        <v>408</v>
      </c>
      <c r="C248" s="17" t="s">
        <v>152</v>
      </c>
      <c r="D248" s="17" t="s">
        <v>28</v>
      </c>
      <c r="E248" s="18">
        <f>ROUND(8264*1.05,2)</f>
      </c>
      <c r="F248" s="17" t="s">
        <v>29</v>
      </c>
      <c r="G248" s="17" t="s">
        <v>30</v>
      </c>
      <c r="H248" s="18">
        <f>ROUND(RAND()*4+6,1)</f>
      </c>
      <c r="I248" s="17" t="s">
        <v>31</v>
      </c>
      <c r="J248" s="19">
        <f>ROUND(93*1,0)&amp;"%"</f>
      </c>
    </row>
    <row x14ac:dyDescent="0.25" r="249" customHeight="1" ht="17.25">
      <c r="A249" s="20" t="s">
        <v>5374</v>
      </c>
      <c r="B249" s="20" t="s">
        <v>410</v>
      </c>
      <c r="C249" s="20" t="s">
        <v>152</v>
      </c>
      <c r="D249" s="20" t="s">
        <v>34</v>
      </c>
      <c r="E249" s="21">
        <f>ROUND(14382*1.05,2)</f>
      </c>
      <c r="F249" s="20" t="s">
        <v>35</v>
      </c>
      <c r="G249" s="20" t="s">
        <v>18</v>
      </c>
      <c r="H249" s="21">
        <f>ROUND(RAND()*4+6,1)</f>
      </c>
      <c r="I249" s="20" t="s">
        <v>36</v>
      </c>
      <c r="J249" s="23">
        <f>ROUND(64*1,0)&amp;"%"</f>
      </c>
    </row>
    <row x14ac:dyDescent="0.25" r="250" customHeight="1" ht="17.25">
      <c r="A250" s="17" t="s">
        <v>5375</v>
      </c>
      <c r="B250" s="17" t="s">
        <v>412</v>
      </c>
      <c r="C250" s="17" t="s">
        <v>152</v>
      </c>
      <c r="D250" s="17" t="s">
        <v>39</v>
      </c>
      <c r="E250" s="18">
        <f>ROUND(9556*1.05,2)</f>
      </c>
      <c r="F250" s="17" t="s">
        <v>40</v>
      </c>
      <c r="G250" s="17" t="s">
        <v>24</v>
      </c>
      <c r="H250" s="18">
        <f>ROUND(RAND()*4+6,1)</f>
      </c>
      <c r="I250" s="17" t="s">
        <v>41</v>
      </c>
      <c r="J250" s="19">
        <f>ROUND(65*1,0)&amp;"%"</f>
      </c>
    </row>
    <row x14ac:dyDescent="0.25" r="251" customHeight="1" ht="17.25">
      <c r="A251" s="20" t="s">
        <v>5376</v>
      </c>
      <c r="B251" s="20" t="s">
        <v>414</v>
      </c>
      <c r="C251" s="20" t="s">
        <v>152</v>
      </c>
      <c r="D251" s="20" t="s">
        <v>67</v>
      </c>
      <c r="E251" s="21">
        <f>ROUND(7737*1.05,2)</f>
      </c>
      <c r="F251" s="20" t="s">
        <v>44</v>
      </c>
      <c r="G251" s="20" t="s">
        <v>30</v>
      </c>
      <c r="H251" s="21">
        <f>ROUND(RAND()*4+6,1)</f>
      </c>
      <c r="I251" s="20" t="s">
        <v>45</v>
      </c>
      <c r="J251" s="23">
        <f>ROUND(94*1,0)&amp;"%"</f>
      </c>
    </row>
    <row x14ac:dyDescent="0.25" r="252" customHeight="1" ht="17.25">
      <c r="A252" s="17" t="s">
        <v>5377</v>
      </c>
      <c r="B252" s="17" t="s">
        <v>416</v>
      </c>
      <c r="C252" s="17" t="s">
        <v>152</v>
      </c>
      <c r="D252" s="17" t="s">
        <v>16</v>
      </c>
      <c r="E252" s="18">
        <f>ROUND(15193*1.05,2)</f>
      </c>
      <c r="F252" s="17" t="s">
        <v>48</v>
      </c>
      <c r="G252" s="17" t="s">
        <v>18</v>
      </c>
      <c r="H252" s="26">
        <f>ROUND(RAND()*4+6,1)</f>
      </c>
      <c r="I252" s="17" t="s">
        <v>19</v>
      </c>
      <c r="J252" s="19">
        <f>ROUND(65*1,0)&amp;"%"</f>
      </c>
    </row>
    <row x14ac:dyDescent="0.25" r="253" customHeight="1" ht="17.25">
      <c r="A253" s="20" t="s">
        <v>5378</v>
      </c>
      <c r="B253" s="20" t="s">
        <v>418</v>
      </c>
      <c r="C253" s="20" t="s">
        <v>152</v>
      </c>
      <c r="D253" s="20" t="s">
        <v>22</v>
      </c>
      <c r="E253" s="21">
        <f>ROUND(15489*1.05,2)</f>
      </c>
      <c r="F253" s="20" t="s">
        <v>51</v>
      </c>
      <c r="G253" s="20" t="s">
        <v>24</v>
      </c>
      <c r="H253" s="21">
        <f>ROUND(RAND()*4+6,1)</f>
      </c>
      <c r="I253" s="20" t="s">
        <v>25</v>
      </c>
      <c r="J253" s="23">
        <f>ROUND(84*1,0)&amp;"%"</f>
      </c>
    </row>
    <row x14ac:dyDescent="0.25" r="254" customHeight="1" ht="17.25">
      <c r="A254" s="24" t="s">
        <v>419</v>
      </c>
      <c r="B254" s="24"/>
      <c r="C254" s="24"/>
      <c r="D254" s="24"/>
      <c r="E254" s="25">
        <v>8</v>
      </c>
      <c r="F254" s="9"/>
      <c r="G254" s="9"/>
      <c r="H254" s="10"/>
      <c r="I254" s="9"/>
      <c r="J254" s="9"/>
    </row>
    <row x14ac:dyDescent="0.25" r="255" customHeight="1" ht="17.25">
      <c r="A255" s="7"/>
      <c r="B255" s="7"/>
      <c r="C255" s="7"/>
      <c r="D255" s="7"/>
      <c r="E255" s="8"/>
      <c r="F255" s="9"/>
      <c r="G255" s="9"/>
      <c r="H255" s="10"/>
      <c r="I255" s="9"/>
      <c r="J255" s="9"/>
    </row>
    <row x14ac:dyDescent="0.25" r="256" customHeight="1" ht="17.25">
      <c r="A256" s="11" t="s">
        <v>5379</v>
      </c>
      <c r="B256" s="11"/>
      <c r="C256" s="11"/>
      <c r="D256" s="11"/>
      <c r="E256" s="12"/>
      <c r="F256" s="11"/>
      <c r="G256" s="11"/>
      <c r="H256" s="13"/>
      <c r="I256" s="11"/>
      <c r="J256" s="11"/>
    </row>
    <row x14ac:dyDescent="0.25" r="257" customHeight="1" ht="17.25">
      <c r="A257" s="14" t="s">
        <v>3</v>
      </c>
      <c r="B257" s="14" t="s">
        <v>4</v>
      </c>
      <c r="C257" s="14" t="s">
        <v>5</v>
      </c>
      <c r="D257" s="14" t="s">
        <v>6</v>
      </c>
      <c r="E257" s="15" t="s">
        <v>7</v>
      </c>
      <c r="F257" s="14" t="s">
        <v>8</v>
      </c>
      <c r="G257" s="14" t="s">
        <v>9</v>
      </c>
      <c r="H257" s="16" t="s">
        <v>10</v>
      </c>
      <c r="I257" s="14" t="s">
        <v>11</v>
      </c>
      <c r="J257" s="14" t="s">
        <v>12</v>
      </c>
    </row>
    <row x14ac:dyDescent="0.25" r="258" customHeight="1" ht="17.25">
      <c r="A258" s="17" t="s">
        <v>5380</v>
      </c>
      <c r="B258" s="17" t="s">
        <v>422</v>
      </c>
      <c r="C258" s="17" t="s">
        <v>15</v>
      </c>
      <c r="D258" s="17" t="s">
        <v>16</v>
      </c>
      <c r="E258" s="18">
        <f>ROUND(17371*1.05,2)</f>
      </c>
      <c r="F258" s="17" t="s">
        <v>17</v>
      </c>
      <c r="G258" s="17" t="s">
        <v>18</v>
      </c>
      <c r="H258" s="18">
        <f>ROUND(RAND()*4+6,1)</f>
      </c>
      <c r="I258" s="17" t="s">
        <v>19</v>
      </c>
      <c r="J258" s="19">
        <f>ROUND(98*1,0)&amp;"%"</f>
      </c>
    </row>
    <row x14ac:dyDescent="0.25" r="259" customHeight="1" ht="17.25">
      <c r="A259" s="20" t="s">
        <v>5381</v>
      </c>
      <c r="B259" s="20" t="s">
        <v>424</v>
      </c>
      <c r="C259" s="20" t="s">
        <v>15</v>
      </c>
      <c r="D259" s="20" t="s">
        <v>22</v>
      </c>
      <c r="E259" s="21">
        <f>ROUND(14592*1.05,2)</f>
      </c>
      <c r="F259" s="20" t="s">
        <v>23</v>
      </c>
      <c r="G259" s="20" t="s">
        <v>24</v>
      </c>
      <c r="H259" s="21">
        <f>ROUND(RAND()*4+6,1)</f>
      </c>
      <c r="I259" s="20" t="s">
        <v>25</v>
      </c>
      <c r="J259" s="23">
        <f>ROUND(88*1,0)&amp;"%"</f>
      </c>
    </row>
    <row x14ac:dyDescent="0.25" r="260" customHeight="1" ht="17.25">
      <c r="A260" s="17" t="s">
        <v>5382</v>
      </c>
      <c r="B260" s="17" t="s">
        <v>426</v>
      </c>
      <c r="C260" s="17" t="s">
        <v>15</v>
      </c>
      <c r="D260" s="17" t="s">
        <v>28</v>
      </c>
      <c r="E260" s="18">
        <f>ROUND(8354*1.05,2)</f>
      </c>
      <c r="F260" s="17" t="s">
        <v>29</v>
      </c>
      <c r="G260" s="17" t="s">
        <v>30</v>
      </c>
      <c r="H260" s="18">
        <f>ROUND(RAND()*4+6,1)</f>
      </c>
      <c r="I260" s="17" t="s">
        <v>31</v>
      </c>
      <c r="J260" s="19">
        <f>ROUND(98*1,0)&amp;"%"</f>
      </c>
    </row>
    <row x14ac:dyDescent="0.25" r="261" customHeight="1" ht="17.25">
      <c r="A261" s="20" t="s">
        <v>5383</v>
      </c>
      <c r="B261" s="20" t="s">
        <v>428</v>
      </c>
      <c r="C261" s="20" t="s">
        <v>15</v>
      </c>
      <c r="D261" s="20" t="s">
        <v>34</v>
      </c>
      <c r="E261" s="21">
        <f>ROUND(7498*1.05,2)</f>
      </c>
      <c r="F261" s="20" t="s">
        <v>35</v>
      </c>
      <c r="G261" s="20" t="s">
        <v>18</v>
      </c>
      <c r="H261" s="21">
        <f>ROUND(RAND()*4+6,1)</f>
      </c>
      <c r="I261" s="20" t="s">
        <v>36</v>
      </c>
      <c r="J261" s="23">
        <f>ROUND(72*1,0)&amp;"%"</f>
      </c>
    </row>
    <row x14ac:dyDescent="0.25" r="262" customHeight="1" ht="17.25">
      <c r="A262" s="17" t="s">
        <v>5384</v>
      </c>
      <c r="B262" s="17" t="s">
        <v>430</v>
      </c>
      <c r="C262" s="17" t="s">
        <v>15</v>
      </c>
      <c r="D262" s="17" t="s">
        <v>39</v>
      </c>
      <c r="E262" s="18">
        <f>ROUND(16714*1.05,2)</f>
      </c>
      <c r="F262" s="17" t="s">
        <v>40</v>
      </c>
      <c r="G262" s="17" t="s">
        <v>24</v>
      </c>
      <c r="H262" s="18">
        <f>ROUND(RAND()*4+6,1)</f>
      </c>
      <c r="I262" s="17" t="s">
        <v>41</v>
      </c>
      <c r="J262" s="19">
        <f>ROUND(65*1,0)&amp;"%"</f>
      </c>
    </row>
    <row x14ac:dyDescent="0.25" r="263" customHeight="1" ht="17.25">
      <c r="A263" s="20" t="s">
        <v>5385</v>
      </c>
      <c r="B263" s="20" t="s">
        <v>432</v>
      </c>
      <c r="C263" s="20" t="s">
        <v>15</v>
      </c>
      <c r="D263" s="20" t="s">
        <v>67</v>
      </c>
      <c r="E263" s="21">
        <f>ROUND(11827*1.05,2)</f>
      </c>
      <c r="F263" s="20" t="s">
        <v>44</v>
      </c>
      <c r="G263" s="20" t="s">
        <v>30</v>
      </c>
      <c r="H263" s="22">
        <f>ROUND(RAND()*4+6,1)</f>
      </c>
      <c r="I263" s="20" t="s">
        <v>45</v>
      </c>
      <c r="J263" s="23">
        <f>ROUND(96*1,0)&amp;"%"</f>
      </c>
    </row>
    <row x14ac:dyDescent="0.25" r="264" customHeight="1" ht="17.25">
      <c r="A264" s="17" t="s">
        <v>5386</v>
      </c>
      <c r="B264" s="17" t="s">
        <v>434</v>
      </c>
      <c r="C264" s="17" t="s">
        <v>15</v>
      </c>
      <c r="D264" s="17" t="s">
        <v>16</v>
      </c>
      <c r="E264" s="18">
        <f>ROUND(10369*1.05,2)</f>
      </c>
      <c r="F264" s="17" t="s">
        <v>48</v>
      </c>
      <c r="G264" s="17" t="s">
        <v>18</v>
      </c>
      <c r="H264" s="18">
        <f>ROUND(RAND()*4+6,1)</f>
      </c>
      <c r="I264" s="17" t="s">
        <v>19</v>
      </c>
      <c r="J264" s="19">
        <f>ROUND(93*1,0)&amp;"%"</f>
      </c>
    </row>
    <row x14ac:dyDescent="0.25" r="265" customHeight="1" ht="17.25">
      <c r="A265" s="20" t="s">
        <v>5387</v>
      </c>
      <c r="B265" s="20" t="s">
        <v>436</v>
      </c>
      <c r="C265" s="20" t="s">
        <v>15</v>
      </c>
      <c r="D265" s="20" t="s">
        <v>22</v>
      </c>
      <c r="E265" s="21">
        <f>ROUND(8665*1.05,2)</f>
      </c>
      <c r="F265" s="20" t="s">
        <v>51</v>
      </c>
      <c r="G265" s="20" t="s">
        <v>24</v>
      </c>
      <c r="H265" s="21">
        <f>ROUND(RAND()*4+6,1)</f>
      </c>
      <c r="I265" s="20" t="s">
        <v>25</v>
      </c>
      <c r="J265" s="23">
        <f>ROUND(71*1,0)&amp;"%"</f>
      </c>
    </row>
    <row x14ac:dyDescent="0.25" r="266" customHeight="1" ht="17.25">
      <c r="A266" s="24" t="s">
        <v>437</v>
      </c>
      <c r="B266" s="24"/>
      <c r="C266" s="24"/>
      <c r="D266" s="24"/>
      <c r="E266" s="25">
        <v>8</v>
      </c>
      <c r="F266" s="9"/>
      <c r="G266" s="9"/>
      <c r="H266" s="10"/>
      <c r="I266" s="9"/>
      <c r="J266" s="9"/>
    </row>
    <row x14ac:dyDescent="0.25" r="267" customHeight="1" ht="17.25">
      <c r="A267" s="7"/>
      <c r="B267" s="7"/>
      <c r="C267" s="7"/>
      <c r="D267" s="7"/>
      <c r="E267" s="8"/>
      <c r="F267" s="9"/>
      <c r="G267" s="9"/>
      <c r="H267" s="10"/>
      <c r="I267" s="9"/>
      <c r="J267" s="9"/>
    </row>
    <row x14ac:dyDescent="0.25" r="268" customHeight="1" ht="17.25">
      <c r="A268" s="11" t="s">
        <v>5388</v>
      </c>
      <c r="B268" s="11"/>
      <c r="C268" s="11"/>
      <c r="D268" s="11"/>
      <c r="E268" s="12"/>
      <c r="F268" s="11"/>
      <c r="G268" s="11"/>
      <c r="H268" s="13"/>
      <c r="I268" s="11"/>
      <c r="J268" s="11"/>
    </row>
    <row x14ac:dyDescent="0.25" r="269" customHeight="1" ht="17.25">
      <c r="A269" s="14" t="s">
        <v>3</v>
      </c>
      <c r="B269" s="14" t="s">
        <v>4</v>
      </c>
      <c r="C269" s="14" t="s">
        <v>5</v>
      </c>
      <c r="D269" s="14" t="s">
        <v>6</v>
      </c>
      <c r="E269" s="15" t="s">
        <v>7</v>
      </c>
      <c r="F269" s="14" t="s">
        <v>8</v>
      </c>
      <c r="G269" s="14" t="s">
        <v>9</v>
      </c>
      <c r="H269" s="16" t="s">
        <v>10</v>
      </c>
      <c r="I269" s="14" t="s">
        <v>11</v>
      </c>
      <c r="J269" s="14" t="s">
        <v>12</v>
      </c>
    </row>
    <row x14ac:dyDescent="0.25" r="270" customHeight="1" ht="17.25">
      <c r="A270" s="17" t="s">
        <v>5389</v>
      </c>
      <c r="B270" s="17" t="s">
        <v>440</v>
      </c>
      <c r="C270" s="17" t="s">
        <v>56</v>
      </c>
      <c r="D270" s="17" t="s">
        <v>16</v>
      </c>
      <c r="E270" s="18">
        <f>ROUND(6330*1.05,2)</f>
      </c>
      <c r="F270" s="17" t="s">
        <v>17</v>
      </c>
      <c r="G270" s="17" t="s">
        <v>18</v>
      </c>
      <c r="H270" s="18">
        <f>ROUND(RAND()*4+6,1)</f>
      </c>
      <c r="I270" s="17" t="s">
        <v>19</v>
      </c>
      <c r="J270" s="19">
        <f>ROUND(67*1,0)&amp;"%"</f>
      </c>
    </row>
    <row x14ac:dyDescent="0.25" r="271" customHeight="1" ht="17.25">
      <c r="A271" s="20" t="s">
        <v>5390</v>
      </c>
      <c r="B271" s="20" t="s">
        <v>442</v>
      </c>
      <c r="C271" s="20" t="s">
        <v>56</v>
      </c>
      <c r="D271" s="20" t="s">
        <v>22</v>
      </c>
      <c r="E271" s="21">
        <f>ROUND(16267*1.05,2)</f>
      </c>
      <c r="F271" s="20" t="s">
        <v>23</v>
      </c>
      <c r="G271" s="20" t="s">
        <v>24</v>
      </c>
      <c r="H271" s="21">
        <f>ROUND(RAND()*4+6,1)</f>
      </c>
      <c r="I271" s="20" t="s">
        <v>25</v>
      </c>
      <c r="J271" s="23">
        <f>ROUND(98*1,0)&amp;"%"</f>
      </c>
    </row>
    <row x14ac:dyDescent="0.25" r="272" customHeight="1" ht="17.25">
      <c r="A272" s="17" t="s">
        <v>5391</v>
      </c>
      <c r="B272" s="17" t="s">
        <v>444</v>
      </c>
      <c r="C272" s="17" t="s">
        <v>56</v>
      </c>
      <c r="D272" s="17" t="s">
        <v>28</v>
      </c>
      <c r="E272" s="18">
        <f>ROUND(7846*1.05,2)</f>
      </c>
      <c r="F272" s="17" t="s">
        <v>29</v>
      </c>
      <c r="G272" s="17" t="s">
        <v>30</v>
      </c>
      <c r="H272" s="18">
        <f>ROUND(RAND()*4+6,1)</f>
      </c>
      <c r="I272" s="17" t="s">
        <v>31</v>
      </c>
      <c r="J272" s="19">
        <f>ROUND(94*1,0)&amp;"%"</f>
      </c>
    </row>
    <row x14ac:dyDescent="0.25" r="273" customHeight="1" ht="17.25">
      <c r="A273" s="20" t="s">
        <v>5392</v>
      </c>
      <c r="B273" s="20" t="s">
        <v>446</v>
      </c>
      <c r="C273" s="20" t="s">
        <v>56</v>
      </c>
      <c r="D273" s="20" t="s">
        <v>34</v>
      </c>
      <c r="E273" s="21">
        <f>ROUND(13431*1.05,2)</f>
      </c>
      <c r="F273" s="20" t="s">
        <v>35</v>
      </c>
      <c r="G273" s="20" t="s">
        <v>18</v>
      </c>
      <c r="H273" s="21">
        <f>ROUND(RAND()*4+6,1)</f>
      </c>
      <c r="I273" s="20" t="s">
        <v>36</v>
      </c>
      <c r="J273" s="23">
        <f>ROUND(92*1,0)&amp;"%"</f>
      </c>
    </row>
    <row x14ac:dyDescent="0.25" r="274" customHeight="1" ht="17.25">
      <c r="A274" s="17" t="s">
        <v>5393</v>
      </c>
      <c r="B274" s="17" t="s">
        <v>448</v>
      </c>
      <c r="C274" s="17" t="s">
        <v>56</v>
      </c>
      <c r="D274" s="17" t="s">
        <v>39</v>
      </c>
      <c r="E274" s="18">
        <f>ROUND(17585*1.05,2)</f>
      </c>
      <c r="F274" s="17" t="s">
        <v>40</v>
      </c>
      <c r="G274" s="17" t="s">
        <v>24</v>
      </c>
      <c r="H274" s="18">
        <f>ROUND(RAND()*4+6,1)</f>
      </c>
      <c r="I274" s="17" t="s">
        <v>41</v>
      </c>
      <c r="J274" s="19">
        <f>ROUND(93*1,0)&amp;"%"</f>
      </c>
    </row>
    <row x14ac:dyDescent="0.25" r="275" customHeight="1" ht="17.25">
      <c r="A275" s="20" t="s">
        <v>5394</v>
      </c>
      <c r="B275" s="20" t="s">
        <v>450</v>
      </c>
      <c r="C275" s="20" t="s">
        <v>56</v>
      </c>
      <c r="D275" s="20" t="s">
        <v>67</v>
      </c>
      <c r="E275" s="21">
        <f>ROUND(16493*1.05,2)</f>
      </c>
      <c r="F275" s="20" t="s">
        <v>44</v>
      </c>
      <c r="G275" s="20" t="s">
        <v>30</v>
      </c>
      <c r="H275" s="21">
        <f>ROUND(RAND()*4+6,1)</f>
      </c>
      <c r="I275" s="20" t="s">
        <v>45</v>
      </c>
      <c r="J275" s="23">
        <f>ROUND(99*1,0)&amp;"%"</f>
      </c>
    </row>
    <row x14ac:dyDescent="0.25" r="276" customHeight="1" ht="17.25">
      <c r="A276" s="17" t="s">
        <v>5395</v>
      </c>
      <c r="B276" s="17" t="s">
        <v>452</v>
      </c>
      <c r="C276" s="17" t="s">
        <v>56</v>
      </c>
      <c r="D276" s="17" t="s">
        <v>16</v>
      </c>
      <c r="E276" s="18">
        <f>ROUND(17475*1.05,2)</f>
      </c>
      <c r="F276" s="17" t="s">
        <v>48</v>
      </c>
      <c r="G276" s="17" t="s">
        <v>18</v>
      </c>
      <c r="H276" s="18">
        <f>ROUND(RAND()*4+6,1)</f>
      </c>
      <c r="I276" s="17" t="s">
        <v>19</v>
      </c>
      <c r="J276" s="19">
        <f>ROUND(92*1,0)&amp;"%"</f>
      </c>
    </row>
    <row x14ac:dyDescent="0.25" r="277" customHeight="1" ht="17.25">
      <c r="A277" s="20" t="s">
        <v>5396</v>
      </c>
      <c r="B277" s="20" t="s">
        <v>454</v>
      </c>
      <c r="C277" s="20" t="s">
        <v>56</v>
      </c>
      <c r="D277" s="20" t="s">
        <v>22</v>
      </c>
      <c r="E277" s="21">
        <f>ROUND(12016*1.05,2)</f>
      </c>
      <c r="F277" s="20" t="s">
        <v>51</v>
      </c>
      <c r="G277" s="20" t="s">
        <v>24</v>
      </c>
      <c r="H277" s="21">
        <f>ROUND(RAND()*4+6,1)</f>
      </c>
      <c r="I277" s="20" t="s">
        <v>25</v>
      </c>
      <c r="J277" s="23">
        <f>ROUND(96*1,0)&amp;"%"</f>
      </c>
    </row>
    <row x14ac:dyDescent="0.25" r="278" customHeight="1" ht="17.25">
      <c r="A278" s="24" t="s">
        <v>455</v>
      </c>
      <c r="B278" s="24"/>
      <c r="C278" s="24"/>
      <c r="D278" s="24"/>
      <c r="E278" s="25">
        <v>8</v>
      </c>
      <c r="F278" s="9"/>
      <c r="G278" s="9"/>
      <c r="H278" s="10"/>
      <c r="I278" s="9"/>
      <c r="J278" s="9"/>
    </row>
    <row x14ac:dyDescent="0.25" r="279" customHeight="1" ht="17.25">
      <c r="A279" s="7"/>
      <c r="B279" s="7"/>
      <c r="C279" s="7"/>
      <c r="D279" s="7"/>
      <c r="E279" s="8"/>
      <c r="F279" s="9"/>
      <c r="G279" s="9"/>
      <c r="H279" s="10"/>
      <c r="I279" s="9"/>
      <c r="J279" s="9"/>
    </row>
    <row x14ac:dyDescent="0.25" r="280" customHeight="1" ht="17.25">
      <c r="A280" s="11" t="s">
        <v>5397</v>
      </c>
      <c r="B280" s="11"/>
      <c r="C280" s="11"/>
      <c r="D280" s="11"/>
      <c r="E280" s="12"/>
      <c r="F280" s="11"/>
      <c r="G280" s="11"/>
      <c r="H280" s="13"/>
      <c r="I280" s="11"/>
      <c r="J280" s="11"/>
    </row>
    <row x14ac:dyDescent="0.25" r="281" customHeight="1" ht="17.25">
      <c r="A281" s="14" t="s">
        <v>3</v>
      </c>
      <c r="B281" s="14" t="s">
        <v>4</v>
      </c>
      <c r="C281" s="14" t="s">
        <v>5</v>
      </c>
      <c r="D281" s="14" t="s">
        <v>6</v>
      </c>
      <c r="E281" s="15" t="s">
        <v>7</v>
      </c>
      <c r="F281" s="14" t="s">
        <v>8</v>
      </c>
      <c r="G281" s="14" t="s">
        <v>9</v>
      </c>
      <c r="H281" s="16" t="s">
        <v>10</v>
      </c>
      <c r="I281" s="14" t="s">
        <v>11</v>
      </c>
      <c r="J281" s="14" t="s">
        <v>12</v>
      </c>
    </row>
    <row x14ac:dyDescent="0.25" r="282" customHeight="1" ht="17.25">
      <c r="A282" s="17" t="s">
        <v>5398</v>
      </c>
      <c r="B282" s="17" t="s">
        <v>458</v>
      </c>
      <c r="C282" s="17" t="s">
        <v>76</v>
      </c>
      <c r="D282" s="17" t="s">
        <v>16</v>
      </c>
      <c r="E282" s="18">
        <f>ROUND(4699*1.05,2)</f>
      </c>
      <c r="F282" s="17" t="s">
        <v>17</v>
      </c>
      <c r="G282" s="17" t="s">
        <v>18</v>
      </c>
      <c r="H282" s="18">
        <f>ROUND(RAND()*4+6,1)</f>
      </c>
      <c r="I282" s="17" t="s">
        <v>19</v>
      </c>
      <c r="J282" s="19">
        <f>ROUND(83*1,0)&amp;"%"</f>
      </c>
    </row>
    <row x14ac:dyDescent="0.25" r="283" customHeight="1" ht="17.25">
      <c r="A283" s="20" t="s">
        <v>5399</v>
      </c>
      <c r="B283" s="20" t="s">
        <v>460</v>
      </c>
      <c r="C283" s="20" t="s">
        <v>76</v>
      </c>
      <c r="D283" s="20" t="s">
        <v>22</v>
      </c>
      <c r="E283" s="21">
        <f>ROUND(6607*1.05,2)</f>
      </c>
      <c r="F283" s="20" t="s">
        <v>23</v>
      </c>
      <c r="G283" s="20" t="s">
        <v>24</v>
      </c>
      <c r="H283" s="21">
        <f>ROUND(RAND()*4+6,1)</f>
      </c>
      <c r="I283" s="20" t="s">
        <v>25</v>
      </c>
      <c r="J283" s="23">
        <f>ROUND(86*1,0)&amp;"%"</f>
      </c>
    </row>
    <row x14ac:dyDescent="0.25" r="284" customHeight="1" ht="17.25">
      <c r="A284" s="17" t="s">
        <v>5400</v>
      </c>
      <c r="B284" s="17" t="s">
        <v>462</v>
      </c>
      <c r="C284" s="17" t="s">
        <v>76</v>
      </c>
      <c r="D284" s="17" t="s">
        <v>28</v>
      </c>
      <c r="E284" s="18">
        <f>ROUND(11194*1.05,2)</f>
      </c>
      <c r="F284" s="17" t="s">
        <v>29</v>
      </c>
      <c r="G284" s="17" t="s">
        <v>30</v>
      </c>
      <c r="H284" s="18">
        <f>ROUND(RAND()*4+6,1)</f>
      </c>
      <c r="I284" s="17" t="s">
        <v>31</v>
      </c>
      <c r="J284" s="19">
        <f>ROUND(80*1,0)&amp;"%"</f>
      </c>
    </row>
    <row x14ac:dyDescent="0.25" r="285" customHeight="1" ht="17.25">
      <c r="A285" s="20" t="s">
        <v>5401</v>
      </c>
      <c r="B285" s="20" t="s">
        <v>464</v>
      </c>
      <c r="C285" s="20" t="s">
        <v>76</v>
      </c>
      <c r="D285" s="20" t="s">
        <v>34</v>
      </c>
      <c r="E285" s="21">
        <f>ROUND(17854*1.05,2)</f>
      </c>
      <c r="F285" s="20" t="s">
        <v>35</v>
      </c>
      <c r="G285" s="20" t="s">
        <v>18</v>
      </c>
      <c r="H285" s="21">
        <f>ROUND(RAND()*4+6,1)</f>
      </c>
      <c r="I285" s="20" t="s">
        <v>36</v>
      </c>
      <c r="J285" s="23">
        <f>ROUND(87*1,0)&amp;"%"</f>
      </c>
    </row>
    <row x14ac:dyDescent="0.25" r="286" customHeight="1" ht="17.25">
      <c r="A286" s="17" t="s">
        <v>5402</v>
      </c>
      <c r="B286" s="17" t="s">
        <v>466</v>
      </c>
      <c r="C286" s="17" t="s">
        <v>76</v>
      </c>
      <c r="D286" s="17" t="s">
        <v>39</v>
      </c>
      <c r="E286" s="18">
        <f>ROUND(4299*1.05,2)</f>
      </c>
      <c r="F286" s="17" t="s">
        <v>40</v>
      </c>
      <c r="G286" s="17" t="s">
        <v>24</v>
      </c>
      <c r="H286" s="18">
        <f>ROUND(RAND()*4+6,1)</f>
      </c>
      <c r="I286" s="17" t="s">
        <v>41</v>
      </c>
      <c r="J286" s="19">
        <f>ROUND(66*1,0)&amp;"%"</f>
      </c>
    </row>
    <row x14ac:dyDescent="0.25" r="287" customHeight="1" ht="17.25">
      <c r="A287" s="20" t="s">
        <v>5403</v>
      </c>
      <c r="B287" s="20" t="s">
        <v>468</v>
      </c>
      <c r="C287" s="20" t="s">
        <v>76</v>
      </c>
      <c r="D287" s="20" t="s">
        <v>67</v>
      </c>
      <c r="E287" s="21">
        <f>ROUND(4327*1.05,2)</f>
      </c>
      <c r="F287" s="20" t="s">
        <v>44</v>
      </c>
      <c r="G287" s="20" t="s">
        <v>30</v>
      </c>
      <c r="H287" s="21">
        <f>ROUND(RAND()*4+6,1)</f>
      </c>
      <c r="I287" s="20" t="s">
        <v>45</v>
      </c>
      <c r="J287" s="23">
        <f>ROUND(71*1,0)&amp;"%"</f>
      </c>
    </row>
    <row x14ac:dyDescent="0.25" r="288" customHeight="1" ht="17.25">
      <c r="A288" s="17" t="s">
        <v>5404</v>
      </c>
      <c r="B288" s="17" t="s">
        <v>470</v>
      </c>
      <c r="C288" s="17" t="s">
        <v>76</v>
      </c>
      <c r="D288" s="17" t="s">
        <v>16</v>
      </c>
      <c r="E288" s="18">
        <f>ROUND(10176*1.05,2)</f>
      </c>
      <c r="F288" s="17" t="s">
        <v>48</v>
      </c>
      <c r="G288" s="17" t="s">
        <v>18</v>
      </c>
      <c r="H288" s="18">
        <f>ROUND(RAND()*4+6,1)</f>
      </c>
      <c r="I288" s="17" t="s">
        <v>19</v>
      </c>
      <c r="J288" s="19">
        <f>ROUND(78*1,0)&amp;"%"</f>
      </c>
    </row>
    <row x14ac:dyDescent="0.25" r="289" customHeight="1" ht="17.25">
      <c r="A289" s="20" t="s">
        <v>5405</v>
      </c>
      <c r="B289" s="20" t="s">
        <v>472</v>
      </c>
      <c r="C289" s="20" t="s">
        <v>76</v>
      </c>
      <c r="D289" s="20" t="s">
        <v>22</v>
      </c>
      <c r="E289" s="21">
        <f>ROUND(6731*1.05,2)</f>
      </c>
      <c r="F289" s="20" t="s">
        <v>51</v>
      </c>
      <c r="G289" s="20" t="s">
        <v>24</v>
      </c>
      <c r="H289" s="21">
        <f>ROUND(RAND()*4+6,1)</f>
      </c>
      <c r="I289" s="20" t="s">
        <v>25</v>
      </c>
      <c r="J289" s="23">
        <f>ROUND(86*1,0)&amp;"%"</f>
      </c>
    </row>
    <row x14ac:dyDescent="0.25" r="290" customHeight="1" ht="17.25">
      <c r="A290" s="24" t="s">
        <v>473</v>
      </c>
      <c r="B290" s="24"/>
      <c r="C290" s="24"/>
      <c r="D290" s="24"/>
      <c r="E290" s="25">
        <v>8</v>
      </c>
      <c r="F290" s="9"/>
      <c r="G290" s="9"/>
      <c r="H290" s="10"/>
      <c r="I290" s="9"/>
      <c r="J290" s="9"/>
    </row>
    <row x14ac:dyDescent="0.25" r="291" customHeight="1" ht="17.25">
      <c r="A291" s="7"/>
      <c r="B291" s="7"/>
      <c r="C291" s="7"/>
      <c r="D291" s="7"/>
      <c r="E291" s="8"/>
      <c r="F291" s="9"/>
      <c r="G291" s="9"/>
      <c r="H291" s="10"/>
      <c r="I291" s="9"/>
      <c r="J291" s="9"/>
    </row>
    <row x14ac:dyDescent="0.25" r="292" customHeight="1" ht="17.25">
      <c r="A292" s="11" t="s">
        <v>5406</v>
      </c>
      <c r="B292" s="11"/>
      <c r="C292" s="11"/>
      <c r="D292" s="11"/>
      <c r="E292" s="12"/>
      <c r="F292" s="11"/>
      <c r="G292" s="11"/>
      <c r="H292" s="13"/>
      <c r="I292" s="11"/>
      <c r="J292" s="11"/>
    </row>
    <row x14ac:dyDescent="0.25" r="293" customHeight="1" ht="17.25">
      <c r="A293" s="14" t="s">
        <v>3</v>
      </c>
      <c r="B293" s="14" t="s">
        <v>4</v>
      </c>
      <c r="C293" s="14" t="s">
        <v>5</v>
      </c>
      <c r="D293" s="14" t="s">
        <v>6</v>
      </c>
      <c r="E293" s="15" t="s">
        <v>7</v>
      </c>
      <c r="F293" s="14" t="s">
        <v>8</v>
      </c>
      <c r="G293" s="14" t="s">
        <v>9</v>
      </c>
      <c r="H293" s="16" t="s">
        <v>10</v>
      </c>
      <c r="I293" s="14" t="s">
        <v>11</v>
      </c>
      <c r="J293" s="14" t="s">
        <v>12</v>
      </c>
    </row>
    <row x14ac:dyDescent="0.25" r="294" customHeight="1" ht="17.25">
      <c r="A294" s="17" t="s">
        <v>5407</v>
      </c>
      <c r="B294" s="17" t="s">
        <v>476</v>
      </c>
      <c r="C294" s="17" t="s">
        <v>95</v>
      </c>
      <c r="D294" s="17" t="s">
        <v>16</v>
      </c>
      <c r="E294" s="26">
        <f>ROUND(4640*1.05,2)</f>
      </c>
      <c r="F294" s="17" t="s">
        <v>17</v>
      </c>
      <c r="G294" s="17" t="s">
        <v>18</v>
      </c>
      <c r="H294" s="18">
        <f>ROUND(RAND()*4+6,1)</f>
      </c>
      <c r="I294" s="17" t="s">
        <v>19</v>
      </c>
      <c r="J294" s="19">
        <f>ROUND(87*1,0)&amp;"%"</f>
      </c>
    </row>
    <row x14ac:dyDescent="0.25" r="295" customHeight="1" ht="17.25">
      <c r="A295" s="20" t="s">
        <v>5408</v>
      </c>
      <c r="B295" s="20" t="s">
        <v>478</v>
      </c>
      <c r="C295" s="20" t="s">
        <v>95</v>
      </c>
      <c r="D295" s="20" t="s">
        <v>22</v>
      </c>
      <c r="E295" s="21">
        <f>ROUND(7709*1.05,2)</f>
      </c>
      <c r="F295" s="20" t="s">
        <v>23</v>
      </c>
      <c r="G295" s="20" t="s">
        <v>24</v>
      </c>
      <c r="H295" s="21">
        <f>ROUND(RAND()*4+6,1)</f>
      </c>
      <c r="I295" s="20" t="s">
        <v>25</v>
      </c>
      <c r="J295" s="23">
        <f>ROUND(77*1,0)&amp;"%"</f>
      </c>
    </row>
    <row x14ac:dyDescent="0.25" r="296" customHeight="1" ht="17.25">
      <c r="A296" s="17" t="s">
        <v>5409</v>
      </c>
      <c r="B296" s="17" t="s">
        <v>480</v>
      </c>
      <c r="C296" s="17" t="s">
        <v>95</v>
      </c>
      <c r="D296" s="17" t="s">
        <v>28</v>
      </c>
      <c r="E296" s="18">
        <f>ROUND(6650*1.05,2)</f>
      </c>
      <c r="F296" s="17" t="s">
        <v>29</v>
      </c>
      <c r="G296" s="17" t="s">
        <v>30</v>
      </c>
      <c r="H296" s="18">
        <f>ROUND(RAND()*4+6,1)</f>
      </c>
      <c r="I296" s="17" t="s">
        <v>31</v>
      </c>
      <c r="J296" s="19">
        <f>ROUND(71*1,0)&amp;"%"</f>
      </c>
    </row>
    <row x14ac:dyDescent="0.25" r="297" customHeight="1" ht="17.25">
      <c r="A297" s="20" t="s">
        <v>5410</v>
      </c>
      <c r="B297" s="20" t="s">
        <v>482</v>
      </c>
      <c r="C297" s="20" t="s">
        <v>95</v>
      </c>
      <c r="D297" s="20" t="s">
        <v>34</v>
      </c>
      <c r="E297" s="21">
        <f>ROUND(8374*1.05,2)</f>
      </c>
      <c r="F297" s="20" t="s">
        <v>35</v>
      </c>
      <c r="G297" s="20" t="s">
        <v>18</v>
      </c>
      <c r="H297" s="21">
        <f>ROUND(RAND()*4+6,1)</f>
      </c>
      <c r="I297" s="20" t="s">
        <v>36</v>
      </c>
      <c r="J297" s="23">
        <f>ROUND(68*1,0)&amp;"%"</f>
      </c>
    </row>
    <row x14ac:dyDescent="0.25" r="298" customHeight="1" ht="17.25">
      <c r="A298" s="17" t="s">
        <v>5411</v>
      </c>
      <c r="B298" s="17" t="s">
        <v>484</v>
      </c>
      <c r="C298" s="17" t="s">
        <v>95</v>
      </c>
      <c r="D298" s="17" t="s">
        <v>39</v>
      </c>
      <c r="E298" s="18">
        <f>ROUND(10881*1.05,2)</f>
      </c>
      <c r="F298" s="17" t="s">
        <v>40</v>
      </c>
      <c r="G298" s="17" t="s">
        <v>24</v>
      </c>
      <c r="H298" s="18">
        <f>ROUND(RAND()*4+6,1)</f>
      </c>
      <c r="I298" s="17" t="s">
        <v>41</v>
      </c>
      <c r="J298" s="19">
        <f>ROUND(66*1,0)&amp;"%"</f>
      </c>
    </row>
    <row x14ac:dyDescent="0.25" r="299" customHeight="1" ht="17.25">
      <c r="A299" s="20" t="s">
        <v>5412</v>
      </c>
      <c r="B299" s="20" t="s">
        <v>486</v>
      </c>
      <c r="C299" s="20" t="s">
        <v>95</v>
      </c>
      <c r="D299" s="20" t="s">
        <v>67</v>
      </c>
      <c r="E299" s="21">
        <f>ROUND(12865*1.05,2)</f>
      </c>
      <c r="F299" s="20" t="s">
        <v>44</v>
      </c>
      <c r="G299" s="20" t="s">
        <v>30</v>
      </c>
      <c r="H299" s="21">
        <f>ROUND(RAND()*4+6,1)</f>
      </c>
      <c r="I299" s="20" t="s">
        <v>45</v>
      </c>
      <c r="J299" s="23">
        <f>ROUND(64*1,0)&amp;"%"</f>
      </c>
    </row>
    <row x14ac:dyDescent="0.25" r="300" customHeight="1" ht="17.25">
      <c r="A300" s="17" t="s">
        <v>5413</v>
      </c>
      <c r="B300" s="17" t="s">
        <v>488</v>
      </c>
      <c r="C300" s="17" t="s">
        <v>95</v>
      </c>
      <c r="D300" s="17" t="s">
        <v>16</v>
      </c>
      <c r="E300" s="18">
        <f>ROUND(7609*1.05,2)</f>
      </c>
      <c r="F300" s="17" t="s">
        <v>48</v>
      </c>
      <c r="G300" s="17" t="s">
        <v>18</v>
      </c>
      <c r="H300" s="18">
        <f>ROUND(RAND()*4+6,1)</f>
      </c>
      <c r="I300" s="17" t="s">
        <v>19</v>
      </c>
      <c r="J300" s="19">
        <f>ROUND(99*1,0)&amp;"%"</f>
      </c>
    </row>
    <row x14ac:dyDescent="0.25" r="301" customHeight="1" ht="17.25">
      <c r="A301" s="20" t="s">
        <v>5414</v>
      </c>
      <c r="B301" s="20" t="s">
        <v>490</v>
      </c>
      <c r="C301" s="20" t="s">
        <v>95</v>
      </c>
      <c r="D301" s="20" t="s">
        <v>22</v>
      </c>
      <c r="E301" s="21">
        <f>ROUND(8737*1.05,2)</f>
      </c>
      <c r="F301" s="20" t="s">
        <v>51</v>
      </c>
      <c r="G301" s="20" t="s">
        <v>24</v>
      </c>
      <c r="H301" s="22">
        <f>ROUND(RAND()*4+6,1)</f>
      </c>
      <c r="I301" s="20" t="s">
        <v>25</v>
      </c>
      <c r="J301" s="23">
        <f>ROUND(96*1,0)&amp;"%"</f>
      </c>
    </row>
    <row x14ac:dyDescent="0.25" r="302" customHeight="1" ht="17.25">
      <c r="A302" s="24" t="s">
        <v>491</v>
      </c>
      <c r="B302" s="24"/>
      <c r="C302" s="24"/>
      <c r="D302" s="24"/>
      <c r="E302" s="25">
        <v>8</v>
      </c>
      <c r="F302" s="9"/>
      <c r="G302" s="9"/>
      <c r="H302" s="10"/>
      <c r="I302" s="9"/>
      <c r="J302" s="9"/>
    </row>
    <row x14ac:dyDescent="0.25" r="303" customHeight="1" ht="17.25">
      <c r="A303" s="7"/>
      <c r="B303" s="7"/>
      <c r="C303" s="7"/>
      <c r="D303" s="7"/>
      <c r="E303" s="8"/>
      <c r="F303" s="9"/>
      <c r="G303" s="9"/>
      <c r="H303" s="10"/>
      <c r="I303" s="9"/>
      <c r="J303" s="9"/>
    </row>
    <row x14ac:dyDescent="0.25" r="304" customHeight="1" ht="17.25">
      <c r="A304" s="11" t="s">
        <v>5415</v>
      </c>
      <c r="B304" s="11"/>
      <c r="C304" s="11"/>
      <c r="D304" s="11"/>
      <c r="E304" s="12"/>
      <c r="F304" s="11"/>
      <c r="G304" s="11"/>
      <c r="H304" s="13"/>
      <c r="I304" s="11"/>
      <c r="J304" s="11"/>
    </row>
    <row x14ac:dyDescent="0.25" r="305" customHeight="1" ht="17.25">
      <c r="A305" s="14" t="s">
        <v>3</v>
      </c>
      <c r="B305" s="14" t="s">
        <v>4</v>
      </c>
      <c r="C305" s="14" t="s">
        <v>5</v>
      </c>
      <c r="D305" s="14" t="s">
        <v>6</v>
      </c>
      <c r="E305" s="15" t="s">
        <v>7</v>
      </c>
      <c r="F305" s="14" t="s">
        <v>8</v>
      </c>
      <c r="G305" s="14" t="s">
        <v>9</v>
      </c>
      <c r="H305" s="16" t="s">
        <v>10</v>
      </c>
      <c r="I305" s="14" t="s">
        <v>11</v>
      </c>
      <c r="J305" s="14" t="s">
        <v>12</v>
      </c>
    </row>
    <row x14ac:dyDescent="0.25" r="306" customHeight="1" ht="17.25">
      <c r="A306" s="17" t="s">
        <v>5416</v>
      </c>
      <c r="B306" s="17" t="s">
        <v>494</v>
      </c>
      <c r="C306" s="17" t="s">
        <v>114</v>
      </c>
      <c r="D306" s="17" t="s">
        <v>16</v>
      </c>
      <c r="E306" s="18">
        <f>ROUND(4782*1.05,2)</f>
      </c>
      <c r="F306" s="17" t="s">
        <v>17</v>
      </c>
      <c r="G306" s="17" t="s">
        <v>18</v>
      </c>
      <c r="H306" s="18">
        <f>ROUND(RAND()*4+6,1)</f>
      </c>
      <c r="I306" s="17" t="s">
        <v>19</v>
      </c>
      <c r="J306" s="19">
        <f>ROUND(86*1,0)&amp;"%"</f>
      </c>
    </row>
    <row x14ac:dyDescent="0.25" r="307" customHeight="1" ht="17.25">
      <c r="A307" s="20" t="s">
        <v>5417</v>
      </c>
      <c r="B307" s="20" t="s">
        <v>496</v>
      </c>
      <c r="C307" s="20" t="s">
        <v>114</v>
      </c>
      <c r="D307" s="20" t="s">
        <v>22</v>
      </c>
      <c r="E307" s="21">
        <f>ROUND(13026*1.05,2)</f>
      </c>
      <c r="F307" s="20" t="s">
        <v>23</v>
      </c>
      <c r="G307" s="20" t="s">
        <v>24</v>
      </c>
      <c r="H307" s="21">
        <f>ROUND(RAND()*4+6,1)</f>
      </c>
      <c r="I307" s="20" t="s">
        <v>25</v>
      </c>
      <c r="J307" s="23">
        <f>ROUND(74*1,0)&amp;"%"</f>
      </c>
    </row>
    <row x14ac:dyDescent="0.25" r="308" customHeight="1" ht="17.25">
      <c r="A308" s="17" t="s">
        <v>5418</v>
      </c>
      <c r="B308" s="17" t="s">
        <v>498</v>
      </c>
      <c r="C308" s="17" t="s">
        <v>114</v>
      </c>
      <c r="D308" s="17" t="s">
        <v>28</v>
      </c>
      <c r="E308" s="18">
        <f>ROUND(15849*1.05,2)</f>
      </c>
      <c r="F308" s="17" t="s">
        <v>29</v>
      </c>
      <c r="G308" s="17" t="s">
        <v>30</v>
      </c>
      <c r="H308" s="18">
        <f>ROUND(RAND()*4+6,1)</f>
      </c>
      <c r="I308" s="17" t="s">
        <v>31</v>
      </c>
      <c r="J308" s="19">
        <f>ROUND(70*1,0)&amp;"%"</f>
      </c>
    </row>
    <row x14ac:dyDescent="0.25" r="309" customHeight="1" ht="17.25">
      <c r="A309" s="20" t="s">
        <v>5419</v>
      </c>
      <c r="B309" s="20" t="s">
        <v>500</v>
      </c>
      <c r="C309" s="20" t="s">
        <v>114</v>
      </c>
      <c r="D309" s="20" t="s">
        <v>34</v>
      </c>
      <c r="E309" s="22">
        <f>ROUND(12640*1.05,2)</f>
      </c>
      <c r="F309" s="20" t="s">
        <v>35</v>
      </c>
      <c r="G309" s="20" t="s">
        <v>18</v>
      </c>
      <c r="H309" s="21">
        <f>ROUND(RAND()*4+6,1)</f>
      </c>
      <c r="I309" s="20" t="s">
        <v>36</v>
      </c>
      <c r="J309" s="23">
        <f>ROUND(95*1,0)&amp;"%"</f>
      </c>
    </row>
    <row x14ac:dyDescent="0.25" r="310" customHeight="1" ht="17.25">
      <c r="A310" s="17" t="s">
        <v>5420</v>
      </c>
      <c r="B310" s="17" t="s">
        <v>502</v>
      </c>
      <c r="C310" s="17" t="s">
        <v>114</v>
      </c>
      <c r="D310" s="17" t="s">
        <v>39</v>
      </c>
      <c r="E310" s="26">
        <f>ROUND(5360*1.05,2)</f>
      </c>
      <c r="F310" s="17" t="s">
        <v>40</v>
      </c>
      <c r="G310" s="17" t="s">
        <v>24</v>
      </c>
      <c r="H310" s="18">
        <f>ROUND(RAND()*4+6,1)</f>
      </c>
      <c r="I310" s="17" t="s">
        <v>41</v>
      </c>
      <c r="J310" s="19">
        <f>ROUND(96*1,0)&amp;"%"</f>
      </c>
    </row>
    <row x14ac:dyDescent="0.25" r="311" customHeight="1" ht="17.25">
      <c r="A311" s="20" t="s">
        <v>5421</v>
      </c>
      <c r="B311" s="20" t="s">
        <v>504</v>
      </c>
      <c r="C311" s="20" t="s">
        <v>114</v>
      </c>
      <c r="D311" s="20" t="s">
        <v>67</v>
      </c>
      <c r="E311" s="21">
        <f>ROUND(15905*1.05,2)</f>
      </c>
      <c r="F311" s="20" t="s">
        <v>44</v>
      </c>
      <c r="G311" s="20" t="s">
        <v>30</v>
      </c>
      <c r="H311" s="21">
        <f>ROUND(RAND()*4+6,1)</f>
      </c>
      <c r="I311" s="20" t="s">
        <v>45</v>
      </c>
      <c r="J311" s="23">
        <f>ROUND(97*1,0)&amp;"%"</f>
      </c>
    </row>
    <row x14ac:dyDescent="0.25" r="312" customHeight="1" ht="17.25">
      <c r="A312" s="17" t="s">
        <v>5422</v>
      </c>
      <c r="B312" s="17" t="s">
        <v>506</v>
      </c>
      <c r="C312" s="17" t="s">
        <v>114</v>
      </c>
      <c r="D312" s="17" t="s">
        <v>16</v>
      </c>
      <c r="E312" s="18">
        <f>ROUND(15967*1.05,2)</f>
      </c>
      <c r="F312" s="17" t="s">
        <v>48</v>
      </c>
      <c r="G312" s="17" t="s">
        <v>18</v>
      </c>
      <c r="H312" s="18">
        <f>ROUND(RAND()*4+6,1)</f>
      </c>
      <c r="I312" s="17" t="s">
        <v>19</v>
      </c>
      <c r="J312" s="19">
        <f>ROUND(90*1,0)&amp;"%"</f>
      </c>
    </row>
    <row x14ac:dyDescent="0.25" r="313" customHeight="1" ht="17.25">
      <c r="A313" s="20" t="s">
        <v>5423</v>
      </c>
      <c r="B313" s="20" t="s">
        <v>508</v>
      </c>
      <c r="C313" s="20" t="s">
        <v>114</v>
      </c>
      <c r="D313" s="20" t="s">
        <v>22</v>
      </c>
      <c r="E313" s="21">
        <f>ROUND(13324*1.05,2)</f>
      </c>
      <c r="F313" s="20" t="s">
        <v>51</v>
      </c>
      <c r="G313" s="20" t="s">
        <v>24</v>
      </c>
      <c r="H313" s="21">
        <f>ROUND(RAND()*4+6,1)</f>
      </c>
      <c r="I313" s="20" t="s">
        <v>25</v>
      </c>
      <c r="J313" s="23">
        <f>ROUND(76*1,0)&amp;"%"</f>
      </c>
    </row>
    <row x14ac:dyDescent="0.25" r="314" customHeight="1" ht="17.25">
      <c r="A314" s="24" t="s">
        <v>509</v>
      </c>
      <c r="B314" s="24"/>
      <c r="C314" s="24"/>
      <c r="D314" s="24"/>
      <c r="E314" s="25">
        <v>8</v>
      </c>
      <c r="F314" s="9"/>
      <c r="G314" s="9"/>
      <c r="H314" s="10"/>
      <c r="I314" s="9"/>
      <c r="J314" s="9"/>
    </row>
    <row x14ac:dyDescent="0.25" r="315" customHeight="1" ht="17.25">
      <c r="A315" s="7"/>
      <c r="B315" s="7"/>
      <c r="C315" s="7"/>
      <c r="D315" s="7"/>
      <c r="E315" s="8"/>
      <c r="F315" s="9"/>
      <c r="G315" s="9"/>
      <c r="H315" s="10"/>
      <c r="I315" s="9"/>
      <c r="J315" s="9"/>
    </row>
    <row x14ac:dyDescent="0.25" r="316" customHeight="1" ht="17.25">
      <c r="A316" s="11" t="s">
        <v>5424</v>
      </c>
      <c r="B316" s="11"/>
      <c r="C316" s="11"/>
      <c r="D316" s="11"/>
      <c r="E316" s="12"/>
      <c r="F316" s="11"/>
      <c r="G316" s="11"/>
      <c r="H316" s="13"/>
      <c r="I316" s="11"/>
      <c r="J316" s="11"/>
    </row>
    <row x14ac:dyDescent="0.25" r="317" customHeight="1" ht="17.25">
      <c r="A317" s="14" t="s">
        <v>3</v>
      </c>
      <c r="B317" s="14" t="s">
        <v>4</v>
      </c>
      <c r="C317" s="14" t="s">
        <v>5</v>
      </c>
      <c r="D317" s="14" t="s">
        <v>6</v>
      </c>
      <c r="E317" s="15" t="s">
        <v>7</v>
      </c>
      <c r="F317" s="14" t="s">
        <v>8</v>
      </c>
      <c r="G317" s="14" t="s">
        <v>9</v>
      </c>
      <c r="H317" s="16" t="s">
        <v>10</v>
      </c>
      <c r="I317" s="14" t="s">
        <v>11</v>
      </c>
      <c r="J317" s="14" t="s">
        <v>12</v>
      </c>
    </row>
    <row x14ac:dyDescent="0.25" r="318" customHeight="1" ht="17.25">
      <c r="A318" s="17" t="s">
        <v>5425</v>
      </c>
      <c r="B318" s="17" t="s">
        <v>512</v>
      </c>
      <c r="C318" s="17" t="s">
        <v>133</v>
      </c>
      <c r="D318" s="17" t="s">
        <v>16</v>
      </c>
      <c r="E318" s="18">
        <f>ROUND(13369*1.05,2)</f>
      </c>
      <c r="F318" s="17" t="s">
        <v>17</v>
      </c>
      <c r="G318" s="17" t="s">
        <v>18</v>
      </c>
      <c r="H318" s="26">
        <f>ROUND(RAND()*4+6,1)</f>
      </c>
      <c r="I318" s="17" t="s">
        <v>19</v>
      </c>
      <c r="J318" s="19">
        <f>ROUND(87*1,0)&amp;"%"</f>
      </c>
    </row>
    <row x14ac:dyDescent="0.25" r="319" customHeight="1" ht="17.25">
      <c r="A319" s="20" t="s">
        <v>5426</v>
      </c>
      <c r="B319" s="20" t="s">
        <v>514</v>
      </c>
      <c r="C319" s="20" t="s">
        <v>133</v>
      </c>
      <c r="D319" s="20" t="s">
        <v>22</v>
      </c>
      <c r="E319" s="21">
        <f>ROUND(14833*1.05,2)</f>
      </c>
      <c r="F319" s="20" t="s">
        <v>23</v>
      </c>
      <c r="G319" s="20" t="s">
        <v>24</v>
      </c>
      <c r="H319" s="21">
        <f>ROUND(RAND()*4+6,1)</f>
      </c>
      <c r="I319" s="20" t="s">
        <v>25</v>
      </c>
      <c r="J319" s="23">
        <f>ROUND(78*1,0)&amp;"%"</f>
      </c>
    </row>
    <row x14ac:dyDescent="0.25" r="320" customHeight="1" ht="17.25">
      <c r="A320" s="17" t="s">
        <v>5427</v>
      </c>
      <c r="B320" s="17" t="s">
        <v>516</v>
      </c>
      <c r="C320" s="17" t="s">
        <v>133</v>
      </c>
      <c r="D320" s="17" t="s">
        <v>28</v>
      </c>
      <c r="E320" s="18">
        <f>ROUND(17669*1.05,2)</f>
      </c>
      <c r="F320" s="17" t="s">
        <v>29</v>
      </c>
      <c r="G320" s="17" t="s">
        <v>30</v>
      </c>
      <c r="H320" s="26">
        <f>ROUND(RAND()*4+6,1)</f>
      </c>
      <c r="I320" s="17" t="s">
        <v>31</v>
      </c>
      <c r="J320" s="19">
        <f>ROUND(72*1,0)&amp;"%"</f>
      </c>
    </row>
    <row x14ac:dyDescent="0.25" r="321" customHeight="1" ht="17.25">
      <c r="A321" s="20" t="s">
        <v>5428</v>
      </c>
      <c r="B321" s="20" t="s">
        <v>518</v>
      </c>
      <c r="C321" s="20" t="s">
        <v>133</v>
      </c>
      <c r="D321" s="20" t="s">
        <v>34</v>
      </c>
      <c r="E321" s="21">
        <f>ROUND(11057*1.05,2)</f>
      </c>
      <c r="F321" s="20" t="s">
        <v>35</v>
      </c>
      <c r="G321" s="20" t="s">
        <v>18</v>
      </c>
      <c r="H321" s="21">
        <f>ROUND(RAND()*4+6,1)</f>
      </c>
      <c r="I321" s="20" t="s">
        <v>36</v>
      </c>
      <c r="J321" s="23">
        <f>ROUND(63*1,0)&amp;"%"</f>
      </c>
    </row>
    <row x14ac:dyDescent="0.25" r="322" customHeight="1" ht="17.25">
      <c r="A322" s="17" t="s">
        <v>5429</v>
      </c>
      <c r="B322" s="17" t="s">
        <v>520</v>
      </c>
      <c r="C322" s="17" t="s">
        <v>133</v>
      </c>
      <c r="D322" s="17" t="s">
        <v>39</v>
      </c>
      <c r="E322" s="18">
        <f>ROUND(14989*1.05,2)</f>
      </c>
      <c r="F322" s="17" t="s">
        <v>40</v>
      </c>
      <c r="G322" s="17" t="s">
        <v>24</v>
      </c>
      <c r="H322" s="18">
        <f>ROUND(RAND()*4+6,1)</f>
      </c>
      <c r="I322" s="17" t="s">
        <v>41</v>
      </c>
      <c r="J322" s="19">
        <f>ROUND(76*1,0)&amp;"%"</f>
      </c>
    </row>
    <row x14ac:dyDescent="0.25" r="323" customHeight="1" ht="17.25">
      <c r="A323" s="20" t="s">
        <v>5430</v>
      </c>
      <c r="B323" s="20" t="s">
        <v>522</v>
      </c>
      <c r="C323" s="20" t="s">
        <v>133</v>
      </c>
      <c r="D323" s="20" t="s">
        <v>67</v>
      </c>
      <c r="E323" s="22">
        <f>ROUND(10680*1.05,2)</f>
      </c>
      <c r="F323" s="20" t="s">
        <v>44</v>
      </c>
      <c r="G323" s="20" t="s">
        <v>30</v>
      </c>
      <c r="H323" s="21">
        <f>ROUND(RAND()*4+6,1)</f>
      </c>
      <c r="I323" s="20" t="s">
        <v>45</v>
      </c>
      <c r="J323" s="23">
        <f>ROUND(66*1,0)&amp;"%"</f>
      </c>
    </row>
    <row x14ac:dyDescent="0.25" r="324" customHeight="1" ht="17.25">
      <c r="A324" s="17" t="s">
        <v>5431</v>
      </c>
      <c r="B324" s="17" t="s">
        <v>524</v>
      </c>
      <c r="C324" s="17" t="s">
        <v>133</v>
      </c>
      <c r="D324" s="17" t="s">
        <v>16</v>
      </c>
      <c r="E324" s="18">
        <f>ROUND(4278*1.05,2)</f>
      </c>
      <c r="F324" s="17" t="s">
        <v>48</v>
      </c>
      <c r="G324" s="17" t="s">
        <v>18</v>
      </c>
      <c r="H324" s="18">
        <f>ROUND(RAND()*4+6,1)</f>
      </c>
      <c r="I324" s="17" t="s">
        <v>19</v>
      </c>
      <c r="J324" s="19">
        <f>ROUND(94*1,0)&amp;"%"</f>
      </c>
    </row>
    <row x14ac:dyDescent="0.25" r="325" customHeight="1" ht="17.25">
      <c r="A325" s="20" t="s">
        <v>5432</v>
      </c>
      <c r="B325" s="20" t="s">
        <v>526</v>
      </c>
      <c r="C325" s="20" t="s">
        <v>133</v>
      </c>
      <c r="D325" s="20" t="s">
        <v>22</v>
      </c>
      <c r="E325" s="21">
        <f>ROUND(17278*1.05,2)</f>
      </c>
      <c r="F325" s="20" t="s">
        <v>51</v>
      </c>
      <c r="G325" s="20" t="s">
        <v>24</v>
      </c>
      <c r="H325" s="21">
        <f>ROUND(RAND()*4+6,1)</f>
      </c>
      <c r="I325" s="20" t="s">
        <v>25</v>
      </c>
      <c r="J325" s="23">
        <f>ROUND(65*1,0)&amp;"%"</f>
      </c>
    </row>
    <row x14ac:dyDescent="0.25" r="326" customHeight="1" ht="17.25">
      <c r="A326" s="24" t="s">
        <v>527</v>
      </c>
      <c r="B326" s="24"/>
      <c r="C326" s="24"/>
      <c r="D326" s="24"/>
      <c r="E326" s="25">
        <v>8</v>
      </c>
      <c r="F326" s="9"/>
      <c r="G326" s="9"/>
      <c r="H326" s="10"/>
      <c r="I326" s="9"/>
      <c r="J326" s="9"/>
    </row>
    <row x14ac:dyDescent="0.25" r="327" customHeight="1" ht="17.25">
      <c r="A327" s="7"/>
      <c r="B327" s="7"/>
      <c r="C327" s="7"/>
      <c r="D327" s="7"/>
      <c r="E327" s="8"/>
      <c r="F327" s="9"/>
      <c r="G327" s="9"/>
      <c r="H327" s="10"/>
      <c r="I327" s="9"/>
      <c r="J327" s="9"/>
    </row>
    <row x14ac:dyDescent="0.25" r="328" customHeight="1" ht="17.25">
      <c r="A328" s="11" t="s">
        <v>5433</v>
      </c>
      <c r="B328" s="11"/>
      <c r="C328" s="11"/>
      <c r="D328" s="11"/>
      <c r="E328" s="12"/>
      <c r="F328" s="11"/>
      <c r="G328" s="11"/>
      <c r="H328" s="13"/>
      <c r="I328" s="11"/>
      <c r="J328" s="11"/>
    </row>
    <row x14ac:dyDescent="0.25" r="329" customHeight="1" ht="17.25">
      <c r="A329" s="14" t="s">
        <v>3</v>
      </c>
      <c r="B329" s="14" t="s">
        <v>4</v>
      </c>
      <c r="C329" s="14" t="s">
        <v>5</v>
      </c>
      <c r="D329" s="14" t="s">
        <v>6</v>
      </c>
      <c r="E329" s="15" t="s">
        <v>7</v>
      </c>
      <c r="F329" s="14" t="s">
        <v>8</v>
      </c>
      <c r="G329" s="14" t="s">
        <v>9</v>
      </c>
      <c r="H329" s="16" t="s">
        <v>10</v>
      </c>
      <c r="I329" s="14" t="s">
        <v>11</v>
      </c>
      <c r="J329" s="14" t="s">
        <v>12</v>
      </c>
    </row>
    <row x14ac:dyDescent="0.25" r="330" customHeight="1" ht="17.25">
      <c r="A330" s="17" t="s">
        <v>5434</v>
      </c>
      <c r="B330" s="17" t="s">
        <v>530</v>
      </c>
      <c r="C330" s="17" t="s">
        <v>152</v>
      </c>
      <c r="D330" s="17" t="s">
        <v>16</v>
      </c>
      <c r="E330" s="18">
        <f>ROUND(6442*1.05,2)</f>
      </c>
      <c r="F330" s="17" t="s">
        <v>17</v>
      </c>
      <c r="G330" s="17" t="s">
        <v>18</v>
      </c>
      <c r="H330" s="18">
        <f>ROUND(RAND()*4+6,1)</f>
      </c>
      <c r="I330" s="17" t="s">
        <v>19</v>
      </c>
      <c r="J330" s="19">
        <f>ROUND(68*1,0)&amp;"%"</f>
      </c>
    </row>
    <row x14ac:dyDescent="0.25" r="331" customHeight="1" ht="17.25">
      <c r="A331" s="20" t="s">
        <v>5435</v>
      </c>
      <c r="B331" s="20" t="s">
        <v>532</v>
      </c>
      <c r="C331" s="20" t="s">
        <v>152</v>
      </c>
      <c r="D331" s="20" t="s">
        <v>22</v>
      </c>
      <c r="E331" s="21">
        <f>ROUND(5909*1.05,2)</f>
      </c>
      <c r="F331" s="20" t="s">
        <v>23</v>
      </c>
      <c r="G331" s="20" t="s">
        <v>24</v>
      </c>
      <c r="H331" s="21">
        <f>ROUND(RAND()*4+6,1)</f>
      </c>
      <c r="I331" s="20" t="s">
        <v>25</v>
      </c>
      <c r="J331" s="23">
        <f>ROUND(78*1,0)&amp;"%"</f>
      </c>
    </row>
    <row x14ac:dyDescent="0.25" r="332" customHeight="1" ht="17.25">
      <c r="A332" s="17" t="s">
        <v>5436</v>
      </c>
      <c r="B332" s="17" t="s">
        <v>534</v>
      </c>
      <c r="C332" s="17" t="s">
        <v>152</v>
      </c>
      <c r="D332" s="17" t="s">
        <v>28</v>
      </c>
      <c r="E332" s="18">
        <f>ROUND(8330*1.05,2)</f>
      </c>
      <c r="F332" s="17" t="s">
        <v>29</v>
      </c>
      <c r="G332" s="17" t="s">
        <v>30</v>
      </c>
      <c r="H332" s="18">
        <f>ROUND(RAND()*4+6,1)</f>
      </c>
      <c r="I332" s="17" t="s">
        <v>31</v>
      </c>
      <c r="J332" s="19">
        <f>ROUND(82*1,0)&amp;"%"</f>
      </c>
    </row>
    <row x14ac:dyDescent="0.25" r="333" customHeight="1" ht="17.25">
      <c r="A333" s="20" t="s">
        <v>5437</v>
      </c>
      <c r="B333" s="20" t="s">
        <v>536</v>
      </c>
      <c r="C333" s="20" t="s">
        <v>152</v>
      </c>
      <c r="D333" s="20" t="s">
        <v>34</v>
      </c>
      <c r="E333" s="21">
        <f>ROUND(8603*1.05,2)</f>
      </c>
      <c r="F333" s="20" t="s">
        <v>35</v>
      </c>
      <c r="G333" s="20" t="s">
        <v>18</v>
      </c>
      <c r="H333" s="21">
        <f>ROUND(RAND()*4+6,1)</f>
      </c>
      <c r="I333" s="20" t="s">
        <v>36</v>
      </c>
      <c r="J333" s="23">
        <f>ROUND(72*1,0)&amp;"%"</f>
      </c>
    </row>
    <row x14ac:dyDescent="0.25" r="334" customHeight="1" ht="17.25">
      <c r="A334" s="17" t="s">
        <v>5438</v>
      </c>
      <c r="B334" s="17" t="s">
        <v>538</v>
      </c>
      <c r="C334" s="17" t="s">
        <v>152</v>
      </c>
      <c r="D334" s="17" t="s">
        <v>39</v>
      </c>
      <c r="E334" s="18">
        <f>ROUND(12799*1.05,2)</f>
      </c>
      <c r="F334" s="17" t="s">
        <v>40</v>
      </c>
      <c r="G334" s="17" t="s">
        <v>24</v>
      </c>
      <c r="H334" s="18">
        <f>ROUND(RAND()*4+6,1)</f>
      </c>
      <c r="I334" s="17" t="s">
        <v>41</v>
      </c>
      <c r="J334" s="19">
        <f>ROUND(93*1,0)&amp;"%"</f>
      </c>
    </row>
    <row x14ac:dyDescent="0.25" r="335" customHeight="1" ht="17.25">
      <c r="A335" s="20" t="s">
        <v>5439</v>
      </c>
      <c r="B335" s="20" t="s">
        <v>540</v>
      </c>
      <c r="C335" s="20" t="s">
        <v>152</v>
      </c>
      <c r="D335" s="20" t="s">
        <v>67</v>
      </c>
      <c r="E335" s="21">
        <f>ROUND(17299*1.05,2)</f>
      </c>
      <c r="F335" s="20" t="s">
        <v>44</v>
      </c>
      <c r="G335" s="20" t="s">
        <v>30</v>
      </c>
      <c r="H335" s="21">
        <f>ROUND(RAND()*4+6,1)</f>
      </c>
      <c r="I335" s="20" t="s">
        <v>45</v>
      </c>
      <c r="J335" s="23">
        <f>ROUND(63*1,0)&amp;"%"</f>
      </c>
    </row>
    <row x14ac:dyDescent="0.25" r="336" customHeight="1" ht="17.25">
      <c r="A336" s="17" t="s">
        <v>5440</v>
      </c>
      <c r="B336" s="17" t="s">
        <v>542</v>
      </c>
      <c r="C336" s="17" t="s">
        <v>152</v>
      </c>
      <c r="D336" s="17" t="s">
        <v>16</v>
      </c>
      <c r="E336" s="18">
        <f>ROUND(5895*1.05,2)</f>
      </c>
      <c r="F336" s="17" t="s">
        <v>48</v>
      </c>
      <c r="G336" s="17" t="s">
        <v>18</v>
      </c>
      <c r="H336" s="18">
        <f>ROUND(RAND()*4+6,1)</f>
      </c>
      <c r="I336" s="17" t="s">
        <v>19</v>
      </c>
      <c r="J336" s="19">
        <f>ROUND(98*1,0)&amp;"%"</f>
      </c>
    </row>
    <row x14ac:dyDescent="0.25" r="337" customHeight="1" ht="17.25">
      <c r="A337" s="20" t="s">
        <v>5441</v>
      </c>
      <c r="B337" s="20" t="s">
        <v>544</v>
      </c>
      <c r="C337" s="20" t="s">
        <v>152</v>
      </c>
      <c r="D337" s="20" t="s">
        <v>22</v>
      </c>
      <c r="E337" s="21">
        <f>ROUND(15409*1.05,2)</f>
      </c>
      <c r="F337" s="20" t="s">
        <v>51</v>
      </c>
      <c r="G337" s="20" t="s">
        <v>24</v>
      </c>
      <c r="H337" s="21">
        <f>ROUND(RAND()*4+6,1)</f>
      </c>
      <c r="I337" s="20" t="s">
        <v>25</v>
      </c>
      <c r="J337" s="23">
        <f>ROUND(69*1,0)&amp;"%"</f>
      </c>
    </row>
    <row x14ac:dyDescent="0.25" r="338" customHeight="1" ht="17.25">
      <c r="A338" s="24" t="s">
        <v>545</v>
      </c>
      <c r="B338" s="24"/>
      <c r="C338" s="24"/>
      <c r="D338" s="24"/>
      <c r="E338" s="25">
        <v>8</v>
      </c>
      <c r="F338" s="9"/>
      <c r="G338" s="9"/>
      <c r="H338" s="10"/>
      <c r="I338" s="9"/>
      <c r="J338" s="9"/>
    </row>
    <row x14ac:dyDescent="0.25" r="339" customHeight="1" ht="17.25">
      <c r="A339" s="7"/>
      <c r="B339" s="7"/>
      <c r="C339" s="7"/>
      <c r="D339" s="7"/>
      <c r="E339" s="8"/>
      <c r="F339" s="9"/>
      <c r="G339" s="9"/>
      <c r="H339" s="10"/>
      <c r="I339" s="9"/>
      <c r="J339" s="9"/>
    </row>
    <row x14ac:dyDescent="0.25" r="340" customHeight="1" ht="17.25">
      <c r="A340" s="11" t="s">
        <v>5442</v>
      </c>
      <c r="B340" s="11"/>
      <c r="C340" s="11"/>
      <c r="D340" s="11"/>
      <c r="E340" s="12"/>
      <c r="F340" s="11"/>
      <c r="G340" s="11"/>
      <c r="H340" s="13"/>
      <c r="I340" s="11"/>
      <c r="J340" s="11"/>
    </row>
    <row x14ac:dyDescent="0.25" r="341" customHeight="1" ht="17.25">
      <c r="A341" s="14" t="s">
        <v>3</v>
      </c>
      <c r="B341" s="14" t="s">
        <v>4</v>
      </c>
      <c r="C341" s="14" t="s">
        <v>5</v>
      </c>
      <c r="D341" s="14" t="s">
        <v>6</v>
      </c>
      <c r="E341" s="15" t="s">
        <v>7</v>
      </c>
      <c r="F341" s="14" t="s">
        <v>8</v>
      </c>
      <c r="G341" s="14" t="s">
        <v>9</v>
      </c>
      <c r="H341" s="16" t="s">
        <v>10</v>
      </c>
      <c r="I341" s="14" t="s">
        <v>11</v>
      </c>
      <c r="J341" s="14" t="s">
        <v>12</v>
      </c>
    </row>
    <row x14ac:dyDescent="0.25" r="342" customHeight="1" ht="17.25">
      <c r="A342" s="17" t="s">
        <v>5443</v>
      </c>
      <c r="B342" s="17" t="s">
        <v>548</v>
      </c>
      <c r="C342" s="17" t="s">
        <v>15</v>
      </c>
      <c r="D342" s="17" t="s">
        <v>16</v>
      </c>
      <c r="E342" s="18">
        <f>ROUND(12943*1.05,2)</f>
      </c>
      <c r="F342" s="17" t="s">
        <v>17</v>
      </c>
      <c r="G342" s="17" t="s">
        <v>18</v>
      </c>
      <c r="H342" s="18">
        <f>ROUND(RAND()*4+6,1)</f>
      </c>
      <c r="I342" s="17" t="s">
        <v>19</v>
      </c>
      <c r="J342" s="19">
        <f>ROUND(87*1,0)&amp;"%"</f>
      </c>
    </row>
    <row x14ac:dyDescent="0.25" r="343" customHeight="1" ht="17.25">
      <c r="A343" s="20" t="s">
        <v>5444</v>
      </c>
      <c r="B343" s="20" t="s">
        <v>550</v>
      </c>
      <c r="C343" s="20" t="s">
        <v>15</v>
      </c>
      <c r="D343" s="20" t="s">
        <v>22</v>
      </c>
      <c r="E343" s="21">
        <f>ROUND(13844*1.05,2)</f>
      </c>
      <c r="F343" s="20" t="s">
        <v>23</v>
      </c>
      <c r="G343" s="20" t="s">
        <v>24</v>
      </c>
      <c r="H343" s="21">
        <f>ROUND(RAND()*4+6,1)</f>
      </c>
      <c r="I343" s="20" t="s">
        <v>25</v>
      </c>
      <c r="J343" s="23">
        <f>ROUND(78*1,0)&amp;"%"</f>
      </c>
    </row>
    <row x14ac:dyDescent="0.25" r="344" customHeight="1" ht="17.25">
      <c r="A344" s="17" t="s">
        <v>5445</v>
      </c>
      <c r="B344" s="17" t="s">
        <v>552</v>
      </c>
      <c r="C344" s="17" t="s">
        <v>15</v>
      </c>
      <c r="D344" s="17" t="s">
        <v>28</v>
      </c>
      <c r="E344" s="18">
        <f>ROUND(8591*1.05,2)</f>
      </c>
      <c r="F344" s="17" t="s">
        <v>29</v>
      </c>
      <c r="G344" s="17" t="s">
        <v>30</v>
      </c>
      <c r="H344" s="18">
        <f>ROUND(RAND()*4+6,1)</f>
      </c>
      <c r="I344" s="17" t="s">
        <v>31</v>
      </c>
      <c r="J344" s="19">
        <f>ROUND(92*1,0)&amp;"%"</f>
      </c>
    </row>
    <row x14ac:dyDescent="0.25" r="345" customHeight="1" ht="17.25">
      <c r="A345" s="20" t="s">
        <v>5446</v>
      </c>
      <c r="B345" s="20" t="s">
        <v>554</v>
      </c>
      <c r="C345" s="20" t="s">
        <v>15</v>
      </c>
      <c r="D345" s="20" t="s">
        <v>34</v>
      </c>
      <c r="E345" s="21">
        <f>ROUND(7765*1.05,2)</f>
      </c>
      <c r="F345" s="20" t="s">
        <v>35</v>
      </c>
      <c r="G345" s="20" t="s">
        <v>18</v>
      </c>
      <c r="H345" s="21">
        <f>ROUND(RAND()*4+6,1)</f>
      </c>
      <c r="I345" s="20" t="s">
        <v>36</v>
      </c>
      <c r="J345" s="23">
        <f>ROUND(66*1,0)&amp;"%"</f>
      </c>
    </row>
    <row x14ac:dyDescent="0.25" r="346" customHeight="1" ht="17.25">
      <c r="A346" s="17" t="s">
        <v>5447</v>
      </c>
      <c r="B346" s="17" t="s">
        <v>556</v>
      </c>
      <c r="C346" s="17" t="s">
        <v>15</v>
      </c>
      <c r="D346" s="17" t="s">
        <v>39</v>
      </c>
      <c r="E346" s="18">
        <f>ROUND(12624*1.05,2)</f>
      </c>
      <c r="F346" s="17" t="s">
        <v>40</v>
      </c>
      <c r="G346" s="17" t="s">
        <v>24</v>
      </c>
      <c r="H346" s="18">
        <f>ROUND(RAND()*4+6,1)</f>
      </c>
      <c r="I346" s="17" t="s">
        <v>41</v>
      </c>
      <c r="J346" s="19">
        <f>ROUND(83*1,0)&amp;"%"</f>
      </c>
    </row>
    <row x14ac:dyDescent="0.25" r="347" customHeight="1" ht="17.25">
      <c r="A347" s="20" t="s">
        <v>5448</v>
      </c>
      <c r="B347" s="20" t="s">
        <v>558</v>
      </c>
      <c r="C347" s="20" t="s">
        <v>15</v>
      </c>
      <c r="D347" s="20" t="s">
        <v>67</v>
      </c>
      <c r="E347" s="21">
        <f>ROUND(15358*1.05,2)</f>
      </c>
      <c r="F347" s="20" t="s">
        <v>44</v>
      </c>
      <c r="G347" s="20" t="s">
        <v>30</v>
      </c>
      <c r="H347" s="21">
        <f>ROUND(RAND()*4+6,1)</f>
      </c>
      <c r="I347" s="20" t="s">
        <v>45</v>
      </c>
      <c r="J347" s="23">
        <f>ROUND(91*1,0)&amp;"%"</f>
      </c>
    </row>
    <row x14ac:dyDescent="0.25" r="348" customHeight="1" ht="17.25">
      <c r="A348" s="17" t="s">
        <v>5449</v>
      </c>
      <c r="B348" s="17" t="s">
        <v>560</v>
      </c>
      <c r="C348" s="17" t="s">
        <v>15</v>
      </c>
      <c r="D348" s="17" t="s">
        <v>16</v>
      </c>
      <c r="E348" s="18">
        <f>ROUND(10557*1.05,2)</f>
      </c>
      <c r="F348" s="17" t="s">
        <v>48</v>
      </c>
      <c r="G348" s="17" t="s">
        <v>18</v>
      </c>
      <c r="H348" s="18">
        <f>ROUND(RAND()*4+6,1)</f>
      </c>
      <c r="I348" s="17" t="s">
        <v>19</v>
      </c>
      <c r="J348" s="19">
        <f>ROUND(86*1,0)&amp;"%"</f>
      </c>
    </row>
    <row x14ac:dyDescent="0.25" r="349" customHeight="1" ht="17.25">
      <c r="A349" s="20" t="s">
        <v>5450</v>
      </c>
      <c r="B349" s="20" t="s">
        <v>562</v>
      </c>
      <c r="C349" s="20" t="s">
        <v>15</v>
      </c>
      <c r="D349" s="20" t="s">
        <v>22</v>
      </c>
      <c r="E349" s="21">
        <f>ROUND(5824*1.05,2)</f>
      </c>
      <c r="F349" s="20" t="s">
        <v>51</v>
      </c>
      <c r="G349" s="20" t="s">
        <v>24</v>
      </c>
      <c r="H349" s="21">
        <f>ROUND(RAND()*4+6,1)</f>
      </c>
      <c r="I349" s="20" t="s">
        <v>25</v>
      </c>
      <c r="J349" s="23">
        <f>ROUND(81*1,0)&amp;"%"</f>
      </c>
    </row>
    <row x14ac:dyDescent="0.25" r="350" customHeight="1" ht="17.25">
      <c r="A350" s="24" t="s">
        <v>563</v>
      </c>
      <c r="B350" s="24"/>
      <c r="C350" s="24"/>
      <c r="D350" s="24"/>
      <c r="E350" s="25">
        <v>8</v>
      </c>
      <c r="F350" s="9"/>
      <c r="G350" s="9"/>
      <c r="H350" s="10"/>
      <c r="I350" s="9"/>
      <c r="J350" s="9"/>
    </row>
    <row x14ac:dyDescent="0.25" r="351" customHeight="1" ht="17.25">
      <c r="A351" s="7"/>
      <c r="B351" s="7"/>
      <c r="C351" s="7"/>
      <c r="D351" s="7"/>
      <c r="E351" s="8"/>
      <c r="F351" s="9"/>
      <c r="G351" s="9"/>
      <c r="H351" s="10"/>
      <c r="I351" s="9"/>
      <c r="J351" s="9"/>
    </row>
    <row x14ac:dyDescent="0.25" r="352" customHeight="1" ht="17.25">
      <c r="A352" s="11" t="s">
        <v>5451</v>
      </c>
      <c r="B352" s="11"/>
      <c r="C352" s="11"/>
      <c r="D352" s="11"/>
      <c r="E352" s="12"/>
      <c r="F352" s="11"/>
      <c r="G352" s="11"/>
      <c r="H352" s="13"/>
      <c r="I352" s="11"/>
      <c r="J352" s="11"/>
    </row>
    <row x14ac:dyDescent="0.25" r="353" customHeight="1" ht="17.25">
      <c r="A353" s="14" t="s">
        <v>3</v>
      </c>
      <c r="B353" s="14" t="s">
        <v>4</v>
      </c>
      <c r="C353" s="14" t="s">
        <v>5</v>
      </c>
      <c r="D353" s="14" t="s">
        <v>6</v>
      </c>
      <c r="E353" s="15" t="s">
        <v>7</v>
      </c>
      <c r="F353" s="14" t="s">
        <v>8</v>
      </c>
      <c r="G353" s="14" t="s">
        <v>9</v>
      </c>
      <c r="H353" s="16" t="s">
        <v>10</v>
      </c>
      <c r="I353" s="14" t="s">
        <v>11</v>
      </c>
      <c r="J353" s="14" t="s">
        <v>12</v>
      </c>
    </row>
    <row x14ac:dyDescent="0.25" r="354" customHeight="1" ht="17.25">
      <c r="A354" s="17" t="s">
        <v>5452</v>
      </c>
      <c r="B354" s="17" t="s">
        <v>566</v>
      </c>
      <c r="C354" s="17" t="s">
        <v>56</v>
      </c>
      <c r="D354" s="17" t="s">
        <v>16</v>
      </c>
      <c r="E354" s="18">
        <f>ROUND(13456*1.05,2)</f>
      </c>
      <c r="F354" s="17" t="s">
        <v>17</v>
      </c>
      <c r="G354" s="17" t="s">
        <v>18</v>
      </c>
      <c r="H354" s="18">
        <f>ROUND(RAND()*4+6,1)</f>
      </c>
      <c r="I354" s="17" t="s">
        <v>19</v>
      </c>
      <c r="J354" s="19">
        <f>ROUND(81*1,0)&amp;"%"</f>
      </c>
    </row>
    <row x14ac:dyDescent="0.25" r="355" customHeight="1" ht="17.25">
      <c r="A355" s="20" t="s">
        <v>5453</v>
      </c>
      <c r="B355" s="20" t="s">
        <v>568</v>
      </c>
      <c r="C355" s="20" t="s">
        <v>56</v>
      </c>
      <c r="D355" s="20" t="s">
        <v>22</v>
      </c>
      <c r="E355" s="21">
        <f>ROUND(10055*1.05,2)</f>
      </c>
      <c r="F355" s="20" t="s">
        <v>23</v>
      </c>
      <c r="G355" s="20" t="s">
        <v>24</v>
      </c>
      <c r="H355" s="21">
        <f>ROUND(RAND()*4+6,1)</f>
      </c>
      <c r="I355" s="20" t="s">
        <v>25</v>
      </c>
      <c r="J355" s="23">
        <f>ROUND(70*1,0)&amp;"%"</f>
      </c>
    </row>
    <row x14ac:dyDescent="0.25" r="356" customHeight="1" ht="17.25">
      <c r="A356" s="17" t="s">
        <v>5454</v>
      </c>
      <c r="B356" s="17" t="s">
        <v>570</v>
      </c>
      <c r="C356" s="17" t="s">
        <v>56</v>
      </c>
      <c r="D356" s="17" t="s">
        <v>28</v>
      </c>
      <c r="E356" s="18">
        <f>ROUND(13174*1.05,2)</f>
      </c>
      <c r="F356" s="17" t="s">
        <v>29</v>
      </c>
      <c r="G356" s="17" t="s">
        <v>30</v>
      </c>
      <c r="H356" s="18">
        <f>ROUND(RAND()*4+6,1)</f>
      </c>
      <c r="I356" s="17" t="s">
        <v>31</v>
      </c>
      <c r="J356" s="19">
        <f>ROUND(64*1,0)&amp;"%"</f>
      </c>
    </row>
    <row x14ac:dyDescent="0.25" r="357" customHeight="1" ht="17.25">
      <c r="A357" s="20" t="s">
        <v>5455</v>
      </c>
      <c r="B357" s="20" t="s">
        <v>572</v>
      </c>
      <c r="C357" s="20" t="s">
        <v>56</v>
      </c>
      <c r="D357" s="20" t="s">
        <v>34</v>
      </c>
      <c r="E357" s="21">
        <f>ROUND(6137*1.05,2)</f>
      </c>
      <c r="F357" s="20" t="s">
        <v>35</v>
      </c>
      <c r="G357" s="20" t="s">
        <v>18</v>
      </c>
      <c r="H357" s="21">
        <f>ROUND(RAND()*4+6,1)</f>
      </c>
      <c r="I357" s="20" t="s">
        <v>36</v>
      </c>
      <c r="J357" s="23">
        <f>ROUND(90*1,0)&amp;"%"</f>
      </c>
    </row>
    <row x14ac:dyDescent="0.25" r="358" customHeight="1" ht="17.25">
      <c r="A358" s="17" t="s">
        <v>5456</v>
      </c>
      <c r="B358" s="17" t="s">
        <v>574</v>
      </c>
      <c r="C358" s="17" t="s">
        <v>56</v>
      </c>
      <c r="D358" s="17" t="s">
        <v>39</v>
      </c>
      <c r="E358" s="18">
        <f>ROUND(9835*1.05,2)</f>
      </c>
      <c r="F358" s="17" t="s">
        <v>40</v>
      </c>
      <c r="G358" s="17" t="s">
        <v>24</v>
      </c>
      <c r="H358" s="18">
        <f>ROUND(RAND()*4+6,1)</f>
      </c>
      <c r="I358" s="17" t="s">
        <v>41</v>
      </c>
      <c r="J358" s="19">
        <f>ROUND(68*1,0)&amp;"%"</f>
      </c>
    </row>
    <row x14ac:dyDescent="0.25" r="359" customHeight="1" ht="17.25">
      <c r="A359" s="20" t="s">
        <v>5457</v>
      </c>
      <c r="B359" s="20" t="s">
        <v>576</v>
      </c>
      <c r="C359" s="20" t="s">
        <v>56</v>
      </c>
      <c r="D359" s="20" t="s">
        <v>67</v>
      </c>
      <c r="E359" s="21">
        <f>ROUND(12998*1.05,2)</f>
      </c>
      <c r="F359" s="20" t="s">
        <v>44</v>
      </c>
      <c r="G359" s="20" t="s">
        <v>30</v>
      </c>
      <c r="H359" s="21">
        <f>ROUND(RAND()*4+6,1)</f>
      </c>
      <c r="I359" s="20" t="s">
        <v>45</v>
      </c>
      <c r="J359" s="23">
        <f>ROUND(67*1,0)&amp;"%"</f>
      </c>
    </row>
    <row x14ac:dyDescent="0.25" r="360" customHeight="1" ht="17.25">
      <c r="A360" s="17" t="s">
        <v>5458</v>
      </c>
      <c r="B360" s="17" t="s">
        <v>578</v>
      </c>
      <c r="C360" s="17" t="s">
        <v>56</v>
      </c>
      <c r="D360" s="17" t="s">
        <v>16</v>
      </c>
      <c r="E360" s="18">
        <f>ROUND(12646*1.05,2)</f>
      </c>
      <c r="F360" s="17" t="s">
        <v>48</v>
      </c>
      <c r="G360" s="17" t="s">
        <v>18</v>
      </c>
      <c r="H360" s="18">
        <f>ROUND(RAND()*4+6,1)</f>
      </c>
      <c r="I360" s="17" t="s">
        <v>19</v>
      </c>
      <c r="J360" s="19">
        <f>ROUND(90*1,0)&amp;"%"</f>
      </c>
    </row>
    <row x14ac:dyDescent="0.25" r="361" customHeight="1" ht="17.25">
      <c r="A361" s="20" t="s">
        <v>5459</v>
      </c>
      <c r="B361" s="20" t="s">
        <v>580</v>
      </c>
      <c r="C361" s="20" t="s">
        <v>56</v>
      </c>
      <c r="D361" s="20" t="s">
        <v>22</v>
      </c>
      <c r="E361" s="21">
        <f>ROUND(10956*1.05,2)</f>
      </c>
      <c r="F361" s="20" t="s">
        <v>51</v>
      </c>
      <c r="G361" s="20" t="s">
        <v>24</v>
      </c>
      <c r="H361" s="21">
        <f>ROUND(RAND()*4+6,1)</f>
      </c>
      <c r="I361" s="20" t="s">
        <v>25</v>
      </c>
      <c r="J361" s="23">
        <f>ROUND(85*1,0)&amp;"%"</f>
      </c>
    </row>
    <row x14ac:dyDescent="0.25" r="362" customHeight="1" ht="17.25">
      <c r="A362" s="24" t="s">
        <v>581</v>
      </c>
      <c r="B362" s="24"/>
      <c r="C362" s="24"/>
      <c r="D362" s="24"/>
      <c r="E362" s="25">
        <v>8</v>
      </c>
      <c r="F362" s="9"/>
      <c r="G362" s="9"/>
      <c r="H362" s="10"/>
      <c r="I362" s="9"/>
      <c r="J362" s="9"/>
    </row>
  </sheetData>
  <mergeCells count="62">
    <mergeCell ref="A1:J1"/>
    <mergeCell ref="A2:J2"/>
    <mergeCell ref="A4:J4"/>
    <mergeCell ref="A14:D14"/>
    <mergeCell ref="A16:J16"/>
    <mergeCell ref="A26:D26"/>
    <mergeCell ref="A28:J28"/>
    <mergeCell ref="A38:D38"/>
    <mergeCell ref="A40:J40"/>
    <mergeCell ref="A50:D50"/>
    <mergeCell ref="A52:J52"/>
    <mergeCell ref="A62:D62"/>
    <mergeCell ref="A64:J64"/>
    <mergeCell ref="A74:D74"/>
    <mergeCell ref="A76:J76"/>
    <mergeCell ref="A86:D86"/>
    <mergeCell ref="A88:J88"/>
    <mergeCell ref="A98:D98"/>
    <mergeCell ref="A100:J100"/>
    <mergeCell ref="A110:D110"/>
    <mergeCell ref="A112:J112"/>
    <mergeCell ref="A122:D122"/>
    <mergeCell ref="A124:J124"/>
    <mergeCell ref="A134:D134"/>
    <mergeCell ref="A136:J136"/>
    <mergeCell ref="A146:D146"/>
    <mergeCell ref="A148:J148"/>
    <mergeCell ref="A158:D158"/>
    <mergeCell ref="A160:J160"/>
    <mergeCell ref="A170:D170"/>
    <mergeCell ref="A172:J172"/>
    <mergeCell ref="A182:D182"/>
    <mergeCell ref="A184:J184"/>
    <mergeCell ref="A194:D194"/>
    <mergeCell ref="A196:J196"/>
    <mergeCell ref="A206:D206"/>
    <mergeCell ref="A208:J208"/>
    <mergeCell ref="A218:D218"/>
    <mergeCell ref="A220:J220"/>
    <mergeCell ref="A230:D230"/>
    <mergeCell ref="A232:J232"/>
    <mergeCell ref="A242:D242"/>
    <mergeCell ref="A244:J244"/>
    <mergeCell ref="A254:D254"/>
    <mergeCell ref="A256:J256"/>
    <mergeCell ref="A266:D266"/>
    <mergeCell ref="A268:J268"/>
    <mergeCell ref="A278:D278"/>
    <mergeCell ref="A280:J280"/>
    <mergeCell ref="A290:D290"/>
    <mergeCell ref="A292:J292"/>
    <mergeCell ref="A302:D302"/>
    <mergeCell ref="A304:J304"/>
    <mergeCell ref="A314:D314"/>
    <mergeCell ref="A316:J316"/>
    <mergeCell ref="A326:D326"/>
    <mergeCell ref="A328:J328"/>
    <mergeCell ref="A338:D338"/>
    <mergeCell ref="A340:J340"/>
    <mergeCell ref="A350:D350"/>
    <mergeCell ref="A352:J352"/>
    <mergeCell ref="A362:D362"/>
  </mergeCells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J362"/>
  <sheetViews>
    <sheetView workbookViewId="0"/>
  </sheetViews>
  <sheetFormatPr defaultRowHeight="15" x14ac:dyDescent="0.25"/>
  <cols>
    <col min="1" max="1" style="27" width="8.005" customWidth="1" bestFit="1"/>
    <col min="2" max="2" style="27" width="22.005" customWidth="1" bestFit="1"/>
    <col min="3" max="3" style="27" width="16.005" customWidth="1" bestFit="1"/>
    <col min="4" max="4" style="27" width="14.005" customWidth="1" bestFit="1"/>
    <col min="5" max="5" style="28" width="12.005" customWidth="1" bestFit="1"/>
    <col min="6" max="6" style="29" width="16.005" customWidth="1" bestFit="1"/>
    <col min="7" max="7" style="29" width="10.005" customWidth="1" bestFit="1"/>
    <col min="8" max="8" style="30" width="10.005" customWidth="1" bestFit="1"/>
    <col min="9" max="9" style="29" width="14.005" customWidth="1" bestFit="1"/>
    <col min="10" max="10" style="29" width="8.005" customWidth="1" bestFit="1"/>
  </cols>
  <sheetData>
    <row x14ac:dyDescent="0.25" r="1" customHeight="1" ht="17.25">
      <c r="A1" s="1" t="s">
        <v>4918</v>
      </c>
      <c r="B1" s="1"/>
      <c r="C1" s="1"/>
      <c r="D1" s="1"/>
      <c r="E1" s="2"/>
      <c r="F1" s="1"/>
      <c r="G1" s="1"/>
      <c r="H1" s="3"/>
      <c r="I1" s="1"/>
      <c r="J1" s="1"/>
    </row>
    <row x14ac:dyDescent="0.25" r="2" customHeight="1" ht="17.25">
      <c r="A2" s="4" t="s">
        <v>1</v>
      </c>
      <c r="B2" s="4"/>
      <c r="C2" s="4"/>
      <c r="D2" s="4"/>
      <c r="E2" s="5"/>
      <c r="F2" s="4"/>
      <c r="G2" s="4"/>
      <c r="H2" s="6"/>
      <c r="I2" s="4"/>
      <c r="J2" s="4"/>
    </row>
    <row x14ac:dyDescent="0.25" r="3" customHeight="1" ht="17.25">
      <c r="A3" s="7"/>
      <c r="B3" s="7"/>
      <c r="C3" s="7"/>
      <c r="D3" s="7"/>
      <c r="E3" s="8"/>
      <c r="F3" s="9"/>
      <c r="G3" s="9"/>
      <c r="H3" s="10"/>
      <c r="I3" s="9"/>
      <c r="J3" s="9"/>
    </row>
    <row x14ac:dyDescent="0.25" r="4" customHeight="1" ht="17.25">
      <c r="A4" s="11" t="s">
        <v>4919</v>
      </c>
      <c r="B4" s="11"/>
      <c r="C4" s="11"/>
      <c r="D4" s="11"/>
      <c r="E4" s="12"/>
      <c r="F4" s="11"/>
      <c r="G4" s="11"/>
      <c r="H4" s="13"/>
      <c r="I4" s="11"/>
      <c r="J4" s="11"/>
    </row>
    <row x14ac:dyDescent="0.25" r="5" customHeight="1" ht="17.25">
      <c r="A5" s="14" t="s">
        <v>3</v>
      </c>
      <c r="B5" s="14" t="s">
        <v>4</v>
      </c>
      <c r="C5" s="14" t="s">
        <v>5</v>
      </c>
      <c r="D5" s="14" t="s">
        <v>6</v>
      </c>
      <c r="E5" s="15" t="s">
        <v>7</v>
      </c>
      <c r="F5" s="14" t="s">
        <v>8</v>
      </c>
      <c r="G5" s="14" t="s">
        <v>9</v>
      </c>
      <c r="H5" s="16" t="s">
        <v>10</v>
      </c>
      <c r="I5" s="14" t="s">
        <v>11</v>
      </c>
      <c r="J5" s="14" t="s">
        <v>12</v>
      </c>
    </row>
    <row x14ac:dyDescent="0.25" r="6" customHeight="1" ht="17.25">
      <c r="A6" s="17" t="s">
        <v>4920</v>
      </c>
      <c r="B6" s="17" t="s">
        <v>14</v>
      </c>
      <c r="C6" s="17" t="s">
        <v>15</v>
      </c>
      <c r="D6" s="17" t="s">
        <v>16</v>
      </c>
      <c r="E6" s="26">
        <f>ROUND(14180*1.05,2)</f>
      </c>
      <c r="F6" s="17" t="s">
        <v>17</v>
      </c>
      <c r="G6" s="17" t="s">
        <v>18</v>
      </c>
      <c r="H6" s="18">
        <f>ROUND(RAND()*4+6,1)</f>
      </c>
      <c r="I6" s="17" t="s">
        <v>19</v>
      </c>
      <c r="J6" s="19">
        <f>ROUND(71*1,0)&amp;"%"</f>
      </c>
    </row>
    <row x14ac:dyDescent="0.25" r="7" customHeight="1" ht="17.25">
      <c r="A7" s="20" t="s">
        <v>4921</v>
      </c>
      <c r="B7" s="20" t="s">
        <v>21</v>
      </c>
      <c r="C7" s="20" t="s">
        <v>15</v>
      </c>
      <c r="D7" s="20" t="s">
        <v>22</v>
      </c>
      <c r="E7" s="21">
        <f>ROUND(4065*1.05,2)</f>
      </c>
      <c r="F7" s="20" t="s">
        <v>23</v>
      </c>
      <c r="G7" s="20" t="s">
        <v>24</v>
      </c>
      <c r="H7" s="21">
        <f>ROUND(RAND()*4+6,1)</f>
      </c>
      <c r="I7" s="20" t="s">
        <v>25</v>
      </c>
      <c r="J7" s="23">
        <f>ROUND(62*1,0)&amp;"%"</f>
      </c>
    </row>
    <row x14ac:dyDescent="0.25" r="8" customHeight="1" ht="17.25">
      <c r="A8" s="17" t="s">
        <v>4922</v>
      </c>
      <c r="B8" s="17" t="s">
        <v>27</v>
      </c>
      <c r="C8" s="17" t="s">
        <v>15</v>
      </c>
      <c r="D8" s="17" t="s">
        <v>28</v>
      </c>
      <c r="E8" s="18">
        <f>ROUND(9111*1.05,2)</f>
      </c>
      <c r="F8" s="17" t="s">
        <v>29</v>
      </c>
      <c r="G8" s="17" t="s">
        <v>30</v>
      </c>
      <c r="H8" s="18">
        <f>ROUND(RAND()*4+6,1)</f>
      </c>
      <c r="I8" s="17" t="s">
        <v>31</v>
      </c>
      <c r="J8" s="19">
        <f>ROUND(90*1,0)&amp;"%"</f>
      </c>
    </row>
    <row x14ac:dyDescent="0.25" r="9" customHeight="1" ht="17.25">
      <c r="A9" s="20" t="s">
        <v>4923</v>
      </c>
      <c r="B9" s="20" t="s">
        <v>33</v>
      </c>
      <c r="C9" s="20" t="s">
        <v>15</v>
      </c>
      <c r="D9" s="20" t="s">
        <v>34</v>
      </c>
      <c r="E9" s="21">
        <f>ROUND(12842*1.05,2)</f>
      </c>
      <c r="F9" s="20" t="s">
        <v>35</v>
      </c>
      <c r="G9" s="20" t="s">
        <v>18</v>
      </c>
      <c r="H9" s="21">
        <f>ROUND(RAND()*4+6,1)</f>
      </c>
      <c r="I9" s="20" t="s">
        <v>36</v>
      </c>
      <c r="J9" s="23">
        <f>ROUND(82*1,0)&amp;"%"</f>
      </c>
    </row>
    <row x14ac:dyDescent="0.25" r="10" customHeight="1" ht="17.25">
      <c r="A10" s="17" t="s">
        <v>4924</v>
      </c>
      <c r="B10" s="17" t="s">
        <v>38</v>
      </c>
      <c r="C10" s="17" t="s">
        <v>15</v>
      </c>
      <c r="D10" s="17" t="s">
        <v>39</v>
      </c>
      <c r="E10" s="18">
        <f>ROUND(5831*1.05,2)</f>
      </c>
      <c r="F10" s="17" t="s">
        <v>40</v>
      </c>
      <c r="G10" s="17" t="s">
        <v>24</v>
      </c>
      <c r="H10" s="18">
        <f>ROUND(RAND()*4+6,1)</f>
      </c>
      <c r="I10" s="17" t="s">
        <v>41</v>
      </c>
      <c r="J10" s="19">
        <f>ROUND(64*1,0)&amp;"%"</f>
      </c>
    </row>
    <row x14ac:dyDescent="0.25" r="11" customHeight="1" ht="17.25">
      <c r="A11" s="20" t="s">
        <v>4925</v>
      </c>
      <c r="B11" s="20" t="s">
        <v>43</v>
      </c>
      <c r="C11" s="20" t="s">
        <v>15</v>
      </c>
      <c r="D11" s="20" t="s">
        <v>67</v>
      </c>
      <c r="E11" s="21">
        <f>ROUND(17751*1.05,2)</f>
      </c>
      <c r="F11" s="20" t="s">
        <v>44</v>
      </c>
      <c r="G11" s="20" t="s">
        <v>30</v>
      </c>
      <c r="H11" s="21">
        <f>ROUND(RAND()*4+6,1)</f>
      </c>
      <c r="I11" s="20" t="s">
        <v>45</v>
      </c>
      <c r="J11" s="23">
        <f>ROUND(69*1,0)&amp;"%"</f>
      </c>
    </row>
    <row x14ac:dyDescent="0.25" r="12" customHeight="1" ht="17.25">
      <c r="A12" s="17" t="s">
        <v>4926</v>
      </c>
      <c r="B12" s="17" t="s">
        <v>47</v>
      </c>
      <c r="C12" s="17" t="s">
        <v>15</v>
      </c>
      <c r="D12" s="17" t="s">
        <v>16</v>
      </c>
      <c r="E12" s="18">
        <f>ROUND(15846*1.05,2)</f>
      </c>
      <c r="F12" s="17" t="s">
        <v>48</v>
      </c>
      <c r="G12" s="17" t="s">
        <v>18</v>
      </c>
      <c r="H12" s="18">
        <f>ROUND(RAND()*4+6,1)</f>
      </c>
      <c r="I12" s="17" t="s">
        <v>19</v>
      </c>
      <c r="J12" s="19">
        <f>ROUND(86*1,0)&amp;"%"</f>
      </c>
    </row>
    <row x14ac:dyDescent="0.25" r="13" customHeight="1" ht="17.25">
      <c r="A13" s="20" t="s">
        <v>4927</v>
      </c>
      <c r="B13" s="20" t="s">
        <v>50</v>
      </c>
      <c r="C13" s="20" t="s">
        <v>15</v>
      </c>
      <c r="D13" s="20" t="s">
        <v>22</v>
      </c>
      <c r="E13" s="21">
        <f>ROUND(9764*1.05,2)</f>
      </c>
      <c r="F13" s="20" t="s">
        <v>51</v>
      </c>
      <c r="G13" s="20" t="s">
        <v>24</v>
      </c>
      <c r="H13" s="21">
        <f>ROUND(RAND()*4+6,1)</f>
      </c>
      <c r="I13" s="20" t="s">
        <v>25</v>
      </c>
      <c r="J13" s="23">
        <f>ROUND(63*1,0)&amp;"%"</f>
      </c>
    </row>
    <row x14ac:dyDescent="0.25" r="14" customHeight="1" ht="17.25">
      <c r="A14" s="24" t="s">
        <v>52</v>
      </c>
      <c r="B14" s="24"/>
      <c r="C14" s="24"/>
      <c r="D14" s="24"/>
      <c r="E14" s="25">
        <v>8</v>
      </c>
      <c r="F14" s="9"/>
      <c r="G14" s="9"/>
      <c r="H14" s="10"/>
      <c r="I14" s="9"/>
      <c r="J14" s="9"/>
    </row>
    <row x14ac:dyDescent="0.25" r="15" customHeight="1" ht="17.25">
      <c r="A15" s="7"/>
      <c r="B15" s="7"/>
      <c r="C15" s="7"/>
      <c r="D15" s="7"/>
      <c r="E15" s="8"/>
      <c r="F15" s="9"/>
      <c r="G15" s="9"/>
      <c r="H15" s="10"/>
      <c r="I15" s="9"/>
      <c r="J15" s="9"/>
    </row>
    <row x14ac:dyDescent="0.25" r="16" customHeight="1" ht="17.25">
      <c r="A16" s="11" t="s">
        <v>4928</v>
      </c>
      <c r="B16" s="11"/>
      <c r="C16" s="11"/>
      <c r="D16" s="11"/>
      <c r="E16" s="12"/>
      <c r="F16" s="11"/>
      <c r="G16" s="11"/>
      <c r="H16" s="13"/>
      <c r="I16" s="11"/>
      <c r="J16" s="11"/>
    </row>
    <row x14ac:dyDescent="0.25" r="17" customHeight="1" ht="17.25">
      <c r="A17" s="14" t="s">
        <v>3</v>
      </c>
      <c r="B17" s="14" t="s">
        <v>4</v>
      </c>
      <c r="C17" s="14" t="s">
        <v>5</v>
      </c>
      <c r="D17" s="14" t="s">
        <v>6</v>
      </c>
      <c r="E17" s="15" t="s">
        <v>7</v>
      </c>
      <c r="F17" s="14" t="s">
        <v>8</v>
      </c>
      <c r="G17" s="14" t="s">
        <v>9</v>
      </c>
      <c r="H17" s="16" t="s">
        <v>10</v>
      </c>
      <c r="I17" s="14" t="s">
        <v>11</v>
      </c>
      <c r="J17" s="14" t="s">
        <v>12</v>
      </c>
    </row>
    <row x14ac:dyDescent="0.25" r="18" customHeight="1" ht="17.25">
      <c r="A18" s="17" t="s">
        <v>4929</v>
      </c>
      <c r="B18" s="17" t="s">
        <v>55</v>
      </c>
      <c r="C18" s="17" t="s">
        <v>56</v>
      </c>
      <c r="D18" s="17" t="s">
        <v>16</v>
      </c>
      <c r="E18" s="18">
        <f>ROUND(16955*1.05,2)</f>
      </c>
      <c r="F18" s="17" t="s">
        <v>17</v>
      </c>
      <c r="G18" s="17" t="s">
        <v>18</v>
      </c>
      <c r="H18" s="18">
        <f>ROUND(RAND()*4+6,1)</f>
      </c>
      <c r="I18" s="17" t="s">
        <v>19</v>
      </c>
      <c r="J18" s="19">
        <f>ROUND(74*1,0)&amp;"%"</f>
      </c>
    </row>
    <row x14ac:dyDescent="0.25" r="19" customHeight="1" ht="17.25">
      <c r="A19" s="20" t="s">
        <v>4930</v>
      </c>
      <c r="B19" s="20" t="s">
        <v>58</v>
      </c>
      <c r="C19" s="20" t="s">
        <v>56</v>
      </c>
      <c r="D19" s="20" t="s">
        <v>22</v>
      </c>
      <c r="E19" s="21">
        <f>ROUND(10133*1.05,2)</f>
      </c>
      <c r="F19" s="20" t="s">
        <v>23</v>
      </c>
      <c r="G19" s="20" t="s">
        <v>24</v>
      </c>
      <c r="H19" s="21">
        <f>ROUND(RAND()*4+6,1)</f>
      </c>
      <c r="I19" s="20" t="s">
        <v>25</v>
      </c>
      <c r="J19" s="23">
        <f>ROUND(60*1,0)&amp;"%"</f>
      </c>
    </row>
    <row x14ac:dyDescent="0.25" r="20" customHeight="1" ht="17.25">
      <c r="A20" s="17" t="s">
        <v>4931</v>
      </c>
      <c r="B20" s="17" t="s">
        <v>60</v>
      </c>
      <c r="C20" s="17" t="s">
        <v>56</v>
      </c>
      <c r="D20" s="17" t="s">
        <v>28</v>
      </c>
      <c r="E20" s="18">
        <f>ROUND(14364*1.05,2)</f>
      </c>
      <c r="F20" s="17" t="s">
        <v>29</v>
      </c>
      <c r="G20" s="17" t="s">
        <v>30</v>
      </c>
      <c r="H20" s="18">
        <f>ROUND(RAND()*4+6,1)</f>
      </c>
      <c r="I20" s="17" t="s">
        <v>31</v>
      </c>
      <c r="J20" s="19">
        <f>ROUND(83*1,0)&amp;"%"</f>
      </c>
    </row>
    <row x14ac:dyDescent="0.25" r="21" customHeight="1" ht="17.25">
      <c r="A21" s="20" t="s">
        <v>4932</v>
      </c>
      <c r="B21" s="20" t="s">
        <v>62</v>
      </c>
      <c r="C21" s="20" t="s">
        <v>56</v>
      </c>
      <c r="D21" s="20" t="s">
        <v>34</v>
      </c>
      <c r="E21" s="21">
        <f>ROUND(9431*1.05,2)</f>
      </c>
      <c r="F21" s="20" t="s">
        <v>35</v>
      </c>
      <c r="G21" s="20" t="s">
        <v>18</v>
      </c>
      <c r="H21" s="21">
        <f>ROUND(RAND()*4+6,1)</f>
      </c>
      <c r="I21" s="20" t="s">
        <v>36</v>
      </c>
      <c r="J21" s="23">
        <f>ROUND(70*1,0)&amp;"%"</f>
      </c>
    </row>
    <row x14ac:dyDescent="0.25" r="22" customHeight="1" ht="17.25">
      <c r="A22" s="17" t="s">
        <v>4933</v>
      </c>
      <c r="B22" s="17" t="s">
        <v>64</v>
      </c>
      <c r="C22" s="17" t="s">
        <v>56</v>
      </c>
      <c r="D22" s="17" t="s">
        <v>39</v>
      </c>
      <c r="E22" s="18">
        <f>ROUND(9611*1.05,2)</f>
      </c>
      <c r="F22" s="17" t="s">
        <v>40</v>
      </c>
      <c r="G22" s="17" t="s">
        <v>24</v>
      </c>
      <c r="H22" s="18">
        <f>ROUND(RAND()*4+6,1)</f>
      </c>
      <c r="I22" s="17" t="s">
        <v>41</v>
      </c>
      <c r="J22" s="19">
        <f>ROUND(97*1,0)&amp;"%"</f>
      </c>
    </row>
    <row x14ac:dyDescent="0.25" r="23" customHeight="1" ht="17.25">
      <c r="A23" s="20" t="s">
        <v>4934</v>
      </c>
      <c r="B23" s="20" t="s">
        <v>66</v>
      </c>
      <c r="C23" s="20" t="s">
        <v>56</v>
      </c>
      <c r="D23" s="20" t="s">
        <v>67</v>
      </c>
      <c r="E23" s="21">
        <f>ROUND(17813*1.05,2)</f>
      </c>
      <c r="F23" s="20" t="s">
        <v>44</v>
      </c>
      <c r="G23" s="20" t="s">
        <v>30</v>
      </c>
      <c r="H23" s="21">
        <f>ROUND(RAND()*4+6,1)</f>
      </c>
      <c r="I23" s="20" t="s">
        <v>45</v>
      </c>
      <c r="J23" s="23">
        <f>ROUND(65*1,0)&amp;"%"</f>
      </c>
    </row>
    <row x14ac:dyDescent="0.25" r="24" customHeight="1" ht="17.25">
      <c r="A24" s="17" t="s">
        <v>4935</v>
      </c>
      <c r="B24" s="17" t="s">
        <v>69</v>
      </c>
      <c r="C24" s="17" t="s">
        <v>56</v>
      </c>
      <c r="D24" s="17" t="s">
        <v>16</v>
      </c>
      <c r="E24" s="18">
        <f>ROUND(10507*1.05,2)</f>
      </c>
      <c r="F24" s="17" t="s">
        <v>48</v>
      </c>
      <c r="G24" s="17" t="s">
        <v>18</v>
      </c>
      <c r="H24" s="18">
        <f>ROUND(RAND()*4+6,1)</f>
      </c>
      <c r="I24" s="17" t="s">
        <v>19</v>
      </c>
      <c r="J24" s="19">
        <f>ROUND(81*1,0)&amp;"%"</f>
      </c>
    </row>
    <row x14ac:dyDescent="0.25" r="25" customHeight="1" ht="17.25">
      <c r="A25" s="20" t="s">
        <v>4936</v>
      </c>
      <c r="B25" s="20" t="s">
        <v>71</v>
      </c>
      <c r="C25" s="20" t="s">
        <v>56</v>
      </c>
      <c r="D25" s="20" t="s">
        <v>22</v>
      </c>
      <c r="E25" s="21">
        <f>ROUND(11484*1.05,2)</f>
      </c>
      <c r="F25" s="20" t="s">
        <v>51</v>
      </c>
      <c r="G25" s="20" t="s">
        <v>24</v>
      </c>
      <c r="H25" s="21">
        <f>ROUND(RAND()*4+6,1)</f>
      </c>
      <c r="I25" s="20" t="s">
        <v>25</v>
      </c>
      <c r="J25" s="23">
        <f>ROUND(67*1,0)&amp;"%"</f>
      </c>
    </row>
    <row x14ac:dyDescent="0.25" r="26" customHeight="1" ht="17.25">
      <c r="A26" s="24" t="s">
        <v>72</v>
      </c>
      <c r="B26" s="24"/>
      <c r="C26" s="24"/>
      <c r="D26" s="24"/>
      <c r="E26" s="25">
        <v>8</v>
      </c>
      <c r="F26" s="9"/>
      <c r="G26" s="9"/>
      <c r="H26" s="10"/>
      <c r="I26" s="9"/>
      <c r="J26" s="9"/>
    </row>
    <row x14ac:dyDescent="0.25" r="27" customHeight="1" ht="17.25">
      <c r="A27" s="7"/>
      <c r="B27" s="7"/>
      <c r="C27" s="7"/>
      <c r="D27" s="7"/>
      <c r="E27" s="8"/>
      <c r="F27" s="9"/>
      <c r="G27" s="9"/>
      <c r="H27" s="10"/>
      <c r="I27" s="9"/>
      <c r="J27" s="9"/>
    </row>
    <row x14ac:dyDescent="0.25" r="28" customHeight="1" ht="17.25">
      <c r="A28" s="11" t="s">
        <v>4937</v>
      </c>
      <c r="B28" s="11"/>
      <c r="C28" s="11"/>
      <c r="D28" s="11"/>
      <c r="E28" s="12"/>
      <c r="F28" s="11"/>
      <c r="G28" s="11"/>
      <c r="H28" s="13"/>
      <c r="I28" s="11"/>
      <c r="J28" s="11"/>
    </row>
    <row x14ac:dyDescent="0.25" r="29" customHeight="1" ht="17.25">
      <c r="A29" s="14" t="s">
        <v>3</v>
      </c>
      <c r="B29" s="14" t="s">
        <v>4</v>
      </c>
      <c r="C29" s="14" t="s">
        <v>5</v>
      </c>
      <c r="D29" s="14" t="s">
        <v>6</v>
      </c>
      <c r="E29" s="15" t="s">
        <v>7</v>
      </c>
      <c r="F29" s="14" t="s">
        <v>8</v>
      </c>
      <c r="G29" s="14" t="s">
        <v>9</v>
      </c>
      <c r="H29" s="16" t="s">
        <v>10</v>
      </c>
      <c r="I29" s="14" t="s">
        <v>11</v>
      </c>
      <c r="J29" s="14" t="s">
        <v>12</v>
      </c>
    </row>
    <row x14ac:dyDescent="0.25" r="30" customHeight="1" ht="17.25">
      <c r="A30" s="17" t="s">
        <v>4938</v>
      </c>
      <c r="B30" s="17" t="s">
        <v>75</v>
      </c>
      <c r="C30" s="17" t="s">
        <v>76</v>
      </c>
      <c r="D30" s="17" t="s">
        <v>16</v>
      </c>
      <c r="E30" s="18">
        <f>ROUND(5231*1.05,2)</f>
      </c>
      <c r="F30" s="17" t="s">
        <v>17</v>
      </c>
      <c r="G30" s="17" t="s">
        <v>18</v>
      </c>
      <c r="H30" s="18">
        <f>ROUND(RAND()*4+6,1)</f>
      </c>
      <c r="I30" s="17" t="s">
        <v>19</v>
      </c>
      <c r="J30" s="19">
        <f>ROUND(91*1,0)&amp;"%"</f>
      </c>
    </row>
    <row x14ac:dyDescent="0.25" r="31" customHeight="1" ht="17.25">
      <c r="A31" s="20" t="s">
        <v>4939</v>
      </c>
      <c r="B31" s="20" t="s">
        <v>78</v>
      </c>
      <c r="C31" s="20" t="s">
        <v>76</v>
      </c>
      <c r="D31" s="20" t="s">
        <v>22</v>
      </c>
      <c r="E31" s="21">
        <f>ROUND(15218*1.05,2)</f>
      </c>
      <c r="F31" s="20" t="s">
        <v>23</v>
      </c>
      <c r="G31" s="20" t="s">
        <v>24</v>
      </c>
      <c r="H31" s="21">
        <f>ROUND(RAND()*4+6,1)</f>
      </c>
      <c r="I31" s="20" t="s">
        <v>25</v>
      </c>
      <c r="J31" s="23">
        <f>ROUND(75*1,0)&amp;"%"</f>
      </c>
    </row>
    <row x14ac:dyDescent="0.25" r="32" customHeight="1" ht="17.25">
      <c r="A32" s="17" t="s">
        <v>4940</v>
      </c>
      <c r="B32" s="17" t="s">
        <v>80</v>
      </c>
      <c r="C32" s="17" t="s">
        <v>76</v>
      </c>
      <c r="D32" s="17" t="s">
        <v>28</v>
      </c>
      <c r="E32" s="18">
        <f>ROUND(12506*1.05,2)</f>
      </c>
      <c r="F32" s="17" t="s">
        <v>29</v>
      </c>
      <c r="G32" s="17" t="s">
        <v>30</v>
      </c>
      <c r="H32" s="18">
        <f>ROUND(RAND()*4+6,1)</f>
      </c>
      <c r="I32" s="17" t="s">
        <v>31</v>
      </c>
      <c r="J32" s="19">
        <f>ROUND(81*1,0)&amp;"%"</f>
      </c>
    </row>
    <row x14ac:dyDescent="0.25" r="33" customHeight="1" ht="17.25">
      <c r="A33" s="20" t="s">
        <v>4941</v>
      </c>
      <c r="B33" s="20" t="s">
        <v>82</v>
      </c>
      <c r="C33" s="20" t="s">
        <v>76</v>
      </c>
      <c r="D33" s="20" t="s">
        <v>34</v>
      </c>
      <c r="E33" s="21">
        <f>ROUND(8331*1.05,2)</f>
      </c>
      <c r="F33" s="20" t="s">
        <v>35</v>
      </c>
      <c r="G33" s="20" t="s">
        <v>18</v>
      </c>
      <c r="H33" s="21">
        <f>ROUND(RAND()*4+6,1)</f>
      </c>
      <c r="I33" s="20" t="s">
        <v>36</v>
      </c>
      <c r="J33" s="23">
        <f>ROUND(88*1,0)&amp;"%"</f>
      </c>
    </row>
    <row x14ac:dyDescent="0.25" r="34" customHeight="1" ht="17.25">
      <c r="A34" s="17" t="s">
        <v>4942</v>
      </c>
      <c r="B34" s="17" t="s">
        <v>84</v>
      </c>
      <c r="C34" s="17" t="s">
        <v>76</v>
      </c>
      <c r="D34" s="17" t="s">
        <v>39</v>
      </c>
      <c r="E34" s="18">
        <f>ROUND(13271*1.05,2)</f>
      </c>
      <c r="F34" s="17" t="s">
        <v>40</v>
      </c>
      <c r="G34" s="17" t="s">
        <v>24</v>
      </c>
      <c r="H34" s="18">
        <f>ROUND(RAND()*4+6,1)</f>
      </c>
      <c r="I34" s="17" t="s">
        <v>41</v>
      </c>
      <c r="J34" s="19">
        <f>ROUND(64*1,0)&amp;"%"</f>
      </c>
    </row>
    <row x14ac:dyDescent="0.25" r="35" customHeight="1" ht="17.25">
      <c r="A35" s="20" t="s">
        <v>4943</v>
      </c>
      <c r="B35" s="20" t="s">
        <v>86</v>
      </c>
      <c r="C35" s="20" t="s">
        <v>76</v>
      </c>
      <c r="D35" s="20" t="s">
        <v>67</v>
      </c>
      <c r="E35" s="21">
        <f>ROUND(8278*1.05,2)</f>
      </c>
      <c r="F35" s="20" t="s">
        <v>44</v>
      </c>
      <c r="G35" s="20" t="s">
        <v>30</v>
      </c>
      <c r="H35" s="21">
        <f>ROUND(RAND()*4+6,1)</f>
      </c>
      <c r="I35" s="20" t="s">
        <v>45</v>
      </c>
      <c r="J35" s="23">
        <f>ROUND(78*1,0)&amp;"%"</f>
      </c>
    </row>
    <row x14ac:dyDescent="0.25" r="36" customHeight="1" ht="17.25">
      <c r="A36" s="17" t="s">
        <v>4944</v>
      </c>
      <c r="B36" s="17" t="s">
        <v>88</v>
      </c>
      <c r="C36" s="17" t="s">
        <v>76</v>
      </c>
      <c r="D36" s="17" t="s">
        <v>16</v>
      </c>
      <c r="E36" s="18">
        <f>ROUND(5143*1.05,2)</f>
      </c>
      <c r="F36" s="17" t="s">
        <v>48</v>
      </c>
      <c r="G36" s="17" t="s">
        <v>18</v>
      </c>
      <c r="H36" s="18">
        <f>ROUND(RAND()*4+6,1)</f>
      </c>
      <c r="I36" s="17" t="s">
        <v>19</v>
      </c>
      <c r="J36" s="19">
        <f>ROUND(100*1,0)&amp;"%"</f>
      </c>
    </row>
    <row x14ac:dyDescent="0.25" r="37" customHeight="1" ht="17.25">
      <c r="A37" s="20" t="s">
        <v>4945</v>
      </c>
      <c r="B37" s="20" t="s">
        <v>90</v>
      </c>
      <c r="C37" s="20" t="s">
        <v>76</v>
      </c>
      <c r="D37" s="20" t="s">
        <v>22</v>
      </c>
      <c r="E37" s="21">
        <f>ROUND(15705*1.05,2)</f>
      </c>
      <c r="F37" s="20" t="s">
        <v>51</v>
      </c>
      <c r="G37" s="20" t="s">
        <v>24</v>
      </c>
      <c r="H37" s="21">
        <f>ROUND(RAND()*4+6,1)</f>
      </c>
      <c r="I37" s="20" t="s">
        <v>25</v>
      </c>
      <c r="J37" s="23">
        <f>ROUND(74*1,0)&amp;"%"</f>
      </c>
    </row>
    <row x14ac:dyDescent="0.25" r="38" customHeight="1" ht="17.25">
      <c r="A38" s="24" t="s">
        <v>91</v>
      </c>
      <c r="B38" s="24"/>
      <c r="C38" s="24"/>
      <c r="D38" s="24"/>
      <c r="E38" s="25">
        <v>8</v>
      </c>
      <c r="F38" s="9"/>
      <c r="G38" s="9"/>
      <c r="H38" s="10"/>
      <c r="I38" s="9"/>
      <c r="J38" s="9"/>
    </row>
    <row x14ac:dyDescent="0.25" r="39" customHeight="1" ht="17.25">
      <c r="A39" s="7"/>
      <c r="B39" s="7"/>
      <c r="C39" s="7"/>
      <c r="D39" s="7"/>
      <c r="E39" s="8"/>
      <c r="F39" s="9"/>
      <c r="G39" s="9"/>
      <c r="H39" s="10"/>
      <c r="I39" s="9"/>
      <c r="J39" s="9"/>
    </row>
    <row x14ac:dyDescent="0.25" r="40" customHeight="1" ht="17.25">
      <c r="A40" s="11" t="s">
        <v>4946</v>
      </c>
      <c r="B40" s="11"/>
      <c r="C40" s="11"/>
      <c r="D40" s="11"/>
      <c r="E40" s="12"/>
      <c r="F40" s="11"/>
      <c r="G40" s="11"/>
      <c r="H40" s="13"/>
      <c r="I40" s="11"/>
      <c r="J40" s="11"/>
    </row>
    <row x14ac:dyDescent="0.25" r="41" customHeight="1" ht="17.25">
      <c r="A41" s="14" t="s">
        <v>3</v>
      </c>
      <c r="B41" s="14" t="s">
        <v>4</v>
      </c>
      <c r="C41" s="14" t="s">
        <v>5</v>
      </c>
      <c r="D41" s="14" t="s">
        <v>6</v>
      </c>
      <c r="E41" s="15" t="s">
        <v>7</v>
      </c>
      <c r="F41" s="14" t="s">
        <v>8</v>
      </c>
      <c r="G41" s="14" t="s">
        <v>9</v>
      </c>
      <c r="H41" s="16" t="s">
        <v>10</v>
      </c>
      <c r="I41" s="14" t="s">
        <v>11</v>
      </c>
      <c r="J41" s="14" t="s">
        <v>12</v>
      </c>
    </row>
    <row x14ac:dyDescent="0.25" r="42" customHeight="1" ht="17.25">
      <c r="A42" s="17" t="s">
        <v>4947</v>
      </c>
      <c r="B42" s="17" t="s">
        <v>94</v>
      </c>
      <c r="C42" s="17" t="s">
        <v>95</v>
      </c>
      <c r="D42" s="17" t="s">
        <v>16</v>
      </c>
      <c r="E42" s="18">
        <f>ROUND(11206*1.05,2)</f>
      </c>
      <c r="F42" s="17" t="s">
        <v>17</v>
      </c>
      <c r="G42" s="17" t="s">
        <v>18</v>
      </c>
      <c r="H42" s="18">
        <f>ROUND(RAND()*4+6,1)</f>
      </c>
      <c r="I42" s="17" t="s">
        <v>19</v>
      </c>
      <c r="J42" s="19">
        <f>ROUND(89*1,0)&amp;"%"</f>
      </c>
    </row>
    <row x14ac:dyDescent="0.25" r="43" customHeight="1" ht="17.25">
      <c r="A43" s="20" t="s">
        <v>4948</v>
      </c>
      <c r="B43" s="20" t="s">
        <v>97</v>
      </c>
      <c r="C43" s="20" t="s">
        <v>95</v>
      </c>
      <c r="D43" s="20" t="s">
        <v>22</v>
      </c>
      <c r="E43" s="21">
        <f>ROUND(13266*1.05,2)</f>
      </c>
      <c r="F43" s="20" t="s">
        <v>23</v>
      </c>
      <c r="G43" s="20" t="s">
        <v>24</v>
      </c>
      <c r="H43" s="21">
        <f>ROUND(RAND()*4+6,1)</f>
      </c>
      <c r="I43" s="20" t="s">
        <v>25</v>
      </c>
      <c r="J43" s="23">
        <f>ROUND(82*1,0)&amp;"%"</f>
      </c>
    </row>
    <row x14ac:dyDescent="0.25" r="44" customHeight="1" ht="17.25">
      <c r="A44" s="17" t="s">
        <v>4949</v>
      </c>
      <c r="B44" s="17" t="s">
        <v>99</v>
      </c>
      <c r="C44" s="17" t="s">
        <v>95</v>
      </c>
      <c r="D44" s="17" t="s">
        <v>28</v>
      </c>
      <c r="E44" s="18">
        <f>ROUND(6139*1.05,2)</f>
      </c>
      <c r="F44" s="17" t="s">
        <v>29</v>
      </c>
      <c r="G44" s="17" t="s">
        <v>30</v>
      </c>
      <c r="H44" s="18">
        <f>ROUND(RAND()*4+6,1)</f>
      </c>
      <c r="I44" s="17" t="s">
        <v>31</v>
      </c>
      <c r="J44" s="19">
        <f>ROUND(62*1,0)&amp;"%"</f>
      </c>
    </row>
    <row x14ac:dyDescent="0.25" r="45" customHeight="1" ht="17.25">
      <c r="A45" s="20" t="s">
        <v>4950</v>
      </c>
      <c r="B45" s="20" t="s">
        <v>101</v>
      </c>
      <c r="C45" s="20" t="s">
        <v>95</v>
      </c>
      <c r="D45" s="20" t="s">
        <v>34</v>
      </c>
      <c r="E45" s="21">
        <f>ROUND(8315*1.05,2)</f>
      </c>
      <c r="F45" s="20" t="s">
        <v>35</v>
      </c>
      <c r="G45" s="20" t="s">
        <v>18</v>
      </c>
      <c r="H45" s="21">
        <f>ROUND(RAND()*4+6,1)</f>
      </c>
      <c r="I45" s="20" t="s">
        <v>36</v>
      </c>
      <c r="J45" s="23">
        <f>ROUND(89*1,0)&amp;"%"</f>
      </c>
    </row>
    <row x14ac:dyDescent="0.25" r="46" customHeight="1" ht="17.25">
      <c r="A46" s="17" t="s">
        <v>4951</v>
      </c>
      <c r="B46" s="17" t="s">
        <v>103</v>
      </c>
      <c r="C46" s="17" t="s">
        <v>95</v>
      </c>
      <c r="D46" s="17" t="s">
        <v>39</v>
      </c>
      <c r="E46" s="18">
        <f>ROUND(5954*1.05,2)</f>
      </c>
      <c r="F46" s="17" t="s">
        <v>40</v>
      </c>
      <c r="G46" s="17" t="s">
        <v>24</v>
      </c>
      <c r="H46" s="18">
        <f>ROUND(RAND()*4+6,1)</f>
      </c>
      <c r="I46" s="17" t="s">
        <v>41</v>
      </c>
      <c r="J46" s="19">
        <f>ROUND(76*1,0)&amp;"%"</f>
      </c>
    </row>
    <row x14ac:dyDescent="0.25" r="47" customHeight="1" ht="17.25">
      <c r="A47" s="20" t="s">
        <v>4952</v>
      </c>
      <c r="B47" s="20" t="s">
        <v>105</v>
      </c>
      <c r="C47" s="20" t="s">
        <v>95</v>
      </c>
      <c r="D47" s="20" t="s">
        <v>67</v>
      </c>
      <c r="E47" s="21">
        <f>ROUND(13545*1.05,2)</f>
      </c>
      <c r="F47" s="20" t="s">
        <v>44</v>
      </c>
      <c r="G47" s="20" t="s">
        <v>30</v>
      </c>
      <c r="H47" s="21">
        <f>ROUND(RAND()*4+6,1)</f>
      </c>
      <c r="I47" s="20" t="s">
        <v>45</v>
      </c>
      <c r="J47" s="23">
        <f>ROUND(70*1,0)&amp;"%"</f>
      </c>
    </row>
    <row x14ac:dyDescent="0.25" r="48" customHeight="1" ht="17.25">
      <c r="A48" s="17" t="s">
        <v>4953</v>
      </c>
      <c r="B48" s="17" t="s">
        <v>107</v>
      </c>
      <c r="C48" s="17" t="s">
        <v>95</v>
      </c>
      <c r="D48" s="17" t="s">
        <v>16</v>
      </c>
      <c r="E48" s="18">
        <f>ROUND(7098*1.05,2)</f>
      </c>
      <c r="F48" s="17" t="s">
        <v>48</v>
      </c>
      <c r="G48" s="17" t="s">
        <v>18</v>
      </c>
      <c r="H48" s="26">
        <f>ROUND(RAND()*4+6,1)</f>
      </c>
      <c r="I48" s="17" t="s">
        <v>19</v>
      </c>
      <c r="J48" s="19">
        <f>ROUND(92*1,0)&amp;"%"</f>
      </c>
    </row>
    <row x14ac:dyDescent="0.25" r="49" customHeight="1" ht="17.25">
      <c r="A49" s="20" t="s">
        <v>4954</v>
      </c>
      <c r="B49" s="20" t="s">
        <v>109</v>
      </c>
      <c r="C49" s="20" t="s">
        <v>95</v>
      </c>
      <c r="D49" s="20" t="s">
        <v>22</v>
      </c>
      <c r="E49" s="22">
        <f>ROUND(10440*1.05,2)</f>
      </c>
      <c r="F49" s="20" t="s">
        <v>51</v>
      </c>
      <c r="G49" s="20" t="s">
        <v>24</v>
      </c>
      <c r="H49" s="21">
        <f>ROUND(RAND()*4+6,1)</f>
      </c>
      <c r="I49" s="20" t="s">
        <v>25</v>
      </c>
      <c r="J49" s="23">
        <f>ROUND(80*1,0)&amp;"%"</f>
      </c>
    </row>
    <row x14ac:dyDescent="0.25" r="50" customHeight="1" ht="17.25">
      <c r="A50" s="24" t="s">
        <v>110</v>
      </c>
      <c r="B50" s="24"/>
      <c r="C50" s="24"/>
      <c r="D50" s="24"/>
      <c r="E50" s="25">
        <v>8</v>
      </c>
      <c r="F50" s="9"/>
      <c r="G50" s="9"/>
      <c r="H50" s="10"/>
      <c r="I50" s="9"/>
      <c r="J50" s="9"/>
    </row>
    <row x14ac:dyDescent="0.25" r="51" customHeight="1" ht="17.25">
      <c r="A51" s="7"/>
      <c r="B51" s="7"/>
      <c r="C51" s="7"/>
      <c r="D51" s="7"/>
      <c r="E51" s="8"/>
      <c r="F51" s="9"/>
      <c r="G51" s="9"/>
      <c r="H51" s="10"/>
      <c r="I51" s="9"/>
      <c r="J51" s="9"/>
    </row>
    <row x14ac:dyDescent="0.25" r="52" customHeight="1" ht="17.25">
      <c r="A52" s="11" t="s">
        <v>4955</v>
      </c>
      <c r="B52" s="11"/>
      <c r="C52" s="11"/>
      <c r="D52" s="11"/>
      <c r="E52" s="12"/>
      <c r="F52" s="11"/>
      <c r="G52" s="11"/>
      <c r="H52" s="13"/>
      <c r="I52" s="11"/>
      <c r="J52" s="11"/>
    </row>
    <row x14ac:dyDescent="0.25" r="53" customHeight="1" ht="17.25">
      <c r="A53" s="14" t="s">
        <v>3</v>
      </c>
      <c r="B53" s="14" t="s">
        <v>4</v>
      </c>
      <c r="C53" s="14" t="s">
        <v>5</v>
      </c>
      <c r="D53" s="14" t="s">
        <v>6</v>
      </c>
      <c r="E53" s="15" t="s">
        <v>7</v>
      </c>
      <c r="F53" s="14" t="s">
        <v>8</v>
      </c>
      <c r="G53" s="14" t="s">
        <v>9</v>
      </c>
      <c r="H53" s="16" t="s">
        <v>10</v>
      </c>
      <c r="I53" s="14" t="s">
        <v>11</v>
      </c>
      <c r="J53" s="14" t="s">
        <v>12</v>
      </c>
    </row>
    <row x14ac:dyDescent="0.25" r="54" customHeight="1" ht="17.25">
      <c r="A54" s="17" t="s">
        <v>4956</v>
      </c>
      <c r="B54" s="17" t="s">
        <v>113</v>
      </c>
      <c r="C54" s="17" t="s">
        <v>114</v>
      </c>
      <c r="D54" s="17" t="s">
        <v>16</v>
      </c>
      <c r="E54" s="18">
        <f>ROUND(11626*1.05,2)</f>
      </c>
      <c r="F54" s="17" t="s">
        <v>17</v>
      </c>
      <c r="G54" s="17" t="s">
        <v>18</v>
      </c>
      <c r="H54" s="18">
        <f>ROUND(RAND()*4+6,1)</f>
      </c>
      <c r="I54" s="17" t="s">
        <v>19</v>
      </c>
      <c r="J54" s="19">
        <f>ROUND(100*1,0)&amp;"%"</f>
      </c>
    </row>
    <row x14ac:dyDescent="0.25" r="55" customHeight="1" ht="17.25">
      <c r="A55" s="20" t="s">
        <v>4957</v>
      </c>
      <c r="B55" s="20" t="s">
        <v>116</v>
      </c>
      <c r="C55" s="20" t="s">
        <v>114</v>
      </c>
      <c r="D55" s="20" t="s">
        <v>22</v>
      </c>
      <c r="E55" s="21">
        <f>ROUND(15748*1.05,2)</f>
      </c>
      <c r="F55" s="20" t="s">
        <v>23</v>
      </c>
      <c r="G55" s="20" t="s">
        <v>24</v>
      </c>
      <c r="H55" s="21">
        <f>ROUND(RAND()*4+6,1)</f>
      </c>
      <c r="I55" s="20" t="s">
        <v>25</v>
      </c>
      <c r="J55" s="23">
        <f>ROUND(71*1,0)&amp;"%"</f>
      </c>
    </row>
    <row x14ac:dyDescent="0.25" r="56" customHeight="1" ht="17.25">
      <c r="A56" s="17" t="s">
        <v>4958</v>
      </c>
      <c r="B56" s="17" t="s">
        <v>118</v>
      </c>
      <c r="C56" s="17" t="s">
        <v>114</v>
      </c>
      <c r="D56" s="17" t="s">
        <v>28</v>
      </c>
      <c r="E56" s="18">
        <f>ROUND(11748*1.05,2)</f>
      </c>
      <c r="F56" s="17" t="s">
        <v>29</v>
      </c>
      <c r="G56" s="17" t="s">
        <v>30</v>
      </c>
      <c r="H56" s="18">
        <f>ROUND(RAND()*4+6,1)</f>
      </c>
      <c r="I56" s="17" t="s">
        <v>31</v>
      </c>
      <c r="J56" s="19">
        <f>ROUND(87*1,0)&amp;"%"</f>
      </c>
    </row>
    <row x14ac:dyDescent="0.25" r="57" customHeight="1" ht="17.25">
      <c r="A57" s="20" t="s">
        <v>4959</v>
      </c>
      <c r="B57" s="20" t="s">
        <v>120</v>
      </c>
      <c r="C57" s="20" t="s">
        <v>114</v>
      </c>
      <c r="D57" s="20" t="s">
        <v>34</v>
      </c>
      <c r="E57" s="21">
        <f>ROUND(10414*1.05,2)</f>
      </c>
      <c r="F57" s="20" t="s">
        <v>35</v>
      </c>
      <c r="G57" s="20" t="s">
        <v>18</v>
      </c>
      <c r="H57" s="21">
        <f>ROUND(RAND()*4+6,1)</f>
      </c>
      <c r="I57" s="20" t="s">
        <v>36</v>
      </c>
      <c r="J57" s="23">
        <f>ROUND(97*1,0)&amp;"%"</f>
      </c>
    </row>
    <row x14ac:dyDescent="0.25" r="58" customHeight="1" ht="17.25">
      <c r="A58" s="17" t="s">
        <v>4960</v>
      </c>
      <c r="B58" s="17" t="s">
        <v>122</v>
      </c>
      <c r="C58" s="17" t="s">
        <v>114</v>
      </c>
      <c r="D58" s="17" t="s">
        <v>39</v>
      </c>
      <c r="E58" s="18">
        <f>ROUND(10742*1.05,2)</f>
      </c>
      <c r="F58" s="17" t="s">
        <v>40</v>
      </c>
      <c r="G58" s="17" t="s">
        <v>24</v>
      </c>
      <c r="H58" s="18">
        <f>ROUND(RAND()*4+6,1)</f>
      </c>
      <c r="I58" s="17" t="s">
        <v>41</v>
      </c>
      <c r="J58" s="19">
        <f>ROUND(81*1,0)&amp;"%"</f>
      </c>
    </row>
    <row x14ac:dyDescent="0.25" r="59" customHeight="1" ht="17.25">
      <c r="A59" s="20" t="s">
        <v>4961</v>
      </c>
      <c r="B59" s="20" t="s">
        <v>124</v>
      </c>
      <c r="C59" s="20" t="s">
        <v>114</v>
      </c>
      <c r="D59" s="20" t="s">
        <v>67</v>
      </c>
      <c r="E59" s="21">
        <f>ROUND(6657*1.05,2)</f>
      </c>
      <c r="F59" s="20" t="s">
        <v>44</v>
      </c>
      <c r="G59" s="20" t="s">
        <v>30</v>
      </c>
      <c r="H59" s="21">
        <f>ROUND(RAND()*4+6,1)</f>
      </c>
      <c r="I59" s="20" t="s">
        <v>45</v>
      </c>
      <c r="J59" s="23">
        <f>ROUND(74*1,0)&amp;"%"</f>
      </c>
    </row>
    <row x14ac:dyDescent="0.25" r="60" customHeight="1" ht="17.25">
      <c r="A60" s="17" t="s">
        <v>4962</v>
      </c>
      <c r="B60" s="17" t="s">
        <v>126</v>
      </c>
      <c r="C60" s="17" t="s">
        <v>114</v>
      </c>
      <c r="D60" s="17" t="s">
        <v>16</v>
      </c>
      <c r="E60" s="26">
        <f>ROUND(8300*1.05,2)</f>
      </c>
      <c r="F60" s="17" t="s">
        <v>48</v>
      </c>
      <c r="G60" s="17" t="s">
        <v>18</v>
      </c>
      <c r="H60" s="18">
        <f>ROUND(RAND()*4+6,1)</f>
      </c>
      <c r="I60" s="17" t="s">
        <v>19</v>
      </c>
      <c r="J60" s="19">
        <f>ROUND(82*1,0)&amp;"%"</f>
      </c>
    </row>
    <row x14ac:dyDescent="0.25" r="61" customHeight="1" ht="17.25">
      <c r="A61" s="20" t="s">
        <v>4963</v>
      </c>
      <c r="B61" s="20" t="s">
        <v>128</v>
      </c>
      <c r="C61" s="20" t="s">
        <v>114</v>
      </c>
      <c r="D61" s="20" t="s">
        <v>22</v>
      </c>
      <c r="E61" s="21">
        <f>ROUND(9530*1.05,2)</f>
      </c>
      <c r="F61" s="20" t="s">
        <v>51</v>
      </c>
      <c r="G61" s="20" t="s">
        <v>24</v>
      </c>
      <c r="H61" s="21">
        <f>ROUND(RAND()*4+6,1)</f>
      </c>
      <c r="I61" s="20" t="s">
        <v>25</v>
      </c>
      <c r="J61" s="23">
        <f>ROUND(70*1,0)&amp;"%"</f>
      </c>
    </row>
    <row x14ac:dyDescent="0.25" r="62" customHeight="1" ht="17.25">
      <c r="A62" s="24" t="s">
        <v>129</v>
      </c>
      <c r="B62" s="24"/>
      <c r="C62" s="24"/>
      <c r="D62" s="24"/>
      <c r="E62" s="25">
        <v>8</v>
      </c>
      <c r="F62" s="9"/>
      <c r="G62" s="9"/>
      <c r="H62" s="10"/>
      <c r="I62" s="9"/>
      <c r="J62" s="9"/>
    </row>
    <row x14ac:dyDescent="0.25" r="63" customHeight="1" ht="17.25">
      <c r="A63" s="7"/>
      <c r="B63" s="7"/>
      <c r="C63" s="7"/>
      <c r="D63" s="7"/>
      <c r="E63" s="8"/>
      <c r="F63" s="9"/>
      <c r="G63" s="9"/>
      <c r="H63" s="10"/>
      <c r="I63" s="9"/>
      <c r="J63" s="9"/>
    </row>
    <row x14ac:dyDescent="0.25" r="64" customHeight="1" ht="17.25">
      <c r="A64" s="11" t="s">
        <v>4964</v>
      </c>
      <c r="B64" s="11"/>
      <c r="C64" s="11"/>
      <c r="D64" s="11"/>
      <c r="E64" s="12"/>
      <c r="F64" s="11"/>
      <c r="G64" s="11"/>
      <c r="H64" s="13"/>
      <c r="I64" s="11"/>
      <c r="J64" s="11"/>
    </row>
    <row x14ac:dyDescent="0.25" r="65" customHeight="1" ht="17.25">
      <c r="A65" s="14" t="s">
        <v>3</v>
      </c>
      <c r="B65" s="14" t="s">
        <v>4</v>
      </c>
      <c r="C65" s="14" t="s">
        <v>5</v>
      </c>
      <c r="D65" s="14" t="s">
        <v>6</v>
      </c>
      <c r="E65" s="15" t="s">
        <v>7</v>
      </c>
      <c r="F65" s="14" t="s">
        <v>8</v>
      </c>
      <c r="G65" s="14" t="s">
        <v>9</v>
      </c>
      <c r="H65" s="16" t="s">
        <v>10</v>
      </c>
      <c r="I65" s="14" t="s">
        <v>11</v>
      </c>
      <c r="J65" s="14" t="s">
        <v>12</v>
      </c>
    </row>
    <row x14ac:dyDescent="0.25" r="66" customHeight="1" ht="17.25">
      <c r="A66" s="17" t="s">
        <v>4965</v>
      </c>
      <c r="B66" s="17" t="s">
        <v>132</v>
      </c>
      <c r="C66" s="17" t="s">
        <v>133</v>
      </c>
      <c r="D66" s="17" t="s">
        <v>16</v>
      </c>
      <c r="E66" s="18">
        <f>ROUND(9571*1.05,2)</f>
      </c>
      <c r="F66" s="17" t="s">
        <v>17</v>
      </c>
      <c r="G66" s="17" t="s">
        <v>18</v>
      </c>
      <c r="H66" s="18">
        <f>ROUND(RAND()*4+6,1)</f>
      </c>
      <c r="I66" s="17" t="s">
        <v>19</v>
      </c>
      <c r="J66" s="19">
        <f>ROUND(82*1,0)&amp;"%"</f>
      </c>
    </row>
    <row x14ac:dyDescent="0.25" r="67" customHeight="1" ht="17.25">
      <c r="A67" s="20" t="s">
        <v>4966</v>
      </c>
      <c r="B67" s="20" t="s">
        <v>135</v>
      </c>
      <c r="C67" s="20" t="s">
        <v>133</v>
      </c>
      <c r="D67" s="20" t="s">
        <v>22</v>
      </c>
      <c r="E67" s="21">
        <f>ROUND(7044*1.05,2)</f>
      </c>
      <c r="F67" s="20" t="s">
        <v>23</v>
      </c>
      <c r="G67" s="20" t="s">
        <v>24</v>
      </c>
      <c r="H67" s="21">
        <f>ROUND(RAND()*4+6,1)</f>
      </c>
      <c r="I67" s="20" t="s">
        <v>25</v>
      </c>
      <c r="J67" s="23">
        <f>ROUND(62*1,0)&amp;"%"</f>
      </c>
    </row>
    <row x14ac:dyDescent="0.25" r="68" customHeight="1" ht="17.25">
      <c r="A68" s="17" t="s">
        <v>4967</v>
      </c>
      <c r="B68" s="17" t="s">
        <v>137</v>
      </c>
      <c r="C68" s="17" t="s">
        <v>133</v>
      </c>
      <c r="D68" s="17" t="s">
        <v>28</v>
      </c>
      <c r="E68" s="18">
        <f>ROUND(12014*1.05,2)</f>
      </c>
      <c r="F68" s="17" t="s">
        <v>29</v>
      </c>
      <c r="G68" s="17" t="s">
        <v>30</v>
      </c>
      <c r="H68" s="18">
        <f>ROUND(RAND()*4+6,1)</f>
      </c>
      <c r="I68" s="17" t="s">
        <v>31</v>
      </c>
      <c r="J68" s="19">
        <f>ROUND(61*1,0)&amp;"%"</f>
      </c>
    </row>
    <row x14ac:dyDescent="0.25" r="69" customHeight="1" ht="17.25">
      <c r="A69" s="20" t="s">
        <v>4968</v>
      </c>
      <c r="B69" s="20" t="s">
        <v>139</v>
      </c>
      <c r="C69" s="20" t="s">
        <v>133</v>
      </c>
      <c r="D69" s="20" t="s">
        <v>34</v>
      </c>
      <c r="E69" s="21">
        <f>ROUND(5903*1.05,2)</f>
      </c>
      <c r="F69" s="20" t="s">
        <v>35</v>
      </c>
      <c r="G69" s="20" t="s">
        <v>18</v>
      </c>
      <c r="H69" s="21">
        <f>ROUND(RAND()*4+6,1)</f>
      </c>
      <c r="I69" s="20" t="s">
        <v>36</v>
      </c>
      <c r="J69" s="23">
        <f>ROUND(89*1,0)&amp;"%"</f>
      </c>
    </row>
    <row x14ac:dyDescent="0.25" r="70" customHeight="1" ht="17.25">
      <c r="A70" s="17" t="s">
        <v>4969</v>
      </c>
      <c r="B70" s="17" t="s">
        <v>141</v>
      </c>
      <c r="C70" s="17" t="s">
        <v>133</v>
      </c>
      <c r="D70" s="17" t="s">
        <v>39</v>
      </c>
      <c r="E70" s="18">
        <f>ROUND(16408*1.05,2)</f>
      </c>
      <c r="F70" s="17" t="s">
        <v>40</v>
      </c>
      <c r="G70" s="17" t="s">
        <v>24</v>
      </c>
      <c r="H70" s="18">
        <f>ROUND(RAND()*4+6,1)</f>
      </c>
      <c r="I70" s="17" t="s">
        <v>41</v>
      </c>
      <c r="J70" s="19">
        <f>ROUND(93*1,0)&amp;"%"</f>
      </c>
    </row>
    <row x14ac:dyDescent="0.25" r="71" customHeight="1" ht="17.25">
      <c r="A71" s="20" t="s">
        <v>4970</v>
      </c>
      <c r="B71" s="20" t="s">
        <v>143</v>
      </c>
      <c r="C71" s="20" t="s">
        <v>133</v>
      </c>
      <c r="D71" s="20" t="s">
        <v>67</v>
      </c>
      <c r="E71" s="21">
        <f>ROUND(7515*1.05,2)</f>
      </c>
      <c r="F71" s="20" t="s">
        <v>44</v>
      </c>
      <c r="G71" s="20" t="s">
        <v>30</v>
      </c>
      <c r="H71" s="21">
        <f>ROUND(RAND()*4+6,1)</f>
      </c>
      <c r="I71" s="20" t="s">
        <v>45</v>
      </c>
      <c r="J71" s="23">
        <f>ROUND(91*1,0)&amp;"%"</f>
      </c>
    </row>
    <row x14ac:dyDescent="0.25" r="72" customHeight="1" ht="17.25">
      <c r="A72" s="17" t="s">
        <v>4971</v>
      </c>
      <c r="B72" s="17" t="s">
        <v>145</v>
      </c>
      <c r="C72" s="17" t="s">
        <v>133</v>
      </c>
      <c r="D72" s="17" t="s">
        <v>16</v>
      </c>
      <c r="E72" s="18">
        <f>ROUND(12998*1.05,2)</f>
      </c>
      <c r="F72" s="17" t="s">
        <v>48</v>
      </c>
      <c r="G72" s="17" t="s">
        <v>18</v>
      </c>
      <c r="H72" s="18">
        <f>ROUND(RAND()*4+6,1)</f>
      </c>
      <c r="I72" s="17" t="s">
        <v>19</v>
      </c>
      <c r="J72" s="19">
        <f>ROUND(83*1,0)&amp;"%"</f>
      </c>
    </row>
    <row x14ac:dyDescent="0.25" r="73" customHeight="1" ht="17.25">
      <c r="A73" s="20" t="s">
        <v>4972</v>
      </c>
      <c r="B73" s="20" t="s">
        <v>147</v>
      </c>
      <c r="C73" s="20" t="s">
        <v>133</v>
      </c>
      <c r="D73" s="20" t="s">
        <v>22</v>
      </c>
      <c r="E73" s="21">
        <f>ROUND(14791*1.05,2)</f>
      </c>
      <c r="F73" s="20" t="s">
        <v>51</v>
      </c>
      <c r="G73" s="20" t="s">
        <v>24</v>
      </c>
      <c r="H73" s="21">
        <f>ROUND(RAND()*4+6,1)</f>
      </c>
      <c r="I73" s="20" t="s">
        <v>25</v>
      </c>
      <c r="J73" s="23">
        <f>ROUND(70*1,0)&amp;"%"</f>
      </c>
    </row>
    <row x14ac:dyDescent="0.25" r="74" customHeight="1" ht="17.25">
      <c r="A74" s="24" t="s">
        <v>148</v>
      </c>
      <c r="B74" s="24"/>
      <c r="C74" s="24"/>
      <c r="D74" s="24"/>
      <c r="E74" s="25">
        <v>8</v>
      </c>
      <c r="F74" s="9"/>
      <c r="G74" s="9"/>
      <c r="H74" s="10"/>
      <c r="I74" s="9"/>
      <c r="J74" s="9"/>
    </row>
    <row x14ac:dyDescent="0.25" r="75" customHeight="1" ht="17.25">
      <c r="A75" s="7"/>
      <c r="B75" s="7"/>
      <c r="C75" s="7"/>
      <c r="D75" s="7"/>
      <c r="E75" s="8"/>
      <c r="F75" s="9"/>
      <c r="G75" s="9"/>
      <c r="H75" s="10"/>
      <c r="I75" s="9"/>
      <c r="J75" s="9"/>
    </row>
    <row x14ac:dyDescent="0.25" r="76" customHeight="1" ht="17.25">
      <c r="A76" s="11" t="s">
        <v>4973</v>
      </c>
      <c r="B76" s="11"/>
      <c r="C76" s="11"/>
      <c r="D76" s="11"/>
      <c r="E76" s="12"/>
      <c r="F76" s="11"/>
      <c r="G76" s="11"/>
      <c r="H76" s="13"/>
      <c r="I76" s="11"/>
      <c r="J76" s="11"/>
    </row>
    <row x14ac:dyDescent="0.25" r="77" customHeight="1" ht="17.25">
      <c r="A77" s="14" t="s">
        <v>3</v>
      </c>
      <c r="B77" s="14" t="s">
        <v>4</v>
      </c>
      <c r="C77" s="14" t="s">
        <v>5</v>
      </c>
      <c r="D77" s="14" t="s">
        <v>6</v>
      </c>
      <c r="E77" s="15" t="s">
        <v>7</v>
      </c>
      <c r="F77" s="14" t="s">
        <v>8</v>
      </c>
      <c r="G77" s="14" t="s">
        <v>9</v>
      </c>
      <c r="H77" s="16" t="s">
        <v>10</v>
      </c>
      <c r="I77" s="14" t="s">
        <v>11</v>
      </c>
      <c r="J77" s="14" t="s">
        <v>12</v>
      </c>
    </row>
    <row x14ac:dyDescent="0.25" r="78" customHeight="1" ht="17.25">
      <c r="A78" s="17" t="s">
        <v>4974</v>
      </c>
      <c r="B78" s="17" t="s">
        <v>151</v>
      </c>
      <c r="C78" s="17" t="s">
        <v>152</v>
      </c>
      <c r="D78" s="17" t="s">
        <v>16</v>
      </c>
      <c r="E78" s="18">
        <f>ROUND(17061*1.05,2)</f>
      </c>
      <c r="F78" s="17" t="s">
        <v>17</v>
      </c>
      <c r="G78" s="17" t="s">
        <v>18</v>
      </c>
      <c r="H78" s="18">
        <f>ROUND(RAND()*4+6,1)</f>
      </c>
      <c r="I78" s="17" t="s">
        <v>19</v>
      </c>
      <c r="J78" s="19">
        <f>ROUND(70*1,0)&amp;"%"</f>
      </c>
    </row>
    <row x14ac:dyDescent="0.25" r="79" customHeight="1" ht="17.25">
      <c r="A79" s="20" t="s">
        <v>4975</v>
      </c>
      <c r="B79" s="20" t="s">
        <v>154</v>
      </c>
      <c r="C79" s="20" t="s">
        <v>152</v>
      </c>
      <c r="D79" s="20" t="s">
        <v>22</v>
      </c>
      <c r="E79" s="21">
        <f>ROUND(8831*1.05,2)</f>
      </c>
      <c r="F79" s="20" t="s">
        <v>23</v>
      </c>
      <c r="G79" s="20" t="s">
        <v>24</v>
      </c>
      <c r="H79" s="21">
        <f>ROUND(RAND()*4+6,1)</f>
      </c>
      <c r="I79" s="20" t="s">
        <v>25</v>
      </c>
      <c r="J79" s="23">
        <f>ROUND(80*1,0)&amp;"%"</f>
      </c>
    </row>
    <row x14ac:dyDescent="0.25" r="80" customHeight="1" ht="17.25">
      <c r="A80" s="17" t="s">
        <v>4976</v>
      </c>
      <c r="B80" s="17" t="s">
        <v>156</v>
      </c>
      <c r="C80" s="17" t="s">
        <v>152</v>
      </c>
      <c r="D80" s="17" t="s">
        <v>28</v>
      </c>
      <c r="E80" s="18">
        <f>ROUND(16835*1.05,2)</f>
      </c>
      <c r="F80" s="17" t="s">
        <v>29</v>
      </c>
      <c r="G80" s="17" t="s">
        <v>30</v>
      </c>
      <c r="H80" s="18">
        <f>ROUND(RAND()*4+6,1)</f>
      </c>
      <c r="I80" s="17" t="s">
        <v>31</v>
      </c>
      <c r="J80" s="19">
        <f>ROUND(75*1,0)&amp;"%"</f>
      </c>
    </row>
    <row x14ac:dyDescent="0.25" r="81" customHeight="1" ht="17.25">
      <c r="A81" s="20" t="s">
        <v>4977</v>
      </c>
      <c r="B81" s="20" t="s">
        <v>158</v>
      </c>
      <c r="C81" s="20" t="s">
        <v>152</v>
      </c>
      <c r="D81" s="20" t="s">
        <v>34</v>
      </c>
      <c r="E81" s="21">
        <f>ROUND(13656*1.05,2)</f>
      </c>
      <c r="F81" s="20" t="s">
        <v>35</v>
      </c>
      <c r="G81" s="20" t="s">
        <v>18</v>
      </c>
      <c r="H81" s="22">
        <f>ROUND(RAND()*4+6,1)</f>
      </c>
      <c r="I81" s="20" t="s">
        <v>36</v>
      </c>
      <c r="J81" s="23">
        <f>ROUND(74*1,0)&amp;"%"</f>
      </c>
    </row>
    <row x14ac:dyDescent="0.25" r="82" customHeight="1" ht="17.25">
      <c r="A82" s="17" t="s">
        <v>4978</v>
      </c>
      <c r="B82" s="17" t="s">
        <v>160</v>
      </c>
      <c r="C82" s="17" t="s">
        <v>152</v>
      </c>
      <c r="D82" s="17" t="s">
        <v>39</v>
      </c>
      <c r="E82" s="18">
        <f>ROUND(16455*1.05,2)</f>
      </c>
      <c r="F82" s="17" t="s">
        <v>40</v>
      </c>
      <c r="G82" s="17" t="s">
        <v>24</v>
      </c>
      <c r="H82" s="26">
        <f>ROUND(RAND()*4+6,1)</f>
      </c>
      <c r="I82" s="17" t="s">
        <v>41</v>
      </c>
      <c r="J82" s="19">
        <f>ROUND(63*1,0)&amp;"%"</f>
      </c>
    </row>
    <row x14ac:dyDescent="0.25" r="83" customHeight="1" ht="17.25">
      <c r="A83" s="20" t="s">
        <v>4979</v>
      </c>
      <c r="B83" s="20" t="s">
        <v>162</v>
      </c>
      <c r="C83" s="20" t="s">
        <v>152</v>
      </c>
      <c r="D83" s="20" t="s">
        <v>67</v>
      </c>
      <c r="E83" s="21">
        <f>ROUND(17145*1.05,2)</f>
      </c>
      <c r="F83" s="20" t="s">
        <v>44</v>
      </c>
      <c r="G83" s="20" t="s">
        <v>30</v>
      </c>
      <c r="H83" s="21">
        <f>ROUND(RAND()*4+6,1)</f>
      </c>
      <c r="I83" s="20" t="s">
        <v>45</v>
      </c>
      <c r="J83" s="23">
        <f>ROUND(87*1,0)&amp;"%"</f>
      </c>
    </row>
    <row x14ac:dyDescent="0.25" r="84" customHeight="1" ht="17.25">
      <c r="A84" s="17" t="s">
        <v>4980</v>
      </c>
      <c r="B84" s="17" t="s">
        <v>164</v>
      </c>
      <c r="C84" s="17" t="s">
        <v>152</v>
      </c>
      <c r="D84" s="17" t="s">
        <v>16</v>
      </c>
      <c r="E84" s="18">
        <f>ROUND(14269*1.05,2)</f>
      </c>
      <c r="F84" s="17" t="s">
        <v>48</v>
      </c>
      <c r="G84" s="17" t="s">
        <v>18</v>
      </c>
      <c r="H84" s="18">
        <f>ROUND(RAND()*4+6,1)</f>
      </c>
      <c r="I84" s="17" t="s">
        <v>19</v>
      </c>
      <c r="J84" s="19">
        <f>ROUND(97*1,0)&amp;"%"</f>
      </c>
    </row>
    <row x14ac:dyDescent="0.25" r="85" customHeight="1" ht="17.25">
      <c r="A85" s="20" t="s">
        <v>4981</v>
      </c>
      <c r="B85" s="20" t="s">
        <v>166</v>
      </c>
      <c r="C85" s="20" t="s">
        <v>152</v>
      </c>
      <c r="D85" s="20" t="s">
        <v>22</v>
      </c>
      <c r="E85" s="21">
        <f>ROUND(7185*1.05,2)</f>
      </c>
      <c r="F85" s="20" t="s">
        <v>51</v>
      </c>
      <c r="G85" s="20" t="s">
        <v>24</v>
      </c>
      <c r="H85" s="21">
        <f>ROUND(RAND()*4+6,1)</f>
      </c>
      <c r="I85" s="20" t="s">
        <v>25</v>
      </c>
      <c r="J85" s="23">
        <f>ROUND(93*1,0)&amp;"%"</f>
      </c>
    </row>
    <row x14ac:dyDescent="0.25" r="86" customHeight="1" ht="17.25">
      <c r="A86" s="24" t="s">
        <v>167</v>
      </c>
      <c r="B86" s="24"/>
      <c r="C86" s="24"/>
      <c r="D86" s="24"/>
      <c r="E86" s="25">
        <v>8</v>
      </c>
      <c r="F86" s="9"/>
      <c r="G86" s="9"/>
      <c r="H86" s="10"/>
      <c r="I86" s="9"/>
      <c r="J86" s="9"/>
    </row>
    <row x14ac:dyDescent="0.25" r="87" customHeight="1" ht="17.25">
      <c r="A87" s="7"/>
      <c r="B87" s="7"/>
      <c r="C87" s="7"/>
      <c r="D87" s="7"/>
      <c r="E87" s="8"/>
      <c r="F87" s="9"/>
      <c r="G87" s="9"/>
      <c r="H87" s="10"/>
      <c r="I87" s="9"/>
      <c r="J87" s="9"/>
    </row>
    <row x14ac:dyDescent="0.25" r="88" customHeight="1" ht="17.25">
      <c r="A88" s="11" t="s">
        <v>4982</v>
      </c>
      <c r="B88" s="11"/>
      <c r="C88" s="11"/>
      <c r="D88" s="11"/>
      <c r="E88" s="12"/>
      <c r="F88" s="11"/>
      <c r="G88" s="11"/>
      <c r="H88" s="13"/>
      <c r="I88" s="11"/>
      <c r="J88" s="11"/>
    </row>
    <row x14ac:dyDescent="0.25" r="89" customHeight="1" ht="17.25">
      <c r="A89" s="14" t="s">
        <v>3</v>
      </c>
      <c r="B89" s="14" t="s">
        <v>4</v>
      </c>
      <c r="C89" s="14" t="s">
        <v>5</v>
      </c>
      <c r="D89" s="14" t="s">
        <v>6</v>
      </c>
      <c r="E89" s="15" t="s">
        <v>7</v>
      </c>
      <c r="F89" s="14" t="s">
        <v>8</v>
      </c>
      <c r="G89" s="14" t="s">
        <v>9</v>
      </c>
      <c r="H89" s="16" t="s">
        <v>10</v>
      </c>
      <c r="I89" s="14" t="s">
        <v>11</v>
      </c>
      <c r="J89" s="14" t="s">
        <v>12</v>
      </c>
    </row>
    <row x14ac:dyDescent="0.25" r="90" customHeight="1" ht="17.25">
      <c r="A90" s="17" t="s">
        <v>4983</v>
      </c>
      <c r="B90" s="17" t="s">
        <v>170</v>
      </c>
      <c r="C90" s="17" t="s">
        <v>15</v>
      </c>
      <c r="D90" s="17" t="s">
        <v>16</v>
      </c>
      <c r="E90" s="18">
        <f>ROUND(9841*1.05,2)</f>
      </c>
      <c r="F90" s="17" t="s">
        <v>17</v>
      </c>
      <c r="G90" s="17" t="s">
        <v>18</v>
      </c>
      <c r="H90" s="18">
        <f>ROUND(RAND()*4+6,1)</f>
      </c>
      <c r="I90" s="17" t="s">
        <v>19</v>
      </c>
      <c r="J90" s="19">
        <f>ROUND(77*1,0)&amp;"%"</f>
      </c>
    </row>
    <row x14ac:dyDescent="0.25" r="91" customHeight="1" ht="17.25">
      <c r="A91" s="20" t="s">
        <v>4984</v>
      </c>
      <c r="B91" s="20" t="s">
        <v>172</v>
      </c>
      <c r="C91" s="20" t="s">
        <v>15</v>
      </c>
      <c r="D91" s="20" t="s">
        <v>22</v>
      </c>
      <c r="E91" s="21">
        <f>ROUND(7929*1.05,2)</f>
      </c>
      <c r="F91" s="20" t="s">
        <v>23</v>
      </c>
      <c r="G91" s="20" t="s">
        <v>24</v>
      </c>
      <c r="H91" s="21">
        <f>ROUND(RAND()*4+6,1)</f>
      </c>
      <c r="I91" s="20" t="s">
        <v>25</v>
      </c>
      <c r="J91" s="23">
        <f>ROUND(61*1,0)&amp;"%"</f>
      </c>
    </row>
    <row x14ac:dyDescent="0.25" r="92" customHeight="1" ht="17.25">
      <c r="A92" s="17" t="s">
        <v>4985</v>
      </c>
      <c r="B92" s="17" t="s">
        <v>174</v>
      </c>
      <c r="C92" s="17" t="s">
        <v>15</v>
      </c>
      <c r="D92" s="17" t="s">
        <v>28</v>
      </c>
      <c r="E92" s="18">
        <f>ROUND(15063*1.05,2)</f>
      </c>
      <c r="F92" s="17" t="s">
        <v>29</v>
      </c>
      <c r="G92" s="17" t="s">
        <v>30</v>
      </c>
      <c r="H92" s="18">
        <f>ROUND(RAND()*4+6,1)</f>
      </c>
      <c r="I92" s="17" t="s">
        <v>31</v>
      </c>
      <c r="J92" s="19">
        <f>ROUND(82*1,0)&amp;"%"</f>
      </c>
    </row>
    <row x14ac:dyDescent="0.25" r="93" customHeight="1" ht="17.25">
      <c r="A93" s="20" t="s">
        <v>4986</v>
      </c>
      <c r="B93" s="20" t="s">
        <v>176</v>
      </c>
      <c r="C93" s="20" t="s">
        <v>15</v>
      </c>
      <c r="D93" s="20" t="s">
        <v>34</v>
      </c>
      <c r="E93" s="21">
        <f>ROUND(15505*1.05,2)</f>
      </c>
      <c r="F93" s="20" t="s">
        <v>35</v>
      </c>
      <c r="G93" s="20" t="s">
        <v>18</v>
      </c>
      <c r="H93" s="21">
        <f>ROUND(RAND()*4+6,1)</f>
      </c>
      <c r="I93" s="20" t="s">
        <v>36</v>
      </c>
      <c r="J93" s="23">
        <f>ROUND(72*1,0)&amp;"%"</f>
      </c>
    </row>
    <row x14ac:dyDescent="0.25" r="94" customHeight="1" ht="17.25">
      <c r="A94" s="17" t="s">
        <v>4987</v>
      </c>
      <c r="B94" s="17" t="s">
        <v>178</v>
      </c>
      <c r="C94" s="17" t="s">
        <v>15</v>
      </c>
      <c r="D94" s="17" t="s">
        <v>39</v>
      </c>
      <c r="E94" s="18">
        <f>ROUND(4274*1.05,2)</f>
      </c>
      <c r="F94" s="17" t="s">
        <v>40</v>
      </c>
      <c r="G94" s="17" t="s">
        <v>24</v>
      </c>
      <c r="H94" s="18">
        <f>ROUND(RAND()*4+6,1)</f>
      </c>
      <c r="I94" s="17" t="s">
        <v>41</v>
      </c>
      <c r="J94" s="19">
        <f>ROUND(70*1,0)&amp;"%"</f>
      </c>
    </row>
    <row x14ac:dyDescent="0.25" r="95" customHeight="1" ht="17.25">
      <c r="A95" s="20" t="s">
        <v>4988</v>
      </c>
      <c r="B95" s="20" t="s">
        <v>180</v>
      </c>
      <c r="C95" s="20" t="s">
        <v>15</v>
      </c>
      <c r="D95" s="20" t="s">
        <v>67</v>
      </c>
      <c r="E95" s="21">
        <f>ROUND(17429*1.05,2)</f>
      </c>
      <c r="F95" s="20" t="s">
        <v>44</v>
      </c>
      <c r="G95" s="20" t="s">
        <v>30</v>
      </c>
      <c r="H95" s="21">
        <f>ROUND(RAND()*4+6,1)</f>
      </c>
      <c r="I95" s="20" t="s">
        <v>45</v>
      </c>
      <c r="J95" s="23">
        <f>ROUND(88*1,0)&amp;"%"</f>
      </c>
    </row>
    <row x14ac:dyDescent="0.25" r="96" customHeight="1" ht="17.25">
      <c r="A96" s="17" t="s">
        <v>4989</v>
      </c>
      <c r="B96" s="17" t="s">
        <v>182</v>
      </c>
      <c r="C96" s="17" t="s">
        <v>15</v>
      </c>
      <c r="D96" s="17" t="s">
        <v>16</v>
      </c>
      <c r="E96" s="26">
        <f>ROUND(16900*1.05,2)</f>
      </c>
      <c r="F96" s="17" t="s">
        <v>48</v>
      </c>
      <c r="G96" s="17" t="s">
        <v>18</v>
      </c>
      <c r="H96" s="18">
        <f>ROUND(RAND()*4+6,1)</f>
      </c>
      <c r="I96" s="17" t="s">
        <v>19</v>
      </c>
      <c r="J96" s="19">
        <f>ROUND(90*1,0)&amp;"%"</f>
      </c>
    </row>
    <row x14ac:dyDescent="0.25" r="97" customHeight="1" ht="17.25">
      <c r="A97" s="20" t="s">
        <v>4990</v>
      </c>
      <c r="B97" s="20" t="s">
        <v>184</v>
      </c>
      <c r="C97" s="20" t="s">
        <v>15</v>
      </c>
      <c r="D97" s="20" t="s">
        <v>22</v>
      </c>
      <c r="E97" s="21">
        <f>ROUND(7032*1.05,2)</f>
      </c>
      <c r="F97" s="20" t="s">
        <v>51</v>
      </c>
      <c r="G97" s="20" t="s">
        <v>24</v>
      </c>
      <c r="H97" s="22">
        <f>ROUND(RAND()*4+6,1)</f>
      </c>
      <c r="I97" s="20" t="s">
        <v>25</v>
      </c>
      <c r="J97" s="23">
        <f>ROUND(86*1,0)&amp;"%"</f>
      </c>
    </row>
    <row x14ac:dyDescent="0.25" r="98" customHeight="1" ht="17.25">
      <c r="A98" s="24" t="s">
        <v>185</v>
      </c>
      <c r="B98" s="24"/>
      <c r="C98" s="24"/>
      <c r="D98" s="24"/>
      <c r="E98" s="25">
        <v>8</v>
      </c>
      <c r="F98" s="9"/>
      <c r="G98" s="9"/>
      <c r="H98" s="10"/>
      <c r="I98" s="9"/>
      <c r="J98" s="9"/>
    </row>
    <row x14ac:dyDescent="0.25" r="99" customHeight="1" ht="17.25">
      <c r="A99" s="7"/>
      <c r="B99" s="7"/>
      <c r="C99" s="7"/>
      <c r="D99" s="7"/>
      <c r="E99" s="8"/>
      <c r="F99" s="9"/>
      <c r="G99" s="9"/>
      <c r="H99" s="10"/>
      <c r="I99" s="9"/>
      <c r="J99" s="9"/>
    </row>
    <row x14ac:dyDescent="0.25" r="100" customHeight="1" ht="17.25">
      <c r="A100" s="11" t="s">
        <v>4991</v>
      </c>
      <c r="B100" s="11"/>
      <c r="C100" s="11"/>
      <c r="D100" s="11"/>
      <c r="E100" s="12"/>
      <c r="F100" s="11"/>
      <c r="G100" s="11"/>
      <c r="H100" s="13"/>
      <c r="I100" s="11"/>
      <c r="J100" s="11"/>
    </row>
    <row x14ac:dyDescent="0.25" r="101" customHeight="1" ht="17.25">
      <c r="A101" s="14" t="s">
        <v>3</v>
      </c>
      <c r="B101" s="14" t="s">
        <v>4</v>
      </c>
      <c r="C101" s="14" t="s">
        <v>5</v>
      </c>
      <c r="D101" s="14" t="s">
        <v>6</v>
      </c>
      <c r="E101" s="15" t="s">
        <v>7</v>
      </c>
      <c r="F101" s="14" t="s">
        <v>8</v>
      </c>
      <c r="G101" s="14" t="s">
        <v>9</v>
      </c>
      <c r="H101" s="16" t="s">
        <v>10</v>
      </c>
      <c r="I101" s="14" t="s">
        <v>11</v>
      </c>
      <c r="J101" s="14" t="s">
        <v>12</v>
      </c>
    </row>
    <row x14ac:dyDescent="0.25" r="102" customHeight="1" ht="17.25">
      <c r="A102" s="17" t="s">
        <v>4992</v>
      </c>
      <c r="B102" s="17" t="s">
        <v>188</v>
      </c>
      <c r="C102" s="17" t="s">
        <v>56</v>
      </c>
      <c r="D102" s="17" t="s">
        <v>16</v>
      </c>
      <c r="E102" s="26">
        <f>ROUND(14560*1.05,2)</f>
      </c>
      <c r="F102" s="17" t="s">
        <v>17</v>
      </c>
      <c r="G102" s="17" t="s">
        <v>18</v>
      </c>
      <c r="H102" s="18">
        <f>ROUND(RAND()*4+6,1)</f>
      </c>
      <c r="I102" s="17" t="s">
        <v>19</v>
      </c>
      <c r="J102" s="19">
        <f>ROUND(97*1,0)&amp;"%"</f>
      </c>
    </row>
    <row x14ac:dyDescent="0.25" r="103" customHeight="1" ht="17.25">
      <c r="A103" s="20" t="s">
        <v>4993</v>
      </c>
      <c r="B103" s="20" t="s">
        <v>190</v>
      </c>
      <c r="C103" s="20" t="s">
        <v>56</v>
      </c>
      <c r="D103" s="20" t="s">
        <v>22</v>
      </c>
      <c r="E103" s="21">
        <f>ROUND(5299*1.05,2)</f>
      </c>
      <c r="F103" s="20" t="s">
        <v>23</v>
      </c>
      <c r="G103" s="20" t="s">
        <v>24</v>
      </c>
      <c r="H103" s="22">
        <f>ROUND(RAND()*4+6,1)</f>
      </c>
      <c r="I103" s="20" t="s">
        <v>25</v>
      </c>
      <c r="J103" s="23">
        <f>ROUND(73*1,0)&amp;"%"</f>
      </c>
    </row>
    <row x14ac:dyDescent="0.25" r="104" customHeight="1" ht="17.25">
      <c r="A104" s="17" t="s">
        <v>4994</v>
      </c>
      <c r="B104" s="17" t="s">
        <v>192</v>
      </c>
      <c r="C104" s="17" t="s">
        <v>56</v>
      </c>
      <c r="D104" s="17" t="s">
        <v>28</v>
      </c>
      <c r="E104" s="18">
        <f>ROUND(11609*1.05,2)</f>
      </c>
      <c r="F104" s="17" t="s">
        <v>29</v>
      </c>
      <c r="G104" s="17" t="s">
        <v>30</v>
      </c>
      <c r="H104" s="26">
        <f>ROUND(RAND()*4+6,1)</f>
      </c>
      <c r="I104" s="17" t="s">
        <v>31</v>
      </c>
      <c r="J104" s="19">
        <f>ROUND(77*1,0)&amp;"%"</f>
      </c>
    </row>
    <row x14ac:dyDescent="0.25" r="105" customHeight="1" ht="17.25">
      <c r="A105" s="20" t="s">
        <v>4995</v>
      </c>
      <c r="B105" s="20" t="s">
        <v>194</v>
      </c>
      <c r="C105" s="20" t="s">
        <v>56</v>
      </c>
      <c r="D105" s="20" t="s">
        <v>34</v>
      </c>
      <c r="E105" s="22">
        <f>ROUND(17020*1.05,2)</f>
      </c>
      <c r="F105" s="20" t="s">
        <v>35</v>
      </c>
      <c r="G105" s="20" t="s">
        <v>18</v>
      </c>
      <c r="H105" s="21">
        <f>ROUND(RAND()*4+6,1)</f>
      </c>
      <c r="I105" s="20" t="s">
        <v>36</v>
      </c>
      <c r="J105" s="23">
        <f>ROUND(85*1,0)&amp;"%"</f>
      </c>
    </row>
    <row x14ac:dyDescent="0.25" r="106" customHeight="1" ht="17.25">
      <c r="A106" s="17" t="s">
        <v>4996</v>
      </c>
      <c r="B106" s="17" t="s">
        <v>196</v>
      </c>
      <c r="C106" s="17" t="s">
        <v>56</v>
      </c>
      <c r="D106" s="17" t="s">
        <v>39</v>
      </c>
      <c r="E106" s="18">
        <f>ROUND(6173*1.05,2)</f>
      </c>
      <c r="F106" s="17" t="s">
        <v>40</v>
      </c>
      <c r="G106" s="17" t="s">
        <v>24</v>
      </c>
      <c r="H106" s="18">
        <f>ROUND(RAND()*4+6,1)</f>
      </c>
      <c r="I106" s="17" t="s">
        <v>41</v>
      </c>
      <c r="J106" s="19">
        <f>ROUND(67*1,0)&amp;"%"</f>
      </c>
    </row>
    <row x14ac:dyDescent="0.25" r="107" customHeight="1" ht="17.25">
      <c r="A107" s="20" t="s">
        <v>4997</v>
      </c>
      <c r="B107" s="20" t="s">
        <v>198</v>
      </c>
      <c r="C107" s="20" t="s">
        <v>56</v>
      </c>
      <c r="D107" s="20" t="s">
        <v>67</v>
      </c>
      <c r="E107" s="21">
        <f>ROUND(16725*1.05,2)</f>
      </c>
      <c r="F107" s="20" t="s">
        <v>44</v>
      </c>
      <c r="G107" s="20" t="s">
        <v>30</v>
      </c>
      <c r="H107" s="21">
        <f>ROUND(RAND()*4+6,1)</f>
      </c>
      <c r="I107" s="20" t="s">
        <v>45</v>
      </c>
      <c r="J107" s="23">
        <f>ROUND(81*1,0)&amp;"%"</f>
      </c>
    </row>
    <row x14ac:dyDescent="0.25" r="108" customHeight="1" ht="17.25">
      <c r="A108" s="17" t="s">
        <v>4998</v>
      </c>
      <c r="B108" s="17" t="s">
        <v>200</v>
      </c>
      <c r="C108" s="17" t="s">
        <v>56</v>
      </c>
      <c r="D108" s="17" t="s">
        <v>16</v>
      </c>
      <c r="E108" s="18">
        <f>ROUND(6884*1.05,2)</f>
      </c>
      <c r="F108" s="17" t="s">
        <v>48</v>
      </c>
      <c r="G108" s="17" t="s">
        <v>18</v>
      </c>
      <c r="H108" s="18">
        <f>ROUND(RAND()*4+6,1)</f>
      </c>
      <c r="I108" s="17" t="s">
        <v>19</v>
      </c>
      <c r="J108" s="19">
        <f>ROUND(82*1,0)&amp;"%"</f>
      </c>
    </row>
    <row x14ac:dyDescent="0.25" r="109" customHeight="1" ht="17.25">
      <c r="A109" s="20" t="s">
        <v>4999</v>
      </c>
      <c r="B109" s="20" t="s">
        <v>202</v>
      </c>
      <c r="C109" s="20" t="s">
        <v>56</v>
      </c>
      <c r="D109" s="20" t="s">
        <v>22</v>
      </c>
      <c r="E109" s="21">
        <f>ROUND(8943*1.05,2)</f>
      </c>
      <c r="F109" s="20" t="s">
        <v>51</v>
      </c>
      <c r="G109" s="20" t="s">
        <v>24</v>
      </c>
      <c r="H109" s="21">
        <f>ROUND(RAND()*4+6,1)</f>
      </c>
      <c r="I109" s="20" t="s">
        <v>25</v>
      </c>
      <c r="J109" s="23">
        <f>ROUND(87*1,0)&amp;"%"</f>
      </c>
    </row>
    <row x14ac:dyDescent="0.25" r="110" customHeight="1" ht="17.25">
      <c r="A110" s="24" t="s">
        <v>203</v>
      </c>
      <c r="B110" s="24"/>
      <c r="C110" s="24"/>
      <c r="D110" s="24"/>
      <c r="E110" s="25">
        <v>8</v>
      </c>
      <c r="F110" s="9"/>
      <c r="G110" s="9"/>
      <c r="H110" s="10"/>
      <c r="I110" s="9"/>
      <c r="J110" s="9"/>
    </row>
    <row x14ac:dyDescent="0.25" r="111" customHeight="1" ht="17.25">
      <c r="A111" s="7"/>
      <c r="B111" s="7"/>
      <c r="C111" s="7"/>
      <c r="D111" s="7"/>
      <c r="E111" s="8"/>
      <c r="F111" s="9"/>
      <c r="G111" s="9"/>
      <c r="H111" s="10"/>
      <c r="I111" s="9"/>
      <c r="J111" s="9"/>
    </row>
    <row x14ac:dyDescent="0.25" r="112" customHeight="1" ht="17.25">
      <c r="A112" s="11" t="s">
        <v>5000</v>
      </c>
      <c r="B112" s="11"/>
      <c r="C112" s="11"/>
      <c r="D112" s="11"/>
      <c r="E112" s="12"/>
      <c r="F112" s="11"/>
      <c r="G112" s="11"/>
      <c r="H112" s="13"/>
      <c r="I112" s="11"/>
      <c r="J112" s="11"/>
    </row>
    <row x14ac:dyDescent="0.25" r="113" customHeight="1" ht="17.25">
      <c r="A113" s="14" t="s">
        <v>3</v>
      </c>
      <c r="B113" s="14" t="s">
        <v>4</v>
      </c>
      <c r="C113" s="14" t="s">
        <v>5</v>
      </c>
      <c r="D113" s="14" t="s">
        <v>6</v>
      </c>
      <c r="E113" s="15" t="s">
        <v>7</v>
      </c>
      <c r="F113" s="14" t="s">
        <v>8</v>
      </c>
      <c r="G113" s="14" t="s">
        <v>9</v>
      </c>
      <c r="H113" s="16" t="s">
        <v>10</v>
      </c>
      <c r="I113" s="14" t="s">
        <v>11</v>
      </c>
      <c r="J113" s="14" t="s">
        <v>12</v>
      </c>
    </row>
    <row x14ac:dyDescent="0.25" r="114" customHeight="1" ht="17.25">
      <c r="A114" s="17" t="s">
        <v>5001</v>
      </c>
      <c r="B114" s="17" t="s">
        <v>206</v>
      </c>
      <c r="C114" s="17" t="s">
        <v>76</v>
      </c>
      <c r="D114" s="17" t="s">
        <v>16</v>
      </c>
      <c r="E114" s="18">
        <f>ROUND(7271*1.05,2)</f>
      </c>
      <c r="F114" s="17" t="s">
        <v>17</v>
      </c>
      <c r="G114" s="17" t="s">
        <v>18</v>
      </c>
      <c r="H114" s="18">
        <f>ROUND(RAND()*4+6,1)</f>
      </c>
      <c r="I114" s="17" t="s">
        <v>19</v>
      </c>
      <c r="J114" s="19">
        <f>ROUND(63*1,0)&amp;"%"</f>
      </c>
    </row>
    <row x14ac:dyDescent="0.25" r="115" customHeight="1" ht="17.25">
      <c r="A115" s="20" t="s">
        <v>5002</v>
      </c>
      <c r="B115" s="20" t="s">
        <v>208</v>
      </c>
      <c r="C115" s="20" t="s">
        <v>76</v>
      </c>
      <c r="D115" s="20" t="s">
        <v>22</v>
      </c>
      <c r="E115" s="21">
        <f>ROUND(9466*1.05,2)</f>
      </c>
      <c r="F115" s="20" t="s">
        <v>23</v>
      </c>
      <c r="G115" s="20" t="s">
        <v>24</v>
      </c>
      <c r="H115" s="21">
        <f>ROUND(RAND()*4+6,1)</f>
      </c>
      <c r="I115" s="20" t="s">
        <v>25</v>
      </c>
      <c r="J115" s="23">
        <f>ROUND(99*1,0)&amp;"%"</f>
      </c>
    </row>
    <row x14ac:dyDescent="0.25" r="116" customHeight="1" ht="17.25">
      <c r="A116" s="17" t="s">
        <v>5003</v>
      </c>
      <c r="B116" s="17" t="s">
        <v>210</v>
      </c>
      <c r="C116" s="17" t="s">
        <v>76</v>
      </c>
      <c r="D116" s="17" t="s">
        <v>28</v>
      </c>
      <c r="E116" s="18">
        <f>ROUND(17202*1.05,2)</f>
      </c>
      <c r="F116" s="17" t="s">
        <v>29</v>
      </c>
      <c r="G116" s="17" t="s">
        <v>30</v>
      </c>
      <c r="H116" s="26">
        <f>ROUND(RAND()*4+6,1)</f>
      </c>
      <c r="I116" s="17" t="s">
        <v>31</v>
      </c>
      <c r="J116" s="19">
        <f>ROUND(79*1,0)&amp;"%"</f>
      </c>
    </row>
    <row x14ac:dyDescent="0.25" r="117" customHeight="1" ht="17.25">
      <c r="A117" s="20" t="s">
        <v>5004</v>
      </c>
      <c r="B117" s="20" t="s">
        <v>212</v>
      </c>
      <c r="C117" s="20" t="s">
        <v>76</v>
      </c>
      <c r="D117" s="20" t="s">
        <v>34</v>
      </c>
      <c r="E117" s="21">
        <f>ROUND(4749*1.05,2)</f>
      </c>
      <c r="F117" s="20" t="s">
        <v>35</v>
      </c>
      <c r="G117" s="20" t="s">
        <v>18</v>
      </c>
      <c r="H117" s="21">
        <f>ROUND(RAND()*4+6,1)</f>
      </c>
      <c r="I117" s="20" t="s">
        <v>36</v>
      </c>
      <c r="J117" s="23">
        <f>ROUND(63*1,0)&amp;"%"</f>
      </c>
    </row>
    <row x14ac:dyDescent="0.25" r="118" customHeight="1" ht="17.25">
      <c r="A118" s="17" t="s">
        <v>5005</v>
      </c>
      <c r="B118" s="17" t="s">
        <v>214</v>
      </c>
      <c r="C118" s="17" t="s">
        <v>76</v>
      </c>
      <c r="D118" s="17" t="s">
        <v>39</v>
      </c>
      <c r="E118" s="18">
        <f>ROUND(14227*1.05,2)</f>
      </c>
      <c r="F118" s="17" t="s">
        <v>40</v>
      </c>
      <c r="G118" s="17" t="s">
        <v>24</v>
      </c>
      <c r="H118" s="26">
        <f>ROUND(RAND()*4+6,1)</f>
      </c>
      <c r="I118" s="17" t="s">
        <v>41</v>
      </c>
      <c r="J118" s="19">
        <f>ROUND(74*1,0)&amp;"%"</f>
      </c>
    </row>
    <row x14ac:dyDescent="0.25" r="119" customHeight="1" ht="17.25">
      <c r="A119" s="20" t="s">
        <v>5006</v>
      </c>
      <c r="B119" s="20" t="s">
        <v>216</v>
      </c>
      <c r="C119" s="20" t="s">
        <v>76</v>
      </c>
      <c r="D119" s="20" t="s">
        <v>67</v>
      </c>
      <c r="E119" s="21">
        <f>ROUND(15754*1.05,2)</f>
      </c>
      <c r="F119" s="20" t="s">
        <v>44</v>
      </c>
      <c r="G119" s="20" t="s">
        <v>30</v>
      </c>
      <c r="H119" s="21">
        <f>ROUND(RAND()*4+6,1)</f>
      </c>
      <c r="I119" s="20" t="s">
        <v>45</v>
      </c>
      <c r="J119" s="23">
        <f>ROUND(71*1,0)&amp;"%"</f>
      </c>
    </row>
    <row x14ac:dyDescent="0.25" r="120" customHeight="1" ht="17.25">
      <c r="A120" s="17" t="s">
        <v>5007</v>
      </c>
      <c r="B120" s="17" t="s">
        <v>218</v>
      </c>
      <c r="C120" s="17" t="s">
        <v>76</v>
      </c>
      <c r="D120" s="17" t="s">
        <v>16</v>
      </c>
      <c r="E120" s="18">
        <f>ROUND(7878*1.05,2)</f>
      </c>
      <c r="F120" s="17" t="s">
        <v>48</v>
      </c>
      <c r="G120" s="17" t="s">
        <v>18</v>
      </c>
      <c r="H120" s="18">
        <f>ROUND(RAND()*4+6,1)</f>
      </c>
      <c r="I120" s="17" t="s">
        <v>19</v>
      </c>
      <c r="J120" s="19">
        <f>ROUND(71*1,0)&amp;"%"</f>
      </c>
    </row>
    <row x14ac:dyDescent="0.25" r="121" customHeight="1" ht="17.25">
      <c r="A121" s="20" t="s">
        <v>5008</v>
      </c>
      <c r="B121" s="20" t="s">
        <v>220</v>
      </c>
      <c r="C121" s="20" t="s">
        <v>76</v>
      </c>
      <c r="D121" s="20" t="s">
        <v>22</v>
      </c>
      <c r="E121" s="21">
        <f>ROUND(17425*1.05,2)</f>
      </c>
      <c r="F121" s="20" t="s">
        <v>51</v>
      </c>
      <c r="G121" s="20" t="s">
        <v>24</v>
      </c>
      <c r="H121" s="21">
        <f>ROUND(RAND()*4+6,1)</f>
      </c>
      <c r="I121" s="20" t="s">
        <v>25</v>
      </c>
      <c r="J121" s="23">
        <f>ROUND(92*1,0)&amp;"%"</f>
      </c>
    </row>
    <row x14ac:dyDescent="0.25" r="122" customHeight="1" ht="17.25">
      <c r="A122" s="24" t="s">
        <v>221</v>
      </c>
      <c r="B122" s="24"/>
      <c r="C122" s="24"/>
      <c r="D122" s="24"/>
      <c r="E122" s="25">
        <v>8</v>
      </c>
      <c r="F122" s="9"/>
      <c r="G122" s="9"/>
      <c r="H122" s="10"/>
      <c r="I122" s="9"/>
      <c r="J122" s="9"/>
    </row>
    <row x14ac:dyDescent="0.25" r="123" customHeight="1" ht="17.25">
      <c r="A123" s="7"/>
      <c r="B123" s="7"/>
      <c r="C123" s="7"/>
      <c r="D123" s="7"/>
      <c r="E123" s="8"/>
      <c r="F123" s="9"/>
      <c r="G123" s="9"/>
      <c r="H123" s="10"/>
      <c r="I123" s="9"/>
      <c r="J123" s="9"/>
    </row>
    <row x14ac:dyDescent="0.25" r="124" customHeight="1" ht="17.25">
      <c r="A124" s="11" t="s">
        <v>5009</v>
      </c>
      <c r="B124" s="11"/>
      <c r="C124" s="11"/>
      <c r="D124" s="11"/>
      <c r="E124" s="12"/>
      <c r="F124" s="11"/>
      <c r="G124" s="11"/>
      <c r="H124" s="13"/>
      <c r="I124" s="11"/>
      <c r="J124" s="11"/>
    </row>
    <row x14ac:dyDescent="0.25" r="125" customHeight="1" ht="17.25">
      <c r="A125" s="14" t="s">
        <v>3</v>
      </c>
      <c r="B125" s="14" t="s">
        <v>4</v>
      </c>
      <c r="C125" s="14" t="s">
        <v>5</v>
      </c>
      <c r="D125" s="14" t="s">
        <v>6</v>
      </c>
      <c r="E125" s="15" t="s">
        <v>7</v>
      </c>
      <c r="F125" s="14" t="s">
        <v>8</v>
      </c>
      <c r="G125" s="14" t="s">
        <v>9</v>
      </c>
      <c r="H125" s="16" t="s">
        <v>10</v>
      </c>
      <c r="I125" s="14" t="s">
        <v>11</v>
      </c>
      <c r="J125" s="14" t="s">
        <v>12</v>
      </c>
    </row>
    <row x14ac:dyDescent="0.25" r="126" customHeight="1" ht="17.25">
      <c r="A126" s="17" t="s">
        <v>5010</v>
      </c>
      <c r="B126" s="17" t="s">
        <v>224</v>
      </c>
      <c r="C126" s="17" t="s">
        <v>95</v>
      </c>
      <c r="D126" s="17" t="s">
        <v>16</v>
      </c>
      <c r="E126" s="18">
        <f>ROUND(13594*1.05,2)</f>
      </c>
      <c r="F126" s="17" t="s">
        <v>17</v>
      </c>
      <c r="G126" s="17" t="s">
        <v>18</v>
      </c>
      <c r="H126" s="18">
        <f>ROUND(RAND()*4+6,1)</f>
      </c>
      <c r="I126" s="17" t="s">
        <v>19</v>
      </c>
      <c r="J126" s="19">
        <f>ROUND(83*1,0)&amp;"%"</f>
      </c>
    </row>
    <row x14ac:dyDescent="0.25" r="127" customHeight="1" ht="17.25">
      <c r="A127" s="20" t="s">
        <v>5011</v>
      </c>
      <c r="B127" s="20" t="s">
        <v>226</v>
      </c>
      <c r="C127" s="20" t="s">
        <v>95</v>
      </c>
      <c r="D127" s="20" t="s">
        <v>22</v>
      </c>
      <c r="E127" s="21">
        <f>ROUND(15276*1.05,2)</f>
      </c>
      <c r="F127" s="20" t="s">
        <v>23</v>
      </c>
      <c r="G127" s="20" t="s">
        <v>24</v>
      </c>
      <c r="H127" s="22">
        <f>ROUND(RAND()*4+6,1)</f>
      </c>
      <c r="I127" s="20" t="s">
        <v>25</v>
      </c>
      <c r="J127" s="23">
        <f>ROUND(62*1,0)&amp;"%"</f>
      </c>
    </row>
    <row x14ac:dyDescent="0.25" r="128" customHeight="1" ht="17.25">
      <c r="A128" s="17" t="s">
        <v>5012</v>
      </c>
      <c r="B128" s="17" t="s">
        <v>228</v>
      </c>
      <c r="C128" s="17" t="s">
        <v>95</v>
      </c>
      <c r="D128" s="17" t="s">
        <v>28</v>
      </c>
      <c r="E128" s="18">
        <f>ROUND(11905*1.05,2)</f>
      </c>
      <c r="F128" s="17" t="s">
        <v>29</v>
      </c>
      <c r="G128" s="17" t="s">
        <v>30</v>
      </c>
      <c r="H128" s="26">
        <f>ROUND(RAND()*4+6,1)</f>
      </c>
      <c r="I128" s="17" t="s">
        <v>31</v>
      </c>
      <c r="J128" s="19">
        <f>ROUND(84*1,0)&amp;"%"</f>
      </c>
    </row>
    <row x14ac:dyDescent="0.25" r="129" customHeight="1" ht="17.25">
      <c r="A129" s="20" t="s">
        <v>5013</v>
      </c>
      <c r="B129" s="20" t="s">
        <v>230</v>
      </c>
      <c r="C129" s="20" t="s">
        <v>95</v>
      </c>
      <c r="D129" s="20" t="s">
        <v>34</v>
      </c>
      <c r="E129" s="21">
        <f>ROUND(12914*1.05,2)</f>
      </c>
      <c r="F129" s="20" t="s">
        <v>35</v>
      </c>
      <c r="G129" s="20" t="s">
        <v>18</v>
      </c>
      <c r="H129" s="22">
        <f>ROUND(RAND()*4+6,1)</f>
      </c>
      <c r="I129" s="20" t="s">
        <v>36</v>
      </c>
      <c r="J129" s="23">
        <f>ROUND(91*1,0)&amp;"%"</f>
      </c>
    </row>
    <row x14ac:dyDescent="0.25" r="130" customHeight="1" ht="17.25">
      <c r="A130" s="17" t="s">
        <v>5014</v>
      </c>
      <c r="B130" s="17" t="s">
        <v>232</v>
      </c>
      <c r="C130" s="17" t="s">
        <v>95</v>
      </c>
      <c r="D130" s="17" t="s">
        <v>39</v>
      </c>
      <c r="E130" s="18">
        <f>ROUND(10184*1.05,2)</f>
      </c>
      <c r="F130" s="17" t="s">
        <v>40</v>
      </c>
      <c r="G130" s="17" t="s">
        <v>24</v>
      </c>
      <c r="H130" s="18">
        <f>ROUND(RAND()*4+6,1)</f>
      </c>
      <c r="I130" s="17" t="s">
        <v>41</v>
      </c>
      <c r="J130" s="19">
        <f>ROUND(62*1,0)&amp;"%"</f>
      </c>
    </row>
    <row x14ac:dyDescent="0.25" r="131" customHeight="1" ht="17.25">
      <c r="A131" s="20" t="s">
        <v>5015</v>
      </c>
      <c r="B131" s="20" t="s">
        <v>234</v>
      </c>
      <c r="C131" s="20" t="s">
        <v>95</v>
      </c>
      <c r="D131" s="20" t="s">
        <v>67</v>
      </c>
      <c r="E131" s="21">
        <f>ROUND(7135*1.05,2)</f>
      </c>
      <c r="F131" s="20" t="s">
        <v>44</v>
      </c>
      <c r="G131" s="20" t="s">
        <v>30</v>
      </c>
      <c r="H131" s="22">
        <f>ROUND(RAND()*4+6,1)</f>
      </c>
      <c r="I131" s="20" t="s">
        <v>45</v>
      </c>
      <c r="J131" s="23">
        <f>ROUND(100*1,0)&amp;"%"</f>
      </c>
    </row>
    <row x14ac:dyDescent="0.25" r="132" customHeight="1" ht="17.25">
      <c r="A132" s="17" t="s">
        <v>5016</v>
      </c>
      <c r="B132" s="17" t="s">
        <v>236</v>
      </c>
      <c r="C132" s="17" t="s">
        <v>95</v>
      </c>
      <c r="D132" s="17" t="s">
        <v>16</v>
      </c>
      <c r="E132" s="26">
        <f>ROUND(17100*1.05,2)</f>
      </c>
      <c r="F132" s="17" t="s">
        <v>48</v>
      </c>
      <c r="G132" s="17" t="s">
        <v>18</v>
      </c>
      <c r="H132" s="18">
        <f>ROUND(RAND()*4+6,1)</f>
      </c>
      <c r="I132" s="17" t="s">
        <v>19</v>
      </c>
      <c r="J132" s="19">
        <f>ROUND(100*1,0)&amp;"%"</f>
      </c>
    </row>
    <row x14ac:dyDescent="0.25" r="133" customHeight="1" ht="17.25">
      <c r="A133" s="20" t="s">
        <v>5017</v>
      </c>
      <c r="B133" s="20" t="s">
        <v>238</v>
      </c>
      <c r="C133" s="20" t="s">
        <v>95</v>
      </c>
      <c r="D133" s="20" t="s">
        <v>22</v>
      </c>
      <c r="E133" s="21">
        <f>ROUND(13542*1.05,2)</f>
      </c>
      <c r="F133" s="20" t="s">
        <v>51</v>
      </c>
      <c r="G133" s="20" t="s">
        <v>24</v>
      </c>
      <c r="H133" s="21">
        <f>ROUND(RAND()*4+6,1)</f>
      </c>
      <c r="I133" s="20" t="s">
        <v>25</v>
      </c>
      <c r="J133" s="23">
        <f>ROUND(73*1,0)&amp;"%"</f>
      </c>
    </row>
    <row x14ac:dyDescent="0.25" r="134" customHeight="1" ht="17.25">
      <c r="A134" s="24" t="s">
        <v>239</v>
      </c>
      <c r="B134" s="24"/>
      <c r="C134" s="24"/>
      <c r="D134" s="24"/>
      <c r="E134" s="25">
        <v>8</v>
      </c>
      <c r="F134" s="9"/>
      <c r="G134" s="9"/>
      <c r="H134" s="10"/>
      <c r="I134" s="9"/>
      <c r="J134" s="9"/>
    </row>
    <row x14ac:dyDescent="0.25" r="135" customHeight="1" ht="17.25">
      <c r="A135" s="7"/>
      <c r="B135" s="7"/>
      <c r="C135" s="7"/>
      <c r="D135" s="7"/>
      <c r="E135" s="8"/>
      <c r="F135" s="9"/>
      <c r="G135" s="9"/>
      <c r="H135" s="10"/>
      <c r="I135" s="9"/>
      <c r="J135" s="9"/>
    </row>
    <row x14ac:dyDescent="0.25" r="136" customHeight="1" ht="17.25">
      <c r="A136" s="11" t="s">
        <v>5018</v>
      </c>
      <c r="B136" s="11"/>
      <c r="C136" s="11"/>
      <c r="D136" s="11"/>
      <c r="E136" s="12"/>
      <c r="F136" s="11"/>
      <c r="G136" s="11"/>
      <c r="H136" s="13"/>
      <c r="I136" s="11"/>
      <c r="J136" s="11"/>
    </row>
    <row x14ac:dyDescent="0.25" r="137" customHeight="1" ht="17.25">
      <c r="A137" s="14" t="s">
        <v>3</v>
      </c>
      <c r="B137" s="14" t="s">
        <v>4</v>
      </c>
      <c r="C137" s="14" t="s">
        <v>5</v>
      </c>
      <c r="D137" s="14" t="s">
        <v>6</v>
      </c>
      <c r="E137" s="15" t="s">
        <v>7</v>
      </c>
      <c r="F137" s="14" t="s">
        <v>8</v>
      </c>
      <c r="G137" s="14" t="s">
        <v>9</v>
      </c>
      <c r="H137" s="16" t="s">
        <v>10</v>
      </c>
      <c r="I137" s="14" t="s">
        <v>11</v>
      </c>
      <c r="J137" s="14" t="s">
        <v>12</v>
      </c>
    </row>
    <row x14ac:dyDescent="0.25" r="138" customHeight="1" ht="17.25">
      <c r="A138" s="17" t="s">
        <v>5019</v>
      </c>
      <c r="B138" s="17" t="s">
        <v>242</v>
      </c>
      <c r="C138" s="17" t="s">
        <v>114</v>
      </c>
      <c r="D138" s="17" t="s">
        <v>16</v>
      </c>
      <c r="E138" s="18">
        <f>ROUND(9811*1.05,2)</f>
      </c>
      <c r="F138" s="17" t="s">
        <v>17</v>
      </c>
      <c r="G138" s="17" t="s">
        <v>18</v>
      </c>
      <c r="H138" s="26">
        <f>ROUND(RAND()*4+6,1)</f>
      </c>
      <c r="I138" s="17" t="s">
        <v>19</v>
      </c>
      <c r="J138" s="19">
        <f>ROUND(60*1,0)&amp;"%"</f>
      </c>
    </row>
    <row x14ac:dyDescent="0.25" r="139" customHeight="1" ht="17.25">
      <c r="A139" s="20" t="s">
        <v>5020</v>
      </c>
      <c r="B139" s="20" t="s">
        <v>244</v>
      </c>
      <c r="C139" s="20" t="s">
        <v>114</v>
      </c>
      <c r="D139" s="20" t="s">
        <v>22</v>
      </c>
      <c r="E139" s="21">
        <f>ROUND(10222*1.05,2)</f>
      </c>
      <c r="F139" s="20" t="s">
        <v>23</v>
      </c>
      <c r="G139" s="20" t="s">
        <v>24</v>
      </c>
      <c r="H139" s="21">
        <f>ROUND(RAND()*4+6,1)</f>
      </c>
      <c r="I139" s="20" t="s">
        <v>25</v>
      </c>
      <c r="J139" s="23">
        <f>ROUND(78*1,0)&amp;"%"</f>
      </c>
    </row>
    <row x14ac:dyDescent="0.25" r="140" customHeight="1" ht="17.25">
      <c r="A140" s="17" t="s">
        <v>5021</v>
      </c>
      <c r="B140" s="17" t="s">
        <v>246</v>
      </c>
      <c r="C140" s="17" t="s">
        <v>114</v>
      </c>
      <c r="D140" s="17" t="s">
        <v>28</v>
      </c>
      <c r="E140" s="26">
        <f>ROUND(9700*1.05,2)</f>
      </c>
      <c r="F140" s="17" t="s">
        <v>29</v>
      </c>
      <c r="G140" s="17" t="s">
        <v>30</v>
      </c>
      <c r="H140" s="18">
        <f>ROUND(RAND()*4+6,1)</f>
      </c>
      <c r="I140" s="17" t="s">
        <v>31</v>
      </c>
      <c r="J140" s="19">
        <f>ROUND(69*1,0)&amp;"%"</f>
      </c>
    </row>
    <row x14ac:dyDescent="0.25" r="141" customHeight="1" ht="17.25">
      <c r="A141" s="20" t="s">
        <v>5022</v>
      </c>
      <c r="B141" s="20" t="s">
        <v>248</v>
      </c>
      <c r="C141" s="20" t="s">
        <v>114</v>
      </c>
      <c r="D141" s="20" t="s">
        <v>34</v>
      </c>
      <c r="E141" s="21">
        <f>ROUND(4259*1.05,2)</f>
      </c>
      <c r="F141" s="20" t="s">
        <v>35</v>
      </c>
      <c r="G141" s="20" t="s">
        <v>18</v>
      </c>
      <c r="H141" s="21">
        <f>ROUND(RAND()*4+6,1)</f>
      </c>
      <c r="I141" s="20" t="s">
        <v>36</v>
      </c>
      <c r="J141" s="23">
        <f>ROUND(98*1,0)&amp;"%"</f>
      </c>
    </row>
    <row x14ac:dyDescent="0.25" r="142" customHeight="1" ht="17.25">
      <c r="A142" s="17" t="s">
        <v>5023</v>
      </c>
      <c r="B142" s="17" t="s">
        <v>250</v>
      </c>
      <c r="C142" s="17" t="s">
        <v>114</v>
      </c>
      <c r="D142" s="17" t="s">
        <v>39</v>
      </c>
      <c r="E142" s="18">
        <f>ROUND(4009*1.05,2)</f>
      </c>
      <c r="F142" s="17" t="s">
        <v>40</v>
      </c>
      <c r="G142" s="17" t="s">
        <v>24</v>
      </c>
      <c r="H142" s="18">
        <f>ROUND(RAND()*4+6,1)</f>
      </c>
      <c r="I142" s="17" t="s">
        <v>41</v>
      </c>
      <c r="J142" s="19">
        <f>ROUND(100*1,0)&amp;"%"</f>
      </c>
    </row>
    <row x14ac:dyDescent="0.25" r="143" customHeight="1" ht="17.25">
      <c r="A143" s="20" t="s">
        <v>5024</v>
      </c>
      <c r="B143" s="20" t="s">
        <v>252</v>
      </c>
      <c r="C143" s="20" t="s">
        <v>114</v>
      </c>
      <c r="D143" s="20" t="s">
        <v>67</v>
      </c>
      <c r="E143" s="21">
        <f>ROUND(16519*1.05,2)</f>
      </c>
      <c r="F143" s="20" t="s">
        <v>44</v>
      </c>
      <c r="G143" s="20" t="s">
        <v>30</v>
      </c>
      <c r="H143" s="22">
        <f>ROUND(RAND()*4+6,1)</f>
      </c>
      <c r="I143" s="20" t="s">
        <v>45</v>
      </c>
      <c r="J143" s="23">
        <f>ROUND(89*1,0)&amp;"%"</f>
      </c>
    </row>
    <row x14ac:dyDescent="0.25" r="144" customHeight="1" ht="17.25">
      <c r="A144" s="17" t="s">
        <v>5025</v>
      </c>
      <c r="B144" s="17" t="s">
        <v>254</v>
      </c>
      <c r="C144" s="17" t="s">
        <v>114</v>
      </c>
      <c r="D144" s="17" t="s">
        <v>16</v>
      </c>
      <c r="E144" s="18">
        <f>ROUND(13361*1.05,2)</f>
      </c>
      <c r="F144" s="17" t="s">
        <v>48</v>
      </c>
      <c r="G144" s="17" t="s">
        <v>18</v>
      </c>
      <c r="H144" s="18">
        <f>ROUND(RAND()*4+6,1)</f>
      </c>
      <c r="I144" s="17" t="s">
        <v>19</v>
      </c>
      <c r="J144" s="19">
        <f>ROUND(99*1,0)&amp;"%"</f>
      </c>
    </row>
    <row x14ac:dyDescent="0.25" r="145" customHeight="1" ht="17.25">
      <c r="A145" s="20" t="s">
        <v>5026</v>
      </c>
      <c r="B145" s="20" t="s">
        <v>256</v>
      </c>
      <c r="C145" s="20" t="s">
        <v>114</v>
      </c>
      <c r="D145" s="20" t="s">
        <v>22</v>
      </c>
      <c r="E145" s="21">
        <f>ROUND(8541*1.05,2)</f>
      </c>
      <c r="F145" s="20" t="s">
        <v>51</v>
      </c>
      <c r="G145" s="20" t="s">
        <v>24</v>
      </c>
      <c r="H145" s="22">
        <f>ROUND(RAND()*4+6,1)</f>
      </c>
      <c r="I145" s="20" t="s">
        <v>25</v>
      </c>
      <c r="J145" s="23">
        <f>ROUND(89*1,0)&amp;"%"</f>
      </c>
    </row>
    <row x14ac:dyDescent="0.25" r="146" customHeight="1" ht="17.25">
      <c r="A146" s="24" t="s">
        <v>257</v>
      </c>
      <c r="B146" s="24"/>
      <c r="C146" s="24"/>
      <c r="D146" s="24"/>
      <c r="E146" s="25">
        <v>8</v>
      </c>
      <c r="F146" s="9"/>
      <c r="G146" s="9"/>
      <c r="H146" s="10"/>
      <c r="I146" s="9"/>
      <c r="J146" s="9"/>
    </row>
    <row x14ac:dyDescent="0.25" r="147" customHeight="1" ht="17.25">
      <c r="A147" s="7"/>
      <c r="B147" s="7"/>
      <c r="C147" s="7"/>
      <c r="D147" s="7"/>
      <c r="E147" s="8"/>
      <c r="F147" s="9"/>
      <c r="G147" s="9"/>
      <c r="H147" s="10"/>
      <c r="I147" s="9"/>
      <c r="J147" s="9"/>
    </row>
    <row x14ac:dyDescent="0.25" r="148" customHeight="1" ht="17.25">
      <c r="A148" s="11" t="s">
        <v>5027</v>
      </c>
      <c r="B148" s="11"/>
      <c r="C148" s="11"/>
      <c r="D148" s="11"/>
      <c r="E148" s="12"/>
      <c r="F148" s="11"/>
      <c r="G148" s="11"/>
      <c r="H148" s="13"/>
      <c r="I148" s="11"/>
      <c r="J148" s="11"/>
    </row>
    <row x14ac:dyDescent="0.25" r="149" customHeight="1" ht="17.25">
      <c r="A149" s="14" t="s">
        <v>3</v>
      </c>
      <c r="B149" s="14" t="s">
        <v>4</v>
      </c>
      <c r="C149" s="14" t="s">
        <v>5</v>
      </c>
      <c r="D149" s="14" t="s">
        <v>6</v>
      </c>
      <c r="E149" s="15" t="s">
        <v>7</v>
      </c>
      <c r="F149" s="14" t="s">
        <v>8</v>
      </c>
      <c r="G149" s="14" t="s">
        <v>9</v>
      </c>
      <c r="H149" s="16" t="s">
        <v>10</v>
      </c>
      <c r="I149" s="14" t="s">
        <v>11</v>
      </c>
      <c r="J149" s="14" t="s">
        <v>12</v>
      </c>
    </row>
    <row x14ac:dyDescent="0.25" r="150" customHeight="1" ht="17.25">
      <c r="A150" s="17" t="s">
        <v>5028</v>
      </c>
      <c r="B150" s="17" t="s">
        <v>260</v>
      </c>
      <c r="C150" s="17" t="s">
        <v>133</v>
      </c>
      <c r="D150" s="17" t="s">
        <v>16</v>
      </c>
      <c r="E150" s="18">
        <f>ROUND(4390*1.05,2)</f>
      </c>
      <c r="F150" s="17" t="s">
        <v>17</v>
      </c>
      <c r="G150" s="17" t="s">
        <v>18</v>
      </c>
      <c r="H150" s="18">
        <f>ROUND(RAND()*4+6,1)</f>
      </c>
      <c r="I150" s="17" t="s">
        <v>19</v>
      </c>
      <c r="J150" s="19">
        <f>ROUND(93*1,0)&amp;"%"</f>
      </c>
    </row>
    <row x14ac:dyDescent="0.25" r="151" customHeight="1" ht="17.25">
      <c r="A151" s="20" t="s">
        <v>5029</v>
      </c>
      <c r="B151" s="20" t="s">
        <v>262</v>
      </c>
      <c r="C151" s="20" t="s">
        <v>133</v>
      </c>
      <c r="D151" s="20" t="s">
        <v>22</v>
      </c>
      <c r="E151" s="21">
        <f>ROUND(7605*1.05,2)</f>
      </c>
      <c r="F151" s="20" t="s">
        <v>23</v>
      </c>
      <c r="G151" s="20" t="s">
        <v>24</v>
      </c>
      <c r="H151" s="21">
        <f>ROUND(RAND()*4+6,1)</f>
      </c>
      <c r="I151" s="20" t="s">
        <v>25</v>
      </c>
      <c r="J151" s="23">
        <f>ROUND(85*1,0)&amp;"%"</f>
      </c>
    </row>
    <row x14ac:dyDescent="0.25" r="152" customHeight="1" ht="17.25">
      <c r="A152" s="17" t="s">
        <v>5030</v>
      </c>
      <c r="B152" s="17" t="s">
        <v>264</v>
      </c>
      <c r="C152" s="17" t="s">
        <v>133</v>
      </c>
      <c r="D152" s="17" t="s">
        <v>28</v>
      </c>
      <c r="E152" s="18">
        <f>ROUND(14722*1.05,2)</f>
      </c>
      <c r="F152" s="17" t="s">
        <v>29</v>
      </c>
      <c r="G152" s="17" t="s">
        <v>30</v>
      </c>
      <c r="H152" s="18">
        <f>ROUND(RAND()*4+6,1)</f>
      </c>
      <c r="I152" s="17" t="s">
        <v>31</v>
      </c>
      <c r="J152" s="19">
        <f>ROUND(66*1,0)&amp;"%"</f>
      </c>
    </row>
    <row x14ac:dyDescent="0.25" r="153" customHeight="1" ht="17.25">
      <c r="A153" s="20" t="s">
        <v>5031</v>
      </c>
      <c r="B153" s="20" t="s">
        <v>266</v>
      </c>
      <c r="C153" s="20" t="s">
        <v>133</v>
      </c>
      <c r="D153" s="20" t="s">
        <v>34</v>
      </c>
      <c r="E153" s="21">
        <f>ROUND(17708*1.05,2)</f>
      </c>
      <c r="F153" s="20" t="s">
        <v>35</v>
      </c>
      <c r="G153" s="20" t="s">
        <v>18</v>
      </c>
      <c r="H153" s="21">
        <f>ROUND(RAND()*4+6,1)</f>
      </c>
      <c r="I153" s="20" t="s">
        <v>36</v>
      </c>
      <c r="J153" s="23">
        <f>ROUND(67*1,0)&amp;"%"</f>
      </c>
    </row>
    <row x14ac:dyDescent="0.25" r="154" customHeight="1" ht="17.25">
      <c r="A154" s="17" t="s">
        <v>5032</v>
      </c>
      <c r="B154" s="17" t="s">
        <v>268</v>
      </c>
      <c r="C154" s="17" t="s">
        <v>133</v>
      </c>
      <c r="D154" s="17" t="s">
        <v>39</v>
      </c>
      <c r="E154" s="26">
        <f>ROUND(11060*1.05,2)</f>
      </c>
      <c r="F154" s="17" t="s">
        <v>40</v>
      </c>
      <c r="G154" s="17" t="s">
        <v>24</v>
      </c>
      <c r="H154" s="26">
        <f>ROUND(RAND()*4+6,1)</f>
      </c>
      <c r="I154" s="17" t="s">
        <v>41</v>
      </c>
      <c r="J154" s="19">
        <f>ROUND(73*1,0)&amp;"%"</f>
      </c>
    </row>
    <row x14ac:dyDescent="0.25" r="155" customHeight="1" ht="17.25">
      <c r="A155" s="20" t="s">
        <v>5033</v>
      </c>
      <c r="B155" s="20" t="s">
        <v>270</v>
      </c>
      <c r="C155" s="20" t="s">
        <v>133</v>
      </c>
      <c r="D155" s="20" t="s">
        <v>67</v>
      </c>
      <c r="E155" s="21">
        <f>ROUND(6193*1.05,2)</f>
      </c>
      <c r="F155" s="20" t="s">
        <v>44</v>
      </c>
      <c r="G155" s="20" t="s">
        <v>30</v>
      </c>
      <c r="H155" s="21">
        <f>ROUND(RAND()*4+6,1)</f>
      </c>
      <c r="I155" s="20" t="s">
        <v>45</v>
      </c>
      <c r="J155" s="23">
        <f>ROUND(95*1,0)&amp;"%"</f>
      </c>
    </row>
    <row x14ac:dyDescent="0.25" r="156" customHeight="1" ht="17.25">
      <c r="A156" s="17" t="s">
        <v>5034</v>
      </c>
      <c r="B156" s="17" t="s">
        <v>272</v>
      </c>
      <c r="C156" s="17" t="s">
        <v>133</v>
      </c>
      <c r="D156" s="17" t="s">
        <v>16</v>
      </c>
      <c r="E156" s="18">
        <f>ROUND(9715*1.05,2)</f>
      </c>
      <c r="F156" s="17" t="s">
        <v>48</v>
      </c>
      <c r="G156" s="17" t="s">
        <v>18</v>
      </c>
      <c r="H156" s="18">
        <f>ROUND(RAND()*4+6,1)</f>
      </c>
      <c r="I156" s="17" t="s">
        <v>19</v>
      </c>
      <c r="J156" s="19">
        <f>ROUND(99*1,0)&amp;"%"</f>
      </c>
    </row>
    <row x14ac:dyDescent="0.25" r="157" customHeight="1" ht="17.25">
      <c r="A157" s="20" t="s">
        <v>5035</v>
      </c>
      <c r="B157" s="20" t="s">
        <v>274</v>
      </c>
      <c r="C157" s="20" t="s">
        <v>133</v>
      </c>
      <c r="D157" s="20" t="s">
        <v>22</v>
      </c>
      <c r="E157" s="22">
        <f>ROUND(13960*1.05,2)</f>
      </c>
      <c r="F157" s="20" t="s">
        <v>51</v>
      </c>
      <c r="G157" s="20" t="s">
        <v>24</v>
      </c>
      <c r="H157" s="21">
        <f>ROUND(RAND()*4+6,1)</f>
      </c>
      <c r="I157" s="20" t="s">
        <v>25</v>
      </c>
      <c r="J157" s="23">
        <f>ROUND(76*1,0)&amp;"%"</f>
      </c>
    </row>
    <row x14ac:dyDescent="0.25" r="158" customHeight="1" ht="17.25">
      <c r="A158" s="24" t="s">
        <v>275</v>
      </c>
      <c r="B158" s="24"/>
      <c r="C158" s="24"/>
      <c r="D158" s="24"/>
      <c r="E158" s="25">
        <v>8</v>
      </c>
      <c r="F158" s="9"/>
      <c r="G158" s="9"/>
      <c r="H158" s="10"/>
      <c r="I158" s="9"/>
      <c r="J158" s="9"/>
    </row>
    <row x14ac:dyDescent="0.25" r="159" customHeight="1" ht="17.25">
      <c r="A159" s="7"/>
      <c r="B159" s="7"/>
      <c r="C159" s="7"/>
      <c r="D159" s="7"/>
      <c r="E159" s="8"/>
      <c r="F159" s="9"/>
      <c r="G159" s="9"/>
      <c r="H159" s="10"/>
      <c r="I159" s="9"/>
      <c r="J159" s="9"/>
    </row>
    <row x14ac:dyDescent="0.25" r="160" customHeight="1" ht="17.25">
      <c r="A160" s="11" t="s">
        <v>5036</v>
      </c>
      <c r="B160" s="11"/>
      <c r="C160" s="11"/>
      <c r="D160" s="11"/>
      <c r="E160" s="12"/>
      <c r="F160" s="11"/>
      <c r="G160" s="11"/>
      <c r="H160" s="13"/>
      <c r="I160" s="11"/>
      <c r="J160" s="11"/>
    </row>
    <row x14ac:dyDescent="0.25" r="161" customHeight="1" ht="17.25">
      <c r="A161" s="14" t="s">
        <v>3</v>
      </c>
      <c r="B161" s="14" t="s">
        <v>4</v>
      </c>
      <c r="C161" s="14" t="s">
        <v>5</v>
      </c>
      <c r="D161" s="14" t="s">
        <v>6</v>
      </c>
      <c r="E161" s="15" t="s">
        <v>7</v>
      </c>
      <c r="F161" s="14" t="s">
        <v>8</v>
      </c>
      <c r="G161" s="14" t="s">
        <v>9</v>
      </c>
      <c r="H161" s="16" t="s">
        <v>10</v>
      </c>
      <c r="I161" s="14" t="s">
        <v>11</v>
      </c>
      <c r="J161" s="14" t="s">
        <v>12</v>
      </c>
    </row>
    <row x14ac:dyDescent="0.25" r="162" customHeight="1" ht="17.25">
      <c r="A162" s="17" t="s">
        <v>5037</v>
      </c>
      <c r="B162" s="17" t="s">
        <v>278</v>
      </c>
      <c r="C162" s="17" t="s">
        <v>152</v>
      </c>
      <c r="D162" s="17" t="s">
        <v>16</v>
      </c>
      <c r="E162" s="18">
        <f>ROUND(14530*1.05,2)</f>
      </c>
      <c r="F162" s="17" t="s">
        <v>17</v>
      </c>
      <c r="G162" s="17" t="s">
        <v>18</v>
      </c>
      <c r="H162" s="18">
        <f>ROUND(RAND()*4+6,1)</f>
      </c>
      <c r="I162" s="17" t="s">
        <v>19</v>
      </c>
      <c r="J162" s="19">
        <f>ROUND(90*1,0)&amp;"%"</f>
      </c>
    </row>
    <row x14ac:dyDescent="0.25" r="163" customHeight="1" ht="17.25">
      <c r="A163" s="20" t="s">
        <v>5038</v>
      </c>
      <c r="B163" s="20" t="s">
        <v>280</v>
      </c>
      <c r="C163" s="20" t="s">
        <v>152</v>
      </c>
      <c r="D163" s="20" t="s">
        <v>22</v>
      </c>
      <c r="E163" s="21">
        <f>ROUND(11668*1.05,2)</f>
      </c>
      <c r="F163" s="20" t="s">
        <v>23</v>
      </c>
      <c r="G163" s="20" t="s">
        <v>24</v>
      </c>
      <c r="H163" s="21">
        <f>ROUND(RAND()*4+6,1)</f>
      </c>
      <c r="I163" s="20" t="s">
        <v>25</v>
      </c>
      <c r="J163" s="23">
        <f>ROUND(100*1,0)&amp;"%"</f>
      </c>
    </row>
    <row x14ac:dyDescent="0.25" r="164" customHeight="1" ht="17.25">
      <c r="A164" s="17" t="s">
        <v>5039</v>
      </c>
      <c r="B164" s="17" t="s">
        <v>282</v>
      </c>
      <c r="C164" s="17" t="s">
        <v>152</v>
      </c>
      <c r="D164" s="17" t="s">
        <v>28</v>
      </c>
      <c r="E164" s="18">
        <f>ROUND(13244*1.05,2)</f>
      </c>
      <c r="F164" s="17" t="s">
        <v>29</v>
      </c>
      <c r="G164" s="17" t="s">
        <v>30</v>
      </c>
      <c r="H164" s="18">
        <f>ROUND(RAND()*4+6,1)</f>
      </c>
      <c r="I164" s="17" t="s">
        <v>31</v>
      </c>
      <c r="J164" s="19">
        <f>ROUND(97*1,0)&amp;"%"</f>
      </c>
    </row>
    <row x14ac:dyDescent="0.25" r="165" customHeight="1" ht="17.25">
      <c r="A165" s="20" t="s">
        <v>5040</v>
      </c>
      <c r="B165" s="20" t="s">
        <v>284</v>
      </c>
      <c r="C165" s="20" t="s">
        <v>152</v>
      </c>
      <c r="D165" s="20" t="s">
        <v>34</v>
      </c>
      <c r="E165" s="21">
        <f>ROUND(11469*1.05,2)</f>
      </c>
      <c r="F165" s="20" t="s">
        <v>35</v>
      </c>
      <c r="G165" s="20" t="s">
        <v>18</v>
      </c>
      <c r="H165" s="21">
        <f>ROUND(RAND()*4+6,1)</f>
      </c>
      <c r="I165" s="20" t="s">
        <v>36</v>
      </c>
      <c r="J165" s="23">
        <f>ROUND(62*1,0)&amp;"%"</f>
      </c>
    </row>
    <row x14ac:dyDescent="0.25" r="166" customHeight="1" ht="17.25">
      <c r="A166" s="17" t="s">
        <v>5041</v>
      </c>
      <c r="B166" s="17" t="s">
        <v>286</v>
      </c>
      <c r="C166" s="17" t="s">
        <v>152</v>
      </c>
      <c r="D166" s="17" t="s">
        <v>39</v>
      </c>
      <c r="E166" s="18">
        <f>ROUND(11226*1.05,2)</f>
      </c>
      <c r="F166" s="17" t="s">
        <v>40</v>
      </c>
      <c r="G166" s="17" t="s">
        <v>24</v>
      </c>
      <c r="H166" s="18">
        <f>ROUND(RAND()*4+6,1)</f>
      </c>
      <c r="I166" s="17" t="s">
        <v>41</v>
      </c>
      <c r="J166" s="19">
        <f>ROUND(61*1,0)&amp;"%"</f>
      </c>
    </row>
    <row x14ac:dyDescent="0.25" r="167" customHeight="1" ht="17.25">
      <c r="A167" s="20" t="s">
        <v>5042</v>
      </c>
      <c r="B167" s="20" t="s">
        <v>288</v>
      </c>
      <c r="C167" s="20" t="s">
        <v>152</v>
      </c>
      <c r="D167" s="20" t="s">
        <v>67</v>
      </c>
      <c r="E167" s="21">
        <f>ROUND(7696*1.05,2)</f>
      </c>
      <c r="F167" s="20" t="s">
        <v>44</v>
      </c>
      <c r="G167" s="20" t="s">
        <v>30</v>
      </c>
      <c r="H167" s="21">
        <f>ROUND(RAND()*4+6,1)</f>
      </c>
      <c r="I167" s="20" t="s">
        <v>45</v>
      </c>
      <c r="J167" s="23">
        <f>ROUND(60*1,0)&amp;"%"</f>
      </c>
    </row>
    <row x14ac:dyDescent="0.25" r="168" customHeight="1" ht="17.25">
      <c r="A168" s="17" t="s">
        <v>5043</v>
      </c>
      <c r="B168" s="17" t="s">
        <v>290</v>
      </c>
      <c r="C168" s="17" t="s">
        <v>152</v>
      </c>
      <c r="D168" s="17" t="s">
        <v>16</v>
      </c>
      <c r="E168" s="18">
        <f>ROUND(6619*1.05,2)</f>
      </c>
      <c r="F168" s="17" t="s">
        <v>48</v>
      </c>
      <c r="G168" s="17" t="s">
        <v>18</v>
      </c>
      <c r="H168" s="18">
        <f>ROUND(RAND()*4+6,1)</f>
      </c>
      <c r="I168" s="17" t="s">
        <v>19</v>
      </c>
      <c r="J168" s="19">
        <f>ROUND(88*1,0)&amp;"%"</f>
      </c>
    </row>
    <row x14ac:dyDescent="0.25" r="169" customHeight="1" ht="17.25">
      <c r="A169" s="20" t="s">
        <v>5044</v>
      </c>
      <c r="B169" s="20" t="s">
        <v>292</v>
      </c>
      <c r="C169" s="20" t="s">
        <v>152</v>
      </c>
      <c r="D169" s="20" t="s">
        <v>22</v>
      </c>
      <c r="E169" s="21">
        <f>ROUND(4994*1.05,2)</f>
      </c>
      <c r="F169" s="20" t="s">
        <v>51</v>
      </c>
      <c r="G169" s="20" t="s">
        <v>24</v>
      </c>
      <c r="H169" s="21">
        <f>ROUND(RAND()*4+6,1)</f>
      </c>
      <c r="I169" s="20" t="s">
        <v>25</v>
      </c>
      <c r="J169" s="23">
        <f>ROUND(84*1,0)&amp;"%"</f>
      </c>
    </row>
    <row x14ac:dyDescent="0.25" r="170" customHeight="1" ht="17.25">
      <c r="A170" s="24" t="s">
        <v>293</v>
      </c>
      <c r="B170" s="24"/>
      <c r="C170" s="24"/>
      <c r="D170" s="24"/>
      <c r="E170" s="25">
        <v>8</v>
      </c>
      <c r="F170" s="9"/>
      <c r="G170" s="9"/>
      <c r="H170" s="10"/>
      <c r="I170" s="9"/>
      <c r="J170" s="9"/>
    </row>
    <row x14ac:dyDescent="0.25" r="171" customHeight="1" ht="17.25">
      <c r="A171" s="7"/>
      <c r="B171" s="7"/>
      <c r="C171" s="7"/>
      <c r="D171" s="7"/>
      <c r="E171" s="8"/>
      <c r="F171" s="9"/>
      <c r="G171" s="9"/>
      <c r="H171" s="10"/>
      <c r="I171" s="9"/>
      <c r="J171" s="9"/>
    </row>
    <row x14ac:dyDescent="0.25" r="172" customHeight="1" ht="17.25">
      <c r="A172" s="11" t="s">
        <v>5045</v>
      </c>
      <c r="B172" s="11"/>
      <c r="C172" s="11"/>
      <c r="D172" s="11"/>
      <c r="E172" s="12"/>
      <c r="F172" s="11"/>
      <c r="G172" s="11"/>
      <c r="H172" s="13"/>
      <c r="I172" s="11"/>
      <c r="J172" s="11"/>
    </row>
    <row x14ac:dyDescent="0.25" r="173" customHeight="1" ht="17.25">
      <c r="A173" s="14" t="s">
        <v>3</v>
      </c>
      <c r="B173" s="14" t="s">
        <v>4</v>
      </c>
      <c r="C173" s="14" t="s">
        <v>5</v>
      </c>
      <c r="D173" s="14" t="s">
        <v>6</v>
      </c>
      <c r="E173" s="15" t="s">
        <v>7</v>
      </c>
      <c r="F173" s="14" t="s">
        <v>8</v>
      </c>
      <c r="G173" s="14" t="s">
        <v>9</v>
      </c>
      <c r="H173" s="16" t="s">
        <v>10</v>
      </c>
      <c r="I173" s="14" t="s">
        <v>11</v>
      </c>
      <c r="J173" s="14" t="s">
        <v>12</v>
      </c>
    </row>
    <row x14ac:dyDescent="0.25" r="174" customHeight="1" ht="17.25">
      <c r="A174" s="17" t="s">
        <v>5046</v>
      </c>
      <c r="B174" s="17" t="s">
        <v>296</v>
      </c>
      <c r="C174" s="17" t="s">
        <v>15</v>
      </c>
      <c r="D174" s="17" t="s">
        <v>16</v>
      </c>
      <c r="E174" s="18">
        <f>ROUND(12465*1.05,2)</f>
      </c>
      <c r="F174" s="17" t="s">
        <v>17</v>
      </c>
      <c r="G174" s="17" t="s">
        <v>18</v>
      </c>
      <c r="H174" s="18">
        <f>ROUND(RAND()*4+6,1)</f>
      </c>
      <c r="I174" s="17" t="s">
        <v>19</v>
      </c>
      <c r="J174" s="19">
        <f>ROUND(69*1,0)&amp;"%"</f>
      </c>
    </row>
    <row x14ac:dyDescent="0.25" r="175" customHeight="1" ht="17.25">
      <c r="A175" s="20" t="s">
        <v>5047</v>
      </c>
      <c r="B175" s="20" t="s">
        <v>298</v>
      </c>
      <c r="C175" s="20" t="s">
        <v>15</v>
      </c>
      <c r="D175" s="20" t="s">
        <v>22</v>
      </c>
      <c r="E175" s="21">
        <f>ROUND(15010*1.05,2)</f>
      </c>
      <c r="F175" s="20" t="s">
        <v>23</v>
      </c>
      <c r="G175" s="20" t="s">
        <v>24</v>
      </c>
      <c r="H175" s="21">
        <f>ROUND(RAND()*4+6,1)</f>
      </c>
      <c r="I175" s="20" t="s">
        <v>25</v>
      </c>
      <c r="J175" s="23">
        <f>ROUND(84*1,0)&amp;"%"</f>
      </c>
    </row>
    <row x14ac:dyDescent="0.25" r="176" customHeight="1" ht="17.25">
      <c r="A176" s="17" t="s">
        <v>5048</v>
      </c>
      <c r="B176" s="17" t="s">
        <v>300</v>
      </c>
      <c r="C176" s="17" t="s">
        <v>15</v>
      </c>
      <c r="D176" s="17" t="s">
        <v>28</v>
      </c>
      <c r="E176" s="18">
        <f>ROUND(12289*1.05,2)</f>
      </c>
      <c r="F176" s="17" t="s">
        <v>29</v>
      </c>
      <c r="G176" s="17" t="s">
        <v>30</v>
      </c>
      <c r="H176" s="26">
        <f>ROUND(RAND()*4+6,1)</f>
      </c>
      <c r="I176" s="17" t="s">
        <v>31</v>
      </c>
      <c r="J176" s="19">
        <f>ROUND(80*1,0)&amp;"%"</f>
      </c>
    </row>
    <row x14ac:dyDescent="0.25" r="177" customHeight="1" ht="17.25">
      <c r="A177" s="20" t="s">
        <v>5049</v>
      </c>
      <c r="B177" s="20" t="s">
        <v>302</v>
      </c>
      <c r="C177" s="20" t="s">
        <v>15</v>
      </c>
      <c r="D177" s="20" t="s">
        <v>34</v>
      </c>
      <c r="E177" s="21">
        <f>ROUND(14585*1.05,2)</f>
      </c>
      <c r="F177" s="20" t="s">
        <v>35</v>
      </c>
      <c r="G177" s="20" t="s">
        <v>18</v>
      </c>
      <c r="H177" s="21">
        <f>ROUND(RAND()*4+6,1)</f>
      </c>
      <c r="I177" s="20" t="s">
        <v>36</v>
      </c>
      <c r="J177" s="23">
        <f>ROUND(90*1,0)&amp;"%"</f>
      </c>
    </row>
    <row x14ac:dyDescent="0.25" r="178" customHeight="1" ht="17.25">
      <c r="A178" s="17" t="s">
        <v>5050</v>
      </c>
      <c r="B178" s="17" t="s">
        <v>304</v>
      </c>
      <c r="C178" s="17" t="s">
        <v>15</v>
      </c>
      <c r="D178" s="17" t="s">
        <v>39</v>
      </c>
      <c r="E178" s="18">
        <f>ROUND(15930*1.05,2)</f>
      </c>
      <c r="F178" s="17" t="s">
        <v>40</v>
      </c>
      <c r="G178" s="17" t="s">
        <v>24</v>
      </c>
      <c r="H178" s="18">
        <f>ROUND(RAND()*4+6,1)</f>
      </c>
      <c r="I178" s="17" t="s">
        <v>41</v>
      </c>
      <c r="J178" s="19">
        <f>ROUND(66*1,0)&amp;"%"</f>
      </c>
    </row>
    <row x14ac:dyDescent="0.25" r="179" customHeight="1" ht="17.25">
      <c r="A179" s="20" t="s">
        <v>5051</v>
      </c>
      <c r="B179" s="20" t="s">
        <v>306</v>
      </c>
      <c r="C179" s="20" t="s">
        <v>15</v>
      </c>
      <c r="D179" s="20" t="s">
        <v>67</v>
      </c>
      <c r="E179" s="21">
        <f>ROUND(15768*1.05,2)</f>
      </c>
      <c r="F179" s="20" t="s">
        <v>44</v>
      </c>
      <c r="G179" s="20" t="s">
        <v>30</v>
      </c>
      <c r="H179" s="21">
        <f>ROUND(RAND()*4+6,1)</f>
      </c>
      <c r="I179" s="20" t="s">
        <v>45</v>
      </c>
      <c r="J179" s="23">
        <f>ROUND(68*1,0)&amp;"%"</f>
      </c>
    </row>
    <row x14ac:dyDescent="0.25" r="180" customHeight="1" ht="17.25">
      <c r="A180" s="17" t="s">
        <v>5052</v>
      </c>
      <c r="B180" s="17" t="s">
        <v>308</v>
      </c>
      <c r="C180" s="17" t="s">
        <v>15</v>
      </c>
      <c r="D180" s="17" t="s">
        <v>16</v>
      </c>
      <c r="E180" s="18">
        <f>ROUND(12837*1.05,2)</f>
      </c>
      <c r="F180" s="17" t="s">
        <v>48</v>
      </c>
      <c r="G180" s="17" t="s">
        <v>18</v>
      </c>
      <c r="H180" s="18">
        <f>ROUND(RAND()*4+6,1)</f>
      </c>
      <c r="I180" s="17" t="s">
        <v>19</v>
      </c>
      <c r="J180" s="19">
        <f>ROUND(86*1,0)&amp;"%"</f>
      </c>
    </row>
    <row x14ac:dyDescent="0.25" r="181" customHeight="1" ht="17.25">
      <c r="A181" s="20" t="s">
        <v>5053</v>
      </c>
      <c r="B181" s="20" t="s">
        <v>310</v>
      </c>
      <c r="C181" s="20" t="s">
        <v>15</v>
      </c>
      <c r="D181" s="20" t="s">
        <v>22</v>
      </c>
      <c r="E181" s="21">
        <f>ROUND(8335*1.05,2)</f>
      </c>
      <c r="F181" s="20" t="s">
        <v>51</v>
      </c>
      <c r="G181" s="20" t="s">
        <v>24</v>
      </c>
      <c r="H181" s="21">
        <f>ROUND(RAND()*4+6,1)</f>
      </c>
      <c r="I181" s="20" t="s">
        <v>25</v>
      </c>
      <c r="J181" s="23">
        <f>ROUND(86*1,0)&amp;"%"</f>
      </c>
    </row>
    <row x14ac:dyDescent="0.25" r="182" customHeight="1" ht="17.25">
      <c r="A182" s="24" t="s">
        <v>311</v>
      </c>
      <c r="B182" s="24"/>
      <c r="C182" s="24"/>
      <c r="D182" s="24"/>
      <c r="E182" s="25">
        <v>8</v>
      </c>
      <c r="F182" s="9"/>
      <c r="G182" s="9"/>
      <c r="H182" s="10"/>
      <c r="I182" s="9"/>
      <c r="J182" s="9"/>
    </row>
    <row x14ac:dyDescent="0.25" r="183" customHeight="1" ht="17.25">
      <c r="A183" s="7"/>
      <c r="B183" s="7"/>
      <c r="C183" s="7"/>
      <c r="D183" s="7"/>
      <c r="E183" s="8"/>
      <c r="F183" s="9"/>
      <c r="G183" s="9"/>
      <c r="H183" s="10"/>
      <c r="I183" s="9"/>
      <c r="J183" s="9"/>
    </row>
    <row x14ac:dyDescent="0.25" r="184" customHeight="1" ht="17.25">
      <c r="A184" s="11" t="s">
        <v>5054</v>
      </c>
      <c r="B184" s="11"/>
      <c r="C184" s="11"/>
      <c r="D184" s="11"/>
      <c r="E184" s="12"/>
      <c r="F184" s="11"/>
      <c r="G184" s="11"/>
      <c r="H184" s="13"/>
      <c r="I184" s="11"/>
      <c r="J184" s="11"/>
    </row>
    <row x14ac:dyDescent="0.25" r="185" customHeight="1" ht="17.25">
      <c r="A185" s="14" t="s">
        <v>3</v>
      </c>
      <c r="B185" s="14" t="s">
        <v>4</v>
      </c>
      <c r="C185" s="14" t="s">
        <v>5</v>
      </c>
      <c r="D185" s="14" t="s">
        <v>6</v>
      </c>
      <c r="E185" s="15" t="s">
        <v>7</v>
      </c>
      <c r="F185" s="14" t="s">
        <v>8</v>
      </c>
      <c r="G185" s="14" t="s">
        <v>9</v>
      </c>
      <c r="H185" s="16" t="s">
        <v>10</v>
      </c>
      <c r="I185" s="14" t="s">
        <v>11</v>
      </c>
      <c r="J185" s="14" t="s">
        <v>12</v>
      </c>
    </row>
    <row x14ac:dyDescent="0.25" r="186" customHeight="1" ht="17.25">
      <c r="A186" s="17" t="s">
        <v>5055</v>
      </c>
      <c r="B186" s="17" t="s">
        <v>314</v>
      </c>
      <c r="C186" s="17" t="s">
        <v>56</v>
      </c>
      <c r="D186" s="17" t="s">
        <v>16</v>
      </c>
      <c r="E186" s="18">
        <f>ROUND(6962*1.05,2)</f>
      </c>
      <c r="F186" s="17" t="s">
        <v>17</v>
      </c>
      <c r="G186" s="17" t="s">
        <v>18</v>
      </c>
      <c r="H186" s="18">
        <f>ROUND(RAND()*4+6,1)</f>
      </c>
      <c r="I186" s="17" t="s">
        <v>19</v>
      </c>
      <c r="J186" s="19">
        <f>ROUND(81*1,0)&amp;"%"</f>
      </c>
    </row>
    <row x14ac:dyDescent="0.25" r="187" customHeight="1" ht="17.25">
      <c r="A187" s="20" t="s">
        <v>5056</v>
      </c>
      <c r="B187" s="20" t="s">
        <v>316</v>
      </c>
      <c r="C187" s="20" t="s">
        <v>56</v>
      </c>
      <c r="D187" s="20" t="s">
        <v>22</v>
      </c>
      <c r="E187" s="21">
        <f>ROUND(4424*1.05,2)</f>
      </c>
      <c r="F187" s="20" t="s">
        <v>23</v>
      </c>
      <c r="G187" s="20" t="s">
        <v>24</v>
      </c>
      <c r="H187" s="21">
        <f>ROUND(RAND()*4+6,1)</f>
      </c>
      <c r="I187" s="20" t="s">
        <v>25</v>
      </c>
      <c r="J187" s="23">
        <f>ROUND(85*1,0)&amp;"%"</f>
      </c>
    </row>
    <row x14ac:dyDescent="0.25" r="188" customHeight="1" ht="17.25">
      <c r="A188" s="17" t="s">
        <v>5057</v>
      </c>
      <c r="B188" s="17" t="s">
        <v>318</v>
      </c>
      <c r="C188" s="17" t="s">
        <v>56</v>
      </c>
      <c r="D188" s="17" t="s">
        <v>28</v>
      </c>
      <c r="E188" s="18">
        <f>ROUND(9877*1.05,2)</f>
      </c>
      <c r="F188" s="17" t="s">
        <v>29</v>
      </c>
      <c r="G188" s="17" t="s">
        <v>30</v>
      </c>
      <c r="H188" s="26">
        <f>ROUND(RAND()*4+6,1)</f>
      </c>
      <c r="I188" s="17" t="s">
        <v>31</v>
      </c>
      <c r="J188" s="19">
        <f>ROUND(85*1,0)&amp;"%"</f>
      </c>
    </row>
    <row x14ac:dyDescent="0.25" r="189" customHeight="1" ht="17.25">
      <c r="A189" s="20" t="s">
        <v>5058</v>
      </c>
      <c r="B189" s="20" t="s">
        <v>320</v>
      </c>
      <c r="C189" s="20" t="s">
        <v>56</v>
      </c>
      <c r="D189" s="20" t="s">
        <v>34</v>
      </c>
      <c r="E189" s="21">
        <f>ROUND(10964*1.05,2)</f>
      </c>
      <c r="F189" s="20" t="s">
        <v>35</v>
      </c>
      <c r="G189" s="20" t="s">
        <v>18</v>
      </c>
      <c r="H189" s="21">
        <f>ROUND(RAND()*4+6,1)</f>
      </c>
      <c r="I189" s="20" t="s">
        <v>36</v>
      </c>
      <c r="J189" s="23">
        <f>ROUND(92*1,0)&amp;"%"</f>
      </c>
    </row>
    <row x14ac:dyDescent="0.25" r="190" customHeight="1" ht="17.25">
      <c r="A190" s="17" t="s">
        <v>5059</v>
      </c>
      <c r="B190" s="17" t="s">
        <v>322</v>
      </c>
      <c r="C190" s="17" t="s">
        <v>56</v>
      </c>
      <c r="D190" s="17" t="s">
        <v>39</v>
      </c>
      <c r="E190" s="18">
        <f>ROUND(6804*1.05,2)</f>
      </c>
      <c r="F190" s="17" t="s">
        <v>40</v>
      </c>
      <c r="G190" s="17" t="s">
        <v>24</v>
      </c>
      <c r="H190" s="18">
        <f>ROUND(RAND()*4+6,1)</f>
      </c>
      <c r="I190" s="17" t="s">
        <v>41</v>
      </c>
      <c r="J190" s="19">
        <f>ROUND(99*1,0)&amp;"%"</f>
      </c>
    </row>
    <row x14ac:dyDescent="0.25" r="191" customHeight="1" ht="17.25">
      <c r="A191" s="20" t="s">
        <v>5060</v>
      </c>
      <c r="B191" s="20" t="s">
        <v>324</v>
      </c>
      <c r="C191" s="20" t="s">
        <v>56</v>
      </c>
      <c r="D191" s="20" t="s">
        <v>67</v>
      </c>
      <c r="E191" s="21">
        <f>ROUND(6093*1.05,2)</f>
      </c>
      <c r="F191" s="20" t="s">
        <v>44</v>
      </c>
      <c r="G191" s="20" t="s">
        <v>30</v>
      </c>
      <c r="H191" s="22">
        <f>ROUND(RAND()*4+6,1)</f>
      </c>
      <c r="I191" s="20" t="s">
        <v>45</v>
      </c>
      <c r="J191" s="23">
        <f>ROUND(85*1,0)&amp;"%"</f>
      </c>
    </row>
    <row x14ac:dyDescent="0.25" r="192" customHeight="1" ht="17.25">
      <c r="A192" s="17" t="s">
        <v>5061</v>
      </c>
      <c r="B192" s="17" t="s">
        <v>326</v>
      </c>
      <c r="C192" s="17" t="s">
        <v>56</v>
      </c>
      <c r="D192" s="17" t="s">
        <v>16</v>
      </c>
      <c r="E192" s="18">
        <f>ROUND(4508*1.05,2)</f>
      </c>
      <c r="F192" s="17" t="s">
        <v>48</v>
      </c>
      <c r="G192" s="17" t="s">
        <v>18</v>
      </c>
      <c r="H192" s="26">
        <f>ROUND(RAND()*4+6,1)</f>
      </c>
      <c r="I192" s="17" t="s">
        <v>19</v>
      </c>
      <c r="J192" s="19">
        <f>ROUND(97*1,0)&amp;"%"</f>
      </c>
    </row>
    <row x14ac:dyDescent="0.25" r="193" customHeight="1" ht="17.25">
      <c r="A193" s="20" t="s">
        <v>5062</v>
      </c>
      <c r="B193" s="20" t="s">
        <v>328</v>
      </c>
      <c r="C193" s="20" t="s">
        <v>56</v>
      </c>
      <c r="D193" s="20" t="s">
        <v>22</v>
      </c>
      <c r="E193" s="21">
        <f>ROUND(11857*1.05,2)</f>
      </c>
      <c r="F193" s="20" t="s">
        <v>51</v>
      </c>
      <c r="G193" s="20" t="s">
        <v>24</v>
      </c>
      <c r="H193" s="21">
        <f>ROUND(RAND()*4+6,1)</f>
      </c>
      <c r="I193" s="20" t="s">
        <v>25</v>
      </c>
      <c r="J193" s="23">
        <f>ROUND(86*1,0)&amp;"%"</f>
      </c>
    </row>
    <row x14ac:dyDescent="0.25" r="194" customHeight="1" ht="17.25">
      <c r="A194" s="24" t="s">
        <v>329</v>
      </c>
      <c r="B194" s="24"/>
      <c r="C194" s="24"/>
      <c r="D194" s="24"/>
      <c r="E194" s="25">
        <v>8</v>
      </c>
      <c r="F194" s="9"/>
      <c r="G194" s="9"/>
      <c r="H194" s="10"/>
      <c r="I194" s="9"/>
      <c r="J194" s="9"/>
    </row>
    <row x14ac:dyDescent="0.25" r="195" customHeight="1" ht="17.25">
      <c r="A195" s="7"/>
      <c r="B195" s="7"/>
      <c r="C195" s="7"/>
      <c r="D195" s="7"/>
      <c r="E195" s="8"/>
      <c r="F195" s="9"/>
      <c r="G195" s="9"/>
      <c r="H195" s="10"/>
      <c r="I195" s="9"/>
      <c r="J195" s="9"/>
    </row>
    <row x14ac:dyDescent="0.25" r="196" customHeight="1" ht="17.25">
      <c r="A196" s="11" t="s">
        <v>5063</v>
      </c>
      <c r="B196" s="11"/>
      <c r="C196" s="11"/>
      <c r="D196" s="11"/>
      <c r="E196" s="12"/>
      <c r="F196" s="11"/>
      <c r="G196" s="11"/>
      <c r="H196" s="13"/>
      <c r="I196" s="11"/>
      <c r="J196" s="11"/>
    </row>
    <row x14ac:dyDescent="0.25" r="197" customHeight="1" ht="17.25">
      <c r="A197" s="14" t="s">
        <v>3</v>
      </c>
      <c r="B197" s="14" t="s">
        <v>4</v>
      </c>
      <c r="C197" s="14" t="s">
        <v>5</v>
      </c>
      <c r="D197" s="14" t="s">
        <v>6</v>
      </c>
      <c r="E197" s="15" t="s">
        <v>7</v>
      </c>
      <c r="F197" s="14" t="s">
        <v>8</v>
      </c>
      <c r="G197" s="14" t="s">
        <v>9</v>
      </c>
      <c r="H197" s="16" t="s">
        <v>10</v>
      </c>
      <c r="I197" s="14" t="s">
        <v>11</v>
      </c>
      <c r="J197" s="14" t="s">
        <v>12</v>
      </c>
    </row>
    <row x14ac:dyDescent="0.25" r="198" customHeight="1" ht="17.25">
      <c r="A198" s="17" t="s">
        <v>5064</v>
      </c>
      <c r="B198" s="17" t="s">
        <v>332</v>
      </c>
      <c r="C198" s="17" t="s">
        <v>76</v>
      </c>
      <c r="D198" s="17" t="s">
        <v>16</v>
      </c>
      <c r="E198" s="18">
        <f>ROUND(14246*1.05,2)</f>
      </c>
      <c r="F198" s="17" t="s">
        <v>17</v>
      </c>
      <c r="G198" s="17" t="s">
        <v>18</v>
      </c>
      <c r="H198" s="18">
        <f>ROUND(RAND()*4+6,1)</f>
      </c>
      <c r="I198" s="17" t="s">
        <v>19</v>
      </c>
      <c r="J198" s="19">
        <f>ROUND(92*1,0)&amp;"%"</f>
      </c>
    </row>
    <row x14ac:dyDescent="0.25" r="199" customHeight="1" ht="17.25">
      <c r="A199" s="20" t="s">
        <v>5065</v>
      </c>
      <c r="B199" s="20" t="s">
        <v>334</v>
      </c>
      <c r="C199" s="20" t="s">
        <v>76</v>
      </c>
      <c r="D199" s="20" t="s">
        <v>22</v>
      </c>
      <c r="E199" s="21">
        <f>ROUND(16635*1.05,2)</f>
      </c>
      <c r="F199" s="20" t="s">
        <v>23</v>
      </c>
      <c r="G199" s="20" t="s">
        <v>24</v>
      </c>
      <c r="H199" s="22">
        <f>ROUND(RAND()*4+6,1)</f>
      </c>
      <c r="I199" s="20" t="s">
        <v>25</v>
      </c>
      <c r="J199" s="23">
        <f>ROUND(73*1,0)&amp;"%"</f>
      </c>
    </row>
    <row x14ac:dyDescent="0.25" r="200" customHeight="1" ht="17.25">
      <c r="A200" s="17" t="s">
        <v>5066</v>
      </c>
      <c r="B200" s="17" t="s">
        <v>336</v>
      </c>
      <c r="C200" s="17" t="s">
        <v>76</v>
      </c>
      <c r="D200" s="17" t="s">
        <v>28</v>
      </c>
      <c r="E200" s="18">
        <f>ROUND(8244*1.05,2)</f>
      </c>
      <c r="F200" s="17" t="s">
        <v>29</v>
      </c>
      <c r="G200" s="17" t="s">
        <v>30</v>
      </c>
      <c r="H200" s="18">
        <f>ROUND(RAND()*4+6,1)</f>
      </c>
      <c r="I200" s="17" t="s">
        <v>31</v>
      </c>
      <c r="J200" s="19">
        <f>ROUND(68*1,0)&amp;"%"</f>
      </c>
    </row>
    <row x14ac:dyDescent="0.25" r="201" customHeight="1" ht="17.25">
      <c r="A201" s="20" t="s">
        <v>5067</v>
      </c>
      <c r="B201" s="20" t="s">
        <v>338</v>
      </c>
      <c r="C201" s="20" t="s">
        <v>76</v>
      </c>
      <c r="D201" s="20" t="s">
        <v>34</v>
      </c>
      <c r="E201" s="21">
        <f>ROUND(6779*1.05,2)</f>
      </c>
      <c r="F201" s="20" t="s">
        <v>35</v>
      </c>
      <c r="G201" s="20" t="s">
        <v>18</v>
      </c>
      <c r="H201" s="21">
        <f>ROUND(RAND()*4+6,1)</f>
      </c>
      <c r="I201" s="20" t="s">
        <v>36</v>
      </c>
      <c r="J201" s="23">
        <f>ROUND(82*1,0)&amp;"%"</f>
      </c>
    </row>
    <row x14ac:dyDescent="0.25" r="202" customHeight="1" ht="17.25">
      <c r="A202" s="17" t="s">
        <v>5068</v>
      </c>
      <c r="B202" s="17" t="s">
        <v>340</v>
      </c>
      <c r="C202" s="17" t="s">
        <v>76</v>
      </c>
      <c r="D202" s="17" t="s">
        <v>39</v>
      </c>
      <c r="E202" s="18">
        <f>ROUND(8804*1.05,2)</f>
      </c>
      <c r="F202" s="17" t="s">
        <v>40</v>
      </c>
      <c r="G202" s="17" t="s">
        <v>24</v>
      </c>
      <c r="H202" s="18">
        <f>ROUND(RAND()*4+6,1)</f>
      </c>
      <c r="I202" s="17" t="s">
        <v>41</v>
      </c>
      <c r="J202" s="19">
        <f>ROUND(93*1,0)&amp;"%"</f>
      </c>
    </row>
    <row x14ac:dyDescent="0.25" r="203" customHeight="1" ht="17.25">
      <c r="A203" s="20" t="s">
        <v>5069</v>
      </c>
      <c r="B203" s="20" t="s">
        <v>342</v>
      </c>
      <c r="C203" s="20" t="s">
        <v>76</v>
      </c>
      <c r="D203" s="20" t="s">
        <v>67</v>
      </c>
      <c r="E203" s="21">
        <f>ROUND(8265*1.05,2)</f>
      </c>
      <c r="F203" s="20" t="s">
        <v>44</v>
      </c>
      <c r="G203" s="20" t="s">
        <v>30</v>
      </c>
      <c r="H203" s="21">
        <f>ROUND(RAND()*4+6,1)</f>
      </c>
      <c r="I203" s="20" t="s">
        <v>45</v>
      </c>
      <c r="J203" s="23">
        <f>ROUND(68*1,0)&amp;"%"</f>
      </c>
    </row>
    <row x14ac:dyDescent="0.25" r="204" customHeight="1" ht="17.25">
      <c r="A204" s="17" t="s">
        <v>5070</v>
      </c>
      <c r="B204" s="17" t="s">
        <v>344</v>
      </c>
      <c r="C204" s="17" t="s">
        <v>76</v>
      </c>
      <c r="D204" s="17" t="s">
        <v>16</v>
      </c>
      <c r="E204" s="18">
        <f>ROUND(9188*1.05,2)</f>
      </c>
      <c r="F204" s="17" t="s">
        <v>48</v>
      </c>
      <c r="G204" s="17" t="s">
        <v>18</v>
      </c>
      <c r="H204" s="18">
        <f>ROUND(RAND()*4+6,1)</f>
      </c>
      <c r="I204" s="17" t="s">
        <v>19</v>
      </c>
      <c r="J204" s="19">
        <f>ROUND(100*1,0)&amp;"%"</f>
      </c>
    </row>
    <row x14ac:dyDescent="0.25" r="205" customHeight="1" ht="17.25">
      <c r="A205" s="20" t="s">
        <v>5071</v>
      </c>
      <c r="B205" s="20" t="s">
        <v>346</v>
      </c>
      <c r="C205" s="20" t="s">
        <v>76</v>
      </c>
      <c r="D205" s="20" t="s">
        <v>22</v>
      </c>
      <c r="E205" s="21">
        <f>ROUND(4407*1.05,2)</f>
      </c>
      <c r="F205" s="20" t="s">
        <v>51</v>
      </c>
      <c r="G205" s="20" t="s">
        <v>24</v>
      </c>
      <c r="H205" s="21">
        <f>ROUND(RAND()*4+6,1)</f>
      </c>
      <c r="I205" s="20" t="s">
        <v>25</v>
      </c>
      <c r="J205" s="23">
        <f>ROUND(66*1,0)&amp;"%"</f>
      </c>
    </row>
    <row x14ac:dyDescent="0.25" r="206" customHeight="1" ht="17.25">
      <c r="A206" s="24" t="s">
        <v>347</v>
      </c>
      <c r="B206" s="24"/>
      <c r="C206" s="24"/>
      <c r="D206" s="24"/>
      <c r="E206" s="25">
        <v>8</v>
      </c>
      <c r="F206" s="9"/>
      <c r="G206" s="9"/>
      <c r="H206" s="10"/>
      <c r="I206" s="9"/>
      <c r="J206" s="9"/>
    </row>
    <row x14ac:dyDescent="0.25" r="207" customHeight="1" ht="17.25">
      <c r="A207" s="7"/>
      <c r="B207" s="7"/>
      <c r="C207" s="7"/>
      <c r="D207" s="7"/>
      <c r="E207" s="8"/>
      <c r="F207" s="9"/>
      <c r="G207" s="9"/>
      <c r="H207" s="10"/>
      <c r="I207" s="9"/>
      <c r="J207" s="9"/>
    </row>
    <row x14ac:dyDescent="0.25" r="208" customHeight="1" ht="17.25">
      <c r="A208" s="11" t="s">
        <v>5072</v>
      </c>
      <c r="B208" s="11"/>
      <c r="C208" s="11"/>
      <c r="D208" s="11"/>
      <c r="E208" s="12"/>
      <c r="F208" s="11"/>
      <c r="G208" s="11"/>
      <c r="H208" s="13"/>
      <c r="I208" s="11"/>
      <c r="J208" s="11"/>
    </row>
    <row x14ac:dyDescent="0.25" r="209" customHeight="1" ht="17.25">
      <c r="A209" s="14" t="s">
        <v>3</v>
      </c>
      <c r="B209" s="14" t="s">
        <v>4</v>
      </c>
      <c r="C209" s="14" t="s">
        <v>5</v>
      </c>
      <c r="D209" s="14" t="s">
        <v>6</v>
      </c>
      <c r="E209" s="15" t="s">
        <v>7</v>
      </c>
      <c r="F209" s="14" t="s">
        <v>8</v>
      </c>
      <c r="G209" s="14" t="s">
        <v>9</v>
      </c>
      <c r="H209" s="16" t="s">
        <v>10</v>
      </c>
      <c r="I209" s="14" t="s">
        <v>11</v>
      </c>
      <c r="J209" s="14" t="s">
        <v>12</v>
      </c>
    </row>
    <row x14ac:dyDescent="0.25" r="210" customHeight="1" ht="17.25">
      <c r="A210" s="17" t="s">
        <v>5073</v>
      </c>
      <c r="B210" s="17" t="s">
        <v>350</v>
      </c>
      <c r="C210" s="17" t="s">
        <v>95</v>
      </c>
      <c r="D210" s="17" t="s">
        <v>16</v>
      </c>
      <c r="E210" s="18">
        <f>ROUND(12034*1.05,2)</f>
      </c>
      <c r="F210" s="17" t="s">
        <v>17</v>
      </c>
      <c r="G210" s="17" t="s">
        <v>18</v>
      </c>
      <c r="H210" s="18">
        <f>ROUND(RAND()*4+6,1)</f>
      </c>
      <c r="I210" s="17" t="s">
        <v>19</v>
      </c>
      <c r="J210" s="19">
        <f>ROUND(84*1,0)&amp;"%"</f>
      </c>
    </row>
    <row x14ac:dyDescent="0.25" r="211" customHeight="1" ht="17.25">
      <c r="A211" s="20" t="s">
        <v>5074</v>
      </c>
      <c r="B211" s="20" t="s">
        <v>352</v>
      </c>
      <c r="C211" s="20" t="s">
        <v>95</v>
      </c>
      <c r="D211" s="20" t="s">
        <v>22</v>
      </c>
      <c r="E211" s="21">
        <f>ROUND(5542*1.05,2)</f>
      </c>
      <c r="F211" s="20" t="s">
        <v>23</v>
      </c>
      <c r="G211" s="20" t="s">
        <v>24</v>
      </c>
      <c r="H211" s="21">
        <f>ROUND(RAND()*4+6,1)</f>
      </c>
      <c r="I211" s="20" t="s">
        <v>25</v>
      </c>
      <c r="J211" s="23">
        <f>ROUND(67*1,0)&amp;"%"</f>
      </c>
    </row>
    <row x14ac:dyDescent="0.25" r="212" customHeight="1" ht="17.25">
      <c r="A212" s="17" t="s">
        <v>5075</v>
      </c>
      <c r="B212" s="17" t="s">
        <v>354</v>
      </c>
      <c r="C212" s="17" t="s">
        <v>95</v>
      </c>
      <c r="D212" s="17" t="s">
        <v>28</v>
      </c>
      <c r="E212" s="18">
        <f>ROUND(10877*1.05,2)</f>
      </c>
      <c r="F212" s="17" t="s">
        <v>29</v>
      </c>
      <c r="G212" s="17" t="s">
        <v>30</v>
      </c>
      <c r="H212" s="18">
        <f>ROUND(RAND()*4+6,1)</f>
      </c>
      <c r="I212" s="17" t="s">
        <v>31</v>
      </c>
      <c r="J212" s="19">
        <f>ROUND(88*1,0)&amp;"%"</f>
      </c>
    </row>
    <row x14ac:dyDescent="0.25" r="213" customHeight="1" ht="17.25">
      <c r="A213" s="20" t="s">
        <v>5076</v>
      </c>
      <c r="B213" s="20" t="s">
        <v>356</v>
      </c>
      <c r="C213" s="20" t="s">
        <v>95</v>
      </c>
      <c r="D213" s="20" t="s">
        <v>34</v>
      </c>
      <c r="E213" s="21">
        <f>ROUND(14846*1.05,2)</f>
      </c>
      <c r="F213" s="20" t="s">
        <v>35</v>
      </c>
      <c r="G213" s="20" t="s">
        <v>18</v>
      </c>
      <c r="H213" s="21">
        <f>ROUND(RAND()*4+6,1)</f>
      </c>
      <c r="I213" s="20" t="s">
        <v>36</v>
      </c>
      <c r="J213" s="23">
        <f>ROUND(83*1,0)&amp;"%"</f>
      </c>
    </row>
    <row x14ac:dyDescent="0.25" r="214" customHeight="1" ht="17.25">
      <c r="A214" s="17" t="s">
        <v>5077</v>
      </c>
      <c r="B214" s="17" t="s">
        <v>358</v>
      </c>
      <c r="C214" s="17" t="s">
        <v>95</v>
      </c>
      <c r="D214" s="17" t="s">
        <v>39</v>
      </c>
      <c r="E214" s="18">
        <f>ROUND(10857*1.05,2)</f>
      </c>
      <c r="F214" s="17" t="s">
        <v>40</v>
      </c>
      <c r="G214" s="17" t="s">
        <v>24</v>
      </c>
      <c r="H214" s="18">
        <f>ROUND(RAND()*4+6,1)</f>
      </c>
      <c r="I214" s="17" t="s">
        <v>41</v>
      </c>
      <c r="J214" s="19">
        <f>ROUND(88*1,0)&amp;"%"</f>
      </c>
    </row>
    <row x14ac:dyDescent="0.25" r="215" customHeight="1" ht="17.25">
      <c r="A215" s="20" t="s">
        <v>5078</v>
      </c>
      <c r="B215" s="20" t="s">
        <v>360</v>
      </c>
      <c r="C215" s="20" t="s">
        <v>95</v>
      </c>
      <c r="D215" s="20" t="s">
        <v>67</v>
      </c>
      <c r="E215" s="21">
        <f>ROUND(13655*1.05,2)</f>
      </c>
      <c r="F215" s="20" t="s">
        <v>44</v>
      </c>
      <c r="G215" s="20" t="s">
        <v>30</v>
      </c>
      <c r="H215" s="22">
        <f>ROUND(RAND()*4+6,1)</f>
      </c>
      <c r="I215" s="20" t="s">
        <v>45</v>
      </c>
      <c r="J215" s="23">
        <f>ROUND(83*1,0)&amp;"%"</f>
      </c>
    </row>
    <row x14ac:dyDescent="0.25" r="216" customHeight="1" ht="17.25">
      <c r="A216" s="17" t="s">
        <v>5079</v>
      </c>
      <c r="B216" s="17" t="s">
        <v>362</v>
      </c>
      <c r="C216" s="17" t="s">
        <v>95</v>
      </c>
      <c r="D216" s="17" t="s">
        <v>16</v>
      </c>
      <c r="E216" s="18">
        <f>ROUND(8559*1.05,2)</f>
      </c>
      <c r="F216" s="17" t="s">
        <v>48</v>
      </c>
      <c r="G216" s="17" t="s">
        <v>18</v>
      </c>
      <c r="H216" s="18">
        <f>ROUND(RAND()*4+6,1)</f>
      </c>
      <c r="I216" s="17" t="s">
        <v>19</v>
      </c>
      <c r="J216" s="19">
        <f>ROUND(62*1,0)&amp;"%"</f>
      </c>
    </row>
    <row x14ac:dyDescent="0.25" r="217" customHeight="1" ht="17.25">
      <c r="A217" s="20" t="s">
        <v>5080</v>
      </c>
      <c r="B217" s="20" t="s">
        <v>364</v>
      </c>
      <c r="C217" s="20" t="s">
        <v>95</v>
      </c>
      <c r="D217" s="20" t="s">
        <v>22</v>
      </c>
      <c r="E217" s="21">
        <f>ROUND(14093*1.05,2)</f>
      </c>
      <c r="F217" s="20" t="s">
        <v>51</v>
      </c>
      <c r="G217" s="20" t="s">
        <v>24</v>
      </c>
      <c r="H217" s="22">
        <f>ROUND(RAND()*4+6,1)</f>
      </c>
      <c r="I217" s="20" t="s">
        <v>25</v>
      </c>
      <c r="J217" s="23">
        <f>ROUND(79*1,0)&amp;"%"</f>
      </c>
    </row>
    <row x14ac:dyDescent="0.25" r="218" customHeight="1" ht="17.25">
      <c r="A218" s="24" t="s">
        <v>365</v>
      </c>
      <c r="B218" s="24"/>
      <c r="C218" s="24"/>
      <c r="D218" s="24"/>
      <c r="E218" s="25">
        <v>8</v>
      </c>
      <c r="F218" s="9"/>
      <c r="G218" s="9"/>
      <c r="H218" s="10"/>
      <c r="I218" s="9"/>
      <c r="J218" s="9"/>
    </row>
    <row x14ac:dyDescent="0.25" r="219" customHeight="1" ht="17.25">
      <c r="A219" s="7"/>
      <c r="B219" s="7"/>
      <c r="C219" s="7"/>
      <c r="D219" s="7"/>
      <c r="E219" s="8"/>
      <c r="F219" s="9"/>
      <c r="G219" s="9"/>
      <c r="H219" s="10"/>
      <c r="I219" s="9"/>
      <c r="J219" s="9"/>
    </row>
    <row x14ac:dyDescent="0.25" r="220" customHeight="1" ht="17.25">
      <c r="A220" s="11" t="s">
        <v>5081</v>
      </c>
      <c r="B220" s="11"/>
      <c r="C220" s="11"/>
      <c r="D220" s="11"/>
      <c r="E220" s="12"/>
      <c r="F220" s="11"/>
      <c r="G220" s="11"/>
      <c r="H220" s="13"/>
      <c r="I220" s="11"/>
      <c r="J220" s="11"/>
    </row>
    <row x14ac:dyDescent="0.25" r="221" customHeight="1" ht="17.25">
      <c r="A221" s="14" t="s">
        <v>3</v>
      </c>
      <c r="B221" s="14" t="s">
        <v>4</v>
      </c>
      <c r="C221" s="14" t="s">
        <v>5</v>
      </c>
      <c r="D221" s="14" t="s">
        <v>6</v>
      </c>
      <c r="E221" s="15" t="s">
        <v>7</v>
      </c>
      <c r="F221" s="14" t="s">
        <v>8</v>
      </c>
      <c r="G221" s="14" t="s">
        <v>9</v>
      </c>
      <c r="H221" s="16" t="s">
        <v>10</v>
      </c>
      <c r="I221" s="14" t="s">
        <v>11</v>
      </c>
      <c r="J221" s="14" t="s">
        <v>12</v>
      </c>
    </row>
    <row x14ac:dyDescent="0.25" r="222" customHeight="1" ht="17.25">
      <c r="A222" s="17" t="s">
        <v>5082</v>
      </c>
      <c r="B222" s="17" t="s">
        <v>368</v>
      </c>
      <c r="C222" s="17" t="s">
        <v>114</v>
      </c>
      <c r="D222" s="17" t="s">
        <v>16</v>
      </c>
      <c r="E222" s="18">
        <f>ROUND(14293*1.05,2)</f>
      </c>
      <c r="F222" s="17" t="s">
        <v>17</v>
      </c>
      <c r="G222" s="17" t="s">
        <v>18</v>
      </c>
      <c r="H222" s="18">
        <f>ROUND(RAND()*4+6,1)</f>
      </c>
      <c r="I222" s="17" t="s">
        <v>19</v>
      </c>
      <c r="J222" s="19">
        <f>ROUND(87*1,0)&amp;"%"</f>
      </c>
    </row>
    <row x14ac:dyDescent="0.25" r="223" customHeight="1" ht="17.25">
      <c r="A223" s="20" t="s">
        <v>5083</v>
      </c>
      <c r="B223" s="20" t="s">
        <v>370</v>
      </c>
      <c r="C223" s="20" t="s">
        <v>114</v>
      </c>
      <c r="D223" s="20" t="s">
        <v>22</v>
      </c>
      <c r="E223" s="21">
        <f>ROUND(13151*1.05,2)</f>
      </c>
      <c r="F223" s="20" t="s">
        <v>23</v>
      </c>
      <c r="G223" s="20" t="s">
        <v>24</v>
      </c>
      <c r="H223" s="22">
        <f>ROUND(RAND()*4+6,1)</f>
      </c>
      <c r="I223" s="20" t="s">
        <v>25</v>
      </c>
      <c r="J223" s="23">
        <f>ROUND(84*1,0)&amp;"%"</f>
      </c>
    </row>
    <row x14ac:dyDescent="0.25" r="224" customHeight="1" ht="17.25">
      <c r="A224" s="17" t="s">
        <v>5084</v>
      </c>
      <c r="B224" s="17" t="s">
        <v>372</v>
      </c>
      <c r="C224" s="17" t="s">
        <v>114</v>
      </c>
      <c r="D224" s="17" t="s">
        <v>28</v>
      </c>
      <c r="E224" s="18">
        <f>ROUND(5910*1.05,2)</f>
      </c>
      <c r="F224" s="17" t="s">
        <v>29</v>
      </c>
      <c r="G224" s="17" t="s">
        <v>30</v>
      </c>
      <c r="H224" s="18">
        <f>ROUND(RAND()*4+6,1)</f>
      </c>
      <c r="I224" s="17" t="s">
        <v>31</v>
      </c>
      <c r="J224" s="19">
        <f>ROUND(62*1,0)&amp;"%"</f>
      </c>
    </row>
    <row x14ac:dyDescent="0.25" r="225" customHeight="1" ht="17.25">
      <c r="A225" s="20" t="s">
        <v>5085</v>
      </c>
      <c r="B225" s="20" t="s">
        <v>374</v>
      </c>
      <c r="C225" s="20" t="s">
        <v>114</v>
      </c>
      <c r="D225" s="20" t="s">
        <v>34</v>
      </c>
      <c r="E225" s="21">
        <f>ROUND(13635*1.05,2)</f>
      </c>
      <c r="F225" s="20" t="s">
        <v>35</v>
      </c>
      <c r="G225" s="20" t="s">
        <v>18</v>
      </c>
      <c r="H225" s="21">
        <f>ROUND(RAND()*4+6,1)</f>
      </c>
      <c r="I225" s="20" t="s">
        <v>36</v>
      </c>
      <c r="J225" s="23">
        <f>ROUND(94*1,0)&amp;"%"</f>
      </c>
    </row>
    <row x14ac:dyDescent="0.25" r="226" customHeight="1" ht="17.25">
      <c r="A226" s="17" t="s">
        <v>5086</v>
      </c>
      <c r="B226" s="17" t="s">
        <v>376</v>
      </c>
      <c r="C226" s="17" t="s">
        <v>114</v>
      </c>
      <c r="D226" s="17" t="s">
        <v>39</v>
      </c>
      <c r="E226" s="18">
        <f>ROUND(13272*1.05,2)</f>
      </c>
      <c r="F226" s="17" t="s">
        <v>40</v>
      </c>
      <c r="G226" s="17" t="s">
        <v>24</v>
      </c>
      <c r="H226" s="18">
        <f>ROUND(RAND()*4+6,1)</f>
      </c>
      <c r="I226" s="17" t="s">
        <v>41</v>
      </c>
      <c r="J226" s="19">
        <f>ROUND(75*1,0)&amp;"%"</f>
      </c>
    </row>
    <row x14ac:dyDescent="0.25" r="227" customHeight="1" ht="17.25">
      <c r="A227" s="20" t="s">
        <v>5087</v>
      </c>
      <c r="B227" s="20" t="s">
        <v>378</v>
      </c>
      <c r="C227" s="20" t="s">
        <v>114</v>
      </c>
      <c r="D227" s="20" t="s">
        <v>67</v>
      </c>
      <c r="E227" s="21">
        <f>ROUND(12945*1.05,2)</f>
      </c>
      <c r="F227" s="20" t="s">
        <v>44</v>
      </c>
      <c r="G227" s="20" t="s">
        <v>30</v>
      </c>
      <c r="H227" s="21">
        <f>ROUND(RAND()*4+6,1)</f>
      </c>
      <c r="I227" s="20" t="s">
        <v>45</v>
      </c>
      <c r="J227" s="23">
        <f>ROUND(85*1,0)&amp;"%"</f>
      </c>
    </row>
    <row x14ac:dyDescent="0.25" r="228" customHeight="1" ht="17.25">
      <c r="A228" s="17" t="s">
        <v>5088</v>
      </c>
      <c r="B228" s="17" t="s">
        <v>380</v>
      </c>
      <c r="C228" s="17" t="s">
        <v>114</v>
      </c>
      <c r="D228" s="17" t="s">
        <v>16</v>
      </c>
      <c r="E228" s="18">
        <f>ROUND(13865*1.05,2)</f>
      </c>
      <c r="F228" s="17" t="s">
        <v>48</v>
      </c>
      <c r="G228" s="17" t="s">
        <v>18</v>
      </c>
      <c r="H228" s="18">
        <f>ROUND(RAND()*4+6,1)</f>
      </c>
      <c r="I228" s="17" t="s">
        <v>19</v>
      </c>
      <c r="J228" s="19">
        <f>ROUND(76*1,0)&amp;"%"</f>
      </c>
    </row>
    <row x14ac:dyDescent="0.25" r="229" customHeight="1" ht="17.25">
      <c r="A229" s="20" t="s">
        <v>5089</v>
      </c>
      <c r="B229" s="20" t="s">
        <v>382</v>
      </c>
      <c r="C229" s="20" t="s">
        <v>114</v>
      </c>
      <c r="D229" s="20" t="s">
        <v>22</v>
      </c>
      <c r="E229" s="21">
        <f>ROUND(5045*1.05,2)</f>
      </c>
      <c r="F229" s="20" t="s">
        <v>51</v>
      </c>
      <c r="G229" s="20" t="s">
        <v>24</v>
      </c>
      <c r="H229" s="21">
        <f>ROUND(RAND()*4+6,1)</f>
      </c>
      <c r="I229" s="20" t="s">
        <v>25</v>
      </c>
      <c r="J229" s="23">
        <f>ROUND(98*1,0)&amp;"%"</f>
      </c>
    </row>
    <row x14ac:dyDescent="0.25" r="230" customHeight="1" ht="17.25">
      <c r="A230" s="24" t="s">
        <v>383</v>
      </c>
      <c r="B230" s="24"/>
      <c r="C230" s="24"/>
      <c r="D230" s="24"/>
      <c r="E230" s="25">
        <v>8</v>
      </c>
      <c r="F230" s="9"/>
      <c r="G230" s="9"/>
      <c r="H230" s="10"/>
      <c r="I230" s="9"/>
      <c r="J230" s="9"/>
    </row>
    <row x14ac:dyDescent="0.25" r="231" customHeight="1" ht="17.25">
      <c r="A231" s="7"/>
      <c r="B231" s="7"/>
      <c r="C231" s="7"/>
      <c r="D231" s="7"/>
      <c r="E231" s="8"/>
      <c r="F231" s="9"/>
      <c r="G231" s="9"/>
      <c r="H231" s="10"/>
      <c r="I231" s="9"/>
      <c r="J231" s="9"/>
    </row>
    <row x14ac:dyDescent="0.25" r="232" customHeight="1" ht="17.25">
      <c r="A232" s="11" t="s">
        <v>5090</v>
      </c>
      <c r="B232" s="11"/>
      <c r="C232" s="11"/>
      <c r="D232" s="11"/>
      <c r="E232" s="12"/>
      <c r="F232" s="11"/>
      <c r="G232" s="11"/>
      <c r="H232" s="13"/>
      <c r="I232" s="11"/>
      <c r="J232" s="11"/>
    </row>
    <row x14ac:dyDescent="0.25" r="233" customHeight="1" ht="17.25">
      <c r="A233" s="14" t="s">
        <v>3</v>
      </c>
      <c r="B233" s="14" t="s">
        <v>4</v>
      </c>
      <c r="C233" s="14" t="s">
        <v>5</v>
      </c>
      <c r="D233" s="14" t="s">
        <v>6</v>
      </c>
      <c r="E233" s="15" t="s">
        <v>7</v>
      </c>
      <c r="F233" s="14" t="s">
        <v>8</v>
      </c>
      <c r="G233" s="14" t="s">
        <v>9</v>
      </c>
      <c r="H233" s="16" t="s">
        <v>10</v>
      </c>
      <c r="I233" s="14" t="s">
        <v>11</v>
      </c>
      <c r="J233" s="14" t="s">
        <v>12</v>
      </c>
    </row>
    <row x14ac:dyDescent="0.25" r="234" customHeight="1" ht="17.25">
      <c r="A234" s="17" t="s">
        <v>5091</v>
      </c>
      <c r="B234" s="17" t="s">
        <v>386</v>
      </c>
      <c r="C234" s="17" t="s">
        <v>133</v>
      </c>
      <c r="D234" s="17" t="s">
        <v>16</v>
      </c>
      <c r="E234" s="18">
        <f>ROUND(17433*1.05,2)</f>
      </c>
      <c r="F234" s="17" t="s">
        <v>17</v>
      </c>
      <c r="G234" s="17" t="s">
        <v>18</v>
      </c>
      <c r="H234" s="18">
        <f>ROUND(RAND()*4+6,1)</f>
      </c>
      <c r="I234" s="17" t="s">
        <v>19</v>
      </c>
      <c r="J234" s="19">
        <f>ROUND(61*1,0)&amp;"%"</f>
      </c>
    </row>
    <row x14ac:dyDescent="0.25" r="235" customHeight="1" ht="17.25">
      <c r="A235" s="20" t="s">
        <v>5092</v>
      </c>
      <c r="B235" s="20" t="s">
        <v>388</v>
      </c>
      <c r="C235" s="20" t="s">
        <v>133</v>
      </c>
      <c r="D235" s="20" t="s">
        <v>22</v>
      </c>
      <c r="E235" s="21">
        <f>ROUND(6733*1.05,2)</f>
      </c>
      <c r="F235" s="20" t="s">
        <v>23</v>
      </c>
      <c r="G235" s="20" t="s">
        <v>24</v>
      </c>
      <c r="H235" s="21">
        <f>ROUND(RAND()*4+6,1)</f>
      </c>
      <c r="I235" s="20" t="s">
        <v>25</v>
      </c>
      <c r="J235" s="23">
        <f>ROUND(80*1,0)&amp;"%"</f>
      </c>
    </row>
    <row x14ac:dyDescent="0.25" r="236" customHeight="1" ht="17.25">
      <c r="A236" s="17" t="s">
        <v>5093</v>
      </c>
      <c r="B236" s="17" t="s">
        <v>390</v>
      </c>
      <c r="C236" s="17" t="s">
        <v>133</v>
      </c>
      <c r="D236" s="17" t="s">
        <v>28</v>
      </c>
      <c r="E236" s="26">
        <f>ROUND(4580*1.05,2)</f>
      </c>
      <c r="F236" s="17" t="s">
        <v>29</v>
      </c>
      <c r="G236" s="17" t="s">
        <v>30</v>
      </c>
      <c r="H236" s="18">
        <f>ROUND(RAND()*4+6,1)</f>
      </c>
      <c r="I236" s="17" t="s">
        <v>31</v>
      </c>
      <c r="J236" s="19">
        <f>ROUND(78*1,0)&amp;"%"</f>
      </c>
    </row>
    <row x14ac:dyDescent="0.25" r="237" customHeight="1" ht="17.25">
      <c r="A237" s="20" t="s">
        <v>5094</v>
      </c>
      <c r="B237" s="20" t="s">
        <v>392</v>
      </c>
      <c r="C237" s="20" t="s">
        <v>133</v>
      </c>
      <c r="D237" s="20" t="s">
        <v>34</v>
      </c>
      <c r="E237" s="21">
        <f>ROUND(15031*1.05,2)</f>
      </c>
      <c r="F237" s="20" t="s">
        <v>35</v>
      </c>
      <c r="G237" s="20" t="s">
        <v>18</v>
      </c>
      <c r="H237" s="21">
        <f>ROUND(RAND()*4+6,1)</f>
      </c>
      <c r="I237" s="20" t="s">
        <v>36</v>
      </c>
      <c r="J237" s="23">
        <f>ROUND(67*1,0)&amp;"%"</f>
      </c>
    </row>
    <row x14ac:dyDescent="0.25" r="238" customHeight="1" ht="17.25">
      <c r="A238" s="17" t="s">
        <v>5095</v>
      </c>
      <c r="B238" s="17" t="s">
        <v>394</v>
      </c>
      <c r="C238" s="17" t="s">
        <v>133</v>
      </c>
      <c r="D238" s="17" t="s">
        <v>39</v>
      </c>
      <c r="E238" s="18">
        <f>ROUND(14308*1.05,2)</f>
      </c>
      <c r="F238" s="17" t="s">
        <v>40</v>
      </c>
      <c r="G238" s="17" t="s">
        <v>24</v>
      </c>
      <c r="H238" s="18">
        <f>ROUND(RAND()*4+6,1)</f>
      </c>
      <c r="I238" s="17" t="s">
        <v>41</v>
      </c>
      <c r="J238" s="19">
        <f>ROUND(80*1,0)&amp;"%"</f>
      </c>
    </row>
    <row x14ac:dyDescent="0.25" r="239" customHeight="1" ht="17.25">
      <c r="A239" s="20" t="s">
        <v>5096</v>
      </c>
      <c r="B239" s="20" t="s">
        <v>396</v>
      </c>
      <c r="C239" s="20" t="s">
        <v>133</v>
      </c>
      <c r="D239" s="20" t="s">
        <v>67</v>
      </c>
      <c r="E239" s="21">
        <f>ROUND(13079*1.05,2)</f>
      </c>
      <c r="F239" s="20" t="s">
        <v>44</v>
      </c>
      <c r="G239" s="20" t="s">
        <v>30</v>
      </c>
      <c r="H239" s="21">
        <f>ROUND(RAND()*4+6,1)</f>
      </c>
      <c r="I239" s="20" t="s">
        <v>45</v>
      </c>
      <c r="J239" s="23">
        <f>ROUND(96*1,0)&amp;"%"</f>
      </c>
    </row>
    <row x14ac:dyDescent="0.25" r="240" customHeight="1" ht="17.25">
      <c r="A240" s="17" t="s">
        <v>5097</v>
      </c>
      <c r="B240" s="17" t="s">
        <v>398</v>
      </c>
      <c r="C240" s="17" t="s">
        <v>133</v>
      </c>
      <c r="D240" s="17" t="s">
        <v>16</v>
      </c>
      <c r="E240" s="18">
        <f>ROUND(17951*1.05,2)</f>
      </c>
      <c r="F240" s="17" t="s">
        <v>48</v>
      </c>
      <c r="G240" s="17" t="s">
        <v>18</v>
      </c>
      <c r="H240" s="18">
        <f>ROUND(RAND()*4+6,1)</f>
      </c>
      <c r="I240" s="17" t="s">
        <v>19</v>
      </c>
      <c r="J240" s="19">
        <f>ROUND(69*1,0)&amp;"%"</f>
      </c>
    </row>
    <row x14ac:dyDescent="0.25" r="241" customHeight="1" ht="17.25">
      <c r="A241" s="20" t="s">
        <v>5098</v>
      </c>
      <c r="B241" s="20" t="s">
        <v>400</v>
      </c>
      <c r="C241" s="20" t="s">
        <v>133</v>
      </c>
      <c r="D241" s="20" t="s">
        <v>22</v>
      </c>
      <c r="E241" s="21">
        <f>ROUND(14663*1.05,2)</f>
      </c>
      <c r="F241" s="20" t="s">
        <v>51</v>
      </c>
      <c r="G241" s="20" t="s">
        <v>24</v>
      </c>
      <c r="H241" s="22">
        <f>ROUND(RAND()*4+6,1)</f>
      </c>
      <c r="I241" s="20" t="s">
        <v>25</v>
      </c>
      <c r="J241" s="23">
        <f>ROUND(86*1,0)&amp;"%"</f>
      </c>
    </row>
    <row x14ac:dyDescent="0.25" r="242" customHeight="1" ht="17.25">
      <c r="A242" s="24" t="s">
        <v>401</v>
      </c>
      <c r="B242" s="24"/>
      <c r="C242" s="24"/>
      <c r="D242" s="24"/>
      <c r="E242" s="25">
        <v>8</v>
      </c>
      <c r="F242" s="9"/>
      <c r="G242" s="9"/>
      <c r="H242" s="10"/>
      <c r="I242" s="9"/>
      <c r="J242" s="9"/>
    </row>
    <row x14ac:dyDescent="0.25" r="243" customHeight="1" ht="17.25">
      <c r="A243" s="7"/>
      <c r="B243" s="7"/>
      <c r="C243" s="7"/>
      <c r="D243" s="7"/>
      <c r="E243" s="8"/>
      <c r="F243" s="9"/>
      <c r="G243" s="9"/>
      <c r="H243" s="10"/>
      <c r="I243" s="9"/>
      <c r="J243" s="9"/>
    </row>
    <row x14ac:dyDescent="0.25" r="244" customHeight="1" ht="17.25">
      <c r="A244" s="11" t="s">
        <v>5099</v>
      </c>
      <c r="B244" s="11"/>
      <c r="C244" s="11"/>
      <c r="D244" s="11"/>
      <c r="E244" s="12"/>
      <c r="F244" s="11"/>
      <c r="G244" s="11"/>
      <c r="H244" s="13"/>
      <c r="I244" s="11"/>
      <c r="J244" s="11"/>
    </row>
    <row x14ac:dyDescent="0.25" r="245" customHeight="1" ht="17.25">
      <c r="A245" s="14" t="s">
        <v>3</v>
      </c>
      <c r="B245" s="14" t="s">
        <v>4</v>
      </c>
      <c r="C245" s="14" t="s">
        <v>5</v>
      </c>
      <c r="D245" s="14" t="s">
        <v>6</v>
      </c>
      <c r="E245" s="15" t="s">
        <v>7</v>
      </c>
      <c r="F245" s="14" t="s">
        <v>8</v>
      </c>
      <c r="G245" s="14" t="s">
        <v>9</v>
      </c>
      <c r="H245" s="16" t="s">
        <v>10</v>
      </c>
      <c r="I245" s="14" t="s">
        <v>11</v>
      </c>
      <c r="J245" s="14" t="s">
        <v>12</v>
      </c>
    </row>
    <row x14ac:dyDescent="0.25" r="246" customHeight="1" ht="17.25">
      <c r="A246" s="17" t="s">
        <v>5100</v>
      </c>
      <c r="B246" s="17" t="s">
        <v>404</v>
      </c>
      <c r="C246" s="17" t="s">
        <v>152</v>
      </c>
      <c r="D246" s="17" t="s">
        <v>16</v>
      </c>
      <c r="E246" s="18">
        <f>ROUND(6484*1.05,2)</f>
      </c>
      <c r="F246" s="17" t="s">
        <v>17</v>
      </c>
      <c r="G246" s="17" t="s">
        <v>18</v>
      </c>
      <c r="H246" s="18">
        <f>ROUND(RAND()*4+6,1)</f>
      </c>
      <c r="I246" s="17" t="s">
        <v>19</v>
      </c>
      <c r="J246" s="19">
        <f>ROUND(72*1,0)&amp;"%"</f>
      </c>
    </row>
    <row x14ac:dyDescent="0.25" r="247" customHeight="1" ht="17.25">
      <c r="A247" s="20" t="s">
        <v>5101</v>
      </c>
      <c r="B247" s="20" t="s">
        <v>406</v>
      </c>
      <c r="C247" s="20" t="s">
        <v>152</v>
      </c>
      <c r="D247" s="20" t="s">
        <v>22</v>
      </c>
      <c r="E247" s="21">
        <f>ROUND(9613*1.05,2)</f>
      </c>
      <c r="F247" s="20" t="s">
        <v>23</v>
      </c>
      <c r="G247" s="20" t="s">
        <v>24</v>
      </c>
      <c r="H247" s="21">
        <f>ROUND(RAND()*4+6,1)</f>
      </c>
      <c r="I247" s="20" t="s">
        <v>25</v>
      </c>
      <c r="J247" s="23">
        <f>ROUND(99*1,0)&amp;"%"</f>
      </c>
    </row>
    <row x14ac:dyDescent="0.25" r="248" customHeight="1" ht="17.25">
      <c r="A248" s="17" t="s">
        <v>5102</v>
      </c>
      <c r="B248" s="17" t="s">
        <v>408</v>
      </c>
      <c r="C248" s="17" t="s">
        <v>152</v>
      </c>
      <c r="D248" s="17" t="s">
        <v>28</v>
      </c>
      <c r="E248" s="18">
        <f>ROUND(6517*1.05,2)</f>
      </c>
      <c r="F248" s="17" t="s">
        <v>29</v>
      </c>
      <c r="G248" s="17" t="s">
        <v>30</v>
      </c>
      <c r="H248" s="18">
        <f>ROUND(RAND()*4+6,1)</f>
      </c>
      <c r="I248" s="17" t="s">
        <v>31</v>
      </c>
      <c r="J248" s="19">
        <f>ROUND(91*1,0)&amp;"%"</f>
      </c>
    </row>
    <row x14ac:dyDescent="0.25" r="249" customHeight="1" ht="17.25">
      <c r="A249" s="20" t="s">
        <v>5103</v>
      </c>
      <c r="B249" s="20" t="s">
        <v>410</v>
      </c>
      <c r="C249" s="20" t="s">
        <v>152</v>
      </c>
      <c r="D249" s="20" t="s">
        <v>34</v>
      </c>
      <c r="E249" s="21">
        <f>ROUND(10724*1.05,2)</f>
      </c>
      <c r="F249" s="20" t="s">
        <v>35</v>
      </c>
      <c r="G249" s="20" t="s">
        <v>18</v>
      </c>
      <c r="H249" s="21">
        <f>ROUND(RAND()*4+6,1)</f>
      </c>
      <c r="I249" s="20" t="s">
        <v>36</v>
      </c>
      <c r="J249" s="23">
        <f>ROUND(92*1,0)&amp;"%"</f>
      </c>
    </row>
    <row x14ac:dyDescent="0.25" r="250" customHeight="1" ht="17.25">
      <c r="A250" s="17" t="s">
        <v>5104</v>
      </c>
      <c r="B250" s="17" t="s">
        <v>412</v>
      </c>
      <c r="C250" s="17" t="s">
        <v>152</v>
      </c>
      <c r="D250" s="17" t="s">
        <v>39</v>
      </c>
      <c r="E250" s="18">
        <f>ROUND(14102*1.05,2)</f>
      </c>
      <c r="F250" s="17" t="s">
        <v>40</v>
      </c>
      <c r="G250" s="17" t="s">
        <v>24</v>
      </c>
      <c r="H250" s="18">
        <f>ROUND(RAND()*4+6,1)</f>
      </c>
      <c r="I250" s="17" t="s">
        <v>41</v>
      </c>
      <c r="J250" s="19">
        <f>ROUND(64*1,0)&amp;"%"</f>
      </c>
    </row>
    <row x14ac:dyDescent="0.25" r="251" customHeight="1" ht="17.25">
      <c r="A251" s="20" t="s">
        <v>5105</v>
      </c>
      <c r="B251" s="20" t="s">
        <v>414</v>
      </c>
      <c r="C251" s="20" t="s">
        <v>152</v>
      </c>
      <c r="D251" s="20" t="s">
        <v>67</v>
      </c>
      <c r="E251" s="21">
        <f>ROUND(14238*1.05,2)</f>
      </c>
      <c r="F251" s="20" t="s">
        <v>44</v>
      </c>
      <c r="G251" s="20" t="s">
        <v>30</v>
      </c>
      <c r="H251" s="21">
        <f>ROUND(RAND()*4+6,1)</f>
      </c>
      <c r="I251" s="20" t="s">
        <v>45</v>
      </c>
      <c r="J251" s="23">
        <f>ROUND(97*1,0)&amp;"%"</f>
      </c>
    </row>
    <row x14ac:dyDescent="0.25" r="252" customHeight="1" ht="17.25">
      <c r="A252" s="17" t="s">
        <v>5106</v>
      </c>
      <c r="B252" s="17" t="s">
        <v>416</v>
      </c>
      <c r="C252" s="17" t="s">
        <v>152</v>
      </c>
      <c r="D252" s="17" t="s">
        <v>16</v>
      </c>
      <c r="E252" s="26">
        <f>ROUND(10820*1.05,2)</f>
      </c>
      <c r="F252" s="17" t="s">
        <v>48</v>
      </c>
      <c r="G252" s="17" t="s">
        <v>18</v>
      </c>
      <c r="H252" s="18">
        <f>ROUND(RAND()*4+6,1)</f>
      </c>
      <c r="I252" s="17" t="s">
        <v>19</v>
      </c>
      <c r="J252" s="19">
        <f>ROUND(67*1,0)&amp;"%"</f>
      </c>
    </row>
    <row x14ac:dyDescent="0.25" r="253" customHeight="1" ht="17.25">
      <c r="A253" s="20" t="s">
        <v>5107</v>
      </c>
      <c r="B253" s="20" t="s">
        <v>418</v>
      </c>
      <c r="C253" s="20" t="s">
        <v>152</v>
      </c>
      <c r="D253" s="20" t="s">
        <v>22</v>
      </c>
      <c r="E253" s="21">
        <f>ROUND(5537*1.05,2)</f>
      </c>
      <c r="F253" s="20" t="s">
        <v>51</v>
      </c>
      <c r="G253" s="20" t="s">
        <v>24</v>
      </c>
      <c r="H253" s="21">
        <f>ROUND(RAND()*4+6,1)</f>
      </c>
      <c r="I253" s="20" t="s">
        <v>25</v>
      </c>
      <c r="J253" s="23">
        <f>ROUND(99*1,0)&amp;"%"</f>
      </c>
    </row>
    <row x14ac:dyDescent="0.25" r="254" customHeight="1" ht="17.25">
      <c r="A254" s="24" t="s">
        <v>419</v>
      </c>
      <c r="B254" s="24"/>
      <c r="C254" s="24"/>
      <c r="D254" s="24"/>
      <c r="E254" s="25">
        <v>8</v>
      </c>
      <c r="F254" s="9"/>
      <c r="G254" s="9"/>
      <c r="H254" s="10"/>
      <c r="I254" s="9"/>
      <c r="J254" s="9"/>
    </row>
    <row x14ac:dyDescent="0.25" r="255" customHeight="1" ht="17.25">
      <c r="A255" s="7"/>
      <c r="B255" s="7"/>
      <c r="C255" s="7"/>
      <c r="D255" s="7"/>
      <c r="E255" s="8"/>
      <c r="F255" s="9"/>
      <c r="G255" s="9"/>
      <c r="H255" s="10"/>
      <c r="I255" s="9"/>
      <c r="J255" s="9"/>
    </row>
    <row x14ac:dyDescent="0.25" r="256" customHeight="1" ht="17.25">
      <c r="A256" s="11" t="s">
        <v>5108</v>
      </c>
      <c r="B256" s="11"/>
      <c r="C256" s="11"/>
      <c r="D256" s="11"/>
      <c r="E256" s="12"/>
      <c r="F256" s="11"/>
      <c r="G256" s="11"/>
      <c r="H256" s="13"/>
      <c r="I256" s="11"/>
      <c r="J256" s="11"/>
    </row>
    <row x14ac:dyDescent="0.25" r="257" customHeight="1" ht="17.25">
      <c r="A257" s="14" t="s">
        <v>3</v>
      </c>
      <c r="B257" s="14" t="s">
        <v>4</v>
      </c>
      <c r="C257" s="14" t="s">
        <v>5</v>
      </c>
      <c r="D257" s="14" t="s">
        <v>6</v>
      </c>
      <c r="E257" s="15" t="s">
        <v>7</v>
      </c>
      <c r="F257" s="14" t="s">
        <v>8</v>
      </c>
      <c r="G257" s="14" t="s">
        <v>9</v>
      </c>
      <c r="H257" s="16" t="s">
        <v>10</v>
      </c>
      <c r="I257" s="14" t="s">
        <v>11</v>
      </c>
      <c r="J257" s="14" t="s">
        <v>12</v>
      </c>
    </row>
    <row x14ac:dyDescent="0.25" r="258" customHeight="1" ht="17.25">
      <c r="A258" s="17" t="s">
        <v>5109</v>
      </c>
      <c r="B258" s="17" t="s">
        <v>422</v>
      </c>
      <c r="C258" s="17" t="s">
        <v>15</v>
      </c>
      <c r="D258" s="17" t="s">
        <v>16</v>
      </c>
      <c r="E258" s="18">
        <f>ROUND(13755*1.05,2)</f>
      </c>
      <c r="F258" s="17" t="s">
        <v>17</v>
      </c>
      <c r="G258" s="17" t="s">
        <v>18</v>
      </c>
      <c r="H258" s="18">
        <f>ROUND(RAND()*4+6,1)</f>
      </c>
      <c r="I258" s="17" t="s">
        <v>19</v>
      </c>
      <c r="J258" s="19">
        <f>ROUND(60*1,0)&amp;"%"</f>
      </c>
    </row>
    <row x14ac:dyDescent="0.25" r="259" customHeight="1" ht="17.25">
      <c r="A259" s="20" t="s">
        <v>5110</v>
      </c>
      <c r="B259" s="20" t="s">
        <v>424</v>
      </c>
      <c r="C259" s="20" t="s">
        <v>15</v>
      </c>
      <c r="D259" s="20" t="s">
        <v>22</v>
      </c>
      <c r="E259" s="21">
        <f>ROUND(9336*1.05,2)</f>
      </c>
      <c r="F259" s="20" t="s">
        <v>23</v>
      </c>
      <c r="G259" s="20" t="s">
        <v>24</v>
      </c>
      <c r="H259" s="21">
        <f>ROUND(RAND()*4+6,1)</f>
      </c>
      <c r="I259" s="20" t="s">
        <v>25</v>
      </c>
      <c r="J259" s="23">
        <f>ROUND(98*1,0)&amp;"%"</f>
      </c>
    </row>
    <row x14ac:dyDescent="0.25" r="260" customHeight="1" ht="17.25">
      <c r="A260" s="17" t="s">
        <v>5111</v>
      </c>
      <c r="B260" s="17" t="s">
        <v>426</v>
      </c>
      <c r="C260" s="17" t="s">
        <v>15</v>
      </c>
      <c r="D260" s="17" t="s">
        <v>28</v>
      </c>
      <c r="E260" s="18">
        <f>ROUND(15272*1.05,2)</f>
      </c>
      <c r="F260" s="17" t="s">
        <v>29</v>
      </c>
      <c r="G260" s="17" t="s">
        <v>30</v>
      </c>
      <c r="H260" s="18">
        <f>ROUND(RAND()*4+6,1)</f>
      </c>
      <c r="I260" s="17" t="s">
        <v>31</v>
      </c>
      <c r="J260" s="19">
        <f>ROUND(98*1,0)&amp;"%"</f>
      </c>
    </row>
    <row x14ac:dyDescent="0.25" r="261" customHeight="1" ht="17.25">
      <c r="A261" s="20" t="s">
        <v>5112</v>
      </c>
      <c r="B261" s="20" t="s">
        <v>428</v>
      </c>
      <c r="C261" s="20" t="s">
        <v>15</v>
      </c>
      <c r="D261" s="20" t="s">
        <v>34</v>
      </c>
      <c r="E261" s="21">
        <f>ROUND(12990*1.05,2)</f>
      </c>
      <c r="F261" s="20" t="s">
        <v>35</v>
      </c>
      <c r="G261" s="20" t="s">
        <v>18</v>
      </c>
      <c r="H261" s="21">
        <f>ROUND(RAND()*4+6,1)</f>
      </c>
      <c r="I261" s="20" t="s">
        <v>36</v>
      </c>
      <c r="J261" s="23">
        <f>ROUND(69*1,0)&amp;"%"</f>
      </c>
    </row>
    <row x14ac:dyDescent="0.25" r="262" customHeight="1" ht="17.25">
      <c r="A262" s="17" t="s">
        <v>5113</v>
      </c>
      <c r="B262" s="17" t="s">
        <v>430</v>
      </c>
      <c r="C262" s="17" t="s">
        <v>15</v>
      </c>
      <c r="D262" s="17" t="s">
        <v>39</v>
      </c>
      <c r="E262" s="18">
        <f>ROUND(5359*1.05,2)</f>
      </c>
      <c r="F262" s="17" t="s">
        <v>40</v>
      </c>
      <c r="G262" s="17" t="s">
        <v>24</v>
      </c>
      <c r="H262" s="26">
        <f>ROUND(RAND()*4+6,1)</f>
      </c>
      <c r="I262" s="17" t="s">
        <v>41</v>
      </c>
      <c r="J262" s="19">
        <f>ROUND(84*1,0)&amp;"%"</f>
      </c>
    </row>
    <row x14ac:dyDescent="0.25" r="263" customHeight="1" ht="17.25">
      <c r="A263" s="20" t="s">
        <v>5114</v>
      </c>
      <c r="B263" s="20" t="s">
        <v>432</v>
      </c>
      <c r="C263" s="20" t="s">
        <v>15</v>
      </c>
      <c r="D263" s="20" t="s">
        <v>67</v>
      </c>
      <c r="E263" s="21">
        <f>ROUND(15894*1.05,2)</f>
      </c>
      <c r="F263" s="20" t="s">
        <v>44</v>
      </c>
      <c r="G263" s="20" t="s">
        <v>30</v>
      </c>
      <c r="H263" s="21">
        <f>ROUND(RAND()*4+6,1)</f>
      </c>
      <c r="I263" s="20" t="s">
        <v>45</v>
      </c>
      <c r="J263" s="23">
        <f>ROUND(91*1,0)&amp;"%"</f>
      </c>
    </row>
    <row x14ac:dyDescent="0.25" r="264" customHeight="1" ht="17.25">
      <c r="A264" s="17" t="s">
        <v>5115</v>
      </c>
      <c r="B264" s="17" t="s">
        <v>434</v>
      </c>
      <c r="C264" s="17" t="s">
        <v>15</v>
      </c>
      <c r="D264" s="17" t="s">
        <v>16</v>
      </c>
      <c r="E264" s="18">
        <f>ROUND(6306*1.05,2)</f>
      </c>
      <c r="F264" s="17" t="s">
        <v>48</v>
      </c>
      <c r="G264" s="17" t="s">
        <v>18</v>
      </c>
      <c r="H264" s="26">
        <f>ROUND(RAND()*4+6,1)</f>
      </c>
      <c r="I264" s="17" t="s">
        <v>19</v>
      </c>
      <c r="J264" s="19">
        <f>ROUND(81*1,0)&amp;"%"</f>
      </c>
    </row>
    <row x14ac:dyDescent="0.25" r="265" customHeight="1" ht="17.25">
      <c r="A265" s="20" t="s">
        <v>5116</v>
      </c>
      <c r="B265" s="20" t="s">
        <v>436</v>
      </c>
      <c r="C265" s="20" t="s">
        <v>15</v>
      </c>
      <c r="D265" s="20" t="s">
        <v>22</v>
      </c>
      <c r="E265" s="21">
        <f>ROUND(17106*1.05,2)</f>
      </c>
      <c r="F265" s="20" t="s">
        <v>51</v>
      </c>
      <c r="G265" s="20" t="s">
        <v>24</v>
      </c>
      <c r="H265" s="21">
        <f>ROUND(RAND()*4+6,1)</f>
      </c>
      <c r="I265" s="20" t="s">
        <v>25</v>
      </c>
      <c r="J265" s="23">
        <f>ROUND(88*1,0)&amp;"%"</f>
      </c>
    </row>
    <row x14ac:dyDescent="0.25" r="266" customHeight="1" ht="17.25">
      <c r="A266" s="24" t="s">
        <v>437</v>
      </c>
      <c r="B266" s="24"/>
      <c r="C266" s="24"/>
      <c r="D266" s="24"/>
      <c r="E266" s="25">
        <v>8</v>
      </c>
      <c r="F266" s="9"/>
      <c r="G266" s="9"/>
      <c r="H266" s="10"/>
      <c r="I266" s="9"/>
      <c r="J266" s="9"/>
    </row>
    <row x14ac:dyDescent="0.25" r="267" customHeight="1" ht="17.25">
      <c r="A267" s="7"/>
      <c r="B267" s="7"/>
      <c r="C267" s="7"/>
      <c r="D267" s="7"/>
      <c r="E267" s="8"/>
      <c r="F267" s="9"/>
      <c r="G267" s="9"/>
      <c r="H267" s="10"/>
      <c r="I267" s="9"/>
      <c r="J267" s="9"/>
    </row>
    <row x14ac:dyDescent="0.25" r="268" customHeight="1" ht="17.25">
      <c r="A268" s="11" t="s">
        <v>5117</v>
      </c>
      <c r="B268" s="11"/>
      <c r="C268" s="11"/>
      <c r="D268" s="11"/>
      <c r="E268" s="12"/>
      <c r="F268" s="11"/>
      <c r="G268" s="11"/>
      <c r="H268" s="13"/>
      <c r="I268" s="11"/>
      <c r="J268" s="11"/>
    </row>
    <row x14ac:dyDescent="0.25" r="269" customHeight="1" ht="17.25">
      <c r="A269" s="14" t="s">
        <v>3</v>
      </c>
      <c r="B269" s="14" t="s">
        <v>4</v>
      </c>
      <c r="C269" s="14" t="s">
        <v>5</v>
      </c>
      <c r="D269" s="14" t="s">
        <v>6</v>
      </c>
      <c r="E269" s="15" t="s">
        <v>7</v>
      </c>
      <c r="F269" s="14" t="s">
        <v>8</v>
      </c>
      <c r="G269" s="14" t="s">
        <v>9</v>
      </c>
      <c r="H269" s="16" t="s">
        <v>10</v>
      </c>
      <c r="I269" s="14" t="s">
        <v>11</v>
      </c>
      <c r="J269" s="14" t="s">
        <v>12</v>
      </c>
    </row>
    <row x14ac:dyDescent="0.25" r="270" customHeight="1" ht="17.25">
      <c r="A270" s="17" t="s">
        <v>5118</v>
      </c>
      <c r="B270" s="17" t="s">
        <v>440</v>
      </c>
      <c r="C270" s="17" t="s">
        <v>56</v>
      </c>
      <c r="D270" s="17" t="s">
        <v>16</v>
      </c>
      <c r="E270" s="18">
        <f>ROUND(14896*1.05,2)</f>
      </c>
      <c r="F270" s="17" t="s">
        <v>17</v>
      </c>
      <c r="G270" s="17" t="s">
        <v>18</v>
      </c>
      <c r="H270" s="18">
        <f>ROUND(RAND()*4+6,1)</f>
      </c>
      <c r="I270" s="17" t="s">
        <v>19</v>
      </c>
      <c r="J270" s="19">
        <f>ROUND(96*1,0)&amp;"%"</f>
      </c>
    </row>
    <row x14ac:dyDescent="0.25" r="271" customHeight="1" ht="17.25">
      <c r="A271" s="20" t="s">
        <v>5119</v>
      </c>
      <c r="B271" s="20" t="s">
        <v>442</v>
      </c>
      <c r="C271" s="20" t="s">
        <v>56</v>
      </c>
      <c r="D271" s="20" t="s">
        <v>22</v>
      </c>
      <c r="E271" s="21">
        <f>ROUND(9494*1.05,2)</f>
      </c>
      <c r="F271" s="20" t="s">
        <v>23</v>
      </c>
      <c r="G271" s="20" t="s">
        <v>24</v>
      </c>
      <c r="H271" s="21">
        <f>ROUND(RAND()*4+6,1)</f>
      </c>
      <c r="I271" s="20" t="s">
        <v>25</v>
      </c>
      <c r="J271" s="23">
        <f>ROUND(70*1,0)&amp;"%"</f>
      </c>
    </row>
    <row x14ac:dyDescent="0.25" r="272" customHeight="1" ht="17.25">
      <c r="A272" s="17" t="s">
        <v>5120</v>
      </c>
      <c r="B272" s="17" t="s">
        <v>444</v>
      </c>
      <c r="C272" s="17" t="s">
        <v>56</v>
      </c>
      <c r="D272" s="17" t="s">
        <v>28</v>
      </c>
      <c r="E272" s="18">
        <f>ROUND(9705*1.05,2)</f>
      </c>
      <c r="F272" s="17" t="s">
        <v>29</v>
      </c>
      <c r="G272" s="17" t="s">
        <v>30</v>
      </c>
      <c r="H272" s="18">
        <f>ROUND(RAND()*4+6,1)</f>
      </c>
      <c r="I272" s="17" t="s">
        <v>31</v>
      </c>
      <c r="J272" s="19">
        <f>ROUND(63*1,0)&amp;"%"</f>
      </c>
    </row>
    <row x14ac:dyDescent="0.25" r="273" customHeight="1" ht="17.25">
      <c r="A273" s="20" t="s">
        <v>5121</v>
      </c>
      <c r="B273" s="20" t="s">
        <v>446</v>
      </c>
      <c r="C273" s="20" t="s">
        <v>56</v>
      </c>
      <c r="D273" s="20" t="s">
        <v>34</v>
      </c>
      <c r="E273" s="21">
        <f>ROUND(8938*1.05,2)</f>
      </c>
      <c r="F273" s="20" t="s">
        <v>35</v>
      </c>
      <c r="G273" s="20" t="s">
        <v>18</v>
      </c>
      <c r="H273" s="21">
        <f>ROUND(RAND()*4+6,1)</f>
      </c>
      <c r="I273" s="20" t="s">
        <v>36</v>
      </c>
      <c r="J273" s="23">
        <f>ROUND(75*1,0)&amp;"%"</f>
      </c>
    </row>
    <row x14ac:dyDescent="0.25" r="274" customHeight="1" ht="17.25">
      <c r="A274" s="17" t="s">
        <v>5122</v>
      </c>
      <c r="B274" s="17" t="s">
        <v>448</v>
      </c>
      <c r="C274" s="17" t="s">
        <v>56</v>
      </c>
      <c r="D274" s="17" t="s">
        <v>39</v>
      </c>
      <c r="E274" s="26">
        <f>ROUND(4340*1.05,2)</f>
      </c>
      <c r="F274" s="17" t="s">
        <v>40</v>
      </c>
      <c r="G274" s="17" t="s">
        <v>24</v>
      </c>
      <c r="H274" s="18">
        <f>ROUND(RAND()*4+6,1)</f>
      </c>
      <c r="I274" s="17" t="s">
        <v>41</v>
      </c>
      <c r="J274" s="19">
        <f>ROUND(61*1,0)&amp;"%"</f>
      </c>
    </row>
    <row x14ac:dyDescent="0.25" r="275" customHeight="1" ht="17.25">
      <c r="A275" s="20" t="s">
        <v>5123</v>
      </c>
      <c r="B275" s="20" t="s">
        <v>450</v>
      </c>
      <c r="C275" s="20" t="s">
        <v>56</v>
      </c>
      <c r="D275" s="20" t="s">
        <v>67</v>
      </c>
      <c r="E275" s="21">
        <f>ROUND(9914*1.05,2)</f>
      </c>
      <c r="F275" s="20" t="s">
        <v>44</v>
      </c>
      <c r="G275" s="20" t="s">
        <v>30</v>
      </c>
      <c r="H275" s="21">
        <f>ROUND(RAND()*4+6,1)</f>
      </c>
      <c r="I275" s="20" t="s">
        <v>45</v>
      </c>
      <c r="J275" s="23">
        <f>ROUND(92*1,0)&amp;"%"</f>
      </c>
    </row>
    <row x14ac:dyDescent="0.25" r="276" customHeight="1" ht="17.25">
      <c r="A276" s="17" t="s">
        <v>5124</v>
      </c>
      <c r="B276" s="17" t="s">
        <v>452</v>
      </c>
      <c r="C276" s="17" t="s">
        <v>56</v>
      </c>
      <c r="D276" s="17" t="s">
        <v>16</v>
      </c>
      <c r="E276" s="18">
        <f>ROUND(4376*1.05,2)</f>
      </c>
      <c r="F276" s="17" t="s">
        <v>48</v>
      </c>
      <c r="G276" s="17" t="s">
        <v>18</v>
      </c>
      <c r="H276" s="18">
        <f>ROUND(RAND()*4+6,1)</f>
      </c>
      <c r="I276" s="17" t="s">
        <v>19</v>
      </c>
      <c r="J276" s="19">
        <f>ROUND(95*1,0)&amp;"%"</f>
      </c>
    </row>
    <row x14ac:dyDescent="0.25" r="277" customHeight="1" ht="17.25">
      <c r="A277" s="20" t="s">
        <v>5125</v>
      </c>
      <c r="B277" s="20" t="s">
        <v>454</v>
      </c>
      <c r="C277" s="20" t="s">
        <v>56</v>
      </c>
      <c r="D277" s="20" t="s">
        <v>22</v>
      </c>
      <c r="E277" s="21">
        <f>ROUND(9541*1.05,2)</f>
      </c>
      <c r="F277" s="20" t="s">
        <v>51</v>
      </c>
      <c r="G277" s="20" t="s">
        <v>24</v>
      </c>
      <c r="H277" s="21">
        <f>ROUND(RAND()*4+6,1)</f>
      </c>
      <c r="I277" s="20" t="s">
        <v>25</v>
      </c>
      <c r="J277" s="23">
        <f>ROUND(81*1,0)&amp;"%"</f>
      </c>
    </row>
    <row x14ac:dyDescent="0.25" r="278" customHeight="1" ht="17.25">
      <c r="A278" s="24" t="s">
        <v>455</v>
      </c>
      <c r="B278" s="24"/>
      <c r="C278" s="24"/>
      <c r="D278" s="24"/>
      <c r="E278" s="25">
        <v>8</v>
      </c>
      <c r="F278" s="9"/>
      <c r="G278" s="9"/>
      <c r="H278" s="10"/>
      <c r="I278" s="9"/>
      <c r="J278" s="9"/>
    </row>
    <row x14ac:dyDescent="0.25" r="279" customHeight="1" ht="17.25">
      <c r="A279" s="7"/>
      <c r="B279" s="7"/>
      <c r="C279" s="7"/>
      <c r="D279" s="7"/>
      <c r="E279" s="8"/>
      <c r="F279" s="9"/>
      <c r="G279" s="9"/>
      <c r="H279" s="10"/>
      <c r="I279" s="9"/>
      <c r="J279" s="9"/>
    </row>
    <row x14ac:dyDescent="0.25" r="280" customHeight="1" ht="17.25">
      <c r="A280" s="11" t="s">
        <v>5126</v>
      </c>
      <c r="B280" s="11"/>
      <c r="C280" s="11"/>
      <c r="D280" s="11"/>
      <c r="E280" s="12"/>
      <c r="F280" s="11"/>
      <c r="G280" s="11"/>
      <c r="H280" s="13"/>
      <c r="I280" s="11"/>
      <c r="J280" s="11"/>
    </row>
    <row x14ac:dyDescent="0.25" r="281" customHeight="1" ht="17.25">
      <c r="A281" s="14" t="s">
        <v>3</v>
      </c>
      <c r="B281" s="14" t="s">
        <v>4</v>
      </c>
      <c r="C281" s="14" t="s">
        <v>5</v>
      </c>
      <c r="D281" s="14" t="s">
        <v>6</v>
      </c>
      <c r="E281" s="15" t="s">
        <v>7</v>
      </c>
      <c r="F281" s="14" t="s">
        <v>8</v>
      </c>
      <c r="G281" s="14" t="s">
        <v>9</v>
      </c>
      <c r="H281" s="16" t="s">
        <v>10</v>
      </c>
      <c r="I281" s="14" t="s">
        <v>11</v>
      </c>
      <c r="J281" s="14" t="s">
        <v>12</v>
      </c>
    </row>
    <row x14ac:dyDescent="0.25" r="282" customHeight="1" ht="17.25">
      <c r="A282" s="17" t="s">
        <v>5127</v>
      </c>
      <c r="B282" s="17" t="s">
        <v>458</v>
      </c>
      <c r="C282" s="17" t="s">
        <v>76</v>
      </c>
      <c r="D282" s="17" t="s">
        <v>16</v>
      </c>
      <c r="E282" s="18">
        <f>ROUND(14355*1.05,2)</f>
      </c>
      <c r="F282" s="17" t="s">
        <v>17</v>
      </c>
      <c r="G282" s="17" t="s">
        <v>18</v>
      </c>
      <c r="H282" s="18">
        <f>ROUND(RAND()*4+6,1)</f>
      </c>
      <c r="I282" s="17" t="s">
        <v>19</v>
      </c>
      <c r="J282" s="19">
        <f>ROUND(91*1,0)&amp;"%"</f>
      </c>
    </row>
    <row x14ac:dyDescent="0.25" r="283" customHeight="1" ht="17.25">
      <c r="A283" s="20" t="s">
        <v>5128</v>
      </c>
      <c r="B283" s="20" t="s">
        <v>460</v>
      </c>
      <c r="C283" s="20" t="s">
        <v>76</v>
      </c>
      <c r="D283" s="20" t="s">
        <v>22</v>
      </c>
      <c r="E283" s="21">
        <f>ROUND(9679*1.05,2)</f>
      </c>
      <c r="F283" s="20" t="s">
        <v>23</v>
      </c>
      <c r="G283" s="20" t="s">
        <v>24</v>
      </c>
      <c r="H283" s="22">
        <f>ROUND(RAND()*4+6,1)</f>
      </c>
      <c r="I283" s="20" t="s">
        <v>25</v>
      </c>
      <c r="J283" s="23">
        <f>ROUND(82*1,0)&amp;"%"</f>
      </c>
    </row>
    <row x14ac:dyDescent="0.25" r="284" customHeight="1" ht="17.25">
      <c r="A284" s="17" t="s">
        <v>5129</v>
      </c>
      <c r="B284" s="17" t="s">
        <v>462</v>
      </c>
      <c r="C284" s="17" t="s">
        <v>76</v>
      </c>
      <c r="D284" s="17" t="s">
        <v>28</v>
      </c>
      <c r="E284" s="18">
        <f>ROUND(13909*1.05,2)</f>
      </c>
      <c r="F284" s="17" t="s">
        <v>29</v>
      </c>
      <c r="G284" s="17" t="s">
        <v>30</v>
      </c>
      <c r="H284" s="18">
        <f>ROUND(RAND()*4+6,1)</f>
      </c>
      <c r="I284" s="17" t="s">
        <v>31</v>
      </c>
      <c r="J284" s="19">
        <f>ROUND(63*1,0)&amp;"%"</f>
      </c>
    </row>
    <row x14ac:dyDescent="0.25" r="285" customHeight="1" ht="17.25">
      <c r="A285" s="20" t="s">
        <v>5130</v>
      </c>
      <c r="B285" s="20" t="s">
        <v>464</v>
      </c>
      <c r="C285" s="20" t="s">
        <v>76</v>
      </c>
      <c r="D285" s="20" t="s">
        <v>34</v>
      </c>
      <c r="E285" s="21">
        <f>ROUND(9811*1.05,2)</f>
      </c>
      <c r="F285" s="20" t="s">
        <v>35</v>
      </c>
      <c r="G285" s="20" t="s">
        <v>18</v>
      </c>
      <c r="H285" s="21">
        <f>ROUND(RAND()*4+6,1)</f>
      </c>
      <c r="I285" s="20" t="s">
        <v>36</v>
      </c>
      <c r="J285" s="23">
        <f>ROUND(64*1,0)&amp;"%"</f>
      </c>
    </row>
    <row x14ac:dyDescent="0.25" r="286" customHeight="1" ht="17.25">
      <c r="A286" s="17" t="s">
        <v>5131</v>
      </c>
      <c r="B286" s="17" t="s">
        <v>466</v>
      </c>
      <c r="C286" s="17" t="s">
        <v>76</v>
      </c>
      <c r="D286" s="17" t="s">
        <v>39</v>
      </c>
      <c r="E286" s="18">
        <f>ROUND(6985*1.05,2)</f>
      </c>
      <c r="F286" s="17" t="s">
        <v>40</v>
      </c>
      <c r="G286" s="17" t="s">
        <v>24</v>
      </c>
      <c r="H286" s="18">
        <f>ROUND(RAND()*4+6,1)</f>
      </c>
      <c r="I286" s="17" t="s">
        <v>41</v>
      </c>
      <c r="J286" s="19">
        <f>ROUND(75*1,0)&amp;"%"</f>
      </c>
    </row>
    <row x14ac:dyDescent="0.25" r="287" customHeight="1" ht="17.25">
      <c r="A287" s="20" t="s">
        <v>5132</v>
      </c>
      <c r="B287" s="20" t="s">
        <v>468</v>
      </c>
      <c r="C287" s="20" t="s">
        <v>76</v>
      </c>
      <c r="D287" s="20" t="s">
        <v>67</v>
      </c>
      <c r="E287" s="21">
        <f>ROUND(13964*1.05,2)</f>
      </c>
      <c r="F287" s="20" t="s">
        <v>44</v>
      </c>
      <c r="G287" s="20" t="s">
        <v>30</v>
      </c>
      <c r="H287" s="21">
        <f>ROUND(RAND()*4+6,1)</f>
      </c>
      <c r="I287" s="20" t="s">
        <v>45</v>
      </c>
      <c r="J287" s="23">
        <f>ROUND(80*1,0)&amp;"%"</f>
      </c>
    </row>
    <row x14ac:dyDescent="0.25" r="288" customHeight="1" ht="17.25">
      <c r="A288" s="17" t="s">
        <v>5133</v>
      </c>
      <c r="B288" s="17" t="s">
        <v>470</v>
      </c>
      <c r="C288" s="17" t="s">
        <v>76</v>
      </c>
      <c r="D288" s="17" t="s">
        <v>16</v>
      </c>
      <c r="E288" s="18">
        <f>ROUND(13176*1.05,2)</f>
      </c>
      <c r="F288" s="17" t="s">
        <v>48</v>
      </c>
      <c r="G288" s="17" t="s">
        <v>18</v>
      </c>
      <c r="H288" s="18">
        <f>ROUND(RAND()*4+6,1)</f>
      </c>
      <c r="I288" s="17" t="s">
        <v>19</v>
      </c>
      <c r="J288" s="19">
        <f>ROUND(67*1,0)&amp;"%"</f>
      </c>
    </row>
    <row x14ac:dyDescent="0.25" r="289" customHeight="1" ht="17.25">
      <c r="A289" s="20" t="s">
        <v>5134</v>
      </c>
      <c r="B289" s="20" t="s">
        <v>472</v>
      </c>
      <c r="C289" s="20" t="s">
        <v>76</v>
      </c>
      <c r="D289" s="20" t="s">
        <v>22</v>
      </c>
      <c r="E289" s="21">
        <f>ROUND(16175*1.05,2)</f>
      </c>
      <c r="F289" s="20" t="s">
        <v>51</v>
      </c>
      <c r="G289" s="20" t="s">
        <v>24</v>
      </c>
      <c r="H289" s="21">
        <f>ROUND(RAND()*4+6,1)</f>
      </c>
      <c r="I289" s="20" t="s">
        <v>25</v>
      </c>
      <c r="J289" s="23">
        <f>ROUND(61*1,0)&amp;"%"</f>
      </c>
    </row>
    <row x14ac:dyDescent="0.25" r="290" customHeight="1" ht="17.25">
      <c r="A290" s="24" t="s">
        <v>473</v>
      </c>
      <c r="B290" s="24"/>
      <c r="C290" s="24"/>
      <c r="D290" s="24"/>
      <c r="E290" s="25">
        <v>8</v>
      </c>
      <c r="F290" s="9"/>
      <c r="G290" s="9"/>
      <c r="H290" s="10"/>
      <c r="I290" s="9"/>
      <c r="J290" s="9"/>
    </row>
    <row x14ac:dyDescent="0.25" r="291" customHeight="1" ht="17.25">
      <c r="A291" s="7"/>
      <c r="B291" s="7"/>
      <c r="C291" s="7"/>
      <c r="D291" s="7"/>
      <c r="E291" s="8"/>
      <c r="F291" s="9"/>
      <c r="G291" s="9"/>
      <c r="H291" s="10"/>
      <c r="I291" s="9"/>
      <c r="J291" s="9"/>
    </row>
    <row x14ac:dyDescent="0.25" r="292" customHeight="1" ht="17.25">
      <c r="A292" s="11" t="s">
        <v>5135</v>
      </c>
      <c r="B292" s="11"/>
      <c r="C292" s="11"/>
      <c r="D292" s="11"/>
      <c r="E292" s="12"/>
      <c r="F292" s="11"/>
      <c r="G292" s="11"/>
      <c r="H292" s="13"/>
      <c r="I292" s="11"/>
      <c r="J292" s="11"/>
    </row>
    <row x14ac:dyDescent="0.25" r="293" customHeight="1" ht="17.25">
      <c r="A293" s="14" t="s">
        <v>3</v>
      </c>
      <c r="B293" s="14" t="s">
        <v>4</v>
      </c>
      <c r="C293" s="14" t="s">
        <v>5</v>
      </c>
      <c r="D293" s="14" t="s">
        <v>6</v>
      </c>
      <c r="E293" s="15" t="s">
        <v>7</v>
      </c>
      <c r="F293" s="14" t="s">
        <v>8</v>
      </c>
      <c r="G293" s="14" t="s">
        <v>9</v>
      </c>
      <c r="H293" s="16" t="s">
        <v>10</v>
      </c>
      <c r="I293" s="14" t="s">
        <v>11</v>
      </c>
      <c r="J293" s="14" t="s">
        <v>12</v>
      </c>
    </row>
    <row x14ac:dyDescent="0.25" r="294" customHeight="1" ht="17.25">
      <c r="A294" s="17" t="s">
        <v>5136</v>
      </c>
      <c r="B294" s="17" t="s">
        <v>476</v>
      </c>
      <c r="C294" s="17" t="s">
        <v>95</v>
      </c>
      <c r="D294" s="17" t="s">
        <v>16</v>
      </c>
      <c r="E294" s="18">
        <f>ROUND(4609*1.05,2)</f>
      </c>
      <c r="F294" s="17" t="s">
        <v>17</v>
      </c>
      <c r="G294" s="17" t="s">
        <v>18</v>
      </c>
      <c r="H294" s="26">
        <f>ROUND(RAND()*4+6,1)</f>
      </c>
      <c r="I294" s="17" t="s">
        <v>19</v>
      </c>
      <c r="J294" s="19">
        <f>ROUND(97*1,0)&amp;"%"</f>
      </c>
    </row>
    <row x14ac:dyDescent="0.25" r="295" customHeight="1" ht="17.25">
      <c r="A295" s="20" t="s">
        <v>5137</v>
      </c>
      <c r="B295" s="20" t="s">
        <v>478</v>
      </c>
      <c r="C295" s="20" t="s">
        <v>95</v>
      </c>
      <c r="D295" s="20" t="s">
        <v>22</v>
      </c>
      <c r="E295" s="21">
        <f>ROUND(5157*1.05,2)</f>
      </c>
      <c r="F295" s="20" t="s">
        <v>23</v>
      </c>
      <c r="G295" s="20" t="s">
        <v>24</v>
      </c>
      <c r="H295" s="21">
        <f>ROUND(RAND()*4+6,1)</f>
      </c>
      <c r="I295" s="20" t="s">
        <v>25</v>
      </c>
      <c r="J295" s="23">
        <f>ROUND(91*1,0)&amp;"%"</f>
      </c>
    </row>
    <row x14ac:dyDescent="0.25" r="296" customHeight="1" ht="17.25">
      <c r="A296" s="17" t="s">
        <v>5138</v>
      </c>
      <c r="B296" s="17" t="s">
        <v>480</v>
      </c>
      <c r="C296" s="17" t="s">
        <v>95</v>
      </c>
      <c r="D296" s="17" t="s">
        <v>28</v>
      </c>
      <c r="E296" s="18">
        <f>ROUND(8541*1.05,2)</f>
      </c>
      <c r="F296" s="17" t="s">
        <v>29</v>
      </c>
      <c r="G296" s="17" t="s">
        <v>30</v>
      </c>
      <c r="H296" s="18">
        <f>ROUND(RAND()*4+6,1)</f>
      </c>
      <c r="I296" s="17" t="s">
        <v>31</v>
      </c>
      <c r="J296" s="19">
        <f>ROUND(97*1,0)&amp;"%"</f>
      </c>
    </row>
    <row x14ac:dyDescent="0.25" r="297" customHeight="1" ht="17.25">
      <c r="A297" s="20" t="s">
        <v>5139</v>
      </c>
      <c r="B297" s="20" t="s">
        <v>482</v>
      </c>
      <c r="C297" s="20" t="s">
        <v>95</v>
      </c>
      <c r="D297" s="20" t="s">
        <v>34</v>
      </c>
      <c r="E297" s="21">
        <f>ROUND(15548*1.05,2)</f>
      </c>
      <c r="F297" s="20" t="s">
        <v>35</v>
      </c>
      <c r="G297" s="20" t="s">
        <v>18</v>
      </c>
      <c r="H297" s="21">
        <f>ROUND(RAND()*4+6,1)</f>
      </c>
      <c r="I297" s="20" t="s">
        <v>36</v>
      </c>
      <c r="J297" s="23">
        <f>ROUND(77*1,0)&amp;"%"</f>
      </c>
    </row>
    <row x14ac:dyDescent="0.25" r="298" customHeight="1" ht="17.25">
      <c r="A298" s="17" t="s">
        <v>5140</v>
      </c>
      <c r="B298" s="17" t="s">
        <v>484</v>
      </c>
      <c r="C298" s="17" t="s">
        <v>95</v>
      </c>
      <c r="D298" s="17" t="s">
        <v>39</v>
      </c>
      <c r="E298" s="18">
        <f>ROUND(16364*1.05,2)</f>
      </c>
      <c r="F298" s="17" t="s">
        <v>40</v>
      </c>
      <c r="G298" s="17" t="s">
        <v>24</v>
      </c>
      <c r="H298" s="18">
        <f>ROUND(RAND()*4+6,1)</f>
      </c>
      <c r="I298" s="17" t="s">
        <v>41</v>
      </c>
      <c r="J298" s="19">
        <f>ROUND(96*1,0)&amp;"%"</f>
      </c>
    </row>
    <row x14ac:dyDescent="0.25" r="299" customHeight="1" ht="17.25">
      <c r="A299" s="20" t="s">
        <v>5141</v>
      </c>
      <c r="B299" s="20" t="s">
        <v>486</v>
      </c>
      <c r="C299" s="20" t="s">
        <v>95</v>
      </c>
      <c r="D299" s="20" t="s">
        <v>67</v>
      </c>
      <c r="E299" s="21">
        <f>ROUND(15121*1.05,2)</f>
      </c>
      <c r="F299" s="20" t="s">
        <v>44</v>
      </c>
      <c r="G299" s="20" t="s">
        <v>30</v>
      </c>
      <c r="H299" s="21">
        <f>ROUND(RAND()*4+6,1)</f>
      </c>
      <c r="I299" s="20" t="s">
        <v>45</v>
      </c>
      <c r="J299" s="23">
        <f>ROUND(69*1,0)&amp;"%"</f>
      </c>
    </row>
    <row x14ac:dyDescent="0.25" r="300" customHeight="1" ht="17.25">
      <c r="A300" s="17" t="s">
        <v>5142</v>
      </c>
      <c r="B300" s="17" t="s">
        <v>488</v>
      </c>
      <c r="C300" s="17" t="s">
        <v>95</v>
      </c>
      <c r="D300" s="17" t="s">
        <v>16</v>
      </c>
      <c r="E300" s="18">
        <f>ROUND(13314*1.05,2)</f>
      </c>
      <c r="F300" s="17" t="s">
        <v>48</v>
      </c>
      <c r="G300" s="17" t="s">
        <v>18</v>
      </c>
      <c r="H300" s="18">
        <f>ROUND(RAND()*4+6,1)</f>
      </c>
      <c r="I300" s="17" t="s">
        <v>19</v>
      </c>
      <c r="J300" s="19">
        <f>ROUND(87*1,0)&amp;"%"</f>
      </c>
    </row>
    <row x14ac:dyDescent="0.25" r="301" customHeight="1" ht="17.25">
      <c r="A301" s="20" t="s">
        <v>5143</v>
      </c>
      <c r="B301" s="20" t="s">
        <v>490</v>
      </c>
      <c r="C301" s="20" t="s">
        <v>95</v>
      </c>
      <c r="D301" s="20" t="s">
        <v>22</v>
      </c>
      <c r="E301" s="21">
        <f>ROUND(9907*1.05,2)</f>
      </c>
      <c r="F301" s="20" t="s">
        <v>51</v>
      </c>
      <c r="G301" s="20" t="s">
        <v>24</v>
      </c>
      <c r="H301" s="21">
        <f>ROUND(RAND()*4+6,1)</f>
      </c>
      <c r="I301" s="20" t="s">
        <v>25</v>
      </c>
      <c r="J301" s="23">
        <f>ROUND(63*1,0)&amp;"%"</f>
      </c>
    </row>
    <row x14ac:dyDescent="0.25" r="302" customHeight="1" ht="17.25">
      <c r="A302" s="24" t="s">
        <v>491</v>
      </c>
      <c r="B302" s="24"/>
      <c r="C302" s="24"/>
      <c r="D302" s="24"/>
      <c r="E302" s="25">
        <v>8</v>
      </c>
      <c r="F302" s="9"/>
      <c r="G302" s="9"/>
      <c r="H302" s="10"/>
      <c r="I302" s="9"/>
      <c r="J302" s="9"/>
    </row>
    <row x14ac:dyDescent="0.25" r="303" customHeight="1" ht="17.25">
      <c r="A303" s="7"/>
      <c r="B303" s="7"/>
      <c r="C303" s="7"/>
      <c r="D303" s="7"/>
      <c r="E303" s="8"/>
      <c r="F303" s="9"/>
      <c r="G303" s="9"/>
      <c r="H303" s="10"/>
      <c r="I303" s="9"/>
      <c r="J303" s="9"/>
    </row>
    <row x14ac:dyDescent="0.25" r="304" customHeight="1" ht="17.25">
      <c r="A304" s="11" t="s">
        <v>5144</v>
      </c>
      <c r="B304" s="11"/>
      <c r="C304" s="11"/>
      <c r="D304" s="11"/>
      <c r="E304" s="12"/>
      <c r="F304" s="11"/>
      <c r="G304" s="11"/>
      <c r="H304" s="13"/>
      <c r="I304" s="11"/>
      <c r="J304" s="11"/>
    </row>
    <row x14ac:dyDescent="0.25" r="305" customHeight="1" ht="17.25">
      <c r="A305" s="14" t="s">
        <v>3</v>
      </c>
      <c r="B305" s="14" t="s">
        <v>4</v>
      </c>
      <c r="C305" s="14" t="s">
        <v>5</v>
      </c>
      <c r="D305" s="14" t="s">
        <v>6</v>
      </c>
      <c r="E305" s="15" t="s">
        <v>7</v>
      </c>
      <c r="F305" s="14" t="s">
        <v>8</v>
      </c>
      <c r="G305" s="14" t="s">
        <v>9</v>
      </c>
      <c r="H305" s="16" t="s">
        <v>10</v>
      </c>
      <c r="I305" s="14" t="s">
        <v>11</v>
      </c>
      <c r="J305" s="14" t="s">
        <v>12</v>
      </c>
    </row>
    <row x14ac:dyDescent="0.25" r="306" customHeight="1" ht="17.25">
      <c r="A306" s="17" t="s">
        <v>5145</v>
      </c>
      <c r="B306" s="17" t="s">
        <v>494</v>
      </c>
      <c r="C306" s="17" t="s">
        <v>114</v>
      </c>
      <c r="D306" s="17" t="s">
        <v>16</v>
      </c>
      <c r="E306" s="18">
        <f>ROUND(13382*1.05,2)</f>
      </c>
      <c r="F306" s="17" t="s">
        <v>17</v>
      </c>
      <c r="G306" s="17" t="s">
        <v>18</v>
      </c>
      <c r="H306" s="18">
        <f>ROUND(RAND()*4+6,1)</f>
      </c>
      <c r="I306" s="17" t="s">
        <v>19</v>
      </c>
      <c r="J306" s="19">
        <f>ROUND(95*1,0)&amp;"%"</f>
      </c>
    </row>
    <row x14ac:dyDescent="0.25" r="307" customHeight="1" ht="17.25">
      <c r="A307" s="20" t="s">
        <v>5146</v>
      </c>
      <c r="B307" s="20" t="s">
        <v>496</v>
      </c>
      <c r="C307" s="20" t="s">
        <v>114</v>
      </c>
      <c r="D307" s="20" t="s">
        <v>22</v>
      </c>
      <c r="E307" s="21">
        <f>ROUND(16448*1.05,2)</f>
      </c>
      <c r="F307" s="20" t="s">
        <v>23</v>
      </c>
      <c r="G307" s="20" t="s">
        <v>24</v>
      </c>
      <c r="H307" s="21">
        <f>ROUND(RAND()*4+6,1)</f>
      </c>
      <c r="I307" s="20" t="s">
        <v>25</v>
      </c>
      <c r="J307" s="23">
        <f>ROUND(80*1,0)&amp;"%"</f>
      </c>
    </row>
    <row x14ac:dyDescent="0.25" r="308" customHeight="1" ht="17.25">
      <c r="A308" s="17" t="s">
        <v>5147</v>
      </c>
      <c r="B308" s="17" t="s">
        <v>498</v>
      </c>
      <c r="C308" s="17" t="s">
        <v>114</v>
      </c>
      <c r="D308" s="17" t="s">
        <v>28</v>
      </c>
      <c r="E308" s="18">
        <f>ROUND(7603*1.05,2)</f>
      </c>
      <c r="F308" s="17" t="s">
        <v>29</v>
      </c>
      <c r="G308" s="17" t="s">
        <v>30</v>
      </c>
      <c r="H308" s="26">
        <f>ROUND(RAND()*4+6,1)</f>
      </c>
      <c r="I308" s="17" t="s">
        <v>31</v>
      </c>
      <c r="J308" s="19">
        <f>ROUND(61*1,0)&amp;"%"</f>
      </c>
    </row>
    <row x14ac:dyDescent="0.25" r="309" customHeight="1" ht="17.25">
      <c r="A309" s="20" t="s">
        <v>5148</v>
      </c>
      <c r="B309" s="20" t="s">
        <v>500</v>
      </c>
      <c r="C309" s="20" t="s">
        <v>114</v>
      </c>
      <c r="D309" s="20" t="s">
        <v>34</v>
      </c>
      <c r="E309" s="21">
        <f>ROUND(4324*1.05,2)</f>
      </c>
      <c r="F309" s="20" t="s">
        <v>35</v>
      </c>
      <c r="G309" s="20" t="s">
        <v>18</v>
      </c>
      <c r="H309" s="21">
        <f>ROUND(RAND()*4+6,1)</f>
      </c>
      <c r="I309" s="20" t="s">
        <v>36</v>
      </c>
      <c r="J309" s="23">
        <f>ROUND(67*1,0)&amp;"%"</f>
      </c>
    </row>
    <row x14ac:dyDescent="0.25" r="310" customHeight="1" ht="17.25">
      <c r="A310" s="17" t="s">
        <v>5149</v>
      </c>
      <c r="B310" s="17" t="s">
        <v>502</v>
      </c>
      <c r="C310" s="17" t="s">
        <v>114</v>
      </c>
      <c r="D310" s="17" t="s">
        <v>39</v>
      </c>
      <c r="E310" s="18">
        <f>ROUND(12915*1.05,2)</f>
      </c>
      <c r="F310" s="17" t="s">
        <v>40</v>
      </c>
      <c r="G310" s="17" t="s">
        <v>24</v>
      </c>
      <c r="H310" s="18">
        <f>ROUND(RAND()*4+6,1)</f>
      </c>
      <c r="I310" s="17" t="s">
        <v>41</v>
      </c>
      <c r="J310" s="19">
        <f>ROUND(60*1,0)&amp;"%"</f>
      </c>
    </row>
    <row x14ac:dyDescent="0.25" r="311" customHeight="1" ht="17.25">
      <c r="A311" s="20" t="s">
        <v>5150</v>
      </c>
      <c r="B311" s="20" t="s">
        <v>504</v>
      </c>
      <c r="C311" s="20" t="s">
        <v>114</v>
      </c>
      <c r="D311" s="20" t="s">
        <v>67</v>
      </c>
      <c r="E311" s="21">
        <f>ROUND(6966*1.05,2)</f>
      </c>
      <c r="F311" s="20" t="s">
        <v>44</v>
      </c>
      <c r="G311" s="20" t="s">
        <v>30</v>
      </c>
      <c r="H311" s="21">
        <f>ROUND(RAND()*4+6,1)</f>
      </c>
      <c r="I311" s="20" t="s">
        <v>45</v>
      </c>
      <c r="J311" s="23">
        <f>ROUND(100*1,0)&amp;"%"</f>
      </c>
    </row>
    <row x14ac:dyDescent="0.25" r="312" customHeight="1" ht="17.25">
      <c r="A312" s="17" t="s">
        <v>5151</v>
      </c>
      <c r="B312" s="17" t="s">
        <v>506</v>
      </c>
      <c r="C312" s="17" t="s">
        <v>114</v>
      </c>
      <c r="D312" s="17" t="s">
        <v>16</v>
      </c>
      <c r="E312" s="18">
        <f>ROUND(11075*1.05,2)</f>
      </c>
      <c r="F312" s="17" t="s">
        <v>48</v>
      </c>
      <c r="G312" s="17" t="s">
        <v>18</v>
      </c>
      <c r="H312" s="18">
        <f>ROUND(RAND()*4+6,1)</f>
      </c>
      <c r="I312" s="17" t="s">
        <v>19</v>
      </c>
      <c r="J312" s="19">
        <f>ROUND(80*1,0)&amp;"%"</f>
      </c>
    </row>
    <row x14ac:dyDescent="0.25" r="313" customHeight="1" ht="17.25">
      <c r="A313" s="20" t="s">
        <v>5152</v>
      </c>
      <c r="B313" s="20" t="s">
        <v>508</v>
      </c>
      <c r="C313" s="20" t="s">
        <v>114</v>
      </c>
      <c r="D313" s="20" t="s">
        <v>22</v>
      </c>
      <c r="E313" s="21">
        <f>ROUND(6706*1.05,2)</f>
      </c>
      <c r="F313" s="20" t="s">
        <v>51</v>
      </c>
      <c r="G313" s="20" t="s">
        <v>24</v>
      </c>
      <c r="H313" s="21">
        <f>ROUND(RAND()*4+6,1)</f>
      </c>
      <c r="I313" s="20" t="s">
        <v>25</v>
      </c>
      <c r="J313" s="23">
        <f>ROUND(91*1,0)&amp;"%"</f>
      </c>
    </row>
    <row x14ac:dyDescent="0.25" r="314" customHeight="1" ht="17.25">
      <c r="A314" s="24" t="s">
        <v>509</v>
      </c>
      <c r="B314" s="24"/>
      <c r="C314" s="24"/>
      <c r="D314" s="24"/>
      <c r="E314" s="25">
        <v>8</v>
      </c>
      <c r="F314" s="9"/>
      <c r="G314" s="9"/>
      <c r="H314" s="10"/>
      <c r="I314" s="9"/>
      <c r="J314" s="9"/>
    </row>
    <row x14ac:dyDescent="0.25" r="315" customHeight="1" ht="17.25">
      <c r="A315" s="7"/>
      <c r="B315" s="7"/>
      <c r="C315" s="7"/>
      <c r="D315" s="7"/>
      <c r="E315" s="8"/>
      <c r="F315" s="9"/>
      <c r="G315" s="9"/>
      <c r="H315" s="10"/>
      <c r="I315" s="9"/>
      <c r="J315" s="9"/>
    </row>
    <row x14ac:dyDescent="0.25" r="316" customHeight="1" ht="17.25">
      <c r="A316" s="11" t="s">
        <v>5153</v>
      </c>
      <c r="B316" s="11"/>
      <c r="C316" s="11"/>
      <c r="D316" s="11"/>
      <c r="E316" s="12"/>
      <c r="F316" s="11"/>
      <c r="G316" s="11"/>
      <c r="H316" s="13"/>
      <c r="I316" s="11"/>
      <c r="J316" s="11"/>
    </row>
    <row x14ac:dyDescent="0.25" r="317" customHeight="1" ht="17.25">
      <c r="A317" s="14" t="s">
        <v>3</v>
      </c>
      <c r="B317" s="14" t="s">
        <v>4</v>
      </c>
      <c r="C317" s="14" t="s">
        <v>5</v>
      </c>
      <c r="D317" s="14" t="s">
        <v>6</v>
      </c>
      <c r="E317" s="15" t="s">
        <v>7</v>
      </c>
      <c r="F317" s="14" t="s">
        <v>8</v>
      </c>
      <c r="G317" s="14" t="s">
        <v>9</v>
      </c>
      <c r="H317" s="16" t="s">
        <v>10</v>
      </c>
      <c r="I317" s="14" t="s">
        <v>11</v>
      </c>
      <c r="J317" s="14" t="s">
        <v>12</v>
      </c>
    </row>
    <row x14ac:dyDescent="0.25" r="318" customHeight="1" ht="17.25">
      <c r="A318" s="17" t="s">
        <v>5154</v>
      </c>
      <c r="B318" s="17" t="s">
        <v>512</v>
      </c>
      <c r="C318" s="17" t="s">
        <v>133</v>
      </c>
      <c r="D318" s="17" t="s">
        <v>16</v>
      </c>
      <c r="E318" s="18">
        <f>ROUND(17889*1.05,2)</f>
      </c>
      <c r="F318" s="17" t="s">
        <v>17</v>
      </c>
      <c r="G318" s="17" t="s">
        <v>18</v>
      </c>
      <c r="H318" s="18">
        <f>ROUND(RAND()*4+6,1)</f>
      </c>
      <c r="I318" s="17" t="s">
        <v>19</v>
      </c>
      <c r="J318" s="19">
        <f>ROUND(69*1,0)&amp;"%"</f>
      </c>
    </row>
    <row x14ac:dyDescent="0.25" r="319" customHeight="1" ht="17.25">
      <c r="A319" s="20" t="s">
        <v>5155</v>
      </c>
      <c r="B319" s="20" t="s">
        <v>514</v>
      </c>
      <c r="C319" s="20" t="s">
        <v>133</v>
      </c>
      <c r="D319" s="20" t="s">
        <v>22</v>
      </c>
      <c r="E319" s="21">
        <f>ROUND(5867*1.05,2)</f>
      </c>
      <c r="F319" s="20" t="s">
        <v>23</v>
      </c>
      <c r="G319" s="20" t="s">
        <v>24</v>
      </c>
      <c r="H319" s="21">
        <f>ROUND(RAND()*4+6,1)</f>
      </c>
      <c r="I319" s="20" t="s">
        <v>25</v>
      </c>
      <c r="J319" s="23">
        <f>ROUND(96*1,0)&amp;"%"</f>
      </c>
    </row>
    <row x14ac:dyDescent="0.25" r="320" customHeight="1" ht="17.25">
      <c r="A320" s="17" t="s">
        <v>5156</v>
      </c>
      <c r="B320" s="17" t="s">
        <v>516</v>
      </c>
      <c r="C320" s="17" t="s">
        <v>133</v>
      </c>
      <c r="D320" s="17" t="s">
        <v>28</v>
      </c>
      <c r="E320" s="18">
        <f>ROUND(8157*1.05,2)</f>
      </c>
      <c r="F320" s="17" t="s">
        <v>29</v>
      </c>
      <c r="G320" s="17" t="s">
        <v>30</v>
      </c>
      <c r="H320" s="18">
        <f>ROUND(RAND()*4+6,1)</f>
      </c>
      <c r="I320" s="17" t="s">
        <v>31</v>
      </c>
      <c r="J320" s="19">
        <f>ROUND(100*1,0)&amp;"%"</f>
      </c>
    </row>
    <row x14ac:dyDescent="0.25" r="321" customHeight="1" ht="17.25">
      <c r="A321" s="20" t="s">
        <v>5157</v>
      </c>
      <c r="B321" s="20" t="s">
        <v>518</v>
      </c>
      <c r="C321" s="20" t="s">
        <v>133</v>
      </c>
      <c r="D321" s="20" t="s">
        <v>34</v>
      </c>
      <c r="E321" s="21">
        <f>ROUND(12726*1.05,2)</f>
      </c>
      <c r="F321" s="20" t="s">
        <v>35</v>
      </c>
      <c r="G321" s="20" t="s">
        <v>18</v>
      </c>
      <c r="H321" s="21">
        <f>ROUND(RAND()*4+6,1)</f>
      </c>
      <c r="I321" s="20" t="s">
        <v>36</v>
      </c>
      <c r="J321" s="23">
        <f>ROUND(92*1,0)&amp;"%"</f>
      </c>
    </row>
    <row x14ac:dyDescent="0.25" r="322" customHeight="1" ht="17.25">
      <c r="A322" s="17" t="s">
        <v>5158</v>
      </c>
      <c r="B322" s="17" t="s">
        <v>520</v>
      </c>
      <c r="C322" s="17" t="s">
        <v>133</v>
      </c>
      <c r="D322" s="17" t="s">
        <v>39</v>
      </c>
      <c r="E322" s="18">
        <f>ROUND(17912*1.05,2)</f>
      </c>
      <c r="F322" s="17" t="s">
        <v>40</v>
      </c>
      <c r="G322" s="17" t="s">
        <v>24</v>
      </c>
      <c r="H322" s="18">
        <f>ROUND(RAND()*4+6,1)</f>
      </c>
      <c r="I322" s="17" t="s">
        <v>41</v>
      </c>
      <c r="J322" s="19">
        <f>ROUND(80*1,0)&amp;"%"</f>
      </c>
    </row>
    <row x14ac:dyDescent="0.25" r="323" customHeight="1" ht="17.25">
      <c r="A323" s="20" t="s">
        <v>5159</v>
      </c>
      <c r="B323" s="20" t="s">
        <v>522</v>
      </c>
      <c r="C323" s="20" t="s">
        <v>133</v>
      </c>
      <c r="D323" s="20" t="s">
        <v>67</v>
      </c>
      <c r="E323" s="22">
        <f>ROUND(6680*1.05,2)</f>
      </c>
      <c r="F323" s="20" t="s">
        <v>44</v>
      </c>
      <c r="G323" s="20" t="s">
        <v>30</v>
      </c>
      <c r="H323" s="21">
        <f>ROUND(RAND()*4+6,1)</f>
      </c>
      <c r="I323" s="20" t="s">
        <v>45</v>
      </c>
      <c r="J323" s="23">
        <f>ROUND(70*1,0)&amp;"%"</f>
      </c>
    </row>
    <row x14ac:dyDescent="0.25" r="324" customHeight="1" ht="17.25">
      <c r="A324" s="17" t="s">
        <v>5160</v>
      </c>
      <c r="B324" s="17" t="s">
        <v>524</v>
      </c>
      <c r="C324" s="17" t="s">
        <v>133</v>
      </c>
      <c r="D324" s="17" t="s">
        <v>16</v>
      </c>
      <c r="E324" s="18">
        <f>ROUND(9462*1.05,2)</f>
      </c>
      <c r="F324" s="17" t="s">
        <v>48</v>
      </c>
      <c r="G324" s="17" t="s">
        <v>18</v>
      </c>
      <c r="H324" s="18">
        <f>ROUND(RAND()*4+6,1)</f>
      </c>
      <c r="I324" s="17" t="s">
        <v>19</v>
      </c>
      <c r="J324" s="19">
        <f>ROUND(79*1,0)&amp;"%"</f>
      </c>
    </row>
    <row x14ac:dyDescent="0.25" r="325" customHeight="1" ht="17.25">
      <c r="A325" s="20" t="s">
        <v>5161</v>
      </c>
      <c r="B325" s="20" t="s">
        <v>526</v>
      </c>
      <c r="C325" s="20" t="s">
        <v>133</v>
      </c>
      <c r="D325" s="20" t="s">
        <v>22</v>
      </c>
      <c r="E325" s="21">
        <f>ROUND(17950*1.05,2)</f>
      </c>
      <c r="F325" s="20" t="s">
        <v>51</v>
      </c>
      <c r="G325" s="20" t="s">
        <v>24</v>
      </c>
      <c r="H325" s="21">
        <f>ROUND(RAND()*4+6,1)</f>
      </c>
      <c r="I325" s="20" t="s">
        <v>25</v>
      </c>
      <c r="J325" s="23">
        <f>ROUND(79*1,0)&amp;"%"</f>
      </c>
    </row>
    <row x14ac:dyDescent="0.25" r="326" customHeight="1" ht="17.25">
      <c r="A326" s="24" t="s">
        <v>527</v>
      </c>
      <c r="B326" s="24"/>
      <c r="C326" s="24"/>
      <c r="D326" s="24"/>
      <c r="E326" s="25">
        <v>8</v>
      </c>
      <c r="F326" s="9"/>
      <c r="G326" s="9"/>
      <c r="H326" s="10"/>
      <c r="I326" s="9"/>
      <c r="J326" s="9"/>
    </row>
    <row x14ac:dyDescent="0.25" r="327" customHeight="1" ht="17.25">
      <c r="A327" s="7"/>
      <c r="B327" s="7"/>
      <c r="C327" s="7"/>
      <c r="D327" s="7"/>
      <c r="E327" s="8"/>
      <c r="F327" s="9"/>
      <c r="G327" s="9"/>
      <c r="H327" s="10"/>
      <c r="I327" s="9"/>
      <c r="J327" s="9"/>
    </row>
    <row x14ac:dyDescent="0.25" r="328" customHeight="1" ht="17.25">
      <c r="A328" s="11" t="s">
        <v>5162</v>
      </c>
      <c r="B328" s="11"/>
      <c r="C328" s="11"/>
      <c r="D328" s="11"/>
      <c r="E328" s="12"/>
      <c r="F328" s="11"/>
      <c r="G328" s="11"/>
      <c r="H328" s="13"/>
      <c r="I328" s="11"/>
      <c r="J328" s="11"/>
    </row>
    <row x14ac:dyDescent="0.25" r="329" customHeight="1" ht="17.25">
      <c r="A329" s="14" t="s">
        <v>3</v>
      </c>
      <c r="B329" s="14" t="s">
        <v>4</v>
      </c>
      <c r="C329" s="14" t="s">
        <v>5</v>
      </c>
      <c r="D329" s="14" t="s">
        <v>6</v>
      </c>
      <c r="E329" s="15" t="s">
        <v>7</v>
      </c>
      <c r="F329" s="14" t="s">
        <v>8</v>
      </c>
      <c r="G329" s="14" t="s">
        <v>9</v>
      </c>
      <c r="H329" s="16" t="s">
        <v>10</v>
      </c>
      <c r="I329" s="14" t="s">
        <v>11</v>
      </c>
      <c r="J329" s="14" t="s">
        <v>12</v>
      </c>
    </row>
    <row x14ac:dyDescent="0.25" r="330" customHeight="1" ht="17.25">
      <c r="A330" s="17" t="s">
        <v>5163</v>
      </c>
      <c r="B330" s="17" t="s">
        <v>530</v>
      </c>
      <c r="C330" s="17" t="s">
        <v>152</v>
      </c>
      <c r="D330" s="17" t="s">
        <v>16</v>
      </c>
      <c r="E330" s="18">
        <f>ROUND(17558*1.05,2)</f>
      </c>
      <c r="F330" s="17" t="s">
        <v>17</v>
      </c>
      <c r="G330" s="17" t="s">
        <v>18</v>
      </c>
      <c r="H330" s="18">
        <f>ROUND(RAND()*4+6,1)</f>
      </c>
      <c r="I330" s="17" t="s">
        <v>19</v>
      </c>
      <c r="J330" s="19">
        <f>ROUND(98*1,0)&amp;"%"</f>
      </c>
    </row>
    <row x14ac:dyDescent="0.25" r="331" customHeight="1" ht="17.25">
      <c r="A331" s="20" t="s">
        <v>5164</v>
      </c>
      <c r="B331" s="20" t="s">
        <v>532</v>
      </c>
      <c r="C331" s="20" t="s">
        <v>152</v>
      </c>
      <c r="D331" s="20" t="s">
        <v>22</v>
      </c>
      <c r="E331" s="21">
        <f>ROUND(7081*1.05,2)</f>
      </c>
      <c r="F331" s="20" t="s">
        <v>23</v>
      </c>
      <c r="G331" s="20" t="s">
        <v>24</v>
      </c>
      <c r="H331" s="21">
        <f>ROUND(RAND()*4+6,1)</f>
      </c>
      <c r="I331" s="20" t="s">
        <v>25</v>
      </c>
      <c r="J331" s="23">
        <f>ROUND(77*1,0)&amp;"%"</f>
      </c>
    </row>
    <row x14ac:dyDescent="0.25" r="332" customHeight="1" ht="17.25">
      <c r="A332" s="17" t="s">
        <v>5165</v>
      </c>
      <c r="B332" s="17" t="s">
        <v>534</v>
      </c>
      <c r="C332" s="17" t="s">
        <v>152</v>
      </c>
      <c r="D332" s="17" t="s">
        <v>28</v>
      </c>
      <c r="E332" s="26">
        <f>ROUND(10560*1.05,2)</f>
      </c>
      <c r="F332" s="17" t="s">
        <v>29</v>
      </c>
      <c r="G332" s="17" t="s">
        <v>30</v>
      </c>
      <c r="H332" s="18">
        <f>ROUND(RAND()*4+6,1)</f>
      </c>
      <c r="I332" s="17" t="s">
        <v>31</v>
      </c>
      <c r="J332" s="19">
        <f>ROUND(95*1,0)&amp;"%"</f>
      </c>
    </row>
    <row x14ac:dyDescent="0.25" r="333" customHeight="1" ht="17.25">
      <c r="A333" s="20" t="s">
        <v>5166</v>
      </c>
      <c r="B333" s="20" t="s">
        <v>536</v>
      </c>
      <c r="C333" s="20" t="s">
        <v>152</v>
      </c>
      <c r="D333" s="20" t="s">
        <v>34</v>
      </c>
      <c r="E333" s="21">
        <f>ROUND(16561*1.05,2)</f>
      </c>
      <c r="F333" s="20" t="s">
        <v>35</v>
      </c>
      <c r="G333" s="20" t="s">
        <v>18</v>
      </c>
      <c r="H333" s="21">
        <f>ROUND(RAND()*4+6,1)</f>
      </c>
      <c r="I333" s="20" t="s">
        <v>36</v>
      </c>
      <c r="J333" s="23">
        <f>ROUND(81*1,0)&amp;"%"</f>
      </c>
    </row>
    <row x14ac:dyDescent="0.25" r="334" customHeight="1" ht="17.25">
      <c r="A334" s="17" t="s">
        <v>5167</v>
      </c>
      <c r="B334" s="17" t="s">
        <v>538</v>
      </c>
      <c r="C334" s="17" t="s">
        <v>152</v>
      </c>
      <c r="D334" s="17" t="s">
        <v>39</v>
      </c>
      <c r="E334" s="18">
        <f>ROUND(17568*1.05,2)</f>
      </c>
      <c r="F334" s="17" t="s">
        <v>40</v>
      </c>
      <c r="G334" s="17" t="s">
        <v>24</v>
      </c>
      <c r="H334" s="18">
        <f>ROUND(RAND()*4+6,1)</f>
      </c>
      <c r="I334" s="17" t="s">
        <v>41</v>
      </c>
      <c r="J334" s="19">
        <f>ROUND(72*1,0)&amp;"%"</f>
      </c>
    </row>
    <row x14ac:dyDescent="0.25" r="335" customHeight="1" ht="17.25">
      <c r="A335" s="20" t="s">
        <v>5168</v>
      </c>
      <c r="B335" s="20" t="s">
        <v>540</v>
      </c>
      <c r="C335" s="20" t="s">
        <v>152</v>
      </c>
      <c r="D335" s="20" t="s">
        <v>67</v>
      </c>
      <c r="E335" s="21">
        <f>ROUND(7584*1.05,2)</f>
      </c>
      <c r="F335" s="20" t="s">
        <v>44</v>
      </c>
      <c r="G335" s="20" t="s">
        <v>30</v>
      </c>
      <c r="H335" s="21">
        <f>ROUND(RAND()*4+6,1)</f>
      </c>
      <c r="I335" s="20" t="s">
        <v>45</v>
      </c>
      <c r="J335" s="23">
        <f>ROUND(73*1,0)&amp;"%"</f>
      </c>
    </row>
    <row x14ac:dyDescent="0.25" r="336" customHeight="1" ht="17.25">
      <c r="A336" s="17" t="s">
        <v>5169</v>
      </c>
      <c r="B336" s="17" t="s">
        <v>542</v>
      </c>
      <c r="C336" s="17" t="s">
        <v>152</v>
      </c>
      <c r="D336" s="17" t="s">
        <v>16</v>
      </c>
      <c r="E336" s="18">
        <f>ROUND(11413*1.05,2)</f>
      </c>
      <c r="F336" s="17" t="s">
        <v>48</v>
      </c>
      <c r="G336" s="17" t="s">
        <v>18</v>
      </c>
      <c r="H336" s="18">
        <f>ROUND(RAND()*4+6,1)</f>
      </c>
      <c r="I336" s="17" t="s">
        <v>19</v>
      </c>
      <c r="J336" s="19">
        <f>ROUND(98*1,0)&amp;"%"</f>
      </c>
    </row>
    <row x14ac:dyDescent="0.25" r="337" customHeight="1" ht="17.25">
      <c r="A337" s="20" t="s">
        <v>5170</v>
      </c>
      <c r="B337" s="20" t="s">
        <v>544</v>
      </c>
      <c r="C337" s="20" t="s">
        <v>152</v>
      </c>
      <c r="D337" s="20" t="s">
        <v>22</v>
      </c>
      <c r="E337" s="21">
        <f>ROUND(15016*1.05,2)</f>
      </c>
      <c r="F337" s="20" t="s">
        <v>51</v>
      </c>
      <c r="G337" s="20" t="s">
        <v>24</v>
      </c>
      <c r="H337" s="21">
        <f>ROUND(RAND()*4+6,1)</f>
      </c>
      <c r="I337" s="20" t="s">
        <v>25</v>
      </c>
      <c r="J337" s="23">
        <f>ROUND(88*1,0)&amp;"%"</f>
      </c>
    </row>
    <row x14ac:dyDescent="0.25" r="338" customHeight="1" ht="17.25">
      <c r="A338" s="24" t="s">
        <v>545</v>
      </c>
      <c r="B338" s="24"/>
      <c r="C338" s="24"/>
      <c r="D338" s="24"/>
      <c r="E338" s="25">
        <v>8</v>
      </c>
      <c r="F338" s="9"/>
      <c r="G338" s="9"/>
      <c r="H338" s="10"/>
      <c r="I338" s="9"/>
      <c r="J338" s="9"/>
    </row>
    <row x14ac:dyDescent="0.25" r="339" customHeight="1" ht="17.25">
      <c r="A339" s="7"/>
      <c r="B339" s="7"/>
      <c r="C339" s="7"/>
      <c r="D339" s="7"/>
      <c r="E339" s="8"/>
      <c r="F339" s="9"/>
      <c r="G339" s="9"/>
      <c r="H339" s="10"/>
      <c r="I339" s="9"/>
      <c r="J339" s="9"/>
    </row>
    <row x14ac:dyDescent="0.25" r="340" customHeight="1" ht="17.25">
      <c r="A340" s="11" t="s">
        <v>5171</v>
      </c>
      <c r="B340" s="11"/>
      <c r="C340" s="11"/>
      <c r="D340" s="11"/>
      <c r="E340" s="12"/>
      <c r="F340" s="11"/>
      <c r="G340" s="11"/>
      <c r="H340" s="13"/>
      <c r="I340" s="11"/>
      <c r="J340" s="11"/>
    </row>
    <row x14ac:dyDescent="0.25" r="341" customHeight="1" ht="17.25">
      <c r="A341" s="14" t="s">
        <v>3</v>
      </c>
      <c r="B341" s="14" t="s">
        <v>4</v>
      </c>
      <c r="C341" s="14" t="s">
        <v>5</v>
      </c>
      <c r="D341" s="14" t="s">
        <v>6</v>
      </c>
      <c r="E341" s="15" t="s">
        <v>7</v>
      </c>
      <c r="F341" s="14" t="s">
        <v>8</v>
      </c>
      <c r="G341" s="14" t="s">
        <v>9</v>
      </c>
      <c r="H341" s="16" t="s">
        <v>10</v>
      </c>
      <c r="I341" s="14" t="s">
        <v>11</v>
      </c>
      <c r="J341" s="14" t="s">
        <v>12</v>
      </c>
    </row>
    <row x14ac:dyDescent="0.25" r="342" customHeight="1" ht="17.25">
      <c r="A342" s="17" t="s">
        <v>5172</v>
      </c>
      <c r="B342" s="17" t="s">
        <v>548</v>
      </c>
      <c r="C342" s="17" t="s">
        <v>15</v>
      </c>
      <c r="D342" s="17" t="s">
        <v>16</v>
      </c>
      <c r="E342" s="18">
        <f>ROUND(9047*1.05,2)</f>
      </c>
      <c r="F342" s="17" t="s">
        <v>17</v>
      </c>
      <c r="G342" s="17" t="s">
        <v>18</v>
      </c>
      <c r="H342" s="18">
        <f>ROUND(RAND()*4+6,1)</f>
      </c>
      <c r="I342" s="17" t="s">
        <v>19</v>
      </c>
      <c r="J342" s="19">
        <f>ROUND(83*1,0)&amp;"%"</f>
      </c>
    </row>
    <row x14ac:dyDescent="0.25" r="343" customHeight="1" ht="17.25">
      <c r="A343" s="20" t="s">
        <v>5173</v>
      </c>
      <c r="B343" s="20" t="s">
        <v>550</v>
      </c>
      <c r="C343" s="20" t="s">
        <v>15</v>
      </c>
      <c r="D343" s="20" t="s">
        <v>22</v>
      </c>
      <c r="E343" s="21">
        <f>ROUND(12498*1.05,2)</f>
      </c>
      <c r="F343" s="20" t="s">
        <v>23</v>
      </c>
      <c r="G343" s="20" t="s">
        <v>24</v>
      </c>
      <c r="H343" s="21">
        <f>ROUND(RAND()*4+6,1)</f>
      </c>
      <c r="I343" s="20" t="s">
        <v>25</v>
      </c>
      <c r="J343" s="23">
        <f>ROUND(93*1,0)&amp;"%"</f>
      </c>
    </row>
    <row x14ac:dyDescent="0.25" r="344" customHeight="1" ht="17.25">
      <c r="A344" s="17" t="s">
        <v>5174</v>
      </c>
      <c r="B344" s="17" t="s">
        <v>552</v>
      </c>
      <c r="C344" s="17" t="s">
        <v>15</v>
      </c>
      <c r="D344" s="17" t="s">
        <v>28</v>
      </c>
      <c r="E344" s="18">
        <f>ROUND(10866*1.05,2)</f>
      </c>
      <c r="F344" s="17" t="s">
        <v>29</v>
      </c>
      <c r="G344" s="17" t="s">
        <v>30</v>
      </c>
      <c r="H344" s="18">
        <f>ROUND(RAND()*4+6,1)</f>
      </c>
      <c r="I344" s="17" t="s">
        <v>31</v>
      </c>
      <c r="J344" s="19">
        <f>ROUND(85*1,0)&amp;"%"</f>
      </c>
    </row>
    <row x14ac:dyDescent="0.25" r="345" customHeight="1" ht="17.25">
      <c r="A345" s="20" t="s">
        <v>5175</v>
      </c>
      <c r="B345" s="20" t="s">
        <v>554</v>
      </c>
      <c r="C345" s="20" t="s">
        <v>15</v>
      </c>
      <c r="D345" s="20" t="s">
        <v>34</v>
      </c>
      <c r="E345" s="21">
        <f>ROUND(17687*1.05,2)</f>
      </c>
      <c r="F345" s="20" t="s">
        <v>35</v>
      </c>
      <c r="G345" s="20" t="s">
        <v>18</v>
      </c>
      <c r="H345" s="21">
        <f>ROUND(RAND()*4+6,1)</f>
      </c>
      <c r="I345" s="20" t="s">
        <v>36</v>
      </c>
      <c r="J345" s="23">
        <f>ROUND(61*1,0)&amp;"%"</f>
      </c>
    </row>
    <row x14ac:dyDescent="0.25" r="346" customHeight="1" ht="17.25">
      <c r="A346" s="17" t="s">
        <v>5176</v>
      </c>
      <c r="B346" s="17" t="s">
        <v>556</v>
      </c>
      <c r="C346" s="17" t="s">
        <v>15</v>
      </c>
      <c r="D346" s="17" t="s">
        <v>39</v>
      </c>
      <c r="E346" s="18">
        <f>ROUND(4310*1.05,2)</f>
      </c>
      <c r="F346" s="17" t="s">
        <v>40</v>
      </c>
      <c r="G346" s="17" t="s">
        <v>24</v>
      </c>
      <c r="H346" s="18">
        <f>ROUND(RAND()*4+6,1)</f>
      </c>
      <c r="I346" s="17" t="s">
        <v>41</v>
      </c>
      <c r="J346" s="19">
        <f>ROUND(83*1,0)&amp;"%"</f>
      </c>
    </row>
    <row x14ac:dyDescent="0.25" r="347" customHeight="1" ht="17.25">
      <c r="A347" s="20" t="s">
        <v>5177</v>
      </c>
      <c r="B347" s="20" t="s">
        <v>558</v>
      </c>
      <c r="C347" s="20" t="s">
        <v>15</v>
      </c>
      <c r="D347" s="20" t="s">
        <v>67</v>
      </c>
      <c r="E347" s="21">
        <f>ROUND(17475*1.05,2)</f>
      </c>
      <c r="F347" s="20" t="s">
        <v>44</v>
      </c>
      <c r="G347" s="20" t="s">
        <v>30</v>
      </c>
      <c r="H347" s="21">
        <f>ROUND(RAND()*4+6,1)</f>
      </c>
      <c r="I347" s="20" t="s">
        <v>45</v>
      </c>
      <c r="J347" s="23">
        <f>ROUND(70*1,0)&amp;"%"</f>
      </c>
    </row>
    <row x14ac:dyDescent="0.25" r="348" customHeight="1" ht="17.25">
      <c r="A348" s="17" t="s">
        <v>5178</v>
      </c>
      <c r="B348" s="17" t="s">
        <v>560</v>
      </c>
      <c r="C348" s="17" t="s">
        <v>15</v>
      </c>
      <c r="D348" s="17" t="s">
        <v>16</v>
      </c>
      <c r="E348" s="18">
        <f>ROUND(9737*1.05,2)</f>
      </c>
      <c r="F348" s="17" t="s">
        <v>48</v>
      </c>
      <c r="G348" s="17" t="s">
        <v>18</v>
      </c>
      <c r="H348" s="18">
        <f>ROUND(RAND()*4+6,1)</f>
      </c>
      <c r="I348" s="17" t="s">
        <v>19</v>
      </c>
      <c r="J348" s="19">
        <f>ROUND(76*1,0)&amp;"%"</f>
      </c>
    </row>
    <row x14ac:dyDescent="0.25" r="349" customHeight="1" ht="17.25">
      <c r="A349" s="20" t="s">
        <v>5179</v>
      </c>
      <c r="B349" s="20" t="s">
        <v>562</v>
      </c>
      <c r="C349" s="20" t="s">
        <v>15</v>
      </c>
      <c r="D349" s="20" t="s">
        <v>22</v>
      </c>
      <c r="E349" s="21">
        <f>ROUND(9577*1.05,2)</f>
      </c>
      <c r="F349" s="20" t="s">
        <v>51</v>
      </c>
      <c r="G349" s="20" t="s">
        <v>24</v>
      </c>
      <c r="H349" s="21">
        <f>ROUND(RAND()*4+6,1)</f>
      </c>
      <c r="I349" s="20" t="s">
        <v>25</v>
      </c>
      <c r="J349" s="23">
        <f>ROUND(90*1,0)&amp;"%"</f>
      </c>
    </row>
    <row x14ac:dyDescent="0.25" r="350" customHeight="1" ht="17.25">
      <c r="A350" s="24" t="s">
        <v>563</v>
      </c>
      <c r="B350" s="24"/>
      <c r="C350" s="24"/>
      <c r="D350" s="24"/>
      <c r="E350" s="25">
        <v>8</v>
      </c>
      <c r="F350" s="9"/>
      <c r="G350" s="9"/>
      <c r="H350" s="10"/>
      <c r="I350" s="9"/>
      <c r="J350" s="9"/>
    </row>
    <row x14ac:dyDescent="0.25" r="351" customHeight="1" ht="17.25">
      <c r="A351" s="7"/>
      <c r="B351" s="7"/>
      <c r="C351" s="7"/>
      <c r="D351" s="7"/>
      <c r="E351" s="8"/>
      <c r="F351" s="9"/>
      <c r="G351" s="9"/>
      <c r="H351" s="10"/>
      <c r="I351" s="9"/>
      <c r="J351" s="9"/>
    </row>
    <row x14ac:dyDescent="0.25" r="352" customHeight="1" ht="17.25">
      <c r="A352" s="11" t="s">
        <v>5180</v>
      </c>
      <c r="B352" s="11"/>
      <c r="C352" s="11"/>
      <c r="D352" s="11"/>
      <c r="E352" s="12"/>
      <c r="F352" s="11"/>
      <c r="G352" s="11"/>
      <c r="H352" s="13"/>
      <c r="I352" s="11"/>
      <c r="J352" s="11"/>
    </row>
    <row x14ac:dyDescent="0.25" r="353" customHeight="1" ht="17.25">
      <c r="A353" s="14" t="s">
        <v>3</v>
      </c>
      <c r="B353" s="14" t="s">
        <v>4</v>
      </c>
      <c r="C353" s="14" t="s">
        <v>5</v>
      </c>
      <c r="D353" s="14" t="s">
        <v>6</v>
      </c>
      <c r="E353" s="15" t="s">
        <v>7</v>
      </c>
      <c r="F353" s="14" t="s">
        <v>8</v>
      </c>
      <c r="G353" s="14" t="s">
        <v>9</v>
      </c>
      <c r="H353" s="16" t="s">
        <v>10</v>
      </c>
      <c r="I353" s="14" t="s">
        <v>11</v>
      </c>
      <c r="J353" s="14" t="s">
        <v>12</v>
      </c>
    </row>
    <row x14ac:dyDescent="0.25" r="354" customHeight="1" ht="17.25">
      <c r="A354" s="17" t="s">
        <v>5181</v>
      </c>
      <c r="B354" s="17" t="s">
        <v>566</v>
      </c>
      <c r="C354" s="17" t="s">
        <v>56</v>
      </c>
      <c r="D354" s="17" t="s">
        <v>16</v>
      </c>
      <c r="E354" s="18">
        <f>ROUND(10186*1.05,2)</f>
      </c>
      <c r="F354" s="17" t="s">
        <v>17</v>
      </c>
      <c r="G354" s="17" t="s">
        <v>18</v>
      </c>
      <c r="H354" s="18">
        <f>ROUND(RAND()*4+6,1)</f>
      </c>
      <c r="I354" s="17" t="s">
        <v>19</v>
      </c>
      <c r="J354" s="19">
        <f>ROUND(80*1,0)&amp;"%"</f>
      </c>
    </row>
    <row x14ac:dyDescent="0.25" r="355" customHeight="1" ht="17.25">
      <c r="A355" s="20" t="s">
        <v>5182</v>
      </c>
      <c r="B355" s="20" t="s">
        <v>568</v>
      </c>
      <c r="C355" s="20" t="s">
        <v>56</v>
      </c>
      <c r="D355" s="20" t="s">
        <v>22</v>
      </c>
      <c r="E355" s="21">
        <f>ROUND(16679*1.05,2)</f>
      </c>
      <c r="F355" s="20" t="s">
        <v>23</v>
      </c>
      <c r="G355" s="20" t="s">
        <v>24</v>
      </c>
      <c r="H355" s="21">
        <f>ROUND(RAND()*4+6,1)</f>
      </c>
      <c r="I355" s="20" t="s">
        <v>25</v>
      </c>
      <c r="J355" s="23">
        <f>ROUND(69*1,0)&amp;"%"</f>
      </c>
    </row>
    <row x14ac:dyDescent="0.25" r="356" customHeight="1" ht="17.25">
      <c r="A356" s="17" t="s">
        <v>5183</v>
      </c>
      <c r="B356" s="17" t="s">
        <v>570</v>
      </c>
      <c r="C356" s="17" t="s">
        <v>56</v>
      </c>
      <c r="D356" s="17" t="s">
        <v>28</v>
      </c>
      <c r="E356" s="18">
        <f>ROUND(16251*1.05,2)</f>
      </c>
      <c r="F356" s="17" t="s">
        <v>29</v>
      </c>
      <c r="G356" s="17" t="s">
        <v>30</v>
      </c>
      <c r="H356" s="18">
        <f>ROUND(RAND()*4+6,1)</f>
      </c>
      <c r="I356" s="17" t="s">
        <v>31</v>
      </c>
      <c r="J356" s="19">
        <f>ROUND(67*1,0)&amp;"%"</f>
      </c>
    </row>
    <row x14ac:dyDescent="0.25" r="357" customHeight="1" ht="17.25">
      <c r="A357" s="20" t="s">
        <v>5184</v>
      </c>
      <c r="B357" s="20" t="s">
        <v>572</v>
      </c>
      <c r="C357" s="20" t="s">
        <v>56</v>
      </c>
      <c r="D357" s="20" t="s">
        <v>34</v>
      </c>
      <c r="E357" s="21">
        <f>ROUND(12849*1.05,2)</f>
      </c>
      <c r="F357" s="20" t="s">
        <v>35</v>
      </c>
      <c r="G357" s="20" t="s">
        <v>18</v>
      </c>
      <c r="H357" s="21">
        <f>ROUND(RAND()*4+6,1)</f>
      </c>
      <c r="I357" s="20" t="s">
        <v>36</v>
      </c>
      <c r="J357" s="23">
        <f>ROUND(77*1,0)&amp;"%"</f>
      </c>
    </row>
    <row x14ac:dyDescent="0.25" r="358" customHeight="1" ht="17.25">
      <c r="A358" s="17" t="s">
        <v>5185</v>
      </c>
      <c r="B358" s="17" t="s">
        <v>574</v>
      </c>
      <c r="C358" s="17" t="s">
        <v>56</v>
      </c>
      <c r="D358" s="17" t="s">
        <v>39</v>
      </c>
      <c r="E358" s="18">
        <f>ROUND(14948*1.05,2)</f>
      </c>
      <c r="F358" s="17" t="s">
        <v>40</v>
      </c>
      <c r="G358" s="17" t="s">
        <v>24</v>
      </c>
      <c r="H358" s="18">
        <f>ROUND(RAND()*4+6,1)</f>
      </c>
      <c r="I358" s="17" t="s">
        <v>41</v>
      </c>
      <c r="J358" s="19">
        <f>ROUND(89*1,0)&amp;"%"</f>
      </c>
    </row>
    <row x14ac:dyDescent="0.25" r="359" customHeight="1" ht="17.25">
      <c r="A359" s="20" t="s">
        <v>5186</v>
      </c>
      <c r="B359" s="20" t="s">
        <v>576</v>
      </c>
      <c r="C359" s="20" t="s">
        <v>56</v>
      </c>
      <c r="D359" s="20" t="s">
        <v>67</v>
      </c>
      <c r="E359" s="21">
        <f>ROUND(4312*1.05,2)</f>
      </c>
      <c r="F359" s="20" t="s">
        <v>44</v>
      </c>
      <c r="G359" s="20" t="s">
        <v>30</v>
      </c>
      <c r="H359" s="22">
        <f>ROUND(RAND()*4+6,1)</f>
      </c>
      <c r="I359" s="20" t="s">
        <v>45</v>
      </c>
      <c r="J359" s="23">
        <f>ROUND(62*1,0)&amp;"%"</f>
      </c>
    </row>
    <row x14ac:dyDescent="0.25" r="360" customHeight="1" ht="17.25">
      <c r="A360" s="17" t="s">
        <v>5187</v>
      </c>
      <c r="B360" s="17" t="s">
        <v>578</v>
      </c>
      <c r="C360" s="17" t="s">
        <v>56</v>
      </c>
      <c r="D360" s="17" t="s">
        <v>16</v>
      </c>
      <c r="E360" s="18">
        <f>ROUND(8049*1.05,2)</f>
      </c>
      <c r="F360" s="17" t="s">
        <v>48</v>
      </c>
      <c r="G360" s="17" t="s">
        <v>18</v>
      </c>
      <c r="H360" s="18">
        <f>ROUND(RAND()*4+6,1)</f>
      </c>
      <c r="I360" s="17" t="s">
        <v>19</v>
      </c>
      <c r="J360" s="19">
        <f>ROUND(66*1,0)&amp;"%"</f>
      </c>
    </row>
    <row x14ac:dyDescent="0.25" r="361" customHeight="1" ht="17.25">
      <c r="A361" s="20" t="s">
        <v>5188</v>
      </c>
      <c r="B361" s="20" t="s">
        <v>580</v>
      </c>
      <c r="C361" s="20" t="s">
        <v>56</v>
      </c>
      <c r="D361" s="20" t="s">
        <v>22</v>
      </c>
      <c r="E361" s="21">
        <f>ROUND(8299*1.05,2)</f>
      </c>
      <c r="F361" s="20" t="s">
        <v>51</v>
      </c>
      <c r="G361" s="20" t="s">
        <v>24</v>
      </c>
      <c r="H361" s="21">
        <f>ROUND(RAND()*4+6,1)</f>
      </c>
      <c r="I361" s="20" t="s">
        <v>25</v>
      </c>
      <c r="J361" s="23">
        <f>ROUND(84*1,0)&amp;"%"</f>
      </c>
    </row>
    <row x14ac:dyDescent="0.25" r="362" customHeight="1" ht="17.25">
      <c r="A362" s="24" t="s">
        <v>581</v>
      </c>
      <c r="B362" s="24"/>
      <c r="C362" s="24"/>
      <c r="D362" s="24"/>
      <c r="E362" s="25">
        <v>8</v>
      </c>
      <c r="F362" s="9"/>
      <c r="G362" s="9"/>
      <c r="H362" s="10"/>
      <c r="I362" s="9"/>
      <c r="J362" s="9"/>
    </row>
  </sheetData>
  <mergeCells count="62">
    <mergeCell ref="A1:J1"/>
    <mergeCell ref="A2:J2"/>
    <mergeCell ref="A4:J4"/>
    <mergeCell ref="A14:D14"/>
    <mergeCell ref="A16:J16"/>
    <mergeCell ref="A26:D26"/>
    <mergeCell ref="A28:J28"/>
    <mergeCell ref="A38:D38"/>
    <mergeCell ref="A40:J40"/>
    <mergeCell ref="A50:D50"/>
    <mergeCell ref="A52:J52"/>
    <mergeCell ref="A62:D62"/>
    <mergeCell ref="A64:J64"/>
    <mergeCell ref="A74:D74"/>
    <mergeCell ref="A76:J76"/>
    <mergeCell ref="A86:D86"/>
    <mergeCell ref="A88:J88"/>
    <mergeCell ref="A98:D98"/>
    <mergeCell ref="A100:J100"/>
    <mergeCell ref="A110:D110"/>
    <mergeCell ref="A112:J112"/>
    <mergeCell ref="A122:D122"/>
    <mergeCell ref="A124:J124"/>
    <mergeCell ref="A134:D134"/>
    <mergeCell ref="A136:J136"/>
    <mergeCell ref="A146:D146"/>
    <mergeCell ref="A148:J148"/>
    <mergeCell ref="A158:D158"/>
    <mergeCell ref="A160:J160"/>
    <mergeCell ref="A170:D170"/>
    <mergeCell ref="A172:J172"/>
    <mergeCell ref="A182:D182"/>
    <mergeCell ref="A184:J184"/>
    <mergeCell ref="A194:D194"/>
    <mergeCell ref="A196:J196"/>
    <mergeCell ref="A206:D206"/>
    <mergeCell ref="A208:J208"/>
    <mergeCell ref="A218:D218"/>
    <mergeCell ref="A220:J220"/>
    <mergeCell ref="A230:D230"/>
    <mergeCell ref="A232:J232"/>
    <mergeCell ref="A242:D242"/>
    <mergeCell ref="A244:J244"/>
    <mergeCell ref="A254:D254"/>
    <mergeCell ref="A256:J256"/>
    <mergeCell ref="A266:D266"/>
    <mergeCell ref="A268:J268"/>
    <mergeCell ref="A278:D278"/>
    <mergeCell ref="A280:J280"/>
    <mergeCell ref="A290:D290"/>
    <mergeCell ref="A292:J292"/>
    <mergeCell ref="A302:D302"/>
    <mergeCell ref="A304:J304"/>
    <mergeCell ref="A314:D314"/>
    <mergeCell ref="A316:J316"/>
    <mergeCell ref="A326:D326"/>
    <mergeCell ref="A328:J328"/>
    <mergeCell ref="A338:D338"/>
    <mergeCell ref="A340:J340"/>
    <mergeCell ref="A350:D350"/>
    <mergeCell ref="A352:J352"/>
    <mergeCell ref="A362:D362"/>
  </mergeCells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J362"/>
  <sheetViews>
    <sheetView workbookViewId="0"/>
  </sheetViews>
  <sheetFormatPr defaultRowHeight="15" x14ac:dyDescent="0.25"/>
  <cols>
    <col min="1" max="1" style="27" width="8.005" customWidth="1" bestFit="1"/>
    <col min="2" max="2" style="27" width="22.005" customWidth="1" bestFit="1"/>
    <col min="3" max="3" style="27" width="16.005" customWidth="1" bestFit="1"/>
    <col min="4" max="4" style="27" width="14.005" customWidth="1" bestFit="1"/>
    <col min="5" max="5" style="28" width="12.005" customWidth="1" bestFit="1"/>
    <col min="6" max="6" style="29" width="16.005" customWidth="1" bestFit="1"/>
    <col min="7" max="7" style="29" width="10.005" customWidth="1" bestFit="1"/>
    <col min="8" max="8" style="30" width="10.005" customWidth="1" bestFit="1"/>
    <col min="9" max="9" style="29" width="14.005" customWidth="1" bestFit="1"/>
    <col min="10" max="10" style="29" width="8.005" customWidth="1" bestFit="1"/>
  </cols>
  <sheetData>
    <row x14ac:dyDescent="0.25" r="1" customHeight="1" ht="17.25">
      <c r="A1" s="1" t="s">
        <v>4647</v>
      </c>
      <c r="B1" s="1"/>
      <c r="C1" s="1"/>
      <c r="D1" s="1"/>
      <c r="E1" s="2"/>
      <c r="F1" s="1"/>
      <c r="G1" s="1"/>
      <c r="H1" s="3"/>
      <c r="I1" s="1"/>
      <c r="J1" s="1"/>
    </row>
    <row x14ac:dyDescent="0.25" r="2" customHeight="1" ht="17.25">
      <c r="A2" s="4" t="s">
        <v>1</v>
      </c>
      <c r="B2" s="4"/>
      <c r="C2" s="4"/>
      <c r="D2" s="4"/>
      <c r="E2" s="5"/>
      <c r="F2" s="4"/>
      <c r="G2" s="4"/>
      <c r="H2" s="6"/>
      <c r="I2" s="4"/>
      <c r="J2" s="4"/>
    </row>
    <row x14ac:dyDescent="0.25" r="3" customHeight="1" ht="17.25">
      <c r="A3" s="7"/>
      <c r="B3" s="7"/>
      <c r="C3" s="7"/>
      <c r="D3" s="7"/>
      <c r="E3" s="8"/>
      <c r="F3" s="9"/>
      <c r="G3" s="9"/>
      <c r="H3" s="10"/>
      <c r="I3" s="9"/>
      <c r="J3" s="9"/>
    </row>
    <row x14ac:dyDescent="0.25" r="4" customHeight="1" ht="17.25">
      <c r="A4" s="11" t="s">
        <v>4648</v>
      </c>
      <c r="B4" s="11"/>
      <c r="C4" s="11"/>
      <c r="D4" s="11"/>
      <c r="E4" s="12"/>
      <c r="F4" s="11"/>
      <c r="G4" s="11"/>
      <c r="H4" s="13"/>
      <c r="I4" s="11"/>
      <c r="J4" s="11"/>
    </row>
    <row x14ac:dyDescent="0.25" r="5" customHeight="1" ht="17.25">
      <c r="A5" s="14" t="s">
        <v>3</v>
      </c>
      <c r="B5" s="14" t="s">
        <v>4</v>
      </c>
      <c r="C5" s="14" t="s">
        <v>5</v>
      </c>
      <c r="D5" s="14" t="s">
        <v>6</v>
      </c>
      <c r="E5" s="15" t="s">
        <v>7</v>
      </c>
      <c r="F5" s="14" t="s">
        <v>8</v>
      </c>
      <c r="G5" s="14" t="s">
        <v>9</v>
      </c>
      <c r="H5" s="16" t="s">
        <v>10</v>
      </c>
      <c r="I5" s="14" t="s">
        <v>11</v>
      </c>
      <c r="J5" s="14" t="s">
        <v>12</v>
      </c>
    </row>
    <row x14ac:dyDescent="0.25" r="6" customHeight="1" ht="17.25">
      <c r="A6" s="17" t="s">
        <v>4649</v>
      </c>
      <c r="B6" s="17" t="s">
        <v>14</v>
      </c>
      <c r="C6" s="17" t="s">
        <v>15</v>
      </c>
      <c r="D6" s="17" t="s">
        <v>16</v>
      </c>
      <c r="E6" s="18">
        <f>ROUND(8226*1.05,2)</f>
      </c>
      <c r="F6" s="17" t="s">
        <v>17</v>
      </c>
      <c r="G6" s="17" t="s">
        <v>18</v>
      </c>
      <c r="H6" s="18">
        <f>ROUND(RAND()*4+6,1)</f>
      </c>
      <c r="I6" s="17" t="s">
        <v>19</v>
      </c>
      <c r="J6" s="19">
        <f>ROUND(62*1,0)&amp;"%"</f>
      </c>
    </row>
    <row x14ac:dyDescent="0.25" r="7" customHeight="1" ht="17.25">
      <c r="A7" s="20" t="s">
        <v>4650</v>
      </c>
      <c r="B7" s="20" t="s">
        <v>21</v>
      </c>
      <c r="C7" s="20" t="s">
        <v>15</v>
      </c>
      <c r="D7" s="20" t="s">
        <v>22</v>
      </c>
      <c r="E7" s="21">
        <f>ROUND(7076*1.05,2)</f>
      </c>
      <c r="F7" s="20" t="s">
        <v>23</v>
      </c>
      <c r="G7" s="20" t="s">
        <v>24</v>
      </c>
      <c r="H7" s="21">
        <f>ROUND(RAND()*4+6,1)</f>
      </c>
      <c r="I7" s="20" t="s">
        <v>25</v>
      </c>
      <c r="J7" s="23">
        <f>ROUND(91*1,0)&amp;"%"</f>
      </c>
    </row>
    <row x14ac:dyDescent="0.25" r="8" customHeight="1" ht="17.25">
      <c r="A8" s="17" t="s">
        <v>4651</v>
      </c>
      <c r="B8" s="17" t="s">
        <v>27</v>
      </c>
      <c r="C8" s="17" t="s">
        <v>15</v>
      </c>
      <c r="D8" s="17" t="s">
        <v>28</v>
      </c>
      <c r="E8" s="18">
        <f>ROUND(12316*1.05,2)</f>
      </c>
      <c r="F8" s="17" t="s">
        <v>29</v>
      </c>
      <c r="G8" s="17" t="s">
        <v>30</v>
      </c>
      <c r="H8" s="18">
        <f>ROUND(RAND()*4+6,1)</f>
      </c>
      <c r="I8" s="17" t="s">
        <v>31</v>
      </c>
      <c r="J8" s="19">
        <f>ROUND(86*1,0)&amp;"%"</f>
      </c>
    </row>
    <row x14ac:dyDescent="0.25" r="9" customHeight="1" ht="17.25">
      <c r="A9" s="20" t="s">
        <v>4652</v>
      </c>
      <c r="B9" s="20" t="s">
        <v>33</v>
      </c>
      <c r="C9" s="20" t="s">
        <v>15</v>
      </c>
      <c r="D9" s="20" t="s">
        <v>34</v>
      </c>
      <c r="E9" s="21">
        <f>ROUND(7290*1.05,2)</f>
      </c>
      <c r="F9" s="20" t="s">
        <v>35</v>
      </c>
      <c r="G9" s="20" t="s">
        <v>18</v>
      </c>
      <c r="H9" s="22">
        <f>ROUND(RAND()*4+6,1)</f>
      </c>
      <c r="I9" s="20" t="s">
        <v>36</v>
      </c>
      <c r="J9" s="23">
        <f>ROUND(98*1,0)&amp;"%"</f>
      </c>
    </row>
    <row x14ac:dyDescent="0.25" r="10" customHeight="1" ht="17.25">
      <c r="A10" s="17" t="s">
        <v>4653</v>
      </c>
      <c r="B10" s="17" t="s">
        <v>38</v>
      </c>
      <c r="C10" s="17" t="s">
        <v>15</v>
      </c>
      <c r="D10" s="17" t="s">
        <v>39</v>
      </c>
      <c r="E10" s="18">
        <f>ROUND(14341*1.05,2)</f>
      </c>
      <c r="F10" s="17" t="s">
        <v>40</v>
      </c>
      <c r="G10" s="17" t="s">
        <v>24</v>
      </c>
      <c r="H10" s="18">
        <f>ROUND(RAND()*4+6,1)</f>
      </c>
      <c r="I10" s="17" t="s">
        <v>41</v>
      </c>
      <c r="J10" s="19">
        <f>ROUND(76*1,0)&amp;"%"</f>
      </c>
    </row>
    <row x14ac:dyDescent="0.25" r="11" customHeight="1" ht="17.25">
      <c r="A11" s="20" t="s">
        <v>4654</v>
      </c>
      <c r="B11" s="20" t="s">
        <v>43</v>
      </c>
      <c r="C11" s="20" t="s">
        <v>15</v>
      </c>
      <c r="D11" s="20" t="s">
        <v>67</v>
      </c>
      <c r="E11" s="21">
        <f>ROUND(13887*1.05,2)</f>
      </c>
      <c r="F11" s="20" t="s">
        <v>44</v>
      </c>
      <c r="G11" s="20" t="s">
        <v>30</v>
      </c>
      <c r="H11" s="21">
        <f>ROUND(RAND()*4+6,1)</f>
      </c>
      <c r="I11" s="20" t="s">
        <v>45</v>
      </c>
      <c r="J11" s="23">
        <f>ROUND(99*1,0)&amp;"%"</f>
      </c>
    </row>
    <row x14ac:dyDescent="0.25" r="12" customHeight="1" ht="17.25">
      <c r="A12" s="17" t="s">
        <v>4655</v>
      </c>
      <c r="B12" s="17" t="s">
        <v>47</v>
      </c>
      <c r="C12" s="17" t="s">
        <v>15</v>
      </c>
      <c r="D12" s="17" t="s">
        <v>16</v>
      </c>
      <c r="E12" s="18">
        <f>ROUND(11178*1.05,2)</f>
      </c>
      <c r="F12" s="17" t="s">
        <v>48</v>
      </c>
      <c r="G12" s="17" t="s">
        <v>18</v>
      </c>
      <c r="H12" s="18">
        <f>ROUND(RAND()*4+6,1)</f>
      </c>
      <c r="I12" s="17" t="s">
        <v>19</v>
      </c>
      <c r="J12" s="19">
        <f>ROUND(75*1,0)&amp;"%"</f>
      </c>
    </row>
    <row x14ac:dyDescent="0.25" r="13" customHeight="1" ht="17.25">
      <c r="A13" s="20" t="s">
        <v>4656</v>
      </c>
      <c r="B13" s="20" t="s">
        <v>50</v>
      </c>
      <c r="C13" s="20" t="s">
        <v>15</v>
      </c>
      <c r="D13" s="20" t="s">
        <v>22</v>
      </c>
      <c r="E13" s="21">
        <f>ROUND(16146*1.05,2)</f>
      </c>
      <c r="F13" s="20" t="s">
        <v>51</v>
      </c>
      <c r="G13" s="20" t="s">
        <v>24</v>
      </c>
      <c r="H13" s="21">
        <f>ROUND(RAND()*4+6,1)</f>
      </c>
      <c r="I13" s="20" t="s">
        <v>25</v>
      </c>
      <c r="J13" s="23">
        <f>ROUND(71*1,0)&amp;"%"</f>
      </c>
    </row>
    <row x14ac:dyDescent="0.25" r="14" customHeight="1" ht="17.25">
      <c r="A14" s="24" t="s">
        <v>52</v>
      </c>
      <c r="B14" s="24"/>
      <c r="C14" s="24"/>
      <c r="D14" s="24"/>
      <c r="E14" s="25">
        <v>8</v>
      </c>
      <c r="F14" s="9"/>
      <c r="G14" s="9"/>
      <c r="H14" s="10"/>
      <c r="I14" s="9"/>
      <c r="J14" s="9"/>
    </row>
    <row x14ac:dyDescent="0.25" r="15" customHeight="1" ht="17.25">
      <c r="A15" s="7"/>
      <c r="B15" s="7"/>
      <c r="C15" s="7"/>
      <c r="D15" s="7"/>
      <c r="E15" s="8"/>
      <c r="F15" s="9"/>
      <c r="G15" s="9"/>
      <c r="H15" s="10"/>
      <c r="I15" s="9"/>
      <c r="J15" s="9"/>
    </row>
    <row x14ac:dyDescent="0.25" r="16" customHeight="1" ht="17.25">
      <c r="A16" s="11" t="s">
        <v>4657</v>
      </c>
      <c r="B16" s="11"/>
      <c r="C16" s="11"/>
      <c r="D16" s="11"/>
      <c r="E16" s="12"/>
      <c r="F16" s="11"/>
      <c r="G16" s="11"/>
      <c r="H16" s="13"/>
      <c r="I16" s="11"/>
      <c r="J16" s="11"/>
    </row>
    <row x14ac:dyDescent="0.25" r="17" customHeight="1" ht="17.25">
      <c r="A17" s="14" t="s">
        <v>3</v>
      </c>
      <c r="B17" s="14" t="s">
        <v>4</v>
      </c>
      <c r="C17" s="14" t="s">
        <v>5</v>
      </c>
      <c r="D17" s="14" t="s">
        <v>6</v>
      </c>
      <c r="E17" s="15" t="s">
        <v>7</v>
      </c>
      <c r="F17" s="14" t="s">
        <v>8</v>
      </c>
      <c r="G17" s="14" t="s">
        <v>9</v>
      </c>
      <c r="H17" s="16" t="s">
        <v>10</v>
      </c>
      <c r="I17" s="14" t="s">
        <v>11</v>
      </c>
      <c r="J17" s="14" t="s">
        <v>12</v>
      </c>
    </row>
    <row x14ac:dyDescent="0.25" r="18" customHeight="1" ht="17.25">
      <c r="A18" s="17" t="s">
        <v>4658</v>
      </c>
      <c r="B18" s="17" t="s">
        <v>55</v>
      </c>
      <c r="C18" s="17" t="s">
        <v>56</v>
      </c>
      <c r="D18" s="17" t="s">
        <v>16</v>
      </c>
      <c r="E18" s="18">
        <f>ROUND(9132*1.05,2)</f>
      </c>
      <c r="F18" s="17" t="s">
        <v>17</v>
      </c>
      <c r="G18" s="17" t="s">
        <v>18</v>
      </c>
      <c r="H18" s="18">
        <f>ROUND(RAND()*4+6,1)</f>
      </c>
      <c r="I18" s="17" t="s">
        <v>19</v>
      </c>
      <c r="J18" s="19">
        <f>ROUND(77*1,0)&amp;"%"</f>
      </c>
    </row>
    <row x14ac:dyDescent="0.25" r="19" customHeight="1" ht="17.25">
      <c r="A19" s="20" t="s">
        <v>4659</v>
      </c>
      <c r="B19" s="20" t="s">
        <v>58</v>
      </c>
      <c r="C19" s="20" t="s">
        <v>56</v>
      </c>
      <c r="D19" s="20" t="s">
        <v>22</v>
      </c>
      <c r="E19" s="21">
        <f>ROUND(13318*1.05,2)</f>
      </c>
      <c r="F19" s="20" t="s">
        <v>23</v>
      </c>
      <c r="G19" s="20" t="s">
        <v>24</v>
      </c>
      <c r="H19" s="21">
        <f>ROUND(RAND()*4+6,1)</f>
      </c>
      <c r="I19" s="20" t="s">
        <v>25</v>
      </c>
      <c r="J19" s="23">
        <f>ROUND(100*1,0)&amp;"%"</f>
      </c>
    </row>
    <row x14ac:dyDescent="0.25" r="20" customHeight="1" ht="17.25">
      <c r="A20" s="17" t="s">
        <v>4660</v>
      </c>
      <c r="B20" s="17" t="s">
        <v>60</v>
      </c>
      <c r="C20" s="17" t="s">
        <v>56</v>
      </c>
      <c r="D20" s="17" t="s">
        <v>28</v>
      </c>
      <c r="E20" s="18">
        <f>ROUND(10144*1.05,2)</f>
      </c>
      <c r="F20" s="17" t="s">
        <v>29</v>
      </c>
      <c r="G20" s="17" t="s">
        <v>30</v>
      </c>
      <c r="H20" s="18">
        <f>ROUND(RAND()*4+6,1)</f>
      </c>
      <c r="I20" s="17" t="s">
        <v>31</v>
      </c>
      <c r="J20" s="19">
        <f>ROUND(90*1,0)&amp;"%"</f>
      </c>
    </row>
    <row x14ac:dyDescent="0.25" r="21" customHeight="1" ht="17.25">
      <c r="A21" s="20" t="s">
        <v>4661</v>
      </c>
      <c r="B21" s="20" t="s">
        <v>62</v>
      </c>
      <c r="C21" s="20" t="s">
        <v>56</v>
      </c>
      <c r="D21" s="20" t="s">
        <v>34</v>
      </c>
      <c r="E21" s="21">
        <f>ROUND(17568*1.05,2)</f>
      </c>
      <c r="F21" s="20" t="s">
        <v>35</v>
      </c>
      <c r="G21" s="20" t="s">
        <v>18</v>
      </c>
      <c r="H21" s="21">
        <f>ROUND(RAND()*4+6,1)</f>
      </c>
      <c r="I21" s="20" t="s">
        <v>36</v>
      </c>
      <c r="J21" s="23">
        <f>ROUND(80*1,0)&amp;"%"</f>
      </c>
    </row>
    <row x14ac:dyDescent="0.25" r="22" customHeight="1" ht="17.25">
      <c r="A22" s="17" t="s">
        <v>4662</v>
      </c>
      <c r="B22" s="17" t="s">
        <v>64</v>
      </c>
      <c r="C22" s="17" t="s">
        <v>56</v>
      </c>
      <c r="D22" s="17" t="s">
        <v>39</v>
      </c>
      <c r="E22" s="18">
        <f>ROUND(4598*1.05,2)</f>
      </c>
      <c r="F22" s="17" t="s">
        <v>40</v>
      </c>
      <c r="G22" s="17" t="s">
        <v>24</v>
      </c>
      <c r="H22" s="18">
        <f>ROUND(RAND()*4+6,1)</f>
      </c>
      <c r="I22" s="17" t="s">
        <v>41</v>
      </c>
      <c r="J22" s="19">
        <f>ROUND(81*1,0)&amp;"%"</f>
      </c>
    </row>
    <row x14ac:dyDescent="0.25" r="23" customHeight="1" ht="17.25">
      <c r="A23" s="20" t="s">
        <v>4663</v>
      </c>
      <c r="B23" s="20" t="s">
        <v>66</v>
      </c>
      <c r="C23" s="20" t="s">
        <v>56</v>
      </c>
      <c r="D23" s="20" t="s">
        <v>67</v>
      </c>
      <c r="E23" s="21">
        <f>ROUND(14776*1.05,2)</f>
      </c>
      <c r="F23" s="20" t="s">
        <v>44</v>
      </c>
      <c r="G23" s="20" t="s">
        <v>30</v>
      </c>
      <c r="H23" s="21">
        <f>ROUND(RAND()*4+6,1)</f>
      </c>
      <c r="I23" s="20" t="s">
        <v>45</v>
      </c>
      <c r="J23" s="23">
        <f>ROUND(64*1,0)&amp;"%"</f>
      </c>
    </row>
    <row x14ac:dyDescent="0.25" r="24" customHeight="1" ht="17.25">
      <c r="A24" s="17" t="s">
        <v>4664</v>
      </c>
      <c r="B24" s="17" t="s">
        <v>69</v>
      </c>
      <c r="C24" s="17" t="s">
        <v>56</v>
      </c>
      <c r="D24" s="17" t="s">
        <v>16</v>
      </c>
      <c r="E24" s="18">
        <f>ROUND(16295*1.05,2)</f>
      </c>
      <c r="F24" s="17" t="s">
        <v>48</v>
      </c>
      <c r="G24" s="17" t="s">
        <v>18</v>
      </c>
      <c r="H24" s="18">
        <f>ROUND(RAND()*4+6,1)</f>
      </c>
      <c r="I24" s="17" t="s">
        <v>19</v>
      </c>
      <c r="J24" s="19">
        <f>ROUND(98*1,0)&amp;"%"</f>
      </c>
    </row>
    <row x14ac:dyDescent="0.25" r="25" customHeight="1" ht="17.25">
      <c r="A25" s="20" t="s">
        <v>4665</v>
      </c>
      <c r="B25" s="20" t="s">
        <v>71</v>
      </c>
      <c r="C25" s="20" t="s">
        <v>56</v>
      </c>
      <c r="D25" s="20" t="s">
        <v>22</v>
      </c>
      <c r="E25" s="21">
        <f>ROUND(12818*1.05,2)</f>
      </c>
      <c r="F25" s="20" t="s">
        <v>51</v>
      </c>
      <c r="G25" s="20" t="s">
        <v>24</v>
      </c>
      <c r="H25" s="21">
        <f>ROUND(RAND()*4+6,1)</f>
      </c>
      <c r="I25" s="20" t="s">
        <v>25</v>
      </c>
      <c r="J25" s="23">
        <f>ROUND(74*1,0)&amp;"%"</f>
      </c>
    </row>
    <row x14ac:dyDescent="0.25" r="26" customHeight="1" ht="17.25">
      <c r="A26" s="24" t="s">
        <v>72</v>
      </c>
      <c r="B26" s="24"/>
      <c r="C26" s="24"/>
      <c r="D26" s="24"/>
      <c r="E26" s="25">
        <v>8</v>
      </c>
      <c r="F26" s="9"/>
      <c r="G26" s="9"/>
      <c r="H26" s="10"/>
      <c r="I26" s="9"/>
      <c r="J26" s="9"/>
    </row>
    <row x14ac:dyDescent="0.25" r="27" customHeight="1" ht="17.25">
      <c r="A27" s="7"/>
      <c r="B27" s="7"/>
      <c r="C27" s="7"/>
      <c r="D27" s="7"/>
      <c r="E27" s="8"/>
      <c r="F27" s="9"/>
      <c r="G27" s="9"/>
      <c r="H27" s="10"/>
      <c r="I27" s="9"/>
      <c r="J27" s="9"/>
    </row>
    <row x14ac:dyDescent="0.25" r="28" customHeight="1" ht="17.25">
      <c r="A28" s="11" t="s">
        <v>4666</v>
      </c>
      <c r="B28" s="11"/>
      <c r="C28" s="11"/>
      <c r="D28" s="11"/>
      <c r="E28" s="12"/>
      <c r="F28" s="11"/>
      <c r="G28" s="11"/>
      <c r="H28" s="13"/>
      <c r="I28" s="11"/>
      <c r="J28" s="11"/>
    </row>
    <row x14ac:dyDescent="0.25" r="29" customHeight="1" ht="17.25">
      <c r="A29" s="14" t="s">
        <v>3</v>
      </c>
      <c r="B29" s="14" t="s">
        <v>4</v>
      </c>
      <c r="C29" s="14" t="s">
        <v>5</v>
      </c>
      <c r="D29" s="14" t="s">
        <v>6</v>
      </c>
      <c r="E29" s="15" t="s">
        <v>7</v>
      </c>
      <c r="F29" s="14" t="s">
        <v>8</v>
      </c>
      <c r="G29" s="14" t="s">
        <v>9</v>
      </c>
      <c r="H29" s="16" t="s">
        <v>10</v>
      </c>
      <c r="I29" s="14" t="s">
        <v>11</v>
      </c>
      <c r="J29" s="14" t="s">
        <v>12</v>
      </c>
    </row>
    <row x14ac:dyDescent="0.25" r="30" customHeight="1" ht="17.25">
      <c r="A30" s="17" t="s">
        <v>4667</v>
      </c>
      <c r="B30" s="17" t="s">
        <v>75</v>
      </c>
      <c r="C30" s="17" t="s">
        <v>76</v>
      </c>
      <c r="D30" s="17" t="s">
        <v>16</v>
      </c>
      <c r="E30" s="18">
        <f>ROUND(11835*1.05,2)</f>
      </c>
      <c r="F30" s="17" t="s">
        <v>17</v>
      </c>
      <c r="G30" s="17" t="s">
        <v>18</v>
      </c>
      <c r="H30" s="18">
        <f>ROUND(RAND()*4+6,1)</f>
      </c>
      <c r="I30" s="17" t="s">
        <v>19</v>
      </c>
      <c r="J30" s="19">
        <f>ROUND(75*1,0)&amp;"%"</f>
      </c>
    </row>
    <row x14ac:dyDescent="0.25" r="31" customHeight="1" ht="17.25">
      <c r="A31" s="20" t="s">
        <v>4668</v>
      </c>
      <c r="B31" s="20" t="s">
        <v>78</v>
      </c>
      <c r="C31" s="20" t="s">
        <v>76</v>
      </c>
      <c r="D31" s="20" t="s">
        <v>22</v>
      </c>
      <c r="E31" s="21">
        <f>ROUND(7961*1.05,2)</f>
      </c>
      <c r="F31" s="20" t="s">
        <v>23</v>
      </c>
      <c r="G31" s="20" t="s">
        <v>24</v>
      </c>
      <c r="H31" s="21">
        <f>ROUND(RAND()*4+6,1)</f>
      </c>
      <c r="I31" s="20" t="s">
        <v>25</v>
      </c>
      <c r="J31" s="23">
        <f>ROUND(96*1,0)&amp;"%"</f>
      </c>
    </row>
    <row x14ac:dyDescent="0.25" r="32" customHeight="1" ht="17.25">
      <c r="A32" s="17" t="s">
        <v>4669</v>
      </c>
      <c r="B32" s="17" t="s">
        <v>80</v>
      </c>
      <c r="C32" s="17" t="s">
        <v>76</v>
      </c>
      <c r="D32" s="17" t="s">
        <v>28</v>
      </c>
      <c r="E32" s="18">
        <f>ROUND(6055*1.05,2)</f>
      </c>
      <c r="F32" s="17" t="s">
        <v>29</v>
      </c>
      <c r="G32" s="17" t="s">
        <v>30</v>
      </c>
      <c r="H32" s="18">
        <f>ROUND(RAND()*4+6,1)</f>
      </c>
      <c r="I32" s="17" t="s">
        <v>31</v>
      </c>
      <c r="J32" s="19">
        <f>ROUND(74*1,0)&amp;"%"</f>
      </c>
    </row>
    <row x14ac:dyDescent="0.25" r="33" customHeight="1" ht="17.25">
      <c r="A33" s="20" t="s">
        <v>4670</v>
      </c>
      <c r="B33" s="20" t="s">
        <v>82</v>
      </c>
      <c r="C33" s="20" t="s">
        <v>76</v>
      </c>
      <c r="D33" s="20" t="s">
        <v>34</v>
      </c>
      <c r="E33" s="21">
        <f>ROUND(10926*1.05,2)</f>
      </c>
      <c r="F33" s="20" t="s">
        <v>35</v>
      </c>
      <c r="G33" s="20" t="s">
        <v>18</v>
      </c>
      <c r="H33" s="21">
        <f>ROUND(RAND()*4+6,1)</f>
      </c>
      <c r="I33" s="20" t="s">
        <v>36</v>
      </c>
      <c r="J33" s="23">
        <f>ROUND(88*1,0)&amp;"%"</f>
      </c>
    </row>
    <row x14ac:dyDescent="0.25" r="34" customHeight="1" ht="17.25">
      <c r="A34" s="17" t="s">
        <v>4671</v>
      </c>
      <c r="B34" s="17" t="s">
        <v>84</v>
      </c>
      <c r="C34" s="17" t="s">
        <v>76</v>
      </c>
      <c r="D34" s="17" t="s">
        <v>39</v>
      </c>
      <c r="E34" s="18">
        <f>ROUND(6174*1.05,2)</f>
      </c>
      <c r="F34" s="17" t="s">
        <v>40</v>
      </c>
      <c r="G34" s="17" t="s">
        <v>24</v>
      </c>
      <c r="H34" s="18">
        <f>ROUND(RAND()*4+6,1)</f>
      </c>
      <c r="I34" s="17" t="s">
        <v>41</v>
      </c>
      <c r="J34" s="19">
        <f>ROUND(84*1,0)&amp;"%"</f>
      </c>
    </row>
    <row x14ac:dyDescent="0.25" r="35" customHeight="1" ht="17.25">
      <c r="A35" s="20" t="s">
        <v>4672</v>
      </c>
      <c r="B35" s="20" t="s">
        <v>86</v>
      </c>
      <c r="C35" s="20" t="s">
        <v>76</v>
      </c>
      <c r="D35" s="20" t="s">
        <v>67</v>
      </c>
      <c r="E35" s="21">
        <f>ROUND(10962*1.05,2)</f>
      </c>
      <c r="F35" s="20" t="s">
        <v>44</v>
      </c>
      <c r="G35" s="20" t="s">
        <v>30</v>
      </c>
      <c r="H35" s="21">
        <f>ROUND(RAND()*4+6,1)</f>
      </c>
      <c r="I35" s="20" t="s">
        <v>45</v>
      </c>
      <c r="J35" s="23">
        <f>ROUND(85*1,0)&amp;"%"</f>
      </c>
    </row>
    <row x14ac:dyDescent="0.25" r="36" customHeight="1" ht="17.25">
      <c r="A36" s="17" t="s">
        <v>4673</v>
      </c>
      <c r="B36" s="17" t="s">
        <v>88</v>
      </c>
      <c r="C36" s="17" t="s">
        <v>76</v>
      </c>
      <c r="D36" s="17" t="s">
        <v>16</v>
      </c>
      <c r="E36" s="18">
        <f>ROUND(6024*1.05,2)</f>
      </c>
      <c r="F36" s="17" t="s">
        <v>48</v>
      </c>
      <c r="G36" s="17" t="s">
        <v>18</v>
      </c>
      <c r="H36" s="18">
        <f>ROUND(RAND()*4+6,1)</f>
      </c>
      <c r="I36" s="17" t="s">
        <v>19</v>
      </c>
      <c r="J36" s="19">
        <f>ROUND(71*1,0)&amp;"%"</f>
      </c>
    </row>
    <row x14ac:dyDescent="0.25" r="37" customHeight="1" ht="17.25">
      <c r="A37" s="20" t="s">
        <v>4674</v>
      </c>
      <c r="B37" s="20" t="s">
        <v>90</v>
      </c>
      <c r="C37" s="20" t="s">
        <v>76</v>
      </c>
      <c r="D37" s="20" t="s">
        <v>22</v>
      </c>
      <c r="E37" s="21">
        <f>ROUND(12154*1.05,2)</f>
      </c>
      <c r="F37" s="20" t="s">
        <v>51</v>
      </c>
      <c r="G37" s="20" t="s">
        <v>24</v>
      </c>
      <c r="H37" s="21">
        <f>ROUND(RAND()*4+6,1)</f>
      </c>
      <c r="I37" s="20" t="s">
        <v>25</v>
      </c>
      <c r="J37" s="23">
        <f>ROUND(88*1,0)&amp;"%"</f>
      </c>
    </row>
    <row x14ac:dyDescent="0.25" r="38" customHeight="1" ht="17.25">
      <c r="A38" s="24" t="s">
        <v>91</v>
      </c>
      <c r="B38" s="24"/>
      <c r="C38" s="24"/>
      <c r="D38" s="24"/>
      <c r="E38" s="25">
        <v>8</v>
      </c>
      <c r="F38" s="9"/>
      <c r="G38" s="9"/>
      <c r="H38" s="10"/>
      <c r="I38" s="9"/>
      <c r="J38" s="9"/>
    </row>
    <row x14ac:dyDescent="0.25" r="39" customHeight="1" ht="17.25">
      <c r="A39" s="7"/>
      <c r="B39" s="7"/>
      <c r="C39" s="7"/>
      <c r="D39" s="7"/>
      <c r="E39" s="8"/>
      <c r="F39" s="9"/>
      <c r="G39" s="9"/>
      <c r="H39" s="10"/>
      <c r="I39" s="9"/>
      <c r="J39" s="9"/>
    </row>
    <row x14ac:dyDescent="0.25" r="40" customHeight="1" ht="17.25">
      <c r="A40" s="11" t="s">
        <v>4675</v>
      </c>
      <c r="B40" s="11"/>
      <c r="C40" s="11"/>
      <c r="D40" s="11"/>
      <c r="E40" s="12"/>
      <c r="F40" s="11"/>
      <c r="G40" s="11"/>
      <c r="H40" s="13"/>
      <c r="I40" s="11"/>
      <c r="J40" s="11"/>
    </row>
    <row x14ac:dyDescent="0.25" r="41" customHeight="1" ht="17.25">
      <c r="A41" s="14" t="s">
        <v>3</v>
      </c>
      <c r="B41" s="14" t="s">
        <v>4</v>
      </c>
      <c r="C41" s="14" t="s">
        <v>5</v>
      </c>
      <c r="D41" s="14" t="s">
        <v>6</v>
      </c>
      <c r="E41" s="15" t="s">
        <v>7</v>
      </c>
      <c r="F41" s="14" t="s">
        <v>8</v>
      </c>
      <c r="G41" s="14" t="s">
        <v>9</v>
      </c>
      <c r="H41" s="16" t="s">
        <v>10</v>
      </c>
      <c r="I41" s="14" t="s">
        <v>11</v>
      </c>
      <c r="J41" s="14" t="s">
        <v>12</v>
      </c>
    </row>
    <row x14ac:dyDescent="0.25" r="42" customHeight="1" ht="17.25">
      <c r="A42" s="17" t="s">
        <v>4676</v>
      </c>
      <c r="B42" s="17" t="s">
        <v>94</v>
      </c>
      <c r="C42" s="17" t="s">
        <v>95</v>
      </c>
      <c r="D42" s="17" t="s">
        <v>16</v>
      </c>
      <c r="E42" s="18">
        <f>ROUND(7764*1.05,2)</f>
      </c>
      <c r="F42" s="17" t="s">
        <v>17</v>
      </c>
      <c r="G42" s="17" t="s">
        <v>18</v>
      </c>
      <c r="H42" s="18">
        <f>ROUND(RAND()*4+6,1)</f>
      </c>
      <c r="I42" s="17" t="s">
        <v>19</v>
      </c>
      <c r="J42" s="19">
        <f>ROUND(64*1,0)&amp;"%"</f>
      </c>
    </row>
    <row x14ac:dyDescent="0.25" r="43" customHeight="1" ht="17.25">
      <c r="A43" s="20" t="s">
        <v>4677</v>
      </c>
      <c r="B43" s="20" t="s">
        <v>97</v>
      </c>
      <c r="C43" s="20" t="s">
        <v>95</v>
      </c>
      <c r="D43" s="20" t="s">
        <v>22</v>
      </c>
      <c r="E43" s="21">
        <f>ROUND(5406*1.05,2)</f>
      </c>
      <c r="F43" s="20" t="s">
        <v>23</v>
      </c>
      <c r="G43" s="20" t="s">
        <v>24</v>
      </c>
      <c r="H43" s="21">
        <f>ROUND(RAND()*4+6,1)</f>
      </c>
      <c r="I43" s="20" t="s">
        <v>25</v>
      </c>
      <c r="J43" s="23">
        <f>ROUND(92*1,0)&amp;"%"</f>
      </c>
    </row>
    <row x14ac:dyDescent="0.25" r="44" customHeight="1" ht="17.25">
      <c r="A44" s="17" t="s">
        <v>4678</v>
      </c>
      <c r="B44" s="17" t="s">
        <v>99</v>
      </c>
      <c r="C44" s="17" t="s">
        <v>95</v>
      </c>
      <c r="D44" s="17" t="s">
        <v>28</v>
      </c>
      <c r="E44" s="18">
        <f>ROUND(5074*1.05,2)</f>
      </c>
      <c r="F44" s="17" t="s">
        <v>29</v>
      </c>
      <c r="G44" s="17" t="s">
        <v>30</v>
      </c>
      <c r="H44" s="18">
        <f>ROUND(RAND()*4+6,1)</f>
      </c>
      <c r="I44" s="17" t="s">
        <v>31</v>
      </c>
      <c r="J44" s="19">
        <f>ROUND(70*1,0)&amp;"%"</f>
      </c>
    </row>
    <row x14ac:dyDescent="0.25" r="45" customHeight="1" ht="17.25">
      <c r="A45" s="20" t="s">
        <v>4679</v>
      </c>
      <c r="B45" s="20" t="s">
        <v>101</v>
      </c>
      <c r="C45" s="20" t="s">
        <v>95</v>
      </c>
      <c r="D45" s="20" t="s">
        <v>34</v>
      </c>
      <c r="E45" s="21">
        <f>ROUND(14735*1.05,2)</f>
      </c>
      <c r="F45" s="20" t="s">
        <v>35</v>
      </c>
      <c r="G45" s="20" t="s">
        <v>18</v>
      </c>
      <c r="H45" s="21">
        <f>ROUND(RAND()*4+6,1)</f>
      </c>
      <c r="I45" s="20" t="s">
        <v>36</v>
      </c>
      <c r="J45" s="23">
        <f>ROUND(81*1,0)&amp;"%"</f>
      </c>
    </row>
    <row x14ac:dyDescent="0.25" r="46" customHeight="1" ht="17.25">
      <c r="A46" s="17" t="s">
        <v>4680</v>
      </c>
      <c r="B46" s="17" t="s">
        <v>103</v>
      </c>
      <c r="C46" s="17" t="s">
        <v>95</v>
      </c>
      <c r="D46" s="17" t="s">
        <v>39</v>
      </c>
      <c r="E46" s="18">
        <f>ROUND(9681*1.05,2)</f>
      </c>
      <c r="F46" s="17" t="s">
        <v>40</v>
      </c>
      <c r="G46" s="17" t="s">
        <v>24</v>
      </c>
      <c r="H46" s="18">
        <f>ROUND(RAND()*4+6,1)</f>
      </c>
      <c r="I46" s="17" t="s">
        <v>41</v>
      </c>
      <c r="J46" s="19">
        <f>ROUND(83*1,0)&amp;"%"</f>
      </c>
    </row>
    <row x14ac:dyDescent="0.25" r="47" customHeight="1" ht="17.25">
      <c r="A47" s="20" t="s">
        <v>4681</v>
      </c>
      <c r="B47" s="20" t="s">
        <v>105</v>
      </c>
      <c r="C47" s="20" t="s">
        <v>95</v>
      </c>
      <c r="D47" s="20" t="s">
        <v>67</v>
      </c>
      <c r="E47" s="21">
        <f>ROUND(9481*1.05,2)</f>
      </c>
      <c r="F47" s="20" t="s">
        <v>44</v>
      </c>
      <c r="G47" s="20" t="s">
        <v>30</v>
      </c>
      <c r="H47" s="21">
        <f>ROUND(RAND()*4+6,1)</f>
      </c>
      <c r="I47" s="20" t="s">
        <v>45</v>
      </c>
      <c r="J47" s="23">
        <f>ROUND(74*1,0)&amp;"%"</f>
      </c>
    </row>
    <row x14ac:dyDescent="0.25" r="48" customHeight="1" ht="17.25">
      <c r="A48" s="17" t="s">
        <v>4682</v>
      </c>
      <c r="B48" s="17" t="s">
        <v>107</v>
      </c>
      <c r="C48" s="17" t="s">
        <v>95</v>
      </c>
      <c r="D48" s="17" t="s">
        <v>16</v>
      </c>
      <c r="E48" s="18">
        <f>ROUND(14416*1.05,2)</f>
      </c>
      <c r="F48" s="17" t="s">
        <v>48</v>
      </c>
      <c r="G48" s="17" t="s">
        <v>18</v>
      </c>
      <c r="H48" s="18">
        <f>ROUND(RAND()*4+6,1)</f>
      </c>
      <c r="I48" s="17" t="s">
        <v>19</v>
      </c>
      <c r="J48" s="19">
        <f>ROUND(85*1,0)&amp;"%"</f>
      </c>
    </row>
    <row x14ac:dyDescent="0.25" r="49" customHeight="1" ht="17.25">
      <c r="A49" s="20" t="s">
        <v>4683</v>
      </c>
      <c r="B49" s="20" t="s">
        <v>109</v>
      </c>
      <c r="C49" s="20" t="s">
        <v>95</v>
      </c>
      <c r="D49" s="20" t="s">
        <v>22</v>
      </c>
      <c r="E49" s="21">
        <f>ROUND(6890*1.05,2)</f>
      </c>
      <c r="F49" s="20" t="s">
        <v>51</v>
      </c>
      <c r="G49" s="20" t="s">
        <v>24</v>
      </c>
      <c r="H49" s="22">
        <f>ROUND(RAND()*4+6,1)</f>
      </c>
      <c r="I49" s="20" t="s">
        <v>25</v>
      </c>
      <c r="J49" s="23">
        <f>ROUND(75*1,0)&amp;"%"</f>
      </c>
    </row>
    <row x14ac:dyDescent="0.25" r="50" customHeight="1" ht="17.25">
      <c r="A50" s="24" t="s">
        <v>110</v>
      </c>
      <c r="B50" s="24"/>
      <c r="C50" s="24"/>
      <c r="D50" s="24"/>
      <c r="E50" s="25">
        <v>8</v>
      </c>
      <c r="F50" s="9"/>
      <c r="G50" s="9"/>
      <c r="H50" s="10"/>
      <c r="I50" s="9"/>
      <c r="J50" s="9"/>
    </row>
    <row x14ac:dyDescent="0.25" r="51" customHeight="1" ht="17.25">
      <c r="A51" s="7"/>
      <c r="B51" s="7"/>
      <c r="C51" s="7"/>
      <c r="D51" s="7"/>
      <c r="E51" s="8"/>
      <c r="F51" s="9"/>
      <c r="G51" s="9"/>
      <c r="H51" s="10"/>
      <c r="I51" s="9"/>
      <c r="J51" s="9"/>
    </row>
    <row x14ac:dyDescent="0.25" r="52" customHeight="1" ht="17.25">
      <c r="A52" s="11" t="s">
        <v>4684</v>
      </c>
      <c r="B52" s="11"/>
      <c r="C52" s="11"/>
      <c r="D52" s="11"/>
      <c r="E52" s="12"/>
      <c r="F52" s="11"/>
      <c r="G52" s="11"/>
      <c r="H52" s="13"/>
      <c r="I52" s="11"/>
      <c r="J52" s="11"/>
    </row>
    <row x14ac:dyDescent="0.25" r="53" customHeight="1" ht="17.25">
      <c r="A53" s="14" t="s">
        <v>3</v>
      </c>
      <c r="B53" s="14" t="s">
        <v>4</v>
      </c>
      <c r="C53" s="14" t="s">
        <v>5</v>
      </c>
      <c r="D53" s="14" t="s">
        <v>6</v>
      </c>
      <c r="E53" s="15" t="s">
        <v>7</v>
      </c>
      <c r="F53" s="14" t="s">
        <v>8</v>
      </c>
      <c r="G53" s="14" t="s">
        <v>9</v>
      </c>
      <c r="H53" s="16" t="s">
        <v>10</v>
      </c>
      <c r="I53" s="14" t="s">
        <v>11</v>
      </c>
      <c r="J53" s="14" t="s">
        <v>12</v>
      </c>
    </row>
    <row x14ac:dyDescent="0.25" r="54" customHeight="1" ht="17.25">
      <c r="A54" s="17" t="s">
        <v>4685</v>
      </c>
      <c r="B54" s="17" t="s">
        <v>113</v>
      </c>
      <c r="C54" s="17" t="s">
        <v>114</v>
      </c>
      <c r="D54" s="17" t="s">
        <v>16</v>
      </c>
      <c r="E54" s="18">
        <f>ROUND(14097*1.05,2)</f>
      </c>
      <c r="F54" s="17" t="s">
        <v>17</v>
      </c>
      <c r="G54" s="17" t="s">
        <v>18</v>
      </c>
      <c r="H54" s="18">
        <f>ROUND(RAND()*4+6,1)</f>
      </c>
      <c r="I54" s="17" t="s">
        <v>19</v>
      </c>
      <c r="J54" s="19">
        <f>ROUND(70*1,0)&amp;"%"</f>
      </c>
    </row>
    <row x14ac:dyDescent="0.25" r="55" customHeight="1" ht="17.25">
      <c r="A55" s="20" t="s">
        <v>4686</v>
      </c>
      <c r="B55" s="20" t="s">
        <v>116</v>
      </c>
      <c r="C55" s="20" t="s">
        <v>114</v>
      </c>
      <c r="D55" s="20" t="s">
        <v>22</v>
      </c>
      <c r="E55" s="21">
        <f>ROUND(16449*1.05,2)</f>
      </c>
      <c r="F55" s="20" t="s">
        <v>23</v>
      </c>
      <c r="G55" s="20" t="s">
        <v>24</v>
      </c>
      <c r="H55" s="21">
        <f>ROUND(RAND()*4+6,1)</f>
      </c>
      <c r="I55" s="20" t="s">
        <v>25</v>
      </c>
      <c r="J55" s="23">
        <f>ROUND(88*1,0)&amp;"%"</f>
      </c>
    </row>
    <row x14ac:dyDescent="0.25" r="56" customHeight="1" ht="17.25">
      <c r="A56" s="17" t="s">
        <v>4687</v>
      </c>
      <c r="B56" s="17" t="s">
        <v>118</v>
      </c>
      <c r="C56" s="17" t="s">
        <v>114</v>
      </c>
      <c r="D56" s="17" t="s">
        <v>28</v>
      </c>
      <c r="E56" s="18">
        <f>ROUND(4738*1.05,2)</f>
      </c>
      <c r="F56" s="17" t="s">
        <v>29</v>
      </c>
      <c r="G56" s="17" t="s">
        <v>30</v>
      </c>
      <c r="H56" s="18">
        <f>ROUND(RAND()*4+6,1)</f>
      </c>
      <c r="I56" s="17" t="s">
        <v>31</v>
      </c>
      <c r="J56" s="19">
        <f>ROUND(81*1,0)&amp;"%"</f>
      </c>
    </row>
    <row x14ac:dyDescent="0.25" r="57" customHeight="1" ht="17.25">
      <c r="A57" s="20" t="s">
        <v>4688</v>
      </c>
      <c r="B57" s="20" t="s">
        <v>120</v>
      </c>
      <c r="C57" s="20" t="s">
        <v>114</v>
      </c>
      <c r="D57" s="20" t="s">
        <v>34</v>
      </c>
      <c r="E57" s="21">
        <f>ROUND(13364*1.05,2)</f>
      </c>
      <c r="F57" s="20" t="s">
        <v>35</v>
      </c>
      <c r="G57" s="20" t="s">
        <v>18</v>
      </c>
      <c r="H57" s="21">
        <f>ROUND(RAND()*4+6,1)</f>
      </c>
      <c r="I57" s="20" t="s">
        <v>36</v>
      </c>
      <c r="J57" s="23">
        <f>ROUND(85*1,0)&amp;"%"</f>
      </c>
    </row>
    <row x14ac:dyDescent="0.25" r="58" customHeight="1" ht="17.25">
      <c r="A58" s="17" t="s">
        <v>4689</v>
      </c>
      <c r="B58" s="17" t="s">
        <v>122</v>
      </c>
      <c r="C58" s="17" t="s">
        <v>114</v>
      </c>
      <c r="D58" s="17" t="s">
        <v>39</v>
      </c>
      <c r="E58" s="18">
        <f>ROUND(14645*1.05,2)</f>
      </c>
      <c r="F58" s="17" t="s">
        <v>40</v>
      </c>
      <c r="G58" s="17" t="s">
        <v>24</v>
      </c>
      <c r="H58" s="18">
        <f>ROUND(RAND()*4+6,1)</f>
      </c>
      <c r="I58" s="17" t="s">
        <v>41</v>
      </c>
      <c r="J58" s="19">
        <f>ROUND(80*1,0)&amp;"%"</f>
      </c>
    </row>
    <row x14ac:dyDescent="0.25" r="59" customHeight="1" ht="17.25">
      <c r="A59" s="20" t="s">
        <v>4690</v>
      </c>
      <c r="B59" s="20" t="s">
        <v>124</v>
      </c>
      <c r="C59" s="20" t="s">
        <v>114</v>
      </c>
      <c r="D59" s="20" t="s">
        <v>67</v>
      </c>
      <c r="E59" s="21">
        <f>ROUND(12049*1.05,2)</f>
      </c>
      <c r="F59" s="20" t="s">
        <v>44</v>
      </c>
      <c r="G59" s="20" t="s">
        <v>30</v>
      </c>
      <c r="H59" s="21">
        <f>ROUND(RAND()*4+6,1)</f>
      </c>
      <c r="I59" s="20" t="s">
        <v>45</v>
      </c>
      <c r="J59" s="23">
        <f>ROUND(71*1,0)&amp;"%"</f>
      </c>
    </row>
    <row x14ac:dyDescent="0.25" r="60" customHeight="1" ht="17.25">
      <c r="A60" s="17" t="s">
        <v>4691</v>
      </c>
      <c r="B60" s="17" t="s">
        <v>126</v>
      </c>
      <c r="C60" s="17" t="s">
        <v>114</v>
      </c>
      <c r="D60" s="17" t="s">
        <v>16</v>
      </c>
      <c r="E60" s="18">
        <f>ROUND(7887*1.05,2)</f>
      </c>
      <c r="F60" s="17" t="s">
        <v>48</v>
      </c>
      <c r="G60" s="17" t="s">
        <v>18</v>
      </c>
      <c r="H60" s="18">
        <f>ROUND(RAND()*4+6,1)</f>
      </c>
      <c r="I60" s="17" t="s">
        <v>19</v>
      </c>
      <c r="J60" s="19">
        <f>ROUND(95*1,0)&amp;"%"</f>
      </c>
    </row>
    <row x14ac:dyDescent="0.25" r="61" customHeight="1" ht="17.25">
      <c r="A61" s="20" t="s">
        <v>4692</v>
      </c>
      <c r="B61" s="20" t="s">
        <v>128</v>
      </c>
      <c r="C61" s="20" t="s">
        <v>114</v>
      </c>
      <c r="D61" s="20" t="s">
        <v>22</v>
      </c>
      <c r="E61" s="21">
        <f>ROUND(13649*1.05,2)</f>
      </c>
      <c r="F61" s="20" t="s">
        <v>51</v>
      </c>
      <c r="G61" s="20" t="s">
        <v>24</v>
      </c>
      <c r="H61" s="22">
        <f>ROUND(RAND()*4+6,1)</f>
      </c>
      <c r="I61" s="20" t="s">
        <v>25</v>
      </c>
      <c r="J61" s="23">
        <f>ROUND(94*1,0)&amp;"%"</f>
      </c>
    </row>
    <row x14ac:dyDescent="0.25" r="62" customHeight="1" ht="17.25">
      <c r="A62" s="24" t="s">
        <v>129</v>
      </c>
      <c r="B62" s="24"/>
      <c r="C62" s="24"/>
      <c r="D62" s="24"/>
      <c r="E62" s="25">
        <v>8</v>
      </c>
      <c r="F62" s="9"/>
      <c r="G62" s="9"/>
      <c r="H62" s="10"/>
      <c r="I62" s="9"/>
      <c r="J62" s="9"/>
    </row>
    <row x14ac:dyDescent="0.25" r="63" customHeight="1" ht="17.25">
      <c r="A63" s="7"/>
      <c r="B63" s="7"/>
      <c r="C63" s="7"/>
      <c r="D63" s="7"/>
      <c r="E63" s="8"/>
      <c r="F63" s="9"/>
      <c r="G63" s="9"/>
      <c r="H63" s="10"/>
      <c r="I63" s="9"/>
      <c r="J63" s="9"/>
    </row>
    <row x14ac:dyDescent="0.25" r="64" customHeight="1" ht="17.25">
      <c r="A64" s="11" t="s">
        <v>4693</v>
      </c>
      <c r="B64" s="11"/>
      <c r="C64" s="11"/>
      <c r="D64" s="11"/>
      <c r="E64" s="12"/>
      <c r="F64" s="11"/>
      <c r="G64" s="11"/>
      <c r="H64" s="13"/>
      <c r="I64" s="11"/>
      <c r="J64" s="11"/>
    </row>
    <row x14ac:dyDescent="0.25" r="65" customHeight="1" ht="17.25">
      <c r="A65" s="14" t="s">
        <v>3</v>
      </c>
      <c r="B65" s="14" t="s">
        <v>4</v>
      </c>
      <c r="C65" s="14" t="s">
        <v>5</v>
      </c>
      <c r="D65" s="14" t="s">
        <v>6</v>
      </c>
      <c r="E65" s="15" t="s">
        <v>7</v>
      </c>
      <c r="F65" s="14" t="s">
        <v>8</v>
      </c>
      <c r="G65" s="14" t="s">
        <v>9</v>
      </c>
      <c r="H65" s="16" t="s">
        <v>10</v>
      </c>
      <c r="I65" s="14" t="s">
        <v>11</v>
      </c>
      <c r="J65" s="14" t="s">
        <v>12</v>
      </c>
    </row>
    <row x14ac:dyDescent="0.25" r="66" customHeight="1" ht="17.25">
      <c r="A66" s="17" t="s">
        <v>4694</v>
      </c>
      <c r="B66" s="17" t="s">
        <v>132</v>
      </c>
      <c r="C66" s="17" t="s">
        <v>133</v>
      </c>
      <c r="D66" s="17" t="s">
        <v>16</v>
      </c>
      <c r="E66" s="18">
        <f>ROUND(6926*1.05,2)</f>
      </c>
      <c r="F66" s="17" t="s">
        <v>17</v>
      </c>
      <c r="G66" s="17" t="s">
        <v>18</v>
      </c>
      <c r="H66" s="18">
        <f>ROUND(RAND()*4+6,1)</f>
      </c>
      <c r="I66" s="17" t="s">
        <v>19</v>
      </c>
      <c r="J66" s="19">
        <f>ROUND(80*1,0)&amp;"%"</f>
      </c>
    </row>
    <row x14ac:dyDescent="0.25" r="67" customHeight="1" ht="17.25">
      <c r="A67" s="20" t="s">
        <v>4695</v>
      </c>
      <c r="B67" s="20" t="s">
        <v>135</v>
      </c>
      <c r="C67" s="20" t="s">
        <v>133</v>
      </c>
      <c r="D67" s="20" t="s">
        <v>22</v>
      </c>
      <c r="E67" s="21">
        <f>ROUND(4111*1.05,2)</f>
      </c>
      <c r="F67" s="20" t="s">
        <v>23</v>
      </c>
      <c r="G67" s="20" t="s">
        <v>24</v>
      </c>
      <c r="H67" s="21">
        <f>ROUND(RAND()*4+6,1)</f>
      </c>
      <c r="I67" s="20" t="s">
        <v>25</v>
      </c>
      <c r="J67" s="23">
        <f>ROUND(71*1,0)&amp;"%"</f>
      </c>
    </row>
    <row x14ac:dyDescent="0.25" r="68" customHeight="1" ht="17.25">
      <c r="A68" s="17" t="s">
        <v>4696</v>
      </c>
      <c r="B68" s="17" t="s">
        <v>137</v>
      </c>
      <c r="C68" s="17" t="s">
        <v>133</v>
      </c>
      <c r="D68" s="17" t="s">
        <v>28</v>
      </c>
      <c r="E68" s="18">
        <f>ROUND(14253*1.05,2)</f>
      </c>
      <c r="F68" s="17" t="s">
        <v>29</v>
      </c>
      <c r="G68" s="17" t="s">
        <v>30</v>
      </c>
      <c r="H68" s="18">
        <f>ROUND(RAND()*4+6,1)</f>
      </c>
      <c r="I68" s="17" t="s">
        <v>31</v>
      </c>
      <c r="J68" s="19">
        <f>ROUND(92*1,0)&amp;"%"</f>
      </c>
    </row>
    <row x14ac:dyDescent="0.25" r="69" customHeight="1" ht="17.25">
      <c r="A69" s="20" t="s">
        <v>4697</v>
      </c>
      <c r="B69" s="20" t="s">
        <v>139</v>
      </c>
      <c r="C69" s="20" t="s">
        <v>133</v>
      </c>
      <c r="D69" s="20" t="s">
        <v>34</v>
      </c>
      <c r="E69" s="21">
        <f>ROUND(8762*1.05,2)</f>
      </c>
      <c r="F69" s="20" t="s">
        <v>35</v>
      </c>
      <c r="G69" s="20" t="s">
        <v>18</v>
      </c>
      <c r="H69" s="21">
        <f>ROUND(RAND()*4+6,1)</f>
      </c>
      <c r="I69" s="20" t="s">
        <v>36</v>
      </c>
      <c r="J69" s="23">
        <f>ROUND(92*1,0)&amp;"%"</f>
      </c>
    </row>
    <row x14ac:dyDescent="0.25" r="70" customHeight="1" ht="17.25">
      <c r="A70" s="17" t="s">
        <v>4698</v>
      </c>
      <c r="B70" s="17" t="s">
        <v>141</v>
      </c>
      <c r="C70" s="17" t="s">
        <v>133</v>
      </c>
      <c r="D70" s="17" t="s">
        <v>39</v>
      </c>
      <c r="E70" s="18">
        <f>ROUND(4824*1.05,2)</f>
      </c>
      <c r="F70" s="17" t="s">
        <v>40</v>
      </c>
      <c r="G70" s="17" t="s">
        <v>24</v>
      </c>
      <c r="H70" s="18">
        <f>ROUND(RAND()*4+6,1)</f>
      </c>
      <c r="I70" s="17" t="s">
        <v>41</v>
      </c>
      <c r="J70" s="19">
        <f>ROUND(74*1,0)&amp;"%"</f>
      </c>
    </row>
    <row x14ac:dyDescent="0.25" r="71" customHeight="1" ht="17.25">
      <c r="A71" s="20" t="s">
        <v>4699</v>
      </c>
      <c r="B71" s="20" t="s">
        <v>143</v>
      </c>
      <c r="C71" s="20" t="s">
        <v>133</v>
      </c>
      <c r="D71" s="20" t="s">
        <v>67</v>
      </c>
      <c r="E71" s="21">
        <f>ROUND(11065*1.05,2)</f>
      </c>
      <c r="F71" s="20" t="s">
        <v>44</v>
      </c>
      <c r="G71" s="20" t="s">
        <v>30</v>
      </c>
      <c r="H71" s="21">
        <f>ROUND(RAND()*4+6,1)</f>
      </c>
      <c r="I71" s="20" t="s">
        <v>45</v>
      </c>
      <c r="J71" s="23">
        <f>ROUND(66*1,0)&amp;"%"</f>
      </c>
    </row>
    <row x14ac:dyDescent="0.25" r="72" customHeight="1" ht="17.25">
      <c r="A72" s="17" t="s">
        <v>4700</v>
      </c>
      <c r="B72" s="17" t="s">
        <v>145</v>
      </c>
      <c r="C72" s="17" t="s">
        <v>133</v>
      </c>
      <c r="D72" s="17" t="s">
        <v>16</v>
      </c>
      <c r="E72" s="18">
        <f>ROUND(9309*1.05,2)</f>
      </c>
      <c r="F72" s="17" t="s">
        <v>48</v>
      </c>
      <c r="G72" s="17" t="s">
        <v>18</v>
      </c>
      <c r="H72" s="18">
        <f>ROUND(RAND()*4+6,1)</f>
      </c>
      <c r="I72" s="17" t="s">
        <v>19</v>
      </c>
      <c r="J72" s="19">
        <f>ROUND(87*1,0)&amp;"%"</f>
      </c>
    </row>
    <row x14ac:dyDescent="0.25" r="73" customHeight="1" ht="17.25">
      <c r="A73" s="20" t="s">
        <v>4701</v>
      </c>
      <c r="B73" s="20" t="s">
        <v>147</v>
      </c>
      <c r="C73" s="20" t="s">
        <v>133</v>
      </c>
      <c r="D73" s="20" t="s">
        <v>22</v>
      </c>
      <c r="E73" s="21">
        <f>ROUND(5324*1.05,2)</f>
      </c>
      <c r="F73" s="20" t="s">
        <v>51</v>
      </c>
      <c r="G73" s="20" t="s">
        <v>24</v>
      </c>
      <c r="H73" s="22">
        <f>ROUND(RAND()*4+6,1)</f>
      </c>
      <c r="I73" s="20" t="s">
        <v>25</v>
      </c>
      <c r="J73" s="23">
        <f>ROUND(78*1,0)&amp;"%"</f>
      </c>
    </row>
    <row x14ac:dyDescent="0.25" r="74" customHeight="1" ht="17.25">
      <c r="A74" s="24" t="s">
        <v>148</v>
      </c>
      <c r="B74" s="24"/>
      <c r="C74" s="24"/>
      <c r="D74" s="24"/>
      <c r="E74" s="25">
        <v>8</v>
      </c>
      <c r="F74" s="9"/>
      <c r="G74" s="9"/>
      <c r="H74" s="10"/>
      <c r="I74" s="9"/>
      <c r="J74" s="9"/>
    </row>
    <row x14ac:dyDescent="0.25" r="75" customHeight="1" ht="17.25">
      <c r="A75" s="7"/>
      <c r="B75" s="7"/>
      <c r="C75" s="7"/>
      <c r="D75" s="7"/>
      <c r="E75" s="8"/>
      <c r="F75" s="9"/>
      <c r="G75" s="9"/>
      <c r="H75" s="10"/>
      <c r="I75" s="9"/>
      <c r="J75" s="9"/>
    </row>
    <row x14ac:dyDescent="0.25" r="76" customHeight="1" ht="17.25">
      <c r="A76" s="11" t="s">
        <v>4702</v>
      </c>
      <c r="B76" s="11"/>
      <c r="C76" s="11"/>
      <c r="D76" s="11"/>
      <c r="E76" s="12"/>
      <c r="F76" s="11"/>
      <c r="G76" s="11"/>
      <c r="H76" s="13"/>
      <c r="I76" s="11"/>
      <c r="J76" s="11"/>
    </row>
    <row x14ac:dyDescent="0.25" r="77" customHeight="1" ht="17.25">
      <c r="A77" s="14" t="s">
        <v>3</v>
      </c>
      <c r="B77" s="14" t="s">
        <v>4</v>
      </c>
      <c r="C77" s="14" t="s">
        <v>5</v>
      </c>
      <c r="D77" s="14" t="s">
        <v>6</v>
      </c>
      <c r="E77" s="15" t="s">
        <v>7</v>
      </c>
      <c r="F77" s="14" t="s">
        <v>8</v>
      </c>
      <c r="G77" s="14" t="s">
        <v>9</v>
      </c>
      <c r="H77" s="16" t="s">
        <v>10</v>
      </c>
      <c r="I77" s="14" t="s">
        <v>11</v>
      </c>
      <c r="J77" s="14" t="s">
        <v>12</v>
      </c>
    </row>
    <row x14ac:dyDescent="0.25" r="78" customHeight="1" ht="17.25">
      <c r="A78" s="17" t="s">
        <v>4703</v>
      </c>
      <c r="B78" s="17" t="s">
        <v>151</v>
      </c>
      <c r="C78" s="17" t="s">
        <v>152</v>
      </c>
      <c r="D78" s="17" t="s">
        <v>16</v>
      </c>
      <c r="E78" s="18">
        <f>ROUND(11445*1.05,2)</f>
      </c>
      <c r="F78" s="17" t="s">
        <v>17</v>
      </c>
      <c r="G78" s="17" t="s">
        <v>18</v>
      </c>
      <c r="H78" s="18">
        <f>ROUND(RAND()*4+6,1)</f>
      </c>
      <c r="I78" s="17" t="s">
        <v>19</v>
      </c>
      <c r="J78" s="19">
        <f>ROUND(94*1,0)&amp;"%"</f>
      </c>
    </row>
    <row x14ac:dyDescent="0.25" r="79" customHeight="1" ht="17.25">
      <c r="A79" s="20" t="s">
        <v>4704</v>
      </c>
      <c r="B79" s="20" t="s">
        <v>154</v>
      </c>
      <c r="C79" s="20" t="s">
        <v>152</v>
      </c>
      <c r="D79" s="20" t="s">
        <v>22</v>
      </c>
      <c r="E79" s="21">
        <f>ROUND(4617*1.05,2)</f>
      </c>
      <c r="F79" s="20" t="s">
        <v>23</v>
      </c>
      <c r="G79" s="20" t="s">
        <v>24</v>
      </c>
      <c r="H79" s="21">
        <f>ROUND(RAND()*4+6,1)</f>
      </c>
      <c r="I79" s="20" t="s">
        <v>25</v>
      </c>
      <c r="J79" s="23">
        <f>ROUND(92*1,0)&amp;"%"</f>
      </c>
    </row>
    <row x14ac:dyDescent="0.25" r="80" customHeight="1" ht="17.25">
      <c r="A80" s="17" t="s">
        <v>4705</v>
      </c>
      <c r="B80" s="17" t="s">
        <v>156</v>
      </c>
      <c r="C80" s="17" t="s">
        <v>152</v>
      </c>
      <c r="D80" s="17" t="s">
        <v>28</v>
      </c>
      <c r="E80" s="18">
        <f>ROUND(9207*1.05,2)</f>
      </c>
      <c r="F80" s="17" t="s">
        <v>29</v>
      </c>
      <c r="G80" s="17" t="s">
        <v>30</v>
      </c>
      <c r="H80" s="18">
        <f>ROUND(RAND()*4+6,1)</f>
      </c>
      <c r="I80" s="17" t="s">
        <v>31</v>
      </c>
      <c r="J80" s="19">
        <f>ROUND(92*1,0)&amp;"%"</f>
      </c>
    </row>
    <row x14ac:dyDescent="0.25" r="81" customHeight="1" ht="17.25">
      <c r="A81" s="20" t="s">
        <v>4706</v>
      </c>
      <c r="B81" s="20" t="s">
        <v>158</v>
      </c>
      <c r="C81" s="20" t="s">
        <v>152</v>
      </c>
      <c r="D81" s="20" t="s">
        <v>34</v>
      </c>
      <c r="E81" s="21">
        <f>ROUND(10428*1.05,2)</f>
      </c>
      <c r="F81" s="20" t="s">
        <v>35</v>
      </c>
      <c r="G81" s="20" t="s">
        <v>18</v>
      </c>
      <c r="H81" s="21">
        <f>ROUND(RAND()*4+6,1)</f>
      </c>
      <c r="I81" s="20" t="s">
        <v>36</v>
      </c>
      <c r="J81" s="23">
        <f>ROUND(88*1,0)&amp;"%"</f>
      </c>
    </row>
    <row x14ac:dyDescent="0.25" r="82" customHeight="1" ht="17.25">
      <c r="A82" s="17" t="s">
        <v>4707</v>
      </c>
      <c r="B82" s="17" t="s">
        <v>160</v>
      </c>
      <c r="C82" s="17" t="s">
        <v>152</v>
      </c>
      <c r="D82" s="17" t="s">
        <v>39</v>
      </c>
      <c r="E82" s="18">
        <f>ROUND(13426*1.05,2)</f>
      </c>
      <c r="F82" s="17" t="s">
        <v>40</v>
      </c>
      <c r="G82" s="17" t="s">
        <v>24</v>
      </c>
      <c r="H82" s="18">
        <f>ROUND(RAND()*4+6,1)</f>
      </c>
      <c r="I82" s="17" t="s">
        <v>41</v>
      </c>
      <c r="J82" s="19">
        <f>ROUND(92*1,0)&amp;"%"</f>
      </c>
    </row>
    <row x14ac:dyDescent="0.25" r="83" customHeight="1" ht="17.25">
      <c r="A83" s="20" t="s">
        <v>4708</v>
      </c>
      <c r="B83" s="20" t="s">
        <v>162</v>
      </c>
      <c r="C83" s="20" t="s">
        <v>152</v>
      </c>
      <c r="D83" s="20" t="s">
        <v>67</v>
      </c>
      <c r="E83" s="21">
        <f>ROUND(5077*1.05,2)</f>
      </c>
      <c r="F83" s="20" t="s">
        <v>44</v>
      </c>
      <c r="G83" s="20" t="s">
        <v>30</v>
      </c>
      <c r="H83" s="21">
        <f>ROUND(RAND()*4+6,1)</f>
      </c>
      <c r="I83" s="20" t="s">
        <v>45</v>
      </c>
      <c r="J83" s="23">
        <f>ROUND(98*1,0)&amp;"%"</f>
      </c>
    </row>
    <row x14ac:dyDescent="0.25" r="84" customHeight="1" ht="17.25">
      <c r="A84" s="17" t="s">
        <v>4709</v>
      </c>
      <c r="B84" s="17" t="s">
        <v>164</v>
      </c>
      <c r="C84" s="17" t="s">
        <v>152</v>
      </c>
      <c r="D84" s="17" t="s">
        <v>16</v>
      </c>
      <c r="E84" s="18">
        <f>ROUND(7388*1.05,2)</f>
      </c>
      <c r="F84" s="17" t="s">
        <v>48</v>
      </c>
      <c r="G84" s="17" t="s">
        <v>18</v>
      </c>
      <c r="H84" s="18">
        <f>ROUND(RAND()*4+6,1)</f>
      </c>
      <c r="I84" s="17" t="s">
        <v>19</v>
      </c>
      <c r="J84" s="19">
        <f>ROUND(84*1,0)&amp;"%"</f>
      </c>
    </row>
    <row x14ac:dyDescent="0.25" r="85" customHeight="1" ht="17.25">
      <c r="A85" s="20" t="s">
        <v>4710</v>
      </c>
      <c r="B85" s="20" t="s">
        <v>166</v>
      </c>
      <c r="C85" s="20" t="s">
        <v>152</v>
      </c>
      <c r="D85" s="20" t="s">
        <v>22</v>
      </c>
      <c r="E85" s="21">
        <f>ROUND(13950*1.05,2)</f>
      </c>
      <c r="F85" s="20" t="s">
        <v>51</v>
      </c>
      <c r="G85" s="20" t="s">
        <v>24</v>
      </c>
      <c r="H85" s="22">
        <f>ROUND(RAND()*4+6,1)</f>
      </c>
      <c r="I85" s="20" t="s">
        <v>25</v>
      </c>
      <c r="J85" s="23">
        <f>ROUND(64*1,0)&amp;"%"</f>
      </c>
    </row>
    <row x14ac:dyDescent="0.25" r="86" customHeight="1" ht="17.25">
      <c r="A86" s="24" t="s">
        <v>167</v>
      </c>
      <c r="B86" s="24"/>
      <c r="C86" s="24"/>
      <c r="D86" s="24"/>
      <c r="E86" s="25">
        <v>8</v>
      </c>
      <c r="F86" s="9"/>
      <c r="G86" s="9"/>
      <c r="H86" s="10"/>
      <c r="I86" s="9"/>
      <c r="J86" s="9"/>
    </row>
    <row x14ac:dyDescent="0.25" r="87" customHeight="1" ht="17.25">
      <c r="A87" s="7"/>
      <c r="B87" s="7"/>
      <c r="C87" s="7"/>
      <c r="D87" s="7"/>
      <c r="E87" s="8"/>
      <c r="F87" s="9"/>
      <c r="G87" s="9"/>
      <c r="H87" s="10"/>
      <c r="I87" s="9"/>
      <c r="J87" s="9"/>
    </row>
    <row x14ac:dyDescent="0.25" r="88" customHeight="1" ht="17.25">
      <c r="A88" s="11" t="s">
        <v>4711</v>
      </c>
      <c r="B88" s="11"/>
      <c r="C88" s="11"/>
      <c r="D88" s="11"/>
      <c r="E88" s="12"/>
      <c r="F88" s="11"/>
      <c r="G88" s="11"/>
      <c r="H88" s="13"/>
      <c r="I88" s="11"/>
      <c r="J88" s="11"/>
    </row>
    <row x14ac:dyDescent="0.25" r="89" customHeight="1" ht="17.25">
      <c r="A89" s="14" t="s">
        <v>3</v>
      </c>
      <c r="B89" s="14" t="s">
        <v>4</v>
      </c>
      <c r="C89" s="14" t="s">
        <v>5</v>
      </c>
      <c r="D89" s="14" t="s">
        <v>6</v>
      </c>
      <c r="E89" s="15" t="s">
        <v>7</v>
      </c>
      <c r="F89" s="14" t="s">
        <v>8</v>
      </c>
      <c r="G89" s="14" t="s">
        <v>9</v>
      </c>
      <c r="H89" s="16" t="s">
        <v>10</v>
      </c>
      <c r="I89" s="14" t="s">
        <v>11</v>
      </c>
      <c r="J89" s="14" t="s">
        <v>12</v>
      </c>
    </row>
    <row x14ac:dyDescent="0.25" r="90" customHeight="1" ht="17.25">
      <c r="A90" s="17" t="s">
        <v>4712</v>
      </c>
      <c r="B90" s="17" t="s">
        <v>170</v>
      </c>
      <c r="C90" s="17" t="s">
        <v>15</v>
      </c>
      <c r="D90" s="17" t="s">
        <v>16</v>
      </c>
      <c r="E90" s="18">
        <f>ROUND(11431*1.05,2)</f>
      </c>
      <c r="F90" s="17" t="s">
        <v>17</v>
      </c>
      <c r="G90" s="17" t="s">
        <v>18</v>
      </c>
      <c r="H90" s="18">
        <f>ROUND(RAND()*4+6,1)</f>
      </c>
      <c r="I90" s="17" t="s">
        <v>19</v>
      </c>
      <c r="J90" s="19">
        <f>ROUND(93*1,0)&amp;"%"</f>
      </c>
    </row>
    <row x14ac:dyDescent="0.25" r="91" customHeight="1" ht="17.25">
      <c r="A91" s="20" t="s">
        <v>4713</v>
      </c>
      <c r="B91" s="20" t="s">
        <v>172</v>
      </c>
      <c r="C91" s="20" t="s">
        <v>15</v>
      </c>
      <c r="D91" s="20" t="s">
        <v>22</v>
      </c>
      <c r="E91" s="21">
        <f>ROUND(10218*1.05,2)</f>
      </c>
      <c r="F91" s="20" t="s">
        <v>23</v>
      </c>
      <c r="G91" s="20" t="s">
        <v>24</v>
      </c>
      <c r="H91" s="21">
        <f>ROUND(RAND()*4+6,1)</f>
      </c>
      <c r="I91" s="20" t="s">
        <v>25</v>
      </c>
      <c r="J91" s="23">
        <f>ROUND(98*1,0)&amp;"%"</f>
      </c>
    </row>
    <row x14ac:dyDescent="0.25" r="92" customHeight="1" ht="17.25">
      <c r="A92" s="17" t="s">
        <v>4714</v>
      </c>
      <c r="B92" s="17" t="s">
        <v>174</v>
      </c>
      <c r="C92" s="17" t="s">
        <v>15</v>
      </c>
      <c r="D92" s="17" t="s">
        <v>28</v>
      </c>
      <c r="E92" s="26">
        <f>ROUND(13080*1.05,2)</f>
      </c>
      <c r="F92" s="17" t="s">
        <v>29</v>
      </c>
      <c r="G92" s="17" t="s">
        <v>30</v>
      </c>
      <c r="H92" s="18">
        <f>ROUND(RAND()*4+6,1)</f>
      </c>
      <c r="I92" s="17" t="s">
        <v>31</v>
      </c>
      <c r="J92" s="19">
        <f>ROUND(67*1,0)&amp;"%"</f>
      </c>
    </row>
    <row x14ac:dyDescent="0.25" r="93" customHeight="1" ht="17.25">
      <c r="A93" s="20" t="s">
        <v>4715</v>
      </c>
      <c r="B93" s="20" t="s">
        <v>176</v>
      </c>
      <c r="C93" s="20" t="s">
        <v>15</v>
      </c>
      <c r="D93" s="20" t="s">
        <v>34</v>
      </c>
      <c r="E93" s="21">
        <f>ROUND(6582*1.05,2)</f>
      </c>
      <c r="F93" s="20" t="s">
        <v>35</v>
      </c>
      <c r="G93" s="20" t="s">
        <v>18</v>
      </c>
      <c r="H93" s="21">
        <f>ROUND(RAND()*4+6,1)</f>
      </c>
      <c r="I93" s="20" t="s">
        <v>36</v>
      </c>
      <c r="J93" s="23">
        <f>ROUND(60*1,0)&amp;"%"</f>
      </c>
    </row>
    <row x14ac:dyDescent="0.25" r="94" customHeight="1" ht="17.25">
      <c r="A94" s="17" t="s">
        <v>4716</v>
      </c>
      <c r="B94" s="17" t="s">
        <v>178</v>
      </c>
      <c r="C94" s="17" t="s">
        <v>15</v>
      </c>
      <c r="D94" s="17" t="s">
        <v>39</v>
      </c>
      <c r="E94" s="18">
        <f>ROUND(11403*1.05,2)</f>
      </c>
      <c r="F94" s="17" t="s">
        <v>40</v>
      </c>
      <c r="G94" s="17" t="s">
        <v>24</v>
      </c>
      <c r="H94" s="18">
        <f>ROUND(RAND()*4+6,1)</f>
      </c>
      <c r="I94" s="17" t="s">
        <v>41</v>
      </c>
      <c r="J94" s="19">
        <f>ROUND(75*1,0)&amp;"%"</f>
      </c>
    </row>
    <row x14ac:dyDescent="0.25" r="95" customHeight="1" ht="17.25">
      <c r="A95" s="20" t="s">
        <v>4717</v>
      </c>
      <c r="B95" s="20" t="s">
        <v>180</v>
      </c>
      <c r="C95" s="20" t="s">
        <v>15</v>
      </c>
      <c r="D95" s="20" t="s">
        <v>67</v>
      </c>
      <c r="E95" s="21">
        <f>ROUND(14505*1.05,2)</f>
      </c>
      <c r="F95" s="20" t="s">
        <v>44</v>
      </c>
      <c r="G95" s="20" t="s">
        <v>30</v>
      </c>
      <c r="H95" s="21">
        <f>ROUND(RAND()*4+6,1)</f>
      </c>
      <c r="I95" s="20" t="s">
        <v>45</v>
      </c>
      <c r="J95" s="23">
        <f>ROUND(77*1,0)&amp;"%"</f>
      </c>
    </row>
    <row x14ac:dyDescent="0.25" r="96" customHeight="1" ht="17.25">
      <c r="A96" s="17" t="s">
        <v>4718</v>
      </c>
      <c r="B96" s="17" t="s">
        <v>182</v>
      </c>
      <c r="C96" s="17" t="s">
        <v>15</v>
      </c>
      <c r="D96" s="17" t="s">
        <v>16</v>
      </c>
      <c r="E96" s="18">
        <f>ROUND(17134*1.05,2)</f>
      </c>
      <c r="F96" s="17" t="s">
        <v>48</v>
      </c>
      <c r="G96" s="17" t="s">
        <v>18</v>
      </c>
      <c r="H96" s="18">
        <f>ROUND(RAND()*4+6,1)</f>
      </c>
      <c r="I96" s="17" t="s">
        <v>19</v>
      </c>
      <c r="J96" s="19">
        <f>ROUND(73*1,0)&amp;"%"</f>
      </c>
    </row>
    <row x14ac:dyDescent="0.25" r="97" customHeight="1" ht="17.25">
      <c r="A97" s="20" t="s">
        <v>4719</v>
      </c>
      <c r="B97" s="20" t="s">
        <v>184</v>
      </c>
      <c r="C97" s="20" t="s">
        <v>15</v>
      </c>
      <c r="D97" s="20" t="s">
        <v>22</v>
      </c>
      <c r="E97" s="21">
        <f>ROUND(6822*1.05,2)</f>
      </c>
      <c r="F97" s="20" t="s">
        <v>51</v>
      </c>
      <c r="G97" s="20" t="s">
        <v>24</v>
      </c>
      <c r="H97" s="21">
        <f>ROUND(RAND()*4+6,1)</f>
      </c>
      <c r="I97" s="20" t="s">
        <v>25</v>
      </c>
      <c r="J97" s="23">
        <f>ROUND(91*1,0)&amp;"%"</f>
      </c>
    </row>
    <row x14ac:dyDescent="0.25" r="98" customHeight="1" ht="17.25">
      <c r="A98" s="24" t="s">
        <v>185</v>
      </c>
      <c r="B98" s="24"/>
      <c r="C98" s="24"/>
      <c r="D98" s="24"/>
      <c r="E98" s="25">
        <v>8</v>
      </c>
      <c r="F98" s="9"/>
      <c r="G98" s="9"/>
      <c r="H98" s="10"/>
      <c r="I98" s="9"/>
      <c r="J98" s="9"/>
    </row>
    <row x14ac:dyDescent="0.25" r="99" customHeight="1" ht="17.25">
      <c r="A99" s="7"/>
      <c r="B99" s="7"/>
      <c r="C99" s="7"/>
      <c r="D99" s="7"/>
      <c r="E99" s="8"/>
      <c r="F99" s="9"/>
      <c r="G99" s="9"/>
      <c r="H99" s="10"/>
      <c r="I99" s="9"/>
      <c r="J99" s="9"/>
    </row>
    <row x14ac:dyDescent="0.25" r="100" customHeight="1" ht="17.25">
      <c r="A100" s="11" t="s">
        <v>4720</v>
      </c>
      <c r="B100" s="11"/>
      <c r="C100" s="11"/>
      <c r="D100" s="11"/>
      <c r="E100" s="12"/>
      <c r="F100" s="11"/>
      <c r="G100" s="11"/>
      <c r="H100" s="13"/>
      <c r="I100" s="11"/>
      <c r="J100" s="11"/>
    </row>
    <row x14ac:dyDescent="0.25" r="101" customHeight="1" ht="17.25">
      <c r="A101" s="14" t="s">
        <v>3</v>
      </c>
      <c r="B101" s="14" t="s">
        <v>4</v>
      </c>
      <c r="C101" s="14" t="s">
        <v>5</v>
      </c>
      <c r="D101" s="14" t="s">
        <v>6</v>
      </c>
      <c r="E101" s="15" t="s">
        <v>7</v>
      </c>
      <c r="F101" s="14" t="s">
        <v>8</v>
      </c>
      <c r="G101" s="14" t="s">
        <v>9</v>
      </c>
      <c r="H101" s="16" t="s">
        <v>10</v>
      </c>
      <c r="I101" s="14" t="s">
        <v>11</v>
      </c>
      <c r="J101" s="14" t="s">
        <v>12</v>
      </c>
    </row>
    <row x14ac:dyDescent="0.25" r="102" customHeight="1" ht="17.25">
      <c r="A102" s="17" t="s">
        <v>4721</v>
      </c>
      <c r="B102" s="17" t="s">
        <v>188</v>
      </c>
      <c r="C102" s="17" t="s">
        <v>56</v>
      </c>
      <c r="D102" s="17" t="s">
        <v>16</v>
      </c>
      <c r="E102" s="18">
        <f>ROUND(10679*1.05,2)</f>
      </c>
      <c r="F102" s="17" t="s">
        <v>17</v>
      </c>
      <c r="G102" s="17" t="s">
        <v>18</v>
      </c>
      <c r="H102" s="18">
        <f>ROUND(RAND()*4+6,1)</f>
      </c>
      <c r="I102" s="17" t="s">
        <v>19</v>
      </c>
      <c r="J102" s="19">
        <f>ROUND(74*1,0)&amp;"%"</f>
      </c>
    </row>
    <row x14ac:dyDescent="0.25" r="103" customHeight="1" ht="17.25">
      <c r="A103" s="20" t="s">
        <v>4722</v>
      </c>
      <c r="B103" s="20" t="s">
        <v>190</v>
      </c>
      <c r="C103" s="20" t="s">
        <v>56</v>
      </c>
      <c r="D103" s="20" t="s">
        <v>22</v>
      </c>
      <c r="E103" s="21">
        <f>ROUND(6385*1.05,2)</f>
      </c>
      <c r="F103" s="20" t="s">
        <v>23</v>
      </c>
      <c r="G103" s="20" t="s">
        <v>24</v>
      </c>
      <c r="H103" s="21">
        <f>ROUND(RAND()*4+6,1)</f>
      </c>
      <c r="I103" s="20" t="s">
        <v>25</v>
      </c>
      <c r="J103" s="23">
        <f>ROUND(70*1,0)&amp;"%"</f>
      </c>
    </row>
    <row x14ac:dyDescent="0.25" r="104" customHeight="1" ht="17.25">
      <c r="A104" s="17" t="s">
        <v>4723</v>
      </c>
      <c r="B104" s="17" t="s">
        <v>192</v>
      </c>
      <c r="C104" s="17" t="s">
        <v>56</v>
      </c>
      <c r="D104" s="17" t="s">
        <v>28</v>
      </c>
      <c r="E104" s="18">
        <f>ROUND(10643*1.05,2)</f>
      </c>
      <c r="F104" s="17" t="s">
        <v>29</v>
      </c>
      <c r="G104" s="17" t="s">
        <v>30</v>
      </c>
      <c r="H104" s="18">
        <f>ROUND(RAND()*4+6,1)</f>
      </c>
      <c r="I104" s="17" t="s">
        <v>31</v>
      </c>
      <c r="J104" s="19">
        <f>ROUND(89*1,0)&amp;"%"</f>
      </c>
    </row>
    <row x14ac:dyDescent="0.25" r="105" customHeight="1" ht="17.25">
      <c r="A105" s="20" t="s">
        <v>4724</v>
      </c>
      <c r="B105" s="20" t="s">
        <v>194</v>
      </c>
      <c r="C105" s="20" t="s">
        <v>56</v>
      </c>
      <c r="D105" s="20" t="s">
        <v>34</v>
      </c>
      <c r="E105" s="22">
        <f>ROUND(17680*1.05,2)</f>
      </c>
      <c r="F105" s="20" t="s">
        <v>35</v>
      </c>
      <c r="G105" s="20" t="s">
        <v>18</v>
      </c>
      <c r="H105" s="21">
        <f>ROUND(RAND()*4+6,1)</f>
      </c>
      <c r="I105" s="20" t="s">
        <v>36</v>
      </c>
      <c r="J105" s="23">
        <f>ROUND(70*1,0)&amp;"%"</f>
      </c>
    </row>
    <row x14ac:dyDescent="0.25" r="106" customHeight="1" ht="17.25">
      <c r="A106" s="17" t="s">
        <v>4725</v>
      </c>
      <c r="B106" s="17" t="s">
        <v>196</v>
      </c>
      <c r="C106" s="17" t="s">
        <v>56</v>
      </c>
      <c r="D106" s="17" t="s">
        <v>39</v>
      </c>
      <c r="E106" s="18">
        <f>ROUND(13777*1.05,2)</f>
      </c>
      <c r="F106" s="17" t="s">
        <v>40</v>
      </c>
      <c r="G106" s="17" t="s">
        <v>24</v>
      </c>
      <c r="H106" s="18">
        <f>ROUND(RAND()*4+6,1)</f>
      </c>
      <c r="I106" s="17" t="s">
        <v>41</v>
      </c>
      <c r="J106" s="19">
        <f>ROUND(67*1,0)&amp;"%"</f>
      </c>
    </row>
    <row x14ac:dyDescent="0.25" r="107" customHeight="1" ht="17.25">
      <c r="A107" s="20" t="s">
        <v>4726</v>
      </c>
      <c r="B107" s="20" t="s">
        <v>198</v>
      </c>
      <c r="C107" s="20" t="s">
        <v>56</v>
      </c>
      <c r="D107" s="20" t="s">
        <v>67</v>
      </c>
      <c r="E107" s="21">
        <f>ROUND(17111*1.05,2)</f>
      </c>
      <c r="F107" s="20" t="s">
        <v>44</v>
      </c>
      <c r="G107" s="20" t="s">
        <v>30</v>
      </c>
      <c r="H107" s="21">
        <f>ROUND(RAND()*4+6,1)</f>
      </c>
      <c r="I107" s="20" t="s">
        <v>45</v>
      </c>
      <c r="J107" s="23">
        <f>ROUND(99*1,0)&amp;"%"</f>
      </c>
    </row>
    <row x14ac:dyDescent="0.25" r="108" customHeight="1" ht="17.25">
      <c r="A108" s="17" t="s">
        <v>4727</v>
      </c>
      <c r="B108" s="17" t="s">
        <v>200</v>
      </c>
      <c r="C108" s="17" t="s">
        <v>56</v>
      </c>
      <c r="D108" s="17" t="s">
        <v>16</v>
      </c>
      <c r="E108" s="18">
        <f>ROUND(17123*1.05,2)</f>
      </c>
      <c r="F108" s="17" t="s">
        <v>48</v>
      </c>
      <c r="G108" s="17" t="s">
        <v>18</v>
      </c>
      <c r="H108" s="18">
        <f>ROUND(RAND()*4+6,1)</f>
      </c>
      <c r="I108" s="17" t="s">
        <v>19</v>
      </c>
      <c r="J108" s="19">
        <f>ROUND(89*1,0)&amp;"%"</f>
      </c>
    </row>
    <row x14ac:dyDescent="0.25" r="109" customHeight="1" ht="17.25">
      <c r="A109" s="20" t="s">
        <v>4728</v>
      </c>
      <c r="B109" s="20" t="s">
        <v>202</v>
      </c>
      <c r="C109" s="20" t="s">
        <v>56</v>
      </c>
      <c r="D109" s="20" t="s">
        <v>22</v>
      </c>
      <c r="E109" s="21">
        <f>ROUND(9796*1.05,2)</f>
      </c>
      <c r="F109" s="20" t="s">
        <v>51</v>
      </c>
      <c r="G109" s="20" t="s">
        <v>24</v>
      </c>
      <c r="H109" s="22">
        <f>ROUND(RAND()*4+6,1)</f>
      </c>
      <c r="I109" s="20" t="s">
        <v>25</v>
      </c>
      <c r="J109" s="23">
        <f>ROUND(92*1,0)&amp;"%"</f>
      </c>
    </row>
    <row x14ac:dyDescent="0.25" r="110" customHeight="1" ht="17.25">
      <c r="A110" s="24" t="s">
        <v>203</v>
      </c>
      <c r="B110" s="24"/>
      <c r="C110" s="24"/>
      <c r="D110" s="24"/>
      <c r="E110" s="25">
        <v>8</v>
      </c>
      <c r="F110" s="9"/>
      <c r="G110" s="9"/>
      <c r="H110" s="10"/>
      <c r="I110" s="9"/>
      <c r="J110" s="9"/>
    </row>
    <row x14ac:dyDescent="0.25" r="111" customHeight="1" ht="17.25">
      <c r="A111" s="7"/>
      <c r="B111" s="7"/>
      <c r="C111" s="7"/>
      <c r="D111" s="7"/>
      <c r="E111" s="8"/>
      <c r="F111" s="9"/>
      <c r="G111" s="9"/>
      <c r="H111" s="10"/>
      <c r="I111" s="9"/>
      <c r="J111" s="9"/>
    </row>
    <row x14ac:dyDescent="0.25" r="112" customHeight="1" ht="17.25">
      <c r="A112" s="11" t="s">
        <v>4729</v>
      </c>
      <c r="B112" s="11"/>
      <c r="C112" s="11"/>
      <c r="D112" s="11"/>
      <c r="E112" s="12"/>
      <c r="F112" s="11"/>
      <c r="G112" s="11"/>
      <c r="H112" s="13"/>
      <c r="I112" s="11"/>
      <c r="J112" s="11"/>
    </row>
    <row x14ac:dyDescent="0.25" r="113" customHeight="1" ht="17.25">
      <c r="A113" s="14" t="s">
        <v>3</v>
      </c>
      <c r="B113" s="14" t="s">
        <v>4</v>
      </c>
      <c r="C113" s="14" t="s">
        <v>5</v>
      </c>
      <c r="D113" s="14" t="s">
        <v>6</v>
      </c>
      <c r="E113" s="15" t="s">
        <v>7</v>
      </c>
      <c r="F113" s="14" t="s">
        <v>8</v>
      </c>
      <c r="G113" s="14" t="s">
        <v>9</v>
      </c>
      <c r="H113" s="16" t="s">
        <v>10</v>
      </c>
      <c r="I113" s="14" t="s">
        <v>11</v>
      </c>
      <c r="J113" s="14" t="s">
        <v>12</v>
      </c>
    </row>
    <row x14ac:dyDescent="0.25" r="114" customHeight="1" ht="17.25">
      <c r="A114" s="17" t="s">
        <v>4730</v>
      </c>
      <c r="B114" s="17" t="s">
        <v>206</v>
      </c>
      <c r="C114" s="17" t="s">
        <v>76</v>
      </c>
      <c r="D114" s="17" t="s">
        <v>16</v>
      </c>
      <c r="E114" s="18">
        <f>ROUND(7983*1.05,2)</f>
      </c>
      <c r="F114" s="17" t="s">
        <v>17</v>
      </c>
      <c r="G114" s="17" t="s">
        <v>18</v>
      </c>
      <c r="H114" s="18">
        <f>ROUND(RAND()*4+6,1)</f>
      </c>
      <c r="I114" s="17" t="s">
        <v>19</v>
      </c>
      <c r="J114" s="19">
        <f>ROUND(98*1,0)&amp;"%"</f>
      </c>
    </row>
    <row x14ac:dyDescent="0.25" r="115" customHeight="1" ht="17.25">
      <c r="A115" s="20" t="s">
        <v>4731</v>
      </c>
      <c r="B115" s="20" t="s">
        <v>208</v>
      </c>
      <c r="C115" s="20" t="s">
        <v>76</v>
      </c>
      <c r="D115" s="20" t="s">
        <v>22</v>
      </c>
      <c r="E115" s="21">
        <f>ROUND(10771*1.05,2)</f>
      </c>
      <c r="F115" s="20" t="s">
        <v>23</v>
      </c>
      <c r="G115" s="20" t="s">
        <v>24</v>
      </c>
      <c r="H115" s="21">
        <f>ROUND(RAND()*4+6,1)</f>
      </c>
      <c r="I115" s="20" t="s">
        <v>25</v>
      </c>
      <c r="J115" s="23">
        <f>ROUND(80*1,0)&amp;"%"</f>
      </c>
    </row>
    <row x14ac:dyDescent="0.25" r="116" customHeight="1" ht="17.25">
      <c r="A116" s="17" t="s">
        <v>4732</v>
      </c>
      <c r="B116" s="17" t="s">
        <v>210</v>
      </c>
      <c r="C116" s="17" t="s">
        <v>76</v>
      </c>
      <c r="D116" s="17" t="s">
        <v>28</v>
      </c>
      <c r="E116" s="18">
        <f>ROUND(5279*1.05,2)</f>
      </c>
      <c r="F116" s="17" t="s">
        <v>29</v>
      </c>
      <c r="G116" s="17" t="s">
        <v>30</v>
      </c>
      <c r="H116" s="18">
        <f>ROUND(RAND()*4+6,1)</f>
      </c>
      <c r="I116" s="17" t="s">
        <v>31</v>
      </c>
      <c r="J116" s="19">
        <f>ROUND(73*1,0)&amp;"%"</f>
      </c>
    </row>
    <row x14ac:dyDescent="0.25" r="117" customHeight="1" ht="17.25">
      <c r="A117" s="20" t="s">
        <v>4733</v>
      </c>
      <c r="B117" s="20" t="s">
        <v>212</v>
      </c>
      <c r="C117" s="20" t="s">
        <v>76</v>
      </c>
      <c r="D117" s="20" t="s">
        <v>34</v>
      </c>
      <c r="E117" s="21">
        <f>ROUND(6809*1.05,2)</f>
      </c>
      <c r="F117" s="20" t="s">
        <v>35</v>
      </c>
      <c r="G117" s="20" t="s">
        <v>18</v>
      </c>
      <c r="H117" s="21">
        <f>ROUND(RAND()*4+6,1)</f>
      </c>
      <c r="I117" s="20" t="s">
        <v>36</v>
      </c>
      <c r="J117" s="23">
        <f>ROUND(65*1,0)&amp;"%"</f>
      </c>
    </row>
    <row x14ac:dyDescent="0.25" r="118" customHeight="1" ht="17.25">
      <c r="A118" s="17" t="s">
        <v>4734</v>
      </c>
      <c r="B118" s="17" t="s">
        <v>214</v>
      </c>
      <c r="C118" s="17" t="s">
        <v>76</v>
      </c>
      <c r="D118" s="17" t="s">
        <v>39</v>
      </c>
      <c r="E118" s="18">
        <f>ROUND(9538*1.05,2)</f>
      </c>
      <c r="F118" s="17" t="s">
        <v>40</v>
      </c>
      <c r="G118" s="17" t="s">
        <v>24</v>
      </c>
      <c r="H118" s="18">
        <f>ROUND(RAND()*4+6,1)</f>
      </c>
      <c r="I118" s="17" t="s">
        <v>41</v>
      </c>
      <c r="J118" s="19">
        <f>ROUND(86*1,0)&amp;"%"</f>
      </c>
    </row>
    <row x14ac:dyDescent="0.25" r="119" customHeight="1" ht="17.25">
      <c r="A119" s="20" t="s">
        <v>4735</v>
      </c>
      <c r="B119" s="20" t="s">
        <v>216</v>
      </c>
      <c r="C119" s="20" t="s">
        <v>76</v>
      </c>
      <c r="D119" s="20" t="s">
        <v>67</v>
      </c>
      <c r="E119" s="21">
        <f>ROUND(8208*1.05,2)</f>
      </c>
      <c r="F119" s="20" t="s">
        <v>44</v>
      </c>
      <c r="G119" s="20" t="s">
        <v>30</v>
      </c>
      <c r="H119" s="21">
        <f>ROUND(RAND()*4+6,1)</f>
      </c>
      <c r="I119" s="20" t="s">
        <v>45</v>
      </c>
      <c r="J119" s="23">
        <f>ROUND(87*1,0)&amp;"%"</f>
      </c>
    </row>
    <row x14ac:dyDescent="0.25" r="120" customHeight="1" ht="17.25">
      <c r="A120" s="17" t="s">
        <v>4736</v>
      </c>
      <c r="B120" s="17" t="s">
        <v>218</v>
      </c>
      <c r="C120" s="17" t="s">
        <v>76</v>
      </c>
      <c r="D120" s="17" t="s">
        <v>16</v>
      </c>
      <c r="E120" s="18">
        <f>ROUND(8908*1.05,2)</f>
      </c>
      <c r="F120" s="17" t="s">
        <v>48</v>
      </c>
      <c r="G120" s="17" t="s">
        <v>18</v>
      </c>
      <c r="H120" s="18">
        <f>ROUND(RAND()*4+6,1)</f>
      </c>
      <c r="I120" s="17" t="s">
        <v>19</v>
      </c>
      <c r="J120" s="19">
        <f>ROUND(70*1,0)&amp;"%"</f>
      </c>
    </row>
    <row x14ac:dyDescent="0.25" r="121" customHeight="1" ht="17.25">
      <c r="A121" s="20" t="s">
        <v>4737</v>
      </c>
      <c r="B121" s="20" t="s">
        <v>220</v>
      </c>
      <c r="C121" s="20" t="s">
        <v>76</v>
      </c>
      <c r="D121" s="20" t="s">
        <v>22</v>
      </c>
      <c r="E121" s="21">
        <f>ROUND(4993*1.05,2)</f>
      </c>
      <c r="F121" s="20" t="s">
        <v>51</v>
      </c>
      <c r="G121" s="20" t="s">
        <v>24</v>
      </c>
      <c r="H121" s="21">
        <f>ROUND(RAND()*4+6,1)</f>
      </c>
      <c r="I121" s="20" t="s">
        <v>25</v>
      </c>
      <c r="J121" s="23">
        <f>ROUND(75*1,0)&amp;"%"</f>
      </c>
    </row>
    <row x14ac:dyDescent="0.25" r="122" customHeight="1" ht="17.25">
      <c r="A122" s="24" t="s">
        <v>221</v>
      </c>
      <c r="B122" s="24"/>
      <c r="C122" s="24"/>
      <c r="D122" s="24"/>
      <c r="E122" s="25">
        <v>8</v>
      </c>
      <c r="F122" s="9"/>
      <c r="G122" s="9"/>
      <c r="H122" s="10"/>
      <c r="I122" s="9"/>
      <c r="J122" s="9"/>
    </row>
    <row x14ac:dyDescent="0.25" r="123" customHeight="1" ht="17.25">
      <c r="A123" s="7"/>
      <c r="B123" s="7"/>
      <c r="C123" s="7"/>
      <c r="D123" s="7"/>
      <c r="E123" s="8"/>
      <c r="F123" s="9"/>
      <c r="G123" s="9"/>
      <c r="H123" s="10"/>
      <c r="I123" s="9"/>
      <c r="J123" s="9"/>
    </row>
    <row x14ac:dyDescent="0.25" r="124" customHeight="1" ht="17.25">
      <c r="A124" s="11" t="s">
        <v>4738</v>
      </c>
      <c r="B124" s="11"/>
      <c r="C124" s="11"/>
      <c r="D124" s="11"/>
      <c r="E124" s="12"/>
      <c r="F124" s="11"/>
      <c r="G124" s="11"/>
      <c r="H124" s="13"/>
      <c r="I124" s="11"/>
      <c r="J124" s="11"/>
    </row>
    <row x14ac:dyDescent="0.25" r="125" customHeight="1" ht="17.25">
      <c r="A125" s="14" t="s">
        <v>3</v>
      </c>
      <c r="B125" s="14" t="s">
        <v>4</v>
      </c>
      <c r="C125" s="14" t="s">
        <v>5</v>
      </c>
      <c r="D125" s="14" t="s">
        <v>6</v>
      </c>
      <c r="E125" s="15" t="s">
        <v>7</v>
      </c>
      <c r="F125" s="14" t="s">
        <v>8</v>
      </c>
      <c r="G125" s="14" t="s">
        <v>9</v>
      </c>
      <c r="H125" s="16" t="s">
        <v>10</v>
      </c>
      <c r="I125" s="14" t="s">
        <v>11</v>
      </c>
      <c r="J125" s="14" t="s">
        <v>12</v>
      </c>
    </row>
    <row x14ac:dyDescent="0.25" r="126" customHeight="1" ht="17.25">
      <c r="A126" s="17" t="s">
        <v>4739</v>
      </c>
      <c r="B126" s="17" t="s">
        <v>224</v>
      </c>
      <c r="C126" s="17" t="s">
        <v>95</v>
      </c>
      <c r="D126" s="17" t="s">
        <v>16</v>
      </c>
      <c r="E126" s="18">
        <f>ROUND(8993*1.05,2)</f>
      </c>
      <c r="F126" s="17" t="s">
        <v>17</v>
      </c>
      <c r="G126" s="17" t="s">
        <v>18</v>
      </c>
      <c r="H126" s="18">
        <f>ROUND(RAND()*4+6,1)</f>
      </c>
      <c r="I126" s="17" t="s">
        <v>19</v>
      </c>
      <c r="J126" s="19">
        <f>ROUND(100*1,0)&amp;"%"</f>
      </c>
    </row>
    <row x14ac:dyDescent="0.25" r="127" customHeight="1" ht="17.25">
      <c r="A127" s="20" t="s">
        <v>4740</v>
      </c>
      <c r="B127" s="20" t="s">
        <v>226</v>
      </c>
      <c r="C127" s="20" t="s">
        <v>95</v>
      </c>
      <c r="D127" s="20" t="s">
        <v>22</v>
      </c>
      <c r="E127" s="22">
        <f>ROUND(7600*1.05,2)</f>
      </c>
      <c r="F127" s="20" t="s">
        <v>23</v>
      </c>
      <c r="G127" s="20" t="s">
        <v>24</v>
      </c>
      <c r="H127" s="21">
        <f>ROUND(RAND()*4+6,1)</f>
      </c>
      <c r="I127" s="20" t="s">
        <v>25</v>
      </c>
      <c r="J127" s="23">
        <f>ROUND(77*1,0)&amp;"%"</f>
      </c>
    </row>
    <row x14ac:dyDescent="0.25" r="128" customHeight="1" ht="17.25">
      <c r="A128" s="17" t="s">
        <v>4741</v>
      </c>
      <c r="B128" s="17" t="s">
        <v>228</v>
      </c>
      <c r="C128" s="17" t="s">
        <v>95</v>
      </c>
      <c r="D128" s="17" t="s">
        <v>28</v>
      </c>
      <c r="E128" s="18">
        <f>ROUND(10359*1.05,2)</f>
      </c>
      <c r="F128" s="17" t="s">
        <v>29</v>
      </c>
      <c r="G128" s="17" t="s">
        <v>30</v>
      </c>
      <c r="H128" s="18">
        <f>ROUND(RAND()*4+6,1)</f>
      </c>
      <c r="I128" s="17" t="s">
        <v>31</v>
      </c>
      <c r="J128" s="19">
        <f>ROUND(64*1,0)&amp;"%"</f>
      </c>
    </row>
    <row x14ac:dyDescent="0.25" r="129" customHeight="1" ht="17.25">
      <c r="A129" s="20" t="s">
        <v>4742</v>
      </c>
      <c r="B129" s="20" t="s">
        <v>230</v>
      </c>
      <c r="C129" s="20" t="s">
        <v>95</v>
      </c>
      <c r="D129" s="20" t="s">
        <v>34</v>
      </c>
      <c r="E129" s="21">
        <f>ROUND(8882*1.05,2)</f>
      </c>
      <c r="F129" s="20" t="s">
        <v>35</v>
      </c>
      <c r="G129" s="20" t="s">
        <v>18</v>
      </c>
      <c r="H129" s="21">
        <f>ROUND(RAND()*4+6,1)</f>
      </c>
      <c r="I129" s="20" t="s">
        <v>36</v>
      </c>
      <c r="J129" s="23">
        <f>ROUND(86*1,0)&amp;"%"</f>
      </c>
    </row>
    <row x14ac:dyDescent="0.25" r="130" customHeight="1" ht="17.25">
      <c r="A130" s="17" t="s">
        <v>4743</v>
      </c>
      <c r="B130" s="17" t="s">
        <v>232</v>
      </c>
      <c r="C130" s="17" t="s">
        <v>95</v>
      </c>
      <c r="D130" s="17" t="s">
        <v>39</v>
      </c>
      <c r="E130" s="18">
        <f>ROUND(9117*1.05,2)</f>
      </c>
      <c r="F130" s="17" t="s">
        <v>40</v>
      </c>
      <c r="G130" s="17" t="s">
        <v>24</v>
      </c>
      <c r="H130" s="18">
        <f>ROUND(RAND()*4+6,1)</f>
      </c>
      <c r="I130" s="17" t="s">
        <v>41</v>
      </c>
      <c r="J130" s="19">
        <f>ROUND(86*1,0)&amp;"%"</f>
      </c>
    </row>
    <row x14ac:dyDescent="0.25" r="131" customHeight="1" ht="17.25">
      <c r="A131" s="20" t="s">
        <v>4744</v>
      </c>
      <c r="B131" s="20" t="s">
        <v>234</v>
      </c>
      <c r="C131" s="20" t="s">
        <v>95</v>
      </c>
      <c r="D131" s="20" t="s">
        <v>67</v>
      </c>
      <c r="E131" s="21">
        <f>ROUND(11974*1.05,2)</f>
      </c>
      <c r="F131" s="20" t="s">
        <v>44</v>
      </c>
      <c r="G131" s="20" t="s">
        <v>30</v>
      </c>
      <c r="H131" s="21">
        <f>ROUND(RAND()*4+6,1)</f>
      </c>
      <c r="I131" s="20" t="s">
        <v>45</v>
      </c>
      <c r="J131" s="23">
        <f>ROUND(72*1,0)&amp;"%"</f>
      </c>
    </row>
    <row x14ac:dyDescent="0.25" r="132" customHeight="1" ht="17.25">
      <c r="A132" s="17" t="s">
        <v>4745</v>
      </c>
      <c r="B132" s="17" t="s">
        <v>236</v>
      </c>
      <c r="C132" s="17" t="s">
        <v>95</v>
      </c>
      <c r="D132" s="17" t="s">
        <v>16</v>
      </c>
      <c r="E132" s="18">
        <f>ROUND(9892*1.05,2)</f>
      </c>
      <c r="F132" s="17" t="s">
        <v>48</v>
      </c>
      <c r="G132" s="17" t="s">
        <v>18</v>
      </c>
      <c r="H132" s="18">
        <f>ROUND(RAND()*4+6,1)</f>
      </c>
      <c r="I132" s="17" t="s">
        <v>19</v>
      </c>
      <c r="J132" s="19">
        <f>ROUND(71*1,0)&amp;"%"</f>
      </c>
    </row>
    <row x14ac:dyDescent="0.25" r="133" customHeight="1" ht="17.25">
      <c r="A133" s="20" t="s">
        <v>4746</v>
      </c>
      <c r="B133" s="20" t="s">
        <v>238</v>
      </c>
      <c r="C133" s="20" t="s">
        <v>95</v>
      </c>
      <c r="D133" s="20" t="s">
        <v>22</v>
      </c>
      <c r="E133" s="21">
        <f>ROUND(5130*1.05,2)</f>
      </c>
      <c r="F133" s="20" t="s">
        <v>51</v>
      </c>
      <c r="G133" s="20" t="s">
        <v>24</v>
      </c>
      <c r="H133" s="21">
        <f>ROUND(RAND()*4+6,1)</f>
      </c>
      <c r="I133" s="20" t="s">
        <v>25</v>
      </c>
      <c r="J133" s="23">
        <f>ROUND(66*1,0)&amp;"%"</f>
      </c>
    </row>
    <row x14ac:dyDescent="0.25" r="134" customHeight="1" ht="17.25">
      <c r="A134" s="24" t="s">
        <v>239</v>
      </c>
      <c r="B134" s="24"/>
      <c r="C134" s="24"/>
      <c r="D134" s="24"/>
      <c r="E134" s="25">
        <v>8</v>
      </c>
      <c r="F134" s="9"/>
      <c r="G134" s="9"/>
      <c r="H134" s="10"/>
      <c r="I134" s="9"/>
      <c r="J134" s="9"/>
    </row>
    <row x14ac:dyDescent="0.25" r="135" customHeight="1" ht="17.25">
      <c r="A135" s="7"/>
      <c r="B135" s="7"/>
      <c r="C135" s="7"/>
      <c r="D135" s="7"/>
      <c r="E135" s="8"/>
      <c r="F135" s="9"/>
      <c r="G135" s="9"/>
      <c r="H135" s="10"/>
      <c r="I135" s="9"/>
      <c r="J135" s="9"/>
    </row>
    <row x14ac:dyDescent="0.25" r="136" customHeight="1" ht="17.25">
      <c r="A136" s="11" t="s">
        <v>4747</v>
      </c>
      <c r="B136" s="11"/>
      <c r="C136" s="11"/>
      <c r="D136" s="11"/>
      <c r="E136" s="12"/>
      <c r="F136" s="11"/>
      <c r="G136" s="11"/>
      <c r="H136" s="13"/>
      <c r="I136" s="11"/>
      <c r="J136" s="11"/>
    </row>
    <row x14ac:dyDescent="0.25" r="137" customHeight="1" ht="17.25">
      <c r="A137" s="14" t="s">
        <v>3</v>
      </c>
      <c r="B137" s="14" t="s">
        <v>4</v>
      </c>
      <c r="C137" s="14" t="s">
        <v>5</v>
      </c>
      <c r="D137" s="14" t="s">
        <v>6</v>
      </c>
      <c r="E137" s="15" t="s">
        <v>7</v>
      </c>
      <c r="F137" s="14" t="s">
        <v>8</v>
      </c>
      <c r="G137" s="14" t="s">
        <v>9</v>
      </c>
      <c r="H137" s="16" t="s">
        <v>10</v>
      </c>
      <c r="I137" s="14" t="s">
        <v>11</v>
      </c>
      <c r="J137" s="14" t="s">
        <v>12</v>
      </c>
    </row>
    <row x14ac:dyDescent="0.25" r="138" customHeight="1" ht="17.25">
      <c r="A138" s="17" t="s">
        <v>4748</v>
      </c>
      <c r="B138" s="17" t="s">
        <v>242</v>
      </c>
      <c r="C138" s="17" t="s">
        <v>114</v>
      </c>
      <c r="D138" s="17" t="s">
        <v>16</v>
      </c>
      <c r="E138" s="18">
        <f>ROUND(14167*1.05,2)</f>
      </c>
      <c r="F138" s="17" t="s">
        <v>17</v>
      </c>
      <c r="G138" s="17" t="s">
        <v>18</v>
      </c>
      <c r="H138" s="18">
        <f>ROUND(RAND()*4+6,1)</f>
      </c>
      <c r="I138" s="17" t="s">
        <v>19</v>
      </c>
      <c r="J138" s="19">
        <f>ROUND(71*1,0)&amp;"%"</f>
      </c>
    </row>
    <row x14ac:dyDescent="0.25" r="139" customHeight="1" ht="17.25">
      <c r="A139" s="20" t="s">
        <v>4749</v>
      </c>
      <c r="B139" s="20" t="s">
        <v>244</v>
      </c>
      <c r="C139" s="20" t="s">
        <v>114</v>
      </c>
      <c r="D139" s="20" t="s">
        <v>22</v>
      </c>
      <c r="E139" s="21">
        <f>ROUND(17885*1.05,2)</f>
      </c>
      <c r="F139" s="20" t="s">
        <v>23</v>
      </c>
      <c r="G139" s="20" t="s">
        <v>24</v>
      </c>
      <c r="H139" s="22">
        <f>ROUND(RAND()*4+6,1)</f>
      </c>
      <c r="I139" s="20" t="s">
        <v>25</v>
      </c>
      <c r="J139" s="23">
        <f>ROUND(100*1,0)&amp;"%"</f>
      </c>
    </row>
    <row x14ac:dyDescent="0.25" r="140" customHeight="1" ht="17.25">
      <c r="A140" s="17" t="s">
        <v>4750</v>
      </c>
      <c r="B140" s="17" t="s">
        <v>246</v>
      </c>
      <c r="C140" s="17" t="s">
        <v>114</v>
      </c>
      <c r="D140" s="17" t="s">
        <v>28</v>
      </c>
      <c r="E140" s="18">
        <f>ROUND(13295*1.05,2)</f>
      </c>
      <c r="F140" s="17" t="s">
        <v>29</v>
      </c>
      <c r="G140" s="17" t="s">
        <v>30</v>
      </c>
      <c r="H140" s="18">
        <f>ROUND(RAND()*4+6,1)</f>
      </c>
      <c r="I140" s="17" t="s">
        <v>31</v>
      </c>
      <c r="J140" s="19">
        <f>ROUND(88*1,0)&amp;"%"</f>
      </c>
    </row>
    <row x14ac:dyDescent="0.25" r="141" customHeight="1" ht="17.25">
      <c r="A141" s="20" t="s">
        <v>4751</v>
      </c>
      <c r="B141" s="20" t="s">
        <v>248</v>
      </c>
      <c r="C141" s="20" t="s">
        <v>114</v>
      </c>
      <c r="D141" s="20" t="s">
        <v>34</v>
      </c>
      <c r="E141" s="22">
        <f>ROUND(13460*1.05,2)</f>
      </c>
      <c r="F141" s="20" t="s">
        <v>35</v>
      </c>
      <c r="G141" s="20" t="s">
        <v>18</v>
      </c>
      <c r="H141" s="21">
        <f>ROUND(RAND()*4+6,1)</f>
      </c>
      <c r="I141" s="20" t="s">
        <v>36</v>
      </c>
      <c r="J141" s="23">
        <f>ROUND(63*1,0)&amp;"%"</f>
      </c>
    </row>
    <row x14ac:dyDescent="0.25" r="142" customHeight="1" ht="17.25">
      <c r="A142" s="17" t="s">
        <v>4752</v>
      </c>
      <c r="B142" s="17" t="s">
        <v>250</v>
      </c>
      <c r="C142" s="17" t="s">
        <v>114</v>
      </c>
      <c r="D142" s="17" t="s">
        <v>39</v>
      </c>
      <c r="E142" s="18">
        <f>ROUND(15798*1.05,2)</f>
      </c>
      <c r="F142" s="17" t="s">
        <v>40</v>
      </c>
      <c r="G142" s="17" t="s">
        <v>24</v>
      </c>
      <c r="H142" s="18">
        <f>ROUND(RAND()*4+6,1)</f>
      </c>
      <c r="I142" s="17" t="s">
        <v>41</v>
      </c>
      <c r="J142" s="19">
        <f>ROUND(95*1,0)&amp;"%"</f>
      </c>
    </row>
    <row x14ac:dyDescent="0.25" r="143" customHeight="1" ht="17.25">
      <c r="A143" s="20" t="s">
        <v>4753</v>
      </c>
      <c r="B143" s="20" t="s">
        <v>252</v>
      </c>
      <c r="C143" s="20" t="s">
        <v>114</v>
      </c>
      <c r="D143" s="20" t="s">
        <v>67</v>
      </c>
      <c r="E143" s="21">
        <f>ROUND(14504*1.05,2)</f>
      </c>
      <c r="F143" s="20" t="s">
        <v>44</v>
      </c>
      <c r="G143" s="20" t="s">
        <v>30</v>
      </c>
      <c r="H143" s="21">
        <f>ROUND(RAND()*4+6,1)</f>
      </c>
      <c r="I143" s="20" t="s">
        <v>45</v>
      </c>
      <c r="J143" s="23">
        <f>ROUND(84*1,0)&amp;"%"</f>
      </c>
    </row>
    <row x14ac:dyDescent="0.25" r="144" customHeight="1" ht="17.25">
      <c r="A144" s="17" t="s">
        <v>4754</v>
      </c>
      <c r="B144" s="17" t="s">
        <v>254</v>
      </c>
      <c r="C144" s="17" t="s">
        <v>114</v>
      </c>
      <c r="D144" s="17" t="s">
        <v>16</v>
      </c>
      <c r="E144" s="18">
        <f>ROUND(13676*1.05,2)</f>
      </c>
      <c r="F144" s="17" t="s">
        <v>48</v>
      </c>
      <c r="G144" s="17" t="s">
        <v>18</v>
      </c>
      <c r="H144" s="18">
        <f>ROUND(RAND()*4+6,1)</f>
      </c>
      <c r="I144" s="17" t="s">
        <v>19</v>
      </c>
      <c r="J144" s="19">
        <f>ROUND(60*1,0)&amp;"%"</f>
      </c>
    </row>
    <row x14ac:dyDescent="0.25" r="145" customHeight="1" ht="17.25">
      <c r="A145" s="20" t="s">
        <v>4755</v>
      </c>
      <c r="B145" s="20" t="s">
        <v>256</v>
      </c>
      <c r="C145" s="20" t="s">
        <v>114</v>
      </c>
      <c r="D145" s="20" t="s">
        <v>22</v>
      </c>
      <c r="E145" s="21">
        <f>ROUND(7809*1.05,2)</f>
      </c>
      <c r="F145" s="20" t="s">
        <v>51</v>
      </c>
      <c r="G145" s="20" t="s">
        <v>24</v>
      </c>
      <c r="H145" s="21">
        <f>ROUND(RAND()*4+6,1)</f>
      </c>
      <c r="I145" s="20" t="s">
        <v>25</v>
      </c>
      <c r="J145" s="23">
        <f>ROUND(95*1,0)&amp;"%"</f>
      </c>
    </row>
    <row x14ac:dyDescent="0.25" r="146" customHeight="1" ht="17.25">
      <c r="A146" s="24" t="s">
        <v>257</v>
      </c>
      <c r="B146" s="24"/>
      <c r="C146" s="24"/>
      <c r="D146" s="24"/>
      <c r="E146" s="25">
        <v>8</v>
      </c>
      <c r="F146" s="9"/>
      <c r="G146" s="9"/>
      <c r="H146" s="10"/>
      <c r="I146" s="9"/>
      <c r="J146" s="9"/>
    </row>
    <row x14ac:dyDescent="0.25" r="147" customHeight="1" ht="17.25">
      <c r="A147" s="7"/>
      <c r="B147" s="7"/>
      <c r="C147" s="7"/>
      <c r="D147" s="7"/>
      <c r="E147" s="8"/>
      <c r="F147" s="9"/>
      <c r="G147" s="9"/>
      <c r="H147" s="10"/>
      <c r="I147" s="9"/>
      <c r="J147" s="9"/>
    </row>
    <row x14ac:dyDescent="0.25" r="148" customHeight="1" ht="17.25">
      <c r="A148" s="11" t="s">
        <v>4756</v>
      </c>
      <c r="B148" s="11"/>
      <c r="C148" s="11"/>
      <c r="D148" s="11"/>
      <c r="E148" s="12"/>
      <c r="F148" s="11"/>
      <c r="G148" s="11"/>
      <c r="H148" s="13"/>
      <c r="I148" s="11"/>
      <c r="J148" s="11"/>
    </row>
    <row x14ac:dyDescent="0.25" r="149" customHeight="1" ht="17.25">
      <c r="A149" s="14" t="s">
        <v>3</v>
      </c>
      <c r="B149" s="14" t="s">
        <v>4</v>
      </c>
      <c r="C149" s="14" t="s">
        <v>5</v>
      </c>
      <c r="D149" s="14" t="s">
        <v>6</v>
      </c>
      <c r="E149" s="15" t="s">
        <v>7</v>
      </c>
      <c r="F149" s="14" t="s">
        <v>8</v>
      </c>
      <c r="G149" s="14" t="s">
        <v>9</v>
      </c>
      <c r="H149" s="16" t="s">
        <v>10</v>
      </c>
      <c r="I149" s="14" t="s">
        <v>11</v>
      </c>
      <c r="J149" s="14" t="s">
        <v>12</v>
      </c>
    </row>
    <row x14ac:dyDescent="0.25" r="150" customHeight="1" ht="17.25">
      <c r="A150" s="17" t="s">
        <v>4757</v>
      </c>
      <c r="B150" s="17" t="s">
        <v>260</v>
      </c>
      <c r="C150" s="17" t="s">
        <v>133</v>
      </c>
      <c r="D150" s="17" t="s">
        <v>16</v>
      </c>
      <c r="E150" s="18">
        <f>ROUND(8143*1.05,2)</f>
      </c>
      <c r="F150" s="17" t="s">
        <v>17</v>
      </c>
      <c r="G150" s="17" t="s">
        <v>18</v>
      </c>
      <c r="H150" s="18">
        <f>ROUND(RAND()*4+6,1)</f>
      </c>
      <c r="I150" s="17" t="s">
        <v>19</v>
      </c>
      <c r="J150" s="19">
        <f>ROUND(99*1,0)&amp;"%"</f>
      </c>
    </row>
    <row x14ac:dyDescent="0.25" r="151" customHeight="1" ht="17.25">
      <c r="A151" s="20" t="s">
        <v>4758</v>
      </c>
      <c r="B151" s="20" t="s">
        <v>262</v>
      </c>
      <c r="C151" s="20" t="s">
        <v>133</v>
      </c>
      <c r="D151" s="20" t="s">
        <v>22</v>
      </c>
      <c r="E151" s="21">
        <f>ROUND(4344*1.05,2)</f>
      </c>
      <c r="F151" s="20" t="s">
        <v>23</v>
      </c>
      <c r="G151" s="20" t="s">
        <v>24</v>
      </c>
      <c r="H151" s="21">
        <f>ROUND(RAND()*4+6,1)</f>
      </c>
      <c r="I151" s="20" t="s">
        <v>25</v>
      </c>
      <c r="J151" s="23">
        <f>ROUND(93*1,0)&amp;"%"</f>
      </c>
    </row>
    <row x14ac:dyDescent="0.25" r="152" customHeight="1" ht="17.25">
      <c r="A152" s="17" t="s">
        <v>4759</v>
      </c>
      <c r="B152" s="17" t="s">
        <v>264</v>
      </c>
      <c r="C152" s="17" t="s">
        <v>133</v>
      </c>
      <c r="D152" s="17" t="s">
        <v>28</v>
      </c>
      <c r="E152" s="18">
        <f>ROUND(7390*1.05,2)</f>
      </c>
      <c r="F152" s="17" t="s">
        <v>29</v>
      </c>
      <c r="G152" s="17" t="s">
        <v>30</v>
      </c>
      <c r="H152" s="18">
        <f>ROUND(RAND()*4+6,1)</f>
      </c>
      <c r="I152" s="17" t="s">
        <v>31</v>
      </c>
      <c r="J152" s="19">
        <f>ROUND(100*1,0)&amp;"%"</f>
      </c>
    </row>
    <row x14ac:dyDescent="0.25" r="153" customHeight="1" ht="17.25">
      <c r="A153" s="20" t="s">
        <v>4760</v>
      </c>
      <c r="B153" s="20" t="s">
        <v>266</v>
      </c>
      <c r="C153" s="20" t="s">
        <v>133</v>
      </c>
      <c r="D153" s="20" t="s">
        <v>34</v>
      </c>
      <c r="E153" s="21">
        <f>ROUND(6799*1.05,2)</f>
      </c>
      <c r="F153" s="20" t="s">
        <v>35</v>
      </c>
      <c r="G153" s="20" t="s">
        <v>18</v>
      </c>
      <c r="H153" s="21">
        <f>ROUND(RAND()*4+6,1)</f>
      </c>
      <c r="I153" s="20" t="s">
        <v>36</v>
      </c>
      <c r="J153" s="23">
        <f>ROUND(84*1,0)&amp;"%"</f>
      </c>
    </row>
    <row x14ac:dyDescent="0.25" r="154" customHeight="1" ht="17.25">
      <c r="A154" s="17" t="s">
        <v>4761</v>
      </c>
      <c r="B154" s="17" t="s">
        <v>268</v>
      </c>
      <c r="C154" s="17" t="s">
        <v>133</v>
      </c>
      <c r="D154" s="17" t="s">
        <v>39</v>
      </c>
      <c r="E154" s="18">
        <f>ROUND(11451*1.05,2)</f>
      </c>
      <c r="F154" s="17" t="s">
        <v>40</v>
      </c>
      <c r="G154" s="17" t="s">
        <v>24</v>
      </c>
      <c r="H154" s="18">
        <f>ROUND(RAND()*4+6,1)</f>
      </c>
      <c r="I154" s="17" t="s">
        <v>41</v>
      </c>
      <c r="J154" s="19">
        <f>ROUND(70*1,0)&amp;"%"</f>
      </c>
    </row>
    <row x14ac:dyDescent="0.25" r="155" customHeight="1" ht="17.25">
      <c r="A155" s="20" t="s">
        <v>4762</v>
      </c>
      <c r="B155" s="20" t="s">
        <v>270</v>
      </c>
      <c r="C155" s="20" t="s">
        <v>133</v>
      </c>
      <c r="D155" s="20" t="s">
        <v>67</v>
      </c>
      <c r="E155" s="21">
        <f>ROUND(10983*1.05,2)</f>
      </c>
      <c r="F155" s="20" t="s">
        <v>44</v>
      </c>
      <c r="G155" s="20" t="s">
        <v>30</v>
      </c>
      <c r="H155" s="21">
        <f>ROUND(RAND()*4+6,1)</f>
      </c>
      <c r="I155" s="20" t="s">
        <v>45</v>
      </c>
      <c r="J155" s="23">
        <f>ROUND(97*1,0)&amp;"%"</f>
      </c>
    </row>
    <row x14ac:dyDescent="0.25" r="156" customHeight="1" ht="17.25">
      <c r="A156" s="17" t="s">
        <v>4763</v>
      </c>
      <c r="B156" s="17" t="s">
        <v>272</v>
      </c>
      <c r="C156" s="17" t="s">
        <v>133</v>
      </c>
      <c r="D156" s="17" t="s">
        <v>16</v>
      </c>
      <c r="E156" s="18">
        <f>ROUND(17723*1.05,2)</f>
      </c>
      <c r="F156" s="17" t="s">
        <v>48</v>
      </c>
      <c r="G156" s="17" t="s">
        <v>18</v>
      </c>
      <c r="H156" s="18">
        <f>ROUND(RAND()*4+6,1)</f>
      </c>
      <c r="I156" s="17" t="s">
        <v>19</v>
      </c>
      <c r="J156" s="19">
        <f>ROUND(84*1,0)&amp;"%"</f>
      </c>
    </row>
    <row x14ac:dyDescent="0.25" r="157" customHeight="1" ht="17.25">
      <c r="A157" s="20" t="s">
        <v>4764</v>
      </c>
      <c r="B157" s="20" t="s">
        <v>274</v>
      </c>
      <c r="C157" s="20" t="s">
        <v>133</v>
      </c>
      <c r="D157" s="20" t="s">
        <v>22</v>
      </c>
      <c r="E157" s="21">
        <f>ROUND(15649*1.05,2)</f>
      </c>
      <c r="F157" s="20" t="s">
        <v>51</v>
      </c>
      <c r="G157" s="20" t="s">
        <v>24</v>
      </c>
      <c r="H157" s="21">
        <f>ROUND(RAND()*4+6,1)</f>
      </c>
      <c r="I157" s="20" t="s">
        <v>25</v>
      </c>
      <c r="J157" s="23">
        <f>ROUND(62*1,0)&amp;"%"</f>
      </c>
    </row>
    <row x14ac:dyDescent="0.25" r="158" customHeight="1" ht="17.25">
      <c r="A158" s="24" t="s">
        <v>275</v>
      </c>
      <c r="B158" s="24"/>
      <c r="C158" s="24"/>
      <c r="D158" s="24"/>
      <c r="E158" s="25">
        <v>8</v>
      </c>
      <c r="F158" s="9"/>
      <c r="G158" s="9"/>
      <c r="H158" s="10"/>
      <c r="I158" s="9"/>
      <c r="J158" s="9"/>
    </row>
    <row x14ac:dyDescent="0.25" r="159" customHeight="1" ht="17.25">
      <c r="A159" s="7"/>
      <c r="B159" s="7"/>
      <c r="C159" s="7"/>
      <c r="D159" s="7"/>
      <c r="E159" s="8"/>
      <c r="F159" s="9"/>
      <c r="G159" s="9"/>
      <c r="H159" s="10"/>
      <c r="I159" s="9"/>
      <c r="J159" s="9"/>
    </row>
    <row x14ac:dyDescent="0.25" r="160" customHeight="1" ht="17.25">
      <c r="A160" s="11" t="s">
        <v>4765</v>
      </c>
      <c r="B160" s="11"/>
      <c r="C160" s="11"/>
      <c r="D160" s="11"/>
      <c r="E160" s="12"/>
      <c r="F160" s="11"/>
      <c r="G160" s="11"/>
      <c r="H160" s="13"/>
      <c r="I160" s="11"/>
      <c r="J160" s="11"/>
    </row>
    <row x14ac:dyDescent="0.25" r="161" customHeight="1" ht="17.25">
      <c r="A161" s="14" t="s">
        <v>3</v>
      </c>
      <c r="B161" s="14" t="s">
        <v>4</v>
      </c>
      <c r="C161" s="14" t="s">
        <v>5</v>
      </c>
      <c r="D161" s="14" t="s">
        <v>6</v>
      </c>
      <c r="E161" s="15" t="s">
        <v>7</v>
      </c>
      <c r="F161" s="14" t="s">
        <v>8</v>
      </c>
      <c r="G161" s="14" t="s">
        <v>9</v>
      </c>
      <c r="H161" s="16" t="s">
        <v>10</v>
      </c>
      <c r="I161" s="14" t="s">
        <v>11</v>
      </c>
      <c r="J161" s="14" t="s">
        <v>12</v>
      </c>
    </row>
    <row x14ac:dyDescent="0.25" r="162" customHeight="1" ht="17.25">
      <c r="A162" s="17" t="s">
        <v>4766</v>
      </c>
      <c r="B162" s="17" t="s">
        <v>278</v>
      </c>
      <c r="C162" s="17" t="s">
        <v>152</v>
      </c>
      <c r="D162" s="17" t="s">
        <v>16</v>
      </c>
      <c r="E162" s="18">
        <f>ROUND(9852*1.05,2)</f>
      </c>
      <c r="F162" s="17" t="s">
        <v>17</v>
      </c>
      <c r="G162" s="17" t="s">
        <v>18</v>
      </c>
      <c r="H162" s="18">
        <f>ROUND(RAND()*4+6,1)</f>
      </c>
      <c r="I162" s="17" t="s">
        <v>19</v>
      </c>
      <c r="J162" s="19">
        <f>ROUND(98*1,0)&amp;"%"</f>
      </c>
    </row>
    <row x14ac:dyDescent="0.25" r="163" customHeight="1" ht="17.25">
      <c r="A163" s="20" t="s">
        <v>4767</v>
      </c>
      <c r="B163" s="20" t="s">
        <v>280</v>
      </c>
      <c r="C163" s="20" t="s">
        <v>152</v>
      </c>
      <c r="D163" s="20" t="s">
        <v>22</v>
      </c>
      <c r="E163" s="21">
        <f>ROUND(14376*1.05,2)</f>
      </c>
      <c r="F163" s="20" t="s">
        <v>23</v>
      </c>
      <c r="G163" s="20" t="s">
        <v>24</v>
      </c>
      <c r="H163" s="21">
        <f>ROUND(RAND()*4+6,1)</f>
      </c>
      <c r="I163" s="20" t="s">
        <v>25</v>
      </c>
      <c r="J163" s="23">
        <f>ROUND(93*1,0)&amp;"%"</f>
      </c>
    </row>
    <row x14ac:dyDescent="0.25" r="164" customHeight="1" ht="17.25">
      <c r="A164" s="17" t="s">
        <v>4768</v>
      </c>
      <c r="B164" s="17" t="s">
        <v>282</v>
      </c>
      <c r="C164" s="17" t="s">
        <v>152</v>
      </c>
      <c r="D164" s="17" t="s">
        <v>28</v>
      </c>
      <c r="E164" s="18">
        <f>ROUND(14539*1.05,2)</f>
      </c>
      <c r="F164" s="17" t="s">
        <v>29</v>
      </c>
      <c r="G164" s="17" t="s">
        <v>30</v>
      </c>
      <c r="H164" s="18">
        <f>ROUND(RAND()*4+6,1)</f>
      </c>
      <c r="I164" s="17" t="s">
        <v>31</v>
      </c>
      <c r="J164" s="19">
        <f>ROUND(67*1,0)&amp;"%"</f>
      </c>
    </row>
    <row x14ac:dyDescent="0.25" r="165" customHeight="1" ht="17.25">
      <c r="A165" s="20" t="s">
        <v>4769</v>
      </c>
      <c r="B165" s="20" t="s">
        <v>284</v>
      </c>
      <c r="C165" s="20" t="s">
        <v>152</v>
      </c>
      <c r="D165" s="20" t="s">
        <v>34</v>
      </c>
      <c r="E165" s="21">
        <f>ROUND(4633*1.05,2)</f>
      </c>
      <c r="F165" s="20" t="s">
        <v>35</v>
      </c>
      <c r="G165" s="20" t="s">
        <v>18</v>
      </c>
      <c r="H165" s="21">
        <f>ROUND(RAND()*4+6,1)</f>
      </c>
      <c r="I165" s="20" t="s">
        <v>36</v>
      </c>
      <c r="J165" s="23">
        <f>ROUND(81*1,0)&amp;"%"</f>
      </c>
    </row>
    <row x14ac:dyDescent="0.25" r="166" customHeight="1" ht="17.25">
      <c r="A166" s="17" t="s">
        <v>4770</v>
      </c>
      <c r="B166" s="17" t="s">
        <v>286</v>
      </c>
      <c r="C166" s="17" t="s">
        <v>152</v>
      </c>
      <c r="D166" s="17" t="s">
        <v>39</v>
      </c>
      <c r="E166" s="18">
        <f>ROUND(17597*1.05,2)</f>
      </c>
      <c r="F166" s="17" t="s">
        <v>40</v>
      </c>
      <c r="G166" s="17" t="s">
        <v>24</v>
      </c>
      <c r="H166" s="18">
        <f>ROUND(RAND()*4+6,1)</f>
      </c>
      <c r="I166" s="17" t="s">
        <v>41</v>
      </c>
      <c r="J166" s="19">
        <f>ROUND(98*1,0)&amp;"%"</f>
      </c>
    </row>
    <row x14ac:dyDescent="0.25" r="167" customHeight="1" ht="17.25">
      <c r="A167" s="20" t="s">
        <v>4771</v>
      </c>
      <c r="B167" s="20" t="s">
        <v>288</v>
      </c>
      <c r="C167" s="20" t="s">
        <v>152</v>
      </c>
      <c r="D167" s="20" t="s">
        <v>67</v>
      </c>
      <c r="E167" s="21">
        <f>ROUND(5401*1.05,2)</f>
      </c>
      <c r="F167" s="20" t="s">
        <v>44</v>
      </c>
      <c r="G167" s="20" t="s">
        <v>30</v>
      </c>
      <c r="H167" s="21">
        <f>ROUND(RAND()*4+6,1)</f>
      </c>
      <c r="I167" s="20" t="s">
        <v>45</v>
      </c>
      <c r="J167" s="23">
        <f>ROUND(75*1,0)&amp;"%"</f>
      </c>
    </row>
    <row x14ac:dyDescent="0.25" r="168" customHeight="1" ht="17.25">
      <c r="A168" s="17" t="s">
        <v>4772</v>
      </c>
      <c r="B168" s="17" t="s">
        <v>290</v>
      </c>
      <c r="C168" s="17" t="s">
        <v>152</v>
      </c>
      <c r="D168" s="17" t="s">
        <v>16</v>
      </c>
      <c r="E168" s="18">
        <f>ROUND(9639*1.05,2)</f>
      </c>
      <c r="F168" s="17" t="s">
        <v>48</v>
      </c>
      <c r="G168" s="17" t="s">
        <v>18</v>
      </c>
      <c r="H168" s="18">
        <f>ROUND(RAND()*4+6,1)</f>
      </c>
      <c r="I168" s="17" t="s">
        <v>19</v>
      </c>
      <c r="J168" s="19">
        <f>ROUND(99*1,0)&amp;"%"</f>
      </c>
    </row>
    <row x14ac:dyDescent="0.25" r="169" customHeight="1" ht="17.25">
      <c r="A169" s="20" t="s">
        <v>4773</v>
      </c>
      <c r="B169" s="20" t="s">
        <v>292</v>
      </c>
      <c r="C169" s="20" t="s">
        <v>152</v>
      </c>
      <c r="D169" s="20" t="s">
        <v>22</v>
      </c>
      <c r="E169" s="21">
        <f>ROUND(8007*1.05,2)</f>
      </c>
      <c r="F169" s="20" t="s">
        <v>51</v>
      </c>
      <c r="G169" s="20" t="s">
        <v>24</v>
      </c>
      <c r="H169" s="22">
        <f>ROUND(RAND()*4+6,1)</f>
      </c>
      <c r="I169" s="20" t="s">
        <v>25</v>
      </c>
      <c r="J169" s="23">
        <f>ROUND(62*1,0)&amp;"%"</f>
      </c>
    </row>
    <row x14ac:dyDescent="0.25" r="170" customHeight="1" ht="17.25">
      <c r="A170" s="24" t="s">
        <v>293</v>
      </c>
      <c r="B170" s="24"/>
      <c r="C170" s="24"/>
      <c r="D170" s="24"/>
      <c r="E170" s="25">
        <v>8</v>
      </c>
      <c r="F170" s="9"/>
      <c r="G170" s="9"/>
      <c r="H170" s="10"/>
      <c r="I170" s="9"/>
      <c r="J170" s="9"/>
    </row>
    <row x14ac:dyDescent="0.25" r="171" customHeight="1" ht="17.25">
      <c r="A171" s="7"/>
      <c r="B171" s="7"/>
      <c r="C171" s="7"/>
      <c r="D171" s="7"/>
      <c r="E171" s="8"/>
      <c r="F171" s="9"/>
      <c r="G171" s="9"/>
      <c r="H171" s="10"/>
      <c r="I171" s="9"/>
      <c r="J171" s="9"/>
    </row>
    <row x14ac:dyDescent="0.25" r="172" customHeight="1" ht="17.25">
      <c r="A172" s="11" t="s">
        <v>4774</v>
      </c>
      <c r="B172" s="11"/>
      <c r="C172" s="11"/>
      <c r="D172" s="11"/>
      <c r="E172" s="12"/>
      <c r="F172" s="11"/>
      <c r="G172" s="11"/>
      <c r="H172" s="13"/>
      <c r="I172" s="11"/>
      <c r="J172" s="11"/>
    </row>
    <row x14ac:dyDescent="0.25" r="173" customHeight="1" ht="17.25">
      <c r="A173" s="14" t="s">
        <v>3</v>
      </c>
      <c r="B173" s="14" t="s">
        <v>4</v>
      </c>
      <c r="C173" s="14" t="s">
        <v>5</v>
      </c>
      <c r="D173" s="14" t="s">
        <v>6</v>
      </c>
      <c r="E173" s="15" t="s">
        <v>7</v>
      </c>
      <c r="F173" s="14" t="s">
        <v>8</v>
      </c>
      <c r="G173" s="14" t="s">
        <v>9</v>
      </c>
      <c r="H173" s="16" t="s">
        <v>10</v>
      </c>
      <c r="I173" s="14" t="s">
        <v>11</v>
      </c>
      <c r="J173" s="14" t="s">
        <v>12</v>
      </c>
    </row>
    <row x14ac:dyDescent="0.25" r="174" customHeight="1" ht="17.25">
      <c r="A174" s="17" t="s">
        <v>4775</v>
      </c>
      <c r="B174" s="17" t="s">
        <v>296</v>
      </c>
      <c r="C174" s="17" t="s">
        <v>15</v>
      </c>
      <c r="D174" s="17" t="s">
        <v>16</v>
      </c>
      <c r="E174" s="18">
        <f>ROUND(6128*1.05,2)</f>
      </c>
      <c r="F174" s="17" t="s">
        <v>17</v>
      </c>
      <c r="G174" s="17" t="s">
        <v>18</v>
      </c>
      <c r="H174" s="18">
        <f>ROUND(RAND()*4+6,1)</f>
      </c>
      <c r="I174" s="17" t="s">
        <v>19</v>
      </c>
      <c r="J174" s="19">
        <f>ROUND(100*1,0)&amp;"%"</f>
      </c>
    </row>
    <row x14ac:dyDescent="0.25" r="175" customHeight="1" ht="17.25">
      <c r="A175" s="20" t="s">
        <v>4776</v>
      </c>
      <c r="B175" s="20" t="s">
        <v>298</v>
      </c>
      <c r="C175" s="20" t="s">
        <v>15</v>
      </c>
      <c r="D175" s="20" t="s">
        <v>22</v>
      </c>
      <c r="E175" s="21">
        <f>ROUND(5634*1.05,2)</f>
      </c>
      <c r="F175" s="20" t="s">
        <v>23</v>
      </c>
      <c r="G175" s="20" t="s">
        <v>24</v>
      </c>
      <c r="H175" s="21">
        <f>ROUND(RAND()*4+6,1)</f>
      </c>
      <c r="I175" s="20" t="s">
        <v>25</v>
      </c>
      <c r="J175" s="23">
        <f>ROUND(73*1,0)&amp;"%"</f>
      </c>
    </row>
    <row x14ac:dyDescent="0.25" r="176" customHeight="1" ht="17.25">
      <c r="A176" s="17" t="s">
        <v>4777</v>
      </c>
      <c r="B176" s="17" t="s">
        <v>300</v>
      </c>
      <c r="C176" s="17" t="s">
        <v>15</v>
      </c>
      <c r="D176" s="17" t="s">
        <v>28</v>
      </c>
      <c r="E176" s="18">
        <f>ROUND(16472*1.05,2)</f>
      </c>
      <c r="F176" s="17" t="s">
        <v>29</v>
      </c>
      <c r="G176" s="17" t="s">
        <v>30</v>
      </c>
      <c r="H176" s="18">
        <f>ROUND(RAND()*4+6,1)</f>
      </c>
      <c r="I176" s="17" t="s">
        <v>31</v>
      </c>
      <c r="J176" s="19">
        <f>ROUND(89*1,0)&amp;"%"</f>
      </c>
    </row>
    <row x14ac:dyDescent="0.25" r="177" customHeight="1" ht="17.25">
      <c r="A177" s="20" t="s">
        <v>4778</v>
      </c>
      <c r="B177" s="20" t="s">
        <v>302</v>
      </c>
      <c r="C177" s="20" t="s">
        <v>15</v>
      </c>
      <c r="D177" s="20" t="s">
        <v>34</v>
      </c>
      <c r="E177" s="21">
        <f>ROUND(15704*1.05,2)</f>
      </c>
      <c r="F177" s="20" t="s">
        <v>35</v>
      </c>
      <c r="G177" s="20" t="s">
        <v>18</v>
      </c>
      <c r="H177" s="21">
        <f>ROUND(RAND()*4+6,1)</f>
      </c>
      <c r="I177" s="20" t="s">
        <v>36</v>
      </c>
      <c r="J177" s="23">
        <f>ROUND(70*1,0)&amp;"%"</f>
      </c>
    </row>
    <row x14ac:dyDescent="0.25" r="178" customHeight="1" ht="17.25">
      <c r="A178" s="17" t="s">
        <v>4779</v>
      </c>
      <c r="B178" s="17" t="s">
        <v>304</v>
      </c>
      <c r="C178" s="17" t="s">
        <v>15</v>
      </c>
      <c r="D178" s="17" t="s">
        <v>39</v>
      </c>
      <c r="E178" s="18">
        <f>ROUND(16327*1.05,2)</f>
      </c>
      <c r="F178" s="17" t="s">
        <v>40</v>
      </c>
      <c r="G178" s="17" t="s">
        <v>24</v>
      </c>
      <c r="H178" s="18">
        <f>ROUND(RAND()*4+6,1)</f>
      </c>
      <c r="I178" s="17" t="s">
        <v>41</v>
      </c>
      <c r="J178" s="19">
        <f>ROUND(69*1,0)&amp;"%"</f>
      </c>
    </row>
    <row x14ac:dyDescent="0.25" r="179" customHeight="1" ht="17.25">
      <c r="A179" s="20" t="s">
        <v>4780</v>
      </c>
      <c r="B179" s="20" t="s">
        <v>306</v>
      </c>
      <c r="C179" s="20" t="s">
        <v>15</v>
      </c>
      <c r="D179" s="20" t="s">
        <v>67</v>
      </c>
      <c r="E179" s="21">
        <f>ROUND(7731*1.05,2)</f>
      </c>
      <c r="F179" s="20" t="s">
        <v>44</v>
      </c>
      <c r="G179" s="20" t="s">
        <v>30</v>
      </c>
      <c r="H179" s="21">
        <f>ROUND(RAND()*4+6,1)</f>
      </c>
      <c r="I179" s="20" t="s">
        <v>45</v>
      </c>
      <c r="J179" s="23">
        <f>ROUND(95*1,0)&amp;"%"</f>
      </c>
    </row>
    <row x14ac:dyDescent="0.25" r="180" customHeight="1" ht="17.25">
      <c r="A180" s="17" t="s">
        <v>4781</v>
      </c>
      <c r="B180" s="17" t="s">
        <v>308</v>
      </c>
      <c r="C180" s="17" t="s">
        <v>15</v>
      </c>
      <c r="D180" s="17" t="s">
        <v>16</v>
      </c>
      <c r="E180" s="18">
        <f>ROUND(7072*1.05,2)</f>
      </c>
      <c r="F180" s="17" t="s">
        <v>48</v>
      </c>
      <c r="G180" s="17" t="s">
        <v>18</v>
      </c>
      <c r="H180" s="26">
        <f>ROUND(RAND()*4+6,1)</f>
      </c>
      <c r="I180" s="17" t="s">
        <v>19</v>
      </c>
      <c r="J180" s="19">
        <f>ROUND(91*1,0)&amp;"%"</f>
      </c>
    </row>
    <row x14ac:dyDescent="0.25" r="181" customHeight="1" ht="17.25">
      <c r="A181" s="20" t="s">
        <v>4782</v>
      </c>
      <c r="B181" s="20" t="s">
        <v>310</v>
      </c>
      <c r="C181" s="20" t="s">
        <v>15</v>
      </c>
      <c r="D181" s="20" t="s">
        <v>22</v>
      </c>
      <c r="E181" s="21">
        <f>ROUND(12137*1.05,2)</f>
      </c>
      <c r="F181" s="20" t="s">
        <v>51</v>
      </c>
      <c r="G181" s="20" t="s">
        <v>24</v>
      </c>
      <c r="H181" s="21">
        <f>ROUND(RAND()*4+6,1)</f>
      </c>
      <c r="I181" s="20" t="s">
        <v>25</v>
      </c>
      <c r="J181" s="23">
        <f>ROUND(98*1,0)&amp;"%"</f>
      </c>
    </row>
    <row x14ac:dyDescent="0.25" r="182" customHeight="1" ht="17.25">
      <c r="A182" s="24" t="s">
        <v>311</v>
      </c>
      <c r="B182" s="24"/>
      <c r="C182" s="24"/>
      <c r="D182" s="24"/>
      <c r="E182" s="25">
        <v>8</v>
      </c>
      <c r="F182" s="9"/>
      <c r="G182" s="9"/>
      <c r="H182" s="10"/>
      <c r="I182" s="9"/>
      <c r="J182" s="9"/>
    </row>
    <row x14ac:dyDescent="0.25" r="183" customHeight="1" ht="17.25">
      <c r="A183" s="7"/>
      <c r="B183" s="7"/>
      <c r="C183" s="7"/>
      <c r="D183" s="7"/>
      <c r="E183" s="8"/>
      <c r="F183" s="9"/>
      <c r="G183" s="9"/>
      <c r="H183" s="10"/>
      <c r="I183" s="9"/>
      <c r="J183" s="9"/>
    </row>
    <row x14ac:dyDescent="0.25" r="184" customHeight="1" ht="17.25">
      <c r="A184" s="11" t="s">
        <v>4783</v>
      </c>
      <c r="B184" s="11"/>
      <c r="C184" s="11"/>
      <c r="D184" s="11"/>
      <c r="E184" s="12"/>
      <c r="F184" s="11"/>
      <c r="G184" s="11"/>
      <c r="H184" s="13"/>
      <c r="I184" s="11"/>
      <c r="J184" s="11"/>
    </row>
    <row x14ac:dyDescent="0.25" r="185" customHeight="1" ht="17.25">
      <c r="A185" s="14" t="s">
        <v>3</v>
      </c>
      <c r="B185" s="14" t="s">
        <v>4</v>
      </c>
      <c r="C185" s="14" t="s">
        <v>5</v>
      </c>
      <c r="D185" s="14" t="s">
        <v>6</v>
      </c>
      <c r="E185" s="15" t="s">
        <v>7</v>
      </c>
      <c r="F185" s="14" t="s">
        <v>8</v>
      </c>
      <c r="G185" s="14" t="s">
        <v>9</v>
      </c>
      <c r="H185" s="16" t="s">
        <v>10</v>
      </c>
      <c r="I185" s="14" t="s">
        <v>11</v>
      </c>
      <c r="J185" s="14" t="s">
        <v>12</v>
      </c>
    </row>
    <row x14ac:dyDescent="0.25" r="186" customHeight="1" ht="17.25">
      <c r="A186" s="17" t="s">
        <v>4784</v>
      </c>
      <c r="B186" s="17" t="s">
        <v>314</v>
      </c>
      <c r="C186" s="17" t="s">
        <v>56</v>
      </c>
      <c r="D186" s="17" t="s">
        <v>16</v>
      </c>
      <c r="E186" s="18">
        <f>ROUND(8841*1.05,2)</f>
      </c>
      <c r="F186" s="17" t="s">
        <v>17</v>
      </c>
      <c r="G186" s="17" t="s">
        <v>18</v>
      </c>
      <c r="H186" s="18">
        <f>ROUND(RAND()*4+6,1)</f>
      </c>
      <c r="I186" s="17" t="s">
        <v>19</v>
      </c>
      <c r="J186" s="19">
        <f>ROUND(67*1,0)&amp;"%"</f>
      </c>
    </row>
    <row x14ac:dyDescent="0.25" r="187" customHeight="1" ht="17.25">
      <c r="A187" s="20" t="s">
        <v>4785</v>
      </c>
      <c r="B187" s="20" t="s">
        <v>316</v>
      </c>
      <c r="C187" s="20" t="s">
        <v>56</v>
      </c>
      <c r="D187" s="20" t="s">
        <v>22</v>
      </c>
      <c r="E187" s="21">
        <f>ROUND(14362*1.05,2)</f>
      </c>
      <c r="F187" s="20" t="s">
        <v>23</v>
      </c>
      <c r="G187" s="20" t="s">
        <v>24</v>
      </c>
      <c r="H187" s="21">
        <f>ROUND(RAND()*4+6,1)</f>
      </c>
      <c r="I187" s="20" t="s">
        <v>25</v>
      </c>
      <c r="J187" s="23">
        <f>ROUND(84*1,0)&amp;"%"</f>
      </c>
    </row>
    <row x14ac:dyDescent="0.25" r="188" customHeight="1" ht="17.25">
      <c r="A188" s="17" t="s">
        <v>4786</v>
      </c>
      <c r="B188" s="17" t="s">
        <v>318</v>
      </c>
      <c r="C188" s="17" t="s">
        <v>56</v>
      </c>
      <c r="D188" s="17" t="s">
        <v>28</v>
      </c>
      <c r="E188" s="18">
        <f>ROUND(5487*1.05,2)</f>
      </c>
      <c r="F188" s="17" t="s">
        <v>29</v>
      </c>
      <c r="G188" s="17" t="s">
        <v>30</v>
      </c>
      <c r="H188" s="18">
        <f>ROUND(RAND()*4+6,1)</f>
      </c>
      <c r="I188" s="17" t="s">
        <v>31</v>
      </c>
      <c r="J188" s="19">
        <f>ROUND(97*1,0)&amp;"%"</f>
      </c>
    </row>
    <row x14ac:dyDescent="0.25" r="189" customHeight="1" ht="17.25">
      <c r="A189" s="20" t="s">
        <v>4787</v>
      </c>
      <c r="B189" s="20" t="s">
        <v>320</v>
      </c>
      <c r="C189" s="20" t="s">
        <v>56</v>
      </c>
      <c r="D189" s="20" t="s">
        <v>34</v>
      </c>
      <c r="E189" s="21">
        <f>ROUND(9868*1.05,2)</f>
      </c>
      <c r="F189" s="20" t="s">
        <v>35</v>
      </c>
      <c r="G189" s="20" t="s">
        <v>18</v>
      </c>
      <c r="H189" s="22">
        <f>ROUND(RAND()*4+6,1)</f>
      </c>
      <c r="I189" s="20" t="s">
        <v>36</v>
      </c>
      <c r="J189" s="23">
        <f>ROUND(69*1,0)&amp;"%"</f>
      </c>
    </row>
    <row x14ac:dyDescent="0.25" r="190" customHeight="1" ht="17.25">
      <c r="A190" s="17" t="s">
        <v>4788</v>
      </c>
      <c r="B190" s="17" t="s">
        <v>322</v>
      </c>
      <c r="C190" s="17" t="s">
        <v>56</v>
      </c>
      <c r="D190" s="17" t="s">
        <v>39</v>
      </c>
      <c r="E190" s="18">
        <f>ROUND(7307*1.05,2)</f>
      </c>
      <c r="F190" s="17" t="s">
        <v>40</v>
      </c>
      <c r="G190" s="17" t="s">
        <v>24</v>
      </c>
      <c r="H190" s="18">
        <f>ROUND(RAND()*4+6,1)</f>
      </c>
      <c r="I190" s="17" t="s">
        <v>41</v>
      </c>
      <c r="J190" s="19">
        <f>ROUND(100*1,0)&amp;"%"</f>
      </c>
    </row>
    <row x14ac:dyDescent="0.25" r="191" customHeight="1" ht="17.25">
      <c r="A191" s="20" t="s">
        <v>4789</v>
      </c>
      <c r="B191" s="20" t="s">
        <v>324</v>
      </c>
      <c r="C191" s="20" t="s">
        <v>56</v>
      </c>
      <c r="D191" s="20" t="s">
        <v>67</v>
      </c>
      <c r="E191" s="21">
        <f>ROUND(8519*1.05,2)</f>
      </c>
      <c r="F191" s="20" t="s">
        <v>44</v>
      </c>
      <c r="G191" s="20" t="s">
        <v>30</v>
      </c>
      <c r="H191" s="21">
        <f>ROUND(RAND()*4+6,1)</f>
      </c>
      <c r="I191" s="20" t="s">
        <v>45</v>
      </c>
      <c r="J191" s="23">
        <f>ROUND(90*1,0)&amp;"%"</f>
      </c>
    </row>
    <row x14ac:dyDescent="0.25" r="192" customHeight="1" ht="17.25">
      <c r="A192" s="17" t="s">
        <v>4790</v>
      </c>
      <c r="B192" s="17" t="s">
        <v>326</v>
      </c>
      <c r="C192" s="17" t="s">
        <v>56</v>
      </c>
      <c r="D192" s="17" t="s">
        <v>16</v>
      </c>
      <c r="E192" s="18">
        <f>ROUND(17335*1.05,2)</f>
      </c>
      <c r="F192" s="17" t="s">
        <v>48</v>
      </c>
      <c r="G192" s="17" t="s">
        <v>18</v>
      </c>
      <c r="H192" s="26">
        <f>ROUND(RAND()*4+6,1)</f>
      </c>
      <c r="I192" s="17" t="s">
        <v>19</v>
      </c>
      <c r="J192" s="19">
        <f>ROUND(82*1,0)&amp;"%"</f>
      </c>
    </row>
    <row x14ac:dyDescent="0.25" r="193" customHeight="1" ht="17.25">
      <c r="A193" s="20" t="s">
        <v>4791</v>
      </c>
      <c r="B193" s="20" t="s">
        <v>328</v>
      </c>
      <c r="C193" s="20" t="s">
        <v>56</v>
      </c>
      <c r="D193" s="20" t="s">
        <v>22</v>
      </c>
      <c r="E193" s="22">
        <f>ROUND(5460*1.05,2)</f>
      </c>
      <c r="F193" s="20" t="s">
        <v>51</v>
      </c>
      <c r="G193" s="20" t="s">
        <v>24</v>
      </c>
      <c r="H193" s="21">
        <f>ROUND(RAND()*4+6,1)</f>
      </c>
      <c r="I193" s="20" t="s">
        <v>25</v>
      </c>
      <c r="J193" s="23">
        <f>ROUND(98*1,0)&amp;"%"</f>
      </c>
    </row>
    <row x14ac:dyDescent="0.25" r="194" customHeight="1" ht="17.25">
      <c r="A194" s="24" t="s">
        <v>329</v>
      </c>
      <c r="B194" s="24"/>
      <c r="C194" s="24"/>
      <c r="D194" s="24"/>
      <c r="E194" s="25">
        <v>8</v>
      </c>
      <c r="F194" s="9"/>
      <c r="G194" s="9"/>
      <c r="H194" s="10"/>
      <c r="I194" s="9"/>
      <c r="J194" s="9"/>
    </row>
    <row x14ac:dyDescent="0.25" r="195" customHeight="1" ht="17.25">
      <c r="A195" s="7"/>
      <c r="B195" s="7"/>
      <c r="C195" s="7"/>
      <c r="D195" s="7"/>
      <c r="E195" s="8"/>
      <c r="F195" s="9"/>
      <c r="G195" s="9"/>
      <c r="H195" s="10"/>
      <c r="I195" s="9"/>
      <c r="J195" s="9"/>
    </row>
    <row x14ac:dyDescent="0.25" r="196" customHeight="1" ht="17.25">
      <c r="A196" s="11" t="s">
        <v>4792</v>
      </c>
      <c r="B196" s="11"/>
      <c r="C196" s="11"/>
      <c r="D196" s="11"/>
      <c r="E196" s="12"/>
      <c r="F196" s="11"/>
      <c r="G196" s="11"/>
      <c r="H196" s="13"/>
      <c r="I196" s="11"/>
      <c r="J196" s="11"/>
    </row>
    <row x14ac:dyDescent="0.25" r="197" customHeight="1" ht="17.25">
      <c r="A197" s="14" t="s">
        <v>3</v>
      </c>
      <c r="B197" s="14" t="s">
        <v>4</v>
      </c>
      <c r="C197" s="14" t="s">
        <v>5</v>
      </c>
      <c r="D197" s="14" t="s">
        <v>6</v>
      </c>
      <c r="E197" s="15" t="s">
        <v>7</v>
      </c>
      <c r="F197" s="14" t="s">
        <v>8</v>
      </c>
      <c r="G197" s="14" t="s">
        <v>9</v>
      </c>
      <c r="H197" s="16" t="s">
        <v>10</v>
      </c>
      <c r="I197" s="14" t="s">
        <v>11</v>
      </c>
      <c r="J197" s="14" t="s">
        <v>12</v>
      </c>
    </row>
    <row x14ac:dyDescent="0.25" r="198" customHeight="1" ht="17.25">
      <c r="A198" s="17" t="s">
        <v>4793</v>
      </c>
      <c r="B198" s="17" t="s">
        <v>332</v>
      </c>
      <c r="C198" s="17" t="s">
        <v>76</v>
      </c>
      <c r="D198" s="17" t="s">
        <v>16</v>
      </c>
      <c r="E198" s="18">
        <f>ROUND(6053*1.05,2)</f>
      </c>
      <c r="F198" s="17" t="s">
        <v>17</v>
      </c>
      <c r="G198" s="17" t="s">
        <v>18</v>
      </c>
      <c r="H198" s="18">
        <f>ROUND(RAND()*4+6,1)</f>
      </c>
      <c r="I198" s="17" t="s">
        <v>19</v>
      </c>
      <c r="J198" s="19">
        <f>ROUND(72*1,0)&amp;"%"</f>
      </c>
    </row>
    <row x14ac:dyDescent="0.25" r="199" customHeight="1" ht="17.25">
      <c r="A199" s="20" t="s">
        <v>4794</v>
      </c>
      <c r="B199" s="20" t="s">
        <v>334</v>
      </c>
      <c r="C199" s="20" t="s">
        <v>76</v>
      </c>
      <c r="D199" s="20" t="s">
        <v>22</v>
      </c>
      <c r="E199" s="21">
        <f>ROUND(16659*1.05,2)</f>
      </c>
      <c r="F199" s="20" t="s">
        <v>23</v>
      </c>
      <c r="G199" s="20" t="s">
        <v>24</v>
      </c>
      <c r="H199" s="22">
        <f>ROUND(RAND()*4+6,1)</f>
      </c>
      <c r="I199" s="20" t="s">
        <v>25</v>
      </c>
      <c r="J199" s="23">
        <f>ROUND(63*1,0)&amp;"%"</f>
      </c>
    </row>
    <row x14ac:dyDescent="0.25" r="200" customHeight="1" ht="17.25">
      <c r="A200" s="17" t="s">
        <v>4795</v>
      </c>
      <c r="B200" s="17" t="s">
        <v>336</v>
      </c>
      <c r="C200" s="17" t="s">
        <v>76</v>
      </c>
      <c r="D200" s="17" t="s">
        <v>28</v>
      </c>
      <c r="E200" s="18">
        <f>ROUND(7036*1.05,2)</f>
      </c>
      <c r="F200" s="17" t="s">
        <v>29</v>
      </c>
      <c r="G200" s="17" t="s">
        <v>30</v>
      </c>
      <c r="H200" s="18">
        <f>ROUND(RAND()*4+6,1)</f>
      </c>
      <c r="I200" s="17" t="s">
        <v>31</v>
      </c>
      <c r="J200" s="19">
        <f>ROUND(80*1,0)&amp;"%"</f>
      </c>
    </row>
    <row x14ac:dyDescent="0.25" r="201" customHeight="1" ht="17.25">
      <c r="A201" s="20" t="s">
        <v>4796</v>
      </c>
      <c r="B201" s="20" t="s">
        <v>338</v>
      </c>
      <c r="C201" s="20" t="s">
        <v>76</v>
      </c>
      <c r="D201" s="20" t="s">
        <v>34</v>
      </c>
      <c r="E201" s="21">
        <f>ROUND(9427*1.05,2)</f>
      </c>
      <c r="F201" s="20" t="s">
        <v>35</v>
      </c>
      <c r="G201" s="20" t="s">
        <v>18</v>
      </c>
      <c r="H201" s="21">
        <f>ROUND(RAND()*4+6,1)</f>
      </c>
      <c r="I201" s="20" t="s">
        <v>36</v>
      </c>
      <c r="J201" s="23">
        <f>ROUND(98*1,0)&amp;"%"</f>
      </c>
    </row>
    <row x14ac:dyDescent="0.25" r="202" customHeight="1" ht="17.25">
      <c r="A202" s="17" t="s">
        <v>4797</v>
      </c>
      <c r="B202" s="17" t="s">
        <v>340</v>
      </c>
      <c r="C202" s="17" t="s">
        <v>76</v>
      </c>
      <c r="D202" s="17" t="s">
        <v>39</v>
      </c>
      <c r="E202" s="18">
        <f>ROUND(10965*1.05,2)</f>
      </c>
      <c r="F202" s="17" t="s">
        <v>40</v>
      </c>
      <c r="G202" s="17" t="s">
        <v>24</v>
      </c>
      <c r="H202" s="18">
        <f>ROUND(RAND()*4+6,1)</f>
      </c>
      <c r="I202" s="17" t="s">
        <v>41</v>
      </c>
      <c r="J202" s="19">
        <f>ROUND(73*1,0)&amp;"%"</f>
      </c>
    </row>
    <row x14ac:dyDescent="0.25" r="203" customHeight="1" ht="17.25">
      <c r="A203" s="20" t="s">
        <v>4798</v>
      </c>
      <c r="B203" s="20" t="s">
        <v>342</v>
      </c>
      <c r="C203" s="20" t="s">
        <v>76</v>
      </c>
      <c r="D203" s="20" t="s">
        <v>67</v>
      </c>
      <c r="E203" s="21">
        <f>ROUND(15735*1.05,2)</f>
      </c>
      <c r="F203" s="20" t="s">
        <v>44</v>
      </c>
      <c r="G203" s="20" t="s">
        <v>30</v>
      </c>
      <c r="H203" s="21">
        <f>ROUND(RAND()*4+6,1)</f>
      </c>
      <c r="I203" s="20" t="s">
        <v>45</v>
      </c>
      <c r="J203" s="23">
        <f>ROUND(64*1,0)&amp;"%"</f>
      </c>
    </row>
    <row x14ac:dyDescent="0.25" r="204" customHeight="1" ht="17.25">
      <c r="A204" s="17" t="s">
        <v>4799</v>
      </c>
      <c r="B204" s="17" t="s">
        <v>344</v>
      </c>
      <c r="C204" s="17" t="s">
        <v>76</v>
      </c>
      <c r="D204" s="17" t="s">
        <v>16</v>
      </c>
      <c r="E204" s="18">
        <f>ROUND(8073*1.05,2)</f>
      </c>
      <c r="F204" s="17" t="s">
        <v>48</v>
      </c>
      <c r="G204" s="17" t="s">
        <v>18</v>
      </c>
      <c r="H204" s="26">
        <f>ROUND(RAND()*4+6,1)</f>
      </c>
      <c r="I204" s="17" t="s">
        <v>19</v>
      </c>
      <c r="J204" s="19">
        <f>ROUND(85*1,0)&amp;"%"</f>
      </c>
    </row>
    <row x14ac:dyDescent="0.25" r="205" customHeight="1" ht="17.25">
      <c r="A205" s="20" t="s">
        <v>4800</v>
      </c>
      <c r="B205" s="20" t="s">
        <v>346</v>
      </c>
      <c r="C205" s="20" t="s">
        <v>76</v>
      </c>
      <c r="D205" s="20" t="s">
        <v>22</v>
      </c>
      <c r="E205" s="21">
        <f>ROUND(12889*1.05,2)</f>
      </c>
      <c r="F205" s="20" t="s">
        <v>51</v>
      </c>
      <c r="G205" s="20" t="s">
        <v>24</v>
      </c>
      <c r="H205" s="21">
        <f>ROUND(RAND()*4+6,1)</f>
      </c>
      <c r="I205" s="20" t="s">
        <v>25</v>
      </c>
      <c r="J205" s="23">
        <f>ROUND(79*1,0)&amp;"%"</f>
      </c>
    </row>
    <row x14ac:dyDescent="0.25" r="206" customHeight="1" ht="17.25">
      <c r="A206" s="24" t="s">
        <v>347</v>
      </c>
      <c r="B206" s="24"/>
      <c r="C206" s="24"/>
      <c r="D206" s="24"/>
      <c r="E206" s="25">
        <v>8</v>
      </c>
      <c r="F206" s="9"/>
      <c r="G206" s="9"/>
      <c r="H206" s="10"/>
      <c r="I206" s="9"/>
      <c r="J206" s="9"/>
    </row>
    <row x14ac:dyDescent="0.25" r="207" customHeight="1" ht="17.25">
      <c r="A207" s="7"/>
      <c r="B207" s="7"/>
      <c r="C207" s="7"/>
      <c r="D207" s="7"/>
      <c r="E207" s="8"/>
      <c r="F207" s="9"/>
      <c r="G207" s="9"/>
      <c r="H207" s="10"/>
      <c r="I207" s="9"/>
      <c r="J207" s="9"/>
    </row>
    <row x14ac:dyDescent="0.25" r="208" customHeight="1" ht="17.25">
      <c r="A208" s="11" t="s">
        <v>4801</v>
      </c>
      <c r="B208" s="11"/>
      <c r="C208" s="11"/>
      <c r="D208" s="11"/>
      <c r="E208" s="12"/>
      <c r="F208" s="11"/>
      <c r="G208" s="11"/>
      <c r="H208" s="13"/>
      <c r="I208" s="11"/>
      <c r="J208" s="11"/>
    </row>
    <row x14ac:dyDescent="0.25" r="209" customHeight="1" ht="17.25">
      <c r="A209" s="14" t="s">
        <v>3</v>
      </c>
      <c r="B209" s="14" t="s">
        <v>4</v>
      </c>
      <c r="C209" s="14" t="s">
        <v>5</v>
      </c>
      <c r="D209" s="14" t="s">
        <v>6</v>
      </c>
      <c r="E209" s="15" t="s">
        <v>7</v>
      </c>
      <c r="F209" s="14" t="s">
        <v>8</v>
      </c>
      <c r="G209" s="14" t="s">
        <v>9</v>
      </c>
      <c r="H209" s="16" t="s">
        <v>10</v>
      </c>
      <c r="I209" s="14" t="s">
        <v>11</v>
      </c>
      <c r="J209" s="14" t="s">
        <v>12</v>
      </c>
    </row>
    <row x14ac:dyDescent="0.25" r="210" customHeight="1" ht="17.25">
      <c r="A210" s="17" t="s">
        <v>4802</v>
      </c>
      <c r="B210" s="17" t="s">
        <v>350</v>
      </c>
      <c r="C210" s="17" t="s">
        <v>95</v>
      </c>
      <c r="D210" s="17" t="s">
        <v>16</v>
      </c>
      <c r="E210" s="18">
        <f>ROUND(6625*1.05,2)</f>
      </c>
      <c r="F210" s="17" t="s">
        <v>17</v>
      </c>
      <c r="G210" s="17" t="s">
        <v>18</v>
      </c>
      <c r="H210" s="18">
        <f>ROUND(RAND()*4+6,1)</f>
      </c>
      <c r="I210" s="17" t="s">
        <v>19</v>
      </c>
      <c r="J210" s="19">
        <f>ROUND(97*1,0)&amp;"%"</f>
      </c>
    </row>
    <row x14ac:dyDescent="0.25" r="211" customHeight="1" ht="17.25">
      <c r="A211" s="20" t="s">
        <v>4803</v>
      </c>
      <c r="B211" s="20" t="s">
        <v>352</v>
      </c>
      <c r="C211" s="20" t="s">
        <v>95</v>
      </c>
      <c r="D211" s="20" t="s">
        <v>22</v>
      </c>
      <c r="E211" s="21">
        <f>ROUND(11224*1.05,2)</f>
      </c>
      <c r="F211" s="20" t="s">
        <v>23</v>
      </c>
      <c r="G211" s="20" t="s">
        <v>24</v>
      </c>
      <c r="H211" s="21">
        <f>ROUND(RAND()*4+6,1)</f>
      </c>
      <c r="I211" s="20" t="s">
        <v>25</v>
      </c>
      <c r="J211" s="23">
        <f>ROUND(93*1,0)&amp;"%"</f>
      </c>
    </row>
    <row x14ac:dyDescent="0.25" r="212" customHeight="1" ht="17.25">
      <c r="A212" s="17" t="s">
        <v>4804</v>
      </c>
      <c r="B212" s="17" t="s">
        <v>354</v>
      </c>
      <c r="C212" s="17" t="s">
        <v>95</v>
      </c>
      <c r="D212" s="17" t="s">
        <v>28</v>
      </c>
      <c r="E212" s="18">
        <f>ROUND(12221*1.05,2)</f>
      </c>
      <c r="F212" s="17" t="s">
        <v>29</v>
      </c>
      <c r="G212" s="17" t="s">
        <v>30</v>
      </c>
      <c r="H212" s="18">
        <f>ROUND(RAND()*4+6,1)</f>
      </c>
      <c r="I212" s="17" t="s">
        <v>31</v>
      </c>
      <c r="J212" s="19">
        <f>ROUND(69*1,0)&amp;"%"</f>
      </c>
    </row>
    <row x14ac:dyDescent="0.25" r="213" customHeight="1" ht="17.25">
      <c r="A213" s="20" t="s">
        <v>4805</v>
      </c>
      <c r="B213" s="20" t="s">
        <v>356</v>
      </c>
      <c r="C213" s="20" t="s">
        <v>95</v>
      </c>
      <c r="D213" s="20" t="s">
        <v>34</v>
      </c>
      <c r="E213" s="21">
        <f>ROUND(8124*1.05,2)</f>
      </c>
      <c r="F213" s="20" t="s">
        <v>35</v>
      </c>
      <c r="G213" s="20" t="s">
        <v>18</v>
      </c>
      <c r="H213" s="21">
        <f>ROUND(RAND()*4+6,1)</f>
      </c>
      <c r="I213" s="20" t="s">
        <v>36</v>
      </c>
      <c r="J213" s="23">
        <f>ROUND(89*1,0)&amp;"%"</f>
      </c>
    </row>
    <row x14ac:dyDescent="0.25" r="214" customHeight="1" ht="17.25">
      <c r="A214" s="17" t="s">
        <v>4806</v>
      </c>
      <c r="B214" s="17" t="s">
        <v>358</v>
      </c>
      <c r="C214" s="17" t="s">
        <v>95</v>
      </c>
      <c r="D214" s="17" t="s">
        <v>39</v>
      </c>
      <c r="E214" s="18">
        <f>ROUND(5094*1.05,2)</f>
      </c>
      <c r="F214" s="17" t="s">
        <v>40</v>
      </c>
      <c r="G214" s="17" t="s">
        <v>24</v>
      </c>
      <c r="H214" s="18">
        <f>ROUND(RAND()*4+6,1)</f>
      </c>
      <c r="I214" s="17" t="s">
        <v>41</v>
      </c>
      <c r="J214" s="19">
        <f>ROUND(76*1,0)&amp;"%"</f>
      </c>
    </row>
    <row x14ac:dyDescent="0.25" r="215" customHeight="1" ht="17.25">
      <c r="A215" s="20" t="s">
        <v>4807</v>
      </c>
      <c r="B215" s="20" t="s">
        <v>360</v>
      </c>
      <c r="C215" s="20" t="s">
        <v>95</v>
      </c>
      <c r="D215" s="20" t="s">
        <v>67</v>
      </c>
      <c r="E215" s="21">
        <f>ROUND(13182*1.05,2)</f>
      </c>
      <c r="F215" s="20" t="s">
        <v>44</v>
      </c>
      <c r="G215" s="20" t="s">
        <v>30</v>
      </c>
      <c r="H215" s="21">
        <f>ROUND(RAND()*4+6,1)</f>
      </c>
      <c r="I215" s="20" t="s">
        <v>45</v>
      </c>
      <c r="J215" s="23">
        <f>ROUND(82*1,0)&amp;"%"</f>
      </c>
    </row>
    <row x14ac:dyDescent="0.25" r="216" customHeight="1" ht="17.25">
      <c r="A216" s="17" t="s">
        <v>4808</v>
      </c>
      <c r="B216" s="17" t="s">
        <v>362</v>
      </c>
      <c r="C216" s="17" t="s">
        <v>95</v>
      </c>
      <c r="D216" s="17" t="s">
        <v>16</v>
      </c>
      <c r="E216" s="18">
        <f>ROUND(14918*1.05,2)</f>
      </c>
      <c r="F216" s="17" t="s">
        <v>48</v>
      </c>
      <c r="G216" s="17" t="s">
        <v>18</v>
      </c>
      <c r="H216" s="18">
        <f>ROUND(RAND()*4+6,1)</f>
      </c>
      <c r="I216" s="17" t="s">
        <v>19</v>
      </c>
      <c r="J216" s="19">
        <f>ROUND(70*1,0)&amp;"%"</f>
      </c>
    </row>
    <row x14ac:dyDescent="0.25" r="217" customHeight="1" ht="17.25">
      <c r="A217" s="20" t="s">
        <v>4809</v>
      </c>
      <c r="B217" s="20" t="s">
        <v>364</v>
      </c>
      <c r="C217" s="20" t="s">
        <v>95</v>
      </c>
      <c r="D217" s="20" t="s">
        <v>22</v>
      </c>
      <c r="E217" s="21">
        <f>ROUND(9261*1.05,2)</f>
      </c>
      <c r="F217" s="20" t="s">
        <v>51</v>
      </c>
      <c r="G217" s="20" t="s">
        <v>24</v>
      </c>
      <c r="H217" s="21">
        <f>ROUND(RAND()*4+6,1)</f>
      </c>
      <c r="I217" s="20" t="s">
        <v>25</v>
      </c>
      <c r="J217" s="23">
        <f>ROUND(100*1,0)&amp;"%"</f>
      </c>
    </row>
    <row x14ac:dyDescent="0.25" r="218" customHeight="1" ht="17.25">
      <c r="A218" s="24" t="s">
        <v>365</v>
      </c>
      <c r="B218" s="24"/>
      <c r="C218" s="24"/>
      <c r="D218" s="24"/>
      <c r="E218" s="25">
        <v>8</v>
      </c>
      <c r="F218" s="9"/>
      <c r="G218" s="9"/>
      <c r="H218" s="10"/>
      <c r="I218" s="9"/>
      <c r="J218" s="9"/>
    </row>
    <row x14ac:dyDescent="0.25" r="219" customHeight="1" ht="17.25">
      <c r="A219" s="7"/>
      <c r="B219" s="7"/>
      <c r="C219" s="7"/>
      <c r="D219" s="7"/>
      <c r="E219" s="8"/>
      <c r="F219" s="9"/>
      <c r="G219" s="9"/>
      <c r="H219" s="10"/>
      <c r="I219" s="9"/>
      <c r="J219" s="9"/>
    </row>
    <row x14ac:dyDescent="0.25" r="220" customHeight="1" ht="17.25">
      <c r="A220" s="11" t="s">
        <v>4810</v>
      </c>
      <c r="B220" s="11"/>
      <c r="C220" s="11"/>
      <c r="D220" s="11"/>
      <c r="E220" s="12"/>
      <c r="F220" s="11"/>
      <c r="G220" s="11"/>
      <c r="H220" s="13"/>
      <c r="I220" s="11"/>
      <c r="J220" s="11"/>
    </row>
    <row x14ac:dyDescent="0.25" r="221" customHeight="1" ht="17.25">
      <c r="A221" s="14" t="s">
        <v>3</v>
      </c>
      <c r="B221" s="14" t="s">
        <v>4</v>
      </c>
      <c r="C221" s="14" t="s">
        <v>5</v>
      </c>
      <c r="D221" s="14" t="s">
        <v>6</v>
      </c>
      <c r="E221" s="15" t="s">
        <v>7</v>
      </c>
      <c r="F221" s="14" t="s">
        <v>8</v>
      </c>
      <c r="G221" s="14" t="s">
        <v>9</v>
      </c>
      <c r="H221" s="16" t="s">
        <v>10</v>
      </c>
      <c r="I221" s="14" t="s">
        <v>11</v>
      </c>
      <c r="J221" s="14" t="s">
        <v>12</v>
      </c>
    </row>
    <row x14ac:dyDescent="0.25" r="222" customHeight="1" ht="17.25">
      <c r="A222" s="17" t="s">
        <v>4811</v>
      </c>
      <c r="B222" s="17" t="s">
        <v>368</v>
      </c>
      <c r="C222" s="17" t="s">
        <v>114</v>
      </c>
      <c r="D222" s="17" t="s">
        <v>16</v>
      </c>
      <c r="E222" s="18">
        <f>ROUND(11013*1.05,2)</f>
      </c>
      <c r="F222" s="17" t="s">
        <v>17</v>
      </c>
      <c r="G222" s="17" t="s">
        <v>18</v>
      </c>
      <c r="H222" s="18">
        <f>ROUND(RAND()*4+6,1)</f>
      </c>
      <c r="I222" s="17" t="s">
        <v>19</v>
      </c>
      <c r="J222" s="19">
        <f>ROUND(70*1,0)&amp;"%"</f>
      </c>
    </row>
    <row x14ac:dyDescent="0.25" r="223" customHeight="1" ht="17.25">
      <c r="A223" s="20" t="s">
        <v>4812</v>
      </c>
      <c r="B223" s="20" t="s">
        <v>370</v>
      </c>
      <c r="C223" s="20" t="s">
        <v>114</v>
      </c>
      <c r="D223" s="20" t="s">
        <v>22</v>
      </c>
      <c r="E223" s="21">
        <f>ROUND(5798*1.05,2)</f>
      </c>
      <c r="F223" s="20" t="s">
        <v>23</v>
      </c>
      <c r="G223" s="20" t="s">
        <v>24</v>
      </c>
      <c r="H223" s="21">
        <f>ROUND(RAND()*4+6,1)</f>
      </c>
      <c r="I223" s="20" t="s">
        <v>25</v>
      </c>
      <c r="J223" s="23">
        <f>ROUND(81*1,0)&amp;"%"</f>
      </c>
    </row>
    <row x14ac:dyDescent="0.25" r="224" customHeight="1" ht="17.25">
      <c r="A224" s="17" t="s">
        <v>4813</v>
      </c>
      <c r="B224" s="17" t="s">
        <v>372</v>
      </c>
      <c r="C224" s="17" t="s">
        <v>114</v>
      </c>
      <c r="D224" s="17" t="s">
        <v>28</v>
      </c>
      <c r="E224" s="18">
        <f>ROUND(9662*1.05,2)</f>
      </c>
      <c r="F224" s="17" t="s">
        <v>29</v>
      </c>
      <c r="G224" s="17" t="s">
        <v>30</v>
      </c>
      <c r="H224" s="18">
        <f>ROUND(RAND()*4+6,1)</f>
      </c>
      <c r="I224" s="17" t="s">
        <v>31</v>
      </c>
      <c r="J224" s="19">
        <f>ROUND(81*1,0)&amp;"%"</f>
      </c>
    </row>
    <row x14ac:dyDescent="0.25" r="225" customHeight="1" ht="17.25">
      <c r="A225" s="20" t="s">
        <v>4814</v>
      </c>
      <c r="B225" s="20" t="s">
        <v>374</v>
      </c>
      <c r="C225" s="20" t="s">
        <v>114</v>
      </c>
      <c r="D225" s="20" t="s">
        <v>34</v>
      </c>
      <c r="E225" s="22">
        <f>ROUND(6400*1.05,2)</f>
      </c>
      <c r="F225" s="20" t="s">
        <v>35</v>
      </c>
      <c r="G225" s="20" t="s">
        <v>18</v>
      </c>
      <c r="H225" s="21">
        <f>ROUND(RAND()*4+6,1)</f>
      </c>
      <c r="I225" s="20" t="s">
        <v>36</v>
      </c>
      <c r="J225" s="23">
        <f>ROUND(77*1,0)&amp;"%"</f>
      </c>
    </row>
    <row x14ac:dyDescent="0.25" r="226" customHeight="1" ht="17.25">
      <c r="A226" s="17" t="s">
        <v>4815</v>
      </c>
      <c r="B226" s="17" t="s">
        <v>376</v>
      </c>
      <c r="C226" s="17" t="s">
        <v>114</v>
      </c>
      <c r="D226" s="17" t="s">
        <v>39</v>
      </c>
      <c r="E226" s="18">
        <f>ROUND(5673*1.05,2)</f>
      </c>
      <c r="F226" s="17" t="s">
        <v>40</v>
      </c>
      <c r="G226" s="17" t="s">
        <v>24</v>
      </c>
      <c r="H226" s="18">
        <f>ROUND(RAND()*4+6,1)</f>
      </c>
      <c r="I226" s="17" t="s">
        <v>41</v>
      </c>
      <c r="J226" s="19">
        <f>ROUND(88*1,0)&amp;"%"</f>
      </c>
    </row>
    <row x14ac:dyDescent="0.25" r="227" customHeight="1" ht="17.25">
      <c r="A227" s="20" t="s">
        <v>4816</v>
      </c>
      <c r="B227" s="20" t="s">
        <v>378</v>
      </c>
      <c r="C227" s="20" t="s">
        <v>114</v>
      </c>
      <c r="D227" s="20" t="s">
        <v>67</v>
      </c>
      <c r="E227" s="21">
        <f>ROUND(17133*1.05,2)</f>
      </c>
      <c r="F227" s="20" t="s">
        <v>44</v>
      </c>
      <c r="G227" s="20" t="s">
        <v>30</v>
      </c>
      <c r="H227" s="21">
        <f>ROUND(RAND()*4+6,1)</f>
      </c>
      <c r="I227" s="20" t="s">
        <v>45</v>
      </c>
      <c r="J227" s="23">
        <f>ROUND(60*1,0)&amp;"%"</f>
      </c>
    </row>
    <row x14ac:dyDescent="0.25" r="228" customHeight="1" ht="17.25">
      <c r="A228" s="17" t="s">
        <v>4817</v>
      </c>
      <c r="B228" s="17" t="s">
        <v>380</v>
      </c>
      <c r="C228" s="17" t="s">
        <v>114</v>
      </c>
      <c r="D228" s="17" t="s">
        <v>16</v>
      </c>
      <c r="E228" s="18">
        <f>ROUND(10898*1.05,2)</f>
      </c>
      <c r="F228" s="17" t="s">
        <v>48</v>
      </c>
      <c r="G228" s="17" t="s">
        <v>18</v>
      </c>
      <c r="H228" s="26">
        <f>ROUND(RAND()*4+6,1)</f>
      </c>
      <c r="I228" s="17" t="s">
        <v>19</v>
      </c>
      <c r="J228" s="19">
        <f>ROUND(79*1,0)&amp;"%"</f>
      </c>
    </row>
    <row x14ac:dyDescent="0.25" r="229" customHeight="1" ht="17.25">
      <c r="A229" s="20" t="s">
        <v>4818</v>
      </c>
      <c r="B229" s="20" t="s">
        <v>382</v>
      </c>
      <c r="C229" s="20" t="s">
        <v>114</v>
      </c>
      <c r="D229" s="20" t="s">
        <v>22</v>
      </c>
      <c r="E229" s="21">
        <f>ROUND(13668*1.05,2)</f>
      </c>
      <c r="F229" s="20" t="s">
        <v>51</v>
      </c>
      <c r="G229" s="20" t="s">
        <v>24</v>
      </c>
      <c r="H229" s="21">
        <f>ROUND(RAND()*4+6,1)</f>
      </c>
      <c r="I229" s="20" t="s">
        <v>25</v>
      </c>
      <c r="J229" s="23">
        <f>ROUND(67*1,0)&amp;"%"</f>
      </c>
    </row>
    <row x14ac:dyDescent="0.25" r="230" customHeight="1" ht="17.25">
      <c r="A230" s="24" t="s">
        <v>383</v>
      </c>
      <c r="B230" s="24"/>
      <c r="C230" s="24"/>
      <c r="D230" s="24"/>
      <c r="E230" s="25">
        <v>8</v>
      </c>
      <c r="F230" s="9"/>
      <c r="G230" s="9"/>
      <c r="H230" s="10"/>
      <c r="I230" s="9"/>
      <c r="J230" s="9"/>
    </row>
    <row x14ac:dyDescent="0.25" r="231" customHeight="1" ht="17.25">
      <c r="A231" s="7"/>
      <c r="B231" s="7"/>
      <c r="C231" s="7"/>
      <c r="D231" s="7"/>
      <c r="E231" s="8"/>
      <c r="F231" s="9"/>
      <c r="G231" s="9"/>
      <c r="H231" s="10"/>
      <c r="I231" s="9"/>
      <c r="J231" s="9"/>
    </row>
    <row x14ac:dyDescent="0.25" r="232" customHeight="1" ht="17.25">
      <c r="A232" s="11" t="s">
        <v>4819</v>
      </c>
      <c r="B232" s="11"/>
      <c r="C232" s="11"/>
      <c r="D232" s="11"/>
      <c r="E232" s="12"/>
      <c r="F232" s="11"/>
      <c r="G232" s="11"/>
      <c r="H232" s="13"/>
      <c r="I232" s="11"/>
      <c r="J232" s="11"/>
    </row>
    <row x14ac:dyDescent="0.25" r="233" customHeight="1" ht="17.25">
      <c r="A233" s="14" t="s">
        <v>3</v>
      </c>
      <c r="B233" s="14" t="s">
        <v>4</v>
      </c>
      <c r="C233" s="14" t="s">
        <v>5</v>
      </c>
      <c r="D233" s="14" t="s">
        <v>6</v>
      </c>
      <c r="E233" s="15" t="s">
        <v>7</v>
      </c>
      <c r="F233" s="14" t="s">
        <v>8</v>
      </c>
      <c r="G233" s="14" t="s">
        <v>9</v>
      </c>
      <c r="H233" s="16" t="s">
        <v>10</v>
      </c>
      <c r="I233" s="14" t="s">
        <v>11</v>
      </c>
      <c r="J233" s="14" t="s">
        <v>12</v>
      </c>
    </row>
    <row x14ac:dyDescent="0.25" r="234" customHeight="1" ht="17.25">
      <c r="A234" s="17" t="s">
        <v>4820</v>
      </c>
      <c r="B234" s="17" t="s">
        <v>386</v>
      </c>
      <c r="C234" s="17" t="s">
        <v>133</v>
      </c>
      <c r="D234" s="17" t="s">
        <v>16</v>
      </c>
      <c r="E234" s="18">
        <f>ROUND(12610*1.05,2)</f>
      </c>
      <c r="F234" s="17" t="s">
        <v>17</v>
      </c>
      <c r="G234" s="17" t="s">
        <v>18</v>
      </c>
      <c r="H234" s="26">
        <f>ROUND(RAND()*4+6,1)</f>
      </c>
      <c r="I234" s="17" t="s">
        <v>19</v>
      </c>
      <c r="J234" s="19">
        <f>ROUND(77*1,0)&amp;"%"</f>
      </c>
    </row>
    <row x14ac:dyDescent="0.25" r="235" customHeight="1" ht="17.25">
      <c r="A235" s="20" t="s">
        <v>4821</v>
      </c>
      <c r="B235" s="20" t="s">
        <v>388</v>
      </c>
      <c r="C235" s="20" t="s">
        <v>133</v>
      </c>
      <c r="D235" s="20" t="s">
        <v>22</v>
      </c>
      <c r="E235" s="21">
        <f>ROUND(11764*1.05,2)</f>
      </c>
      <c r="F235" s="20" t="s">
        <v>23</v>
      </c>
      <c r="G235" s="20" t="s">
        <v>24</v>
      </c>
      <c r="H235" s="21">
        <f>ROUND(RAND()*4+6,1)</f>
      </c>
      <c r="I235" s="20" t="s">
        <v>25</v>
      </c>
      <c r="J235" s="23">
        <f>ROUND(100*1,0)&amp;"%"</f>
      </c>
    </row>
    <row x14ac:dyDescent="0.25" r="236" customHeight="1" ht="17.25">
      <c r="A236" s="17" t="s">
        <v>4822</v>
      </c>
      <c r="B236" s="17" t="s">
        <v>390</v>
      </c>
      <c r="C236" s="17" t="s">
        <v>133</v>
      </c>
      <c r="D236" s="17" t="s">
        <v>28</v>
      </c>
      <c r="E236" s="18">
        <f>ROUND(17152*1.05,2)</f>
      </c>
      <c r="F236" s="17" t="s">
        <v>29</v>
      </c>
      <c r="G236" s="17" t="s">
        <v>30</v>
      </c>
      <c r="H236" s="18">
        <f>ROUND(RAND()*4+6,1)</f>
      </c>
      <c r="I236" s="17" t="s">
        <v>31</v>
      </c>
      <c r="J236" s="19">
        <f>ROUND(75*1,0)&amp;"%"</f>
      </c>
    </row>
    <row x14ac:dyDescent="0.25" r="237" customHeight="1" ht="17.25">
      <c r="A237" s="20" t="s">
        <v>4823</v>
      </c>
      <c r="B237" s="20" t="s">
        <v>392</v>
      </c>
      <c r="C237" s="20" t="s">
        <v>133</v>
      </c>
      <c r="D237" s="20" t="s">
        <v>34</v>
      </c>
      <c r="E237" s="21">
        <f>ROUND(13922*1.05,2)</f>
      </c>
      <c r="F237" s="20" t="s">
        <v>35</v>
      </c>
      <c r="G237" s="20" t="s">
        <v>18</v>
      </c>
      <c r="H237" s="21">
        <f>ROUND(RAND()*4+6,1)</f>
      </c>
      <c r="I237" s="20" t="s">
        <v>36</v>
      </c>
      <c r="J237" s="23">
        <f>ROUND(97*1,0)&amp;"%"</f>
      </c>
    </row>
    <row x14ac:dyDescent="0.25" r="238" customHeight="1" ht="17.25">
      <c r="A238" s="17" t="s">
        <v>4824</v>
      </c>
      <c r="B238" s="17" t="s">
        <v>394</v>
      </c>
      <c r="C238" s="17" t="s">
        <v>133</v>
      </c>
      <c r="D238" s="17" t="s">
        <v>39</v>
      </c>
      <c r="E238" s="18">
        <f>ROUND(10269*1.05,2)</f>
      </c>
      <c r="F238" s="17" t="s">
        <v>40</v>
      </c>
      <c r="G238" s="17" t="s">
        <v>24</v>
      </c>
      <c r="H238" s="18">
        <f>ROUND(RAND()*4+6,1)</f>
      </c>
      <c r="I238" s="17" t="s">
        <v>41</v>
      </c>
      <c r="J238" s="19">
        <f>ROUND(71*1,0)&amp;"%"</f>
      </c>
    </row>
    <row x14ac:dyDescent="0.25" r="239" customHeight="1" ht="17.25">
      <c r="A239" s="20" t="s">
        <v>4825</v>
      </c>
      <c r="B239" s="20" t="s">
        <v>396</v>
      </c>
      <c r="C239" s="20" t="s">
        <v>133</v>
      </c>
      <c r="D239" s="20" t="s">
        <v>67</v>
      </c>
      <c r="E239" s="21">
        <f>ROUND(4981*1.05,2)</f>
      </c>
      <c r="F239" s="20" t="s">
        <v>44</v>
      </c>
      <c r="G239" s="20" t="s">
        <v>30</v>
      </c>
      <c r="H239" s="21">
        <f>ROUND(RAND()*4+6,1)</f>
      </c>
      <c r="I239" s="20" t="s">
        <v>45</v>
      </c>
      <c r="J239" s="23">
        <f>ROUND(95*1,0)&amp;"%"</f>
      </c>
    </row>
    <row x14ac:dyDescent="0.25" r="240" customHeight="1" ht="17.25">
      <c r="A240" s="17" t="s">
        <v>4826</v>
      </c>
      <c r="B240" s="17" t="s">
        <v>398</v>
      </c>
      <c r="C240" s="17" t="s">
        <v>133</v>
      </c>
      <c r="D240" s="17" t="s">
        <v>16</v>
      </c>
      <c r="E240" s="18">
        <f>ROUND(11011*1.05,2)</f>
      </c>
      <c r="F240" s="17" t="s">
        <v>48</v>
      </c>
      <c r="G240" s="17" t="s">
        <v>18</v>
      </c>
      <c r="H240" s="18">
        <f>ROUND(RAND()*4+6,1)</f>
      </c>
      <c r="I240" s="17" t="s">
        <v>19</v>
      </c>
      <c r="J240" s="19">
        <f>ROUND(91*1,0)&amp;"%"</f>
      </c>
    </row>
    <row x14ac:dyDescent="0.25" r="241" customHeight="1" ht="17.25">
      <c r="A241" s="20" t="s">
        <v>4827</v>
      </c>
      <c r="B241" s="20" t="s">
        <v>400</v>
      </c>
      <c r="C241" s="20" t="s">
        <v>133</v>
      </c>
      <c r="D241" s="20" t="s">
        <v>22</v>
      </c>
      <c r="E241" s="21">
        <f>ROUND(11048*1.05,2)</f>
      </c>
      <c r="F241" s="20" t="s">
        <v>51</v>
      </c>
      <c r="G241" s="20" t="s">
        <v>24</v>
      </c>
      <c r="H241" s="21">
        <f>ROUND(RAND()*4+6,1)</f>
      </c>
      <c r="I241" s="20" t="s">
        <v>25</v>
      </c>
      <c r="J241" s="23">
        <f>ROUND(68*1,0)&amp;"%"</f>
      </c>
    </row>
    <row x14ac:dyDescent="0.25" r="242" customHeight="1" ht="17.25">
      <c r="A242" s="24" t="s">
        <v>401</v>
      </c>
      <c r="B242" s="24"/>
      <c r="C242" s="24"/>
      <c r="D242" s="24"/>
      <c r="E242" s="25">
        <v>8</v>
      </c>
      <c r="F242" s="9"/>
      <c r="G242" s="9"/>
      <c r="H242" s="10"/>
      <c r="I242" s="9"/>
      <c r="J242" s="9"/>
    </row>
    <row x14ac:dyDescent="0.25" r="243" customHeight="1" ht="17.25">
      <c r="A243" s="7"/>
      <c r="B243" s="7"/>
      <c r="C243" s="7"/>
      <c r="D243" s="7"/>
      <c r="E243" s="8"/>
      <c r="F243" s="9"/>
      <c r="G243" s="9"/>
      <c r="H243" s="10"/>
      <c r="I243" s="9"/>
      <c r="J243" s="9"/>
    </row>
    <row x14ac:dyDescent="0.25" r="244" customHeight="1" ht="17.25">
      <c r="A244" s="11" t="s">
        <v>4828</v>
      </c>
      <c r="B244" s="11"/>
      <c r="C244" s="11"/>
      <c r="D244" s="11"/>
      <c r="E244" s="12"/>
      <c r="F244" s="11"/>
      <c r="G244" s="11"/>
      <c r="H244" s="13"/>
      <c r="I244" s="11"/>
      <c r="J244" s="11"/>
    </row>
    <row x14ac:dyDescent="0.25" r="245" customHeight="1" ht="17.25">
      <c r="A245" s="14" t="s">
        <v>3</v>
      </c>
      <c r="B245" s="14" t="s">
        <v>4</v>
      </c>
      <c r="C245" s="14" t="s">
        <v>5</v>
      </c>
      <c r="D245" s="14" t="s">
        <v>6</v>
      </c>
      <c r="E245" s="15" t="s">
        <v>7</v>
      </c>
      <c r="F245" s="14" t="s">
        <v>8</v>
      </c>
      <c r="G245" s="14" t="s">
        <v>9</v>
      </c>
      <c r="H245" s="16" t="s">
        <v>10</v>
      </c>
      <c r="I245" s="14" t="s">
        <v>11</v>
      </c>
      <c r="J245" s="14" t="s">
        <v>12</v>
      </c>
    </row>
    <row x14ac:dyDescent="0.25" r="246" customHeight="1" ht="17.25">
      <c r="A246" s="17" t="s">
        <v>4829</v>
      </c>
      <c r="B246" s="17" t="s">
        <v>404</v>
      </c>
      <c r="C246" s="17" t="s">
        <v>152</v>
      </c>
      <c r="D246" s="17" t="s">
        <v>16</v>
      </c>
      <c r="E246" s="18">
        <f>ROUND(12459*1.05,2)</f>
      </c>
      <c r="F246" s="17" t="s">
        <v>17</v>
      </c>
      <c r="G246" s="17" t="s">
        <v>18</v>
      </c>
      <c r="H246" s="18">
        <f>ROUND(RAND()*4+6,1)</f>
      </c>
      <c r="I246" s="17" t="s">
        <v>19</v>
      </c>
      <c r="J246" s="19">
        <f>ROUND(83*1,0)&amp;"%"</f>
      </c>
    </row>
    <row x14ac:dyDescent="0.25" r="247" customHeight="1" ht="17.25">
      <c r="A247" s="20" t="s">
        <v>4830</v>
      </c>
      <c r="B247" s="20" t="s">
        <v>406</v>
      </c>
      <c r="C247" s="20" t="s">
        <v>152</v>
      </c>
      <c r="D247" s="20" t="s">
        <v>22</v>
      </c>
      <c r="E247" s="21">
        <f>ROUND(8447*1.05,2)</f>
      </c>
      <c r="F247" s="20" t="s">
        <v>23</v>
      </c>
      <c r="G247" s="20" t="s">
        <v>24</v>
      </c>
      <c r="H247" s="21">
        <f>ROUND(RAND()*4+6,1)</f>
      </c>
      <c r="I247" s="20" t="s">
        <v>25</v>
      </c>
      <c r="J247" s="23">
        <f>ROUND(93*1,0)&amp;"%"</f>
      </c>
    </row>
    <row x14ac:dyDescent="0.25" r="248" customHeight="1" ht="17.25">
      <c r="A248" s="17" t="s">
        <v>4831</v>
      </c>
      <c r="B248" s="17" t="s">
        <v>408</v>
      </c>
      <c r="C248" s="17" t="s">
        <v>152</v>
      </c>
      <c r="D248" s="17" t="s">
        <v>28</v>
      </c>
      <c r="E248" s="18">
        <f>ROUND(9565*1.05,2)</f>
      </c>
      <c r="F248" s="17" t="s">
        <v>29</v>
      </c>
      <c r="G248" s="17" t="s">
        <v>30</v>
      </c>
      <c r="H248" s="18">
        <f>ROUND(RAND()*4+6,1)</f>
      </c>
      <c r="I248" s="17" t="s">
        <v>31</v>
      </c>
      <c r="J248" s="19">
        <f>ROUND(84*1,0)&amp;"%"</f>
      </c>
    </row>
    <row x14ac:dyDescent="0.25" r="249" customHeight="1" ht="17.25">
      <c r="A249" s="20" t="s">
        <v>4832</v>
      </c>
      <c r="B249" s="20" t="s">
        <v>410</v>
      </c>
      <c r="C249" s="20" t="s">
        <v>152</v>
      </c>
      <c r="D249" s="20" t="s">
        <v>34</v>
      </c>
      <c r="E249" s="22">
        <f>ROUND(12520*1.05,2)</f>
      </c>
      <c r="F249" s="20" t="s">
        <v>35</v>
      </c>
      <c r="G249" s="20" t="s">
        <v>18</v>
      </c>
      <c r="H249" s="21">
        <f>ROUND(RAND()*4+6,1)</f>
      </c>
      <c r="I249" s="20" t="s">
        <v>36</v>
      </c>
      <c r="J249" s="23">
        <f>ROUND(79*1,0)&amp;"%"</f>
      </c>
    </row>
    <row x14ac:dyDescent="0.25" r="250" customHeight="1" ht="17.25">
      <c r="A250" s="17" t="s">
        <v>4833</v>
      </c>
      <c r="B250" s="17" t="s">
        <v>412</v>
      </c>
      <c r="C250" s="17" t="s">
        <v>152</v>
      </c>
      <c r="D250" s="17" t="s">
        <v>39</v>
      </c>
      <c r="E250" s="18">
        <f>ROUND(15176*1.05,2)</f>
      </c>
      <c r="F250" s="17" t="s">
        <v>40</v>
      </c>
      <c r="G250" s="17" t="s">
        <v>24</v>
      </c>
      <c r="H250" s="18">
        <f>ROUND(RAND()*4+6,1)</f>
      </c>
      <c r="I250" s="17" t="s">
        <v>41</v>
      </c>
      <c r="J250" s="19">
        <f>ROUND(79*1,0)&amp;"%"</f>
      </c>
    </row>
    <row x14ac:dyDescent="0.25" r="251" customHeight="1" ht="17.25">
      <c r="A251" s="20" t="s">
        <v>4834</v>
      </c>
      <c r="B251" s="20" t="s">
        <v>414</v>
      </c>
      <c r="C251" s="20" t="s">
        <v>152</v>
      </c>
      <c r="D251" s="20" t="s">
        <v>67</v>
      </c>
      <c r="E251" s="21">
        <f>ROUND(5787*1.05,2)</f>
      </c>
      <c r="F251" s="20" t="s">
        <v>44</v>
      </c>
      <c r="G251" s="20" t="s">
        <v>30</v>
      </c>
      <c r="H251" s="21">
        <f>ROUND(RAND()*4+6,1)</f>
      </c>
      <c r="I251" s="20" t="s">
        <v>45</v>
      </c>
      <c r="J251" s="23">
        <f>ROUND(91*1,0)&amp;"%"</f>
      </c>
    </row>
    <row x14ac:dyDescent="0.25" r="252" customHeight="1" ht="17.25">
      <c r="A252" s="17" t="s">
        <v>4835</v>
      </c>
      <c r="B252" s="17" t="s">
        <v>416</v>
      </c>
      <c r="C252" s="17" t="s">
        <v>152</v>
      </c>
      <c r="D252" s="17" t="s">
        <v>16</v>
      </c>
      <c r="E252" s="18">
        <f>ROUND(12590*1.05,2)</f>
      </c>
      <c r="F252" s="17" t="s">
        <v>48</v>
      </c>
      <c r="G252" s="17" t="s">
        <v>18</v>
      </c>
      <c r="H252" s="18">
        <f>ROUND(RAND()*4+6,1)</f>
      </c>
      <c r="I252" s="17" t="s">
        <v>19</v>
      </c>
      <c r="J252" s="19">
        <f>ROUND(74*1,0)&amp;"%"</f>
      </c>
    </row>
    <row x14ac:dyDescent="0.25" r="253" customHeight="1" ht="17.25">
      <c r="A253" s="20" t="s">
        <v>4836</v>
      </c>
      <c r="B253" s="20" t="s">
        <v>418</v>
      </c>
      <c r="C253" s="20" t="s">
        <v>152</v>
      </c>
      <c r="D253" s="20" t="s">
        <v>22</v>
      </c>
      <c r="E253" s="21">
        <f>ROUND(15129*1.05,2)</f>
      </c>
      <c r="F253" s="20" t="s">
        <v>51</v>
      </c>
      <c r="G253" s="20" t="s">
        <v>24</v>
      </c>
      <c r="H253" s="21">
        <f>ROUND(RAND()*4+6,1)</f>
      </c>
      <c r="I253" s="20" t="s">
        <v>25</v>
      </c>
      <c r="J253" s="23">
        <f>ROUND(65*1,0)&amp;"%"</f>
      </c>
    </row>
    <row x14ac:dyDescent="0.25" r="254" customHeight="1" ht="17.25">
      <c r="A254" s="24" t="s">
        <v>419</v>
      </c>
      <c r="B254" s="24"/>
      <c r="C254" s="24"/>
      <c r="D254" s="24"/>
      <c r="E254" s="25">
        <v>8</v>
      </c>
      <c r="F254" s="9"/>
      <c r="G254" s="9"/>
      <c r="H254" s="10"/>
      <c r="I254" s="9"/>
      <c r="J254" s="9"/>
    </row>
    <row x14ac:dyDescent="0.25" r="255" customHeight="1" ht="17.25">
      <c r="A255" s="7"/>
      <c r="B255" s="7"/>
      <c r="C255" s="7"/>
      <c r="D255" s="7"/>
      <c r="E255" s="8"/>
      <c r="F255" s="9"/>
      <c r="G255" s="9"/>
      <c r="H255" s="10"/>
      <c r="I255" s="9"/>
      <c r="J255" s="9"/>
    </row>
    <row x14ac:dyDescent="0.25" r="256" customHeight="1" ht="17.25">
      <c r="A256" s="11" t="s">
        <v>4837</v>
      </c>
      <c r="B256" s="11"/>
      <c r="C256" s="11"/>
      <c r="D256" s="11"/>
      <c r="E256" s="12"/>
      <c r="F256" s="11"/>
      <c r="G256" s="11"/>
      <c r="H256" s="13"/>
      <c r="I256" s="11"/>
      <c r="J256" s="11"/>
    </row>
    <row x14ac:dyDescent="0.25" r="257" customHeight="1" ht="17.25">
      <c r="A257" s="14" t="s">
        <v>3</v>
      </c>
      <c r="B257" s="14" t="s">
        <v>4</v>
      </c>
      <c r="C257" s="14" t="s">
        <v>5</v>
      </c>
      <c r="D257" s="14" t="s">
        <v>6</v>
      </c>
      <c r="E257" s="15" t="s">
        <v>7</v>
      </c>
      <c r="F257" s="14" t="s">
        <v>8</v>
      </c>
      <c r="G257" s="14" t="s">
        <v>9</v>
      </c>
      <c r="H257" s="16" t="s">
        <v>10</v>
      </c>
      <c r="I257" s="14" t="s">
        <v>11</v>
      </c>
      <c r="J257" s="14" t="s">
        <v>12</v>
      </c>
    </row>
    <row x14ac:dyDescent="0.25" r="258" customHeight="1" ht="17.25">
      <c r="A258" s="17" t="s">
        <v>4838</v>
      </c>
      <c r="B258" s="17" t="s">
        <v>422</v>
      </c>
      <c r="C258" s="17" t="s">
        <v>15</v>
      </c>
      <c r="D258" s="17" t="s">
        <v>16</v>
      </c>
      <c r="E258" s="18">
        <f>ROUND(15705*1.05,2)</f>
      </c>
      <c r="F258" s="17" t="s">
        <v>17</v>
      </c>
      <c r="G258" s="17" t="s">
        <v>18</v>
      </c>
      <c r="H258" s="18">
        <f>ROUND(RAND()*4+6,1)</f>
      </c>
      <c r="I258" s="17" t="s">
        <v>19</v>
      </c>
      <c r="J258" s="19">
        <f>ROUND(67*1,0)&amp;"%"</f>
      </c>
    </row>
    <row x14ac:dyDescent="0.25" r="259" customHeight="1" ht="17.25">
      <c r="A259" s="20" t="s">
        <v>4839</v>
      </c>
      <c r="B259" s="20" t="s">
        <v>424</v>
      </c>
      <c r="C259" s="20" t="s">
        <v>15</v>
      </c>
      <c r="D259" s="20" t="s">
        <v>22</v>
      </c>
      <c r="E259" s="21">
        <f>ROUND(8427*1.05,2)</f>
      </c>
      <c r="F259" s="20" t="s">
        <v>23</v>
      </c>
      <c r="G259" s="20" t="s">
        <v>24</v>
      </c>
      <c r="H259" s="21">
        <f>ROUND(RAND()*4+6,1)</f>
      </c>
      <c r="I259" s="20" t="s">
        <v>25</v>
      </c>
      <c r="J259" s="23">
        <f>ROUND(73*1,0)&amp;"%"</f>
      </c>
    </row>
    <row x14ac:dyDescent="0.25" r="260" customHeight="1" ht="17.25">
      <c r="A260" s="17" t="s">
        <v>4840</v>
      </c>
      <c r="B260" s="17" t="s">
        <v>426</v>
      </c>
      <c r="C260" s="17" t="s">
        <v>15</v>
      </c>
      <c r="D260" s="17" t="s">
        <v>28</v>
      </c>
      <c r="E260" s="18">
        <f>ROUND(7631*1.05,2)</f>
      </c>
      <c r="F260" s="17" t="s">
        <v>29</v>
      </c>
      <c r="G260" s="17" t="s">
        <v>30</v>
      </c>
      <c r="H260" s="18">
        <f>ROUND(RAND()*4+6,1)</f>
      </c>
      <c r="I260" s="17" t="s">
        <v>31</v>
      </c>
      <c r="J260" s="19">
        <f>ROUND(67*1,0)&amp;"%"</f>
      </c>
    </row>
    <row x14ac:dyDescent="0.25" r="261" customHeight="1" ht="17.25">
      <c r="A261" s="20" t="s">
        <v>4841</v>
      </c>
      <c r="B261" s="20" t="s">
        <v>428</v>
      </c>
      <c r="C261" s="20" t="s">
        <v>15</v>
      </c>
      <c r="D261" s="20" t="s">
        <v>34</v>
      </c>
      <c r="E261" s="21">
        <f>ROUND(7558*1.05,2)</f>
      </c>
      <c r="F261" s="20" t="s">
        <v>35</v>
      </c>
      <c r="G261" s="20" t="s">
        <v>18</v>
      </c>
      <c r="H261" s="21">
        <f>ROUND(RAND()*4+6,1)</f>
      </c>
      <c r="I261" s="20" t="s">
        <v>36</v>
      </c>
      <c r="J261" s="23">
        <f>ROUND(96*1,0)&amp;"%"</f>
      </c>
    </row>
    <row x14ac:dyDescent="0.25" r="262" customHeight="1" ht="17.25">
      <c r="A262" s="17" t="s">
        <v>4842</v>
      </c>
      <c r="B262" s="17" t="s">
        <v>430</v>
      </c>
      <c r="C262" s="17" t="s">
        <v>15</v>
      </c>
      <c r="D262" s="17" t="s">
        <v>39</v>
      </c>
      <c r="E262" s="18">
        <f>ROUND(11330*1.05,2)</f>
      </c>
      <c r="F262" s="17" t="s">
        <v>40</v>
      </c>
      <c r="G262" s="17" t="s">
        <v>24</v>
      </c>
      <c r="H262" s="18">
        <f>ROUND(RAND()*4+6,1)</f>
      </c>
      <c r="I262" s="17" t="s">
        <v>41</v>
      </c>
      <c r="J262" s="19">
        <f>ROUND(71*1,0)&amp;"%"</f>
      </c>
    </row>
    <row x14ac:dyDescent="0.25" r="263" customHeight="1" ht="17.25">
      <c r="A263" s="20" t="s">
        <v>4843</v>
      </c>
      <c r="B263" s="20" t="s">
        <v>432</v>
      </c>
      <c r="C263" s="20" t="s">
        <v>15</v>
      </c>
      <c r="D263" s="20" t="s">
        <v>67</v>
      </c>
      <c r="E263" s="21">
        <f>ROUND(11809*1.05,2)</f>
      </c>
      <c r="F263" s="20" t="s">
        <v>44</v>
      </c>
      <c r="G263" s="20" t="s">
        <v>30</v>
      </c>
      <c r="H263" s="21">
        <f>ROUND(RAND()*4+6,1)</f>
      </c>
      <c r="I263" s="20" t="s">
        <v>45</v>
      </c>
      <c r="J263" s="23">
        <f>ROUND(67*1,0)&amp;"%"</f>
      </c>
    </row>
    <row x14ac:dyDescent="0.25" r="264" customHeight="1" ht="17.25">
      <c r="A264" s="17" t="s">
        <v>4844</v>
      </c>
      <c r="B264" s="17" t="s">
        <v>434</v>
      </c>
      <c r="C264" s="17" t="s">
        <v>15</v>
      </c>
      <c r="D264" s="17" t="s">
        <v>16</v>
      </c>
      <c r="E264" s="18">
        <f>ROUND(10427*1.05,2)</f>
      </c>
      <c r="F264" s="17" t="s">
        <v>48</v>
      </c>
      <c r="G264" s="17" t="s">
        <v>18</v>
      </c>
      <c r="H264" s="18">
        <f>ROUND(RAND()*4+6,1)</f>
      </c>
      <c r="I264" s="17" t="s">
        <v>19</v>
      </c>
      <c r="J264" s="19">
        <f>ROUND(88*1,0)&amp;"%"</f>
      </c>
    </row>
    <row x14ac:dyDescent="0.25" r="265" customHeight="1" ht="17.25">
      <c r="A265" s="20" t="s">
        <v>4845</v>
      </c>
      <c r="B265" s="20" t="s">
        <v>436</v>
      </c>
      <c r="C265" s="20" t="s">
        <v>15</v>
      </c>
      <c r="D265" s="20" t="s">
        <v>22</v>
      </c>
      <c r="E265" s="21">
        <f>ROUND(16823*1.05,2)</f>
      </c>
      <c r="F265" s="20" t="s">
        <v>51</v>
      </c>
      <c r="G265" s="20" t="s">
        <v>24</v>
      </c>
      <c r="H265" s="22">
        <f>ROUND(RAND()*4+6,1)</f>
      </c>
      <c r="I265" s="20" t="s">
        <v>25</v>
      </c>
      <c r="J265" s="23">
        <f>ROUND(71*1,0)&amp;"%"</f>
      </c>
    </row>
    <row x14ac:dyDescent="0.25" r="266" customHeight="1" ht="17.25">
      <c r="A266" s="24" t="s">
        <v>437</v>
      </c>
      <c r="B266" s="24"/>
      <c r="C266" s="24"/>
      <c r="D266" s="24"/>
      <c r="E266" s="25">
        <v>8</v>
      </c>
      <c r="F266" s="9"/>
      <c r="G266" s="9"/>
      <c r="H266" s="10"/>
      <c r="I266" s="9"/>
      <c r="J266" s="9"/>
    </row>
    <row x14ac:dyDescent="0.25" r="267" customHeight="1" ht="17.25">
      <c r="A267" s="7"/>
      <c r="B267" s="7"/>
      <c r="C267" s="7"/>
      <c r="D267" s="7"/>
      <c r="E267" s="8"/>
      <c r="F267" s="9"/>
      <c r="G267" s="9"/>
      <c r="H267" s="10"/>
      <c r="I267" s="9"/>
      <c r="J267" s="9"/>
    </row>
    <row x14ac:dyDescent="0.25" r="268" customHeight="1" ht="17.25">
      <c r="A268" s="11" t="s">
        <v>4846</v>
      </c>
      <c r="B268" s="11"/>
      <c r="C268" s="11"/>
      <c r="D268" s="11"/>
      <c r="E268" s="12"/>
      <c r="F268" s="11"/>
      <c r="G268" s="11"/>
      <c r="H268" s="13"/>
      <c r="I268" s="11"/>
      <c r="J268" s="11"/>
    </row>
    <row x14ac:dyDescent="0.25" r="269" customHeight="1" ht="17.25">
      <c r="A269" s="14" t="s">
        <v>3</v>
      </c>
      <c r="B269" s="14" t="s">
        <v>4</v>
      </c>
      <c r="C269" s="14" t="s">
        <v>5</v>
      </c>
      <c r="D269" s="14" t="s">
        <v>6</v>
      </c>
      <c r="E269" s="15" t="s">
        <v>7</v>
      </c>
      <c r="F269" s="14" t="s">
        <v>8</v>
      </c>
      <c r="G269" s="14" t="s">
        <v>9</v>
      </c>
      <c r="H269" s="16" t="s">
        <v>10</v>
      </c>
      <c r="I269" s="14" t="s">
        <v>11</v>
      </c>
      <c r="J269" s="14" t="s">
        <v>12</v>
      </c>
    </row>
    <row x14ac:dyDescent="0.25" r="270" customHeight="1" ht="17.25">
      <c r="A270" s="17" t="s">
        <v>4847</v>
      </c>
      <c r="B270" s="17" t="s">
        <v>440</v>
      </c>
      <c r="C270" s="17" t="s">
        <v>56</v>
      </c>
      <c r="D270" s="17" t="s">
        <v>16</v>
      </c>
      <c r="E270" s="26">
        <f>ROUND(17120*1.05,2)</f>
      </c>
      <c r="F270" s="17" t="s">
        <v>17</v>
      </c>
      <c r="G270" s="17" t="s">
        <v>18</v>
      </c>
      <c r="H270" s="18">
        <f>ROUND(RAND()*4+6,1)</f>
      </c>
      <c r="I270" s="17" t="s">
        <v>19</v>
      </c>
      <c r="J270" s="19">
        <f>ROUND(79*1,0)&amp;"%"</f>
      </c>
    </row>
    <row x14ac:dyDescent="0.25" r="271" customHeight="1" ht="17.25">
      <c r="A271" s="20" t="s">
        <v>4848</v>
      </c>
      <c r="B271" s="20" t="s">
        <v>442</v>
      </c>
      <c r="C271" s="20" t="s">
        <v>56</v>
      </c>
      <c r="D271" s="20" t="s">
        <v>22</v>
      </c>
      <c r="E271" s="21">
        <f>ROUND(6016*1.05,2)</f>
      </c>
      <c r="F271" s="20" t="s">
        <v>23</v>
      </c>
      <c r="G271" s="20" t="s">
        <v>24</v>
      </c>
      <c r="H271" s="21">
        <f>ROUND(RAND()*4+6,1)</f>
      </c>
      <c r="I271" s="20" t="s">
        <v>25</v>
      </c>
      <c r="J271" s="23">
        <f>ROUND(76*1,0)&amp;"%"</f>
      </c>
    </row>
    <row x14ac:dyDescent="0.25" r="272" customHeight="1" ht="17.25">
      <c r="A272" s="17" t="s">
        <v>4849</v>
      </c>
      <c r="B272" s="17" t="s">
        <v>444</v>
      </c>
      <c r="C272" s="17" t="s">
        <v>56</v>
      </c>
      <c r="D272" s="17" t="s">
        <v>28</v>
      </c>
      <c r="E272" s="18">
        <f>ROUND(6699*1.05,2)</f>
      </c>
      <c r="F272" s="17" t="s">
        <v>29</v>
      </c>
      <c r="G272" s="17" t="s">
        <v>30</v>
      </c>
      <c r="H272" s="18">
        <f>ROUND(RAND()*4+6,1)</f>
      </c>
      <c r="I272" s="17" t="s">
        <v>31</v>
      </c>
      <c r="J272" s="19">
        <f>ROUND(97*1,0)&amp;"%"</f>
      </c>
    </row>
    <row x14ac:dyDescent="0.25" r="273" customHeight="1" ht="17.25">
      <c r="A273" s="20" t="s">
        <v>4850</v>
      </c>
      <c r="B273" s="20" t="s">
        <v>446</v>
      </c>
      <c r="C273" s="20" t="s">
        <v>56</v>
      </c>
      <c r="D273" s="20" t="s">
        <v>34</v>
      </c>
      <c r="E273" s="21">
        <f>ROUND(4568*1.05,2)</f>
      </c>
      <c r="F273" s="20" t="s">
        <v>35</v>
      </c>
      <c r="G273" s="20" t="s">
        <v>18</v>
      </c>
      <c r="H273" s="21">
        <f>ROUND(RAND()*4+6,1)</f>
      </c>
      <c r="I273" s="20" t="s">
        <v>36</v>
      </c>
      <c r="J273" s="23">
        <f>ROUND(94*1,0)&amp;"%"</f>
      </c>
    </row>
    <row x14ac:dyDescent="0.25" r="274" customHeight="1" ht="17.25">
      <c r="A274" s="17" t="s">
        <v>4851</v>
      </c>
      <c r="B274" s="17" t="s">
        <v>448</v>
      </c>
      <c r="C274" s="17" t="s">
        <v>56</v>
      </c>
      <c r="D274" s="17" t="s">
        <v>39</v>
      </c>
      <c r="E274" s="18">
        <f>ROUND(17562*1.05,2)</f>
      </c>
      <c r="F274" s="17" t="s">
        <v>40</v>
      </c>
      <c r="G274" s="17" t="s">
        <v>24</v>
      </c>
      <c r="H274" s="18">
        <f>ROUND(RAND()*4+6,1)</f>
      </c>
      <c r="I274" s="17" t="s">
        <v>41</v>
      </c>
      <c r="J274" s="19">
        <f>ROUND(79*1,0)&amp;"%"</f>
      </c>
    </row>
    <row x14ac:dyDescent="0.25" r="275" customHeight="1" ht="17.25">
      <c r="A275" s="20" t="s">
        <v>4852</v>
      </c>
      <c r="B275" s="20" t="s">
        <v>450</v>
      </c>
      <c r="C275" s="20" t="s">
        <v>56</v>
      </c>
      <c r="D275" s="20" t="s">
        <v>67</v>
      </c>
      <c r="E275" s="22">
        <f>ROUND(5680*1.05,2)</f>
      </c>
      <c r="F275" s="20" t="s">
        <v>44</v>
      </c>
      <c r="G275" s="20" t="s">
        <v>30</v>
      </c>
      <c r="H275" s="22">
        <f>ROUND(RAND()*4+6,1)</f>
      </c>
      <c r="I275" s="20" t="s">
        <v>45</v>
      </c>
      <c r="J275" s="23">
        <f>ROUND(60*1,0)&amp;"%"</f>
      </c>
    </row>
    <row x14ac:dyDescent="0.25" r="276" customHeight="1" ht="17.25">
      <c r="A276" s="17" t="s">
        <v>4853</v>
      </c>
      <c r="B276" s="17" t="s">
        <v>452</v>
      </c>
      <c r="C276" s="17" t="s">
        <v>56</v>
      </c>
      <c r="D276" s="17" t="s">
        <v>16</v>
      </c>
      <c r="E276" s="18">
        <f>ROUND(11397*1.05,2)</f>
      </c>
      <c r="F276" s="17" t="s">
        <v>48</v>
      </c>
      <c r="G276" s="17" t="s">
        <v>18</v>
      </c>
      <c r="H276" s="18">
        <f>ROUND(RAND()*4+6,1)</f>
      </c>
      <c r="I276" s="17" t="s">
        <v>19</v>
      </c>
      <c r="J276" s="19">
        <f>ROUND(62*1,0)&amp;"%"</f>
      </c>
    </row>
    <row x14ac:dyDescent="0.25" r="277" customHeight="1" ht="17.25">
      <c r="A277" s="20" t="s">
        <v>4854</v>
      </c>
      <c r="B277" s="20" t="s">
        <v>454</v>
      </c>
      <c r="C277" s="20" t="s">
        <v>56</v>
      </c>
      <c r="D277" s="20" t="s">
        <v>22</v>
      </c>
      <c r="E277" s="21">
        <f>ROUND(8139*1.05,2)</f>
      </c>
      <c r="F277" s="20" t="s">
        <v>51</v>
      </c>
      <c r="G277" s="20" t="s">
        <v>24</v>
      </c>
      <c r="H277" s="21">
        <f>ROUND(RAND()*4+6,1)</f>
      </c>
      <c r="I277" s="20" t="s">
        <v>25</v>
      </c>
      <c r="J277" s="23">
        <f>ROUND(64*1,0)&amp;"%"</f>
      </c>
    </row>
    <row x14ac:dyDescent="0.25" r="278" customHeight="1" ht="17.25">
      <c r="A278" s="24" t="s">
        <v>455</v>
      </c>
      <c r="B278" s="24"/>
      <c r="C278" s="24"/>
      <c r="D278" s="24"/>
      <c r="E278" s="25">
        <v>8</v>
      </c>
      <c r="F278" s="9"/>
      <c r="G278" s="9"/>
      <c r="H278" s="10"/>
      <c r="I278" s="9"/>
      <c r="J278" s="9"/>
    </row>
    <row x14ac:dyDescent="0.25" r="279" customHeight="1" ht="17.25">
      <c r="A279" s="7"/>
      <c r="B279" s="7"/>
      <c r="C279" s="7"/>
      <c r="D279" s="7"/>
      <c r="E279" s="8"/>
      <c r="F279" s="9"/>
      <c r="G279" s="9"/>
      <c r="H279" s="10"/>
      <c r="I279" s="9"/>
      <c r="J279" s="9"/>
    </row>
    <row x14ac:dyDescent="0.25" r="280" customHeight="1" ht="17.25">
      <c r="A280" s="11" t="s">
        <v>4855</v>
      </c>
      <c r="B280" s="11"/>
      <c r="C280" s="11"/>
      <c r="D280" s="11"/>
      <c r="E280" s="12"/>
      <c r="F280" s="11"/>
      <c r="G280" s="11"/>
      <c r="H280" s="13"/>
      <c r="I280" s="11"/>
      <c r="J280" s="11"/>
    </row>
    <row x14ac:dyDescent="0.25" r="281" customHeight="1" ht="17.25">
      <c r="A281" s="14" t="s">
        <v>3</v>
      </c>
      <c r="B281" s="14" t="s">
        <v>4</v>
      </c>
      <c r="C281" s="14" t="s">
        <v>5</v>
      </c>
      <c r="D281" s="14" t="s">
        <v>6</v>
      </c>
      <c r="E281" s="15" t="s">
        <v>7</v>
      </c>
      <c r="F281" s="14" t="s">
        <v>8</v>
      </c>
      <c r="G281" s="14" t="s">
        <v>9</v>
      </c>
      <c r="H281" s="16" t="s">
        <v>10</v>
      </c>
      <c r="I281" s="14" t="s">
        <v>11</v>
      </c>
      <c r="J281" s="14" t="s">
        <v>12</v>
      </c>
    </row>
    <row x14ac:dyDescent="0.25" r="282" customHeight="1" ht="17.25">
      <c r="A282" s="17" t="s">
        <v>4856</v>
      </c>
      <c r="B282" s="17" t="s">
        <v>458</v>
      </c>
      <c r="C282" s="17" t="s">
        <v>76</v>
      </c>
      <c r="D282" s="17" t="s">
        <v>16</v>
      </c>
      <c r="E282" s="18">
        <f>ROUND(17741*1.05,2)</f>
      </c>
      <c r="F282" s="17" t="s">
        <v>17</v>
      </c>
      <c r="G282" s="17" t="s">
        <v>18</v>
      </c>
      <c r="H282" s="18">
        <f>ROUND(RAND()*4+6,1)</f>
      </c>
      <c r="I282" s="17" t="s">
        <v>19</v>
      </c>
      <c r="J282" s="19">
        <f>ROUND(81*1,0)&amp;"%"</f>
      </c>
    </row>
    <row x14ac:dyDescent="0.25" r="283" customHeight="1" ht="17.25">
      <c r="A283" s="20" t="s">
        <v>4857</v>
      </c>
      <c r="B283" s="20" t="s">
        <v>460</v>
      </c>
      <c r="C283" s="20" t="s">
        <v>76</v>
      </c>
      <c r="D283" s="20" t="s">
        <v>22</v>
      </c>
      <c r="E283" s="21">
        <f>ROUND(17214*1.05,2)</f>
      </c>
      <c r="F283" s="20" t="s">
        <v>23</v>
      </c>
      <c r="G283" s="20" t="s">
        <v>24</v>
      </c>
      <c r="H283" s="21">
        <f>ROUND(RAND()*4+6,1)</f>
      </c>
      <c r="I283" s="20" t="s">
        <v>25</v>
      </c>
      <c r="J283" s="23">
        <f>ROUND(66*1,0)&amp;"%"</f>
      </c>
    </row>
    <row x14ac:dyDescent="0.25" r="284" customHeight="1" ht="17.25">
      <c r="A284" s="17" t="s">
        <v>4858</v>
      </c>
      <c r="B284" s="17" t="s">
        <v>462</v>
      </c>
      <c r="C284" s="17" t="s">
        <v>76</v>
      </c>
      <c r="D284" s="17" t="s">
        <v>28</v>
      </c>
      <c r="E284" s="18">
        <f>ROUND(6256*1.05,2)</f>
      </c>
      <c r="F284" s="17" t="s">
        <v>29</v>
      </c>
      <c r="G284" s="17" t="s">
        <v>30</v>
      </c>
      <c r="H284" s="18">
        <f>ROUND(RAND()*4+6,1)</f>
      </c>
      <c r="I284" s="17" t="s">
        <v>31</v>
      </c>
      <c r="J284" s="19">
        <f>ROUND(96*1,0)&amp;"%"</f>
      </c>
    </row>
    <row x14ac:dyDescent="0.25" r="285" customHeight="1" ht="17.25">
      <c r="A285" s="20" t="s">
        <v>4859</v>
      </c>
      <c r="B285" s="20" t="s">
        <v>464</v>
      </c>
      <c r="C285" s="20" t="s">
        <v>76</v>
      </c>
      <c r="D285" s="20" t="s">
        <v>34</v>
      </c>
      <c r="E285" s="21">
        <f>ROUND(15288*1.05,2)</f>
      </c>
      <c r="F285" s="20" t="s">
        <v>35</v>
      </c>
      <c r="G285" s="20" t="s">
        <v>18</v>
      </c>
      <c r="H285" s="21">
        <f>ROUND(RAND()*4+6,1)</f>
      </c>
      <c r="I285" s="20" t="s">
        <v>36</v>
      </c>
      <c r="J285" s="23">
        <f>ROUND(78*1,0)&amp;"%"</f>
      </c>
    </row>
    <row x14ac:dyDescent="0.25" r="286" customHeight="1" ht="17.25">
      <c r="A286" s="17" t="s">
        <v>4860</v>
      </c>
      <c r="B286" s="17" t="s">
        <v>466</v>
      </c>
      <c r="C286" s="17" t="s">
        <v>76</v>
      </c>
      <c r="D286" s="17" t="s">
        <v>39</v>
      </c>
      <c r="E286" s="18">
        <f>ROUND(6238*1.05,2)</f>
      </c>
      <c r="F286" s="17" t="s">
        <v>40</v>
      </c>
      <c r="G286" s="17" t="s">
        <v>24</v>
      </c>
      <c r="H286" s="18">
        <f>ROUND(RAND()*4+6,1)</f>
      </c>
      <c r="I286" s="17" t="s">
        <v>41</v>
      </c>
      <c r="J286" s="19">
        <f>ROUND(71*1,0)&amp;"%"</f>
      </c>
    </row>
    <row x14ac:dyDescent="0.25" r="287" customHeight="1" ht="17.25">
      <c r="A287" s="20" t="s">
        <v>4861</v>
      </c>
      <c r="B287" s="20" t="s">
        <v>468</v>
      </c>
      <c r="C287" s="20" t="s">
        <v>76</v>
      </c>
      <c r="D287" s="20" t="s">
        <v>67</v>
      </c>
      <c r="E287" s="21">
        <f>ROUND(9616*1.05,2)</f>
      </c>
      <c r="F287" s="20" t="s">
        <v>44</v>
      </c>
      <c r="G287" s="20" t="s">
        <v>30</v>
      </c>
      <c r="H287" s="21">
        <f>ROUND(RAND()*4+6,1)</f>
      </c>
      <c r="I287" s="20" t="s">
        <v>45</v>
      </c>
      <c r="J287" s="23">
        <f>ROUND(66*1,0)&amp;"%"</f>
      </c>
    </row>
    <row x14ac:dyDescent="0.25" r="288" customHeight="1" ht="17.25">
      <c r="A288" s="17" t="s">
        <v>4862</v>
      </c>
      <c r="B288" s="17" t="s">
        <v>470</v>
      </c>
      <c r="C288" s="17" t="s">
        <v>76</v>
      </c>
      <c r="D288" s="17" t="s">
        <v>16</v>
      </c>
      <c r="E288" s="18">
        <f>ROUND(12678*1.05,2)</f>
      </c>
      <c r="F288" s="17" t="s">
        <v>48</v>
      </c>
      <c r="G288" s="17" t="s">
        <v>18</v>
      </c>
      <c r="H288" s="18">
        <f>ROUND(RAND()*4+6,1)</f>
      </c>
      <c r="I288" s="17" t="s">
        <v>19</v>
      </c>
      <c r="J288" s="19">
        <f>ROUND(64*1,0)&amp;"%"</f>
      </c>
    </row>
    <row x14ac:dyDescent="0.25" r="289" customHeight="1" ht="17.25">
      <c r="A289" s="20" t="s">
        <v>4863</v>
      </c>
      <c r="B289" s="20" t="s">
        <v>472</v>
      </c>
      <c r="C289" s="20" t="s">
        <v>76</v>
      </c>
      <c r="D289" s="20" t="s">
        <v>22</v>
      </c>
      <c r="E289" s="21">
        <f>ROUND(13178*1.05,2)</f>
      </c>
      <c r="F289" s="20" t="s">
        <v>51</v>
      </c>
      <c r="G289" s="20" t="s">
        <v>24</v>
      </c>
      <c r="H289" s="21">
        <f>ROUND(RAND()*4+6,1)</f>
      </c>
      <c r="I289" s="20" t="s">
        <v>25</v>
      </c>
      <c r="J289" s="23">
        <f>ROUND(77*1,0)&amp;"%"</f>
      </c>
    </row>
    <row x14ac:dyDescent="0.25" r="290" customHeight="1" ht="17.25">
      <c r="A290" s="24" t="s">
        <v>473</v>
      </c>
      <c r="B290" s="24"/>
      <c r="C290" s="24"/>
      <c r="D290" s="24"/>
      <c r="E290" s="25">
        <v>8</v>
      </c>
      <c r="F290" s="9"/>
      <c r="G290" s="9"/>
      <c r="H290" s="10"/>
      <c r="I290" s="9"/>
      <c r="J290" s="9"/>
    </row>
    <row x14ac:dyDescent="0.25" r="291" customHeight="1" ht="17.25">
      <c r="A291" s="7"/>
      <c r="B291" s="7"/>
      <c r="C291" s="7"/>
      <c r="D291" s="7"/>
      <c r="E291" s="8"/>
      <c r="F291" s="9"/>
      <c r="G291" s="9"/>
      <c r="H291" s="10"/>
      <c r="I291" s="9"/>
      <c r="J291" s="9"/>
    </row>
    <row x14ac:dyDescent="0.25" r="292" customHeight="1" ht="17.25">
      <c r="A292" s="11" t="s">
        <v>4864</v>
      </c>
      <c r="B292" s="11"/>
      <c r="C292" s="11"/>
      <c r="D292" s="11"/>
      <c r="E292" s="12"/>
      <c r="F292" s="11"/>
      <c r="G292" s="11"/>
      <c r="H292" s="13"/>
      <c r="I292" s="11"/>
      <c r="J292" s="11"/>
    </row>
    <row x14ac:dyDescent="0.25" r="293" customHeight="1" ht="17.25">
      <c r="A293" s="14" t="s">
        <v>3</v>
      </c>
      <c r="B293" s="14" t="s">
        <v>4</v>
      </c>
      <c r="C293" s="14" t="s">
        <v>5</v>
      </c>
      <c r="D293" s="14" t="s">
        <v>6</v>
      </c>
      <c r="E293" s="15" t="s">
        <v>7</v>
      </c>
      <c r="F293" s="14" t="s">
        <v>8</v>
      </c>
      <c r="G293" s="14" t="s">
        <v>9</v>
      </c>
      <c r="H293" s="16" t="s">
        <v>10</v>
      </c>
      <c r="I293" s="14" t="s">
        <v>11</v>
      </c>
      <c r="J293" s="14" t="s">
        <v>12</v>
      </c>
    </row>
    <row x14ac:dyDescent="0.25" r="294" customHeight="1" ht="17.25">
      <c r="A294" s="17" t="s">
        <v>4865</v>
      </c>
      <c r="B294" s="17" t="s">
        <v>476</v>
      </c>
      <c r="C294" s="17" t="s">
        <v>95</v>
      </c>
      <c r="D294" s="17" t="s">
        <v>16</v>
      </c>
      <c r="E294" s="18">
        <f>ROUND(17033*1.05,2)</f>
      </c>
      <c r="F294" s="17" t="s">
        <v>17</v>
      </c>
      <c r="G294" s="17" t="s">
        <v>18</v>
      </c>
      <c r="H294" s="26">
        <f>ROUND(RAND()*4+6,1)</f>
      </c>
      <c r="I294" s="17" t="s">
        <v>19</v>
      </c>
      <c r="J294" s="19">
        <f>ROUND(98*1,0)&amp;"%"</f>
      </c>
    </row>
    <row x14ac:dyDescent="0.25" r="295" customHeight="1" ht="17.25">
      <c r="A295" s="20" t="s">
        <v>4866</v>
      </c>
      <c r="B295" s="20" t="s">
        <v>478</v>
      </c>
      <c r="C295" s="20" t="s">
        <v>95</v>
      </c>
      <c r="D295" s="20" t="s">
        <v>22</v>
      </c>
      <c r="E295" s="21">
        <f>ROUND(11271*1.05,2)</f>
      </c>
      <c r="F295" s="20" t="s">
        <v>23</v>
      </c>
      <c r="G295" s="20" t="s">
        <v>24</v>
      </c>
      <c r="H295" s="21">
        <f>ROUND(RAND()*4+6,1)</f>
      </c>
      <c r="I295" s="20" t="s">
        <v>25</v>
      </c>
      <c r="J295" s="23">
        <f>ROUND(95*1,0)&amp;"%"</f>
      </c>
    </row>
    <row x14ac:dyDescent="0.25" r="296" customHeight="1" ht="17.25">
      <c r="A296" s="17" t="s">
        <v>4867</v>
      </c>
      <c r="B296" s="17" t="s">
        <v>480</v>
      </c>
      <c r="C296" s="17" t="s">
        <v>95</v>
      </c>
      <c r="D296" s="17" t="s">
        <v>28</v>
      </c>
      <c r="E296" s="18">
        <f>ROUND(4984*1.05,2)</f>
      </c>
      <c r="F296" s="17" t="s">
        <v>29</v>
      </c>
      <c r="G296" s="17" t="s">
        <v>30</v>
      </c>
      <c r="H296" s="26">
        <f>ROUND(RAND()*4+6,1)</f>
      </c>
      <c r="I296" s="17" t="s">
        <v>31</v>
      </c>
      <c r="J296" s="19">
        <f>ROUND(73*1,0)&amp;"%"</f>
      </c>
    </row>
    <row x14ac:dyDescent="0.25" r="297" customHeight="1" ht="17.25">
      <c r="A297" s="20" t="s">
        <v>4868</v>
      </c>
      <c r="B297" s="20" t="s">
        <v>482</v>
      </c>
      <c r="C297" s="20" t="s">
        <v>95</v>
      </c>
      <c r="D297" s="20" t="s">
        <v>34</v>
      </c>
      <c r="E297" s="21">
        <f>ROUND(13592*1.05,2)</f>
      </c>
      <c r="F297" s="20" t="s">
        <v>35</v>
      </c>
      <c r="G297" s="20" t="s">
        <v>18</v>
      </c>
      <c r="H297" s="21">
        <f>ROUND(RAND()*4+6,1)</f>
      </c>
      <c r="I297" s="20" t="s">
        <v>36</v>
      </c>
      <c r="J297" s="23">
        <f>ROUND(67*1,0)&amp;"%"</f>
      </c>
    </row>
    <row x14ac:dyDescent="0.25" r="298" customHeight="1" ht="17.25">
      <c r="A298" s="17" t="s">
        <v>4869</v>
      </c>
      <c r="B298" s="17" t="s">
        <v>484</v>
      </c>
      <c r="C298" s="17" t="s">
        <v>95</v>
      </c>
      <c r="D298" s="17" t="s">
        <v>39</v>
      </c>
      <c r="E298" s="18">
        <f>ROUND(7815*1.05,2)</f>
      </c>
      <c r="F298" s="17" t="s">
        <v>40</v>
      </c>
      <c r="G298" s="17" t="s">
        <v>24</v>
      </c>
      <c r="H298" s="18">
        <f>ROUND(RAND()*4+6,1)</f>
      </c>
      <c r="I298" s="17" t="s">
        <v>41</v>
      </c>
      <c r="J298" s="19">
        <f>ROUND(75*1,0)&amp;"%"</f>
      </c>
    </row>
    <row x14ac:dyDescent="0.25" r="299" customHeight="1" ht="17.25">
      <c r="A299" s="20" t="s">
        <v>4870</v>
      </c>
      <c r="B299" s="20" t="s">
        <v>486</v>
      </c>
      <c r="C299" s="20" t="s">
        <v>95</v>
      </c>
      <c r="D299" s="20" t="s">
        <v>67</v>
      </c>
      <c r="E299" s="21">
        <f>ROUND(7387*1.05,2)</f>
      </c>
      <c r="F299" s="20" t="s">
        <v>44</v>
      </c>
      <c r="G299" s="20" t="s">
        <v>30</v>
      </c>
      <c r="H299" s="21">
        <f>ROUND(RAND()*4+6,1)</f>
      </c>
      <c r="I299" s="20" t="s">
        <v>45</v>
      </c>
      <c r="J299" s="23">
        <f>ROUND(72*1,0)&amp;"%"</f>
      </c>
    </row>
    <row x14ac:dyDescent="0.25" r="300" customHeight="1" ht="17.25">
      <c r="A300" s="17" t="s">
        <v>4871</v>
      </c>
      <c r="B300" s="17" t="s">
        <v>488</v>
      </c>
      <c r="C300" s="17" t="s">
        <v>95</v>
      </c>
      <c r="D300" s="17" t="s">
        <v>16</v>
      </c>
      <c r="E300" s="18">
        <f>ROUND(7857*1.05,2)</f>
      </c>
      <c r="F300" s="17" t="s">
        <v>48</v>
      </c>
      <c r="G300" s="17" t="s">
        <v>18</v>
      </c>
      <c r="H300" s="18">
        <f>ROUND(RAND()*4+6,1)</f>
      </c>
      <c r="I300" s="17" t="s">
        <v>19</v>
      </c>
      <c r="J300" s="19">
        <f>ROUND(63*1,0)&amp;"%"</f>
      </c>
    </row>
    <row x14ac:dyDescent="0.25" r="301" customHeight="1" ht="17.25">
      <c r="A301" s="20" t="s">
        <v>4872</v>
      </c>
      <c r="B301" s="20" t="s">
        <v>490</v>
      </c>
      <c r="C301" s="20" t="s">
        <v>95</v>
      </c>
      <c r="D301" s="20" t="s">
        <v>22</v>
      </c>
      <c r="E301" s="21">
        <f>ROUND(16045*1.05,2)</f>
      </c>
      <c r="F301" s="20" t="s">
        <v>51</v>
      </c>
      <c r="G301" s="20" t="s">
        <v>24</v>
      </c>
      <c r="H301" s="21">
        <f>ROUND(RAND()*4+6,1)</f>
      </c>
      <c r="I301" s="20" t="s">
        <v>25</v>
      </c>
      <c r="J301" s="23">
        <f>ROUND(87*1,0)&amp;"%"</f>
      </c>
    </row>
    <row x14ac:dyDescent="0.25" r="302" customHeight="1" ht="17.25">
      <c r="A302" s="24" t="s">
        <v>491</v>
      </c>
      <c r="B302" s="24"/>
      <c r="C302" s="24"/>
      <c r="D302" s="24"/>
      <c r="E302" s="25">
        <v>8</v>
      </c>
      <c r="F302" s="9"/>
      <c r="G302" s="9"/>
      <c r="H302" s="10"/>
      <c r="I302" s="9"/>
      <c r="J302" s="9"/>
    </row>
    <row x14ac:dyDescent="0.25" r="303" customHeight="1" ht="17.25">
      <c r="A303" s="7"/>
      <c r="B303" s="7"/>
      <c r="C303" s="7"/>
      <c r="D303" s="7"/>
      <c r="E303" s="8"/>
      <c r="F303" s="9"/>
      <c r="G303" s="9"/>
      <c r="H303" s="10"/>
      <c r="I303" s="9"/>
      <c r="J303" s="9"/>
    </row>
    <row x14ac:dyDescent="0.25" r="304" customHeight="1" ht="17.25">
      <c r="A304" s="11" t="s">
        <v>4873</v>
      </c>
      <c r="B304" s="11"/>
      <c r="C304" s="11"/>
      <c r="D304" s="11"/>
      <c r="E304" s="12"/>
      <c r="F304" s="11"/>
      <c r="G304" s="11"/>
      <c r="H304" s="13"/>
      <c r="I304" s="11"/>
      <c r="J304" s="11"/>
    </row>
    <row x14ac:dyDescent="0.25" r="305" customHeight="1" ht="17.25">
      <c r="A305" s="14" t="s">
        <v>3</v>
      </c>
      <c r="B305" s="14" t="s">
        <v>4</v>
      </c>
      <c r="C305" s="14" t="s">
        <v>5</v>
      </c>
      <c r="D305" s="14" t="s">
        <v>6</v>
      </c>
      <c r="E305" s="15" t="s">
        <v>7</v>
      </c>
      <c r="F305" s="14" t="s">
        <v>8</v>
      </c>
      <c r="G305" s="14" t="s">
        <v>9</v>
      </c>
      <c r="H305" s="16" t="s">
        <v>10</v>
      </c>
      <c r="I305" s="14" t="s">
        <v>11</v>
      </c>
      <c r="J305" s="14" t="s">
        <v>12</v>
      </c>
    </row>
    <row x14ac:dyDescent="0.25" r="306" customHeight="1" ht="17.25">
      <c r="A306" s="17" t="s">
        <v>4874</v>
      </c>
      <c r="B306" s="17" t="s">
        <v>494</v>
      </c>
      <c r="C306" s="17" t="s">
        <v>114</v>
      </c>
      <c r="D306" s="17" t="s">
        <v>16</v>
      </c>
      <c r="E306" s="18">
        <f>ROUND(9022*1.05,2)</f>
      </c>
      <c r="F306" s="17" t="s">
        <v>17</v>
      </c>
      <c r="G306" s="17" t="s">
        <v>18</v>
      </c>
      <c r="H306" s="18">
        <f>ROUND(RAND()*4+6,1)</f>
      </c>
      <c r="I306" s="17" t="s">
        <v>19</v>
      </c>
      <c r="J306" s="19">
        <f>ROUND(75*1,0)&amp;"%"</f>
      </c>
    </row>
    <row x14ac:dyDescent="0.25" r="307" customHeight="1" ht="17.25">
      <c r="A307" s="20" t="s">
        <v>4875</v>
      </c>
      <c r="B307" s="20" t="s">
        <v>496</v>
      </c>
      <c r="C307" s="20" t="s">
        <v>114</v>
      </c>
      <c r="D307" s="20" t="s">
        <v>22</v>
      </c>
      <c r="E307" s="21">
        <f>ROUND(6774*1.05,2)</f>
      </c>
      <c r="F307" s="20" t="s">
        <v>23</v>
      </c>
      <c r="G307" s="20" t="s">
        <v>24</v>
      </c>
      <c r="H307" s="21">
        <f>ROUND(RAND()*4+6,1)</f>
      </c>
      <c r="I307" s="20" t="s">
        <v>25</v>
      </c>
      <c r="J307" s="23">
        <f>ROUND(92*1,0)&amp;"%"</f>
      </c>
    </row>
    <row x14ac:dyDescent="0.25" r="308" customHeight="1" ht="17.25">
      <c r="A308" s="17" t="s">
        <v>4876</v>
      </c>
      <c r="B308" s="17" t="s">
        <v>498</v>
      </c>
      <c r="C308" s="17" t="s">
        <v>114</v>
      </c>
      <c r="D308" s="17" t="s">
        <v>28</v>
      </c>
      <c r="E308" s="18">
        <f>ROUND(8310*1.05,2)</f>
      </c>
      <c r="F308" s="17" t="s">
        <v>29</v>
      </c>
      <c r="G308" s="17" t="s">
        <v>30</v>
      </c>
      <c r="H308" s="18">
        <f>ROUND(RAND()*4+6,1)</f>
      </c>
      <c r="I308" s="17" t="s">
        <v>31</v>
      </c>
      <c r="J308" s="19">
        <f>ROUND(71*1,0)&amp;"%"</f>
      </c>
    </row>
    <row x14ac:dyDescent="0.25" r="309" customHeight="1" ht="17.25">
      <c r="A309" s="20" t="s">
        <v>4877</v>
      </c>
      <c r="B309" s="20" t="s">
        <v>500</v>
      </c>
      <c r="C309" s="20" t="s">
        <v>114</v>
      </c>
      <c r="D309" s="20" t="s">
        <v>34</v>
      </c>
      <c r="E309" s="21">
        <f>ROUND(16814*1.05,2)</f>
      </c>
      <c r="F309" s="20" t="s">
        <v>35</v>
      </c>
      <c r="G309" s="20" t="s">
        <v>18</v>
      </c>
      <c r="H309" s="21">
        <f>ROUND(RAND()*4+6,1)</f>
      </c>
      <c r="I309" s="20" t="s">
        <v>36</v>
      </c>
      <c r="J309" s="23">
        <f>ROUND(76*1,0)&amp;"%"</f>
      </c>
    </row>
    <row x14ac:dyDescent="0.25" r="310" customHeight="1" ht="17.25">
      <c r="A310" s="17" t="s">
        <v>4878</v>
      </c>
      <c r="B310" s="17" t="s">
        <v>502</v>
      </c>
      <c r="C310" s="17" t="s">
        <v>114</v>
      </c>
      <c r="D310" s="17" t="s">
        <v>39</v>
      </c>
      <c r="E310" s="18">
        <f>ROUND(13409*1.05,2)</f>
      </c>
      <c r="F310" s="17" t="s">
        <v>40</v>
      </c>
      <c r="G310" s="17" t="s">
        <v>24</v>
      </c>
      <c r="H310" s="18">
        <f>ROUND(RAND()*4+6,1)</f>
      </c>
      <c r="I310" s="17" t="s">
        <v>41</v>
      </c>
      <c r="J310" s="19">
        <f>ROUND(73*1,0)&amp;"%"</f>
      </c>
    </row>
    <row x14ac:dyDescent="0.25" r="311" customHeight="1" ht="17.25">
      <c r="A311" s="20" t="s">
        <v>4879</v>
      </c>
      <c r="B311" s="20" t="s">
        <v>504</v>
      </c>
      <c r="C311" s="20" t="s">
        <v>114</v>
      </c>
      <c r="D311" s="20" t="s">
        <v>67</v>
      </c>
      <c r="E311" s="21">
        <f>ROUND(12073*1.05,2)</f>
      </c>
      <c r="F311" s="20" t="s">
        <v>44</v>
      </c>
      <c r="G311" s="20" t="s">
        <v>30</v>
      </c>
      <c r="H311" s="22">
        <f>ROUND(RAND()*4+6,1)</f>
      </c>
      <c r="I311" s="20" t="s">
        <v>45</v>
      </c>
      <c r="J311" s="23">
        <f>ROUND(78*1,0)&amp;"%"</f>
      </c>
    </row>
    <row x14ac:dyDescent="0.25" r="312" customHeight="1" ht="17.25">
      <c r="A312" s="17" t="s">
        <v>4880</v>
      </c>
      <c r="B312" s="17" t="s">
        <v>506</v>
      </c>
      <c r="C312" s="17" t="s">
        <v>114</v>
      </c>
      <c r="D312" s="17" t="s">
        <v>16</v>
      </c>
      <c r="E312" s="18">
        <f>ROUND(12423*1.05,2)</f>
      </c>
      <c r="F312" s="17" t="s">
        <v>48</v>
      </c>
      <c r="G312" s="17" t="s">
        <v>18</v>
      </c>
      <c r="H312" s="26">
        <f>ROUND(RAND()*4+6,1)</f>
      </c>
      <c r="I312" s="17" t="s">
        <v>19</v>
      </c>
      <c r="J312" s="19">
        <f>ROUND(79*1,0)&amp;"%"</f>
      </c>
    </row>
    <row x14ac:dyDescent="0.25" r="313" customHeight="1" ht="17.25">
      <c r="A313" s="20" t="s">
        <v>4881</v>
      </c>
      <c r="B313" s="20" t="s">
        <v>508</v>
      </c>
      <c r="C313" s="20" t="s">
        <v>114</v>
      </c>
      <c r="D313" s="20" t="s">
        <v>22</v>
      </c>
      <c r="E313" s="21">
        <f>ROUND(8146*1.05,2)</f>
      </c>
      <c r="F313" s="20" t="s">
        <v>51</v>
      </c>
      <c r="G313" s="20" t="s">
        <v>24</v>
      </c>
      <c r="H313" s="21">
        <f>ROUND(RAND()*4+6,1)</f>
      </c>
      <c r="I313" s="20" t="s">
        <v>25</v>
      </c>
      <c r="J313" s="23">
        <f>ROUND(99*1,0)&amp;"%"</f>
      </c>
    </row>
    <row x14ac:dyDescent="0.25" r="314" customHeight="1" ht="17.25">
      <c r="A314" s="24" t="s">
        <v>509</v>
      </c>
      <c r="B314" s="24"/>
      <c r="C314" s="24"/>
      <c r="D314" s="24"/>
      <c r="E314" s="25">
        <v>8</v>
      </c>
      <c r="F314" s="9"/>
      <c r="G314" s="9"/>
      <c r="H314" s="10"/>
      <c r="I314" s="9"/>
      <c r="J314" s="9"/>
    </row>
    <row x14ac:dyDescent="0.25" r="315" customHeight="1" ht="17.25">
      <c r="A315" s="7"/>
      <c r="B315" s="7"/>
      <c r="C315" s="7"/>
      <c r="D315" s="7"/>
      <c r="E315" s="8"/>
      <c r="F315" s="9"/>
      <c r="G315" s="9"/>
      <c r="H315" s="10"/>
      <c r="I315" s="9"/>
      <c r="J315" s="9"/>
    </row>
    <row x14ac:dyDescent="0.25" r="316" customHeight="1" ht="17.25">
      <c r="A316" s="11" t="s">
        <v>4882</v>
      </c>
      <c r="B316" s="11"/>
      <c r="C316" s="11"/>
      <c r="D316" s="11"/>
      <c r="E316" s="12"/>
      <c r="F316" s="11"/>
      <c r="G316" s="11"/>
      <c r="H316" s="13"/>
      <c r="I316" s="11"/>
      <c r="J316" s="11"/>
    </row>
    <row x14ac:dyDescent="0.25" r="317" customHeight="1" ht="17.25">
      <c r="A317" s="14" t="s">
        <v>3</v>
      </c>
      <c r="B317" s="14" t="s">
        <v>4</v>
      </c>
      <c r="C317" s="14" t="s">
        <v>5</v>
      </c>
      <c r="D317" s="14" t="s">
        <v>6</v>
      </c>
      <c r="E317" s="15" t="s">
        <v>7</v>
      </c>
      <c r="F317" s="14" t="s">
        <v>8</v>
      </c>
      <c r="G317" s="14" t="s">
        <v>9</v>
      </c>
      <c r="H317" s="16" t="s">
        <v>10</v>
      </c>
      <c r="I317" s="14" t="s">
        <v>11</v>
      </c>
      <c r="J317" s="14" t="s">
        <v>12</v>
      </c>
    </row>
    <row x14ac:dyDescent="0.25" r="318" customHeight="1" ht="17.25">
      <c r="A318" s="17" t="s">
        <v>4883</v>
      </c>
      <c r="B318" s="17" t="s">
        <v>512</v>
      </c>
      <c r="C318" s="17" t="s">
        <v>133</v>
      </c>
      <c r="D318" s="17" t="s">
        <v>16</v>
      </c>
      <c r="E318" s="18">
        <f>ROUND(4549*1.05,2)</f>
      </c>
      <c r="F318" s="17" t="s">
        <v>17</v>
      </c>
      <c r="G318" s="17" t="s">
        <v>18</v>
      </c>
      <c r="H318" s="18">
        <f>ROUND(RAND()*4+6,1)</f>
      </c>
      <c r="I318" s="17" t="s">
        <v>19</v>
      </c>
      <c r="J318" s="19">
        <f>ROUND(98*1,0)&amp;"%"</f>
      </c>
    </row>
    <row x14ac:dyDescent="0.25" r="319" customHeight="1" ht="17.25">
      <c r="A319" s="20" t="s">
        <v>4884</v>
      </c>
      <c r="B319" s="20" t="s">
        <v>514</v>
      </c>
      <c r="C319" s="20" t="s">
        <v>133</v>
      </c>
      <c r="D319" s="20" t="s">
        <v>22</v>
      </c>
      <c r="E319" s="21">
        <f>ROUND(4491*1.05,2)</f>
      </c>
      <c r="F319" s="20" t="s">
        <v>23</v>
      </c>
      <c r="G319" s="20" t="s">
        <v>24</v>
      </c>
      <c r="H319" s="21">
        <f>ROUND(RAND()*4+6,1)</f>
      </c>
      <c r="I319" s="20" t="s">
        <v>25</v>
      </c>
      <c r="J319" s="23">
        <f>ROUND(100*1,0)&amp;"%"</f>
      </c>
    </row>
    <row x14ac:dyDescent="0.25" r="320" customHeight="1" ht="17.25">
      <c r="A320" s="17" t="s">
        <v>4885</v>
      </c>
      <c r="B320" s="17" t="s">
        <v>516</v>
      </c>
      <c r="C320" s="17" t="s">
        <v>133</v>
      </c>
      <c r="D320" s="17" t="s">
        <v>28</v>
      </c>
      <c r="E320" s="18">
        <f>ROUND(11836*1.05,2)</f>
      </c>
      <c r="F320" s="17" t="s">
        <v>29</v>
      </c>
      <c r="G320" s="17" t="s">
        <v>30</v>
      </c>
      <c r="H320" s="18">
        <f>ROUND(RAND()*4+6,1)</f>
      </c>
      <c r="I320" s="17" t="s">
        <v>31</v>
      </c>
      <c r="J320" s="19">
        <f>ROUND(82*1,0)&amp;"%"</f>
      </c>
    </row>
    <row x14ac:dyDescent="0.25" r="321" customHeight="1" ht="17.25">
      <c r="A321" s="20" t="s">
        <v>4886</v>
      </c>
      <c r="B321" s="20" t="s">
        <v>518</v>
      </c>
      <c r="C321" s="20" t="s">
        <v>133</v>
      </c>
      <c r="D321" s="20" t="s">
        <v>34</v>
      </c>
      <c r="E321" s="21">
        <f>ROUND(6502*1.05,2)</f>
      </c>
      <c r="F321" s="20" t="s">
        <v>35</v>
      </c>
      <c r="G321" s="20" t="s">
        <v>18</v>
      </c>
      <c r="H321" s="21">
        <f>ROUND(RAND()*4+6,1)</f>
      </c>
      <c r="I321" s="20" t="s">
        <v>36</v>
      </c>
      <c r="J321" s="23">
        <f>ROUND(68*1,0)&amp;"%"</f>
      </c>
    </row>
    <row x14ac:dyDescent="0.25" r="322" customHeight="1" ht="17.25">
      <c r="A322" s="17" t="s">
        <v>4887</v>
      </c>
      <c r="B322" s="17" t="s">
        <v>520</v>
      </c>
      <c r="C322" s="17" t="s">
        <v>133</v>
      </c>
      <c r="D322" s="17" t="s">
        <v>39</v>
      </c>
      <c r="E322" s="18">
        <f>ROUND(12239*1.05,2)</f>
      </c>
      <c r="F322" s="17" t="s">
        <v>40</v>
      </c>
      <c r="G322" s="17" t="s">
        <v>24</v>
      </c>
      <c r="H322" s="18">
        <f>ROUND(RAND()*4+6,1)</f>
      </c>
      <c r="I322" s="17" t="s">
        <v>41</v>
      </c>
      <c r="J322" s="19">
        <f>ROUND(87*1,0)&amp;"%"</f>
      </c>
    </row>
    <row x14ac:dyDescent="0.25" r="323" customHeight="1" ht="17.25">
      <c r="A323" s="20" t="s">
        <v>4888</v>
      </c>
      <c r="B323" s="20" t="s">
        <v>522</v>
      </c>
      <c r="C323" s="20" t="s">
        <v>133</v>
      </c>
      <c r="D323" s="20" t="s">
        <v>67</v>
      </c>
      <c r="E323" s="21">
        <f>ROUND(4470*1.05,2)</f>
      </c>
      <c r="F323" s="20" t="s">
        <v>44</v>
      </c>
      <c r="G323" s="20" t="s">
        <v>30</v>
      </c>
      <c r="H323" s="21">
        <f>ROUND(RAND()*4+6,1)</f>
      </c>
      <c r="I323" s="20" t="s">
        <v>45</v>
      </c>
      <c r="J323" s="23">
        <f>ROUND(79*1,0)&amp;"%"</f>
      </c>
    </row>
    <row x14ac:dyDescent="0.25" r="324" customHeight="1" ht="17.25">
      <c r="A324" s="17" t="s">
        <v>4889</v>
      </c>
      <c r="B324" s="17" t="s">
        <v>524</v>
      </c>
      <c r="C324" s="17" t="s">
        <v>133</v>
      </c>
      <c r="D324" s="17" t="s">
        <v>16</v>
      </c>
      <c r="E324" s="18">
        <f>ROUND(11570*1.05,2)</f>
      </c>
      <c r="F324" s="17" t="s">
        <v>48</v>
      </c>
      <c r="G324" s="17" t="s">
        <v>18</v>
      </c>
      <c r="H324" s="18">
        <f>ROUND(RAND()*4+6,1)</f>
      </c>
      <c r="I324" s="17" t="s">
        <v>19</v>
      </c>
      <c r="J324" s="19">
        <f>ROUND(82*1,0)&amp;"%"</f>
      </c>
    </row>
    <row x14ac:dyDescent="0.25" r="325" customHeight="1" ht="17.25">
      <c r="A325" s="20" t="s">
        <v>4890</v>
      </c>
      <c r="B325" s="20" t="s">
        <v>526</v>
      </c>
      <c r="C325" s="20" t="s">
        <v>133</v>
      </c>
      <c r="D325" s="20" t="s">
        <v>22</v>
      </c>
      <c r="E325" s="21">
        <f>ROUND(6882*1.05,2)</f>
      </c>
      <c r="F325" s="20" t="s">
        <v>51</v>
      </c>
      <c r="G325" s="20" t="s">
        <v>24</v>
      </c>
      <c r="H325" s="21">
        <f>ROUND(RAND()*4+6,1)</f>
      </c>
      <c r="I325" s="20" t="s">
        <v>25</v>
      </c>
      <c r="J325" s="23">
        <f>ROUND(97*1,0)&amp;"%"</f>
      </c>
    </row>
    <row x14ac:dyDescent="0.25" r="326" customHeight="1" ht="17.25">
      <c r="A326" s="24" t="s">
        <v>527</v>
      </c>
      <c r="B326" s="24"/>
      <c r="C326" s="24"/>
      <c r="D326" s="24"/>
      <c r="E326" s="25">
        <v>8</v>
      </c>
      <c r="F326" s="9"/>
      <c r="G326" s="9"/>
      <c r="H326" s="10"/>
      <c r="I326" s="9"/>
      <c r="J326" s="9"/>
    </row>
    <row x14ac:dyDescent="0.25" r="327" customHeight="1" ht="17.25">
      <c r="A327" s="7"/>
      <c r="B327" s="7"/>
      <c r="C327" s="7"/>
      <c r="D327" s="7"/>
      <c r="E327" s="8"/>
      <c r="F327" s="9"/>
      <c r="G327" s="9"/>
      <c r="H327" s="10"/>
      <c r="I327" s="9"/>
      <c r="J327" s="9"/>
    </row>
    <row x14ac:dyDescent="0.25" r="328" customHeight="1" ht="17.25">
      <c r="A328" s="11" t="s">
        <v>4891</v>
      </c>
      <c r="B328" s="11"/>
      <c r="C328" s="11"/>
      <c r="D328" s="11"/>
      <c r="E328" s="12"/>
      <c r="F328" s="11"/>
      <c r="G328" s="11"/>
      <c r="H328" s="13"/>
      <c r="I328" s="11"/>
      <c r="J328" s="11"/>
    </row>
    <row x14ac:dyDescent="0.25" r="329" customHeight="1" ht="17.25">
      <c r="A329" s="14" t="s">
        <v>3</v>
      </c>
      <c r="B329" s="14" t="s">
        <v>4</v>
      </c>
      <c r="C329" s="14" t="s">
        <v>5</v>
      </c>
      <c r="D329" s="14" t="s">
        <v>6</v>
      </c>
      <c r="E329" s="15" t="s">
        <v>7</v>
      </c>
      <c r="F329" s="14" t="s">
        <v>8</v>
      </c>
      <c r="G329" s="14" t="s">
        <v>9</v>
      </c>
      <c r="H329" s="16" t="s">
        <v>10</v>
      </c>
      <c r="I329" s="14" t="s">
        <v>11</v>
      </c>
      <c r="J329" s="14" t="s">
        <v>12</v>
      </c>
    </row>
    <row x14ac:dyDescent="0.25" r="330" customHeight="1" ht="17.25">
      <c r="A330" s="17" t="s">
        <v>4892</v>
      </c>
      <c r="B330" s="17" t="s">
        <v>530</v>
      </c>
      <c r="C330" s="17" t="s">
        <v>152</v>
      </c>
      <c r="D330" s="17" t="s">
        <v>16</v>
      </c>
      <c r="E330" s="18">
        <f>ROUND(8067*1.05,2)</f>
      </c>
      <c r="F330" s="17" t="s">
        <v>17</v>
      </c>
      <c r="G330" s="17" t="s">
        <v>18</v>
      </c>
      <c r="H330" s="18">
        <f>ROUND(RAND()*4+6,1)</f>
      </c>
      <c r="I330" s="17" t="s">
        <v>19</v>
      </c>
      <c r="J330" s="19">
        <f>ROUND(97*1,0)&amp;"%"</f>
      </c>
    </row>
    <row x14ac:dyDescent="0.25" r="331" customHeight="1" ht="17.25">
      <c r="A331" s="20" t="s">
        <v>4893</v>
      </c>
      <c r="B331" s="20" t="s">
        <v>532</v>
      </c>
      <c r="C331" s="20" t="s">
        <v>152</v>
      </c>
      <c r="D331" s="20" t="s">
        <v>22</v>
      </c>
      <c r="E331" s="21">
        <f>ROUND(7707*1.05,2)</f>
      </c>
      <c r="F331" s="20" t="s">
        <v>23</v>
      </c>
      <c r="G331" s="20" t="s">
        <v>24</v>
      </c>
      <c r="H331" s="21">
        <f>ROUND(RAND()*4+6,1)</f>
      </c>
      <c r="I331" s="20" t="s">
        <v>25</v>
      </c>
      <c r="J331" s="23">
        <f>ROUND(97*1,0)&amp;"%"</f>
      </c>
    </row>
    <row x14ac:dyDescent="0.25" r="332" customHeight="1" ht="17.25">
      <c r="A332" s="17" t="s">
        <v>4894</v>
      </c>
      <c r="B332" s="17" t="s">
        <v>534</v>
      </c>
      <c r="C332" s="17" t="s">
        <v>152</v>
      </c>
      <c r="D332" s="17" t="s">
        <v>28</v>
      </c>
      <c r="E332" s="18">
        <f>ROUND(5096*1.05,2)</f>
      </c>
      <c r="F332" s="17" t="s">
        <v>29</v>
      </c>
      <c r="G332" s="17" t="s">
        <v>30</v>
      </c>
      <c r="H332" s="18">
        <f>ROUND(RAND()*4+6,1)</f>
      </c>
      <c r="I332" s="17" t="s">
        <v>31</v>
      </c>
      <c r="J332" s="19">
        <f>ROUND(64*1,0)&amp;"%"</f>
      </c>
    </row>
    <row x14ac:dyDescent="0.25" r="333" customHeight="1" ht="17.25">
      <c r="A333" s="20" t="s">
        <v>4895</v>
      </c>
      <c r="B333" s="20" t="s">
        <v>536</v>
      </c>
      <c r="C333" s="20" t="s">
        <v>152</v>
      </c>
      <c r="D333" s="20" t="s">
        <v>34</v>
      </c>
      <c r="E333" s="21">
        <f>ROUND(8589*1.05,2)</f>
      </c>
      <c r="F333" s="20" t="s">
        <v>35</v>
      </c>
      <c r="G333" s="20" t="s">
        <v>18</v>
      </c>
      <c r="H333" s="21">
        <f>ROUND(RAND()*4+6,1)</f>
      </c>
      <c r="I333" s="20" t="s">
        <v>36</v>
      </c>
      <c r="J333" s="23">
        <f>ROUND(76*1,0)&amp;"%"</f>
      </c>
    </row>
    <row x14ac:dyDescent="0.25" r="334" customHeight="1" ht="17.25">
      <c r="A334" s="17" t="s">
        <v>4896</v>
      </c>
      <c r="B334" s="17" t="s">
        <v>538</v>
      </c>
      <c r="C334" s="17" t="s">
        <v>152</v>
      </c>
      <c r="D334" s="17" t="s">
        <v>39</v>
      </c>
      <c r="E334" s="18">
        <f>ROUND(10925*1.05,2)</f>
      </c>
      <c r="F334" s="17" t="s">
        <v>40</v>
      </c>
      <c r="G334" s="17" t="s">
        <v>24</v>
      </c>
      <c r="H334" s="18">
        <f>ROUND(RAND()*4+6,1)</f>
      </c>
      <c r="I334" s="17" t="s">
        <v>41</v>
      </c>
      <c r="J334" s="19">
        <f>ROUND(73*1,0)&amp;"%"</f>
      </c>
    </row>
    <row x14ac:dyDescent="0.25" r="335" customHeight="1" ht="17.25">
      <c r="A335" s="20" t="s">
        <v>4897</v>
      </c>
      <c r="B335" s="20" t="s">
        <v>540</v>
      </c>
      <c r="C335" s="20" t="s">
        <v>152</v>
      </c>
      <c r="D335" s="20" t="s">
        <v>67</v>
      </c>
      <c r="E335" s="21">
        <f>ROUND(8652*1.05,2)</f>
      </c>
      <c r="F335" s="20" t="s">
        <v>44</v>
      </c>
      <c r="G335" s="20" t="s">
        <v>30</v>
      </c>
      <c r="H335" s="21">
        <f>ROUND(RAND()*4+6,1)</f>
      </c>
      <c r="I335" s="20" t="s">
        <v>45</v>
      </c>
      <c r="J335" s="23">
        <f>ROUND(70*1,0)&amp;"%"</f>
      </c>
    </row>
    <row x14ac:dyDescent="0.25" r="336" customHeight="1" ht="17.25">
      <c r="A336" s="17" t="s">
        <v>4898</v>
      </c>
      <c r="B336" s="17" t="s">
        <v>542</v>
      </c>
      <c r="C336" s="17" t="s">
        <v>152</v>
      </c>
      <c r="D336" s="17" t="s">
        <v>16</v>
      </c>
      <c r="E336" s="18">
        <f>ROUND(8194*1.05,2)</f>
      </c>
      <c r="F336" s="17" t="s">
        <v>48</v>
      </c>
      <c r="G336" s="17" t="s">
        <v>18</v>
      </c>
      <c r="H336" s="18">
        <f>ROUND(RAND()*4+6,1)</f>
      </c>
      <c r="I336" s="17" t="s">
        <v>19</v>
      </c>
      <c r="J336" s="19">
        <f>ROUND(71*1,0)&amp;"%"</f>
      </c>
    </row>
    <row x14ac:dyDescent="0.25" r="337" customHeight="1" ht="17.25">
      <c r="A337" s="20" t="s">
        <v>4899</v>
      </c>
      <c r="B337" s="20" t="s">
        <v>544</v>
      </c>
      <c r="C337" s="20" t="s">
        <v>152</v>
      </c>
      <c r="D337" s="20" t="s">
        <v>22</v>
      </c>
      <c r="E337" s="21">
        <f>ROUND(9206*1.05,2)</f>
      </c>
      <c r="F337" s="20" t="s">
        <v>51</v>
      </c>
      <c r="G337" s="20" t="s">
        <v>24</v>
      </c>
      <c r="H337" s="21">
        <f>ROUND(RAND()*4+6,1)</f>
      </c>
      <c r="I337" s="20" t="s">
        <v>25</v>
      </c>
      <c r="J337" s="23">
        <f>ROUND(61*1,0)&amp;"%"</f>
      </c>
    </row>
    <row x14ac:dyDescent="0.25" r="338" customHeight="1" ht="17.25">
      <c r="A338" s="24" t="s">
        <v>545</v>
      </c>
      <c r="B338" s="24"/>
      <c r="C338" s="24"/>
      <c r="D338" s="24"/>
      <c r="E338" s="25">
        <v>8</v>
      </c>
      <c r="F338" s="9"/>
      <c r="G338" s="9"/>
      <c r="H338" s="10"/>
      <c r="I338" s="9"/>
      <c r="J338" s="9"/>
    </row>
    <row x14ac:dyDescent="0.25" r="339" customHeight="1" ht="17.25">
      <c r="A339" s="7"/>
      <c r="B339" s="7"/>
      <c r="C339" s="7"/>
      <c r="D339" s="7"/>
      <c r="E339" s="8"/>
      <c r="F339" s="9"/>
      <c r="G339" s="9"/>
      <c r="H339" s="10"/>
      <c r="I339" s="9"/>
      <c r="J339" s="9"/>
    </row>
    <row x14ac:dyDescent="0.25" r="340" customHeight="1" ht="17.25">
      <c r="A340" s="11" t="s">
        <v>4900</v>
      </c>
      <c r="B340" s="11"/>
      <c r="C340" s="11"/>
      <c r="D340" s="11"/>
      <c r="E340" s="12"/>
      <c r="F340" s="11"/>
      <c r="G340" s="11"/>
      <c r="H340" s="13"/>
      <c r="I340" s="11"/>
      <c r="J340" s="11"/>
    </row>
    <row x14ac:dyDescent="0.25" r="341" customHeight="1" ht="17.25">
      <c r="A341" s="14" t="s">
        <v>3</v>
      </c>
      <c r="B341" s="14" t="s">
        <v>4</v>
      </c>
      <c r="C341" s="14" t="s">
        <v>5</v>
      </c>
      <c r="D341" s="14" t="s">
        <v>6</v>
      </c>
      <c r="E341" s="15" t="s">
        <v>7</v>
      </c>
      <c r="F341" s="14" t="s">
        <v>8</v>
      </c>
      <c r="G341" s="14" t="s">
        <v>9</v>
      </c>
      <c r="H341" s="16" t="s">
        <v>10</v>
      </c>
      <c r="I341" s="14" t="s">
        <v>11</v>
      </c>
      <c r="J341" s="14" t="s">
        <v>12</v>
      </c>
    </row>
    <row x14ac:dyDescent="0.25" r="342" customHeight="1" ht="17.25">
      <c r="A342" s="17" t="s">
        <v>4901</v>
      </c>
      <c r="B342" s="17" t="s">
        <v>548</v>
      </c>
      <c r="C342" s="17" t="s">
        <v>15</v>
      </c>
      <c r="D342" s="17" t="s">
        <v>16</v>
      </c>
      <c r="E342" s="18">
        <f>ROUND(14595*1.05,2)</f>
      </c>
      <c r="F342" s="17" t="s">
        <v>17</v>
      </c>
      <c r="G342" s="17" t="s">
        <v>18</v>
      </c>
      <c r="H342" s="18">
        <f>ROUND(RAND()*4+6,1)</f>
      </c>
      <c r="I342" s="17" t="s">
        <v>19</v>
      </c>
      <c r="J342" s="19">
        <f>ROUND(95*1,0)&amp;"%"</f>
      </c>
    </row>
    <row x14ac:dyDescent="0.25" r="343" customHeight="1" ht="17.25">
      <c r="A343" s="20" t="s">
        <v>4902</v>
      </c>
      <c r="B343" s="20" t="s">
        <v>550</v>
      </c>
      <c r="C343" s="20" t="s">
        <v>15</v>
      </c>
      <c r="D343" s="20" t="s">
        <v>22</v>
      </c>
      <c r="E343" s="21">
        <f>ROUND(6109*1.05,2)</f>
      </c>
      <c r="F343" s="20" t="s">
        <v>23</v>
      </c>
      <c r="G343" s="20" t="s">
        <v>24</v>
      </c>
      <c r="H343" s="21">
        <f>ROUND(RAND()*4+6,1)</f>
      </c>
      <c r="I343" s="20" t="s">
        <v>25</v>
      </c>
      <c r="J343" s="23">
        <f>ROUND(64*1,0)&amp;"%"</f>
      </c>
    </row>
    <row x14ac:dyDescent="0.25" r="344" customHeight="1" ht="17.25">
      <c r="A344" s="17" t="s">
        <v>4903</v>
      </c>
      <c r="B344" s="17" t="s">
        <v>552</v>
      </c>
      <c r="C344" s="17" t="s">
        <v>15</v>
      </c>
      <c r="D344" s="17" t="s">
        <v>28</v>
      </c>
      <c r="E344" s="18">
        <f>ROUND(4654*1.05,2)</f>
      </c>
      <c r="F344" s="17" t="s">
        <v>29</v>
      </c>
      <c r="G344" s="17" t="s">
        <v>30</v>
      </c>
      <c r="H344" s="18">
        <f>ROUND(RAND()*4+6,1)</f>
      </c>
      <c r="I344" s="17" t="s">
        <v>31</v>
      </c>
      <c r="J344" s="19">
        <f>ROUND(77*1,0)&amp;"%"</f>
      </c>
    </row>
    <row x14ac:dyDescent="0.25" r="345" customHeight="1" ht="17.25">
      <c r="A345" s="20" t="s">
        <v>4904</v>
      </c>
      <c r="B345" s="20" t="s">
        <v>554</v>
      </c>
      <c r="C345" s="20" t="s">
        <v>15</v>
      </c>
      <c r="D345" s="20" t="s">
        <v>34</v>
      </c>
      <c r="E345" s="21">
        <f>ROUND(10039*1.05,2)</f>
      </c>
      <c r="F345" s="20" t="s">
        <v>35</v>
      </c>
      <c r="G345" s="20" t="s">
        <v>18</v>
      </c>
      <c r="H345" s="21">
        <f>ROUND(RAND()*4+6,1)</f>
      </c>
      <c r="I345" s="20" t="s">
        <v>36</v>
      </c>
      <c r="J345" s="23">
        <f>ROUND(76*1,0)&amp;"%"</f>
      </c>
    </row>
    <row x14ac:dyDescent="0.25" r="346" customHeight="1" ht="17.25">
      <c r="A346" s="17" t="s">
        <v>4905</v>
      </c>
      <c r="B346" s="17" t="s">
        <v>556</v>
      </c>
      <c r="C346" s="17" t="s">
        <v>15</v>
      </c>
      <c r="D346" s="17" t="s">
        <v>39</v>
      </c>
      <c r="E346" s="18">
        <f>ROUND(11309*1.05,2)</f>
      </c>
      <c r="F346" s="17" t="s">
        <v>40</v>
      </c>
      <c r="G346" s="17" t="s">
        <v>24</v>
      </c>
      <c r="H346" s="26">
        <f>ROUND(RAND()*4+6,1)</f>
      </c>
      <c r="I346" s="17" t="s">
        <v>41</v>
      </c>
      <c r="J346" s="19">
        <f>ROUND(74*1,0)&amp;"%"</f>
      </c>
    </row>
    <row x14ac:dyDescent="0.25" r="347" customHeight="1" ht="17.25">
      <c r="A347" s="20" t="s">
        <v>4906</v>
      </c>
      <c r="B347" s="20" t="s">
        <v>558</v>
      </c>
      <c r="C347" s="20" t="s">
        <v>15</v>
      </c>
      <c r="D347" s="20" t="s">
        <v>67</v>
      </c>
      <c r="E347" s="21">
        <f>ROUND(10976*1.05,2)</f>
      </c>
      <c r="F347" s="20" t="s">
        <v>44</v>
      </c>
      <c r="G347" s="20" t="s">
        <v>30</v>
      </c>
      <c r="H347" s="21">
        <f>ROUND(RAND()*4+6,1)</f>
      </c>
      <c r="I347" s="20" t="s">
        <v>45</v>
      </c>
      <c r="J347" s="23">
        <f>ROUND(68*1,0)&amp;"%"</f>
      </c>
    </row>
    <row x14ac:dyDescent="0.25" r="348" customHeight="1" ht="17.25">
      <c r="A348" s="17" t="s">
        <v>4907</v>
      </c>
      <c r="B348" s="17" t="s">
        <v>560</v>
      </c>
      <c r="C348" s="17" t="s">
        <v>15</v>
      </c>
      <c r="D348" s="17" t="s">
        <v>16</v>
      </c>
      <c r="E348" s="18">
        <f>ROUND(9182*1.05,2)</f>
      </c>
      <c r="F348" s="17" t="s">
        <v>48</v>
      </c>
      <c r="G348" s="17" t="s">
        <v>18</v>
      </c>
      <c r="H348" s="18">
        <f>ROUND(RAND()*4+6,1)</f>
      </c>
      <c r="I348" s="17" t="s">
        <v>19</v>
      </c>
      <c r="J348" s="19">
        <f>ROUND(78*1,0)&amp;"%"</f>
      </c>
    </row>
    <row x14ac:dyDescent="0.25" r="349" customHeight="1" ht="17.25">
      <c r="A349" s="20" t="s">
        <v>4908</v>
      </c>
      <c r="B349" s="20" t="s">
        <v>562</v>
      </c>
      <c r="C349" s="20" t="s">
        <v>15</v>
      </c>
      <c r="D349" s="20" t="s">
        <v>22</v>
      </c>
      <c r="E349" s="21">
        <f>ROUND(14741*1.05,2)</f>
      </c>
      <c r="F349" s="20" t="s">
        <v>51</v>
      </c>
      <c r="G349" s="20" t="s">
        <v>24</v>
      </c>
      <c r="H349" s="21">
        <f>ROUND(RAND()*4+6,1)</f>
      </c>
      <c r="I349" s="20" t="s">
        <v>25</v>
      </c>
      <c r="J349" s="23">
        <f>ROUND(79*1,0)&amp;"%"</f>
      </c>
    </row>
    <row x14ac:dyDescent="0.25" r="350" customHeight="1" ht="17.25">
      <c r="A350" s="24" t="s">
        <v>563</v>
      </c>
      <c r="B350" s="24"/>
      <c r="C350" s="24"/>
      <c r="D350" s="24"/>
      <c r="E350" s="25">
        <v>8</v>
      </c>
      <c r="F350" s="9"/>
      <c r="G350" s="9"/>
      <c r="H350" s="10"/>
      <c r="I350" s="9"/>
      <c r="J350" s="9"/>
    </row>
    <row x14ac:dyDescent="0.25" r="351" customHeight="1" ht="17.25">
      <c r="A351" s="7"/>
      <c r="B351" s="7"/>
      <c r="C351" s="7"/>
      <c r="D351" s="7"/>
      <c r="E351" s="8"/>
      <c r="F351" s="9"/>
      <c r="G351" s="9"/>
      <c r="H351" s="10"/>
      <c r="I351" s="9"/>
      <c r="J351" s="9"/>
    </row>
    <row x14ac:dyDescent="0.25" r="352" customHeight="1" ht="17.25">
      <c r="A352" s="11" t="s">
        <v>4909</v>
      </c>
      <c r="B352" s="11"/>
      <c r="C352" s="11"/>
      <c r="D352" s="11"/>
      <c r="E352" s="12"/>
      <c r="F352" s="11"/>
      <c r="G352" s="11"/>
      <c r="H352" s="13"/>
      <c r="I352" s="11"/>
      <c r="J352" s="11"/>
    </row>
    <row x14ac:dyDescent="0.25" r="353" customHeight="1" ht="17.25">
      <c r="A353" s="14" t="s">
        <v>3</v>
      </c>
      <c r="B353" s="14" t="s">
        <v>4</v>
      </c>
      <c r="C353" s="14" t="s">
        <v>5</v>
      </c>
      <c r="D353" s="14" t="s">
        <v>6</v>
      </c>
      <c r="E353" s="15" t="s">
        <v>7</v>
      </c>
      <c r="F353" s="14" t="s">
        <v>8</v>
      </c>
      <c r="G353" s="14" t="s">
        <v>9</v>
      </c>
      <c r="H353" s="16" t="s">
        <v>10</v>
      </c>
      <c r="I353" s="14" t="s">
        <v>11</v>
      </c>
      <c r="J353" s="14" t="s">
        <v>12</v>
      </c>
    </row>
    <row x14ac:dyDescent="0.25" r="354" customHeight="1" ht="17.25">
      <c r="A354" s="17" t="s">
        <v>4910</v>
      </c>
      <c r="B354" s="17" t="s">
        <v>566</v>
      </c>
      <c r="C354" s="17" t="s">
        <v>56</v>
      </c>
      <c r="D354" s="17" t="s">
        <v>16</v>
      </c>
      <c r="E354" s="18">
        <f>ROUND(6813*1.05,2)</f>
      </c>
      <c r="F354" s="17" t="s">
        <v>17</v>
      </c>
      <c r="G354" s="17" t="s">
        <v>18</v>
      </c>
      <c r="H354" s="18">
        <f>ROUND(RAND()*4+6,1)</f>
      </c>
      <c r="I354" s="17" t="s">
        <v>19</v>
      </c>
      <c r="J354" s="19">
        <f>ROUND(93*1,0)&amp;"%"</f>
      </c>
    </row>
    <row x14ac:dyDescent="0.25" r="355" customHeight="1" ht="17.25">
      <c r="A355" s="20" t="s">
        <v>4911</v>
      </c>
      <c r="B355" s="20" t="s">
        <v>568</v>
      </c>
      <c r="C355" s="20" t="s">
        <v>56</v>
      </c>
      <c r="D355" s="20" t="s">
        <v>22</v>
      </c>
      <c r="E355" s="22">
        <f>ROUND(5520*1.05,2)</f>
      </c>
      <c r="F355" s="20" t="s">
        <v>23</v>
      </c>
      <c r="G355" s="20" t="s">
        <v>24</v>
      </c>
      <c r="H355" s="21">
        <f>ROUND(RAND()*4+6,1)</f>
      </c>
      <c r="I355" s="20" t="s">
        <v>25</v>
      </c>
      <c r="J355" s="23">
        <f>ROUND(71*1,0)&amp;"%"</f>
      </c>
    </row>
    <row x14ac:dyDescent="0.25" r="356" customHeight="1" ht="17.25">
      <c r="A356" s="17" t="s">
        <v>4912</v>
      </c>
      <c r="B356" s="17" t="s">
        <v>570</v>
      </c>
      <c r="C356" s="17" t="s">
        <v>56</v>
      </c>
      <c r="D356" s="17" t="s">
        <v>28</v>
      </c>
      <c r="E356" s="18">
        <f>ROUND(16967*1.05,2)</f>
      </c>
      <c r="F356" s="17" t="s">
        <v>29</v>
      </c>
      <c r="G356" s="17" t="s">
        <v>30</v>
      </c>
      <c r="H356" s="18">
        <f>ROUND(RAND()*4+6,1)</f>
      </c>
      <c r="I356" s="17" t="s">
        <v>31</v>
      </c>
      <c r="J356" s="19">
        <f>ROUND(81*1,0)&amp;"%"</f>
      </c>
    </row>
    <row x14ac:dyDescent="0.25" r="357" customHeight="1" ht="17.25">
      <c r="A357" s="20" t="s">
        <v>4913</v>
      </c>
      <c r="B357" s="20" t="s">
        <v>572</v>
      </c>
      <c r="C357" s="20" t="s">
        <v>56</v>
      </c>
      <c r="D357" s="20" t="s">
        <v>34</v>
      </c>
      <c r="E357" s="21">
        <f>ROUND(13617*1.05,2)</f>
      </c>
      <c r="F357" s="20" t="s">
        <v>35</v>
      </c>
      <c r="G357" s="20" t="s">
        <v>18</v>
      </c>
      <c r="H357" s="21">
        <f>ROUND(RAND()*4+6,1)</f>
      </c>
      <c r="I357" s="20" t="s">
        <v>36</v>
      </c>
      <c r="J357" s="23">
        <f>ROUND(84*1,0)&amp;"%"</f>
      </c>
    </row>
    <row x14ac:dyDescent="0.25" r="358" customHeight="1" ht="17.25">
      <c r="A358" s="17" t="s">
        <v>4914</v>
      </c>
      <c r="B358" s="17" t="s">
        <v>574</v>
      </c>
      <c r="C358" s="17" t="s">
        <v>56</v>
      </c>
      <c r="D358" s="17" t="s">
        <v>39</v>
      </c>
      <c r="E358" s="18">
        <f>ROUND(14970*1.05,2)</f>
      </c>
      <c r="F358" s="17" t="s">
        <v>40</v>
      </c>
      <c r="G358" s="17" t="s">
        <v>24</v>
      </c>
      <c r="H358" s="18">
        <f>ROUND(RAND()*4+6,1)</f>
      </c>
      <c r="I358" s="17" t="s">
        <v>41</v>
      </c>
      <c r="J358" s="19">
        <f>ROUND(93*1,0)&amp;"%"</f>
      </c>
    </row>
    <row x14ac:dyDescent="0.25" r="359" customHeight="1" ht="17.25">
      <c r="A359" s="20" t="s">
        <v>4915</v>
      </c>
      <c r="B359" s="20" t="s">
        <v>576</v>
      </c>
      <c r="C359" s="20" t="s">
        <v>56</v>
      </c>
      <c r="D359" s="20" t="s">
        <v>67</v>
      </c>
      <c r="E359" s="21">
        <f>ROUND(10384*1.05,2)</f>
      </c>
      <c r="F359" s="20" t="s">
        <v>44</v>
      </c>
      <c r="G359" s="20" t="s">
        <v>30</v>
      </c>
      <c r="H359" s="21">
        <f>ROUND(RAND()*4+6,1)</f>
      </c>
      <c r="I359" s="20" t="s">
        <v>45</v>
      </c>
      <c r="J359" s="23">
        <f>ROUND(79*1,0)&amp;"%"</f>
      </c>
    </row>
    <row x14ac:dyDescent="0.25" r="360" customHeight="1" ht="17.25">
      <c r="A360" s="17" t="s">
        <v>4916</v>
      </c>
      <c r="B360" s="17" t="s">
        <v>578</v>
      </c>
      <c r="C360" s="17" t="s">
        <v>56</v>
      </c>
      <c r="D360" s="17" t="s">
        <v>16</v>
      </c>
      <c r="E360" s="18">
        <f>ROUND(5353*1.05,2)</f>
      </c>
      <c r="F360" s="17" t="s">
        <v>48</v>
      </c>
      <c r="G360" s="17" t="s">
        <v>18</v>
      </c>
      <c r="H360" s="18">
        <f>ROUND(RAND()*4+6,1)</f>
      </c>
      <c r="I360" s="17" t="s">
        <v>19</v>
      </c>
      <c r="J360" s="19">
        <f>ROUND(82*1,0)&amp;"%"</f>
      </c>
    </row>
    <row x14ac:dyDescent="0.25" r="361" customHeight="1" ht="17.25">
      <c r="A361" s="20" t="s">
        <v>4917</v>
      </c>
      <c r="B361" s="20" t="s">
        <v>580</v>
      </c>
      <c r="C361" s="20" t="s">
        <v>56</v>
      </c>
      <c r="D361" s="20" t="s">
        <v>22</v>
      </c>
      <c r="E361" s="21">
        <f>ROUND(14747*1.05,2)</f>
      </c>
      <c r="F361" s="20" t="s">
        <v>51</v>
      </c>
      <c r="G361" s="20" t="s">
        <v>24</v>
      </c>
      <c r="H361" s="21">
        <f>ROUND(RAND()*4+6,1)</f>
      </c>
      <c r="I361" s="20" t="s">
        <v>25</v>
      </c>
      <c r="J361" s="23">
        <f>ROUND(84*1,0)&amp;"%"</f>
      </c>
    </row>
    <row x14ac:dyDescent="0.25" r="362" customHeight="1" ht="17.25">
      <c r="A362" s="24" t="s">
        <v>581</v>
      </c>
      <c r="B362" s="24"/>
      <c r="C362" s="24"/>
      <c r="D362" s="24"/>
      <c r="E362" s="25">
        <v>8</v>
      </c>
      <c r="F362" s="9"/>
      <c r="G362" s="9"/>
      <c r="H362" s="10"/>
      <c r="I362" s="9"/>
      <c r="J362" s="9"/>
    </row>
  </sheetData>
  <mergeCells count="62">
    <mergeCell ref="A1:J1"/>
    <mergeCell ref="A2:J2"/>
    <mergeCell ref="A4:J4"/>
    <mergeCell ref="A14:D14"/>
    <mergeCell ref="A16:J16"/>
    <mergeCell ref="A26:D26"/>
    <mergeCell ref="A28:J28"/>
    <mergeCell ref="A38:D38"/>
    <mergeCell ref="A40:J40"/>
    <mergeCell ref="A50:D50"/>
    <mergeCell ref="A52:J52"/>
    <mergeCell ref="A62:D62"/>
    <mergeCell ref="A64:J64"/>
    <mergeCell ref="A74:D74"/>
    <mergeCell ref="A76:J76"/>
    <mergeCell ref="A86:D86"/>
    <mergeCell ref="A88:J88"/>
    <mergeCell ref="A98:D98"/>
    <mergeCell ref="A100:J100"/>
    <mergeCell ref="A110:D110"/>
    <mergeCell ref="A112:J112"/>
    <mergeCell ref="A122:D122"/>
    <mergeCell ref="A124:J124"/>
    <mergeCell ref="A134:D134"/>
    <mergeCell ref="A136:J136"/>
    <mergeCell ref="A146:D146"/>
    <mergeCell ref="A148:J148"/>
    <mergeCell ref="A158:D158"/>
    <mergeCell ref="A160:J160"/>
    <mergeCell ref="A170:D170"/>
    <mergeCell ref="A172:J172"/>
    <mergeCell ref="A182:D182"/>
    <mergeCell ref="A184:J184"/>
    <mergeCell ref="A194:D194"/>
    <mergeCell ref="A196:J196"/>
    <mergeCell ref="A206:D206"/>
    <mergeCell ref="A208:J208"/>
    <mergeCell ref="A218:D218"/>
    <mergeCell ref="A220:J220"/>
    <mergeCell ref="A230:D230"/>
    <mergeCell ref="A232:J232"/>
    <mergeCell ref="A242:D242"/>
    <mergeCell ref="A244:J244"/>
    <mergeCell ref="A254:D254"/>
    <mergeCell ref="A256:J256"/>
    <mergeCell ref="A266:D266"/>
    <mergeCell ref="A268:J268"/>
    <mergeCell ref="A278:D278"/>
    <mergeCell ref="A280:J280"/>
    <mergeCell ref="A290:D290"/>
    <mergeCell ref="A292:J292"/>
    <mergeCell ref="A302:D302"/>
    <mergeCell ref="A304:J304"/>
    <mergeCell ref="A314:D314"/>
    <mergeCell ref="A316:J316"/>
    <mergeCell ref="A326:D326"/>
    <mergeCell ref="A328:J328"/>
    <mergeCell ref="A338:D338"/>
    <mergeCell ref="A340:J340"/>
    <mergeCell ref="A350:D350"/>
    <mergeCell ref="A352:J352"/>
    <mergeCell ref="A362:D362"/>
  </mergeCells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J362"/>
  <sheetViews>
    <sheetView workbookViewId="0"/>
  </sheetViews>
  <sheetFormatPr defaultRowHeight="15" x14ac:dyDescent="0.25"/>
  <cols>
    <col min="1" max="1" style="27" width="8.005" customWidth="1" bestFit="1"/>
    <col min="2" max="2" style="27" width="22.005" customWidth="1" bestFit="1"/>
    <col min="3" max="3" style="27" width="16.005" customWidth="1" bestFit="1"/>
    <col min="4" max="4" style="27" width="14.005" customWidth="1" bestFit="1"/>
    <col min="5" max="5" style="28" width="12.005" customWidth="1" bestFit="1"/>
    <col min="6" max="6" style="29" width="16.005" customWidth="1" bestFit="1"/>
    <col min="7" max="7" style="29" width="10.005" customWidth="1" bestFit="1"/>
    <col min="8" max="8" style="30" width="10.005" customWidth="1" bestFit="1"/>
    <col min="9" max="9" style="29" width="14.005" customWidth="1" bestFit="1"/>
    <col min="10" max="10" style="29" width="8.005" customWidth="1" bestFit="1"/>
  </cols>
  <sheetData>
    <row x14ac:dyDescent="0.25" r="1" customHeight="1" ht="17.25">
      <c r="A1" s="1" t="s">
        <v>4376</v>
      </c>
      <c r="B1" s="1"/>
      <c r="C1" s="1"/>
      <c r="D1" s="1"/>
      <c r="E1" s="2"/>
      <c r="F1" s="1"/>
      <c r="G1" s="1"/>
      <c r="H1" s="3"/>
      <c r="I1" s="1"/>
      <c r="J1" s="1"/>
    </row>
    <row x14ac:dyDescent="0.25" r="2" customHeight="1" ht="17.25">
      <c r="A2" s="4" t="s">
        <v>1</v>
      </c>
      <c r="B2" s="4"/>
      <c r="C2" s="4"/>
      <c r="D2" s="4"/>
      <c r="E2" s="5"/>
      <c r="F2" s="4"/>
      <c r="G2" s="4"/>
      <c r="H2" s="6"/>
      <c r="I2" s="4"/>
      <c r="J2" s="4"/>
    </row>
    <row x14ac:dyDescent="0.25" r="3" customHeight="1" ht="17.25">
      <c r="A3" s="7"/>
      <c r="B3" s="7"/>
      <c r="C3" s="7"/>
      <c r="D3" s="7"/>
      <c r="E3" s="8"/>
      <c r="F3" s="9"/>
      <c r="G3" s="9"/>
      <c r="H3" s="10"/>
      <c r="I3" s="9"/>
      <c r="J3" s="9"/>
    </row>
    <row x14ac:dyDescent="0.25" r="4" customHeight="1" ht="17.25">
      <c r="A4" s="11" t="s">
        <v>4377</v>
      </c>
      <c r="B4" s="11"/>
      <c r="C4" s="11"/>
      <c r="D4" s="11"/>
      <c r="E4" s="12"/>
      <c r="F4" s="11"/>
      <c r="G4" s="11"/>
      <c r="H4" s="13"/>
      <c r="I4" s="11"/>
      <c r="J4" s="11"/>
    </row>
    <row x14ac:dyDescent="0.25" r="5" customHeight="1" ht="17.25">
      <c r="A5" s="14" t="s">
        <v>3</v>
      </c>
      <c r="B5" s="14" t="s">
        <v>4</v>
      </c>
      <c r="C5" s="14" t="s">
        <v>5</v>
      </c>
      <c r="D5" s="14" t="s">
        <v>6</v>
      </c>
      <c r="E5" s="15" t="s">
        <v>7</v>
      </c>
      <c r="F5" s="14" t="s">
        <v>8</v>
      </c>
      <c r="G5" s="14" t="s">
        <v>9</v>
      </c>
      <c r="H5" s="16" t="s">
        <v>10</v>
      </c>
      <c r="I5" s="14" t="s">
        <v>11</v>
      </c>
      <c r="J5" s="14" t="s">
        <v>12</v>
      </c>
    </row>
    <row x14ac:dyDescent="0.25" r="6" customHeight="1" ht="17.25">
      <c r="A6" s="17" t="s">
        <v>4378</v>
      </c>
      <c r="B6" s="17" t="s">
        <v>14</v>
      </c>
      <c r="C6" s="17" t="s">
        <v>15</v>
      </c>
      <c r="D6" s="17" t="s">
        <v>16</v>
      </c>
      <c r="E6" s="18">
        <f>ROUND(7596*1.05,2)</f>
      </c>
      <c r="F6" s="17" t="s">
        <v>17</v>
      </c>
      <c r="G6" s="17" t="s">
        <v>18</v>
      </c>
      <c r="H6" s="26">
        <f>ROUND(RAND()*4+6,1)</f>
      </c>
      <c r="I6" s="17" t="s">
        <v>19</v>
      </c>
      <c r="J6" s="19">
        <f>ROUND(64*1,0)&amp;"%"</f>
      </c>
    </row>
    <row x14ac:dyDescent="0.25" r="7" customHeight="1" ht="17.25">
      <c r="A7" s="20" t="s">
        <v>4379</v>
      </c>
      <c r="B7" s="20" t="s">
        <v>21</v>
      </c>
      <c r="C7" s="20" t="s">
        <v>15</v>
      </c>
      <c r="D7" s="20" t="s">
        <v>22</v>
      </c>
      <c r="E7" s="21">
        <f>ROUND(17893*1.05,2)</f>
      </c>
      <c r="F7" s="20" t="s">
        <v>23</v>
      </c>
      <c r="G7" s="20" t="s">
        <v>24</v>
      </c>
      <c r="H7" s="21">
        <f>ROUND(RAND()*4+6,1)</f>
      </c>
      <c r="I7" s="20" t="s">
        <v>25</v>
      </c>
      <c r="J7" s="23">
        <f>ROUND(83*1,0)&amp;"%"</f>
      </c>
    </row>
    <row x14ac:dyDescent="0.25" r="8" customHeight="1" ht="17.25">
      <c r="A8" s="17" t="s">
        <v>4380</v>
      </c>
      <c r="B8" s="17" t="s">
        <v>27</v>
      </c>
      <c r="C8" s="17" t="s">
        <v>15</v>
      </c>
      <c r="D8" s="17" t="s">
        <v>28</v>
      </c>
      <c r="E8" s="18">
        <f>ROUND(6645*1.05,2)</f>
      </c>
      <c r="F8" s="17" t="s">
        <v>29</v>
      </c>
      <c r="G8" s="17" t="s">
        <v>30</v>
      </c>
      <c r="H8" s="18">
        <f>ROUND(RAND()*4+6,1)</f>
      </c>
      <c r="I8" s="17" t="s">
        <v>31</v>
      </c>
      <c r="J8" s="19">
        <f>ROUND(79*1,0)&amp;"%"</f>
      </c>
    </row>
    <row x14ac:dyDescent="0.25" r="9" customHeight="1" ht="17.25">
      <c r="A9" s="20" t="s">
        <v>4381</v>
      </c>
      <c r="B9" s="20" t="s">
        <v>33</v>
      </c>
      <c r="C9" s="20" t="s">
        <v>15</v>
      </c>
      <c r="D9" s="20" t="s">
        <v>34</v>
      </c>
      <c r="E9" s="21">
        <f>ROUND(12353*1.05,2)</f>
      </c>
      <c r="F9" s="20" t="s">
        <v>35</v>
      </c>
      <c r="G9" s="20" t="s">
        <v>18</v>
      </c>
      <c r="H9" s="21">
        <f>ROUND(RAND()*4+6,1)</f>
      </c>
      <c r="I9" s="20" t="s">
        <v>36</v>
      </c>
      <c r="J9" s="23">
        <f>ROUND(90*1,0)&amp;"%"</f>
      </c>
    </row>
    <row x14ac:dyDescent="0.25" r="10" customHeight="1" ht="17.25">
      <c r="A10" s="17" t="s">
        <v>4382</v>
      </c>
      <c r="B10" s="17" t="s">
        <v>38</v>
      </c>
      <c r="C10" s="17" t="s">
        <v>15</v>
      </c>
      <c r="D10" s="17" t="s">
        <v>39</v>
      </c>
      <c r="E10" s="18">
        <f>ROUND(9026*1.05,2)</f>
      </c>
      <c r="F10" s="17" t="s">
        <v>40</v>
      </c>
      <c r="G10" s="17" t="s">
        <v>24</v>
      </c>
      <c r="H10" s="18">
        <f>ROUND(RAND()*4+6,1)</f>
      </c>
      <c r="I10" s="17" t="s">
        <v>41</v>
      </c>
      <c r="J10" s="19">
        <f>ROUND(93*1,0)&amp;"%"</f>
      </c>
    </row>
    <row x14ac:dyDescent="0.25" r="11" customHeight="1" ht="17.25">
      <c r="A11" s="20" t="s">
        <v>4383</v>
      </c>
      <c r="B11" s="20" t="s">
        <v>43</v>
      </c>
      <c r="C11" s="20" t="s">
        <v>15</v>
      </c>
      <c r="D11" s="20" t="s">
        <v>67</v>
      </c>
      <c r="E11" s="21">
        <f>ROUND(6604*1.05,2)</f>
      </c>
      <c r="F11" s="20" t="s">
        <v>44</v>
      </c>
      <c r="G11" s="20" t="s">
        <v>30</v>
      </c>
      <c r="H11" s="22">
        <f>ROUND(RAND()*4+6,1)</f>
      </c>
      <c r="I11" s="20" t="s">
        <v>45</v>
      </c>
      <c r="J11" s="23">
        <f>ROUND(96*1,0)&amp;"%"</f>
      </c>
    </row>
    <row x14ac:dyDescent="0.25" r="12" customHeight="1" ht="17.25">
      <c r="A12" s="17" t="s">
        <v>4384</v>
      </c>
      <c r="B12" s="17" t="s">
        <v>47</v>
      </c>
      <c r="C12" s="17" t="s">
        <v>15</v>
      </c>
      <c r="D12" s="17" t="s">
        <v>16</v>
      </c>
      <c r="E12" s="18">
        <f>ROUND(11184*1.05,2)</f>
      </c>
      <c r="F12" s="17" t="s">
        <v>48</v>
      </c>
      <c r="G12" s="17" t="s">
        <v>18</v>
      </c>
      <c r="H12" s="18">
        <f>ROUND(RAND()*4+6,1)</f>
      </c>
      <c r="I12" s="17" t="s">
        <v>19</v>
      </c>
      <c r="J12" s="19">
        <f>ROUND(63*1,0)&amp;"%"</f>
      </c>
    </row>
    <row x14ac:dyDescent="0.25" r="13" customHeight="1" ht="17.25">
      <c r="A13" s="20" t="s">
        <v>4385</v>
      </c>
      <c r="B13" s="20" t="s">
        <v>50</v>
      </c>
      <c r="C13" s="20" t="s">
        <v>15</v>
      </c>
      <c r="D13" s="20" t="s">
        <v>22</v>
      </c>
      <c r="E13" s="21">
        <f>ROUND(8661*1.05,2)</f>
      </c>
      <c r="F13" s="20" t="s">
        <v>51</v>
      </c>
      <c r="G13" s="20" t="s">
        <v>24</v>
      </c>
      <c r="H13" s="21">
        <f>ROUND(RAND()*4+6,1)</f>
      </c>
      <c r="I13" s="20" t="s">
        <v>25</v>
      </c>
      <c r="J13" s="23">
        <f>ROUND(66*1,0)&amp;"%"</f>
      </c>
    </row>
    <row x14ac:dyDescent="0.25" r="14" customHeight="1" ht="17.25">
      <c r="A14" s="24" t="s">
        <v>52</v>
      </c>
      <c r="B14" s="24"/>
      <c r="C14" s="24"/>
      <c r="D14" s="24"/>
      <c r="E14" s="25">
        <v>8</v>
      </c>
      <c r="F14" s="9"/>
      <c r="G14" s="9"/>
      <c r="H14" s="10"/>
      <c r="I14" s="9"/>
      <c r="J14" s="9"/>
    </row>
    <row x14ac:dyDescent="0.25" r="15" customHeight="1" ht="17.25">
      <c r="A15" s="7"/>
      <c r="B15" s="7"/>
      <c r="C15" s="7"/>
      <c r="D15" s="7"/>
      <c r="E15" s="8"/>
      <c r="F15" s="9"/>
      <c r="G15" s="9"/>
      <c r="H15" s="10"/>
      <c r="I15" s="9"/>
      <c r="J15" s="9"/>
    </row>
    <row x14ac:dyDescent="0.25" r="16" customHeight="1" ht="17.25">
      <c r="A16" s="11" t="s">
        <v>4386</v>
      </c>
      <c r="B16" s="11"/>
      <c r="C16" s="11"/>
      <c r="D16" s="11"/>
      <c r="E16" s="12"/>
      <c r="F16" s="11"/>
      <c r="G16" s="11"/>
      <c r="H16" s="13"/>
      <c r="I16" s="11"/>
      <c r="J16" s="11"/>
    </row>
    <row x14ac:dyDescent="0.25" r="17" customHeight="1" ht="17.25">
      <c r="A17" s="14" t="s">
        <v>3</v>
      </c>
      <c r="B17" s="14" t="s">
        <v>4</v>
      </c>
      <c r="C17" s="14" t="s">
        <v>5</v>
      </c>
      <c r="D17" s="14" t="s">
        <v>6</v>
      </c>
      <c r="E17" s="15" t="s">
        <v>7</v>
      </c>
      <c r="F17" s="14" t="s">
        <v>8</v>
      </c>
      <c r="G17" s="14" t="s">
        <v>9</v>
      </c>
      <c r="H17" s="16" t="s">
        <v>10</v>
      </c>
      <c r="I17" s="14" t="s">
        <v>11</v>
      </c>
      <c r="J17" s="14" t="s">
        <v>12</v>
      </c>
    </row>
    <row x14ac:dyDescent="0.25" r="18" customHeight="1" ht="17.25">
      <c r="A18" s="17" t="s">
        <v>4387</v>
      </c>
      <c r="B18" s="17" t="s">
        <v>55</v>
      </c>
      <c r="C18" s="17" t="s">
        <v>56</v>
      </c>
      <c r="D18" s="17" t="s">
        <v>16</v>
      </c>
      <c r="E18" s="18">
        <f>ROUND(12486*1.05,2)</f>
      </c>
      <c r="F18" s="17" t="s">
        <v>17</v>
      </c>
      <c r="G18" s="17" t="s">
        <v>18</v>
      </c>
      <c r="H18" s="18">
        <f>ROUND(RAND()*4+6,1)</f>
      </c>
      <c r="I18" s="17" t="s">
        <v>19</v>
      </c>
      <c r="J18" s="19">
        <f>ROUND(77*1,0)&amp;"%"</f>
      </c>
    </row>
    <row x14ac:dyDescent="0.25" r="19" customHeight="1" ht="17.25">
      <c r="A19" s="20" t="s">
        <v>4388</v>
      </c>
      <c r="B19" s="20" t="s">
        <v>58</v>
      </c>
      <c r="C19" s="20" t="s">
        <v>56</v>
      </c>
      <c r="D19" s="20" t="s">
        <v>22</v>
      </c>
      <c r="E19" s="21">
        <f>ROUND(16123*1.05,2)</f>
      </c>
      <c r="F19" s="20" t="s">
        <v>23</v>
      </c>
      <c r="G19" s="20" t="s">
        <v>24</v>
      </c>
      <c r="H19" s="21">
        <f>ROUND(RAND()*4+6,1)</f>
      </c>
      <c r="I19" s="20" t="s">
        <v>25</v>
      </c>
      <c r="J19" s="23">
        <f>ROUND(85*1,0)&amp;"%"</f>
      </c>
    </row>
    <row x14ac:dyDescent="0.25" r="20" customHeight="1" ht="17.25">
      <c r="A20" s="17" t="s">
        <v>4389</v>
      </c>
      <c r="B20" s="17" t="s">
        <v>60</v>
      </c>
      <c r="C20" s="17" t="s">
        <v>56</v>
      </c>
      <c r="D20" s="17" t="s">
        <v>28</v>
      </c>
      <c r="E20" s="18">
        <f>ROUND(16759*1.05,2)</f>
      </c>
      <c r="F20" s="17" t="s">
        <v>29</v>
      </c>
      <c r="G20" s="17" t="s">
        <v>30</v>
      </c>
      <c r="H20" s="18">
        <f>ROUND(RAND()*4+6,1)</f>
      </c>
      <c r="I20" s="17" t="s">
        <v>31</v>
      </c>
      <c r="J20" s="19">
        <f>ROUND(83*1,0)&amp;"%"</f>
      </c>
    </row>
    <row x14ac:dyDescent="0.25" r="21" customHeight="1" ht="17.25">
      <c r="A21" s="20" t="s">
        <v>4390</v>
      </c>
      <c r="B21" s="20" t="s">
        <v>62</v>
      </c>
      <c r="C21" s="20" t="s">
        <v>56</v>
      </c>
      <c r="D21" s="20" t="s">
        <v>34</v>
      </c>
      <c r="E21" s="21">
        <f>ROUND(8652*1.05,2)</f>
      </c>
      <c r="F21" s="20" t="s">
        <v>35</v>
      </c>
      <c r="G21" s="20" t="s">
        <v>18</v>
      </c>
      <c r="H21" s="21">
        <f>ROUND(RAND()*4+6,1)</f>
      </c>
      <c r="I21" s="20" t="s">
        <v>36</v>
      </c>
      <c r="J21" s="23">
        <f>ROUND(98*1,0)&amp;"%"</f>
      </c>
    </row>
    <row x14ac:dyDescent="0.25" r="22" customHeight="1" ht="17.25">
      <c r="A22" s="17" t="s">
        <v>4391</v>
      </c>
      <c r="B22" s="17" t="s">
        <v>64</v>
      </c>
      <c r="C22" s="17" t="s">
        <v>56</v>
      </c>
      <c r="D22" s="17" t="s">
        <v>39</v>
      </c>
      <c r="E22" s="18">
        <f>ROUND(4979*1.05,2)</f>
      </c>
      <c r="F22" s="17" t="s">
        <v>40</v>
      </c>
      <c r="G22" s="17" t="s">
        <v>24</v>
      </c>
      <c r="H22" s="18">
        <f>ROUND(RAND()*4+6,1)</f>
      </c>
      <c r="I22" s="17" t="s">
        <v>41</v>
      </c>
      <c r="J22" s="19">
        <f>ROUND(75*1,0)&amp;"%"</f>
      </c>
    </row>
    <row x14ac:dyDescent="0.25" r="23" customHeight="1" ht="17.25">
      <c r="A23" s="20" t="s">
        <v>4392</v>
      </c>
      <c r="B23" s="20" t="s">
        <v>66</v>
      </c>
      <c r="C23" s="20" t="s">
        <v>56</v>
      </c>
      <c r="D23" s="20" t="s">
        <v>67</v>
      </c>
      <c r="E23" s="21">
        <f>ROUND(4832*1.05,2)</f>
      </c>
      <c r="F23" s="20" t="s">
        <v>44</v>
      </c>
      <c r="G23" s="20" t="s">
        <v>30</v>
      </c>
      <c r="H23" s="21">
        <f>ROUND(RAND()*4+6,1)</f>
      </c>
      <c r="I23" s="20" t="s">
        <v>45</v>
      </c>
      <c r="J23" s="23">
        <f>ROUND(64*1,0)&amp;"%"</f>
      </c>
    </row>
    <row x14ac:dyDescent="0.25" r="24" customHeight="1" ht="17.25">
      <c r="A24" s="17" t="s">
        <v>4393</v>
      </c>
      <c r="B24" s="17" t="s">
        <v>69</v>
      </c>
      <c r="C24" s="17" t="s">
        <v>56</v>
      </c>
      <c r="D24" s="17" t="s">
        <v>16</v>
      </c>
      <c r="E24" s="18">
        <f>ROUND(8888*1.05,2)</f>
      </c>
      <c r="F24" s="17" t="s">
        <v>48</v>
      </c>
      <c r="G24" s="17" t="s">
        <v>18</v>
      </c>
      <c r="H24" s="18">
        <f>ROUND(RAND()*4+6,1)</f>
      </c>
      <c r="I24" s="17" t="s">
        <v>19</v>
      </c>
      <c r="J24" s="19">
        <f>ROUND(90*1,0)&amp;"%"</f>
      </c>
    </row>
    <row x14ac:dyDescent="0.25" r="25" customHeight="1" ht="17.25">
      <c r="A25" s="20" t="s">
        <v>4394</v>
      </c>
      <c r="B25" s="20" t="s">
        <v>71</v>
      </c>
      <c r="C25" s="20" t="s">
        <v>56</v>
      </c>
      <c r="D25" s="20" t="s">
        <v>22</v>
      </c>
      <c r="E25" s="21">
        <f>ROUND(13837*1.05,2)</f>
      </c>
      <c r="F25" s="20" t="s">
        <v>51</v>
      </c>
      <c r="G25" s="20" t="s">
        <v>24</v>
      </c>
      <c r="H25" s="21">
        <f>ROUND(RAND()*4+6,1)</f>
      </c>
      <c r="I25" s="20" t="s">
        <v>25</v>
      </c>
      <c r="J25" s="23">
        <f>ROUND(74*1,0)&amp;"%"</f>
      </c>
    </row>
    <row x14ac:dyDescent="0.25" r="26" customHeight="1" ht="17.25">
      <c r="A26" s="24" t="s">
        <v>72</v>
      </c>
      <c r="B26" s="24"/>
      <c r="C26" s="24"/>
      <c r="D26" s="24"/>
      <c r="E26" s="25">
        <v>8</v>
      </c>
      <c r="F26" s="9"/>
      <c r="G26" s="9"/>
      <c r="H26" s="10"/>
      <c r="I26" s="9"/>
      <c r="J26" s="9"/>
    </row>
    <row x14ac:dyDescent="0.25" r="27" customHeight="1" ht="17.25">
      <c r="A27" s="7"/>
      <c r="B27" s="7"/>
      <c r="C27" s="7"/>
      <c r="D27" s="7"/>
      <c r="E27" s="8"/>
      <c r="F27" s="9"/>
      <c r="G27" s="9"/>
      <c r="H27" s="10"/>
      <c r="I27" s="9"/>
      <c r="J27" s="9"/>
    </row>
    <row x14ac:dyDescent="0.25" r="28" customHeight="1" ht="17.25">
      <c r="A28" s="11" t="s">
        <v>4395</v>
      </c>
      <c r="B28" s="11"/>
      <c r="C28" s="11"/>
      <c r="D28" s="11"/>
      <c r="E28" s="12"/>
      <c r="F28" s="11"/>
      <c r="G28" s="11"/>
      <c r="H28" s="13"/>
      <c r="I28" s="11"/>
      <c r="J28" s="11"/>
    </row>
    <row x14ac:dyDescent="0.25" r="29" customHeight="1" ht="17.25">
      <c r="A29" s="14" t="s">
        <v>3</v>
      </c>
      <c r="B29" s="14" t="s">
        <v>4</v>
      </c>
      <c r="C29" s="14" t="s">
        <v>5</v>
      </c>
      <c r="D29" s="14" t="s">
        <v>6</v>
      </c>
      <c r="E29" s="15" t="s">
        <v>7</v>
      </c>
      <c r="F29" s="14" t="s">
        <v>8</v>
      </c>
      <c r="G29" s="14" t="s">
        <v>9</v>
      </c>
      <c r="H29" s="16" t="s">
        <v>10</v>
      </c>
      <c r="I29" s="14" t="s">
        <v>11</v>
      </c>
      <c r="J29" s="14" t="s">
        <v>12</v>
      </c>
    </row>
    <row x14ac:dyDescent="0.25" r="30" customHeight="1" ht="17.25">
      <c r="A30" s="17" t="s">
        <v>4396</v>
      </c>
      <c r="B30" s="17" t="s">
        <v>75</v>
      </c>
      <c r="C30" s="17" t="s">
        <v>76</v>
      </c>
      <c r="D30" s="17" t="s">
        <v>16</v>
      </c>
      <c r="E30" s="18">
        <f>ROUND(12314*1.05,2)</f>
      </c>
      <c r="F30" s="17" t="s">
        <v>17</v>
      </c>
      <c r="G30" s="17" t="s">
        <v>18</v>
      </c>
      <c r="H30" s="18">
        <f>ROUND(RAND()*4+6,1)</f>
      </c>
      <c r="I30" s="17" t="s">
        <v>19</v>
      </c>
      <c r="J30" s="19">
        <f>ROUND(90*1,0)&amp;"%"</f>
      </c>
    </row>
    <row x14ac:dyDescent="0.25" r="31" customHeight="1" ht="17.25">
      <c r="A31" s="20" t="s">
        <v>4397</v>
      </c>
      <c r="B31" s="20" t="s">
        <v>78</v>
      </c>
      <c r="C31" s="20" t="s">
        <v>76</v>
      </c>
      <c r="D31" s="20" t="s">
        <v>22</v>
      </c>
      <c r="E31" s="21">
        <f>ROUND(11914*1.05,2)</f>
      </c>
      <c r="F31" s="20" t="s">
        <v>23</v>
      </c>
      <c r="G31" s="20" t="s">
        <v>24</v>
      </c>
      <c r="H31" s="21">
        <f>ROUND(RAND()*4+6,1)</f>
      </c>
      <c r="I31" s="20" t="s">
        <v>25</v>
      </c>
      <c r="J31" s="23">
        <f>ROUND(88*1,0)&amp;"%"</f>
      </c>
    </row>
    <row x14ac:dyDescent="0.25" r="32" customHeight="1" ht="17.25">
      <c r="A32" s="17" t="s">
        <v>4398</v>
      </c>
      <c r="B32" s="17" t="s">
        <v>80</v>
      </c>
      <c r="C32" s="17" t="s">
        <v>76</v>
      </c>
      <c r="D32" s="17" t="s">
        <v>28</v>
      </c>
      <c r="E32" s="18">
        <f>ROUND(7516*1.05,2)</f>
      </c>
      <c r="F32" s="17" t="s">
        <v>29</v>
      </c>
      <c r="G32" s="17" t="s">
        <v>30</v>
      </c>
      <c r="H32" s="18">
        <f>ROUND(RAND()*4+6,1)</f>
      </c>
      <c r="I32" s="17" t="s">
        <v>31</v>
      </c>
      <c r="J32" s="19">
        <f>ROUND(85*1,0)&amp;"%"</f>
      </c>
    </row>
    <row x14ac:dyDescent="0.25" r="33" customHeight="1" ht="17.25">
      <c r="A33" s="20" t="s">
        <v>4399</v>
      </c>
      <c r="B33" s="20" t="s">
        <v>82</v>
      </c>
      <c r="C33" s="20" t="s">
        <v>76</v>
      </c>
      <c r="D33" s="20" t="s">
        <v>34</v>
      </c>
      <c r="E33" s="21">
        <f>ROUND(14088*1.05,2)</f>
      </c>
      <c r="F33" s="20" t="s">
        <v>35</v>
      </c>
      <c r="G33" s="20" t="s">
        <v>18</v>
      </c>
      <c r="H33" s="21">
        <f>ROUND(RAND()*4+6,1)</f>
      </c>
      <c r="I33" s="20" t="s">
        <v>36</v>
      </c>
      <c r="J33" s="23">
        <f>ROUND(77*1,0)&amp;"%"</f>
      </c>
    </row>
    <row x14ac:dyDescent="0.25" r="34" customHeight="1" ht="17.25">
      <c r="A34" s="17" t="s">
        <v>4400</v>
      </c>
      <c r="B34" s="17" t="s">
        <v>84</v>
      </c>
      <c r="C34" s="17" t="s">
        <v>76</v>
      </c>
      <c r="D34" s="17" t="s">
        <v>39</v>
      </c>
      <c r="E34" s="18">
        <f>ROUND(13124*1.05,2)</f>
      </c>
      <c r="F34" s="17" t="s">
        <v>40</v>
      </c>
      <c r="G34" s="17" t="s">
        <v>24</v>
      </c>
      <c r="H34" s="18">
        <f>ROUND(RAND()*4+6,1)</f>
      </c>
      <c r="I34" s="17" t="s">
        <v>41</v>
      </c>
      <c r="J34" s="19">
        <f>ROUND(94*1,0)&amp;"%"</f>
      </c>
    </row>
    <row x14ac:dyDescent="0.25" r="35" customHeight="1" ht="17.25">
      <c r="A35" s="20" t="s">
        <v>4401</v>
      </c>
      <c r="B35" s="20" t="s">
        <v>86</v>
      </c>
      <c r="C35" s="20" t="s">
        <v>76</v>
      </c>
      <c r="D35" s="20" t="s">
        <v>67</v>
      </c>
      <c r="E35" s="21">
        <f>ROUND(8908*1.05,2)</f>
      </c>
      <c r="F35" s="20" t="s">
        <v>44</v>
      </c>
      <c r="G35" s="20" t="s">
        <v>30</v>
      </c>
      <c r="H35" s="21">
        <f>ROUND(RAND()*4+6,1)</f>
      </c>
      <c r="I35" s="20" t="s">
        <v>45</v>
      </c>
      <c r="J35" s="23">
        <f>ROUND(87*1,0)&amp;"%"</f>
      </c>
    </row>
    <row x14ac:dyDescent="0.25" r="36" customHeight="1" ht="17.25">
      <c r="A36" s="17" t="s">
        <v>4402</v>
      </c>
      <c r="B36" s="17" t="s">
        <v>88</v>
      </c>
      <c r="C36" s="17" t="s">
        <v>76</v>
      </c>
      <c r="D36" s="17" t="s">
        <v>16</v>
      </c>
      <c r="E36" s="18">
        <f>ROUND(17226*1.05,2)</f>
      </c>
      <c r="F36" s="17" t="s">
        <v>48</v>
      </c>
      <c r="G36" s="17" t="s">
        <v>18</v>
      </c>
      <c r="H36" s="18">
        <f>ROUND(RAND()*4+6,1)</f>
      </c>
      <c r="I36" s="17" t="s">
        <v>19</v>
      </c>
      <c r="J36" s="19">
        <f>ROUND(75*1,0)&amp;"%"</f>
      </c>
    </row>
    <row x14ac:dyDescent="0.25" r="37" customHeight="1" ht="17.25">
      <c r="A37" s="20" t="s">
        <v>4403</v>
      </c>
      <c r="B37" s="20" t="s">
        <v>90</v>
      </c>
      <c r="C37" s="20" t="s">
        <v>76</v>
      </c>
      <c r="D37" s="20" t="s">
        <v>22</v>
      </c>
      <c r="E37" s="21">
        <f>ROUND(8030*1.05,2)</f>
      </c>
      <c r="F37" s="20" t="s">
        <v>51</v>
      </c>
      <c r="G37" s="20" t="s">
        <v>24</v>
      </c>
      <c r="H37" s="21">
        <f>ROUND(RAND()*4+6,1)</f>
      </c>
      <c r="I37" s="20" t="s">
        <v>25</v>
      </c>
      <c r="J37" s="23">
        <f>ROUND(92*1,0)&amp;"%"</f>
      </c>
    </row>
    <row x14ac:dyDescent="0.25" r="38" customHeight="1" ht="17.25">
      <c r="A38" s="24" t="s">
        <v>91</v>
      </c>
      <c r="B38" s="24"/>
      <c r="C38" s="24"/>
      <c r="D38" s="24"/>
      <c r="E38" s="25">
        <v>8</v>
      </c>
      <c r="F38" s="9"/>
      <c r="G38" s="9"/>
      <c r="H38" s="10"/>
      <c r="I38" s="9"/>
      <c r="J38" s="9"/>
    </row>
    <row x14ac:dyDescent="0.25" r="39" customHeight="1" ht="17.25">
      <c r="A39" s="7"/>
      <c r="B39" s="7"/>
      <c r="C39" s="7"/>
      <c r="D39" s="7"/>
      <c r="E39" s="8"/>
      <c r="F39" s="9"/>
      <c r="G39" s="9"/>
      <c r="H39" s="10"/>
      <c r="I39" s="9"/>
      <c r="J39" s="9"/>
    </row>
    <row x14ac:dyDescent="0.25" r="40" customHeight="1" ht="17.25">
      <c r="A40" s="11" t="s">
        <v>4404</v>
      </c>
      <c r="B40" s="11"/>
      <c r="C40" s="11"/>
      <c r="D40" s="11"/>
      <c r="E40" s="12"/>
      <c r="F40" s="11"/>
      <c r="G40" s="11"/>
      <c r="H40" s="13"/>
      <c r="I40" s="11"/>
      <c r="J40" s="11"/>
    </row>
    <row x14ac:dyDescent="0.25" r="41" customHeight="1" ht="17.25">
      <c r="A41" s="14" t="s">
        <v>3</v>
      </c>
      <c r="B41" s="14" t="s">
        <v>4</v>
      </c>
      <c r="C41" s="14" t="s">
        <v>5</v>
      </c>
      <c r="D41" s="14" t="s">
        <v>6</v>
      </c>
      <c r="E41" s="15" t="s">
        <v>7</v>
      </c>
      <c r="F41" s="14" t="s">
        <v>8</v>
      </c>
      <c r="G41" s="14" t="s">
        <v>9</v>
      </c>
      <c r="H41" s="16" t="s">
        <v>10</v>
      </c>
      <c r="I41" s="14" t="s">
        <v>11</v>
      </c>
      <c r="J41" s="14" t="s">
        <v>12</v>
      </c>
    </row>
    <row x14ac:dyDescent="0.25" r="42" customHeight="1" ht="17.25">
      <c r="A42" s="17" t="s">
        <v>4405</v>
      </c>
      <c r="B42" s="17" t="s">
        <v>94</v>
      </c>
      <c r="C42" s="17" t="s">
        <v>95</v>
      </c>
      <c r="D42" s="17" t="s">
        <v>16</v>
      </c>
      <c r="E42" s="18">
        <f>ROUND(14872*1.05,2)</f>
      </c>
      <c r="F42" s="17" t="s">
        <v>17</v>
      </c>
      <c r="G42" s="17" t="s">
        <v>18</v>
      </c>
      <c r="H42" s="18">
        <f>ROUND(RAND()*4+6,1)</f>
      </c>
      <c r="I42" s="17" t="s">
        <v>19</v>
      </c>
      <c r="J42" s="19">
        <f>ROUND(99*1,0)&amp;"%"</f>
      </c>
    </row>
    <row x14ac:dyDescent="0.25" r="43" customHeight="1" ht="17.25">
      <c r="A43" s="20" t="s">
        <v>4406</v>
      </c>
      <c r="B43" s="20" t="s">
        <v>97</v>
      </c>
      <c r="C43" s="20" t="s">
        <v>95</v>
      </c>
      <c r="D43" s="20" t="s">
        <v>22</v>
      </c>
      <c r="E43" s="22">
        <f>ROUND(7260*1.05,2)</f>
      </c>
      <c r="F43" s="20" t="s">
        <v>23</v>
      </c>
      <c r="G43" s="20" t="s">
        <v>24</v>
      </c>
      <c r="H43" s="22">
        <f>ROUND(RAND()*4+6,1)</f>
      </c>
      <c r="I43" s="20" t="s">
        <v>25</v>
      </c>
      <c r="J43" s="23">
        <f>ROUND(87*1,0)&amp;"%"</f>
      </c>
    </row>
    <row x14ac:dyDescent="0.25" r="44" customHeight="1" ht="17.25">
      <c r="A44" s="17" t="s">
        <v>4407</v>
      </c>
      <c r="B44" s="17" t="s">
        <v>99</v>
      </c>
      <c r="C44" s="17" t="s">
        <v>95</v>
      </c>
      <c r="D44" s="17" t="s">
        <v>28</v>
      </c>
      <c r="E44" s="26">
        <f>ROUND(11300*1.05,2)</f>
      </c>
      <c r="F44" s="17" t="s">
        <v>29</v>
      </c>
      <c r="G44" s="17" t="s">
        <v>30</v>
      </c>
      <c r="H44" s="18">
        <f>ROUND(RAND()*4+6,1)</f>
      </c>
      <c r="I44" s="17" t="s">
        <v>31</v>
      </c>
      <c r="J44" s="19">
        <f>ROUND(82*1,0)&amp;"%"</f>
      </c>
    </row>
    <row x14ac:dyDescent="0.25" r="45" customHeight="1" ht="17.25">
      <c r="A45" s="20" t="s">
        <v>4408</v>
      </c>
      <c r="B45" s="20" t="s">
        <v>101</v>
      </c>
      <c r="C45" s="20" t="s">
        <v>95</v>
      </c>
      <c r="D45" s="20" t="s">
        <v>34</v>
      </c>
      <c r="E45" s="21">
        <f>ROUND(5236*1.05,2)</f>
      </c>
      <c r="F45" s="20" t="s">
        <v>35</v>
      </c>
      <c r="G45" s="20" t="s">
        <v>18</v>
      </c>
      <c r="H45" s="21">
        <f>ROUND(RAND()*4+6,1)</f>
      </c>
      <c r="I45" s="20" t="s">
        <v>36</v>
      </c>
      <c r="J45" s="23">
        <f>ROUND(77*1,0)&amp;"%"</f>
      </c>
    </row>
    <row x14ac:dyDescent="0.25" r="46" customHeight="1" ht="17.25">
      <c r="A46" s="17" t="s">
        <v>4409</v>
      </c>
      <c r="B46" s="17" t="s">
        <v>103</v>
      </c>
      <c r="C46" s="17" t="s">
        <v>95</v>
      </c>
      <c r="D46" s="17" t="s">
        <v>39</v>
      </c>
      <c r="E46" s="18">
        <f>ROUND(4184*1.05,2)</f>
      </c>
      <c r="F46" s="17" t="s">
        <v>40</v>
      </c>
      <c r="G46" s="17" t="s">
        <v>24</v>
      </c>
      <c r="H46" s="18">
        <f>ROUND(RAND()*4+6,1)</f>
      </c>
      <c r="I46" s="17" t="s">
        <v>41</v>
      </c>
      <c r="J46" s="19">
        <f>ROUND(96*1,0)&amp;"%"</f>
      </c>
    </row>
    <row x14ac:dyDescent="0.25" r="47" customHeight="1" ht="17.25">
      <c r="A47" s="20" t="s">
        <v>4410</v>
      </c>
      <c r="B47" s="20" t="s">
        <v>105</v>
      </c>
      <c r="C47" s="20" t="s">
        <v>95</v>
      </c>
      <c r="D47" s="20" t="s">
        <v>67</v>
      </c>
      <c r="E47" s="21">
        <f>ROUND(17543*1.05,2)</f>
      </c>
      <c r="F47" s="20" t="s">
        <v>44</v>
      </c>
      <c r="G47" s="20" t="s">
        <v>30</v>
      </c>
      <c r="H47" s="21">
        <f>ROUND(RAND()*4+6,1)</f>
      </c>
      <c r="I47" s="20" t="s">
        <v>45</v>
      </c>
      <c r="J47" s="23">
        <f>ROUND(93*1,0)&amp;"%"</f>
      </c>
    </row>
    <row x14ac:dyDescent="0.25" r="48" customHeight="1" ht="17.25">
      <c r="A48" s="17" t="s">
        <v>4411</v>
      </c>
      <c r="B48" s="17" t="s">
        <v>107</v>
      </c>
      <c r="C48" s="17" t="s">
        <v>95</v>
      </c>
      <c r="D48" s="17" t="s">
        <v>16</v>
      </c>
      <c r="E48" s="18">
        <f>ROUND(4123*1.05,2)</f>
      </c>
      <c r="F48" s="17" t="s">
        <v>48</v>
      </c>
      <c r="G48" s="17" t="s">
        <v>18</v>
      </c>
      <c r="H48" s="18">
        <f>ROUND(RAND()*4+6,1)</f>
      </c>
      <c r="I48" s="17" t="s">
        <v>19</v>
      </c>
      <c r="J48" s="19">
        <f>ROUND(93*1,0)&amp;"%"</f>
      </c>
    </row>
    <row x14ac:dyDescent="0.25" r="49" customHeight="1" ht="17.25">
      <c r="A49" s="20" t="s">
        <v>4412</v>
      </c>
      <c r="B49" s="20" t="s">
        <v>109</v>
      </c>
      <c r="C49" s="20" t="s">
        <v>95</v>
      </c>
      <c r="D49" s="20" t="s">
        <v>22</v>
      </c>
      <c r="E49" s="21">
        <f>ROUND(15881*1.05,2)</f>
      </c>
      <c r="F49" s="20" t="s">
        <v>51</v>
      </c>
      <c r="G49" s="20" t="s">
        <v>24</v>
      </c>
      <c r="H49" s="21">
        <f>ROUND(RAND()*4+6,1)</f>
      </c>
      <c r="I49" s="20" t="s">
        <v>25</v>
      </c>
      <c r="J49" s="23">
        <f>ROUND(93*1,0)&amp;"%"</f>
      </c>
    </row>
    <row x14ac:dyDescent="0.25" r="50" customHeight="1" ht="17.25">
      <c r="A50" s="24" t="s">
        <v>110</v>
      </c>
      <c r="B50" s="24"/>
      <c r="C50" s="24"/>
      <c r="D50" s="24"/>
      <c r="E50" s="25">
        <v>8</v>
      </c>
      <c r="F50" s="9"/>
      <c r="G50" s="9"/>
      <c r="H50" s="10"/>
      <c r="I50" s="9"/>
      <c r="J50" s="9"/>
    </row>
    <row x14ac:dyDescent="0.25" r="51" customHeight="1" ht="17.25">
      <c r="A51" s="7"/>
      <c r="B51" s="7"/>
      <c r="C51" s="7"/>
      <c r="D51" s="7"/>
      <c r="E51" s="8"/>
      <c r="F51" s="9"/>
      <c r="G51" s="9"/>
      <c r="H51" s="10"/>
      <c r="I51" s="9"/>
      <c r="J51" s="9"/>
    </row>
    <row x14ac:dyDescent="0.25" r="52" customHeight="1" ht="17.25">
      <c r="A52" s="11" t="s">
        <v>4413</v>
      </c>
      <c r="B52" s="11"/>
      <c r="C52" s="11"/>
      <c r="D52" s="11"/>
      <c r="E52" s="12"/>
      <c r="F52" s="11"/>
      <c r="G52" s="11"/>
      <c r="H52" s="13"/>
      <c r="I52" s="11"/>
      <c r="J52" s="11"/>
    </row>
    <row x14ac:dyDescent="0.25" r="53" customHeight="1" ht="17.25">
      <c r="A53" s="14" t="s">
        <v>3</v>
      </c>
      <c r="B53" s="14" t="s">
        <v>4</v>
      </c>
      <c r="C53" s="14" t="s">
        <v>5</v>
      </c>
      <c r="D53" s="14" t="s">
        <v>6</v>
      </c>
      <c r="E53" s="15" t="s">
        <v>7</v>
      </c>
      <c r="F53" s="14" t="s">
        <v>8</v>
      </c>
      <c r="G53" s="14" t="s">
        <v>9</v>
      </c>
      <c r="H53" s="16" t="s">
        <v>10</v>
      </c>
      <c r="I53" s="14" t="s">
        <v>11</v>
      </c>
      <c r="J53" s="14" t="s">
        <v>12</v>
      </c>
    </row>
    <row x14ac:dyDescent="0.25" r="54" customHeight="1" ht="17.25">
      <c r="A54" s="17" t="s">
        <v>4414</v>
      </c>
      <c r="B54" s="17" t="s">
        <v>113</v>
      </c>
      <c r="C54" s="17" t="s">
        <v>114</v>
      </c>
      <c r="D54" s="17" t="s">
        <v>16</v>
      </c>
      <c r="E54" s="18">
        <f>ROUND(4764*1.05,2)</f>
      </c>
      <c r="F54" s="17" t="s">
        <v>17</v>
      </c>
      <c r="G54" s="17" t="s">
        <v>18</v>
      </c>
      <c r="H54" s="18">
        <f>ROUND(RAND()*4+6,1)</f>
      </c>
      <c r="I54" s="17" t="s">
        <v>19</v>
      </c>
      <c r="J54" s="19">
        <f>ROUND(98*1,0)&amp;"%"</f>
      </c>
    </row>
    <row x14ac:dyDescent="0.25" r="55" customHeight="1" ht="17.25">
      <c r="A55" s="20" t="s">
        <v>4415</v>
      </c>
      <c r="B55" s="20" t="s">
        <v>116</v>
      </c>
      <c r="C55" s="20" t="s">
        <v>114</v>
      </c>
      <c r="D55" s="20" t="s">
        <v>22</v>
      </c>
      <c r="E55" s="21">
        <f>ROUND(6941*1.05,2)</f>
      </c>
      <c r="F55" s="20" t="s">
        <v>23</v>
      </c>
      <c r="G55" s="20" t="s">
        <v>24</v>
      </c>
      <c r="H55" s="21">
        <f>ROUND(RAND()*4+6,1)</f>
      </c>
      <c r="I55" s="20" t="s">
        <v>25</v>
      </c>
      <c r="J55" s="23">
        <f>ROUND(91*1,0)&amp;"%"</f>
      </c>
    </row>
    <row x14ac:dyDescent="0.25" r="56" customHeight="1" ht="17.25">
      <c r="A56" s="17" t="s">
        <v>4416</v>
      </c>
      <c r="B56" s="17" t="s">
        <v>118</v>
      </c>
      <c r="C56" s="17" t="s">
        <v>114</v>
      </c>
      <c r="D56" s="17" t="s">
        <v>28</v>
      </c>
      <c r="E56" s="26">
        <f>ROUND(5020*1.05,2)</f>
      </c>
      <c r="F56" s="17" t="s">
        <v>29</v>
      </c>
      <c r="G56" s="17" t="s">
        <v>30</v>
      </c>
      <c r="H56" s="18">
        <f>ROUND(RAND()*4+6,1)</f>
      </c>
      <c r="I56" s="17" t="s">
        <v>31</v>
      </c>
      <c r="J56" s="19">
        <f>ROUND(68*1,0)&amp;"%"</f>
      </c>
    </row>
    <row x14ac:dyDescent="0.25" r="57" customHeight="1" ht="17.25">
      <c r="A57" s="20" t="s">
        <v>4417</v>
      </c>
      <c r="B57" s="20" t="s">
        <v>120</v>
      </c>
      <c r="C57" s="20" t="s">
        <v>114</v>
      </c>
      <c r="D57" s="20" t="s">
        <v>34</v>
      </c>
      <c r="E57" s="21">
        <f>ROUND(15036*1.05,2)</f>
      </c>
      <c r="F57" s="20" t="s">
        <v>35</v>
      </c>
      <c r="G57" s="20" t="s">
        <v>18</v>
      </c>
      <c r="H57" s="21">
        <f>ROUND(RAND()*4+6,1)</f>
      </c>
      <c r="I57" s="20" t="s">
        <v>36</v>
      </c>
      <c r="J57" s="23">
        <f>ROUND(70*1,0)&amp;"%"</f>
      </c>
    </row>
    <row x14ac:dyDescent="0.25" r="58" customHeight="1" ht="17.25">
      <c r="A58" s="17" t="s">
        <v>4418</v>
      </c>
      <c r="B58" s="17" t="s">
        <v>122</v>
      </c>
      <c r="C58" s="17" t="s">
        <v>114</v>
      </c>
      <c r="D58" s="17" t="s">
        <v>39</v>
      </c>
      <c r="E58" s="18">
        <f>ROUND(15511*1.05,2)</f>
      </c>
      <c r="F58" s="17" t="s">
        <v>40</v>
      </c>
      <c r="G58" s="17" t="s">
        <v>24</v>
      </c>
      <c r="H58" s="18">
        <f>ROUND(RAND()*4+6,1)</f>
      </c>
      <c r="I58" s="17" t="s">
        <v>41</v>
      </c>
      <c r="J58" s="19">
        <f>ROUND(77*1,0)&amp;"%"</f>
      </c>
    </row>
    <row x14ac:dyDescent="0.25" r="59" customHeight="1" ht="17.25">
      <c r="A59" s="20" t="s">
        <v>4419</v>
      </c>
      <c r="B59" s="20" t="s">
        <v>124</v>
      </c>
      <c r="C59" s="20" t="s">
        <v>114</v>
      </c>
      <c r="D59" s="20" t="s">
        <v>67</v>
      </c>
      <c r="E59" s="21">
        <f>ROUND(6370*1.05,2)</f>
      </c>
      <c r="F59" s="20" t="s">
        <v>44</v>
      </c>
      <c r="G59" s="20" t="s">
        <v>30</v>
      </c>
      <c r="H59" s="21">
        <f>ROUND(RAND()*4+6,1)</f>
      </c>
      <c r="I59" s="20" t="s">
        <v>45</v>
      </c>
      <c r="J59" s="23">
        <f>ROUND(78*1,0)&amp;"%"</f>
      </c>
    </row>
    <row x14ac:dyDescent="0.25" r="60" customHeight="1" ht="17.25">
      <c r="A60" s="17" t="s">
        <v>4420</v>
      </c>
      <c r="B60" s="17" t="s">
        <v>126</v>
      </c>
      <c r="C60" s="17" t="s">
        <v>114</v>
      </c>
      <c r="D60" s="17" t="s">
        <v>16</v>
      </c>
      <c r="E60" s="18">
        <f>ROUND(16559*1.05,2)</f>
      </c>
      <c r="F60" s="17" t="s">
        <v>48</v>
      </c>
      <c r="G60" s="17" t="s">
        <v>18</v>
      </c>
      <c r="H60" s="18">
        <f>ROUND(RAND()*4+6,1)</f>
      </c>
      <c r="I60" s="17" t="s">
        <v>19</v>
      </c>
      <c r="J60" s="19">
        <f>ROUND(96*1,0)&amp;"%"</f>
      </c>
    </row>
    <row x14ac:dyDescent="0.25" r="61" customHeight="1" ht="17.25">
      <c r="A61" s="20" t="s">
        <v>4421</v>
      </c>
      <c r="B61" s="20" t="s">
        <v>128</v>
      </c>
      <c r="C61" s="20" t="s">
        <v>114</v>
      </c>
      <c r="D61" s="20" t="s">
        <v>22</v>
      </c>
      <c r="E61" s="21">
        <f>ROUND(8407*1.05,2)</f>
      </c>
      <c r="F61" s="20" t="s">
        <v>51</v>
      </c>
      <c r="G61" s="20" t="s">
        <v>24</v>
      </c>
      <c r="H61" s="21">
        <f>ROUND(RAND()*4+6,1)</f>
      </c>
      <c r="I61" s="20" t="s">
        <v>25</v>
      </c>
      <c r="J61" s="23">
        <f>ROUND(77*1,0)&amp;"%"</f>
      </c>
    </row>
    <row x14ac:dyDescent="0.25" r="62" customHeight="1" ht="17.25">
      <c r="A62" s="24" t="s">
        <v>129</v>
      </c>
      <c r="B62" s="24"/>
      <c r="C62" s="24"/>
      <c r="D62" s="24"/>
      <c r="E62" s="25">
        <v>8</v>
      </c>
      <c r="F62" s="9"/>
      <c r="G62" s="9"/>
      <c r="H62" s="10"/>
      <c r="I62" s="9"/>
      <c r="J62" s="9"/>
    </row>
    <row x14ac:dyDescent="0.25" r="63" customHeight="1" ht="17.25">
      <c r="A63" s="7"/>
      <c r="B63" s="7"/>
      <c r="C63" s="7"/>
      <c r="D63" s="7"/>
      <c r="E63" s="8"/>
      <c r="F63" s="9"/>
      <c r="G63" s="9"/>
      <c r="H63" s="10"/>
      <c r="I63" s="9"/>
      <c r="J63" s="9"/>
    </row>
    <row x14ac:dyDescent="0.25" r="64" customHeight="1" ht="17.25">
      <c r="A64" s="11" t="s">
        <v>4422</v>
      </c>
      <c r="B64" s="11"/>
      <c r="C64" s="11"/>
      <c r="D64" s="11"/>
      <c r="E64" s="12"/>
      <c r="F64" s="11"/>
      <c r="G64" s="11"/>
      <c r="H64" s="13"/>
      <c r="I64" s="11"/>
      <c r="J64" s="11"/>
    </row>
    <row x14ac:dyDescent="0.25" r="65" customHeight="1" ht="17.25">
      <c r="A65" s="14" t="s">
        <v>3</v>
      </c>
      <c r="B65" s="14" t="s">
        <v>4</v>
      </c>
      <c r="C65" s="14" t="s">
        <v>5</v>
      </c>
      <c r="D65" s="14" t="s">
        <v>6</v>
      </c>
      <c r="E65" s="15" t="s">
        <v>7</v>
      </c>
      <c r="F65" s="14" t="s">
        <v>8</v>
      </c>
      <c r="G65" s="14" t="s">
        <v>9</v>
      </c>
      <c r="H65" s="16" t="s">
        <v>10</v>
      </c>
      <c r="I65" s="14" t="s">
        <v>11</v>
      </c>
      <c r="J65" s="14" t="s">
        <v>12</v>
      </c>
    </row>
    <row x14ac:dyDescent="0.25" r="66" customHeight="1" ht="17.25">
      <c r="A66" s="17" t="s">
        <v>4423</v>
      </c>
      <c r="B66" s="17" t="s">
        <v>132</v>
      </c>
      <c r="C66" s="17" t="s">
        <v>133</v>
      </c>
      <c r="D66" s="17" t="s">
        <v>16</v>
      </c>
      <c r="E66" s="18">
        <f>ROUND(14156*1.05,2)</f>
      </c>
      <c r="F66" s="17" t="s">
        <v>17</v>
      </c>
      <c r="G66" s="17" t="s">
        <v>18</v>
      </c>
      <c r="H66" s="18">
        <f>ROUND(RAND()*4+6,1)</f>
      </c>
      <c r="I66" s="17" t="s">
        <v>19</v>
      </c>
      <c r="J66" s="19">
        <f>ROUND(95*1,0)&amp;"%"</f>
      </c>
    </row>
    <row x14ac:dyDescent="0.25" r="67" customHeight="1" ht="17.25">
      <c r="A67" s="20" t="s">
        <v>4424</v>
      </c>
      <c r="B67" s="20" t="s">
        <v>135</v>
      </c>
      <c r="C67" s="20" t="s">
        <v>133</v>
      </c>
      <c r="D67" s="20" t="s">
        <v>22</v>
      </c>
      <c r="E67" s="21">
        <f>ROUND(13474*1.05,2)</f>
      </c>
      <c r="F67" s="20" t="s">
        <v>23</v>
      </c>
      <c r="G67" s="20" t="s">
        <v>24</v>
      </c>
      <c r="H67" s="21">
        <f>ROUND(RAND()*4+6,1)</f>
      </c>
      <c r="I67" s="20" t="s">
        <v>25</v>
      </c>
      <c r="J67" s="23">
        <f>ROUND(87*1,0)&amp;"%"</f>
      </c>
    </row>
    <row x14ac:dyDescent="0.25" r="68" customHeight="1" ht="17.25">
      <c r="A68" s="17" t="s">
        <v>4425</v>
      </c>
      <c r="B68" s="17" t="s">
        <v>137</v>
      </c>
      <c r="C68" s="17" t="s">
        <v>133</v>
      </c>
      <c r="D68" s="17" t="s">
        <v>28</v>
      </c>
      <c r="E68" s="18">
        <f>ROUND(5911*1.05,2)</f>
      </c>
      <c r="F68" s="17" t="s">
        <v>29</v>
      </c>
      <c r="G68" s="17" t="s">
        <v>30</v>
      </c>
      <c r="H68" s="26">
        <f>ROUND(RAND()*4+6,1)</f>
      </c>
      <c r="I68" s="17" t="s">
        <v>31</v>
      </c>
      <c r="J68" s="19">
        <f>ROUND(79*1,0)&amp;"%"</f>
      </c>
    </row>
    <row x14ac:dyDescent="0.25" r="69" customHeight="1" ht="17.25">
      <c r="A69" s="20" t="s">
        <v>4426</v>
      </c>
      <c r="B69" s="20" t="s">
        <v>139</v>
      </c>
      <c r="C69" s="20" t="s">
        <v>133</v>
      </c>
      <c r="D69" s="20" t="s">
        <v>34</v>
      </c>
      <c r="E69" s="21">
        <f>ROUND(14278*1.05,2)</f>
      </c>
      <c r="F69" s="20" t="s">
        <v>35</v>
      </c>
      <c r="G69" s="20" t="s">
        <v>18</v>
      </c>
      <c r="H69" s="21">
        <f>ROUND(RAND()*4+6,1)</f>
      </c>
      <c r="I69" s="20" t="s">
        <v>36</v>
      </c>
      <c r="J69" s="23">
        <f>ROUND(87*1,0)&amp;"%"</f>
      </c>
    </row>
    <row x14ac:dyDescent="0.25" r="70" customHeight="1" ht="17.25">
      <c r="A70" s="17" t="s">
        <v>4427</v>
      </c>
      <c r="B70" s="17" t="s">
        <v>141</v>
      </c>
      <c r="C70" s="17" t="s">
        <v>133</v>
      </c>
      <c r="D70" s="17" t="s">
        <v>39</v>
      </c>
      <c r="E70" s="18">
        <f>ROUND(8890*1.05,2)</f>
      </c>
      <c r="F70" s="17" t="s">
        <v>40</v>
      </c>
      <c r="G70" s="17" t="s">
        <v>24</v>
      </c>
      <c r="H70" s="18">
        <f>ROUND(RAND()*4+6,1)</f>
      </c>
      <c r="I70" s="17" t="s">
        <v>41</v>
      </c>
      <c r="J70" s="19">
        <f>ROUND(88*1,0)&amp;"%"</f>
      </c>
    </row>
    <row x14ac:dyDescent="0.25" r="71" customHeight="1" ht="17.25">
      <c r="A71" s="20" t="s">
        <v>4428</v>
      </c>
      <c r="B71" s="20" t="s">
        <v>143</v>
      </c>
      <c r="C71" s="20" t="s">
        <v>133</v>
      </c>
      <c r="D71" s="20" t="s">
        <v>67</v>
      </c>
      <c r="E71" s="21">
        <f>ROUND(6098*1.05,2)</f>
      </c>
      <c r="F71" s="20" t="s">
        <v>44</v>
      </c>
      <c r="G71" s="20" t="s">
        <v>30</v>
      </c>
      <c r="H71" s="21">
        <f>ROUND(RAND()*4+6,1)</f>
      </c>
      <c r="I71" s="20" t="s">
        <v>45</v>
      </c>
      <c r="J71" s="23">
        <f>ROUND(87*1,0)&amp;"%"</f>
      </c>
    </row>
    <row x14ac:dyDescent="0.25" r="72" customHeight="1" ht="17.25">
      <c r="A72" s="17" t="s">
        <v>4429</v>
      </c>
      <c r="B72" s="17" t="s">
        <v>145</v>
      </c>
      <c r="C72" s="17" t="s">
        <v>133</v>
      </c>
      <c r="D72" s="17" t="s">
        <v>16</v>
      </c>
      <c r="E72" s="18">
        <f>ROUND(13094*1.05,2)</f>
      </c>
      <c r="F72" s="17" t="s">
        <v>48</v>
      </c>
      <c r="G72" s="17" t="s">
        <v>18</v>
      </c>
      <c r="H72" s="18">
        <f>ROUND(RAND()*4+6,1)</f>
      </c>
      <c r="I72" s="17" t="s">
        <v>19</v>
      </c>
      <c r="J72" s="19">
        <f>ROUND(77*1,0)&amp;"%"</f>
      </c>
    </row>
    <row x14ac:dyDescent="0.25" r="73" customHeight="1" ht="17.25">
      <c r="A73" s="20" t="s">
        <v>4430</v>
      </c>
      <c r="B73" s="20" t="s">
        <v>147</v>
      </c>
      <c r="C73" s="20" t="s">
        <v>133</v>
      </c>
      <c r="D73" s="20" t="s">
        <v>22</v>
      </c>
      <c r="E73" s="21">
        <f>ROUND(10132*1.05,2)</f>
      </c>
      <c r="F73" s="20" t="s">
        <v>51</v>
      </c>
      <c r="G73" s="20" t="s">
        <v>24</v>
      </c>
      <c r="H73" s="21">
        <f>ROUND(RAND()*4+6,1)</f>
      </c>
      <c r="I73" s="20" t="s">
        <v>25</v>
      </c>
      <c r="J73" s="23">
        <f>ROUND(75*1,0)&amp;"%"</f>
      </c>
    </row>
    <row x14ac:dyDescent="0.25" r="74" customHeight="1" ht="17.25">
      <c r="A74" s="24" t="s">
        <v>148</v>
      </c>
      <c r="B74" s="24"/>
      <c r="C74" s="24"/>
      <c r="D74" s="24"/>
      <c r="E74" s="25">
        <v>8</v>
      </c>
      <c r="F74" s="9"/>
      <c r="G74" s="9"/>
      <c r="H74" s="10"/>
      <c r="I74" s="9"/>
      <c r="J74" s="9"/>
    </row>
    <row x14ac:dyDescent="0.25" r="75" customHeight="1" ht="17.25">
      <c r="A75" s="7"/>
      <c r="B75" s="7"/>
      <c r="C75" s="7"/>
      <c r="D75" s="7"/>
      <c r="E75" s="8"/>
      <c r="F75" s="9"/>
      <c r="G75" s="9"/>
      <c r="H75" s="10"/>
      <c r="I75" s="9"/>
      <c r="J75" s="9"/>
    </row>
    <row x14ac:dyDescent="0.25" r="76" customHeight="1" ht="17.25">
      <c r="A76" s="11" t="s">
        <v>4431</v>
      </c>
      <c r="B76" s="11"/>
      <c r="C76" s="11"/>
      <c r="D76" s="11"/>
      <c r="E76" s="12"/>
      <c r="F76" s="11"/>
      <c r="G76" s="11"/>
      <c r="H76" s="13"/>
      <c r="I76" s="11"/>
      <c r="J76" s="11"/>
    </row>
    <row x14ac:dyDescent="0.25" r="77" customHeight="1" ht="17.25">
      <c r="A77" s="14" t="s">
        <v>3</v>
      </c>
      <c r="B77" s="14" t="s">
        <v>4</v>
      </c>
      <c r="C77" s="14" t="s">
        <v>5</v>
      </c>
      <c r="D77" s="14" t="s">
        <v>6</v>
      </c>
      <c r="E77" s="15" t="s">
        <v>7</v>
      </c>
      <c r="F77" s="14" t="s">
        <v>8</v>
      </c>
      <c r="G77" s="14" t="s">
        <v>9</v>
      </c>
      <c r="H77" s="16" t="s">
        <v>10</v>
      </c>
      <c r="I77" s="14" t="s">
        <v>11</v>
      </c>
      <c r="J77" s="14" t="s">
        <v>12</v>
      </c>
    </row>
    <row x14ac:dyDescent="0.25" r="78" customHeight="1" ht="17.25">
      <c r="A78" s="17" t="s">
        <v>4432</v>
      </c>
      <c r="B78" s="17" t="s">
        <v>151</v>
      </c>
      <c r="C78" s="17" t="s">
        <v>152</v>
      </c>
      <c r="D78" s="17" t="s">
        <v>16</v>
      </c>
      <c r="E78" s="18">
        <f>ROUND(8416*1.05,2)</f>
      </c>
      <c r="F78" s="17" t="s">
        <v>17</v>
      </c>
      <c r="G78" s="17" t="s">
        <v>18</v>
      </c>
      <c r="H78" s="18">
        <f>ROUND(RAND()*4+6,1)</f>
      </c>
      <c r="I78" s="17" t="s">
        <v>19</v>
      </c>
      <c r="J78" s="19">
        <f>ROUND(95*1,0)&amp;"%"</f>
      </c>
    </row>
    <row x14ac:dyDescent="0.25" r="79" customHeight="1" ht="17.25">
      <c r="A79" s="20" t="s">
        <v>4433</v>
      </c>
      <c r="B79" s="20" t="s">
        <v>154</v>
      </c>
      <c r="C79" s="20" t="s">
        <v>152</v>
      </c>
      <c r="D79" s="20" t="s">
        <v>22</v>
      </c>
      <c r="E79" s="21">
        <f>ROUND(8301*1.05,2)</f>
      </c>
      <c r="F79" s="20" t="s">
        <v>23</v>
      </c>
      <c r="G79" s="20" t="s">
        <v>24</v>
      </c>
      <c r="H79" s="21">
        <f>ROUND(RAND()*4+6,1)</f>
      </c>
      <c r="I79" s="20" t="s">
        <v>25</v>
      </c>
      <c r="J79" s="23">
        <f>ROUND(99*1,0)&amp;"%"</f>
      </c>
    </row>
    <row x14ac:dyDescent="0.25" r="80" customHeight="1" ht="17.25">
      <c r="A80" s="17" t="s">
        <v>4434</v>
      </c>
      <c r="B80" s="17" t="s">
        <v>156</v>
      </c>
      <c r="C80" s="17" t="s">
        <v>152</v>
      </c>
      <c r="D80" s="17" t="s">
        <v>28</v>
      </c>
      <c r="E80" s="18">
        <f>ROUND(4491*1.05,2)</f>
      </c>
      <c r="F80" s="17" t="s">
        <v>29</v>
      </c>
      <c r="G80" s="17" t="s">
        <v>30</v>
      </c>
      <c r="H80" s="18">
        <f>ROUND(RAND()*4+6,1)</f>
      </c>
      <c r="I80" s="17" t="s">
        <v>31</v>
      </c>
      <c r="J80" s="19">
        <f>ROUND(95*1,0)&amp;"%"</f>
      </c>
    </row>
    <row x14ac:dyDescent="0.25" r="81" customHeight="1" ht="17.25">
      <c r="A81" s="20" t="s">
        <v>4435</v>
      </c>
      <c r="B81" s="20" t="s">
        <v>158</v>
      </c>
      <c r="C81" s="20" t="s">
        <v>152</v>
      </c>
      <c r="D81" s="20" t="s">
        <v>34</v>
      </c>
      <c r="E81" s="21">
        <f>ROUND(14582*1.05,2)</f>
      </c>
      <c r="F81" s="20" t="s">
        <v>35</v>
      </c>
      <c r="G81" s="20" t="s">
        <v>18</v>
      </c>
      <c r="H81" s="21">
        <f>ROUND(RAND()*4+6,1)</f>
      </c>
      <c r="I81" s="20" t="s">
        <v>36</v>
      </c>
      <c r="J81" s="23">
        <f>ROUND(73*1,0)&amp;"%"</f>
      </c>
    </row>
    <row x14ac:dyDescent="0.25" r="82" customHeight="1" ht="17.25">
      <c r="A82" s="17" t="s">
        <v>4436</v>
      </c>
      <c r="B82" s="17" t="s">
        <v>160</v>
      </c>
      <c r="C82" s="17" t="s">
        <v>152</v>
      </c>
      <c r="D82" s="17" t="s">
        <v>39</v>
      </c>
      <c r="E82" s="18">
        <f>ROUND(9914*1.05,2)</f>
      </c>
      <c r="F82" s="17" t="s">
        <v>40</v>
      </c>
      <c r="G82" s="17" t="s">
        <v>24</v>
      </c>
      <c r="H82" s="18">
        <f>ROUND(RAND()*4+6,1)</f>
      </c>
      <c r="I82" s="17" t="s">
        <v>41</v>
      </c>
      <c r="J82" s="19">
        <f>ROUND(63*1,0)&amp;"%"</f>
      </c>
    </row>
    <row x14ac:dyDescent="0.25" r="83" customHeight="1" ht="17.25">
      <c r="A83" s="20" t="s">
        <v>4437</v>
      </c>
      <c r="B83" s="20" t="s">
        <v>162</v>
      </c>
      <c r="C83" s="20" t="s">
        <v>152</v>
      </c>
      <c r="D83" s="20" t="s">
        <v>67</v>
      </c>
      <c r="E83" s="21">
        <f>ROUND(17904*1.05,2)</f>
      </c>
      <c r="F83" s="20" t="s">
        <v>44</v>
      </c>
      <c r="G83" s="20" t="s">
        <v>30</v>
      </c>
      <c r="H83" s="21">
        <f>ROUND(RAND()*4+6,1)</f>
      </c>
      <c r="I83" s="20" t="s">
        <v>45</v>
      </c>
      <c r="J83" s="23">
        <f>ROUND(100*1,0)&amp;"%"</f>
      </c>
    </row>
    <row x14ac:dyDescent="0.25" r="84" customHeight="1" ht="17.25">
      <c r="A84" s="17" t="s">
        <v>4438</v>
      </c>
      <c r="B84" s="17" t="s">
        <v>164</v>
      </c>
      <c r="C84" s="17" t="s">
        <v>152</v>
      </c>
      <c r="D84" s="17" t="s">
        <v>16</v>
      </c>
      <c r="E84" s="18">
        <f>ROUND(11285*1.05,2)</f>
      </c>
      <c r="F84" s="17" t="s">
        <v>48</v>
      </c>
      <c r="G84" s="17" t="s">
        <v>18</v>
      </c>
      <c r="H84" s="18">
        <f>ROUND(RAND()*4+6,1)</f>
      </c>
      <c r="I84" s="17" t="s">
        <v>19</v>
      </c>
      <c r="J84" s="19">
        <f>ROUND(65*1,0)&amp;"%"</f>
      </c>
    </row>
    <row x14ac:dyDescent="0.25" r="85" customHeight="1" ht="17.25">
      <c r="A85" s="20" t="s">
        <v>4439</v>
      </c>
      <c r="B85" s="20" t="s">
        <v>166</v>
      </c>
      <c r="C85" s="20" t="s">
        <v>152</v>
      </c>
      <c r="D85" s="20" t="s">
        <v>22</v>
      </c>
      <c r="E85" s="21">
        <f>ROUND(17889*1.05,2)</f>
      </c>
      <c r="F85" s="20" t="s">
        <v>51</v>
      </c>
      <c r="G85" s="20" t="s">
        <v>24</v>
      </c>
      <c r="H85" s="21">
        <f>ROUND(RAND()*4+6,1)</f>
      </c>
      <c r="I85" s="20" t="s">
        <v>25</v>
      </c>
      <c r="J85" s="23">
        <f>ROUND(85*1,0)&amp;"%"</f>
      </c>
    </row>
    <row x14ac:dyDescent="0.25" r="86" customHeight="1" ht="17.25">
      <c r="A86" s="24" t="s">
        <v>167</v>
      </c>
      <c r="B86" s="24"/>
      <c r="C86" s="24"/>
      <c r="D86" s="24"/>
      <c r="E86" s="25">
        <v>8</v>
      </c>
      <c r="F86" s="9"/>
      <c r="G86" s="9"/>
      <c r="H86" s="10"/>
      <c r="I86" s="9"/>
      <c r="J86" s="9"/>
    </row>
    <row x14ac:dyDescent="0.25" r="87" customHeight="1" ht="17.25">
      <c r="A87" s="7"/>
      <c r="B87" s="7"/>
      <c r="C87" s="7"/>
      <c r="D87" s="7"/>
      <c r="E87" s="8"/>
      <c r="F87" s="9"/>
      <c r="G87" s="9"/>
      <c r="H87" s="10"/>
      <c r="I87" s="9"/>
      <c r="J87" s="9"/>
    </row>
    <row x14ac:dyDescent="0.25" r="88" customHeight="1" ht="17.25">
      <c r="A88" s="11" t="s">
        <v>4440</v>
      </c>
      <c r="B88" s="11"/>
      <c r="C88" s="11"/>
      <c r="D88" s="11"/>
      <c r="E88" s="12"/>
      <c r="F88" s="11"/>
      <c r="G88" s="11"/>
      <c r="H88" s="13"/>
      <c r="I88" s="11"/>
      <c r="J88" s="11"/>
    </row>
    <row x14ac:dyDescent="0.25" r="89" customHeight="1" ht="17.25">
      <c r="A89" s="14" t="s">
        <v>3</v>
      </c>
      <c r="B89" s="14" t="s">
        <v>4</v>
      </c>
      <c r="C89" s="14" t="s">
        <v>5</v>
      </c>
      <c r="D89" s="14" t="s">
        <v>6</v>
      </c>
      <c r="E89" s="15" t="s">
        <v>7</v>
      </c>
      <c r="F89" s="14" t="s">
        <v>8</v>
      </c>
      <c r="G89" s="14" t="s">
        <v>9</v>
      </c>
      <c r="H89" s="16" t="s">
        <v>10</v>
      </c>
      <c r="I89" s="14" t="s">
        <v>11</v>
      </c>
      <c r="J89" s="14" t="s">
        <v>12</v>
      </c>
    </row>
    <row x14ac:dyDescent="0.25" r="90" customHeight="1" ht="17.25">
      <c r="A90" s="17" t="s">
        <v>4441</v>
      </c>
      <c r="B90" s="17" t="s">
        <v>170</v>
      </c>
      <c r="C90" s="17" t="s">
        <v>15</v>
      </c>
      <c r="D90" s="17" t="s">
        <v>16</v>
      </c>
      <c r="E90" s="18">
        <f>ROUND(11776*1.05,2)</f>
      </c>
      <c r="F90" s="17" t="s">
        <v>17</v>
      </c>
      <c r="G90" s="17" t="s">
        <v>18</v>
      </c>
      <c r="H90" s="18">
        <f>ROUND(RAND()*4+6,1)</f>
      </c>
      <c r="I90" s="17" t="s">
        <v>19</v>
      </c>
      <c r="J90" s="19">
        <f>ROUND(98*1,0)&amp;"%"</f>
      </c>
    </row>
    <row x14ac:dyDescent="0.25" r="91" customHeight="1" ht="17.25">
      <c r="A91" s="20" t="s">
        <v>4442</v>
      </c>
      <c r="B91" s="20" t="s">
        <v>172</v>
      </c>
      <c r="C91" s="20" t="s">
        <v>15</v>
      </c>
      <c r="D91" s="20" t="s">
        <v>22</v>
      </c>
      <c r="E91" s="21">
        <f>ROUND(17085*1.05,2)</f>
      </c>
      <c r="F91" s="20" t="s">
        <v>23</v>
      </c>
      <c r="G91" s="20" t="s">
        <v>24</v>
      </c>
      <c r="H91" s="21">
        <f>ROUND(RAND()*4+6,1)</f>
      </c>
      <c r="I91" s="20" t="s">
        <v>25</v>
      </c>
      <c r="J91" s="23">
        <f>ROUND(61*1,0)&amp;"%"</f>
      </c>
    </row>
    <row x14ac:dyDescent="0.25" r="92" customHeight="1" ht="17.25">
      <c r="A92" s="17" t="s">
        <v>4443</v>
      </c>
      <c r="B92" s="17" t="s">
        <v>174</v>
      </c>
      <c r="C92" s="17" t="s">
        <v>15</v>
      </c>
      <c r="D92" s="17" t="s">
        <v>28</v>
      </c>
      <c r="E92" s="18">
        <f>ROUND(12506*1.05,2)</f>
      </c>
      <c r="F92" s="17" t="s">
        <v>29</v>
      </c>
      <c r="G92" s="17" t="s">
        <v>30</v>
      </c>
      <c r="H92" s="18">
        <f>ROUND(RAND()*4+6,1)</f>
      </c>
      <c r="I92" s="17" t="s">
        <v>31</v>
      </c>
      <c r="J92" s="19">
        <f>ROUND(91*1,0)&amp;"%"</f>
      </c>
    </row>
    <row x14ac:dyDescent="0.25" r="93" customHeight="1" ht="17.25">
      <c r="A93" s="20" t="s">
        <v>4444</v>
      </c>
      <c r="B93" s="20" t="s">
        <v>176</v>
      </c>
      <c r="C93" s="20" t="s">
        <v>15</v>
      </c>
      <c r="D93" s="20" t="s">
        <v>34</v>
      </c>
      <c r="E93" s="21">
        <f>ROUND(10710*1.05,2)</f>
      </c>
      <c r="F93" s="20" t="s">
        <v>35</v>
      </c>
      <c r="G93" s="20" t="s">
        <v>18</v>
      </c>
      <c r="H93" s="22">
        <f>ROUND(RAND()*4+6,1)</f>
      </c>
      <c r="I93" s="20" t="s">
        <v>36</v>
      </c>
      <c r="J93" s="23">
        <f>ROUND(64*1,0)&amp;"%"</f>
      </c>
    </row>
    <row x14ac:dyDescent="0.25" r="94" customHeight="1" ht="17.25">
      <c r="A94" s="17" t="s">
        <v>4445</v>
      </c>
      <c r="B94" s="17" t="s">
        <v>178</v>
      </c>
      <c r="C94" s="17" t="s">
        <v>15</v>
      </c>
      <c r="D94" s="17" t="s">
        <v>39</v>
      </c>
      <c r="E94" s="18">
        <f>ROUND(11595*1.05,2)</f>
      </c>
      <c r="F94" s="17" t="s">
        <v>40</v>
      </c>
      <c r="G94" s="17" t="s">
        <v>24</v>
      </c>
      <c r="H94" s="18">
        <f>ROUND(RAND()*4+6,1)</f>
      </c>
      <c r="I94" s="17" t="s">
        <v>41</v>
      </c>
      <c r="J94" s="19">
        <f>ROUND(70*1,0)&amp;"%"</f>
      </c>
    </row>
    <row x14ac:dyDescent="0.25" r="95" customHeight="1" ht="17.25">
      <c r="A95" s="20" t="s">
        <v>4446</v>
      </c>
      <c r="B95" s="20" t="s">
        <v>180</v>
      </c>
      <c r="C95" s="20" t="s">
        <v>15</v>
      </c>
      <c r="D95" s="20" t="s">
        <v>67</v>
      </c>
      <c r="E95" s="21">
        <f>ROUND(5647*1.05,2)</f>
      </c>
      <c r="F95" s="20" t="s">
        <v>44</v>
      </c>
      <c r="G95" s="20" t="s">
        <v>30</v>
      </c>
      <c r="H95" s="21">
        <f>ROUND(RAND()*4+6,1)</f>
      </c>
      <c r="I95" s="20" t="s">
        <v>45</v>
      </c>
      <c r="J95" s="23">
        <f>ROUND(80*1,0)&amp;"%"</f>
      </c>
    </row>
    <row x14ac:dyDescent="0.25" r="96" customHeight="1" ht="17.25">
      <c r="A96" s="17" t="s">
        <v>4447</v>
      </c>
      <c r="B96" s="17" t="s">
        <v>182</v>
      </c>
      <c r="C96" s="17" t="s">
        <v>15</v>
      </c>
      <c r="D96" s="17" t="s">
        <v>16</v>
      </c>
      <c r="E96" s="18">
        <f>ROUND(11791*1.05,2)</f>
      </c>
      <c r="F96" s="17" t="s">
        <v>48</v>
      </c>
      <c r="G96" s="17" t="s">
        <v>18</v>
      </c>
      <c r="H96" s="18">
        <f>ROUND(RAND()*4+6,1)</f>
      </c>
      <c r="I96" s="17" t="s">
        <v>19</v>
      </c>
      <c r="J96" s="19">
        <f>ROUND(71*1,0)&amp;"%"</f>
      </c>
    </row>
    <row x14ac:dyDescent="0.25" r="97" customHeight="1" ht="17.25">
      <c r="A97" s="20" t="s">
        <v>4448</v>
      </c>
      <c r="B97" s="20" t="s">
        <v>184</v>
      </c>
      <c r="C97" s="20" t="s">
        <v>15</v>
      </c>
      <c r="D97" s="20" t="s">
        <v>22</v>
      </c>
      <c r="E97" s="21">
        <f>ROUND(6679*1.05,2)</f>
      </c>
      <c r="F97" s="20" t="s">
        <v>51</v>
      </c>
      <c r="G97" s="20" t="s">
        <v>24</v>
      </c>
      <c r="H97" s="21">
        <f>ROUND(RAND()*4+6,1)</f>
      </c>
      <c r="I97" s="20" t="s">
        <v>25</v>
      </c>
      <c r="J97" s="23">
        <f>ROUND(98*1,0)&amp;"%"</f>
      </c>
    </row>
    <row x14ac:dyDescent="0.25" r="98" customHeight="1" ht="17.25">
      <c r="A98" s="24" t="s">
        <v>185</v>
      </c>
      <c r="B98" s="24"/>
      <c r="C98" s="24"/>
      <c r="D98" s="24"/>
      <c r="E98" s="25">
        <v>8</v>
      </c>
      <c r="F98" s="9"/>
      <c r="G98" s="9"/>
      <c r="H98" s="10"/>
      <c r="I98" s="9"/>
      <c r="J98" s="9"/>
    </row>
    <row x14ac:dyDescent="0.25" r="99" customHeight="1" ht="17.25">
      <c r="A99" s="7"/>
      <c r="B99" s="7"/>
      <c r="C99" s="7"/>
      <c r="D99" s="7"/>
      <c r="E99" s="8"/>
      <c r="F99" s="9"/>
      <c r="G99" s="9"/>
      <c r="H99" s="10"/>
      <c r="I99" s="9"/>
      <c r="J99" s="9"/>
    </row>
    <row x14ac:dyDescent="0.25" r="100" customHeight="1" ht="17.25">
      <c r="A100" s="11" t="s">
        <v>4449</v>
      </c>
      <c r="B100" s="11"/>
      <c r="C100" s="11"/>
      <c r="D100" s="11"/>
      <c r="E100" s="12"/>
      <c r="F100" s="11"/>
      <c r="G100" s="11"/>
      <c r="H100" s="13"/>
      <c r="I100" s="11"/>
      <c r="J100" s="11"/>
    </row>
    <row x14ac:dyDescent="0.25" r="101" customHeight="1" ht="17.25">
      <c r="A101" s="14" t="s">
        <v>3</v>
      </c>
      <c r="B101" s="14" t="s">
        <v>4</v>
      </c>
      <c r="C101" s="14" t="s">
        <v>5</v>
      </c>
      <c r="D101" s="14" t="s">
        <v>6</v>
      </c>
      <c r="E101" s="15" t="s">
        <v>7</v>
      </c>
      <c r="F101" s="14" t="s">
        <v>8</v>
      </c>
      <c r="G101" s="14" t="s">
        <v>9</v>
      </c>
      <c r="H101" s="16" t="s">
        <v>10</v>
      </c>
      <c r="I101" s="14" t="s">
        <v>11</v>
      </c>
      <c r="J101" s="14" t="s">
        <v>12</v>
      </c>
    </row>
    <row x14ac:dyDescent="0.25" r="102" customHeight="1" ht="17.25">
      <c r="A102" s="17" t="s">
        <v>4450</v>
      </c>
      <c r="B102" s="17" t="s">
        <v>188</v>
      </c>
      <c r="C102" s="17" t="s">
        <v>56</v>
      </c>
      <c r="D102" s="17" t="s">
        <v>16</v>
      </c>
      <c r="E102" s="18">
        <f>ROUND(17299*1.05,2)</f>
      </c>
      <c r="F102" s="17" t="s">
        <v>17</v>
      </c>
      <c r="G102" s="17" t="s">
        <v>18</v>
      </c>
      <c r="H102" s="18">
        <f>ROUND(RAND()*4+6,1)</f>
      </c>
      <c r="I102" s="17" t="s">
        <v>19</v>
      </c>
      <c r="J102" s="19">
        <f>ROUND(64*1,0)&amp;"%"</f>
      </c>
    </row>
    <row x14ac:dyDescent="0.25" r="103" customHeight="1" ht="17.25">
      <c r="A103" s="20" t="s">
        <v>4451</v>
      </c>
      <c r="B103" s="20" t="s">
        <v>190</v>
      </c>
      <c r="C103" s="20" t="s">
        <v>56</v>
      </c>
      <c r="D103" s="20" t="s">
        <v>22</v>
      </c>
      <c r="E103" s="21">
        <f>ROUND(10892*1.05,2)</f>
      </c>
      <c r="F103" s="20" t="s">
        <v>23</v>
      </c>
      <c r="G103" s="20" t="s">
        <v>24</v>
      </c>
      <c r="H103" s="21">
        <f>ROUND(RAND()*4+6,1)</f>
      </c>
      <c r="I103" s="20" t="s">
        <v>25</v>
      </c>
      <c r="J103" s="23">
        <f>ROUND(74*1,0)&amp;"%"</f>
      </c>
    </row>
    <row x14ac:dyDescent="0.25" r="104" customHeight="1" ht="17.25">
      <c r="A104" s="17" t="s">
        <v>4452</v>
      </c>
      <c r="B104" s="17" t="s">
        <v>192</v>
      </c>
      <c r="C104" s="17" t="s">
        <v>56</v>
      </c>
      <c r="D104" s="17" t="s">
        <v>28</v>
      </c>
      <c r="E104" s="18">
        <f>ROUND(10868*1.05,2)</f>
      </c>
      <c r="F104" s="17" t="s">
        <v>29</v>
      </c>
      <c r="G104" s="17" t="s">
        <v>30</v>
      </c>
      <c r="H104" s="18">
        <f>ROUND(RAND()*4+6,1)</f>
      </c>
      <c r="I104" s="17" t="s">
        <v>31</v>
      </c>
      <c r="J104" s="19">
        <f>ROUND(61*1,0)&amp;"%"</f>
      </c>
    </row>
    <row x14ac:dyDescent="0.25" r="105" customHeight="1" ht="17.25">
      <c r="A105" s="20" t="s">
        <v>4453</v>
      </c>
      <c r="B105" s="20" t="s">
        <v>194</v>
      </c>
      <c r="C105" s="20" t="s">
        <v>56</v>
      </c>
      <c r="D105" s="20" t="s">
        <v>34</v>
      </c>
      <c r="E105" s="21">
        <f>ROUND(11834*1.05,2)</f>
      </c>
      <c r="F105" s="20" t="s">
        <v>35</v>
      </c>
      <c r="G105" s="20" t="s">
        <v>18</v>
      </c>
      <c r="H105" s="21">
        <f>ROUND(RAND()*4+6,1)</f>
      </c>
      <c r="I105" s="20" t="s">
        <v>36</v>
      </c>
      <c r="J105" s="23">
        <f>ROUND(95*1,0)&amp;"%"</f>
      </c>
    </row>
    <row x14ac:dyDescent="0.25" r="106" customHeight="1" ht="17.25">
      <c r="A106" s="17" t="s">
        <v>4454</v>
      </c>
      <c r="B106" s="17" t="s">
        <v>196</v>
      </c>
      <c r="C106" s="17" t="s">
        <v>56</v>
      </c>
      <c r="D106" s="17" t="s">
        <v>39</v>
      </c>
      <c r="E106" s="18">
        <f>ROUND(13105*1.05,2)</f>
      </c>
      <c r="F106" s="17" t="s">
        <v>40</v>
      </c>
      <c r="G106" s="17" t="s">
        <v>24</v>
      </c>
      <c r="H106" s="18">
        <f>ROUND(RAND()*4+6,1)</f>
      </c>
      <c r="I106" s="17" t="s">
        <v>41</v>
      </c>
      <c r="J106" s="19">
        <f>ROUND(74*1,0)&amp;"%"</f>
      </c>
    </row>
    <row x14ac:dyDescent="0.25" r="107" customHeight="1" ht="17.25">
      <c r="A107" s="20" t="s">
        <v>4455</v>
      </c>
      <c r="B107" s="20" t="s">
        <v>198</v>
      </c>
      <c r="C107" s="20" t="s">
        <v>56</v>
      </c>
      <c r="D107" s="20" t="s">
        <v>67</v>
      </c>
      <c r="E107" s="22">
        <f>ROUND(15140*1.05,2)</f>
      </c>
      <c r="F107" s="20" t="s">
        <v>44</v>
      </c>
      <c r="G107" s="20" t="s">
        <v>30</v>
      </c>
      <c r="H107" s="21">
        <f>ROUND(RAND()*4+6,1)</f>
      </c>
      <c r="I107" s="20" t="s">
        <v>45</v>
      </c>
      <c r="J107" s="23">
        <f>ROUND(88*1,0)&amp;"%"</f>
      </c>
    </row>
    <row x14ac:dyDescent="0.25" r="108" customHeight="1" ht="17.25">
      <c r="A108" s="17" t="s">
        <v>4456</v>
      </c>
      <c r="B108" s="17" t="s">
        <v>200</v>
      </c>
      <c r="C108" s="17" t="s">
        <v>56</v>
      </c>
      <c r="D108" s="17" t="s">
        <v>16</v>
      </c>
      <c r="E108" s="18">
        <f>ROUND(16259*1.05,2)</f>
      </c>
      <c r="F108" s="17" t="s">
        <v>48</v>
      </c>
      <c r="G108" s="17" t="s">
        <v>18</v>
      </c>
      <c r="H108" s="18">
        <f>ROUND(RAND()*4+6,1)</f>
      </c>
      <c r="I108" s="17" t="s">
        <v>19</v>
      </c>
      <c r="J108" s="19">
        <f>ROUND(68*1,0)&amp;"%"</f>
      </c>
    </row>
    <row x14ac:dyDescent="0.25" r="109" customHeight="1" ht="17.25">
      <c r="A109" s="20" t="s">
        <v>4457</v>
      </c>
      <c r="B109" s="20" t="s">
        <v>202</v>
      </c>
      <c r="C109" s="20" t="s">
        <v>56</v>
      </c>
      <c r="D109" s="20" t="s">
        <v>22</v>
      </c>
      <c r="E109" s="21">
        <f>ROUND(10486*1.05,2)</f>
      </c>
      <c r="F109" s="20" t="s">
        <v>51</v>
      </c>
      <c r="G109" s="20" t="s">
        <v>24</v>
      </c>
      <c r="H109" s="21">
        <f>ROUND(RAND()*4+6,1)</f>
      </c>
      <c r="I109" s="20" t="s">
        <v>25</v>
      </c>
      <c r="J109" s="23">
        <f>ROUND(100*1,0)&amp;"%"</f>
      </c>
    </row>
    <row x14ac:dyDescent="0.25" r="110" customHeight="1" ht="17.25">
      <c r="A110" s="24" t="s">
        <v>203</v>
      </c>
      <c r="B110" s="24"/>
      <c r="C110" s="24"/>
      <c r="D110" s="24"/>
      <c r="E110" s="25">
        <v>8</v>
      </c>
      <c r="F110" s="9"/>
      <c r="G110" s="9"/>
      <c r="H110" s="10"/>
      <c r="I110" s="9"/>
      <c r="J110" s="9"/>
    </row>
    <row x14ac:dyDescent="0.25" r="111" customHeight="1" ht="17.25">
      <c r="A111" s="7"/>
      <c r="B111" s="7"/>
      <c r="C111" s="7"/>
      <c r="D111" s="7"/>
      <c r="E111" s="8"/>
      <c r="F111" s="9"/>
      <c r="G111" s="9"/>
      <c r="H111" s="10"/>
      <c r="I111" s="9"/>
      <c r="J111" s="9"/>
    </row>
    <row x14ac:dyDescent="0.25" r="112" customHeight="1" ht="17.25">
      <c r="A112" s="11" t="s">
        <v>4458</v>
      </c>
      <c r="B112" s="11"/>
      <c r="C112" s="11"/>
      <c r="D112" s="11"/>
      <c r="E112" s="12"/>
      <c r="F112" s="11"/>
      <c r="G112" s="11"/>
      <c r="H112" s="13"/>
      <c r="I112" s="11"/>
      <c r="J112" s="11"/>
    </row>
    <row x14ac:dyDescent="0.25" r="113" customHeight="1" ht="17.25">
      <c r="A113" s="14" t="s">
        <v>3</v>
      </c>
      <c r="B113" s="14" t="s">
        <v>4</v>
      </c>
      <c r="C113" s="14" t="s">
        <v>5</v>
      </c>
      <c r="D113" s="14" t="s">
        <v>6</v>
      </c>
      <c r="E113" s="15" t="s">
        <v>7</v>
      </c>
      <c r="F113" s="14" t="s">
        <v>8</v>
      </c>
      <c r="G113" s="14" t="s">
        <v>9</v>
      </c>
      <c r="H113" s="16" t="s">
        <v>10</v>
      </c>
      <c r="I113" s="14" t="s">
        <v>11</v>
      </c>
      <c r="J113" s="14" t="s">
        <v>12</v>
      </c>
    </row>
    <row x14ac:dyDescent="0.25" r="114" customHeight="1" ht="17.25">
      <c r="A114" s="17" t="s">
        <v>4459</v>
      </c>
      <c r="B114" s="17" t="s">
        <v>206</v>
      </c>
      <c r="C114" s="17" t="s">
        <v>76</v>
      </c>
      <c r="D114" s="17" t="s">
        <v>16</v>
      </c>
      <c r="E114" s="18">
        <f>ROUND(7787*1.05,2)</f>
      </c>
      <c r="F114" s="17" t="s">
        <v>17</v>
      </c>
      <c r="G114" s="17" t="s">
        <v>18</v>
      </c>
      <c r="H114" s="18">
        <f>ROUND(RAND()*4+6,1)</f>
      </c>
      <c r="I114" s="17" t="s">
        <v>19</v>
      </c>
      <c r="J114" s="19">
        <f>ROUND(94*1,0)&amp;"%"</f>
      </c>
    </row>
    <row x14ac:dyDescent="0.25" r="115" customHeight="1" ht="17.25">
      <c r="A115" s="20" t="s">
        <v>4460</v>
      </c>
      <c r="B115" s="20" t="s">
        <v>208</v>
      </c>
      <c r="C115" s="20" t="s">
        <v>76</v>
      </c>
      <c r="D115" s="20" t="s">
        <v>22</v>
      </c>
      <c r="E115" s="21">
        <f>ROUND(12524*1.05,2)</f>
      </c>
      <c r="F115" s="20" t="s">
        <v>23</v>
      </c>
      <c r="G115" s="20" t="s">
        <v>24</v>
      </c>
      <c r="H115" s="21">
        <f>ROUND(RAND()*4+6,1)</f>
      </c>
      <c r="I115" s="20" t="s">
        <v>25</v>
      </c>
      <c r="J115" s="23">
        <f>ROUND(88*1,0)&amp;"%"</f>
      </c>
    </row>
    <row x14ac:dyDescent="0.25" r="116" customHeight="1" ht="17.25">
      <c r="A116" s="17" t="s">
        <v>4461</v>
      </c>
      <c r="B116" s="17" t="s">
        <v>210</v>
      </c>
      <c r="C116" s="17" t="s">
        <v>76</v>
      </c>
      <c r="D116" s="17" t="s">
        <v>28</v>
      </c>
      <c r="E116" s="18">
        <f>ROUND(16604*1.05,2)</f>
      </c>
      <c r="F116" s="17" t="s">
        <v>29</v>
      </c>
      <c r="G116" s="17" t="s">
        <v>30</v>
      </c>
      <c r="H116" s="18">
        <f>ROUND(RAND()*4+6,1)</f>
      </c>
      <c r="I116" s="17" t="s">
        <v>31</v>
      </c>
      <c r="J116" s="19">
        <f>ROUND(85*1,0)&amp;"%"</f>
      </c>
    </row>
    <row x14ac:dyDescent="0.25" r="117" customHeight="1" ht="17.25">
      <c r="A117" s="20" t="s">
        <v>4462</v>
      </c>
      <c r="B117" s="20" t="s">
        <v>212</v>
      </c>
      <c r="C117" s="20" t="s">
        <v>76</v>
      </c>
      <c r="D117" s="20" t="s">
        <v>34</v>
      </c>
      <c r="E117" s="21">
        <f>ROUND(15845*1.05,2)</f>
      </c>
      <c r="F117" s="20" t="s">
        <v>35</v>
      </c>
      <c r="G117" s="20" t="s">
        <v>18</v>
      </c>
      <c r="H117" s="21">
        <f>ROUND(RAND()*4+6,1)</f>
      </c>
      <c r="I117" s="20" t="s">
        <v>36</v>
      </c>
      <c r="J117" s="23">
        <f>ROUND(72*1,0)&amp;"%"</f>
      </c>
    </row>
    <row x14ac:dyDescent="0.25" r="118" customHeight="1" ht="17.25">
      <c r="A118" s="17" t="s">
        <v>4463</v>
      </c>
      <c r="B118" s="17" t="s">
        <v>214</v>
      </c>
      <c r="C118" s="17" t="s">
        <v>76</v>
      </c>
      <c r="D118" s="17" t="s">
        <v>39</v>
      </c>
      <c r="E118" s="18">
        <f>ROUND(14427*1.05,2)</f>
      </c>
      <c r="F118" s="17" t="s">
        <v>40</v>
      </c>
      <c r="G118" s="17" t="s">
        <v>24</v>
      </c>
      <c r="H118" s="18">
        <f>ROUND(RAND()*4+6,1)</f>
      </c>
      <c r="I118" s="17" t="s">
        <v>41</v>
      </c>
      <c r="J118" s="19">
        <f>ROUND(100*1,0)&amp;"%"</f>
      </c>
    </row>
    <row x14ac:dyDescent="0.25" r="119" customHeight="1" ht="17.25">
      <c r="A119" s="20" t="s">
        <v>4464</v>
      </c>
      <c r="B119" s="20" t="s">
        <v>216</v>
      </c>
      <c r="C119" s="20" t="s">
        <v>76</v>
      </c>
      <c r="D119" s="20" t="s">
        <v>67</v>
      </c>
      <c r="E119" s="21">
        <f>ROUND(12058*1.05,2)</f>
      </c>
      <c r="F119" s="20" t="s">
        <v>44</v>
      </c>
      <c r="G119" s="20" t="s">
        <v>30</v>
      </c>
      <c r="H119" s="21">
        <f>ROUND(RAND()*4+6,1)</f>
      </c>
      <c r="I119" s="20" t="s">
        <v>45</v>
      </c>
      <c r="J119" s="23">
        <f>ROUND(82*1,0)&amp;"%"</f>
      </c>
    </row>
    <row x14ac:dyDescent="0.25" r="120" customHeight="1" ht="17.25">
      <c r="A120" s="17" t="s">
        <v>4465</v>
      </c>
      <c r="B120" s="17" t="s">
        <v>218</v>
      </c>
      <c r="C120" s="17" t="s">
        <v>76</v>
      </c>
      <c r="D120" s="17" t="s">
        <v>16</v>
      </c>
      <c r="E120" s="18">
        <f>ROUND(7765*1.05,2)</f>
      </c>
      <c r="F120" s="17" t="s">
        <v>48</v>
      </c>
      <c r="G120" s="17" t="s">
        <v>18</v>
      </c>
      <c r="H120" s="18">
        <f>ROUND(RAND()*4+6,1)</f>
      </c>
      <c r="I120" s="17" t="s">
        <v>19</v>
      </c>
      <c r="J120" s="19">
        <f>ROUND(66*1,0)&amp;"%"</f>
      </c>
    </row>
    <row x14ac:dyDescent="0.25" r="121" customHeight="1" ht="17.25">
      <c r="A121" s="20" t="s">
        <v>4466</v>
      </c>
      <c r="B121" s="20" t="s">
        <v>220</v>
      </c>
      <c r="C121" s="20" t="s">
        <v>76</v>
      </c>
      <c r="D121" s="20" t="s">
        <v>22</v>
      </c>
      <c r="E121" s="21">
        <f>ROUND(6623*1.05,2)</f>
      </c>
      <c r="F121" s="20" t="s">
        <v>51</v>
      </c>
      <c r="G121" s="20" t="s">
        <v>24</v>
      </c>
      <c r="H121" s="21">
        <f>ROUND(RAND()*4+6,1)</f>
      </c>
      <c r="I121" s="20" t="s">
        <v>25</v>
      </c>
      <c r="J121" s="23">
        <f>ROUND(64*1,0)&amp;"%"</f>
      </c>
    </row>
    <row x14ac:dyDescent="0.25" r="122" customHeight="1" ht="17.25">
      <c r="A122" s="24" t="s">
        <v>221</v>
      </c>
      <c r="B122" s="24"/>
      <c r="C122" s="24"/>
      <c r="D122" s="24"/>
      <c r="E122" s="25">
        <v>8</v>
      </c>
      <c r="F122" s="9"/>
      <c r="G122" s="9"/>
      <c r="H122" s="10"/>
      <c r="I122" s="9"/>
      <c r="J122" s="9"/>
    </row>
    <row x14ac:dyDescent="0.25" r="123" customHeight="1" ht="17.25">
      <c r="A123" s="7"/>
      <c r="B123" s="7"/>
      <c r="C123" s="7"/>
      <c r="D123" s="7"/>
      <c r="E123" s="8"/>
      <c r="F123" s="9"/>
      <c r="G123" s="9"/>
      <c r="H123" s="10"/>
      <c r="I123" s="9"/>
      <c r="J123" s="9"/>
    </row>
    <row x14ac:dyDescent="0.25" r="124" customHeight="1" ht="17.25">
      <c r="A124" s="11" t="s">
        <v>4467</v>
      </c>
      <c r="B124" s="11"/>
      <c r="C124" s="11"/>
      <c r="D124" s="11"/>
      <c r="E124" s="12"/>
      <c r="F124" s="11"/>
      <c r="G124" s="11"/>
      <c r="H124" s="13"/>
      <c r="I124" s="11"/>
      <c r="J124" s="11"/>
    </row>
    <row x14ac:dyDescent="0.25" r="125" customHeight="1" ht="17.25">
      <c r="A125" s="14" t="s">
        <v>3</v>
      </c>
      <c r="B125" s="14" t="s">
        <v>4</v>
      </c>
      <c r="C125" s="14" t="s">
        <v>5</v>
      </c>
      <c r="D125" s="14" t="s">
        <v>6</v>
      </c>
      <c r="E125" s="15" t="s">
        <v>7</v>
      </c>
      <c r="F125" s="14" t="s">
        <v>8</v>
      </c>
      <c r="G125" s="14" t="s">
        <v>9</v>
      </c>
      <c r="H125" s="16" t="s">
        <v>10</v>
      </c>
      <c r="I125" s="14" t="s">
        <v>11</v>
      </c>
      <c r="J125" s="14" t="s">
        <v>12</v>
      </c>
    </row>
    <row x14ac:dyDescent="0.25" r="126" customHeight="1" ht="17.25">
      <c r="A126" s="17" t="s">
        <v>4468</v>
      </c>
      <c r="B126" s="17" t="s">
        <v>224</v>
      </c>
      <c r="C126" s="17" t="s">
        <v>95</v>
      </c>
      <c r="D126" s="17" t="s">
        <v>16</v>
      </c>
      <c r="E126" s="18">
        <f>ROUND(16828*1.05,2)</f>
      </c>
      <c r="F126" s="17" t="s">
        <v>17</v>
      </c>
      <c r="G126" s="17" t="s">
        <v>18</v>
      </c>
      <c r="H126" s="18">
        <f>ROUND(RAND()*4+6,1)</f>
      </c>
      <c r="I126" s="17" t="s">
        <v>19</v>
      </c>
      <c r="J126" s="19">
        <f>ROUND(80*1,0)&amp;"%"</f>
      </c>
    </row>
    <row x14ac:dyDescent="0.25" r="127" customHeight="1" ht="17.25">
      <c r="A127" s="20" t="s">
        <v>4469</v>
      </c>
      <c r="B127" s="20" t="s">
        <v>226</v>
      </c>
      <c r="C127" s="20" t="s">
        <v>95</v>
      </c>
      <c r="D127" s="20" t="s">
        <v>22</v>
      </c>
      <c r="E127" s="21">
        <f>ROUND(8165*1.05,2)</f>
      </c>
      <c r="F127" s="20" t="s">
        <v>23</v>
      </c>
      <c r="G127" s="20" t="s">
        <v>24</v>
      </c>
      <c r="H127" s="21">
        <f>ROUND(RAND()*4+6,1)</f>
      </c>
      <c r="I127" s="20" t="s">
        <v>25</v>
      </c>
      <c r="J127" s="23">
        <f>ROUND(64*1,0)&amp;"%"</f>
      </c>
    </row>
    <row x14ac:dyDescent="0.25" r="128" customHeight="1" ht="17.25">
      <c r="A128" s="17" t="s">
        <v>4470</v>
      </c>
      <c r="B128" s="17" t="s">
        <v>228</v>
      </c>
      <c r="C128" s="17" t="s">
        <v>95</v>
      </c>
      <c r="D128" s="17" t="s">
        <v>28</v>
      </c>
      <c r="E128" s="18">
        <f>ROUND(7779*1.05,2)</f>
      </c>
      <c r="F128" s="17" t="s">
        <v>29</v>
      </c>
      <c r="G128" s="17" t="s">
        <v>30</v>
      </c>
      <c r="H128" s="18">
        <f>ROUND(RAND()*4+6,1)</f>
      </c>
      <c r="I128" s="17" t="s">
        <v>31</v>
      </c>
      <c r="J128" s="19">
        <f>ROUND(99*1,0)&amp;"%"</f>
      </c>
    </row>
    <row x14ac:dyDescent="0.25" r="129" customHeight="1" ht="17.25">
      <c r="A129" s="20" t="s">
        <v>4471</v>
      </c>
      <c r="B129" s="20" t="s">
        <v>230</v>
      </c>
      <c r="C129" s="20" t="s">
        <v>95</v>
      </c>
      <c r="D129" s="20" t="s">
        <v>34</v>
      </c>
      <c r="E129" s="21">
        <f>ROUND(8353*1.05,2)</f>
      </c>
      <c r="F129" s="20" t="s">
        <v>35</v>
      </c>
      <c r="G129" s="20" t="s">
        <v>18</v>
      </c>
      <c r="H129" s="21">
        <f>ROUND(RAND()*4+6,1)</f>
      </c>
      <c r="I129" s="20" t="s">
        <v>36</v>
      </c>
      <c r="J129" s="23">
        <f>ROUND(80*1,0)&amp;"%"</f>
      </c>
    </row>
    <row x14ac:dyDescent="0.25" r="130" customHeight="1" ht="17.25">
      <c r="A130" s="17" t="s">
        <v>4472</v>
      </c>
      <c r="B130" s="17" t="s">
        <v>232</v>
      </c>
      <c r="C130" s="17" t="s">
        <v>95</v>
      </c>
      <c r="D130" s="17" t="s">
        <v>39</v>
      </c>
      <c r="E130" s="18">
        <f>ROUND(4213*1.05,2)</f>
      </c>
      <c r="F130" s="17" t="s">
        <v>40</v>
      </c>
      <c r="G130" s="17" t="s">
        <v>24</v>
      </c>
      <c r="H130" s="18">
        <f>ROUND(RAND()*4+6,1)</f>
      </c>
      <c r="I130" s="17" t="s">
        <v>41</v>
      </c>
      <c r="J130" s="19">
        <f>ROUND(78*1,0)&amp;"%"</f>
      </c>
    </row>
    <row x14ac:dyDescent="0.25" r="131" customHeight="1" ht="17.25">
      <c r="A131" s="20" t="s">
        <v>4473</v>
      </c>
      <c r="B131" s="20" t="s">
        <v>234</v>
      </c>
      <c r="C131" s="20" t="s">
        <v>95</v>
      </c>
      <c r="D131" s="20" t="s">
        <v>67</v>
      </c>
      <c r="E131" s="21">
        <f>ROUND(5816*1.05,2)</f>
      </c>
      <c r="F131" s="20" t="s">
        <v>44</v>
      </c>
      <c r="G131" s="20" t="s">
        <v>30</v>
      </c>
      <c r="H131" s="21">
        <f>ROUND(RAND()*4+6,1)</f>
      </c>
      <c r="I131" s="20" t="s">
        <v>45</v>
      </c>
      <c r="J131" s="23">
        <f>ROUND(61*1,0)&amp;"%"</f>
      </c>
    </row>
    <row x14ac:dyDescent="0.25" r="132" customHeight="1" ht="17.25">
      <c r="A132" s="17" t="s">
        <v>4474</v>
      </c>
      <c r="B132" s="17" t="s">
        <v>236</v>
      </c>
      <c r="C132" s="17" t="s">
        <v>95</v>
      </c>
      <c r="D132" s="17" t="s">
        <v>16</v>
      </c>
      <c r="E132" s="18">
        <f>ROUND(11993*1.05,2)</f>
      </c>
      <c r="F132" s="17" t="s">
        <v>48</v>
      </c>
      <c r="G132" s="17" t="s">
        <v>18</v>
      </c>
      <c r="H132" s="18">
        <f>ROUND(RAND()*4+6,1)</f>
      </c>
      <c r="I132" s="17" t="s">
        <v>19</v>
      </c>
      <c r="J132" s="19">
        <f>ROUND(76*1,0)&amp;"%"</f>
      </c>
    </row>
    <row x14ac:dyDescent="0.25" r="133" customHeight="1" ht="17.25">
      <c r="A133" s="20" t="s">
        <v>4475</v>
      </c>
      <c r="B133" s="20" t="s">
        <v>238</v>
      </c>
      <c r="C133" s="20" t="s">
        <v>95</v>
      </c>
      <c r="D133" s="20" t="s">
        <v>22</v>
      </c>
      <c r="E133" s="21">
        <f>ROUND(6352*1.05,2)</f>
      </c>
      <c r="F133" s="20" t="s">
        <v>51</v>
      </c>
      <c r="G133" s="20" t="s">
        <v>24</v>
      </c>
      <c r="H133" s="21">
        <f>ROUND(RAND()*4+6,1)</f>
      </c>
      <c r="I133" s="20" t="s">
        <v>25</v>
      </c>
      <c r="J133" s="23">
        <f>ROUND(84*1,0)&amp;"%"</f>
      </c>
    </row>
    <row x14ac:dyDescent="0.25" r="134" customHeight="1" ht="17.25">
      <c r="A134" s="24" t="s">
        <v>239</v>
      </c>
      <c r="B134" s="24"/>
      <c r="C134" s="24"/>
      <c r="D134" s="24"/>
      <c r="E134" s="25">
        <v>8</v>
      </c>
      <c r="F134" s="9"/>
      <c r="G134" s="9"/>
      <c r="H134" s="10"/>
      <c r="I134" s="9"/>
      <c r="J134" s="9"/>
    </row>
    <row x14ac:dyDescent="0.25" r="135" customHeight="1" ht="17.25">
      <c r="A135" s="7"/>
      <c r="B135" s="7"/>
      <c r="C135" s="7"/>
      <c r="D135" s="7"/>
      <c r="E135" s="8"/>
      <c r="F135" s="9"/>
      <c r="G135" s="9"/>
      <c r="H135" s="10"/>
      <c r="I135" s="9"/>
      <c r="J135" s="9"/>
    </row>
    <row x14ac:dyDescent="0.25" r="136" customHeight="1" ht="17.25">
      <c r="A136" s="11" t="s">
        <v>4476</v>
      </c>
      <c r="B136" s="11"/>
      <c r="C136" s="11"/>
      <c r="D136" s="11"/>
      <c r="E136" s="12"/>
      <c r="F136" s="11"/>
      <c r="G136" s="11"/>
      <c r="H136" s="13"/>
      <c r="I136" s="11"/>
      <c r="J136" s="11"/>
    </row>
    <row x14ac:dyDescent="0.25" r="137" customHeight="1" ht="17.25">
      <c r="A137" s="14" t="s">
        <v>3</v>
      </c>
      <c r="B137" s="14" t="s">
        <v>4</v>
      </c>
      <c r="C137" s="14" t="s">
        <v>5</v>
      </c>
      <c r="D137" s="14" t="s">
        <v>6</v>
      </c>
      <c r="E137" s="15" t="s">
        <v>7</v>
      </c>
      <c r="F137" s="14" t="s">
        <v>8</v>
      </c>
      <c r="G137" s="14" t="s">
        <v>9</v>
      </c>
      <c r="H137" s="16" t="s">
        <v>10</v>
      </c>
      <c r="I137" s="14" t="s">
        <v>11</v>
      </c>
      <c r="J137" s="14" t="s">
        <v>12</v>
      </c>
    </row>
    <row x14ac:dyDescent="0.25" r="138" customHeight="1" ht="17.25">
      <c r="A138" s="17" t="s">
        <v>4477</v>
      </c>
      <c r="B138" s="17" t="s">
        <v>242</v>
      </c>
      <c r="C138" s="17" t="s">
        <v>114</v>
      </c>
      <c r="D138" s="17" t="s">
        <v>16</v>
      </c>
      <c r="E138" s="18">
        <f>ROUND(9837*1.05,2)</f>
      </c>
      <c r="F138" s="17" t="s">
        <v>17</v>
      </c>
      <c r="G138" s="17" t="s">
        <v>18</v>
      </c>
      <c r="H138" s="18">
        <f>ROUND(RAND()*4+6,1)</f>
      </c>
      <c r="I138" s="17" t="s">
        <v>19</v>
      </c>
      <c r="J138" s="19">
        <f>ROUND(93*1,0)&amp;"%"</f>
      </c>
    </row>
    <row x14ac:dyDescent="0.25" r="139" customHeight="1" ht="17.25">
      <c r="A139" s="20" t="s">
        <v>4478</v>
      </c>
      <c r="B139" s="20" t="s">
        <v>244</v>
      </c>
      <c r="C139" s="20" t="s">
        <v>114</v>
      </c>
      <c r="D139" s="20" t="s">
        <v>22</v>
      </c>
      <c r="E139" s="21">
        <f>ROUND(7799*1.05,2)</f>
      </c>
      <c r="F139" s="20" t="s">
        <v>23</v>
      </c>
      <c r="G139" s="20" t="s">
        <v>24</v>
      </c>
      <c r="H139" s="21">
        <f>ROUND(RAND()*4+6,1)</f>
      </c>
      <c r="I139" s="20" t="s">
        <v>25</v>
      </c>
      <c r="J139" s="23">
        <f>ROUND(75*1,0)&amp;"%"</f>
      </c>
    </row>
    <row x14ac:dyDescent="0.25" r="140" customHeight="1" ht="17.25">
      <c r="A140" s="17" t="s">
        <v>4479</v>
      </c>
      <c r="B140" s="17" t="s">
        <v>246</v>
      </c>
      <c r="C140" s="17" t="s">
        <v>114</v>
      </c>
      <c r="D140" s="17" t="s">
        <v>28</v>
      </c>
      <c r="E140" s="18">
        <f>ROUND(6501*1.05,2)</f>
      </c>
      <c r="F140" s="17" t="s">
        <v>29</v>
      </c>
      <c r="G140" s="17" t="s">
        <v>30</v>
      </c>
      <c r="H140" s="18">
        <f>ROUND(RAND()*4+6,1)</f>
      </c>
      <c r="I140" s="17" t="s">
        <v>31</v>
      </c>
      <c r="J140" s="19">
        <f>ROUND(80*1,0)&amp;"%"</f>
      </c>
    </row>
    <row x14ac:dyDescent="0.25" r="141" customHeight="1" ht="17.25">
      <c r="A141" s="20" t="s">
        <v>4480</v>
      </c>
      <c r="B141" s="20" t="s">
        <v>248</v>
      </c>
      <c r="C141" s="20" t="s">
        <v>114</v>
      </c>
      <c r="D141" s="20" t="s">
        <v>34</v>
      </c>
      <c r="E141" s="22">
        <f>ROUND(15380*1.05,2)</f>
      </c>
      <c r="F141" s="20" t="s">
        <v>35</v>
      </c>
      <c r="G141" s="20" t="s">
        <v>18</v>
      </c>
      <c r="H141" s="22">
        <f>ROUND(RAND()*4+6,1)</f>
      </c>
      <c r="I141" s="20" t="s">
        <v>36</v>
      </c>
      <c r="J141" s="23">
        <f>ROUND(86*1,0)&amp;"%"</f>
      </c>
    </row>
    <row x14ac:dyDescent="0.25" r="142" customHeight="1" ht="17.25">
      <c r="A142" s="17" t="s">
        <v>4481</v>
      </c>
      <c r="B142" s="17" t="s">
        <v>250</v>
      </c>
      <c r="C142" s="17" t="s">
        <v>114</v>
      </c>
      <c r="D142" s="17" t="s">
        <v>39</v>
      </c>
      <c r="E142" s="18">
        <f>ROUND(7892*1.05,2)</f>
      </c>
      <c r="F142" s="17" t="s">
        <v>40</v>
      </c>
      <c r="G142" s="17" t="s">
        <v>24</v>
      </c>
      <c r="H142" s="18">
        <f>ROUND(RAND()*4+6,1)</f>
      </c>
      <c r="I142" s="17" t="s">
        <v>41</v>
      </c>
      <c r="J142" s="19">
        <f>ROUND(75*1,0)&amp;"%"</f>
      </c>
    </row>
    <row x14ac:dyDescent="0.25" r="143" customHeight="1" ht="17.25">
      <c r="A143" s="20" t="s">
        <v>4482</v>
      </c>
      <c r="B143" s="20" t="s">
        <v>252</v>
      </c>
      <c r="C143" s="20" t="s">
        <v>114</v>
      </c>
      <c r="D143" s="20" t="s">
        <v>67</v>
      </c>
      <c r="E143" s="21">
        <f>ROUND(9264*1.05,2)</f>
      </c>
      <c r="F143" s="20" t="s">
        <v>44</v>
      </c>
      <c r="G143" s="20" t="s">
        <v>30</v>
      </c>
      <c r="H143" s="21">
        <f>ROUND(RAND()*4+6,1)</f>
      </c>
      <c r="I143" s="20" t="s">
        <v>45</v>
      </c>
      <c r="J143" s="23">
        <f>ROUND(63*1,0)&amp;"%"</f>
      </c>
    </row>
    <row x14ac:dyDescent="0.25" r="144" customHeight="1" ht="17.25">
      <c r="A144" s="17" t="s">
        <v>4483</v>
      </c>
      <c r="B144" s="17" t="s">
        <v>254</v>
      </c>
      <c r="C144" s="17" t="s">
        <v>114</v>
      </c>
      <c r="D144" s="17" t="s">
        <v>16</v>
      </c>
      <c r="E144" s="18">
        <f>ROUND(17502*1.05,2)</f>
      </c>
      <c r="F144" s="17" t="s">
        <v>48</v>
      </c>
      <c r="G144" s="17" t="s">
        <v>18</v>
      </c>
      <c r="H144" s="26">
        <f>ROUND(RAND()*4+6,1)</f>
      </c>
      <c r="I144" s="17" t="s">
        <v>19</v>
      </c>
      <c r="J144" s="19">
        <f>ROUND(100*1,0)&amp;"%"</f>
      </c>
    </row>
    <row x14ac:dyDescent="0.25" r="145" customHeight="1" ht="17.25">
      <c r="A145" s="20" t="s">
        <v>4484</v>
      </c>
      <c r="B145" s="20" t="s">
        <v>256</v>
      </c>
      <c r="C145" s="20" t="s">
        <v>114</v>
      </c>
      <c r="D145" s="20" t="s">
        <v>22</v>
      </c>
      <c r="E145" s="21">
        <f>ROUND(9256*1.05,2)</f>
      </c>
      <c r="F145" s="20" t="s">
        <v>51</v>
      </c>
      <c r="G145" s="20" t="s">
        <v>24</v>
      </c>
      <c r="H145" s="21">
        <f>ROUND(RAND()*4+6,1)</f>
      </c>
      <c r="I145" s="20" t="s">
        <v>25</v>
      </c>
      <c r="J145" s="23">
        <f>ROUND(79*1,0)&amp;"%"</f>
      </c>
    </row>
    <row x14ac:dyDescent="0.25" r="146" customHeight="1" ht="17.25">
      <c r="A146" s="24" t="s">
        <v>257</v>
      </c>
      <c r="B146" s="24"/>
      <c r="C146" s="24"/>
      <c r="D146" s="24"/>
      <c r="E146" s="25">
        <v>8</v>
      </c>
      <c r="F146" s="9"/>
      <c r="G146" s="9"/>
      <c r="H146" s="10"/>
      <c r="I146" s="9"/>
      <c r="J146" s="9"/>
    </row>
    <row x14ac:dyDescent="0.25" r="147" customHeight="1" ht="17.25">
      <c r="A147" s="7"/>
      <c r="B147" s="7"/>
      <c r="C147" s="7"/>
      <c r="D147" s="7"/>
      <c r="E147" s="8"/>
      <c r="F147" s="9"/>
      <c r="G147" s="9"/>
      <c r="H147" s="10"/>
      <c r="I147" s="9"/>
      <c r="J147" s="9"/>
    </row>
    <row x14ac:dyDescent="0.25" r="148" customHeight="1" ht="17.25">
      <c r="A148" s="11" t="s">
        <v>4485</v>
      </c>
      <c r="B148" s="11"/>
      <c r="C148" s="11"/>
      <c r="D148" s="11"/>
      <c r="E148" s="12"/>
      <c r="F148" s="11"/>
      <c r="G148" s="11"/>
      <c r="H148" s="13"/>
      <c r="I148" s="11"/>
      <c r="J148" s="11"/>
    </row>
    <row x14ac:dyDescent="0.25" r="149" customHeight="1" ht="17.25">
      <c r="A149" s="14" t="s">
        <v>3</v>
      </c>
      <c r="B149" s="14" t="s">
        <v>4</v>
      </c>
      <c r="C149" s="14" t="s">
        <v>5</v>
      </c>
      <c r="D149" s="14" t="s">
        <v>6</v>
      </c>
      <c r="E149" s="15" t="s">
        <v>7</v>
      </c>
      <c r="F149" s="14" t="s">
        <v>8</v>
      </c>
      <c r="G149" s="14" t="s">
        <v>9</v>
      </c>
      <c r="H149" s="16" t="s">
        <v>10</v>
      </c>
      <c r="I149" s="14" t="s">
        <v>11</v>
      </c>
      <c r="J149" s="14" t="s">
        <v>12</v>
      </c>
    </row>
    <row x14ac:dyDescent="0.25" r="150" customHeight="1" ht="17.25">
      <c r="A150" s="17" t="s">
        <v>4486</v>
      </c>
      <c r="B150" s="17" t="s">
        <v>260</v>
      </c>
      <c r="C150" s="17" t="s">
        <v>133</v>
      </c>
      <c r="D150" s="17" t="s">
        <v>16</v>
      </c>
      <c r="E150" s="18">
        <f>ROUND(5799*1.05,2)</f>
      </c>
      <c r="F150" s="17" t="s">
        <v>17</v>
      </c>
      <c r="G150" s="17" t="s">
        <v>18</v>
      </c>
      <c r="H150" s="18">
        <f>ROUND(RAND()*4+6,1)</f>
      </c>
      <c r="I150" s="17" t="s">
        <v>19</v>
      </c>
      <c r="J150" s="19">
        <f>ROUND(64*1,0)&amp;"%"</f>
      </c>
    </row>
    <row x14ac:dyDescent="0.25" r="151" customHeight="1" ht="17.25">
      <c r="A151" s="20" t="s">
        <v>4487</v>
      </c>
      <c r="B151" s="20" t="s">
        <v>262</v>
      </c>
      <c r="C151" s="20" t="s">
        <v>133</v>
      </c>
      <c r="D151" s="20" t="s">
        <v>22</v>
      </c>
      <c r="E151" s="21">
        <f>ROUND(4244*1.05,2)</f>
      </c>
      <c r="F151" s="20" t="s">
        <v>23</v>
      </c>
      <c r="G151" s="20" t="s">
        <v>24</v>
      </c>
      <c r="H151" s="21">
        <f>ROUND(RAND()*4+6,1)</f>
      </c>
      <c r="I151" s="20" t="s">
        <v>25</v>
      </c>
      <c r="J151" s="23">
        <f>ROUND(62*1,0)&amp;"%"</f>
      </c>
    </row>
    <row x14ac:dyDescent="0.25" r="152" customHeight="1" ht="17.25">
      <c r="A152" s="17" t="s">
        <v>4488</v>
      </c>
      <c r="B152" s="17" t="s">
        <v>264</v>
      </c>
      <c r="C152" s="17" t="s">
        <v>133</v>
      </c>
      <c r="D152" s="17" t="s">
        <v>28</v>
      </c>
      <c r="E152" s="18">
        <f>ROUND(10604*1.05,2)</f>
      </c>
      <c r="F152" s="17" t="s">
        <v>29</v>
      </c>
      <c r="G152" s="17" t="s">
        <v>30</v>
      </c>
      <c r="H152" s="18">
        <f>ROUND(RAND()*4+6,1)</f>
      </c>
      <c r="I152" s="17" t="s">
        <v>31</v>
      </c>
      <c r="J152" s="19">
        <f>ROUND(63*1,0)&amp;"%"</f>
      </c>
    </row>
    <row x14ac:dyDescent="0.25" r="153" customHeight="1" ht="17.25">
      <c r="A153" s="20" t="s">
        <v>4489</v>
      </c>
      <c r="B153" s="20" t="s">
        <v>266</v>
      </c>
      <c r="C153" s="20" t="s">
        <v>133</v>
      </c>
      <c r="D153" s="20" t="s">
        <v>34</v>
      </c>
      <c r="E153" s="21">
        <f>ROUND(12851*1.05,2)</f>
      </c>
      <c r="F153" s="20" t="s">
        <v>35</v>
      </c>
      <c r="G153" s="20" t="s">
        <v>18</v>
      </c>
      <c r="H153" s="21">
        <f>ROUND(RAND()*4+6,1)</f>
      </c>
      <c r="I153" s="20" t="s">
        <v>36</v>
      </c>
      <c r="J153" s="23">
        <f>ROUND(70*1,0)&amp;"%"</f>
      </c>
    </row>
    <row x14ac:dyDescent="0.25" r="154" customHeight="1" ht="17.25">
      <c r="A154" s="17" t="s">
        <v>4490</v>
      </c>
      <c r="B154" s="17" t="s">
        <v>268</v>
      </c>
      <c r="C154" s="17" t="s">
        <v>133</v>
      </c>
      <c r="D154" s="17" t="s">
        <v>39</v>
      </c>
      <c r="E154" s="18">
        <f>ROUND(10191*1.05,2)</f>
      </c>
      <c r="F154" s="17" t="s">
        <v>40</v>
      </c>
      <c r="G154" s="17" t="s">
        <v>24</v>
      </c>
      <c r="H154" s="18">
        <f>ROUND(RAND()*4+6,1)</f>
      </c>
      <c r="I154" s="17" t="s">
        <v>41</v>
      </c>
      <c r="J154" s="19">
        <f>ROUND(81*1,0)&amp;"%"</f>
      </c>
    </row>
    <row x14ac:dyDescent="0.25" r="155" customHeight="1" ht="17.25">
      <c r="A155" s="20" t="s">
        <v>4491</v>
      </c>
      <c r="B155" s="20" t="s">
        <v>270</v>
      </c>
      <c r="C155" s="20" t="s">
        <v>133</v>
      </c>
      <c r="D155" s="20" t="s">
        <v>67</v>
      </c>
      <c r="E155" s="21">
        <f>ROUND(8573*1.05,2)</f>
      </c>
      <c r="F155" s="20" t="s">
        <v>44</v>
      </c>
      <c r="G155" s="20" t="s">
        <v>30</v>
      </c>
      <c r="H155" s="21">
        <f>ROUND(RAND()*4+6,1)</f>
      </c>
      <c r="I155" s="20" t="s">
        <v>45</v>
      </c>
      <c r="J155" s="23">
        <f>ROUND(75*1,0)&amp;"%"</f>
      </c>
    </row>
    <row x14ac:dyDescent="0.25" r="156" customHeight="1" ht="17.25">
      <c r="A156" s="17" t="s">
        <v>4492</v>
      </c>
      <c r="B156" s="17" t="s">
        <v>272</v>
      </c>
      <c r="C156" s="17" t="s">
        <v>133</v>
      </c>
      <c r="D156" s="17" t="s">
        <v>16</v>
      </c>
      <c r="E156" s="18">
        <f>ROUND(9723*1.05,2)</f>
      </c>
      <c r="F156" s="17" t="s">
        <v>48</v>
      </c>
      <c r="G156" s="17" t="s">
        <v>18</v>
      </c>
      <c r="H156" s="26">
        <f>ROUND(RAND()*4+6,1)</f>
      </c>
      <c r="I156" s="17" t="s">
        <v>19</v>
      </c>
      <c r="J156" s="19">
        <f>ROUND(96*1,0)&amp;"%"</f>
      </c>
    </row>
    <row x14ac:dyDescent="0.25" r="157" customHeight="1" ht="17.25">
      <c r="A157" s="20" t="s">
        <v>4493</v>
      </c>
      <c r="B157" s="20" t="s">
        <v>274</v>
      </c>
      <c r="C157" s="20" t="s">
        <v>133</v>
      </c>
      <c r="D157" s="20" t="s">
        <v>22</v>
      </c>
      <c r="E157" s="21">
        <f>ROUND(16536*1.05,2)</f>
      </c>
      <c r="F157" s="20" t="s">
        <v>51</v>
      </c>
      <c r="G157" s="20" t="s">
        <v>24</v>
      </c>
      <c r="H157" s="21">
        <f>ROUND(RAND()*4+6,1)</f>
      </c>
      <c r="I157" s="20" t="s">
        <v>25</v>
      </c>
      <c r="J157" s="23">
        <f>ROUND(68*1,0)&amp;"%"</f>
      </c>
    </row>
    <row x14ac:dyDescent="0.25" r="158" customHeight="1" ht="17.25">
      <c r="A158" s="24" t="s">
        <v>275</v>
      </c>
      <c r="B158" s="24"/>
      <c r="C158" s="24"/>
      <c r="D158" s="24"/>
      <c r="E158" s="25">
        <v>8</v>
      </c>
      <c r="F158" s="9"/>
      <c r="G158" s="9"/>
      <c r="H158" s="10"/>
      <c r="I158" s="9"/>
      <c r="J158" s="9"/>
    </row>
    <row x14ac:dyDescent="0.25" r="159" customHeight="1" ht="17.25">
      <c r="A159" s="7"/>
      <c r="B159" s="7"/>
      <c r="C159" s="7"/>
      <c r="D159" s="7"/>
      <c r="E159" s="8"/>
      <c r="F159" s="9"/>
      <c r="G159" s="9"/>
      <c r="H159" s="10"/>
      <c r="I159" s="9"/>
      <c r="J159" s="9"/>
    </row>
    <row x14ac:dyDescent="0.25" r="160" customHeight="1" ht="17.25">
      <c r="A160" s="11" t="s">
        <v>4494</v>
      </c>
      <c r="B160" s="11"/>
      <c r="C160" s="11"/>
      <c r="D160" s="11"/>
      <c r="E160" s="12"/>
      <c r="F160" s="11"/>
      <c r="G160" s="11"/>
      <c r="H160" s="13"/>
      <c r="I160" s="11"/>
      <c r="J160" s="11"/>
    </row>
    <row x14ac:dyDescent="0.25" r="161" customHeight="1" ht="17.25">
      <c r="A161" s="14" t="s">
        <v>3</v>
      </c>
      <c r="B161" s="14" t="s">
        <v>4</v>
      </c>
      <c r="C161" s="14" t="s">
        <v>5</v>
      </c>
      <c r="D161" s="14" t="s">
        <v>6</v>
      </c>
      <c r="E161" s="15" t="s">
        <v>7</v>
      </c>
      <c r="F161" s="14" t="s">
        <v>8</v>
      </c>
      <c r="G161" s="14" t="s">
        <v>9</v>
      </c>
      <c r="H161" s="16" t="s">
        <v>10</v>
      </c>
      <c r="I161" s="14" t="s">
        <v>11</v>
      </c>
      <c r="J161" s="14" t="s">
        <v>12</v>
      </c>
    </row>
    <row x14ac:dyDescent="0.25" r="162" customHeight="1" ht="17.25">
      <c r="A162" s="17" t="s">
        <v>4495</v>
      </c>
      <c r="B162" s="17" t="s">
        <v>278</v>
      </c>
      <c r="C162" s="17" t="s">
        <v>152</v>
      </c>
      <c r="D162" s="17" t="s">
        <v>16</v>
      </c>
      <c r="E162" s="18">
        <f>ROUND(12639*1.05,2)</f>
      </c>
      <c r="F162" s="17" t="s">
        <v>17</v>
      </c>
      <c r="G162" s="17" t="s">
        <v>18</v>
      </c>
      <c r="H162" s="18">
        <f>ROUND(RAND()*4+6,1)</f>
      </c>
      <c r="I162" s="17" t="s">
        <v>19</v>
      </c>
      <c r="J162" s="19">
        <f>ROUND(97*1,0)&amp;"%"</f>
      </c>
    </row>
    <row x14ac:dyDescent="0.25" r="163" customHeight="1" ht="17.25">
      <c r="A163" s="20" t="s">
        <v>4496</v>
      </c>
      <c r="B163" s="20" t="s">
        <v>280</v>
      </c>
      <c r="C163" s="20" t="s">
        <v>152</v>
      </c>
      <c r="D163" s="20" t="s">
        <v>22</v>
      </c>
      <c r="E163" s="21">
        <f>ROUND(4426*1.05,2)</f>
      </c>
      <c r="F163" s="20" t="s">
        <v>23</v>
      </c>
      <c r="G163" s="20" t="s">
        <v>24</v>
      </c>
      <c r="H163" s="21">
        <f>ROUND(RAND()*4+6,1)</f>
      </c>
      <c r="I163" s="20" t="s">
        <v>25</v>
      </c>
      <c r="J163" s="23">
        <f>ROUND(70*1,0)&amp;"%"</f>
      </c>
    </row>
    <row x14ac:dyDescent="0.25" r="164" customHeight="1" ht="17.25">
      <c r="A164" s="17" t="s">
        <v>4497</v>
      </c>
      <c r="B164" s="17" t="s">
        <v>282</v>
      </c>
      <c r="C164" s="17" t="s">
        <v>152</v>
      </c>
      <c r="D164" s="17" t="s">
        <v>28</v>
      </c>
      <c r="E164" s="18">
        <f>ROUND(9159*1.05,2)</f>
      </c>
      <c r="F164" s="17" t="s">
        <v>29</v>
      </c>
      <c r="G164" s="17" t="s">
        <v>30</v>
      </c>
      <c r="H164" s="18">
        <f>ROUND(RAND()*4+6,1)</f>
      </c>
      <c r="I164" s="17" t="s">
        <v>31</v>
      </c>
      <c r="J164" s="19">
        <f>ROUND(77*1,0)&amp;"%"</f>
      </c>
    </row>
    <row x14ac:dyDescent="0.25" r="165" customHeight="1" ht="17.25">
      <c r="A165" s="20" t="s">
        <v>4498</v>
      </c>
      <c r="B165" s="20" t="s">
        <v>284</v>
      </c>
      <c r="C165" s="20" t="s">
        <v>152</v>
      </c>
      <c r="D165" s="20" t="s">
        <v>34</v>
      </c>
      <c r="E165" s="21">
        <f>ROUND(16933*1.05,2)</f>
      </c>
      <c r="F165" s="20" t="s">
        <v>35</v>
      </c>
      <c r="G165" s="20" t="s">
        <v>18</v>
      </c>
      <c r="H165" s="21">
        <f>ROUND(RAND()*4+6,1)</f>
      </c>
      <c r="I165" s="20" t="s">
        <v>36</v>
      </c>
      <c r="J165" s="23">
        <f>ROUND(86*1,0)&amp;"%"</f>
      </c>
    </row>
    <row x14ac:dyDescent="0.25" r="166" customHeight="1" ht="17.25">
      <c r="A166" s="17" t="s">
        <v>4499</v>
      </c>
      <c r="B166" s="17" t="s">
        <v>286</v>
      </c>
      <c r="C166" s="17" t="s">
        <v>152</v>
      </c>
      <c r="D166" s="17" t="s">
        <v>39</v>
      </c>
      <c r="E166" s="26">
        <f>ROUND(5880*1.05,2)</f>
      </c>
      <c r="F166" s="17" t="s">
        <v>40</v>
      </c>
      <c r="G166" s="17" t="s">
        <v>24</v>
      </c>
      <c r="H166" s="18">
        <f>ROUND(RAND()*4+6,1)</f>
      </c>
      <c r="I166" s="17" t="s">
        <v>41</v>
      </c>
      <c r="J166" s="19">
        <f>ROUND(77*1,0)&amp;"%"</f>
      </c>
    </row>
    <row x14ac:dyDescent="0.25" r="167" customHeight="1" ht="17.25">
      <c r="A167" s="20" t="s">
        <v>4500</v>
      </c>
      <c r="B167" s="20" t="s">
        <v>288</v>
      </c>
      <c r="C167" s="20" t="s">
        <v>152</v>
      </c>
      <c r="D167" s="20" t="s">
        <v>67</v>
      </c>
      <c r="E167" s="21">
        <f>ROUND(8065*1.05,2)</f>
      </c>
      <c r="F167" s="20" t="s">
        <v>44</v>
      </c>
      <c r="G167" s="20" t="s">
        <v>30</v>
      </c>
      <c r="H167" s="21">
        <f>ROUND(RAND()*4+6,1)</f>
      </c>
      <c r="I167" s="20" t="s">
        <v>45</v>
      </c>
      <c r="J167" s="23">
        <f>ROUND(92*1,0)&amp;"%"</f>
      </c>
    </row>
    <row x14ac:dyDescent="0.25" r="168" customHeight="1" ht="17.25">
      <c r="A168" s="17" t="s">
        <v>4501</v>
      </c>
      <c r="B168" s="17" t="s">
        <v>290</v>
      </c>
      <c r="C168" s="17" t="s">
        <v>152</v>
      </c>
      <c r="D168" s="17" t="s">
        <v>16</v>
      </c>
      <c r="E168" s="18">
        <f>ROUND(6387*1.05,2)</f>
      </c>
      <c r="F168" s="17" t="s">
        <v>48</v>
      </c>
      <c r="G168" s="17" t="s">
        <v>18</v>
      </c>
      <c r="H168" s="18">
        <f>ROUND(RAND()*4+6,1)</f>
      </c>
      <c r="I168" s="17" t="s">
        <v>19</v>
      </c>
      <c r="J168" s="19">
        <f>ROUND(62*1,0)&amp;"%"</f>
      </c>
    </row>
    <row x14ac:dyDescent="0.25" r="169" customHeight="1" ht="17.25">
      <c r="A169" s="20" t="s">
        <v>4502</v>
      </c>
      <c r="B169" s="20" t="s">
        <v>292</v>
      </c>
      <c r="C169" s="20" t="s">
        <v>152</v>
      </c>
      <c r="D169" s="20" t="s">
        <v>22</v>
      </c>
      <c r="E169" s="21">
        <f>ROUND(7536*1.05,2)</f>
      </c>
      <c r="F169" s="20" t="s">
        <v>51</v>
      </c>
      <c r="G169" s="20" t="s">
        <v>24</v>
      </c>
      <c r="H169" s="21">
        <f>ROUND(RAND()*4+6,1)</f>
      </c>
      <c r="I169" s="20" t="s">
        <v>25</v>
      </c>
      <c r="J169" s="23">
        <f>ROUND(80*1,0)&amp;"%"</f>
      </c>
    </row>
    <row x14ac:dyDescent="0.25" r="170" customHeight="1" ht="17.25">
      <c r="A170" s="24" t="s">
        <v>293</v>
      </c>
      <c r="B170" s="24"/>
      <c r="C170" s="24"/>
      <c r="D170" s="24"/>
      <c r="E170" s="25">
        <v>8</v>
      </c>
      <c r="F170" s="9"/>
      <c r="G170" s="9"/>
      <c r="H170" s="10"/>
      <c r="I170" s="9"/>
      <c r="J170" s="9"/>
    </row>
    <row x14ac:dyDescent="0.25" r="171" customHeight="1" ht="17.25">
      <c r="A171" s="7"/>
      <c r="B171" s="7"/>
      <c r="C171" s="7"/>
      <c r="D171" s="7"/>
      <c r="E171" s="8"/>
      <c r="F171" s="9"/>
      <c r="G171" s="9"/>
      <c r="H171" s="10"/>
      <c r="I171" s="9"/>
      <c r="J171" s="9"/>
    </row>
    <row x14ac:dyDescent="0.25" r="172" customHeight="1" ht="17.25">
      <c r="A172" s="11" t="s">
        <v>4503</v>
      </c>
      <c r="B172" s="11"/>
      <c r="C172" s="11"/>
      <c r="D172" s="11"/>
      <c r="E172" s="12"/>
      <c r="F172" s="11"/>
      <c r="G172" s="11"/>
      <c r="H172" s="13"/>
      <c r="I172" s="11"/>
      <c r="J172" s="11"/>
    </row>
    <row x14ac:dyDescent="0.25" r="173" customHeight="1" ht="17.25">
      <c r="A173" s="14" t="s">
        <v>3</v>
      </c>
      <c r="B173" s="14" t="s">
        <v>4</v>
      </c>
      <c r="C173" s="14" t="s">
        <v>5</v>
      </c>
      <c r="D173" s="14" t="s">
        <v>6</v>
      </c>
      <c r="E173" s="15" t="s">
        <v>7</v>
      </c>
      <c r="F173" s="14" t="s">
        <v>8</v>
      </c>
      <c r="G173" s="14" t="s">
        <v>9</v>
      </c>
      <c r="H173" s="16" t="s">
        <v>10</v>
      </c>
      <c r="I173" s="14" t="s">
        <v>11</v>
      </c>
      <c r="J173" s="14" t="s">
        <v>12</v>
      </c>
    </row>
    <row x14ac:dyDescent="0.25" r="174" customHeight="1" ht="17.25">
      <c r="A174" s="17" t="s">
        <v>4504</v>
      </c>
      <c r="B174" s="17" t="s">
        <v>296</v>
      </c>
      <c r="C174" s="17" t="s">
        <v>15</v>
      </c>
      <c r="D174" s="17" t="s">
        <v>16</v>
      </c>
      <c r="E174" s="18">
        <f>ROUND(6871*1.05,2)</f>
      </c>
      <c r="F174" s="17" t="s">
        <v>17</v>
      </c>
      <c r="G174" s="17" t="s">
        <v>18</v>
      </c>
      <c r="H174" s="18">
        <f>ROUND(RAND()*4+6,1)</f>
      </c>
      <c r="I174" s="17" t="s">
        <v>19</v>
      </c>
      <c r="J174" s="19">
        <f>ROUND(62*1,0)&amp;"%"</f>
      </c>
    </row>
    <row x14ac:dyDescent="0.25" r="175" customHeight="1" ht="17.25">
      <c r="A175" s="20" t="s">
        <v>4505</v>
      </c>
      <c r="B175" s="20" t="s">
        <v>298</v>
      </c>
      <c r="C175" s="20" t="s">
        <v>15</v>
      </c>
      <c r="D175" s="20" t="s">
        <v>22</v>
      </c>
      <c r="E175" s="21">
        <f>ROUND(10675*1.05,2)</f>
      </c>
      <c r="F175" s="20" t="s">
        <v>23</v>
      </c>
      <c r="G175" s="20" t="s">
        <v>24</v>
      </c>
      <c r="H175" s="21">
        <f>ROUND(RAND()*4+6,1)</f>
      </c>
      <c r="I175" s="20" t="s">
        <v>25</v>
      </c>
      <c r="J175" s="23">
        <f>ROUND(93*1,0)&amp;"%"</f>
      </c>
    </row>
    <row x14ac:dyDescent="0.25" r="176" customHeight="1" ht="17.25">
      <c r="A176" s="17" t="s">
        <v>4506</v>
      </c>
      <c r="B176" s="17" t="s">
        <v>300</v>
      </c>
      <c r="C176" s="17" t="s">
        <v>15</v>
      </c>
      <c r="D176" s="17" t="s">
        <v>28</v>
      </c>
      <c r="E176" s="18">
        <f>ROUND(5984*1.05,2)</f>
      </c>
      <c r="F176" s="17" t="s">
        <v>29</v>
      </c>
      <c r="G176" s="17" t="s">
        <v>30</v>
      </c>
      <c r="H176" s="18">
        <f>ROUND(RAND()*4+6,1)</f>
      </c>
      <c r="I176" s="17" t="s">
        <v>31</v>
      </c>
      <c r="J176" s="19">
        <f>ROUND(79*1,0)&amp;"%"</f>
      </c>
    </row>
    <row x14ac:dyDescent="0.25" r="177" customHeight="1" ht="17.25">
      <c r="A177" s="20" t="s">
        <v>4507</v>
      </c>
      <c r="B177" s="20" t="s">
        <v>302</v>
      </c>
      <c r="C177" s="20" t="s">
        <v>15</v>
      </c>
      <c r="D177" s="20" t="s">
        <v>34</v>
      </c>
      <c r="E177" s="21">
        <f>ROUND(13589*1.05,2)</f>
      </c>
      <c r="F177" s="20" t="s">
        <v>35</v>
      </c>
      <c r="G177" s="20" t="s">
        <v>18</v>
      </c>
      <c r="H177" s="21">
        <f>ROUND(RAND()*4+6,1)</f>
      </c>
      <c r="I177" s="20" t="s">
        <v>36</v>
      </c>
      <c r="J177" s="23">
        <f>ROUND(79*1,0)&amp;"%"</f>
      </c>
    </row>
    <row x14ac:dyDescent="0.25" r="178" customHeight="1" ht="17.25">
      <c r="A178" s="17" t="s">
        <v>4508</v>
      </c>
      <c r="B178" s="17" t="s">
        <v>304</v>
      </c>
      <c r="C178" s="17" t="s">
        <v>15</v>
      </c>
      <c r="D178" s="17" t="s">
        <v>39</v>
      </c>
      <c r="E178" s="18">
        <f>ROUND(6853*1.05,2)</f>
      </c>
      <c r="F178" s="17" t="s">
        <v>40</v>
      </c>
      <c r="G178" s="17" t="s">
        <v>24</v>
      </c>
      <c r="H178" s="18">
        <f>ROUND(RAND()*4+6,1)</f>
      </c>
      <c r="I178" s="17" t="s">
        <v>41</v>
      </c>
      <c r="J178" s="19">
        <f>ROUND(89*1,0)&amp;"%"</f>
      </c>
    </row>
    <row x14ac:dyDescent="0.25" r="179" customHeight="1" ht="17.25">
      <c r="A179" s="20" t="s">
        <v>4509</v>
      </c>
      <c r="B179" s="20" t="s">
        <v>306</v>
      </c>
      <c r="C179" s="20" t="s">
        <v>15</v>
      </c>
      <c r="D179" s="20" t="s">
        <v>67</v>
      </c>
      <c r="E179" s="21">
        <f>ROUND(8496*1.05,2)</f>
      </c>
      <c r="F179" s="20" t="s">
        <v>44</v>
      </c>
      <c r="G179" s="20" t="s">
        <v>30</v>
      </c>
      <c r="H179" s="21">
        <f>ROUND(RAND()*4+6,1)</f>
      </c>
      <c r="I179" s="20" t="s">
        <v>45</v>
      </c>
      <c r="J179" s="23">
        <f>ROUND(82*1,0)&amp;"%"</f>
      </c>
    </row>
    <row x14ac:dyDescent="0.25" r="180" customHeight="1" ht="17.25">
      <c r="A180" s="17" t="s">
        <v>4510</v>
      </c>
      <c r="B180" s="17" t="s">
        <v>308</v>
      </c>
      <c r="C180" s="17" t="s">
        <v>15</v>
      </c>
      <c r="D180" s="17" t="s">
        <v>16</v>
      </c>
      <c r="E180" s="18">
        <f>ROUND(13246*1.05,2)</f>
      </c>
      <c r="F180" s="17" t="s">
        <v>48</v>
      </c>
      <c r="G180" s="17" t="s">
        <v>18</v>
      </c>
      <c r="H180" s="18">
        <f>ROUND(RAND()*4+6,1)</f>
      </c>
      <c r="I180" s="17" t="s">
        <v>19</v>
      </c>
      <c r="J180" s="19">
        <f>ROUND(93*1,0)&amp;"%"</f>
      </c>
    </row>
    <row x14ac:dyDescent="0.25" r="181" customHeight="1" ht="17.25">
      <c r="A181" s="20" t="s">
        <v>4511</v>
      </c>
      <c r="B181" s="20" t="s">
        <v>310</v>
      </c>
      <c r="C181" s="20" t="s">
        <v>15</v>
      </c>
      <c r="D181" s="20" t="s">
        <v>22</v>
      </c>
      <c r="E181" s="21">
        <f>ROUND(15445*1.05,2)</f>
      </c>
      <c r="F181" s="20" t="s">
        <v>51</v>
      </c>
      <c r="G181" s="20" t="s">
        <v>24</v>
      </c>
      <c r="H181" s="21">
        <f>ROUND(RAND()*4+6,1)</f>
      </c>
      <c r="I181" s="20" t="s">
        <v>25</v>
      </c>
      <c r="J181" s="23">
        <f>ROUND(62*1,0)&amp;"%"</f>
      </c>
    </row>
    <row x14ac:dyDescent="0.25" r="182" customHeight="1" ht="17.25">
      <c r="A182" s="24" t="s">
        <v>311</v>
      </c>
      <c r="B182" s="24"/>
      <c r="C182" s="24"/>
      <c r="D182" s="24"/>
      <c r="E182" s="25">
        <v>8</v>
      </c>
      <c r="F182" s="9"/>
      <c r="G182" s="9"/>
      <c r="H182" s="10"/>
      <c r="I182" s="9"/>
      <c r="J182" s="9"/>
    </row>
    <row x14ac:dyDescent="0.25" r="183" customHeight="1" ht="17.25">
      <c r="A183" s="7"/>
      <c r="B183" s="7"/>
      <c r="C183" s="7"/>
      <c r="D183" s="7"/>
      <c r="E183" s="8"/>
      <c r="F183" s="9"/>
      <c r="G183" s="9"/>
      <c r="H183" s="10"/>
      <c r="I183" s="9"/>
      <c r="J183" s="9"/>
    </row>
    <row x14ac:dyDescent="0.25" r="184" customHeight="1" ht="17.25">
      <c r="A184" s="11" t="s">
        <v>4512</v>
      </c>
      <c r="B184" s="11"/>
      <c r="C184" s="11"/>
      <c r="D184" s="11"/>
      <c r="E184" s="12"/>
      <c r="F184" s="11"/>
      <c r="G184" s="11"/>
      <c r="H184" s="13"/>
      <c r="I184" s="11"/>
      <c r="J184" s="11"/>
    </row>
    <row x14ac:dyDescent="0.25" r="185" customHeight="1" ht="17.25">
      <c r="A185" s="14" t="s">
        <v>3</v>
      </c>
      <c r="B185" s="14" t="s">
        <v>4</v>
      </c>
      <c r="C185" s="14" t="s">
        <v>5</v>
      </c>
      <c r="D185" s="14" t="s">
        <v>6</v>
      </c>
      <c r="E185" s="15" t="s">
        <v>7</v>
      </c>
      <c r="F185" s="14" t="s">
        <v>8</v>
      </c>
      <c r="G185" s="14" t="s">
        <v>9</v>
      </c>
      <c r="H185" s="16" t="s">
        <v>10</v>
      </c>
      <c r="I185" s="14" t="s">
        <v>11</v>
      </c>
      <c r="J185" s="14" t="s">
        <v>12</v>
      </c>
    </row>
    <row x14ac:dyDescent="0.25" r="186" customHeight="1" ht="17.25">
      <c r="A186" s="17" t="s">
        <v>4513</v>
      </c>
      <c r="B186" s="17" t="s">
        <v>314</v>
      </c>
      <c r="C186" s="17" t="s">
        <v>56</v>
      </c>
      <c r="D186" s="17" t="s">
        <v>16</v>
      </c>
      <c r="E186" s="18">
        <f>ROUND(15204*1.05,2)</f>
      </c>
      <c r="F186" s="17" t="s">
        <v>17</v>
      </c>
      <c r="G186" s="17" t="s">
        <v>18</v>
      </c>
      <c r="H186" s="26">
        <f>ROUND(RAND()*4+6,1)</f>
      </c>
      <c r="I186" s="17" t="s">
        <v>19</v>
      </c>
      <c r="J186" s="19">
        <f>ROUND(100*1,0)&amp;"%"</f>
      </c>
    </row>
    <row x14ac:dyDescent="0.25" r="187" customHeight="1" ht="17.25">
      <c r="A187" s="20" t="s">
        <v>4514</v>
      </c>
      <c r="B187" s="20" t="s">
        <v>316</v>
      </c>
      <c r="C187" s="20" t="s">
        <v>56</v>
      </c>
      <c r="D187" s="20" t="s">
        <v>22</v>
      </c>
      <c r="E187" s="21">
        <f>ROUND(15172*1.05,2)</f>
      </c>
      <c r="F187" s="20" t="s">
        <v>23</v>
      </c>
      <c r="G187" s="20" t="s">
        <v>24</v>
      </c>
      <c r="H187" s="21">
        <f>ROUND(RAND()*4+6,1)</f>
      </c>
      <c r="I187" s="20" t="s">
        <v>25</v>
      </c>
      <c r="J187" s="23">
        <f>ROUND(89*1,0)&amp;"%"</f>
      </c>
    </row>
    <row x14ac:dyDescent="0.25" r="188" customHeight="1" ht="17.25">
      <c r="A188" s="17" t="s">
        <v>4515</v>
      </c>
      <c r="B188" s="17" t="s">
        <v>318</v>
      </c>
      <c r="C188" s="17" t="s">
        <v>56</v>
      </c>
      <c r="D188" s="17" t="s">
        <v>28</v>
      </c>
      <c r="E188" s="18">
        <f>ROUND(17445*1.05,2)</f>
      </c>
      <c r="F188" s="17" t="s">
        <v>29</v>
      </c>
      <c r="G188" s="17" t="s">
        <v>30</v>
      </c>
      <c r="H188" s="18">
        <f>ROUND(RAND()*4+6,1)</f>
      </c>
      <c r="I188" s="17" t="s">
        <v>31</v>
      </c>
      <c r="J188" s="19">
        <f>ROUND(89*1,0)&amp;"%"</f>
      </c>
    </row>
    <row x14ac:dyDescent="0.25" r="189" customHeight="1" ht="17.25">
      <c r="A189" s="20" t="s">
        <v>4516</v>
      </c>
      <c r="B189" s="20" t="s">
        <v>320</v>
      </c>
      <c r="C189" s="20" t="s">
        <v>56</v>
      </c>
      <c r="D189" s="20" t="s">
        <v>34</v>
      </c>
      <c r="E189" s="21">
        <f>ROUND(13542*1.05,2)</f>
      </c>
      <c r="F189" s="20" t="s">
        <v>35</v>
      </c>
      <c r="G189" s="20" t="s">
        <v>18</v>
      </c>
      <c r="H189" s="22">
        <f>ROUND(RAND()*4+6,1)</f>
      </c>
      <c r="I189" s="20" t="s">
        <v>36</v>
      </c>
      <c r="J189" s="23">
        <f>ROUND(77*1,0)&amp;"%"</f>
      </c>
    </row>
    <row x14ac:dyDescent="0.25" r="190" customHeight="1" ht="17.25">
      <c r="A190" s="17" t="s">
        <v>4517</v>
      </c>
      <c r="B190" s="17" t="s">
        <v>322</v>
      </c>
      <c r="C190" s="17" t="s">
        <v>56</v>
      </c>
      <c r="D190" s="17" t="s">
        <v>39</v>
      </c>
      <c r="E190" s="18">
        <f>ROUND(9778*1.05,2)</f>
      </c>
      <c r="F190" s="17" t="s">
        <v>40</v>
      </c>
      <c r="G190" s="17" t="s">
        <v>24</v>
      </c>
      <c r="H190" s="18">
        <f>ROUND(RAND()*4+6,1)</f>
      </c>
      <c r="I190" s="17" t="s">
        <v>41</v>
      </c>
      <c r="J190" s="19">
        <f>ROUND(78*1,0)&amp;"%"</f>
      </c>
    </row>
    <row x14ac:dyDescent="0.25" r="191" customHeight="1" ht="17.25">
      <c r="A191" s="20" t="s">
        <v>4518</v>
      </c>
      <c r="B191" s="20" t="s">
        <v>324</v>
      </c>
      <c r="C191" s="20" t="s">
        <v>56</v>
      </c>
      <c r="D191" s="20" t="s">
        <v>67</v>
      </c>
      <c r="E191" s="21">
        <f>ROUND(12208*1.05,2)</f>
      </c>
      <c r="F191" s="20" t="s">
        <v>44</v>
      </c>
      <c r="G191" s="20" t="s">
        <v>30</v>
      </c>
      <c r="H191" s="21">
        <f>ROUND(RAND()*4+6,1)</f>
      </c>
      <c r="I191" s="20" t="s">
        <v>45</v>
      </c>
      <c r="J191" s="23">
        <f>ROUND(67*1,0)&amp;"%"</f>
      </c>
    </row>
    <row x14ac:dyDescent="0.25" r="192" customHeight="1" ht="17.25">
      <c r="A192" s="17" t="s">
        <v>4519</v>
      </c>
      <c r="B192" s="17" t="s">
        <v>326</v>
      </c>
      <c r="C192" s="17" t="s">
        <v>56</v>
      </c>
      <c r="D192" s="17" t="s">
        <v>16</v>
      </c>
      <c r="E192" s="18">
        <f>ROUND(12901*1.05,2)</f>
      </c>
      <c r="F192" s="17" t="s">
        <v>48</v>
      </c>
      <c r="G192" s="17" t="s">
        <v>18</v>
      </c>
      <c r="H192" s="18">
        <f>ROUND(RAND()*4+6,1)</f>
      </c>
      <c r="I192" s="17" t="s">
        <v>19</v>
      </c>
      <c r="J192" s="19">
        <f>ROUND(75*1,0)&amp;"%"</f>
      </c>
    </row>
    <row x14ac:dyDescent="0.25" r="193" customHeight="1" ht="17.25">
      <c r="A193" s="20" t="s">
        <v>4520</v>
      </c>
      <c r="B193" s="20" t="s">
        <v>328</v>
      </c>
      <c r="C193" s="20" t="s">
        <v>56</v>
      </c>
      <c r="D193" s="20" t="s">
        <v>22</v>
      </c>
      <c r="E193" s="22">
        <f>ROUND(15480*1.05,2)</f>
      </c>
      <c r="F193" s="20" t="s">
        <v>51</v>
      </c>
      <c r="G193" s="20" t="s">
        <v>24</v>
      </c>
      <c r="H193" s="21">
        <f>ROUND(RAND()*4+6,1)</f>
      </c>
      <c r="I193" s="20" t="s">
        <v>25</v>
      </c>
      <c r="J193" s="23">
        <f>ROUND(70*1,0)&amp;"%"</f>
      </c>
    </row>
    <row x14ac:dyDescent="0.25" r="194" customHeight="1" ht="17.25">
      <c r="A194" s="24" t="s">
        <v>329</v>
      </c>
      <c r="B194" s="24"/>
      <c r="C194" s="24"/>
      <c r="D194" s="24"/>
      <c r="E194" s="25">
        <v>8</v>
      </c>
      <c r="F194" s="9"/>
      <c r="G194" s="9"/>
      <c r="H194" s="10"/>
      <c r="I194" s="9"/>
      <c r="J194" s="9"/>
    </row>
    <row x14ac:dyDescent="0.25" r="195" customHeight="1" ht="17.25">
      <c r="A195" s="7"/>
      <c r="B195" s="7"/>
      <c r="C195" s="7"/>
      <c r="D195" s="7"/>
      <c r="E195" s="8"/>
      <c r="F195" s="9"/>
      <c r="G195" s="9"/>
      <c r="H195" s="10"/>
      <c r="I195" s="9"/>
      <c r="J195" s="9"/>
    </row>
    <row x14ac:dyDescent="0.25" r="196" customHeight="1" ht="17.25">
      <c r="A196" s="11" t="s">
        <v>4521</v>
      </c>
      <c r="B196" s="11"/>
      <c r="C196" s="11"/>
      <c r="D196" s="11"/>
      <c r="E196" s="12"/>
      <c r="F196" s="11"/>
      <c r="G196" s="11"/>
      <c r="H196" s="13"/>
      <c r="I196" s="11"/>
      <c r="J196" s="11"/>
    </row>
    <row x14ac:dyDescent="0.25" r="197" customHeight="1" ht="17.25">
      <c r="A197" s="14" t="s">
        <v>3</v>
      </c>
      <c r="B197" s="14" t="s">
        <v>4</v>
      </c>
      <c r="C197" s="14" t="s">
        <v>5</v>
      </c>
      <c r="D197" s="14" t="s">
        <v>6</v>
      </c>
      <c r="E197" s="15" t="s">
        <v>7</v>
      </c>
      <c r="F197" s="14" t="s">
        <v>8</v>
      </c>
      <c r="G197" s="14" t="s">
        <v>9</v>
      </c>
      <c r="H197" s="16" t="s">
        <v>10</v>
      </c>
      <c r="I197" s="14" t="s">
        <v>11</v>
      </c>
      <c r="J197" s="14" t="s">
        <v>12</v>
      </c>
    </row>
    <row x14ac:dyDescent="0.25" r="198" customHeight="1" ht="17.25">
      <c r="A198" s="17" t="s">
        <v>4522</v>
      </c>
      <c r="B198" s="17" t="s">
        <v>332</v>
      </c>
      <c r="C198" s="17" t="s">
        <v>76</v>
      </c>
      <c r="D198" s="17" t="s">
        <v>16</v>
      </c>
      <c r="E198" s="18">
        <f>ROUND(14342*1.05,2)</f>
      </c>
      <c r="F198" s="17" t="s">
        <v>17</v>
      </c>
      <c r="G198" s="17" t="s">
        <v>18</v>
      </c>
      <c r="H198" s="18">
        <f>ROUND(RAND()*4+6,1)</f>
      </c>
      <c r="I198" s="17" t="s">
        <v>19</v>
      </c>
      <c r="J198" s="19">
        <f>ROUND(84*1,0)&amp;"%"</f>
      </c>
    </row>
    <row x14ac:dyDescent="0.25" r="199" customHeight="1" ht="17.25">
      <c r="A199" s="20" t="s">
        <v>4523</v>
      </c>
      <c r="B199" s="20" t="s">
        <v>334</v>
      </c>
      <c r="C199" s="20" t="s">
        <v>76</v>
      </c>
      <c r="D199" s="20" t="s">
        <v>22</v>
      </c>
      <c r="E199" s="21">
        <f>ROUND(12319*1.05,2)</f>
      </c>
      <c r="F199" s="20" t="s">
        <v>23</v>
      </c>
      <c r="G199" s="20" t="s">
        <v>24</v>
      </c>
      <c r="H199" s="21">
        <f>ROUND(RAND()*4+6,1)</f>
      </c>
      <c r="I199" s="20" t="s">
        <v>25</v>
      </c>
      <c r="J199" s="23">
        <f>ROUND(65*1,0)&amp;"%"</f>
      </c>
    </row>
    <row x14ac:dyDescent="0.25" r="200" customHeight="1" ht="17.25">
      <c r="A200" s="17" t="s">
        <v>4524</v>
      </c>
      <c r="B200" s="17" t="s">
        <v>336</v>
      </c>
      <c r="C200" s="17" t="s">
        <v>76</v>
      </c>
      <c r="D200" s="17" t="s">
        <v>28</v>
      </c>
      <c r="E200" s="18">
        <f>ROUND(10315*1.05,2)</f>
      </c>
      <c r="F200" s="17" t="s">
        <v>29</v>
      </c>
      <c r="G200" s="17" t="s">
        <v>30</v>
      </c>
      <c r="H200" s="18">
        <f>ROUND(RAND()*4+6,1)</f>
      </c>
      <c r="I200" s="17" t="s">
        <v>31</v>
      </c>
      <c r="J200" s="19">
        <f>ROUND(80*1,0)&amp;"%"</f>
      </c>
    </row>
    <row x14ac:dyDescent="0.25" r="201" customHeight="1" ht="17.25">
      <c r="A201" s="20" t="s">
        <v>4525</v>
      </c>
      <c r="B201" s="20" t="s">
        <v>338</v>
      </c>
      <c r="C201" s="20" t="s">
        <v>76</v>
      </c>
      <c r="D201" s="20" t="s">
        <v>34</v>
      </c>
      <c r="E201" s="21">
        <f>ROUND(15324*1.05,2)</f>
      </c>
      <c r="F201" s="20" t="s">
        <v>35</v>
      </c>
      <c r="G201" s="20" t="s">
        <v>18</v>
      </c>
      <c r="H201" s="22">
        <f>ROUND(RAND()*4+6,1)</f>
      </c>
      <c r="I201" s="20" t="s">
        <v>36</v>
      </c>
      <c r="J201" s="23">
        <f>ROUND(68*1,0)&amp;"%"</f>
      </c>
    </row>
    <row x14ac:dyDescent="0.25" r="202" customHeight="1" ht="17.25">
      <c r="A202" s="17" t="s">
        <v>4526</v>
      </c>
      <c r="B202" s="17" t="s">
        <v>340</v>
      </c>
      <c r="C202" s="17" t="s">
        <v>76</v>
      </c>
      <c r="D202" s="17" t="s">
        <v>39</v>
      </c>
      <c r="E202" s="18">
        <f>ROUND(4786*1.05,2)</f>
      </c>
      <c r="F202" s="17" t="s">
        <v>40</v>
      </c>
      <c r="G202" s="17" t="s">
        <v>24</v>
      </c>
      <c r="H202" s="18">
        <f>ROUND(RAND()*4+6,1)</f>
      </c>
      <c r="I202" s="17" t="s">
        <v>41</v>
      </c>
      <c r="J202" s="19">
        <f>ROUND(83*1,0)&amp;"%"</f>
      </c>
    </row>
    <row x14ac:dyDescent="0.25" r="203" customHeight="1" ht="17.25">
      <c r="A203" s="20" t="s">
        <v>4527</v>
      </c>
      <c r="B203" s="20" t="s">
        <v>342</v>
      </c>
      <c r="C203" s="20" t="s">
        <v>76</v>
      </c>
      <c r="D203" s="20" t="s">
        <v>67</v>
      </c>
      <c r="E203" s="21">
        <f>ROUND(9830*1.05,2)</f>
      </c>
      <c r="F203" s="20" t="s">
        <v>44</v>
      </c>
      <c r="G203" s="20" t="s">
        <v>30</v>
      </c>
      <c r="H203" s="21">
        <f>ROUND(RAND()*4+6,1)</f>
      </c>
      <c r="I203" s="20" t="s">
        <v>45</v>
      </c>
      <c r="J203" s="23">
        <f>ROUND(66*1,0)&amp;"%"</f>
      </c>
    </row>
    <row x14ac:dyDescent="0.25" r="204" customHeight="1" ht="17.25">
      <c r="A204" s="17" t="s">
        <v>4528</v>
      </c>
      <c r="B204" s="17" t="s">
        <v>344</v>
      </c>
      <c r="C204" s="17" t="s">
        <v>76</v>
      </c>
      <c r="D204" s="17" t="s">
        <v>16</v>
      </c>
      <c r="E204" s="18">
        <f>ROUND(15085*1.05,2)</f>
      </c>
      <c r="F204" s="17" t="s">
        <v>48</v>
      </c>
      <c r="G204" s="17" t="s">
        <v>18</v>
      </c>
      <c r="H204" s="18">
        <f>ROUND(RAND()*4+6,1)</f>
      </c>
      <c r="I204" s="17" t="s">
        <v>19</v>
      </c>
      <c r="J204" s="19">
        <f>ROUND(74*1,0)&amp;"%"</f>
      </c>
    </row>
    <row x14ac:dyDescent="0.25" r="205" customHeight="1" ht="17.25">
      <c r="A205" s="20" t="s">
        <v>4529</v>
      </c>
      <c r="B205" s="20" t="s">
        <v>346</v>
      </c>
      <c r="C205" s="20" t="s">
        <v>76</v>
      </c>
      <c r="D205" s="20" t="s">
        <v>22</v>
      </c>
      <c r="E205" s="21">
        <f>ROUND(15431*1.05,2)</f>
      </c>
      <c r="F205" s="20" t="s">
        <v>51</v>
      </c>
      <c r="G205" s="20" t="s">
        <v>24</v>
      </c>
      <c r="H205" s="22">
        <f>ROUND(RAND()*4+6,1)</f>
      </c>
      <c r="I205" s="20" t="s">
        <v>25</v>
      </c>
      <c r="J205" s="23">
        <f>ROUND(88*1,0)&amp;"%"</f>
      </c>
    </row>
    <row x14ac:dyDescent="0.25" r="206" customHeight="1" ht="17.25">
      <c r="A206" s="24" t="s">
        <v>347</v>
      </c>
      <c r="B206" s="24"/>
      <c r="C206" s="24"/>
      <c r="D206" s="24"/>
      <c r="E206" s="25">
        <v>8</v>
      </c>
      <c r="F206" s="9"/>
      <c r="G206" s="9"/>
      <c r="H206" s="10"/>
      <c r="I206" s="9"/>
      <c r="J206" s="9"/>
    </row>
    <row x14ac:dyDescent="0.25" r="207" customHeight="1" ht="17.25">
      <c r="A207" s="7"/>
      <c r="B207" s="7"/>
      <c r="C207" s="7"/>
      <c r="D207" s="7"/>
      <c r="E207" s="8"/>
      <c r="F207" s="9"/>
      <c r="G207" s="9"/>
      <c r="H207" s="10"/>
      <c r="I207" s="9"/>
      <c r="J207" s="9"/>
    </row>
    <row x14ac:dyDescent="0.25" r="208" customHeight="1" ht="17.25">
      <c r="A208" s="11" t="s">
        <v>4530</v>
      </c>
      <c r="B208" s="11"/>
      <c r="C208" s="11"/>
      <c r="D208" s="11"/>
      <c r="E208" s="12"/>
      <c r="F208" s="11"/>
      <c r="G208" s="11"/>
      <c r="H208" s="13"/>
      <c r="I208" s="11"/>
      <c r="J208" s="11"/>
    </row>
    <row x14ac:dyDescent="0.25" r="209" customHeight="1" ht="17.25">
      <c r="A209" s="14" t="s">
        <v>3</v>
      </c>
      <c r="B209" s="14" t="s">
        <v>4</v>
      </c>
      <c r="C209" s="14" t="s">
        <v>5</v>
      </c>
      <c r="D209" s="14" t="s">
        <v>6</v>
      </c>
      <c r="E209" s="15" t="s">
        <v>7</v>
      </c>
      <c r="F209" s="14" t="s">
        <v>8</v>
      </c>
      <c r="G209" s="14" t="s">
        <v>9</v>
      </c>
      <c r="H209" s="16" t="s">
        <v>10</v>
      </c>
      <c r="I209" s="14" t="s">
        <v>11</v>
      </c>
      <c r="J209" s="14" t="s">
        <v>12</v>
      </c>
    </row>
    <row x14ac:dyDescent="0.25" r="210" customHeight="1" ht="17.25">
      <c r="A210" s="17" t="s">
        <v>4531</v>
      </c>
      <c r="B210" s="17" t="s">
        <v>350</v>
      </c>
      <c r="C210" s="17" t="s">
        <v>95</v>
      </c>
      <c r="D210" s="17" t="s">
        <v>16</v>
      </c>
      <c r="E210" s="18">
        <f>ROUND(10032*1.05,2)</f>
      </c>
      <c r="F210" s="17" t="s">
        <v>17</v>
      </c>
      <c r="G210" s="17" t="s">
        <v>18</v>
      </c>
      <c r="H210" s="18">
        <f>ROUND(RAND()*4+6,1)</f>
      </c>
      <c r="I210" s="17" t="s">
        <v>19</v>
      </c>
      <c r="J210" s="19">
        <f>ROUND(66*1,0)&amp;"%"</f>
      </c>
    </row>
    <row x14ac:dyDescent="0.25" r="211" customHeight="1" ht="17.25">
      <c r="A211" s="20" t="s">
        <v>4532</v>
      </c>
      <c r="B211" s="20" t="s">
        <v>352</v>
      </c>
      <c r="C211" s="20" t="s">
        <v>95</v>
      </c>
      <c r="D211" s="20" t="s">
        <v>22</v>
      </c>
      <c r="E211" s="21">
        <f>ROUND(9501*1.05,2)</f>
      </c>
      <c r="F211" s="20" t="s">
        <v>23</v>
      </c>
      <c r="G211" s="20" t="s">
        <v>24</v>
      </c>
      <c r="H211" s="21">
        <f>ROUND(RAND()*4+6,1)</f>
      </c>
      <c r="I211" s="20" t="s">
        <v>25</v>
      </c>
      <c r="J211" s="23">
        <f>ROUND(71*1,0)&amp;"%"</f>
      </c>
    </row>
    <row x14ac:dyDescent="0.25" r="212" customHeight="1" ht="17.25">
      <c r="A212" s="17" t="s">
        <v>4533</v>
      </c>
      <c r="B212" s="17" t="s">
        <v>354</v>
      </c>
      <c r="C212" s="17" t="s">
        <v>95</v>
      </c>
      <c r="D212" s="17" t="s">
        <v>28</v>
      </c>
      <c r="E212" s="18">
        <f>ROUND(15169*1.05,2)</f>
      </c>
      <c r="F212" s="17" t="s">
        <v>29</v>
      </c>
      <c r="G212" s="17" t="s">
        <v>30</v>
      </c>
      <c r="H212" s="18">
        <f>ROUND(RAND()*4+6,1)</f>
      </c>
      <c r="I212" s="17" t="s">
        <v>31</v>
      </c>
      <c r="J212" s="19">
        <f>ROUND(89*1,0)&amp;"%"</f>
      </c>
    </row>
    <row x14ac:dyDescent="0.25" r="213" customHeight="1" ht="17.25">
      <c r="A213" s="20" t="s">
        <v>4534</v>
      </c>
      <c r="B213" s="20" t="s">
        <v>356</v>
      </c>
      <c r="C213" s="20" t="s">
        <v>95</v>
      </c>
      <c r="D213" s="20" t="s">
        <v>34</v>
      </c>
      <c r="E213" s="21">
        <f>ROUND(5102*1.05,2)</f>
      </c>
      <c r="F213" s="20" t="s">
        <v>35</v>
      </c>
      <c r="G213" s="20" t="s">
        <v>18</v>
      </c>
      <c r="H213" s="21">
        <f>ROUND(RAND()*4+6,1)</f>
      </c>
      <c r="I213" s="20" t="s">
        <v>36</v>
      </c>
      <c r="J213" s="23">
        <f>ROUND(75*1,0)&amp;"%"</f>
      </c>
    </row>
    <row x14ac:dyDescent="0.25" r="214" customHeight="1" ht="17.25">
      <c r="A214" s="17" t="s">
        <v>4535</v>
      </c>
      <c r="B214" s="17" t="s">
        <v>358</v>
      </c>
      <c r="C214" s="17" t="s">
        <v>95</v>
      </c>
      <c r="D214" s="17" t="s">
        <v>39</v>
      </c>
      <c r="E214" s="18">
        <f>ROUND(9503*1.05,2)</f>
      </c>
      <c r="F214" s="17" t="s">
        <v>40</v>
      </c>
      <c r="G214" s="17" t="s">
        <v>24</v>
      </c>
      <c r="H214" s="18">
        <f>ROUND(RAND()*4+6,1)</f>
      </c>
      <c r="I214" s="17" t="s">
        <v>41</v>
      </c>
      <c r="J214" s="19">
        <f>ROUND(68*1,0)&amp;"%"</f>
      </c>
    </row>
    <row x14ac:dyDescent="0.25" r="215" customHeight="1" ht="17.25">
      <c r="A215" s="20" t="s">
        <v>4536</v>
      </c>
      <c r="B215" s="20" t="s">
        <v>360</v>
      </c>
      <c r="C215" s="20" t="s">
        <v>95</v>
      </c>
      <c r="D215" s="20" t="s">
        <v>67</v>
      </c>
      <c r="E215" s="21">
        <f>ROUND(10794*1.05,2)</f>
      </c>
      <c r="F215" s="20" t="s">
        <v>44</v>
      </c>
      <c r="G215" s="20" t="s">
        <v>30</v>
      </c>
      <c r="H215" s="21">
        <f>ROUND(RAND()*4+6,1)</f>
      </c>
      <c r="I215" s="20" t="s">
        <v>45</v>
      </c>
      <c r="J215" s="23">
        <f>ROUND(70*1,0)&amp;"%"</f>
      </c>
    </row>
    <row x14ac:dyDescent="0.25" r="216" customHeight="1" ht="17.25">
      <c r="A216" s="17" t="s">
        <v>4537</v>
      </c>
      <c r="B216" s="17" t="s">
        <v>362</v>
      </c>
      <c r="C216" s="17" t="s">
        <v>95</v>
      </c>
      <c r="D216" s="17" t="s">
        <v>16</v>
      </c>
      <c r="E216" s="18">
        <f>ROUND(16999*1.05,2)</f>
      </c>
      <c r="F216" s="17" t="s">
        <v>48</v>
      </c>
      <c r="G216" s="17" t="s">
        <v>18</v>
      </c>
      <c r="H216" s="18">
        <f>ROUND(RAND()*4+6,1)</f>
      </c>
      <c r="I216" s="17" t="s">
        <v>19</v>
      </c>
      <c r="J216" s="19">
        <f>ROUND(78*1,0)&amp;"%"</f>
      </c>
    </row>
    <row x14ac:dyDescent="0.25" r="217" customHeight="1" ht="17.25">
      <c r="A217" s="20" t="s">
        <v>4538</v>
      </c>
      <c r="B217" s="20" t="s">
        <v>364</v>
      </c>
      <c r="C217" s="20" t="s">
        <v>95</v>
      </c>
      <c r="D217" s="20" t="s">
        <v>22</v>
      </c>
      <c r="E217" s="21">
        <f>ROUND(10928*1.05,2)</f>
      </c>
      <c r="F217" s="20" t="s">
        <v>51</v>
      </c>
      <c r="G217" s="20" t="s">
        <v>24</v>
      </c>
      <c r="H217" s="21">
        <f>ROUND(RAND()*4+6,1)</f>
      </c>
      <c r="I217" s="20" t="s">
        <v>25</v>
      </c>
      <c r="J217" s="23">
        <f>ROUND(95*1,0)&amp;"%"</f>
      </c>
    </row>
    <row x14ac:dyDescent="0.25" r="218" customHeight="1" ht="17.25">
      <c r="A218" s="24" t="s">
        <v>365</v>
      </c>
      <c r="B218" s="24"/>
      <c r="C218" s="24"/>
      <c r="D218" s="24"/>
      <c r="E218" s="25">
        <v>8</v>
      </c>
      <c r="F218" s="9"/>
      <c r="G218" s="9"/>
      <c r="H218" s="10"/>
      <c r="I218" s="9"/>
      <c r="J218" s="9"/>
    </row>
    <row x14ac:dyDescent="0.25" r="219" customHeight="1" ht="17.25">
      <c r="A219" s="7"/>
      <c r="B219" s="7"/>
      <c r="C219" s="7"/>
      <c r="D219" s="7"/>
      <c r="E219" s="8"/>
      <c r="F219" s="9"/>
      <c r="G219" s="9"/>
      <c r="H219" s="10"/>
      <c r="I219" s="9"/>
      <c r="J219" s="9"/>
    </row>
    <row x14ac:dyDescent="0.25" r="220" customHeight="1" ht="17.25">
      <c r="A220" s="11" t="s">
        <v>4539</v>
      </c>
      <c r="B220" s="11"/>
      <c r="C220" s="11"/>
      <c r="D220" s="11"/>
      <c r="E220" s="12"/>
      <c r="F220" s="11"/>
      <c r="G220" s="11"/>
      <c r="H220" s="13"/>
      <c r="I220" s="11"/>
      <c r="J220" s="11"/>
    </row>
    <row x14ac:dyDescent="0.25" r="221" customHeight="1" ht="17.25">
      <c r="A221" s="14" t="s">
        <v>3</v>
      </c>
      <c r="B221" s="14" t="s">
        <v>4</v>
      </c>
      <c r="C221" s="14" t="s">
        <v>5</v>
      </c>
      <c r="D221" s="14" t="s">
        <v>6</v>
      </c>
      <c r="E221" s="15" t="s">
        <v>7</v>
      </c>
      <c r="F221" s="14" t="s">
        <v>8</v>
      </c>
      <c r="G221" s="14" t="s">
        <v>9</v>
      </c>
      <c r="H221" s="16" t="s">
        <v>10</v>
      </c>
      <c r="I221" s="14" t="s">
        <v>11</v>
      </c>
      <c r="J221" s="14" t="s">
        <v>12</v>
      </c>
    </row>
    <row x14ac:dyDescent="0.25" r="222" customHeight="1" ht="17.25">
      <c r="A222" s="17" t="s">
        <v>4540</v>
      </c>
      <c r="B222" s="17" t="s">
        <v>368</v>
      </c>
      <c r="C222" s="17" t="s">
        <v>114</v>
      </c>
      <c r="D222" s="17" t="s">
        <v>16</v>
      </c>
      <c r="E222" s="18">
        <f>ROUND(5638*1.05,2)</f>
      </c>
      <c r="F222" s="17" t="s">
        <v>17</v>
      </c>
      <c r="G222" s="17" t="s">
        <v>18</v>
      </c>
      <c r="H222" s="26">
        <f>ROUND(RAND()*4+6,1)</f>
      </c>
      <c r="I222" s="17" t="s">
        <v>19</v>
      </c>
      <c r="J222" s="19">
        <f>ROUND(93*1,0)&amp;"%"</f>
      </c>
    </row>
    <row x14ac:dyDescent="0.25" r="223" customHeight="1" ht="17.25">
      <c r="A223" s="20" t="s">
        <v>4541</v>
      </c>
      <c r="B223" s="20" t="s">
        <v>370</v>
      </c>
      <c r="C223" s="20" t="s">
        <v>114</v>
      </c>
      <c r="D223" s="20" t="s">
        <v>22</v>
      </c>
      <c r="E223" s="22">
        <f>ROUND(14000*1.05,2)</f>
      </c>
      <c r="F223" s="20" t="s">
        <v>23</v>
      </c>
      <c r="G223" s="20" t="s">
        <v>24</v>
      </c>
      <c r="H223" s="21">
        <f>ROUND(RAND()*4+6,1)</f>
      </c>
      <c r="I223" s="20" t="s">
        <v>25</v>
      </c>
      <c r="J223" s="23">
        <f>ROUND(92*1,0)&amp;"%"</f>
      </c>
    </row>
    <row x14ac:dyDescent="0.25" r="224" customHeight="1" ht="17.25">
      <c r="A224" s="17" t="s">
        <v>4542</v>
      </c>
      <c r="B224" s="17" t="s">
        <v>372</v>
      </c>
      <c r="C224" s="17" t="s">
        <v>114</v>
      </c>
      <c r="D224" s="17" t="s">
        <v>28</v>
      </c>
      <c r="E224" s="18">
        <f>ROUND(7206*1.05,2)</f>
      </c>
      <c r="F224" s="17" t="s">
        <v>29</v>
      </c>
      <c r="G224" s="17" t="s">
        <v>30</v>
      </c>
      <c r="H224" s="18">
        <f>ROUND(RAND()*4+6,1)</f>
      </c>
      <c r="I224" s="17" t="s">
        <v>31</v>
      </c>
      <c r="J224" s="19">
        <f>ROUND(74*1,0)&amp;"%"</f>
      </c>
    </row>
    <row x14ac:dyDescent="0.25" r="225" customHeight="1" ht="17.25">
      <c r="A225" s="20" t="s">
        <v>4543</v>
      </c>
      <c r="B225" s="20" t="s">
        <v>374</v>
      </c>
      <c r="C225" s="20" t="s">
        <v>114</v>
      </c>
      <c r="D225" s="20" t="s">
        <v>34</v>
      </c>
      <c r="E225" s="21">
        <f>ROUND(14627*1.05,2)</f>
      </c>
      <c r="F225" s="20" t="s">
        <v>35</v>
      </c>
      <c r="G225" s="20" t="s">
        <v>18</v>
      </c>
      <c r="H225" s="21">
        <f>ROUND(RAND()*4+6,1)</f>
      </c>
      <c r="I225" s="20" t="s">
        <v>36</v>
      </c>
      <c r="J225" s="23">
        <f>ROUND(62*1,0)&amp;"%"</f>
      </c>
    </row>
    <row x14ac:dyDescent="0.25" r="226" customHeight="1" ht="17.25">
      <c r="A226" s="17" t="s">
        <v>4544</v>
      </c>
      <c r="B226" s="17" t="s">
        <v>376</v>
      </c>
      <c r="C226" s="17" t="s">
        <v>114</v>
      </c>
      <c r="D226" s="17" t="s">
        <v>39</v>
      </c>
      <c r="E226" s="18">
        <f>ROUND(5349*1.05,2)</f>
      </c>
      <c r="F226" s="17" t="s">
        <v>40</v>
      </c>
      <c r="G226" s="17" t="s">
        <v>24</v>
      </c>
      <c r="H226" s="18">
        <f>ROUND(RAND()*4+6,1)</f>
      </c>
      <c r="I226" s="17" t="s">
        <v>41</v>
      </c>
      <c r="J226" s="19">
        <f>ROUND(71*1,0)&amp;"%"</f>
      </c>
    </row>
    <row x14ac:dyDescent="0.25" r="227" customHeight="1" ht="17.25">
      <c r="A227" s="20" t="s">
        <v>4545</v>
      </c>
      <c r="B227" s="20" t="s">
        <v>378</v>
      </c>
      <c r="C227" s="20" t="s">
        <v>114</v>
      </c>
      <c r="D227" s="20" t="s">
        <v>67</v>
      </c>
      <c r="E227" s="21">
        <f>ROUND(7424*1.05,2)</f>
      </c>
      <c r="F227" s="20" t="s">
        <v>44</v>
      </c>
      <c r="G227" s="20" t="s">
        <v>30</v>
      </c>
      <c r="H227" s="21">
        <f>ROUND(RAND()*4+6,1)</f>
      </c>
      <c r="I227" s="20" t="s">
        <v>45</v>
      </c>
      <c r="J227" s="23">
        <f>ROUND(91*1,0)&amp;"%"</f>
      </c>
    </row>
    <row x14ac:dyDescent="0.25" r="228" customHeight="1" ht="17.25">
      <c r="A228" s="17" t="s">
        <v>4546</v>
      </c>
      <c r="B228" s="17" t="s">
        <v>380</v>
      </c>
      <c r="C228" s="17" t="s">
        <v>114</v>
      </c>
      <c r="D228" s="17" t="s">
        <v>16</v>
      </c>
      <c r="E228" s="18">
        <f>ROUND(15771*1.05,2)</f>
      </c>
      <c r="F228" s="17" t="s">
        <v>48</v>
      </c>
      <c r="G228" s="17" t="s">
        <v>18</v>
      </c>
      <c r="H228" s="18">
        <f>ROUND(RAND()*4+6,1)</f>
      </c>
      <c r="I228" s="17" t="s">
        <v>19</v>
      </c>
      <c r="J228" s="19">
        <f>ROUND(74*1,0)&amp;"%"</f>
      </c>
    </row>
    <row x14ac:dyDescent="0.25" r="229" customHeight="1" ht="17.25">
      <c r="A229" s="20" t="s">
        <v>4547</v>
      </c>
      <c r="B229" s="20" t="s">
        <v>382</v>
      </c>
      <c r="C229" s="20" t="s">
        <v>114</v>
      </c>
      <c r="D229" s="20" t="s">
        <v>22</v>
      </c>
      <c r="E229" s="21">
        <f>ROUND(17653*1.05,2)</f>
      </c>
      <c r="F229" s="20" t="s">
        <v>51</v>
      </c>
      <c r="G229" s="20" t="s">
        <v>24</v>
      </c>
      <c r="H229" s="21">
        <f>ROUND(RAND()*4+6,1)</f>
      </c>
      <c r="I229" s="20" t="s">
        <v>25</v>
      </c>
      <c r="J229" s="23">
        <f>ROUND(97*1,0)&amp;"%"</f>
      </c>
    </row>
    <row x14ac:dyDescent="0.25" r="230" customHeight="1" ht="17.25">
      <c r="A230" s="24" t="s">
        <v>383</v>
      </c>
      <c r="B230" s="24"/>
      <c r="C230" s="24"/>
      <c r="D230" s="24"/>
      <c r="E230" s="25">
        <v>8</v>
      </c>
      <c r="F230" s="9"/>
      <c r="G230" s="9"/>
      <c r="H230" s="10"/>
      <c r="I230" s="9"/>
      <c r="J230" s="9"/>
    </row>
    <row x14ac:dyDescent="0.25" r="231" customHeight="1" ht="17.25">
      <c r="A231" s="7"/>
      <c r="B231" s="7"/>
      <c r="C231" s="7"/>
      <c r="D231" s="7"/>
      <c r="E231" s="8"/>
      <c r="F231" s="9"/>
      <c r="G231" s="9"/>
      <c r="H231" s="10"/>
      <c r="I231" s="9"/>
      <c r="J231" s="9"/>
    </row>
    <row x14ac:dyDescent="0.25" r="232" customHeight="1" ht="17.25">
      <c r="A232" s="11" t="s">
        <v>4548</v>
      </c>
      <c r="B232" s="11"/>
      <c r="C232" s="11"/>
      <c r="D232" s="11"/>
      <c r="E232" s="12"/>
      <c r="F232" s="11"/>
      <c r="G232" s="11"/>
      <c r="H232" s="13"/>
      <c r="I232" s="11"/>
      <c r="J232" s="11"/>
    </row>
    <row x14ac:dyDescent="0.25" r="233" customHeight="1" ht="17.25">
      <c r="A233" s="14" t="s">
        <v>3</v>
      </c>
      <c r="B233" s="14" t="s">
        <v>4</v>
      </c>
      <c r="C233" s="14" t="s">
        <v>5</v>
      </c>
      <c r="D233" s="14" t="s">
        <v>6</v>
      </c>
      <c r="E233" s="15" t="s">
        <v>7</v>
      </c>
      <c r="F233" s="14" t="s">
        <v>8</v>
      </c>
      <c r="G233" s="14" t="s">
        <v>9</v>
      </c>
      <c r="H233" s="16" t="s">
        <v>10</v>
      </c>
      <c r="I233" s="14" t="s">
        <v>11</v>
      </c>
      <c r="J233" s="14" t="s">
        <v>12</v>
      </c>
    </row>
    <row x14ac:dyDescent="0.25" r="234" customHeight="1" ht="17.25">
      <c r="A234" s="17" t="s">
        <v>4549</v>
      </c>
      <c r="B234" s="17" t="s">
        <v>386</v>
      </c>
      <c r="C234" s="17" t="s">
        <v>133</v>
      </c>
      <c r="D234" s="17" t="s">
        <v>16</v>
      </c>
      <c r="E234" s="18">
        <f>ROUND(13466*1.05,2)</f>
      </c>
      <c r="F234" s="17" t="s">
        <v>17</v>
      </c>
      <c r="G234" s="17" t="s">
        <v>18</v>
      </c>
      <c r="H234" s="18">
        <f>ROUND(RAND()*4+6,1)</f>
      </c>
      <c r="I234" s="17" t="s">
        <v>19</v>
      </c>
      <c r="J234" s="19">
        <f>ROUND(69*1,0)&amp;"%"</f>
      </c>
    </row>
    <row x14ac:dyDescent="0.25" r="235" customHeight="1" ht="17.25">
      <c r="A235" s="20" t="s">
        <v>4550</v>
      </c>
      <c r="B235" s="20" t="s">
        <v>388</v>
      </c>
      <c r="C235" s="20" t="s">
        <v>133</v>
      </c>
      <c r="D235" s="20" t="s">
        <v>22</v>
      </c>
      <c r="E235" s="21">
        <f>ROUND(6692*1.05,2)</f>
      </c>
      <c r="F235" s="20" t="s">
        <v>23</v>
      </c>
      <c r="G235" s="20" t="s">
        <v>24</v>
      </c>
      <c r="H235" s="21">
        <f>ROUND(RAND()*4+6,1)</f>
      </c>
      <c r="I235" s="20" t="s">
        <v>25</v>
      </c>
      <c r="J235" s="23">
        <f>ROUND(67*1,0)&amp;"%"</f>
      </c>
    </row>
    <row x14ac:dyDescent="0.25" r="236" customHeight="1" ht="17.25">
      <c r="A236" s="17" t="s">
        <v>4551</v>
      </c>
      <c r="B236" s="17" t="s">
        <v>390</v>
      </c>
      <c r="C236" s="17" t="s">
        <v>133</v>
      </c>
      <c r="D236" s="17" t="s">
        <v>28</v>
      </c>
      <c r="E236" s="18">
        <f>ROUND(14839*1.05,2)</f>
      </c>
      <c r="F236" s="17" t="s">
        <v>29</v>
      </c>
      <c r="G236" s="17" t="s">
        <v>30</v>
      </c>
      <c r="H236" s="18">
        <f>ROUND(RAND()*4+6,1)</f>
      </c>
      <c r="I236" s="17" t="s">
        <v>31</v>
      </c>
      <c r="J236" s="19">
        <f>ROUND(69*1,0)&amp;"%"</f>
      </c>
    </row>
    <row x14ac:dyDescent="0.25" r="237" customHeight="1" ht="17.25">
      <c r="A237" s="20" t="s">
        <v>4552</v>
      </c>
      <c r="B237" s="20" t="s">
        <v>392</v>
      </c>
      <c r="C237" s="20" t="s">
        <v>133</v>
      </c>
      <c r="D237" s="20" t="s">
        <v>34</v>
      </c>
      <c r="E237" s="21">
        <f>ROUND(5037*1.05,2)</f>
      </c>
      <c r="F237" s="20" t="s">
        <v>35</v>
      </c>
      <c r="G237" s="20" t="s">
        <v>18</v>
      </c>
      <c r="H237" s="21">
        <f>ROUND(RAND()*4+6,1)</f>
      </c>
      <c r="I237" s="20" t="s">
        <v>36</v>
      </c>
      <c r="J237" s="23">
        <f>ROUND(90*1,0)&amp;"%"</f>
      </c>
    </row>
    <row x14ac:dyDescent="0.25" r="238" customHeight="1" ht="17.25">
      <c r="A238" s="17" t="s">
        <v>4553</v>
      </c>
      <c r="B238" s="17" t="s">
        <v>394</v>
      </c>
      <c r="C238" s="17" t="s">
        <v>133</v>
      </c>
      <c r="D238" s="17" t="s">
        <v>39</v>
      </c>
      <c r="E238" s="18">
        <f>ROUND(4977*1.05,2)</f>
      </c>
      <c r="F238" s="17" t="s">
        <v>40</v>
      </c>
      <c r="G238" s="17" t="s">
        <v>24</v>
      </c>
      <c r="H238" s="18">
        <f>ROUND(RAND()*4+6,1)</f>
      </c>
      <c r="I238" s="17" t="s">
        <v>41</v>
      </c>
      <c r="J238" s="19">
        <f>ROUND(77*1,0)&amp;"%"</f>
      </c>
    </row>
    <row x14ac:dyDescent="0.25" r="239" customHeight="1" ht="17.25">
      <c r="A239" s="20" t="s">
        <v>4554</v>
      </c>
      <c r="B239" s="20" t="s">
        <v>396</v>
      </c>
      <c r="C239" s="20" t="s">
        <v>133</v>
      </c>
      <c r="D239" s="20" t="s">
        <v>67</v>
      </c>
      <c r="E239" s="22">
        <f>ROUND(6080*1.05,2)</f>
      </c>
      <c r="F239" s="20" t="s">
        <v>44</v>
      </c>
      <c r="G239" s="20" t="s">
        <v>30</v>
      </c>
      <c r="H239" s="21">
        <f>ROUND(RAND()*4+6,1)</f>
      </c>
      <c r="I239" s="20" t="s">
        <v>45</v>
      </c>
      <c r="J239" s="23">
        <f>ROUND(63*1,0)&amp;"%"</f>
      </c>
    </row>
    <row x14ac:dyDescent="0.25" r="240" customHeight="1" ht="17.25">
      <c r="A240" s="17" t="s">
        <v>4555</v>
      </c>
      <c r="B240" s="17" t="s">
        <v>398</v>
      </c>
      <c r="C240" s="17" t="s">
        <v>133</v>
      </c>
      <c r="D240" s="17" t="s">
        <v>16</v>
      </c>
      <c r="E240" s="18">
        <f>ROUND(10412*1.05,2)</f>
      </c>
      <c r="F240" s="17" t="s">
        <v>48</v>
      </c>
      <c r="G240" s="17" t="s">
        <v>18</v>
      </c>
      <c r="H240" s="18">
        <f>ROUND(RAND()*4+6,1)</f>
      </c>
      <c r="I240" s="17" t="s">
        <v>19</v>
      </c>
      <c r="J240" s="19">
        <f>ROUND(83*1,0)&amp;"%"</f>
      </c>
    </row>
    <row x14ac:dyDescent="0.25" r="241" customHeight="1" ht="17.25">
      <c r="A241" s="20" t="s">
        <v>4556</v>
      </c>
      <c r="B241" s="20" t="s">
        <v>400</v>
      </c>
      <c r="C241" s="20" t="s">
        <v>133</v>
      </c>
      <c r="D241" s="20" t="s">
        <v>22</v>
      </c>
      <c r="E241" s="21">
        <f>ROUND(4706*1.05,2)</f>
      </c>
      <c r="F241" s="20" t="s">
        <v>51</v>
      </c>
      <c r="G241" s="20" t="s">
        <v>24</v>
      </c>
      <c r="H241" s="22">
        <f>ROUND(RAND()*4+6,1)</f>
      </c>
      <c r="I241" s="20" t="s">
        <v>25</v>
      </c>
      <c r="J241" s="23">
        <f>ROUND(68*1,0)&amp;"%"</f>
      </c>
    </row>
    <row x14ac:dyDescent="0.25" r="242" customHeight="1" ht="17.25">
      <c r="A242" s="24" t="s">
        <v>401</v>
      </c>
      <c r="B242" s="24"/>
      <c r="C242" s="24"/>
      <c r="D242" s="24"/>
      <c r="E242" s="25">
        <v>8</v>
      </c>
      <c r="F242" s="9"/>
      <c r="G242" s="9"/>
      <c r="H242" s="10"/>
      <c r="I242" s="9"/>
      <c r="J242" s="9"/>
    </row>
    <row x14ac:dyDescent="0.25" r="243" customHeight="1" ht="17.25">
      <c r="A243" s="7"/>
      <c r="B243" s="7"/>
      <c r="C243" s="7"/>
      <c r="D243" s="7"/>
      <c r="E243" s="8"/>
      <c r="F243" s="9"/>
      <c r="G243" s="9"/>
      <c r="H243" s="10"/>
      <c r="I243" s="9"/>
      <c r="J243" s="9"/>
    </row>
    <row x14ac:dyDescent="0.25" r="244" customHeight="1" ht="17.25">
      <c r="A244" s="11" t="s">
        <v>4557</v>
      </c>
      <c r="B244" s="11"/>
      <c r="C244" s="11"/>
      <c r="D244" s="11"/>
      <c r="E244" s="12"/>
      <c r="F244" s="11"/>
      <c r="G244" s="11"/>
      <c r="H244" s="13"/>
      <c r="I244" s="11"/>
      <c r="J244" s="11"/>
    </row>
    <row x14ac:dyDescent="0.25" r="245" customHeight="1" ht="17.25">
      <c r="A245" s="14" t="s">
        <v>3</v>
      </c>
      <c r="B245" s="14" t="s">
        <v>4</v>
      </c>
      <c r="C245" s="14" t="s">
        <v>5</v>
      </c>
      <c r="D245" s="14" t="s">
        <v>6</v>
      </c>
      <c r="E245" s="15" t="s">
        <v>7</v>
      </c>
      <c r="F245" s="14" t="s">
        <v>8</v>
      </c>
      <c r="G245" s="14" t="s">
        <v>9</v>
      </c>
      <c r="H245" s="16" t="s">
        <v>10</v>
      </c>
      <c r="I245" s="14" t="s">
        <v>11</v>
      </c>
      <c r="J245" s="14" t="s">
        <v>12</v>
      </c>
    </row>
    <row x14ac:dyDescent="0.25" r="246" customHeight="1" ht="17.25">
      <c r="A246" s="17" t="s">
        <v>4558</v>
      </c>
      <c r="B246" s="17" t="s">
        <v>404</v>
      </c>
      <c r="C246" s="17" t="s">
        <v>152</v>
      </c>
      <c r="D246" s="17" t="s">
        <v>16</v>
      </c>
      <c r="E246" s="18">
        <f>ROUND(7687*1.05,2)</f>
      </c>
      <c r="F246" s="17" t="s">
        <v>17</v>
      </c>
      <c r="G246" s="17" t="s">
        <v>18</v>
      </c>
      <c r="H246" s="18">
        <f>ROUND(RAND()*4+6,1)</f>
      </c>
      <c r="I246" s="17" t="s">
        <v>19</v>
      </c>
      <c r="J246" s="19">
        <f>ROUND(64*1,0)&amp;"%"</f>
      </c>
    </row>
    <row x14ac:dyDescent="0.25" r="247" customHeight="1" ht="17.25">
      <c r="A247" s="20" t="s">
        <v>4559</v>
      </c>
      <c r="B247" s="20" t="s">
        <v>406</v>
      </c>
      <c r="C247" s="20" t="s">
        <v>152</v>
      </c>
      <c r="D247" s="20" t="s">
        <v>22</v>
      </c>
      <c r="E247" s="21">
        <f>ROUND(10030*1.05,2)</f>
      </c>
      <c r="F247" s="20" t="s">
        <v>23</v>
      </c>
      <c r="G247" s="20" t="s">
        <v>24</v>
      </c>
      <c r="H247" s="21">
        <f>ROUND(RAND()*4+6,1)</f>
      </c>
      <c r="I247" s="20" t="s">
        <v>25</v>
      </c>
      <c r="J247" s="23">
        <f>ROUND(98*1,0)&amp;"%"</f>
      </c>
    </row>
    <row x14ac:dyDescent="0.25" r="248" customHeight="1" ht="17.25">
      <c r="A248" s="17" t="s">
        <v>4560</v>
      </c>
      <c r="B248" s="17" t="s">
        <v>408</v>
      </c>
      <c r="C248" s="17" t="s">
        <v>152</v>
      </c>
      <c r="D248" s="17" t="s">
        <v>28</v>
      </c>
      <c r="E248" s="18">
        <f>ROUND(17285*1.05,2)</f>
      </c>
      <c r="F248" s="17" t="s">
        <v>29</v>
      </c>
      <c r="G248" s="17" t="s">
        <v>30</v>
      </c>
      <c r="H248" s="18">
        <f>ROUND(RAND()*4+6,1)</f>
      </c>
      <c r="I248" s="17" t="s">
        <v>31</v>
      </c>
      <c r="J248" s="19">
        <f>ROUND(60*1,0)&amp;"%"</f>
      </c>
    </row>
    <row x14ac:dyDescent="0.25" r="249" customHeight="1" ht="17.25">
      <c r="A249" s="20" t="s">
        <v>4561</v>
      </c>
      <c r="B249" s="20" t="s">
        <v>410</v>
      </c>
      <c r="C249" s="20" t="s">
        <v>152</v>
      </c>
      <c r="D249" s="20" t="s">
        <v>34</v>
      </c>
      <c r="E249" s="21">
        <f>ROUND(7031*1.05,2)</f>
      </c>
      <c r="F249" s="20" t="s">
        <v>35</v>
      </c>
      <c r="G249" s="20" t="s">
        <v>18</v>
      </c>
      <c r="H249" s="21">
        <f>ROUND(RAND()*4+6,1)</f>
      </c>
      <c r="I249" s="20" t="s">
        <v>36</v>
      </c>
      <c r="J249" s="23">
        <f>ROUND(74*1,0)&amp;"%"</f>
      </c>
    </row>
    <row x14ac:dyDescent="0.25" r="250" customHeight="1" ht="17.25">
      <c r="A250" s="17" t="s">
        <v>4562</v>
      </c>
      <c r="B250" s="17" t="s">
        <v>412</v>
      </c>
      <c r="C250" s="17" t="s">
        <v>152</v>
      </c>
      <c r="D250" s="17" t="s">
        <v>39</v>
      </c>
      <c r="E250" s="18">
        <f>ROUND(16247*1.05,2)</f>
      </c>
      <c r="F250" s="17" t="s">
        <v>40</v>
      </c>
      <c r="G250" s="17" t="s">
        <v>24</v>
      </c>
      <c r="H250" s="18">
        <f>ROUND(RAND()*4+6,1)</f>
      </c>
      <c r="I250" s="17" t="s">
        <v>41</v>
      </c>
      <c r="J250" s="19">
        <f>ROUND(81*1,0)&amp;"%"</f>
      </c>
    </row>
    <row x14ac:dyDescent="0.25" r="251" customHeight="1" ht="17.25">
      <c r="A251" s="20" t="s">
        <v>4563</v>
      </c>
      <c r="B251" s="20" t="s">
        <v>414</v>
      </c>
      <c r="C251" s="20" t="s">
        <v>152</v>
      </c>
      <c r="D251" s="20" t="s">
        <v>67</v>
      </c>
      <c r="E251" s="21">
        <f>ROUND(7904*1.05,2)</f>
      </c>
      <c r="F251" s="20" t="s">
        <v>44</v>
      </c>
      <c r="G251" s="20" t="s">
        <v>30</v>
      </c>
      <c r="H251" s="21">
        <f>ROUND(RAND()*4+6,1)</f>
      </c>
      <c r="I251" s="20" t="s">
        <v>45</v>
      </c>
      <c r="J251" s="23">
        <f>ROUND(89*1,0)&amp;"%"</f>
      </c>
    </row>
    <row x14ac:dyDescent="0.25" r="252" customHeight="1" ht="17.25">
      <c r="A252" s="17" t="s">
        <v>4564</v>
      </c>
      <c r="B252" s="17" t="s">
        <v>416</v>
      </c>
      <c r="C252" s="17" t="s">
        <v>152</v>
      </c>
      <c r="D252" s="17" t="s">
        <v>16</v>
      </c>
      <c r="E252" s="18">
        <f>ROUND(15444*1.05,2)</f>
      </c>
      <c r="F252" s="17" t="s">
        <v>48</v>
      </c>
      <c r="G252" s="17" t="s">
        <v>18</v>
      </c>
      <c r="H252" s="18">
        <f>ROUND(RAND()*4+6,1)</f>
      </c>
      <c r="I252" s="17" t="s">
        <v>19</v>
      </c>
      <c r="J252" s="19">
        <f>ROUND(97*1,0)&amp;"%"</f>
      </c>
    </row>
    <row x14ac:dyDescent="0.25" r="253" customHeight="1" ht="17.25">
      <c r="A253" s="20" t="s">
        <v>4565</v>
      </c>
      <c r="B253" s="20" t="s">
        <v>418</v>
      </c>
      <c r="C253" s="20" t="s">
        <v>152</v>
      </c>
      <c r="D253" s="20" t="s">
        <v>22</v>
      </c>
      <c r="E253" s="21">
        <f>ROUND(13711*1.05,2)</f>
      </c>
      <c r="F253" s="20" t="s">
        <v>51</v>
      </c>
      <c r="G253" s="20" t="s">
        <v>24</v>
      </c>
      <c r="H253" s="21">
        <f>ROUND(RAND()*4+6,1)</f>
      </c>
      <c r="I253" s="20" t="s">
        <v>25</v>
      </c>
      <c r="J253" s="23">
        <f>ROUND(77*1,0)&amp;"%"</f>
      </c>
    </row>
    <row x14ac:dyDescent="0.25" r="254" customHeight="1" ht="17.25">
      <c r="A254" s="24" t="s">
        <v>419</v>
      </c>
      <c r="B254" s="24"/>
      <c r="C254" s="24"/>
      <c r="D254" s="24"/>
      <c r="E254" s="25">
        <v>8</v>
      </c>
      <c r="F254" s="9"/>
      <c r="G254" s="9"/>
      <c r="H254" s="10"/>
      <c r="I254" s="9"/>
      <c r="J254" s="9"/>
    </row>
    <row x14ac:dyDescent="0.25" r="255" customHeight="1" ht="17.25">
      <c r="A255" s="7"/>
      <c r="B255" s="7"/>
      <c r="C255" s="7"/>
      <c r="D255" s="7"/>
      <c r="E255" s="8"/>
      <c r="F255" s="9"/>
      <c r="G255" s="9"/>
      <c r="H255" s="10"/>
      <c r="I255" s="9"/>
      <c r="J255" s="9"/>
    </row>
    <row x14ac:dyDescent="0.25" r="256" customHeight="1" ht="17.25">
      <c r="A256" s="11" t="s">
        <v>4566</v>
      </c>
      <c r="B256" s="11"/>
      <c r="C256" s="11"/>
      <c r="D256" s="11"/>
      <c r="E256" s="12"/>
      <c r="F256" s="11"/>
      <c r="G256" s="11"/>
      <c r="H256" s="13"/>
      <c r="I256" s="11"/>
      <c r="J256" s="11"/>
    </row>
    <row x14ac:dyDescent="0.25" r="257" customHeight="1" ht="17.25">
      <c r="A257" s="14" t="s">
        <v>3</v>
      </c>
      <c r="B257" s="14" t="s">
        <v>4</v>
      </c>
      <c r="C257" s="14" t="s">
        <v>5</v>
      </c>
      <c r="D257" s="14" t="s">
        <v>6</v>
      </c>
      <c r="E257" s="15" t="s">
        <v>7</v>
      </c>
      <c r="F257" s="14" t="s">
        <v>8</v>
      </c>
      <c r="G257" s="14" t="s">
        <v>9</v>
      </c>
      <c r="H257" s="16" t="s">
        <v>10</v>
      </c>
      <c r="I257" s="14" t="s">
        <v>11</v>
      </c>
      <c r="J257" s="14" t="s">
        <v>12</v>
      </c>
    </row>
    <row x14ac:dyDescent="0.25" r="258" customHeight="1" ht="17.25">
      <c r="A258" s="17" t="s">
        <v>4567</v>
      </c>
      <c r="B258" s="17" t="s">
        <v>422</v>
      </c>
      <c r="C258" s="17" t="s">
        <v>15</v>
      </c>
      <c r="D258" s="17" t="s">
        <v>16</v>
      </c>
      <c r="E258" s="18">
        <f>ROUND(7384*1.05,2)</f>
      </c>
      <c r="F258" s="17" t="s">
        <v>17</v>
      </c>
      <c r="G258" s="17" t="s">
        <v>18</v>
      </c>
      <c r="H258" s="18">
        <f>ROUND(RAND()*4+6,1)</f>
      </c>
      <c r="I258" s="17" t="s">
        <v>19</v>
      </c>
      <c r="J258" s="19">
        <f>ROUND(83*1,0)&amp;"%"</f>
      </c>
    </row>
    <row x14ac:dyDescent="0.25" r="259" customHeight="1" ht="17.25">
      <c r="A259" s="20" t="s">
        <v>4568</v>
      </c>
      <c r="B259" s="20" t="s">
        <v>424</v>
      </c>
      <c r="C259" s="20" t="s">
        <v>15</v>
      </c>
      <c r="D259" s="20" t="s">
        <v>22</v>
      </c>
      <c r="E259" s="21">
        <f>ROUND(5221*1.05,2)</f>
      </c>
      <c r="F259" s="20" t="s">
        <v>23</v>
      </c>
      <c r="G259" s="20" t="s">
        <v>24</v>
      </c>
      <c r="H259" s="21">
        <f>ROUND(RAND()*4+6,1)</f>
      </c>
      <c r="I259" s="20" t="s">
        <v>25</v>
      </c>
      <c r="J259" s="23">
        <f>ROUND(98*1,0)&amp;"%"</f>
      </c>
    </row>
    <row x14ac:dyDescent="0.25" r="260" customHeight="1" ht="17.25">
      <c r="A260" s="17" t="s">
        <v>4569</v>
      </c>
      <c r="B260" s="17" t="s">
        <v>426</v>
      </c>
      <c r="C260" s="17" t="s">
        <v>15</v>
      </c>
      <c r="D260" s="17" t="s">
        <v>28</v>
      </c>
      <c r="E260" s="18">
        <f>ROUND(11705*1.05,2)</f>
      </c>
      <c r="F260" s="17" t="s">
        <v>29</v>
      </c>
      <c r="G260" s="17" t="s">
        <v>30</v>
      </c>
      <c r="H260" s="18">
        <f>ROUND(RAND()*4+6,1)</f>
      </c>
      <c r="I260" s="17" t="s">
        <v>31</v>
      </c>
      <c r="J260" s="19">
        <f>ROUND(83*1,0)&amp;"%"</f>
      </c>
    </row>
    <row x14ac:dyDescent="0.25" r="261" customHeight="1" ht="17.25">
      <c r="A261" s="20" t="s">
        <v>4570</v>
      </c>
      <c r="B261" s="20" t="s">
        <v>428</v>
      </c>
      <c r="C261" s="20" t="s">
        <v>15</v>
      </c>
      <c r="D261" s="20" t="s">
        <v>34</v>
      </c>
      <c r="E261" s="21">
        <f>ROUND(14178*1.05,2)</f>
      </c>
      <c r="F261" s="20" t="s">
        <v>35</v>
      </c>
      <c r="G261" s="20" t="s">
        <v>18</v>
      </c>
      <c r="H261" s="21">
        <f>ROUND(RAND()*4+6,1)</f>
      </c>
      <c r="I261" s="20" t="s">
        <v>36</v>
      </c>
      <c r="J261" s="23">
        <f>ROUND(77*1,0)&amp;"%"</f>
      </c>
    </row>
    <row x14ac:dyDescent="0.25" r="262" customHeight="1" ht="17.25">
      <c r="A262" s="17" t="s">
        <v>4571</v>
      </c>
      <c r="B262" s="17" t="s">
        <v>430</v>
      </c>
      <c r="C262" s="17" t="s">
        <v>15</v>
      </c>
      <c r="D262" s="17" t="s">
        <v>39</v>
      </c>
      <c r="E262" s="18">
        <f>ROUND(12244*1.05,2)</f>
      </c>
      <c r="F262" s="17" t="s">
        <v>40</v>
      </c>
      <c r="G262" s="17" t="s">
        <v>24</v>
      </c>
      <c r="H262" s="18">
        <f>ROUND(RAND()*4+6,1)</f>
      </c>
      <c r="I262" s="17" t="s">
        <v>41</v>
      </c>
      <c r="J262" s="19">
        <f>ROUND(87*1,0)&amp;"%"</f>
      </c>
    </row>
    <row x14ac:dyDescent="0.25" r="263" customHeight="1" ht="17.25">
      <c r="A263" s="20" t="s">
        <v>4572</v>
      </c>
      <c r="B263" s="20" t="s">
        <v>432</v>
      </c>
      <c r="C263" s="20" t="s">
        <v>15</v>
      </c>
      <c r="D263" s="20" t="s">
        <v>67</v>
      </c>
      <c r="E263" s="21">
        <f>ROUND(16475*1.05,2)</f>
      </c>
      <c r="F263" s="20" t="s">
        <v>44</v>
      </c>
      <c r="G263" s="20" t="s">
        <v>30</v>
      </c>
      <c r="H263" s="21">
        <f>ROUND(RAND()*4+6,1)</f>
      </c>
      <c r="I263" s="20" t="s">
        <v>45</v>
      </c>
      <c r="J263" s="23">
        <f>ROUND(100*1,0)&amp;"%"</f>
      </c>
    </row>
    <row x14ac:dyDescent="0.25" r="264" customHeight="1" ht="17.25">
      <c r="A264" s="17" t="s">
        <v>4573</v>
      </c>
      <c r="B264" s="17" t="s">
        <v>434</v>
      </c>
      <c r="C264" s="17" t="s">
        <v>15</v>
      </c>
      <c r="D264" s="17" t="s">
        <v>16</v>
      </c>
      <c r="E264" s="18">
        <f>ROUND(12062*1.05,2)</f>
      </c>
      <c r="F264" s="17" t="s">
        <v>48</v>
      </c>
      <c r="G264" s="17" t="s">
        <v>18</v>
      </c>
      <c r="H264" s="18">
        <f>ROUND(RAND()*4+6,1)</f>
      </c>
      <c r="I264" s="17" t="s">
        <v>19</v>
      </c>
      <c r="J264" s="19">
        <f>ROUND(89*1,0)&amp;"%"</f>
      </c>
    </row>
    <row x14ac:dyDescent="0.25" r="265" customHeight="1" ht="17.25">
      <c r="A265" s="20" t="s">
        <v>4574</v>
      </c>
      <c r="B265" s="20" t="s">
        <v>436</v>
      </c>
      <c r="C265" s="20" t="s">
        <v>15</v>
      </c>
      <c r="D265" s="20" t="s">
        <v>22</v>
      </c>
      <c r="E265" s="22">
        <f>ROUND(16560*1.05,2)</f>
      </c>
      <c r="F265" s="20" t="s">
        <v>51</v>
      </c>
      <c r="G265" s="20" t="s">
        <v>24</v>
      </c>
      <c r="H265" s="21">
        <f>ROUND(RAND()*4+6,1)</f>
      </c>
      <c r="I265" s="20" t="s">
        <v>25</v>
      </c>
      <c r="J265" s="23">
        <f>ROUND(89*1,0)&amp;"%"</f>
      </c>
    </row>
    <row x14ac:dyDescent="0.25" r="266" customHeight="1" ht="17.25">
      <c r="A266" s="24" t="s">
        <v>437</v>
      </c>
      <c r="B266" s="24"/>
      <c r="C266" s="24"/>
      <c r="D266" s="24"/>
      <c r="E266" s="25">
        <v>8</v>
      </c>
      <c r="F266" s="9"/>
      <c r="G266" s="9"/>
      <c r="H266" s="10"/>
      <c r="I266" s="9"/>
      <c r="J266" s="9"/>
    </row>
    <row x14ac:dyDescent="0.25" r="267" customHeight="1" ht="17.25">
      <c r="A267" s="7"/>
      <c r="B267" s="7"/>
      <c r="C267" s="7"/>
      <c r="D267" s="7"/>
      <c r="E267" s="8"/>
      <c r="F267" s="9"/>
      <c r="G267" s="9"/>
      <c r="H267" s="10"/>
      <c r="I267" s="9"/>
      <c r="J267" s="9"/>
    </row>
    <row x14ac:dyDescent="0.25" r="268" customHeight="1" ht="17.25">
      <c r="A268" s="11" t="s">
        <v>4575</v>
      </c>
      <c r="B268" s="11"/>
      <c r="C268" s="11"/>
      <c r="D268" s="11"/>
      <c r="E268" s="12"/>
      <c r="F268" s="11"/>
      <c r="G268" s="11"/>
      <c r="H268" s="13"/>
      <c r="I268" s="11"/>
      <c r="J268" s="11"/>
    </row>
    <row x14ac:dyDescent="0.25" r="269" customHeight="1" ht="17.25">
      <c r="A269" s="14" t="s">
        <v>3</v>
      </c>
      <c r="B269" s="14" t="s">
        <v>4</v>
      </c>
      <c r="C269" s="14" t="s">
        <v>5</v>
      </c>
      <c r="D269" s="14" t="s">
        <v>6</v>
      </c>
      <c r="E269" s="15" t="s">
        <v>7</v>
      </c>
      <c r="F269" s="14" t="s">
        <v>8</v>
      </c>
      <c r="G269" s="14" t="s">
        <v>9</v>
      </c>
      <c r="H269" s="16" t="s">
        <v>10</v>
      </c>
      <c r="I269" s="14" t="s">
        <v>11</v>
      </c>
      <c r="J269" s="14" t="s">
        <v>12</v>
      </c>
    </row>
    <row x14ac:dyDescent="0.25" r="270" customHeight="1" ht="17.25">
      <c r="A270" s="17" t="s">
        <v>4576</v>
      </c>
      <c r="B270" s="17" t="s">
        <v>440</v>
      </c>
      <c r="C270" s="17" t="s">
        <v>56</v>
      </c>
      <c r="D270" s="17" t="s">
        <v>16</v>
      </c>
      <c r="E270" s="18">
        <f>ROUND(10967*1.05,2)</f>
      </c>
      <c r="F270" s="17" t="s">
        <v>17</v>
      </c>
      <c r="G270" s="17" t="s">
        <v>18</v>
      </c>
      <c r="H270" s="18">
        <f>ROUND(RAND()*4+6,1)</f>
      </c>
      <c r="I270" s="17" t="s">
        <v>19</v>
      </c>
      <c r="J270" s="19">
        <f>ROUND(61*1,0)&amp;"%"</f>
      </c>
    </row>
    <row x14ac:dyDescent="0.25" r="271" customHeight="1" ht="17.25">
      <c r="A271" s="20" t="s">
        <v>4577</v>
      </c>
      <c r="B271" s="20" t="s">
        <v>442</v>
      </c>
      <c r="C271" s="20" t="s">
        <v>56</v>
      </c>
      <c r="D271" s="20" t="s">
        <v>22</v>
      </c>
      <c r="E271" s="22">
        <f>ROUND(11180*1.05,2)</f>
      </c>
      <c r="F271" s="20" t="s">
        <v>23</v>
      </c>
      <c r="G271" s="20" t="s">
        <v>24</v>
      </c>
      <c r="H271" s="21">
        <f>ROUND(RAND()*4+6,1)</f>
      </c>
      <c r="I271" s="20" t="s">
        <v>25</v>
      </c>
      <c r="J271" s="23">
        <f>ROUND(65*1,0)&amp;"%"</f>
      </c>
    </row>
    <row x14ac:dyDescent="0.25" r="272" customHeight="1" ht="17.25">
      <c r="A272" s="17" t="s">
        <v>4578</v>
      </c>
      <c r="B272" s="17" t="s">
        <v>444</v>
      </c>
      <c r="C272" s="17" t="s">
        <v>56</v>
      </c>
      <c r="D272" s="17" t="s">
        <v>28</v>
      </c>
      <c r="E272" s="18">
        <f>ROUND(10924*1.05,2)</f>
      </c>
      <c r="F272" s="17" t="s">
        <v>29</v>
      </c>
      <c r="G272" s="17" t="s">
        <v>30</v>
      </c>
      <c r="H272" s="18">
        <f>ROUND(RAND()*4+6,1)</f>
      </c>
      <c r="I272" s="17" t="s">
        <v>31</v>
      </c>
      <c r="J272" s="19">
        <f>ROUND(82*1,0)&amp;"%"</f>
      </c>
    </row>
    <row x14ac:dyDescent="0.25" r="273" customHeight="1" ht="17.25">
      <c r="A273" s="20" t="s">
        <v>4579</v>
      </c>
      <c r="B273" s="20" t="s">
        <v>446</v>
      </c>
      <c r="C273" s="20" t="s">
        <v>56</v>
      </c>
      <c r="D273" s="20" t="s">
        <v>34</v>
      </c>
      <c r="E273" s="21">
        <f>ROUND(7864*1.05,2)</f>
      </c>
      <c r="F273" s="20" t="s">
        <v>35</v>
      </c>
      <c r="G273" s="20" t="s">
        <v>18</v>
      </c>
      <c r="H273" s="21">
        <f>ROUND(RAND()*4+6,1)</f>
      </c>
      <c r="I273" s="20" t="s">
        <v>36</v>
      </c>
      <c r="J273" s="23">
        <f>ROUND(62*1,0)&amp;"%"</f>
      </c>
    </row>
    <row x14ac:dyDescent="0.25" r="274" customHeight="1" ht="17.25">
      <c r="A274" s="17" t="s">
        <v>4580</v>
      </c>
      <c r="B274" s="17" t="s">
        <v>448</v>
      </c>
      <c r="C274" s="17" t="s">
        <v>56</v>
      </c>
      <c r="D274" s="17" t="s">
        <v>39</v>
      </c>
      <c r="E274" s="18">
        <f>ROUND(9795*1.05,2)</f>
      </c>
      <c r="F274" s="17" t="s">
        <v>40</v>
      </c>
      <c r="G274" s="17" t="s">
        <v>24</v>
      </c>
      <c r="H274" s="18">
        <f>ROUND(RAND()*4+6,1)</f>
      </c>
      <c r="I274" s="17" t="s">
        <v>41</v>
      </c>
      <c r="J274" s="19">
        <f>ROUND(98*1,0)&amp;"%"</f>
      </c>
    </row>
    <row x14ac:dyDescent="0.25" r="275" customHeight="1" ht="17.25">
      <c r="A275" s="20" t="s">
        <v>4581</v>
      </c>
      <c r="B275" s="20" t="s">
        <v>450</v>
      </c>
      <c r="C275" s="20" t="s">
        <v>56</v>
      </c>
      <c r="D275" s="20" t="s">
        <v>67</v>
      </c>
      <c r="E275" s="21">
        <f>ROUND(6849*1.05,2)</f>
      </c>
      <c r="F275" s="20" t="s">
        <v>44</v>
      </c>
      <c r="G275" s="20" t="s">
        <v>30</v>
      </c>
      <c r="H275" s="21">
        <f>ROUND(RAND()*4+6,1)</f>
      </c>
      <c r="I275" s="20" t="s">
        <v>45</v>
      </c>
      <c r="J275" s="23">
        <f>ROUND(96*1,0)&amp;"%"</f>
      </c>
    </row>
    <row x14ac:dyDescent="0.25" r="276" customHeight="1" ht="17.25">
      <c r="A276" s="17" t="s">
        <v>4582</v>
      </c>
      <c r="B276" s="17" t="s">
        <v>452</v>
      </c>
      <c r="C276" s="17" t="s">
        <v>56</v>
      </c>
      <c r="D276" s="17" t="s">
        <v>16</v>
      </c>
      <c r="E276" s="18">
        <f>ROUND(8826*1.05,2)</f>
      </c>
      <c r="F276" s="17" t="s">
        <v>48</v>
      </c>
      <c r="G276" s="17" t="s">
        <v>18</v>
      </c>
      <c r="H276" s="18">
        <f>ROUND(RAND()*4+6,1)</f>
      </c>
      <c r="I276" s="17" t="s">
        <v>19</v>
      </c>
      <c r="J276" s="19">
        <f>ROUND(80*1,0)&amp;"%"</f>
      </c>
    </row>
    <row x14ac:dyDescent="0.25" r="277" customHeight="1" ht="17.25">
      <c r="A277" s="20" t="s">
        <v>4583</v>
      </c>
      <c r="B277" s="20" t="s">
        <v>454</v>
      </c>
      <c r="C277" s="20" t="s">
        <v>56</v>
      </c>
      <c r="D277" s="20" t="s">
        <v>22</v>
      </c>
      <c r="E277" s="21">
        <f>ROUND(13332*1.05,2)</f>
      </c>
      <c r="F277" s="20" t="s">
        <v>51</v>
      </c>
      <c r="G277" s="20" t="s">
        <v>24</v>
      </c>
      <c r="H277" s="21">
        <f>ROUND(RAND()*4+6,1)</f>
      </c>
      <c r="I277" s="20" t="s">
        <v>25</v>
      </c>
      <c r="J277" s="23">
        <f>ROUND(75*1,0)&amp;"%"</f>
      </c>
    </row>
    <row x14ac:dyDescent="0.25" r="278" customHeight="1" ht="17.25">
      <c r="A278" s="24" t="s">
        <v>455</v>
      </c>
      <c r="B278" s="24"/>
      <c r="C278" s="24"/>
      <c r="D278" s="24"/>
      <c r="E278" s="25">
        <v>8</v>
      </c>
      <c r="F278" s="9"/>
      <c r="G278" s="9"/>
      <c r="H278" s="10"/>
      <c r="I278" s="9"/>
      <c r="J278" s="9"/>
    </row>
    <row x14ac:dyDescent="0.25" r="279" customHeight="1" ht="17.25">
      <c r="A279" s="7"/>
      <c r="B279" s="7"/>
      <c r="C279" s="7"/>
      <c r="D279" s="7"/>
      <c r="E279" s="8"/>
      <c r="F279" s="9"/>
      <c r="G279" s="9"/>
      <c r="H279" s="10"/>
      <c r="I279" s="9"/>
      <c r="J279" s="9"/>
    </row>
    <row x14ac:dyDescent="0.25" r="280" customHeight="1" ht="17.25">
      <c r="A280" s="11" t="s">
        <v>4584</v>
      </c>
      <c r="B280" s="11"/>
      <c r="C280" s="11"/>
      <c r="D280" s="11"/>
      <c r="E280" s="12"/>
      <c r="F280" s="11"/>
      <c r="G280" s="11"/>
      <c r="H280" s="13"/>
      <c r="I280" s="11"/>
      <c r="J280" s="11"/>
    </row>
    <row x14ac:dyDescent="0.25" r="281" customHeight="1" ht="17.25">
      <c r="A281" s="14" t="s">
        <v>3</v>
      </c>
      <c r="B281" s="14" t="s">
        <v>4</v>
      </c>
      <c r="C281" s="14" t="s">
        <v>5</v>
      </c>
      <c r="D281" s="14" t="s">
        <v>6</v>
      </c>
      <c r="E281" s="15" t="s">
        <v>7</v>
      </c>
      <c r="F281" s="14" t="s">
        <v>8</v>
      </c>
      <c r="G281" s="14" t="s">
        <v>9</v>
      </c>
      <c r="H281" s="16" t="s">
        <v>10</v>
      </c>
      <c r="I281" s="14" t="s">
        <v>11</v>
      </c>
      <c r="J281" s="14" t="s">
        <v>12</v>
      </c>
    </row>
    <row x14ac:dyDescent="0.25" r="282" customHeight="1" ht="17.25">
      <c r="A282" s="17" t="s">
        <v>4585</v>
      </c>
      <c r="B282" s="17" t="s">
        <v>458</v>
      </c>
      <c r="C282" s="17" t="s">
        <v>76</v>
      </c>
      <c r="D282" s="17" t="s">
        <v>16</v>
      </c>
      <c r="E282" s="18">
        <f>ROUND(8649*1.05,2)</f>
      </c>
      <c r="F282" s="17" t="s">
        <v>17</v>
      </c>
      <c r="G282" s="17" t="s">
        <v>18</v>
      </c>
      <c r="H282" s="18">
        <f>ROUND(RAND()*4+6,1)</f>
      </c>
      <c r="I282" s="17" t="s">
        <v>19</v>
      </c>
      <c r="J282" s="19">
        <f>ROUND(100*1,0)&amp;"%"</f>
      </c>
    </row>
    <row x14ac:dyDescent="0.25" r="283" customHeight="1" ht="17.25">
      <c r="A283" s="20" t="s">
        <v>4586</v>
      </c>
      <c r="B283" s="20" t="s">
        <v>460</v>
      </c>
      <c r="C283" s="20" t="s">
        <v>76</v>
      </c>
      <c r="D283" s="20" t="s">
        <v>22</v>
      </c>
      <c r="E283" s="21">
        <f>ROUND(10610*1.05,2)</f>
      </c>
      <c r="F283" s="20" t="s">
        <v>23</v>
      </c>
      <c r="G283" s="20" t="s">
        <v>24</v>
      </c>
      <c r="H283" s="21">
        <f>ROUND(RAND()*4+6,1)</f>
      </c>
      <c r="I283" s="20" t="s">
        <v>25</v>
      </c>
      <c r="J283" s="23">
        <f>ROUND(65*1,0)&amp;"%"</f>
      </c>
    </row>
    <row x14ac:dyDescent="0.25" r="284" customHeight="1" ht="17.25">
      <c r="A284" s="17" t="s">
        <v>4587</v>
      </c>
      <c r="B284" s="17" t="s">
        <v>462</v>
      </c>
      <c r="C284" s="17" t="s">
        <v>76</v>
      </c>
      <c r="D284" s="17" t="s">
        <v>28</v>
      </c>
      <c r="E284" s="18">
        <f>ROUND(5055*1.05,2)</f>
      </c>
      <c r="F284" s="17" t="s">
        <v>29</v>
      </c>
      <c r="G284" s="17" t="s">
        <v>30</v>
      </c>
      <c r="H284" s="18">
        <f>ROUND(RAND()*4+6,1)</f>
      </c>
      <c r="I284" s="17" t="s">
        <v>31</v>
      </c>
      <c r="J284" s="19">
        <f>ROUND(81*1,0)&amp;"%"</f>
      </c>
    </row>
    <row x14ac:dyDescent="0.25" r="285" customHeight="1" ht="17.25">
      <c r="A285" s="20" t="s">
        <v>4588</v>
      </c>
      <c r="B285" s="20" t="s">
        <v>464</v>
      </c>
      <c r="C285" s="20" t="s">
        <v>76</v>
      </c>
      <c r="D285" s="20" t="s">
        <v>34</v>
      </c>
      <c r="E285" s="21">
        <f>ROUND(17086*1.05,2)</f>
      </c>
      <c r="F285" s="20" t="s">
        <v>35</v>
      </c>
      <c r="G285" s="20" t="s">
        <v>18</v>
      </c>
      <c r="H285" s="21">
        <f>ROUND(RAND()*4+6,1)</f>
      </c>
      <c r="I285" s="20" t="s">
        <v>36</v>
      </c>
      <c r="J285" s="23">
        <f>ROUND(77*1,0)&amp;"%"</f>
      </c>
    </row>
    <row x14ac:dyDescent="0.25" r="286" customHeight="1" ht="17.25">
      <c r="A286" s="17" t="s">
        <v>4589</v>
      </c>
      <c r="B286" s="17" t="s">
        <v>466</v>
      </c>
      <c r="C286" s="17" t="s">
        <v>76</v>
      </c>
      <c r="D286" s="17" t="s">
        <v>39</v>
      </c>
      <c r="E286" s="18">
        <f>ROUND(17296*1.05,2)</f>
      </c>
      <c r="F286" s="17" t="s">
        <v>40</v>
      </c>
      <c r="G286" s="17" t="s">
        <v>24</v>
      </c>
      <c r="H286" s="18">
        <f>ROUND(RAND()*4+6,1)</f>
      </c>
      <c r="I286" s="17" t="s">
        <v>41</v>
      </c>
      <c r="J286" s="19">
        <f>ROUND(71*1,0)&amp;"%"</f>
      </c>
    </row>
    <row x14ac:dyDescent="0.25" r="287" customHeight="1" ht="17.25">
      <c r="A287" s="20" t="s">
        <v>4590</v>
      </c>
      <c r="B287" s="20" t="s">
        <v>468</v>
      </c>
      <c r="C287" s="20" t="s">
        <v>76</v>
      </c>
      <c r="D287" s="20" t="s">
        <v>67</v>
      </c>
      <c r="E287" s="21">
        <f>ROUND(16828*1.05,2)</f>
      </c>
      <c r="F287" s="20" t="s">
        <v>44</v>
      </c>
      <c r="G287" s="20" t="s">
        <v>30</v>
      </c>
      <c r="H287" s="21">
        <f>ROUND(RAND()*4+6,1)</f>
      </c>
      <c r="I287" s="20" t="s">
        <v>45</v>
      </c>
      <c r="J287" s="23">
        <f>ROUND(86*1,0)&amp;"%"</f>
      </c>
    </row>
    <row x14ac:dyDescent="0.25" r="288" customHeight="1" ht="17.25">
      <c r="A288" s="17" t="s">
        <v>4591</v>
      </c>
      <c r="B288" s="17" t="s">
        <v>470</v>
      </c>
      <c r="C288" s="17" t="s">
        <v>76</v>
      </c>
      <c r="D288" s="17" t="s">
        <v>16</v>
      </c>
      <c r="E288" s="26">
        <f>ROUND(14720*1.05,2)</f>
      </c>
      <c r="F288" s="17" t="s">
        <v>48</v>
      </c>
      <c r="G288" s="17" t="s">
        <v>18</v>
      </c>
      <c r="H288" s="18">
        <f>ROUND(RAND()*4+6,1)</f>
      </c>
      <c r="I288" s="17" t="s">
        <v>19</v>
      </c>
      <c r="J288" s="19">
        <f>ROUND(94*1,0)&amp;"%"</f>
      </c>
    </row>
    <row x14ac:dyDescent="0.25" r="289" customHeight="1" ht="17.25">
      <c r="A289" s="20" t="s">
        <v>4592</v>
      </c>
      <c r="B289" s="20" t="s">
        <v>472</v>
      </c>
      <c r="C289" s="20" t="s">
        <v>76</v>
      </c>
      <c r="D289" s="20" t="s">
        <v>22</v>
      </c>
      <c r="E289" s="21">
        <f>ROUND(14242*1.05,2)</f>
      </c>
      <c r="F289" s="20" t="s">
        <v>51</v>
      </c>
      <c r="G289" s="20" t="s">
        <v>24</v>
      </c>
      <c r="H289" s="21">
        <f>ROUND(RAND()*4+6,1)</f>
      </c>
      <c r="I289" s="20" t="s">
        <v>25</v>
      </c>
      <c r="J289" s="23">
        <f>ROUND(67*1,0)&amp;"%"</f>
      </c>
    </row>
    <row x14ac:dyDescent="0.25" r="290" customHeight="1" ht="17.25">
      <c r="A290" s="24" t="s">
        <v>473</v>
      </c>
      <c r="B290" s="24"/>
      <c r="C290" s="24"/>
      <c r="D290" s="24"/>
      <c r="E290" s="25">
        <v>8</v>
      </c>
      <c r="F290" s="9"/>
      <c r="G290" s="9"/>
      <c r="H290" s="10"/>
      <c r="I290" s="9"/>
      <c r="J290" s="9"/>
    </row>
    <row x14ac:dyDescent="0.25" r="291" customHeight="1" ht="17.25">
      <c r="A291" s="7"/>
      <c r="B291" s="7"/>
      <c r="C291" s="7"/>
      <c r="D291" s="7"/>
      <c r="E291" s="8"/>
      <c r="F291" s="9"/>
      <c r="G291" s="9"/>
      <c r="H291" s="10"/>
      <c r="I291" s="9"/>
      <c r="J291" s="9"/>
    </row>
    <row x14ac:dyDescent="0.25" r="292" customHeight="1" ht="17.25">
      <c r="A292" s="11" t="s">
        <v>4593</v>
      </c>
      <c r="B292" s="11"/>
      <c r="C292" s="11"/>
      <c r="D292" s="11"/>
      <c r="E292" s="12"/>
      <c r="F292" s="11"/>
      <c r="G292" s="11"/>
      <c r="H292" s="13"/>
      <c r="I292" s="11"/>
      <c r="J292" s="11"/>
    </row>
    <row x14ac:dyDescent="0.25" r="293" customHeight="1" ht="17.25">
      <c r="A293" s="14" t="s">
        <v>3</v>
      </c>
      <c r="B293" s="14" t="s">
        <v>4</v>
      </c>
      <c r="C293" s="14" t="s">
        <v>5</v>
      </c>
      <c r="D293" s="14" t="s">
        <v>6</v>
      </c>
      <c r="E293" s="15" t="s">
        <v>7</v>
      </c>
      <c r="F293" s="14" t="s">
        <v>8</v>
      </c>
      <c r="G293" s="14" t="s">
        <v>9</v>
      </c>
      <c r="H293" s="16" t="s">
        <v>10</v>
      </c>
      <c r="I293" s="14" t="s">
        <v>11</v>
      </c>
      <c r="J293" s="14" t="s">
        <v>12</v>
      </c>
    </row>
    <row x14ac:dyDescent="0.25" r="294" customHeight="1" ht="17.25">
      <c r="A294" s="17" t="s">
        <v>4594</v>
      </c>
      <c r="B294" s="17" t="s">
        <v>476</v>
      </c>
      <c r="C294" s="17" t="s">
        <v>95</v>
      </c>
      <c r="D294" s="17" t="s">
        <v>16</v>
      </c>
      <c r="E294" s="18">
        <f>ROUND(4136*1.05,2)</f>
      </c>
      <c r="F294" s="17" t="s">
        <v>17</v>
      </c>
      <c r="G294" s="17" t="s">
        <v>18</v>
      </c>
      <c r="H294" s="18">
        <f>ROUND(RAND()*4+6,1)</f>
      </c>
      <c r="I294" s="17" t="s">
        <v>19</v>
      </c>
      <c r="J294" s="19">
        <f>ROUND(89*1,0)&amp;"%"</f>
      </c>
    </row>
    <row x14ac:dyDescent="0.25" r="295" customHeight="1" ht="17.25">
      <c r="A295" s="20" t="s">
        <v>4595</v>
      </c>
      <c r="B295" s="20" t="s">
        <v>478</v>
      </c>
      <c r="C295" s="20" t="s">
        <v>95</v>
      </c>
      <c r="D295" s="20" t="s">
        <v>22</v>
      </c>
      <c r="E295" s="21">
        <f>ROUND(9933*1.05,2)</f>
      </c>
      <c r="F295" s="20" t="s">
        <v>23</v>
      </c>
      <c r="G295" s="20" t="s">
        <v>24</v>
      </c>
      <c r="H295" s="21">
        <f>ROUND(RAND()*4+6,1)</f>
      </c>
      <c r="I295" s="20" t="s">
        <v>25</v>
      </c>
      <c r="J295" s="23">
        <f>ROUND(77*1,0)&amp;"%"</f>
      </c>
    </row>
    <row x14ac:dyDescent="0.25" r="296" customHeight="1" ht="17.25">
      <c r="A296" s="17" t="s">
        <v>4596</v>
      </c>
      <c r="B296" s="17" t="s">
        <v>480</v>
      </c>
      <c r="C296" s="17" t="s">
        <v>95</v>
      </c>
      <c r="D296" s="17" t="s">
        <v>28</v>
      </c>
      <c r="E296" s="18">
        <f>ROUND(16733*1.05,2)</f>
      </c>
      <c r="F296" s="17" t="s">
        <v>29</v>
      </c>
      <c r="G296" s="17" t="s">
        <v>30</v>
      </c>
      <c r="H296" s="18">
        <f>ROUND(RAND()*4+6,1)</f>
      </c>
      <c r="I296" s="17" t="s">
        <v>31</v>
      </c>
      <c r="J296" s="19">
        <f>ROUND(92*1,0)&amp;"%"</f>
      </c>
    </row>
    <row x14ac:dyDescent="0.25" r="297" customHeight="1" ht="17.25">
      <c r="A297" s="20" t="s">
        <v>4597</v>
      </c>
      <c r="B297" s="20" t="s">
        <v>482</v>
      </c>
      <c r="C297" s="20" t="s">
        <v>95</v>
      </c>
      <c r="D297" s="20" t="s">
        <v>34</v>
      </c>
      <c r="E297" s="21">
        <f>ROUND(9859*1.05,2)</f>
      </c>
      <c r="F297" s="20" t="s">
        <v>35</v>
      </c>
      <c r="G297" s="20" t="s">
        <v>18</v>
      </c>
      <c r="H297" s="21">
        <f>ROUND(RAND()*4+6,1)</f>
      </c>
      <c r="I297" s="20" t="s">
        <v>36</v>
      </c>
      <c r="J297" s="23">
        <f>ROUND(93*1,0)&amp;"%"</f>
      </c>
    </row>
    <row x14ac:dyDescent="0.25" r="298" customHeight="1" ht="17.25">
      <c r="A298" s="17" t="s">
        <v>4598</v>
      </c>
      <c r="B298" s="17" t="s">
        <v>484</v>
      </c>
      <c r="C298" s="17" t="s">
        <v>95</v>
      </c>
      <c r="D298" s="17" t="s">
        <v>39</v>
      </c>
      <c r="E298" s="18">
        <f>ROUND(11878*1.05,2)</f>
      </c>
      <c r="F298" s="17" t="s">
        <v>40</v>
      </c>
      <c r="G298" s="17" t="s">
        <v>24</v>
      </c>
      <c r="H298" s="18">
        <f>ROUND(RAND()*4+6,1)</f>
      </c>
      <c r="I298" s="17" t="s">
        <v>41</v>
      </c>
      <c r="J298" s="19">
        <f>ROUND(99*1,0)&amp;"%"</f>
      </c>
    </row>
    <row x14ac:dyDescent="0.25" r="299" customHeight="1" ht="17.25">
      <c r="A299" s="20" t="s">
        <v>4599</v>
      </c>
      <c r="B299" s="20" t="s">
        <v>486</v>
      </c>
      <c r="C299" s="20" t="s">
        <v>95</v>
      </c>
      <c r="D299" s="20" t="s">
        <v>67</v>
      </c>
      <c r="E299" s="21">
        <f>ROUND(11647*1.05,2)</f>
      </c>
      <c r="F299" s="20" t="s">
        <v>44</v>
      </c>
      <c r="G299" s="20" t="s">
        <v>30</v>
      </c>
      <c r="H299" s="21">
        <f>ROUND(RAND()*4+6,1)</f>
      </c>
      <c r="I299" s="20" t="s">
        <v>45</v>
      </c>
      <c r="J299" s="23">
        <f>ROUND(70*1,0)&amp;"%"</f>
      </c>
    </row>
    <row x14ac:dyDescent="0.25" r="300" customHeight="1" ht="17.25">
      <c r="A300" s="17" t="s">
        <v>4600</v>
      </c>
      <c r="B300" s="17" t="s">
        <v>488</v>
      </c>
      <c r="C300" s="17" t="s">
        <v>95</v>
      </c>
      <c r="D300" s="17" t="s">
        <v>16</v>
      </c>
      <c r="E300" s="18">
        <f>ROUND(7122*1.05,2)</f>
      </c>
      <c r="F300" s="17" t="s">
        <v>48</v>
      </c>
      <c r="G300" s="17" t="s">
        <v>18</v>
      </c>
      <c r="H300" s="18">
        <f>ROUND(RAND()*4+6,1)</f>
      </c>
      <c r="I300" s="17" t="s">
        <v>19</v>
      </c>
      <c r="J300" s="19">
        <f>ROUND(88*1,0)&amp;"%"</f>
      </c>
    </row>
    <row x14ac:dyDescent="0.25" r="301" customHeight="1" ht="17.25">
      <c r="A301" s="20" t="s">
        <v>4601</v>
      </c>
      <c r="B301" s="20" t="s">
        <v>490</v>
      </c>
      <c r="C301" s="20" t="s">
        <v>95</v>
      </c>
      <c r="D301" s="20" t="s">
        <v>22</v>
      </c>
      <c r="E301" s="21">
        <f>ROUND(9746*1.05,2)</f>
      </c>
      <c r="F301" s="20" t="s">
        <v>51</v>
      </c>
      <c r="G301" s="20" t="s">
        <v>24</v>
      </c>
      <c r="H301" s="21">
        <f>ROUND(RAND()*4+6,1)</f>
      </c>
      <c r="I301" s="20" t="s">
        <v>25</v>
      </c>
      <c r="J301" s="23">
        <f>ROUND(83*1,0)&amp;"%"</f>
      </c>
    </row>
    <row x14ac:dyDescent="0.25" r="302" customHeight="1" ht="17.25">
      <c r="A302" s="24" t="s">
        <v>491</v>
      </c>
      <c r="B302" s="24"/>
      <c r="C302" s="24"/>
      <c r="D302" s="24"/>
      <c r="E302" s="25">
        <v>8</v>
      </c>
      <c r="F302" s="9"/>
      <c r="G302" s="9"/>
      <c r="H302" s="10"/>
      <c r="I302" s="9"/>
      <c r="J302" s="9"/>
    </row>
    <row x14ac:dyDescent="0.25" r="303" customHeight="1" ht="17.25">
      <c r="A303" s="7"/>
      <c r="B303" s="7"/>
      <c r="C303" s="7"/>
      <c r="D303" s="7"/>
      <c r="E303" s="8"/>
      <c r="F303" s="9"/>
      <c r="G303" s="9"/>
      <c r="H303" s="10"/>
      <c r="I303" s="9"/>
      <c r="J303" s="9"/>
    </row>
    <row x14ac:dyDescent="0.25" r="304" customHeight="1" ht="17.25">
      <c r="A304" s="11" t="s">
        <v>4602</v>
      </c>
      <c r="B304" s="11"/>
      <c r="C304" s="11"/>
      <c r="D304" s="11"/>
      <c r="E304" s="12"/>
      <c r="F304" s="11"/>
      <c r="G304" s="11"/>
      <c r="H304" s="13"/>
      <c r="I304" s="11"/>
      <c r="J304" s="11"/>
    </row>
    <row x14ac:dyDescent="0.25" r="305" customHeight="1" ht="17.25">
      <c r="A305" s="14" t="s">
        <v>3</v>
      </c>
      <c r="B305" s="14" t="s">
        <v>4</v>
      </c>
      <c r="C305" s="14" t="s">
        <v>5</v>
      </c>
      <c r="D305" s="14" t="s">
        <v>6</v>
      </c>
      <c r="E305" s="15" t="s">
        <v>7</v>
      </c>
      <c r="F305" s="14" t="s">
        <v>8</v>
      </c>
      <c r="G305" s="14" t="s">
        <v>9</v>
      </c>
      <c r="H305" s="16" t="s">
        <v>10</v>
      </c>
      <c r="I305" s="14" t="s">
        <v>11</v>
      </c>
      <c r="J305" s="14" t="s">
        <v>12</v>
      </c>
    </row>
    <row x14ac:dyDescent="0.25" r="306" customHeight="1" ht="17.25">
      <c r="A306" s="17" t="s">
        <v>4603</v>
      </c>
      <c r="B306" s="17" t="s">
        <v>494</v>
      </c>
      <c r="C306" s="17" t="s">
        <v>114</v>
      </c>
      <c r="D306" s="17" t="s">
        <v>16</v>
      </c>
      <c r="E306" s="18">
        <f>ROUND(7279*1.05,2)</f>
      </c>
      <c r="F306" s="17" t="s">
        <v>17</v>
      </c>
      <c r="G306" s="17" t="s">
        <v>18</v>
      </c>
      <c r="H306" s="18">
        <f>ROUND(RAND()*4+6,1)</f>
      </c>
      <c r="I306" s="17" t="s">
        <v>19</v>
      </c>
      <c r="J306" s="19">
        <f>ROUND(85*1,0)&amp;"%"</f>
      </c>
    </row>
    <row x14ac:dyDescent="0.25" r="307" customHeight="1" ht="17.25">
      <c r="A307" s="20" t="s">
        <v>4604</v>
      </c>
      <c r="B307" s="20" t="s">
        <v>496</v>
      </c>
      <c r="C307" s="20" t="s">
        <v>114</v>
      </c>
      <c r="D307" s="20" t="s">
        <v>22</v>
      </c>
      <c r="E307" s="21">
        <f>ROUND(16033*1.05,2)</f>
      </c>
      <c r="F307" s="20" t="s">
        <v>23</v>
      </c>
      <c r="G307" s="20" t="s">
        <v>24</v>
      </c>
      <c r="H307" s="21">
        <f>ROUND(RAND()*4+6,1)</f>
      </c>
      <c r="I307" s="20" t="s">
        <v>25</v>
      </c>
      <c r="J307" s="23">
        <f>ROUND(62*1,0)&amp;"%"</f>
      </c>
    </row>
    <row x14ac:dyDescent="0.25" r="308" customHeight="1" ht="17.25">
      <c r="A308" s="17" t="s">
        <v>4605</v>
      </c>
      <c r="B308" s="17" t="s">
        <v>498</v>
      </c>
      <c r="C308" s="17" t="s">
        <v>114</v>
      </c>
      <c r="D308" s="17" t="s">
        <v>28</v>
      </c>
      <c r="E308" s="18">
        <f>ROUND(16959*1.05,2)</f>
      </c>
      <c r="F308" s="17" t="s">
        <v>29</v>
      </c>
      <c r="G308" s="17" t="s">
        <v>30</v>
      </c>
      <c r="H308" s="18">
        <f>ROUND(RAND()*4+6,1)</f>
      </c>
      <c r="I308" s="17" t="s">
        <v>31</v>
      </c>
      <c r="J308" s="19">
        <f>ROUND(69*1,0)&amp;"%"</f>
      </c>
    </row>
    <row x14ac:dyDescent="0.25" r="309" customHeight="1" ht="17.25">
      <c r="A309" s="20" t="s">
        <v>4606</v>
      </c>
      <c r="B309" s="20" t="s">
        <v>500</v>
      </c>
      <c r="C309" s="20" t="s">
        <v>114</v>
      </c>
      <c r="D309" s="20" t="s">
        <v>34</v>
      </c>
      <c r="E309" s="21">
        <f>ROUND(15615*1.05,2)</f>
      </c>
      <c r="F309" s="20" t="s">
        <v>35</v>
      </c>
      <c r="G309" s="20" t="s">
        <v>18</v>
      </c>
      <c r="H309" s="21">
        <f>ROUND(RAND()*4+6,1)</f>
      </c>
      <c r="I309" s="20" t="s">
        <v>36</v>
      </c>
      <c r="J309" s="23">
        <f>ROUND(100*1,0)&amp;"%"</f>
      </c>
    </row>
    <row x14ac:dyDescent="0.25" r="310" customHeight="1" ht="17.25">
      <c r="A310" s="17" t="s">
        <v>4607</v>
      </c>
      <c r="B310" s="17" t="s">
        <v>502</v>
      </c>
      <c r="C310" s="17" t="s">
        <v>114</v>
      </c>
      <c r="D310" s="17" t="s">
        <v>39</v>
      </c>
      <c r="E310" s="18">
        <f>ROUND(8479*1.05,2)</f>
      </c>
      <c r="F310" s="17" t="s">
        <v>40</v>
      </c>
      <c r="G310" s="17" t="s">
        <v>24</v>
      </c>
      <c r="H310" s="18">
        <f>ROUND(RAND()*4+6,1)</f>
      </c>
      <c r="I310" s="17" t="s">
        <v>41</v>
      </c>
      <c r="J310" s="19">
        <f>ROUND(88*1,0)&amp;"%"</f>
      </c>
    </row>
    <row x14ac:dyDescent="0.25" r="311" customHeight="1" ht="17.25">
      <c r="A311" s="20" t="s">
        <v>4608</v>
      </c>
      <c r="B311" s="20" t="s">
        <v>504</v>
      </c>
      <c r="C311" s="20" t="s">
        <v>114</v>
      </c>
      <c r="D311" s="20" t="s">
        <v>67</v>
      </c>
      <c r="E311" s="21">
        <f>ROUND(16238*1.05,2)</f>
      </c>
      <c r="F311" s="20" t="s">
        <v>44</v>
      </c>
      <c r="G311" s="20" t="s">
        <v>30</v>
      </c>
      <c r="H311" s="21">
        <f>ROUND(RAND()*4+6,1)</f>
      </c>
      <c r="I311" s="20" t="s">
        <v>45</v>
      </c>
      <c r="J311" s="23">
        <f>ROUND(88*1,0)&amp;"%"</f>
      </c>
    </row>
    <row x14ac:dyDescent="0.25" r="312" customHeight="1" ht="17.25">
      <c r="A312" s="17" t="s">
        <v>4609</v>
      </c>
      <c r="B312" s="17" t="s">
        <v>506</v>
      </c>
      <c r="C312" s="17" t="s">
        <v>114</v>
      </c>
      <c r="D312" s="17" t="s">
        <v>16</v>
      </c>
      <c r="E312" s="18">
        <f>ROUND(4833*1.05,2)</f>
      </c>
      <c r="F312" s="17" t="s">
        <v>48</v>
      </c>
      <c r="G312" s="17" t="s">
        <v>18</v>
      </c>
      <c r="H312" s="18">
        <f>ROUND(RAND()*4+6,1)</f>
      </c>
      <c r="I312" s="17" t="s">
        <v>19</v>
      </c>
      <c r="J312" s="19">
        <f>ROUND(98*1,0)&amp;"%"</f>
      </c>
    </row>
    <row x14ac:dyDescent="0.25" r="313" customHeight="1" ht="17.25">
      <c r="A313" s="20" t="s">
        <v>4610</v>
      </c>
      <c r="B313" s="20" t="s">
        <v>508</v>
      </c>
      <c r="C313" s="20" t="s">
        <v>114</v>
      </c>
      <c r="D313" s="20" t="s">
        <v>22</v>
      </c>
      <c r="E313" s="21">
        <f>ROUND(15778*1.05,2)</f>
      </c>
      <c r="F313" s="20" t="s">
        <v>51</v>
      </c>
      <c r="G313" s="20" t="s">
        <v>24</v>
      </c>
      <c r="H313" s="22">
        <f>ROUND(RAND()*4+6,1)</f>
      </c>
      <c r="I313" s="20" t="s">
        <v>25</v>
      </c>
      <c r="J313" s="23">
        <f>ROUND(85*1,0)&amp;"%"</f>
      </c>
    </row>
    <row x14ac:dyDescent="0.25" r="314" customHeight="1" ht="17.25">
      <c r="A314" s="24" t="s">
        <v>509</v>
      </c>
      <c r="B314" s="24"/>
      <c r="C314" s="24"/>
      <c r="D314" s="24"/>
      <c r="E314" s="25">
        <v>8</v>
      </c>
      <c r="F314" s="9"/>
      <c r="G314" s="9"/>
      <c r="H314" s="10"/>
      <c r="I314" s="9"/>
      <c r="J314" s="9"/>
    </row>
    <row x14ac:dyDescent="0.25" r="315" customHeight="1" ht="17.25">
      <c r="A315" s="7"/>
      <c r="B315" s="7"/>
      <c r="C315" s="7"/>
      <c r="D315" s="7"/>
      <c r="E315" s="8"/>
      <c r="F315" s="9"/>
      <c r="G315" s="9"/>
      <c r="H315" s="10"/>
      <c r="I315" s="9"/>
      <c r="J315" s="9"/>
    </row>
    <row x14ac:dyDescent="0.25" r="316" customHeight="1" ht="17.25">
      <c r="A316" s="11" t="s">
        <v>4611</v>
      </c>
      <c r="B316" s="11"/>
      <c r="C316" s="11"/>
      <c r="D316" s="11"/>
      <c r="E316" s="12"/>
      <c r="F316" s="11"/>
      <c r="G316" s="11"/>
      <c r="H316" s="13"/>
      <c r="I316" s="11"/>
      <c r="J316" s="11"/>
    </row>
    <row x14ac:dyDescent="0.25" r="317" customHeight="1" ht="17.25">
      <c r="A317" s="14" t="s">
        <v>3</v>
      </c>
      <c r="B317" s="14" t="s">
        <v>4</v>
      </c>
      <c r="C317" s="14" t="s">
        <v>5</v>
      </c>
      <c r="D317" s="14" t="s">
        <v>6</v>
      </c>
      <c r="E317" s="15" t="s">
        <v>7</v>
      </c>
      <c r="F317" s="14" t="s">
        <v>8</v>
      </c>
      <c r="G317" s="14" t="s">
        <v>9</v>
      </c>
      <c r="H317" s="16" t="s">
        <v>10</v>
      </c>
      <c r="I317" s="14" t="s">
        <v>11</v>
      </c>
      <c r="J317" s="14" t="s">
        <v>12</v>
      </c>
    </row>
    <row x14ac:dyDescent="0.25" r="318" customHeight="1" ht="17.25">
      <c r="A318" s="17" t="s">
        <v>4612</v>
      </c>
      <c r="B318" s="17" t="s">
        <v>512</v>
      </c>
      <c r="C318" s="17" t="s">
        <v>133</v>
      </c>
      <c r="D318" s="17" t="s">
        <v>16</v>
      </c>
      <c r="E318" s="18">
        <f>ROUND(14469*1.05,2)</f>
      </c>
      <c r="F318" s="17" t="s">
        <v>17</v>
      </c>
      <c r="G318" s="17" t="s">
        <v>18</v>
      </c>
      <c r="H318" s="18">
        <f>ROUND(RAND()*4+6,1)</f>
      </c>
      <c r="I318" s="17" t="s">
        <v>19</v>
      </c>
      <c r="J318" s="19">
        <f>ROUND(90*1,0)&amp;"%"</f>
      </c>
    </row>
    <row x14ac:dyDescent="0.25" r="319" customHeight="1" ht="17.25">
      <c r="A319" s="20" t="s">
        <v>4613</v>
      </c>
      <c r="B319" s="20" t="s">
        <v>514</v>
      </c>
      <c r="C319" s="20" t="s">
        <v>133</v>
      </c>
      <c r="D319" s="20" t="s">
        <v>22</v>
      </c>
      <c r="E319" s="21">
        <f>ROUND(12389*1.05,2)</f>
      </c>
      <c r="F319" s="20" t="s">
        <v>23</v>
      </c>
      <c r="G319" s="20" t="s">
        <v>24</v>
      </c>
      <c r="H319" s="21">
        <f>ROUND(RAND()*4+6,1)</f>
      </c>
      <c r="I319" s="20" t="s">
        <v>25</v>
      </c>
      <c r="J319" s="23">
        <f>ROUND(99*1,0)&amp;"%"</f>
      </c>
    </row>
    <row x14ac:dyDescent="0.25" r="320" customHeight="1" ht="17.25">
      <c r="A320" s="17" t="s">
        <v>4614</v>
      </c>
      <c r="B320" s="17" t="s">
        <v>516</v>
      </c>
      <c r="C320" s="17" t="s">
        <v>133</v>
      </c>
      <c r="D320" s="17" t="s">
        <v>28</v>
      </c>
      <c r="E320" s="18">
        <f>ROUND(14499*1.05,2)</f>
      </c>
      <c r="F320" s="17" t="s">
        <v>29</v>
      </c>
      <c r="G320" s="17" t="s">
        <v>30</v>
      </c>
      <c r="H320" s="18">
        <f>ROUND(RAND()*4+6,1)</f>
      </c>
      <c r="I320" s="17" t="s">
        <v>31</v>
      </c>
      <c r="J320" s="19">
        <f>ROUND(84*1,0)&amp;"%"</f>
      </c>
    </row>
    <row x14ac:dyDescent="0.25" r="321" customHeight="1" ht="17.25">
      <c r="A321" s="20" t="s">
        <v>4615</v>
      </c>
      <c r="B321" s="20" t="s">
        <v>518</v>
      </c>
      <c r="C321" s="20" t="s">
        <v>133</v>
      </c>
      <c r="D321" s="20" t="s">
        <v>34</v>
      </c>
      <c r="E321" s="21">
        <f>ROUND(9947*1.05,2)</f>
      </c>
      <c r="F321" s="20" t="s">
        <v>35</v>
      </c>
      <c r="G321" s="20" t="s">
        <v>18</v>
      </c>
      <c r="H321" s="21">
        <f>ROUND(RAND()*4+6,1)</f>
      </c>
      <c r="I321" s="20" t="s">
        <v>36</v>
      </c>
      <c r="J321" s="23">
        <f>ROUND(83*1,0)&amp;"%"</f>
      </c>
    </row>
    <row x14ac:dyDescent="0.25" r="322" customHeight="1" ht="17.25">
      <c r="A322" s="17" t="s">
        <v>4616</v>
      </c>
      <c r="B322" s="17" t="s">
        <v>520</v>
      </c>
      <c r="C322" s="17" t="s">
        <v>133</v>
      </c>
      <c r="D322" s="17" t="s">
        <v>39</v>
      </c>
      <c r="E322" s="18">
        <f>ROUND(16109*1.05,2)</f>
      </c>
      <c r="F322" s="17" t="s">
        <v>40</v>
      </c>
      <c r="G322" s="17" t="s">
        <v>24</v>
      </c>
      <c r="H322" s="18">
        <f>ROUND(RAND()*4+6,1)</f>
      </c>
      <c r="I322" s="17" t="s">
        <v>41</v>
      </c>
      <c r="J322" s="19">
        <f>ROUND(98*1,0)&amp;"%"</f>
      </c>
    </row>
    <row x14ac:dyDescent="0.25" r="323" customHeight="1" ht="17.25">
      <c r="A323" s="20" t="s">
        <v>4617</v>
      </c>
      <c r="B323" s="20" t="s">
        <v>522</v>
      </c>
      <c r="C323" s="20" t="s">
        <v>133</v>
      </c>
      <c r="D323" s="20" t="s">
        <v>67</v>
      </c>
      <c r="E323" s="21">
        <f>ROUND(12999*1.05,2)</f>
      </c>
      <c r="F323" s="20" t="s">
        <v>44</v>
      </c>
      <c r="G323" s="20" t="s">
        <v>30</v>
      </c>
      <c r="H323" s="22">
        <f>ROUND(RAND()*4+6,1)</f>
      </c>
      <c r="I323" s="20" t="s">
        <v>45</v>
      </c>
      <c r="J323" s="23">
        <f>ROUND(78*1,0)&amp;"%"</f>
      </c>
    </row>
    <row x14ac:dyDescent="0.25" r="324" customHeight="1" ht="17.25">
      <c r="A324" s="17" t="s">
        <v>4618</v>
      </c>
      <c r="B324" s="17" t="s">
        <v>524</v>
      </c>
      <c r="C324" s="17" t="s">
        <v>133</v>
      </c>
      <c r="D324" s="17" t="s">
        <v>16</v>
      </c>
      <c r="E324" s="18">
        <f>ROUND(13691*1.05,2)</f>
      </c>
      <c r="F324" s="17" t="s">
        <v>48</v>
      </c>
      <c r="G324" s="17" t="s">
        <v>18</v>
      </c>
      <c r="H324" s="18">
        <f>ROUND(RAND()*4+6,1)</f>
      </c>
      <c r="I324" s="17" t="s">
        <v>19</v>
      </c>
      <c r="J324" s="19">
        <f>ROUND(78*1,0)&amp;"%"</f>
      </c>
    </row>
    <row x14ac:dyDescent="0.25" r="325" customHeight="1" ht="17.25">
      <c r="A325" s="20" t="s">
        <v>4619</v>
      </c>
      <c r="B325" s="20" t="s">
        <v>526</v>
      </c>
      <c r="C325" s="20" t="s">
        <v>133</v>
      </c>
      <c r="D325" s="20" t="s">
        <v>22</v>
      </c>
      <c r="E325" s="21">
        <f>ROUND(15596*1.05,2)</f>
      </c>
      <c r="F325" s="20" t="s">
        <v>51</v>
      </c>
      <c r="G325" s="20" t="s">
        <v>24</v>
      </c>
      <c r="H325" s="22">
        <f>ROUND(RAND()*4+6,1)</f>
      </c>
      <c r="I325" s="20" t="s">
        <v>25</v>
      </c>
      <c r="J325" s="23">
        <f>ROUND(99*1,0)&amp;"%"</f>
      </c>
    </row>
    <row x14ac:dyDescent="0.25" r="326" customHeight="1" ht="17.25">
      <c r="A326" s="24" t="s">
        <v>527</v>
      </c>
      <c r="B326" s="24"/>
      <c r="C326" s="24"/>
      <c r="D326" s="24"/>
      <c r="E326" s="25">
        <v>8</v>
      </c>
      <c r="F326" s="9"/>
      <c r="G326" s="9"/>
      <c r="H326" s="10"/>
      <c r="I326" s="9"/>
      <c r="J326" s="9"/>
    </row>
    <row x14ac:dyDescent="0.25" r="327" customHeight="1" ht="17.25">
      <c r="A327" s="7"/>
      <c r="B327" s="7"/>
      <c r="C327" s="7"/>
      <c r="D327" s="7"/>
      <c r="E327" s="8"/>
      <c r="F327" s="9"/>
      <c r="G327" s="9"/>
      <c r="H327" s="10"/>
      <c r="I327" s="9"/>
      <c r="J327" s="9"/>
    </row>
    <row x14ac:dyDescent="0.25" r="328" customHeight="1" ht="17.25">
      <c r="A328" s="11" t="s">
        <v>4620</v>
      </c>
      <c r="B328" s="11"/>
      <c r="C328" s="11"/>
      <c r="D328" s="11"/>
      <c r="E328" s="12"/>
      <c r="F328" s="11"/>
      <c r="G328" s="11"/>
      <c r="H328" s="13"/>
      <c r="I328" s="11"/>
      <c r="J328" s="11"/>
    </row>
    <row x14ac:dyDescent="0.25" r="329" customHeight="1" ht="17.25">
      <c r="A329" s="14" t="s">
        <v>3</v>
      </c>
      <c r="B329" s="14" t="s">
        <v>4</v>
      </c>
      <c r="C329" s="14" t="s">
        <v>5</v>
      </c>
      <c r="D329" s="14" t="s">
        <v>6</v>
      </c>
      <c r="E329" s="15" t="s">
        <v>7</v>
      </c>
      <c r="F329" s="14" t="s">
        <v>8</v>
      </c>
      <c r="G329" s="14" t="s">
        <v>9</v>
      </c>
      <c r="H329" s="16" t="s">
        <v>10</v>
      </c>
      <c r="I329" s="14" t="s">
        <v>11</v>
      </c>
      <c r="J329" s="14" t="s">
        <v>12</v>
      </c>
    </row>
    <row x14ac:dyDescent="0.25" r="330" customHeight="1" ht="17.25">
      <c r="A330" s="17" t="s">
        <v>4621</v>
      </c>
      <c r="B330" s="17" t="s">
        <v>530</v>
      </c>
      <c r="C330" s="17" t="s">
        <v>152</v>
      </c>
      <c r="D330" s="17" t="s">
        <v>16</v>
      </c>
      <c r="E330" s="18">
        <f>ROUND(16175*1.05,2)</f>
      </c>
      <c r="F330" s="17" t="s">
        <v>17</v>
      </c>
      <c r="G330" s="17" t="s">
        <v>18</v>
      </c>
      <c r="H330" s="18">
        <f>ROUND(RAND()*4+6,1)</f>
      </c>
      <c r="I330" s="17" t="s">
        <v>19</v>
      </c>
      <c r="J330" s="19">
        <f>ROUND(66*1,0)&amp;"%"</f>
      </c>
    </row>
    <row x14ac:dyDescent="0.25" r="331" customHeight="1" ht="17.25">
      <c r="A331" s="20" t="s">
        <v>4622</v>
      </c>
      <c r="B331" s="20" t="s">
        <v>532</v>
      </c>
      <c r="C331" s="20" t="s">
        <v>152</v>
      </c>
      <c r="D331" s="20" t="s">
        <v>22</v>
      </c>
      <c r="E331" s="21">
        <f>ROUND(10845*1.05,2)</f>
      </c>
      <c r="F331" s="20" t="s">
        <v>23</v>
      </c>
      <c r="G331" s="20" t="s">
        <v>24</v>
      </c>
      <c r="H331" s="22">
        <f>ROUND(RAND()*4+6,1)</f>
      </c>
      <c r="I331" s="20" t="s">
        <v>25</v>
      </c>
      <c r="J331" s="23">
        <f>ROUND(96*1,0)&amp;"%"</f>
      </c>
    </row>
    <row x14ac:dyDescent="0.25" r="332" customHeight="1" ht="17.25">
      <c r="A332" s="17" t="s">
        <v>4623</v>
      </c>
      <c r="B332" s="17" t="s">
        <v>534</v>
      </c>
      <c r="C332" s="17" t="s">
        <v>152</v>
      </c>
      <c r="D332" s="17" t="s">
        <v>28</v>
      </c>
      <c r="E332" s="18">
        <f>ROUND(17199*1.05,2)</f>
      </c>
      <c r="F332" s="17" t="s">
        <v>29</v>
      </c>
      <c r="G332" s="17" t="s">
        <v>30</v>
      </c>
      <c r="H332" s="18">
        <f>ROUND(RAND()*4+6,1)</f>
      </c>
      <c r="I332" s="17" t="s">
        <v>31</v>
      </c>
      <c r="J332" s="19">
        <f>ROUND(64*1,0)&amp;"%"</f>
      </c>
    </row>
    <row x14ac:dyDescent="0.25" r="333" customHeight="1" ht="17.25">
      <c r="A333" s="20" t="s">
        <v>4624</v>
      </c>
      <c r="B333" s="20" t="s">
        <v>536</v>
      </c>
      <c r="C333" s="20" t="s">
        <v>152</v>
      </c>
      <c r="D333" s="20" t="s">
        <v>34</v>
      </c>
      <c r="E333" s="21">
        <f>ROUND(7215*1.05,2)</f>
      </c>
      <c r="F333" s="20" t="s">
        <v>35</v>
      </c>
      <c r="G333" s="20" t="s">
        <v>18</v>
      </c>
      <c r="H333" s="21">
        <f>ROUND(RAND()*4+6,1)</f>
      </c>
      <c r="I333" s="20" t="s">
        <v>36</v>
      </c>
      <c r="J333" s="23">
        <f>ROUND(99*1,0)&amp;"%"</f>
      </c>
    </row>
    <row x14ac:dyDescent="0.25" r="334" customHeight="1" ht="17.25">
      <c r="A334" s="17" t="s">
        <v>4625</v>
      </c>
      <c r="B334" s="17" t="s">
        <v>538</v>
      </c>
      <c r="C334" s="17" t="s">
        <v>152</v>
      </c>
      <c r="D334" s="17" t="s">
        <v>39</v>
      </c>
      <c r="E334" s="18">
        <f>ROUND(16021*1.05,2)</f>
      </c>
      <c r="F334" s="17" t="s">
        <v>40</v>
      </c>
      <c r="G334" s="17" t="s">
        <v>24</v>
      </c>
      <c r="H334" s="18">
        <f>ROUND(RAND()*4+6,1)</f>
      </c>
      <c r="I334" s="17" t="s">
        <v>41</v>
      </c>
      <c r="J334" s="19">
        <f>ROUND(100*1,0)&amp;"%"</f>
      </c>
    </row>
    <row x14ac:dyDescent="0.25" r="335" customHeight="1" ht="17.25">
      <c r="A335" s="20" t="s">
        <v>4626</v>
      </c>
      <c r="B335" s="20" t="s">
        <v>540</v>
      </c>
      <c r="C335" s="20" t="s">
        <v>152</v>
      </c>
      <c r="D335" s="20" t="s">
        <v>67</v>
      </c>
      <c r="E335" s="21">
        <f>ROUND(5693*1.05,2)</f>
      </c>
      <c r="F335" s="20" t="s">
        <v>44</v>
      </c>
      <c r="G335" s="20" t="s">
        <v>30</v>
      </c>
      <c r="H335" s="22">
        <f>ROUND(RAND()*4+6,1)</f>
      </c>
      <c r="I335" s="20" t="s">
        <v>45</v>
      </c>
      <c r="J335" s="23">
        <f>ROUND(72*1,0)&amp;"%"</f>
      </c>
    </row>
    <row x14ac:dyDescent="0.25" r="336" customHeight="1" ht="17.25">
      <c r="A336" s="17" t="s">
        <v>4627</v>
      </c>
      <c r="B336" s="17" t="s">
        <v>542</v>
      </c>
      <c r="C336" s="17" t="s">
        <v>152</v>
      </c>
      <c r="D336" s="17" t="s">
        <v>16</v>
      </c>
      <c r="E336" s="18">
        <f>ROUND(7885*1.05,2)</f>
      </c>
      <c r="F336" s="17" t="s">
        <v>48</v>
      </c>
      <c r="G336" s="17" t="s">
        <v>18</v>
      </c>
      <c r="H336" s="26">
        <f>ROUND(RAND()*4+6,1)</f>
      </c>
      <c r="I336" s="17" t="s">
        <v>19</v>
      </c>
      <c r="J336" s="19">
        <f>ROUND(65*1,0)&amp;"%"</f>
      </c>
    </row>
    <row x14ac:dyDescent="0.25" r="337" customHeight="1" ht="17.25">
      <c r="A337" s="20" t="s">
        <v>4628</v>
      </c>
      <c r="B337" s="20" t="s">
        <v>544</v>
      </c>
      <c r="C337" s="20" t="s">
        <v>152</v>
      </c>
      <c r="D337" s="20" t="s">
        <v>22</v>
      </c>
      <c r="E337" s="21">
        <f>ROUND(16430*1.05,2)</f>
      </c>
      <c r="F337" s="20" t="s">
        <v>51</v>
      </c>
      <c r="G337" s="20" t="s">
        <v>24</v>
      </c>
      <c r="H337" s="21">
        <f>ROUND(RAND()*4+6,1)</f>
      </c>
      <c r="I337" s="20" t="s">
        <v>25</v>
      </c>
      <c r="J337" s="23">
        <f>ROUND(98*1,0)&amp;"%"</f>
      </c>
    </row>
    <row x14ac:dyDescent="0.25" r="338" customHeight="1" ht="17.25">
      <c r="A338" s="24" t="s">
        <v>545</v>
      </c>
      <c r="B338" s="24"/>
      <c r="C338" s="24"/>
      <c r="D338" s="24"/>
      <c r="E338" s="25">
        <v>8</v>
      </c>
      <c r="F338" s="9"/>
      <c r="G338" s="9"/>
      <c r="H338" s="10"/>
      <c r="I338" s="9"/>
      <c r="J338" s="9"/>
    </row>
    <row x14ac:dyDescent="0.25" r="339" customHeight="1" ht="17.25">
      <c r="A339" s="7"/>
      <c r="B339" s="7"/>
      <c r="C339" s="7"/>
      <c r="D339" s="7"/>
      <c r="E339" s="8"/>
      <c r="F339" s="9"/>
      <c r="G339" s="9"/>
      <c r="H339" s="10"/>
      <c r="I339" s="9"/>
      <c r="J339" s="9"/>
    </row>
    <row x14ac:dyDescent="0.25" r="340" customHeight="1" ht="17.25">
      <c r="A340" s="11" t="s">
        <v>4629</v>
      </c>
      <c r="B340" s="11"/>
      <c r="C340" s="11"/>
      <c r="D340" s="11"/>
      <c r="E340" s="12"/>
      <c r="F340" s="11"/>
      <c r="G340" s="11"/>
      <c r="H340" s="13"/>
      <c r="I340" s="11"/>
      <c r="J340" s="11"/>
    </row>
    <row x14ac:dyDescent="0.25" r="341" customHeight="1" ht="17.25">
      <c r="A341" s="14" t="s">
        <v>3</v>
      </c>
      <c r="B341" s="14" t="s">
        <v>4</v>
      </c>
      <c r="C341" s="14" t="s">
        <v>5</v>
      </c>
      <c r="D341" s="14" t="s">
        <v>6</v>
      </c>
      <c r="E341" s="15" t="s">
        <v>7</v>
      </c>
      <c r="F341" s="14" t="s">
        <v>8</v>
      </c>
      <c r="G341" s="14" t="s">
        <v>9</v>
      </c>
      <c r="H341" s="16" t="s">
        <v>10</v>
      </c>
      <c r="I341" s="14" t="s">
        <v>11</v>
      </c>
      <c r="J341" s="14" t="s">
        <v>12</v>
      </c>
    </row>
    <row x14ac:dyDescent="0.25" r="342" customHeight="1" ht="17.25">
      <c r="A342" s="17" t="s">
        <v>4630</v>
      </c>
      <c r="B342" s="17" t="s">
        <v>548</v>
      </c>
      <c r="C342" s="17" t="s">
        <v>15</v>
      </c>
      <c r="D342" s="17" t="s">
        <v>16</v>
      </c>
      <c r="E342" s="18">
        <f>ROUND(15353*1.05,2)</f>
      </c>
      <c r="F342" s="17" t="s">
        <v>17</v>
      </c>
      <c r="G342" s="17" t="s">
        <v>18</v>
      </c>
      <c r="H342" s="18">
        <f>ROUND(RAND()*4+6,1)</f>
      </c>
      <c r="I342" s="17" t="s">
        <v>19</v>
      </c>
      <c r="J342" s="19">
        <f>ROUND(94*1,0)&amp;"%"</f>
      </c>
    </row>
    <row x14ac:dyDescent="0.25" r="343" customHeight="1" ht="17.25">
      <c r="A343" s="20" t="s">
        <v>4631</v>
      </c>
      <c r="B343" s="20" t="s">
        <v>550</v>
      </c>
      <c r="C343" s="20" t="s">
        <v>15</v>
      </c>
      <c r="D343" s="20" t="s">
        <v>22</v>
      </c>
      <c r="E343" s="21">
        <f>ROUND(10538*1.05,2)</f>
      </c>
      <c r="F343" s="20" t="s">
        <v>23</v>
      </c>
      <c r="G343" s="20" t="s">
        <v>24</v>
      </c>
      <c r="H343" s="21">
        <f>ROUND(RAND()*4+6,1)</f>
      </c>
      <c r="I343" s="20" t="s">
        <v>25</v>
      </c>
      <c r="J343" s="23">
        <f>ROUND(92*1,0)&amp;"%"</f>
      </c>
    </row>
    <row x14ac:dyDescent="0.25" r="344" customHeight="1" ht="17.25">
      <c r="A344" s="17" t="s">
        <v>4632</v>
      </c>
      <c r="B344" s="17" t="s">
        <v>552</v>
      </c>
      <c r="C344" s="17" t="s">
        <v>15</v>
      </c>
      <c r="D344" s="17" t="s">
        <v>28</v>
      </c>
      <c r="E344" s="18">
        <f>ROUND(9839*1.05,2)</f>
      </c>
      <c r="F344" s="17" t="s">
        <v>29</v>
      </c>
      <c r="G344" s="17" t="s">
        <v>30</v>
      </c>
      <c r="H344" s="18">
        <f>ROUND(RAND()*4+6,1)</f>
      </c>
      <c r="I344" s="17" t="s">
        <v>31</v>
      </c>
      <c r="J344" s="19">
        <f>ROUND(70*1,0)&amp;"%"</f>
      </c>
    </row>
    <row x14ac:dyDescent="0.25" r="345" customHeight="1" ht="17.25">
      <c r="A345" s="20" t="s">
        <v>4633</v>
      </c>
      <c r="B345" s="20" t="s">
        <v>554</v>
      </c>
      <c r="C345" s="20" t="s">
        <v>15</v>
      </c>
      <c r="D345" s="20" t="s">
        <v>34</v>
      </c>
      <c r="E345" s="21">
        <f>ROUND(17217*1.05,2)</f>
      </c>
      <c r="F345" s="20" t="s">
        <v>35</v>
      </c>
      <c r="G345" s="20" t="s">
        <v>18</v>
      </c>
      <c r="H345" s="21">
        <f>ROUND(RAND()*4+6,1)</f>
      </c>
      <c r="I345" s="20" t="s">
        <v>36</v>
      </c>
      <c r="J345" s="23">
        <f>ROUND(82*1,0)&amp;"%"</f>
      </c>
    </row>
    <row x14ac:dyDescent="0.25" r="346" customHeight="1" ht="17.25">
      <c r="A346" s="17" t="s">
        <v>4634</v>
      </c>
      <c r="B346" s="17" t="s">
        <v>556</v>
      </c>
      <c r="C346" s="17" t="s">
        <v>15</v>
      </c>
      <c r="D346" s="17" t="s">
        <v>39</v>
      </c>
      <c r="E346" s="26">
        <f>ROUND(6120*1.05,2)</f>
      </c>
      <c r="F346" s="17" t="s">
        <v>40</v>
      </c>
      <c r="G346" s="17" t="s">
        <v>24</v>
      </c>
      <c r="H346" s="18">
        <f>ROUND(RAND()*4+6,1)</f>
      </c>
      <c r="I346" s="17" t="s">
        <v>41</v>
      </c>
      <c r="J346" s="19">
        <f>ROUND(75*1,0)&amp;"%"</f>
      </c>
    </row>
    <row x14ac:dyDescent="0.25" r="347" customHeight="1" ht="17.25">
      <c r="A347" s="20" t="s">
        <v>4635</v>
      </c>
      <c r="B347" s="20" t="s">
        <v>558</v>
      </c>
      <c r="C347" s="20" t="s">
        <v>15</v>
      </c>
      <c r="D347" s="20" t="s">
        <v>67</v>
      </c>
      <c r="E347" s="21">
        <f>ROUND(16906*1.05,2)</f>
      </c>
      <c r="F347" s="20" t="s">
        <v>44</v>
      </c>
      <c r="G347" s="20" t="s">
        <v>30</v>
      </c>
      <c r="H347" s="21">
        <f>ROUND(RAND()*4+6,1)</f>
      </c>
      <c r="I347" s="20" t="s">
        <v>45</v>
      </c>
      <c r="J347" s="23">
        <f>ROUND(70*1,0)&amp;"%"</f>
      </c>
    </row>
    <row x14ac:dyDescent="0.25" r="348" customHeight="1" ht="17.25">
      <c r="A348" s="17" t="s">
        <v>4636</v>
      </c>
      <c r="B348" s="17" t="s">
        <v>560</v>
      </c>
      <c r="C348" s="17" t="s">
        <v>15</v>
      </c>
      <c r="D348" s="17" t="s">
        <v>16</v>
      </c>
      <c r="E348" s="18">
        <f>ROUND(6515*1.05,2)</f>
      </c>
      <c r="F348" s="17" t="s">
        <v>48</v>
      </c>
      <c r="G348" s="17" t="s">
        <v>18</v>
      </c>
      <c r="H348" s="18">
        <f>ROUND(RAND()*4+6,1)</f>
      </c>
      <c r="I348" s="17" t="s">
        <v>19</v>
      </c>
      <c r="J348" s="19">
        <f>ROUND(100*1,0)&amp;"%"</f>
      </c>
    </row>
    <row x14ac:dyDescent="0.25" r="349" customHeight="1" ht="17.25">
      <c r="A349" s="20" t="s">
        <v>4637</v>
      </c>
      <c r="B349" s="20" t="s">
        <v>562</v>
      </c>
      <c r="C349" s="20" t="s">
        <v>15</v>
      </c>
      <c r="D349" s="20" t="s">
        <v>22</v>
      </c>
      <c r="E349" s="22">
        <f>ROUND(8520*1.05,2)</f>
      </c>
      <c r="F349" s="20" t="s">
        <v>51</v>
      </c>
      <c r="G349" s="20" t="s">
        <v>24</v>
      </c>
      <c r="H349" s="21">
        <f>ROUND(RAND()*4+6,1)</f>
      </c>
      <c r="I349" s="20" t="s">
        <v>25</v>
      </c>
      <c r="J349" s="23">
        <f>ROUND(64*1,0)&amp;"%"</f>
      </c>
    </row>
    <row x14ac:dyDescent="0.25" r="350" customHeight="1" ht="17.25">
      <c r="A350" s="24" t="s">
        <v>563</v>
      </c>
      <c r="B350" s="24"/>
      <c r="C350" s="24"/>
      <c r="D350" s="24"/>
      <c r="E350" s="25">
        <v>8</v>
      </c>
      <c r="F350" s="9"/>
      <c r="G350" s="9"/>
      <c r="H350" s="10"/>
      <c r="I350" s="9"/>
      <c r="J350" s="9"/>
    </row>
    <row x14ac:dyDescent="0.25" r="351" customHeight="1" ht="17.25">
      <c r="A351" s="7"/>
      <c r="B351" s="7"/>
      <c r="C351" s="7"/>
      <c r="D351" s="7"/>
      <c r="E351" s="8"/>
      <c r="F351" s="9"/>
      <c r="G351" s="9"/>
      <c r="H351" s="10"/>
      <c r="I351" s="9"/>
      <c r="J351" s="9"/>
    </row>
    <row x14ac:dyDescent="0.25" r="352" customHeight="1" ht="17.25">
      <c r="A352" s="11" t="s">
        <v>4638</v>
      </c>
      <c r="B352" s="11"/>
      <c r="C352" s="11"/>
      <c r="D352" s="11"/>
      <c r="E352" s="12"/>
      <c r="F352" s="11"/>
      <c r="G352" s="11"/>
      <c r="H352" s="13"/>
      <c r="I352" s="11"/>
      <c r="J352" s="11"/>
    </row>
    <row x14ac:dyDescent="0.25" r="353" customHeight="1" ht="17.25">
      <c r="A353" s="14" t="s">
        <v>3</v>
      </c>
      <c r="B353" s="14" t="s">
        <v>4</v>
      </c>
      <c r="C353" s="14" t="s">
        <v>5</v>
      </c>
      <c r="D353" s="14" t="s">
        <v>6</v>
      </c>
      <c r="E353" s="15" t="s">
        <v>7</v>
      </c>
      <c r="F353" s="14" t="s">
        <v>8</v>
      </c>
      <c r="G353" s="14" t="s">
        <v>9</v>
      </c>
      <c r="H353" s="16" t="s">
        <v>10</v>
      </c>
      <c r="I353" s="14" t="s">
        <v>11</v>
      </c>
      <c r="J353" s="14" t="s">
        <v>12</v>
      </c>
    </row>
    <row x14ac:dyDescent="0.25" r="354" customHeight="1" ht="17.25">
      <c r="A354" s="17" t="s">
        <v>4639</v>
      </c>
      <c r="B354" s="17" t="s">
        <v>566</v>
      </c>
      <c r="C354" s="17" t="s">
        <v>56</v>
      </c>
      <c r="D354" s="17" t="s">
        <v>16</v>
      </c>
      <c r="E354" s="18">
        <f>ROUND(17267*1.05,2)</f>
      </c>
      <c r="F354" s="17" t="s">
        <v>17</v>
      </c>
      <c r="G354" s="17" t="s">
        <v>18</v>
      </c>
      <c r="H354" s="18">
        <f>ROUND(RAND()*4+6,1)</f>
      </c>
      <c r="I354" s="17" t="s">
        <v>19</v>
      </c>
      <c r="J354" s="19">
        <f>ROUND(73*1,0)&amp;"%"</f>
      </c>
    </row>
    <row x14ac:dyDescent="0.25" r="355" customHeight="1" ht="17.25">
      <c r="A355" s="20" t="s">
        <v>4640</v>
      </c>
      <c r="B355" s="20" t="s">
        <v>568</v>
      </c>
      <c r="C355" s="20" t="s">
        <v>56</v>
      </c>
      <c r="D355" s="20" t="s">
        <v>22</v>
      </c>
      <c r="E355" s="21">
        <f>ROUND(6610*1.05,2)</f>
      </c>
      <c r="F355" s="20" t="s">
        <v>23</v>
      </c>
      <c r="G355" s="20" t="s">
        <v>24</v>
      </c>
      <c r="H355" s="21">
        <f>ROUND(RAND()*4+6,1)</f>
      </c>
      <c r="I355" s="20" t="s">
        <v>25</v>
      </c>
      <c r="J355" s="23">
        <f>ROUND(61*1,0)&amp;"%"</f>
      </c>
    </row>
    <row x14ac:dyDescent="0.25" r="356" customHeight="1" ht="17.25">
      <c r="A356" s="17" t="s">
        <v>4641</v>
      </c>
      <c r="B356" s="17" t="s">
        <v>570</v>
      </c>
      <c r="C356" s="17" t="s">
        <v>56</v>
      </c>
      <c r="D356" s="17" t="s">
        <v>28</v>
      </c>
      <c r="E356" s="18">
        <f>ROUND(5646*1.05,2)</f>
      </c>
      <c r="F356" s="17" t="s">
        <v>29</v>
      </c>
      <c r="G356" s="17" t="s">
        <v>30</v>
      </c>
      <c r="H356" s="18">
        <f>ROUND(RAND()*4+6,1)</f>
      </c>
      <c r="I356" s="17" t="s">
        <v>31</v>
      </c>
      <c r="J356" s="19">
        <f>ROUND(80*1,0)&amp;"%"</f>
      </c>
    </row>
    <row x14ac:dyDescent="0.25" r="357" customHeight="1" ht="17.25">
      <c r="A357" s="20" t="s">
        <v>4642</v>
      </c>
      <c r="B357" s="20" t="s">
        <v>572</v>
      </c>
      <c r="C357" s="20" t="s">
        <v>56</v>
      </c>
      <c r="D357" s="20" t="s">
        <v>34</v>
      </c>
      <c r="E357" s="21">
        <f>ROUND(14273*1.05,2)</f>
      </c>
      <c r="F357" s="20" t="s">
        <v>35</v>
      </c>
      <c r="G357" s="20" t="s">
        <v>18</v>
      </c>
      <c r="H357" s="21">
        <f>ROUND(RAND()*4+6,1)</f>
      </c>
      <c r="I357" s="20" t="s">
        <v>36</v>
      </c>
      <c r="J357" s="23">
        <f>ROUND(61*1,0)&amp;"%"</f>
      </c>
    </row>
    <row x14ac:dyDescent="0.25" r="358" customHeight="1" ht="17.25">
      <c r="A358" s="17" t="s">
        <v>4643</v>
      </c>
      <c r="B358" s="17" t="s">
        <v>574</v>
      </c>
      <c r="C358" s="17" t="s">
        <v>56</v>
      </c>
      <c r="D358" s="17" t="s">
        <v>39</v>
      </c>
      <c r="E358" s="18">
        <f>ROUND(14353*1.05,2)</f>
      </c>
      <c r="F358" s="17" t="s">
        <v>40</v>
      </c>
      <c r="G358" s="17" t="s">
        <v>24</v>
      </c>
      <c r="H358" s="18">
        <f>ROUND(RAND()*4+6,1)</f>
      </c>
      <c r="I358" s="17" t="s">
        <v>41</v>
      </c>
      <c r="J358" s="19">
        <f>ROUND(60*1,0)&amp;"%"</f>
      </c>
    </row>
    <row x14ac:dyDescent="0.25" r="359" customHeight="1" ht="17.25">
      <c r="A359" s="20" t="s">
        <v>4644</v>
      </c>
      <c r="B359" s="20" t="s">
        <v>576</v>
      </c>
      <c r="C359" s="20" t="s">
        <v>56</v>
      </c>
      <c r="D359" s="20" t="s">
        <v>67</v>
      </c>
      <c r="E359" s="21">
        <f>ROUND(10647*1.05,2)</f>
      </c>
      <c r="F359" s="20" t="s">
        <v>44</v>
      </c>
      <c r="G359" s="20" t="s">
        <v>30</v>
      </c>
      <c r="H359" s="21">
        <f>ROUND(RAND()*4+6,1)</f>
      </c>
      <c r="I359" s="20" t="s">
        <v>45</v>
      </c>
      <c r="J359" s="23">
        <f>ROUND(72*1,0)&amp;"%"</f>
      </c>
    </row>
    <row x14ac:dyDescent="0.25" r="360" customHeight="1" ht="17.25">
      <c r="A360" s="17" t="s">
        <v>4645</v>
      </c>
      <c r="B360" s="17" t="s">
        <v>578</v>
      </c>
      <c r="C360" s="17" t="s">
        <v>56</v>
      </c>
      <c r="D360" s="17" t="s">
        <v>16</v>
      </c>
      <c r="E360" s="18">
        <f>ROUND(5502*1.05,2)</f>
      </c>
      <c r="F360" s="17" t="s">
        <v>48</v>
      </c>
      <c r="G360" s="17" t="s">
        <v>18</v>
      </c>
      <c r="H360" s="18">
        <f>ROUND(RAND()*4+6,1)</f>
      </c>
      <c r="I360" s="17" t="s">
        <v>19</v>
      </c>
      <c r="J360" s="19">
        <f>ROUND(63*1,0)&amp;"%"</f>
      </c>
    </row>
    <row x14ac:dyDescent="0.25" r="361" customHeight="1" ht="17.25">
      <c r="A361" s="20" t="s">
        <v>4646</v>
      </c>
      <c r="B361" s="20" t="s">
        <v>580</v>
      </c>
      <c r="C361" s="20" t="s">
        <v>56</v>
      </c>
      <c r="D361" s="20" t="s">
        <v>22</v>
      </c>
      <c r="E361" s="21">
        <f>ROUND(7748*1.05,2)</f>
      </c>
      <c r="F361" s="20" t="s">
        <v>51</v>
      </c>
      <c r="G361" s="20" t="s">
        <v>24</v>
      </c>
      <c r="H361" s="21">
        <f>ROUND(RAND()*4+6,1)</f>
      </c>
      <c r="I361" s="20" t="s">
        <v>25</v>
      </c>
      <c r="J361" s="23">
        <f>ROUND(96*1,0)&amp;"%"</f>
      </c>
    </row>
    <row x14ac:dyDescent="0.25" r="362" customHeight="1" ht="17.25">
      <c r="A362" s="24" t="s">
        <v>581</v>
      </c>
      <c r="B362" s="24"/>
      <c r="C362" s="24"/>
      <c r="D362" s="24"/>
      <c r="E362" s="25">
        <v>8</v>
      </c>
      <c r="F362" s="9"/>
      <c r="G362" s="9"/>
      <c r="H362" s="10"/>
      <c r="I362" s="9"/>
      <c r="J362" s="9"/>
    </row>
  </sheetData>
  <mergeCells count="62">
    <mergeCell ref="A1:J1"/>
    <mergeCell ref="A2:J2"/>
    <mergeCell ref="A4:J4"/>
    <mergeCell ref="A14:D14"/>
    <mergeCell ref="A16:J16"/>
    <mergeCell ref="A26:D26"/>
    <mergeCell ref="A28:J28"/>
    <mergeCell ref="A38:D38"/>
    <mergeCell ref="A40:J40"/>
    <mergeCell ref="A50:D50"/>
    <mergeCell ref="A52:J52"/>
    <mergeCell ref="A62:D62"/>
    <mergeCell ref="A64:J64"/>
    <mergeCell ref="A74:D74"/>
    <mergeCell ref="A76:J76"/>
    <mergeCell ref="A86:D86"/>
    <mergeCell ref="A88:J88"/>
    <mergeCell ref="A98:D98"/>
    <mergeCell ref="A100:J100"/>
    <mergeCell ref="A110:D110"/>
    <mergeCell ref="A112:J112"/>
    <mergeCell ref="A122:D122"/>
    <mergeCell ref="A124:J124"/>
    <mergeCell ref="A134:D134"/>
    <mergeCell ref="A136:J136"/>
    <mergeCell ref="A146:D146"/>
    <mergeCell ref="A148:J148"/>
    <mergeCell ref="A158:D158"/>
    <mergeCell ref="A160:J160"/>
    <mergeCell ref="A170:D170"/>
    <mergeCell ref="A172:J172"/>
    <mergeCell ref="A182:D182"/>
    <mergeCell ref="A184:J184"/>
    <mergeCell ref="A194:D194"/>
    <mergeCell ref="A196:J196"/>
    <mergeCell ref="A206:D206"/>
    <mergeCell ref="A208:J208"/>
    <mergeCell ref="A218:D218"/>
    <mergeCell ref="A220:J220"/>
    <mergeCell ref="A230:D230"/>
    <mergeCell ref="A232:J232"/>
    <mergeCell ref="A242:D242"/>
    <mergeCell ref="A244:J244"/>
    <mergeCell ref="A254:D254"/>
    <mergeCell ref="A256:J256"/>
    <mergeCell ref="A266:D266"/>
    <mergeCell ref="A268:J268"/>
    <mergeCell ref="A278:D278"/>
    <mergeCell ref="A280:J280"/>
    <mergeCell ref="A290:D290"/>
    <mergeCell ref="A292:J292"/>
    <mergeCell ref="A302:D302"/>
    <mergeCell ref="A304:J304"/>
    <mergeCell ref="A314:D314"/>
    <mergeCell ref="A316:J316"/>
    <mergeCell ref="A326:D326"/>
    <mergeCell ref="A328:J328"/>
    <mergeCell ref="A338:D338"/>
    <mergeCell ref="A340:J340"/>
    <mergeCell ref="A350:D350"/>
    <mergeCell ref="A352:J352"/>
    <mergeCell ref="A362:D362"/>
  </mergeCells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J362"/>
  <sheetViews>
    <sheetView workbookViewId="0"/>
  </sheetViews>
  <sheetFormatPr defaultRowHeight="15" x14ac:dyDescent="0.25"/>
  <cols>
    <col min="1" max="1" style="27" width="8.005" customWidth="1" bestFit="1"/>
    <col min="2" max="2" style="27" width="22.005" customWidth="1" bestFit="1"/>
    <col min="3" max="3" style="27" width="16.005" customWidth="1" bestFit="1"/>
    <col min="4" max="4" style="27" width="14.005" customWidth="1" bestFit="1"/>
    <col min="5" max="5" style="28" width="12.005" customWidth="1" bestFit="1"/>
    <col min="6" max="6" style="29" width="16.005" customWidth="1" bestFit="1"/>
    <col min="7" max="7" style="29" width="10.005" customWidth="1" bestFit="1"/>
    <col min="8" max="8" style="30" width="10.005" customWidth="1" bestFit="1"/>
    <col min="9" max="9" style="29" width="14.005" customWidth="1" bestFit="1"/>
    <col min="10" max="10" style="29" width="8.005" customWidth="1" bestFit="1"/>
  </cols>
  <sheetData>
    <row x14ac:dyDescent="0.25" r="1" customHeight="1" ht="17.25">
      <c r="A1" s="1" t="s">
        <v>4105</v>
      </c>
      <c r="B1" s="1"/>
      <c r="C1" s="1"/>
      <c r="D1" s="1"/>
      <c r="E1" s="2"/>
      <c r="F1" s="1"/>
      <c r="G1" s="1"/>
      <c r="H1" s="3"/>
      <c r="I1" s="1"/>
      <c r="J1" s="1"/>
    </row>
    <row x14ac:dyDescent="0.25" r="2" customHeight="1" ht="17.25">
      <c r="A2" s="4" t="s">
        <v>1</v>
      </c>
      <c r="B2" s="4"/>
      <c r="C2" s="4"/>
      <c r="D2" s="4"/>
      <c r="E2" s="5"/>
      <c r="F2" s="4"/>
      <c r="G2" s="4"/>
      <c r="H2" s="6"/>
      <c r="I2" s="4"/>
      <c r="J2" s="4"/>
    </row>
    <row x14ac:dyDescent="0.25" r="3" customHeight="1" ht="17.25">
      <c r="A3" s="7"/>
      <c r="B3" s="7"/>
      <c r="C3" s="7"/>
      <c r="D3" s="7"/>
      <c r="E3" s="8"/>
      <c r="F3" s="9"/>
      <c r="G3" s="9"/>
      <c r="H3" s="10"/>
      <c r="I3" s="9"/>
      <c r="J3" s="9"/>
    </row>
    <row x14ac:dyDescent="0.25" r="4" customHeight="1" ht="17.25">
      <c r="A4" s="11" t="s">
        <v>4106</v>
      </c>
      <c r="B4" s="11"/>
      <c r="C4" s="11"/>
      <c r="D4" s="11"/>
      <c r="E4" s="12"/>
      <c r="F4" s="11"/>
      <c r="G4" s="11"/>
      <c r="H4" s="13"/>
      <c r="I4" s="11"/>
      <c r="J4" s="11"/>
    </row>
    <row x14ac:dyDescent="0.25" r="5" customHeight="1" ht="17.25">
      <c r="A5" s="14" t="s">
        <v>3</v>
      </c>
      <c r="B5" s="14" t="s">
        <v>4</v>
      </c>
      <c r="C5" s="14" t="s">
        <v>5</v>
      </c>
      <c r="D5" s="14" t="s">
        <v>6</v>
      </c>
      <c r="E5" s="15" t="s">
        <v>7</v>
      </c>
      <c r="F5" s="14" t="s">
        <v>8</v>
      </c>
      <c r="G5" s="14" t="s">
        <v>9</v>
      </c>
      <c r="H5" s="16" t="s">
        <v>10</v>
      </c>
      <c r="I5" s="14" t="s">
        <v>11</v>
      </c>
      <c r="J5" s="14" t="s">
        <v>12</v>
      </c>
    </row>
    <row x14ac:dyDescent="0.25" r="6" customHeight="1" ht="17.25">
      <c r="A6" s="17" t="s">
        <v>4107</v>
      </c>
      <c r="B6" s="17" t="s">
        <v>14</v>
      </c>
      <c r="C6" s="17" t="s">
        <v>15</v>
      </c>
      <c r="D6" s="17" t="s">
        <v>16</v>
      </c>
      <c r="E6" s="18">
        <f>ROUND(16586*1.05,2)</f>
      </c>
      <c r="F6" s="17" t="s">
        <v>17</v>
      </c>
      <c r="G6" s="17" t="s">
        <v>18</v>
      </c>
      <c r="H6" s="18">
        <f>ROUND(RAND()*4+6,1)</f>
      </c>
      <c r="I6" s="17" t="s">
        <v>19</v>
      </c>
      <c r="J6" s="19">
        <f>ROUND(91*1,0)&amp;"%"</f>
      </c>
    </row>
    <row x14ac:dyDescent="0.25" r="7" customHeight="1" ht="17.25">
      <c r="A7" s="20" t="s">
        <v>4108</v>
      </c>
      <c r="B7" s="20" t="s">
        <v>21</v>
      </c>
      <c r="C7" s="20" t="s">
        <v>15</v>
      </c>
      <c r="D7" s="20" t="s">
        <v>22</v>
      </c>
      <c r="E7" s="21">
        <f>ROUND(12373*1.05,2)</f>
      </c>
      <c r="F7" s="20" t="s">
        <v>23</v>
      </c>
      <c r="G7" s="20" t="s">
        <v>24</v>
      </c>
      <c r="H7" s="21">
        <f>ROUND(RAND()*4+6,1)</f>
      </c>
      <c r="I7" s="20" t="s">
        <v>25</v>
      </c>
      <c r="J7" s="23">
        <f>ROUND(69*1,0)&amp;"%"</f>
      </c>
    </row>
    <row x14ac:dyDescent="0.25" r="8" customHeight="1" ht="17.25">
      <c r="A8" s="17" t="s">
        <v>4109</v>
      </c>
      <c r="B8" s="17" t="s">
        <v>27</v>
      </c>
      <c r="C8" s="17" t="s">
        <v>15</v>
      </c>
      <c r="D8" s="17" t="s">
        <v>28</v>
      </c>
      <c r="E8" s="18">
        <f>ROUND(5843*1.05,2)</f>
      </c>
      <c r="F8" s="17" t="s">
        <v>29</v>
      </c>
      <c r="G8" s="17" t="s">
        <v>30</v>
      </c>
      <c r="H8" s="18">
        <f>ROUND(RAND()*4+6,1)</f>
      </c>
      <c r="I8" s="17" t="s">
        <v>31</v>
      </c>
      <c r="J8" s="19">
        <f>ROUND(76*1,0)&amp;"%"</f>
      </c>
    </row>
    <row x14ac:dyDescent="0.25" r="9" customHeight="1" ht="17.25">
      <c r="A9" s="20" t="s">
        <v>4110</v>
      </c>
      <c r="B9" s="20" t="s">
        <v>33</v>
      </c>
      <c r="C9" s="20" t="s">
        <v>15</v>
      </c>
      <c r="D9" s="20" t="s">
        <v>34</v>
      </c>
      <c r="E9" s="21">
        <f>ROUND(11294*1.05,2)</f>
      </c>
      <c r="F9" s="20" t="s">
        <v>35</v>
      </c>
      <c r="G9" s="20" t="s">
        <v>18</v>
      </c>
      <c r="H9" s="21">
        <f>ROUND(RAND()*4+6,1)</f>
      </c>
      <c r="I9" s="20" t="s">
        <v>36</v>
      </c>
      <c r="J9" s="23">
        <f>ROUND(71*1,0)&amp;"%"</f>
      </c>
    </row>
    <row x14ac:dyDescent="0.25" r="10" customHeight="1" ht="17.25">
      <c r="A10" s="17" t="s">
        <v>4111</v>
      </c>
      <c r="B10" s="17" t="s">
        <v>38</v>
      </c>
      <c r="C10" s="17" t="s">
        <v>15</v>
      </c>
      <c r="D10" s="17" t="s">
        <v>39</v>
      </c>
      <c r="E10" s="18">
        <f>ROUND(4182*1.05,2)</f>
      </c>
      <c r="F10" s="17" t="s">
        <v>40</v>
      </c>
      <c r="G10" s="17" t="s">
        <v>24</v>
      </c>
      <c r="H10" s="18">
        <f>ROUND(RAND()*4+6,1)</f>
      </c>
      <c r="I10" s="17" t="s">
        <v>41</v>
      </c>
      <c r="J10" s="19">
        <f>ROUND(70*1,0)&amp;"%"</f>
      </c>
    </row>
    <row x14ac:dyDescent="0.25" r="11" customHeight="1" ht="17.25">
      <c r="A11" s="20" t="s">
        <v>4112</v>
      </c>
      <c r="B11" s="20" t="s">
        <v>43</v>
      </c>
      <c r="C11" s="20" t="s">
        <v>15</v>
      </c>
      <c r="D11" s="20" t="s">
        <v>67</v>
      </c>
      <c r="E11" s="21">
        <f>ROUND(5188*1.05,2)</f>
      </c>
      <c r="F11" s="20" t="s">
        <v>44</v>
      </c>
      <c r="G11" s="20" t="s">
        <v>30</v>
      </c>
      <c r="H11" s="21">
        <f>ROUND(RAND()*4+6,1)</f>
      </c>
      <c r="I11" s="20" t="s">
        <v>45</v>
      </c>
      <c r="J11" s="23">
        <f>ROUND(77*1,0)&amp;"%"</f>
      </c>
    </row>
    <row x14ac:dyDescent="0.25" r="12" customHeight="1" ht="17.25">
      <c r="A12" s="17" t="s">
        <v>4113</v>
      </c>
      <c r="B12" s="17" t="s">
        <v>47</v>
      </c>
      <c r="C12" s="17" t="s">
        <v>15</v>
      </c>
      <c r="D12" s="17" t="s">
        <v>16</v>
      </c>
      <c r="E12" s="18">
        <f>ROUND(7965*1.05,2)</f>
      </c>
      <c r="F12" s="17" t="s">
        <v>48</v>
      </c>
      <c r="G12" s="17" t="s">
        <v>18</v>
      </c>
      <c r="H12" s="18">
        <f>ROUND(RAND()*4+6,1)</f>
      </c>
      <c r="I12" s="17" t="s">
        <v>19</v>
      </c>
      <c r="J12" s="19">
        <f>ROUND(63*1,0)&amp;"%"</f>
      </c>
    </row>
    <row x14ac:dyDescent="0.25" r="13" customHeight="1" ht="17.25">
      <c r="A13" s="20" t="s">
        <v>4114</v>
      </c>
      <c r="B13" s="20" t="s">
        <v>50</v>
      </c>
      <c r="C13" s="20" t="s">
        <v>15</v>
      </c>
      <c r="D13" s="20" t="s">
        <v>22</v>
      </c>
      <c r="E13" s="21">
        <f>ROUND(15845*1.05,2)</f>
      </c>
      <c r="F13" s="20" t="s">
        <v>51</v>
      </c>
      <c r="G13" s="20" t="s">
        <v>24</v>
      </c>
      <c r="H13" s="21">
        <f>ROUND(RAND()*4+6,1)</f>
      </c>
      <c r="I13" s="20" t="s">
        <v>25</v>
      </c>
      <c r="J13" s="23">
        <f>ROUND(78*1,0)&amp;"%"</f>
      </c>
    </row>
    <row x14ac:dyDescent="0.25" r="14" customHeight="1" ht="17.25">
      <c r="A14" s="24" t="s">
        <v>52</v>
      </c>
      <c r="B14" s="24"/>
      <c r="C14" s="24"/>
      <c r="D14" s="24"/>
      <c r="E14" s="25">
        <v>8</v>
      </c>
      <c r="F14" s="9"/>
      <c r="G14" s="9"/>
      <c r="H14" s="10"/>
      <c r="I14" s="9"/>
      <c r="J14" s="9"/>
    </row>
    <row x14ac:dyDescent="0.25" r="15" customHeight="1" ht="17.25">
      <c r="A15" s="7"/>
      <c r="B15" s="7"/>
      <c r="C15" s="7"/>
      <c r="D15" s="7"/>
      <c r="E15" s="8"/>
      <c r="F15" s="9"/>
      <c r="G15" s="9"/>
      <c r="H15" s="10"/>
      <c r="I15" s="9"/>
      <c r="J15" s="9"/>
    </row>
    <row x14ac:dyDescent="0.25" r="16" customHeight="1" ht="17.25">
      <c r="A16" s="11" t="s">
        <v>4115</v>
      </c>
      <c r="B16" s="11"/>
      <c r="C16" s="11"/>
      <c r="D16" s="11"/>
      <c r="E16" s="12"/>
      <c r="F16" s="11"/>
      <c r="G16" s="11"/>
      <c r="H16" s="13"/>
      <c r="I16" s="11"/>
      <c r="J16" s="11"/>
    </row>
    <row x14ac:dyDescent="0.25" r="17" customHeight="1" ht="17.25">
      <c r="A17" s="14" t="s">
        <v>3</v>
      </c>
      <c r="B17" s="14" t="s">
        <v>4</v>
      </c>
      <c r="C17" s="14" t="s">
        <v>5</v>
      </c>
      <c r="D17" s="14" t="s">
        <v>6</v>
      </c>
      <c r="E17" s="15" t="s">
        <v>7</v>
      </c>
      <c r="F17" s="14" t="s">
        <v>8</v>
      </c>
      <c r="G17" s="14" t="s">
        <v>9</v>
      </c>
      <c r="H17" s="16" t="s">
        <v>10</v>
      </c>
      <c r="I17" s="14" t="s">
        <v>11</v>
      </c>
      <c r="J17" s="14" t="s">
        <v>12</v>
      </c>
    </row>
    <row x14ac:dyDescent="0.25" r="18" customHeight="1" ht="17.25">
      <c r="A18" s="17" t="s">
        <v>4116</v>
      </c>
      <c r="B18" s="17" t="s">
        <v>55</v>
      </c>
      <c r="C18" s="17" t="s">
        <v>56</v>
      </c>
      <c r="D18" s="17" t="s">
        <v>16</v>
      </c>
      <c r="E18" s="18">
        <f>ROUND(15741*1.05,2)</f>
      </c>
      <c r="F18" s="17" t="s">
        <v>17</v>
      </c>
      <c r="G18" s="17" t="s">
        <v>18</v>
      </c>
      <c r="H18" s="18">
        <f>ROUND(RAND()*4+6,1)</f>
      </c>
      <c r="I18" s="17" t="s">
        <v>19</v>
      </c>
      <c r="J18" s="19">
        <f>ROUND(91*1,0)&amp;"%"</f>
      </c>
    </row>
    <row x14ac:dyDescent="0.25" r="19" customHeight="1" ht="17.25">
      <c r="A19" s="20" t="s">
        <v>4117</v>
      </c>
      <c r="B19" s="20" t="s">
        <v>58</v>
      </c>
      <c r="C19" s="20" t="s">
        <v>56</v>
      </c>
      <c r="D19" s="20" t="s">
        <v>22</v>
      </c>
      <c r="E19" s="21">
        <f>ROUND(4087*1.05,2)</f>
      </c>
      <c r="F19" s="20" t="s">
        <v>23</v>
      </c>
      <c r="G19" s="20" t="s">
        <v>24</v>
      </c>
      <c r="H19" s="22">
        <f>ROUND(RAND()*4+6,1)</f>
      </c>
      <c r="I19" s="20" t="s">
        <v>25</v>
      </c>
      <c r="J19" s="23">
        <f>ROUND(77*1,0)&amp;"%"</f>
      </c>
    </row>
    <row x14ac:dyDescent="0.25" r="20" customHeight="1" ht="17.25">
      <c r="A20" s="17" t="s">
        <v>4118</v>
      </c>
      <c r="B20" s="17" t="s">
        <v>60</v>
      </c>
      <c r="C20" s="17" t="s">
        <v>56</v>
      </c>
      <c r="D20" s="17" t="s">
        <v>28</v>
      </c>
      <c r="E20" s="18">
        <f>ROUND(5026*1.05,2)</f>
      </c>
      <c r="F20" s="17" t="s">
        <v>29</v>
      </c>
      <c r="G20" s="17" t="s">
        <v>30</v>
      </c>
      <c r="H20" s="18">
        <f>ROUND(RAND()*4+6,1)</f>
      </c>
      <c r="I20" s="17" t="s">
        <v>31</v>
      </c>
      <c r="J20" s="19">
        <f>ROUND(80*1,0)&amp;"%"</f>
      </c>
    </row>
    <row x14ac:dyDescent="0.25" r="21" customHeight="1" ht="17.25">
      <c r="A21" s="20" t="s">
        <v>4119</v>
      </c>
      <c r="B21" s="20" t="s">
        <v>62</v>
      </c>
      <c r="C21" s="20" t="s">
        <v>56</v>
      </c>
      <c r="D21" s="20" t="s">
        <v>34</v>
      </c>
      <c r="E21" s="21">
        <f>ROUND(10906*1.05,2)</f>
      </c>
      <c r="F21" s="20" t="s">
        <v>35</v>
      </c>
      <c r="G21" s="20" t="s">
        <v>18</v>
      </c>
      <c r="H21" s="21">
        <f>ROUND(RAND()*4+6,1)</f>
      </c>
      <c r="I21" s="20" t="s">
        <v>36</v>
      </c>
      <c r="J21" s="23">
        <f>ROUND(99*1,0)&amp;"%"</f>
      </c>
    </row>
    <row x14ac:dyDescent="0.25" r="22" customHeight="1" ht="17.25">
      <c r="A22" s="17" t="s">
        <v>4120</v>
      </c>
      <c r="B22" s="17" t="s">
        <v>64</v>
      </c>
      <c r="C22" s="17" t="s">
        <v>56</v>
      </c>
      <c r="D22" s="17" t="s">
        <v>39</v>
      </c>
      <c r="E22" s="18">
        <f>ROUND(16961*1.05,2)</f>
      </c>
      <c r="F22" s="17" t="s">
        <v>40</v>
      </c>
      <c r="G22" s="17" t="s">
        <v>24</v>
      </c>
      <c r="H22" s="18">
        <f>ROUND(RAND()*4+6,1)</f>
      </c>
      <c r="I22" s="17" t="s">
        <v>41</v>
      </c>
      <c r="J22" s="19">
        <f>ROUND(66*1,0)&amp;"%"</f>
      </c>
    </row>
    <row x14ac:dyDescent="0.25" r="23" customHeight="1" ht="17.25">
      <c r="A23" s="20" t="s">
        <v>4121</v>
      </c>
      <c r="B23" s="20" t="s">
        <v>66</v>
      </c>
      <c r="C23" s="20" t="s">
        <v>56</v>
      </c>
      <c r="D23" s="20" t="s">
        <v>67</v>
      </c>
      <c r="E23" s="21">
        <f>ROUND(5163*1.05,2)</f>
      </c>
      <c r="F23" s="20" t="s">
        <v>44</v>
      </c>
      <c r="G23" s="20" t="s">
        <v>30</v>
      </c>
      <c r="H23" s="21">
        <f>ROUND(RAND()*4+6,1)</f>
      </c>
      <c r="I23" s="20" t="s">
        <v>45</v>
      </c>
      <c r="J23" s="23">
        <f>ROUND(96*1,0)&amp;"%"</f>
      </c>
    </row>
    <row x14ac:dyDescent="0.25" r="24" customHeight="1" ht="17.25">
      <c r="A24" s="17" t="s">
        <v>4122</v>
      </c>
      <c r="B24" s="17" t="s">
        <v>69</v>
      </c>
      <c r="C24" s="17" t="s">
        <v>56</v>
      </c>
      <c r="D24" s="17" t="s">
        <v>16</v>
      </c>
      <c r="E24" s="18">
        <f>ROUND(13404*1.05,2)</f>
      </c>
      <c r="F24" s="17" t="s">
        <v>48</v>
      </c>
      <c r="G24" s="17" t="s">
        <v>18</v>
      </c>
      <c r="H24" s="18">
        <f>ROUND(RAND()*4+6,1)</f>
      </c>
      <c r="I24" s="17" t="s">
        <v>19</v>
      </c>
      <c r="J24" s="19">
        <f>ROUND(75*1,0)&amp;"%"</f>
      </c>
    </row>
    <row x14ac:dyDescent="0.25" r="25" customHeight="1" ht="17.25">
      <c r="A25" s="20" t="s">
        <v>4123</v>
      </c>
      <c r="B25" s="20" t="s">
        <v>71</v>
      </c>
      <c r="C25" s="20" t="s">
        <v>56</v>
      </c>
      <c r="D25" s="20" t="s">
        <v>22</v>
      </c>
      <c r="E25" s="22">
        <f>ROUND(8240*1.05,2)</f>
      </c>
      <c r="F25" s="20" t="s">
        <v>51</v>
      </c>
      <c r="G25" s="20" t="s">
        <v>24</v>
      </c>
      <c r="H25" s="21">
        <f>ROUND(RAND()*4+6,1)</f>
      </c>
      <c r="I25" s="20" t="s">
        <v>25</v>
      </c>
      <c r="J25" s="23">
        <f>ROUND(97*1,0)&amp;"%"</f>
      </c>
    </row>
    <row x14ac:dyDescent="0.25" r="26" customHeight="1" ht="17.25">
      <c r="A26" s="24" t="s">
        <v>72</v>
      </c>
      <c r="B26" s="24"/>
      <c r="C26" s="24"/>
      <c r="D26" s="24"/>
      <c r="E26" s="25">
        <v>8</v>
      </c>
      <c r="F26" s="9"/>
      <c r="G26" s="9"/>
      <c r="H26" s="10"/>
      <c r="I26" s="9"/>
      <c r="J26" s="9"/>
    </row>
    <row x14ac:dyDescent="0.25" r="27" customHeight="1" ht="17.25">
      <c r="A27" s="7"/>
      <c r="B27" s="7"/>
      <c r="C27" s="7"/>
      <c r="D27" s="7"/>
      <c r="E27" s="8"/>
      <c r="F27" s="9"/>
      <c r="G27" s="9"/>
      <c r="H27" s="10"/>
      <c r="I27" s="9"/>
      <c r="J27" s="9"/>
    </row>
    <row x14ac:dyDescent="0.25" r="28" customHeight="1" ht="17.25">
      <c r="A28" s="11" t="s">
        <v>4124</v>
      </c>
      <c r="B28" s="11"/>
      <c r="C28" s="11"/>
      <c r="D28" s="11"/>
      <c r="E28" s="12"/>
      <c r="F28" s="11"/>
      <c r="G28" s="11"/>
      <c r="H28" s="13"/>
      <c r="I28" s="11"/>
      <c r="J28" s="11"/>
    </row>
    <row x14ac:dyDescent="0.25" r="29" customHeight="1" ht="17.25">
      <c r="A29" s="14" t="s">
        <v>3</v>
      </c>
      <c r="B29" s="14" t="s">
        <v>4</v>
      </c>
      <c r="C29" s="14" t="s">
        <v>5</v>
      </c>
      <c r="D29" s="14" t="s">
        <v>6</v>
      </c>
      <c r="E29" s="15" t="s">
        <v>7</v>
      </c>
      <c r="F29" s="14" t="s">
        <v>8</v>
      </c>
      <c r="G29" s="14" t="s">
        <v>9</v>
      </c>
      <c r="H29" s="16" t="s">
        <v>10</v>
      </c>
      <c r="I29" s="14" t="s">
        <v>11</v>
      </c>
      <c r="J29" s="14" t="s">
        <v>12</v>
      </c>
    </row>
    <row x14ac:dyDescent="0.25" r="30" customHeight="1" ht="17.25">
      <c r="A30" s="17" t="s">
        <v>4125</v>
      </c>
      <c r="B30" s="17" t="s">
        <v>75</v>
      </c>
      <c r="C30" s="17" t="s">
        <v>76</v>
      </c>
      <c r="D30" s="17" t="s">
        <v>16</v>
      </c>
      <c r="E30" s="18">
        <f>ROUND(8266*1.05,2)</f>
      </c>
      <c r="F30" s="17" t="s">
        <v>17</v>
      </c>
      <c r="G30" s="17" t="s">
        <v>18</v>
      </c>
      <c r="H30" s="18">
        <f>ROUND(RAND()*4+6,1)</f>
      </c>
      <c r="I30" s="17" t="s">
        <v>19</v>
      </c>
      <c r="J30" s="19">
        <f>ROUND(65*1,0)&amp;"%"</f>
      </c>
    </row>
    <row x14ac:dyDescent="0.25" r="31" customHeight="1" ht="17.25">
      <c r="A31" s="20" t="s">
        <v>4126</v>
      </c>
      <c r="B31" s="20" t="s">
        <v>78</v>
      </c>
      <c r="C31" s="20" t="s">
        <v>76</v>
      </c>
      <c r="D31" s="20" t="s">
        <v>22</v>
      </c>
      <c r="E31" s="21">
        <f>ROUND(8357*1.05,2)</f>
      </c>
      <c r="F31" s="20" t="s">
        <v>23</v>
      </c>
      <c r="G31" s="20" t="s">
        <v>24</v>
      </c>
      <c r="H31" s="21">
        <f>ROUND(RAND()*4+6,1)</f>
      </c>
      <c r="I31" s="20" t="s">
        <v>25</v>
      </c>
      <c r="J31" s="23">
        <f>ROUND(86*1,0)&amp;"%"</f>
      </c>
    </row>
    <row x14ac:dyDescent="0.25" r="32" customHeight="1" ht="17.25">
      <c r="A32" s="17" t="s">
        <v>4127</v>
      </c>
      <c r="B32" s="17" t="s">
        <v>80</v>
      </c>
      <c r="C32" s="17" t="s">
        <v>76</v>
      </c>
      <c r="D32" s="17" t="s">
        <v>28</v>
      </c>
      <c r="E32" s="18">
        <f>ROUND(4732*1.05,2)</f>
      </c>
      <c r="F32" s="17" t="s">
        <v>29</v>
      </c>
      <c r="G32" s="17" t="s">
        <v>30</v>
      </c>
      <c r="H32" s="18">
        <f>ROUND(RAND()*4+6,1)</f>
      </c>
      <c r="I32" s="17" t="s">
        <v>31</v>
      </c>
      <c r="J32" s="19">
        <f>ROUND(99*1,0)&amp;"%"</f>
      </c>
    </row>
    <row x14ac:dyDescent="0.25" r="33" customHeight="1" ht="17.25">
      <c r="A33" s="20" t="s">
        <v>4128</v>
      </c>
      <c r="B33" s="20" t="s">
        <v>82</v>
      </c>
      <c r="C33" s="20" t="s">
        <v>76</v>
      </c>
      <c r="D33" s="20" t="s">
        <v>34</v>
      </c>
      <c r="E33" s="21">
        <f>ROUND(10109*1.05,2)</f>
      </c>
      <c r="F33" s="20" t="s">
        <v>35</v>
      </c>
      <c r="G33" s="20" t="s">
        <v>18</v>
      </c>
      <c r="H33" s="21">
        <f>ROUND(RAND()*4+6,1)</f>
      </c>
      <c r="I33" s="20" t="s">
        <v>36</v>
      </c>
      <c r="J33" s="23">
        <f>ROUND(78*1,0)&amp;"%"</f>
      </c>
    </row>
    <row x14ac:dyDescent="0.25" r="34" customHeight="1" ht="17.25">
      <c r="A34" s="17" t="s">
        <v>4129</v>
      </c>
      <c r="B34" s="17" t="s">
        <v>84</v>
      </c>
      <c r="C34" s="17" t="s">
        <v>76</v>
      </c>
      <c r="D34" s="17" t="s">
        <v>39</v>
      </c>
      <c r="E34" s="18">
        <f>ROUND(8054*1.05,2)</f>
      </c>
      <c r="F34" s="17" t="s">
        <v>40</v>
      </c>
      <c r="G34" s="17" t="s">
        <v>24</v>
      </c>
      <c r="H34" s="18">
        <f>ROUND(RAND()*4+6,1)</f>
      </c>
      <c r="I34" s="17" t="s">
        <v>41</v>
      </c>
      <c r="J34" s="19">
        <f>ROUND(77*1,0)&amp;"%"</f>
      </c>
    </row>
    <row x14ac:dyDescent="0.25" r="35" customHeight="1" ht="17.25">
      <c r="A35" s="20" t="s">
        <v>4130</v>
      </c>
      <c r="B35" s="20" t="s">
        <v>86</v>
      </c>
      <c r="C35" s="20" t="s">
        <v>76</v>
      </c>
      <c r="D35" s="20" t="s">
        <v>67</v>
      </c>
      <c r="E35" s="21">
        <f>ROUND(14582*1.05,2)</f>
      </c>
      <c r="F35" s="20" t="s">
        <v>44</v>
      </c>
      <c r="G35" s="20" t="s">
        <v>30</v>
      </c>
      <c r="H35" s="21">
        <f>ROUND(RAND()*4+6,1)</f>
      </c>
      <c r="I35" s="20" t="s">
        <v>45</v>
      </c>
      <c r="J35" s="23">
        <f>ROUND(71*1,0)&amp;"%"</f>
      </c>
    </row>
    <row x14ac:dyDescent="0.25" r="36" customHeight="1" ht="17.25">
      <c r="A36" s="17" t="s">
        <v>4131</v>
      </c>
      <c r="B36" s="17" t="s">
        <v>88</v>
      </c>
      <c r="C36" s="17" t="s">
        <v>76</v>
      </c>
      <c r="D36" s="17" t="s">
        <v>16</v>
      </c>
      <c r="E36" s="18">
        <f>ROUND(13218*1.05,2)</f>
      </c>
      <c r="F36" s="17" t="s">
        <v>48</v>
      </c>
      <c r="G36" s="17" t="s">
        <v>18</v>
      </c>
      <c r="H36" s="18">
        <f>ROUND(RAND()*4+6,1)</f>
      </c>
      <c r="I36" s="17" t="s">
        <v>19</v>
      </c>
      <c r="J36" s="19">
        <f>ROUND(96*1,0)&amp;"%"</f>
      </c>
    </row>
    <row x14ac:dyDescent="0.25" r="37" customHeight="1" ht="17.25">
      <c r="A37" s="20" t="s">
        <v>4132</v>
      </c>
      <c r="B37" s="20" t="s">
        <v>90</v>
      </c>
      <c r="C37" s="20" t="s">
        <v>76</v>
      </c>
      <c r="D37" s="20" t="s">
        <v>22</v>
      </c>
      <c r="E37" s="21">
        <f>ROUND(16716*1.05,2)</f>
      </c>
      <c r="F37" s="20" t="s">
        <v>51</v>
      </c>
      <c r="G37" s="20" t="s">
        <v>24</v>
      </c>
      <c r="H37" s="21">
        <f>ROUND(RAND()*4+6,1)</f>
      </c>
      <c r="I37" s="20" t="s">
        <v>25</v>
      </c>
      <c r="J37" s="23">
        <f>ROUND(100*1,0)&amp;"%"</f>
      </c>
    </row>
    <row x14ac:dyDescent="0.25" r="38" customHeight="1" ht="17.25">
      <c r="A38" s="24" t="s">
        <v>91</v>
      </c>
      <c r="B38" s="24"/>
      <c r="C38" s="24"/>
      <c r="D38" s="24"/>
      <c r="E38" s="25">
        <v>8</v>
      </c>
      <c r="F38" s="9"/>
      <c r="G38" s="9"/>
      <c r="H38" s="10"/>
      <c r="I38" s="9"/>
      <c r="J38" s="9"/>
    </row>
    <row x14ac:dyDescent="0.25" r="39" customHeight="1" ht="17.25">
      <c r="A39" s="7"/>
      <c r="B39" s="7"/>
      <c r="C39" s="7"/>
      <c r="D39" s="7"/>
      <c r="E39" s="8"/>
      <c r="F39" s="9"/>
      <c r="G39" s="9"/>
      <c r="H39" s="10"/>
      <c r="I39" s="9"/>
      <c r="J39" s="9"/>
    </row>
    <row x14ac:dyDescent="0.25" r="40" customHeight="1" ht="17.25">
      <c r="A40" s="11" t="s">
        <v>4133</v>
      </c>
      <c r="B40" s="11"/>
      <c r="C40" s="11"/>
      <c r="D40" s="11"/>
      <c r="E40" s="12"/>
      <c r="F40" s="11"/>
      <c r="G40" s="11"/>
      <c r="H40" s="13"/>
      <c r="I40" s="11"/>
      <c r="J40" s="11"/>
    </row>
    <row x14ac:dyDescent="0.25" r="41" customHeight="1" ht="17.25">
      <c r="A41" s="14" t="s">
        <v>3</v>
      </c>
      <c r="B41" s="14" t="s">
        <v>4</v>
      </c>
      <c r="C41" s="14" t="s">
        <v>5</v>
      </c>
      <c r="D41" s="14" t="s">
        <v>6</v>
      </c>
      <c r="E41" s="15" t="s">
        <v>7</v>
      </c>
      <c r="F41" s="14" t="s">
        <v>8</v>
      </c>
      <c r="G41" s="14" t="s">
        <v>9</v>
      </c>
      <c r="H41" s="16" t="s">
        <v>10</v>
      </c>
      <c r="I41" s="14" t="s">
        <v>11</v>
      </c>
      <c r="J41" s="14" t="s">
        <v>12</v>
      </c>
    </row>
    <row x14ac:dyDescent="0.25" r="42" customHeight="1" ht="17.25">
      <c r="A42" s="17" t="s">
        <v>4134</v>
      </c>
      <c r="B42" s="17" t="s">
        <v>94</v>
      </c>
      <c r="C42" s="17" t="s">
        <v>95</v>
      </c>
      <c r="D42" s="17" t="s">
        <v>16</v>
      </c>
      <c r="E42" s="18">
        <f>ROUND(15210*1.05,2)</f>
      </c>
      <c r="F42" s="17" t="s">
        <v>17</v>
      </c>
      <c r="G42" s="17" t="s">
        <v>18</v>
      </c>
      <c r="H42" s="18">
        <f>ROUND(RAND()*4+6,1)</f>
      </c>
      <c r="I42" s="17" t="s">
        <v>19</v>
      </c>
      <c r="J42" s="19">
        <f>ROUND(63*1,0)&amp;"%"</f>
      </c>
    </row>
    <row x14ac:dyDescent="0.25" r="43" customHeight="1" ht="17.25">
      <c r="A43" s="20" t="s">
        <v>4135</v>
      </c>
      <c r="B43" s="20" t="s">
        <v>97</v>
      </c>
      <c r="C43" s="20" t="s">
        <v>95</v>
      </c>
      <c r="D43" s="20" t="s">
        <v>22</v>
      </c>
      <c r="E43" s="21">
        <f>ROUND(6201*1.05,2)</f>
      </c>
      <c r="F43" s="20" t="s">
        <v>23</v>
      </c>
      <c r="G43" s="20" t="s">
        <v>24</v>
      </c>
      <c r="H43" s="21">
        <f>ROUND(RAND()*4+6,1)</f>
      </c>
      <c r="I43" s="20" t="s">
        <v>25</v>
      </c>
      <c r="J43" s="23">
        <f>ROUND(87*1,0)&amp;"%"</f>
      </c>
    </row>
    <row x14ac:dyDescent="0.25" r="44" customHeight="1" ht="17.25">
      <c r="A44" s="17" t="s">
        <v>4136</v>
      </c>
      <c r="B44" s="17" t="s">
        <v>99</v>
      </c>
      <c r="C44" s="17" t="s">
        <v>95</v>
      </c>
      <c r="D44" s="17" t="s">
        <v>28</v>
      </c>
      <c r="E44" s="26">
        <f>ROUND(15980*1.05,2)</f>
      </c>
      <c r="F44" s="17" t="s">
        <v>29</v>
      </c>
      <c r="G44" s="17" t="s">
        <v>30</v>
      </c>
      <c r="H44" s="18">
        <f>ROUND(RAND()*4+6,1)</f>
      </c>
      <c r="I44" s="17" t="s">
        <v>31</v>
      </c>
      <c r="J44" s="19">
        <f>ROUND(98*1,0)&amp;"%"</f>
      </c>
    </row>
    <row x14ac:dyDescent="0.25" r="45" customHeight="1" ht="17.25">
      <c r="A45" s="20" t="s">
        <v>4137</v>
      </c>
      <c r="B45" s="20" t="s">
        <v>101</v>
      </c>
      <c r="C45" s="20" t="s">
        <v>95</v>
      </c>
      <c r="D45" s="20" t="s">
        <v>34</v>
      </c>
      <c r="E45" s="21">
        <f>ROUND(6259*1.05,2)</f>
      </c>
      <c r="F45" s="20" t="s">
        <v>35</v>
      </c>
      <c r="G45" s="20" t="s">
        <v>18</v>
      </c>
      <c r="H45" s="21">
        <f>ROUND(RAND()*4+6,1)</f>
      </c>
      <c r="I45" s="20" t="s">
        <v>36</v>
      </c>
      <c r="J45" s="23">
        <f>ROUND(90*1,0)&amp;"%"</f>
      </c>
    </row>
    <row x14ac:dyDescent="0.25" r="46" customHeight="1" ht="17.25">
      <c r="A46" s="17" t="s">
        <v>4138</v>
      </c>
      <c r="B46" s="17" t="s">
        <v>103</v>
      </c>
      <c r="C46" s="17" t="s">
        <v>95</v>
      </c>
      <c r="D46" s="17" t="s">
        <v>39</v>
      </c>
      <c r="E46" s="18">
        <f>ROUND(10566*1.05,2)</f>
      </c>
      <c r="F46" s="17" t="s">
        <v>40</v>
      </c>
      <c r="G46" s="17" t="s">
        <v>24</v>
      </c>
      <c r="H46" s="18">
        <f>ROUND(RAND()*4+6,1)</f>
      </c>
      <c r="I46" s="17" t="s">
        <v>41</v>
      </c>
      <c r="J46" s="19">
        <f>ROUND(94*1,0)&amp;"%"</f>
      </c>
    </row>
    <row x14ac:dyDescent="0.25" r="47" customHeight="1" ht="17.25">
      <c r="A47" s="20" t="s">
        <v>4139</v>
      </c>
      <c r="B47" s="20" t="s">
        <v>105</v>
      </c>
      <c r="C47" s="20" t="s">
        <v>95</v>
      </c>
      <c r="D47" s="20" t="s">
        <v>67</v>
      </c>
      <c r="E47" s="21">
        <f>ROUND(14236*1.05,2)</f>
      </c>
      <c r="F47" s="20" t="s">
        <v>44</v>
      </c>
      <c r="G47" s="20" t="s">
        <v>30</v>
      </c>
      <c r="H47" s="21">
        <f>ROUND(RAND()*4+6,1)</f>
      </c>
      <c r="I47" s="20" t="s">
        <v>45</v>
      </c>
      <c r="J47" s="23">
        <f>ROUND(100*1,0)&amp;"%"</f>
      </c>
    </row>
    <row x14ac:dyDescent="0.25" r="48" customHeight="1" ht="17.25">
      <c r="A48" s="17" t="s">
        <v>4140</v>
      </c>
      <c r="B48" s="17" t="s">
        <v>107</v>
      </c>
      <c r="C48" s="17" t="s">
        <v>95</v>
      </c>
      <c r="D48" s="17" t="s">
        <v>16</v>
      </c>
      <c r="E48" s="18">
        <f>ROUND(7317*1.05,2)</f>
      </c>
      <c r="F48" s="17" t="s">
        <v>48</v>
      </c>
      <c r="G48" s="17" t="s">
        <v>18</v>
      </c>
      <c r="H48" s="18">
        <f>ROUND(RAND()*4+6,1)</f>
      </c>
      <c r="I48" s="17" t="s">
        <v>19</v>
      </c>
      <c r="J48" s="19">
        <f>ROUND(78*1,0)&amp;"%"</f>
      </c>
    </row>
    <row x14ac:dyDescent="0.25" r="49" customHeight="1" ht="17.25">
      <c r="A49" s="20" t="s">
        <v>4141</v>
      </c>
      <c r="B49" s="20" t="s">
        <v>109</v>
      </c>
      <c r="C49" s="20" t="s">
        <v>95</v>
      </c>
      <c r="D49" s="20" t="s">
        <v>22</v>
      </c>
      <c r="E49" s="21">
        <f>ROUND(12492*1.05,2)</f>
      </c>
      <c r="F49" s="20" t="s">
        <v>51</v>
      </c>
      <c r="G49" s="20" t="s">
        <v>24</v>
      </c>
      <c r="H49" s="22">
        <f>ROUND(RAND()*4+6,1)</f>
      </c>
      <c r="I49" s="20" t="s">
        <v>25</v>
      </c>
      <c r="J49" s="23">
        <f>ROUND(91*1,0)&amp;"%"</f>
      </c>
    </row>
    <row x14ac:dyDescent="0.25" r="50" customHeight="1" ht="17.25">
      <c r="A50" s="24" t="s">
        <v>110</v>
      </c>
      <c r="B50" s="24"/>
      <c r="C50" s="24"/>
      <c r="D50" s="24"/>
      <c r="E50" s="25">
        <v>8</v>
      </c>
      <c r="F50" s="9"/>
      <c r="G50" s="9"/>
      <c r="H50" s="10"/>
      <c r="I50" s="9"/>
      <c r="J50" s="9"/>
    </row>
    <row x14ac:dyDescent="0.25" r="51" customHeight="1" ht="17.25">
      <c r="A51" s="7"/>
      <c r="B51" s="7"/>
      <c r="C51" s="7"/>
      <c r="D51" s="7"/>
      <c r="E51" s="8"/>
      <c r="F51" s="9"/>
      <c r="G51" s="9"/>
      <c r="H51" s="10"/>
      <c r="I51" s="9"/>
      <c r="J51" s="9"/>
    </row>
    <row x14ac:dyDescent="0.25" r="52" customHeight="1" ht="17.25">
      <c r="A52" s="11" t="s">
        <v>4142</v>
      </c>
      <c r="B52" s="11"/>
      <c r="C52" s="11"/>
      <c r="D52" s="11"/>
      <c r="E52" s="12"/>
      <c r="F52" s="11"/>
      <c r="G52" s="11"/>
      <c r="H52" s="13"/>
      <c r="I52" s="11"/>
      <c r="J52" s="11"/>
    </row>
    <row x14ac:dyDescent="0.25" r="53" customHeight="1" ht="17.25">
      <c r="A53" s="14" t="s">
        <v>3</v>
      </c>
      <c r="B53" s="14" t="s">
        <v>4</v>
      </c>
      <c r="C53" s="14" t="s">
        <v>5</v>
      </c>
      <c r="D53" s="14" t="s">
        <v>6</v>
      </c>
      <c r="E53" s="15" t="s">
        <v>7</v>
      </c>
      <c r="F53" s="14" t="s">
        <v>8</v>
      </c>
      <c r="G53" s="14" t="s">
        <v>9</v>
      </c>
      <c r="H53" s="16" t="s">
        <v>10</v>
      </c>
      <c r="I53" s="14" t="s">
        <v>11</v>
      </c>
      <c r="J53" s="14" t="s">
        <v>12</v>
      </c>
    </row>
    <row x14ac:dyDescent="0.25" r="54" customHeight="1" ht="17.25">
      <c r="A54" s="17" t="s">
        <v>4143</v>
      </c>
      <c r="B54" s="17" t="s">
        <v>113</v>
      </c>
      <c r="C54" s="17" t="s">
        <v>114</v>
      </c>
      <c r="D54" s="17" t="s">
        <v>16</v>
      </c>
      <c r="E54" s="18">
        <f>ROUND(15195*1.05,2)</f>
      </c>
      <c r="F54" s="17" t="s">
        <v>17</v>
      </c>
      <c r="G54" s="17" t="s">
        <v>18</v>
      </c>
      <c r="H54" s="18">
        <f>ROUND(RAND()*4+6,1)</f>
      </c>
      <c r="I54" s="17" t="s">
        <v>19</v>
      </c>
      <c r="J54" s="19">
        <f>ROUND(61*1,0)&amp;"%"</f>
      </c>
    </row>
    <row x14ac:dyDescent="0.25" r="55" customHeight="1" ht="17.25">
      <c r="A55" s="20" t="s">
        <v>4144</v>
      </c>
      <c r="B55" s="20" t="s">
        <v>116</v>
      </c>
      <c r="C55" s="20" t="s">
        <v>114</v>
      </c>
      <c r="D55" s="20" t="s">
        <v>22</v>
      </c>
      <c r="E55" s="21">
        <f>ROUND(13594*1.05,2)</f>
      </c>
      <c r="F55" s="20" t="s">
        <v>23</v>
      </c>
      <c r="G55" s="20" t="s">
        <v>24</v>
      </c>
      <c r="H55" s="21">
        <f>ROUND(RAND()*4+6,1)</f>
      </c>
      <c r="I55" s="20" t="s">
        <v>25</v>
      </c>
      <c r="J55" s="23">
        <f>ROUND(90*1,0)&amp;"%"</f>
      </c>
    </row>
    <row x14ac:dyDescent="0.25" r="56" customHeight="1" ht="17.25">
      <c r="A56" s="17" t="s">
        <v>4145</v>
      </c>
      <c r="B56" s="17" t="s">
        <v>118</v>
      </c>
      <c r="C56" s="17" t="s">
        <v>114</v>
      </c>
      <c r="D56" s="17" t="s">
        <v>28</v>
      </c>
      <c r="E56" s="18">
        <f>ROUND(9811*1.05,2)</f>
      </c>
      <c r="F56" s="17" t="s">
        <v>29</v>
      </c>
      <c r="G56" s="17" t="s">
        <v>30</v>
      </c>
      <c r="H56" s="18">
        <f>ROUND(RAND()*4+6,1)</f>
      </c>
      <c r="I56" s="17" t="s">
        <v>31</v>
      </c>
      <c r="J56" s="19">
        <f>ROUND(98*1,0)&amp;"%"</f>
      </c>
    </row>
    <row x14ac:dyDescent="0.25" r="57" customHeight="1" ht="17.25">
      <c r="A57" s="20" t="s">
        <v>4146</v>
      </c>
      <c r="B57" s="20" t="s">
        <v>120</v>
      </c>
      <c r="C57" s="20" t="s">
        <v>114</v>
      </c>
      <c r="D57" s="20" t="s">
        <v>34</v>
      </c>
      <c r="E57" s="21">
        <f>ROUND(16164*1.05,2)</f>
      </c>
      <c r="F57" s="20" t="s">
        <v>35</v>
      </c>
      <c r="G57" s="20" t="s">
        <v>18</v>
      </c>
      <c r="H57" s="21">
        <f>ROUND(RAND()*4+6,1)</f>
      </c>
      <c r="I57" s="20" t="s">
        <v>36</v>
      </c>
      <c r="J57" s="23">
        <f>ROUND(97*1,0)&amp;"%"</f>
      </c>
    </row>
    <row x14ac:dyDescent="0.25" r="58" customHeight="1" ht="17.25">
      <c r="A58" s="17" t="s">
        <v>4147</v>
      </c>
      <c r="B58" s="17" t="s">
        <v>122</v>
      </c>
      <c r="C58" s="17" t="s">
        <v>114</v>
      </c>
      <c r="D58" s="17" t="s">
        <v>39</v>
      </c>
      <c r="E58" s="18">
        <f>ROUND(6375*1.05,2)</f>
      </c>
      <c r="F58" s="17" t="s">
        <v>40</v>
      </c>
      <c r="G58" s="17" t="s">
        <v>24</v>
      </c>
      <c r="H58" s="26">
        <f>ROUND(RAND()*4+6,1)</f>
      </c>
      <c r="I58" s="17" t="s">
        <v>41</v>
      </c>
      <c r="J58" s="19">
        <f>ROUND(72*1,0)&amp;"%"</f>
      </c>
    </row>
    <row x14ac:dyDescent="0.25" r="59" customHeight="1" ht="17.25">
      <c r="A59" s="20" t="s">
        <v>4148</v>
      </c>
      <c r="B59" s="20" t="s">
        <v>124</v>
      </c>
      <c r="C59" s="20" t="s">
        <v>114</v>
      </c>
      <c r="D59" s="20" t="s">
        <v>67</v>
      </c>
      <c r="E59" s="21">
        <f>ROUND(13170*1.05,2)</f>
      </c>
      <c r="F59" s="20" t="s">
        <v>44</v>
      </c>
      <c r="G59" s="20" t="s">
        <v>30</v>
      </c>
      <c r="H59" s="21">
        <f>ROUND(RAND()*4+6,1)</f>
      </c>
      <c r="I59" s="20" t="s">
        <v>45</v>
      </c>
      <c r="J59" s="23">
        <f>ROUND(97*1,0)&amp;"%"</f>
      </c>
    </row>
    <row x14ac:dyDescent="0.25" r="60" customHeight="1" ht="17.25">
      <c r="A60" s="17" t="s">
        <v>4149</v>
      </c>
      <c r="B60" s="17" t="s">
        <v>126</v>
      </c>
      <c r="C60" s="17" t="s">
        <v>114</v>
      </c>
      <c r="D60" s="17" t="s">
        <v>16</v>
      </c>
      <c r="E60" s="26">
        <f>ROUND(15680*1.05,2)</f>
      </c>
      <c r="F60" s="17" t="s">
        <v>48</v>
      </c>
      <c r="G60" s="17" t="s">
        <v>18</v>
      </c>
      <c r="H60" s="18">
        <f>ROUND(RAND()*4+6,1)</f>
      </c>
      <c r="I60" s="17" t="s">
        <v>19</v>
      </c>
      <c r="J60" s="19">
        <f>ROUND(82*1,0)&amp;"%"</f>
      </c>
    </row>
    <row x14ac:dyDescent="0.25" r="61" customHeight="1" ht="17.25">
      <c r="A61" s="20" t="s">
        <v>4150</v>
      </c>
      <c r="B61" s="20" t="s">
        <v>128</v>
      </c>
      <c r="C61" s="20" t="s">
        <v>114</v>
      </c>
      <c r="D61" s="20" t="s">
        <v>22</v>
      </c>
      <c r="E61" s="21">
        <f>ROUND(16649*1.05,2)</f>
      </c>
      <c r="F61" s="20" t="s">
        <v>51</v>
      </c>
      <c r="G61" s="20" t="s">
        <v>24</v>
      </c>
      <c r="H61" s="21">
        <f>ROUND(RAND()*4+6,1)</f>
      </c>
      <c r="I61" s="20" t="s">
        <v>25</v>
      </c>
      <c r="J61" s="23">
        <f>ROUND(84*1,0)&amp;"%"</f>
      </c>
    </row>
    <row x14ac:dyDescent="0.25" r="62" customHeight="1" ht="17.25">
      <c r="A62" s="24" t="s">
        <v>129</v>
      </c>
      <c r="B62" s="24"/>
      <c r="C62" s="24"/>
      <c r="D62" s="24"/>
      <c r="E62" s="25">
        <v>8</v>
      </c>
      <c r="F62" s="9"/>
      <c r="G62" s="9"/>
      <c r="H62" s="10"/>
      <c r="I62" s="9"/>
      <c r="J62" s="9"/>
    </row>
    <row x14ac:dyDescent="0.25" r="63" customHeight="1" ht="17.25">
      <c r="A63" s="7"/>
      <c r="B63" s="7"/>
      <c r="C63" s="7"/>
      <c r="D63" s="7"/>
      <c r="E63" s="8"/>
      <c r="F63" s="9"/>
      <c r="G63" s="9"/>
      <c r="H63" s="10"/>
      <c r="I63" s="9"/>
      <c r="J63" s="9"/>
    </row>
    <row x14ac:dyDescent="0.25" r="64" customHeight="1" ht="17.25">
      <c r="A64" s="11" t="s">
        <v>4151</v>
      </c>
      <c r="B64" s="11"/>
      <c r="C64" s="11"/>
      <c r="D64" s="11"/>
      <c r="E64" s="12"/>
      <c r="F64" s="11"/>
      <c r="G64" s="11"/>
      <c r="H64" s="13"/>
      <c r="I64" s="11"/>
      <c r="J64" s="11"/>
    </row>
    <row x14ac:dyDescent="0.25" r="65" customHeight="1" ht="17.25">
      <c r="A65" s="14" t="s">
        <v>3</v>
      </c>
      <c r="B65" s="14" t="s">
        <v>4</v>
      </c>
      <c r="C65" s="14" t="s">
        <v>5</v>
      </c>
      <c r="D65" s="14" t="s">
        <v>6</v>
      </c>
      <c r="E65" s="15" t="s">
        <v>7</v>
      </c>
      <c r="F65" s="14" t="s">
        <v>8</v>
      </c>
      <c r="G65" s="14" t="s">
        <v>9</v>
      </c>
      <c r="H65" s="16" t="s">
        <v>10</v>
      </c>
      <c r="I65" s="14" t="s">
        <v>11</v>
      </c>
      <c r="J65" s="14" t="s">
        <v>12</v>
      </c>
    </row>
    <row x14ac:dyDescent="0.25" r="66" customHeight="1" ht="17.25">
      <c r="A66" s="17" t="s">
        <v>4152</v>
      </c>
      <c r="B66" s="17" t="s">
        <v>132</v>
      </c>
      <c r="C66" s="17" t="s">
        <v>133</v>
      </c>
      <c r="D66" s="17" t="s">
        <v>16</v>
      </c>
      <c r="E66" s="18">
        <f>ROUND(9536*1.05,2)</f>
      </c>
      <c r="F66" s="17" t="s">
        <v>17</v>
      </c>
      <c r="G66" s="17" t="s">
        <v>18</v>
      </c>
      <c r="H66" s="18">
        <f>ROUND(RAND()*4+6,1)</f>
      </c>
      <c r="I66" s="17" t="s">
        <v>19</v>
      </c>
      <c r="J66" s="19">
        <f>ROUND(71*1,0)&amp;"%"</f>
      </c>
    </row>
    <row x14ac:dyDescent="0.25" r="67" customHeight="1" ht="17.25">
      <c r="A67" s="20" t="s">
        <v>4153</v>
      </c>
      <c r="B67" s="20" t="s">
        <v>135</v>
      </c>
      <c r="C67" s="20" t="s">
        <v>133</v>
      </c>
      <c r="D67" s="20" t="s">
        <v>22</v>
      </c>
      <c r="E67" s="21">
        <f>ROUND(5110*1.05,2)</f>
      </c>
      <c r="F67" s="20" t="s">
        <v>23</v>
      </c>
      <c r="G67" s="20" t="s">
        <v>24</v>
      </c>
      <c r="H67" s="21">
        <f>ROUND(RAND()*4+6,1)</f>
      </c>
      <c r="I67" s="20" t="s">
        <v>25</v>
      </c>
      <c r="J67" s="23">
        <f>ROUND(75*1,0)&amp;"%"</f>
      </c>
    </row>
    <row x14ac:dyDescent="0.25" r="68" customHeight="1" ht="17.25">
      <c r="A68" s="17" t="s">
        <v>4154</v>
      </c>
      <c r="B68" s="17" t="s">
        <v>137</v>
      </c>
      <c r="C68" s="17" t="s">
        <v>133</v>
      </c>
      <c r="D68" s="17" t="s">
        <v>28</v>
      </c>
      <c r="E68" s="18">
        <f>ROUND(5235*1.05,2)</f>
      </c>
      <c r="F68" s="17" t="s">
        <v>29</v>
      </c>
      <c r="G68" s="17" t="s">
        <v>30</v>
      </c>
      <c r="H68" s="18">
        <f>ROUND(RAND()*4+6,1)</f>
      </c>
      <c r="I68" s="17" t="s">
        <v>31</v>
      </c>
      <c r="J68" s="19">
        <f>ROUND(89*1,0)&amp;"%"</f>
      </c>
    </row>
    <row x14ac:dyDescent="0.25" r="69" customHeight="1" ht="17.25">
      <c r="A69" s="20" t="s">
        <v>4155</v>
      </c>
      <c r="B69" s="20" t="s">
        <v>139</v>
      </c>
      <c r="C69" s="20" t="s">
        <v>133</v>
      </c>
      <c r="D69" s="20" t="s">
        <v>34</v>
      </c>
      <c r="E69" s="21">
        <f>ROUND(15188*1.05,2)</f>
      </c>
      <c r="F69" s="20" t="s">
        <v>35</v>
      </c>
      <c r="G69" s="20" t="s">
        <v>18</v>
      </c>
      <c r="H69" s="21">
        <f>ROUND(RAND()*4+6,1)</f>
      </c>
      <c r="I69" s="20" t="s">
        <v>36</v>
      </c>
      <c r="J69" s="23">
        <f>ROUND(62*1,0)&amp;"%"</f>
      </c>
    </row>
    <row x14ac:dyDescent="0.25" r="70" customHeight="1" ht="17.25">
      <c r="A70" s="17" t="s">
        <v>4156</v>
      </c>
      <c r="B70" s="17" t="s">
        <v>141</v>
      </c>
      <c r="C70" s="17" t="s">
        <v>133</v>
      </c>
      <c r="D70" s="17" t="s">
        <v>39</v>
      </c>
      <c r="E70" s="18">
        <f>ROUND(5809*1.05,2)</f>
      </c>
      <c r="F70" s="17" t="s">
        <v>40</v>
      </c>
      <c r="G70" s="17" t="s">
        <v>24</v>
      </c>
      <c r="H70" s="18">
        <f>ROUND(RAND()*4+6,1)</f>
      </c>
      <c r="I70" s="17" t="s">
        <v>41</v>
      </c>
      <c r="J70" s="19">
        <f>ROUND(72*1,0)&amp;"%"</f>
      </c>
    </row>
    <row x14ac:dyDescent="0.25" r="71" customHeight="1" ht="17.25">
      <c r="A71" s="20" t="s">
        <v>4157</v>
      </c>
      <c r="B71" s="20" t="s">
        <v>143</v>
      </c>
      <c r="C71" s="20" t="s">
        <v>133</v>
      </c>
      <c r="D71" s="20" t="s">
        <v>67</v>
      </c>
      <c r="E71" s="21">
        <f>ROUND(4126*1.05,2)</f>
      </c>
      <c r="F71" s="20" t="s">
        <v>44</v>
      </c>
      <c r="G71" s="20" t="s">
        <v>30</v>
      </c>
      <c r="H71" s="21">
        <f>ROUND(RAND()*4+6,1)</f>
      </c>
      <c r="I71" s="20" t="s">
        <v>45</v>
      </c>
      <c r="J71" s="23">
        <f>ROUND(71*1,0)&amp;"%"</f>
      </c>
    </row>
    <row x14ac:dyDescent="0.25" r="72" customHeight="1" ht="17.25">
      <c r="A72" s="17" t="s">
        <v>4158</v>
      </c>
      <c r="B72" s="17" t="s">
        <v>145</v>
      </c>
      <c r="C72" s="17" t="s">
        <v>133</v>
      </c>
      <c r="D72" s="17" t="s">
        <v>16</v>
      </c>
      <c r="E72" s="18">
        <f>ROUND(11471*1.05,2)</f>
      </c>
      <c r="F72" s="17" t="s">
        <v>48</v>
      </c>
      <c r="G72" s="17" t="s">
        <v>18</v>
      </c>
      <c r="H72" s="26">
        <f>ROUND(RAND()*4+6,1)</f>
      </c>
      <c r="I72" s="17" t="s">
        <v>19</v>
      </c>
      <c r="J72" s="19">
        <f>ROUND(77*1,0)&amp;"%"</f>
      </c>
    </row>
    <row x14ac:dyDescent="0.25" r="73" customHeight="1" ht="17.25">
      <c r="A73" s="20" t="s">
        <v>4159</v>
      </c>
      <c r="B73" s="20" t="s">
        <v>147</v>
      </c>
      <c r="C73" s="20" t="s">
        <v>133</v>
      </c>
      <c r="D73" s="20" t="s">
        <v>22</v>
      </c>
      <c r="E73" s="21">
        <f>ROUND(12834*1.05,2)</f>
      </c>
      <c r="F73" s="20" t="s">
        <v>51</v>
      </c>
      <c r="G73" s="20" t="s">
        <v>24</v>
      </c>
      <c r="H73" s="21">
        <f>ROUND(RAND()*4+6,1)</f>
      </c>
      <c r="I73" s="20" t="s">
        <v>25</v>
      </c>
      <c r="J73" s="23">
        <f>ROUND(95*1,0)&amp;"%"</f>
      </c>
    </row>
    <row x14ac:dyDescent="0.25" r="74" customHeight="1" ht="17.25">
      <c r="A74" s="24" t="s">
        <v>148</v>
      </c>
      <c r="B74" s="24"/>
      <c r="C74" s="24"/>
      <c r="D74" s="24"/>
      <c r="E74" s="25">
        <v>8</v>
      </c>
      <c r="F74" s="9"/>
      <c r="G74" s="9"/>
      <c r="H74" s="10"/>
      <c r="I74" s="9"/>
      <c r="J74" s="9"/>
    </row>
    <row x14ac:dyDescent="0.25" r="75" customHeight="1" ht="17.25">
      <c r="A75" s="7"/>
      <c r="B75" s="7"/>
      <c r="C75" s="7"/>
      <c r="D75" s="7"/>
      <c r="E75" s="8"/>
      <c r="F75" s="9"/>
      <c r="G75" s="9"/>
      <c r="H75" s="10"/>
      <c r="I75" s="9"/>
      <c r="J75" s="9"/>
    </row>
    <row x14ac:dyDescent="0.25" r="76" customHeight="1" ht="17.25">
      <c r="A76" s="11" t="s">
        <v>4160</v>
      </c>
      <c r="B76" s="11"/>
      <c r="C76" s="11"/>
      <c r="D76" s="11"/>
      <c r="E76" s="12"/>
      <c r="F76" s="11"/>
      <c r="G76" s="11"/>
      <c r="H76" s="13"/>
      <c r="I76" s="11"/>
      <c r="J76" s="11"/>
    </row>
    <row x14ac:dyDescent="0.25" r="77" customHeight="1" ht="17.25">
      <c r="A77" s="14" t="s">
        <v>3</v>
      </c>
      <c r="B77" s="14" t="s">
        <v>4</v>
      </c>
      <c r="C77" s="14" t="s">
        <v>5</v>
      </c>
      <c r="D77" s="14" t="s">
        <v>6</v>
      </c>
      <c r="E77" s="15" t="s">
        <v>7</v>
      </c>
      <c r="F77" s="14" t="s">
        <v>8</v>
      </c>
      <c r="G77" s="14" t="s">
        <v>9</v>
      </c>
      <c r="H77" s="16" t="s">
        <v>10</v>
      </c>
      <c r="I77" s="14" t="s">
        <v>11</v>
      </c>
      <c r="J77" s="14" t="s">
        <v>12</v>
      </c>
    </row>
    <row x14ac:dyDescent="0.25" r="78" customHeight="1" ht="17.25">
      <c r="A78" s="17" t="s">
        <v>4161</v>
      </c>
      <c r="B78" s="17" t="s">
        <v>151</v>
      </c>
      <c r="C78" s="17" t="s">
        <v>152</v>
      </c>
      <c r="D78" s="17" t="s">
        <v>16</v>
      </c>
      <c r="E78" s="18">
        <f>ROUND(16345*1.05,2)</f>
      </c>
      <c r="F78" s="17" t="s">
        <v>17</v>
      </c>
      <c r="G78" s="17" t="s">
        <v>18</v>
      </c>
      <c r="H78" s="18">
        <f>ROUND(RAND()*4+6,1)</f>
      </c>
      <c r="I78" s="17" t="s">
        <v>19</v>
      </c>
      <c r="J78" s="19">
        <f>ROUND(75*1,0)&amp;"%"</f>
      </c>
    </row>
    <row x14ac:dyDescent="0.25" r="79" customHeight="1" ht="17.25">
      <c r="A79" s="20" t="s">
        <v>4162</v>
      </c>
      <c r="B79" s="20" t="s">
        <v>154</v>
      </c>
      <c r="C79" s="20" t="s">
        <v>152</v>
      </c>
      <c r="D79" s="20" t="s">
        <v>22</v>
      </c>
      <c r="E79" s="21">
        <f>ROUND(9758*1.05,2)</f>
      </c>
      <c r="F79" s="20" t="s">
        <v>23</v>
      </c>
      <c r="G79" s="20" t="s">
        <v>24</v>
      </c>
      <c r="H79" s="21">
        <f>ROUND(RAND()*4+6,1)</f>
      </c>
      <c r="I79" s="20" t="s">
        <v>25</v>
      </c>
      <c r="J79" s="23">
        <f>ROUND(72*1,0)&amp;"%"</f>
      </c>
    </row>
    <row x14ac:dyDescent="0.25" r="80" customHeight="1" ht="17.25">
      <c r="A80" s="17" t="s">
        <v>4163</v>
      </c>
      <c r="B80" s="17" t="s">
        <v>156</v>
      </c>
      <c r="C80" s="17" t="s">
        <v>152</v>
      </c>
      <c r="D80" s="17" t="s">
        <v>28</v>
      </c>
      <c r="E80" s="18">
        <f>ROUND(7204*1.05,2)</f>
      </c>
      <c r="F80" s="17" t="s">
        <v>29</v>
      </c>
      <c r="G80" s="17" t="s">
        <v>30</v>
      </c>
      <c r="H80" s="18">
        <f>ROUND(RAND()*4+6,1)</f>
      </c>
      <c r="I80" s="17" t="s">
        <v>31</v>
      </c>
      <c r="J80" s="19">
        <f>ROUND(71*1,0)&amp;"%"</f>
      </c>
    </row>
    <row x14ac:dyDescent="0.25" r="81" customHeight="1" ht="17.25">
      <c r="A81" s="20" t="s">
        <v>4164</v>
      </c>
      <c r="B81" s="20" t="s">
        <v>158</v>
      </c>
      <c r="C81" s="20" t="s">
        <v>152</v>
      </c>
      <c r="D81" s="20" t="s">
        <v>34</v>
      </c>
      <c r="E81" s="21">
        <f>ROUND(16879*1.05,2)</f>
      </c>
      <c r="F81" s="20" t="s">
        <v>35</v>
      </c>
      <c r="G81" s="20" t="s">
        <v>18</v>
      </c>
      <c r="H81" s="21">
        <f>ROUND(RAND()*4+6,1)</f>
      </c>
      <c r="I81" s="20" t="s">
        <v>36</v>
      </c>
      <c r="J81" s="23">
        <f>ROUND(75*1,0)&amp;"%"</f>
      </c>
    </row>
    <row x14ac:dyDescent="0.25" r="82" customHeight="1" ht="17.25">
      <c r="A82" s="17" t="s">
        <v>4165</v>
      </c>
      <c r="B82" s="17" t="s">
        <v>160</v>
      </c>
      <c r="C82" s="17" t="s">
        <v>152</v>
      </c>
      <c r="D82" s="17" t="s">
        <v>39</v>
      </c>
      <c r="E82" s="18">
        <f>ROUND(16074*1.05,2)</f>
      </c>
      <c r="F82" s="17" t="s">
        <v>40</v>
      </c>
      <c r="G82" s="17" t="s">
        <v>24</v>
      </c>
      <c r="H82" s="18">
        <f>ROUND(RAND()*4+6,1)</f>
      </c>
      <c r="I82" s="17" t="s">
        <v>41</v>
      </c>
      <c r="J82" s="19">
        <f>ROUND(97*1,0)&amp;"%"</f>
      </c>
    </row>
    <row x14ac:dyDescent="0.25" r="83" customHeight="1" ht="17.25">
      <c r="A83" s="20" t="s">
        <v>4166</v>
      </c>
      <c r="B83" s="20" t="s">
        <v>162</v>
      </c>
      <c r="C83" s="20" t="s">
        <v>152</v>
      </c>
      <c r="D83" s="20" t="s">
        <v>67</v>
      </c>
      <c r="E83" s="21">
        <f>ROUND(8175*1.05,2)</f>
      </c>
      <c r="F83" s="20" t="s">
        <v>44</v>
      </c>
      <c r="G83" s="20" t="s">
        <v>30</v>
      </c>
      <c r="H83" s="21">
        <f>ROUND(RAND()*4+6,1)</f>
      </c>
      <c r="I83" s="20" t="s">
        <v>45</v>
      </c>
      <c r="J83" s="23">
        <f>ROUND(73*1,0)&amp;"%"</f>
      </c>
    </row>
    <row x14ac:dyDescent="0.25" r="84" customHeight="1" ht="17.25">
      <c r="A84" s="17" t="s">
        <v>4167</v>
      </c>
      <c r="B84" s="17" t="s">
        <v>164</v>
      </c>
      <c r="C84" s="17" t="s">
        <v>152</v>
      </c>
      <c r="D84" s="17" t="s">
        <v>16</v>
      </c>
      <c r="E84" s="18">
        <f>ROUND(16537*1.05,2)</f>
      </c>
      <c r="F84" s="17" t="s">
        <v>48</v>
      </c>
      <c r="G84" s="17" t="s">
        <v>18</v>
      </c>
      <c r="H84" s="18">
        <f>ROUND(RAND()*4+6,1)</f>
      </c>
      <c r="I84" s="17" t="s">
        <v>19</v>
      </c>
      <c r="J84" s="19">
        <f>ROUND(61*1,0)&amp;"%"</f>
      </c>
    </row>
    <row x14ac:dyDescent="0.25" r="85" customHeight="1" ht="17.25">
      <c r="A85" s="20" t="s">
        <v>4168</v>
      </c>
      <c r="B85" s="20" t="s">
        <v>166</v>
      </c>
      <c r="C85" s="20" t="s">
        <v>152</v>
      </c>
      <c r="D85" s="20" t="s">
        <v>22</v>
      </c>
      <c r="E85" s="21">
        <f>ROUND(13493*1.05,2)</f>
      </c>
      <c r="F85" s="20" t="s">
        <v>51</v>
      </c>
      <c r="G85" s="20" t="s">
        <v>24</v>
      </c>
      <c r="H85" s="21">
        <f>ROUND(RAND()*4+6,1)</f>
      </c>
      <c r="I85" s="20" t="s">
        <v>25</v>
      </c>
      <c r="J85" s="23">
        <f>ROUND(65*1,0)&amp;"%"</f>
      </c>
    </row>
    <row x14ac:dyDescent="0.25" r="86" customHeight="1" ht="17.25">
      <c r="A86" s="24" t="s">
        <v>167</v>
      </c>
      <c r="B86" s="24"/>
      <c r="C86" s="24"/>
      <c r="D86" s="24"/>
      <c r="E86" s="25">
        <v>8</v>
      </c>
      <c r="F86" s="9"/>
      <c r="G86" s="9"/>
      <c r="H86" s="10"/>
      <c r="I86" s="9"/>
      <c r="J86" s="9"/>
    </row>
    <row x14ac:dyDescent="0.25" r="87" customHeight="1" ht="17.25">
      <c r="A87" s="7"/>
      <c r="B87" s="7"/>
      <c r="C87" s="7"/>
      <c r="D87" s="7"/>
      <c r="E87" s="8"/>
      <c r="F87" s="9"/>
      <c r="G87" s="9"/>
      <c r="H87" s="10"/>
      <c r="I87" s="9"/>
      <c r="J87" s="9"/>
    </row>
    <row x14ac:dyDescent="0.25" r="88" customHeight="1" ht="17.25">
      <c r="A88" s="11" t="s">
        <v>4169</v>
      </c>
      <c r="B88" s="11"/>
      <c r="C88" s="11"/>
      <c r="D88" s="11"/>
      <c r="E88" s="12"/>
      <c r="F88" s="11"/>
      <c r="G88" s="11"/>
      <c r="H88" s="13"/>
      <c r="I88" s="11"/>
      <c r="J88" s="11"/>
    </row>
    <row x14ac:dyDescent="0.25" r="89" customHeight="1" ht="17.25">
      <c r="A89" s="14" t="s">
        <v>3</v>
      </c>
      <c r="B89" s="14" t="s">
        <v>4</v>
      </c>
      <c r="C89" s="14" t="s">
        <v>5</v>
      </c>
      <c r="D89" s="14" t="s">
        <v>6</v>
      </c>
      <c r="E89" s="15" t="s">
        <v>7</v>
      </c>
      <c r="F89" s="14" t="s">
        <v>8</v>
      </c>
      <c r="G89" s="14" t="s">
        <v>9</v>
      </c>
      <c r="H89" s="16" t="s">
        <v>10</v>
      </c>
      <c r="I89" s="14" t="s">
        <v>11</v>
      </c>
      <c r="J89" s="14" t="s">
        <v>12</v>
      </c>
    </row>
    <row x14ac:dyDescent="0.25" r="90" customHeight="1" ht="17.25">
      <c r="A90" s="17" t="s">
        <v>4170</v>
      </c>
      <c r="B90" s="17" t="s">
        <v>170</v>
      </c>
      <c r="C90" s="17" t="s">
        <v>15</v>
      </c>
      <c r="D90" s="17" t="s">
        <v>16</v>
      </c>
      <c r="E90" s="18">
        <f>ROUND(4322*1.05,2)</f>
      </c>
      <c r="F90" s="17" t="s">
        <v>17</v>
      </c>
      <c r="G90" s="17" t="s">
        <v>18</v>
      </c>
      <c r="H90" s="26">
        <f>ROUND(RAND()*4+6,1)</f>
      </c>
      <c r="I90" s="17" t="s">
        <v>19</v>
      </c>
      <c r="J90" s="19">
        <f>ROUND(86*1,0)&amp;"%"</f>
      </c>
    </row>
    <row x14ac:dyDescent="0.25" r="91" customHeight="1" ht="17.25">
      <c r="A91" s="20" t="s">
        <v>4171</v>
      </c>
      <c r="B91" s="20" t="s">
        <v>172</v>
      </c>
      <c r="C91" s="20" t="s">
        <v>15</v>
      </c>
      <c r="D91" s="20" t="s">
        <v>22</v>
      </c>
      <c r="E91" s="21">
        <f>ROUND(16585*1.05,2)</f>
      </c>
      <c r="F91" s="20" t="s">
        <v>23</v>
      </c>
      <c r="G91" s="20" t="s">
        <v>24</v>
      </c>
      <c r="H91" s="21">
        <f>ROUND(RAND()*4+6,1)</f>
      </c>
      <c r="I91" s="20" t="s">
        <v>25</v>
      </c>
      <c r="J91" s="23">
        <f>ROUND(92*1,0)&amp;"%"</f>
      </c>
    </row>
    <row x14ac:dyDescent="0.25" r="92" customHeight="1" ht="17.25">
      <c r="A92" s="17" t="s">
        <v>4172</v>
      </c>
      <c r="B92" s="17" t="s">
        <v>174</v>
      </c>
      <c r="C92" s="17" t="s">
        <v>15</v>
      </c>
      <c r="D92" s="17" t="s">
        <v>28</v>
      </c>
      <c r="E92" s="18">
        <f>ROUND(14593*1.05,2)</f>
      </c>
      <c r="F92" s="17" t="s">
        <v>29</v>
      </c>
      <c r="G92" s="17" t="s">
        <v>30</v>
      </c>
      <c r="H92" s="18">
        <f>ROUND(RAND()*4+6,1)</f>
      </c>
      <c r="I92" s="17" t="s">
        <v>31</v>
      </c>
      <c r="J92" s="19">
        <f>ROUND(78*1,0)&amp;"%"</f>
      </c>
    </row>
    <row x14ac:dyDescent="0.25" r="93" customHeight="1" ht="17.25">
      <c r="A93" s="20" t="s">
        <v>4173</v>
      </c>
      <c r="B93" s="20" t="s">
        <v>176</v>
      </c>
      <c r="C93" s="20" t="s">
        <v>15</v>
      </c>
      <c r="D93" s="20" t="s">
        <v>34</v>
      </c>
      <c r="E93" s="21">
        <f>ROUND(10868*1.05,2)</f>
      </c>
      <c r="F93" s="20" t="s">
        <v>35</v>
      </c>
      <c r="G93" s="20" t="s">
        <v>18</v>
      </c>
      <c r="H93" s="21">
        <f>ROUND(RAND()*4+6,1)</f>
      </c>
      <c r="I93" s="20" t="s">
        <v>36</v>
      </c>
      <c r="J93" s="23">
        <f>ROUND(94*1,0)&amp;"%"</f>
      </c>
    </row>
    <row x14ac:dyDescent="0.25" r="94" customHeight="1" ht="17.25">
      <c r="A94" s="17" t="s">
        <v>4174</v>
      </c>
      <c r="B94" s="17" t="s">
        <v>178</v>
      </c>
      <c r="C94" s="17" t="s">
        <v>15</v>
      </c>
      <c r="D94" s="17" t="s">
        <v>39</v>
      </c>
      <c r="E94" s="18">
        <f>ROUND(11185*1.05,2)</f>
      </c>
      <c r="F94" s="17" t="s">
        <v>40</v>
      </c>
      <c r="G94" s="17" t="s">
        <v>24</v>
      </c>
      <c r="H94" s="18">
        <f>ROUND(RAND()*4+6,1)</f>
      </c>
      <c r="I94" s="17" t="s">
        <v>41</v>
      </c>
      <c r="J94" s="19">
        <f>ROUND(71*1,0)&amp;"%"</f>
      </c>
    </row>
    <row x14ac:dyDescent="0.25" r="95" customHeight="1" ht="17.25">
      <c r="A95" s="20" t="s">
        <v>4175</v>
      </c>
      <c r="B95" s="20" t="s">
        <v>180</v>
      </c>
      <c r="C95" s="20" t="s">
        <v>15</v>
      </c>
      <c r="D95" s="20" t="s">
        <v>67</v>
      </c>
      <c r="E95" s="21">
        <f>ROUND(13249*1.05,2)</f>
      </c>
      <c r="F95" s="20" t="s">
        <v>44</v>
      </c>
      <c r="G95" s="20" t="s">
        <v>30</v>
      </c>
      <c r="H95" s="21">
        <f>ROUND(RAND()*4+6,1)</f>
      </c>
      <c r="I95" s="20" t="s">
        <v>45</v>
      </c>
      <c r="J95" s="23">
        <f>ROUND(87*1,0)&amp;"%"</f>
      </c>
    </row>
    <row x14ac:dyDescent="0.25" r="96" customHeight="1" ht="17.25">
      <c r="A96" s="17" t="s">
        <v>4176</v>
      </c>
      <c r="B96" s="17" t="s">
        <v>182</v>
      </c>
      <c r="C96" s="17" t="s">
        <v>15</v>
      </c>
      <c r="D96" s="17" t="s">
        <v>16</v>
      </c>
      <c r="E96" s="18">
        <f>ROUND(9318*1.05,2)</f>
      </c>
      <c r="F96" s="17" t="s">
        <v>48</v>
      </c>
      <c r="G96" s="17" t="s">
        <v>18</v>
      </c>
      <c r="H96" s="18">
        <f>ROUND(RAND()*4+6,1)</f>
      </c>
      <c r="I96" s="17" t="s">
        <v>19</v>
      </c>
      <c r="J96" s="19">
        <f>ROUND(100*1,0)&amp;"%"</f>
      </c>
    </row>
    <row x14ac:dyDescent="0.25" r="97" customHeight="1" ht="17.25">
      <c r="A97" s="20" t="s">
        <v>4177</v>
      </c>
      <c r="B97" s="20" t="s">
        <v>184</v>
      </c>
      <c r="C97" s="20" t="s">
        <v>15</v>
      </c>
      <c r="D97" s="20" t="s">
        <v>22</v>
      </c>
      <c r="E97" s="21">
        <f>ROUND(7924*1.05,2)</f>
      </c>
      <c r="F97" s="20" t="s">
        <v>51</v>
      </c>
      <c r="G97" s="20" t="s">
        <v>24</v>
      </c>
      <c r="H97" s="21">
        <f>ROUND(RAND()*4+6,1)</f>
      </c>
      <c r="I97" s="20" t="s">
        <v>25</v>
      </c>
      <c r="J97" s="23">
        <f>ROUND(80*1,0)&amp;"%"</f>
      </c>
    </row>
    <row x14ac:dyDescent="0.25" r="98" customHeight="1" ht="17.25">
      <c r="A98" s="24" t="s">
        <v>185</v>
      </c>
      <c r="B98" s="24"/>
      <c r="C98" s="24"/>
      <c r="D98" s="24"/>
      <c r="E98" s="25">
        <v>8</v>
      </c>
      <c r="F98" s="9"/>
      <c r="G98" s="9"/>
      <c r="H98" s="10"/>
      <c r="I98" s="9"/>
      <c r="J98" s="9"/>
    </row>
    <row x14ac:dyDescent="0.25" r="99" customHeight="1" ht="17.25">
      <c r="A99" s="7"/>
      <c r="B99" s="7"/>
      <c r="C99" s="7"/>
      <c r="D99" s="7"/>
      <c r="E99" s="8"/>
      <c r="F99" s="9"/>
      <c r="G99" s="9"/>
      <c r="H99" s="10"/>
      <c r="I99" s="9"/>
      <c r="J99" s="9"/>
    </row>
    <row x14ac:dyDescent="0.25" r="100" customHeight="1" ht="17.25">
      <c r="A100" s="11" t="s">
        <v>4178</v>
      </c>
      <c r="B100" s="11"/>
      <c r="C100" s="11"/>
      <c r="D100" s="11"/>
      <c r="E100" s="12"/>
      <c r="F100" s="11"/>
      <c r="G100" s="11"/>
      <c r="H100" s="13"/>
      <c r="I100" s="11"/>
      <c r="J100" s="11"/>
    </row>
    <row x14ac:dyDescent="0.25" r="101" customHeight="1" ht="17.25">
      <c r="A101" s="14" t="s">
        <v>3</v>
      </c>
      <c r="B101" s="14" t="s">
        <v>4</v>
      </c>
      <c r="C101" s="14" t="s">
        <v>5</v>
      </c>
      <c r="D101" s="14" t="s">
        <v>6</v>
      </c>
      <c r="E101" s="15" t="s">
        <v>7</v>
      </c>
      <c r="F101" s="14" t="s">
        <v>8</v>
      </c>
      <c r="G101" s="14" t="s">
        <v>9</v>
      </c>
      <c r="H101" s="16" t="s">
        <v>10</v>
      </c>
      <c r="I101" s="14" t="s">
        <v>11</v>
      </c>
      <c r="J101" s="14" t="s">
        <v>12</v>
      </c>
    </row>
    <row x14ac:dyDescent="0.25" r="102" customHeight="1" ht="17.25">
      <c r="A102" s="17" t="s">
        <v>4179</v>
      </c>
      <c r="B102" s="17" t="s">
        <v>188</v>
      </c>
      <c r="C102" s="17" t="s">
        <v>56</v>
      </c>
      <c r="D102" s="17" t="s">
        <v>16</v>
      </c>
      <c r="E102" s="18">
        <f>ROUND(14450*1.05,2)</f>
      </c>
      <c r="F102" s="17" t="s">
        <v>17</v>
      </c>
      <c r="G102" s="17" t="s">
        <v>18</v>
      </c>
      <c r="H102" s="18">
        <f>ROUND(RAND()*4+6,1)</f>
      </c>
      <c r="I102" s="17" t="s">
        <v>19</v>
      </c>
      <c r="J102" s="19">
        <f>ROUND(63*1,0)&amp;"%"</f>
      </c>
    </row>
    <row x14ac:dyDescent="0.25" r="103" customHeight="1" ht="17.25">
      <c r="A103" s="20" t="s">
        <v>4180</v>
      </c>
      <c r="B103" s="20" t="s">
        <v>190</v>
      </c>
      <c r="C103" s="20" t="s">
        <v>56</v>
      </c>
      <c r="D103" s="20" t="s">
        <v>22</v>
      </c>
      <c r="E103" s="21">
        <f>ROUND(7863*1.05,2)</f>
      </c>
      <c r="F103" s="20" t="s">
        <v>23</v>
      </c>
      <c r="G103" s="20" t="s">
        <v>24</v>
      </c>
      <c r="H103" s="21">
        <f>ROUND(RAND()*4+6,1)</f>
      </c>
      <c r="I103" s="20" t="s">
        <v>25</v>
      </c>
      <c r="J103" s="23">
        <f>ROUND(68*1,0)&amp;"%"</f>
      </c>
    </row>
    <row x14ac:dyDescent="0.25" r="104" customHeight="1" ht="17.25">
      <c r="A104" s="17" t="s">
        <v>4181</v>
      </c>
      <c r="B104" s="17" t="s">
        <v>192</v>
      </c>
      <c r="C104" s="17" t="s">
        <v>56</v>
      </c>
      <c r="D104" s="17" t="s">
        <v>28</v>
      </c>
      <c r="E104" s="18">
        <f>ROUND(17073*1.05,2)</f>
      </c>
      <c r="F104" s="17" t="s">
        <v>29</v>
      </c>
      <c r="G104" s="17" t="s">
        <v>30</v>
      </c>
      <c r="H104" s="18">
        <f>ROUND(RAND()*4+6,1)</f>
      </c>
      <c r="I104" s="17" t="s">
        <v>31</v>
      </c>
      <c r="J104" s="19">
        <f>ROUND(84*1,0)&amp;"%"</f>
      </c>
    </row>
    <row x14ac:dyDescent="0.25" r="105" customHeight="1" ht="17.25">
      <c r="A105" s="20" t="s">
        <v>4182</v>
      </c>
      <c r="B105" s="20" t="s">
        <v>194</v>
      </c>
      <c r="C105" s="20" t="s">
        <v>56</v>
      </c>
      <c r="D105" s="20" t="s">
        <v>34</v>
      </c>
      <c r="E105" s="21">
        <f>ROUND(4498*1.05,2)</f>
      </c>
      <c r="F105" s="20" t="s">
        <v>35</v>
      </c>
      <c r="G105" s="20" t="s">
        <v>18</v>
      </c>
      <c r="H105" s="21">
        <f>ROUND(RAND()*4+6,1)</f>
      </c>
      <c r="I105" s="20" t="s">
        <v>36</v>
      </c>
      <c r="J105" s="23">
        <f>ROUND(73*1,0)&amp;"%"</f>
      </c>
    </row>
    <row x14ac:dyDescent="0.25" r="106" customHeight="1" ht="17.25">
      <c r="A106" s="17" t="s">
        <v>4183</v>
      </c>
      <c r="B106" s="17" t="s">
        <v>196</v>
      </c>
      <c r="C106" s="17" t="s">
        <v>56</v>
      </c>
      <c r="D106" s="17" t="s">
        <v>39</v>
      </c>
      <c r="E106" s="18">
        <f>ROUND(4432*1.05,2)</f>
      </c>
      <c r="F106" s="17" t="s">
        <v>40</v>
      </c>
      <c r="G106" s="17" t="s">
        <v>24</v>
      </c>
      <c r="H106" s="18">
        <f>ROUND(RAND()*4+6,1)</f>
      </c>
      <c r="I106" s="17" t="s">
        <v>41</v>
      </c>
      <c r="J106" s="19">
        <f>ROUND(92*1,0)&amp;"%"</f>
      </c>
    </row>
    <row x14ac:dyDescent="0.25" r="107" customHeight="1" ht="17.25">
      <c r="A107" s="20" t="s">
        <v>4184</v>
      </c>
      <c r="B107" s="20" t="s">
        <v>198</v>
      </c>
      <c r="C107" s="20" t="s">
        <v>56</v>
      </c>
      <c r="D107" s="20" t="s">
        <v>67</v>
      </c>
      <c r="E107" s="21">
        <f>ROUND(12658*1.05,2)</f>
      </c>
      <c r="F107" s="20" t="s">
        <v>44</v>
      </c>
      <c r="G107" s="20" t="s">
        <v>30</v>
      </c>
      <c r="H107" s="21">
        <f>ROUND(RAND()*4+6,1)</f>
      </c>
      <c r="I107" s="20" t="s">
        <v>45</v>
      </c>
      <c r="J107" s="23">
        <f>ROUND(64*1,0)&amp;"%"</f>
      </c>
    </row>
    <row x14ac:dyDescent="0.25" r="108" customHeight="1" ht="17.25">
      <c r="A108" s="17" t="s">
        <v>4185</v>
      </c>
      <c r="B108" s="17" t="s">
        <v>200</v>
      </c>
      <c r="C108" s="17" t="s">
        <v>56</v>
      </c>
      <c r="D108" s="17" t="s">
        <v>16</v>
      </c>
      <c r="E108" s="18">
        <f>ROUND(5011*1.05,2)</f>
      </c>
      <c r="F108" s="17" t="s">
        <v>48</v>
      </c>
      <c r="G108" s="17" t="s">
        <v>18</v>
      </c>
      <c r="H108" s="26">
        <f>ROUND(RAND()*4+6,1)</f>
      </c>
      <c r="I108" s="17" t="s">
        <v>19</v>
      </c>
      <c r="J108" s="19">
        <f>ROUND(98*1,0)&amp;"%"</f>
      </c>
    </row>
    <row x14ac:dyDescent="0.25" r="109" customHeight="1" ht="17.25">
      <c r="A109" s="20" t="s">
        <v>4186</v>
      </c>
      <c r="B109" s="20" t="s">
        <v>202</v>
      </c>
      <c r="C109" s="20" t="s">
        <v>56</v>
      </c>
      <c r="D109" s="20" t="s">
        <v>22</v>
      </c>
      <c r="E109" s="21">
        <f>ROUND(16163*1.05,2)</f>
      </c>
      <c r="F109" s="20" t="s">
        <v>51</v>
      </c>
      <c r="G109" s="20" t="s">
        <v>24</v>
      </c>
      <c r="H109" s="21">
        <f>ROUND(RAND()*4+6,1)</f>
      </c>
      <c r="I109" s="20" t="s">
        <v>25</v>
      </c>
      <c r="J109" s="23">
        <f>ROUND(93*1,0)&amp;"%"</f>
      </c>
    </row>
    <row x14ac:dyDescent="0.25" r="110" customHeight="1" ht="17.25">
      <c r="A110" s="24" t="s">
        <v>203</v>
      </c>
      <c r="B110" s="24"/>
      <c r="C110" s="24"/>
      <c r="D110" s="24"/>
      <c r="E110" s="25">
        <v>8</v>
      </c>
      <c r="F110" s="9"/>
      <c r="G110" s="9"/>
      <c r="H110" s="10"/>
      <c r="I110" s="9"/>
      <c r="J110" s="9"/>
    </row>
    <row x14ac:dyDescent="0.25" r="111" customHeight="1" ht="17.25">
      <c r="A111" s="7"/>
      <c r="B111" s="7"/>
      <c r="C111" s="7"/>
      <c r="D111" s="7"/>
      <c r="E111" s="8"/>
      <c r="F111" s="9"/>
      <c r="G111" s="9"/>
      <c r="H111" s="10"/>
      <c r="I111" s="9"/>
      <c r="J111" s="9"/>
    </row>
    <row x14ac:dyDescent="0.25" r="112" customHeight="1" ht="17.25">
      <c r="A112" s="11" t="s">
        <v>4187</v>
      </c>
      <c r="B112" s="11"/>
      <c r="C112" s="11"/>
      <c r="D112" s="11"/>
      <c r="E112" s="12"/>
      <c r="F112" s="11"/>
      <c r="G112" s="11"/>
      <c r="H112" s="13"/>
      <c r="I112" s="11"/>
      <c r="J112" s="11"/>
    </row>
    <row x14ac:dyDescent="0.25" r="113" customHeight="1" ht="17.25">
      <c r="A113" s="14" t="s">
        <v>3</v>
      </c>
      <c r="B113" s="14" t="s">
        <v>4</v>
      </c>
      <c r="C113" s="14" t="s">
        <v>5</v>
      </c>
      <c r="D113" s="14" t="s">
        <v>6</v>
      </c>
      <c r="E113" s="15" t="s">
        <v>7</v>
      </c>
      <c r="F113" s="14" t="s">
        <v>8</v>
      </c>
      <c r="G113" s="14" t="s">
        <v>9</v>
      </c>
      <c r="H113" s="16" t="s">
        <v>10</v>
      </c>
      <c r="I113" s="14" t="s">
        <v>11</v>
      </c>
      <c r="J113" s="14" t="s">
        <v>12</v>
      </c>
    </row>
    <row x14ac:dyDescent="0.25" r="114" customHeight="1" ht="17.25">
      <c r="A114" s="17" t="s">
        <v>4188</v>
      </c>
      <c r="B114" s="17" t="s">
        <v>206</v>
      </c>
      <c r="C114" s="17" t="s">
        <v>76</v>
      </c>
      <c r="D114" s="17" t="s">
        <v>16</v>
      </c>
      <c r="E114" s="18">
        <f>ROUND(7643*1.05,2)</f>
      </c>
      <c r="F114" s="17" t="s">
        <v>17</v>
      </c>
      <c r="G114" s="17" t="s">
        <v>18</v>
      </c>
      <c r="H114" s="18">
        <f>ROUND(RAND()*4+6,1)</f>
      </c>
      <c r="I114" s="17" t="s">
        <v>19</v>
      </c>
      <c r="J114" s="19">
        <f>ROUND(70*1,0)&amp;"%"</f>
      </c>
    </row>
    <row x14ac:dyDescent="0.25" r="115" customHeight="1" ht="17.25">
      <c r="A115" s="20" t="s">
        <v>4189</v>
      </c>
      <c r="B115" s="20" t="s">
        <v>208</v>
      </c>
      <c r="C115" s="20" t="s">
        <v>76</v>
      </c>
      <c r="D115" s="20" t="s">
        <v>22</v>
      </c>
      <c r="E115" s="21">
        <f>ROUND(16032*1.05,2)</f>
      </c>
      <c r="F115" s="20" t="s">
        <v>23</v>
      </c>
      <c r="G115" s="20" t="s">
        <v>24</v>
      </c>
      <c r="H115" s="21">
        <f>ROUND(RAND()*4+6,1)</f>
      </c>
      <c r="I115" s="20" t="s">
        <v>25</v>
      </c>
      <c r="J115" s="23">
        <f>ROUND(83*1,0)&amp;"%"</f>
      </c>
    </row>
    <row x14ac:dyDescent="0.25" r="116" customHeight="1" ht="17.25">
      <c r="A116" s="17" t="s">
        <v>4190</v>
      </c>
      <c r="B116" s="17" t="s">
        <v>210</v>
      </c>
      <c r="C116" s="17" t="s">
        <v>76</v>
      </c>
      <c r="D116" s="17" t="s">
        <v>28</v>
      </c>
      <c r="E116" s="18">
        <f>ROUND(11309*1.05,2)</f>
      </c>
      <c r="F116" s="17" t="s">
        <v>29</v>
      </c>
      <c r="G116" s="17" t="s">
        <v>30</v>
      </c>
      <c r="H116" s="18">
        <f>ROUND(RAND()*4+6,1)</f>
      </c>
      <c r="I116" s="17" t="s">
        <v>31</v>
      </c>
      <c r="J116" s="19">
        <f>ROUND(60*1,0)&amp;"%"</f>
      </c>
    </row>
    <row x14ac:dyDescent="0.25" r="117" customHeight="1" ht="17.25">
      <c r="A117" s="20" t="s">
        <v>4191</v>
      </c>
      <c r="B117" s="20" t="s">
        <v>212</v>
      </c>
      <c r="C117" s="20" t="s">
        <v>76</v>
      </c>
      <c r="D117" s="20" t="s">
        <v>34</v>
      </c>
      <c r="E117" s="21">
        <f>ROUND(17524*1.05,2)</f>
      </c>
      <c r="F117" s="20" t="s">
        <v>35</v>
      </c>
      <c r="G117" s="20" t="s">
        <v>18</v>
      </c>
      <c r="H117" s="21">
        <f>ROUND(RAND()*4+6,1)</f>
      </c>
      <c r="I117" s="20" t="s">
        <v>36</v>
      </c>
      <c r="J117" s="23">
        <f>ROUND(99*1,0)&amp;"%"</f>
      </c>
    </row>
    <row x14ac:dyDescent="0.25" r="118" customHeight="1" ht="17.25">
      <c r="A118" s="17" t="s">
        <v>4192</v>
      </c>
      <c r="B118" s="17" t="s">
        <v>214</v>
      </c>
      <c r="C118" s="17" t="s">
        <v>76</v>
      </c>
      <c r="D118" s="17" t="s">
        <v>39</v>
      </c>
      <c r="E118" s="18">
        <f>ROUND(5766*1.05,2)</f>
      </c>
      <c r="F118" s="17" t="s">
        <v>40</v>
      </c>
      <c r="G118" s="17" t="s">
        <v>24</v>
      </c>
      <c r="H118" s="26">
        <f>ROUND(RAND()*4+6,1)</f>
      </c>
      <c r="I118" s="17" t="s">
        <v>41</v>
      </c>
      <c r="J118" s="19">
        <f>ROUND(70*1,0)&amp;"%"</f>
      </c>
    </row>
    <row x14ac:dyDescent="0.25" r="119" customHeight="1" ht="17.25">
      <c r="A119" s="20" t="s">
        <v>4193</v>
      </c>
      <c r="B119" s="20" t="s">
        <v>216</v>
      </c>
      <c r="C119" s="20" t="s">
        <v>76</v>
      </c>
      <c r="D119" s="20" t="s">
        <v>67</v>
      </c>
      <c r="E119" s="21">
        <f>ROUND(9179*1.05,2)</f>
      </c>
      <c r="F119" s="20" t="s">
        <v>44</v>
      </c>
      <c r="G119" s="20" t="s">
        <v>30</v>
      </c>
      <c r="H119" s="21">
        <f>ROUND(RAND()*4+6,1)</f>
      </c>
      <c r="I119" s="20" t="s">
        <v>45</v>
      </c>
      <c r="J119" s="23">
        <f>ROUND(92*1,0)&amp;"%"</f>
      </c>
    </row>
    <row x14ac:dyDescent="0.25" r="120" customHeight="1" ht="17.25">
      <c r="A120" s="17" t="s">
        <v>4194</v>
      </c>
      <c r="B120" s="17" t="s">
        <v>218</v>
      </c>
      <c r="C120" s="17" t="s">
        <v>76</v>
      </c>
      <c r="D120" s="17" t="s">
        <v>16</v>
      </c>
      <c r="E120" s="18">
        <f>ROUND(7631*1.05,2)</f>
      </c>
      <c r="F120" s="17" t="s">
        <v>48</v>
      </c>
      <c r="G120" s="17" t="s">
        <v>18</v>
      </c>
      <c r="H120" s="18">
        <f>ROUND(RAND()*4+6,1)</f>
      </c>
      <c r="I120" s="17" t="s">
        <v>19</v>
      </c>
      <c r="J120" s="19">
        <f>ROUND(63*1,0)&amp;"%"</f>
      </c>
    </row>
    <row x14ac:dyDescent="0.25" r="121" customHeight="1" ht="17.25">
      <c r="A121" s="20" t="s">
        <v>4195</v>
      </c>
      <c r="B121" s="20" t="s">
        <v>220</v>
      </c>
      <c r="C121" s="20" t="s">
        <v>76</v>
      </c>
      <c r="D121" s="20" t="s">
        <v>22</v>
      </c>
      <c r="E121" s="21">
        <f>ROUND(15286*1.05,2)</f>
      </c>
      <c r="F121" s="20" t="s">
        <v>51</v>
      </c>
      <c r="G121" s="20" t="s">
        <v>24</v>
      </c>
      <c r="H121" s="21">
        <f>ROUND(RAND()*4+6,1)</f>
      </c>
      <c r="I121" s="20" t="s">
        <v>25</v>
      </c>
      <c r="J121" s="23">
        <f>ROUND(92*1,0)&amp;"%"</f>
      </c>
    </row>
    <row x14ac:dyDescent="0.25" r="122" customHeight="1" ht="17.25">
      <c r="A122" s="24" t="s">
        <v>221</v>
      </c>
      <c r="B122" s="24"/>
      <c r="C122" s="24"/>
      <c r="D122" s="24"/>
      <c r="E122" s="25">
        <v>8</v>
      </c>
      <c r="F122" s="9"/>
      <c r="G122" s="9"/>
      <c r="H122" s="10"/>
      <c r="I122" s="9"/>
      <c r="J122" s="9"/>
    </row>
    <row x14ac:dyDescent="0.25" r="123" customHeight="1" ht="17.25">
      <c r="A123" s="7"/>
      <c r="B123" s="7"/>
      <c r="C123" s="7"/>
      <c r="D123" s="7"/>
      <c r="E123" s="8"/>
      <c r="F123" s="9"/>
      <c r="G123" s="9"/>
      <c r="H123" s="10"/>
      <c r="I123" s="9"/>
      <c r="J123" s="9"/>
    </row>
    <row x14ac:dyDescent="0.25" r="124" customHeight="1" ht="17.25">
      <c r="A124" s="11" t="s">
        <v>4196</v>
      </c>
      <c r="B124" s="11"/>
      <c r="C124" s="11"/>
      <c r="D124" s="11"/>
      <c r="E124" s="12"/>
      <c r="F124" s="11"/>
      <c r="G124" s="11"/>
      <c r="H124" s="13"/>
      <c r="I124" s="11"/>
      <c r="J124" s="11"/>
    </row>
    <row x14ac:dyDescent="0.25" r="125" customHeight="1" ht="17.25">
      <c r="A125" s="14" t="s">
        <v>3</v>
      </c>
      <c r="B125" s="14" t="s">
        <v>4</v>
      </c>
      <c r="C125" s="14" t="s">
        <v>5</v>
      </c>
      <c r="D125" s="14" t="s">
        <v>6</v>
      </c>
      <c r="E125" s="15" t="s">
        <v>7</v>
      </c>
      <c r="F125" s="14" t="s">
        <v>8</v>
      </c>
      <c r="G125" s="14" t="s">
        <v>9</v>
      </c>
      <c r="H125" s="16" t="s">
        <v>10</v>
      </c>
      <c r="I125" s="14" t="s">
        <v>11</v>
      </c>
      <c r="J125" s="14" t="s">
        <v>12</v>
      </c>
    </row>
    <row x14ac:dyDescent="0.25" r="126" customHeight="1" ht="17.25">
      <c r="A126" s="17" t="s">
        <v>4197</v>
      </c>
      <c r="B126" s="17" t="s">
        <v>224</v>
      </c>
      <c r="C126" s="17" t="s">
        <v>95</v>
      </c>
      <c r="D126" s="17" t="s">
        <v>16</v>
      </c>
      <c r="E126" s="18">
        <f>ROUND(6848*1.05,2)</f>
      </c>
      <c r="F126" s="17" t="s">
        <v>17</v>
      </c>
      <c r="G126" s="17" t="s">
        <v>18</v>
      </c>
      <c r="H126" s="18">
        <f>ROUND(RAND()*4+6,1)</f>
      </c>
      <c r="I126" s="17" t="s">
        <v>19</v>
      </c>
      <c r="J126" s="19">
        <f>ROUND(71*1,0)&amp;"%"</f>
      </c>
    </row>
    <row x14ac:dyDescent="0.25" r="127" customHeight="1" ht="17.25">
      <c r="A127" s="20" t="s">
        <v>4198</v>
      </c>
      <c r="B127" s="20" t="s">
        <v>226</v>
      </c>
      <c r="C127" s="20" t="s">
        <v>95</v>
      </c>
      <c r="D127" s="20" t="s">
        <v>22</v>
      </c>
      <c r="E127" s="21">
        <f>ROUND(15161*1.05,2)</f>
      </c>
      <c r="F127" s="20" t="s">
        <v>23</v>
      </c>
      <c r="G127" s="20" t="s">
        <v>24</v>
      </c>
      <c r="H127" s="21">
        <f>ROUND(RAND()*4+6,1)</f>
      </c>
      <c r="I127" s="20" t="s">
        <v>25</v>
      </c>
      <c r="J127" s="23">
        <f>ROUND(95*1,0)&amp;"%"</f>
      </c>
    </row>
    <row x14ac:dyDescent="0.25" r="128" customHeight="1" ht="17.25">
      <c r="A128" s="17" t="s">
        <v>4199</v>
      </c>
      <c r="B128" s="17" t="s">
        <v>228</v>
      </c>
      <c r="C128" s="17" t="s">
        <v>95</v>
      </c>
      <c r="D128" s="17" t="s">
        <v>28</v>
      </c>
      <c r="E128" s="18">
        <f>ROUND(8458*1.05,2)</f>
      </c>
      <c r="F128" s="17" t="s">
        <v>29</v>
      </c>
      <c r="G128" s="17" t="s">
        <v>30</v>
      </c>
      <c r="H128" s="18">
        <f>ROUND(RAND()*4+6,1)</f>
      </c>
      <c r="I128" s="17" t="s">
        <v>31</v>
      </c>
      <c r="J128" s="19">
        <f>ROUND(93*1,0)&amp;"%"</f>
      </c>
    </row>
    <row x14ac:dyDescent="0.25" r="129" customHeight="1" ht="17.25">
      <c r="A129" s="20" t="s">
        <v>4200</v>
      </c>
      <c r="B129" s="20" t="s">
        <v>230</v>
      </c>
      <c r="C129" s="20" t="s">
        <v>95</v>
      </c>
      <c r="D129" s="20" t="s">
        <v>34</v>
      </c>
      <c r="E129" s="22">
        <f>ROUND(9140*1.05,2)</f>
      </c>
      <c r="F129" s="20" t="s">
        <v>35</v>
      </c>
      <c r="G129" s="20" t="s">
        <v>18</v>
      </c>
      <c r="H129" s="21">
        <f>ROUND(RAND()*4+6,1)</f>
      </c>
      <c r="I129" s="20" t="s">
        <v>36</v>
      </c>
      <c r="J129" s="23">
        <f>ROUND(87*1,0)&amp;"%"</f>
      </c>
    </row>
    <row x14ac:dyDescent="0.25" r="130" customHeight="1" ht="17.25">
      <c r="A130" s="17" t="s">
        <v>4201</v>
      </c>
      <c r="B130" s="17" t="s">
        <v>232</v>
      </c>
      <c r="C130" s="17" t="s">
        <v>95</v>
      </c>
      <c r="D130" s="17" t="s">
        <v>39</v>
      </c>
      <c r="E130" s="18">
        <f>ROUND(12173*1.05,2)</f>
      </c>
      <c r="F130" s="17" t="s">
        <v>40</v>
      </c>
      <c r="G130" s="17" t="s">
        <v>24</v>
      </c>
      <c r="H130" s="18">
        <f>ROUND(RAND()*4+6,1)</f>
      </c>
      <c r="I130" s="17" t="s">
        <v>41</v>
      </c>
      <c r="J130" s="19">
        <f>ROUND(86*1,0)&amp;"%"</f>
      </c>
    </row>
    <row x14ac:dyDescent="0.25" r="131" customHeight="1" ht="17.25">
      <c r="A131" s="20" t="s">
        <v>4202</v>
      </c>
      <c r="B131" s="20" t="s">
        <v>234</v>
      </c>
      <c r="C131" s="20" t="s">
        <v>95</v>
      </c>
      <c r="D131" s="20" t="s">
        <v>67</v>
      </c>
      <c r="E131" s="21">
        <f>ROUND(13248*1.05,2)</f>
      </c>
      <c r="F131" s="20" t="s">
        <v>44</v>
      </c>
      <c r="G131" s="20" t="s">
        <v>30</v>
      </c>
      <c r="H131" s="21">
        <f>ROUND(RAND()*4+6,1)</f>
      </c>
      <c r="I131" s="20" t="s">
        <v>45</v>
      </c>
      <c r="J131" s="23">
        <f>ROUND(63*1,0)&amp;"%"</f>
      </c>
    </row>
    <row x14ac:dyDescent="0.25" r="132" customHeight="1" ht="17.25">
      <c r="A132" s="17" t="s">
        <v>4203</v>
      </c>
      <c r="B132" s="17" t="s">
        <v>236</v>
      </c>
      <c r="C132" s="17" t="s">
        <v>95</v>
      </c>
      <c r="D132" s="17" t="s">
        <v>16</v>
      </c>
      <c r="E132" s="18">
        <f>ROUND(16908*1.05,2)</f>
      </c>
      <c r="F132" s="17" t="s">
        <v>48</v>
      </c>
      <c r="G132" s="17" t="s">
        <v>18</v>
      </c>
      <c r="H132" s="18">
        <f>ROUND(RAND()*4+6,1)</f>
      </c>
      <c r="I132" s="17" t="s">
        <v>19</v>
      </c>
      <c r="J132" s="19">
        <f>ROUND(96*1,0)&amp;"%"</f>
      </c>
    </row>
    <row x14ac:dyDescent="0.25" r="133" customHeight="1" ht="17.25">
      <c r="A133" s="20" t="s">
        <v>4204</v>
      </c>
      <c r="B133" s="20" t="s">
        <v>238</v>
      </c>
      <c r="C133" s="20" t="s">
        <v>95</v>
      </c>
      <c r="D133" s="20" t="s">
        <v>22</v>
      </c>
      <c r="E133" s="21">
        <f>ROUND(10416*1.05,2)</f>
      </c>
      <c r="F133" s="20" t="s">
        <v>51</v>
      </c>
      <c r="G133" s="20" t="s">
        <v>24</v>
      </c>
      <c r="H133" s="21">
        <f>ROUND(RAND()*4+6,1)</f>
      </c>
      <c r="I133" s="20" t="s">
        <v>25</v>
      </c>
      <c r="J133" s="23">
        <f>ROUND(100*1,0)&amp;"%"</f>
      </c>
    </row>
    <row x14ac:dyDescent="0.25" r="134" customHeight="1" ht="17.25">
      <c r="A134" s="24" t="s">
        <v>239</v>
      </c>
      <c r="B134" s="24"/>
      <c r="C134" s="24"/>
      <c r="D134" s="24"/>
      <c r="E134" s="25">
        <v>8</v>
      </c>
      <c r="F134" s="9"/>
      <c r="G134" s="9"/>
      <c r="H134" s="10"/>
      <c r="I134" s="9"/>
      <c r="J134" s="9"/>
    </row>
    <row x14ac:dyDescent="0.25" r="135" customHeight="1" ht="17.25">
      <c r="A135" s="7"/>
      <c r="B135" s="7"/>
      <c r="C135" s="7"/>
      <c r="D135" s="7"/>
      <c r="E135" s="8"/>
      <c r="F135" s="9"/>
      <c r="G135" s="9"/>
      <c r="H135" s="10"/>
      <c r="I135" s="9"/>
      <c r="J135" s="9"/>
    </row>
    <row x14ac:dyDescent="0.25" r="136" customHeight="1" ht="17.25">
      <c r="A136" s="11" t="s">
        <v>4205</v>
      </c>
      <c r="B136" s="11"/>
      <c r="C136" s="11"/>
      <c r="D136" s="11"/>
      <c r="E136" s="12"/>
      <c r="F136" s="11"/>
      <c r="G136" s="11"/>
      <c r="H136" s="13"/>
      <c r="I136" s="11"/>
      <c r="J136" s="11"/>
    </row>
    <row x14ac:dyDescent="0.25" r="137" customHeight="1" ht="17.25">
      <c r="A137" s="14" t="s">
        <v>3</v>
      </c>
      <c r="B137" s="14" t="s">
        <v>4</v>
      </c>
      <c r="C137" s="14" t="s">
        <v>5</v>
      </c>
      <c r="D137" s="14" t="s">
        <v>6</v>
      </c>
      <c r="E137" s="15" t="s">
        <v>7</v>
      </c>
      <c r="F137" s="14" t="s">
        <v>8</v>
      </c>
      <c r="G137" s="14" t="s">
        <v>9</v>
      </c>
      <c r="H137" s="16" t="s">
        <v>10</v>
      </c>
      <c r="I137" s="14" t="s">
        <v>11</v>
      </c>
      <c r="J137" s="14" t="s">
        <v>12</v>
      </c>
    </row>
    <row x14ac:dyDescent="0.25" r="138" customHeight="1" ht="17.25">
      <c r="A138" s="17" t="s">
        <v>4206</v>
      </c>
      <c r="B138" s="17" t="s">
        <v>242</v>
      </c>
      <c r="C138" s="17" t="s">
        <v>114</v>
      </c>
      <c r="D138" s="17" t="s">
        <v>16</v>
      </c>
      <c r="E138" s="18">
        <f>ROUND(14846*1.05,2)</f>
      </c>
      <c r="F138" s="17" t="s">
        <v>17</v>
      </c>
      <c r="G138" s="17" t="s">
        <v>18</v>
      </c>
      <c r="H138" s="18">
        <f>ROUND(RAND()*4+6,1)</f>
      </c>
      <c r="I138" s="17" t="s">
        <v>19</v>
      </c>
      <c r="J138" s="19">
        <f>ROUND(97*1,0)&amp;"%"</f>
      </c>
    </row>
    <row x14ac:dyDescent="0.25" r="139" customHeight="1" ht="17.25">
      <c r="A139" s="20" t="s">
        <v>4207</v>
      </c>
      <c r="B139" s="20" t="s">
        <v>244</v>
      </c>
      <c r="C139" s="20" t="s">
        <v>114</v>
      </c>
      <c r="D139" s="20" t="s">
        <v>22</v>
      </c>
      <c r="E139" s="21">
        <f>ROUND(17484*1.05,2)</f>
      </c>
      <c r="F139" s="20" t="s">
        <v>23</v>
      </c>
      <c r="G139" s="20" t="s">
        <v>24</v>
      </c>
      <c r="H139" s="21">
        <f>ROUND(RAND()*4+6,1)</f>
      </c>
      <c r="I139" s="20" t="s">
        <v>25</v>
      </c>
      <c r="J139" s="23">
        <f>ROUND(97*1,0)&amp;"%"</f>
      </c>
    </row>
    <row x14ac:dyDescent="0.25" r="140" customHeight="1" ht="17.25">
      <c r="A140" s="17" t="s">
        <v>4208</v>
      </c>
      <c r="B140" s="17" t="s">
        <v>246</v>
      </c>
      <c r="C140" s="17" t="s">
        <v>114</v>
      </c>
      <c r="D140" s="17" t="s">
        <v>28</v>
      </c>
      <c r="E140" s="18">
        <f>ROUND(15285*1.05,2)</f>
      </c>
      <c r="F140" s="17" t="s">
        <v>29</v>
      </c>
      <c r="G140" s="17" t="s">
        <v>30</v>
      </c>
      <c r="H140" s="26">
        <f>ROUND(RAND()*4+6,1)</f>
      </c>
      <c r="I140" s="17" t="s">
        <v>31</v>
      </c>
      <c r="J140" s="19">
        <f>ROUND(68*1,0)&amp;"%"</f>
      </c>
    </row>
    <row x14ac:dyDescent="0.25" r="141" customHeight="1" ht="17.25">
      <c r="A141" s="20" t="s">
        <v>4209</v>
      </c>
      <c r="B141" s="20" t="s">
        <v>248</v>
      </c>
      <c r="C141" s="20" t="s">
        <v>114</v>
      </c>
      <c r="D141" s="20" t="s">
        <v>34</v>
      </c>
      <c r="E141" s="21">
        <f>ROUND(9026*1.05,2)</f>
      </c>
      <c r="F141" s="20" t="s">
        <v>35</v>
      </c>
      <c r="G141" s="20" t="s">
        <v>18</v>
      </c>
      <c r="H141" s="21">
        <f>ROUND(RAND()*4+6,1)</f>
      </c>
      <c r="I141" s="20" t="s">
        <v>36</v>
      </c>
      <c r="J141" s="23">
        <f>ROUND(96*1,0)&amp;"%"</f>
      </c>
    </row>
    <row x14ac:dyDescent="0.25" r="142" customHeight="1" ht="17.25">
      <c r="A142" s="17" t="s">
        <v>4210</v>
      </c>
      <c r="B142" s="17" t="s">
        <v>250</v>
      </c>
      <c r="C142" s="17" t="s">
        <v>114</v>
      </c>
      <c r="D142" s="17" t="s">
        <v>39</v>
      </c>
      <c r="E142" s="18">
        <f>ROUND(6141*1.05,2)</f>
      </c>
      <c r="F142" s="17" t="s">
        <v>40</v>
      </c>
      <c r="G142" s="17" t="s">
        <v>24</v>
      </c>
      <c r="H142" s="26">
        <f>ROUND(RAND()*4+6,1)</f>
      </c>
      <c r="I142" s="17" t="s">
        <v>41</v>
      </c>
      <c r="J142" s="19">
        <f>ROUND(80*1,0)&amp;"%"</f>
      </c>
    </row>
    <row x14ac:dyDescent="0.25" r="143" customHeight="1" ht="17.25">
      <c r="A143" s="20" t="s">
        <v>4211</v>
      </c>
      <c r="B143" s="20" t="s">
        <v>252</v>
      </c>
      <c r="C143" s="20" t="s">
        <v>114</v>
      </c>
      <c r="D143" s="20" t="s">
        <v>67</v>
      </c>
      <c r="E143" s="21">
        <f>ROUND(13051*1.05,2)</f>
      </c>
      <c r="F143" s="20" t="s">
        <v>44</v>
      </c>
      <c r="G143" s="20" t="s">
        <v>30</v>
      </c>
      <c r="H143" s="21">
        <f>ROUND(RAND()*4+6,1)</f>
      </c>
      <c r="I143" s="20" t="s">
        <v>45</v>
      </c>
      <c r="J143" s="23">
        <f>ROUND(71*1,0)&amp;"%"</f>
      </c>
    </row>
    <row x14ac:dyDescent="0.25" r="144" customHeight="1" ht="17.25">
      <c r="A144" s="17" t="s">
        <v>4212</v>
      </c>
      <c r="B144" s="17" t="s">
        <v>254</v>
      </c>
      <c r="C144" s="17" t="s">
        <v>114</v>
      </c>
      <c r="D144" s="17" t="s">
        <v>16</v>
      </c>
      <c r="E144" s="18">
        <f>ROUND(8110*1.05,2)</f>
      </c>
      <c r="F144" s="17" t="s">
        <v>48</v>
      </c>
      <c r="G144" s="17" t="s">
        <v>18</v>
      </c>
      <c r="H144" s="26">
        <f>ROUND(RAND()*4+6,1)</f>
      </c>
      <c r="I144" s="17" t="s">
        <v>19</v>
      </c>
      <c r="J144" s="19">
        <f>ROUND(84*1,0)&amp;"%"</f>
      </c>
    </row>
    <row x14ac:dyDescent="0.25" r="145" customHeight="1" ht="17.25">
      <c r="A145" s="20" t="s">
        <v>4213</v>
      </c>
      <c r="B145" s="20" t="s">
        <v>256</v>
      </c>
      <c r="C145" s="20" t="s">
        <v>114</v>
      </c>
      <c r="D145" s="20" t="s">
        <v>22</v>
      </c>
      <c r="E145" s="21">
        <f>ROUND(10488*1.05,2)</f>
      </c>
      <c r="F145" s="20" t="s">
        <v>51</v>
      </c>
      <c r="G145" s="20" t="s">
        <v>24</v>
      </c>
      <c r="H145" s="22">
        <f>ROUND(RAND()*4+6,1)</f>
      </c>
      <c r="I145" s="20" t="s">
        <v>25</v>
      </c>
      <c r="J145" s="23">
        <f>ROUND(68*1,0)&amp;"%"</f>
      </c>
    </row>
    <row x14ac:dyDescent="0.25" r="146" customHeight="1" ht="17.25">
      <c r="A146" s="24" t="s">
        <v>257</v>
      </c>
      <c r="B146" s="24"/>
      <c r="C146" s="24"/>
      <c r="D146" s="24"/>
      <c r="E146" s="25">
        <v>8</v>
      </c>
      <c r="F146" s="9"/>
      <c r="G146" s="9"/>
      <c r="H146" s="10"/>
      <c r="I146" s="9"/>
      <c r="J146" s="9"/>
    </row>
    <row x14ac:dyDescent="0.25" r="147" customHeight="1" ht="17.25">
      <c r="A147" s="7"/>
      <c r="B147" s="7"/>
      <c r="C147" s="7"/>
      <c r="D147" s="7"/>
      <c r="E147" s="8"/>
      <c r="F147" s="9"/>
      <c r="G147" s="9"/>
      <c r="H147" s="10"/>
      <c r="I147" s="9"/>
      <c r="J147" s="9"/>
    </row>
    <row x14ac:dyDescent="0.25" r="148" customHeight="1" ht="17.25">
      <c r="A148" s="11" t="s">
        <v>4214</v>
      </c>
      <c r="B148" s="11"/>
      <c r="C148" s="11"/>
      <c r="D148" s="11"/>
      <c r="E148" s="12"/>
      <c r="F148" s="11"/>
      <c r="G148" s="11"/>
      <c r="H148" s="13"/>
      <c r="I148" s="11"/>
      <c r="J148" s="11"/>
    </row>
    <row x14ac:dyDescent="0.25" r="149" customHeight="1" ht="17.25">
      <c r="A149" s="14" t="s">
        <v>3</v>
      </c>
      <c r="B149" s="14" t="s">
        <v>4</v>
      </c>
      <c r="C149" s="14" t="s">
        <v>5</v>
      </c>
      <c r="D149" s="14" t="s">
        <v>6</v>
      </c>
      <c r="E149" s="15" t="s">
        <v>7</v>
      </c>
      <c r="F149" s="14" t="s">
        <v>8</v>
      </c>
      <c r="G149" s="14" t="s">
        <v>9</v>
      </c>
      <c r="H149" s="16" t="s">
        <v>10</v>
      </c>
      <c r="I149" s="14" t="s">
        <v>11</v>
      </c>
      <c r="J149" s="14" t="s">
        <v>12</v>
      </c>
    </row>
    <row x14ac:dyDescent="0.25" r="150" customHeight="1" ht="17.25">
      <c r="A150" s="17" t="s">
        <v>4215</v>
      </c>
      <c r="B150" s="17" t="s">
        <v>260</v>
      </c>
      <c r="C150" s="17" t="s">
        <v>133</v>
      </c>
      <c r="D150" s="17" t="s">
        <v>16</v>
      </c>
      <c r="E150" s="18">
        <f>ROUND(15379*1.05,2)</f>
      </c>
      <c r="F150" s="17" t="s">
        <v>17</v>
      </c>
      <c r="G150" s="17" t="s">
        <v>18</v>
      </c>
      <c r="H150" s="18">
        <f>ROUND(RAND()*4+6,1)</f>
      </c>
      <c r="I150" s="17" t="s">
        <v>19</v>
      </c>
      <c r="J150" s="19">
        <f>ROUND(67*1,0)&amp;"%"</f>
      </c>
    </row>
    <row x14ac:dyDescent="0.25" r="151" customHeight="1" ht="17.25">
      <c r="A151" s="20" t="s">
        <v>4216</v>
      </c>
      <c r="B151" s="20" t="s">
        <v>262</v>
      </c>
      <c r="C151" s="20" t="s">
        <v>133</v>
      </c>
      <c r="D151" s="20" t="s">
        <v>22</v>
      </c>
      <c r="E151" s="21">
        <f>ROUND(4770*1.05,2)</f>
      </c>
      <c r="F151" s="20" t="s">
        <v>23</v>
      </c>
      <c r="G151" s="20" t="s">
        <v>24</v>
      </c>
      <c r="H151" s="22">
        <f>ROUND(RAND()*4+6,1)</f>
      </c>
      <c r="I151" s="20" t="s">
        <v>25</v>
      </c>
      <c r="J151" s="23">
        <f>ROUND(68*1,0)&amp;"%"</f>
      </c>
    </row>
    <row x14ac:dyDescent="0.25" r="152" customHeight="1" ht="17.25">
      <c r="A152" s="17" t="s">
        <v>4217</v>
      </c>
      <c r="B152" s="17" t="s">
        <v>264</v>
      </c>
      <c r="C152" s="17" t="s">
        <v>133</v>
      </c>
      <c r="D152" s="17" t="s">
        <v>28</v>
      </c>
      <c r="E152" s="18">
        <f>ROUND(13649*1.05,2)</f>
      </c>
      <c r="F152" s="17" t="s">
        <v>29</v>
      </c>
      <c r="G152" s="17" t="s">
        <v>30</v>
      </c>
      <c r="H152" s="18">
        <f>ROUND(RAND()*4+6,1)</f>
      </c>
      <c r="I152" s="17" t="s">
        <v>31</v>
      </c>
      <c r="J152" s="19">
        <f>ROUND(70*1,0)&amp;"%"</f>
      </c>
    </row>
    <row x14ac:dyDescent="0.25" r="153" customHeight="1" ht="17.25">
      <c r="A153" s="20" t="s">
        <v>4218</v>
      </c>
      <c r="B153" s="20" t="s">
        <v>266</v>
      </c>
      <c r="C153" s="20" t="s">
        <v>133</v>
      </c>
      <c r="D153" s="20" t="s">
        <v>34</v>
      </c>
      <c r="E153" s="21">
        <f>ROUND(5399*1.05,2)</f>
      </c>
      <c r="F153" s="20" t="s">
        <v>35</v>
      </c>
      <c r="G153" s="20" t="s">
        <v>18</v>
      </c>
      <c r="H153" s="21">
        <f>ROUND(RAND()*4+6,1)</f>
      </c>
      <c r="I153" s="20" t="s">
        <v>36</v>
      </c>
      <c r="J153" s="23">
        <f>ROUND(60*1,0)&amp;"%"</f>
      </c>
    </row>
    <row x14ac:dyDescent="0.25" r="154" customHeight="1" ht="17.25">
      <c r="A154" s="17" t="s">
        <v>4219</v>
      </c>
      <c r="B154" s="17" t="s">
        <v>268</v>
      </c>
      <c r="C154" s="17" t="s">
        <v>133</v>
      </c>
      <c r="D154" s="17" t="s">
        <v>39</v>
      </c>
      <c r="E154" s="18">
        <f>ROUND(10026*1.05,2)</f>
      </c>
      <c r="F154" s="17" t="s">
        <v>40</v>
      </c>
      <c r="G154" s="17" t="s">
        <v>24</v>
      </c>
      <c r="H154" s="18">
        <f>ROUND(RAND()*4+6,1)</f>
      </c>
      <c r="I154" s="17" t="s">
        <v>41</v>
      </c>
      <c r="J154" s="19">
        <f>ROUND(93*1,0)&amp;"%"</f>
      </c>
    </row>
    <row x14ac:dyDescent="0.25" r="155" customHeight="1" ht="17.25">
      <c r="A155" s="20" t="s">
        <v>4220</v>
      </c>
      <c r="B155" s="20" t="s">
        <v>270</v>
      </c>
      <c r="C155" s="20" t="s">
        <v>133</v>
      </c>
      <c r="D155" s="20" t="s">
        <v>67</v>
      </c>
      <c r="E155" s="21">
        <f>ROUND(7035*1.05,2)</f>
      </c>
      <c r="F155" s="20" t="s">
        <v>44</v>
      </c>
      <c r="G155" s="20" t="s">
        <v>30</v>
      </c>
      <c r="H155" s="21">
        <f>ROUND(RAND()*4+6,1)</f>
      </c>
      <c r="I155" s="20" t="s">
        <v>45</v>
      </c>
      <c r="J155" s="23">
        <f>ROUND(80*1,0)&amp;"%"</f>
      </c>
    </row>
    <row x14ac:dyDescent="0.25" r="156" customHeight="1" ht="17.25">
      <c r="A156" s="17" t="s">
        <v>4221</v>
      </c>
      <c r="B156" s="17" t="s">
        <v>272</v>
      </c>
      <c r="C156" s="17" t="s">
        <v>133</v>
      </c>
      <c r="D156" s="17" t="s">
        <v>16</v>
      </c>
      <c r="E156" s="18">
        <f>ROUND(7368*1.05,2)</f>
      </c>
      <c r="F156" s="17" t="s">
        <v>48</v>
      </c>
      <c r="G156" s="17" t="s">
        <v>18</v>
      </c>
      <c r="H156" s="18">
        <f>ROUND(RAND()*4+6,1)</f>
      </c>
      <c r="I156" s="17" t="s">
        <v>19</v>
      </c>
      <c r="J156" s="19">
        <f>ROUND(97*1,0)&amp;"%"</f>
      </c>
    </row>
    <row x14ac:dyDescent="0.25" r="157" customHeight="1" ht="17.25">
      <c r="A157" s="20" t="s">
        <v>4222</v>
      </c>
      <c r="B157" s="20" t="s">
        <v>274</v>
      </c>
      <c r="C157" s="20" t="s">
        <v>133</v>
      </c>
      <c r="D157" s="20" t="s">
        <v>22</v>
      </c>
      <c r="E157" s="21">
        <f>ROUND(6057*1.05,2)</f>
      </c>
      <c r="F157" s="20" t="s">
        <v>51</v>
      </c>
      <c r="G157" s="20" t="s">
        <v>24</v>
      </c>
      <c r="H157" s="21">
        <f>ROUND(RAND()*4+6,1)</f>
      </c>
      <c r="I157" s="20" t="s">
        <v>25</v>
      </c>
      <c r="J157" s="23">
        <f>ROUND(91*1,0)&amp;"%"</f>
      </c>
    </row>
    <row x14ac:dyDescent="0.25" r="158" customHeight="1" ht="17.25">
      <c r="A158" s="24" t="s">
        <v>275</v>
      </c>
      <c r="B158" s="24"/>
      <c r="C158" s="24"/>
      <c r="D158" s="24"/>
      <c r="E158" s="25">
        <v>8</v>
      </c>
      <c r="F158" s="9"/>
      <c r="G158" s="9"/>
      <c r="H158" s="10"/>
      <c r="I158" s="9"/>
      <c r="J158" s="9"/>
    </row>
    <row x14ac:dyDescent="0.25" r="159" customHeight="1" ht="17.25">
      <c r="A159" s="7"/>
      <c r="B159" s="7"/>
      <c r="C159" s="7"/>
      <c r="D159" s="7"/>
      <c r="E159" s="8"/>
      <c r="F159" s="9"/>
      <c r="G159" s="9"/>
      <c r="H159" s="10"/>
      <c r="I159" s="9"/>
      <c r="J159" s="9"/>
    </row>
    <row x14ac:dyDescent="0.25" r="160" customHeight="1" ht="17.25">
      <c r="A160" s="11" t="s">
        <v>4223</v>
      </c>
      <c r="B160" s="11"/>
      <c r="C160" s="11"/>
      <c r="D160" s="11"/>
      <c r="E160" s="12"/>
      <c r="F160" s="11"/>
      <c r="G160" s="11"/>
      <c r="H160" s="13"/>
      <c r="I160" s="11"/>
      <c r="J160" s="11"/>
    </row>
    <row x14ac:dyDescent="0.25" r="161" customHeight="1" ht="17.25">
      <c r="A161" s="14" t="s">
        <v>3</v>
      </c>
      <c r="B161" s="14" t="s">
        <v>4</v>
      </c>
      <c r="C161" s="14" t="s">
        <v>5</v>
      </c>
      <c r="D161" s="14" t="s">
        <v>6</v>
      </c>
      <c r="E161" s="15" t="s">
        <v>7</v>
      </c>
      <c r="F161" s="14" t="s">
        <v>8</v>
      </c>
      <c r="G161" s="14" t="s">
        <v>9</v>
      </c>
      <c r="H161" s="16" t="s">
        <v>10</v>
      </c>
      <c r="I161" s="14" t="s">
        <v>11</v>
      </c>
      <c r="J161" s="14" t="s">
        <v>12</v>
      </c>
    </row>
    <row x14ac:dyDescent="0.25" r="162" customHeight="1" ht="17.25">
      <c r="A162" s="17" t="s">
        <v>4224</v>
      </c>
      <c r="B162" s="17" t="s">
        <v>278</v>
      </c>
      <c r="C162" s="17" t="s">
        <v>152</v>
      </c>
      <c r="D162" s="17" t="s">
        <v>16</v>
      </c>
      <c r="E162" s="18">
        <f>ROUND(5432*1.05,2)</f>
      </c>
      <c r="F162" s="17" t="s">
        <v>17</v>
      </c>
      <c r="G162" s="17" t="s">
        <v>18</v>
      </c>
      <c r="H162" s="18">
        <f>ROUND(RAND()*4+6,1)</f>
      </c>
      <c r="I162" s="17" t="s">
        <v>19</v>
      </c>
      <c r="J162" s="19">
        <f>ROUND(94*1,0)&amp;"%"</f>
      </c>
    </row>
    <row x14ac:dyDescent="0.25" r="163" customHeight="1" ht="17.25">
      <c r="A163" s="20" t="s">
        <v>4225</v>
      </c>
      <c r="B163" s="20" t="s">
        <v>280</v>
      </c>
      <c r="C163" s="20" t="s">
        <v>152</v>
      </c>
      <c r="D163" s="20" t="s">
        <v>22</v>
      </c>
      <c r="E163" s="21">
        <f>ROUND(16679*1.05,2)</f>
      </c>
      <c r="F163" s="20" t="s">
        <v>23</v>
      </c>
      <c r="G163" s="20" t="s">
        <v>24</v>
      </c>
      <c r="H163" s="21">
        <f>ROUND(RAND()*4+6,1)</f>
      </c>
      <c r="I163" s="20" t="s">
        <v>25</v>
      </c>
      <c r="J163" s="23">
        <f>ROUND(62*1,0)&amp;"%"</f>
      </c>
    </row>
    <row x14ac:dyDescent="0.25" r="164" customHeight="1" ht="17.25">
      <c r="A164" s="17" t="s">
        <v>4226</v>
      </c>
      <c r="B164" s="17" t="s">
        <v>282</v>
      </c>
      <c r="C164" s="17" t="s">
        <v>152</v>
      </c>
      <c r="D164" s="17" t="s">
        <v>28</v>
      </c>
      <c r="E164" s="18">
        <f>ROUND(10906*1.05,2)</f>
      </c>
      <c r="F164" s="17" t="s">
        <v>29</v>
      </c>
      <c r="G164" s="17" t="s">
        <v>30</v>
      </c>
      <c r="H164" s="18">
        <f>ROUND(RAND()*4+6,1)</f>
      </c>
      <c r="I164" s="17" t="s">
        <v>31</v>
      </c>
      <c r="J164" s="19">
        <f>ROUND(84*1,0)&amp;"%"</f>
      </c>
    </row>
    <row x14ac:dyDescent="0.25" r="165" customHeight="1" ht="17.25">
      <c r="A165" s="20" t="s">
        <v>4227</v>
      </c>
      <c r="B165" s="20" t="s">
        <v>284</v>
      </c>
      <c r="C165" s="20" t="s">
        <v>152</v>
      </c>
      <c r="D165" s="20" t="s">
        <v>34</v>
      </c>
      <c r="E165" s="21">
        <f>ROUND(17836*1.05,2)</f>
      </c>
      <c r="F165" s="20" t="s">
        <v>35</v>
      </c>
      <c r="G165" s="20" t="s">
        <v>18</v>
      </c>
      <c r="H165" s="22">
        <f>ROUND(RAND()*4+6,1)</f>
      </c>
      <c r="I165" s="20" t="s">
        <v>36</v>
      </c>
      <c r="J165" s="23">
        <f>ROUND(95*1,0)&amp;"%"</f>
      </c>
    </row>
    <row x14ac:dyDescent="0.25" r="166" customHeight="1" ht="17.25">
      <c r="A166" s="17" t="s">
        <v>4228</v>
      </c>
      <c r="B166" s="17" t="s">
        <v>286</v>
      </c>
      <c r="C166" s="17" t="s">
        <v>152</v>
      </c>
      <c r="D166" s="17" t="s">
        <v>39</v>
      </c>
      <c r="E166" s="18">
        <f>ROUND(8369*1.05,2)</f>
      </c>
      <c r="F166" s="17" t="s">
        <v>40</v>
      </c>
      <c r="G166" s="17" t="s">
        <v>24</v>
      </c>
      <c r="H166" s="18">
        <f>ROUND(RAND()*4+6,1)</f>
      </c>
      <c r="I166" s="17" t="s">
        <v>41</v>
      </c>
      <c r="J166" s="19">
        <f>ROUND(78*1,0)&amp;"%"</f>
      </c>
    </row>
    <row x14ac:dyDescent="0.25" r="167" customHeight="1" ht="17.25">
      <c r="A167" s="20" t="s">
        <v>4229</v>
      </c>
      <c r="B167" s="20" t="s">
        <v>288</v>
      </c>
      <c r="C167" s="20" t="s">
        <v>152</v>
      </c>
      <c r="D167" s="20" t="s">
        <v>67</v>
      </c>
      <c r="E167" s="21">
        <f>ROUND(10359*1.05,2)</f>
      </c>
      <c r="F167" s="20" t="s">
        <v>44</v>
      </c>
      <c r="G167" s="20" t="s">
        <v>30</v>
      </c>
      <c r="H167" s="21">
        <f>ROUND(RAND()*4+6,1)</f>
      </c>
      <c r="I167" s="20" t="s">
        <v>45</v>
      </c>
      <c r="J167" s="23">
        <f>ROUND(86*1,0)&amp;"%"</f>
      </c>
    </row>
    <row x14ac:dyDescent="0.25" r="168" customHeight="1" ht="17.25">
      <c r="A168" s="17" t="s">
        <v>4230</v>
      </c>
      <c r="B168" s="17" t="s">
        <v>290</v>
      </c>
      <c r="C168" s="17" t="s">
        <v>152</v>
      </c>
      <c r="D168" s="17" t="s">
        <v>16</v>
      </c>
      <c r="E168" s="18">
        <f>ROUND(5893*1.05,2)</f>
      </c>
      <c r="F168" s="17" t="s">
        <v>48</v>
      </c>
      <c r="G168" s="17" t="s">
        <v>18</v>
      </c>
      <c r="H168" s="18">
        <f>ROUND(RAND()*4+6,1)</f>
      </c>
      <c r="I168" s="17" t="s">
        <v>19</v>
      </c>
      <c r="J168" s="19">
        <f>ROUND(96*1,0)&amp;"%"</f>
      </c>
    </row>
    <row x14ac:dyDescent="0.25" r="169" customHeight="1" ht="17.25">
      <c r="A169" s="20" t="s">
        <v>4231</v>
      </c>
      <c r="B169" s="20" t="s">
        <v>292</v>
      </c>
      <c r="C169" s="20" t="s">
        <v>152</v>
      </c>
      <c r="D169" s="20" t="s">
        <v>22</v>
      </c>
      <c r="E169" s="21">
        <f>ROUND(10693*1.05,2)</f>
      </c>
      <c r="F169" s="20" t="s">
        <v>51</v>
      </c>
      <c r="G169" s="20" t="s">
        <v>24</v>
      </c>
      <c r="H169" s="21">
        <f>ROUND(RAND()*4+6,1)</f>
      </c>
      <c r="I169" s="20" t="s">
        <v>25</v>
      </c>
      <c r="J169" s="23">
        <f>ROUND(89*1,0)&amp;"%"</f>
      </c>
    </row>
    <row x14ac:dyDescent="0.25" r="170" customHeight="1" ht="17.25">
      <c r="A170" s="24" t="s">
        <v>293</v>
      </c>
      <c r="B170" s="24"/>
      <c r="C170" s="24"/>
      <c r="D170" s="24"/>
      <c r="E170" s="25">
        <v>8</v>
      </c>
      <c r="F170" s="9"/>
      <c r="G170" s="9"/>
      <c r="H170" s="10"/>
      <c r="I170" s="9"/>
      <c r="J170" s="9"/>
    </row>
    <row x14ac:dyDescent="0.25" r="171" customHeight="1" ht="17.25">
      <c r="A171" s="7"/>
      <c r="B171" s="7"/>
      <c r="C171" s="7"/>
      <c r="D171" s="7"/>
      <c r="E171" s="8"/>
      <c r="F171" s="9"/>
      <c r="G171" s="9"/>
      <c r="H171" s="10"/>
      <c r="I171" s="9"/>
      <c r="J171" s="9"/>
    </row>
    <row x14ac:dyDescent="0.25" r="172" customHeight="1" ht="17.25">
      <c r="A172" s="11" t="s">
        <v>4232</v>
      </c>
      <c r="B172" s="11"/>
      <c r="C172" s="11"/>
      <c r="D172" s="11"/>
      <c r="E172" s="12"/>
      <c r="F172" s="11"/>
      <c r="G172" s="11"/>
      <c r="H172" s="13"/>
      <c r="I172" s="11"/>
      <c r="J172" s="11"/>
    </row>
    <row x14ac:dyDescent="0.25" r="173" customHeight="1" ht="17.25">
      <c r="A173" s="14" t="s">
        <v>3</v>
      </c>
      <c r="B173" s="14" t="s">
        <v>4</v>
      </c>
      <c r="C173" s="14" t="s">
        <v>5</v>
      </c>
      <c r="D173" s="14" t="s">
        <v>6</v>
      </c>
      <c r="E173" s="15" t="s">
        <v>7</v>
      </c>
      <c r="F173" s="14" t="s">
        <v>8</v>
      </c>
      <c r="G173" s="14" t="s">
        <v>9</v>
      </c>
      <c r="H173" s="16" t="s">
        <v>10</v>
      </c>
      <c r="I173" s="14" t="s">
        <v>11</v>
      </c>
      <c r="J173" s="14" t="s">
        <v>12</v>
      </c>
    </row>
    <row x14ac:dyDescent="0.25" r="174" customHeight="1" ht="17.25">
      <c r="A174" s="17" t="s">
        <v>4233</v>
      </c>
      <c r="B174" s="17" t="s">
        <v>296</v>
      </c>
      <c r="C174" s="17" t="s">
        <v>15</v>
      </c>
      <c r="D174" s="17" t="s">
        <v>16</v>
      </c>
      <c r="E174" s="26">
        <f>ROUND(14900*1.05,2)</f>
      </c>
      <c r="F174" s="17" t="s">
        <v>17</v>
      </c>
      <c r="G174" s="17" t="s">
        <v>18</v>
      </c>
      <c r="H174" s="18">
        <f>ROUND(RAND()*4+6,1)</f>
      </c>
      <c r="I174" s="17" t="s">
        <v>19</v>
      </c>
      <c r="J174" s="19">
        <f>ROUND(95*1,0)&amp;"%"</f>
      </c>
    </row>
    <row x14ac:dyDescent="0.25" r="175" customHeight="1" ht="17.25">
      <c r="A175" s="20" t="s">
        <v>4234</v>
      </c>
      <c r="B175" s="20" t="s">
        <v>298</v>
      </c>
      <c r="C175" s="20" t="s">
        <v>15</v>
      </c>
      <c r="D175" s="20" t="s">
        <v>22</v>
      </c>
      <c r="E175" s="21">
        <f>ROUND(10245*1.05,2)</f>
      </c>
      <c r="F175" s="20" t="s">
        <v>23</v>
      </c>
      <c r="G175" s="20" t="s">
        <v>24</v>
      </c>
      <c r="H175" s="21">
        <f>ROUND(RAND()*4+6,1)</f>
      </c>
      <c r="I175" s="20" t="s">
        <v>25</v>
      </c>
      <c r="J175" s="23">
        <f>ROUND(78*1,0)&amp;"%"</f>
      </c>
    </row>
    <row x14ac:dyDescent="0.25" r="176" customHeight="1" ht="17.25">
      <c r="A176" s="17" t="s">
        <v>4235</v>
      </c>
      <c r="B176" s="17" t="s">
        <v>300</v>
      </c>
      <c r="C176" s="17" t="s">
        <v>15</v>
      </c>
      <c r="D176" s="17" t="s">
        <v>28</v>
      </c>
      <c r="E176" s="18">
        <f>ROUND(15567*1.05,2)</f>
      </c>
      <c r="F176" s="17" t="s">
        <v>29</v>
      </c>
      <c r="G176" s="17" t="s">
        <v>30</v>
      </c>
      <c r="H176" s="26">
        <f>ROUND(RAND()*4+6,1)</f>
      </c>
      <c r="I176" s="17" t="s">
        <v>31</v>
      </c>
      <c r="J176" s="19">
        <f>ROUND(61*1,0)&amp;"%"</f>
      </c>
    </row>
    <row x14ac:dyDescent="0.25" r="177" customHeight="1" ht="17.25">
      <c r="A177" s="20" t="s">
        <v>4236</v>
      </c>
      <c r="B177" s="20" t="s">
        <v>302</v>
      </c>
      <c r="C177" s="20" t="s">
        <v>15</v>
      </c>
      <c r="D177" s="20" t="s">
        <v>34</v>
      </c>
      <c r="E177" s="21">
        <f>ROUND(5765*1.05,2)</f>
      </c>
      <c r="F177" s="20" t="s">
        <v>35</v>
      </c>
      <c r="G177" s="20" t="s">
        <v>18</v>
      </c>
      <c r="H177" s="21">
        <f>ROUND(RAND()*4+6,1)</f>
      </c>
      <c r="I177" s="20" t="s">
        <v>36</v>
      </c>
      <c r="J177" s="23">
        <f>ROUND(77*1,0)&amp;"%"</f>
      </c>
    </row>
    <row x14ac:dyDescent="0.25" r="178" customHeight="1" ht="17.25">
      <c r="A178" s="17" t="s">
        <v>4237</v>
      </c>
      <c r="B178" s="17" t="s">
        <v>304</v>
      </c>
      <c r="C178" s="17" t="s">
        <v>15</v>
      </c>
      <c r="D178" s="17" t="s">
        <v>39</v>
      </c>
      <c r="E178" s="18">
        <f>ROUND(16367*1.05,2)</f>
      </c>
      <c r="F178" s="17" t="s">
        <v>40</v>
      </c>
      <c r="G178" s="17" t="s">
        <v>24</v>
      </c>
      <c r="H178" s="26">
        <f>ROUND(RAND()*4+6,1)</f>
      </c>
      <c r="I178" s="17" t="s">
        <v>41</v>
      </c>
      <c r="J178" s="19">
        <f>ROUND(95*1,0)&amp;"%"</f>
      </c>
    </row>
    <row x14ac:dyDescent="0.25" r="179" customHeight="1" ht="17.25">
      <c r="A179" s="20" t="s">
        <v>4238</v>
      </c>
      <c r="B179" s="20" t="s">
        <v>306</v>
      </c>
      <c r="C179" s="20" t="s">
        <v>15</v>
      </c>
      <c r="D179" s="20" t="s">
        <v>67</v>
      </c>
      <c r="E179" s="21">
        <f>ROUND(8149*1.05,2)</f>
      </c>
      <c r="F179" s="20" t="s">
        <v>44</v>
      </c>
      <c r="G179" s="20" t="s">
        <v>30</v>
      </c>
      <c r="H179" s="21">
        <f>ROUND(RAND()*4+6,1)</f>
      </c>
      <c r="I179" s="20" t="s">
        <v>45</v>
      </c>
      <c r="J179" s="23">
        <f>ROUND(79*1,0)&amp;"%"</f>
      </c>
    </row>
    <row x14ac:dyDescent="0.25" r="180" customHeight="1" ht="17.25">
      <c r="A180" s="17" t="s">
        <v>4239</v>
      </c>
      <c r="B180" s="17" t="s">
        <v>308</v>
      </c>
      <c r="C180" s="17" t="s">
        <v>15</v>
      </c>
      <c r="D180" s="17" t="s">
        <v>16</v>
      </c>
      <c r="E180" s="18">
        <f>ROUND(11023*1.05,2)</f>
      </c>
      <c r="F180" s="17" t="s">
        <v>48</v>
      </c>
      <c r="G180" s="17" t="s">
        <v>18</v>
      </c>
      <c r="H180" s="18">
        <f>ROUND(RAND()*4+6,1)</f>
      </c>
      <c r="I180" s="17" t="s">
        <v>19</v>
      </c>
      <c r="J180" s="19">
        <f>ROUND(61*1,0)&amp;"%"</f>
      </c>
    </row>
    <row x14ac:dyDescent="0.25" r="181" customHeight="1" ht="17.25">
      <c r="A181" s="20" t="s">
        <v>4240</v>
      </c>
      <c r="B181" s="20" t="s">
        <v>310</v>
      </c>
      <c r="C181" s="20" t="s">
        <v>15</v>
      </c>
      <c r="D181" s="20" t="s">
        <v>22</v>
      </c>
      <c r="E181" s="21">
        <f>ROUND(4292*1.05,2)</f>
      </c>
      <c r="F181" s="20" t="s">
        <v>51</v>
      </c>
      <c r="G181" s="20" t="s">
        <v>24</v>
      </c>
      <c r="H181" s="21">
        <f>ROUND(RAND()*4+6,1)</f>
      </c>
      <c r="I181" s="20" t="s">
        <v>25</v>
      </c>
      <c r="J181" s="23">
        <f>ROUND(72*1,0)&amp;"%"</f>
      </c>
    </row>
    <row x14ac:dyDescent="0.25" r="182" customHeight="1" ht="17.25">
      <c r="A182" s="24" t="s">
        <v>311</v>
      </c>
      <c r="B182" s="24"/>
      <c r="C182" s="24"/>
      <c r="D182" s="24"/>
      <c r="E182" s="25">
        <v>8</v>
      </c>
      <c r="F182" s="9"/>
      <c r="G182" s="9"/>
      <c r="H182" s="10"/>
      <c r="I182" s="9"/>
      <c r="J182" s="9"/>
    </row>
    <row x14ac:dyDescent="0.25" r="183" customHeight="1" ht="17.25">
      <c r="A183" s="7"/>
      <c r="B183" s="7"/>
      <c r="C183" s="7"/>
      <c r="D183" s="7"/>
      <c r="E183" s="8"/>
      <c r="F183" s="9"/>
      <c r="G183" s="9"/>
      <c r="H183" s="10"/>
      <c r="I183" s="9"/>
      <c r="J183" s="9"/>
    </row>
    <row x14ac:dyDescent="0.25" r="184" customHeight="1" ht="17.25">
      <c r="A184" s="11" t="s">
        <v>4241</v>
      </c>
      <c r="B184" s="11"/>
      <c r="C184" s="11"/>
      <c r="D184" s="11"/>
      <c r="E184" s="12"/>
      <c r="F184" s="11"/>
      <c r="G184" s="11"/>
      <c r="H184" s="13"/>
      <c r="I184" s="11"/>
      <c r="J184" s="11"/>
    </row>
    <row x14ac:dyDescent="0.25" r="185" customHeight="1" ht="17.25">
      <c r="A185" s="14" t="s">
        <v>3</v>
      </c>
      <c r="B185" s="14" t="s">
        <v>4</v>
      </c>
      <c r="C185" s="14" t="s">
        <v>5</v>
      </c>
      <c r="D185" s="14" t="s">
        <v>6</v>
      </c>
      <c r="E185" s="15" t="s">
        <v>7</v>
      </c>
      <c r="F185" s="14" t="s">
        <v>8</v>
      </c>
      <c r="G185" s="14" t="s">
        <v>9</v>
      </c>
      <c r="H185" s="16" t="s">
        <v>10</v>
      </c>
      <c r="I185" s="14" t="s">
        <v>11</v>
      </c>
      <c r="J185" s="14" t="s">
        <v>12</v>
      </c>
    </row>
    <row x14ac:dyDescent="0.25" r="186" customHeight="1" ht="17.25">
      <c r="A186" s="17" t="s">
        <v>4242</v>
      </c>
      <c r="B186" s="17" t="s">
        <v>314</v>
      </c>
      <c r="C186" s="17" t="s">
        <v>56</v>
      </c>
      <c r="D186" s="17" t="s">
        <v>16</v>
      </c>
      <c r="E186" s="18">
        <f>ROUND(4949*1.05,2)</f>
      </c>
      <c r="F186" s="17" t="s">
        <v>17</v>
      </c>
      <c r="G186" s="17" t="s">
        <v>18</v>
      </c>
      <c r="H186" s="18">
        <f>ROUND(RAND()*4+6,1)</f>
      </c>
      <c r="I186" s="17" t="s">
        <v>19</v>
      </c>
      <c r="J186" s="19">
        <f>ROUND(61*1,0)&amp;"%"</f>
      </c>
    </row>
    <row x14ac:dyDescent="0.25" r="187" customHeight="1" ht="17.25">
      <c r="A187" s="20" t="s">
        <v>4243</v>
      </c>
      <c r="B187" s="20" t="s">
        <v>316</v>
      </c>
      <c r="C187" s="20" t="s">
        <v>56</v>
      </c>
      <c r="D187" s="20" t="s">
        <v>22</v>
      </c>
      <c r="E187" s="21">
        <f>ROUND(13631*1.05,2)</f>
      </c>
      <c r="F187" s="20" t="s">
        <v>23</v>
      </c>
      <c r="G187" s="20" t="s">
        <v>24</v>
      </c>
      <c r="H187" s="22">
        <f>ROUND(RAND()*4+6,1)</f>
      </c>
      <c r="I187" s="20" t="s">
        <v>25</v>
      </c>
      <c r="J187" s="23">
        <f>ROUND(89*1,0)&amp;"%"</f>
      </c>
    </row>
    <row x14ac:dyDescent="0.25" r="188" customHeight="1" ht="17.25">
      <c r="A188" s="17" t="s">
        <v>4244</v>
      </c>
      <c r="B188" s="17" t="s">
        <v>318</v>
      </c>
      <c r="C188" s="17" t="s">
        <v>56</v>
      </c>
      <c r="D188" s="17" t="s">
        <v>28</v>
      </c>
      <c r="E188" s="18">
        <f>ROUND(5919*1.05,2)</f>
      </c>
      <c r="F188" s="17" t="s">
        <v>29</v>
      </c>
      <c r="G188" s="17" t="s">
        <v>30</v>
      </c>
      <c r="H188" s="18">
        <f>ROUND(RAND()*4+6,1)</f>
      </c>
      <c r="I188" s="17" t="s">
        <v>31</v>
      </c>
      <c r="J188" s="19">
        <f>ROUND(87*1,0)&amp;"%"</f>
      </c>
    </row>
    <row x14ac:dyDescent="0.25" r="189" customHeight="1" ht="17.25">
      <c r="A189" s="20" t="s">
        <v>4245</v>
      </c>
      <c r="B189" s="20" t="s">
        <v>320</v>
      </c>
      <c r="C189" s="20" t="s">
        <v>56</v>
      </c>
      <c r="D189" s="20" t="s">
        <v>34</v>
      </c>
      <c r="E189" s="21">
        <f>ROUND(13369*1.05,2)</f>
      </c>
      <c r="F189" s="20" t="s">
        <v>35</v>
      </c>
      <c r="G189" s="20" t="s">
        <v>18</v>
      </c>
      <c r="H189" s="21">
        <f>ROUND(RAND()*4+6,1)</f>
      </c>
      <c r="I189" s="20" t="s">
        <v>36</v>
      </c>
      <c r="J189" s="23">
        <f>ROUND(92*1,0)&amp;"%"</f>
      </c>
    </row>
    <row x14ac:dyDescent="0.25" r="190" customHeight="1" ht="17.25">
      <c r="A190" s="17" t="s">
        <v>4246</v>
      </c>
      <c r="B190" s="17" t="s">
        <v>322</v>
      </c>
      <c r="C190" s="17" t="s">
        <v>56</v>
      </c>
      <c r="D190" s="17" t="s">
        <v>39</v>
      </c>
      <c r="E190" s="18">
        <f>ROUND(8973*1.05,2)</f>
      </c>
      <c r="F190" s="17" t="s">
        <v>40</v>
      </c>
      <c r="G190" s="17" t="s">
        <v>24</v>
      </c>
      <c r="H190" s="18">
        <f>ROUND(RAND()*4+6,1)</f>
      </c>
      <c r="I190" s="17" t="s">
        <v>41</v>
      </c>
      <c r="J190" s="19">
        <f>ROUND(66*1,0)&amp;"%"</f>
      </c>
    </row>
    <row x14ac:dyDescent="0.25" r="191" customHeight="1" ht="17.25">
      <c r="A191" s="20" t="s">
        <v>4247</v>
      </c>
      <c r="B191" s="20" t="s">
        <v>324</v>
      </c>
      <c r="C191" s="20" t="s">
        <v>56</v>
      </c>
      <c r="D191" s="20" t="s">
        <v>67</v>
      </c>
      <c r="E191" s="21">
        <f>ROUND(4155*1.05,2)</f>
      </c>
      <c r="F191" s="20" t="s">
        <v>44</v>
      </c>
      <c r="G191" s="20" t="s">
        <v>30</v>
      </c>
      <c r="H191" s="21">
        <f>ROUND(RAND()*4+6,1)</f>
      </c>
      <c r="I191" s="20" t="s">
        <v>45</v>
      </c>
      <c r="J191" s="23">
        <f>ROUND(90*1,0)&amp;"%"</f>
      </c>
    </row>
    <row x14ac:dyDescent="0.25" r="192" customHeight="1" ht="17.25">
      <c r="A192" s="17" t="s">
        <v>4248</v>
      </c>
      <c r="B192" s="17" t="s">
        <v>326</v>
      </c>
      <c r="C192" s="17" t="s">
        <v>56</v>
      </c>
      <c r="D192" s="17" t="s">
        <v>16</v>
      </c>
      <c r="E192" s="18">
        <f>ROUND(11967*1.05,2)</f>
      </c>
      <c r="F192" s="17" t="s">
        <v>48</v>
      </c>
      <c r="G192" s="17" t="s">
        <v>18</v>
      </c>
      <c r="H192" s="18">
        <f>ROUND(RAND()*4+6,1)</f>
      </c>
      <c r="I192" s="17" t="s">
        <v>19</v>
      </c>
      <c r="J192" s="19">
        <f>ROUND(80*1,0)&amp;"%"</f>
      </c>
    </row>
    <row x14ac:dyDescent="0.25" r="193" customHeight="1" ht="17.25">
      <c r="A193" s="20" t="s">
        <v>4249</v>
      </c>
      <c r="B193" s="20" t="s">
        <v>328</v>
      </c>
      <c r="C193" s="20" t="s">
        <v>56</v>
      </c>
      <c r="D193" s="20" t="s">
        <v>22</v>
      </c>
      <c r="E193" s="22">
        <f>ROUND(13420*1.05,2)</f>
      </c>
      <c r="F193" s="20" t="s">
        <v>51</v>
      </c>
      <c r="G193" s="20" t="s">
        <v>24</v>
      </c>
      <c r="H193" s="21">
        <f>ROUND(RAND()*4+6,1)</f>
      </c>
      <c r="I193" s="20" t="s">
        <v>25</v>
      </c>
      <c r="J193" s="23">
        <f>ROUND(82*1,0)&amp;"%"</f>
      </c>
    </row>
    <row x14ac:dyDescent="0.25" r="194" customHeight="1" ht="17.25">
      <c r="A194" s="24" t="s">
        <v>329</v>
      </c>
      <c r="B194" s="24"/>
      <c r="C194" s="24"/>
      <c r="D194" s="24"/>
      <c r="E194" s="25">
        <v>8</v>
      </c>
      <c r="F194" s="9"/>
      <c r="G194" s="9"/>
      <c r="H194" s="10"/>
      <c r="I194" s="9"/>
      <c r="J194" s="9"/>
    </row>
    <row x14ac:dyDescent="0.25" r="195" customHeight="1" ht="17.25">
      <c r="A195" s="7"/>
      <c r="B195" s="7"/>
      <c r="C195" s="7"/>
      <c r="D195" s="7"/>
      <c r="E195" s="8"/>
      <c r="F195" s="9"/>
      <c r="G195" s="9"/>
      <c r="H195" s="10"/>
      <c r="I195" s="9"/>
      <c r="J195" s="9"/>
    </row>
    <row x14ac:dyDescent="0.25" r="196" customHeight="1" ht="17.25">
      <c r="A196" s="11" t="s">
        <v>4250</v>
      </c>
      <c r="B196" s="11"/>
      <c r="C196" s="11"/>
      <c r="D196" s="11"/>
      <c r="E196" s="12"/>
      <c r="F196" s="11"/>
      <c r="G196" s="11"/>
      <c r="H196" s="13"/>
      <c r="I196" s="11"/>
      <c r="J196" s="11"/>
    </row>
    <row x14ac:dyDescent="0.25" r="197" customHeight="1" ht="17.25">
      <c r="A197" s="14" t="s">
        <v>3</v>
      </c>
      <c r="B197" s="14" t="s">
        <v>4</v>
      </c>
      <c r="C197" s="14" t="s">
        <v>5</v>
      </c>
      <c r="D197" s="14" t="s">
        <v>6</v>
      </c>
      <c r="E197" s="15" t="s">
        <v>7</v>
      </c>
      <c r="F197" s="14" t="s">
        <v>8</v>
      </c>
      <c r="G197" s="14" t="s">
        <v>9</v>
      </c>
      <c r="H197" s="16" t="s">
        <v>10</v>
      </c>
      <c r="I197" s="14" t="s">
        <v>11</v>
      </c>
      <c r="J197" s="14" t="s">
        <v>12</v>
      </c>
    </row>
    <row x14ac:dyDescent="0.25" r="198" customHeight="1" ht="17.25">
      <c r="A198" s="17" t="s">
        <v>4251</v>
      </c>
      <c r="B198" s="17" t="s">
        <v>332</v>
      </c>
      <c r="C198" s="17" t="s">
        <v>76</v>
      </c>
      <c r="D198" s="17" t="s">
        <v>16</v>
      </c>
      <c r="E198" s="18">
        <f>ROUND(11725*1.05,2)</f>
      </c>
      <c r="F198" s="17" t="s">
        <v>17</v>
      </c>
      <c r="G198" s="17" t="s">
        <v>18</v>
      </c>
      <c r="H198" s="18">
        <f>ROUND(RAND()*4+6,1)</f>
      </c>
      <c r="I198" s="17" t="s">
        <v>19</v>
      </c>
      <c r="J198" s="19">
        <f>ROUND(89*1,0)&amp;"%"</f>
      </c>
    </row>
    <row x14ac:dyDescent="0.25" r="199" customHeight="1" ht="17.25">
      <c r="A199" s="20" t="s">
        <v>4252</v>
      </c>
      <c r="B199" s="20" t="s">
        <v>334</v>
      </c>
      <c r="C199" s="20" t="s">
        <v>76</v>
      </c>
      <c r="D199" s="20" t="s">
        <v>22</v>
      </c>
      <c r="E199" s="21">
        <f>ROUND(7727*1.05,2)</f>
      </c>
      <c r="F199" s="20" t="s">
        <v>23</v>
      </c>
      <c r="G199" s="20" t="s">
        <v>24</v>
      </c>
      <c r="H199" s="21">
        <f>ROUND(RAND()*4+6,1)</f>
      </c>
      <c r="I199" s="20" t="s">
        <v>25</v>
      </c>
      <c r="J199" s="23">
        <f>ROUND(70*1,0)&amp;"%"</f>
      </c>
    </row>
    <row x14ac:dyDescent="0.25" r="200" customHeight="1" ht="17.25">
      <c r="A200" s="17" t="s">
        <v>4253</v>
      </c>
      <c r="B200" s="17" t="s">
        <v>336</v>
      </c>
      <c r="C200" s="17" t="s">
        <v>76</v>
      </c>
      <c r="D200" s="17" t="s">
        <v>28</v>
      </c>
      <c r="E200" s="18">
        <f>ROUND(7436*1.05,2)</f>
      </c>
      <c r="F200" s="17" t="s">
        <v>29</v>
      </c>
      <c r="G200" s="17" t="s">
        <v>30</v>
      </c>
      <c r="H200" s="18">
        <f>ROUND(RAND()*4+6,1)</f>
      </c>
      <c r="I200" s="17" t="s">
        <v>31</v>
      </c>
      <c r="J200" s="19">
        <f>ROUND(85*1,0)&amp;"%"</f>
      </c>
    </row>
    <row x14ac:dyDescent="0.25" r="201" customHeight="1" ht="17.25">
      <c r="A201" s="20" t="s">
        <v>4254</v>
      </c>
      <c r="B201" s="20" t="s">
        <v>338</v>
      </c>
      <c r="C201" s="20" t="s">
        <v>76</v>
      </c>
      <c r="D201" s="20" t="s">
        <v>34</v>
      </c>
      <c r="E201" s="21">
        <f>ROUND(17726*1.05,2)</f>
      </c>
      <c r="F201" s="20" t="s">
        <v>35</v>
      </c>
      <c r="G201" s="20" t="s">
        <v>18</v>
      </c>
      <c r="H201" s="21">
        <f>ROUND(RAND()*4+6,1)</f>
      </c>
      <c r="I201" s="20" t="s">
        <v>36</v>
      </c>
      <c r="J201" s="23">
        <f>ROUND(78*1,0)&amp;"%"</f>
      </c>
    </row>
    <row x14ac:dyDescent="0.25" r="202" customHeight="1" ht="17.25">
      <c r="A202" s="17" t="s">
        <v>4255</v>
      </c>
      <c r="B202" s="17" t="s">
        <v>340</v>
      </c>
      <c r="C202" s="17" t="s">
        <v>76</v>
      </c>
      <c r="D202" s="17" t="s">
        <v>39</v>
      </c>
      <c r="E202" s="18">
        <f>ROUND(10629*1.05,2)</f>
      </c>
      <c r="F202" s="17" t="s">
        <v>40</v>
      </c>
      <c r="G202" s="17" t="s">
        <v>24</v>
      </c>
      <c r="H202" s="18">
        <f>ROUND(RAND()*4+6,1)</f>
      </c>
      <c r="I202" s="17" t="s">
        <v>41</v>
      </c>
      <c r="J202" s="19">
        <f>ROUND(85*1,0)&amp;"%"</f>
      </c>
    </row>
    <row x14ac:dyDescent="0.25" r="203" customHeight="1" ht="17.25">
      <c r="A203" s="20" t="s">
        <v>4256</v>
      </c>
      <c r="B203" s="20" t="s">
        <v>342</v>
      </c>
      <c r="C203" s="20" t="s">
        <v>76</v>
      </c>
      <c r="D203" s="20" t="s">
        <v>67</v>
      </c>
      <c r="E203" s="21">
        <f>ROUND(17337*1.05,2)</f>
      </c>
      <c r="F203" s="20" t="s">
        <v>44</v>
      </c>
      <c r="G203" s="20" t="s">
        <v>30</v>
      </c>
      <c r="H203" s="21">
        <f>ROUND(RAND()*4+6,1)</f>
      </c>
      <c r="I203" s="20" t="s">
        <v>45</v>
      </c>
      <c r="J203" s="23">
        <f>ROUND(80*1,0)&amp;"%"</f>
      </c>
    </row>
    <row x14ac:dyDescent="0.25" r="204" customHeight="1" ht="17.25">
      <c r="A204" s="17" t="s">
        <v>4257</v>
      </c>
      <c r="B204" s="17" t="s">
        <v>344</v>
      </c>
      <c r="C204" s="17" t="s">
        <v>76</v>
      </c>
      <c r="D204" s="17" t="s">
        <v>16</v>
      </c>
      <c r="E204" s="18">
        <f>ROUND(13244*1.05,2)</f>
      </c>
      <c r="F204" s="17" t="s">
        <v>48</v>
      </c>
      <c r="G204" s="17" t="s">
        <v>18</v>
      </c>
      <c r="H204" s="18">
        <f>ROUND(RAND()*4+6,1)</f>
      </c>
      <c r="I204" s="17" t="s">
        <v>19</v>
      </c>
      <c r="J204" s="19">
        <f>ROUND(78*1,0)&amp;"%"</f>
      </c>
    </row>
    <row x14ac:dyDescent="0.25" r="205" customHeight="1" ht="17.25">
      <c r="A205" s="20" t="s">
        <v>4258</v>
      </c>
      <c r="B205" s="20" t="s">
        <v>346</v>
      </c>
      <c r="C205" s="20" t="s">
        <v>76</v>
      </c>
      <c r="D205" s="20" t="s">
        <v>22</v>
      </c>
      <c r="E205" s="21">
        <f>ROUND(14802*1.05,2)</f>
      </c>
      <c r="F205" s="20" t="s">
        <v>51</v>
      </c>
      <c r="G205" s="20" t="s">
        <v>24</v>
      </c>
      <c r="H205" s="21">
        <f>ROUND(RAND()*4+6,1)</f>
      </c>
      <c r="I205" s="20" t="s">
        <v>25</v>
      </c>
      <c r="J205" s="23">
        <f>ROUND(89*1,0)&amp;"%"</f>
      </c>
    </row>
    <row x14ac:dyDescent="0.25" r="206" customHeight="1" ht="17.25">
      <c r="A206" s="24" t="s">
        <v>347</v>
      </c>
      <c r="B206" s="24"/>
      <c r="C206" s="24"/>
      <c r="D206" s="24"/>
      <c r="E206" s="25">
        <v>8</v>
      </c>
      <c r="F206" s="9"/>
      <c r="G206" s="9"/>
      <c r="H206" s="10"/>
      <c r="I206" s="9"/>
      <c r="J206" s="9"/>
    </row>
    <row x14ac:dyDescent="0.25" r="207" customHeight="1" ht="17.25">
      <c r="A207" s="7"/>
      <c r="B207" s="7"/>
      <c r="C207" s="7"/>
      <c r="D207" s="7"/>
      <c r="E207" s="8"/>
      <c r="F207" s="9"/>
      <c r="G207" s="9"/>
      <c r="H207" s="10"/>
      <c r="I207" s="9"/>
      <c r="J207" s="9"/>
    </row>
    <row x14ac:dyDescent="0.25" r="208" customHeight="1" ht="17.25">
      <c r="A208" s="11" t="s">
        <v>4259</v>
      </c>
      <c r="B208" s="11"/>
      <c r="C208" s="11"/>
      <c r="D208" s="11"/>
      <c r="E208" s="12"/>
      <c r="F208" s="11"/>
      <c r="G208" s="11"/>
      <c r="H208" s="13"/>
      <c r="I208" s="11"/>
      <c r="J208" s="11"/>
    </row>
    <row x14ac:dyDescent="0.25" r="209" customHeight="1" ht="17.25">
      <c r="A209" s="14" t="s">
        <v>3</v>
      </c>
      <c r="B209" s="14" t="s">
        <v>4</v>
      </c>
      <c r="C209" s="14" t="s">
        <v>5</v>
      </c>
      <c r="D209" s="14" t="s">
        <v>6</v>
      </c>
      <c r="E209" s="15" t="s">
        <v>7</v>
      </c>
      <c r="F209" s="14" t="s">
        <v>8</v>
      </c>
      <c r="G209" s="14" t="s">
        <v>9</v>
      </c>
      <c r="H209" s="16" t="s">
        <v>10</v>
      </c>
      <c r="I209" s="14" t="s">
        <v>11</v>
      </c>
      <c r="J209" s="14" t="s">
        <v>12</v>
      </c>
    </row>
    <row x14ac:dyDescent="0.25" r="210" customHeight="1" ht="17.25">
      <c r="A210" s="17" t="s">
        <v>4260</v>
      </c>
      <c r="B210" s="17" t="s">
        <v>350</v>
      </c>
      <c r="C210" s="17" t="s">
        <v>95</v>
      </c>
      <c r="D210" s="17" t="s">
        <v>16</v>
      </c>
      <c r="E210" s="18">
        <f>ROUND(11234*1.05,2)</f>
      </c>
      <c r="F210" s="17" t="s">
        <v>17</v>
      </c>
      <c r="G210" s="17" t="s">
        <v>18</v>
      </c>
      <c r="H210" s="18">
        <f>ROUND(RAND()*4+6,1)</f>
      </c>
      <c r="I210" s="17" t="s">
        <v>19</v>
      </c>
      <c r="J210" s="19">
        <f>ROUND(96*1,0)&amp;"%"</f>
      </c>
    </row>
    <row x14ac:dyDescent="0.25" r="211" customHeight="1" ht="17.25">
      <c r="A211" s="20" t="s">
        <v>4261</v>
      </c>
      <c r="B211" s="20" t="s">
        <v>352</v>
      </c>
      <c r="C211" s="20" t="s">
        <v>95</v>
      </c>
      <c r="D211" s="20" t="s">
        <v>22</v>
      </c>
      <c r="E211" s="21">
        <f>ROUND(10454*1.05,2)</f>
      </c>
      <c r="F211" s="20" t="s">
        <v>23</v>
      </c>
      <c r="G211" s="20" t="s">
        <v>24</v>
      </c>
      <c r="H211" s="21">
        <f>ROUND(RAND()*4+6,1)</f>
      </c>
      <c r="I211" s="20" t="s">
        <v>25</v>
      </c>
      <c r="J211" s="23">
        <f>ROUND(83*1,0)&amp;"%"</f>
      </c>
    </row>
    <row x14ac:dyDescent="0.25" r="212" customHeight="1" ht="17.25">
      <c r="A212" s="17" t="s">
        <v>4262</v>
      </c>
      <c r="B212" s="17" t="s">
        <v>354</v>
      </c>
      <c r="C212" s="17" t="s">
        <v>95</v>
      </c>
      <c r="D212" s="17" t="s">
        <v>28</v>
      </c>
      <c r="E212" s="18">
        <f>ROUND(9379*1.05,2)</f>
      </c>
      <c r="F212" s="17" t="s">
        <v>29</v>
      </c>
      <c r="G212" s="17" t="s">
        <v>30</v>
      </c>
      <c r="H212" s="18">
        <f>ROUND(RAND()*4+6,1)</f>
      </c>
      <c r="I212" s="17" t="s">
        <v>31</v>
      </c>
      <c r="J212" s="19">
        <f>ROUND(79*1,0)&amp;"%"</f>
      </c>
    </row>
    <row x14ac:dyDescent="0.25" r="213" customHeight="1" ht="17.25">
      <c r="A213" s="20" t="s">
        <v>4263</v>
      </c>
      <c r="B213" s="20" t="s">
        <v>356</v>
      </c>
      <c r="C213" s="20" t="s">
        <v>95</v>
      </c>
      <c r="D213" s="20" t="s">
        <v>34</v>
      </c>
      <c r="E213" s="21">
        <f>ROUND(13290*1.05,2)</f>
      </c>
      <c r="F213" s="20" t="s">
        <v>35</v>
      </c>
      <c r="G213" s="20" t="s">
        <v>18</v>
      </c>
      <c r="H213" s="21">
        <f>ROUND(RAND()*4+6,1)</f>
      </c>
      <c r="I213" s="20" t="s">
        <v>36</v>
      </c>
      <c r="J213" s="23">
        <f>ROUND(74*1,0)&amp;"%"</f>
      </c>
    </row>
    <row x14ac:dyDescent="0.25" r="214" customHeight="1" ht="17.25">
      <c r="A214" s="17" t="s">
        <v>4264</v>
      </c>
      <c r="B214" s="17" t="s">
        <v>358</v>
      </c>
      <c r="C214" s="17" t="s">
        <v>95</v>
      </c>
      <c r="D214" s="17" t="s">
        <v>39</v>
      </c>
      <c r="E214" s="26">
        <f>ROUND(12280*1.05,2)</f>
      </c>
      <c r="F214" s="17" t="s">
        <v>40</v>
      </c>
      <c r="G214" s="17" t="s">
        <v>24</v>
      </c>
      <c r="H214" s="18">
        <f>ROUND(RAND()*4+6,1)</f>
      </c>
      <c r="I214" s="17" t="s">
        <v>41</v>
      </c>
      <c r="J214" s="19">
        <f>ROUND(82*1,0)&amp;"%"</f>
      </c>
    </row>
    <row x14ac:dyDescent="0.25" r="215" customHeight="1" ht="17.25">
      <c r="A215" s="20" t="s">
        <v>4265</v>
      </c>
      <c r="B215" s="20" t="s">
        <v>360</v>
      </c>
      <c r="C215" s="20" t="s">
        <v>95</v>
      </c>
      <c r="D215" s="20" t="s">
        <v>67</v>
      </c>
      <c r="E215" s="21">
        <f>ROUND(5602*1.05,2)</f>
      </c>
      <c r="F215" s="20" t="s">
        <v>44</v>
      </c>
      <c r="G215" s="20" t="s">
        <v>30</v>
      </c>
      <c r="H215" s="21">
        <f>ROUND(RAND()*4+6,1)</f>
      </c>
      <c r="I215" s="20" t="s">
        <v>45</v>
      </c>
      <c r="J215" s="23">
        <f>ROUND(89*1,0)&amp;"%"</f>
      </c>
    </row>
    <row x14ac:dyDescent="0.25" r="216" customHeight="1" ht="17.25">
      <c r="A216" s="17" t="s">
        <v>4266</v>
      </c>
      <c r="B216" s="17" t="s">
        <v>362</v>
      </c>
      <c r="C216" s="17" t="s">
        <v>95</v>
      </c>
      <c r="D216" s="17" t="s">
        <v>16</v>
      </c>
      <c r="E216" s="18">
        <f>ROUND(7126*1.05,2)</f>
      </c>
      <c r="F216" s="17" t="s">
        <v>48</v>
      </c>
      <c r="G216" s="17" t="s">
        <v>18</v>
      </c>
      <c r="H216" s="18">
        <f>ROUND(RAND()*4+6,1)</f>
      </c>
      <c r="I216" s="17" t="s">
        <v>19</v>
      </c>
      <c r="J216" s="19">
        <f>ROUND(61*1,0)&amp;"%"</f>
      </c>
    </row>
    <row x14ac:dyDescent="0.25" r="217" customHeight="1" ht="17.25">
      <c r="A217" s="20" t="s">
        <v>4267</v>
      </c>
      <c r="B217" s="20" t="s">
        <v>364</v>
      </c>
      <c r="C217" s="20" t="s">
        <v>95</v>
      </c>
      <c r="D217" s="20" t="s">
        <v>22</v>
      </c>
      <c r="E217" s="21">
        <f>ROUND(8254*1.05,2)</f>
      </c>
      <c r="F217" s="20" t="s">
        <v>51</v>
      </c>
      <c r="G217" s="20" t="s">
        <v>24</v>
      </c>
      <c r="H217" s="21">
        <f>ROUND(RAND()*4+6,1)</f>
      </c>
      <c r="I217" s="20" t="s">
        <v>25</v>
      </c>
      <c r="J217" s="23">
        <f>ROUND(72*1,0)&amp;"%"</f>
      </c>
    </row>
    <row x14ac:dyDescent="0.25" r="218" customHeight="1" ht="17.25">
      <c r="A218" s="24" t="s">
        <v>365</v>
      </c>
      <c r="B218" s="24"/>
      <c r="C218" s="24"/>
      <c r="D218" s="24"/>
      <c r="E218" s="25">
        <v>8</v>
      </c>
      <c r="F218" s="9"/>
      <c r="G218" s="9"/>
      <c r="H218" s="10"/>
      <c r="I218" s="9"/>
      <c r="J218" s="9"/>
    </row>
    <row x14ac:dyDescent="0.25" r="219" customHeight="1" ht="17.25">
      <c r="A219" s="7"/>
      <c r="B219" s="7"/>
      <c r="C219" s="7"/>
      <c r="D219" s="7"/>
      <c r="E219" s="8"/>
      <c r="F219" s="9"/>
      <c r="G219" s="9"/>
      <c r="H219" s="10"/>
      <c r="I219" s="9"/>
      <c r="J219" s="9"/>
    </row>
    <row x14ac:dyDescent="0.25" r="220" customHeight="1" ht="17.25">
      <c r="A220" s="11" t="s">
        <v>4268</v>
      </c>
      <c r="B220" s="11"/>
      <c r="C220" s="11"/>
      <c r="D220" s="11"/>
      <c r="E220" s="12"/>
      <c r="F220" s="11"/>
      <c r="G220" s="11"/>
      <c r="H220" s="13"/>
      <c r="I220" s="11"/>
      <c r="J220" s="11"/>
    </row>
    <row x14ac:dyDescent="0.25" r="221" customHeight="1" ht="17.25">
      <c r="A221" s="14" t="s">
        <v>3</v>
      </c>
      <c r="B221" s="14" t="s">
        <v>4</v>
      </c>
      <c r="C221" s="14" t="s">
        <v>5</v>
      </c>
      <c r="D221" s="14" t="s">
        <v>6</v>
      </c>
      <c r="E221" s="15" t="s">
        <v>7</v>
      </c>
      <c r="F221" s="14" t="s">
        <v>8</v>
      </c>
      <c r="G221" s="14" t="s">
        <v>9</v>
      </c>
      <c r="H221" s="16" t="s">
        <v>10</v>
      </c>
      <c r="I221" s="14" t="s">
        <v>11</v>
      </c>
      <c r="J221" s="14" t="s">
        <v>12</v>
      </c>
    </row>
    <row x14ac:dyDescent="0.25" r="222" customHeight="1" ht="17.25">
      <c r="A222" s="17" t="s">
        <v>4269</v>
      </c>
      <c r="B222" s="17" t="s">
        <v>368</v>
      </c>
      <c r="C222" s="17" t="s">
        <v>114</v>
      </c>
      <c r="D222" s="17" t="s">
        <v>16</v>
      </c>
      <c r="E222" s="26">
        <f>ROUND(11140*1.05,2)</f>
      </c>
      <c r="F222" s="17" t="s">
        <v>17</v>
      </c>
      <c r="G222" s="17" t="s">
        <v>18</v>
      </c>
      <c r="H222" s="18">
        <f>ROUND(RAND()*4+6,1)</f>
      </c>
      <c r="I222" s="17" t="s">
        <v>19</v>
      </c>
      <c r="J222" s="19">
        <f>ROUND(66*1,0)&amp;"%"</f>
      </c>
    </row>
    <row x14ac:dyDescent="0.25" r="223" customHeight="1" ht="17.25">
      <c r="A223" s="20" t="s">
        <v>4270</v>
      </c>
      <c r="B223" s="20" t="s">
        <v>370</v>
      </c>
      <c r="C223" s="20" t="s">
        <v>114</v>
      </c>
      <c r="D223" s="20" t="s">
        <v>22</v>
      </c>
      <c r="E223" s="21">
        <f>ROUND(13550*1.05,2)</f>
      </c>
      <c r="F223" s="20" t="s">
        <v>23</v>
      </c>
      <c r="G223" s="20" t="s">
        <v>24</v>
      </c>
      <c r="H223" s="21">
        <f>ROUND(RAND()*4+6,1)</f>
      </c>
      <c r="I223" s="20" t="s">
        <v>25</v>
      </c>
      <c r="J223" s="23">
        <f>ROUND(78*1,0)&amp;"%"</f>
      </c>
    </row>
    <row x14ac:dyDescent="0.25" r="224" customHeight="1" ht="17.25">
      <c r="A224" s="17" t="s">
        <v>4271</v>
      </c>
      <c r="B224" s="17" t="s">
        <v>372</v>
      </c>
      <c r="C224" s="17" t="s">
        <v>114</v>
      </c>
      <c r="D224" s="17" t="s">
        <v>28</v>
      </c>
      <c r="E224" s="18">
        <f>ROUND(5106*1.05,2)</f>
      </c>
      <c r="F224" s="17" t="s">
        <v>29</v>
      </c>
      <c r="G224" s="17" t="s">
        <v>30</v>
      </c>
      <c r="H224" s="18">
        <f>ROUND(RAND()*4+6,1)</f>
      </c>
      <c r="I224" s="17" t="s">
        <v>31</v>
      </c>
      <c r="J224" s="19">
        <f>ROUND(61*1,0)&amp;"%"</f>
      </c>
    </row>
    <row x14ac:dyDescent="0.25" r="225" customHeight="1" ht="17.25">
      <c r="A225" s="20" t="s">
        <v>4272</v>
      </c>
      <c r="B225" s="20" t="s">
        <v>374</v>
      </c>
      <c r="C225" s="20" t="s">
        <v>114</v>
      </c>
      <c r="D225" s="20" t="s">
        <v>34</v>
      </c>
      <c r="E225" s="21">
        <f>ROUND(12674*1.05,2)</f>
      </c>
      <c r="F225" s="20" t="s">
        <v>35</v>
      </c>
      <c r="G225" s="20" t="s">
        <v>18</v>
      </c>
      <c r="H225" s="21">
        <f>ROUND(RAND()*4+6,1)</f>
      </c>
      <c r="I225" s="20" t="s">
        <v>36</v>
      </c>
      <c r="J225" s="23">
        <f>ROUND(90*1,0)&amp;"%"</f>
      </c>
    </row>
    <row x14ac:dyDescent="0.25" r="226" customHeight="1" ht="17.25">
      <c r="A226" s="17" t="s">
        <v>4273</v>
      </c>
      <c r="B226" s="17" t="s">
        <v>376</v>
      </c>
      <c r="C226" s="17" t="s">
        <v>114</v>
      </c>
      <c r="D226" s="17" t="s">
        <v>39</v>
      </c>
      <c r="E226" s="18">
        <f>ROUND(16393*1.05,2)</f>
      </c>
      <c r="F226" s="17" t="s">
        <v>40</v>
      </c>
      <c r="G226" s="17" t="s">
        <v>24</v>
      </c>
      <c r="H226" s="26">
        <f>ROUND(RAND()*4+6,1)</f>
      </c>
      <c r="I226" s="17" t="s">
        <v>41</v>
      </c>
      <c r="J226" s="19">
        <f>ROUND(64*1,0)&amp;"%"</f>
      </c>
    </row>
    <row x14ac:dyDescent="0.25" r="227" customHeight="1" ht="17.25">
      <c r="A227" s="20" t="s">
        <v>4274</v>
      </c>
      <c r="B227" s="20" t="s">
        <v>378</v>
      </c>
      <c r="C227" s="20" t="s">
        <v>114</v>
      </c>
      <c r="D227" s="20" t="s">
        <v>67</v>
      </c>
      <c r="E227" s="21">
        <f>ROUND(14784*1.05,2)</f>
      </c>
      <c r="F227" s="20" t="s">
        <v>44</v>
      </c>
      <c r="G227" s="20" t="s">
        <v>30</v>
      </c>
      <c r="H227" s="21">
        <f>ROUND(RAND()*4+6,1)</f>
      </c>
      <c r="I227" s="20" t="s">
        <v>45</v>
      </c>
      <c r="J227" s="23">
        <f>ROUND(74*1,0)&amp;"%"</f>
      </c>
    </row>
    <row x14ac:dyDescent="0.25" r="228" customHeight="1" ht="17.25">
      <c r="A228" s="17" t="s">
        <v>4275</v>
      </c>
      <c r="B228" s="17" t="s">
        <v>380</v>
      </c>
      <c r="C228" s="17" t="s">
        <v>114</v>
      </c>
      <c r="D228" s="17" t="s">
        <v>16</v>
      </c>
      <c r="E228" s="18">
        <f>ROUND(11945*1.05,2)</f>
      </c>
      <c r="F228" s="17" t="s">
        <v>48</v>
      </c>
      <c r="G228" s="17" t="s">
        <v>18</v>
      </c>
      <c r="H228" s="18">
        <f>ROUND(RAND()*4+6,1)</f>
      </c>
      <c r="I228" s="17" t="s">
        <v>19</v>
      </c>
      <c r="J228" s="19">
        <f>ROUND(60*1,0)&amp;"%"</f>
      </c>
    </row>
    <row x14ac:dyDescent="0.25" r="229" customHeight="1" ht="17.25">
      <c r="A229" s="20" t="s">
        <v>4276</v>
      </c>
      <c r="B229" s="20" t="s">
        <v>382</v>
      </c>
      <c r="C229" s="20" t="s">
        <v>114</v>
      </c>
      <c r="D229" s="20" t="s">
        <v>22</v>
      </c>
      <c r="E229" s="21">
        <f>ROUND(14713*1.05,2)</f>
      </c>
      <c r="F229" s="20" t="s">
        <v>51</v>
      </c>
      <c r="G229" s="20" t="s">
        <v>24</v>
      </c>
      <c r="H229" s="21">
        <f>ROUND(RAND()*4+6,1)</f>
      </c>
      <c r="I229" s="20" t="s">
        <v>25</v>
      </c>
      <c r="J229" s="23">
        <f>ROUND(69*1,0)&amp;"%"</f>
      </c>
    </row>
    <row x14ac:dyDescent="0.25" r="230" customHeight="1" ht="17.25">
      <c r="A230" s="24" t="s">
        <v>383</v>
      </c>
      <c r="B230" s="24"/>
      <c r="C230" s="24"/>
      <c r="D230" s="24"/>
      <c r="E230" s="25">
        <v>8</v>
      </c>
      <c r="F230" s="9"/>
      <c r="G230" s="9"/>
      <c r="H230" s="10"/>
      <c r="I230" s="9"/>
      <c r="J230" s="9"/>
    </row>
    <row x14ac:dyDescent="0.25" r="231" customHeight="1" ht="17.25">
      <c r="A231" s="7"/>
      <c r="B231" s="7"/>
      <c r="C231" s="7"/>
      <c r="D231" s="7"/>
      <c r="E231" s="8"/>
      <c r="F231" s="9"/>
      <c r="G231" s="9"/>
      <c r="H231" s="10"/>
      <c r="I231" s="9"/>
      <c r="J231" s="9"/>
    </row>
    <row x14ac:dyDescent="0.25" r="232" customHeight="1" ht="17.25">
      <c r="A232" s="11" t="s">
        <v>4277</v>
      </c>
      <c r="B232" s="11"/>
      <c r="C232" s="11"/>
      <c r="D232" s="11"/>
      <c r="E232" s="12"/>
      <c r="F232" s="11"/>
      <c r="G232" s="11"/>
      <c r="H232" s="13"/>
      <c r="I232" s="11"/>
      <c r="J232" s="11"/>
    </row>
    <row x14ac:dyDescent="0.25" r="233" customHeight="1" ht="17.25">
      <c r="A233" s="14" t="s">
        <v>3</v>
      </c>
      <c r="B233" s="14" t="s">
        <v>4</v>
      </c>
      <c r="C233" s="14" t="s">
        <v>5</v>
      </c>
      <c r="D233" s="14" t="s">
        <v>6</v>
      </c>
      <c r="E233" s="15" t="s">
        <v>7</v>
      </c>
      <c r="F233" s="14" t="s">
        <v>8</v>
      </c>
      <c r="G233" s="14" t="s">
        <v>9</v>
      </c>
      <c r="H233" s="16" t="s">
        <v>10</v>
      </c>
      <c r="I233" s="14" t="s">
        <v>11</v>
      </c>
      <c r="J233" s="14" t="s">
        <v>12</v>
      </c>
    </row>
    <row x14ac:dyDescent="0.25" r="234" customHeight="1" ht="17.25">
      <c r="A234" s="17" t="s">
        <v>4278</v>
      </c>
      <c r="B234" s="17" t="s">
        <v>386</v>
      </c>
      <c r="C234" s="17" t="s">
        <v>133</v>
      </c>
      <c r="D234" s="17" t="s">
        <v>16</v>
      </c>
      <c r="E234" s="18">
        <f>ROUND(7307*1.05,2)</f>
      </c>
      <c r="F234" s="17" t="s">
        <v>17</v>
      </c>
      <c r="G234" s="17" t="s">
        <v>18</v>
      </c>
      <c r="H234" s="18">
        <f>ROUND(RAND()*4+6,1)</f>
      </c>
      <c r="I234" s="17" t="s">
        <v>19</v>
      </c>
      <c r="J234" s="19">
        <f>ROUND(67*1,0)&amp;"%"</f>
      </c>
    </row>
    <row x14ac:dyDescent="0.25" r="235" customHeight="1" ht="17.25">
      <c r="A235" s="20" t="s">
        <v>4279</v>
      </c>
      <c r="B235" s="20" t="s">
        <v>388</v>
      </c>
      <c r="C235" s="20" t="s">
        <v>133</v>
      </c>
      <c r="D235" s="20" t="s">
        <v>22</v>
      </c>
      <c r="E235" s="21">
        <f>ROUND(5724*1.05,2)</f>
      </c>
      <c r="F235" s="20" t="s">
        <v>23</v>
      </c>
      <c r="G235" s="20" t="s">
        <v>24</v>
      </c>
      <c r="H235" s="22">
        <f>ROUND(RAND()*4+6,1)</f>
      </c>
      <c r="I235" s="20" t="s">
        <v>25</v>
      </c>
      <c r="J235" s="23">
        <f>ROUND(73*1,0)&amp;"%"</f>
      </c>
    </row>
    <row x14ac:dyDescent="0.25" r="236" customHeight="1" ht="17.25">
      <c r="A236" s="17" t="s">
        <v>4280</v>
      </c>
      <c r="B236" s="17" t="s">
        <v>390</v>
      </c>
      <c r="C236" s="17" t="s">
        <v>133</v>
      </c>
      <c r="D236" s="17" t="s">
        <v>28</v>
      </c>
      <c r="E236" s="18">
        <f>ROUND(15265*1.05,2)</f>
      </c>
      <c r="F236" s="17" t="s">
        <v>29</v>
      </c>
      <c r="G236" s="17" t="s">
        <v>30</v>
      </c>
      <c r="H236" s="18">
        <f>ROUND(RAND()*4+6,1)</f>
      </c>
      <c r="I236" s="17" t="s">
        <v>31</v>
      </c>
      <c r="J236" s="19">
        <f>ROUND(62*1,0)&amp;"%"</f>
      </c>
    </row>
    <row x14ac:dyDescent="0.25" r="237" customHeight="1" ht="17.25">
      <c r="A237" s="20" t="s">
        <v>4281</v>
      </c>
      <c r="B237" s="20" t="s">
        <v>392</v>
      </c>
      <c r="C237" s="20" t="s">
        <v>133</v>
      </c>
      <c r="D237" s="20" t="s">
        <v>34</v>
      </c>
      <c r="E237" s="21">
        <f>ROUND(14504*1.05,2)</f>
      </c>
      <c r="F237" s="20" t="s">
        <v>35</v>
      </c>
      <c r="G237" s="20" t="s">
        <v>18</v>
      </c>
      <c r="H237" s="21">
        <f>ROUND(RAND()*4+6,1)</f>
      </c>
      <c r="I237" s="20" t="s">
        <v>36</v>
      </c>
      <c r="J237" s="23">
        <f>ROUND(67*1,0)&amp;"%"</f>
      </c>
    </row>
    <row x14ac:dyDescent="0.25" r="238" customHeight="1" ht="17.25">
      <c r="A238" s="17" t="s">
        <v>4282</v>
      </c>
      <c r="B238" s="17" t="s">
        <v>394</v>
      </c>
      <c r="C238" s="17" t="s">
        <v>133</v>
      </c>
      <c r="D238" s="17" t="s">
        <v>39</v>
      </c>
      <c r="E238" s="18">
        <f>ROUND(17373*1.05,2)</f>
      </c>
      <c r="F238" s="17" t="s">
        <v>40</v>
      </c>
      <c r="G238" s="17" t="s">
        <v>24</v>
      </c>
      <c r="H238" s="18">
        <f>ROUND(RAND()*4+6,1)</f>
      </c>
      <c r="I238" s="17" t="s">
        <v>41</v>
      </c>
      <c r="J238" s="19">
        <f>ROUND(85*1,0)&amp;"%"</f>
      </c>
    </row>
    <row x14ac:dyDescent="0.25" r="239" customHeight="1" ht="17.25">
      <c r="A239" s="20" t="s">
        <v>4283</v>
      </c>
      <c r="B239" s="20" t="s">
        <v>396</v>
      </c>
      <c r="C239" s="20" t="s">
        <v>133</v>
      </c>
      <c r="D239" s="20" t="s">
        <v>67</v>
      </c>
      <c r="E239" s="21">
        <f>ROUND(15472*1.05,2)</f>
      </c>
      <c r="F239" s="20" t="s">
        <v>44</v>
      </c>
      <c r="G239" s="20" t="s">
        <v>30</v>
      </c>
      <c r="H239" s="21">
        <f>ROUND(RAND()*4+6,1)</f>
      </c>
      <c r="I239" s="20" t="s">
        <v>45</v>
      </c>
      <c r="J239" s="23">
        <f>ROUND(67*1,0)&amp;"%"</f>
      </c>
    </row>
    <row x14ac:dyDescent="0.25" r="240" customHeight="1" ht="17.25">
      <c r="A240" s="17" t="s">
        <v>4284</v>
      </c>
      <c r="B240" s="17" t="s">
        <v>398</v>
      </c>
      <c r="C240" s="17" t="s">
        <v>133</v>
      </c>
      <c r="D240" s="17" t="s">
        <v>16</v>
      </c>
      <c r="E240" s="18">
        <f>ROUND(11694*1.05,2)</f>
      </c>
      <c r="F240" s="17" t="s">
        <v>48</v>
      </c>
      <c r="G240" s="17" t="s">
        <v>18</v>
      </c>
      <c r="H240" s="18">
        <f>ROUND(RAND()*4+6,1)</f>
      </c>
      <c r="I240" s="17" t="s">
        <v>19</v>
      </c>
      <c r="J240" s="19">
        <f>ROUND(79*1,0)&amp;"%"</f>
      </c>
    </row>
    <row x14ac:dyDescent="0.25" r="241" customHeight="1" ht="17.25">
      <c r="A241" s="20" t="s">
        <v>4285</v>
      </c>
      <c r="B241" s="20" t="s">
        <v>400</v>
      </c>
      <c r="C241" s="20" t="s">
        <v>133</v>
      </c>
      <c r="D241" s="20" t="s">
        <v>22</v>
      </c>
      <c r="E241" s="21">
        <f>ROUND(15934*1.05,2)</f>
      </c>
      <c r="F241" s="20" t="s">
        <v>51</v>
      </c>
      <c r="G241" s="20" t="s">
        <v>24</v>
      </c>
      <c r="H241" s="21">
        <f>ROUND(RAND()*4+6,1)</f>
      </c>
      <c r="I241" s="20" t="s">
        <v>25</v>
      </c>
      <c r="J241" s="23">
        <f>ROUND(94*1,0)&amp;"%"</f>
      </c>
    </row>
    <row x14ac:dyDescent="0.25" r="242" customHeight="1" ht="17.25">
      <c r="A242" s="24" t="s">
        <v>401</v>
      </c>
      <c r="B242" s="24"/>
      <c r="C242" s="24"/>
      <c r="D242" s="24"/>
      <c r="E242" s="25">
        <v>8</v>
      </c>
      <c r="F242" s="9"/>
      <c r="G242" s="9"/>
      <c r="H242" s="10"/>
      <c r="I242" s="9"/>
      <c r="J242" s="9"/>
    </row>
    <row x14ac:dyDescent="0.25" r="243" customHeight="1" ht="17.25">
      <c r="A243" s="7"/>
      <c r="B243" s="7"/>
      <c r="C243" s="7"/>
      <c r="D243" s="7"/>
      <c r="E243" s="8"/>
      <c r="F243" s="9"/>
      <c r="G243" s="9"/>
      <c r="H243" s="10"/>
      <c r="I243" s="9"/>
      <c r="J243" s="9"/>
    </row>
    <row x14ac:dyDescent="0.25" r="244" customHeight="1" ht="17.25">
      <c r="A244" s="11" t="s">
        <v>4286</v>
      </c>
      <c r="B244" s="11"/>
      <c r="C244" s="11"/>
      <c r="D244" s="11"/>
      <c r="E244" s="12"/>
      <c r="F244" s="11"/>
      <c r="G244" s="11"/>
      <c r="H244" s="13"/>
      <c r="I244" s="11"/>
      <c r="J244" s="11"/>
    </row>
    <row x14ac:dyDescent="0.25" r="245" customHeight="1" ht="17.25">
      <c r="A245" s="14" t="s">
        <v>3</v>
      </c>
      <c r="B245" s="14" t="s">
        <v>4</v>
      </c>
      <c r="C245" s="14" t="s">
        <v>5</v>
      </c>
      <c r="D245" s="14" t="s">
        <v>6</v>
      </c>
      <c r="E245" s="15" t="s">
        <v>7</v>
      </c>
      <c r="F245" s="14" t="s">
        <v>8</v>
      </c>
      <c r="G245" s="14" t="s">
        <v>9</v>
      </c>
      <c r="H245" s="16" t="s">
        <v>10</v>
      </c>
      <c r="I245" s="14" t="s">
        <v>11</v>
      </c>
      <c r="J245" s="14" t="s">
        <v>12</v>
      </c>
    </row>
    <row x14ac:dyDescent="0.25" r="246" customHeight="1" ht="17.25">
      <c r="A246" s="17" t="s">
        <v>4287</v>
      </c>
      <c r="B246" s="17" t="s">
        <v>404</v>
      </c>
      <c r="C246" s="17" t="s">
        <v>152</v>
      </c>
      <c r="D246" s="17" t="s">
        <v>16</v>
      </c>
      <c r="E246" s="18">
        <f>ROUND(10184*1.05,2)</f>
      </c>
      <c r="F246" s="17" t="s">
        <v>17</v>
      </c>
      <c r="G246" s="17" t="s">
        <v>18</v>
      </c>
      <c r="H246" s="26">
        <f>ROUND(RAND()*4+6,1)</f>
      </c>
      <c r="I246" s="17" t="s">
        <v>19</v>
      </c>
      <c r="J246" s="19">
        <f>ROUND(96*1,0)&amp;"%"</f>
      </c>
    </row>
    <row x14ac:dyDescent="0.25" r="247" customHeight="1" ht="17.25">
      <c r="A247" s="20" t="s">
        <v>4288</v>
      </c>
      <c r="B247" s="20" t="s">
        <v>406</v>
      </c>
      <c r="C247" s="20" t="s">
        <v>152</v>
      </c>
      <c r="D247" s="20" t="s">
        <v>22</v>
      </c>
      <c r="E247" s="21">
        <f>ROUND(9821*1.05,2)</f>
      </c>
      <c r="F247" s="20" t="s">
        <v>23</v>
      </c>
      <c r="G247" s="20" t="s">
        <v>24</v>
      </c>
      <c r="H247" s="22">
        <f>ROUND(RAND()*4+6,1)</f>
      </c>
      <c r="I247" s="20" t="s">
        <v>25</v>
      </c>
      <c r="J247" s="23">
        <f>ROUND(70*1,0)&amp;"%"</f>
      </c>
    </row>
    <row x14ac:dyDescent="0.25" r="248" customHeight="1" ht="17.25">
      <c r="A248" s="17" t="s">
        <v>4289</v>
      </c>
      <c r="B248" s="17" t="s">
        <v>408</v>
      </c>
      <c r="C248" s="17" t="s">
        <v>152</v>
      </c>
      <c r="D248" s="17" t="s">
        <v>28</v>
      </c>
      <c r="E248" s="18">
        <f>ROUND(5638*1.05,2)</f>
      </c>
      <c r="F248" s="17" t="s">
        <v>29</v>
      </c>
      <c r="G248" s="17" t="s">
        <v>30</v>
      </c>
      <c r="H248" s="18">
        <f>ROUND(RAND()*4+6,1)</f>
      </c>
      <c r="I248" s="17" t="s">
        <v>31</v>
      </c>
      <c r="J248" s="19">
        <f>ROUND(71*1,0)&amp;"%"</f>
      </c>
    </row>
    <row x14ac:dyDescent="0.25" r="249" customHeight="1" ht="17.25">
      <c r="A249" s="20" t="s">
        <v>4290</v>
      </c>
      <c r="B249" s="20" t="s">
        <v>410</v>
      </c>
      <c r="C249" s="20" t="s">
        <v>152</v>
      </c>
      <c r="D249" s="20" t="s">
        <v>34</v>
      </c>
      <c r="E249" s="21">
        <f>ROUND(4514*1.05,2)</f>
      </c>
      <c r="F249" s="20" t="s">
        <v>35</v>
      </c>
      <c r="G249" s="20" t="s">
        <v>18</v>
      </c>
      <c r="H249" s="21">
        <f>ROUND(RAND()*4+6,1)</f>
      </c>
      <c r="I249" s="20" t="s">
        <v>36</v>
      </c>
      <c r="J249" s="23">
        <f>ROUND(64*1,0)&amp;"%"</f>
      </c>
    </row>
    <row x14ac:dyDescent="0.25" r="250" customHeight="1" ht="17.25">
      <c r="A250" s="17" t="s">
        <v>4291</v>
      </c>
      <c r="B250" s="17" t="s">
        <v>412</v>
      </c>
      <c r="C250" s="17" t="s">
        <v>152</v>
      </c>
      <c r="D250" s="17" t="s">
        <v>39</v>
      </c>
      <c r="E250" s="18">
        <f>ROUND(4123*1.05,2)</f>
      </c>
      <c r="F250" s="17" t="s">
        <v>40</v>
      </c>
      <c r="G250" s="17" t="s">
        <v>24</v>
      </c>
      <c r="H250" s="18">
        <f>ROUND(RAND()*4+6,1)</f>
      </c>
      <c r="I250" s="17" t="s">
        <v>41</v>
      </c>
      <c r="J250" s="19">
        <f>ROUND(84*1,0)&amp;"%"</f>
      </c>
    </row>
    <row x14ac:dyDescent="0.25" r="251" customHeight="1" ht="17.25">
      <c r="A251" s="20" t="s">
        <v>4292</v>
      </c>
      <c r="B251" s="20" t="s">
        <v>414</v>
      </c>
      <c r="C251" s="20" t="s">
        <v>152</v>
      </c>
      <c r="D251" s="20" t="s">
        <v>67</v>
      </c>
      <c r="E251" s="21">
        <f>ROUND(5095*1.05,2)</f>
      </c>
      <c r="F251" s="20" t="s">
        <v>44</v>
      </c>
      <c r="G251" s="20" t="s">
        <v>30</v>
      </c>
      <c r="H251" s="21">
        <f>ROUND(RAND()*4+6,1)</f>
      </c>
      <c r="I251" s="20" t="s">
        <v>45</v>
      </c>
      <c r="J251" s="23">
        <f>ROUND(67*1,0)&amp;"%"</f>
      </c>
    </row>
    <row x14ac:dyDescent="0.25" r="252" customHeight="1" ht="17.25">
      <c r="A252" s="17" t="s">
        <v>4293</v>
      </c>
      <c r="B252" s="17" t="s">
        <v>416</v>
      </c>
      <c r="C252" s="17" t="s">
        <v>152</v>
      </c>
      <c r="D252" s="17" t="s">
        <v>16</v>
      </c>
      <c r="E252" s="18">
        <f>ROUND(7086*1.05,2)</f>
      </c>
      <c r="F252" s="17" t="s">
        <v>48</v>
      </c>
      <c r="G252" s="17" t="s">
        <v>18</v>
      </c>
      <c r="H252" s="18">
        <f>ROUND(RAND()*4+6,1)</f>
      </c>
      <c r="I252" s="17" t="s">
        <v>19</v>
      </c>
      <c r="J252" s="19">
        <f>ROUND(70*1,0)&amp;"%"</f>
      </c>
    </row>
    <row x14ac:dyDescent="0.25" r="253" customHeight="1" ht="17.25">
      <c r="A253" s="20" t="s">
        <v>4294</v>
      </c>
      <c r="B253" s="20" t="s">
        <v>418</v>
      </c>
      <c r="C253" s="20" t="s">
        <v>152</v>
      </c>
      <c r="D253" s="20" t="s">
        <v>22</v>
      </c>
      <c r="E253" s="21">
        <f>ROUND(8282*1.05,2)</f>
      </c>
      <c r="F253" s="20" t="s">
        <v>51</v>
      </c>
      <c r="G253" s="20" t="s">
        <v>24</v>
      </c>
      <c r="H253" s="21">
        <f>ROUND(RAND()*4+6,1)</f>
      </c>
      <c r="I253" s="20" t="s">
        <v>25</v>
      </c>
      <c r="J253" s="23">
        <f>ROUND(78*1,0)&amp;"%"</f>
      </c>
    </row>
    <row x14ac:dyDescent="0.25" r="254" customHeight="1" ht="17.25">
      <c r="A254" s="24" t="s">
        <v>419</v>
      </c>
      <c r="B254" s="24"/>
      <c r="C254" s="24"/>
      <c r="D254" s="24"/>
      <c r="E254" s="25">
        <v>8</v>
      </c>
      <c r="F254" s="9"/>
      <c r="G254" s="9"/>
      <c r="H254" s="10"/>
      <c r="I254" s="9"/>
      <c r="J254" s="9"/>
    </row>
    <row x14ac:dyDescent="0.25" r="255" customHeight="1" ht="17.25">
      <c r="A255" s="7"/>
      <c r="B255" s="7"/>
      <c r="C255" s="7"/>
      <c r="D255" s="7"/>
      <c r="E255" s="8"/>
      <c r="F255" s="9"/>
      <c r="G255" s="9"/>
      <c r="H255" s="10"/>
      <c r="I255" s="9"/>
      <c r="J255" s="9"/>
    </row>
    <row x14ac:dyDescent="0.25" r="256" customHeight="1" ht="17.25">
      <c r="A256" s="11" t="s">
        <v>4295</v>
      </c>
      <c r="B256" s="11"/>
      <c r="C256" s="11"/>
      <c r="D256" s="11"/>
      <c r="E256" s="12"/>
      <c r="F256" s="11"/>
      <c r="G256" s="11"/>
      <c r="H256" s="13"/>
      <c r="I256" s="11"/>
      <c r="J256" s="11"/>
    </row>
    <row x14ac:dyDescent="0.25" r="257" customHeight="1" ht="17.25">
      <c r="A257" s="14" t="s">
        <v>3</v>
      </c>
      <c r="B257" s="14" t="s">
        <v>4</v>
      </c>
      <c r="C257" s="14" t="s">
        <v>5</v>
      </c>
      <c r="D257" s="14" t="s">
        <v>6</v>
      </c>
      <c r="E257" s="15" t="s">
        <v>7</v>
      </c>
      <c r="F257" s="14" t="s">
        <v>8</v>
      </c>
      <c r="G257" s="14" t="s">
        <v>9</v>
      </c>
      <c r="H257" s="16" t="s">
        <v>10</v>
      </c>
      <c r="I257" s="14" t="s">
        <v>11</v>
      </c>
      <c r="J257" s="14" t="s">
        <v>12</v>
      </c>
    </row>
    <row x14ac:dyDescent="0.25" r="258" customHeight="1" ht="17.25">
      <c r="A258" s="17" t="s">
        <v>4296</v>
      </c>
      <c r="B258" s="17" t="s">
        <v>422</v>
      </c>
      <c r="C258" s="17" t="s">
        <v>15</v>
      </c>
      <c r="D258" s="17" t="s">
        <v>16</v>
      </c>
      <c r="E258" s="18">
        <f>ROUND(9279*1.05,2)</f>
      </c>
      <c r="F258" s="17" t="s">
        <v>17</v>
      </c>
      <c r="G258" s="17" t="s">
        <v>18</v>
      </c>
      <c r="H258" s="18">
        <f>ROUND(RAND()*4+6,1)</f>
      </c>
      <c r="I258" s="17" t="s">
        <v>19</v>
      </c>
      <c r="J258" s="19">
        <f>ROUND(60*1,0)&amp;"%"</f>
      </c>
    </row>
    <row x14ac:dyDescent="0.25" r="259" customHeight="1" ht="17.25">
      <c r="A259" s="20" t="s">
        <v>4297</v>
      </c>
      <c r="B259" s="20" t="s">
        <v>424</v>
      </c>
      <c r="C259" s="20" t="s">
        <v>15</v>
      </c>
      <c r="D259" s="20" t="s">
        <v>22</v>
      </c>
      <c r="E259" s="21">
        <f>ROUND(5231*1.05,2)</f>
      </c>
      <c r="F259" s="20" t="s">
        <v>23</v>
      </c>
      <c r="G259" s="20" t="s">
        <v>24</v>
      </c>
      <c r="H259" s="21">
        <f>ROUND(RAND()*4+6,1)</f>
      </c>
      <c r="I259" s="20" t="s">
        <v>25</v>
      </c>
      <c r="J259" s="23">
        <f>ROUND(82*1,0)&amp;"%"</f>
      </c>
    </row>
    <row x14ac:dyDescent="0.25" r="260" customHeight="1" ht="17.25">
      <c r="A260" s="17" t="s">
        <v>4298</v>
      </c>
      <c r="B260" s="17" t="s">
        <v>426</v>
      </c>
      <c r="C260" s="17" t="s">
        <v>15</v>
      </c>
      <c r="D260" s="17" t="s">
        <v>28</v>
      </c>
      <c r="E260" s="18">
        <f>ROUND(14023*1.05,2)</f>
      </c>
      <c r="F260" s="17" t="s">
        <v>29</v>
      </c>
      <c r="G260" s="17" t="s">
        <v>30</v>
      </c>
      <c r="H260" s="18">
        <f>ROUND(RAND()*4+6,1)</f>
      </c>
      <c r="I260" s="17" t="s">
        <v>31</v>
      </c>
      <c r="J260" s="19">
        <f>ROUND(95*1,0)&amp;"%"</f>
      </c>
    </row>
    <row x14ac:dyDescent="0.25" r="261" customHeight="1" ht="17.25">
      <c r="A261" s="20" t="s">
        <v>4299</v>
      </c>
      <c r="B261" s="20" t="s">
        <v>428</v>
      </c>
      <c r="C261" s="20" t="s">
        <v>15</v>
      </c>
      <c r="D261" s="20" t="s">
        <v>34</v>
      </c>
      <c r="E261" s="21">
        <f>ROUND(14338*1.05,2)</f>
      </c>
      <c r="F261" s="20" t="s">
        <v>35</v>
      </c>
      <c r="G261" s="20" t="s">
        <v>18</v>
      </c>
      <c r="H261" s="21">
        <f>ROUND(RAND()*4+6,1)</f>
      </c>
      <c r="I261" s="20" t="s">
        <v>36</v>
      </c>
      <c r="J261" s="23">
        <f>ROUND(82*1,0)&amp;"%"</f>
      </c>
    </row>
    <row x14ac:dyDescent="0.25" r="262" customHeight="1" ht="17.25">
      <c r="A262" s="17" t="s">
        <v>4300</v>
      </c>
      <c r="B262" s="17" t="s">
        <v>430</v>
      </c>
      <c r="C262" s="17" t="s">
        <v>15</v>
      </c>
      <c r="D262" s="17" t="s">
        <v>39</v>
      </c>
      <c r="E262" s="18">
        <f>ROUND(9874*1.05,2)</f>
      </c>
      <c r="F262" s="17" t="s">
        <v>40</v>
      </c>
      <c r="G262" s="17" t="s">
        <v>24</v>
      </c>
      <c r="H262" s="18">
        <f>ROUND(RAND()*4+6,1)</f>
      </c>
      <c r="I262" s="17" t="s">
        <v>41</v>
      </c>
      <c r="J262" s="19">
        <f>ROUND(92*1,0)&amp;"%"</f>
      </c>
    </row>
    <row x14ac:dyDescent="0.25" r="263" customHeight="1" ht="17.25">
      <c r="A263" s="20" t="s">
        <v>4301</v>
      </c>
      <c r="B263" s="20" t="s">
        <v>432</v>
      </c>
      <c r="C263" s="20" t="s">
        <v>15</v>
      </c>
      <c r="D263" s="20" t="s">
        <v>67</v>
      </c>
      <c r="E263" s="21">
        <f>ROUND(7807*1.05,2)</f>
      </c>
      <c r="F263" s="20" t="s">
        <v>44</v>
      </c>
      <c r="G263" s="20" t="s">
        <v>30</v>
      </c>
      <c r="H263" s="21">
        <f>ROUND(RAND()*4+6,1)</f>
      </c>
      <c r="I263" s="20" t="s">
        <v>45</v>
      </c>
      <c r="J263" s="23">
        <f>ROUND(69*1,0)&amp;"%"</f>
      </c>
    </row>
    <row x14ac:dyDescent="0.25" r="264" customHeight="1" ht="17.25">
      <c r="A264" s="17" t="s">
        <v>4302</v>
      </c>
      <c r="B264" s="17" t="s">
        <v>434</v>
      </c>
      <c r="C264" s="17" t="s">
        <v>15</v>
      </c>
      <c r="D264" s="17" t="s">
        <v>16</v>
      </c>
      <c r="E264" s="18">
        <f>ROUND(6648*1.05,2)</f>
      </c>
      <c r="F264" s="17" t="s">
        <v>48</v>
      </c>
      <c r="G264" s="17" t="s">
        <v>18</v>
      </c>
      <c r="H264" s="18">
        <f>ROUND(RAND()*4+6,1)</f>
      </c>
      <c r="I264" s="17" t="s">
        <v>19</v>
      </c>
      <c r="J264" s="19">
        <f>ROUND(92*1,0)&amp;"%"</f>
      </c>
    </row>
    <row x14ac:dyDescent="0.25" r="265" customHeight="1" ht="17.25">
      <c r="A265" s="20" t="s">
        <v>4303</v>
      </c>
      <c r="B265" s="20" t="s">
        <v>436</v>
      </c>
      <c r="C265" s="20" t="s">
        <v>15</v>
      </c>
      <c r="D265" s="20" t="s">
        <v>22</v>
      </c>
      <c r="E265" s="21">
        <f>ROUND(4604*1.05,2)</f>
      </c>
      <c r="F265" s="20" t="s">
        <v>51</v>
      </c>
      <c r="G265" s="20" t="s">
        <v>24</v>
      </c>
      <c r="H265" s="21">
        <f>ROUND(RAND()*4+6,1)</f>
      </c>
      <c r="I265" s="20" t="s">
        <v>25</v>
      </c>
      <c r="J265" s="23">
        <f>ROUND(67*1,0)&amp;"%"</f>
      </c>
    </row>
    <row x14ac:dyDescent="0.25" r="266" customHeight="1" ht="17.25">
      <c r="A266" s="24" t="s">
        <v>437</v>
      </c>
      <c r="B266" s="24"/>
      <c r="C266" s="24"/>
      <c r="D266" s="24"/>
      <c r="E266" s="25">
        <v>8</v>
      </c>
      <c r="F266" s="9"/>
      <c r="G266" s="9"/>
      <c r="H266" s="10"/>
      <c r="I266" s="9"/>
      <c r="J266" s="9"/>
    </row>
    <row x14ac:dyDescent="0.25" r="267" customHeight="1" ht="17.25">
      <c r="A267" s="7"/>
      <c r="B267" s="7"/>
      <c r="C267" s="7"/>
      <c r="D267" s="7"/>
      <c r="E267" s="8"/>
      <c r="F267" s="9"/>
      <c r="G267" s="9"/>
      <c r="H267" s="10"/>
      <c r="I267" s="9"/>
      <c r="J267" s="9"/>
    </row>
    <row x14ac:dyDescent="0.25" r="268" customHeight="1" ht="17.25">
      <c r="A268" s="11" t="s">
        <v>4304</v>
      </c>
      <c r="B268" s="11"/>
      <c r="C268" s="11"/>
      <c r="D268" s="11"/>
      <c r="E268" s="12"/>
      <c r="F268" s="11"/>
      <c r="G268" s="11"/>
      <c r="H268" s="13"/>
      <c r="I268" s="11"/>
      <c r="J268" s="11"/>
    </row>
    <row x14ac:dyDescent="0.25" r="269" customHeight="1" ht="17.25">
      <c r="A269" s="14" t="s">
        <v>3</v>
      </c>
      <c r="B269" s="14" t="s">
        <v>4</v>
      </c>
      <c r="C269" s="14" t="s">
        <v>5</v>
      </c>
      <c r="D269" s="14" t="s">
        <v>6</v>
      </c>
      <c r="E269" s="15" t="s">
        <v>7</v>
      </c>
      <c r="F269" s="14" t="s">
        <v>8</v>
      </c>
      <c r="G269" s="14" t="s">
        <v>9</v>
      </c>
      <c r="H269" s="16" t="s">
        <v>10</v>
      </c>
      <c r="I269" s="14" t="s">
        <v>11</v>
      </c>
      <c r="J269" s="14" t="s">
        <v>12</v>
      </c>
    </row>
    <row x14ac:dyDescent="0.25" r="270" customHeight="1" ht="17.25">
      <c r="A270" s="17" t="s">
        <v>4305</v>
      </c>
      <c r="B270" s="17" t="s">
        <v>440</v>
      </c>
      <c r="C270" s="17" t="s">
        <v>56</v>
      </c>
      <c r="D270" s="17" t="s">
        <v>16</v>
      </c>
      <c r="E270" s="18">
        <f>ROUND(6625*1.05,2)</f>
      </c>
      <c r="F270" s="17" t="s">
        <v>17</v>
      </c>
      <c r="G270" s="17" t="s">
        <v>18</v>
      </c>
      <c r="H270" s="18">
        <f>ROUND(RAND()*4+6,1)</f>
      </c>
      <c r="I270" s="17" t="s">
        <v>19</v>
      </c>
      <c r="J270" s="19">
        <f>ROUND(92*1,0)&amp;"%"</f>
      </c>
    </row>
    <row x14ac:dyDescent="0.25" r="271" customHeight="1" ht="17.25">
      <c r="A271" s="20" t="s">
        <v>4306</v>
      </c>
      <c r="B271" s="20" t="s">
        <v>442</v>
      </c>
      <c r="C271" s="20" t="s">
        <v>56</v>
      </c>
      <c r="D271" s="20" t="s">
        <v>22</v>
      </c>
      <c r="E271" s="21">
        <f>ROUND(16254*1.05,2)</f>
      </c>
      <c r="F271" s="20" t="s">
        <v>23</v>
      </c>
      <c r="G271" s="20" t="s">
        <v>24</v>
      </c>
      <c r="H271" s="21">
        <f>ROUND(RAND()*4+6,1)</f>
      </c>
      <c r="I271" s="20" t="s">
        <v>25</v>
      </c>
      <c r="J271" s="23">
        <f>ROUND(66*1,0)&amp;"%"</f>
      </c>
    </row>
    <row x14ac:dyDescent="0.25" r="272" customHeight="1" ht="17.25">
      <c r="A272" s="17" t="s">
        <v>4307</v>
      </c>
      <c r="B272" s="17" t="s">
        <v>444</v>
      </c>
      <c r="C272" s="17" t="s">
        <v>56</v>
      </c>
      <c r="D272" s="17" t="s">
        <v>28</v>
      </c>
      <c r="E272" s="18">
        <f>ROUND(9124*1.05,2)</f>
      </c>
      <c r="F272" s="17" t="s">
        <v>29</v>
      </c>
      <c r="G272" s="17" t="s">
        <v>30</v>
      </c>
      <c r="H272" s="26">
        <f>ROUND(RAND()*4+6,1)</f>
      </c>
      <c r="I272" s="17" t="s">
        <v>31</v>
      </c>
      <c r="J272" s="19">
        <f>ROUND(84*1,0)&amp;"%"</f>
      </c>
    </row>
    <row x14ac:dyDescent="0.25" r="273" customHeight="1" ht="17.25">
      <c r="A273" s="20" t="s">
        <v>4308</v>
      </c>
      <c r="B273" s="20" t="s">
        <v>446</v>
      </c>
      <c r="C273" s="20" t="s">
        <v>56</v>
      </c>
      <c r="D273" s="20" t="s">
        <v>34</v>
      </c>
      <c r="E273" s="21">
        <f>ROUND(6409*1.05,2)</f>
      </c>
      <c r="F273" s="20" t="s">
        <v>35</v>
      </c>
      <c r="G273" s="20" t="s">
        <v>18</v>
      </c>
      <c r="H273" s="21">
        <f>ROUND(RAND()*4+6,1)</f>
      </c>
      <c r="I273" s="20" t="s">
        <v>36</v>
      </c>
      <c r="J273" s="23">
        <f>ROUND(80*1,0)&amp;"%"</f>
      </c>
    </row>
    <row x14ac:dyDescent="0.25" r="274" customHeight="1" ht="17.25">
      <c r="A274" s="17" t="s">
        <v>4309</v>
      </c>
      <c r="B274" s="17" t="s">
        <v>448</v>
      </c>
      <c r="C274" s="17" t="s">
        <v>56</v>
      </c>
      <c r="D274" s="17" t="s">
        <v>39</v>
      </c>
      <c r="E274" s="18">
        <f>ROUND(13459*1.05,2)</f>
      </c>
      <c r="F274" s="17" t="s">
        <v>40</v>
      </c>
      <c r="G274" s="17" t="s">
        <v>24</v>
      </c>
      <c r="H274" s="18">
        <f>ROUND(RAND()*4+6,1)</f>
      </c>
      <c r="I274" s="17" t="s">
        <v>41</v>
      </c>
      <c r="J274" s="19">
        <f>ROUND(70*1,0)&amp;"%"</f>
      </c>
    </row>
    <row x14ac:dyDescent="0.25" r="275" customHeight="1" ht="17.25">
      <c r="A275" s="20" t="s">
        <v>4310</v>
      </c>
      <c r="B275" s="20" t="s">
        <v>450</v>
      </c>
      <c r="C275" s="20" t="s">
        <v>56</v>
      </c>
      <c r="D275" s="20" t="s">
        <v>67</v>
      </c>
      <c r="E275" s="21">
        <f>ROUND(4910*1.05,2)</f>
      </c>
      <c r="F275" s="20" t="s">
        <v>44</v>
      </c>
      <c r="G275" s="20" t="s">
        <v>30</v>
      </c>
      <c r="H275" s="21">
        <f>ROUND(RAND()*4+6,1)</f>
      </c>
      <c r="I275" s="20" t="s">
        <v>45</v>
      </c>
      <c r="J275" s="23">
        <f>ROUND(96*1,0)&amp;"%"</f>
      </c>
    </row>
    <row x14ac:dyDescent="0.25" r="276" customHeight="1" ht="17.25">
      <c r="A276" s="17" t="s">
        <v>4311</v>
      </c>
      <c r="B276" s="17" t="s">
        <v>452</v>
      </c>
      <c r="C276" s="17" t="s">
        <v>56</v>
      </c>
      <c r="D276" s="17" t="s">
        <v>16</v>
      </c>
      <c r="E276" s="18">
        <f>ROUND(16386*1.05,2)</f>
      </c>
      <c r="F276" s="17" t="s">
        <v>48</v>
      </c>
      <c r="G276" s="17" t="s">
        <v>18</v>
      </c>
      <c r="H276" s="18">
        <f>ROUND(RAND()*4+6,1)</f>
      </c>
      <c r="I276" s="17" t="s">
        <v>19</v>
      </c>
      <c r="J276" s="19">
        <f>ROUND(97*1,0)&amp;"%"</f>
      </c>
    </row>
    <row x14ac:dyDescent="0.25" r="277" customHeight="1" ht="17.25">
      <c r="A277" s="20" t="s">
        <v>4312</v>
      </c>
      <c r="B277" s="20" t="s">
        <v>454</v>
      </c>
      <c r="C277" s="20" t="s">
        <v>56</v>
      </c>
      <c r="D277" s="20" t="s">
        <v>22</v>
      </c>
      <c r="E277" s="21">
        <f>ROUND(6774*1.05,2)</f>
      </c>
      <c r="F277" s="20" t="s">
        <v>51</v>
      </c>
      <c r="G277" s="20" t="s">
        <v>24</v>
      </c>
      <c r="H277" s="21">
        <f>ROUND(RAND()*4+6,1)</f>
      </c>
      <c r="I277" s="20" t="s">
        <v>25</v>
      </c>
      <c r="J277" s="23">
        <f>ROUND(62*1,0)&amp;"%"</f>
      </c>
    </row>
    <row x14ac:dyDescent="0.25" r="278" customHeight="1" ht="17.25">
      <c r="A278" s="24" t="s">
        <v>455</v>
      </c>
      <c r="B278" s="24"/>
      <c r="C278" s="24"/>
      <c r="D278" s="24"/>
      <c r="E278" s="25">
        <v>8</v>
      </c>
      <c r="F278" s="9"/>
      <c r="G278" s="9"/>
      <c r="H278" s="10"/>
      <c r="I278" s="9"/>
      <c r="J278" s="9"/>
    </row>
    <row x14ac:dyDescent="0.25" r="279" customHeight="1" ht="17.25">
      <c r="A279" s="7"/>
      <c r="B279" s="7"/>
      <c r="C279" s="7"/>
      <c r="D279" s="7"/>
      <c r="E279" s="8"/>
      <c r="F279" s="9"/>
      <c r="G279" s="9"/>
      <c r="H279" s="10"/>
      <c r="I279" s="9"/>
      <c r="J279" s="9"/>
    </row>
    <row x14ac:dyDescent="0.25" r="280" customHeight="1" ht="17.25">
      <c r="A280" s="11" t="s">
        <v>4313</v>
      </c>
      <c r="B280" s="11"/>
      <c r="C280" s="11"/>
      <c r="D280" s="11"/>
      <c r="E280" s="12"/>
      <c r="F280" s="11"/>
      <c r="G280" s="11"/>
      <c r="H280" s="13"/>
      <c r="I280" s="11"/>
      <c r="J280" s="11"/>
    </row>
    <row x14ac:dyDescent="0.25" r="281" customHeight="1" ht="17.25">
      <c r="A281" s="14" t="s">
        <v>3</v>
      </c>
      <c r="B281" s="14" t="s">
        <v>4</v>
      </c>
      <c r="C281" s="14" t="s">
        <v>5</v>
      </c>
      <c r="D281" s="14" t="s">
        <v>6</v>
      </c>
      <c r="E281" s="15" t="s">
        <v>7</v>
      </c>
      <c r="F281" s="14" t="s">
        <v>8</v>
      </c>
      <c r="G281" s="14" t="s">
        <v>9</v>
      </c>
      <c r="H281" s="16" t="s">
        <v>10</v>
      </c>
      <c r="I281" s="14" t="s">
        <v>11</v>
      </c>
      <c r="J281" s="14" t="s">
        <v>12</v>
      </c>
    </row>
    <row x14ac:dyDescent="0.25" r="282" customHeight="1" ht="17.25">
      <c r="A282" s="17" t="s">
        <v>4314</v>
      </c>
      <c r="B282" s="17" t="s">
        <v>458</v>
      </c>
      <c r="C282" s="17" t="s">
        <v>76</v>
      </c>
      <c r="D282" s="17" t="s">
        <v>16</v>
      </c>
      <c r="E282" s="18">
        <f>ROUND(16412*1.05,2)</f>
      </c>
      <c r="F282" s="17" t="s">
        <v>17</v>
      </c>
      <c r="G282" s="17" t="s">
        <v>18</v>
      </c>
      <c r="H282" s="18">
        <f>ROUND(RAND()*4+6,1)</f>
      </c>
      <c r="I282" s="17" t="s">
        <v>19</v>
      </c>
      <c r="J282" s="19">
        <f>ROUND(84*1,0)&amp;"%"</f>
      </c>
    </row>
    <row x14ac:dyDescent="0.25" r="283" customHeight="1" ht="17.25">
      <c r="A283" s="20" t="s">
        <v>4315</v>
      </c>
      <c r="B283" s="20" t="s">
        <v>460</v>
      </c>
      <c r="C283" s="20" t="s">
        <v>76</v>
      </c>
      <c r="D283" s="20" t="s">
        <v>22</v>
      </c>
      <c r="E283" s="21">
        <f>ROUND(5065*1.05,2)</f>
      </c>
      <c r="F283" s="20" t="s">
        <v>23</v>
      </c>
      <c r="G283" s="20" t="s">
        <v>24</v>
      </c>
      <c r="H283" s="22">
        <f>ROUND(RAND()*4+6,1)</f>
      </c>
      <c r="I283" s="20" t="s">
        <v>25</v>
      </c>
      <c r="J283" s="23">
        <f>ROUND(74*1,0)&amp;"%"</f>
      </c>
    </row>
    <row x14ac:dyDescent="0.25" r="284" customHeight="1" ht="17.25">
      <c r="A284" s="17" t="s">
        <v>4316</v>
      </c>
      <c r="B284" s="17" t="s">
        <v>462</v>
      </c>
      <c r="C284" s="17" t="s">
        <v>76</v>
      </c>
      <c r="D284" s="17" t="s">
        <v>28</v>
      </c>
      <c r="E284" s="18">
        <f>ROUND(15331*1.05,2)</f>
      </c>
      <c r="F284" s="17" t="s">
        <v>29</v>
      </c>
      <c r="G284" s="17" t="s">
        <v>30</v>
      </c>
      <c r="H284" s="18">
        <f>ROUND(RAND()*4+6,1)</f>
      </c>
      <c r="I284" s="17" t="s">
        <v>31</v>
      </c>
      <c r="J284" s="19">
        <f>ROUND(69*1,0)&amp;"%"</f>
      </c>
    </row>
    <row x14ac:dyDescent="0.25" r="285" customHeight="1" ht="17.25">
      <c r="A285" s="20" t="s">
        <v>4317</v>
      </c>
      <c r="B285" s="20" t="s">
        <v>464</v>
      </c>
      <c r="C285" s="20" t="s">
        <v>76</v>
      </c>
      <c r="D285" s="20" t="s">
        <v>34</v>
      </c>
      <c r="E285" s="21">
        <f>ROUND(15983*1.05,2)</f>
      </c>
      <c r="F285" s="20" t="s">
        <v>35</v>
      </c>
      <c r="G285" s="20" t="s">
        <v>18</v>
      </c>
      <c r="H285" s="21">
        <f>ROUND(RAND()*4+6,1)</f>
      </c>
      <c r="I285" s="20" t="s">
        <v>36</v>
      </c>
      <c r="J285" s="23">
        <f>ROUND(85*1,0)&amp;"%"</f>
      </c>
    </row>
    <row x14ac:dyDescent="0.25" r="286" customHeight="1" ht="17.25">
      <c r="A286" s="17" t="s">
        <v>4318</v>
      </c>
      <c r="B286" s="17" t="s">
        <v>466</v>
      </c>
      <c r="C286" s="17" t="s">
        <v>76</v>
      </c>
      <c r="D286" s="17" t="s">
        <v>39</v>
      </c>
      <c r="E286" s="18">
        <f>ROUND(4148*1.05,2)</f>
      </c>
      <c r="F286" s="17" t="s">
        <v>40</v>
      </c>
      <c r="G286" s="17" t="s">
        <v>24</v>
      </c>
      <c r="H286" s="18">
        <f>ROUND(RAND()*4+6,1)</f>
      </c>
      <c r="I286" s="17" t="s">
        <v>41</v>
      </c>
      <c r="J286" s="19">
        <f>ROUND(82*1,0)&amp;"%"</f>
      </c>
    </row>
    <row x14ac:dyDescent="0.25" r="287" customHeight="1" ht="17.25">
      <c r="A287" s="20" t="s">
        <v>4319</v>
      </c>
      <c r="B287" s="20" t="s">
        <v>468</v>
      </c>
      <c r="C287" s="20" t="s">
        <v>76</v>
      </c>
      <c r="D287" s="20" t="s">
        <v>67</v>
      </c>
      <c r="E287" s="21">
        <f>ROUND(15102*1.05,2)</f>
      </c>
      <c r="F287" s="20" t="s">
        <v>44</v>
      </c>
      <c r="G287" s="20" t="s">
        <v>30</v>
      </c>
      <c r="H287" s="21">
        <f>ROUND(RAND()*4+6,1)</f>
      </c>
      <c r="I287" s="20" t="s">
        <v>45</v>
      </c>
      <c r="J287" s="23">
        <f>ROUND(98*1,0)&amp;"%"</f>
      </c>
    </row>
    <row x14ac:dyDescent="0.25" r="288" customHeight="1" ht="17.25">
      <c r="A288" s="17" t="s">
        <v>4320</v>
      </c>
      <c r="B288" s="17" t="s">
        <v>470</v>
      </c>
      <c r="C288" s="17" t="s">
        <v>76</v>
      </c>
      <c r="D288" s="17" t="s">
        <v>16</v>
      </c>
      <c r="E288" s="18">
        <f>ROUND(11636*1.05,2)</f>
      </c>
      <c r="F288" s="17" t="s">
        <v>48</v>
      </c>
      <c r="G288" s="17" t="s">
        <v>18</v>
      </c>
      <c r="H288" s="18">
        <f>ROUND(RAND()*4+6,1)</f>
      </c>
      <c r="I288" s="17" t="s">
        <v>19</v>
      </c>
      <c r="J288" s="19">
        <f>ROUND(63*1,0)&amp;"%"</f>
      </c>
    </row>
    <row x14ac:dyDescent="0.25" r="289" customHeight="1" ht="17.25">
      <c r="A289" s="20" t="s">
        <v>4321</v>
      </c>
      <c r="B289" s="20" t="s">
        <v>472</v>
      </c>
      <c r="C289" s="20" t="s">
        <v>76</v>
      </c>
      <c r="D289" s="20" t="s">
        <v>22</v>
      </c>
      <c r="E289" s="21">
        <f>ROUND(9914*1.05,2)</f>
      </c>
      <c r="F289" s="20" t="s">
        <v>51</v>
      </c>
      <c r="G289" s="20" t="s">
        <v>24</v>
      </c>
      <c r="H289" s="21">
        <f>ROUND(RAND()*4+6,1)</f>
      </c>
      <c r="I289" s="20" t="s">
        <v>25</v>
      </c>
      <c r="J289" s="23">
        <f>ROUND(73*1,0)&amp;"%"</f>
      </c>
    </row>
    <row x14ac:dyDescent="0.25" r="290" customHeight="1" ht="17.25">
      <c r="A290" s="24" t="s">
        <v>473</v>
      </c>
      <c r="B290" s="24"/>
      <c r="C290" s="24"/>
      <c r="D290" s="24"/>
      <c r="E290" s="25">
        <v>8</v>
      </c>
      <c r="F290" s="9"/>
      <c r="G290" s="9"/>
      <c r="H290" s="10"/>
      <c r="I290" s="9"/>
      <c r="J290" s="9"/>
    </row>
    <row x14ac:dyDescent="0.25" r="291" customHeight="1" ht="17.25">
      <c r="A291" s="7"/>
      <c r="B291" s="7"/>
      <c r="C291" s="7"/>
      <c r="D291" s="7"/>
      <c r="E291" s="8"/>
      <c r="F291" s="9"/>
      <c r="G291" s="9"/>
      <c r="H291" s="10"/>
      <c r="I291" s="9"/>
      <c r="J291" s="9"/>
    </row>
    <row x14ac:dyDescent="0.25" r="292" customHeight="1" ht="17.25">
      <c r="A292" s="11" t="s">
        <v>4322</v>
      </c>
      <c r="B292" s="11"/>
      <c r="C292" s="11"/>
      <c r="D292" s="11"/>
      <c r="E292" s="12"/>
      <c r="F292" s="11"/>
      <c r="G292" s="11"/>
      <c r="H292" s="13"/>
      <c r="I292" s="11"/>
      <c r="J292" s="11"/>
    </row>
    <row x14ac:dyDescent="0.25" r="293" customHeight="1" ht="17.25">
      <c r="A293" s="14" t="s">
        <v>3</v>
      </c>
      <c r="B293" s="14" t="s">
        <v>4</v>
      </c>
      <c r="C293" s="14" t="s">
        <v>5</v>
      </c>
      <c r="D293" s="14" t="s">
        <v>6</v>
      </c>
      <c r="E293" s="15" t="s">
        <v>7</v>
      </c>
      <c r="F293" s="14" t="s">
        <v>8</v>
      </c>
      <c r="G293" s="14" t="s">
        <v>9</v>
      </c>
      <c r="H293" s="16" t="s">
        <v>10</v>
      </c>
      <c r="I293" s="14" t="s">
        <v>11</v>
      </c>
      <c r="J293" s="14" t="s">
        <v>12</v>
      </c>
    </row>
    <row x14ac:dyDescent="0.25" r="294" customHeight="1" ht="17.25">
      <c r="A294" s="17" t="s">
        <v>4323</v>
      </c>
      <c r="B294" s="17" t="s">
        <v>476</v>
      </c>
      <c r="C294" s="17" t="s">
        <v>95</v>
      </c>
      <c r="D294" s="17" t="s">
        <v>16</v>
      </c>
      <c r="E294" s="18">
        <f>ROUND(13283*1.05,2)</f>
      </c>
      <c r="F294" s="17" t="s">
        <v>17</v>
      </c>
      <c r="G294" s="17" t="s">
        <v>18</v>
      </c>
      <c r="H294" s="18">
        <f>ROUND(RAND()*4+6,1)</f>
      </c>
      <c r="I294" s="17" t="s">
        <v>19</v>
      </c>
      <c r="J294" s="19">
        <f>ROUND(88*1,0)&amp;"%"</f>
      </c>
    </row>
    <row x14ac:dyDescent="0.25" r="295" customHeight="1" ht="17.25">
      <c r="A295" s="20" t="s">
        <v>4324</v>
      </c>
      <c r="B295" s="20" t="s">
        <v>478</v>
      </c>
      <c r="C295" s="20" t="s">
        <v>95</v>
      </c>
      <c r="D295" s="20" t="s">
        <v>22</v>
      </c>
      <c r="E295" s="21">
        <f>ROUND(8619*1.05,2)</f>
      </c>
      <c r="F295" s="20" t="s">
        <v>23</v>
      </c>
      <c r="G295" s="20" t="s">
        <v>24</v>
      </c>
      <c r="H295" s="21">
        <f>ROUND(RAND()*4+6,1)</f>
      </c>
      <c r="I295" s="20" t="s">
        <v>25</v>
      </c>
      <c r="J295" s="23">
        <f>ROUND(77*1,0)&amp;"%"</f>
      </c>
    </row>
    <row x14ac:dyDescent="0.25" r="296" customHeight="1" ht="17.25">
      <c r="A296" s="17" t="s">
        <v>4325</v>
      </c>
      <c r="B296" s="17" t="s">
        <v>480</v>
      </c>
      <c r="C296" s="17" t="s">
        <v>95</v>
      </c>
      <c r="D296" s="17" t="s">
        <v>28</v>
      </c>
      <c r="E296" s="26">
        <f>ROUND(10340*1.05,2)</f>
      </c>
      <c r="F296" s="17" t="s">
        <v>29</v>
      </c>
      <c r="G296" s="17" t="s">
        <v>30</v>
      </c>
      <c r="H296" s="18">
        <f>ROUND(RAND()*4+6,1)</f>
      </c>
      <c r="I296" s="17" t="s">
        <v>31</v>
      </c>
      <c r="J296" s="19">
        <f>ROUND(90*1,0)&amp;"%"</f>
      </c>
    </row>
    <row x14ac:dyDescent="0.25" r="297" customHeight="1" ht="17.25">
      <c r="A297" s="20" t="s">
        <v>4326</v>
      </c>
      <c r="B297" s="20" t="s">
        <v>482</v>
      </c>
      <c r="C297" s="20" t="s">
        <v>95</v>
      </c>
      <c r="D297" s="20" t="s">
        <v>34</v>
      </c>
      <c r="E297" s="21">
        <f>ROUND(6874*1.05,2)</f>
      </c>
      <c r="F297" s="20" t="s">
        <v>35</v>
      </c>
      <c r="G297" s="20" t="s">
        <v>18</v>
      </c>
      <c r="H297" s="21">
        <f>ROUND(RAND()*4+6,1)</f>
      </c>
      <c r="I297" s="20" t="s">
        <v>36</v>
      </c>
      <c r="J297" s="23">
        <f>ROUND(72*1,0)&amp;"%"</f>
      </c>
    </row>
    <row x14ac:dyDescent="0.25" r="298" customHeight="1" ht="17.25">
      <c r="A298" s="17" t="s">
        <v>4327</v>
      </c>
      <c r="B298" s="17" t="s">
        <v>484</v>
      </c>
      <c r="C298" s="17" t="s">
        <v>95</v>
      </c>
      <c r="D298" s="17" t="s">
        <v>39</v>
      </c>
      <c r="E298" s="18">
        <f>ROUND(10095*1.05,2)</f>
      </c>
      <c r="F298" s="17" t="s">
        <v>40</v>
      </c>
      <c r="G298" s="17" t="s">
        <v>24</v>
      </c>
      <c r="H298" s="18">
        <f>ROUND(RAND()*4+6,1)</f>
      </c>
      <c r="I298" s="17" t="s">
        <v>41</v>
      </c>
      <c r="J298" s="19">
        <f>ROUND(87*1,0)&amp;"%"</f>
      </c>
    </row>
    <row x14ac:dyDescent="0.25" r="299" customHeight="1" ht="17.25">
      <c r="A299" s="20" t="s">
        <v>4328</v>
      </c>
      <c r="B299" s="20" t="s">
        <v>486</v>
      </c>
      <c r="C299" s="20" t="s">
        <v>95</v>
      </c>
      <c r="D299" s="20" t="s">
        <v>67</v>
      </c>
      <c r="E299" s="21">
        <f>ROUND(7516*1.05,2)</f>
      </c>
      <c r="F299" s="20" t="s">
        <v>44</v>
      </c>
      <c r="G299" s="20" t="s">
        <v>30</v>
      </c>
      <c r="H299" s="21">
        <f>ROUND(RAND()*4+6,1)</f>
      </c>
      <c r="I299" s="20" t="s">
        <v>45</v>
      </c>
      <c r="J299" s="23">
        <f>ROUND(98*1,0)&amp;"%"</f>
      </c>
    </row>
    <row x14ac:dyDescent="0.25" r="300" customHeight="1" ht="17.25">
      <c r="A300" s="17" t="s">
        <v>4329</v>
      </c>
      <c r="B300" s="17" t="s">
        <v>488</v>
      </c>
      <c r="C300" s="17" t="s">
        <v>95</v>
      </c>
      <c r="D300" s="17" t="s">
        <v>16</v>
      </c>
      <c r="E300" s="18">
        <f>ROUND(13053*1.05,2)</f>
      </c>
      <c r="F300" s="17" t="s">
        <v>48</v>
      </c>
      <c r="G300" s="17" t="s">
        <v>18</v>
      </c>
      <c r="H300" s="18">
        <f>ROUND(RAND()*4+6,1)</f>
      </c>
      <c r="I300" s="17" t="s">
        <v>19</v>
      </c>
      <c r="J300" s="19">
        <f>ROUND(66*1,0)&amp;"%"</f>
      </c>
    </row>
    <row x14ac:dyDescent="0.25" r="301" customHeight="1" ht="17.25">
      <c r="A301" s="20" t="s">
        <v>4330</v>
      </c>
      <c r="B301" s="20" t="s">
        <v>490</v>
      </c>
      <c r="C301" s="20" t="s">
        <v>95</v>
      </c>
      <c r="D301" s="20" t="s">
        <v>22</v>
      </c>
      <c r="E301" s="21">
        <f>ROUND(5645*1.05,2)</f>
      </c>
      <c r="F301" s="20" t="s">
        <v>51</v>
      </c>
      <c r="G301" s="20" t="s">
        <v>24</v>
      </c>
      <c r="H301" s="21">
        <f>ROUND(RAND()*4+6,1)</f>
      </c>
      <c r="I301" s="20" t="s">
        <v>25</v>
      </c>
      <c r="J301" s="23">
        <f>ROUND(83*1,0)&amp;"%"</f>
      </c>
    </row>
    <row x14ac:dyDescent="0.25" r="302" customHeight="1" ht="17.25">
      <c r="A302" s="24" t="s">
        <v>491</v>
      </c>
      <c r="B302" s="24"/>
      <c r="C302" s="24"/>
      <c r="D302" s="24"/>
      <c r="E302" s="25">
        <v>8</v>
      </c>
      <c r="F302" s="9"/>
      <c r="G302" s="9"/>
      <c r="H302" s="10"/>
      <c r="I302" s="9"/>
      <c r="J302" s="9"/>
    </row>
    <row x14ac:dyDescent="0.25" r="303" customHeight="1" ht="17.25">
      <c r="A303" s="7"/>
      <c r="B303" s="7"/>
      <c r="C303" s="7"/>
      <c r="D303" s="7"/>
      <c r="E303" s="8"/>
      <c r="F303" s="9"/>
      <c r="G303" s="9"/>
      <c r="H303" s="10"/>
      <c r="I303" s="9"/>
      <c r="J303" s="9"/>
    </row>
    <row x14ac:dyDescent="0.25" r="304" customHeight="1" ht="17.25">
      <c r="A304" s="11" t="s">
        <v>4331</v>
      </c>
      <c r="B304" s="11"/>
      <c r="C304" s="11"/>
      <c r="D304" s="11"/>
      <c r="E304" s="12"/>
      <c r="F304" s="11"/>
      <c r="G304" s="11"/>
      <c r="H304" s="13"/>
      <c r="I304" s="11"/>
      <c r="J304" s="11"/>
    </row>
    <row x14ac:dyDescent="0.25" r="305" customHeight="1" ht="17.25">
      <c r="A305" s="14" t="s">
        <v>3</v>
      </c>
      <c r="B305" s="14" t="s">
        <v>4</v>
      </c>
      <c r="C305" s="14" t="s">
        <v>5</v>
      </c>
      <c r="D305" s="14" t="s">
        <v>6</v>
      </c>
      <c r="E305" s="15" t="s">
        <v>7</v>
      </c>
      <c r="F305" s="14" t="s">
        <v>8</v>
      </c>
      <c r="G305" s="14" t="s">
        <v>9</v>
      </c>
      <c r="H305" s="16" t="s">
        <v>10</v>
      </c>
      <c r="I305" s="14" t="s">
        <v>11</v>
      </c>
      <c r="J305" s="14" t="s">
        <v>12</v>
      </c>
    </row>
    <row x14ac:dyDescent="0.25" r="306" customHeight="1" ht="17.25">
      <c r="A306" s="17" t="s">
        <v>4332</v>
      </c>
      <c r="B306" s="17" t="s">
        <v>494</v>
      </c>
      <c r="C306" s="17" t="s">
        <v>114</v>
      </c>
      <c r="D306" s="17" t="s">
        <v>16</v>
      </c>
      <c r="E306" s="26">
        <f>ROUND(6900*1.05,2)</f>
      </c>
      <c r="F306" s="17" t="s">
        <v>17</v>
      </c>
      <c r="G306" s="17" t="s">
        <v>18</v>
      </c>
      <c r="H306" s="18">
        <f>ROUND(RAND()*4+6,1)</f>
      </c>
      <c r="I306" s="17" t="s">
        <v>19</v>
      </c>
      <c r="J306" s="19">
        <f>ROUND(79*1,0)&amp;"%"</f>
      </c>
    </row>
    <row x14ac:dyDescent="0.25" r="307" customHeight="1" ht="17.25">
      <c r="A307" s="20" t="s">
        <v>4333</v>
      </c>
      <c r="B307" s="20" t="s">
        <v>496</v>
      </c>
      <c r="C307" s="20" t="s">
        <v>114</v>
      </c>
      <c r="D307" s="20" t="s">
        <v>22</v>
      </c>
      <c r="E307" s="22">
        <f>ROUND(14280*1.05,2)</f>
      </c>
      <c r="F307" s="20" t="s">
        <v>23</v>
      </c>
      <c r="G307" s="20" t="s">
        <v>24</v>
      </c>
      <c r="H307" s="22">
        <f>ROUND(RAND()*4+6,1)</f>
      </c>
      <c r="I307" s="20" t="s">
        <v>25</v>
      </c>
      <c r="J307" s="23">
        <f>ROUND(91*1,0)&amp;"%"</f>
      </c>
    </row>
    <row x14ac:dyDescent="0.25" r="308" customHeight="1" ht="17.25">
      <c r="A308" s="17" t="s">
        <v>4334</v>
      </c>
      <c r="B308" s="17" t="s">
        <v>498</v>
      </c>
      <c r="C308" s="17" t="s">
        <v>114</v>
      </c>
      <c r="D308" s="17" t="s">
        <v>28</v>
      </c>
      <c r="E308" s="18">
        <f>ROUND(11748*1.05,2)</f>
      </c>
      <c r="F308" s="17" t="s">
        <v>29</v>
      </c>
      <c r="G308" s="17" t="s">
        <v>30</v>
      </c>
      <c r="H308" s="18">
        <f>ROUND(RAND()*4+6,1)</f>
      </c>
      <c r="I308" s="17" t="s">
        <v>31</v>
      </c>
      <c r="J308" s="19">
        <f>ROUND(100*1,0)&amp;"%"</f>
      </c>
    </row>
    <row x14ac:dyDescent="0.25" r="309" customHeight="1" ht="17.25">
      <c r="A309" s="20" t="s">
        <v>4335</v>
      </c>
      <c r="B309" s="20" t="s">
        <v>500</v>
      </c>
      <c r="C309" s="20" t="s">
        <v>114</v>
      </c>
      <c r="D309" s="20" t="s">
        <v>34</v>
      </c>
      <c r="E309" s="21">
        <f>ROUND(14181*1.05,2)</f>
      </c>
      <c r="F309" s="20" t="s">
        <v>35</v>
      </c>
      <c r="G309" s="20" t="s">
        <v>18</v>
      </c>
      <c r="H309" s="21">
        <f>ROUND(RAND()*4+6,1)</f>
      </c>
      <c r="I309" s="20" t="s">
        <v>36</v>
      </c>
      <c r="J309" s="23">
        <f>ROUND(67*1,0)&amp;"%"</f>
      </c>
    </row>
    <row x14ac:dyDescent="0.25" r="310" customHeight="1" ht="17.25">
      <c r="A310" s="17" t="s">
        <v>4336</v>
      </c>
      <c r="B310" s="17" t="s">
        <v>502</v>
      </c>
      <c r="C310" s="17" t="s">
        <v>114</v>
      </c>
      <c r="D310" s="17" t="s">
        <v>39</v>
      </c>
      <c r="E310" s="18">
        <f>ROUND(4170*1.05,2)</f>
      </c>
      <c r="F310" s="17" t="s">
        <v>40</v>
      </c>
      <c r="G310" s="17" t="s">
        <v>24</v>
      </c>
      <c r="H310" s="18">
        <f>ROUND(RAND()*4+6,1)</f>
      </c>
      <c r="I310" s="17" t="s">
        <v>41</v>
      </c>
      <c r="J310" s="19">
        <f>ROUND(82*1,0)&amp;"%"</f>
      </c>
    </row>
    <row x14ac:dyDescent="0.25" r="311" customHeight="1" ht="17.25">
      <c r="A311" s="20" t="s">
        <v>4337</v>
      </c>
      <c r="B311" s="20" t="s">
        <v>504</v>
      </c>
      <c r="C311" s="20" t="s">
        <v>114</v>
      </c>
      <c r="D311" s="20" t="s">
        <v>67</v>
      </c>
      <c r="E311" s="21">
        <f>ROUND(16009*1.05,2)</f>
      </c>
      <c r="F311" s="20" t="s">
        <v>44</v>
      </c>
      <c r="G311" s="20" t="s">
        <v>30</v>
      </c>
      <c r="H311" s="21">
        <f>ROUND(RAND()*4+6,1)</f>
      </c>
      <c r="I311" s="20" t="s">
        <v>45</v>
      </c>
      <c r="J311" s="23">
        <f>ROUND(100*1,0)&amp;"%"</f>
      </c>
    </row>
    <row x14ac:dyDescent="0.25" r="312" customHeight="1" ht="17.25">
      <c r="A312" s="17" t="s">
        <v>4338</v>
      </c>
      <c r="B312" s="17" t="s">
        <v>506</v>
      </c>
      <c r="C312" s="17" t="s">
        <v>114</v>
      </c>
      <c r="D312" s="17" t="s">
        <v>16</v>
      </c>
      <c r="E312" s="18">
        <f>ROUND(7203*1.05,2)</f>
      </c>
      <c r="F312" s="17" t="s">
        <v>48</v>
      </c>
      <c r="G312" s="17" t="s">
        <v>18</v>
      </c>
      <c r="H312" s="18">
        <f>ROUND(RAND()*4+6,1)</f>
      </c>
      <c r="I312" s="17" t="s">
        <v>19</v>
      </c>
      <c r="J312" s="19">
        <f>ROUND(83*1,0)&amp;"%"</f>
      </c>
    </row>
    <row x14ac:dyDescent="0.25" r="313" customHeight="1" ht="17.25">
      <c r="A313" s="20" t="s">
        <v>4339</v>
      </c>
      <c r="B313" s="20" t="s">
        <v>508</v>
      </c>
      <c r="C313" s="20" t="s">
        <v>114</v>
      </c>
      <c r="D313" s="20" t="s">
        <v>22</v>
      </c>
      <c r="E313" s="21">
        <f>ROUND(12703*1.05,2)</f>
      </c>
      <c r="F313" s="20" t="s">
        <v>51</v>
      </c>
      <c r="G313" s="20" t="s">
        <v>24</v>
      </c>
      <c r="H313" s="21">
        <f>ROUND(RAND()*4+6,1)</f>
      </c>
      <c r="I313" s="20" t="s">
        <v>25</v>
      </c>
      <c r="J313" s="23">
        <f>ROUND(90*1,0)&amp;"%"</f>
      </c>
    </row>
    <row x14ac:dyDescent="0.25" r="314" customHeight="1" ht="17.25">
      <c r="A314" s="24" t="s">
        <v>509</v>
      </c>
      <c r="B314" s="24"/>
      <c r="C314" s="24"/>
      <c r="D314" s="24"/>
      <c r="E314" s="25">
        <v>8</v>
      </c>
      <c r="F314" s="9"/>
      <c r="G314" s="9"/>
      <c r="H314" s="10"/>
      <c r="I314" s="9"/>
      <c r="J314" s="9"/>
    </row>
    <row x14ac:dyDescent="0.25" r="315" customHeight="1" ht="17.25">
      <c r="A315" s="7"/>
      <c r="B315" s="7"/>
      <c r="C315" s="7"/>
      <c r="D315" s="7"/>
      <c r="E315" s="8"/>
      <c r="F315" s="9"/>
      <c r="G315" s="9"/>
      <c r="H315" s="10"/>
      <c r="I315" s="9"/>
      <c r="J315" s="9"/>
    </row>
    <row x14ac:dyDescent="0.25" r="316" customHeight="1" ht="17.25">
      <c r="A316" s="11" t="s">
        <v>4340</v>
      </c>
      <c r="B316" s="11"/>
      <c r="C316" s="11"/>
      <c r="D316" s="11"/>
      <c r="E316" s="12"/>
      <c r="F316" s="11"/>
      <c r="G316" s="11"/>
      <c r="H316" s="13"/>
      <c r="I316" s="11"/>
      <c r="J316" s="11"/>
    </row>
    <row x14ac:dyDescent="0.25" r="317" customHeight="1" ht="17.25">
      <c r="A317" s="14" t="s">
        <v>3</v>
      </c>
      <c r="B317" s="14" t="s">
        <v>4</v>
      </c>
      <c r="C317" s="14" t="s">
        <v>5</v>
      </c>
      <c r="D317" s="14" t="s">
        <v>6</v>
      </c>
      <c r="E317" s="15" t="s">
        <v>7</v>
      </c>
      <c r="F317" s="14" t="s">
        <v>8</v>
      </c>
      <c r="G317" s="14" t="s">
        <v>9</v>
      </c>
      <c r="H317" s="16" t="s">
        <v>10</v>
      </c>
      <c r="I317" s="14" t="s">
        <v>11</v>
      </c>
      <c r="J317" s="14" t="s">
        <v>12</v>
      </c>
    </row>
    <row x14ac:dyDescent="0.25" r="318" customHeight="1" ht="17.25">
      <c r="A318" s="17" t="s">
        <v>4341</v>
      </c>
      <c r="B318" s="17" t="s">
        <v>512</v>
      </c>
      <c r="C318" s="17" t="s">
        <v>133</v>
      </c>
      <c r="D318" s="17" t="s">
        <v>16</v>
      </c>
      <c r="E318" s="18">
        <f>ROUND(4256*1.05,2)</f>
      </c>
      <c r="F318" s="17" t="s">
        <v>17</v>
      </c>
      <c r="G318" s="17" t="s">
        <v>18</v>
      </c>
      <c r="H318" s="18">
        <f>ROUND(RAND()*4+6,1)</f>
      </c>
      <c r="I318" s="17" t="s">
        <v>19</v>
      </c>
      <c r="J318" s="19">
        <f>ROUND(94*1,0)&amp;"%"</f>
      </c>
    </row>
    <row x14ac:dyDescent="0.25" r="319" customHeight="1" ht="17.25">
      <c r="A319" s="20" t="s">
        <v>4342</v>
      </c>
      <c r="B319" s="20" t="s">
        <v>514</v>
      </c>
      <c r="C319" s="20" t="s">
        <v>133</v>
      </c>
      <c r="D319" s="20" t="s">
        <v>22</v>
      </c>
      <c r="E319" s="21">
        <f>ROUND(4015*1.05,2)</f>
      </c>
      <c r="F319" s="20" t="s">
        <v>23</v>
      </c>
      <c r="G319" s="20" t="s">
        <v>24</v>
      </c>
      <c r="H319" s="21">
        <f>ROUND(RAND()*4+6,1)</f>
      </c>
      <c r="I319" s="20" t="s">
        <v>25</v>
      </c>
      <c r="J319" s="23">
        <f>ROUND(77*1,0)&amp;"%"</f>
      </c>
    </row>
    <row x14ac:dyDescent="0.25" r="320" customHeight="1" ht="17.25">
      <c r="A320" s="17" t="s">
        <v>4343</v>
      </c>
      <c r="B320" s="17" t="s">
        <v>516</v>
      </c>
      <c r="C320" s="17" t="s">
        <v>133</v>
      </c>
      <c r="D320" s="17" t="s">
        <v>28</v>
      </c>
      <c r="E320" s="18">
        <f>ROUND(12802*1.05,2)</f>
      </c>
      <c r="F320" s="17" t="s">
        <v>29</v>
      </c>
      <c r="G320" s="17" t="s">
        <v>30</v>
      </c>
      <c r="H320" s="18">
        <f>ROUND(RAND()*4+6,1)</f>
      </c>
      <c r="I320" s="17" t="s">
        <v>31</v>
      </c>
      <c r="J320" s="19">
        <f>ROUND(100*1,0)&amp;"%"</f>
      </c>
    </row>
    <row x14ac:dyDescent="0.25" r="321" customHeight="1" ht="17.25">
      <c r="A321" s="20" t="s">
        <v>4344</v>
      </c>
      <c r="B321" s="20" t="s">
        <v>518</v>
      </c>
      <c r="C321" s="20" t="s">
        <v>133</v>
      </c>
      <c r="D321" s="20" t="s">
        <v>34</v>
      </c>
      <c r="E321" s="21">
        <f>ROUND(15965*1.05,2)</f>
      </c>
      <c r="F321" s="20" t="s">
        <v>35</v>
      </c>
      <c r="G321" s="20" t="s">
        <v>18</v>
      </c>
      <c r="H321" s="21">
        <f>ROUND(RAND()*4+6,1)</f>
      </c>
      <c r="I321" s="20" t="s">
        <v>36</v>
      </c>
      <c r="J321" s="23">
        <f>ROUND(68*1,0)&amp;"%"</f>
      </c>
    </row>
    <row x14ac:dyDescent="0.25" r="322" customHeight="1" ht="17.25">
      <c r="A322" s="17" t="s">
        <v>4345</v>
      </c>
      <c r="B322" s="17" t="s">
        <v>520</v>
      </c>
      <c r="C322" s="17" t="s">
        <v>133</v>
      </c>
      <c r="D322" s="17" t="s">
        <v>39</v>
      </c>
      <c r="E322" s="18">
        <f>ROUND(10562*1.05,2)</f>
      </c>
      <c r="F322" s="17" t="s">
        <v>40</v>
      </c>
      <c r="G322" s="17" t="s">
        <v>24</v>
      </c>
      <c r="H322" s="18">
        <f>ROUND(RAND()*4+6,1)</f>
      </c>
      <c r="I322" s="17" t="s">
        <v>41</v>
      </c>
      <c r="J322" s="19">
        <f>ROUND(97*1,0)&amp;"%"</f>
      </c>
    </row>
    <row x14ac:dyDescent="0.25" r="323" customHeight="1" ht="17.25">
      <c r="A323" s="20" t="s">
        <v>4346</v>
      </c>
      <c r="B323" s="20" t="s">
        <v>522</v>
      </c>
      <c r="C323" s="20" t="s">
        <v>133</v>
      </c>
      <c r="D323" s="20" t="s">
        <v>67</v>
      </c>
      <c r="E323" s="21">
        <f>ROUND(10598*1.05,2)</f>
      </c>
      <c r="F323" s="20" t="s">
        <v>44</v>
      </c>
      <c r="G323" s="20" t="s">
        <v>30</v>
      </c>
      <c r="H323" s="21">
        <f>ROUND(RAND()*4+6,1)</f>
      </c>
      <c r="I323" s="20" t="s">
        <v>45</v>
      </c>
      <c r="J323" s="23">
        <f>ROUND(77*1,0)&amp;"%"</f>
      </c>
    </row>
    <row x14ac:dyDescent="0.25" r="324" customHeight="1" ht="17.25">
      <c r="A324" s="17" t="s">
        <v>4347</v>
      </c>
      <c r="B324" s="17" t="s">
        <v>524</v>
      </c>
      <c r="C324" s="17" t="s">
        <v>133</v>
      </c>
      <c r="D324" s="17" t="s">
        <v>16</v>
      </c>
      <c r="E324" s="18">
        <f>ROUND(16802*1.05,2)</f>
      </c>
      <c r="F324" s="17" t="s">
        <v>48</v>
      </c>
      <c r="G324" s="17" t="s">
        <v>18</v>
      </c>
      <c r="H324" s="18">
        <f>ROUND(RAND()*4+6,1)</f>
      </c>
      <c r="I324" s="17" t="s">
        <v>19</v>
      </c>
      <c r="J324" s="19">
        <f>ROUND(94*1,0)&amp;"%"</f>
      </c>
    </row>
    <row x14ac:dyDescent="0.25" r="325" customHeight="1" ht="17.25">
      <c r="A325" s="20" t="s">
        <v>4348</v>
      </c>
      <c r="B325" s="20" t="s">
        <v>526</v>
      </c>
      <c r="C325" s="20" t="s">
        <v>133</v>
      </c>
      <c r="D325" s="20" t="s">
        <v>22</v>
      </c>
      <c r="E325" s="21">
        <f>ROUND(7492*1.05,2)</f>
      </c>
      <c r="F325" s="20" t="s">
        <v>51</v>
      </c>
      <c r="G325" s="20" t="s">
        <v>24</v>
      </c>
      <c r="H325" s="22">
        <f>ROUND(RAND()*4+6,1)</f>
      </c>
      <c r="I325" s="20" t="s">
        <v>25</v>
      </c>
      <c r="J325" s="23">
        <f>ROUND(93*1,0)&amp;"%"</f>
      </c>
    </row>
    <row x14ac:dyDescent="0.25" r="326" customHeight="1" ht="17.25">
      <c r="A326" s="24" t="s">
        <v>527</v>
      </c>
      <c r="B326" s="24"/>
      <c r="C326" s="24"/>
      <c r="D326" s="24"/>
      <c r="E326" s="25">
        <v>8</v>
      </c>
      <c r="F326" s="9"/>
      <c r="G326" s="9"/>
      <c r="H326" s="10"/>
      <c r="I326" s="9"/>
      <c r="J326" s="9"/>
    </row>
    <row x14ac:dyDescent="0.25" r="327" customHeight="1" ht="17.25">
      <c r="A327" s="7"/>
      <c r="B327" s="7"/>
      <c r="C327" s="7"/>
      <c r="D327" s="7"/>
      <c r="E327" s="8"/>
      <c r="F327" s="9"/>
      <c r="G327" s="9"/>
      <c r="H327" s="10"/>
      <c r="I327" s="9"/>
      <c r="J327" s="9"/>
    </row>
    <row x14ac:dyDescent="0.25" r="328" customHeight="1" ht="17.25">
      <c r="A328" s="11" t="s">
        <v>4349</v>
      </c>
      <c r="B328" s="11"/>
      <c r="C328" s="11"/>
      <c r="D328" s="11"/>
      <c r="E328" s="12"/>
      <c r="F328" s="11"/>
      <c r="G328" s="11"/>
      <c r="H328" s="13"/>
      <c r="I328" s="11"/>
      <c r="J328" s="11"/>
    </row>
    <row x14ac:dyDescent="0.25" r="329" customHeight="1" ht="17.25">
      <c r="A329" s="14" t="s">
        <v>3</v>
      </c>
      <c r="B329" s="14" t="s">
        <v>4</v>
      </c>
      <c r="C329" s="14" t="s">
        <v>5</v>
      </c>
      <c r="D329" s="14" t="s">
        <v>6</v>
      </c>
      <c r="E329" s="15" t="s">
        <v>7</v>
      </c>
      <c r="F329" s="14" t="s">
        <v>8</v>
      </c>
      <c r="G329" s="14" t="s">
        <v>9</v>
      </c>
      <c r="H329" s="16" t="s">
        <v>10</v>
      </c>
      <c r="I329" s="14" t="s">
        <v>11</v>
      </c>
      <c r="J329" s="14" t="s">
        <v>12</v>
      </c>
    </row>
    <row x14ac:dyDescent="0.25" r="330" customHeight="1" ht="17.25">
      <c r="A330" s="17" t="s">
        <v>4350</v>
      </c>
      <c r="B330" s="17" t="s">
        <v>530</v>
      </c>
      <c r="C330" s="17" t="s">
        <v>152</v>
      </c>
      <c r="D330" s="17" t="s">
        <v>16</v>
      </c>
      <c r="E330" s="18">
        <f>ROUND(6445*1.05,2)</f>
      </c>
      <c r="F330" s="17" t="s">
        <v>17</v>
      </c>
      <c r="G330" s="17" t="s">
        <v>18</v>
      </c>
      <c r="H330" s="18">
        <f>ROUND(RAND()*4+6,1)</f>
      </c>
      <c r="I330" s="17" t="s">
        <v>19</v>
      </c>
      <c r="J330" s="19">
        <f>ROUND(79*1,0)&amp;"%"</f>
      </c>
    </row>
    <row x14ac:dyDescent="0.25" r="331" customHeight="1" ht="17.25">
      <c r="A331" s="20" t="s">
        <v>4351</v>
      </c>
      <c r="B331" s="20" t="s">
        <v>532</v>
      </c>
      <c r="C331" s="20" t="s">
        <v>152</v>
      </c>
      <c r="D331" s="20" t="s">
        <v>22</v>
      </c>
      <c r="E331" s="21">
        <f>ROUND(6514*1.05,2)</f>
      </c>
      <c r="F331" s="20" t="s">
        <v>23</v>
      </c>
      <c r="G331" s="20" t="s">
        <v>24</v>
      </c>
      <c r="H331" s="21">
        <f>ROUND(RAND()*4+6,1)</f>
      </c>
      <c r="I331" s="20" t="s">
        <v>25</v>
      </c>
      <c r="J331" s="23">
        <f>ROUND(76*1,0)&amp;"%"</f>
      </c>
    </row>
    <row x14ac:dyDescent="0.25" r="332" customHeight="1" ht="17.25">
      <c r="A332" s="17" t="s">
        <v>4352</v>
      </c>
      <c r="B332" s="17" t="s">
        <v>534</v>
      </c>
      <c r="C332" s="17" t="s">
        <v>152</v>
      </c>
      <c r="D332" s="17" t="s">
        <v>28</v>
      </c>
      <c r="E332" s="18">
        <f>ROUND(11217*1.05,2)</f>
      </c>
      <c r="F332" s="17" t="s">
        <v>29</v>
      </c>
      <c r="G332" s="17" t="s">
        <v>30</v>
      </c>
      <c r="H332" s="18">
        <f>ROUND(RAND()*4+6,1)</f>
      </c>
      <c r="I332" s="17" t="s">
        <v>31</v>
      </c>
      <c r="J332" s="19">
        <f>ROUND(75*1,0)&amp;"%"</f>
      </c>
    </row>
    <row x14ac:dyDescent="0.25" r="333" customHeight="1" ht="17.25">
      <c r="A333" s="20" t="s">
        <v>4353</v>
      </c>
      <c r="B333" s="20" t="s">
        <v>536</v>
      </c>
      <c r="C333" s="20" t="s">
        <v>152</v>
      </c>
      <c r="D333" s="20" t="s">
        <v>34</v>
      </c>
      <c r="E333" s="21">
        <f>ROUND(10415*1.05,2)</f>
      </c>
      <c r="F333" s="20" t="s">
        <v>35</v>
      </c>
      <c r="G333" s="20" t="s">
        <v>18</v>
      </c>
      <c r="H333" s="21">
        <f>ROUND(RAND()*4+6,1)</f>
      </c>
      <c r="I333" s="20" t="s">
        <v>36</v>
      </c>
      <c r="J333" s="23">
        <f>ROUND(72*1,0)&amp;"%"</f>
      </c>
    </row>
    <row x14ac:dyDescent="0.25" r="334" customHeight="1" ht="17.25">
      <c r="A334" s="17" t="s">
        <v>4354</v>
      </c>
      <c r="B334" s="17" t="s">
        <v>538</v>
      </c>
      <c r="C334" s="17" t="s">
        <v>152</v>
      </c>
      <c r="D334" s="17" t="s">
        <v>39</v>
      </c>
      <c r="E334" s="18">
        <f>ROUND(6251*1.05,2)</f>
      </c>
      <c r="F334" s="17" t="s">
        <v>40</v>
      </c>
      <c r="G334" s="17" t="s">
        <v>24</v>
      </c>
      <c r="H334" s="18">
        <f>ROUND(RAND()*4+6,1)</f>
      </c>
      <c r="I334" s="17" t="s">
        <v>41</v>
      </c>
      <c r="J334" s="19">
        <f>ROUND(70*1,0)&amp;"%"</f>
      </c>
    </row>
    <row x14ac:dyDescent="0.25" r="335" customHeight="1" ht="17.25">
      <c r="A335" s="20" t="s">
        <v>4355</v>
      </c>
      <c r="B335" s="20" t="s">
        <v>540</v>
      </c>
      <c r="C335" s="20" t="s">
        <v>152</v>
      </c>
      <c r="D335" s="20" t="s">
        <v>67</v>
      </c>
      <c r="E335" s="21">
        <f>ROUND(5089*1.05,2)</f>
      </c>
      <c r="F335" s="20" t="s">
        <v>44</v>
      </c>
      <c r="G335" s="20" t="s">
        <v>30</v>
      </c>
      <c r="H335" s="21">
        <f>ROUND(RAND()*4+6,1)</f>
      </c>
      <c r="I335" s="20" t="s">
        <v>45</v>
      </c>
      <c r="J335" s="23">
        <f>ROUND(64*1,0)&amp;"%"</f>
      </c>
    </row>
    <row x14ac:dyDescent="0.25" r="336" customHeight="1" ht="17.25">
      <c r="A336" s="17" t="s">
        <v>4356</v>
      </c>
      <c r="B336" s="17" t="s">
        <v>542</v>
      </c>
      <c r="C336" s="17" t="s">
        <v>152</v>
      </c>
      <c r="D336" s="17" t="s">
        <v>16</v>
      </c>
      <c r="E336" s="18">
        <f>ROUND(13781*1.05,2)</f>
      </c>
      <c r="F336" s="17" t="s">
        <v>48</v>
      </c>
      <c r="G336" s="17" t="s">
        <v>18</v>
      </c>
      <c r="H336" s="18">
        <f>ROUND(RAND()*4+6,1)</f>
      </c>
      <c r="I336" s="17" t="s">
        <v>19</v>
      </c>
      <c r="J336" s="19">
        <f>ROUND(67*1,0)&amp;"%"</f>
      </c>
    </row>
    <row x14ac:dyDescent="0.25" r="337" customHeight="1" ht="17.25">
      <c r="A337" s="20" t="s">
        <v>4357</v>
      </c>
      <c r="B337" s="20" t="s">
        <v>544</v>
      </c>
      <c r="C337" s="20" t="s">
        <v>152</v>
      </c>
      <c r="D337" s="20" t="s">
        <v>22</v>
      </c>
      <c r="E337" s="22">
        <f>ROUND(14800*1.05,2)</f>
      </c>
      <c r="F337" s="20" t="s">
        <v>51</v>
      </c>
      <c r="G337" s="20" t="s">
        <v>24</v>
      </c>
      <c r="H337" s="21">
        <f>ROUND(RAND()*4+6,1)</f>
      </c>
      <c r="I337" s="20" t="s">
        <v>25</v>
      </c>
      <c r="J337" s="23">
        <f>ROUND(95*1,0)&amp;"%"</f>
      </c>
    </row>
    <row x14ac:dyDescent="0.25" r="338" customHeight="1" ht="17.25">
      <c r="A338" s="24" t="s">
        <v>545</v>
      </c>
      <c r="B338" s="24"/>
      <c r="C338" s="24"/>
      <c r="D338" s="24"/>
      <c r="E338" s="25">
        <v>8</v>
      </c>
      <c r="F338" s="9"/>
      <c r="G338" s="9"/>
      <c r="H338" s="10"/>
      <c r="I338" s="9"/>
      <c r="J338" s="9"/>
    </row>
    <row x14ac:dyDescent="0.25" r="339" customHeight="1" ht="17.25">
      <c r="A339" s="7"/>
      <c r="B339" s="7"/>
      <c r="C339" s="7"/>
      <c r="D339" s="7"/>
      <c r="E339" s="8"/>
      <c r="F339" s="9"/>
      <c r="G339" s="9"/>
      <c r="H339" s="10"/>
      <c r="I339" s="9"/>
      <c r="J339" s="9"/>
    </row>
    <row x14ac:dyDescent="0.25" r="340" customHeight="1" ht="17.25">
      <c r="A340" s="11" t="s">
        <v>4358</v>
      </c>
      <c r="B340" s="11"/>
      <c r="C340" s="11"/>
      <c r="D340" s="11"/>
      <c r="E340" s="12"/>
      <c r="F340" s="11"/>
      <c r="G340" s="11"/>
      <c r="H340" s="13"/>
      <c r="I340" s="11"/>
      <c r="J340" s="11"/>
    </row>
    <row x14ac:dyDescent="0.25" r="341" customHeight="1" ht="17.25">
      <c r="A341" s="14" t="s">
        <v>3</v>
      </c>
      <c r="B341" s="14" t="s">
        <v>4</v>
      </c>
      <c r="C341" s="14" t="s">
        <v>5</v>
      </c>
      <c r="D341" s="14" t="s">
        <v>6</v>
      </c>
      <c r="E341" s="15" t="s">
        <v>7</v>
      </c>
      <c r="F341" s="14" t="s">
        <v>8</v>
      </c>
      <c r="G341" s="14" t="s">
        <v>9</v>
      </c>
      <c r="H341" s="16" t="s">
        <v>10</v>
      </c>
      <c r="I341" s="14" t="s">
        <v>11</v>
      </c>
      <c r="J341" s="14" t="s">
        <v>12</v>
      </c>
    </row>
    <row x14ac:dyDescent="0.25" r="342" customHeight="1" ht="17.25">
      <c r="A342" s="17" t="s">
        <v>4359</v>
      </c>
      <c r="B342" s="17" t="s">
        <v>548</v>
      </c>
      <c r="C342" s="17" t="s">
        <v>15</v>
      </c>
      <c r="D342" s="17" t="s">
        <v>16</v>
      </c>
      <c r="E342" s="18">
        <f>ROUND(4990*1.05,2)</f>
      </c>
      <c r="F342" s="17" t="s">
        <v>17</v>
      </c>
      <c r="G342" s="17" t="s">
        <v>18</v>
      </c>
      <c r="H342" s="18">
        <f>ROUND(RAND()*4+6,1)</f>
      </c>
      <c r="I342" s="17" t="s">
        <v>19</v>
      </c>
      <c r="J342" s="19">
        <f>ROUND(96*1,0)&amp;"%"</f>
      </c>
    </row>
    <row x14ac:dyDescent="0.25" r="343" customHeight="1" ht="17.25">
      <c r="A343" s="20" t="s">
        <v>4360</v>
      </c>
      <c r="B343" s="20" t="s">
        <v>550</v>
      </c>
      <c r="C343" s="20" t="s">
        <v>15</v>
      </c>
      <c r="D343" s="20" t="s">
        <v>22</v>
      </c>
      <c r="E343" s="21">
        <f>ROUND(5211*1.05,2)</f>
      </c>
      <c r="F343" s="20" t="s">
        <v>23</v>
      </c>
      <c r="G343" s="20" t="s">
        <v>24</v>
      </c>
      <c r="H343" s="21">
        <f>ROUND(RAND()*4+6,1)</f>
      </c>
      <c r="I343" s="20" t="s">
        <v>25</v>
      </c>
      <c r="J343" s="23">
        <f>ROUND(72*1,0)&amp;"%"</f>
      </c>
    </row>
    <row x14ac:dyDescent="0.25" r="344" customHeight="1" ht="17.25">
      <c r="A344" s="17" t="s">
        <v>4361</v>
      </c>
      <c r="B344" s="17" t="s">
        <v>552</v>
      </c>
      <c r="C344" s="17" t="s">
        <v>15</v>
      </c>
      <c r="D344" s="17" t="s">
        <v>28</v>
      </c>
      <c r="E344" s="18">
        <f>ROUND(10604*1.05,2)</f>
      </c>
      <c r="F344" s="17" t="s">
        <v>29</v>
      </c>
      <c r="G344" s="17" t="s">
        <v>30</v>
      </c>
      <c r="H344" s="18">
        <f>ROUND(RAND()*4+6,1)</f>
      </c>
      <c r="I344" s="17" t="s">
        <v>31</v>
      </c>
      <c r="J344" s="19">
        <f>ROUND(60*1,0)&amp;"%"</f>
      </c>
    </row>
    <row x14ac:dyDescent="0.25" r="345" customHeight="1" ht="17.25">
      <c r="A345" s="20" t="s">
        <v>4362</v>
      </c>
      <c r="B345" s="20" t="s">
        <v>554</v>
      </c>
      <c r="C345" s="20" t="s">
        <v>15</v>
      </c>
      <c r="D345" s="20" t="s">
        <v>34</v>
      </c>
      <c r="E345" s="21">
        <f>ROUND(14693*1.05,2)</f>
      </c>
      <c r="F345" s="20" t="s">
        <v>35</v>
      </c>
      <c r="G345" s="20" t="s">
        <v>18</v>
      </c>
      <c r="H345" s="21">
        <f>ROUND(RAND()*4+6,1)</f>
      </c>
      <c r="I345" s="20" t="s">
        <v>36</v>
      </c>
      <c r="J345" s="23">
        <f>ROUND(73*1,0)&amp;"%"</f>
      </c>
    </row>
    <row x14ac:dyDescent="0.25" r="346" customHeight="1" ht="17.25">
      <c r="A346" s="17" t="s">
        <v>4363</v>
      </c>
      <c r="B346" s="17" t="s">
        <v>556</v>
      </c>
      <c r="C346" s="17" t="s">
        <v>15</v>
      </c>
      <c r="D346" s="17" t="s">
        <v>39</v>
      </c>
      <c r="E346" s="18">
        <f>ROUND(6799*1.05,2)</f>
      </c>
      <c r="F346" s="17" t="s">
        <v>40</v>
      </c>
      <c r="G346" s="17" t="s">
        <v>24</v>
      </c>
      <c r="H346" s="18">
        <f>ROUND(RAND()*4+6,1)</f>
      </c>
      <c r="I346" s="17" t="s">
        <v>41</v>
      </c>
      <c r="J346" s="19">
        <f>ROUND(99*1,0)&amp;"%"</f>
      </c>
    </row>
    <row x14ac:dyDescent="0.25" r="347" customHeight="1" ht="17.25">
      <c r="A347" s="20" t="s">
        <v>4364</v>
      </c>
      <c r="B347" s="20" t="s">
        <v>558</v>
      </c>
      <c r="C347" s="20" t="s">
        <v>15</v>
      </c>
      <c r="D347" s="20" t="s">
        <v>67</v>
      </c>
      <c r="E347" s="21">
        <f>ROUND(16723*1.05,2)</f>
      </c>
      <c r="F347" s="20" t="s">
        <v>44</v>
      </c>
      <c r="G347" s="20" t="s">
        <v>30</v>
      </c>
      <c r="H347" s="21">
        <f>ROUND(RAND()*4+6,1)</f>
      </c>
      <c r="I347" s="20" t="s">
        <v>45</v>
      </c>
      <c r="J347" s="23">
        <f>ROUND(88*1,0)&amp;"%"</f>
      </c>
    </row>
    <row x14ac:dyDescent="0.25" r="348" customHeight="1" ht="17.25">
      <c r="A348" s="17" t="s">
        <v>4365</v>
      </c>
      <c r="B348" s="17" t="s">
        <v>560</v>
      </c>
      <c r="C348" s="17" t="s">
        <v>15</v>
      </c>
      <c r="D348" s="17" t="s">
        <v>16</v>
      </c>
      <c r="E348" s="18">
        <f>ROUND(17178*1.05,2)</f>
      </c>
      <c r="F348" s="17" t="s">
        <v>48</v>
      </c>
      <c r="G348" s="17" t="s">
        <v>18</v>
      </c>
      <c r="H348" s="18">
        <f>ROUND(RAND()*4+6,1)</f>
      </c>
      <c r="I348" s="17" t="s">
        <v>19</v>
      </c>
      <c r="J348" s="19">
        <f>ROUND(92*1,0)&amp;"%"</f>
      </c>
    </row>
    <row x14ac:dyDescent="0.25" r="349" customHeight="1" ht="17.25">
      <c r="A349" s="20" t="s">
        <v>4366</v>
      </c>
      <c r="B349" s="20" t="s">
        <v>562</v>
      </c>
      <c r="C349" s="20" t="s">
        <v>15</v>
      </c>
      <c r="D349" s="20" t="s">
        <v>22</v>
      </c>
      <c r="E349" s="21">
        <f>ROUND(6763*1.05,2)</f>
      </c>
      <c r="F349" s="20" t="s">
        <v>51</v>
      </c>
      <c r="G349" s="20" t="s">
        <v>24</v>
      </c>
      <c r="H349" s="21">
        <f>ROUND(RAND()*4+6,1)</f>
      </c>
      <c r="I349" s="20" t="s">
        <v>25</v>
      </c>
      <c r="J349" s="23">
        <f>ROUND(79*1,0)&amp;"%"</f>
      </c>
    </row>
    <row x14ac:dyDescent="0.25" r="350" customHeight="1" ht="17.25">
      <c r="A350" s="24" t="s">
        <v>563</v>
      </c>
      <c r="B350" s="24"/>
      <c r="C350" s="24"/>
      <c r="D350" s="24"/>
      <c r="E350" s="25">
        <v>8</v>
      </c>
      <c r="F350" s="9"/>
      <c r="G350" s="9"/>
      <c r="H350" s="10"/>
      <c r="I350" s="9"/>
      <c r="J350" s="9"/>
    </row>
    <row x14ac:dyDescent="0.25" r="351" customHeight="1" ht="17.25">
      <c r="A351" s="7"/>
      <c r="B351" s="7"/>
      <c r="C351" s="7"/>
      <c r="D351" s="7"/>
      <c r="E351" s="8"/>
      <c r="F351" s="9"/>
      <c r="G351" s="9"/>
      <c r="H351" s="10"/>
      <c r="I351" s="9"/>
      <c r="J351" s="9"/>
    </row>
    <row x14ac:dyDescent="0.25" r="352" customHeight="1" ht="17.25">
      <c r="A352" s="11" t="s">
        <v>4367</v>
      </c>
      <c r="B352" s="11"/>
      <c r="C352" s="11"/>
      <c r="D352" s="11"/>
      <c r="E352" s="12"/>
      <c r="F352" s="11"/>
      <c r="G352" s="11"/>
      <c r="H352" s="13"/>
      <c r="I352" s="11"/>
      <c r="J352" s="11"/>
    </row>
    <row x14ac:dyDescent="0.25" r="353" customHeight="1" ht="17.25">
      <c r="A353" s="14" t="s">
        <v>3</v>
      </c>
      <c r="B353" s="14" t="s">
        <v>4</v>
      </c>
      <c r="C353" s="14" t="s">
        <v>5</v>
      </c>
      <c r="D353" s="14" t="s">
        <v>6</v>
      </c>
      <c r="E353" s="15" t="s">
        <v>7</v>
      </c>
      <c r="F353" s="14" t="s">
        <v>8</v>
      </c>
      <c r="G353" s="14" t="s">
        <v>9</v>
      </c>
      <c r="H353" s="16" t="s">
        <v>10</v>
      </c>
      <c r="I353" s="14" t="s">
        <v>11</v>
      </c>
      <c r="J353" s="14" t="s">
        <v>12</v>
      </c>
    </row>
    <row x14ac:dyDescent="0.25" r="354" customHeight="1" ht="17.25">
      <c r="A354" s="17" t="s">
        <v>4368</v>
      </c>
      <c r="B354" s="17" t="s">
        <v>566</v>
      </c>
      <c r="C354" s="17" t="s">
        <v>56</v>
      </c>
      <c r="D354" s="17" t="s">
        <v>16</v>
      </c>
      <c r="E354" s="18">
        <f>ROUND(12371*1.05,2)</f>
      </c>
      <c r="F354" s="17" t="s">
        <v>17</v>
      </c>
      <c r="G354" s="17" t="s">
        <v>18</v>
      </c>
      <c r="H354" s="18">
        <f>ROUND(RAND()*4+6,1)</f>
      </c>
      <c r="I354" s="17" t="s">
        <v>19</v>
      </c>
      <c r="J354" s="19">
        <f>ROUND(74*1,0)&amp;"%"</f>
      </c>
    </row>
    <row x14ac:dyDescent="0.25" r="355" customHeight="1" ht="17.25">
      <c r="A355" s="20" t="s">
        <v>4369</v>
      </c>
      <c r="B355" s="20" t="s">
        <v>568</v>
      </c>
      <c r="C355" s="20" t="s">
        <v>56</v>
      </c>
      <c r="D355" s="20" t="s">
        <v>22</v>
      </c>
      <c r="E355" s="21">
        <f>ROUND(9938*1.05,2)</f>
      </c>
      <c r="F355" s="20" t="s">
        <v>23</v>
      </c>
      <c r="G355" s="20" t="s">
        <v>24</v>
      </c>
      <c r="H355" s="21">
        <f>ROUND(RAND()*4+6,1)</f>
      </c>
      <c r="I355" s="20" t="s">
        <v>25</v>
      </c>
      <c r="J355" s="23">
        <f>ROUND(72*1,0)&amp;"%"</f>
      </c>
    </row>
    <row x14ac:dyDescent="0.25" r="356" customHeight="1" ht="17.25">
      <c r="A356" s="17" t="s">
        <v>4370</v>
      </c>
      <c r="B356" s="17" t="s">
        <v>570</v>
      </c>
      <c r="C356" s="17" t="s">
        <v>56</v>
      </c>
      <c r="D356" s="17" t="s">
        <v>28</v>
      </c>
      <c r="E356" s="18">
        <f>ROUND(7919*1.05,2)</f>
      </c>
      <c r="F356" s="17" t="s">
        <v>29</v>
      </c>
      <c r="G356" s="17" t="s">
        <v>30</v>
      </c>
      <c r="H356" s="18">
        <f>ROUND(RAND()*4+6,1)</f>
      </c>
      <c r="I356" s="17" t="s">
        <v>31</v>
      </c>
      <c r="J356" s="19">
        <f>ROUND(84*1,0)&amp;"%"</f>
      </c>
    </row>
    <row x14ac:dyDescent="0.25" r="357" customHeight="1" ht="17.25">
      <c r="A357" s="20" t="s">
        <v>4371</v>
      </c>
      <c r="B357" s="20" t="s">
        <v>572</v>
      </c>
      <c r="C357" s="20" t="s">
        <v>56</v>
      </c>
      <c r="D357" s="20" t="s">
        <v>34</v>
      </c>
      <c r="E357" s="21">
        <f>ROUND(14515*1.05,2)</f>
      </c>
      <c r="F357" s="20" t="s">
        <v>35</v>
      </c>
      <c r="G357" s="20" t="s">
        <v>18</v>
      </c>
      <c r="H357" s="22">
        <f>ROUND(RAND()*4+6,1)</f>
      </c>
      <c r="I357" s="20" t="s">
        <v>36</v>
      </c>
      <c r="J357" s="23">
        <f>ROUND(89*1,0)&amp;"%"</f>
      </c>
    </row>
    <row x14ac:dyDescent="0.25" r="358" customHeight="1" ht="17.25">
      <c r="A358" s="17" t="s">
        <v>4372</v>
      </c>
      <c r="B358" s="17" t="s">
        <v>574</v>
      </c>
      <c r="C358" s="17" t="s">
        <v>56</v>
      </c>
      <c r="D358" s="17" t="s">
        <v>39</v>
      </c>
      <c r="E358" s="18">
        <f>ROUND(12529*1.05,2)</f>
      </c>
      <c r="F358" s="17" t="s">
        <v>40</v>
      </c>
      <c r="G358" s="17" t="s">
        <v>24</v>
      </c>
      <c r="H358" s="18">
        <f>ROUND(RAND()*4+6,1)</f>
      </c>
      <c r="I358" s="17" t="s">
        <v>41</v>
      </c>
      <c r="J358" s="19">
        <f>ROUND(98*1,0)&amp;"%"</f>
      </c>
    </row>
    <row x14ac:dyDescent="0.25" r="359" customHeight="1" ht="17.25">
      <c r="A359" s="20" t="s">
        <v>4373</v>
      </c>
      <c r="B359" s="20" t="s">
        <v>576</v>
      </c>
      <c r="C359" s="20" t="s">
        <v>56</v>
      </c>
      <c r="D359" s="20" t="s">
        <v>67</v>
      </c>
      <c r="E359" s="21">
        <f>ROUND(14691*1.05,2)</f>
      </c>
      <c r="F359" s="20" t="s">
        <v>44</v>
      </c>
      <c r="G359" s="20" t="s">
        <v>30</v>
      </c>
      <c r="H359" s="21">
        <f>ROUND(RAND()*4+6,1)</f>
      </c>
      <c r="I359" s="20" t="s">
        <v>45</v>
      </c>
      <c r="J359" s="23">
        <f>ROUND(97*1,0)&amp;"%"</f>
      </c>
    </row>
    <row x14ac:dyDescent="0.25" r="360" customHeight="1" ht="17.25">
      <c r="A360" s="17" t="s">
        <v>4374</v>
      </c>
      <c r="B360" s="17" t="s">
        <v>578</v>
      </c>
      <c r="C360" s="17" t="s">
        <v>56</v>
      </c>
      <c r="D360" s="17" t="s">
        <v>16</v>
      </c>
      <c r="E360" s="18">
        <f>ROUND(12889*1.05,2)</f>
      </c>
      <c r="F360" s="17" t="s">
        <v>48</v>
      </c>
      <c r="G360" s="17" t="s">
        <v>18</v>
      </c>
      <c r="H360" s="26">
        <f>ROUND(RAND()*4+6,1)</f>
      </c>
      <c r="I360" s="17" t="s">
        <v>19</v>
      </c>
      <c r="J360" s="19">
        <f>ROUND(95*1,0)&amp;"%"</f>
      </c>
    </row>
    <row x14ac:dyDescent="0.25" r="361" customHeight="1" ht="17.25">
      <c r="A361" s="20" t="s">
        <v>4375</v>
      </c>
      <c r="B361" s="20" t="s">
        <v>580</v>
      </c>
      <c r="C361" s="20" t="s">
        <v>56</v>
      </c>
      <c r="D361" s="20" t="s">
        <v>22</v>
      </c>
      <c r="E361" s="21">
        <f>ROUND(13308*1.05,2)</f>
      </c>
      <c r="F361" s="20" t="s">
        <v>51</v>
      </c>
      <c r="G361" s="20" t="s">
        <v>24</v>
      </c>
      <c r="H361" s="21">
        <f>ROUND(RAND()*4+6,1)</f>
      </c>
      <c r="I361" s="20" t="s">
        <v>25</v>
      </c>
      <c r="J361" s="23">
        <f>ROUND(78*1,0)&amp;"%"</f>
      </c>
    </row>
    <row x14ac:dyDescent="0.25" r="362" customHeight="1" ht="17.25">
      <c r="A362" s="24" t="s">
        <v>581</v>
      </c>
      <c r="B362" s="24"/>
      <c r="C362" s="24"/>
      <c r="D362" s="24"/>
      <c r="E362" s="25">
        <v>8</v>
      </c>
      <c r="F362" s="9"/>
      <c r="G362" s="9"/>
      <c r="H362" s="10"/>
      <c r="I362" s="9"/>
      <c r="J362" s="9"/>
    </row>
  </sheetData>
  <mergeCells count="62">
    <mergeCell ref="A1:J1"/>
    <mergeCell ref="A2:J2"/>
    <mergeCell ref="A4:J4"/>
    <mergeCell ref="A14:D14"/>
    <mergeCell ref="A16:J16"/>
    <mergeCell ref="A26:D26"/>
    <mergeCell ref="A28:J28"/>
    <mergeCell ref="A38:D38"/>
    <mergeCell ref="A40:J40"/>
    <mergeCell ref="A50:D50"/>
    <mergeCell ref="A52:J52"/>
    <mergeCell ref="A62:D62"/>
    <mergeCell ref="A64:J64"/>
    <mergeCell ref="A74:D74"/>
    <mergeCell ref="A76:J76"/>
    <mergeCell ref="A86:D86"/>
    <mergeCell ref="A88:J88"/>
    <mergeCell ref="A98:D98"/>
    <mergeCell ref="A100:J100"/>
    <mergeCell ref="A110:D110"/>
    <mergeCell ref="A112:J112"/>
    <mergeCell ref="A122:D122"/>
    <mergeCell ref="A124:J124"/>
    <mergeCell ref="A134:D134"/>
    <mergeCell ref="A136:J136"/>
    <mergeCell ref="A146:D146"/>
    <mergeCell ref="A148:J148"/>
    <mergeCell ref="A158:D158"/>
    <mergeCell ref="A160:J160"/>
    <mergeCell ref="A170:D170"/>
    <mergeCell ref="A172:J172"/>
    <mergeCell ref="A182:D182"/>
    <mergeCell ref="A184:J184"/>
    <mergeCell ref="A194:D194"/>
    <mergeCell ref="A196:J196"/>
    <mergeCell ref="A206:D206"/>
    <mergeCell ref="A208:J208"/>
    <mergeCell ref="A218:D218"/>
    <mergeCell ref="A220:J220"/>
    <mergeCell ref="A230:D230"/>
    <mergeCell ref="A232:J232"/>
    <mergeCell ref="A242:D242"/>
    <mergeCell ref="A244:J244"/>
    <mergeCell ref="A254:D254"/>
    <mergeCell ref="A256:J256"/>
    <mergeCell ref="A266:D266"/>
    <mergeCell ref="A268:J268"/>
    <mergeCell ref="A278:D278"/>
    <mergeCell ref="A280:J280"/>
    <mergeCell ref="A290:D290"/>
    <mergeCell ref="A292:J292"/>
    <mergeCell ref="A302:D302"/>
    <mergeCell ref="A304:J304"/>
    <mergeCell ref="A314:D314"/>
    <mergeCell ref="A316:J316"/>
    <mergeCell ref="A326:D326"/>
    <mergeCell ref="A328:J328"/>
    <mergeCell ref="A338:D338"/>
    <mergeCell ref="A340:J340"/>
    <mergeCell ref="A350:D350"/>
    <mergeCell ref="A352:J352"/>
    <mergeCell ref="A362:D362"/>
  </mergeCells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J362"/>
  <sheetViews>
    <sheetView workbookViewId="0"/>
  </sheetViews>
  <sheetFormatPr defaultRowHeight="15" x14ac:dyDescent="0.25"/>
  <cols>
    <col min="1" max="1" style="27" width="8.005" customWidth="1" bestFit="1"/>
    <col min="2" max="2" style="27" width="22.005" customWidth="1" bestFit="1"/>
    <col min="3" max="3" style="27" width="16.005" customWidth="1" bestFit="1"/>
    <col min="4" max="4" style="27" width="14.005" customWidth="1" bestFit="1"/>
    <col min="5" max="5" style="28" width="12.005" customWidth="1" bestFit="1"/>
    <col min="6" max="6" style="29" width="16.005" customWidth="1" bestFit="1"/>
    <col min="7" max="7" style="29" width="10.005" customWidth="1" bestFit="1"/>
    <col min="8" max="8" style="32" width="10.005" customWidth="1" bestFit="1"/>
    <col min="9" max="9" style="29" width="14.005" customWidth="1" bestFit="1"/>
    <col min="10" max="10" style="29" width="8.005" customWidth="1" bestFit="1"/>
  </cols>
  <sheetData>
    <row x14ac:dyDescent="0.25" r="1" customHeight="1" ht="17.25">
      <c r="A1" s="1" t="s">
        <v>3834</v>
      </c>
      <c r="B1" s="1"/>
      <c r="C1" s="1"/>
      <c r="D1" s="1"/>
      <c r="E1" s="2"/>
      <c r="F1" s="1"/>
      <c r="G1" s="1"/>
      <c r="H1" s="2"/>
      <c r="I1" s="1"/>
      <c r="J1" s="1"/>
    </row>
    <row x14ac:dyDescent="0.25" r="2" customHeight="1" ht="17.25">
      <c r="A2" s="4" t="s">
        <v>1</v>
      </c>
      <c r="B2" s="4"/>
      <c r="C2" s="4"/>
      <c r="D2" s="4"/>
      <c r="E2" s="5"/>
      <c r="F2" s="4"/>
      <c r="G2" s="4"/>
      <c r="H2" s="5"/>
      <c r="I2" s="4"/>
      <c r="J2" s="4"/>
    </row>
    <row x14ac:dyDescent="0.25" r="3" customHeight="1" ht="17.25">
      <c r="A3" s="7"/>
      <c r="B3" s="7"/>
      <c r="C3" s="7"/>
      <c r="D3" s="7"/>
      <c r="E3" s="8"/>
      <c r="F3" s="9"/>
      <c r="G3" s="9"/>
      <c r="H3" s="31"/>
      <c r="I3" s="9"/>
      <c r="J3" s="9"/>
    </row>
    <row x14ac:dyDescent="0.25" r="4" customHeight="1" ht="17.25">
      <c r="A4" s="11" t="s">
        <v>3835</v>
      </c>
      <c r="B4" s="11"/>
      <c r="C4" s="11"/>
      <c r="D4" s="11"/>
      <c r="E4" s="12"/>
      <c r="F4" s="11"/>
      <c r="G4" s="11"/>
      <c r="H4" s="12"/>
      <c r="I4" s="11"/>
      <c r="J4" s="11"/>
    </row>
    <row x14ac:dyDescent="0.25" r="5" customHeight="1" ht="17.25">
      <c r="A5" s="14" t="s">
        <v>3</v>
      </c>
      <c r="B5" s="14" t="s">
        <v>4</v>
      </c>
      <c r="C5" s="14" t="s">
        <v>5</v>
      </c>
      <c r="D5" s="14" t="s">
        <v>6</v>
      </c>
      <c r="E5" s="15" t="s">
        <v>7</v>
      </c>
      <c r="F5" s="14" t="s">
        <v>8</v>
      </c>
      <c r="G5" s="14" t="s">
        <v>9</v>
      </c>
      <c r="H5" s="15" t="s">
        <v>10</v>
      </c>
      <c r="I5" s="14" t="s">
        <v>11</v>
      </c>
      <c r="J5" s="14" t="s">
        <v>12</v>
      </c>
    </row>
    <row x14ac:dyDescent="0.25" r="6" customHeight="1" ht="17.25">
      <c r="A6" s="17" t="s">
        <v>3836</v>
      </c>
      <c r="B6" s="17" t="s">
        <v>14</v>
      </c>
      <c r="C6" s="17" t="s">
        <v>15</v>
      </c>
      <c r="D6" s="17" t="s">
        <v>16</v>
      </c>
      <c r="E6" s="18">
        <f>ROUND(11357*1.05,2)</f>
      </c>
      <c r="F6" s="17" t="s">
        <v>17</v>
      </c>
      <c r="G6" s="17" t="s">
        <v>18</v>
      </c>
      <c r="H6" s="18">
        <f>ROUND(RAND()*4+6,1)</f>
      </c>
      <c r="I6" s="17" t="s">
        <v>19</v>
      </c>
      <c r="J6" s="19">
        <f>ROUND(90*1,0)&amp;"%"</f>
      </c>
    </row>
    <row x14ac:dyDescent="0.25" r="7" customHeight="1" ht="17.25">
      <c r="A7" s="20" t="s">
        <v>3837</v>
      </c>
      <c r="B7" s="20" t="s">
        <v>21</v>
      </c>
      <c r="C7" s="20" t="s">
        <v>15</v>
      </c>
      <c r="D7" s="20" t="s">
        <v>22</v>
      </c>
      <c r="E7" s="21">
        <f>ROUND(7718*1.05,2)</f>
      </c>
      <c r="F7" s="20" t="s">
        <v>23</v>
      </c>
      <c r="G7" s="20" t="s">
        <v>24</v>
      </c>
      <c r="H7" s="21">
        <f>ROUND(RAND()*4+6,1)</f>
      </c>
      <c r="I7" s="20" t="s">
        <v>25</v>
      </c>
      <c r="J7" s="23">
        <f>ROUND(84*1,0)&amp;"%"</f>
      </c>
    </row>
    <row x14ac:dyDescent="0.25" r="8" customHeight="1" ht="17.25">
      <c r="A8" s="17" t="s">
        <v>3838</v>
      </c>
      <c r="B8" s="17" t="s">
        <v>27</v>
      </c>
      <c r="C8" s="17" t="s">
        <v>15</v>
      </c>
      <c r="D8" s="17" t="s">
        <v>28</v>
      </c>
      <c r="E8" s="18">
        <f>ROUND(15782*1.05,2)</f>
      </c>
      <c r="F8" s="17" t="s">
        <v>29</v>
      </c>
      <c r="G8" s="17" t="s">
        <v>30</v>
      </c>
      <c r="H8" s="18">
        <f>ROUND(RAND()*4+6,1)</f>
      </c>
      <c r="I8" s="17" t="s">
        <v>31</v>
      </c>
      <c r="J8" s="19">
        <f>ROUND(84*1,0)&amp;"%"</f>
      </c>
    </row>
    <row x14ac:dyDescent="0.25" r="9" customHeight="1" ht="17.25">
      <c r="A9" s="20" t="s">
        <v>3839</v>
      </c>
      <c r="B9" s="20" t="s">
        <v>33</v>
      </c>
      <c r="C9" s="20" t="s">
        <v>15</v>
      </c>
      <c r="D9" s="20" t="s">
        <v>34</v>
      </c>
      <c r="E9" s="21">
        <f>ROUND(6784*1.05,2)</f>
      </c>
      <c r="F9" s="20" t="s">
        <v>35</v>
      </c>
      <c r="G9" s="20" t="s">
        <v>18</v>
      </c>
      <c r="H9" s="21">
        <f>ROUND(RAND()*4+6,1)</f>
      </c>
      <c r="I9" s="20" t="s">
        <v>36</v>
      </c>
      <c r="J9" s="23">
        <f>ROUND(98*1,0)&amp;"%"</f>
      </c>
    </row>
    <row x14ac:dyDescent="0.25" r="10" customHeight="1" ht="17.25">
      <c r="A10" s="17" t="s">
        <v>3840</v>
      </c>
      <c r="B10" s="17" t="s">
        <v>38</v>
      </c>
      <c r="C10" s="17" t="s">
        <v>15</v>
      </c>
      <c r="D10" s="17" t="s">
        <v>39</v>
      </c>
      <c r="E10" s="18">
        <f>ROUND(7277*1.05,2)</f>
      </c>
      <c r="F10" s="17" t="s">
        <v>40</v>
      </c>
      <c r="G10" s="17" t="s">
        <v>24</v>
      </c>
      <c r="H10" s="18">
        <f>ROUND(RAND()*4+6,1)</f>
      </c>
      <c r="I10" s="17" t="s">
        <v>41</v>
      </c>
      <c r="J10" s="19">
        <f>ROUND(71*1,0)&amp;"%"</f>
      </c>
    </row>
    <row x14ac:dyDescent="0.25" r="11" customHeight="1" ht="17.25">
      <c r="A11" s="20" t="s">
        <v>3841</v>
      </c>
      <c r="B11" s="20" t="s">
        <v>43</v>
      </c>
      <c r="C11" s="20" t="s">
        <v>15</v>
      </c>
      <c r="D11" s="20" t="s">
        <v>67</v>
      </c>
      <c r="E11" s="21">
        <f>ROUND(16928*1.05,2)</f>
      </c>
      <c r="F11" s="20" t="s">
        <v>44</v>
      </c>
      <c r="G11" s="20" t="s">
        <v>30</v>
      </c>
      <c r="H11" s="21">
        <f>ROUND(RAND()*4+6,1)</f>
      </c>
      <c r="I11" s="20" t="s">
        <v>45</v>
      </c>
      <c r="J11" s="23">
        <f>ROUND(71*1,0)&amp;"%"</f>
      </c>
    </row>
    <row x14ac:dyDescent="0.25" r="12" customHeight="1" ht="17.25">
      <c r="A12" s="17" t="s">
        <v>3842</v>
      </c>
      <c r="B12" s="17" t="s">
        <v>47</v>
      </c>
      <c r="C12" s="17" t="s">
        <v>15</v>
      </c>
      <c r="D12" s="17" t="s">
        <v>16</v>
      </c>
      <c r="E12" s="18">
        <f>ROUND(4970*1.05,2)</f>
      </c>
      <c r="F12" s="17" t="s">
        <v>48</v>
      </c>
      <c r="G12" s="17" t="s">
        <v>18</v>
      </c>
      <c r="H12" s="18">
        <f>ROUND(RAND()*4+6,1)</f>
      </c>
      <c r="I12" s="17" t="s">
        <v>19</v>
      </c>
      <c r="J12" s="19">
        <f>ROUND(96*1,0)&amp;"%"</f>
      </c>
    </row>
    <row x14ac:dyDescent="0.25" r="13" customHeight="1" ht="17.25">
      <c r="A13" s="20" t="s">
        <v>3843</v>
      </c>
      <c r="B13" s="20" t="s">
        <v>50</v>
      </c>
      <c r="C13" s="20" t="s">
        <v>15</v>
      </c>
      <c r="D13" s="20" t="s">
        <v>22</v>
      </c>
      <c r="E13" s="21">
        <f>ROUND(8573*1.05,2)</f>
      </c>
      <c r="F13" s="20" t="s">
        <v>51</v>
      </c>
      <c r="G13" s="20" t="s">
        <v>24</v>
      </c>
      <c r="H13" s="21">
        <f>ROUND(RAND()*4+6,1)</f>
      </c>
      <c r="I13" s="20" t="s">
        <v>25</v>
      </c>
      <c r="J13" s="23">
        <f>ROUND(89*1,0)&amp;"%"</f>
      </c>
    </row>
    <row x14ac:dyDescent="0.25" r="14" customHeight="1" ht="17.25">
      <c r="A14" s="24" t="s">
        <v>52</v>
      </c>
      <c r="B14" s="24"/>
      <c r="C14" s="24"/>
      <c r="D14" s="24"/>
      <c r="E14" s="25">
        <v>8</v>
      </c>
      <c r="F14" s="9"/>
      <c r="G14" s="9"/>
      <c r="H14" s="31"/>
      <c r="I14" s="9"/>
      <c r="J14" s="9"/>
    </row>
    <row x14ac:dyDescent="0.25" r="15" customHeight="1" ht="17.25">
      <c r="A15" s="7"/>
      <c r="B15" s="7"/>
      <c r="C15" s="7"/>
      <c r="D15" s="7"/>
      <c r="E15" s="8"/>
      <c r="F15" s="9"/>
      <c r="G15" s="9"/>
      <c r="H15" s="31"/>
      <c r="I15" s="9"/>
      <c r="J15" s="9"/>
    </row>
    <row x14ac:dyDescent="0.25" r="16" customHeight="1" ht="17.25">
      <c r="A16" s="11" t="s">
        <v>3844</v>
      </c>
      <c r="B16" s="11"/>
      <c r="C16" s="11"/>
      <c r="D16" s="11"/>
      <c r="E16" s="12"/>
      <c r="F16" s="11"/>
      <c r="G16" s="11"/>
      <c r="H16" s="12"/>
      <c r="I16" s="11"/>
      <c r="J16" s="11"/>
    </row>
    <row x14ac:dyDescent="0.25" r="17" customHeight="1" ht="17.25">
      <c r="A17" s="14" t="s">
        <v>3</v>
      </c>
      <c r="B17" s="14" t="s">
        <v>4</v>
      </c>
      <c r="C17" s="14" t="s">
        <v>5</v>
      </c>
      <c r="D17" s="14" t="s">
        <v>6</v>
      </c>
      <c r="E17" s="15" t="s">
        <v>7</v>
      </c>
      <c r="F17" s="14" t="s">
        <v>8</v>
      </c>
      <c r="G17" s="14" t="s">
        <v>9</v>
      </c>
      <c r="H17" s="15" t="s">
        <v>10</v>
      </c>
      <c r="I17" s="14" t="s">
        <v>11</v>
      </c>
      <c r="J17" s="14" t="s">
        <v>12</v>
      </c>
    </row>
    <row x14ac:dyDescent="0.25" r="18" customHeight="1" ht="17.25">
      <c r="A18" s="17" t="s">
        <v>3845</v>
      </c>
      <c r="B18" s="17" t="s">
        <v>55</v>
      </c>
      <c r="C18" s="17" t="s">
        <v>56</v>
      </c>
      <c r="D18" s="17" t="s">
        <v>16</v>
      </c>
      <c r="E18" s="18">
        <f>ROUND(11528*1.05,2)</f>
      </c>
      <c r="F18" s="17" t="s">
        <v>17</v>
      </c>
      <c r="G18" s="17" t="s">
        <v>18</v>
      </c>
      <c r="H18" s="18">
        <f>ROUND(RAND()*4+6,1)</f>
      </c>
      <c r="I18" s="17" t="s">
        <v>19</v>
      </c>
      <c r="J18" s="19">
        <f>ROUND(86*1,0)&amp;"%"</f>
      </c>
    </row>
    <row x14ac:dyDescent="0.25" r="19" customHeight="1" ht="17.25">
      <c r="A19" s="20" t="s">
        <v>3846</v>
      </c>
      <c r="B19" s="20" t="s">
        <v>58</v>
      </c>
      <c r="C19" s="20" t="s">
        <v>56</v>
      </c>
      <c r="D19" s="20" t="s">
        <v>22</v>
      </c>
      <c r="E19" s="21">
        <f>ROUND(12817*1.05,2)</f>
      </c>
      <c r="F19" s="20" t="s">
        <v>23</v>
      </c>
      <c r="G19" s="20" t="s">
        <v>24</v>
      </c>
      <c r="H19" s="21">
        <f>ROUND(RAND()*4+6,1)</f>
      </c>
      <c r="I19" s="20" t="s">
        <v>25</v>
      </c>
      <c r="J19" s="23">
        <f>ROUND(83*1,0)&amp;"%"</f>
      </c>
    </row>
    <row x14ac:dyDescent="0.25" r="20" customHeight="1" ht="17.25">
      <c r="A20" s="17" t="s">
        <v>3847</v>
      </c>
      <c r="B20" s="17" t="s">
        <v>60</v>
      </c>
      <c r="C20" s="17" t="s">
        <v>56</v>
      </c>
      <c r="D20" s="17" t="s">
        <v>28</v>
      </c>
      <c r="E20" s="18">
        <f>ROUND(11716*1.05,2)</f>
      </c>
      <c r="F20" s="17" t="s">
        <v>29</v>
      </c>
      <c r="G20" s="17" t="s">
        <v>30</v>
      </c>
      <c r="H20" s="18">
        <f>ROUND(RAND()*4+6,1)</f>
      </c>
      <c r="I20" s="17" t="s">
        <v>31</v>
      </c>
      <c r="J20" s="19">
        <f>ROUND(71*1,0)&amp;"%"</f>
      </c>
    </row>
    <row x14ac:dyDescent="0.25" r="21" customHeight="1" ht="17.25">
      <c r="A21" s="20" t="s">
        <v>3848</v>
      </c>
      <c r="B21" s="20" t="s">
        <v>62</v>
      </c>
      <c r="C21" s="20" t="s">
        <v>56</v>
      </c>
      <c r="D21" s="20" t="s">
        <v>34</v>
      </c>
      <c r="E21" s="21">
        <f>ROUND(6682*1.05,2)</f>
      </c>
      <c r="F21" s="20" t="s">
        <v>35</v>
      </c>
      <c r="G21" s="20" t="s">
        <v>18</v>
      </c>
      <c r="H21" s="21">
        <f>ROUND(RAND()*4+6,1)</f>
      </c>
      <c r="I21" s="20" t="s">
        <v>36</v>
      </c>
      <c r="J21" s="23">
        <f>ROUND(96*1,0)&amp;"%"</f>
      </c>
    </row>
    <row x14ac:dyDescent="0.25" r="22" customHeight="1" ht="17.25">
      <c r="A22" s="17" t="s">
        <v>3849</v>
      </c>
      <c r="B22" s="17" t="s">
        <v>64</v>
      </c>
      <c r="C22" s="17" t="s">
        <v>56</v>
      </c>
      <c r="D22" s="17" t="s">
        <v>39</v>
      </c>
      <c r="E22" s="18">
        <f>ROUND(14141*1.05,2)</f>
      </c>
      <c r="F22" s="17" t="s">
        <v>40</v>
      </c>
      <c r="G22" s="17" t="s">
        <v>24</v>
      </c>
      <c r="H22" s="18">
        <f>ROUND(RAND()*4+6,1)</f>
      </c>
      <c r="I22" s="17" t="s">
        <v>41</v>
      </c>
      <c r="J22" s="19">
        <f>ROUND(84*1,0)&amp;"%"</f>
      </c>
    </row>
    <row x14ac:dyDescent="0.25" r="23" customHeight="1" ht="17.25">
      <c r="A23" s="20" t="s">
        <v>3850</v>
      </c>
      <c r="B23" s="20" t="s">
        <v>66</v>
      </c>
      <c r="C23" s="20" t="s">
        <v>56</v>
      </c>
      <c r="D23" s="20" t="s">
        <v>67</v>
      </c>
      <c r="E23" s="21">
        <f>ROUND(13734*1.05,2)</f>
      </c>
      <c r="F23" s="20" t="s">
        <v>44</v>
      </c>
      <c r="G23" s="20" t="s">
        <v>30</v>
      </c>
      <c r="H23" s="21">
        <f>ROUND(RAND()*4+6,1)</f>
      </c>
      <c r="I23" s="20" t="s">
        <v>45</v>
      </c>
      <c r="J23" s="23">
        <f>ROUND(64*1,0)&amp;"%"</f>
      </c>
    </row>
    <row x14ac:dyDescent="0.25" r="24" customHeight="1" ht="17.25">
      <c r="A24" s="17" t="s">
        <v>3851</v>
      </c>
      <c r="B24" s="17" t="s">
        <v>69</v>
      </c>
      <c r="C24" s="17" t="s">
        <v>56</v>
      </c>
      <c r="D24" s="17" t="s">
        <v>16</v>
      </c>
      <c r="E24" s="18">
        <f>ROUND(13262*1.05,2)</f>
      </c>
      <c r="F24" s="17" t="s">
        <v>48</v>
      </c>
      <c r="G24" s="17" t="s">
        <v>18</v>
      </c>
      <c r="H24" s="18">
        <f>ROUND(RAND()*4+6,1)</f>
      </c>
      <c r="I24" s="17" t="s">
        <v>19</v>
      </c>
      <c r="J24" s="19">
        <f>ROUND(90*1,0)&amp;"%"</f>
      </c>
    </row>
    <row x14ac:dyDescent="0.25" r="25" customHeight="1" ht="17.25">
      <c r="A25" s="20" t="s">
        <v>3852</v>
      </c>
      <c r="B25" s="20" t="s">
        <v>71</v>
      </c>
      <c r="C25" s="20" t="s">
        <v>56</v>
      </c>
      <c r="D25" s="20" t="s">
        <v>22</v>
      </c>
      <c r="E25" s="21">
        <f>ROUND(10786*1.05,2)</f>
      </c>
      <c r="F25" s="20" t="s">
        <v>51</v>
      </c>
      <c r="G25" s="20" t="s">
        <v>24</v>
      </c>
      <c r="H25" s="21">
        <f>ROUND(RAND()*4+6,1)</f>
      </c>
      <c r="I25" s="20" t="s">
        <v>25</v>
      </c>
      <c r="J25" s="23">
        <f>ROUND(73*1,0)&amp;"%"</f>
      </c>
    </row>
    <row x14ac:dyDescent="0.25" r="26" customHeight="1" ht="17.25">
      <c r="A26" s="24" t="s">
        <v>72</v>
      </c>
      <c r="B26" s="24"/>
      <c r="C26" s="24"/>
      <c r="D26" s="24"/>
      <c r="E26" s="25">
        <v>8</v>
      </c>
      <c r="F26" s="9"/>
      <c r="G26" s="9"/>
      <c r="H26" s="31"/>
      <c r="I26" s="9"/>
      <c r="J26" s="9"/>
    </row>
    <row x14ac:dyDescent="0.25" r="27" customHeight="1" ht="17.25">
      <c r="A27" s="7"/>
      <c r="B27" s="7"/>
      <c r="C27" s="7"/>
      <c r="D27" s="7"/>
      <c r="E27" s="8"/>
      <c r="F27" s="9"/>
      <c r="G27" s="9"/>
      <c r="H27" s="31"/>
      <c r="I27" s="9"/>
      <c r="J27" s="9"/>
    </row>
    <row x14ac:dyDescent="0.25" r="28" customHeight="1" ht="17.25">
      <c r="A28" s="11" t="s">
        <v>3853</v>
      </c>
      <c r="B28" s="11"/>
      <c r="C28" s="11"/>
      <c r="D28" s="11"/>
      <c r="E28" s="12"/>
      <c r="F28" s="11"/>
      <c r="G28" s="11"/>
      <c r="H28" s="12"/>
      <c r="I28" s="11"/>
      <c r="J28" s="11"/>
    </row>
    <row x14ac:dyDescent="0.25" r="29" customHeight="1" ht="17.25">
      <c r="A29" s="14" t="s">
        <v>3</v>
      </c>
      <c r="B29" s="14" t="s">
        <v>4</v>
      </c>
      <c r="C29" s="14" t="s">
        <v>5</v>
      </c>
      <c r="D29" s="14" t="s">
        <v>6</v>
      </c>
      <c r="E29" s="15" t="s">
        <v>7</v>
      </c>
      <c r="F29" s="14" t="s">
        <v>8</v>
      </c>
      <c r="G29" s="14" t="s">
        <v>9</v>
      </c>
      <c r="H29" s="15" t="s">
        <v>10</v>
      </c>
      <c r="I29" s="14" t="s">
        <v>11</v>
      </c>
      <c r="J29" s="14" t="s">
        <v>12</v>
      </c>
    </row>
    <row x14ac:dyDescent="0.25" r="30" customHeight="1" ht="17.25">
      <c r="A30" s="17" t="s">
        <v>3854</v>
      </c>
      <c r="B30" s="17" t="s">
        <v>75</v>
      </c>
      <c r="C30" s="17" t="s">
        <v>76</v>
      </c>
      <c r="D30" s="17" t="s">
        <v>16</v>
      </c>
      <c r="E30" s="18">
        <f>ROUND(16771*1.05,2)</f>
      </c>
      <c r="F30" s="17" t="s">
        <v>17</v>
      </c>
      <c r="G30" s="17" t="s">
        <v>18</v>
      </c>
      <c r="H30" s="18">
        <f>ROUND(RAND()*4+6,1)</f>
      </c>
      <c r="I30" s="17" t="s">
        <v>19</v>
      </c>
      <c r="J30" s="19">
        <f>ROUND(88*1,0)&amp;"%"</f>
      </c>
    </row>
    <row x14ac:dyDescent="0.25" r="31" customHeight="1" ht="17.25">
      <c r="A31" s="20" t="s">
        <v>3855</v>
      </c>
      <c r="B31" s="20" t="s">
        <v>78</v>
      </c>
      <c r="C31" s="20" t="s">
        <v>76</v>
      </c>
      <c r="D31" s="20" t="s">
        <v>22</v>
      </c>
      <c r="E31" s="21">
        <f>ROUND(13726*1.05,2)</f>
      </c>
      <c r="F31" s="20" t="s">
        <v>23</v>
      </c>
      <c r="G31" s="20" t="s">
        <v>24</v>
      </c>
      <c r="H31" s="21">
        <f>ROUND(RAND()*4+6,1)</f>
      </c>
      <c r="I31" s="20" t="s">
        <v>25</v>
      </c>
      <c r="J31" s="23">
        <f>ROUND(89*1,0)&amp;"%"</f>
      </c>
    </row>
    <row x14ac:dyDescent="0.25" r="32" customHeight="1" ht="17.25">
      <c r="A32" s="17" t="s">
        <v>3856</v>
      </c>
      <c r="B32" s="17" t="s">
        <v>80</v>
      </c>
      <c r="C32" s="17" t="s">
        <v>76</v>
      </c>
      <c r="D32" s="17" t="s">
        <v>28</v>
      </c>
      <c r="E32" s="18">
        <f>ROUND(17275*1.05,2)</f>
      </c>
      <c r="F32" s="17" t="s">
        <v>29</v>
      </c>
      <c r="G32" s="17" t="s">
        <v>30</v>
      </c>
      <c r="H32" s="18">
        <f>ROUND(RAND()*4+6,1)</f>
      </c>
      <c r="I32" s="17" t="s">
        <v>31</v>
      </c>
      <c r="J32" s="19">
        <f>ROUND(95*1,0)&amp;"%"</f>
      </c>
    </row>
    <row x14ac:dyDescent="0.25" r="33" customHeight="1" ht="17.25">
      <c r="A33" s="20" t="s">
        <v>3857</v>
      </c>
      <c r="B33" s="20" t="s">
        <v>82</v>
      </c>
      <c r="C33" s="20" t="s">
        <v>76</v>
      </c>
      <c r="D33" s="20" t="s">
        <v>34</v>
      </c>
      <c r="E33" s="21">
        <f>ROUND(6947*1.05,2)</f>
      </c>
      <c r="F33" s="20" t="s">
        <v>35</v>
      </c>
      <c r="G33" s="20" t="s">
        <v>18</v>
      </c>
      <c r="H33" s="22">
        <f>ROUND(RAND()*4+6,1)</f>
      </c>
      <c r="I33" s="20" t="s">
        <v>36</v>
      </c>
      <c r="J33" s="23">
        <f>ROUND(70*1,0)&amp;"%"</f>
      </c>
    </row>
    <row x14ac:dyDescent="0.25" r="34" customHeight="1" ht="17.25">
      <c r="A34" s="17" t="s">
        <v>3858</v>
      </c>
      <c r="B34" s="17" t="s">
        <v>84</v>
      </c>
      <c r="C34" s="17" t="s">
        <v>76</v>
      </c>
      <c r="D34" s="17" t="s">
        <v>39</v>
      </c>
      <c r="E34" s="18">
        <f>ROUND(5766*1.05,2)</f>
      </c>
      <c r="F34" s="17" t="s">
        <v>40</v>
      </c>
      <c r="G34" s="17" t="s">
        <v>24</v>
      </c>
      <c r="H34" s="26">
        <f>ROUND(RAND()*4+6,1)</f>
      </c>
      <c r="I34" s="17" t="s">
        <v>41</v>
      </c>
      <c r="J34" s="19">
        <f>ROUND(62*1,0)&amp;"%"</f>
      </c>
    </row>
    <row x14ac:dyDescent="0.25" r="35" customHeight="1" ht="17.25">
      <c r="A35" s="20" t="s">
        <v>3859</v>
      </c>
      <c r="B35" s="20" t="s">
        <v>86</v>
      </c>
      <c r="C35" s="20" t="s">
        <v>76</v>
      </c>
      <c r="D35" s="20" t="s">
        <v>67</v>
      </c>
      <c r="E35" s="21">
        <f>ROUND(11882*1.05,2)</f>
      </c>
      <c r="F35" s="20" t="s">
        <v>44</v>
      </c>
      <c r="G35" s="20" t="s">
        <v>30</v>
      </c>
      <c r="H35" s="21">
        <f>ROUND(RAND()*4+6,1)</f>
      </c>
      <c r="I35" s="20" t="s">
        <v>45</v>
      </c>
      <c r="J35" s="23">
        <f>ROUND(60*1,0)&amp;"%"</f>
      </c>
    </row>
    <row x14ac:dyDescent="0.25" r="36" customHeight="1" ht="17.25">
      <c r="A36" s="17" t="s">
        <v>3860</v>
      </c>
      <c r="B36" s="17" t="s">
        <v>88</v>
      </c>
      <c r="C36" s="17" t="s">
        <v>76</v>
      </c>
      <c r="D36" s="17" t="s">
        <v>16</v>
      </c>
      <c r="E36" s="18">
        <f>ROUND(10491*1.05,2)</f>
      </c>
      <c r="F36" s="17" t="s">
        <v>48</v>
      </c>
      <c r="G36" s="17" t="s">
        <v>18</v>
      </c>
      <c r="H36" s="18">
        <f>ROUND(RAND()*4+6,1)</f>
      </c>
      <c r="I36" s="17" t="s">
        <v>19</v>
      </c>
      <c r="J36" s="19">
        <f>ROUND(67*1,0)&amp;"%"</f>
      </c>
    </row>
    <row x14ac:dyDescent="0.25" r="37" customHeight="1" ht="17.25">
      <c r="A37" s="20" t="s">
        <v>3861</v>
      </c>
      <c r="B37" s="20" t="s">
        <v>90</v>
      </c>
      <c r="C37" s="20" t="s">
        <v>76</v>
      </c>
      <c r="D37" s="20" t="s">
        <v>22</v>
      </c>
      <c r="E37" s="21">
        <f>ROUND(12736*1.05,2)</f>
      </c>
      <c r="F37" s="20" t="s">
        <v>51</v>
      </c>
      <c r="G37" s="20" t="s">
        <v>24</v>
      </c>
      <c r="H37" s="21">
        <f>ROUND(RAND()*4+6,1)</f>
      </c>
      <c r="I37" s="20" t="s">
        <v>25</v>
      </c>
      <c r="J37" s="23">
        <f>ROUND(96*1,0)&amp;"%"</f>
      </c>
    </row>
    <row x14ac:dyDescent="0.25" r="38" customHeight="1" ht="17.25">
      <c r="A38" s="24" t="s">
        <v>91</v>
      </c>
      <c r="B38" s="24"/>
      <c r="C38" s="24"/>
      <c r="D38" s="24"/>
      <c r="E38" s="25">
        <v>8</v>
      </c>
      <c r="F38" s="9"/>
      <c r="G38" s="9"/>
      <c r="H38" s="31"/>
      <c r="I38" s="9"/>
      <c r="J38" s="9"/>
    </row>
    <row x14ac:dyDescent="0.25" r="39" customHeight="1" ht="17.25">
      <c r="A39" s="7"/>
      <c r="B39" s="7"/>
      <c r="C39" s="7"/>
      <c r="D39" s="7"/>
      <c r="E39" s="8"/>
      <c r="F39" s="9"/>
      <c r="G39" s="9"/>
      <c r="H39" s="31"/>
      <c r="I39" s="9"/>
      <c r="J39" s="9"/>
    </row>
    <row x14ac:dyDescent="0.25" r="40" customHeight="1" ht="17.25">
      <c r="A40" s="11" t="s">
        <v>3862</v>
      </c>
      <c r="B40" s="11"/>
      <c r="C40" s="11"/>
      <c r="D40" s="11"/>
      <c r="E40" s="12"/>
      <c r="F40" s="11"/>
      <c r="G40" s="11"/>
      <c r="H40" s="12"/>
      <c r="I40" s="11"/>
      <c r="J40" s="11"/>
    </row>
    <row x14ac:dyDescent="0.25" r="41" customHeight="1" ht="17.25">
      <c r="A41" s="14" t="s">
        <v>3</v>
      </c>
      <c r="B41" s="14" t="s">
        <v>4</v>
      </c>
      <c r="C41" s="14" t="s">
        <v>5</v>
      </c>
      <c r="D41" s="14" t="s">
        <v>6</v>
      </c>
      <c r="E41" s="15" t="s">
        <v>7</v>
      </c>
      <c r="F41" s="14" t="s">
        <v>8</v>
      </c>
      <c r="G41" s="14" t="s">
        <v>9</v>
      </c>
      <c r="H41" s="15" t="s">
        <v>10</v>
      </c>
      <c r="I41" s="14" t="s">
        <v>11</v>
      </c>
      <c r="J41" s="14" t="s">
        <v>12</v>
      </c>
    </row>
    <row x14ac:dyDescent="0.25" r="42" customHeight="1" ht="17.25">
      <c r="A42" s="17" t="s">
        <v>3863</v>
      </c>
      <c r="B42" s="17" t="s">
        <v>94</v>
      </c>
      <c r="C42" s="17" t="s">
        <v>95</v>
      </c>
      <c r="D42" s="17" t="s">
        <v>16</v>
      </c>
      <c r="E42" s="18">
        <f>ROUND(14032*1.05,2)</f>
      </c>
      <c r="F42" s="17" t="s">
        <v>17</v>
      </c>
      <c r="G42" s="17" t="s">
        <v>18</v>
      </c>
      <c r="H42" s="26">
        <f>ROUND(RAND()*4+6,1)</f>
      </c>
      <c r="I42" s="17" t="s">
        <v>19</v>
      </c>
      <c r="J42" s="19">
        <f>ROUND(60*1,0)&amp;"%"</f>
      </c>
    </row>
    <row x14ac:dyDescent="0.25" r="43" customHeight="1" ht="17.25">
      <c r="A43" s="20" t="s">
        <v>3864</v>
      </c>
      <c r="B43" s="20" t="s">
        <v>97</v>
      </c>
      <c r="C43" s="20" t="s">
        <v>95</v>
      </c>
      <c r="D43" s="20" t="s">
        <v>22</v>
      </c>
      <c r="E43" s="21">
        <f>ROUND(14610*1.05,2)</f>
      </c>
      <c r="F43" s="20" t="s">
        <v>23</v>
      </c>
      <c r="G43" s="20" t="s">
        <v>24</v>
      </c>
      <c r="H43" s="21">
        <f>ROUND(RAND()*4+6,1)</f>
      </c>
      <c r="I43" s="20" t="s">
        <v>25</v>
      </c>
      <c r="J43" s="23">
        <f>ROUND(62*1,0)&amp;"%"</f>
      </c>
    </row>
    <row x14ac:dyDescent="0.25" r="44" customHeight="1" ht="17.25">
      <c r="A44" s="17" t="s">
        <v>3865</v>
      </c>
      <c r="B44" s="17" t="s">
        <v>99</v>
      </c>
      <c r="C44" s="17" t="s">
        <v>95</v>
      </c>
      <c r="D44" s="17" t="s">
        <v>28</v>
      </c>
      <c r="E44" s="18">
        <f>ROUND(8966*1.05,2)</f>
      </c>
      <c r="F44" s="17" t="s">
        <v>29</v>
      </c>
      <c r="G44" s="17" t="s">
        <v>30</v>
      </c>
      <c r="H44" s="18">
        <f>ROUND(RAND()*4+6,1)</f>
      </c>
      <c r="I44" s="17" t="s">
        <v>31</v>
      </c>
      <c r="J44" s="19">
        <f>ROUND(92*1,0)&amp;"%"</f>
      </c>
    </row>
    <row x14ac:dyDescent="0.25" r="45" customHeight="1" ht="17.25">
      <c r="A45" s="20" t="s">
        <v>3866</v>
      </c>
      <c r="B45" s="20" t="s">
        <v>101</v>
      </c>
      <c r="C45" s="20" t="s">
        <v>95</v>
      </c>
      <c r="D45" s="20" t="s">
        <v>34</v>
      </c>
      <c r="E45" s="21">
        <f>ROUND(11025*1.05,2)</f>
      </c>
      <c r="F45" s="20" t="s">
        <v>35</v>
      </c>
      <c r="G45" s="20" t="s">
        <v>18</v>
      </c>
      <c r="H45" s="21">
        <f>ROUND(RAND()*4+6,1)</f>
      </c>
      <c r="I45" s="20" t="s">
        <v>36</v>
      </c>
      <c r="J45" s="23">
        <f>ROUND(89*1,0)&amp;"%"</f>
      </c>
    </row>
    <row x14ac:dyDescent="0.25" r="46" customHeight="1" ht="17.25">
      <c r="A46" s="17" t="s">
        <v>3867</v>
      </c>
      <c r="B46" s="17" t="s">
        <v>103</v>
      </c>
      <c r="C46" s="17" t="s">
        <v>95</v>
      </c>
      <c r="D46" s="17" t="s">
        <v>39</v>
      </c>
      <c r="E46" s="18">
        <f>ROUND(8686*1.05,2)</f>
      </c>
      <c r="F46" s="17" t="s">
        <v>40</v>
      </c>
      <c r="G46" s="17" t="s">
        <v>24</v>
      </c>
      <c r="H46" s="18">
        <f>ROUND(RAND()*4+6,1)</f>
      </c>
      <c r="I46" s="17" t="s">
        <v>41</v>
      </c>
      <c r="J46" s="19">
        <f>ROUND(98*1,0)&amp;"%"</f>
      </c>
    </row>
    <row x14ac:dyDescent="0.25" r="47" customHeight="1" ht="17.25">
      <c r="A47" s="20" t="s">
        <v>3868</v>
      </c>
      <c r="B47" s="20" t="s">
        <v>105</v>
      </c>
      <c r="C47" s="20" t="s">
        <v>95</v>
      </c>
      <c r="D47" s="20" t="s">
        <v>67</v>
      </c>
      <c r="E47" s="21">
        <f>ROUND(15991*1.05,2)</f>
      </c>
      <c r="F47" s="20" t="s">
        <v>44</v>
      </c>
      <c r="G47" s="20" t="s">
        <v>30</v>
      </c>
      <c r="H47" s="21">
        <f>ROUND(RAND()*4+6,1)</f>
      </c>
      <c r="I47" s="20" t="s">
        <v>45</v>
      </c>
      <c r="J47" s="23">
        <f>ROUND(68*1,0)&amp;"%"</f>
      </c>
    </row>
    <row x14ac:dyDescent="0.25" r="48" customHeight="1" ht="17.25">
      <c r="A48" s="17" t="s">
        <v>3869</v>
      </c>
      <c r="B48" s="17" t="s">
        <v>107</v>
      </c>
      <c r="C48" s="17" t="s">
        <v>95</v>
      </c>
      <c r="D48" s="17" t="s">
        <v>16</v>
      </c>
      <c r="E48" s="18">
        <f>ROUND(9233*1.05,2)</f>
      </c>
      <c r="F48" s="17" t="s">
        <v>48</v>
      </c>
      <c r="G48" s="17" t="s">
        <v>18</v>
      </c>
      <c r="H48" s="18">
        <f>ROUND(RAND()*4+6,1)</f>
      </c>
      <c r="I48" s="17" t="s">
        <v>19</v>
      </c>
      <c r="J48" s="19">
        <f>ROUND(94*1,0)&amp;"%"</f>
      </c>
    </row>
    <row x14ac:dyDescent="0.25" r="49" customHeight="1" ht="17.25">
      <c r="A49" s="20" t="s">
        <v>3870</v>
      </c>
      <c r="B49" s="20" t="s">
        <v>109</v>
      </c>
      <c r="C49" s="20" t="s">
        <v>95</v>
      </c>
      <c r="D49" s="20" t="s">
        <v>22</v>
      </c>
      <c r="E49" s="21">
        <f>ROUND(4590*1.05,2)</f>
      </c>
      <c r="F49" s="20" t="s">
        <v>51</v>
      </c>
      <c r="G49" s="20" t="s">
        <v>24</v>
      </c>
      <c r="H49" s="21">
        <f>ROUND(RAND()*4+6,1)</f>
      </c>
      <c r="I49" s="20" t="s">
        <v>25</v>
      </c>
      <c r="J49" s="23">
        <f>ROUND(88*1,0)&amp;"%"</f>
      </c>
    </row>
    <row x14ac:dyDescent="0.25" r="50" customHeight="1" ht="17.25">
      <c r="A50" s="24" t="s">
        <v>110</v>
      </c>
      <c r="B50" s="24"/>
      <c r="C50" s="24"/>
      <c r="D50" s="24"/>
      <c r="E50" s="25">
        <v>8</v>
      </c>
      <c r="F50" s="9"/>
      <c r="G50" s="9"/>
      <c r="H50" s="31"/>
      <c r="I50" s="9"/>
      <c r="J50" s="9"/>
    </row>
    <row x14ac:dyDescent="0.25" r="51" customHeight="1" ht="17.25">
      <c r="A51" s="7"/>
      <c r="B51" s="7"/>
      <c r="C51" s="7"/>
      <c r="D51" s="7"/>
      <c r="E51" s="8"/>
      <c r="F51" s="9"/>
      <c r="G51" s="9"/>
      <c r="H51" s="31"/>
      <c r="I51" s="9"/>
      <c r="J51" s="9"/>
    </row>
    <row x14ac:dyDescent="0.25" r="52" customHeight="1" ht="17.25">
      <c r="A52" s="11" t="s">
        <v>3871</v>
      </c>
      <c r="B52" s="11"/>
      <c r="C52" s="11"/>
      <c r="D52" s="11"/>
      <c r="E52" s="12"/>
      <c r="F52" s="11"/>
      <c r="G52" s="11"/>
      <c r="H52" s="12"/>
      <c r="I52" s="11"/>
      <c r="J52" s="11"/>
    </row>
    <row x14ac:dyDescent="0.25" r="53" customHeight="1" ht="17.25">
      <c r="A53" s="14" t="s">
        <v>3</v>
      </c>
      <c r="B53" s="14" t="s">
        <v>4</v>
      </c>
      <c r="C53" s="14" t="s">
        <v>5</v>
      </c>
      <c r="D53" s="14" t="s">
        <v>6</v>
      </c>
      <c r="E53" s="15" t="s">
        <v>7</v>
      </c>
      <c r="F53" s="14" t="s">
        <v>8</v>
      </c>
      <c r="G53" s="14" t="s">
        <v>9</v>
      </c>
      <c r="H53" s="15" t="s">
        <v>10</v>
      </c>
      <c r="I53" s="14" t="s">
        <v>11</v>
      </c>
      <c r="J53" s="14" t="s">
        <v>12</v>
      </c>
    </row>
    <row x14ac:dyDescent="0.25" r="54" customHeight="1" ht="17.25">
      <c r="A54" s="17" t="s">
        <v>3872</v>
      </c>
      <c r="B54" s="17" t="s">
        <v>113</v>
      </c>
      <c r="C54" s="17" t="s">
        <v>114</v>
      </c>
      <c r="D54" s="17" t="s">
        <v>16</v>
      </c>
      <c r="E54" s="18">
        <f>ROUND(8082*1.05,2)</f>
      </c>
      <c r="F54" s="17" t="s">
        <v>17</v>
      </c>
      <c r="G54" s="17" t="s">
        <v>18</v>
      </c>
      <c r="H54" s="18">
        <f>ROUND(RAND()*4+6,1)</f>
      </c>
      <c r="I54" s="17" t="s">
        <v>19</v>
      </c>
      <c r="J54" s="19">
        <f>ROUND(89*1,0)&amp;"%"</f>
      </c>
    </row>
    <row x14ac:dyDescent="0.25" r="55" customHeight="1" ht="17.25">
      <c r="A55" s="20" t="s">
        <v>3873</v>
      </c>
      <c r="B55" s="20" t="s">
        <v>116</v>
      </c>
      <c r="C55" s="20" t="s">
        <v>114</v>
      </c>
      <c r="D55" s="20" t="s">
        <v>22</v>
      </c>
      <c r="E55" s="21">
        <f>ROUND(12117*1.05,2)</f>
      </c>
      <c r="F55" s="20" t="s">
        <v>23</v>
      </c>
      <c r="G55" s="20" t="s">
        <v>24</v>
      </c>
      <c r="H55" s="21">
        <f>ROUND(RAND()*4+6,1)</f>
      </c>
      <c r="I55" s="20" t="s">
        <v>25</v>
      </c>
      <c r="J55" s="23">
        <f>ROUND(80*1,0)&amp;"%"</f>
      </c>
    </row>
    <row x14ac:dyDescent="0.25" r="56" customHeight="1" ht="17.25">
      <c r="A56" s="17" t="s">
        <v>3874</v>
      </c>
      <c r="B56" s="17" t="s">
        <v>118</v>
      </c>
      <c r="C56" s="17" t="s">
        <v>114</v>
      </c>
      <c r="D56" s="17" t="s">
        <v>28</v>
      </c>
      <c r="E56" s="18">
        <f>ROUND(17666*1.05,2)</f>
      </c>
      <c r="F56" s="17" t="s">
        <v>29</v>
      </c>
      <c r="G56" s="17" t="s">
        <v>30</v>
      </c>
      <c r="H56" s="18">
        <f>ROUND(RAND()*4+6,1)</f>
      </c>
      <c r="I56" s="17" t="s">
        <v>31</v>
      </c>
      <c r="J56" s="19">
        <f>ROUND(94*1,0)&amp;"%"</f>
      </c>
    </row>
    <row x14ac:dyDescent="0.25" r="57" customHeight="1" ht="17.25">
      <c r="A57" s="20" t="s">
        <v>3875</v>
      </c>
      <c r="B57" s="20" t="s">
        <v>120</v>
      </c>
      <c r="C57" s="20" t="s">
        <v>114</v>
      </c>
      <c r="D57" s="20" t="s">
        <v>34</v>
      </c>
      <c r="E57" s="21">
        <f>ROUND(7157*1.05,2)</f>
      </c>
      <c r="F57" s="20" t="s">
        <v>35</v>
      </c>
      <c r="G57" s="20" t="s">
        <v>18</v>
      </c>
      <c r="H57" s="21">
        <f>ROUND(RAND()*4+6,1)</f>
      </c>
      <c r="I57" s="20" t="s">
        <v>36</v>
      </c>
      <c r="J57" s="23">
        <f>ROUND(66*1,0)&amp;"%"</f>
      </c>
    </row>
    <row x14ac:dyDescent="0.25" r="58" customHeight="1" ht="17.25">
      <c r="A58" s="17" t="s">
        <v>3876</v>
      </c>
      <c r="B58" s="17" t="s">
        <v>122</v>
      </c>
      <c r="C58" s="17" t="s">
        <v>114</v>
      </c>
      <c r="D58" s="17" t="s">
        <v>39</v>
      </c>
      <c r="E58" s="18">
        <f>ROUND(10723*1.05,2)</f>
      </c>
      <c r="F58" s="17" t="s">
        <v>40</v>
      </c>
      <c r="G58" s="17" t="s">
        <v>24</v>
      </c>
      <c r="H58" s="18">
        <f>ROUND(RAND()*4+6,1)</f>
      </c>
      <c r="I58" s="17" t="s">
        <v>41</v>
      </c>
      <c r="J58" s="19">
        <f>ROUND(97*1,0)&amp;"%"</f>
      </c>
    </row>
    <row x14ac:dyDescent="0.25" r="59" customHeight="1" ht="17.25">
      <c r="A59" s="20" t="s">
        <v>3877</v>
      </c>
      <c r="B59" s="20" t="s">
        <v>124</v>
      </c>
      <c r="C59" s="20" t="s">
        <v>114</v>
      </c>
      <c r="D59" s="20" t="s">
        <v>67</v>
      </c>
      <c r="E59" s="21">
        <f>ROUND(13213*1.05,2)</f>
      </c>
      <c r="F59" s="20" t="s">
        <v>44</v>
      </c>
      <c r="G59" s="20" t="s">
        <v>30</v>
      </c>
      <c r="H59" s="21">
        <f>ROUND(RAND()*4+6,1)</f>
      </c>
      <c r="I59" s="20" t="s">
        <v>45</v>
      </c>
      <c r="J59" s="23">
        <f>ROUND(100*1,0)&amp;"%"</f>
      </c>
    </row>
    <row x14ac:dyDescent="0.25" r="60" customHeight="1" ht="17.25">
      <c r="A60" s="17" t="s">
        <v>3878</v>
      </c>
      <c r="B60" s="17" t="s">
        <v>126</v>
      </c>
      <c r="C60" s="17" t="s">
        <v>114</v>
      </c>
      <c r="D60" s="17" t="s">
        <v>16</v>
      </c>
      <c r="E60" s="18">
        <f>ROUND(7432*1.05,2)</f>
      </c>
      <c r="F60" s="17" t="s">
        <v>48</v>
      </c>
      <c r="G60" s="17" t="s">
        <v>18</v>
      </c>
      <c r="H60" s="18">
        <f>ROUND(RAND()*4+6,1)</f>
      </c>
      <c r="I60" s="17" t="s">
        <v>19</v>
      </c>
      <c r="J60" s="19">
        <f>ROUND(94*1,0)&amp;"%"</f>
      </c>
    </row>
    <row x14ac:dyDescent="0.25" r="61" customHeight="1" ht="17.25">
      <c r="A61" s="20" t="s">
        <v>3879</v>
      </c>
      <c r="B61" s="20" t="s">
        <v>128</v>
      </c>
      <c r="C61" s="20" t="s">
        <v>114</v>
      </c>
      <c r="D61" s="20" t="s">
        <v>22</v>
      </c>
      <c r="E61" s="21">
        <f>ROUND(9807*1.05,2)</f>
      </c>
      <c r="F61" s="20" t="s">
        <v>51</v>
      </c>
      <c r="G61" s="20" t="s">
        <v>24</v>
      </c>
      <c r="H61" s="22">
        <f>ROUND(RAND()*4+6,1)</f>
      </c>
      <c r="I61" s="20" t="s">
        <v>25</v>
      </c>
      <c r="J61" s="23">
        <f>ROUND(92*1,0)&amp;"%"</f>
      </c>
    </row>
    <row x14ac:dyDescent="0.25" r="62" customHeight="1" ht="17.25">
      <c r="A62" s="24" t="s">
        <v>129</v>
      </c>
      <c r="B62" s="24"/>
      <c r="C62" s="24"/>
      <c r="D62" s="24"/>
      <c r="E62" s="25">
        <v>8</v>
      </c>
      <c r="F62" s="9"/>
      <c r="G62" s="9"/>
      <c r="H62" s="31"/>
      <c r="I62" s="9"/>
      <c r="J62" s="9"/>
    </row>
    <row x14ac:dyDescent="0.25" r="63" customHeight="1" ht="17.25">
      <c r="A63" s="7"/>
      <c r="B63" s="7"/>
      <c r="C63" s="7"/>
      <c r="D63" s="7"/>
      <c r="E63" s="8"/>
      <c r="F63" s="9"/>
      <c r="G63" s="9"/>
      <c r="H63" s="31"/>
      <c r="I63" s="9"/>
      <c r="J63" s="9"/>
    </row>
    <row x14ac:dyDescent="0.25" r="64" customHeight="1" ht="17.25">
      <c r="A64" s="11" t="s">
        <v>3880</v>
      </c>
      <c r="B64" s="11"/>
      <c r="C64" s="11"/>
      <c r="D64" s="11"/>
      <c r="E64" s="12"/>
      <c r="F64" s="11"/>
      <c r="G64" s="11"/>
      <c r="H64" s="12"/>
      <c r="I64" s="11"/>
      <c r="J64" s="11"/>
    </row>
    <row x14ac:dyDescent="0.25" r="65" customHeight="1" ht="17.25">
      <c r="A65" s="14" t="s">
        <v>3</v>
      </c>
      <c r="B65" s="14" t="s">
        <v>4</v>
      </c>
      <c r="C65" s="14" t="s">
        <v>5</v>
      </c>
      <c r="D65" s="14" t="s">
        <v>6</v>
      </c>
      <c r="E65" s="15" t="s">
        <v>7</v>
      </c>
      <c r="F65" s="14" t="s">
        <v>8</v>
      </c>
      <c r="G65" s="14" t="s">
        <v>9</v>
      </c>
      <c r="H65" s="15" t="s">
        <v>10</v>
      </c>
      <c r="I65" s="14" t="s">
        <v>11</v>
      </c>
      <c r="J65" s="14" t="s">
        <v>12</v>
      </c>
    </row>
    <row x14ac:dyDescent="0.25" r="66" customHeight="1" ht="17.25">
      <c r="A66" s="17" t="s">
        <v>3881</v>
      </c>
      <c r="B66" s="17" t="s">
        <v>132</v>
      </c>
      <c r="C66" s="17" t="s">
        <v>133</v>
      </c>
      <c r="D66" s="17" t="s">
        <v>16</v>
      </c>
      <c r="E66" s="18">
        <f>ROUND(6912*1.05,2)</f>
      </c>
      <c r="F66" s="17" t="s">
        <v>17</v>
      </c>
      <c r="G66" s="17" t="s">
        <v>18</v>
      </c>
      <c r="H66" s="18">
        <f>ROUND(RAND()*4+6,1)</f>
      </c>
      <c r="I66" s="17" t="s">
        <v>19</v>
      </c>
      <c r="J66" s="19">
        <f>ROUND(82*1,0)&amp;"%"</f>
      </c>
    </row>
    <row x14ac:dyDescent="0.25" r="67" customHeight="1" ht="17.25">
      <c r="A67" s="20" t="s">
        <v>3882</v>
      </c>
      <c r="B67" s="20" t="s">
        <v>135</v>
      </c>
      <c r="C67" s="20" t="s">
        <v>133</v>
      </c>
      <c r="D67" s="20" t="s">
        <v>22</v>
      </c>
      <c r="E67" s="21">
        <f>ROUND(9373*1.05,2)</f>
      </c>
      <c r="F67" s="20" t="s">
        <v>23</v>
      </c>
      <c r="G67" s="20" t="s">
        <v>24</v>
      </c>
      <c r="H67" s="21">
        <f>ROUND(RAND()*4+6,1)</f>
      </c>
      <c r="I67" s="20" t="s">
        <v>25</v>
      </c>
      <c r="J67" s="23">
        <f>ROUND(67*1,0)&amp;"%"</f>
      </c>
    </row>
    <row x14ac:dyDescent="0.25" r="68" customHeight="1" ht="17.25">
      <c r="A68" s="17" t="s">
        <v>3883</v>
      </c>
      <c r="B68" s="17" t="s">
        <v>137</v>
      </c>
      <c r="C68" s="17" t="s">
        <v>133</v>
      </c>
      <c r="D68" s="17" t="s">
        <v>28</v>
      </c>
      <c r="E68" s="18">
        <f>ROUND(7206*1.05,2)</f>
      </c>
      <c r="F68" s="17" t="s">
        <v>29</v>
      </c>
      <c r="G68" s="17" t="s">
        <v>30</v>
      </c>
      <c r="H68" s="26">
        <f>ROUND(RAND()*4+6,1)</f>
      </c>
      <c r="I68" s="17" t="s">
        <v>31</v>
      </c>
      <c r="J68" s="19">
        <f>ROUND(96*1,0)&amp;"%"</f>
      </c>
    </row>
    <row x14ac:dyDescent="0.25" r="69" customHeight="1" ht="17.25">
      <c r="A69" s="20" t="s">
        <v>3884</v>
      </c>
      <c r="B69" s="20" t="s">
        <v>139</v>
      </c>
      <c r="C69" s="20" t="s">
        <v>133</v>
      </c>
      <c r="D69" s="20" t="s">
        <v>34</v>
      </c>
      <c r="E69" s="21">
        <f>ROUND(8914*1.05,2)</f>
      </c>
      <c r="F69" s="20" t="s">
        <v>35</v>
      </c>
      <c r="G69" s="20" t="s">
        <v>18</v>
      </c>
      <c r="H69" s="21">
        <f>ROUND(RAND()*4+6,1)</f>
      </c>
      <c r="I69" s="20" t="s">
        <v>36</v>
      </c>
      <c r="J69" s="23">
        <f>ROUND(96*1,0)&amp;"%"</f>
      </c>
    </row>
    <row x14ac:dyDescent="0.25" r="70" customHeight="1" ht="17.25">
      <c r="A70" s="17" t="s">
        <v>3885</v>
      </c>
      <c r="B70" s="17" t="s">
        <v>141</v>
      </c>
      <c r="C70" s="17" t="s">
        <v>133</v>
      </c>
      <c r="D70" s="17" t="s">
        <v>39</v>
      </c>
      <c r="E70" s="18">
        <f>ROUND(16715*1.05,2)</f>
      </c>
      <c r="F70" s="17" t="s">
        <v>40</v>
      </c>
      <c r="G70" s="17" t="s">
        <v>24</v>
      </c>
      <c r="H70" s="18">
        <f>ROUND(RAND()*4+6,1)</f>
      </c>
      <c r="I70" s="17" t="s">
        <v>41</v>
      </c>
      <c r="J70" s="19">
        <f>ROUND(65*1,0)&amp;"%"</f>
      </c>
    </row>
    <row x14ac:dyDescent="0.25" r="71" customHeight="1" ht="17.25">
      <c r="A71" s="20" t="s">
        <v>3886</v>
      </c>
      <c r="B71" s="20" t="s">
        <v>143</v>
      </c>
      <c r="C71" s="20" t="s">
        <v>133</v>
      </c>
      <c r="D71" s="20" t="s">
        <v>67</v>
      </c>
      <c r="E71" s="21">
        <f>ROUND(12971*1.05,2)</f>
      </c>
      <c r="F71" s="20" t="s">
        <v>44</v>
      </c>
      <c r="G71" s="20" t="s">
        <v>30</v>
      </c>
      <c r="H71" s="21">
        <f>ROUND(RAND()*4+6,1)</f>
      </c>
      <c r="I71" s="20" t="s">
        <v>45</v>
      </c>
      <c r="J71" s="23">
        <f>ROUND(65*1,0)&amp;"%"</f>
      </c>
    </row>
    <row x14ac:dyDescent="0.25" r="72" customHeight="1" ht="17.25">
      <c r="A72" s="17" t="s">
        <v>3887</v>
      </c>
      <c r="B72" s="17" t="s">
        <v>145</v>
      </c>
      <c r="C72" s="17" t="s">
        <v>133</v>
      </c>
      <c r="D72" s="17" t="s">
        <v>16</v>
      </c>
      <c r="E72" s="18">
        <f>ROUND(16915*1.05,2)</f>
      </c>
      <c r="F72" s="17" t="s">
        <v>48</v>
      </c>
      <c r="G72" s="17" t="s">
        <v>18</v>
      </c>
      <c r="H72" s="18">
        <f>ROUND(RAND()*4+6,1)</f>
      </c>
      <c r="I72" s="17" t="s">
        <v>19</v>
      </c>
      <c r="J72" s="19">
        <f>ROUND(97*1,0)&amp;"%"</f>
      </c>
    </row>
    <row x14ac:dyDescent="0.25" r="73" customHeight="1" ht="17.25">
      <c r="A73" s="20" t="s">
        <v>3888</v>
      </c>
      <c r="B73" s="20" t="s">
        <v>147</v>
      </c>
      <c r="C73" s="20" t="s">
        <v>133</v>
      </c>
      <c r="D73" s="20" t="s">
        <v>22</v>
      </c>
      <c r="E73" s="21">
        <f>ROUND(13772*1.05,2)</f>
      </c>
      <c r="F73" s="20" t="s">
        <v>51</v>
      </c>
      <c r="G73" s="20" t="s">
        <v>24</v>
      </c>
      <c r="H73" s="21">
        <f>ROUND(RAND()*4+6,1)</f>
      </c>
      <c r="I73" s="20" t="s">
        <v>25</v>
      </c>
      <c r="J73" s="23">
        <f>ROUND(71*1,0)&amp;"%"</f>
      </c>
    </row>
    <row x14ac:dyDescent="0.25" r="74" customHeight="1" ht="17.25">
      <c r="A74" s="24" t="s">
        <v>148</v>
      </c>
      <c r="B74" s="24"/>
      <c r="C74" s="24"/>
      <c r="D74" s="24"/>
      <c r="E74" s="25">
        <v>8</v>
      </c>
      <c r="F74" s="9"/>
      <c r="G74" s="9"/>
      <c r="H74" s="31"/>
      <c r="I74" s="9"/>
      <c r="J74" s="9"/>
    </row>
    <row x14ac:dyDescent="0.25" r="75" customHeight="1" ht="17.25">
      <c r="A75" s="7"/>
      <c r="B75" s="7"/>
      <c r="C75" s="7"/>
      <c r="D75" s="7"/>
      <c r="E75" s="8"/>
      <c r="F75" s="9"/>
      <c r="G75" s="9"/>
      <c r="H75" s="31"/>
      <c r="I75" s="9"/>
      <c r="J75" s="9"/>
    </row>
    <row x14ac:dyDescent="0.25" r="76" customHeight="1" ht="17.25">
      <c r="A76" s="11" t="s">
        <v>3889</v>
      </c>
      <c r="B76" s="11"/>
      <c r="C76" s="11"/>
      <c r="D76" s="11"/>
      <c r="E76" s="12"/>
      <c r="F76" s="11"/>
      <c r="G76" s="11"/>
      <c r="H76" s="12"/>
      <c r="I76" s="11"/>
      <c r="J76" s="11"/>
    </row>
    <row x14ac:dyDescent="0.25" r="77" customHeight="1" ht="17.25">
      <c r="A77" s="14" t="s">
        <v>3</v>
      </c>
      <c r="B77" s="14" t="s">
        <v>4</v>
      </c>
      <c r="C77" s="14" t="s">
        <v>5</v>
      </c>
      <c r="D77" s="14" t="s">
        <v>6</v>
      </c>
      <c r="E77" s="15" t="s">
        <v>7</v>
      </c>
      <c r="F77" s="14" t="s">
        <v>8</v>
      </c>
      <c r="G77" s="14" t="s">
        <v>9</v>
      </c>
      <c r="H77" s="15" t="s">
        <v>10</v>
      </c>
      <c r="I77" s="14" t="s">
        <v>11</v>
      </c>
      <c r="J77" s="14" t="s">
        <v>12</v>
      </c>
    </row>
    <row x14ac:dyDescent="0.25" r="78" customHeight="1" ht="17.25">
      <c r="A78" s="17" t="s">
        <v>3890</v>
      </c>
      <c r="B78" s="17" t="s">
        <v>151</v>
      </c>
      <c r="C78" s="17" t="s">
        <v>152</v>
      </c>
      <c r="D78" s="17" t="s">
        <v>16</v>
      </c>
      <c r="E78" s="18">
        <f>ROUND(12062*1.05,2)</f>
      </c>
      <c r="F78" s="17" t="s">
        <v>17</v>
      </c>
      <c r="G78" s="17" t="s">
        <v>18</v>
      </c>
      <c r="H78" s="18">
        <f>ROUND(RAND()*4+6,1)</f>
      </c>
      <c r="I78" s="17" t="s">
        <v>19</v>
      </c>
      <c r="J78" s="19">
        <f>ROUND(70*1,0)&amp;"%"</f>
      </c>
    </row>
    <row x14ac:dyDescent="0.25" r="79" customHeight="1" ht="17.25">
      <c r="A79" s="20" t="s">
        <v>3891</v>
      </c>
      <c r="B79" s="20" t="s">
        <v>154</v>
      </c>
      <c r="C79" s="20" t="s">
        <v>152</v>
      </c>
      <c r="D79" s="20" t="s">
        <v>22</v>
      </c>
      <c r="E79" s="21">
        <f>ROUND(12164*1.05,2)</f>
      </c>
      <c r="F79" s="20" t="s">
        <v>23</v>
      </c>
      <c r="G79" s="20" t="s">
        <v>24</v>
      </c>
      <c r="H79" s="21">
        <f>ROUND(RAND()*4+6,1)</f>
      </c>
      <c r="I79" s="20" t="s">
        <v>25</v>
      </c>
      <c r="J79" s="23">
        <f>ROUND(62*1,0)&amp;"%"</f>
      </c>
    </row>
    <row x14ac:dyDescent="0.25" r="80" customHeight="1" ht="17.25">
      <c r="A80" s="17" t="s">
        <v>3892</v>
      </c>
      <c r="B80" s="17" t="s">
        <v>156</v>
      </c>
      <c r="C80" s="17" t="s">
        <v>152</v>
      </c>
      <c r="D80" s="17" t="s">
        <v>28</v>
      </c>
      <c r="E80" s="18">
        <f>ROUND(4209*1.05,2)</f>
      </c>
      <c r="F80" s="17" t="s">
        <v>29</v>
      </c>
      <c r="G80" s="17" t="s">
        <v>30</v>
      </c>
      <c r="H80" s="18">
        <f>ROUND(RAND()*4+6,1)</f>
      </c>
      <c r="I80" s="17" t="s">
        <v>31</v>
      </c>
      <c r="J80" s="19">
        <f>ROUND(83*1,0)&amp;"%"</f>
      </c>
    </row>
    <row x14ac:dyDescent="0.25" r="81" customHeight="1" ht="17.25">
      <c r="A81" s="20" t="s">
        <v>3893</v>
      </c>
      <c r="B81" s="20" t="s">
        <v>158</v>
      </c>
      <c r="C81" s="20" t="s">
        <v>152</v>
      </c>
      <c r="D81" s="20" t="s">
        <v>34</v>
      </c>
      <c r="E81" s="21">
        <f>ROUND(11323*1.05,2)</f>
      </c>
      <c r="F81" s="20" t="s">
        <v>35</v>
      </c>
      <c r="G81" s="20" t="s">
        <v>18</v>
      </c>
      <c r="H81" s="21">
        <f>ROUND(RAND()*4+6,1)</f>
      </c>
      <c r="I81" s="20" t="s">
        <v>36</v>
      </c>
      <c r="J81" s="23">
        <f>ROUND(92*1,0)&amp;"%"</f>
      </c>
    </row>
    <row x14ac:dyDescent="0.25" r="82" customHeight="1" ht="17.25">
      <c r="A82" s="17" t="s">
        <v>3894</v>
      </c>
      <c r="B82" s="17" t="s">
        <v>160</v>
      </c>
      <c r="C82" s="17" t="s">
        <v>152</v>
      </c>
      <c r="D82" s="17" t="s">
        <v>39</v>
      </c>
      <c r="E82" s="18">
        <f>ROUND(10708*1.05,2)</f>
      </c>
      <c r="F82" s="17" t="s">
        <v>40</v>
      </c>
      <c r="G82" s="17" t="s">
        <v>24</v>
      </c>
      <c r="H82" s="18">
        <f>ROUND(RAND()*4+6,1)</f>
      </c>
      <c r="I82" s="17" t="s">
        <v>41</v>
      </c>
      <c r="J82" s="19">
        <f>ROUND(71*1,0)&amp;"%"</f>
      </c>
    </row>
    <row x14ac:dyDescent="0.25" r="83" customHeight="1" ht="17.25">
      <c r="A83" s="20" t="s">
        <v>3895</v>
      </c>
      <c r="B83" s="20" t="s">
        <v>162</v>
      </c>
      <c r="C83" s="20" t="s">
        <v>152</v>
      </c>
      <c r="D83" s="20" t="s">
        <v>67</v>
      </c>
      <c r="E83" s="21">
        <f>ROUND(10205*1.05,2)</f>
      </c>
      <c r="F83" s="20" t="s">
        <v>44</v>
      </c>
      <c r="G83" s="20" t="s">
        <v>30</v>
      </c>
      <c r="H83" s="21">
        <f>ROUND(RAND()*4+6,1)</f>
      </c>
      <c r="I83" s="20" t="s">
        <v>45</v>
      </c>
      <c r="J83" s="23">
        <f>ROUND(89*1,0)&amp;"%"</f>
      </c>
    </row>
    <row x14ac:dyDescent="0.25" r="84" customHeight="1" ht="17.25">
      <c r="A84" s="17" t="s">
        <v>3896</v>
      </c>
      <c r="B84" s="17" t="s">
        <v>164</v>
      </c>
      <c r="C84" s="17" t="s">
        <v>152</v>
      </c>
      <c r="D84" s="17" t="s">
        <v>16</v>
      </c>
      <c r="E84" s="18">
        <f>ROUND(12615*1.05,2)</f>
      </c>
      <c r="F84" s="17" t="s">
        <v>48</v>
      </c>
      <c r="G84" s="17" t="s">
        <v>18</v>
      </c>
      <c r="H84" s="18">
        <f>ROUND(RAND()*4+6,1)</f>
      </c>
      <c r="I84" s="17" t="s">
        <v>19</v>
      </c>
      <c r="J84" s="19">
        <f>ROUND(70*1,0)&amp;"%"</f>
      </c>
    </row>
    <row x14ac:dyDescent="0.25" r="85" customHeight="1" ht="17.25">
      <c r="A85" s="20" t="s">
        <v>3897</v>
      </c>
      <c r="B85" s="20" t="s">
        <v>166</v>
      </c>
      <c r="C85" s="20" t="s">
        <v>152</v>
      </c>
      <c r="D85" s="20" t="s">
        <v>22</v>
      </c>
      <c r="E85" s="21">
        <f>ROUND(9445*1.05,2)</f>
      </c>
      <c r="F85" s="20" t="s">
        <v>51</v>
      </c>
      <c r="G85" s="20" t="s">
        <v>24</v>
      </c>
      <c r="H85" s="21">
        <f>ROUND(RAND()*4+6,1)</f>
      </c>
      <c r="I85" s="20" t="s">
        <v>25</v>
      </c>
      <c r="J85" s="23">
        <f>ROUND(89*1,0)&amp;"%"</f>
      </c>
    </row>
    <row x14ac:dyDescent="0.25" r="86" customHeight="1" ht="17.25">
      <c r="A86" s="24" t="s">
        <v>167</v>
      </c>
      <c r="B86" s="24"/>
      <c r="C86" s="24"/>
      <c r="D86" s="24"/>
      <c r="E86" s="25">
        <v>8</v>
      </c>
      <c r="F86" s="9"/>
      <c r="G86" s="9"/>
      <c r="H86" s="31"/>
      <c r="I86" s="9"/>
      <c r="J86" s="9"/>
    </row>
    <row x14ac:dyDescent="0.25" r="87" customHeight="1" ht="17.25">
      <c r="A87" s="7"/>
      <c r="B87" s="7"/>
      <c r="C87" s="7"/>
      <c r="D87" s="7"/>
      <c r="E87" s="8"/>
      <c r="F87" s="9"/>
      <c r="G87" s="9"/>
      <c r="H87" s="31"/>
      <c r="I87" s="9"/>
      <c r="J87" s="9"/>
    </row>
    <row x14ac:dyDescent="0.25" r="88" customHeight="1" ht="17.25">
      <c r="A88" s="11" t="s">
        <v>3898</v>
      </c>
      <c r="B88" s="11"/>
      <c r="C88" s="11"/>
      <c r="D88" s="11"/>
      <c r="E88" s="12"/>
      <c r="F88" s="11"/>
      <c r="G88" s="11"/>
      <c r="H88" s="12"/>
      <c r="I88" s="11"/>
      <c r="J88" s="11"/>
    </row>
    <row x14ac:dyDescent="0.25" r="89" customHeight="1" ht="17.25">
      <c r="A89" s="14" t="s">
        <v>3</v>
      </c>
      <c r="B89" s="14" t="s">
        <v>4</v>
      </c>
      <c r="C89" s="14" t="s">
        <v>5</v>
      </c>
      <c r="D89" s="14" t="s">
        <v>6</v>
      </c>
      <c r="E89" s="15" t="s">
        <v>7</v>
      </c>
      <c r="F89" s="14" t="s">
        <v>8</v>
      </c>
      <c r="G89" s="14" t="s">
        <v>9</v>
      </c>
      <c r="H89" s="15" t="s">
        <v>10</v>
      </c>
      <c r="I89" s="14" t="s">
        <v>11</v>
      </c>
      <c r="J89" s="14" t="s">
        <v>12</v>
      </c>
    </row>
    <row x14ac:dyDescent="0.25" r="90" customHeight="1" ht="17.25">
      <c r="A90" s="17" t="s">
        <v>3899</v>
      </c>
      <c r="B90" s="17" t="s">
        <v>170</v>
      </c>
      <c r="C90" s="17" t="s">
        <v>15</v>
      </c>
      <c r="D90" s="17" t="s">
        <v>16</v>
      </c>
      <c r="E90" s="18">
        <f>ROUND(11682*1.05,2)</f>
      </c>
      <c r="F90" s="17" t="s">
        <v>17</v>
      </c>
      <c r="G90" s="17" t="s">
        <v>18</v>
      </c>
      <c r="H90" s="18">
        <f>ROUND(RAND()*4+6,1)</f>
      </c>
      <c r="I90" s="17" t="s">
        <v>19</v>
      </c>
      <c r="J90" s="19">
        <f>ROUND(75*1,0)&amp;"%"</f>
      </c>
    </row>
    <row x14ac:dyDescent="0.25" r="91" customHeight="1" ht="17.25">
      <c r="A91" s="20" t="s">
        <v>3900</v>
      </c>
      <c r="B91" s="20" t="s">
        <v>172</v>
      </c>
      <c r="C91" s="20" t="s">
        <v>15</v>
      </c>
      <c r="D91" s="20" t="s">
        <v>22</v>
      </c>
      <c r="E91" s="21">
        <f>ROUND(14832*1.05,2)</f>
      </c>
      <c r="F91" s="20" t="s">
        <v>23</v>
      </c>
      <c r="G91" s="20" t="s">
        <v>24</v>
      </c>
      <c r="H91" s="21">
        <f>ROUND(RAND()*4+6,1)</f>
      </c>
      <c r="I91" s="20" t="s">
        <v>25</v>
      </c>
      <c r="J91" s="23">
        <f>ROUND(80*1,0)&amp;"%"</f>
      </c>
    </row>
    <row x14ac:dyDescent="0.25" r="92" customHeight="1" ht="17.25">
      <c r="A92" s="17" t="s">
        <v>3901</v>
      </c>
      <c r="B92" s="17" t="s">
        <v>174</v>
      </c>
      <c r="C92" s="17" t="s">
        <v>15</v>
      </c>
      <c r="D92" s="17" t="s">
        <v>28</v>
      </c>
      <c r="E92" s="18">
        <f>ROUND(8211*1.05,2)</f>
      </c>
      <c r="F92" s="17" t="s">
        <v>29</v>
      </c>
      <c r="G92" s="17" t="s">
        <v>30</v>
      </c>
      <c r="H92" s="18">
        <f>ROUND(RAND()*4+6,1)</f>
      </c>
      <c r="I92" s="17" t="s">
        <v>31</v>
      </c>
      <c r="J92" s="19">
        <f>ROUND(87*1,0)&amp;"%"</f>
      </c>
    </row>
    <row x14ac:dyDescent="0.25" r="93" customHeight="1" ht="17.25">
      <c r="A93" s="20" t="s">
        <v>3902</v>
      </c>
      <c r="B93" s="20" t="s">
        <v>176</v>
      </c>
      <c r="C93" s="20" t="s">
        <v>15</v>
      </c>
      <c r="D93" s="20" t="s">
        <v>34</v>
      </c>
      <c r="E93" s="21">
        <f>ROUND(13245*1.05,2)</f>
      </c>
      <c r="F93" s="20" t="s">
        <v>35</v>
      </c>
      <c r="G93" s="20" t="s">
        <v>18</v>
      </c>
      <c r="H93" s="21">
        <f>ROUND(RAND()*4+6,1)</f>
      </c>
      <c r="I93" s="20" t="s">
        <v>36</v>
      </c>
      <c r="J93" s="23">
        <f>ROUND(94*1,0)&amp;"%"</f>
      </c>
    </row>
    <row x14ac:dyDescent="0.25" r="94" customHeight="1" ht="17.25">
      <c r="A94" s="17" t="s">
        <v>3903</v>
      </c>
      <c r="B94" s="17" t="s">
        <v>178</v>
      </c>
      <c r="C94" s="17" t="s">
        <v>15</v>
      </c>
      <c r="D94" s="17" t="s">
        <v>39</v>
      </c>
      <c r="E94" s="18">
        <f>ROUND(15791*1.05,2)</f>
      </c>
      <c r="F94" s="17" t="s">
        <v>40</v>
      </c>
      <c r="G94" s="17" t="s">
        <v>24</v>
      </c>
      <c r="H94" s="18">
        <f>ROUND(RAND()*4+6,1)</f>
      </c>
      <c r="I94" s="17" t="s">
        <v>41</v>
      </c>
      <c r="J94" s="19">
        <f>ROUND(98*1,0)&amp;"%"</f>
      </c>
    </row>
    <row x14ac:dyDescent="0.25" r="95" customHeight="1" ht="17.25">
      <c r="A95" s="20" t="s">
        <v>3904</v>
      </c>
      <c r="B95" s="20" t="s">
        <v>180</v>
      </c>
      <c r="C95" s="20" t="s">
        <v>15</v>
      </c>
      <c r="D95" s="20" t="s">
        <v>67</v>
      </c>
      <c r="E95" s="21">
        <f>ROUND(11434*1.05,2)</f>
      </c>
      <c r="F95" s="20" t="s">
        <v>44</v>
      </c>
      <c r="G95" s="20" t="s">
        <v>30</v>
      </c>
      <c r="H95" s="21">
        <f>ROUND(RAND()*4+6,1)</f>
      </c>
      <c r="I95" s="20" t="s">
        <v>45</v>
      </c>
      <c r="J95" s="23">
        <f>ROUND(82*1,0)&amp;"%"</f>
      </c>
    </row>
    <row x14ac:dyDescent="0.25" r="96" customHeight="1" ht="17.25">
      <c r="A96" s="17" t="s">
        <v>3905</v>
      </c>
      <c r="B96" s="17" t="s">
        <v>182</v>
      </c>
      <c r="C96" s="17" t="s">
        <v>15</v>
      </c>
      <c r="D96" s="17" t="s">
        <v>16</v>
      </c>
      <c r="E96" s="18">
        <f>ROUND(12811*1.05,2)</f>
      </c>
      <c r="F96" s="17" t="s">
        <v>48</v>
      </c>
      <c r="G96" s="17" t="s">
        <v>18</v>
      </c>
      <c r="H96" s="18">
        <f>ROUND(RAND()*4+6,1)</f>
      </c>
      <c r="I96" s="17" t="s">
        <v>19</v>
      </c>
      <c r="J96" s="19">
        <f>ROUND(74*1,0)&amp;"%"</f>
      </c>
    </row>
    <row x14ac:dyDescent="0.25" r="97" customHeight="1" ht="17.25">
      <c r="A97" s="20" t="s">
        <v>3906</v>
      </c>
      <c r="B97" s="20" t="s">
        <v>184</v>
      </c>
      <c r="C97" s="20" t="s">
        <v>15</v>
      </c>
      <c r="D97" s="20" t="s">
        <v>22</v>
      </c>
      <c r="E97" s="21">
        <f>ROUND(14130*1.05,2)</f>
      </c>
      <c r="F97" s="20" t="s">
        <v>51</v>
      </c>
      <c r="G97" s="20" t="s">
        <v>24</v>
      </c>
      <c r="H97" s="22">
        <f>ROUND(RAND()*4+6,1)</f>
      </c>
      <c r="I97" s="20" t="s">
        <v>25</v>
      </c>
      <c r="J97" s="23">
        <f>ROUND(99*1,0)&amp;"%"</f>
      </c>
    </row>
    <row x14ac:dyDescent="0.25" r="98" customHeight="1" ht="17.25">
      <c r="A98" s="24" t="s">
        <v>185</v>
      </c>
      <c r="B98" s="24"/>
      <c r="C98" s="24"/>
      <c r="D98" s="24"/>
      <c r="E98" s="25">
        <v>8</v>
      </c>
      <c r="F98" s="9"/>
      <c r="G98" s="9"/>
      <c r="H98" s="31"/>
      <c r="I98" s="9"/>
      <c r="J98" s="9"/>
    </row>
    <row x14ac:dyDescent="0.25" r="99" customHeight="1" ht="17.25">
      <c r="A99" s="7"/>
      <c r="B99" s="7"/>
      <c r="C99" s="7"/>
      <c r="D99" s="7"/>
      <c r="E99" s="8"/>
      <c r="F99" s="9"/>
      <c r="G99" s="9"/>
      <c r="H99" s="31"/>
      <c r="I99" s="9"/>
      <c r="J99" s="9"/>
    </row>
    <row x14ac:dyDescent="0.25" r="100" customHeight="1" ht="17.25">
      <c r="A100" s="11" t="s">
        <v>3907</v>
      </c>
      <c r="B100" s="11"/>
      <c r="C100" s="11"/>
      <c r="D100" s="11"/>
      <c r="E100" s="12"/>
      <c r="F100" s="11"/>
      <c r="G100" s="11"/>
      <c r="H100" s="12"/>
      <c r="I100" s="11"/>
      <c r="J100" s="11"/>
    </row>
    <row x14ac:dyDescent="0.25" r="101" customHeight="1" ht="17.25">
      <c r="A101" s="14" t="s">
        <v>3</v>
      </c>
      <c r="B101" s="14" t="s">
        <v>4</v>
      </c>
      <c r="C101" s="14" t="s">
        <v>5</v>
      </c>
      <c r="D101" s="14" t="s">
        <v>6</v>
      </c>
      <c r="E101" s="15" t="s">
        <v>7</v>
      </c>
      <c r="F101" s="14" t="s">
        <v>8</v>
      </c>
      <c r="G101" s="14" t="s">
        <v>9</v>
      </c>
      <c r="H101" s="15" t="s">
        <v>10</v>
      </c>
      <c r="I101" s="14" t="s">
        <v>11</v>
      </c>
      <c r="J101" s="14" t="s">
        <v>12</v>
      </c>
    </row>
    <row x14ac:dyDescent="0.25" r="102" customHeight="1" ht="17.25">
      <c r="A102" s="17" t="s">
        <v>3908</v>
      </c>
      <c r="B102" s="17" t="s">
        <v>188</v>
      </c>
      <c r="C102" s="17" t="s">
        <v>56</v>
      </c>
      <c r="D102" s="17" t="s">
        <v>16</v>
      </c>
      <c r="E102" s="18">
        <f>ROUND(11258*1.05,2)</f>
      </c>
      <c r="F102" s="17" t="s">
        <v>17</v>
      </c>
      <c r="G102" s="17" t="s">
        <v>18</v>
      </c>
      <c r="H102" s="18">
        <f>ROUND(RAND()*4+6,1)</f>
      </c>
      <c r="I102" s="17" t="s">
        <v>19</v>
      </c>
      <c r="J102" s="19">
        <f>ROUND(90*1,0)&amp;"%"</f>
      </c>
    </row>
    <row x14ac:dyDescent="0.25" r="103" customHeight="1" ht="17.25">
      <c r="A103" s="20" t="s">
        <v>3909</v>
      </c>
      <c r="B103" s="20" t="s">
        <v>190</v>
      </c>
      <c r="C103" s="20" t="s">
        <v>56</v>
      </c>
      <c r="D103" s="20" t="s">
        <v>22</v>
      </c>
      <c r="E103" s="21">
        <f>ROUND(8826*1.05,2)</f>
      </c>
      <c r="F103" s="20" t="s">
        <v>23</v>
      </c>
      <c r="G103" s="20" t="s">
        <v>24</v>
      </c>
      <c r="H103" s="21">
        <f>ROUND(RAND()*4+6,1)</f>
      </c>
      <c r="I103" s="20" t="s">
        <v>25</v>
      </c>
      <c r="J103" s="23">
        <f>ROUND(96*1,0)&amp;"%"</f>
      </c>
    </row>
    <row x14ac:dyDescent="0.25" r="104" customHeight="1" ht="17.25">
      <c r="A104" s="17" t="s">
        <v>3910</v>
      </c>
      <c r="B104" s="17" t="s">
        <v>192</v>
      </c>
      <c r="C104" s="17" t="s">
        <v>56</v>
      </c>
      <c r="D104" s="17" t="s">
        <v>28</v>
      </c>
      <c r="E104" s="18">
        <f>ROUND(4389*1.05,2)</f>
      </c>
      <c r="F104" s="17" t="s">
        <v>29</v>
      </c>
      <c r="G104" s="17" t="s">
        <v>30</v>
      </c>
      <c r="H104" s="18">
        <f>ROUND(RAND()*4+6,1)</f>
      </c>
      <c r="I104" s="17" t="s">
        <v>31</v>
      </c>
      <c r="J104" s="19">
        <f>ROUND(72*1,0)&amp;"%"</f>
      </c>
    </row>
    <row x14ac:dyDescent="0.25" r="105" customHeight="1" ht="17.25">
      <c r="A105" s="20" t="s">
        <v>3911</v>
      </c>
      <c r="B105" s="20" t="s">
        <v>194</v>
      </c>
      <c r="C105" s="20" t="s">
        <v>56</v>
      </c>
      <c r="D105" s="20" t="s">
        <v>34</v>
      </c>
      <c r="E105" s="21">
        <f>ROUND(8138*1.05,2)</f>
      </c>
      <c r="F105" s="20" t="s">
        <v>35</v>
      </c>
      <c r="G105" s="20" t="s">
        <v>18</v>
      </c>
      <c r="H105" s="21">
        <f>ROUND(RAND()*4+6,1)</f>
      </c>
      <c r="I105" s="20" t="s">
        <v>36</v>
      </c>
      <c r="J105" s="23">
        <f>ROUND(96*1,0)&amp;"%"</f>
      </c>
    </row>
    <row x14ac:dyDescent="0.25" r="106" customHeight="1" ht="17.25">
      <c r="A106" s="17" t="s">
        <v>3912</v>
      </c>
      <c r="B106" s="17" t="s">
        <v>196</v>
      </c>
      <c r="C106" s="17" t="s">
        <v>56</v>
      </c>
      <c r="D106" s="17" t="s">
        <v>39</v>
      </c>
      <c r="E106" s="18">
        <f>ROUND(9206*1.05,2)</f>
      </c>
      <c r="F106" s="17" t="s">
        <v>40</v>
      </c>
      <c r="G106" s="17" t="s">
        <v>24</v>
      </c>
      <c r="H106" s="18">
        <f>ROUND(RAND()*4+6,1)</f>
      </c>
      <c r="I106" s="17" t="s">
        <v>41</v>
      </c>
      <c r="J106" s="19">
        <f>ROUND(82*1,0)&amp;"%"</f>
      </c>
    </row>
    <row x14ac:dyDescent="0.25" r="107" customHeight="1" ht="17.25">
      <c r="A107" s="20" t="s">
        <v>3913</v>
      </c>
      <c r="B107" s="20" t="s">
        <v>198</v>
      </c>
      <c r="C107" s="20" t="s">
        <v>56</v>
      </c>
      <c r="D107" s="20" t="s">
        <v>67</v>
      </c>
      <c r="E107" s="21">
        <f>ROUND(14916*1.05,2)</f>
      </c>
      <c r="F107" s="20" t="s">
        <v>44</v>
      </c>
      <c r="G107" s="20" t="s">
        <v>30</v>
      </c>
      <c r="H107" s="21">
        <f>ROUND(RAND()*4+6,1)</f>
      </c>
      <c r="I107" s="20" t="s">
        <v>45</v>
      </c>
      <c r="J107" s="23">
        <f>ROUND(79*1,0)&amp;"%"</f>
      </c>
    </row>
    <row x14ac:dyDescent="0.25" r="108" customHeight="1" ht="17.25">
      <c r="A108" s="17" t="s">
        <v>3914</v>
      </c>
      <c r="B108" s="17" t="s">
        <v>200</v>
      </c>
      <c r="C108" s="17" t="s">
        <v>56</v>
      </c>
      <c r="D108" s="17" t="s">
        <v>16</v>
      </c>
      <c r="E108" s="18">
        <f>ROUND(16858*1.05,2)</f>
      </c>
      <c r="F108" s="17" t="s">
        <v>48</v>
      </c>
      <c r="G108" s="17" t="s">
        <v>18</v>
      </c>
      <c r="H108" s="18">
        <f>ROUND(RAND()*4+6,1)</f>
      </c>
      <c r="I108" s="17" t="s">
        <v>19</v>
      </c>
      <c r="J108" s="19">
        <f>ROUND(86*1,0)&amp;"%"</f>
      </c>
    </row>
    <row x14ac:dyDescent="0.25" r="109" customHeight="1" ht="17.25">
      <c r="A109" s="20" t="s">
        <v>3915</v>
      </c>
      <c r="B109" s="20" t="s">
        <v>202</v>
      </c>
      <c r="C109" s="20" t="s">
        <v>56</v>
      </c>
      <c r="D109" s="20" t="s">
        <v>22</v>
      </c>
      <c r="E109" s="21">
        <f>ROUND(7268*1.05,2)</f>
      </c>
      <c r="F109" s="20" t="s">
        <v>51</v>
      </c>
      <c r="G109" s="20" t="s">
        <v>24</v>
      </c>
      <c r="H109" s="21">
        <f>ROUND(RAND()*4+6,1)</f>
      </c>
      <c r="I109" s="20" t="s">
        <v>25</v>
      </c>
      <c r="J109" s="23">
        <f>ROUND(100*1,0)&amp;"%"</f>
      </c>
    </row>
    <row x14ac:dyDescent="0.25" r="110" customHeight="1" ht="17.25">
      <c r="A110" s="24" t="s">
        <v>203</v>
      </c>
      <c r="B110" s="24"/>
      <c r="C110" s="24"/>
      <c r="D110" s="24"/>
      <c r="E110" s="25">
        <v>8</v>
      </c>
      <c r="F110" s="9"/>
      <c r="G110" s="9"/>
      <c r="H110" s="31"/>
      <c r="I110" s="9"/>
      <c r="J110" s="9"/>
    </row>
    <row x14ac:dyDescent="0.25" r="111" customHeight="1" ht="17.25">
      <c r="A111" s="7"/>
      <c r="B111" s="7"/>
      <c r="C111" s="7"/>
      <c r="D111" s="7"/>
      <c r="E111" s="8"/>
      <c r="F111" s="9"/>
      <c r="G111" s="9"/>
      <c r="H111" s="31"/>
      <c r="I111" s="9"/>
      <c r="J111" s="9"/>
    </row>
    <row x14ac:dyDescent="0.25" r="112" customHeight="1" ht="17.25">
      <c r="A112" s="11" t="s">
        <v>3916</v>
      </c>
      <c r="B112" s="11"/>
      <c r="C112" s="11"/>
      <c r="D112" s="11"/>
      <c r="E112" s="12"/>
      <c r="F112" s="11"/>
      <c r="G112" s="11"/>
      <c r="H112" s="12"/>
      <c r="I112" s="11"/>
      <c r="J112" s="11"/>
    </row>
    <row x14ac:dyDescent="0.25" r="113" customHeight="1" ht="17.25">
      <c r="A113" s="14" t="s">
        <v>3</v>
      </c>
      <c r="B113" s="14" t="s">
        <v>4</v>
      </c>
      <c r="C113" s="14" t="s">
        <v>5</v>
      </c>
      <c r="D113" s="14" t="s">
        <v>6</v>
      </c>
      <c r="E113" s="15" t="s">
        <v>7</v>
      </c>
      <c r="F113" s="14" t="s">
        <v>8</v>
      </c>
      <c r="G113" s="14" t="s">
        <v>9</v>
      </c>
      <c r="H113" s="15" t="s">
        <v>10</v>
      </c>
      <c r="I113" s="14" t="s">
        <v>11</v>
      </c>
      <c r="J113" s="14" t="s">
        <v>12</v>
      </c>
    </row>
    <row x14ac:dyDescent="0.25" r="114" customHeight="1" ht="17.25">
      <c r="A114" s="17" t="s">
        <v>3917</v>
      </c>
      <c r="B114" s="17" t="s">
        <v>206</v>
      </c>
      <c r="C114" s="17" t="s">
        <v>76</v>
      </c>
      <c r="D114" s="17" t="s">
        <v>16</v>
      </c>
      <c r="E114" s="18">
        <f>ROUND(5866*1.05,2)</f>
      </c>
      <c r="F114" s="17" t="s">
        <v>17</v>
      </c>
      <c r="G114" s="17" t="s">
        <v>18</v>
      </c>
      <c r="H114" s="18">
        <f>ROUND(RAND()*4+6,1)</f>
      </c>
      <c r="I114" s="17" t="s">
        <v>19</v>
      </c>
      <c r="J114" s="19">
        <f>ROUND(63*1,0)&amp;"%"</f>
      </c>
    </row>
    <row x14ac:dyDescent="0.25" r="115" customHeight="1" ht="17.25">
      <c r="A115" s="20" t="s">
        <v>3918</v>
      </c>
      <c r="B115" s="20" t="s">
        <v>208</v>
      </c>
      <c r="C115" s="20" t="s">
        <v>76</v>
      </c>
      <c r="D115" s="20" t="s">
        <v>22</v>
      </c>
      <c r="E115" s="21">
        <f>ROUND(4681*1.05,2)</f>
      </c>
      <c r="F115" s="20" t="s">
        <v>23</v>
      </c>
      <c r="G115" s="20" t="s">
        <v>24</v>
      </c>
      <c r="H115" s="21">
        <f>ROUND(RAND()*4+6,1)</f>
      </c>
      <c r="I115" s="20" t="s">
        <v>25</v>
      </c>
      <c r="J115" s="23">
        <f>ROUND(78*1,0)&amp;"%"</f>
      </c>
    </row>
    <row x14ac:dyDescent="0.25" r="116" customHeight="1" ht="17.25">
      <c r="A116" s="17" t="s">
        <v>3919</v>
      </c>
      <c r="B116" s="17" t="s">
        <v>210</v>
      </c>
      <c r="C116" s="17" t="s">
        <v>76</v>
      </c>
      <c r="D116" s="17" t="s">
        <v>28</v>
      </c>
      <c r="E116" s="18">
        <f>ROUND(14144*1.05,2)</f>
      </c>
      <c r="F116" s="17" t="s">
        <v>29</v>
      </c>
      <c r="G116" s="17" t="s">
        <v>30</v>
      </c>
      <c r="H116" s="18">
        <f>ROUND(RAND()*4+6,1)</f>
      </c>
      <c r="I116" s="17" t="s">
        <v>31</v>
      </c>
      <c r="J116" s="19">
        <f>ROUND(78*1,0)&amp;"%"</f>
      </c>
    </row>
    <row x14ac:dyDescent="0.25" r="117" customHeight="1" ht="17.25">
      <c r="A117" s="20" t="s">
        <v>3920</v>
      </c>
      <c r="B117" s="20" t="s">
        <v>212</v>
      </c>
      <c r="C117" s="20" t="s">
        <v>76</v>
      </c>
      <c r="D117" s="20" t="s">
        <v>34</v>
      </c>
      <c r="E117" s="21">
        <f>ROUND(13971*1.05,2)</f>
      </c>
      <c r="F117" s="20" t="s">
        <v>35</v>
      </c>
      <c r="G117" s="20" t="s">
        <v>18</v>
      </c>
      <c r="H117" s="21">
        <f>ROUND(RAND()*4+6,1)</f>
      </c>
      <c r="I117" s="20" t="s">
        <v>36</v>
      </c>
      <c r="J117" s="23">
        <f>ROUND(69*1,0)&amp;"%"</f>
      </c>
    </row>
    <row x14ac:dyDescent="0.25" r="118" customHeight="1" ht="17.25">
      <c r="A118" s="17" t="s">
        <v>3921</v>
      </c>
      <c r="B118" s="17" t="s">
        <v>214</v>
      </c>
      <c r="C118" s="17" t="s">
        <v>76</v>
      </c>
      <c r="D118" s="17" t="s">
        <v>39</v>
      </c>
      <c r="E118" s="18">
        <f>ROUND(11684*1.05,2)</f>
      </c>
      <c r="F118" s="17" t="s">
        <v>40</v>
      </c>
      <c r="G118" s="17" t="s">
        <v>24</v>
      </c>
      <c r="H118" s="18">
        <f>ROUND(RAND()*4+6,1)</f>
      </c>
      <c r="I118" s="17" t="s">
        <v>41</v>
      </c>
      <c r="J118" s="19">
        <f>ROUND(79*1,0)&amp;"%"</f>
      </c>
    </row>
    <row x14ac:dyDescent="0.25" r="119" customHeight="1" ht="17.25">
      <c r="A119" s="20" t="s">
        <v>3922</v>
      </c>
      <c r="B119" s="20" t="s">
        <v>216</v>
      </c>
      <c r="C119" s="20" t="s">
        <v>76</v>
      </c>
      <c r="D119" s="20" t="s">
        <v>67</v>
      </c>
      <c r="E119" s="21">
        <f>ROUND(5765*1.05,2)</f>
      </c>
      <c r="F119" s="20" t="s">
        <v>44</v>
      </c>
      <c r="G119" s="20" t="s">
        <v>30</v>
      </c>
      <c r="H119" s="21">
        <f>ROUND(RAND()*4+6,1)</f>
      </c>
      <c r="I119" s="20" t="s">
        <v>45</v>
      </c>
      <c r="J119" s="23">
        <f>ROUND(93*1,0)&amp;"%"</f>
      </c>
    </row>
    <row x14ac:dyDescent="0.25" r="120" customHeight="1" ht="17.25">
      <c r="A120" s="17" t="s">
        <v>3923</v>
      </c>
      <c r="B120" s="17" t="s">
        <v>218</v>
      </c>
      <c r="C120" s="17" t="s">
        <v>76</v>
      </c>
      <c r="D120" s="17" t="s">
        <v>16</v>
      </c>
      <c r="E120" s="18">
        <f>ROUND(12121*1.05,2)</f>
      </c>
      <c r="F120" s="17" t="s">
        <v>48</v>
      </c>
      <c r="G120" s="17" t="s">
        <v>18</v>
      </c>
      <c r="H120" s="18">
        <f>ROUND(RAND()*4+6,1)</f>
      </c>
      <c r="I120" s="17" t="s">
        <v>19</v>
      </c>
      <c r="J120" s="19">
        <f>ROUND(79*1,0)&amp;"%"</f>
      </c>
    </row>
    <row x14ac:dyDescent="0.25" r="121" customHeight="1" ht="17.25">
      <c r="A121" s="20" t="s">
        <v>3924</v>
      </c>
      <c r="B121" s="20" t="s">
        <v>220</v>
      </c>
      <c r="C121" s="20" t="s">
        <v>76</v>
      </c>
      <c r="D121" s="20" t="s">
        <v>22</v>
      </c>
      <c r="E121" s="21">
        <f>ROUND(6881*1.05,2)</f>
      </c>
      <c r="F121" s="20" t="s">
        <v>51</v>
      </c>
      <c r="G121" s="20" t="s">
        <v>24</v>
      </c>
      <c r="H121" s="21">
        <f>ROUND(RAND()*4+6,1)</f>
      </c>
      <c r="I121" s="20" t="s">
        <v>25</v>
      </c>
      <c r="J121" s="23">
        <f>ROUND(99*1,0)&amp;"%"</f>
      </c>
    </row>
    <row x14ac:dyDescent="0.25" r="122" customHeight="1" ht="17.25">
      <c r="A122" s="24" t="s">
        <v>221</v>
      </c>
      <c r="B122" s="24"/>
      <c r="C122" s="24"/>
      <c r="D122" s="24"/>
      <c r="E122" s="25">
        <v>8</v>
      </c>
      <c r="F122" s="9"/>
      <c r="G122" s="9"/>
      <c r="H122" s="31"/>
      <c r="I122" s="9"/>
      <c r="J122" s="9"/>
    </row>
    <row x14ac:dyDescent="0.25" r="123" customHeight="1" ht="17.25">
      <c r="A123" s="7"/>
      <c r="B123" s="7"/>
      <c r="C123" s="7"/>
      <c r="D123" s="7"/>
      <c r="E123" s="8"/>
      <c r="F123" s="9"/>
      <c r="G123" s="9"/>
      <c r="H123" s="31"/>
      <c r="I123" s="9"/>
      <c r="J123" s="9"/>
    </row>
    <row x14ac:dyDescent="0.25" r="124" customHeight="1" ht="17.25">
      <c r="A124" s="11" t="s">
        <v>3925</v>
      </c>
      <c r="B124" s="11"/>
      <c r="C124" s="11"/>
      <c r="D124" s="11"/>
      <c r="E124" s="12"/>
      <c r="F124" s="11"/>
      <c r="G124" s="11"/>
      <c r="H124" s="12"/>
      <c r="I124" s="11"/>
      <c r="J124" s="11"/>
    </row>
    <row x14ac:dyDescent="0.25" r="125" customHeight="1" ht="17.25">
      <c r="A125" s="14" t="s">
        <v>3</v>
      </c>
      <c r="B125" s="14" t="s">
        <v>4</v>
      </c>
      <c r="C125" s="14" t="s">
        <v>5</v>
      </c>
      <c r="D125" s="14" t="s">
        <v>6</v>
      </c>
      <c r="E125" s="15" t="s">
        <v>7</v>
      </c>
      <c r="F125" s="14" t="s">
        <v>8</v>
      </c>
      <c r="G125" s="14" t="s">
        <v>9</v>
      </c>
      <c r="H125" s="15" t="s">
        <v>10</v>
      </c>
      <c r="I125" s="14" t="s">
        <v>11</v>
      </c>
      <c r="J125" s="14" t="s">
        <v>12</v>
      </c>
    </row>
    <row x14ac:dyDescent="0.25" r="126" customHeight="1" ht="17.25">
      <c r="A126" s="17" t="s">
        <v>3926</v>
      </c>
      <c r="B126" s="17" t="s">
        <v>224</v>
      </c>
      <c r="C126" s="17" t="s">
        <v>95</v>
      </c>
      <c r="D126" s="17" t="s">
        <v>16</v>
      </c>
      <c r="E126" s="18">
        <f>ROUND(14744*1.05,2)</f>
      </c>
      <c r="F126" s="17" t="s">
        <v>17</v>
      </c>
      <c r="G126" s="17" t="s">
        <v>18</v>
      </c>
      <c r="H126" s="18">
        <f>ROUND(RAND()*4+6,1)</f>
      </c>
      <c r="I126" s="17" t="s">
        <v>19</v>
      </c>
      <c r="J126" s="19">
        <f>ROUND(69*1,0)&amp;"%"</f>
      </c>
    </row>
    <row x14ac:dyDescent="0.25" r="127" customHeight="1" ht="17.25">
      <c r="A127" s="20" t="s">
        <v>3927</v>
      </c>
      <c r="B127" s="20" t="s">
        <v>226</v>
      </c>
      <c r="C127" s="20" t="s">
        <v>95</v>
      </c>
      <c r="D127" s="20" t="s">
        <v>22</v>
      </c>
      <c r="E127" s="21">
        <f>ROUND(14357*1.05,2)</f>
      </c>
      <c r="F127" s="20" t="s">
        <v>23</v>
      </c>
      <c r="G127" s="20" t="s">
        <v>24</v>
      </c>
      <c r="H127" s="21">
        <f>ROUND(RAND()*4+6,1)</f>
      </c>
      <c r="I127" s="20" t="s">
        <v>25</v>
      </c>
      <c r="J127" s="23">
        <f>ROUND(91*1,0)&amp;"%"</f>
      </c>
    </row>
    <row x14ac:dyDescent="0.25" r="128" customHeight="1" ht="17.25">
      <c r="A128" s="17" t="s">
        <v>3928</v>
      </c>
      <c r="B128" s="17" t="s">
        <v>228</v>
      </c>
      <c r="C128" s="17" t="s">
        <v>95</v>
      </c>
      <c r="D128" s="17" t="s">
        <v>28</v>
      </c>
      <c r="E128" s="18">
        <f>ROUND(6757*1.05,2)</f>
      </c>
      <c r="F128" s="17" t="s">
        <v>29</v>
      </c>
      <c r="G128" s="17" t="s">
        <v>30</v>
      </c>
      <c r="H128" s="18">
        <f>ROUND(RAND()*4+6,1)</f>
      </c>
      <c r="I128" s="17" t="s">
        <v>31</v>
      </c>
      <c r="J128" s="19">
        <f>ROUND(97*1,0)&amp;"%"</f>
      </c>
    </row>
    <row x14ac:dyDescent="0.25" r="129" customHeight="1" ht="17.25">
      <c r="A129" s="20" t="s">
        <v>3929</v>
      </c>
      <c r="B129" s="20" t="s">
        <v>230</v>
      </c>
      <c r="C129" s="20" t="s">
        <v>95</v>
      </c>
      <c r="D129" s="20" t="s">
        <v>34</v>
      </c>
      <c r="E129" s="21">
        <f>ROUND(10135*1.05,2)</f>
      </c>
      <c r="F129" s="20" t="s">
        <v>35</v>
      </c>
      <c r="G129" s="20" t="s">
        <v>18</v>
      </c>
      <c r="H129" s="21">
        <f>ROUND(RAND()*4+6,1)</f>
      </c>
      <c r="I129" s="20" t="s">
        <v>36</v>
      </c>
      <c r="J129" s="23">
        <f>ROUND(72*1,0)&amp;"%"</f>
      </c>
    </row>
    <row x14ac:dyDescent="0.25" r="130" customHeight="1" ht="17.25">
      <c r="A130" s="17" t="s">
        <v>3930</v>
      </c>
      <c r="B130" s="17" t="s">
        <v>232</v>
      </c>
      <c r="C130" s="17" t="s">
        <v>95</v>
      </c>
      <c r="D130" s="17" t="s">
        <v>39</v>
      </c>
      <c r="E130" s="18">
        <f>ROUND(14206*1.05,2)</f>
      </c>
      <c r="F130" s="17" t="s">
        <v>40</v>
      </c>
      <c r="G130" s="17" t="s">
        <v>24</v>
      </c>
      <c r="H130" s="18">
        <f>ROUND(RAND()*4+6,1)</f>
      </c>
      <c r="I130" s="17" t="s">
        <v>41</v>
      </c>
      <c r="J130" s="19">
        <f>ROUND(79*1,0)&amp;"%"</f>
      </c>
    </row>
    <row x14ac:dyDescent="0.25" r="131" customHeight="1" ht="17.25">
      <c r="A131" s="20" t="s">
        <v>3931</v>
      </c>
      <c r="B131" s="20" t="s">
        <v>234</v>
      </c>
      <c r="C131" s="20" t="s">
        <v>95</v>
      </c>
      <c r="D131" s="20" t="s">
        <v>67</v>
      </c>
      <c r="E131" s="21">
        <f>ROUND(12221*1.05,2)</f>
      </c>
      <c r="F131" s="20" t="s">
        <v>44</v>
      </c>
      <c r="G131" s="20" t="s">
        <v>30</v>
      </c>
      <c r="H131" s="21">
        <f>ROUND(RAND()*4+6,1)</f>
      </c>
      <c r="I131" s="20" t="s">
        <v>45</v>
      </c>
      <c r="J131" s="23">
        <f>ROUND(61*1,0)&amp;"%"</f>
      </c>
    </row>
    <row x14ac:dyDescent="0.25" r="132" customHeight="1" ht="17.25">
      <c r="A132" s="17" t="s">
        <v>3932</v>
      </c>
      <c r="B132" s="17" t="s">
        <v>236</v>
      </c>
      <c r="C132" s="17" t="s">
        <v>95</v>
      </c>
      <c r="D132" s="17" t="s">
        <v>16</v>
      </c>
      <c r="E132" s="18">
        <f>ROUND(15123*1.05,2)</f>
      </c>
      <c r="F132" s="17" t="s">
        <v>48</v>
      </c>
      <c r="G132" s="17" t="s">
        <v>18</v>
      </c>
      <c r="H132" s="18">
        <f>ROUND(RAND()*4+6,1)</f>
      </c>
      <c r="I132" s="17" t="s">
        <v>19</v>
      </c>
      <c r="J132" s="19">
        <f>ROUND(78*1,0)&amp;"%"</f>
      </c>
    </row>
    <row x14ac:dyDescent="0.25" r="133" customHeight="1" ht="17.25">
      <c r="A133" s="20" t="s">
        <v>3933</v>
      </c>
      <c r="B133" s="20" t="s">
        <v>238</v>
      </c>
      <c r="C133" s="20" t="s">
        <v>95</v>
      </c>
      <c r="D133" s="20" t="s">
        <v>22</v>
      </c>
      <c r="E133" s="21">
        <f>ROUND(11975*1.05,2)</f>
      </c>
      <c r="F133" s="20" t="s">
        <v>51</v>
      </c>
      <c r="G133" s="20" t="s">
        <v>24</v>
      </c>
      <c r="H133" s="21">
        <f>ROUND(RAND()*4+6,1)</f>
      </c>
      <c r="I133" s="20" t="s">
        <v>25</v>
      </c>
      <c r="J133" s="23">
        <f>ROUND(77*1,0)&amp;"%"</f>
      </c>
    </row>
    <row x14ac:dyDescent="0.25" r="134" customHeight="1" ht="17.25">
      <c r="A134" s="24" t="s">
        <v>239</v>
      </c>
      <c r="B134" s="24"/>
      <c r="C134" s="24"/>
      <c r="D134" s="24"/>
      <c r="E134" s="25">
        <v>8</v>
      </c>
      <c r="F134" s="9"/>
      <c r="G134" s="9"/>
      <c r="H134" s="31"/>
      <c r="I134" s="9"/>
      <c r="J134" s="9"/>
    </row>
    <row x14ac:dyDescent="0.25" r="135" customHeight="1" ht="17.25">
      <c r="A135" s="7"/>
      <c r="B135" s="7"/>
      <c r="C135" s="7"/>
      <c r="D135" s="7"/>
      <c r="E135" s="8"/>
      <c r="F135" s="9"/>
      <c r="G135" s="9"/>
      <c r="H135" s="31"/>
      <c r="I135" s="9"/>
      <c r="J135" s="9"/>
    </row>
    <row x14ac:dyDescent="0.25" r="136" customHeight="1" ht="17.25">
      <c r="A136" s="11" t="s">
        <v>3934</v>
      </c>
      <c r="B136" s="11"/>
      <c r="C136" s="11"/>
      <c r="D136" s="11"/>
      <c r="E136" s="12"/>
      <c r="F136" s="11"/>
      <c r="G136" s="11"/>
      <c r="H136" s="12"/>
      <c r="I136" s="11"/>
      <c r="J136" s="11"/>
    </row>
    <row x14ac:dyDescent="0.25" r="137" customHeight="1" ht="17.25">
      <c r="A137" s="14" t="s">
        <v>3</v>
      </c>
      <c r="B137" s="14" t="s">
        <v>4</v>
      </c>
      <c r="C137" s="14" t="s">
        <v>5</v>
      </c>
      <c r="D137" s="14" t="s">
        <v>6</v>
      </c>
      <c r="E137" s="15" t="s">
        <v>7</v>
      </c>
      <c r="F137" s="14" t="s">
        <v>8</v>
      </c>
      <c r="G137" s="14" t="s">
        <v>9</v>
      </c>
      <c r="H137" s="15" t="s">
        <v>10</v>
      </c>
      <c r="I137" s="14" t="s">
        <v>11</v>
      </c>
      <c r="J137" s="14" t="s">
        <v>12</v>
      </c>
    </row>
    <row x14ac:dyDescent="0.25" r="138" customHeight="1" ht="17.25">
      <c r="A138" s="17" t="s">
        <v>3935</v>
      </c>
      <c r="B138" s="17" t="s">
        <v>242</v>
      </c>
      <c r="C138" s="17" t="s">
        <v>114</v>
      </c>
      <c r="D138" s="17" t="s">
        <v>16</v>
      </c>
      <c r="E138" s="18">
        <f>ROUND(13559*1.05,2)</f>
      </c>
      <c r="F138" s="17" t="s">
        <v>17</v>
      </c>
      <c r="G138" s="17" t="s">
        <v>18</v>
      </c>
      <c r="H138" s="18">
        <f>ROUND(RAND()*4+6,1)</f>
      </c>
      <c r="I138" s="17" t="s">
        <v>19</v>
      </c>
      <c r="J138" s="19">
        <f>ROUND(84*1,0)&amp;"%"</f>
      </c>
    </row>
    <row x14ac:dyDescent="0.25" r="139" customHeight="1" ht="17.25">
      <c r="A139" s="20" t="s">
        <v>3936</v>
      </c>
      <c r="B139" s="20" t="s">
        <v>244</v>
      </c>
      <c r="C139" s="20" t="s">
        <v>114</v>
      </c>
      <c r="D139" s="20" t="s">
        <v>22</v>
      </c>
      <c r="E139" s="21">
        <f>ROUND(13903*1.05,2)</f>
      </c>
      <c r="F139" s="20" t="s">
        <v>23</v>
      </c>
      <c r="G139" s="20" t="s">
        <v>24</v>
      </c>
      <c r="H139" s="21">
        <f>ROUND(RAND()*4+6,1)</f>
      </c>
      <c r="I139" s="20" t="s">
        <v>25</v>
      </c>
      <c r="J139" s="23">
        <f>ROUND(70*1,0)&amp;"%"</f>
      </c>
    </row>
    <row x14ac:dyDescent="0.25" r="140" customHeight="1" ht="17.25">
      <c r="A140" s="17" t="s">
        <v>3937</v>
      </c>
      <c r="B140" s="17" t="s">
        <v>246</v>
      </c>
      <c r="C140" s="17" t="s">
        <v>114</v>
      </c>
      <c r="D140" s="17" t="s">
        <v>28</v>
      </c>
      <c r="E140" s="18">
        <f>ROUND(13574*1.05,2)</f>
      </c>
      <c r="F140" s="17" t="s">
        <v>29</v>
      </c>
      <c r="G140" s="17" t="s">
        <v>30</v>
      </c>
      <c r="H140" s="18">
        <f>ROUND(RAND()*4+6,1)</f>
      </c>
      <c r="I140" s="17" t="s">
        <v>31</v>
      </c>
      <c r="J140" s="19">
        <f>ROUND(75*1,0)&amp;"%"</f>
      </c>
    </row>
    <row x14ac:dyDescent="0.25" r="141" customHeight="1" ht="17.25">
      <c r="A141" s="20" t="s">
        <v>3938</v>
      </c>
      <c r="B141" s="20" t="s">
        <v>248</v>
      </c>
      <c r="C141" s="20" t="s">
        <v>114</v>
      </c>
      <c r="D141" s="20" t="s">
        <v>34</v>
      </c>
      <c r="E141" s="21">
        <f>ROUND(10229*1.05,2)</f>
      </c>
      <c r="F141" s="20" t="s">
        <v>35</v>
      </c>
      <c r="G141" s="20" t="s">
        <v>18</v>
      </c>
      <c r="H141" s="21">
        <f>ROUND(RAND()*4+6,1)</f>
      </c>
      <c r="I141" s="20" t="s">
        <v>36</v>
      </c>
      <c r="J141" s="23">
        <f>ROUND(99*1,0)&amp;"%"</f>
      </c>
    </row>
    <row x14ac:dyDescent="0.25" r="142" customHeight="1" ht="17.25">
      <c r="A142" s="17" t="s">
        <v>3939</v>
      </c>
      <c r="B142" s="17" t="s">
        <v>250</v>
      </c>
      <c r="C142" s="17" t="s">
        <v>114</v>
      </c>
      <c r="D142" s="17" t="s">
        <v>39</v>
      </c>
      <c r="E142" s="18">
        <f>ROUND(4907*1.05,2)</f>
      </c>
      <c r="F142" s="17" t="s">
        <v>40</v>
      </c>
      <c r="G142" s="17" t="s">
        <v>24</v>
      </c>
      <c r="H142" s="18">
        <f>ROUND(RAND()*4+6,1)</f>
      </c>
      <c r="I142" s="17" t="s">
        <v>41</v>
      </c>
      <c r="J142" s="19">
        <f>ROUND(66*1,0)&amp;"%"</f>
      </c>
    </row>
    <row x14ac:dyDescent="0.25" r="143" customHeight="1" ht="17.25">
      <c r="A143" s="20" t="s">
        <v>3940</v>
      </c>
      <c r="B143" s="20" t="s">
        <v>252</v>
      </c>
      <c r="C143" s="20" t="s">
        <v>114</v>
      </c>
      <c r="D143" s="20" t="s">
        <v>67</v>
      </c>
      <c r="E143" s="21">
        <f>ROUND(7038*1.05,2)</f>
      </c>
      <c r="F143" s="20" t="s">
        <v>44</v>
      </c>
      <c r="G143" s="20" t="s">
        <v>30</v>
      </c>
      <c r="H143" s="21">
        <f>ROUND(RAND()*4+6,1)</f>
      </c>
      <c r="I143" s="20" t="s">
        <v>45</v>
      </c>
      <c r="J143" s="23">
        <f>ROUND(68*1,0)&amp;"%"</f>
      </c>
    </row>
    <row x14ac:dyDescent="0.25" r="144" customHeight="1" ht="17.25">
      <c r="A144" s="17" t="s">
        <v>3941</v>
      </c>
      <c r="B144" s="17" t="s">
        <v>254</v>
      </c>
      <c r="C144" s="17" t="s">
        <v>114</v>
      </c>
      <c r="D144" s="17" t="s">
        <v>16</v>
      </c>
      <c r="E144" s="18">
        <f>ROUND(8773*1.05,2)</f>
      </c>
      <c r="F144" s="17" t="s">
        <v>48</v>
      </c>
      <c r="G144" s="17" t="s">
        <v>18</v>
      </c>
      <c r="H144" s="18">
        <f>ROUND(RAND()*4+6,1)</f>
      </c>
      <c r="I144" s="17" t="s">
        <v>19</v>
      </c>
      <c r="J144" s="19">
        <f>ROUND(83*1,0)&amp;"%"</f>
      </c>
    </row>
    <row x14ac:dyDescent="0.25" r="145" customHeight="1" ht="17.25">
      <c r="A145" s="20" t="s">
        <v>3942</v>
      </c>
      <c r="B145" s="20" t="s">
        <v>256</v>
      </c>
      <c r="C145" s="20" t="s">
        <v>114</v>
      </c>
      <c r="D145" s="20" t="s">
        <v>22</v>
      </c>
      <c r="E145" s="21">
        <f>ROUND(13533*1.05,2)</f>
      </c>
      <c r="F145" s="20" t="s">
        <v>51</v>
      </c>
      <c r="G145" s="20" t="s">
        <v>24</v>
      </c>
      <c r="H145" s="21">
        <f>ROUND(RAND()*4+6,1)</f>
      </c>
      <c r="I145" s="20" t="s">
        <v>25</v>
      </c>
      <c r="J145" s="23">
        <f>ROUND(77*1,0)&amp;"%"</f>
      </c>
    </row>
    <row x14ac:dyDescent="0.25" r="146" customHeight="1" ht="17.25">
      <c r="A146" s="24" t="s">
        <v>257</v>
      </c>
      <c r="B146" s="24"/>
      <c r="C146" s="24"/>
      <c r="D146" s="24"/>
      <c r="E146" s="25">
        <v>8</v>
      </c>
      <c r="F146" s="9"/>
      <c r="G146" s="9"/>
      <c r="H146" s="31"/>
      <c r="I146" s="9"/>
      <c r="J146" s="9"/>
    </row>
    <row x14ac:dyDescent="0.25" r="147" customHeight="1" ht="17.25">
      <c r="A147" s="7"/>
      <c r="B147" s="7"/>
      <c r="C147" s="7"/>
      <c r="D147" s="7"/>
      <c r="E147" s="8"/>
      <c r="F147" s="9"/>
      <c r="G147" s="9"/>
      <c r="H147" s="31"/>
      <c r="I147" s="9"/>
      <c r="J147" s="9"/>
    </row>
    <row x14ac:dyDescent="0.25" r="148" customHeight="1" ht="17.25">
      <c r="A148" s="11" t="s">
        <v>3943</v>
      </c>
      <c r="B148" s="11"/>
      <c r="C148" s="11"/>
      <c r="D148" s="11"/>
      <c r="E148" s="12"/>
      <c r="F148" s="11"/>
      <c r="G148" s="11"/>
      <c r="H148" s="12"/>
      <c r="I148" s="11"/>
      <c r="J148" s="11"/>
    </row>
    <row x14ac:dyDescent="0.25" r="149" customHeight="1" ht="17.25">
      <c r="A149" s="14" t="s">
        <v>3</v>
      </c>
      <c r="B149" s="14" t="s">
        <v>4</v>
      </c>
      <c r="C149" s="14" t="s">
        <v>5</v>
      </c>
      <c r="D149" s="14" t="s">
        <v>6</v>
      </c>
      <c r="E149" s="15" t="s">
        <v>7</v>
      </c>
      <c r="F149" s="14" t="s">
        <v>8</v>
      </c>
      <c r="G149" s="14" t="s">
        <v>9</v>
      </c>
      <c r="H149" s="15" t="s">
        <v>10</v>
      </c>
      <c r="I149" s="14" t="s">
        <v>11</v>
      </c>
      <c r="J149" s="14" t="s">
        <v>12</v>
      </c>
    </row>
    <row x14ac:dyDescent="0.25" r="150" customHeight="1" ht="17.25">
      <c r="A150" s="17" t="s">
        <v>3944</v>
      </c>
      <c r="B150" s="17" t="s">
        <v>260</v>
      </c>
      <c r="C150" s="17" t="s">
        <v>133</v>
      </c>
      <c r="D150" s="17" t="s">
        <v>16</v>
      </c>
      <c r="E150" s="18">
        <f>ROUND(14009*1.05,2)</f>
      </c>
      <c r="F150" s="17" t="s">
        <v>17</v>
      </c>
      <c r="G150" s="17" t="s">
        <v>18</v>
      </c>
      <c r="H150" s="18">
        <f>ROUND(RAND()*4+6,1)</f>
      </c>
      <c r="I150" s="17" t="s">
        <v>19</v>
      </c>
      <c r="J150" s="19">
        <f>ROUND(78*1,0)&amp;"%"</f>
      </c>
    </row>
    <row x14ac:dyDescent="0.25" r="151" customHeight="1" ht="17.25">
      <c r="A151" s="20" t="s">
        <v>3945</v>
      </c>
      <c r="B151" s="20" t="s">
        <v>262</v>
      </c>
      <c r="C151" s="20" t="s">
        <v>133</v>
      </c>
      <c r="D151" s="20" t="s">
        <v>22</v>
      </c>
      <c r="E151" s="21">
        <f>ROUND(4952*1.05,2)</f>
      </c>
      <c r="F151" s="20" t="s">
        <v>23</v>
      </c>
      <c r="G151" s="20" t="s">
        <v>24</v>
      </c>
      <c r="H151" s="21">
        <f>ROUND(RAND()*4+6,1)</f>
      </c>
      <c r="I151" s="20" t="s">
        <v>25</v>
      </c>
      <c r="J151" s="23">
        <f>ROUND(79*1,0)&amp;"%"</f>
      </c>
    </row>
    <row x14ac:dyDescent="0.25" r="152" customHeight="1" ht="17.25">
      <c r="A152" s="17" t="s">
        <v>3946</v>
      </c>
      <c r="B152" s="17" t="s">
        <v>264</v>
      </c>
      <c r="C152" s="17" t="s">
        <v>133</v>
      </c>
      <c r="D152" s="17" t="s">
        <v>28</v>
      </c>
      <c r="E152" s="18">
        <f>ROUND(5919*1.05,2)</f>
      </c>
      <c r="F152" s="17" t="s">
        <v>29</v>
      </c>
      <c r="G152" s="17" t="s">
        <v>30</v>
      </c>
      <c r="H152" s="18">
        <f>ROUND(RAND()*4+6,1)</f>
      </c>
      <c r="I152" s="17" t="s">
        <v>31</v>
      </c>
      <c r="J152" s="19">
        <f>ROUND(91*1,0)&amp;"%"</f>
      </c>
    </row>
    <row x14ac:dyDescent="0.25" r="153" customHeight="1" ht="17.25">
      <c r="A153" s="20" t="s">
        <v>3947</v>
      </c>
      <c r="B153" s="20" t="s">
        <v>266</v>
      </c>
      <c r="C153" s="20" t="s">
        <v>133</v>
      </c>
      <c r="D153" s="20" t="s">
        <v>34</v>
      </c>
      <c r="E153" s="21">
        <f>ROUND(7707*1.05,2)</f>
      </c>
      <c r="F153" s="20" t="s">
        <v>35</v>
      </c>
      <c r="G153" s="20" t="s">
        <v>18</v>
      </c>
      <c r="H153" s="21">
        <f>ROUND(RAND()*4+6,1)</f>
      </c>
      <c r="I153" s="20" t="s">
        <v>36</v>
      </c>
      <c r="J153" s="23">
        <f>ROUND(78*1,0)&amp;"%"</f>
      </c>
    </row>
    <row x14ac:dyDescent="0.25" r="154" customHeight="1" ht="17.25">
      <c r="A154" s="17" t="s">
        <v>3948</v>
      </c>
      <c r="B154" s="17" t="s">
        <v>268</v>
      </c>
      <c r="C154" s="17" t="s">
        <v>133</v>
      </c>
      <c r="D154" s="17" t="s">
        <v>39</v>
      </c>
      <c r="E154" s="18">
        <f>ROUND(17092*1.05,2)</f>
      </c>
      <c r="F154" s="17" t="s">
        <v>40</v>
      </c>
      <c r="G154" s="17" t="s">
        <v>24</v>
      </c>
      <c r="H154" s="18">
        <f>ROUND(RAND()*4+6,1)</f>
      </c>
      <c r="I154" s="17" t="s">
        <v>41</v>
      </c>
      <c r="J154" s="19">
        <f>ROUND(89*1,0)&amp;"%"</f>
      </c>
    </row>
    <row x14ac:dyDescent="0.25" r="155" customHeight="1" ht="17.25">
      <c r="A155" s="20" t="s">
        <v>3949</v>
      </c>
      <c r="B155" s="20" t="s">
        <v>270</v>
      </c>
      <c r="C155" s="20" t="s">
        <v>133</v>
      </c>
      <c r="D155" s="20" t="s">
        <v>67</v>
      </c>
      <c r="E155" s="21">
        <f>ROUND(16597*1.05,2)</f>
      </c>
      <c r="F155" s="20" t="s">
        <v>44</v>
      </c>
      <c r="G155" s="20" t="s">
        <v>30</v>
      </c>
      <c r="H155" s="21">
        <f>ROUND(RAND()*4+6,1)</f>
      </c>
      <c r="I155" s="20" t="s">
        <v>45</v>
      </c>
      <c r="J155" s="23">
        <f>ROUND(62*1,0)&amp;"%"</f>
      </c>
    </row>
    <row x14ac:dyDescent="0.25" r="156" customHeight="1" ht="17.25">
      <c r="A156" s="17" t="s">
        <v>3950</v>
      </c>
      <c r="B156" s="17" t="s">
        <v>272</v>
      </c>
      <c r="C156" s="17" t="s">
        <v>133</v>
      </c>
      <c r="D156" s="17" t="s">
        <v>16</v>
      </c>
      <c r="E156" s="18">
        <f>ROUND(14526*1.05,2)</f>
      </c>
      <c r="F156" s="17" t="s">
        <v>48</v>
      </c>
      <c r="G156" s="17" t="s">
        <v>18</v>
      </c>
      <c r="H156" s="18">
        <f>ROUND(RAND()*4+6,1)</f>
      </c>
      <c r="I156" s="17" t="s">
        <v>19</v>
      </c>
      <c r="J156" s="19">
        <f>ROUND(96*1,0)&amp;"%"</f>
      </c>
    </row>
    <row x14ac:dyDescent="0.25" r="157" customHeight="1" ht="17.25">
      <c r="A157" s="20" t="s">
        <v>3951</v>
      </c>
      <c r="B157" s="20" t="s">
        <v>274</v>
      </c>
      <c r="C157" s="20" t="s">
        <v>133</v>
      </c>
      <c r="D157" s="20" t="s">
        <v>22</v>
      </c>
      <c r="E157" s="21">
        <f>ROUND(13974*1.05,2)</f>
      </c>
      <c r="F157" s="20" t="s">
        <v>51</v>
      </c>
      <c r="G157" s="20" t="s">
        <v>24</v>
      </c>
      <c r="H157" s="21">
        <f>ROUND(RAND()*4+6,1)</f>
      </c>
      <c r="I157" s="20" t="s">
        <v>25</v>
      </c>
      <c r="J157" s="23">
        <f>ROUND(86*1,0)&amp;"%"</f>
      </c>
    </row>
    <row x14ac:dyDescent="0.25" r="158" customHeight="1" ht="17.25">
      <c r="A158" s="24" t="s">
        <v>275</v>
      </c>
      <c r="B158" s="24"/>
      <c r="C158" s="24"/>
      <c r="D158" s="24"/>
      <c r="E158" s="25">
        <v>8</v>
      </c>
      <c r="F158" s="9"/>
      <c r="G158" s="9"/>
      <c r="H158" s="31"/>
      <c r="I158" s="9"/>
      <c r="J158" s="9"/>
    </row>
    <row x14ac:dyDescent="0.25" r="159" customHeight="1" ht="17.25">
      <c r="A159" s="7"/>
      <c r="B159" s="7"/>
      <c r="C159" s="7"/>
      <c r="D159" s="7"/>
      <c r="E159" s="8"/>
      <c r="F159" s="9"/>
      <c r="G159" s="9"/>
      <c r="H159" s="31"/>
      <c r="I159" s="9"/>
      <c r="J159" s="9"/>
    </row>
    <row x14ac:dyDescent="0.25" r="160" customHeight="1" ht="17.25">
      <c r="A160" s="11" t="s">
        <v>3952</v>
      </c>
      <c r="B160" s="11"/>
      <c r="C160" s="11"/>
      <c r="D160" s="11"/>
      <c r="E160" s="12"/>
      <c r="F160" s="11"/>
      <c r="G160" s="11"/>
      <c r="H160" s="12"/>
      <c r="I160" s="11"/>
      <c r="J160" s="11"/>
    </row>
    <row x14ac:dyDescent="0.25" r="161" customHeight="1" ht="17.25">
      <c r="A161" s="14" t="s">
        <v>3</v>
      </c>
      <c r="B161" s="14" t="s">
        <v>4</v>
      </c>
      <c r="C161" s="14" t="s">
        <v>5</v>
      </c>
      <c r="D161" s="14" t="s">
        <v>6</v>
      </c>
      <c r="E161" s="15" t="s">
        <v>7</v>
      </c>
      <c r="F161" s="14" t="s">
        <v>8</v>
      </c>
      <c r="G161" s="14" t="s">
        <v>9</v>
      </c>
      <c r="H161" s="15" t="s">
        <v>10</v>
      </c>
      <c r="I161" s="14" t="s">
        <v>11</v>
      </c>
      <c r="J161" s="14" t="s">
        <v>12</v>
      </c>
    </row>
    <row x14ac:dyDescent="0.25" r="162" customHeight="1" ht="17.25">
      <c r="A162" s="17" t="s">
        <v>3953</v>
      </c>
      <c r="B162" s="17" t="s">
        <v>278</v>
      </c>
      <c r="C162" s="17" t="s">
        <v>152</v>
      </c>
      <c r="D162" s="17" t="s">
        <v>16</v>
      </c>
      <c r="E162" s="18">
        <f>ROUND(17036*1.05,2)</f>
      </c>
      <c r="F162" s="17" t="s">
        <v>17</v>
      </c>
      <c r="G162" s="17" t="s">
        <v>18</v>
      </c>
      <c r="H162" s="18">
        <f>ROUND(RAND()*4+6,1)</f>
      </c>
      <c r="I162" s="17" t="s">
        <v>19</v>
      </c>
      <c r="J162" s="19">
        <f>ROUND(71*1,0)&amp;"%"</f>
      </c>
    </row>
    <row x14ac:dyDescent="0.25" r="163" customHeight="1" ht="17.25">
      <c r="A163" s="20" t="s">
        <v>3954</v>
      </c>
      <c r="B163" s="20" t="s">
        <v>280</v>
      </c>
      <c r="C163" s="20" t="s">
        <v>152</v>
      </c>
      <c r="D163" s="20" t="s">
        <v>22</v>
      </c>
      <c r="E163" s="21">
        <f>ROUND(8283*1.05,2)</f>
      </c>
      <c r="F163" s="20" t="s">
        <v>23</v>
      </c>
      <c r="G163" s="20" t="s">
        <v>24</v>
      </c>
      <c r="H163" s="21">
        <f>ROUND(RAND()*4+6,1)</f>
      </c>
      <c r="I163" s="20" t="s">
        <v>25</v>
      </c>
      <c r="J163" s="23">
        <f>ROUND(88*1,0)&amp;"%"</f>
      </c>
    </row>
    <row x14ac:dyDescent="0.25" r="164" customHeight="1" ht="17.25">
      <c r="A164" s="17" t="s">
        <v>3955</v>
      </c>
      <c r="B164" s="17" t="s">
        <v>282</v>
      </c>
      <c r="C164" s="17" t="s">
        <v>152</v>
      </c>
      <c r="D164" s="17" t="s">
        <v>28</v>
      </c>
      <c r="E164" s="18">
        <f>ROUND(13854*1.05,2)</f>
      </c>
      <c r="F164" s="17" t="s">
        <v>29</v>
      </c>
      <c r="G164" s="17" t="s">
        <v>30</v>
      </c>
      <c r="H164" s="26">
        <f>ROUND(RAND()*4+6,1)</f>
      </c>
      <c r="I164" s="17" t="s">
        <v>31</v>
      </c>
      <c r="J164" s="19">
        <f>ROUND(70*1,0)&amp;"%"</f>
      </c>
    </row>
    <row x14ac:dyDescent="0.25" r="165" customHeight="1" ht="17.25">
      <c r="A165" s="20" t="s">
        <v>3956</v>
      </c>
      <c r="B165" s="20" t="s">
        <v>284</v>
      </c>
      <c r="C165" s="20" t="s">
        <v>152</v>
      </c>
      <c r="D165" s="20" t="s">
        <v>34</v>
      </c>
      <c r="E165" s="21">
        <f>ROUND(15296*1.05,2)</f>
      </c>
      <c r="F165" s="20" t="s">
        <v>35</v>
      </c>
      <c r="G165" s="20" t="s">
        <v>18</v>
      </c>
      <c r="H165" s="21">
        <f>ROUND(RAND()*4+6,1)</f>
      </c>
      <c r="I165" s="20" t="s">
        <v>36</v>
      </c>
      <c r="J165" s="23">
        <f>ROUND(78*1,0)&amp;"%"</f>
      </c>
    </row>
    <row x14ac:dyDescent="0.25" r="166" customHeight="1" ht="17.25">
      <c r="A166" s="17" t="s">
        <v>3957</v>
      </c>
      <c r="B166" s="17" t="s">
        <v>286</v>
      </c>
      <c r="C166" s="17" t="s">
        <v>152</v>
      </c>
      <c r="D166" s="17" t="s">
        <v>39</v>
      </c>
      <c r="E166" s="18">
        <f>ROUND(8474*1.05,2)</f>
      </c>
      <c r="F166" s="17" t="s">
        <v>40</v>
      </c>
      <c r="G166" s="17" t="s">
        <v>24</v>
      </c>
      <c r="H166" s="18">
        <f>ROUND(RAND()*4+6,1)</f>
      </c>
      <c r="I166" s="17" t="s">
        <v>41</v>
      </c>
      <c r="J166" s="19">
        <f>ROUND(61*1,0)&amp;"%"</f>
      </c>
    </row>
    <row x14ac:dyDescent="0.25" r="167" customHeight="1" ht="17.25">
      <c r="A167" s="20" t="s">
        <v>3958</v>
      </c>
      <c r="B167" s="20" t="s">
        <v>288</v>
      </c>
      <c r="C167" s="20" t="s">
        <v>152</v>
      </c>
      <c r="D167" s="20" t="s">
        <v>67</v>
      </c>
      <c r="E167" s="22">
        <f>ROUND(16740*1.05,2)</f>
      </c>
      <c r="F167" s="20" t="s">
        <v>44</v>
      </c>
      <c r="G167" s="20" t="s">
        <v>30</v>
      </c>
      <c r="H167" s="21">
        <f>ROUND(RAND()*4+6,1)</f>
      </c>
      <c r="I167" s="20" t="s">
        <v>45</v>
      </c>
      <c r="J167" s="23">
        <f>ROUND(99*1,0)&amp;"%"</f>
      </c>
    </row>
    <row x14ac:dyDescent="0.25" r="168" customHeight="1" ht="17.25">
      <c r="A168" s="17" t="s">
        <v>3959</v>
      </c>
      <c r="B168" s="17" t="s">
        <v>290</v>
      </c>
      <c r="C168" s="17" t="s">
        <v>152</v>
      </c>
      <c r="D168" s="17" t="s">
        <v>16</v>
      </c>
      <c r="E168" s="18">
        <f>ROUND(6098*1.05,2)</f>
      </c>
      <c r="F168" s="17" t="s">
        <v>48</v>
      </c>
      <c r="G168" s="17" t="s">
        <v>18</v>
      </c>
      <c r="H168" s="18">
        <f>ROUND(RAND()*4+6,1)</f>
      </c>
      <c r="I168" s="17" t="s">
        <v>19</v>
      </c>
      <c r="J168" s="19">
        <f>ROUND(67*1,0)&amp;"%"</f>
      </c>
    </row>
    <row x14ac:dyDescent="0.25" r="169" customHeight="1" ht="17.25">
      <c r="A169" s="20" t="s">
        <v>3960</v>
      </c>
      <c r="B169" s="20" t="s">
        <v>292</v>
      </c>
      <c r="C169" s="20" t="s">
        <v>152</v>
      </c>
      <c r="D169" s="20" t="s">
        <v>22</v>
      </c>
      <c r="E169" s="21">
        <f>ROUND(4953*1.05,2)</f>
      </c>
      <c r="F169" s="20" t="s">
        <v>51</v>
      </c>
      <c r="G169" s="20" t="s">
        <v>24</v>
      </c>
      <c r="H169" s="21">
        <f>ROUND(RAND()*4+6,1)</f>
      </c>
      <c r="I169" s="20" t="s">
        <v>25</v>
      </c>
      <c r="J169" s="23">
        <f>ROUND(100*1,0)&amp;"%"</f>
      </c>
    </row>
    <row x14ac:dyDescent="0.25" r="170" customHeight="1" ht="17.25">
      <c r="A170" s="24" t="s">
        <v>293</v>
      </c>
      <c r="B170" s="24"/>
      <c r="C170" s="24"/>
      <c r="D170" s="24"/>
      <c r="E170" s="25">
        <v>8</v>
      </c>
      <c r="F170" s="9"/>
      <c r="G170" s="9"/>
      <c r="H170" s="31"/>
      <c r="I170" s="9"/>
      <c r="J170" s="9"/>
    </row>
    <row x14ac:dyDescent="0.25" r="171" customHeight="1" ht="17.25">
      <c r="A171" s="7"/>
      <c r="B171" s="7"/>
      <c r="C171" s="7"/>
      <c r="D171" s="7"/>
      <c r="E171" s="8"/>
      <c r="F171" s="9"/>
      <c r="G171" s="9"/>
      <c r="H171" s="31"/>
      <c r="I171" s="9"/>
      <c r="J171" s="9"/>
    </row>
    <row x14ac:dyDescent="0.25" r="172" customHeight="1" ht="17.25">
      <c r="A172" s="11" t="s">
        <v>3961</v>
      </c>
      <c r="B172" s="11"/>
      <c r="C172" s="11"/>
      <c r="D172" s="11"/>
      <c r="E172" s="12"/>
      <c r="F172" s="11"/>
      <c r="G172" s="11"/>
      <c r="H172" s="12"/>
      <c r="I172" s="11"/>
      <c r="J172" s="11"/>
    </row>
    <row x14ac:dyDescent="0.25" r="173" customHeight="1" ht="17.25">
      <c r="A173" s="14" t="s">
        <v>3</v>
      </c>
      <c r="B173" s="14" t="s">
        <v>4</v>
      </c>
      <c r="C173" s="14" t="s">
        <v>5</v>
      </c>
      <c r="D173" s="14" t="s">
        <v>6</v>
      </c>
      <c r="E173" s="15" t="s">
        <v>7</v>
      </c>
      <c r="F173" s="14" t="s">
        <v>8</v>
      </c>
      <c r="G173" s="14" t="s">
        <v>9</v>
      </c>
      <c r="H173" s="15" t="s">
        <v>10</v>
      </c>
      <c r="I173" s="14" t="s">
        <v>11</v>
      </c>
      <c r="J173" s="14" t="s">
        <v>12</v>
      </c>
    </row>
    <row x14ac:dyDescent="0.25" r="174" customHeight="1" ht="17.25">
      <c r="A174" s="17" t="s">
        <v>3962</v>
      </c>
      <c r="B174" s="17" t="s">
        <v>296</v>
      </c>
      <c r="C174" s="17" t="s">
        <v>15</v>
      </c>
      <c r="D174" s="17" t="s">
        <v>16</v>
      </c>
      <c r="E174" s="18">
        <f>ROUND(5284*1.05,2)</f>
      </c>
      <c r="F174" s="17" t="s">
        <v>17</v>
      </c>
      <c r="G174" s="17" t="s">
        <v>18</v>
      </c>
      <c r="H174" s="18">
        <f>ROUND(RAND()*4+6,1)</f>
      </c>
      <c r="I174" s="17" t="s">
        <v>19</v>
      </c>
      <c r="J174" s="19">
        <f>ROUND(82*1,0)&amp;"%"</f>
      </c>
    </row>
    <row x14ac:dyDescent="0.25" r="175" customHeight="1" ht="17.25">
      <c r="A175" s="20" t="s">
        <v>3963</v>
      </c>
      <c r="B175" s="20" t="s">
        <v>298</v>
      </c>
      <c r="C175" s="20" t="s">
        <v>15</v>
      </c>
      <c r="D175" s="20" t="s">
        <v>22</v>
      </c>
      <c r="E175" s="21">
        <f>ROUND(11546*1.05,2)</f>
      </c>
      <c r="F175" s="20" t="s">
        <v>23</v>
      </c>
      <c r="G175" s="20" t="s">
        <v>24</v>
      </c>
      <c r="H175" s="21">
        <f>ROUND(RAND()*4+6,1)</f>
      </c>
      <c r="I175" s="20" t="s">
        <v>25</v>
      </c>
      <c r="J175" s="23">
        <f>ROUND(98*1,0)&amp;"%"</f>
      </c>
    </row>
    <row x14ac:dyDescent="0.25" r="176" customHeight="1" ht="17.25">
      <c r="A176" s="17" t="s">
        <v>3964</v>
      </c>
      <c r="B176" s="17" t="s">
        <v>300</v>
      </c>
      <c r="C176" s="17" t="s">
        <v>15</v>
      </c>
      <c r="D176" s="17" t="s">
        <v>28</v>
      </c>
      <c r="E176" s="18">
        <f>ROUND(9593*1.05,2)</f>
      </c>
      <c r="F176" s="17" t="s">
        <v>29</v>
      </c>
      <c r="G176" s="17" t="s">
        <v>30</v>
      </c>
      <c r="H176" s="18">
        <f>ROUND(RAND()*4+6,1)</f>
      </c>
      <c r="I176" s="17" t="s">
        <v>31</v>
      </c>
      <c r="J176" s="19">
        <f>ROUND(71*1,0)&amp;"%"</f>
      </c>
    </row>
    <row x14ac:dyDescent="0.25" r="177" customHeight="1" ht="17.25">
      <c r="A177" s="20" t="s">
        <v>3965</v>
      </c>
      <c r="B177" s="20" t="s">
        <v>302</v>
      </c>
      <c r="C177" s="20" t="s">
        <v>15</v>
      </c>
      <c r="D177" s="20" t="s">
        <v>34</v>
      </c>
      <c r="E177" s="21">
        <f>ROUND(8694*1.05,2)</f>
      </c>
      <c r="F177" s="20" t="s">
        <v>35</v>
      </c>
      <c r="G177" s="20" t="s">
        <v>18</v>
      </c>
      <c r="H177" s="21">
        <f>ROUND(RAND()*4+6,1)</f>
      </c>
      <c r="I177" s="20" t="s">
        <v>36</v>
      </c>
      <c r="J177" s="23">
        <f>ROUND(85*1,0)&amp;"%"</f>
      </c>
    </row>
    <row x14ac:dyDescent="0.25" r="178" customHeight="1" ht="17.25">
      <c r="A178" s="17" t="s">
        <v>3966</v>
      </c>
      <c r="B178" s="17" t="s">
        <v>304</v>
      </c>
      <c r="C178" s="17" t="s">
        <v>15</v>
      </c>
      <c r="D178" s="17" t="s">
        <v>39</v>
      </c>
      <c r="E178" s="18">
        <f>ROUND(13053*1.05,2)</f>
      </c>
      <c r="F178" s="17" t="s">
        <v>40</v>
      </c>
      <c r="G178" s="17" t="s">
        <v>24</v>
      </c>
      <c r="H178" s="26">
        <f>ROUND(RAND()*4+6,1)</f>
      </c>
      <c r="I178" s="17" t="s">
        <v>41</v>
      </c>
      <c r="J178" s="19">
        <f>ROUND(79*1,0)&amp;"%"</f>
      </c>
    </row>
    <row x14ac:dyDescent="0.25" r="179" customHeight="1" ht="17.25">
      <c r="A179" s="20" t="s">
        <v>3967</v>
      </c>
      <c r="B179" s="20" t="s">
        <v>306</v>
      </c>
      <c r="C179" s="20" t="s">
        <v>15</v>
      </c>
      <c r="D179" s="20" t="s">
        <v>67</v>
      </c>
      <c r="E179" s="21">
        <f>ROUND(12734*1.05,2)</f>
      </c>
      <c r="F179" s="20" t="s">
        <v>44</v>
      </c>
      <c r="G179" s="20" t="s">
        <v>30</v>
      </c>
      <c r="H179" s="21">
        <f>ROUND(RAND()*4+6,1)</f>
      </c>
      <c r="I179" s="20" t="s">
        <v>45</v>
      </c>
      <c r="J179" s="23">
        <f>ROUND(70*1,0)&amp;"%"</f>
      </c>
    </row>
    <row x14ac:dyDescent="0.25" r="180" customHeight="1" ht="17.25">
      <c r="A180" s="17" t="s">
        <v>3968</v>
      </c>
      <c r="B180" s="17" t="s">
        <v>308</v>
      </c>
      <c r="C180" s="17" t="s">
        <v>15</v>
      </c>
      <c r="D180" s="17" t="s">
        <v>16</v>
      </c>
      <c r="E180" s="18">
        <f>ROUND(11239*1.05,2)</f>
      </c>
      <c r="F180" s="17" t="s">
        <v>48</v>
      </c>
      <c r="G180" s="17" t="s">
        <v>18</v>
      </c>
      <c r="H180" s="18">
        <f>ROUND(RAND()*4+6,1)</f>
      </c>
      <c r="I180" s="17" t="s">
        <v>19</v>
      </c>
      <c r="J180" s="19">
        <f>ROUND(75*1,0)&amp;"%"</f>
      </c>
    </row>
    <row x14ac:dyDescent="0.25" r="181" customHeight="1" ht="17.25">
      <c r="A181" s="20" t="s">
        <v>3969</v>
      </c>
      <c r="B181" s="20" t="s">
        <v>310</v>
      </c>
      <c r="C181" s="20" t="s">
        <v>15</v>
      </c>
      <c r="D181" s="20" t="s">
        <v>22</v>
      </c>
      <c r="E181" s="21">
        <f>ROUND(10286*1.05,2)</f>
      </c>
      <c r="F181" s="20" t="s">
        <v>51</v>
      </c>
      <c r="G181" s="20" t="s">
        <v>24</v>
      </c>
      <c r="H181" s="21">
        <f>ROUND(RAND()*4+6,1)</f>
      </c>
      <c r="I181" s="20" t="s">
        <v>25</v>
      </c>
      <c r="J181" s="23">
        <f>ROUND(96*1,0)&amp;"%"</f>
      </c>
    </row>
    <row x14ac:dyDescent="0.25" r="182" customHeight="1" ht="17.25">
      <c r="A182" s="24" t="s">
        <v>311</v>
      </c>
      <c r="B182" s="24"/>
      <c r="C182" s="24"/>
      <c r="D182" s="24"/>
      <c r="E182" s="25">
        <v>8</v>
      </c>
      <c r="F182" s="9"/>
      <c r="G182" s="9"/>
      <c r="H182" s="31"/>
      <c r="I182" s="9"/>
      <c r="J182" s="9"/>
    </row>
    <row x14ac:dyDescent="0.25" r="183" customHeight="1" ht="17.25">
      <c r="A183" s="7"/>
      <c r="B183" s="7"/>
      <c r="C183" s="7"/>
      <c r="D183" s="7"/>
      <c r="E183" s="8"/>
      <c r="F183" s="9"/>
      <c r="G183" s="9"/>
      <c r="H183" s="31"/>
      <c r="I183" s="9"/>
      <c r="J183" s="9"/>
    </row>
    <row x14ac:dyDescent="0.25" r="184" customHeight="1" ht="17.25">
      <c r="A184" s="11" t="s">
        <v>3970</v>
      </c>
      <c r="B184" s="11"/>
      <c r="C184" s="11"/>
      <c r="D184" s="11"/>
      <c r="E184" s="12"/>
      <c r="F184" s="11"/>
      <c r="G184" s="11"/>
      <c r="H184" s="12"/>
      <c r="I184" s="11"/>
      <c r="J184" s="11"/>
    </row>
    <row x14ac:dyDescent="0.25" r="185" customHeight="1" ht="17.25">
      <c r="A185" s="14" t="s">
        <v>3</v>
      </c>
      <c r="B185" s="14" t="s">
        <v>4</v>
      </c>
      <c r="C185" s="14" t="s">
        <v>5</v>
      </c>
      <c r="D185" s="14" t="s">
        <v>6</v>
      </c>
      <c r="E185" s="15" t="s">
        <v>7</v>
      </c>
      <c r="F185" s="14" t="s">
        <v>8</v>
      </c>
      <c r="G185" s="14" t="s">
        <v>9</v>
      </c>
      <c r="H185" s="15" t="s">
        <v>10</v>
      </c>
      <c r="I185" s="14" t="s">
        <v>11</v>
      </c>
      <c r="J185" s="14" t="s">
        <v>12</v>
      </c>
    </row>
    <row x14ac:dyDescent="0.25" r="186" customHeight="1" ht="17.25">
      <c r="A186" s="17" t="s">
        <v>3971</v>
      </c>
      <c r="B186" s="17" t="s">
        <v>314</v>
      </c>
      <c r="C186" s="17" t="s">
        <v>56</v>
      </c>
      <c r="D186" s="17" t="s">
        <v>16</v>
      </c>
      <c r="E186" s="18">
        <f>ROUND(7242*1.05,2)</f>
      </c>
      <c r="F186" s="17" t="s">
        <v>17</v>
      </c>
      <c r="G186" s="17" t="s">
        <v>18</v>
      </c>
      <c r="H186" s="18">
        <f>ROUND(RAND()*4+6,1)</f>
      </c>
      <c r="I186" s="17" t="s">
        <v>19</v>
      </c>
      <c r="J186" s="19">
        <f>ROUND(83*1,0)&amp;"%"</f>
      </c>
    </row>
    <row x14ac:dyDescent="0.25" r="187" customHeight="1" ht="17.25">
      <c r="A187" s="20" t="s">
        <v>3972</v>
      </c>
      <c r="B187" s="20" t="s">
        <v>316</v>
      </c>
      <c r="C187" s="20" t="s">
        <v>56</v>
      </c>
      <c r="D187" s="20" t="s">
        <v>22</v>
      </c>
      <c r="E187" s="22">
        <f>ROUND(7420*1.05,2)</f>
      </c>
      <c r="F187" s="20" t="s">
        <v>23</v>
      </c>
      <c r="G187" s="20" t="s">
        <v>24</v>
      </c>
      <c r="H187" s="21">
        <f>ROUND(RAND()*4+6,1)</f>
      </c>
      <c r="I187" s="20" t="s">
        <v>25</v>
      </c>
      <c r="J187" s="23">
        <f>ROUND(73*1,0)&amp;"%"</f>
      </c>
    </row>
    <row x14ac:dyDescent="0.25" r="188" customHeight="1" ht="17.25">
      <c r="A188" s="17" t="s">
        <v>3973</v>
      </c>
      <c r="B188" s="17" t="s">
        <v>318</v>
      </c>
      <c r="C188" s="17" t="s">
        <v>56</v>
      </c>
      <c r="D188" s="17" t="s">
        <v>28</v>
      </c>
      <c r="E188" s="18">
        <f>ROUND(13435*1.05,2)</f>
      </c>
      <c r="F188" s="17" t="s">
        <v>29</v>
      </c>
      <c r="G188" s="17" t="s">
        <v>30</v>
      </c>
      <c r="H188" s="18">
        <f>ROUND(RAND()*4+6,1)</f>
      </c>
      <c r="I188" s="17" t="s">
        <v>31</v>
      </c>
      <c r="J188" s="19">
        <f>ROUND(64*1,0)&amp;"%"</f>
      </c>
    </row>
    <row x14ac:dyDescent="0.25" r="189" customHeight="1" ht="17.25">
      <c r="A189" s="20" t="s">
        <v>3974</v>
      </c>
      <c r="B189" s="20" t="s">
        <v>320</v>
      </c>
      <c r="C189" s="20" t="s">
        <v>56</v>
      </c>
      <c r="D189" s="20" t="s">
        <v>34</v>
      </c>
      <c r="E189" s="22">
        <f>ROUND(11780*1.05,2)</f>
      </c>
      <c r="F189" s="20" t="s">
        <v>35</v>
      </c>
      <c r="G189" s="20" t="s">
        <v>18</v>
      </c>
      <c r="H189" s="21">
        <f>ROUND(RAND()*4+6,1)</f>
      </c>
      <c r="I189" s="20" t="s">
        <v>36</v>
      </c>
      <c r="J189" s="23">
        <f>ROUND(80*1,0)&amp;"%"</f>
      </c>
    </row>
    <row x14ac:dyDescent="0.25" r="190" customHeight="1" ht="17.25">
      <c r="A190" s="17" t="s">
        <v>3975</v>
      </c>
      <c r="B190" s="17" t="s">
        <v>322</v>
      </c>
      <c r="C190" s="17" t="s">
        <v>56</v>
      </c>
      <c r="D190" s="17" t="s">
        <v>39</v>
      </c>
      <c r="E190" s="18">
        <f>ROUND(11195*1.05,2)</f>
      </c>
      <c r="F190" s="17" t="s">
        <v>40</v>
      </c>
      <c r="G190" s="17" t="s">
        <v>24</v>
      </c>
      <c r="H190" s="18">
        <f>ROUND(RAND()*4+6,1)</f>
      </c>
      <c r="I190" s="17" t="s">
        <v>41</v>
      </c>
      <c r="J190" s="19">
        <f>ROUND(93*1,0)&amp;"%"</f>
      </c>
    </row>
    <row x14ac:dyDescent="0.25" r="191" customHeight="1" ht="17.25">
      <c r="A191" s="20" t="s">
        <v>3976</v>
      </c>
      <c r="B191" s="20" t="s">
        <v>324</v>
      </c>
      <c r="C191" s="20" t="s">
        <v>56</v>
      </c>
      <c r="D191" s="20" t="s">
        <v>67</v>
      </c>
      <c r="E191" s="21">
        <f>ROUND(8544*1.05,2)</f>
      </c>
      <c r="F191" s="20" t="s">
        <v>44</v>
      </c>
      <c r="G191" s="20" t="s">
        <v>30</v>
      </c>
      <c r="H191" s="21">
        <f>ROUND(RAND()*4+6,1)</f>
      </c>
      <c r="I191" s="20" t="s">
        <v>45</v>
      </c>
      <c r="J191" s="23">
        <f>ROUND(86*1,0)&amp;"%"</f>
      </c>
    </row>
    <row x14ac:dyDescent="0.25" r="192" customHeight="1" ht="17.25">
      <c r="A192" s="17" t="s">
        <v>3977</v>
      </c>
      <c r="B192" s="17" t="s">
        <v>326</v>
      </c>
      <c r="C192" s="17" t="s">
        <v>56</v>
      </c>
      <c r="D192" s="17" t="s">
        <v>16</v>
      </c>
      <c r="E192" s="18">
        <f>ROUND(16771*1.05,2)</f>
      </c>
      <c r="F192" s="17" t="s">
        <v>48</v>
      </c>
      <c r="G192" s="17" t="s">
        <v>18</v>
      </c>
      <c r="H192" s="18">
        <f>ROUND(RAND()*4+6,1)</f>
      </c>
      <c r="I192" s="17" t="s">
        <v>19</v>
      </c>
      <c r="J192" s="19">
        <f>ROUND(93*1,0)&amp;"%"</f>
      </c>
    </row>
    <row x14ac:dyDescent="0.25" r="193" customHeight="1" ht="17.25">
      <c r="A193" s="20" t="s">
        <v>3978</v>
      </c>
      <c r="B193" s="20" t="s">
        <v>328</v>
      </c>
      <c r="C193" s="20" t="s">
        <v>56</v>
      </c>
      <c r="D193" s="20" t="s">
        <v>22</v>
      </c>
      <c r="E193" s="21">
        <f>ROUND(16559*1.05,2)</f>
      </c>
      <c r="F193" s="20" t="s">
        <v>51</v>
      </c>
      <c r="G193" s="20" t="s">
        <v>24</v>
      </c>
      <c r="H193" s="21">
        <f>ROUND(RAND()*4+6,1)</f>
      </c>
      <c r="I193" s="20" t="s">
        <v>25</v>
      </c>
      <c r="J193" s="23">
        <f>ROUND(76*1,0)&amp;"%"</f>
      </c>
    </row>
    <row x14ac:dyDescent="0.25" r="194" customHeight="1" ht="17.25">
      <c r="A194" s="24" t="s">
        <v>329</v>
      </c>
      <c r="B194" s="24"/>
      <c r="C194" s="24"/>
      <c r="D194" s="24"/>
      <c r="E194" s="25">
        <v>8</v>
      </c>
      <c r="F194" s="9"/>
      <c r="G194" s="9"/>
      <c r="H194" s="31"/>
      <c r="I194" s="9"/>
      <c r="J194" s="9"/>
    </row>
    <row x14ac:dyDescent="0.25" r="195" customHeight="1" ht="17.25">
      <c r="A195" s="7"/>
      <c r="B195" s="7"/>
      <c r="C195" s="7"/>
      <c r="D195" s="7"/>
      <c r="E195" s="8"/>
      <c r="F195" s="9"/>
      <c r="G195" s="9"/>
      <c r="H195" s="31"/>
      <c r="I195" s="9"/>
      <c r="J195" s="9"/>
    </row>
    <row x14ac:dyDescent="0.25" r="196" customHeight="1" ht="17.25">
      <c r="A196" s="11" t="s">
        <v>3979</v>
      </c>
      <c r="B196" s="11"/>
      <c r="C196" s="11"/>
      <c r="D196" s="11"/>
      <c r="E196" s="12"/>
      <c r="F196" s="11"/>
      <c r="G196" s="11"/>
      <c r="H196" s="12"/>
      <c r="I196" s="11"/>
      <c r="J196" s="11"/>
    </row>
    <row x14ac:dyDescent="0.25" r="197" customHeight="1" ht="17.25">
      <c r="A197" s="14" t="s">
        <v>3</v>
      </c>
      <c r="B197" s="14" t="s">
        <v>4</v>
      </c>
      <c r="C197" s="14" t="s">
        <v>5</v>
      </c>
      <c r="D197" s="14" t="s">
        <v>6</v>
      </c>
      <c r="E197" s="15" t="s">
        <v>7</v>
      </c>
      <c r="F197" s="14" t="s">
        <v>8</v>
      </c>
      <c r="G197" s="14" t="s">
        <v>9</v>
      </c>
      <c r="H197" s="15" t="s">
        <v>10</v>
      </c>
      <c r="I197" s="14" t="s">
        <v>11</v>
      </c>
      <c r="J197" s="14" t="s">
        <v>12</v>
      </c>
    </row>
    <row x14ac:dyDescent="0.25" r="198" customHeight="1" ht="17.25">
      <c r="A198" s="17" t="s">
        <v>3980</v>
      </c>
      <c r="B198" s="17" t="s">
        <v>332</v>
      </c>
      <c r="C198" s="17" t="s">
        <v>76</v>
      </c>
      <c r="D198" s="17" t="s">
        <v>16</v>
      </c>
      <c r="E198" s="18">
        <f>ROUND(9294*1.05,2)</f>
      </c>
      <c r="F198" s="17" t="s">
        <v>17</v>
      </c>
      <c r="G198" s="17" t="s">
        <v>18</v>
      </c>
      <c r="H198" s="26">
        <f>ROUND(RAND()*4+6,1)</f>
      </c>
      <c r="I198" s="17" t="s">
        <v>19</v>
      </c>
      <c r="J198" s="19">
        <f>ROUND(74*1,0)&amp;"%"</f>
      </c>
    </row>
    <row x14ac:dyDescent="0.25" r="199" customHeight="1" ht="17.25">
      <c r="A199" s="20" t="s">
        <v>3981</v>
      </c>
      <c r="B199" s="20" t="s">
        <v>334</v>
      </c>
      <c r="C199" s="20" t="s">
        <v>76</v>
      </c>
      <c r="D199" s="20" t="s">
        <v>22</v>
      </c>
      <c r="E199" s="21">
        <f>ROUND(5965*1.05,2)</f>
      </c>
      <c r="F199" s="20" t="s">
        <v>23</v>
      </c>
      <c r="G199" s="20" t="s">
        <v>24</v>
      </c>
      <c r="H199" s="21">
        <f>ROUND(RAND()*4+6,1)</f>
      </c>
      <c r="I199" s="20" t="s">
        <v>25</v>
      </c>
      <c r="J199" s="23">
        <f>ROUND(95*1,0)&amp;"%"</f>
      </c>
    </row>
    <row x14ac:dyDescent="0.25" r="200" customHeight="1" ht="17.25">
      <c r="A200" s="17" t="s">
        <v>3982</v>
      </c>
      <c r="B200" s="17" t="s">
        <v>336</v>
      </c>
      <c r="C200" s="17" t="s">
        <v>76</v>
      </c>
      <c r="D200" s="17" t="s">
        <v>28</v>
      </c>
      <c r="E200" s="18">
        <f>ROUND(8728*1.05,2)</f>
      </c>
      <c r="F200" s="17" t="s">
        <v>29</v>
      </c>
      <c r="G200" s="17" t="s">
        <v>30</v>
      </c>
      <c r="H200" s="18">
        <f>ROUND(RAND()*4+6,1)</f>
      </c>
      <c r="I200" s="17" t="s">
        <v>31</v>
      </c>
      <c r="J200" s="19">
        <f>ROUND(65*1,0)&amp;"%"</f>
      </c>
    </row>
    <row x14ac:dyDescent="0.25" r="201" customHeight="1" ht="17.25">
      <c r="A201" s="20" t="s">
        <v>3983</v>
      </c>
      <c r="B201" s="20" t="s">
        <v>338</v>
      </c>
      <c r="C201" s="20" t="s">
        <v>76</v>
      </c>
      <c r="D201" s="20" t="s">
        <v>34</v>
      </c>
      <c r="E201" s="21">
        <f>ROUND(15038*1.05,2)</f>
      </c>
      <c r="F201" s="20" t="s">
        <v>35</v>
      </c>
      <c r="G201" s="20" t="s">
        <v>18</v>
      </c>
      <c r="H201" s="21">
        <f>ROUND(RAND()*4+6,1)</f>
      </c>
      <c r="I201" s="20" t="s">
        <v>36</v>
      </c>
      <c r="J201" s="23">
        <f>ROUND(67*1,0)&amp;"%"</f>
      </c>
    </row>
    <row x14ac:dyDescent="0.25" r="202" customHeight="1" ht="17.25">
      <c r="A202" s="17" t="s">
        <v>3984</v>
      </c>
      <c r="B202" s="17" t="s">
        <v>340</v>
      </c>
      <c r="C202" s="17" t="s">
        <v>76</v>
      </c>
      <c r="D202" s="17" t="s">
        <v>39</v>
      </c>
      <c r="E202" s="18">
        <f>ROUND(12924*1.05,2)</f>
      </c>
      <c r="F202" s="17" t="s">
        <v>40</v>
      </c>
      <c r="G202" s="17" t="s">
        <v>24</v>
      </c>
      <c r="H202" s="18">
        <f>ROUND(RAND()*4+6,1)</f>
      </c>
      <c r="I202" s="17" t="s">
        <v>41</v>
      </c>
      <c r="J202" s="19">
        <f>ROUND(91*1,0)&amp;"%"</f>
      </c>
    </row>
    <row x14ac:dyDescent="0.25" r="203" customHeight="1" ht="17.25">
      <c r="A203" s="20" t="s">
        <v>3985</v>
      </c>
      <c r="B203" s="20" t="s">
        <v>342</v>
      </c>
      <c r="C203" s="20" t="s">
        <v>76</v>
      </c>
      <c r="D203" s="20" t="s">
        <v>67</v>
      </c>
      <c r="E203" s="21">
        <f>ROUND(10973*1.05,2)</f>
      </c>
      <c r="F203" s="20" t="s">
        <v>44</v>
      </c>
      <c r="G203" s="20" t="s">
        <v>30</v>
      </c>
      <c r="H203" s="21">
        <f>ROUND(RAND()*4+6,1)</f>
      </c>
      <c r="I203" s="20" t="s">
        <v>45</v>
      </c>
      <c r="J203" s="23">
        <f>ROUND(73*1,0)&amp;"%"</f>
      </c>
    </row>
    <row x14ac:dyDescent="0.25" r="204" customHeight="1" ht="17.25">
      <c r="A204" s="17" t="s">
        <v>3986</v>
      </c>
      <c r="B204" s="17" t="s">
        <v>344</v>
      </c>
      <c r="C204" s="17" t="s">
        <v>76</v>
      </c>
      <c r="D204" s="17" t="s">
        <v>16</v>
      </c>
      <c r="E204" s="18">
        <f>ROUND(4230*1.05,2)</f>
      </c>
      <c r="F204" s="17" t="s">
        <v>48</v>
      </c>
      <c r="G204" s="17" t="s">
        <v>18</v>
      </c>
      <c r="H204" s="18">
        <f>ROUND(RAND()*4+6,1)</f>
      </c>
      <c r="I204" s="17" t="s">
        <v>19</v>
      </c>
      <c r="J204" s="19">
        <f>ROUND(78*1,0)&amp;"%"</f>
      </c>
    </row>
    <row x14ac:dyDescent="0.25" r="205" customHeight="1" ht="17.25">
      <c r="A205" s="20" t="s">
        <v>3987</v>
      </c>
      <c r="B205" s="20" t="s">
        <v>346</v>
      </c>
      <c r="C205" s="20" t="s">
        <v>76</v>
      </c>
      <c r="D205" s="20" t="s">
        <v>22</v>
      </c>
      <c r="E205" s="21">
        <f>ROUND(11372*1.05,2)</f>
      </c>
      <c r="F205" s="20" t="s">
        <v>51</v>
      </c>
      <c r="G205" s="20" t="s">
        <v>24</v>
      </c>
      <c r="H205" s="21">
        <f>ROUND(RAND()*4+6,1)</f>
      </c>
      <c r="I205" s="20" t="s">
        <v>25</v>
      </c>
      <c r="J205" s="23">
        <f>ROUND(83*1,0)&amp;"%"</f>
      </c>
    </row>
    <row x14ac:dyDescent="0.25" r="206" customHeight="1" ht="17.25">
      <c r="A206" s="24" t="s">
        <v>347</v>
      </c>
      <c r="B206" s="24"/>
      <c r="C206" s="24"/>
      <c r="D206" s="24"/>
      <c r="E206" s="25">
        <v>8</v>
      </c>
      <c r="F206" s="9"/>
      <c r="G206" s="9"/>
      <c r="H206" s="31"/>
      <c r="I206" s="9"/>
      <c r="J206" s="9"/>
    </row>
    <row x14ac:dyDescent="0.25" r="207" customHeight="1" ht="17.25">
      <c r="A207" s="7"/>
      <c r="B207" s="7"/>
      <c r="C207" s="7"/>
      <c r="D207" s="7"/>
      <c r="E207" s="8"/>
      <c r="F207" s="9"/>
      <c r="G207" s="9"/>
      <c r="H207" s="31"/>
      <c r="I207" s="9"/>
      <c r="J207" s="9"/>
    </row>
    <row x14ac:dyDescent="0.25" r="208" customHeight="1" ht="17.25">
      <c r="A208" s="11" t="s">
        <v>3988</v>
      </c>
      <c r="B208" s="11"/>
      <c r="C208" s="11"/>
      <c r="D208" s="11"/>
      <c r="E208" s="12"/>
      <c r="F208" s="11"/>
      <c r="G208" s="11"/>
      <c r="H208" s="12"/>
      <c r="I208" s="11"/>
      <c r="J208" s="11"/>
    </row>
    <row x14ac:dyDescent="0.25" r="209" customHeight="1" ht="17.25">
      <c r="A209" s="14" t="s">
        <v>3</v>
      </c>
      <c r="B209" s="14" t="s">
        <v>4</v>
      </c>
      <c r="C209" s="14" t="s">
        <v>5</v>
      </c>
      <c r="D209" s="14" t="s">
        <v>6</v>
      </c>
      <c r="E209" s="15" t="s">
        <v>7</v>
      </c>
      <c r="F209" s="14" t="s">
        <v>8</v>
      </c>
      <c r="G209" s="14" t="s">
        <v>9</v>
      </c>
      <c r="H209" s="15" t="s">
        <v>10</v>
      </c>
      <c r="I209" s="14" t="s">
        <v>11</v>
      </c>
      <c r="J209" s="14" t="s">
        <v>12</v>
      </c>
    </row>
    <row x14ac:dyDescent="0.25" r="210" customHeight="1" ht="17.25">
      <c r="A210" s="17" t="s">
        <v>3989</v>
      </c>
      <c r="B210" s="17" t="s">
        <v>350</v>
      </c>
      <c r="C210" s="17" t="s">
        <v>95</v>
      </c>
      <c r="D210" s="17" t="s">
        <v>16</v>
      </c>
      <c r="E210" s="18">
        <f>ROUND(12416*1.05,2)</f>
      </c>
      <c r="F210" s="17" t="s">
        <v>17</v>
      </c>
      <c r="G210" s="17" t="s">
        <v>18</v>
      </c>
      <c r="H210" s="18">
        <f>ROUND(RAND()*4+6,1)</f>
      </c>
      <c r="I210" s="17" t="s">
        <v>19</v>
      </c>
      <c r="J210" s="19">
        <f>ROUND(69*1,0)&amp;"%"</f>
      </c>
    </row>
    <row x14ac:dyDescent="0.25" r="211" customHeight="1" ht="17.25">
      <c r="A211" s="20" t="s">
        <v>3990</v>
      </c>
      <c r="B211" s="20" t="s">
        <v>352</v>
      </c>
      <c r="C211" s="20" t="s">
        <v>95</v>
      </c>
      <c r="D211" s="20" t="s">
        <v>22</v>
      </c>
      <c r="E211" s="21">
        <f>ROUND(12598*1.05,2)</f>
      </c>
      <c r="F211" s="20" t="s">
        <v>23</v>
      </c>
      <c r="G211" s="20" t="s">
        <v>24</v>
      </c>
      <c r="H211" s="21">
        <f>ROUND(RAND()*4+6,1)</f>
      </c>
      <c r="I211" s="20" t="s">
        <v>25</v>
      </c>
      <c r="J211" s="23">
        <f>ROUND(61*1,0)&amp;"%"</f>
      </c>
    </row>
    <row x14ac:dyDescent="0.25" r="212" customHeight="1" ht="17.25">
      <c r="A212" s="17" t="s">
        <v>3991</v>
      </c>
      <c r="B212" s="17" t="s">
        <v>354</v>
      </c>
      <c r="C212" s="17" t="s">
        <v>95</v>
      </c>
      <c r="D212" s="17" t="s">
        <v>28</v>
      </c>
      <c r="E212" s="18">
        <f>ROUND(12714*1.05,2)</f>
      </c>
      <c r="F212" s="17" t="s">
        <v>29</v>
      </c>
      <c r="G212" s="17" t="s">
        <v>30</v>
      </c>
      <c r="H212" s="18">
        <f>ROUND(RAND()*4+6,1)</f>
      </c>
      <c r="I212" s="17" t="s">
        <v>31</v>
      </c>
      <c r="J212" s="19">
        <f>ROUND(93*1,0)&amp;"%"</f>
      </c>
    </row>
    <row x14ac:dyDescent="0.25" r="213" customHeight="1" ht="17.25">
      <c r="A213" s="20" t="s">
        <v>3992</v>
      </c>
      <c r="B213" s="20" t="s">
        <v>356</v>
      </c>
      <c r="C213" s="20" t="s">
        <v>95</v>
      </c>
      <c r="D213" s="20" t="s">
        <v>34</v>
      </c>
      <c r="E213" s="21">
        <f>ROUND(5092*1.05,2)</f>
      </c>
      <c r="F213" s="20" t="s">
        <v>35</v>
      </c>
      <c r="G213" s="20" t="s">
        <v>18</v>
      </c>
      <c r="H213" s="21">
        <f>ROUND(RAND()*4+6,1)</f>
      </c>
      <c r="I213" s="20" t="s">
        <v>36</v>
      </c>
      <c r="J213" s="23">
        <f>ROUND(62*1,0)&amp;"%"</f>
      </c>
    </row>
    <row x14ac:dyDescent="0.25" r="214" customHeight="1" ht="17.25">
      <c r="A214" s="17" t="s">
        <v>3993</v>
      </c>
      <c r="B214" s="17" t="s">
        <v>358</v>
      </c>
      <c r="C214" s="17" t="s">
        <v>95</v>
      </c>
      <c r="D214" s="17" t="s">
        <v>39</v>
      </c>
      <c r="E214" s="18">
        <f>ROUND(15839*1.05,2)</f>
      </c>
      <c r="F214" s="17" t="s">
        <v>40</v>
      </c>
      <c r="G214" s="17" t="s">
        <v>24</v>
      </c>
      <c r="H214" s="18">
        <f>ROUND(RAND()*4+6,1)</f>
      </c>
      <c r="I214" s="17" t="s">
        <v>41</v>
      </c>
      <c r="J214" s="19">
        <f>ROUND(100*1,0)&amp;"%"</f>
      </c>
    </row>
    <row x14ac:dyDescent="0.25" r="215" customHeight="1" ht="17.25">
      <c r="A215" s="20" t="s">
        <v>3994</v>
      </c>
      <c r="B215" s="20" t="s">
        <v>360</v>
      </c>
      <c r="C215" s="20" t="s">
        <v>95</v>
      </c>
      <c r="D215" s="20" t="s">
        <v>67</v>
      </c>
      <c r="E215" s="21">
        <f>ROUND(17866*1.05,2)</f>
      </c>
      <c r="F215" s="20" t="s">
        <v>44</v>
      </c>
      <c r="G215" s="20" t="s">
        <v>30</v>
      </c>
      <c r="H215" s="22">
        <f>ROUND(RAND()*4+6,1)</f>
      </c>
      <c r="I215" s="20" t="s">
        <v>45</v>
      </c>
      <c r="J215" s="23">
        <f>ROUND(99*1,0)&amp;"%"</f>
      </c>
    </row>
    <row x14ac:dyDescent="0.25" r="216" customHeight="1" ht="17.25">
      <c r="A216" s="17" t="s">
        <v>3995</v>
      </c>
      <c r="B216" s="17" t="s">
        <v>362</v>
      </c>
      <c r="C216" s="17" t="s">
        <v>95</v>
      </c>
      <c r="D216" s="17" t="s">
        <v>16</v>
      </c>
      <c r="E216" s="18">
        <f>ROUND(14541*1.05,2)</f>
      </c>
      <c r="F216" s="17" t="s">
        <v>48</v>
      </c>
      <c r="G216" s="17" t="s">
        <v>18</v>
      </c>
      <c r="H216" s="18">
        <f>ROUND(RAND()*4+6,1)</f>
      </c>
      <c r="I216" s="17" t="s">
        <v>19</v>
      </c>
      <c r="J216" s="19">
        <f>ROUND(76*1,0)&amp;"%"</f>
      </c>
    </row>
    <row x14ac:dyDescent="0.25" r="217" customHeight="1" ht="17.25">
      <c r="A217" s="20" t="s">
        <v>3996</v>
      </c>
      <c r="B217" s="20" t="s">
        <v>364</v>
      </c>
      <c r="C217" s="20" t="s">
        <v>95</v>
      </c>
      <c r="D217" s="20" t="s">
        <v>22</v>
      </c>
      <c r="E217" s="21">
        <f>ROUND(6629*1.05,2)</f>
      </c>
      <c r="F217" s="20" t="s">
        <v>51</v>
      </c>
      <c r="G217" s="20" t="s">
        <v>24</v>
      </c>
      <c r="H217" s="21">
        <f>ROUND(RAND()*4+6,1)</f>
      </c>
      <c r="I217" s="20" t="s">
        <v>25</v>
      </c>
      <c r="J217" s="23">
        <f>ROUND(83*1,0)&amp;"%"</f>
      </c>
    </row>
    <row x14ac:dyDescent="0.25" r="218" customHeight="1" ht="17.25">
      <c r="A218" s="24" t="s">
        <v>365</v>
      </c>
      <c r="B218" s="24"/>
      <c r="C218" s="24"/>
      <c r="D218" s="24"/>
      <c r="E218" s="25">
        <v>8</v>
      </c>
      <c r="F218" s="9"/>
      <c r="G218" s="9"/>
      <c r="H218" s="31"/>
      <c r="I218" s="9"/>
      <c r="J218" s="9"/>
    </row>
    <row x14ac:dyDescent="0.25" r="219" customHeight="1" ht="17.25">
      <c r="A219" s="7"/>
      <c r="B219" s="7"/>
      <c r="C219" s="7"/>
      <c r="D219" s="7"/>
      <c r="E219" s="8"/>
      <c r="F219" s="9"/>
      <c r="G219" s="9"/>
      <c r="H219" s="31"/>
      <c r="I219" s="9"/>
      <c r="J219" s="9"/>
    </row>
    <row x14ac:dyDescent="0.25" r="220" customHeight="1" ht="17.25">
      <c r="A220" s="11" t="s">
        <v>3997</v>
      </c>
      <c r="B220" s="11"/>
      <c r="C220" s="11"/>
      <c r="D220" s="11"/>
      <c r="E220" s="12"/>
      <c r="F220" s="11"/>
      <c r="G220" s="11"/>
      <c r="H220" s="12"/>
      <c r="I220" s="11"/>
      <c r="J220" s="11"/>
    </row>
    <row x14ac:dyDescent="0.25" r="221" customHeight="1" ht="17.25">
      <c r="A221" s="14" t="s">
        <v>3</v>
      </c>
      <c r="B221" s="14" t="s">
        <v>4</v>
      </c>
      <c r="C221" s="14" t="s">
        <v>5</v>
      </c>
      <c r="D221" s="14" t="s">
        <v>6</v>
      </c>
      <c r="E221" s="15" t="s">
        <v>7</v>
      </c>
      <c r="F221" s="14" t="s">
        <v>8</v>
      </c>
      <c r="G221" s="14" t="s">
        <v>9</v>
      </c>
      <c r="H221" s="15" t="s">
        <v>10</v>
      </c>
      <c r="I221" s="14" t="s">
        <v>11</v>
      </c>
      <c r="J221" s="14" t="s">
        <v>12</v>
      </c>
    </row>
    <row x14ac:dyDescent="0.25" r="222" customHeight="1" ht="17.25">
      <c r="A222" s="17" t="s">
        <v>3998</v>
      </c>
      <c r="B222" s="17" t="s">
        <v>368</v>
      </c>
      <c r="C222" s="17" t="s">
        <v>114</v>
      </c>
      <c r="D222" s="17" t="s">
        <v>16</v>
      </c>
      <c r="E222" s="18">
        <f>ROUND(11033*1.05,2)</f>
      </c>
      <c r="F222" s="17" t="s">
        <v>17</v>
      </c>
      <c r="G222" s="17" t="s">
        <v>18</v>
      </c>
      <c r="H222" s="18">
        <f>ROUND(RAND()*4+6,1)</f>
      </c>
      <c r="I222" s="17" t="s">
        <v>19</v>
      </c>
      <c r="J222" s="19">
        <f>ROUND(87*1,0)&amp;"%"</f>
      </c>
    </row>
    <row x14ac:dyDescent="0.25" r="223" customHeight="1" ht="17.25">
      <c r="A223" s="20" t="s">
        <v>3999</v>
      </c>
      <c r="B223" s="20" t="s">
        <v>370</v>
      </c>
      <c r="C223" s="20" t="s">
        <v>114</v>
      </c>
      <c r="D223" s="20" t="s">
        <v>22</v>
      </c>
      <c r="E223" s="21">
        <f>ROUND(9808*1.05,2)</f>
      </c>
      <c r="F223" s="20" t="s">
        <v>23</v>
      </c>
      <c r="G223" s="20" t="s">
        <v>24</v>
      </c>
      <c r="H223" s="21">
        <f>ROUND(RAND()*4+6,1)</f>
      </c>
      <c r="I223" s="20" t="s">
        <v>25</v>
      </c>
      <c r="J223" s="23">
        <f>ROUND(67*1,0)&amp;"%"</f>
      </c>
    </row>
    <row x14ac:dyDescent="0.25" r="224" customHeight="1" ht="17.25">
      <c r="A224" s="17" t="s">
        <v>4000</v>
      </c>
      <c r="B224" s="17" t="s">
        <v>372</v>
      </c>
      <c r="C224" s="17" t="s">
        <v>114</v>
      </c>
      <c r="D224" s="17" t="s">
        <v>28</v>
      </c>
      <c r="E224" s="18">
        <f>ROUND(11656*1.05,2)</f>
      </c>
      <c r="F224" s="17" t="s">
        <v>29</v>
      </c>
      <c r="G224" s="17" t="s">
        <v>30</v>
      </c>
      <c r="H224" s="18">
        <f>ROUND(RAND()*4+6,1)</f>
      </c>
      <c r="I224" s="17" t="s">
        <v>31</v>
      </c>
      <c r="J224" s="19">
        <f>ROUND(83*1,0)&amp;"%"</f>
      </c>
    </row>
    <row x14ac:dyDescent="0.25" r="225" customHeight="1" ht="17.25">
      <c r="A225" s="20" t="s">
        <v>4001</v>
      </c>
      <c r="B225" s="20" t="s">
        <v>374</v>
      </c>
      <c r="C225" s="20" t="s">
        <v>114</v>
      </c>
      <c r="D225" s="20" t="s">
        <v>34</v>
      </c>
      <c r="E225" s="21">
        <f>ROUND(6769*1.05,2)</f>
      </c>
      <c r="F225" s="20" t="s">
        <v>35</v>
      </c>
      <c r="G225" s="20" t="s">
        <v>18</v>
      </c>
      <c r="H225" s="21">
        <f>ROUND(RAND()*4+6,1)</f>
      </c>
      <c r="I225" s="20" t="s">
        <v>36</v>
      </c>
      <c r="J225" s="23">
        <f>ROUND(74*1,0)&amp;"%"</f>
      </c>
    </row>
    <row x14ac:dyDescent="0.25" r="226" customHeight="1" ht="17.25">
      <c r="A226" s="17" t="s">
        <v>4002</v>
      </c>
      <c r="B226" s="17" t="s">
        <v>376</v>
      </c>
      <c r="C226" s="17" t="s">
        <v>114</v>
      </c>
      <c r="D226" s="17" t="s">
        <v>39</v>
      </c>
      <c r="E226" s="18">
        <f>ROUND(13296*1.05,2)</f>
      </c>
      <c r="F226" s="17" t="s">
        <v>40</v>
      </c>
      <c r="G226" s="17" t="s">
        <v>24</v>
      </c>
      <c r="H226" s="18">
        <f>ROUND(RAND()*4+6,1)</f>
      </c>
      <c r="I226" s="17" t="s">
        <v>41</v>
      </c>
      <c r="J226" s="19">
        <f>ROUND(94*1,0)&amp;"%"</f>
      </c>
    </row>
    <row x14ac:dyDescent="0.25" r="227" customHeight="1" ht="17.25">
      <c r="A227" s="20" t="s">
        <v>4003</v>
      </c>
      <c r="B227" s="20" t="s">
        <v>378</v>
      </c>
      <c r="C227" s="20" t="s">
        <v>114</v>
      </c>
      <c r="D227" s="20" t="s">
        <v>67</v>
      </c>
      <c r="E227" s="21">
        <f>ROUND(10319*1.05,2)</f>
      </c>
      <c r="F227" s="20" t="s">
        <v>44</v>
      </c>
      <c r="G227" s="20" t="s">
        <v>30</v>
      </c>
      <c r="H227" s="21">
        <f>ROUND(RAND()*4+6,1)</f>
      </c>
      <c r="I227" s="20" t="s">
        <v>45</v>
      </c>
      <c r="J227" s="23">
        <f>ROUND(80*1,0)&amp;"%"</f>
      </c>
    </row>
    <row x14ac:dyDescent="0.25" r="228" customHeight="1" ht="17.25">
      <c r="A228" s="17" t="s">
        <v>4004</v>
      </c>
      <c r="B228" s="17" t="s">
        <v>380</v>
      </c>
      <c r="C228" s="17" t="s">
        <v>114</v>
      </c>
      <c r="D228" s="17" t="s">
        <v>16</v>
      </c>
      <c r="E228" s="18">
        <f>ROUND(7866*1.05,2)</f>
      </c>
      <c r="F228" s="17" t="s">
        <v>48</v>
      </c>
      <c r="G228" s="17" t="s">
        <v>18</v>
      </c>
      <c r="H228" s="18">
        <f>ROUND(RAND()*4+6,1)</f>
      </c>
      <c r="I228" s="17" t="s">
        <v>19</v>
      </c>
      <c r="J228" s="19">
        <f>ROUND(80*1,0)&amp;"%"</f>
      </c>
    </row>
    <row x14ac:dyDescent="0.25" r="229" customHeight="1" ht="17.25">
      <c r="A229" s="20" t="s">
        <v>4005</v>
      </c>
      <c r="B229" s="20" t="s">
        <v>382</v>
      </c>
      <c r="C229" s="20" t="s">
        <v>114</v>
      </c>
      <c r="D229" s="20" t="s">
        <v>22</v>
      </c>
      <c r="E229" s="21">
        <f>ROUND(7075*1.05,2)</f>
      </c>
      <c r="F229" s="20" t="s">
        <v>51</v>
      </c>
      <c r="G229" s="20" t="s">
        <v>24</v>
      </c>
      <c r="H229" s="21">
        <f>ROUND(RAND()*4+6,1)</f>
      </c>
      <c r="I229" s="20" t="s">
        <v>25</v>
      </c>
      <c r="J229" s="23">
        <f>ROUND(63*1,0)&amp;"%"</f>
      </c>
    </row>
    <row x14ac:dyDescent="0.25" r="230" customHeight="1" ht="17.25">
      <c r="A230" s="24" t="s">
        <v>383</v>
      </c>
      <c r="B230" s="24"/>
      <c r="C230" s="24"/>
      <c r="D230" s="24"/>
      <c r="E230" s="25">
        <v>8</v>
      </c>
      <c r="F230" s="9"/>
      <c r="G230" s="9"/>
      <c r="H230" s="31"/>
      <c r="I230" s="9"/>
      <c r="J230" s="9"/>
    </row>
    <row x14ac:dyDescent="0.25" r="231" customHeight="1" ht="17.25">
      <c r="A231" s="7"/>
      <c r="B231" s="7"/>
      <c r="C231" s="7"/>
      <c r="D231" s="7"/>
      <c r="E231" s="8"/>
      <c r="F231" s="9"/>
      <c r="G231" s="9"/>
      <c r="H231" s="31"/>
      <c r="I231" s="9"/>
      <c r="J231" s="9"/>
    </row>
    <row x14ac:dyDescent="0.25" r="232" customHeight="1" ht="17.25">
      <c r="A232" s="11" t="s">
        <v>4006</v>
      </c>
      <c r="B232" s="11"/>
      <c r="C232" s="11"/>
      <c r="D232" s="11"/>
      <c r="E232" s="12"/>
      <c r="F232" s="11"/>
      <c r="G232" s="11"/>
      <c r="H232" s="12"/>
      <c r="I232" s="11"/>
      <c r="J232" s="11"/>
    </row>
    <row x14ac:dyDescent="0.25" r="233" customHeight="1" ht="17.25">
      <c r="A233" s="14" t="s">
        <v>3</v>
      </c>
      <c r="B233" s="14" t="s">
        <v>4</v>
      </c>
      <c r="C233" s="14" t="s">
        <v>5</v>
      </c>
      <c r="D233" s="14" t="s">
        <v>6</v>
      </c>
      <c r="E233" s="15" t="s">
        <v>7</v>
      </c>
      <c r="F233" s="14" t="s">
        <v>8</v>
      </c>
      <c r="G233" s="14" t="s">
        <v>9</v>
      </c>
      <c r="H233" s="15" t="s">
        <v>10</v>
      </c>
      <c r="I233" s="14" t="s">
        <v>11</v>
      </c>
      <c r="J233" s="14" t="s">
        <v>12</v>
      </c>
    </row>
    <row x14ac:dyDescent="0.25" r="234" customHeight="1" ht="17.25">
      <c r="A234" s="17" t="s">
        <v>4007</v>
      </c>
      <c r="B234" s="17" t="s">
        <v>386</v>
      </c>
      <c r="C234" s="17" t="s">
        <v>133</v>
      </c>
      <c r="D234" s="17" t="s">
        <v>16</v>
      </c>
      <c r="E234" s="18">
        <f>ROUND(17556*1.05,2)</f>
      </c>
      <c r="F234" s="17" t="s">
        <v>17</v>
      </c>
      <c r="G234" s="17" t="s">
        <v>18</v>
      </c>
      <c r="H234" s="18">
        <f>ROUND(RAND()*4+6,1)</f>
      </c>
      <c r="I234" s="17" t="s">
        <v>19</v>
      </c>
      <c r="J234" s="19">
        <f>ROUND(86*1,0)&amp;"%"</f>
      </c>
    </row>
    <row x14ac:dyDescent="0.25" r="235" customHeight="1" ht="17.25">
      <c r="A235" s="20" t="s">
        <v>4008</v>
      </c>
      <c r="B235" s="20" t="s">
        <v>388</v>
      </c>
      <c r="C235" s="20" t="s">
        <v>133</v>
      </c>
      <c r="D235" s="20" t="s">
        <v>22</v>
      </c>
      <c r="E235" s="21">
        <f>ROUND(9554*1.05,2)</f>
      </c>
      <c r="F235" s="20" t="s">
        <v>23</v>
      </c>
      <c r="G235" s="20" t="s">
        <v>24</v>
      </c>
      <c r="H235" s="21">
        <f>ROUND(RAND()*4+6,1)</f>
      </c>
      <c r="I235" s="20" t="s">
        <v>25</v>
      </c>
      <c r="J235" s="23">
        <f>ROUND(68*1,0)&amp;"%"</f>
      </c>
    </row>
    <row x14ac:dyDescent="0.25" r="236" customHeight="1" ht="17.25">
      <c r="A236" s="17" t="s">
        <v>4009</v>
      </c>
      <c r="B236" s="17" t="s">
        <v>390</v>
      </c>
      <c r="C236" s="17" t="s">
        <v>133</v>
      </c>
      <c r="D236" s="17" t="s">
        <v>28</v>
      </c>
      <c r="E236" s="18">
        <f>ROUND(7663*1.05,2)</f>
      </c>
      <c r="F236" s="17" t="s">
        <v>29</v>
      </c>
      <c r="G236" s="17" t="s">
        <v>30</v>
      </c>
      <c r="H236" s="18">
        <f>ROUND(RAND()*4+6,1)</f>
      </c>
      <c r="I236" s="17" t="s">
        <v>31</v>
      </c>
      <c r="J236" s="19">
        <f>ROUND(83*1,0)&amp;"%"</f>
      </c>
    </row>
    <row x14ac:dyDescent="0.25" r="237" customHeight="1" ht="17.25">
      <c r="A237" s="20" t="s">
        <v>4010</v>
      </c>
      <c r="B237" s="20" t="s">
        <v>392</v>
      </c>
      <c r="C237" s="20" t="s">
        <v>133</v>
      </c>
      <c r="D237" s="20" t="s">
        <v>34</v>
      </c>
      <c r="E237" s="21">
        <f>ROUND(4769*1.05,2)</f>
      </c>
      <c r="F237" s="20" t="s">
        <v>35</v>
      </c>
      <c r="G237" s="20" t="s">
        <v>18</v>
      </c>
      <c r="H237" s="21">
        <f>ROUND(RAND()*4+6,1)</f>
      </c>
      <c r="I237" s="20" t="s">
        <v>36</v>
      </c>
      <c r="J237" s="23">
        <f>ROUND(88*1,0)&amp;"%"</f>
      </c>
    </row>
    <row x14ac:dyDescent="0.25" r="238" customHeight="1" ht="17.25">
      <c r="A238" s="17" t="s">
        <v>4011</v>
      </c>
      <c r="B238" s="17" t="s">
        <v>394</v>
      </c>
      <c r="C238" s="17" t="s">
        <v>133</v>
      </c>
      <c r="D238" s="17" t="s">
        <v>39</v>
      </c>
      <c r="E238" s="18">
        <f>ROUND(9965*1.05,2)</f>
      </c>
      <c r="F238" s="17" t="s">
        <v>40</v>
      </c>
      <c r="G238" s="17" t="s">
        <v>24</v>
      </c>
      <c r="H238" s="18">
        <f>ROUND(RAND()*4+6,1)</f>
      </c>
      <c r="I238" s="17" t="s">
        <v>41</v>
      </c>
      <c r="J238" s="19">
        <f>ROUND(61*1,0)&amp;"%"</f>
      </c>
    </row>
    <row x14ac:dyDescent="0.25" r="239" customHeight="1" ht="17.25">
      <c r="A239" s="20" t="s">
        <v>4012</v>
      </c>
      <c r="B239" s="20" t="s">
        <v>396</v>
      </c>
      <c r="C239" s="20" t="s">
        <v>133</v>
      </c>
      <c r="D239" s="20" t="s">
        <v>67</v>
      </c>
      <c r="E239" s="21">
        <f>ROUND(17546*1.05,2)</f>
      </c>
      <c r="F239" s="20" t="s">
        <v>44</v>
      </c>
      <c r="G239" s="20" t="s">
        <v>30</v>
      </c>
      <c r="H239" s="21">
        <f>ROUND(RAND()*4+6,1)</f>
      </c>
      <c r="I239" s="20" t="s">
        <v>45</v>
      </c>
      <c r="J239" s="23">
        <f>ROUND(75*1,0)&amp;"%"</f>
      </c>
    </row>
    <row x14ac:dyDescent="0.25" r="240" customHeight="1" ht="17.25">
      <c r="A240" s="17" t="s">
        <v>4013</v>
      </c>
      <c r="B240" s="17" t="s">
        <v>398</v>
      </c>
      <c r="C240" s="17" t="s">
        <v>133</v>
      </c>
      <c r="D240" s="17" t="s">
        <v>16</v>
      </c>
      <c r="E240" s="18">
        <f>ROUND(5910*1.05,2)</f>
      </c>
      <c r="F240" s="17" t="s">
        <v>48</v>
      </c>
      <c r="G240" s="17" t="s">
        <v>18</v>
      </c>
      <c r="H240" s="18">
        <f>ROUND(RAND()*4+6,1)</f>
      </c>
      <c r="I240" s="17" t="s">
        <v>19</v>
      </c>
      <c r="J240" s="19">
        <f>ROUND(75*1,0)&amp;"%"</f>
      </c>
    </row>
    <row x14ac:dyDescent="0.25" r="241" customHeight="1" ht="17.25">
      <c r="A241" s="20" t="s">
        <v>4014</v>
      </c>
      <c r="B241" s="20" t="s">
        <v>400</v>
      </c>
      <c r="C241" s="20" t="s">
        <v>133</v>
      </c>
      <c r="D241" s="20" t="s">
        <v>22</v>
      </c>
      <c r="E241" s="21">
        <f>ROUND(12272*1.05,2)</f>
      </c>
      <c r="F241" s="20" t="s">
        <v>51</v>
      </c>
      <c r="G241" s="20" t="s">
        <v>24</v>
      </c>
      <c r="H241" s="21">
        <f>ROUND(RAND()*4+6,1)</f>
      </c>
      <c r="I241" s="20" t="s">
        <v>25</v>
      </c>
      <c r="J241" s="23">
        <f>ROUND(83*1,0)&amp;"%"</f>
      </c>
    </row>
    <row x14ac:dyDescent="0.25" r="242" customHeight="1" ht="17.25">
      <c r="A242" s="24" t="s">
        <v>401</v>
      </c>
      <c r="B242" s="24"/>
      <c r="C242" s="24"/>
      <c r="D242" s="24"/>
      <c r="E242" s="25">
        <v>8</v>
      </c>
      <c r="F242" s="9"/>
      <c r="G242" s="9"/>
      <c r="H242" s="31"/>
      <c r="I242" s="9"/>
      <c r="J242" s="9"/>
    </row>
    <row x14ac:dyDescent="0.25" r="243" customHeight="1" ht="17.25">
      <c r="A243" s="7"/>
      <c r="B243" s="7"/>
      <c r="C243" s="7"/>
      <c r="D243" s="7"/>
      <c r="E243" s="8"/>
      <c r="F243" s="9"/>
      <c r="G243" s="9"/>
      <c r="H243" s="31"/>
      <c r="I243" s="9"/>
      <c r="J243" s="9"/>
    </row>
    <row x14ac:dyDescent="0.25" r="244" customHeight="1" ht="17.25">
      <c r="A244" s="11" t="s">
        <v>4015</v>
      </c>
      <c r="B244" s="11"/>
      <c r="C244" s="11"/>
      <c r="D244" s="11"/>
      <c r="E244" s="12"/>
      <c r="F244" s="11"/>
      <c r="G244" s="11"/>
      <c r="H244" s="12"/>
      <c r="I244" s="11"/>
      <c r="J244" s="11"/>
    </row>
    <row x14ac:dyDescent="0.25" r="245" customHeight="1" ht="17.25">
      <c r="A245" s="14" t="s">
        <v>3</v>
      </c>
      <c r="B245" s="14" t="s">
        <v>4</v>
      </c>
      <c r="C245" s="14" t="s">
        <v>5</v>
      </c>
      <c r="D245" s="14" t="s">
        <v>6</v>
      </c>
      <c r="E245" s="15" t="s">
        <v>7</v>
      </c>
      <c r="F245" s="14" t="s">
        <v>8</v>
      </c>
      <c r="G245" s="14" t="s">
        <v>9</v>
      </c>
      <c r="H245" s="15" t="s">
        <v>10</v>
      </c>
      <c r="I245" s="14" t="s">
        <v>11</v>
      </c>
      <c r="J245" s="14" t="s">
        <v>12</v>
      </c>
    </row>
    <row x14ac:dyDescent="0.25" r="246" customHeight="1" ht="17.25">
      <c r="A246" s="17" t="s">
        <v>4016</v>
      </c>
      <c r="B246" s="17" t="s">
        <v>404</v>
      </c>
      <c r="C246" s="17" t="s">
        <v>152</v>
      </c>
      <c r="D246" s="17" t="s">
        <v>16</v>
      </c>
      <c r="E246" s="18">
        <f>ROUND(12213*1.05,2)</f>
      </c>
      <c r="F246" s="17" t="s">
        <v>17</v>
      </c>
      <c r="G246" s="17" t="s">
        <v>18</v>
      </c>
      <c r="H246" s="18">
        <f>ROUND(RAND()*4+6,1)</f>
      </c>
      <c r="I246" s="17" t="s">
        <v>19</v>
      </c>
      <c r="J246" s="19">
        <f>ROUND(73*1,0)&amp;"%"</f>
      </c>
    </row>
    <row x14ac:dyDescent="0.25" r="247" customHeight="1" ht="17.25">
      <c r="A247" s="20" t="s">
        <v>4017</v>
      </c>
      <c r="B247" s="20" t="s">
        <v>406</v>
      </c>
      <c r="C247" s="20" t="s">
        <v>152</v>
      </c>
      <c r="D247" s="20" t="s">
        <v>22</v>
      </c>
      <c r="E247" s="21">
        <f>ROUND(9991*1.05,2)</f>
      </c>
      <c r="F247" s="20" t="s">
        <v>23</v>
      </c>
      <c r="G247" s="20" t="s">
        <v>24</v>
      </c>
      <c r="H247" s="21">
        <f>ROUND(RAND()*4+6,1)</f>
      </c>
      <c r="I247" s="20" t="s">
        <v>25</v>
      </c>
      <c r="J247" s="23">
        <f>ROUND(100*1,0)&amp;"%"</f>
      </c>
    </row>
    <row x14ac:dyDescent="0.25" r="248" customHeight="1" ht="17.25">
      <c r="A248" s="17" t="s">
        <v>4018</v>
      </c>
      <c r="B248" s="17" t="s">
        <v>408</v>
      </c>
      <c r="C248" s="17" t="s">
        <v>152</v>
      </c>
      <c r="D248" s="17" t="s">
        <v>28</v>
      </c>
      <c r="E248" s="18">
        <f>ROUND(5072*1.05,2)</f>
      </c>
      <c r="F248" s="17" t="s">
        <v>29</v>
      </c>
      <c r="G248" s="17" t="s">
        <v>30</v>
      </c>
      <c r="H248" s="18">
        <f>ROUND(RAND()*4+6,1)</f>
      </c>
      <c r="I248" s="17" t="s">
        <v>31</v>
      </c>
      <c r="J248" s="19">
        <f>ROUND(95*1,0)&amp;"%"</f>
      </c>
    </row>
    <row x14ac:dyDescent="0.25" r="249" customHeight="1" ht="17.25">
      <c r="A249" s="20" t="s">
        <v>4019</v>
      </c>
      <c r="B249" s="20" t="s">
        <v>410</v>
      </c>
      <c r="C249" s="20" t="s">
        <v>152</v>
      </c>
      <c r="D249" s="20" t="s">
        <v>34</v>
      </c>
      <c r="E249" s="21">
        <f>ROUND(16173*1.05,2)</f>
      </c>
      <c r="F249" s="20" t="s">
        <v>35</v>
      </c>
      <c r="G249" s="20" t="s">
        <v>18</v>
      </c>
      <c r="H249" s="21">
        <f>ROUND(RAND()*4+6,1)</f>
      </c>
      <c r="I249" s="20" t="s">
        <v>36</v>
      </c>
      <c r="J249" s="23">
        <f>ROUND(63*1,0)&amp;"%"</f>
      </c>
    </row>
    <row x14ac:dyDescent="0.25" r="250" customHeight="1" ht="17.25">
      <c r="A250" s="17" t="s">
        <v>4020</v>
      </c>
      <c r="B250" s="17" t="s">
        <v>412</v>
      </c>
      <c r="C250" s="17" t="s">
        <v>152</v>
      </c>
      <c r="D250" s="17" t="s">
        <v>39</v>
      </c>
      <c r="E250" s="18">
        <f>ROUND(14112*1.05,2)</f>
      </c>
      <c r="F250" s="17" t="s">
        <v>40</v>
      </c>
      <c r="G250" s="17" t="s">
        <v>24</v>
      </c>
      <c r="H250" s="18">
        <f>ROUND(RAND()*4+6,1)</f>
      </c>
      <c r="I250" s="17" t="s">
        <v>41</v>
      </c>
      <c r="J250" s="19">
        <f>ROUND(77*1,0)&amp;"%"</f>
      </c>
    </row>
    <row x14ac:dyDescent="0.25" r="251" customHeight="1" ht="17.25">
      <c r="A251" s="20" t="s">
        <v>4021</v>
      </c>
      <c r="B251" s="20" t="s">
        <v>414</v>
      </c>
      <c r="C251" s="20" t="s">
        <v>152</v>
      </c>
      <c r="D251" s="20" t="s">
        <v>67</v>
      </c>
      <c r="E251" s="21">
        <f>ROUND(17154*1.05,2)</f>
      </c>
      <c r="F251" s="20" t="s">
        <v>44</v>
      </c>
      <c r="G251" s="20" t="s">
        <v>30</v>
      </c>
      <c r="H251" s="21">
        <f>ROUND(RAND()*4+6,1)</f>
      </c>
      <c r="I251" s="20" t="s">
        <v>45</v>
      </c>
      <c r="J251" s="23">
        <f>ROUND(98*1,0)&amp;"%"</f>
      </c>
    </row>
    <row x14ac:dyDescent="0.25" r="252" customHeight="1" ht="17.25">
      <c r="A252" s="17" t="s">
        <v>4022</v>
      </c>
      <c r="B252" s="17" t="s">
        <v>416</v>
      </c>
      <c r="C252" s="17" t="s">
        <v>152</v>
      </c>
      <c r="D252" s="17" t="s">
        <v>16</v>
      </c>
      <c r="E252" s="18">
        <f>ROUND(14087*1.05,2)</f>
      </c>
      <c r="F252" s="17" t="s">
        <v>48</v>
      </c>
      <c r="G252" s="17" t="s">
        <v>18</v>
      </c>
      <c r="H252" s="18">
        <f>ROUND(RAND()*4+6,1)</f>
      </c>
      <c r="I252" s="17" t="s">
        <v>19</v>
      </c>
      <c r="J252" s="19">
        <f>ROUND(92*1,0)&amp;"%"</f>
      </c>
    </row>
    <row x14ac:dyDescent="0.25" r="253" customHeight="1" ht="17.25">
      <c r="A253" s="20" t="s">
        <v>4023</v>
      </c>
      <c r="B253" s="20" t="s">
        <v>418</v>
      </c>
      <c r="C253" s="20" t="s">
        <v>152</v>
      </c>
      <c r="D253" s="20" t="s">
        <v>22</v>
      </c>
      <c r="E253" s="21">
        <f>ROUND(14636*1.05,2)</f>
      </c>
      <c r="F253" s="20" t="s">
        <v>51</v>
      </c>
      <c r="G253" s="20" t="s">
        <v>24</v>
      </c>
      <c r="H253" s="22">
        <f>ROUND(RAND()*4+6,1)</f>
      </c>
      <c r="I253" s="20" t="s">
        <v>25</v>
      </c>
      <c r="J253" s="23">
        <f>ROUND(88*1,0)&amp;"%"</f>
      </c>
    </row>
    <row x14ac:dyDescent="0.25" r="254" customHeight="1" ht="17.25">
      <c r="A254" s="24" t="s">
        <v>419</v>
      </c>
      <c r="B254" s="24"/>
      <c r="C254" s="24"/>
      <c r="D254" s="24"/>
      <c r="E254" s="25">
        <v>8</v>
      </c>
      <c r="F254" s="9"/>
      <c r="G254" s="9"/>
      <c r="H254" s="31"/>
      <c r="I254" s="9"/>
      <c r="J254" s="9"/>
    </row>
    <row x14ac:dyDescent="0.25" r="255" customHeight="1" ht="17.25">
      <c r="A255" s="7"/>
      <c r="B255" s="7"/>
      <c r="C255" s="7"/>
      <c r="D255" s="7"/>
      <c r="E255" s="8"/>
      <c r="F255" s="9"/>
      <c r="G255" s="9"/>
      <c r="H255" s="31"/>
      <c r="I255" s="9"/>
      <c r="J255" s="9"/>
    </row>
    <row x14ac:dyDescent="0.25" r="256" customHeight="1" ht="17.25">
      <c r="A256" s="11" t="s">
        <v>4024</v>
      </c>
      <c r="B256" s="11"/>
      <c r="C256" s="11"/>
      <c r="D256" s="11"/>
      <c r="E256" s="12"/>
      <c r="F256" s="11"/>
      <c r="G256" s="11"/>
      <c r="H256" s="12"/>
      <c r="I256" s="11"/>
      <c r="J256" s="11"/>
    </row>
    <row x14ac:dyDescent="0.25" r="257" customHeight="1" ht="17.25">
      <c r="A257" s="14" t="s">
        <v>3</v>
      </c>
      <c r="B257" s="14" t="s">
        <v>4</v>
      </c>
      <c r="C257" s="14" t="s">
        <v>5</v>
      </c>
      <c r="D257" s="14" t="s">
        <v>6</v>
      </c>
      <c r="E257" s="15" t="s">
        <v>7</v>
      </c>
      <c r="F257" s="14" t="s">
        <v>8</v>
      </c>
      <c r="G257" s="14" t="s">
        <v>9</v>
      </c>
      <c r="H257" s="15" t="s">
        <v>10</v>
      </c>
      <c r="I257" s="14" t="s">
        <v>11</v>
      </c>
      <c r="J257" s="14" t="s">
        <v>12</v>
      </c>
    </row>
    <row x14ac:dyDescent="0.25" r="258" customHeight="1" ht="17.25">
      <c r="A258" s="17" t="s">
        <v>4025</v>
      </c>
      <c r="B258" s="17" t="s">
        <v>422</v>
      </c>
      <c r="C258" s="17" t="s">
        <v>15</v>
      </c>
      <c r="D258" s="17" t="s">
        <v>16</v>
      </c>
      <c r="E258" s="18">
        <f>ROUND(13150*1.05,2)</f>
      </c>
      <c r="F258" s="17" t="s">
        <v>17</v>
      </c>
      <c r="G258" s="17" t="s">
        <v>18</v>
      </c>
      <c r="H258" s="18">
        <f>ROUND(RAND()*4+6,1)</f>
      </c>
      <c r="I258" s="17" t="s">
        <v>19</v>
      </c>
      <c r="J258" s="19">
        <f>ROUND(77*1,0)&amp;"%"</f>
      </c>
    </row>
    <row x14ac:dyDescent="0.25" r="259" customHeight="1" ht="17.25">
      <c r="A259" s="20" t="s">
        <v>4026</v>
      </c>
      <c r="B259" s="20" t="s">
        <v>424</v>
      </c>
      <c r="C259" s="20" t="s">
        <v>15</v>
      </c>
      <c r="D259" s="20" t="s">
        <v>22</v>
      </c>
      <c r="E259" s="21">
        <f>ROUND(10708*1.05,2)</f>
      </c>
      <c r="F259" s="20" t="s">
        <v>23</v>
      </c>
      <c r="G259" s="20" t="s">
        <v>24</v>
      </c>
      <c r="H259" s="21">
        <f>ROUND(RAND()*4+6,1)</f>
      </c>
      <c r="I259" s="20" t="s">
        <v>25</v>
      </c>
      <c r="J259" s="23">
        <f>ROUND(69*1,0)&amp;"%"</f>
      </c>
    </row>
    <row x14ac:dyDescent="0.25" r="260" customHeight="1" ht="17.25">
      <c r="A260" s="17" t="s">
        <v>4027</v>
      </c>
      <c r="B260" s="17" t="s">
        <v>426</v>
      </c>
      <c r="C260" s="17" t="s">
        <v>15</v>
      </c>
      <c r="D260" s="17" t="s">
        <v>28</v>
      </c>
      <c r="E260" s="18">
        <f>ROUND(17178*1.05,2)</f>
      </c>
      <c r="F260" s="17" t="s">
        <v>29</v>
      </c>
      <c r="G260" s="17" t="s">
        <v>30</v>
      </c>
      <c r="H260" s="18">
        <f>ROUND(RAND()*4+6,1)</f>
      </c>
      <c r="I260" s="17" t="s">
        <v>31</v>
      </c>
      <c r="J260" s="19">
        <f>ROUND(74*1,0)&amp;"%"</f>
      </c>
    </row>
    <row x14ac:dyDescent="0.25" r="261" customHeight="1" ht="17.25">
      <c r="A261" s="20" t="s">
        <v>4028</v>
      </c>
      <c r="B261" s="20" t="s">
        <v>428</v>
      </c>
      <c r="C261" s="20" t="s">
        <v>15</v>
      </c>
      <c r="D261" s="20" t="s">
        <v>34</v>
      </c>
      <c r="E261" s="21">
        <f>ROUND(8771*1.05,2)</f>
      </c>
      <c r="F261" s="20" t="s">
        <v>35</v>
      </c>
      <c r="G261" s="20" t="s">
        <v>18</v>
      </c>
      <c r="H261" s="21">
        <f>ROUND(RAND()*4+6,1)</f>
      </c>
      <c r="I261" s="20" t="s">
        <v>36</v>
      </c>
      <c r="J261" s="23">
        <f>ROUND(78*1,0)&amp;"%"</f>
      </c>
    </row>
    <row x14ac:dyDescent="0.25" r="262" customHeight="1" ht="17.25">
      <c r="A262" s="17" t="s">
        <v>4029</v>
      </c>
      <c r="B262" s="17" t="s">
        <v>430</v>
      </c>
      <c r="C262" s="17" t="s">
        <v>15</v>
      </c>
      <c r="D262" s="17" t="s">
        <v>39</v>
      </c>
      <c r="E262" s="18">
        <f>ROUND(6630*1.05,2)</f>
      </c>
      <c r="F262" s="17" t="s">
        <v>40</v>
      </c>
      <c r="G262" s="17" t="s">
        <v>24</v>
      </c>
      <c r="H262" s="18">
        <f>ROUND(RAND()*4+6,1)</f>
      </c>
      <c r="I262" s="17" t="s">
        <v>41</v>
      </c>
      <c r="J262" s="19">
        <f>ROUND(78*1,0)&amp;"%"</f>
      </c>
    </row>
    <row x14ac:dyDescent="0.25" r="263" customHeight="1" ht="17.25">
      <c r="A263" s="20" t="s">
        <v>4030</v>
      </c>
      <c r="B263" s="20" t="s">
        <v>432</v>
      </c>
      <c r="C263" s="20" t="s">
        <v>15</v>
      </c>
      <c r="D263" s="20" t="s">
        <v>67</v>
      </c>
      <c r="E263" s="21">
        <f>ROUND(6226*1.05,2)</f>
      </c>
      <c r="F263" s="20" t="s">
        <v>44</v>
      </c>
      <c r="G263" s="20" t="s">
        <v>30</v>
      </c>
      <c r="H263" s="21">
        <f>ROUND(RAND()*4+6,1)</f>
      </c>
      <c r="I263" s="20" t="s">
        <v>45</v>
      </c>
      <c r="J263" s="23">
        <f>ROUND(73*1,0)&amp;"%"</f>
      </c>
    </row>
    <row x14ac:dyDescent="0.25" r="264" customHeight="1" ht="17.25">
      <c r="A264" s="17" t="s">
        <v>4031</v>
      </c>
      <c r="B264" s="17" t="s">
        <v>434</v>
      </c>
      <c r="C264" s="17" t="s">
        <v>15</v>
      </c>
      <c r="D264" s="17" t="s">
        <v>16</v>
      </c>
      <c r="E264" s="18">
        <f>ROUND(12391*1.05,2)</f>
      </c>
      <c r="F264" s="17" t="s">
        <v>48</v>
      </c>
      <c r="G264" s="17" t="s">
        <v>18</v>
      </c>
      <c r="H264" s="18">
        <f>ROUND(RAND()*4+6,1)</f>
      </c>
      <c r="I264" s="17" t="s">
        <v>19</v>
      </c>
      <c r="J264" s="19">
        <f>ROUND(63*1,0)&amp;"%"</f>
      </c>
    </row>
    <row x14ac:dyDescent="0.25" r="265" customHeight="1" ht="17.25">
      <c r="A265" s="20" t="s">
        <v>4032</v>
      </c>
      <c r="B265" s="20" t="s">
        <v>436</v>
      </c>
      <c r="C265" s="20" t="s">
        <v>15</v>
      </c>
      <c r="D265" s="20" t="s">
        <v>22</v>
      </c>
      <c r="E265" s="21">
        <f>ROUND(13828*1.05,2)</f>
      </c>
      <c r="F265" s="20" t="s">
        <v>51</v>
      </c>
      <c r="G265" s="20" t="s">
        <v>24</v>
      </c>
      <c r="H265" s="22">
        <f>ROUND(RAND()*4+6,1)</f>
      </c>
      <c r="I265" s="20" t="s">
        <v>25</v>
      </c>
      <c r="J265" s="23">
        <f>ROUND(64*1,0)&amp;"%"</f>
      </c>
    </row>
    <row x14ac:dyDescent="0.25" r="266" customHeight="1" ht="17.25">
      <c r="A266" s="24" t="s">
        <v>437</v>
      </c>
      <c r="B266" s="24"/>
      <c r="C266" s="24"/>
      <c r="D266" s="24"/>
      <c r="E266" s="25">
        <v>8</v>
      </c>
      <c r="F266" s="9"/>
      <c r="G266" s="9"/>
      <c r="H266" s="31"/>
      <c r="I266" s="9"/>
      <c r="J266" s="9"/>
    </row>
    <row x14ac:dyDescent="0.25" r="267" customHeight="1" ht="17.25">
      <c r="A267" s="7"/>
      <c r="B267" s="7"/>
      <c r="C267" s="7"/>
      <c r="D267" s="7"/>
      <c r="E267" s="8"/>
      <c r="F267" s="9"/>
      <c r="G267" s="9"/>
      <c r="H267" s="31"/>
      <c r="I267" s="9"/>
      <c r="J267" s="9"/>
    </row>
    <row x14ac:dyDescent="0.25" r="268" customHeight="1" ht="17.25">
      <c r="A268" s="11" t="s">
        <v>4033</v>
      </c>
      <c r="B268" s="11"/>
      <c r="C268" s="11"/>
      <c r="D268" s="11"/>
      <c r="E268" s="12"/>
      <c r="F268" s="11"/>
      <c r="G268" s="11"/>
      <c r="H268" s="12"/>
      <c r="I268" s="11"/>
      <c r="J268" s="11"/>
    </row>
    <row x14ac:dyDescent="0.25" r="269" customHeight="1" ht="17.25">
      <c r="A269" s="14" t="s">
        <v>3</v>
      </c>
      <c r="B269" s="14" t="s">
        <v>4</v>
      </c>
      <c r="C269" s="14" t="s">
        <v>5</v>
      </c>
      <c r="D269" s="14" t="s">
        <v>6</v>
      </c>
      <c r="E269" s="15" t="s">
        <v>7</v>
      </c>
      <c r="F269" s="14" t="s">
        <v>8</v>
      </c>
      <c r="G269" s="14" t="s">
        <v>9</v>
      </c>
      <c r="H269" s="15" t="s">
        <v>10</v>
      </c>
      <c r="I269" s="14" t="s">
        <v>11</v>
      </c>
      <c r="J269" s="14" t="s">
        <v>12</v>
      </c>
    </row>
    <row x14ac:dyDescent="0.25" r="270" customHeight="1" ht="17.25">
      <c r="A270" s="17" t="s">
        <v>4034</v>
      </c>
      <c r="B270" s="17" t="s">
        <v>440</v>
      </c>
      <c r="C270" s="17" t="s">
        <v>56</v>
      </c>
      <c r="D270" s="17" t="s">
        <v>16</v>
      </c>
      <c r="E270" s="18">
        <f>ROUND(11172*1.05,2)</f>
      </c>
      <c r="F270" s="17" t="s">
        <v>17</v>
      </c>
      <c r="G270" s="17" t="s">
        <v>18</v>
      </c>
      <c r="H270" s="18">
        <f>ROUND(RAND()*4+6,1)</f>
      </c>
      <c r="I270" s="17" t="s">
        <v>19</v>
      </c>
      <c r="J270" s="19">
        <f>ROUND(82*1,0)&amp;"%"</f>
      </c>
    </row>
    <row x14ac:dyDescent="0.25" r="271" customHeight="1" ht="17.25">
      <c r="A271" s="20" t="s">
        <v>4035</v>
      </c>
      <c r="B271" s="20" t="s">
        <v>442</v>
      </c>
      <c r="C271" s="20" t="s">
        <v>56</v>
      </c>
      <c r="D271" s="20" t="s">
        <v>22</v>
      </c>
      <c r="E271" s="21">
        <f>ROUND(4962*1.05,2)</f>
      </c>
      <c r="F271" s="20" t="s">
        <v>23</v>
      </c>
      <c r="G271" s="20" t="s">
        <v>24</v>
      </c>
      <c r="H271" s="21">
        <f>ROUND(RAND()*4+6,1)</f>
      </c>
      <c r="I271" s="20" t="s">
        <v>25</v>
      </c>
      <c r="J271" s="23">
        <f>ROUND(69*1,0)&amp;"%"</f>
      </c>
    </row>
    <row x14ac:dyDescent="0.25" r="272" customHeight="1" ht="17.25">
      <c r="A272" s="17" t="s">
        <v>4036</v>
      </c>
      <c r="B272" s="17" t="s">
        <v>444</v>
      </c>
      <c r="C272" s="17" t="s">
        <v>56</v>
      </c>
      <c r="D272" s="17" t="s">
        <v>28</v>
      </c>
      <c r="E272" s="18">
        <f>ROUND(6317*1.05,2)</f>
      </c>
      <c r="F272" s="17" t="s">
        <v>29</v>
      </c>
      <c r="G272" s="17" t="s">
        <v>30</v>
      </c>
      <c r="H272" s="18">
        <f>ROUND(RAND()*4+6,1)</f>
      </c>
      <c r="I272" s="17" t="s">
        <v>31</v>
      </c>
      <c r="J272" s="19">
        <f>ROUND(93*1,0)&amp;"%"</f>
      </c>
    </row>
    <row x14ac:dyDescent="0.25" r="273" customHeight="1" ht="17.25">
      <c r="A273" s="20" t="s">
        <v>4037</v>
      </c>
      <c r="B273" s="20" t="s">
        <v>446</v>
      </c>
      <c r="C273" s="20" t="s">
        <v>56</v>
      </c>
      <c r="D273" s="20" t="s">
        <v>34</v>
      </c>
      <c r="E273" s="21">
        <f>ROUND(16611*1.05,2)</f>
      </c>
      <c r="F273" s="20" t="s">
        <v>35</v>
      </c>
      <c r="G273" s="20" t="s">
        <v>18</v>
      </c>
      <c r="H273" s="21">
        <f>ROUND(RAND()*4+6,1)</f>
      </c>
      <c r="I273" s="20" t="s">
        <v>36</v>
      </c>
      <c r="J273" s="23">
        <f>ROUND(99*1,0)&amp;"%"</f>
      </c>
    </row>
    <row x14ac:dyDescent="0.25" r="274" customHeight="1" ht="17.25">
      <c r="A274" s="17" t="s">
        <v>4038</v>
      </c>
      <c r="B274" s="17" t="s">
        <v>448</v>
      </c>
      <c r="C274" s="17" t="s">
        <v>56</v>
      </c>
      <c r="D274" s="17" t="s">
        <v>39</v>
      </c>
      <c r="E274" s="18">
        <f>ROUND(7535*1.05,2)</f>
      </c>
      <c r="F274" s="17" t="s">
        <v>40</v>
      </c>
      <c r="G274" s="17" t="s">
        <v>24</v>
      </c>
      <c r="H274" s="18">
        <f>ROUND(RAND()*4+6,1)</f>
      </c>
      <c r="I274" s="17" t="s">
        <v>41</v>
      </c>
      <c r="J274" s="19">
        <f>ROUND(68*1,0)&amp;"%"</f>
      </c>
    </row>
    <row x14ac:dyDescent="0.25" r="275" customHeight="1" ht="17.25">
      <c r="A275" s="20" t="s">
        <v>4039</v>
      </c>
      <c r="B275" s="20" t="s">
        <v>450</v>
      </c>
      <c r="C275" s="20" t="s">
        <v>56</v>
      </c>
      <c r="D275" s="20" t="s">
        <v>67</v>
      </c>
      <c r="E275" s="21">
        <f>ROUND(8225*1.05,2)</f>
      </c>
      <c r="F275" s="20" t="s">
        <v>44</v>
      </c>
      <c r="G275" s="20" t="s">
        <v>30</v>
      </c>
      <c r="H275" s="21">
        <f>ROUND(RAND()*4+6,1)</f>
      </c>
      <c r="I275" s="20" t="s">
        <v>45</v>
      </c>
      <c r="J275" s="23">
        <f>ROUND(80*1,0)&amp;"%"</f>
      </c>
    </row>
    <row x14ac:dyDescent="0.25" r="276" customHeight="1" ht="17.25">
      <c r="A276" s="17" t="s">
        <v>4040</v>
      </c>
      <c r="B276" s="17" t="s">
        <v>452</v>
      </c>
      <c r="C276" s="17" t="s">
        <v>56</v>
      </c>
      <c r="D276" s="17" t="s">
        <v>16</v>
      </c>
      <c r="E276" s="18">
        <f>ROUND(6404*1.05,2)</f>
      </c>
      <c r="F276" s="17" t="s">
        <v>48</v>
      </c>
      <c r="G276" s="17" t="s">
        <v>18</v>
      </c>
      <c r="H276" s="26">
        <f>ROUND(RAND()*4+6,1)</f>
      </c>
      <c r="I276" s="17" t="s">
        <v>19</v>
      </c>
      <c r="J276" s="19">
        <f>ROUND(94*1,0)&amp;"%"</f>
      </c>
    </row>
    <row x14ac:dyDescent="0.25" r="277" customHeight="1" ht="17.25">
      <c r="A277" s="20" t="s">
        <v>4041</v>
      </c>
      <c r="B277" s="20" t="s">
        <v>454</v>
      </c>
      <c r="C277" s="20" t="s">
        <v>56</v>
      </c>
      <c r="D277" s="20" t="s">
        <v>22</v>
      </c>
      <c r="E277" s="21">
        <f>ROUND(9327*1.05,2)</f>
      </c>
      <c r="F277" s="20" t="s">
        <v>51</v>
      </c>
      <c r="G277" s="20" t="s">
        <v>24</v>
      </c>
      <c r="H277" s="21">
        <f>ROUND(RAND()*4+6,1)</f>
      </c>
      <c r="I277" s="20" t="s">
        <v>25</v>
      </c>
      <c r="J277" s="23">
        <f>ROUND(70*1,0)&amp;"%"</f>
      </c>
    </row>
    <row x14ac:dyDescent="0.25" r="278" customHeight="1" ht="17.25">
      <c r="A278" s="24" t="s">
        <v>455</v>
      </c>
      <c r="B278" s="24"/>
      <c r="C278" s="24"/>
      <c r="D278" s="24"/>
      <c r="E278" s="25">
        <v>8</v>
      </c>
      <c r="F278" s="9"/>
      <c r="G278" s="9"/>
      <c r="H278" s="31"/>
      <c r="I278" s="9"/>
      <c r="J278" s="9"/>
    </row>
    <row x14ac:dyDescent="0.25" r="279" customHeight="1" ht="17.25">
      <c r="A279" s="7"/>
      <c r="B279" s="7"/>
      <c r="C279" s="7"/>
      <c r="D279" s="7"/>
      <c r="E279" s="8"/>
      <c r="F279" s="9"/>
      <c r="G279" s="9"/>
      <c r="H279" s="31"/>
      <c r="I279" s="9"/>
      <c r="J279" s="9"/>
    </row>
    <row x14ac:dyDescent="0.25" r="280" customHeight="1" ht="17.25">
      <c r="A280" s="11" t="s">
        <v>4042</v>
      </c>
      <c r="B280" s="11"/>
      <c r="C280" s="11"/>
      <c r="D280" s="11"/>
      <c r="E280" s="12"/>
      <c r="F280" s="11"/>
      <c r="G280" s="11"/>
      <c r="H280" s="12"/>
      <c r="I280" s="11"/>
      <c r="J280" s="11"/>
    </row>
    <row x14ac:dyDescent="0.25" r="281" customHeight="1" ht="17.25">
      <c r="A281" s="14" t="s">
        <v>3</v>
      </c>
      <c r="B281" s="14" t="s">
        <v>4</v>
      </c>
      <c r="C281" s="14" t="s">
        <v>5</v>
      </c>
      <c r="D281" s="14" t="s">
        <v>6</v>
      </c>
      <c r="E281" s="15" t="s">
        <v>7</v>
      </c>
      <c r="F281" s="14" t="s">
        <v>8</v>
      </c>
      <c r="G281" s="14" t="s">
        <v>9</v>
      </c>
      <c r="H281" s="15" t="s">
        <v>10</v>
      </c>
      <c r="I281" s="14" t="s">
        <v>11</v>
      </c>
      <c r="J281" s="14" t="s">
        <v>12</v>
      </c>
    </row>
    <row x14ac:dyDescent="0.25" r="282" customHeight="1" ht="17.25">
      <c r="A282" s="17" t="s">
        <v>4043</v>
      </c>
      <c r="B282" s="17" t="s">
        <v>458</v>
      </c>
      <c r="C282" s="17" t="s">
        <v>76</v>
      </c>
      <c r="D282" s="17" t="s">
        <v>16</v>
      </c>
      <c r="E282" s="18">
        <f>ROUND(7987*1.05,2)</f>
      </c>
      <c r="F282" s="17" t="s">
        <v>17</v>
      </c>
      <c r="G282" s="17" t="s">
        <v>18</v>
      </c>
      <c r="H282" s="18">
        <f>ROUND(RAND()*4+6,1)</f>
      </c>
      <c r="I282" s="17" t="s">
        <v>19</v>
      </c>
      <c r="J282" s="19">
        <f>ROUND(73*1,0)&amp;"%"</f>
      </c>
    </row>
    <row x14ac:dyDescent="0.25" r="283" customHeight="1" ht="17.25">
      <c r="A283" s="20" t="s">
        <v>4044</v>
      </c>
      <c r="B283" s="20" t="s">
        <v>460</v>
      </c>
      <c r="C283" s="20" t="s">
        <v>76</v>
      </c>
      <c r="D283" s="20" t="s">
        <v>22</v>
      </c>
      <c r="E283" s="21">
        <f>ROUND(15044*1.05,2)</f>
      </c>
      <c r="F283" s="20" t="s">
        <v>23</v>
      </c>
      <c r="G283" s="20" t="s">
        <v>24</v>
      </c>
      <c r="H283" s="21">
        <f>ROUND(RAND()*4+6,1)</f>
      </c>
      <c r="I283" s="20" t="s">
        <v>25</v>
      </c>
      <c r="J283" s="23">
        <f>ROUND(92*1,0)&amp;"%"</f>
      </c>
    </row>
    <row x14ac:dyDescent="0.25" r="284" customHeight="1" ht="17.25">
      <c r="A284" s="17" t="s">
        <v>4045</v>
      </c>
      <c r="B284" s="17" t="s">
        <v>462</v>
      </c>
      <c r="C284" s="17" t="s">
        <v>76</v>
      </c>
      <c r="D284" s="17" t="s">
        <v>28</v>
      </c>
      <c r="E284" s="18">
        <f>ROUND(14643*1.05,2)</f>
      </c>
      <c r="F284" s="17" t="s">
        <v>29</v>
      </c>
      <c r="G284" s="17" t="s">
        <v>30</v>
      </c>
      <c r="H284" s="18">
        <f>ROUND(RAND()*4+6,1)</f>
      </c>
      <c r="I284" s="17" t="s">
        <v>31</v>
      </c>
      <c r="J284" s="19">
        <f>ROUND(65*1,0)&amp;"%"</f>
      </c>
    </row>
    <row x14ac:dyDescent="0.25" r="285" customHeight="1" ht="17.25">
      <c r="A285" s="20" t="s">
        <v>4046</v>
      </c>
      <c r="B285" s="20" t="s">
        <v>464</v>
      </c>
      <c r="C285" s="20" t="s">
        <v>76</v>
      </c>
      <c r="D285" s="20" t="s">
        <v>34</v>
      </c>
      <c r="E285" s="22">
        <f>ROUND(14900*1.05,2)</f>
      </c>
      <c r="F285" s="20" t="s">
        <v>35</v>
      </c>
      <c r="G285" s="20" t="s">
        <v>18</v>
      </c>
      <c r="H285" s="21">
        <f>ROUND(RAND()*4+6,1)</f>
      </c>
      <c r="I285" s="20" t="s">
        <v>36</v>
      </c>
      <c r="J285" s="23">
        <f>ROUND(67*1,0)&amp;"%"</f>
      </c>
    </row>
    <row x14ac:dyDescent="0.25" r="286" customHeight="1" ht="17.25">
      <c r="A286" s="17" t="s">
        <v>4047</v>
      </c>
      <c r="B286" s="17" t="s">
        <v>466</v>
      </c>
      <c r="C286" s="17" t="s">
        <v>76</v>
      </c>
      <c r="D286" s="17" t="s">
        <v>39</v>
      </c>
      <c r="E286" s="18">
        <f>ROUND(8415*1.05,2)</f>
      </c>
      <c r="F286" s="17" t="s">
        <v>40</v>
      </c>
      <c r="G286" s="17" t="s">
        <v>24</v>
      </c>
      <c r="H286" s="18">
        <f>ROUND(RAND()*4+6,1)</f>
      </c>
      <c r="I286" s="17" t="s">
        <v>41</v>
      </c>
      <c r="J286" s="19">
        <f>ROUND(89*1,0)&amp;"%"</f>
      </c>
    </row>
    <row x14ac:dyDescent="0.25" r="287" customHeight="1" ht="17.25">
      <c r="A287" s="20" t="s">
        <v>4048</v>
      </c>
      <c r="B287" s="20" t="s">
        <v>468</v>
      </c>
      <c r="C287" s="20" t="s">
        <v>76</v>
      </c>
      <c r="D287" s="20" t="s">
        <v>67</v>
      </c>
      <c r="E287" s="21">
        <f>ROUND(7155*1.05,2)</f>
      </c>
      <c r="F287" s="20" t="s">
        <v>44</v>
      </c>
      <c r="G287" s="20" t="s">
        <v>30</v>
      </c>
      <c r="H287" s="21">
        <f>ROUND(RAND()*4+6,1)</f>
      </c>
      <c r="I287" s="20" t="s">
        <v>45</v>
      </c>
      <c r="J287" s="23">
        <f>ROUND(75*1,0)&amp;"%"</f>
      </c>
    </row>
    <row x14ac:dyDescent="0.25" r="288" customHeight="1" ht="17.25">
      <c r="A288" s="17" t="s">
        <v>4049</v>
      </c>
      <c r="B288" s="17" t="s">
        <v>470</v>
      </c>
      <c r="C288" s="17" t="s">
        <v>76</v>
      </c>
      <c r="D288" s="17" t="s">
        <v>16</v>
      </c>
      <c r="E288" s="18">
        <f>ROUND(15818*1.05,2)</f>
      </c>
      <c r="F288" s="17" t="s">
        <v>48</v>
      </c>
      <c r="G288" s="17" t="s">
        <v>18</v>
      </c>
      <c r="H288" s="18">
        <f>ROUND(RAND()*4+6,1)</f>
      </c>
      <c r="I288" s="17" t="s">
        <v>19</v>
      </c>
      <c r="J288" s="19">
        <f>ROUND(63*1,0)&amp;"%"</f>
      </c>
    </row>
    <row x14ac:dyDescent="0.25" r="289" customHeight="1" ht="17.25">
      <c r="A289" s="20" t="s">
        <v>4050</v>
      </c>
      <c r="B289" s="20" t="s">
        <v>472</v>
      </c>
      <c r="C289" s="20" t="s">
        <v>76</v>
      </c>
      <c r="D289" s="20" t="s">
        <v>22</v>
      </c>
      <c r="E289" s="21">
        <f>ROUND(17109*1.05,2)</f>
      </c>
      <c r="F289" s="20" t="s">
        <v>51</v>
      </c>
      <c r="G289" s="20" t="s">
        <v>24</v>
      </c>
      <c r="H289" s="21">
        <f>ROUND(RAND()*4+6,1)</f>
      </c>
      <c r="I289" s="20" t="s">
        <v>25</v>
      </c>
      <c r="J289" s="23">
        <f>ROUND(70*1,0)&amp;"%"</f>
      </c>
    </row>
    <row x14ac:dyDescent="0.25" r="290" customHeight="1" ht="17.25">
      <c r="A290" s="24" t="s">
        <v>473</v>
      </c>
      <c r="B290" s="24"/>
      <c r="C290" s="24"/>
      <c r="D290" s="24"/>
      <c r="E290" s="25">
        <v>8</v>
      </c>
      <c r="F290" s="9"/>
      <c r="G290" s="9"/>
      <c r="H290" s="31"/>
      <c r="I290" s="9"/>
      <c r="J290" s="9"/>
    </row>
    <row x14ac:dyDescent="0.25" r="291" customHeight="1" ht="17.25">
      <c r="A291" s="7"/>
      <c r="B291" s="7"/>
      <c r="C291" s="7"/>
      <c r="D291" s="7"/>
      <c r="E291" s="8"/>
      <c r="F291" s="9"/>
      <c r="G291" s="9"/>
      <c r="H291" s="31"/>
      <c r="I291" s="9"/>
      <c r="J291" s="9"/>
    </row>
    <row x14ac:dyDescent="0.25" r="292" customHeight="1" ht="17.25">
      <c r="A292" s="11" t="s">
        <v>4051</v>
      </c>
      <c r="B292" s="11"/>
      <c r="C292" s="11"/>
      <c r="D292" s="11"/>
      <c r="E292" s="12"/>
      <c r="F292" s="11"/>
      <c r="G292" s="11"/>
      <c r="H292" s="12"/>
      <c r="I292" s="11"/>
      <c r="J292" s="11"/>
    </row>
    <row x14ac:dyDescent="0.25" r="293" customHeight="1" ht="17.25">
      <c r="A293" s="14" t="s">
        <v>3</v>
      </c>
      <c r="B293" s="14" t="s">
        <v>4</v>
      </c>
      <c r="C293" s="14" t="s">
        <v>5</v>
      </c>
      <c r="D293" s="14" t="s">
        <v>6</v>
      </c>
      <c r="E293" s="15" t="s">
        <v>7</v>
      </c>
      <c r="F293" s="14" t="s">
        <v>8</v>
      </c>
      <c r="G293" s="14" t="s">
        <v>9</v>
      </c>
      <c r="H293" s="15" t="s">
        <v>10</v>
      </c>
      <c r="I293" s="14" t="s">
        <v>11</v>
      </c>
      <c r="J293" s="14" t="s">
        <v>12</v>
      </c>
    </row>
    <row x14ac:dyDescent="0.25" r="294" customHeight="1" ht="17.25">
      <c r="A294" s="17" t="s">
        <v>4052</v>
      </c>
      <c r="B294" s="17" t="s">
        <v>476</v>
      </c>
      <c r="C294" s="17" t="s">
        <v>95</v>
      </c>
      <c r="D294" s="17" t="s">
        <v>16</v>
      </c>
      <c r="E294" s="18">
        <f>ROUND(14669*1.05,2)</f>
      </c>
      <c r="F294" s="17" t="s">
        <v>17</v>
      </c>
      <c r="G294" s="17" t="s">
        <v>18</v>
      </c>
      <c r="H294" s="18">
        <f>ROUND(RAND()*4+6,1)</f>
      </c>
      <c r="I294" s="17" t="s">
        <v>19</v>
      </c>
      <c r="J294" s="19">
        <f>ROUND(79*1,0)&amp;"%"</f>
      </c>
    </row>
    <row x14ac:dyDescent="0.25" r="295" customHeight="1" ht="17.25">
      <c r="A295" s="20" t="s">
        <v>4053</v>
      </c>
      <c r="B295" s="20" t="s">
        <v>478</v>
      </c>
      <c r="C295" s="20" t="s">
        <v>95</v>
      </c>
      <c r="D295" s="20" t="s">
        <v>22</v>
      </c>
      <c r="E295" s="21">
        <f>ROUND(15941*1.05,2)</f>
      </c>
      <c r="F295" s="20" t="s">
        <v>23</v>
      </c>
      <c r="G295" s="20" t="s">
        <v>24</v>
      </c>
      <c r="H295" s="21">
        <f>ROUND(RAND()*4+6,1)</f>
      </c>
      <c r="I295" s="20" t="s">
        <v>25</v>
      </c>
      <c r="J295" s="23">
        <f>ROUND(93*1,0)&amp;"%"</f>
      </c>
    </row>
    <row x14ac:dyDescent="0.25" r="296" customHeight="1" ht="17.25">
      <c r="A296" s="17" t="s">
        <v>4054</v>
      </c>
      <c r="B296" s="17" t="s">
        <v>480</v>
      </c>
      <c r="C296" s="17" t="s">
        <v>95</v>
      </c>
      <c r="D296" s="17" t="s">
        <v>28</v>
      </c>
      <c r="E296" s="18">
        <f>ROUND(8286*1.05,2)</f>
      </c>
      <c r="F296" s="17" t="s">
        <v>29</v>
      </c>
      <c r="G296" s="17" t="s">
        <v>30</v>
      </c>
      <c r="H296" s="18">
        <f>ROUND(RAND()*4+6,1)</f>
      </c>
      <c r="I296" s="17" t="s">
        <v>31</v>
      </c>
      <c r="J296" s="19">
        <f>ROUND(77*1,0)&amp;"%"</f>
      </c>
    </row>
    <row x14ac:dyDescent="0.25" r="297" customHeight="1" ht="17.25">
      <c r="A297" s="20" t="s">
        <v>4055</v>
      </c>
      <c r="B297" s="20" t="s">
        <v>482</v>
      </c>
      <c r="C297" s="20" t="s">
        <v>95</v>
      </c>
      <c r="D297" s="20" t="s">
        <v>34</v>
      </c>
      <c r="E297" s="21">
        <f>ROUND(4419*1.05,2)</f>
      </c>
      <c r="F297" s="20" t="s">
        <v>35</v>
      </c>
      <c r="G297" s="20" t="s">
        <v>18</v>
      </c>
      <c r="H297" s="21">
        <f>ROUND(RAND()*4+6,1)</f>
      </c>
      <c r="I297" s="20" t="s">
        <v>36</v>
      </c>
      <c r="J297" s="23">
        <f>ROUND(96*1,0)&amp;"%"</f>
      </c>
    </row>
    <row x14ac:dyDescent="0.25" r="298" customHeight="1" ht="17.25">
      <c r="A298" s="17" t="s">
        <v>4056</v>
      </c>
      <c r="B298" s="17" t="s">
        <v>484</v>
      </c>
      <c r="C298" s="17" t="s">
        <v>95</v>
      </c>
      <c r="D298" s="17" t="s">
        <v>39</v>
      </c>
      <c r="E298" s="18">
        <f>ROUND(7629*1.05,2)</f>
      </c>
      <c r="F298" s="17" t="s">
        <v>40</v>
      </c>
      <c r="G298" s="17" t="s">
        <v>24</v>
      </c>
      <c r="H298" s="26">
        <f>ROUND(RAND()*4+6,1)</f>
      </c>
      <c r="I298" s="17" t="s">
        <v>41</v>
      </c>
      <c r="J298" s="19">
        <f>ROUND(69*1,0)&amp;"%"</f>
      </c>
    </row>
    <row x14ac:dyDescent="0.25" r="299" customHeight="1" ht="17.25">
      <c r="A299" s="20" t="s">
        <v>4057</v>
      </c>
      <c r="B299" s="20" t="s">
        <v>486</v>
      </c>
      <c r="C299" s="20" t="s">
        <v>95</v>
      </c>
      <c r="D299" s="20" t="s">
        <v>67</v>
      </c>
      <c r="E299" s="21">
        <f>ROUND(4895*1.05,2)</f>
      </c>
      <c r="F299" s="20" t="s">
        <v>44</v>
      </c>
      <c r="G299" s="20" t="s">
        <v>30</v>
      </c>
      <c r="H299" s="21">
        <f>ROUND(RAND()*4+6,1)</f>
      </c>
      <c r="I299" s="20" t="s">
        <v>45</v>
      </c>
      <c r="J299" s="23">
        <f>ROUND(92*1,0)&amp;"%"</f>
      </c>
    </row>
    <row x14ac:dyDescent="0.25" r="300" customHeight="1" ht="17.25">
      <c r="A300" s="17" t="s">
        <v>4058</v>
      </c>
      <c r="B300" s="17" t="s">
        <v>488</v>
      </c>
      <c r="C300" s="17" t="s">
        <v>95</v>
      </c>
      <c r="D300" s="17" t="s">
        <v>16</v>
      </c>
      <c r="E300" s="26">
        <f>ROUND(7860*1.05,2)</f>
      </c>
      <c r="F300" s="17" t="s">
        <v>48</v>
      </c>
      <c r="G300" s="17" t="s">
        <v>18</v>
      </c>
      <c r="H300" s="18">
        <f>ROUND(RAND()*4+6,1)</f>
      </c>
      <c r="I300" s="17" t="s">
        <v>19</v>
      </c>
      <c r="J300" s="19">
        <f>ROUND(86*1,0)&amp;"%"</f>
      </c>
    </row>
    <row x14ac:dyDescent="0.25" r="301" customHeight="1" ht="17.25">
      <c r="A301" s="20" t="s">
        <v>4059</v>
      </c>
      <c r="B301" s="20" t="s">
        <v>490</v>
      </c>
      <c r="C301" s="20" t="s">
        <v>95</v>
      </c>
      <c r="D301" s="20" t="s">
        <v>22</v>
      </c>
      <c r="E301" s="21">
        <f>ROUND(7952*1.05,2)</f>
      </c>
      <c r="F301" s="20" t="s">
        <v>51</v>
      </c>
      <c r="G301" s="20" t="s">
        <v>24</v>
      </c>
      <c r="H301" s="21">
        <f>ROUND(RAND()*4+6,1)</f>
      </c>
      <c r="I301" s="20" t="s">
        <v>25</v>
      </c>
      <c r="J301" s="23">
        <f>ROUND(73*1,0)&amp;"%"</f>
      </c>
    </row>
    <row x14ac:dyDescent="0.25" r="302" customHeight="1" ht="17.25">
      <c r="A302" s="24" t="s">
        <v>491</v>
      </c>
      <c r="B302" s="24"/>
      <c r="C302" s="24"/>
      <c r="D302" s="24"/>
      <c r="E302" s="25">
        <v>8</v>
      </c>
      <c r="F302" s="9"/>
      <c r="G302" s="9"/>
      <c r="H302" s="31"/>
      <c r="I302" s="9"/>
      <c r="J302" s="9"/>
    </row>
    <row x14ac:dyDescent="0.25" r="303" customHeight="1" ht="17.25">
      <c r="A303" s="7"/>
      <c r="B303" s="7"/>
      <c r="C303" s="7"/>
      <c r="D303" s="7"/>
      <c r="E303" s="8"/>
      <c r="F303" s="9"/>
      <c r="G303" s="9"/>
      <c r="H303" s="31"/>
      <c r="I303" s="9"/>
      <c r="J303" s="9"/>
    </row>
    <row x14ac:dyDescent="0.25" r="304" customHeight="1" ht="17.25">
      <c r="A304" s="11" t="s">
        <v>4060</v>
      </c>
      <c r="B304" s="11"/>
      <c r="C304" s="11"/>
      <c r="D304" s="11"/>
      <c r="E304" s="12"/>
      <c r="F304" s="11"/>
      <c r="G304" s="11"/>
      <c r="H304" s="12"/>
      <c r="I304" s="11"/>
      <c r="J304" s="11"/>
    </row>
    <row x14ac:dyDescent="0.25" r="305" customHeight="1" ht="17.25">
      <c r="A305" s="14" t="s">
        <v>3</v>
      </c>
      <c r="B305" s="14" t="s">
        <v>4</v>
      </c>
      <c r="C305" s="14" t="s">
        <v>5</v>
      </c>
      <c r="D305" s="14" t="s">
        <v>6</v>
      </c>
      <c r="E305" s="15" t="s">
        <v>7</v>
      </c>
      <c r="F305" s="14" t="s">
        <v>8</v>
      </c>
      <c r="G305" s="14" t="s">
        <v>9</v>
      </c>
      <c r="H305" s="15" t="s">
        <v>10</v>
      </c>
      <c r="I305" s="14" t="s">
        <v>11</v>
      </c>
      <c r="J305" s="14" t="s">
        <v>12</v>
      </c>
    </row>
    <row x14ac:dyDescent="0.25" r="306" customHeight="1" ht="17.25">
      <c r="A306" s="17" t="s">
        <v>4061</v>
      </c>
      <c r="B306" s="17" t="s">
        <v>494</v>
      </c>
      <c r="C306" s="17" t="s">
        <v>114</v>
      </c>
      <c r="D306" s="17" t="s">
        <v>16</v>
      </c>
      <c r="E306" s="18">
        <f>ROUND(15629*1.05,2)</f>
      </c>
      <c r="F306" s="17" t="s">
        <v>17</v>
      </c>
      <c r="G306" s="17" t="s">
        <v>18</v>
      </c>
      <c r="H306" s="18">
        <f>ROUND(RAND()*4+6,1)</f>
      </c>
      <c r="I306" s="17" t="s">
        <v>19</v>
      </c>
      <c r="J306" s="19">
        <f>ROUND(75*1,0)&amp;"%"</f>
      </c>
    </row>
    <row x14ac:dyDescent="0.25" r="307" customHeight="1" ht="17.25">
      <c r="A307" s="20" t="s">
        <v>4062</v>
      </c>
      <c r="B307" s="20" t="s">
        <v>496</v>
      </c>
      <c r="C307" s="20" t="s">
        <v>114</v>
      </c>
      <c r="D307" s="20" t="s">
        <v>22</v>
      </c>
      <c r="E307" s="21">
        <f>ROUND(6309*1.05,2)</f>
      </c>
      <c r="F307" s="20" t="s">
        <v>23</v>
      </c>
      <c r="G307" s="20" t="s">
        <v>24</v>
      </c>
      <c r="H307" s="21">
        <f>ROUND(RAND()*4+6,1)</f>
      </c>
      <c r="I307" s="20" t="s">
        <v>25</v>
      </c>
      <c r="J307" s="23">
        <f>ROUND(65*1,0)&amp;"%"</f>
      </c>
    </row>
    <row x14ac:dyDescent="0.25" r="308" customHeight="1" ht="17.25">
      <c r="A308" s="17" t="s">
        <v>4063</v>
      </c>
      <c r="B308" s="17" t="s">
        <v>498</v>
      </c>
      <c r="C308" s="17" t="s">
        <v>114</v>
      </c>
      <c r="D308" s="17" t="s">
        <v>28</v>
      </c>
      <c r="E308" s="18">
        <f>ROUND(6048*1.05,2)</f>
      </c>
      <c r="F308" s="17" t="s">
        <v>29</v>
      </c>
      <c r="G308" s="17" t="s">
        <v>30</v>
      </c>
      <c r="H308" s="18">
        <f>ROUND(RAND()*4+6,1)</f>
      </c>
      <c r="I308" s="17" t="s">
        <v>31</v>
      </c>
      <c r="J308" s="19">
        <f>ROUND(88*1,0)&amp;"%"</f>
      </c>
    </row>
    <row x14ac:dyDescent="0.25" r="309" customHeight="1" ht="17.25">
      <c r="A309" s="20" t="s">
        <v>4064</v>
      </c>
      <c r="B309" s="20" t="s">
        <v>500</v>
      </c>
      <c r="C309" s="20" t="s">
        <v>114</v>
      </c>
      <c r="D309" s="20" t="s">
        <v>34</v>
      </c>
      <c r="E309" s="21">
        <f>ROUND(12790*1.05,2)</f>
      </c>
      <c r="F309" s="20" t="s">
        <v>35</v>
      </c>
      <c r="G309" s="20" t="s">
        <v>18</v>
      </c>
      <c r="H309" s="21">
        <f>ROUND(RAND()*4+6,1)</f>
      </c>
      <c r="I309" s="20" t="s">
        <v>36</v>
      </c>
      <c r="J309" s="23">
        <f>ROUND(65*1,0)&amp;"%"</f>
      </c>
    </row>
    <row x14ac:dyDescent="0.25" r="310" customHeight="1" ht="17.25">
      <c r="A310" s="17" t="s">
        <v>4065</v>
      </c>
      <c r="B310" s="17" t="s">
        <v>502</v>
      </c>
      <c r="C310" s="17" t="s">
        <v>114</v>
      </c>
      <c r="D310" s="17" t="s">
        <v>39</v>
      </c>
      <c r="E310" s="18">
        <f>ROUND(6791*1.05,2)</f>
      </c>
      <c r="F310" s="17" t="s">
        <v>40</v>
      </c>
      <c r="G310" s="17" t="s">
        <v>24</v>
      </c>
      <c r="H310" s="18">
        <f>ROUND(RAND()*4+6,1)</f>
      </c>
      <c r="I310" s="17" t="s">
        <v>41</v>
      </c>
      <c r="J310" s="19">
        <f>ROUND(72*1,0)&amp;"%"</f>
      </c>
    </row>
    <row x14ac:dyDescent="0.25" r="311" customHeight="1" ht="17.25">
      <c r="A311" s="20" t="s">
        <v>4066</v>
      </c>
      <c r="B311" s="20" t="s">
        <v>504</v>
      </c>
      <c r="C311" s="20" t="s">
        <v>114</v>
      </c>
      <c r="D311" s="20" t="s">
        <v>67</v>
      </c>
      <c r="E311" s="21">
        <f>ROUND(6648*1.05,2)</f>
      </c>
      <c r="F311" s="20" t="s">
        <v>44</v>
      </c>
      <c r="G311" s="20" t="s">
        <v>30</v>
      </c>
      <c r="H311" s="21">
        <f>ROUND(RAND()*4+6,1)</f>
      </c>
      <c r="I311" s="20" t="s">
        <v>45</v>
      </c>
      <c r="J311" s="23">
        <f>ROUND(81*1,0)&amp;"%"</f>
      </c>
    </row>
    <row x14ac:dyDescent="0.25" r="312" customHeight="1" ht="17.25">
      <c r="A312" s="17" t="s">
        <v>4067</v>
      </c>
      <c r="B312" s="17" t="s">
        <v>506</v>
      </c>
      <c r="C312" s="17" t="s">
        <v>114</v>
      </c>
      <c r="D312" s="17" t="s">
        <v>16</v>
      </c>
      <c r="E312" s="18">
        <f>ROUND(5381*1.05,2)</f>
      </c>
      <c r="F312" s="17" t="s">
        <v>48</v>
      </c>
      <c r="G312" s="17" t="s">
        <v>18</v>
      </c>
      <c r="H312" s="18">
        <f>ROUND(RAND()*4+6,1)</f>
      </c>
      <c r="I312" s="17" t="s">
        <v>19</v>
      </c>
      <c r="J312" s="19">
        <f>ROUND(74*1,0)&amp;"%"</f>
      </c>
    </row>
    <row x14ac:dyDescent="0.25" r="313" customHeight="1" ht="17.25">
      <c r="A313" s="20" t="s">
        <v>4068</v>
      </c>
      <c r="B313" s="20" t="s">
        <v>508</v>
      </c>
      <c r="C313" s="20" t="s">
        <v>114</v>
      </c>
      <c r="D313" s="20" t="s">
        <v>22</v>
      </c>
      <c r="E313" s="21">
        <f>ROUND(10426*1.05,2)</f>
      </c>
      <c r="F313" s="20" t="s">
        <v>51</v>
      </c>
      <c r="G313" s="20" t="s">
        <v>24</v>
      </c>
      <c r="H313" s="21">
        <f>ROUND(RAND()*4+6,1)</f>
      </c>
      <c r="I313" s="20" t="s">
        <v>25</v>
      </c>
      <c r="J313" s="23">
        <f>ROUND(68*1,0)&amp;"%"</f>
      </c>
    </row>
    <row x14ac:dyDescent="0.25" r="314" customHeight="1" ht="17.25">
      <c r="A314" s="24" t="s">
        <v>509</v>
      </c>
      <c r="B314" s="24"/>
      <c r="C314" s="24"/>
      <c r="D314" s="24"/>
      <c r="E314" s="25">
        <v>8</v>
      </c>
      <c r="F314" s="9"/>
      <c r="G314" s="9"/>
      <c r="H314" s="31"/>
      <c r="I314" s="9"/>
      <c r="J314" s="9"/>
    </row>
    <row x14ac:dyDescent="0.25" r="315" customHeight="1" ht="17.25">
      <c r="A315" s="7"/>
      <c r="B315" s="7"/>
      <c r="C315" s="7"/>
      <c r="D315" s="7"/>
      <c r="E315" s="8"/>
      <c r="F315" s="9"/>
      <c r="G315" s="9"/>
      <c r="H315" s="31"/>
      <c r="I315" s="9"/>
      <c r="J315" s="9"/>
    </row>
    <row x14ac:dyDescent="0.25" r="316" customHeight="1" ht="17.25">
      <c r="A316" s="11" t="s">
        <v>4069</v>
      </c>
      <c r="B316" s="11"/>
      <c r="C316" s="11"/>
      <c r="D316" s="11"/>
      <c r="E316" s="12"/>
      <c r="F316" s="11"/>
      <c r="G316" s="11"/>
      <c r="H316" s="12"/>
      <c r="I316" s="11"/>
      <c r="J316" s="11"/>
    </row>
    <row x14ac:dyDescent="0.25" r="317" customHeight="1" ht="17.25">
      <c r="A317" s="14" t="s">
        <v>3</v>
      </c>
      <c r="B317" s="14" t="s">
        <v>4</v>
      </c>
      <c r="C317" s="14" t="s">
        <v>5</v>
      </c>
      <c r="D317" s="14" t="s">
        <v>6</v>
      </c>
      <c r="E317" s="15" t="s">
        <v>7</v>
      </c>
      <c r="F317" s="14" t="s">
        <v>8</v>
      </c>
      <c r="G317" s="14" t="s">
        <v>9</v>
      </c>
      <c r="H317" s="15" t="s">
        <v>10</v>
      </c>
      <c r="I317" s="14" t="s">
        <v>11</v>
      </c>
      <c r="J317" s="14" t="s">
        <v>12</v>
      </c>
    </row>
    <row x14ac:dyDescent="0.25" r="318" customHeight="1" ht="17.25">
      <c r="A318" s="17" t="s">
        <v>4070</v>
      </c>
      <c r="B318" s="17" t="s">
        <v>512</v>
      </c>
      <c r="C318" s="17" t="s">
        <v>133</v>
      </c>
      <c r="D318" s="17" t="s">
        <v>16</v>
      </c>
      <c r="E318" s="26">
        <f>ROUND(13020*1.05,2)</f>
      </c>
      <c r="F318" s="17" t="s">
        <v>17</v>
      </c>
      <c r="G318" s="17" t="s">
        <v>18</v>
      </c>
      <c r="H318" s="18">
        <f>ROUND(RAND()*4+6,1)</f>
      </c>
      <c r="I318" s="17" t="s">
        <v>19</v>
      </c>
      <c r="J318" s="19">
        <f>ROUND(66*1,0)&amp;"%"</f>
      </c>
    </row>
    <row x14ac:dyDescent="0.25" r="319" customHeight="1" ht="17.25">
      <c r="A319" s="20" t="s">
        <v>4071</v>
      </c>
      <c r="B319" s="20" t="s">
        <v>514</v>
      </c>
      <c r="C319" s="20" t="s">
        <v>133</v>
      </c>
      <c r="D319" s="20" t="s">
        <v>22</v>
      </c>
      <c r="E319" s="21">
        <f>ROUND(9414*1.05,2)</f>
      </c>
      <c r="F319" s="20" t="s">
        <v>23</v>
      </c>
      <c r="G319" s="20" t="s">
        <v>24</v>
      </c>
      <c r="H319" s="21">
        <f>ROUND(RAND()*4+6,1)</f>
      </c>
      <c r="I319" s="20" t="s">
        <v>25</v>
      </c>
      <c r="J319" s="23">
        <f>ROUND(87*1,0)&amp;"%"</f>
      </c>
    </row>
    <row x14ac:dyDescent="0.25" r="320" customHeight="1" ht="17.25">
      <c r="A320" s="17" t="s">
        <v>4072</v>
      </c>
      <c r="B320" s="17" t="s">
        <v>516</v>
      </c>
      <c r="C320" s="17" t="s">
        <v>133</v>
      </c>
      <c r="D320" s="17" t="s">
        <v>28</v>
      </c>
      <c r="E320" s="26">
        <f>ROUND(17300*1.05,2)</f>
      </c>
      <c r="F320" s="17" t="s">
        <v>29</v>
      </c>
      <c r="G320" s="17" t="s">
        <v>30</v>
      </c>
      <c r="H320" s="18">
        <f>ROUND(RAND()*4+6,1)</f>
      </c>
      <c r="I320" s="17" t="s">
        <v>31</v>
      </c>
      <c r="J320" s="19">
        <f>ROUND(71*1,0)&amp;"%"</f>
      </c>
    </row>
    <row x14ac:dyDescent="0.25" r="321" customHeight="1" ht="17.25">
      <c r="A321" s="20" t="s">
        <v>4073</v>
      </c>
      <c r="B321" s="20" t="s">
        <v>518</v>
      </c>
      <c r="C321" s="20" t="s">
        <v>133</v>
      </c>
      <c r="D321" s="20" t="s">
        <v>34</v>
      </c>
      <c r="E321" s="21">
        <f>ROUND(5722*1.05,2)</f>
      </c>
      <c r="F321" s="20" t="s">
        <v>35</v>
      </c>
      <c r="G321" s="20" t="s">
        <v>18</v>
      </c>
      <c r="H321" s="21">
        <f>ROUND(RAND()*4+6,1)</f>
      </c>
      <c r="I321" s="20" t="s">
        <v>36</v>
      </c>
      <c r="J321" s="23">
        <f>ROUND(86*1,0)&amp;"%"</f>
      </c>
    </row>
    <row x14ac:dyDescent="0.25" r="322" customHeight="1" ht="17.25">
      <c r="A322" s="17" t="s">
        <v>4074</v>
      </c>
      <c r="B322" s="17" t="s">
        <v>520</v>
      </c>
      <c r="C322" s="17" t="s">
        <v>133</v>
      </c>
      <c r="D322" s="17" t="s">
        <v>39</v>
      </c>
      <c r="E322" s="18">
        <f>ROUND(12633*1.05,2)</f>
      </c>
      <c r="F322" s="17" t="s">
        <v>40</v>
      </c>
      <c r="G322" s="17" t="s">
        <v>24</v>
      </c>
      <c r="H322" s="18">
        <f>ROUND(RAND()*4+6,1)</f>
      </c>
      <c r="I322" s="17" t="s">
        <v>41</v>
      </c>
      <c r="J322" s="19">
        <f>ROUND(71*1,0)&amp;"%"</f>
      </c>
    </row>
    <row x14ac:dyDescent="0.25" r="323" customHeight="1" ht="17.25">
      <c r="A323" s="20" t="s">
        <v>4075</v>
      </c>
      <c r="B323" s="20" t="s">
        <v>522</v>
      </c>
      <c r="C323" s="20" t="s">
        <v>133</v>
      </c>
      <c r="D323" s="20" t="s">
        <v>67</v>
      </c>
      <c r="E323" s="21">
        <f>ROUND(7863*1.05,2)</f>
      </c>
      <c r="F323" s="20" t="s">
        <v>44</v>
      </c>
      <c r="G323" s="20" t="s">
        <v>30</v>
      </c>
      <c r="H323" s="21">
        <f>ROUND(RAND()*4+6,1)</f>
      </c>
      <c r="I323" s="20" t="s">
        <v>45</v>
      </c>
      <c r="J323" s="23">
        <f>ROUND(98*1,0)&amp;"%"</f>
      </c>
    </row>
    <row x14ac:dyDescent="0.25" r="324" customHeight="1" ht="17.25">
      <c r="A324" s="17" t="s">
        <v>4076</v>
      </c>
      <c r="B324" s="17" t="s">
        <v>524</v>
      </c>
      <c r="C324" s="17" t="s">
        <v>133</v>
      </c>
      <c r="D324" s="17" t="s">
        <v>16</v>
      </c>
      <c r="E324" s="18">
        <f>ROUND(4297*1.05,2)</f>
      </c>
      <c r="F324" s="17" t="s">
        <v>48</v>
      </c>
      <c r="G324" s="17" t="s">
        <v>18</v>
      </c>
      <c r="H324" s="26">
        <f>ROUND(RAND()*4+6,1)</f>
      </c>
      <c r="I324" s="17" t="s">
        <v>19</v>
      </c>
      <c r="J324" s="19">
        <f>ROUND(94*1,0)&amp;"%"</f>
      </c>
    </row>
    <row x14ac:dyDescent="0.25" r="325" customHeight="1" ht="17.25">
      <c r="A325" s="20" t="s">
        <v>4077</v>
      </c>
      <c r="B325" s="20" t="s">
        <v>526</v>
      </c>
      <c r="C325" s="20" t="s">
        <v>133</v>
      </c>
      <c r="D325" s="20" t="s">
        <v>22</v>
      </c>
      <c r="E325" s="21">
        <f>ROUND(13552*1.05,2)</f>
      </c>
      <c r="F325" s="20" t="s">
        <v>51</v>
      </c>
      <c r="G325" s="20" t="s">
        <v>24</v>
      </c>
      <c r="H325" s="21">
        <f>ROUND(RAND()*4+6,1)</f>
      </c>
      <c r="I325" s="20" t="s">
        <v>25</v>
      </c>
      <c r="J325" s="23">
        <f>ROUND(83*1,0)&amp;"%"</f>
      </c>
    </row>
    <row x14ac:dyDescent="0.25" r="326" customHeight="1" ht="17.25">
      <c r="A326" s="24" t="s">
        <v>527</v>
      </c>
      <c r="B326" s="24"/>
      <c r="C326" s="24"/>
      <c r="D326" s="24"/>
      <c r="E326" s="25">
        <v>8</v>
      </c>
      <c r="F326" s="9"/>
      <c r="G326" s="9"/>
      <c r="H326" s="31"/>
      <c r="I326" s="9"/>
      <c r="J326" s="9"/>
    </row>
    <row x14ac:dyDescent="0.25" r="327" customHeight="1" ht="17.25">
      <c r="A327" s="7"/>
      <c r="B327" s="7"/>
      <c r="C327" s="7"/>
      <c r="D327" s="7"/>
      <c r="E327" s="8"/>
      <c r="F327" s="9"/>
      <c r="G327" s="9"/>
      <c r="H327" s="31"/>
      <c r="I327" s="9"/>
      <c r="J327" s="9"/>
    </row>
    <row x14ac:dyDescent="0.25" r="328" customHeight="1" ht="17.25">
      <c r="A328" s="11" t="s">
        <v>4078</v>
      </c>
      <c r="B328" s="11"/>
      <c r="C328" s="11"/>
      <c r="D328" s="11"/>
      <c r="E328" s="12"/>
      <c r="F328" s="11"/>
      <c r="G328" s="11"/>
      <c r="H328" s="12"/>
      <c r="I328" s="11"/>
      <c r="J328" s="11"/>
    </row>
    <row x14ac:dyDescent="0.25" r="329" customHeight="1" ht="17.25">
      <c r="A329" s="14" t="s">
        <v>3</v>
      </c>
      <c r="B329" s="14" t="s">
        <v>4</v>
      </c>
      <c r="C329" s="14" t="s">
        <v>5</v>
      </c>
      <c r="D329" s="14" t="s">
        <v>6</v>
      </c>
      <c r="E329" s="15" t="s">
        <v>7</v>
      </c>
      <c r="F329" s="14" t="s">
        <v>8</v>
      </c>
      <c r="G329" s="14" t="s">
        <v>9</v>
      </c>
      <c r="H329" s="15" t="s">
        <v>10</v>
      </c>
      <c r="I329" s="14" t="s">
        <v>11</v>
      </c>
      <c r="J329" s="14" t="s">
        <v>12</v>
      </c>
    </row>
    <row x14ac:dyDescent="0.25" r="330" customHeight="1" ht="17.25">
      <c r="A330" s="17" t="s">
        <v>4079</v>
      </c>
      <c r="B330" s="17" t="s">
        <v>530</v>
      </c>
      <c r="C330" s="17" t="s">
        <v>152</v>
      </c>
      <c r="D330" s="17" t="s">
        <v>16</v>
      </c>
      <c r="E330" s="18">
        <f>ROUND(15819*1.05,2)</f>
      </c>
      <c r="F330" s="17" t="s">
        <v>17</v>
      </c>
      <c r="G330" s="17" t="s">
        <v>18</v>
      </c>
      <c r="H330" s="26">
        <f>ROUND(RAND()*4+6,1)</f>
      </c>
      <c r="I330" s="17" t="s">
        <v>19</v>
      </c>
      <c r="J330" s="19">
        <f>ROUND(87*1,0)&amp;"%"</f>
      </c>
    </row>
    <row x14ac:dyDescent="0.25" r="331" customHeight="1" ht="17.25">
      <c r="A331" s="20" t="s">
        <v>4080</v>
      </c>
      <c r="B331" s="20" t="s">
        <v>532</v>
      </c>
      <c r="C331" s="20" t="s">
        <v>152</v>
      </c>
      <c r="D331" s="20" t="s">
        <v>22</v>
      </c>
      <c r="E331" s="21">
        <f>ROUND(6857*1.05,2)</f>
      </c>
      <c r="F331" s="20" t="s">
        <v>23</v>
      </c>
      <c r="G331" s="20" t="s">
        <v>24</v>
      </c>
      <c r="H331" s="21">
        <f>ROUND(RAND()*4+6,1)</f>
      </c>
      <c r="I331" s="20" t="s">
        <v>25</v>
      </c>
      <c r="J331" s="23">
        <f>ROUND(93*1,0)&amp;"%"</f>
      </c>
    </row>
    <row x14ac:dyDescent="0.25" r="332" customHeight="1" ht="17.25">
      <c r="A332" s="17" t="s">
        <v>4081</v>
      </c>
      <c r="B332" s="17" t="s">
        <v>534</v>
      </c>
      <c r="C332" s="17" t="s">
        <v>152</v>
      </c>
      <c r="D332" s="17" t="s">
        <v>28</v>
      </c>
      <c r="E332" s="18">
        <f>ROUND(9052*1.05,2)</f>
      </c>
      <c r="F332" s="17" t="s">
        <v>29</v>
      </c>
      <c r="G332" s="17" t="s">
        <v>30</v>
      </c>
      <c r="H332" s="18">
        <f>ROUND(RAND()*4+6,1)</f>
      </c>
      <c r="I332" s="17" t="s">
        <v>31</v>
      </c>
      <c r="J332" s="19">
        <f>ROUND(89*1,0)&amp;"%"</f>
      </c>
    </row>
    <row x14ac:dyDescent="0.25" r="333" customHeight="1" ht="17.25">
      <c r="A333" s="20" t="s">
        <v>4082</v>
      </c>
      <c r="B333" s="20" t="s">
        <v>536</v>
      </c>
      <c r="C333" s="20" t="s">
        <v>152</v>
      </c>
      <c r="D333" s="20" t="s">
        <v>34</v>
      </c>
      <c r="E333" s="21">
        <f>ROUND(5661*1.05,2)</f>
      </c>
      <c r="F333" s="20" t="s">
        <v>35</v>
      </c>
      <c r="G333" s="20" t="s">
        <v>18</v>
      </c>
      <c r="H333" s="21">
        <f>ROUND(RAND()*4+6,1)</f>
      </c>
      <c r="I333" s="20" t="s">
        <v>36</v>
      </c>
      <c r="J333" s="23">
        <f>ROUND(71*1,0)&amp;"%"</f>
      </c>
    </row>
    <row x14ac:dyDescent="0.25" r="334" customHeight="1" ht="17.25">
      <c r="A334" s="17" t="s">
        <v>4083</v>
      </c>
      <c r="B334" s="17" t="s">
        <v>538</v>
      </c>
      <c r="C334" s="17" t="s">
        <v>152</v>
      </c>
      <c r="D334" s="17" t="s">
        <v>39</v>
      </c>
      <c r="E334" s="18">
        <f>ROUND(11014*1.05,2)</f>
      </c>
      <c r="F334" s="17" t="s">
        <v>40</v>
      </c>
      <c r="G334" s="17" t="s">
        <v>24</v>
      </c>
      <c r="H334" s="18">
        <f>ROUND(RAND()*4+6,1)</f>
      </c>
      <c r="I334" s="17" t="s">
        <v>41</v>
      </c>
      <c r="J334" s="19">
        <f>ROUND(99*1,0)&amp;"%"</f>
      </c>
    </row>
    <row x14ac:dyDescent="0.25" r="335" customHeight="1" ht="17.25">
      <c r="A335" s="20" t="s">
        <v>4084</v>
      </c>
      <c r="B335" s="20" t="s">
        <v>540</v>
      </c>
      <c r="C335" s="20" t="s">
        <v>152</v>
      </c>
      <c r="D335" s="20" t="s">
        <v>67</v>
      </c>
      <c r="E335" s="21">
        <f>ROUND(13451*1.05,2)</f>
      </c>
      <c r="F335" s="20" t="s">
        <v>44</v>
      </c>
      <c r="G335" s="20" t="s">
        <v>30</v>
      </c>
      <c r="H335" s="21">
        <f>ROUND(RAND()*4+6,1)</f>
      </c>
      <c r="I335" s="20" t="s">
        <v>45</v>
      </c>
      <c r="J335" s="23">
        <f>ROUND(77*1,0)&amp;"%"</f>
      </c>
    </row>
    <row x14ac:dyDescent="0.25" r="336" customHeight="1" ht="17.25">
      <c r="A336" s="17" t="s">
        <v>4085</v>
      </c>
      <c r="B336" s="17" t="s">
        <v>542</v>
      </c>
      <c r="C336" s="17" t="s">
        <v>152</v>
      </c>
      <c r="D336" s="17" t="s">
        <v>16</v>
      </c>
      <c r="E336" s="18">
        <f>ROUND(12317*1.05,2)</f>
      </c>
      <c r="F336" s="17" t="s">
        <v>48</v>
      </c>
      <c r="G336" s="17" t="s">
        <v>18</v>
      </c>
      <c r="H336" s="26">
        <f>ROUND(RAND()*4+6,1)</f>
      </c>
      <c r="I336" s="17" t="s">
        <v>19</v>
      </c>
      <c r="J336" s="19">
        <f>ROUND(68*1,0)&amp;"%"</f>
      </c>
    </row>
    <row x14ac:dyDescent="0.25" r="337" customHeight="1" ht="17.25">
      <c r="A337" s="20" t="s">
        <v>4086</v>
      </c>
      <c r="B337" s="20" t="s">
        <v>544</v>
      </c>
      <c r="C337" s="20" t="s">
        <v>152</v>
      </c>
      <c r="D337" s="20" t="s">
        <v>22</v>
      </c>
      <c r="E337" s="21">
        <f>ROUND(16934*1.05,2)</f>
      </c>
      <c r="F337" s="20" t="s">
        <v>51</v>
      </c>
      <c r="G337" s="20" t="s">
        <v>24</v>
      </c>
      <c r="H337" s="21">
        <f>ROUND(RAND()*4+6,1)</f>
      </c>
      <c r="I337" s="20" t="s">
        <v>25</v>
      </c>
      <c r="J337" s="23">
        <f>ROUND(62*1,0)&amp;"%"</f>
      </c>
    </row>
    <row x14ac:dyDescent="0.25" r="338" customHeight="1" ht="17.25">
      <c r="A338" s="24" t="s">
        <v>545</v>
      </c>
      <c r="B338" s="24"/>
      <c r="C338" s="24"/>
      <c r="D338" s="24"/>
      <c r="E338" s="25">
        <v>8</v>
      </c>
      <c r="F338" s="9"/>
      <c r="G338" s="9"/>
      <c r="H338" s="31"/>
      <c r="I338" s="9"/>
      <c r="J338" s="9"/>
    </row>
    <row x14ac:dyDescent="0.25" r="339" customHeight="1" ht="17.25">
      <c r="A339" s="7"/>
      <c r="B339" s="7"/>
      <c r="C339" s="7"/>
      <c r="D339" s="7"/>
      <c r="E339" s="8"/>
      <c r="F339" s="9"/>
      <c r="G339" s="9"/>
      <c r="H339" s="31"/>
      <c r="I339" s="9"/>
      <c r="J339" s="9"/>
    </row>
    <row x14ac:dyDescent="0.25" r="340" customHeight="1" ht="17.25">
      <c r="A340" s="11" t="s">
        <v>4087</v>
      </c>
      <c r="B340" s="11"/>
      <c r="C340" s="11"/>
      <c r="D340" s="11"/>
      <c r="E340" s="12"/>
      <c r="F340" s="11"/>
      <c r="G340" s="11"/>
      <c r="H340" s="12"/>
      <c r="I340" s="11"/>
      <c r="J340" s="11"/>
    </row>
    <row x14ac:dyDescent="0.25" r="341" customHeight="1" ht="17.25">
      <c r="A341" s="14" t="s">
        <v>3</v>
      </c>
      <c r="B341" s="14" t="s">
        <v>4</v>
      </c>
      <c r="C341" s="14" t="s">
        <v>5</v>
      </c>
      <c r="D341" s="14" t="s">
        <v>6</v>
      </c>
      <c r="E341" s="15" t="s">
        <v>7</v>
      </c>
      <c r="F341" s="14" t="s">
        <v>8</v>
      </c>
      <c r="G341" s="14" t="s">
        <v>9</v>
      </c>
      <c r="H341" s="15" t="s">
        <v>10</v>
      </c>
      <c r="I341" s="14" t="s">
        <v>11</v>
      </c>
      <c r="J341" s="14" t="s">
        <v>12</v>
      </c>
    </row>
    <row x14ac:dyDescent="0.25" r="342" customHeight="1" ht="17.25">
      <c r="A342" s="17" t="s">
        <v>4088</v>
      </c>
      <c r="B342" s="17" t="s">
        <v>548</v>
      </c>
      <c r="C342" s="17" t="s">
        <v>15</v>
      </c>
      <c r="D342" s="17" t="s">
        <v>16</v>
      </c>
      <c r="E342" s="18">
        <f>ROUND(10629*1.05,2)</f>
      </c>
      <c r="F342" s="17" t="s">
        <v>17</v>
      </c>
      <c r="G342" s="17" t="s">
        <v>18</v>
      </c>
      <c r="H342" s="18">
        <f>ROUND(RAND()*4+6,1)</f>
      </c>
      <c r="I342" s="17" t="s">
        <v>19</v>
      </c>
      <c r="J342" s="19">
        <f>ROUND(95*1,0)&amp;"%"</f>
      </c>
    </row>
    <row x14ac:dyDescent="0.25" r="343" customHeight="1" ht="17.25">
      <c r="A343" s="20" t="s">
        <v>4089</v>
      </c>
      <c r="B343" s="20" t="s">
        <v>550</v>
      </c>
      <c r="C343" s="20" t="s">
        <v>15</v>
      </c>
      <c r="D343" s="20" t="s">
        <v>22</v>
      </c>
      <c r="E343" s="21">
        <f>ROUND(17308*1.05,2)</f>
      </c>
      <c r="F343" s="20" t="s">
        <v>23</v>
      </c>
      <c r="G343" s="20" t="s">
        <v>24</v>
      </c>
      <c r="H343" s="21">
        <f>ROUND(RAND()*4+6,1)</f>
      </c>
      <c r="I343" s="20" t="s">
        <v>25</v>
      </c>
      <c r="J343" s="23">
        <f>ROUND(76*1,0)&amp;"%"</f>
      </c>
    </row>
    <row x14ac:dyDescent="0.25" r="344" customHeight="1" ht="17.25">
      <c r="A344" s="17" t="s">
        <v>4090</v>
      </c>
      <c r="B344" s="17" t="s">
        <v>552</v>
      </c>
      <c r="C344" s="17" t="s">
        <v>15</v>
      </c>
      <c r="D344" s="17" t="s">
        <v>28</v>
      </c>
      <c r="E344" s="18">
        <f>ROUND(13308*1.05,2)</f>
      </c>
      <c r="F344" s="17" t="s">
        <v>29</v>
      </c>
      <c r="G344" s="17" t="s">
        <v>30</v>
      </c>
      <c r="H344" s="18">
        <f>ROUND(RAND()*4+6,1)</f>
      </c>
      <c r="I344" s="17" t="s">
        <v>31</v>
      </c>
      <c r="J344" s="19">
        <f>ROUND(83*1,0)&amp;"%"</f>
      </c>
    </row>
    <row x14ac:dyDescent="0.25" r="345" customHeight="1" ht="17.25">
      <c r="A345" s="20" t="s">
        <v>4091</v>
      </c>
      <c r="B345" s="20" t="s">
        <v>554</v>
      </c>
      <c r="C345" s="20" t="s">
        <v>15</v>
      </c>
      <c r="D345" s="20" t="s">
        <v>34</v>
      </c>
      <c r="E345" s="22">
        <f>ROUND(9480*1.05,2)</f>
      </c>
      <c r="F345" s="20" t="s">
        <v>35</v>
      </c>
      <c r="G345" s="20" t="s">
        <v>18</v>
      </c>
      <c r="H345" s="21">
        <f>ROUND(RAND()*4+6,1)</f>
      </c>
      <c r="I345" s="20" t="s">
        <v>36</v>
      </c>
      <c r="J345" s="23">
        <f>ROUND(87*1,0)&amp;"%"</f>
      </c>
    </row>
    <row x14ac:dyDescent="0.25" r="346" customHeight="1" ht="17.25">
      <c r="A346" s="17" t="s">
        <v>4092</v>
      </c>
      <c r="B346" s="17" t="s">
        <v>556</v>
      </c>
      <c r="C346" s="17" t="s">
        <v>15</v>
      </c>
      <c r="D346" s="17" t="s">
        <v>39</v>
      </c>
      <c r="E346" s="18">
        <f>ROUND(12223*1.05,2)</f>
      </c>
      <c r="F346" s="17" t="s">
        <v>40</v>
      </c>
      <c r="G346" s="17" t="s">
        <v>24</v>
      </c>
      <c r="H346" s="18">
        <f>ROUND(RAND()*4+6,1)</f>
      </c>
      <c r="I346" s="17" t="s">
        <v>41</v>
      </c>
      <c r="J346" s="19">
        <f>ROUND(97*1,0)&amp;"%"</f>
      </c>
    </row>
    <row x14ac:dyDescent="0.25" r="347" customHeight="1" ht="17.25">
      <c r="A347" s="20" t="s">
        <v>4093</v>
      </c>
      <c r="B347" s="20" t="s">
        <v>558</v>
      </c>
      <c r="C347" s="20" t="s">
        <v>15</v>
      </c>
      <c r="D347" s="20" t="s">
        <v>67</v>
      </c>
      <c r="E347" s="21">
        <f>ROUND(15574*1.05,2)</f>
      </c>
      <c r="F347" s="20" t="s">
        <v>44</v>
      </c>
      <c r="G347" s="20" t="s">
        <v>30</v>
      </c>
      <c r="H347" s="21">
        <f>ROUND(RAND()*4+6,1)</f>
      </c>
      <c r="I347" s="20" t="s">
        <v>45</v>
      </c>
      <c r="J347" s="23">
        <f>ROUND(68*1,0)&amp;"%"</f>
      </c>
    </row>
    <row x14ac:dyDescent="0.25" r="348" customHeight="1" ht="17.25">
      <c r="A348" s="17" t="s">
        <v>4094</v>
      </c>
      <c r="B348" s="17" t="s">
        <v>560</v>
      </c>
      <c r="C348" s="17" t="s">
        <v>15</v>
      </c>
      <c r="D348" s="17" t="s">
        <v>16</v>
      </c>
      <c r="E348" s="18">
        <f>ROUND(5626*1.05,2)</f>
      </c>
      <c r="F348" s="17" t="s">
        <v>48</v>
      </c>
      <c r="G348" s="17" t="s">
        <v>18</v>
      </c>
      <c r="H348" s="18">
        <f>ROUND(RAND()*4+6,1)</f>
      </c>
      <c r="I348" s="17" t="s">
        <v>19</v>
      </c>
      <c r="J348" s="19">
        <f>ROUND(74*1,0)&amp;"%"</f>
      </c>
    </row>
    <row x14ac:dyDescent="0.25" r="349" customHeight="1" ht="17.25">
      <c r="A349" s="20" t="s">
        <v>4095</v>
      </c>
      <c r="B349" s="20" t="s">
        <v>562</v>
      </c>
      <c r="C349" s="20" t="s">
        <v>15</v>
      </c>
      <c r="D349" s="20" t="s">
        <v>22</v>
      </c>
      <c r="E349" s="21">
        <f>ROUND(10846*1.05,2)</f>
      </c>
      <c r="F349" s="20" t="s">
        <v>51</v>
      </c>
      <c r="G349" s="20" t="s">
        <v>24</v>
      </c>
      <c r="H349" s="21">
        <f>ROUND(RAND()*4+6,1)</f>
      </c>
      <c r="I349" s="20" t="s">
        <v>25</v>
      </c>
      <c r="J349" s="23">
        <f>ROUND(80*1,0)&amp;"%"</f>
      </c>
    </row>
    <row x14ac:dyDescent="0.25" r="350" customHeight="1" ht="17.25">
      <c r="A350" s="24" t="s">
        <v>563</v>
      </c>
      <c r="B350" s="24"/>
      <c r="C350" s="24"/>
      <c r="D350" s="24"/>
      <c r="E350" s="25">
        <v>8</v>
      </c>
      <c r="F350" s="9"/>
      <c r="G350" s="9"/>
      <c r="H350" s="31"/>
      <c r="I350" s="9"/>
      <c r="J350" s="9"/>
    </row>
    <row x14ac:dyDescent="0.25" r="351" customHeight="1" ht="17.25">
      <c r="A351" s="7"/>
      <c r="B351" s="7"/>
      <c r="C351" s="7"/>
      <c r="D351" s="7"/>
      <c r="E351" s="8"/>
      <c r="F351" s="9"/>
      <c r="G351" s="9"/>
      <c r="H351" s="31"/>
      <c r="I351" s="9"/>
      <c r="J351" s="9"/>
    </row>
    <row x14ac:dyDescent="0.25" r="352" customHeight="1" ht="17.25">
      <c r="A352" s="11" t="s">
        <v>4096</v>
      </c>
      <c r="B352" s="11"/>
      <c r="C352" s="11"/>
      <c r="D352" s="11"/>
      <c r="E352" s="12"/>
      <c r="F352" s="11"/>
      <c r="G352" s="11"/>
      <c r="H352" s="12"/>
      <c r="I352" s="11"/>
      <c r="J352" s="11"/>
    </row>
    <row x14ac:dyDescent="0.25" r="353" customHeight="1" ht="17.25">
      <c r="A353" s="14" t="s">
        <v>3</v>
      </c>
      <c r="B353" s="14" t="s">
        <v>4</v>
      </c>
      <c r="C353" s="14" t="s">
        <v>5</v>
      </c>
      <c r="D353" s="14" t="s">
        <v>6</v>
      </c>
      <c r="E353" s="15" t="s">
        <v>7</v>
      </c>
      <c r="F353" s="14" t="s">
        <v>8</v>
      </c>
      <c r="G353" s="14" t="s">
        <v>9</v>
      </c>
      <c r="H353" s="15" t="s">
        <v>10</v>
      </c>
      <c r="I353" s="14" t="s">
        <v>11</v>
      </c>
      <c r="J353" s="14" t="s">
        <v>12</v>
      </c>
    </row>
    <row x14ac:dyDescent="0.25" r="354" customHeight="1" ht="17.25">
      <c r="A354" s="17" t="s">
        <v>4097</v>
      </c>
      <c r="B354" s="17" t="s">
        <v>566</v>
      </c>
      <c r="C354" s="17" t="s">
        <v>56</v>
      </c>
      <c r="D354" s="17" t="s">
        <v>16</v>
      </c>
      <c r="E354" s="18">
        <f>ROUND(9071*1.05,2)</f>
      </c>
      <c r="F354" s="17" t="s">
        <v>17</v>
      </c>
      <c r="G354" s="17" t="s">
        <v>18</v>
      </c>
      <c r="H354" s="18">
        <f>ROUND(RAND()*4+6,1)</f>
      </c>
      <c r="I354" s="17" t="s">
        <v>19</v>
      </c>
      <c r="J354" s="19">
        <f>ROUND(95*1,0)&amp;"%"</f>
      </c>
    </row>
    <row x14ac:dyDescent="0.25" r="355" customHeight="1" ht="17.25">
      <c r="A355" s="20" t="s">
        <v>4098</v>
      </c>
      <c r="B355" s="20" t="s">
        <v>568</v>
      </c>
      <c r="C355" s="20" t="s">
        <v>56</v>
      </c>
      <c r="D355" s="20" t="s">
        <v>22</v>
      </c>
      <c r="E355" s="21">
        <f>ROUND(10448*1.05,2)</f>
      </c>
      <c r="F355" s="20" t="s">
        <v>23</v>
      </c>
      <c r="G355" s="20" t="s">
        <v>24</v>
      </c>
      <c r="H355" s="21">
        <f>ROUND(RAND()*4+6,1)</f>
      </c>
      <c r="I355" s="20" t="s">
        <v>25</v>
      </c>
      <c r="J355" s="23">
        <f>ROUND(78*1,0)&amp;"%"</f>
      </c>
    </row>
    <row x14ac:dyDescent="0.25" r="356" customHeight="1" ht="17.25">
      <c r="A356" s="17" t="s">
        <v>4099</v>
      </c>
      <c r="B356" s="17" t="s">
        <v>570</v>
      </c>
      <c r="C356" s="17" t="s">
        <v>56</v>
      </c>
      <c r="D356" s="17" t="s">
        <v>28</v>
      </c>
      <c r="E356" s="18">
        <f>ROUND(4666*1.05,2)</f>
      </c>
      <c r="F356" s="17" t="s">
        <v>29</v>
      </c>
      <c r="G356" s="17" t="s">
        <v>30</v>
      </c>
      <c r="H356" s="18">
        <f>ROUND(RAND()*4+6,1)</f>
      </c>
      <c r="I356" s="17" t="s">
        <v>31</v>
      </c>
      <c r="J356" s="19">
        <f>ROUND(78*1,0)&amp;"%"</f>
      </c>
    </row>
    <row x14ac:dyDescent="0.25" r="357" customHeight="1" ht="17.25">
      <c r="A357" s="20" t="s">
        <v>4100</v>
      </c>
      <c r="B357" s="20" t="s">
        <v>572</v>
      </c>
      <c r="C357" s="20" t="s">
        <v>56</v>
      </c>
      <c r="D357" s="20" t="s">
        <v>34</v>
      </c>
      <c r="E357" s="21">
        <f>ROUND(10646*1.05,2)</f>
      </c>
      <c r="F357" s="20" t="s">
        <v>35</v>
      </c>
      <c r="G357" s="20" t="s">
        <v>18</v>
      </c>
      <c r="H357" s="21">
        <f>ROUND(RAND()*4+6,1)</f>
      </c>
      <c r="I357" s="20" t="s">
        <v>36</v>
      </c>
      <c r="J357" s="23">
        <f>ROUND(66*1,0)&amp;"%"</f>
      </c>
    </row>
    <row x14ac:dyDescent="0.25" r="358" customHeight="1" ht="17.25">
      <c r="A358" s="17" t="s">
        <v>4101</v>
      </c>
      <c r="B358" s="17" t="s">
        <v>574</v>
      </c>
      <c r="C358" s="17" t="s">
        <v>56</v>
      </c>
      <c r="D358" s="17" t="s">
        <v>39</v>
      </c>
      <c r="E358" s="18">
        <f>ROUND(17804*1.05,2)</f>
      </c>
      <c r="F358" s="17" t="s">
        <v>40</v>
      </c>
      <c r="G358" s="17" t="s">
        <v>24</v>
      </c>
      <c r="H358" s="18">
        <f>ROUND(RAND()*4+6,1)</f>
      </c>
      <c r="I358" s="17" t="s">
        <v>41</v>
      </c>
      <c r="J358" s="19">
        <f>ROUND(90*1,0)&amp;"%"</f>
      </c>
    </row>
    <row x14ac:dyDescent="0.25" r="359" customHeight="1" ht="17.25">
      <c r="A359" s="20" t="s">
        <v>4102</v>
      </c>
      <c r="B359" s="20" t="s">
        <v>576</v>
      </c>
      <c r="C359" s="20" t="s">
        <v>56</v>
      </c>
      <c r="D359" s="20" t="s">
        <v>67</v>
      </c>
      <c r="E359" s="21">
        <f>ROUND(7385*1.05,2)</f>
      </c>
      <c r="F359" s="20" t="s">
        <v>44</v>
      </c>
      <c r="G359" s="20" t="s">
        <v>30</v>
      </c>
      <c r="H359" s="21">
        <f>ROUND(RAND()*4+6,1)</f>
      </c>
      <c r="I359" s="20" t="s">
        <v>45</v>
      </c>
      <c r="J359" s="23">
        <f>ROUND(72*1,0)&amp;"%"</f>
      </c>
    </row>
    <row x14ac:dyDescent="0.25" r="360" customHeight="1" ht="17.25">
      <c r="A360" s="17" t="s">
        <v>4103</v>
      </c>
      <c r="B360" s="17" t="s">
        <v>578</v>
      </c>
      <c r="C360" s="17" t="s">
        <v>56</v>
      </c>
      <c r="D360" s="17" t="s">
        <v>16</v>
      </c>
      <c r="E360" s="18">
        <f>ROUND(8153*1.05,2)</f>
      </c>
      <c r="F360" s="17" t="s">
        <v>48</v>
      </c>
      <c r="G360" s="17" t="s">
        <v>18</v>
      </c>
      <c r="H360" s="18">
        <f>ROUND(RAND()*4+6,1)</f>
      </c>
      <c r="I360" s="17" t="s">
        <v>19</v>
      </c>
      <c r="J360" s="19">
        <f>ROUND(82*1,0)&amp;"%"</f>
      </c>
    </row>
    <row x14ac:dyDescent="0.25" r="361" customHeight="1" ht="17.25">
      <c r="A361" s="20" t="s">
        <v>4104</v>
      </c>
      <c r="B361" s="20" t="s">
        <v>580</v>
      </c>
      <c r="C361" s="20" t="s">
        <v>56</v>
      </c>
      <c r="D361" s="20" t="s">
        <v>22</v>
      </c>
      <c r="E361" s="21">
        <f>ROUND(17591*1.05,2)</f>
      </c>
      <c r="F361" s="20" t="s">
        <v>51</v>
      </c>
      <c r="G361" s="20" t="s">
        <v>24</v>
      </c>
      <c r="H361" s="22">
        <f>ROUND(RAND()*4+6,1)</f>
      </c>
      <c r="I361" s="20" t="s">
        <v>25</v>
      </c>
      <c r="J361" s="23">
        <f>ROUND(71*1,0)&amp;"%"</f>
      </c>
    </row>
    <row x14ac:dyDescent="0.25" r="362" customHeight="1" ht="17.25">
      <c r="A362" s="24" t="s">
        <v>581</v>
      </c>
      <c r="B362" s="24"/>
      <c r="C362" s="24"/>
      <c r="D362" s="24"/>
      <c r="E362" s="25">
        <v>8</v>
      </c>
      <c r="F362" s="9"/>
      <c r="G362" s="9"/>
      <c r="H362" s="31"/>
      <c r="I362" s="9"/>
      <c r="J362" s="9"/>
    </row>
  </sheetData>
  <mergeCells count="62">
    <mergeCell ref="A1:J1"/>
    <mergeCell ref="A2:J2"/>
    <mergeCell ref="A4:J4"/>
    <mergeCell ref="A14:D14"/>
    <mergeCell ref="A16:J16"/>
    <mergeCell ref="A26:D26"/>
    <mergeCell ref="A28:J28"/>
    <mergeCell ref="A38:D38"/>
    <mergeCell ref="A40:J40"/>
    <mergeCell ref="A50:D50"/>
    <mergeCell ref="A52:J52"/>
    <mergeCell ref="A62:D62"/>
    <mergeCell ref="A64:J64"/>
    <mergeCell ref="A74:D74"/>
    <mergeCell ref="A76:J76"/>
    <mergeCell ref="A86:D86"/>
    <mergeCell ref="A88:J88"/>
    <mergeCell ref="A98:D98"/>
    <mergeCell ref="A100:J100"/>
    <mergeCell ref="A110:D110"/>
    <mergeCell ref="A112:J112"/>
    <mergeCell ref="A122:D122"/>
    <mergeCell ref="A124:J124"/>
    <mergeCell ref="A134:D134"/>
    <mergeCell ref="A136:J136"/>
    <mergeCell ref="A146:D146"/>
    <mergeCell ref="A148:J148"/>
    <mergeCell ref="A158:D158"/>
    <mergeCell ref="A160:J160"/>
    <mergeCell ref="A170:D170"/>
    <mergeCell ref="A172:J172"/>
    <mergeCell ref="A182:D182"/>
    <mergeCell ref="A184:J184"/>
    <mergeCell ref="A194:D194"/>
    <mergeCell ref="A196:J196"/>
    <mergeCell ref="A206:D206"/>
    <mergeCell ref="A208:J208"/>
    <mergeCell ref="A218:D218"/>
    <mergeCell ref="A220:J220"/>
    <mergeCell ref="A230:D230"/>
    <mergeCell ref="A232:J232"/>
    <mergeCell ref="A242:D242"/>
    <mergeCell ref="A244:J244"/>
    <mergeCell ref="A254:D254"/>
    <mergeCell ref="A256:J256"/>
    <mergeCell ref="A266:D266"/>
    <mergeCell ref="A268:J268"/>
    <mergeCell ref="A278:D278"/>
    <mergeCell ref="A280:J280"/>
    <mergeCell ref="A290:D290"/>
    <mergeCell ref="A292:J292"/>
    <mergeCell ref="A302:D302"/>
    <mergeCell ref="A304:J304"/>
    <mergeCell ref="A314:D314"/>
    <mergeCell ref="A316:J316"/>
    <mergeCell ref="A326:D326"/>
    <mergeCell ref="A328:J328"/>
    <mergeCell ref="A338:D338"/>
    <mergeCell ref="A340:J340"/>
    <mergeCell ref="A350:D350"/>
    <mergeCell ref="A352:J352"/>
    <mergeCell ref="A362:D362"/>
  </mergeCells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J362"/>
  <sheetViews>
    <sheetView workbookViewId="0"/>
  </sheetViews>
  <sheetFormatPr defaultRowHeight="15" x14ac:dyDescent="0.25"/>
  <cols>
    <col min="1" max="1" style="27" width="8.005" customWidth="1" bestFit="1"/>
    <col min="2" max="2" style="27" width="22.005" customWidth="1" bestFit="1"/>
    <col min="3" max="3" style="27" width="16.005" customWidth="1" bestFit="1"/>
    <col min="4" max="4" style="27" width="14.005" customWidth="1" bestFit="1"/>
    <col min="5" max="5" style="28" width="12.005" customWidth="1" bestFit="1"/>
    <col min="6" max="6" style="29" width="16.005" customWidth="1" bestFit="1"/>
    <col min="7" max="7" style="29" width="10.005" customWidth="1" bestFit="1"/>
    <col min="8" max="8" style="30" width="10.005" customWidth="1" bestFit="1"/>
    <col min="9" max="9" style="29" width="14.005" customWidth="1" bestFit="1"/>
    <col min="10" max="10" style="29" width="8.005" customWidth="1" bestFit="1"/>
  </cols>
  <sheetData>
    <row x14ac:dyDescent="0.25" r="1" customHeight="1" ht="17.25">
      <c r="A1" s="1" t="s">
        <v>3563</v>
      </c>
      <c r="B1" s="1"/>
      <c r="C1" s="1"/>
      <c r="D1" s="1"/>
      <c r="E1" s="2"/>
      <c r="F1" s="1"/>
      <c r="G1" s="1"/>
      <c r="H1" s="3"/>
      <c r="I1" s="1"/>
      <c r="J1" s="1"/>
    </row>
    <row x14ac:dyDescent="0.25" r="2" customHeight="1" ht="17.25">
      <c r="A2" s="4" t="s">
        <v>1</v>
      </c>
      <c r="B2" s="4"/>
      <c r="C2" s="4"/>
      <c r="D2" s="4"/>
      <c r="E2" s="5"/>
      <c r="F2" s="4"/>
      <c r="G2" s="4"/>
      <c r="H2" s="6"/>
      <c r="I2" s="4"/>
      <c r="J2" s="4"/>
    </row>
    <row x14ac:dyDescent="0.25" r="3" customHeight="1" ht="17.25">
      <c r="A3" s="7"/>
      <c r="B3" s="7"/>
      <c r="C3" s="7"/>
      <c r="D3" s="7"/>
      <c r="E3" s="8"/>
      <c r="F3" s="9"/>
      <c r="G3" s="9"/>
      <c r="H3" s="10"/>
      <c r="I3" s="9"/>
      <c r="J3" s="9"/>
    </row>
    <row x14ac:dyDescent="0.25" r="4" customHeight="1" ht="17.25">
      <c r="A4" s="11" t="s">
        <v>3564</v>
      </c>
      <c r="B4" s="11"/>
      <c r="C4" s="11"/>
      <c r="D4" s="11"/>
      <c r="E4" s="12"/>
      <c r="F4" s="11"/>
      <c r="G4" s="11"/>
      <c r="H4" s="13"/>
      <c r="I4" s="11"/>
      <c r="J4" s="11"/>
    </row>
    <row x14ac:dyDescent="0.25" r="5" customHeight="1" ht="17.25">
      <c r="A5" s="14" t="s">
        <v>3</v>
      </c>
      <c r="B5" s="14" t="s">
        <v>4</v>
      </c>
      <c r="C5" s="14" t="s">
        <v>5</v>
      </c>
      <c r="D5" s="14" t="s">
        <v>6</v>
      </c>
      <c r="E5" s="15" t="s">
        <v>7</v>
      </c>
      <c r="F5" s="14" t="s">
        <v>8</v>
      </c>
      <c r="G5" s="14" t="s">
        <v>9</v>
      </c>
      <c r="H5" s="16" t="s">
        <v>10</v>
      </c>
      <c r="I5" s="14" t="s">
        <v>11</v>
      </c>
      <c r="J5" s="14" t="s">
        <v>12</v>
      </c>
    </row>
    <row x14ac:dyDescent="0.25" r="6" customHeight="1" ht="17.25">
      <c r="A6" s="17" t="s">
        <v>3565</v>
      </c>
      <c r="B6" s="17" t="s">
        <v>14</v>
      </c>
      <c r="C6" s="17" t="s">
        <v>15</v>
      </c>
      <c r="D6" s="17" t="s">
        <v>16</v>
      </c>
      <c r="E6" s="18">
        <f>ROUND(12516*1.05,2)</f>
      </c>
      <c r="F6" s="17" t="s">
        <v>17</v>
      </c>
      <c r="G6" s="17" t="s">
        <v>18</v>
      </c>
      <c r="H6" s="18">
        <f>ROUND(RAND()*4+6,1)</f>
      </c>
      <c r="I6" s="17" t="s">
        <v>19</v>
      </c>
      <c r="J6" s="19">
        <f>ROUND(87*1,0)&amp;"%"</f>
      </c>
    </row>
    <row x14ac:dyDescent="0.25" r="7" customHeight="1" ht="17.25">
      <c r="A7" s="20" t="s">
        <v>3566</v>
      </c>
      <c r="B7" s="20" t="s">
        <v>21</v>
      </c>
      <c r="C7" s="20" t="s">
        <v>15</v>
      </c>
      <c r="D7" s="20" t="s">
        <v>22</v>
      </c>
      <c r="E7" s="22">
        <f>ROUND(11800*1.05,2)</f>
      </c>
      <c r="F7" s="20" t="s">
        <v>23</v>
      </c>
      <c r="G7" s="20" t="s">
        <v>24</v>
      </c>
      <c r="H7" s="21">
        <f>ROUND(RAND()*4+6,1)</f>
      </c>
      <c r="I7" s="20" t="s">
        <v>25</v>
      </c>
      <c r="J7" s="23">
        <f>ROUND(69*1,0)&amp;"%"</f>
      </c>
    </row>
    <row x14ac:dyDescent="0.25" r="8" customHeight="1" ht="17.25">
      <c r="A8" s="17" t="s">
        <v>3567</v>
      </c>
      <c r="B8" s="17" t="s">
        <v>27</v>
      </c>
      <c r="C8" s="17" t="s">
        <v>15</v>
      </c>
      <c r="D8" s="17" t="s">
        <v>28</v>
      </c>
      <c r="E8" s="18">
        <f>ROUND(10047*1.05,2)</f>
      </c>
      <c r="F8" s="17" t="s">
        <v>29</v>
      </c>
      <c r="G8" s="17" t="s">
        <v>30</v>
      </c>
      <c r="H8" s="18">
        <f>ROUND(RAND()*4+6,1)</f>
      </c>
      <c r="I8" s="17" t="s">
        <v>31</v>
      </c>
      <c r="J8" s="19">
        <f>ROUND(78*1,0)&amp;"%"</f>
      </c>
    </row>
    <row x14ac:dyDescent="0.25" r="9" customHeight="1" ht="17.25">
      <c r="A9" s="20" t="s">
        <v>3568</v>
      </c>
      <c r="B9" s="20" t="s">
        <v>33</v>
      </c>
      <c r="C9" s="20" t="s">
        <v>15</v>
      </c>
      <c r="D9" s="20" t="s">
        <v>34</v>
      </c>
      <c r="E9" s="21">
        <f>ROUND(17276*1.05,2)</f>
      </c>
      <c r="F9" s="20" t="s">
        <v>35</v>
      </c>
      <c r="G9" s="20" t="s">
        <v>18</v>
      </c>
      <c r="H9" s="21">
        <f>ROUND(RAND()*4+6,1)</f>
      </c>
      <c r="I9" s="20" t="s">
        <v>36</v>
      </c>
      <c r="J9" s="23">
        <f>ROUND(88*1,0)&amp;"%"</f>
      </c>
    </row>
    <row x14ac:dyDescent="0.25" r="10" customHeight="1" ht="17.25">
      <c r="A10" s="17" t="s">
        <v>3569</v>
      </c>
      <c r="B10" s="17" t="s">
        <v>38</v>
      </c>
      <c r="C10" s="17" t="s">
        <v>15</v>
      </c>
      <c r="D10" s="17" t="s">
        <v>39</v>
      </c>
      <c r="E10" s="18">
        <f>ROUND(15862*1.05,2)</f>
      </c>
      <c r="F10" s="17" t="s">
        <v>40</v>
      </c>
      <c r="G10" s="17" t="s">
        <v>24</v>
      </c>
      <c r="H10" s="26">
        <f>ROUND(RAND()*4+6,1)</f>
      </c>
      <c r="I10" s="17" t="s">
        <v>41</v>
      </c>
      <c r="J10" s="19">
        <f>ROUND(71*1,0)&amp;"%"</f>
      </c>
    </row>
    <row x14ac:dyDescent="0.25" r="11" customHeight="1" ht="17.25">
      <c r="A11" s="20" t="s">
        <v>3570</v>
      </c>
      <c r="B11" s="20" t="s">
        <v>43</v>
      </c>
      <c r="C11" s="20" t="s">
        <v>15</v>
      </c>
      <c r="D11" s="20" t="s">
        <v>67</v>
      </c>
      <c r="E11" s="21">
        <f>ROUND(8947*1.05,2)</f>
      </c>
      <c r="F11" s="20" t="s">
        <v>44</v>
      </c>
      <c r="G11" s="20" t="s">
        <v>30</v>
      </c>
      <c r="H11" s="21">
        <f>ROUND(RAND()*4+6,1)</f>
      </c>
      <c r="I11" s="20" t="s">
        <v>45</v>
      </c>
      <c r="J11" s="23">
        <f>ROUND(67*1,0)&amp;"%"</f>
      </c>
    </row>
    <row x14ac:dyDescent="0.25" r="12" customHeight="1" ht="17.25">
      <c r="A12" s="17" t="s">
        <v>3571</v>
      </c>
      <c r="B12" s="17" t="s">
        <v>47</v>
      </c>
      <c r="C12" s="17" t="s">
        <v>15</v>
      </c>
      <c r="D12" s="17" t="s">
        <v>16</v>
      </c>
      <c r="E12" s="18">
        <f>ROUND(13366*1.05,2)</f>
      </c>
      <c r="F12" s="17" t="s">
        <v>48</v>
      </c>
      <c r="G12" s="17" t="s">
        <v>18</v>
      </c>
      <c r="H12" s="18">
        <f>ROUND(RAND()*4+6,1)</f>
      </c>
      <c r="I12" s="17" t="s">
        <v>19</v>
      </c>
      <c r="J12" s="19">
        <f>ROUND(84*1,0)&amp;"%"</f>
      </c>
    </row>
    <row x14ac:dyDescent="0.25" r="13" customHeight="1" ht="17.25">
      <c r="A13" s="20" t="s">
        <v>3572</v>
      </c>
      <c r="B13" s="20" t="s">
        <v>50</v>
      </c>
      <c r="C13" s="20" t="s">
        <v>15</v>
      </c>
      <c r="D13" s="20" t="s">
        <v>22</v>
      </c>
      <c r="E13" s="21">
        <f>ROUND(5019*1.05,2)</f>
      </c>
      <c r="F13" s="20" t="s">
        <v>51</v>
      </c>
      <c r="G13" s="20" t="s">
        <v>24</v>
      </c>
      <c r="H13" s="21">
        <f>ROUND(RAND()*4+6,1)</f>
      </c>
      <c r="I13" s="20" t="s">
        <v>25</v>
      </c>
      <c r="J13" s="23">
        <f>ROUND(71*1,0)&amp;"%"</f>
      </c>
    </row>
    <row x14ac:dyDescent="0.25" r="14" customHeight="1" ht="17.25">
      <c r="A14" s="24" t="s">
        <v>52</v>
      </c>
      <c r="B14" s="24"/>
      <c r="C14" s="24"/>
      <c r="D14" s="24"/>
      <c r="E14" s="25">
        <v>8</v>
      </c>
      <c r="F14" s="9"/>
      <c r="G14" s="9"/>
      <c r="H14" s="10"/>
      <c r="I14" s="9"/>
      <c r="J14" s="9"/>
    </row>
    <row x14ac:dyDescent="0.25" r="15" customHeight="1" ht="17.25">
      <c r="A15" s="7"/>
      <c r="B15" s="7"/>
      <c r="C15" s="7"/>
      <c r="D15" s="7"/>
      <c r="E15" s="8"/>
      <c r="F15" s="9"/>
      <c r="G15" s="9"/>
      <c r="H15" s="10"/>
      <c r="I15" s="9"/>
      <c r="J15" s="9"/>
    </row>
    <row x14ac:dyDescent="0.25" r="16" customHeight="1" ht="17.25">
      <c r="A16" s="11" t="s">
        <v>3573</v>
      </c>
      <c r="B16" s="11"/>
      <c r="C16" s="11"/>
      <c r="D16" s="11"/>
      <c r="E16" s="12"/>
      <c r="F16" s="11"/>
      <c r="G16" s="11"/>
      <c r="H16" s="13"/>
      <c r="I16" s="11"/>
      <c r="J16" s="11"/>
    </row>
    <row x14ac:dyDescent="0.25" r="17" customHeight="1" ht="17.25">
      <c r="A17" s="14" t="s">
        <v>3</v>
      </c>
      <c r="B17" s="14" t="s">
        <v>4</v>
      </c>
      <c r="C17" s="14" t="s">
        <v>5</v>
      </c>
      <c r="D17" s="14" t="s">
        <v>6</v>
      </c>
      <c r="E17" s="15" t="s">
        <v>7</v>
      </c>
      <c r="F17" s="14" t="s">
        <v>8</v>
      </c>
      <c r="G17" s="14" t="s">
        <v>9</v>
      </c>
      <c r="H17" s="16" t="s">
        <v>10</v>
      </c>
      <c r="I17" s="14" t="s">
        <v>11</v>
      </c>
      <c r="J17" s="14" t="s">
        <v>12</v>
      </c>
    </row>
    <row x14ac:dyDescent="0.25" r="18" customHeight="1" ht="17.25">
      <c r="A18" s="17" t="s">
        <v>3574</v>
      </c>
      <c r="B18" s="17" t="s">
        <v>55</v>
      </c>
      <c r="C18" s="17" t="s">
        <v>56</v>
      </c>
      <c r="D18" s="17" t="s">
        <v>16</v>
      </c>
      <c r="E18" s="18">
        <f>ROUND(8974*1.05,2)</f>
      </c>
      <c r="F18" s="17" t="s">
        <v>17</v>
      </c>
      <c r="G18" s="17" t="s">
        <v>18</v>
      </c>
      <c r="H18" s="18">
        <f>ROUND(RAND()*4+6,1)</f>
      </c>
      <c r="I18" s="17" t="s">
        <v>19</v>
      </c>
      <c r="J18" s="19">
        <f>ROUND(77*1,0)&amp;"%"</f>
      </c>
    </row>
    <row x14ac:dyDescent="0.25" r="19" customHeight="1" ht="17.25">
      <c r="A19" s="20" t="s">
        <v>3575</v>
      </c>
      <c r="B19" s="20" t="s">
        <v>58</v>
      </c>
      <c r="C19" s="20" t="s">
        <v>56</v>
      </c>
      <c r="D19" s="20" t="s">
        <v>22</v>
      </c>
      <c r="E19" s="21">
        <f>ROUND(14122*1.05,2)</f>
      </c>
      <c r="F19" s="20" t="s">
        <v>23</v>
      </c>
      <c r="G19" s="20" t="s">
        <v>24</v>
      </c>
      <c r="H19" s="21">
        <f>ROUND(RAND()*4+6,1)</f>
      </c>
      <c r="I19" s="20" t="s">
        <v>25</v>
      </c>
      <c r="J19" s="23">
        <f>ROUND(90*1,0)&amp;"%"</f>
      </c>
    </row>
    <row x14ac:dyDescent="0.25" r="20" customHeight="1" ht="17.25">
      <c r="A20" s="17" t="s">
        <v>3576</v>
      </c>
      <c r="B20" s="17" t="s">
        <v>60</v>
      </c>
      <c r="C20" s="17" t="s">
        <v>56</v>
      </c>
      <c r="D20" s="17" t="s">
        <v>28</v>
      </c>
      <c r="E20" s="18">
        <f>ROUND(10214*1.05,2)</f>
      </c>
      <c r="F20" s="17" t="s">
        <v>29</v>
      </c>
      <c r="G20" s="17" t="s">
        <v>30</v>
      </c>
      <c r="H20" s="18">
        <f>ROUND(RAND()*4+6,1)</f>
      </c>
      <c r="I20" s="17" t="s">
        <v>31</v>
      </c>
      <c r="J20" s="19">
        <f>ROUND(61*1,0)&amp;"%"</f>
      </c>
    </row>
    <row x14ac:dyDescent="0.25" r="21" customHeight="1" ht="17.25">
      <c r="A21" s="20" t="s">
        <v>3577</v>
      </c>
      <c r="B21" s="20" t="s">
        <v>62</v>
      </c>
      <c r="C21" s="20" t="s">
        <v>56</v>
      </c>
      <c r="D21" s="20" t="s">
        <v>34</v>
      </c>
      <c r="E21" s="21">
        <f>ROUND(9130*1.05,2)</f>
      </c>
      <c r="F21" s="20" t="s">
        <v>35</v>
      </c>
      <c r="G21" s="20" t="s">
        <v>18</v>
      </c>
      <c r="H21" s="21">
        <f>ROUND(RAND()*4+6,1)</f>
      </c>
      <c r="I21" s="20" t="s">
        <v>36</v>
      </c>
      <c r="J21" s="23">
        <f>ROUND(62*1,0)&amp;"%"</f>
      </c>
    </row>
    <row x14ac:dyDescent="0.25" r="22" customHeight="1" ht="17.25">
      <c r="A22" s="17" t="s">
        <v>3578</v>
      </c>
      <c r="B22" s="17" t="s">
        <v>64</v>
      </c>
      <c r="C22" s="17" t="s">
        <v>56</v>
      </c>
      <c r="D22" s="17" t="s">
        <v>39</v>
      </c>
      <c r="E22" s="18">
        <f>ROUND(8604*1.05,2)</f>
      </c>
      <c r="F22" s="17" t="s">
        <v>40</v>
      </c>
      <c r="G22" s="17" t="s">
        <v>24</v>
      </c>
      <c r="H22" s="26">
        <f>ROUND(RAND()*4+6,1)</f>
      </c>
      <c r="I22" s="17" t="s">
        <v>41</v>
      </c>
      <c r="J22" s="19">
        <f>ROUND(88*1,0)&amp;"%"</f>
      </c>
    </row>
    <row x14ac:dyDescent="0.25" r="23" customHeight="1" ht="17.25">
      <c r="A23" s="20" t="s">
        <v>3579</v>
      </c>
      <c r="B23" s="20" t="s">
        <v>66</v>
      </c>
      <c r="C23" s="20" t="s">
        <v>56</v>
      </c>
      <c r="D23" s="20" t="s">
        <v>67</v>
      </c>
      <c r="E23" s="22">
        <f>ROUND(15320*1.05,2)</f>
      </c>
      <c r="F23" s="20" t="s">
        <v>44</v>
      </c>
      <c r="G23" s="20" t="s">
        <v>30</v>
      </c>
      <c r="H23" s="21">
        <f>ROUND(RAND()*4+6,1)</f>
      </c>
      <c r="I23" s="20" t="s">
        <v>45</v>
      </c>
      <c r="J23" s="23">
        <f>ROUND(65*1,0)&amp;"%"</f>
      </c>
    </row>
    <row x14ac:dyDescent="0.25" r="24" customHeight="1" ht="17.25">
      <c r="A24" s="17" t="s">
        <v>3580</v>
      </c>
      <c r="B24" s="17" t="s">
        <v>69</v>
      </c>
      <c r="C24" s="17" t="s">
        <v>56</v>
      </c>
      <c r="D24" s="17" t="s">
        <v>16</v>
      </c>
      <c r="E24" s="18">
        <f>ROUND(8043*1.05,2)</f>
      </c>
      <c r="F24" s="17" t="s">
        <v>48</v>
      </c>
      <c r="G24" s="17" t="s">
        <v>18</v>
      </c>
      <c r="H24" s="18">
        <f>ROUND(RAND()*4+6,1)</f>
      </c>
      <c r="I24" s="17" t="s">
        <v>19</v>
      </c>
      <c r="J24" s="19">
        <f>ROUND(72*1,0)&amp;"%"</f>
      </c>
    </row>
    <row x14ac:dyDescent="0.25" r="25" customHeight="1" ht="17.25">
      <c r="A25" s="20" t="s">
        <v>3581</v>
      </c>
      <c r="B25" s="20" t="s">
        <v>71</v>
      </c>
      <c r="C25" s="20" t="s">
        <v>56</v>
      </c>
      <c r="D25" s="20" t="s">
        <v>22</v>
      </c>
      <c r="E25" s="21">
        <f>ROUND(10823*1.05,2)</f>
      </c>
      <c r="F25" s="20" t="s">
        <v>51</v>
      </c>
      <c r="G25" s="20" t="s">
        <v>24</v>
      </c>
      <c r="H25" s="21">
        <f>ROUND(RAND()*4+6,1)</f>
      </c>
      <c r="I25" s="20" t="s">
        <v>25</v>
      </c>
      <c r="J25" s="23">
        <f>ROUND(93*1,0)&amp;"%"</f>
      </c>
    </row>
    <row x14ac:dyDescent="0.25" r="26" customHeight="1" ht="17.25">
      <c r="A26" s="24" t="s">
        <v>72</v>
      </c>
      <c r="B26" s="24"/>
      <c r="C26" s="24"/>
      <c r="D26" s="24"/>
      <c r="E26" s="25">
        <v>8</v>
      </c>
      <c r="F26" s="9"/>
      <c r="G26" s="9"/>
      <c r="H26" s="10"/>
      <c r="I26" s="9"/>
      <c r="J26" s="9"/>
    </row>
    <row x14ac:dyDescent="0.25" r="27" customHeight="1" ht="17.25">
      <c r="A27" s="7"/>
      <c r="B27" s="7"/>
      <c r="C27" s="7"/>
      <c r="D27" s="7"/>
      <c r="E27" s="8"/>
      <c r="F27" s="9"/>
      <c r="G27" s="9"/>
      <c r="H27" s="10"/>
      <c r="I27" s="9"/>
      <c r="J27" s="9"/>
    </row>
    <row x14ac:dyDescent="0.25" r="28" customHeight="1" ht="17.25">
      <c r="A28" s="11" t="s">
        <v>3582</v>
      </c>
      <c r="B28" s="11"/>
      <c r="C28" s="11"/>
      <c r="D28" s="11"/>
      <c r="E28" s="12"/>
      <c r="F28" s="11"/>
      <c r="G28" s="11"/>
      <c r="H28" s="13"/>
      <c r="I28" s="11"/>
      <c r="J28" s="11"/>
    </row>
    <row x14ac:dyDescent="0.25" r="29" customHeight="1" ht="17.25">
      <c r="A29" s="14" t="s">
        <v>3</v>
      </c>
      <c r="B29" s="14" t="s">
        <v>4</v>
      </c>
      <c r="C29" s="14" t="s">
        <v>5</v>
      </c>
      <c r="D29" s="14" t="s">
        <v>6</v>
      </c>
      <c r="E29" s="15" t="s">
        <v>7</v>
      </c>
      <c r="F29" s="14" t="s">
        <v>8</v>
      </c>
      <c r="G29" s="14" t="s">
        <v>9</v>
      </c>
      <c r="H29" s="16" t="s">
        <v>10</v>
      </c>
      <c r="I29" s="14" t="s">
        <v>11</v>
      </c>
      <c r="J29" s="14" t="s">
        <v>12</v>
      </c>
    </row>
    <row x14ac:dyDescent="0.25" r="30" customHeight="1" ht="17.25">
      <c r="A30" s="17" t="s">
        <v>3583</v>
      </c>
      <c r="B30" s="17" t="s">
        <v>75</v>
      </c>
      <c r="C30" s="17" t="s">
        <v>76</v>
      </c>
      <c r="D30" s="17" t="s">
        <v>16</v>
      </c>
      <c r="E30" s="18">
        <f>ROUND(4152*1.05,2)</f>
      </c>
      <c r="F30" s="17" t="s">
        <v>17</v>
      </c>
      <c r="G30" s="17" t="s">
        <v>18</v>
      </c>
      <c r="H30" s="18">
        <f>ROUND(RAND()*4+6,1)</f>
      </c>
      <c r="I30" s="17" t="s">
        <v>19</v>
      </c>
      <c r="J30" s="19">
        <f>ROUND(68*1,0)&amp;"%"</f>
      </c>
    </row>
    <row x14ac:dyDescent="0.25" r="31" customHeight="1" ht="17.25">
      <c r="A31" s="20" t="s">
        <v>3584</v>
      </c>
      <c r="B31" s="20" t="s">
        <v>78</v>
      </c>
      <c r="C31" s="20" t="s">
        <v>76</v>
      </c>
      <c r="D31" s="20" t="s">
        <v>22</v>
      </c>
      <c r="E31" s="21">
        <f>ROUND(17749*1.05,2)</f>
      </c>
      <c r="F31" s="20" t="s">
        <v>23</v>
      </c>
      <c r="G31" s="20" t="s">
        <v>24</v>
      </c>
      <c r="H31" s="21">
        <f>ROUND(RAND()*4+6,1)</f>
      </c>
      <c r="I31" s="20" t="s">
        <v>25</v>
      </c>
      <c r="J31" s="23">
        <f>ROUND(66*1,0)&amp;"%"</f>
      </c>
    </row>
    <row x14ac:dyDescent="0.25" r="32" customHeight="1" ht="17.25">
      <c r="A32" s="17" t="s">
        <v>3585</v>
      </c>
      <c r="B32" s="17" t="s">
        <v>80</v>
      </c>
      <c r="C32" s="17" t="s">
        <v>76</v>
      </c>
      <c r="D32" s="17" t="s">
        <v>28</v>
      </c>
      <c r="E32" s="18">
        <f>ROUND(13750*1.05,2)</f>
      </c>
      <c r="F32" s="17" t="s">
        <v>29</v>
      </c>
      <c r="G32" s="17" t="s">
        <v>30</v>
      </c>
      <c r="H32" s="18">
        <f>ROUND(RAND()*4+6,1)</f>
      </c>
      <c r="I32" s="17" t="s">
        <v>31</v>
      </c>
      <c r="J32" s="19">
        <f>ROUND(96*1,0)&amp;"%"</f>
      </c>
    </row>
    <row x14ac:dyDescent="0.25" r="33" customHeight="1" ht="17.25">
      <c r="A33" s="20" t="s">
        <v>3586</v>
      </c>
      <c r="B33" s="20" t="s">
        <v>82</v>
      </c>
      <c r="C33" s="20" t="s">
        <v>76</v>
      </c>
      <c r="D33" s="20" t="s">
        <v>34</v>
      </c>
      <c r="E33" s="21">
        <f>ROUND(13188*1.05,2)</f>
      </c>
      <c r="F33" s="20" t="s">
        <v>35</v>
      </c>
      <c r="G33" s="20" t="s">
        <v>18</v>
      </c>
      <c r="H33" s="21">
        <f>ROUND(RAND()*4+6,1)</f>
      </c>
      <c r="I33" s="20" t="s">
        <v>36</v>
      </c>
      <c r="J33" s="23">
        <f>ROUND(60*1,0)&amp;"%"</f>
      </c>
    </row>
    <row x14ac:dyDescent="0.25" r="34" customHeight="1" ht="17.25">
      <c r="A34" s="17" t="s">
        <v>3587</v>
      </c>
      <c r="B34" s="17" t="s">
        <v>84</v>
      </c>
      <c r="C34" s="17" t="s">
        <v>76</v>
      </c>
      <c r="D34" s="17" t="s">
        <v>39</v>
      </c>
      <c r="E34" s="18">
        <f>ROUND(10141*1.05,2)</f>
      </c>
      <c r="F34" s="17" t="s">
        <v>40</v>
      </c>
      <c r="G34" s="17" t="s">
        <v>24</v>
      </c>
      <c r="H34" s="18">
        <f>ROUND(RAND()*4+6,1)</f>
      </c>
      <c r="I34" s="17" t="s">
        <v>41</v>
      </c>
      <c r="J34" s="19">
        <f>ROUND(92*1,0)&amp;"%"</f>
      </c>
    </row>
    <row x14ac:dyDescent="0.25" r="35" customHeight="1" ht="17.25">
      <c r="A35" s="20" t="s">
        <v>3588</v>
      </c>
      <c r="B35" s="20" t="s">
        <v>86</v>
      </c>
      <c r="C35" s="20" t="s">
        <v>76</v>
      </c>
      <c r="D35" s="20" t="s">
        <v>67</v>
      </c>
      <c r="E35" s="21">
        <f>ROUND(16359*1.05,2)</f>
      </c>
      <c r="F35" s="20" t="s">
        <v>44</v>
      </c>
      <c r="G35" s="20" t="s">
        <v>30</v>
      </c>
      <c r="H35" s="21">
        <f>ROUND(RAND()*4+6,1)</f>
      </c>
      <c r="I35" s="20" t="s">
        <v>45</v>
      </c>
      <c r="J35" s="23">
        <f>ROUND(88*1,0)&amp;"%"</f>
      </c>
    </row>
    <row x14ac:dyDescent="0.25" r="36" customHeight="1" ht="17.25">
      <c r="A36" s="17" t="s">
        <v>3589</v>
      </c>
      <c r="B36" s="17" t="s">
        <v>88</v>
      </c>
      <c r="C36" s="17" t="s">
        <v>76</v>
      </c>
      <c r="D36" s="17" t="s">
        <v>16</v>
      </c>
      <c r="E36" s="18">
        <f>ROUND(11546*1.05,2)</f>
      </c>
      <c r="F36" s="17" t="s">
        <v>48</v>
      </c>
      <c r="G36" s="17" t="s">
        <v>18</v>
      </c>
      <c r="H36" s="18">
        <f>ROUND(RAND()*4+6,1)</f>
      </c>
      <c r="I36" s="17" t="s">
        <v>19</v>
      </c>
      <c r="J36" s="19">
        <f>ROUND(88*1,0)&amp;"%"</f>
      </c>
    </row>
    <row x14ac:dyDescent="0.25" r="37" customHeight="1" ht="17.25">
      <c r="A37" s="20" t="s">
        <v>3590</v>
      </c>
      <c r="B37" s="20" t="s">
        <v>90</v>
      </c>
      <c r="C37" s="20" t="s">
        <v>76</v>
      </c>
      <c r="D37" s="20" t="s">
        <v>22</v>
      </c>
      <c r="E37" s="21">
        <f>ROUND(10877*1.05,2)</f>
      </c>
      <c r="F37" s="20" t="s">
        <v>51</v>
      </c>
      <c r="G37" s="20" t="s">
        <v>24</v>
      </c>
      <c r="H37" s="21">
        <f>ROUND(RAND()*4+6,1)</f>
      </c>
      <c r="I37" s="20" t="s">
        <v>25</v>
      </c>
      <c r="J37" s="23">
        <f>ROUND(76*1,0)&amp;"%"</f>
      </c>
    </row>
    <row x14ac:dyDescent="0.25" r="38" customHeight="1" ht="17.25">
      <c r="A38" s="24" t="s">
        <v>91</v>
      </c>
      <c r="B38" s="24"/>
      <c r="C38" s="24"/>
      <c r="D38" s="24"/>
      <c r="E38" s="25">
        <v>8</v>
      </c>
      <c r="F38" s="9"/>
      <c r="G38" s="9"/>
      <c r="H38" s="10"/>
      <c r="I38" s="9"/>
      <c r="J38" s="9"/>
    </row>
    <row x14ac:dyDescent="0.25" r="39" customHeight="1" ht="17.25">
      <c r="A39" s="7"/>
      <c r="B39" s="7"/>
      <c r="C39" s="7"/>
      <c r="D39" s="7"/>
      <c r="E39" s="8"/>
      <c r="F39" s="9"/>
      <c r="G39" s="9"/>
      <c r="H39" s="10"/>
      <c r="I39" s="9"/>
      <c r="J39" s="9"/>
    </row>
    <row x14ac:dyDescent="0.25" r="40" customHeight="1" ht="17.25">
      <c r="A40" s="11" t="s">
        <v>3591</v>
      </c>
      <c r="B40" s="11"/>
      <c r="C40" s="11"/>
      <c r="D40" s="11"/>
      <c r="E40" s="12"/>
      <c r="F40" s="11"/>
      <c r="G40" s="11"/>
      <c r="H40" s="13"/>
      <c r="I40" s="11"/>
      <c r="J40" s="11"/>
    </row>
    <row x14ac:dyDescent="0.25" r="41" customHeight="1" ht="17.25">
      <c r="A41" s="14" t="s">
        <v>3</v>
      </c>
      <c r="B41" s="14" t="s">
        <v>4</v>
      </c>
      <c r="C41" s="14" t="s">
        <v>5</v>
      </c>
      <c r="D41" s="14" t="s">
        <v>6</v>
      </c>
      <c r="E41" s="15" t="s">
        <v>7</v>
      </c>
      <c r="F41" s="14" t="s">
        <v>8</v>
      </c>
      <c r="G41" s="14" t="s">
        <v>9</v>
      </c>
      <c r="H41" s="16" t="s">
        <v>10</v>
      </c>
      <c r="I41" s="14" t="s">
        <v>11</v>
      </c>
      <c r="J41" s="14" t="s">
        <v>12</v>
      </c>
    </row>
    <row x14ac:dyDescent="0.25" r="42" customHeight="1" ht="17.25">
      <c r="A42" s="17" t="s">
        <v>3592</v>
      </c>
      <c r="B42" s="17" t="s">
        <v>94</v>
      </c>
      <c r="C42" s="17" t="s">
        <v>95</v>
      </c>
      <c r="D42" s="17" t="s">
        <v>16</v>
      </c>
      <c r="E42" s="18">
        <f>ROUND(5452*1.05,2)</f>
      </c>
      <c r="F42" s="17" t="s">
        <v>17</v>
      </c>
      <c r="G42" s="17" t="s">
        <v>18</v>
      </c>
      <c r="H42" s="26">
        <f>ROUND(RAND()*4+6,1)</f>
      </c>
      <c r="I42" s="17" t="s">
        <v>19</v>
      </c>
      <c r="J42" s="19">
        <f>ROUND(65*1,0)&amp;"%"</f>
      </c>
    </row>
    <row x14ac:dyDescent="0.25" r="43" customHeight="1" ht="17.25">
      <c r="A43" s="20" t="s">
        <v>3593</v>
      </c>
      <c r="B43" s="20" t="s">
        <v>97</v>
      </c>
      <c r="C43" s="20" t="s">
        <v>95</v>
      </c>
      <c r="D43" s="20" t="s">
        <v>22</v>
      </c>
      <c r="E43" s="21">
        <f>ROUND(17726*1.05,2)</f>
      </c>
      <c r="F43" s="20" t="s">
        <v>23</v>
      </c>
      <c r="G43" s="20" t="s">
        <v>24</v>
      </c>
      <c r="H43" s="21">
        <f>ROUND(RAND()*4+6,1)</f>
      </c>
      <c r="I43" s="20" t="s">
        <v>25</v>
      </c>
      <c r="J43" s="23">
        <f>ROUND(90*1,0)&amp;"%"</f>
      </c>
    </row>
    <row x14ac:dyDescent="0.25" r="44" customHeight="1" ht="17.25">
      <c r="A44" s="17" t="s">
        <v>3594</v>
      </c>
      <c r="B44" s="17" t="s">
        <v>99</v>
      </c>
      <c r="C44" s="17" t="s">
        <v>95</v>
      </c>
      <c r="D44" s="17" t="s">
        <v>28</v>
      </c>
      <c r="E44" s="18">
        <f>ROUND(14655*1.05,2)</f>
      </c>
      <c r="F44" s="17" t="s">
        <v>29</v>
      </c>
      <c r="G44" s="17" t="s">
        <v>30</v>
      </c>
      <c r="H44" s="18">
        <f>ROUND(RAND()*4+6,1)</f>
      </c>
      <c r="I44" s="17" t="s">
        <v>31</v>
      </c>
      <c r="J44" s="19">
        <f>ROUND(87*1,0)&amp;"%"</f>
      </c>
    </row>
    <row x14ac:dyDescent="0.25" r="45" customHeight="1" ht="17.25">
      <c r="A45" s="20" t="s">
        <v>3595</v>
      </c>
      <c r="B45" s="20" t="s">
        <v>101</v>
      </c>
      <c r="C45" s="20" t="s">
        <v>95</v>
      </c>
      <c r="D45" s="20" t="s">
        <v>34</v>
      </c>
      <c r="E45" s="21">
        <f>ROUND(17807*1.05,2)</f>
      </c>
      <c r="F45" s="20" t="s">
        <v>35</v>
      </c>
      <c r="G45" s="20" t="s">
        <v>18</v>
      </c>
      <c r="H45" s="21">
        <f>ROUND(RAND()*4+6,1)</f>
      </c>
      <c r="I45" s="20" t="s">
        <v>36</v>
      </c>
      <c r="J45" s="23">
        <f>ROUND(71*1,0)&amp;"%"</f>
      </c>
    </row>
    <row x14ac:dyDescent="0.25" r="46" customHeight="1" ht="17.25">
      <c r="A46" s="17" t="s">
        <v>3596</v>
      </c>
      <c r="B46" s="17" t="s">
        <v>103</v>
      </c>
      <c r="C46" s="17" t="s">
        <v>95</v>
      </c>
      <c r="D46" s="17" t="s">
        <v>39</v>
      </c>
      <c r="E46" s="18">
        <f>ROUND(11992*1.05,2)</f>
      </c>
      <c r="F46" s="17" t="s">
        <v>40</v>
      </c>
      <c r="G46" s="17" t="s">
        <v>24</v>
      </c>
      <c r="H46" s="18">
        <f>ROUND(RAND()*4+6,1)</f>
      </c>
      <c r="I46" s="17" t="s">
        <v>41</v>
      </c>
      <c r="J46" s="19">
        <f>ROUND(61*1,0)&amp;"%"</f>
      </c>
    </row>
    <row x14ac:dyDescent="0.25" r="47" customHeight="1" ht="17.25">
      <c r="A47" s="20" t="s">
        <v>3597</v>
      </c>
      <c r="B47" s="20" t="s">
        <v>105</v>
      </c>
      <c r="C47" s="20" t="s">
        <v>95</v>
      </c>
      <c r="D47" s="20" t="s">
        <v>67</v>
      </c>
      <c r="E47" s="21">
        <f>ROUND(11552*1.05,2)</f>
      </c>
      <c r="F47" s="20" t="s">
        <v>44</v>
      </c>
      <c r="G47" s="20" t="s">
        <v>30</v>
      </c>
      <c r="H47" s="21">
        <f>ROUND(RAND()*4+6,1)</f>
      </c>
      <c r="I47" s="20" t="s">
        <v>45</v>
      </c>
      <c r="J47" s="23">
        <f>ROUND(80*1,0)&amp;"%"</f>
      </c>
    </row>
    <row x14ac:dyDescent="0.25" r="48" customHeight="1" ht="17.25">
      <c r="A48" s="17" t="s">
        <v>3598</v>
      </c>
      <c r="B48" s="17" t="s">
        <v>107</v>
      </c>
      <c r="C48" s="17" t="s">
        <v>95</v>
      </c>
      <c r="D48" s="17" t="s">
        <v>16</v>
      </c>
      <c r="E48" s="26">
        <f>ROUND(5000*1.05,2)</f>
      </c>
      <c r="F48" s="17" t="s">
        <v>48</v>
      </c>
      <c r="G48" s="17" t="s">
        <v>18</v>
      </c>
      <c r="H48" s="18">
        <f>ROUND(RAND()*4+6,1)</f>
      </c>
      <c r="I48" s="17" t="s">
        <v>19</v>
      </c>
      <c r="J48" s="19">
        <f>ROUND(61*1,0)&amp;"%"</f>
      </c>
    </row>
    <row x14ac:dyDescent="0.25" r="49" customHeight="1" ht="17.25">
      <c r="A49" s="20" t="s">
        <v>3599</v>
      </c>
      <c r="B49" s="20" t="s">
        <v>109</v>
      </c>
      <c r="C49" s="20" t="s">
        <v>95</v>
      </c>
      <c r="D49" s="20" t="s">
        <v>22</v>
      </c>
      <c r="E49" s="21">
        <f>ROUND(8968*1.05,2)</f>
      </c>
      <c r="F49" s="20" t="s">
        <v>51</v>
      </c>
      <c r="G49" s="20" t="s">
        <v>24</v>
      </c>
      <c r="H49" s="21">
        <f>ROUND(RAND()*4+6,1)</f>
      </c>
      <c r="I49" s="20" t="s">
        <v>25</v>
      </c>
      <c r="J49" s="23">
        <f>ROUND(69*1,0)&amp;"%"</f>
      </c>
    </row>
    <row x14ac:dyDescent="0.25" r="50" customHeight="1" ht="17.25">
      <c r="A50" s="24" t="s">
        <v>110</v>
      </c>
      <c r="B50" s="24"/>
      <c r="C50" s="24"/>
      <c r="D50" s="24"/>
      <c r="E50" s="25">
        <v>8</v>
      </c>
      <c r="F50" s="9"/>
      <c r="G50" s="9"/>
      <c r="H50" s="10"/>
      <c r="I50" s="9"/>
      <c r="J50" s="9"/>
    </row>
    <row x14ac:dyDescent="0.25" r="51" customHeight="1" ht="17.25">
      <c r="A51" s="7"/>
      <c r="B51" s="7"/>
      <c r="C51" s="7"/>
      <c r="D51" s="7"/>
      <c r="E51" s="8"/>
      <c r="F51" s="9"/>
      <c r="G51" s="9"/>
      <c r="H51" s="10"/>
      <c r="I51" s="9"/>
      <c r="J51" s="9"/>
    </row>
    <row x14ac:dyDescent="0.25" r="52" customHeight="1" ht="17.25">
      <c r="A52" s="11" t="s">
        <v>3600</v>
      </c>
      <c r="B52" s="11"/>
      <c r="C52" s="11"/>
      <c r="D52" s="11"/>
      <c r="E52" s="12"/>
      <c r="F52" s="11"/>
      <c r="G52" s="11"/>
      <c r="H52" s="13"/>
      <c r="I52" s="11"/>
      <c r="J52" s="11"/>
    </row>
    <row x14ac:dyDescent="0.25" r="53" customHeight="1" ht="17.25">
      <c r="A53" s="14" t="s">
        <v>3</v>
      </c>
      <c r="B53" s="14" t="s">
        <v>4</v>
      </c>
      <c r="C53" s="14" t="s">
        <v>5</v>
      </c>
      <c r="D53" s="14" t="s">
        <v>6</v>
      </c>
      <c r="E53" s="15" t="s">
        <v>7</v>
      </c>
      <c r="F53" s="14" t="s">
        <v>8</v>
      </c>
      <c r="G53" s="14" t="s">
        <v>9</v>
      </c>
      <c r="H53" s="16" t="s">
        <v>10</v>
      </c>
      <c r="I53" s="14" t="s">
        <v>11</v>
      </c>
      <c r="J53" s="14" t="s">
        <v>12</v>
      </c>
    </row>
    <row x14ac:dyDescent="0.25" r="54" customHeight="1" ht="17.25">
      <c r="A54" s="17" t="s">
        <v>3601</v>
      </c>
      <c r="B54" s="17" t="s">
        <v>113</v>
      </c>
      <c r="C54" s="17" t="s">
        <v>114</v>
      </c>
      <c r="D54" s="17" t="s">
        <v>16</v>
      </c>
      <c r="E54" s="18">
        <f>ROUND(4294*1.05,2)</f>
      </c>
      <c r="F54" s="17" t="s">
        <v>17</v>
      </c>
      <c r="G54" s="17" t="s">
        <v>18</v>
      </c>
      <c r="H54" s="26">
        <f>ROUND(RAND()*4+6,1)</f>
      </c>
      <c r="I54" s="17" t="s">
        <v>19</v>
      </c>
      <c r="J54" s="19">
        <f>ROUND(97*1,0)&amp;"%"</f>
      </c>
    </row>
    <row x14ac:dyDescent="0.25" r="55" customHeight="1" ht="17.25">
      <c r="A55" s="20" t="s">
        <v>3602</v>
      </c>
      <c r="B55" s="20" t="s">
        <v>116</v>
      </c>
      <c r="C55" s="20" t="s">
        <v>114</v>
      </c>
      <c r="D55" s="20" t="s">
        <v>22</v>
      </c>
      <c r="E55" s="21">
        <f>ROUND(10994*1.05,2)</f>
      </c>
      <c r="F55" s="20" t="s">
        <v>23</v>
      </c>
      <c r="G55" s="20" t="s">
        <v>24</v>
      </c>
      <c r="H55" s="21">
        <f>ROUND(RAND()*4+6,1)</f>
      </c>
      <c r="I55" s="20" t="s">
        <v>25</v>
      </c>
      <c r="J55" s="23">
        <f>ROUND(90*1,0)&amp;"%"</f>
      </c>
    </row>
    <row x14ac:dyDescent="0.25" r="56" customHeight="1" ht="17.25">
      <c r="A56" s="17" t="s">
        <v>3603</v>
      </c>
      <c r="B56" s="17" t="s">
        <v>118</v>
      </c>
      <c r="C56" s="17" t="s">
        <v>114</v>
      </c>
      <c r="D56" s="17" t="s">
        <v>28</v>
      </c>
      <c r="E56" s="18">
        <f>ROUND(10649*1.05,2)</f>
      </c>
      <c r="F56" s="17" t="s">
        <v>29</v>
      </c>
      <c r="G56" s="17" t="s">
        <v>30</v>
      </c>
      <c r="H56" s="18">
        <f>ROUND(RAND()*4+6,1)</f>
      </c>
      <c r="I56" s="17" t="s">
        <v>31</v>
      </c>
      <c r="J56" s="19">
        <f>ROUND(69*1,0)&amp;"%"</f>
      </c>
    </row>
    <row x14ac:dyDescent="0.25" r="57" customHeight="1" ht="17.25">
      <c r="A57" s="20" t="s">
        <v>3604</v>
      </c>
      <c r="B57" s="20" t="s">
        <v>120</v>
      </c>
      <c r="C57" s="20" t="s">
        <v>114</v>
      </c>
      <c r="D57" s="20" t="s">
        <v>34</v>
      </c>
      <c r="E57" s="21">
        <f>ROUND(10193*1.05,2)</f>
      </c>
      <c r="F57" s="20" t="s">
        <v>35</v>
      </c>
      <c r="G57" s="20" t="s">
        <v>18</v>
      </c>
      <c r="H57" s="21">
        <f>ROUND(RAND()*4+6,1)</f>
      </c>
      <c r="I57" s="20" t="s">
        <v>36</v>
      </c>
      <c r="J57" s="23">
        <f>ROUND(66*1,0)&amp;"%"</f>
      </c>
    </row>
    <row x14ac:dyDescent="0.25" r="58" customHeight="1" ht="17.25">
      <c r="A58" s="17" t="s">
        <v>3605</v>
      </c>
      <c r="B58" s="17" t="s">
        <v>122</v>
      </c>
      <c r="C58" s="17" t="s">
        <v>114</v>
      </c>
      <c r="D58" s="17" t="s">
        <v>39</v>
      </c>
      <c r="E58" s="18">
        <f>ROUND(4633*1.05,2)</f>
      </c>
      <c r="F58" s="17" t="s">
        <v>40</v>
      </c>
      <c r="G58" s="17" t="s">
        <v>24</v>
      </c>
      <c r="H58" s="18">
        <f>ROUND(RAND()*4+6,1)</f>
      </c>
      <c r="I58" s="17" t="s">
        <v>41</v>
      </c>
      <c r="J58" s="19">
        <f>ROUND(72*1,0)&amp;"%"</f>
      </c>
    </row>
    <row x14ac:dyDescent="0.25" r="59" customHeight="1" ht="17.25">
      <c r="A59" s="20" t="s">
        <v>3606</v>
      </c>
      <c r="B59" s="20" t="s">
        <v>124</v>
      </c>
      <c r="C59" s="20" t="s">
        <v>114</v>
      </c>
      <c r="D59" s="20" t="s">
        <v>67</v>
      </c>
      <c r="E59" s="21">
        <f>ROUND(12518*1.05,2)</f>
      </c>
      <c r="F59" s="20" t="s">
        <v>44</v>
      </c>
      <c r="G59" s="20" t="s">
        <v>30</v>
      </c>
      <c r="H59" s="21">
        <f>ROUND(RAND()*4+6,1)</f>
      </c>
      <c r="I59" s="20" t="s">
        <v>45</v>
      </c>
      <c r="J59" s="23">
        <f>ROUND(66*1,0)&amp;"%"</f>
      </c>
    </row>
    <row x14ac:dyDescent="0.25" r="60" customHeight="1" ht="17.25">
      <c r="A60" s="17" t="s">
        <v>3607</v>
      </c>
      <c r="B60" s="17" t="s">
        <v>126</v>
      </c>
      <c r="C60" s="17" t="s">
        <v>114</v>
      </c>
      <c r="D60" s="17" t="s">
        <v>16</v>
      </c>
      <c r="E60" s="18">
        <f>ROUND(17693*1.05,2)</f>
      </c>
      <c r="F60" s="17" t="s">
        <v>48</v>
      </c>
      <c r="G60" s="17" t="s">
        <v>18</v>
      </c>
      <c r="H60" s="18">
        <f>ROUND(RAND()*4+6,1)</f>
      </c>
      <c r="I60" s="17" t="s">
        <v>19</v>
      </c>
      <c r="J60" s="19">
        <f>ROUND(71*1,0)&amp;"%"</f>
      </c>
    </row>
    <row x14ac:dyDescent="0.25" r="61" customHeight="1" ht="17.25">
      <c r="A61" s="20" t="s">
        <v>3608</v>
      </c>
      <c r="B61" s="20" t="s">
        <v>128</v>
      </c>
      <c r="C61" s="20" t="s">
        <v>114</v>
      </c>
      <c r="D61" s="20" t="s">
        <v>22</v>
      </c>
      <c r="E61" s="21">
        <f>ROUND(16591*1.05,2)</f>
      </c>
      <c r="F61" s="20" t="s">
        <v>51</v>
      </c>
      <c r="G61" s="20" t="s">
        <v>24</v>
      </c>
      <c r="H61" s="21">
        <f>ROUND(RAND()*4+6,1)</f>
      </c>
      <c r="I61" s="20" t="s">
        <v>25</v>
      </c>
      <c r="J61" s="23">
        <f>ROUND(77*1,0)&amp;"%"</f>
      </c>
    </row>
    <row x14ac:dyDescent="0.25" r="62" customHeight="1" ht="17.25">
      <c r="A62" s="24" t="s">
        <v>129</v>
      </c>
      <c r="B62" s="24"/>
      <c r="C62" s="24"/>
      <c r="D62" s="24"/>
      <c r="E62" s="25">
        <v>8</v>
      </c>
      <c r="F62" s="9"/>
      <c r="G62" s="9"/>
      <c r="H62" s="10"/>
      <c r="I62" s="9"/>
      <c r="J62" s="9"/>
    </row>
    <row x14ac:dyDescent="0.25" r="63" customHeight="1" ht="17.25">
      <c r="A63" s="7"/>
      <c r="B63" s="7"/>
      <c r="C63" s="7"/>
      <c r="D63" s="7"/>
      <c r="E63" s="8"/>
      <c r="F63" s="9"/>
      <c r="G63" s="9"/>
      <c r="H63" s="10"/>
      <c r="I63" s="9"/>
      <c r="J63" s="9"/>
    </row>
    <row x14ac:dyDescent="0.25" r="64" customHeight="1" ht="17.25">
      <c r="A64" s="11" t="s">
        <v>3609</v>
      </c>
      <c r="B64" s="11"/>
      <c r="C64" s="11"/>
      <c r="D64" s="11"/>
      <c r="E64" s="12"/>
      <c r="F64" s="11"/>
      <c r="G64" s="11"/>
      <c r="H64" s="13"/>
      <c r="I64" s="11"/>
      <c r="J64" s="11"/>
    </row>
    <row x14ac:dyDescent="0.25" r="65" customHeight="1" ht="17.25">
      <c r="A65" s="14" t="s">
        <v>3</v>
      </c>
      <c r="B65" s="14" t="s">
        <v>4</v>
      </c>
      <c r="C65" s="14" t="s">
        <v>5</v>
      </c>
      <c r="D65" s="14" t="s">
        <v>6</v>
      </c>
      <c r="E65" s="15" t="s">
        <v>7</v>
      </c>
      <c r="F65" s="14" t="s">
        <v>8</v>
      </c>
      <c r="G65" s="14" t="s">
        <v>9</v>
      </c>
      <c r="H65" s="16" t="s">
        <v>10</v>
      </c>
      <c r="I65" s="14" t="s">
        <v>11</v>
      </c>
      <c r="J65" s="14" t="s">
        <v>12</v>
      </c>
    </row>
    <row x14ac:dyDescent="0.25" r="66" customHeight="1" ht="17.25">
      <c r="A66" s="17" t="s">
        <v>3610</v>
      </c>
      <c r="B66" s="17" t="s">
        <v>132</v>
      </c>
      <c r="C66" s="17" t="s">
        <v>133</v>
      </c>
      <c r="D66" s="17" t="s">
        <v>16</v>
      </c>
      <c r="E66" s="18">
        <f>ROUND(16931*1.05,2)</f>
      </c>
      <c r="F66" s="17" t="s">
        <v>17</v>
      </c>
      <c r="G66" s="17" t="s">
        <v>18</v>
      </c>
      <c r="H66" s="18">
        <f>ROUND(RAND()*4+6,1)</f>
      </c>
      <c r="I66" s="17" t="s">
        <v>19</v>
      </c>
      <c r="J66" s="19">
        <f>ROUND(94*1,0)&amp;"%"</f>
      </c>
    </row>
    <row x14ac:dyDescent="0.25" r="67" customHeight="1" ht="17.25">
      <c r="A67" s="20" t="s">
        <v>3611</v>
      </c>
      <c r="B67" s="20" t="s">
        <v>135</v>
      </c>
      <c r="C67" s="20" t="s">
        <v>133</v>
      </c>
      <c r="D67" s="20" t="s">
        <v>22</v>
      </c>
      <c r="E67" s="22">
        <f>ROUND(7020*1.05,2)</f>
      </c>
      <c r="F67" s="20" t="s">
        <v>23</v>
      </c>
      <c r="G67" s="20" t="s">
        <v>24</v>
      </c>
      <c r="H67" s="21">
        <f>ROUND(RAND()*4+6,1)</f>
      </c>
      <c r="I67" s="20" t="s">
        <v>25</v>
      </c>
      <c r="J67" s="23">
        <f>ROUND(96*1,0)&amp;"%"</f>
      </c>
    </row>
    <row x14ac:dyDescent="0.25" r="68" customHeight="1" ht="17.25">
      <c r="A68" s="17" t="s">
        <v>3612</v>
      </c>
      <c r="B68" s="17" t="s">
        <v>137</v>
      </c>
      <c r="C68" s="17" t="s">
        <v>133</v>
      </c>
      <c r="D68" s="17" t="s">
        <v>28</v>
      </c>
      <c r="E68" s="18">
        <f>ROUND(5902*1.05,2)</f>
      </c>
      <c r="F68" s="17" t="s">
        <v>29</v>
      </c>
      <c r="G68" s="17" t="s">
        <v>30</v>
      </c>
      <c r="H68" s="18">
        <f>ROUND(RAND()*4+6,1)</f>
      </c>
      <c r="I68" s="17" t="s">
        <v>31</v>
      </c>
      <c r="J68" s="19">
        <f>ROUND(87*1,0)&amp;"%"</f>
      </c>
    </row>
    <row x14ac:dyDescent="0.25" r="69" customHeight="1" ht="17.25">
      <c r="A69" s="20" t="s">
        <v>3613</v>
      </c>
      <c r="B69" s="20" t="s">
        <v>139</v>
      </c>
      <c r="C69" s="20" t="s">
        <v>133</v>
      </c>
      <c r="D69" s="20" t="s">
        <v>34</v>
      </c>
      <c r="E69" s="21">
        <f>ROUND(4774*1.05,2)</f>
      </c>
      <c r="F69" s="20" t="s">
        <v>35</v>
      </c>
      <c r="G69" s="20" t="s">
        <v>18</v>
      </c>
      <c r="H69" s="21">
        <f>ROUND(RAND()*4+6,1)</f>
      </c>
      <c r="I69" s="20" t="s">
        <v>36</v>
      </c>
      <c r="J69" s="23">
        <f>ROUND(77*1,0)&amp;"%"</f>
      </c>
    </row>
    <row x14ac:dyDescent="0.25" r="70" customHeight="1" ht="17.25">
      <c r="A70" s="17" t="s">
        <v>3614</v>
      </c>
      <c r="B70" s="17" t="s">
        <v>141</v>
      </c>
      <c r="C70" s="17" t="s">
        <v>133</v>
      </c>
      <c r="D70" s="17" t="s">
        <v>39</v>
      </c>
      <c r="E70" s="18">
        <f>ROUND(7894*1.05,2)</f>
      </c>
      <c r="F70" s="17" t="s">
        <v>40</v>
      </c>
      <c r="G70" s="17" t="s">
        <v>24</v>
      </c>
      <c r="H70" s="18">
        <f>ROUND(RAND()*4+6,1)</f>
      </c>
      <c r="I70" s="17" t="s">
        <v>41</v>
      </c>
      <c r="J70" s="19">
        <f>ROUND(93*1,0)&amp;"%"</f>
      </c>
    </row>
    <row x14ac:dyDescent="0.25" r="71" customHeight="1" ht="17.25">
      <c r="A71" s="20" t="s">
        <v>3615</v>
      </c>
      <c r="B71" s="20" t="s">
        <v>143</v>
      </c>
      <c r="C71" s="20" t="s">
        <v>133</v>
      </c>
      <c r="D71" s="20" t="s">
        <v>67</v>
      </c>
      <c r="E71" s="21">
        <f>ROUND(12327*1.05,2)</f>
      </c>
      <c r="F71" s="20" t="s">
        <v>44</v>
      </c>
      <c r="G71" s="20" t="s">
        <v>30</v>
      </c>
      <c r="H71" s="21">
        <f>ROUND(RAND()*4+6,1)</f>
      </c>
      <c r="I71" s="20" t="s">
        <v>45</v>
      </c>
      <c r="J71" s="23">
        <f>ROUND(76*1,0)&amp;"%"</f>
      </c>
    </row>
    <row x14ac:dyDescent="0.25" r="72" customHeight="1" ht="17.25">
      <c r="A72" s="17" t="s">
        <v>3616</v>
      </c>
      <c r="B72" s="17" t="s">
        <v>145</v>
      </c>
      <c r="C72" s="17" t="s">
        <v>133</v>
      </c>
      <c r="D72" s="17" t="s">
        <v>16</v>
      </c>
      <c r="E72" s="18">
        <f>ROUND(7561*1.05,2)</f>
      </c>
      <c r="F72" s="17" t="s">
        <v>48</v>
      </c>
      <c r="G72" s="17" t="s">
        <v>18</v>
      </c>
      <c r="H72" s="18">
        <f>ROUND(RAND()*4+6,1)</f>
      </c>
      <c r="I72" s="17" t="s">
        <v>19</v>
      </c>
      <c r="J72" s="19">
        <f>ROUND(75*1,0)&amp;"%"</f>
      </c>
    </row>
    <row x14ac:dyDescent="0.25" r="73" customHeight="1" ht="17.25">
      <c r="A73" s="20" t="s">
        <v>3617</v>
      </c>
      <c r="B73" s="20" t="s">
        <v>147</v>
      </c>
      <c r="C73" s="20" t="s">
        <v>133</v>
      </c>
      <c r="D73" s="20" t="s">
        <v>22</v>
      </c>
      <c r="E73" s="21">
        <f>ROUND(11165*1.05,2)</f>
      </c>
      <c r="F73" s="20" t="s">
        <v>51</v>
      </c>
      <c r="G73" s="20" t="s">
        <v>24</v>
      </c>
      <c r="H73" s="21">
        <f>ROUND(RAND()*4+6,1)</f>
      </c>
      <c r="I73" s="20" t="s">
        <v>25</v>
      </c>
      <c r="J73" s="23">
        <f>ROUND(98*1,0)&amp;"%"</f>
      </c>
    </row>
    <row x14ac:dyDescent="0.25" r="74" customHeight="1" ht="17.25">
      <c r="A74" s="24" t="s">
        <v>148</v>
      </c>
      <c r="B74" s="24"/>
      <c r="C74" s="24"/>
      <c r="D74" s="24"/>
      <c r="E74" s="25">
        <v>8</v>
      </c>
      <c r="F74" s="9"/>
      <c r="G74" s="9"/>
      <c r="H74" s="10"/>
      <c r="I74" s="9"/>
      <c r="J74" s="9"/>
    </row>
    <row x14ac:dyDescent="0.25" r="75" customHeight="1" ht="17.25">
      <c r="A75" s="7"/>
      <c r="B75" s="7"/>
      <c r="C75" s="7"/>
      <c r="D75" s="7"/>
      <c r="E75" s="8"/>
      <c r="F75" s="9"/>
      <c r="G75" s="9"/>
      <c r="H75" s="10"/>
      <c r="I75" s="9"/>
      <c r="J75" s="9"/>
    </row>
    <row x14ac:dyDescent="0.25" r="76" customHeight="1" ht="17.25">
      <c r="A76" s="11" t="s">
        <v>3618</v>
      </c>
      <c r="B76" s="11"/>
      <c r="C76" s="11"/>
      <c r="D76" s="11"/>
      <c r="E76" s="12"/>
      <c r="F76" s="11"/>
      <c r="G76" s="11"/>
      <c r="H76" s="13"/>
      <c r="I76" s="11"/>
      <c r="J76" s="11"/>
    </row>
    <row x14ac:dyDescent="0.25" r="77" customHeight="1" ht="17.25">
      <c r="A77" s="14" t="s">
        <v>3</v>
      </c>
      <c r="B77" s="14" t="s">
        <v>4</v>
      </c>
      <c r="C77" s="14" t="s">
        <v>5</v>
      </c>
      <c r="D77" s="14" t="s">
        <v>6</v>
      </c>
      <c r="E77" s="15" t="s">
        <v>7</v>
      </c>
      <c r="F77" s="14" t="s">
        <v>8</v>
      </c>
      <c r="G77" s="14" t="s">
        <v>9</v>
      </c>
      <c r="H77" s="16" t="s">
        <v>10</v>
      </c>
      <c r="I77" s="14" t="s">
        <v>11</v>
      </c>
      <c r="J77" s="14" t="s">
        <v>12</v>
      </c>
    </row>
    <row x14ac:dyDescent="0.25" r="78" customHeight="1" ht="17.25">
      <c r="A78" s="17" t="s">
        <v>3619</v>
      </c>
      <c r="B78" s="17" t="s">
        <v>151</v>
      </c>
      <c r="C78" s="17" t="s">
        <v>152</v>
      </c>
      <c r="D78" s="17" t="s">
        <v>16</v>
      </c>
      <c r="E78" s="18">
        <f>ROUND(17046*1.05,2)</f>
      </c>
      <c r="F78" s="17" t="s">
        <v>17</v>
      </c>
      <c r="G78" s="17" t="s">
        <v>18</v>
      </c>
      <c r="H78" s="18">
        <f>ROUND(RAND()*4+6,1)</f>
      </c>
      <c r="I78" s="17" t="s">
        <v>19</v>
      </c>
      <c r="J78" s="19">
        <f>ROUND(99*1,0)&amp;"%"</f>
      </c>
    </row>
    <row x14ac:dyDescent="0.25" r="79" customHeight="1" ht="17.25">
      <c r="A79" s="20" t="s">
        <v>3620</v>
      </c>
      <c r="B79" s="20" t="s">
        <v>154</v>
      </c>
      <c r="C79" s="20" t="s">
        <v>152</v>
      </c>
      <c r="D79" s="20" t="s">
        <v>22</v>
      </c>
      <c r="E79" s="21">
        <f>ROUND(10292*1.05,2)</f>
      </c>
      <c r="F79" s="20" t="s">
        <v>23</v>
      </c>
      <c r="G79" s="20" t="s">
        <v>24</v>
      </c>
      <c r="H79" s="22">
        <f>ROUND(RAND()*4+6,1)</f>
      </c>
      <c r="I79" s="20" t="s">
        <v>25</v>
      </c>
      <c r="J79" s="23">
        <f>ROUND(74*1,0)&amp;"%"</f>
      </c>
    </row>
    <row x14ac:dyDescent="0.25" r="80" customHeight="1" ht="17.25">
      <c r="A80" s="17" t="s">
        <v>3621</v>
      </c>
      <c r="B80" s="17" t="s">
        <v>156</v>
      </c>
      <c r="C80" s="17" t="s">
        <v>152</v>
      </c>
      <c r="D80" s="17" t="s">
        <v>28</v>
      </c>
      <c r="E80" s="18">
        <f>ROUND(4362*1.05,2)</f>
      </c>
      <c r="F80" s="17" t="s">
        <v>29</v>
      </c>
      <c r="G80" s="17" t="s">
        <v>30</v>
      </c>
      <c r="H80" s="18">
        <f>ROUND(RAND()*4+6,1)</f>
      </c>
      <c r="I80" s="17" t="s">
        <v>31</v>
      </c>
      <c r="J80" s="19">
        <f>ROUND(70*1,0)&amp;"%"</f>
      </c>
    </row>
    <row x14ac:dyDescent="0.25" r="81" customHeight="1" ht="17.25">
      <c r="A81" s="20" t="s">
        <v>3622</v>
      </c>
      <c r="B81" s="20" t="s">
        <v>158</v>
      </c>
      <c r="C81" s="20" t="s">
        <v>152</v>
      </c>
      <c r="D81" s="20" t="s">
        <v>34</v>
      </c>
      <c r="E81" s="21">
        <f>ROUND(10922*1.05,2)</f>
      </c>
      <c r="F81" s="20" t="s">
        <v>35</v>
      </c>
      <c r="G81" s="20" t="s">
        <v>18</v>
      </c>
      <c r="H81" s="21">
        <f>ROUND(RAND()*4+6,1)</f>
      </c>
      <c r="I81" s="20" t="s">
        <v>36</v>
      </c>
      <c r="J81" s="23">
        <f>ROUND(68*1,0)&amp;"%"</f>
      </c>
    </row>
    <row x14ac:dyDescent="0.25" r="82" customHeight="1" ht="17.25">
      <c r="A82" s="17" t="s">
        <v>3623</v>
      </c>
      <c r="B82" s="17" t="s">
        <v>160</v>
      </c>
      <c r="C82" s="17" t="s">
        <v>152</v>
      </c>
      <c r="D82" s="17" t="s">
        <v>39</v>
      </c>
      <c r="E82" s="18">
        <f>ROUND(14685*1.05,2)</f>
      </c>
      <c r="F82" s="17" t="s">
        <v>40</v>
      </c>
      <c r="G82" s="17" t="s">
        <v>24</v>
      </c>
      <c r="H82" s="26">
        <f>ROUND(RAND()*4+6,1)</f>
      </c>
      <c r="I82" s="17" t="s">
        <v>41</v>
      </c>
      <c r="J82" s="19">
        <f>ROUND(65*1,0)&amp;"%"</f>
      </c>
    </row>
    <row x14ac:dyDescent="0.25" r="83" customHeight="1" ht="17.25">
      <c r="A83" s="20" t="s">
        <v>3624</v>
      </c>
      <c r="B83" s="20" t="s">
        <v>162</v>
      </c>
      <c r="C83" s="20" t="s">
        <v>152</v>
      </c>
      <c r="D83" s="20" t="s">
        <v>67</v>
      </c>
      <c r="E83" s="21">
        <f>ROUND(9676*1.05,2)</f>
      </c>
      <c r="F83" s="20" t="s">
        <v>44</v>
      </c>
      <c r="G83" s="20" t="s">
        <v>30</v>
      </c>
      <c r="H83" s="21">
        <f>ROUND(RAND()*4+6,1)</f>
      </c>
      <c r="I83" s="20" t="s">
        <v>45</v>
      </c>
      <c r="J83" s="23">
        <f>ROUND(77*1,0)&amp;"%"</f>
      </c>
    </row>
    <row x14ac:dyDescent="0.25" r="84" customHeight="1" ht="17.25">
      <c r="A84" s="17" t="s">
        <v>3625</v>
      </c>
      <c r="B84" s="17" t="s">
        <v>164</v>
      </c>
      <c r="C84" s="17" t="s">
        <v>152</v>
      </c>
      <c r="D84" s="17" t="s">
        <v>16</v>
      </c>
      <c r="E84" s="18">
        <f>ROUND(11059*1.05,2)</f>
      </c>
      <c r="F84" s="17" t="s">
        <v>48</v>
      </c>
      <c r="G84" s="17" t="s">
        <v>18</v>
      </c>
      <c r="H84" s="18">
        <f>ROUND(RAND()*4+6,1)</f>
      </c>
      <c r="I84" s="17" t="s">
        <v>19</v>
      </c>
      <c r="J84" s="19">
        <f>ROUND(88*1,0)&amp;"%"</f>
      </c>
    </row>
    <row x14ac:dyDescent="0.25" r="85" customHeight="1" ht="17.25">
      <c r="A85" s="20" t="s">
        <v>3626</v>
      </c>
      <c r="B85" s="20" t="s">
        <v>166</v>
      </c>
      <c r="C85" s="20" t="s">
        <v>152</v>
      </c>
      <c r="D85" s="20" t="s">
        <v>22</v>
      </c>
      <c r="E85" s="21">
        <f>ROUND(14870*1.05,2)</f>
      </c>
      <c r="F85" s="20" t="s">
        <v>51</v>
      </c>
      <c r="G85" s="20" t="s">
        <v>24</v>
      </c>
      <c r="H85" s="21">
        <f>ROUND(RAND()*4+6,1)</f>
      </c>
      <c r="I85" s="20" t="s">
        <v>25</v>
      </c>
      <c r="J85" s="23">
        <f>ROUND(89*1,0)&amp;"%"</f>
      </c>
    </row>
    <row x14ac:dyDescent="0.25" r="86" customHeight="1" ht="17.25">
      <c r="A86" s="24" t="s">
        <v>167</v>
      </c>
      <c r="B86" s="24"/>
      <c r="C86" s="24"/>
      <c r="D86" s="24"/>
      <c r="E86" s="25">
        <v>8</v>
      </c>
      <c r="F86" s="9"/>
      <c r="G86" s="9"/>
      <c r="H86" s="10"/>
      <c r="I86" s="9"/>
      <c r="J86" s="9"/>
    </row>
    <row x14ac:dyDescent="0.25" r="87" customHeight="1" ht="17.25">
      <c r="A87" s="7"/>
      <c r="B87" s="7"/>
      <c r="C87" s="7"/>
      <c r="D87" s="7"/>
      <c r="E87" s="8"/>
      <c r="F87" s="9"/>
      <c r="G87" s="9"/>
      <c r="H87" s="10"/>
      <c r="I87" s="9"/>
      <c r="J87" s="9"/>
    </row>
    <row x14ac:dyDescent="0.25" r="88" customHeight="1" ht="17.25">
      <c r="A88" s="11" t="s">
        <v>3627</v>
      </c>
      <c r="B88" s="11"/>
      <c r="C88" s="11"/>
      <c r="D88" s="11"/>
      <c r="E88" s="12"/>
      <c r="F88" s="11"/>
      <c r="G88" s="11"/>
      <c r="H88" s="13"/>
      <c r="I88" s="11"/>
      <c r="J88" s="11"/>
    </row>
    <row x14ac:dyDescent="0.25" r="89" customHeight="1" ht="17.25">
      <c r="A89" s="14" t="s">
        <v>3</v>
      </c>
      <c r="B89" s="14" t="s">
        <v>4</v>
      </c>
      <c r="C89" s="14" t="s">
        <v>5</v>
      </c>
      <c r="D89" s="14" t="s">
        <v>6</v>
      </c>
      <c r="E89" s="15" t="s">
        <v>7</v>
      </c>
      <c r="F89" s="14" t="s">
        <v>8</v>
      </c>
      <c r="G89" s="14" t="s">
        <v>9</v>
      </c>
      <c r="H89" s="16" t="s">
        <v>10</v>
      </c>
      <c r="I89" s="14" t="s">
        <v>11</v>
      </c>
      <c r="J89" s="14" t="s">
        <v>12</v>
      </c>
    </row>
    <row x14ac:dyDescent="0.25" r="90" customHeight="1" ht="17.25">
      <c r="A90" s="17" t="s">
        <v>3628</v>
      </c>
      <c r="B90" s="17" t="s">
        <v>170</v>
      </c>
      <c r="C90" s="17" t="s">
        <v>15</v>
      </c>
      <c r="D90" s="17" t="s">
        <v>16</v>
      </c>
      <c r="E90" s="18">
        <f>ROUND(8971*1.05,2)</f>
      </c>
      <c r="F90" s="17" t="s">
        <v>17</v>
      </c>
      <c r="G90" s="17" t="s">
        <v>18</v>
      </c>
      <c r="H90" s="26">
        <f>ROUND(RAND()*4+6,1)</f>
      </c>
      <c r="I90" s="17" t="s">
        <v>19</v>
      </c>
      <c r="J90" s="19">
        <f>ROUND(78*1,0)&amp;"%"</f>
      </c>
    </row>
    <row x14ac:dyDescent="0.25" r="91" customHeight="1" ht="17.25">
      <c r="A91" s="20" t="s">
        <v>3629</v>
      </c>
      <c r="B91" s="20" t="s">
        <v>172</v>
      </c>
      <c r="C91" s="20" t="s">
        <v>15</v>
      </c>
      <c r="D91" s="20" t="s">
        <v>22</v>
      </c>
      <c r="E91" s="21">
        <f>ROUND(17443*1.05,2)</f>
      </c>
      <c r="F91" s="20" t="s">
        <v>23</v>
      </c>
      <c r="G91" s="20" t="s">
        <v>24</v>
      </c>
      <c r="H91" s="22">
        <f>ROUND(RAND()*4+6,1)</f>
      </c>
      <c r="I91" s="20" t="s">
        <v>25</v>
      </c>
      <c r="J91" s="23">
        <f>ROUND(91*1,0)&amp;"%"</f>
      </c>
    </row>
    <row x14ac:dyDescent="0.25" r="92" customHeight="1" ht="17.25">
      <c r="A92" s="17" t="s">
        <v>3630</v>
      </c>
      <c r="B92" s="17" t="s">
        <v>174</v>
      </c>
      <c r="C92" s="17" t="s">
        <v>15</v>
      </c>
      <c r="D92" s="17" t="s">
        <v>28</v>
      </c>
      <c r="E92" s="18">
        <f>ROUND(5305*1.05,2)</f>
      </c>
      <c r="F92" s="17" t="s">
        <v>29</v>
      </c>
      <c r="G92" s="17" t="s">
        <v>30</v>
      </c>
      <c r="H92" s="18">
        <f>ROUND(RAND()*4+6,1)</f>
      </c>
      <c r="I92" s="17" t="s">
        <v>31</v>
      </c>
      <c r="J92" s="19">
        <f>ROUND(62*1,0)&amp;"%"</f>
      </c>
    </row>
    <row x14ac:dyDescent="0.25" r="93" customHeight="1" ht="17.25">
      <c r="A93" s="20" t="s">
        <v>3631</v>
      </c>
      <c r="B93" s="20" t="s">
        <v>176</v>
      </c>
      <c r="C93" s="20" t="s">
        <v>15</v>
      </c>
      <c r="D93" s="20" t="s">
        <v>34</v>
      </c>
      <c r="E93" s="21">
        <f>ROUND(17493*1.05,2)</f>
      </c>
      <c r="F93" s="20" t="s">
        <v>35</v>
      </c>
      <c r="G93" s="20" t="s">
        <v>18</v>
      </c>
      <c r="H93" s="21">
        <f>ROUND(RAND()*4+6,1)</f>
      </c>
      <c r="I93" s="20" t="s">
        <v>36</v>
      </c>
      <c r="J93" s="23">
        <f>ROUND(96*1,0)&amp;"%"</f>
      </c>
    </row>
    <row x14ac:dyDescent="0.25" r="94" customHeight="1" ht="17.25">
      <c r="A94" s="17" t="s">
        <v>3632</v>
      </c>
      <c r="B94" s="17" t="s">
        <v>178</v>
      </c>
      <c r="C94" s="17" t="s">
        <v>15</v>
      </c>
      <c r="D94" s="17" t="s">
        <v>39</v>
      </c>
      <c r="E94" s="18">
        <f>ROUND(9025*1.05,2)</f>
      </c>
      <c r="F94" s="17" t="s">
        <v>40</v>
      </c>
      <c r="G94" s="17" t="s">
        <v>24</v>
      </c>
      <c r="H94" s="18">
        <f>ROUND(RAND()*4+6,1)</f>
      </c>
      <c r="I94" s="17" t="s">
        <v>41</v>
      </c>
      <c r="J94" s="19">
        <f>ROUND(99*1,0)&amp;"%"</f>
      </c>
    </row>
    <row x14ac:dyDescent="0.25" r="95" customHeight="1" ht="17.25">
      <c r="A95" s="20" t="s">
        <v>3633</v>
      </c>
      <c r="B95" s="20" t="s">
        <v>180</v>
      </c>
      <c r="C95" s="20" t="s">
        <v>15</v>
      </c>
      <c r="D95" s="20" t="s">
        <v>67</v>
      </c>
      <c r="E95" s="21">
        <f>ROUND(9199*1.05,2)</f>
      </c>
      <c r="F95" s="20" t="s">
        <v>44</v>
      </c>
      <c r="G95" s="20" t="s">
        <v>30</v>
      </c>
      <c r="H95" s="21">
        <f>ROUND(RAND()*4+6,1)</f>
      </c>
      <c r="I95" s="20" t="s">
        <v>45</v>
      </c>
      <c r="J95" s="23">
        <f>ROUND(90*1,0)&amp;"%"</f>
      </c>
    </row>
    <row x14ac:dyDescent="0.25" r="96" customHeight="1" ht="17.25">
      <c r="A96" s="17" t="s">
        <v>3634</v>
      </c>
      <c r="B96" s="17" t="s">
        <v>182</v>
      </c>
      <c r="C96" s="17" t="s">
        <v>15</v>
      </c>
      <c r="D96" s="17" t="s">
        <v>16</v>
      </c>
      <c r="E96" s="26">
        <f>ROUND(7840*1.05,2)</f>
      </c>
      <c r="F96" s="17" t="s">
        <v>48</v>
      </c>
      <c r="G96" s="17" t="s">
        <v>18</v>
      </c>
      <c r="H96" s="18">
        <f>ROUND(RAND()*4+6,1)</f>
      </c>
      <c r="I96" s="17" t="s">
        <v>19</v>
      </c>
      <c r="J96" s="19">
        <f>ROUND(89*1,0)&amp;"%"</f>
      </c>
    </row>
    <row x14ac:dyDescent="0.25" r="97" customHeight="1" ht="17.25">
      <c r="A97" s="20" t="s">
        <v>3635</v>
      </c>
      <c r="B97" s="20" t="s">
        <v>184</v>
      </c>
      <c r="C97" s="20" t="s">
        <v>15</v>
      </c>
      <c r="D97" s="20" t="s">
        <v>22</v>
      </c>
      <c r="E97" s="21">
        <f>ROUND(12161*1.05,2)</f>
      </c>
      <c r="F97" s="20" t="s">
        <v>51</v>
      </c>
      <c r="G97" s="20" t="s">
        <v>24</v>
      </c>
      <c r="H97" s="21">
        <f>ROUND(RAND()*4+6,1)</f>
      </c>
      <c r="I97" s="20" t="s">
        <v>25</v>
      </c>
      <c r="J97" s="23">
        <f>ROUND(100*1,0)&amp;"%"</f>
      </c>
    </row>
    <row x14ac:dyDescent="0.25" r="98" customHeight="1" ht="17.25">
      <c r="A98" s="24" t="s">
        <v>185</v>
      </c>
      <c r="B98" s="24"/>
      <c r="C98" s="24"/>
      <c r="D98" s="24"/>
      <c r="E98" s="25">
        <v>8</v>
      </c>
      <c r="F98" s="9"/>
      <c r="G98" s="9"/>
      <c r="H98" s="10"/>
      <c r="I98" s="9"/>
      <c r="J98" s="9"/>
    </row>
    <row x14ac:dyDescent="0.25" r="99" customHeight="1" ht="17.25">
      <c r="A99" s="7"/>
      <c r="B99" s="7"/>
      <c r="C99" s="7"/>
      <c r="D99" s="7"/>
      <c r="E99" s="8"/>
      <c r="F99" s="9"/>
      <c r="G99" s="9"/>
      <c r="H99" s="10"/>
      <c r="I99" s="9"/>
      <c r="J99" s="9"/>
    </row>
    <row x14ac:dyDescent="0.25" r="100" customHeight="1" ht="17.25">
      <c r="A100" s="11" t="s">
        <v>3636</v>
      </c>
      <c r="B100" s="11"/>
      <c r="C100" s="11"/>
      <c r="D100" s="11"/>
      <c r="E100" s="12"/>
      <c r="F100" s="11"/>
      <c r="G100" s="11"/>
      <c r="H100" s="13"/>
      <c r="I100" s="11"/>
      <c r="J100" s="11"/>
    </row>
    <row x14ac:dyDescent="0.25" r="101" customHeight="1" ht="17.25">
      <c r="A101" s="14" t="s">
        <v>3</v>
      </c>
      <c r="B101" s="14" t="s">
        <v>4</v>
      </c>
      <c r="C101" s="14" t="s">
        <v>5</v>
      </c>
      <c r="D101" s="14" t="s">
        <v>6</v>
      </c>
      <c r="E101" s="15" t="s">
        <v>7</v>
      </c>
      <c r="F101" s="14" t="s">
        <v>8</v>
      </c>
      <c r="G101" s="14" t="s">
        <v>9</v>
      </c>
      <c r="H101" s="16" t="s">
        <v>10</v>
      </c>
      <c r="I101" s="14" t="s">
        <v>11</v>
      </c>
      <c r="J101" s="14" t="s">
        <v>12</v>
      </c>
    </row>
    <row x14ac:dyDescent="0.25" r="102" customHeight="1" ht="17.25">
      <c r="A102" s="17" t="s">
        <v>3637</v>
      </c>
      <c r="B102" s="17" t="s">
        <v>188</v>
      </c>
      <c r="C102" s="17" t="s">
        <v>56</v>
      </c>
      <c r="D102" s="17" t="s">
        <v>16</v>
      </c>
      <c r="E102" s="18">
        <f>ROUND(17408*1.05,2)</f>
      </c>
      <c r="F102" s="17" t="s">
        <v>17</v>
      </c>
      <c r="G102" s="17" t="s">
        <v>18</v>
      </c>
      <c r="H102" s="18">
        <f>ROUND(RAND()*4+6,1)</f>
      </c>
      <c r="I102" s="17" t="s">
        <v>19</v>
      </c>
      <c r="J102" s="19">
        <f>ROUND(95*1,0)&amp;"%"</f>
      </c>
    </row>
    <row x14ac:dyDescent="0.25" r="103" customHeight="1" ht="17.25">
      <c r="A103" s="20" t="s">
        <v>3638</v>
      </c>
      <c r="B103" s="20" t="s">
        <v>190</v>
      </c>
      <c r="C103" s="20" t="s">
        <v>56</v>
      </c>
      <c r="D103" s="20" t="s">
        <v>22</v>
      </c>
      <c r="E103" s="21">
        <f>ROUND(16901*1.05,2)</f>
      </c>
      <c r="F103" s="20" t="s">
        <v>23</v>
      </c>
      <c r="G103" s="20" t="s">
        <v>24</v>
      </c>
      <c r="H103" s="21">
        <f>ROUND(RAND()*4+6,1)</f>
      </c>
      <c r="I103" s="20" t="s">
        <v>25</v>
      </c>
      <c r="J103" s="23">
        <f>ROUND(80*1,0)&amp;"%"</f>
      </c>
    </row>
    <row x14ac:dyDescent="0.25" r="104" customHeight="1" ht="17.25">
      <c r="A104" s="17" t="s">
        <v>3639</v>
      </c>
      <c r="B104" s="17" t="s">
        <v>192</v>
      </c>
      <c r="C104" s="17" t="s">
        <v>56</v>
      </c>
      <c r="D104" s="17" t="s">
        <v>28</v>
      </c>
      <c r="E104" s="18">
        <f>ROUND(15086*1.05,2)</f>
      </c>
      <c r="F104" s="17" t="s">
        <v>29</v>
      </c>
      <c r="G104" s="17" t="s">
        <v>30</v>
      </c>
      <c r="H104" s="18">
        <f>ROUND(RAND()*4+6,1)</f>
      </c>
      <c r="I104" s="17" t="s">
        <v>31</v>
      </c>
      <c r="J104" s="19">
        <f>ROUND(69*1,0)&amp;"%"</f>
      </c>
    </row>
    <row x14ac:dyDescent="0.25" r="105" customHeight="1" ht="17.25">
      <c r="A105" s="20" t="s">
        <v>3640</v>
      </c>
      <c r="B105" s="20" t="s">
        <v>194</v>
      </c>
      <c r="C105" s="20" t="s">
        <v>56</v>
      </c>
      <c r="D105" s="20" t="s">
        <v>34</v>
      </c>
      <c r="E105" s="21">
        <f>ROUND(13404*1.05,2)</f>
      </c>
      <c r="F105" s="20" t="s">
        <v>35</v>
      </c>
      <c r="G105" s="20" t="s">
        <v>18</v>
      </c>
      <c r="H105" s="21">
        <f>ROUND(RAND()*4+6,1)</f>
      </c>
      <c r="I105" s="20" t="s">
        <v>36</v>
      </c>
      <c r="J105" s="23">
        <f>ROUND(75*1,0)&amp;"%"</f>
      </c>
    </row>
    <row x14ac:dyDescent="0.25" r="106" customHeight="1" ht="17.25">
      <c r="A106" s="17" t="s">
        <v>3641</v>
      </c>
      <c r="B106" s="17" t="s">
        <v>196</v>
      </c>
      <c r="C106" s="17" t="s">
        <v>56</v>
      </c>
      <c r="D106" s="17" t="s">
        <v>39</v>
      </c>
      <c r="E106" s="18">
        <f>ROUND(15489*1.05,2)</f>
      </c>
      <c r="F106" s="17" t="s">
        <v>40</v>
      </c>
      <c r="G106" s="17" t="s">
        <v>24</v>
      </c>
      <c r="H106" s="18">
        <f>ROUND(RAND()*4+6,1)</f>
      </c>
      <c r="I106" s="17" t="s">
        <v>41</v>
      </c>
      <c r="J106" s="19">
        <f>ROUND(97*1,0)&amp;"%"</f>
      </c>
    </row>
    <row x14ac:dyDescent="0.25" r="107" customHeight="1" ht="17.25">
      <c r="A107" s="20" t="s">
        <v>3642</v>
      </c>
      <c r="B107" s="20" t="s">
        <v>198</v>
      </c>
      <c r="C107" s="20" t="s">
        <v>56</v>
      </c>
      <c r="D107" s="20" t="s">
        <v>67</v>
      </c>
      <c r="E107" s="21">
        <f>ROUND(9629*1.05,2)</f>
      </c>
      <c r="F107" s="20" t="s">
        <v>44</v>
      </c>
      <c r="G107" s="20" t="s">
        <v>30</v>
      </c>
      <c r="H107" s="21">
        <f>ROUND(RAND()*4+6,1)</f>
      </c>
      <c r="I107" s="20" t="s">
        <v>45</v>
      </c>
      <c r="J107" s="23">
        <f>ROUND(68*1,0)&amp;"%"</f>
      </c>
    </row>
    <row x14ac:dyDescent="0.25" r="108" customHeight="1" ht="17.25">
      <c r="A108" s="17" t="s">
        <v>3643</v>
      </c>
      <c r="B108" s="17" t="s">
        <v>200</v>
      </c>
      <c r="C108" s="17" t="s">
        <v>56</v>
      </c>
      <c r="D108" s="17" t="s">
        <v>16</v>
      </c>
      <c r="E108" s="18">
        <f>ROUND(15410*1.05,2)</f>
      </c>
      <c r="F108" s="17" t="s">
        <v>48</v>
      </c>
      <c r="G108" s="17" t="s">
        <v>18</v>
      </c>
      <c r="H108" s="18">
        <f>ROUND(RAND()*4+6,1)</f>
      </c>
      <c r="I108" s="17" t="s">
        <v>19</v>
      </c>
      <c r="J108" s="19">
        <f>ROUND(97*1,0)&amp;"%"</f>
      </c>
    </row>
    <row x14ac:dyDescent="0.25" r="109" customHeight="1" ht="17.25">
      <c r="A109" s="20" t="s">
        <v>3644</v>
      </c>
      <c r="B109" s="20" t="s">
        <v>202</v>
      </c>
      <c r="C109" s="20" t="s">
        <v>56</v>
      </c>
      <c r="D109" s="20" t="s">
        <v>22</v>
      </c>
      <c r="E109" s="21">
        <f>ROUND(8436*1.05,2)</f>
      </c>
      <c r="F109" s="20" t="s">
        <v>51</v>
      </c>
      <c r="G109" s="20" t="s">
        <v>24</v>
      </c>
      <c r="H109" s="21">
        <f>ROUND(RAND()*4+6,1)</f>
      </c>
      <c r="I109" s="20" t="s">
        <v>25</v>
      </c>
      <c r="J109" s="23">
        <f>ROUND(63*1,0)&amp;"%"</f>
      </c>
    </row>
    <row x14ac:dyDescent="0.25" r="110" customHeight="1" ht="17.25">
      <c r="A110" s="24" t="s">
        <v>203</v>
      </c>
      <c r="B110" s="24"/>
      <c r="C110" s="24"/>
      <c r="D110" s="24"/>
      <c r="E110" s="25">
        <v>8</v>
      </c>
      <c r="F110" s="9"/>
      <c r="G110" s="9"/>
      <c r="H110" s="10"/>
      <c r="I110" s="9"/>
      <c r="J110" s="9"/>
    </row>
    <row x14ac:dyDescent="0.25" r="111" customHeight="1" ht="17.25">
      <c r="A111" s="7"/>
      <c r="B111" s="7"/>
      <c r="C111" s="7"/>
      <c r="D111" s="7"/>
      <c r="E111" s="8"/>
      <c r="F111" s="9"/>
      <c r="G111" s="9"/>
      <c r="H111" s="10"/>
      <c r="I111" s="9"/>
      <c r="J111" s="9"/>
    </row>
    <row x14ac:dyDescent="0.25" r="112" customHeight="1" ht="17.25">
      <c r="A112" s="11" t="s">
        <v>3645</v>
      </c>
      <c r="B112" s="11"/>
      <c r="C112" s="11"/>
      <c r="D112" s="11"/>
      <c r="E112" s="12"/>
      <c r="F112" s="11"/>
      <c r="G112" s="11"/>
      <c r="H112" s="13"/>
      <c r="I112" s="11"/>
      <c r="J112" s="11"/>
    </row>
    <row x14ac:dyDescent="0.25" r="113" customHeight="1" ht="17.25">
      <c r="A113" s="14" t="s">
        <v>3</v>
      </c>
      <c r="B113" s="14" t="s">
        <v>4</v>
      </c>
      <c r="C113" s="14" t="s">
        <v>5</v>
      </c>
      <c r="D113" s="14" t="s">
        <v>6</v>
      </c>
      <c r="E113" s="15" t="s">
        <v>7</v>
      </c>
      <c r="F113" s="14" t="s">
        <v>8</v>
      </c>
      <c r="G113" s="14" t="s">
        <v>9</v>
      </c>
      <c r="H113" s="16" t="s">
        <v>10</v>
      </c>
      <c r="I113" s="14" t="s">
        <v>11</v>
      </c>
      <c r="J113" s="14" t="s">
        <v>12</v>
      </c>
    </row>
    <row x14ac:dyDescent="0.25" r="114" customHeight="1" ht="17.25">
      <c r="A114" s="17" t="s">
        <v>3646</v>
      </c>
      <c r="B114" s="17" t="s">
        <v>206</v>
      </c>
      <c r="C114" s="17" t="s">
        <v>76</v>
      </c>
      <c r="D114" s="17" t="s">
        <v>16</v>
      </c>
      <c r="E114" s="18">
        <f>ROUND(8941*1.05,2)</f>
      </c>
      <c r="F114" s="17" t="s">
        <v>17</v>
      </c>
      <c r="G114" s="17" t="s">
        <v>18</v>
      </c>
      <c r="H114" s="18">
        <f>ROUND(RAND()*4+6,1)</f>
      </c>
      <c r="I114" s="17" t="s">
        <v>19</v>
      </c>
      <c r="J114" s="19">
        <f>ROUND(83*1,0)&amp;"%"</f>
      </c>
    </row>
    <row x14ac:dyDescent="0.25" r="115" customHeight="1" ht="17.25">
      <c r="A115" s="20" t="s">
        <v>3647</v>
      </c>
      <c r="B115" s="20" t="s">
        <v>208</v>
      </c>
      <c r="C115" s="20" t="s">
        <v>76</v>
      </c>
      <c r="D115" s="20" t="s">
        <v>22</v>
      </c>
      <c r="E115" s="21">
        <f>ROUND(10281*1.05,2)</f>
      </c>
      <c r="F115" s="20" t="s">
        <v>23</v>
      </c>
      <c r="G115" s="20" t="s">
        <v>24</v>
      </c>
      <c r="H115" s="21">
        <f>ROUND(RAND()*4+6,1)</f>
      </c>
      <c r="I115" s="20" t="s">
        <v>25</v>
      </c>
      <c r="J115" s="23">
        <f>ROUND(69*1,0)&amp;"%"</f>
      </c>
    </row>
    <row x14ac:dyDescent="0.25" r="116" customHeight="1" ht="17.25">
      <c r="A116" s="17" t="s">
        <v>3648</v>
      </c>
      <c r="B116" s="17" t="s">
        <v>210</v>
      </c>
      <c r="C116" s="17" t="s">
        <v>76</v>
      </c>
      <c r="D116" s="17" t="s">
        <v>28</v>
      </c>
      <c r="E116" s="26">
        <f>ROUND(12760*1.05,2)</f>
      </c>
      <c r="F116" s="17" t="s">
        <v>29</v>
      </c>
      <c r="G116" s="17" t="s">
        <v>30</v>
      </c>
      <c r="H116" s="18">
        <f>ROUND(RAND()*4+6,1)</f>
      </c>
      <c r="I116" s="17" t="s">
        <v>31</v>
      </c>
      <c r="J116" s="19">
        <f>ROUND(94*1,0)&amp;"%"</f>
      </c>
    </row>
    <row x14ac:dyDescent="0.25" r="117" customHeight="1" ht="17.25">
      <c r="A117" s="20" t="s">
        <v>3649</v>
      </c>
      <c r="B117" s="20" t="s">
        <v>212</v>
      </c>
      <c r="C117" s="20" t="s">
        <v>76</v>
      </c>
      <c r="D117" s="20" t="s">
        <v>34</v>
      </c>
      <c r="E117" s="21">
        <f>ROUND(17833*1.05,2)</f>
      </c>
      <c r="F117" s="20" t="s">
        <v>35</v>
      </c>
      <c r="G117" s="20" t="s">
        <v>18</v>
      </c>
      <c r="H117" s="21">
        <f>ROUND(RAND()*4+6,1)</f>
      </c>
      <c r="I117" s="20" t="s">
        <v>36</v>
      </c>
      <c r="J117" s="23">
        <f>ROUND(81*1,0)&amp;"%"</f>
      </c>
    </row>
    <row x14ac:dyDescent="0.25" r="118" customHeight="1" ht="17.25">
      <c r="A118" s="17" t="s">
        <v>3650</v>
      </c>
      <c r="B118" s="17" t="s">
        <v>214</v>
      </c>
      <c r="C118" s="17" t="s">
        <v>76</v>
      </c>
      <c r="D118" s="17" t="s">
        <v>39</v>
      </c>
      <c r="E118" s="18">
        <f>ROUND(11945*1.05,2)</f>
      </c>
      <c r="F118" s="17" t="s">
        <v>40</v>
      </c>
      <c r="G118" s="17" t="s">
        <v>24</v>
      </c>
      <c r="H118" s="18">
        <f>ROUND(RAND()*4+6,1)</f>
      </c>
      <c r="I118" s="17" t="s">
        <v>41</v>
      </c>
      <c r="J118" s="19">
        <f>ROUND(67*1,0)&amp;"%"</f>
      </c>
    </row>
    <row x14ac:dyDescent="0.25" r="119" customHeight="1" ht="17.25">
      <c r="A119" s="20" t="s">
        <v>3651</v>
      </c>
      <c r="B119" s="20" t="s">
        <v>216</v>
      </c>
      <c r="C119" s="20" t="s">
        <v>76</v>
      </c>
      <c r="D119" s="20" t="s">
        <v>67</v>
      </c>
      <c r="E119" s="21">
        <f>ROUND(12272*1.05,2)</f>
      </c>
      <c r="F119" s="20" t="s">
        <v>44</v>
      </c>
      <c r="G119" s="20" t="s">
        <v>30</v>
      </c>
      <c r="H119" s="21">
        <f>ROUND(RAND()*4+6,1)</f>
      </c>
      <c r="I119" s="20" t="s">
        <v>45</v>
      </c>
      <c r="J119" s="23">
        <f>ROUND(75*1,0)&amp;"%"</f>
      </c>
    </row>
    <row x14ac:dyDescent="0.25" r="120" customHeight="1" ht="17.25">
      <c r="A120" s="17" t="s">
        <v>3652</v>
      </c>
      <c r="B120" s="17" t="s">
        <v>218</v>
      </c>
      <c r="C120" s="17" t="s">
        <v>76</v>
      </c>
      <c r="D120" s="17" t="s">
        <v>16</v>
      </c>
      <c r="E120" s="18">
        <f>ROUND(5590*1.05,2)</f>
      </c>
      <c r="F120" s="17" t="s">
        <v>48</v>
      </c>
      <c r="G120" s="17" t="s">
        <v>18</v>
      </c>
      <c r="H120" s="18">
        <f>ROUND(RAND()*4+6,1)</f>
      </c>
      <c r="I120" s="17" t="s">
        <v>19</v>
      </c>
      <c r="J120" s="19">
        <f>ROUND(82*1,0)&amp;"%"</f>
      </c>
    </row>
    <row x14ac:dyDescent="0.25" r="121" customHeight="1" ht="17.25">
      <c r="A121" s="20" t="s">
        <v>3653</v>
      </c>
      <c r="B121" s="20" t="s">
        <v>220</v>
      </c>
      <c r="C121" s="20" t="s">
        <v>76</v>
      </c>
      <c r="D121" s="20" t="s">
        <v>22</v>
      </c>
      <c r="E121" s="21">
        <f>ROUND(16699*1.05,2)</f>
      </c>
      <c r="F121" s="20" t="s">
        <v>51</v>
      </c>
      <c r="G121" s="20" t="s">
        <v>24</v>
      </c>
      <c r="H121" s="21">
        <f>ROUND(RAND()*4+6,1)</f>
      </c>
      <c r="I121" s="20" t="s">
        <v>25</v>
      </c>
      <c r="J121" s="23">
        <f>ROUND(66*1,0)&amp;"%"</f>
      </c>
    </row>
    <row x14ac:dyDescent="0.25" r="122" customHeight="1" ht="17.25">
      <c r="A122" s="24" t="s">
        <v>221</v>
      </c>
      <c r="B122" s="24"/>
      <c r="C122" s="24"/>
      <c r="D122" s="24"/>
      <c r="E122" s="25">
        <v>8</v>
      </c>
      <c r="F122" s="9"/>
      <c r="G122" s="9"/>
      <c r="H122" s="10"/>
      <c r="I122" s="9"/>
      <c r="J122" s="9"/>
    </row>
    <row x14ac:dyDescent="0.25" r="123" customHeight="1" ht="17.25">
      <c r="A123" s="7"/>
      <c r="B123" s="7"/>
      <c r="C123" s="7"/>
      <c r="D123" s="7"/>
      <c r="E123" s="8"/>
      <c r="F123" s="9"/>
      <c r="G123" s="9"/>
      <c r="H123" s="10"/>
      <c r="I123" s="9"/>
      <c r="J123" s="9"/>
    </row>
    <row x14ac:dyDescent="0.25" r="124" customHeight="1" ht="17.25">
      <c r="A124" s="11" t="s">
        <v>3654</v>
      </c>
      <c r="B124" s="11"/>
      <c r="C124" s="11"/>
      <c r="D124" s="11"/>
      <c r="E124" s="12"/>
      <c r="F124" s="11"/>
      <c r="G124" s="11"/>
      <c r="H124" s="13"/>
      <c r="I124" s="11"/>
      <c r="J124" s="11"/>
    </row>
    <row x14ac:dyDescent="0.25" r="125" customHeight="1" ht="17.25">
      <c r="A125" s="14" t="s">
        <v>3</v>
      </c>
      <c r="B125" s="14" t="s">
        <v>4</v>
      </c>
      <c r="C125" s="14" t="s">
        <v>5</v>
      </c>
      <c r="D125" s="14" t="s">
        <v>6</v>
      </c>
      <c r="E125" s="15" t="s">
        <v>7</v>
      </c>
      <c r="F125" s="14" t="s">
        <v>8</v>
      </c>
      <c r="G125" s="14" t="s">
        <v>9</v>
      </c>
      <c r="H125" s="16" t="s">
        <v>10</v>
      </c>
      <c r="I125" s="14" t="s">
        <v>11</v>
      </c>
      <c r="J125" s="14" t="s">
        <v>12</v>
      </c>
    </row>
    <row x14ac:dyDescent="0.25" r="126" customHeight="1" ht="17.25">
      <c r="A126" s="17" t="s">
        <v>3655</v>
      </c>
      <c r="B126" s="17" t="s">
        <v>224</v>
      </c>
      <c r="C126" s="17" t="s">
        <v>95</v>
      </c>
      <c r="D126" s="17" t="s">
        <v>16</v>
      </c>
      <c r="E126" s="18">
        <f>ROUND(8277*1.05,2)</f>
      </c>
      <c r="F126" s="17" t="s">
        <v>17</v>
      </c>
      <c r="G126" s="17" t="s">
        <v>18</v>
      </c>
      <c r="H126" s="18">
        <f>ROUND(RAND()*4+6,1)</f>
      </c>
      <c r="I126" s="17" t="s">
        <v>19</v>
      </c>
      <c r="J126" s="19">
        <f>ROUND(60*1,0)&amp;"%"</f>
      </c>
    </row>
    <row x14ac:dyDescent="0.25" r="127" customHeight="1" ht="17.25">
      <c r="A127" s="20" t="s">
        <v>3656</v>
      </c>
      <c r="B127" s="20" t="s">
        <v>226</v>
      </c>
      <c r="C127" s="20" t="s">
        <v>95</v>
      </c>
      <c r="D127" s="20" t="s">
        <v>22</v>
      </c>
      <c r="E127" s="21">
        <f>ROUND(10117*1.05,2)</f>
      </c>
      <c r="F127" s="20" t="s">
        <v>23</v>
      </c>
      <c r="G127" s="20" t="s">
        <v>24</v>
      </c>
      <c r="H127" s="21">
        <f>ROUND(RAND()*4+6,1)</f>
      </c>
      <c r="I127" s="20" t="s">
        <v>25</v>
      </c>
      <c r="J127" s="23">
        <f>ROUND(75*1,0)&amp;"%"</f>
      </c>
    </row>
    <row x14ac:dyDescent="0.25" r="128" customHeight="1" ht="17.25">
      <c r="A128" s="17" t="s">
        <v>3657</v>
      </c>
      <c r="B128" s="17" t="s">
        <v>228</v>
      </c>
      <c r="C128" s="17" t="s">
        <v>95</v>
      </c>
      <c r="D128" s="17" t="s">
        <v>28</v>
      </c>
      <c r="E128" s="18">
        <f>ROUND(13122*1.05,2)</f>
      </c>
      <c r="F128" s="17" t="s">
        <v>29</v>
      </c>
      <c r="G128" s="17" t="s">
        <v>30</v>
      </c>
      <c r="H128" s="26">
        <f>ROUND(RAND()*4+6,1)</f>
      </c>
      <c r="I128" s="17" t="s">
        <v>31</v>
      </c>
      <c r="J128" s="19">
        <f>ROUND(79*1,0)&amp;"%"</f>
      </c>
    </row>
    <row x14ac:dyDescent="0.25" r="129" customHeight="1" ht="17.25">
      <c r="A129" s="20" t="s">
        <v>3658</v>
      </c>
      <c r="B129" s="20" t="s">
        <v>230</v>
      </c>
      <c r="C129" s="20" t="s">
        <v>95</v>
      </c>
      <c r="D129" s="20" t="s">
        <v>34</v>
      </c>
      <c r="E129" s="21">
        <f>ROUND(12274*1.05,2)</f>
      </c>
      <c r="F129" s="20" t="s">
        <v>35</v>
      </c>
      <c r="G129" s="20" t="s">
        <v>18</v>
      </c>
      <c r="H129" s="21">
        <f>ROUND(RAND()*4+6,1)</f>
      </c>
      <c r="I129" s="20" t="s">
        <v>36</v>
      </c>
      <c r="J129" s="23">
        <f>ROUND(61*1,0)&amp;"%"</f>
      </c>
    </row>
    <row x14ac:dyDescent="0.25" r="130" customHeight="1" ht="17.25">
      <c r="A130" s="17" t="s">
        <v>3659</v>
      </c>
      <c r="B130" s="17" t="s">
        <v>232</v>
      </c>
      <c r="C130" s="17" t="s">
        <v>95</v>
      </c>
      <c r="D130" s="17" t="s">
        <v>39</v>
      </c>
      <c r="E130" s="18">
        <f>ROUND(14548*1.05,2)</f>
      </c>
      <c r="F130" s="17" t="s">
        <v>40</v>
      </c>
      <c r="G130" s="17" t="s">
        <v>24</v>
      </c>
      <c r="H130" s="18">
        <f>ROUND(RAND()*4+6,1)</f>
      </c>
      <c r="I130" s="17" t="s">
        <v>41</v>
      </c>
      <c r="J130" s="19">
        <f>ROUND(71*1,0)&amp;"%"</f>
      </c>
    </row>
    <row x14ac:dyDescent="0.25" r="131" customHeight="1" ht="17.25">
      <c r="A131" s="20" t="s">
        <v>3660</v>
      </c>
      <c r="B131" s="20" t="s">
        <v>234</v>
      </c>
      <c r="C131" s="20" t="s">
        <v>95</v>
      </c>
      <c r="D131" s="20" t="s">
        <v>67</v>
      </c>
      <c r="E131" s="21">
        <f>ROUND(8873*1.05,2)</f>
      </c>
      <c r="F131" s="20" t="s">
        <v>44</v>
      </c>
      <c r="G131" s="20" t="s">
        <v>30</v>
      </c>
      <c r="H131" s="22">
        <f>ROUND(RAND()*4+6,1)</f>
      </c>
      <c r="I131" s="20" t="s">
        <v>45</v>
      </c>
      <c r="J131" s="23">
        <f>ROUND(66*1,0)&amp;"%"</f>
      </c>
    </row>
    <row x14ac:dyDescent="0.25" r="132" customHeight="1" ht="17.25">
      <c r="A132" s="17" t="s">
        <v>3661</v>
      </c>
      <c r="B132" s="17" t="s">
        <v>236</v>
      </c>
      <c r="C132" s="17" t="s">
        <v>95</v>
      </c>
      <c r="D132" s="17" t="s">
        <v>16</v>
      </c>
      <c r="E132" s="18">
        <f>ROUND(7848*1.05,2)</f>
      </c>
      <c r="F132" s="17" t="s">
        <v>48</v>
      </c>
      <c r="G132" s="17" t="s">
        <v>18</v>
      </c>
      <c r="H132" s="18">
        <f>ROUND(RAND()*4+6,1)</f>
      </c>
      <c r="I132" s="17" t="s">
        <v>19</v>
      </c>
      <c r="J132" s="19">
        <f>ROUND(90*1,0)&amp;"%"</f>
      </c>
    </row>
    <row x14ac:dyDescent="0.25" r="133" customHeight="1" ht="17.25">
      <c r="A133" s="20" t="s">
        <v>3662</v>
      </c>
      <c r="B133" s="20" t="s">
        <v>238</v>
      </c>
      <c r="C133" s="20" t="s">
        <v>95</v>
      </c>
      <c r="D133" s="20" t="s">
        <v>22</v>
      </c>
      <c r="E133" s="22">
        <f>ROUND(17680*1.05,2)</f>
      </c>
      <c r="F133" s="20" t="s">
        <v>51</v>
      </c>
      <c r="G133" s="20" t="s">
        <v>24</v>
      </c>
      <c r="H133" s="21">
        <f>ROUND(RAND()*4+6,1)</f>
      </c>
      <c r="I133" s="20" t="s">
        <v>25</v>
      </c>
      <c r="J133" s="23">
        <f>ROUND(62*1,0)&amp;"%"</f>
      </c>
    </row>
    <row x14ac:dyDescent="0.25" r="134" customHeight="1" ht="17.25">
      <c r="A134" s="24" t="s">
        <v>239</v>
      </c>
      <c r="B134" s="24"/>
      <c r="C134" s="24"/>
      <c r="D134" s="24"/>
      <c r="E134" s="25">
        <v>8</v>
      </c>
      <c r="F134" s="9"/>
      <c r="G134" s="9"/>
      <c r="H134" s="10"/>
      <c r="I134" s="9"/>
      <c r="J134" s="9"/>
    </row>
    <row x14ac:dyDescent="0.25" r="135" customHeight="1" ht="17.25">
      <c r="A135" s="7"/>
      <c r="B135" s="7"/>
      <c r="C135" s="7"/>
      <c r="D135" s="7"/>
      <c r="E135" s="8"/>
      <c r="F135" s="9"/>
      <c r="G135" s="9"/>
      <c r="H135" s="10"/>
      <c r="I135" s="9"/>
      <c r="J135" s="9"/>
    </row>
    <row x14ac:dyDescent="0.25" r="136" customHeight="1" ht="17.25">
      <c r="A136" s="11" t="s">
        <v>3663</v>
      </c>
      <c r="B136" s="11"/>
      <c r="C136" s="11"/>
      <c r="D136" s="11"/>
      <c r="E136" s="12"/>
      <c r="F136" s="11"/>
      <c r="G136" s="11"/>
      <c r="H136" s="13"/>
      <c r="I136" s="11"/>
      <c r="J136" s="11"/>
    </row>
    <row x14ac:dyDescent="0.25" r="137" customHeight="1" ht="17.25">
      <c r="A137" s="14" t="s">
        <v>3</v>
      </c>
      <c r="B137" s="14" t="s">
        <v>4</v>
      </c>
      <c r="C137" s="14" t="s">
        <v>5</v>
      </c>
      <c r="D137" s="14" t="s">
        <v>6</v>
      </c>
      <c r="E137" s="15" t="s">
        <v>7</v>
      </c>
      <c r="F137" s="14" t="s">
        <v>8</v>
      </c>
      <c r="G137" s="14" t="s">
        <v>9</v>
      </c>
      <c r="H137" s="16" t="s">
        <v>10</v>
      </c>
      <c r="I137" s="14" t="s">
        <v>11</v>
      </c>
      <c r="J137" s="14" t="s">
        <v>12</v>
      </c>
    </row>
    <row x14ac:dyDescent="0.25" r="138" customHeight="1" ht="17.25">
      <c r="A138" s="17" t="s">
        <v>3664</v>
      </c>
      <c r="B138" s="17" t="s">
        <v>242</v>
      </c>
      <c r="C138" s="17" t="s">
        <v>114</v>
      </c>
      <c r="D138" s="17" t="s">
        <v>16</v>
      </c>
      <c r="E138" s="18">
        <f>ROUND(7822*1.05,2)</f>
      </c>
      <c r="F138" s="17" t="s">
        <v>17</v>
      </c>
      <c r="G138" s="17" t="s">
        <v>18</v>
      </c>
      <c r="H138" s="26">
        <f>ROUND(RAND()*4+6,1)</f>
      </c>
      <c r="I138" s="17" t="s">
        <v>19</v>
      </c>
      <c r="J138" s="19">
        <f>ROUND(61*1,0)&amp;"%"</f>
      </c>
    </row>
    <row x14ac:dyDescent="0.25" r="139" customHeight="1" ht="17.25">
      <c r="A139" s="20" t="s">
        <v>3665</v>
      </c>
      <c r="B139" s="20" t="s">
        <v>244</v>
      </c>
      <c r="C139" s="20" t="s">
        <v>114</v>
      </c>
      <c r="D139" s="20" t="s">
        <v>22</v>
      </c>
      <c r="E139" s="21">
        <f>ROUND(4107*1.05,2)</f>
      </c>
      <c r="F139" s="20" t="s">
        <v>23</v>
      </c>
      <c r="G139" s="20" t="s">
        <v>24</v>
      </c>
      <c r="H139" s="21">
        <f>ROUND(RAND()*4+6,1)</f>
      </c>
      <c r="I139" s="20" t="s">
        <v>25</v>
      </c>
      <c r="J139" s="23">
        <f>ROUND(100*1,0)&amp;"%"</f>
      </c>
    </row>
    <row x14ac:dyDescent="0.25" r="140" customHeight="1" ht="17.25">
      <c r="A140" s="17" t="s">
        <v>3666</v>
      </c>
      <c r="B140" s="17" t="s">
        <v>246</v>
      </c>
      <c r="C140" s="17" t="s">
        <v>114</v>
      </c>
      <c r="D140" s="17" t="s">
        <v>28</v>
      </c>
      <c r="E140" s="18">
        <f>ROUND(4243*1.05,2)</f>
      </c>
      <c r="F140" s="17" t="s">
        <v>29</v>
      </c>
      <c r="G140" s="17" t="s">
        <v>30</v>
      </c>
      <c r="H140" s="18">
        <f>ROUND(RAND()*4+6,1)</f>
      </c>
      <c r="I140" s="17" t="s">
        <v>31</v>
      </c>
      <c r="J140" s="19">
        <f>ROUND(88*1,0)&amp;"%"</f>
      </c>
    </row>
    <row x14ac:dyDescent="0.25" r="141" customHeight="1" ht="17.25">
      <c r="A141" s="20" t="s">
        <v>3667</v>
      </c>
      <c r="B141" s="20" t="s">
        <v>248</v>
      </c>
      <c r="C141" s="20" t="s">
        <v>114</v>
      </c>
      <c r="D141" s="20" t="s">
        <v>34</v>
      </c>
      <c r="E141" s="21">
        <f>ROUND(4364*1.05,2)</f>
      </c>
      <c r="F141" s="20" t="s">
        <v>35</v>
      </c>
      <c r="G141" s="20" t="s">
        <v>18</v>
      </c>
      <c r="H141" s="21">
        <f>ROUND(RAND()*4+6,1)</f>
      </c>
      <c r="I141" s="20" t="s">
        <v>36</v>
      </c>
      <c r="J141" s="23">
        <f>ROUND(100*1,0)&amp;"%"</f>
      </c>
    </row>
    <row x14ac:dyDescent="0.25" r="142" customHeight="1" ht="17.25">
      <c r="A142" s="17" t="s">
        <v>3668</v>
      </c>
      <c r="B142" s="17" t="s">
        <v>250</v>
      </c>
      <c r="C142" s="17" t="s">
        <v>114</v>
      </c>
      <c r="D142" s="17" t="s">
        <v>39</v>
      </c>
      <c r="E142" s="18">
        <f>ROUND(16081*1.05,2)</f>
      </c>
      <c r="F142" s="17" t="s">
        <v>40</v>
      </c>
      <c r="G142" s="17" t="s">
        <v>24</v>
      </c>
      <c r="H142" s="18">
        <f>ROUND(RAND()*4+6,1)</f>
      </c>
      <c r="I142" s="17" t="s">
        <v>41</v>
      </c>
      <c r="J142" s="19">
        <f>ROUND(95*1,0)&amp;"%"</f>
      </c>
    </row>
    <row x14ac:dyDescent="0.25" r="143" customHeight="1" ht="17.25">
      <c r="A143" s="20" t="s">
        <v>3669</v>
      </c>
      <c r="B143" s="20" t="s">
        <v>252</v>
      </c>
      <c r="C143" s="20" t="s">
        <v>114</v>
      </c>
      <c r="D143" s="20" t="s">
        <v>67</v>
      </c>
      <c r="E143" s="21">
        <f>ROUND(15352*1.05,2)</f>
      </c>
      <c r="F143" s="20" t="s">
        <v>44</v>
      </c>
      <c r="G143" s="20" t="s">
        <v>30</v>
      </c>
      <c r="H143" s="21">
        <f>ROUND(RAND()*4+6,1)</f>
      </c>
      <c r="I143" s="20" t="s">
        <v>45</v>
      </c>
      <c r="J143" s="23">
        <f>ROUND(65*1,0)&amp;"%"</f>
      </c>
    </row>
    <row x14ac:dyDescent="0.25" r="144" customHeight="1" ht="17.25">
      <c r="A144" s="17" t="s">
        <v>3670</v>
      </c>
      <c r="B144" s="17" t="s">
        <v>254</v>
      </c>
      <c r="C144" s="17" t="s">
        <v>114</v>
      </c>
      <c r="D144" s="17" t="s">
        <v>16</v>
      </c>
      <c r="E144" s="18">
        <f>ROUND(12078*1.05,2)</f>
      </c>
      <c r="F144" s="17" t="s">
        <v>48</v>
      </c>
      <c r="G144" s="17" t="s">
        <v>18</v>
      </c>
      <c r="H144" s="18">
        <f>ROUND(RAND()*4+6,1)</f>
      </c>
      <c r="I144" s="17" t="s">
        <v>19</v>
      </c>
      <c r="J144" s="19">
        <f>ROUND(91*1,0)&amp;"%"</f>
      </c>
    </row>
    <row x14ac:dyDescent="0.25" r="145" customHeight="1" ht="17.25">
      <c r="A145" s="20" t="s">
        <v>3671</v>
      </c>
      <c r="B145" s="20" t="s">
        <v>256</v>
      </c>
      <c r="C145" s="20" t="s">
        <v>114</v>
      </c>
      <c r="D145" s="20" t="s">
        <v>22</v>
      </c>
      <c r="E145" s="21">
        <f>ROUND(4806*1.05,2)</f>
      </c>
      <c r="F145" s="20" t="s">
        <v>51</v>
      </c>
      <c r="G145" s="20" t="s">
        <v>24</v>
      </c>
      <c r="H145" s="21">
        <f>ROUND(RAND()*4+6,1)</f>
      </c>
      <c r="I145" s="20" t="s">
        <v>25</v>
      </c>
      <c r="J145" s="23">
        <f>ROUND(64*1,0)&amp;"%"</f>
      </c>
    </row>
    <row x14ac:dyDescent="0.25" r="146" customHeight="1" ht="17.25">
      <c r="A146" s="24" t="s">
        <v>257</v>
      </c>
      <c r="B146" s="24"/>
      <c r="C146" s="24"/>
      <c r="D146" s="24"/>
      <c r="E146" s="25">
        <v>8</v>
      </c>
      <c r="F146" s="9"/>
      <c r="G146" s="9"/>
      <c r="H146" s="10"/>
      <c r="I146" s="9"/>
      <c r="J146" s="9"/>
    </row>
    <row x14ac:dyDescent="0.25" r="147" customHeight="1" ht="17.25">
      <c r="A147" s="7"/>
      <c r="B147" s="7"/>
      <c r="C147" s="7"/>
      <c r="D147" s="7"/>
      <c r="E147" s="8"/>
      <c r="F147" s="9"/>
      <c r="G147" s="9"/>
      <c r="H147" s="10"/>
      <c r="I147" s="9"/>
      <c r="J147" s="9"/>
    </row>
    <row x14ac:dyDescent="0.25" r="148" customHeight="1" ht="17.25">
      <c r="A148" s="11" t="s">
        <v>3672</v>
      </c>
      <c r="B148" s="11"/>
      <c r="C148" s="11"/>
      <c r="D148" s="11"/>
      <c r="E148" s="12"/>
      <c r="F148" s="11"/>
      <c r="G148" s="11"/>
      <c r="H148" s="13"/>
      <c r="I148" s="11"/>
      <c r="J148" s="11"/>
    </row>
    <row x14ac:dyDescent="0.25" r="149" customHeight="1" ht="17.25">
      <c r="A149" s="14" t="s">
        <v>3</v>
      </c>
      <c r="B149" s="14" t="s">
        <v>4</v>
      </c>
      <c r="C149" s="14" t="s">
        <v>5</v>
      </c>
      <c r="D149" s="14" t="s">
        <v>6</v>
      </c>
      <c r="E149" s="15" t="s">
        <v>7</v>
      </c>
      <c r="F149" s="14" t="s">
        <v>8</v>
      </c>
      <c r="G149" s="14" t="s">
        <v>9</v>
      </c>
      <c r="H149" s="16" t="s">
        <v>10</v>
      </c>
      <c r="I149" s="14" t="s">
        <v>11</v>
      </c>
      <c r="J149" s="14" t="s">
        <v>12</v>
      </c>
    </row>
    <row x14ac:dyDescent="0.25" r="150" customHeight="1" ht="17.25">
      <c r="A150" s="17" t="s">
        <v>3673</v>
      </c>
      <c r="B150" s="17" t="s">
        <v>260</v>
      </c>
      <c r="C150" s="17" t="s">
        <v>133</v>
      </c>
      <c r="D150" s="17" t="s">
        <v>16</v>
      </c>
      <c r="E150" s="18">
        <f>ROUND(14152*1.05,2)</f>
      </c>
      <c r="F150" s="17" t="s">
        <v>17</v>
      </c>
      <c r="G150" s="17" t="s">
        <v>18</v>
      </c>
      <c r="H150" s="18">
        <f>ROUND(RAND()*4+6,1)</f>
      </c>
      <c r="I150" s="17" t="s">
        <v>19</v>
      </c>
      <c r="J150" s="19">
        <f>ROUND(62*1,0)&amp;"%"</f>
      </c>
    </row>
    <row x14ac:dyDescent="0.25" r="151" customHeight="1" ht="17.25">
      <c r="A151" s="20" t="s">
        <v>3674</v>
      </c>
      <c r="B151" s="20" t="s">
        <v>262</v>
      </c>
      <c r="C151" s="20" t="s">
        <v>133</v>
      </c>
      <c r="D151" s="20" t="s">
        <v>22</v>
      </c>
      <c r="E151" s="21">
        <f>ROUND(13666*1.05,2)</f>
      </c>
      <c r="F151" s="20" t="s">
        <v>23</v>
      </c>
      <c r="G151" s="20" t="s">
        <v>24</v>
      </c>
      <c r="H151" s="21">
        <f>ROUND(RAND()*4+6,1)</f>
      </c>
      <c r="I151" s="20" t="s">
        <v>25</v>
      </c>
      <c r="J151" s="23">
        <f>ROUND(94*1,0)&amp;"%"</f>
      </c>
    </row>
    <row x14ac:dyDescent="0.25" r="152" customHeight="1" ht="17.25">
      <c r="A152" s="17" t="s">
        <v>3675</v>
      </c>
      <c r="B152" s="17" t="s">
        <v>264</v>
      </c>
      <c r="C152" s="17" t="s">
        <v>133</v>
      </c>
      <c r="D152" s="17" t="s">
        <v>28</v>
      </c>
      <c r="E152" s="18">
        <f>ROUND(11478*1.05,2)</f>
      </c>
      <c r="F152" s="17" t="s">
        <v>29</v>
      </c>
      <c r="G152" s="17" t="s">
        <v>30</v>
      </c>
      <c r="H152" s="18">
        <f>ROUND(RAND()*4+6,1)</f>
      </c>
      <c r="I152" s="17" t="s">
        <v>31</v>
      </c>
      <c r="J152" s="19">
        <f>ROUND(60*1,0)&amp;"%"</f>
      </c>
    </row>
    <row x14ac:dyDescent="0.25" r="153" customHeight="1" ht="17.25">
      <c r="A153" s="20" t="s">
        <v>3676</v>
      </c>
      <c r="B153" s="20" t="s">
        <v>266</v>
      </c>
      <c r="C153" s="20" t="s">
        <v>133</v>
      </c>
      <c r="D153" s="20" t="s">
        <v>34</v>
      </c>
      <c r="E153" s="21">
        <f>ROUND(15349*1.05,2)</f>
      </c>
      <c r="F153" s="20" t="s">
        <v>35</v>
      </c>
      <c r="G153" s="20" t="s">
        <v>18</v>
      </c>
      <c r="H153" s="21">
        <f>ROUND(RAND()*4+6,1)</f>
      </c>
      <c r="I153" s="20" t="s">
        <v>36</v>
      </c>
      <c r="J153" s="23">
        <f>ROUND(84*1,0)&amp;"%"</f>
      </c>
    </row>
    <row x14ac:dyDescent="0.25" r="154" customHeight="1" ht="17.25">
      <c r="A154" s="17" t="s">
        <v>3677</v>
      </c>
      <c r="B154" s="17" t="s">
        <v>268</v>
      </c>
      <c r="C154" s="17" t="s">
        <v>133</v>
      </c>
      <c r="D154" s="17" t="s">
        <v>39</v>
      </c>
      <c r="E154" s="18">
        <f>ROUND(14748*1.05,2)</f>
      </c>
      <c r="F154" s="17" t="s">
        <v>40</v>
      </c>
      <c r="G154" s="17" t="s">
        <v>24</v>
      </c>
      <c r="H154" s="18">
        <f>ROUND(RAND()*4+6,1)</f>
      </c>
      <c r="I154" s="17" t="s">
        <v>41</v>
      </c>
      <c r="J154" s="19">
        <f>ROUND(92*1,0)&amp;"%"</f>
      </c>
    </row>
    <row x14ac:dyDescent="0.25" r="155" customHeight="1" ht="17.25">
      <c r="A155" s="20" t="s">
        <v>3678</v>
      </c>
      <c r="B155" s="20" t="s">
        <v>270</v>
      </c>
      <c r="C155" s="20" t="s">
        <v>133</v>
      </c>
      <c r="D155" s="20" t="s">
        <v>67</v>
      </c>
      <c r="E155" s="21">
        <f>ROUND(10237*1.05,2)</f>
      </c>
      <c r="F155" s="20" t="s">
        <v>44</v>
      </c>
      <c r="G155" s="20" t="s">
        <v>30</v>
      </c>
      <c r="H155" s="21">
        <f>ROUND(RAND()*4+6,1)</f>
      </c>
      <c r="I155" s="20" t="s">
        <v>45</v>
      </c>
      <c r="J155" s="23">
        <f>ROUND(100*1,0)&amp;"%"</f>
      </c>
    </row>
    <row x14ac:dyDescent="0.25" r="156" customHeight="1" ht="17.25">
      <c r="A156" s="17" t="s">
        <v>3679</v>
      </c>
      <c r="B156" s="17" t="s">
        <v>272</v>
      </c>
      <c r="C156" s="17" t="s">
        <v>133</v>
      </c>
      <c r="D156" s="17" t="s">
        <v>16</v>
      </c>
      <c r="E156" s="18">
        <f>ROUND(15524*1.05,2)</f>
      </c>
      <c r="F156" s="17" t="s">
        <v>48</v>
      </c>
      <c r="G156" s="17" t="s">
        <v>18</v>
      </c>
      <c r="H156" s="18">
        <f>ROUND(RAND()*4+6,1)</f>
      </c>
      <c r="I156" s="17" t="s">
        <v>19</v>
      </c>
      <c r="J156" s="19">
        <f>ROUND(75*1,0)&amp;"%"</f>
      </c>
    </row>
    <row x14ac:dyDescent="0.25" r="157" customHeight="1" ht="17.25">
      <c r="A157" s="20" t="s">
        <v>3680</v>
      </c>
      <c r="B157" s="20" t="s">
        <v>274</v>
      </c>
      <c r="C157" s="20" t="s">
        <v>133</v>
      </c>
      <c r="D157" s="20" t="s">
        <v>22</v>
      </c>
      <c r="E157" s="21">
        <f>ROUND(10896*1.05,2)</f>
      </c>
      <c r="F157" s="20" t="s">
        <v>51</v>
      </c>
      <c r="G157" s="20" t="s">
        <v>24</v>
      </c>
      <c r="H157" s="21">
        <f>ROUND(RAND()*4+6,1)</f>
      </c>
      <c r="I157" s="20" t="s">
        <v>25</v>
      </c>
      <c r="J157" s="23">
        <f>ROUND(67*1,0)&amp;"%"</f>
      </c>
    </row>
    <row x14ac:dyDescent="0.25" r="158" customHeight="1" ht="17.25">
      <c r="A158" s="24" t="s">
        <v>275</v>
      </c>
      <c r="B158" s="24"/>
      <c r="C158" s="24"/>
      <c r="D158" s="24"/>
      <c r="E158" s="25">
        <v>8</v>
      </c>
      <c r="F158" s="9"/>
      <c r="G158" s="9"/>
      <c r="H158" s="10"/>
      <c r="I158" s="9"/>
      <c r="J158" s="9"/>
    </row>
    <row x14ac:dyDescent="0.25" r="159" customHeight="1" ht="17.25">
      <c r="A159" s="7"/>
      <c r="B159" s="7"/>
      <c r="C159" s="7"/>
      <c r="D159" s="7"/>
      <c r="E159" s="8"/>
      <c r="F159" s="9"/>
      <c r="G159" s="9"/>
      <c r="H159" s="10"/>
      <c r="I159" s="9"/>
      <c r="J159" s="9"/>
    </row>
    <row x14ac:dyDescent="0.25" r="160" customHeight="1" ht="17.25">
      <c r="A160" s="11" t="s">
        <v>3681</v>
      </c>
      <c r="B160" s="11"/>
      <c r="C160" s="11"/>
      <c r="D160" s="11"/>
      <c r="E160" s="12"/>
      <c r="F160" s="11"/>
      <c r="G160" s="11"/>
      <c r="H160" s="13"/>
      <c r="I160" s="11"/>
      <c r="J160" s="11"/>
    </row>
    <row x14ac:dyDescent="0.25" r="161" customHeight="1" ht="17.25">
      <c r="A161" s="14" t="s">
        <v>3</v>
      </c>
      <c r="B161" s="14" t="s">
        <v>4</v>
      </c>
      <c r="C161" s="14" t="s">
        <v>5</v>
      </c>
      <c r="D161" s="14" t="s">
        <v>6</v>
      </c>
      <c r="E161" s="15" t="s">
        <v>7</v>
      </c>
      <c r="F161" s="14" t="s">
        <v>8</v>
      </c>
      <c r="G161" s="14" t="s">
        <v>9</v>
      </c>
      <c r="H161" s="16" t="s">
        <v>10</v>
      </c>
      <c r="I161" s="14" t="s">
        <v>11</v>
      </c>
      <c r="J161" s="14" t="s">
        <v>12</v>
      </c>
    </row>
    <row x14ac:dyDescent="0.25" r="162" customHeight="1" ht="17.25">
      <c r="A162" s="17" t="s">
        <v>3682</v>
      </c>
      <c r="B162" s="17" t="s">
        <v>278</v>
      </c>
      <c r="C162" s="17" t="s">
        <v>152</v>
      </c>
      <c r="D162" s="17" t="s">
        <v>16</v>
      </c>
      <c r="E162" s="18">
        <f>ROUND(17291*1.05,2)</f>
      </c>
      <c r="F162" s="17" t="s">
        <v>17</v>
      </c>
      <c r="G162" s="17" t="s">
        <v>18</v>
      </c>
      <c r="H162" s="18">
        <f>ROUND(RAND()*4+6,1)</f>
      </c>
      <c r="I162" s="17" t="s">
        <v>19</v>
      </c>
      <c r="J162" s="19">
        <f>ROUND(67*1,0)&amp;"%"</f>
      </c>
    </row>
    <row x14ac:dyDescent="0.25" r="163" customHeight="1" ht="17.25">
      <c r="A163" s="20" t="s">
        <v>3683</v>
      </c>
      <c r="B163" s="20" t="s">
        <v>280</v>
      </c>
      <c r="C163" s="20" t="s">
        <v>152</v>
      </c>
      <c r="D163" s="20" t="s">
        <v>22</v>
      </c>
      <c r="E163" s="21">
        <f>ROUND(4698*1.05,2)</f>
      </c>
      <c r="F163" s="20" t="s">
        <v>23</v>
      </c>
      <c r="G163" s="20" t="s">
        <v>24</v>
      </c>
      <c r="H163" s="21">
        <f>ROUND(RAND()*4+6,1)</f>
      </c>
      <c r="I163" s="20" t="s">
        <v>25</v>
      </c>
      <c r="J163" s="23">
        <f>ROUND(93*1,0)&amp;"%"</f>
      </c>
    </row>
    <row x14ac:dyDescent="0.25" r="164" customHeight="1" ht="17.25">
      <c r="A164" s="17" t="s">
        <v>3684</v>
      </c>
      <c r="B164" s="17" t="s">
        <v>282</v>
      </c>
      <c r="C164" s="17" t="s">
        <v>152</v>
      </c>
      <c r="D164" s="17" t="s">
        <v>28</v>
      </c>
      <c r="E164" s="18">
        <f>ROUND(7698*1.05,2)</f>
      </c>
      <c r="F164" s="17" t="s">
        <v>29</v>
      </c>
      <c r="G164" s="17" t="s">
        <v>30</v>
      </c>
      <c r="H164" s="18">
        <f>ROUND(RAND()*4+6,1)</f>
      </c>
      <c r="I164" s="17" t="s">
        <v>31</v>
      </c>
      <c r="J164" s="19">
        <f>ROUND(88*1,0)&amp;"%"</f>
      </c>
    </row>
    <row x14ac:dyDescent="0.25" r="165" customHeight="1" ht="17.25">
      <c r="A165" s="20" t="s">
        <v>3685</v>
      </c>
      <c r="B165" s="20" t="s">
        <v>284</v>
      </c>
      <c r="C165" s="20" t="s">
        <v>152</v>
      </c>
      <c r="D165" s="20" t="s">
        <v>34</v>
      </c>
      <c r="E165" s="21">
        <f>ROUND(13883*1.05,2)</f>
      </c>
      <c r="F165" s="20" t="s">
        <v>35</v>
      </c>
      <c r="G165" s="20" t="s">
        <v>18</v>
      </c>
      <c r="H165" s="21">
        <f>ROUND(RAND()*4+6,1)</f>
      </c>
      <c r="I165" s="20" t="s">
        <v>36</v>
      </c>
      <c r="J165" s="23">
        <f>ROUND(66*1,0)&amp;"%"</f>
      </c>
    </row>
    <row x14ac:dyDescent="0.25" r="166" customHeight="1" ht="17.25">
      <c r="A166" s="17" t="s">
        <v>3686</v>
      </c>
      <c r="B166" s="17" t="s">
        <v>286</v>
      </c>
      <c r="C166" s="17" t="s">
        <v>152</v>
      </c>
      <c r="D166" s="17" t="s">
        <v>39</v>
      </c>
      <c r="E166" s="18">
        <f>ROUND(8130*1.05,2)</f>
      </c>
      <c r="F166" s="17" t="s">
        <v>40</v>
      </c>
      <c r="G166" s="17" t="s">
        <v>24</v>
      </c>
      <c r="H166" s="18">
        <f>ROUND(RAND()*4+6,1)</f>
      </c>
      <c r="I166" s="17" t="s">
        <v>41</v>
      </c>
      <c r="J166" s="19">
        <f>ROUND(66*1,0)&amp;"%"</f>
      </c>
    </row>
    <row x14ac:dyDescent="0.25" r="167" customHeight="1" ht="17.25">
      <c r="A167" s="20" t="s">
        <v>3687</v>
      </c>
      <c r="B167" s="20" t="s">
        <v>288</v>
      </c>
      <c r="C167" s="20" t="s">
        <v>152</v>
      </c>
      <c r="D167" s="20" t="s">
        <v>67</v>
      </c>
      <c r="E167" s="21">
        <f>ROUND(13593*1.05,2)</f>
      </c>
      <c r="F167" s="20" t="s">
        <v>44</v>
      </c>
      <c r="G167" s="20" t="s">
        <v>30</v>
      </c>
      <c r="H167" s="22">
        <f>ROUND(RAND()*4+6,1)</f>
      </c>
      <c r="I167" s="20" t="s">
        <v>45</v>
      </c>
      <c r="J167" s="23">
        <f>ROUND(99*1,0)&amp;"%"</f>
      </c>
    </row>
    <row x14ac:dyDescent="0.25" r="168" customHeight="1" ht="17.25">
      <c r="A168" s="17" t="s">
        <v>3688</v>
      </c>
      <c r="B168" s="17" t="s">
        <v>290</v>
      </c>
      <c r="C168" s="17" t="s">
        <v>152</v>
      </c>
      <c r="D168" s="17" t="s">
        <v>16</v>
      </c>
      <c r="E168" s="18">
        <f>ROUND(5627*1.05,2)</f>
      </c>
      <c r="F168" s="17" t="s">
        <v>48</v>
      </c>
      <c r="G168" s="17" t="s">
        <v>18</v>
      </c>
      <c r="H168" s="18">
        <f>ROUND(RAND()*4+6,1)</f>
      </c>
      <c r="I168" s="17" t="s">
        <v>19</v>
      </c>
      <c r="J168" s="19">
        <f>ROUND(72*1,0)&amp;"%"</f>
      </c>
    </row>
    <row x14ac:dyDescent="0.25" r="169" customHeight="1" ht="17.25">
      <c r="A169" s="20" t="s">
        <v>3689</v>
      </c>
      <c r="B169" s="20" t="s">
        <v>292</v>
      </c>
      <c r="C169" s="20" t="s">
        <v>152</v>
      </c>
      <c r="D169" s="20" t="s">
        <v>22</v>
      </c>
      <c r="E169" s="21">
        <f>ROUND(13661*1.05,2)</f>
      </c>
      <c r="F169" s="20" t="s">
        <v>51</v>
      </c>
      <c r="G169" s="20" t="s">
        <v>24</v>
      </c>
      <c r="H169" s="21">
        <f>ROUND(RAND()*4+6,1)</f>
      </c>
      <c r="I169" s="20" t="s">
        <v>25</v>
      </c>
      <c r="J169" s="23">
        <f>ROUND(87*1,0)&amp;"%"</f>
      </c>
    </row>
    <row x14ac:dyDescent="0.25" r="170" customHeight="1" ht="17.25">
      <c r="A170" s="24" t="s">
        <v>293</v>
      </c>
      <c r="B170" s="24"/>
      <c r="C170" s="24"/>
      <c r="D170" s="24"/>
      <c r="E170" s="25">
        <v>8</v>
      </c>
      <c r="F170" s="9"/>
      <c r="G170" s="9"/>
      <c r="H170" s="10"/>
      <c r="I170" s="9"/>
      <c r="J170" s="9"/>
    </row>
    <row x14ac:dyDescent="0.25" r="171" customHeight="1" ht="17.25">
      <c r="A171" s="7"/>
      <c r="B171" s="7"/>
      <c r="C171" s="7"/>
      <c r="D171" s="7"/>
      <c r="E171" s="8"/>
      <c r="F171" s="9"/>
      <c r="G171" s="9"/>
      <c r="H171" s="10"/>
      <c r="I171" s="9"/>
      <c r="J171" s="9"/>
    </row>
    <row x14ac:dyDescent="0.25" r="172" customHeight="1" ht="17.25">
      <c r="A172" s="11" t="s">
        <v>3690</v>
      </c>
      <c r="B172" s="11"/>
      <c r="C172" s="11"/>
      <c r="D172" s="11"/>
      <c r="E172" s="12"/>
      <c r="F172" s="11"/>
      <c r="G172" s="11"/>
      <c r="H172" s="13"/>
      <c r="I172" s="11"/>
      <c r="J172" s="11"/>
    </row>
    <row x14ac:dyDescent="0.25" r="173" customHeight="1" ht="17.25">
      <c r="A173" s="14" t="s">
        <v>3</v>
      </c>
      <c r="B173" s="14" t="s">
        <v>4</v>
      </c>
      <c r="C173" s="14" t="s">
        <v>5</v>
      </c>
      <c r="D173" s="14" t="s">
        <v>6</v>
      </c>
      <c r="E173" s="15" t="s">
        <v>7</v>
      </c>
      <c r="F173" s="14" t="s">
        <v>8</v>
      </c>
      <c r="G173" s="14" t="s">
        <v>9</v>
      </c>
      <c r="H173" s="16" t="s">
        <v>10</v>
      </c>
      <c r="I173" s="14" t="s">
        <v>11</v>
      </c>
      <c r="J173" s="14" t="s">
        <v>12</v>
      </c>
    </row>
    <row x14ac:dyDescent="0.25" r="174" customHeight="1" ht="17.25">
      <c r="A174" s="17" t="s">
        <v>3691</v>
      </c>
      <c r="B174" s="17" t="s">
        <v>296</v>
      </c>
      <c r="C174" s="17" t="s">
        <v>15</v>
      </c>
      <c r="D174" s="17" t="s">
        <v>16</v>
      </c>
      <c r="E174" s="18">
        <f>ROUND(12283*1.05,2)</f>
      </c>
      <c r="F174" s="17" t="s">
        <v>17</v>
      </c>
      <c r="G174" s="17" t="s">
        <v>18</v>
      </c>
      <c r="H174" s="26">
        <f>ROUND(RAND()*4+6,1)</f>
      </c>
      <c r="I174" s="17" t="s">
        <v>19</v>
      </c>
      <c r="J174" s="19">
        <f>ROUND(74*1,0)&amp;"%"</f>
      </c>
    </row>
    <row x14ac:dyDescent="0.25" r="175" customHeight="1" ht="17.25">
      <c r="A175" s="20" t="s">
        <v>3692</v>
      </c>
      <c r="B175" s="20" t="s">
        <v>298</v>
      </c>
      <c r="C175" s="20" t="s">
        <v>15</v>
      </c>
      <c r="D175" s="20" t="s">
        <v>22</v>
      </c>
      <c r="E175" s="21">
        <f>ROUND(6119*1.05,2)</f>
      </c>
      <c r="F175" s="20" t="s">
        <v>23</v>
      </c>
      <c r="G175" s="20" t="s">
        <v>24</v>
      </c>
      <c r="H175" s="21">
        <f>ROUND(RAND()*4+6,1)</f>
      </c>
      <c r="I175" s="20" t="s">
        <v>25</v>
      </c>
      <c r="J175" s="23">
        <f>ROUND(71*1,0)&amp;"%"</f>
      </c>
    </row>
    <row x14ac:dyDescent="0.25" r="176" customHeight="1" ht="17.25">
      <c r="A176" s="17" t="s">
        <v>3693</v>
      </c>
      <c r="B176" s="17" t="s">
        <v>300</v>
      </c>
      <c r="C176" s="17" t="s">
        <v>15</v>
      </c>
      <c r="D176" s="17" t="s">
        <v>28</v>
      </c>
      <c r="E176" s="18">
        <f>ROUND(17934*1.05,2)</f>
      </c>
      <c r="F176" s="17" t="s">
        <v>29</v>
      </c>
      <c r="G176" s="17" t="s">
        <v>30</v>
      </c>
      <c r="H176" s="18">
        <f>ROUND(RAND()*4+6,1)</f>
      </c>
      <c r="I176" s="17" t="s">
        <v>31</v>
      </c>
      <c r="J176" s="19">
        <f>ROUND(97*1,0)&amp;"%"</f>
      </c>
    </row>
    <row x14ac:dyDescent="0.25" r="177" customHeight="1" ht="17.25">
      <c r="A177" s="20" t="s">
        <v>3694</v>
      </c>
      <c r="B177" s="20" t="s">
        <v>302</v>
      </c>
      <c r="C177" s="20" t="s">
        <v>15</v>
      </c>
      <c r="D177" s="20" t="s">
        <v>34</v>
      </c>
      <c r="E177" s="21">
        <f>ROUND(17725*1.05,2)</f>
      </c>
      <c r="F177" s="20" t="s">
        <v>35</v>
      </c>
      <c r="G177" s="20" t="s">
        <v>18</v>
      </c>
      <c r="H177" s="22">
        <f>ROUND(RAND()*4+6,1)</f>
      </c>
      <c r="I177" s="20" t="s">
        <v>36</v>
      </c>
      <c r="J177" s="23">
        <f>ROUND(67*1,0)&amp;"%"</f>
      </c>
    </row>
    <row x14ac:dyDescent="0.25" r="178" customHeight="1" ht="17.25">
      <c r="A178" s="17" t="s">
        <v>3695</v>
      </c>
      <c r="B178" s="17" t="s">
        <v>304</v>
      </c>
      <c r="C178" s="17" t="s">
        <v>15</v>
      </c>
      <c r="D178" s="17" t="s">
        <v>39</v>
      </c>
      <c r="E178" s="18">
        <f>ROUND(8294*1.05,2)</f>
      </c>
      <c r="F178" s="17" t="s">
        <v>40</v>
      </c>
      <c r="G178" s="17" t="s">
        <v>24</v>
      </c>
      <c r="H178" s="26">
        <f>ROUND(RAND()*4+6,1)</f>
      </c>
      <c r="I178" s="17" t="s">
        <v>41</v>
      </c>
      <c r="J178" s="19">
        <f>ROUND(80*1,0)&amp;"%"</f>
      </c>
    </row>
    <row x14ac:dyDescent="0.25" r="179" customHeight="1" ht="17.25">
      <c r="A179" s="20" t="s">
        <v>3696</v>
      </c>
      <c r="B179" s="20" t="s">
        <v>306</v>
      </c>
      <c r="C179" s="20" t="s">
        <v>15</v>
      </c>
      <c r="D179" s="20" t="s">
        <v>67</v>
      </c>
      <c r="E179" s="21">
        <f>ROUND(16507*1.05,2)</f>
      </c>
      <c r="F179" s="20" t="s">
        <v>44</v>
      </c>
      <c r="G179" s="20" t="s">
        <v>30</v>
      </c>
      <c r="H179" s="21">
        <f>ROUND(RAND()*4+6,1)</f>
      </c>
      <c r="I179" s="20" t="s">
        <v>45</v>
      </c>
      <c r="J179" s="23">
        <f>ROUND(82*1,0)&amp;"%"</f>
      </c>
    </row>
    <row x14ac:dyDescent="0.25" r="180" customHeight="1" ht="17.25">
      <c r="A180" s="17" t="s">
        <v>3697</v>
      </c>
      <c r="B180" s="17" t="s">
        <v>308</v>
      </c>
      <c r="C180" s="17" t="s">
        <v>15</v>
      </c>
      <c r="D180" s="17" t="s">
        <v>16</v>
      </c>
      <c r="E180" s="18">
        <f>ROUND(14326*1.05,2)</f>
      </c>
      <c r="F180" s="17" t="s">
        <v>48</v>
      </c>
      <c r="G180" s="17" t="s">
        <v>18</v>
      </c>
      <c r="H180" s="18">
        <f>ROUND(RAND()*4+6,1)</f>
      </c>
      <c r="I180" s="17" t="s">
        <v>19</v>
      </c>
      <c r="J180" s="19">
        <f>ROUND(95*1,0)&amp;"%"</f>
      </c>
    </row>
    <row x14ac:dyDescent="0.25" r="181" customHeight="1" ht="17.25">
      <c r="A181" s="20" t="s">
        <v>3698</v>
      </c>
      <c r="B181" s="20" t="s">
        <v>310</v>
      </c>
      <c r="C181" s="20" t="s">
        <v>15</v>
      </c>
      <c r="D181" s="20" t="s">
        <v>22</v>
      </c>
      <c r="E181" s="22">
        <f>ROUND(12460*1.05,2)</f>
      </c>
      <c r="F181" s="20" t="s">
        <v>51</v>
      </c>
      <c r="G181" s="20" t="s">
        <v>24</v>
      </c>
      <c r="H181" s="21">
        <f>ROUND(RAND()*4+6,1)</f>
      </c>
      <c r="I181" s="20" t="s">
        <v>25</v>
      </c>
      <c r="J181" s="23">
        <f>ROUND(75*1,0)&amp;"%"</f>
      </c>
    </row>
    <row x14ac:dyDescent="0.25" r="182" customHeight="1" ht="17.25">
      <c r="A182" s="24" t="s">
        <v>311</v>
      </c>
      <c r="B182" s="24"/>
      <c r="C182" s="24"/>
      <c r="D182" s="24"/>
      <c r="E182" s="25">
        <v>8</v>
      </c>
      <c r="F182" s="9"/>
      <c r="G182" s="9"/>
      <c r="H182" s="10"/>
      <c r="I182" s="9"/>
      <c r="J182" s="9"/>
    </row>
    <row x14ac:dyDescent="0.25" r="183" customHeight="1" ht="17.25">
      <c r="A183" s="7"/>
      <c r="B183" s="7"/>
      <c r="C183" s="7"/>
      <c r="D183" s="7"/>
      <c r="E183" s="8"/>
      <c r="F183" s="9"/>
      <c r="G183" s="9"/>
      <c r="H183" s="10"/>
      <c r="I183" s="9"/>
      <c r="J183" s="9"/>
    </row>
    <row x14ac:dyDescent="0.25" r="184" customHeight="1" ht="17.25">
      <c r="A184" s="11" t="s">
        <v>3699</v>
      </c>
      <c r="B184" s="11"/>
      <c r="C184" s="11"/>
      <c r="D184" s="11"/>
      <c r="E184" s="12"/>
      <c r="F184" s="11"/>
      <c r="G184" s="11"/>
      <c r="H184" s="13"/>
      <c r="I184" s="11"/>
      <c r="J184" s="11"/>
    </row>
    <row x14ac:dyDescent="0.25" r="185" customHeight="1" ht="17.25">
      <c r="A185" s="14" t="s">
        <v>3</v>
      </c>
      <c r="B185" s="14" t="s">
        <v>4</v>
      </c>
      <c r="C185" s="14" t="s">
        <v>5</v>
      </c>
      <c r="D185" s="14" t="s">
        <v>6</v>
      </c>
      <c r="E185" s="15" t="s">
        <v>7</v>
      </c>
      <c r="F185" s="14" t="s">
        <v>8</v>
      </c>
      <c r="G185" s="14" t="s">
        <v>9</v>
      </c>
      <c r="H185" s="16" t="s">
        <v>10</v>
      </c>
      <c r="I185" s="14" t="s">
        <v>11</v>
      </c>
      <c r="J185" s="14" t="s">
        <v>12</v>
      </c>
    </row>
    <row x14ac:dyDescent="0.25" r="186" customHeight="1" ht="17.25">
      <c r="A186" s="17" t="s">
        <v>3700</v>
      </c>
      <c r="B186" s="17" t="s">
        <v>314</v>
      </c>
      <c r="C186" s="17" t="s">
        <v>56</v>
      </c>
      <c r="D186" s="17" t="s">
        <v>16</v>
      </c>
      <c r="E186" s="18">
        <f>ROUND(8325*1.05,2)</f>
      </c>
      <c r="F186" s="17" t="s">
        <v>17</v>
      </c>
      <c r="G186" s="17" t="s">
        <v>18</v>
      </c>
      <c r="H186" s="18">
        <f>ROUND(RAND()*4+6,1)</f>
      </c>
      <c r="I186" s="17" t="s">
        <v>19</v>
      </c>
      <c r="J186" s="19">
        <f>ROUND(94*1,0)&amp;"%"</f>
      </c>
    </row>
    <row x14ac:dyDescent="0.25" r="187" customHeight="1" ht="17.25">
      <c r="A187" s="20" t="s">
        <v>3701</v>
      </c>
      <c r="B187" s="20" t="s">
        <v>316</v>
      </c>
      <c r="C187" s="20" t="s">
        <v>56</v>
      </c>
      <c r="D187" s="20" t="s">
        <v>22</v>
      </c>
      <c r="E187" s="21">
        <f>ROUND(10156*1.05,2)</f>
      </c>
      <c r="F187" s="20" t="s">
        <v>23</v>
      </c>
      <c r="G187" s="20" t="s">
        <v>24</v>
      </c>
      <c r="H187" s="21">
        <f>ROUND(RAND()*4+6,1)</f>
      </c>
      <c r="I187" s="20" t="s">
        <v>25</v>
      </c>
      <c r="J187" s="23">
        <f>ROUND(74*1,0)&amp;"%"</f>
      </c>
    </row>
    <row x14ac:dyDescent="0.25" r="188" customHeight="1" ht="17.25">
      <c r="A188" s="17" t="s">
        <v>3702</v>
      </c>
      <c r="B188" s="17" t="s">
        <v>318</v>
      </c>
      <c r="C188" s="17" t="s">
        <v>56</v>
      </c>
      <c r="D188" s="17" t="s">
        <v>28</v>
      </c>
      <c r="E188" s="18">
        <f>ROUND(14976*1.05,2)</f>
      </c>
      <c r="F188" s="17" t="s">
        <v>29</v>
      </c>
      <c r="G188" s="17" t="s">
        <v>30</v>
      </c>
      <c r="H188" s="18">
        <f>ROUND(RAND()*4+6,1)</f>
      </c>
      <c r="I188" s="17" t="s">
        <v>31</v>
      </c>
      <c r="J188" s="19">
        <f>ROUND(83*1,0)&amp;"%"</f>
      </c>
    </row>
    <row x14ac:dyDescent="0.25" r="189" customHeight="1" ht="17.25">
      <c r="A189" s="20" t="s">
        <v>3703</v>
      </c>
      <c r="B189" s="20" t="s">
        <v>320</v>
      </c>
      <c r="C189" s="20" t="s">
        <v>56</v>
      </c>
      <c r="D189" s="20" t="s">
        <v>34</v>
      </c>
      <c r="E189" s="21">
        <f>ROUND(11459*1.05,2)</f>
      </c>
      <c r="F189" s="20" t="s">
        <v>35</v>
      </c>
      <c r="G189" s="20" t="s">
        <v>18</v>
      </c>
      <c r="H189" s="21">
        <f>ROUND(RAND()*4+6,1)</f>
      </c>
      <c r="I189" s="20" t="s">
        <v>36</v>
      </c>
      <c r="J189" s="23">
        <f>ROUND(64*1,0)&amp;"%"</f>
      </c>
    </row>
    <row x14ac:dyDescent="0.25" r="190" customHeight="1" ht="17.25">
      <c r="A190" s="17" t="s">
        <v>3704</v>
      </c>
      <c r="B190" s="17" t="s">
        <v>322</v>
      </c>
      <c r="C190" s="17" t="s">
        <v>56</v>
      </c>
      <c r="D190" s="17" t="s">
        <v>39</v>
      </c>
      <c r="E190" s="18">
        <f>ROUND(11509*1.05,2)</f>
      </c>
      <c r="F190" s="17" t="s">
        <v>40</v>
      </c>
      <c r="G190" s="17" t="s">
        <v>24</v>
      </c>
      <c r="H190" s="26">
        <f>ROUND(RAND()*4+6,1)</f>
      </c>
      <c r="I190" s="17" t="s">
        <v>41</v>
      </c>
      <c r="J190" s="19">
        <f>ROUND(91*1,0)&amp;"%"</f>
      </c>
    </row>
    <row x14ac:dyDescent="0.25" r="191" customHeight="1" ht="17.25">
      <c r="A191" s="20" t="s">
        <v>3705</v>
      </c>
      <c r="B191" s="20" t="s">
        <v>324</v>
      </c>
      <c r="C191" s="20" t="s">
        <v>56</v>
      </c>
      <c r="D191" s="20" t="s">
        <v>67</v>
      </c>
      <c r="E191" s="21">
        <f>ROUND(14563*1.05,2)</f>
      </c>
      <c r="F191" s="20" t="s">
        <v>44</v>
      </c>
      <c r="G191" s="20" t="s">
        <v>30</v>
      </c>
      <c r="H191" s="21">
        <f>ROUND(RAND()*4+6,1)</f>
      </c>
      <c r="I191" s="20" t="s">
        <v>45</v>
      </c>
      <c r="J191" s="23">
        <f>ROUND(86*1,0)&amp;"%"</f>
      </c>
    </row>
    <row x14ac:dyDescent="0.25" r="192" customHeight="1" ht="17.25">
      <c r="A192" s="17" t="s">
        <v>3706</v>
      </c>
      <c r="B192" s="17" t="s">
        <v>326</v>
      </c>
      <c r="C192" s="17" t="s">
        <v>56</v>
      </c>
      <c r="D192" s="17" t="s">
        <v>16</v>
      </c>
      <c r="E192" s="18">
        <f>ROUND(11978*1.05,2)</f>
      </c>
      <c r="F192" s="17" t="s">
        <v>48</v>
      </c>
      <c r="G192" s="17" t="s">
        <v>18</v>
      </c>
      <c r="H192" s="18">
        <f>ROUND(RAND()*4+6,1)</f>
      </c>
      <c r="I192" s="17" t="s">
        <v>19</v>
      </c>
      <c r="J192" s="19">
        <f>ROUND(78*1,0)&amp;"%"</f>
      </c>
    </row>
    <row x14ac:dyDescent="0.25" r="193" customHeight="1" ht="17.25">
      <c r="A193" s="20" t="s">
        <v>3707</v>
      </c>
      <c r="B193" s="20" t="s">
        <v>328</v>
      </c>
      <c r="C193" s="20" t="s">
        <v>56</v>
      </c>
      <c r="D193" s="20" t="s">
        <v>22</v>
      </c>
      <c r="E193" s="21">
        <f>ROUND(16837*1.05,2)</f>
      </c>
      <c r="F193" s="20" t="s">
        <v>51</v>
      </c>
      <c r="G193" s="20" t="s">
        <v>24</v>
      </c>
      <c r="H193" s="21">
        <f>ROUND(RAND()*4+6,1)</f>
      </c>
      <c r="I193" s="20" t="s">
        <v>25</v>
      </c>
      <c r="J193" s="23">
        <f>ROUND(98*1,0)&amp;"%"</f>
      </c>
    </row>
    <row x14ac:dyDescent="0.25" r="194" customHeight="1" ht="17.25">
      <c r="A194" s="24" t="s">
        <v>329</v>
      </c>
      <c r="B194" s="24"/>
      <c r="C194" s="24"/>
      <c r="D194" s="24"/>
      <c r="E194" s="25">
        <v>8</v>
      </c>
      <c r="F194" s="9"/>
      <c r="G194" s="9"/>
      <c r="H194" s="10"/>
      <c r="I194" s="9"/>
      <c r="J194" s="9"/>
    </row>
    <row x14ac:dyDescent="0.25" r="195" customHeight="1" ht="17.25">
      <c r="A195" s="7"/>
      <c r="B195" s="7"/>
      <c r="C195" s="7"/>
      <c r="D195" s="7"/>
      <c r="E195" s="8"/>
      <c r="F195" s="9"/>
      <c r="G195" s="9"/>
      <c r="H195" s="10"/>
      <c r="I195" s="9"/>
      <c r="J195" s="9"/>
    </row>
    <row x14ac:dyDescent="0.25" r="196" customHeight="1" ht="17.25">
      <c r="A196" s="11" t="s">
        <v>3708</v>
      </c>
      <c r="B196" s="11"/>
      <c r="C196" s="11"/>
      <c r="D196" s="11"/>
      <c r="E196" s="12"/>
      <c r="F196" s="11"/>
      <c r="G196" s="11"/>
      <c r="H196" s="13"/>
      <c r="I196" s="11"/>
      <c r="J196" s="11"/>
    </row>
    <row x14ac:dyDescent="0.25" r="197" customHeight="1" ht="17.25">
      <c r="A197" s="14" t="s">
        <v>3</v>
      </c>
      <c r="B197" s="14" t="s">
        <v>4</v>
      </c>
      <c r="C197" s="14" t="s">
        <v>5</v>
      </c>
      <c r="D197" s="14" t="s">
        <v>6</v>
      </c>
      <c r="E197" s="15" t="s">
        <v>7</v>
      </c>
      <c r="F197" s="14" t="s">
        <v>8</v>
      </c>
      <c r="G197" s="14" t="s">
        <v>9</v>
      </c>
      <c r="H197" s="16" t="s">
        <v>10</v>
      </c>
      <c r="I197" s="14" t="s">
        <v>11</v>
      </c>
      <c r="J197" s="14" t="s">
        <v>12</v>
      </c>
    </row>
    <row x14ac:dyDescent="0.25" r="198" customHeight="1" ht="17.25">
      <c r="A198" s="17" t="s">
        <v>3709</v>
      </c>
      <c r="B198" s="17" t="s">
        <v>332</v>
      </c>
      <c r="C198" s="17" t="s">
        <v>76</v>
      </c>
      <c r="D198" s="17" t="s">
        <v>16</v>
      </c>
      <c r="E198" s="18">
        <f>ROUND(8697*1.05,2)</f>
      </c>
      <c r="F198" s="17" t="s">
        <v>17</v>
      </c>
      <c r="G198" s="17" t="s">
        <v>18</v>
      </c>
      <c r="H198" s="18">
        <f>ROUND(RAND()*4+6,1)</f>
      </c>
      <c r="I198" s="17" t="s">
        <v>19</v>
      </c>
      <c r="J198" s="19">
        <f>ROUND(90*1,0)&amp;"%"</f>
      </c>
    </row>
    <row x14ac:dyDescent="0.25" r="199" customHeight="1" ht="17.25">
      <c r="A199" s="20" t="s">
        <v>3710</v>
      </c>
      <c r="B199" s="20" t="s">
        <v>334</v>
      </c>
      <c r="C199" s="20" t="s">
        <v>76</v>
      </c>
      <c r="D199" s="20" t="s">
        <v>22</v>
      </c>
      <c r="E199" s="21">
        <f>ROUND(7933*1.05,2)</f>
      </c>
      <c r="F199" s="20" t="s">
        <v>23</v>
      </c>
      <c r="G199" s="20" t="s">
        <v>24</v>
      </c>
      <c r="H199" s="22">
        <f>ROUND(RAND()*4+6,1)</f>
      </c>
      <c r="I199" s="20" t="s">
        <v>25</v>
      </c>
      <c r="J199" s="23">
        <f>ROUND(75*1,0)&amp;"%"</f>
      </c>
    </row>
    <row x14ac:dyDescent="0.25" r="200" customHeight="1" ht="17.25">
      <c r="A200" s="17" t="s">
        <v>3711</v>
      </c>
      <c r="B200" s="17" t="s">
        <v>336</v>
      </c>
      <c r="C200" s="17" t="s">
        <v>76</v>
      </c>
      <c r="D200" s="17" t="s">
        <v>28</v>
      </c>
      <c r="E200" s="18">
        <f>ROUND(15165*1.05,2)</f>
      </c>
      <c r="F200" s="17" t="s">
        <v>29</v>
      </c>
      <c r="G200" s="17" t="s">
        <v>30</v>
      </c>
      <c r="H200" s="18">
        <f>ROUND(RAND()*4+6,1)</f>
      </c>
      <c r="I200" s="17" t="s">
        <v>31</v>
      </c>
      <c r="J200" s="19">
        <f>ROUND(92*1,0)&amp;"%"</f>
      </c>
    </row>
    <row x14ac:dyDescent="0.25" r="201" customHeight="1" ht="17.25">
      <c r="A201" s="20" t="s">
        <v>3712</v>
      </c>
      <c r="B201" s="20" t="s">
        <v>338</v>
      </c>
      <c r="C201" s="20" t="s">
        <v>76</v>
      </c>
      <c r="D201" s="20" t="s">
        <v>34</v>
      </c>
      <c r="E201" s="21">
        <f>ROUND(4628*1.05,2)</f>
      </c>
      <c r="F201" s="20" t="s">
        <v>35</v>
      </c>
      <c r="G201" s="20" t="s">
        <v>18</v>
      </c>
      <c r="H201" s="22">
        <f>ROUND(RAND()*4+6,1)</f>
      </c>
      <c r="I201" s="20" t="s">
        <v>36</v>
      </c>
      <c r="J201" s="23">
        <f>ROUND(84*1,0)&amp;"%"</f>
      </c>
    </row>
    <row x14ac:dyDescent="0.25" r="202" customHeight="1" ht="17.25">
      <c r="A202" s="17" t="s">
        <v>3713</v>
      </c>
      <c r="B202" s="17" t="s">
        <v>340</v>
      </c>
      <c r="C202" s="17" t="s">
        <v>76</v>
      </c>
      <c r="D202" s="17" t="s">
        <v>39</v>
      </c>
      <c r="E202" s="18">
        <f>ROUND(6116*1.05,2)</f>
      </c>
      <c r="F202" s="17" t="s">
        <v>40</v>
      </c>
      <c r="G202" s="17" t="s">
        <v>24</v>
      </c>
      <c r="H202" s="18">
        <f>ROUND(RAND()*4+6,1)</f>
      </c>
      <c r="I202" s="17" t="s">
        <v>41</v>
      </c>
      <c r="J202" s="19">
        <f>ROUND(79*1,0)&amp;"%"</f>
      </c>
    </row>
    <row x14ac:dyDescent="0.25" r="203" customHeight="1" ht="17.25">
      <c r="A203" s="20" t="s">
        <v>3714</v>
      </c>
      <c r="B203" s="20" t="s">
        <v>342</v>
      </c>
      <c r="C203" s="20" t="s">
        <v>76</v>
      </c>
      <c r="D203" s="20" t="s">
        <v>67</v>
      </c>
      <c r="E203" s="21">
        <f>ROUND(7186*1.05,2)</f>
      </c>
      <c r="F203" s="20" t="s">
        <v>44</v>
      </c>
      <c r="G203" s="20" t="s">
        <v>30</v>
      </c>
      <c r="H203" s="21">
        <f>ROUND(RAND()*4+6,1)</f>
      </c>
      <c r="I203" s="20" t="s">
        <v>45</v>
      </c>
      <c r="J203" s="23">
        <f>ROUND(78*1,0)&amp;"%"</f>
      </c>
    </row>
    <row x14ac:dyDescent="0.25" r="204" customHeight="1" ht="17.25">
      <c r="A204" s="17" t="s">
        <v>3715</v>
      </c>
      <c r="B204" s="17" t="s">
        <v>344</v>
      </c>
      <c r="C204" s="17" t="s">
        <v>76</v>
      </c>
      <c r="D204" s="17" t="s">
        <v>16</v>
      </c>
      <c r="E204" s="18">
        <f>ROUND(7130*1.05,2)</f>
      </c>
      <c r="F204" s="17" t="s">
        <v>48</v>
      </c>
      <c r="G204" s="17" t="s">
        <v>18</v>
      </c>
      <c r="H204" s="18">
        <f>ROUND(RAND()*4+6,1)</f>
      </c>
      <c r="I204" s="17" t="s">
        <v>19</v>
      </c>
      <c r="J204" s="19">
        <f>ROUND(81*1,0)&amp;"%"</f>
      </c>
    </row>
    <row x14ac:dyDescent="0.25" r="205" customHeight="1" ht="17.25">
      <c r="A205" s="20" t="s">
        <v>3716</v>
      </c>
      <c r="B205" s="20" t="s">
        <v>346</v>
      </c>
      <c r="C205" s="20" t="s">
        <v>76</v>
      </c>
      <c r="D205" s="20" t="s">
        <v>22</v>
      </c>
      <c r="E205" s="21">
        <f>ROUND(4293*1.05,2)</f>
      </c>
      <c r="F205" s="20" t="s">
        <v>51</v>
      </c>
      <c r="G205" s="20" t="s">
        <v>24</v>
      </c>
      <c r="H205" s="21">
        <f>ROUND(RAND()*4+6,1)</f>
      </c>
      <c r="I205" s="20" t="s">
        <v>25</v>
      </c>
      <c r="J205" s="23">
        <f>ROUND(96*1,0)&amp;"%"</f>
      </c>
    </row>
    <row x14ac:dyDescent="0.25" r="206" customHeight="1" ht="17.25">
      <c r="A206" s="24" t="s">
        <v>347</v>
      </c>
      <c r="B206" s="24"/>
      <c r="C206" s="24"/>
      <c r="D206" s="24"/>
      <c r="E206" s="25">
        <v>8</v>
      </c>
      <c r="F206" s="9"/>
      <c r="G206" s="9"/>
      <c r="H206" s="10"/>
      <c r="I206" s="9"/>
      <c r="J206" s="9"/>
    </row>
    <row x14ac:dyDescent="0.25" r="207" customHeight="1" ht="17.25">
      <c r="A207" s="7"/>
      <c r="B207" s="7"/>
      <c r="C207" s="7"/>
      <c r="D207" s="7"/>
      <c r="E207" s="8"/>
      <c r="F207" s="9"/>
      <c r="G207" s="9"/>
      <c r="H207" s="10"/>
      <c r="I207" s="9"/>
      <c r="J207" s="9"/>
    </row>
    <row x14ac:dyDescent="0.25" r="208" customHeight="1" ht="17.25">
      <c r="A208" s="11" t="s">
        <v>3717</v>
      </c>
      <c r="B208" s="11"/>
      <c r="C208" s="11"/>
      <c r="D208" s="11"/>
      <c r="E208" s="12"/>
      <c r="F208" s="11"/>
      <c r="G208" s="11"/>
      <c r="H208" s="13"/>
      <c r="I208" s="11"/>
      <c r="J208" s="11"/>
    </row>
    <row x14ac:dyDescent="0.25" r="209" customHeight="1" ht="17.25">
      <c r="A209" s="14" t="s">
        <v>3</v>
      </c>
      <c r="B209" s="14" t="s">
        <v>4</v>
      </c>
      <c r="C209" s="14" t="s">
        <v>5</v>
      </c>
      <c r="D209" s="14" t="s">
        <v>6</v>
      </c>
      <c r="E209" s="15" t="s">
        <v>7</v>
      </c>
      <c r="F209" s="14" t="s">
        <v>8</v>
      </c>
      <c r="G209" s="14" t="s">
        <v>9</v>
      </c>
      <c r="H209" s="16" t="s">
        <v>10</v>
      </c>
      <c r="I209" s="14" t="s">
        <v>11</v>
      </c>
      <c r="J209" s="14" t="s">
        <v>12</v>
      </c>
    </row>
    <row x14ac:dyDescent="0.25" r="210" customHeight="1" ht="17.25">
      <c r="A210" s="17" t="s">
        <v>3718</v>
      </c>
      <c r="B210" s="17" t="s">
        <v>350</v>
      </c>
      <c r="C210" s="17" t="s">
        <v>95</v>
      </c>
      <c r="D210" s="17" t="s">
        <v>16</v>
      </c>
      <c r="E210" s="18">
        <f>ROUND(13614*1.05,2)</f>
      </c>
      <c r="F210" s="17" t="s">
        <v>17</v>
      </c>
      <c r="G210" s="17" t="s">
        <v>18</v>
      </c>
      <c r="H210" s="18">
        <f>ROUND(RAND()*4+6,1)</f>
      </c>
      <c r="I210" s="17" t="s">
        <v>19</v>
      </c>
      <c r="J210" s="19">
        <f>ROUND(62*1,0)&amp;"%"</f>
      </c>
    </row>
    <row x14ac:dyDescent="0.25" r="211" customHeight="1" ht="17.25">
      <c r="A211" s="20" t="s">
        <v>3719</v>
      </c>
      <c r="B211" s="20" t="s">
        <v>352</v>
      </c>
      <c r="C211" s="20" t="s">
        <v>95</v>
      </c>
      <c r="D211" s="20" t="s">
        <v>22</v>
      </c>
      <c r="E211" s="21">
        <f>ROUND(14370*1.05,2)</f>
      </c>
      <c r="F211" s="20" t="s">
        <v>23</v>
      </c>
      <c r="G211" s="20" t="s">
        <v>24</v>
      </c>
      <c r="H211" s="21">
        <f>ROUND(RAND()*4+6,1)</f>
      </c>
      <c r="I211" s="20" t="s">
        <v>25</v>
      </c>
      <c r="J211" s="23">
        <f>ROUND(91*1,0)&amp;"%"</f>
      </c>
    </row>
    <row x14ac:dyDescent="0.25" r="212" customHeight="1" ht="17.25">
      <c r="A212" s="17" t="s">
        <v>3720</v>
      </c>
      <c r="B212" s="17" t="s">
        <v>354</v>
      </c>
      <c r="C212" s="17" t="s">
        <v>95</v>
      </c>
      <c r="D212" s="17" t="s">
        <v>28</v>
      </c>
      <c r="E212" s="18">
        <f>ROUND(15107*1.05,2)</f>
      </c>
      <c r="F212" s="17" t="s">
        <v>29</v>
      </c>
      <c r="G212" s="17" t="s">
        <v>30</v>
      </c>
      <c r="H212" s="18">
        <f>ROUND(RAND()*4+6,1)</f>
      </c>
      <c r="I212" s="17" t="s">
        <v>31</v>
      </c>
      <c r="J212" s="19">
        <f>ROUND(79*1,0)&amp;"%"</f>
      </c>
    </row>
    <row x14ac:dyDescent="0.25" r="213" customHeight="1" ht="17.25">
      <c r="A213" s="20" t="s">
        <v>3721</v>
      </c>
      <c r="B213" s="20" t="s">
        <v>356</v>
      </c>
      <c r="C213" s="20" t="s">
        <v>95</v>
      </c>
      <c r="D213" s="20" t="s">
        <v>34</v>
      </c>
      <c r="E213" s="21">
        <f>ROUND(7103*1.05,2)</f>
      </c>
      <c r="F213" s="20" t="s">
        <v>35</v>
      </c>
      <c r="G213" s="20" t="s">
        <v>18</v>
      </c>
      <c r="H213" s="21">
        <f>ROUND(RAND()*4+6,1)</f>
      </c>
      <c r="I213" s="20" t="s">
        <v>36</v>
      </c>
      <c r="J213" s="23">
        <f>ROUND(72*1,0)&amp;"%"</f>
      </c>
    </row>
    <row x14ac:dyDescent="0.25" r="214" customHeight="1" ht="17.25">
      <c r="A214" s="17" t="s">
        <v>3722</v>
      </c>
      <c r="B214" s="17" t="s">
        <v>358</v>
      </c>
      <c r="C214" s="17" t="s">
        <v>95</v>
      </c>
      <c r="D214" s="17" t="s">
        <v>39</v>
      </c>
      <c r="E214" s="18">
        <f>ROUND(11687*1.05,2)</f>
      </c>
      <c r="F214" s="17" t="s">
        <v>40</v>
      </c>
      <c r="G214" s="17" t="s">
        <v>24</v>
      </c>
      <c r="H214" s="18">
        <f>ROUND(RAND()*4+6,1)</f>
      </c>
      <c r="I214" s="17" t="s">
        <v>41</v>
      </c>
      <c r="J214" s="19">
        <f>ROUND(84*1,0)&amp;"%"</f>
      </c>
    </row>
    <row x14ac:dyDescent="0.25" r="215" customHeight="1" ht="17.25">
      <c r="A215" s="20" t="s">
        <v>3723</v>
      </c>
      <c r="B215" s="20" t="s">
        <v>360</v>
      </c>
      <c r="C215" s="20" t="s">
        <v>95</v>
      </c>
      <c r="D215" s="20" t="s">
        <v>67</v>
      </c>
      <c r="E215" s="21">
        <f>ROUND(12944*1.05,2)</f>
      </c>
      <c r="F215" s="20" t="s">
        <v>44</v>
      </c>
      <c r="G215" s="20" t="s">
        <v>30</v>
      </c>
      <c r="H215" s="22">
        <f>ROUND(RAND()*4+6,1)</f>
      </c>
      <c r="I215" s="20" t="s">
        <v>45</v>
      </c>
      <c r="J215" s="23">
        <f>ROUND(81*1,0)&amp;"%"</f>
      </c>
    </row>
    <row x14ac:dyDescent="0.25" r="216" customHeight="1" ht="17.25">
      <c r="A216" s="17" t="s">
        <v>3724</v>
      </c>
      <c r="B216" s="17" t="s">
        <v>362</v>
      </c>
      <c r="C216" s="17" t="s">
        <v>95</v>
      </c>
      <c r="D216" s="17" t="s">
        <v>16</v>
      </c>
      <c r="E216" s="18">
        <f>ROUND(5903*1.05,2)</f>
      </c>
      <c r="F216" s="17" t="s">
        <v>48</v>
      </c>
      <c r="G216" s="17" t="s">
        <v>18</v>
      </c>
      <c r="H216" s="18">
        <f>ROUND(RAND()*4+6,1)</f>
      </c>
      <c r="I216" s="17" t="s">
        <v>19</v>
      </c>
      <c r="J216" s="19">
        <f>ROUND(66*1,0)&amp;"%"</f>
      </c>
    </row>
    <row x14ac:dyDescent="0.25" r="217" customHeight="1" ht="17.25">
      <c r="A217" s="20" t="s">
        <v>3725</v>
      </c>
      <c r="B217" s="20" t="s">
        <v>364</v>
      </c>
      <c r="C217" s="20" t="s">
        <v>95</v>
      </c>
      <c r="D217" s="20" t="s">
        <v>22</v>
      </c>
      <c r="E217" s="21">
        <f>ROUND(16071*1.05,2)</f>
      </c>
      <c r="F217" s="20" t="s">
        <v>51</v>
      </c>
      <c r="G217" s="20" t="s">
        <v>24</v>
      </c>
      <c r="H217" s="21">
        <f>ROUND(RAND()*4+6,1)</f>
      </c>
      <c r="I217" s="20" t="s">
        <v>25</v>
      </c>
      <c r="J217" s="23">
        <f>ROUND(87*1,0)&amp;"%"</f>
      </c>
    </row>
    <row x14ac:dyDescent="0.25" r="218" customHeight="1" ht="17.25">
      <c r="A218" s="24" t="s">
        <v>365</v>
      </c>
      <c r="B218" s="24"/>
      <c r="C218" s="24"/>
      <c r="D218" s="24"/>
      <c r="E218" s="25">
        <v>8</v>
      </c>
      <c r="F218" s="9"/>
      <c r="G218" s="9"/>
      <c r="H218" s="10"/>
      <c r="I218" s="9"/>
      <c r="J218" s="9"/>
    </row>
    <row x14ac:dyDescent="0.25" r="219" customHeight="1" ht="17.25">
      <c r="A219" s="7"/>
      <c r="B219" s="7"/>
      <c r="C219" s="7"/>
      <c r="D219" s="7"/>
      <c r="E219" s="8"/>
      <c r="F219" s="9"/>
      <c r="G219" s="9"/>
      <c r="H219" s="10"/>
      <c r="I219" s="9"/>
      <c r="J219" s="9"/>
    </row>
    <row x14ac:dyDescent="0.25" r="220" customHeight="1" ht="17.25">
      <c r="A220" s="11" t="s">
        <v>3726</v>
      </c>
      <c r="B220" s="11"/>
      <c r="C220" s="11"/>
      <c r="D220" s="11"/>
      <c r="E220" s="12"/>
      <c r="F220" s="11"/>
      <c r="G220" s="11"/>
      <c r="H220" s="13"/>
      <c r="I220" s="11"/>
      <c r="J220" s="11"/>
    </row>
    <row x14ac:dyDescent="0.25" r="221" customHeight="1" ht="17.25">
      <c r="A221" s="14" t="s">
        <v>3</v>
      </c>
      <c r="B221" s="14" t="s">
        <v>4</v>
      </c>
      <c r="C221" s="14" t="s">
        <v>5</v>
      </c>
      <c r="D221" s="14" t="s">
        <v>6</v>
      </c>
      <c r="E221" s="15" t="s">
        <v>7</v>
      </c>
      <c r="F221" s="14" t="s">
        <v>8</v>
      </c>
      <c r="G221" s="14" t="s">
        <v>9</v>
      </c>
      <c r="H221" s="16" t="s">
        <v>10</v>
      </c>
      <c r="I221" s="14" t="s">
        <v>11</v>
      </c>
      <c r="J221" s="14" t="s">
        <v>12</v>
      </c>
    </row>
    <row x14ac:dyDescent="0.25" r="222" customHeight="1" ht="17.25">
      <c r="A222" s="17" t="s">
        <v>3727</v>
      </c>
      <c r="B222" s="17" t="s">
        <v>368</v>
      </c>
      <c r="C222" s="17" t="s">
        <v>114</v>
      </c>
      <c r="D222" s="17" t="s">
        <v>16</v>
      </c>
      <c r="E222" s="18">
        <f>ROUND(11749*1.05,2)</f>
      </c>
      <c r="F222" s="17" t="s">
        <v>17</v>
      </c>
      <c r="G222" s="17" t="s">
        <v>18</v>
      </c>
      <c r="H222" s="18">
        <f>ROUND(RAND()*4+6,1)</f>
      </c>
      <c r="I222" s="17" t="s">
        <v>19</v>
      </c>
      <c r="J222" s="19">
        <f>ROUND(72*1,0)&amp;"%"</f>
      </c>
    </row>
    <row x14ac:dyDescent="0.25" r="223" customHeight="1" ht="17.25">
      <c r="A223" s="20" t="s">
        <v>3728</v>
      </c>
      <c r="B223" s="20" t="s">
        <v>370</v>
      </c>
      <c r="C223" s="20" t="s">
        <v>114</v>
      </c>
      <c r="D223" s="20" t="s">
        <v>22</v>
      </c>
      <c r="E223" s="21">
        <f>ROUND(13910*1.05,2)</f>
      </c>
      <c r="F223" s="20" t="s">
        <v>23</v>
      </c>
      <c r="G223" s="20" t="s">
        <v>24</v>
      </c>
      <c r="H223" s="21">
        <f>ROUND(RAND()*4+6,1)</f>
      </c>
      <c r="I223" s="20" t="s">
        <v>25</v>
      </c>
      <c r="J223" s="23">
        <f>ROUND(70*1,0)&amp;"%"</f>
      </c>
    </row>
    <row x14ac:dyDescent="0.25" r="224" customHeight="1" ht="17.25">
      <c r="A224" s="17" t="s">
        <v>3729</v>
      </c>
      <c r="B224" s="17" t="s">
        <v>372</v>
      </c>
      <c r="C224" s="17" t="s">
        <v>114</v>
      </c>
      <c r="D224" s="17" t="s">
        <v>28</v>
      </c>
      <c r="E224" s="18">
        <f>ROUND(14490*1.05,2)</f>
      </c>
      <c r="F224" s="17" t="s">
        <v>29</v>
      </c>
      <c r="G224" s="17" t="s">
        <v>30</v>
      </c>
      <c r="H224" s="18">
        <f>ROUND(RAND()*4+6,1)</f>
      </c>
      <c r="I224" s="17" t="s">
        <v>31</v>
      </c>
      <c r="J224" s="19">
        <f>ROUND(83*1,0)&amp;"%"</f>
      </c>
    </row>
    <row x14ac:dyDescent="0.25" r="225" customHeight="1" ht="17.25">
      <c r="A225" s="20" t="s">
        <v>3730</v>
      </c>
      <c r="B225" s="20" t="s">
        <v>374</v>
      </c>
      <c r="C225" s="20" t="s">
        <v>114</v>
      </c>
      <c r="D225" s="20" t="s">
        <v>34</v>
      </c>
      <c r="E225" s="21">
        <f>ROUND(10712*1.05,2)</f>
      </c>
      <c r="F225" s="20" t="s">
        <v>35</v>
      </c>
      <c r="G225" s="20" t="s">
        <v>18</v>
      </c>
      <c r="H225" s="21">
        <f>ROUND(RAND()*4+6,1)</f>
      </c>
      <c r="I225" s="20" t="s">
        <v>36</v>
      </c>
      <c r="J225" s="23">
        <f>ROUND(93*1,0)&amp;"%"</f>
      </c>
    </row>
    <row x14ac:dyDescent="0.25" r="226" customHeight="1" ht="17.25">
      <c r="A226" s="17" t="s">
        <v>3731</v>
      </c>
      <c r="B226" s="17" t="s">
        <v>376</v>
      </c>
      <c r="C226" s="17" t="s">
        <v>114</v>
      </c>
      <c r="D226" s="17" t="s">
        <v>39</v>
      </c>
      <c r="E226" s="18">
        <f>ROUND(9158*1.05,2)</f>
      </c>
      <c r="F226" s="17" t="s">
        <v>40</v>
      </c>
      <c r="G226" s="17" t="s">
        <v>24</v>
      </c>
      <c r="H226" s="18">
        <f>ROUND(RAND()*4+6,1)</f>
      </c>
      <c r="I226" s="17" t="s">
        <v>41</v>
      </c>
      <c r="J226" s="19">
        <f>ROUND(94*1,0)&amp;"%"</f>
      </c>
    </row>
    <row x14ac:dyDescent="0.25" r="227" customHeight="1" ht="17.25">
      <c r="A227" s="20" t="s">
        <v>3732</v>
      </c>
      <c r="B227" s="20" t="s">
        <v>378</v>
      </c>
      <c r="C227" s="20" t="s">
        <v>114</v>
      </c>
      <c r="D227" s="20" t="s">
        <v>67</v>
      </c>
      <c r="E227" s="21">
        <f>ROUND(17526*1.05,2)</f>
      </c>
      <c r="F227" s="20" t="s">
        <v>44</v>
      </c>
      <c r="G227" s="20" t="s">
        <v>30</v>
      </c>
      <c r="H227" s="21">
        <f>ROUND(RAND()*4+6,1)</f>
      </c>
      <c r="I227" s="20" t="s">
        <v>45</v>
      </c>
      <c r="J227" s="23">
        <f>ROUND(91*1,0)&amp;"%"</f>
      </c>
    </row>
    <row x14ac:dyDescent="0.25" r="228" customHeight="1" ht="17.25">
      <c r="A228" s="17" t="s">
        <v>3733</v>
      </c>
      <c r="B228" s="17" t="s">
        <v>380</v>
      </c>
      <c r="C228" s="17" t="s">
        <v>114</v>
      </c>
      <c r="D228" s="17" t="s">
        <v>16</v>
      </c>
      <c r="E228" s="18">
        <f>ROUND(9616*1.05,2)</f>
      </c>
      <c r="F228" s="17" t="s">
        <v>48</v>
      </c>
      <c r="G228" s="17" t="s">
        <v>18</v>
      </c>
      <c r="H228" s="18">
        <f>ROUND(RAND()*4+6,1)</f>
      </c>
      <c r="I228" s="17" t="s">
        <v>19</v>
      </c>
      <c r="J228" s="19">
        <f>ROUND(84*1,0)&amp;"%"</f>
      </c>
    </row>
    <row x14ac:dyDescent="0.25" r="229" customHeight="1" ht="17.25">
      <c r="A229" s="20" t="s">
        <v>3734</v>
      </c>
      <c r="B229" s="20" t="s">
        <v>382</v>
      </c>
      <c r="C229" s="20" t="s">
        <v>114</v>
      </c>
      <c r="D229" s="20" t="s">
        <v>22</v>
      </c>
      <c r="E229" s="21">
        <f>ROUND(10578*1.05,2)</f>
      </c>
      <c r="F229" s="20" t="s">
        <v>51</v>
      </c>
      <c r="G229" s="20" t="s">
        <v>24</v>
      </c>
      <c r="H229" s="21">
        <f>ROUND(RAND()*4+6,1)</f>
      </c>
      <c r="I229" s="20" t="s">
        <v>25</v>
      </c>
      <c r="J229" s="23">
        <f>ROUND(65*1,0)&amp;"%"</f>
      </c>
    </row>
    <row x14ac:dyDescent="0.25" r="230" customHeight="1" ht="17.25">
      <c r="A230" s="24" t="s">
        <v>383</v>
      </c>
      <c r="B230" s="24"/>
      <c r="C230" s="24"/>
      <c r="D230" s="24"/>
      <c r="E230" s="25">
        <v>8</v>
      </c>
      <c r="F230" s="9"/>
      <c r="G230" s="9"/>
      <c r="H230" s="10"/>
      <c r="I230" s="9"/>
      <c r="J230" s="9"/>
    </row>
    <row x14ac:dyDescent="0.25" r="231" customHeight="1" ht="17.25">
      <c r="A231" s="7"/>
      <c r="B231" s="7"/>
      <c r="C231" s="7"/>
      <c r="D231" s="7"/>
      <c r="E231" s="8"/>
      <c r="F231" s="9"/>
      <c r="G231" s="9"/>
      <c r="H231" s="10"/>
      <c r="I231" s="9"/>
      <c r="J231" s="9"/>
    </row>
    <row x14ac:dyDescent="0.25" r="232" customHeight="1" ht="17.25">
      <c r="A232" s="11" t="s">
        <v>3735</v>
      </c>
      <c r="B232" s="11"/>
      <c r="C232" s="11"/>
      <c r="D232" s="11"/>
      <c r="E232" s="12"/>
      <c r="F232" s="11"/>
      <c r="G232" s="11"/>
      <c r="H232" s="13"/>
      <c r="I232" s="11"/>
      <c r="J232" s="11"/>
    </row>
    <row x14ac:dyDescent="0.25" r="233" customHeight="1" ht="17.25">
      <c r="A233" s="14" t="s">
        <v>3</v>
      </c>
      <c r="B233" s="14" t="s">
        <v>4</v>
      </c>
      <c r="C233" s="14" t="s">
        <v>5</v>
      </c>
      <c r="D233" s="14" t="s">
        <v>6</v>
      </c>
      <c r="E233" s="15" t="s">
        <v>7</v>
      </c>
      <c r="F233" s="14" t="s">
        <v>8</v>
      </c>
      <c r="G233" s="14" t="s">
        <v>9</v>
      </c>
      <c r="H233" s="16" t="s">
        <v>10</v>
      </c>
      <c r="I233" s="14" t="s">
        <v>11</v>
      </c>
      <c r="J233" s="14" t="s">
        <v>12</v>
      </c>
    </row>
    <row x14ac:dyDescent="0.25" r="234" customHeight="1" ht="17.25">
      <c r="A234" s="17" t="s">
        <v>3736</v>
      </c>
      <c r="B234" s="17" t="s">
        <v>386</v>
      </c>
      <c r="C234" s="17" t="s">
        <v>133</v>
      </c>
      <c r="D234" s="17" t="s">
        <v>16</v>
      </c>
      <c r="E234" s="18">
        <f>ROUND(4264*1.05,2)</f>
      </c>
      <c r="F234" s="17" t="s">
        <v>17</v>
      </c>
      <c r="G234" s="17" t="s">
        <v>18</v>
      </c>
      <c r="H234" s="18">
        <f>ROUND(RAND()*4+6,1)</f>
      </c>
      <c r="I234" s="17" t="s">
        <v>19</v>
      </c>
      <c r="J234" s="19">
        <f>ROUND(71*1,0)&amp;"%"</f>
      </c>
    </row>
    <row x14ac:dyDescent="0.25" r="235" customHeight="1" ht="17.25">
      <c r="A235" s="20" t="s">
        <v>3737</v>
      </c>
      <c r="B235" s="20" t="s">
        <v>388</v>
      </c>
      <c r="C235" s="20" t="s">
        <v>133</v>
      </c>
      <c r="D235" s="20" t="s">
        <v>22</v>
      </c>
      <c r="E235" s="21">
        <f>ROUND(16483*1.05,2)</f>
      </c>
      <c r="F235" s="20" t="s">
        <v>23</v>
      </c>
      <c r="G235" s="20" t="s">
        <v>24</v>
      </c>
      <c r="H235" s="21">
        <f>ROUND(RAND()*4+6,1)</f>
      </c>
      <c r="I235" s="20" t="s">
        <v>25</v>
      </c>
      <c r="J235" s="23">
        <f>ROUND(88*1,0)&amp;"%"</f>
      </c>
    </row>
    <row x14ac:dyDescent="0.25" r="236" customHeight="1" ht="17.25">
      <c r="A236" s="17" t="s">
        <v>3738</v>
      </c>
      <c r="B236" s="17" t="s">
        <v>390</v>
      </c>
      <c r="C236" s="17" t="s">
        <v>133</v>
      </c>
      <c r="D236" s="17" t="s">
        <v>28</v>
      </c>
      <c r="E236" s="18">
        <f>ROUND(10362*1.05,2)</f>
      </c>
      <c r="F236" s="17" t="s">
        <v>29</v>
      </c>
      <c r="G236" s="17" t="s">
        <v>30</v>
      </c>
      <c r="H236" s="18">
        <f>ROUND(RAND()*4+6,1)</f>
      </c>
      <c r="I236" s="17" t="s">
        <v>31</v>
      </c>
      <c r="J236" s="19">
        <f>ROUND(70*1,0)&amp;"%"</f>
      </c>
    </row>
    <row x14ac:dyDescent="0.25" r="237" customHeight="1" ht="17.25">
      <c r="A237" s="20" t="s">
        <v>3739</v>
      </c>
      <c r="B237" s="20" t="s">
        <v>392</v>
      </c>
      <c r="C237" s="20" t="s">
        <v>133</v>
      </c>
      <c r="D237" s="20" t="s">
        <v>34</v>
      </c>
      <c r="E237" s="21">
        <f>ROUND(11792*1.05,2)</f>
      </c>
      <c r="F237" s="20" t="s">
        <v>35</v>
      </c>
      <c r="G237" s="20" t="s">
        <v>18</v>
      </c>
      <c r="H237" s="21">
        <f>ROUND(RAND()*4+6,1)</f>
      </c>
      <c r="I237" s="20" t="s">
        <v>36</v>
      </c>
      <c r="J237" s="23">
        <f>ROUND(95*1,0)&amp;"%"</f>
      </c>
    </row>
    <row x14ac:dyDescent="0.25" r="238" customHeight="1" ht="17.25">
      <c r="A238" s="17" t="s">
        <v>3740</v>
      </c>
      <c r="B238" s="17" t="s">
        <v>394</v>
      </c>
      <c r="C238" s="17" t="s">
        <v>133</v>
      </c>
      <c r="D238" s="17" t="s">
        <v>39</v>
      </c>
      <c r="E238" s="18">
        <f>ROUND(13856*1.05,2)</f>
      </c>
      <c r="F238" s="17" t="s">
        <v>40</v>
      </c>
      <c r="G238" s="17" t="s">
        <v>24</v>
      </c>
      <c r="H238" s="18">
        <f>ROUND(RAND()*4+6,1)</f>
      </c>
      <c r="I238" s="17" t="s">
        <v>41</v>
      </c>
      <c r="J238" s="19">
        <f>ROUND(71*1,0)&amp;"%"</f>
      </c>
    </row>
    <row x14ac:dyDescent="0.25" r="239" customHeight="1" ht="17.25">
      <c r="A239" s="20" t="s">
        <v>3741</v>
      </c>
      <c r="B239" s="20" t="s">
        <v>396</v>
      </c>
      <c r="C239" s="20" t="s">
        <v>133</v>
      </c>
      <c r="D239" s="20" t="s">
        <v>67</v>
      </c>
      <c r="E239" s="21">
        <f>ROUND(4328*1.05,2)</f>
      </c>
      <c r="F239" s="20" t="s">
        <v>44</v>
      </c>
      <c r="G239" s="20" t="s">
        <v>30</v>
      </c>
      <c r="H239" s="21">
        <f>ROUND(RAND()*4+6,1)</f>
      </c>
      <c r="I239" s="20" t="s">
        <v>45</v>
      </c>
      <c r="J239" s="23">
        <f>ROUND(88*1,0)&amp;"%"</f>
      </c>
    </row>
    <row x14ac:dyDescent="0.25" r="240" customHeight="1" ht="17.25">
      <c r="A240" s="17" t="s">
        <v>3742</v>
      </c>
      <c r="B240" s="17" t="s">
        <v>398</v>
      </c>
      <c r="C240" s="17" t="s">
        <v>133</v>
      </c>
      <c r="D240" s="17" t="s">
        <v>16</v>
      </c>
      <c r="E240" s="18">
        <f>ROUND(16028*1.05,2)</f>
      </c>
      <c r="F240" s="17" t="s">
        <v>48</v>
      </c>
      <c r="G240" s="17" t="s">
        <v>18</v>
      </c>
      <c r="H240" s="18">
        <f>ROUND(RAND()*4+6,1)</f>
      </c>
      <c r="I240" s="17" t="s">
        <v>19</v>
      </c>
      <c r="J240" s="19">
        <f>ROUND(94*1,0)&amp;"%"</f>
      </c>
    </row>
    <row x14ac:dyDescent="0.25" r="241" customHeight="1" ht="17.25">
      <c r="A241" s="20" t="s">
        <v>3743</v>
      </c>
      <c r="B241" s="20" t="s">
        <v>400</v>
      </c>
      <c r="C241" s="20" t="s">
        <v>133</v>
      </c>
      <c r="D241" s="20" t="s">
        <v>22</v>
      </c>
      <c r="E241" s="21">
        <f>ROUND(16391*1.05,2)</f>
      </c>
      <c r="F241" s="20" t="s">
        <v>51</v>
      </c>
      <c r="G241" s="20" t="s">
        <v>24</v>
      </c>
      <c r="H241" s="21">
        <f>ROUND(RAND()*4+6,1)</f>
      </c>
      <c r="I241" s="20" t="s">
        <v>25</v>
      </c>
      <c r="J241" s="23">
        <f>ROUND(96*1,0)&amp;"%"</f>
      </c>
    </row>
    <row x14ac:dyDescent="0.25" r="242" customHeight="1" ht="17.25">
      <c r="A242" s="24" t="s">
        <v>401</v>
      </c>
      <c r="B242" s="24"/>
      <c r="C242" s="24"/>
      <c r="D242" s="24"/>
      <c r="E242" s="25">
        <v>8</v>
      </c>
      <c r="F242" s="9"/>
      <c r="G242" s="9"/>
      <c r="H242" s="10"/>
      <c r="I242" s="9"/>
      <c r="J242" s="9"/>
    </row>
    <row x14ac:dyDescent="0.25" r="243" customHeight="1" ht="17.25">
      <c r="A243" s="7"/>
      <c r="B243" s="7"/>
      <c r="C243" s="7"/>
      <c r="D243" s="7"/>
      <c r="E243" s="8"/>
      <c r="F243" s="9"/>
      <c r="G243" s="9"/>
      <c r="H243" s="10"/>
      <c r="I243" s="9"/>
      <c r="J243" s="9"/>
    </row>
    <row x14ac:dyDescent="0.25" r="244" customHeight="1" ht="17.25">
      <c r="A244" s="11" t="s">
        <v>3744</v>
      </c>
      <c r="B244" s="11"/>
      <c r="C244" s="11"/>
      <c r="D244" s="11"/>
      <c r="E244" s="12"/>
      <c r="F244" s="11"/>
      <c r="G244" s="11"/>
      <c r="H244" s="13"/>
      <c r="I244" s="11"/>
      <c r="J244" s="11"/>
    </row>
    <row x14ac:dyDescent="0.25" r="245" customHeight="1" ht="17.25">
      <c r="A245" s="14" t="s">
        <v>3</v>
      </c>
      <c r="B245" s="14" t="s">
        <v>4</v>
      </c>
      <c r="C245" s="14" t="s">
        <v>5</v>
      </c>
      <c r="D245" s="14" t="s">
        <v>6</v>
      </c>
      <c r="E245" s="15" t="s">
        <v>7</v>
      </c>
      <c r="F245" s="14" t="s">
        <v>8</v>
      </c>
      <c r="G245" s="14" t="s">
        <v>9</v>
      </c>
      <c r="H245" s="16" t="s">
        <v>10</v>
      </c>
      <c r="I245" s="14" t="s">
        <v>11</v>
      </c>
      <c r="J245" s="14" t="s">
        <v>12</v>
      </c>
    </row>
    <row x14ac:dyDescent="0.25" r="246" customHeight="1" ht="17.25">
      <c r="A246" s="17" t="s">
        <v>3745</v>
      </c>
      <c r="B246" s="17" t="s">
        <v>404</v>
      </c>
      <c r="C246" s="17" t="s">
        <v>152</v>
      </c>
      <c r="D246" s="17" t="s">
        <v>16</v>
      </c>
      <c r="E246" s="18">
        <f>ROUND(14441*1.05,2)</f>
      </c>
      <c r="F246" s="17" t="s">
        <v>17</v>
      </c>
      <c r="G246" s="17" t="s">
        <v>18</v>
      </c>
      <c r="H246" s="18">
        <f>ROUND(RAND()*4+6,1)</f>
      </c>
      <c r="I246" s="17" t="s">
        <v>19</v>
      </c>
      <c r="J246" s="19">
        <f>ROUND(64*1,0)&amp;"%"</f>
      </c>
    </row>
    <row x14ac:dyDescent="0.25" r="247" customHeight="1" ht="17.25">
      <c r="A247" s="20" t="s">
        <v>3746</v>
      </c>
      <c r="B247" s="20" t="s">
        <v>406</v>
      </c>
      <c r="C247" s="20" t="s">
        <v>152</v>
      </c>
      <c r="D247" s="20" t="s">
        <v>22</v>
      </c>
      <c r="E247" s="21">
        <f>ROUND(10093*1.05,2)</f>
      </c>
      <c r="F247" s="20" t="s">
        <v>23</v>
      </c>
      <c r="G247" s="20" t="s">
        <v>24</v>
      </c>
      <c r="H247" s="21">
        <f>ROUND(RAND()*4+6,1)</f>
      </c>
      <c r="I247" s="20" t="s">
        <v>25</v>
      </c>
      <c r="J247" s="23">
        <f>ROUND(90*1,0)&amp;"%"</f>
      </c>
    </row>
    <row x14ac:dyDescent="0.25" r="248" customHeight="1" ht="17.25">
      <c r="A248" s="17" t="s">
        <v>3747</v>
      </c>
      <c r="B248" s="17" t="s">
        <v>408</v>
      </c>
      <c r="C248" s="17" t="s">
        <v>152</v>
      </c>
      <c r="D248" s="17" t="s">
        <v>28</v>
      </c>
      <c r="E248" s="18">
        <f>ROUND(13775*1.05,2)</f>
      </c>
      <c r="F248" s="17" t="s">
        <v>29</v>
      </c>
      <c r="G248" s="17" t="s">
        <v>30</v>
      </c>
      <c r="H248" s="18">
        <f>ROUND(RAND()*4+6,1)</f>
      </c>
      <c r="I248" s="17" t="s">
        <v>31</v>
      </c>
      <c r="J248" s="19">
        <f>ROUND(97*1,0)&amp;"%"</f>
      </c>
    </row>
    <row x14ac:dyDescent="0.25" r="249" customHeight="1" ht="17.25">
      <c r="A249" s="20" t="s">
        <v>3748</v>
      </c>
      <c r="B249" s="20" t="s">
        <v>410</v>
      </c>
      <c r="C249" s="20" t="s">
        <v>152</v>
      </c>
      <c r="D249" s="20" t="s">
        <v>34</v>
      </c>
      <c r="E249" s="21">
        <f>ROUND(15941*1.05,2)</f>
      </c>
      <c r="F249" s="20" t="s">
        <v>35</v>
      </c>
      <c r="G249" s="20" t="s">
        <v>18</v>
      </c>
      <c r="H249" s="21">
        <f>ROUND(RAND()*4+6,1)</f>
      </c>
      <c r="I249" s="20" t="s">
        <v>36</v>
      </c>
      <c r="J249" s="23">
        <f>ROUND(100*1,0)&amp;"%"</f>
      </c>
    </row>
    <row x14ac:dyDescent="0.25" r="250" customHeight="1" ht="17.25">
      <c r="A250" s="17" t="s">
        <v>3749</v>
      </c>
      <c r="B250" s="17" t="s">
        <v>412</v>
      </c>
      <c r="C250" s="17" t="s">
        <v>152</v>
      </c>
      <c r="D250" s="17" t="s">
        <v>39</v>
      </c>
      <c r="E250" s="18">
        <f>ROUND(8404*1.05,2)</f>
      </c>
      <c r="F250" s="17" t="s">
        <v>40</v>
      </c>
      <c r="G250" s="17" t="s">
        <v>24</v>
      </c>
      <c r="H250" s="18">
        <f>ROUND(RAND()*4+6,1)</f>
      </c>
      <c r="I250" s="17" t="s">
        <v>41</v>
      </c>
      <c r="J250" s="19">
        <f>ROUND(80*1,0)&amp;"%"</f>
      </c>
    </row>
    <row x14ac:dyDescent="0.25" r="251" customHeight="1" ht="17.25">
      <c r="A251" s="20" t="s">
        <v>3750</v>
      </c>
      <c r="B251" s="20" t="s">
        <v>414</v>
      </c>
      <c r="C251" s="20" t="s">
        <v>152</v>
      </c>
      <c r="D251" s="20" t="s">
        <v>67</v>
      </c>
      <c r="E251" s="21">
        <f>ROUND(11826*1.05,2)</f>
      </c>
      <c r="F251" s="20" t="s">
        <v>44</v>
      </c>
      <c r="G251" s="20" t="s">
        <v>30</v>
      </c>
      <c r="H251" s="21">
        <f>ROUND(RAND()*4+6,1)</f>
      </c>
      <c r="I251" s="20" t="s">
        <v>45</v>
      </c>
      <c r="J251" s="23">
        <f>ROUND(68*1,0)&amp;"%"</f>
      </c>
    </row>
    <row x14ac:dyDescent="0.25" r="252" customHeight="1" ht="17.25">
      <c r="A252" s="17" t="s">
        <v>3751</v>
      </c>
      <c r="B252" s="17" t="s">
        <v>416</v>
      </c>
      <c r="C252" s="17" t="s">
        <v>152</v>
      </c>
      <c r="D252" s="17" t="s">
        <v>16</v>
      </c>
      <c r="E252" s="18">
        <f>ROUND(8344*1.05,2)</f>
      </c>
      <c r="F252" s="17" t="s">
        <v>48</v>
      </c>
      <c r="G252" s="17" t="s">
        <v>18</v>
      </c>
      <c r="H252" s="18">
        <f>ROUND(RAND()*4+6,1)</f>
      </c>
      <c r="I252" s="17" t="s">
        <v>19</v>
      </c>
      <c r="J252" s="19">
        <f>ROUND(86*1,0)&amp;"%"</f>
      </c>
    </row>
    <row x14ac:dyDescent="0.25" r="253" customHeight="1" ht="17.25">
      <c r="A253" s="20" t="s">
        <v>3752</v>
      </c>
      <c r="B253" s="20" t="s">
        <v>418</v>
      </c>
      <c r="C253" s="20" t="s">
        <v>152</v>
      </c>
      <c r="D253" s="20" t="s">
        <v>22</v>
      </c>
      <c r="E253" s="21">
        <f>ROUND(4450*1.05,2)</f>
      </c>
      <c r="F253" s="20" t="s">
        <v>51</v>
      </c>
      <c r="G253" s="20" t="s">
        <v>24</v>
      </c>
      <c r="H253" s="22">
        <f>ROUND(RAND()*4+6,1)</f>
      </c>
      <c r="I253" s="20" t="s">
        <v>25</v>
      </c>
      <c r="J253" s="23">
        <f>ROUND(63*1,0)&amp;"%"</f>
      </c>
    </row>
    <row x14ac:dyDescent="0.25" r="254" customHeight="1" ht="17.25">
      <c r="A254" s="24" t="s">
        <v>419</v>
      </c>
      <c r="B254" s="24"/>
      <c r="C254" s="24"/>
      <c r="D254" s="24"/>
      <c r="E254" s="25">
        <v>8</v>
      </c>
      <c r="F254" s="9"/>
      <c r="G254" s="9"/>
      <c r="H254" s="10"/>
      <c r="I254" s="9"/>
      <c r="J254" s="9"/>
    </row>
    <row x14ac:dyDescent="0.25" r="255" customHeight="1" ht="17.25">
      <c r="A255" s="7"/>
      <c r="B255" s="7"/>
      <c r="C255" s="7"/>
      <c r="D255" s="7"/>
      <c r="E255" s="8"/>
      <c r="F255" s="9"/>
      <c r="G255" s="9"/>
      <c r="H255" s="10"/>
      <c r="I255" s="9"/>
      <c r="J255" s="9"/>
    </row>
    <row x14ac:dyDescent="0.25" r="256" customHeight="1" ht="17.25">
      <c r="A256" s="11" t="s">
        <v>3753</v>
      </c>
      <c r="B256" s="11"/>
      <c r="C256" s="11"/>
      <c r="D256" s="11"/>
      <c r="E256" s="12"/>
      <c r="F256" s="11"/>
      <c r="G256" s="11"/>
      <c r="H256" s="13"/>
      <c r="I256" s="11"/>
      <c r="J256" s="11"/>
    </row>
    <row x14ac:dyDescent="0.25" r="257" customHeight="1" ht="17.25">
      <c r="A257" s="14" t="s">
        <v>3</v>
      </c>
      <c r="B257" s="14" t="s">
        <v>4</v>
      </c>
      <c r="C257" s="14" t="s">
        <v>5</v>
      </c>
      <c r="D257" s="14" t="s">
        <v>6</v>
      </c>
      <c r="E257" s="15" t="s">
        <v>7</v>
      </c>
      <c r="F257" s="14" t="s">
        <v>8</v>
      </c>
      <c r="G257" s="14" t="s">
        <v>9</v>
      </c>
      <c r="H257" s="16" t="s">
        <v>10</v>
      </c>
      <c r="I257" s="14" t="s">
        <v>11</v>
      </c>
      <c r="J257" s="14" t="s">
        <v>12</v>
      </c>
    </row>
    <row x14ac:dyDescent="0.25" r="258" customHeight="1" ht="17.25">
      <c r="A258" s="17" t="s">
        <v>3754</v>
      </c>
      <c r="B258" s="17" t="s">
        <v>422</v>
      </c>
      <c r="C258" s="17" t="s">
        <v>15</v>
      </c>
      <c r="D258" s="17" t="s">
        <v>16</v>
      </c>
      <c r="E258" s="18">
        <f>ROUND(14517*1.05,2)</f>
      </c>
      <c r="F258" s="17" t="s">
        <v>17</v>
      </c>
      <c r="G258" s="17" t="s">
        <v>18</v>
      </c>
      <c r="H258" s="26">
        <f>ROUND(RAND()*4+6,1)</f>
      </c>
      <c r="I258" s="17" t="s">
        <v>19</v>
      </c>
      <c r="J258" s="19">
        <f>ROUND(100*1,0)&amp;"%"</f>
      </c>
    </row>
    <row x14ac:dyDescent="0.25" r="259" customHeight="1" ht="17.25">
      <c r="A259" s="20" t="s">
        <v>3755</v>
      </c>
      <c r="B259" s="20" t="s">
        <v>424</v>
      </c>
      <c r="C259" s="20" t="s">
        <v>15</v>
      </c>
      <c r="D259" s="20" t="s">
        <v>22</v>
      </c>
      <c r="E259" s="21">
        <f>ROUND(9303*1.05,2)</f>
      </c>
      <c r="F259" s="20" t="s">
        <v>23</v>
      </c>
      <c r="G259" s="20" t="s">
        <v>24</v>
      </c>
      <c r="H259" s="21">
        <f>ROUND(RAND()*4+6,1)</f>
      </c>
      <c r="I259" s="20" t="s">
        <v>25</v>
      </c>
      <c r="J259" s="23">
        <f>ROUND(79*1,0)&amp;"%"</f>
      </c>
    </row>
    <row x14ac:dyDescent="0.25" r="260" customHeight="1" ht="17.25">
      <c r="A260" s="17" t="s">
        <v>3756</v>
      </c>
      <c r="B260" s="17" t="s">
        <v>426</v>
      </c>
      <c r="C260" s="17" t="s">
        <v>15</v>
      </c>
      <c r="D260" s="17" t="s">
        <v>28</v>
      </c>
      <c r="E260" s="18">
        <f>ROUND(15436*1.05,2)</f>
      </c>
      <c r="F260" s="17" t="s">
        <v>29</v>
      </c>
      <c r="G260" s="17" t="s">
        <v>30</v>
      </c>
      <c r="H260" s="18">
        <f>ROUND(RAND()*4+6,1)</f>
      </c>
      <c r="I260" s="17" t="s">
        <v>31</v>
      </c>
      <c r="J260" s="19">
        <f>ROUND(72*1,0)&amp;"%"</f>
      </c>
    </row>
    <row x14ac:dyDescent="0.25" r="261" customHeight="1" ht="17.25">
      <c r="A261" s="20" t="s">
        <v>3757</v>
      </c>
      <c r="B261" s="20" t="s">
        <v>428</v>
      </c>
      <c r="C261" s="20" t="s">
        <v>15</v>
      </c>
      <c r="D261" s="20" t="s">
        <v>34</v>
      </c>
      <c r="E261" s="21">
        <f>ROUND(15159*1.05,2)</f>
      </c>
      <c r="F261" s="20" t="s">
        <v>35</v>
      </c>
      <c r="G261" s="20" t="s">
        <v>18</v>
      </c>
      <c r="H261" s="21">
        <f>ROUND(RAND()*4+6,1)</f>
      </c>
      <c r="I261" s="20" t="s">
        <v>36</v>
      </c>
      <c r="J261" s="23">
        <f>ROUND(81*1,0)&amp;"%"</f>
      </c>
    </row>
    <row x14ac:dyDescent="0.25" r="262" customHeight="1" ht="17.25">
      <c r="A262" s="17" t="s">
        <v>3758</v>
      </c>
      <c r="B262" s="17" t="s">
        <v>430</v>
      </c>
      <c r="C262" s="17" t="s">
        <v>15</v>
      </c>
      <c r="D262" s="17" t="s">
        <v>39</v>
      </c>
      <c r="E262" s="18">
        <f>ROUND(9462*1.05,2)</f>
      </c>
      <c r="F262" s="17" t="s">
        <v>40</v>
      </c>
      <c r="G262" s="17" t="s">
        <v>24</v>
      </c>
      <c r="H262" s="18">
        <f>ROUND(RAND()*4+6,1)</f>
      </c>
      <c r="I262" s="17" t="s">
        <v>41</v>
      </c>
      <c r="J262" s="19">
        <f>ROUND(78*1,0)&amp;"%"</f>
      </c>
    </row>
    <row x14ac:dyDescent="0.25" r="263" customHeight="1" ht="17.25">
      <c r="A263" s="20" t="s">
        <v>3759</v>
      </c>
      <c r="B263" s="20" t="s">
        <v>432</v>
      </c>
      <c r="C263" s="20" t="s">
        <v>15</v>
      </c>
      <c r="D263" s="20" t="s">
        <v>67</v>
      </c>
      <c r="E263" s="22">
        <f>ROUND(13540*1.05,2)</f>
      </c>
      <c r="F263" s="20" t="s">
        <v>44</v>
      </c>
      <c r="G263" s="20" t="s">
        <v>30</v>
      </c>
      <c r="H263" s="21">
        <f>ROUND(RAND()*4+6,1)</f>
      </c>
      <c r="I263" s="20" t="s">
        <v>45</v>
      </c>
      <c r="J263" s="23">
        <f>ROUND(95*1,0)&amp;"%"</f>
      </c>
    </row>
    <row x14ac:dyDescent="0.25" r="264" customHeight="1" ht="17.25">
      <c r="A264" s="17" t="s">
        <v>3760</v>
      </c>
      <c r="B264" s="17" t="s">
        <v>434</v>
      </c>
      <c r="C264" s="17" t="s">
        <v>15</v>
      </c>
      <c r="D264" s="17" t="s">
        <v>16</v>
      </c>
      <c r="E264" s="26">
        <f>ROUND(7440*1.05,2)</f>
      </c>
      <c r="F264" s="17" t="s">
        <v>48</v>
      </c>
      <c r="G264" s="17" t="s">
        <v>18</v>
      </c>
      <c r="H264" s="18">
        <f>ROUND(RAND()*4+6,1)</f>
      </c>
      <c r="I264" s="17" t="s">
        <v>19</v>
      </c>
      <c r="J264" s="19">
        <f>ROUND(83*1,0)&amp;"%"</f>
      </c>
    </row>
    <row x14ac:dyDescent="0.25" r="265" customHeight="1" ht="17.25">
      <c r="A265" s="20" t="s">
        <v>3761</v>
      </c>
      <c r="B265" s="20" t="s">
        <v>436</v>
      </c>
      <c r="C265" s="20" t="s">
        <v>15</v>
      </c>
      <c r="D265" s="20" t="s">
        <v>22</v>
      </c>
      <c r="E265" s="21">
        <f>ROUND(10286*1.05,2)</f>
      </c>
      <c r="F265" s="20" t="s">
        <v>51</v>
      </c>
      <c r="G265" s="20" t="s">
        <v>24</v>
      </c>
      <c r="H265" s="21">
        <f>ROUND(RAND()*4+6,1)</f>
      </c>
      <c r="I265" s="20" t="s">
        <v>25</v>
      </c>
      <c r="J265" s="23">
        <f>ROUND(85*1,0)&amp;"%"</f>
      </c>
    </row>
    <row x14ac:dyDescent="0.25" r="266" customHeight="1" ht="17.25">
      <c r="A266" s="24" t="s">
        <v>437</v>
      </c>
      <c r="B266" s="24"/>
      <c r="C266" s="24"/>
      <c r="D266" s="24"/>
      <c r="E266" s="25">
        <v>8</v>
      </c>
      <c r="F266" s="9"/>
      <c r="G266" s="9"/>
      <c r="H266" s="10"/>
      <c r="I266" s="9"/>
      <c r="J266" s="9"/>
    </row>
    <row x14ac:dyDescent="0.25" r="267" customHeight="1" ht="17.25">
      <c r="A267" s="7"/>
      <c r="B267" s="7"/>
      <c r="C267" s="7"/>
      <c r="D267" s="7"/>
      <c r="E267" s="8"/>
      <c r="F267" s="9"/>
      <c r="G267" s="9"/>
      <c r="H267" s="10"/>
      <c r="I267" s="9"/>
      <c r="J267" s="9"/>
    </row>
    <row x14ac:dyDescent="0.25" r="268" customHeight="1" ht="17.25">
      <c r="A268" s="11" t="s">
        <v>3762</v>
      </c>
      <c r="B268" s="11"/>
      <c r="C268" s="11"/>
      <c r="D268" s="11"/>
      <c r="E268" s="12"/>
      <c r="F268" s="11"/>
      <c r="G268" s="11"/>
      <c r="H268" s="13"/>
      <c r="I268" s="11"/>
      <c r="J268" s="11"/>
    </row>
    <row x14ac:dyDescent="0.25" r="269" customHeight="1" ht="17.25">
      <c r="A269" s="14" t="s">
        <v>3</v>
      </c>
      <c r="B269" s="14" t="s">
        <v>4</v>
      </c>
      <c r="C269" s="14" t="s">
        <v>5</v>
      </c>
      <c r="D269" s="14" t="s">
        <v>6</v>
      </c>
      <c r="E269" s="15" t="s">
        <v>7</v>
      </c>
      <c r="F269" s="14" t="s">
        <v>8</v>
      </c>
      <c r="G269" s="14" t="s">
        <v>9</v>
      </c>
      <c r="H269" s="16" t="s">
        <v>10</v>
      </c>
      <c r="I269" s="14" t="s">
        <v>11</v>
      </c>
      <c r="J269" s="14" t="s">
        <v>12</v>
      </c>
    </row>
    <row x14ac:dyDescent="0.25" r="270" customHeight="1" ht="17.25">
      <c r="A270" s="17" t="s">
        <v>3763</v>
      </c>
      <c r="B270" s="17" t="s">
        <v>440</v>
      </c>
      <c r="C270" s="17" t="s">
        <v>56</v>
      </c>
      <c r="D270" s="17" t="s">
        <v>16</v>
      </c>
      <c r="E270" s="18">
        <f>ROUND(4666*1.05,2)</f>
      </c>
      <c r="F270" s="17" t="s">
        <v>17</v>
      </c>
      <c r="G270" s="17" t="s">
        <v>18</v>
      </c>
      <c r="H270" s="18">
        <f>ROUND(RAND()*4+6,1)</f>
      </c>
      <c r="I270" s="17" t="s">
        <v>19</v>
      </c>
      <c r="J270" s="19">
        <f>ROUND(67*1,0)&amp;"%"</f>
      </c>
    </row>
    <row x14ac:dyDescent="0.25" r="271" customHeight="1" ht="17.25">
      <c r="A271" s="20" t="s">
        <v>3764</v>
      </c>
      <c r="B271" s="20" t="s">
        <v>442</v>
      </c>
      <c r="C271" s="20" t="s">
        <v>56</v>
      </c>
      <c r="D271" s="20" t="s">
        <v>22</v>
      </c>
      <c r="E271" s="21">
        <f>ROUND(6198*1.05,2)</f>
      </c>
      <c r="F271" s="20" t="s">
        <v>23</v>
      </c>
      <c r="G271" s="20" t="s">
        <v>24</v>
      </c>
      <c r="H271" s="21">
        <f>ROUND(RAND()*4+6,1)</f>
      </c>
      <c r="I271" s="20" t="s">
        <v>25</v>
      </c>
      <c r="J271" s="23">
        <f>ROUND(98*1,0)&amp;"%"</f>
      </c>
    </row>
    <row x14ac:dyDescent="0.25" r="272" customHeight="1" ht="17.25">
      <c r="A272" s="17" t="s">
        <v>3765</v>
      </c>
      <c r="B272" s="17" t="s">
        <v>444</v>
      </c>
      <c r="C272" s="17" t="s">
        <v>56</v>
      </c>
      <c r="D272" s="17" t="s">
        <v>28</v>
      </c>
      <c r="E272" s="18">
        <f>ROUND(17692*1.05,2)</f>
      </c>
      <c r="F272" s="17" t="s">
        <v>29</v>
      </c>
      <c r="G272" s="17" t="s">
        <v>30</v>
      </c>
      <c r="H272" s="18">
        <f>ROUND(RAND()*4+6,1)</f>
      </c>
      <c r="I272" s="17" t="s">
        <v>31</v>
      </c>
      <c r="J272" s="19">
        <f>ROUND(97*1,0)&amp;"%"</f>
      </c>
    </row>
    <row x14ac:dyDescent="0.25" r="273" customHeight="1" ht="17.25">
      <c r="A273" s="20" t="s">
        <v>3766</v>
      </c>
      <c r="B273" s="20" t="s">
        <v>446</v>
      </c>
      <c r="C273" s="20" t="s">
        <v>56</v>
      </c>
      <c r="D273" s="20" t="s">
        <v>34</v>
      </c>
      <c r="E273" s="21">
        <f>ROUND(4521*1.05,2)</f>
      </c>
      <c r="F273" s="20" t="s">
        <v>35</v>
      </c>
      <c r="G273" s="20" t="s">
        <v>18</v>
      </c>
      <c r="H273" s="21">
        <f>ROUND(RAND()*4+6,1)</f>
      </c>
      <c r="I273" s="20" t="s">
        <v>36</v>
      </c>
      <c r="J273" s="23">
        <f>ROUND(93*1,0)&amp;"%"</f>
      </c>
    </row>
    <row x14ac:dyDescent="0.25" r="274" customHeight="1" ht="17.25">
      <c r="A274" s="17" t="s">
        <v>3767</v>
      </c>
      <c r="B274" s="17" t="s">
        <v>448</v>
      </c>
      <c r="C274" s="17" t="s">
        <v>56</v>
      </c>
      <c r="D274" s="17" t="s">
        <v>39</v>
      </c>
      <c r="E274" s="26">
        <f>ROUND(6480*1.05,2)</f>
      </c>
      <c r="F274" s="17" t="s">
        <v>40</v>
      </c>
      <c r="G274" s="17" t="s">
        <v>24</v>
      </c>
      <c r="H274" s="18">
        <f>ROUND(RAND()*4+6,1)</f>
      </c>
      <c r="I274" s="17" t="s">
        <v>41</v>
      </c>
      <c r="J274" s="19">
        <f>ROUND(95*1,0)&amp;"%"</f>
      </c>
    </row>
    <row x14ac:dyDescent="0.25" r="275" customHeight="1" ht="17.25">
      <c r="A275" s="20" t="s">
        <v>3768</v>
      </c>
      <c r="B275" s="20" t="s">
        <v>450</v>
      </c>
      <c r="C275" s="20" t="s">
        <v>56</v>
      </c>
      <c r="D275" s="20" t="s">
        <v>67</v>
      </c>
      <c r="E275" s="21">
        <f>ROUND(7599*1.05,2)</f>
      </c>
      <c r="F275" s="20" t="s">
        <v>44</v>
      </c>
      <c r="G275" s="20" t="s">
        <v>30</v>
      </c>
      <c r="H275" s="21">
        <f>ROUND(RAND()*4+6,1)</f>
      </c>
      <c r="I275" s="20" t="s">
        <v>45</v>
      </c>
      <c r="J275" s="23">
        <f>ROUND(75*1,0)&amp;"%"</f>
      </c>
    </row>
    <row x14ac:dyDescent="0.25" r="276" customHeight="1" ht="17.25">
      <c r="A276" s="17" t="s">
        <v>3769</v>
      </c>
      <c r="B276" s="17" t="s">
        <v>452</v>
      </c>
      <c r="C276" s="17" t="s">
        <v>56</v>
      </c>
      <c r="D276" s="17" t="s">
        <v>16</v>
      </c>
      <c r="E276" s="18">
        <f>ROUND(11096*1.05,2)</f>
      </c>
      <c r="F276" s="17" t="s">
        <v>48</v>
      </c>
      <c r="G276" s="17" t="s">
        <v>18</v>
      </c>
      <c r="H276" s="18">
        <f>ROUND(RAND()*4+6,1)</f>
      </c>
      <c r="I276" s="17" t="s">
        <v>19</v>
      </c>
      <c r="J276" s="19">
        <f>ROUND(72*1,0)&amp;"%"</f>
      </c>
    </row>
    <row x14ac:dyDescent="0.25" r="277" customHeight="1" ht="17.25">
      <c r="A277" s="20" t="s">
        <v>3770</v>
      </c>
      <c r="B277" s="20" t="s">
        <v>454</v>
      </c>
      <c r="C277" s="20" t="s">
        <v>56</v>
      </c>
      <c r="D277" s="20" t="s">
        <v>22</v>
      </c>
      <c r="E277" s="21">
        <f>ROUND(6335*1.05,2)</f>
      </c>
      <c r="F277" s="20" t="s">
        <v>51</v>
      </c>
      <c r="G277" s="20" t="s">
        <v>24</v>
      </c>
      <c r="H277" s="21">
        <f>ROUND(RAND()*4+6,1)</f>
      </c>
      <c r="I277" s="20" t="s">
        <v>25</v>
      </c>
      <c r="J277" s="23">
        <f>ROUND(100*1,0)&amp;"%"</f>
      </c>
    </row>
    <row x14ac:dyDescent="0.25" r="278" customHeight="1" ht="17.25">
      <c r="A278" s="24" t="s">
        <v>455</v>
      </c>
      <c r="B278" s="24"/>
      <c r="C278" s="24"/>
      <c r="D278" s="24"/>
      <c r="E278" s="25">
        <v>8</v>
      </c>
      <c r="F278" s="9"/>
      <c r="G278" s="9"/>
      <c r="H278" s="10"/>
      <c r="I278" s="9"/>
      <c r="J278" s="9"/>
    </row>
    <row x14ac:dyDescent="0.25" r="279" customHeight="1" ht="17.25">
      <c r="A279" s="7"/>
      <c r="B279" s="7"/>
      <c r="C279" s="7"/>
      <c r="D279" s="7"/>
      <c r="E279" s="8"/>
      <c r="F279" s="9"/>
      <c r="G279" s="9"/>
      <c r="H279" s="10"/>
      <c r="I279" s="9"/>
      <c r="J279" s="9"/>
    </row>
    <row x14ac:dyDescent="0.25" r="280" customHeight="1" ht="17.25">
      <c r="A280" s="11" t="s">
        <v>3771</v>
      </c>
      <c r="B280" s="11"/>
      <c r="C280" s="11"/>
      <c r="D280" s="11"/>
      <c r="E280" s="12"/>
      <c r="F280" s="11"/>
      <c r="G280" s="11"/>
      <c r="H280" s="13"/>
      <c r="I280" s="11"/>
      <c r="J280" s="11"/>
    </row>
    <row x14ac:dyDescent="0.25" r="281" customHeight="1" ht="17.25">
      <c r="A281" s="14" t="s">
        <v>3</v>
      </c>
      <c r="B281" s="14" t="s">
        <v>4</v>
      </c>
      <c r="C281" s="14" t="s">
        <v>5</v>
      </c>
      <c r="D281" s="14" t="s">
        <v>6</v>
      </c>
      <c r="E281" s="15" t="s">
        <v>7</v>
      </c>
      <c r="F281" s="14" t="s">
        <v>8</v>
      </c>
      <c r="G281" s="14" t="s">
        <v>9</v>
      </c>
      <c r="H281" s="16" t="s">
        <v>10</v>
      </c>
      <c r="I281" s="14" t="s">
        <v>11</v>
      </c>
      <c r="J281" s="14" t="s">
        <v>12</v>
      </c>
    </row>
    <row x14ac:dyDescent="0.25" r="282" customHeight="1" ht="17.25">
      <c r="A282" s="17" t="s">
        <v>3772</v>
      </c>
      <c r="B282" s="17" t="s">
        <v>458</v>
      </c>
      <c r="C282" s="17" t="s">
        <v>76</v>
      </c>
      <c r="D282" s="17" t="s">
        <v>16</v>
      </c>
      <c r="E282" s="18">
        <f>ROUND(16665*1.05,2)</f>
      </c>
      <c r="F282" s="17" t="s">
        <v>17</v>
      </c>
      <c r="G282" s="17" t="s">
        <v>18</v>
      </c>
      <c r="H282" s="18">
        <f>ROUND(RAND()*4+6,1)</f>
      </c>
      <c r="I282" s="17" t="s">
        <v>19</v>
      </c>
      <c r="J282" s="19">
        <f>ROUND(82*1,0)&amp;"%"</f>
      </c>
    </row>
    <row x14ac:dyDescent="0.25" r="283" customHeight="1" ht="17.25">
      <c r="A283" s="20" t="s">
        <v>3773</v>
      </c>
      <c r="B283" s="20" t="s">
        <v>460</v>
      </c>
      <c r="C283" s="20" t="s">
        <v>76</v>
      </c>
      <c r="D283" s="20" t="s">
        <v>22</v>
      </c>
      <c r="E283" s="22">
        <f>ROUND(17160*1.05,2)</f>
      </c>
      <c r="F283" s="20" t="s">
        <v>23</v>
      </c>
      <c r="G283" s="20" t="s">
        <v>24</v>
      </c>
      <c r="H283" s="21">
        <f>ROUND(RAND()*4+6,1)</f>
      </c>
      <c r="I283" s="20" t="s">
        <v>25</v>
      </c>
      <c r="J283" s="23">
        <f>ROUND(71*1,0)&amp;"%"</f>
      </c>
    </row>
    <row x14ac:dyDescent="0.25" r="284" customHeight="1" ht="17.25">
      <c r="A284" s="17" t="s">
        <v>3774</v>
      </c>
      <c r="B284" s="17" t="s">
        <v>462</v>
      </c>
      <c r="C284" s="17" t="s">
        <v>76</v>
      </c>
      <c r="D284" s="17" t="s">
        <v>28</v>
      </c>
      <c r="E284" s="18">
        <f>ROUND(6196*1.05,2)</f>
      </c>
      <c r="F284" s="17" t="s">
        <v>29</v>
      </c>
      <c r="G284" s="17" t="s">
        <v>30</v>
      </c>
      <c r="H284" s="18">
        <f>ROUND(RAND()*4+6,1)</f>
      </c>
      <c r="I284" s="17" t="s">
        <v>31</v>
      </c>
      <c r="J284" s="19">
        <f>ROUND(98*1,0)&amp;"%"</f>
      </c>
    </row>
    <row x14ac:dyDescent="0.25" r="285" customHeight="1" ht="17.25">
      <c r="A285" s="20" t="s">
        <v>3775</v>
      </c>
      <c r="B285" s="20" t="s">
        <v>464</v>
      </c>
      <c r="C285" s="20" t="s">
        <v>76</v>
      </c>
      <c r="D285" s="20" t="s">
        <v>34</v>
      </c>
      <c r="E285" s="21">
        <f>ROUND(15569*1.05,2)</f>
      </c>
      <c r="F285" s="20" t="s">
        <v>35</v>
      </c>
      <c r="G285" s="20" t="s">
        <v>18</v>
      </c>
      <c r="H285" s="22">
        <f>ROUND(RAND()*4+6,1)</f>
      </c>
      <c r="I285" s="20" t="s">
        <v>36</v>
      </c>
      <c r="J285" s="23">
        <f>ROUND(90*1,0)&amp;"%"</f>
      </c>
    </row>
    <row x14ac:dyDescent="0.25" r="286" customHeight="1" ht="17.25">
      <c r="A286" s="17" t="s">
        <v>3776</v>
      </c>
      <c r="B286" s="17" t="s">
        <v>466</v>
      </c>
      <c r="C286" s="17" t="s">
        <v>76</v>
      </c>
      <c r="D286" s="17" t="s">
        <v>39</v>
      </c>
      <c r="E286" s="18">
        <f>ROUND(14293*1.05,2)</f>
      </c>
      <c r="F286" s="17" t="s">
        <v>40</v>
      </c>
      <c r="G286" s="17" t="s">
        <v>24</v>
      </c>
      <c r="H286" s="26">
        <f>ROUND(RAND()*4+6,1)</f>
      </c>
      <c r="I286" s="17" t="s">
        <v>41</v>
      </c>
      <c r="J286" s="19">
        <f>ROUND(64*1,0)&amp;"%"</f>
      </c>
    </row>
    <row x14ac:dyDescent="0.25" r="287" customHeight="1" ht="17.25">
      <c r="A287" s="20" t="s">
        <v>3777</v>
      </c>
      <c r="B287" s="20" t="s">
        <v>468</v>
      </c>
      <c r="C287" s="20" t="s">
        <v>76</v>
      </c>
      <c r="D287" s="20" t="s">
        <v>67</v>
      </c>
      <c r="E287" s="21">
        <f>ROUND(9742*1.05,2)</f>
      </c>
      <c r="F287" s="20" t="s">
        <v>44</v>
      </c>
      <c r="G287" s="20" t="s">
        <v>30</v>
      </c>
      <c r="H287" s="21">
        <f>ROUND(RAND()*4+6,1)</f>
      </c>
      <c r="I287" s="20" t="s">
        <v>45</v>
      </c>
      <c r="J287" s="23">
        <f>ROUND(91*1,0)&amp;"%"</f>
      </c>
    </row>
    <row x14ac:dyDescent="0.25" r="288" customHeight="1" ht="17.25">
      <c r="A288" s="17" t="s">
        <v>3778</v>
      </c>
      <c r="B288" s="17" t="s">
        <v>470</v>
      </c>
      <c r="C288" s="17" t="s">
        <v>76</v>
      </c>
      <c r="D288" s="17" t="s">
        <v>16</v>
      </c>
      <c r="E288" s="18">
        <f>ROUND(8165*1.05,2)</f>
      </c>
      <c r="F288" s="17" t="s">
        <v>48</v>
      </c>
      <c r="G288" s="17" t="s">
        <v>18</v>
      </c>
      <c r="H288" s="18">
        <f>ROUND(RAND()*4+6,1)</f>
      </c>
      <c r="I288" s="17" t="s">
        <v>19</v>
      </c>
      <c r="J288" s="19">
        <f>ROUND(80*1,0)&amp;"%"</f>
      </c>
    </row>
    <row x14ac:dyDescent="0.25" r="289" customHeight="1" ht="17.25">
      <c r="A289" s="20" t="s">
        <v>3779</v>
      </c>
      <c r="B289" s="20" t="s">
        <v>472</v>
      </c>
      <c r="C289" s="20" t="s">
        <v>76</v>
      </c>
      <c r="D289" s="20" t="s">
        <v>22</v>
      </c>
      <c r="E289" s="21">
        <f>ROUND(4797*1.05,2)</f>
      </c>
      <c r="F289" s="20" t="s">
        <v>51</v>
      </c>
      <c r="G289" s="20" t="s">
        <v>24</v>
      </c>
      <c r="H289" s="21">
        <f>ROUND(RAND()*4+6,1)</f>
      </c>
      <c r="I289" s="20" t="s">
        <v>25</v>
      </c>
      <c r="J289" s="23">
        <f>ROUND(86*1,0)&amp;"%"</f>
      </c>
    </row>
    <row x14ac:dyDescent="0.25" r="290" customHeight="1" ht="17.25">
      <c r="A290" s="24" t="s">
        <v>473</v>
      </c>
      <c r="B290" s="24"/>
      <c r="C290" s="24"/>
      <c r="D290" s="24"/>
      <c r="E290" s="25">
        <v>8</v>
      </c>
      <c r="F290" s="9"/>
      <c r="G290" s="9"/>
      <c r="H290" s="10"/>
      <c r="I290" s="9"/>
      <c r="J290" s="9"/>
    </row>
    <row x14ac:dyDescent="0.25" r="291" customHeight="1" ht="17.25">
      <c r="A291" s="7"/>
      <c r="B291" s="7"/>
      <c r="C291" s="7"/>
      <c r="D291" s="7"/>
      <c r="E291" s="8"/>
      <c r="F291" s="9"/>
      <c r="G291" s="9"/>
      <c r="H291" s="10"/>
      <c r="I291" s="9"/>
      <c r="J291" s="9"/>
    </row>
    <row x14ac:dyDescent="0.25" r="292" customHeight="1" ht="17.25">
      <c r="A292" s="11" t="s">
        <v>3780</v>
      </c>
      <c r="B292" s="11"/>
      <c r="C292" s="11"/>
      <c r="D292" s="11"/>
      <c r="E292" s="12"/>
      <c r="F292" s="11"/>
      <c r="G292" s="11"/>
      <c r="H292" s="13"/>
      <c r="I292" s="11"/>
      <c r="J292" s="11"/>
    </row>
    <row x14ac:dyDescent="0.25" r="293" customHeight="1" ht="17.25">
      <c r="A293" s="14" t="s">
        <v>3</v>
      </c>
      <c r="B293" s="14" t="s">
        <v>4</v>
      </c>
      <c r="C293" s="14" t="s">
        <v>5</v>
      </c>
      <c r="D293" s="14" t="s">
        <v>6</v>
      </c>
      <c r="E293" s="15" t="s">
        <v>7</v>
      </c>
      <c r="F293" s="14" t="s">
        <v>8</v>
      </c>
      <c r="G293" s="14" t="s">
        <v>9</v>
      </c>
      <c r="H293" s="16" t="s">
        <v>10</v>
      </c>
      <c r="I293" s="14" t="s">
        <v>11</v>
      </c>
      <c r="J293" s="14" t="s">
        <v>12</v>
      </c>
    </row>
    <row x14ac:dyDescent="0.25" r="294" customHeight="1" ht="17.25">
      <c r="A294" s="17" t="s">
        <v>3781</v>
      </c>
      <c r="B294" s="17" t="s">
        <v>476</v>
      </c>
      <c r="C294" s="17" t="s">
        <v>95</v>
      </c>
      <c r="D294" s="17" t="s">
        <v>16</v>
      </c>
      <c r="E294" s="18">
        <f>ROUND(6155*1.05,2)</f>
      </c>
      <c r="F294" s="17" t="s">
        <v>17</v>
      </c>
      <c r="G294" s="17" t="s">
        <v>18</v>
      </c>
      <c r="H294" s="18">
        <f>ROUND(RAND()*4+6,1)</f>
      </c>
      <c r="I294" s="17" t="s">
        <v>19</v>
      </c>
      <c r="J294" s="19">
        <f>ROUND(99*1,0)&amp;"%"</f>
      </c>
    </row>
    <row x14ac:dyDescent="0.25" r="295" customHeight="1" ht="17.25">
      <c r="A295" s="20" t="s">
        <v>3782</v>
      </c>
      <c r="B295" s="20" t="s">
        <v>478</v>
      </c>
      <c r="C295" s="20" t="s">
        <v>95</v>
      </c>
      <c r="D295" s="20" t="s">
        <v>22</v>
      </c>
      <c r="E295" s="21">
        <f>ROUND(12761*1.05,2)</f>
      </c>
      <c r="F295" s="20" t="s">
        <v>23</v>
      </c>
      <c r="G295" s="20" t="s">
        <v>24</v>
      </c>
      <c r="H295" s="21">
        <f>ROUND(RAND()*4+6,1)</f>
      </c>
      <c r="I295" s="20" t="s">
        <v>25</v>
      </c>
      <c r="J295" s="23">
        <f>ROUND(86*1,0)&amp;"%"</f>
      </c>
    </row>
    <row x14ac:dyDescent="0.25" r="296" customHeight="1" ht="17.25">
      <c r="A296" s="17" t="s">
        <v>3783</v>
      </c>
      <c r="B296" s="17" t="s">
        <v>480</v>
      </c>
      <c r="C296" s="17" t="s">
        <v>95</v>
      </c>
      <c r="D296" s="17" t="s">
        <v>28</v>
      </c>
      <c r="E296" s="18">
        <f>ROUND(12370*1.05,2)</f>
      </c>
      <c r="F296" s="17" t="s">
        <v>29</v>
      </c>
      <c r="G296" s="17" t="s">
        <v>30</v>
      </c>
      <c r="H296" s="18">
        <f>ROUND(RAND()*4+6,1)</f>
      </c>
      <c r="I296" s="17" t="s">
        <v>31</v>
      </c>
      <c r="J296" s="19">
        <f>ROUND(89*1,0)&amp;"%"</f>
      </c>
    </row>
    <row x14ac:dyDescent="0.25" r="297" customHeight="1" ht="17.25">
      <c r="A297" s="20" t="s">
        <v>3784</v>
      </c>
      <c r="B297" s="20" t="s">
        <v>482</v>
      </c>
      <c r="C297" s="20" t="s">
        <v>95</v>
      </c>
      <c r="D297" s="20" t="s">
        <v>34</v>
      </c>
      <c r="E297" s="21">
        <f>ROUND(16668*1.05,2)</f>
      </c>
      <c r="F297" s="20" t="s">
        <v>35</v>
      </c>
      <c r="G297" s="20" t="s">
        <v>18</v>
      </c>
      <c r="H297" s="21">
        <f>ROUND(RAND()*4+6,1)</f>
      </c>
      <c r="I297" s="20" t="s">
        <v>36</v>
      </c>
      <c r="J297" s="23">
        <f>ROUND(95*1,0)&amp;"%"</f>
      </c>
    </row>
    <row x14ac:dyDescent="0.25" r="298" customHeight="1" ht="17.25">
      <c r="A298" s="17" t="s">
        <v>3785</v>
      </c>
      <c r="B298" s="17" t="s">
        <v>484</v>
      </c>
      <c r="C298" s="17" t="s">
        <v>95</v>
      </c>
      <c r="D298" s="17" t="s">
        <v>39</v>
      </c>
      <c r="E298" s="18">
        <f>ROUND(10391*1.05,2)</f>
      </c>
      <c r="F298" s="17" t="s">
        <v>40</v>
      </c>
      <c r="G298" s="17" t="s">
        <v>24</v>
      </c>
      <c r="H298" s="18">
        <f>ROUND(RAND()*4+6,1)</f>
      </c>
      <c r="I298" s="17" t="s">
        <v>41</v>
      </c>
      <c r="J298" s="19">
        <f>ROUND(87*1,0)&amp;"%"</f>
      </c>
    </row>
    <row x14ac:dyDescent="0.25" r="299" customHeight="1" ht="17.25">
      <c r="A299" s="20" t="s">
        <v>3786</v>
      </c>
      <c r="B299" s="20" t="s">
        <v>486</v>
      </c>
      <c r="C299" s="20" t="s">
        <v>95</v>
      </c>
      <c r="D299" s="20" t="s">
        <v>67</v>
      </c>
      <c r="E299" s="21">
        <f>ROUND(17223*1.05,2)</f>
      </c>
      <c r="F299" s="20" t="s">
        <v>44</v>
      </c>
      <c r="G299" s="20" t="s">
        <v>30</v>
      </c>
      <c r="H299" s="21">
        <f>ROUND(RAND()*4+6,1)</f>
      </c>
      <c r="I299" s="20" t="s">
        <v>45</v>
      </c>
      <c r="J299" s="23">
        <f>ROUND(86*1,0)&amp;"%"</f>
      </c>
    </row>
    <row x14ac:dyDescent="0.25" r="300" customHeight="1" ht="17.25">
      <c r="A300" s="17" t="s">
        <v>3787</v>
      </c>
      <c r="B300" s="17" t="s">
        <v>488</v>
      </c>
      <c r="C300" s="17" t="s">
        <v>95</v>
      </c>
      <c r="D300" s="17" t="s">
        <v>16</v>
      </c>
      <c r="E300" s="18">
        <f>ROUND(6987*1.05,2)</f>
      </c>
      <c r="F300" s="17" t="s">
        <v>48</v>
      </c>
      <c r="G300" s="17" t="s">
        <v>18</v>
      </c>
      <c r="H300" s="18">
        <f>ROUND(RAND()*4+6,1)</f>
      </c>
      <c r="I300" s="17" t="s">
        <v>19</v>
      </c>
      <c r="J300" s="19">
        <f>ROUND(82*1,0)&amp;"%"</f>
      </c>
    </row>
    <row x14ac:dyDescent="0.25" r="301" customHeight="1" ht="17.25">
      <c r="A301" s="20" t="s">
        <v>3788</v>
      </c>
      <c r="B301" s="20" t="s">
        <v>490</v>
      </c>
      <c r="C301" s="20" t="s">
        <v>95</v>
      </c>
      <c r="D301" s="20" t="s">
        <v>22</v>
      </c>
      <c r="E301" s="21">
        <f>ROUND(7257*1.05,2)</f>
      </c>
      <c r="F301" s="20" t="s">
        <v>51</v>
      </c>
      <c r="G301" s="20" t="s">
        <v>24</v>
      </c>
      <c r="H301" s="21">
        <f>ROUND(RAND()*4+6,1)</f>
      </c>
      <c r="I301" s="20" t="s">
        <v>25</v>
      </c>
      <c r="J301" s="23">
        <f>ROUND(61*1,0)&amp;"%"</f>
      </c>
    </row>
    <row x14ac:dyDescent="0.25" r="302" customHeight="1" ht="17.25">
      <c r="A302" s="24" t="s">
        <v>491</v>
      </c>
      <c r="B302" s="24"/>
      <c r="C302" s="24"/>
      <c r="D302" s="24"/>
      <c r="E302" s="25">
        <v>8</v>
      </c>
      <c r="F302" s="9"/>
      <c r="G302" s="9"/>
      <c r="H302" s="10"/>
      <c r="I302" s="9"/>
      <c r="J302" s="9"/>
    </row>
    <row x14ac:dyDescent="0.25" r="303" customHeight="1" ht="17.25">
      <c r="A303" s="7"/>
      <c r="B303" s="7"/>
      <c r="C303" s="7"/>
      <c r="D303" s="7"/>
      <c r="E303" s="8"/>
      <c r="F303" s="9"/>
      <c r="G303" s="9"/>
      <c r="H303" s="10"/>
      <c r="I303" s="9"/>
      <c r="J303" s="9"/>
    </row>
    <row x14ac:dyDescent="0.25" r="304" customHeight="1" ht="17.25">
      <c r="A304" s="11" t="s">
        <v>3789</v>
      </c>
      <c r="B304" s="11"/>
      <c r="C304" s="11"/>
      <c r="D304" s="11"/>
      <c r="E304" s="12"/>
      <c r="F304" s="11"/>
      <c r="G304" s="11"/>
      <c r="H304" s="13"/>
      <c r="I304" s="11"/>
      <c r="J304" s="11"/>
    </row>
    <row x14ac:dyDescent="0.25" r="305" customHeight="1" ht="17.25">
      <c r="A305" s="14" t="s">
        <v>3</v>
      </c>
      <c r="B305" s="14" t="s">
        <v>4</v>
      </c>
      <c r="C305" s="14" t="s">
        <v>5</v>
      </c>
      <c r="D305" s="14" t="s">
        <v>6</v>
      </c>
      <c r="E305" s="15" t="s">
        <v>7</v>
      </c>
      <c r="F305" s="14" t="s">
        <v>8</v>
      </c>
      <c r="G305" s="14" t="s">
        <v>9</v>
      </c>
      <c r="H305" s="16" t="s">
        <v>10</v>
      </c>
      <c r="I305" s="14" t="s">
        <v>11</v>
      </c>
      <c r="J305" s="14" t="s">
        <v>12</v>
      </c>
    </row>
    <row x14ac:dyDescent="0.25" r="306" customHeight="1" ht="17.25">
      <c r="A306" s="17" t="s">
        <v>3790</v>
      </c>
      <c r="B306" s="17" t="s">
        <v>494</v>
      </c>
      <c r="C306" s="17" t="s">
        <v>114</v>
      </c>
      <c r="D306" s="17" t="s">
        <v>16</v>
      </c>
      <c r="E306" s="18">
        <f>ROUND(7241*1.05,2)</f>
      </c>
      <c r="F306" s="17" t="s">
        <v>17</v>
      </c>
      <c r="G306" s="17" t="s">
        <v>18</v>
      </c>
      <c r="H306" s="18">
        <f>ROUND(RAND()*4+6,1)</f>
      </c>
      <c r="I306" s="17" t="s">
        <v>19</v>
      </c>
      <c r="J306" s="19">
        <f>ROUND(85*1,0)&amp;"%"</f>
      </c>
    </row>
    <row x14ac:dyDescent="0.25" r="307" customHeight="1" ht="17.25">
      <c r="A307" s="20" t="s">
        <v>3791</v>
      </c>
      <c r="B307" s="20" t="s">
        <v>496</v>
      </c>
      <c r="C307" s="20" t="s">
        <v>114</v>
      </c>
      <c r="D307" s="20" t="s">
        <v>22</v>
      </c>
      <c r="E307" s="21">
        <f>ROUND(6566*1.05,2)</f>
      </c>
      <c r="F307" s="20" t="s">
        <v>23</v>
      </c>
      <c r="G307" s="20" t="s">
        <v>24</v>
      </c>
      <c r="H307" s="21">
        <f>ROUND(RAND()*4+6,1)</f>
      </c>
      <c r="I307" s="20" t="s">
        <v>25</v>
      </c>
      <c r="J307" s="23">
        <f>ROUND(71*1,0)&amp;"%"</f>
      </c>
    </row>
    <row x14ac:dyDescent="0.25" r="308" customHeight="1" ht="17.25">
      <c r="A308" s="17" t="s">
        <v>3792</v>
      </c>
      <c r="B308" s="17" t="s">
        <v>498</v>
      </c>
      <c r="C308" s="17" t="s">
        <v>114</v>
      </c>
      <c r="D308" s="17" t="s">
        <v>28</v>
      </c>
      <c r="E308" s="18">
        <f>ROUND(14421*1.05,2)</f>
      </c>
      <c r="F308" s="17" t="s">
        <v>29</v>
      </c>
      <c r="G308" s="17" t="s">
        <v>30</v>
      </c>
      <c r="H308" s="18">
        <f>ROUND(RAND()*4+6,1)</f>
      </c>
      <c r="I308" s="17" t="s">
        <v>31</v>
      </c>
      <c r="J308" s="19">
        <f>ROUND(97*1,0)&amp;"%"</f>
      </c>
    </row>
    <row x14ac:dyDescent="0.25" r="309" customHeight="1" ht="17.25">
      <c r="A309" s="20" t="s">
        <v>3793</v>
      </c>
      <c r="B309" s="20" t="s">
        <v>500</v>
      </c>
      <c r="C309" s="20" t="s">
        <v>114</v>
      </c>
      <c r="D309" s="20" t="s">
        <v>34</v>
      </c>
      <c r="E309" s="21">
        <f>ROUND(17254*1.05,2)</f>
      </c>
      <c r="F309" s="20" t="s">
        <v>35</v>
      </c>
      <c r="G309" s="20" t="s">
        <v>18</v>
      </c>
      <c r="H309" s="21">
        <f>ROUND(RAND()*4+6,1)</f>
      </c>
      <c r="I309" s="20" t="s">
        <v>36</v>
      </c>
      <c r="J309" s="23">
        <f>ROUND(89*1,0)&amp;"%"</f>
      </c>
    </row>
    <row x14ac:dyDescent="0.25" r="310" customHeight="1" ht="17.25">
      <c r="A310" s="17" t="s">
        <v>3794</v>
      </c>
      <c r="B310" s="17" t="s">
        <v>502</v>
      </c>
      <c r="C310" s="17" t="s">
        <v>114</v>
      </c>
      <c r="D310" s="17" t="s">
        <v>39</v>
      </c>
      <c r="E310" s="18">
        <f>ROUND(8819*1.05,2)</f>
      </c>
      <c r="F310" s="17" t="s">
        <v>40</v>
      </c>
      <c r="G310" s="17" t="s">
        <v>24</v>
      </c>
      <c r="H310" s="18">
        <f>ROUND(RAND()*4+6,1)</f>
      </c>
      <c r="I310" s="17" t="s">
        <v>41</v>
      </c>
      <c r="J310" s="19">
        <f>ROUND(66*1,0)&amp;"%"</f>
      </c>
    </row>
    <row x14ac:dyDescent="0.25" r="311" customHeight="1" ht="17.25">
      <c r="A311" s="20" t="s">
        <v>3795</v>
      </c>
      <c r="B311" s="20" t="s">
        <v>504</v>
      </c>
      <c r="C311" s="20" t="s">
        <v>114</v>
      </c>
      <c r="D311" s="20" t="s">
        <v>67</v>
      </c>
      <c r="E311" s="21">
        <f>ROUND(6390*1.05,2)</f>
      </c>
      <c r="F311" s="20" t="s">
        <v>44</v>
      </c>
      <c r="G311" s="20" t="s">
        <v>30</v>
      </c>
      <c r="H311" s="21">
        <f>ROUND(RAND()*4+6,1)</f>
      </c>
      <c r="I311" s="20" t="s">
        <v>45</v>
      </c>
      <c r="J311" s="23">
        <f>ROUND(95*1,0)&amp;"%"</f>
      </c>
    </row>
    <row x14ac:dyDescent="0.25" r="312" customHeight="1" ht="17.25">
      <c r="A312" s="17" t="s">
        <v>3796</v>
      </c>
      <c r="B312" s="17" t="s">
        <v>506</v>
      </c>
      <c r="C312" s="17" t="s">
        <v>114</v>
      </c>
      <c r="D312" s="17" t="s">
        <v>16</v>
      </c>
      <c r="E312" s="18">
        <f>ROUND(8278*1.05,2)</f>
      </c>
      <c r="F312" s="17" t="s">
        <v>48</v>
      </c>
      <c r="G312" s="17" t="s">
        <v>18</v>
      </c>
      <c r="H312" s="18">
        <f>ROUND(RAND()*4+6,1)</f>
      </c>
      <c r="I312" s="17" t="s">
        <v>19</v>
      </c>
      <c r="J312" s="19">
        <f>ROUND(82*1,0)&amp;"%"</f>
      </c>
    </row>
    <row x14ac:dyDescent="0.25" r="313" customHeight="1" ht="17.25">
      <c r="A313" s="20" t="s">
        <v>3797</v>
      </c>
      <c r="B313" s="20" t="s">
        <v>508</v>
      </c>
      <c r="C313" s="20" t="s">
        <v>114</v>
      </c>
      <c r="D313" s="20" t="s">
        <v>22</v>
      </c>
      <c r="E313" s="21">
        <f>ROUND(6873*1.05,2)</f>
      </c>
      <c r="F313" s="20" t="s">
        <v>51</v>
      </c>
      <c r="G313" s="20" t="s">
        <v>24</v>
      </c>
      <c r="H313" s="21">
        <f>ROUND(RAND()*4+6,1)</f>
      </c>
      <c r="I313" s="20" t="s">
        <v>25</v>
      </c>
      <c r="J313" s="23">
        <f>ROUND(88*1,0)&amp;"%"</f>
      </c>
    </row>
    <row x14ac:dyDescent="0.25" r="314" customHeight="1" ht="17.25">
      <c r="A314" s="24" t="s">
        <v>509</v>
      </c>
      <c r="B314" s="24"/>
      <c r="C314" s="24"/>
      <c r="D314" s="24"/>
      <c r="E314" s="25">
        <v>8</v>
      </c>
      <c r="F314" s="9"/>
      <c r="G314" s="9"/>
      <c r="H314" s="10"/>
      <c r="I314" s="9"/>
      <c r="J314" s="9"/>
    </row>
    <row x14ac:dyDescent="0.25" r="315" customHeight="1" ht="17.25">
      <c r="A315" s="7"/>
      <c r="B315" s="7"/>
      <c r="C315" s="7"/>
      <c r="D315" s="7"/>
      <c r="E315" s="8"/>
      <c r="F315" s="9"/>
      <c r="G315" s="9"/>
      <c r="H315" s="10"/>
      <c r="I315" s="9"/>
      <c r="J315" s="9"/>
    </row>
    <row x14ac:dyDescent="0.25" r="316" customHeight="1" ht="17.25">
      <c r="A316" s="11" t="s">
        <v>3798</v>
      </c>
      <c r="B316" s="11"/>
      <c r="C316" s="11"/>
      <c r="D316" s="11"/>
      <c r="E316" s="12"/>
      <c r="F316" s="11"/>
      <c r="G316" s="11"/>
      <c r="H316" s="13"/>
      <c r="I316" s="11"/>
      <c r="J316" s="11"/>
    </row>
    <row x14ac:dyDescent="0.25" r="317" customHeight="1" ht="17.25">
      <c r="A317" s="14" t="s">
        <v>3</v>
      </c>
      <c r="B317" s="14" t="s">
        <v>4</v>
      </c>
      <c r="C317" s="14" t="s">
        <v>5</v>
      </c>
      <c r="D317" s="14" t="s">
        <v>6</v>
      </c>
      <c r="E317" s="15" t="s">
        <v>7</v>
      </c>
      <c r="F317" s="14" t="s">
        <v>8</v>
      </c>
      <c r="G317" s="14" t="s">
        <v>9</v>
      </c>
      <c r="H317" s="16" t="s">
        <v>10</v>
      </c>
      <c r="I317" s="14" t="s">
        <v>11</v>
      </c>
      <c r="J317" s="14" t="s">
        <v>12</v>
      </c>
    </row>
    <row x14ac:dyDescent="0.25" r="318" customHeight="1" ht="17.25">
      <c r="A318" s="17" t="s">
        <v>3799</v>
      </c>
      <c r="B318" s="17" t="s">
        <v>512</v>
      </c>
      <c r="C318" s="17" t="s">
        <v>133</v>
      </c>
      <c r="D318" s="17" t="s">
        <v>16</v>
      </c>
      <c r="E318" s="18">
        <f>ROUND(17165*1.05,2)</f>
      </c>
      <c r="F318" s="17" t="s">
        <v>17</v>
      </c>
      <c r="G318" s="17" t="s">
        <v>18</v>
      </c>
      <c r="H318" s="18">
        <f>ROUND(RAND()*4+6,1)</f>
      </c>
      <c r="I318" s="17" t="s">
        <v>19</v>
      </c>
      <c r="J318" s="19">
        <f>ROUND(64*1,0)&amp;"%"</f>
      </c>
    </row>
    <row x14ac:dyDescent="0.25" r="319" customHeight="1" ht="17.25">
      <c r="A319" s="20" t="s">
        <v>3800</v>
      </c>
      <c r="B319" s="20" t="s">
        <v>514</v>
      </c>
      <c r="C319" s="20" t="s">
        <v>133</v>
      </c>
      <c r="D319" s="20" t="s">
        <v>22</v>
      </c>
      <c r="E319" s="21">
        <f>ROUND(5451*1.05,2)</f>
      </c>
      <c r="F319" s="20" t="s">
        <v>23</v>
      </c>
      <c r="G319" s="20" t="s">
        <v>24</v>
      </c>
      <c r="H319" s="21">
        <f>ROUND(RAND()*4+6,1)</f>
      </c>
      <c r="I319" s="20" t="s">
        <v>25</v>
      </c>
      <c r="J319" s="23">
        <f>ROUND(83*1,0)&amp;"%"</f>
      </c>
    </row>
    <row x14ac:dyDescent="0.25" r="320" customHeight="1" ht="17.25">
      <c r="A320" s="17" t="s">
        <v>3801</v>
      </c>
      <c r="B320" s="17" t="s">
        <v>516</v>
      </c>
      <c r="C320" s="17" t="s">
        <v>133</v>
      </c>
      <c r="D320" s="17" t="s">
        <v>28</v>
      </c>
      <c r="E320" s="18">
        <f>ROUND(7230*1.05,2)</f>
      </c>
      <c r="F320" s="17" t="s">
        <v>29</v>
      </c>
      <c r="G320" s="17" t="s">
        <v>30</v>
      </c>
      <c r="H320" s="26">
        <f>ROUND(RAND()*4+6,1)</f>
      </c>
      <c r="I320" s="17" t="s">
        <v>31</v>
      </c>
      <c r="J320" s="19">
        <f>ROUND(88*1,0)&amp;"%"</f>
      </c>
    </row>
    <row x14ac:dyDescent="0.25" r="321" customHeight="1" ht="17.25">
      <c r="A321" s="20" t="s">
        <v>3802</v>
      </c>
      <c r="B321" s="20" t="s">
        <v>518</v>
      </c>
      <c r="C321" s="20" t="s">
        <v>133</v>
      </c>
      <c r="D321" s="20" t="s">
        <v>34</v>
      </c>
      <c r="E321" s="21">
        <f>ROUND(7510*1.05,2)</f>
      </c>
      <c r="F321" s="20" t="s">
        <v>35</v>
      </c>
      <c r="G321" s="20" t="s">
        <v>18</v>
      </c>
      <c r="H321" s="21">
        <f>ROUND(RAND()*4+6,1)</f>
      </c>
      <c r="I321" s="20" t="s">
        <v>36</v>
      </c>
      <c r="J321" s="23">
        <f>ROUND(96*1,0)&amp;"%"</f>
      </c>
    </row>
    <row x14ac:dyDescent="0.25" r="322" customHeight="1" ht="17.25">
      <c r="A322" s="17" t="s">
        <v>3803</v>
      </c>
      <c r="B322" s="17" t="s">
        <v>520</v>
      </c>
      <c r="C322" s="17" t="s">
        <v>133</v>
      </c>
      <c r="D322" s="17" t="s">
        <v>39</v>
      </c>
      <c r="E322" s="18">
        <f>ROUND(6587*1.05,2)</f>
      </c>
      <c r="F322" s="17" t="s">
        <v>40</v>
      </c>
      <c r="G322" s="17" t="s">
        <v>24</v>
      </c>
      <c r="H322" s="18">
        <f>ROUND(RAND()*4+6,1)</f>
      </c>
      <c r="I322" s="17" t="s">
        <v>41</v>
      </c>
      <c r="J322" s="19">
        <f>ROUND(72*1,0)&amp;"%"</f>
      </c>
    </row>
    <row x14ac:dyDescent="0.25" r="323" customHeight="1" ht="17.25">
      <c r="A323" s="20" t="s">
        <v>3804</v>
      </c>
      <c r="B323" s="20" t="s">
        <v>522</v>
      </c>
      <c r="C323" s="20" t="s">
        <v>133</v>
      </c>
      <c r="D323" s="20" t="s">
        <v>67</v>
      </c>
      <c r="E323" s="21">
        <f>ROUND(10493*1.05,2)</f>
      </c>
      <c r="F323" s="20" t="s">
        <v>44</v>
      </c>
      <c r="G323" s="20" t="s">
        <v>30</v>
      </c>
      <c r="H323" s="21">
        <f>ROUND(RAND()*4+6,1)</f>
      </c>
      <c r="I323" s="20" t="s">
        <v>45</v>
      </c>
      <c r="J323" s="23">
        <f>ROUND(94*1,0)&amp;"%"</f>
      </c>
    </row>
    <row x14ac:dyDescent="0.25" r="324" customHeight="1" ht="17.25">
      <c r="A324" s="17" t="s">
        <v>3805</v>
      </c>
      <c r="B324" s="17" t="s">
        <v>524</v>
      </c>
      <c r="C324" s="17" t="s">
        <v>133</v>
      </c>
      <c r="D324" s="17" t="s">
        <v>16</v>
      </c>
      <c r="E324" s="18">
        <f>ROUND(14487*1.05,2)</f>
      </c>
      <c r="F324" s="17" t="s">
        <v>48</v>
      </c>
      <c r="G324" s="17" t="s">
        <v>18</v>
      </c>
      <c r="H324" s="18">
        <f>ROUND(RAND()*4+6,1)</f>
      </c>
      <c r="I324" s="17" t="s">
        <v>19</v>
      </c>
      <c r="J324" s="19">
        <f>ROUND(83*1,0)&amp;"%"</f>
      </c>
    </row>
    <row x14ac:dyDescent="0.25" r="325" customHeight="1" ht="17.25">
      <c r="A325" s="20" t="s">
        <v>3806</v>
      </c>
      <c r="B325" s="20" t="s">
        <v>526</v>
      </c>
      <c r="C325" s="20" t="s">
        <v>133</v>
      </c>
      <c r="D325" s="20" t="s">
        <v>22</v>
      </c>
      <c r="E325" s="21">
        <f>ROUND(6736*1.05,2)</f>
      </c>
      <c r="F325" s="20" t="s">
        <v>51</v>
      </c>
      <c r="G325" s="20" t="s">
        <v>24</v>
      </c>
      <c r="H325" s="21">
        <f>ROUND(RAND()*4+6,1)</f>
      </c>
      <c r="I325" s="20" t="s">
        <v>25</v>
      </c>
      <c r="J325" s="23">
        <f>ROUND(72*1,0)&amp;"%"</f>
      </c>
    </row>
    <row x14ac:dyDescent="0.25" r="326" customHeight="1" ht="17.25">
      <c r="A326" s="24" t="s">
        <v>527</v>
      </c>
      <c r="B326" s="24"/>
      <c r="C326" s="24"/>
      <c r="D326" s="24"/>
      <c r="E326" s="25">
        <v>8</v>
      </c>
      <c r="F326" s="9"/>
      <c r="G326" s="9"/>
      <c r="H326" s="10"/>
      <c r="I326" s="9"/>
      <c r="J326" s="9"/>
    </row>
    <row x14ac:dyDescent="0.25" r="327" customHeight="1" ht="17.25">
      <c r="A327" s="7"/>
      <c r="B327" s="7"/>
      <c r="C327" s="7"/>
      <c r="D327" s="7"/>
      <c r="E327" s="8"/>
      <c r="F327" s="9"/>
      <c r="G327" s="9"/>
      <c r="H327" s="10"/>
      <c r="I327" s="9"/>
      <c r="J327" s="9"/>
    </row>
    <row x14ac:dyDescent="0.25" r="328" customHeight="1" ht="17.25">
      <c r="A328" s="11" t="s">
        <v>3807</v>
      </c>
      <c r="B328" s="11"/>
      <c r="C328" s="11"/>
      <c r="D328" s="11"/>
      <c r="E328" s="12"/>
      <c r="F328" s="11"/>
      <c r="G328" s="11"/>
      <c r="H328" s="13"/>
      <c r="I328" s="11"/>
      <c r="J328" s="11"/>
    </row>
    <row x14ac:dyDescent="0.25" r="329" customHeight="1" ht="17.25">
      <c r="A329" s="14" t="s">
        <v>3</v>
      </c>
      <c r="B329" s="14" t="s">
        <v>4</v>
      </c>
      <c r="C329" s="14" t="s">
        <v>5</v>
      </c>
      <c r="D329" s="14" t="s">
        <v>6</v>
      </c>
      <c r="E329" s="15" t="s">
        <v>7</v>
      </c>
      <c r="F329" s="14" t="s">
        <v>8</v>
      </c>
      <c r="G329" s="14" t="s">
        <v>9</v>
      </c>
      <c r="H329" s="16" t="s">
        <v>10</v>
      </c>
      <c r="I329" s="14" t="s">
        <v>11</v>
      </c>
      <c r="J329" s="14" t="s">
        <v>12</v>
      </c>
    </row>
    <row x14ac:dyDescent="0.25" r="330" customHeight="1" ht="17.25">
      <c r="A330" s="17" t="s">
        <v>3808</v>
      </c>
      <c r="B330" s="17" t="s">
        <v>530</v>
      </c>
      <c r="C330" s="17" t="s">
        <v>152</v>
      </c>
      <c r="D330" s="17" t="s">
        <v>16</v>
      </c>
      <c r="E330" s="18">
        <f>ROUND(7822*1.05,2)</f>
      </c>
      <c r="F330" s="17" t="s">
        <v>17</v>
      </c>
      <c r="G330" s="17" t="s">
        <v>18</v>
      </c>
      <c r="H330" s="18">
        <f>ROUND(RAND()*4+6,1)</f>
      </c>
      <c r="I330" s="17" t="s">
        <v>19</v>
      </c>
      <c r="J330" s="19">
        <f>ROUND(95*1,0)&amp;"%"</f>
      </c>
    </row>
    <row x14ac:dyDescent="0.25" r="331" customHeight="1" ht="17.25">
      <c r="A331" s="20" t="s">
        <v>3809</v>
      </c>
      <c r="B331" s="20" t="s">
        <v>532</v>
      </c>
      <c r="C331" s="20" t="s">
        <v>152</v>
      </c>
      <c r="D331" s="20" t="s">
        <v>22</v>
      </c>
      <c r="E331" s="21">
        <f>ROUND(13416*1.05,2)</f>
      </c>
      <c r="F331" s="20" t="s">
        <v>23</v>
      </c>
      <c r="G331" s="20" t="s">
        <v>24</v>
      </c>
      <c r="H331" s="21">
        <f>ROUND(RAND()*4+6,1)</f>
      </c>
      <c r="I331" s="20" t="s">
        <v>25</v>
      </c>
      <c r="J331" s="23">
        <f>ROUND(96*1,0)&amp;"%"</f>
      </c>
    </row>
    <row x14ac:dyDescent="0.25" r="332" customHeight="1" ht="17.25">
      <c r="A332" s="17" t="s">
        <v>3810</v>
      </c>
      <c r="B332" s="17" t="s">
        <v>534</v>
      </c>
      <c r="C332" s="17" t="s">
        <v>152</v>
      </c>
      <c r="D332" s="17" t="s">
        <v>28</v>
      </c>
      <c r="E332" s="18">
        <f>ROUND(10401*1.05,2)</f>
      </c>
      <c r="F332" s="17" t="s">
        <v>29</v>
      </c>
      <c r="G332" s="17" t="s">
        <v>30</v>
      </c>
      <c r="H332" s="18">
        <f>ROUND(RAND()*4+6,1)</f>
      </c>
      <c r="I332" s="17" t="s">
        <v>31</v>
      </c>
      <c r="J332" s="19">
        <f>ROUND(88*1,0)&amp;"%"</f>
      </c>
    </row>
    <row x14ac:dyDescent="0.25" r="333" customHeight="1" ht="17.25">
      <c r="A333" s="20" t="s">
        <v>3811</v>
      </c>
      <c r="B333" s="20" t="s">
        <v>536</v>
      </c>
      <c r="C333" s="20" t="s">
        <v>152</v>
      </c>
      <c r="D333" s="20" t="s">
        <v>34</v>
      </c>
      <c r="E333" s="21">
        <f>ROUND(16908*1.05,2)</f>
      </c>
      <c r="F333" s="20" t="s">
        <v>35</v>
      </c>
      <c r="G333" s="20" t="s">
        <v>18</v>
      </c>
      <c r="H333" s="21">
        <f>ROUND(RAND()*4+6,1)</f>
      </c>
      <c r="I333" s="20" t="s">
        <v>36</v>
      </c>
      <c r="J333" s="23">
        <f>ROUND(96*1,0)&amp;"%"</f>
      </c>
    </row>
    <row x14ac:dyDescent="0.25" r="334" customHeight="1" ht="17.25">
      <c r="A334" s="17" t="s">
        <v>3812</v>
      </c>
      <c r="B334" s="17" t="s">
        <v>538</v>
      </c>
      <c r="C334" s="17" t="s">
        <v>152</v>
      </c>
      <c r="D334" s="17" t="s">
        <v>39</v>
      </c>
      <c r="E334" s="18">
        <f>ROUND(12632*1.05,2)</f>
      </c>
      <c r="F334" s="17" t="s">
        <v>40</v>
      </c>
      <c r="G334" s="17" t="s">
        <v>24</v>
      </c>
      <c r="H334" s="26">
        <f>ROUND(RAND()*4+6,1)</f>
      </c>
      <c r="I334" s="17" t="s">
        <v>41</v>
      </c>
      <c r="J334" s="19">
        <f>ROUND(87*1,0)&amp;"%"</f>
      </c>
    </row>
    <row x14ac:dyDescent="0.25" r="335" customHeight="1" ht="17.25">
      <c r="A335" s="20" t="s">
        <v>3813</v>
      </c>
      <c r="B335" s="20" t="s">
        <v>540</v>
      </c>
      <c r="C335" s="20" t="s">
        <v>152</v>
      </c>
      <c r="D335" s="20" t="s">
        <v>67</v>
      </c>
      <c r="E335" s="21">
        <f>ROUND(6597*1.05,2)</f>
      </c>
      <c r="F335" s="20" t="s">
        <v>44</v>
      </c>
      <c r="G335" s="20" t="s">
        <v>30</v>
      </c>
      <c r="H335" s="21">
        <f>ROUND(RAND()*4+6,1)</f>
      </c>
      <c r="I335" s="20" t="s">
        <v>45</v>
      </c>
      <c r="J335" s="23">
        <f>ROUND(77*1,0)&amp;"%"</f>
      </c>
    </row>
    <row x14ac:dyDescent="0.25" r="336" customHeight="1" ht="17.25">
      <c r="A336" s="17" t="s">
        <v>3814</v>
      </c>
      <c r="B336" s="17" t="s">
        <v>542</v>
      </c>
      <c r="C336" s="17" t="s">
        <v>152</v>
      </c>
      <c r="D336" s="17" t="s">
        <v>16</v>
      </c>
      <c r="E336" s="18">
        <f>ROUND(15788*1.05,2)</f>
      </c>
      <c r="F336" s="17" t="s">
        <v>48</v>
      </c>
      <c r="G336" s="17" t="s">
        <v>18</v>
      </c>
      <c r="H336" s="18">
        <f>ROUND(RAND()*4+6,1)</f>
      </c>
      <c r="I336" s="17" t="s">
        <v>19</v>
      </c>
      <c r="J336" s="19">
        <f>ROUND(88*1,0)&amp;"%"</f>
      </c>
    </row>
    <row x14ac:dyDescent="0.25" r="337" customHeight="1" ht="17.25">
      <c r="A337" s="20" t="s">
        <v>3815</v>
      </c>
      <c r="B337" s="20" t="s">
        <v>544</v>
      </c>
      <c r="C337" s="20" t="s">
        <v>152</v>
      </c>
      <c r="D337" s="20" t="s">
        <v>22</v>
      </c>
      <c r="E337" s="22">
        <f>ROUND(17200*1.05,2)</f>
      </c>
      <c r="F337" s="20" t="s">
        <v>51</v>
      </c>
      <c r="G337" s="20" t="s">
        <v>24</v>
      </c>
      <c r="H337" s="21">
        <f>ROUND(RAND()*4+6,1)</f>
      </c>
      <c r="I337" s="20" t="s">
        <v>25</v>
      </c>
      <c r="J337" s="23">
        <f>ROUND(92*1,0)&amp;"%"</f>
      </c>
    </row>
    <row x14ac:dyDescent="0.25" r="338" customHeight="1" ht="17.25">
      <c r="A338" s="24" t="s">
        <v>545</v>
      </c>
      <c r="B338" s="24"/>
      <c r="C338" s="24"/>
      <c r="D338" s="24"/>
      <c r="E338" s="25">
        <v>8</v>
      </c>
      <c r="F338" s="9"/>
      <c r="G338" s="9"/>
      <c r="H338" s="10"/>
      <c r="I338" s="9"/>
      <c r="J338" s="9"/>
    </row>
    <row x14ac:dyDescent="0.25" r="339" customHeight="1" ht="17.25">
      <c r="A339" s="7"/>
      <c r="B339" s="7"/>
      <c r="C339" s="7"/>
      <c r="D339" s="7"/>
      <c r="E339" s="8"/>
      <c r="F339" s="9"/>
      <c r="G339" s="9"/>
      <c r="H339" s="10"/>
      <c r="I339" s="9"/>
      <c r="J339" s="9"/>
    </row>
    <row x14ac:dyDescent="0.25" r="340" customHeight="1" ht="17.25">
      <c r="A340" s="11" t="s">
        <v>3816</v>
      </c>
      <c r="B340" s="11"/>
      <c r="C340" s="11"/>
      <c r="D340" s="11"/>
      <c r="E340" s="12"/>
      <c r="F340" s="11"/>
      <c r="G340" s="11"/>
      <c r="H340" s="13"/>
      <c r="I340" s="11"/>
      <c r="J340" s="11"/>
    </row>
    <row x14ac:dyDescent="0.25" r="341" customHeight="1" ht="17.25">
      <c r="A341" s="14" t="s">
        <v>3</v>
      </c>
      <c r="B341" s="14" t="s">
        <v>4</v>
      </c>
      <c r="C341" s="14" t="s">
        <v>5</v>
      </c>
      <c r="D341" s="14" t="s">
        <v>6</v>
      </c>
      <c r="E341" s="15" t="s">
        <v>7</v>
      </c>
      <c r="F341" s="14" t="s">
        <v>8</v>
      </c>
      <c r="G341" s="14" t="s">
        <v>9</v>
      </c>
      <c r="H341" s="16" t="s">
        <v>10</v>
      </c>
      <c r="I341" s="14" t="s">
        <v>11</v>
      </c>
      <c r="J341" s="14" t="s">
        <v>12</v>
      </c>
    </row>
    <row x14ac:dyDescent="0.25" r="342" customHeight="1" ht="17.25">
      <c r="A342" s="17" t="s">
        <v>3817</v>
      </c>
      <c r="B342" s="17" t="s">
        <v>548</v>
      </c>
      <c r="C342" s="17" t="s">
        <v>15</v>
      </c>
      <c r="D342" s="17" t="s">
        <v>16</v>
      </c>
      <c r="E342" s="18">
        <f>ROUND(13115*1.05,2)</f>
      </c>
      <c r="F342" s="17" t="s">
        <v>17</v>
      </c>
      <c r="G342" s="17" t="s">
        <v>18</v>
      </c>
      <c r="H342" s="18">
        <f>ROUND(RAND()*4+6,1)</f>
      </c>
      <c r="I342" s="17" t="s">
        <v>19</v>
      </c>
      <c r="J342" s="19">
        <f>ROUND(67*1,0)&amp;"%"</f>
      </c>
    </row>
    <row x14ac:dyDescent="0.25" r="343" customHeight="1" ht="17.25">
      <c r="A343" s="20" t="s">
        <v>3818</v>
      </c>
      <c r="B343" s="20" t="s">
        <v>550</v>
      </c>
      <c r="C343" s="20" t="s">
        <v>15</v>
      </c>
      <c r="D343" s="20" t="s">
        <v>22</v>
      </c>
      <c r="E343" s="21">
        <f>ROUND(12243*1.05,2)</f>
      </c>
      <c r="F343" s="20" t="s">
        <v>23</v>
      </c>
      <c r="G343" s="20" t="s">
        <v>24</v>
      </c>
      <c r="H343" s="21">
        <f>ROUND(RAND()*4+6,1)</f>
      </c>
      <c r="I343" s="20" t="s">
        <v>25</v>
      </c>
      <c r="J343" s="23">
        <f>ROUND(75*1,0)&amp;"%"</f>
      </c>
    </row>
    <row x14ac:dyDescent="0.25" r="344" customHeight="1" ht="17.25">
      <c r="A344" s="17" t="s">
        <v>3819</v>
      </c>
      <c r="B344" s="17" t="s">
        <v>552</v>
      </c>
      <c r="C344" s="17" t="s">
        <v>15</v>
      </c>
      <c r="D344" s="17" t="s">
        <v>28</v>
      </c>
      <c r="E344" s="18">
        <f>ROUND(12609*1.05,2)</f>
      </c>
      <c r="F344" s="17" t="s">
        <v>29</v>
      </c>
      <c r="G344" s="17" t="s">
        <v>30</v>
      </c>
      <c r="H344" s="18">
        <f>ROUND(RAND()*4+6,1)</f>
      </c>
      <c r="I344" s="17" t="s">
        <v>31</v>
      </c>
      <c r="J344" s="19">
        <f>ROUND(65*1,0)&amp;"%"</f>
      </c>
    </row>
    <row x14ac:dyDescent="0.25" r="345" customHeight="1" ht="17.25">
      <c r="A345" s="20" t="s">
        <v>3820</v>
      </c>
      <c r="B345" s="20" t="s">
        <v>554</v>
      </c>
      <c r="C345" s="20" t="s">
        <v>15</v>
      </c>
      <c r="D345" s="20" t="s">
        <v>34</v>
      </c>
      <c r="E345" s="21">
        <f>ROUND(8223*1.05,2)</f>
      </c>
      <c r="F345" s="20" t="s">
        <v>35</v>
      </c>
      <c r="G345" s="20" t="s">
        <v>18</v>
      </c>
      <c r="H345" s="21">
        <f>ROUND(RAND()*4+6,1)</f>
      </c>
      <c r="I345" s="20" t="s">
        <v>36</v>
      </c>
      <c r="J345" s="23">
        <f>ROUND(74*1,0)&amp;"%"</f>
      </c>
    </row>
    <row x14ac:dyDescent="0.25" r="346" customHeight="1" ht="17.25">
      <c r="A346" s="17" t="s">
        <v>3821</v>
      </c>
      <c r="B346" s="17" t="s">
        <v>556</v>
      </c>
      <c r="C346" s="17" t="s">
        <v>15</v>
      </c>
      <c r="D346" s="17" t="s">
        <v>39</v>
      </c>
      <c r="E346" s="18">
        <f>ROUND(6182*1.05,2)</f>
      </c>
      <c r="F346" s="17" t="s">
        <v>40</v>
      </c>
      <c r="G346" s="17" t="s">
        <v>24</v>
      </c>
      <c r="H346" s="18">
        <f>ROUND(RAND()*4+6,1)</f>
      </c>
      <c r="I346" s="17" t="s">
        <v>41</v>
      </c>
      <c r="J346" s="19">
        <f>ROUND(70*1,0)&amp;"%"</f>
      </c>
    </row>
    <row x14ac:dyDescent="0.25" r="347" customHeight="1" ht="17.25">
      <c r="A347" s="20" t="s">
        <v>3822</v>
      </c>
      <c r="B347" s="20" t="s">
        <v>558</v>
      </c>
      <c r="C347" s="20" t="s">
        <v>15</v>
      </c>
      <c r="D347" s="20" t="s">
        <v>67</v>
      </c>
      <c r="E347" s="21">
        <f>ROUND(8861*1.05,2)</f>
      </c>
      <c r="F347" s="20" t="s">
        <v>44</v>
      </c>
      <c r="G347" s="20" t="s">
        <v>30</v>
      </c>
      <c r="H347" s="21">
        <f>ROUND(RAND()*4+6,1)</f>
      </c>
      <c r="I347" s="20" t="s">
        <v>45</v>
      </c>
      <c r="J347" s="23">
        <f>ROUND(96*1,0)&amp;"%"</f>
      </c>
    </row>
    <row x14ac:dyDescent="0.25" r="348" customHeight="1" ht="17.25">
      <c r="A348" s="17" t="s">
        <v>3823</v>
      </c>
      <c r="B348" s="17" t="s">
        <v>560</v>
      </c>
      <c r="C348" s="17" t="s">
        <v>15</v>
      </c>
      <c r="D348" s="17" t="s">
        <v>16</v>
      </c>
      <c r="E348" s="18">
        <f>ROUND(12333*1.05,2)</f>
      </c>
      <c r="F348" s="17" t="s">
        <v>48</v>
      </c>
      <c r="G348" s="17" t="s">
        <v>18</v>
      </c>
      <c r="H348" s="18">
        <f>ROUND(RAND()*4+6,1)</f>
      </c>
      <c r="I348" s="17" t="s">
        <v>19</v>
      </c>
      <c r="J348" s="19">
        <f>ROUND(85*1,0)&amp;"%"</f>
      </c>
    </row>
    <row x14ac:dyDescent="0.25" r="349" customHeight="1" ht="17.25">
      <c r="A349" s="20" t="s">
        <v>3824</v>
      </c>
      <c r="B349" s="20" t="s">
        <v>562</v>
      </c>
      <c r="C349" s="20" t="s">
        <v>15</v>
      </c>
      <c r="D349" s="20" t="s">
        <v>22</v>
      </c>
      <c r="E349" s="21">
        <f>ROUND(14837*1.05,2)</f>
      </c>
      <c r="F349" s="20" t="s">
        <v>51</v>
      </c>
      <c r="G349" s="20" t="s">
        <v>24</v>
      </c>
      <c r="H349" s="21">
        <f>ROUND(RAND()*4+6,1)</f>
      </c>
      <c r="I349" s="20" t="s">
        <v>25</v>
      </c>
      <c r="J349" s="23">
        <f>ROUND(91*1,0)&amp;"%"</f>
      </c>
    </row>
    <row x14ac:dyDescent="0.25" r="350" customHeight="1" ht="17.25">
      <c r="A350" s="24" t="s">
        <v>563</v>
      </c>
      <c r="B350" s="24"/>
      <c r="C350" s="24"/>
      <c r="D350" s="24"/>
      <c r="E350" s="25">
        <v>8</v>
      </c>
      <c r="F350" s="9"/>
      <c r="G350" s="9"/>
      <c r="H350" s="10"/>
      <c r="I350" s="9"/>
      <c r="J350" s="9"/>
    </row>
    <row x14ac:dyDescent="0.25" r="351" customHeight="1" ht="17.25">
      <c r="A351" s="7"/>
      <c r="B351" s="7"/>
      <c r="C351" s="7"/>
      <c r="D351" s="7"/>
      <c r="E351" s="8"/>
      <c r="F351" s="9"/>
      <c r="G351" s="9"/>
      <c r="H351" s="10"/>
      <c r="I351" s="9"/>
      <c r="J351" s="9"/>
    </row>
    <row x14ac:dyDescent="0.25" r="352" customHeight="1" ht="17.25">
      <c r="A352" s="11" t="s">
        <v>3825</v>
      </c>
      <c r="B352" s="11"/>
      <c r="C352" s="11"/>
      <c r="D352" s="11"/>
      <c r="E352" s="12"/>
      <c r="F352" s="11"/>
      <c r="G352" s="11"/>
      <c r="H352" s="13"/>
      <c r="I352" s="11"/>
      <c r="J352" s="11"/>
    </row>
    <row x14ac:dyDescent="0.25" r="353" customHeight="1" ht="17.25">
      <c r="A353" s="14" t="s">
        <v>3</v>
      </c>
      <c r="B353" s="14" t="s">
        <v>4</v>
      </c>
      <c r="C353" s="14" t="s">
        <v>5</v>
      </c>
      <c r="D353" s="14" t="s">
        <v>6</v>
      </c>
      <c r="E353" s="15" t="s">
        <v>7</v>
      </c>
      <c r="F353" s="14" t="s">
        <v>8</v>
      </c>
      <c r="G353" s="14" t="s">
        <v>9</v>
      </c>
      <c r="H353" s="16" t="s">
        <v>10</v>
      </c>
      <c r="I353" s="14" t="s">
        <v>11</v>
      </c>
      <c r="J353" s="14" t="s">
        <v>12</v>
      </c>
    </row>
    <row x14ac:dyDescent="0.25" r="354" customHeight="1" ht="17.25">
      <c r="A354" s="17" t="s">
        <v>3826</v>
      </c>
      <c r="B354" s="17" t="s">
        <v>566</v>
      </c>
      <c r="C354" s="17" t="s">
        <v>56</v>
      </c>
      <c r="D354" s="17" t="s">
        <v>16</v>
      </c>
      <c r="E354" s="18">
        <f>ROUND(13434*1.05,2)</f>
      </c>
      <c r="F354" s="17" t="s">
        <v>17</v>
      </c>
      <c r="G354" s="17" t="s">
        <v>18</v>
      </c>
      <c r="H354" s="18">
        <f>ROUND(RAND()*4+6,1)</f>
      </c>
      <c r="I354" s="17" t="s">
        <v>19</v>
      </c>
      <c r="J354" s="19">
        <f>ROUND(98*1,0)&amp;"%"</f>
      </c>
    </row>
    <row x14ac:dyDescent="0.25" r="355" customHeight="1" ht="17.25">
      <c r="A355" s="20" t="s">
        <v>3827</v>
      </c>
      <c r="B355" s="20" t="s">
        <v>568</v>
      </c>
      <c r="C355" s="20" t="s">
        <v>56</v>
      </c>
      <c r="D355" s="20" t="s">
        <v>22</v>
      </c>
      <c r="E355" s="21">
        <f>ROUND(5498*1.05,2)</f>
      </c>
      <c r="F355" s="20" t="s">
        <v>23</v>
      </c>
      <c r="G355" s="20" t="s">
        <v>24</v>
      </c>
      <c r="H355" s="21">
        <f>ROUND(RAND()*4+6,1)</f>
      </c>
      <c r="I355" s="20" t="s">
        <v>25</v>
      </c>
      <c r="J355" s="23">
        <f>ROUND(73*1,0)&amp;"%"</f>
      </c>
    </row>
    <row x14ac:dyDescent="0.25" r="356" customHeight="1" ht="17.25">
      <c r="A356" s="17" t="s">
        <v>3828</v>
      </c>
      <c r="B356" s="17" t="s">
        <v>570</v>
      </c>
      <c r="C356" s="17" t="s">
        <v>56</v>
      </c>
      <c r="D356" s="17" t="s">
        <v>28</v>
      </c>
      <c r="E356" s="18">
        <f>ROUND(9551*1.05,2)</f>
      </c>
      <c r="F356" s="17" t="s">
        <v>29</v>
      </c>
      <c r="G356" s="17" t="s">
        <v>30</v>
      </c>
      <c r="H356" s="18">
        <f>ROUND(RAND()*4+6,1)</f>
      </c>
      <c r="I356" s="17" t="s">
        <v>31</v>
      </c>
      <c r="J356" s="19">
        <f>ROUND(73*1,0)&amp;"%"</f>
      </c>
    </row>
    <row x14ac:dyDescent="0.25" r="357" customHeight="1" ht="17.25">
      <c r="A357" s="20" t="s">
        <v>3829</v>
      </c>
      <c r="B357" s="20" t="s">
        <v>572</v>
      </c>
      <c r="C357" s="20" t="s">
        <v>56</v>
      </c>
      <c r="D357" s="20" t="s">
        <v>34</v>
      </c>
      <c r="E357" s="21">
        <f>ROUND(7643*1.05,2)</f>
      </c>
      <c r="F357" s="20" t="s">
        <v>35</v>
      </c>
      <c r="G357" s="20" t="s">
        <v>18</v>
      </c>
      <c r="H357" s="22">
        <f>ROUND(RAND()*4+6,1)</f>
      </c>
      <c r="I357" s="20" t="s">
        <v>36</v>
      </c>
      <c r="J357" s="23">
        <f>ROUND(63*1,0)&amp;"%"</f>
      </c>
    </row>
    <row x14ac:dyDescent="0.25" r="358" customHeight="1" ht="17.25">
      <c r="A358" s="17" t="s">
        <v>3830</v>
      </c>
      <c r="B358" s="17" t="s">
        <v>574</v>
      </c>
      <c r="C358" s="17" t="s">
        <v>56</v>
      </c>
      <c r="D358" s="17" t="s">
        <v>39</v>
      </c>
      <c r="E358" s="18">
        <f>ROUND(8689*1.05,2)</f>
      </c>
      <c r="F358" s="17" t="s">
        <v>40</v>
      </c>
      <c r="G358" s="17" t="s">
        <v>24</v>
      </c>
      <c r="H358" s="18">
        <f>ROUND(RAND()*4+6,1)</f>
      </c>
      <c r="I358" s="17" t="s">
        <v>41</v>
      </c>
      <c r="J358" s="19">
        <f>ROUND(73*1,0)&amp;"%"</f>
      </c>
    </row>
    <row x14ac:dyDescent="0.25" r="359" customHeight="1" ht="17.25">
      <c r="A359" s="20" t="s">
        <v>3831</v>
      </c>
      <c r="B359" s="20" t="s">
        <v>576</v>
      </c>
      <c r="C359" s="20" t="s">
        <v>56</v>
      </c>
      <c r="D359" s="20" t="s">
        <v>67</v>
      </c>
      <c r="E359" s="21">
        <f>ROUND(9897*1.05,2)</f>
      </c>
      <c r="F359" s="20" t="s">
        <v>44</v>
      </c>
      <c r="G359" s="20" t="s">
        <v>30</v>
      </c>
      <c r="H359" s="21">
        <f>ROUND(RAND()*4+6,1)</f>
      </c>
      <c r="I359" s="20" t="s">
        <v>45</v>
      </c>
      <c r="J359" s="23">
        <f>ROUND(60*1,0)&amp;"%"</f>
      </c>
    </row>
    <row x14ac:dyDescent="0.25" r="360" customHeight="1" ht="17.25">
      <c r="A360" s="17" t="s">
        <v>3832</v>
      </c>
      <c r="B360" s="17" t="s">
        <v>578</v>
      </c>
      <c r="C360" s="17" t="s">
        <v>56</v>
      </c>
      <c r="D360" s="17" t="s">
        <v>16</v>
      </c>
      <c r="E360" s="26">
        <f>ROUND(8440*1.05,2)</f>
      </c>
      <c r="F360" s="17" t="s">
        <v>48</v>
      </c>
      <c r="G360" s="17" t="s">
        <v>18</v>
      </c>
      <c r="H360" s="18">
        <f>ROUND(RAND()*4+6,1)</f>
      </c>
      <c r="I360" s="17" t="s">
        <v>19</v>
      </c>
      <c r="J360" s="19">
        <f>ROUND(64*1,0)&amp;"%"</f>
      </c>
    </row>
    <row x14ac:dyDescent="0.25" r="361" customHeight="1" ht="17.25">
      <c r="A361" s="20" t="s">
        <v>3833</v>
      </c>
      <c r="B361" s="20" t="s">
        <v>580</v>
      </c>
      <c r="C361" s="20" t="s">
        <v>56</v>
      </c>
      <c r="D361" s="20" t="s">
        <v>22</v>
      </c>
      <c r="E361" s="21">
        <f>ROUND(11648*1.05,2)</f>
      </c>
      <c r="F361" s="20" t="s">
        <v>51</v>
      </c>
      <c r="G361" s="20" t="s">
        <v>24</v>
      </c>
      <c r="H361" s="21">
        <f>ROUND(RAND()*4+6,1)</f>
      </c>
      <c r="I361" s="20" t="s">
        <v>25</v>
      </c>
      <c r="J361" s="23">
        <f>ROUND(97*1,0)&amp;"%"</f>
      </c>
    </row>
    <row x14ac:dyDescent="0.25" r="362" customHeight="1" ht="17.25">
      <c r="A362" s="24" t="s">
        <v>581</v>
      </c>
      <c r="B362" s="24"/>
      <c r="C362" s="24"/>
      <c r="D362" s="24"/>
      <c r="E362" s="25">
        <v>8</v>
      </c>
      <c r="F362" s="9"/>
      <c r="G362" s="9"/>
      <c r="H362" s="10"/>
      <c r="I362" s="9"/>
      <c r="J362" s="9"/>
    </row>
  </sheetData>
  <mergeCells count="62">
    <mergeCell ref="A1:J1"/>
    <mergeCell ref="A2:J2"/>
    <mergeCell ref="A4:J4"/>
    <mergeCell ref="A14:D14"/>
    <mergeCell ref="A16:J16"/>
    <mergeCell ref="A26:D26"/>
    <mergeCell ref="A28:J28"/>
    <mergeCell ref="A38:D38"/>
    <mergeCell ref="A40:J40"/>
    <mergeCell ref="A50:D50"/>
    <mergeCell ref="A52:J52"/>
    <mergeCell ref="A62:D62"/>
    <mergeCell ref="A64:J64"/>
    <mergeCell ref="A74:D74"/>
    <mergeCell ref="A76:J76"/>
    <mergeCell ref="A86:D86"/>
    <mergeCell ref="A88:J88"/>
    <mergeCell ref="A98:D98"/>
    <mergeCell ref="A100:J100"/>
    <mergeCell ref="A110:D110"/>
    <mergeCell ref="A112:J112"/>
    <mergeCell ref="A122:D122"/>
    <mergeCell ref="A124:J124"/>
    <mergeCell ref="A134:D134"/>
    <mergeCell ref="A136:J136"/>
    <mergeCell ref="A146:D146"/>
    <mergeCell ref="A148:J148"/>
    <mergeCell ref="A158:D158"/>
    <mergeCell ref="A160:J160"/>
    <mergeCell ref="A170:D170"/>
    <mergeCell ref="A172:J172"/>
    <mergeCell ref="A182:D182"/>
    <mergeCell ref="A184:J184"/>
    <mergeCell ref="A194:D194"/>
    <mergeCell ref="A196:J196"/>
    <mergeCell ref="A206:D206"/>
    <mergeCell ref="A208:J208"/>
    <mergeCell ref="A218:D218"/>
    <mergeCell ref="A220:J220"/>
    <mergeCell ref="A230:D230"/>
    <mergeCell ref="A232:J232"/>
    <mergeCell ref="A242:D242"/>
    <mergeCell ref="A244:J244"/>
    <mergeCell ref="A254:D254"/>
    <mergeCell ref="A256:J256"/>
    <mergeCell ref="A266:D266"/>
    <mergeCell ref="A268:J268"/>
    <mergeCell ref="A278:D278"/>
    <mergeCell ref="A280:J280"/>
    <mergeCell ref="A290:D290"/>
    <mergeCell ref="A292:J292"/>
    <mergeCell ref="A302:D302"/>
    <mergeCell ref="A304:J304"/>
    <mergeCell ref="A314:D314"/>
    <mergeCell ref="A316:J316"/>
    <mergeCell ref="A326:D326"/>
    <mergeCell ref="A328:J328"/>
    <mergeCell ref="A338:D338"/>
    <mergeCell ref="A340:J340"/>
    <mergeCell ref="A350:D350"/>
    <mergeCell ref="A352:J352"/>
    <mergeCell ref="A362:D362"/>
  </mergeCells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J362"/>
  <sheetViews>
    <sheetView workbookViewId="0"/>
  </sheetViews>
  <sheetFormatPr defaultRowHeight="15" x14ac:dyDescent="0.25"/>
  <cols>
    <col min="1" max="1" style="27" width="8.005" customWidth="1" bestFit="1"/>
    <col min="2" max="2" style="27" width="22.005" customWidth="1" bestFit="1"/>
    <col min="3" max="3" style="27" width="16.005" customWidth="1" bestFit="1"/>
    <col min="4" max="4" style="27" width="14.005" customWidth="1" bestFit="1"/>
    <col min="5" max="5" style="28" width="12.005" customWidth="1" bestFit="1"/>
    <col min="6" max="6" style="29" width="16.005" customWidth="1" bestFit="1"/>
    <col min="7" max="7" style="29" width="10.005" customWidth="1" bestFit="1"/>
    <col min="8" max="8" style="30" width="10.005" customWidth="1" bestFit="1"/>
    <col min="9" max="9" style="29" width="14.005" customWidth="1" bestFit="1"/>
    <col min="10" max="10" style="29" width="8.005" customWidth="1" bestFit="1"/>
  </cols>
  <sheetData>
    <row x14ac:dyDescent="0.25" r="1" customHeight="1" ht="17.25">
      <c r="A1" s="1" t="s">
        <v>3292</v>
      </c>
      <c r="B1" s="1"/>
      <c r="C1" s="1"/>
      <c r="D1" s="1"/>
      <c r="E1" s="2"/>
      <c r="F1" s="1"/>
      <c r="G1" s="1"/>
      <c r="H1" s="3"/>
      <c r="I1" s="1"/>
      <c r="J1" s="1"/>
    </row>
    <row x14ac:dyDescent="0.25" r="2" customHeight="1" ht="17.25">
      <c r="A2" s="4" t="s">
        <v>1</v>
      </c>
      <c r="B2" s="4"/>
      <c r="C2" s="4"/>
      <c r="D2" s="4"/>
      <c r="E2" s="5"/>
      <c r="F2" s="4"/>
      <c r="G2" s="4"/>
      <c r="H2" s="6"/>
      <c r="I2" s="4"/>
      <c r="J2" s="4"/>
    </row>
    <row x14ac:dyDescent="0.25" r="3" customHeight="1" ht="17.25">
      <c r="A3" s="7"/>
      <c r="B3" s="7"/>
      <c r="C3" s="7"/>
      <c r="D3" s="7"/>
      <c r="E3" s="8"/>
      <c r="F3" s="9"/>
      <c r="G3" s="9"/>
      <c r="H3" s="10"/>
      <c r="I3" s="9"/>
      <c r="J3" s="9"/>
    </row>
    <row x14ac:dyDescent="0.25" r="4" customHeight="1" ht="17.25">
      <c r="A4" s="11" t="s">
        <v>3293</v>
      </c>
      <c r="B4" s="11"/>
      <c r="C4" s="11"/>
      <c r="D4" s="11"/>
      <c r="E4" s="12"/>
      <c r="F4" s="11"/>
      <c r="G4" s="11"/>
      <c r="H4" s="13"/>
      <c r="I4" s="11"/>
      <c r="J4" s="11"/>
    </row>
    <row x14ac:dyDescent="0.25" r="5" customHeight="1" ht="17.25">
      <c r="A5" s="14" t="s">
        <v>3</v>
      </c>
      <c r="B5" s="14" t="s">
        <v>4</v>
      </c>
      <c r="C5" s="14" t="s">
        <v>5</v>
      </c>
      <c r="D5" s="14" t="s">
        <v>6</v>
      </c>
      <c r="E5" s="15" t="s">
        <v>7</v>
      </c>
      <c r="F5" s="14" t="s">
        <v>8</v>
      </c>
      <c r="G5" s="14" t="s">
        <v>9</v>
      </c>
      <c r="H5" s="16" t="s">
        <v>10</v>
      </c>
      <c r="I5" s="14" t="s">
        <v>11</v>
      </c>
      <c r="J5" s="14" t="s">
        <v>12</v>
      </c>
    </row>
    <row x14ac:dyDescent="0.25" r="6" customHeight="1" ht="17.25">
      <c r="A6" s="17" t="s">
        <v>3294</v>
      </c>
      <c r="B6" s="17" t="s">
        <v>14</v>
      </c>
      <c r="C6" s="17" t="s">
        <v>15</v>
      </c>
      <c r="D6" s="17" t="s">
        <v>16</v>
      </c>
      <c r="E6" s="18">
        <f>ROUND(17935*1.05,2)</f>
      </c>
      <c r="F6" s="17" t="s">
        <v>17</v>
      </c>
      <c r="G6" s="17" t="s">
        <v>18</v>
      </c>
      <c r="H6" s="18">
        <f>ROUND(RAND()*4+6,1)</f>
      </c>
      <c r="I6" s="17" t="s">
        <v>19</v>
      </c>
      <c r="J6" s="19">
        <f>ROUND(94*1,0)&amp;"%"</f>
      </c>
    </row>
    <row x14ac:dyDescent="0.25" r="7" customHeight="1" ht="17.25">
      <c r="A7" s="20" t="s">
        <v>3295</v>
      </c>
      <c r="B7" s="20" t="s">
        <v>21</v>
      </c>
      <c r="C7" s="20" t="s">
        <v>15</v>
      </c>
      <c r="D7" s="20" t="s">
        <v>22</v>
      </c>
      <c r="E7" s="21">
        <f>ROUND(16018*1.05,2)</f>
      </c>
      <c r="F7" s="20" t="s">
        <v>23</v>
      </c>
      <c r="G7" s="20" t="s">
        <v>24</v>
      </c>
      <c r="H7" s="22">
        <f>ROUND(RAND()*4+6,1)</f>
      </c>
      <c r="I7" s="20" t="s">
        <v>25</v>
      </c>
      <c r="J7" s="23">
        <f>ROUND(69*1,0)&amp;"%"</f>
      </c>
    </row>
    <row x14ac:dyDescent="0.25" r="8" customHeight="1" ht="17.25">
      <c r="A8" s="17" t="s">
        <v>3296</v>
      </c>
      <c r="B8" s="17" t="s">
        <v>27</v>
      </c>
      <c r="C8" s="17" t="s">
        <v>15</v>
      </c>
      <c r="D8" s="17" t="s">
        <v>28</v>
      </c>
      <c r="E8" s="18">
        <f>ROUND(9857*1.05,2)</f>
      </c>
      <c r="F8" s="17" t="s">
        <v>29</v>
      </c>
      <c r="G8" s="17" t="s">
        <v>30</v>
      </c>
      <c r="H8" s="18">
        <f>ROUND(RAND()*4+6,1)</f>
      </c>
      <c r="I8" s="17" t="s">
        <v>31</v>
      </c>
      <c r="J8" s="19">
        <f>ROUND(95*1,0)&amp;"%"</f>
      </c>
    </row>
    <row x14ac:dyDescent="0.25" r="9" customHeight="1" ht="17.25">
      <c r="A9" s="20" t="s">
        <v>3297</v>
      </c>
      <c r="B9" s="20" t="s">
        <v>33</v>
      </c>
      <c r="C9" s="20" t="s">
        <v>15</v>
      </c>
      <c r="D9" s="20" t="s">
        <v>34</v>
      </c>
      <c r="E9" s="21">
        <f>ROUND(5414*1.05,2)</f>
      </c>
      <c r="F9" s="20" t="s">
        <v>35</v>
      </c>
      <c r="G9" s="20" t="s">
        <v>18</v>
      </c>
      <c r="H9" s="21">
        <f>ROUND(RAND()*4+6,1)</f>
      </c>
      <c r="I9" s="20" t="s">
        <v>36</v>
      </c>
      <c r="J9" s="23">
        <f>ROUND(69*1,0)&amp;"%"</f>
      </c>
    </row>
    <row x14ac:dyDescent="0.25" r="10" customHeight="1" ht="17.25">
      <c r="A10" s="17" t="s">
        <v>3298</v>
      </c>
      <c r="B10" s="17" t="s">
        <v>38</v>
      </c>
      <c r="C10" s="17" t="s">
        <v>15</v>
      </c>
      <c r="D10" s="17" t="s">
        <v>39</v>
      </c>
      <c r="E10" s="18">
        <f>ROUND(15395*1.05,2)</f>
      </c>
      <c r="F10" s="17" t="s">
        <v>40</v>
      </c>
      <c r="G10" s="17" t="s">
        <v>24</v>
      </c>
      <c r="H10" s="18">
        <f>ROUND(RAND()*4+6,1)</f>
      </c>
      <c r="I10" s="17" t="s">
        <v>41</v>
      </c>
      <c r="J10" s="19">
        <f>ROUND(99*1,0)&amp;"%"</f>
      </c>
    </row>
    <row x14ac:dyDescent="0.25" r="11" customHeight="1" ht="17.25">
      <c r="A11" s="20" t="s">
        <v>3299</v>
      </c>
      <c r="B11" s="20" t="s">
        <v>43</v>
      </c>
      <c r="C11" s="20" t="s">
        <v>15</v>
      </c>
      <c r="D11" s="20" t="s">
        <v>67</v>
      </c>
      <c r="E11" s="21">
        <f>ROUND(16251*1.05,2)</f>
      </c>
      <c r="F11" s="20" t="s">
        <v>44</v>
      </c>
      <c r="G11" s="20" t="s">
        <v>30</v>
      </c>
      <c r="H11" s="21">
        <f>ROUND(RAND()*4+6,1)</f>
      </c>
      <c r="I11" s="20" t="s">
        <v>45</v>
      </c>
      <c r="J11" s="23">
        <f>ROUND(67*1,0)&amp;"%"</f>
      </c>
    </row>
    <row x14ac:dyDescent="0.25" r="12" customHeight="1" ht="17.25">
      <c r="A12" s="17" t="s">
        <v>3300</v>
      </c>
      <c r="B12" s="17" t="s">
        <v>47</v>
      </c>
      <c r="C12" s="17" t="s">
        <v>15</v>
      </c>
      <c r="D12" s="17" t="s">
        <v>16</v>
      </c>
      <c r="E12" s="18">
        <f>ROUND(4162*1.05,2)</f>
      </c>
      <c r="F12" s="17" t="s">
        <v>48</v>
      </c>
      <c r="G12" s="17" t="s">
        <v>18</v>
      </c>
      <c r="H12" s="18">
        <f>ROUND(RAND()*4+6,1)</f>
      </c>
      <c r="I12" s="17" t="s">
        <v>19</v>
      </c>
      <c r="J12" s="19">
        <f>ROUND(63*1,0)&amp;"%"</f>
      </c>
    </row>
    <row x14ac:dyDescent="0.25" r="13" customHeight="1" ht="17.25">
      <c r="A13" s="20" t="s">
        <v>3301</v>
      </c>
      <c r="B13" s="20" t="s">
        <v>50</v>
      </c>
      <c r="C13" s="20" t="s">
        <v>15</v>
      </c>
      <c r="D13" s="20" t="s">
        <v>22</v>
      </c>
      <c r="E13" s="21">
        <f>ROUND(8371*1.05,2)</f>
      </c>
      <c r="F13" s="20" t="s">
        <v>51</v>
      </c>
      <c r="G13" s="20" t="s">
        <v>24</v>
      </c>
      <c r="H13" s="21">
        <f>ROUND(RAND()*4+6,1)</f>
      </c>
      <c r="I13" s="20" t="s">
        <v>25</v>
      </c>
      <c r="J13" s="23">
        <f>ROUND(63*1,0)&amp;"%"</f>
      </c>
    </row>
    <row x14ac:dyDescent="0.25" r="14" customHeight="1" ht="17.25">
      <c r="A14" s="24" t="s">
        <v>52</v>
      </c>
      <c r="B14" s="24"/>
      <c r="C14" s="24"/>
      <c r="D14" s="24"/>
      <c r="E14" s="25">
        <v>8</v>
      </c>
      <c r="F14" s="9"/>
      <c r="G14" s="9"/>
      <c r="H14" s="10"/>
      <c r="I14" s="9"/>
      <c r="J14" s="9"/>
    </row>
    <row x14ac:dyDescent="0.25" r="15" customHeight="1" ht="17.25">
      <c r="A15" s="7"/>
      <c r="B15" s="7"/>
      <c r="C15" s="7"/>
      <c r="D15" s="7"/>
      <c r="E15" s="8"/>
      <c r="F15" s="9"/>
      <c r="G15" s="9"/>
      <c r="H15" s="10"/>
      <c r="I15" s="9"/>
      <c r="J15" s="9"/>
    </row>
    <row x14ac:dyDescent="0.25" r="16" customHeight="1" ht="17.25">
      <c r="A16" s="11" t="s">
        <v>3302</v>
      </c>
      <c r="B16" s="11"/>
      <c r="C16" s="11"/>
      <c r="D16" s="11"/>
      <c r="E16" s="12"/>
      <c r="F16" s="11"/>
      <c r="G16" s="11"/>
      <c r="H16" s="13"/>
      <c r="I16" s="11"/>
      <c r="J16" s="11"/>
    </row>
    <row x14ac:dyDescent="0.25" r="17" customHeight="1" ht="17.25">
      <c r="A17" s="14" t="s">
        <v>3</v>
      </c>
      <c r="B17" s="14" t="s">
        <v>4</v>
      </c>
      <c r="C17" s="14" t="s">
        <v>5</v>
      </c>
      <c r="D17" s="14" t="s">
        <v>6</v>
      </c>
      <c r="E17" s="15" t="s">
        <v>7</v>
      </c>
      <c r="F17" s="14" t="s">
        <v>8</v>
      </c>
      <c r="G17" s="14" t="s">
        <v>9</v>
      </c>
      <c r="H17" s="16" t="s">
        <v>10</v>
      </c>
      <c r="I17" s="14" t="s">
        <v>11</v>
      </c>
      <c r="J17" s="14" t="s">
        <v>12</v>
      </c>
    </row>
    <row x14ac:dyDescent="0.25" r="18" customHeight="1" ht="17.25">
      <c r="A18" s="17" t="s">
        <v>3303</v>
      </c>
      <c r="B18" s="17" t="s">
        <v>55</v>
      </c>
      <c r="C18" s="17" t="s">
        <v>56</v>
      </c>
      <c r="D18" s="17" t="s">
        <v>16</v>
      </c>
      <c r="E18" s="18">
        <f>ROUND(8369*1.05,2)</f>
      </c>
      <c r="F18" s="17" t="s">
        <v>17</v>
      </c>
      <c r="G18" s="17" t="s">
        <v>18</v>
      </c>
      <c r="H18" s="18">
        <f>ROUND(RAND()*4+6,1)</f>
      </c>
      <c r="I18" s="17" t="s">
        <v>19</v>
      </c>
      <c r="J18" s="19">
        <f>ROUND(76*1,0)&amp;"%"</f>
      </c>
    </row>
    <row x14ac:dyDescent="0.25" r="19" customHeight="1" ht="17.25">
      <c r="A19" s="20" t="s">
        <v>3304</v>
      </c>
      <c r="B19" s="20" t="s">
        <v>58</v>
      </c>
      <c r="C19" s="20" t="s">
        <v>56</v>
      </c>
      <c r="D19" s="20" t="s">
        <v>22</v>
      </c>
      <c r="E19" s="21">
        <f>ROUND(11846*1.05,2)</f>
      </c>
      <c r="F19" s="20" t="s">
        <v>23</v>
      </c>
      <c r="G19" s="20" t="s">
        <v>24</v>
      </c>
      <c r="H19" s="22">
        <f>ROUND(RAND()*4+6,1)</f>
      </c>
      <c r="I19" s="20" t="s">
        <v>25</v>
      </c>
      <c r="J19" s="23">
        <f>ROUND(68*1,0)&amp;"%"</f>
      </c>
    </row>
    <row x14ac:dyDescent="0.25" r="20" customHeight="1" ht="17.25">
      <c r="A20" s="17" t="s">
        <v>3305</v>
      </c>
      <c r="B20" s="17" t="s">
        <v>60</v>
      </c>
      <c r="C20" s="17" t="s">
        <v>56</v>
      </c>
      <c r="D20" s="17" t="s">
        <v>28</v>
      </c>
      <c r="E20" s="18">
        <f>ROUND(7697*1.05,2)</f>
      </c>
      <c r="F20" s="17" t="s">
        <v>29</v>
      </c>
      <c r="G20" s="17" t="s">
        <v>30</v>
      </c>
      <c r="H20" s="18">
        <f>ROUND(RAND()*4+6,1)</f>
      </c>
      <c r="I20" s="17" t="s">
        <v>31</v>
      </c>
      <c r="J20" s="19">
        <f>ROUND(86*1,0)&amp;"%"</f>
      </c>
    </row>
    <row x14ac:dyDescent="0.25" r="21" customHeight="1" ht="17.25">
      <c r="A21" s="20" t="s">
        <v>3306</v>
      </c>
      <c r="B21" s="20" t="s">
        <v>62</v>
      </c>
      <c r="C21" s="20" t="s">
        <v>56</v>
      </c>
      <c r="D21" s="20" t="s">
        <v>34</v>
      </c>
      <c r="E21" s="21">
        <f>ROUND(8199*1.05,2)</f>
      </c>
      <c r="F21" s="20" t="s">
        <v>35</v>
      </c>
      <c r="G21" s="20" t="s">
        <v>18</v>
      </c>
      <c r="H21" s="22">
        <f>ROUND(RAND()*4+6,1)</f>
      </c>
      <c r="I21" s="20" t="s">
        <v>36</v>
      </c>
      <c r="J21" s="23">
        <f>ROUND(91*1,0)&amp;"%"</f>
      </c>
    </row>
    <row x14ac:dyDescent="0.25" r="22" customHeight="1" ht="17.25">
      <c r="A22" s="17" t="s">
        <v>3307</v>
      </c>
      <c r="B22" s="17" t="s">
        <v>64</v>
      </c>
      <c r="C22" s="17" t="s">
        <v>56</v>
      </c>
      <c r="D22" s="17" t="s">
        <v>39</v>
      </c>
      <c r="E22" s="18">
        <f>ROUND(8978*1.05,2)</f>
      </c>
      <c r="F22" s="17" t="s">
        <v>40</v>
      </c>
      <c r="G22" s="17" t="s">
        <v>24</v>
      </c>
      <c r="H22" s="18">
        <f>ROUND(RAND()*4+6,1)</f>
      </c>
      <c r="I22" s="17" t="s">
        <v>41</v>
      </c>
      <c r="J22" s="19">
        <f>ROUND(61*1,0)&amp;"%"</f>
      </c>
    </row>
    <row x14ac:dyDescent="0.25" r="23" customHeight="1" ht="17.25">
      <c r="A23" s="20" t="s">
        <v>3308</v>
      </c>
      <c r="B23" s="20" t="s">
        <v>66</v>
      </c>
      <c r="C23" s="20" t="s">
        <v>56</v>
      </c>
      <c r="D23" s="20" t="s">
        <v>67</v>
      </c>
      <c r="E23" s="21">
        <f>ROUND(4472*1.05,2)</f>
      </c>
      <c r="F23" s="20" t="s">
        <v>44</v>
      </c>
      <c r="G23" s="20" t="s">
        <v>30</v>
      </c>
      <c r="H23" s="21">
        <f>ROUND(RAND()*4+6,1)</f>
      </c>
      <c r="I23" s="20" t="s">
        <v>45</v>
      </c>
      <c r="J23" s="23">
        <f>ROUND(93*1,0)&amp;"%"</f>
      </c>
    </row>
    <row x14ac:dyDescent="0.25" r="24" customHeight="1" ht="17.25">
      <c r="A24" s="17" t="s">
        <v>3309</v>
      </c>
      <c r="B24" s="17" t="s">
        <v>69</v>
      </c>
      <c r="C24" s="17" t="s">
        <v>56</v>
      </c>
      <c r="D24" s="17" t="s">
        <v>16</v>
      </c>
      <c r="E24" s="18">
        <f>ROUND(17569*1.05,2)</f>
      </c>
      <c r="F24" s="17" t="s">
        <v>48</v>
      </c>
      <c r="G24" s="17" t="s">
        <v>18</v>
      </c>
      <c r="H24" s="18">
        <f>ROUND(RAND()*4+6,1)</f>
      </c>
      <c r="I24" s="17" t="s">
        <v>19</v>
      </c>
      <c r="J24" s="19">
        <f>ROUND(81*1,0)&amp;"%"</f>
      </c>
    </row>
    <row x14ac:dyDescent="0.25" r="25" customHeight="1" ht="17.25">
      <c r="A25" s="20" t="s">
        <v>3310</v>
      </c>
      <c r="B25" s="20" t="s">
        <v>71</v>
      </c>
      <c r="C25" s="20" t="s">
        <v>56</v>
      </c>
      <c r="D25" s="20" t="s">
        <v>22</v>
      </c>
      <c r="E25" s="22">
        <f>ROUND(4900*1.05,2)</f>
      </c>
      <c r="F25" s="20" t="s">
        <v>51</v>
      </c>
      <c r="G25" s="20" t="s">
        <v>24</v>
      </c>
      <c r="H25" s="21">
        <f>ROUND(RAND()*4+6,1)</f>
      </c>
      <c r="I25" s="20" t="s">
        <v>25</v>
      </c>
      <c r="J25" s="23">
        <f>ROUND(96*1,0)&amp;"%"</f>
      </c>
    </row>
    <row x14ac:dyDescent="0.25" r="26" customHeight="1" ht="17.25">
      <c r="A26" s="24" t="s">
        <v>72</v>
      </c>
      <c r="B26" s="24"/>
      <c r="C26" s="24"/>
      <c r="D26" s="24"/>
      <c r="E26" s="25">
        <v>8</v>
      </c>
      <c r="F26" s="9"/>
      <c r="G26" s="9"/>
      <c r="H26" s="10"/>
      <c r="I26" s="9"/>
      <c r="J26" s="9"/>
    </row>
    <row x14ac:dyDescent="0.25" r="27" customHeight="1" ht="17.25">
      <c r="A27" s="7"/>
      <c r="B27" s="7"/>
      <c r="C27" s="7"/>
      <c r="D27" s="7"/>
      <c r="E27" s="8"/>
      <c r="F27" s="9"/>
      <c r="G27" s="9"/>
      <c r="H27" s="10"/>
      <c r="I27" s="9"/>
      <c r="J27" s="9"/>
    </row>
    <row x14ac:dyDescent="0.25" r="28" customHeight="1" ht="17.25">
      <c r="A28" s="11" t="s">
        <v>3311</v>
      </c>
      <c r="B28" s="11"/>
      <c r="C28" s="11"/>
      <c r="D28" s="11"/>
      <c r="E28" s="12"/>
      <c r="F28" s="11"/>
      <c r="G28" s="11"/>
      <c r="H28" s="13"/>
      <c r="I28" s="11"/>
      <c r="J28" s="11"/>
    </row>
    <row x14ac:dyDescent="0.25" r="29" customHeight="1" ht="17.25">
      <c r="A29" s="14" t="s">
        <v>3</v>
      </c>
      <c r="B29" s="14" t="s">
        <v>4</v>
      </c>
      <c r="C29" s="14" t="s">
        <v>5</v>
      </c>
      <c r="D29" s="14" t="s">
        <v>6</v>
      </c>
      <c r="E29" s="15" t="s">
        <v>7</v>
      </c>
      <c r="F29" s="14" t="s">
        <v>8</v>
      </c>
      <c r="G29" s="14" t="s">
        <v>9</v>
      </c>
      <c r="H29" s="16" t="s">
        <v>10</v>
      </c>
      <c r="I29" s="14" t="s">
        <v>11</v>
      </c>
      <c r="J29" s="14" t="s">
        <v>12</v>
      </c>
    </row>
    <row x14ac:dyDescent="0.25" r="30" customHeight="1" ht="17.25">
      <c r="A30" s="17" t="s">
        <v>3312</v>
      </c>
      <c r="B30" s="17" t="s">
        <v>75</v>
      </c>
      <c r="C30" s="17" t="s">
        <v>76</v>
      </c>
      <c r="D30" s="17" t="s">
        <v>16</v>
      </c>
      <c r="E30" s="26">
        <f>ROUND(14660*1.05,2)</f>
      </c>
      <c r="F30" s="17" t="s">
        <v>17</v>
      </c>
      <c r="G30" s="17" t="s">
        <v>18</v>
      </c>
      <c r="H30" s="18">
        <f>ROUND(RAND()*4+6,1)</f>
      </c>
      <c r="I30" s="17" t="s">
        <v>19</v>
      </c>
      <c r="J30" s="19">
        <f>ROUND(68*1,0)&amp;"%"</f>
      </c>
    </row>
    <row x14ac:dyDescent="0.25" r="31" customHeight="1" ht="17.25">
      <c r="A31" s="20" t="s">
        <v>3313</v>
      </c>
      <c r="B31" s="20" t="s">
        <v>78</v>
      </c>
      <c r="C31" s="20" t="s">
        <v>76</v>
      </c>
      <c r="D31" s="20" t="s">
        <v>22</v>
      </c>
      <c r="E31" s="21">
        <f>ROUND(6996*1.05,2)</f>
      </c>
      <c r="F31" s="20" t="s">
        <v>23</v>
      </c>
      <c r="G31" s="20" t="s">
        <v>24</v>
      </c>
      <c r="H31" s="21">
        <f>ROUND(RAND()*4+6,1)</f>
      </c>
      <c r="I31" s="20" t="s">
        <v>25</v>
      </c>
      <c r="J31" s="23">
        <f>ROUND(67*1,0)&amp;"%"</f>
      </c>
    </row>
    <row x14ac:dyDescent="0.25" r="32" customHeight="1" ht="17.25">
      <c r="A32" s="17" t="s">
        <v>3314</v>
      </c>
      <c r="B32" s="17" t="s">
        <v>80</v>
      </c>
      <c r="C32" s="17" t="s">
        <v>76</v>
      </c>
      <c r="D32" s="17" t="s">
        <v>28</v>
      </c>
      <c r="E32" s="26">
        <f>ROUND(9780*1.05,2)</f>
      </c>
      <c r="F32" s="17" t="s">
        <v>29</v>
      </c>
      <c r="G32" s="17" t="s">
        <v>30</v>
      </c>
      <c r="H32" s="18">
        <f>ROUND(RAND()*4+6,1)</f>
      </c>
      <c r="I32" s="17" t="s">
        <v>31</v>
      </c>
      <c r="J32" s="19">
        <f>ROUND(63*1,0)&amp;"%"</f>
      </c>
    </row>
    <row x14ac:dyDescent="0.25" r="33" customHeight="1" ht="17.25">
      <c r="A33" s="20" t="s">
        <v>3315</v>
      </c>
      <c r="B33" s="20" t="s">
        <v>82</v>
      </c>
      <c r="C33" s="20" t="s">
        <v>76</v>
      </c>
      <c r="D33" s="20" t="s">
        <v>34</v>
      </c>
      <c r="E33" s="21">
        <f>ROUND(12661*1.05,2)</f>
      </c>
      <c r="F33" s="20" t="s">
        <v>35</v>
      </c>
      <c r="G33" s="20" t="s">
        <v>18</v>
      </c>
      <c r="H33" s="21">
        <f>ROUND(RAND()*4+6,1)</f>
      </c>
      <c r="I33" s="20" t="s">
        <v>36</v>
      </c>
      <c r="J33" s="23">
        <f>ROUND(100*1,0)&amp;"%"</f>
      </c>
    </row>
    <row x14ac:dyDescent="0.25" r="34" customHeight="1" ht="17.25">
      <c r="A34" s="17" t="s">
        <v>3316</v>
      </c>
      <c r="B34" s="17" t="s">
        <v>84</v>
      </c>
      <c r="C34" s="17" t="s">
        <v>76</v>
      </c>
      <c r="D34" s="17" t="s">
        <v>39</v>
      </c>
      <c r="E34" s="18">
        <f>ROUND(11886*1.05,2)</f>
      </c>
      <c r="F34" s="17" t="s">
        <v>40</v>
      </c>
      <c r="G34" s="17" t="s">
        <v>24</v>
      </c>
      <c r="H34" s="18">
        <f>ROUND(RAND()*4+6,1)</f>
      </c>
      <c r="I34" s="17" t="s">
        <v>41</v>
      </c>
      <c r="J34" s="19">
        <f>ROUND(96*1,0)&amp;"%"</f>
      </c>
    </row>
    <row x14ac:dyDescent="0.25" r="35" customHeight="1" ht="17.25">
      <c r="A35" s="20" t="s">
        <v>3317</v>
      </c>
      <c r="B35" s="20" t="s">
        <v>86</v>
      </c>
      <c r="C35" s="20" t="s">
        <v>76</v>
      </c>
      <c r="D35" s="20" t="s">
        <v>67</v>
      </c>
      <c r="E35" s="21">
        <f>ROUND(8706*1.05,2)</f>
      </c>
      <c r="F35" s="20" t="s">
        <v>44</v>
      </c>
      <c r="G35" s="20" t="s">
        <v>30</v>
      </c>
      <c r="H35" s="21">
        <f>ROUND(RAND()*4+6,1)</f>
      </c>
      <c r="I35" s="20" t="s">
        <v>45</v>
      </c>
      <c r="J35" s="23">
        <f>ROUND(91*1,0)&amp;"%"</f>
      </c>
    </row>
    <row x14ac:dyDescent="0.25" r="36" customHeight="1" ht="17.25">
      <c r="A36" s="17" t="s">
        <v>3318</v>
      </c>
      <c r="B36" s="17" t="s">
        <v>88</v>
      </c>
      <c r="C36" s="17" t="s">
        <v>76</v>
      </c>
      <c r="D36" s="17" t="s">
        <v>16</v>
      </c>
      <c r="E36" s="18">
        <f>ROUND(5094*1.05,2)</f>
      </c>
      <c r="F36" s="17" t="s">
        <v>48</v>
      </c>
      <c r="G36" s="17" t="s">
        <v>18</v>
      </c>
      <c r="H36" s="18">
        <f>ROUND(RAND()*4+6,1)</f>
      </c>
      <c r="I36" s="17" t="s">
        <v>19</v>
      </c>
      <c r="J36" s="19">
        <f>ROUND(83*1,0)&amp;"%"</f>
      </c>
    </row>
    <row x14ac:dyDescent="0.25" r="37" customHeight="1" ht="17.25">
      <c r="A37" s="20" t="s">
        <v>3319</v>
      </c>
      <c r="B37" s="20" t="s">
        <v>90</v>
      </c>
      <c r="C37" s="20" t="s">
        <v>76</v>
      </c>
      <c r="D37" s="20" t="s">
        <v>22</v>
      </c>
      <c r="E37" s="21">
        <f>ROUND(9943*1.05,2)</f>
      </c>
      <c r="F37" s="20" t="s">
        <v>51</v>
      </c>
      <c r="G37" s="20" t="s">
        <v>24</v>
      </c>
      <c r="H37" s="21">
        <f>ROUND(RAND()*4+6,1)</f>
      </c>
      <c r="I37" s="20" t="s">
        <v>25</v>
      </c>
      <c r="J37" s="23">
        <f>ROUND(62*1,0)&amp;"%"</f>
      </c>
    </row>
    <row x14ac:dyDescent="0.25" r="38" customHeight="1" ht="17.25">
      <c r="A38" s="24" t="s">
        <v>91</v>
      </c>
      <c r="B38" s="24"/>
      <c r="C38" s="24"/>
      <c r="D38" s="24"/>
      <c r="E38" s="25">
        <v>8</v>
      </c>
      <c r="F38" s="9"/>
      <c r="G38" s="9"/>
      <c r="H38" s="10"/>
      <c r="I38" s="9"/>
      <c r="J38" s="9"/>
    </row>
    <row x14ac:dyDescent="0.25" r="39" customHeight="1" ht="17.25">
      <c r="A39" s="7"/>
      <c r="B39" s="7"/>
      <c r="C39" s="7"/>
      <c r="D39" s="7"/>
      <c r="E39" s="8"/>
      <c r="F39" s="9"/>
      <c r="G39" s="9"/>
      <c r="H39" s="10"/>
      <c r="I39" s="9"/>
      <c r="J39" s="9"/>
    </row>
    <row x14ac:dyDescent="0.25" r="40" customHeight="1" ht="17.25">
      <c r="A40" s="11" t="s">
        <v>3320</v>
      </c>
      <c r="B40" s="11"/>
      <c r="C40" s="11"/>
      <c r="D40" s="11"/>
      <c r="E40" s="12"/>
      <c r="F40" s="11"/>
      <c r="G40" s="11"/>
      <c r="H40" s="13"/>
      <c r="I40" s="11"/>
      <c r="J40" s="11"/>
    </row>
    <row x14ac:dyDescent="0.25" r="41" customHeight="1" ht="17.25">
      <c r="A41" s="14" t="s">
        <v>3</v>
      </c>
      <c r="B41" s="14" t="s">
        <v>4</v>
      </c>
      <c r="C41" s="14" t="s">
        <v>5</v>
      </c>
      <c r="D41" s="14" t="s">
        <v>6</v>
      </c>
      <c r="E41" s="15" t="s">
        <v>7</v>
      </c>
      <c r="F41" s="14" t="s">
        <v>8</v>
      </c>
      <c r="G41" s="14" t="s">
        <v>9</v>
      </c>
      <c r="H41" s="16" t="s">
        <v>10</v>
      </c>
      <c r="I41" s="14" t="s">
        <v>11</v>
      </c>
      <c r="J41" s="14" t="s">
        <v>12</v>
      </c>
    </row>
    <row x14ac:dyDescent="0.25" r="42" customHeight="1" ht="17.25">
      <c r="A42" s="17" t="s">
        <v>3321</v>
      </c>
      <c r="B42" s="17" t="s">
        <v>94</v>
      </c>
      <c r="C42" s="17" t="s">
        <v>95</v>
      </c>
      <c r="D42" s="17" t="s">
        <v>16</v>
      </c>
      <c r="E42" s="18">
        <f>ROUND(5554*1.05,2)</f>
      </c>
      <c r="F42" s="17" t="s">
        <v>17</v>
      </c>
      <c r="G42" s="17" t="s">
        <v>18</v>
      </c>
      <c r="H42" s="18">
        <f>ROUND(RAND()*4+6,1)</f>
      </c>
      <c r="I42" s="17" t="s">
        <v>19</v>
      </c>
      <c r="J42" s="19">
        <f>ROUND(78*1,0)&amp;"%"</f>
      </c>
    </row>
    <row x14ac:dyDescent="0.25" r="43" customHeight="1" ht="17.25">
      <c r="A43" s="20" t="s">
        <v>3322</v>
      </c>
      <c r="B43" s="20" t="s">
        <v>97</v>
      </c>
      <c r="C43" s="20" t="s">
        <v>95</v>
      </c>
      <c r="D43" s="20" t="s">
        <v>22</v>
      </c>
      <c r="E43" s="21">
        <f>ROUND(14132*1.05,2)</f>
      </c>
      <c r="F43" s="20" t="s">
        <v>23</v>
      </c>
      <c r="G43" s="20" t="s">
        <v>24</v>
      </c>
      <c r="H43" s="21">
        <f>ROUND(RAND()*4+6,1)</f>
      </c>
      <c r="I43" s="20" t="s">
        <v>25</v>
      </c>
      <c r="J43" s="23">
        <f>ROUND(87*1,0)&amp;"%"</f>
      </c>
    </row>
    <row x14ac:dyDescent="0.25" r="44" customHeight="1" ht="17.25">
      <c r="A44" s="17" t="s">
        <v>3323</v>
      </c>
      <c r="B44" s="17" t="s">
        <v>99</v>
      </c>
      <c r="C44" s="17" t="s">
        <v>95</v>
      </c>
      <c r="D44" s="17" t="s">
        <v>28</v>
      </c>
      <c r="E44" s="18">
        <f>ROUND(11744*1.05,2)</f>
      </c>
      <c r="F44" s="17" t="s">
        <v>29</v>
      </c>
      <c r="G44" s="17" t="s">
        <v>30</v>
      </c>
      <c r="H44" s="26">
        <f>ROUND(RAND()*4+6,1)</f>
      </c>
      <c r="I44" s="17" t="s">
        <v>31</v>
      </c>
      <c r="J44" s="19">
        <f>ROUND(77*1,0)&amp;"%"</f>
      </c>
    </row>
    <row x14ac:dyDescent="0.25" r="45" customHeight="1" ht="17.25">
      <c r="A45" s="20" t="s">
        <v>3324</v>
      </c>
      <c r="B45" s="20" t="s">
        <v>101</v>
      </c>
      <c r="C45" s="20" t="s">
        <v>95</v>
      </c>
      <c r="D45" s="20" t="s">
        <v>34</v>
      </c>
      <c r="E45" s="22">
        <f>ROUND(10180*1.05,2)</f>
      </c>
      <c r="F45" s="20" t="s">
        <v>35</v>
      </c>
      <c r="G45" s="20" t="s">
        <v>18</v>
      </c>
      <c r="H45" s="22">
        <f>ROUND(RAND()*4+6,1)</f>
      </c>
      <c r="I45" s="20" t="s">
        <v>36</v>
      </c>
      <c r="J45" s="23">
        <f>ROUND(73*1,0)&amp;"%"</f>
      </c>
    </row>
    <row x14ac:dyDescent="0.25" r="46" customHeight="1" ht="17.25">
      <c r="A46" s="17" t="s">
        <v>3325</v>
      </c>
      <c r="B46" s="17" t="s">
        <v>103</v>
      </c>
      <c r="C46" s="17" t="s">
        <v>95</v>
      </c>
      <c r="D46" s="17" t="s">
        <v>39</v>
      </c>
      <c r="E46" s="18">
        <f>ROUND(9218*1.05,2)</f>
      </c>
      <c r="F46" s="17" t="s">
        <v>40</v>
      </c>
      <c r="G46" s="17" t="s">
        <v>24</v>
      </c>
      <c r="H46" s="18">
        <f>ROUND(RAND()*4+6,1)</f>
      </c>
      <c r="I46" s="17" t="s">
        <v>41</v>
      </c>
      <c r="J46" s="19">
        <f>ROUND(98*1,0)&amp;"%"</f>
      </c>
    </row>
    <row x14ac:dyDescent="0.25" r="47" customHeight="1" ht="17.25">
      <c r="A47" s="20" t="s">
        <v>3326</v>
      </c>
      <c r="B47" s="20" t="s">
        <v>105</v>
      </c>
      <c r="C47" s="20" t="s">
        <v>95</v>
      </c>
      <c r="D47" s="20" t="s">
        <v>67</v>
      </c>
      <c r="E47" s="21">
        <f>ROUND(10128*1.05,2)</f>
      </c>
      <c r="F47" s="20" t="s">
        <v>44</v>
      </c>
      <c r="G47" s="20" t="s">
        <v>30</v>
      </c>
      <c r="H47" s="21">
        <f>ROUND(RAND()*4+6,1)</f>
      </c>
      <c r="I47" s="20" t="s">
        <v>45</v>
      </c>
      <c r="J47" s="23">
        <f>ROUND(88*1,0)&amp;"%"</f>
      </c>
    </row>
    <row x14ac:dyDescent="0.25" r="48" customHeight="1" ht="17.25">
      <c r="A48" s="17" t="s">
        <v>3327</v>
      </c>
      <c r="B48" s="17" t="s">
        <v>107</v>
      </c>
      <c r="C48" s="17" t="s">
        <v>95</v>
      </c>
      <c r="D48" s="17" t="s">
        <v>16</v>
      </c>
      <c r="E48" s="18">
        <f>ROUND(12430*1.05,2)</f>
      </c>
      <c r="F48" s="17" t="s">
        <v>48</v>
      </c>
      <c r="G48" s="17" t="s">
        <v>18</v>
      </c>
      <c r="H48" s="18">
        <f>ROUND(RAND()*4+6,1)</f>
      </c>
      <c r="I48" s="17" t="s">
        <v>19</v>
      </c>
      <c r="J48" s="19">
        <f>ROUND(68*1,0)&amp;"%"</f>
      </c>
    </row>
    <row x14ac:dyDescent="0.25" r="49" customHeight="1" ht="17.25">
      <c r="A49" s="20" t="s">
        <v>3328</v>
      </c>
      <c r="B49" s="20" t="s">
        <v>109</v>
      </c>
      <c r="C49" s="20" t="s">
        <v>95</v>
      </c>
      <c r="D49" s="20" t="s">
        <v>22</v>
      </c>
      <c r="E49" s="21">
        <f>ROUND(6097*1.05,2)</f>
      </c>
      <c r="F49" s="20" t="s">
        <v>51</v>
      </c>
      <c r="G49" s="20" t="s">
        <v>24</v>
      </c>
      <c r="H49" s="21">
        <f>ROUND(RAND()*4+6,1)</f>
      </c>
      <c r="I49" s="20" t="s">
        <v>25</v>
      </c>
      <c r="J49" s="23">
        <f>ROUND(86*1,0)&amp;"%"</f>
      </c>
    </row>
    <row x14ac:dyDescent="0.25" r="50" customHeight="1" ht="17.25">
      <c r="A50" s="24" t="s">
        <v>110</v>
      </c>
      <c r="B50" s="24"/>
      <c r="C50" s="24"/>
      <c r="D50" s="24"/>
      <c r="E50" s="25">
        <v>8</v>
      </c>
      <c r="F50" s="9"/>
      <c r="G50" s="9"/>
      <c r="H50" s="10"/>
      <c r="I50" s="9"/>
      <c r="J50" s="9"/>
    </row>
    <row x14ac:dyDescent="0.25" r="51" customHeight="1" ht="17.25">
      <c r="A51" s="7"/>
      <c r="B51" s="7"/>
      <c r="C51" s="7"/>
      <c r="D51" s="7"/>
      <c r="E51" s="8"/>
      <c r="F51" s="9"/>
      <c r="G51" s="9"/>
      <c r="H51" s="10"/>
      <c r="I51" s="9"/>
      <c r="J51" s="9"/>
    </row>
    <row x14ac:dyDescent="0.25" r="52" customHeight="1" ht="17.25">
      <c r="A52" s="11" t="s">
        <v>3329</v>
      </c>
      <c r="B52" s="11"/>
      <c r="C52" s="11"/>
      <c r="D52" s="11"/>
      <c r="E52" s="12"/>
      <c r="F52" s="11"/>
      <c r="G52" s="11"/>
      <c r="H52" s="13"/>
      <c r="I52" s="11"/>
      <c r="J52" s="11"/>
    </row>
    <row x14ac:dyDescent="0.25" r="53" customHeight="1" ht="17.25">
      <c r="A53" s="14" t="s">
        <v>3</v>
      </c>
      <c r="B53" s="14" t="s">
        <v>4</v>
      </c>
      <c r="C53" s="14" t="s">
        <v>5</v>
      </c>
      <c r="D53" s="14" t="s">
        <v>6</v>
      </c>
      <c r="E53" s="15" t="s">
        <v>7</v>
      </c>
      <c r="F53" s="14" t="s">
        <v>8</v>
      </c>
      <c r="G53" s="14" t="s">
        <v>9</v>
      </c>
      <c r="H53" s="16" t="s">
        <v>10</v>
      </c>
      <c r="I53" s="14" t="s">
        <v>11</v>
      </c>
      <c r="J53" s="14" t="s">
        <v>12</v>
      </c>
    </row>
    <row x14ac:dyDescent="0.25" r="54" customHeight="1" ht="17.25">
      <c r="A54" s="17" t="s">
        <v>3330</v>
      </c>
      <c r="B54" s="17" t="s">
        <v>113</v>
      </c>
      <c r="C54" s="17" t="s">
        <v>114</v>
      </c>
      <c r="D54" s="17" t="s">
        <v>16</v>
      </c>
      <c r="E54" s="18">
        <f>ROUND(5245*1.05,2)</f>
      </c>
      <c r="F54" s="17" t="s">
        <v>17</v>
      </c>
      <c r="G54" s="17" t="s">
        <v>18</v>
      </c>
      <c r="H54" s="18">
        <f>ROUND(RAND()*4+6,1)</f>
      </c>
      <c r="I54" s="17" t="s">
        <v>19</v>
      </c>
      <c r="J54" s="19">
        <f>ROUND(85*1,0)&amp;"%"</f>
      </c>
    </row>
    <row x14ac:dyDescent="0.25" r="55" customHeight="1" ht="17.25">
      <c r="A55" s="20" t="s">
        <v>3331</v>
      </c>
      <c r="B55" s="20" t="s">
        <v>116</v>
      </c>
      <c r="C55" s="20" t="s">
        <v>114</v>
      </c>
      <c r="D55" s="20" t="s">
        <v>22</v>
      </c>
      <c r="E55" s="21">
        <f>ROUND(9573*1.05,2)</f>
      </c>
      <c r="F55" s="20" t="s">
        <v>23</v>
      </c>
      <c r="G55" s="20" t="s">
        <v>24</v>
      </c>
      <c r="H55" s="21">
        <f>ROUND(RAND()*4+6,1)</f>
      </c>
      <c r="I55" s="20" t="s">
        <v>25</v>
      </c>
      <c r="J55" s="23">
        <f>ROUND(100*1,0)&amp;"%"</f>
      </c>
    </row>
    <row x14ac:dyDescent="0.25" r="56" customHeight="1" ht="17.25">
      <c r="A56" s="17" t="s">
        <v>3332</v>
      </c>
      <c r="B56" s="17" t="s">
        <v>118</v>
      </c>
      <c r="C56" s="17" t="s">
        <v>114</v>
      </c>
      <c r="D56" s="17" t="s">
        <v>28</v>
      </c>
      <c r="E56" s="18">
        <f>ROUND(12676*1.05,2)</f>
      </c>
      <c r="F56" s="17" t="s">
        <v>29</v>
      </c>
      <c r="G56" s="17" t="s">
        <v>30</v>
      </c>
      <c r="H56" s="18">
        <f>ROUND(RAND()*4+6,1)</f>
      </c>
      <c r="I56" s="17" t="s">
        <v>31</v>
      </c>
      <c r="J56" s="19">
        <f>ROUND(69*1,0)&amp;"%"</f>
      </c>
    </row>
    <row x14ac:dyDescent="0.25" r="57" customHeight="1" ht="17.25">
      <c r="A57" s="20" t="s">
        <v>3333</v>
      </c>
      <c r="B57" s="20" t="s">
        <v>120</v>
      </c>
      <c r="C57" s="20" t="s">
        <v>114</v>
      </c>
      <c r="D57" s="20" t="s">
        <v>34</v>
      </c>
      <c r="E57" s="21">
        <f>ROUND(9277*1.05,2)</f>
      </c>
      <c r="F57" s="20" t="s">
        <v>35</v>
      </c>
      <c r="G57" s="20" t="s">
        <v>18</v>
      </c>
      <c r="H57" s="21">
        <f>ROUND(RAND()*4+6,1)</f>
      </c>
      <c r="I57" s="20" t="s">
        <v>36</v>
      </c>
      <c r="J57" s="23">
        <f>ROUND(63*1,0)&amp;"%"</f>
      </c>
    </row>
    <row x14ac:dyDescent="0.25" r="58" customHeight="1" ht="17.25">
      <c r="A58" s="17" t="s">
        <v>3334</v>
      </c>
      <c r="B58" s="17" t="s">
        <v>122</v>
      </c>
      <c r="C58" s="17" t="s">
        <v>114</v>
      </c>
      <c r="D58" s="17" t="s">
        <v>39</v>
      </c>
      <c r="E58" s="18">
        <f>ROUND(4542*1.05,2)</f>
      </c>
      <c r="F58" s="17" t="s">
        <v>40</v>
      </c>
      <c r="G58" s="17" t="s">
        <v>24</v>
      </c>
      <c r="H58" s="18">
        <f>ROUND(RAND()*4+6,1)</f>
      </c>
      <c r="I58" s="17" t="s">
        <v>41</v>
      </c>
      <c r="J58" s="19">
        <f>ROUND(63*1,0)&amp;"%"</f>
      </c>
    </row>
    <row x14ac:dyDescent="0.25" r="59" customHeight="1" ht="17.25">
      <c r="A59" s="20" t="s">
        <v>3335</v>
      </c>
      <c r="B59" s="20" t="s">
        <v>124</v>
      </c>
      <c r="C59" s="20" t="s">
        <v>114</v>
      </c>
      <c r="D59" s="20" t="s">
        <v>67</v>
      </c>
      <c r="E59" s="21">
        <f>ROUND(5957*1.05,2)</f>
      </c>
      <c r="F59" s="20" t="s">
        <v>44</v>
      </c>
      <c r="G59" s="20" t="s">
        <v>30</v>
      </c>
      <c r="H59" s="21">
        <f>ROUND(RAND()*4+6,1)</f>
      </c>
      <c r="I59" s="20" t="s">
        <v>45</v>
      </c>
      <c r="J59" s="23">
        <f>ROUND(74*1,0)&amp;"%"</f>
      </c>
    </row>
    <row x14ac:dyDescent="0.25" r="60" customHeight="1" ht="17.25">
      <c r="A60" s="17" t="s">
        <v>3336</v>
      </c>
      <c r="B60" s="17" t="s">
        <v>126</v>
      </c>
      <c r="C60" s="17" t="s">
        <v>114</v>
      </c>
      <c r="D60" s="17" t="s">
        <v>16</v>
      </c>
      <c r="E60" s="18">
        <f>ROUND(8570*1.05,2)</f>
      </c>
      <c r="F60" s="17" t="s">
        <v>48</v>
      </c>
      <c r="G60" s="17" t="s">
        <v>18</v>
      </c>
      <c r="H60" s="18">
        <f>ROUND(RAND()*4+6,1)</f>
      </c>
      <c r="I60" s="17" t="s">
        <v>19</v>
      </c>
      <c r="J60" s="19">
        <f>ROUND(68*1,0)&amp;"%"</f>
      </c>
    </row>
    <row x14ac:dyDescent="0.25" r="61" customHeight="1" ht="17.25">
      <c r="A61" s="20" t="s">
        <v>3337</v>
      </c>
      <c r="B61" s="20" t="s">
        <v>128</v>
      </c>
      <c r="C61" s="20" t="s">
        <v>114</v>
      </c>
      <c r="D61" s="20" t="s">
        <v>22</v>
      </c>
      <c r="E61" s="21">
        <f>ROUND(9556*1.05,2)</f>
      </c>
      <c r="F61" s="20" t="s">
        <v>51</v>
      </c>
      <c r="G61" s="20" t="s">
        <v>24</v>
      </c>
      <c r="H61" s="21">
        <f>ROUND(RAND()*4+6,1)</f>
      </c>
      <c r="I61" s="20" t="s">
        <v>25</v>
      </c>
      <c r="J61" s="23">
        <f>ROUND(87*1,0)&amp;"%"</f>
      </c>
    </row>
    <row x14ac:dyDescent="0.25" r="62" customHeight="1" ht="17.25">
      <c r="A62" s="24" t="s">
        <v>129</v>
      </c>
      <c r="B62" s="24"/>
      <c r="C62" s="24"/>
      <c r="D62" s="24"/>
      <c r="E62" s="25">
        <v>8</v>
      </c>
      <c r="F62" s="9"/>
      <c r="G62" s="9"/>
      <c r="H62" s="10"/>
      <c r="I62" s="9"/>
      <c r="J62" s="9"/>
    </row>
    <row x14ac:dyDescent="0.25" r="63" customHeight="1" ht="17.25">
      <c r="A63" s="7"/>
      <c r="B63" s="7"/>
      <c r="C63" s="7"/>
      <c r="D63" s="7"/>
      <c r="E63" s="8"/>
      <c r="F63" s="9"/>
      <c r="G63" s="9"/>
      <c r="H63" s="10"/>
      <c r="I63" s="9"/>
      <c r="J63" s="9"/>
    </row>
    <row x14ac:dyDescent="0.25" r="64" customHeight="1" ht="17.25">
      <c r="A64" s="11" t="s">
        <v>3338</v>
      </c>
      <c r="B64" s="11"/>
      <c r="C64" s="11"/>
      <c r="D64" s="11"/>
      <c r="E64" s="12"/>
      <c r="F64" s="11"/>
      <c r="G64" s="11"/>
      <c r="H64" s="13"/>
      <c r="I64" s="11"/>
      <c r="J64" s="11"/>
    </row>
    <row x14ac:dyDescent="0.25" r="65" customHeight="1" ht="17.25">
      <c r="A65" s="14" t="s">
        <v>3</v>
      </c>
      <c r="B65" s="14" t="s">
        <v>4</v>
      </c>
      <c r="C65" s="14" t="s">
        <v>5</v>
      </c>
      <c r="D65" s="14" t="s">
        <v>6</v>
      </c>
      <c r="E65" s="15" t="s">
        <v>7</v>
      </c>
      <c r="F65" s="14" t="s">
        <v>8</v>
      </c>
      <c r="G65" s="14" t="s">
        <v>9</v>
      </c>
      <c r="H65" s="16" t="s">
        <v>10</v>
      </c>
      <c r="I65" s="14" t="s">
        <v>11</v>
      </c>
      <c r="J65" s="14" t="s">
        <v>12</v>
      </c>
    </row>
    <row x14ac:dyDescent="0.25" r="66" customHeight="1" ht="17.25">
      <c r="A66" s="17" t="s">
        <v>3339</v>
      </c>
      <c r="B66" s="17" t="s">
        <v>132</v>
      </c>
      <c r="C66" s="17" t="s">
        <v>133</v>
      </c>
      <c r="D66" s="17" t="s">
        <v>16</v>
      </c>
      <c r="E66" s="18">
        <f>ROUND(12490*1.05,2)</f>
      </c>
      <c r="F66" s="17" t="s">
        <v>17</v>
      </c>
      <c r="G66" s="17" t="s">
        <v>18</v>
      </c>
      <c r="H66" s="18">
        <f>ROUND(RAND()*4+6,1)</f>
      </c>
      <c r="I66" s="17" t="s">
        <v>19</v>
      </c>
      <c r="J66" s="19">
        <f>ROUND(96*1,0)&amp;"%"</f>
      </c>
    </row>
    <row x14ac:dyDescent="0.25" r="67" customHeight="1" ht="17.25">
      <c r="A67" s="20" t="s">
        <v>3340</v>
      </c>
      <c r="B67" s="20" t="s">
        <v>135</v>
      </c>
      <c r="C67" s="20" t="s">
        <v>133</v>
      </c>
      <c r="D67" s="20" t="s">
        <v>22</v>
      </c>
      <c r="E67" s="21">
        <f>ROUND(15627*1.05,2)</f>
      </c>
      <c r="F67" s="20" t="s">
        <v>23</v>
      </c>
      <c r="G67" s="20" t="s">
        <v>24</v>
      </c>
      <c r="H67" s="21">
        <f>ROUND(RAND()*4+6,1)</f>
      </c>
      <c r="I67" s="20" t="s">
        <v>25</v>
      </c>
      <c r="J67" s="23">
        <f>ROUND(78*1,0)&amp;"%"</f>
      </c>
    </row>
    <row x14ac:dyDescent="0.25" r="68" customHeight="1" ht="17.25">
      <c r="A68" s="17" t="s">
        <v>3341</v>
      </c>
      <c r="B68" s="17" t="s">
        <v>137</v>
      </c>
      <c r="C68" s="17" t="s">
        <v>133</v>
      </c>
      <c r="D68" s="17" t="s">
        <v>28</v>
      </c>
      <c r="E68" s="18">
        <f>ROUND(13236*1.05,2)</f>
      </c>
      <c r="F68" s="17" t="s">
        <v>29</v>
      </c>
      <c r="G68" s="17" t="s">
        <v>30</v>
      </c>
      <c r="H68" s="18">
        <f>ROUND(RAND()*4+6,1)</f>
      </c>
      <c r="I68" s="17" t="s">
        <v>31</v>
      </c>
      <c r="J68" s="19">
        <f>ROUND(74*1,0)&amp;"%"</f>
      </c>
    </row>
    <row x14ac:dyDescent="0.25" r="69" customHeight="1" ht="17.25">
      <c r="A69" s="20" t="s">
        <v>3342</v>
      </c>
      <c r="B69" s="20" t="s">
        <v>139</v>
      </c>
      <c r="C69" s="20" t="s">
        <v>133</v>
      </c>
      <c r="D69" s="20" t="s">
        <v>34</v>
      </c>
      <c r="E69" s="21">
        <f>ROUND(15872*1.05,2)</f>
      </c>
      <c r="F69" s="20" t="s">
        <v>35</v>
      </c>
      <c r="G69" s="20" t="s">
        <v>18</v>
      </c>
      <c r="H69" s="21">
        <f>ROUND(RAND()*4+6,1)</f>
      </c>
      <c r="I69" s="20" t="s">
        <v>36</v>
      </c>
      <c r="J69" s="23">
        <f>ROUND(75*1,0)&amp;"%"</f>
      </c>
    </row>
    <row x14ac:dyDescent="0.25" r="70" customHeight="1" ht="17.25">
      <c r="A70" s="17" t="s">
        <v>3343</v>
      </c>
      <c r="B70" s="17" t="s">
        <v>141</v>
      </c>
      <c r="C70" s="17" t="s">
        <v>133</v>
      </c>
      <c r="D70" s="17" t="s">
        <v>39</v>
      </c>
      <c r="E70" s="18">
        <f>ROUND(8447*1.05,2)</f>
      </c>
      <c r="F70" s="17" t="s">
        <v>40</v>
      </c>
      <c r="G70" s="17" t="s">
        <v>24</v>
      </c>
      <c r="H70" s="18">
        <f>ROUND(RAND()*4+6,1)</f>
      </c>
      <c r="I70" s="17" t="s">
        <v>41</v>
      </c>
      <c r="J70" s="19">
        <f>ROUND(68*1,0)&amp;"%"</f>
      </c>
    </row>
    <row x14ac:dyDescent="0.25" r="71" customHeight="1" ht="17.25">
      <c r="A71" s="20" t="s">
        <v>3344</v>
      </c>
      <c r="B71" s="20" t="s">
        <v>143</v>
      </c>
      <c r="C71" s="20" t="s">
        <v>133</v>
      </c>
      <c r="D71" s="20" t="s">
        <v>67</v>
      </c>
      <c r="E71" s="21">
        <f>ROUND(11664*1.05,2)</f>
      </c>
      <c r="F71" s="20" t="s">
        <v>44</v>
      </c>
      <c r="G71" s="20" t="s">
        <v>30</v>
      </c>
      <c r="H71" s="21">
        <f>ROUND(RAND()*4+6,1)</f>
      </c>
      <c r="I71" s="20" t="s">
        <v>45</v>
      </c>
      <c r="J71" s="23">
        <f>ROUND(60*1,0)&amp;"%"</f>
      </c>
    </row>
    <row x14ac:dyDescent="0.25" r="72" customHeight="1" ht="17.25">
      <c r="A72" s="17" t="s">
        <v>3345</v>
      </c>
      <c r="B72" s="17" t="s">
        <v>145</v>
      </c>
      <c r="C72" s="17" t="s">
        <v>133</v>
      </c>
      <c r="D72" s="17" t="s">
        <v>16</v>
      </c>
      <c r="E72" s="18">
        <f>ROUND(11959*1.05,2)</f>
      </c>
      <c r="F72" s="17" t="s">
        <v>48</v>
      </c>
      <c r="G72" s="17" t="s">
        <v>18</v>
      </c>
      <c r="H72" s="18">
        <f>ROUND(RAND()*4+6,1)</f>
      </c>
      <c r="I72" s="17" t="s">
        <v>19</v>
      </c>
      <c r="J72" s="19">
        <f>ROUND(77*1,0)&amp;"%"</f>
      </c>
    </row>
    <row x14ac:dyDescent="0.25" r="73" customHeight="1" ht="17.25">
      <c r="A73" s="20" t="s">
        <v>3346</v>
      </c>
      <c r="B73" s="20" t="s">
        <v>147</v>
      </c>
      <c r="C73" s="20" t="s">
        <v>133</v>
      </c>
      <c r="D73" s="20" t="s">
        <v>22</v>
      </c>
      <c r="E73" s="21">
        <f>ROUND(8516*1.05,2)</f>
      </c>
      <c r="F73" s="20" t="s">
        <v>51</v>
      </c>
      <c r="G73" s="20" t="s">
        <v>24</v>
      </c>
      <c r="H73" s="21">
        <f>ROUND(RAND()*4+6,1)</f>
      </c>
      <c r="I73" s="20" t="s">
        <v>25</v>
      </c>
      <c r="J73" s="23">
        <f>ROUND(70*1,0)&amp;"%"</f>
      </c>
    </row>
    <row x14ac:dyDescent="0.25" r="74" customHeight="1" ht="17.25">
      <c r="A74" s="24" t="s">
        <v>148</v>
      </c>
      <c r="B74" s="24"/>
      <c r="C74" s="24"/>
      <c r="D74" s="24"/>
      <c r="E74" s="25">
        <v>8</v>
      </c>
      <c r="F74" s="9"/>
      <c r="G74" s="9"/>
      <c r="H74" s="10"/>
      <c r="I74" s="9"/>
      <c r="J74" s="9"/>
    </row>
    <row x14ac:dyDescent="0.25" r="75" customHeight="1" ht="17.25">
      <c r="A75" s="7"/>
      <c r="B75" s="7"/>
      <c r="C75" s="7"/>
      <c r="D75" s="7"/>
      <c r="E75" s="8"/>
      <c r="F75" s="9"/>
      <c r="G75" s="9"/>
      <c r="H75" s="10"/>
      <c r="I75" s="9"/>
      <c r="J75" s="9"/>
    </row>
    <row x14ac:dyDescent="0.25" r="76" customHeight="1" ht="17.25">
      <c r="A76" s="11" t="s">
        <v>3347</v>
      </c>
      <c r="B76" s="11"/>
      <c r="C76" s="11"/>
      <c r="D76" s="11"/>
      <c r="E76" s="12"/>
      <c r="F76" s="11"/>
      <c r="G76" s="11"/>
      <c r="H76" s="13"/>
      <c r="I76" s="11"/>
      <c r="J76" s="11"/>
    </row>
    <row x14ac:dyDescent="0.25" r="77" customHeight="1" ht="17.25">
      <c r="A77" s="14" t="s">
        <v>3</v>
      </c>
      <c r="B77" s="14" t="s">
        <v>4</v>
      </c>
      <c r="C77" s="14" t="s">
        <v>5</v>
      </c>
      <c r="D77" s="14" t="s">
        <v>6</v>
      </c>
      <c r="E77" s="15" t="s">
        <v>7</v>
      </c>
      <c r="F77" s="14" t="s">
        <v>8</v>
      </c>
      <c r="G77" s="14" t="s">
        <v>9</v>
      </c>
      <c r="H77" s="16" t="s">
        <v>10</v>
      </c>
      <c r="I77" s="14" t="s">
        <v>11</v>
      </c>
      <c r="J77" s="14" t="s">
        <v>12</v>
      </c>
    </row>
    <row x14ac:dyDescent="0.25" r="78" customHeight="1" ht="17.25">
      <c r="A78" s="17" t="s">
        <v>3348</v>
      </c>
      <c r="B78" s="17" t="s">
        <v>151</v>
      </c>
      <c r="C78" s="17" t="s">
        <v>152</v>
      </c>
      <c r="D78" s="17" t="s">
        <v>16</v>
      </c>
      <c r="E78" s="18">
        <f>ROUND(8427*1.05,2)</f>
      </c>
      <c r="F78" s="17" t="s">
        <v>17</v>
      </c>
      <c r="G78" s="17" t="s">
        <v>18</v>
      </c>
      <c r="H78" s="18">
        <f>ROUND(RAND()*4+6,1)</f>
      </c>
      <c r="I78" s="17" t="s">
        <v>19</v>
      </c>
      <c r="J78" s="19">
        <f>ROUND(93*1,0)&amp;"%"</f>
      </c>
    </row>
    <row x14ac:dyDescent="0.25" r="79" customHeight="1" ht="17.25">
      <c r="A79" s="20" t="s">
        <v>3349</v>
      </c>
      <c r="B79" s="20" t="s">
        <v>154</v>
      </c>
      <c r="C79" s="20" t="s">
        <v>152</v>
      </c>
      <c r="D79" s="20" t="s">
        <v>22</v>
      </c>
      <c r="E79" s="21">
        <f>ROUND(8171*1.05,2)</f>
      </c>
      <c r="F79" s="20" t="s">
        <v>23</v>
      </c>
      <c r="G79" s="20" t="s">
        <v>24</v>
      </c>
      <c r="H79" s="21">
        <f>ROUND(RAND()*4+6,1)</f>
      </c>
      <c r="I79" s="20" t="s">
        <v>25</v>
      </c>
      <c r="J79" s="23">
        <f>ROUND(82*1,0)&amp;"%"</f>
      </c>
    </row>
    <row x14ac:dyDescent="0.25" r="80" customHeight="1" ht="17.25">
      <c r="A80" s="17" t="s">
        <v>3350</v>
      </c>
      <c r="B80" s="17" t="s">
        <v>156</v>
      </c>
      <c r="C80" s="17" t="s">
        <v>152</v>
      </c>
      <c r="D80" s="17" t="s">
        <v>28</v>
      </c>
      <c r="E80" s="18">
        <f>ROUND(5465*1.05,2)</f>
      </c>
      <c r="F80" s="17" t="s">
        <v>29</v>
      </c>
      <c r="G80" s="17" t="s">
        <v>30</v>
      </c>
      <c r="H80" s="18">
        <f>ROUND(RAND()*4+6,1)</f>
      </c>
      <c r="I80" s="17" t="s">
        <v>31</v>
      </c>
      <c r="J80" s="19">
        <f>ROUND(89*1,0)&amp;"%"</f>
      </c>
    </row>
    <row x14ac:dyDescent="0.25" r="81" customHeight="1" ht="17.25">
      <c r="A81" s="20" t="s">
        <v>3351</v>
      </c>
      <c r="B81" s="20" t="s">
        <v>158</v>
      </c>
      <c r="C81" s="20" t="s">
        <v>152</v>
      </c>
      <c r="D81" s="20" t="s">
        <v>34</v>
      </c>
      <c r="E81" s="21">
        <f>ROUND(12911*1.05,2)</f>
      </c>
      <c r="F81" s="20" t="s">
        <v>35</v>
      </c>
      <c r="G81" s="20" t="s">
        <v>18</v>
      </c>
      <c r="H81" s="21">
        <f>ROUND(RAND()*4+6,1)</f>
      </c>
      <c r="I81" s="20" t="s">
        <v>36</v>
      </c>
      <c r="J81" s="23">
        <f>ROUND(60*1,0)&amp;"%"</f>
      </c>
    </row>
    <row x14ac:dyDescent="0.25" r="82" customHeight="1" ht="17.25">
      <c r="A82" s="17" t="s">
        <v>3352</v>
      </c>
      <c r="B82" s="17" t="s">
        <v>160</v>
      </c>
      <c r="C82" s="17" t="s">
        <v>152</v>
      </c>
      <c r="D82" s="17" t="s">
        <v>39</v>
      </c>
      <c r="E82" s="18">
        <f>ROUND(15227*1.05,2)</f>
      </c>
      <c r="F82" s="17" t="s">
        <v>40</v>
      </c>
      <c r="G82" s="17" t="s">
        <v>24</v>
      </c>
      <c r="H82" s="18">
        <f>ROUND(RAND()*4+6,1)</f>
      </c>
      <c r="I82" s="17" t="s">
        <v>41</v>
      </c>
      <c r="J82" s="19">
        <f>ROUND(77*1,0)&amp;"%"</f>
      </c>
    </row>
    <row x14ac:dyDescent="0.25" r="83" customHeight="1" ht="17.25">
      <c r="A83" s="20" t="s">
        <v>3353</v>
      </c>
      <c r="B83" s="20" t="s">
        <v>162</v>
      </c>
      <c r="C83" s="20" t="s">
        <v>152</v>
      </c>
      <c r="D83" s="20" t="s">
        <v>67</v>
      </c>
      <c r="E83" s="21">
        <f>ROUND(15818*1.05,2)</f>
      </c>
      <c r="F83" s="20" t="s">
        <v>44</v>
      </c>
      <c r="G83" s="20" t="s">
        <v>30</v>
      </c>
      <c r="H83" s="21">
        <f>ROUND(RAND()*4+6,1)</f>
      </c>
      <c r="I83" s="20" t="s">
        <v>45</v>
      </c>
      <c r="J83" s="23">
        <f>ROUND(80*1,0)&amp;"%"</f>
      </c>
    </row>
    <row x14ac:dyDescent="0.25" r="84" customHeight="1" ht="17.25">
      <c r="A84" s="17" t="s">
        <v>3354</v>
      </c>
      <c r="B84" s="17" t="s">
        <v>164</v>
      </c>
      <c r="C84" s="17" t="s">
        <v>152</v>
      </c>
      <c r="D84" s="17" t="s">
        <v>16</v>
      </c>
      <c r="E84" s="18">
        <f>ROUND(5436*1.05,2)</f>
      </c>
      <c r="F84" s="17" t="s">
        <v>48</v>
      </c>
      <c r="G84" s="17" t="s">
        <v>18</v>
      </c>
      <c r="H84" s="18">
        <f>ROUND(RAND()*4+6,1)</f>
      </c>
      <c r="I84" s="17" t="s">
        <v>19</v>
      </c>
      <c r="J84" s="19">
        <f>ROUND(60*1,0)&amp;"%"</f>
      </c>
    </row>
    <row x14ac:dyDescent="0.25" r="85" customHeight="1" ht="17.25">
      <c r="A85" s="20" t="s">
        <v>3355</v>
      </c>
      <c r="B85" s="20" t="s">
        <v>166</v>
      </c>
      <c r="C85" s="20" t="s">
        <v>152</v>
      </c>
      <c r="D85" s="20" t="s">
        <v>22</v>
      </c>
      <c r="E85" s="21">
        <f>ROUND(11004*1.05,2)</f>
      </c>
      <c r="F85" s="20" t="s">
        <v>51</v>
      </c>
      <c r="G85" s="20" t="s">
        <v>24</v>
      </c>
      <c r="H85" s="21">
        <f>ROUND(RAND()*4+6,1)</f>
      </c>
      <c r="I85" s="20" t="s">
        <v>25</v>
      </c>
      <c r="J85" s="23">
        <f>ROUND(74*1,0)&amp;"%"</f>
      </c>
    </row>
    <row x14ac:dyDescent="0.25" r="86" customHeight="1" ht="17.25">
      <c r="A86" s="24" t="s">
        <v>167</v>
      </c>
      <c r="B86" s="24"/>
      <c r="C86" s="24"/>
      <c r="D86" s="24"/>
      <c r="E86" s="25">
        <v>8</v>
      </c>
      <c r="F86" s="9"/>
      <c r="G86" s="9"/>
      <c r="H86" s="10"/>
      <c r="I86" s="9"/>
      <c r="J86" s="9"/>
    </row>
    <row x14ac:dyDescent="0.25" r="87" customHeight="1" ht="17.25">
      <c r="A87" s="7"/>
      <c r="B87" s="7"/>
      <c r="C87" s="7"/>
      <c r="D87" s="7"/>
      <c r="E87" s="8"/>
      <c r="F87" s="9"/>
      <c r="G87" s="9"/>
      <c r="H87" s="10"/>
      <c r="I87" s="9"/>
      <c r="J87" s="9"/>
    </row>
    <row x14ac:dyDescent="0.25" r="88" customHeight="1" ht="17.25">
      <c r="A88" s="11" t="s">
        <v>3356</v>
      </c>
      <c r="B88" s="11"/>
      <c r="C88" s="11"/>
      <c r="D88" s="11"/>
      <c r="E88" s="12"/>
      <c r="F88" s="11"/>
      <c r="G88" s="11"/>
      <c r="H88" s="13"/>
      <c r="I88" s="11"/>
      <c r="J88" s="11"/>
    </row>
    <row x14ac:dyDescent="0.25" r="89" customHeight="1" ht="17.25">
      <c r="A89" s="14" t="s">
        <v>3</v>
      </c>
      <c r="B89" s="14" t="s">
        <v>4</v>
      </c>
      <c r="C89" s="14" t="s">
        <v>5</v>
      </c>
      <c r="D89" s="14" t="s">
        <v>6</v>
      </c>
      <c r="E89" s="15" t="s">
        <v>7</v>
      </c>
      <c r="F89" s="14" t="s">
        <v>8</v>
      </c>
      <c r="G89" s="14" t="s">
        <v>9</v>
      </c>
      <c r="H89" s="16" t="s">
        <v>10</v>
      </c>
      <c r="I89" s="14" t="s">
        <v>11</v>
      </c>
      <c r="J89" s="14" t="s">
        <v>12</v>
      </c>
    </row>
    <row x14ac:dyDescent="0.25" r="90" customHeight="1" ht="17.25">
      <c r="A90" s="17" t="s">
        <v>3357</v>
      </c>
      <c r="B90" s="17" t="s">
        <v>170</v>
      </c>
      <c r="C90" s="17" t="s">
        <v>15</v>
      </c>
      <c r="D90" s="17" t="s">
        <v>16</v>
      </c>
      <c r="E90" s="18">
        <f>ROUND(6402*1.05,2)</f>
      </c>
      <c r="F90" s="17" t="s">
        <v>17</v>
      </c>
      <c r="G90" s="17" t="s">
        <v>18</v>
      </c>
      <c r="H90" s="18">
        <f>ROUND(RAND()*4+6,1)</f>
      </c>
      <c r="I90" s="17" t="s">
        <v>19</v>
      </c>
      <c r="J90" s="19">
        <f>ROUND(70*1,0)&amp;"%"</f>
      </c>
    </row>
    <row x14ac:dyDescent="0.25" r="91" customHeight="1" ht="17.25">
      <c r="A91" s="20" t="s">
        <v>3358</v>
      </c>
      <c r="B91" s="20" t="s">
        <v>172</v>
      </c>
      <c r="C91" s="20" t="s">
        <v>15</v>
      </c>
      <c r="D91" s="20" t="s">
        <v>22</v>
      </c>
      <c r="E91" s="21">
        <f>ROUND(17954*1.05,2)</f>
      </c>
      <c r="F91" s="20" t="s">
        <v>23</v>
      </c>
      <c r="G91" s="20" t="s">
        <v>24</v>
      </c>
      <c r="H91" s="21">
        <f>ROUND(RAND()*4+6,1)</f>
      </c>
      <c r="I91" s="20" t="s">
        <v>25</v>
      </c>
      <c r="J91" s="23">
        <f>ROUND(72*1,0)&amp;"%"</f>
      </c>
    </row>
    <row x14ac:dyDescent="0.25" r="92" customHeight="1" ht="17.25">
      <c r="A92" s="17" t="s">
        <v>3359</v>
      </c>
      <c r="B92" s="17" t="s">
        <v>174</v>
      </c>
      <c r="C92" s="17" t="s">
        <v>15</v>
      </c>
      <c r="D92" s="17" t="s">
        <v>28</v>
      </c>
      <c r="E92" s="18">
        <f>ROUND(7514*1.05,2)</f>
      </c>
      <c r="F92" s="17" t="s">
        <v>29</v>
      </c>
      <c r="G92" s="17" t="s">
        <v>30</v>
      </c>
      <c r="H92" s="18">
        <f>ROUND(RAND()*4+6,1)</f>
      </c>
      <c r="I92" s="17" t="s">
        <v>31</v>
      </c>
      <c r="J92" s="19">
        <f>ROUND(90*1,0)&amp;"%"</f>
      </c>
    </row>
    <row x14ac:dyDescent="0.25" r="93" customHeight="1" ht="17.25">
      <c r="A93" s="20" t="s">
        <v>3360</v>
      </c>
      <c r="B93" s="20" t="s">
        <v>176</v>
      </c>
      <c r="C93" s="20" t="s">
        <v>15</v>
      </c>
      <c r="D93" s="20" t="s">
        <v>34</v>
      </c>
      <c r="E93" s="21">
        <f>ROUND(17921*1.05,2)</f>
      </c>
      <c r="F93" s="20" t="s">
        <v>35</v>
      </c>
      <c r="G93" s="20" t="s">
        <v>18</v>
      </c>
      <c r="H93" s="21">
        <f>ROUND(RAND()*4+6,1)</f>
      </c>
      <c r="I93" s="20" t="s">
        <v>36</v>
      </c>
      <c r="J93" s="23">
        <f>ROUND(69*1,0)&amp;"%"</f>
      </c>
    </row>
    <row x14ac:dyDescent="0.25" r="94" customHeight="1" ht="17.25">
      <c r="A94" s="17" t="s">
        <v>3361</v>
      </c>
      <c r="B94" s="17" t="s">
        <v>178</v>
      </c>
      <c r="C94" s="17" t="s">
        <v>15</v>
      </c>
      <c r="D94" s="17" t="s">
        <v>39</v>
      </c>
      <c r="E94" s="18">
        <f>ROUND(13305*1.05,2)</f>
      </c>
      <c r="F94" s="17" t="s">
        <v>40</v>
      </c>
      <c r="G94" s="17" t="s">
        <v>24</v>
      </c>
      <c r="H94" s="18">
        <f>ROUND(RAND()*4+6,1)</f>
      </c>
      <c r="I94" s="17" t="s">
        <v>41</v>
      </c>
      <c r="J94" s="19">
        <f>ROUND(74*1,0)&amp;"%"</f>
      </c>
    </row>
    <row x14ac:dyDescent="0.25" r="95" customHeight="1" ht="17.25">
      <c r="A95" s="20" t="s">
        <v>3362</v>
      </c>
      <c r="B95" s="20" t="s">
        <v>180</v>
      </c>
      <c r="C95" s="20" t="s">
        <v>15</v>
      </c>
      <c r="D95" s="20" t="s">
        <v>67</v>
      </c>
      <c r="E95" s="21">
        <f>ROUND(17408*1.05,2)</f>
      </c>
      <c r="F95" s="20" t="s">
        <v>44</v>
      </c>
      <c r="G95" s="20" t="s">
        <v>30</v>
      </c>
      <c r="H95" s="21">
        <f>ROUND(RAND()*4+6,1)</f>
      </c>
      <c r="I95" s="20" t="s">
        <v>45</v>
      </c>
      <c r="J95" s="23">
        <f>ROUND(64*1,0)&amp;"%"</f>
      </c>
    </row>
    <row x14ac:dyDescent="0.25" r="96" customHeight="1" ht="17.25">
      <c r="A96" s="17" t="s">
        <v>3363</v>
      </c>
      <c r="B96" s="17" t="s">
        <v>182</v>
      </c>
      <c r="C96" s="17" t="s">
        <v>15</v>
      </c>
      <c r="D96" s="17" t="s">
        <v>16</v>
      </c>
      <c r="E96" s="18">
        <f>ROUND(11099*1.05,2)</f>
      </c>
      <c r="F96" s="17" t="s">
        <v>48</v>
      </c>
      <c r="G96" s="17" t="s">
        <v>18</v>
      </c>
      <c r="H96" s="18">
        <f>ROUND(RAND()*4+6,1)</f>
      </c>
      <c r="I96" s="17" t="s">
        <v>19</v>
      </c>
      <c r="J96" s="19">
        <f>ROUND(63*1,0)&amp;"%"</f>
      </c>
    </row>
    <row x14ac:dyDescent="0.25" r="97" customHeight="1" ht="17.25">
      <c r="A97" s="20" t="s">
        <v>3364</v>
      </c>
      <c r="B97" s="20" t="s">
        <v>184</v>
      </c>
      <c r="C97" s="20" t="s">
        <v>15</v>
      </c>
      <c r="D97" s="20" t="s">
        <v>22</v>
      </c>
      <c r="E97" s="21">
        <f>ROUND(14434*1.05,2)</f>
      </c>
      <c r="F97" s="20" t="s">
        <v>51</v>
      </c>
      <c r="G97" s="20" t="s">
        <v>24</v>
      </c>
      <c r="H97" s="21">
        <f>ROUND(RAND()*4+6,1)</f>
      </c>
      <c r="I97" s="20" t="s">
        <v>25</v>
      </c>
      <c r="J97" s="23">
        <f>ROUND(85*1,0)&amp;"%"</f>
      </c>
    </row>
    <row x14ac:dyDescent="0.25" r="98" customHeight="1" ht="17.25">
      <c r="A98" s="24" t="s">
        <v>185</v>
      </c>
      <c r="B98" s="24"/>
      <c r="C98" s="24"/>
      <c r="D98" s="24"/>
      <c r="E98" s="25">
        <v>8</v>
      </c>
      <c r="F98" s="9"/>
      <c r="G98" s="9"/>
      <c r="H98" s="10"/>
      <c r="I98" s="9"/>
      <c r="J98" s="9"/>
    </row>
    <row x14ac:dyDescent="0.25" r="99" customHeight="1" ht="17.25">
      <c r="A99" s="7"/>
      <c r="B99" s="7"/>
      <c r="C99" s="7"/>
      <c r="D99" s="7"/>
      <c r="E99" s="8"/>
      <c r="F99" s="9"/>
      <c r="G99" s="9"/>
      <c r="H99" s="10"/>
      <c r="I99" s="9"/>
      <c r="J99" s="9"/>
    </row>
    <row x14ac:dyDescent="0.25" r="100" customHeight="1" ht="17.25">
      <c r="A100" s="11" t="s">
        <v>3365</v>
      </c>
      <c r="B100" s="11"/>
      <c r="C100" s="11"/>
      <c r="D100" s="11"/>
      <c r="E100" s="12"/>
      <c r="F100" s="11"/>
      <c r="G100" s="11"/>
      <c r="H100" s="13"/>
      <c r="I100" s="11"/>
      <c r="J100" s="11"/>
    </row>
    <row x14ac:dyDescent="0.25" r="101" customHeight="1" ht="17.25">
      <c r="A101" s="14" t="s">
        <v>3</v>
      </c>
      <c r="B101" s="14" t="s">
        <v>4</v>
      </c>
      <c r="C101" s="14" t="s">
        <v>5</v>
      </c>
      <c r="D101" s="14" t="s">
        <v>6</v>
      </c>
      <c r="E101" s="15" t="s">
        <v>7</v>
      </c>
      <c r="F101" s="14" t="s">
        <v>8</v>
      </c>
      <c r="G101" s="14" t="s">
        <v>9</v>
      </c>
      <c r="H101" s="16" t="s">
        <v>10</v>
      </c>
      <c r="I101" s="14" t="s">
        <v>11</v>
      </c>
      <c r="J101" s="14" t="s">
        <v>12</v>
      </c>
    </row>
    <row x14ac:dyDescent="0.25" r="102" customHeight="1" ht="17.25">
      <c r="A102" s="17" t="s">
        <v>3366</v>
      </c>
      <c r="B102" s="17" t="s">
        <v>188</v>
      </c>
      <c r="C102" s="17" t="s">
        <v>56</v>
      </c>
      <c r="D102" s="17" t="s">
        <v>16</v>
      </c>
      <c r="E102" s="18">
        <f>ROUND(10802*1.05,2)</f>
      </c>
      <c r="F102" s="17" t="s">
        <v>17</v>
      </c>
      <c r="G102" s="17" t="s">
        <v>18</v>
      </c>
      <c r="H102" s="18">
        <f>ROUND(RAND()*4+6,1)</f>
      </c>
      <c r="I102" s="17" t="s">
        <v>19</v>
      </c>
      <c r="J102" s="19">
        <f>ROUND(79*1,0)&amp;"%"</f>
      </c>
    </row>
    <row x14ac:dyDescent="0.25" r="103" customHeight="1" ht="17.25">
      <c r="A103" s="20" t="s">
        <v>3367</v>
      </c>
      <c r="B103" s="20" t="s">
        <v>190</v>
      </c>
      <c r="C103" s="20" t="s">
        <v>56</v>
      </c>
      <c r="D103" s="20" t="s">
        <v>22</v>
      </c>
      <c r="E103" s="21">
        <f>ROUND(17551*1.05,2)</f>
      </c>
      <c r="F103" s="20" t="s">
        <v>23</v>
      </c>
      <c r="G103" s="20" t="s">
        <v>24</v>
      </c>
      <c r="H103" s="21">
        <f>ROUND(RAND()*4+6,1)</f>
      </c>
      <c r="I103" s="20" t="s">
        <v>25</v>
      </c>
      <c r="J103" s="23">
        <f>ROUND(91*1,0)&amp;"%"</f>
      </c>
    </row>
    <row x14ac:dyDescent="0.25" r="104" customHeight="1" ht="17.25">
      <c r="A104" s="17" t="s">
        <v>3368</v>
      </c>
      <c r="B104" s="17" t="s">
        <v>192</v>
      </c>
      <c r="C104" s="17" t="s">
        <v>56</v>
      </c>
      <c r="D104" s="17" t="s">
        <v>28</v>
      </c>
      <c r="E104" s="18">
        <f>ROUND(4231*1.05,2)</f>
      </c>
      <c r="F104" s="17" t="s">
        <v>29</v>
      </c>
      <c r="G104" s="17" t="s">
        <v>30</v>
      </c>
      <c r="H104" s="18">
        <f>ROUND(RAND()*4+6,1)</f>
      </c>
      <c r="I104" s="17" t="s">
        <v>31</v>
      </c>
      <c r="J104" s="19">
        <f>ROUND(60*1,0)&amp;"%"</f>
      </c>
    </row>
    <row x14ac:dyDescent="0.25" r="105" customHeight="1" ht="17.25">
      <c r="A105" s="20" t="s">
        <v>3369</v>
      </c>
      <c r="B105" s="20" t="s">
        <v>194</v>
      </c>
      <c r="C105" s="20" t="s">
        <v>56</v>
      </c>
      <c r="D105" s="20" t="s">
        <v>34</v>
      </c>
      <c r="E105" s="21">
        <f>ROUND(12535*1.05,2)</f>
      </c>
      <c r="F105" s="20" t="s">
        <v>35</v>
      </c>
      <c r="G105" s="20" t="s">
        <v>18</v>
      </c>
      <c r="H105" s="22">
        <f>ROUND(RAND()*4+6,1)</f>
      </c>
      <c r="I105" s="20" t="s">
        <v>36</v>
      </c>
      <c r="J105" s="23">
        <f>ROUND(95*1,0)&amp;"%"</f>
      </c>
    </row>
    <row x14ac:dyDescent="0.25" r="106" customHeight="1" ht="17.25">
      <c r="A106" s="17" t="s">
        <v>3370</v>
      </c>
      <c r="B106" s="17" t="s">
        <v>196</v>
      </c>
      <c r="C106" s="17" t="s">
        <v>56</v>
      </c>
      <c r="D106" s="17" t="s">
        <v>39</v>
      </c>
      <c r="E106" s="18">
        <f>ROUND(15641*1.05,2)</f>
      </c>
      <c r="F106" s="17" t="s">
        <v>40</v>
      </c>
      <c r="G106" s="17" t="s">
        <v>24</v>
      </c>
      <c r="H106" s="26">
        <f>ROUND(RAND()*4+6,1)</f>
      </c>
      <c r="I106" s="17" t="s">
        <v>41</v>
      </c>
      <c r="J106" s="19">
        <f>ROUND(83*1,0)&amp;"%"</f>
      </c>
    </row>
    <row x14ac:dyDescent="0.25" r="107" customHeight="1" ht="17.25">
      <c r="A107" s="20" t="s">
        <v>3371</v>
      </c>
      <c r="B107" s="20" t="s">
        <v>198</v>
      </c>
      <c r="C107" s="20" t="s">
        <v>56</v>
      </c>
      <c r="D107" s="20" t="s">
        <v>67</v>
      </c>
      <c r="E107" s="21">
        <f>ROUND(6123*1.05,2)</f>
      </c>
      <c r="F107" s="20" t="s">
        <v>44</v>
      </c>
      <c r="G107" s="20" t="s">
        <v>30</v>
      </c>
      <c r="H107" s="22">
        <f>ROUND(RAND()*4+6,1)</f>
      </c>
      <c r="I107" s="20" t="s">
        <v>45</v>
      </c>
      <c r="J107" s="23">
        <f>ROUND(79*1,0)&amp;"%"</f>
      </c>
    </row>
    <row x14ac:dyDescent="0.25" r="108" customHeight="1" ht="17.25">
      <c r="A108" s="17" t="s">
        <v>3372</v>
      </c>
      <c r="B108" s="17" t="s">
        <v>200</v>
      </c>
      <c r="C108" s="17" t="s">
        <v>56</v>
      </c>
      <c r="D108" s="17" t="s">
        <v>16</v>
      </c>
      <c r="E108" s="18">
        <f>ROUND(7556*1.05,2)</f>
      </c>
      <c r="F108" s="17" t="s">
        <v>48</v>
      </c>
      <c r="G108" s="17" t="s">
        <v>18</v>
      </c>
      <c r="H108" s="18">
        <f>ROUND(RAND()*4+6,1)</f>
      </c>
      <c r="I108" s="17" t="s">
        <v>19</v>
      </c>
      <c r="J108" s="19">
        <f>ROUND(65*1,0)&amp;"%"</f>
      </c>
    </row>
    <row x14ac:dyDescent="0.25" r="109" customHeight="1" ht="17.25">
      <c r="A109" s="20" t="s">
        <v>3373</v>
      </c>
      <c r="B109" s="20" t="s">
        <v>202</v>
      </c>
      <c r="C109" s="20" t="s">
        <v>56</v>
      </c>
      <c r="D109" s="20" t="s">
        <v>22</v>
      </c>
      <c r="E109" s="21">
        <f>ROUND(12372*1.05,2)</f>
      </c>
      <c r="F109" s="20" t="s">
        <v>51</v>
      </c>
      <c r="G109" s="20" t="s">
        <v>24</v>
      </c>
      <c r="H109" s="22">
        <f>ROUND(RAND()*4+6,1)</f>
      </c>
      <c r="I109" s="20" t="s">
        <v>25</v>
      </c>
      <c r="J109" s="23">
        <f>ROUND(73*1,0)&amp;"%"</f>
      </c>
    </row>
    <row x14ac:dyDescent="0.25" r="110" customHeight="1" ht="17.25">
      <c r="A110" s="24" t="s">
        <v>203</v>
      </c>
      <c r="B110" s="24"/>
      <c r="C110" s="24"/>
      <c r="D110" s="24"/>
      <c r="E110" s="25">
        <v>8</v>
      </c>
      <c r="F110" s="9"/>
      <c r="G110" s="9"/>
      <c r="H110" s="10"/>
      <c r="I110" s="9"/>
      <c r="J110" s="9"/>
    </row>
    <row x14ac:dyDescent="0.25" r="111" customHeight="1" ht="17.25">
      <c r="A111" s="7"/>
      <c r="B111" s="7"/>
      <c r="C111" s="7"/>
      <c r="D111" s="7"/>
      <c r="E111" s="8"/>
      <c r="F111" s="9"/>
      <c r="G111" s="9"/>
      <c r="H111" s="10"/>
      <c r="I111" s="9"/>
      <c r="J111" s="9"/>
    </row>
    <row x14ac:dyDescent="0.25" r="112" customHeight="1" ht="17.25">
      <c r="A112" s="11" t="s">
        <v>3374</v>
      </c>
      <c r="B112" s="11"/>
      <c r="C112" s="11"/>
      <c r="D112" s="11"/>
      <c r="E112" s="12"/>
      <c r="F112" s="11"/>
      <c r="G112" s="11"/>
      <c r="H112" s="13"/>
      <c r="I112" s="11"/>
      <c r="J112" s="11"/>
    </row>
    <row x14ac:dyDescent="0.25" r="113" customHeight="1" ht="17.25">
      <c r="A113" s="14" t="s">
        <v>3</v>
      </c>
      <c r="B113" s="14" t="s">
        <v>4</v>
      </c>
      <c r="C113" s="14" t="s">
        <v>5</v>
      </c>
      <c r="D113" s="14" t="s">
        <v>6</v>
      </c>
      <c r="E113" s="15" t="s">
        <v>7</v>
      </c>
      <c r="F113" s="14" t="s">
        <v>8</v>
      </c>
      <c r="G113" s="14" t="s">
        <v>9</v>
      </c>
      <c r="H113" s="16" t="s">
        <v>10</v>
      </c>
      <c r="I113" s="14" t="s">
        <v>11</v>
      </c>
      <c r="J113" s="14" t="s">
        <v>12</v>
      </c>
    </row>
    <row x14ac:dyDescent="0.25" r="114" customHeight="1" ht="17.25">
      <c r="A114" s="17" t="s">
        <v>3375</v>
      </c>
      <c r="B114" s="17" t="s">
        <v>206</v>
      </c>
      <c r="C114" s="17" t="s">
        <v>76</v>
      </c>
      <c r="D114" s="17" t="s">
        <v>16</v>
      </c>
      <c r="E114" s="18">
        <f>ROUND(16529*1.05,2)</f>
      </c>
      <c r="F114" s="17" t="s">
        <v>17</v>
      </c>
      <c r="G114" s="17" t="s">
        <v>18</v>
      </c>
      <c r="H114" s="18">
        <f>ROUND(RAND()*4+6,1)</f>
      </c>
      <c r="I114" s="17" t="s">
        <v>19</v>
      </c>
      <c r="J114" s="19">
        <f>ROUND(100*1,0)&amp;"%"</f>
      </c>
    </row>
    <row x14ac:dyDescent="0.25" r="115" customHeight="1" ht="17.25">
      <c r="A115" s="20" t="s">
        <v>3376</v>
      </c>
      <c r="B115" s="20" t="s">
        <v>208</v>
      </c>
      <c r="C115" s="20" t="s">
        <v>76</v>
      </c>
      <c r="D115" s="20" t="s">
        <v>22</v>
      </c>
      <c r="E115" s="21">
        <f>ROUND(13658*1.05,2)</f>
      </c>
      <c r="F115" s="20" t="s">
        <v>23</v>
      </c>
      <c r="G115" s="20" t="s">
        <v>24</v>
      </c>
      <c r="H115" s="22">
        <f>ROUND(RAND()*4+6,1)</f>
      </c>
      <c r="I115" s="20" t="s">
        <v>25</v>
      </c>
      <c r="J115" s="23">
        <f>ROUND(89*1,0)&amp;"%"</f>
      </c>
    </row>
    <row x14ac:dyDescent="0.25" r="116" customHeight="1" ht="17.25">
      <c r="A116" s="17" t="s">
        <v>3377</v>
      </c>
      <c r="B116" s="17" t="s">
        <v>210</v>
      </c>
      <c r="C116" s="17" t="s">
        <v>76</v>
      </c>
      <c r="D116" s="17" t="s">
        <v>28</v>
      </c>
      <c r="E116" s="18">
        <f>ROUND(4505*1.05,2)</f>
      </c>
      <c r="F116" s="17" t="s">
        <v>29</v>
      </c>
      <c r="G116" s="17" t="s">
        <v>30</v>
      </c>
      <c r="H116" s="26">
        <f>ROUND(RAND()*4+6,1)</f>
      </c>
      <c r="I116" s="17" t="s">
        <v>31</v>
      </c>
      <c r="J116" s="19">
        <f>ROUND(81*1,0)&amp;"%"</f>
      </c>
    </row>
    <row x14ac:dyDescent="0.25" r="117" customHeight="1" ht="17.25">
      <c r="A117" s="20" t="s">
        <v>3378</v>
      </c>
      <c r="B117" s="20" t="s">
        <v>212</v>
      </c>
      <c r="C117" s="20" t="s">
        <v>76</v>
      </c>
      <c r="D117" s="20" t="s">
        <v>34</v>
      </c>
      <c r="E117" s="21">
        <f>ROUND(15045*1.05,2)</f>
      </c>
      <c r="F117" s="20" t="s">
        <v>35</v>
      </c>
      <c r="G117" s="20" t="s">
        <v>18</v>
      </c>
      <c r="H117" s="21">
        <f>ROUND(RAND()*4+6,1)</f>
      </c>
      <c r="I117" s="20" t="s">
        <v>36</v>
      </c>
      <c r="J117" s="23">
        <f>ROUND(64*1,0)&amp;"%"</f>
      </c>
    </row>
    <row x14ac:dyDescent="0.25" r="118" customHeight="1" ht="17.25">
      <c r="A118" s="17" t="s">
        <v>3379</v>
      </c>
      <c r="B118" s="17" t="s">
        <v>214</v>
      </c>
      <c r="C118" s="17" t="s">
        <v>76</v>
      </c>
      <c r="D118" s="17" t="s">
        <v>39</v>
      </c>
      <c r="E118" s="18">
        <f>ROUND(6007*1.05,2)</f>
      </c>
      <c r="F118" s="17" t="s">
        <v>40</v>
      </c>
      <c r="G118" s="17" t="s">
        <v>24</v>
      </c>
      <c r="H118" s="18">
        <f>ROUND(RAND()*4+6,1)</f>
      </c>
      <c r="I118" s="17" t="s">
        <v>41</v>
      </c>
      <c r="J118" s="19">
        <f>ROUND(100*1,0)&amp;"%"</f>
      </c>
    </row>
    <row x14ac:dyDescent="0.25" r="119" customHeight="1" ht="17.25">
      <c r="A119" s="20" t="s">
        <v>3380</v>
      </c>
      <c r="B119" s="20" t="s">
        <v>216</v>
      </c>
      <c r="C119" s="20" t="s">
        <v>76</v>
      </c>
      <c r="D119" s="20" t="s">
        <v>67</v>
      </c>
      <c r="E119" s="21">
        <f>ROUND(8541*1.05,2)</f>
      </c>
      <c r="F119" s="20" t="s">
        <v>44</v>
      </c>
      <c r="G119" s="20" t="s">
        <v>30</v>
      </c>
      <c r="H119" s="21">
        <f>ROUND(RAND()*4+6,1)</f>
      </c>
      <c r="I119" s="20" t="s">
        <v>45</v>
      </c>
      <c r="J119" s="23">
        <f>ROUND(87*1,0)&amp;"%"</f>
      </c>
    </row>
    <row x14ac:dyDescent="0.25" r="120" customHeight="1" ht="17.25">
      <c r="A120" s="17" t="s">
        <v>3381</v>
      </c>
      <c r="B120" s="17" t="s">
        <v>218</v>
      </c>
      <c r="C120" s="17" t="s">
        <v>76</v>
      </c>
      <c r="D120" s="17" t="s">
        <v>16</v>
      </c>
      <c r="E120" s="18">
        <f>ROUND(14264*1.05,2)</f>
      </c>
      <c r="F120" s="17" t="s">
        <v>48</v>
      </c>
      <c r="G120" s="17" t="s">
        <v>18</v>
      </c>
      <c r="H120" s="18">
        <f>ROUND(RAND()*4+6,1)</f>
      </c>
      <c r="I120" s="17" t="s">
        <v>19</v>
      </c>
      <c r="J120" s="19">
        <f>ROUND(89*1,0)&amp;"%"</f>
      </c>
    </row>
    <row x14ac:dyDescent="0.25" r="121" customHeight="1" ht="17.25">
      <c r="A121" s="20" t="s">
        <v>3382</v>
      </c>
      <c r="B121" s="20" t="s">
        <v>220</v>
      </c>
      <c r="C121" s="20" t="s">
        <v>76</v>
      </c>
      <c r="D121" s="20" t="s">
        <v>22</v>
      </c>
      <c r="E121" s="21">
        <f>ROUND(16829*1.05,2)</f>
      </c>
      <c r="F121" s="20" t="s">
        <v>51</v>
      </c>
      <c r="G121" s="20" t="s">
        <v>24</v>
      </c>
      <c r="H121" s="21">
        <f>ROUND(RAND()*4+6,1)</f>
      </c>
      <c r="I121" s="20" t="s">
        <v>25</v>
      </c>
      <c r="J121" s="23">
        <f>ROUND(67*1,0)&amp;"%"</f>
      </c>
    </row>
    <row x14ac:dyDescent="0.25" r="122" customHeight="1" ht="17.25">
      <c r="A122" s="24" t="s">
        <v>221</v>
      </c>
      <c r="B122" s="24"/>
      <c r="C122" s="24"/>
      <c r="D122" s="24"/>
      <c r="E122" s="25">
        <v>8</v>
      </c>
      <c r="F122" s="9"/>
      <c r="G122" s="9"/>
      <c r="H122" s="10"/>
      <c r="I122" s="9"/>
      <c r="J122" s="9"/>
    </row>
    <row x14ac:dyDescent="0.25" r="123" customHeight="1" ht="17.25">
      <c r="A123" s="7"/>
      <c r="B123" s="7"/>
      <c r="C123" s="7"/>
      <c r="D123" s="7"/>
      <c r="E123" s="8"/>
      <c r="F123" s="9"/>
      <c r="G123" s="9"/>
      <c r="H123" s="10"/>
      <c r="I123" s="9"/>
      <c r="J123" s="9"/>
    </row>
    <row x14ac:dyDescent="0.25" r="124" customHeight="1" ht="17.25">
      <c r="A124" s="11" t="s">
        <v>3383</v>
      </c>
      <c r="B124" s="11"/>
      <c r="C124" s="11"/>
      <c r="D124" s="11"/>
      <c r="E124" s="12"/>
      <c r="F124" s="11"/>
      <c r="G124" s="11"/>
      <c r="H124" s="13"/>
      <c r="I124" s="11"/>
      <c r="J124" s="11"/>
    </row>
    <row x14ac:dyDescent="0.25" r="125" customHeight="1" ht="17.25">
      <c r="A125" s="14" t="s">
        <v>3</v>
      </c>
      <c r="B125" s="14" t="s">
        <v>4</v>
      </c>
      <c r="C125" s="14" t="s">
        <v>5</v>
      </c>
      <c r="D125" s="14" t="s">
        <v>6</v>
      </c>
      <c r="E125" s="15" t="s">
        <v>7</v>
      </c>
      <c r="F125" s="14" t="s">
        <v>8</v>
      </c>
      <c r="G125" s="14" t="s">
        <v>9</v>
      </c>
      <c r="H125" s="16" t="s">
        <v>10</v>
      </c>
      <c r="I125" s="14" t="s">
        <v>11</v>
      </c>
      <c r="J125" s="14" t="s">
        <v>12</v>
      </c>
    </row>
    <row x14ac:dyDescent="0.25" r="126" customHeight="1" ht="17.25">
      <c r="A126" s="17" t="s">
        <v>3384</v>
      </c>
      <c r="B126" s="17" t="s">
        <v>224</v>
      </c>
      <c r="C126" s="17" t="s">
        <v>95</v>
      </c>
      <c r="D126" s="17" t="s">
        <v>16</v>
      </c>
      <c r="E126" s="18">
        <f>ROUND(5593*1.05,2)</f>
      </c>
      <c r="F126" s="17" t="s">
        <v>17</v>
      </c>
      <c r="G126" s="17" t="s">
        <v>18</v>
      </c>
      <c r="H126" s="18">
        <f>ROUND(RAND()*4+6,1)</f>
      </c>
      <c r="I126" s="17" t="s">
        <v>19</v>
      </c>
      <c r="J126" s="19">
        <f>ROUND(83*1,0)&amp;"%"</f>
      </c>
    </row>
    <row x14ac:dyDescent="0.25" r="127" customHeight="1" ht="17.25">
      <c r="A127" s="20" t="s">
        <v>3385</v>
      </c>
      <c r="B127" s="20" t="s">
        <v>226</v>
      </c>
      <c r="C127" s="20" t="s">
        <v>95</v>
      </c>
      <c r="D127" s="20" t="s">
        <v>22</v>
      </c>
      <c r="E127" s="21">
        <f>ROUND(11688*1.05,2)</f>
      </c>
      <c r="F127" s="20" t="s">
        <v>23</v>
      </c>
      <c r="G127" s="20" t="s">
        <v>24</v>
      </c>
      <c r="H127" s="21">
        <f>ROUND(RAND()*4+6,1)</f>
      </c>
      <c r="I127" s="20" t="s">
        <v>25</v>
      </c>
      <c r="J127" s="23">
        <f>ROUND(79*1,0)&amp;"%"</f>
      </c>
    </row>
    <row x14ac:dyDescent="0.25" r="128" customHeight="1" ht="17.25">
      <c r="A128" s="17" t="s">
        <v>3386</v>
      </c>
      <c r="B128" s="17" t="s">
        <v>228</v>
      </c>
      <c r="C128" s="17" t="s">
        <v>95</v>
      </c>
      <c r="D128" s="17" t="s">
        <v>28</v>
      </c>
      <c r="E128" s="18">
        <f>ROUND(15355*1.05,2)</f>
      </c>
      <c r="F128" s="17" t="s">
        <v>29</v>
      </c>
      <c r="G128" s="17" t="s">
        <v>30</v>
      </c>
      <c r="H128" s="26">
        <f>ROUND(RAND()*4+6,1)</f>
      </c>
      <c r="I128" s="17" t="s">
        <v>31</v>
      </c>
      <c r="J128" s="19">
        <f>ROUND(83*1,0)&amp;"%"</f>
      </c>
    </row>
    <row x14ac:dyDescent="0.25" r="129" customHeight="1" ht="17.25">
      <c r="A129" s="20" t="s">
        <v>3387</v>
      </c>
      <c r="B129" s="20" t="s">
        <v>230</v>
      </c>
      <c r="C129" s="20" t="s">
        <v>95</v>
      </c>
      <c r="D129" s="20" t="s">
        <v>34</v>
      </c>
      <c r="E129" s="21">
        <f>ROUND(4145*1.05,2)</f>
      </c>
      <c r="F129" s="20" t="s">
        <v>35</v>
      </c>
      <c r="G129" s="20" t="s">
        <v>18</v>
      </c>
      <c r="H129" s="21">
        <f>ROUND(RAND()*4+6,1)</f>
      </c>
      <c r="I129" s="20" t="s">
        <v>36</v>
      </c>
      <c r="J129" s="23">
        <f>ROUND(75*1,0)&amp;"%"</f>
      </c>
    </row>
    <row x14ac:dyDescent="0.25" r="130" customHeight="1" ht="17.25">
      <c r="A130" s="17" t="s">
        <v>3388</v>
      </c>
      <c r="B130" s="17" t="s">
        <v>232</v>
      </c>
      <c r="C130" s="17" t="s">
        <v>95</v>
      </c>
      <c r="D130" s="17" t="s">
        <v>39</v>
      </c>
      <c r="E130" s="18">
        <f>ROUND(4145*1.05,2)</f>
      </c>
      <c r="F130" s="17" t="s">
        <v>40</v>
      </c>
      <c r="G130" s="17" t="s">
        <v>24</v>
      </c>
      <c r="H130" s="18">
        <f>ROUND(RAND()*4+6,1)</f>
      </c>
      <c r="I130" s="17" t="s">
        <v>41</v>
      </c>
      <c r="J130" s="19">
        <f>ROUND(84*1,0)&amp;"%"</f>
      </c>
    </row>
    <row x14ac:dyDescent="0.25" r="131" customHeight="1" ht="17.25">
      <c r="A131" s="20" t="s">
        <v>3389</v>
      </c>
      <c r="B131" s="20" t="s">
        <v>234</v>
      </c>
      <c r="C131" s="20" t="s">
        <v>95</v>
      </c>
      <c r="D131" s="20" t="s">
        <v>67</v>
      </c>
      <c r="E131" s="21">
        <f>ROUND(11556*1.05,2)</f>
      </c>
      <c r="F131" s="20" t="s">
        <v>44</v>
      </c>
      <c r="G131" s="20" t="s">
        <v>30</v>
      </c>
      <c r="H131" s="21">
        <f>ROUND(RAND()*4+6,1)</f>
      </c>
      <c r="I131" s="20" t="s">
        <v>45</v>
      </c>
      <c r="J131" s="23">
        <f>ROUND(96*1,0)&amp;"%"</f>
      </c>
    </row>
    <row x14ac:dyDescent="0.25" r="132" customHeight="1" ht="17.25">
      <c r="A132" s="17" t="s">
        <v>3390</v>
      </c>
      <c r="B132" s="17" t="s">
        <v>236</v>
      </c>
      <c r="C132" s="17" t="s">
        <v>95</v>
      </c>
      <c r="D132" s="17" t="s">
        <v>16</v>
      </c>
      <c r="E132" s="18">
        <f>ROUND(13029*1.05,2)</f>
      </c>
      <c r="F132" s="17" t="s">
        <v>48</v>
      </c>
      <c r="G132" s="17" t="s">
        <v>18</v>
      </c>
      <c r="H132" s="18">
        <f>ROUND(RAND()*4+6,1)</f>
      </c>
      <c r="I132" s="17" t="s">
        <v>19</v>
      </c>
      <c r="J132" s="19">
        <f>ROUND(93*1,0)&amp;"%"</f>
      </c>
    </row>
    <row x14ac:dyDescent="0.25" r="133" customHeight="1" ht="17.25">
      <c r="A133" s="20" t="s">
        <v>3391</v>
      </c>
      <c r="B133" s="20" t="s">
        <v>238</v>
      </c>
      <c r="C133" s="20" t="s">
        <v>95</v>
      </c>
      <c r="D133" s="20" t="s">
        <v>22</v>
      </c>
      <c r="E133" s="21">
        <f>ROUND(16256*1.05,2)</f>
      </c>
      <c r="F133" s="20" t="s">
        <v>51</v>
      </c>
      <c r="G133" s="20" t="s">
        <v>24</v>
      </c>
      <c r="H133" s="21">
        <f>ROUND(RAND()*4+6,1)</f>
      </c>
      <c r="I133" s="20" t="s">
        <v>25</v>
      </c>
      <c r="J133" s="23">
        <f>ROUND(68*1,0)&amp;"%"</f>
      </c>
    </row>
    <row x14ac:dyDescent="0.25" r="134" customHeight="1" ht="17.25">
      <c r="A134" s="24" t="s">
        <v>239</v>
      </c>
      <c r="B134" s="24"/>
      <c r="C134" s="24"/>
      <c r="D134" s="24"/>
      <c r="E134" s="25">
        <v>8</v>
      </c>
      <c r="F134" s="9"/>
      <c r="G134" s="9"/>
      <c r="H134" s="10"/>
      <c r="I134" s="9"/>
      <c r="J134" s="9"/>
    </row>
    <row x14ac:dyDescent="0.25" r="135" customHeight="1" ht="17.25">
      <c r="A135" s="7"/>
      <c r="B135" s="7"/>
      <c r="C135" s="7"/>
      <c r="D135" s="7"/>
      <c r="E135" s="8"/>
      <c r="F135" s="9"/>
      <c r="G135" s="9"/>
      <c r="H135" s="10"/>
      <c r="I135" s="9"/>
      <c r="J135" s="9"/>
    </row>
    <row x14ac:dyDescent="0.25" r="136" customHeight="1" ht="17.25">
      <c r="A136" s="11" t="s">
        <v>3392</v>
      </c>
      <c r="B136" s="11"/>
      <c r="C136" s="11"/>
      <c r="D136" s="11"/>
      <c r="E136" s="12"/>
      <c r="F136" s="11"/>
      <c r="G136" s="11"/>
      <c r="H136" s="13"/>
      <c r="I136" s="11"/>
      <c r="J136" s="11"/>
    </row>
    <row x14ac:dyDescent="0.25" r="137" customHeight="1" ht="17.25">
      <c r="A137" s="14" t="s">
        <v>3</v>
      </c>
      <c r="B137" s="14" t="s">
        <v>4</v>
      </c>
      <c r="C137" s="14" t="s">
        <v>5</v>
      </c>
      <c r="D137" s="14" t="s">
        <v>6</v>
      </c>
      <c r="E137" s="15" t="s">
        <v>7</v>
      </c>
      <c r="F137" s="14" t="s">
        <v>8</v>
      </c>
      <c r="G137" s="14" t="s">
        <v>9</v>
      </c>
      <c r="H137" s="16" t="s">
        <v>10</v>
      </c>
      <c r="I137" s="14" t="s">
        <v>11</v>
      </c>
      <c r="J137" s="14" t="s">
        <v>12</v>
      </c>
    </row>
    <row x14ac:dyDescent="0.25" r="138" customHeight="1" ht="17.25">
      <c r="A138" s="17" t="s">
        <v>3393</v>
      </c>
      <c r="B138" s="17" t="s">
        <v>242</v>
      </c>
      <c r="C138" s="17" t="s">
        <v>114</v>
      </c>
      <c r="D138" s="17" t="s">
        <v>16</v>
      </c>
      <c r="E138" s="18">
        <f>ROUND(4685*1.05,2)</f>
      </c>
      <c r="F138" s="17" t="s">
        <v>17</v>
      </c>
      <c r="G138" s="17" t="s">
        <v>18</v>
      </c>
      <c r="H138" s="18">
        <f>ROUND(RAND()*4+6,1)</f>
      </c>
      <c r="I138" s="17" t="s">
        <v>19</v>
      </c>
      <c r="J138" s="19">
        <f>ROUND(74*1,0)&amp;"%"</f>
      </c>
    </row>
    <row x14ac:dyDescent="0.25" r="139" customHeight="1" ht="17.25">
      <c r="A139" s="20" t="s">
        <v>3394</v>
      </c>
      <c r="B139" s="20" t="s">
        <v>244</v>
      </c>
      <c r="C139" s="20" t="s">
        <v>114</v>
      </c>
      <c r="D139" s="20" t="s">
        <v>22</v>
      </c>
      <c r="E139" s="21">
        <f>ROUND(8332*1.05,2)</f>
      </c>
      <c r="F139" s="20" t="s">
        <v>23</v>
      </c>
      <c r="G139" s="20" t="s">
        <v>24</v>
      </c>
      <c r="H139" s="21">
        <f>ROUND(RAND()*4+6,1)</f>
      </c>
      <c r="I139" s="20" t="s">
        <v>25</v>
      </c>
      <c r="J139" s="23">
        <f>ROUND(96*1,0)&amp;"%"</f>
      </c>
    </row>
    <row x14ac:dyDescent="0.25" r="140" customHeight="1" ht="17.25">
      <c r="A140" s="17" t="s">
        <v>3395</v>
      </c>
      <c r="B140" s="17" t="s">
        <v>246</v>
      </c>
      <c r="C140" s="17" t="s">
        <v>114</v>
      </c>
      <c r="D140" s="17" t="s">
        <v>28</v>
      </c>
      <c r="E140" s="18">
        <f>ROUND(11968*1.05,2)</f>
      </c>
      <c r="F140" s="17" t="s">
        <v>29</v>
      </c>
      <c r="G140" s="17" t="s">
        <v>30</v>
      </c>
      <c r="H140" s="18">
        <f>ROUND(RAND()*4+6,1)</f>
      </c>
      <c r="I140" s="17" t="s">
        <v>31</v>
      </c>
      <c r="J140" s="19">
        <f>ROUND(79*1,0)&amp;"%"</f>
      </c>
    </row>
    <row x14ac:dyDescent="0.25" r="141" customHeight="1" ht="17.25">
      <c r="A141" s="20" t="s">
        <v>3396</v>
      </c>
      <c r="B141" s="20" t="s">
        <v>248</v>
      </c>
      <c r="C141" s="20" t="s">
        <v>114</v>
      </c>
      <c r="D141" s="20" t="s">
        <v>34</v>
      </c>
      <c r="E141" s="21">
        <f>ROUND(9886*1.05,2)</f>
      </c>
      <c r="F141" s="20" t="s">
        <v>35</v>
      </c>
      <c r="G141" s="20" t="s">
        <v>18</v>
      </c>
      <c r="H141" s="21">
        <f>ROUND(RAND()*4+6,1)</f>
      </c>
      <c r="I141" s="20" t="s">
        <v>36</v>
      </c>
      <c r="J141" s="23">
        <f>ROUND(84*1,0)&amp;"%"</f>
      </c>
    </row>
    <row x14ac:dyDescent="0.25" r="142" customHeight="1" ht="17.25">
      <c r="A142" s="17" t="s">
        <v>3397</v>
      </c>
      <c r="B142" s="17" t="s">
        <v>250</v>
      </c>
      <c r="C142" s="17" t="s">
        <v>114</v>
      </c>
      <c r="D142" s="17" t="s">
        <v>39</v>
      </c>
      <c r="E142" s="18">
        <f>ROUND(9314*1.05,2)</f>
      </c>
      <c r="F142" s="17" t="s">
        <v>40</v>
      </c>
      <c r="G142" s="17" t="s">
        <v>24</v>
      </c>
      <c r="H142" s="18">
        <f>ROUND(RAND()*4+6,1)</f>
      </c>
      <c r="I142" s="17" t="s">
        <v>41</v>
      </c>
      <c r="J142" s="19">
        <f>ROUND(98*1,0)&amp;"%"</f>
      </c>
    </row>
    <row x14ac:dyDescent="0.25" r="143" customHeight="1" ht="17.25">
      <c r="A143" s="20" t="s">
        <v>3398</v>
      </c>
      <c r="B143" s="20" t="s">
        <v>252</v>
      </c>
      <c r="C143" s="20" t="s">
        <v>114</v>
      </c>
      <c r="D143" s="20" t="s">
        <v>67</v>
      </c>
      <c r="E143" s="21">
        <f>ROUND(6557*1.05,2)</f>
      </c>
      <c r="F143" s="20" t="s">
        <v>44</v>
      </c>
      <c r="G143" s="20" t="s">
        <v>30</v>
      </c>
      <c r="H143" s="21">
        <f>ROUND(RAND()*4+6,1)</f>
      </c>
      <c r="I143" s="20" t="s">
        <v>45</v>
      </c>
      <c r="J143" s="23">
        <f>ROUND(64*1,0)&amp;"%"</f>
      </c>
    </row>
    <row x14ac:dyDescent="0.25" r="144" customHeight="1" ht="17.25">
      <c r="A144" s="17" t="s">
        <v>3399</v>
      </c>
      <c r="B144" s="17" t="s">
        <v>254</v>
      </c>
      <c r="C144" s="17" t="s">
        <v>114</v>
      </c>
      <c r="D144" s="17" t="s">
        <v>16</v>
      </c>
      <c r="E144" s="18">
        <f>ROUND(15087*1.05,2)</f>
      </c>
      <c r="F144" s="17" t="s">
        <v>48</v>
      </c>
      <c r="G144" s="17" t="s">
        <v>18</v>
      </c>
      <c r="H144" s="18">
        <f>ROUND(RAND()*4+6,1)</f>
      </c>
      <c r="I144" s="17" t="s">
        <v>19</v>
      </c>
      <c r="J144" s="19">
        <f>ROUND(77*1,0)&amp;"%"</f>
      </c>
    </row>
    <row x14ac:dyDescent="0.25" r="145" customHeight="1" ht="17.25">
      <c r="A145" s="20" t="s">
        <v>3400</v>
      </c>
      <c r="B145" s="20" t="s">
        <v>256</v>
      </c>
      <c r="C145" s="20" t="s">
        <v>114</v>
      </c>
      <c r="D145" s="20" t="s">
        <v>22</v>
      </c>
      <c r="E145" s="22">
        <f>ROUND(12040*1.05,2)</f>
      </c>
      <c r="F145" s="20" t="s">
        <v>51</v>
      </c>
      <c r="G145" s="20" t="s">
        <v>24</v>
      </c>
      <c r="H145" s="21">
        <f>ROUND(RAND()*4+6,1)</f>
      </c>
      <c r="I145" s="20" t="s">
        <v>25</v>
      </c>
      <c r="J145" s="23">
        <f>ROUND(77*1,0)&amp;"%"</f>
      </c>
    </row>
    <row x14ac:dyDescent="0.25" r="146" customHeight="1" ht="17.25">
      <c r="A146" s="24" t="s">
        <v>257</v>
      </c>
      <c r="B146" s="24"/>
      <c r="C146" s="24"/>
      <c r="D146" s="24"/>
      <c r="E146" s="25">
        <v>8</v>
      </c>
      <c r="F146" s="9"/>
      <c r="G146" s="9"/>
      <c r="H146" s="10"/>
      <c r="I146" s="9"/>
      <c r="J146" s="9"/>
    </row>
    <row x14ac:dyDescent="0.25" r="147" customHeight="1" ht="17.25">
      <c r="A147" s="7"/>
      <c r="B147" s="7"/>
      <c r="C147" s="7"/>
      <c r="D147" s="7"/>
      <c r="E147" s="8"/>
      <c r="F147" s="9"/>
      <c r="G147" s="9"/>
      <c r="H147" s="10"/>
      <c r="I147" s="9"/>
      <c r="J147" s="9"/>
    </row>
    <row x14ac:dyDescent="0.25" r="148" customHeight="1" ht="17.25">
      <c r="A148" s="11" t="s">
        <v>3401</v>
      </c>
      <c r="B148" s="11"/>
      <c r="C148" s="11"/>
      <c r="D148" s="11"/>
      <c r="E148" s="12"/>
      <c r="F148" s="11"/>
      <c r="G148" s="11"/>
      <c r="H148" s="13"/>
      <c r="I148" s="11"/>
      <c r="J148" s="11"/>
    </row>
    <row x14ac:dyDescent="0.25" r="149" customHeight="1" ht="17.25">
      <c r="A149" s="14" t="s">
        <v>3</v>
      </c>
      <c r="B149" s="14" t="s">
        <v>4</v>
      </c>
      <c r="C149" s="14" t="s">
        <v>5</v>
      </c>
      <c r="D149" s="14" t="s">
        <v>6</v>
      </c>
      <c r="E149" s="15" t="s">
        <v>7</v>
      </c>
      <c r="F149" s="14" t="s">
        <v>8</v>
      </c>
      <c r="G149" s="14" t="s">
        <v>9</v>
      </c>
      <c r="H149" s="16" t="s">
        <v>10</v>
      </c>
      <c r="I149" s="14" t="s">
        <v>11</v>
      </c>
      <c r="J149" s="14" t="s">
        <v>12</v>
      </c>
    </row>
    <row x14ac:dyDescent="0.25" r="150" customHeight="1" ht="17.25">
      <c r="A150" s="17" t="s">
        <v>3402</v>
      </c>
      <c r="B150" s="17" t="s">
        <v>260</v>
      </c>
      <c r="C150" s="17" t="s">
        <v>133</v>
      </c>
      <c r="D150" s="17" t="s">
        <v>16</v>
      </c>
      <c r="E150" s="18">
        <f>ROUND(13806*1.05,2)</f>
      </c>
      <c r="F150" s="17" t="s">
        <v>17</v>
      </c>
      <c r="G150" s="17" t="s">
        <v>18</v>
      </c>
      <c r="H150" s="18">
        <f>ROUND(RAND()*4+6,1)</f>
      </c>
      <c r="I150" s="17" t="s">
        <v>19</v>
      </c>
      <c r="J150" s="19">
        <f>ROUND(71*1,0)&amp;"%"</f>
      </c>
    </row>
    <row x14ac:dyDescent="0.25" r="151" customHeight="1" ht="17.25">
      <c r="A151" s="20" t="s">
        <v>3403</v>
      </c>
      <c r="B151" s="20" t="s">
        <v>262</v>
      </c>
      <c r="C151" s="20" t="s">
        <v>133</v>
      </c>
      <c r="D151" s="20" t="s">
        <v>22</v>
      </c>
      <c r="E151" s="21">
        <f>ROUND(14806*1.05,2)</f>
      </c>
      <c r="F151" s="20" t="s">
        <v>23</v>
      </c>
      <c r="G151" s="20" t="s">
        <v>24</v>
      </c>
      <c r="H151" s="21">
        <f>ROUND(RAND()*4+6,1)</f>
      </c>
      <c r="I151" s="20" t="s">
        <v>25</v>
      </c>
      <c r="J151" s="23">
        <f>ROUND(69*1,0)&amp;"%"</f>
      </c>
    </row>
    <row x14ac:dyDescent="0.25" r="152" customHeight="1" ht="17.25">
      <c r="A152" s="17" t="s">
        <v>3404</v>
      </c>
      <c r="B152" s="17" t="s">
        <v>264</v>
      </c>
      <c r="C152" s="17" t="s">
        <v>133</v>
      </c>
      <c r="D152" s="17" t="s">
        <v>28</v>
      </c>
      <c r="E152" s="18">
        <f>ROUND(16528*1.05,2)</f>
      </c>
      <c r="F152" s="17" t="s">
        <v>29</v>
      </c>
      <c r="G152" s="17" t="s">
        <v>30</v>
      </c>
      <c r="H152" s="18">
        <f>ROUND(RAND()*4+6,1)</f>
      </c>
      <c r="I152" s="17" t="s">
        <v>31</v>
      </c>
      <c r="J152" s="19">
        <f>ROUND(94*1,0)&amp;"%"</f>
      </c>
    </row>
    <row x14ac:dyDescent="0.25" r="153" customHeight="1" ht="17.25">
      <c r="A153" s="20" t="s">
        <v>3405</v>
      </c>
      <c r="B153" s="20" t="s">
        <v>266</v>
      </c>
      <c r="C153" s="20" t="s">
        <v>133</v>
      </c>
      <c r="D153" s="20" t="s">
        <v>34</v>
      </c>
      <c r="E153" s="21">
        <f>ROUND(6261*1.05,2)</f>
      </c>
      <c r="F153" s="20" t="s">
        <v>35</v>
      </c>
      <c r="G153" s="20" t="s">
        <v>18</v>
      </c>
      <c r="H153" s="21">
        <f>ROUND(RAND()*4+6,1)</f>
      </c>
      <c r="I153" s="20" t="s">
        <v>36</v>
      </c>
      <c r="J153" s="23">
        <f>ROUND(78*1,0)&amp;"%"</f>
      </c>
    </row>
    <row x14ac:dyDescent="0.25" r="154" customHeight="1" ht="17.25">
      <c r="A154" s="17" t="s">
        <v>3406</v>
      </c>
      <c r="B154" s="17" t="s">
        <v>268</v>
      </c>
      <c r="C154" s="17" t="s">
        <v>133</v>
      </c>
      <c r="D154" s="17" t="s">
        <v>39</v>
      </c>
      <c r="E154" s="18">
        <f>ROUND(12118*1.05,2)</f>
      </c>
      <c r="F154" s="17" t="s">
        <v>40</v>
      </c>
      <c r="G154" s="17" t="s">
        <v>24</v>
      </c>
      <c r="H154" s="26">
        <f>ROUND(RAND()*4+6,1)</f>
      </c>
      <c r="I154" s="17" t="s">
        <v>41</v>
      </c>
      <c r="J154" s="19">
        <f>ROUND(61*1,0)&amp;"%"</f>
      </c>
    </row>
    <row x14ac:dyDescent="0.25" r="155" customHeight="1" ht="17.25">
      <c r="A155" s="20" t="s">
        <v>3407</v>
      </c>
      <c r="B155" s="20" t="s">
        <v>270</v>
      </c>
      <c r="C155" s="20" t="s">
        <v>133</v>
      </c>
      <c r="D155" s="20" t="s">
        <v>67</v>
      </c>
      <c r="E155" s="21">
        <f>ROUND(11578*1.05,2)</f>
      </c>
      <c r="F155" s="20" t="s">
        <v>44</v>
      </c>
      <c r="G155" s="20" t="s">
        <v>30</v>
      </c>
      <c r="H155" s="21">
        <f>ROUND(RAND()*4+6,1)</f>
      </c>
      <c r="I155" s="20" t="s">
        <v>45</v>
      </c>
      <c r="J155" s="23">
        <f>ROUND(61*1,0)&amp;"%"</f>
      </c>
    </row>
    <row x14ac:dyDescent="0.25" r="156" customHeight="1" ht="17.25">
      <c r="A156" s="17" t="s">
        <v>3408</v>
      </c>
      <c r="B156" s="17" t="s">
        <v>272</v>
      </c>
      <c r="C156" s="17" t="s">
        <v>133</v>
      </c>
      <c r="D156" s="17" t="s">
        <v>16</v>
      </c>
      <c r="E156" s="26">
        <f>ROUND(9300*1.05,2)</f>
      </c>
      <c r="F156" s="17" t="s">
        <v>48</v>
      </c>
      <c r="G156" s="17" t="s">
        <v>18</v>
      </c>
      <c r="H156" s="18">
        <f>ROUND(RAND()*4+6,1)</f>
      </c>
      <c r="I156" s="17" t="s">
        <v>19</v>
      </c>
      <c r="J156" s="19">
        <f>ROUND(89*1,0)&amp;"%"</f>
      </c>
    </row>
    <row x14ac:dyDescent="0.25" r="157" customHeight="1" ht="17.25">
      <c r="A157" s="20" t="s">
        <v>3409</v>
      </c>
      <c r="B157" s="20" t="s">
        <v>274</v>
      </c>
      <c r="C157" s="20" t="s">
        <v>133</v>
      </c>
      <c r="D157" s="20" t="s">
        <v>22</v>
      </c>
      <c r="E157" s="21">
        <f>ROUND(4986*1.05,2)</f>
      </c>
      <c r="F157" s="20" t="s">
        <v>51</v>
      </c>
      <c r="G157" s="20" t="s">
        <v>24</v>
      </c>
      <c r="H157" s="21">
        <f>ROUND(RAND()*4+6,1)</f>
      </c>
      <c r="I157" s="20" t="s">
        <v>25</v>
      </c>
      <c r="J157" s="23">
        <f>ROUND(72*1,0)&amp;"%"</f>
      </c>
    </row>
    <row x14ac:dyDescent="0.25" r="158" customHeight="1" ht="17.25">
      <c r="A158" s="24" t="s">
        <v>275</v>
      </c>
      <c r="B158" s="24"/>
      <c r="C158" s="24"/>
      <c r="D158" s="24"/>
      <c r="E158" s="25">
        <v>8</v>
      </c>
      <c r="F158" s="9"/>
      <c r="G158" s="9"/>
      <c r="H158" s="10"/>
      <c r="I158" s="9"/>
      <c r="J158" s="9"/>
    </row>
    <row x14ac:dyDescent="0.25" r="159" customHeight="1" ht="17.25">
      <c r="A159" s="7"/>
      <c r="B159" s="7"/>
      <c r="C159" s="7"/>
      <c r="D159" s="7"/>
      <c r="E159" s="8"/>
      <c r="F159" s="9"/>
      <c r="G159" s="9"/>
      <c r="H159" s="10"/>
      <c r="I159" s="9"/>
      <c r="J159" s="9"/>
    </row>
    <row x14ac:dyDescent="0.25" r="160" customHeight="1" ht="17.25">
      <c r="A160" s="11" t="s">
        <v>3410</v>
      </c>
      <c r="B160" s="11"/>
      <c r="C160" s="11"/>
      <c r="D160" s="11"/>
      <c r="E160" s="12"/>
      <c r="F160" s="11"/>
      <c r="G160" s="11"/>
      <c r="H160" s="13"/>
      <c r="I160" s="11"/>
      <c r="J160" s="11"/>
    </row>
    <row x14ac:dyDescent="0.25" r="161" customHeight="1" ht="17.25">
      <c r="A161" s="14" t="s">
        <v>3</v>
      </c>
      <c r="B161" s="14" t="s">
        <v>4</v>
      </c>
      <c r="C161" s="14" t="s">
        <v>5</v>
      </c>
      <c r="D161" s="14" t="s">
        <v>6</v>
      </c>
      <c r="E161" s="15" t="s">
        <v>7</v>
      </c>
      <c r="F161" s="14" t="s">
        <v>8</v>
      </c>
      <c r="G161" s="14" t="s">
        <v>9</v>
      </c>
      <c r="H161" s="16" t="s">
        <v>10</v>
      </c>
      <c r="I161" s="14" t="s">
        <v>11</v>
      </c>
      <c r="J161" s="14" t="s">
        <v>12</v>
      </c>
    </row>
    <row x14ac:dyDescent="0.25" r="162" customHeight="1" ht="17.25">
      <c r="A162" s="17" t="s">
        <v>3411</v>
      </c>
      <c r="B162" s="17" t="s">
        <v>278</v>
      </c>
      <c r="C162" s="17" t="s">
        <v>152</v>
      </c>
      <c r="D162" s="17" t="s">
        <v>16</v>
      </c>
      <c r="E162" s="18">
        <f>ROUND(10753*1.05,2)</f>
      </c>
      <c r="F162" s="17" t="s">
        <v>17</v>
      </c>
      <c r="G162" s="17" t="s">
        <v>18</v>
      </c>
      <c r="H162" s="18">
        <f>ROUND(RAND()*4+6,1)</f>
      </c>
      <c r="I162" s="17" t="s">
        <v>19</v>
      </c>
      <c r="J162" s="19">
        <f>ROUND(85*1,0)&amp;"%"</f>
      </c>
    </row>
    <row x14ac:dyDescent="0.25" r="163" customHeight="1" ht="17.25">
      <c r="A163" s="20" t="s">
        <v>3412</v>
      </c>
      <c r="B163" s="20" t="s">
        <v>280</v>
      </c>
      <c r="C163" s="20" t="s">
        <v>152</v>
      </c>
      <c r="D163" s="20" t="s">
        <v>22</v>
      </c>
      <c r="E163" s="21">
        <f>ROUND(14625*1.05,2)</f>
      </c>
      <c r="F163" s="20" t="s">
        <v>23</v>
      </c>
      <c r="G163" s="20" t="s">
        <v>24</v>
      </c>
      <c r="H163" s="21">
        <f>ROUND(RAND()*4+6,1)</f>
      </c>
      <c r="I163" s="20" t="s">
        <v>25</v>
      </c>
      <c r="J163" s="23">
        <f>ROUND(67*1,0)&amp;"%"</f>
      </c>
    </row>
    <row x14ac:dyDescent="0.25" r="164" customHeight="1" ht="17.25">
      <c r="A164" s="17" t="s">
        <v>3413</v>
      </c>
      <c r="B164" s="17" t="s">
        <v>282</v>
      </c>
      <c r="C164" s="17" t="s">
        <v>152</v>
      </c>
      <c r="D164" s="17" t="s">
        <v>28</v>
      </c>
      <c r="E164" s="18">
        <f>ROUND(17870*1.05,2)</f>
      </c>
      <c r="F164" s="17" t="s">
        <v>29</v>
      </c>
      <c r="G164" s="17" t="s">
        <v>30</v>
      </c>
      <c r="H164" s="18">
        <f>ROUND(RAND()*4+6,1)</f>
      </c>
      <c r="I164" s="17" t="s">
        <v>31</v>
      </c>
      <c r="J164" s="19">
        <f>ROUND(98*1,0)&amp;"%"</f>
      </c>
    </row>
    <row x14ac:dyDescent="0.25" r="165" customHeight="1" ht="17.25">
      <c r="A165" s="20" t="s">
        <v>3414</v>
      </c>
      <c r="B165" s="20" t="s">
        <v>284</v>
      </c>
      <c r="C165" s="20" t="s">
        <v>152</v>
      </c>
      <c r="D165" s="20" t="s">
        <v>34</v>
      </c>
      <c r="E165" s="21">
        <f>ROUND(17318*1.05,2)</f>
      </c>
      <c r="F165" s="20" t="s">
        <v>35</v>
      </c>
      <c r="G165" s="20" t="s">
        <v>18</v>
      </c>
      <c r="H165" s="21">
        <f>ROUND(RAND()*4+6,1)</f>
      </c>
      <c r="I165" s="20" t="s">
        <v>36</v>
      </c>
      <c r="J165" s="23">
        <f>ROUND(99*1,0)&amp;"%"</f>
      </c>
    </row>
    <row x14ac:dyDescent="0.25" r="166" customHeight="1" ht="17.25">
      <c r="A166" s="17" t="s">
        <v>3415</v>
      </c>
      <c r="B166" s="17" t="s">
        <v>286</v>
      </c>
      <c r="C166" s="17" t="s">
        <v>152</v>
      </c>
      <c r="D166" s="17" t="s">
        <v>39</v>
      </c>
      <c r="E166" s="18">
        <f>ROUND(14041*1.05,2)</f>
      </c>
      <c r="F166" s="17" t="s">
        <v>40</v>
      </c>
      <c r="G166" s="17" t="s">
        <v>24</v>
      </c>
      <c r="H166" s="18">
        <f>ROUND(RAND()*4+6,1)</f>
      </c>
      <c r="I166" s="17" t="s">
        <v>41</v>
      </c>
      <c r="J166" s="19">
        <f>ROUND(91*1,0)&amp;"%"</f>
      </c>
    </row>
    <row x14ac:dyDescent="0.25" r="167" customHeight="1" ht="17.25">
      <c r="A167" s="20" t="s">
        <v>3416</v>
      </c>
      <c r="B167" s="20" t="s">
        <v>288</v>
      </c>
      <c r="C167" s="20" t="s">
        <v>152</v>
      </c>
      <c r="D167" s="20" t="s">
        <v>67</v>
      </c>
      <c r="E167" s="21">
        <f>ROUND(15947*1.05,2)</f>
      </c>
      <c r="F167" s="20" t="s">
        <v>44</v>
      </c>
      <c r="G167" s="20" t="s">
        <v>30</v>
      </c>
      <c r="H167" s="21">
        <f>ROUND(RAND()*4+6,1)</f>
      </c>
      <c r="I167" s="20" t="s">
        <v>45</v>
      </c>
      <c r="J167" s="23">
        <f>ROUND(92*1,0)&amp;"%"</f>
      </c>
    </row>
    <row x14ac:dyDescent="0.25" r="168" customHeight="1" ht="17.25">
      <c r="A168" s="17" t="s">
        <v>3417</v>
      </c>
      <c r="B168" s="17" t="s">
        <v>290</v>
      </c>
      <c r="C168" s="17" t="s">
        <v>152</v>
      </c>
      <c r="D168" s="17" t="s">
        <v>16</v>
      </c>
      <c r="E168" s="18">
        <f>ROUND(8365*1.05,2)</f>
      </c>
      <c r="F168" s="17" t="s">
        <v>48</v>
      </c>
      <c r="G168" s="17" t="s">
        <v>18</v>
      </c>
      <c r="H168" s="18">
        <f>ROUND(RAND()*4+6,1)</f>
      </c>
      <c r="I168" s="17" t="s">
        <v>19</v>
      </c>
      <c r="J168" s="19">
        <f>ROUND(73*1,0)&amp;"%"</f>
      </c>
    </row>
    <row x14ac:dyDescent="0.25" r="169" customHeight="1" ht="17.25">
      <c r="A169" s="20" t="s">
        <v>3418</v>
      </c>
      <c r="B169" s="20" t="s">
        <v>292</v>
      </c>
      <c r="C169" s="20" t="s">
        <v>152</v>
      </c>
      <c r="D169" s="20" t="s">
        <v>22</v>
      </c>
      <c r="E169" s="21">
        <f>ROUND(7745*1.05,2)</f>
      </c>
      <c r="F169" s="20" t="s">
        <v>51</v>
      </c>
      <c r="G169" s="20" t="s">
        <v>24</v>
      </c>
      <c r="H169" s="21">
        <f>ROUND(RAND()*4+6,1)</f>
      </c>
      <c r="I169" s="20" t="s">
        <v>25</v>
      </c>
      <c r="J169" s="23">
        <f>ROUND(77*1,0)&amp;"%"</f>
      </c>
    </row>
    <row x14ac:dyDescent="0.25" r="170" customHeight="1" ht="17.25">
      <c r="A170" s="24" t="s">
        <v>293</v>
      </c>
      <c r="B170" s="24"/>
      <c r="C170" s="24"/>
      <c r="D170" s="24"/>
      <c r="E170" s="25">
        <v>8</v>
      </c>
      <c r="F170" s="9"/>
      <c r="G170" s="9"/>
      <c r="H170" s="10"/>
      <c r="I170" s="9"/>
      <c r="J170" s="9"/>
    </row>
    <row x14ac:dyDescent="0.25" r="171" customHeight="1" ht="17.25">
      <c r="A171" s="7"/>
      <c r="B171" s="7"/>
      <c r="C171" s="7"/>
      <c r="D171" s="7"/>
      <c r="E171" s="8"/>
      <c r="F171" s="9"/>
      <c r="G171" s="9"/>
      <c r="H171" s="10"/>
      <c r="I171" s="9"/>
      <c r="J171" s="9"/>
    </row>
    <row x14ac:dyDescent="0.25" r="172" customHeight="1" ht="17.25">
      <c r="A172" s="11" t="s">
        <v>3419</v>
      </c>
      <c r="B172" s="11"/>
      <c r="C172" s="11"/>
      <c r="D172" s="11"/>
      <c r="E172" s="12"/>
      <c r="F172" s="11"/>
      <c r="G172" s="11"/>
      <c r="H172" s="13"/>
      <c r="I172" s="11"/>
      <c r="J172" s="11"/>
    </row>
    <row x14ac:dyDescent="0.25" r="173" customHeight="1" ht="17.25">
      <c r="A173" s="14" t="s">
        <v>3</v>
      </c>
      <c r="B173" s="14" t="s">
        <v>4</v>
      </c>
      <c r="C173" s="14" t="s">
        <v>5</v>
      </c>
      <c r="D173" s="14" t="s">
        <v>6</v>
      </c>
      <c r="E173" s="15" t="s">
        <v>7</v>
      </c>
      <c r="F173" s="14" t="s">
        <v>8</v>
      </c>
      <c r="G173" s="14" t="s">
        <v>9</v>
      </c>
      <c r="H173" s="16" t="s">
        <v>10</v>
      </c>
      <c r="I173" s="14" t="s">
        <v>11</v>
      </c>
      <c r="J173" s="14" t="s">
        <v>12</v>
      </c>
    </row>
    <row x14ac:dyDescent="0.25" r="174" customHeight="1" ht="17.25">
      <c r="A174" s="17" t="s">
        <v>3420</v>
      </c>
      <c r="B174" s="17" t="s">
        <v>296</v>
      </c>
      <c r="C174" s="17" t="s">
        <v>15</v>
      </c>
      <c r="D174" s="17" t="s">
        <v>16</v>
      </c>
      <c r="E174" s="18">
        <f>ROUND(9286*1.05,2)</f>
      </c>
      <c r="F174" s="17" t="s">
        <v>17</v>
      </c>
      <c r="G174" s="17" t="s">
        <v>18</v>
      </c>
      <c r="H174" s="18">
        <f>ROUND(RAND()*4+6,1)</f>
      </c>
      <c r="I174" s="17" t="s">
        <v>19</v>
      </c>
      <c r="J174" s="19">
        <f>ROUND(61*1,0)&amp;"%"</f>
      </c>
    </row>
    <row x14ac:dyDescent="0.25" r="175" customHeight="1" ht="17.25">
      <c r="A175" s="20" t="s">
        <v>3421</v>
      </c>
      <c r="B175" s="20" t="s">
        <v>298</v>
      </c>
      <c r="C175" s="20" t="s">
        <v>15</v>
      </c>
      <c r="D175" s="20" t="s">
        <v>22</v>
      </c>
      <c r="E175" s="21">
        <f>ROUND(7802*1.05,2)</f>
      </c>
      <c r="F175" s="20" t="s">
        <v>23</v>
      </c>
      <c r="G175" s="20" t="s">
        <v>24</v>
      </c>
      <c r="H175" s="21">
        <f>ROUND(RAND()*4+6,1)</f>
      </c>
      <c r="I175" s="20" t="s">
        <v>25</v>
      </c>
      <c r="J175" s="23">
        <f>ROUND(77*1,0)&amp;"%"</f>
      </c>
    </row>
    <row x14ac:dyDescent="0.25" r="176" customHeight="1" ht="17.25">
      <c r="A176" s="17" t="s">
        <v>3422</v>
      </c>
      <c r="B176" s="17" t="s">
        <v>300</v>
      </c>
      <c r="C176" s="17" t="s">
        <v>15</v>
      </c>
      <c r="D176" s="17" t="s">
        <v>28</v>
      </c>
      <c r="E176" s="18">
        <f>ROUND(17083*1.05,2)</f>
      </c>
      <c r="F176" s="17" t="s">
        <v>29</v>
      </c>
      <c r="G176" s="17" t="s">
        <v>30</v>
      </c>
      <c r="H176" s="18">
        <f>ROUND(RAND()*4+6,1)</f>
      </c>
      <c r="I176" s="17" t="s">
        <v>31</v>
      </c>
      <c r="J176" s="19">
        <f>ROUND(60*1,0)&amp;"%"</f>
      </c>
    </row>
    <row x14ac:dyDescent="0.25" r="177" customHeight="1" ht="17.25">
      <c r="A177" s="20" t="s">
        <v>3423</v>
      </c>
      <c r="B177" s="20" t="s">
        <v>302</v>
      </c>
      <c r="C177" s="20" t="s">
        <v>15</v>
      </c>
      <c r="D177" s="20" t="s">
        <v>34</v>
      </c>
      <c r="E177" s="21">
        <f>ROUND(6832*1.05,2)</f>
      </c>
      <c r="F177" s="20" t="s">
        <v>35</v>
      </c>
      <c r="G177" s="20" t="s">
        <v>18</v>
      </c>
      <c r="H177" s="21">
        <f>ROUND(RAND()*4+6,1)</f>
      </c>
      <c r="I177" s="20" t="s">
        <v>36</v>
      </c>
      <c r="J177" s="23">
        <f>ROUND(76*1,0)&amp;"%"</f>
      </c>
    </row>
    <row x14ac:dyDescent="0.25" r="178" customHeight="1" ht="17.25">
      <c r="A178" s="17" t="s">
        <v>3424</v>
      </c>
      <c r="B178" s="17" t="s">
        <v>304</v>
      </c>
      <c r="C178" s="17" t="s">
        <v>15</v>
      </c>
      <c r="D178" s="17" t="s">
        <v>39</v>
      </c>
      <c r="E178" s="26">
        <f>ROUND(13660*1.05,2)</f>
      </c>
      <c r="F178" s="17" t="s">
        <v>40</v>
      </c>
      <c r="G178" s="17" t="s">
        <v>24</v>
      </c>
      <c r="H178" s="18">
        <f>ROUND(RAND()*4+6,1)</f>
      </c>
      <c r="I178" s="17" t="s">
        <v>41</v>
      </c>
      <c r="J178" s="19">
        <f>ROUND(81*1,0)&amp;"%"</f>
      </c>
    </row>
    <row x14ac:dyDescent="0.25" r="179" customHeight="1" ht="17.25">
      <c r="A179" s="20" t="s">
        <v>3425</v>
      </c>
      <c r="B179" s="20" t="s">
        <v>306</v>
      </c>
      <c r="C179" s="20" t="s">
        <v>15</v>
      </c>
      <c r="D179" s="20" t="s">
        <v>67</v>
      </c>
      <c r="E179" s="21">
        <f>ROUND(6624*1.05,2)</f>
      </c>
      <c r="F179" s="20" t="s">
        <v>44</v>
      </c>
      <c r="G179" s="20" t="s">
        <v>30</v>
      </c>
      <c r="H179" s="22">
        <f>ROUND(RAND()*4+6,1)</f>
      </c>
      <c r="I179" s="20" t="s">
        <v>45</v>
      </c>
      <c r="J179" s="23">
        <f>ROUND(84*1,0)&amp;"%"</f>
      </c>
    </row>
    <row x14ac:dyDescent="0.25" r="180" customHeight="1" ht="17.25">
      <c r="A180" s="17" t="s">
        <v>3426</v>
      </c>
      <c r="B180" s="17" t="s">
        <v>308</v>
      </c>
      <c r="C180" s="17" t="s">
        <v>15</v>
      </c>
      <c r="D180" s="17" t="s">
        <v>16</v>
      </c>
      <c r="E180" s="18">
        <f>ROUND(7243*1.05,2)</f>
      </c>
      <c r="F180" s="17" t="s">
        <v>48</v>
      </c>
      <c r="G180" s="17" t="s">
        <v>18</v>
      </c>
      <c r="H180" s="18">
        <f>ROUND(RAND()*4+6,1)</f>
      </c>
      <c r="I180" s="17" t="s">
        <v>19</v>
      </c>
      <c r="J180" s="19">
        <f>ROUND(88*1,0)&amp;"%"</f>
      </c>
    </row>
    <row x14ac:dyDescent="0.25" r="181" customHeight="1" ht="17.25">
      <c r="A181" s="20" t="s">
        <v>3427</v>
      </c>
      <c r="B181" s="20" t="s">
        <v>310</v>
      </c>
      <c r="C181" s="20" t="s">
        <v>15</v>
      </c>
      <c r="D181" s="20" t="s">
        <v>22</v>
      </c>
      <c r="E181" s="21">
        <f>ROUND(11588*1.05,2)</f>
      </c>
      <c r="F181" s="20" t="s">
        <v>51</v>
      </c>
      <c r="G181" s="20" t="s">
        <v>24</v>
      </c>
      <c r="H181" s="21">
        <f>ROUND(RAND()*4+6,1)</f>
      </c>
      <c r="I181" s="20" t="s">
        <v>25</v>
      </c>
      <c r="J181" s="23">
        <f>ROUND(60*1,0)&amp;"%"</f>
      </c>
    </row>
    <row x14ac:dyDescent="0.25" r="182" customHeight="1" ht="17.25">
      <c r="A182" s="24" t="s">
        <v>311</v>
      </c>
      <c r="B182" s="24"/>
      <c r="C182" s="24"/>
      <c r="D182" s="24"/>
      <c r="E182" s="25">
        <v>8</v>
      </c>
      <c r="F182" s="9"/>
      <c r="G182" s="9"/>
      <c r="H182" s="10"/>
      <c r="I182" s="9"/>
      <c r="J182" s="9"/>
    </row>
    <row x14ac:dyDescent="0.25" r="183" customHeight="1" ht="17.25">
      <c r="A183" s="7"/>
      <c r="B183" s="7"/>
      <c r="C183" s="7"/>
      <c r="D183" s="7"/>
      <c r="E183" s="8"/>
      <c r="F183" s="9"/>
      <c r="G183" s="9"/>
      <c r="H183" s="10"/>
      <c r="I183" s="9"/>
      <c r="J183" s="9"/>
    </row>
    <row x14ac:dyDescent="0.25" r="184" customHeight="1" ht="17.25">
      <c r="A184" s="11" t="s">
        <v>3428</v>
      </c>
      <c r="B184" s="11"/>
      <c r="C184" s="11"/>
      <c r="D184" s="11"/>
      <c r="E184" s="12"/>
      <c r="F184" s="11"/>
      <c r="G184" s="11"/>
      <c r="H184" s="13"/>
      <c r="I184" s="11"/>
      <c r="J184" s="11"/>
    </row>
    <row x14ac:dyDescent="0.25" r="185" customHeight="1" ht="17.25">
      <c r="A185" s="14" t="s">
        <v>3</v>
      </c>
      <c r="B185" s="14" t="s">
        <v>4</v>
      </c>
      <c r="C185" s="14" t="s">
        <v>5</v>
      </c>
      <c r="D185" s="14" t="s">
        <v>6</v>
      </c>
      <c r="E185" s="15" t="s">
        <v>7</v>
      </c>
      <c r="F185" s="14" t="s">
        <v>8</v>
      </c>
      <c r="G185" s="14" t="s">
        <v>9</v>
      </c>
      <c r="H185" s="16" t="s">
        <v>10</v>
      </c>
      <c r="I185" s="14" t="s">
        <v>11</v>
      </c>
      <c r="J185" s="14" t="s">
        <v>12</v>
      </c>
    </row>
    <row x14ac:dyDescent="0.25" r="186" customHeight="1" ht="17.25">
      <c r="A186" s="17" t="s">
        <v>3429</v>
      </c>
      <c r="B186" s="17" t="s">
        <v>314</v>
      </c>
      <c r="C186" s="17" t="s">
        <v>56</v>
      </c>
      <c r="D186" s="17" t="s">
        <v>16</v>
      </c>
      <c r="E186" s="18">
        <f>ROUND(6530*1.05,2)</f>
      </c>
      <c r="F186" s="17" t="s">
        <v>17</v>
      </c>
      <c r="G186" s="17" t="s">
        <v>18</v>
      </c>
      <c r="H186" s="26">
        <f>ROUND(RAND()*4+6,1)</f>
      </c>
      <c r="I186" s="17" t="s">
        <v>19</v>
      </c>
      <c r="J186" s="19">
        <f>ROUND(65*1,0)&amp;"%"</f>
      </c>
    </row>
    <row x14ac:dyDescent="0.25" r="187" customHeight="1" ht="17.25">
      <c r="A187" s="20" t="s">
        <v>3430</v>
      </c>
      <c r="B187" s="20" t="s">
        <v>316</v>
      </c>
      <c r="C187" s="20" t="s">
        <v>56</v>
      </c>
      <c r="D187" s="20" t="s">
        <v>22</v>
      </c>
      <c r="E187" s="21">
        <f>ROUND(17988*1.05,2)</f>
      </c>
      <c r="F187" s="20" t="s">
        <v>23</v>
      </c>
      <c r="G187" s="20" t="s">
        <v>24</v>
      </c>
      <c r="H187" s="21">
        <f>ROUND(RAND()*4+6,1)</f>
      </c>
      <c r="I187" s="20" t="s">
        <v>25</v>
      </c>
      <c r="J187" s="23">
        <f>ROUND(85*1,0)&amp;"%"</f>
      </c>
    </row>
    <row x14ac:dyDescent="0.25" r="188" customHeight="1" ht="17.25">
      <c r="A188" s="17" t="s">
        <v>3431</v>
      </c>
      <c r="B188" s="17" t="s">
        <v>318</v>
      </c>
      <c r="C188" s="17" t="s">
        <v>56</v>
      </c>
      <c r="D188" s="17" t="s">
        <v>28</v>
      </c>
      <c r="E188" s="18">
        <f>ROUND(8622*1.05,2)</f>
      </c>
      <c r="F188" s="17" t="s">
        <v>29</v>
      </c>
      <c r="G188" s="17" t="s">
        <v>30</v>
      </c>
      <c r="H188" s="18">
        <f>ROUND(RAND()*4+6,1)</f>
      </c>
      <c r="I188" s="17" t="s">
        <v>31</v>
      </c>
      <c r="J188" s="19">
        <f>ROUND(64*1,0)&amp;"%"</f>
      </c>
    </row>
    <row x14ac:dyDescent="0.25" r="189" customHeight="1" ht="17.25">
      <c r="A189" s="20" t="s">
        <v>3432</v>
      </c>
      <c r="B189" s="20" t="s">
        <v>320</v>
      </c>
      <c r="C189" s="20" t="s">
        <v>56</v>
      </c>
      <c r="D189" s="20" t="s">
        <v>34</v>
      </c>
      <c r="E189" s="21">
        <f>ROUND(6312*1.05,2)</f>
      </c>
      <c r="F189" s="20" t="s">
        <v>35</v>
      </c>
      <c r="G189" s="20" t="s">
        <v>18</v>
      </c>
      <c r="H189" s="21">
        <f>ROUND(RAND()*4+6,1)</f>
      </c>
      <c r="I189" s="20" t="s">
        <v>36</v>
      </c>
      <c r="J189" s="23">
        <f>ROUND(72*1,0)&amp;"%"</f>
      </c>
    </row>
    <row x14ac:dyDescent="0.25" r="190" customHeight="1" ht="17.25">
      <c r="A190" s="17" t="s">
        <v>3433</v>
      </c>
      <c r="B190" s="17" t="s">
        <v>322</v>
      </c>
      <c r="C190" s="17" t="s">
        <v>56</v>
      </c>
      <c r="D190" s="17" t="s">
        <v>39</v>
      </c>
      <c r="E190" s="18">
        <f>ROUND(7087*1.05,2)</f>
      </c>
      <c r="F190" s="17" t="s">
        <v>40</v>
      </c>
      <c r="G190" s="17" t="s">
        <v>24</v>
      </c>
      <c r="H190" s="18">
        <f>ROUND(RAND()*4+6,1)</f>
      </c>
      <c r="I190" s="17" t="s">
        <v>41</v>
      </c>
      <c r="J190" s="19">
        <f>ROUND(68*1,0)&amp;"%"</f>
      </c>
    </row>
    <row x14ac:dyDescent="0.25" r="191" customHeight="1" ht="17.25">
      <c r="A191" s="20" t="s">
        <v>3434</v>
      </c>
      <c r="B191" s="20" t="s">
        <v>324</v>
      </c>
      <c r="C191" s="20" t="s">
        <v>56</v>
      </c>
      <c r="D191" s="20" t="s">
        <v>67</v>
      </c>
      <c r="E191" s="21">
        <f>ROUND(13136*1.05,2)</f>
      </c>
      <c r="F191" s="20" t="s">
        <v>44</v>
      </c>
      <c r="G191" s="20" t="s">
        <v>30</v>
      </c>
      <c r="H191" s="21">
        <f>ROUND(RAND()*4+6,1)</f>
      </c>
      <c r="I191" s="20" t="s">
        <v>45</v>
      </c>
      <c r="J191" s="23">
        <f>ROUND(81*1,0)&amp;"%"</f>
      </c>
    </row>
    <row x14ac:dyDescent="0.25" r="192" customHeight="1" ht="17.25">
      <c r="A192" s="17" t="s">
        <v>3435</v>
      </c>
      <c r="B192" s="17" t="s">
        <v>326</v>
      </c>
      <c r="C192" s="17" t="s">
        <v>56</v>
      </c>
      <c r="D192" s="17" t="s">
        <v>16</v>
      </c>
      <c r="E192" s="18">
        <f>ROUND(14977*1.05,2)</f>
      </c>
      <c r="F192" s="17" t="s">
        <v>48</v>
      </c>
      <c r="G192" s="17" t="s">
        <v>18</v>
      </c>
      <c r="H192" s="18">
        <f>ROUND(RAND()*4+6,1)</f>
      </c>
      <c r="I192" s="17" t="s">
        <v>19</v>
      </c>
      <c r="J192" s="19">
        <f>ROUND(79*1,0)&amp;"%"</f>
      </c>
    </row>
    <row x14ac:dyDescent="0.25" r="193" customHeight="1" ht="17.25">
      <c r="A193" s="20" t="s">
        <v>3436</v>
      </c>
      <c r="B193" s="20" t="s">
        <v>328</v>
      </c>
      <c r="C193" s="20" t="s">
        <v>56</v>
      </c>
      <c r="D193" s="20" t="s">
        <v>22</v>
      </c>
      <c r="E193" s="21">
        <f>ROUND(11788*1.05,2)</f>
      </c>
      <c r="F193" s="20" t="s">
        <v>51</v>
      </c>
      <c r="G193" s="20" t="s">
        <v>24</v>
      </c>
      <c r="H193" s="22">
        <f>ROUND(RAND()*4+6,1)</f>
      </c>
      <c r="I193" s="20" t="s">
        <v>25</v>
      </c>
      <c r="J193" s="23">
        <f>ROUND(66*1,0)&amp;"%"</f>
      </c>
    </row>
    <row x14ac:dyDescent="0.25" r="194" customHeight="1" ht="17.25">
      <c r="A194" s="24" t="s">
        <v>329</v>
      </c>
      <c r="B194" s="24"/>
      <c r="C194" s="24"/>
      <c r="D194" s="24"/>
      <c r="E194" s="25">
        <v>8</v>
      </c>
      <c r="F194" s="9"/>
      <c r="G194" s="9"/>
      <c r="H194" s="10"/>
      <c r="I194" s="9"/>
      <c r="J194" s="9"/>
    </row>
    <row x14ac:dyDescent="0.25" r="195" customHeight="1" ht="17.25">
      <c r="A195" s="7"/>
      <c r="B195" s="7"/>
      <c r="C195" s="7"/>
      <c r="D195" s="7"/>
      <c r="E195" s="8"/>
      <c r="F195" s="9"/>
      <c r="G195" s="9"/>
      <c r="H195" s="10"/>
      <c r="I195" s="9"/>
      <c r="J195" s="9"/>
    </row>
    <row x14ac:dyDescent="0.25" r="196" customHeight="1" ht="17.25">
      <c r="A196" s="11" t="s">
        <v>3437</v>
      </c>
      <c r="B196" s="11"/>
      <c r="C196" s="11"/>
      <c r="D196" s="11"/>
      <c r="E196" s="12"/>
      <c r="F196" s="11"/>
      <c r="G196" s="11"/>
      <c r="H196" s="13"/>
      <c r="I196" s="11"/>
      <c r="J196" s="11"/>
    </row>
    <row x14ac:dyDescent="0.25" r="197" customHeight="1" ht="17.25">
      <c r="A197" s="14" t="s">
        <v>3</v>
      </c>
      <c r="B197" s="14" t="s">
        <v>4</v>
      </c>
      <c r="C197" s="14" t="s">
        <v>5</v>
      </c>
      <c r="D197" s="14" t="s">
        <v>6</v>
      </c>
      <c r="E197" s="15" t="s">
        <v>7</v>
      </c>
      <c r="F197" s="14" t="s">
        <v>8</v>
      </c>
      <c r="G197" s="14" t="s">
        <v>9</v>
      </c>
      <c r="H197" s="16" t="s">
        <v>10</v>
      </c>
      <c r="I197" s="14" t="s">
        <v>11</v>
      </c>
      <c r="J197" s="14" t="s">
        <v>12</v>
      </c>
    </row>
    <row x14ac:dyDescent="0.25" r="198" customHeight="1" ht="17.25">
      <c r="A198" s="17" t="s">
        <v>3438</v>
      </c>
      <c r="B198" s="17" t="s">
        <v>332</v>
      </c>
      <c r="C198" s="17" t="s">
        <v>76</v>
      </c>
      <c r="D198" s="17" t="s">
        <v>16</v>
      </c>
      <c r="E198" s="18">
        <f>ROUND(16411*1.05,2)</f>
      </c>
      <c r="F198" s="17" t="s">
        <v>17</v>
      </c>
      <c r="G198" s="17" t="s">
        <v>18</v>
      </c>
      <c r="H198" s="18">
        <f>ROUND(RAND()*4+6,1)</f>
      </c>
      <c r="I198" s="17" t="s">
        <v>19</v>
      </c>
      <c r="J198" s="19">
        <f>ROUND(67*1,0)&amp;"%"</f>
      </c>
    </row>
    <row x14ac:dyDescent="0.25" r="199" customHeight="1" ht="17.25">
      <c r="A199" s="20" t="s">
        <v>3439</v>
      </c>
      <c r="B199" s="20" t="s">
        <v>334</v>
      </c>
      <c r="C199" s="20" t="s">
        <v>76</v>
      </c>
      <c r="D199" s="20" t="s">
        <v>22</v>
      </c>
      <c r="E199" s="22">
        <f>ROUND(12800*1.05,2)</f>
      </c>
      <c r="F199" s="20" t="s">
        <v>23</v>
      </c>
      <c r="G199" s="20" t="s">
        <v>24</v>
      </c>
      <c r="H199" s="21">
        <f>ROUND(RAND()*4+6,1)</f>
      </c>
      <c r="I199" s="20" t="s">
        <v>25</v>
      </c>
      <c r="J199" s="23">
        <f>ROUND(99*1,0)&amp;"%"</f>
      </c>
    </row>
    <row x14ac:dyDescent="0.25" r="200" customHeight="1" ht="17.25">
      <c r="A200" s="17" t="s">
        <v>3440</v>
      </c>
      <c r="B200" s="17" t="s">
        <v>336</v>
      </c>
      <c r="C200" s="17" t="s">
        <v>76</v>
      </c>
      <c r="D200" s="17" t="s">
        <v>28</v>
      </c>
      <c r="E200" s="18">
        <f>ROUND(12598*1.05,2)</f>
      </c>
      <c r="F200" s="17" t="s">
        <v>29</v>
      </c>
      <c r="G200" s="17" t="s">
        <v>30</v>
      </c>
      <c r="H200" s="26">
        <f>ROUND(RAND()*4+6,1)</f>
      </c>
      <c r="I200" s="17" t="s">
        <v>31</v>
      </c>
      <c r="J200" s="19">
        <f>ROUND(99*1,0)&amp;"%"</f>
      </c>
    </row>
    <row x14ac:dyDescent="0.25" r="201" customHeight="1" ht="17.25">
      <c r="A201" s="20" t="s">
        <v>3441</v>
      </c>
      <c r="B201" s="20" t="s">
        <v>338</v>
      </c>
      <c r="C201" s="20" t="s">
        <v>76</v>
      </c>
      <c r="D201" s="20" t="s">
        <v>34</v>
      </c>
      <c r="E201" s="21">
        <f>ROUND(4143*1.05,2)</f>
      </c>
      <c r="F201" s="20" t="s">
        <v>35</v>
      </c>
      <c r="G201" s="20" t="s">
        <v>18</v>
      </c>
      <c r="H201" s="21">
        <f>ROUND(RAND()*4+6,1)</f>
      </c>
      <c r="I201" s="20" t="s">
        <v>36</v>
      </c>
      <c r="J201" s="23">
        <f>ROUND(63*1,0)&amp;"%"</f>
      </c>
    </row>
    <row x14ac:dyDescent="0.25" r="202" customHeight="1" ht="17.25">
      <c r="A202" s="17" t="s">
        <v>3442</v>
      </c>
      <c r="B202" s="17" t="s">
        <v>340</v>
      </c>
      <c r="C202" s="17" t="s">
        <v>76</v>
      </c>
      <c r="D202" s="17" t="s">
        <v>39</v>
      </c>
      <c r="E202" s="18">
        <f>ROUND(6113*1.05,2)</f>
      </c>
      <c r="F202" s="17" t="s">
        <v>40</v>
      </c>
      <c r="G202" s="17" t="s">
        <v>24</v>
      </c>
      <c r="H202" s="18">
        <f>ROUND(RAND()*4+6,1)</f>
      </c>
      <c r="I202" s="17" t="s">
        <v>41</v>
      </c>
      <c r="J202" s="19">
        <f>ROUND(70*1,0)&amp;"%"</f>
      </c>
    </row>
    <row x14ac:dyDescent="0.25" r="203" customHeight="1" ht="17.25">
      <c r="A203" s="20" t="s">
        <v>3443</v>
      </c>
      <c r="B203" s="20" t="s">
        <v>342</v>
      </c>
      <c r="C203" s="20" t="s">
        <v>76</v>
      </c>
      <c r="D203" s="20" t="s">
        <v>67</v>
      </c>
      <c r="E203" s="22">
        <f>ROUND(4320*1.05,2)</f>
      </c>
      <c r="F203" s="20" t="s">
        <v>44</v>
      </c>
      <c r="G203" s="20" t="s">
        <v>30</v>
      </c>
      <c r="H203" s="21">
        <f>ROUND(RAND()*4+6,1)</f>
      </c>
      <c r="I203" s="20" t="s">
        <v>45</v>
      </c>
      <c r="J203" s="23">
        <f>ROUND(64*1,0)&amp;"%"</f>
      </c>
    </row>
    <row x14ac:dyDescent="0.25" r="204" customHeight="1" ht="17.25">
      <c r="A204" s="17" t="s">
        <v>3444</v>
      </c>
      <c r="B204" s="17" t="s">
        <v>344</v>
      </c>
      <c r="C204" s="17" t="s">
        <v>76</v>
      </c>
      <c r="D204" s="17" t="s">
        <v>16</v>
      </c>
      <c r="E204" s="18">
        <f>ROUND(15676*1.05,2)</f>
      </c>
      <c r="F204" s="17" t="s">
        <v>48</v>
      </c>
      <c r="G204" s="17" t="s">
        <v>18</v>
      </c>
      <c r="H204" s="18">
        <f>ROUND(RAND()*4+6,1)</f>
      </c>
      <c r="I204" s="17" t="s">
        <v>19</v>
      </c>
      <c r="J204" s="19">
        <f>ROUND(87*1,0)&amp;"%"</f>
      </c>
    </row>
    <row x14ac:dyDescent="0.25" r="205" customHeight="1" ht="17.25">
      <c r="A205" s="20" t="s">
        <v>3445</v>
      </c>
      <c r="B205" s="20" t="s">
        <v>346</v>
      </c>
      <c r="C205" s="20" t="s">
        <v>76</v>
      </c>
      <c r="D205" s="20" t="s">
        <v>22</v>
      </c>
      <c r="E205" s="21">
        <f>ROUND(10430*1.05,2)</f>
      </c>
      <c r="F205" s="20" t="s">
        <v>51</v>
      </c>
      <c r="G205" s="20" t="s">
        <v>24</v>
      </c>
      <c r="H205" s="21">
        <f>ROUND(RAND()*4+6,1)</f>
      </c>
      <c r="I205" s="20" t="s">
        <v>25</v>
      </c>
      <c r="J205" s="23">
        <f>ROUND(60*1,0)&amp;"%"</f>
      </c>
    </row>
    <row x14ac:dyDescent="0.25" r="206" customHeight="1" ht="17.25">
      <c r="A206" s="24" t="s">
        <v>347</v>
      </c>
      <c r="B206" s="24"/>
      <c r="C206" s="24"/>
      <c r="D206" s="24"/>
      <c r="E206" s="25">
        <v>8</v>
      </c>
      <c r="F206" s="9"/>
      <c r="G206" s="9"/>
      <c r="H206" s="10"/>
      <c r="I206" s="9"/>
      <c r="J206" s="9"/>
    </row>
    <row x14ac:dyDescent="0.25" r="207" customHeight="1" ht="17.25">
      <c r="A207" s="7"/>
      <c r="B207" s="7"/>
      <c r="C207" s="7"/>
      <c r="D207" s="7"/>
      <c r="E207" s="8"/>
      <c r="F207" s="9"/>
      <c r="G207" s="9"/>
      <c r="H207" s="10"/>
      <c r="I207" s="9"/>
      <c r="J207" s="9"/>
    </row>
    <row x14ac:dyDescent="0.25" r="208" customHeight="1" ht="17.25">
      <c r="A208" s="11" t="s">
        <v>3446</v>
      </c>
      <c r="B208" s="11"/>
      <c r="C208" s="11"/>
      <c r="D208" s="11"/>
      <c r="E208" s="12"/>
      <c r="F208" s="11"/>
      <c r="G208" s="11"/>
      <c r="H208" s="13"/>
      <c r="I208" s="11"/>
      <c r="J208" s="11"/>
    </row>
    <row x14ac:dyDescent="0.25" r="209" customHeight="1" ht="17.25">
      <c r="A209" s="14" t="s">
        <v>3</v>
      </c>
      <c r="B209" s="14" t="s">
        <v>4</v>
      </c>
      <c r="C209" s="14" t="s">
        <v>5</v>
      </c>
      <c r="D209" s="14" t="s">
        <v>6</v>
      </c>
      <c r="E209" s="15" t="s">
        <v>7</v>
      </c>
      <c r="F209" s="14" t="s">
        <v>8</v>
      </c>
      <c r="G209" s="14" t="s">
        <v>9</v>
      </c>
      <c r="H209" s="16" t="s">
        <v>10</v>
      </c>
      <c r="I209" s="14" t="s">
        <v>11</v>
      </c>
      <c r="J209" s="14" t="s">
        <v>12</v>
      </c>
    </row>
    <row x14ac:dyDescent="0.25" r="210" customHeight="1" ht="17.25">
      <c r="A210" s="17" t="s">
        <v>3447</v>
      </c>
      <c r="B210" s="17" t="s">
        <v>350</v>
      </c>
      <c r="C210" s="17" t="s">
        <v>95</v>
      </c>
      <c r="D210" s="17" t="s">
        <v>16</v>
      </c>
      <c r="E210" s="18">
        <f>ROUND(9973*1.05,2)</f>
      </c>
      <c r="F210" s="17" t="s">
        <v>17</v>
      </c>
      <c r="G210" s="17" t="s">
        <v>18</v>
      </c>
      <c r="H210" s="18">
        <f>ROUND(RAND()*4+6,1)</f>
      </c>
      <c r="I210" s="17" t="s">
        <v>19</v>
      </c>
      <c r="J210" s="19">
        <f>ROUND(69*1,0)&amp;"%"</f>
      </c>
    </row>
    <row x14ac:dyDescent="0.25" r="211" customHeight="1" ht="17.25">
      <c r="A211" s="20" t="s">
        <v>3448</v>
      </c>
      <c r="B211" s="20" t="s">
        <v>352</v>
      </c>
      <c r="C211" s="20" t="s">
        <v>95</v>
      </c>
      <c r="D211" s="20" t="s">
        <v>22</v>
      </c>
      <c r="E211" s="21">
        <f>ROUND(11014*1.05,2)</f>
      </c>
      <c r="F211" s="20" t="s">
        <v>23</v>
      </c>
      <c r="G211" s="20" t="s">
        <v>24</v>
      </c>
      <c r="H211" s="21">
        <f>ROUND(RAND()*4+6,1)</f>
      </c>
      <c r="I211" s="20" t="s">
        <v>25</v>
      </c>
      <c r="J211" s="23">
        <f>ROUND(65*1,0)&amp;"%"</f>
      </c>
    </row>
    <row x14ac:dyDescent="0.25" r="212" customHeight="1" ht="17.25">
      <c r="A212" s="17" t="s">
        <v>3449</v>
      </c>
      <c r="B212" s="17" t="s">
        <v>354</v>
      </c>
      <c r="C212" s="17" t="s">
        <v>95</v>
      </c>
      <c r="D212" s="17" t="s">
        <v>28</v>
      </c>
      <c r="E212" s="18">
        <f>ROUND(5544*1.05,2)</f>
      </c>
      <c r="F212" s="17" t="s">
        <v>29</v>
      </c>
      <c r="G212" s="17" t="s">
        <v>30</v>
      </c>
      <c r="H212" s="26">
        <f>ROUND(RAND()*4+6,1)</f>
      </c>
      <c r="I212" s="17" t="s">
        <v>31</v>
      </c>
      <c r="J212" s="19">
        <f>ROUND(80*1,0)&amp;"%"</f>
      </c>
    </row>
    <row x14ac:dyDescent="0.25" r="213" customHeight="1" ht="17.25">
      <c r="A213" s="20" t="s">
        <v>3450</v>
      </c>
      <c r="B213" s="20" t="s">
        <v>356</v>
      </c>
      <c r="C213" s="20" t="s">
        <v>95</v>
      </c>
      <c r="D213" s="20" t="s">
        <v>34</v>
      </c>
      <c r="E213" s="21">
        <f>ROUND(10771*1.05,2)</f>
      </c>
      <c r="F213" s="20" t="s">
        <v>35</v>
      </c>
      <c r="G213" s="20" t="s">
        <v>18</v>
      </c>
      <c r="H213" s="21">
        <f>ROUND(RAND()*4+6,1)</f>
      </c>
      <c r="I213" s="20" t="s">
        <v>36</v>
      </c>
      <c r="J213" s="23">
        <f>ROUND(77*1,0)&amp;"%"</f>
      </c>
    </row>
    <row x14ac:dyDescent="0.25" r="214" customHeight="1" ht="17.25">
      <c r="A214" s="17" t="s">
        <v>3451</v>
      </c>
      <c r="B214" s="17" t="s">
        <v>358</v>
      </c>
      <c r="C214" s="17" t="s">
        <v>95</v>
      </c>
      <c r="D214" s="17" t="s">
        <v>39</v>
      </c>
      <c r="E214" s="18">
        <f>ROUND(8182*1.05,2)</f>
      </c>
      <c r="F214" s="17" t="s">
        <v>40</v>
      </c>
      <c r="G214" s="17" t="s">
        <v>24</v>
      </c>
      <c r="H214" s="18">
        <f>ROUND(RAND()*4+6,1)</f>
      </c>
      <c r="I214" s="17" t="s">
        <v>41</v>
      </c>
      <c r="J214" s="19">
        <f>ROUND(64*1,0)&amp;"%"</f>
      </c>
    </row>
    <row x14ac:dyDescent="0.25" r="215" customHeight="1" ht="17.25">
      <c r="A215" s="20" t="s">
        <v>3452</v>
      </c>
      <c r="B215" s="20" t="s">
        <v>360</v>
      </c>
      <c r="C215" s="20" t="s">
        <v>95</v>
      </c>
      <c r="D215" s="20" t="s">
        <v>67</v>
      </c>
      <c r="E215" s="21">
        <f>ROUND(17876*1.05,2)</f>
      </c>
      <c r="F215" s="20" t="s">
        <v>44</v>
      </c>
      <c r="G215" s="20" t="s">
        <v>30</v>
      </c>
      <c r="H215" s="21">
        <f>ROUND(RAND()*4+6,1)</f>
      </c>
      <c r="I215" s="20" t="s">
        <v>45</v>
      </c>
      <c r="J215" s="23">
        <f>ROUND(77*1,0)&amp;"%"</f>
      </c>
    </row>
    <row x14ac:dyDescent="0.25" r="216" customHeight="1" ht="17.25">
      <c r="A216" s="17" t="s">
        <v>3453</v>
      </c>
      <c r="B216" s="17" t="s">
        <v>362</v>
      </c>
      <c r="C216" s="17" t="s">
        <v>95</v>
      </c>
      <c r="D216" s="17" t="s">
        <v>16</v>
      </c>
      <c r="E216" s="18">
        <f>ROUND(16009*1.05,2)</f>
      </c>
      <c r="F216" s="17" t="s">
        <v>48</v>
      </c>
      <c r="G216" s="17" t="s">
        <v>18</v>
      </c>
      <c r="H216" s="18">
        <f>ROUND(RAND()*4+6,1)</f>
      </c>
      <c r="I216" s="17" t="s">
        <v>19</v>
      </c>
      <c r="J216" s="19">
        <f>ROUND(61*1,0)&amp;"%"</f>
      </c>
    </row>
    <row x14ac:dyDescent="0.25" r="217" customHeight="1" ht="17.25">
      <c r="A217" s="20" t="s">
        <v>3454</v>
      </c>
      <c r="B217" s="20" t="s">
        <v>364</v>
      </c>
      <c r="C217" s="20" t="s">
        <v>95</v>
      </c>
      <c r="D217" s="20" t="s">
        <v>22</v>
      </c>
      <c r="E217" s="21">
        <f>ROUND(14547*1.05,2)</f>
      </c>
      <c r="F217" s="20" t="s">
        <v>51</v>
      </c>
      <c r="G217" s="20" t="s">
        <v>24</v>
      </c>
      <c r="H217" s="21">
        <f>ROUND(RAND()*4+6,1)</f>
      </c>
      <c r="I217" s="20" t="s">
        <v>25</v>
      </c>
      <c r="J217" s="23">
        <f>ROUND(77*1,0)&amp;"%"</f>
      </c>
    </row>
    <row x14ac:dyDescent="0.25" r="218" customHeight="1" ht="17.25">
      <c r="A218" s="24" t="s">
        <v>365</v>
      </c>
      <c r="B218" s="24"/>
      <c r="C218" s="24"/>
      <c r="D218" s="24"/>
      <c r="E218" s="25">
        <v>8</v>
      </c>
      <c r="F218" s="9"/>
      <c r="G218" s="9"/>
      <c r="H218" s="10"/>
      <c r="I218" s="9"/>
      <c r="J218" s="9"/>
    </row>
    <row x14ac:dyDescent="0.25" r="219" customHeight="1" ht="17.25">
      <c r="A219" s="7"/>
      <c r="B219" s="7"/>
      <c r="C219" s="7"/>
      <c r="D219" s="7"/>
      <c r="E219" s="8"/>
      <c r="F219" s="9"/>
      <c r="G219" s="9"/>
      <c r="H219" s="10"/>
      <c r="I219" s="9"/>
      <c r="J219" s="9"/>
    </row>
    <row x14ac:dyDescent="0.25" r="220" customHeight="1" ht="17.25">
      <c r="A220" s="11" t="s">
        <v>3455</v>
      </c>
      <c r="B220" s="11"/>
      <c r="C220" s="11"/>
      <c r="D220" s="11"/>
      <c r="E220" s="12"/>
      <c r="F220" s="11"/>
      <c r="G220" s="11"/>
      <c r="H220" s="13"/>
      <c r="I220" s="11"/>
      <c r="J220" s="11"/>
    </row>
    <row x14ac:dyDescent="0.25" r="221" customHeight="1" ht="17.25">
      <c r="A221" s="14" t="s">
        <v>3</v>
      </c>
      <c r="B221" s="14" t="s">
        <v>4</v>
      </c>
      <c r="C221" s="14" t="s">
        <v>5</v>
      </c>
      <c r="D221" s="14" t="s">
        <v>6</v>
      </c>
      <c r="E221" s="15" t="s">
        <v>7</v>
      </c>
      <c r="F221" s="14" t="s">
        <v>8</v>
      </c>
      <c r="G221" s="14" t="s">
        <v>9</v>
      </c>
      <c r="H221" s="16" t="s">
        <v>10</v>
      </c>
      <c r="I221" s="14" t="s">
        <v>11</v>
      </c>
      <c r="J221" s="14" t="s">
        <v>12</v>
      </c>
    </row>
    <row x14ac:dyDescent="0.25" r="222" customHeight="1" ht="17.25">
      <c r="A222" s="17" t="s">
        <v>3456</v>
      </c>
      <c r="B222" s="17" t="s">
        <v>368</v>
      </c>
      <c r="C222" s="17" t="s">
        <v>114</v>
      </c>
      <c r="D222" s="17" t="s">
        <v>16</v>
      </c>
      <c r="E222" s="18">
        <f>ROUND(9751*1.05,2)</f>
      </c>
      <c r="F222" s="17" t="s">
        <v>17</v>
      </c>
      <c r="G222" s="17" t="s">
        <v>18</v>
      </c>
      <c r="H222" s="18">
        <f>ROUND(RAND()*4+6,1)</f>
      </c>
      <c r="I222" s="17" t="s">
        <v>19</v>
      </c>
      <c r="J222" s="19">
        <f>ROUND(60*1,0)&amp;"%"</f>
      </c>
    </row>
    <row x14ac:dyDescent="0.25" r="223" customHeight="1" ht="17.25">
      <c r="A223" s="20" t="s">
        <v>3457</v>
      </c>
      <c r="B223" s="20" t="s">
        <v>370</v>
      </c>
      <c r="C223" s="20" t="s">
        <v>114</v>
      </c>
      <c r="D223" s="20" t="s">
        <v>22</v>
      </c>
      <c r="E223" s="21">
        <f>ROUND(7570*1.05,2)</f>
      </c>
      <c r="F223" s="20" t="s">
        <v>23</v>
      </c>
      <c r="G223" s="20" t="s">
        <v>24</v>
      </c>
      <c r="H223" s="21">
        <f>ROUND(RAND()*4+6,1)</f>
      </c>
      <c r="I223" s="20" t="s">
        <v>25</v>
      </c>
      <c r="J223" s="23">
        <f>ROUND(90*1,0)&amp;"%"</f>
      </c>
    </row>
    <row x14ac:dyDescent="0.25" r="224" customHeight="1" ht="17.25">
      <c r="A224" s="17" t="s">
        <v>3458</v>
      </c>
      <c r="B224" s="17" t="s">
        <v>372</v>
      </c>
      <c r="C224" s="17" t="s">
        <v>114</v>
      </c>
      <c r="D224" s="17" t="s">
        <v>28</v>
      </c>
      <c r="E224" s="18">
        <f>ROUND(8325*1.05,2)</f>
      </c>
      <c r="F224" s="17" t="s">
        <v>29</v>
      </c>
      <c r="G224" s="17" t="s">
        <v>30</v>
      </c>
      <c r="H224" s="18">
        <f>ROUND(RAND()*4+6,1)</f>
      </c>
      <c r="I224" s="17" t="s">
        <v>31</v>
      </c>
      <c r="J224" s="19">
        <f>ROUND(90*1,0)&amp;"%"</f>
      </c>
    </row>
    <row x14ac:dyDescent="0.25" r="225" customHeight="1" ht="17.25">
      <c r="A225" s="20" t="s">
        <v>3459</v>
      </c>
      <c r="B225" s="20" t="s">
        <v>374</v>
      </c>
      <c r="C225" s="20" t="s">
        <v>114</v>
      </c>
      <c r="D225" s="20" t="s">
        <v>34</v>
      </c>
      <c r="E225" s="21">
        <f>ROUND(8282*1.05,2)</f>
      </c>
      <c r="F225" s="20" t="s">
        <v>35</v>
      </c>
      <c r="G225" s="20" t="s">
        <v>18</v>
      </c>
      <c r="H225" s="21">
        <f>ROUND(RAND()*4+6,1)</f>
      </c>
      <c r="I225" s="20" t="s">
        <v>36</v>
      </c>
      <c r="J225" s="23">
        <f>ROUND(62*1,0)&amp;"%"</f>
      </c>
    </row>
    <row x14ac:dyDescent="0.25" r="226" customHeight="1" ht="17.25">
      <c r="A226" s="17" t="s">
        <v>3460</v>
      </c>
      <c r="B226" s="17" t="s">
        <v>376</v>
      </c>
      <c r="C226" s="17" t="s">
        <v>114</v>
      </c>
      <c r="D226" s="17" t="s">
        <v>39</v>
      </c>
      <c r="E226" s="18">
        <f>ROUND(7837*1.05,2)</f>
      </c>
      <c r="F226" s="17" t="s">
        <v>40</v>
      </c>
      <c r="G226" s="17" t="s">
        <v>24</v>
      </c>
      <c r="H226" s="18">
        <f>ROUND(RAND()*4+6,1)</f>
      </c>
      <c r="I226" s="17" t="s">
        <v>41</v>
      </c>
      <c r="J226" s="19">
        <f>ROUND(91*1,0)&amp;"%"</f>
      </c>
    </row>
    <row x14ac:dyDescent="0.25" r="227" customHeight="1" ht="17.25">
      <c r="A227" s="20" t="s">
        <v>3461</v>
      </c>
      <c r="B227" s="20" t="s">
        <v>378</v>
      </c>
      <c r="C227" s="20" t="s">
        <v>114</v>
      </c>
      <c r="D227" s="20" t="s">
        <v>67</v>
      </c>
      <c r="E227" s="21">
        <f>ROUND(9289*1.05,2)</f>
      </c>
      <c r="F227" s="20" t="s">
        <v>44</v>
      </c>
      <c r="G227" s="20" t="s">
        <v>30</v>
      </c>
      <c r="H227" s="21">
        <f>ROUND(RAND()*4+6,1)</f>
      </c>
      <c r="I227" s="20" t="s">
        <v>45</v>
      </c>
      <c r="J227" s="23">
        <f>ROUND(89*1,0)&amp;"%"</f>
      </c>
    </row>
    <row x14ac:dyDescent="0.25" r="228" customHeight="1" ht="17.25">
      <c r="A228" s="17" t="s">
        <v>3462</v>
      </c>
      <c r="B228" s="17" t="s">
        <v>380</v>
      </c>
      <c r="C228" s="17" t="s">
        <v>114</v>
      </c>
      <c r="D228" s="17" t="s">
        <v>16</v>
      </c>
      <c r="E228" s="18">
        <f>ROUND(11864*1.05,2)</f>
      </c>
      <c r="F228" s="17" t="s">
        <v>48</v>
      </c>
      <c r="G228" s="17" t="s">
        <v>18</v>
      </c>
      <c r="H228" s="18">
        <f>ROUND(RAND()*4+6,1)</f>
      </c>
      <c r="I228" s="17" t="s">
        <v>19</v>
      </c>
      <c r="J228" s="19">
        <f>ROUND(72*1,0)&amp;"%"</f>
      </c>
    </row>
    <row x14ac:dyDescent="0.25" r="229" customHeight="1" ht="17.25">
      <c r="A229" s="20" t="s">
        <v>3463</v>
      </c>
      <c r="B229" s="20" t="s">
        <v>382</v>
      </c>
      <c r="C229" s="20" t="s">
        <v>114</v>
      </c>
      <c r="D229" s="20" t="s">
        <v>22</v>
      </c>
      <c r="E229" s="21">
        <f>ROUND(12902*1.05,2)</f>
      </c>
      <c r="F229" s="20" t="s">
        <v>51</v>
      </c>
      <c r="G229" s="20" t="s">
        <v>24</v>
      </c>
      <c r="H229" s="21">
        <f>ROUND(RAND()*4+6,1)</f>
      </c>
      <c r="I229" s="20" t="s">
        <v>25</v>
      </c>
      <c r="J229" s="23">
        <f>ROUND(68*1,0)&amp;"%"</f>
      </c>
    </row>
    <row x14ac:dyDescent="0.25" r="230" customHeight="1" ht="17.25">
      <c r="A230" s="24" t="s">
        <v>383</v>
      </c>
      <c r="B230" s="24"/>
      <c r="C230" s="24"/>
      <c r="D230" s="24"/>
      <c r="E230" s="25">
        <v>8</v>
      </c>
      <c r="F230" s="9"/>
      <c r="G230" s="9"/>
      <c r="H230" s="10"/>
      <c r="I230" s="9"/>
      <c r="J230" s="9"/>
    </row>
    <row x14ac:dyDescent="0.25" r="231" customHeight="1" ht="17.25">
      <c r="A231" s="7"/>
      <c r="B231" s="7"/>
      <c r="C231" s="7"/>
      <c r="D231" s="7"/>
      <c r="E231" s="8"/>
      <c r="F231" s="9"/>
      <c r="G231" s="9"/>
      <c r="H231" s="10"/>
      <c r="I231" s="9"/>
      <c r="J231" s="9"/>
    </row>
    <row x14ac:dyDescent="0.25" r="232" customHeight="1" ht="17.25">
      <c r="A232" s="11" t="s">
        <v>3464</v>
      </c>
      <c r="B232" s="11"/>
      <c r="C232" s="11"/>
      <c r="D232" s="11"/>
      <c r="E232" s="12"/>
      <c r="F232" s="11"/>
      <c r="G232" s="11"/>
      <c r="H232" s="13"/>
      <c r="I232" s="11"/>
      <c r="J232" s="11"/>
    </row>
    <row x14ac:dyDescent="0.25" r="233" customHeight="1" ht="17.25">
      <c r="A233" s="14" t="s">
        <v>3</v>
      </c>
      <c r="B233" s="14" t="s">
        <v>4</v>
      </c>
      <c r="C233" s="14" t="s">
        <v>5</v>
      </c>
      <c r="D233" s="14" t="s">
        <v>6</v>
      </c>
      <c r="E233" s="15" t="s">
        <v>7</v>
      </c>
      <c r="F233" s="14" t="s">
        <v>8</v>
      </c>
      <c r="G233" s="14" t="s">
        <v>9</v>
      </c>
      <c r="H233" s="16" t="s">
        <v>10</v>
      </c>
      <c r="I233" s="14" t="s">
        <v>11</v>
      </c>
      <c r="J233" s="14" t="s">
        <v>12</v>
      </c>
    </row>
    <row x14ac:dyDescent="0.25" r="234" customHeight="1" ht="17.25">
      <c r="A234" s="17" t="s">
        <v>3465</v>
      </c>
      <c r="B234" s="17" t="s">
        <v>386</v>
      </c>
      <c r="C234" s="17" t="s">
        <v>133</v>
      </c>
      <c r="D234" s="17" t="s">
        <v>16</v>
      </c>
      <c r="E234" s="18">
        <f>ROUND(10465*1.05,2)</f>
      </c>
      <c r="F234" s="17" t="s">
        <v>17</v>
      </c>
      <c r="G234" s="17" t="s">
        <v>18</v>
      </c>
      <c r="H234" s="18">
        <f>ROUND(RAND()*4+6,1)</f>
      </c>
      <c r="I234" s="17" t="s">
        <v>19</v>
      </c>
      <c r="J234" s="19">
        <f>ROUND(96*1,0)&amp;"%"</f>
      </c>
    </row>
    <row x14ac:dyDescent="0.25" r="235" customHeight="1" ht="17.25">
      <c r="A235" s="20" t="s">
        <v>3466</v>
      </c>
      <c r="B235" s="20" t="s">
        <v>388</v>
      </c>
      <c r="C235" s="20" t="s">
        <v>133</v>
      </c>
      <c r="D235" s="20" t="s">
        <v>22</v>
      </c>
      <c r="E235" s="21">
        <f>ROUND(13659*1.05,2)</f>
      </c>
      <c r="F235" s="20" t="s">
        <v>23</v>
      </c>
      <c r="G235" s="20" t="s">
        <v>24</v>
      </c>
      <c r="H235" s="21">
        <f>ROUND(RAND()*4+6,1)</f>
      </c>
      <c r="I235" s="20" t="s">
        <v>25</v>
      </c>
      <c r="J235" s="23">
        <f>ROUND(64*1,0)&amp;"%"</f>
      </c>
    </row>
    <row x14ac:dyDescent="0.25" r="236" customHeight="1" ht="17.25">
      <c r="A236" s="17" t="s">
        <v>3467</v>
      </c>
      <c r="B236" s="17" t="s">
        <v>390</v>
      </c>
      <c r="C236" s="17" t="s">
        <v>133</v>
      </c>
      <c r="D236" s="17" t="s">
        <v>28</v>
      </c>
      <c r="E236" s="18">
        <f>ROUND(5637*1.05,2)</f>
      </c>
      <c r="F236" s="17" t="s">
        <v>29</v>
      </c>
      <c r="G236" s="17" t="s">
        <v>30</v>
      </c>
      <c r="H236" s="18">
        <f>ROUND(RAND()*4+6,1)</f>
      </c>
      <c r="I236" s="17" t="s">
        <v>31</v>
      </c>
      <c r="J236" s="19">
        <f>ROUND(99*1,0)&amp;"%"</f>
      </c>
    </row>
    <row x14ac:dyDescent="0.25" r="237" customHeight="1" ht="17.25">
      <c r="A237" s="20" t="s">
        <v>3468</v>
      </c>
      <c r="B237" s="20" t="s">
        <v>392</v>
      </c>
      <c r="C237" s="20" t="s">
        <v>133</v>
      </c>
      <c r="D237" s="20" t="s">
        <v>34</v>
      </c>
      <c r="E237" s="21">
        <f>ROUND(12616*1.05,2)</f>
      </c>
      <c r="F237" s="20" t="s">
        <v>35</v>
      </c>
      <c r="G237" s="20" t="s">
        <v>18</v>
      </c>
      <c r="H237" s="21">
        <f>ROUND(RAND()*4+6,1)</f>
      </c>
      <c r="I237" s="20" t="s">
        <v>36</v>
      </c>
      <c r="J237" s="23">
        <f>ROUND(94*1,0)&amp;"%"</f>
      </c>
    </row>
    <row x14ac:dyDescent="0.25" r="238" customHeight="1" ht="17.25">
      <c r="A238" s="17" t="s">
        <v>3469</v>
      </c>
      <c r="B238" s="17" t="s">
        <v>394</v>
      </c>
      <c r="C238" s="17" t="s">
        <v>133</v>
      </c>
      <c r="D238" s="17" t="s">
        <v>39</v>
      </c>
      <c r="E238" s="18">
        <f>ROUND(15344*1.05,2)</f>
      </c>
      <c r="F238" s="17" t="s">
        <v>40</v>
      </c>
      <c r="G238" s="17" t="s">
        <v>24</v>
      </c>
      <c r="H238" s="18">
        <f>ROUND(RAND()*4+6,1)</f>
      </c>
      <c r="I238" s="17" t="s">
        <v>41</v>
      </c>
      <c r="J238" s="19">
        <f>ROUND(77*1,0)&amp;"%"</f>
      </c>
    </row>
    <row x14ac:dyDescent="0.25" r="239" customHeight="1" ht="17.25">
      <c r="A239" s="20" t="s">
        <v>3470</v>
      </c>
      <c r="B239" s="20" t="s">
        <v>396</v>
      </c>
      <c r="C239" s="20" t="s">
        <v>133</v>
      </c>
      <c r="D239" s="20" t="s">
        <v>67</v>
      </c>
      <c r="E239" s="21">
        <f>ROUND(4419*1.05,2)</f>
      </c>
      <c r="F239" s="20" t="s">
        <v>44</v>
      </c>
      <c r="G239" s="20" t="s">
        <v>30</v>
      </c>
      <c r="H239" s="21">
        <f>ROUND(RAND()*4+6,1)</f>
      </c>
      <c r="I239" s="20" t="s">
        <v>45</v>
      </c>
      <c r="J239" s="23">
        <f>ROUND(62*1,0)&amp;"%"</f>
      </c>
    </row>
    <row x14ac:dyDescent="0.25" r="240" customHeight="1" ht="17.25">
      <c r="A240" s="17" t="s">
        <v>3471</v>
      </c>
      <c r="B240" s="17" t="s">
        <v>398</v>
      </c>
      <c r="C240" s="17" t="s">
        <v>133</v>
      </c>
      <c r="D240" s="17" t="s">
        <v>16</v>
      </c>
      <c r="E240" s="26">
        <f>ROUND(4420*1.05,2)</f>
      </c>
      <c r="F240" s="17" t="s">
        <v>48</v>
      </c>
      <c r="G240" s="17" t="s">
        <v>18</v>
      </c>
      <c r="H240" s="18">
        <f>ROUND(RAND()*4+6,1)</f>
      </c>
      <c r="I240" s="17" t="s">
        <v>19</v>
      </c>
      <c r="J240" s="19">
        <f>ROUND(85*1,0)&amp;"%"</f>
      </c>
    </row>
    <row x14ac:dyDescent="0.25" r="241" customHeight="1" ht="17.25">
      <c r="A241" s="20" t="s">
        <v>3472</v>
      </c>
      <c r="B241" s="20" t="s">
        <v>400</v>
      </c>
      <c r="C241" s="20" t="s">
        <v>133</v>
      </c>
      <c r="D241" s="20" t="s">
        <v>22</v>
      </c>
      <c r="E241" s="21">
        <f>ROUND(17684*1.05,2)</f>
      </c>
      <c r="F241" s="20" t="s">
        <v>51</v>
      </c>
      <c r="G241" s="20" t="s">
        <v>24</v>
      </c>
      <c r="H241" s="21">
        <f>ROUND(RAND()*4+6,1)</f>
      </c>
      <c r="I241" s="20" t="s">
        <v>25</v>
      </c>
      <c r="J241" s="23">
        <f>ROUND(80*1,0)&amp;"%"</f>
      </c>
    </row>
    <row x14ac:dyDescent="0.25" r="242" customHeight="1" ht="17.25">
      <c r="A242" s="24" t="s">
        <v>401</v>
      </c>
      <c r="B242" s="24"/>
      <c r="C242" s="24"/>
      <c r="D242" s="24"/>
      <c r="E242" s="25">
        <v>8</v>
      </c>
      <c r="F242" s="9"/>
      <c r="G242" s="9"/>
      <c r="H242" s="10"/>
      <c r="I242" s="9"/>
      <c r="J242" s="9"/>
    </row>
    <row x14ac:dyDescent="0.25" r="243" customHeight="1" ht="17.25">
      <c r="A243" s="7"/>
      <c r="B243" s="7"/>
      <c r="C243" s="7"/>
      <c r="D243" s="7"/>
      <c r="E243" s="8"/>
      <c r="F243" s="9"/>
      <c r="G243" s="9"/>
      <c r="H243" s="10"/>
      <c r="I243" s="9"/>
      <c r="J243" s="9"/>
    </row>
    <row x14ac:dyDescent="0.25" r="244" customHeight="1" ht="17.25">
      <c r="A244" s="11" t="s">
        <v>3473</v>
      </c>
      <c r="B244" s="11"/>
      <c r="C244" s="11"/>
      <c r="D244" s="11"/>
      <c r="E244" s="12"/>
      <c r="F244" s="11"/>
      <c r="G244" s="11"/>
      <c r="H244" s="13"/>
      <c r="I244" s="11"/>
      <c r="J244" s="11"/>
    </row>
    <row x14ac:dyDescent="0.25" r="245" customHeight="1" ht="17.25">
      <c r="A245" s="14" t="s">
        <v>3</v>
      </c>
      <c r="B245" s="14" t="s">
        <v>4</v>
      </c>
      <c r="C245" s="14" t="s">
        <v>5</v>
      </c>
      <c r="D245" s="14" t="s">
        <v>6</v>
      </c>
      <c r="E245" s="15" t="s">
        <v>7</v>
      </c>
      <c r="F245" s="14" t="s">
        <v>8</v>
      </c>
      <c r="G245" s="14" t="s">
        <v>9</v>
      </c>
      <c r="H245" s="16" t="s">
        <v>10</v>
      </c>
      <c r="I245" s="14" t="s">
        <v>11</v>
      </c>
      <c r="J245" s="14" t="s">
        <v>12</v>
      </c>
    </row>
    <row x14ac:dyDescent="0.25" r="246" customHeight="1" ht="17.25">
      <c r="A246" s="17" t="s">
        <v>3474</v>
      </c>
      <c r="B246" s="17" t="s">
        <v>404</v>
      </c>
      <c r="C246" s="17" t="s">
        <v>152</v>
      </c>
      <c r="D246" s="17" t="s">
        <v>16</v>
      </c>
      <c r="E246" s="18">
        <f>ROUND(9389*1.05,2)</f>
      </c>
      <c r="F246" s="17" t="s">
        <v>17</v>
      </c>
      <c r="G246" s="17" t="s">
        <v>18</v>
      </c>
      <c r="H246" s="18">
        <f>ROUND(RAND()*4+6,1)</f>
      </c>
      <c r="I246" s="17" t="s">
        <v>19</v>
      </c>
      <c r="J246" s="19">
        <f>ROUND(98*1,0)&amp;"%"</f>
      </c>
    </row>
    <row x14ac:dyDescent="0.25" r="247" customHeight="1" ht="17.25">
      <c r="A247" s="20" t="s">
        <v>3475</v>
      </c>
      <c r="B247" s="20" t="s">
        <v>406</v>
      </c>
      <c r="C247" s="20" t="s">
        <v>152</v>
      </c>
      <c r="D247" s="20" t="s">
        <v>22</v>
      </c>
      <c r="E247" s="21">
        <f>ROUND(8248*1.05,2)</f>
      </c>
      <c r="F247" s="20" t="s">
        <v>23</v>
      </c>
      <c r="G247" s="20" t="s">
        <v>24</v>
      </c>
      <c r="H247" s="21">
        <f>ROUND(RAND()*4+6,1)</f>
      </c>
      <c r="I247" s="20" t="s">
        <v>25</v>
      </c>
      <c r="J247" s="23">
        <f>ROUND(62*1,0)&amp;"%"</f>
      </c>
    </row>
    <row x14ac:dyDescent="0.25" r="248" customHeight="1" ht="17.25">
      <c r="A248" s="17" t="s">
        <v>3476</v>
      </c>
      <c r="B248" s="17" t="s">
        <v>408</v>
      </c>
      <c r="C248" s="17" t="s">
        <v>152</v>
      </c>
      <c r="D248" s="17" t="s">
        <v>28</v>
      </c>
      <c r="E248" s="18">
        <f>ROUND(13508*1.05,2)</f>
      </c>
      <c r="F248" s="17" t="s">
        <v>29</v>
      </c>
      <c r="G248" s="17" t="s">
        <v>30</v>
      </c>
      <c r="H248" s="18">
        <f>ROUND(RAND()*4+6,1)</f>
      </c>
      <c r="I248" s="17" t="s">
        <v>31</v>
      </c>
      <c r="J248" s="19">
        <f>ROUND(62*1,0)&amp;"%"</f>
      </c>
    </row>
    <row x14ac:dyDescent="0.25" r="249" customHeight="1" ht="17.25">
      <c r="A249" s="20" t="s">
        <v>3477</v>
      </c>
      <c r="B249" s="20" t="s">
        <v>410</v>
      </c>
      <c r="C249" s="20" t="s">
        <v>152</v>
      </c>
      <c r="D249" s="20" t="s">
        <v>34</v>
      </c>
      <c r="E249" s="21">
        <f>ROUND(8762*1.05,2)</f>
      </c>
      <c r="F249" s="20" t="s">
        <v>35</v>
      </c>
      <c r="G249" s="20" t="s">
        <v>18</v>
      </c>
      <c r="H249" s="21">
        <f>ROUND(RAND()*4+6,1)</f>
      </c>
      <c r="I249" s="20" t="s">
        <v>36</v>
      </c>
      <c r="J249" s="23">
        <f>ROUND(76*1,0)&amp;"%"</f>
      </c>
    </row>
    <row x14ac:dyDescent="0.25" r="250" customHeight="1" ht="17.25">
      <c r="A250" s="17" t="s">
        <v>3478</v>
      </c>
      <c r="B250" s="17" t="s">
        <v>412</v>
      </c>
      <c r="C250" s="17" t="s">
        <v>152</v>
      </c>
      <c r="D250" s="17" t="s">
        <v>39</v>
      </c>
      <c r="E250" s="18">
        <f>ROUND(9027*1.05,2)</f>
      </c>
      <c r="F250" s="17" t="s">
        <v>40</v>
      </c>
      <c r="G250" s="17" t="s">
        <v>24</v>
      </c>
      <c r="H250" s="18">
        <f>ROUND(RAND()*4+6,1)</f>
      </c>
      <c r="I250" s="17" t="s">
        <v>41</v>
      </c>
      <c r="J250" s="19">
        <f>ROUND(81*1,0)&amp;"%"</f>
      </c>
    </row>
    <row x14ac:dyDescent="0.25" r="251" customHeight="1" ht="17.25">
      <c r="A251" s="20" t="s">
        <v>3479</v>
      </c>
      <c r="B251" s="20" t="s">
        <v>414</v>
      </c>
      <c r="C251" s="20" t="s">
        <v>152</v>
      </c>
      <c r="D251" s="20" t="s">
        <v>67</v>
      </c>
      <c r="E251" s="21">
        <f>ROUND(10843*1.05,2)</f>
      </c>
      <c r="F251" s="20" t="s">
        <v>44</v>
      </c>
      <c r="G251" s="20" t="s">
        <v>30</v>
      </c>
      <c r="H251" s="21">
        <f>ROUND(RAND()*4+6,1)</f>
      </c>
      <c r="I251" s="20" t="s">
        <v>45</v>
      </c>
      <c r="J251" s="23">
        <f>ROUND(82*1,0)&amp;"%"</f>
      </c>
    </row>
    <row x14ac:dyDescent="0.25" r="252" customHeight="1" ht="17.25">
      <c r="A252" s="17" t="s">
        <v>3480</v>
      </c>
      <c r="B252" s="17" t="s">
        <v>416</v>
      </c>
      <c r="C252" s="17" t="s">
        <v>152</v>
      </c>
      <c r="D252" s="17" t="s">
        <v>16</v>
      </c>
      <c r="E252" s="18">
        <f>ROUND(5065*1.05,2)</f>
      </c>
      <c r="F252" s="17" t="s">
        <v>48</v>
      </c>
      <c r="G252" s="17" t="s">
        <v>18</v>
      </c>
      <c r="H252" s="18">
        <f>ROUND(RAND()*4+6,1)</f>
      </c>
      <c r="I252" s="17" t="s">
        <v>19</v>
      </c>
      <c r="J252" s="19">
        <f>ROUND(70*1,0)&amp;"%"</f>
      </c>
    </row>
    <row x14ac:dyDescent="0.25" r="253" customHeight="1" ht="17.25">
      <c r="A253" s="20" t="s">
        <v>3481</v>
      </c>
      <c r="B253" s="20" t="s">
        <v>418</v>
      </c>
      <c r="C253" s="20" t="s">
        <v>152</v>
      </c>
      <c r="D253" s="20" t="s">
        <v>22</v>
      </c>
      <c r="E253" s="21">
        <f>ROUND(17851*1.05,2)</f>
      </c>
      <c r="F253" s="20" t="s">
        <v>51</v>
      </c>
      <c r="G253" s="20" t="s">
        <v>24</v>
      </c>
      <c r="H253" s="21">
        <f>ROUND(RAND()*4+6,1)</f>
      </c>
      <c r="I253" s="20" t="s">
        <v>25</v>
      </c>
      <c r="J253" s="23">
        <f>ROUND(100*1,0)&amp;"%"</f>
      </c>
    </row>
    <row x14ac:dyDescent="0.25" r="254" customHeight="1" ht="17.25">
      <c r="A254" s="24" t="s">
        <v>419</v>
      </c>
      <c r="B254" s="24"/>
      <c r="C254" s="24"/>
      <c r="D254" s="24"/>
      <c r="E254" s="25">
        <v>8</v>
      </c>
      <c r="F254" s="9"/>
      <c r="G254" s="9"/>
      <c r="H254" s="10"/>
      <c r="I254" s="9"/>
      <c r="J254" s="9"/>
    </row>
    <row x14ac:dyDescent="0.25" r="255" customHeight="1" ht="17.25">
      <c r="A255" s="7"/>
      <c r="B255" s="7"/>
      <c r="C255" s="7"/>
      <c r="D255" s="7"/>
      <c r="E255" s="8"/>
      <c r="F255" s="9"/>
      <c r="G255" s="9"/>
      <c r="H255" s="10"/>
      <c r="I255" s="9"/>
      <c r="J255" s="9"/>
    </row>
    <row x14ac:dyDescent="0.25" r="256" customHeight="1" ht="17.25">
      <c r="A256" s="11" t="s">
        <v>3482</v>
      </c>
      <c r="B256" s="11"/>
      <c r="C256" s="11"/>
      <c r="D256" s="11"/>
      <c r="E256" s="12"/>
      <c r="F256" s="11"/>
      <c r="G256" s="11"/>
      <c r="H256" s="13"/>
      <c r="I256" s="11"/>
      <c r="J256" s="11"/>
    </row>
    <row x14ac:dyDescent="0.25" r="257" customHeight="1" ht="17.25">
      <c r="A257" s="14" t="s">
        <v>3</v>
      </c>
      <c r="B257" s="14" t="s">
        <v>4</v>
      </c>
      <c r="C257" s="14" t="s">
        <v>5</v>
      </c>
      <c r="D257" s="14" t="s">
        <v>6</v>
      </c>
      <c r="E257" s="15" t="s">
        <v>7</v>
      </c>
      <c r="F257" s="14" t="s">
        <v>8</v>
      </c>
      <c r="G257" s="14" t="s">
        <v>9</v>
      </c>
      <c r="H257" s="16" t="s">
        <v>10</v>
      </c>
      <c r="I257" s="14" t="s">
        <v>11</v>
      </c>
      <c r="J257" s="14" t="s">
        <v>12</v>
      </c>
    </row>
    <row x14ac:dyDescent="0.25" r="258" customHeight="1" ht="17.25">
      <c r="A258" s="17" t="s">
        <v>3483</v>
      </c>
      <c r="B258" s="17" t="s">
        <v>422</v>
      </c>
      <c r="C258" s="17" t="s">
        <v>15</v>
      </c>
      <c r="D258" s="17" t="s">
        <v>16</v>
      </c>
      <c r="E258" s="18">
        <f>ROUND(13801*1.05,2)</f>
      </c>
      <c r="F258" s="17" t="s">
        <v>17</v>
      </c>
      <c r="G258" s="17" t="s">
        <v>18</v>
      </c>
      <c r="H258" s="18">
        <f>ROUND(RAND()*4+6,1)</f>
      </c>
      <c r="I258" s="17" t="s">
        <v>19</v>
      </c>
      <c r="J258" s="19">
        <f>ROUND(88*1,0)&amp;"%"</f>
      </c>
    </row>
    <row x14ac:dyDescent="0.25" r="259" customHeight="1" ht="17.25">
      <c r="A259" s="20" t="s">
        <v>3484</v>
      </c>
      <c r="B259" s="20" t="s">
        <v>424</v>
      </c>
      <c r="C259" s="20" t="s">
        <v>15</v>
      </c>
      <c r="D259" s="20" t="s">
        <v>22</v>
      </c>
      <c r="E259" s="21">
        <f>ROUND(10271*1.05,2)</f>
      </c>
      <c r="F259" s="20" t="s">
        <v>23</v>
      </c>
      <c r="G259" s="20" t="s">
        <v>24</v>
      </c>
      <c r="H259" s="22">
        <f>ROUND(RAND()*4+6,1)</f>
      </c>
      <c r="I259" s="20" t="s">
        <v>25</v>
      </c>
      <c r="J259" s="23">
        <f>ROUND(69*1,0)&amp;"%"</f>
      </c>
    </row>
    <row x14ac:dyDescent="0.25" r="260" customHeight="1" ht="17.25">
      <c r="A260" s="17" t="s">
        <v>3485</v>
      </c>
      <c r="B260" s="17" t="s">
        <v>426</v>
      </c>
      <c r="C260" s="17" t="s">
        <v>15</v>
      </c>
      <c r="D260" s="17" t="s">
        <v>28</v>
      </c>
      <c r="E260" s="18">
        <f>ROUND(17056*1.05,2)</f>
      </c>
      <c r="F260" s="17" t="s">
        <v>29</v>
      </c>
      <c r="G260" s="17" t="s">
        <v>30</v>
      </c>
      <c r="H260" s="18">
        <f>ROUND(RAND()*4+6,1)</f>
      </c>
      <c r="I260" s="17" t="s">
        <v>31</v>
      </c>
      <c r="J260" s="19">
        <f>ROUND(92*1,0)&amp;"%"</f>
      </c>
    </row>
    <row x14ac:dyDescent="0.25" r="261" customHeight="1" ht="17.25">
      <c r="A261" s="20" t="s">
        <v>3486</v>
      </c>
      <c r="B261" s="20" t="s">
        <v>428</v>
      </c>
      <c r="C261" s="20" t="s">
        <v>15</v>
      </c>
      <c r="D261" s="20" t="s">
        <v>34</v>
      </c>
      <c r="E261" s="21">
        <f>ROUND(8173*1.05,2)</f>
      </c>
      <c r="F261" s="20" t="s">
        <v>35</v>
      </c>
      <c r="G261" s="20" t="s">
        <v>18</v>
      </c>
      <c r="H261" s="21">
        <f>ROUND(RAND()*4+6,1)</f>
      </c>
      <c r="I261" s="20" t="s">
        <v>36</v>
      </c>
      <c r="J261" s="23">
        <f>ROUND(80*1,0)&amp;"%"</f>
      </c>
    </row>
    <row x14ac:dyDescent="0.25" r="262" customHeight="1" ht="17.25">
      <c r="A262" s="17" t="s">
        <v>3487</v>
      </c>
      <c r="B262" s="17" t="s">
        <v>430</v>
      </c>
      <c r="C262" s="17" t="s">
        <v>15</v>
      </c>
      <c r="D262" s="17" t="s">
        <v>39</v>
      </c>
      <c r="E262" s="26">
        <f>ROUND(4040*1.05,2)</f>
      </c>
      <c r="F262" s="17" t="s">
        <v>40</v>
      </c>
      <c r="G262" s="17" t="s">
        <v>24</v>
      </c>
      <c r="H262" s="18">
        <f>ROUND(RAND()*4+6,1)</f>
      </c>
      <c r="I262" s="17" t="s">
        <v>41</v>
      </c>
      <c r="J262" s="19">
        <f>ROUND(77*1,0)&amp;"%"</f>
      </c>
    </row>
    <row x14ac:dyDescent="0.25" r="263" customHeight="1" ht="17.25">
      <c r="A263" s="20" t="s">
        <v>3488</v>
      </c>
      <c r="B263" s="20" t="s">
        <v>432</v>
      </c>
      <c r="C263" s="20" t="s">
        <v>15</v>
      </c>
      <c r="D263" s="20" t="s">
        <v>67</v>
      </c>
      <c r="E263" s="21">
        <f>ROUND(6847*1.05,2)</f>
      </c>
      <c r="F263" s="20" t="s">
        <v>44</v>
      </c>
      <c r="G263" s="20" t="s">
        <v>30</v>
      </c>
      <c r="H263" s="21">
        <f>ROUND(RAND()*4+6,1)</f>
      </c>
      <c r="I263" s="20" t="s">
        <v>45</v>
      </c>
      <c r="J263" s="23">
        <f>ROUND(96*1,0)&amp;"%"</f>
      </c>
    </row>
    <row x14ac:dyDescent="0.25" r="264" customHeight="1" ht="17.25">
      <c r="A264" s="17" t="s">
        <v>3489</v>
      </c>
      <c r="B264" s="17" t="s">
        <v>434</v>
      </c>
      <c r="C264" s="17" t="s">
        <v>15</v>
      </c>
      <c r="D264" s="17" t="s">
        <v>16</v>
      </c>
      <c r="E264" s="18">
        <f>ROUND(17214*1.05,2)</f>
      </c>
      <c r="F264" s="17" t="s">
        <v>48</v>
      </c>
      <c r="G264" s="17" t="s">
        <v>18</v>
      </c>
      <c r="H264" s="26">
        <f>ROUND(RAND()*4+6,1)</f>
      </c>
      <c r="I264" s="17" t="s">
        <v>19</v>
      </c>
      <c r="J264" s="19">
        <f>ROUND(61*1,0)&amp;"%"</f>
      </c>
    </row>
    <row x14ac:dyDescent="0.25" r="265" customHeight="1" ht="17.25">
      <c r="A265" s="20" t="s">
        <v>3490</v>
      </c>
      <c r="B265" s="20" t="s">
        <v>436</v>
      </c>
      <c r="C265" s="20" t="s">
        <v>15</v>
      </c>
      <c r="D265" s="20" t="s">
        <v>22</v>
      </c>
      <c r="E265" s="21">
        <f>ROUND(17504*1.05,2)</f>
      </c>
      <c r="F265" s="20" t="s">
        <v>51</v>
      </c>
      <c r="G265" s="20" t="s">
        <v>24</v>
      </c>
      <c r="H265" s="21">
        <f>ROUND(RAND()*4+6,1)</f>
      </c>
      <c r="I265" s="20" t="s">
        <v>25</v>
      </c>
      <c r="J265" s="23">
        <f>ROUND(88*1,0)&amp;"%"</f>
      </c>
    </row>
    <row x14ac:dyDescent="0.25" r="266" customHeight="1" ht="17.25">
      <c r="A266" s="24" t="s">
        <v>437</v>
      </c>
      <c r="B266" s="24"/>
      <c r="C266" s="24"/>
      <c r="D266" s="24"/>
      <c r="E266" s="25">
        <v>8</v>
      </c>
      <c r="F266" s="9"/>
      <c r="G266" s="9"/>
      <c r="H266" s="10"/>
      <c r="I266" s="9"/>
      <c r="J266" s="9"/>
    </row>
    <row x14ac:dyDescent="0.25" r="267" customHeight="1" ht="17.25">
      <c r="A267" s="7"/>
      <c r="B267" s="7"/>
      <c r="C267" s="7"/>
      <c r="D267" s="7"/>
      <c r="E267" s="8"/>
      <c r="F267" s="9"/>
      <c r="G267" s="9"/>
      <c r="H267" s="10"/>
      <c r="I267" s="9"/>
      <c r="J267" s="9"/>
    </row>
    <row x14ac:dyDescent="0.25" r="268" customHeight="1" ht="17.25">
      <c r="A268" s="11" t="s">
        <v>3491</v>
      </c>
      <c r="B268" s="11"/>
      <c r="C268" s="11"/>
      <c r="D268" s="11"/>
      <c r="E268" s="12"/>
      <c r="F268" s="11"/>
      <c r="G268" s="11"/>
      <c r="H268" s="13"/>
      <c r="I268" s="11"/>
      <c r="J268" s="11"/>
    </row>
    <row x14ac:dyDescent="0.25" r="269" customHeight="1" ht="17.25">
      <c r="A269" s="14" t="s">
        <v>3</v>
      </c>
      <c r="B269" s="14" t="s">
        <v>4</v>
      </c>
      <c r="C269" s="14" t="s">
        <v>5</v>
      </c>
      <c r="D269" s="14" t="s">
        <v>6</v>
      </c>
      <c r="E269" s="15" t="s">
        <v>7</v>
      </c>
      <c r="F269" s="14" t="s">
        <v>8</v>
      </c>
      <c r="G269" s="14" t="s">
        <v>9</v>
      </c>
      <c r="H269" s="16" t="s">
        <v>10</v>
      </c>
      <c r="I269" s="14" t="s">
        <v>11</v>
      </c>
      <c r="J269" s="14" t="s">
        <v>12</v>
      </c>
    </row>
    <row x14ac:dyDescent="0.25" r="270" customHeight="1" ht="17.25">
      <c r="A270" s="17" t="s">
        <v>3492</v>
      </c>
      <c r="B270" s="17" t="s">
        <v>440</v>
      </c>
      <c r="C270" s="17" t="s">
        <v>56</v>
      </c>
      <c r="D270" s="17" t="s">
        <v>16</v>
      </c>
      <c r="E270" s="18">
        <f>ROUND(14666*1.05,2)</f>
      </c>
      <c r="F270" s="17" t="s">
        <v>17</v>
      </c>
      <c r="G270" s="17" t="s">
        <v>18</v>
      </c>
      <c r="H270" s="18">
        <f>ROUND(RAND()*4+6,1)</f>
      </c>
      <c r="I270" s="17" t="s">
        <v>19</v>
      </c>
      <c r="J270" s="19">
        <f>ROUND(92*1,0)&amp;"%"</f>
      </c>
    </row>
    <row x14ac:dyDescent="0.25" r="271" customHeight="1" ht="17.25">
      <c r="A271" s="20" t="s">
        <v>3493</v>
      </c>
      <c r="B271" s="20" t="s">
        <v>442</v>
      </c>
      <c r="C271" s="20" t="s">
        <v>56</v>
      </c>
      <c r="D271" s="20" t="s">
        <v>22</v>
      </c>
      <c r="E271" s="21">
        <f>ROUND(12478*1.05,2)</f>
      </c>
      <c r="F271" s="20" t="s">
        <v>23</v>
      </c>
      <c r="G271" s="20" t="s">
        <v>24</v>
      </c>
      <c r="H271" s="21">
        <f>ROUND(RAND()*4+6,1)</f>
      </c>
      <c r="I271" s="20" t="s">
        <v>25</v>
      </c>
      <c r="J271" s="23">
        <f>ROUND(94*1,0)&amp;"%"</f>
      </c>
    </row>
    <row x14ac:dyDescent="0.25" r="272" customHeight="1" ht="17.25">
      <c r="A272" s="17" t="s">
        <v>3494</v>
      </c>
      <c r="B272" s="17" t="s">
        <v>444</v>
      </c>
      <c r="C272" s="17" t="s">
        <v>56</v>
      </c>
      <c r="D272" s="17" t="s">
        <v>28</v>
      </c>
      <c r="E272" s="18">
        <f>ROUND(11169*1.05,2)</f>
      </c>
      <c r="F272" s="17" t="s">
        <v>29</v>
      </c>
      <c r="G272" s="17" t="s">
        <v>30</v>
      </c>
      <c r="H272" s="18">
        <f>ROUND(RAND()*4+6,1)</f>
      </c>
      <c r="I272" s="17" t="s">
        <v>31</v>
      </c>
      <c r="J272" s="19">
        <f>ROUND(66*1,0)&amp;"%"</f>
      </c>
    </row>
    <row x14ac:dyDescent="0.25" r="273" customHeight="1" ht="17.25">
      <c r="A273" s="20" t="s">
        <v>3495</v>
      </c>
      <c r="B273" s="20" t="s">
        <v>446</v>
      </c>
      <c r="C273" s="20" t="s">
        <v>56</v>
      </c>
      <c r="D273" s="20" t="s">
        <v>34</v>
      </c>
      <c r="E273" s="21">
        <f>ROUND(17469*1.05,2)</f>
      </c>
      <c r="F273" s="20" t="s">
        <v>35</v>
      </c>
      <c r="G273" s="20" t="s">
        <v>18</v>
      </c>
      <c r="H273" s="21">
        <f>ROUND(RAND()*4+6,1)</f>
      </c>
      <c r="I273" s="20" t="s">
        <v>36</v>
      </c>
      <c r="J273" s="23">
        <f>ROUND(96*1,0)&amp;"%"</f>
      </c>
    </row>
    <row x14ac:dyDescent="0.25" r="274" customHeight="1" ht="17.25">
      <c r="A274" s="17" t="s">
        <v>3496</v>
      </c>
      <c r="B274" s="17" t="s">
        <v>448</v>
      </c>
      <c r="C274" s="17" t="s">
        <v>56</v>
      </c>
      <c r="D274" s="17" t="s">
        <v>39</v>
      </c>
      <c r="E274" s="18">
        <f>ROUND(9941*1.05,2)</f>
      </c>
      <c r="F274" s="17" t="s">
        <v>40</v>
      </c>
      <c r="G274" s="17" t="s">
        <v>24</v>
      </c>
      <c r="H274" s="26">
        <f>ROUND(RAND()*4+6,1)</f>
      </c>
      <c r="I274" s="17" t="s">
        <v>41</v>
      </c>
      <c r="J274" s="19">
        <f>ROUND(76*1,0)&amp;"%"</f>
      </c>
    </row>
    <row x14ac:dyDescent="0.25" r="275" customHeight="1" ht="17.25">
      <c r="A275" s="20" t="s">
        <v>3497</v>
      </c>
      <c r="B275" s="20" t="s">
        <v>450</v>
      </c>
      <c r="C275" s="20" t="s">
        <v>56</v>
      </c>
      <c r="D275" s="20" t="s">
        <v>67</v>
      </c>
      <c r="E275" s="21">
        <f>ROUND(12011*1.05,2)</f>
      </c>
      <c r="F275" s="20" t="s">
        <v>44</v>
      </c>
      <c r="G275" s="20" t="s">
        <v>30</v>
      </c>
      <c r="H275" s="21">
        <f>ROUND(RAND()*4+6,1)</f>
      </c>
      <c r="I275" s="20" t="s">
        <v>45</v>
      </c>
      <c r="J275" s="23">
        <f>ROUND(91*1,0)&amp;"%"</f>
      </c>
    </row>
    <row x14ac:dyDescent="0.25" r="276" customHeight="1" ht="17.25">
      <c r="A276" s="17" t="s">
        <v>3498</v>
      </c>
      <c r="B276" s="17" t="s">
        <v>452</v>
      </c>
      <c r="C276" s="17" t="s">
        <v>56</v>
      </c>
      <c r="D276" s="17" t="s">
        <v>16</v>
      </c>
      <c r="E276" s="18">
        <f>ROUND(15293*1.05,2)</f>
      </c>
      <c r="F276" s="17" t="s">
        <v>48</v>
      </c>
      <c r="G276" s="17" t="s">
        <v>18</v>
      </c>
      <c r="H276" s="18">
        <f>ROUND(RAND()*4+6,1)</f>
      </c>
      <c r="I276" s="17" t="s">
        <v>19</v>
      </c>
      <c r="J276" s="19">
        <f>ROUND(91*1,0)&amp;"%"</f>
      </c>
    </row>
    <row x14ac:dyDescent="0.25" r="277" customHeight="1" ht="17.25">
      <c r="A277" s="20" t="s">
        <v>3499</v>
      </c>
      <c r="B277" s="20" t="s">
        <v>454</v>
      </c>
      <c r="C277" s="20" t="s">
        <v>56</v>
      </c>
      <c r="D277" s="20" t="s">
        <v>22</v>
      </c>
      <c r="E277" s="21">
        <f>ROUND(5013*1.05,2)</f>
      </c>
      <c r="F277" s="20" t="s">
        <v>51</v>
      </c>
      <c r="G277" s="20" t="s">
        <v>24</v>
      </c>
      <c r="H277" s="21">
        <f>ROUND(RAND()*4+6,1)</f>
      </c>
      <c r="I277" s="20" t="s">
        <v>25</v>
      </c>
      <c r="J277" s="23">
        <f>ROUND(97*1,0)&amp;"%"</f>
      </c>
    </row>
    <row x14ac:dyDescent="0.25" r="278" customHeight="1" ht="17.25">
      <c r="A278" s="24" t="s">
        <v>455</v>
      </c>
      <c r="B278" s="24"/>
      <c r="C278" s="24"/>
      <c r="D278" s="24"/>
      <c r="E278" s="25">
        <v>8</v>
      </c>
      <c r="F278" s="9"/>
      <c r="G278" s="9"/>
      <c r="H278" s="10"/>
      <c r="I278" s="9"/>
      <c r="J278" s="9"/>
    </row>
    <row x14ac:dyDescent="0.25" r="279" customHeight="1" ht="17.25">
      <c r="A279" s="7"/>
      <c r="B279" s="7"/>
      <c r="C279" s="7"/>
      <c r="D279" s="7"/>
      <c r="E279" s="8"/>
      <c r="F279" s="9"/>
      <c r="G279" s="9"/>
      <c r="H279" s="10"/>
      <c r="I279" s="9"/>
      <c r="J279" s="9"/>
    </row>
    <row x14ac:dyDescent="0.25" r="280" customHeight="1" ht="17.25">
      <c r="A280" s="11" t="s">
        <v>3500</v>
      </c>
      <c r="B280" s="11"/>
      <c r="C280" s="11"/>
      <c r="D280" s="11"/>
      <c r="E280" s="12"/>
      <c r="F280" s="11"/>
      <c r="G280" s="11"/>
      <c r="H280" s="13"/>
      <c r="I280" s="11"/>
      <c r="J280" s="11"/>
    </row>
    <row x14ac:dyDescent="0.25" r="281" customHeight="1" ht="17.25">
      <c r="A281" s="14" t="s">
        <v>3</v>
      </c>
      <c r="B281" s="14" t="s">
        <v>4</v>
      </c>
      <c r="C281" s="14" t="s">
        <v>5</v>
      </c>
      <c r="D281" s="14" t="s">
        <v>6</v>
      </c>
      <c r="E281" s="15" t="s">
        <v>7</v>
      </c>
      <c r="F281" s="14" t="s">
        <v>8</v>
      </c>
      <c r="G281" s="14" t="s">
        <v>9</v>
      </c>
      <c r="H281" s="16" t="s">
        <v>10</v>
      </c>
      <c r="I281" s="14" t="s">
        <v>11</v>
      </c>
      <c r="J281" s="14" t="s">
        <v>12</v>
      </c>
    </row>
    <row x14ac:dyDescent="0.25" r="282" customHeight="1" ht="17.25">
      <c r="A282" s="17" t="s">
        <v>3501</v>
      </c>
      <c r="B282" s="17" t="s">
        <v>458</v>
      </c>
      <c r="C282" s="17" t="s">
        <v>76</v>
      </c>
      <c r="D282" s="17" t="s">
        <v>16</v>
      </c>
      <c r="E282" s="18">
        <f>ROUND(13882*1.05,2)</f>
      </c>
      <c r="F282" s="17" t="s">
        <v>17</v>
      </c>
      <c r="G282" s="17" t="s">
        <v>18</v>
      </c>
      <c r="H282" s="18">
        <f>ROUND(RAND()*4+6,1)</f>
      </c>
      <c r="I282" s="17" t="s">
        <v>19</v>
      </c>
      <c r="J282" s="19">
        <f>ROUND(99*1,0)&amp;"%"</f>
      </c>
    </row>
    <row x14ac:dyDescent="0.25" r="283" customHeight="1" ht="17.25">
      <c r="A283" s="20" t="s">
        <v>3502</v>
      </c>
      <c r="B283" s="20" t="s">
        <v>460</v>
      </c>
      <c r="C283" s="20" t="s">
        <v>76</v>
      </c>
      <c r="D283" s="20" t="s">
        <v>22</v>
      </c>
      <c r="E283" s="21">
        <f>ROUND(7502*1.05,2)</f>
      </c>
      <c r="F283" s="20" t="s">
        <v>23</v>
      </c>
      <c r="G283" s="20" t="s">
        <v>24</v>
      </c>
      <c r="H283" s="21">
        <f>ROUND(RAND()*4+6,1)</f>
      </c>
      <c r="I283" s="20" t="s">
        <v>25</v>
      </c>
      <c r="J283" s="23">
        <f>ROUND(69*1,0)&amp;"%"</f>
      </c>
    </row>
    <row x14ac:dyDescent="0.25" r="284" customHeight="1" ht="17.25">
      <c r="A284" s="17" t="s">
        <v>3503</v>
      </c>
      <c r="B284" s="17" t="s">
        <v>462</v>
      </c>
      <c r="C284" s="17" t="s">
        <v>76</v>
      </c>
      <c r="D284" s="17" t="s">
        <v>28</v>
      </c>
      <c r="E284" s="18">
        <f>ROUND(15950*1.05,2)</f>
      </c>
      <c r="F284" s="17" t="s">
        <v>29</v>
      </c>
      <c r="G284" s="17" t="s">
        <v>30</v>
      </c>
      <c r="H284" s="18">
        <f>ROUND(RAND()*4+6,1)</f>
      </c>
      <c r="I284" s="17" t="s">
        <v>31</v>
      </c>
      <c r="J284" s="19">
        <f>ROUND(84*1,0)&amp;"%"</f>
      </c>
    </row>
    <row x14ac:dyDescent="0.25" r="285" customHeight="1" ht="17.25">
      <c r="A285" s="20" t="s">
        <v>3504</v>
      </c>
      <c r="B285" s="20" t="s">
        <v>464</v>
      </c>
      <c r="C285" s="20" t="s">
        <v>76</v>
      </c>
      <c r="D285" s="20" t="s">
        <v>34</v>
      </c>
      <c r="E285" s="21">
        <f>ROUND(12582*1.05,2)</f>
      </c>
      <c r="F285" s="20" t="s">
        <v>35</v>
      </c>
      <c r="G285" s="20" t="s">
        <v>18</v>
      </c>
      <c r="H285" s="21">
        <f>ROUND(RAND()*4+6,1)</f>
      </c>
      <c r="I285" s="20" t="s">
        <v>36</v>
      </c>
      <c r="J285" s="23">
        <f>ROUND(88*1,0)&amp;"%"</f>
      </c>
    </row>
    <row x14ac:dyDescent="0.25" r="286" customHeight="1" ht="17.25">
      <c r="A286" s="17" t="s">
        <v>3505</v>
      </c>
      <c r="B286" s="17" t="s">
        <v>466</v>
      </c>
      <c r="C286" s="17" t="s">
        <v>76</v>
      </c>
      <c r="D286" s="17" t="s">
        <v>39</v>
      </c>
      <c r="E286" s="18">
        <f>ROUND(12464*1.05,2)</f>
      </c>
      <c r="F286" s="17" t="s">
        <v>40</v>
      </c>
      <c r="G286" s="17" t="s">
        <v>24</v>
      </c>
      <c r="H286" s="18">
        <f>ROUND(RAND()*4+6,1)</f>
      </c>
      <c r="I286" s="17" t="s">
        <v>41</v>
      </c>
      <c r="J286" s="19">
        <f>ROUND(64*1,0)&amp;"%"</f>
      </c>
    </row>
    <row x14ac:dyDescent="0.25" r="287" customHeight="1" ht="17.25">
      <c r="A287" s="20" t="s">
        <v>3506</v>
      </c>
      <c r="B287" s="20" t="s">
        <v>468</v>
      </c>
      <c r="C287" s="20" t="s">
        <v>76</v>
      </c>
      <c r="D287" s="20" t="s">
        <v>67</v>
      </c>
      <c r="E287" s="21">
        <f>ROUND(10925*1.05,2)</f>
      </c>
      <c r="F287" s="20" t="s">
        <v>44</v>
      </c>
      <c r="G287" s="20" t="s">
        <v>30</v>
      </c>
      <c r="H287" s="22">
        <f>ROUND(RAND()*4+6,1)</f>
      </c>
      <c r="I287" s="20" t="s">
        <v>45</v>
      </c>
      <c r="J287" s="23">
        <f>ROUND(85*1,0)&amp;"%"</f>
      </c>
    </row>
    <row x14ac:dyDescent="0.25" r="288" customHeight="1" ht="17.25">
      <c r="A288" s="17" t="s">
        <v>3507</v>
      </c>
      <c r="B288" s="17" t="s">
        <v>470</v>
      </c>
      <c r="C288" s="17" t="s">
        <v>76</v>
      </c>
      <c r="D288" s="17" t="s">
        <v>16</v>
      </c>
      <c r="E288" s="18">
        <f>ROUND(11714*1.05,2)</f>
      </c>
      <c r="F288" s="17" t="s">
        <v>48</v>
      </c>
      <c r="G288" s="17" t="s">
        <v>18</v>
      </c>
      <c r="H288" s="18">
        <f>ROUND(RAND()*4+6,1)</f>
      </c>
      <c r="I288" s="17" t="s">
        <v>19</v>
      </c>
      <c r="J288" s="19">
        <f>ROUND(90*1,0)&amp;"%"</f>
      </c>
    </row>
    <row x14ac:dyDescent="0.25" r="289" customHeight="1" ht="17.25">
      <c r="A289" s="20" t="s">
        <v>3508</v>
      </c>
      <c r="B289" s="20" t="s">
        <v>472</v>
      </c>
      <c r="C289" s="20" t="s">
        <v>76</v>
      </c>
      <c r="D289" s="20" t="s">
        <v>22</v>
      </c>
      <c r="E289" s="21">
        <f>ROUND(12979*1.05,2)</f>
      </c>
      <c r="F289" s="20" t="s">
        <v>51</v>
      </c>
      <c r="G289" s="20" t="s">
        <v>24</v>
      </c>
      <c r="H289" s="21">
        <f>ROUND(RAND()*4+6,1)</f>
      </c>
      <c r="I289" s="20" t="s">
        <v>25</v>
      </c>
      <c r="J289" s="23">
        <f>ROUND(94*1,0)&amp;"%"</f>
      </c>
    </row>
    <row x14ac:dyDescent="0.25" r="290" customHeight="1" ht="17.25">
      <c r="A290" s="24" t="s">
        <v>473</v>
      </c>
      <c r="B290" s="24"/>
      <c r="C290" s="24"/>
      <c r="D290" s="24"/>
      <c r="E290" s="25">
        <v>8</v>
      </c>
      <c r="F290" s="9"/>
      <c r="G290" s="9"/>
      <c r="H290" s="10"/>
      <c r="I290" s="9"/>
      <c r="J290" s="9"/>
    </row>
    <row x14ac:dyDescent="0.25" r="291" customHeight="1" ht="17.25">
      <c r="A291" s="7"/>
      <c r="B291" s="7"/>
      <c r="C291" s="7"/>
      <c r="D291" s="7"/>
      <c r="E291" s="8"/>
      <c r="F291" s="9"/>
      <c r="G291" s="9"/>
      <c r="H291" s="10"/>
      <c r="I291" s="9"/>
      <c r="J291" s="9"/>
    </row>
    <row x14ac:dyDescent="0.25" r="292" customHeight="1" ht="17.25">
      <c r="A292" s="11" t="s">
        <v>3509</v>
      </c>
      <c r="B292" s="11"/>
      <c r="C292" s="11"/>
      <c r="D292" s="11"/>
      <c r="E292" s="12"/>
      <c r="F292" s="11"/>
      <c r="G292" s="11"/>
      <c r="H292" s="13"/>
      <c r="I292" s="11"/>
      <c r="J292" s="11"/>
    </row>
    <row x14ac:dyDescent="0.25" r="293" customHeight="1" ht="17.25">
      <c r="A293" s="14" t="s">
        <v>3</v>
      </c>
      <c r="B293" s="14" t="s">
        <v>4</v>
      </c>
      <c r="C293" s="14" t="s">
        <v>5</v>
      </c>
      <c r="D293" s="14" t="s">
        <v>6</v>
      </c>
      <c r="E293" s="15" t="s">
        <v>7</v>
      </c>
      <c r="F293" s="14" t="s">
        <v>8</v>
      </c>
      <c r="G293" s="14" t="s">
        <v>9</v>
      </c>
      <c r="H293" s="16" t="s">
        <v>10</v>
      </c>
      <c r="I293" s="14" t="s">
        <v>11</v>
      </c>
      <c r="J293" s="14" t="s">
        <v>12</v>
      </c>
    </row>
    <row x14ac:dyDescent="0.25" r="294" customHeight="1" ht="17.25">
      <c r="A294" s="17" t="s">
        <v>3510</v>
      </c>
      <c r="B294" s="17" t="s">
        <v>476</v>
      </c>
      <c r="C294" s="17" t="s">
        <v>95</v>
      </c>
      <c r="D294" s="17" t="s">
        <v>16</v>
      </c>
      <c r="E294" s="18">
        <f>ROUND(13653*1.05,2)</f>
      </c>
      <c r="F294" s="17" t="s">
        <v>17</v>
      </c>
      <c r="G294" s="17" t="s">
        <v>18</v>
      </c>
      <c r="H294" s="18">
        <f>ROUND(RAND()*4+6,1)</f>
      </c>
      <c r="I294" s="17" t="s">
        <v>19</v>
      </c>
      <c r="J294" s="19">
        <f>ROUND(61*1,0)&amp;"%"</f>
      </c>
    </row>
    <row x14ac:dyDescent="0.25" r="295" customHeight="1" ht="17.25">
      <c r="A295" s="20" t="s">
        <v>3511</v>
      </c>
      <c r="B295" s="20" t="s">
        <v>478</v>
      </c>
      <c r="C295" s="20" t="s">
        <v>95</v>
      </c>
      <c r="D295" s="20" t="s">
        <v>22</v>
      </c>
      <c r="E295" s="21">
        <f>ROUND(13734*1.05,2)</f>
      </c>
      <c r="F295" s="20" t="s">
        <v>23</v>
      </c>
      <c r="G295" s="20" t="s">
        <v>24</v>
      </c>
      <c r="H295" s="21">
        <f>ROUND(RAND()*4+6,1)</f>
      </c>
      <c r="I295" s="20" t="s">
        <v>25</v>
      </c>
      <c r="J295" s="23">
        <f>ROUND(68*1,0)&amp;"%"</f>
      </c>
    </row>
    <row x14ac:dyDescent="0.25" r="296" customHeight="1" ht="17.25">
      <c r="A296" s="17" t="s">
        <v>3512</v>
      </c>
      <c r="B296" s="17" t="s">
        <v>480</v>
      </c>
      <c r="C296" s="17" t="s">
        <v>95</v>
      </c>
      <c r="D296" s="17" t="s">
        <v>28</v>
      </c>
      <c r="E296" s="18">
        <f>ROUND(4726*1.05,2)</f>
      </c>
      <c r="F296" s="17" t="s">
        <v>29</v>
      </c>
      <c r="G296" s="17" t="s">
        <v>30</v>
      </c>
      <c r="H296" s="18">
        <f>ROUND(RAND()*4+6,1)</f>
      </c>
      <c r="I296" s="17" t="s">
        <v>31</v>
      </c>
      <c r="J296" s="19">
        <f>ROUND(70*1,0)&amp;"%"</f>
      </c>
    </row>
    <row x14ac:dyDescent="0.25" r="297" customHeight="1" ht="17.25">
      <c r="A297" s="20" t="s">
        <v>3513</v>
      </c>
      <c r="B297" s="20" t="s">
        <v>482</v>
      </c>
      <c r="C297" s="20" t="s">
        <v>95</v>
      </c>
      <c r="D297" s="20" t="s">
        <v>34</v>
      </c>
      <c r="E297" s="21">
        <f>ROUND(16088*1.05,2)</f>
      </c>
      <c r="F297" s="20" t="s">
        <v>35</v>
      </c>
      <c r="G297" s="20" t="s">
        <v>18</v>
      </c>
      <c r="H297" s="21">
        <f>ROUND(RAND()*4+6,1)</f>
      </c>
      <c r="I297" s="20" t="s">
        <v>36</v>
      </c>
      <c r="J297" s="23">
        <f>ROUND(100*1,0)&amp;"%"</f>
      </c>
    </row>
    <row x14ac:dyDescent="0.25" r="298" customHeight="1" ht="17.25">
      <c r="A298" s="17" t="s">
        <v>3514</v>
      </c>
      <c r="B298" s="17" t="s">
        <v>484</v>
      </c>
      <c r="C298" s="17" t="s">
        <v>95</v>
      </c>
      <c r="D298" s="17" t="s">
        <v>39</v>
      </c>
      <c r="E298" s="18">
        <f>ROUND(5607*1.05,2)</f>
      </c>
      <c r="F298" s="17" t="s">
        <v>40</v>
      </c>
      <c r="G298" s="17" t="s">
        <v>24</v>
      </c>
      <c r="H298" s="18">
        <f>ROUND(RAND()*4+6,1)</f>
      </c>
      <c r="I298" s="17" t="s">
        <v>41</v>
      </c>
      <c r="J298" s="19">
        <f>ROUND(100*1,0)&amp;"%"</f>
      </c>
    </row>
    <row x14ac:dyDescent="0.25" r="299" customHeight="1" ht="17.25">
      <c r="A299" s="20" t="s">
        <v>3515</v>
      </c>
      <c r="B299" s="20" t="s">
        <v>486</v>
      </c>
      <c r="C299" s="20" t="s">
        <v>95</v>
      </c>
      <c r="D299" s="20" t="s">
        <v>67</v>
      </c>
      <c r="E299" s="21">
        <f>ROUND(6357*1.05,2)</f>
      </c>
      <c r="F299" s="20" t="s">
        <v>44</v>
      </c>
      <c r="G299" s="20" t="s">
        <v>30</v>
      </c>
      <c r="H299" s="21">
        <f>ROUND(RAND()*4+6,1)</f>
      </c>
      <c r="I299" s="20" t="s">
        <v>45</v>
      </c>
      <c r="J299" s="23">
        <f>ROUND(85*1,0)&amp;"%"</f>
      </c>
    </row>
    <row x14ac:dyDescent="0.25" r="300" customHeight="1" ht="17.25">
      <c r="A300" s="17" t="s">
        <v>3516</v>
      </c>
      <c r="B300" s="17" t="s">
        <v>488</v>
      </c>
      <c r="C300" s="17" t="s">
        <v>95</v>
      </c>
      <c r="D300" s="17" t="s">
        <v>16</v>
      </c>
      <c r="E300" s="18">
        <f>ROUND(7042*1.05,2)</f>
      </c>
      <c r="F300" s="17" t="s">
        <v>48</v>
      </c>
      <c r="G300" s="17" t="s">
        <v>18</v>
      </c>
      <c r="H300" s="18">
        <f>ROUND(RAND()*4+6,1)</f>
      </c>
      <c r="I300" s="17" t="s">
        <v>19</v>
      </c>
      <c r="J300" s="19">
        <f>ROUND(78*1,0)&amp;"%"</f>
      </c>
    </row>
    <row x14ac:dyDescent="0.25" r="301" customHeight="1" ht="17.25">
      <c r="A301" s="20" t="s">
        <v>3517</v>
      </c>
      <c r="B301" s="20" t="s">
        <v>490</v>
      </c>
      <c r="C301" s="20" t="s">
        <v>95</v>
      </c>
      <c r="D301" s="20" t="s">
        <v>22</v>
      </c>
      <c r="E301" s="21">
        <f>ROUND(15109*1.05,2)</f>
      </c>
      <c r="F301" s="20" t="s">
        <v>51</v>
      </c>
      <c r="G301" s="20" t="s">
        <v>24</v>
      </c>
      <c r="H301" s="21">
        <f>ROUND(RAND()*4+6,1)</f>
      </c>
      <c r="I301" s="20" t="s">
        <v>25</v>
      </c>
      <c r="J301" s="23">
        <f>ROUND(93*1,0)&amp;"%"</f>
      </c>
    </row>
    <row x14ac:dyDescent="0.25" r="302" customHeight="1" ht="17.25">
      <c r="A302" s="24" t="s">
        <v>491</v>
      </c>
      <c r="B302" s="24"/>
      <c r="C302" s="24"/>
      <c r="D302" s="24"/>
      <c r="E302" s="25">
        <v>8</v>
      </c>
      <c r="F302" s="9"/>
      <c r="G302" s="9"/>
      <c r="H302" s="10"/>
      <c r="I302" s="9"/>
      <c r="J302" s="9"/>
    </row>
    <row x14ac:dyDescent="0.25" r="303" customHeight="1" ht="17.25">
      <c r="A303" s="7"/>
      <c r="B303" s="7"/>
      <c r="C303" s="7"/>
      <c r="D303" s="7"/>
      <c r="E303" s="8"/>
      <c r="F303" s="9"/>
      <c r="G303" s="9"/>
      <c r="H303" s="10"/>
      <c r="I303" s="9"/>
      <c r="J303" s="9"/>
    </row>
    <row x14ac:dyDescent="0.25" r="304" customHeight="1" ht="17.25">
      <c r="A304" s="11" t="s">
        <v>3518</v>
      </c>
      <c r="B304" s="11"/>
      <c r="C304" s="11"/>
      <c r="D304" s="11"/>
      <c r="E304" s="12"/>
      <c r="F304" s="11"/>
      <c r="G304" s="11"/>
      <c r="H304" s="13"/>
      <c r="I304" s="11"/>
      <c r="J304" s="11"/>
    </row>
    <row x14ac:dyDescent="0.25" r="305" customHeight="1" ht="17.25">
      <c r="A305" s="14" t="s">
        <v>3</v>
      </c>
      <c r="B305" s="14" t="s">
        <v>4</v>
      </c>
      <c r="C305" s="14" t="s">
        <v>5</v>
      </c>
      <c r="D305" s="14" t="s">
        <v>6</v>
      </c>
      <c r="E305" s="15" t="s">
        <v>7</v>
      </c>
      <c r="F305" s="14" t="s">
        <v>8</v>
      </c>
      <c r="G305" s="14" t="s">
        <v>9</v>
      </c>
      <c r="H305" s="16" t="s">
        <v>10</v>
      </c>
      <c r="I305" s="14" t="s">
        <v>11</v>
      </c>
      <c r="J305" s="14" t="s">
        <v>12</v>
      </c>
    </row>
    <row x14ac:dyDescent="0.25" r="306" customHeight="1" ht="17.25">
      <c r="A306" s="17" t="s">
        <v>3519</v>
      </c>
      <c r="B306" s="17" t="s">
        <v>494</v>
      </c>
      <c r="C306" s="17" t="s">
        <v>114</v>
      </c>
      <c r="D306" s="17" t="s">
        <v>16</v>
      </c>
      <c r="E306" s="18">
        <f>ROUND(13348*1.05,2)</f>
      </c>
      <c r="F306" s="17" t="s">
        <v>17</v>
      </c>
      <c r="G306" s="17" t="s">
        <v>18</v>
      </c>
      <c r="H306" s="18">
        <f>ROUND(RAND()*4+6,1)</f>
      </c>
      <c r="I306" s="17" t="s">
        <v>19</v>
      </c>
      <c r="J306" s="19">
        <f>ROUND(65*1,0)&amp;"%"</f>
      </c>
    </row>
    <row x14ac:dyDescent="0.25" r="307" customHeight="1" ht="17.25">
      <c r="A307" s="20" t="s">
        <v>3520</v>
      </c>
      <c r="B307" s="20" t="s">
        <v>496</v>
      </c>
      <c r="C307" s="20" t="s">
        <v>114</v>
      </c>
      <c r="D307" s="20" t="s">
        <v>22</v>
      </c>
      <c r="E307" s="21">
        <f>ROUND(10742*1.05,2)</f>
      </c>
      <c r="F307" s="20" t="s">
        <v>23</v>
      </c>
      <c r="G307" s="20" t="s">
        <v>24</v>
      </c>
      <c r="H307" s="21">
        <f>ROUND(RAND()*4+6,1)</f>
      </c>
      <c r="I307" s="20" t="s">
        <v>25</v>
      </c>
      <c r="J307" s="23">
        <f>ROUND(93*1,0)&amp;"%"</f>
      </c>
    </row>
    <row x14ac:dyDescent="0.25" r="308" customHeight="1" ht="17.25">
      <c r="A308" s="17" t="s">
        <v>3521</v>
      </c>
      <c r="B308" s="17" t="s">
        <v>498</v>
      </c>
      <c r="C308" s="17" t="s">
        <v>114</v>
      </c>
      <c r="D308" s="17" t="s">
        <v>28</v>
      </c>
      <c r="E308" s="18">
        <f>ROUND(8764*1.05,2)</f>
      </c>
      <c r="F308" s="17" t="s">
        <v>29</v>
      </c>
      <c r="G308" s="17" t="s">
        <v>30</v>
      </c>
      <c r="H308" s="18">
        <f>ROUND(RAND()*4+6,1)</f>
      </c>
      <c r="I308" s="17" t="s">
        <v>31</v>
      </c>
      <c r="J308" s="19">
        <f>ROUND(93*1,0)&amp;"%"</f>
      </c>
    </row>
    <row x14ac:dyDescent="0.25" r="309" customHeight="1" ht="17.25">
      <c r="A309" s="20" t="s">
        <v>3522</v>
      </c>
      <c r="B309" s="20" t="s">
        <v>500</v>
      </c>
      <c r="C309" s="20" t="s">
        <v>114</v>
      </c>
      <c r="D309" s="20" t="s">
        <v>34</v>
      </c>
      <c r="E309" s="21">
        <f>ROUND(6237*1.05,2)</f>
      </c>
      <c r="F309" s="20" t="s">
        <v>35</v>
      </c>
      <c r="G309" s="20" t="s">
        <v>18</v>
      </c>
      <c r="H309" s="21">
        <f>ROUND(RAND()*4+6,1)</f>
      </c>
      <c r="I309" s="20" t="s">
        <v>36</v>
      </c>
      <c r="J309" s="23">
        <f>ROUND(76*1,0)&amp;"%"</f>
      </c>
    </row>
    <row x14ac:dyDescent="0.25" r="310" customHeight="1" ht="17.25">
      <c r="A310" s="17" t="s">
        <v>3523</v>
      </c>
      <c r="B310" s="17" t="s">
        <v>502</v>
      </c>
      <c r="C310" s="17" t="s">
        <v>114</v>
      </c>
      <c r="D310" s="17" t="s">
        <v>39</v>
      </c>
      <c r="E310" s="18">
        <f>ROUND(10428*1.05,2)</f>
      </c>
      <c r="F310" s="17" t="s">
        <v>40</v>
      </c>
      <c r="G310" s="17" t="s">
        <v>24</v>
      </c>
      <c r="H310" s="18">
        <f>ROUND(RAND()*4+6,1)</f>
      </c>
      <c r="I310" s="17" t="s">
        <v>41</v>
      </c>
      <c r="J310" s="19">
        <f>ROUND(78*1,0)&amp;"%"</f>
      </c>
    </row>
    <row x14ac:dyDescent="0.25" r="311" customHeight="1" ht="17.25">
      <c r="A311" s="20" t="s">
        <v>3524</v>
      </c>
      <c r="B311" s="20" t="s">
        <v>504</v>
      </c>
      <c r="C311" s="20" t="s">
        <v>114</v>
      </c>
      <c r="D311" s="20" t="s">
        <v>67</v>
      </c>
      <c r="E311" s="21">
        <f>ROUND(8798*1.05,2)</f>
      </c>
      <c r="F311" s="20" t="s">
        <v>44</v>
      </c>
      <c r="G311" s="20" t="s">
        <v>30</v>
      </c>
      <c r="H311" s="21">
        <f>ROUND(RAND()*4+6,1)</f>
      </c>
      <c r="I311" s="20" t="s">
        <v>45</v>
      </c>
      <c r="J311" s="23">
        <f>ROUND(92*1,0)&amp;"%"</f>
      </c>
    </row>
    <row x14ac:dyDescent="0.25" r="312" customHeight="1" ht="17.25">
      <c r="A312" s="17" t="s">
        <v>3525</v>
      </c>
      <c r="B312" s="17" t="s">
        <v>506</v>
      </c>
      <c r="C312" s="17" t="s">
        <v>114</v>
      </c>
      <c r="D312" s="17" t="s">
        <v>16</v>
      </c>
      <c r="E312" s="18">
        <f>ROUND(6734*1.05,2)</f>
      </c>
      <c r="F312" s="17" t="s">
        <v>48</v>
      </c>
      <c r="G312" s="17" t="s">
        <v>18</v>
      </c>
      <c r="H312" s="18">
        <f>ROUND(RAND()*4+6,1)</f>
      </c>
      <c r="I312" s="17" t="s">
        <v>19</v>
      </c>
      <c r="J312" s="19">
        <f>ROUND(91*1,0)&amp;"%"</f>
      </c>
    </row>
    <row x14ac:dyDescent="0.25" r="313" customHeight="1" ht="17.25">
      <c r="A313" s="20" t="s">
        <v>3526</v>
      </c>
      <c r="B313" s="20" t="s">
        <v>508</v>
      </c>
      <c r="C313" s="20" t="s">
        <v>114</v>
      </c>
      <c r="D313" s="20" t="s">
        <v>22</v>
      </c>
      <c r="E313" s="21">
        <f>ROUND(9375*1.05,2)</f>
      </c>
      <c r="F313" s="20" t="s">
        <v>51</v>
      </c>
      <c r="G313" s="20" t="s">
        <v>24</v>
      </c>
      <c r="H313" s="22">
        <f>ROUND(RAND()*4+6,1)</f>
      </c>
      <c r="I313" s="20" t="s">
        <v>25</v>
      </c>
      <c r="J313" s="23">
        <f>ROUND(85*1,0)&amp;"%"</f>
      </c>
    </row>
    <row x14ac:dyDescent="0.25" r="314" customHeight="1" ht="17.25">
      <c r="A314" s="24" t="s">
        <v>509</v>
      </c>
      <c r="B314" s="24"/>
      <c r="C314" s="24"/>
      <c r="D314" s="24"/>
      <c r="E314" s="25">
        <v>8</v>
      </c>
      <c r="F314" s="9"/>
      <c r="G314" s="9"/>
      <c r="H314" s="10"/>
      <c r="I314" s="9"/>
      <c r="J314" s="9"/>
    </row>
    <row x14ac:dyDescent="0.25" r="315" customHeight="1" ht="17.25">
      <c r="A315" s="7"/>
      <c r="B315" s="7"/>
      <c r="C315" s="7"/>
      <c r="D315" s="7"/>
      <c r="E315" s="8"/>
      <c r="F315" s="9"/>
      <c r="G315" s="9"/>
      <c r="H315" s="10"/>
      <c r="I315" s="9"/>
      <c r="J315" s="9"/>
    </row>
    <row x14ac:dyDescent="0.25" r="316" customHeight="1" ht="17.25">
      <c r="A316" s="11" t="s">
        <v>3527</v>
      </c>
      <c r="B316" s="11"/>
      <c r="C316" s="11"/>
      <c r="D316" s="11"/>
      <c r="E316" s="12"/>
      <c r="F316" s="11"/>
      <c r="G316" s="11"/>
      <c r="H316" s="13"/>
      <c r="I316" s="11"/>
      <c r="J316" s="11"/>
    </row>
    <row x14ac:dyDescent="0.25" r="317" customHeight="1" ht="17.25">
      <c r="A317" s="14" t="s">
        <v>3</v>
      </c>
      <c r="B317" s="14" t="s">
        <v>4</v>
      </c>
      <c r="C317" s="14" t="s">
        <v>5</v>
      </c>
      <c r="D317" s="14" t="s">
        <v>6</v>
      </c>
      <c r="E317" s="15" t="s">
        <v>7</v>
      </c>
      <c r="F317" s="14" t="s">
        <v>8</v>
      </c>
      <c r="G317" s="14" t="s">
        <v>9</v>
      </c>
      <c r="H317" s="16" t="s">
        <v>10</v>
      </c>
      <c r="I317" s="14" t="s">
        <v>11</v>
      </c>
      <c r="J317" s="14" t="s">
        <v>12</v>
      </c>
    </row>
    <row x14ac:dyDescent="0.25" r="318" customHeight="1" ht="17.25">
      <c r="A318" s="17" t="s">
        <v>3528</v>
      </c>
      <c r="B318" s="17" t="s">
        <v>512</v>
      </c>
      <c r="C318" s="17" t="s">
        <v>133</v>
      </c>
      <c r="D318" s="17" t="s">
        <v>16</v>
      </c>
      <c r="E318" s="18">
        <f>ROUND(17264*1.05,2)</f>
      </c>
      <c r="F318" s="17" t="s">
        <v>17</v>
      </c>
      <c r="G318" s="17" t="s">
        <v>18</v>
      </c>
      <c r="H318" s="26">
        <f>ROUND(RAND()*4+6,1)</f>
      </c>
      <c r="I318" s="17" t="s">
        <v>19</v>
      </c>
      <c r="J318" s="19">
        <f>ROUND(62*1,0)&amp;"%"</f>
      </c>
    </row>
    <row x14ac:dyDescent="0.25" r="319" customHeight="1" ht="17.25">
      <c r="A319" s="20" t="s">
        <v>3529</v>
      </c>
      <c r="B319" s="20" t="s">
        <v>514</v>
      </c>
      <c r="C319" s="20" t="s">
        <v>133</v>
      </c>
      <c r="D319" s="20" t="s">
        <v>22</v>
      </c>
      <c r="E319" s="21">
        <f>ROUND(16494*1.05,2)</f>
      </c>
      <c r="F319" s="20" t="s">
        <v>23</v>
      </c>
      <c r="G319" s="20" t="s">
        <v>24</v>
      </c>
      <c r="H319" s="21">
        <f>ROUND(RAND()*4+6,1)</f>
      </c>
      <c r="I319" s="20" t="s">
        <v>25</v>
      </c>
      <c r="J319" s="23">
        <f>ROUND(76*1,0)&amp;"%"</f>
      </c>
    </row>
    <row x14ac:dyDescent="0.25" r="320" customHeight="1" ht="17.25">
      <c r="A320" s="17" t="s">
        <v>3530</v>
      </c>
      <c r="B320" s="17" t="s">
        <v>516</v>
      </c>
      <c r="C320" s="17" t="s">
        <v>133</v>
      </c>
      <c r="D320" s="17" t="s">
        <v>28</v>
      </c>
      <c r="E320" s="18">
        <f>ROUND(16721*1.05,2)</f>
      </c>
      <c r="F320" s="17" t="s">
        <v>29</v>
      </c>
      <c r="G320" s="17" t="s">
        <v>30</v>
      </c>
      <c r="H320" s="18">
        <f>ROUND(RAND()*4+6,1)</f>
      </c>
      <c r="I320" s="17" t="s">
        <v>31</v>
      </c>
      <c r="J320" s="19">
        <f>ROUND(97*1,0)&amp;"%"</f>
      </c>
    </row>
    <row x14ac:dyDescent="0.25" r="321" customHeight="1" ht="17.25">
      <c r="A321" s="20" t="s">
        <v>3531</v>
      </c>
      <c r="B321" s="20" t="s">
        <v>518</v>
      </c>
      <c r="C321" s="20" t="s">
        <v>133</v>
      </c>
      <c r="D321" s="20" t="s">
        <v>34</v>
      </c>
      <c r="E321" s="21">
        <f>ROUND(6932*1.05,2)</f>
      </c>
      <c r="F321" s="20" t="s">
        <v>35</v>
      </c>
      <c r="G321" s="20" t="s">
        <v>18</v>
      </c>
      <c r="H321" s="21">
        <f>ROUND(RAND()*4+6,1)</f>
      </c>
      <c r="I321" s="20" t="s">
        <v>36</v>
      </c>
      <c r="J321" s="23">
        <f>ROUND(80*1,0)&amp;"%"</f>
      </c>
    </row>
    <row x14ac:dyDescent="0.25" r="322" customHeight="1" ht="17.25">
      <c r="A322" s="17" t="s">
        <v>3532</v>
      </c>
      <c r="B322" s="17" t="s">
        <v>520</v>
      </c>
      <c r="C322" s="17" t="s">
        <v>133</v>
      </c>
      <c r="D322" s="17" t="s">
        <v>39</v>
      </c>
      <c r="E322" s="18">
        <f>ROUND(8016*1.05,2)</f>
      </c>
      <c r="F322" s="17" t="s">
        <v>40</v>
      </c>
      <c r="G322" s="17" t="s">
        <v>24</v>
      </c>
      <c r="H322" s="18">
        <f>ROUND(RAND()*4+6,1)</f>
      </c>
      <c r="I322" s="17" t="s">
        <v>41</v>
      </c>
      <c r="J322" s="19">
        <f>ROUND(67*1,0)&amp;"%"</f>
      </c>
    </row>
    <row x14ac:dyDescent="0.25" r="323" customHeight="1" ht="17.25">
      <c r="A323" s="20" t="s">
        <v>3533</v>
      </c>
      <c r="B323" s="20" t="s">
        <v>522</v>
      </c>
      <c r="C323" s="20" t="s">
        <v>133</v>
      </c>
      <c r="D323" s="20" t="s">
        <v>67</v>
      </c>
      <c r="E323" s="21">
        <f>ROUND(10136*1.05,2)</f>
      </c>
      <c r="F323" s="20" t="s">
        <v>44</v>
      </c>
      <c r="G323" s="20" t="s">
        <v>30</v>
      </c>
      <c r="H323" s="21">
        <f>ROUND(RAND()*4+6,1)</f>
      </c>
      <c r="I323" s="20" t="s">
        <v>45</v>
      </c>
      <c r="J323" s="23">
        <f>ROUND(85*1,0)&amp;"%"</f>
      </c>
    </row>
    <row x14ac:dyDescent="0.25" r="324" customHeight="1" ht="17.25">
      <c r="A324" s="17" t="s">
        <v>3534</v>
      </c>
      <c r="B324" s="17" t="s">
        <v>524</v>
      </c>
      <c r="C324" s="17" t="s">
        <v>133</v>
      </c>
      <c r="D324" s="17" t="s">
        <v>16</v>
      </c>
      <c r="E324" s="18">
        <f>ROUND(8471*1.05,2)</f>
      </c>
      <c r="F324" s="17" t="s">
        <v>48</v>
      </c>
      <c r="G324" s="17" t="s">
        <v>18</v>
      </c>
      <c r="H324" s="18">
        <f>ROUND(RAND()*4+6,1)</f>
      </c>
      <c r="I324" s="17" t="s">
        <v>19</v>
      </c>
      <c r="J324" s="19">
        <f>ROUND(71*1,0)&amp;"%"</f>
      </c>
    </row>
    <row x14ac:dyDescent="0.25" r="325" customHeight="1" ht="17.25">
      <c r="A325" s="20" t="s">
        <v>3535</v>
      </c>
      <c r="B325" s="20" t="s">
        <v>526</v>
      </c>
      <c r="C325" s="20" t="s">
        <v>133</v>
      </c>
      <c r="D325" s="20" t="s">
        <v>22</v>
      </c>
      <c r="E325" s="22">
        <f>ROUND(7800*1.05,2)</f>
      </c>
      <c r="F325" s="20" t="s">
        <v>51</v>
      </c>
      <c r="G325" s="20" t="s">
        <v>24</v>
      </c>
      <c r="H325" s="21">
        <f>ROUND(RAND()*4+6,1)</f>
      </c>
      <c r="I325" s="20" t="s">
        <v>25</v>
      </c>
      <c r="J325" s="23">
        <f>ROUND(69*1,0)&amp;"%"</f>
      </c>
    </row>
    <row x14ac:dyDescent="0.25" r="326" customHeight="1" ht="17.25">
      <c r="A326" s="24" t="s">
        <v>527</v>
      </c>
      <c r="B326" s="24"/>
      <c r="C326" s="24"/>
      <c r="D326" s="24"/>
      <c r="E326" s="25">
        <v>8</v>
      </c>
      <c r="F326" s="9"/>
      <c r="G326" s="9"/>
      <c r="H326" s="10"/>
      <c r="I326" s="9"/>
      <c r="J326" s="9"/>
    </row>
    <row x14ac:dyDescent="0.25" r="327" customHeight="1" ht="17.25">
      <c r="A327" s="7"/>
      <c r="B327" s="7"/>
      <c r="C327" s="7"/>
      <c r="D327" s="7"/>
      <c r="E327" s="8"/>
      <c r="F327" s="9"/>
      <c r="G327" s="9"/>
      <c r="H327" s="10"/>
      <c r="I327" s="9"/>
      <c r="J327" s="9"/>
    </row>
    <row x14ac:dyDescent="0.25" r="328" customHeight="1" ht="17.25">
      <c r="A328" s="11" t="s">
        <v>3536</v>
      </c>
      <c r="B328" s="11"/>
      <c r="C328" s="11"/>
      <c r="D328" s="11"/>
      <c r="E328" s="12"/>
      <c r="F328" s="11"/>
      <c r="G328" s="11"/>
      <c r="H328" s="13"/>
      <c r="I328" s="11"/>
      <c r="J328" s="11"/>
    </row>
    <row x14ac:dyDescent="0.25" r="329" customHeight="1" ht="17.25">
      <c r="A329" s="14" t="s">
        <v>3</v>
      </c>
      <c r="B329" s="14" t="s">
        <v>4</v>
      </c>
      <c r="C329" s="14" t="s">
        <v>5</v>
      </c>
      <c r="D329" s="14" t="s">
        <v>6</v>
      </c>
      <c r="E329" s="15" t="s">
        <v>7</v>
      </c>
      <c r="F329" s="14" t="s">
        <v>8</v>
      </c>
      <c r="G329" s="14" t="s">
        <v>9</v>
      </c>
      <c r="H329" s="16" t="s">
        <v>10</v>
      </c>
      <c r="I329" s="14" t="s">
        <v>11</v>
      </c>
      <c r="J329" s="14" t="s">
        <v>12</v>
      </c>
    </row>
    <row x14ac:dyDescent="0.25" r="330" customHeight="1" ht="17.25">
      <c r="A330" s="17" t="s">
        <v>3537</v>
      </c>
      <c r="B330" s="17" t="s">
        <v>530</v>
      </c>
      <c r="C330" s="17" t="s">
        <v>152</v>
      </c>
      <c r="D330" s="17" t="s">
        <v>16</v>
      </c>
      <c r="E330" s="18">
        <f>ROUND(9810*1.05,2)</f>
      </c>
      <c r="F330" s="17" t="s">
        <v>17</v>
      </c>
      <c r="G330" s="17" t="s">
        <v>18</v>
      </c>
      <c r="H330" s="18">
        <f>ROUND(RAND()*4+6,1)</f>
      </c>
      <c r="I330" s="17" t="s">
        <v>19</v>
      </c>
      <c r="J330" s="19">
        <f>ROUND(81*1,0)&amp;"%"</f>
      </c>
    </row>
    <row x14ac:dyDescent="0.25" r="331" customHeight="1" ht="17.25">
      <c r="A331" s="20" t="s">
        <v>3538</v>
      </c>
      <c r="B331" s="20" t="s">
        <v>532</v>
      </c>
      <c r="C331" s="20" t="s">
        <v>152</v>
      </c>
      <c r="D331" s="20" t="s">
        <v>22</v>
      </c>
      <c r="E331" s="21">
        <f>ROUND(4144*1.05,2)</f>
      </c>
      <c r="F331" s="20" t="s">
        <v>23</v>
      </c>
      <c r="G331" s="20" t="s">
        <v>24</v>
      </c>
      <c r="H331" s="21">
        <f>ROUND(RAND()*4+6,1)</f>
      </c>
      <c r="I331" s="20" t="s">
        <v>25</v>
      </c>
      <c r="J331" s="23">
        <f>ROUND(90*1,0)&amp;"%"</f>
      </c>
    </row>
    <row x14ac:dyDescent="0.25" r="332" customHeight="1" ht="17.25">
      <c r="A332" s="17" t="s">
        <v>3539</v>
      </c>
      <c r="B332" s="17" t="s">
        <v>534</v>
      </c>
      <c r="C332" s="17" t="s">
        <v>152</v>
      </c>
      <c r="D332" s="17" t="s">
        <v>28</v>
      </c>
      <c r="E332" s="18">
        <f>ROUND(14512*1.05,2)</f>
      </c>
      <c r="F332" s="17" t="s">
        <v>29</v>
      </c>
      <c r="G332" s="17" t="s">
        <v>30</v>
      </c>
      <c r="H332" s="18">
        <f>ROUND(RAND()*4+6,1)</f>
      </c>
      <c r="I332" s="17" t="s">
        <v>31</v>
      </c>
      <c r="J332" s="19">
        <f>ROUND(66*1,0)&amp;"%"</f>
      </c>
    </row>
    <row x14ac:dyDescent="0.25" r="333" customHeight="1" ht="17.25">
      <c r="A333" s="20" t="s">
        <v>3540</v>
      </c>
      <c r="B333" s="20" t="s">
        <v>536</v>
      </c>
      <c r="C333" s="20" t="s">
        <v>152</v>
      </c>
      <c r="D333" s="20" t="s">
        <v>34</v>
      </c>
      <c r="E333" s="21">
        <f>ROUND(12787*1.05,2)</f>
      </c>
      <c r="F333" s="20" t="s">
        <v>35</v>
      </c>
      <c r="G333" s="20" t="s">
        <v>18</v>
      </c>
      <c r="H333" s="21">
        <f>ROUND(RAND()*4+6,1)</f>
      </c>
      <c r="I333" s="20" t="s">
        <v>36</v>
      </c>
      <c r="J333" s="23">
        <f>ROUND(80*1,0)&amp;"%"</f>
      </c>
    </row>
    <row x14ac:dyDescent="0.25" r="334" customHeight="1" ht="17.25">
      <c r="A334" s="17" t="s">
        <v>3541</v>
      </c>
      <c r="B334" s="17" t="s">
        <v>538</v>
      </c>
      <c r="C334" s="17" t="s">
        <v>152</v>
      </c>
      <c r="D334" s="17" t="s">
        <v>39</v>
      </c>
      <c r="E334" s="18">
        <f>ROUND(15148*1.05,2)</f>
      </c>
      <c r="F334" s="17" t="s">
        <v>40</v>
      </c>
      <c r="G334" s="17" t="s">
        <v>24</v>
      </c>
      <c r="H334" s="18">
        <f>ROUND(RAND()*4+6,1)</f>
      </c>
      <c r="I334" s="17" t="s">
        <v>41</v>
      </c>
      <c r="J334" s="19">
        <f>ROUND(61*1,0)&amp;"%"</f>
      </c>
    </row>
    <row x14ac:dyDescent="0.25" r="335" customHeight="1" ht="17.25">
      <c r="A335" s="20" t="s">
        <v>3542</v>
      </c>
      <c r="B335" s="20" t="s">
        <v>540</v>
      </c>
      <c r="C335" s="20" t="s">
        <v>152</v>
      </c>
      <c r="D335" s="20" t="s">
        <v>67</v>
      </c>
      <c r="E335" s="21">
        <f>ROUND(9138*1.05,2)</f>
      </c>
      <c r="F335" s="20" t="s">
        <v>44</v>
      </c>
      <c r="G335" s="20" t="s">
        <v>30</v>
      </c>
      <c r="H335" s="21">
        <f>ROUND(RAND()*4+6,1)</f>
      </c>
      <c r="I335" s="20" t="s">
        <v>45</v>
      </c>
      <c r="J335" s="23">
        <f>ROUND(87*1,0)&amp;"%"</f>
      </c>
    </row>
    <row x14ac:dyDescent="0.25" r="336" customHeight="1" ht="17.25">
      <c r="A336" s="17" t="s">
        <v>3543</v>
      </c>
      <c r="B336" s="17" t="s">
        <v>542</v>
      </c>
      <c r="C336" s="17" t="s">
        <v>152</v>
      </c>
      <c r="D336" s="17" t="s">
        <v>16</v>
      </c>
      <c r="E336" s="18">
        <f>ROUND(10110*1.05,2)</f>
      </c>
      <c r="F336" s="17" t="s">
        <v>48</v>
      </c>
      <c r="G336" s="17" t="s">
        <v>18</v>
      </c>
      <c r="H336" s="18">
        <f>ROUND(RAND()*4+6,1)</f>
      </c>
      <c r="I336" s="17" t="s">
        <v>19</v>
      </c>
      <c r="J336" s="19">
        <f>ROUND(90*1,0)&amp;"%"</f>
      </c>
    </row>
    <row x14ac:dyDescent="0.25" r="337" customHeight="1" ht="17.25">
      <c r="A337" s="20" t="s">
        <v>3544</v>
      </c>
      <c r="B337" s="20" t="s">
        <v>544</v>
      </c>
      <c r="C337" s="20" t="s">
        <v>152</v>
      </c>
      <c r="D337" s="20" t="s">
        <v>22</v>
      </c>
      <c r="E337" s="21">
        <f>ROUND(13129*1.05,2)</f>
      </c>
      <c r="F337" s="20" t="s">
        <v>51</v>
      </c>
      <c r="G337" s="20" t="s">
        <v>24</v>
      </c>
      <c r="H337" s="21">
        <f>ROUND(RAND()*4+6,1)</f>
      </c>
      <c r="I337" s="20" t="s">
        <v>25</v>
      </c>
      <c r="J337" s="23">
        <f>ROUND(97*1,0)&amp;"%"</f>
      </c>
    </row>
    <row x14ac:dyDescent="0.25" r="338" customHeight="1" ht="17.25">
      <c r="A338" s="24" t="s">
        <v>545</v>
      </c>
      <c r="B338" s="24"/>
      <c r="C338" s="24"/>
      <c r="D338" s="24"/>
      <c r="E338" s="25">
        <v>8</v>
      </c>
      <c r="F338" s="9"/>
      <c r="G338" s="9"/>
      <c r="H338" s="10"/>
      <c r="I338" s="9"/>
      <c r="J338" s="9"/>
    </row>
    <row x14ac:dyDescent="0.25" r="339" customHeight="1" ht="17.25">
      <c r="A339" s="7"/>
      <c r="B339" s="7"/>
      <c r="C339" s="7"/>
      <c r="D339" s="7"/>
      <c r="E339" s="8"/>
      <c r="F339" s="9"/>
      <c r="G339" s="9"/>
      <c r="H339" s="10"/>
      <c r="I339" s="9"/>
      <c r="J339" s="9"/>
    </row>
    <row x14ac:dyDescent="0.25" r="340" customHeight="1" ht="17.25">
      <c r="A340" s="11" t="s">
        <v>3545</v>
      </c>
      <c r="B340" s="11"/>
      <c r="C340" s="11"/>
      <c r="D340" s="11"/>
      <c r="E340" s="12"/>
      <c r="F340" s="11"/>
      <c r="G340" s="11"/>
      <c r="H340" s="13"/>
      <c r="I340" s="11"/>
      <c r="J340" s="11"/>
    </row>
    <row x14ac:dyDescent="0.25" r="341" customHeight="1" ht="17.25">
      <c r="A341" s="14" t="s">
        <v>3</v>
      </c>
      <c r="B341" s="14" t="s">
        <v>4</v>
      </c>
      <c r="C341" s="14" t="s">
        <v>5</v>
      </c>
      <c r="D341" s="14" t="s">
        <v>6</v>
      </c>
      <c r="E341" s="15" t="s">
        <v>7</v>
      </c>
      <c r="F341" s="14" t="s">
        <v>8</v>
      </c>
      <c r="G341" s="14" t="s">
        <v>9</v>
      </c>
      <c r="H341" s="16" t="s">
        <v>10</v>
      </c>
      <c r="I341" s="14" t="s">
        <v>11</v>
      </c>
      <c r="J341" s="14" t="s">
        <v>12</v>
      </c>
    </row>
    <row x14ac:dyDescent="0.25" r="342" customHeight="1" ht="17.25">
      <c r="A342" s="17" t="s">
        <v>3546</v>
      </c>
      <c r="B342" s="17" t="s">
        <v>548</v>
      </c>
      <c r="C342" s="17" t="s">
        <v>15</v>
      </c>
      <c r="D342" s="17" t="s">
        <v>16</v>
      </c>
      <c r="E342" s="18">
        <f>ROUND(10285*1.05,2)</f>
      </c>
      <c r="F342" s="17" t="s">
        <v>17</v>
      </c>
      <c r="G342" s="17" t="s">
        <v>18</v>
      </c>
      <c r="H342" s="26">
        <f>ROUND(RAND()*4+6,1)</f>
      </c>
      <c r="I342" s="17" t="s">
        <v>19</v>
      </c>
      <c r="J342" s="19">
        <f>ROUND(72*1,0)&amp;"%"</f>
      </c>
    </row>
    <row x14ac:dyDescent="0.25" r="343" customHeight="1" ht="17.25">
      <c r="A343" s="20" t="s">
        <v>3547</v>
      </c>
      <c r="B343" s="20" t="s">
        <v>550</v>
      </c>
      <c r="C343" s="20" t="s">
        <v>15</v>
      </c>
      <c r="D343" s="20" t="s">
        <v>22</v>
      </c>
      <c r="E343" s="21">
        <f>ROUND(14331*1.05,2)</f>
      </c>
      <c r="F343" s="20" t="s">
        <v>23</v>
      </c>
      <c r="G343" s="20" t="s">
        <v>24</v>
      </c>
      <c r="H343" s="21">
        <f>ROUND(RAND()*4+6,1)</f>
      </c>
      <c r="I343" s="20" t="s">
        <v>25</v>
      </c>
      <c r="J343" s="23">
        <f>ROUND(94*1,0)&amp;"%"</f>
      </c>
    </row>
    <row x14ac:dyDescent="0.25" r="344" customHeight="1" ht="17.25">
      <c r="A344" s="17" t="s">
        <v>3548</v>
      </c>
      <c r="B344" s="17" t="s">
        <v>552</v>
      </c>
      <c r="C344" s="17" t="s">
        <v>15</v>
      </c>
      <c r="D344" s="17" t="s">
        <v>28</v>
      </c>
      <c r="E344" s="18">
        <f>ROUND(7798*1.05,2)</f>
      </c>
      <c r="F344" s="17" t="s">
        <v>29</v>
      </c>
      <c r="G344" s="17" t="s">
        <v>30</v>
      </c>
      <c r="H344" s="18">
        <f>ROUND(RAND()*4+6,1)</f>
      </c>
      <c r="I344" s="17" t="s">
        <v>31</v>
      </c>
      <c r="J344" s="19">
        <f>ROUND(69*1,0)&amp;"%"</f>
      </c>
    </row>
    <row x14ac:dyDescent="0.25" r="345" customHeight="1" ht="17.25">
      <c r="A345" s="20" t="s">
        <v>3549</v>
      </c>
      <c r="B345" s="20" t="s">
        <v>554</v>
      </c>
      <c r="C345" s="20" t="s">
        <v>15</v>
      </c>
      <c r="D345" s="20" t="s">
        <v>34</v>
      </c>
      <c r="E345" s="21">
        <f>ROUND(10568*1.05,2)</f>
      </c>
      <c r="F345" s="20" t="s">
        <v>35</v>
      </c>
      <c r="G345" s="20" t="s">
        <v>18</v>
      </c>
      <c r="H345" s="21">
        <f>ROUND(RAND()*4+6,1)</f>
      </c>
      <c r="I345" s="20" t="s">
        <v>36</v>
      </c>
      <c r="J345" s="23">
        <f>ROUND(93*1,0)&amp;"%"</f>
      </c>
    </row>
    <row x14ac:dyDescent="0.25" r="346" customHeight="1" ht="17.25">
      <c r="A346" s="17" t="s">
        <v>3550</v>
      </c>
      <c r="B346" s="17" t="s">
        <v>556</v>
      </c>
      <c r="C346" s="17" t="s">
        <v>15</v>
      </c>
      <c r="D346" s="17" t="s">
        <v>39</v>
      </c>
      <c r="E346" s="18">
        <f>ROUND(5435*1.05,2)</f>
      </c>
      <c r="F346" s="17" t="s">
        <v>40</v>
      </c>
      <c r="G346" s="17" t="s">
        <v>24</v>
      </c>
      <c r="H346" s="18">
        <f>ROUND(RAND()*4+6,1)</f>
      </c>
      <c r="I346" s="17" t="s">
        <v>41</v>
      </c>
      <c r="J346" s="19">
        <f>ROUND(92*1,0)&amp;"%"</f>
      </c>
    </row>
    <row x14ac:dyDescent="0.25" r="347" customHeight="1" ht="17.25">
      <c r="A347" s="20" t="s">
        <v>3551</v>
      </c>
      <c r="B347" s="20" t="s">
        <v>558</v>
      </c>
      <c r="C347" s="20" t="s">
        <v>15</v>
      </c>
      <c r="D347" s="20" t="s">
        <v>67</v>
      </c>
      <c r="E347" s="21">
        <f>ROUND(10945*1.05,2)</f>
      </c>
      <c r="F347" s="20" t="s">
        <v>44</v>
      </c>
      <c r="G347" s="20" t="s">
        <v>30</v>
      </c>
      <c r="H347" s="21">
        <f>ROUND(RAND()*4+6,1)</f>
      </c>
      <c r="I347" s="20" t="s">
        <v>45</v>
      </c>
      <c r="J347" s="23">
        <f>ROUND(97*1,0)&amp;"%"</f>
      </c>
    </row>
    <row x14ac:dyDescent="0.25" r="348" customHeight="1" ht="17.25">
      <c r="A348" s="17" t="s">
        <v>3552</v>
      </c>
      <c r="B348" s="17" t="s">
        <v>560</v>
      </c>
      <c r="C348" s="17" t="s">
        <v>15</v>
      </c>
      <c r="D348" s="17" t="s">
        <v>16</v>
      </c>
      <c r="E348" s="18">
        <f>ROUND(7728*1.05,2)</f>
      </c>
      <c r="F348" s="17" t="s">
        <v>48</v>
      </c>
      <c r="G348" s="17" t="s">
        <v>18</v>
      </c>
      <c r="H348" s="18">
        <f>ROUND(RAND()*4+6,1)</f>
      </c>
      <c r="I348" s="17" t="s">
        <v>19</v>
      </c>
      <c r="J348" s="19">
        <f>ROUND(68*1,0)&amp;"%"</f>
      </c>
    </row>
    <row x14ac:dyDescent="0.25" r="349" customHeight="1" ht="17.25">
      <c r="A349" s="20" t="s">
        <v>3553</v>
      </c>
      <c r="B349" s="20" t="s">
        <v>562</v>
      </c>
      <c r="C349" s="20" t="s">
        <v>15</v>
      </c>
      <c r="D349" s="20" t="s">
        <v>22</v>
      </c>
      <c r="E349" s="21">
        <f>ROUND(11663*1.05,2)</f>
      </c>
      <c r="F349" s="20" t="s">
        <v>51</v>
      </c>
      <c r="G349" s="20" t="s">
        <v>24</v>
      </c>
      <c r="H349" s="21">
        <f>ROUND(RAND()*4+6,1)</f>
      </c>
      <c r="I349" s="20" t="s">
        <v>25</v>
      </c>
      <c r="J349" s="23">
        <f>ROUND(70*1,0)&amp;"%"</f>
      </c>
    </row>
    <row x14ac:dyDescent="0.25" r="350" customHeight="1" ht="17.25">
      <c r="A350" s="24" t="s">
        <v>563</v>
      </c>
      <c r="B350" s="24"/>
      <c r="C350" s="24"/>
      <c r="D350" s="24"/>
      <c r="E350" s="25">
        <v>8</v>
      </c>
      <c r="F350" s="9"/>
      <c r="G350" s="9"/>
      <c r="H350" s="10"/>
      <c r="I350" s="9"/>
      <c r="J350" s="9"/>
    </row>
    <row x14ac:dyDescent="0.25" r="351" customHeight="1" ht="17.25">
      <c r="A351" s="7"/>
      <c r="B351" s="7"/>
      <c r="C351" s="7"/>
      <c r="D351" s="7"/>
      <c r="E351" s="8"/>
      <c r="F351" s="9"/>
      <c r="G351" s="9"/>
      <c r="H351" s="10"/>
      <c r="I351" s="9"/>
      <c r="J351" s="9"/>
    </row>
    <row x14ac:dyDescent="0.25" r="352" customHeight="1" ht="17.25">
      <c r="A352" s="11" t="s">
        <v>3554</v>
      </c>
      <c r="B352" s="11"/>
      <c r="C352" s="11"/>
      <c r="D352" s="11"/>
      <c r="E352" s="12"/>
      <c r="F352" s="11"/>
      <c r="G352" s="11"/>
      <c r="H352" s="13"/>
      <c r="I352" s="11"/>
      <c r="J352" s="11"/>
    </row>
    <row x14ac:dyDescent="0.25" r="353" customHeight="1" ht="17.25">
      <c r="A353" s="14" t="s">
        <v>3</v>
      </c>
      <c r="B353" s="14" t="s">
        <v>4</v>
      </c>
      <c r="C353" s="14" t="s">
        <v>5</v>
      </c>
      <c r="D353" s="14" t="s">
        <v>6</v>
      </c>
      <c r="E353" s="15" t="s">
        <v>7</v>
      </c>
      <c r="F353" s="14" t="s">
        <v>8</v>
      </c>
      <c r="G353" s="14" t="s">
        <v>9</v>
      </c>
      <c r="H353" s="16" t="s">
        <v>10</v>
      </c>
      <c r="I353" s="14" t="s">
        <v>11</v>
      </c>
      <c r="J353" s="14" t="s">
        <v>12</v>
      </c>
    </row>
    <row x14ac:dyDescent="0.25" r="354" customHeight="1" ht="17.25">
      <c r="A354" s="17" t="s">
        <v>3555</v>
      </c>
      <c r="B354" s="17" t="s">
        <v>566</v>
      </c>
      <c r="C354" s="17" t="s">
        <v>56</v>
      </c>
      <c r="D354" s="17" t="s">
        <v>16</v>
      </c>
      <c r="E354" s="18">
        <f>ROUND(11071*1.05,2)</f>
      </c>
      <c r="F354" s="17" t="s">
        <v>17</v>
      </c>
      <c r="G354" s="17" t="s">
        <v>18</v>
      </c>
      <c r="H354" s="18">
        <f>ROUND(RAND()*4+6,1)</f>
      </c>
      <c r="I354" s="17" t="s">
        <v>19</v>
      </c>
      <c r="J354" s="19">
        <f>ROUND(79*1,0)&amp;"%"</f>
      </c>
    </row>
    <row x14ac:dyDescent="0.25" r="355" customHeight="1" ht="17.25">
      <c r="A355" s="20" t="s">
        <v>3556</v>
      </c>
      <c r="B355" s="20" t="s">
        <v>568</v>
      </c>
      <c r="C355" s="20" t="s">
        <v>56</v>
      </c>
      <c r="D355" s="20" t="s">
        <v>22</v>
      </c>
      <c r="E355" s="21">
        <f>ROUND(6855*1.05,2)</f>
      </c>
      <c r="F355" s="20" t="s">
        <v>23</v>
      </c>
      <c r="G355" s="20" t="s">
        <v>24</v>
      </c>
      <c r="H355" s="21">
        <f>ROUND(RAND()*4+6,1)</f>
      </c>
      <c r="I355" s="20" t="s">
        <v>25</v>
      </c>
      <c r="J355" s="23">
        <f>ROUND(95*1,0)&amp;"%"</f>
      </c>
    </row>
    <row x14ac:dyDescent="0.25" r="356" customHeight="1" ht="17.25">
      <c r="A356" s="17" t="s">
        <v>3557</v>
      </c>
      <c r="B356" s="17" t="s">
        <v>570</v>
      </c>
      <c r="C356" s="17" t="s">
        <v>56</v>
      </c>
      <c r="D356" s="17" t="s">
        <v>28</v>
      </c>
      <c r="E356" s="18">
        <f>ROUND(8843*1.05,2)</f>
      </c>
      <c r="F356" s="17" t="s">
        <v>29</v>
      </c>
      <c r="G356" s="17" t="s">
        <v>30</v>
      </c>
      <c r="H356" s="26">
        <f>ROUND(RAND()*4+6,1)</f>
      </c>
      <c r="I356" s="17" t="s">
        <v>31</v>
      </c>
      <c r="J356" s="19">
        <f>ROUND(61*1,0)&amp;"%"</f>
      </c>
    </row>
    <row x14ac:dyDescent="0.25" r="357" customHeight="1" ht="17.25">
      <c r="A357" s="20" t="s">
        <v>3558</v>
      </c>
      <c r="B357" s="20" t="s">
        <v>572</v>
      </c>
      <c r="C357" s="20" t="s">
        <v>56</v>
      </c>
      <c r="D357" s="20" t="s">
        <v>34</v>
      </c>
      <c r="E357" s="21">
        <f>ROUND(9811*1.05,2)</f>
      </c>
      <c r="F357" s="20" t="s">
        <v>35</v>
      </c>
      <c r="G357" s="20" t="s">
        <v>18</v>
      </c>
      <c r="H357" s="21">
        <f>ROUND(RAND()*4+6,1)</f>
      </c>
      <c r="I357" s="20" t="s">
        <v>36</v>
      </c>
      <c r="J357" s="23">
        <f>ROUND(92*1,0)&amp;"%"</f>
      </c>
    </row>
    <row x14ac:dyDescent="0.25" r="358" customHeight="1" ht="17.25">
      <c r="A358" s="17" t="s">
        <v>3559</v>
      </c>
      <c r="B358" s="17" t="s">
        <v>574</v>
      </c>
      <c r="C358" s="17" t="s">
        <v>56</v>
      </c>
      <c r="D358" s="17" t="s">
        <v>39</v>
      </c>
      <c r="E358" s="18">
        <f>ROUND(11408*1.05,2)</f>
      </c>
      <c r="F358" s="17" t="s">
        <v>40</v>
      </c>
      <c r="G358" s="17" t="s">
        <v>24</v>
      </c>
      <c r="H358" s="26">
        <f>ROUND(RAND()*4+6,1)</f>
      </c>
      <c r="I358" s="17" t="s">
        <v>41</v>
      </c>
      <c r="J358" s="19">
        <f>ROUND(74*1,0)&amp;"%"</f>
      </c>
    </row>
    <row x14ac:dyDescent="0.25" r="359" customHeight="1" ht="17.25">
      <c r="A359" s="20" t="s">
        <v>3560</v>
      </c>
      <c r="B359" s="20" t="s">
        <v>576</v>
      </c>
      <c r="C359" s="20" t="s">
        <v>56</v>
      </c>
      <c r="D359" s="20" t="s">
        <v>67</v>
      </c>
      <c r="E359" s="21">
        <f>ROUND(7002*1.05,2)</f>
      </c>
      <c r="F359" s="20" t="s">
        <v>44</v>
      </c>
      <c r="G359" s="20" t="s">
        <v>30</v>
      </c>
      <c r="H359" s="21">
        <f>ROUND(RAND()*4+6,1)</f>
      </c>
      <c r="I359" s="20" t="s">
        <v>45</v>
      </c>
      <c r="J359" s="23">
        <f>ROUND(81*1,0)&amp;"%"</f>
      </c>
    </row>
    <row x14ac:dyDescent="0.25" r="360" customHeight="1" ht="17.25">
      <c r="A360" s="17" t="s">
        <v>3561</v>
      </c>
      <c r="B360" s="17" t="s">
        <v>578</v>
      </c>
      <c r="C360" s="17" t="s">
        <v>56</v>
      </c>
      <c r="D360" s="17" t="s">
        <v>16</v>
      </c>
      <c r="E360" s="18">
        <f>ROUND(4711*1.05,2)</f>
      </c>
      <c r="F360" s="17" t="s">
        <v>48</v>
      </c>
      <c r="G360" s="17" t="s">
        <v>18</v>
      </c>
      <c r="H360" s="18">
        <f>ROUND(RAND()*4+6,1)</f>
      </c>
      <c r="I360" s="17" t="s">
        <v>19</v>
      </c>
      <c r="J360" s="19">
        <f>ROUND(81*1,0)&amp;"%"</f>
      </c>
    </row>
    <row x14ac:dyDescent="0.25" r="361" customHeight="1" ht="17.25">
      <c r="A361" s="20" t="s">
        <v>3562</v>
      </c>
      <c r="B361" s="20" t="s">
        <v>580</v>
      </c>
      <c r="C361" s="20" t="s">
        <v>56</v>
      </c>
      <c r="D361" s="20" t="s">
        <v>22</v>
      </c>
      <c r="E361" s="21">
        <f>ROUND(13745*1.05,2)</f>
      </c>
      <c r="F361" s="20" t="s">
        <v>51</v>
      </c>
      <c r="G361" s="20" t="s">
        <v>24</v>
      </c>
      <c r="H361" s="21">
        <f>ROUND(RAND()*4+6,1)</f>
      </c>
      <c r="I361" s="20" t="s">
        <v>25</v>
      </c>
      <c r="J361" s="23">
        <f>ROUND(92*1,0)&amp;"%"</f>
      </c>
    </row>
    <row x14ac:dyDescent="0.25" r="362" customHeight="1" ht="17.25">
      <c r="A362" s="24" t="s">
        <v>581</v>
      </c>
      <c r="B362" s="24"/>
      <c r="C362" s="24"/>
      <c r="D362" s="24"/>
      <c r="E362" s="25">
        <v>8</v>
      </c>
      <c r="F362" s="9"/>
      <c r="G362" s="9"/>
      <c r="H362" s="10"/>
      <c r="I362" s="9"/>
      <c r="J362" s="9"/>
    </row>
  </sheetData>
  <mergeCells count="62">
    <mergeCell ref="A1:J1"/>
    <mergeCell ref="A2:J2"/>
    <mergeCell ref="A4:J4"/>
    <mergeCell ref="A14:D14"/>
    <mergeCell ref="A16:J16"/>
    <mergeCell ref="A26:D26"/>
    <mergeCell ref="A28:J28"/>
    <mergeCell ref="A38:D38"/>
    <mergeCell ref="A40:J40"/>
    <mergeCell ref="A50:D50"/>
    <mergeCell ref="A52:J52"/>
    <mergeCell ref="A62:D62"/>
    <mergeCell ref="A64:J64"/>
    <mergeCell ref="A74:D74"/>
    <mergeCell ref="A76:J76"/>
    <mergeCell ref="A86:D86"/>
    <mergeCell ref="A88:J88"/>
    <mergeCell ref="A98:D98"/>
    <mergeCell ref="A100:J100"/>
    <mergeCell ref="A110:D110"/>
    <mergeCell ref="A112:J112"/>
    <mergeCell ref="A122:D122"/>
    <mergeCell ref="A124:J124"/>
    <mergeCell ref="A134:D134"/>
    <mergeCell ref="A136:J136"/>
    <mergeCell ref="A146:D146"/>
    <mergeCell ref="A148:J148"/>
    <mergeCell ref="A158:D158"/>
    <mergeCell ref="A160:J160"/>
    <mergeCell ref="A170:D170"/>
    <mergeCell ref="A172:J172"/>
    <mergeCell ref="A182:D182"/>
    <mergeCell ref="A184:J184"/>
    <mergeCell ref="A194:D194"/>
    <mergeCell ref="A196:J196"/>
    <mergeCell ref="A206:D206"/>
    <mergeCell ref="A208:J208"/>
    <mergeCell ref="A218:D218"/>
    <mergeCell ref="A220:J220"/>
    <mergeCell ref="A230:D230"/>
    <mergeCell ref="A232:J232"/>
    <mergeCell ref="A242:D242"/>
    <mergeCell ref="A244:J244"/>
    <mergeCell ref="A254:D254"/>
    <mergeCell ref="A256:J256"/>
    <mergeCell ref="A266:D266"/>
    <mergeCell ref="A268:J268"/>
    <mergeCell ref="A278:D278"/>
    <mergeCell ref="A280:J280"/>
    <mergeCell ref="A290:D290"/>
    <mergeCell ref="A292:J292"/>
    <mergeCell ref="A302:D302"/>
    <mergeCell ref="A304:J304"/>
    <mergeCell ref="A314:D314"/>
    <mergeCell ref="A316:J316"/>
    <mergeCell ref="A326:D326"/>
    <mergeCell ref="A328:J328"/>
    <mergeCell ref="A338:D338"/>
    <mergeCell ref="A340:J340"/>
    <mergeCell ref="A350:D350"/>
    <mergeCell ref="A352:J352"/>
    <mergeCell ref="A362:D362"/>
  </mergeCells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J362"/>
  <sheetViews>
    <sheetView workbookViewId="0"/>
  </sheetViews>
  <sheetFormatPr defaultRowHeight="15" x14ac:dyDescent="0.25"/>
  <cols>
    <col min="1" max="1" style="27" width="8.005" customWidth="1" bestFit="1"/>
    <col min="2" max="2" style="27" width="22.005" customWidth="1" bestFit="1"/>
    <col min="3" max="3" style="27" width="16.005" customWidth="1" bestFit="1"/>
    <col min="4" max="4" style="27" width="14.005" customWidth="1" bestFit="1"/>
    <col min="5" max="5" style="28" width="12.005" customWidth="1" bestFit="1"/>
    <col min="6" max="6" style="29" width="16.005" customWidth="1" bestFit="1"/>
    <col min="7" max="7" style="29" width="10.005" customWidth="1" bestFit="1"/>
    <col min="8" max="8" style="30" width="10.005" customWidth="1" bestFit="1"/>
    <col min="9" max="9" style="29" width="14.005" customWidth="1" bestFit="1"/>
    <col min="10" max="10" style="29" width="8.005" customWidth="1" bestFit="1"/>
  </cols>
  <sheetData>
    <row x14ac:dyDescent="0.25" r="1" customHeight="1" ht="17.25">
      <c r="A1" s="1" t="s">
        <v>3021</v>
      </c>
      <c r="B1" s="1"/>
      <c r="C1" s="1"/>
      <c r="D1" s="1"/>
      <c r="E1" s="2"/>
      <c r="F1" s="1"/>
      <c r="G1" s="1"/>
      <c r="H1" s="3"/>
      <c r="I1" s="1"/>
      <c r="J1" s="1"/>
    </row>
    <row x14ac:dyDescent="0.25" r="2" customHeight="1" ht="17.25">
      <c r="A2" s="4" t="s">
        <v>1</v>
      </c>
      <c r="B2" s="4"/>
      <c r="C2" s="4"/>
      <c r="D2" s="4"/>
      <c r="E2" s="5"/>
      <c r="F2" s="4"/>
      <c r="G2" s="4"/>
      <c r="H2" s="6"/>
      <c r="I2" s="4"/>
      <c r="J2" s="4"/>
    </row>
    <row x14ac:dyDescent="0.25" r="3" customHeight="1" ht="17.25">
      <c r="A3" s="7"/>
      <c r="B3" s="7"/>
      <c r="C3" s="7"/>
      <c r="D3" s="7"/>
      <c r="E3" s="8"/>
      <c r="F3" s="9"/>
      <c r="G3" s="9"/>
      <c r="H3" s="10"/>
      <c r="I3" s="9"/>
      <c r="J3" s="9"/>
    </row>
    <row x14ac:dyDescent="0.25" r="4" customHeight="1" ht="17.25">
      <c r="A4" s="11" t="s">
        <v>3022</v>
      </c>
      <c r="B4" s="11"/>
      <c r="C4" s="11"/>
      <c r="D4" s="11"/>
      <c r="E4" s="12"/>
      <c r="F4" s="11"/>
      <c r="G4" s="11"/>
      <c r="H4" s="13"/>
      <c r="I4" s="11"/>
      <c r="J4" s="11"/>
    </row>
    <row x14ac:dyDescent="0.25" r="5" customHeight="1" ht="17.25">
      <c r="A5" s="14" t="s">
        <v>3</v>
      </c>
      <c r="B5" s="14" t="s">
        <v>4</v>
      </c>
      <c r="C5" s="14" t="s">
        <v>5</v>
      </c>
      <c r="D5" s="14" t="s">
        <v>6</v>
      </c>
      <c r="E5" s="15" t="s">
        <v>7</v>
      </c>
      <c r="F5" s="14" t="s">
        <v>8</v>
      </c>
      <c r="G5" s="14" t="s">
        <v>9</v>
      </c>
      <c r="H5" s="16" t="s">
        <v>10</v>
      </c>
      <c r="I5" s="14" t="s">
        <v>11</v>
      </c>
      <c r="J5" s="14" t="s">
        <v>12</v>
      </c>
    </row>
    <row x14ac:dyDescent="0.25" r="6" customHeight="1" ht="17.25">
      <c r="A6" s="17" t="s">
        <v>3023</v>
      </c>
      <c r="B6" s="17" t="s">
        <v>14</v>
      </c>
      <c r="C6" s="17" t="s">
        <v>15</v>
      </c>
      <c r="D6" s="17" t="s">
        <v>16</v>
      </c>
      <c r="E6" s="26">
        <f>ROUND(4700*1.05,2)</f>
      </c>
      <c r="F6" s="17" t="s">
        <v>17</v>
      </c>
      <c r="G6" s="17" t="s">
        <v>18</v>
      </c>
      <c r="H6" s="18">
        <f>ROUND(RAND()*4+6,1)</f>
      </c>
      <c r="I6" s="17" t="s">
        <v>19</v>
      </c>
      <c r="J6" s="19">
        <f>ROUND(72*1,0)&amp;"%"</f>
      </c>
    </row>
    <row x14ac:dyDescent="0.25" r="7" customHeight="1" ht="17.25">
      <c r="A7" s="20" t="s">
        <v>3024</v>
      </c>
      <c r="B7" s="20" t="s">
        <v>21</v>
      </c>
      <c r="C7" s="20" t="s">
        <v>15</v>
      </c>
      <c r="D7" s="20" t="s">
        <v>22</v>
      </c>
      <c r="E7" s="21">
        <f>ROUND(11417*1.05,2)</f>
      </c>
      <c r="F7" s="20" t="s">
        <v>23</v>
      </c>
      <c r="G7" s="20" t="s">
        <v>24</v>
      </c>
      <c r="H7" s="21">
        <f>ROUND(RAND()*4+6,1)</f>
      </c>
      <c r="I7" s="20" t="s">
        <v>25</v>
      </c>
      <c r="J7" s="23">
        <f>ROUND(74*1,0)&amp;"%"</f>
      </c>
    </row>
    <row x14ac:dyDescent="0.25" r="8" customHeight="1" ht="17.25">
      <c r="A8" s="17" t="s">
        <v>3025</v>
      </c>
      <c r="B8" s="17" t="s">
        <v>27</v>
      </c>
      <c r="C8" s="17" t="s">
        <v>15</v>
      </c>
      <c r="D8" s="17" t="s">
        <v>28</v>
      </c>
      <c r="E8" s="18">
        <f>ROUND(6349*1.05,2)</f>
      </c>
      <c r="F8" s="17" t="s">
        <v>29</v>
      </c>
      <c r="G8" s="17" t="s">
        <v>30</v>
      </c>
      <c r="H8" s="18">
        <f>ROUND(RAND()*4+6,1)</f>
      </c>
      <c r="I8" s="17" t="s">
        <v>31</v>
      </c>
      <c r="J8" s="19">
        <f>ROUND(65*1,0)&amp;"%"</f>
      </c>
    </row>
    <row x14ac:dyDescent="0.25" r="9" customHeight="1" ht="17.25">
      <c r="A9" s="20" t="s">
        <v>3026</v>
      </c>
      <c r="B9" s="20" t="s">
        <v>33</v>
      </c>
      <c r="C9" s="20" t="s">
        <v>15</v>
      </c>
      <c r="D9" s="20" t="s">
        <v>34</v>
      </c>
      <c r="E9" s="21">
        <f>ROUND(17832*1.05,2)</f>
      </c>
      <c r="F9" s="20" t="s">
        <v>35</v>
      </c>
      <c r="G9" s="20" t="s">
        <v>18</v>
      </c>
      <c r="H9" s="21">
        <f>ROUND(RAND()*4+6,1)</f>
      </c>
      <c r="I9" s="20" t="s">
        <v>36</v>
      </c>
      <c r="J9" s="23">
        <f>ROUND(76*1,0)&amp;"%"</f>
      </c>
    </row>
    <row x14ac:dyDescent="0.25" r="10" customHeight="1" ht="17.25">
      <c r="A10" s="17" t="s">
        <v>3027</v>
      </c>
      <c r="B10" s="17" t="s">
        <v>38</v>
      </c>
      <c r="C10" s="17" t="s">
        <v>15</v>
      </c>
      <c r="D10" s="17" t="s">
        <v>39</v>
      </c>
      <c r="E10" s="18">
        <f>ROUND(13158*1.05,2)</f>
      </c>
      <c r="F10" s="17" t="s">
        <v>40</v>
      </c>
      <c r="G10" s="17" t="s">
        <v>24</v>
      </c>
      <c r="H10" s="18">
        <f>ROUND(RAND()*4+6,1)</f>
      </c>
      <c r="I10" s="17" t="s">
        <v>41</v>
      </c>
      <c r="J10" s="19">
        <f>ROUND(89*1,0)&amp;"%"</f>
      </c>
    </row>
    <row x14ac:dyDescent="0.25" r="11" customHeight="1" ht="17.25">
      <c r="A11" s="20" t="s">
        <v>3028</v>
      </c>
      <c r="B11" s="20" t="s">
        <v>43</v>
      </c>
      <c r="C11" s="20" t="s">
        <v>15</v>
      </c>
      <c r="D11" s="20" t="s">
        <v>67</v>
      </c>
      <c r="E11" s="21">
        <f>ROUND(4611*1.05,2)</f>
      </c>
      <c r="F11" s="20" t="s">
        <v>44</v>
      </c>
      <c r="G11" s="20" t="s">
        <v>30</v>
      </c>
      <c r="H11" s="21">
        <f>ROUND(RAND()*4+6,1)</f>
      </c>
      <c r="I11" s="20" t="s">
        <v>45</v>
      </c>
      <c r="J11" s="23">
        <f>ROUND(98*1,0)&amp;"%"</f>
      </c>
    </row>
    <row x14ac:dyDescent="0.25" r="12" customHeight="1" ht="17.25">
      <c r="A12" s="17" t="s">
        <v>3029</v>
      </c>
      <c r="B12" s="17" t="s">
        <v>47</v>
      </c>
      <c r="C12" s="17" t="s">
        <v>15</v>
      </c>
      <c r="D12" s="17" t="s">
        <v>16</v>
      </c>
      <c r="E12" s="18">
        <f>ROUND(11970*1.05,2)</f>
      </c>
      <c r="F12" s="17" t="s">
        <v>48</v>
      </c>
      <c r="G12" s="17" t="s">
        <v>18</v>
      </c>
      <c r="H12" s="18">
        <f>ROUND(RAND()*4+6,1)</f>
      </c>
      <c r="I12" s="17" t="s">
        <v>19</v>
      </c>
      <c r="J12" s="19">
        <f>ROUND(78*1,0)&amp;"%"</f>
      </c>
    </row>
    <row x14ac:dyDescent="0.25" r="13" customHeight="1" ht="17.25">
      <c r="A13" s="20" t="s">
        <v>3030</v>
      </c>
      <c r="B13" s="20" t="s">
        <v>50</v>
      </c>
      <c r="C13" s="20" t="s">
        <v>15</v>
      </c>
      <c r="D13" s="20" t="s">
        <v>22</v>
      </c>
      <c r="E13" s="21">
        <f>ROUND(11308*1.05,2)</f>
      </c>
      <c r="F13" s="20" t="s">
        <v>51</v>
      </c>
      <c r="G13" s="20" t="s">
        <v>24</v>
      </c>
      <c r="H13" s="21">
        <f>ROUND(RAND()*4+6,1)</f>
      </c>
      <c r="I13" s="20" t="s">
        <v>25</v>
      </c>
      <c r="J13" s="23">
        <f>ROUND(80*1,0)&amp;"%"</f>
      </c>
    </row>
    <row x14ac:dyDescent="0.25" r="14" customHeight="1" ht="17.25">
      <c r="A14" s="24" t="s">
        <v>52</v>
      </c>
      <c r="B14" s="24"/>
      <c r="C14" s="24"/>
      <c r="D14" s="24"/>
      <c r="E14" s="25">
        <v>8</v>
      </c>
      <c r="F14" s="9"/>
      <c r="G14" s="9"/>
      <c r="H14" s="10"/>
      <c r="I14" s="9"/>
      <c r="J14" s="9"/>
    </row>
    <row x14ac:dyDescent="0.25" r="15" customHeight="1" ht="17.25">
      <c r="A15" s="7"/>
      <c r="B15" s="7"/>
      <c r="C15" s="7"/>
      <c r="D15" s="7"/>
      <c r="E15" s="8"/>
      <c r="F15" s="9"/>
      <c r="G15" s="9"/>
      <c r="H15" s="10"/>
      <c r="I15" s="9"/>
      <c r="J15" s="9"/>
    </row>
    <row x14ac:dyDescent="0.25" r="16" customHeight="1" ht="17.25">
      <c r="A16" s="11" t="s">
        <v>3031</v>
      </c>
      <c r="B16" s="11"/>
      <c r="C16" s="11"/>
      <c r="D16" s="11"/>
      <c r="E16" s="12"/>
      <c r="F16" s="11"/>
      <c r="G16" s="11"/>
      <c r="H16" s="13"/>
      <c r="I16" s="11"/>
      <c r="J16" s="11"/>
    </row>
    <row x14ac:dyDescent="0.25" r="17" customHeight="1" ht="17.25">
      <c r="A17" s="14" t="s">
        <v>3</v>
      </c>
      <c r="B17" s="14" t="s">
        <v>4</v>
      </c>
      <c r="C17" s="14" t="s">
        <v>5</v>
      </c>
      <c r="D17" s="14" t="s">
        <v>6</v>
      </c>
      <c r="E17" s="15" t="s">
        <v>7</v>
      </c>
      <c r="F17" s="14" t="s">
        <v>8</v>
      </c>
      <c r="G17" s="14" t="s">
        <v>9</v>
      </c>
      <c r="H17" s="16" t="s">
        <v>10</v>
      </c>
      <c r="I17" s="14" t="s">
        <v>11</v>
      </c>
      <c r="J17" s="14" t="s">
        <v>12</v>
      </c>
    </row>
    <row x14ac:dyDescent="0.25" r="18" customHeight="1" ht="17.25">
      <c r="A18" s="17" t="s">
        <v>3032</v>
      </c>
      <c r="B18" s="17" t="s">
        <v>55</v>
      </c>
      <c r="C18" s="17" t="s">
        <v>56</v>
      </c>
      <c r="D18" s="17" t="s">
        <v>16</v>
      </c>
      <c r="E18" s="18">
        <f>ROUND(10575*1.05,2)</f>
      </c>
      <c r="F18" s="17" t="s">
        <v>17</v>
      </c>
      <c r="G18" s="17" t="s">
        <v>18</v>
      </c>
      <c r="H18" s="18">
        <f>ROUND(RAND()*4+6,1)</f>
      </c>
      <c r="I18" s="17" t="s">
        <v>19</v>
      </c>
      <c r="J18" s="19">
        <f>ROUND(71*1,0)&amp;"%"</f>
      </c>
    </row>
    <row x14ac:dyDescent="0.25" r="19" customHeight="1" ht="17.25">
      <c r="A19" s="20" t="s">
        <v>3033</v>
      </c>
      <c r="B19" s="20" t="s">
        <v>58</v>
      </c>
      <c r="C19" s="20" t="s">
        <v>56</v>
      </c>
      <c r="D19" s="20" t="s">
        <v>22</v>
      </c>
      <c r="E19" s="21">
        <f>ROUND(14822*1.05,2)</f>
      </c>
      <c r="F19" s="20" t="s">
        <v>23</v>
      </c>
      <c r="G19" s="20" t="s">
        <v>24</v>
      </c>
      <c r="H19" s="21">
        <f>ROUND(RAND()*4+6,1)</f>
      </c>
      <c r="I19" s="20" t="s">
        <v>25</v>
      </c>
      <c r="J19" s="23">
        <f>ROUND(85*1,0)&amp;"%"</f>
      </c>
    </row>
    <row x14ac:dyDescent="0.25" r="20" customHeight="1" ht="17.25">
      <c r="A20" s="17" t="s">
        <v>3034</v>
      </c>
      <c r="B20" s="17" t="s">
        <v>60</v>
      </c>
      <c r="C20" s="17" t="s">
        <v>56</v>
      </c>
      <c r="D20" s="17" t="s">
        <v>28</v>
      </c>
      <c r="E20" s="18">
        <f>ROUND(15341*1.05,2)</f>
      </c>
      <c r="F20" s="17" t="s">
        <v>29</v>
      </c>
      <c r="G20" s="17" t="s">
        <v>30</v>
      </c>
      <c r="H20" s="18">
        <f>ROUND(RAND()*4+6,1)</f>
      </c>
      <c r="I20" s="17" t="s">
        <v>31</v>
      </c>
      <c r="J20" s="19">
        <f>ROUND(88*1,0)&amp;"%"</f>
      </c>
    </row>
    <row x14ac:dyDescent="0.25" r="21" customHeight="1" ht="17.25">
      <c r="A21" s="20" t="s">
        <v>3035</v>
      </c>
      <c r="B21" s="20" t="s">
        <v>62</v>
      </c>
      <c r="C21" s="20" t="s">
        <v>56</v>
      </c>
      <c r="D21" s="20" t="s">
        <v>34</v>
      </c>
      <c r="E21" s="21">
        <f>ROUND(12575*1.05,2)</f>
      </c>
      <c r="F21" s="20" t="s">
        <v>35</v>
      </c>
      <c r="G21" s="20" t="s">
        <v>18</v>
      </c>
      <c r="H21" s="21">
        <f>ROUND(RAND()*4+6,1)</f>
      </c>
      <c r="I21" s="20" t="s">
        <v>36</v>
      </c>
      <c r="J21" s="23">
        <f>ROUND(100*1,0)&amp;"%"</f>
      </c>
    </row>
    <row x14ac:dyDescent="0.25" r="22" customHeight="1" ht="17.25">
      <c r="A22" s="17" t="s">
        <v>3036</v>
      </c>
      <c r="B22" s="17" t="s">
        <v>64</v>
      </c>
      <c r="C22" s="17" t="s">
        <v>56</v>
      </c>
      <c r="D22" s="17" t="s">
        <v>39</v>
      </c>
      <c r="E22" s="18">
        <f>ROUND(9722*1.05,2)</f>
      </c>
      <c r="F22" s="17" t="s">
        <v>40</v>
      </c>
      <c r="G22" s="17" t="s">
        <v>24</v>
      </c>
      <c r="H22" s="18">
        <f>ROUND(RAND()*4+6,1)</f>
      </c>
      <c r="I22" s="17" t="s">
        <v>41</v>
      </c>
      <c r="J22" s="19">
        <f>ROUND(77*1,0)&amp;"%"</f>
      </c>
    </row>
    <row x14ac:dyDescent="0.25" r="23" customHeight="1" ht="17.25">
      <c r="A23" s="20" t="s">
        <v>3037</v>
      </c>
      <c r="B23" s="20" t="s">
        <v>66</v>
      </c>
      <c r="C23" s="20" t="s">
        <v>56</v>
      </c>
      <c r="D23" s="20" t="s">
        <v>67</v>
      </c>
      <c r="E23" s="21">
        <f>ROUND(5305*1.05,2)</f>
      </c>
      <c r="F23" s="20" t="s">
        <v>44</v>
      </c>
      <c r="G23" s="20" t="s">
        <v>30</v>
      </c>
      <c r="H23" s="21">
        <f>ROUND(RAND()*4+6,1)</f>
      </c>
      <c r="I23" s="20" t="s">
        <v>45</v>
      </c>
      <c r="J23" s="23">
        <f>ROUND(75*1,0)&amp;"%"</f>
      </c>
    </row>
    <row x14ac:dyDescent="0.25" r="24" customHeight="1" ht="17.25">
      <c r="A24" s="17" t="s">
        <v>3038</v>
      </c>
      <c r="B24" s="17" t="s">
        <v>69</v>
      </c>
      <c r="C24" s="17" t="s">
        <v>56</v>
      </c>
      <c r="D24" s="17" t="s">
        <v>16</v>
      </c>
      <c r="E24" s="26">
        <f>ROUND(11860*1.05,2)</f>
      </c>
      <c r="F24" s="17" t="s">
        <v>48</v>
      </c>
      <c r="G24" s="17" t="s">
        <v>18</v>
      </c>
      <c r="H24" s="18">
        <f>ROUND(RAND()*4+6,1)</f>
      </c>
      <c r="I24" s="17" t="s">
        <v>19</v>
      </c>
      <c r="J24" s="19">
        <f>ROUND(88*1,0)&amp;"%"</f>
      </c>
    </row>
    <row x14ac:dyDescent="0.25" r="25" customHeight="1" ht="17.25">
      <c r="A25" s="20" t="s">
        <v>3039</v>
      </c>
      <c r="B25" s="20" t="s">
        <v>71</v>
      </c>
      <c r="C25" s="20" t="s">
        <v>56</v>
      </c>
      <c r="D25" s="20" t="s">
        <v>22</v>
      </c>
      <c r="E25" s="21">
        <f>ROUND(10398*1.05,2)</f>
      </c>
      <c r="F25" s="20" t="s">
        <v>51</v>
      </c>
      <c r="G25" s="20" t="s">
        <v>24</v>
      </c>
      <c r="H25" s="21">
        <f>ROUND(RAND()*4+6,1)</f>
      </c>
      <c r="I25" s="20" t="s">
        <v>25</v>
      </c>
      <c r="J25" s="23">
        <f>ROUND(73*1,0)&amp;"%"</f>
      </c>
    </row>
    <row x14ac:dyDescent="0.25" r="26" customHeight="1" ht="17.25">
      <c r="A26" s="24" t="s">
        <v>72</v>
      </c>
      <c r="B26" s="24"/>
      <c r="C26" s="24"/>
      <c r="D26" s="24"/>
      <c r="E26" s="25">
        <v>8</v>
      </c>
      <c r="F26" s="9"/>
      <c r="G26" s="9"/>
      <c r="H26" s="10"/>
      <c r="I26" s="9"/>
      <c r="J26" s="9"/>
    </row>
    <row x14ac:dyDescent="0.25" r="27" customHeight="1" ht="17.25">
      <c r="A27" s="7"/>
      <c r="B27" s="7"/>
      <c r="C27" s="7"/>
      <c r="D27" s="7"/>
      <c r="E27" s="8"/>
      <c r="F27" s="9"/>
      <c r="G27" s="9"/>
      <c r="H27" s="10"/>
      <c r="I27" s="9"/>
      <c r="J27" s="9"/>
    </row>
    <row x14ac:dyDescent="0.25" r="28" customHeight="1" ht="17.25">
      <c r="A28" s="11" t="s">
        <v>3040</v>
      </c>
      <c r="B28" s="11"/>
      <c r="C28" s="11"/>
      <c r="D28" s="11"/>
      <c r="E28" s="12"/>
      <c r="F28" s="11"/>
      <c r="G28" s="11"/>
      <c r="H28" s="13"/>
      <c r="I28" s="11"/>
      <c r="J28" s="11"/>
    </row>
    <row x14ac:dyDescent="0.25" r="29" customHeight="1" ht="17.25">
      <c r="A29" s="14" t="s">
        <v>3</v>
      </c>
      <c r="B29" s="14" t="s">
        <v>4</v>
      </c>
      <c r="C29" s="14" t="s">
        <v>5</v>
      </c>
      <c r="D29" s="14" t="s">
        <v>6</v>
      </c>
      <c r="E29" s="15" t="s">
        <v>7</v>
      </c>
      <c r="F29" s="14" t="s">
        <v>8</v>
      </c>
      <c r="G29" s="14" t="s">
        <v>9</v>
      </c>
      <c r="H29" s="16" t="s">
        <v>10</v>
      </c>
      <c r="I29" s="14" t="s">
        <v>11</v>
      </c>
      <c r="J29" s="14" t="s">
        <v>12</v>
      </c>
    </row>
    <row x14ac:dyDescent="0.25" r="30" customHeight="1" ht="17.25">
      <c r="A30" s="17" t="s">
        <v>3041</v>
      </c>
      <c r="B30" s="17" t="s">
        <v>75</v>
      </c>
      <c r="C30" s="17" t="s">
        <v>76</v>
      </c>
      <c r="D30" s="17" t="s">
        <v>16</v>
      </c>
      <c r="E30" s="18">
        <f>ROUND(8633*1.05,2)</f>
      </c>
      <c r="F30" s="17" t="s">
        <v>17</v>
      </c>
      <c r="G30" s="17" t="s">
        <v>18</v>
      </c>
      <c r="H30" s="18">
        <f>ROUND(RAND()*4+6,1)</f>
      </c>
      <c r="I30" s="17" t="s">
        <v>19</v>
      </c>
      <c r="J30" s="19">
        <f>ROUND(65*1,0)&amp;"%"</f>
      </c>
    </row>
    <row x14ac:dyDescent="0.25" r="31" customHeight="1" ht="17.25">
      <c r="A31" s="20" t="s">
        <v>3042</v>
      </c>
      <c r="B31" s="20" t="s">
        <v>78</v>
      </c>
      <c r="C31" s="20" t="s">
        <v>76</v>
      </c>
      <c r="D31" s="20" t="s">
        <v>22</v>
      </c>
      <c r="E31" s="21">
        <f>ROUND(6936*1.05,2)</f>
      </c>
      <c r="F31" s="20" t="s">
        <v>23</v>
      </c>
      <c r="G31" s="20" t="s">
        <v>24</v>
      </c>
      <c r="H31" s="21">
        <f>ROUND(RAND()*4+6,1)</f>
      </c>
      <c r="I31" s="20" t="s">
        <v>25</v>
      </c>
      <c r="J31" s="23">
        <f>ROUND(79*1,0)&amp;"%"</f>
      </c>
    </row>
    <row x14ac:dyDescent="0.25" r="32" customHeight="1" ht="17.25">
      <c r="A32" s="17" t="s">
        <v>3043</v>
      </c>
      <c r="B32" s="17" t="s">
        <v>80</v>
      </c>
      <c r="C32" s="17" t="s">
        <v>76</v>
      </c>
      <c r="D32" s="17" t="s">
        <v>28</v>
      </c>
      <c r="E32" s="18">
        <f>ROUND(11566*1.05,2)</f>
      </c>
      <c r="F32" s="17" t="s">
        <v>29</v>
      </c>
      <c r="G32" s="17" t="s">
        <v>30</v>
      </c>
      <c r="H32" s="18">
        <f>ROUND(RAND()*4+6,1)</f>
      </c>
      <c r="I32" s="17" t="s">
        <v>31</v>
      </c>
      <c r="J32" s="19">
        <f>ROUND(69*1,0)&amp;"%"</f>
      </c>
    </row>
    <row x14ac:dyDescent="0.25" r="33" customHeight="1" ht="17.25">
      <c r="A33" s="20" t="s">
        <v>3044</v>
      </c>
      <c r="B33" s="20" t="s">
        <v>82</v>
      </c>
      <c r="C33" s="20" t="s">
        <v>76</v>
      </c>
      <c r="D33" s="20" t="s">
        <v>34</v>
      </c>
      <c r="E33" s="21">
        <f>ROUND(4505*1.05,2)</f>
      </c>
      <c r="F33" s="20" t="s">
        <v>35</v>
      </c>
      <c r="G33" s="20" t="s">
        <v>18</v>
      </c>
      <c r="H33" s="21">
        <f>ROUND(RAND()*4+6,1)</f>
      </c>
      <c r="I33" s="20" t="s">
        <v>36</v>
      </c>
      <c r="J33" s="23">
        <f>ROUND(99*1,0)&amp;"%"</f>
      </c>
    </row>
    <row x14ac:dyDescent="0.25" r="34" customHeight="1" ht="17.25">
      <c r="A34" s="17" t="s">
        <v>3045</v>
      </c>
      <c r="B34" s="17" t="s">
        <v>84</v>
      </c>
      <c r="C34" s="17" t="s">
        <v>76</v>
      </c>
      <c r="D34" s="17" t="s">
        <v>39</v>
      </c>
      <c r="E34" s="18">
        <f>ROUND(7339*1.05,2)</f>
      </c>
      <c r="F34" s="17" t="s">
        <v>40</v>
      </c>
      <c r="G34" s="17" t="s">
        <v>24</v>
      </c>
      <c r="H34" s="18">
        <f>ROUND(RAND()*4+6,1)</f>
      </c>
      <c r="I34" s="17" t="s">
        <v>41</v>
      </c>
      <c r="J34" s="19">
        <f>ROUND(67*1,0)&amp;"%"</f>
      </c>
    </row>
    <row x14ac:dyDescent="0.25" r="35" customHeight="1" ht="17.25">
      <c r="A35" s="20" t="s">
        <v>3046</v>
      </c>
      <c r="B35" s="20" t="s">
        <v>86</v>
      </c>
      <c r="C35" s="20" t="s">
        <v>76</v>
      </c>
      <c r="D35" s="20" t="s">
        <v>67</v>
      </c>
      <c r="E35" s="21">
        <f>ROUND(8413*1.05,2)</f>
      </c>
      <c r="F35" s="20" t="s">
        <v>44</v>
      </c>
      <c r="G35" s="20" t="s">
        <v>30</v>
      </c>
      <c r="H35" s="21">
        <f>ROUND(RAND()*4+6,1)</f>
      </c>
      <c r="I35" s="20" t="s">
        <v>45</v>
      </c>
      <c r="J35" s="23">
        <f>ROUND(84*1,0)&amp;"%"</f>
      </c>
    </row>
    <row x14ac:dyDescent="0.25" r="36" customHeight="1" ht="17.25">
      <c r="A36" s="17" t="s">
        <v>3047</v>
      </c>
      <c r="B36" s="17" t="s">
        <v>88</v>
      </c>
      <c r="C36" s="17" t="s">
        <v>76</v>
      </c>
      <c r="D36" s="17" t="s">
        <v>16</v>
      </c>
      <c r="E36" s="18">
        <f>ROUND(6872*1.05,2)</f>
      </c>
      <c r="F36" s="17" t="s">
        <v>48</v>
      </c>
      <c r="G36" s="17" t="s">
        <v>18</v>
      </c>
      <c r="H36" s="18">
        <f>ROUND(RAND()*4+6,1)</f>
      </c>
      <c r="I36" s="17" t="s">
        <v>19</v>
      </c>
      <c r="J36" s="19">
        <f>ROUND(98*1,0)&amp;"%"</f>
      </c>
    </row>
    <row x14ac:dyDescent="0.25" r="37" customHeight="1" ht="17.25">
      <c r="A37" s="20" t="s">
        <v>3048</v>
      </c>
      <c r="B37" s="20" t="s">
        <v>90</v>
      </c>
      <c r="C37" s="20" t="s">
        <v>76</v>
      </c>
      <c r="D37" s="20" t="s">
        <v>22</v>
      </c>
      <c r="E37" s="21">
        <f>ROUND(12191*1.05,2)</f>
      </c>
      <c r="F37" s="20" t="s">
        <v>51</v>
      </c>
      <c r="G37" s="20" t="s">
        <v>24</v>
      </c>
      <c r="H37" s="21">
        <f>ROUND(RAND()*4+6,1)</f>
      </c>
      <c r="I37" s="20" t="s">
        <v>25</v>
      </c>
      <c r="J37" s="23">
        <f>ROUND(94*1,0)&amp;"%"</f>
      </c>
    </row>
    <row x14ac:dyDescent="0.25" r="38" customHeight="1" ht="17.25">
      <c r="A38" s="24" t="s">
        <v>91</v>
      </c>
      <c r="B38" s="24"/>
      <c r="C38" s="24"/>
      <c r="D38" s="24"/>
      <c r="E38" s="25">
        <v>8</v>
      </c>
      <c r="F38" s="9"/>
      <c r="G38" s="9"/>
      <c r="H38" s="10"/>
      <c r="I38" s="9"/>
      <c r="J38" s="9"/>
    </row>
    <row x14ac:dyDescent="0.25" r="39" customHeight="1" ht="17.25">
      <c r="A39" s="7"/>
      <c r="B39" s="7"/>
      <c r="C39" s="7"/>
      <c r="D39" s="7"/>
      <c r="E39" s="8"/>
      <c r="F39" s="9"/>
      <c r="G39" s="9"/>
      <c r="H39" s="10"/>
      <c r="I39" s="9"/>
      <c r="J39" s="9"/>
    </row>
    <row x14ac:dyDescent="0.25" r="40" customHeight="1" ht="17.25">
      <c r="A40" s="11" t="s">
        <v>3049</v>
      </c>
      <c r="B40" s="11"/>
      <c r="C40" s="11"/>
      <c r="D40" s="11"/>
      <c r="E40" s="12"/>
      <c r="F40" s="11"/>
      <c r="G40" s="11"/>
      <c r="H40" s="13"/>
      <c r="I40" s="11"/>
      <c r="J40" s="11"/>
    </row>
    <row x14ac:dyDescent="0.25" r="41" customHeight="1" ht="17.25">
      <c r="A41" s="14" t="s">
        <v>3</v>
      </c>
      <c r="B41" s="14" t="s">
        <v>4</v>
      </c>
      <c r="C41" s="14" t="s">
        <v>5</v>
      </c>
      <c r="D41" s="14" t="s">
        <v>6</v>
      </c>
      <c r="E41" s="15" t="s">
        <v>7</v>
      </c>
      <c r="F41" s="14" t="s">
        <v>8</v>
      </c>
      <c r="G41" s="14" t="s">
        <v>9</v>
      </c>
      <c r="H41" s="16" t="s">
        <v>10</v>
      </c>
      <c r="I41" s="14" t="s">
        <v>11</v>
      </c>
      <c r="J41" s="14" t="s">
        <v>12</v>
      </c>
    </row>
    <row x14ac:dyDescent="0.25" r="42" customHeight="1" ht="17.25">
      <c r="A42" s="17" t="s">
        <v>3050</v>
      </c>
      <c r="B42" s="17" t="s">
        <v>94</v>
      </c>
      <c r="C42" s="17" t="s">
        <v>95</v>
      </c>
      <c r="D42" s="17" t="s">
        <v>16</v>
      </c>
      <c r="E42" s="26">
        <f>ROUND(15100*1.05,2)</f>
      </c>
      <c r="F42" s="17" t="s">
        <v>17</v>
      </c>
      <c r="G42" s="17" t="s">
        <v>18</v>
      </c>
      <c r="H42" s="18">
        <f>ROUND(RAND()*4+6,1)</f>
      </c>
      <c r="I42" s="17" t="s">
        <v>19</v>
      </c>
      <c r="J42" s="19">
        <f>ROUND(63*1,0)&amp;"%"</f>
      </c>
    </row>
    <row x14ac:dyDescent="0.25" r="43" customHeight="1" ht="17.25">
      <c r="A43" s="20" t="s">
        <v>3051</v>
      </c>
      <c r="B43" s="20" t="s">
        <v>97</v>
      </c>
      <c r="C43" s="20" t="s">
        <v>95</v>
      </c>
      <c r="D43" s="20" t="s">
        <v>22</v>
      </c>
      <c r="E43" s="21">
        <f>ROUND(13809*1.05,2)</f>
      </c>
      <c r="F43" s="20" t="s">
        <v>23</v>
      </c>
      <c r="G43" s="20" t="s">
        <v>24</v>
      </c>
      <c r="H43" s="21">
        <f>ROUND(RAND()*4+6,1)</f>
      </c>
      <c r="I43" s="20" t="s">
        <v>25</v>
      </c>
      <c r="J43" s="23">
        <f>ROUND(86*1,0)&amp;"%"</f>
      </c>
    </row>
    <row x14ac:dyDescent="0.25" r="44" customHeight="1" ht="17.25">
      <c r="A44" s="17" t="s">
        <v>3052</v>
      </c>
      <c r="B44" s="17" t="s">
        <v>99</v>
      </c>
      <c r="C44" s="17" t="s">
        <v>95</v>
      </c>
      <c r="D44" s="17" t="s">
        <v>28</v>
      </c>
      <c r="E44" s="18">
        <f>ROUND(9897*1.05,2)</f>
      </c>
      <c r="F44" s="17" t="s">
        <v>29</v>
      </c>
      <c r="G44" s="17" t="s">
        <v>30</v>
      </c>
      <c r="H44" s="18">
        <f>ROUND(RAND()*4+6,1)</f>
      </c>
      <c r="I44" s="17" t="s">
        <v>31</v>
      </c>
      <c r="J44" s="19">
        <f>ROUND(68*1,0)&amp;"%"</f>
      </c>
    </row>
    <row x14ac:dyDescent="0.25" r="45" customHeight="1" ht="17.25">
      <c r="A45" s="20" t="s">
        <v>3053</v>
      </c>
      <c r="B45" s="20" t="s">
        <v>101</v>
      </c>
      <c r="C45" s="20" t="s">
        <v>95</v>
      </c>
      <c r="D45" s="20" t="s">
        <v>34</v>
      </c>
      <c r="E45" s="21">
        <f>ROUND(5517*1.05,2)</f>
      </c>
      <c r="F45" s="20" t="s">
        <v>35</v>
      </c>
      <c r="G45" s="20" t="s">
        <v>18</v>
      </c>
      <c r="H45" s="21">
        <f>ROUND(RAND()*4+6,1)</f>
      </c>
      <c r="I45" s="20" t="s">
        <v>36</v>
      </c>
      <c r="J45" s="23">
        <f>ROUND(95*1,0)&amp;"%"</f>
      </c>
    </row>
    <row x14ac:dyDescent="0.25" r="46" customHeight="1" ht="17.25">
      <c r="A46" s="17" t="s">
        <v>3054</v>
      </c>
      <c r="B46" s="17" t="s">
        <v>103</v>
      </c>
      <c r="C46" s="17" t="s">
        <v>95</v>
      </c>
      <c r="D46" s="17" t="s">
        <v>39</v>
      </c>
      <c r="E46" s="26">
        <f>ROUND(5420*1.05,2)</f>
      </c>
      <c r="F46" s="17" t="s">
        <v>40</v>
      </c>
      <c r="G46" s="17" t="s">
        <v>24</v>
      </c>
      <c r="H46" s="18">
        <f>ROUND(RAND()*4+6,1)</f>
      </c>
      <c r="I46" s="17" t="s">
        <v>41</v>
      </c>
      <c r="J46" s="19">
        <f>ROUND(89*1,0)&amp;"%"</f>
      </c>
    </row>
    <row x14ac:dyDescent="0.25" r="47" customHeight="1" ht="17.25">
      <c r="A47" s="20" t="s">
        <v>3055</v>
      </c>
      <c r="B47" s="20" t="s">
        <v>105</v>
      </c>
      <c r="C47" s="20" t="s">
        <v>95</v>
      </c>
      <c r="D47" s="20" t="s">
        <v>67</v>
      </c>
      <c r="E47" s="21">
        <f>ROUND(16052*1.05,2)</f>
      </c>
      <c r="F47" s="20" t="s">
        <v>44</v>
      </c>
      <c r="G47" s="20" t="s">
        <v>30</v>
      </c>
      <c r="H47" s="21">
        <f>ROUND(RAND()*4+6,1)</f>
      </c>
      <c r="I47" s="20" t="s">
        <v>45</v>
      </c>
      <c r="J47" s="23">
        <f>ROUND(79*1,0)&amp;"%"</f>
      </c>
    </row>
    <row x14ac:dyDescent="0.25" r="48" customHeight="1" ht="17.25">
      <c r="A48" s="17" t="s">
        <v>3056</v>
      </c>
      <c r="B48" s="17" t="s">
        <v>107</v>
      </c>
      <c r="C48" s="17" t="s">
        <v>95</v>
      </c>
      <c r="D48" s="17" t="s">
        <v>16</v>
      </c>
      <c r="E48" s="18">
        <f>ROUND(11323*1.05,2)</f>
      </c>
      <c r="F48" s="17" t="s">
        <v>48</v>
      </c>
      <c r="G48" s="17" t="s">
        <v>18</v>
      </c>
      <c r="H48" s="18">
        <f>ROUND(RAND()*4+6,1)</f>
      </c>
      <c r="I48" s="17" t="s">
        <v>19</v>
      </c>
      <c r="J48" s="19">
        <f>ROUND(79*1,0)&amp;"%"</f>
      </c>
    </row>
    <row x14ac:dyDescent="0.25" r="49" customHeight="1" ht="17.25">
      <c r="A49" s="20" t="s">
        <v>3057</v>
      </c>
      <c r="B49" s="20" t="s">
        <v>109</v>
      </c>
      <c r="C49" s="20" t="s">
        <v>95</v>
      </c>
      <c r="D49" s="20" t="s">
        <v>22</v>
      </c>
      <c r="E49" s="21">
        <f>ROUND(5582*1.05,2)</f>
      </c>
      <c r="F49" s="20" t="s">
        <v>51</v>
      </c>
      <c r="G49" s="20" t="s">
        <v>24</v>
      </c>
      <c r="H49" s="21">
        <f>ROUND(RAND()*4+6,1)</f>
      </c>
      <c r="I49" s="20" t="s">
        <v>25</v>
      </c>
      <c r="J49" s="23">
        <f>ROUND(60*1,0)&amp;"%"</f>
      </c>
    </row>
    <row x14ac:dyDescent="0.25" r="50" customHeight="1" ht="17.25">
      <c r="A50" s="24" t="s">
        <v>110</v>
      </c>
      <c r="B50" s="24"/>
      <c r="C50" s="24"/>
      <c r="D50" s="24"/>
      <c r="E50" s="25">
        <v>8</v>
      </c>
      <c r="F50" s="9"/>
      <c r="G50" s="9"/>
      <c r="H50" s="10"/>
      <c r="I50" s="9"/>
      <c r="J50" s="9"/>
    </row>
    <row x14ac:dyDescent="0.25" r="51" customHeight="1" ht="17.25">
      <c r="A51" s="7"/>
      <c r="B51" s="7"/>
      <c r="C51" s="7"/>
      <c r="D51" s="7"/>
      <c r="E51" s="8"/>
      <c r="F51" s="9"/>
      <c r="G51" s="9"/>
      <c r="H51" s="10"/>
      <c r="I51" s="9"/>
      <c r="J51" s="9"/>
    </row>
    <row x14ac:dyDescent="0.25" r="52" customHeight="1" ht="17.25">
      <c r="A52" s="11" t="s">
        <v>3058</v>
      </c>
      <c r="B52" s="11"/>
      <c r="C52" s="11"/>
      <c r="D52" s="11"/>
      <c r="E52" s="12"/>
      <c r="F52" s="11"/>
      <c r="G52" s="11"/>
      <c r="H52" s="13"/>
      <c r="I52" s="11"/>
      <c r="J52" s="11"/>
    </row>
    <row x14ac:dyDescent="0.25" r="53" customHeight="1" ht="17.25">
      <c r="A53" s="14" t="s">
        <v>3</v>
      </c>
      <c r="B53" s="14" t="s">
        <v>4</v>
      </c>
      <c r="C53" s="14" t="s">
        <v>5</v>
      </c>
      <c r="D53" s="14" t="s">
        <v>6</v>
      </c>
      <c r="E53" s="15" t="s">
        <v>7</v>
      </c>
      <c r="F53" s="14" t="s">
        <v>8</v>
      </c>
      <c r="G53" s="14" t="s">
        <v>9</v>
      </c>
      <c r="H53" s="16" t="s">
        <v>10</v>
      </c>
      <c r="I53" s="14" t="s">
        <v>11</v>
      </c>
      <c r="J53" s="14" t="s">
        <v>12</v>
      </c>
    </row>
    <row x14ac:dyDescent="0.25" r="54" customHeight="1" ht="17.25">
      <c r="A54" s="17" t="s">
        <v>3059</v>
      </c>
      <c r="B54" s="17" t="s">
        <v>113</v>
      </c>
      <c r="C54" s="17" t="s">
        <v>114</v>
      </c>
      <c r="D54" s="17" t="s">
        <v>16</v>
      </c>
      <c r="E54" s="18">
        <f>ROUND(17402*1.05,2)</f>
      </c>
      <c r="F54" s="17" t="s">
        <v>17</v>
      </c>
      <c r="G54" s="17" t="s">
        <v>18</v>
      </c>
      <c r="H54" s="26">
        <f>ROUND(RAND()*4+6,1)</f>
      </c>
      <c r="I54" s="17" t="s">
        <v>19</v>
      </c>
      <c r="J54" s="19">
        <f>ROUND(88*1,0)&amp;"%"</f>
      </c>
    </row>
    <row x14ac:dyDescent="0.25" r="55" customHeight="1" ht="17.25">
      <c r="A55" s="20" t="s">
        <v>3060</v>
      </c>
      <c r="B55" s="20" t="s">
        <v>116</v>
      </c>
      <c r="C55" s="20" t="s">
        <v>114</v>
      </c>
      <c r="D55" s="20" t="s">
        <v>22</v>
      </c>
      <c r="E55" s="21">
        <f>ROUND(12023*1.05,2)</f>
      </c>
      <c r="F55" s="20" t="s">
        <v>23</v>
      </c>
      <c r="G55" s="20" t="s">
        <v>24</v>
      </c>
      <c r="H55" s="21">
        <f>ROUND(RAND()*4+6,1)</f>
      </c>
      <c r="I55" s="20" t="s">
        <v>25</v>
      </c>
      <c r="J55" s="23">
        <f>ROUND(79*1,0)&amp;"%"</f>
      </c>
    </row>
    <row x14ac:dyDescent="0.25" r="56" customHeight="1" ht="17.25">
      <c r="A56" s="17" t="s">
        <v>3061</v>
      </c>
      <c r="B56" s="17" t="s">
        <v>118</v>
      </c>
      <c r="C56" s="17" t="s">
        <v>114</v>
      </c>
      <c r="D56" s="17" t="s">
        <v>28</v>
      </c>
      <c r="E56" s="18">
        <f>ROUND(16056*1.05,2)</f>
      </c>
      <c r="F56" s="17" t="s">
        <v>29</v>
      </c>
      <c r="G56" s="17" t="s">
        <v>30</v>
      </c>
      <c r="H56" s="18">
        <f>ROUND(RAND()*4+6,1)</f>
      </c>
      <c r="I56" s="17" t="s">
        <v>31</v>
      </c>
      <c r="J56" s="19">
        <f>ROUND(73*1,0)&amp;"%"</f>
      </c>
    </row>
    <row x14ac:dyDescent="0.25" r="57" customHeight="1" ht="17.25">
      <c r="A57" s="20" t="s">
        <v>3062</v>
      </c>
      <c r="B57" s="20" t="s">
        <v>120</v>
      </c>
      <c r="C57" s="20" t="s">
        <v>114</v>
      </c>
      <c r="D57" s="20" t="s">
        <v>34</v>
      </c>
      <c r="E57" s="21">
        <f>ROUND(4039*1.05,2)</f>
      </c>
      <c r="F57" s="20" t="s">
        <v>35</v>
      </c>
      <c r="G57" s="20" t="s">
        <v>18</v>
      </c>
      <c r="H57" s="21">
        <f>ROUND(RAND()*4+6,1)</f>
      </c>
      <c r="I57" s="20" t="s">
        <v>36</v>
      </c>
      <c r="J57" s="23">
        <f>ROUND(95*1,0)&amp;"%"</f>
      </c>
    </row>
    <row x14ac:dyDescent="0.25" r="58" customHeight="1" ht="17.25">
      <c r="A58" s="17" t="s">
        <v>3063</v>
      </c>
      <c r="B58" s="17" t="s">
        <v>122</v>
      </c>
      <c r="C58" s="17" t="s">
        <v>114</v>
      </c>
      <c r="D58" s="17" t="s">
        <v>39</v>
      </c>
      <c r="E58" s="18">
        <f>ROUND(5083*1.05,2)</f>
      </c>
      <c r="F58" s="17" t="s">
        <v>40</v>
      </c>
      <c r="G58" s="17" t="s">
        <v>24</v>
      </c>
      <c r="H58" s="18">
        <f>ROUND(RAND()*4+6,1)</f>
      </c>
      <c r="I58" s="17" t="s">
        <v>41</v>
      </c>
      <c r="J58" s="19">
        <f>ROUND(93*1,0)&amp;"%"</f>
      </c>
    </row>
    <row x14ac:dyDescent="0.25" r="59" customHeight="1" ht="17.25">
      <c r="A59" s="20" t="s">
        <v>3064</v>
      </c>
      <c r="B59" s="20" t="s">
        <v>124</v>
      </c>
      <c r="C59" s="20" t="s">
        <v>114</v>
      </c>
      <c r="D59" s="20" t="s">
        <v>67</v>
      </c>
      <c r="E59" s="21">
        <f>ROUND(6512*1.05,2)</f>
      </c>
      <c r="F59" s="20" t="s">
        <v>44</v>
      </c>
      <c r="G59" s="20" t="s">
        <v>30</v>
      </c>
      <c r="H59" s="21">
        <f>ROUND(RAND()*4+6,1)</f>
      </c>
      <c r="I59" s="20" t="s">
        <v>45</v>
      </c>
      <c r="J59" s="23">
        <f>ROUND(73*1,0)&amp;"%"</f>
      </c>
    </row>
    <row x14ac:dyDescent="0.25" r="60" customHeight="1" ht="17.25">
      <c r="A60" s="17" t="s">
        <v>3065</v>
      </c>
      <c r="B60" s="17" t="s">
        <v>126</v>
      </c>
      <c r="C60" s="17" t="s">
        <v>114</v>
      </c>
      <c r="D60" s="17" t="s">
        <v>16</v>
      </c>
      <c r="E60" s="18">
        <f>ROUND(10958*1.05,2)</f>
      </c>
      <c r="F60" s="17" t="s">
        <v>48</v>
      </c>
      <c r="G60" s="17" t="s">
        <v>18</v>
      </c>
      <c r="H60" s="18">
        <f>ROUND(RAND()*4+6,1)</f>
      </c>
      <c r="I60" s="17" t="s">
        <v>19</v>
      </c>
      <c r="J60" s="19">
        <f>ROUND(68*1,0)&amp;"%"</f>
      </c>
    </row>
    <row x14ac:dyDescent="0.25" r="61" customHeight="1" ht="17.25">
      <c r="A61" s="20" t="s">
        <v>3066</v>
      </c>
      <c r="B61" s="20" t="s">
        <v>128</v>
      </c>
      <c r="C61" s="20" t="s">
        <v>114</v>
      </c>
      <c r="D61" s="20" t="s">
        <v>22</v>
      </c>
      <c r="E61" s="21">
        <f>ROUND(5715*1.05,2)</f>
      </c>
      <c r="F61" s="20" t="s">
        <v>51</v>
      </c>
      <c r="G61" s="20" t="s">
        <v>24</v>
      </c>
      <c r="H61" s="21">
        <f>ROUND(RAND()*4+6,1)</f>
      </c>
      <c r="I61" s="20" t="s">
        <v>25</v>
      </c>
      <c r="J61" s="23">
        <f>ROUND(74*1,0)&amp;"%"</f>
      </c>
    </row>
    <row x14ac:dyDescent="0.25" r="62" customHeight="1" ht="17.25">
      <c r="A62" s="24" t="s">
        <v>129</v>
      </c>
      <c r="B62" s="24"/>
      <c r="C62" s="24"/>
      <c r="D62" s="24"/>
      <c r="E62" s="25">
        <v>8</v>
      </c>
      <c r="F62" s="9"/>
      <c r="G62" s="9"/>
      <c r="H62" s="10"/>
      <c r="I62" s="9"/>
      <c r="J62" s="9"/>
    </row>
    <row x14ac:dyDescent="0.25" r="63" customHeight="1" ht="17.25">
      <c r="A63" s="7"/>
      <c r="B63" s="7"/>
      <c r="C63" s="7"/>
      <c r="D63" s="7"/>
      <c r="E63" s="8"/>
      <c r="F63" s="9"/>
      <c r="G63" s="9"/>
      <c r="H63" s="10"/>
      <c r="I63" s="9"/>
      <c r="J63" s="9"/>
    </row>
    <row x14ac:dyDescent="0.25" r="64" customHeight="1" ht="17.25">
      <c r="A64" s="11" t="s">
        <v>3067</v>
      </c>
      <c r="B64" s="11"/>
      <c r="C64" s="11"/>
      <c r="D64" s="11"/>
      <c r="E64" s="12"/>
      <c r="F64" s="11"/>
      <c r="G64" s="11"/>
      <c r="H64" s="13"/>
      <c r="I64" s="11"/>
      <c r="J64" s="11"/>
    </row>
    <row x14ac:dyDescent="0.25" r="65" customHeight="1" ht="17.25">
      <c r="A65" s="14" t="s">
        <v>3</v>
      </c>
      <c r="B65" s="14" t="s">
        <v>4</v>
      </c>
      <c r="C65" s="14" t="s">
        <v>5</v>
      </c>
      <c r="D65" s="14" t="s">
        <v>6</v>
      </c>
      <c r="E65" s="15" t="s">
        <v>7</v>
      </c>
      <c r="F65" s="14" t="s">
        <v>8</v>
      </c>
      <c r="G65" s="14" t="s">
        <v>9</v>
      </c>
      <c r="H65" s="16" t="s">
        <v>10</v>
      </c>
      <c r="I65" s="14" t="s">
        <v>11</v>
      </c>
      <c r="J65" s="14" t="s">
        <v>12</v>
      </c>
    </row>
    <row x14ac:dyDescent="0.25" r="66" customHeight="1" ht="17.25">
      <c r="A66" s="17" t="s">
        <v>3068</v>
      </c>
      <c r="B66" s="17" t="s">
        <v>132</v>
      </c>
      <c r="C66" s="17" t="s">
        <v>133</v>
      </c>
      <c r="D66" s="17" t="s">
        <v>16</v>
      </c>
      <c r="E66" s="18">
        <f>ROUND(13034*1.05,2)</f>
      </c>
      <c r="F66" s="17" t="s">
        <v>17</v>
      </c>
      <c r="G66" s="17" t="s">
        <v>18</v>
      </c>
      <c r="H66" s="18">
        <f>ROUND(RAND()*4+6,1)</f>
      </c>
      <c r="I66" s="17" t="s">
        <v>19</v>
      </c>
      <c r="J66" s="19">
        <f>ROUND(64*1,0)&amp;"%"</f>
      </c>
    </row>
    <row x14ac:dyDescent="0.25" r="67" customHeight="1" ht="17.25">
      <c r="A67" s="20" t="s">
        <v>3069</v>
      </c>
      <c r="B67" s="20" t="s">
        <v>135</v>
      </c>
      <c r="C67" s="20" t="s">
        <v>133</v>
      </c>
      <c r="D67" s="20" t="s">
        <v>22</v>
      </c>
      <c r="E67" s="21">
        <f>ROUND(5102*1.05,2)</f>
      </c>
      <c r="F67" s="20" t="s">
        <v>23</v>
      </c>
      <c r="G67" s="20" t="s">
        <v>24</v>
      </c>
      <c r="H67" s="21">
        <f>ROUND(RAND()*4+6,1)</f>
      </c>
      <c r="I67" s="20" t="s">
        <v>25</v>
      </c>
      <c r="J67" s="23">
        <f>ROUND(72*1,0)&amp;"%"</f>
      </c>
    </row>
    <row x14ac:dyDescent="0.25" r="68" customHeight="1" ht="17.25">
      <c r="A68" s="17" t="s">
        <v>3070</v>
      </c>
      <c r="B68" s="17" t="s">
        <v>137</v>
      </c>
      <c r="C68" s="17" t="s">
        <v>133</v>
      </c>
      <c r="D68" s="17" t="s">
        <v>28</v>
      </c>
      <c r="E68" s="18">
        <f>ROUND(15847*1.05,2)</f>
      </c>
      <c r="F68" s="17" t="s">
        <v>29</v>
      </c>
      <c r="G68" s="17" t="s">
        <v>30</v>
      </c>
      <c r="H68" s="18">
        <f>ROUND(RAND()*4+6,1)</f>
      </c>
      <c r="I68" s="17" t="s">
        <v>31</v>
      </c>
      <c r="J68" s="19">
        <f>ROUND(93*1,0)&amp;"%"</f>
      </c>
    </row>
    <row x14ac:dyDescent="0.25" r="69" customHeight="1" ht="17.25">
      <c r="A69" s="20" t="s">
        <v>3071</v>
      </c>
      <c r="B69" s="20" t="s">
        <v>139</v>
      </c>
      <c r="C69" s="20" t="s">
        <v>133</v>
      </c>
      <c r="D69" s="20" t="s">
        <v>34</v>
      </c>
      <c r="E69" s="21">
        <f>ROUND(17628*1.05,2)</f>
      </c>
      <c r="F69" s="20" t="s">
        <v>35</v>
      </c>
      <c r="G69" s="20" t="s">
        <v>18</v>
      </c>
      <c r="H69" s="22">
        <f>ROUND(RAND()*4+6,1)</f>
      </c>
      <c r="I69" s="20" t="s">
        <v>36</v>
      </c>
      <c r="J69" s="23">
        <f>ROUND(81*1,0)&amp;"%"</f>
      </c>
    </row>
    <row x14ac:dyDescent="0.25" r="70" customHeight="1" ht="17.25">
      <c r="A70" s="17" t="s">
        <v>3072</v>
      </c>
      <c r="B70" s="17" t="s">
        <v>141</v>
      </c>
      <c r="C70" s="17" t="s">
        <v>133</v>
      </c>
      <c r="D70" s="17" t="s">
        <v>39</v>
      </c>
      <c r="E70" s="18">
        <f>ROUND(16910*1.05,2)</f>
      </c>
      <c r="F70" s="17" t="s">
        <v>40</v>
      </c>
      <c r="G70" s="17" t="s">
        <v>24</v>
      </c>
      <c r="H70" s="18">
        <f>ROUND(RAND()*4+6,1)</f>
      </c>
      <c r="I70" s="17" t="s">
        <v>41</v>
      </c>
      <c r="J70" s="19">
        <f>ROUND(97*1,0)&amp;"%"</f>
      </c>
    </row>
    <row x14ac:dyDescent="0.25" r="71" customHeight="1" ht="17.25">
      <c r="A71" s="20" t="s">
        <v>3073</v>
      </c>
      <c r="B71" s="20" t="s">
        <v>143</v>
      </c>
      <c r="C71" s="20" t="s">
        <v>133</v>
      </c>
      <c r="D71" s="20" t="s">
        <v>67</v>
      </c>
      <c r="E71" s="21">
        <f>ROUND(5089*1.05,2)</f>
      </c>
      <c r="F71" s="20" t="s">
        <v>44</v>
      </c>
      <c r="G71" s="20" t="s">
        <v>30</v>
      </c>
      <c r="H71" s="21">
        <f>ROUND(RAND()*4+6,1)</f>
      </c>
      <c r="I71" s="20" t="s">
        <v>45</v>
      </c>
      <c r="J71" s="23">
        <f>ROUND(94*1,0)&amp;"%"</f>
      </c>
    </row>
    <row x14ac:dyDescent="0.25" r="72" customHeight="1" ht="17.25">
      <c r="A72" s="17" t="s">
        <v>3074</v>
      </c>
      <c r="B72" s="17" t="s">
        <v>145</v>
      </c>
      <c r="C72" s="17" t="s">
        <v>133</v>
      </c>
      <c r="D72" s="17" t="s">
        <v>16</v>
      </c>
      <c r="E72" s="18">
        <f>ROUND(6955*1.05,2)</f>
      </c>
      <c r="F72" s="17" t="s">
        <v>48</v>
      </c>
      <c r="G72" s="17" t="s">
        <v>18</v>
      </c>
      <c r="H72" s="18">
        <f>ROUND(RAND()*4+6,1)</f>
      </c>
      <c r="I72" s="17" t="s">
        <v>19</v>
      </c>
      <c r="J72" s="19">
        <f>ROUND(95*1,0)&amp;"%"</f>
      </c>
    </row>
    <row x14ac:dyDescent="0.25" r="73" customHeight="1" ht="17.25">
      <c r="A73" s="20" t="s">
        <v>3075</v>
      </c>
      <c r="B73" s="20" t="s">
        <v>147</v>
      </c>
      <c r="C73" s="20" t="s">
        <v>133</v>
      </c>
      <c r="D73" s="20" t="s">
        <v>22</v>
      </c>
      <c r="E73" s="21">
        <f>ROUND(6282*1.05,2)</f>
      </c>
      <c r="F73" s="20" t="s">
        <v>51</v>
      </c>
      <c r="G73" s="20" t="s">
        <v>24</v>
      </c>
      <c r="H73" s="21">
        <f>ROUND(RAND()*4+6,1)</f>
      </c>
      <c r="I73" s="20" t="s">
        <v>25</v>
      </c>
      <c r="J73" s="23">
        <f>ROUND(91*1,0)&amp;"%"</f>
      </c>
    </row>
    <row x14ac:dyDescent="0.25" r="74" customHeight="1" ht="17.25">
      <c r="A74" s="24" t="s">
        <v>148</v>
      </c>
      <c r="B74" s="24"/>
      <c r="C74" s="24"/>
      <c r="D74" s="24"/>
      <c r="E74" s="25">
        <v>8</v>
      </c>
      <c r="F74" s="9"/>
      <c r="G74" s="9"/>
      <c r="H74" s="10"/>
      <c r="I74" s="9"/>
      <c r="J74" s="9"/>
    </row>
    <row x14ac:dyDescent="0.25" r="75" customHeight="1" ht="17.25">
      <c r="A75" s="7"/>
      <c r="B75" s="7"/>
      <c r="C75" s="7"/>
      <c r="D75" s="7"/>
      <c r="E75" s="8"/>
      <c r="F75" s="9"/>
      <c r="G75" s="9"/>
      <c r="H75" s="10"/>
      <c r="I75" s="9"/>
      <c r="J75" s="9"/>
    </row>
    <row x14ac:dyDescent="0.25" r="76" customHeight="1" ht="17.25">
      <c r="A76" s="11" t="s">
        <v>3076</v>
      </c>
      <c r="B76" s="11"/>
      <c r="C76" s="11"/>
      <c r="D76" s="11"/>
      <c r="E76" s="12"/>
      <c r="F76" s="11"/>
      <c r="G76" s="11"/>
      <c r="H76" s="13"/>
      <c r="I76" s="11"/>
      <c r="J76" s="11"/>
    </row>
    <row x14ac:dyDescent="0.25" r="77" customHeight="1" ht="17.25">
      <c r="A77" s="14" t="s">
        <v>3</v>
      </c>
      <c r="B77" s="14" t="s">
        <v>4</v>
      </c>
      <c r="C77" s="14" t="s">
        <v>5</v>
      </c>
      <c r="D77" s="14" t="s">
        <v>6</v>
      </c>
      <c r="E77" s="15" t="s">
        <v>7</v>
      </c>
      <c r="F77" s="14" t="s">
        <v>8</v>
      </c>
      <c r="G77" s="14" t="s">
        <v>9</v>
      </c>
      <c r="H77" s="16" t="s">
        <v>10</v>
      </c>
      <c r="I77" s="14" t="s">
        <v>11</v>
      </c>
      <c r="J77" s="14" t="s">
        <v>12</v>
      </c>
    </row>
    <row x14ac:dyDescent="0.25" r="78" customHeight="1" ht="17.25">
      <c r="A78" s="17" t="s">
        <v>3077</v>
      </c>
      <c r="B78" s="17" t="s">
        <v>151</v>
      </c>
      <c r="C78" s="17" t="s">
        <v>152</v>
      </c>
      <c r="D78" s="17" t="s">
        <v>16</v>
      </c>
      <c r="E78" s="26">
        <f>ROUND(5960*1.05,2)</f>
      </c>
      <c r="F78" s="17" t="s">
        <v>17</v>
      </c>
      <c r="G78" s="17" t="s">
        <v>18</v>
      </c>
      <c r="H78" s="18">
        <f>ROUND(RAND()*4+6,1)</f>
      </c>
      <c r="I78" s="17" t="s">
        <v>19</v>
      </c>
      <c r="J78" s="19">
        <f>ROUND(93*1,0)&amp;"%"</f>
      </c>
    </row>
    <row x14ac:dyDescent="0.25" r="79" customHeight="1" ht="17.25">
      <c r="A79" s="20" t="s">
        <v>3078</v>
      </c>
      <c r="B79" s="20" t="s">
        <v>154</v>
      </c>
      <c r="C79" s="20" t="s">
        <v>152</v>
      </c>
      <c r="D79" s="20" t="s">
        <v>22</v>
      </c>
      <c r="E79" s="21">
        <f>ROUND(16253*1.05,2)</f>
      </c>
      <c r="F79" s="20" t="s">
        <v>23</v>
      </c>
      <c r="G79" s="20" t="s">
        <v>24</v>
      </c>
      <c r="H79" s="21">
        <f>ROUND(RAND()*4+6,1)</f>
      </c>
      <c r="I79" s="20" t="s">
        <v>25</v>
      </c>
      <c r="J79" s="23">
        <f>ROUND(93*1,0)&amp;"%"</f>
      </c>
    </row>
    <row x14ac:dyDescent="0.25" r="80" customHeight="1" ht="17.25">
      <c r="A80" s="17" t="s">
        <v>3079</v>
      </c>
      <c r="B80" s="17" t="s">
        <v>156</v>
      </c>
      <c r="C80" s="17" t="s">
        <v>152</v>
      </c>
      <c r="D80" s="17" t="s">
        <v>28</v>
      </c>
      <c r="E80" s="18">
        <f>ROUND(16175*1.05,2)</f>
      </c>
      <c r="F80" s="17" t="s">
        <v>29</v>
      </c>
      <c r="G80" s="17" t="s">
        <v>30</v>
      </c>
      <c r="H80" s="18">
        <f>ROUND(RAND()*4+6,1)</f>
      </c>
      <c r="I80" s="17" t="s">
        <v>31</v>
      </c>
      <c r="J80" s="19">
        <f>ROUND(63*1,0)&amp;"%"</f>
      </c>
    </row>
    <row x14ac:dyDescent="0.25" r="81" customHeight="1" ht="17.25">
      <c r="A81" s="20" t="s">
        <v>3080</v>
      </c>
      <c r="B81" s="20" t="s">
        <v>158</v>
      </c>
      <c r="C81" s="20" t="s">
        <v>152</v>
      </c>
      <c r="D81" s="20" t="s">
        <v>34</v>
      </c>
      <c r="E81" s="21">
        <f>ROUND(8528*1.05,2)</f>
      </c>
      <c r="F81" s="20" t="s">
        <v>35</v>
      </c>
      <c r="G81" s="20" t="s">
        <v>18</v>
      </c>
      <c r="H81" s="21">
        <f>ROUND(RAND()*4+6,1)</f>
      </c>
      <c r="I81" s="20" t="s">
        <v>36</v>
      </c>
      <c r="J81" s="23">
        <f>ROUND(91*1,0)&amp;"%"</f>
      </c>
    </row>
    <row x14ac:dyDescent="0.25" r="82" customHeight="1" ht="17.25">
      <c r="A82" s="17" t="s">
        <v>3081</v>
      </c>
      <c r="B82" s="17" t="s">
        <v>160</v>
      </c>
      <c r="C82" s="17" t="s">
        <v>152</v>
      </c>
      <c r="D82" s="17" t="s">
        <v>39</v>
      </c>
      <c r="E82" s="18">
        <f>ROUND(15174*1.05,2)</f>
      </c>
      <c r="F82" s="17" t="s">
        <v>40</v>
      </c>
      <c r="G82" s="17" t="s">
        <v>24</v>
      </c>
      <c r="H82" s="18">
        <f>ROUND(RAND()*4+6,1)</f>
      </c>
      <c r="I82" s="17" t="s">
        <v>41</v>
      </c>
      <c r="J82" s="19">
        <f>ROUND(90*1,0)&amp;"%"</f>
      </c>
    </row>
    <row x14ac:dyDescent="0.25" r="83" customHeight="1" ht="17.25">
      <c r="A83" s="20" t="s">
        <v>3082</v>
      </c>
      <c r="B83" s="20" t="s">
        <v>162</v>
      </c>
      <c r="C83" s="20" t="s">
        <v>152</v>
      </c>
      <c r="D83" s="20" t="s">
        <v>67</v>
      </c>
      <c r="E83" s="21">
        <f>ROUND(13978*1.05,2)</f>
      </c>
      <c r="F83" s="20" t="s">
        <v>44</v>
      </c>
      <c r="G83" s="20" t="s">
        <v>30</v>
      </c>
      <c r="H83" s="21">
        <f>ROUND(RAND()*4+6,1)</f>
      </c>
      <c r="I83" s="20" t="s">
        <v>45</v>
      </c>
      <c r="J83" s="23">
        <f>ROUND(66*1,0)&amp;"%"</f>
      </c>
    </row>
    <row x14ac:dyDescent="0.25" r="84" customHeight="1" ht="17.25">
      <c r="A84" s="17" t="s">
        <v>3083</v>
      </c>
      <c r="B84" s="17" t="s">
        <v>164</v>
      </c>
      <c r="C84" s="17" t="s">
        <v>152</v>
      </c>
      <c r="D84" s="17" t="s">
        <v>16</v>
      </c>
      <c r="E84" s="18">
        <f>ROUND(14368*1.05,2)</f>
      </c>
      <c r="F84" s="17" t="s">
        <v>48</v>
      </c>
      <c r="G84" s="17" t="s">
        <v>18</v>
      </c>
      <c r="H84" s="18">
        <f>ROUND(RAND()*4+6,1)</f>
      </c>
      <c r="I84" s="17" t="s">
        <v>19</v>
      </c>
      <c r="J84" s="19">
        <f>ROUND(91*1,0)&amp;"%"</f>
      </c>
    </row>
    <row x14ac:dyDescent="0.25" r="85" customHeight="1" ht="17.25">
      <c r="A85" s="20" t="s">
        <v>3084</v>
      </c>
      <c r="B85" s="20" t="s">
        <v>166</v>
      </c>
      <c r="C85" s="20" t="s">
        <v>152</v>
      </c>
      <c r="D85" s="20" t="s">
        <v>22</v>
      </c>
      <c r="E85" s="21">
        <f>ROUND(11615*1.05,2)</f>
      </c>
      <c r="F85" s="20" t="s">
        <v>51</v>
      </c>
      <c r="G85" s="20" t="s">
        <v>24</v>
      </c>
      <c r="H85" s="21">
        <f>ROUND(RAND()*4+6,1)</f>
      </c>
      <c r="I85" s="20" t="s">
        <v>25</v>
      </c>
      <c r="J85" s="23">
        <f>ROUND(81*1,0)&amp;"%"</f>
      </c>
    </row>
    <row x14ac:dyDescent="0.25" r="86" customHeight="1" ht="17.25">
      <c r="A86" s="24" t="s">
        <v>167</v>
      </c>
      <c r="B86" s="24"/>
      <c r="C86" s="24"/>
      <c r="D86" s="24"/>
      <c r="E86" s="25">
        <v>8</v>
      </c>
      <c r="F86" s="9"/>
      <c r="G86" s="9"/>
      <c r="H86" s="10"/>
      <c r="I86" s="9"/>
      <c r="J86" s="9"/>
    </row>
    <row x14ac:dyDescent="0.25" r="87" customHeight="1" ht="17.25">
      <c r="A87" s="7"/>
      <c r="B87" s="7"/>
      <c r="C87" s="7"/>
      <c r="D87" s="7"/>
      <c r="E87" s="8"/>
      <c r="F87" s="9"/>
      <c r="G87" s="9"/>
      <c r="H87" s="10"/>
      <c r="I87" s="9"/>
      <c r="J87" s="9"/>
    </row>
    <row x14ac:dyDescent="0.25" r="88" customHeight="1" ht="17.25">
      <c r="A88" s="11" t="s">
        <v>3085</v>
      </c>
      <c r="B88" s="11"/>
      <c r="C88" s="11"/>
      <c r="D88" s="11"/>
      <c r="E88" s="12"/>
      <c r="F88" s="11"/>
      <c r="G88" s="11"/>
      <c r="H88" s="13"/>
      <c r="I88" s="11"/>
      <c r="J88" s="11"/>
    </row>
    <row x14ac:dyDescent="0.25" r="89" customHeight="1" ht="17.25">
      <c r="A89" s="14" t="s">
        <v>3</v>
      </c>
      <c r="B89" s="14" t="s">
        <v>4</v>
      </c>
      <c r="C89" s="14" t="s">
        <v>5</v>
      </c>
      <c r="D89" s="14" t="s">
        <v>6</v>
      </c>
      <c r="E89" s="15" t="s">
        <v>7</v>
      </c>
      <c r="F89" s="14" t="s">
        <v>8</v>
      </c>
      <c r="G89" s="14" t="s">
        <v>9</v>
      </c>
      <c r="H89" s="16" t="s">
        <v>10</v>
      </c>
      <c r="I89" s="14" t="s">
        <v>11</v>
      </c>
      <c r="J89" s="14" t="s">
        <v>12</v>
      </c>
    </row>
    <row x14ac:dyDescent="0.25" r="90" customHeight="1" ht="17.25">
      <c r="A90" s="17" t="s">
        <v>3086</v>
      </c>
      <c r="B90" s="17" t="s">
        <v>170</v>
      </c>
      <c r="C90" s="17" t="s">
        <v>15</v>
      </c>
      <c r="D90" s="17" t="s">
        <v>16</v>
      </c>
      <c r="E90" s="18">
        <f>ROUND(14308*1.05,2)</f>
      </c>
      <c r="F90" s="17" t="s">
        <v>17</v>
      </c>
      <c r="G90" s="17" t="s">
        <v>18</v>
      </c>
      <c r="H90" s="18">
        <f>ROUND(RAND()*4+6,1)</f>
      </c>
      <c r="I90" s="17" t="s">
        <v>19</v>
      </c>
      <c r="J90" s="19">
        <f>ROUND(71*1,0)&amp;"%"</f>
      </c>
    </row>
    <row x14ac:dyDescent="0.25" r="91" customHeight="1" ht="17.25">
      <c r="A91" s="20" t="s">
        <v>3087</v>
      </c>
      <c r="B91" s="20" t="s">
        <v>172</v>
      </c>
      <c r="C91" s="20" t="s">
        <v>15</v>
      </c>
      <c r="D91" s="20" t="s">
        <v>22</v>
      </c>
      <c r="E91" s="21">
        <f>ROUND(11976*1.05,2)</f>
      </c>
      <c r="F91" s="20" t="s">
        <v>23</v>
      </c>
      <c r="G91" s="20" t="s">
        <v>24</v>
      </c>
      <c r="H91" s="21">
        <f>ROUND(RAND()*4+6,1)</f>
      </c>
      <c r="I91" s="20" t="s">
        <v>25</v>
      </c>
      <c r="J91" s="23">
        <f>ROUND(91*1,0)&amp;"%"</f>
      </c>
    </row>
    <row x14ac:dyDescent="0.25" r="92" customHeight="1" ht="17.25">
      <c r="A92" s="17" t="s">
        <v>3088</v>
      </c>
      <c r="B92" s="17" t="s">
        <v>174</v>
      </c>
      <c r="C92" s="17" t="s">
        <v>15</v>
      </c>
      <c r="D92" s="17" t="s">
        <v>28</v>
      </c>
      <c r="E92" s="26">
        <f>ROUND(11180*1.05,2)</f>
      </c>
      <c r="F92" s="17" t="s">
        <v>29</v>
      </c>
      <c r="G92" s="17" t="s">
        <v>30</v>
      </c>
      <c r="H92" s="18">
        <f>ROUND(RAND()*4+6,1)</f>
      </c>
      <c r="I92" s="17" t="s">
        <v>31</v>
      </c>
      <c r="J92" s="19">
        <f>ROUND(94*1,0)&amp;"%"</f>
      </c>
    </row>
    <row x14ac:dyDescent="0.25" r="93" customHeight="1" ht="17.25">
      <c r="A93" s="20" t="s">
        <v>3089</v>
      </c>
      <c r="B93" s="20" t="s">
        <v>176</v>
      </c>
      <c r="C93" s="20" t="s">
        <v>15</v>
      </c>
      <c r="D93" s="20" t="s">
        <v>34</v>
      </c>
      <c r="E93" s="21">
        <f>ROUND(12651*1.05,2)</f>
      </c>
      <c r="F93" s="20" t="s">
        <v>35</v>
      </c>
      <c r="G93" s="20" t="s">
        <v>18</v>
      </c>
      <c r="H93" s="21">
        <f>ROUND(RAND()*4+6,1)</f>
      </c>
      <c r="I93" s="20" t="s">
        <v>36</v>
      </c>
      <c r="J93" s="23">
        <f>ROUND(78*1,0)&amp;"%"</f>
      </c>
    </row>
    <row x14ac:dyDescent="0.25" r="94" customHeight="1" ht="17.25">
      <c r="A94" s="17" t="s">
        <v>3090</v>
      </c>
      <c r="B94" s="17" t="s">
        <v>178</v>
      </c>
      <c r="C94" s="17" t="s">
        <v>15</v>
      </c>
      <c r="D94" s="17" t="s">
        <v>39</v>
      </c>
      <c r="E94" s="18">
        <f>ROUND(11079*1.05,2)</f>
      </c>
      <c r="F94" s="17" t="s">
        <v>40</v>
      </c>
      <c r="G94" s="17" t="s">
        <v>24</v>
      </c>
      <c r="H94" s="18">
        <f>ROUND(RAND()*4+6,1)</f>
      </c>
      <c r="I94" s="17" t="s">
        <v>41</v>
      </c>
      <c r="J94" s="19">
        <f>ROUND(78*1,0)&amp;"%"</f>
      </c>
    </row>
    <row x14ac:dyDescent="0.25" r="95" customHeight="1" ht="17.25">
      <c r="A95" s="20" t="s">
        <v>3091</v>
      </c>
      <c r="B95" s="20" t="s">
        <v>180</v>
      </c>
      <c r="C95" s="20" t="s">
        <v>15</v>
      </c>
      <c r="D95" s="20" t="s">
        <v>67</v>
      </c>
      <c r="E95" s="21">
        <f>ROUND(14686*1.05,2)</f>
      </c>
      <c r="F95" s="20" t="s">
        <v>44</v>
      </c>
      <c r="G95" s="20" t="s">
        <v>30</v>
      </c>
      <c r="H95" s="21">
        <f>ROUND(RAND()*4+6,1)</f>
      </c>
      <c r="I95" s="20" t="s">
        <v>45</v>
      </c>
      <c r="J95" s="23">
        <f>ROUND(93*1,0)&amp;"%"</f>
      </c>
    </row>
    <row x14ac:dyDescent="0.25" r="96" customHeight="1" ht="17.25">
      <c r="A96" s="17" t="s">
        <v>3092</v>
      </c>
      <c r="B96" s="17" t="s">
        <v>182</v>
      </c>
      <c r="C96" s="17" t="s">
        <v>15</v>
      </c>
      <c r="D96" s="17" t="s">
        <v>16</v>
      </c>
      <c r="E96" s="18">
        <f>ROUND(7650*1.05,2)</f>
      </c>
      <c r="F96" s="17" t="s">
        <v>48</v>
      </c>
      <c r="G96" s="17" t="s">
        <v>18</v>
      </c>
      <c r="H96" s="18">
        <f>ROUND(RAND()*4+6,1)</f>
      </c>
      <c r="I96" s="17" t="s">
        <v>19</v>
      </c>
      <c r="J96" s="19">
        <f>ROUND(73*1,0)&amp;"%"</f>
      </c>
    </row>
    <row x14ac:dyDescent="0.25" r="97" customHeight="1" ht="17.25">
      <c r="A97" s="20" t="s">
        <v>3093</v>
      </c>
      <c r="B97" s="20" t="s">
        <v>184</v>
      </c>
      <c r="C97" s="20" t="s">
        <v>15</v>
      </c>
      <c r="D97" s="20" t="s">
        <v>22</v>
      </c>
      <c r="E97" s="21">
        <f>ROUND(12411*1.05,2)</f>
      </c>
      <c r="F97" s="20" t="s">
        <v>51</v>
      </c>
      <c r="G97" s="20" t="s">
        <v>24</v>
      </c>
      <c r="H97" s="21">
        <f>ROUND(RAND()*4+6,1)</f>
      </c>
      <c r="I97" s="20" t="s">
        <v>25</v>
      </c>
      <c r="J97" s="23">
        <f>ROUND(95*1,0)&amp;"%"</f>
      </c>
    </row>
    <row x14ac:dyDescent="0.25" r="98" customHeight="1" ht="17.25">
      <c r="A98" s="24" t="s">
        <v>185</v>
      </c>
      <c r="B98" s="24"/>
      <c r="C98" s="24"/>
      <c r="D98" s="24"/>
      <c r="E98" s="25">
        <v>8</v>
      </c>
      <c r="F98" s="9"/>
      <c r="G98" s="9"/>
      <c r="H98" s="10"/>
      <c r="I98" s="9"/>
      <c r="J98" s="9"/>
    </row>
    <row x14ac:dyDescent="0.25" r="99" customHeight="1" ht="17.25">
      <c r="A99" s="7"/>
      <c r="B99" s="7"/>
      <c r="C99" s="7"/>
      <c r="D99" s="7"/>
      <c r="E99" s="8"/>
      <c r="F99" s="9"/>
      <c r="G99" s="9"/>
      <c r="H99" s="10"/>
      <c r="I99" s="9"/>
      <c r="J99" s="9"/>
    </row>
    <row x14ac:dyDescent="0.25" r="100" customHeight="1" ht="17.25">
      <c r="A100" s="11" t="s">
        <v>3094</v>
      </c>
      <c r="B100" s="11"/>
      <c r="C100" s="11"/>
      <c r="D100" s="11"/>
      <c r="E100" s="12"/>
      <c r="F100" s="11"/>
      <c r="G100" s="11"/>
      <c r="H100" s="13"/>
      <c r="I100" s="11"/>
      <c r="J100" s="11"/>
    </row>
    <row x14ac:dyDescent="0.25" r="101" customHeight="1" ht="17.25">
      <c r="A101" s="14" t="s">
        <v>3</v>
      </c>
      <c r="B101" s="14" t="s">
        <v>4</v>
      </c>
      <c r="C101" s="14" t="s">
        <v>5</v>
      </c>
      <c r="D101" s="14" t="s">
        <v>6</v>
      </c>
      <c r="E101" s="15" t="s">
        <v>7</v>
      </c>
      <c r="F101" s="14" t="s">
        <v>8</v>
      </c>
      <c r="G101" s="14" t="s">
        <v>9</v>
      </c>
      <c r="H101" s="16" t="s">
        <v>10</v>
      </c>
      <c r="I101" s="14" t="s">
        <v>11</v>
      </c>
      <c r="J101" s="14" t="s">
        <v>12</v>
      </c>
    </row>
    <row x14ac:dyDescent="0.25" r="102" customHeight="1" ht="17.25">
      <c r="A102" s="17" t="s">
        <v>3095</v>
      </c>
      <c r="B102" s="17" t="s">
        <v>188</v>
      </c>
      <c r="C102" s="17" t="s">
        <v>56</v>
      </c>
      <c r="D102" s="17" t="s">
        <v>16</v>
      </c>
      <c r="E102" s="18">
        <f>ROUND(16904*1.05,2)</f>
      </c>
      <c r="F102" s="17" t="s">
        <v>17</v>
      </c>
      <c r="G102" s="17" t="s">
        <v>18</v>
      </c>
      <c r="H102" s="18">
        <f>ROUND(RAND()*4+6,1)</f>
      </c>
      <c r="I102" s="17" t="s">
        <v>19</v>
      </c>
      <c r="J102" s="19">
        <f>ROUND(100*1,0)&amp;"%"</f>
      </c>
    </row>
    <row x14ac:dyDescent="0.25" r="103" customHeight="1" ht="17.25">
      <c r="A103" s="20" t="s">
        <v>3096</v>
      </c>
      <c r="B103" s="20" t="s">
        <v>190</v>
      </c>
      <c r="C103" s="20" t="s">
        <v>56</v>
      </c>
      <c r="D103" s="20" t="s">
        <v>22</v>
      </c>
      <c r="E103" s="21">
        <f>ROUND(12125*1.05,2)</f>
      </c>
      <c r="F103" s="20" t="s">
        <v>23</v>
      </c>
      <c r="G103" s="20" t="s">
        <v>24</v>
      </c>
      <c r="H103" s="21">
        <f>ROUND(RAND()*4+6,1)</f>
      </c>
      <c r="I103" s="20" t="s">
        <v>25</v>
      </c>
      <c r="J103" s="23">
        <f>ROUND(93*1,0)&amp;"%"</f>
      </c>
    </row>
    <row x14ac:dyDescent="0.25" r="104" customHeight="1" ht="17.25">
      <c r="A104" s="17" t="s">
        <v>3097</v>
      </c>
      <c r="B104" s="17" t="s">
        <v>192</v>
      </c>
      <c r="C104" s="17" t="s">
        <v>56</v>
      </c>
      <c r="D104" s="17" t="s">
        <v>28</v>
      </c>
      <c r="E104" s="18">
        <f>ROUND(8532*1.05,2)</f>
      </c>
      <c r="F104" s="17" t="s">
        <v>29</v>
      </c>
      <c r="G104" s="17" t="s">
        <v>30</v>
      </c>
      <c r="H104" s="18">
        <f>ROUND(RAND()*4+6,1)</f>
      </c>
      <c r="I104" s="17" t="s">
        <v>31</v>
      </c>
      <c r="J104" s="19">
        <f>ROUND(65*1,0)&amp;"%"</f>
      </c>
    </row>
    <row x14ac:dyDescent="0.25" r="105" customHeight="1" ht="17.25">
      <c r="A105" s="20" t="s">
        <v>3098</v>
      </c>
      <c r="B105" s="20" t="s">
        <v>194</v>
      </c>
      <c r="C105" s="20" t="s">
        <v>56</v>
      </c>
      <c r="D105" s="20" t="s">
        <v>34</v>
      </c>
      <c r="E105" s="21">
        <f>ROUND(13405*1.05,2)</f>
      </c>
      <c r="F105" s="20" t="s">
        <v>35</v>
      </c>
      <c r="G105" s="20" t="s">
        <v>18</v>
      </c>
      <c r="H105" s="22">
        <f>ROUND(RAND()*4+6,1)</f>
      </c>
      <c r="I105" s="20" t="s">
        <v>36</v>
      </c>
      <c r="J105" s="23">
        <f>ROUND(68*1,0)&amp;"%"</f>
      </c>
    </row>
    <row x14ac:dyDescent="0.25" r="106" customHeight="1" ht="17.25">
      <c r="A106" s="17" t="s">
        <v>3099</v>
      </c>
      <c r="B106" s="17" t="s">
        <v>196</v>
      </c>
      <c r="C106" s="17" t="s">
        <v>56</v>
      </c>
      <c r="D106" s="17" t="s">
        <v>39</v>
      </c>
      <c r="E106" s="18">
        <f>ROUND(6584*1.05,2)</f>
      </c>
      <c r="F106" s="17" t="s">
        <v>40</v>
      </c>
      <c r="G106" s="17" t="s">
        <v>24</v>
      </c>
      <c r="H106" s="18">
        <f>ROUND(RAND()*4+6,1)</f>
      </c>
      <c r="I106" s="17" t="s">
        <v>41</v>
      </c>
      <c r="J106" s="19">
        <f>ROUND(91*1,0)&amp;"%"</f>
      </c>
    </row>
    <row x14ac:dyDescent="0.25" r="107" customHeight="1" ht="17.25">
      <c r="A107" s="20" t="s">
        <v>3100</v>
      </c>
      <c r="B107" s="20" t="s">
        <v>198</v>
      </c>
      <c r="C107" s="20" t="s">
        <v>56</v>
      </c>
      <c r="D107" s="20" t="s">
        <v>67</v>
      </c>
      <c r="E107" s="21">
        <f>ROUND(6685*1.05,2)</f>
      </c>
      <c r="F107" s="20" t="s">
        <v>44</v>
      </c>
      <c r="G107" s="20" t="s">
        <v>30</v>
      </c>
      <c r="H107" s="21">
        <f>ROUND(RAND()*4+6,1)</f>
      </c>
      <c r="I107" s="20" t="s">
        <v>45</v>
      </c>
      <c r="J107" s="23">
        <f>ROUND(82*1,0)&amp;"%"</f>
      </c>
    </row>
    <row x14ac:dyDescent="0.25" r="108" customHeight="1" ht="17.25">
      <c r="A108" s="17" t="s">
        <v>3101</v>
      </c>
      <c r="B108" s="17" t="s">
        <v>200</v>
      </c>
      <c r="C108" s="17" t="s">
        <v>56</v>
      </c>
      <c r="D108" s="17" t="s">
        <v>16</v>
      </c>
      <c r="E108" s="18">
        <f>ROUND(5269*1.05,2)</f>
      </c>
      <c r="F108" s="17" t="s">
        <v>48</v>
      </c>
      <c r="G108" s="17" t="s">
        <v>18</v>
      </c>
      <c r="H108" s="26">
        <f>ROUND(RAND()*4+6,1)</f>
      </c>
      <c r="I108" s="17" t="s">
        <v>19</v>
      </c>
      <c r="J108" s="19">
        <f>ROUND(94*1,0)&amp;"%"</f>
      </c>
    </row>
    <row x14ac:dyDescent="0.25" r="109" customHeight="1" ht="17.25">
      <c r="A109" s="20" t="s">
        <v>3102</v>
      </c>
      <c r="B109" s="20" t="s">
        <v>202</v>
      </c>
      <c r="C109" s="20" t="s">
        <v>56</v>
      </c>
      <c r="D109" s="20" t="s">
        <v>22</v>
      </c>
      <c r="E109" s="21">
        <f>ROUND(11615*1.05,2)</f>
      </c>
      <c r="F109" s="20" t="s">
        <v>51</v>
      </c>
      <c r="G109" s="20" t="s">
        <v>24</v>
      </c>
      <c r="H109" s="21">
        <f>ROUND(RAND()*4+6,1)</f>
      </c>
      <c r="I109" s="20" t="s">
        <v>25</v>
      </c>
      <c r="J109" s="23">
        <f>ROUND(89*1,0)&amp;"%"</f>
      </c>
    </row>
    <row x14ac:dyDescent="0.25" r="110" customHeight="1" ht="17.25">
      <c r="A110" s="24" t="s">
        <v>203</v>
      </c>
      <c r="B110" s="24"/>
      <c r="C110" s="24"/>
      <c r="D110" s="24"/>
      <c r="E110" s="25">
        <v>8</v>
      </c>
      <c r="F110" s="9"/>
      <c r="G110" s="9"/>
      <c r="H110" s="10"/>
      <c r="I110" s="9"/>
      <c r="J110" s="9"/>
    </row>
    <row x14ac:dyDescent="0.25" r="111" customHeight="1" ht="17.25">
      <c r="A111" s="7"/>
      <c r="B111" s="7"/>
      <c r="C111" s="7"/>
      <c r="D111" s="7"/>
      <c r="E111" s="8"/>
      <c r="F111" s="9"/>
      <c r="G111" s="9"/>
      <c r="H111" s="10"/>
      <c r="I111" s="9"/>
      <c r="J111" s="9"/>
    </row>
    <row x14ac:dyDescent="0.25" r="112" customHeight="1" ht="17.25">
      <c r="A112" s="11" t="s">
        <v>3103</v>
      </c>
      <c r="B112" s="11"/>
      <c r="C112" s="11"/>
      <c r="D112" s="11"/>
      <c r="E112" s="12"/>
      <c r="F112" s="11"/>
      <c r="G112" s="11"/>
      <c r="H112" s="13"/>
      <c r="I112" s="11"/>
      <c r="J112" s="11"/>
    </row>
    <row x14ac:dyDescent="0.25" r="113" customHeight="1" ht="17.25">
      <c r="A113" s="14" t="s">
        <v>3</v>
      </c>
      <c r="B113" s="14" t="s">
        <v>4</v>
      </c>
      <c r="C113" s="14" t="s">
        <v>5</v>
      </c>
      <c r="D113" s="14" t="s">
        <v>6</v>
      </c>
      <c r="E113" s="15" t="s">
        <v>7</v>
      </c>
      <c r="F113" s="14" t="s">
        <v>8</v>
      </c>
      <c r="G113" s="14" t="s">
        <v>9</v>
      </c>
      <c r="H113" s="16" t="s">
        <v>10</v>
      </c>
      <c r="I113" s="14" t="s">
        <v>11</v>
      </c>
      <c r="J113" s="14" t="s">
        <v>12</v>
      </c>
    </row>
    <row x14ac:dyDescent="0.25" r="114" customHeight="1" ht="17.25">
      <c r="A114" s="17" t="s">
        <v>3104</v>
      </c>
      <c r="B114" s="17" t="s">
        <v>206</v>
      </c>
      <c r="C114" s="17" t="s">
        <v>76</v>
      </c>
      <c r="D114" s="17" t="s">
        <v>16</v>
      </c>
      <c r="E114" s="18">
        <f>ROUND(13053*1.05,2)</f>
      </c>
      <c r="F114" s="17" t="s">
        <v>17</v>
      </c>
      <c r="G114" s="17" t="s">
        <v>18</v>
      </c>
      <c r="H114" s="18">
        <f>ROUND(RAND()*4+6,1)</f>
      </c>
      <c r="I114" s="17" t="s">
        <v>19</v>
      </c>
      <c r="J114" s="19">
        <f>ROUND(89*1,0)&amp;"%"</f>
      </c>
    </row>
    <row x14ac:dyDescent="0.25" r="115" customHeight="1" ht="17.25">
      <c r="A115" s="20" t="s">
        <v>3105</v>
      </c>
      <c r="B115" s="20" t="s">
        <v>208</v>
      </c>
      <c r="C115" s="20" t="s">
        <v>76</v>
      </c>
      <c r="D115" s="20" t="s">
        <v>22</v>
      </c>
      <c r="E115" s="21">
        <f>ROUND(8964*1.05,2)</f>
      </c>
      <c r="F115" s="20" t="s">
        <v>23</v>
      </c>
      <c r="G115" s="20" t="s">
        <v>24</v>
      </c>
      <c r="H115" s="21">
        <f>ROUND(RAND()*4+6,1)</f>
      </c>
      <c r="I115" s="20" t="s">
        <v>25</v>
      </c>
      <c r="J115" s="23">
        <f>ROUND(83*1,0)&amp;"%"</f>
      </c>
    </row>
    <row x14ac:dyDescent="0.25" r="116" customHeight="1" ht="17.25">
      <c r="A116" s="17" t="s">
        <v>3106</v>
      </c>
      <c r="B116" s="17" t="s">
        <v>210</v>
      </c>
      <c r="C116" s="17" t="s">
        <v>76</v>
      </c>
      <c r="D116" s="17" t="s">
        <v>28</v>
      </c>
      <c r="E116" s="18">
        <f>ROUND(9414*1.05,2)</f>
      </c>
      <c r="F116" s="17" t="s">
        <v>29</v>
      </c>
      <c r="G116" s="17" t="s">
        <v>30</v>
      </c>
      <c r="H116" s="18">
        <f>ROUND(RAND()*4+6,1)</f>
      </c>
      <c r="I116" s="17" t="s">
        <v>31</v>
      </c>
      <c r="J116" s="19">
        <f>ROUND(72*1,0)&amp;"%"</f>
      </c>
    </row>
    <row x14ac:dyDescent="0.25" r="117" customHeight="1" ht="17.25">
      <c r="A117" s="20" t="s">
        <v>3107</v>
      </c>
      <c r="B117" s="20" t="s">
        <v>212</v>
      </c>
      <c r="C117" s="20" t="s">
        <v>76</v>
      </c>
      <c r="D117" s="20" t="s">
        <v>34</v>
      </c>
      <c r="E117" s="21">
        <f>ROUND(6568*1.05,2)</f>
      </c>
      <c r="F117" s="20" t="s">
        <v>35</v>
      </c>
      <c r="G117" s="20" t="s">
        <v>18</v>
      </c>
      <c r="H117" s="21">
        <f>ROUND(RAND()*4+6,1)</f>
      </c>
      <c r="I117" s="20" t="s">
        <v>36</v>
      </c>
      <c r="J117" s="23">
        <f>ROUND(66*1,0)&amp;"%"</f>
      </c>
    </row>
    <row x14ac:dyDescent="0.25" r="118" customHeight="1" ht="17.25">
      <c r="A118" s="17" t="s">
        <v>3108</v>
      </c>
      <c r="B118" s="17" t="s">
        <v>214</v>
      </c>
      <c r="C118" s="17" t="s">
        <v>76</v>
      </c>
      <c r="D118" s="17" t="s">
        <v>39</v>
      </c>
      <c r="E118" s="18">
        <f>ROUND(16035*1.05,2)</f>
      </c>
      <c r="F118" s="17" t="s">
        <v>40</v>
      </c>
      <c r="G118" s="17" t="s">
        <v>24</v>
      </c>
      <c r="H118" s="26">
        <f>ROUND(RAND()*4+6,1)</f>
      </c>
      <c r="I118" s="17" t="s">
        <v>41</v>
      </c>
      <c r="J118" s="19">
        <f>ROUND(90*1,0)&amp;"%"</f>
      </c>
    </row>
    <row x14ac:dyDescent="0.25" r="119" customHeight="1" ht="17.25">
      <c r="A119" s="20" t="s">
        <v>3109</v>
      </c>
      <c r="B119" s="20" t="s">
        <v>216</v>
      </c>
      <c r="C119" s="20" t="s">
        <v>76</v>
      </c>
      <c r="D119" s="20" t="s">
        <v>67</v>
      </c>
      <c r="E119" s="21">
        <f>ROUND(16664*1.05,2)</f>
      </c>
      <c r="F119" s="20" t="s">
        <v>44</v>
      </c>
      <c r="G119" s="20" t="s">
        <v>30</v>
      </c>
      <c r="H119" s="21">
        <f>ROUND(RAND()*4+6,1)</f>
      </c>
      <c r="I119" s="20" t="s">
        <v>45</v>
      </c>
      <c r="J119" s="23">
        <f>ROUND(100*1,0)&amp;"%"</f>
      </c>
    </row>
    <row x14ac:dyDescent="0.25" r="120" customHeight="1" ht="17.25">
      <c r="A120" s="17" t="s">
        <v>3110</v>
      </c>
      <c r="B120" s="17" t="s">
        <v>218</v>
      </c>
      <c r="C120" s="17" t="s">
        <v>76</v>
      </c>
      <c r="D120" s="17" t="s">
        <v>16</v>
      </c>
      <c r="E120" s="18">
        <f>ROUND(13501*1.05,2)</f>
      </c>
      <c r="F120" s="17" t="s">
        <v>48</v>
      </c>
      <c r="G120" s="17" t="s">
        <v>18</v>
      </c>
      <c r="H120" s="18">
        <f>ROUND(RAND()*4+6,1)</f>
      </c>
      <c r="I120" s="17" t="s">
        <v>19</v>
      </c>
      <c r="J120" s="19">
        <f>ROUND(92*1,0)&amp;"%"</f>
      </c>
    </row>
    <row x14ac:dyDescent="0.25" r="121" customHeight="1" ht="17.25">
      <c r="A121" s="20" t="s">
        <v>3111</v>
      </c>
      <c r="B121" s="20" t="s">
        <v>220</v>
      </c>
      <c r="C121" s="20" t="s">
        <v>76</v>
      </c>
      <c r="D121" s="20" t="s">
        <v>22</v>
      </c>
      <c r="E121" s="21">
        <f>ROUND(10614*1.05,2)</f>
      </c>
      <c r="F121" s="20" t="s">
        <v>51</v>
      </c>
      <c r="G121" s="20" t="s">
        <v>24</v>
      </c>
      <c r="H121" s="21">
        <f>ROUND(RAND()*4+6,1)</f>
      </c>
      <c r="I121" s="20" t="s">
        <v>25</v>
      </c>
      <c r="J121" s="23">
        <f>ROUND(100*1,0)&amp;"%"</f>
      </c>
    </row>
    <row x14ac:dyDescent="0.25" r="122" customHeight="1" ht="17.25">
      <c r="A122" s="24" t="s">
        <v>221</v>
      </c>
      <c r="B122" s="24"/>
      <c r="C122" s="24"/>
      <c r="D122" s="24"/>
      <c r="E122" s="25">
        <v>8</v>
      </c>
      <c r="F122" s="9"/>
      <c r="G122" s="9"/>
      <c r="H122" s="10"/>
      <c r="I122" s="9"/>
      <c r="J122" s="9"/>
    </row>
    <row x14ac:dyDescent="0.25" r="123" customHeight="1" ht="17.25">
      <c r="A123" s="7"/>
      <c r="B123" s="7"/>
      <c r="C123" s="7"/>
      <c r="D123" s="7"/>
      <c r="E123" s="8"/>
      <c r="F123" s="9"/>
      <c r="G123" s="9"/>
      <c r="H123" s="10"/>
      <c r="I123" s="9"/>
      <c r="J123" s="9"/>
    </row>
    <row x14ac:dyDescent="0.25" r="124" customHeight="1" ht="17.25">
      <c r="A124" s="11" t="s">
        <v>3112</v>
      </c>
      <c r="B124" s="11"/>
      <c r="C124" s="11"/>
      <c r="D124" s="11"/>
      <c r="E124" s="12"/>
      <c r="F124" s="11"/>
      <c r="G124" s="11"/>
      <c r="H124" s="13"/>
      <c r="I124" s="11"/>
      <c r="J124" s="11"/>
    </row>
    <row x14ac:dyDescent="0.25" r="125" customHeight="1" ht="17.25">
      <c r="A125" s="14" t="s">
        <v>3</v>
      </c>
      <c r="B125" s="14" t="s">
        <v>4</v>
      </c>
      <c r="C125" s="14" t="s">
        <v>5</v>
      </c>
      <c r="D125" s="14" t="s">
        <v>6</v>
      </c>
      <c r="E125" s="15" t="s">
        <v>7</v>
      </c>
      <c r="F125" s="14" t="s">
        <v>8</v>
      </c>
      <c r="G125" s="14" t="s">
        <v>9</v>
      </c>
      <c r="H125" s="16" t="s">
        <v>10</v>
      </c>
      <c r="I125" s="14" t="s">
        <v>11</v>
      </c>
      <c r="J125" s="14" t="s">
        <v>12</v>
      </c>
    </row>
    <row x14ac:dyDescent="0.25" r="126" customHeight="1" ht="17.25">
      <c r="A126" s="17" t="s">
        <v>3113</v>
      </c>
      <c r="B126" s="17" t="s">
        <v>224</v>
      </c>
      <c r="C126" s="17" t="s">
        <v>95</v>
      </c>
      <c r="D126" s="17" t="s">
        <v>16</v>
      </c>
      <c r="E126" s="26">
        <f>ROUND(12480*1.05,2)</f>
      </c>
      <c r="F126" s="17" t="s">
        <v>17</v>
      </c>
      <c r="G126" s="17" t="s">
        <v>18</v>
      </c>
      <c r="H126" s="18">
        <f>ROUND(RAND()*4+6,1)</f>
      </c>
      <c r="I126" s="17" t="s">
        <v>19</v>
      </c>
      <c r="J126" s="19">
        <f>ROUND(66*1,0)&amp;"%"</f>
      </c>
    </row>
    <row x14ac:dyDescent="0.25" r="127" customHeight="1" ht="17.25">
      <c r="A127" s="20" t="s">
        <v>3114</v>
      </c>
      <c r="B127" s="20" t="s">
        <v>226</v>
      </c>
      <c r="C127" s="20" t="s">
        <v>95</v>
      </c>
      <c r="D127" s="20" t="s">
        <v>22</v>
      </c>
      <c r="E127" s="21">
        <f>ROUND(16091*1.05,2)</f>
      </c>
      <c r="F127" s="20" t="s">
        <v>23</v>
      </c>
      <c r="G127" s="20" t="s">
        <v>24</v>
      </c>
      <c r="H127" s="21">
        <f>ROUND(RAND()*4+6,1)</f>
      </c>
      <c r="I127" s="20" t="s">
        <v>25</v>
      </c>
      <c r="J127" s="23">
        <f>ROUND(87*1,0)&amp;"%"</f>
      </c>
    </row>
    <row x14ac:dyDescent="0.25" r="128" customHeight="1" ht="17.25">
      <c r="A128" s="17" t="s">
        <v>3115</v>
      </c>
      <c r="B128" s="17" t="s">
        <v>228</v>
      </c>
      <c r="C128" s="17" t="s">
        <v>95</v>
      </c>
      <c r="D128" s="17" t="s">
        <v>28</v>
      </c>
      <c r="E128" s="18">
        <f>ROUND(11725*1.05,2)</f>
      </c>
      <c r="F128" s="17" t="s">
        <v>29</v>
      </c>
      <c r="G128" s="17" t="s">
        <v>30</v>
      </c>
      <c r="H128" s="18">
        <f>ROUND(RAND()*4+6,1)</f>
      </c>
      <c r="I128" s="17" t="s">
        <v>31</v>
      </c>
      <c r="J128" s="19">
        <f>ROUND(92*1,0)&amp;"%"</f>
      </c>
    </row>
    <row x14ac:dyDescent="0.25" r="129" customHeight="1" ht="17.25">
      <c r="A129" s="20" t="s">
        <v>3116</v>
      </c>
      <c r="B129" s="20" t="s">
        <v>230</v>
      </c>
      <c r="C129" s="20" t="s">
        <v>95</v>
      </c>
      <c r="D129" s="20" t="s">
        <v>34</v>
      </c>
      <c r="E129" s="21">
        <f>ROUND(14778*1.05,2)</f>
      </c>
      <c r="F129" s="20" t="s">
        <v>35</v>
      </c>
      <c r="G129" s="20" t="s">
        <v>18</v>
      </c>
      <c r="H129" s="22">
        <f>ROUND(RAND()*4+6,1)</f>
      </c>
      <c r="I129" s="20" t="s">
        <v>36</v>
      </c>
      <c r="J129" s="23">
        <f>ROUND(61*1,0)&amp;"%"</f>
      </c>
    </row>
    <row x14ac:dyDescent="0.25" r="130" customHeight="1" ht="17.25">
      <c r="A130" s="17" t="s">
        <v>3117</v>
      </c>
      <c r="B130" s="17" t="s">
        <v>232</v>
      </c>
      <c r="C130" s="17" t="s">
        <v>95</v>
      </c>
      <c r="D130" s="17" t="s">
        <v>39</v>
      </c>
      <c r="E130" s="18">
        <f>ROUND(13779*1.05,2)</f>
      </c>
      <c r="F130" s="17" t="s">
        <v>40</v>
      </c>
      <c r="G130" s="17" t="s">
        <v>24</v>
      </c>
      <c r="H130" s="18">
        <f>ROUND(RAND()*4+6,1)</f>
      </c>
      <c r="I130" s="17" t="s">
        <v>41</v>
      </c>
      <c r="J130" s="19">
        <f>ROUND(68*1,0)&amp;"%"</f>
      </c>
    </row>
    <row x14ac:dyDescent="0.25" r="131" customHeight="1" ht="17.25">
      <c r="A131" s="20" t="s">
        <v>3118</v>
      </c>
      <c r="B131" s="20" t="s">
        <v>234</v>
      </c>
      <c r="C131" s="20" t="s">
        <v>95</v>
      </c>
      <c r="D131" s="20" t="s">
        <v>67</v>
      </c>
      <c r="E131" s="21">
        <f>ROUND(16010*1.05,2)</f>
      </c>
      <c r="F131" s="20" t="s">
        <v>44</v>
      </c>
      <c r="G131" s="20" t="s">
        <v>30</v>
      </c>
      <c r="H131" s="21">
        <f>ROUND(RAND()*4+6,1)</f>
      </c>
      <c r="I131" s="20" t="s">
        <v>45</v>
      </c>
      <c r="J131" s="23">
        <f>ROUND(95*1,0)&amp;"%"</f>
      </c>
    </row>
    <row x14ac:dyDescent="0.25" r="132" customHeight="1" ht="17.25">
      <c r="A132" s="17" t="s">
        <v>3119</v>
      </c>
      <c r="B132" s="17" t="s">
        <v>236</v>
      </c>
      <c r="C132" s="17" t="s">
        <v>95</v>
      </c>
      <c r="D132" s="17" t="s">
        <v>16</v>
      </c>
      <c r="E132" s="18">
        <f>ROUND(11644*1.05,2)</f>
      </c>
      <c r="F132" s="17" t="s">
        <v>48</v>
      </c>
      <c r="G132" s="17" t="s">
        <v>18</v>
      </c>
      <c r="H132" s="18">
        <f>ROUND(RAND()*4+6,1)</f>
      </c>
      <c r="I132" s="17" t="s">
        <v>19</v>
      </c>
      <c r="J132" s="19">
        <f>ROUND(89*1,0)&amp;"%"</f>
      </c>
    </row>
    <row x14ac:dyDescent="0.25" r="133" customHeight="1" ht="17.25">
      <c r="A133" s="20" t="s">
        <v>3120</v>
      </c>
      <c r="B133" s="20" t="s">
        <v>238</v>
      </c>
      <c r="C133" s="20" t="s">
        <v>95</v>
      </c>
      <c r="D133" s="20" t="s">
        <v>22</v>
      </c>
      <c r="E133" s="21">
        <f>ROUND(5066*1.05,2)</f>
      </c>
      <c r="F133" s="20" t="s">
        <v>51</v>
      </c>
      <c r="G133" s="20" t="s">
        <v>24</v>
      </c>
      <c r="H133" s="21">
        <f>ROUND(RAND()*4+6,1)</f>
      </c>
      <c r="I133" s="20" t="s">
        <v>25</v>
      </c>
      <c r="J133" s="23">
        <f>ROUND(71*1,0)&amp;"%"</f>
      </c>
    </row>
    <row x14ac:dyDescent="0.25" r="134" customHeight="1" ht="17.25">
      <c r="A134" s="24" t="s">
        <v>239</v>
      </c>
      <c r="B134" s="24"/>
      <c r="C134" s="24"/>
      <c r="D134" s="24"/>
      <c r="E134" s="25">
        <v>8</v>
      </c>
      <c r="F134" s="9"/>
      <c r="G134" s="9"/>
      <c r="H134" s="10"/>
      <c r="I134" s="9"/>
      <c r="J134" s="9"/>
    </row>
    <row x14ac:dyDescent="0.25" r="135" customHeight="1" ht="17.25">
      <c r="A135" s="7"/>
      <c r="B135" s="7"/>
      <c r="C135" s="7"/>
      <c r="D135" s="7"/>
      <c r="E135" s="8"/>
      <c r="F135" s="9"/>
      <c r="G135" s="9"/>
      <c r="H135" s="10"/>
      <c r="I135" s="9"/>
      <c r="J135" s="9"/>
    </row>
    <row x14ac:dyDescent="0.25" r="136" customHeight="1" ht="17.25">
      <c r="A136" s="11" t="s">
        <v>3121</v>
      </c>
      <c r="B136" s="11"/>
      <c r="C136" s="11"/>
      <c r="D136" s="11"/>
      <c r="E136" s="12"/>
      <c r="F136" s="11"/>
      <c r="G136" s="11"/>
      <c r="H136" s="13"/>
      <c r="I136" s="11"/>
      <c r="J136" s="11"/>
    </row>
    <row x14ac:dyDescent="0.25" r="137" customHeight="1" ht="17.25">
      <c r="A137" s="14" t="s">
        <v>3</v>
      </c>
      <c r="B137" s="14" t="s">
        <v>4</v>
      </c>
      <c r="C137" s="14" t="s">
        <v>5</v>
      </c>
      <c r="D137" s="14" t="s">
        <v>6</v>
      </c>
      <c r="E137" s="15" t="s">
        <v>7</v>
      </c>
      <c r="F137" s="14" t="s">
        <v>8</v>
      </c>
      <c r="G137" s="14" t="s">
        <v>9</v>
      </c>
      <c r="H137" s="16" t="s">
        <v>10</v>
      </c>
      <c r="I137" s="14" t="s">
        <v>11</v>
      </c>
      <c r="J137" s="14" t="s">
        <v>12</v>
      </c>
    </row>
    <row x14ac:dyDescent="0.25" r="138" customHeight="1" ht="17.25">
      <c r="A138" s="17" t="s">
        <v>3122</v>
      </c>
      <c r="B138" s="17" t="s">
        <v>242</v>
      </c>
      <c r="C138" s="17" t="s">
        <v>114</v>
      </c>
      <c r="D138" s="17" t="s">
        <v>16</v>
      </c>
      <c r="E138" s="18">
        <f>ROUND(9678*1.05,2)</f>
      </c>
      <c r="F138" s="17" t="s">
        <v>17</v>
      </c>
      <c r="G138" s="17" t="s">
        <v>18</v>
      </c>
      <c r="H138" s="18">
        <f>ROUND(RAND()*4+6,1)</f>
      </c>
      <c r="I138" s="17" t="s">
        <v>19</v>
      </c>
      <c r="J138" s="19">
        <f>ROUND(72*1,0)&amp;"%"</f>
      </c>
    </row>
    <row x14ac:dyDescent="0.25" r="139" customHeight="1" ht="17.25">
      <c r="A139" s="20" t="s">
        <v>3123</v>
      </c>
      <c r="B139" s="20" t="s">
        <v>244</v>
      </c>
      <c r="C139" s="20" t="s">
        <v>114</v>
      </c>
      <c r="D139" s="20" t="s">
        <v>22</v>
      </c>
      <c r="E139" s="21">
        <f>ROUND(6939*1.05,2)</f>
      </c>
      <c r="F139" s="20" t="s">
        <v>23</v>
      </c>
      <c r="G139" s="20" t="s">
        <v>24</v>
      </c>
      <c r="H139" s="22">
        <f>ROUND(RAND()*4+6,1)</f>
      </c>
      <c r="I139" s="20" t="s">
        <v>25</v>
      </c>
      <c r="J139" s="23">
        <f>ROUND(97*1,0)&amp;"%"</f>
      </c>
    </row>
    <row x14ac:dyDescent="0.25" r="140" customHeight="1" ht="17.25">
      <c r="A140" s="17" t="s">
        <v>3124</v>
      </c>
      <c r="B140" s="17" t="s">
        <v>246</v>
      </c>
      <c r="C140" s="17" t="s">
        <v>114</v>
      </c>
      <c r="D140" s="17" t="s">
        <v>28</v>
      </c>
      <c r="E140" s="18">
        <f>ROUND(17356*1.05,2)</f>
      </c>
      <c r="F140" s="17" t="s">
        <v>29</v>
      </c>
      <c r="G140" s="17" t="s">
        <v>30</v>
      </c>
      <c r="H140" s="18">
        <f>ROUND(RAND()*4+6,1)</f>
      </c>
      <c r="I140" s="17" t="s">
        <v>31</v>
      </c>
      <c r="J140" s="19">
        <f>ROUND(62*1,0)&amp;"%"</f>
      </c>
    </row>
    <row x14ac:dyDescent="0.25" r="141" customHeight="1" ht="17.25">
      <c r="A141" s="20" t="s">
        <v>3125</v>
      </c>
      <c r="B141" s="20" t="s">
        <v>248</v>
      </c>
      <c r="C141" s="20" t="s">
        <v>114</v>
      </c>
      <c r="D141" s="20" t="s">
        <v>34</v>
      </c>
      <c r="E141" s="21">
        <f>ROUND(4397*1.05,2)</f>
      </c>
      <c r="F141" s="20" t="s">
        <v>35</v>
      </c>
      <c r="G141" s="20" t="s">
        <v>18</v>
      </c>
      <c r="H141" s="21">
        <f>ROUND(RAND()*4+6,1)</f>
      </c>
      <c r="I141" s="20" t="s">
        <v>36</v>
      </c>
      <c r="J141" s="23">
        <f>ROUND(73*1,0)&amp;"%"</f>
      </c>
    </row>
    <row x14ac:dyDescent="0.25" r="142" customHeight="1" ht="17.25">
      <c r="A142" s="17" t="s">
        <v>3126</v>
      </c>
      <c r="B142" s="17" t="s">
        <v>250</v>
      </c>
      <c r="C142" s="17" t="s">
        <v>114</v>
      </c>
      <c r="D142" s="17" t="s">
        <v>39</v>
      </c>
      <c r="E142" s="18">
        <f>ROUND(9262*1.05,2)</f>
      </c>
      <c r="F142" s="17" t="s">
        <v>40</v>
      </c>
      <c r="G142" s="17" t="s">
        <v>24</v>
      </c>
      <c r="H142" s="18">
        <f>ROUND(RAND()*4+6,1)</f>
      </c>
      <c r="I142" s="17" t="s">
        <v>41</v>
      </c>
      <c r="J142" s="19">
        <f>ROUND(85*1,0)&amp;"%"</f>
      </c>
    </row>
    <row x14ac:dyDescent="0.25" r="143" customHeight="1" ht="17.25">
      <c r="A143" s="20" t="s">
        <v>3127</v>
      </c>
      <c r="B143" s="20" t="s">
        <v>252</v>
      </c>
      <c r="C143" s="20" t="s">
        <v>114</v>
      </c>
      <c r="D143" s="20" t="s">
        <v>67</v>
      </c>
      <c r="E143" s="21">
        <f>ROUND(7590*1.05,2)</f>
      </c>
      <c r="F143" s="20" t="s">
        <v>44</v>
      </c>
      <c r="G143" s="20" t="s">
        <v>30</v>
      </c>
      <c r="H143" s="21">
        <f>ROUND(RAND()*4+6,1)</f>
      </c>
      <c r="I143" s="20" t="s">
        <v>45</v>
      </c>
      <c r="J143" s="23">
        <f>ROUND(84*1,0)&amp;"%"</f>
      </c>
    </row>
    <row x14ac:dyDescent="0.25" r="144" customHeight="1" ht="17.25">
      <c r="A144" s="17" t="s">
        <v>3128</v>
      </c>
      <c r="B144" s="17" t="s">
        <v>254</v>
      </c>
      <c r="C144" s="17" t="s">
        <v>114</v>
      </c>
      <c r="D144" s="17" t="s">
        <v>16</v>
      </c>
      <c r="E144" s="18">
        <f>ROUND(4768*1.05,2)</f>
      </c>
      <c r="F144" s="17" t="s">
        <v>48</v>
      </c>
      <c r="G144" s="17" t="s">
        <v>18</v>
      </c>
      <c r="H144" s="26">
        <f>ROUND(RAND()*4+6,1)</f>
      </c>
      <c r="I144" s="17" t="s">
        <v>19</v>
      </c>
      <c r="J144" s="19">
        <f>ROUND(71*1,0)&amp;"%"</f>
      </c>
    </row>
    <row x14ac:dyDescent="0.25" r="145" customHeight="1" ht="17.25">
      <c r="A145" s="20" t="s">
        <v>3129</v>
      </c>
      <c r="B145" s="20" t="s">
        <v>256</v>
      </c>
      <c r="C145" s="20" t="s">
        <v>114</v>
      </c>
      <c r="D145" s="20" t="s">
        <v>22</v>
      </c>
      <c r="E145" s="21">
        <f>ROUND(15899*1.05,2)</f>
      </c>
      <c r="F145" s="20" t="s">
        <v>51</v>
      </c>
      <c r="G145" s="20" t="s">
        <v>24</v>
      </c>
      <c r="H145" s="21">
        <f>ROUND(RAND()*4+6,1)</f>
      </c>
      <c r="I145" s="20" t="s">
        <v>25</v>
      </c>
      <c r="J145" s="23">
        <f>ROUND(81*1,0)&amp;"%"</f>
      </c>
    </row>
    <row x14ac:dyDescent="0.25" r="146" customHeight="1" ht="17.25">
      <c r="A146" s="24" t="s">
        <v>257</v>
      </c>
      <c r="B146" s="24"/>
      <c r="C146" s="24"/>
      <c r="D146" s="24"/>
      <c r="E146" s="25">
        <v>8</v>
      </c>
      <c r="F146" s="9"/>
      <c r="G146" s="9"/>
      <c r="H146" s="10"/>
      <c r="I146" s="9"/>
      <c r="J146" s="9"/>
    </row>
    <row x14ac:dyDescent="0.25" r="147" customHeight="1" ht="17.25">
      <c r="A147" s="7"/>
      <c r="B147" s="7"/>
      <c r="C147" s="7"/>
      <c r="D147" s="7"/>
      <c r="E147" s="8"/>
      <c r="F147" s="9"/>
      <c r="G147" s="9"/>
      <c r="H147" s="10"/>
      <c r="I147" s="9"/>
      <c r="J147" s="9"/>
    </row>
    <row x14ac:dyDescent="0.25" r="148" customHeight="1" ht="17.25">
      <c r="A148" s="11" t="s">
        <v>3130</v>
      </c>
      <c r="B148" s="11"/>
      <c r="C148" s="11"/>
      <c r="D148" s="11"/>
      <c r="E148" s="12"/>
      <c r="F148" s="11"/>
      <c r="G148" s="11"/>
      <c r="H148" s="13"/>
      <c r="I148" s="11"/>
      <c r="J148" s="11"/>
    </row>
    <row x14ac:dyDescent="0.25" r="149" customHeight="1" ht="17.25">
      <c r="A149" s="14" t="s">
        <v>3</v>
      </c>
      <c r="B149" s="14" t="s">
        <v>4</v>
      </c>
      <c r="C149" s="14" t="s">
        <v>5</v>
      </c>
      <c r="D149" s="14" t="s">
        <v>6</v>
      </c>
      <c r="E149" s="15" t="s">
        <v>7</v>
      </c>
      <c r="F149" s="14" t="s">
        <v>8</v>
      </c>
      <c r="G149" s="14" t="s">
        <v>9</v>
      </c>
      <c r="H149" s="16" t="s">
        <v>10</v>
      </c>
      <c r="I149" s="14" t="s">
        <v>11</v>
      </c>
      <c r="J149" s="14" t="s">
        <v>12</v>
      </c>
    </row>
    <row x14ac:dyDescent="0.25" r="150" customHeight="1" ht="17.25">
      <c r="A150" s="17" t="s">
        <v>3131</v>
      </c>
      <c r="B150" s="17" t="s">
        <v>260</v>
      </c>
      <c r="C150" s="17" t="s">
        <v>133</v>
      </c>
      <c r="D150" s="17" t="s">
        <v>16</v>
      </c>
      <c r="E150" s="18">
        <f>ROUND(14162*1.05,2)</f>
      </c>
      <c r="F150" s="17" t="s">
        <v>17</v>
      </c>
      <c r="G150" s="17" t="s">
        <v>18</v>
      </c>
      <c r="H150" s="18">
        <f>ROUND(RAND()*4+6,1)</f>
      </c>
      <c r="I150" s="17" t="s">
        <v>19</v>
      </c>
      <c r="J150" s="19">
        <f>ROUND(95*1,0)&amp;"%"</f>
      </c>
    </row>
    <row x14ac:dyDescent="0.25" r="151" customHeight="1" ht="17.25">
      <c r="A151" s="20" t="s">
        <v>3132</v>
      </c>
      <c r="B151" s="20" t="s">
        <v>262</v>
      </c>
      <c r="C151" s="20" t="s">
        <v>133</v>
      </c>
      <c r="D151" s="20" t="s">
        <v>22</v>
      </c>
      <c r="E151" s="21">
        <f>ROUND(6067*1.05,2)</f>
      </c>
      <c r="F151" s="20" t="s">
        <v>23</v>
      </c>
      <c r="G151" s="20" t="s">
        <v>24</v>
      </c>
      <c r="H151" s="21">
        <f>ROUND(RAND()*4+6,1)</f>
      </c>
      <c r="I151" s="20" t="s">
        <v>25</v>
      </c>
      <c r="J151" s="23">
        <f>ROUND(77*1,0)&amp;"%"</f>
      </c>
    </row>
    <row x14ac:dyDescent="0.25" r="152" customHeight="1" ht="17.25">
      <c r="A152" s="17" t="s">
        <v>3133</v>
      </c>
      <c r="B152" s="17" t="s">
        <v>264</v>
      </c>
      <c r="C152" s="17" t="s">
        <v>133</v>
      </c>
      <c r="D152" s="17" t="s">
        <v>28</v>
      </c>
      <c r="E152" s="18">
        <f>ROUND(7002*1.05,2)</f>
      </c>
      <c r="F152" s="17" t="s">
        <v>29</v>
      </c>
      <c r="G152" s="17" t="s">
        <v>30</v>
      </c>
      <c r="H152" s="18">
        <f>ROUND(RAND()*4+6,1)</f>
      </c>
      <c r="I152" s="17" t="s">
        <v>31</v>
      </c>
      <c r="J152" s="19">
        <f>ROUND(63*1,0)&amp;"%"</f>
      </c>
    </row>
    <row x14ac:dyDescent="0.25" r="153" customHeight="1" ht="17.25">
      <c r="A153" s="20" t="s">
        <v>3134</v>
      </c>
      <c r="B153" s="20" t="s">
        <v>266</v>
      </c>
      <c r="C153" s="20" t="s">
        <v>133</v>
      </c>
      <c r="D153" s="20" t="s">
        <v>34</v>
      </c>
      <c r="E153" s="21">
        <f>ROUND(12424*1.05,2)</f>
      </c>
      <c r="F153" s="20" t="s">
        <v>35</v>
      </c>
      <c r="G153" s="20" t="s">
        <v>18</v>
      </c>
      <c r="H153" s="21">
        <f>ROUND(RAND()*4+6,1)</f>
      </c>
      <c r="I153" s="20" t="s">
        <v>36</v>
      </c>
      <c r="J153" s="23">
        <f>ROUND(78*1,0)&amp;"%"</f>
      </c>
    </row>
    <row x14ac:dyDescent="0.25" r="154" customHeight="1" ht="17.25">
      <c r="A154" s="17" t="s">
        <v>3135</v>
      </c>
      <c r="B154" s="17" t="s">
        <v>268</v>
      </c>
      <c r="C154" s="17" t="s">
        <v>133</v>
      </c>
      <c r="D154" s="17" t="s">
        <v>39</v>
      </c>
      <c r="E154" s="18">
        <f>ROUND(16938*1.05,2)</f>
      </c>
      <c r="F154" s="17" t="s">
        <v>40</v>
      </c>
      <c r="G154" s="17" t="s">
        <v>24</v>
      </c>
      <c r="H154" s="18">
        <f>ROUND(RAND()*4+6,1)</f>
      </c>
      <c r="I154" s="17" t="s">
        <v>41</v>
      </c>
      <c r="J154" s="19">
        <f>ROUND(70*1,0)&amp;"%"</f>
      </c>
    </row>
    <row x14ac:dyDescent="0.25" r="155" customHeight="1" ht="17.25">
      <c r="A155" s="20" t="s">
        <v>3136</v>
      </c>
      <c r="B155" s="20" t="s">
        <v>270</v>
      </c>
      <c r="C155" s="20" t="s">
        <v>133</v>
      </c>
      <c r="D155" s="20" t="s">
        <v>67</v>
      </c>
      <c r="E155" s="21">
        <f>ROUND(13574*1.05,2)</f>
      </c>
      <c r="F155" s="20" t="s">
        <v>44</v>
      </c>
      <c r="G155" s="20" t="s">
        <v>30</v>
      </c>
      <c r="H155" s="21">
        <f>ROUND(RAND()*4+6,1)</f>
      </c>
      <c r="I155" s="20" t="s">
        <v>45</v>
      </c>
      <c r="J155" s="23">
        <f>ROUND(84*1,0)&amp;"%"</f>
      </c>
    </row>
    <row x14ac:dyDescent="0.25" r="156" customHeight="1" ht="17.25">
      <c r="A156" s="17" t="s">
        <v>3137</v>
      </c>
      <c r="B156" s="17" t="s">
        <v>272</v>
      </c>
      <c r="C156" s="17" t="s">
        <v>133</v>
      </c>
      <c r="D156" s="17" t="s">
        <v>16</v>
      </c>
      <c r="E156" s="18">
        <f>ROUND(13510*1.05,2)</f>
      </c>
      <c r="F156" s="17" t="s">
        <v>48</v>
      </c>
      <c r="G156" s="17" t="s">
        <v>18</v>
      </c>
      <c r="H156" s="18">
        <f>ROUND(RAND()*4+6,1)</f>
      </c>
      <c r="I156" s="17" t="s">
        <v>19</v>
      </c>
      <c r="J156" s="19">
        <f>ROUND(64*1,0)&amp;"%"</f>
      </c>
    </row>
    <row x14ac:dyDescent="0.25" r="157" customHeight="1" ht="17.25">
      <c r="A157" s="20" t="s">
        <v>3138</v>
      </c>
      <c r="B157" s="20" t="s">
        <v>274</v>
      </c>
      <c r="C157" s="20" t="s">
        <v>133</v>
      </c>
      <c r="D157" s="20" t="s">
        <v>22</v>
      </c>
      <c r="E157" s="21">
        <f>ROUND(8194*1.05,2)</f>
      </c>
      <c r="F157" s="20" t="s">
        <v>51</v>
      </c>
      <c r="G157" s="20" t="s">
        <v>24</v>
      </c>
      <c r="H157" s="21">
        <f>ROUND(RAND()*4+6,1)</f>
      </c>
      <c r="I157" s="20" t="s">
        <v>25</v>
      </c>
      <c r="J157" s="23">
        <f>ROUND(74*1,0)&amp;"%"</f>
      </c>
    </row>
    <row x14ac:dyDescent="0.25" r="158" customHeight="1" ht="17.25">
      <c r="A158" s="24" t="s">
        <v>275</v>
      </c>
      <c r="B158" s="24"/>
      <c r="C158" s="24"/>
      <c r="D158" s="24"/>
      <c r="E158" s="25">
        <v>8</v>
      </c>
      <c r="F158" s="9"/>
      <c r="G158" s="9"/>
      <c r="H158" s="10"/>
      <c r="I158" s="9"/>
      <c r="J158" s="9"/>
    </row>
    <row x14ac:dyDescent="0.25" r="159" customHeight="1" ht="17.25">
      <c r="A159" s="7"/>
      <c r="B159" s="7"/>
      <c r="C159" s="7"/>
      <c r="D159" s="7"/>
      <c r="E159" s="8"/>
      <c r="F159" s="9"/>
      <c r="G159" s="9"/>
      <c r="H159" s="10"/>
      <c r="I159" s="9"/>
      <c r="J159" s="9"/>
    </row>
    <row x14ac:dyDescent="0.25" r="160" customHeight="1" ht="17.25">
      <c r="A160" s="11" t="s">
        <v>3139</v>
      </c>
      <c r="B160" s="11"/>
      <c r="C160" s="11"/>
      <c r="D160" s="11"/>
      <c r="E160" s="12"/>
      <c r="F160" s="11"/>
      <c r="G160" s="11"/>
      <c r="H160" s="13"/>
      <c r="I160" s="11"/>
      <c r="J160" s="11"/>
    </row>
    <row x14ac:dyDescent="0.25" r="161" customHeight="1" ht="17.25">
      <c r="A161" s="14" t="s">
        <v>3</v>
      </c>
      <c r="B161" s="14" t="s">
        <v>4</v>
      </c>
      <c r="C161" s="14" t="s">
        <v>5</v>
      </c>
      <c r="D161" s="14" t="s">
        <v>6</v>
      </c>
      <c r="E161" s="15" t="s">
        <v>7</v>
      </c>
      <c r="F161" s="14" t="s">
        <v>8</v>
      </c>
      <c r="G161" s="14" t="s">
        <v>9</v>
      </c>
      <c r="H161" s="16" t="s">
        <v>10</v>
      </c>
      <c r="I161" s="14" t="s">
        <v>11</v>
      </c>
      <c r="J161" s="14" t="s">
        <v>12</v>
      </c>
    </row>
    <row x14ac:dyDescent="0.25" r="162" customHeight="1" ht="17.25">
      <c r="A162" s="17" t="s">
        <v>3140</v>
      </c>
      <c r="B162" s="17" t="s">
        <v>278</v>
      </c>
      <c r="C162" s="17" t="s">
        <v>152</v>
      </c>
      <c r="D162" s="17" t="s">
        <v>16</v>
      </c>
      <c r="E162" s="18">
        <f>ROUND(5266*1.05,2)</f>
      </c>
      <c r="F162" s="17" t="s">
        <v>17</v>
      </c>
      <c r="G162" s="17" t="s">
        <v>18</v>
      </c>
      <c r="H162" s="18">
        <f>ROUND(RAND()*4+6,1)</f>
      </c>
      <c r="I162" s="17" t="s">
        <v>19</v>
      </c>
      <c r="J162" s="19">
        <f>ROUND(68*1,0)&amp;"%"</f>
      </c>
    </row>
    <row x14ac:dyDescent="0.25" r="163" customHeight="1" ht="17.25">
      <c r="A163" s="20" t="s">
        <v>3141</v>
      </c>
      <c r="B163" s="20" t="s">
        <v>280</v>
      </c>
      <c r="C163" s="20" t="s">
        <v>152</v>
      </c>
      <c r="D163" s="20" t="s">
        <v>22</v>
      </c>
      <c r="E163" s="21">
        <f>ROUND(6419*1.05,2)</f>
      </c>
      <c r="F163" s="20" t="s">
        <v>23</v>
      </c>
      <c r="G163" s="20" t="s">
        <v>24</v>
      </c>
      <c r="H163" s="21">
        <f>ROUND(RAND()*4+6,1)</f>
      </c>
      <c r="I163" s="20" t="s">
        <v>25</v>
      </c>
      <c r="J163" s="23">
        <f>ROUND(83*1,0)&amp;"%"</f>
      </c>
    </row>
    <row x14ac:dyDescent="0.25" r="164" customHeight="1" ht="17.25">
      <c r="A164" s="17" t="s">
        <v>3142</v>
      </c>
      <c r="B164" s="17" t="s">
        <v>282</v>
      </c>
      <c r="C164" s="17" t="s">
        <v>152</v>
      </c>
      <c r="D164" s="17" t="s">
        <v>28</v>
      </c>
      <c r="E164" s="18">
        <f>ROUND(13386*1.05,2)</f>
      </c>
      <c r="F164" s="17" t="s">
        <v>29</v>
      </c>
      <c r="G164" s="17" t="s">
        <v>30</v>
      </c>
      <c r="H164" s="18">
        <f>ROUND(RAND()*4+6,1)</f>
      </c>
      <c r="I164" s="17" t="s">
        <v>31</v>
      </c>
      <c r="J164" s="19">
        <f>ROUND(98*1,0)&amp;"%"</f>
      </c>
    </row>
    <row x14ac:dyDescent="0.25" r="165" customHeight="1" ht="17.25">
      <c r="A165" s="20" t="s">
        <v>3143</v>
      </c>
      <c r="B165" s="20" t="s">
        <v>284</v>
      </c>
      <c r="C165" s="20" t="s">
        <v>152</v>
      </c>
      <c r="D165" s="20" t="s">
        <v>34</v>
      </c>
      <c r="E165" s="22">
        <f>ROUND(4240*1.05,2)</f>
      </c>
      <c r="F165" s="20" t="s">
        <v>35</v>
      </c>
      <c r="G165" s="20" t="s">
        <v>18</v>
      </c>
      <c r="H165" s="21">
        <f>ROUND(RAND()*4+6,1)</f>
      </c>
      <c r="I165" s="20" t="s">
        <v>36</v>
      </c>
      <c r="J165" s="23">
        <f>ROUND(96*1,0)&amp;"%"</f>
      </c>
    </row>
    <row x14ac:dyDescent="0.25" r="166" customHeight="1" ht="17.25">
      <c r="A166" s="17" t="s">
        <v>3144</v>
      </c>
      <c r="B166" s="17" t="s">
        <v>286</v>
      </c>
      <c r="C166" s="17" t="s">
        <v>152</v>
      </c>
      <c r="D166" s="17" t="s">
        <v>39</v>
      </c>
      <c r="E166" s="18">
        <f>ROUND(14654*1.05,2)</f>
      </c>
      <c r="F166" s="17" t="s">
        <v>40</v>
      </c>
      <c r="G166" s="17" t="s">
        <v>24</v>
      </c>
      <c r="H166" s="18">
        <f>ROUND(RAND()*4+6,1)</f>
      </c>
      <c r="I166" s="17" t="s">
        <v>41</v>
      </c>
      <c r="J166" s="19">
        <f>ROUND(76*1,0)&amp;"%"</f>
      </c>
    </row>
    <row x14ac:dyDescent="0.25" r="167" customHeight="1" ht="17.25">
      <c r="A167" s="20" t="s">
        <v>3145</v>
      </c>
      <c r="B167" s="20" t="s">
        <v>288</v>
      </c>
      <c r="C167" s="20" t="s">
        <v>152</v>
      </c>
      <c r="D167" s="20" t="s">
        <v>67</v>
      </c>
      <c r="E167" s="21">
        <f>ROUND(4082*1.05,2)</f>
      </c>
      <c r="F167" s="20" t="s">
        <v>44</v>
      </c>
      <c r="G167" s="20" t="s">
        <v>30</v>
      </c>
      <c r="H167" s="21">
        <f>ROUND(RAND()*4+6,1)</f>
      </c>
      <c r="I167" s="20" t="s">
        <v>45</v>
      </c>
      <c r="J167" s="23">
        <f>ROUND(69*1,0)&amp;"%"</f>
      </c>
    </row>
    <row x14ac:dyDescent="0.25" r="168" customHeight="1" ht="17.25">
      <c r="A168" s="17" t="s">
        <v>3146</v>
      </c>
      <c r="B168" s="17" t="s">
        <v>290</v>
      </c>
      <c r="C168" s="17" t="s">
        <v>152</v>
      </c>
      <c r="D168" s="17" t="s">
        <v>16</v>
      </c>
      <c r="E168" s="18">
        <f>ROUND(14163*1.05,2)</f>
      </c>
      <c r="F168" s="17" t="s">
        <v>48</v>
      </c>
      <c r="G168" s="17" t="s">
        <v>18</v>
      </c>
      <c r="H168" s="18">
        <f>ROUND(RAND()*4+6,1)</f>
      </c>
      <c r="I168" s="17" t="s">
        <v>19</v>
      </c>
      <c r="J168" s="19">
        <f>ROUND(76*1,0)&amp;"%"</f>
      </c>
    </row>
    <row x14ac:dyDescent="0.25" r="169" customHeight="1" ht="17.25">
      <c r="A169" s="20" t="s">
        <v>3147</v>
      </c>
      <c r="B169" s="20" t="s">
        <v>292</v>
      </c>
      <c r="C169" s="20" t="s">
        <v>152</v>
      </c>
      <c r="D169" s="20" t="s">
        <v>22</v>
      </c>
      <c r="E169" s="21">
        <f>ROUND(4994*1.05,2)</f>
      </c>
      <c r="F169" s="20" t="s">
        <v>51</v>
      </c>
      <c r="G169" s="20" t="s">
        <v>24</v>
      </c>
      <c r="H169" s="21">
        <f>ROUND(RAND()*4+6,1)</f>
      </c>
      <c r="I169" s="20" t="s">
        <v>25</v>
      </c>
      <c r="J169" s="23">
        <f>ROUND(91*1,0)&amp;"%"</f>
      </c>
    </row>
    <row x14ac:dyDescent="0.25" r="170" customHeight="1" ht="17.25">
      <c r="A170" s="24" t="s">
        <v>293</v>
      </c>
      <c r="B170" s="24"/>
      <c r="C170" s="24"/>
      <c r="D170" s="24"/>
      <c r="E170" s="25">
        <v>8</v>
      </c>
      <c r="F170" s="9"/>
      <c r="G170" s="9"/>
      <c r="H170" s="10"/>
      <c r="I170" s="9"/>
      <c r="J170" s="9"/>
    </row>
    <row x14ac:dyDescent="0.25" r="171" customHeight="1" ht="17.25">
      <c r="A171" s="7"/>
      <c r="B171" s="7"/>
      <c r="C171" s="7"/>
      <c r="D171" s="7"/>
      <c r="E171" s="8"/>
      <c r="F171" s="9"/>
      <c r="G171" s="9"/>
      <c r="H171" s="10"/>
      <c r="I171" s="9"/>
      <c r="J171" s="9"/>
    </row>
    <row x14ac:dyDescent="0.25" r="172" customHeight="1" ht="17.25">
      <c r="A172" s="11" t="s">
        <v>3148</v>
      </c>
      <c r="B172" s="11"/>
      <c r="C172" s="11"/>
      <c r="D172" s="11"/>
      <c r="E172" s="12"/>
      <c r="F172" s="11"/>
      <c r="G172" s="11"/>
      <c r="H172" s="13"/>
      <c r="I172" s="11"/>
      <c r="J172" s="11"/>
    </row>
    <row x14ac:dyDescent="0.25" r="173" customHeight="1" ht="17.25">
      <c r="A173" s="14" t="s">
        <v>3</v>
      </c>
      <c r="B173" s="14" t="s">
        <v>4</v>
      </c>
      <c r="C173" s="14" t="s">
        <v>5</v>
      </c>
      <c r="D173" s="14" t="s">
        <v>6</v>
      </c>
      <c r="E173" s="15" t="s">
        <v>7</v>
      </c>
      <c r="F173" s="14" t="s">
        <v>8</v>
      </c>
      <c r="G173" s="14" t="s">
        <v>9</v>
      </c>
      <c r="H173" s="16" t="s">
        <v>10</v>
      </c>
      <c r="I173" s="14" t="s">
        <v>11</v>
      </c>
      <c r="J173" s="14" t="s">
        <v>12</v>
      </c>
    </row>
    <row x14ac:dyDescent="0.25" r="174" customHeight="1" ht="17.25">
      <c r="A174" s="17" t="s">
        <v>3149</v>
      </c>
      <c r="B174" s="17" t="s">
        <v>296</v>
      </c>
      <c r="C174" s="17" t="s">
        <v>15</v>
      </c>
      <c r="D174" s="17" t="s">
        <v>16</v>
      </c>
      <c r="E174" s="18">
        <f>ROUND(16062*1.05,2)</f>
      </c>
      <c r="F174" s="17" t="s">
        <v>17</v>
      </c>
      <c r="G174" s="17" t="s">
        <v>18</v>
      </c>
      <c r="H174" s="18">
        <f>ROUND(RAND()*4+6,1)</f>
      </c>
      <c r="I174" s="17" t="s">
        <v>19</v>
      </c>
      <c r="J174" s="19">
        <f>ROUND(67*1,0)&amp;"%"</f>
      </c>
    </row>
    <row x14ac:dyDescent="0.25" r="175" customHeight="1" ht="17.25">
      <c r="A175" s="20" t="s">
        <v>3150</v>
      </c>
      <c r="B175" s="20" t="s">
        <v>298</v>
      </c>
      <c r="C175" s="20" t="s">
        <v>15</v>
      </c>
      <c r="D175" s="20" t="s">
        <v>22</v>
      </c>
      <c r="E175" s="21">
        <f>ROUND(14663*1.05,2)</f>
      </c>
      <c r="F175" s="20" t="s">
        <v>23</v>
      </c>
      <c r="G175" s="20" t="s">
        <v>24</v>
      </c>
      <c r="H175" s="22">
        <f>ROUND(RAND()*4+6,1)</f>
      </c>
      <c r="I175" s="20" t="s">
        <v>25</v>
      </c>
      <c r="J175" s="23">
        <f>ROUND(68*1,0)&amp;"%"</f>
      </c>
    </row>
    <row x14ac:dyDescent="0.25" r="176" customHeight="1" ht="17.25">
      <c r="A176" s="17" t="s">
        <v>3151</v>
      </c>
      <c r="B176" s="17" t="s">
        <v>300</v>
      </c>
      <c r="C176" s="17" t="s">
        <v>15</v>
      </c>
      <c r="D176" s="17" t="s">
        <v>28</v>
      </c>
      <c r="E176" s="18">
        <f>ROUND(12194*1.05,2)</f>
      </c>
      <c r="F176" s="17" t="s">
        <v>29</v>
      </c>
      <c r="G176" s="17" t="s">
        <v>30</v>
      </c>
      <c r="H176" s="18">
        <f>ROUND(RAND()*4+6,1)</f>
      </c>
      <c r="I176" s="17" t="s">
        <v>31</v>
      </c>
      <c r="J176" s="19">
        <f>ROUND(82*1,0)&amp;"%"</f>
      </c>
    </row>
    <row x14ac:dyDescent="0.25" r="177" customHeight="1" ht="17.25">
      <c r="A177" s="20" t="s">
        <v>3152</v>
      </c>
      <c r="B177" s="20" t="s">
        <v>302</v>
      </c>
      <c r="C177" s="20" t="s">
        <v>15</v>
      </c>
      <c r="D177" s="20" t="s">
        <v>34</v>
      </c>
      <c r="E177" s="21">
        <f>ROUND(7986*1.05,2)</f>
      </c>
      <c r="F177" s="20" t="s">
        <v>35</v>
      </c>
      <c r="G177" s="20" t="s">
        <v>18</v>
      </c>
      <c r="H177" s="21">
        <f>ROUND(RAND()*4+6,1)</f>
      </c>
      <c r="I177" s="20" t="s">
        <v>36</v>
      </c>
      <c r="J177" s="23">
        <f>ROUND(79*1,0)&amp;"%"</f>
      </c>
    </row>
    <row x14ac:dyDescent="0.25" r="178" customHeight="1" ht="17.25">
      <c r="A178" s="17" t="s">
        <v>3153</v>
      </c>
      <c r="B178" s="17" t="s">
        <v>304</v>
      </c>
      <c r="C178" s="17" t="s">
        <v>15</v>
      </c>
      <c r="D178" s="17" t="s">
        <v>39</v>
      </c>
      <c r="E178" s="18">
        <f>ROUND(17727*1.05,2)</f>
      </c>
      <c r="F178" s="17" t="s">
        <v>40</v>
      </c>
      <c r="G178" s="17" t="s">
        <v>24</v>
      </c>
      <c r="H178" s="18">
        <f>ROUND(RAND()*4+6,1)</f>
      </c>
      <c r="I178" s="17" t="s">
        <v>41</v>
      </c>
      <c r="J178" s="19">
        <f>ROUND(66*1,0)&amp;"%"</f>
      </c>
    </row>
    <row x14ac:dyDescent="0.25" r="179" customHeight="1" ht="17.25">
      <c r="A179" s="20" t="s">
        <v>3154</v>
      </c>
      <c r="B179" s="20" t="s">
        <v>306</v>
      </c>
      <c r="C179" s="20" t="s">
        <v>15</v>
      </c>
      <c r="D179" s="20" t="s">
        <v>67</v>
      </c>
      <c r="E179" s="21">
        <f>ROUND(16201*1.05,2)</f>
      </c>
      <c r="F179" s="20" t="s">
        <v>44</v>
      </c>
      <c r="G179" s="20" t="s">
        <v>30</v>
      </c>
      <c r="H179" s="21">
        <f>ROUND(RAND()*4+6,1)</f>
      </c>
      <c r="I179" s="20" t="s">
        <v>45</v>
      </c>
      <c r="J179" s="23">
        <f>ROUND(83*1,0)&amp;"%"</f>
      </c>
    </row>
    <row x14ac:dyDescent="0.25" r="180" customHeight="1" ht="17.25">
      <c r="A180" s="17" t="s">
        <v>3155</v>
      </c>
      <c r="B180" s="17" t="s">
        <v>308</v>
      </c>
      <c r="C180" s="17" t="s">
        <v>15</v>
      </c>
      <c r="D180" s="17" t="s">
        <v>16</v>
      </c>
      <c r="E180" s="18">
        <f>ROUND(17162*1.05,2)</f>
      </c>
      <c r="F180" s="17" t="s">
        <v>48</v>
      </c>
      <c r="G180" s="17" t="s">
        <v>18</v>
      </c>
      <c r="H180" s="18">
        <f>ROUND(RAND()*4+6,1)</f>
      </c>
      <c r="I180" s="17" t="s">
        <v>19</v>
      </c>
      <c r="J180" s="19">
        <f>ROUND(92*1,0)&amp;"%"</f>
      </c>
    </row>
    <row x14ac:dyDescent="0.25" r="181" customHeight="1" ht="17.25">
      <c r="A181" s="20" t="s">
        <v>3156</v>
      </c>
      <c r="B181" s="20" t="s">
        <v>310</v>
      </c>
      <c r="C181" s="20" t="s">
        <v>15</v>
      </c>
      <c r="D181" s="20" t="s">
        <v>22</v>
      </c>
      <c r="E181" s="21">
        <f>ROUND(10851*1.05,2)</f>
      </c>
      <c r="F181" s="20" t="s">
        <v>51</v>
      </c>
      <c r="G181" s="20" t="s">
        <v>24</v>
      </c>
      <c r="H181" s="21">
        <f>ROUND(RAND()*4+6,1)</f>
      </c>
      <c r="I181" s="20" t="s">
        <v>25</v>
      </c>
      <c r="J181" s="23">
        <f>ROUND(60*1,0)&amp;"%"</f>
      </c>
    </row>
    <row x14ac:dyDescent="0.25" r="182" customHeight="1" ht="17.25">
      <c r="A182" s="24" t="s">
        <v>311</v>
      </c>
      <c r="B182" s="24"/>
      <c r="C182" s="24"/>
      <c r="D182" s="24"/>
      <c r="E182" s="25">
        <v>8</v>
      </c>
      <c r="F182" s="9"/>
      <c r="G182" s="9"/>
      <c r="H182" s="10"/>
      <c r="I182" s="9"/>
      <c r="J182" s="9"/>
    </row>
    <row x14ac:dyDescent="0.25" r="183" customHeight="1" ht="17.25">
      <c r="A183" s="7"/>
      <c r="B183" s="7"/>
      <c r="C183" s="7"/>
      <c r="D183" s="7"/>
      <c r="E183" s="8"/>
      <c r="F183" s="9"/>
      <c r="G183" s="9"/>
      <c r="H183" s="10"/>
      <c r="I183" s="9"/>
      <c r="J183" s="9"/>
    </row>
    <row x14ac:dyDescent="0.25" r="184" customHeight="1" ht="17.25">
      <c r="A184" s="11" t="s">
        <v>3157</v>
      </c>
      <c r="B184" s="11"/>
      <c r="C184" s="11"/>
      <c r="D184" s="11"/>
      <c r="E184" s="12"/>
      <c r="F184" s="11"/>
      <c r="G184" s="11"/>
      <c r="H184" s="13"/>
      <c r="I184" s="11"/>
      <c r="J184" s="11"/>
    </row>
    <row x14ac:dyDescent="0.25" r="185" customHeight="1" ht="17.25">
      <c r="A185" s="14" t="s">
        <v>3</v>
      </c>
      <c r="B185" s="14" t="s">
        <v>4</v>
      </c>
      <c r="C185" s="14" t="s">
        <v>5</v>
      </c>
      <c r="D185" s="14" t="s">
        <v>6</v>
      </c>
      <c r="E185" s="15" t="s">
        <v>7</v>
      </c>
      <c r="F185" s="14" t="s">
        <v>8</v>
      </c>
      <c r="G185" s="14" t="s">
        <v>9</v>
      </c>
      <c r="H185" s="16" t="s">
        <v>10</v>
      </c>
      <c r="I185" s="14" t="s">
        <v>11</v>
      </c>
      <c r="J185" s="14" t="s">
        <v>12</v>
      </c>
    </row>
    <row x14ac:dyDescent="0.25" r="186" customHeight="1" ht="17.25">
      <c r="A186" s="17" t="s">
        <v>3158</v>
      </c>
      <c r="B186" s="17" t="s">
        <v>314</v>
      </c>
      <c r="C186" s="17" t="s">
        <v>56</v>
      </c>
      <c r="D186" s="17" t="s">
        <v>16</v>
      </c>
      <c r="E186" s="18">
        <f>ROUND(13902*1.05,2)</f>
      </c>
      <c r="F186" s="17" t="s">
        <v>17</v>
      </c>
      <c r="G186" s="17" t="s">
        <v>18</v>
      </c>
      <c r="H186" s="18">
        <f>ROUND(RAND()*4+6,1)</f>
      </c>
      <c r="I186" s="17" t="s">
        <v>19</v>
      </c>
      <c r="J186" s="19">
        <f>ROUND(81*1,0)&amp;"%"</f>
      </c>
    </row>
    <row x14ac:dyDescent="0.25" r="187" customHeight="1" ht="17.25">
      <c r="A187" s="20" t="s">
        <v>3159</v>
      </c>
      <c r="B187" s="20" t="s">
        <v>316</v>
      </c>
      <c r="C187" s="20" t="s">
        <v>56</v>
      </c>
      <c r="D187" s="20" t="s">
        <v>22</v>
      </c>
      <c r="E187" s="21">
        <f>ROUND(14263*1.05,2)</f>
      </c>
      <c r="F187" s="20" t="s">
        <v>23</v>
      </c>
      <c r="G187" s="20" t="s">
        <v>24</v>
      </c>
      <c r="H187" s="21">
        <f>ROUND(RAND()*4+6,1)</f>
      </c>
      <c r="I187" s="20" t="s">
        <v>25</v>
      </c>
      <c r="J187" s="23">
        <f>ROUND(66*1,0)&amp;"%"</f>
      </c>
    </row>
    <row x14ac:dyDescent="0.25" r="188" customHeight="1" ht="17.25">
      <c r="A188" s="17" t="s">
        <v>3160</v>
      </c>
      <c r="B188" s="17" t="s">
        <v>318</v>
      </c>
      <c r="C188" s="17" t="s">
        <v>56</v>
      </c>
      <c r="D188" s="17" t="s">
        <v>28</v>
      </c>
      <c r="E188" s="18">
        <f>ROUND(8558*1.05,2)</f>
      </c>
      <c r="F188" s="17" t="s">
        <v>29</v>
      </c>
      <c r="G188" s="17" t="s">
        <v>30</v>
      </c>
      <c r="H188" s="18">
        <f>ROUND(RAND()*4+6,1)</f>
      </c>
      <c r="I188" s="17" t="s">
        <v>31</v>
      </c>
      <c r="J188" s="19">
        <f>ROUND(92*1,0)&amp;"%"</f>
      </c>
    </row>
    <row x14ac:dyDescent="0.25" r="189" customHeight="1" ht="17.25">
      <c r="A189" s="20" t="s">
        <v>3161</v>
      </c>
      <c r="B189" s="20" t="s">
        <v>320</v>
      </c>
      <c r="C189" s="20" t="s">
        <v>56</v>
      </c>
      <c r="D189" s="20" t="s">
        <v>34</v>
      </c>
      <c r="E189" s="21">
        <f>ROUND(16022*1.05,2)</f>
      </c>
      <c r="F189" s="20" t="s">
        <v>35</v>
      </c>
      <c r="G189" s="20" t="s">
        <v>18</v>
      </c>
      <c r="H189" s="21">
        <f>ROUND(RAND()*4+6,1)</f>
      </c>
      <c r="I189" s="20" t="s">
        <v>36</v>
      </c>
      <c r="J189" s="23">
        <f>ROUND(72*1,0)&amp;"%"</f>
      </c>
    </row>
    <row x14ac:dyDescent="0.25" r="190" customHeight="1" ht="17.25">
      <c r="A190" s="17" t="s">
        <v>3162</v>
      </c>
      <c r="B190" s="17" t="s">
        <v>322</v>
      </c>
      <c r="C190" s="17" t="s">
        <v>56</v>
      </c>
      <c r="D190" s="17" t="s">
        <v>39</v>
      </c>
      <c r="E190" s="18">
        <f>ROUND(8101*1.05,2)</f>
      </c>
      <c r="F190" s="17" t="s">
        <v>40</v>
      </c>
      <c r="G190" s="17" t="s">
        <v>24</v>
      </c>
      <c r="H190" s="18">
        <f>ROUND(RAND()*4+6,1)</f>
      </c>
      <c r="I190" s="17" t="s">
        <v>41</v>
      </c>
      <c r="J190" s="19">
        <f>ROUND(66*1,0)&amp;"%"</f>
      </c>
    </row>
    <row x14ac:dyDescent="0.25" r="191" customHeight="1" ht="17.25">
      <c r="A191" s="20" t="s">
        <v>3163</v>
      </c>
      <c r="B191" s="20" t="s">
        <v>324</v>
      </c>
      <c r="C191" s="20" t="s">
        <v>56</v>
      </c>
      <c r="D191" s="20" t="s">
        <v>67</v>
      </c>
      <c r="E191" s="21">
        <f>ROUND(16324*1.05,2)</f>
      </c>
      <c r="F191" s="20" t="s">
        <v>44</v>
      </c>
      <c r="G191" s="20" t="s">
        <v>30</v>
      </c>
      <c r="H191" s="21">
        <f>ROUND(RAND()*4+6,1)</f>
      </c>
      <c r="I191" s="20" t="s">
        <v>45</v>
      </c>
      <c r="J191" s="23">
        <f>ROUND(65*1,0)&amp;"%"</f>
      </c>
    </row>
    <row x14ac:dyDescent="0.25" r="192" customHeight="1" ht="17.25">
      <c r="A192" s="17" t="s">
        <v>3164</v>
      </c>
      <c r="B192" s="17" t="s">
        <v>326</v>
      </c>
      <c r="C192" s="17" t="s">
        <v>56</v>
      </c>
      <c r="D192" s="17" t="s">
        <v>16</v>
      </c>
      <c r="E192" s="18">
        <f>ROUND(10002*1.05,2)</f>
      </c>
      <c r="F192" s="17" t="s">
        <v>48</v>
      </c>
      <c r="G192" s="17" t="s">
        <v>18</v>
      </c>
      <c r="H192" s="18">
        <f>ROUND(RAND()*4+6,1)</f>
      </c>
      <c r="I192" s="17" t="s">
        <v>19</v>
      </c>
      <c r="J192" s="19">
        <f>ROUND(66*1,0)&amp;"%"</f>
      </c>
    </row>
    <row x14ac:dyDescent="0.25" r="193" customHeight="1" ht="17.25">
      <c r="A193" s="20" t="s">
        <v>3165</v>
      </c>
      <c r="B193" s="20" t="s">
        <v>328</v>
      </c>
      <c r="C193" s="20" t="s">
        <v>56</v>
      </c>
      <c r="D193" s="20" t="s">
        <v>22</v>
      </c>
      <c r="E193" s="21">
        <f>ROUND(10034*1.05,2)</f>
      </c>
      <c r="F193" s="20" t="s">
        <v>51</v>
      </c>
      <c r="G193" s="20" t="s">
        <v>24</v>
      </c>
      <c r="H193" s="22">
        <f>ROUND(RAND()*4+6,1)</f>
      </c>
      <c r="I193" s="20" t="s">
        <v>25</v>
      </c>
      <c r="J193" s="23">
        <f>ROUND(93*1,0)&amp;"%"</f>
      </c>
    </row>
    <row x14ac:dyDescent="0.25" r="194" customHeight="1" ht="17.25">
      <c r="A194" s="24" t="s">
        <v>329</v>
      </c>
      <c r="B194" s="24"/>
      <c r="C194" s="24"/>
      <c r="D194" s="24"/>
      <c r="E194" s="25">
        <v>8</v>
      </c>
      <c r="F194" s="9"/>
      <c r="G194" s="9"/>
      <c r="H194" s="10"/>
      <c r="I194" s="9"/>
      <c r="J194" s="9"/>
    </row>
    <row x14ac:dyDescent="0.25" r="195" customHeight="1" ht="17.25">
      <c r="A195" s="7"/>
      <c r="B195" s="7"/>
      <c r="C195" s="7"/>
      <c r="D195" s="7"/>
      <c r="E195" s="8"/>
      <c r="F195" s="9"/>
      <c r="G195" s="9"/>
      <c r="H195" s="10"/>
      <c r="I195" s="9"/>
      <c r="J195" s="9"/>
    </row>
    <row x14ac:dyDescent="0.25" r="196" customHeight="1" ht="17.25">
      <c r="A196" s="11" t="s">
        <v>3166</v>
      </c>
      <c r="B196" s="11"/>
      <c r="C196" s="11"/>
      <c r="D196" s="11"/>
      <c r="E196" s="12"/>
      <c r="F196" s="11"/>
      <c r="G196" s="11"/>
      <c r="H196" s="13"/>
      <c r="I196" s="11"/>
      <c r="J196" s="11"/>
    </row>
    <row x14ac:dyDescent="0.25" r="197" customHeight="1" ht="17.25">
      <c r="A197" s="14" t="s">
        <v>3</v>
      </c>
      <c r="B197" s="14" t="s">
        <v>4</v>
      </c>
      <c r="C197" s="14" t="s">
        <v>5</v>
      </c>
      <c r="D197" s="14" t="s">
        <v>6</v>
      </c>
      <c r="E197" s="15" t="s">
        <v>7</v>
      </c>
      <c r="F197" s="14" t="s">
        <v>8</v>
      </c>
      <c r="G197" s="14" t="s">
        <v>9</v>
      </c>
      <c r="H197" s="16" t="s">
        <v>10</v>
      </c>
      <c r="I197" s="14" t="s">
        <v>11</v>
      </c>
      <c r="J197" s="14" t="s">
        <v>12</v>
      </c>
    </row>
    <row x14ac:dyDescent="0.25" r="198" customHeight="1" ht="17.25">
      <c r="A198" s="17" t="s">
        <v>3167</v>
      </c>
      <c r="B198" s="17" t="s">
        <v>332</v>
      </c>
      <c r="C198" s="17" t="s">
        <v>76</v>
      </c>
      <c r="D198" s="17" t="s">
        <v>16</v>
      </c>
      <c r="E198" s="18">
        <f>ROUND(8723*1.05,2)</f>
      </c>
      <c r="F198" s="17" t="s">
        <v>17</v>
      </c>
      <c r="G198" s="17" t="s">
        <v>18</v>
      </c>
      <c r="H198" s="18">
        <f>ROUND(RAND()*4+6,1)</f>
      </c>
      <c r="I198" s="17" t="s">
        <v>19</v>
      </c>
      <c r="J198" s="19">
        <f>ROUND(100*1,0)&amp;"%"</f>
      </c>
    </row>
    <row x14ac:dyDescent="0.25" r="199" customHeight="1" ht="17.25">
      <c r="A199" s="20" t="s">
        <v>3168</v>
      </c>
      <c r="B199" s="20" t="s">
        <v>334</v>
      </c>
      <c r="C199" s="20" t="s">
        <v>76</v>
      </c>
      <c r="D199" s="20" t="s">
        <v>22</v>
      </c>
      <c r="E199" s="21">
        <f>ROUND(9998*1.05,2)</f>
      </c>
      <c r="F199" s="20" t="s">
        <v>23</v>
      </c>
      <c r="G199" s="20" t="s">
        <v>24</v>
      </c>
      <c r="H199" s="21">
        <f>ROUND(RAND()*4+6,1)</f>
      </c>
      <c r="I199" s="20" t="s">
        <v>25</v>
      </c>
      <c r="J199" s="23">
        <f>ROUND(99*1,0)&amp;"%"</f>
      </c>
    </row>
    <row x14ac:dyDescent="0.25" r="200" customHeight="1" ht="17.25">
      <c r="A200" s="17" t="s">
        <v>3169</v>
      </c>
      <c r="B200" s="17" t="s">
        <v>336</v>
      </c>
      <c r="C200" s="17" t="s">
        <v>76</v>
      </c>
      <c r="D200" s="17" t="s">
        <v>28</v>
      </c>
      <c r="E200" s="26">
        <f>ROUND(10600*1.05,2)</f>
      </c>
      <c r="F200" s="17" t="s">
        <v>29</v>
      </c>
      <c r="G200" s="17" t="s">
        <v>30</v>
      </c>
      <c r="H200" s="18">
        <f>ROUND(RAND()*4+6,1)</f>
      </c>
      <c r="I200" s="17" t="s">
        <v>31</v>
      </c>
      <c r="J200" s="19">
        <f>ROUND(70*1,0)&amp;"%"</f>
      </c>
    </row>
    <row x14ac:dyDescent="0.25" r="201" customHeight="1" ht="17.25">
      <c r="A201" s="20" t="s">
        <v>3170</v>
      </c>
      <c r="B201" s="20" t="s">
        <v>338</v>
      </c>
      <c r="C201" s="20" t="s">
        <v>76</v>
      </c>
      <c r="D201" s="20" t="s">
        <v>34</v>
      </c>
      <c r="E201" s="21">
        <f>ROUND(10167*1.05,2)</f>
      </c>
      <c r="F201" s="20" t="s">
        <v>35</v>
      </c>
      <c r="G201" s="20" t="s">
        <v>18</v>
      </c>
      <c r="H201" s="21">
        <f>ROUND(RAND()*4+6,1)</f>
      </c>
      <c r="I201" s="20" t="s">
        <v>36</v>
      </c>
      <c r="J201" s="23">
        <f>ROUND(98*1,0)&amp;"%"</f>
      </c>
    </row>
    <row x14ac:dyDescent="0.25" r="202" customHeight="1" ht="17.25">
      <c r="A202" s="17" t="s">
        <v>3171</v>
      </c>
      <c r="B202" s="17" t="s">
        <v>340</v>
      </c>
      <c r="C202" s="17" t="s">
        <v>76</v>
      </c>
      <c r="D202" s="17" t="s">
        <v>39</v>
      </c>
      <c r="E202" s="18">
        <f>ROUND(17102*1.05,2)</f>
      </c>
      <c r="F202" s="17" t="s">
        <v>40</v>
      </c>
      <c r="G202" s="17" t="s">
        <v>24</v>
      </c>
      <c r="H202" s="18">
        <f>ROUND(RAND()*4+6,1)</f>
      </c>
      <c r="I202" s="17" t="s">
        <v>41</v>
      </c>
      <c r="J202" s="19">
        <f>ROUND(78*1,0)&amp;"%"</f>
      </c>
    </row>
    <row x14ac:dyDescent="0.25" r="203" customHeight="1" ht="17.25">
      <c r="A203" s="20" t="s">
        <v>3172</v>
      </c>
      <c r="B203" s="20" t="s">
        <v>342</v>
      </c>
      <c r="C203" s="20" t="s">
        <v>76</v>
      </c>
      <c r="D203" s="20" t="s">
        <v>67</v>
      </c>
      <c r="E203" s="21">
        <f>ROUND(15278*1.05,2)</f>
      </c>
      <c r="F203" s="20" t="s">
        <v>44</v>
      </c>
      <c r="G203" s="20" t="s">
        <v>30</v>
      </c>
      <c r="H203" s="21">
        <f>ROUND(RAND()*4+6,1)</f>
      </c>
      <c r="I203" s="20" t="s">
        <v>45</v>
      </c>
      <c r="J203" s="23">
        <f>ROUND(80*1,0)&amp;"%"</f>
      </c>
    </row>
    <row x14ac:dyDescent="0.25" r="204" customHeight="1" ht="17.25">
      <c r="A204" s="17" t="s">
        <v>3173</v>
      </c>
      <c r="B204" s="17" t="s">
        <v>344</v>
      </c>
      <c r="C204" s="17" t="s">
        <v>76</v>
      </c>
      <c r="D204" s="17" t="s">
        <v>16</v>
      </c>
      <c r="E204" s="18">
        <f>ROUND(7285*1.05,2)</f>
      </c>
      <c r="F204" s="17" t="s">
        <v>48</v>
      </c>
      <c r="G204" s="17" t="s">
        <v>18</v>
      </c>
      <c r="H204" s="26">
        <f>ROUND(RAND()*4+6,1)</f>
      </c>
      <c r="I204" s="17" t="s">
        <v>19</v>
      </c>
      <c r="J204" s="19">
        <f>ROUND(80*1,0)&amp;"%"</f>
      </c>
    </row>
    <row x14ac:dyDescent="0.25" r="205" customHeight="1" ht="17.25">
      <c r="A205" s="20" t="s">
        <v>3174</v>
      </c>
      <c r="B205" s="20" t="s">
        <v>346</v>
      </c>
      <c r="C205" s="20" t="s">
        <v>76</v>
      </c>
      <c r="D205" s="20" t="s">
        <v>22</v>
      </c>
      <c r="E205" s="21">
        <f>ROUND(12736*1.05,2)</f>
      </c>
      <c r="F205" s="20" t="s">
        <v>51</v>
      </c>
      <c r="G205" s="20" t="s">
        <v>24</v>
      </c>
      <c r="H205" s="22">
        <f>ROUND(RAND()*4+6,1)</f>
      </c>
      <c r="I205" s="20" t="s">
        <v>25</v>
      </c>
      <c r="J205" s="23">
        <f>ROUND(81*1,0)&amp;"%"</f>
      </c>
    </row>
    <row x14ac:dyDescent="0.25" r="206" customHeight="1" ht="17.25">
      <c r="A206" s="24" t="s">
        <v>347</v>
      </c>
      <c r="B206" s="24"/>
      <c r="C206" s="24"/>
      <c r="D206" s="24"/>
      <c r="E206" s="25">
        <v>8</v>
      </c>
      <c r="F206" s="9"/>
      <c r="G206" s="9"/>
      <c r="H206" s="10"/>
      <c r="I206" s="9"/>
      <c r="J206" s="9"/>
    </row>
    <row x14ac:dyDescent="0.25" r="207" customHeight="1" ht="17.25">
      <c r="A207" s="7"/>
      <c r="B207" s="7"/>
      <c r="C207" s="7"/>
      <c r="D207" s="7"/>
      <c r="E207" s="8"/>
      <c r="F207" s="9"/>
      <c r="G207" s="9"/>
      <c r="H207" s="10"/>
      <c r="I207" s="9"/>
      <c r="J207" s="9"/>
    </row>
    <row x14ac:dyDescent="0.25" r="208" customHeight="1" ht="17.25">
      <c r="A208" s="11" t="s">
        <v>3175</v>
      </c>
      <c r="B208" s="11"/>
      <c r="C208" s="11"/>
      <c r="D208" s="11"/>
      <c r="E208" s="12"/>
      <c r="F208" s="11"/>
      <c r="G208" s="11"/>
      <c r="H208" s="13"/>
      <c r="I208" s="11"/>
      <c r="J208" s="11"/>
    </row>
    <row x14ac:dyDescent="0.25" r="209" customHeight="1" ht="17.25">
      <c r="A209" s="14" t="s">
        <v>3</v>
      </c>
      <c r="B209" s="14" t="s">
        <v>4</v>
      </c>
      <c r="C209" s="14" t="s">
        <v>5</v>
      </c>
      <c r="D209" s="14" t="s">
        <v>6</v>
      </c>
      <c r="E209" s="15" t="s">
        <v>7</v>
      </c>
      <c r="F209" s="14" t="s">
        <v>8</v>
      </c>
      <c r="G209" s="14" t="s">
        <v>9</v>
      </c>
      <c r="H209" s="16" t="s">
        <v>10</v>
      </c>
      <c r="I209" s="14" t="s">
        <v>11</v>
      </c>
      <c r="J209" s="14" t="s">
        <v>12</v>
      </c>
    </row>
    <row x14ac:dyDescent="0.25" r="210" customHeight="1" ht="17.25">
      <c r="A210" s="17" t="s">
        <v>3176</v>
      </c>
      <c r="B210" s="17" t="s">
        <v>350</v>
      </c>
      <c r="C210" s="17" t="s">
        <v>95</v>
      </c>
      <c r="D210" s="17" t="s">
        <v>16</v>
      </c>
      <c r="E210" s="18">
        <f>ROUND(12783*1.05,2)</f>
      </c>
      <c r="F210" s="17" t="s">
        <v>17</v>
      </c>
      <c r="G210" s="17" t="s">
        <v>18</v>
      </c>
      <c r="H210" s="18">
        <f>ROUND(RAND()*4+6,1)</f>
      </c>
      <c r="I210" s="17" t="s">
        <v>19</v>
      </c>
      <c r="J210" s="19">
        <f>ROUND(66*1,0)&amp;"%"</f>
      </c>
    </row>
    <row x14ac:dyDescent="0.25" r="211" customHeight="1" ht="17.25">
      <c r="A211" s="20" t="s">
        <v>3177</v>
      </c>
      <c r="B211" s="20" t="s">
        <v>352</v>
      </c>
      <c r="C211" s="20" t="s">
        <v>95</v>
      </c>
      <c r="D211" s="20" t="s">
        <v>22</v>
      </c>
      <c r="E211" s="21">
        <f>ROUND(7813*1.05,2)</f>
      </c>
      <c r="F211" s="20" t="s">
        <v>23</v>
      </c>
      <c r="G211" s="20" t="s">
        <v>24</v>
      </c>
      <c r="H211" s="21">
        <f>ROUND(RAND()*4+6,1)</f>
      </c>
      <c r="I211" s="20" t="s">
        <v>25</v>
      </c>
      <c r="J211" s="23">
        <f>ROUND(71*1,0)&amp;"%"</f>
      </c>
    </row>
    <row x14ac:dyDescent="0.25" r="212" customHeight="1" ht="17.25">
      <c r="A212" s="17" t="s">
        <v>3178</v>
      </c>
      <c r="B212" s="17" t="s">
        <v>354</v>
      </c>
      <c r="C212" s="17" t="s">
        <v>95</v>
      </c>
      <c r="D212" s="17" t="s">
        <v>28</v>
      </c>
      <c r="E212" s="18">
        <f>ROUND(4032*1.05,2)</f>
      </c>
      <c r="F212" s="17" t="s">
        <v>29</v>
      </c>
      <c r="G212" s="17" t="s">
        <v>30</v>
      </c>
      <c r="H212" s="18">
        <f>ROUND(RAND()*4+6,1)</f>
      </c>
      <c r="I212" s="17" t="s">
        <v>31</v>
      </c>
      <c r="J212" s="19">
        <f>ROUND(60*1,0)&amp;"%"</f>
      </c>
    </row>
    <row x14ac:dyDescent="0.25" r="213" customHeight="1" ht="17.25">
      <c r="A213" s="20" t="s">
        <v>3179</v>
      </c>
      <c r="B213" s="20" t="s">
        <v>356</v>
      </c>
      <c r="C213" s="20" t="s">
        <v>95</v>
      </c>
      <c r="D213" s="20" t="s">
        <v>34</v>
      </c>
      <c r="E213" s="21">
        <f>ROUND(9146*1.05,2)</f>
      </c>
      <c r="F213" s="20" t="s">
        <v>35</v>
      </c>
      <c r="G213" s="20" t="s">
        <v>18</v>
      </c>
      <c r="H213" s="21">
        <f>ROUND(RAND()*4+6,1)</f>
      </c>
      <c r="I213" s="20" t="s">
        <v>36</v>
      </c>
      <c r="J213" s="23">
        <f>ROUND(79*1,0)&amp;"%"</f>
      </c>
    </row>
    <row x14ac:dyDescent="0.25" r="214" customHeight="1" ht="17.25">
      <c r="A214" s="17" t="s">
        <v>3180</v>
      </c>
      <c r="B214" s="17" t="s">
        <v>358</v>
      </c>
      <c r="C214" s="17" t="s">
        <v>95</v>
      </c>
      <c r="D214" s="17" t="s">
        <v>39</v>
      </c>
      <c r="E214" s="18">
        <f>ROUND(12375*1.05,2)</f>
      </c>
      <c r="F214" s="17" t="s">
        <v>40</v>
      </c>
      <c r="G214" s="17" t="s">
        <v>24</v>
      </c>
      <c r="H214" s="18">
        <f>ROUND(RAND()*4+6,1)</f>
      </c>
      <c r="I214" s="17" t="s">
        <v>41</v>
      </c>
      <c r="J214" s="19">
        <f>ROUND(98*1,0)&amp;"%"</f>
      </c>
    </row>
    <row x14ac:dyDescent="0.25" r="215" customHeight="1" ht="17.25">
      <c r="A215" s="20" t="s">
        <v>3181</v>
      </c>
      <c r="B215" s="20" t="s">
        <v>360</v>
      </c>
      <c r="C215" s="20" t="s">
        <v>95</v>
      </c>
      <c r="D215" s="20" t="s">
        <v>67</v>
      </c>
      <c r="E215" s="21">
        <f>ROUND(15149*1.05,2)</f>
      </c>
      <c r="F215" s="20" t="s">
        <v>44</v>
      </c>
      <c r="G215" s="20" t="s">
        <v>30</v>
      </c>
      <c r="H215" s="21">
        <f>ROUND(RAND()*4+6,1)</f>
      </c>
      <c r="I215" s="20" t="s">
        <v>45</v>
      </c>
      <c r="J215" s="23">
        <f>ROUND(63*1,0)&amp;"%"</f>
      </c>
    </row>
    <row x14ac:dyDescent="0.25" r="216" customHeight="1" ht="17.25">
      <c r="A216" s="17" t="s">
        <v>3182</v>
      </c>
      <c r="B216" s="17" t="s">
        <v>362</v>
      </c>
      <c r="C216" s="17" t="s">
        <v>95</v>
      </c>
      <c r="D216" s="17" t="s">
        <v>16</v>
      </c>
      <c r="E216" s="18">
        <f>ROUND(15799*1.05,2)</f>
      </c>
      <c r="F216" s="17" t="s">
        <v>48</v>
      </c>
      <c r="G216" s="17" t="s">
        <v>18</v>
      </c>
      <c r="H216" s="18">
        <f>ROUND(RAND()*4+6,1)</f>
      </c>
      <c r="I216" s="17" t="s">
        <v>19</v>
      </c>
      <c r="J216" s="19">
        <f>ROUND(75*1,0)&amp;"%"</f>
      </c>
    </row>
    <row x14ac:dyDescent="0.25" r="217" customHeight="1" ht="17.25">
      <c r="A217" s="20" t="s">
        <v>3183</v>
      </c>
      <c r="B217" s="20" t="s">
        <v>364</v>
      </c>
      <c r="C217" s="20" t="s">
        <v>95</v>
      </c>
      <c r="D217" s="20" t="s">
        <v>22</v>
      </c>
      <c r="E217" s="21">
        <f>ROUND(17593*1.05,2)</f>
      </c>
      <c r="F217" s="20" t="s">
        <v>51</v>
      </c>
      <c r="G217" s="20" t="s">
        <v>24</v>
      </c>
      <c r="H217" s="21">
        <f>ROUND(RAND()*4+6,1)</f>
      </c>
      <c r="I217" s="20" t="s">
        <v>25</v>
      </c>
      <c r="J217" s="23">
        <f>ROUND(81*1,0)&amp;"%"</f>
      </c>
    </row>
    <row x14ac:dyDescent="0.25" r="218" customHeight="1" ht="17.25">
      <c r="A218" s="24" t="s">
        <v>365</v>
      </c>
      <c r="B218" s="24"/>
      <c r="C218" s="24"/>
      <c r="D218" s="24"/>
      <c r="E218" s="25">
        <v>8</v>
      </c>
      <c r="F218" s="9"/>
      <c r="G218" s="9"/>
      <c r="H218" s="10"/>
      <c r="I218" s="9"/>
      <c r="J218" s="9"/>
    </row>
    <row x14ac:dyDescent="0.25" r="219" customHeight="1" ht="17.25">
      <c r="A219" s="7"/>
      <c r="B219" s="7"/>
      <c r="C219" s="7"/>
      <c r="D219" s="7"/>
      <c r="E219" s="8"/>
      <c r="F219" s="9"/>
      <c r="G219" s="9"/>
      <c r="H219" s="10"/>
      <c r="I219" s="9"/>
      <c r="J219" s="9"/>
    </row>
    <row x14ac:dyDescent="0.25" r="220" customHeight="1" ht="17.25">
      <c r="A220" s="11" t="s">
        <v>3184</v>
      </c>
      <c r="B220" s="11"/>
      <c r="C220" s="11"/>
      <c r="D220" s="11"/>
      <c r="E220" s="12"/>
      <c r="F220" s="11"/>
      <c r="G220" s="11"/>
      <c r="H220" s="13"/>
      <c r="I220" s="11"/>
      <c r="J220" s="11"/>
    </row>
    <row x14ac:dyDescent="0.25" r="221" customHeight="1" ht="17.25">
      <c r="A221" s="14" t="s">
        <v>3</v>
      </c>
      <c r="B221" s="14" t="s">
        <v>4</v>
      </c>
      <c r="C221" s="14" t="s">
        <v>5</v>
      </c>
      <c r="D221" s="14" t="s">
        <v>6</v>
      </c>
      <c r="E221" s="15" t="s">
        <v>7</v>
      </c>
      <c r="F221" s="14" t="s">
        <v>8</v>
      </c>
      <c r="G221" s="14" t="s">
        <v>9</v>
      </c>
      <c r="H221" s="16" t="s">
        <v>10</v>
      </c>
      <c r="I221" s="14" t="s">
        <v>11</v>
      </c>
      <c r="J221" s="14" t="s">
        <v>12</v>
      </c>
    </row>
    <row x14ac:dyDescent="0.25" r="222" customHeight="1" ht="17.25">
      <c r="A222" s="17" t="s">
        <v>3185</v>
      </c>
      <c r="B222" s="17" t="s">
        <v>368</v>
      </c>
      <c r="C222" s="17" t="s">
        <v>114</v>
      </c>
      <c r="D222" s="17" t="s">
        <v>16</v>
      </c>
      <c r="E222" s="18">
        <f>ROUND(8371*1.05,2)</f>
      </c>
      <c r="F222" s="17" t="s">
        <v>17</v>
      </c>
      <c r="G222" s="17" t="s">
        <v>18</v>
      </c>
      <c r="H222" s="18">
        <f>ROUND(RAND()*4+6,1)</f>
      </c>
      <c r="I222" s="17" t="s">
        <v>19</v>
      </c>
      <c r="J222" s="19">
        <f>ROUND(72*1,0)&amp;"%"</f>
      </c>
    </row>
    <row x14ac:dyDescent="0.25" r="223" customHeight="1" ht="17.25">
      <c r="A223" s="20" t="s">
        <v>3186</v>
      </c>
      <c r="B223" s="20" t="s">
        <v>370</v>
      </c>
      <c r="C223" s="20" t="s">
        <v>114</v>
      </c>
      <c r="D223" s="20" t="s">
        <v>22</v>
      </c>
      <c r="E223" s="21">
        <f>ROUND(8405*1.05,2)</f>
      </c>
      <c r="F223" s="20" t="s">
        <v>23</v>
      </c>
      <c r="G223" s="20" t="s">
        <v>24</v>
      </c>
      <c r="H223" s="21">
        <f>ROUND(RAND()*4+6,1)</f>
      </c>
      <c r="I223" s="20" t="s">
        <v>25</v>
      </c>
      <c r="J223" s="23">
        <f>ROUND(96*1,0)&amp;"%"</f>
      </c>
    </row>
    <row x14ac:dyDescent="0.25" r="224" customHeight="1" ht="17.25">
      <c r="A224" s="17" t="s">
        <v>3187</v>
      </c>
      <c r="B224" s="17" t="s">
        <v>372</v>
      </c>
      <c r="C224" s="17" t="s">
        <v>114</v>
      </c>
      <c r="D224" s="17" t="s">
        <v>28</v>
      </c>
      <c r="E224" s="18">
        <f>ROUND(6967*1.05,2)</f>
      </c>
      <c r="F224" s="17" t="s">
        <v>29</v>
      </c>
      <c r="G224" s="17" t="s">
        <v>30</v>
      </c>
      <c r="H224" s="18">
        <f>ROUND(RAND()*4+6,1)</f>
      </c>
      <c r="I224" s="17" t="s">
        <v>31</v>
      </c>
      <c r="J224" s="19">
        <f>ROUND(74*1,0)&amp;"%"</f>
      </c>
    </row>
    <row x14ac:dyDescent="0.25" r="225" customHeight="1" ht="17.25">
      <c r="A225" s="20" t="s">
        <v>3188</v>
      </c>
      <c r="B225" s="20" t="s">
        <v>374</v>
      </c>
      <c r="C225" s="20" t="s">
        <v>114</v>
      </c>
      <c r="D225" s="20" t="s">
        <v>34</v>
      </c>
      <c r="E225" s="21">
        <f>ROUND(15550*1.05,2)</f>
      </c>
      <c r="F225" s="20" t="s">
        <v>35</v>
      </c>
      <c r="G225" s="20" t="s">
        <v>18</v>
      </c>
      <c r="H225" s="21">
        <f>ROUND(RAND()*4+6,1)</f>
      </c>
      <c r="I225" s="20" t="s">
        <v>36</v>
      </c>
      <c r="J225" s="23">
        <f>ROUND(68*1,0)&amp;"%"</f>
      </c>
    </row>
    <row x14ac:dyDescent="0.25" r="226" customHeight="1" ht="17.25">
      <c r="A226" s="17" t="s">
        <v>3189</v>
      </c>
      <c r="B226" s="17" t="s">
        <v>376</v>
      </c>
      <c r="C226" s="17" t="s">
        <v>114</v>
      </c>
      <c r="D226" s="17" t="s">
        <v>39</v>
      </c>
      <c r="E226" s="18">
        <f>ROUND(9574*1.05,2)</f>
      </c>
      <c r="F226" s="17" t="s">
        <v>40</v>
      </c>
      <c r="G226" s="17" t="s">
        <v>24</v>
      </c>
      <c r="H226" s="18">
        <f>ROUND(RAND()*4+6,1)</f>
      </c>
      <c r="I226" s="17" t="s">
        <v>41</v>
      </c>
      <c r="J226" s="19">
        <f>ROUND(77*1,0)&amp;"%"</f>
      </c>
    </row>
    <row x14ac:dyDescent="0.25" r="227" customHeight="1" ht="17.25">
      <c r="A227" s="20" t="s">
        <v>3190</v>
      </c>
      <c r="B227" s="20" t="s">
        <v>378</v>
      </c>
      <c r="C227" s="20" t="s">
        <v>114</v>
      </c>
      <c r="D227" s="20" t="s">
        <v>67</v>
      </c>
      <c r="E227" s="21">
        <f>ROUND(8497*1.05,2)</f>
      </c>
      <c r="F227" s="20" t="s">
        <v>44</v>
      </c>
      <c r="G227" s="20" t="s">
        <v>30</v>
      </c>
      <c r="H227" s="21">
        <f>ROUND(RAND()*4+6,1)</f>
      </c>
      <c r="I227" s="20" t="s">
        <v>45</v>
      </c>
      <c r="J227" s="23">
        <f>ROUND(68*1,0)&amp;"%"</f>
      </c>
    </row>
    <row x14ac:dyDescent="0.25" r="228" customHeight="1" ht="17.25">
      <c r="A228" s="17" t="s">
        <v>3191</v>
      </c>
      <c r="B228" s="17" t="s">
        <v>380</v>
      </c>
      <c r="C228" s="17" t="s">
        <v>114</v>
      </c>
      <c r="D228" s="17" t="s">
        <v>16</v>
      </c>
      <c r="E228" s="18">
        <f>ROUND(17403*1.05,2)</f>
      </c>
      <c r="F228" s="17" t="s">
        <v>48</v>
      </c>
      <c r="G228" s="17" t="s">
        <v>18</v>
      </c>
      <c r="H228" s="18">
        <f>ROUND(RAND()*4+6,1)</f>
      </c>
      <c r="I228" s="17" t="s">
        <v>19</v>
      </c>
      <c r="J228" s="19">
        <f>ROUND(67*1,0)&amp;"%"</f>
      </c>
    </row>
    <row x14ac:dyDescent="0.25" r="229" customHeight="1" ht="17.25">
      <c r="A229" s="20" t="s">
        <v>3192</v>
      </c>
      <c r="B229" s="20" t="s">
        <v>382</v>
      </c>
      <c r="C229" s="20" t="s">
        <v>114</v>
      </c>
      <c r="D229" s="20" t="s">
        <v>22</v>
      </c>
      <c r="E229" s="22">
        <f>ROUND(9780*1.05,2)</f>
      </c>
      <c r="F229" s="20" t="s">
        <v>51</v>
      </c>
      <c r="G229" s="20" t="s">
        <v>24</v>
      </c>
      <c r="H229" s="21">
        <f>ROUND(RAND()*4+6,1)</f>
      </c>
      <c r="I229" s="20" t="s">
        <v>25</v>
      </c>
      <c r="J229" s="23">
        <f>ROUND(67*1,0)&amp;"%"</f>
      </c>
    </row>
    <row x14ac:dyDescent="0.25" r="230" customHeight="1" ht="17.25">
      <c r="A230" s="24" t="s">
        <v>383</v>
      </c>
      <c r="B230" s="24"/>
      <c r="C230" s="24"/>
      <c r="D230" s="24"/>
      <c r="E230" s="25">
        <v>8</v>
      </c>
      <c r="F230" s="9"/>
      <c r="G230" s="9"/>
      <c r="H230" s="10"/>
      <c r="I230" s="9"/>
      <c r="J230" s="9"/>
    </row>
    <row x14ac:dyDescent="0.25" r="231" customHeight="1" ht="17.25">
      <c r="A231" s="7"/>
      <c r="B231" s="7"/>
      <c r="C231" s="7"/>
      <c r="D231" s="7"/>
      <c r="E231" s="8"/>
      <c r="F231" s="9"/>
      <c r="G231" s="9"/>
      <c r="H231" s="10"/>
      <c r="I231" s="9"/>
      <c r="J231" s="9"/>
    </row>
    <row x14ac:dyDescent="0.25" r="232" customHeight="1" ht="17.25">
      <c r="A232" s="11" t="s">
        <v>3193</v>
      </c>
      <c r="B232" s="11"/>
      <c r="C232" s="11"/>
      <c r="D232" s="11"/>
      <c r="E232" s="12"/>
      <c r="F232" s="11"/>
      <c r="G232" s="11"/>
      <c r="H232" s="13"/>
      <c r="I232" s="11"/>
      <c r="J232" s="11"/>
    </row>
    <row x14ac:dyDescent="0.25" r="233" customHeight="1" ht="17.25">
      <c r="A233" s="14" t="s">
        <v>3</v>
      </c>
      <c r="B233" s="14" t="s">
        <v>4</v>
      </c>
      <c r="C233" s="14" t="s">
        <v>5</v>
      </c>
      <c r="D233" s="14" t="s">
        <v>6</v>
      </c>
      <c r="E233" s="15" t="s">
        <v>7</v>
      </c>
      <c r="F233" s="14" t="s">
        <v>8</v>
      </c>
      <c r="G233" s="14" t="s">
        <v>9</v>
      </c>
      <c r="H233" s="16" t="s">
        <v>10</v>
      </c>
      <c r="I233" s="14" t="s">
        <v>11</v>
      </c>
      <c r="J233" s="14" t="s">
        <v>12</v>
      </c>
    </row>
    <row x14ac:dyDescent="0.25" r="234" customHeight="1" ht="17.25">
      <c r="A234" s="17" t="s">
        <v>3194</v>
      </c>
      <c r="B234" s="17" t="s">
        <v>386</v>
      </c>
      <c r="C234" s="17" t="s">
        <v>133</v>
      </c>
      <c r="D234" s="17" t="s">
        <v>16</v>
      </c>
      <c r="E234" s="18">
        <f>ROUND(17573*1.05,2)</f>
      </c>
      <c r="F234" s="17" t="s">
        <v>17</v>
      </c>
      <c r="G234" s="17" t="s">
        <v>18</v>
      </c>
      <c r="H234" s="18">
        <f>ROUND(RAND()*4+6,1)</f>
      </c>
      <c r="I234" s="17" t="s">
        <v>19</v>
      </c>
      <c r="J234" s="19">
        <f>ROUND(96*1,0)&amp;"%"</f>
      </c>
    </row>
    <row x14ac:dyDescent="0.25" r="235" customHeight="1" ht="17.25">
      <c r="A235" s="20" t="s">
        <v>3195</v>
      </c>
      <c r="B235" s="20" t="s">
        <v>388</v>
      </c>
      <c r="C235" s="20" t="s">
        <v>133</v>
      </c>
      <c r="D235" s="20" t="s">
        <v>22</v>
      </c>
      <c r="E235" s="21">
        <f>ROUND(11256*1.05,2)</f>
      </c>
      <c r="F235" s="20" t="s">
        <v>23</v>
      </c>
      <c r="G235" s="20" t="s">
        <v>24</v>
      </c>
      <c r="H235" s="21">
        <f>ROUND(RAND()*4+6,1)</f>
      </c>
      <c r="I235" s="20" t="s">
        <v>25</v>
      </c>
      <c r="J235" s="23">
        <f>ROUND(87*1,0)&amp;"%"</f>
      </c>
    </row>
    <row x14ac:dyDescent="0.25" r="236" customHeight="1" ht="17.25">
      <c r="A236" s="17" t="s">
        <v>3196</v>
      </c>
      <c r="B236" s="17" t="s">
        <v>390</v>
      </c>
      <c r="C236" s="17" t="s">
        <v>133</v>
      </c>
      <c r="D236" s="17" t="s">
        <v>28</v>
      </c>
      <c r="E236" s="18">
        <f>ROUND(9967*1.05,2)</f>
      </c>
      <c r="F236" s="17" t="s">
        <v>29</v>
      </c>
      <c r="G236" s="17" t="s">
        <v>30</v>
      </c>
      <c r="H236" s="18">
        <f>ROUND(RAND()*4+6,1)</f>
      </c>
      <c r="I236" s="17" t="s">
        <v>31</v>
      </c>
      <c r="J236" s="19">
        <f>ROUND(98*1,0)&amp;"%"</f>
      </c>
    </row>
    <row x14ac:dyDescent="0.25" r="237" customHeight="1" ht="17.25">
      <c r="A237" s="20" t="s">
        <v>3197</v>
      </c>
      <c r="B237" s="20" t="s">
        <v>392</v>
      </c>
      <c r="C237" s="20" t="s">
        <v>133</v>
      </c>
      <c r="D237" s="20" t="s">
        <v>34</v>
      </c>
      <c r="E237" s="21">
        <f>ROUND(16442*1.05,2)</f>
      </c>
      <c r="F237" s="20" t="s">
        <v>35</v>
      </c>
      <c r="G237" s="20" t="s">
        <v>18</v>
      </c>
      <c r="H237" s="22">
        <f>ROUND(RAND()*4+6,1)</f>
      </c>
      <c r="I237" s="20" t="s">
        <v>36</v>
      </c>
      <c r="J237" s="23">
        <f>ROUND(99*1,0)&amp;"%"</f>
      </c>
    </row>
    <row x14ac:dyDescent="0.25" r="238" customHeight="1" ht="17.25">
      <c r="A238" s="17" t="s">
        <v>3198</v>
      </c>
      <c r="B238" s="17" t="s">
        <v>394</v>
      </c>
      <c r="C238" s="17" t="s">
        <v>133</v>
      </c>
      <c r="D238" s="17" t="s">
        <v>39</v>
      </c>
      <c r="E238" s="18">
        <f>ROUND(10112*1.05,2)</f>
      </c>
      <c r="F238" s="17" t="s">
        <v>40</v>
      </c>
      <c r="G238" s="17" t="s">
        <v>24</v>
      </c>
      <c r="H238" s="18">
        <f>ROUND(RAND()*4+6,1)</f>
      </c>
      <c r="I238" s="17" t="s">
        <v>41</v>
      </c>
      <c r="J238" s="19">
        <f>ROUND(95*1,0)&amp;"%"</f>
      </c>
    </row>
    <row x14ac:dyDescent="0.25" r="239" customHeight="1" ht="17.25">
      <c r="A239" s="20" t="s">
        <v>3199</v>
      </c>
      <c r="B239" s="20" t="s">
        <v>396</v>
      </c>
      <c r="C239" s="20" t="s">
        <v>133</v>
      </c>
      <c r="D239" s="20" t="s">
        <v>67</v>
      </c>
      <c r="E239" s="21">
        <f>ROUND(7164*1.05,2)</f>
      </c>
      <c r="F239" s="20" t="s">
        <v>44</v>
      </c>
      <c r="G239" s="20" t="s">
        <v>30</v>
      </c>
      <c r="H239" s="21">
        <f>ROUND(RAND()*4+6,1)</f>
      </c>
      <c r="I239" s="20" t="s">
        <v>45</v>
      </c>
      <c r="J239" s="23">
        <f>ROUND(86*1,0)&amp;"%"</f>
      </c>
    </row>
    <row x14ac:dyDescent="0.25" r="240" customHeight="1" ht="17.25">
      <c r="A240" s="17" t="s">
        <v>3200</v>
      </c>
      <c r="B240" s="17" t="s">
        <v>398</v>
      </c>
      <c r="C240" s="17" t="s">
        <v>133</v>
      </c>
      <c r="D240" s="17" t="s">
        <v>16</v>
      </c>
      <c r="E240" s="18">
        <f>ROUND(15223*1.05,2)</f>
      </c>
      <c r="F240" s="17" t="s">
        <v>48</v>
      </c>
      <c r="G240" s="17" t="s">
        <v>18</v>
      </c>
      <c r="H240" s="18">
        <f>ROUND(RAND()*4+6,1)</f>
      </c>
      <c r="I240" s="17" t="s">
        <v>19</v>
      </c>
      <c r="J240" s="19">
        <f>ROUND(88*1,0)&amp;"%"</f>
      </c>
    </row>
    <row x14ac:dyDescent="0.25" r="241" customHeight="1" ht="17.25">
      <c r="A241" s="20" t="s">
        <v>3201</v>
      </c>
      <c r="B241" s="20" t="s">
        <v>400</v>
      </c>
      <c r="C241" s="20" t="s">
        <v>133</v>
      </c>
      <c r="D241" s="20" t="s">
        <v>22</v>
      </c>
      <c r="E241" s="21">
        <f>ROUND(12303*1.05,2)</f>
      </c>
      <c r="F241" s="20" t="s">
        <v>51</v>
      </c>
      <c r="G241" s="20" t="s">
        <v>24</v>
      </c>
      <c r="H241" s="22">
        <f>ROUND(RAND()*4+6,1)</f>
      </c>
      <c r="I241" s="20" t="s">
        <v>25</v>
      </c>
      <c r="J241" s="23">
        <f>ROUND(93*1,0)&amp;"%"</f>
      </c>
    </row>
    <row x14ac:dyDescent="0.25" r="242" customHeight="1" ht="17.25">
      <c r="A242" s="24" t="s">
        <v>401</v>
      </c>
      <c r="B242" s="24"/>
      <c r="C242" s="24"/>
      <c r="D242" s="24"/>
      <c r="E242" s="25">
        <v>8</v>
      </c>
      <c r="F242" s="9"/>
      <c r="G242" s="9"/>
      <c r="H242" s="10"/>
      <c r="I242" s="9"/>
      <c r="J242" s="9"/>
    </row>
    <row x14ac:dyDescent="0.25" r="243" customHeight="1" ht="17.25">
      <c r="A243" s="7"/>
      <c r="B243" s="7"/>
      <c r="C243" s="7"/>
      <c r="D243" s="7"/>
      <c r="E243" s="8"/>
      <c r="F243" s="9"/>
      <c r="G243" s="9"/>
      <c r="H243" s="10"/>
      <c r="I243" s="9"/>
      <c r="J243" s="9"/>
    </row>
    <row x14ac:dyDescent="0.25" r="244" customHeight="1" ht="17.25">
      <c r="A244" s="11" t="s">
        <v>3202</v>
      </c>
      <c r="B244" s="11"/>
      <c r="C244" s="11"/>
      <c r="D244" s="11"/>
      <c r="E244" s="12"/>
      <c r="F244" s="11"/>
      <c r="G244" s="11"/>
      <c r="H244" s="13"/>
      <c r="I244" s="11"/>
      <c r="J244" s="11"/>
    </row>
    <row x14ac:dyDescent="0.25" r="245" customHeight="1" ht="17.25">
      <c r="A245" s="14" t="s">
        <v>3</v>
      </c>
      <c r="B245" s="14" t="s">
        <v>4</v>
      </c>
      <c r="C245" s="14" t="s">
        <v>5</v>
      </c>
      <c r="D245" s="14" t="s">
        <v>6</v>
      </c>
      <c r="E245" s="15" t="s">
        <v>7</v>
      </c>
      <c r="F245" s="14" t="s">
        <v>8</v>
      </c>
      <c r="G245" s="14" t="s">
        <v>9</v>
      </c>
      <c r="H245" s="16" t="s">
        <v>10</v>
      </c>
      <c r="I245" s="14" t="s">
        <v>11</v>
      </c>
      <c r="J245" s="14" t="s">
        <v>12</v>
      </c>
    </row>
    <row x14ac:dyDescent="0.25" r="246" customHeight="1" ht="17.25">
      <c r="A246" s="17" t="s">
        <v>3203</v>
      </c>
      <c r="B246" s="17" t="s">
        <v>404</v>
      </c>
      <c r="C246" s="17" t="s">
        <v>152</v>
      </c>
      <c r="D246" s="17" t="s">
        <v>16</v>
      </c>
      <c r="E246" s="18">
        <f>ROUND(14922*1.05,2)</f>
      </c>
      <c r="F246" s="17" t="s">
        <v>17</v>
      </c>
      <c r="G246" s="17" t="s">
        <v>18</v>
      </c>
      <c r="H246" s="18">
        <f>ROUND(RAND()*4+6,1)</f>
      </c>
      <c r="I246" s="17" t="s">
        <v>19</v>
      </c>
      <c r="J246" s="19">
        <f>ROUND(65*1,0)&amp;"%"</f>
      </c>
    </row>
    <row x14ac:dyDescent="0.25" r="247" customHeight="1" ht="17.25">
      <c r="A247" s="20" t="s">
        <v>3204</v>
      </c>
      <c r="B247" s="20" t="s">
        <v>406</v>
      </c>
      <c r="C247" s="20" t="s">
        <v>152</v>
      </c>
      <c r="D247" s="20" t="s">
        <v>22</v>
      </c>
      <c r="E247" s="21">
        <f>ROUND(16362*1.05,2)</f>
      </c>
      <c r="F247" s="20" t="s">
        <v>23</v>
      </c>
      <c r="G247" s="20" t="s">
        <v>24</v>
      </c>
      <c r="H247" s="22">
        <f>ROUND(RAND()*4+6,1)</f>
      </c>
      <c r="I247" s="20" t="s">
        <v>25</v>
      </c>
      <c r="J247" s="23">
        <f>ROUND(81*1,0)&amp;"%"</f>
      </c>
    </row>
    <row x14ac:dyDescent="0.25" r="248" customHeight="1" ht="17.25">
      <c r="A248" s="17" t="s">
        <v>3205</v>
      </c>
      <c r="B248" s="17" t="s">
        <v>408</v>
      </c>
      <c r="C248" s="17" t="s">
        <v>152</v>
      </c>
      <c r="D248" s="17" t="s">
        <v>28</v>
      </c>
      <c r="E248" s="18">
        <f>ROUND(17154*1.05,2)</f>
      </c>
      <c r="F248" s="17" t="s">
        <v>29</v>
      </c>
      <c r="G248" s="17" t="s">
        <v>30</v>
      </c>
      <c r="H248" s="18">
        <f>ROUND(RAND()*4+6,1)</f>
      </c>
      <c r="I248" s="17" t="s">
        <v>31</v>
      </c>
      <c r="J248" s="19">
        <f>ROUND(79*1,0)&amp;"%"</f>
      </c>
    </row>
    <row x14ac:dyDescent="0.25" r="249" customHeight="1" ht="17.25">
      <c r="A249" s="20" t="s">
        <v>3206</v>
      </c>
      <c r="B249" s="20" t="s">
        <v>410</v>
      </c>
      <c r="C249" s="20" t="s">
        <v>152</v>
      </c>
      <c r="D249" s="20" t="s">
        <v>34</v>
      </c>
      <c r="E249" s="21">
        <f>ROUND(6698*1.05,2)</f>
      </c>
      <c r="F249" s="20" t="s">
        <v>35</v>
      </c>
      <c r="G249" s="20" t="s">
        <v>18</v>
      </c>
      <c r="H249" s="21">
        <f>ROUND(RAND()*4+6,1)</f>
      </c>
      <c r="I249" s="20" t="s">
        <v>36</v>
      </c>
      <c r="J249" s="23">
        <f>ROUND(77*1,0)&amp;"%"</f>
      </c>
    </row>
    <row x14ac:dyDescent="0.25" r="250" customHeight="1" ht="17.25">
      <c r="A250" s="17" t="s">
        <v>3207</v>
      </c>
      <c r="B250" s="17" t="s">
        <v>412</v>
      </c>
      <c r="C250" s="17" t="s">
        <v>152</v>
      </c>
      <c r="D250" s="17" t="s">
        <v>39</v>
      </c>
      <c r="E250" s="18">
        <f>ROUND(9984*1.05,2)</f>
      </c>
      <c r="F250" s="17" t="s">
        <v>40</v>
      </c>
      <c r="G250" s="17" t="s">
        <v>24</v>
      </c>
      <c r="H250" s="18">
        <f>ROUND(RAND()*4+6,1)</f>
      </c>
      <c r="I250" s="17" t="s">
        <v>41</v>
      </c>
      <c r="J250" s="19">
        <f>ROUND(70*1,0)&amp;"%"</f>
      </c>
    </row>
    <row x14ac:dyDescent="0.25" r="251" customHeight="1" ht="17.25">
      <c r="A251" s="20" t="s">
        <v>3208</v>
      </c>
      <c r="B251" s="20" t="s">
        <v>414</v>
      </c>
      <c r="C251" s="20" t="s">
        <v>152</v>
      </c>
      <c r="D251" s="20" t="s">
        <v>67</v>
      </c>
      <c r="E251" s="21">
        <f>ROUND(4357*1.05,2)</f>
      </c>
      <c r="F251" s="20" t="s">
        <v>44</v>
      </c>
      <c r="G251" s="20" t="s">
        <v>30</v>
      </c>
      <c r="H251" s="21">
        <f>ROUND(RAND()*4+6,1)</f>
      </c>
      <c r="I251" s="20" t="s">
        <v>45</v>
      </c>
      <c r="J251" s="23">
        <f>ROUND(73*1,0)&amp;"%"</f>
      </c>
    </row>
    <row x14ac:dyDescent="0.25" r="252" customHeight="1" ht="17.25">
      <c r="A252" s="17" t="s">
        <v>3209</v>
      </c>
      <c r="B252" s="17" t="s">
        <v>416</v>
      </c>
      <c r="C252" s="17" t="s">
        <v>152</v>
      </c>
      <c r="D252" s="17" t="s">
        <v>16</v>
      </c>
      <c r="E252" s="18">
        <f>ROUND(12508*1.05,2)</f>
      </c>
      <c r="F252" s="17" t="s">
        <v>48</v>
      </c>
      <c r="G252" s="17" t="s">
        <v>18</v>
      </c>
      <c r="H252" s="18">
        <f>ROUND(RAND()*4+6,1)</f>
      </c>
      <c r="I252" s="17" t="s">
        <v>19</v>
      </c>
      <c r="J252" s="19">
        <f>ROUND(67*1,0)&amp;"%"</f>
      </c>
    </row>
    <row x14ac:dyDescent="0.25" r="253" customHeight="1" ht="17.25">
      <c r="A253" s="20" t="s">
        <v>3210</v>
      </c>
      <c r="B253" s="20" t="s">
        <v>418</v>
      </c>
      <c r="C253" s="20" t="s">
        <v>152</v>
      </c>
      <c r="D253" s="20" t="s">
        <v>22</v>
      </c>
      <c r="E253" s="21">
        <f>ROUND(5639*1.05,2)</f>
      </c>
      <c r="F253" s="20" t="s">
        <v>51</v>
      </c>
      <c r="G253" s="20" t="s">
        <v>24</v>
      </c>
      <c r="H253" s="21">
        <f>ROUND(RAND()*4+6,1)</f>
      </c>
      <c r="I253" s="20" t="s">
        <v>25</v>
      </c>
      <c r="J253" s="23">
        <f>ROUND(75*1,0)&amp;"%"</f>
      </c>
    </row>
    <row x14ac:dyDescent="0.25" r="254" customHeight="1" ht="17.25">
      <c r="A254" s="24" t="s">
        <v>419</v>
      </c>
      <c r="B254" s="24"/>
      <c r="C254" s="24"/>
      <c r="D254" s="24"/>
      <c r="E254" s="25">
        <v>8</v>
      </c>
      <c r="F254" s="9"/>
      <c r="G254" s="9"/>
      <c r="H254" s="10"/>
      <c r="I254" s="9"/>
      <c r="J254" s="9"/>
    </row>
    <row x14ac:dyDescent="0.25" r="255" customHeight="1" ht="17.25">
      <c r="A255" s="7"/>
      <c r="B255" s="7"/>
      <c r="C255" s="7"/>
      <c r="D255" s="7"/>
      <c r="E255" s="8"/>
      <c r="F255" s="9"/>
      <c r="G255" s="9"/>
      <c r="H255" s="10"/>
      <c r="I255" s="9"/>
      <c r="J255" s="9"/>
    </row>
    <row x14ac:dyDescent="0.25" r="256" customHeight="1" ht="17.25">
      <c r="A256" s="11" t="s">
        <v>3211</v>
      </c>
      <c r="B256" s="11"/>
      <c r="C256" s="11"/>
      <c r="D256" s="11"/>
      <c r="E256" s="12"/>
      <c r="F256" s="11"/>
      <c r="G256" s="11"/>
      <c r="H256" s="13"/>
      <c r="I256" s="11"/>
      <c r="J256" s="11"/>
    </row>
    <row x14ac:dyDescent="0.25" r="257" customHeight="1" ht="17.25">
      <c r="A257" s="14" t="s">
        <v>3</v>
      </c>
      <c r="B257" s="14" t="s">
        <v>4</v>
      </c>
      <c r="C257" s="14" t="s">
        <v>5</v>
      </c>
      <c r="D257" s="14" t="s">
        <v>6</v>
      </c>
      <c r="E257" s="15" t="s">
        <v>7</v>
      </c>
      <c r="F257" s="14" t="s">
        <v>8</v>
      </c>
      <c r="G257" s="14" t="s">
        <v>9</v>
      </c>
      <c r="H257" s="16" t="s">
        <v>10</v>
      </c>
      <c r="I257" s="14" t="s">
        <v>11</v>
      </c>
      <c r="J257" s="14" t="s">
        <v>12</v>
      </c>
    </row>
    <row x14ac:dyDescent="0.25" r="258" customHeight="1" ht="17.25">
      <c r="A258" s="17" t="s">
        <v>3212</v>
      </c>
      <c r="B258" s="17" t="s">
        <v>422</v>
      </c>
      <c r="C258" s="17" t="s">
        <v>15</v>
      </c>
      <c r="D258" s="17" t="s">
        <v>16</v>
      </c>
      <c r="E258" s="18">
        <f>ROUND(15402*1.05,2)</f>
      </c>
      <c r="F258" s="17" t="s">
        <v>17</v>
      </c>
      <c r="G258" s="17" t="s">
        <v>18</v>
      </c>
      <c r="H258" s="18">
        <f>ROUND(RAND()*4+6,1)</f>
      </c>
      <c r="I258" s="17" t="s">
        <v>19</v>
      </c>
      <c r="J258" s="19">
        <f>ROUND(71*1,0)&amp;"%"</f>
      </c>
    </row>
    <row x14ac:dyDescent="0.25" r="259" customHeight="1" ht="17.25">
      <c r="A259" s="20" t="s">
        <v>3213</v>
      </c>
      <c r="B259" s="20" t="s">
        <v>424</v>
      </c>
      <c r="C259" s="20" t="s">
        <v>15</v>
      </c>
      <c r="D259" s="20" t="s">
        <v>22</v>
      </c>
      <c r="E259" s="21">
        <f>ROUND(9694*1.05,2)</f>
      </c>
      <c r="F259" s="20" t="s">
        <v>23</v>
      </c>
      <c r="G259" s="20" t="s">
        <v>24</v>
      </c>
      <c r="H259" s="21">
        <f>ROUND(RAND()*4+6,1)</f>
      </c>
      <c r="I259" s="20" t="s">
        <v>25</v>
      </c>
      <c r="J259" s="23">
        <f>ROUND(98*1,0)&amp;"%"</f>
      </c>
    </row>
    <row x14ac:dyDescent="0.25" r="260" customHeight="1" ht="17.25">
      <c r="A260" s="17" t="s">
        <v>3214</v>
      </c>
      <c r="B260" s="17" t="s">
        <v>426</v>
      </c>
      <c r="C260" s="17" t="s">
        <v>15</v>
      </c>
      <c r="D260" s="17" t="s">
        <v>28</v>
      </c>
      <c r="E260" s="18">
        <f>ROUND(11693*1.05,2)</f>
      </c>
      <c r="F260" s="17" t="s">
        <v>29</v>
      </c>
      <c r="G260" s="17" t="s">
        <v>30</v>
      </c>
      <c r="H260" s="18">
        <f>ROUND(RAND()*4+6,1)</f>
      </c>
      <c r="I260" s="17" t="s">
        <v>31</v>
      </c>
      <c r="J260" s="19">
        <f>ROUND(60*1,0)&amp;"%"</f>
      </c>
    </row>
    <row x14ac:dyDescent="0.25" r="261" customHeight="1" ht="17.25">
      <c r="A261" s="20" t="s">
        <v>3215</v>
      </c>
      <c r="B261" s="20" t="s">
        <v>428</v>
      </c>
      <c r="C261" s="20" t="s">
        <v>15</v>
      </c>
      <c r="D261" s="20" t="s">
        <v>34</v>
      </c>
      <c r="E261" s="21">
        <f>ROUND(16183*1.05,2)</f>
      </c>
      <c r="F261" s="20" t="s">
        <v>35</v>
      </c>
      <c r="G261" s="20" t="s">
        <v>18</v>
      </c>
      <c r="H261" s="21">
        <f>ROUND(RAND()*4+6,1)</f>
      </c>
      <c r="I261" s="20" t="s">
        <v>36</v>
      </c>
      <c r="J261" s="23">
        <f>ROUND(68*1,0)&amp;"%"</f>
      </c>
    </row>
    <row x14ac:dyDescent="0.25" r="262" customHeight="1" ht="17.25">
      <c r="A262" s="17" t="s">
        <v>3216</v>
      </c>
      <c r="B262" s="17" t="s">
        <v>430</v>
      </c>
      <c r="C262" s="17" t="s">
        <v>15</v>
      </c>
      <c r="D262" s="17" t="s">
        <v>39</v>
      </c>
      <c r="E262" s="18">
        <f>ROUND(12445*1.05,2)</f>
      </c>
      <c r="F262" s="17" t="s">
        <v>40</v>
      </c>
      <c r="G262" s="17" t="s">
        <v>24</v>
      </c>
      <c r="H262" s="18">
        <f>ROUND(RAND()*4+6,1)</f>
      </c>
      <c r="I262" s="17" t="s">
        <v>41</v>
      </c>
      <c r="J262" s="19">
        <f>ROUND(91*1,0)&amp;"%"</f>
      </c>
    </row>
    <row x14ac:dyDescent="0.25" r="263" customHeight="1" ht="17.25">
      <c r="A263" s="20" t="s">
        <v>3217</v>
      </c>
      <c r="B263" s="20" t="s">
        <v>432</v>
      </c>
      <c r="C263" s="20" t="s">
        <v>15</v>
      </c>
      <c r="D263" s="20" t="s">
        <v>67</v>
      </c>
      <c r="E263" s="21">
        <f>ROUND(4681*1.05,2)</f>
      </c>
      <c r="F263" s="20" t="s">
        <v>44</v>
      </c>
      <c r="G263" s="20" t="s">
        <v>30</v>
      </c>
      <c r="H263" s="21">
        <f>ROUND(RAND()*4+6,1)</f>
      </c>
      <c r="I263" s="20" t="s">
        <v>45</v>
      </c>
      <c r="J263" s="23">
        <f>ROUND(99*1,0)&amp;"%"</f>
      </c>
    </row>
    <row x14ac:dyDescent="0.25" r="264" customHeight="1" ht="17.25">
      <c r="A264" s="17" t="s">
        <v>3218</v>
      </c>
      <c r="B264" s="17" t="s">
        <v>434</v>
      </c>
      <c r="C264" s="17" t="s">
        <v>15</v>
      </c>
      <c r="D264" s="17" t="s">
        <v>16</v>
      </c>
      <c r="E264" s="18">
        <f>ROUND(14607*1.05,2)</f>
      </c>
      <c r="F264" s="17" t="s">
        <v>48</v>
      </c>
      <c r="G264" s="17" t="s">
        <v>18</v>
      </c>
      <c r="H264" s="18">
        <f>ROUND(RAND()*4+6,1)</f>
      </c>
      <c r="I264" s="17" t="s">
        <v>19</v>
      </c>
      <c r="J264" s="19">
        <f>ROUND(66*1,0)&amp;"%"</f>
      </c>
    </row>
    <row x14ac:dyDescent="0.25" r="265" customHeight="1" ht="17.25">
      <c r="A265" s="20" t="s">
        <v>3219</v>
      </c>
      <c r="B265" s="20" t="s">
        <v>436</v>
      </c>
      <c r="C265" s="20" t="s">
        <v>15</v>
      </c>
      <c r="D265" s="20" t="s">
        <v>22</v>
      </c>
      <c r="E265" s="21">
        <f>ROUND(10506*1.05,2)</f>
      </c>
      <c r="F265" s="20" t="s">
        <v>51</v>
      </c>
      <c r="G265" s="20" t="s">
        <v>24</v>
      </c>
      <c r="H265" s="21">
        <f>ROUND(RAND()*4+6,1)</f>
      </c>
      <c r="I265" s="20" t="s">
        <v>25</v>
      </c>
      <c r="J265" s="23">
        <f>ROUND(78*1,0)&amp;"%"</f>
      </c>
    </row>
    <row x14ac:dyDescent="0.25" r="266" customHeight="1" ht="17.25">
      <c r="A266" s="24" t="s">
        <v>437</v>
      </c>
      <c r="B266" s="24"/>
      <c r="C266" s="24"/>
      <c r="D266" s="24"/>
      <c r="E266" s="25">
        <v>8</v>
      </c>
      <c r="F266" s="9"/>
      <c r="G266" s="9"/>
      <c r="H266" s="10"/>
      <c r="I266" s="9"/>
      <c r="J266" s="9"/>
    </row>
    <row x14ac:dyDescent="0.25" r="267" customHeight="1" ht="17.25">
      <c r="A267" s="7"/>
      <c r="B267" s="7"/>
      <c r="C267" s="7"/>
      <c r="D267" s="7"/>
      <c r="E267" s="8"/>
      <c r="F267" s="9"/>
      <c r="G267" s="9"/>
      <c r="H267" s="10"/>
      <c r="I267" s="9"/>
      <c r="J267" s="9"/>
    </row>
    <row x14ac:dyDescent="0.25" r="268" customHeight="1" ht="17.25">
      <c r="A268" s="11" t="s">
        <v>3220</v>
      </c>
      <c r="B268" s="11"/>
      <c r="C268" s="11"/>
      <c r="D268" s="11"/>
      <c r="E268" s="12"/>
      <c r="F268" s="11"/>
      <c r="G268" s="11"/>
      <c r="H268" s="13"/>
      <c r="I268" s="11"/>
      <c r="J268" s="11"/>
    </row>
    <row x14ac:dyDescent="0.25" r="269" customHeight="1" ht="17.25">
      <c r="A269" s="14" t="s">
        <v>3</v>
      </c>
      <c r="B269" s="14" t="s">
        <v>4</v>
      </c>
      <c r="C269" s="14" t="s">
        <v>5</v>
      </c>
      <c r="D269" s="14" t="s">
        <v>6</v>
      </c>
      <c r="E269" s="15" t="s">
        <v>7</v>
      </c>
      <c r="F269" s="14" t="s">
        <v>8</v>
      </c>
      <c r="G269" s="14" t="s">
        <v>9</v>
      </c>
      <c r="H269" s="16" t="s">
        <v>10</v>
      </c>
      <c r="I269" s="14" t="s">
        <v>11</v>
      </c>
      <c r="J269" s="14" t="s">
        <v>12</v>
      </c>
    </row>
    <row x14ac:dyDescent="0.25" r="270" customHeight="1" ht="17.25">
      <c r="A270" s="17" t="s">
        <v>3221</v>
      </c>
      <c r="B270" s="17" t="s">
        <v>440</v>
      </c>
      <c r="C270" s="17" t="s">
        <v>56</v>
      </c>
      <c r="D270" s="17" t="s">
        <v>16</v>
      </c>
      <c r="E270" s="18">
        <f>ROUND(6251*1.05,2)</f>
      </c>
      <c r="F270" s="17" t="s">
        <v>17</v>
      </c>
      <c r="G270" s="17" t="s">
        <v>18</v>
      </c>
      <c r="H270" s="18">
        <f>ROUND(RAND()*4+6,1)</f>
      </c>
      <c r="I270" s="17" t="s">
        <v>19</v>
      </c>
      <c r="J270" s="19">
        <f>ROUND(91*1,0)&amp;"%"</f>
      </c>
    </row>
    <row x14ac:dyDescent="0.25" r="271" customHeight="1" ht="17.25">
      <c r="A271" s="20" t="s">
        <v>3222</v>
      </c>
      <c r="B271" s="20" t="s">
        <v>442</v>
      </c>
      <c r="C271" s="20" t="s">
        <v>56</v>
      </c>
      <c r="D271" s="20" t="s">
        <v>22</v>
      </c>
      <c r="E271" s="21">
        <f>ROUND(10929*1.05,2)</f>
      </c>
      <c r="F271" s="20" t="s">
        <v>23</v>
      </c>
      <c r="G271" s="20" t="s">
        <v>24</v>
      </c>
      <c r="H271" s="21">
        <f>ROUND(RAND()*4+6,1)</f>
      </c>
      <c r="I271" s="20" t="s">
        <v>25</v>
      </c>
      <c r="J271" s="23">
        <f>ROUND(82*1,0)&amp;"%"</f>
      </c>
    </row>
    <row x14ac:dyDescent="0.25" r="272" customHeight="1" ht="17.25">
      <c r="A272" s="17" t="s">
        <v>3223</v>
      </c>
      <c r="B272" s="17" t="s">
        <v>444</v>
      </c>
      <c r="C272" s="17" t="s">
        <v>56</v>
      </c>
      <c r="D272" s="17" t="s">
        <v>28</v>
      </c>
      <c r="E272" s="18">
        <f>ROUND(17133*1.05,2)</f>
      </c>
      <c r="F272" s="17" t="s">
        <v>29</v>
      </c>
      <c r="G272" s="17" t="s">
        <v>30</v>
      </c>
      <c r="H272" s="18">
        <f>ROUND(RAND()*4+6,1)</f>
      </c>
      <c r="I272" s="17" t="s">
        <v>31</v>
      </c>
      <c r="J272" s="19">
        <f>ROUND(66*1,0)&amp;"%"</f>
      </c>
    </row>
    <row x14ac:dyDescent="0.25" r="273" customHeight="1" ht="17.25">
      <c r="A273" s="20" t="s">
        <v>3224</v>
      </c>
      <c r="B273" s="20" t="s">
        <v>446</v>
      </c>
      <c r="C273" s="20" t="s">
        <v>56</v>
      </c>
      <c r="D273" s="20" t="s">
        <v>34</v>
      </c>
      <c r="E273" s="21">
        <f>ROUND(4188*1.05,2)</f>
      </c>
      <c r="F273" s="20" t="s">
        <v>35</v>
      </c>
      <c r="G273" s="20" t="s">
        <v>18</v>
      </c>
      <c r="H273" s="21">
        <f>ROUND(RAND()*4+6,1)</f>
      </c>
      <c r="I273" s="20" t="s">
        <v>36</v>
      </c>
      <c r="J273" s="23">
        <f>ROUND(67*1,0)&amp;"%"</f>
      </c>
    </row>
    <row x14ac:dyDescent="0.25" r="274" customHeight="1" ht="17.25">
      <c r="A274" s="17" t="s">
        <v>3225</v>
      </c>
      <c r="B274" s="17" t="s">
        <v>448</v>
      </c>
      <c r="C274" s="17" t="s">
        <v>56</v>
      </c>
      <c r="D274" s="17" t="s">
        <v>39</v>
      </c>
      <c r="E274" s="18">
        <f>ROUND(8883*1.05,2)</f>
      </c>
      <c r="F274" s="17" t="s">
        <v>40</v>
      </c>
      <c r="G274" s="17" t="s">
        <v>24</v>
      </c>
      <c r="H274" s="26">
        <f>ROUND(RAND()*4+6,1)</f>
      </c>
      <c r="I274" s="17" t="s">
        <v>41</v>
      </c>
      <c r="J274" s="19">
        <f>ROUND(92*1,0)&amp;"%"</f>
      </c>
    </row>
    <row x14ac:dyDescent="0.25" r="275" customHeight="1" ht="17.25">
      <c r="A275" s="20" t="s">
        <v>3226</v>
      </c>
      <c r="B275" s="20" t="s">
        <v>450</v>
      </c>
      <c r="C275" s="20" t="s">
        <v>56</v>
      </c>
      <c r="D275" s="20" t="s">
        <v>67</v>
      </c>
      <c r="E275" s="22">
        <f>ROUND(5620*1.05,2)</f>
      </c>
      <c r="F275" s="20" t="s">
        <v>44</v>
      </c>
      <c r="G275" s="20" t="s">
        <v>30</v>
      </c>
      <c r="H275" s="21">
        <f>ROUND(RAND()*4+6,1)</f>
      </c>
      <c r="I275" s="20" t="s">
        <v>45</v>
      </c>
      <c r="J275" s="23">
        <f>ROUND(95*1,0)&amp;"%"</f>
      </c>
    </row>
    <row x14ac:dyDescent="0.25" r="276" customHeight="1" ht="17.25">
      <c r="A276" s="17" t="s">
        <v>3227</v>
      </c>
      <c r="B276" s="17" t="s">
        <v>452</v>
      </c>
      <c r="C276" s="17" t="s">
        <v>56</v>
      </c>
      <c r="D276" s="17" t="s">
        <v>16</v>
      </c>
      <c r="E276" s="18">
        <f>ROUND(13017*1.05,2)</f>
      </c>
      <c r="F276" s="17" t="s">
        <v>48</v>
      </c>
      <c r="G276" s="17" t="s">
        <v>18</v>
      </c>
      <c r="H276" s="18">
        <f>ROUND(RAND()*4+6,1)</f>
      </c>
      <c r="I276" s="17" t="s">
        <v>19</v>
      </c>
      <c r="J276" s="19">
        <f>ROUND(88*1,0)&amp;"%"</f>
      </c>
    </row>
    <row x14ac:dyDescent="0.25" r="277" customHeight="1" ht="17.25">
      <c r="A277" s="20" t="s">
        <v>3228</v>
      </c>
      <c r="B277" s="20" t="s">
        <v>454</v>
      </c>
      <c r="C277" s="20" t="s">
        <v>56</v>
      </c>
      <c r="D277" s="20" t="s">
        <v>22</v>
      </c>
      <c r="E277" s="21">
        <f>ROUND(7165*1.05,2)</f>
      </c>
      <c r="F277" s="20" t="s">
        <v>51</v>
      </c>
      <c r="G277" s="20" t="s">
        <v>24</v>
      </c>
      <c r="H277" s="21">
        <f>ROUND(RAND()*4+6,1)</f>
      </c>
      <c r="I277" s="20" t="s">
        <v>25</v>
      </c>
      <c r="J277" s="23">
        <f>ROUND(86*1,0)&amp;"%"</f>
      </c>
    </row>
    <row x14ac:dyDescent="0.25" r="278" customHeight="1" ht="17.25">
      <c r="A278" s="24" t="s">
        <v>455</v>
      </c>
      <c r="B278" s="24"/>
      <c r="C278" s="24"/>
      <c r="D278" s="24"/>
      <c r="E278" s="25">
        <v>8</v>
      </c>
      <c r="F278" s="9"/>
      <c r="G278" s="9"/>
      <c r="H278" s="10"/>
      <c r="I278" s="9"/>
      <c r="J278" s="9"/>
    </row>
    <row x14ac:dyDescent="0.25" r="279" customHeight="1" ht="17.25">
      <c r="A279" s="7"/>
      <c r="B279" s="7"/>
      <c r="C279" s="7"/>
      <c r="D279" s="7"/>
      <c r="E279" s="8"/>
      <c r="F279" s="9"/>
      <c r="G279" s="9"/>
      <c r="H279" s="10"/>
      <c r="I279" s="9"/>
      <c r="J279" s="9"/>
    </row>
    <row x14ac:dyDescent="0.25" r="280" customHeight="1" ht="17.25">
      <c r="A280" s="11" t="s">
        <v>3229</v>
      </c>
      <c r="B280" s="11"/>
      <c r="C280" s="11"/>
      <c r="D280" s="11"/>
      <c r="E280" s="12"/>
      <c r="F280" s="11"/>
      <c r="G280" s="11"/>
      <c r="H280" s="13"/>
      <c r="I280" s="11"/>
      <c r="J280" s="11"/>
    </row>
    <row x14ac:dyDescent="0.25" r="281" customHeight="1" ht="17.25">
      <c r="A281" s="14" t="s">
        <v>3</v>
      </c>
      <c r="B281" s="14" t="s">
        <v>4</v>
      </c>
      <c r="C281" s="14" t="s">
        <v>5</v>
      </c>
      <c r="D281" s="14" t="s">
        <v>6</v>
      </c>
      <c r="E281" s="15" t="s">
        <v>7</v>
      </c>
      <c r="F281" s="14" t="s">
        <v>8</v>
      </c>
      <c r="G281" s="14" t="s">
        <v>9</v>
      </c>
      <c r="H281" s="16" t="s">
        <v>10</v>
      </c>
      <c r="I281" s="14" t="s">
        <v>11</v>
      </c>
      <c r="J281" s="14" t="s">
        <v>12</v>
      </c>
    </row>
    <row x14ac:dyDescent="0.25" r="282" customHeight="1" ht="17.25">
      <c r="A282" s="17" t="s">
        <v>3230</v>
      </c>
      <c r="B282" s="17" t="s">
        <v>458</v>
      </c>
      <c r="C282" s="17" t="s">
        <v>76</v>
      </c>
      <c r="D282" s="17" t="s">
        <v>16</v>
      </c>
      <c r="E282" s="18">
        <f>ROUND(4439*1.05,2)</f>
      </c>
      <c r="F282" s="17" t="s">
        <v>17</v>
      </c>
      <c r="G282" s="17" t="s">
        <v>18</v>
      </c>
      <c r="H282" s="26">
        <f>ROUND(RAND()*4+6,1)</f>
      </c>
      <c r="I282" s="17" t="s">
        <v>19</v>
      </c>
      <c r="J282" s="19">
        <f>ROUND(72*1,0)&amp;"%"</f>
      </c>
    </row>
    <row x14ac:dyDescent="0.25" r="283" customHeight="1" ht="17.25">
      <c r="A283" s="20" t="s">
        <v>3231</v>
      </c>
      <c r="B283" s="20" t="s">
        <v>460</v>
      </c>
      <c r="C283" s="20" t="s">
        <v>76</v>
      </c>
      <c r="D283" s="20" t="s">
        <v>22</v>
      </c>
      <c r="E283" s="21">
        <f>ROUND(5319*1.05,2)</f>
      </c>
      <c r="F283" s="20" t="s">
        <v>23</v>
      </c>
      <c r="G283" s="20" t="s">
        <v>24</v>
      </c>
      <c r="H283" s="21">
        <f>ROUND(RAND()*4+6,1)</f>
      </c>
      <c r="I283" s="20" t="s">
        <v>25</v>
      </c>
      <c r="J283" s="23">
        <f>ROUND(71*1,0)&amp;"%"</f>
      </c>
    </row>
    <row x14ac:dyDescent="0.25" r="284" customHeight="1" ht="17.25">
      <c r="A284" s="17" t="s">
        <v>3232</v>
      </c>
      <c r="B284" s="17" t="s">
        <v>462</v>
      </c>
      <c r="C284" s="17" t="s">
        <v>76</v>
      </c>
      <c r="D284" s="17" t="s">
        <v>28</v>
      </c>
      <c r="E284" s="18">
        <f>ROUND(15045*1.05,2)</f>
      </c>
      <c r="F284" s="17" t="s">
        <v>29</v>
      </c>
      <c r="G284" s="17" t="s">
        <v>30</v>
      </c>
      <c r="H284" s="18">
        <f>ROUND(RAND()*4+6,1)</f>
      </c>
      <c r="I284" s="17" t="s">
        <v>31</v>
      </c>
      <c r="J284" s="19">
        <f>ROUND(97*1,0)&amp;"%"</f>
      </c>
    </row>
    <row x14ac:dyDescent="0.25" r="285" customHeight="1" ht="17.25">
      <c r="A285" s="20" t="s">
        <v>3233</v>
      </c>
      <c r="B285" s="20" t="s">
        <v>464</v>
      </c>
      <c r="C285" s="20" t="s">
        <v>76</v>
      </c>
      <c r="D285" s="20" t="s">
        <v>34</v>
      </c>
      <c r="E285" s="21">
        <f>ROUND(12733*1.05,2)</f>
      </c>
      <c r="F285" s="20" t="s">
        <v>35</v>
      </c>
      <c r="G285" s="20" t="s">
        <v>18</v>
      </c>
      <c r="H285" s="21">
        <f>ROUND(RAND()*4+6,1)</f>
      </c>
      <c r="I285" s="20" t="s">
        <v>36</v>
      </c>
      <c r="J285" s="23">
        <f>ROUND(67*1,0)&amp;"%"</f>
      </c>
    </row>
    <row x14ac:dyDescent="0.25" r="286" customHeight="1" ht="17.25">
      <c r="A286" s="17" t="s">
        <v>3234</v>
      </c>
      <c r="B286" s="17" t="s">
        <v>466</v>
      </c>
      <c r="C286" s="17" t="s">
        <v>76</v>
      </c>
      <c r="D286" s="17" t="s">
        <v>39</v>
      </c>
      <c r="E286" s="18">
        <f>ROUND(15918*1.05,2)</f>
      </c>
      <c r="F286" s="17" t="s">
        <v>40</v>
      </c>
      <c r="G286" s="17" t="s">
        <v>24</v>
      </c>
      <c r="H286" s="18">
        <f>ROUND(RAND()*4+6,1)</f>
      </c>
      <c r="I286" s="17" t="s">
        <v>41</v>
      </c>
      <c r="J286" s="19">
        <f>ROUND(94*1,0)&amp;"%"</f>
      </c>
    </row>
    <row x14ac:dyDescent="0.25" r="287" customHeight="1" ht="17.25">
      <c r="A287" s="20" t="s">
        <v>3235</v>
      </c>
      <c r="B287" s="20" t="s">
        <v>468</v>
      </c>
      <c r="C287" s="20" t="s">
        <v>76</v>
      </c>
      <c r="D287" s="20" t="s">
        <v>67</v>
      </c>
      <c r="E287" s="21">
        <f>ROUND(12098*1.05,2)</f>
      </c>
      <c r="F287" s="20" t="s">
        <v>44</v>
      </c>
      <c r="G287" s="20" t="s">
        <v>30</v>
      </c>
      <c r="H287" s="21">
        <f>ROUND(RAND()*4+6,1)</f>
      </c>
      <c r="I287" s="20" t="s">
        <v>45</v>
      </c>
      <c r="J287" s="23">
        <f>ROUND(82*1,0)&amp;"%"</f>
      </c>
    </row>
    <row x14ac:dyDescent="0.25" r="288" customHeight="1" ht="17.25">
      <c r="A288" s="17" t="s">
        <v>3236</v>
      </c>
      <c r="B288" s="17" t="s">
        <v>470</v>
      </c>
      <c r="C288" s="17" t="s">
        <v>76</v>
      </c>
      <c r="D288" s="17" t="s">
        <v>16</v>
      </c>
      <c r="E288" s="18">
        <f>ROUND(16119*1.05,2)</f>
      </c>
      <c r="F288" s="17" t="s">
        <v>48</v>
      </c>
      <c r="G288" s="17" t="s">
        <v>18</v>
      </c>
      <c r="H288" s="18">
        <f>ROUND(RAND()*4+6,1)</f>
      </c>
      <c r="I288" s="17" t="s">
        <v>19</v>
      </c>
      <c r="J288" s="19">
        <f>ROUND(74*1,0)&amp;"%"</f>
      </c>
    </row>
    <row x14ac:dyDescent="0.25" r="289" customHeight="1" ht="17.25">
      <c r="A289" s="20" t="s">
        <v>3237</v>
      </c>
      <c r="B289" s="20" t="s">
        <v>472</v>
      </c>
      <c r="C289" s="20" t="s">
        <v>76</v>
      </c>
      <c r="D289" s="20" t="s">
        <v>22</v>
      </c>
      <c r="E289" s="22">
        <f>ROUND(16140*1.05,2)</f>
      </c>
      <c r="F289" s="20" t="s">
        <v>51</v>
      </c>
      <c r="G289" s="20" t="s">
        <v>24</v>
      </c>
      <c r="H289" s="21">
        <f>ROUND(RAND()*4+6,1)</f>
      </c>
      <c r="I289" s="20" t="s">
        <v>25</v>
      </c>
      <c r="J289" s="23">
        <f>ROUND(100*1,0)&amp;"%"</f>
      </c>
    </row>
    <row x14ac:dyDescent="0.25" r="290" customHeight="1" ht="17.25">
      <c r="A290" s="24" t="s">
        <v>473</v>
      </c>
      <c r="B290" s="24"/>
      <c r="C290" s="24"/>
      <c r="D290" s="24"/>
      <c r="E290" s="25">
        <v>8</v>
      </c>
      <c r="F290" s="9"/>
      <c r="G290" s="9"/>
      <c r="H290" s="10"/>
      <c r="I290" s="9"/>
      <c r="J290" s="9"/>
    </row>
    <row x14ac:dyDescent="0.25" r="291" customHeight="1" ht="17.25">
      <c r="A291" s="7"/>
      <c r="B291" s="7"/>
      <c r="C291" s="7"/>
      <c r="D291" s="7"/>
      <c r="E291" s="8"/>
      <c r="F291" s="9"/>
      <c r="G291" s="9"/>
      <c r="H291" s="10"/>
      <c r="I291" s="9"/>
      <c r="J291" s="9"/>
    </row>
    <row x14ac:dyDescent="0.25" r="292" customHeight="1" ht="17.25">
      <c r="A292" s="11" t="s">
        <v>3238</v>
      </c>
      <c r="B292" s="11"/>
      <c r="C292" s="11"/>
      <c r="D292" s="11"/>
      <c r="E292" s="12"/>
      <c r="F292" s="11"/>
      <c r="G292" s="11"/>
      <c r="H292" s="13"/>
      <c r="I292" s="11"/>
      <c r="J292" s="11"/>
    </row>
    <row x14ac:dyDescent="0.25" r="293" customHeight="1" ht="17.25">
      <c r="A293" s="14" t="s">
        <v>3</v>
      </c>
      <c r="B293" s="14" t="s">
        <v>4</v>
      </c>
      <c r="C293" s="14" t="s">
        <v>5</v>
      </c>
      <c r="D293" s="14" t="s">
        <v>6</v>
      </c>
      <c r="E293" s="15" t="s">
        <v>7</v>
      </c>
      <c r="F293" s="14" t="s">
        <v>8</v>
      </c>
      <c r="G293" s="14" t="s">
        <v>9</v>
      </c>
      <c r="H293" s="16" t="s">
        <v>10</v>
      </c>
      <c r="I293" s="14" t="s">
        <v>11</v>
      </c>
      <c r="J293" s="14" t="s">
        <v>12</v>
      </c>
    </row>
    <row x14ac:dyDescent="0.25" r="294" customHeight="1" ht="17.25">
      <c r="A294" s="17" t="s">
        <v>3239</v>
      </c>
      <c r="B294" s="17" t="s">
        <v>476</v>
      </c>
      <c r="C294" s="17" t="s">
        <v>95</v>
      </c>
      <c r="D294" s="17" t="s">
        <v>16</v>
      </c>
      <c r="E294" s="18">
        <f>ROUND(14096*1.05,2)</f>
      </c>
      <c r="F294" s="17" t="s">
        <v>17</v>
      </c>
      <c r="G294" s="17" t="s">
        <v>18</v>
      </c>
      <c r="H294" s="18">
        <f>ROUND(RAND()*4+6,1)</f>
      </c>
      <c r="I294" s="17" t="s">
        <v>19</v>
      </c>
      <c r="J294" s="19">
        <f>ROUND(66*1,0)&amp;"%"</f>
      </c>
    </row>
    <row x14ac:dyDescent="0.25" r="295" customHeight="1" ht="17.25">
      <c r="A295" s="20" t="s">
        <v>3240</v>
      </c>
      <c r="B295" s="20" t="s">
        <v>478</v>
      </c>
      <c r="C295" s="20" t="s">
        <v>95</v>
      </c>
      <c r="D295" s="20" t="s">
        <v>22</v>
      </c>
      <c r="E295" s="21">
        <f>ROUND(14910*1.05,2)</f>
      </c>
      <c r="F295" s="20" t="s">
        <v>23</v>
      </c>
      <c r="G295" s="20" t="s">
        <v>24</v>
      </c>
      <c r="H295" s="21">
        <f>ROUND(RAND()*4+6,1)</f>
      </c>
      <c r="I295" s="20" t="s">
        <v>25</v>
      </c>
      <c r="J295" s="23">
        <f>ROUND(74*1,0)&amp;"%"</f>
      </c>
    </row>
    <row x14ac:dyDescent="0.25" r="296" customHeight="1" ht="17.25">
      <c r="A296" s="17" t="s">
        <v>3241</v>
      </c>
      <c r="B296" s="17" t="s">
        <v>480</v>
      </c>
      <c r="C296" s="17" t="s">
        <v>95</v>
      </c>
      <c r="D296" s="17" t="s">
        <v>28</v>
      </c>
      <c r="E296" s="18">
        <f>ROUND(7582*1.05,2)</f>
      </c>
      <c r="F296" s="17" t="s">
        <v>29</v>
      </c>
      <c r="G296" s="17" t="s">
        <v>30</v>
      </c>
      <c r="H296" s="18">
        <f>ROUND(RAND()*4+6,1)</f>
      </c>
      <c r="I296" s="17" t="s">
        <v>31</v>
      </c>
      <c r="J296" s="19">
        <f>ROUND(77*1,0)&amp;"%"</f>
      </c>
    </row>
    <row x14ac:dyDescent="0.25" r="297" customHeight="1" ht="17.25">
      <c r="A297" s="20" t="s">
        <v>3242</v>
      </c>
      <c r="B297" s="20" t="s">
        <v>482</v>
      </c>
      <c r="C297" s="20" t="s">
        <v>95</v>
      </c>
      <c r="D297" s="20" t="s">
        <v>34</v>
      </c>
      <c r="E297" s="21">
        <f>ROUND(17102*1.05,2)</f>
      </c>
      <c r="F297" s="20" t="s">
        <v>35</v>
      </c>
      <c r="G297" s="20" t="s">
        <v>18</v>
      </c>
      <c r="H297" s="21">
        <f>ROUND(RAND()*4+6,1)</f>
      </c>
      <c r="I297" s="20" t="s">
        <v>36</v>
      </c>
      <c r="J297" s="23">
        <f>ROUND(80*1,0)&amp;"%"</f>
      </c>
    </row>
    <row x14ac:dyDescent="0.25" r="298" customHeight="1" ht="17.25">
      <c r="A298" s="17" t="s">
        <v>3243</v>
      </c>
      <c r="B298" s="17" t="s">
        <v>484</v>
      </c>
      <c r="C298" s="17" t="s">
        <v>95</v>
      </c>
      <c r="D298" s="17" t="s">
        <v>39</v>
      </c>
      <c r="E298" s="18">
        <f>ROUND(10045*1.05,2)</f>
      </c>
      <c r="F298" s="17" t="s">
        <v>40</v>
      </c>
      <c r="G298" s="17" t="s">
        <v>24</v>
      </c>
      <c r="H298" s="18">
        <f>ROUND(RAND()*4+6,1)</f>
      </c>
      <c r="I298" s="17" t="s">
        <v>41</v>
      </c>
      <c r="J298" s="19">
        <f>ROUND(83*1,0)&amp;"%"</f>
      </c>
    </row>
    <row x14ac:dyDescent="0.25" r="299" customHeight="1" ht="17.25">
      <c r="A299" s="20" t="s">
        <v>3244</v>
      </c>
      <c r="B299" s="20" t="s">
        <v>486</v>
      </c>
      <c r="C299" s="20" t="s">
        <v>95</v>
      </c>
      <c r="D299" s="20" t="s">
        <v>67</v>
      </c>
      <c r="E299" s="21">
        <f>ROUND(12907*1.05,2)</f>
      </c>
      <c r="F299" s="20" t="s">
        <v>44</v>
      </c>
      <c r="G299" s="20" t="s">
        <v>30</v>
      </c>
      <c r="H299" s="21">
        <f>ROUND(RAND()*4+6,1)</f>
      </c>
      <c r="I299" s="20" t="s">
        <v>45</v>
      </c>
      <c r="J299" s="23">
        <f>ROUND(92*1,0)&amp;"%"</f>
      </c>
    </row>
    <row x14ac:dyDescent="0.25" r="300" customHeight="1" ht="17.25">
      <c r="A300" s="17" t="s">
        <v>3245</v>
      </c>
      <c r="B300" s="17" t="s">
        <v>488</v>
      </c>
      <c r="C300" s="17" t="s">
        <v>95</v>
      </c>
      <c r="D300" s="17" t="s">
        <v>16</v>
      </c>
      <c r="E300" s="26">
        <f>ROUND(16960*1.05,2)</f>
      </c>
      <c r="F300" s="17" t="s">
        <v>48</v>
      </c>
      <c r="G300" s="17" t="s">
        <v>18</v>
      </c>
      <c r="H300" s="18">
        <f>ROUND(RAND()*4+6,1)</f>
      </c>
      <c r="I300" s="17" t="s">
        <v>19</v>
      </c>
      <c r="J300" s="19">
        <f>ROUND(97*1,0)&amp;"%"</f>
      </c>
    </row>
    <row x14ac:dyDescent="0.25" r="301" customHeight="1" ht="17.25">
      <c r="A301" s="20" t="s">
        <v>3246</v>
      </c>
      <c r="B301" s="20" t="s">
        <v>490</v>
      </c>
      <c r="C301" s="20" t="s">
        <v>95</v>
      </c>
      <c r="D301" s="20" t="s">
        <v>22</v>
      </c>
      <c r="E301" s="21">
        <f>ROUND(10273*1.05,2)</f>
      </c>
      <c r="F301" s="20" t="s">
        <v>51</v>
      </c>
      <c r="G301" s="20" t="s">
        <v>24</v>
      </c>
      <c r="H301" s="22">
        <f>ROUND(RAND()*4+6,1)</f>
      </c>
      <c r="I301" s="20" t="s">
        <v>25</v>
      </c>
      <c r="J301" s="23">
        <f>ROUND(77*1,0)&amp;"%"</f>
      </c>
    </row>
    <row x14ac:dyDescent="0.25" r="302" customHeight="1" ht="17.25">
      <c r="A302" s="24" t="s">
        <v>491</v>
      </c>
      <c r="B302" s="24"/>
      <c r="C302" s="24"/>
      <c r="D302" s="24"/>
      <c r="E302" s="25">
        <v>8</v>
      </c>
      <c r="F302" s="9"/>
      <c r="G302" s="9"/>
      <c r="H302" s="10"/>
      <c r="I302" s="9"/>
      <c r="J302" s="9"/>
    </row>
    <row x14ac:dyDescent="0.25" r="303" customHeight="1" ht="17.25">
      <c r="A303" s="7"/>
      <c r="B303" s="7"/>
      <c r="C303" s="7"/>
      <c r="D303" s="7"/>
      <c r="E303" s="8"/>
      <c r="F303" s="9"/>
      <c r="G303" s="9"/>
      <c r="H303" s="10"/>
      <c r="I303" s="9"/>
      <c r="J303" s="9"/>
    </row>
    <row x14ac:dyDescent="0.25" r="304" customHeight="1" ht="17.25">
      <c r="A304" s="11" t="s">
        <v>3247</v>
      </c>
      <c r="B304" s="11"/>
      <c r="C304" s="11"/>
      <c r="D304" s="11"/>
      <c r="E304" s="12"/>
      <c r="F304" s="11"/>
      <c r="G304" s="11"/>
      <c r="H304" s="13"/>
      <c r="I304" s="11"/>
      <c r="J304" s="11"/>
    </row>
    <row x14ac:dyDescent="0.25" r="305" customHeight="1" ht="17.25">
      <c r="A305" s="14" t="s">
        <v>3</v>
      </c>
      <c r="B305" s="14" t="s">
        <v>4</v>
      </c>
      <c r="C305" s="14" t="s">
        <v>5</v>
      </c>
      <c r="D305" s="14" t="s">
        <v>6</v>
      </c>
      <c r="E305" s="15" t="s">
        <v>7</v>
      </c>
      <c r="F305" s="14" t="s">
        <v>8</v>
      </c>
      <c r="G305" s="14" t="s">
        <v>9</v>
      </c>
      <c r="H305" s="16" t="s">
        <v>10</v>
      </c>
      <c r="I305" s="14" t="s">
        <v>11</v>
      </c>
      <c r="J305" s="14" t="s">
        <v>12</v>
      </c>
    </row>
    <row x14ac:dyDescent="0.25" r="306" customHeight="1" ht="17.25">
      <c r="A306" s="17" t="s">
        <v>3248</v>
      </c>
      <c r="B306" s="17" t="s">
        <v>494</v>
      </c>
      <c r="C306" s="17" t="s">
        <v>114</v>
      </c>
      <c r="D306" s="17" t="s">
        <v>16</v>
      </c>
      <c r="E306" s="18">
        <f>ROUND(6594*1.05,2)</f>
      </c>
      <c r="F306" s="17" t="s">
        <v>17</v>
      </c>
      <c r="G306" s="17" t="s">
        <v>18</v>
      </c>
      <c r="H306" s="18">
        <f>ROUND(RAND()*4+6,1)</f>
      </c>
      <c r="I306" s="17" t="s">
        <v>19</v>
      </c>
      <c r="J306" s="19">
        <f>ROUND(77*1,0)&amp;"%"</f>
      </c>
    </row>
    <row x14ac:dyDescent="0.25" r="307" customHeight="1" ht="17.25">
      <c r="A307" s="20" t="s">
        <v>3249</v>
      </c>
      <c r="B307" s="20" t="s">
        <v>496</v>
      </c>
      <c r="C307" s="20" t="s">
        <v>114</v>
      </c>
      <c r="D307" s="20" t="s">
        <v>22</v>
      </c>
      <c r="E307" s="21">
        <f>ROUND(10088*1.05,2)</f>
      </c>
      <c r="F307" s="20" t="s">
        <v>23</v>
      </c>
      <c r="G307" s="20" t="s">
        <v>24</v>
      </c>
      <c r="H307" s="21">
        <f>ROUND(RAND()*4+6,1)</f>
      </c>
      <c r="I307" s="20" t="s">
        <v>25</v>
      </c>
      <c r="J307" s="23">
        <f>ROUND(96*1,0)&amp;"%"</f>
      </c>
    </row>
    <row x14ac:dyDescent="0.25" r="308" customHeight="1" ht="17.25">
      <c r="A308" s="17" t="s">
        <v>3250</v>
      </c>
      <c r="B308" s="17" t="s">
        <v>498</v>
      </c>
      <c r="C308" s="17" t="s">
        <v>114</v>
      </c>
      <c r="D308" s="17" t="s">
        <v>28</v>
      </c>
      <c r="E308" s="18">
        <f>ROUND(7193*1.05,2)</f>
      </c>
      <c r="F308" s="17" t="s">
        <v>29</v>
      </c>
      <c r="G308" s="17" t="s">
        <v>30</v>
      </c>
      <c r="H308" s="18">
        <f>ROUND(RAND()*4+6,1)</f>
      </c>
      <c r="I308" s="17" t="s">
        <v>31</v>
      </c>
      <c r="J308" s="19">
        <f>ROUND(64*1,0)&amp;"%"</f>
      </c>
    </row>
    <row x14ac:dyDescent="0.25" r="309" customHeight="1" ht="17.25">
      <c r="A309" s="20" t="s">
        <v>3251</v>
      </c>
      <c r="B309" s="20" t="s">
        <v>500</v>
      </c>
      <c r="C309" s="20" t="s">
        <v>114</v>
      </c>
      <c r="D309" s="20" t="s">
        <v>34</v>
      </c>
      <c r="E309" s="21">
        <f>ROUND(4537*1.05,2)</f>
      </c>
      <c r="F309" s="20" t="s">
        <v>35</v>
      </c>
      <c r="G309" s="20" t="s">
        <v>18</v>
      </c>
      <c r="H309" s="21">
        <f>ROUND(RAND()*4+6,1)</f>
      </c>
      <c r="I309" s="20" t="s">
        <v>36</v>
      </c>
      <c r="J309" s="23">
        <f>ROUND(72*1,0)&amp;"%"</f>
      </c>
    </row>
    <row x14ac:dyDescent="0.25" r="310" customHeight="1" ht="17.25">
      <c r="A310" s="17" t="s">
        <v>3252</v>
      </c>
      <c r="B310" s="17" t="s">
        <v>502</v>
      </c>
      <c r="C310" s="17" t="s">
        <v>114</v>
      </c>
      <c r="D310" s="17" t="s">
        <v>39</v>
      </c>
      <c r="E310" s="18">
        <f>ROUND(6292*1.05,2)</f>
      </c>
      <c r="F310" s="17" t="s">
        <v>40</v>
      </c>
      <c r="G310" s="17" t="s">
        <v>24</v>
      </c>
      <c r="H310" s="18">
        <f>ROUND(RAND()*4+6,1)</f>
      </c>
      <c r="I310" s="17" t="s">
        <v>41</v>
      </c>
      <c r="J310" s="19">
        <f>ROUND(92*1,0)&amp;"%"</f>
      </c>
    </row>
    <row x14ac:dyDescent="0.25" r="311" customHeight="1" ht="17.25">
      <c r="A311" s="20" t="s">
        <v>3253</v>
      </c>
      <c r="B311" s="20" t="s">
        <v>504</v>
      </c>
      <c r="C311" s="20" t="s">
        <v>114</v>
      </c>
      <c r="D311" s="20" t="s">
        <v>67</v>
      </c>
      <c r="E311" s="21">
        <f>ROUND(5484*1.05,2)</f>
      </c>
      <c r="F311" s="20" t="s">
        <v>44</v>
      </c>
      <c r="G311" s="20" t="s">
        <v>30</v>
      </c>
      <c r="H311" s="21">
        <f>ROUND(RAND()*4+6,1)</f>
      </c>
      <c r="I311" s="20" t="s">
        <v>45</v>
      </c>
      <c r="J311" s="23">
        <f>ROUND(95*1,0)&amp;"%"</f>
      </c>
    </row>
    <row x14ac:dyDescent="0.25" r="312" customHeight="1" ht="17.25">
      <c r="A312" s="17" t="s">
        <v>3254</v>
      </c>
      <c r="B312" s="17" t="s">
        <v>506</v>
      </c>
      <c r="C312" s="17" t="s">
        <v>114</v>
      </c>
      <c r="D312" s="17" t="s">
        <v>16</v>
      </c>
      <c r="E312" s="18">
        <f>ROUND(17442*1.05,2)</f>
      </c>
      <c r="F312" s="17" t="s">
        <v>48</v>
      </c>
      <c r="G312" s="17" t="s">
        <v>18</v>
      </c>
      <c r="H312" s="18">
        <f>ROUND(RAND()*4+6,1)</f>
      </c>
      <c r="I312" s="17" t="s">
        <v>19</v>
      </c>
      <c r="J312" s="19">
        <f>ROUND(95*1,0)&amp;"%"</f>
      </c>
    </row>
    <row x14ac:dyDescent="0.25" r="313" customHeight="1" ht="17.25">
      <c r="A313" s="20" t="s">
        <v>3255</v>
      </c>
      <c r="B313" s="20" t="s">
        <v>508</v>
      </c>
      <c r="C313" s="20" t="s">
        <v>114</v>
      </c>
      <c r="D313" s="20" t="s">
        <v>22</v>
      </c>
      <c r="E313" s="21">
        <f>ROUND(5517*1.05,2)</f>
      </c>
      <c r="F313" s="20" t="s">
        <v>51</v>
      </c>
      <c r="G313" s="20" t="s">
        <v>24</v>
      </c>
      <c r="H313" s="21">
        <f>ROUND(RAND()*4+6,1)</f>
      </c>
      <c r="I313" s="20" t="s">
        <v>25</v>
      </c>
      <c r="J313" s="23">
        <f>ROUND(99*1,0)&amp;"%"</f>
      </c>
    </row>
    <row x14ac:dyDescent="0.25" r="314" customHeight="1" ht="17.25">
      <c r="A314" s="24" t="s">
        <v>509</v>
      </c>
      <c r="B314" s="24"/>
      <c r="C314" s="24"/>
      <c r="D314" s="24"/>
      <c r="E314" s="25">
        <v>8</v>
      </c>
      <c r="F314" s="9"/>
      <c r="G314" s="9"/>
      <c r="H314" s="10"/>
      <c r="I314" s="9"/>
      <c r="J314" s="9"/>
    </row>
    <row x14ac:dyDescent="0.25" r="315" customHeight="1" ht="17.25">
      <c r="A315" s="7"/>
      <c r="B315" s="7"/>
      <c r="C315" s="7"/>
      <c r="D315" s="7"/>
      <c r="E315" s="8"/>
      <c r="F315" s="9"/>
      <c r="G315" s="9"/>
      <c r="H315" s="10"/>
      <c r="I315" s="9"/>
      <c r="J315" s="9"/>
    </row>
    <row x14ac:dyDescent="0.25" r="316" customHeight="1" ht="17.25">
      <c r="A316" s="11" t="s">
        <v>3256</v>
      </c>
      <c r="B316" s="11"/>
      <c r="C316" s="11"/>
      <c r="D316" s="11"/>
      <c r="E316" s="12"/>
      <c r="F316" s="11"/>
      <c r="G316" s="11"/>
      <c r="H316" s="13"/>
      <c r="I316" s="11"/>
      <c r="J316" s="11"/>
    </row>
    <row x14ac:dyDescent="0.25" r="317" customHeight="1" ht="17.25">
      <c r="A317" s="14" t="s">
        <v>3</v>
      </c>
      <c r="B317" s="14" t="s">
        <v>4</v>
      </c>
      <c r="C317" s="14" t="s">
        <v>5</v>
      </c>
      <c r="D317" s="14" t="s">
        <v>6</v>
      </c>
      <c r="E317" s="15" t="s">
        <v>7</v>
      </c>
      <c r="F317" s="14" t="s">
        <v>8</v>
      </c>
      <c r="G317" s="14" t="s">
        <v>9</v>
      </c>
      <c r="H317" s="16" t="s">
        <v>10</v>
      </c>
      <c r="I317" s="14" t="s">
        <v>11</v>
      </c>
      <c r="J317" s="14" t="s">
        <v>12</v>
      </c>
    </row>
    <row x14ac:dyDescent="0.25" r="318" customHeight="1" ht="17.25">
      <c r="A318" s="17" t="s">
        <v>3257</v>
      </c>
      <c r="B318" s="17" t="s">
        <v>512</v>
      </c>
      <c r="C318" s="17" t="s">
        <v>133</v>
      </c>
      <c r="D318" s="17" t="s">
        <v>16</v>
      </c>
      <c r="E318" s="18">
        <f>ROUND(15618*1.05,2)</f>
      </c>
      <c r="F318" s="17" t="s">
        <v>17</v>
      </c>
      <c r="G318" s="17" t="s">
        <v>18</v>
      </c>
      <c r="H318" s="18">
        <f>ROUND(RAND()*4+6,1)</f>
      </c>
      <c r="I318" s="17" t="s">
        <v>19</v>
      </c>
      <c r="J318" s="19">
        <f>ROUND(83*1,0)&amp;"%"</f>
      </c>
    </row>
    <row x14ac:dyDescent="0.25" r="319" customHeight="1" ht="17.25">
      <c r="A319" s="20" t="s">
        <v>3258</v>
      </c>
      <c r="B319" s="20" t="s">
        <v>514</v>
      </c>
      <c r="C319" s="20" t="s">
        <v>133</v>
      </c>
      <c r="D319" s="20" t="s">
        <v>22</v>
      </c>
      <c r="E319" s="21">
        <f>ROUND(5048*1.05,2)</f>
      </c>
      <c r="F319" s="20" t="s">
        <v>23</v>
      </c>
      <c r="G319" s="20" t="s">
        <v>24</v>
      </c>
      <c r="H319" s="21">
        <f>ROUND(RAND()*4+6,1)</f>
      </c>
      <c r="I319" s="20" t="s">
        <v>25</v>
      </c>
      <c r="J319" s="23">
        <f>ROUND(78*1,0)&amp;"%"</f>
      </c>
    </row>
    <row x14ac:dyDescent="0.25" r="320" customHeight="1" ht="17.25">
      <c r="A320" s="17" t="s">
        <v>3259</v>
      </c>
      <c r="B320" s="17" t="s">
        <v>516</v>
      </c>
      <c r="C320" s="17" t="s">
        <v>133</v>
      </c>
      <c r="D320" s="17" t="s">
        <v>28</v>
      </c>
      <c r="E320" s="18">
        <f>ROUND(6737*1.05,2)</f>
      </c>
      <c r="F320" s="17" t="s">
        <v>29</v>
      </c>
      <c r="G320" s="17" t="s">
        <v>30</v>
      </c>
      <c r="H320" s="18">
        <f>ROUND(RAND()*4+6,1)</f>
      </c>
      <c r="I320" s="17" t="s">
        <v>31</v>
      </c>
      <c r="J320" s="19">
        <f>ROUND(96*1,0)&amp;"%"</f>
      </c>
    </row>
    <row x14ac:dyDescent="0.25" r="321" customHeight="1" ht="17.25">
      <c r="A321" s="20" t="s">
        <v>3260</v>
      </c>
      <c r="B321" s="20" t="s">
        <v>518</v>
      </c>
      <c r="C321" s="20" t="s">
        <v>133</v>
      </c>
      <c r="D321" s="20" t="s">
        <v>34</v>
      </c>
      <c r="E321" s="21">
        <f>ROUND(13349*1.05,2)</f>
      </c>
      <c r="F321" s="20" t="s">
        <v>35</v>
      </c>
      <c r="G321" s="20" t="s">
        <v>18</v>
      </c>
      <c r="H321" s="21">
        <f>ROUND(RAND()*4+6,1)</f>
      </c>
      <c r="I321" s="20" t="s">
        <v>36</v>
      </c>
      <c r="J321" s="23">
        <f>ROUND(96*1,0)&amp;"%"</f>
      </c>
    </row>
    <row x14ac:dyDescent="0.25" r="322" customHeight="1" ht="17.25">
      <c r="A322" s="17" t="s">
        <v>3261</v>
      </c>
      <c r="B322" s="17" t="s">
        <v>520</v>
      </c>
      <c r="C322" s="17" t="s">
        <v>133</v>
      </c>
      <c r="D322" s="17" t="s">
        <v>39</v>
      </c>
      <c r="E322" s="26">
        <f>ROUND(16680*1.05,2)</f>
      </c>
      <c r="F322" s="17" t="s">
        <v>40</v>
      </c>
      <c r="G322" s="17" t="s">
        <v>24</v>
      </c>
      <c r="H322" s="18">
        <f>ROUND(RAND()*4+6,1)</f>
      </c>
      <c r="I322" s="17" t="s">
        <v>41</v>
      </c>
      <c r="J322" s="19">
        <f>ROUND(82*1,0)&amp;"%"</f>
      </c>
    </row>
    <row x14ac:dyDescent="0.25" r="323" customHeight="1" ht="17.25">
      <c r="A323" s="20" t="s">
        <v>3262</v>
      </c>
      <c r="B323" s="20" t="s">
        <v>522</v>
      </c>
      <c r="C323" s="20" t="s">
        <v>133</v>
      </c>
      <c r="D323" s="20" t="s">
        <v>67</v>
      </c>
      <c r="E323" s="21">
        <f>ROUND(6894*1.05,2)</f>
      </c>
      <c r="F323" s="20" t="s">
        <v>44</v>
      </c>
      <c r="G323" s="20" t="s">
        <v>30</v>
      </c>
      <c r="H323" s="21">
        <f>ROUND(RAND()*4+6,1)</f>
      </c>
      <c r="I323" s="20" t="s">
        <v>45</v>
      </c>
      <c r="J323" s="23">
        <f>ROUND(69*1,0)&amp;"%"</f>
      </c>
    </row>
    <row x14ac:dyDescent="0.25" r="324" customHeight="1" ht="17.25">
      <c r="A324" s="17" t="s">
        <v>3263</v>
      </c>
      <c r="B324" s="17" t="s">
        <v>524</v>
      </c>
      <c r="C324" s="17" t="s">
        <v>133</v>
      </c>
      <c r="D324" s="17" t="s">
        <v>16</v>
      </c>
      <c r="E324" s="18">
        <f>ROUND(5736*1.05,2)</f>
      </c>
      <c r="F324" s="17" t="s">
        <v>48</v>
      </c>
      <c r="G324" s="17" t="s">
        <v>18</v>
      </c>
      <c r="H324" s="18">
        <f>ROUND(RAND()*4+6,1)</f>
      </c>
      <c r="I324" s="17" t="s">
        <v>19</v>
      </c>
      <c r="J324" s="19">
        <f>ROUND(70*1,0)&amp;"%"</f>
      </c>
    </row>
    <row x14ac:dyDescent="0.25" r="325" customHeight="1" ht="17.25">
      <c r="A325" s="20" t="s">
        <v>3264</v>
      </c>
      <c r="B325" s="20" t="s">
        <v>526</v>
      </c>
      <c r="C325" s="20" t="s">
        <v>133</v>
      </c>
      <c r="D325" s="20" t="s">
        <v>22</v>
      </c>
      <c r="E325" s="21">
        <f>ROUND(12001*1.05,2)</f>
      </c>
      <c r="F325" s="20" t="s">
        <v>51</v>
      </c>
      <c r="G325" s="20" t="s">
        <v>24</v>
      </c>
      <c r="H325" s="21">
        <f>ROUND(RAND()*4+6,1)</f>
      </c>
      <c r="I325" s="20" t="s">
        <v>25</v>
      </c>
      <c r="J325" s="23">
        <f>ROUND(79*1,0)&amp;"%"</f>
      </c>
    </row>
    <row x14ac:dyDescent="0.25" r="326" customHeight="1" ht="17.25">
      <c r="A326" s="24" t="s">
        <v>527</v>
      </c>
      <c r="B326" s="24"/>
      <c r="C326" s="24"/>
      <c r="D326" s="24"/>
      <c r="E326" s="25">
        <v>8</v>
      </c>
      <c r="F326" s="9"/>
      <c r="G326" s="9"/>
      <c r="H326" s="10"/>
      <c r="I326" s="9"/>
      <c r="J326" s="9"/>
    </row>
    <row x14ac:dyDescent="0.25" r="327" customHeight="1" ht="17.25">
      <c r="A327" s="7"/>
      <c r="B327" s="7"/>
      <c r="C327" s="7"/>
      <c r="D327" s="7"/>
      <c r="E327" s="8"/>
      <c r="F327" s="9"/>
      <c r="G327" s="9"/>
      <c r="H327" s="10"/>
      <c r="I327" s="9"/>
      <c r="J327" s="9"/>
    </row>
    <row x14ac:dyDescent="0.25" r="328" customHeight="1" ht="17.25">
      <c r="A328" s="11" t="s">
        <v>3265</v>
      </c>
      <c r="B328" s="11"/>
      <c r="C328" s="11"/>
      <c r="D328" s="11"/>
      <c r="E328" s="12"/>
      <c r="F328" s="11"/>
      <c r="G328" s="11"/>
      <c r="H328" s="13"/>
      <c r="I328" s="11"/>
      <c r="J328" s="11"/>
    </row>
    <row x14ac:dyDescent="0.25" r="329" customHeight="1" ht="17.25">
      <c r="A329" s="14" t="s">
        <v>3</v>
      </c>
      <c r="B329" s="14" t="s">
        <v>4</v>
      </c>
      <c r="C329" s="14" t="s">
        <v>5</v>
      </c>
      <c r="D329" s="14" t="s">
        <v>6</v>
      </c>
      <c r="E329" s="15" t="s">
        <v>7</v>
      </c>
      <c r="F329" s="14" t="s">
        <v>8</v>
      </c>
      <c r="G329" s="14" t="s">
        <v>9</v>
      </c>
      <c r="H329" s="16" t="s">
        <v>10</v>
      </c>
      <c r="I329" s="14" t="s">
        <v>11</v>
      </c>
      <c r="J329" s="14" t="s">
        <v>12</v>
      </c>
    </row>
    <row x14ac:dyDescent="0.25" r="330" customHeight="1" ht="17.25">
      <c r="A330" s="17" t="s">
        <v>3266</v>
      </c>
      <c r="B330" s="17" t="s">
        <v>530</v>
      </c>
      <c r="C330" s="17" t="s">
        <v>152</v>
      </c>
      <c r="D330" s="17" t="s">
        <v>16</v>
      </c>
      <c r="E330" s="18">
        <f>ROUND(15664*1.05,2)</f>
      </c>
      <c r="F330" s="17" t="s">
        <v>17</v>
      </c>
      <c r="G330" s="17" t="s">
        <v>18</v>
      </c>
      <c r="H330" s="18">
        <f>ROUND(RAND()*4+6,1)</f>
      </c>
      <c r="I330" s="17" t="s">
        <v>19</v>
      </c>
      <c r="J330" s="19">
        <f>ROUND(70*1,0)&amp;"%"</f>
      </c>
    </row>
    <row x14ac:dyDescent="0.25" r="331" customHeight="1" ht="17.25">
      <c r="A331" s="20" t="s">
        <v>3267</v>
      </c>
      <c r="B331" s="20" t="s">
        <v>532</v>
      </c>
      <c r="C331" s="20" t="s">
        <v>152</v>
      </c>
      <c r="D331" s="20" t="s">
        <v>22</v>
      </c>
      <c r="E331" s="21">
        <f>ROUND(6884*1.05,2)</f>
      </c>
      <c r="F331" s="20" t="s">
        <v>23</v>
      </c>
      <c r="G331" s="20" t="s">
        <v>24</v>
      </c>
      <c r="H331" s="21">
        <f>ROUND(RAND()*4+6,1)</f>
      </c>
      <c r="I331" s="20" t="s">
        <v>25</v>
      </c>
      <c r="J331" s="23">
        <f>ROUND(95*1,0)&amp;"%"</f>
      </c>
    </row>
    <row x14ac:dyDescent="0.25" r="332" customHeight="1" ht="17.25">
      <c r="A332" s="17" t="s">
        <v>3268</v>
      </c>
      <c r="B332" s="17" t="s">
        <v>534</v>
      </c>
      <c r="C332" s="17" t="s">
        <v>152</v>
      </c>
      <c r="D332" s="17" t="s">
        <v>28</v>
      </c>
      <c r="E332" s="18">
        <f>ROUND(12681*1.05,2)</f>
      </c>
      <c r="F332" s="17" t="s">
        <v>29</v>
      </c>
      <c r="G332" s="17" t="s">
        <v>30</v>
      </c>
      <c r="H332" s="18">
        <f>ROUND(RAND()*4+6,1)</f>
      </c>
      <c r="I332" s="17" t="s">
        <v>31</v>
      </c>
      <c r="J332" s="19">
        <f>ROUND(89*1,0)&amp;"%"</f>
      </c>
    </row>
    <row x14ac:dyDescent="0.25" r="333" customHeight="1" ht="17.25">
      <c r="A333" s="20" t="s">
        <v>3269</v>
      </c>
      <c r="B333" s="20" t="s">
        <v>536</v>
      </c>
      <c r="C333" s="20" t="s">
        <v>152</v>
      </c>
      <c r="D333" s="20" t="s">
        <v>34</v>
      </c>
      <c r="E333" s="21">
        <f>ROUND(13438*1.05,2)</f>
      </c>
      <c r="F333" s="20" t="s">
        <v>35</v>
      </c>
      <c r="G333" s="20" t="s">
        <v>18</v>
      </c>
      <c r="H333" s="21">
        <f>ROUND(RAND()*4+6,1)</f>
      </c>
      <c r="I333" s="20" t="s">
        <v>36</v>
      </c>
      <c r="J333" s="23">
        <f>ROUND(96*1,0)&amp;"%"</f>
      </c>
    </row>
    <row x14ac:dyDescent="0.25" r="334" customHeight="1" ht="17.25">
      <c r="A334" s="17" t="s">
        <v>3270</v>
      </c>
      <c r="B334" s="17" t="s">
        <v>538</v>
      </c>
      <c r="C334" s="17" t="s">
        <v>152</v>
      </c>
      <c r="D334" s="17" t="s">
        <v>39</v>
      </c>
      <c r="E334" s="18">
        <f>ROUND(8470*1.05,2)</f>
      </c>
      <c r="F334" s="17" t="s">
        <v>40</v>
      </c>
      <c r="G334" s="17" t="s">
        <v>24</v>
      </c>
      <c r="H334" s="18">
        <f>ROUND(RAND()*4+6,1)</f>
      </c>
      <c r="I334" s="17" t="s">
        <v>41</v>
      </c>
      <c r="J334" s="19">
        <f>ROUND(99*1,0)&amp;"%"</f>
      </c>
    </row>
    <row x14ac:dyDescent="0.25" r="335" customHeight="1" ht="17.25">
      <c r="A335" s="20" t="s">
        <v>3271</v>
      </c>
      <c r="B335" s="20" t="s">
        <v>540</v>
      </c>
      <c r="C335" s="20" t="s">
        <v>152</v>
      </c>
      <c r="D335" s="20" t="s">
        <v>67</v>
      </c>
      <c r="E335" s="21">
        <f>ROUND(15379*1.05,2)</f>
      </c>
      <c r="F335" s="20" t="s">
        <v>44</v>
      </c>
      <c r="G335" s="20" t="s">
        <v>30</v>
      </c>
      <c r="H335" s="22">
        <f>ROUND(RAND()*4+6,1)</f>
      </c>
      <c r="I335" s="20" t="s">
        <v>45</v>
      </c>
      <c r="J335" s="23">
        <f>ROUND(90*1,0)&amp;"%"</f>
      </c>
    </row>
    <row x14ac:dyDescent="0.25" r="336" customHeight="1" ht="17.25">
      <c r="A336" s="17" t="s">
        <v>3272</v>
      </c>
      <c r="B336" s="17" t="s">
        <v>542</v>
      </c>
      <c r="C336" s="17" t="s">
        <v>152</v>
      </c>
      <c r="D336" s="17" t="s">
        <v>16</v>
      </c>
      <c r="E336" s="18">
        <f>ROUND(13601*1.05,2)</f>
      </c>
      <c r="F336" s="17" t="s">
        <v>48</v>
      </c>
      <c r="G336" s="17" t="s">
        <v>18</v>
      </c>
      <c r="H336" s="18">
        <f>ROUND(RAND()*4+6,1)</f>
      </c>
      <c r="I336" s="17" t="s">
        <v>19</v>
      </c>
      <c r="J336" s="19">
        <f>ROUND(86*1,0)&amp;"%"</f>
      </c>
    </row>
    <row x14ac:dyDescent="0.25" r="337" customHeight="1" ht="17.25">
      <c r="A337" s="20" t="s">
        <v>3273</v>
      </c>
      <c r="B337" s="20" t="s">
        <v>544</v>
      </c>
      <c r="C337" s="20" t="s">
        <v>152</v>
      </c>
      <c r="D337" s="20" t="s">
        <v>22</v>
      </c>
      <c r="E337" s="21">
        <f>ROUND(10545*1.05,2)</f>
      </c>
      <c r="F337" s="20" t="s">
        <v>51</v>
      </c>
      <c r="G337" s="20" t="s">
        <v>24</v>
      </c>
      <c r="H337" s="21">
        <f>ROUND(RAND()*4+6,1)</f>
      </c>
      <c r="I337" s="20" t="s">
        <v>25</v>
      </c>
      <c r="J337" s="23">
        <f>ROUND(83*1,0)&amp;"%"</f>
      </c>
    </row>
    <row x14ac:dyDescent="0.25" r="338" customHeight="1" ht="17.25">
      <c r="A338" s="24" t="s">
        <v>545</v>
      </c>
      <c r="B338" s="24"/>
      <c r="C338" s="24"/>
      <c r="D338" s="24"/>
      <c r="E338" s="25">
        <v>8</v>
      </c>
      <c r="F338" s="9"/>
      <c r="G338" s="9"/>
      <c r="H338" s="10"/>
      <c r="I338" s="9"/>
      <c r="J338" s="9"/>
    </row>
    <row x14ac:dyDescent="0.25" r="339" customHeight="1" ht="17.25">
      <c r="A339" s="7"/>
      <c r="B339" s="7"/>
      <c r="C339" s="7"/>
      <c r="D339" s="7"/>
      <c r="E339" s="8"/>
      <c r="F339" s="9"/>
      <c r="G339" s="9"/>
      <c r="H339" s="10"/>
      <c r="I339" s="9"/>
      <c r="J339" s="9"/>
    </row>
    <row x14ac:dyDescent="0.25" r="340" customHeight="1" ht="17.25">
      <c r="A340" s="11" t="s">
        <v>3274</v>
      </c>
      <c r="B340" s="11"/>
      <c r="C340" s="11"/>
      <c r="D340" s="11"/>
      <c r="E340" s="12"/>
      <c r="F340" s="11"/>
      <c r="G340" s="11"/>
      <c r="H340" s="13"/>
      <c r="I340" s="11"/>
      <c r="J340" s="11"/>
    </row>
    <row x14ac:dyDescent="0.25" r="341" customHeight="1" ht="17.25">
      <c r="A341" s="14" t="s">
        <v>3</v>
      </c>
      <c r="B341" s="14" t="s">
        <v>4</v>
      </c>
      <c r="C341" s="14" t="s">
        <v>5</v>
      </c>
      <c r="D341" s="14" t="s">
        <v>6</v>
      </c>
      <c r="E341" s="15" t="s">
        <v>7</v>
      </c>
      <c r="F341" s="14" t="s">
        <v>8</v>
      </c>
      <c r="G341" s="14" t="s">
        <v>9</v>
      </c>
      <c r="H341" s="16" t="s">
        <v>10</v>
      </c>
      <c r="I341" s="14" t="s">
        <v>11</v>
      </c>
      <c r="J341" s="14" t="s">
        <v>12</v>
      </c>
    </row>
    <row x14ac:dyDescent="0.25" r="342" customHeight="1" ht="17.25">
      <c r="A342" s="17" t="s">
        <v>3275</v>
      </c>
      <c r="B342" s="17" t="s">
        <v>548</v>
      </c>
      <c r="C342" s="17" t="s">
        <v>15</v>
      </c>
      <c r="D342" s="17" t="s">
        <v>16</v>
      </c>
      <c r="E342" s="18">
        <f>ROUND(12581*1.05,2)</f>
      </c>
      <c r="F342" s="17" t="s">
        <v>17</v>
      </c>
      <c r="G342" s="17" t="s">
        <v>18</v>
      </c>
      <c r="H342" s="18">
        <f>ROUND(RAND()*4+6,1)</f>
      </c>
      <c r="I342" s="17" t="s">
        <v>19</v>
      </c>
      <c r="J342" s="19">
        <f>ROUND(72*1,0)&amp;"%"</f>
      </c>
    </row>
    <row x14ac:dyDescent="0.25" r="343" customHeight="1" ht="17.25">
      <c r="A343" s="20" t="s">
        <v>3276</v>
      </c>
      <c r="B343" s="20" t="s">
        <v>550</v>
      </c>
      <c r="C343" s="20" t="s">
        <v>15</v>
      </c>
      <c r="D343" s="20" t="s">
        <v>22</v>
      </c>
      <c r="E343" s="21">
        <f>ROUND(11556*1.05,2)</f>
      </c>
      <c r="F343" s="20" t="s">
        <v>23</v>
      </c>
      <c r="G343" s="20" t="s">
        <v>24</v>
      </c>
      <c r="H343" s="21">
        <f>ROUND(RAND()*4+6,1)</f>
      </c>
      <c r="I343" s="20" t="s">
        <v>25</v>
      </c>
      <c r="J343" s="23">
        <f>ROUND(60*1,0)&amp;"%"</f>
      </c>
    </row>
    <row x14ac:dyDescent="0.25" r="344" customHeight="1" ht="17.25">
      <c r="A344" s="17" t="s">
        <v>3277</v>
      </c>
      <c r="B344" s="17" t="s">
        <v>552</v>
      </c>
      <c r="C344" s="17" t="s">
        <v>15</v>
      </c>
      <c r="D344" s="17" t="s">
        <v>28</v>
      </c>
      <c r="E344" s="18">
        <f>ROUND(7299*1.05,2)</f>
      </c>
      <c r="F344" s="17" t="s">
        <v>29</v>
      </c>
      <c r="G344" s="17" t="s">
        <v>30</v>
      </c>
      <c r="H344" s="18">
        <f>ROUND(RAND()*4+6,1)</f>
      </c>
      <c r="I344" s="17" t="s">
        <v>31</v>
      </c>
      <c r="J344" s="19">
        <f>ROUND(92*1,0)&amp;"%"</f>
      </c>
    </row>
    <row x14ac:dyDescent="0.25" r="345" customHeight="1" ht="17.25">
      <c r="A345" s="20" t="s">
        <v>3278</v>
      </c>
      <c r="B345" s="20" t="s">
        <v>554</v>
      </c>
      <c r="C345" s="20" t="s">
        <v>15</v>
      </c>
      <c r="D345" s="20" t="s">
        <v>34</v>
      </c>
      <c r="E345" s="21">
        <f>ROUND(11384*1.05,2)</f>
      </c>
      <c r="F345" s="20" t="s">
        <v>35</v>
      </c>
      <c r="G345" s="20" t="s">
        <v>18</v>
      </c>
      <c r="H345" s="22">
        <f>ROUND(RAND()*4+6,1)</f>
      </c>
      <c r="I345" s="20" t="s">
        <v>36</v>
      </c>
      <c r="J345" s="23">
        <f>ROUND(89*1,0)&amp;"%"</f>
      </c>
    </row>
    <row x14ac:dyDescent="0.25" r="346" customHeight="1" ht="17.25">
      <c r="A346" s="17" t="s">
        <v>3279</v>
      </c>
      <c r="B346" s="17" t="s">
        <v>556</v>
      </c>
      <c r="C346" s="17" t="s">
        <v>15</v>
      </c>
      <c r="D346" s="17" t="s">
        <v>39</v>
      </c>
      <c r="E346" s="18">
        <f>ROUND(12878*1.05,2)</f>
      </c>
      <c r="F346" s="17" t="s">
        <v>40</v>
      </c>
      <c r="G346" s="17" t="s">
        <v>24</v>
      </c>
      <c r="H346" s="18">
        <f>ROUND(RAND()*4+6,1)</f>
      </c>
      <c r="I346" s="17" t="s">
        <v>41</v>
      </c>
      <c r="J346" s="19">
        <f>ROUND(67*1,0)&amp;"%"</f>
      </c>
    </row>
    <row x14ac:dyDescent="0.25" r="347" customHeight="1" ht="17.25">
      <c r="A347" s="20" t="s">
        <v>3280</v>
      </c>
      <c r="B347" s="20" t="s">
        <v>558</v>
      </c>
      <c r="C347" s="20" t="s">
        <v>15</v>
      </c>
      <c r="D347" s="20" t="s">
        <v>67</v>
      </c>
      <c r="E347" s="21">
        <f>ROUND(14584*1.05,2)</f>
      </c>
      <c r="F347" s="20" t="s">
        <v>44</v>
      </c>
      <c r="G347" s="20" t="s">
        <v>30</v>
      </c>
      <c r="H347" s="21">
        <f>ROUND(RAND()*4+6,1)</f>
      </c>
      <c r="I347" s="20" t="s">
        <v>45</v>
      </c>
      <c r="J347" s="23">
        <f>ROUND(98*1,0)&amp;"%"</f>
      </c>
    </row>
    <row x14ac:dyDescent="0.25" r="348" customHeight="1" ht="17.25">
      <c r="A348" s="17" t="s">
        <v>3281</v>
      </c>
      <c r="B348" s="17" t="s">
        <v>560</v>
      </c>
      <c r="C348" s="17" t="s">
        <v>15</v>
      </c>
      <c r="D348" s="17" t="s">
        <v>16</v>
      </c>
      <c r="E348" s="18">
        <f>ROUND(17532*1.05,2)</f>
      </c>
      <c r="F348" s="17" t="s">
        <v>48</v>
      </c>
      <c r="G348" s="17" t="s">
        <v>18</v>
      </c>
      <c r="H348" s="18">
        <f>ROUND(RAND()*4+6,1)</f>
      </c>
      <c r="I348" s="17" t="s">
        <v>19</v>
      </c>
      <c r="J348" s="19">
        <f>ROUND(98*1,0)&amp;"%"</f>
      </c>
    </row>
    <row x14ac:dyDescent="0.25" r="349" customHeight="1" ht="17.25">
      <c r="A349" s="20" t="s">
        <v>3282</v>
      </c>
      <c r="B349" s="20" t="s">
        <v>562</v>
      </c>
      <c r="C349" s="20" t="s">
        <v>15</v>
      </c>
      <c r="D349" s="20" t="s">
        <v>22</v>
      </c>
      <c r="E349" s="21">
        <f>ROUND(13437*1.05,2)</f>
      </c>
      <c r="F349" s="20" t="s">
        <v>51</v>
      </c>
      <c r="G349" s="20" t="s">
        <v>24</v>
      </c>
      <c r="H349" s="21">
        <f>ROUND(RAND()*4+6,1)</f>
      </c>
      <c r="I349" s="20" t="s">
        <v>25</v>
      </c>
      <c r="J349" s="23">
        <f>ROUND(99*1,0)&amp;"%"</f>
      </c>
    </row>
    <row x14ac:dyDescent="0.25" r="350" customHeight="1" ht="17.25">
      <c r="A350" s="24" t="s">
        <v>563</v>
      </c>
      <c r="B350" s="24"/>
      <c r="C350" s="24"/>
      <c r="D350" s="24"/>
      <c r="E350" s="25">
        <v>8</v>
      </c>
      <c r="F350" s="9"/>
      <c r="G350" s="9"/>
      <c r="H350" s="10"/>
      <c r="I350" s="9"/>
      <c r="J350" s="9"/>
    </row>
    <row x14ac:dyDescent="0.25" r="351" customHeight="1" ht="17.25">
      <c r="A351" s="7"/>
      <c r="B351" s="7"/>
      <c r="C351" s="7"/>
      <c r="D351" s="7"/>
      <c r="E351" s="8"/>
      <c r="F351" s="9"/>
      <c r="G351" s="9"/>
      <c r="H351" s="10"/>
      <c r="I351" s="9"/>
      <c r="J351" s="9"/>
    </row>
    <row x14ac:dyDescent="0.25" r="352" customHeight="1" ht="17.25">
      <c r="A352" s="11" t="s">
        <v>3283</v>
      </c>
      <c r="B352" s="11"/>
      <c r="C352" s="11"/>
      <c r="D352" s="11"/>
      <c r="E352" s="12"/>
      <c r="F352" s="11"/>
      <c r="G352" s="11"/>
      <c r="H352" s="13"/>
      <c r="I352" s="11"/>
      <c r="J352" s="11"/>
    </row>
    <row x14ac:dyDescent="0.25" r="353" customHeight="1" ht="17.25">
      <c r="A353" s="14" t="s">
        <v>3</v>
      </c>
      <c r="B353" s="14" t="s">
        <v>4</v>
      </c>
      <c r="C353" s="14" t="s">
        <v>5</v>
      </c>
      <c r="D353" s="14" t="s">
        <v>6</v>
      </c>
      <c r="E353" s="15" t="s">
        <v>7</v>
      </c>
      <c r="F353" s="14" t="s">
        <v>8</v>
      </c>
      <c r="G353" s="14" t="s">
        <v>9</v>
      </c>
      <c r="H353" s="16" t="s">
        <v>10</v>
      </c>
      <c r="I353" s="14" t="s">
        <v>11</v>
      </c>
      <c r="J353" s="14" t="s">
        <v>12</v>
      </c>
    </row>
    <row x14ac:dyDescent="0.25" r="354" customHeight="1" ht="17.25">
      <c r="A354" s="17" t="s">
        <v>3284</v>
      </c>
      <c r="B354" s="17" t="s">
        <v>566</v>
      </c>
      <c r="C354" s="17" t="s">
        <v>56</v>
      </c>
      <c r="D354" s="17" t="s">
        <v>16</v>
      </c>
      <c r="E354" s="18">
        <f>ROUND(14562*1.05,2)</f>
      </c>
      <c r="F354" s="17" t="s">
        <v>17</v>
      </c>
      <c r="G354" s="17" t="s">
        <v>18</v>
      </c>
      <c r="H354" s="18">
        <f>ROUND(RAND()*4+6,1)</f>
      </c>
      <c r="I354" s="17" t="s">
        <v>19</v>
      </c>
      <c r="J354" s="19">
        <f>ROUND(92*1,0)&amp;"%"</f>
      </c>
    </row>
    <row x14ac:dyDescent="0.25" r="355" customHeight="1" ht="17.25">
      <c r="A355" s="20" t="s">
        <v>3285</v>
      </c>
      <c r="B355" s="20" t="s">
        <v>568</v>
      </c>
      <c r="C355" s="20" t="s">
        <v>56</v>
      </c>
      <c r="D355" s="20" t="s">
        <v>22</v>
      </c>
      <c r="E355" s="21">
        <f>ROUND(8208*1.05,2)</f>
      </c>
      <c r="F355" s="20" t="s">
        <v>23</v>
      </c>
      <c r="G355" s="20" t="s">
        <v>24</v>
      </c>
      <c r="H355" s="21">
        <f>ROUND(RAND()*4+6,1)</f>
      </c>
      <c r="I355" s="20" t="s">
        <v>25</v>
      </c>
      <c r="J355" s="23">
        <f>ROUND(74*1,0)&amp;"%"</f>
      </c>
    </row>
    <row x14ac:dyDescent="0.25" r="356" customHeight="1" ht="17.25">
      <c r="A356" s="17" t="s">
        <v>3286</v>
      </c>
      <c r="B356" s="17" t="s">
        <v>570</v>
      </c>
      <c r="C356" s="17" t="s">
        <v>56</v>
      </c>
      <c r="D356" s="17" t="s">
        <v>28</v>
      </c>
      <c r="E356" s="18">
        <f>ROUND(12391*1.05,2)</f>
      </c>
      <c r="F356" s="17" t="s">
        <v>29</v>
      </c>
      <c r="G356" s="17" t="s">
        <v>30</v>
      </c>
      <c r="H356" s="26">
        <f>ROUND(RAND()*4+6,1)</f>
      </c>
      <c r="I356" s="17" t="s">
        <v>31</v>
      </c>
      <c r="J356" s="19">
        <f>ROUND(78*1,0)&amp;"%"</f>
      </c>
    </row>
    <row x14ac:dyDescent="0.25" r="357" customHeight="1" ht="17.25">
      <c r="A357" s="20" t="s">
        <v>3287</v>
      </c>
      <c r="B357" s="20" t="s">
        <v>572</v>
      </c>
      <c r="C357" s="20" t="s">
        <v>56</v>
      </c>
      <c r="D357" s="20" t="s">
        <v>34</v>
      </c>
      <c r="E357" s="21">
        <f>ROUND(12948*1.05,2)</f>
      </c>
      <c r="F357" s="20" t="s">
        <v>35</v>
      </c>
      <c r="G357" s="20" t="s">
        <v>18</v>
      </c>
      <c r="H357" s="21">
        <f>ROUND(RAND()*4+6,1)</f>
      </c>
      <c r="I357" s="20" t="s">
        <v>36</v>
      </c>
      <c r="J357" s="23">
        <f>ROUND(65*1,0)&amp;"%"</f>
      </c>
    </row>
    <row x14ac:dyDescent="0.25" r="358" customHeight="1" ht="17.25">
      <c r="A358" s="17" t="s">
        <v>3288</v>
      </c>
      <c r="B358" s="17" t="s">
        <v>574</v>
      </c>
      <c r="C358" s="17" t="s">
        <v>56</v>
      </c>
      <c r="D358" s="17" t="s">
        <v>39</v>
      </c>
      <c r="E358" s="18">
        <f>ROUND(12217*1.05,2)</f>
      </c>
      <c r="F358" s="17" t="s">
        <v>40</v>
      </c>
      <c r="G358" s="17" t="s">
        <v>24</v>
      </c>
      <c r="H358" s="18">
        <f>ROUND(RAND()*4+6,1)</f>
      </c>
      <c r="I358" s="17" t="s">
        <v>41</v>
      </c>
      <c r="J358" s="19">
        <f>ROUND(81*1,0)&amp;"%"</f>
      </c>
    </row>
    <row x14ac:dyDescent="0.25" r="359" customHeight="1" ht="17.25">
      <c r="A359" s="20" t="s">
        <v>3289</v>
      </c>
      <c r="B359" s="20" t="s">
        <v>576</v>
      </c>
      <c r="C359" s="20" t="s">
        <v>56</v>
      </c>
      <c r="D359" s="20" t="s">
        <v>67</v>
      </c>
      <c r="E359" s="21">
        <f>ROUND(16802*1.05,2)</f>
      </c>
      <c r="F359" s="20" t="s">
        <v>44</v>
      </c>
      <c r="G359" s="20" t="s">
        <v>30</v>
      </c>
      <c r="H359" s="21">
        <f>ROUND(RAND()*4+6,1)</f>
      </c>
      <c r="I359" s="20" t="s">
        <v>45</v>
      </c>
      <c r="J359" s="23">
        <f>ROUND(81*1,0)&amp;"%"</f>
      </c>
    </row>
    <row x14ac:dyDescent="0.25" r="360" customHeight="1" ht="17.25">
      <c r="A360" s="17" t="s">
        <v>3290</v>
      </c>
      <c r="B360" s="17" t="s">
        <v>578</v>
      </c>
      <c r="C360" s="17" t="s">
        <v>56</v>
      </c>
      <c r="D360" s="17" t="s">
        <v>16</v>
      </c>
      <c r="E360" s="18">
        <f>ROUND(12387*1.05,2)</f>
      </c>
      <c r="F360" s="17" t="s">
        <v>48</v>
      </c>
      <c r="G360" s="17" t="s">
        <v>18</v>
      </c>
      <c r="H360" s="18">
        <f>ROUND(RAND()*4+6,1)</f>
      </c>
      <c r="I360" s="17" t="s">
        <v>19</v>
      </c>
      <c r="J360" s="19">
        <f>ROUND(84*1,0)&amp;"%"</f>
      </c>
    </row>
    <row x14ac:dyDescent="0.25" r="361" customHeight="1" ht="17.25">
      <c r="A361" s="20" t="s">
        <v>3291</v>
      </c>
      <c r="B361" s="20" t="s">
        <v>580</v>
      </c>
      <c r="C361" s="20" t="s">
        <v>56</v>
      </c>
      <c r="D361" s="20" t="s">
        <v>22</v>
      </c>
      <c r="E361" s="21">
        <f>ROUND(16610*1.05,2)</f>
      </c>
      <c r="F361" s="20" t="s">
        <v>51</v>
      </c>
      <c r="G361" s="20" t="s">
        <v>24</v>
      </c>
      <c r="H361" s="21">
        <f>ROUND(RAND()*4+6,1)</f>
      </c>
      <c r="I361" s="20" t="s">
        <v>25</v>
      </c>
      <c r="J361" s="23">
        <f>ROUND(69*1,0)&amp;"%"</f>
      </c>
    </row>
    <row x14ac:dyDescent="0.25" r="362" customHeight="1" ht="17.25">
      <c r="A362" s="24" t="s">
        <v>581</v>
      </c>
      <c r="B362" s="24"/>
      <c r="C362" s="24"/>
      <c r="D362" s="24"/>
      <c r="E362" s="25">
        <v>8</v>
      </c>
      <c r="F362" s="9"/>
      <c r="G362" s="9"/>
      <c r="H362" s="10"/>
      <c r="I362" s="9"/>
      <c r="J362" s="9"/>
    </row>
  </sheetData>
  <mergeCells count="62">
    <mergeCell ref="A1:J1"/>
    <mergeCell ref="A2:J2"/>
    <mergeCell ref="A4:J4"/>
    <mergeCell ref="A14:D14"/>
    <mergeCell ref="A16:J16"/>
    <mergeCell ref="A26:D26"/>
    <mergeCell ref="A28:J28"/>
    <mergeCell ref="A38:D38"/>
    <mergeCell ref="A40:J40"/>
    <mergeCell ref="A50:D50"/>
    <mergeCell ref="A52:J52"/>
    <mergeCell ref="A62:D62"/>
    <mergeCell ref="A64:J64"/>
    <mergeCell ref="A74:D74"/>
    <mergeCell ref="A76:J76"/>
    <mergeCell ref="A86:D86"/>
    <mergeCell ref="A88:J88"/>
    <mergeCell ref="A98:D98"/>
    <mergeCell ref="A100:J100"/>
    <mergeCell ref="A110:D110"/>
    <mergeCell ref="A112:J112"/>
    <mergeCell ref="A122:D122"/>
    <mergeCell ref="A124:J124"/>
    <mergeCell ref="A134:D134"/>
    <mergeCell ref="A136:J136"/>
    <mergeCell ref="A146:D146"/>
    <mergeCell ref="A148:J148"/>
    <mergeCell ref="A158:D158"/>
    <mergeCell ref="A160:J160"/>
    <mergeCell ref="A170:D170"/>
    <mergeCell ref="A172:J172"/>
    <mergeCell ref="A182:D182"/>
    <mergeCell ref="A184:J184"/>
    <mergeCell ref="A194:D194"/>
    <mergeCell ref="A196:J196"/>
    <mergeCell ref="A206:D206"/>
    <mergeCell ref="A208:J208"/>
    <mergeCell ref="A218:D218"/>
    <mergeCell ref="A220:J220"/>
    <mergeCell ref="A230:D230"/>
    <mergeCell ref="A232:J232"/>
    <mergeCell ref="A242:D242"/>
    <mergeCell ref="A244:J244"/>
    <mergeCell ref="A254:D254"/>
    <mergeCell ref="A256:J256"/>
    <mergeCell ref="A266:D266"/>
    <mergeCell ref="A268:J268"/>
    <mergeCell ref="A278:D278"/>
    <mergeCell ref="A280:J280"/>
    <mergeCell ref="A290:D290"/>
    <mergeCell ref="A292:J292"/>
    <mergeCell ref="A302:D302"/>
    <mergeCell ref="A304:J304"/>
    <mergeCell ref="A314:D314"/>
    <mergeCell ref="A316:J316"/>
    <mergeCell ref="A326:D326"/>
    <mergeCell ref="A328:J328"/>
    <mergeCell ref="A338:D338"/>
    <mergeCell ref="A340:J340"/>
    <mergeCell ref="A350:D350"/>
    <mergeCell ref="A352:J352"/>
    <mergeCell ref="A362:D362"/>
  </mergeCells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J362"/>
  <sheetViews>
    <sheetView workbookViewId="0"/>
  </sheetViews>
  <sheetFormatPr defaultRowHeight="15" x14ac:dyDescent="0.25"/>
  <cols>
    <col min="1" max="1" style="27" width="8.005" customWidth="1" bestFit="1"/>
    <col min="2" max="2" style="27" width="22.005" customWidth="1" bestFit="1"/>
    <col min="3" max="3" style="27" width="16.005" customWidth="1" bestFit="1"/>
    <col min="4" max="4" style="27" width="14.005" customWidth="1" bestFit="1"/>
    <col min="5" max="5" style="28" width="12.005" customWidth="1" bestFit="1"/>
    <col min="6" max="6" style="29" width="16.005" customWidth="1" bestFit="1"/>
    <col min="7" max="7" style="29" width="10.005" customWidth="1" bestFit="1"/>
    <col min="8" max="8" style="30" width="10.005" customWidth="1" bestFit="1"/>
    <col min="9" max="9" style="29" width="14.005" customWidth="1" bestFit="1"/>
    <col min="10" max="10" style="29" width="8.005" customWidth="1" bestFit="1"/>
  </cols>
  <sheetData>
    <row x14ac:dyDescent="0.25" r="1" customHeight="1" ht="17.25">
      <c r="A1" s="1" t="s">
        <v>2750</v>
      </c>
      <c r="B1" s="1"/>
      <c r="C1" s="1"/>
      <c r="D1" s="1"/>
      <c r="E1" s="2"/>
      <c r="F1" s="1"/>
      <c r="G1" s="1"/>
      <c r="H1" s="3"/>
      <c r="I1" s="1"/>
      <c r="J1" s="1"/>
    </row>
    <row x14ac:dyDescent="0.25" r="2" customHeight="1" ht="17.25">
      <c r="A2" s="4" t="s">
        <v>1</v>
      </c>
      <c r="B2" s="4"/>
      <c r="C2" s="4"/>
      <c r="D2" s="4"/>
      <c r="E2" s="5"/>
      <c r="F2" s="4"/>
      <c r="G2" s="4"/>
      <c r="H2" s="6"/>
      <c r="I2" s="4"/>
      <c r="J2" s="4"/>
    </row>
    <row x14ac:dyDescent="0.25" r="3" customHeight="1" ht="17.25">
      <c r="A3" s="7"/>
      <c r="B3" s="7"/>
      <c r="C3" s="7"/>
      <c r="D3" s="7"/>
      <c r="E3" s="8"/>
      <c r="F3" s="9"/>
      <c r="G3" s="9"/>
      <c r="H3" s="10"/>
      <c r="I3" s="9"/>
      <c r="J3" s="9"/>
    </row>
    <row x14ac:dyDescent="0.25" r="4" customHeight="1" ht="17.25">
      <c r="A4" s="11" t="s">
        <v>2751</v>
      </c>
      <c r="B4" s="11"/>
      <c r="C4" s="11"/>
      <c r="D4" s="11"/>
      <c r="E4" s="12"/>
      <c r="F4" s="11"/>
      <c r="G4" s="11"/>
      <c r="H4" s="13"/>
      <c r="I4" s="11"/>
      <c r="J4" s="11"/>
    </row>
    <row x14ac:dyDescent="0.25" r="5" customHeight="1" ht="17.25">
      <c r="A5" s="14" t="s">
        <v>3</v>
      </c>
      <c r="B5" s="14" t="s">
        <v>4</v>
      </c>
      <c r="C5" s="14" t="s">
        <v>5</v>
      </c>
      <c r="D5" s="14" t="s">
        <v>6</v>
      </c>
      <c r="E5" s="15" t="s">
        <v>7</v>
      </c>
      <c r="F5" s="14" t="s">
        <v>8</v>
      </c>
      <c r="G5" s="14" t="s">
        <v>9</v>
      </c>
      <c r="H5" s="16" t="s">
        <v>10</v>
      </c>
      <c r="I5" s="14" t="s">
        <v>11</v>
      </c>
      <c r="J5" s="14" t="s">
        <v>12</v>
      </c>
    </row>
    <row x14ac:dyDescent="0.25" r="6" customHeight="1" ht="17.25">
      <c r="A6" s="17" t="s">
        <v>2752</v>
      </c>
      <c r="B6" s="17" t="s">
        <v>14</v>
      </c>
      <c r="C6" s="17" t="s">
        <v>15</v>
      </c>
      <c r="D6" s="17" t="s">
        <v>16</v>
      </c>
      <c r="E6" s="18">
        <f>ROUND(9126*1.05,2)</f>
      </c>
      <c r="F6" s="17" t="s">
        <v>17</v>
      </c>
      <c r="G6" s="17" t="s">
        <v>18</v>
      </c>
      <c r="H6" s="18">
        <f>ROUND(RAND()*4+6,1)</f>
      </c>
      <c r="I6" s="17" t="s">
        <v>19</v>
      </c>
      <c r="J6" s="19">
        <f>ROUND(64*1,0)&amp;"%"</f>
      </c>
    </row>
    <row x14ac:dyDescent="0.25" r="7" customHeight="1" ht="17.25">
      <c r="A7" s="20" t="s">
        <v>2753</v>
      </c>
      <c r="B7" s="20" t="s">
        <v>21</v>
      </c>
      <c r="C7" s="20" t="s">
        <v>15</v>
      </c>
      <c r="D7" s="20" t="s">
        <v>22</v>
      </c>
      <c r="E7" s="21">
        <f>ROUND(13978*1.05,2)</f>
      </c>
      <c r="F7" s="20" t="s">
        <v>23</v>
      </c>
      <c r="G7" s="20" t="s">
        <v>24</v>
      </c>
      <c r="H7" s="21">
        <f>ROUND(RAND()*4+6,1)</f>
      </c>
      <c r="I7" s="20" t="s">
        <v>25</v>
      </c>
      <c r="J7" s="23">
        <f>ROUND(74*1,0)&amp;"%"</f>
      </c>
    </row>
    <row x14ac:dyDescent="0.25" r="8" customHeight="1" ht="17.25">
      <c r="A8" s="17" t="s">
        <v>2754</v>
      </c>
      <c r="B8" s="17" t="s">
        <v>27</v>
      </c>
      <c r="C8" s="17" t="s">
        <v>15</v>
      </c>
      <c r="D8" s="17" t="s">
        <v>28</v>
      </c>
      <c r="E8" s="18">
        <f>ROUND(9218*1.05,2)</f>
      </c>
      <c r="F8" s="17" t="s">
        <v>29</v>
      </c>
      <c r="G8" s="17" t="s">
        <v>30</v>
      </c>
      <c r="H8" s="18">
        <f>ROUND(RAND()*4+6,1)</f>
      </c>
      <c r="I8" s="17" t="s">
        <v>31</v>
      </c>
      <c r="J8" s="19">
        <f>ROUND(95*1,0)&amp;"%"</f>
      </c>
    </row>
    <row x14ac:dyDescent="0.25" r="9" customHeight="1" ht="17.25">
      <c r="A9" s="20" t="s">
        <v>2755</v>
      </c>
      <c r="B9" s="20" t="s">
        <v>33</v>
      </c>
      <c r="C9" s="20" t="s">
        <v>15</v>
      </c>
      <c r="D9" s="20" t="s">
        <v>34</v>
      </c>
      <c r="E9" s="21">
        <f>ROUND(5582*1.05,2)</f>
      </c>
      <c r="F9" s="20" t="s">
        <v>35</v>
      </c>
      <c r="G9" s="20" t="s">
        <v>18</v>
      </c>
      <c r="H9" s="21">
        <f>ROUND(RAND()*4+6,1)</f>
      </c>
      <c r="I9" s="20" t="s">
        <v>36</v>
      </c>
      <c r="J9" s="23">
        <f>ROUND(95*1,0)&amp;"%"</f>
      </c>
    </row>
    <row x14ac:dyDescent="0.25" r="10" customHeight="1" ht="17.25">
      <c r="A10" s="17" t="s">
        <v>2756</v>
      </c>
      <c r="B10" s="17" t="s">
        <v>38</v>
      </c>
      <c r="C10" s="17" t="s">
        <v>15</v>
      </c>
      <c r="D10" s="17" t="s">
        <v>39</v>
      </c>
      <c r="E10" s="18">
        <f>ROUND(11029*1.05,2)</f>
      </c>
      <c r="F10" s="17" t="s">
        <v>40</v>
      </c>
      <c r="G10" s="17" t="s">
        <v>24</v>
      </c>
      <c r="H10" s="18">
        <f>ROUND(RAND()*4+6,1)</f>
      </c>
      <c r="I10" s="17" t="s">
        <v>41</v>
      </c>
      <c r="J10" s="19">
        <f>ROUND(86*1,0)&amp;"%"</f>
      </c>
    </row>
    <row x14ac:dyDescent="0.25" r="11" customHeight="1" ht="17.25">
      <c r="A11" s="20" t="s">
        <v>2757</v>
      </c>
      <c r="B11" s="20" t="s">
        <v>43</v>
      </c>
      <c r="C11" s="20" t="s">
        <v>15</v>
      </c>
      <c r="D11" s="20" t="s">
        <v>67</v>
      </c>
      <c r="E11" s="21">
        <f>ROUND(12244*1.05,2)</f>
      </c>
      <c r="F11" s="20" t="s">
        <v>44</v>
      </c>
      <c r="G11" s="20" t="s">
        <v>30</v>
      </c>
      <c r="H11" s="21">
        <f>ROUND(RAND()*4+6,1)</f>
      </c>
      <c r="I11" s="20" t="s">
        <v>45</v>
      </c>
      <c r="J11" s="23">
        <f>ROUND(96*1,0)&amp;"%"</f>
      </c>
    </row>
    <row x14ac:dyDescent="0.25" r="12" customHeight="1" ht="17.25">
      <c r="A12" s="17" t="s">
        <v>2758</v>
      </c>
      <c r="B12" s="17" t="s">
        <v>47</v>
      </c>
      <c r="C12" s="17" t="s">
        <v>15</v>
      </c>
      <c r="D12" s="17" t="s">
        <v>16</v>
      </c>
      <c r="E12" s="18">
        <f>ROUND(9285*1.05,2)</f>
      </c>
      <c r="F12" s="17" t="s">
        <v>48</v>
      </c>
      <c r="G12" s="17" t="s">
        <v>18</v>
      </c>
      <c r="H12" s="18">
        <f>ROUND(RAND()*4+6,1)</f>
      </c>
      <c r="I12" s="17" t="s">
        <v>19</v>
      </c>
      <c r="J12" s="19">
        <f>ROUND(80*1,0)&amp;"%"</f>
      </c>
    </row>
    <row x14ac:dyDescent="0.25" r="13" customHeight="1" ht="17.25">
      <c r="A13" s="20" t="s">
        <v>2759</v>
      </c>
      <c r="B13" s="20" t="s">
        <v>50</v>
      </c>
      <c r="C13" s="20" t="s">
        <v>15</v>
      </c>
      <c r="D13" s="20" t="s">
        <v>22</v>
      </c>
      <c r="E13" s="21">
        <f>ROUND(6356*1.05,2)</f>
      </c>
      <c r="F13" s="20" t="s">
        <v>51</v>
      </c>
      <c r="G13" s="20" t="s">
        <v>24</v>
      </c>
      <c r="H13" s="21">
        <f>ROUND(RAND()*4+6,1)</f>
      </c>
      <c r="I13" s="20" t="s">
        <v>25</v>
      </c>
      <c r="J13" s="23">
        <f>ROUND(83*1,0)&amp;"%"</f>
      </c>
    </row>
    <row x14ac:dyDescent="0.25" r="14" customHeight="1" ht="17.25">
      <c r="A14" s="24" t="s">
        <v>52</v>
      </c>
      <c r="B14" s="24"/>
      <c r="C14" s="24"/>
      <c r="D14" s="24"/>
      <c r="E14" s="25">
        <v>8</v>
      </c>
      <c r="F14" s="9"/>
      <c r="G14" s="9"/>
      <c r="H14" s="10"/>
      <c r="I14" s="9"/>
      <c r="J14" s="9"/>
    </row>
    <row x14ac:dyDescent="0.25" r="15" customHeight="1" ht="17.25">
      <c r="A15" s="7"/>
      <c r="B15" s="7"/>
      <c r="C15" s="7"/>
      <c r="D15" s="7"/>
      <c r="E15" s="8"/>
      <c r="F15" s="9"/>
      <c r="G15" s="9"/>
      <c r="H15" s="10"/>
      <c r="I15" s="9"/>
      <c r="J15" s="9"/>
    </row>
    <row x14ac:dyDescent="0.25" r="16" customHeight="1" ht="17.25">
      <c r="A16" s="11" t="s">
        <v>2760</v>
      </c>
      <c r="B16" s="11"/>
      <c r="C16" s="11"/>
      <c r="D16" s="11"/>
      <c r="E16" s="12"/>
      <c r="F16" s="11"/>
      <c r="G16" s="11"/>
      <c r="H16" s="13"/>
      <c r="I16" s="11"/>
      <c r="J16" s="11"/>
    </row>
    <row x14ac:dyDescent="0.25" r="17" customHeight="1" ht="17.25">
      <c r="A17" s="14" t="s">
        <v>3</v>
      </c>
      <c r="B17" s="14" t="s">
        <v>4</v>
      </c>
      <c r="C17" s="14" t="s">
        <v>5</v>
      </c>
      <c r="D17" s="14" t="s">
        <v>6</v>
      </c>
      <c r="E17" s="15" t="s">
        <v>7</v>
      </c>
      <c r="F17" s="14" t="s">
        <v>8</v>
      </c>
      <c r="G17" s="14" t="s">
        <v>9</v>
      </c>
      <c r="H17" s="16" t="s">
        <v>10</v>
      </c>
      <c r="I17" s="14" t="s">
        <v>11</v>
      </c>
      <c r="J17" s="14" t="s">
        <v>12</v>
      </c>
    </row>
    <row x14ac:dyDescent="0.25" r="18" customHeight="1" ht="17.25">
      <c r="A18" s="17" t="s">
        <v>2761</v>
      </c>
      <c r="B18" s="17" t="s">
        <v>55</v>
      </c>
      <c r="C18" s="17" t="s">
        <v>56</v>
      </c>
      <c r="D18" s="17" t="s">
        <v>16</v>
      </c>
      <c r="E18" s="18">
        <f>ROUND(14572*1.05,2)</f>
      </c>
      <c r="F18" s="17" t="s">
        <v>17</v>
      </c>
      <c r="G18" s="17" t="s">
        <v>18</v>
      </c>
      <c r="H18" s="18">
        <f>ROUND(RAND()*4+6,1)</f>
      </c>
      <c r="I18" s="17" t="s">
        <v>19</v>
      </c>
      <c r="J18" s="19">
        <f>ROUND(95*1,0)&amp;"%"</f>
      </c>
    </row>
    <row x14ac:dyDescent="0.25" r="19" customHeight="1" ht="17.25">
      <c r="A19" s="20" t="s">
        <v>2762</v>
      </c>
      <c r="B19" s="20" t="s">
        <v>58</v>
      </c>
      <c r="C19" s="20" t="s">
        <v>56</v>
      </c>
      <c r="D19" s="20" t="s">
        <v>22</v>
      </c>
      <c r="E19" s="21">
        <f>ROUND(5349*1.05,2)</f>
      </c>
      <c r="F19" s="20" t="s">
        <v>23</v>
      </c>
      <c r="G19" s="20" t="s">
        <v>24</v>
      </c>
      <c r="H19" s="21">
        <f>ROUND(RAND()*4+6,1)</f>
      </c>
      <c r="I19" s="20" t="s">
        <v>25</v>
      </c>
      <c r="J19" s="23">
        <f>ROUND(95*1,0)&amp;"%"</f>
      </c>
    </row>
    <row x14ac:dyDescent="0.25" r="20" customHeight="1" ht="17.25">
      <c r="A20" s="17" t="s">
        <v>2763</v>
      </c>
      <c r="B20" s="17" t="s">
        <v>60</v>
      </c>
      <c r="C20" s="17" t="s">
        <v>56</v>
      </c>
      <c r="D20" s="17" t="s">
        <v>28</v>
      </c>
      <c r="E20" s="18">
        <f>ROUND(17314*1.05,2)</f>
      </c>
      <c r="F20" s="17" t="s">
        <v>29</v>
      </c>
      <c r="G20" s="17" t="s">
        <v>30</v>
      </c>
      <c r="H20" s="18">
        <f>ROUND(RAND()*4+6,1)</f>
      </c>
      <c r="I20" s="17" t="s">
        <v>31</v>
      </c>
      <c r="J20" s="19">
        <f>ROUND(83*1,0)&amp;"%"</f>
      </c>
    </row>
    <row x14ac:dyDescent="0.25" r="21" customHeight="1" ht="17.25">
      <c r="A21" s="20" t="s">
        <v>2764</v>
      </c>
      <c r="B21" s="20" t="s">
        <v>62</v>
      </c>
      <c r="C21" s="20" t="s">
        <v>56</v>
      </c>
      <c r="D21" s="20" t="s">
        <v>34</v>
      </c>
      <c r="E21" s="21">
        <f>ROUND(15033*1.05,2)</f>
      </c>
      <c r="F21" s="20" t="s">
        <v>35</v>
      </c>
      <c r="G21" s="20" t="s">
        <v>18</v>
      </c>
      <c r="H21" s="21">
        <f>ROUND(RAND()*4+6,1)</f>
      </c>
      <c r="I21" s="20" t="s">
        <v>36</v>
      </c>
      <c r="J21" s="23">
        <f>ROUND(74*1,0)&amp;"%"</f>
      </c>
    </row>
    <row x14ac:dyDescent="0.25" r="22" customHeight="1" ht="17.25">
      <c r="A22" s="17" t="s">
        <v>2765</v>
      </c>
      <c r="B22" s="17" t="s">
        <v>64</v>
      </c>
      <c r="C22" s="17" t="s">
        <v>56</v>
      </c>
      <c r="D22" s="17" t="s">
        <v>39</v>
      </c>
      <c r="E22" s="18">
        <f>ROUND(11453*1.05,2)</f>
      </c>
      <c r="F22" s="17" t="s">
        <v>40</v>
      </c>
      <c r="G22" s="17" t="s">
        <v>24</v>
      </c>
      <c r="H22" s="18">
        <f>ROUND(RAND()*4+6,1)</f>
      </c>
      <c r="I22" s="17" t="s">
        <v>41</v>
      </c>
      <c r="J22" s="19">
        <f>ROUND(91*1,0)&amp;"%"</f>
      </c>
    </row>
    <row x14ac:dyDescent="0.25" r="23" customHeight="1" ht="17.25">
      <c r="A23" s="20" t="s">
        <v>2766</v>
      </c>
      <c r="B23" s="20" t="s">
        <v>66</v>
      </c>
      <c r="C23" s="20" t="s">
        <v>56</v>
      </c>
      <c r="D23" s="20" t="s">
        <v>67</v>
      </c>
      <c r="E23" s="21">
        <f>ROUND(16378*1.05,2)</f>
      </c>
      <c r="F23" s="20" t="s">
        <v>44</v>
      </c>
      <c r="G23" s="20" t="s">
        <v>30</v>
      </c>
      <c r="H23" s="21">
        <f>ROUND(RAND()*4+6,1)</f>
      </c>
      <c r="I23" s="20" t="s">
        <v>45</v>
      </c>
      <c r="J23" s="23">
        <f>ROUND(99*1,0)&amp;"%"</f>
      </c>
    </row>
    <row x14ac:dyDescent="0.25" r="24" customHeight="1" ht="17.25">
      <c r="A24" s="17" t="s">
        <v>2767</v>
      </c>
      <c r="B24" s="17" t="s">
        <v>69</v>
      </c>
      <c r="C24" s="17" t="s">
        <v>56</v>
      </c>
      <c r="D24" s="17" t="s">
        <v>16</v>
      </c>
      <c r="E24" s="18">
        <f>ROUND(17157*1.05,2)</f>
      </c>
      <c r="F24" s="17" t="s">
        <v>48</v>
      </c>
      <c r="G24" s="17" t="s">
        <v>18</v>
      </c>
      <c r="H24" s="18">
        <f>ROUND(RAND()*4+6,1)</f>
      </c>
      <c r="I24" s="17" t="s">
        <v>19</v>
      </c>
      <c r="J24" s="19">
        <f>ROUND(83*1,0)&amp;"%"</f>
      </c>
    </row>
    <row x14ac:dyDescent="0.25" r="25" customHeight="1" ht="17.25">
      <c r="A25" s="20" t="s">
        <v>2768</v>
      </c>
      <c r="B25" s="20" t="s">
        <v>71</v>
      </c>
      <c r="C25" s="20" t="s">
        <v>56</v>
      </c>
      <c r="D25" s="20" t="s">
        <v>22</v>
      </c>
      <c r="E25" s="21">
        <f>ROUND(12925*1.05,2)</f>
      </c>
      <c r="F25" s="20" t="s">
        <v>51</v>
      </c>
      <c r="G25" s="20" t="s">
        <v>24</v>
      </c>
      <c r="H25" s="21">
        <f>ROUND(RAND()*4+6,1)</f>
      </c>
      <c r="I25" s="20" t="s">
        <v>25</v>
      </c>
      <c r="J25" s="23">
        <f>ROUND(65*1,0)&amp;"%"</f>
      </c>
    </row>
    <row x14ac:dyDescent="0.25" r="26" customHeight="1" ht="17.25">
      <c r="A26" s="24" t="s">
        <v>72</v>
      </c>
      <c r="B26" s="24"/>
      <c r="C26" s="24"/>
      <c r="D26" s="24"/>
      <c r="E26" s="25">
        <v>8</v>
      </c>
      <c r="F26" s="9"/>
      <c r="G26" s="9"/>
      <c r="H26" s="10"/>
      <c r="I26" s="9"/>
      <c r="J26" s="9"/>
    </row>
    <row x14ac:dyDescent="0.25" r="27" customHeight="1" ht="17.25">
      <c r="A27" s="7"/>
      <c r="B27" s="7"/>
      <c r="C27" s="7"/>
      <c r="D27" s="7"/>
      <c r="E27" s="8"/>
      <c r="F27" s="9"/>
      <c r="G27" s="9"/>
      <c r="H27" s="10"/>
      <c r="I27" s="9"/>
      <c r="J27" s="9"/>
    </row>
    <row x14ac:dyDescent="0.25" r="28" customHeight="1" ht="17.25">
      <c r="A28" s="11" t="s">
        <v>2769</v>
      </c>
      <c r="B28" s="11"/>
      <c r="C28" s="11"/>
      <c r="D28" s="11"/>
      <c r="E28" s="12"/>
      <c r="F28" s="11"/>
      <c r="G28" s="11"/>
      <c r="H28" s="13"/>
      <c r="I28" s="11"/>
      <c r="J28" s="11"/>
    </row>
    <row x14ac:dyDescent="0.25" r="29" customHeight="1" ht="17.25">
      <c r="A29" s="14" t="s">
        <v>3</v>
      </c>
      <c r="B29" s="14" t="s">
        <v>4</v>
      </c>
      <c r="C29" s="14" t="s">
        <v>5</v>
      </c>
      <c r="D29" s="14" t="s">
        <v>6</v>
      </c>
      <c r="E29" s="15" t="s">
        <v>7</v>
      </c>
      <c r="F29" s="14" t="s">
        <v>8</v>
      </c>
      <c r="G29" s="14" t="s">
        <v>9</v>
      </c>
      <c r="H29" s="16" t="s">
        <v>10</v>
      </c>
      <c r="I29" s="14" t="s">
        <v>11</v>
      </c>
      <c r="J29" s="14" t="s">
        <v>12</v>
      </c>
    </row>
    <row x14ac:dyDescent="0.25" r="30" customHeight="1" ht="17.25">
      <c r="A30" s="17" t="s">
        <v>2770</v>
      </c>
      <c r="B30" s="17" t="s">
        <v>75</v>
      </c>
      <c r="C30" s="17" t="s">
        <v>76</v>
      </c>
      <c r="D30" s="17" t="s">
        <v>16</v>
      </c>
      <c r="E30" s="18">
        <f>ROUND(9061*1.05,2)</f>
      </c>
      <c r="F30" s="17" t="s">
        <v>17</v>
      </c>
      <c r="G30" s="17" t="s">
        <v>18</v>
      </c>
      <c r="H30" s="18">
        <f>ROUND(RAND()*4+6,1)</f>
      </c>
      <c r="I30" s="17" t="s">
        <v>19</v>
      </c>
      <c r="J30" s="19">
        <f>ROUND(90*1,0)&amp;"%"</f>
      </c>
    </row>
    <row x14ac:dyDescent="0.25" r="31" customHeight="1" ht="17.25">
      <c r="A31" s="20" t="s">
        <v>2771</v>
      </c>
      <c r="B31" s="20" t="s">
        <v>78</v>
      </c>
      <c r="C31" s="20" t="s">
        <v>76</v>
      </c>
      <c r="D31" s="20" t="s">
        <v>22</v>
      </c>
      <c r="E31" s="21">
        <f>ROUND(9108*1.05,2)</f>
      </c>
      <c r="F31" s="20" t="s">
        <v>23</v>
      </c>
      <c r="G31" s="20" t="s">
        <v>24</v>
      </c>
      <c r="H31" s="21">
        <f>ROUND(RAND()*4+6,1)</f>
      </c>
      <c r="I31" s="20" t="s">
        <v>25</v>
      </c>
      <c r="J31" s="23">
        <f>ROUND(71*1,0)&amp;"%"</f>
      </c>
    </row>
    <row x14ac:dyDescent="0.25" r="32" customHeight="1" ht="17.25">
      <c r="A32" s="17" t="s">
        <v>2772</v>
      </c>
      <c r="B32" s="17" t="s">
        <v>80</v>
      </c>
      <c r="C32" s="17" t="s">
        <v>76</v>
      </c>
      <c r="D32" s="17" t="s">
        <v>28</v>
      </c>
      <c r="E32" s="18">
        <f>ROUND(14193*1.05,2)</f>
      </c>
      <c r="F32" s="17" t="s">
        <v>29</v>
      </c>
      <c r="G32" s="17" t="s">
        <v>30</v>
      </c>
      <c r="H32" s="18">
        <f>ROUND(RAND()*4+6,1)</f>
      </c>
      <c r="I32" s="17" t="s">
        <v>31</v>
      </c>
      <c r="J32" s="19">
        <f>ROUND(82*1,0)&amp;"%"</f>
      </c>
    </row>
    <row x14ac:dyDescent="0.25" r="33" customHeight="1" ht="17.25">
      <c r="A33" s="20" t="s">
        <v>2773</v>
      </c>
      <c r="B33" s="20" t="s">
        <v>82</v>
      </c>
      <c r="C33" s="20" t="s">
        <v>76</v>
      </c>
      <c r="D33" s="20" t="s">
        <v>34</v>
      </c>
      <c r="E33" s="21">
        <f>ROUND(12118*1.05,2)</f>
      </c>
      <c r="F33" s="20" t="s">
        <v>35</v>
      </c>
      <c r="G33" s="20" t="s">
        <v>18</v>
      </c>
      <c r="H33" s="21">
        <f>ROUND(RAND()*4+6,1)</f>
      </c>
      <c r="I33" s="20" t="s">
        <v>36</v>
      </c>
      <c r="J33" s="23">
        <f>ROUND(88*1,0)&amp;"%"</f>
      </c>
    </row>
    <row x14ac:dyDescent="0.25" r="34" customHeight="1" ht="17.25">
      <c r="A34" s="17" t="s">
        <v>2774</v>
      </c>
      <c r="B34" s="17" t="s">
        <v>84</v>
      </c>
      <c r="C34" s="17" t="s">
        <v>76</v>
      </c>
      <c r="D34" s="17" t="s">
        <v>39</v>
      </c>
      <c r="E34" s="18">
        <f>ROUND(17169*1.05,2)</f>
      </c>
      <c r="F34" s="17" t="s">
        <v>40</v>
      </c>
      <c r="G34" s="17" t="s">
        <v>24</v>
      </c>
      <c r="H34" s="18">
        <f>ROUND(RAND()*4+6,1)</f>
      </c>
      <c r="I34" s="17" t="s">
        <v>41</v>
      </c>
      <c r="J34" s="19">
        <f>ROUND(71*1,0)&amp;"%"</f>
      </c>
    </row>
    <row x14ac:dyDescent="0.25" r="35" customHeight="1" ht="17.25">
      <c r="A35" s="20" t="s">
        <v>2775</v>
      </c>
      <c r="B35" s="20" t="s">
        <v>86</v>
      </c>
      <c r="C35" s="20" t="s">
        <v>76</v>
      </c>
      <c r="D35" s="20" t="s">
        <v>67</v>
      </c>
      <c r="E35" s="21">
        <f>ROUND(14368*1.05,2)</f>
      </c>
      <c r="F35" s="20" t="s">
        <v>44</v>
      </c>
      <c r="G35" s="20" t="s">
        <v>30</v>
      </c>
      <c r="H35" s="21">
        <f>ROUND(RAND()*4+6,1)</f>
      </c>
      <c r="I35" s="20" t="s">
        <v>45</v>
      </c>
      <c r="J35" s="23">
        <f>ROUND(77*1,0)&amp;"%"</f>
      </c>
    </row>
    <row x14ac:dyDescent="0.25" r="36" customHeight="1" ht="17.25">
      <c r="A36" s="17" t="s">
        <v>2776</v>
      </c>
      <c r="B36" s="17" t="s">
        <v>88</v>
      </c>
      <c r="C36" s="17" t="s">
        <v>76</v>
      </c>
      <c r="D36" s="17" t="s">
        <v>16</v>
      </c>
      <c r="E36" s="18">
        <f>ROUND(11650*1.05,2)</f>
      </c>
      <c r="F36" s="17" t="s">
        <v>48</v>
      </c>
      <c r="G36" s="17" t="s">
        <v>18</v>
      </c>
      <c r="H36" s="18">
        <f>ROUND(RAND()*4+6,1)</f>
      </c>
      <c r="I36" s="17" t="s">
        <v>19</v>
      </c>
      <c r="J36" s="19">
        <f>ROUND(89*1,0)&amp;"%"</f>
      </c>
    </row>
    <row x14ac:dyDescent="0.25" r="37" customHeight="1" ht="17.25">
      <c r="A37" s="20" t="s">
        <v>2777</v>
      </c>
      <c r="B37" s="20" t="s">
        <v>90</v>
      </c>
      <c r="C37" s="20" t="s">
        <v>76</v>
      </c>
      <c r="D37" s="20" t="s">
        <v>22</v>
      </c>
      <c r="E37" s="21">
        <f>ROUND(11479*1.05,2)</f>
      </c>
      <c r="F37" s="20" t="s">
        <v>51</v>
      </c>
      <c r="G37" s="20" t="s">
        <v>24</v>
      </c>
      <c r="H37" s="21">
        <f>ROUND(RAND()*4+6,1)</f>
      </c>
      <c r="I37" s="20" t="s">
        <v>25</v>
      </c>
      <c r="J37" s="23">
        <f>ROUND(77*1,0)&amp;"%"</f>
      </c>
    </row>
    <row x14ac:dyDescent="0.25" r="38" customHeight="1" ht="17.25">
      <c r="A38" s="24" t="s">
        <v>91</v>
      </c>
      <c r="B38" s="24"/>
      <c r="C38" s="24"/>
      <c r="D38" s="24"/>
      <c r="E38" s="25">
        <v>8</v>
      </c>
      <c r="F38" s="9"/>
      <c r="G38" s="9"/>
      <c r="H38" s="10"/>
      <c r="I38" s="9"/>
      <c r="J38" s="9"/>
    </row>
    <row x14ac:dyDescent="0.25" r="39" customHeight="1" ht="17.25">
      <c r="A39" s="7"/>
      <c r="B39" s="7"/>
      <c r="C39" s="7"/>
      <c r="D39" s="7"/>
      <c r="E39" s="8"/>
      <c r="F39" s="9"/>
      <c r="G39" s="9"/>
      <c r="H39" s="10"/>
      <c r="I39" s="9"/>
      <c r="J39" s="9"/>
    </row>
    <row x14ac:dyDescent="0.25" r="40" customHeight="1" ht="17.25">
      <c r="A40" s="11" t="s">
        <v>2778</v>
      </c>
      <c r="B40" s="11"/>
      <c r="C40" s="11"/>
      <c r="D40" s="11"/>
      <c r="E40" s="12"/>
      <c r="F40" s="11"/>
      <c r="G40" s="11"/>
      <c r="H40" s="13"/>
      <c r="I40" s="11"/>
      <c r="J40" s="11"/>
    </row>
    <row x14ac:dyDescent="0.25" r="41" customHeight="1" ht="17.25">
      <c r="A41" s="14" t="s">
        <v>3</v>
      </c>
      <c r="B41" s="14" t="s">
        <v>4</v>
      </c>
      <c r="C41" s="14" t="s">
        <v>5</v>
      </c>
      <c r="D41" s="14" t="s">
        <v>6</v>
      </c>
      <c r="E41" s="15" t="s">
        <v>7</v>
      </c>
      <c r="F41" s="14" t="s">
        <v>8</v>
      </c>
      <c r="G41" s="14" t="s">
        <v>9</v>
      </c>
      <c r="H41" s="16" t="s">
        <v>10</v>
      </c>
      <c r="I41" s="14" t="s">
        <v>11</v>
      </c>
      <c r="J41" s="14" t="s">
        <v>12</v>
      </c>
    </row>
    <row x14ac:dyDescent="0.25" r="42" customHeight="1" ht="17.25">
      <c r="A42" s="17" t="s">
        <v>2779</v>
      </c>
      <c r="B42" s="17" t="s">
        <v>94</v>
      </c>
      <c r="C42" s="17" t="s">
        <v>95</v>
      </c>
      <c r="D42" s="17" t="s">
        <v>16</v>
      </c>
      <c r="E42" s="18">
        <f>ROUND(13543*1.05,2)</f>
      </c>
      <c r="F42" s="17" t="s">
        <v>17</v>
      </c>
      <c r="G42" s="17" t="s">
        <v>18</v>
      </c>
      <c r="H42" s="18">
        <f>ROUND(RAND()*4+6,1)</f>
      </c>
      <c r="I42" s="17" t="s">
        <v>19</v>
      </c>
      <c r="J42" s="19">
        <f>ROUND(79*1,0)&amp;"%"</f>
      </c>
    </row>
    <row x14ac:dyDescent="0.25" r="43" customHeight="1" ht="17.25">
      <c r="A43" s="20" t="s">
        <v>2780</v>
      </c>
      <c r="B43" s="20" t="s">
        <v>97</v>
      </c>
      <c r="C43" s="20" t="s">
        <v>95</v>
      </c>
      <c r="D43" s="20" t="s">
        <v>22</v>
      </c>
      <c r="E43" s="21">
        <f>ROUND(4924*1.05,2)</f>
      </c>
      <c r="F43" s="20" t="s">
        <v>23</v>
      </c>
      <c r="G43" s="20" t="s">
        <v>24</v>
      </c>
      <c r="H43" s="21">
        <f>ROUND(RAND()*4+6,1)</f>
      </c>
      <c r="I43" s="20" t="s">
        <v>25</v>
      </c>
      <c r="J43" s="23">
        <f>ROUND(87*1,0)&amp;"%"</f>
      </c>
    </row>
    <row x14ac:dyDescent="0.25" r="44" customHeight="1" ht="17.25">
      <c r="A44" s="17" t="s">
        <v>2781</v>
      </c>
      <c r="B44" s="17" t="s">
        <v>99</v>
      </c>
      <c r="C44" s="17" t="s">
        <v>95</v>
      </c>
      <c r="D44" s="17" t="s">
        <v>28</v>
      </c>
      <c r="E44" s="18">
        <f>ROUND(16877*1.05,2)</f>
      </c>
      <c r="F44" s="17" t="s">
        <v>29</v>
      </c>
      <c r="G44" s="17" t="s">
        <v>30</v>
      </c>
      <c r="H44" s="18">
        <f>ROUND(RAND()*4+6,1)</f>
      </c>
      <c r="I44" s="17" t="s">
        <v>31</v>
      </c>
      <c r="J44" s="19">
        <f>ROUND(90*1,0)&amp;"%"</f>
      </c>
    </row>
    <row x14ac:dyDescent="0.25" r="45" customHeight="1" ht="17.25">
      <c r="A45" s="20" t="s">
        <v>2782</v>
      </c>
      <c r="B45" s="20" t="s">
        <v>101</v>
      </c>
      <c r="C45" s="20" t="s">
        <v>95</v>
      </c>
      <c r="D45" s="20" t="s">
        <v>34</v>
      </c>
      <c r="E45" s="21">
        <f>ROUND(9012*1.05,2)</f>
      </c>
      <c r="F45" s="20" t="s">
        <v>35</v>
      </c>
      <c r="G45" s="20" t="s">
        <v>18</v>
      </c>
      <c r="H45" s="21">
        <f>ROUND(RAND()*4+6,1)</f>
      </c>
      <c r="I45" s="20" t="s">
        <v>36</v>
      </c>
      <c r="J45" s="23">
        <f>ROUND(74*1,0)&amp;"%"</f>
      </c>
    </row>
    <row x14ac:dyDescent="0.25" r="46" customHeight="1" ht="17.25">
      <c r="A46" s="17" t="s">
        <v>2783</v>
      </c>
      <c r="B46" s="17" t="s">
        <v>103</v>
      </c>
      <c r="C46" s="17" t="s">
        <v>95</v>
      </c>
      <c r="D46" s="17" t="s">
        <v>39</v>
      </c>
      <c r="E46" s="18">
        <f>ROUND(13766*1.05,2)</f>
      </c>
      <c r="F46" s="17" t="s">
        <v>40</v>
      </c>
      <c r="G46" s="17" t="s">
        <v>24</v>
      </c>
      <c r="H46" s="18">
        <f>ROUND(RAND()*4+6,1)</f>
      </c>
      <c r="I46" s="17" t="s">
        <v>41</v>
      </c>
      <c r="J46" s="19">
        <f>ROUND(73*1,0)&amp;"%"</f>
      </c>
    </row>
    <row x14ac:dyDescent="0.25" r="47" customHeight="1" ht="17.25">
      <c r="A47" s="20" t="s">
        <v>2784</v>
      </c>
      <c r="B47" s="20" t="s">
        <v>105</v>
      </c>
      <c r="C47" s="20" t="s">
        <v>95</v>
      </c>
      <c r="D47" s="20" t="s">
        <v>67</v>
      </c>
      <c r="E47" s="21">
        <f>ROUND(4926*1.05,2)</f>
      </c>
      <c r="F47" s="20" t="s">
        <v>44</v>
      </c>
      <c r="G47" s="20" t="s">
        <v>30</v>
      </c>
      <c r="H47" s="21">
        <f>ROUND(RAND()*4+6,1)</f>
      </c>
      <c r="I47" s="20" t="s">
        <v>45</v>
      </c>
      <c r="J47" s="23">
        <f>ROUND(66*1,0)&amp;"%"</f>
      </c>
    </row>
    <row x14ac:dyDescent="0.25" r="48" customHeight="1" ht="17.25">
      <c r="A48" s="17" t="s">
        <v>2785</v>
      </c>
      <c r="B48" s="17" t="s">
        <v>107</v>
      </c>
      <c r="C48" s="17" t="s">
        <v>95</v>
      </c>
      <c r="D48" s="17" t="s">
        <v>16</v>
      </c>
      <c r="E48" s="18">
        <f>ROUND(11741*1.05,2)</f>
      </c>
      <c r="F48" s="17" t="s">
        <v>48</v>
      </c>
      <c r="G48" s="17" t="s">
        <v>18</v>
      </c>
      <c r="H48" s="26">
        <f>ROUND(RAND()*4+6,1)</f>
      </c>
      <c r="I48" s="17" t="s">
        <v>19</v>
      </c>
      <c r="J48" s="19">
        <f>ROUND(72*1,0)&amp;"%"</f>
      </c>
    </row>
    <row x14ac:dyDescent="0.25" r="49" customHeight="1" ht="17.25">
      <c r="A49" s="20" t="s">
        <v>2786</v>
      </c>
      <c r="B49" s="20" t="s">
        <v>109</v>
      </c>
      <c r="C49" s="20" t="s">
        <v>95</v>
      </c>
      <c r="D49" s="20" t="s">
        <v>22</v>
      </c>
      <c r="E49" s="21">
        <f>ROUND(4836*1.05,2)</f>
      </c>
      <c r="F49" s="20" t="s">
        <v>51</v>
      </c>
      <c r="G49" s="20" t="s">
        <v>24</v>
      </c>
      <c r="H49" s="21">
        <f>ROUND(RAND()*4+6,1)</f>
      </c>
      <c r="I49" s="20" t="s">
        <v>25</v>
      </c>
      <c r="J49" s="23">
        <f>ROUND(72*1,0)&amp;"%"</f>
      </c>
    </row>
    <row x14ac:dyDescent="0.25" r="50" customHeight="1" ht="17.25">
      <c r="A50" s="24" t="s">
        <v>110</v>
      </c>
      <c r="B50" s="24"/>
      <c r="C50" s="24"/>
      <c r="D50" s="24"/>
      <c r="E50" s="25">
        <v>8</v>
      </c>
      <c r="F50" s="9"/>
      <c r="G50" s="9"/>
      <c r="H50" s="10"/>
      <c r="I50" s="9"/>
      <c r="J50" s="9"/>
    </row>
    <row x14ac:dyDescent="0.25" r="51" customHeight="1" ht="17.25">
      <c r="A51" s="7"/>
      <c r="B51" s="7"/>
      <c r="C51" s="7"/>
      <c r="D51" s="7"/>
      <c r="E51" s="8"/>
      <c r="F51" s="9"/>
      <c r="G51" s="9"/>
      <c r="H51" s="10"/>
      <c r="I51" s="9"/>
      <c r="J51" s="9"/>
    </row>
    <row x14ac:dyDescent="0.25" r="52" customHeight="1" ht="17.25">
      <c r="A52" s="11" t="s">
        <v>2787</v>
      </c>
      <c r="B52" s="11"/>
      <c r="C52" s="11"/>
      <c r="D52" s="11"/>
      <c r="E52" s="12"/>
      <c r="F52" s="11"/>
      <c r="G52" s="11"/>
      <c r="H52" s="13"/>
      <c r="I52" s="11"/>
      <c r="J52" s="11"/>
    </row>
    <row x14ac:dyDescent="0.25" r="53" customHeight="1" ht="17.25">
      <c r="A53" s="14" t="s">
        <v>3</v>
      </c>
      <c r="B53" s="14" t="s">
        <v>4</v>
      </c>
      <c r="C53" s="14" t="s">
        <v>5</v>
      </c>
      <c r="D53" s="14" t="s">
        <v>6</v>
      </c>
      <c r="E53" s="15" t="s">
        <v>7</v>
      </c>
      <c r="F53" s="14" t="s">
        <v>8</v>
      </c>
      <c r="G53" s="14" t="s">
        <v>9</v>
      </c>
      <c r="H53" s="16" t="s">
        <v>10</v>
      </c>
      <c r="I53" s="14" t="s">
        <v>11</v>
      </c>
      <c r="J53" s="14" t="s">
        <v>12</v>
      </c>
    </row>
    <row x14ac:dyDescent="0.25" r="54" customHeight="1" ht="17.25">
      <c r="A54" s="17" t="s">
        <v>2788</v>
      </c>
      <c r="B54" s="17" t="s">
        <v>113</v>
      </c>
      <c r="C54" s="17" t="s">
        <v>114</v>
      </c>
      <c r="D54" s="17" t="s">
        <v>16</v>
      </c>
      <c r="E54" s="18">
        <f>ROUND(9109*1.05,2)</f>
      </c>
      <c r="F54" s="17" t="s">
        <v>17</v>
      </c>
      <c r="G54" s="17" t="s">
        <v>18</v>
      </c>
      <c r="H54" s="18">
        <f>ROUND(RAND()*4+6,1)</f>
      </c>
      <c r="I54" s="17" t="s">
        <v>19</v>
      </c>
      <c r="J54" s="19">
        <f>ROUND(99*1,0)&amp;"%"</f>
      </c>
    </row>
    <row x14ac:dyDescent="0.25" r="55" customHeight="1" ht="17.25">
      <c r="A55" s="20" t="s">
        <v>2789</v>
      </c>
      <c r="B55" s="20" t="s">
        <v>116</v>
      </c>
      <c r="C55" s="20" t="s">
        <v>114</v>
      </c>
      <c r="D55" s="20" t="s">
        <v>22</v>
      </c>
      <c r="E55" s="21">
        <f>ROUND(16263*1.05,2)</f>
      </c>
      <c r="F55" s="20" t="s">
        <v>23</v>
      </c>
      <c r="G55" s="20" t="s">
        <v>24</v>
      </c>
      <c r="H55" s="21">
        <f>ROUND(RAND()*4+6,1)</f>
      </c>
      <c r="I55" s="20" t="s">
        <v>25</v>
      </c>
      <c r="J55" s="23">
        <f>ROUND(90*1,0)&amp;"%"</f>
      </c>
    </row>
    <row x14ac:dyDescent="0.25" r="56" customHeight="1" ht="17.25">
      <c r="A56" s="17" t="s">
        <v>2790</v>
      </c>
      <c r="B56" s="17" t="s">
        <v>118</v>
      </c>
      <c r="C56" s="17" t="s">
        <v>114</v>
      </c>
      <c r="D56" s="17" t="s">
        <v>28</v>
      </c>
      <c r="E56" s="18">
        <f>ROUND(11927*1.05,2)</f>
      </c>
      <c r="F56" s="17" t="s">
        <v>29</v>
      </c>
      <c r="G56" s="17" t="s">
        <v>30</v>
      </c>
      <c r="H56" s="18">
        <f>ROUND(RAND()*4+6,1)</f>
      </c>
      <c r="I56" s="17" t="s">
        <v>31</v>
      </c>
      <c r="J56" s="19">
        <f>ROUND(87*1,0)&amp;"%"</f>
      </c>
    </row>
    <row x14ac:dyDescent="0.25" r="57" customHeight="1" ht="17.25">
      <c r="A57" s="20" t="s">
        <v>2791</v>
      </c>
      <c r="B57" s="20" t="s">
        <v>120</v>
      </c>
      <c r="C57" s="20" t="s">
        <v>114</v>
      </c>
      <c r="D57" s="20" t="s">
        <v>34</v>
      </c>
      <c r="E57" s="21">
        <f>ROUND(11397*1.05,2)</f>
      </c>
      <c r="F57" s="20" t="s">
        <v>35</v>
      </c>
      <c r="G57" s="20" t="s">
        <v>18</v>
      </c>
      <c r="H57" s="22">
        <f>ROUND(RAND()*4+6,1)</f>
      </c>
      <c r="I57" s="20" t="s">
        <v>36</v>
      </c>
      <c r="J57" s="23">
        <f>ROUND(65*1,0)&amp;"%"</f>
      </c>
    </row>
    <row x14ac:dyDescent="0.25" r="58" customHeight="1" ht="17.25">
      <c r="A58" s="17" t="s">
        <v>2792</v>
      </c>
      <c r="B58" s="17" t="s">
        <v>122</v>
      </c>
      <c r="C58" s="17" t="s">
        <v>114</v>
      </c>
      <c r="D58" s="17" t="s">
        <v>39</v>
      </c>
      <c r="E58" s="18">
        <f>ROUND(14618*1.05,2)</f>
      </c>
      <c r="F58" s="17" t="s">
        <v>40</v>
      </c>
      <c r="G58" s="17" t="s">
        <v>24</v>
      </c>
      <c r="H58" s="18">
        <f>ROUND(RAND()*4+6,1)</f>
      </c>
      <c r="I58" s="17" t="s">
        <v>41</v>
      </c>
      <c r="J58" s="19">
        <f>ROUND(77*1,0)&amp;"%"</f>
      </c>
    </row>
    <row x14ac:dyDescent="0.25" r="59" customHeight="1" ht="17.25">
      <c r="A59" s="20" t="s">
        <v>2793</v>
      </c>
      <c r="B59" s="20" t="s">
        <v>124</v>
      </c>
      <c r="C59" s="20" t="s">
        <v>114</v>
      </c>
      <c r="D59" s="20" t="s">
        <v>67</v>
      </c>
      <c r="E59" s="22">
        <f>ROUND(7980*1.05,2)</f>
      </c>
      <c r="F59" s="20" t="s">
        <v>44</v>
      </c>
      <c r="G59" s="20" t="s">
        <v>30</v>
      </c>
      <c r="H59" s="21">
        <f>ROUND(RAND()*4+6,1)</f>
      </c>
      <c r="I59" s="20" t="s">
        <v>45</v>
      </c>
      <c r="J59" s="23">
        <f>ROUND(82*1,0)&amp;"%"</f>
      </c>
    </row>
    <row x14ac:dyDescent="0.25" r="60" customHeight="1" ht="17.25">
      <c r="A60" s="17" t="s">
        <v>2794</v>
      </c>
      <c r="B60" s="17" t="s">
        <v>126</v>
      </c>
      <c r="C60" s="17" t="s">
        <v>114</v>
      </c>
      <c r="D60" s="17" t="s">
        <v>16</v>
      </c>
      <c r="E60" s="18">
        <f>ROUND(11417*1.05,2)</f>
      </c>
      <c r="F60" s="17" t="s">
        <v>48</v>
      </c>
      <c r="G60" s="17" t="s">
        <v>18</v>
      </c>
      <c r="H60" s="18">
        <f>ROUND(RAND()*4+6,1)</f>
      </c>
      <c r="I60" s="17" t="s">
        <v>19</v>
      </c>
      <c r="J60" s="19">
        <f>ROUND(94*1,0)&amp;"%"</f>
      </c>
    </row>
    <row x14ac:dyDescent="0.25" r="61" customHeight="1" ht="17.25">
      <c r="A61" s="20" t="s">
        <v>2795</v>
      </c>
      <c r="B61" s="20" t="s">
        <v>128</v>
      </c>
      <c r="C61" s="20" t="s">
        <v>114</v>
      </c>
      <c r="D61" s="20" t="s">
        <v>22</v>
      </c>
      <c r="E61" s="21">
        <f>ROUND(7378*1.05,2)</f>
      </c>
      <c r="F61" s="20" t="s">
        <v>51</v>
      </c>
      <c r="G61" s="20" t="s">
        <v>24</v>
      </c>
      <c r="H61" s="22">
        <f>ROUND(RAND()*4+6,1)</f>
      </c>
      <c r="I61" s="20" t="s">
        <v>25</v>
      </c>
      <c r="J61" s="23">
        <f>ROUND(74*1,0)&amp;"%"</f>
      </c>
    </row>
    <row x14ac:dyDescent="0.25" r="62" customHeight="1" ht="17.25">
      <c r="A62" s="24" t="s">
        <v>129</v>
      </c>
      <c r="B62" s="24"/>
      <c r="C62" s="24"/>
      <c r="D62" s="24"/>
      <c r="E62" s="25">
        <v>8</v>
      </c>
      <c r="F62" s="9"/>
      <c r="G62" s="9"/>
      <c r="H62" s="10"/>
      <c r="I62" s="9"/>
      <c r="J62" s="9"/>
    </row>
    <row x14ac:dyDescent="0.25" r="63" customHeight="1" ht="17.25">
      <c r="A63" s="7"/>
      <c r="B63" s="7"/>
      <c r="C63" s="7"/>
      <c r="D63" s="7"/>
      <c r="E63" s="8"/>
      <c r="F63" s="9"/>
      <c r="G63" s="9"/>
      <c r="H63" s="10"/>
      <c r="I63" s="9"/>
      <c r="J63" s="9"/>
    </row>
    <row x14ac:dyDescent="0.25" r="64" customHeight="1" ht="17.25">
      <c r="A64" s="11" t="s">
        <v>2796</v>
      </c>
      <c r="B64" s="11"/>
      <c r="C64" s="11"/>
      <c r="D64" s="11"/>
      <c r="E64" s="12"/>
      <c r="F64" s="11"/>
      <c r="G64" s="11"/>
      <c r="H64" s="13"/>
      <c r="I64" s="11"/>
      <c r="J64" s="11"/>
    </row>
    <row x14ac:dyDescent="0.25" r="65" customHeight="1" ht="17.25">
      <c r="A65" s="14" t="s">
        <v>3</v>
      </c>
      <c r="B65" s="14" t="s">
        <v>4</v>
      </c>
      <c r="C65" s="14" t="s">
        <v>5</v>
      </c>
      <c r="D65" s="14" t="s">
        <v>6</v>
      </c>
      <c r="E65" s="15" t="s">
        <v>7</v>
      </c>
      <c r="F65" s="14" t="s">
        <v>8</v>
      </c>
      <c r="G65" s="14" t="s">
        <v>9</v>
      </c>
      <c r="H65" s="16" t="s">
        <v>10</v>
      </c>
      <c r="I65" s="14" t="s">
        <v>11</v>
      </c>
      <c r="J65" s="14" t="s">
        <v>12</v>
      </c>
    </row>
    <row x14ac:dyDescent="0.25" r="66" customHeight="1" ht="17.25">
      <c r="A66" s="17" t="s">
        <v>2797</v>
      </c>
      <c r="B66" s="17" t="s">
        <v>132</v>
      </c>
      <c r="C66" s="17" t="s">
        <v>133</v>
      </c>
      <c r="D66" s="17" t="s">
        <v>16</v>
      </c>
      <c r="E66" s="18">
        <f>ROUND(11622*1.05,2)</f>
      </c>
      <c r="F66" s="17" t="s">
        <v>17</v>
      </c>
      <c r="G66" s="17" t="s">
        <v>18</v>
      </c>
      <c r="H66" s="18">
        <f>ROUND(RAND()*4+6,1)</f>
      </c>
      <c r="I66" s="17" t="s">
        <v>19</v>
      </c>
      <c r="J66" s="19">
        <f>ROUND(98*1,0)&amp;"%"</f>
      </c>
    </row>
    <row x14ac:dyDescent="0.25" r="67" customHeight="1" ht="17.25">
      <c r="A67" s="20" t="s">
        <v>2798</v>
      </c>
      <c r="B67" s="20" t="s">
        <v>135</v>
      </c>
      <c r="C67" s="20" t="s">
        <v>133</v>
      </c>
      <c r="D67" s="20" t="s">
        <v>22</v>
      </c>
      <c r="E67" s="21">
        <f>ROUND(16019*1.05,2)</f>
      </c>
      <c r="F67" s="20" t="s">
        <v>23</v>
      </c>
      <c r="G67" s="20" t="s">
        <v>24</v>
      </c>
      <c r="H67" s="22">
        <f>ROUND(RAND()*4+6,1)</f>
      </c>
      <c r="I67" s="20" t="s">
        <v>25</v>
      </c>
      <c r="J67" s="23">
        <f>ROUND(61*1,0)&amp;"%"</f>
      </c>
    </row>
    <row x14ac:dyDescent="0.25" r="68" customHeight="1" ht="17.25">
      <c r="A68" s="17" t="s">
        <v>2799</v>
      </c>
      <c r="B68" s="17" t="s">
        <v>137</v>
      </c>
      <c r="C68" s="17" t="s">
        <v>133</v>
      </c>
      <c r="D68" s="17" t="s">
        <v>28</v>
      </c>
      <c r="E68" s="18">
        <f>ROUND(14958*1.05,2)</f>
      </c>
      <c r="F68" s="17" t="s">
        <v>29</v>
      </c>
      <c r="G68" s="17" t="s">
        <v>30</v>
      </c>
      <c r="H68" s="18">
        <f>ROUND(RAND()*4+6,1)</f>
      </c>
      <c r="I68" s="17" t="s">
        <v>31</v>
      </c>
      <c r="J68" s="19">
        <f>ROUND(66*1,0)&amp;"%"</f>
      </c>
    </row>
    <row x14ac:dyDescent="0.25" r="69" customHeight="1" ht="17.25">
      <c r="A69" s="20" t="s">
        <v>2800</v>
      </c>
      <c r="B69" s="20" t="s">
        <v>139</v>
      </c>
      <c r="C69" s="20" t="s">
        <v>133</v>
      </c>
      <c r="D69" s="20" t="s">
        <v>34</v>
      </c>
      <c r="E69" s="21">
        <f>ROUND(17025*1.05,2)</f>
      </c>
      <c r="F69" s="20" t="s">
        <v>35</v>
      </c>
      <c r="G69" s="20" t="s">
        <v>18</v>
      </c>
      <c r="H69" s="21">
        <f>ROUND(RAND()*4+6,1)</f>
      </c>
      <c r="I69" s="20" t="s">
        <v>36</v>
      </c>
      <c r="J69" s="23">
        <f>ROUND(87*1,0)&amp;"%"</f>
      </c>
    </row>
    <row x14ac:dyDescent="0.25" r="70" customHeight="1" ht="17.25">
      <c r="A70" s="17" t="s">
        <v>2801</v>
      </c>
      <c r="B70" s="17" t="s">
        <v>141</v>
      </c>
      <c r="C70" s="17" t="s">
        <v>133</v>
      </c>
      <c r="D70" s="17" t="s">
        <v>39</v>
      </c>
      <c r="E70" s="18">
        <f>ROUND(15032*1.05,2)</f>
      </c>
      <c r="F70" s="17" t="s">
        <v>40</v>
      </c>
      <c r="G70" s="17" t="s">
        <v>24</v>
      </c>
      <c r="H70" s="18">
        <f>ROUND(RAND()*4+6,1)</f>
      </c>
      <c r="I70" s="17" t="s">
        <v>41</v>
      </c>
      <c r="J70" s="19">
        <f>ROUND(62*1,0)&amp;"%"</f>
      </c>
    </row>
    <row x14ac:dyDescent="0.25" r="71" customHeight="1" ht="17.25">
      <c r="A71" s="20" t="s">
        <v>2802</v>
      </c>
      <c r="B71" s="20" t="s">
        <v>143</v>
      </c>
      <c r="C71" s="20" t="s">
        <v>133</v>
      </c>
      <c r="D71" s="20" t="s">
        <v>67</v>
      </c>
      <c r="E71" s="21">
        <f>ROUND(14786*1.05,2)</f>
      </c>
      <c r="F71" s="20" t="s">
        <v>44</v>
      </c>
      <c r="G71" s="20" t="s">
        <v>30</v>
      </c>
      <c r="H71" s="21">
        <f>ROUND(RAND()*4+6,1)</f>
      </c>
      <c r="I71" s="20" t="s">
        <v>45</v>
      </c>
      <c r="J71" s="23">
        <f>ROUND(77*1,0)&amp;"%"</f>
      </c>
    </row>
    <row x14ac:dyDescent="0.25" r="72" customHeight="1" ht="17.25">
      <c r="A72" s="17" t="s">
        <v>2803</v>
      </c>
      <c r="B72" s="17" t="s">
        <v>145</v>
      </c>
      <c r="C72" s="17" t="s">
        <v>133</v>
      </c>
      <c r="D72" s="17" t="s">
        <v>16</v>
      </c>
      <c r="E72" s="18">
        <f>ROUND(13784*1.05,2)</f>
      </c>
      <c r="F72" s="17" t="s">
        <v>48</v>
      </c>
      <c r="G72" s="17" t="s">
        <v>18</v>
      </c>
      <c r="H72" s="18">
        <f>ROUND(RAND()*4+6,1)</f>
      </c>
      <c r="I72" s="17" t="s">
        <v>19</v>
      </c>
      <c r="J72" s="19">
        <f>ROUND(95*1,0)&amp;"%"</f>
      </c>
    </row>
    <row x14ac:dyDescent="0.25" r="73" customHeight="1" ht="17.25">
      <c r="A73" s="20" t="s">
        <v>2804</v>
      </c>
      <c r="B73" s="20" t="s">
        <v>147</v>
      </c>
      <c r="C73" s="20" t="s">
        <v>133</v>
      </c>
      <c r="D73" s="20" t="s">
        <v>22</v>
      </c>
      <c r="E73" s="21">
        <f>ROUND(4405*1.05,2)</f>
      </c>
      <c r="F73" s="20" t="s">
        <v>51</v>
      </c>
      <c r="G73" s="20" t="s">
        <v>24</v>
      </c>
      <c r="H73" s="21">
        <f>ROUND(RAND()*4+6,1)</f>
      </c>
      <c r="I73" s="20" t="s">
        <v>25</v>
      </c>
      <c r="J73" s="23">
        <f>ROUND(100*1,0)&amp;"%"</f>
      </c>
    </row>
    <row x14ac:dyDescent="0.25" r="74" customHeight="1" ht="17.25">
      <c r="A74" s="24" t="s">
        <v>148</v>
      </c>
      <c r="B74" s="24"/>
      <c r="C74" s="24"/>
      <c r="D74" s="24"/>
      <c r="E74" s="25">
        <v>8</v>
      </c>
      <c r="F74" s="9"/>
      <c r="G74" s="9"/>
      <c r="H74" s="10"/>
      <c r="I74" s="9"/>
      <c r="J74" s="9"/>
    </row>
    <row x14ac:dyDescent="0.25" r="75" customHeight="1" ht="17.25">
      <c r="A75" s="7"/>
      <c r="B75" s="7"/>
      <c r="C75" s="7"/>
      <c r="D75" s="7"/>
      <c r="E75" s="8"/>
      <c r="F75" s="9"/>
      <c r="G75" s="9"/>
      <c r="H75" s="10"/>
      <c r="I75" s="9"/>
      <c r="J75" s="9"/>
    </row>
    <row x14ac:dyDescent="0.25" r="76" customHeight="1" ht="17.25">
      <c r="A76" s="11" t="s">
        <v>2805</v>
      </c>
      <c r="B76" s="11"/>
      <c r="C76" s="11"/>
      <c r="D76" s="11"/>
      <c r="E76" s="12"/>
      <c r="F76" s="11"/>
      <c r="G76" s="11"/>
      <c r="H76" s="13"/>
      <c r="I76" s="11"/>
      <c r="J76" s="11"/>
    </row>
    <row x14ac:dyDescent="0.25" r="77" customHeight="1" ht="17.25">
      <c r="A77" s="14" t="s">
        <v>3</v>
      </c>
      <c r="B77" s="14" t="s">
        <v>4</v>
      </c>
      <c r="C77" s="14" t="s">
        <v>5</v>
      </c>
      <c r="D77" s="14" t="s">
        <v>6</v>
      </c>
      <c r="E77" s="15" t="s">
        <v>7</v>
      </c>
      <c r="F77" s="14" t="s">
        <v>8</v>
      </c>
      <c r="G77" s="14" t="s">
        <v>9</v>
      </c>
      <c r="H77" s="16" t="s">
        <v>10</v>
      </c>
      <c r="I77" s="14" t="s">
        <v>11</v>
      </c>
      <c r="J77" s="14" t="s">
        <v>12</v>
      </c>
    </row>
    <row x14ac:dyDescent="0.25" r="78" customHeight="1" ht="17.25">
      <c r="A78" s="17" t="s">
        <v>2806</v>
      </c>
      <c r="B78" s="17" t="s">
        <v>151</v>
      </c>
      <c r="C78" s="17" t="s">
        <v>152</v>
      </c>
      <c r="D78" s="17" t="s">
        <v>16</v>
      </c>
      <c r="E78" s="18">
        <f>ROUND(5412*1.05,2)</f>
      </c>
      <c r="F78" s="17" t="s">
        <v>17</v>
      </c>
      <c r="G78" s="17" t="s">
        <v>18</v>
      </c>
      <c r="H78" s="18">
        <f>ROUND(RAND()*4+6,1)</f>
      </c>
      <c r="I78" s="17" t="s">
        <v>19</v>
      </c>
      <c r="J78" s="19">
        <f>ROUND(72*1,0)&amp;"%"</f>
      </c>
    </row>
    <row x14ac:dyDescent="0.25" r="79" customHeight="1" ht="17.25">
      <c r="A79" s="20" t="s">
        <v>2807</v>
      </c>
      <c r="B79" s="20" t="s">
        <v>154</v>
      </c>
      <c r="C79" s="20" t="s">
        <v>152</v>
      </c>
      <c r="D79" s="20" t="s">
        <v>22</v>
      </c>
      <c r="E79" s="21">
        <f>ROUND(10770*1.05,2)</f>
      </c>
      <c r="F79" s="20" t="s">
        <v>23</v>
      </c>
      <c r="G79" s="20" t="s">
        <v>24</v>
      </c>
      <c r="H79" s="21">
        <f>ROUND(RAND()*4+6,1)</f>
      </c>
      <c r="I79" s="20" t="s">
        <v>25</v>
      </c>
      <c r="J79" s="23">
        <f>ROUND(84*1,0)&amp;"%"</f>
      </c>
    </row>
    <row x14ac:dyDescent="0.25" r="80" customHeight="1" ht="17.25">
      <c r="A80" s="17" t="s">
        <v>2808</v>
      </c>
      <c r="B80" s="17" t="s">
        <v>156</v>
      </c>
      <c r="C80" s="17" t="s">
        <v>152</v>
      </c>
      <c r="D80" s="17" t="s">
        <v>28</v>
      </c>
      <c r="E80" s="18">
        <f>ROUND(13926*1.05,2)</f>
      </c>
      <c r="F80" s="17" t="s">
        <v>29</v>
      </c>
      <c r="G80" s="17" t="s">
        <v>30</v>
      </c>
      <c r="H80" s="18">
        <f>ROUND(RAND()*4+6,1)</f>
      </c>
      <c r="I80" s="17" t="s">
        <v>31</v>
      </c>
      <c r="J80" s="19">
        <f>ROUND(65*1,0)&amp;"%"</f>
      </c>
    </row>
    <row x14ac:dyDescent="0.25" r="81" customHeight="1" ht="17.25">
      <c r="A81" s="20" t="s">
        <v>2809</v>
      </c>
      <c r="B81" s="20" t="s">
        <v>158</v>
      </c>
      <c r="C81" s="20" t="s">
        <v>152</v>
      </c>
      <c r="D81" s="20" t="s">
        <v>34</v>
      </c>
      <c r="E81" s="21">
        <f>ROUND(16515*1.05,2)</f>
      </c>
      <c r="F81" s="20" t="s">
        <v>35</v>
      </c>
      <c r="G81" s="20" t="s">
        <v>18</v>
      </c>
      <c r="H81" s="21">
        <f>ROUND(RAND()*4+6,1)</f>
      </c>
      <c r="I81" s="20" t="s">
        <v>36</v>
      </c>
      <c r="J81" s="23">
        <f>ROUND(90*1,0)&amp;"%"</f>
      </c>
    </row>
    <row x14ac:dyDescent="0.25" r="82" customHeight="1" ht="17.25">
      <c r="A82" s="17" t="s">
        <v>2810</v>
      </c>
      <c r="B82" s="17" t="s">
        <v>160</v>
      </c>
      <c r="C82" s="17" t="s">
        <v>152</v>
      </c>
      <c r="D82" s="17" t="s">
        <v>39</v>
      </c>
      <c r="E82" s="18">
        <f>ROUND(4388*1.05,2)</f>
      </c>
      <c r="F82" s="17" t="s">
        <v>40</v>
      </c>
      <c r="G82" s="17" t="s">
        <v>24</v>
      </c>
      <c r="H82" s="18">
        <f>ROUND(RAND()*4+6,1)</f>
      </c>
      <c r="I82" s="17" t="s">
        <v>41</v>
      </c>
      <c r="J82" s="19">
        <f>ROUND(84*1,0)&amp;"%"</f>
      </c>
    </row>
    <row x14ac:dyDescent="0.25" r="83" customHeight="1" ht="17.25">
      <c r="A83" s="20" t="s">
        <v>2811</v>
      </c>
      <c r="B83" s="20" t="s">
        <v>162</v>
      </c>
      <c r="C83" s="20" t="s">
        <v>152</v>
      </c>
      <c r="D83" s="20" t="s">
        <v>67</v>
      </c>
      <c r="E83" s="21">
        <f>ROUND(5735*1.05,2)</f>
      </c>
      <c r="F83" s="20" t="s">
        <v>44</v>
      </c>
      <c r="G83" s="20" t="s">
        <v>30</v>
      </c>
      <c r="H83" s="21">
        <f>ROUND(RAND()*4+6,1)</f>
      </c>
      <c r="I83" s="20" t="s">
        <v>45</v>
      </c>
      <c r="J83" s="23">
        <f>ROUND(68*1,0)&amp;"%"</f>
      </c>
    </row>
    <row x14ac:dyDescent="0.25" r="84" customHeight="1" ht="17.25">
      <c r="A84" s="17" t="s">
        <v>2812</v>
      </c>
      <c r="B84" s="17" t="s">
        <v>164</v>
      </c>
      <c r="C84" s="17" t="s">
        <v>152</v>
      </c>
      <c r="D84" s="17" t="s">
        <v>16</v>
      </c>
      <c r="E84" s="18">
        <f>ROUND(10083*1.05,2)</f>
      </c>
      <c r="F84" s="17" t="s">
        <v>48</v>
      </c>
      <c r="G84" s="17" t="s">
        <v>18</v>
      </c>
      <c r="H84" s="18">
        <f>ROUND(RAND()*4+6,1)</f>
      </c>
      <c r="I84" s="17" t="s">
        <v>19</v>
      </c>
      <c r="J84" s="19">
        <f>ROUND(65*1,0)&amp;"%"</f>
      </c>
    </row>
    <row x14ac:dyDescent="0.25" r="85" customHeight="1" ht="17.25">
      <c r="A85" s="20" t="s">
        <v>2813</v>
      </c>
      <c r="B85" s="20" t="s">
        <v>166</v>
      </c>
      <c r="C85" s="20" t="s">
        <v>152</v>
      </c>
      <c r="D85" s="20" t="s">
        <v>22</v>
      </c>
      <c r="E85" s="21">
        <f>ROUND(4072*1.05,2)</f>
      </c>
      <c r="F85" s="20" t="s">
        <v>51</v>
      </c>
      <c r="G85" s="20" t="s">
        <v>24</v>
      </c>
      <c r="H85" s="21">
        <f>ROUND(RAND()*4+6,1)</f>
      </c>
      <c r="I85" s="20" t="s">
        <v>25</v>
      </c>
      <c r="J85" s="23">
        <f>ROUND(77*1,0)&amp;"%"</f>
      </c>
    </row>
    <row x14ac:dyDescent="0.25" r="86" customHeight="1" ht="17.25">
      <c r="A86" s="24" t="s">
        <v>167</v>
      </c>
      <c r="B86" s="24"/>
      <c r="C86" s="24"/>
      <c r="D86" s="24"/>
      <c r="E86" s="25">
        <v>8</v>
      </c>
      <c r="F86" s="9"/>
      <c r="G86" s="9"/>
      <c r="H86" s="10"/>
      <c r="I86" s="9"/>
      <c r="J86" s="9"/>
    </row>
    <row x14ac:dyDescent="0.25" r="87" customHeight="1" ht="17.25">
      <c r="A87" s="7"/>
      <c r="B87" s="7"/>
      <c r="C87" s="7"/>
      <c r="D87" s="7"/>
      <c r="E87" s="8"/>
      <c r="F87" s="9"/>
      <c r="G87" s="9"/>
      <c r="H87" s="10"/>
      <c r="I87" s="9"/>
      <c r="J87" s="9"/>
    </row>
    <row x14ac:dyDescent="0.25" r="88" customHeight="1" ht="17.25">
      <c r="A88" s="11" t="s">
        <v>2814</v>
      </c>
      <c r="B88" s="11"/>
      <c r="C88" s="11"/>
      <c r="D88" s="11"/>
      <c r="E88" s="12"/>
      <c r="F88" s="11"/>
      <c r="G88" s="11"/>
      <c r="H88" s="13"/>
      <c r="I88" s="11"/>
      <c r="J88" s="11"/>
    </row>
    <row x14ac:dyDescent="0.25" r="89" customHeight="1" ht="17.25">
      <c r="A89" s="14" t="s">
        <v>3</v>
      </c>
      <c r="B89" s="14" t="s">
        <v>4</v>
      </c>
      <c r="C89" s="14" t="s">
        <v>5</v>
      </c>
      <c r="D89" s="14" t="s">
        <v>6</v>
      </c>
      <c r="E89" s="15" t="s">
        <v>7</v>
      </c>
      <c r="F89" s="14" t="s">
        <v>8</v>
      </c>
      <c r="G89" s="14" t="s">
        <v>9</v>
      </c>
      <c r="H89" s="16" t="s">
        <v>10</v>
      </c>
      <c r="I89" s="14" t="s">
        <v>11</v>
      </c>
      <c r="J89" s="14" t="s">
        <v>12</v>
      </c>
    </row>
    <row x14ac:dyDescent="0.25" r="90" customHeight="1" ht="17.25">
      <c r="A90" s="17" t="s">
        <v>2815</v>
      </c>
      <c r="B90" s="17" t="s">
        <v>170</v>
      </c>
      <c r="C90" s="17" t="s">
        <v>15</v>
      </c>
      <c r="D90" s="17" t="s">
        <v>16</v>
      </c>
      <c r="E90" s="18">
        <f>ROUND(15948*1.05,2)</f>
      </c>
      <c r="F90" s="17" t="s">
        <v>17</v>
      </c>
      <c r="G90" s="17" t="s">
        <v>18</v>
      </c>
      <c r="H90" s="26">
        <f>ROUND(RAND()*4+6,1)</f>
      </c>
      <c r="I90" s="17" t="s">
        <v>19</v>
      </c>
      <c r="J90" s="19">
        <f>ROUND(87*1,0)&amp;"%"</f>
      </c>
    </row>
    <row x14ac:dyDescent="0.25" r="91" customHeight="1" ht="17.25">
      <c r="A91" s="20" t="s">
        <v>2816</v>
      </c>
      <c r="B91" s="20" t="s">
        <v>172</v>
      </c>
      <c r="C91" s="20" t="s">
        <v>15</v>
      </c>
      <c r="D91" s="20" t="s">
        <v>22</v>
      </c>
      <c r="E91" s="21">
        <f>ROUND(4733*1.05,2)</f>
      </c>
      <c r="F91" s="20" t="s">
        <v>23</v>
      </c>
      <c r="G91" s="20" t="s">
        <v>24</v>
      </c>
      <c r="H91" s="21">
        <f>ROUND(RAND()*4+6,1)</f>
      </c>
      <c r="I91" s="20" t="s">
        <v>25</v>
      </c>
      <c r="J91" s="23">
        <f>ROUND(89*1,0)&amp;"%"</f>
      </c>
    </row>
    <row x14ac:dyDescent="0.25" r="92" customHeight="1" ht="17.25">
      <c r="A92" s="17" t="s">
        <v>2817</v>
      </c>
      <c r="B92" s="17" t="s">
        <v>174</v>
      </c>
      <c r="C92" s="17" t="s">
        <v>15</v>
      </c>
      <c r="D92" s="17" t="s">
        <v>28</v>
      </c>
      <c r="E92" s="18">
        <f>ROUND(11006*1.05,2)</f>
      </c>
      <c r="F92" s="17" t="s">
        <v>29</v>
      </c>
      <c r="G92" s="17" t="s">
        <v>30</v>
      </c>
      <c r="H92" s="18">
        <f>ROUND(RAND()*4+6,1)</f>
      </c>
      <c r="I92" s="17" t="s">
        <v>31</v>
      </c>
      <c r="J92" s="19">
        <f>ROUND(88*1,0)&amp;"%"</f>
      </c>
    </row>
    <row x14ac:dyDescent="0.25" r="93" customHeight="1" ht="17.25">
      <c r="A93" s="20" t="s">
        <v>2818</v>
      </c>
      <c r="B93" s="20" t="s">
        <v>176</v>
      </c>
      <c r="C93" s="20" t="s">
        <v>15</v>
      </c>
      <c r="D93" s="20" t="s">
        <v>34</v>
      </c>
      <c r="E93" s="21">
        <f>ROUND(8441*1.05,2)</f>
      </c>
      <c r="F93" s="20" t="s">
        <v>35</v>
      </c>
      <c r="G93" s="20" t="s">
        <v>18</v>
      </c>
      <c r="H93" s="22">
        <f>ROUND(RAND()*4+6,1)</f>
      </c>
      <c r="I93" s="20" t="s">
        <v>36</v>
      </c>
      <c r="J93" s="23">
        <f>ROUND(75*1,0)&amp;"%"</f>
      </c>
    </row>
    <row x14ac:dyDescent="0.25" r="94" customHeight="1" ht="17.25">
      <c r="A94" s="17" t="s">
        <v>2819</v>
      </c>
      <c r="B94" s="17" t="s">
        <v>178</v>
      </c>
      <c r="C94" s="17" t="s">
        <v>15</v>
      </c>
      <c r="D94" s="17" t="s">
        <v>39</v>
      </c>
      <c r="E94" s="18">
        <f>ROUND(8359*1.05,2)</f>
      </c>
      <c r="F94" s="17" t="s">
        <v>40</v>
      </c>
      <c r="G94" s="17" t="s">
        <v>24</v>
      </c>
      <c r="H94" s="18">
        <f>ROUND(RAND()*4+6,1)</f>
      </c>
      <c r="I94" s="17" t="s">
        <v>41</v>
      </c>
      <c r="J94" s="19">
        <f>ROUND(62*1,0)&amp;"%"</f>
      </c>
    </row>
    <row x14ac:dyDescent="0.25" r="95" customHeight="1" ht="17.25">
      <c r="A95" s="20" t="s">
        <v>2820</v>
      </c>
      <c r="B95" s="20" t="s">
        <v>180</v>
      </c>
      <c r="C95" s="20" t="s">
        <v>15</v>
      </c>
      <c r="D95" s="20" t="s">
        <v>67</v>
      </c>
      <c r="E95" s="21">
        <f>ROUND(4046*1.05,2)</f>
      </c>
      <c r="F95" s="20" t="s">
        <v>44</v>
      </c>
      <c r="G95" s="20" t="s">
        <v>30</v>
      </c>
      <c r="H95" s="21">
        <f>ROUND(RAND()*4+6,1)</f>
      </c>
      <c r="I95" s="20" t="s">
        <v>45</v>
      </c>
      <c r="J95" s="23">
        <f>ROUND(95*1,0)&amp;"%"</f>
      </c>
    </row>
    <row x14ac:dyDescent="0.25" r="96" customHeight="1" ht="17.25">
      <c r="A96" s="17" t="s">
        <v>2821</v>
      </c>
      <c r="B96" s="17" t="s">
        <v>182</v>
      </c>
      <c r="C96" s="17" t="s">
        <v>15</v>
      </c>
      <c r="D96" s="17" t="s">
        <v>16</v>
      </c>
      <c r="E96" s="18">
        <f>ROUND(13677*1.05,2)</f>
      </c>
      <c r="F96" s="17" t="s">
        <v>48</v>
      </c>
      <c r="G96" s="17" t="s">
        <v>18</v>
      </c>
      <c r="H96" s="18">
        <f>ROUND(RAND()*4+6,1)</f>
      </c>
      <c r="I96" s="17" t="s">
        <v>19</v>
      </c>
      <c r="J96" s="19">
        <f>ROUND(78*1,0)&amp;"%"</f>
      </c>
    </row>
    <row x14ac:dyDescent="0.25" r="97" customHeight="1" ht="17.25">
      <c r="A97" s="20" t="s">
        <v>2822</v>
      </c>
      <c r="B97" s="20" t="s">
        <v>184</v>
      </c>
      <c r="C97" s="20" t="s">
        <v>15</v>
      </c>
      <c r="D97" s="20" t="s">
        <v>22</v>
      </c>
      <c r="E97" s="21">
        <f>ROUND(13511*1.05,2)</f>
      </c>
      <c r="F97" s="20" t="s">
        <v>51</v>
      </c>
      <c r="G97" s="20" t="s">
        <v>24</v>
      </c>
      <c r="H97" s="21">
        <f>ROUND(RAND()*4+6,1)</f>
      </c>
      <c r="I97" s="20" t="s">
        <v>25</v>
      </c>
      <c r="J97" s="23">
        <f>ROUND(100*1,0)&amp;"%"</f>
      </c>
    </row>
    <row x14ac:dyDescent="0.25" r="98" customHeight="1" ht="17.25">
      <c r="A98" s="24" t="s">
        <v>185</v>
      </c>
      <c r="B98" s="24"/>
      <c r="C98" s="24"/>
      <c r="D98" s="24"/>
      <c r="E98" s="25">
        <v>8</v>
      </c>
      <c r="F98" s="9"/>
      <c r="G98" s="9"/>
      <c r="H98" s="10"/>
      <c r="I98" s="9"/>
      <c r="J98" s="9"/>
    </row>
    <row x14ac:dyDescent="0.25" r="99" customHeight="1" ht="17.25">
      <c r="A99" s="7"/>
      <c r="B99" s="7"/>
      <c r="C99" s="7"/>
      <c r="D99" s="7"/>
      <c r="E99" s="8"/>
      <c r="F99" s="9"/>
      <c r="G99" s="9"/>
      <c r="H99" s="10"/>
      <c r="I99" s="9"/>
      <c r="J99" s="9"/>
    </row>
    <row x14ac:dyDescent="0.25" r="100" customHeight="1" ht="17.25">
      <c r="A100" s="11" t="s">
        <v>2823</v>
      </c>
      <c r="B100" s="11"/>
      <c r="C100" s="11"/>
      <c r="D100" s="11"/>
      <c r="E100" s="12"/>
      <c r="F100" s="11"/>
      <c r="G100" s="11"/>
      <c r="H100" s="13"/>
      <c r="I100" s="11"/>
      <c r="J100" s="11"/>
    </row>
    <row x14ac:dyDescent="0.25" r="101" customHeight="1" ht="17.25">
      <c r="A101" s="14" t="s">
        <v>3</v>
      </c>
      <c r="B101" s="14" t="s">
        <v>4</v>
      </c>
      <c r="C101" s="14" t="s">
        <v>5</v>
      </c>
      <c r="D101" s="14" t="s">
        <v>6</v>
      </c>
      <c r="E101" s="15" t="s">
        <v>7</v>
      </c>
      <c r="F101" s="14" t="s">
        <v>8</v>
      </c>
      <c r="G101" s="14" t="s">
        <v>9</v>
      </c>
      <c r="H101" s="16" t="s">
        <v>10</v>
      </c>
      <c r="I101" s="14" t="s">
        <v>11</v>
      </c>
      <c r="J101" s="14" t="s">
        <v>12</v>
      </c>
    </row>
    <row x14ac:dyDescent="0.25" r="102" customHeight="1" ht="17.25">
      <c r="A102" s="17" t="s">
        <v>2824</v>
      </c>
      <c r="B102" s="17" t="s">
        <v>188</v>
      </c>
      <c r="C102" s="17" t="s">
        <v>56</v>
      </c>
      <c r="D102" s="17" t="s">
        <v>16</v>
      </c>
      <c r="E102" s="18">
        <f>ROUND(11001*1.05,2)</f>
      </c>
      <c r="F102" s="17" t="s">
        <v>17</v>
      </c>
      <c r="G102" s="17" t="s">
        <v>18</v>
      </c>
      <c r="H102" s="18">
        <f>ROUND(RAND()*4+6,1)</f>
      </c>
      <c r="I102" s="17" t="s">
        <v>19</v>
      </c>
      <c r="J102" s="19">
        <f>ROUND(99*1,0)&amp;"%"</f>
      </c>
    </row>
    <row x14ac:dyDescent="0.25" r="103" customHeight="1" ht="17.25">
      <c r="A103" s="20" t="s">
        <v>2825</v>
      </c>
      <c r="B103" s="20" t="s">
        <v>190</v>
      </c>
      <c r="C103" s="20" t="s">
        <v>56</v>
      </c>
      <c r="D103" s="20" t="s">
        <v>22</v>
      </c>
      <c r="E103" s="21">
        <f>ROUND(17418*1.05,2)</f>
      </c>
      <c r="F103" s="20" t="s">
        <v>23</v>
      </c>
      <c r="G103" s="20" t="s">
        <v>24</v>
      </c>
      <c r="H103" s="21">
        <f>ROUND(RAND()*4+6,1)</f>
      </c>
      <c r="I103" s="20" t="s">
        <v>25</v>
      </c>
      <c r="J103" s="23">
        <f>ROUND(82*1,0)&amp;"%"</f>
      </c>
    </row>
    <row x14ac:dyDescent="0.25" r="104" customHeight="1" ht="17.25">
      <c r="A104" s="17" t="s">
        <v>2826</v>
      </c>
      <c r="B104" s="17" t="s">
        <v>192</v>
      </c>
      <c r="C104" s="17" t="s">
        <v>56</v>
      </c>
      <c r="D104" s="17" t="s">
        <v>28</v>
      </c>
      <c r="E104" s="18">
        <f>ROUND(11692*1.05,2)</f>
      </c>
      <c r="F104" s="17" t="s">
        <v>29</v>
      </c>
      <c r="G104" s="17" t="s">
        <v>30</v>
      </c>
      <c r="H104" s="18">
        <f>ROUND(RAND()*4+6,1)</f>
      </c>
      <c r="I104" s="17" t="s">
        <v>31</v>
      </c>
      <c r="J104" s="19">
        <f>ROUND(69*1,0)&amp;"%"</f>
      </c>
    </row>
    <row x14ac:dyDescent="0.25" r="105" customHeight="1" ht="17.25">
      <c r="A105" s="20" t="s">
        <v>2827</v>
      </c>
      <c r="B105" s="20" t="s">
        <v>194</v>
      </c>
      <c r="C105" s="20" t="s">
        <v>56</v>
      </c>
      <c r="D105" s="20" t="s">
        <v>34</v>
      </c>
      <c r="E105" s="21">
        <f>ROUND(16518*1.05,2)</f>
      </c>
      <c r="F105" s="20" t="s">
        <v>35</v>
      </c>
      <c r="G105" s="20" t="s">
        <v>18</v>
      </c>
      <c r="H105" s="21">
        <f>ROUND(RAND()*4+6,1)</f>
      </c>
      <c r="I105" s="20" t="s">
        <v>36</v>
      </c>
      <c r="J105" s="23">
        <f>ROUND(94*1,0)&amp;"%"</f>
      </c>
    </row>
    <row x14ac:dyDescent="0.25" r="106" customHeight="1" ht="17.25">
      <c r="A106" s="17" t="s">
        <v>2828</v>
      </c>
      <c r="B106" s="17" t="s">
        <v>196</v>
      </c>
      <c r="C106" s="17" t="s">
        <v>56</v>
      </c>
      <c r="D106" s="17" t="s">
        <v>39</v>
      </c>
      <c r="E106" s="18">
        <f>ROUND(6544*1.05,2)</f>
      </c>
      <c r="F106" s="17" t="s">
        <v>40</v>
      </c>
      <c r="G106" s="17" t="s">
        <v>24</v>
      </c>
      <c r="H106" s="18">
        <f>ROUND(RAND()*4+6,1)</f>
      </c>
      <c r="I106" s="17" t="s">
        <v>41</v>
      </c>
      <c r="J106" s="19">
        <f>ROUND(97*1,0)&amp;"%"</f>
      </c>
    </row>
    <row x14ac:dyDescent="0.25" r="107" customHeight="1" ht="17.25">
      <c r="A107" s="20" t="s">
        <v>2829</v>
      </c>
      <c r="B107" s="20" t="s">
        <v>198</v>
      </c>
      <c r="C107" s="20" t="s">
        <v>56</v>
      </c>
      <c r="D107" s="20" t="s">
        <v>67</v>
      </c>
      <c r="E107" s="21">
        <f>ROUND(5191*1.05,2)</f>
      </c>
      <c r="F107" s="20" t="s">
        <v>44</v>
      </c>
      <c r="G107" s="20" t="s">
        <v>30</v>
      </c>
      <c r="H107" s="21">
        <f>ROUND(RAND()*4+6,1)</f>
      </c>
      <c r="I107" s="20" t="s">
        <v>45</v>
      </c>
      <c r="J107" s="23">
        <f>ROUND(99*1,0)&amp;"%"</f>
      </c>
    </row>
    <row x14ac:dyDescent="0.25" r="108" customHeight="1" ht="17.25">
      <c r="A108" s="17" t="s">
        <v>2830</v>
      </c>
      <c r="B108" s="17" t="s">
        <v>200</v>
      </c>
      <c r="C108" s="17" t="s">
        <v>56</v>
      </c>
      <c r="D108" s="17" t="s">
        <v>16</v>
      </c>
      <c r="E108" s="18">
        <f>ROUND(12266*1.05,2)</f>
      </c>
      <c r="F108" s="17" t="s">
        <v>48</v>
      </c>
      <c r="G108" s="17" t="s">
        <v>18</v>
      </c>
      <c r="H108" s="18">
        <f>ROUND(RAND()*4+6,1)</f>
      </c>
      <c r="I108" s="17" t="s">
        <v>19</v>
      </c>
      <c r="J108" s="19">
        <f>ROUND(85*1,0)&amp;"%"</f>
      </c>
    </row>
    <row x14ac:dyDescent="0.25" r="109" customHeight="1" ht="17.25">
      <c r="A109" s="20" t="s">
        <v>2831</v>
      </c>
      <c r="B109" s="20" t="s">
        <v>202</v>
      </c>
      <c r="C109" s="20" t="s">
        <v>56</v>
      </c>
      <c r="D109" s="20" t="s">
        <v>22</v>
      </c>
      <c r="E109" s="21">
        <f>ROUND(15645*1.05,2)</f>
      </c>
      <c r="F109" s="20" t="s">
        <v>51</v>
      </c>
      <c r="G109" s="20" t="s">
        <v>24</v>
      </c>
      <c r="H109" s="21">
        <f>ROUND(RAND()*4+6,1)</f>
      </c>
      <c r="I109" s="20" t="s">
        <v>25</v>
      </c>
      <c r="J109" s="23">
        <f>ROUND(84*1,0)&amp;"%"</f>
      </c>
    </row>
    <row x14ac:dyDescent="0.25" r="110" customHeight="1" ht="17.25">
      <c r="A110" s="24" t="s">
        <v>203</v>
      </c>
      <c r="B110" s="24"/>
      <c r="C110" s="24"/>
      <c r="D110" s="24"/>
      <c r="E110" s="25">
        <v>8</v>
      </c>
      <c r="F110" s="9"/>
      <c r="G110" s="9"/>
      <c r="H110" s="10"/>
      <c r="I110" s="9"/>
      <c r="J110" s="9"/>
    </row>
    <row x14ac:dyDescent="0.25" r="111" customHeight="1" ht="17.25">
      <c r="A111" s="7"/>
      <c r="B111" s="7"/>
      <c r="C111" s="7"/>
      <c r="D111" s="7"/>
      <c r="E111" s="8"/>
      <c r="F111" s="9"/>
      <c r="G111" s="9"/>
      <c r="H111" s="10"/>
      <c r="I111" s="9"/>
      <c r="J111" s="9"/>
    </row>
    <row x14ac:dyDescent="0.25" r="112" customHeight="1" ht="17.25">
      <c r="A112" s="11" t="s">
        <v>2832</v>
      </c>
      <c r="B112" s="11"/>
      <c r="C112" s="11"/>
      <c r="D112" s="11"/>
      <c r="E112" s="12"/>
      <c r="F112" s="11"/>
      <c r="G112" s="11"/>
      <c r="H112" s="13"/>
      <c r="I112" s="11"/>
      <c r="J112" s="11"/>
    </row>
    <row x14ac:dyDescent="0.25" r="113" customHeight="1" ht="17.25">
      <c r="A113" s="14" t="s">
        <v>3</v>
      </c>
      <c r="B113" s="14" t="s">
        <v>4</v>
      </c>
      <c r="C113" s="14" t="s">
        <v>5</v>
      </c>
      <c r="D113" s="14" t="s">
        <v>6</v>
      </c>
      <c r="E113" s="15" t="s">
        <v>7</v>
      </c>
      <c r="F113" s="14" t="s">
        <v>8</v>
      </c>
      <c r="G113" s="14" t="s">
        <v>9</v>
      </c>
      <c r="H113" s="16" t="s">
        <v>10</v>
      </c>
      <c r="I113" s="14" t="s">
        <v>11</v>
      </c>
      <c r="J113" s="14" t="s">
        <v>12</v>
      </c>
    </row>
    <row x14ac:dyDescent="0.25" r="114" customHeight="1" ht="17.25">
      <c r="A114" s="17" t="s">
        <v>2833</v>
      </c>
      <c r="B114" s="17" t="s">
        <v>206</v>
      </c>
      <c r="C114" s="17" t="s">
        <v>76</v>
      </c>
      <c r="D114" s="17" t="s">
        <v>16</v>
      </c>
      <c r="E114" s="18">
        <f>ROUND(10133*1.05,2)</f>
      </c>
      <c r="F114" s="17" t="s">
        <v>17</v>
      </c>
      <c r="G114" s="17" t="s">
        <v>18</v>
      </c>
      <c r="H114" s="18">
        <f>ROUND(RAND()*4+6,1)</f>
      </c>
      <c r="I114" s="17" t="s">
        <v>19</v>
      </c>
      <c r="J114" s="19">
        <f>ROUND(87*1,0)&amp;"%"</f>
      </c>
    </row>
    <row x14ac:dyDescent="0.25" r="115" customHeight="1" ht="17.25">
      <c r="A115" s="20" t="s">
        <v>2834</v>
      </c>
      <c r="B115" s="20" t="s">
        <v>208</v>
      </c>
      <c r="C115" s="20" t="s">
        <v>76</v>
      </c>
      <c r="D115" s="20" t="s">
        <v>22</v>
      </c>
      <c r="E115" s="21">
        <f>ROUND(14499*1.05,2)</f>
      </c>
      <c r="F115" s="20" t="s">
        <v>23</v>
      </c>
      <c r="G115" s="20" t="s">
        <v>24</v>
      </c>
      <c r="H115" s="22">
        <f>ROUND(RAND()*4+6,1)</f>
      </c>
      <c r="I115" s="20" t="s">
        <v>25</v>
      </c>
      <c r="J115" s="23">
        <f>ROUND(64*1,0)&amp;"%"</f>
      </c>
    </row>
    <row x14ac:dyDescent="0.25" r="116" customHeight="1" ht="17.25">
      <c r="A116" s="17" t="s">
        <v>2835</v>
      </c>
      <c r="B116" s="17" t="s">
        <v>210</v>
      </c>
      <c r="C116" s="17" t="s">
        <v>76</v>
      </c>
      <c r="D116" s="17" t="s">
        <v>28</v>
      </c>
      <c r="E116" s="18">
        <f>ROUND(7110*1.05,2)</f>
      </c>
      <c r="F116" s="17" t="s">
        <v>29</v>
      </c>
      <c r="G116" s="17" t="s">
        <v>30</v>
      </c>
      <c r="H116" s="18">
        <f>ROUND(RAND()*4+6,1)</f>
      </c>
      <c r="I116" s="17" t="s">
        <v>31</v>
      </c>
      <c r="J116" s="19">
        <f>ROUND(73*1,0)&amp;"%"</f>
      </c>
    </row>
    <row x14ac:dyDescent="0.25" r="117" customHeight="1" ht="17.25">
      <c r="A117" s="20" t="s">
        <v>2836</v>
      </c>
      <c r="B117" s="20" t="s">
        <v>212</v>
      </c>
      <c r="C117" s="20" t="s">
        <v>76</v>
      </c>
      <c r="D117" s="20" t="s">
        <v>34</v>
      </c>
      <c r="E117" s="21">
        <f>ROUND(14732*1.05,2)</f>
      </c>
      <c r="F117" s="20" t="s">
        <v>35</v>
      </c>
      <c r="G117" s="20" t="s">
        <v>18</v>
      </c>
      <c r="H117" s="21">
        <f>ROUND(RAND()*4+6,1)</f>
      </c>
      <c r="I117" s="20" t="s">
        <v>36</v>
      </c>
      <c r="J117" s="23">
        <f>ROUND(99*1,0)&amp;"%"</f>
      </c>
    </row>
    <row x14ac:dyDescent="0.25" r="118" customHeight="1" ht="17.25">
      <c r="A118" s="17" t="s">
        <v>2837</v>
      </c>
      <c r="B118" s="17" t="s">
        <v>214</v>
      </c>
      <c r="C118" s="17" t="s">
        <v>76</v>
      </c>
      <c r="D118" s="17" t="s">
        <v>39</v>
      </c>
      <c r="E118" s="18">
        <f>ROUND(9886*1.05,2)</f>
      </c>
      <c r="F118" s="17" t="s">
        <v>40</v>
      </c>
      <c r="G118" s="17" t="s">
        <v>24</v>
      </c>
      <c r="H118" s="18">
        <f>ROUND(RAND()*4+6,1)</f>
      </c>
      <c r="I118" s="17" t="s">
        <v>41</v>
      </c>
      <c r="J118" s="19">
        <f>ROUND(85*1,0)&amp;"%"</f>
      </c>
    </row>
    <row x14ac:dyDescent="0.25" r="119" customHeight="1" ht="17.25">
      <c r="A119" s="20" t="s">
        <v>2838</v>
      </c>
      <c r="B119" s="20" t="s">
        <v>216</v>
      </c>
      <c r="C119" s="20" t="s">
        <v>76</v>
      </c>
      <c r="D119" s="20" t="s">
        <v>67</v>
      </c>
      <c r="E119" s="21">
        <f>ROUND(10481*1.05,2)</f>
      </c>
      <c r="F119" s="20" t="s">
        <v>44</v>
      </c>
      <c r="G119" s="20" t="s">
        <v>30</v>
      </c>
      <c r="H119" s="21">
        <f>ROUND(RAND()*4+6,1)</f>
      </c>
      <c r="I119" s="20" t="s">
        <v>45</v>
      </c>
      <c r="J119" s="23">
        <f>ROUND(70*1,0)&amp;"%"</f>
      </c>
    </row>
    <row x14ac:dyDescent="0.25" r="120" customHeight="1" ht="17.25">
      <c r="A120" s="17" t="s">
        <v>2839</v>
      </c>
      <c r="B120" s="17" t="s">
        <v>218</v>
      </c>
      <c r="C120" s="17" t="s">
        <v>76</v>
      </c>
      <c r="D120" s="17" t="s">
        <v>16</v>
      </c>
      <c r="E120" s="18">
        <f>ROUND(9748*1.05,2)</f>
      </c>
      <c r="F120" s="17" t="s">
        <v>48</v>
      </c>
      <c r="G120" s="17" t="s">
        <v>18</v>
      </c>
      <c r="H120" s="18">
        <f>ROUND(RAND()*4+6,1)</f>
      </c>
      <c r="I120" s="17" t="s">
        <v>19</v>
      </c>
      <c r="J120" s="19">
        <f>ROUND(76*1,0)&amp;"%"</f>
      </c>
    </row>
    <row x14ac:dyDescent="0.25" r="121" customHeight="1" ht="17.25">
      <c r="A121" s="20" t="s">
        <v>2840</v>
      </c>
      <c r="B121" s="20" t="s">
        <v>220</v>
      </c>
      <c r="C121" s="20" t="s">
        <v>76</v>
      </c>
      <c r="D121" s="20" t="s">
        <v>22</v>
      </c>
      <c r="E121" s="21">
        <f>ROUND(11733*1.05,2)</f>
      </c>
      <c r="F121" s="20" t="s">
        <v>51</v>
      </c>
      <c r="G121" s="20" t="s">
        <v>24</v>
      </c>
      <c r="H121" s="21">
        <f>ROUND(RAND()*4+6,1)</f>
      </c>
      <c r="I121" s="20" t="s">
        <v>25</v>
      </c>
      <c r="J121" s="23">
        <f>ROUND(66*1,0)&amp;"%"</f>
      </c>
    </row>
    <row x14ac:dyDescent="0.25" r="122" customHeight="1" ht="17.25">
      <c r="A122" s="24" t="s">
        <v>221</v>
      </c>
      <c r="B122" s="24"/>
      <c r="C122" s="24"/>
      <c r="D122" s="24"/>
      <c r="E122" s="25">
        <v>8</v>
      </c>
      <c r="F122" s="9"/>
      <c r="G122" s="9"/>
      <c r="H122" s="10"/>
      <c r="I122" s="9"/>
      <c r="J122" s="9"/>
    </row>
    <row x14ac:dyDescent="0.25" r="123" customHeight="1" ht="17.25">
      <c r="A123" s="7"/>
      <c r="B123" s="7"/>
      <c r="C123" s="7"/>
      <c r="D123" s="7"/>
      <c r="E123" s="8"/>
      <c r="F123" s="9"/>
      <c r="G123" s="9"/>
      <c r="H123" s="10"/>
      <c r="I123" s="9"/>
      <c r="J123" s="9"/>
    </row>
    <row x14ac:dyDescent="0.25" r="124" customHeight="1" ht="17.25">
      <c r="A124" s="11" t="s">
        <v>2841</v>
      </c>
      <c r="B124" s="11"/>
      <c r="C124" s="11"/>
      <c r="D124" s="11"/>
      <c r="E124" s="12"/>
      <c r="F124" s="11"/>
      <c r="G124" s="11"/>
      <c r="H124" s="13"/>
      <c r="I124" s="11"/>
      <c r="J124" s="11"/>
    </row>
    <row x14ac:dyDescent="0.25" r="125" customHeight="1" ht="17.25">
      <c r="A125" s="14" t="s">
        <v>3</v>
      </c>
      <c r="B125" s="14" t="s">
        <v>4</v>
      </c>
      <c r="C125" s="14" t="s">
        <v>5</v>
      </c>
      <c r="D125" s="14" t="s">
        <v>6</v>
      </c>
      <c r="E125" s="15" t="s">
        <v>7</v>
      </c>
      <c r="F125" s="14" t="s">
        <v>8</v>
      </c>
      <c r="G125" s="14" t="s">
        <v>9</v>
      </c>
      <c r="H125" s="16" t="s">
        <v>10</v>
      </c>
      <c r="I125" s="14" t="s">
        <v>11</v>
      </c>
      <c r="J125" s="14" t="s">
        <v>12</v>
      </c>
    </row>
    <row x14ac:dyDescent="0.25" r="126" customHeight="1" ht="17.25">
      <c r="A126" s="17" t="s">
        <v>2842</v>
      </c>
      <c r="B126" s="17" t="s">
        <v>224</v>
      </c>
      <c r="C126" s="17" t="s">
        <v>95</v>
      </c>
      <c r="D126" s="17" t="s">
        <v>16</v>
      </c>
      <c r="E126" s="18">
        <f>ROUND(16217*1.05,2)</f>
      </c>
      <c r="F126" s="17" t="s">
        <v>17</v>
      </c>
      <c r="G126" s="17" t="s">
        <v>18</v>
      </c>
      <c r="H126" s="18">
        <f>ROUND(RAND()*4+6,1)</f>
      </c>
      <c r="I126" s="17" t="s">
        <v>19</v>
      </c>
      <c r="J126" s="19">
        <f>ROUND(93*1,0)&amp;"%"</f>
      </c>
    </row>
    <row x14ac:dyDescent="0.25" r="127" customHeight="1" ht="17.25">
      <c r="A127" s="20" t="s">
        <v>2843</v>
      </c>
      <c r="B127" s="20" t="s">
        <v>226</v>
      </c>
      <c r="C127" s="20" t="s">
        <v>95</v>
      </c>
      <c r="D127" s="20" t="s">
        <v>22</v>
      </c>
      <c r="E127" s="21">
        <f>ROUND(6206*1.05,2)</f>
      </c>
      <c r="F127" s="20" t="s">
        <v>23</v>
      </c>
      <c r="G127" s="20" t="s">
        <v>24</v>
      </c>
      <c r="H127" s="21">
        <f>ROUND(RAND()*4+6,1)</f>
      </c>
      <c r="I127" s="20" t="s">
        <v>25</v>
      </c>
      <c r="J127" s="23">
        <f>ROUND(100*1,0)&amp;"%"</f>
      </c>
    </row>
    <row x14ac:dyDescent="0.25" r="128" customHeight="1" ht="17.25">
      <c r="A128" s="17" t="s">
        <v>2844</v>
      </c>
      <c r="B128" s="17" t="s">
        <v>228</v>
      </c>
      <c r="C128" s="17" t="s">
        <v>95</v>
      </c>
      <c r="D128" s="17" t="s">
        <v>28</v>
      </c>
      <c r="E128" s="26">
        <f>ROUND(9620*1.05,2)</f>
      </c>
      <c r="F128" s="17" t="s">
        <v>29</v>
      </c>
      <c r="G128" s="17" t="s">
        <v>30</v>
      </c>
      <c r="H128" s="18">
        <f>ROUND(RAND()*4+6,1)</f>
      </c>
      <c r="I128" s="17" t="s">
        <v>31</v>
      </c>
      <c r="J128" s="19">
        <f>ROUND(86*1,0)&amp;"%"</f>
      </c>
    </row>
    <row x14ac:dyDescent="0.25" r="129" customHeight="1" ht="17.25">
      <c r="A129" s="20" t="s">
        <v>2845</v>
      </c>
      <c r="B129" s="20" t="s">
        <v>230</v>
      </c>
      <c r="C129" s="20" t="s">
        <v>95</v>
      </c>
      <c r="D129" s="20" t="s">
        <v>34</v>
      </c>
      <c r="E129" s="21">
        <f>ROUND(11864*1.05,2)</f>
      </c>
      <c r="F129" s="20" t="s">
        <v>35</v>
      </c>
      <c r="G129" s="20" t="s">
        <v>18</v>
      </c>
      <c r="H129" s="21">
        <f>ROUND(RAND()*4+6,1)</f>
      </c>
      <c r="I129" s="20" t="s">
        <v>36</v>
      </c>
      <c r="J129" s="23">
        <f>ROUND(65*1,0)&amp;"%"</f>
      </c>
    </row>
    <row x14ac:dyDescent="0.25" r="130" customHeight="1" ht="17.25">
      <c r="A130" s="17" t="s">
        <v>2846</v>
      </c>
      <c r="B130" s="17" t="s">
        <v>232</v>
      </c>
      <c r="C130" s="17" t="s">
        <v>95</v>
      </c>
      <c r="D130" s="17" t="s">
        <v>39</v>
      </c>
      <c r="E130" s="18">
        <f>ROUND(5388*1.05,2)</f>
      </c>
      <c r="F130" s="17" t="s">
        <v>40</v>
      </c>
      <c r="G130" s="17" t="s">
        <v>24</v>
      </c>
      <c r="H130" s="18">
        <f>ROUND(RAND()*4+6,1)</f>
      </c>
      <c r="I130" s="17" t="s">
        <v>41</v>
      </c>
      <c r="J130" s="19">
        <f>ROUND(83*1,0)&amp;"%"</f>
      </c>
    </row>
    <row x14ac:dyDescent="0.25" r="131" customHeight="1" ht="17.25">
      <c r="A131" s="20" t="s">
        <v>2847</v>
      </c>
      <c r="B131" s="20" t="s">
        <v>234</v>
      </c>
      <c r="C131" s="20" t="s">
        <v>95</v>
      </c>
      <c r="D131" s="20" t="s">
        <v>67</v>
      </c>
      <c r="E131" s="21">
        <f>ROUND(12535*1.05,2)</f>
      </c>
      <c r="F131" s="20" t="s">
        <v>44</v>
      </c>
      <c r="G131" s="20" t="s">
        <v>30</v>
      </c>
      <c r="H131" s="22">
        <f>ROUND(RAND()*4+6,1)</f>
      </c>
      <c r="I131" s="20" t="s">
        <v>45</v>
      </c>
      <c r="J131" s="23">
        <f>ROUND(77*1,0)&amp;"%"</f>
      </c>
    </row>
    <row x14ac:dyDescent="0.25" r="132" customHeight="1" ht="17.25">
      <c r="A132" s="17" t="s">
        <v>2848</v>
      </c>
      <c r="B132" s="17" t="s">
        <v>236</v>
      </c>
      <c r="C132" s="17" t="s">
        <v>95</v>
      </c>
      <c r="D132" s="17" t="s">
        <v>16</v>
      </c>
      <c r="E132" s="18">
        <f>ROUND(11574*1.05,2)</f>
      </c>
      <c r="F132" s="17" t="s">
        <v>48</v>
      </c>
      <c r="G132" s="17" t="s">
        <v>18</v>
      </c>
      <c r="H132" s="18">
        <f>ROUND(RAND()*4+6,1)</f>
      </c>
      <c r="I132" s="17" t="s">
        <v>19</v>
      </c>
      <c r="J132" s="19">
        <f>ROUND(74*1,0)&amp;"%"</f>
      </c>
    </row>
    <row x14ac:dyDescent="0.25" r="133" customHeight="1" ht="17.25">
      <c r="A133" s="20" t="s">
        <v>2849</v>
      </c>
      <c r="B133" s="20" t="s">
        <v>238</v>
      </c>
      <c r="C133" s="20" t="s">
        <v>95</v>
      </c>
      <c r="D133" s="20" t="s">
        <v>22</v>
      </c>
      <c r="E133" s="21">
        <f>ROUND(14685*1.05,2)</f>
      </c>
      <c r="F133" s="20" t="s">
        <v>51</v>
      </c>
      <c r="G133" s="20" t="s">
        <v>24</v>
      </c>
      <c r="H133" s="21">
        <f>ROUND(RAND()*4+6,1)</f>
      </c>
      <c r="I133" s="20" t="s">
        <v>25</v>
      </c>
      <c r="J133" s="23">
        <f>ROUND(95*1,0)&amp;"%"</f>
      </c>
    </row>
    <row x14ac:dyDescent="0.25" r="134" customHeight="1" ht="17.25">
      <c r="A134" s="24" t="s">
        <v>239</v>
      </c>
      <c r="B134" s="24"/>
      <c r="C134" s="24"/>
      <c r="D134" s="24"/>
      <c r="E134" s="25">
        <v>8</v>
      </c>
      <c r="F134" s="9"/>
      <c r="G134" s="9"/>
      <c r="H134" s="10"/>
      <c r="I134" s="9"/>
      <c r="J134" s="9"/>
    </row>
    <row x14ac:dyDescent="0.25" r="135" customHeight="1" ht="17.25">
      <c r="A135" s="7"/>
      <c r="B135" s="7"/>
      <c r="C135" s="7"/>
      <c r="D135" s="7"/>
      <c r="E135" s="8"/>
      <c r="F135" s="9"/>
      <c r="G135" s="9"/>
      <c r="H135" s="10"/>
      <c r="I135" s="9"/>
      <c r="J135" s="9"/>
    </row>
    <row x14ac:dyDescent="0.25" r="136" customHeight="1" ht="17.25">
      <c r="A136" s="11" t="s">
        <v>2850</v>
      </c>
      <c r="B136" s="11"/>
      <c r="C136" s="11"/>
      <c r="D136" s="11"/>
      <c r="E136" s="12"/>
      <c r="F136" s="11"/>
      <c r="G136" s="11"/>
      <c r="H136" s="13"/>
      <c r="I136" s="11"/>
      <c r="J136" s="11"/>
    </row>
    <row x14ac:dyDescent="0.25" r="137" customHeight="1" ht="17.25">
      <c r="A137" s="14" t="s">
        <v>3</v>
      </c>
      <c r="B137" s="14" t="s">
        <v>4</v>
      </c>
      <c r="C137" s="14" t="s">
        <v>5</v>
      </c>
      <c r="D137" s="14" t="s">
        <v>6</v>
      </c>
      <c r="E137" s="15" t="s">
        <v>7</v>
      </c>
      <c r="F137" s="14" t="s">
        <v>8</v>
      </c>
      <c r="G137" s="14" t="s">
        <v>9</v>
      </c>
      <c r="H137" s="16" t="s">
        <v>10</v>
      </c>
      <c r="I137" s="14" t="s">
        <v>11</v>
      </c>
      <c r="J137" s="14" t="s">
        <v>12</v>
      </c>
    </row>
    <row x14ac:dyDescent="0.25" r="138" customHeight="1" ht="17.25">
      <c r="A138" s="17" t="s">
        <v>2851</v>
      </c>
      <c r="B138" s="17" t="s">
        <v>242</v>
      </c>
      <c r="C138" s="17" t="s">
        <v>114</v>
      </c>
      <c r="D138" s="17" t="s">
        <v>16</v>
      </c>
      <c r="E138" s="18">
        <f>ROUND(9859*1.05,2)</f>
      </c>
      <c r="F138" s="17" t="s">
        <v>17</v>
      </c>
      <c r="G138" s="17" t="s">
        <v>18</v>
      </c>
      <c r="H138" s="18">
        <f>ROUND(RAND()*4+6,1)</f>
      </c>
      <c r="I138" s="17" t="s">
        <v>19</v>
      </c>
      <c r="J138" s="19">
        <f>ROUND(81*1,0)&amp;"%"</f>
      </c>
    </row>
    <row x14ac:dyDescent="0.25" r="139" customHeight="1" ht="17.25">
      <c r="A139" s="20" t="s">
        <v>2852</v>
      </c>
      <c r="B139" s="20" t="s">
        <v>244</v>
      </c>
      <c r="C139" s="20" t="s">
        <v>114</v>
      </c>
      <c r="D139" s="20" t="s">
        <v>22</v>
      </c>
      <c r="E139" s="21">
        <f>ROUND(8886*1.05,2)</f>
      </c>
      <c r="F139" s="20" t="s">
        <v>23</v>
      </c>
      <c r="G139" s="20" t="s">
        <v>24</v>
      </c>
      <c r="H139" s="21">
        <f>ROUND(RAND()*4+6,1)</f>
      </c>
      <c r="I139" s="20" t="s">
        <v>25</v>
      </c>
      <c r="J139" s="23">
        <f>ROUND(63*1,0)&amp;"%"</f>
      </c>
    </row>
    <row x14ac:dyDescent="0.25" r="140" customHeight="1" ht="17.25">
      <c r="A140" s="17" t="s">
        <v>2853</v>
      </c>
      <c r="B140" s="17" t="s">
        <v>246</v>
      </c>
      <c r="C140" s="17" t="s">
        <v>114</v>
      </c>
      <c r="D140" s="17" t="s">
        <v>28</v>
      </c>
      <c r="E140" s="18">
        <f>ROUND(16910*1.05,2)</f>
      </c>
      <c r="F140" s="17" t="s">
        <v>29</v>
      </c>
      <c r="G140" s="17" t="s">
        <v>30</v>
      </c>
      <c r="H140" s="18">
        <f>ROUND(RAND()*4+6,1)</f>
      </c>
      <c r="I140" s="17" t="s">
        <v>31</v>
      </c>
      <c r="J140" s="19">
        <f>ROUND(90*1,0)&amp;"%"</f>
      </c>
    </row>
    <row x14ac:dyDescent="0.25" r="141" customHeight="1" ht="17.25">
      <c r="A141" s="20" t="s">
        <v>2854</v>
      </c>
      <c r="B141" s="20" t="s">
        <v>248</v>
      </c>
      <c r="C141" s="20" t="s">
        <v>114</v>
      </c>
      <c r="D141" s="20" t="s">
        <v>34</v>
      </c>
      <c r="E141" s="21">
        <f>ROUND(14750*1.05,2)</f>
      </c>
      <c r="F141" s="20" t="s">
        <v>35</v>
      </c>
      <c r="G141" s="20" t="s">
        <v>18</v>
      </c>
      <c r="H141" s="21">
        <f>ROUND(RAND()*4+6,1)</f>
      </c>
      <c r="I141" s="20" t="s">
        <v>36</v>
      </c>
      <c r="J141" s="23">
        <f>ROUND(98*1,0)&amp;"%"</f>
      </c>
    </row>
    <row x14ac:dyDescent="0.25" r="142" customHeight="1" ht="17.25">
      <c r="A142" s="17" t="s">
        <v>2855</v>
      </c>
      <c r="B142" s="17" t="s">
        <v>250</v>
      </c>
      <c r="C142" s="17" t="s">
        <v>114</v>
      </c>
      <c r="D142" s="17" t="s">
        <v>39</v>
      </c>
      <c r="E142" s="18">
        <f>ROUND(13592*1.05,2)</f>
      </c>
      <c r="F142" s="17" t="s">
        <v>40</v>
      </c>
      <c r="G142" s="17" t="s">
        <v>24</v>
      </c>
      <c r="H142" s="26">
        <f>ROUND(RAND()*4+6,1)</f>
      </c>
      <c r="I142" s="17" t="s">
        <v>41</v>
      </c>
      <c r="J142" s="19">
        <f>ROUND(61*1,0)&amp;"%"</f>
      </c>
    </row>
    <row x14ac:dyDescent="0.25" r="143" customHeight="1" ht="17.25">
      <c r="A143" s="20" t="s">
        <v>2856</v>
      </c>
      <c r="B143" s="20" t="s">
        <v>252</v>
      </c>
      <c r="C143" s="20" t="s">
        <v>114</v>
      </c>
      <c r="D143" s="20" t="s">
        <v>67</v>
      </c>
      <c r="E143" s="21">
        <f>ROUND(8485*1.05,2)</f>
      </c>
      <c r="F143" s="20" t="s">
        <v>44</v>
      </c>
      <c r="G143" s="20" t="s">
        <v>30</v>
      </c>
      <c r="H143" s="21">
        <f>ROUND(RAND()*4+6,1)</f>
      </c>
      <c r="I143" s="20" t="s">
        <v>45</v>
      </c>
      <c r="J143" s="23">
        <f>ROUND(88*1,0)&amp;"%"</f>
      </c>
    </row>
    <row x14ac:dyDescent="0.25" r="144" customHeight="1" ht="17.25">
      <c r="A144" s="17" t="s">
        <v>2857</v>
      </c>
      <c r="B144" s="17" t="s">
        <v>254</v>
      </c>
      <c r="C144" s="17" t="s">
        <v>114</v>
      </c>
      <c r="D144" s="17" t="s">
        <v>16</v>
      </c>
      <c r="E144" s="18">
        <f>ROUND(12204*1.05,2)</f>
      </c>
      <c r="F144" s="17" t="s">
        <v>48</v>
      </c>
      <c r="G144" s="17" t="s">
        <v>18</v>
      </c>
      <c r="H144" s="18">
        <f>ROUND(RAND()*4+6,1)</f>
      </c>
      <c r="I144" s="17" t="s">
        <v>19</v>
      </c>
      <c r="J144" s="19">
        <f>ROUND(84*1,0)&amp;"%"</f>
      </c>
    </row>
    <row x14ac:dyDescent="0.25" r="145" customHeight="1" ht="17.25">
      <c r="A145" s="20" t="s">
        <v>2858</v>
      </c>
      <c r="B145" s="20" t="s">
        <v>256</v>
      </c>
      <c r="C145" s="20" t="s">
        <v>114</v>
      </c>
      <c r="D145" s="20" t="s">
        <v>22</v>
      </c>
      <c r="E145" s="21">
        <f>ROUND(14514*1.05,2)</f>
      </c>
      <c r="F145" s="20" t="s">
        <v>51</v>
      </c>
      <c r="G145" s="20" t="s">
        <v>24</v>
      </c>
      <c r="H145" s="21">
        <f>ROUND(RAND()*4+6,1)</f>
      </c>
      <c r="I145" s="20" t="s">
        <v>25</v>
      </c>
      <c r="J145" s="23">
        <f>ROUND(100*1,0)&amp;"%"</f>
      </c>
    </row>
    <row x14ac:dyDescent="0.25" r="146" customHeight="1" ht="17.25">
      <c r="A146" s="24" t="s">
        <v>257</v>
      </c>
      <c r="B146" s="24"/>
      <c r="C146" s="24"/>
      <c r="D146" s="24"/>
      <c r="E146" s="25">
        <v>8</v>
      </c>
      <c r="F146" s="9"/>
      <c r="G146" s="9"/>
      <c r="H146" s="10"/>
      <c r="I146" s="9"/>
      <c r="J146" s="9"/>
    </row>
    <row x14ac:dyDescent="0.25" r="147" customHeight="1" ht="17.25">
      <c r="A147" s="7"/>
      <c r="B147" s="7"/>
      <c r="C147" s="7"/>
      <c r="D147" s="7"/>
      <c r="E147" s="8"/>
      <c r="F147" s="9"/>
      <c r="G147" s="9"/>
      <c r="H147" s="10"/>
      <c r="I147" s="9"/>
      <c r="J147" s="9"/>
    </row>
    <row x14ac:dyDescent="0.25" r="148" customHeight="1" ht="17.25">
      <c r="A148" s="11" t="s">
        <v>2859</v>
      </c>
      <c r="B148" s="11"/>
      <c r="C148" s="11"/>
      <c r="D148" s="11"/>
      <c r="E148" s="12"/>
      <c r="F148" s="11"/>
      <c r="G148" s="11"/>
      <c r="H148" s="13"/>
      <c r="I148" s="11"/>
      <c r="J148" s="11"/>
    </row>
    <row x14ac:dyDescent="0.25" r="149" customHeight="1" ht="17.25">
      <c r="A149" s="14" t="s">
        <v>3</v>
      </c>
      <c r="B149" s="14" t="s">
        <v>4</v>
      </c>
      <c r="C149" s="14" t="s">
        <v>5</v>
      </c>
      <c r="D149" s="14" t="s">
        <v>6</v>
      </c>
      <c r="E149" s="15" t="s">
        <v>7</v>
      </c>
      <c r="F149" s="14" t="s">
        <v>8</v>
      </c>
      <c r="G149" s="14" t="s">
        <v>9</v>
      </c>
      <c r="H149" s="16" t="s">
        <v>10</v>
      </c>
      <c r="I149" s="14" t="s">
        <v>11</v>
      </c>
      <c r="J149" s="14" t="s">
        <v>12</v>
      </c>
    </row>
    <row x14ac:dyDescent="0.25" r="150" customHeight="1" ht="17.25">
      <c r="A150" s="17" t="s">
        <v>2860</v>
      </c>
      <c r="B150" s="17" t="s">
        <v>260</v>
      </c>
      <c r="C150" s="17" t="s">
        <v>133</v>
      </c>
      <c r="D150" s="17" t="s">
        <v>16</v>
      </c>
      <c r="E150" s="18">
        <f>ROUND(12782*1.05,2)</f>
      </c>
      <c r="F150" s="17" t="s">
        <v>17</v>
      </c>
      <c r="G150" s="17" t="s">
        <v>18</v>
      </c>
      <c r="H150" s="18">
        <f>ROUND(RAND()*4+6,1)</f>
      </c>
      <c r="I150" s="17" t="s">
        <v>19</v>
      </c>
      <c r="J150" s="19">
        <f>ROUND(79*1,0)&amp;"%"</f>
      </c>
    </row>
    <row x14ac:dyDescent="0.25" r="151" customHeight="1" ht="17.25">
      <c r="A151" s="20" t="s">
        <v>2861</v>
      </c>
      <c r="B151" s="20" t="s">
        <v>262</v>
      </c>
      <c r="C151" s="20" t="s">
        <v>133</v>
      </c>
      <c r="D151" s="20" t="s">
        <v>22</v>
      </c>
      <c r="E151" s="21">
        <f>ROUND(7788*1.05,2)</f>
      </c>
      <c r="F151" s="20" t="s">
        <v>23</v>
      </c>
      <c r="G151" s="20" t="s">
        <v>24</v>
      </c>
      <c r="H151" s="21">
        <f>ROUND(RAND()*4+6,1)</f>
      </c>
      <c r="I151" s="20" t="s">
        <v>25</v>
      </c>
      <c r="J151" s="23">
        <f>ROUND(91*1,0)&amp;"%"</f>
      </c>
    </row>
    <row x14ac:dyDescent="0.25" r="152" customHeight="1" ht="17.25">
      <c r="A152" s="17" t="s">
        <v>2862</v>
      </c>
      <c r="B152" s="17" t="s">
        <v>264</v>
      </c>
      <c r="C152" s="17" t="s">
        <v>133</v>
      </c>
      <c r="D152" s="17" t="s">
        <v>28</v>
      </c>
      <c r="E152" s="18">
        <f>ROUND(16557*1.05,2)</f>
      </c>
      <c r="F152" s="17" t="s">
        <v>29</v>
      </c>
      <c r="G152" s="17" t="s">
        <v>30</v>
      </c>
      <c r="H152" s="18">
        <f>ROUND(RAND()*4+6,1)</f>
      </c>
      <c r="I152" s="17" t="s">
        <v>31</v>
      </c>
      <c r="J152" s="19">
        <f>ROUND(60*1,0)&amp;"%"</f>
      </c>
    </row>
    <row x14ac:dyDescent="0.25" r="153" customHeight="1" ht="17.25">
      <c r="A153" s="20" t="s">
        <v>2863</v>
      </c>
      <c r="B153" s="20" t="s">
        <v>266</v>
      </c>
      <c r="C153" s="20" t="s">
        <v>133</v>
      </c>
      <c r="D153" s="20" t="s">
        <v>34</v>
      </c>
      <c r="E153" s="21">
        <f>ROUND(9670*1.05,2)</f>
      </c>
      <c r="F153" s="20" t="s">
        <v>35</v>
      </c>
      <c r="G153" s="20" t="s">
        <v>18</v>
      </c>
      <c r="H153" s="21">
        <f>ROUND(RAND()*4+6,1)</f>
      </c>
      <c r="I153" s="20" t="s">
        <v>36</v>
      </c>
      <c r="J153" s="23">
        <f>ROUND(78*1,0)&amp;"%"</f>
      </c>
    </row>
    <row x14ac:dyDescent="0.25" r="154" customHeight="1" ht="17.25">
      <c r="A154" s="17" t="s">
        <v>2864</v>
      </c>
      <c r="B154" s="17" t="s">
        <v>268</v>
      </c>
      <c r="C154" s="17" t="s">
        <v>133</v>
      </c>
      <c r="D154" s="17" t="s">
        <v>39</v>
      </c>
      <c r="E154" s="18">
        <f>ROUND(4098*1.05,2)</f>
      </c>
      <c r="F154" s="17" t="s">
        <v>40</v>
      </c>
      <c r="G154" s="17" t="s">
        <v>24</v>
      </c>
      <c r="H154" s="18">
        <f>ROUND(RAND()*4+6,1)</f>
      </c>
      <c r="I154" s="17" t="s">
        <v>41</v>
      </c>
      <c r="J154" s="19">
        <f>ROUND(64*1,0)&amp;"%"</f>
      </c>
    </row>
    <row x14ac:dyDescent="0.25" r="155" customHeight="1" ht="17.25">
      <c r="A155" s="20" t="s">
        <v>2865</v>
      </c>
      <c r="B155" s="20" t="s">
        <v>270</v>
      </c>
      <c r="C155" s="20" t="s">
        <v>133</v>
      </c>
      <c r="D155" s="20" t="s">
        <v>67</v>
      </c>
      <c r="E155" s="21">
        <f>ROUND(14830*1.05,2)</f>
      </c>
      <c r="F155" s="20" t="s">
        <v>44</v>
      </c>
      <c r="G155" s="20" t="s">
        <v>30</v>
      </c>
      <c r="H155" s="21">
        <f>ROUND(RAND()*4+6,1)</f>
      </c>
      <c r="I155" s="20" t="s">
        <v>45</v>
      </c>
      <c r="J155" s="23">
        <f>ROUND(96*1,0)&amp;"%"</f>
      </c>
    </row>
    <row x14ac:dyDescent="0.25" r="156" customHeight="1" ht="17.25">
      <c r="A156" s="17" t="s">
        <v>2866</v>
      </c>
      <c r="B156" s="17" t="s">
        <v>272</v>
      </c>
      <c r="C156" s="17" t="s">
        <v>133</v>
      </c>
      <c r="D156" s="17" t="s">
        <v>16</v>
      </c>
      <c r="E156" s="18">
        <f>ROUND(6529*1.05,2)</f>
      </c>
      <c r="F156" s="17" t="s">
        <v>48</v>
      </c>
      <c r="G156" s="17" t="s">
        <v>18</v>
      </c>
      <c r="H156" s="18">
        <f>ROUND(RAND()*4+6,1)</f>
      </c>
      <c r="I156" s="17" t="s">
        <v>19</v>
      </c>
      <c r="J156" s="19">
        <f>ROUND(87*1,0)&amp;"%"</f>
      </c>
    </row>
    <row x14ac:dyDescent="0.25" r="157" customHeight="1" ht="17.25">
      <c r="A157" s="20" t="s">
        <v>2867</v>
      </c>
      <c r="B157" s="20" t="s">
        <v>274</v>
      </c>
      <c r="C157" s="20" t="s">
        <v>133</v>
      </c>
      <c r="D157" s="20" t="s">
        <v>22</v>
      </c>
      <c r="E157" s="21">
        <f>ROUND(7390*1.05,2)</f>
      </c>
      <c r="F157" s="20" t="s">
        <v>51</v>
      </c>
      <c r="G157" s="20" t="s">
        <v>24</v>
      </c>
      <c r="H157" s="21">
        <f>ROUND(RAND()*4+6,1)</f>
      </c>
      <c r="I157" s="20" t="s">
        <v>25</v>
      </c>
      <c r="J157" s="23">
        <f>ROUND(76*1,0)&amp;"%"</f>
      </c>
    </row>
    <row x14ac:dyDescent="0.25" r="158" customHeight="1" ht="17.25">
      <c r="A158" s="24" t="s">
        <v>275</v>
      </c>
      <c r="B158" s="24"/>
      <c r="C158" s="24"/>
      <c r="D158" s="24"/>
      <c r="E158" s="25">
        <v>8</v>
      </c>
      <c r="F158" s="9"/>
      <c r="G158" s="9"/>
      <c r="H158" s="10"/>
      <c r="I158" s="9"/>
      <c r="J158" s="9"/>
    </row>
    <row x14ac:dyDescent="0.25" r="159" customHeight="1" ht="17.25">
      <c r="A159" s="7"/>
      <c r="B159" s="7"/>
      <c r="C159" s="7"/>
      <c r="D159" s="7"/>
      <c r="E159" s="8"/>
      <c r="F159" s="9"/>
      <c r="G159" s="9"/>
      <c r="H159" s="10"/>
      <c r="I159" s="9"/>
      <c r="J159" s="9"/>
    </row>
    <row x14ac:dyDescent="0.25" r="160" customHeight="1" ht="17.25">
      <c r="A160" s="11" t="s">
        <v>2868</v>
      </c>
      <c r="B160" s="11"/>
      <c r="C160" s="11"/>
      <c r="D160" s="11"/>
      <c r="E160" s="12"/>
      <c r="F160" s="11"/>
      <c r="G160" s="11"/>
      <c r="H160" s="13"/>
      <c r="I160" s="11"/>
      <c r="J160" s="11"/>
    </row>
    <row x14ac:dyDescent="0.25" r="161" customHeight="1" ht="17.25">
      <c r="A161" s="14" t="s">
        <v>3</v>
      </c>
      <c r="B161" s="14" t="s">
        <v>4</v>
      </c>
      <c r="C161" s="14" t="s">
        <v>5</v>
      </c>
      <c r="D161" s="14" t="s">
        <v>6</v>
      </c>
      <c r="E161" s="15" t="s">
        <v>7</v>
      </c>
      <c r="F161" s="14" t="s">
        <v>8</v>
      </c>
      <c r="G161" s="14" t="s">
        <v>9</v>
      </c>
      <c r="H161" s="16" t="s">
        <v>10</v>
      </c>
      <c r="I161" s="14" t="s">
        <v>11</v>
      </c>
      <c r="J161" s="14" t="s">
        <v>12</v>
      </c>
    </row>
    <row x14ac:dyDescent="0.25" r="162" customHeight="1" ht="17.25">
      <c r="A162" s="17" t="s">
        <v>2869</v>
      </c>
      <c r="B162" s="17" t="s">
        <v>278</v>
      </c>
      <c r="C162" s="17" t="s">
        <v>152</v>
      </c>
      <c r="D162" s="17" t="s">
        <v>16</v>
      </c>
      <c r="E162" s="18">
        <f>ROUND(9904*1.05,2)</f>
      </c>
      <c r="F162" s="17" t="s">
        <v>17</v>
      </c>
      <c r="G162" s="17" t="s">
        <v>18</v>
      </c>
      <c r="H162" s="18">
        <f>ROUND(RAND()*4+6,1)</f>
      </c>
      <c r="I162" s="17" t="s">
        <v>19</v>
      </c>
      <c r="J162" s="19">
        <f>ROUND(86*1,0)&amp;"%"</f>
      </c>
    </row>
    <row x14ac:dyDescent="0.25" r="163" customHeight="1" ht="17.25">
      <c r="A163" s="20" t="s">
        <v>2870</v>
      </c>
      <c r="B163" s="20" t="s">
        <v>280</v>
      </c>
      <c r="C163" s="20" t="s">
        <v>152</v>
      </c>
      <c r="D163" s="20" t="s">
        <v>22</v>
      </c>
      <c r="E163" s="21">
        <f>ROUND(4331*1.05,2)</f>
      </c>
      <c r="F163" s="20" t="s">
        <v>23</v>
      </c>
      <c r="G163" s="20" t="s">
        <v>24</v>
      </c>
      <c r="H163" s="22">
        <f>ROUND(RAND()*4+6,1)</f>
      </c>
      <c r="I163" s="20" t="s">
        <v>25</v>
      </c>
      <c r="J163" s="23">
        <f>ROUND(68*1,0)&amp;"%"</f>
      </c>
    </row>
    <row x14ac:dyDescent="0.25" r="164" customHeight="1" ht="17.25">
      <c r="A164" s="17" t="s">
        <v>2871</v>
      </c>
      <c r="B164" s="17" t="s">
        <v>282</v>
      </c>
      <c r="C164" s="17" t="s">
        <v>152</v>
      </c>
      <c r="D164" s="17" t="s">
        <v>28</v>
      </c>
      <c r="E164" s="18">
        <f>ROUND(13005*1.05,2)</f>
      </c>
      <c r="F164" s="17" t="s">
        <v>29</v>
      </c>
      <c r="G164" s="17" t="s">
        <v>30</v>
      </c>
      <c r="H164" s="18">
        <f>ROUND(RAND()*4+6,1)</f>
      </c>
      <c r="I164" s="17" t="s">
        <v>31</v>
      </c>
      <c r="J164" s="19">
        <f>ROUND(78*1,0)&amp;"%"</f>
      </c>
    </row>
    <row x14ac:dyDescent="0.25" r="165" customHeight="1" ht="17.25">
      <c r="A165" s="20" t="s">
        <v>2872</v>
      </c>
      <c r="B165" s="20" t="s">
        <v>284</v>
      </c>
      <c r="C165" s="20" t="s">
        <v>152</v>
      </c>
      <c r="D165" s="20" t="s">
        <v>34</v>
      </c>
      <c r="E165" s="21">
        <f>ROUND(14792*1.05,2)</f>
      </c>
      <c r="F165" s="20" t="s">
        <v>35</v>
      </c>
      <c r="G165" s="20" t="s">
        <v>18</v>
      </c>
      <c r="H165" s="21">
        <f>ROUND(RAND()*4+6,1)</f>
      </c>
      <c r="I165" s="20" t="s">
        <v>36</v>
      </c>
      <c r="J165" s="23">
        <f>ROUND(74*1,0)&amp;"%"</f>
      </c>
    </row>
    <row x14ac:dyDescent="0.25" r="166" customHeight="1" ht="17.25">
      <c r="A166" s="17" t="s">
        <v>2873</v>
      </c>
      <c r="B166" s="17" t="s">
        <v>286</v>
      </c>
      <c r="C166" s="17" t="s">
        <v>152</v>
      </c>
      <c r="D166" s="17" t="s">
        <v>39</v>
      </c>
      <c r="E166" s="18">
        <f>ROUND(12694*1.05,2)</f>
      </c>
      <c r="F166" s="17" t="s">
        <v>40</v>
      </c>
      <c r="G166" s="17" t="s">
        <v>24</v>
      </c>
      <c r="H166" s="18">
        <f>ROUND(RAND()*4+6,1)</f>
      </c>
      <c r="I166" s="17" t="s">
        <v>41</v>
      </c>
      <c r="J166" s="19">
        <f>ROUND(76*1,0)&amp;"%"</f>
      </c>
    </row>
    <row x14ac:dyDescent="0.25" r="167" customHeight="1" ht="17.25">
      <c r="A167" s="20" t="s">
        <v>2874</v>
      </c>
      <c r="B167" s="20" t="s">
        <v>288</v>
      </c>
      <c r="C167" s="20" t="s">
        <v>152</v>
      </c>
      <c r="D167" s="20" t="s">
        <v>67</v>
      </c>
      <c r="E167" s="21">
        <f>ROUND(7575*1.05,2)</f>
      </c>
      <c r="F167" s="20" t="s">
        <v>44</v>
      </c>
      <c r="G167" s="20" t="s">
        <v>30</v>
      </c>
      <c r="H167" s="21">
        <f>ROUND(RAND()*4+6,1)</f>
      </c>
      <c r="I167" s="20" t="s">
        <v>45</v>
      </c>
      <c r="J167" s="23">
        <f>ROUND(69*1,0)&amp;"%"</f>
      </c>
    </row>
    <row x14ac:dyDescent="0.25" r="168" customHeight="1" ht="17.25">
      <c r="A168" s="17" t="s">
        <v>2875</v>
      </c>
      <c r="B168" s="17" t="s">
        <v>290</v>
      </c>
      <c r="C168" s="17" t="s">
        <v>152</v>
      </c>
      <c r="D168" s="17" t="s">
        <v>16</v>
      </c>
      <c r="E168" s="18">
        <f>ROUND(6618*1.05,2)</f>
      </c>
      <c r="F168" s="17" t="s">
        <v>48</v>
      </c>
      <c r="G168" s="17" t="s">
        <v>18</v>
      </c>
      <c r="H168" s="18">
        <f>ROUND(RAND()*4+6,1)</f>
      </c>
      <c r="I168" s="17" t="s">
        <v>19</v>
      </c>
      <c r="J168" s="19">
        <f>ROUND(84*1,0)&amp;"%"</f>
      </c>
    </row>
    <row x14ac:dyDescent="0.25" r="169" customHeight="1" ht="17.25">
      <c r="A169" s="20" t="s">
        <v>2876</v>
      </c>
      <c r="B169" s="20" t="s">
        <v>292</v>
      </c>
      <c r="C169" s="20" t="s">
        <v>152</v>
      </c>
      <c r="D169" s="20" t="s">
        <v>22</v>
      </c>
      <c r="E169" s="21">
        <f>ROUND(12172*1.05,2)</f>
      </c>
      <c r="F169" s="20" t="s">
        <v>51</v>
      </c>
      <c r="G169" s="20" t="s">
        <v>24</v>
      </c>
      <c r="H169" s="21">
        <f>ROUND(RAND()*4+6,1)</f>
      </c>
      <c r="I169" s="20" t="s">
        <v>25</v>
      </c>
      <c r="J169" s="23">
        <f>ROUND(60*1,0)&amp;"%"</f>
      </c>
    </row>
    <row x14ac:dyDescent="0.25" r="170" customHeight="1" ht="17.25">
      <c r="A170" s="24" t="s">
        <v>293</v>
      </c>
      <c r="B170" s="24"/>
      <c r="C170" s="24"/>
      <c r="D170" s="24"/>
      <c r="E170" s="25">
        <v>8</v>
      </c>
      <c r="F170" s="9"/>
      <c r="G170" s="9"/>
      <c r="H170" s="10"/>
      <c r="I170" s="9"/>
      <c r="J170" s="9"/>
    </row>
    <row x14ac:dyDescent="0.25" r="171" customHeight="1" ht="17.25">
      <c r="A171" s="7"/>
      <c r="B171" s="7"/>
      <c r="C171" s="7"/>
      <c r="D171" s="7"/>
      <c r="E171" s="8"/>
      <c r="F171" s="9"/>
      <c r="G171" s="9"/>
      <c r="H171" s="10"/>
      <c r="I171" s="9"/>
      <c r="J171" s="9"/>
    </row>
    <row x14ac:dyDescent="0.25" r="172" customHeight="1" ht="17.25">
      <c r="A172" s="11" t="s">
        <v>2877</v>
      </c>
      <c r="B172" s="11"/>
      <c r="C172" s="11"/>
      <c r="D172" s="11"/>
      <c r="E172" s="12"/>
      <c r="F172" s="11"/>
      <c r="G172" s="11"/>
      <c r="H172" s="13"/>
      <c r="I172" s="11"/>
      <c r="J172" s="11"/>
    </row>
    <row x14ac:dyDescent="0.25" r="173" customHeight="1" ht="17.25">
      <c r="A173" s="14" t="s">
        <v>3</v>
      </c>
      <c r="B173" s="14" t="s">
        <v>4</v>
      </c>
      <c r="C173" s="14" t="s">
        <v>5</v>
      </c>
      <c r="D173" s="14" t="s">
        <v>6</v>
      </c>
      <c r="E173" s="15" t="s">
        <v>7</v>
      </c>
      <c r="F173" s="14" t="s">
        <v>8</v>
      </c>
      <c r="G173" s="14" t="s">
        <v>9</v>
      </c>
      <c r="H173" s="16" t="s">
        <v>10</v>
      </c>
      <c r="I173" s="14" t="s">
        <v>11</v>
      </c>
      <c r="J173" s="14" t="s">
        <v>12</v>
      </c>
    </row>
    <row x14ac:dyDescent="0.25" r="174" customHeight="1" ht="17.25">
      <c r="A174" s="17" t="s">
        <v>2878</v>
      </c>
      <c r="B174" s="17" t="s">
        <v>296</v>
      </c>
      <c r="C174" s="17" t="s">
        <v>15</v>
      </c>
      <c r="D174" s="17" t="s">
        <v>16</v>
      </c>
      <c r="E174" s="18">
        <f>ROUND(9550*1.05,2)</f>
      </c>
      <c r="F174" s="17" t="s">
        <v>17</v>
      </c>
      <c r="G174" s="17" t="s">
        <v>18</v>
      </c>
      <c r="H174" s="18">
        <f>ROUND(RAND()*4+6,1)</f>
      </c>
      <c r="I174" s="17" t="s">
        <v>19</v>
      </c>
      <c r="J174" s="19">
        <f>ROUND(78*1,0)&amp;"%"</f>
      </c>
    </row>
    <row x14ac:dyDescent="0.25" r="175" customHeight="1" ht="17.25">
      <c r="A175" s="20" t="s">
        <v>2879</v>
      </c>
      <c r="B175" s="20" t="s">
        <v>298</v>
      </c>
      <c r="C175" s="20" t="s">
        <v>15</v>
      </c>
      <c r="D175" s="20" t="s">
        <v>22</v>
      </c>
      <c r="E175" s="21">
        <f>ROUND(8417*1.05,2)</f>
      </c>
      <c r="F175" s="20" t="s">
        <v>23</v>
      </c>
      <c r="G175" s="20" t="s">
        <v>24</v>
      </c>
      <c r="H175" s="21">
        <f>ROUND(RAND()*4+6,1)</f>
      </c>
      <c r="I175" s="20" t="s">
        <v>25</v>
      </c>
      <c r="J175" s="23">
        <f>ROUND(91*1,0)&amp;"%"</f>
      </c>
    </row>
    <row x14ac:dyDescent="0.25" r="176" customHeight="1" ht="17.25">
      <c r="A176" s="17" t="s">
        <v>2880</v>
      </c>
      <c r="B176" s="17" t="s">
        <v>300</v>
      </c>
      <c r="C176" s="17" t="s">
        <v>15</v>
      </c>
      <c r="D176" s="17" t="s">
        <v>28</v>
      </c>
      <c r="E176" s="18">
        <f>ROUND(15993*1.05,2)</f>
      </c>
      <c r="F176" s="17" t="s">
        <v>29</v>
      </c>
      <c r="G176" s="17" t="s">
        <v>30</v>
      </c>
      <c r="H176" s="18">
        <f>ROUND(RAND()*4+6,1)</f>
      </c>
      <c r="I176" s="17" t="s">
        <v>31</v>
      </c>
      <c r="J176" s="19">
        <f>ROUND(75*1,0)&amp;"%"</f>
      </c>
    </row>
    <row x14ac:dyDescent="0.25" r="177" customHeight="1" ht="17.25">
      <c r="A177" s="20" t="s">
        <v>2881</v>
      </c>
      <c r="B177" s="20" t="s">
        <v>302</v>
      </c>
      <c r="C177" s="20" t="s">
        <v>15</v>
      </c>
      <c r="D177" s="20" t="s">
        <v>34</v>
      </c>
      <c r="E177" s="21">
        <f>ROUND(9721*1.05,2)</f>
      </c>
      <c r="F177" s="20" t="s">
        <v>35</v>
      </c>
      <c r="G177" s="20" t="s">
        <v>18</v>
      </c>
      <c r="H177" s="21">
        <f>ROUND(RAND()*4+6,1)</f>
      </c>
      <c r="I177" s="20" t="s">
        <v>36</v>
      </c>
      <c r="J177" s="23">
        <f>ROUND(92*1,0)&amp;"%"</f>
      </c>
    </row>
    <row x14ac:dyDescent="0.25" r="178" customHeight="1" ht="17.25">
      <c r="A178" s="17" t="s">
        <v>2882</v>
      </c>
      <c r="B178" s="17" t="s">
        <v>304</v>
      </c>
      <c r="C178" s="17" t="s">
        <v>15</v>
      </c>
      <c r="D178" s="17" t="s">
        <v>39</v>
      </c>
      <c r="E178" s="18">
        <f>ROUND(13875*1.05,2)</f>
      </c>
      <c r="F178" s="17" t="s">
        <v>40</v>
      </c>
      <c r="G178" s="17" t="s">
        <v>24</v>
      </c>
      <c r="H178" s="18">
        <f>ROUND(RAND()*4+6,1)</f>
      </c>
      <c r="I178" s="17" t="s">
        <v>41</v>
      </c>
      <c r="J178" s="19">
        <f>ROUND(87*1,0)&amp;"%"</f>
      </c>
    </row>
    <row x14ac:dyDescent="0.25" r="179" customHeight="1" ht="17.25">
      <c r="A179" s="20" t="s">
        <v>2883</v>
      </c>
      <c r="B179" s="20" t="s">
        <v>306</v>
      </c>
      <c r="C179" s="20" t="s">
        <v>15</v>
      </c>
      <c r="D179" s="20" t="s">
        <v>67</v>
      </c>
      <c r="E179" s="21">
        <f>ROUND(15073*1.05,2)</f>
      </c>
      <c r="F179" s="20" t="s">
        <v>44</v>
      </c>
      <c r="G179" s="20" t="s">
        <v>30</v>
      </c>
      <c r="H179" s="21">
        <f>ROUND(RAND()*4+6,1)</f>
      </c>
      <c r="I179" s="20" t="s">
        <v>45</v>
      </c>
      <c r="J179" s="23">
        <f>ROUND(91*1,0)&amp;"%"</f>
      </c>
    </row>
    <row x14ac:dyDescent="0.25" r="180" customHeight="1" ht="17.25">
      <c r="A180" s="17" t="s">
        <v>2884</v>
      </c>
      <c r="B180" s="17" t="s">
        <v>308</v>
      </c>
      <c r="C180" s="17" t="s">
        <v>15</v>
      </c>
      <c r="D180" s="17" t="s">
        <v>16</v>
      </c>
      <c r="E180" s="18">
        <f>ROUND(16890*1.05,2)</f>
      </c>
      <c r="F180" s="17" t="s">
        <v>48</v>
      </c>
      <c r="G180" s="17" t="s">
        <v>18</v>
      </c>
      <c r="H180" s="18">
        <f>ROUND(RAND()*4+6,1)</f>
      </c>
      <c r="I180" s="17" t="s">
        <v>19</v>
      </c>
      <c r="J180" s="19">
        <f>ROUND(80*1,0)&amp;"%"</f>
      </c>
    </row>
    <row x14ac:dyDescent="0.25" r="181" customHeight="1" ht="17.25">
      <c r="A181" s="20" t="s">
        <v>2885</v>
      </c>
      <c r="B181" s="20" t="s">
        <v>310</v>
      </c>
      <c r="C181" s="20" t="s">
        <v>15</v>
      </c>
      <c r="D181" s="20" t="s">
        <v>22</v>
      </c>
      <c r="E181" s="21">
        <f>ROUND(7656*1.05,2)</f>
      </c>
      <c r="F181" s="20" t="s">
        <v>51</v>
      </c>
      <c r="G181" s="20" t="s">
        <v>24</v>
      </c>
      <c r="H181" s="21">
        <f>ROUND(RAND()*4+6,1)</f>
      </c>
      <c r="I181" s="20" t="s">
        <v>25</v>
      </c>
      <c r="J181" s="23">
        <f>ROUND(84*1,0)&amp;"%"</f>
      </c>
    </row>
    <row x14ac:dyDescent="0.25" r="182" customHeight="1" ht="17.25">
      <c r="A182" s="24" t="s">
        <v>311</v>
      </c>
      <c r="B182" s="24"/>
      <c r="C182" s="24"/>
      <c r="D182" s="24"/>
      <c r="E182" s="25">
        <v>8</v>
      </c>
      <c r="F182" s="9"/>
      <c r="G182" s="9"/>
      <c r="H182" s="10"/>
      <c r="I182" s="9"/>
      <c r="J182" s="9"/>
    </row>
    <row x14ac:dyDescent="0.25" r="183" customHeight="1" ht="17.25">
      <c r="A183" s="7"/>
      <c r="B183" s="7"/>
      <c r="C183" s="7"/>
      <c r="D183" s="7"/>
      <c r="E183" s="8"/>
      <c r="F183" s="9"/>
      <c r="G183" s="9"/>
      <c r="H183" s="10"/>
      <c r="I183" s="9"/>
      <c r="J183" s="9"/>
    </row>
    <row x14ac:dyDescent="0.25" r="184" customHeight="1" ht="17.25">
      <c r="A184" s="11" t="s">
        <v>2886</v>
      </c>
      <c r="B184" s="11"/>
      <c r="C184" s="11"/>
      <c r="D184" s="11"/>
      <c r="E184" s="12"/>
      <c r="F184" s="11"/>
      <c r="G184" s="11"/>
      <c r="H184" s="13"/>
      <c r="I184" s="11"/>
      <c r="J184" s="11"/>
    </row>
    <row x14ac:dyDescent="0.25" r="185" customHeight="1" ht="17.25">
      <c r="A185" s="14" t="s">
        <v>3</v>
      </c>
      <c r="B185" s="14" t="s">
        <v>4</v>
      </c>
      <c r="C185" s="14" t="s">
        <v>5</v>
      </c>
      <c r="D185" s="14" t="s">
        <v>6</v>
      </c>
      <c r="E185" s="15" t="s">
        <v>7</v>
      </c>
      <c r="F185" s="14" t="s">
        <v>8</v>
      </c>
      <c r="G185" s="14" t="s">
        <v>9</v>
      </c>
      <c r="H185" s="16" t="s">
        <v>10</v>
      </c>
      <c r="I185" s="14" t="s">
        <v>11</v>
      </c>
      <c r="J185" s="14" t="s">
        <v>12</v>
      </c>
    </row>
    <row x14ac:dyDescent="0.25" r="186" customHeight="1" ht="17.25">
      <c r="A186" s="17" t="s">
        <v>2887</v>
      </c>
      <c r="B186" s="17" t="s">
        <v>314</v>
      </c>
      <c r="C186" s="17" t="s">
        <v>56</v>
      </c>
      <c r="D186" s="17" t="s">
        <v>16</v>
      </c>
      <c r="E186" s="18">
        <f>ROUND(12572*1.05,2)</f>
      </c>
      <c r="F186" s="17" t="s">
        <v>17</v>
      </c>
      <c r="G186" s="17" t="s">
        <v>18</v>
      </c>
      <c r="H186" s="26">
        <f>ROUND(RAND()*4+6,1)</f>
      </c>
      <c r="I186" s="17" t="s">
        <v>19</v>
      </c>
      <c r="J186" s="19">
        <f>ROUND(94*1,0)&amp;"%"</f>
      </c>
    </row>
    <row x14ac:dyDescent="0.25" r="187" customHeight="1" ht="17.25">
      <c r="A187" s="20" t="s">
        <v>2888</v>
      </c>
      <c r="B187" s="20" t="s">
        <v>316</v>
      </c>
      <c r="C187" s="20" t="s">
        <v>56</v>
      </c>
      <c r="D187" s="20" t="s">
        <v>22</v>
      </c>
      <c r="E187" s="21">
        <f>ROUND(15695*1.05,2)</f>
      </c>
      <c r="F187" s="20" t="s">
        <v>23</v>
      </c>
      <c r="G187" s="20" t="s">
        <v>24</v>
      </c>
      <c r="H187" s="21">
        <f>ROUND(RAND()*4+6,1)</f>
      </c>
      <c r="I187" s="20" t="s">
        <v>25</v>
      </c>
      <c r="J187" s="23">
        <f>ROUND(62*1,0)&amp;"%"</f>
      </c>
    </row>
    <row x14ac:dyDescent="0.25" r="188" customHeight="1" ht="17.25">
      <c r="A188" s="17" t="s">
        <v>2889</v>
      </c>
      <c r="B188" s="17" t="s">
        <v>318</v>
      </c>
      <c r="C188" s="17" t="s">
        <v>56</v>
      </c>
      <c r="D188" s="17" t="s">
        <v>28</v>
      </c>
      <c r="E188" s="18">
        <f>ROUND(7019*1.05,2)</f>
      </c>
      <c r="F188" s="17" t="s">
        <v>29</v>
      </c>
      <c r="G188" s="17" t="s">
        <v>30</v>
      </c>
      <c r="H188" s="18">
        <f>ROUND(RAND()*4+6,1)</f>
      </c>
      <c r="I188" s="17" t="s">
        <v>31</v>
      </c>
      <c r="J188" s="19">
        <f>ROUND(68*1,0)&amp;"%"</f>
      </c>
    </row>
    <row x14ac:dyDescent="0.25" r="189" customHeight="1" ht="17.25">
      <c r="A189" s="20" t="s">
        <v>2890</v>
      </c>
      <c r="B189" s="20" t="s">
        <v>320</v>
      </c>
      <c r="C189" s="20" t="s">
        <v>56</v>
      </c>
      <c r="D189" s="20" t="s">
        <v>34</v>
      </c>
      <c r="E189" s="21">
        <f>ROUND(5950*1.05,2)</f>
      </c>
      <c r="F189" s="20" t="s">
        <v>35</v>
      </c>
      <c r="G189" s="20" t="s">
        <v>18</v>
      </c>
      <c r="H189" s="21">
        <f>ROUND(RAND()*4+6,1)</f>
      </c>
      <c r="I189" s="20" t="s">
        <v>36</v>
      </c>
      <c r="J189" s="23">
        <f>ROUND(69*1,0)&amp;"%"</f>
      </c>
    </row>
    <row x14ac:dyDescent="0.25" r="190" customHeight="1" ht="17.25">
      <c r="A190" s="17" t="s">
        <v>2891</v>
      </c>
      <c r="B190" s="17" t="s">
        <v>322</v>
      </c>
      <c r="C190" s="17" t="s">
        <v>56</v>
      </c>
      <c r="D190" s="17" t="s">
        <v>39</v>
      </c>
      <c r="E190" s="18">
        <f>ROUND(15656*1.05,2)</f>
      </c>
      <c r="F190" s="17" t="s">
        <v>40</v>
      </c>
      <c r="G190" s="17" t="s">
        <v>24</v>
      </c>
      <c r="H190" s="18">
        <f>ROUND(RAND()*4+6,1)</f>
      </c>
      <c r="I190" s="17" t="s">
        <v>41</v>
      </c>
      <c r="J190" s="19">
        <f>ROUND(62*1,0)&amp;"%"</f>
      </c>
    </row>
    <row x14ac:dyDescent="0.25" r="191" customHeight="1" ht="17.25">
      <c r="A191" s="20" t="s">
        <v>2892</v>
      </c>
      <c r="B191" s="20" t="s">
        <v>324</v>
      </c>
      <c r="C191" s="20" t="s">
        <v>56</v>
      </c>
      <c r="D191" s="20" t="s">
        <v>67</v>
      </c>
      <c r="E191" s="21">
        <f>ROUND(10753*1.05,2)</f>
      </c>
      <c r="F191" s="20" t="s">
        <v>44</v>
      </c>
      <c r="G191" s="20" t="s">
        <v>30</v>
      </c>
      <c r="H191" s="21">
        <f>ROUND(RAND()*4+6,1)</f>
      </c>
      <c r="I191" s="20" t="s">
        <v>45</v>
      </c>
      <c r="J191" s="23">
        <f>ROUND(69*1,0)&amp;"%"</f>
      </c>
    </row>
    <row x14ac:dyDescent="0.25" r="192" customHeight="1" ht="17.25">
      <c r="A192" s="17" t="s">
        <v>2893</v>
      </c>
      <c r="B192" s="17" t="s">
        <v>326</v>
      </c>
      <c r="C192" s="17" t="s">
        <v>56</v>
      </c>
      <c r="D192" s="17" t="s">
        <v>16</v>
      </c>
      <c r="E192" s="18">
        <f>ROUND(13071*1.05,2)</f>
      </c>
      <c r="F192" s="17" t="s">
        <v>48</v>
      </c>
      <c r="G192" s="17" t="s">
        <v>18</v>
      </c>
      <c r="H192" s="18">
        <f>ROUND(RAND()*4+6,1)</f>
      </c>
      <c r="I192" s="17" t="s">
        <v>19</v>
      </c>
      <c r="J192" s="19">
        <f>ROUND(80*1,0)&amp;"%"</f>
      </c>
    </row>
    <row x14ac:dyDescent="0.25" r="193" customHeight="1" ht="17.25">
      <c r="A193" s="20" t="s">
        <v>2894</v>
      </c>
      <c r="B193" s="20" t="s">
        <v>328</v>
      </c>
      <c r="C193" s="20" t="s">
        <v>56</v>
      </c>
      <c r="D193" s="20" t="s">
        <v>22</v>
      </c>
      <c r="E193" s="21">
        <f>ROUND(15062*1.05,2)</f>
      </c>
      <c r="F193" s="20" t="s">
        <v>51</v>
      </c>
      <c r="G193" s="20" t="s">
        <v>24</v>
      </c>
      <c r="H193" s="21">
        <f>ROUND(RAND()*4+6,1)</f>
      </c>
      <c r="I193" s="20" t="s">
        <v>25</v>
      </c>
      <c r="J193" s="23">
        <f>ROUND(73*1,0)&amp;"%"</f>
      </c>
    </row>
    <row x14ac:dyDescent="0.25" r="194" customHeight="1" ht="17.25">
      <c r="A194" s="24" t="s">
        <v>329</v>
      </c>
      <c r="B194" s="24"/>
      <c r="C194" s="24"/>
      <c r="D194" s="24"/>
      <c r="E194" s="25">
        <v>8</v>
      </c>
      <c r="F194" s="9"/>
      <c r="G194" s="9"/>
      <c r="H194" s="10"/>
      <c r="I194" s="9"/>
      <c r="J194" s="9"/>
    </row>
    <row x14ac:dyDescent="0.25" r="195" customHeight="1" ht="17.25">
      <c r="A195" s="7"/>
      <c r="B195" s="7"/>
      <c r="C195" s="7"/>
      <c r="D195" s="7"/>
      <c r="E195" s="8"/>
      <c r="F195" s="9"/>
      <c r="G195" s="9"/>
      <c r="H195" s="10"/>
      <c r="I195" s="9"/>
      <c r="J195" s="9"/>
    </row>
    <row x14ac:dyDescent="0.25" r="196" customHeight="1" ht="17.25">
      <c r="A196" s="11" t="s">
        <v>2895</v>
      </c>
      <c r="B196" s="11"/>
      <c r="C196" s="11"/>
      <c r="D196" s="11"/>
      <c r="E196" s="12"/>
      <c r="F196" s="11"/>
      <c r="G196" s="11"/>
      <c r="H196" s="13"/>
      <c r="I196" s="11"/>
      <c r="J196" s="11"/>
    </row>
    <row x14ac:dyDescent="0.25" r="197" customHeight="1" ht="17.25">
      <c r="A197" s="14" t="s">
        <v>3</v>
      </c>
      <c r="B197" s="14" t="s">
        <v>4</v>
      </c>
      <c r="C197" s="14" t="s">
        <v>5</v>
      </c>
      <c r="D197" s="14" t="s">
        <v>6</v>
      </c>
      <c r="E197" s="15" t="s">
        <v>7</v>
      </c>
      <c r="F197" s="14" t="s">
        <v>8</v>
      </c>
      <c r="G197" s="14" t="s">
        <v>9</v>
      </c>
      <c r="H197" s="16" t="s">
        <v>10</v>
      </c>
      <c r="I197" s="14" t="s">
        <v>11</v>
      </c>
      <c r="J197" s="14" t="s">
        <v>12</v>
      </c>
    </row>
    <row x14ac:dyDescent="0.25" r="198" customHeight="1" ht="17.25">
      <c r="A198" s="17" t="s">
        <v>2896</v>
      </c>
      <c r="B198" s="17" t="s">
        <v>332</v>
      </c>
      <c r="C198" s="17" t="s">
        <v>76</v>
      </c>
      <c r="D198" s="17" t="s">
        <v>16</v>
      </c>
      <c r="E198" s="18">
        <f>ROUND(8503*1.05,2)</f>
      </c>
      <c r="F198" s="17" t="s">
        <v>17</v>
      </c>
      <c r="G198" s="17" t="s">
        <v>18</v>
      </c>
      <c r="H198" s="18">
        <f>ROUND(RAND()*4+6,1)</f>
      </c>
      <c r="I198" s="17" t="s">
        <v>19</v>
      </c>
      <c r="J198" s="19">
        <f>ROUND(94*1,0)&amp;"%"</f>
      </c>
    </row>
    <row x14ac:dyDescent="0.25" r="199" customHeight="1" ht="17.25">
      <c r="A199" s="20" t="s">
        <v>2897</v>
      </c>
      <c r="B199" s="20" t="s">
        <v>334</v>
      </c>
      <c r="C199" s="20" t="s">
        <v>76</v>
      </c>
      <c r="D199" s="20" t="s">
        <v>22</v>
      </c>
      <c r="E199" s="21">
        <f>ROUND(11005*1.05,2)</f>
      </c>
      <c r="F199" s="20" t="s">
        <v>23</v>
      </c>
      <c r="G199" s="20" t="s">
        <v>24</v>
      </c>
      <c r="H199" s="21">
        <f>ROUND(RAND()*4+6,1)</f>
      </c>
      <c r="I199" s="20" t="s">
        <v>25</v>
      </c>
      <c r="J199" s="23">
        <f>ROUND(90*1,0)&amp;"%"</f>
      </c>
    </row>
    <row x14ac:dyDescent="0.25" r="200" customHeight="1" ht="17.25">
      <c r="A200" s="17" t="s">
        <v>2898</v>
      </c>
      <c r="B200" s="17" t="s">
        <v>336</v>
      </c>
      <c r="C200" s="17" t="s">
        <v>76</v>
      </c>
      <c r="D200" s="17" t="s">
        <v>28</v>
      </c>
      <c r="E200" s="18">
        <f>ROUND(12563*1.05,2)</f>
      </c>
      <c r="F200" s="17" t="s">
        <v>29</v>
      </c>
      <c r="G200" s="17" t="s">
        <v>30</v>
      </c>
      <c r="H200" s="18">
        <f>ROUND(RAND()*4+6,1)</f>
      </c>
      <c r="I200" s="17" t="s">
        <v>31</v>
      </c>
      <c r="J200" s="19">
        <f>ROUND(95*1,0)&amp;"%"</f>
      </c>
    </row>
    <row x14ac:dyDescent="0.25" r="201" customHeight="1" ht="17.25">
      <c r="A201" s="20" t="s">
        <v>2899</v>
      </c>
      <c r="B201" s="20" t="s">
        <v>338</v>
      </c>
      <c r="C201" s="20" t="s">
        <v>76</v>
      </c>
      <c r="D201" s="20" t="s">
        <v>34</v>
      </c>
      <c r="E201" s="21">
        <f>ROUND(8629*1.05,2)</f>
      </c>
      <c r="F201" s="20" t="s">
        <v>35</v>
      </c>
      <c r="G201" s="20" t="s">
        <v>18</v>
      </c>
      <c r="H201" s="22">
        <f>ROUND(RAND()*4+6,1)</f>
      </c>
      <c r="I201" s="20" t="s">
        <v>36</v>
      </c>
      <c r="J201" s="23">
        <f>ROUND(95*1,0)&amp;"%"</f>
      </c>
    </row>
    <row x14ac:dyDescent="0.25" r="202" customHeight="1" ht="17.25">
      <c r="A202" s="17" t="s">
        <v>2900</v>
      </c>
      <c r="B202" s="17" t="s">
        <v>340</v>
      </c>
      <c r="C202" s="17" t="s">
        <v>76</v>
      </c>
      <c r="D202" s="17" t="s">
        <v>39</v>
      </c>
      <c r="E202" s="18">
        <f>ROUND(16724*1.05,2)</f>
      </c>
      <c r="F202" s="17" t="s">
        <v>40</v>
      </c>
      <c r="G202" s="17" t="s">
        <v>24</v>
      </c>
      <c r="H202" s="18">
        <f>ROUND(RAND()*4+6,1)</f>
      </c>
      <c r="I202" s="17" t="s">
        <v>41</v>
      </c>
      <c r="J202" s="19">
        <f>ROUND(81*1,0)&amp;"%"</f>
      </c>
    </row>
    <row x14ac:dyDescent="0.25" r="203" customHeight="1" ht="17.25">
      <c r="A203" s="20" t="s">
        <v>2901</v>
      </c>
      <c r="B203" s="20" t="s">
        <v>342</v>
      </c>
      <c r="C203" s="20" t="s">
        <v>76</v>
      </c>
      <c r="D203" s="20" t="s">
        <v>67</v>
      </c>
      <c r="E203" s="21">
        <f>ROUND(7737*1.05,2)</f>
      </c>
      <c r="F203" s="20" t="s">
        <v>44</v>
      </c>
      <c r="G203" s="20" t="s">
        <v>30</v>
      </c>
      <c r="H203" s="22">
        <f>ROUND(RAND()*4+6,1)</f>
      </c>
      <c r="I203" s="20" t="s">
        <v>45</v>
      </c>
      <c r="J203" s="23">
        <f>ROUND(82*1,0)&amp;"%"</f>
      </c>
    </row>
    <row x14ac:dyDescent="0.25" r="204" customHeight="1" ht="17.25">
      <c r="A204" s="17" t="s">
        <v>2902</v>
      </c>
      <c r="B204" s="17" t="s">
        <v>344</v>
      </c>
      <c r="C204" s="17" t="s">
        <v>76</v>
      </c>
      <c r="D204" s="17" t="s">
        <v>16</v>
      </c>
      <c r="E204" s="18">
        <f>ROUND(6501*1.05,2)</f>
      </c>
      <c r="F204" s="17" t="s">
        <v>48</v>
      </c>
      <c r="G204" s="17" t="s">
        <v>18</v>
      </c>
      <c r="H204" s="18">
        <f>ROUND(RAND()*4+6,1)</f>
      </c>
      <c r="I204" s="17" t="s">
        <v>19</v>
      </c>
      <c r="J204" s="19">
        <f>ROUND(87*1,0)&amp;"%"</f>
      </c>
    </row>
    <row x14ac:dyDescent="0.25" r="205" customHeight="1" ht="17.25">
      <c r="A205" s="20" t="s">
        <v>2903</v>
      </c>
      <c r="B205" s="20" t="s">
        <v>346</v>
      </c>
      <c r="C205" s="20" t="s">
        <v>76</v>
      </c>
      <c r="D205" s="20" t="s">
        <v>22</v>
      </c>
      <c r="E205" s="21">
        <f>ROUND(15516*1.05,2)</f>
      </c>
      <c r="F205" s="20" t="s">
        <v>51</v>
      </c>
      <c r="G205" s="20" t="s">
        <v>24</v>
      </c>
      <c r="H205" s="22">
        <f>ROUND(RAND()*4+6,1)</f>
      </c>
      <c r="I205" s="20" t="s">
        <v>25</v>
      </c>
      <c r="J205" s="23">
        <f>ROUND(71*1,0)&amp;"%"</f>
      </c>
    </row>
    <row x14ac:dyDescent="0.25" r="206" customHeight="1" ht="17.25">
      <c r="A206" s="24" t="s">
        <v>347</v>
      </c>
      <c r="B206" s="24"/>
      <c r="C206" s="24"/>
      <c r="D206" s="24"/>
      <c r="E206" s="25">
        <v>8</v>
      </c>
      <c r="F206" s="9"/>
      <c r="G206" s="9"/>
      <c r="H206" s="10"/>
      <c r="I206" s="9"/>
      <c r="J206" s="9"/>
    </row>
    <row x14ac:dyDescent="0.25" r="207" customHeight="1" ht="17.25">
      <c r="A207" s="7"/>
      <c r="B207" s="7"/>
      <c r="C207" s="7"/>
      <c r="D207" s="7"/>
      <c r="E207" s="8"/>
      <c r="F207" s="9"/>
      <c r="G207" s="9"/>
      <c r="H207" s="10"/>
      <c r="I207" s="9"/>
      <c r="J207" s="9"/>
    </row>
    <row x14ac:dyDescent="0.25" r="208" customHeight="1" ht="17.25">
      <c r="A208" s="11" t="s">
        <v>2904</v>
      </c>
      <c r="B208" s="11"/>
      <c r="C208" s="11"/>
      <c r="D208" s="11"/>
      <c r="E208" s="12"/>
      <c r="F208" s="11"/>
      <c r="G208" s="11"/>
      <c r="H208" s="13"/>
      <c r="I208" s="11"/>
      <c r="J208" s="11"/>
    </row>
    <row x14ac:dyDescent="0.25" r="209" customHeight="1" ht="17.25">
      <c r="A209" s="14" t="s">
        <v>3</v>
      </c>
      <c r="B209" s="14" t="s">
        <v>4</v>
      </c>
      <c r="C209" s="14" t="s">
        <v>5</v>
      </c>
      <c r="D209" s="14" t="s">
        <v>6</v>
      </c>
      <c r="E209" s="15" t="s">
        <v>7</v>
      </c>
      <c r="F209" s="14" t="s">
        <v>8</v>
      </c>
      <c r="G209" s="14" t="s">
        <v>9</v>
      </c>
      <c r="H209" s="16" t="s">
        <v>10</v>
      </c>
      <c r="I209" s="14" t="s">
        <v>11</v>
      </c>
      <c r="J209" s="14" t="s">
        <v>12</v>
      </c>
    </row>
    <row x14ac:dyDescent="0.25" r="210" customHeight="1" ht="17.25">
      <c r="A210" s="17" t="s">
        <v>2905</v>
      </c>
      <c r="B210" s="17" t="s">
        <v>350</v>
      </c>
      <c r="C210" s="17" t="s">
        <v>95</v>
      </c>
      <c r="D210" s="17" t="s">
        <v>16</v>
      </c>
      <c r="E210" s="18">
        <f>ROUND(4342*1.05,2)</f>
      </c>
      <c r="F210" s="17" t="s">
        <v>17</v>
      </c>
      <c r="G210" s="17" t="s">
        <v>18</v>
      </c>
      <c r="H210" s="18">
        <f>ROUND(RAND()*4+6,1)</f>
      </c>
      <c r="I210" s="17" t="s">
        <v>19</v>
      </c>
      <c r="J210" s="19">
        <f>ROUND(88*1,0)&amp;"%"</f>
      </c>
    </row>
    <row x14ac:dyDescent="0.25" r="211" customHeight="1" ht="17.25">
      <c r="A211" s="20" t="s">
        <v>2906</v>
      </c>
      <c r="B211" s="20" t="s">
        <v>352</v>
      </c>
      <c r="C211" s="20" t="s">
        <v>95</v>
      </c>
      <c r="D211" s="20" t="s">
        <v>22</v>
      </c>
      <c r="E211" s="21">
        <f>ROUND(9213*1.05,2)</f>
      </c>
      <c r="F211" s="20" t="s">
        <v>23</v>
      </c>
      <c r="G211" s="20" t="s">
        <v>24</v>
      </c>
      <c r="H211" s="21">
        <f>ROUND(RAND()*4+6,1)</f>
      </c>
      <c r="I211" s="20" t="s">
        <v>25</v>
      </c>
      <c r="J211" s="23">
        <f>ROUND(97*1,0)&amp;"%"</f>
      </c>
    </row>
    <row x14ac:dyDescent="0.25" r="212" customHeight="1" ht="17.25">
      <c r="A212" s="17" t="s">
        <v>2907</v>
      </c>
      <c r="B212" s="17" t="s">
        <v>354</v>
      </c>
      <c r="C212" s="17" t="s">
        <v>95</v>
      </c>
      <c r="D212" s="17" t="s">
        <v>28</v>
      </c>
      <c r="E212" s="18">
        <f>ROUND(11308*1.05,2)</f>
      </c>
      <c r="F212" s="17" t="s">
        <v>29</v>
      </c>
      <c r="G212" s="17" t="s">
        <v>30</v>
      </c>
      <c r="H212" s="18">
        <f>ROUND(RAND()*4+6,1)</f>
      </c>
      <c r="I212" s="17" t="s">
        <v>31</v>
      </c>
      <c r="J212" s="19">
        <f>ROUND(89*1,0)&amp;"%"</f>
      </c>
    </row>
    <row x14ac:dyDescent="0.25" r="213" customHeight="1" ht="17.25">
      <c r="A213" s="20" t="s">
        <v>2908</v>
      </c>
      <c r="B213" s="20" t="s">
        <v>356</v>
      </c>
      <c r="C213" s="20" t="s">
        <v>95</v>
      </c>
      <c r="D213" s="20" t="s">
        <v>34</v>
      </c>
      <c r="E213" s="21">
        <f>ROUND(7202*1.05,2)</f>
      </c>
      <c r="F213" s="20" t="s">
        <v>35</v>
      </c>
      <c r="G213" s="20" t="s">
        <v>18</v>
      </c>
      <c r="H213" s="21">
        <f>ROUND(RAND()*4+6,1)</f>
      </c>
      <c r="I213" s="20" t="s">
        <v>36</v>
      </c>
      <c r="J213" s="23">
        <f>ROUND(62*1,0)&amp;"%"</f>
      </c>
    </row>
    <row x14ac:dyDescent="0.25" r="214" customHeight="1" ht="17.25">
      <c r="A214" s="17" t="s">
        <v>2909</v>
      </c>
      <c r="B214" s="17" t="s">
        <v>358</v>
      </c>
      <c r="C214" s="17" t="s">
        <v>95</v>
      </c>
      <c r="D214" s="17" t="s">
        <v>39</v>
      </c>
      <c r="E214" s="18">
        <f>ROUND(17736*1.05,2)</f>
      </c>
      <c r="F214" s="17" t="s">
        <v>40</v>
      </c>
      <c r="G214" s="17" t="s">
        <v>24</v>
      </c>
      <c r="H214" s="18">
        <f>ROUND(RAND()*4+6,1)</f>
      </c>
      <c r="I214" s="17" t="s">
        <v>41</v>
      </c>
      <c r="J214" s="19">
        <f>ROUND(65*1,0)&amp;"%"</f>
      </c>
    </row>
    <row x14ac:dyDescent="0.25" r="215" customHeight="1" ht="17.25">
      <c r="A215" s="20" t="s">
        <v>2910</v>
      </c>
      <c r="B215" s="20" t="s">
        <v>360</v>
      </c>
      <c r="C215" s="20" t="s">
        <v>95</v>
      </c>
      <c r="D215" s="20" t="s">
        <v>67</v>
      </c>
      <c r="E215" s="22">
        <f>ROUND(10880*1.05,2)</f>
      </c>
      <c r="F215" s="20" t="s">
        <v>44</v>
      </c>
      <c r="G215" s="20" t="s">
        <v>30</v>
      </c>
      <c r="H215" s="21">
        <f>ROUND(RAND()*4+6,1)</f>
      </c>
      <c r="I215" s="20" t="s">
        <v>45</v>
      </c>
      <c r="J215" s="23">
        <f>ROUND(97*1,0)&amp;"%"</f>
      </c>
    </row>
    <row x14ac:dyDescent="0.25" r="216" customHeight="1" ht="17.25">
      <c r="A216" s="17" t="s">
        <v>2911</v>
      </c>
      <c r="B216" s="17" t="s">
        <v>362</v>
      </c>
      <c r="C216" s="17" t="s">
        <v>95</v>
      </c>
      <c r="D216" s="17" t="s">
        <v>16</v>
      </c>
      <c r="E216" s="18">
        <f>ROUND(15185*1.05,2)</f>
      </c>
      <c r="F216" s="17" t="s">
        <v>48</v>
      </c>
      <c r="G216" s="17" t="s">
        <v>18</v>
      </c>
      <c r="H216" s="18">
        <f>ROUND(RAND()*4+6,1)</f>
      </c>
      <c r="I216" s="17" t="s">
        <v>19</v>
      </c>
      <c r="J216" s="19">
        <f>ROUND(72*1,0)&amp;"%"</f>
      </c>
    </row>
    <row x14ac:dyDescent="0.25" r="217" customHeight="1" ht="17.25">
      <c r="A217" s="20" t="s">
        <v>2912</v>
      </c>
      <c r="B217" s="20" t="s">
        <v>364</v>
      </c>
      <c r="C217" s="20" t="s">
        <v>95</v>
      </c>
      <c r="D217" s="20" t="s">
        <v>22</v>
      </c>
      <c r="E217" s="22">
        <f>ROUND(17420*1.05,2)</f>
      </c>
      <c r="F217" s="20" t="s">
        <v>51</v>
      </c>
      <c r="G217" s="20" t="s">
        <v>24</v>
      </c>
      <c r="H217" s="21">
        <f>ROUND(RAND()*4+6,1)</f>
      </c>
      <c r="I217" s="20" t="s">
        <v>25</v>
      </c>
      <c r="J217" s="23">
        <f>ROUND(61*1,0)&amp;"%"</f>
      </c>
    </row>
    <row x14ac:dyDescent="0.25" r="218" customHeight="1" ht="17.25">
      <c r="A218" s="24" t="s">
        <v>365</v>
      </c>
      <c r="B218" s="24"/>
      <c r="C218" s="24"/>
      <c r="D218" s="24"/>
      <c r="E218" s="25">
        <v>8</v>
      </c>
      <c r="F218" s="9"/>
      <c r="G218" s="9"/>
      <c r="H218" s="10"/>
      <c r="I218" s="9"/>
      <c r="J218" s="9"/>
    </row>
    <row x14ac:dyDescent="0.25" r="219" customHeight="1" ht="17.25">
      <c r="A219" s="7"/>
      <c r="B219" s="7"/>
      <c r="C219" s="7"/>
      <c r="D219" s="7"/>
      <c r="E219" s="8"/>
      <c r="F219" s="9"/>
      <c r="G219" s="9"/>
      <c r="H219" s="10"/>
      <c r="I219" s="9"/>
      <c r="J219" s="9"/>
    </row>
    <row x14ac:dyDescent="0.25" r="220" customHeight="1" ht="17.25">
      <c r="A220" s="11" t="s">
        <v>2913</v>
      </c>
      <c r="B220" s="11"/>
      <c r="C220" s="11"/>
      <c r="D220" s="11"/>
      <c r="E220" s="12"/>
      <c r="F220" s="11"/>
      <c r="G220" s="11"/>
      <c r="H220" s="13"/>
      <c r="I220" s="11"/>
      <c r="J220" s="11"/>
    </row>
    <row x14ac:dyDescent="0.25" r="221" customHeight="1" ht="17.25">
      <c r="A221" s="14" t="s">
        <v>3</v>
      </c>
      <c r="B221" s="14" t="s">
        <v>4</v>
      </c>
      <c r="C221" s="14" t="s">
        <v>5</v>
      </c>
      <c r="D221" s="14" t="s">
        <v>6</v>
      </c>
      <c r="E221" s="15" t="s">
        <v>7</v>
      </c>
      <c r="F221" s="14" t="s">
        <v>8</v>
      </c>
      <c r="G221" s="14" t="s">
        <v>9</v>
      </c>
      <c r="H221" s="16" t="s">
        <v>10</v>
      </c>
      <c r="I221" s="14" t="s">
        <v>11</v>
      </c>
      <c r="J221" s="14" t="s">
        <v>12</v>
      </c>
    </row>
    <row x14ac:dyDescent="0.25" r="222" customHeight="1" ht="17.25">
      <c r="A222" s="17" t="s">
        <v>2914</v>
      </c>
      <c r="B222" s="17" t="s">
        <v>368</v>
      </c>
      <c r="C222" s="17" t="s">
        <v>114</v>
      </c>
      <c r="D222" s="17" t="s">
        <v>16</v>
      </c>
      <c r="E222" s="18">
        <f>ROUND(8029*1.05,2)</f>
      </c>
      <c r="F222" s="17" t="s">
        <v>17</v>
      </c>
      <c r="G222" s="17" t="s">
        <v>18</v>
      </c>
      <c r="H222" s="18">
        <f>ROUND(RAND()*4+6,1)</f>
      </c>
      <c r="I222" s="17" t="s">
        <v>19</v>
      </c>
      <c r="J222" s="19">
        <f>ROUND(100*1,0)&amp;"%"</f>
      </c>
    </row>
    <row x14ac:dyDescent="0.25" r="223" customHeight="1" ht="17.25">
      <c r="A223" s="20" t="s">
        <v>2915</v>
      </c>
      <c r="B223" s="20" t="s">
        <v>370</v>
      </c>
      <c r="C223" s="20" t="s">
        <v>114</v>
      </c>
      <c r="D223" s="20" t="s">
        <v>22</v>
      </c>
      <c r="E223" s="21">
        <f>ROUND(4743*1.05,2)</f>
      </c>
      <c r="F223" s="20" t="s">
        <v>23</v>
      </c>
      <c r="G223" s="20" t="s">
        <v>24</v>
      </c>
      <c r="H223" s="21">
        <f>ROUND(RAND()*4+6,1)</f>
      </c>
      <c r="I223" s="20" t="s">
        <v>25</v>
      </c>
      <c r="J223" s="23">
        <f>ROUND(84*1,0)&amp;"%"</f>
      </c>
    </row>
    <row x14ac:dyDescent="0.25" r="224" customHeight="1" ht="17.25">
      <c r="A224" s="17" t="s">
        <v>2916</v>
      </c>
      <c r="B224" s="17" t="s">
        <v>372</v>
      </c>
      <c r="C224" s="17" t="s">
        <v>114</v>
      </c>
      <c r="D224" s="17" t="s">
        <v>28</v>
      </c>
      <c r="E224" s="18">
        <f>ROUND(7190*1.05,2)</f>
      </c>
      <c r="F224" s="17" t="s">
        <v>29</v>
      </c>
      <c r="G224" s="17" t="s">
        <v>30</v>
      </c>
      <c r="H224" s="18">
        <f>ROUND(RAND()*4+6,1)</f>
      </c>
      <c r="I224" s="17" t="s">
        <v>31</v>
      </c>
      <c r="J224" s="19">
        <f>ROUND(73*1,0)&amp;"%"</f>
      </c>
    </row>
    <row x14ac:dyDescent="0.25" r="225" customHeight="1" ht="17.25">
      <c r="A225" s="20" t="s">
        <v>2917</v>
      </c>
      <c r="B225" s="20" t="s">
        <v>374</v>
      </c>
      <c r="C225" s="20" t="s">
        <v>114</v>
      </c>
      <c r="D225" s="20" t="s">
        <v>34</v>
      </c>
      <c r="E225" s="21">
        <f>ROUND(10273*1.05,2)</f>
      </c>
      <c r="F225" s="20" t="s">
        <v>35</v>
      </c>
      <c r="G225" s="20" t="s">
        <v>18</v>
      </c>
      <c r="H225" s="21">
        <f>ROUND(RAND()*4+6,1)</f>
      </c>
      <c r="I225" s="20" t="s">
        <v>36</v>
      </c>
      <c r="J225" s="23">
        <f>ROUND(68*1,0)&amp;"%"</f>
      </c>
    </row>
    <row x14ac:dyDescent="0.25" r="226" customHeight="1" ht="17.25">
      <c r="A226" s="17" t="s">
        <v>2918</v>
      </c>
      <c r="B226" s="17" t="s">
        <v>376</v>
      </c>
      <c r="C226" s="17" t="s">
        <v>114</v>
      </c>
      <c r="D226" s="17" t="s">
        <v>39</v>
      </c>
      <c r="E226" s="18">
        <f>ROUND(5819*1.05,2)</f>
      </c>
      <c r="F226" s="17" t="s">
        <v>40</v>
      </c>
      <c r="G226" s="17" t="s">
        <v>24</v>
      </c>
      <c r="H226" s="18">
        <f>ROUND(RAND()*4+6,1)</f>
      </c>
      <c r="I226" s="17" t="s">
        <v>41</v>
      </c>
      <c r="J226" s="19">
        <f>ROUND(68*1,0)&amp;"%"</f>
      </c>
    </row>
    <row x14ac:dyDescent="0.25" r="227" customHeight="1" ht="17.25">
      <c r="A227" s="20" t="s">
        <v>2919</v>
      </c>
      <c r="B227" s="20" t="s">
        <v>378</v>
      </c>
      <c r="C227" s="20" t="s">
        <v>114</v>
      </c>
      <c r="D227" s="20" t="s">
        <v>67</v>
      </c>
      <c r="E227" s="21">
        <f>ROUND(4809*1.05,2)</f>
      </c>
      <c r="F227" s="20" t="s">
        <v>44</v>
      </c>
      <c r="G227" s="20" t="s">
        <v>30</v>
      </c>
      <c r="H227" s="21">
        <f>ROUND(RAND()*4+6,1)</f>
      </c>
      <c r="I227" s="20" t="s">
        <v>45</v>
      </c>
      <c r="J227" s="23">
        <f>ROUND(94*1,0)&amp;"%"</f>
      </c>
    </row>
    <row x14ac:dyDescent="0.25" r="228" customHeight="1" ht="17.25">
      <c r="A228" s="17" t="s">
        <v>2920</v>
      </c>
      <c r="B228" s="17" t="s">
        <v>380</v>
      </c>
      <c r="C228" s="17" t="s">
        <v>114</v>
      </c>
      <c r="D228" s="17" t="s">
        <v>16</v>
      </c>
      <c r="E228" s="18">
        <f>ROUND(9299*1.05,2)</f>
      </c>
      <c r="F228" s="17" t="s">
        <v>48</v>
      </c>
      <c r="G228" s="17" t="s">
        <v>18</v>
      </c>
      <c r="H228" s="26">
        <f>ROUND(RAND()*4+6,1)</f>
      </c>
      <c r="I228" s="17" t="s">
        <v>19</v>
      </c>
      <c r="J228" s="19">
        <f>ROUND(93*1,0)&amp;"%"</f>
      </c>
    </row>
    <row x14ac:dyDescent="0.25" r="229" customHeight="1" ht="17.25">
      <c r="A229" s="20" t="s">
        <v>2921</v>
      </c>
      <c r="B229" s="20" t="s">
        <v>382</v>
      </c>
      <c r="C229" s="20" t="s">
        <v>114</v>
      </c>
      <c r="D229" s="20" t="s">
        <v>22</v>
      </c>
      <c r="E229" s="21">
        <f>ROUND(8559*1.05,2)</f>
      </c>
      <c r="F229" s="20" t="s">
        <v>51</v>
      </c>
      <c r="G229" s="20" t="s">
        <v>24</v>
      </c>
      <c r="H229" s="21">
        <f>ROUND(RAND()*4+6,1)</f>
      </c>
      <c r="I229" s="20" t="s">
        <v>25</v>
      </c>
      <c r="J229" s="23">
        <f>ROUND(80*1,0)&amp;"%"</f>
      </c>
    </row>
    <row x14ac:dyDescent="0.25" r="230" customHeight="1" ht="17.25">
      <c r="A230" s="24" t="s">
        <v>383</v>
      </c>
      <c r="B230" s="24"/>
      <c r="C230" s="24"/>
      <c r="D230" s="24"/>
      <c r="E230" s="25">
        <v>8</v>
      </c>
      <c r="F230" s="9"/>
      <c r="G230" s="9"/>
      <c r="H230" s="10"/>
      <c r="I230" s="9"/>
      <c r="J230" s="9"/>
    </row>
    <row x14ac:dyDescent="0.25" r="231" customHeight="1" ht="17.25">
      <c r="A231" s="7"/>
      <c r="B231" s="7"/>
      <c r="C231" s="7"/>
      <c r="D231" s="7"/>
      <c r="E231" s="8"/>
      <c r="F231" s="9"/>
      <c r="G231" s="9"/>
      <c r="H231" s="10"/>
      <c r="I231" s="9"/>
      <c r="J231" s="9"/>
    </row>
    <row x14ac:dyDescent="0.25" r="232" customHeight="1" ht="17.25">
      <c r="A232" s="11" t="s">
        <v>2922</v>
      </c>
      <c r="B232" s="11"/>
      <c r="C232" s="11"/>
      <c r="D232" s="11"/>
      <c r="E232" s="12"/>
      <c r="F232" s="11"/>
      <c r="G232" s="11"/>
      <c r="H232" s="13"/>
      <c r="I232" s="11"/>
      <c r="J232" s="11"/>
    </row>
    <row x14ac:dyDescent="0.25" r="233" customHeight="1" ht="17.25">
      <c r="A233" s="14" t="s">
        <v>3</v>
      </c>
      <c r="B233" s="14" t="s">
        <v>4</v>
      </c>
      <c r="C233" s="14" t="s">
        <v>5</v>
      </c>
      <c r="D233" s="14" t="s">
        <v>6</v>
      </c>
      <c r="E233" s="15" t="s">
        <v>7</v>
      </c>
      <c r="F233" s="14" t="s">
        <v>8</v>
      </c>
      <c r="G233" s="14" t="s">
        <v>9</v>
      </c>
      <c r="H233" s="16" t="s">
        <v>10</v>
      </c>
      <c r="I233" s="14" t="s">
        <v>11</v>
      </c>
      <c r="J233" s="14" t="s">
        <v>12</v>
      </c>
    </row>
    <row x14ac:dyDescent="0.25" r="234" customHeight="1" ht="17.25">
      <c r="A234" s="17" t="s">
        <v>2923</v>
      </c>
      <c r="B234" s="17" t="s">
        <v>386</v>
      </c>
      <c r="C234" s="17" t="s">
        <v>133</v>
      </c>
      <c r="D234" s="17" t="s">
        <v>16</v>
      </c>
      <c r="E234" s="18">
        <f>ROUND(13785*1.05,2)</f>
      </c>
      <c r="F234" s="17" t="s">
        <v>17</v>
      </c>
      <c r="G234" s="17" t="s">
        <v>18</v>
      </c>
      <c r="H234" s="18">
        <f>ROUND(RAND()*4+6,1)</f>
      </c>
      <c r="I234" s="17" t="s">
        <v>19</v>
      </c>
      <c r="J234" s="19">
        <f>ROUND(88*1,0)&amp;"%"</f>
      </c>
    </row>
    <row x14ac:dyDescent="0.25" r="235" customHeight="1" ht="17.25">
      <c r="A235" s="20" t="s">
        <v>2924</v>
      </c>
      <c r="B235" s="20" t="s">
        <v>388</v>
      </c>
      <c r="C235" s="20" t="s">
        <v>133</v>
      </c>
      <c r="D235" s="20" t="s">
        <v>22</v>
      </c>
      <c r="E235" s="21">
        <f>ROUND(8024*1.05,2)</f>
      </c>
      <c r="F235" s="20" t="s">
        <v>23</v>
      </c>
      <c r="G235" s="20" t="s">
        <v>24</v>
      </c>
      <c r="H235" s="21">
        <f>ROUND(RAND()*4+6,1)</f>
      </c>
      <c r="I235" s="20" t="s">
        <v>25</v>
      </c>
      <c r="J235" s="23">
        <f>ROUND(97*1,0)&amp;"%"</f>
      </c>
    </row>
    <row x14ac:dyDescent="0.25" r="236" customHeight="1" ht="17.25">
      <c r="A236" s="17" t="s">
        <v>2925</v>
      </c>
      <c r="B236" s="17" t="s">
        <v>390</v>
      </c>
      <c r="C236" s="17" t="s">
        <v>133</v>
      </c>
      <c r="D236" s="17" t="s">
        <v>28</v>
      </c>
      <c r="E236" s="18">
        <f>ROUND(17995*1.05,2)</f>
      </c>
      <c r="F236" s="17" t="s">
        <v>29</v>
      </c>
      <c r="G236" s="17" t="s">
        <v>30</v>
      </c>
      <c r="H236" s="26">
        <f>ROUND(RAND()*4+6,1)</f>
      </c>
      <c r="I236" s="17" t="s">
        <v>31</v>
      </c>
      <c r="J236" s="19">
        <f>ROUND(67*1,0)&amp;"%"</f>
      </c>
    </row>
    <row x14ac:dyDescent="0.25" r="237" customHeight="1" ht="17.25">
      <c r="A237" s="20" t="s">
        <v>2926</v>
      </c>
      <c r="B237" s="20" t="s">
        <v>392</v>
      </c>
      <c r="C237" s="20" t="s">
        <v>133</v>
      </c>
      <c r="D237" s="20" t="s">
        <v>34</v>
      </c>
      <c r="E237" s="21">
        <f>ROUND(16047*1.05,2)</f>
      </c>
      <c r="F237" s="20" t="s">
        <v>35</v>
      </c>
      <c r="G237" s="20" t="s">
        <v>18</v>
      </c>
      <c r="H237" s="21">
        <f>ROUND(RAND()*4+6,1)</f>
      </c>
      <c r="I237" s="20" t="s">
        <v>36</v>
      </c>
      <c r="J237" s="23">
        <f>ROUND(77*1,0)&amp;"%"</f>
      </c>
    </row>
    <row x14ac:dyDescent="0.25" r="238" customHeight="1" ht="17.25">
      <c r="A238" s="17" t="s">
        <v>2927</v>
      </c>
      <c r="B238" s="17" t="s">
        <v>394</v>
      </c>
      <c r="C238" s="17" t="s">
        <v>133</v>
      </c>
      <c r="D238" s="17" t="s">
        <v>39</v>
      </c>
      <c r="E238" s="18">
        <f>ROUND(16725*1.05,2)</f>
      </c>
      <c r="F238" s="17" t="s">
        <v>40</v>
      </c>
      <c r="G238" s="17" t="s">
        <v>24</v>
      </c>
      <c r="H238" s="26">
        <f>ROUND(RAND()*4+6,1)</f>
      </c>
      <c r="I238" s="17" t="s">
        <v>41</v>
      </c>
      <c r="J238" s="19">
        <f>ROUND(92*1,0)&amp;"%"</f>
      </c>
    </row>
    <row x14ac:dyDescent="0.25" r="239" customHeight="1" ht="17.25">
      <c r="A239" s="20" t="s">
        <v>2928</v>
      </c>
      <c r="B239" s="20" t="s">
        <v>396</v>
      </c>
      <c r="C239" s="20" t="s">
        <v>133</v>
      </c>
      <c r="D239" s="20" t="s">
        <v>67</v>
      </c>
      <c r="E239" s="21">
        <f>ROUND(4057*1.05,2)</f>
      </c>
      <c r="F239" s="20" t="s">
        <v>44</v>
      </c>
      <c r="G239" s="20" t="s">
        <v>30</v>
      </c>
      <c r="H239" s="21">
        <f>ROUND(RAND()*4+6,1)</f>
      </c>
      <c r="I239" s="20" t="s">
        <v>45</v>
      </c>
      <c r="J239" s="23">
        <f>ROUND(62*1,0)&amp;"%"</f>
      </c>
    </row>
    <row x14ac:dyDescent="0.25" r="240" customHeight="1" ht="17.25">
      <c r="A240" s="17" t="s">
        <v>2929</v>
      </c>
      <c r="B240" s="17" t="s">
        <v>398</v>
      </c>
      <c r="C240" s="17" t="s">
        <v>133</v>
      </c>
      <c r="D240" s="17" t="s">
        <v>16</v>
      </c>
      <c r="E240" s="18">
        <f>ROUND(16949*1.05,2)</f>
      </c>
      <c r="F240" s="17" t="s">
        <v>48</v>
      </c>
      <c r="G240" s="17" t="s">
        <v>18</v>
      </c>
      <c r="H240" s="18">
        <f>ROUND(RAND()*4+6,1)</f>
      </c>
      <c r="I240" s="17" t="s">
        <v>19</v>
      </c>
      <c r="J240" s="19">
        <f>ROUND(64*1,0)&amp;"%"</f>
      </c>
    </row>
    <row x14ac:dyDescent="0.25" r="241" customHeight="1" ht="17.25">
      <c r="A241" s="20" t="s">
        <v>2930</v>
      </c>
      <c r="B241" s="20" t="s">
        <v>400</v>
      </c>
      <c r="C241" s="20" t="s">
        <v>133</v>
      </c>
      <c r="D241" s="20" t="s">
        <v>22</v>
      </c>
      <c r="E241" s="21">
        <f>ROUND(17644*1.05,2)</f>
      </c>
      <c r="F241" s="20" t="s">
        <v>51</v>
      </c>
      <c r="G241" s="20" t="s">
        <v>24</v>
      </c>
      <c r="H241" s="21">
        <f>ROUND(RAND()*4+6,1)</f>
      </c>
      <c r="I241" s="20" t="s">
        <v>25</v>
      </c>
      <c r="J241" s="23">
        <f>ROUND(99*1,0)&amp;"%"</f>
      </c>
    </row>
    <row x14ac:dyDescent="0.25" r="242" customHeight="1" ht="17.25">
      <c r="A242" s="24" t="s">
        <v>401</v>
      </c>
      <c r="B242" s="24"/>
      <c r="C242" s="24"/>
      <c r="D242" s="24"/>
      <c r="E242" s="25">
        <v>8</v>
      </c>
      <c r="F242" s="9"/>
      <c r="G242" s="9"/>
      <c r="H242" s="10"/>
      <c r="I242" s="9"/>
      <c r="J242" s="9"/>
    </row>
    <row x14ac:dyDescent="0.25" r="243" customHeight="1" ht="17.25">
      <c r="A243" s="7"/>
      <c r="B243" s="7"/>
      <c r="C243" s="7"/>
      <c r="D243" s="7"/>
      <c r="E243" s="8"/>
      <c r="F243" s="9"/>
      <c r="G243" s="9"/>
      <c r="H243" s="10"/>
      <c r="I243" s="9"/>
      <c r="J243" s="9"/>
    </row>
    <row x14ac:dyDescent="0.25" r="244" customHeight="1" ht="17.25">
      <c r="A244" s="11" t="s">
        <v>2931</v>
      </c>
      <c r="B244" s="11"/>
      <c r="C244" s="11"/>
      <c r="D244" s="11"/>
      <c r="E244" s="12"/>
      <c r="F244" s="11"/>
      <c r="G244" s="11"/>
      <c r="H244" s="13"/>
      <c r="I244" s="11"/>
      <c r="J244" s="11"/>
    </row>
    <row x14ac:dyDescent="0.25" r="245" customHeight="1" ht="17.25">
      <c r="A245" s="14" t="s">
        <v>3</v>
      </c>
      <c r="B245" s="14" t="s">
        <v>4</v>
      </c>
      <c r="C245" s="14" t="s">
        <v>5</v>
      </c>
      <c r="D245" s="14" t="s">
        <v>6</v>
      </c>
      <c r="E245" s="15" t="s">
        <v>7</v>
      </c>
      <c r="F245" s="14" t="s">
        <v>8</v>
      </c>
      <c r="G245" s="14" t="s">
        <v>9</v>
      </c>
      <c r="H245" s="16" t="s">
        <v>10</v>
      </c>
      <c r="I245" s="14" t="s">
        <v>11</v>
      </c>
      <c r="J245" s="14" t="s">
        <v>12</v>
      </c>
    </row>
    <row x14ac:dyDescent="0.25" r="246" customHeight="1" ht="17.25">
      <c r="A246" s="17" t="s">
        <v>2932</v>
      </c>
      <c r="B246" s="17" t="s">
        <v>404</v>
      </c>
      <c r="C246" s="17" t="s">
        <v>152</v>
      </c>
      <c r="D246" s="17" t="s">
        <v>16</v>
      </c>
      <c r="E246" s="18">
        <f>ROUND(9846*1.05,2)</f>
      </c>
      <c r="F246" s="17" t="s">
        <v>17</v>
      </c>
      <c r="G246" s="17" t="s">
        <v>18</v>
      </c>
      <c r="H246" s="18">
        <f>ROUND(RAND()*4+6,1)</f>
      </c>
      <c r="I246" s="17" t="s">
        <v>19</v>
      </c>
      <c r="J246" s="19">
        <f>ROUND(81*1,0)&amp;"%"</f>
      </c>
    </row>
    <row x14ac:dyDescent="0.25" r="247" customHeight="1" ht="17.25">
      <c r="A247" s="20" t="s">
        <v>2933</v>
      </c>
      <c r="B247" s="20" t="s">
        <v>406</v>
      </c>
      <c r="C247" s="20" t="s">
        <v>152</v>
      </c>
      <c r="D247" s="20" t="s">
        <v>22</v>
      </c>
      <c r="E247" s="22">
        <f>ROUND(5180*1.05,2)</f>
      </c>
      <c r="F247" s="20" t="s">
        <v>23</v>
      </c>
      <c r="G247" s="20" t="s">
        <v>24</v>
      </c>
      <c r="H247" s="22">
        <f>ROUND(RAND()*4+6,1)</f>
      </c>
      <c r="I247" s="20" t="s">
        <v>25</v>
      </c>
      <c r="J247" s="23">
        <f>ROUND(75*1,0)&amp;"%"</f>
      </c>
    </row>
    <row x14ac:dyDescent="0.25" r="248" customHeight="1" ht="17.25">
      <c r="A248" s="17" t="s">
        <v>2934</v>
      </c>
      <c r="B248" s="17" t="s">
        <v>408</v>
      </c>
      <c r="C248" s="17" t="s">
        <v>152</v>
      </c>
      <c r="D248" s="17" t="s">
        <v>28</v>
      </c>
      <c r="E248" s="18">
        <f>ROUND(8297*1.05,2)</f>
      </c>
      <c r="F248" s="17" t="s">
        <v>29</v>
      </c>
      <c r="G248" s="17" t="s">
        <v>30</v>
      </c>
      <c r="H248" s="18">
        <f>ROUND(RAND()*4+6,1)</f>
      </c>
      <c r="I248" s="17" t="s">
        <v>31</v>
      </c>
      <c r="J248" s="19">
        <f>ROUND(88*1,0)&amp;"%"</f>
      </c>
    </row>
    <row x14ac:dyDescent="0.25" r="249" customHeight="1" ht="17.25">
      <c r="A249" s="20" t="s">
        <v>2935</v>
      </c>
      <c r="B249" s="20" t="s">
        <v>410</v>
      </c>
      <c r="C249" s="20" t="s">
        <v>152</v>
      </c>
      <c r="D249" s="20" t="s">
        <v>34</v>
      </c>
      <c r="E249" s="21">
        <f>ROUND(9610*1.05,2)</f>
      </c>
      <c r="F249" s="20" t="s">
        <v>35</v>
      </c>
      <c r="G249" s="20" t="s">
        <v>18</v>
      </c>
      <c r="H249" s="21">
        <f>ROUND(RAND()*4+6,1)</f>
      </c>
      <c r="I249" s="20" t="s">
        <v>36</v>
      </c>
      <c r="J249" s="23">
        <f>ROUND(95*1,0)&amp;"%"</f>
      </c>
    </row>
    <row x14ac:dyDescent="0.25" r="250" customHeight="1" ht="17.25">
      <c r="A250" s="17" t="s">
        <v>2936</v>
      </c>
      <c r="B250" s="17" t="s">
        <v>412</v>
      </c>
      <c r="C250" s="17" t="s">
        <v>152</v>
      </c>
      <c r="D250" s="17" t="s">
        <v>39</v>
      </c>
      <c r="E250" s="18">
        <f>ROUND(12313*1.05,2)</f>
      </c>
      <c r="F250" s="17" t="s">
        <v>40</v>
      </c>
      <c r="G250" s="17" t="s">
        <v>24</v>
      </c>
      <c r="H250" s="18">
        <f>ROUND(RAND()*4+6,1)</f>
      </c>
      <c r="I250" s="17" t="s">
        <v>41</v>
      </c>
      <c r="J250" s="19">
        <f>ROUND(99*1,0)&amp;"%"</f>
      </c>
    </row>
    <row x14ac:dyDescent="0.25" r="251" customHeight="1" ht="17.25">
      <c r="A251" s="20" t="s">
        <v>2937</v>
      </c>
      <c r="B251" s="20" t="s">
        <v>414</v>
      </c>
      <c r="C251" s="20" t="s">
        <v>152</v>
      </c>
      <c r="D251" s="20" t="s">
        <v>67</v>
      </c>
      <c r="E251" s="22">
        <f>ROUND(6380*1.05,2)</f>
      </c>
      <c r="F251" s="20" t="s">
        <v>44</v>
      </c>
      <c r="G251" s="20" t="s">
        <v>30</v>
      </c>
      <c r="H251" s="21">
        <f>ROUND(RAND()*4+6,1)</f>
      </c>
      <c r="I251" s="20" t="s">
        <v>45</v>
      </c>
      <c r="J251" s="23">
        <f>ROUND(100*1,0)&amp;"%"</f>
      </c>
    </row>
    <row x14ac:dyDescent="0.25" r="252" customHeight="1" ht="17.25">
      <c r="A252" s="17" t="s">
        <v>2938</v>
      </c>
      <c r="B252" s="17" t="s">
        <v>416</v>
      </c>
      <c r="C252" s="17" t="s">
        <v>152</v>
      </c>
      <c r="D252" s="17" t="s">
        <v>16</v>
      </c>
      <c r="E252" s="18">
        <f>ROUND(12293*1.05,2)</f>
      </c>
      <c r="F252" s="17" t="s">
        <v>48</v>
      </c>
      <c r="G252" s="17" t="s">
        <v>18</v>
      </c>
      <c r="H252" s="18">
        <f>ROUND(RAND()*4+6,1)</f>
      </c>
      <c r="I252" s="17" t="s">
        <v>19</v>
      </c>
      <c r="J252" s="19">
        <f>ROUND(68*1,0)&amp;"%"</f>
      </c>
    </row>
    <row x14ac:dyDescent="0.25" r="253" customHeight="1" ht="17.25">
      <c r="A253" s="20" t="s">
        <v>2939</v>
      </c>
      <c r="B253" s="20" t="s">
        <v>418</v>
      </c>
      <c r="C253" s="20" t="s">
        <v>152</v>
      </c>
      <c r="D253" s="20" t="s">
        <v>22</v>
      </c>
      <c r="E253" s="21">
        <f>ROUND(13154*1.05,2)</f>
      </c>
      <c r="F253" s="20" t="s">
        <v>51</v>
      </c>
      <c r="G253" s="20" t="s">
        <v>24</v>
      </c>
      <c r="H253" s="21">
        <f>ROUND(RAND()*4+6,1)</f>
      </c>
      <c r="I253" s="20" t="s">
        <v>25</v>
      </c>
      <c r="J253" s="23">
        <f>ROUND(72*1,0)&amp;"%"</f>
      </c>
    </row>
    <row x14ac:dyDescent="0.25" r="254" customHeight="1" ht="17.25">
      <c r="A254" s="24" t="s">
        <v>419</v>
      </c>
      <c r="B254" s="24"/>
      <c r="C254" s="24"/>
      <c r="D254" s="24"/>
      <c r="E254" s="25">
        <v>8</v>
      </c>
      <c r="F254" s="9"/>
      <c r="G254" s="9"/>
      <c r="H254" s="10"/>
      <c r="I254" s="9"/>
      <c r="J254" s="9"/>
    </row>
    <row x14ac:dyDescent="0.25" r="255" customHeight="1" ht="17.25">
      <c r="A255" s="7"/>
      <c r="B255" s="7"/>
      <c r="C255" s="7"/>
      <c r="D255" s="7"/>
      <c r="E255" s="8"/>
      <c r="F255" s="9"/>
      <c r="G255" s="9"/>
      <c r="H255" s="10"/>
      <c r="I255" s="9"/>
      <c r="J255" s="9"/>
    </row>
    <row x14ac:dyDescent="0.25" r="256" customHeight="1" ht="17.25">
      <c r="A256" s="11" t="s">
        <v>2940</v>
      </c>
      <c r="B256" s="11"/>
      <c r="C256" s="11"/>
      <c r="D256" s="11"/>
      <c r="E256" s="12"/>
      <c r="F256" s="11"/>
      <c r="G256" s="11"/>
      <c r="H256" s="13"/>
      <c r="I256" s="11"/>
      <c r="J256" s="11"/>
    </row>
    <row x14ac:dyDescent="0.25" r="257" customHeight="1" ht="17.25">
      <c r="A257" s="14" t="s">
        <v>3</v>
      </c>
      <c r="B257" s="14" t="s">
        <v>4</v>
      </c>
      <c r="C257" s="14" t="s">
        <v>5</v>
      </c>
      <c r="D257" s="14" t="s">
        <v>6</v>
      </c>
      <c r="E257" s="15" t="s">
        <v>7</v>
      </c>
      <c r="F257" s="14" t="s">
        <v>8</v>
      </c>
      <c r="G257" s="14" t="s">
        <v>9</v>
      </c>
      <c r="H257" s="16" t="s">
        <v>10</v>
      </c>
      <c r="I257" s="14" t="s">
        <v>11</v>
      </c>
      <c r="J257" s="14" t="s">
        <v>12</v>
      </c>
    </row>
    <row x14ac:dyDescent="0.25" r="258" customHeight="1" ht="17.25">
      <c r="A258" s="17" t="s">
        <v>2941</v>
      </c>
      <c r="B258" s="17" t="s">
        <v>422</v>
      </c>
      <c r="C258" s="17" t="s">
        <v>15</v>
      </c>
      <c r="D258" s="17" t="s">
        <v>16</v>
      </c>
      <c r="E258" s="18">
        <f>ROUND(10588*1.05,2)</f>
      </c>
      <c r="F258" s="17" t="s">
        <v>17</v>
      </c>
      <c r="G258" s="17" t="s">
        <v>18</v>
      </c>
      <c r="H258" s="18">
        <f>ROUND(RAND()*4+6,1)</f>
      </c>
      <c r="I258" s="17" t="s">
        <v>19</v>
      </c>
      <c r="J258" s="19">
        <f>ROUND(71*1,0)&amp;"%"</f>
      </c>
    </row>
    <row x14ac:dyDescent="0.25" r="259" customHeight="1" ht="17.25">
      <c r="A259" s="20" t="s">
        <v>2942</v>
      </c>
      <c r="B259" s="20" t="s">
        <v>424</v>
      </c>
      <c r="C259" s="20" t="s">
        <v>15</v>
      </c>
      <c r="D259" s="20" t="s">
        <v>22</v>
      </c>
      <c r="E259" s="21">
        <f>ROUND(15356*1.05,2)</f>
      </c>
      <c r="F259" s="20" t="s">
        <v>23</v>
      </c>
      <c r="G259" s="20" t="s">
        <v>24</v>
      </c>
      <c r="H259" s="21">
        <f>ROUND(RAND()*4+6,1)</f>
      </c>
      <c r="I259" s="20" t="s">
        <v>25</v>
      </c>
      <c r="J259" s="23">
        <f>ROUND(87*1,0)&amp;"%"</f>
      </c>
    </row>
    <row x14ac:dyDescent="0.25" r="260" customHeight="1" ht="17.25">
      <c r="A260" s="17" t="s">
        <v>2943</v>
      </c>
      <c r="B260" s="17" t="s">
        <v>426</v>
      </c>
      <c r="C260" s="17" t="s">
        <v>15</v>
      </c>
      <c r="D260" s="17" t="s">
        <v>28</v>
      </c>
      <c r="E260" s="18">
        <f>ROUND(6921*1.05,2)</f>
      </c>
      <c r="F260" s="17" t="s">
        <v>29</v>
      </c>
      <c r="G260" s="17" t="s">
        <v>30</v>
      </c>
      <c r="H260" s="18">
        <f>ROUND(RAND()*4+6,1)</f>
      </c>
      <c r="I260" s="17" t="s">
        <v>31</v>
      </c>
      <c r="J260" s="19">
        <f>ROUND(63*1,0)&amp;"%"</f>
      </c>
    </row>
    <row x14ac:dyDescent="0.25" r="261" customHeight="1" ht="17.25">
      <c r="A261" s="20" t="s">
        <v>2944</v>
      </c>
      <c r="B261" s="20" t="s">
        <v>428</v>
      </c>
      <c r="C261" s="20" t="s">
        <v>15</v>
      </c>
      <c r="D261" s="20" t="s">
        <v>34</v>
      </c>
      <c r="E261" s="21">
        <f>ROUND(16125*1.05,2)</f>
      </c>
      <c r="F261" s="20" t="s">
        <v>35</v>
      </c>
      <c r="G261" s="20" t="s">
        <v>18</v>
      </c>
      <c r="H261" s="21">
        <f>ROUND(RAND()*4+6,1)</f>
      </c>
      <c r="I261" s="20" t="s">
        <v>36</v>
      </c>
      <c r="J261" s="23">
        <f>ROUND(91*1,0)&amp;"%"</f>
      </c>
    </row>
    <row x14ac:dyDescent="0.25" r="262" customHeight="1" ht="17.25">
      <c r="A262" s="17" t="s">
        <v>2945</v>
      </c>
      <c r="B262" s="17" t="s">
        <v>430</v>
      </c>
      <c r="C262" s="17" t="s">
        <v>15</v>
      </c>
      <c r="D262" s="17" t="s">
        <v>39</v>
      </c>
      <c r="E262" s="18">
        <f>ROUND(9237*1.05,2)</f>
      </c>
      <c r="F262" s="17" t="s">
        <v>40</v>
      </c>
      <c r="G262" s="17" t="s">
        <v>24</v>
      </c>
      <c r="H262" s="18">
        <f>ROUND(RAND()*4+6,1)</f>
      </c>
      <c r="I262" s="17" t="s">
        <v>41</v>
      </c>
      <c r="J262" s="19">
        <f>ROUND(95*1,0)&amp;"%"</f>
      </c>
    </row>
    <row x14ac:dyDescent="0.25" r="263" customHeight="1" ht="17.25">
      <c r="A263" s="20" t="s">
        <v>2946</v>
      </c>
      <c r="B263" s="20" t="s">
        <v>432</v>
      </c>
      <c r="C263" s="20" t="s">
        <v>15</v>
      </c>
      <c r="D263" s="20" t="s">
        <v>67</v>
      </c>
      <c r="E263" s="21">
        <f>ROUND(9679*1.05,2)</f>
      </c>
      <c r="F263" s="20" t="s">
        <v>44</v>
      </c>
      <c r="G263" s="20" t="s">
        <v>30</v>
      </c>
      <c r="H263" s="22">
        <f>ROUND(RAND()*4+6,1)</f>
      </c>
      <c r="I263" s="20" t="s">
        <v>45</v>
      </c>
      <c r="J263" s="23">
        <f>ROUND(73*1,0)&amp;"%"</f>
      </c>
    </row>
    <row x14ac:dyDescent="0.25" r="264" customHeight="1" ht="17.25">
      <c r="A264" s="17" t="s">
        <v>2947</v>
      </c>
      <c r="B264" s="17" t="s">
        <v>434</v>
      </c>
      <c r="C264" s="17" t="s">
        <v>15</v>
      </c>
      <c r="D264" s="17" t="s">
        <v>16</v>
      </c>
      <c r="E264" s="18">
        <f>ROUND(6414*1.05,2)</f>
      </c>
      <c r="F264" s="17" t="s">
        <v>48</v>
      </c>
      <c r="G264" s="17" t="s">
        <v>18</v>
      </c>
      <c r="H264" s="18">
        <f>ROUND(RAND()*4+6,1)</f>
      </c>
      <c r="I264" s="17" t="s">
        <v>19</v>
      </c>
      <c r="J264" s="19">
        <f>ROUND(70*1,0)&amp;"%"</f>
      </c>
    </row>
    <row x14ac:dyDescent="0.25" r="265" customHeight="1" ht="17.25">
      <c r="A265" s="20" t="s">
        <v>2948</v>
      </c>
      <c r="B265" s="20" t="s">
        <v>436</v>
      </c>
      <c r="C265" s="20" t="s">
        <v>15</v>
      </c>
      <c r="D265" s="20" t="s">
        <v>22</v>
      </c>
      <c r="E265" s="22">
        <f>ROUND(10800*1.05,2)</f>
      </c>
      <c r="F265" s="20" t="s">
        <v>51</v>
      </c>
      <c r="G265" s="20" t="s">
        <v>24</v>
      </c>
      <c r="H265" s="21">
        <f>ROUND(RAND()*4+6,1)</f>
      </c>
      <c r="I265" s="20" t="s">
        <v>25</v>
      </c>
      <c r="J265" s="23">
        <f>ROUND(95*1,0)&amp;"%"</f>
      </c>
    </row>
    <row x14ac:dyDescent="0.25" r="266" customHeight="1" ht="17.25">
      <c r="A266" s="24" t="s">
        <v>437</v>
      </c>
      <c r="B266" s="24"/>
      <c r="C266" s="24"/>
      <c r="D266" s="24"/>
      <c r="E266" s="25">
        <v>8</v>
      </c>
      <c r="F266" s="9"/>
      <c r="G266" s="9"/>
      <c r="H266" s="10"/>
      <c r="I266" s="9"/>
      <c r="J266" s="9"/>
    </row>
    <row x14ac:dyDescent="0.25" r="267" customHeight="1" ht="17.25">
      <c r="A267" s="7"/>
      <c r="B267" s="7"/>
      <c r="C267" s="7"/>
      <c r="D267" s="7"/>
      <c r="E267" s="8"/>
      <c r="F267" s="9"/>
      <c r="G267" s="9"/>
      <c r="H267" s="10"/>
      <c r="I267" s="9"/>
      <c r="J267" s="9"/>
    </row>
    <row x14ac:dyDescent="0.25" r="268" customHeight="1" ht="17.25">
      <c r="A268" s="11" t="s">
        <v>2949</v>
      </c>
      <c r="B268" s="11"/>
      <c r="C268" s="11"/>
      <c r="D268" s="11"/>
      <c r="E268" s="12"/>
      <c r="F268" s="11"/>
      <c r="G268" s="11"/>
      <c r="H268" s="13"/>
      <c r="I268" s="11"/>
      <c r="J268" s="11"/>
    </row>
    <row x14ac:dyDescent="0.25" r="269" customHeight="1" ht="17.25">
      <c r="A269" s="14" t="s">
        <v>3</v>
      </c>
      <c r="B269" s="14" t="s">
        <v>4</v>
      </c>
      <c r="C269" s="14" t="s">
        <v>5</v>
      </c>
      <c r="D269" s="14" t="s">
        <v>6</v>
      </c>
      <c r="E269" s="15" t="s">
        <v>7</v>
      </c>
      <c r="F269" s="14" t="s">
        <v>8</v>
      </c>
      <c r="G269" s="14" t="s">
        <v>9</v>
      </c>
      <c r="H269" s="16" t="s">
        <v>10</v>
      </c>
      <c r="I269" s="14" t="s">
        <v>11</v>
      </c>
      <c r="J269" s="14" t="s">
        <v>12</v>
      </c>
    </row>
    <row x14ac:dyDescent="0.25" r="270" customHeight="1" ht="17.25">
      <c r="A270" s="17" t="s">
        <v>2950</v>
      </c>
      <c r="B270" s="17" t="s">
        <v>440</v>
      </c>
      <c r="C270" s="17" t="s">
        <v>56</v>
      </c>
      <c r="D270" s="17" t="s">
        <v>16</v>
      </c>
      <c r="E270" s="18">
        <f>ROUND(10774*1.05,2)</f>
      </c>
      <c r="F270" s="17" t="s">
        <v>17</v>
      </c>
      <c r="G270" s="17" t="s">
        <v>18</v>
      </c>
      <c r="H270" s="18">
        <f>ROUND(RAND()*4+6,1)</f>
      </c>
      <c r="I270" s="17" t="s">
        <v>19</v>
      </c>
      <c r="J270" s="19">
        <f>ROUND(65*1,0)&amp;"%"</f>
      </c>
    </row>
    <row x14ac:dyDescent="0.25" r="271" customHeight="1" ht="17.25">
      <c r="A271" s="20" t="s">
        <v>2951</v>
      </c>
      <c r="B271" s="20" t="s">
        <v>442</v>
      </c>
      <c r="C271" s="20" t="s">
        <v>56</v>
      </c>
      <c r="D271" s="20" t="s">
        <v>22</v>
      </c>
      <c r="E271" s="21">
        <f>ROUND(4364*1.05,2)</f>
      </c>
      <c r="F271" s="20" t="s">
        <v>23</v>
      </c>
      <c r="G271" s="20" t="s">
        <v>24</v>
      </c>
      <c r="H271" s="22">
        <f>ROUND(RAND()*4+6,1)</f>
      </c>
      <c r="I271" s="20" t="s">
        <v>25</v>
      </c>
      <c r="J271" s="23">
        <f>ROUND(82*1,0)&amp;"%"</f>
      </c>
    </row>
    <row x14ac:dyDescent="0.25" r="272" customHeight="1" ht="17.25">
      <c r="A272" s="17" t="s">
        <v>2952</v>
      </c>
      <c r="B272" s="17" t="s">
        <v>444</v>
      </c>
      <c r="C272" s="17" t="s">
        <v>56</v>
      </c>
      <c r="D272" s="17" t="s">
        <v>28</v>
      </c>
      <c r="E272" s="18">
        <f>ROUND(12935*1.05,2)</f>
      </c>
      <c r="F272" s="17" t="s">
        <v>29</v>
      </c>
      <c r="G272" s="17" t="s">
        <v>30</v>
      </c>
      <c r="H272" s="18">
        <f>ROUND(RAND()*4+6,1)</f>
      </c>
      <c r="I272" s="17" t="s">
        <v>31</v>
      </c>
      <c r="J272" s="19">
        <f>ROUND(64*1,0)&amp;"%"</f>
      </c>
    </row>
    <row x14ac:dyDescent="0.25" r="273" customHeight="1" ht="17.25">
      <c r="A273" s="20" t="s">
        <v>2953</v>
      </c>
      <c r="B273" s="20" t="s">
        <v>446</v>
      </c>
      <c r="C273" s="20" t="s">
        <v>56</v>
      </c>
      <c r="D273" s="20" t="s">
        <v>34</v>
      </c>
      <c r="E273" s="22">
        <f>ROUND(8080*1.05,2)</f>
      </c>
      <c r="F273" s="20" t="s">
        <v>35</v>
      </c>
      <c r="G273" s="20" t="s">
        <v>18</v>
      </c>
      <c r="H273" s="21">
        <f>ROUND(RAND()*4+6,1)</f>
      </c>
      <c r="I273" s="20" t="s">
        <v>36</v>
      </c>
      <c r="J273" s="23">
        <f>ROUND(94*1,0)&amp;"%"</f>
      </c>
    </row>
    <row x14ac:dyDescent="0.25" r="274" customHeight="1" ht="17.25">
      <c r="A274" s="17" t="s">
        <v>2954</v>
      </c>
      <c r="B274" s="17" t="s">
        <v>448</v>
      </c>
      <c r="C274" s="17" t="s">
        <v>56</v>
      </c>
      <c r="D274" s="17" t="s">
        <v>39</v>
      </c>
      <c r="E274" s="18">
        <f>ROUND(8114*1.05,2)</f>
      </c>
      <c r="F274" s="17" t="s">
        <v>40</v>
      </c>
      <c r="G274" s="17" t="s">
        <v>24</v>
      </c>
      <c r="H274" s="26">
        <f>ROUND(RAND()*4+6,1)</f>
      </c>
      <c r="I274" s="17" t="s">
        <v>41</v>
      </c>
      <c r="J274" s="19">
        <f>ROUND(89*1,0)&amp;"%"</f>
      </c>
    </row>
    <row x14ac:dyDescent="0.25" r="275" customHeight="1" ht="17.25">
      <c r="A275" s="20" t="s">
        <v>2955</v>
      </c>
      <c r="B275" s="20" t="s">
        <v>450</v>
      </c>
      <c r="C275" s="20" t="s">
        <v>56</v>
      </c>
      <c r="D275" s="20" t="s">
        <v>67</v>
      </c>
      <c r="E275" s="21">
        <f>ROUND(11548*1.05,2)</f>
      </c>
      <c r="F275" s="20" t="s">
        <v>44</v>
      </c>
      <c r="G275" s="20" t="s">
        <v>30</v>
      </c>
      <c r="H275" s="21">
        <f>ROUND(RAND()*4+6,1)</f>
      </c>
      <c r="I275" s="20" t="s">
        <v>45</v>
      </c>
      <c r="J275" s="23">
        <f>ROUND(66*1,0)&amp;"%"</f>
      </c>
    </row>
    <row x14ac:dyDescent="0.25" r="276" customHeight="1" ht="17.25">
      <c r="A276" s="17" t="s">
        <v>2956</v>
      </c>
      <c r="B276" s="17" t="s">
        <v>452</v>
      </c>
      <c r="C276" s="17" t="s">
        <v>56</v>
      </c>
      <c r="D276" s="17" t="s">
        <v>16</v>
      </c>
      <c r="E276" s="18">
        <f>ROUND(6652*1.05,2)</f>
      </c>
      <c r="F276" s="17" t="s">
        <v>48</v>
      </c>
      <c r="G276" s="17" t="s">
        <v>18</v>
      </c>
      <c r="H276" s="18">
        <f>ROUND(RAND()*4+6,1)</f>
      </c>
      <c r="I276" s="17" t="s">
        <v>19</v>
      </c>
      <c r="J276" s="19">
        <f>ROUND(94*1,0)&amp;"%"</f>
      </c>
    </row>
    <row x14ac:dyDescent="0.25" r="277" customHeight="1" ht="17.25">
      <c r="A277" s="20" t="s">
        <v>2957</v>
      </c>
      <c r="B277" s="20" t="s">
        <v>454</v>
      </c>
      <c r="C277" s="20" t="s">
        <v>56</v>
      </c>
      <c r="D277" s="20" t="s">
        <v>22</v>
      </c>
      <c r="E277" s="21">
        <f>ROUND(6005*1.05,2)</f>
      </c>
      <c r="F277" s="20" t="s">
        <v>51</v>
      </c>
      <c r="G277" s="20" t="s">
        <v>24</v>
      </c>
      <c r="H277" s="21">
        <f>ROUND(RAND()*4+6,1)</f>
      </c>
      <c r="I277" s="20" t="s">
        <v>25</v>
      </c>
      <c r="J277" s="23">
        <f>ROUND(75*1,0)&amp;"%"</f>
      </c>
    </row>
    <row x14ac:dyDescent="0.25" r="278" customHeight="1" ht="17.25">
      <c r="A278" s="24" t="s">
        <v>455</v>
      </c>
      <c r="B278" s="24"/>
      <c r="C278" s="24"/>
      <c r="D278" s="24"/>
      <c r="E278" s="25">
        <v>8</v>
      </c>
      <c r="F278" s="9"/>
      <c r="G278" s="9"/>
      <c r="H278" s="10"/>
      <c r="I278" s="9"/>
      <c r="J278" s="9"/>
    </row>
    <row x14ac:dyDescent="0.25" r="279" customHeight="1" ht="17.25">
      <c r="A279" s="7"/>
      <c r="B279" s="7"/>
      <c r="C279" s="7"/>
      <c r="D279" s="7"/>
      <c r="E279" s="8"/>
      <c r="F279" s="9"/>
      <c r="G279" s="9"/>
      <c r="H279" s="10"/>
      <c r="I279" s="9"/>
      <c r="J279" s="9"/>
    </row>
    <row x14ac:dyDescent="0.25" r="280" customHeight="1" ht="17.25">
      <c r="A280" s="11" t="s">
        <v>2958</v>
      </c>
      <c r="B280" s="11"/>
      <c r="C280" s="11"/>
      <c r="D280" s="11"/>
      <c r="E280" s="12"/>
      <c r="F280" s="11"/>
      <c r="G280" s="11"/>
      <c r="H280" s="13"/>
      <c r="I280" s="11"/>
      <c r="J280" s="11"/>
    </row>
    <row x14ac:dyDescent="0.25" r="281" customHeight="1" ht="17.25">
      <c r="A281" s="14" t="s">
        <v>3</v>
      </c>
      <c r="B281" s="14" t="s">
        <v>4</v>
      </c>
      <c r="C281" s="14" t="s">
        <v>5</v>
      </c>
      <c r="D281" s="14" t="s">
        <v>6</v>
      </c>
      <c r="E281" s="15" t="s">
        <v>7</v>
      </c>
      <c r="F281" s="14" t="s">
        <v>8</v>
      </c>
      <c r="G281" s="14" t="s">
        <v>9</v>
      </c>
      <c r="H281" s="16" t="s">
        <v>10</v>
      </c>
      <c r="I281" s="14" t="s">
        <v>11</v>
      </c>
      <c r="J281" s="14" t="s">
        <v>12</v>
      </c>
    </row>
    <row x14ac:dyDescent="0.25" r="282" customHeight="1" ht="17.25">
      <c r="A282" s="17" t="s">
        <v>2959</v>
      </c>
      <c r="B282" s="17" t="s">
        <v>458</v>
      </c>
      <c r="C282" s="17" t="s">
        <v>76</v>
      </c>
      <c r="D282" s="17" t="s">
        <v>16</v>
      </c>
      <c r="E282" s="18">
        <f>ROUND(7658*1.05,2)</f>
      </c>
      <c r="F282" s="17" t="s">
        <v>17</v>
      </c>
      <c r="G282" s="17" t="s">
        <v>18</v>
      </c>
      <c r="H282" s="18">
        <f>ROUND(RAND()*4+6,1)</f>
      </c>
      <c r="I282" s="17" t="s">
        <v>19</v>
      </c>
      <c r="J282" s="19">
        <f>ROUND(65*1,0)&amp;"%"</f>
      </c>
    </row>
    <row x14ac:dyDescent="0.25" r="283" customHeight="1" ht="17.25">
      <c r="A283" s="20" t="s">
        <v>2960</v>
      </c>
      <c r="B283" s="20" t="s">
        <v>460</v>
      </c>
      <c r="C283" s="20" t="s">
        <v>76</v>
      </c>
      <c r="D283" s="20" t="s">
        <v>22</v>
      </c>
      <c r="E283" s="21">
        <f>ROUND(12642*1.05,2)</f>
      </c>
      <c r="F283" s="20" t="s">
        <v>23</v>
      </c>
      <c r="G283" s="20" t="s">
        <v>24</v>
      </c>
      <c r="H283" s="21">
        <f>ROUND(RAND()*4+6,1)</f>
      </c>
      <c r="I283" s="20" t="s">
        <v>25</v>
      </c>
      <c r="J283" s="23">
        <f>ROUND(89*1,0)&amp;"%"</f>
      </c>
    </row>
    <row x14ac:dyDescent="0.25" r="284" customHeight="1" ht="17.25">
      <c r="A284" s="17" t="s">
        <v>2961</v>
      </c>
      <c r="B284" s="17" t="s">
        <v>462</v>
      </c>
      <c r="C284" s="17" t="s">
        <v>76</v>
      </c>
      <c r="D284" s="17" t="s">
        <v>28</v>
      </c>
      <c r="E284" s="18">
        <f>ROUND(16658*1.05,2)</f>
      </c>
      <c r="F284" s="17" t="s">
        <v>29</v>
      </c>
      <c r="G284" s="17" t="s">
        <v>30</v>
      </c>
      <c r="H284" s="26">
        <f>ROUND(RAND()*4+6,1)</f>
      </c>
      <c r="I284" s="17" t="s">
        <v>31</v>
      </c>
      <c r="J284" s="19">
        <f>ROUND(66*1,0)&amp;"%"</f>
      </c>
    </row>
    <row x14ac:dyDescent="0.25" r="285" customHeight="1" ht="17.25">
      <c r="A285" s="20" t="s">
        <v>2962</v>
      </c>
      <c r="B285" s="20" t="s">
        <v>464</v>
      </c>
      <c r="C285" s="20" t="s">
        <v>76</v>
      </c>
      <c r="D285" s="20" t="s">
        <v>34</v>
      </c>
      <c r="E285" s="21">
        <f>ROUND(4834*1.05,2)</f>
      </c>
      <c r="F285" s="20" t="s">
        <v>35</v>
      </c>
      <c r="G285" s="20" t="s">
        <v>18</v>
      </c>
      <c r="H285" s="22">
        <f>ROUND(RAND()*4+6,1)</f>
      </c>
      <c r="I285" s="20" t="s">
        <v>36</v>
      </c>
      <c r="J285" s="23">
        <f>ROUND(72*1,0)&amp;"%"</f>
      </c>
    </row>
    <row x14ac:dyDescent="0.25" r="286" customHeight="1" ht="17.25">
      <c r="A286" s="17" t="s">
        <v>2963</v>
      </c>
      <c r="B286" s="17" t="s">
        <v>466</v>
      </c>
      <c r="C286" s="17" t="s">
        <v>76</v>
      </c>
      <c r="D286" s="17" t="s">
        <v>39</v>
      </c>
      <c r="E286" s="18">
        <f>ROUND(17556*1.05,2)</f>
      </c>
      <c r="F286" s="17" t="s">
        <v>40</v>
      </c>
      <c r="G286" s="17" t="s">
        <v>24</v>
      </c>
      <c r="H286" s="18">
        <f>ROUND(RAND()*4+6,1)</f>
      </c>
      <c r="I286" s="17" t="s">
        <v>41</v>
      </c>
      <c r="J286" s="19">
        <f>ROUND(71*1,0)&amp;"%"</f>
      </c>
    </row>
    <row x14ac:dyDescent="0.25" r="287" customHeight="1" ht="17.25">
      <c r="A287" s="20" t="s">
        <v>2964</v>
      </c>
      <c r="B287" s="20" t="s">
        <v>468</v>
      </c>
      <c r="C287" s="20" t="s">
        <v>76</v>
      </c>
      <c r="D287" s="20" t="s">
        <v>67</v>
      </c>
      <c r="E287" s="21">
        <f>ROUND(16938*1.05,2)</f>
      </c>
      <c r="F287" s="20" t="s">
        <v>44</v>
      </c>
      <c r="G287" s="20" t="s">
        <v>30</v>
      </c>
      <c r="H287" s="21">
        <f>ROUND(RAND()*4+6,1)</f>
      </c>
      <c r="I287" s="20" t="s">
        <v>45</v>
      </c>
      <c r="J287" s="23">
        <f>ROUND(63*1,0)&amp;"%"</f>
      </c>
    </row>
    <row x14ac:dyDescent="0.25" r="288" customHeight="1" ht="17.25">
      <c r="A288" s="17" t="s">
        <v>2965</v>
      </c>
      <c r="B288" s="17" t="s">
        <v>470</v>
      </c>
      <c r="C288" s="17" t="s">
        <v>76</v>
      </c>
      <c r="D288" s="17" t="s">
        <v>16</v>
      </c>
      <c r="E288" s="18">
        <f>ROUND(17337*1.05,2)</f>
      </c>
      <c r="F288" s="17" t="s">
        <v>48</v>
      </c>
      <c r="G288" s="17" t="s">
        <v>18</v>
      </c>
      <c r="H288" s="18">
        <f>ROUND(RAND()*4+6,1)</f>
      </c>
      <c r="I288" s="17" t="s">
        <v>19</v>
      </c>
      <c r="J288" s="19">
        <f>ROUND(98*1,0)&amp;"%"</f>
      </c>
    </row>
    <row x14ac:dyDescent="0.25" r="289" customHeight="1" ht="17.25">
      <c r="A289" s="20" t="s">
        <v>2966</v>
      </c>
      <c r="B289" s="20" t="s">
        <v>472</v>
      </c>
      <c r="C289" s="20" t="s">
        <v>76</v>
      </c>
      <c r="D289" s="20" t="s">
        <v>22</v>
      </c>
      <c r="E289" s="21">
        <f>ROUND(14319*1.05,2)</f>
      </c>
      <c r="F289" s="20" t="s">
        <v>51</v>
      </c>
      <c r="G289" s="20" t="s">
        <v>24</v>
      </c>
      <c r="H289" s="21">
        <f>ROUND(RAND()*4+6,1)</f>
      </c>
      <c r="I289" s="20" t="s">
        <v>25</v>
      </c>
      <c r="J289" s="23">
        <f>ROUND(85*1,0)&amp;"%"</f>
      </c>
    </row>
    <row x14ac:dyDescent="0.25" r="290" customHeight="1" ht="17.25">
      <c r="A290" s="24" t="s">
        <v>473</v>
      </c>
      <c r="B290" s="24"/>
      <c r="C290" s="24"/>
      <c r="D290" s="24"/>
      <c r="E290" s="25">
        <v>8</v>
      </c>
      <c r="F290" s="9"/>
      <c r="G290" s="9"/>
      <c r="H290" s="10"/>
      <c r="I290" s="9"/>
      <c r="J290" s="9"/>
    </row>
    <row x14ac:dyDescent="0.25" r="291" customHeight="1" ht="17.25">
      <c r="A291" s="7"/>
      <c r="B291" s="7"/>
      <c r="C291" s="7"/>
      <c r="D291" s="7"/>
      <c r="E291" s="8"/>
      <c r="F291" s="9"/>
      <c r="G291" s="9"/>
      <c r="H291" s="10"/>
      <c r="I291" s="9"/>
      <c r="J291" s="9"/>
    </row>
    <row x14ac:dyDescent="0.25" r="292" customHeight="1" ht="17.25">
      <c r="A292" s="11" t="s">
        <v>2967</v>
      </c>
      <c r="B292" s="11"/>
      <c r="C292" s="11"/>
      <c r="D292" s="11"/>
      <c r="E292" s="12"/>
      <c r="F292" s="11"/>
      <c r="G292" s="11"/>
      <c r="H292" s="13"/>
      <c r="I292" s="11"/>
      <c r="J292" s="11"/>
    </row>
    <row x14ac:dyDescent="0.25" r="293" customHeight="1" ht="17.25">
      <c r="A293" s="14" t="s">
        <v>3</v>
      </c>
      <c r="B293" s="14" t="s">
        <v>4</v>
      </c>
      <c r="C293" s="14" t="s">
        <v>5</v>
      </c>
      <c r="D293" s="14" t="s">
        <v>6</v>
      </c>
      <c r="E293" s="15" t="s">
        <v>7</v>
      </c>
      <c r="F293" s="14" t="s">
        <v>8</v>
      </c>
      <c r="G293" s="14" t="s">
        <v>9</v>
      </c>
      <c r="H293" s="16" t="s">
        <v>10</v>
      </c>
      <c r="I293" s="14" t="s">
        <v>11</v>
      </c>
      <c r="J293" s="14" t="s">
        <v>12</v>
      </c>
    </row>
    <row x14ac:dyDescent="0.25" r="294" customHeight="1" ht="17.25">
      <c r="A294" s="17" t="s">
        <v>2968</v>
      </c>
      <c r="B294" s="17" t="s">
        <v>476</v>
      </c>
      <c r="C294" s="17" t="s">
        <v>95</v>
      </c>
      <c r="D294" s="17" t="s">
        <v>16</v>
      </c>
      <c r="E294" s="18">
        <f>ROUND(9858*1.05,2)</f>
      </c>
      <c r="F294" s="17" t="s">
        <v>17</v>
      </c>
      <c r="G294" s="17" t="s">
        <v>18</v>
      </c>
      <c r="H294" s="18">
        <f>ROUND(RAND()*4+6,1)</f>
      </c>
      <c r="I294" s="17" t="s">
        <v>19</v>
      </c>
      <c r="J294" s="19">
        <f>ROUND(75*1,0)&amp;"%"</f>
      </c>
    </row>
    <row x14ac:dyDescent="0.25" r="295" customHeight="1" ht="17.25">
      <c r="A295" s="20" t="s">
        <v>2969</v>
      </c>
      <c r="B295" s="20" t="s">
        <v>478</v>
      </c>
      <c r="C295" s="20" t="s">
        <v>95</v>
      </c>
      <c r="D295" s="20" t="s">
        <v>22</v>
      </c>
      <c r="E295" s="22">
        <f>ROUND(10380*1.05,2)</f>
      </c>
      <c r="F295" s="20" t="s">
        <v>23</v>
      </c>
      <c r="G295" s="20" t="s">
        <v>24</v>
      </c>
      <c r="H295" s="21">
        <f>ROUND(RAND()*4+6,1)</f>
      </c>
      <c r="I295" s="20" t="s">
        <v>25</v>
      </c>
      <c r="J295" s="23">
        <f>ROUND(92*1,0)&amp;"%"</f>
      </c>
    </row>
    <row x14ac:dyDescent="0.25" r="296" customHeight="1" ht="17.25">
      <c r="A296" s="17" t="s">
        <v>2970</v>
      </c>
      <c r="B296" s="17" t="s">
        <v>480</v>
      </c>
      <c r="C296" s="17" t="s">
        <v>95</v>
      </c>
      <c r="D296" s="17" t="s">
        <v>28</v>
      </c>
      <c r="E296" s="18">
        <f>ROUND(10188*1.05,2)</f>
      </c>
      <c r="F296" s="17" t="s">
        <v>29</v>
      </c>
      <c r="G296" s="17" t="s">
        <v>30</v>
      </c>
      <c r="H296" s="18">
        <f>ROUND(RAND()*4+6,1)</f>
      </c>
      <c r="I296" s="17" t="s">
        <v>31</v>
      </c>
      <c r="J296" s="19">
        <f>ROUND(61*1,0)&amp;"%"</f>
      </c>
    </row>
    <row x14ac:dyDescent="0.25" r="297" customHeight="1" ht="17.25">
      <c r="A297" s="20" t="s">
        <v>2971</v>
      </c>
      <c r="B297" s="20" t="s">
        <v>482</v>
      </c>
      <c r="C297" s="20" t="s">
        <v>95</v>
      </c>
      <c r="D297" s="20" t="s">
        <v>34</v>
      </c>
      <c r="E297" s="21">
        <f>ROUND(9348*1.05,2)</f>
      </c>
      <c r="F297" s="20" t="s">
        <v>35</v>
      </c>
      <c r="G297" s="20" t="s">
        <v>18</v>
      </c>
      <c r="H297" s="22">
        <f>ROUND(RAND()*4+6,1)</f>
      </c>
      <c r="I297" s="20" t="s">
        <v>36</v>
      </c>
      <c r="J297" s="23">
        <f>ROUND(92*1,0)&amp;"%"</f>
      </c>
    </row>
    <row x14ac:dyDescent="0.25" r="298" customHeight="1" ht="17.25">
      <c r="A298" s="17" t="s">
        <v>2972</v>
      </c>
      <c r="B298" s="17" t="s">
        <v>484</v>
      </c>
      <c r="C298" s="17" t="s">
        <v>95</v>
      </c>
      <c r="D298" s="17" t="s">
        <v>39</v>
      </c>
      <c r="E298" s="18">
        <f>ROUND(6076*1.05,2)</f>
      </c>
      <c r="F298" s="17" t="s">
        <v>40</v>
      </c>
      <c r="G298" s="17" t="s">
        <v>24</v>
      </c>
      <c r="H298" s="18">
        <f>ROUND(RAND()*4+6,1)</f>
      </c>
      <c r="I298" s="17" t="s">
        <v>41</v>
      </c>
      <c r="J298" s="19">
        <f>ROUND(76*1,0)&amp;"%"</f>
      </c>
    </row>
    <row x14ac:dyDescent="0.25" r="299" customHeight="1" ht="17.25">
      <c r="A299" s="20" t="s">
        <v>2973</v>
      </c>
      <c r="B299" s="20" t="s">
        <v>486</v>
      </c>
      <c r="C299" s="20" t="s">
        <v>95</v>
      </c>
      <c r="D299" s="20" t="s">
        <v>67</v>
      </c>
      <c r="E299" s="21">
        <f>ROUND(4448*1.05,2)</f>
      </c>
      <c r="F299" s="20" t="s">
        <v>44</v>
      </c>
      <c r="G299" s="20" t="s">
        <v>30</v>
      </c>
      <c r="H299" s="21">
        <f>ROUND(RAND()*4+6,1)</f>
      </c>
      <c r="I299" s="20" t="s">
        <v>45</v>
      </c>
      <c r="J299" s="23">
        <f>ROUND(96*1,0)&amp;"%"</f>
      </c>
    </row>
    <row x14ac:dyDescent="0.25" r="300" customHeight="1" ht="17.25">
      <c r="A300" s="17" t="s">
        <v>2974</v>
      </c>
      <c r="B300" s="17" t="s">
        <v>488</v>
      </c>
      <c r="C300" s="17" t="s">
        <v>95</v>
      </c>
      <c r="D300" s="17" t="s">
        <v>16</v>
      </c>
      <c r="E300" s="18">
        <f>ROUND(12348*1.05,2)</f>
      </c>
      <c r="F300" s="17" t="s">
        <v>48</v>
      </c>
      <c r="G300" s="17" t="s">
        <v>18</v>
      </c>
      <c r="H300" s="18">
        <f>ROUND(RAND()*4+6,1)</f>
      </c>
      <c r="I300" s="17" t="s">
        <v>19</v>
      </c>
      <c r="J300" s="19">
        <f>ROUND(97*1,0)&amp;"%"</f>
      </c>
    </row>
    <row x14ac:dyDescent="0.25" r="301" customHeight="1" ht="17.25">
      <c r="A301" s="20" t="s">
        <v>2975</v>
      </c>
      <c r="B301" s="20" t="s">
        <v>490</v>
      </c>
      <c r="C301" s="20" t="s">
        <v>95</v>
      </c>
      <c r="D301" s="20" t="s">
        <v>22</v>
      </c>
      <c r="E301" s="21">
        <f>ROUND(5735*1.05,2)</f>
      </c>
      <c r="F301" s="20" t="s">
        <v>51</v>
      </c>
      <c r="G301" s="20" t="s">
        <v>24</v>
      </c>
      <c r="H301" s="21">
        <f>ROUND(RAND()*4+6,1)</f>
      </c>
      <c r="I301" s="20" t="s">
        <v>25</v>
      </c>
      <c r="J301" s="23">
        <f>ROUND(60*1,0)&amp;"%"</f>
      </c>
    </row>
    <row x14ac:dyDescent="0.25" r="302" customHeight="1" ht="17.25">
      <c r="A302" s="24" t="s">
        <v>491</v>
      </c>
      <c r="B302" s="24"/>
      <c r="C302" s="24"/>
      <c r="D302" s="24"/>
      <c r="E302" s="25">
        <v>8</v>
      </c>
      <c r="F302" s="9"/>
      <c r="G302" s="9"/>
      <c r="H302" s="10"/>
      <c r="I302" s="9"/>
      <c r="J302" s="9"/>
    </row>
    <row x14ac:dyDescent="0.25" r="303" customHeight="1" ht="17.25">
      <c r="A303" s="7"/>
      <c r="B303" s="7"/>
      <c r="C303" s="7"/>
      <c r="D303" s="7"/>
      <c r="E303" s="8"/>
      <c r="F303" s="9"/>
      <c r="G303" s="9"/>
      <c r="H303" s="10"/>
      <c r="I303" s="9"/>
      <c r="J303" s="9"/>
    </row>
    <row x14ac:dyDescent="0.25" r="304" customHeight="1" ht="17.25">
      <c r="A304" s="11" t="s">
        <v>2976</v>
      </c>
      <c r="B304" s="11"/>
      <c r="C304" s="11"/>
      <c r="D304" s="11"/>
      <c r="E304" s="12"/>
      <c r="F304" s="11"/>
      <c r="G304" s="11"/>
      <c r="H304" s="13"/>
      <c r="I304" s="11"/>
      <c r="J304" s="11"/>
    </row>
    <row x14ac:dyDescent="0.25" r="305" customHeight="1" ht="17.25">
      <c r="A305" s="14" t="s">
        <v>3</v>
      </c>
      <c r="B305" s="14" t="s">
        <v>4</v>
      </c>
      <c r="C305" s="14" t="s">
        <v>5</v>
      </c>
      <c r="D305" s="14" t="s">
        <v>6</v>
      </c>
      <c r="E305" s="15" t="s">
        <v>7</v>
      </c>
      <c r="F305" s="14" t="s">
        <v>8</v>
      </c>
      <c r="G305" s="14" t="s">
        <v>9</v>
      </c>
      <c r="H305" s="16" t="s">
        <v>10</v>
      </c>
      <c r="I305" s="14" t="s">
        <v>11</v>
      </c>
      <c r="J305" s="14" t="s">
        <v>12</v>
      </c>
    </row>
    <row x14ac:dyDescent="0.25" r="306" customHeight="1" ht="17.25">
      <c r="A306" s="17" t="s">
        <v>2977</v>
      </c>
      <c r="B306" s="17" t="s">
        <v>494</v>
      </c>
      <c r="C306" s="17" t="s">
        <v>114</v>
      </c>
      <c r="D306" s="17" t="s">
        <v>16</v>
      </c>
      <c r="E306" s="18">
        <f>ROUND(11752*1.05,2)</f>
      </c>
      <c r="F306" s="17" t="s">
        <v>17</v>
      </c>
      <c r="G306" s="17" t="s">
        <v>18</v>
      </c>
      <c r="H306" s="18">
        <f>ROUND(RAND()*4+6,1)</f>
      </c>
      <c r="I306" s="17" t="s">
        <v>19</v>
      </c>
      <c r="J306" s="19">
        <f>ROUND(70*1,0)&amp;"%"</f>
      </c>
    </row>
    <row x14ac:dyDescent="0.25" r="307" customHeight="1" ht="17.25">
      <c r="A307" s="20" t="s">
        <v>2978</v>
      </c>
      <c r="B307" s="20" t="s">
        <v>496</v>
      </c>
      <c r="C307" s="20" t="s">
        <v>114</v>
      </c>
      <c r="D307" s="20" t="s">
        <v>22</v>
      </c>
      <c r="E307" s="21">
        <f>ROUND(9419*1.05,2)</f>
      </c>
      <c r="F307" s="20" t="s">
        <v>23</v>
      </c>
      <c r="G307" s="20" t="s">
        <v>24</v>
      </c>
      <c r="H307" s="21">
        <f>ROUND(RAND()*4+6,1)</f>
      </c>
      <c r="I307" s="20" t="s">
        <v>25</v>
      </c>
      <c r="J307" s="23">
        <f>ROUND(68*1,0)&amp;"%"</f>
      </c>
    </row>
    <row x14ac:dyDescent="0.25" r="308" customHeight="1" ht="17.25">
      <c r="A308" s="17" t="s">
        <v>2979</v>
      </c>
      <c r="B308" s="17" t="s">
        <v>498</v>
      </c>
      <c r="C308" s="17" t="s">
        <v>114</v>
      </c>
      <c r="D308" s="17" t="s">
        <v>28</v>
      </c>
      <c r="E308" s="18">
        <f>ROUND(11126*1.05,2)</f>
      </c>
      <c r="F308" s="17" t="s">
        <v>29</v>
      </c>
      <c r="G308" s="17" t="s">
        <v>30</v>
      </c>
      <c r="H308" s="18">
        <f>ROUND(RAND()*4+6,1)</f>
      </c>
      <c r="I308" s="17" t="s">
        <v>31</v>
      </c>
      <c r="J308" s="19">
        <f>ROUND(90*1,0)&amp;"%"</f>
      </c>
    </row>
    <row x14ac:dyDescent="0.25" r="309" customHeight="1" ht="17.25">
      <c r="A309" s="20" t="s">
        <v>2980</v>
      </c>
      <c r="B309" s="20" t="s">
        <v>500</v>
      </c>
      <c r="C309" s="20" t="s">
        <v>114</v>
      </c>
      <c r="D309" s="20" t="s">
        <v>34</v>
      </c>
      <c r="E309" s="21">
        <f>ROUND(10274*1.05,2)</f>
      </c>
      <c r="F309" s="20" t="s">
        <v>35</v>
      </c>
      <c r="G309" s="20" t="s">
        <v>18</v>
      </c>
      <c r="H309" s="21">
        <f>ROUND(RAND()*4+6,1)</f>
      </c>
      <c r="I309" s="20" t="s">
        <v>36</v>
      </c>
      <c r="J309" s="23">
        <f>ROUND(67*1,0)&amp;"%"</f>
      </c>
    </row>
    <row x14ac:dyDescent="0.25" r="310" customHeight="1" ht="17.25">
      <c r="A310" s="17" t="s">
        <v>2981</v>
      </c>
      <c r="B310" s="17" t="s">
        <v>502</v>
      </c>
      <c r="C310" s="17" t="s">
        <v>114</v>
      </c>
      <c r="D310" s="17" t="s">
        <v>39</v>
      </c>
      <c r="E310" s="18">
        <f>ROUND(17883*1.05,2)</f>
      </c>
      <c r="F310" s="17" t="s">
        <v>40</v>
      </c>
      <c r="G310" s="17" t="s">
        <v>24</v>
      </c>
      <c r="H310" s="18">
        <f>ROUND(RAND()*4+6,1)</f>
      </c>
      <c r="I310" s="17" t="s">
        <v>41</v>
      </c>
      <c r="J310" s="19">
        <f>ROUND(91*1,0)&amp;"%"</f>
      </c>
    </row>
    <row x14ac:dyDescent="0.25" r="311" customHeight="1" ht="17.25">
      <c r="A311" s="20" t="s">
        <v>2982</v>
      </c>
      <c r="B311" s="20" t="s">
        <v>504</v>
      </c>
      <c r="C311" s="20" t="s">
        <v>114</v>
      </c>
      <c r="D311" s="20" t="s">
        <v>67</v>
      </c>
      <c r="E311" s="21">
        <f>ROUND(15179*1.05,2)</f>
      </c>
      <c r="F311" s="20" t="s">
        <v>44</v>
      </c>
      <c r="G311" s="20" t="s">
        <v>30</v>
      </c>
      <c r="H311" s="21">
        <f>ROUND(RAND()*4+6,1)</f>
      </c>
      <c r="I311" s="20" t="s">
        <v>45</v>
      </c>
      <c r="J311" s="23">
        <f>ROUND(84*1,0)&amp;"%"</f>
      </c>
    </row>
    <row x14ac:dyDescent="0.25" r="312" customHeight="1" ht="17.25">
      <c r="A312" s="17" t="s">
        <v>2983</v>
      </c>
      <c r="B312" s="17" t="s">
        <v>506</v>
      </c>
      <c r="C312" s="17" t="s">
        <v>114</v>
      </c>
      <c r="D312" s="17" t="s">
        <v>16</v>
      </c>
      <c r="E312" s="18">
        <f>ROUND(6971*1.05,2)</f>
      </c>
      <c r="F312" s="17" t="s">
        <v>48</v>
      </c>
      <c r="G312" s="17" t="s">
        <v>18</v>
      </c>
      <c r="H312" s="18">
        <f>ROUND(RAND()*4+6,1)</f>
      </c>
      <c r="I312" s="17" t="s">
        <v>19</v>
      </c>
      <c r="J312" s="19">
        <f>ROUND(70*1,0)&amp;"%"</f>
      </c>
    </row>
    <row x14ac:dyDescent="0.25" r="313" customHeight="1" ht="17.25">
      <c r="A313" s="20" t="s">
        <v>2984</v>
      </c>
      <c r="B313" s="20" t="s">
        <v>508</v>
      </c>
      <c r="C313" s="20" t="s">
        <v>114</v>
      </c>
      <c r="D313" s="20" t="s">
        <v>22</v>
      </c>
      <c r="E313" s="21">
        <f>ROUND(13145*1.05,2)</f>
      </c>
      <c r="F313" s="20" t="s">
        <v>51</v>
      </c>
      <c r="G313" s="20" t="s">
        <v>24</v>
      </c>
      <c r="H313" s="21">
        <f>ROUND(RAND()*4+6,1)</f>
      </c>
      <c r="I313" s="20" t="s">
        <v>25</v>
      </c>
      <c r="J313" s="23">
        <f>ROUND(64*1,0)&amp;"%"</f>
      </c>
    </row>
    <row x14ac:dyDescent="0.25" r="314" customHeight="1" ht="17.25">
      <c r="A314" s="24" t="s">
        <v>509</v>
      </c>
      <c r="B314" s="24"/>
      <c r="C314" s="24"/>
      <c r="D314" s="24"/>
      <c r="E314" s="25">
        <v>8</v>
      </c>
      <c r="F314" s="9"/>
      <c r="G314" s="9"/>
      <c r="H314" s="10"/>
      <c r="I314" s="9"/>
      <c r="J314" s="9"/>
    </row>
    <row x14ac:dyDescent="0.25" r="315" customHeight="1" ht="17.25">
      <c r="A315" s="7"/>
      <c r="B315" s="7"/>
      <c r="C315" s="7"/>
      <c r="D315" s="7"/>
      <c r="E315" s="8"/>
      <c r="F315" s="9"/>
      <c r="G315" s="9"/>
      <c r="H315" s="10"/>
      <c r="I315" s="9"/>
      <c r="J315" s="9"/>
    </row>
    <row x14ac:dyDescent="0.25" r="316" customHeight="1" ht="17.25">
      <c r="A316" s="11" t="s">
        <v>2985</v>
      </c>
      <c r="B316" s="11"/>
      <c r="C316" s="11"/>
      <c r="D316" s="11"/>
      <c r="E316" s="12"/>
      <c r="F316" s="11"/>
      <c r="G316" s="11"/>
      <c r="H316" s="13"/>
      <c r="I316" s="11"/>
      <c r="J316" s="11"/>
    </row>
    <row x14ac:dyDescent="0.25" r="317" customHeight="1" ht="17.25">
      <c r="A317" s="14" t="s">
        <v>3</v>
      </c>
      <c r="B317" s="14" t="s">
        <v>4</v>
      </c>
      <c r="C317" s="14" t="s">
        <v>5</v>
      </c>
      <c r="D317" s="14" t="s">
        <v>6</v>
      </c>
      <c r="E317" s="15" t="s">
        <v>7</v>
      </c>
      <c r="F317" s="14" t="s">
        <v>8</v>
      </c>
      <c r="G317" s="14" t="s">
        <v>9</v>
      </c>
      <c r="H317" s="16" t="s">
        <v>10</v>
      </c>
      <c r="I317" s="14" t="s">
        <v>11</v>
      </c>
      <c r="J317" s="14" t="s">
        <v>12</v>
      </c>
    </row>
    <row x14ac:dyDescent="0.25" r="318" customHeight="1" ht="17.25">
      <c r="A318" s="17" t="s">
        <v>2986</v>
      </c>
      <c r="B318" s="17" t="s">
        <v>512</v>
      </c>
      <c r="C318" s="17" t="s">
        <v>133</v>
      </c>
      <c r="D318" s="17" t="s">
        <v>16</v>
      </c>
      <c r="E318" s="18">
        <f>ROUND(16968*1.05,2)</f>
      </c>
      <c r="F318" s="17" t="s">
        <v>17</v>
      </c>
      <c r="G318" s="17" t="s">
        <v>18</v>
      </c>
      <c r="H318" s="18">
        <f>ROUND(RAND()*4+6,1)</f>
      </c>
      <c r="I318" s="17" t="s">
        <v>19</v>
      </c>
      <c r="J318" s="19">
        <f>ROUND(93*1,0)&amp;"%"</f>
      </c>
    </row>
    <row x14ac:dyDescent="0.25" r="319" customHeight="1" ht="17.25">
      <c r="A319" s="20" t="s">
        <v>2987</v>
      </c>
      <c r="B319" s="20" t="s">
        <v>514</v>
      </c>
      <c r="C319" s="20" t="s">
        <v>133</v>
      </c>
      <c r="D319" s="20" t="s">
        <v>22</v>
      </c>
      <c r="E319" s="21">
        <f>ROUND(13022*1.05,2)</f>
      </c>
      <c r="F319" s="20" t="s">
        <v>23</v>
      </c>
      <c r="G319" s="20" t="s">
        <v>24</v>
      </c>
      <c r="H319" s="21">
        <f>ROUND(RAND()*4+6,1)</f>
      </c>
      <c r="I319" s="20" t="s">
        <v>25</v>
      </c>
      <c r="J319" s="23">
        <f>ROUND(94*1,0)&amp;"%"</f>
      </c>
    </row>
    <row x14ac:dyDescent="0.25" r="320" customHeight="1" ht="17.25">
      <c r="A320" s="17" t="s">
        <v>2988</v>
      </c>
      <c r="B320" s="17" t="s">
        <v>516</v>
      </c>
      <c r="C320" s="17" t="s">
        <v>133</v>
      </c>
      <c r="D320" s="17" t="s">
        <v>28</v>
      </c>
      <c r="E320" s="18">
        <f>ROUND(16894*1.05,2)</f>
      </c>
      <c r="F320" s="17" t="s">
        <v>29</v>
      </c>
      <c r="G320" s="17" t="s">
        <v>30</v>
      </c>
      <c r="H320" s="18">
        <f>ROUND(RAND()*4+6,1)</f>
      </c>
      <c r="I320" s="17" t="s">
        <v>31</v>
      </c>
      <c r="J320" s="19">
        <f>ROUND(65*1,0)&amp;"%"</f>
      </c>
    </row>
    <row x14ac:dyDescent="0.25" r="321" customHeight="1" ht="17.25">
      <c r="A321" s="20" t="s">
        <v>2989</v>
      </c>
      <c r="B321" s="20" t="s">
        <v>518</v>
      </c>
      <c r="C321" s="20" t="s">
        <v>133</v>
      </c>
      <c r="D321" s="20" t="s">
        <v>34</v>
      </c>
      <c r="E321" s="21">
        <f>ROUND(17086*1.05,2)</f>
      </c>
      <c r="F321" s="20" t="s">
        <v>35</v>
      </c>
      <c r="G321" s="20" t="s">
        <v>18</v>
      </c>
      <c r="H321" s="21">
        <f>ROUND(RAND()*4+6,1)</f>
      </c>
      <c r="I321" s="20" t="s">
        <v>36</v>
      </c>
      <c r="J321" s="23">
        <f>ROUND(85*1,0)&amp;"%"</f>
      </c>
    </row>
    <row x14ac:dyDescent="0.25" r="322" customHeight="1" ht="17.25">
      <c r="A322" s="17" t="s">
        <v>2990</v>
      </c>
      <c r="B322" s="17" t="s">
        <v>520</v>
      </c>
      <c r="C322" s="17" t="s">
        <v>133</v>
      </c>
      <c r="D322" s="17" t="s">
        <v>39</v>
      </c>
      <c r="E322" s="18">
        <f>ROUND(14046*1.05,2)</f>
      </c>
      <c r="F322" s="17" t="s">
        <v>40</v>
      </c>
      <c r="G322" s="17" t="s">
        <v>24</v>
      </c>
      <c r="H322" s="18">
        <f>ROUND(RAND()*4+6,1)</f>
      </c>
      <c r="I322" s="17" t="s">
        <v>41</v>
      </c>
      <c r="J322" s="19">
        <f>ROUND(72*1,0)&amp;"%"</f>
      </c>
    </row>
    <row x14ac:dyDescent="0.25" r="323" customHeight="1" ht="17.25">
      <c r="A323" s="20" t="s">
        <v>2991</v>
      </c>
      <c r="B323" s="20" t="s">
        <v>522</v>
      </c>
      <c r="C323" s="20" t="s">
        <v>133</v>
      </c>
      <c r="D323" s="20" t="s">
        <v>67</v>
      </c>
      <c r="E323" s="21">
        <f>ROUND(13138*1.05,2)</f>
      </c>
      <c r="F323" s="20" t="s">
        <v>44</v>
      </c>
      <c r="G323" s="20" t="s">
        <v>30</v>
      </c>
      <c r="H323" s="21">
        <f>ROUND(RAND()*4+6,1)</f>
      </c>
      <c r="I323" s="20" t="s">
        <v>45</v>
      </c>
      <c r="J323" s="23">
        <f>ROUND(76*1,0)&amp;"%"</f>
      </c>
    </row>
    <row x14ac:dyDescent="0.25" r="324" customHeight="1" ht="17.25">
      <c r="A324" s="17" t="s">
        <v>2992</v>
      </c>
      <c r="B324" s="17" t="s">
        <v>524</v>
      </c>
      <c r="C324" s="17" t="s">
        <v>133</v>
      </c>
      <c r="D324" s="17" t="s">
        <v>16</v>
      </c>
      <c r="E324" s="18">
        <f>ROUND(8458*1.05,2)</f>
      </c>
      <c r="F324" s="17" t="s">
        <v>48</v>
      </c>
      <c r="G324" s="17" t="s">
        <v>18</v>
      </c>
      <c r="H324" s="18">
        <f>ROUND(RAND()*4+6,1)</f>
      </c>
      <c r="I324" s="17" t="s">
        <v>19</v>
      </c>
      <c r="J324" s="19">
        <f>ROUND(94*1,0)&amp;"%"</f>
      </c>
    </row>
    <row x14ac:dyDescent="0.25" r="325" customHeight="1" ht="17.25">
      <c r="A325" s="20" t="s">
        <v>2993</v>
      </c>
      <c r="B325" s="20" t="s">
        <v>526</v>
      </c>
      <c r="C325" s="20" t="s">
        <v>133</v>
      </c>
      <c r="D325" s="20" t="s">
        <v>22</v>
      </c>
      <c r="E325" s="21">
        <f>ROUND(15409*1.05,2)</f>
      </c>
      <c r="F325" s="20" t="s">
        <v>51</v>
      </c>
      <c r="G325" s="20" t="s">
        <v>24</v>
      </c>
      <c r="H325" s="21">
        <f>ROUND(RAND()*4+6,1)</f>
      </c>
      <c r="I325" s="20" t="s">
        <v>25</v>
      </c>
      <c r="J325" s="23">
        <f>ROUND(88*1,0)&amp;"%"</f>
      </c>
    </row>
    <row x14ac:dyDescent="0.25" r="326" customHeight="1" ht="17.25">
      <c r="A326" s="24" t="s">
        <v>527</v>
      </c>
      <c r="B326" s="24"/>
      <c r="C326" s="24"/>
      <c r="D326" s="24"/>
      <c r="E326" s="25">
        <v>8</v>
      </c>
      <c r="F326" s="9"/>
      <c r="G326" s="9"/>
      <c r="H326" s="10"/>
      <c r="I326" s="9"/>
      <c r="J326" s="9"/>
    </row>
    <row x14ac:dyDescent="0.25" r="327" customHeight="1" ht="17.25">
      <c r="A327" s="7"/>
      <c r="B327" s="7"/>
      <c r="C327" s="7"/>
      <c r="D327" s="7"/>
      <c r="E327" s="8"/>
      <c r="F327" s="9"/>
      <c r="G327" s="9"/>
      <c r="H327" s="10"/>
      <c r="I327" s="9"/>
      <c r="J327" s="9"/>
    </row>
    <row x14ac:dyDescent="0.25" r="328" customHeight="1" ht="17.25">
      <c r="A328" s="11" t="s">
        <v>2994</v>
      </c>
      <c r="B328" s="11"/>
      <c r="C328" s="11"/>
      <c r="D328" s="11"/>
      <c r="E328" s="12"/>
      <c r="F328" s="11"/>
      <c r="G328" s="11"/>
      <c r="H328" s="13"/>
      <c r="I328" s="11"/>
      <c r="J328" s="11"/>
    </row>
    <row x14ac:dyDescent="0.25" r="329" customHeight="1" ht="17.25">
      <c r="A329" s="14" t="s">
        <v>3</v>
      </c>
      <c r="B329" s="14" t="s">
        <v>4</v>
      </c>
      <c r="C329" s="14" t="s">
        <v>5</v>
      </c>
      <c r="D329" s="14" t="s">
        <v>6</v>
      </c>
      <c r="E329" s="15" t="s">
        <v>7</v>
      </c>
      <c r="F329" s="14" t="s">
        <v>8</v>
      </c>
      <c r="G329" s="14" t="s">
        <v>9</v>
      </c>
      <c r="H329" s="16" t="s">
        <v>10</v>
      </c>
      <c r="I329" s="14" t="s">
        <v>11</v>
      </c>
      <c r="J329" s="14" t="s">
        <v>12</v>
      </c>
    </row>
    <row x14ac:dyDescent="0.25" r="330" customHeight="1" ht="17.25">
      <c r="A330" s="17" t="s">
        <v>2995</v>
      </c>
      <c r="B330" s="17" t="s">
        <v>530</v>
      </c>
      <c r="C330" s="17" t="s">
        <v>152</v>
      </c>
      <c r="D330" s="17" t="s">
        <v>16</v>
      </c>
      <c r="E330" s="18">
        <f>ROUND(6711*1.05,2)</f>
      </c>
      <c r="F330" s="17" t="s">
        <v>17</v>
      </c>
      <c r="G330" s="17" t="s">
        <v>18</v>
      </c>
      <c r="H330" s="18">
        <f>ROUND(RAND()*4+6,1)</f>
      </c>
      <c r="I330" s="17" t="s">
        <v>19</v>
      </c>
      <c r="J330" s="19">
        <f>ROUND(66*1,0)&amp;"%"</f>
      </c>
    </row>
    <row x14ac:dyDescent="0.25" r="331" customHeight="1" ht="17.25">
      <c r="A331" s="20" t="s">
        <v>2996</v>
      </c>
      <c r="B331" s="20" t="s">
        <v>532</v>
      </c>
      <c r="C331" s="20" t="s">
        <v>152</v>
      </c>
      <c r="D331" s="20" t="s">
        <v>22</v>
      </c>
      <c r="E331" s="21">
        <f>ROUND(5606*1.05,2)</f>
      </c>
      <c r="F331" s="20" t="s">
        <v>23</v>
      </c>
      <c r="G331" s="20" t="s">
        <v>24</v>
      </c>
      <c r="H331" s="21">
        <f>ROUND(RAND()*4+6,1)</f>
      </c>
      <c r="I331" s="20" t="s">
        <v>25</v>
      </c>
      <c r="J331" s="23">
        <f>ROUND(95*1,0)&amp;"%"</f>
      </c>
    </row>
    <row x14ac:dyDescent="0.25" r="332" customHeight="1" ht="17.25">
      <c r="A332" s="17" t="s">
        <v>2997</v>
      </c>
      <c r="B332" s="17" t="s">
        <v>534</v>
      </c>
      <c r="C332" s="17" t="s">
        <v>152</v>
      </c>
      <c r="D332" s="17" t="s">
        <v>28</v>
      </c>
      <c r="E332" s="18">
        <f>ROUND(17349*1.05,2)</f>
      </c>
      <c r="F332" s="17" t="s">
        <v>29</v>
      </c>
      <c r="G332" s="17" t="s">
        <v>30</v>
      </c>
      <c r="H332" s="18">
        <f>ROUND(RAND()*4+6,1)</f>
      </c>
      <c r="I332" s="17" t="s">
        <v>31</v>
      </c>
      <c r="J332" s="19">
        <f>ROUND(86*1,0)&amp;"%"</f>
      </c>
    </row>
    <row x14ac:dyDescent="0.25" r="333" customHeight="1" ht="17.25">
      <c r="A333" s="20" t="s">
        <v>2998</v>
      </c>
      <c r="B333" s="20" t="s">
        <v>536</v>
      </c>
      <c r="C333" s="20" t="s">
        <v>152</v>
      </c>
      <c r="D333" s="20" t="s">
        <v>34</v>
      </c>
      <c r="E333" s="21">
        <f>ROUND(11836*1.05,2)</f>
      </c>
      <c r="F333" s="20" t="s">
        <v>35</v>
      </c>
      <c r="G333" s="20" t="s">
        <v>18</v>
      </c>
      <c r="H333" s="21">
        <f>ROUND(RAND()*4+6,1)</f>
      </c>
      <c r="I333" s="20" t="s">
        <v>36</v>
      </c>
      <c r="J333" s="23">
        <f>ROUND(71*1,0)&amp;"%"</f>
      </c>
    </row>
    <row x14ac:dyDescent="0.25" r="334" customHeight="1" ht="17.25">
      <c r="A334" s="17" t="s">
        <v>2999</v>
      </c>
      <c r="B334" s="17" t="s">
        <v>538</v>
      </c>
      <c r="C334" s="17" t="s">
        <v>152</v>
      </c>
      <c r="D334" s="17" t="s">
        <v>39</v>
      </c>
      <c r="E334" s="18">
        <f>ROUND(13154*1.05,2)</f>
      </c>
      <c r="F334" s="17" t="s">
        <v>40</v>
      </c>
      <c r="G334" s="17" t="s">
        <v>24</v>
      </c>
      <c r="H334" s="18">
        <f>ROUND(RAND()*4+6,1)</f>
      </c>
      <c r="I334" s="17" t="s">
        <v>41</v>
      </c>
      <c r="J334" s="19">
        <f>ROUND(72*1,0)&amp;"%"</f>
      </c>
    </row>
    <row x14ac:dyDescent="0.25" r="335" customHeight="1" ht="17.25">
      <c r="A335" s="20" t="s">
        <v>3000</v>
      </c>
      <c r="B335" s="20" t="s">
        <v>540</v>
      </c>
      <c r="C335" s="20" t="s">
        <v>152</v>
      </c>
      <c r="D335" s="20" t="s">
        <v>67</v>
      </c>
      <c r="E335" s="21">
        <f>ROUND(7172*1.05,2)</f>
      </c>
      <c r="F335" s="20" t="s">
        <v>44</v>
      </c>
      <c r="G335" s="20" t="s">
        <v>30</v>
      </c>
      <c r="H335" s="21">
        <f>ROUND(RAND()*4+6,1)</f>
      </c>
      <c r="I335" s="20" t="s">
        <v>45</v>
      </c>
      <c r="J335" s="23">
        <f>ROUND(90*1,0)&amp;"%"</f>
      </c>
    </row>
    <row x14ac:dyDescent="0.25" r="336" customHeight="1" ht="17.25">
      <c r="A336" s="17" t="s">
        <v>3001</v>
      </c>
      <c r="B336" s="17" t="s">
        <v>542</v>
      </c>
      <c r="C336" s="17" t="s">
        <v>152</v>
      </c>
      <c r="D336" s="17" t="s">
        <v>16</v>
      </c>
      <c r="E336" s="18">
        <f>ROUND(5238*1.05,2)</f>
      </c>
      <c r="F336" s="17" t="s">
        <v>48</v>
      </c>
      <c r="G336" s="17" t="s">
        <v>18</v>
      </c>
      <c r="H336" s="18">
        <f>ROUND(RAND()*4+6,1)</f>
      </c>
      <c r="I336" s="17" t="s">
        <v>19</v>
      </c>
      <c r="J336" s="19">
        <f>ROUND(74*1,0)&amp;"%"</f>
      </c>
    </row>
    <row x14ac:dyDescent="0.25" r="337" customHeight="1" ht="17.25">
      <c r="A337" s="20" t="s">
        <v>3002</v>
      </c>
      <c r="B337" s="20" t="s">
        <v>544</v>
      </c>
      <c r="C337" s="20" t="s">
        <v>152</v>
      </c>
      <c r="D337" s="20" t="s">
        <v>22</v>
      </c>
      <c r="E337" s="21">
        <f>ROUND(9283*1.05,2)</f>
      </c>
      <c r="F337" s="20" t="s">
        <v>51</v>
      </c>
      <c r="G337" s="20" t="s">
        <v>24</v>
      </c>
      <c r="H337" s="21">
        <f>ROUND(RAND()*4+6,1)</f>
      </c>
      <c r="I337" s="20" t="s">
        <v>25</v>
      </c>
      <c r="J337" s="23">
        <f>ROUND(80*1,0)&amp;"%"</f>
      </c>
    </row>
    <row x14ac:dyDescent="0.25" r="338" customHeight="1" ht="17.25">
      <c r="A338" s="24" t="s">
        <v>545</v>
      </c>
      <c r="B338" s="24"/>
      <c r="C338" s="24"/>
      <c r="D338" s="24"/>
      <c r="E338" s="25">
        <v>8</v>
      </c>
      <c r="F338" s="9"/>
      <c r="G338" s="9"/>
      <c r="H338" s="10"/>
      <c r="I338" s="9"/>
      <c r="J338" s="9"/>
    </row>
    <row x14ac:dyDescent="0.25" r="339" customHeight="1" ht="17.25">
      <c r="A339" s="7"/>
      <c r="B339" s="7"/>
      <c r="C339" s="7"/>
      <c r="D339" s="7"/>
      <c r="E339" s="8"/>
      <c r="F339" s="9"/>
      <c r="G339" s="9"/>
      <c r="H339" s="10"/>
      <c r="I339" s="9"/>
      <c r="J339" s="9"/>
    </row>
    <row x14ac:dyDescent="0.25" r="340" customHeight="1" ht="17.25">
      <c r="A340" s="11" t="s">
        <v>3003</v>
      </c>
      <c r="B340" s="11"/>
      <c r="C340" s="11"/>
      <c r="D340" s="11"/>
      <c r="E340" s="12"/>
      <c r="F340" s="11"/>
      <c r="G340" s="11"/>
      <c r="H340" s="13"/>
      <c r="I340" s="11"/>
      <c r="J340" s="11"/>
    </row>
    <row x14ac:dyDescent="0.25" r="341" customHeight="1" ht="17.25">
      <c r="A341" s="14" t="s">
        <v>3</v>
      </c>
      <c r="B341" s="14" t="s">
        <v>4</v>
      </c>
      <c r="C341" s="14" t="s">
        <v>5</v>
      </c>
      <c r="D341" s="14" t="s">
        <v>6</v>
      </c>
      <c r="E341" s="15" t="s">
        <v>7</v>
      </c>
      <c r="F341" s="14" t="s">
        <v>8</v>
      </c>
      <c r="G341" s="14" t="s">
        <v>9</v>
      </c>
      <c r="H341" s="16" t="s">
        <v>10</v>
      </c>
      <c r="I341" s="14" t="s">
        <v>11</v>
      </c>
      <c r="J341" s="14" t="s">
        <v>12</v>
      </c>
    </row>
    <row x14ac:dyDescent="0.25" r="342" customHeight="1" ht="17.25">
      <c r="A342" s="17" t="s">
        <v>3004</v>
      </c>
      <c r="B342" s="17" t="s">
        <v>548</v>
      </c>
      <c r="C342" s="17" t="s">
        <v>15</v>
      </c>
      <c r="D342" s="17" t="s">
        <v>16</v>
      </c>
      <c r="E342" s="18">
        <f>ROUND(13044*1.05,2)</f>
      </c>
      <c r="F342" s="17" t="s">
        <v>17</v>
      </c>
      <c r="G342" s="17" t="s">
        <v>18</v>
      </c>
      <c r="H342" s="18">
        <f>ROUND(RAND()*4+6,1)</f>
      </c>
      <c r="I342" s="17" t="s">
        <v>19</v>
      </c>
      <c r="J342" s="19">
        <f>ROUND(67*1,0)&amp;"%"</f>
      </c>
    </row>
    <row x14ac:dyDescent="0.25" r="343" customHeight="1" ht="17.25">
      <c r="A343" s="20" t="s">
        <v>3005</v>
      </c>
      <c r="B343" s="20" t="s">
        <v>550</v>
      </c>
      <c r="C343" s="20" t="s">
        <v>15</v>
      </c>
      <c r="D343" s="20" t="s">
        <v>22</v>
      </c>
      <c r="E343" s="21">
        <f>ROUND(13106*1.05,2)</f>
      </c>
      <c r="F343" s="20" t="s">
        <v>23</v>
      </c>
      <c r="G343" s="20" t="s">
        <v>24</v>
      </c>
      <c r="H343" s="21">
        <f>ROUND(RAND()*4+6,1)</f>
      </c>
      <c r="I343" s="20" t="s">
        <v>25</v>
      </c>
      <c r="J343" s="23">
        <f>ROUND(83*1,0)&amp;"%"</f>
      </c>
    </row>
    <row x14ac:dyDescent="0.25" r="344" customHeight="1" ht="17.25">
      <c r="A344" s="17" t="s">
        <v>3006</v>
      </c>
      <c r="B344" s="17" t="s">
        <v>552</v>
      </c>
      <c r="C344" s="17" t="s">
        <v>15</v>
      </c>
      <c r="D344" s="17" t="s">
        <v>28</v>
      </c>
      <c r="E344" s="26">
        <f>ROUND(9900*1.05,2)</f>
      </c>
      <c r="F344" s="17" t="s">
        <v>29</v>
      </c>
      <c r="G344" s="17" t="s">
        <v>30</v>
      </c>
      <c r="H344" s="18">
        <f>ROUND(RAND()*4+6,1)</f>
      </c>
      <c r="I344" s="17" t="s">
        <v>31</v>
      </c>
      <c r="J344" s="19">
        <f>ROUND(72*1,0)&amp;"%"</f>
      </c>
    </row>
    <row x14ac:dyDescent="0.25" r="345" customHeight="1" ht="17.25">
      <c r="A345" s="20" t="s">
        <v>3007</v>
      </c>
      <c r="B345" s="20" t="s">
        <v>554</v>
      </c>
      <c r="C345" s="20" t="s">
        <v>15</v>
      </c>
      <c r="D345" s="20" t="s">
        <v>34</v>
      </c>
      <c r="E345" s="21">
        <f>ROUND(14221*1.05,2)</f>
      </c>
      <c r="F345" s="20" t="s">
        <v>35</v>
      </c>
      <c r="G345" s="20" t="s">
        <v>18</v>
      </c>
      <c r="H345" s="21">
        <f>ROUND(RAND()*4+6,1)</f>
      </c>
      <c r="I345" s="20" t="s">
        <v>36</v>
      </c>
      <c r="J345" s="23">
        <f>ROUND(75*1,0)&amp;"%"</f>
      </c>
    </row>
    <row x14ac:dyDescent="0.25" r="346" customHeight="1" ht="17.25">
      <c r="A346" s="17" t="s">
        <v>3008</v>
      </c>
      <c r="B346" s="17" t="s">
        <v>556</v>
      </c>
      <c r="C346" s="17" t="s">
        <v>15</v>
      </c>
      <c r="D346" s="17" t="s">
        <v>39</v>
      </c>
      <c r="E346" s="18">
        <f>ROUND(7271*1.05,2)</f>
      </c>
      <c r="F346" s="17" t="s">
        <v>40</v>
      </c>
      <c r="G346" s="17" t="s">
        <v>24</v>
      </c>
      <c r="H346" s="18">
        <f>ROUND(RAND()*4+6,1)</f>
      </c>
      <c r="I346" s="17" t="s">
        <v>41</v>
      </c>
      <c r="J346" s="19">
        <f>ROUND(89*1,0)&amp;"%"</f>
      </c>
    </row>
    <row x14ac:dyDescent="0.25" r="347" customHeight="1" ht="17.25">
      <c r="A347" s="20" t="s">
        <v>3009</v>
      </c>
      <c r="B347" s="20" t="s">
        <v>558</v>
      </c>
      <c r="C347" s="20" t="s">
        <v>15</v>
      </c>
      <c r="D347" s="20" t="s">
        <v>67</v>
      </c>
      <c r="E347" s="21">
        <f>ROUND(13532*1.05,2)</f>
      </c>
      <c r="F347" s="20" t="s">
        <v>44</v>
      </c>
      <c r="G347" s="20" t="s">
        <v>30</v>
      </c>
      <c r="H347" s="21">
        <f>ROUND(RAND()*4+6,1)</f>
      </c>
      <c r="I347" s="20" t="s">
        <v>45</v>
      </c>
      <c r="J347" s="23">
        <f>ROUND(89*1,0)&amp;"%"</f>
      </c>
    </row>
    <row x14ac:dyDescent="0.25" r="348" customHeight="1" ht="17.25">
      <c r="A348" s="17" t="s">
        <v>3010</v>
      </c>
      <c r="B348" s="17" t="s">
        <v>560</v>
      </c>
      <c r="C348" s="17" t="s">
        <v>15</v>
      </c>
      <c r="D348" s="17" t="s">
        <v>16</v>
      </c>
      <c r="E348" s="18">
        <f>ROUND(7513*1.05,2)</f>
      </c>
      <c r="F348" s="17" t="s">
        <v>48</v>
      </c>
      <c r="G348" s="17" t="s">
        <v>18</v>
      </c>
      <c r="H348" s="18">
        <f>ROUND(RAND()*4+6,1)</f>
      </c>
      <c r="I348" s="17" t="s">
        <v>19</v>
      </c>
      <c r="J348" s="19">
        <f>ROUND(65*1,0)&amp;"%"</f>
      </c>
    </row>
    <row x14ac:dyDescent="0.25" r="349" customHeight="1" ht="17.25">
      <c r="A349" s="20" t="s">
        <v>3011</v>
      </c>
      <c r="B349" s="20" t="s">
        <v>562</v>
      </c>
      <c r="C349" s="20" t="s">
        <v>15</v>
      </c>
      <c r="D349" s="20" t="s">
        <v>22</v>
      </c>
      <c r="E349" s="21">
        <f>ROUND(13905*1.05,2)</f>
      </c>
      <c r="F349" s="20" t="s">
        <v>51</v>
      </c>
      <c r="G349" s="20" t="s">
        <v>24</v>
      </c>
      <c r="H349" s="21">
        <f>ROUND(RAND()*4+6,1)</f>
      </c>
      <c r="I349" s="20" t="s">
        <v>25</v>
      </c>
      <c r="J349" s="23">
        <f>ROUND(95*1,0)&amp;"%"</f>
      </c>
    </row>
    <row x14ac:dyDescent="0.25" r="350" customHeight="1" ht="17.25">
      <c r="A350" s="24" t="s">
        <v>563</v>
      </c>
      <c r="B350" s="24"/>
      <c r="C350" s="24"/>
      <c r="D350" s="24"/>
      <c r="E350" s="25">
        <v>8</v>
      </c>
      <c r="F350" s="9"/>
      <c r="G350" s="9"/>
      <c r="H350" s="10"/>
      <c r="I350" s="9"/>
      <c r="J350" s="9"/>
    </row>
    <row x14ac:dyDescent="0.25" r="351" customHeight="1" ht="17.25">
      <c r="A351" s="7"/>
      <c r="B351" s="7"/>
      <c r="C351" s="7"/>
      <c r="D351" s="7"/>
      <c r="E351" s="8"/>
      <c r="F351" s="9"/>
      <c r="G351" s="9"/>
      <c r="H351" s="10"/>
      <c r="I351" s="9"/>
      <c r="J351" s="9"/>
    </row>
    <row x14ac:dyDescent="0.25" r="352" customHeight="1" ht="17.25">
      <c r="A352" s="11" t="s">
        <v>3012</v>
      </c>
      <c r="B352" s="11"/>
      <c r="C352" s="11"/>
      <c r="D352" s="11"/>
      <c r="E352" s="12"/>
      <c r="F352" s="11"/>
      <c r="G352" s="11"/>
      <c r="H352" s="13"/>
      <c r="I352" s="11"/>
      <c r="J352" s="11"/>
    </row>
    <row x14ac:dyDescent="0.25" r="353" customHeight="1" ht="17.25">
      <c r="A353" s="14" t="s">
        <v>3</v>
      </c>
      <c r="B353" s="14" t="s">
        <v>4</v>
      </c>
      <c r="C353" s="14" t="s">
        <v>5</v>
      </c>
      <c r="D353" s="14" t="s">
        <v>6</v>
      </c>
      <c r="E353" s="15" t="s">
        <v>7</v>
      </c>
      <c r="F353" s="14" t="s">
        <v>8</v>
      </c>
      <c r="G353" s="14" t="s">
        <v>9</v>
      </c>
      <c r="H353" s="16" t="s">
        <v>10</v>
      </c>
      <c r="I353" s="14" t="s">
        <v>11</v>
      </c>
      <c r="J353" s="14" t="s">
        <v>12</v>
      </c>
    </row>
    <row x14ac:dyDescent="0.25" r="354" customHeight="1" ht="17.25">
      <c r="A354" s="17" t="s">
        <v>3013</v>
      </c>
      <c r="B354" s="17" t="s">
        <v>566</v>
      </c>
      <c r="C354" s="17" t="s">
        <v>56</v>
      </c>
      <c r="D354" s="17" t="s">
        <v>16</v>
      </c>
      <c r="E354" s="26">
        <f>ROUND(15700*1.05,2)</f>
      </c>
      <c r="F354" s="17" t="s">
        <v>17</v>
      </c>
      <c r="G354" s="17" t="s">
        <v>18</v>
      </c>
      <c r="H354" s="18">
        <f>ROUND(RAND()*4+6,1)</f>
      </c>
      <c r="I354" s="17" t="s">
        <v>19</v>
      </c>
      <c r="J354" s="19">
        <f>ROUND(97*1,0)&amp;"%"</f>
      </c>
    </row>
    <row x14ac:dyDescent="0.25" r="355" customHeight="1" ht="17.25">
      <c r="A355" s="20" t="s">
        <v>3014</v>
      </c>
      <c r="B355" s="20" t="s">
        <v>568</v>
      </c>
      <c r="C355" s="20" t="s">
        <v>56</v>
      </c>
      <c r="D355" s="20" t="s">
        <v>22</v>
      </c>
      <c r="E355" s="21">
        <f>ROUND(16871*1.05,2)</f>
      </c>
      <c r="F355" s="20" t="s">
        <v>23</v>
      </c>
      <c r="G355" s="20" t="s">
        <v>24</v>
      </c>
      <c r="H355" s="21">
        <f>ROUND(RAND()*4+6,1)</f>
      </c>
      <c r="I355" s="20" t="s">
        <v>25</v>
      </c>
      <c r="J355" s="23">
        <f>ROUND(98*1,0)&amp;"%"</f>
      </c>
    </row>
    <row x14ac:dyDescent="0.25" r="356" customHeight="1" ht="17.25">
      <c r="A356" s="17" t="s">
        <v>3015</v>
      </c>
      <c r="B356" s="17" t="s">
        <v>570</v>
      </c>
      <c r="C356" s="17" t="s">
        <v>56</v>
      </c>
      <c r="D356" s="17" t="s">
        <v>28</v>
      </c>
      <c r="E356" s="18">
        <f>ROUND(17626*1.05,2)</f>
      </c>
      <c r="F356" s="17" t="s">
        <v>29</v>
      </c>
      <c r="G356" s="17" t="s">
        <v>30</v>
      </c>
      <c r="H356" s="18">
        <f>ROUND(RAND()*4+6,1)</f>
      </c>
      <c r="I356" s="17" t="s">
        <v>31</v>
      </c>
      <c r="J356" s="19">
        <f>ROUND(83*1,0)&amp;"%"</f>
      </c>
    </row>
    <row x14ac:dyDescent="0.25" r="357" customHeight="1" ht="17.25">
      <c r="A357" s="20" t="s">
        <v>3016</v>
      </c>
      <c r="B357" s="20" t="s">
        <v>572</v>
      </c>
      <c r="C357" s="20" t="s">
        <v>56</v>
      </c>
      <c r="D357" s="20" t="s">
        <v>34</v>
      </c>
      <c r="E357" s="21">
        <f>ROUND(15094*1.05,2)</f>
      </c>
      <c r="F357" s="20" t="s">
        <v>35</v>
      </c>
      <c r="G357" s="20" t="s">
        <v>18</v>
      </c>
      <c r="H357" s="21">
        <f>ROUND(RAND()*4+6,1)</f>
      </c>
      <c r="I357" s="20" t="s">
        <v>36</v>
      </c>
      <c r="J357" s="23">
        <f>ROUND(83*1,0)&amp;"%"</f>
      </c>
    </row>
    <row x14ac:dyDescent="0.25" r="358" customHeight="1" ht="17.25">
      <c r="A358" s="17" t="s">
        <v>3017</v>
      </c>
      <c r="B358" s="17" t="s">
        <v>574</v>
      </c>
      <c r="C358" s="17" t="s">
        <v>56</v>
      </c>
      <c r="D358" s="17" t="s">
        <v>39</v>
      </c>
      <c r="E358" s="18">
        <f>ROUND(12377*1.05,2)</f>
      </c>
      <c r="F358" s="17" t="s">
        <v>40</v>
      </c>
      <c r="G358" s="17" t="s">
        <v>24</v>
      </c>
      <c r="H358" s="26">
        <f>ROUND(RAND()*4+6,1)</f>
      </c>
      <c r="I358" s="17" t="s">
        <v>41</v>
      </c>
      <c r="J358" s="19">
        <f>ROUND(69*1,0)&amp;"%"</f>
      </c>
    </row>
    <row x14ac:dyDescent="0.25" r="359" customHeight="1" ht="17.25">
      <c r="A359" s="20" t="s">
        <v>3018</v>
      </c>
      <c r="B359" s="20" t="s">
        <v>576</v>
      </c>
      <c r="C359" s="20" t="s">
        <v>56</v>
      </c>
      <c r="D359" s="20" t="s">
        <v>67</v>
      </c>
      <c r="E359" s="21">
        <f>ROUND(5455*1.05,2)</f>
      </c>
      <c r="F359" s="20" t="s">
        <v>44</v>
      </c>
      <c r="G359" s="20" t="s">
        <v>30</v>
      </c>
      <c r="H359" s="22">
        <f>ROUND(RAND()*4+6,1)</f>
      </c>
      <c r="I359" s="20" t="s">
        <v>45</v>
      </c>
      <c r="J359" s="23">
        <f>ROUND(67*1,0)&amp;"%"</f>
      </c>
    </row>
    <row x14ac:dyDescent="0.25" r="360" customHeight="1" ht="17.25">
      <c r="A360" s="17" t="s">
        <v>3019</v>
      </c>
      <c r="B360" s="17" t="s">
        <v>578</v>
      </c>
      <c r="C360" s="17" t="s">
        <v>56</v>
      </c>
      <c r="D360" s="17" t="s">
        <v>16</v>
      </c>
      <c r="E360" s="18">
        <f>ROUND(10917*1.05,2)</f>
      </c>
      <c r="F360" s="17" t="s">
        <v>48</v>
      </c>
      <c r="G360" s="17" t="s">
        <v>18</v>
      </c>
      <c r="H360" s="26">
        <f>ROUND(RAND()*4+6,1)</f>
      </c>
      <c r="I360" s="17" t="s">
        <v>19</v>
      </c>
      <c r="J360" s="19">
        <f>ROUND(68*1,0)&amp;"%"</f>
      </c>
    </row>
    <row x14ac:dyDescent="0.25" r="361" customHeight="1" ht="17.25">
      <c r="A361" s="20" t="s">
        <v>3020</v>
      </c>
      <c r="B361" s="20" t="s">
        <v>580</v>
      </c>
      <c r="C361" s="20" t="s">
        <v>56</v>
      </c>
      <c r="D361" s="20" t="s">
        <v>22</v>
      </c>
      <c r="E361" s="21">
        <f>ROUND(15616*1.05,2)</f>
      </c>
      <c r="F361" s="20" t="s">
        <v>51</v>
      </c>
      <c r="G361" s="20" t="s">
        <v>24</v>
      </c>
      <c r="H361" s="21">
        <f>ROUND(RAND()*4+6,1)</f>
      </c>
      <c r="I361" s="20" t="s">
        <v>25</v>
      </c>
      <c r="J361" s="23">
        <f>ROUND(89*1,0)&amp;"%"</f>
      </c>
    </row>
    <row x14ac:dyDescent="0.25" r="362" customHeight="1" ht="17.25">
      <c r="A362" s="24" t="s">
        <v>581</v>
      </c>
      <c r="B362" s="24"/>
      <c r="C362" s="24"/>
      <c r="D362" s="24"/>
      <c r="E362" s="25">
        <v>8</v>
      </c>
      <c r="F362" s="9"/>
      <c r="G362" s="9"/>
      <c r="H362" s="10"/>
      <c r="I362" s="9"/>
      <c r="J362" s="9"/>
    </row>
  </sheetData>
  <mergeCells count="62">
    <mergeCell ref="A1:J1"/>
    <mergeCell ref="A2:J2"/>
    <mergeCell ref="A4:J4"/>
    <mergeCell ref="A14:D14"/>
    <mergeCell ref="A16:J16"/>
    <mergeCell ref="A26:D26"/>
    <mergeCell ref="A28:J28"/>
    <mergeCell ref="A38:D38"/>
    <mergeCell ref="A40:J40"/>
    <mergeCell ref="A50:D50"/>
    <mergeCell ref="A52:J52"/>
    <mergeCell ref="A62:D62"/>
    <mergeCell ref="A64:J64"/>
    <mergeCell ref="A74:D74"/>
    <mergeCell ref="A76:J76"/>
    <mergeCell ref="A86:D86"/>
    <mergeCell ref="A88:J88"/>
    <mergeCell ref="A98:D98"/>
    <mergeCell ref="A100:J100"/>
    <mergeCell ref="A110:D110"/>
    <mergeCell ref="A112:J112"/>
    <mergeCell ref="A122:D122"/>
    <mergeCell ref="A124:J124"/>
    <mergeCell ref="A134:D134"/>
    <mergeCell ref="A136:J136"/>
    <mergeCell ref="A146:D146"/>
    <mergeCell ref="A148:J148"/>
    <mergeCell ref="A158:D158"/>
    <mergeCell ref="A160:J160"/>
    <mergeCell ref="A170:D170"/>
    <mergeCell ref="A172:J172"/>
    <mergeCell ref="A182:D182"/>
    <mergeCell ref="A184:J184"/>
    <mergeCell ref="A194:D194"/>
    <mergeCell ref="A196:J196"/>
    <mergeCell ref="A206:D206"/>
    <mergeCell ref="A208:J208"/>
    <mergeCell ref="A218:D218"/>
    <mergeCell ref="A220:J220"/>
    <mergeCell ref="A230:D230"/>
    <mergeCell ref="A232:J232"/>
    <mergeCell ref="A242:D242"/>
    <mergeCell ref="A244:J244"/>
    <mergeCell ref="A254:D254"/>
    <mergeCell ref="A256:J256"/>
    <mergeCell ref="A266:D266"/>
    <mergeCell ref="A268:J268"/>
    <mergeCell ref="A278:D278"/>
    <mergeCell ref="A280:J280"/>
    <mergeCell ref="A290:D290"/>
    <mergeCell ref="A292:J292"/>
    <mergeCell ref="A302:D302"/>
    <mergeCell ref="A304:J304"/>
    <mergeCell ref="A314:D314"/>
    <mergeCell ref="A316:J316"/>
    <mergeCell ref="A326:D326"/>
    <mergeCell ref="A328:J328"/>
    <mergeCell ref="A338:D338"/>
    <mergeCell ref="A340:J340"/>
    <mergeCell ref="A350:D350"/>
    <mergeCell ref="A352:J352"/>
    <mergeCell ref="A362:D362"/>
  </mergeCells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J362"/>
  <sheetViews>
    <sheetView workbookViewId="0"/>
  </sheetViews>
  <sheetFormatPr defaultRowHeight="15" x14ac:dyDescent="0.25"/>
  <cols>
    <col min="1" max="1" style="27" width="8.005" customWidth="1" bestFit="1"/>
    <col min="2" max="2" style="27" width="22.005" customWidth="1" bestFit="1"/>
    <col min="3" max="3" style="27" width="16.005" customWidth="1" bestFit="1"/>
    <col min="4" max="4" style="27" width="14.005" customWidth="1" bestFit="1"/>
    <col min="5" max="5" style="28" width="12.005" customWidth="1" bestFit="1"/>
    <col min="6" max="6" style="29" width="16.005" customWidth="1" bestFit="1"/>
    <col min="7" max="7" style="29" width="10.005" customWidth="1" bestFit="1"/>
    <col min="8" max="8" style="30" width="10.005" customWidth="1" bestFit="1"/>
    <col min="9" max="9" style="29" width="14.005" customWidth="1" bestFit="1"/>
    <col min="10" max="10" style="29" width="8.005" customWidth="1" bestFit="1"/>
  </cols>
  <sheetData>
    <row x14ac:dyDescent="0.25" r="1" customHeight="1" ht="17.25">
      <c r="A1" s="1" t="s">
        <v>2479</v>
      </c>
      <c r="B1" s="1"/>
      <c r="C1" s="1"/>
      <c r="D1" s="1"/>
      <c r="E1" s="2"/>
      <c r="F1" s="1"/>
      <c r="G1" s="1"/>
      <c r="H1" s="3"/>
      <c r="I1" s="1"/>
      <c r="J1" s="1"/>
    </row>
    <row x14ac:dyDescent="0.25" r="2" customHeight="1" ht="17.25">
      <c r="A2" s="4" t="s">
        <v>1</v>
      </c>
      <c r="B2" s="4"/>
      <c r="C2" s="4"/>
      <c r="D2" s="4"/>
      <c r="E2" s="5"/>
      <c r="F2" s="4"/>
      <c r="G2" s="4"/>
      <c r="H2" s="6"/>
      <c r="I2" s="4"/>
      <c r="J2" s="4"/>
    </row>
    <row x14ac:dyDescent="0.25" r="3" customHeight="1" ht="17.25">
      <c r="A3" s="7"/>
      <c r="B3" s="7"/>
      <c r="C3" s="7"/>
      <c r="D3" s="7"/>
      <c r="E3" s="8"/>
      <c r="F3" s="9"/>
      <c r="G3" s="9"/>
      <c r="H3" s="10"/>
      <c r="I3" s="9"/>
      <c r="J3" s="9"/>
    </row>
    <row x14ac:dyDescent="0.25" r="4" customHeight="1" ht="17.25">
      <c r="A4" s="11" t="s">
        <v>2480</v>
      </c>
      <c r="B4" s="11"/>
      <c r="C4" s="11"/>
      <c r="D4" s="11"/>
      <c r="E4" s="12"/>
      <c r="F4" s="11"/>
      <c r="G4" s="11"/>
      <c r="H4" s="13"/>
      <c r="I4" s="11"/>
      <c r="J4" s="11"/>
    </row>
    <row x14ac:dyDescent="0.25" r="5" customHeight="1" ht="17.25">
      <c r="A5" s="14" t="s">
        <v>3</v>
      </c>
      <c r="B5" s="14" t="s">
        <v>4</v>
      </c>
      <c r="C5" s="14" t="s">
        <v>5</v>
      </c>
      <c r="D5" s="14" t="s">
        <v>6</v>
      </c>
      <c r="E5" s="15" t="s">
        <v>7</v>
      </c>
      <c r="F5" s="14" t="s">
        <v>8</v>
      </c>
      <c r="G5" s="14" t="s">
        <v>9</v>
      </c>
      <c r="H5" s="16" t="s">
        <v>10</v>
      </c>
      <c r="I5" s="14" t="s">
        <v>11</v>
      </c>
      <c r="J5" s="14" t="s">
        <v>12</v>
      </c>
    </row>
    <row x14ac:dyDescent="0.25" r="6" customHeight="1" ht="17.25">
      <c r="A6" s="17" t="s">
        <v>2481</v>
      </c>
      <c r="B6" s="17" t="s">
        <v>14</v>
      </c>
      <c r="C6" s="17" t="s">
        <v>15</v>
      </c>
      <c r="D6" s="17" t="s">
        <v>16</v>
      </c>
      <c r="E6" s="18">
        <f>ROUND(12739*1.05,2)</f>
      </c>
      <c r="F6" s="17" t="s">
        <v>17</v>
      </c>
      <c r="G6" s="17" t="s">
        <v>18</v>
      </c>
      <c r="H6" s="18">
        <f>ROUND(RAND()*4+6,1)</f>
      </c>
      <c r="I6" s="17" t="s">
        <v>19</v>
      </c>
      <c r="J6" s="19">
        <f>ROUND(98*1,0)&amp;"%"</f>
      </c>
    </row>
    <row x14ac:dyDescent="0.25" r="7" customHeight="1" ht="17.25">
      <c r="A7" s="20" t="s">
        <v>2482</v>
      </c>
      <c r="B7" s="20" t="s">
        <v>21</v>
      </c>
      <c r="C7" s="20" t="s">
        <v>15</v>
      </c>
      <c r="D7" s="20" t="s">
        <v>22</v>
      </c>
      <c r="E7" s="21">
        <f>ROUND(4465*1.05,2)</f>
      </c>
      <c r="F7" s="20" t="s">
        <v>23</v>
      </c>
      <c r="G7" s="20" t="s">
        <v>24</v>
      </c>
      <c r="H7" s="21">
        <f>ROUND(RAND()*4+6,1)</f>
      </c>
      <c r="I7" s="20" t="s">
        <v>25</v>
      </c>
      <c r="J7" s="23">
        <f>ROUND(82*1,0)&amp;"%"</f>
      </c>
    </row>
    <row x14ac:dyDescent="0.25" r="8" customHeight="1" ht="17.25">
      <c r="A8" s="17" t="s">
        <v>2483</v>
      </c>
      <c r="B8" s="17" t="s">
        <v>27</v>
      </c>
      <c r="C8" s="17" t="s">
        <v>15</v>
      </c>
      <c r="D8" s="17" t="s">
        <v>28</v>
      </c>
      <c r="E8" s="18">
        <f>ROUND(6312*1.05,2)</f>
      </c>
      <c r="F8" s="17" t="s">
        <v>29</v>
      </c>
      <c r="G8" s="17" t="s">
        <v>30</v>
      </c>
      <c r="H8" s="18">
        <f>ROUND(RAND()*4+6,1)</f>
      </c>
      <c r="I8" s="17" t="s">
        <v>31</v>
      </c>
      <c r="J8" s="19">
        <f>ROUND(71*1,0)&amp;"%"</f>
      </c>
    </row>
    <row x14ac:dyDescent="0.25" r="9" customHeight="1" ht="17.25">
      <c r="A9" s="20" t="s">
        <v>2484</v>
      </c>
      <c r="B9" s="20" t="s">
        <v>33</v>
      </c>
      <c r="C9" s="20" t="s">
        <v>15</v>
      </c>
      <c r="D9" s="20" t="s">
        <v>34</v>
      </c>
      <c r="E9" s="21">
        <f>ROUND(4927*1.05,2)</f>
      </c>
      <c r="F9" s="20" t="s">
        <v>35</v>
      </c>
      <c r="G9" s="20" t="s">
        <v>18</v>
      </c>
      <c r="H9" s="21">
        <f>ROUND(RAND()*4+6,1)</f>
      </c>
      <c r="I9" s="20" t="s">
        <v>36</v>
      </c>
      <c r="J9" s="23">
        <f>ROUND(60*1,0)&amp;"%"</f>
      </c>
    </row>
    <row x14ac:dyDescent="0.25" r="10" customHeight="1" ht="17.25">
      <c r="A10" s="17" t="s">
        <v>2485</v>
      </c>
      <c r="B10" s="17" t="s">
        <v>38</v>
      </c>
      <c r="C10" s="17" t="s">
        <v>15</v>
      </c>
      <c r="D10" s="17" t="s">
        <v>39</v>
      </c>
      <c r="E10" s="18">
        <f>ROUND(17388*1.05,2)</f>
      </c>
      <c r="F10" s="17" t="s">
        <v>40</v>
      </c>
      <c r="G10" s="17" t="s">
        <v>24</v>
      </c>
      <c r="H10" s="18">
        <f>ROUND(RAND()*4+6,1)</f>
      </c>
      <c r="I10" s="17" t="s">
        <v>41</v>
      </c>
      <c r="J10" s="19">
        <f>ROUND(98*1,0)&amp;"%"</f>
      </c>
    </row>
    <row x14ac:dyDescent="0.25" r="11" customHeight="1" ht="17.25">
      <c r="A11" s="20" t="s">
        <v>2486</v>
      </c>
      <c r="B11" s="20" t="s">
        <v>43</v>
      </c>
      <c r="C11" s="20" t="s">
        <v>15</v>
      </c>
      <c r="D11" s="20" t="s">
        <v>67</v>
      </c>
      <c r="E11" s="21">
        <f>ROUND(7206*1.05,2)</f>
      </c>
      <c r="F11" s="20" t="s">
        <v>44</v>
      </c>
      <c r="G11" s="20" t="s">
        <v>30</v>
      </c>
      <c r="H11" s="21">
        <f>ROUND(RAND()*4+6,1)</f>
      </c>
      <c r="I11" s="20" t="s">
        <v>45</v>
      </c>
      <c r="J11" s="23">
        <f>ROUND(80*1,0)&amp;"%"</f>
      </c>
    </row>
    <row x14ac:dyDescent="0.25" r="12" customHeight="1" ht="17.25">
      <c r="A12" s="17" t="s">
        <v>2487</v>
      </c>
      <c r="B12" s="17" t="s">
        <v>47</v>
      </c>
      <c r="C12" s="17" t="s">
        <v>15</v>
      </c>
      <c r="D12" s="17" t="s">
        <v>16</v>
      </c>
      <c r="E12" s="18">
        <f>ROUND(17972*1.05,2)</f>
      </c>
      <c r="F12" s="17" t="s">
        <v>48</v>
      </c>
      <c r="G12" s="17" t="s">
        <v>18</v>
      </c>
      <c r="H12" s="18">
        <f>ROUND(RAND()*4+6,1)</f>
      </c>
      <c r="I12" s="17" t="s">
        <v>19</v>
      </c>
      <c r="J12" s="19">
        <f>ROUND(63*1,0)&amp;"%"</f>
      </c>
    </row>
    <row x14ac:dyDescent="0.25" r="13" customHeight="1" ht="17.25">
      <c r="A13" s="20" t="s">
        <v>2488</v>
      </c>
      <c r="B13" s="20" t="s">
        <v>50</v>
      </c>
      <c r="C13" s="20" t="s">
        <v>15</v>
      </c>
      <c r="D13" s="20" t="s">
        <v>22</v>
      </c>
      <c r="E13" s="21">
        <f>ROUND(8330*1.05,2)</f>
      </c>
      <c r="F13" s="20" t="s">
        <v>51</v>
      </c>
      <c r="G13" s="20" t="s">
        <v>24</v>
      </c>
      <c r="H13" s="21">
        <f>ROUND(RAND()*4+6,1)</f>
      </c>
      <c r="I13" s="20" t="s">
        <v>25</v>
      </c>
      <c r="J13" s="23">
        <f>ROUND(83*1,0)&amp;"%"</f>
      </c>
    </row>
    <row x14ac:dyDescent="0.25" r="14" customHeight="1" ht="17.25">
      <c r="A14" s="24" t="s">
        <v>52</v>
      </c>
      <c r="B14" s="24"/>
      <c r="C14" s="24"/>
      <c r="D14" s="24"/>
      <c r="E14" s="25">
        <v>8</v>
      </c>
      <c r="F14" s="9"/>
      <c r="G14" s="9"/>
      <c r="H14" s="10"/>
      <c r="I14" s="9"/>
      <c r="J14" s="9"/>
    </row>
    <row x14ac:dyDescent="0.25" r="15" customHeight="1" ht="17.25">
      <c r="A15" s="7"/>
      <c r="B15" s="7"/>
      <c r="C15" s="7"/>
      <c r="D15" s="7"/>
      <c r="E15" s="8"/>
      <c r="F15" s="9"/>
      <c r="G15" s="9"/>
      <c r="H15" s="10"/>
      <c r="I15" s="9"/>
      <c r="J15" s="9"/>
    </row>
    <row x14ac:dyDescent="0.25" r="16" customHeight="1" ht="17.25">
      <c r="A16" s="11" t="s">
        <v>2489</v>
      </c>
      <c r="B16" s="11"/>
      <c r="C16" s="11"/>
      <c r="D16" s="11"/>
      <c r="E16" s="12"/>
      <c r="F16" s="11"/>
      <c r="G16" s="11"/>
      <c r="H16" s="13"/>
      <c r="I16" s="11"/>
      <c r="J16" s="11"/>
    </row>
    <row x14ac:dyDescent="0.25" r="17" customHeight="1" ht="17.25">
      <c r="A17" s="14" t="s">
        <v>3</v>
      </c>
      <c r="B17" s="14" t="s">
        <v>4</v>
      </c>
      <c r="C17" s="14" t="s">
        <v>5</v>
      </c>
      <c r="D17" s="14" t="s">
        <v>6</v>
      </c>
      <c r="E17" s="15" t="s">
        <v>7</v>
      </c>
      <c r="F17" s="14" t="s">
        <v>8</v>
      </c>
      <c r="G17" s="14" t="s">
        <v>9</v>
      </c>
      <c r="H17" s="16" t="s">
        <v>10</v>
      </c>
      <c r="I17" s="14" t="s">
        <v>11</v>
      </c>
      <c r="J17" s="14" t="s">
        <v>12</v>
      </c>
    </row>
    <row x14ac:dyDescent="0.25" r="18" customHeight="1" ht="17.25">
      <c r="A18" s="17" t="s">
        <v>2490</v>
      </c>
      <c r="B18" s="17" t="s">
        <v>55</v>
      </c>
      <c r="C18" s="17" t="s">
        <v>56</v>
      </c>
      <c r="D18" s="17" t="s">
        <v>16</v>
      </c>
      <c r="E18" s="18">
        <f>ROUND(5673*1.05,2)</f>
      </c>
      <c r="F18" s="17" t="s">
        <v>17</v>
      </c>
      <c r="G18" s="17" t="s">
        <v>18</v>
      </c>
      <c r="H18" s="18">
        <f>ROUND(RAND()*4+6,1)</f>
      </c>
      <c r="I18" s="17" t="s">
        <v>19</v>
      </c>
      <c r="J18" s="19">
        <f>ROUND(88*1,0)&amp;"%"</f>
      </c>
    </row>
    <row x14ac:dyDescent="0.25" r="19" customHeight="1" ht="17.25">
      <c r="A19" s="20" t="s">
        <v>2491</v>
      </c>
      <c r="B19" s="20" t="s">
        <v>58</v>
      </c>
      <c r="C19" s="20" t="s">
        <v>56</v>
      </c>
      <c r="D19" s="20" t="s">
        <v>22</v>
      </c>
      <c r="E19" s="21">
        <f>ROUND(8585*1.05,2)</f>
      </c>
      <c r="F19" s="20" t="s">
        <v>23</v>
      </c>
      <c r="G19" s="20" t="s">
        <v>24</v>
      </c>
      <c r="H19" s="21">
        <f>ROUND(RAND()*4+6,1)</f>
      </c>
      <c r="I19" s="20" t="s">
        <v>25</v>
      </c>
      <c r="J19" s="23">
        <f>ROUND(93*1,0)&amp;"%"</f>
      </c>
    </row>
    <row x14ac:dyDescent="0.25" r="20" customHeight="1" ht="17.25">
      <c r="A20" s="17" t="s">
        <v>2492</v>
      </c>
      <c r="B20" s="17" t="s">
        <v>60</v>
      </c>
      <c r="C20" s="17" t="s">
        <v>56</v>
      </c>
      <c r="D20" s="17" t="s">
        <v>28</v>
      </c>
      <c r="E20" s="18">
        <f>ROUND(12848*1.05,2)</f>
      </c>
      <c r="F20" s="17" t="s">
        <v>29</v>
      </c>
      <c r="G20" s="17" t="s">
        <v>30</v>
      </c>
      <c r="H20" s="18">
        <f>ROUND(RAND()*4+6,1)</f>
      </c>
      <c r="I20" s="17" t="s">
        <v>31</v>
      </c>
      <c r="J20" s="19">
        <f>ROUND(79*1,0)&amp;"%"</f>
      </c>
    </row>
    <row x14ac:dyDescent="0.25" r="21" customHeight="1" ht="17.25">
      <c r="A21" s="20" t="s">
        <v>2493</v>
      </c>
      <c r="B21" s="20" t="s">
        <v>62</v>
      </c>
      <c r="C21" s="20" t="s">
        <v>56</v>
      </c>
      <c r="D21" s="20" t="s">
        <v>34</v>
      </c>
      <c r="E21" s="21">
        <f>ROUND(9898*1.05,2)</f>
      </c>
      <c r="F21" s="20" t="s">
        <v>35</v>
      </c>
      <c r="G21" s="20" t="s">
        <v>18</v>
      </c>
      <c r="H21" s="21">
        <f>ROUND(RAND()*4+6,1)</f>
      </c>
      <c r="I21" s="20" t="s">
        <v>36</v>
      </c>
      <c r="J21" s="23">
        <f>ROUND(96*1,0)&amp;"%"</f>
      </c>
    </row>
    <row x14ac:dyDescent="0.25" r="22" customHeight="1" ht="17.25">
      <c r="A22" s="17" t="s">
        <v>2494</v>
      </c>
      <c r="B22" s="17" t="s">
        <v>64</v>
      </c>
      <c r="C22" s="17" t="s">
        <v>56</v>
      </c>
      <c r="D22" s="17" t="s">
        <v>39</v>
      </c>
      <c r="E22" s="18">
        <f>ROUND(13090*1.05,2)</f>
      </c>
      <c r="F22" s="17" t="s">
        <v>40</v>
      </c>
      <c r="G22" s="17" t="s">
        <v>24</v>
      </c>
      <c r="H22" s="18">
        <f>ROUND(RAND()*4+6,1)</f>
      </c>
      <c r="I22" s="17" t="s">
        <v>41</v>
      </c>
      <c r="J22" s="19">
        <f>ROUND(82*1,0)&amp;"%"</f>
      </c>
    </row>
    <row x14ac:dyDescent="0.25" r="23" customHeight="1" ht="17.25">
      <c r="A23" s="20" t="s">
        <v>2495</v>
      </c>
      <c r="B23" s="20" t="s">
        <v>66</v>
      </c>
      <c r="C23" s="20" t="s">
        <v>56</v>
      </c>
      <c r="D23" s="20" t="s">
        <v>67</v>
      </c>
      <c r="E23" s="21">
        <f>ROUND(13859*1.05,2)</f>
      </c>
      <c r="F23" s="20" t="s">
        <v>44</v>
      </c>
      <c r="G23" s="20" t="s">
        <v>30</v>
      </c>
      <c r="H23" s="21">
        <f>ROUND(RAND()*4+6,1)</f>
      </c>
      <c r="I23" s="20" t="s">
        <v>45</v>
      </c>
      <c r="J23" s="23">
        <f>ROUND(60*1,0)&amp;"%"</f>
      </c>
    </row>
    <row x14ac:dyDescent="0.25" r="24" customHeight="1" ht="17.25">
      <c r="A24" s="17" t="s">
        <v>2496</v>
      </c>
      <c r="B24" s="17" t="s">
        <v>69</v>
      </c>
      <c r="C24" s="17" t="s">
        <v>56</v>
      </c>
      <c r="D24" s="17" t="s">
        <v>16</v>
      </c>
      <c r="E24" s="18">
        <f>ROUND(12065*1.05,2)</f>
      </c>
      <c r="F24" s="17" t="s">
        <v>48</v>
      </c>
      <c r="G24" s="17" t="s">
        <v>18</v>
      </c>
      <c r="H24" s="26">
        <f>ROUND(RAND()*4+6,1)</f>
      </c>
      <c r="I24" s="17" t="s">
        <v>19</v>
      </c>
      <c r="J24" s="19">
        <f>ROUND(69*1,0)&amp;"%"</f>
      </c>
    </row>
    <row x14ac:dyDescent="0.25" r="25" customHeight="1" ht="17.25">
      <c r="A25" s="20" t="s">
        <v>2497</v>
      </c>
      <c r="B25" s="20" t="s">
        <v>71</v>
      </c>
      <c r="C25" s="20" t="s">
        <v>56</v>
      </c>
      <c r="D25" s="20" t="s">
        <v>22</v>
      </c>
      <c r="E25" s="21">
        <f>ROUND(16091*1.05,2)</f>
      </c>
      <c r="F25" s="20" t="s">
        <v>51</v>
      </c>
      <c r="G25" s="20" t="s">
        <v>24</v>
      </c>
      <c r="H25" s="21">
        <f>ROUND(RAND()*4+6,1)</f>
      </c>
      <c r="I25" s="20" t="s">
        <v>25</v>
      </c>
      <c r="J25" s="23">
        <f>ROUND(87*1,0)&amp;"%"</f>
      </c>
    </row>
    <row x14ac:dyDescent="0.25" r="26" customHeight="1" ht="17.25">
      <c r="A26" s="24" t="s">
        <v>72</v>
      </c>
      <c r="B26" s="24"/>
      <c r="C26" s="24"/>
      <c r="D26" s="24"/>
      <c r="E26" s="25">
        <v>8</v>
      </c>
      <c r="F26" s="9"/>
      <c r="G26" s="9"/>
      <c r="H26" s="10"/>
      <c r="I26" s="9"/>
      <c r="J26" s="9"/>
    </row>
    <row x14ac:dyDescent="0.25" r="27" customHeight="1" ht="17.25">
      <c r="A27" s="7"/>
      <c r="B27" s="7"/>
      <c r="C27" s="7"/>
      <c r="D27" s="7"/>
      <c r="E27" s="8"/>
      <c r="F27" s="9"/>
      <c r="G27" s="9"/>
      <c r="H27" s="10"/>
      <c r="I27" s="9"/>
      <c r="J27" s="9"/>
    </row>
    <row x14ac:dyDescent="0.25" r="28" customHeight="1" ht="17.25">
      <c r="A28" s="11" t="s">
        <v>2498</v>
      </c>
      <c r="B28" s="11"/>
      <c r="C28" s="11"/>
      <c r="D28" s="11"/>
      <c r="E28" s="12"/>
      <c r="F28" s="11"/>
      <c r="G28" s="11"/>
      <c r="H28" s="13"/>
      <c r="I28" s="11"/>
      <c r="J28" s="11"/>
    </row>
    <row x14ac:dyDescent="0.25" r="29" customHeight="1" ht="17.25">
      <c r="A29" s="14" t="s">
        <v>3</v>
      </c>
      <c r="B29" s="14" t="s">
        <v>4</v>
      </c>
      <c r="C29" s="14" t="s">
        <v>5</v>
      </c>
      <c r="D29" s="14" t="s">
        <v>6</v>
      </c>
      <c r="E29" s="15" t="s">
        <v>7</v>
      </c>
      <c r="F29" s="14" t="s">
        <v>8</v>
      </c>
      <c r="G29" s="14" t="s">
        <v>9</v>
      </c>
      <c r="H29" s="16" t="s">
        <v>10</v>
      </c>
      <c r="I29" s="14" t="s">
        <v>11</v>
      </c>
      <c r="J29" s="14" t="s">
        <v>12</v>
      </c>
    </row>
    <row x14ac:dyDescent="0.25" r="30" customHeight="1" ht="17.25">
      <c r="A30" s="17" t="s">
        <v>2499</v>
      </c>
      <c r="B30" s="17" t="s">
        <v>75</v>
      </c>
      <c r="C30" s="17" t="s">
        <v>76</v>
      </c>
      <c r="D30" s="17" t="s">
        <v>16</v>
      </c>
      <c r="E30" s="18">
        <f>ROUND(8051*1.05,2)</f>
      </c>
      <c r="F30" s="17" t="s">
        <v>17</v>
      </c>
      <c r="G30" s="17" t="s">
        <v>18</v>
      </c>
      <c r="H30" s="18">
        <f>ROUND(RAND()*4+6,1)</f>
      </c>
      <c r="I30" s="17" t="s">
        <v>19</v>
      </c>
      <c r="J30" s="19">
        <f>ROUND(84*1,0)&amp;"%"</f>
      </c>
    </row>
    <row x14ac:dyDescent="0.25" r="31" customHeight="1" ht="17.25">
      <c r="A31" s="20" t="s">
        <v>2500</v>
      </c>
      <c r="B31" s="20" t="s">
        <v>78</v>
      </c>
      <c r="C31" s="20" t="s">
        <v>76</v>
      </c>
      <c r="D31" s="20" t="s">
        <v>22</v>
      </c>
      <c r="E31" s="21">
        <f>ROUND(8164*1.05,2)</f>
      </c>
      <c r="F31" s="20" t="s">
        <v>23</v>
      </c>
      <c r="G31" s="20" t="s">
        <v>24</v>
      </c>
      <c r="H31" s="21">
        <f>ROUND(RAND()*4+6,1)</f>
      </c>
      <c r="I31" s="20" t="s">
        <v>25</v>
      </c>
      <c r="J31" s="23">
        <f>ROUND(71*1,0)&amp;"%"</f>
      </c>
    </row>
    <row x14ac:dyDescent="0.25" r="32" customHeight="1" ht="17.25">
      <c r="A32" s="17" t="s">
        <v>2501</v>
      </c>
      <c r="B32" s="17" t="s">
        <v>80</v>
      </c>
      <c r="C32" s="17" t="s">
        <v>76</v>
      </c>
      <c r="D32" s="17" t="s">
        <v>28</v>
      </c>
      <c r="E32" s="18">
        <f>ROUND(12973*1.05,2)</f>
      </c>
      <c r="F32" s="17" t="s">
        <v>29</v>
      </c>
      <c r="G32" s="17" t="s">
        <v>30</v>
      </c>
      <c r="H32" s="26">
        <f>ROUND(RAND()*4+6,1)</f>
      </c>
      <c r="I32" s="17" t="s">
        <v>31</v>
      </c>
      <c r="J32" s="19">
        <f>ROUND(67*1,0)&amp;"%"</f>
      </c>
    </row>
    <row x14ac:dyDescent="0.25" r="33" customHeight="1" ht="17.25">
      <c r="A33" s="20" t="s">
        <v>2502</v>
      </c>
      <c r="B33" s="20" t="s">
        <v>82</v>
      </c>
      <c r="C33" s="20" t="s">
        <v>76</v>
      </c>
      <c r="D33" s="20" t="s">
        <v>34</v>
      </c>
      <c r="E33" s="21">
        <f>ROUND(11590*1.05,2)</f>
      </c>
      <c r="F33" s="20" t="s">
        <v>35</v>
      </c>
      <c r="G33" s="20" t="s">
        <v>18</v>
      </c>
      <c r="H33" s="21">
        <f>ROUND(RAND()*4+6,1)</f>
      </c>
      <c r="I33" s="20" t="s">
        <v>36</v>
      </c>
      <c r="J33" s="23">
        <f>ROUND(65*1,0)&amp;"%"</f>
      </c>
    </row>
    <row x14ac:dyDescent="0.25" r="34" customHeight="1" ht="17.25">
      <c r="A34" s="17" t="s">
        <v>2503</v>
      </c>
      <c r="B34" s="17" t="s">
        <v>84</v>
      </c>
      <c r="C34" s="17" t="s">
        <v>76</v>
      </c>
      <c r="D34" s="17" t="s">
        <v>39</v>
      </c>
      <c r="E34" s="18">
        <f>ROUND(10663*1.05,2)</f>
      </c>
      <c r="F34" s="17" t="s">
        <v>40</v>
      </c>
      <c r="G34" s="17" t="s">
        <v>24</v>
      </c>
      <c r="H34" s="18">
        <f>ROUND(RAND()*4+6,1)</f>
      </c>
      <c r="I34" s="17" t="s">
        <v>41</v>
      </c>
      <c r="J34" s="19">
        <f>ROUND(89*1,0)&amp;"%"</f>
      </c>
    </row>
    <row x14ac:dyDescent="0.25" r="35" customHeight="1" ht="17.25">
      <c r="A35" s="20" t="s">
        <v>2504</v>
      </c>
      <c r="B35" s="20" t="s">
        <v>86</v>
      </c>
      <c r="C35" s="20" t="s">
        <v>76</v>
      </c>
      <c r="D35" s="20" t="s">
        <v>67</v>
      </c>
      <c r="E35" s="21">
        <f>ROUND(17105*1.05,2)</f>
      </c>
      <c r="F35" s="20" t="s">
        <v>44</v>
      </c>
      <c r="G35" s="20" t="s">
        <v>30</v>
      </c>
      <c r="H35" s="22">
        <f>ROUND(RAND()*4+6,1)</f>
      </c>
      <c r="I35" s="20" t="s">
        <v>45</v>
      </c>
      <c r="J35" s="23">
        <f>ROUND(88*1,0)&amp;"%"</f>
      </c>
    </row>
    <row x14ac:dyDescent="0.25" r="36" customHeight="1" ht="17.25">
      <c r="A36" s="17" t="s">
        <v>2505</v>
      </c>
      <c r="B36" s="17" t="s">
        <v>88</v>
      </c>
      <c r="C36" s="17" t="s">
        <v>76</v>
      </c>
      <c r="D36" s="17" t="s">
        <v>16</v>
      </c>
      <c r="E36" s="18">
        <f>ROUND(9305*1.05,2)</f>
      </c>
      <c r="F36" s="17" t="s">
        <v>48</v>
      </c>
      <c r="G36" s="17" t="s">
        <v>18</v>
      </c>
      <c r="H36" s="18">
        <f>ROUND(RAND()*4+6,1)</f>
      </c>
      <c r="I36" s="17" t="s">
        <v>19</v>
      </c>
      <c r="J36" s="19">
        <f>ROUND(66*1,0)&amp;"%"</f>
      </c>
    </row>
    <row x14ac:dyDescent="0.25" r="37" customHeight="1" ht="17.25">
      <c r="A37" s="20" t="s">
        <v>2506</v>
      </c>
      <c r="B37" s="20" t="s">
        <v>90</v>
      </c>
      <c r="C37" s="20" t="s">
        <v>76</v>
      </c>
      <c r="D37" s="20" t="s">
        <v>22</v>
      </c>
      <c r="E37" s="21">
        <f>ROUND(6291*1.05,2)</f>
      </c>
      <c r="F37" s="20" t="s">
        <v>51</v>
      </c>
      <c r="G37" s="20" t="s">
        <v>24</v>
      </c>
      <c r="H37" s="21">
        <f>ROUND(RAND()*4+6,1)</f>
      </c>
      <c r="I37" s="20" t="s">
        <v>25</v>
      </c>
      <c r="J37" s="23">
        <f>ROUND(67*1,0)&amp;"%"</f>
      </c>
    </row>
    <row x14ac:dyDescent="0.25" r="38" customHeight="1" ht="17.25">
      <c r="A38" s="24" t="s">
        <v>91</v>
      </c>
      <c r="B38" s="24"/>
      <c r="C38" s="24"/>
      <c r="D38" s="24"/>
      <c r="E38" s="25">
        <v>8</v>
      </c>
      <c r="F38" s="9"/>
      <c r="G38" s="9"/>
      <c r="H38" s="10"/>
      <c r="I38" s="9"/>
      <c r="J38" s="9"/>
    </row>
    <row x14ac:dyDescent="0.25" r="39" customHeight="1" ht="17.25">
      <c r="A39" s="7"/>
      <c r="B39" s="7"/>
      <c r="C39" s="7"/>
      <c r="D39" s="7"/>
      <c r="E39" s="8"/>
      <c r="F39" s="9"/>
      <c r="G39" s="9"/>
      <c r="H39" s="10"/>
      <c r="I39" s="9"/>
      <c r="J39" s="9"/>
    </row>
    <row x14ac:dyDescent="0.25" r="40" customHeight="1" ht="17.25">
      <c r="A40" s="11" t="s">
        <v>2507</v>
      </c>
      <c r="B40" s="11"/>
      <c r="C40" s="11"/>
      <c r="D40" s="11"/>
      <c r="E40" s="12"/>
      <c r="F40" s="11"/>
      <c r="G40" s="11"/>
      <c r="H40" s="13"/>
      <c r="I40" s="11"/>
      <c r="J40" s="11"/>
    </row>
    <row x14ac:dyDescent="0.25" r="41" customHeight="1" ht="17.25">
      <c r="A41" s="14" t="s">
        <v>3</v>
      </c>
      <c r="B41" s="14" t="s">
        <v>4</v>
      </c>
      <c r="C41" s="14" t="s">
        <v>5</v>
      </c>
      <c r="D41" s="14" t="s">
        <v>6</v>
      </c>
      <c r="E41" s="15" t="s">
        <v>7</v>
      </c>
      <c r="F41" s="14" t="s">
        <v>8</v>
      </c>
      <c r="G41" s="14" t="s">
        <v>9</v>
      </c>
      <c r="H41" s="16" t="s">
        <v>10</v>
      </c>
      <c r="I41" s="14" t="s">
        <v>11</v>
      </c>
      <c r="J41" s="14" t="s">
        <v>12</v>
      </c>
    </row>
    <row x14ac:dyDescent="0.25" r="42" customHeight="1" ht="17.25">
      <c r="A42" s="17" t="s">
        <v>2508</v>
      </c>
      <c r="B42" s="17" t="s">
        <v>94</v>
      </c>
      <c r="C42" s="17" t="s">
        <v>95</v>
      </c>
      <c r="D42" s="17" t="s">
        <v>16</v>
      </c>
      <c r="E42" s="18">
        <f>ROUND(17371*1.05,2)</f>
      </c>
      <c r="F42" s="17" t="s">
        <v>17</v>
      </c>
      <c r="G42" s="17" t="s">
        <v>18</v>
      </c>
      <c r="H42" s="18">
        <f>ROUND(RAND()*4+6,1)</f>
      </c>
      <c r="I42" s="17" t="s">
        <v>19</v>
      </c>
      <c r="J42" s="19">
        <f>ROUND(84*1,0)&amp;"%"</f>
      </c>
    </row>
    <row x14ac:dyDescent="0.25" r="43" customHeight="1" ht="17.25">
      <c r="A43" s="20" t="s">
        <v>2509</v>
      </c>
      <c r="B43" s="20" t="s">
        <v>97</v>
      </c>
      <c r="C43" s="20" t="s">
        <v>95</v>
      </c>
      <c r="D43" s="20" t="s">
        <v>22</v>
      </c>
      <c r="E43" s="21">
        <f>ROUND(7422*1.05,2)</f>
      </c>
      <c r="F43" s="20" t="s">
        <v>23</v>
      </c>
      <c r="G43" s="20" t="s">
        <v>24</v>
      </c>
      <c r="H43" s="21">
        <f>ROUND(RAND()*4+6,1)</f>
      </c>
      <c r="I43" s="20" t="s">
        <v>25</v>
      </c>
      <c r="J43" s="23">
        <f>ROUND(86*1,0)&amp;"%"</f>
      </c>
    </row>
    <row x14ac:dyDescent="0.25" r="44" customHeight="1" ht="17.25">
      <c r="A44" s="17" t="s">
        <v>2510</v>
      </c>
      <c r="B44" s="17" t="s">
        <v>99</v>
      </c>
      <c r="C44" s="17" t="s">
        <v>95</v>
      </c>
      <c r="D44" s="17" t="s">
        <v>28</v>
      </c>
      <c r="E44" s="18">
        <f>ROUND(7644*1.05,2)</f>
      </c>
      <c r="F44" s="17" t="s">
        <v>29</v>
      </c>
      <c r="G44" s="17" t="s">
        <v>30</v>
      </c>
      <c r="H44" s="18">
        <f>ROUND(RAND()*4+6,1)</f>
      </c>
      <c r="I44" s="17" t="s">
        <v>31</v>
      </c>
      <c r="J44" s="19">
        <f>ROUND(88*1,0)&amp;"%"</f>
      </c>
    </row>
    <row x14ac:dyDescent="0.25" r="45" customHeight="1" ht="17.25">
      <c r="A45" s="20" t="s">
        <v>2511</v>
      </c>
      <c r="B45" s="20" t="s">
        <v>101</v>
      </c>
      <c r="C45" s="20" t="s">
        <v>95</v>
      </c>
      <c r="D45" s="20" t="s">
        <v>34</v>
      </c>
      <c r="E45" s="21">
        <f>ROUND(17538*1.05,2)</f>
      </c>
      <c r="F45" s="20" t="s">
        <v>35</v>
      </c>
      <c r="G45" s="20" t="s">
        <v>18</v>
      </c>
      <c r="H45" s="21">
        <f>ROUND(RAND()*4+6,1)</f>
      </c>
      <c r="I45" s="20" t="s">
        <v>36</v>
      </c>
      <c r="J45" s="23">
        <f>ROUND(99*1,0)&amp;"%"</f>
      </c>
    </row>
    <row x14ac:dyDescent="0.25" r="46" customHeight="1" ht="17.25">
      <c r="A46" s="17" t="s">
        <v>2512</v>
      </c>
      <c r="B46" s="17" t="s">
        <v>103</v>
      </c>
      <c r="C46" s="17" t="s">
        <v>95</v>
      </c>
      <c r="D46" s="17" t="s">
        <v>39</v>
      </c>
      <c r="E46" s="18">
        <f>ROUND(4610*1.05,2)</f>
      </c>
      <c r="F46" s="17" t="s">
        <v>40</v>
      </c>
      <c r="G46" s="17" t="s">
        <v>24</v>
      </c>
      <c r="H46" s="18">
        <f>ROUND(RAND()*4+6,1)</f>
      </c>
      <c r="I46" s="17" t="s">
        <v>41</v>
      </c>
      <c r="J46" s="19">
        <f>ROUND(99*1,0)&amp;"%"</f>
      </c>
    </row>
    <row x14ac:dyDescent="0.25" r="47" customHeight="1" ht="17.25">
      <c r="A47" s="20" t="s">
        <v>2513</v>
      </c>
      <c r="B47" s="20" t="s">
        <v>105</v>
      </c>
      <c r="C47" s="20" t="s">
        <v>95</v>
      </c>
      <c r="D47" s="20" t="s">
        <v>67</v>
      </c>
      <c r="E47" s="21">
        <f>ROUND(12134*1.05,2)</f>
      </c>
      <c r="F47" s="20" t="s">
        <v>44</v>
      </c>
      <c r="G47" s="20" t="s">
        <v>30</v>
      </c>
      <c r="H47" s="21">
        <f>ROUND(RAND()*4+6,1)</f>
      </c>
      <c r="I47" s="20" t="s">
        <v>45</v>
      </c>
      <c r="J47" s="23">
        <f>ROUND(89*1,0)&amp;"%"</f>
      </c>
    </row>
    <row x14ac:dyDescent="0.25" r="48" customHeight="1" ht="17.25">
      <c r="A48" s="17" t="s">
        <v>2514</v>
      </c>
      <c r="B48" s="17" t="s">
        <v>107</v>
      </c>
      <c r="C48" s="17" t="s">
        <v>95</v>
      </c>
      <c r="D48" s="17" t="s">
        <v>16</v>
      </c>
      <c r="E48" s="18">
        <f>ROUND(7603*1.05,2)</f>
      </c>
      <c r="F48" s="17" t="s">
        <v>48</v>
      </c>
      <c r="G48" s="17" t="s">
        <v>18</v>
      </c>
      <c r="H48" s="18">
        <f>ROUND(RAND()*4+6,1)</f>
      </c>
      <c r="I48" s="17" t="s">
        <v>19</v>
      </c>
      <c r="J48" s="19">
        <f>ROUND(61*1,0)&amp;"%"</f>
      </c>
    </row>
    <row x14ac:dyDescent="0.25" r="49" customHeight="1" ht="17.25">
      <c r="A49" s="20" t="s">
        <v>2515</v>
      </c>
      <c r="B49" s="20" t="s">
        <v>109</v>
      </c>
      <c r="C49" s="20" t="s">
        <v>95</v>
      </c>
      <c r="D49" s="20" t="s">
        <v>22</v>
      </c>
      <c r="E49" s="21">
        <f>ROUND(16744*1.05,2)</f>
      </c>
      <c r="F49" s="20" t="s">
        <v>51</v>
      </c>
      <c r="G49" s="20" t="s">
        <v>24</v>
      </c>
      <c r="H49" s="21">
        <f>ROUND(RAND()*4+6,1)</f>
      </c>
      <c r="I49" s="20" t="s">
        <v>25</v>
      </c>
      <c r="J49" s="23">
        <f>ROUND(73*1,0)&amp;"%"</f>
      </c>
    </row>
    <row x14ac:dyDescent="0.25" r="50" customHeight="1" ht="17.25">
      <c r="A50" s="24" t="s">
        <v>110</v>
      </c>
      <c r="B50" s="24"/>
      <c r="C50" s="24"/>
      <c r="D50" s="24"/>
      <c r="E50" s="25">
        <v>8</v>
      </c>
      <c r="F50" s="9"/>
      <c r="G50" s="9"/>
      <c r="H50" s="10"/>
      <c r="I50" s="9"/>
      <c r="J50" s="9"/>
    </row>
    <row x14ac:dyDescent="0.25" r="51" customHeight="1" ht="17.25">
      <c r="A51" s="7"/>
      <c r="B51" s="7"/>
      <c r="C51" s="7"/>
      <c r="D51" s="7"/>
      <c r="E51" s="8"/>
      <c r="F51" s="9"/>
      <c r="G51" s="9"/>
      <c r="H51" s="10"/>
      <c r="I51" s="9"/>
      <c r="J51" s="9"/>
    </row>
    <row x14ac:dyDescent="0.25" r="52" customHeight="1" ht="17.25">
      <c r="A52" s="11" t="s">
        <v>2516</v>
      </c>
      <c r="B52" s="11"/>
      <c r="C52" s="11"/>
      <c r="D52" s="11"/>
      <c r="E52" s="12"/>
      <c r="F52" s="11"/>
      <c r="G52" s="11"/>
      <c r="H52" s="13"/>
      <c r="I52" s="11"/>
      <c r="J52" s="11"/>
    </row>
    <row x14ac:dyDescent="0.25" r="53" customHeight="1" ht="17.25">
      <c r="A53" s="14" t="s">
        <v>3</v>
      </c>
      <c r="B53" s="14" t="s">
        <v>4</v>
      </c>
      <c r="C53" s="14" t="s">
        <v>5</v>
      </c>
      <c r="D53" s="14" t="s">
        <v>6</v>
      </c>
      <c r="E53" s="15" t="s">
        <v>7</v>
      </c>
      <c r="F53" s="14" t="s">
        <v>8</v>
      </c>
      <c r="G53" s="14" t="s">
        <v>9</v>
      </c>
      <c r="H53" s="16" t="s">
        <v>10</v>
      </c>
      <c r="I53" s="14" t="s">
        <v>11</v>
      </c>
      <c r="J53" s="14" t="s">
        <v>12</v>
      </c>
    </row>
    <row x14ac:dyDescent="0.25" r="54" customHeight="1" ht="17.25">
      <c r="A54" s="17" t="s">
        <v>2517</v>
      </c>
      <c r="B54" s="17" t="s">
        <v>113</v>
      </c>
      <c r="C54" s="17" t="s">
        <v>114</v>
      </c>
      <c r="D54" s="17" t="s">
        <v>16</v>
      </c>
      <c r="E54" s="18">
        <f>ROUND(16202*1.05,2)</f>
      </c>
      <c r="F54" s="17" t="s">
        <v>17</v>
      </c>
      <c r="G54" s="17" t="s">
        <v>18</v>
      </c>
      <c r="H54" s="18">
        <f>ROUND(RAND()*4+6,1)</f>
      </c>
      <c r="I54" s="17" t="s">
        <v>19</v>
      </c>
      <c r="J54" s="19">
        <f>ROUND(68*1,0)&amp;"%"</f>
      </c>
    </row>
    <row x14ac:dyDescent="0.25" r="55" customHeight="1" ht="17.25">
      <c r="A55" s="20" t="s">
        <v>2518</v>
      </c>
      <c r="B55" s="20" t="s">
        <v>116</v>
      </c>
      <c r="C55" s="20" t="s">
        <v>114</v>
      </c>
      <c r="D55" s="20" t="s">
        <v>22</v>
      </c>
      <c r="E55" s="21">
        <f>ROUND(8576*1.05,2)</f>
      </c>
      <c r="F55" s="20" t="s">
        <v>23</v>
      </c>
      <c r="G55" s="20" t="s">
        <v>24</v>
      </c>
      <c r="H55" s="21">
        <f>ROUND(RAND()*4+6,1)</f>
      </c>
      <c r="I55" s="20" t="s">
        <v>25</v>
      </c>
      <c r="J55" s="23">
        <f>ROUND(75*1,0)&amp;"%"</f>
      </c>
    </row>
    <row x14ac:dyDescent="0.25" r="56" customHeight="1" ht="17.25">
      <c r="A56" s="17" t="s">
        <v>2519</v>
      </c>
      <c r="B56" s="17" t="s">
        <v>118</v>
      </c>
      <c r="C56" s="17" t="s">
        <v>114</v>
      </c>
      <c r="D56" s="17" t="s">
        <v>28</v>
      </c>
      <c r="E56" s="18">
        <f>ROUND(8851*1.05,2)</f>
      </c>
      <c r="F56" s="17" t="s">
        <v>29</v>
      </c>
      <c r="G56" s="17" t="s">
        <v>30</v>
      </c>
      <c r="H56" s="18">
        <f>ROUND(RAND()*4+6,1)</f>
      </c>
      <c r="I56" s="17" t="s">
        <v>31</v>
      </c>
      <c r="J56" s="19">
        <f>ROUND(84*1,0)&amp;"%"</f>
      </c>
    </row>
    <row x14ac:dyDescent="0.25" r="57" customHeight="1" ht="17.25">
      <c r="A57" s="20" t="s">
        <v>2520</v>
      </c>
      <c r="B57" s="20" t="s">
        <v>120</v>
      </c>
      <c r="C57" s="20" t="s">
        <v>114</v>
      </c>
      <c r="D57" s="20" t="s">
        <v>34</v>
      </c>
      <c r="E57" s="21">
        <f>ROUND(5826*1.05,2)</f>
      </c>
      <c r="F57" s="20" t="s">
        <v>35</v>
      </c>
      <c r="G57" s="20" t="s">
        <v>18</v>
      </c>
      <c r="H57" s="21">
        <f>ROUND(RAND()*4+6,1)</f>
      </c>
      <c r="I57" s="20" t="s">
        <v>36</v>
      </c>
      <c r="J57" s="23">
        <f>ROUND(62*1,0)&amp;"%"</f>
      </c>
    </row>
    <row x14ac:dyDescent="0.25" r="58" customHeight="1" ht="17.25">
      <c r="A58" s="17" t="s">
        <v>2521</v>
      </c>
      <c r="B58" s="17" t="s">
        <v>122</v>
      </c>
      <c r="C58" s="17" t="s">
        <v>114</v>
      </c>
      <c r="D58" s="17" t="s">
        <v>39</v>
      </c>
      <c r="E58" s="18">
        <f>ROUND(11918*1.05,2)</f>
      </c>
      <c r="F58" s="17" t="s">
        <v>40</v>
      </c>
      <c r="G58" s="17" t="s">
        <v>24</v>
      </c>
      <c r="H58" s="18">
        <f>ROUND(RAND()*4+6,1)</f>
      </c>
      <c r="I58" s="17" t="s">
        <v>41</v>
      </c>
      <c r="J58" s="19">
        <f>ROUND(67*1,0)&amp;"%"</f>
      </c>
    </row>
    <row x14ac:dyDescent="0.25" r="59" customHeight="1" ht="17.25">
      <c r="A59" s="20" t="s">
        <v>2522</v>
      </c>
      <c r="B59" s="20" t="s">
        <v>124</v>
      </c>
      <c r="C59" s="20" t="s">
        <v>114</v>
      </c>
      <c r="D59" s="20" t="s">
        <v>67</v>
      </c>
      <c r="E59" s="22">
        <f>ROUND(5060*1.05,2)</f>
      </c>
      <c r="F59" s="20" t="s">
        <v>44</v>
      </c>
      <c r="G59" s="20" t="s">
        <v>30</v>
      </c>
      <c r="H59" s="21">
        <f>ROUND(RAND()*4+6,1)</f>
      </c>
      <c r="I59" s="20" t="s">
        <v>45</v>
      </c>
      <c r="J59" s="23">
        <f>ROUND(68*1,0)&amp;"%"</f>
      </c>
    </row>
    <row x14ac:dyDescent="0.25" r="60" customHeight="1" ht="17.25">
      <c r="A60" s="17" t="s">
        <v>2523</v>
      </c>
      <c r="B60" s="17" t="s">
        <v>126</v>
      </c>
      <c r="C60" s="17" t="s">
        <v>114</v>
      </c>
      <c r="D60" s="17" t="s">
        <v>16</v>
      </c>
      <c r="E60" s="18">
        <f>ROUND(4808*1.05,2)</f>
      </c>
      <c r="F60" s="17" t="s">
        <v>48</v>
      </c>
      <c r="G60" s="17" t="s">
        <v>18</v>
      </c>
      <c r="H60" s="26">
        <f>ROUND(RAND()*4+6,1)</f>
      </c>
      <c r="I60" s="17" t="s">
        <v>19</v>
      </c>
      <c r="J60" s="19">
        <f>ROUND(81*1,0)&amp;"%"</f>
      </c>
    </row>
    <row x14ac:dyDescent="0.25" r="61" customHeight="1" ht="17.25">
      <c r="A61" s="20" t="s">
        <v>2524</v>
      </c>
      <c r="B61" s="20" t="s">
        <v>128</v>
      </c>
      <c r="C61" s="20" t="s">
        <v>114</v>
      </c>
      <c r="D61" s="20" t="s">
        <v>22</v>
      </c>
      <c r="E61" s="22">
        <f>ROUND(13900*1.05,2)</f>
      </c>
      <c r="F61" s="20" t="s">
        <v>51</v>
      </c>
      <c r="G61" s="20" t="s">
        <v>24</v>
      </c>
      <c r="H61" s="21">
        <f>ROUND(RAND()*4+6,1)</f>
      </c>
      <c r="I61" s="20" t="s">
        <v>25</v>
      </c>
      <c r="J61" s="23">
        <f>ROUND(90*1,0)&amp;"%"</f>
      </c>
    </row>
    <row x14ac:dyDescent="0.25" r="62" customHeight="1" ht="17.25">
      <c r="A62" s="24" t="s">
        <v>129</v>
      </c>
      <c r="B62" s="24"/>
      <c r="C62" s="24"/>
      <c r="D62" s="24"/>
      <c r="E62" s="25">
        <v>8</v>
      </c>
      <c r="F62" s="9"/>
      <c r="G62" s="9"/>
      <c r="H62" s="10"/>
      <c r="I62" s="9"/>
      <c r="J62" s="9"/>
    </row>
    <row x14ac:dyDescent="0.25" r="63" customHeight="1" ht="17.25">
      <c r="A63" s="7"/>
      <c r="B63" s="7"/>
      <c r="C63" s="7"/>
      <c r="D63" s="7"/>
      <c r="E63" s="8"/>
      <c r="F63" s="9"/>
      <c r="G63" s="9"/>
      <c r="H63" s="10"/>
      <c r="I63" s="9"/>
      <c r="J63" s="9"/>
    </row>
    <row x14ac:dyDescent="0.25" r="64" customHeight="1" ht="17.25">
      <c r="A64" s="11" t="s">
        <v>2525</v>
      </c>
      <c r="B64" s="11"/>
      <c r="C64" s="11"/>
      <c r="D64" s="11"/>
      <c r="E64" s="12"/>
      <c r="F64" s="11"/>
      <c r="G64" s="11"/>
      <c r="H64" s="13"/>
      <c r="I64" s="11"/>
      <c r="J64" s="11"/>
    </row>
    <row x14ac:dyDescent="0.25" r="65" customHeight="1" ht="17.25">
      <c r="A65" s="14" t="s">
        <v>3</v>
      </c>
      <c r="B65" s="14" t="s">
        <v>4</v>
      </c>
      <c r="C65" s="14" t="s">
        <v>5</v>
      </c>
      <c r="D65" s="14" t="s">
        <v>6</v>
      </c>
      <c r="E65" s="15" t="s">
        <v>7</v>
      </c>
      <c r="F65" s="14" t="s">
        <v>8</v>
      </c>
      <c r="G65" s="14" t="s">
        <v>9</v>
      </c>
      <c r="H65" s="16" t="s">
        <v>10</v>
      </c>
      <c r="I65" s="14" t="s">
        <v>11</v>
      </c>
      <c r="J65" s="14" t="s">
        <v>12</v>
      </c>
    </row>
    <row x14ac:dyDescent="0.25" r="66" customHeight="1" ht="17.25">
      <c r="A66" s="17" t="s">
        <v>2526</v>
      </c>
      <c r="B66" s="17" t="s">
        <v>132</v>
      </c>
      <c r="C66" s="17" t="s">
        <v>133</v>
      </c>
      <c r="D66" s="17" t="s">
        <v>16</v>
      </c>
      <c r="E66" s="18">
        <f>ROUND(11074*1.05,2)</f>
      </c>
      <c r="F66" s="17" t="s">
        <v>17</v>
      </c>
      <c r="G66" s="17" t="s">
        <v>18</v>
      </c>
      <c r="H66" s="18">
        <f>ROUND(RAND()*4+6,1)</f>
      </c>
      <c r="I66" s="17" t="s">
        <v>19</v>
      </c>
      <c r="J66" s="19">
        <f>ROUND(84*1,0)&amp;"%"</f>
      </c>
    </row>
    <row x14ac:dyDescent="0.25" r="67" customHeight="1" ht="17.25">
      <c r="A67" s="20" t="s">
        <v>2527</v>
      </c>
      <c r="B67" s="20" t="s">
        <v>135</v>
      </c>
      <c r="C67" s="20" t="s">
        <v>133</v>
      </c>
      <c r="D67" s="20" t="s">
        <v>22</v>
      </c>
      <c r="E67" s="21">
        <f>ROUND(13292*1.05,2)</f>
      </c>
      <c r="F67" s="20" t="s">
        <v>23</v>
      </c>
      <c r="G67" s="20" t="s">
        <v>24</v>
      </c>
      <c r="H67" s="21">
        <f>ROUND(RAND()*4+6,1)</f>
      </c>
      <c r="I67" s="20" t="s">
        <v>25</v>
      </c>
      <c r="J67" s="23">
        <f>ROUND(65*1,0)&amp;"%"</f>
      </c>
    </row>
    <row x14ac:dyDescent="0.25" r="68" customHeight="1" ht="17.25">
      <c r="A68" s="17" t="s">
        <v>2528</v>
      </c>
      <c r="B68" s="17" t="s">
        <v>137</v>
      </c>
      <c r="C68" s="17" t="s">
        <v>133</v>
      </c>
      <c r="D68" s="17" t="s">
        <v>28</v>
      </c>
      <c r="E68" s="18">
        <f>ROUND(12362*1.05,2)</f>
      </c>
      <c r="F68" s="17" t="s">
        <v>29</v>
      </c>
      <c r="G68" s="17" t="s">
        <v>30</v>
      </c>
      <c r="H68" s="18">
        <f>ROUND(RAND()*4+6,1)</f>
      </c>
      <c r="I68" s="17" t="s">
        <v>31</v>
      </c>
      <c r="J68" s="19">
        <f>ROUND(69*1,0)&amp;"%"</f>
      </c>
    </row>
    <row x14ac:dyDescent="0.25" r="69" customHeight="1" ht="17.25">
      <c r="A69" s="20" t="s">
        <v>2529</v>
      </c>
      <c r="B69" s="20" t="s">
        <v>139</v>
      </c>
      <c r="C69" s="20" t="s">
        <v>133</v>
      </c>
      <c r="D69" s="20" t="s">
        <v>34</v>
      </c>
      <c r="E69" s="21">
        <f>ROUND(9723*1.05,2)</f>
      </c>
      <c r="F69" s="20" t="s">
        <v>35</v>
      </c>
      <c r="G69" s="20" t="s">
        <v>18</v>
      </c>
      <c r="H69" s="21">
        <f>ROUND(RAND()*4+6,1)</f>
      </c>
      <c r="I69" s="20" t="s">
        <v>36</v>
      </c>
      <c r="J69" s="23">
        <f>ROUND(88*1,0)&amp;"%"</f>
      </c>
    </row>
    <row x14ac:dyDescent="0.25" r="70" customHeight="1" ht="17.25">
      <c r="A70" s="17" t="s">
        <v>2530</v>
      </c>
      <c r="B70" s="17" t="s">
        <v>141</v>
      </c>
      <c r="C70" s="17" t="s">
        <v>133</v>
      </c>
      <c r="D70" s="17" t="s">
        <v>39</v>
      </c>
      <c r="E70" s="26">
        <f>ROUND(4620*1.05,2)</f>
      </c>
      <c r="F70" s="17" t="s">
        <v>40</v>
      </c>
      <c r="G70" s="17" t="s">
        <v>24</v>
      </c>
      <c r="H70" s="18">
        <f>ROUND(RAND()*4+6,1)</f>
      </c>
      <c r="I70" s="17" t="s">
        <v>41</v>
      </c>
      <c r="J70" s="19">
        <f>ROUND(96*1,0)&amp;"%"</f>
      </c>
    </row>
    <row x14ac:dyDescent="0.25" r="71" customHeight="1" ht="17.25">
      <c r="A71" s="20" t="s">
        <v>2531</v>
      </c>
      <c r="B71" s="20" t="s">
        <v>143</v>
      </c>
      <c r="C71" s="20" t="s">
        <v>133</v>
      </c>
      <c r="D71" s="20" t="s">
        <v>67</v>
      </c>
      <c r="E71" s="21">
        <f>ROUND(13133*1.05,2)</f>
      </c>
      <c r="F71" s="20" t="s">
        <v>44</v>
      </c>
      <c r="G71" s="20" t="s">
        <v>30</v>
      </c>
      <c r="H71" s="21">
        <f>ROUND(RAND()*4+6,1)</f>
      </c>
      <c r="I71" s="20" t="s">
        <v>45</v>
      </c>
      <c r="J71" s="23">
        <f>ROUND(62*1,0)&amp;"%"</f>
      </c>
    </row>
    <row x14ac:dyDescent="0.25" r="72" customHeight="1" ht="17.25">
      <c r="A72" s="17" t="s">
        <v>2532</v>
      </c>
      <c r="B72" s="17" t="s">
        <v>145</v>
      </c>
      <c r="C72" s="17" t="s">
        <v>133</v>
      </c>
      <c r="D72" s="17" t="s">
        <v>16</v>
      </c>
      <c r="E72" s="26">
        <f>ROUND(6260*1.05,2)</f>
      </c>
      <c r="F72" s="17" t="s">
        <v>48</v>
      </c>
      <c r="G72" s="17" t="s">
        <v>18</v>
      </c>
      <c r="H72" s="18">
        <f>ROUND(RAND()*4+6,1)</f>
      </c>
      <c r="I72" s="17" t="s">
        <v>19</v>
      </c>
      <c r="J72" s="19">
        <f>ROUND(80*1,0)&amp;"%"</f>
      </c>
    </row>
    <row x14ac:dyDescent="0.25" r="73" customHeight="1" ht="17.25">
      <c r="A73" s="20" t="s">
        <v>2533</v>
      </c>
      <c r="B73" s="20" t="s">
        <v>147</v>
      </c>
      <c r="C73" s="20" t="s">
        <v>133</v>
      </c>
      <c r="D73" s="20" t="s">
        <v>22</v>
      </c>
      <c r="E73" s="21">
        <f>ROUND(8319*1.05,2)</f>
      </c>
      <c r="F73" s="20" t="s">
        <v>51</v>
      </c>
      <c r="G73" s="20" t="s">
        <v>24</v>
      </c>
      <c r="H73" s="21">
        <f>ROUND(RAND()*4+6,1)</f>
      </c>
      <c r="I73" s="20" t="s">
        <v>25</v>
      </c>
      <c r="J73" s="23">
        <f>ROUND(93*1,0)&amp;"%"</f>
      </c>
    </row>
    <row x14ac:dyDescent="0.25" r="74" customHeight="1" ht="17.25">
      <c r="A74" s="24" t="s">
        <v>148</v>
      </c>
      <c r="B74" s="24"/>
      <c r="C74" s="24"/>
      <c r="D74" s="24"/>
      <c r="E74" s="25">
        <v>8</v>
      </c>
      <c r="F74" s="9"/>
      <c r="G74" s="9"/>
      <c r="H74" s="10"/>
      <c r="I74" s="9"/>
      <c r="J74" s="9"/>
    </row>
    <row x14ac:dyDescent="0.25" r="75" customHeight="1" ht="17.25">
      <c r="A75" s="7"/>
      <c r="B75" s="7"/>
      <c r="C75" s="7"/>
      <c r="D75" s="7"/>
      <c r="E75" s="8"/>
      <c r="F75" s="9"/>
      <c r="G75" s="9"/>
      <c r="H75" s="10"/>
      <c r="I75" s="9"/>
      <c r="J75" s="9"/>
    </row>
    <row x14ac:dyDescent="0.25" r="76" customHeight="1" ht="17.25">
      <c r="A76" s="11" t="s">
        <v>2534</v>
      </c>
      <c r="B76" s="11"/>
      <c r="C76" s="11"/>
      <c r="D76" s="11"/>
      <c r="E76" s="12"/>
      <c r="F76" s="11"/>
      <c r="G76" s="11"/>
      <c r="H76" s="13"/>
      <c r="I76" s="11"/>
      <c r="J76" s="11"/>
    </row>
    <row x14ac:dyDescent="0.25" r="77" customHeight="1" ht="17.25">
      <c r="A77" s="14" t="s">
        <v>3</v>
      </c>
      <c r="B77" s="14" t="s">
        <v>4</v>
      </c>
      <c r="C77" s="14" t="s">
        <v>5</v>
      </c>
      <c r="D77" s="14" t="s">
        <v>6</v>
      </c>
      <c r="E77" s="15" t="s">
        <v>7</v>
      </c>
      <c r="F77" s="14" t="s">
        <v>8</v>
      </c>
      <c r="G77" s="14" t="s">
        <v>9</v>
      </c>
      <c r="H77" s="16" t="s">
        <v>10</v>
      </c>
      <c r="I77" s="14" t="s">
        <v>11</v>
      </c>
      <c r="J77" s="14" t="s">
        <v>12</v>
      </c>
    </row>
    <row x14ac:dyDescent="0.25" r="78" customHeight="1" ht="17.25">
      <c r="A78" s="17" t="s">
        <v>2535</v>
      </c>
      <c r="B78" s="17" t="s">
        <v>151</v>
      </c>
      <c r="C78" s="17" t="s">
        <v>152</v>
      </c>
      <c r="D78" s="17" t="s">
        <v>16</v>
      </c>
      <c r="E78" s="18">
        <f>ROUND(17225*1.05,2)</f>
      </c>
      <c r="F78" s="17" t="s">
        <v>17</v>
      </c>
      <c r="G78" s="17" t="s">
        <v>18</v>
      </c>
      <c r="H78" s="18">
        <f>ROUND(RAND()*4+6,1)</f>
      </c>
      <c r="I78" s="17" t="s">
        <v>19</v>
      </c>
      <c r="J78" s="19">
        <f>ROUND(63*1,0)&amp;"%"</f>
      </c>
    </row>
    <row x14ac:dyDescent="0.25" r="79" customHeight="1" ht="17.25">
      <c r="A79" s="20" t="s">
        <v>2536</v>
      </c>
      <c r="B79" s="20" t="s">
        <v>154</v>
      </c>
      <c r="C79" s="20" t="s">
        <v>152</v>
      </c>
      <c r="D79" s="20" t="s">
        <v>22</v>
      </c>
      <c r="E79" s="22">
        <f>ROUND(8860*1.05,2)</f>
      </c>
      <c r="F79" s="20" t="s">
        <v>23</v>
      </c>
      <c r="G79" s="20" t="s">
        <v>24</v>
      </c>
      <c r="H79" s="21">
        <f>ROUND(RAND()*4+6,1)</f>
      </c>
      <c r="I79" s="20" t="s">
        <v>25</v>
      </c>
      <c r="J79" s="23">
        <f>ROUND(83*1,0)&amp;"%"</f>
      </c>
    </row>
    <row x14ac:dyDescent="0.25" r="80" customHeight="1" ht="17.25">
      <c r="A80" s="17" t="s">
        <v>2537</v>
      </c>
      <c r="B80" s="17" t="s">
        <v>156</v>
      </c>
      <c r="C80" s="17" t="s">
        <v>152</v>
      </c>
      <c r="D80" s="17" t="s">
        <v>28</v>
      </c>
      <c r="E80" s="26">
        <f>ROUND(10560*1.05,2)</f>
      </c>
      <c r="F80" s="17" t="s">
        <v>29</v>
      </c>
      <c r="G80" s="17" t="s">
        <v>30</v>
      </c>
      <c r="H80" s="26">
        <f>ROUND(RAND()*4+6,1)</f>
      </c>
      <c r="I80" s="17" t="s">
        <v>31</v>
      </c>
      <c r="J80" s="19">
        <f>ROUND(78*1,0)&amp;"%"</f>
      </c>
    </row>
    <row x14ac:dyDescent="0.25" r="81" customHeight="1" ht="17.25">
      <c r="A81" s="20" t="s">
        <v>2538</v>
      </c>
      <c r="B81" s="20" t="s">
        <v>158</v>
      </c>
      <c r="C81" s="20" t="s">
        <v>152</v>
      </c>
      <c r="D81" s="20" t="s">
        <v>34</v>
      </c>
      <c r="E81" s="21">
        <f>ROUND(11758*1.05,2)</f>
      </c>
      <c r="F81" s="20" t="s">
        <v>35</v>
      </c>
      <c r="G81" s="20" t="s">
        <v>18</v>
      </c>
      <c r="H81" s="21">
        <f>ROUND(RAND()*4+6,1)</f>
      </c>
      <c r="I81" s="20" t="s">
        <v>36</v>
      </c>
      <c r="J81" s="23">
        <f>ROUND(87*1,0)&amp;"%"</f>
      </c>
    </row>
    <row x14ac:dyDescent="0.25" r="82" customHeight="1" ht="17.25">
      <c r="A82" s="17" t="s">
        <v>2539</v>
      </c>
      <c r="B82" s="17" t="s">
        <v>160</v>
      </c>
      <c r="C82" s="17" t="s">
        <v>152</v>
      </c>
      <c r="D82" s="17" t="s">
        <v>39</v>
      </c>
      <c r="E82" s="18">
        <f>ROUND(10493*1.05,2)</f>
      </c>
      <c r="F82" s="17" t="s">
        <v>40</v>
      </c>
      <c r="G82" s="17" t="s">
        <v>24</v>
      </c>
      <c r="H82" s="18">
        <f>ROUND(RAND()*4+6,1)</f>
      </c>
      <c r="I82" s="17" t="s">
        <v>41</v>
      </c>
      <c r="J82" s="19">
        <f>ROUND(78*1,0)&amp;"%"</f>
      </c>
    </row>
    <row x14ac:dyDescent="0.25" r="83" customHeight="1" ht="17.25">
      <c r="A83" s="20" t="s">
        <v>2540</v>
      </c>
      <c r="B83" s="20" t="s">
        <v>162</v>
      </c>
      <c r="C83" s="20" t="s">
        <v>152</v>
      </c>
      <c r="D83" s="20" t="s">
        <v>67</v>
      </c>
      <c r="E83" s="21">
        <f>ROUND(16336*1.05,2)</f>
      </c>
      <c r="F83" s="20" t="s">
        <v>44</v>
      </c>
      <c r="G83" s="20" t="s">
        <v>30</v>
      </c>
      <c r="H83" s="21">
        <f>ROUND(RAND()*4+6,1)</f>
      </c>
      <c r="I83" s="20" t="s">
        <v>45</v>
      </c>
      <c r="J83" s="23">
        <f>ROUND(68*1,0)&amp;"%"</f>
      </c>
    </row>
    <row x14ac:dyDescent="0.25" r="84" customHeight="1" ht="17.25">
      <c r="A84" s="17" t="s">
        <v>2541</v>
      </c>
      <c r="B84" s="17" t="s">
        <v>164</v>
      </c>
      <c r="C84" s="17" t="s">
        <v>152</v>
      </c>
      <c r="D84" s="17" t="s">
        <v>16</v>
      </c>
      <c r="E84" s="18">
        <f>ROUND(4533*1.05,2)</f>
      </c>
      <c r="F84" s="17" t="s">
        <v>48</v>
      </c>
      <c r="G84" s="17" t="s">
        <v>18</v>
      </c>
      <c r="H84" s="18">
        <f>ROUND(RAND()*4+6,1)</f>
      </c>
      <c r="I84" s="17" t="s">
        <v>19</v>
      </c>
      <c r="J84" s="19">
        <f>ROUND(73*1,0)&amp;"%"</f>
      </c>
    </row>
    <row x14ac:dyDescent="0.25" r="85" customHeight="1" ht="17.25">
      <c r="A85" s="20" t="s">
        <v>2542</v>
      </c>
      <c r="B85" s="20" t="s">
        <v>166</v>
      </c>
      <c r="C85" s="20" t="s">
        <v>152</v>
      </c>
      <c r="D85" s="20" t="s">
        <v>22</v>
      </c>
      <c r="E85" s="21">
        <f>ROUND(6282*1.05,2)</f>
      </c>
      <c r="F85" s="20" t="s">
        <v>51</v>
      </c>
      <c r="G85" s="20" t="s">
        <v>24</v>
      </c>
      <c r="H85" s="21">
        <f>ROUND(RAND()*4+6,1)</f>
      </c>
      <c r="I85" s="20" t="s">
        <v>25</v>
      </c>
      <c r="J85" s="23">
        <f>ROUND(87*1,0)&amp;"%"</f>
      </c>
    </row>
    <row x14ac:dyDescent="0.25" r="86" customHeight="1" ht="17.25">
      <c r="A86" s="24" t="s">
        <v>167</v>
      </c>
      <c r="B86" s="24"/>
      <c r="C86" s="24"/>
      <c r="D86" s="24"/>
      <c r="E86" s="25">
        <v>8</v>
      </c>
      <c r="F86" s="9"/>
      <c r="G86" s="9"/>
      <c r="H86" s="10"/>
      <c r="I86" s="9"/>
      <c r="J86" s="9"/>
    </row>
    <row x14ac:dyDescent="0.25" r="87" customHeight="1" ht="17.25">
      <c r="A87" s="7"/>
      <c r="B87" s="7"/>
      <c r="C87" s="7"/>
      <c r="D87" s="7"/>
      <c r="E87" s="8"/>
      <c r="F87" s="9"/>
      <c r="G87" s="9"/>
      <c r="H87" s="10"/>
      <c r="I87" s="9"/>
      <c r="J87" s="9"/>
    </row>
    <row x14ac:dyDescent="0.25" r="88" customHeight="1" ht="17.25">
      <c r="A88" s="11" t="s">
        <v>2543</v>
      </c>
      <c r="B88" s="11"/>
      <c r="C88" s="11"/>
      <c r="D88" s="11"/>
      <c r="E88" s="12"/>
      <c r="F88" s="11"/>
      <c r="G88" s="11"/>
      <c r="H88" s="13"/>
      <c r="I88" s="11"/>
      <c r="J88" s="11"/>
    </row>
    <row x14ac:dyDescent="0.25" r="89" customHeight="1" ht="17.25">
      <c r="A89" s="14" t="s">
        <v>3</v>
      </c>
      <c r="B89" s="14" t="s">
        <v>4</v>
      </c>
      <c r="C89" s="14" t="s">
        <v>5</v>
      </c>
      <c r="D89" s="14" t="s">
        <v>6</v>
      </c>
      <c r="E89" s="15" t="s">
        <v>7</v>
      </c>
      <c r="F89" s="14" t="s">
        <v>8</v>
      </c>
      <c r="G89" s="14" t="s">
        <v>9</v>
      </c>
      <c r="H89" s="16" t="s">
        <v>10</v>
      </c>
      <c r="I89" s="14" t="s">
        <v>11</v>
      </c>
      <c r="J89" s="14" t="s">
        <v>12</v>
      </c>
    </row>
    <row x14ac:dyDescent="0.25" r="90" customHeight="1" ht="17.25">
      <c r="A90" s="17" t="s">
        <v>2544</v>
      </c>
      <c r="B90" s="17" t="s">
        <v>170</v>
      </c>
      <c r="C90" s="17" t="s">
        <v>15</v>
      </c>
      <c r="D90" s="17" t="s">
        <v>16</v>
      </c>
      <c r="E90" s="18">
        <f>ROUND(9061*1.05,2)</f>
      </c>
      <c r="F90" s="17" t="s">
        <v>17</v>
      </c>
      <c r="G90" s="17" t="s">
        <v>18</v>
      </c>
      <c r="H90" s="18">
        <f>ROUND(RAND()*4+6,1)</f>
      </c>
      <c r="I90" s="17" t="s">
        <v>19</v>
      </c>
      <c r="J90" s="19">
        <f>ROUND(74*1,0)&amp;"%"</f>
      </c>
    </row>
    <row x14ac:dyDescent="0.25" r="91" customHeight="1" ht="17.25">
      <c r="A91" s="20" t="s">
        <v>2545</v>
      </c>
      <c r="B91" s="20" t="s">
        <v>172</v>
      </c>
      <c r="C91" s="20" t="s">
        <v>15</v>
      </c>
      <c r="D91" s="20" t="s">
        <v>22</v>
      </c>
      <c r="E91" s="21">
        <f>ROUND(9261*1.05,2)</f>
      </c>
      <c r="F91" s="20" t="s">
        <v>23</v>
      </c>
      <c r="G91" s="20" t="s">
        <v>24</v>
      </c>
      <c r="H91" s="21">
        <f>ROUND(RAND()*4+6,1)</f>
      </c>
      <c r="I91" s="20" t="s">
        <v>25</v>
      </c>
      <c r="J91" s="23">
        <f>ROUND(86*1,0)&amp;"%"</f>
      </c>
    </row>
    <row x14ac:dyDescent="0.25" r="92" customHeight="1" ht="17.25">
      <c r="A92" s="17" t="s">
        <v>2546</v>
      </c>
      <c r="B92" s="17" t="s">
        <v>174</v>
      </c>
      <c r="C92" s="17" t="s">
        <v>15</v>
      </c>
      <c r="D92" s="17" t="s">
        <v>28</v>
      </c>
      <c r="E92" s="18">
        <f>ROUND(13788*1.05,2)</f>
      </c>
      <c r="F92" s="17" t="s">
        <v>29</v>
      </c>
      <c r="G92" s="17" t="s">
        <v>30</v>
      </c>
      <c r="H92" s="18">
        <f>ROUND(RAND()*4+6,1)</f>
      </c>
      <c r="I92" s="17" t="s">
        <v>31</v>
      </c>
      <c r="J92" s="19">
        <f>ROUND(69*1,0)&amp;"%"</f>
      </c>
    </row>
    <row x14ac:dyDescent="0.25" r="93" customHeight="1" ht="17.25">
      <c r="A93" s="20" t="s">
        <v>2547</v>
      </c>
      <c r="B93" s="20" t="s">
        <v>176</v>
      </c>
      <c r="C93" s="20" t="s">
        <v>15</v>
      </c>
      <c r="D93" s="20" t="s">
        <v>34</v>
      </c>
      <c r="E93" s="21">
        <f>ROUND(12538*1.05,2)</f>
      </c>
      <c r="F93" s="20" t="s">
        <v>35</v>
      </c>
      <c r="G93" s="20" t="s">
        <v>18</v>
      </c>
      <c r="H93" s="21">
        <f>ROUND(RAND()*4+6,1)</f>
      </c>
      <c r="I93" s="20" t="s">
        <v>36</v>
      </c>
      <c r="J93" s="23">
        <f>ROUND(98*1,0)&amp;"%"</f>
      </c>
    </row>
    <row x14ac:dyDescent="0.25" r="94" customHeight="1" ht="17.25">
      <c r="A94" s="17" t="s">
        <v>2548</v>
      </c>
      <c r="B94" s="17" t="s">
        <v>178</v>
      </c>
      <c r="C94" s="17" t="s">
        <v>15</v>
      </c>
      <c r="D94" s="17" t="s">
        <v>39</v>
      </c>
      <c r="E94" s="18">
        <f>ROUND(5412*1.05,2)</f>
      </c>
      <c r="F94" s="17" t="s">
        <v>40</v>
      </c>
      <c r="G94" s="17" t="s">
        <v>24</v>
      </c>
      <c r="H94" s="26">
        <f>ROUND(RAND()*4+6,1)</f>
      </c>
      <c r="I94" s="17" t="s">
        <v>41</v>
      </c>
      <c r="J94" s="19">
        <f>ROUND(60*1,0)&amp;"%"</f>
      </c>
    </row>
    <row x14ac:dyDescent="0.25" r="95" customHeight="1" ht="17.25">
      <c r="A95" s="20" t="s">
        <v>2549</v>
      </c>
      <c r="B95" s="20" t="s">
        <v>180</v>
      </c>
      <c r="C95" s="20" t="s">
        <v>15</v>
      </c>
      <c r="D95" s="20" t="s">
        <v>67</v>
      </c>
      <c r="E95" s="21">
        <f>ROUND(10762*1.05,2)</f>
      </c>
      <c r="F95" s="20" t="s">
        <v>44</v>
      </c>
      <c r="G95" s="20" t="s">
        <v>30</v>
      </c>
      <c r="H95" s="21">
        <f>ROUND(RAND()*4+6,1)</f>
      </c>
      <c r="I95" s="20" t="s">
        <v>45</v>
      </c>
      <c r="J95" s="23">
        <f>ROUND(95*1,0)&amp;"%"</f>
      </c>
    </row>
    <row x14ac:dyDescent="0.25" r="96" customHeight="1" ht="17.25">
      <c r="A96" s="17" t="s">
        <v>2550</v>
      </c>
      <c r="B96" s="17" t="s">
        <v>182</v>
      </c>
      <c r="C96" s="17" t="s">
        <v>15</v>
      </c>
      <c r="D96" s="17" t="s">
        <v>16</v>
      </c>
      <c r="E96" s="18">
        <f>ROUND(16286*1.05,2)</f>
      </c>
      <c r="F96" s="17" t="s">
        <v>48</v>
      </c>
      <c r="G96" s="17" t="s">
        <v>18</v>
      </c>
      <c r="H96" s="18">
        <f>ROUND(RAND()*4+6,1)</f>
      </c>
      <c r="I96" s="17" t="s">
        <v>19</v>
      </c>
      <c r="J96" s="19">
        <f>ROUND(89*1,0)&amp;"%"</f>
      </c>
    </row>
    <row x14ac:dyDescent="0.25" r="97" customHeight="1" ht="17.25">
      <c r="A97" s="20" t="s">
        <v>2551</v>
      </c>
      <c r="B97" s="20" t="s">
        <v>184</v>
      </c>
      <c r="C97" s="20" t="s">
        <v>15</v>
      </c>
      <c r="D97" s="20" t="s">
        <v>22</v>
      </c>
      <c r="E97" s="21">
        <f>ROUND(10638*1.05,2)</f>
      </c>
      <c r="F97" s="20" t="s">
        <v>51</v>
      </c>
      <c r="G97" s="20" t="s">
        <v>24</v>
      </c>
      <c r="H97" s="21">
        <f>ROUND(RAND()*4+6,1)</f>
      </c>
      <c r="I97" s="20" t="s">
        <v>25</v>
      </c>
      <c r="J97" s="23">
        <f>ROUND(72*1,0)&amp;"%"</f>
      </c>
    </row>
    <row x14ac:dyDescent="0.25" r="98" customHeight="1" ht="17.25">
      <c r="A98" s="24" t="s">
        <v>185</v>
      </c>
      <c r="B98" s="24"/>
      <c r="C98" s="24"/>
      <c r="D98" s="24"/>
      <c r="E98" s="25">
        <v>8</v>
      </c>
      <c r="F98" s="9"/>
      <c r="G98" s="9"/>
      <c r="H98" s="10"/>
      <c r="I98" s="9"/>
      <c r="J98" s="9"/>
    </row>
    <row x14ac:dyDescent="0.25" r="99" customHeight="1" ht="17.25">
      <c r="A99" s="7"/>
      <c r="B99" s="7"/>
      <c r="C99" s="7"/>
      <c r="D99" s="7"/>
      <c r="E99" s="8"/>
      <c r="F99" s="9"/>
      <c r="G99" s="9"/>
      <c r="H99" s="10"/>
      <c r="I99" s="9"/>
      <c r="J99" s="9"/>
    </row>
    <row x14ac:dyDescent="0.25" r="100" customHeight="1" ht="17.25">
      <c r="A100" s="11" t="s">
        <v>2552</v>
      </c>
      <c r="B100" s="11"/>
      <c r="C100" s="11"/>
      <c r="D100" s="11"/>
      <c r="E100" s="12"/>
      <c r="F100" s="11"/>
      <c r="G100" s="11"/>
      <c r="H100" s="13"/>
      <c r="I100" s="11"/>
      <c r="J100" s="11"/>
    </row>
    <row x14ac:dyDescent="0.25" r="101" customHeight="1" ht="17.25">
      <c r="A101" s="14" t="s">
        <v>3</v>
      </c>
      <c r="B101" s="14" t="s">
        <v>4</v>
      </c>
      <c r="C101" s="14" t="s">
        <v>5</v>
      </c>
      <c r="D101" s="14" t="s">
        <v>6</v>
      </c>
      <c r="E101" s="15" t="s">
        <v>7</v>
      </c>
      <c r="F101" s="14" t="s">
        <v>8</v>
      </c>
      <c r="G101" s="14" t="s">
        <v>9</v>
      </c>
      <c r="H101" s="16" t="s">
        <v>10</v>
      </c>
      <c r="I101" s="14" t="s">
        <v>11</v>
      </c>
      <c r="J101" s="14" t="s">
        <v>12</v>
      </c>
    </row>
    <row x14ac:dyDescent="0.25" r="102" customHeight="1" ht="17.25">
      <c r="A102" s="17" t="s">
        <v>2553</v>
      </c>
      <c r="B102" s="17" t="s">
        <v>188</v>
      </c>
      <c r="C102" s="17" t="s">
        <v>56</v>
      </c>
      <c r="D102" s="17" t="s">
        <v>16</v>
      </c>
      <c r="E102" s="18">
        <f>ROUND(8510*1.05,2)</f>
      </c>
      <c r="F102" s="17" t="s">
        <v>17</v>
      </c>
      <c r="G102" s="17" t="s">
        <v>18</v>
      </c>
      <c r="H102" s="18">
        <f>ROUND(RAND()*4+6,1)</f>
      </c>
      <c r="I102" s="17" t="s">
        <v>19</v>
      </c>
      <c r="J102" s="19">
        <f>ROUND(70*1,0)&amp;"%"</f>
      </c>
    </row>
    <row x14ac:dyDescent="0.25" r="103" customHeight="1" ht="17.25">
      <c r="A103" s="20" t="s">
        <v>2554</v>
      </c>
      <c r="B103" s="20" t="s">
        <v>190</v>
      </c>
      <c r="C103" s="20" t="s">
        <v>56</v>
      </c>
      <c r="D103" s="20" t="s">
        <v>22</v>
      </c>
      <c r="E103" s="21">
        <f>ROUND(13005*1.05,2)</f>
      </c>
      <c r="F103" s="20" t="s">
        <v>23</v>
      </c>
      <c r="G103" s="20" t="s">
        <v>24</v>
      </c>
      <c r="H103" s="22">
        <f>ROUND(RAND()*4+6,1)</f>
      </c>
      <c r="I103" s="20" t="s">
        <v>25</v>
      </c>
      <c r="J103" s="23">
        <f>ROUND(74*1,0)&amp;"%"</f>
      </c>
    </row>
    <row x14ac:dyDescent="0.25" r="104" customHeight="1" ht="17.25">
      <c r="A104" s="17" t="s">
        <v>2555</v>
      </c>
      <c r="B104" s="17" t="s">
        <v>192</v>
      </c>
      <c r="C104" s="17" t="s">
        <v>56</v>
      </c>
      <c r="D104" s="17" t="s">
        <v>28</v>
      </c>
      <c r="E104" s="18">
        <f>ROUND(6967*1.05,2)</f>
      </c>
      <c r="F104" s="17" t="s">
        <v>29</v>
      </c>
      <c r="G104" s="17" t="s">
        <v>30</v>
      </c>
      <c r="H104" s="18">
        <f>ROUND(RAND()*4+6,1)</f>
      </c>
      <c r="I104" s="17" t="s">
        <v>31</v>
      </c>
      <c r="J104" s="19">
        <f>ROUND(80*1,0)&amp;"%"</f>
      </c>
    </row>
    <row x14ac:dyDescent="0.25" r="105" customHeight="1" ht="17.25">
      <c r="A105" s="20" t="s">
        <v>2556</v>
      </c>
      <c r="B105" s="20" t="s">
        <v>194</v>
      </c>
      <c r="C105" s="20" t="s">
        <v>56</v>
      </c>
      <c r="D105" s="20" t="s">
        <v>34</v>
      </c>
      <c r="E105" s="21">
        <f>ROUND(10484*1.05,2)</f>
      </c>
      <c r="F105" s="20" t="s">
        <v>35</v>
      </c>
      <c r="G105" s="20" t="s">
        <v>18</v>
      </c>
      <c r="H105" s="21">
        <f>ROUND(RAND()*4+6,1)</f>
      </c>
      <c r="I105" s="20" t="s">
        <v>36</v>
      </c>
      <c r="J105" s="23">
        <f>ROUND(94*1,0)&amp;"%"</f>
      </c>
    </row>
    <row x14ac:dyDescent="0.25" r="106" customHeight="1" ht="17.25">
      <c r="A106" s="17" t="s">
        <v>2557</v>
      </c>
      <c r="B106" s="17" t="s">
        <v>196</v>
      </c>
      <c r="C106" s="17" t="s">
        <v>56</v>
      </c>
      <c r="D106" s="17" t="s">
        <v>39</v>
      </c>
      <c r="E106" s="18">
        <f>ROUND(16628*1.05,2)</f>
      </c>
      <c r="F106" s="17" t="s">
        <v>40</v>
      </c>
      <c r="G106" s="17" t="s">
        <v>24</v>
      </c>
      <c r="H106" s="18">
        <f>ROUND(RAND()*4+6,1)</f>
      </c>
      <c r="I106" s="17" t="s">
        <v>41</v>
      </c>
      <c r="J106" s="19">
        <f>ROUND(76*1,0)&amp;"%"</f>
      </c>
    </row>
    <row x14ac:dyDescent="0.25" r="107" customHeight="1" ht="17.25">
      <c r="A107" s="20" t="s">
        <v>2558</v>
      </c>
      <c r="B107" s="20" t="s">
        <v>198</v>
      </c>
      <c r="C107" s="20" t="s">
        <v>56</v>
      </c>
      <c r="D107" s="20" t="s">
        <v>67</v>
      </c>
      <c r="E107" s="21">
        <f>ROUND(11193*1.05,2)</f>
      </c>
      <c r="F107" s="20" t="s">
        <v>44</v>
      </c>
      <c r="G107" s="20" t="s">
        <v>30</v>
      </c>
      <c r="H107" s="22">
        <f>ROUND(RAND()*4+6,1)</f>
      </c>
      <c r="I107" s="20" t="s">
        <v>45</v>
      </c>
      <c r="J107" s="23">
        <f>ROUND(71*1,0)&amp;"%"</f>
      </c>
    </row>
    <row x14ac:dyDescent="0.25" r="108" customHeight="1" ht="17.25">
      <c r="A108" s="17" t="s">
        <v>2559</v>
      </c>
      <c r="B108" s="17" t="s">
        <v>200</v>
      </c>
      <c r="C108" s="17" t="s">
        <v>56</v>
      </c>
      <c r="D108" s="17" t="s">
        <v>16</v>
      </c>
      <c r="E108" s="18">
        <f>ROUND(8450*1.05,2)</f>
      </c>
      <c r="F108" s="17" t="s">
        <v>48</v>
      </c>
      <c r="G108" s="17" t="s">
        <v>18</v>
      </c>
      <c r="H108" s="18">
        <f>ROUND(RAND()*4+6,1)</f>
      </c>
      <c r="I108" s="17" t="s">
        <v>19</v>
      </c>
      <c r="J108" s="19">
        <f>ROUND(90*1,0)&amp;"%"</f>
      </c>
    </row>
    <row x14ac:dyDescent="0.25" r="109" customHeight="1" ht="17.25">
      <c r="A109" s="20" t="s">
        <v>2560</v>
      </c>
      <c r="B109" s="20" t="s">
        <v>202</v>
      </c>
      <c r="C109" s="20" t="s">
        <v>56</v>
      </c>
      <c r="D109" s="20" t="s">
        <v>22</v>
      </c>
      <c r="E109" s="21">
        <f>ROUND(13794*1.05,2)</f>
      </c>
      <c r="F109" s="20" t="s">
        <v>51</v>
      </c>
      <c r="G109" s="20" t="s">
        <v>24</v>
      </c>
      <c r="H109" s="21">
        <f>ROUND(RAND()*4+6,1)</f>
      </c>
      <c r="I109" s="20" t="s">
        <v>25</v>
      </c>
      <c r="J109" s="23">
        <f>ROUND(95*1,0)&amp;"%"</f>
      </c>
    </row>
    <row x14ac:dyDescent="0.25" r="110" customHeight="1" ht="17.25">
      <c r="A110" s="24" t="s">
        <v>203</v>
      </c>
      <c r="B110" s="24"/>
      <c r="C110" s="24"/>
      <c r="D110" s="24"/>
      <c r="E110" s="25">
        <v>8</v>
      </c>
      <c r="F110" s="9"/>
      <c r="G110" s="9"/>
      <c r="H110" s="10"/>
      <c r="I110" s="9"/>
      <c r="J110" s="9"/>
    </row>
    <row x14ac:dyDescent="0.25" r="111" customHeight="1" ht="17.25">
      <c r="A111" s="7"/>
      <c r="B111" s="7"/>
      <c r="C111" s="7"/>
      <c r="D111" s="7"/>
      <c r="E111" s="8"/>
      <c r="F111" s="9"/>
      <c r="G111" s="9"/>
      <c r="H111" s="10"/>
      <c r="I111" s="9"/>
      <c r="J111" s="9"/>
    </row>
    <row x14ac:dyDescent="0.25" r="112" customHeight="1" ht="17.25">
      <c r="A112" s="11" t="s">
        <v>2561</v>
      </c>
      <c r="B112" s="11"/>
      <c r="C112" s="11"/>
      <c r="D112" s="11"/>
      <c r="E112" s="12"/>
      <c r="F112" s="11"/>
      <c r="G112" s="11"/>
      <c r="H112" s="13"/>
      <c r="I112" s="11"/>
      <c r="J112" s="11"/>
    </row>
    <row x14ac:dyDescent="0.25" r="113" customHeight="1" ht="17.25">
      <c r="A113" s="14" t="s">
        <v>3</v>
      </c>
      <c r="B113" s="14" t="s">
        <v>4</v>
      </c>
      <c r="C113" s="14" t="s">
        <v>5</v>
      </c>
      <c r="D113" s="14" t="s">
        <v>6</v>
      </c>
      <c r="E113" s="15" t="s">
        <v>7</v>
      </c>
      <c r="F113" s="14" t="s">
        <v>8</v>
      </c>
      <c r="G113" s="14" t="s">
        <v>9</v>
      </c>
      <c r="H113" s="16" t="s">
        <v>10</v>
      </c>
      <c r="I113" s="14" t="s">
        <v>11</v>
      </c>
      <c r="J113" s="14" t="s">
        <v>12</v>
      </c>
    </row>
    <row x14ac:dyDescent="0.25" r="114" customHeight="1" ht="17.25">
      <c r="A114" s="17" t="s">
        <v>2562</v>
      </c>
      <c r="B114" s="17" t="s">
        <v>206</v>
      </c>
      <c r="C114" s="17" t="s">
        <v>76</v>
      </c>
      <c r="D114" s="17" t="s">
        <v>16</v>
      </c>
      <c r="E114" s="18">
        <f>ROUND(7059*1.05,2)</f>
      </c>
      <c r="F114" s="17" t="s">
        <v>17</v>
      </c>
      <c r="G114" s="17" t="s">
        <v>18</v>
      </c>
      <c r="H114" s="18">
        <f>ROUND(RAND()*4+6,1)</f>
      </c>
      <c r="I114" s="17" t="s">
        <v>19</v>
      </c>
      <c r="J114" s="19">
        <f>ROUND(84*1,0)&amp;"%"</f>
      </c>
    </row>
    <row x14ac:dyDescent="0.25" r="115" customHeight="1" ht="17.25">
      <c r="A115" s="20" t="s">
        <v>2563</v>
      </c>
      <c r="B115" s="20" t="s">
        <v>208</v>
      </c>
      <c r="C115" s="20" t="s">
        <v>76</v>
      </c>
      <c r="D115" s="20" t="s">
        <v>22</v>
      </c>
      <c r="E115" s="21">
        <f>ROUND(11885*1.05,2)</f>
      </c>
      <c r="F115" s="20" t="s">
        <v>23</v>
      </c>
      <c r="G115" s="20" t="s">
        <v>24</v>
      </c>
      <c r="H115" s="21">
        <f>ROUND(RAND()*4+6,1)</f>
      </c>
      <c r="I115" s="20" t="s">
        <v>25</v>
      </c>
      <c r="J115" s="23">
        <f>ROUND(94*1,0)&amp;"%"</f>
      </c>
    </row>
    <row x14ac:dyDescent="0.25" r="116" customHeight="1" ht="17.25">
      <c r="A116" s="17" t="s">
        <v>2564</v>
      </c>
      <c r="B116" s="17" t="s">
        <v>210</v>
      </c>
      <c r="C116" s="17" t="s">
        <v>76</v>
      </c>
      <c r="D116" s="17" t="s">
        <v>28</v>
      </c>
      <c r="E116" s="18">
        <f>ROUND(5794*1.05,2)</f>
      </c>
      <c r="F116" s="17" t="s">
        <v>29</v>
      </c>
      <c r="G116" s="17" t="s">
        <v>30</v>
      </c>
      <c r="H116" s="26">
        <f>ROUND(RAND()*4+6,1)</f>
      </c>
      <c r="I116" s="17" t="s">
        <v>31</v>
      </c>
      <c r="J116" s="19">
        <f>ROUND(80*1,0)&amp;"%"</f>
      </c>
    </row>
    <row x14ac:dyDescent="0.25" r="117" customHeight="1" ht="17.25">
      <c r="A117" s="20" t="s">
        <v>2565</v>
      </c>
      <c r="B117" s="20" t="s">
        <v>212</v>
      </c>
      <c r="C117" s="20" t="s">
        <v>76</v>
      </c>
      <c r="D117" s="20" t="s">
        <v>34</v>
      </c>
      <c r="E117" s="21">
        <f>ROUND(16034*1.05,2)</f>
      </c>
      <c r="F117" s="20" t="s">
        <v>35</v>
      </c>
      <c r="G117" s="20" t="s">
        <v>18</v>
      </c>
      <c r="H117" s="21">
        <f>ROUND(RAND()*4+6,1)</f>
      </c>
      <c r="I117" s="20" t="s">
        <v>36</v>
      </c>
      <c r="J117" s="23">
        <f>ROUND(98*1,0)&amp;"%"</f>
      </c>
    </row>
    <row x14ac:dyDescent="0.25" r="118" customHeight="1" ht="17.25">
      <c r="A118" s="17" t="s">
        <v>2566</v>
      </c>
      <c r="B118" s="17" t="s">
        <v>214</v>
      </c>
      <c r="C118" s="17" t="s">
        <v>76</v>
      </c>
      <c r="D118" s="17" t="s">
        <v>39</v>
      </c>
      <c r="E118" s="18">
        <f>ROUND(9635*1.05,2)</f>
      </c>
      <c r="F118" s="17" t="s">
        <v>40</v>
      </c>
      <c r="G118" s="17" t="s">
        <v>24</v>
      </c>
      <c r="H118" s="18">
        <f>ROUND(RAND()*4+6,1)</f>
      </c>
      <c r="I118" s="17" t="s">
        <v>41</v>
      </c>
      <c r="J118" s="19">
        <f>ROUND(65*1,0)&amp;"%"</f>
      </c>
    </row>
    <row x14ac:dyDescent="0.25" r="119" customHeight="1" ht="17.25">
      <c r="A119" s="20" t="s">
        <v>2567</v>
      </c>
      <c r="B119" s="20" t="s">
        <v>216</v>
      </c>
      <c r="C119" s="20" t="s">
        <v>76</v>
      </c>
      <c r="D119" s="20" t="s">
        <v>67</v>
      </c>
      <c r="E119" s="21">
        <f>ROUND(16955*1.05,2)</f>
      </c>
      <c r="F119" s="20" t="s">
        <v>44</v>
      </c>
      <c r="G119" s="20" t="s">
        <v>30</v>
      </c>
      <c r="H119" s="21">
        <f>ROUND(RAND()*4+6,1)</f>
      </c>
      <c r="I119" s="20" t="s">
        <v>45</v>
      </c>
      <c r="J119" s="23">
        <f>ROUND(85*1,0)&amp;"%"</f>
      </c>
    </row>
    <row x14ac:dyDescent="0.25" r="120" customHeight="1" ht="17.25">
      <c r="A120" s="17" t="s">
        <v>2568</v>
      </c>
      <c r="B120" s="17" t="s">
        <v>218</v>
      </c>
      <c r="C120" s="17" t="s">
        <v>76</v>
      </c>
      <c r="D120" s="17" t="s">
        <v>16</v>
      </c>
      <c r="E120" s="18">
        <f>ROUND(15330*1.05,2)</f>
      </c>
      <c r="F120" s="17" t="s">
        <v>48</v>
      </c>
      <c r="G120" s="17" t="s">
        <v>18</v>
      </c>
      <c r="H120" s="18">
        <f>ROUND(RAND()*4+6,1)</f>
      </c>
      <c r="I120" s="17" t="s">
        <v>19</v>
      </c>
      <c r="J120" s="19">
        <f>ROUND(75*1,0)&amp;"%"</f>
      </c>
    </row>
    <row x14ac:dyDescent="0.25" r="121" customHeight="1" ht="17.25">
      <c r="A121" s="20" t="s">
        <v>2569</v>
      </c>
      <c r="B121" s="20" t="s">
        <v>220</v>
      </c>
      <c r="C121" s="20" t="s">
        <v>76</v>
      </c>
      <c r="D121" s="20" t="s">
        <v>22</v>
      </c>
      <c r="E121" s="21">
        <f>ROUND(14404*1.05,2)</f>
      </c>
      <c r="F121" s="20" t="s">
        <v>51</v>
      </c>
      <c r="G121" s="20" t="s">
        <v>24</v>
      </c>
      <c r="H121" s="21">
        <f>ROUND(RAND()*4+6,1)</f>
      </c>
      <c r="I121" s="20" t="s">
        <v>25</v>
      </c>
      <c r="J121" s="23">
        <f>ROUND(64*1,0)&amp;"%"</f>
      </c>
    </row>
    <row x14ac:dyDescent="0.25" r="122" customHeight="1" ht="17.25">
      <c r="A122" s="24" t="s">
        <v>221</v>
      </c>
      <c r="B122" s="24"/>
      <c r="C122" s="24"/>
      <c r="D122" s="24"/>
      <c r="E122" s="25">
        <v>8</v>
      </c>
      <c r="F122" s="9"/>
      <c r="G122" s="9"/>
      <c r="H122" s="10"/>
      <c r="I122" s="9"/>
      <c r="J122" s="9"/>
    </row>
    <row x14ac:dyDescent="0.25" r="123" customHeight="1" ht="17.25">
      <c r="A123" s="7"/>
      <c r="B123" s="7"/>
      <c r="C123" s="7"/>
      <c r="D123" s="7"/>
      <c r="E123" s="8"/>
      <c r="F123" s="9"/>
      <c r="G123" s="9"/>
      <c r="H123" s="10"/>
      <c r="I123" s="9"/>
      <c r="J123" s="9"/>
    </row>
    <row x14ac:dyDescent="0.25" r="124" customHeight="1" ht="17.25">
      <c r="A124" s="11" t="s">
        <v>2570</v>
      </c>
      <c r="B124" s="11"/>
      <c r="C124" s="11"/>
      <c r="D124" s="11"/>
      <c r="E124" s="12"/>
      <c r="F124" s="11"/>
      <c r="G124" s="11"/>
      <c r="H124" s="13"/>
      <c r="I124" s="11"/>
      <c r="J124" s="11"/>
    </row>
    <row x14ac:dyDescent="0.25" r="125" customHeight="1" ht="17.25">
      <c r="A125" s="14" t="s">
        <v>3</v>
      </c>
      <c r="B125" s="14" t="s">
        <v>4</v>
      </c>
      <c r="C125" s="14" t="s">
        <v>5</v>
      </c>
      <c r="D125" s="14" t="s">
        <v>6</v>
      </c>
      <c r="E125" s="15" t="s">
        <v>7</v>
      </c>
      <c r="F125" s="14" t="s">
        <v>8</v>
      </c>
      <c r="G125" s="14" t="s">
        <v>9</v>
      </c>
      <c r="H125" s="16" t="s">
        <v>10</v>
      </c>
      <c r="I125" s="14" t="s">
        <v>11</v>
      </c>
      <c r="J125" s="14" t="s">
        <v>12</v>
      </c>
    </row>
    <row x14ac:dyDescent="0.25" r="126" customHeight="1" ht="17.25">
      <c r="A126" s="17" t="s">
        <v>2571</v>
      </c>
      <c r="B126" s="17" t="s">
        <v>224</v>
      </c>
      <c r="C126" s="17" t="s">
        <v>95</v>
      </c>
      <c r="D126" s="17" t="s">
        <v>16</v>
      </c>
      <c r="E126" s="18">
        <f>ROUND(11255*1.05,2)</f>
      </c>
      <c r="F126" s="17" t="s">
        <v>17</v>
      </c>
      <c r="G126" s="17" t="s">
        <v>18</v>
      </c>
      <c r="H126" s="18">
        <f>ROUND(RAND()*4+6,1)</f>
      </c>
      <c r="I126" s="17" t="s">
        <v>19</v>
      </c>
      <c r="J126" s="19">
        <f>ROUND(88*1,0)&amp;"%"</f>
      </c>
    </row>
    <row x14ac:dyDescent="0.25" r="127" customHeight="1" ht="17.25">
      <c r="A127" s="20" t="s">
        <v>2572</v>
      </c>
      <c r="B127" s="20" t="s">
        <v>226</v>
      </c>
      <c r="C127" s="20" t="s">
        <v>95</v>
      </c>
      <c r="D127" s="20" t="s">
        <v>22</v>
      </c>
      <c r="E127" s="21">
        <f>ROUND(6173*1.05,2)</f>
      </c>
      <c r="F127" s="20" t="s">
        <v>23</v>
      </c>
      <c r="G127" s="20" t="s">
        <v>24</v>
      </c>
      <c r="H127" s="21">
        <f>ROUND(RAND()*4+6,1)</f>
      </c>
      <c r="I127" s="20" t="s">
        <v>25</v>
      </c>
      <c r="J127" s="23">
        <f>ROUND(97*1,0)&amp;"%"</f>
      </c>
    </row>
    <row x14ac:dyDescent="0.25" r="128" customHeight="1" ht="17.25">
      <c r="A128" s="17" t="s">
        <v>2573</v>
      </c>
      <c r="B128" s="17" t="s">
        <v>228</v>
      </c>
      <c r="C128" s="17" t="s">
        <v>95</v>
      </c>
      <c r="D128" s="17" t="s">
        <v>28</v>
      </c>
      <c r="E128" s="18">
        <f>ROUND(13003*1.05,2)</f>
      </c>
      <c r="F128" s="17" t="s">
        <v>29</v>
      </c>
      <c r="G128" s="17" t="s">
        <v>30</v>
      </c>
      <c r="H128" s="18">
        <f>ROUND(RAND()*4+6,1)</f>
      </c>
      <c r="I128" s="17" t="s">
        <v>31</v>
      </c>
      <c r="J128" s="19">
        <f>ROUND(72*1,0)&amp;"%"</f>
      </c>
    </row>
    <row x14ac:dyDescent="0.25" r="129" customHeight="1" ht="17.25">
      <c r="A129" s="20" t="s">
        <v>2574</v>
      </c>
      <c r="B129" s="20" t="s">
        <v>230</v>
      </c>
      <c r="C129" s="20" t="s">
        <v>95</v>
      </c>
      <c r="D129" s="20" t="s">
        <v>34</v>
      </c>
      <c r="E129" s="21">
        <f>ROUND(16251*1.05,2)</f>
      </c>
      <c r="F129" s="20" t="s">
        <v>35</v>
      </c>
      <c r="G129" s="20" t="s">
        <v>18</v>
      </c>
      <c r="H129" s="21">
        <f>ROUND(RAND()*4+6,1)</f>
      </c>
      <c r="I129" s="20" t="s">
        <v>36</v>
      </c>
      <c r="J129" s="23">
        <f>ROUND(88*1,0)&amp;"%"</f>
      </c>
    </row>
    <row x14ac:dyDescent="0.25" r="130" customHeight="1" ht="17.25">
      <c r="A130" s="17" t="s">
        <v>2575</v>
      </c>
      <c r="B130" s="17" t="s">
        <v>232</v>
      </c>
      <c r="C130" s="17" t="s">
        <v>95</v>
      </c>
      <c r="D130" s="17" t="s">
        <v>39</v>
      </c>
      <c r="E130" s="18">
        <f>ROUND(4562*1.05,2)</f>
      </c>
      <c r="F130" s="17" t="s">
        <v>40</v>
      </c>
      <c r="G130" s="17" t="s">
        <v>24</v>
      </c>
      <c r="H130" s="18">
        <f>ROUND(RAND()*4+6,1)</f>
      </c>
      <c r="I130" s="17" t="s">
        <v>41</v>
      </c>
      <c r="J130" s="19">
        <f>ROUND(74*1,0)&amp;"%"</f>
      </c>
    </row>
    <row x14ac:dyDescent="0.25" r="131" customHeight="1" ht="17.25">
      <c r="A131" s="20" t="s">
        <v>2576</v>
      </c>
      <c r="B131" s="20" t="s">
        <v>234</v>
      </c>
      <c r="C131" s="20" t="s">
        <v>95</v>
      </c>
      <c r="D131" s="20" t="s">
        <v>67</v>
      </c>
      <c r="E131" s="21">
        <f>ROUND(15493*1.05,2)</f>
      </c>
      <c r="F131" s="20" t="s">
        <v>44</v>
      </c>
      <c r="G131" s="20" t="s">
        <v>30</v>
      </c>
      <c r="H131" s="21">
        <f>ROUND(RAND()*4+6,1)</f>
      </c>
      <c r="I131" s="20" t="s">
        <v>45</v>
      </c>
      <c r="J131" s="23">
        <f>ROUND(91*1,0)&amp;"%"</f>
      </c>
    </row>
    <row x14ac:dyDescent="0.25" r="132" customHeight="1" ht="17.25">
      <c r="A132" s="17" t="s">
        <v>2577</v>
      </c>
      <c r="B132" s="17" t="s">
        <v>236</v>
      </c>
      <c r="C132" s="17" t="s">
        <v>95</v>
      </c>
      <c r="D132" s="17" t="s">
        <v>16</v>
      </c>
      <c r="E132" s="18">
        <f>ROUND(7521*1.05,2)</f>
      </c>
      <c r="F132" s="17" t="s">
        <v>48</v>
      </c>
      <c r="G132" s="17" t="s">
        <v>18</v>
      </c>
      <c r="H132" s="18">
        <f>ROUND(RAND()*4+6,1)</f>
      </c>
      <c r="I132" s="17" t="s">
        <v>19</v>
      </c>
      <c r="J132" s="19">
        <f>ROUND(98*1,0)&amp;"%"</f>
      </c>
    </row>
    <row x14ac:dyDescent="0.25" r="133" customHeight="1" ht="17.25">
      <c r="A133" s="20" t="s">
        <v>2578</v>
      </c>
      <c r="B133" s="20" t="s">
        <v>238</v>
      </c>
      <c r="C133" s="20" t="s">
        <v>95</v>
      </c>
      <c r="D133" s="20" t="s">
        <v>22</v>
      </c>
      <c r="E133" s="21">
        <f>ROUND(16458*1.05,2)</f>
      </c>
      <c r="F133" s="20" t="s">
        <v>51</v>
      </c>
      <c r="G133" s="20" t="s">
        <v>24</v>
      </c>
      <c r="H133" s="21">
        <f>ROUND(RAND()*4+6,1)</f>
      </c>
      <c r="I133" s="20" t="s">
        <v>25</v>
      </c>
      <c r="J133" s="23">
        <f>ROUND(64*1,0)&amp;"%"</f>
      </c>
    </row>
    <row x14ac:dyDescent="0.25" r="134" customHeight="1" ht="17.25">
      <c r="A134" s="24" t="s">
        <v>239</v>
      </c>
      <c r="B134" s="24"/>
      <c r="C134" s="24"/>
      <c r="D134" s="24"/>
      <c r="E134" s="25">
        <v>8</v>
      </c>
      <c r="F134" s="9"/>
      <c r="G134" s="9"/>
      <c r="H134" s="10"/>
      <c r="I134" s="9"/>
      <c r="J134" s="9"/>
    </row>
    <row x14ac:dyDescent="0.25" r="135" customHeight="1" ht="17.25">
      <c r="A135" s="7"/>
      <c r="B135" s="7"/>
      <c r="C135" s="7"/>
      <c r="D135" s="7"/>
      <c r="E135" s="8"/>
      <c r="F135" s="9"/>
      <c r="G135" s="9"/>
      <c r="H135" s="10"/>
      <c r="I135" s="9"/>
      <c r="J135" s="9"/>
    </row>
    <row x14ac:dyDescent="0.25" r="136" customHeight="1" ht="17.25">
      <c r="A136" s="11" t="s">
        <v>2579</v>
      </c>
      <c r="B136" s="11"/>
      <c r="C136" s="11"/>
      <c r="D136" s="11"/>
      <c r="E136" s="12"/>
      <c r="F136" s="11"/>
      <c r="G136" s="11"/>
      <c r="H136" s="13"/>
      <c r="I136" s="11"/>
      <c r="J136" s="11"/>
    </row>
    <row x14ac:dyDescent="0.25" r="137" customHeight="1" ht="17.25">
      <c r="A137" s="14" t="s">
        <v>3</v>
      </c>
      <c r="B137" s="14" t="s">
        <v>4</v>
      </c>
      <c r="C137" s="14" t="s">
        <v>5</v>
      </c>
      <c r="D137" s="14" t="s">
        <v>6</v>
      </c>
      <c r="E137" s="15" t="s">
        <v>7</v>
      </c>
      <c r="F137" s="14" t="s">
        <v>8</v>
      </c>
      <c r="G137" s="14" t="s">
        <v>9</v>
      </c>
      <c r="H137" s="16" t="s">
        <v>10</v>
      </c>
      <c r="I137" s="14" t="s">
        <v>11</v>
      </c>
      <c r="J137" s="14" t="s">
        <v>12</v>
      </c>
    </row>
    <row x14ac:dyDescent="0.25" r="138" customHeight="1" ht="17.25">
      <c r="A138" s="17" t="s">
        <v>2580</v>
      </c>
      <c r="B138" s="17" t="s">
        <v>242</v>
      </c>
      <c r="C138" s="17" t="s">
        <v>114</v>
      </c>
      <c r="D138" s="17" t="s">
        <v>16</v>
      </c>
      <c r="E138" s="18">
        <f>ROUND(7995*1.05,2)</f>
      </c>
      <c r="F138" s="17" t="s">
        <v>17</v>
      </c>
      <c r="G138" s="17" t="s">
        <v>18</v>
      </c>
      <c r="H138" s="18">
        <f>ROUND(RAND()*4+6,1)</f>
      </c>
      <c r="I138" s="17" t="s">
        <v>19</v>
      </c>
      <c r="J138" s="19">
        <f>ROUND(74*1,0)&amp;"%"</f>
      </c>
    </row>
    <row x14ac:dyDescent="0.25" r="139" customHeight="1" ht="17.25">
      <c r="A139" s="20" t="s">
        <v>2581</v>
      </c>
      <c r="B139" s="20" t="s">
        <v>244</v>
      </c>
      <c r="C139" s="20" t="s">
        <v>114</v>
      </c>
      <c r="D139" s="20" t="s">
        <v>22</v>
      </c>
      <c r="E139" s="21">
        <f>ROUND(10881*1.05,2)</f>
      </c>
      <c r="F139" s="20" t="s">
        <v>23</v>
      </c>
      <c r="G139" s="20" t="s">
        <v>24</v>
      </c>
      <c r="H139" s="21">
        <f>ROUND(RAND()*4+6,1)</f>
      </c>
      <c r="I139" s="20" t="s">
        <v>25</v>
      </c>
      <c r="J139" s="23">
        <f>ROUND(69*1,0)&amp;"%"</f>
      </c>
    </row>
    <row x14ac:dyDescent="0.25" r="140" customHeight="1" ht="17.25">
      <c r="A140" s="17" t="s">
        <v>2582</v>
      </c>
      <c r="B140" s="17" t="s">
        <v>246</v>
      </c>
      <c r="C140" s="17" t="s">
        <v>114</v>
      </c>
      <c r="D140" s="17" t="s">
        <v>28</v>
      </c>
      <c r="E140" s="18">
        <f>ROUND(13201*1.05,2)</f>
      </c>
      <c r="F140" s="17" t="s">
        <v>29</v>
      </c>
      <c r="G140" s="17" t="s">
        <v>30</v>
      </c>
      <c r="H140" s="18">
        <f>ROUND(RAND()*4+6,1)</f>
      </c>
      <c r="I140" s="17" t="s">
        <v>31</v>
      </c>
      <c r="J140" s="19">
        <f>ROUND(79*1,0)&amp;"%"</f>
      </c>
    </row>
    <row x14ac:dyDescent="0.25" r="141" customHeight="1" ht="17.25">
      <c r="A141" s="20" t="s">
        <v>2583</v>
      </c>
      <c r="B141" s="20" t="s">
        <v>248</v>
      </c>
      <c r="C141" s="20" t="s">
        <v>114</v>
      </c>
      <c r="D141" s="20" t="s">
        <v>34</v>
      </c>
      <c r="E141" s="21">
        <f>ROUND(8333*1.05,2)</f>
      </c>
      <c r="F141" s="20" t="s">
        <v>35</v>
      </c>
      <c r="G141" s="20" t="s">
        <v>18</v>
      </c>
      <c r="H141" s="21">
        <f>ROUND(RAND()*4+6,1)</f>
      </c>
      <c r="I141" s="20" t="s">
        <v>36</v>
      </c>
      <c r="J141" s="23">
        <f>ROUND(98*1,0)&amp;"%"</f>
      </c>
    </row>
    <row x14ac:dyDescent="0.25" r="142" customHeight="1" ht="17.25">
      <c r="A142" s="17" t="s">
        <v>2584</v>
      </c>
      <c r="B142" s="17" t="s">
        <v>250</v>
      </c>
      <c r="C142" s="17" t="s">
        <v>114</v>
      </c>
      <c r="D142" s="17" t="s">
        <v>39</v>
      </c>
      <c r="E142" s="18">
        <f>ROUND(13256*1.05,2)</f>
      </c>
      <c r="F142" s="17" t="s">
        <v>40</v>
      </c>
      <c r="G142" s="17" t="s">
        <v>24</v>
      </c>
      <c r="H142" s="18">
        <f>ROUND(RAND()*4+6,1)</f>
      </c>
      <c r="I142" s="17" t="s">
        <v>41</v>
      </c>
      <c r="J142" s="19">
        <f>ROUND(61*1,0)&amp;"%"</f>
      </c>
    </row>
    <row x14ac:dyDescent="0.25" r="143" customHeight="1" ht="17.25">
      <c r="A143" s="20" t="s">
        <v>2585</v>
      </c>
      <c r="B143" s="20" t="s">
        <v>252</v>
      </c>
      <c r="C143" s="20" t="s">
        <v>114</v>
      </c>
      <c r="D143" s="20" t="s">
        <v>67</v>
      </c>
      <c r="E143" s="21">
        <f>ROUND(6425*1.05,2)</f>
      </c>
      <c r="F143" s="20" t="s">
        <v>44</v>
      </c>
      <c r="G143" s="20" t="s">
        <v>30</v>
      </c>
      <c r="H143" s="21">
        <f>ROUND(RAND()*4+6,1)</f>
      </c>
      <c r="I143" s="20" t="s">
        <v>45</v>
      </c>
      <c r="J143" s="23">
        <f>ROUND(89*1,0)&amp;"%"</f>
      </c>
    </row>
    <row x14ac:dyDescent="0.25" r="144" customHeight="1" ht="17.25">
      <c r="A144" s="17" t="s">
        <v>2586</v>
      </c>
      <c r="B144" s="17" t="s">
        <v>254</v>
      </c>
      <c r="C144" s="17" t="s">
        <v>114</v>
      </c>
      <c r="D144" s="17" t="s">
        <v>16</v>
      </c>
      <c r="E144" s="18">
        <f>ROUND(8923*1.05,2)</f>
      </c>
      <c r="F144" s="17" t="s">
        <v>48</v>
      </c>
      <c r="G144" s="17" t="s">
        <v>18</v>
      </c>
      <c r="H144" s="18">
        <f>ROUND(RAND()*4+6,1)</f>
      </c>
      <c r="I144" s="17" t="s">
        <v>19</v>
      </c>
      <c r="J144" s="19">
        <f>ROUND(78*1,0)&amp;"%"</f>
      </c>
    </row>
    <row x14ac:dyDescent="0.25" r="145" customHeight="1" ht="17.25">
      <c r="A145" s="20" t="s">
        <v>2587</v>
      </c>
      <c r="B145" s="20" t="s">
        <v>256</v>
      </c>
      <c r="C145" s="20" t="s">
        <v>114</v>
      </c>
      <c r="D145" s="20" t="s">
        <v>22</v>
      </c>
      <c r="E145" s="21">
        <f>ROUND(12147*1.05,2)</f>
      </c>
      <c r="F145" s="20" t="s">
        <v>51</v>
      </c>
      <c r="G145" s="20" t="s">
        <v>24</v>
      </c>
      <c r="H145" s="21">
        <f>ROUND(RAND()*4+6,1)</f>
      </c>
      <c r="I145" s="20" t="s">
        <v>25</v>
      </c>
      <c r="J145" s="23">
        <f>ROUND(66*1,0)&amp;"%"</f>
      </c>
    </row>
    <row x14ac:dyDescent="0.25" r="146" customHeight="1" ht="17.25">
      <c r="A146" s="24" t="s">
        <v>257</v>
      </c>
      <c r="B146" s="24"/>
      <c r="C146" s="24"/>
      <c r="D146" s="24"/>
      <c r="E146" s="25">
        <v>8</v>
      </c>
      <c r="F146" s="9"/>
      <c r="G146" s="9"/>
      <c r="H146" s="10"/>
      <c r="I146" s="9"/>
      <c r="J146" s="9"/>
    </row>
    <row x14ac:dyDescent="0.25" r="147" customHeight="1" ht="17.25">
      <c r="A147" s="7"/>
      <c r="B147" s="7"/>
      <c r="C147" s="7"/>
      <c r="D147" s="7"/>
      <c r="E147" s="8"/>
      <c r="F147" s="9"/>
      <c r="G147" s="9"/>
      <c r="H147" s="10"/>
      <c r="I147" s="9"/>
      <c r="J147" s="9"/>
    </row>
    <row x14ac:dyDescent="0.25" r="148" customHeight="1" ht="17.25">
      <c r="A148" s="11" t="s">
        <v>2588</v>
      </c>
      <c r="B148" s="11"/>
      <c r="C148" s="11"/>
      <c r="D148" s="11"/>
      <c r="E148" s="12"/>
      <c r="F148" s="11"/>
      <c r="G148" s="11"/>
      <c r="H148" s="13"/>
      <c r="I148" s="11"/>
      <c r="J148" s="11"/>
    </row>
    <row x14ac:dyDescent="0.25" r="149" customHeight="1" ht="17.25">
      <c r="A149" s="14" t="s">
        <v>3</v>
      </c>
      <c r="B149" s="14" t="s">
        <v>4</v>
      </c>
      <c r="C149" s="14" t="s">
        <v>5</v>
      </c>
      <c r="D149" s="14" t="s">
        <v>6</v>
      </c>
      <c r="E149" s="15" t="s">
        <v>7</v>
      </c>
      <c r="F149" s="14" t="s">
        <v>8</v>
      </c>
      <c r="G149" s="14" t="s">
        <v>9</v>
      </c>
      <c r="H149" s="16" t="s">
        <v>10</v>
      </c>
      <c r="I149" s="14" t="s">
        <v>11</v>
      </c>
      <c r="J149" s="14" t="s">
        <v>12</v>
      </c>
    </row>
    <row x14ac:dyDescent="0.25" r="150" customHeight="1" ht="17.25">
      <c r="A150" s="17" t="s">
        <v>2589</v>
      </c>
      <c r="B150" s="17" t="s">
        <v>260</v>
      </c>
      <c r="C150" s="17" t="s">
        <v>133</v>
      </c>
      <c r="D150" s="17" t="s">
        <v>16</v>
      </c>
      <c r="E150" s="18">
        <f>ROUND(14411*1.05,2)</f>
      </c>
      <c r="F150" s="17" t="s">
        <v>17</v>
      </c>
      <c r="G150" s="17" t="s">
        <v>18</v>
      </c>
      <c r="H150" s="18">
        <f>ROUND(RAND()*4+6,1)</f>
      </c>
      <c r="I150" s="17" t="s">
        <v>19</v>
      </c>
      <c r="J150" s="19">
        <f>ROUND(80*1,0)&amp;"%"</f>
      </c>
    </row>
    <row x14ac:dyDescent="0.25" r="151" customHeight="1" ht="17.25">
      <c r="A151" s="20" t="s">
        <v>2590</v>
      </c>
      <c r="B151" s="20" t="s">
        <v>262</v>
      </c>
      <c r="C151" s="20" t="s">
        <v>133</v>
      </c>
      <c r="D151" s="20" t="s">
        <v>22</v>
      </c>
      <c r="E151" s="21">
        <f>ROUND(13695*1.05,2)</f>
      </c>
      <c r="F151" s="20" t="s">
        <v>23</v>
      </c>
      <c r="G151" s="20" t="s">
        <v>24</v>
      </c>
      <c r="H151" s="21">
        <f>ROUND(RAND()*4+6,1)</f>
      </c>
      <c r="I151" s="20" t="s">
        <v>25</v>
      </c>
      <c r="J151" s="23">
        <f>ROUND(82*1,0)&amp;"%"</f>
      </c>
    </row>
    <row x14ac:dyDescent="0.25" r="152" customHeight="1" ht="17.25">
      <c r="A152" s="17" t="s">
        <v>2591</v>
      </c>
      <c r="B152" s="17" t="s">
        <v>264</v>
      </c>
      <c r="C152" s="17" t="s">
        <v>133</v>
      </c>
      <c r="D152" s="17" t="s">
        <v>28</v>
      </c>
      <c r="E152" s="18">
        <f>ROUND(12547*1.05,2)</f>
      </c>
      <c r="F152" s="17" t="s">
        <v>29</v>
      </c>
      <c r="G152" s="17" t="s">
        <v>30</v>
      </c>
      <c r="H152" s="18">
        <f>ROUND(RAND()*4+6,1)</f>
      </c>
      <c r="I152" s="17" t="s">
        <v>31</v>
      </c>
      <c r="J152" s="19">
        <f>ROUND(78*1,0)&amp;"%"</f>
      </c>
    </row>
    <row x14ac:dyDescent="0.25" r="153" customHeight="1" ht="17.25">
      <c r="A153" s="20" t="s">
        <v>2592</v>
      </c>
      <c r="B153" s="20" t="s">
        <v>266</v>
      </c>
      <c r="C153" s="20" t="s">
        <v>133</v>
      </c>
      <c r="D153" s="20" t="s">
        <v>34</v>
      </c>
      <c r="E153" s="21">
        <f>ROUND(5583*1.05,2)</f>
      </c>
      <c r="F153" s="20" t="s">
        <v>35</v>
      </c>
      <c r="G153" s="20" t="s">
        <v>18</v>
      </c>
      <c r="H153" s="21">
        <f>ROUND(RAND()*4+6,1)</f>
      </c>
      <c r="I153" s="20" t="s">
        <v>36</v>
      </c>
      <c r="J153" s="23">
        <f>ROUND(65*1,0)&amp;"%"</f>
      </c>
    </row>
    <row x14ac:dyDescent="0.25" r="154" customHeight="1" ht="17.25">
      <c r="A154" s="17" t="s">
        <v>2593</v>
      </c>
      <c r="B154" s="17" t="s">
        <v>268</v>
      </c>
      <c r="C154" s="17" t="s">
        <v>133</v>
      </c>
      <c r="D154" s="17" t="s">
        <v>39</v>
      </c>
      <c r="E154" s="18">
        <f>ROUND(10501*1.05,2)</f>
      </c>
      <c r="F154" s="17" t="s">
        <v>40</v>
      </c>
      <c r="G154" s="17" t="s">
        <v>24</v>
      </c>
      <c r="H154" s="18">
        <f>ROUND(RAND()*4+6,1)</f>
      </c>
      <c r="I154" s="17" t="s">
        <v>41</v>
      </c>
      <c r="J154" s="19">
        <f>ROUND(73*1,0)&amp;"%"</f>
      </c>
    </row>
    <row x14ac:dyDescent="0.25" r="155" customHeight="1" ht="17.25">
      <c r="A155" s="20" t="s">
        <v>2594</v>
      </c>
      <c r="B155" s="20" t="s">
        <v>270</v>
      </c>
      <c r="C155" s="20" t="s">
        <v>133</v>
      </c>
      <c r="D155" s="20" t="s">
        <v>67</v>
      </c>
      <c r="E155" s="21">
        <f>ROUND(5962*1.05,2)</f>
      </c>
      <c r="F155" s="20" t="s">
        <v>44</v>
      </c>
      <c r="G155" s="20" t="s">
        <v>30</v>
      </c>
      <c r="H155" s="22">
        <f>ROUND(RAND()*4+6,1)</f>
      </c>
      <c r="I155" s="20" t="s">
        <v>45</v>
      </c>
      <c r="J155" s="23">
        <f>ROUND(73*1,0)&amp;"%"</f>
      </c>
    </row>
    <row x14ac:dyDescent="0.25" r="156" customHeight="1" ht="17.25">
      <c r="A156" s="17" t="s">
        <v>2595</v>
      </c>
      <c r="B156" s="17" t="s">
        <v>272</v>
      </c>
      <c r="C156" s="17" t="s">
        <v>133</v>
      </c>
      <c r="D156" s="17" t="s">
        <v>16</v>
      </c>
      <c r="E156" s="18">
        <f>ROUND(8721*1.05,2)</f>
      </c>
      <c r="F156" s="17" t="s">
        <v>48</v>
      </c>
      <c r="G156" s="17" t="s">
        <v>18</v>
      </c>
      <c r="H156" s="18">
        <f>ROUND(RAND()*4+6,1)</f>
      </c>
      <c r="I156" s="17" t="s">
        <v>19</v>
      </c>
      <c r="J156" s="19">
        <f>ROUND(77*1,0)&amp;"%"</f>
      </c>
    </row>
    <row x14ac:dyDescent="0.25" r="157" customHeight="1" ht="17.25">
      <c r="A157" s="20" t="s">
        <v>2596</v>
      </c>
      <c r="B157" s="20" t="s">
        <v>274</v>
      </c>
      <c r="C157" s="20" t="s">
        <v>133</v>
      </c>
      <c r="D157" s="20" t="s">
        <v>22</v>
      </c>
      <c r="E157" s="21">
        <f>ROUND(4695*1.05,2)</f>
      </c>
      <c r="F157" s="20" t="s">
        <v>51</v>
      </c>
      <c r="G157" s="20" t="s">
        <v>24</v>
      </c>
      <c r="H157" s="21">
        <f>ROUND(RAND()*4+6,1)</f>
      </c>
      <c r="I157" s="20" t="s">
        <v>25</v>
      </c>
      <c r="J157" s="23">
        <f>ROUND(99*1,0)&amp;"%"</f>
      </c>
    </row>
    <row x14ac:dyDescent="0.25" r="158" customHeight="1" ht="17.25">
      <c r="A158" s="24" t="s">
        <v>275</v>
      </c>
      <c r="B158" s="24"/>
      <c r="C158" s="24"/>
      <c r="D158" s="24"/>
      <c r="E158" s="25">
        <v>8</v>
      </c>
      <c r="F158" s="9"/>
      <c r="G158" s="9"/>
      <c r="H158" s="10"/>
      <c r="I158" s="9"/>
      <c r="J158" s="9"/>
    </row>
    <row x14ac:dyDescent="0.25" r="159" customHeight="1" ht="17.25">
      <c r="A159" s="7"/>
      <c r="B159" s="7"/>
      <c r="C159" s="7"/>
      <c r="D159" s="7"/>
      <c r="E159" s="8"/>
      <c r="F159" s="9"/>
      <c r="G159" s="9"/>
      <c r="H159" s="10"/>
      <c r="I159" s="9"/>
      <c r="J159" s="9"/>
    </row>
    <row x14ac:dyDescent="0.25" r="160" customHeight="1" ht="17.25">
      <c r="A160" s="11" t="s">
        <v>2597</v>
      </c>
      <c r="B160" s="11"/>
      <c r="C160" s="11"/>
      <c r="D160" s="11"/>
      <c r="E160" s="12"/>
      <c r="F160" s="11"/>
      <c r="G160" s="11"/>
      <c r="H160" s="13"/>
      <c r="I160" s="11"/>
      <c r="J160" s="11"/>
    </row>
    <row x14ac:dyDescent="0.25" r="161" customHeight="1" ht="17.25">
      <c r="A161" s="14" t="s">
        <v>3</v>
      </c>
      <c r="B161" s="14" t="s">
        <v>4</v>
      </c>
      <c r="C161" s="14" t="s">
        <v>5</v>
      </c>
      <c r="D161" s="14" t="s">
        <v>6</v>
      </c>
      <c r="E161" s="15" t="s">
        <v>7</v>
      </c>
      <c r="F161" s="14" t="s">
        <v>8</v>
      </c>
      <c r="G161" s="14" t="s">
        <v>9</v>
      </c>
      <c r="H161" s="16" t="s">
        <v>10</v>
      </c>
      <c r="I161" s="14" t="s">
        <v>11</v>
      </c>
      <c r="J161" s="14" t="s">
        <v>12</v>
      </c>
    </row>
    <row x14ac:dyDescent="0.25" r="162" customHeight="1" ht="17.25">
      <c r="A162" s="17" t="s">
        <v>2598</v>
      </c>
      <c r="B162" s="17" t="s">
        <v>278</v>
      </c>
      <c r="C162" s="17" t="s">
        <v>152</v>
      </c>
      <c r="D162" s="17" t="s">
        <v>16</v>
      </c>
      <c r="E162" s="18">
        <f>ROUND(15958*1.05,2)</f>
      </c>
      <c r="F162" s="17" t="s">
        <v>17</v>
      </c>
      <c r="G162" s="17" t="s">
        <v>18</v>
      </c>
      <c r="H162" s="18">
        <f>ROUND(RAND()*4+6,1)</f>
      </c>
      <c r="I162" s="17" t="s">
        <v>19</v>
      </c>
      <c r="J162" s="19">
        <f>ROUND(73*1,0)&amp;"%"</f>
      </c>
    </row>
    <row x14ac:dyDescent="0.25" r="163" customHeight="1" ht="17.25">
      <c r="A163" s="20" t="s">
        <v>2599</v>
      </c>
      <c r="B163" s="20" t="s">
        <v>280</v>
      </c>
      <c r="C163" s="20" t="s">
        <v>152</v>
      </c>
      <c r="D163" s="20" t="s">
        <v>22</v>
      </c>
      <c r="E163" s="21">
        <f>ROUND(12968*1.05,2)</f>
      </c>
      <c r="F163" s="20" t="s">
        <v>23</v>
      </c>
      <c r="G163" s="20" t="s">
        <v>24</v>
      </c>
      <c r="H163" s="21">
        <f>ROUND(RAND()*4+6,1)</f>
      </c>
      <c r="I163" s="20" t="s">
        <v>25</v>
      </c>
      <c r="J163" s="23">
        <f>ROUND(76*1,0)&amp;"%"</f>
      </c>
    </row>
    <row x14ac:dyDescent="0.25" r="164" customHeight="1" ht="17.25">
      <c r="A164" s="17" t="s">
        <v>2600</v>
      </c>
      <c r="B164" s="17" t="s">
        <v>282</v>
      </c>
      <c r="C164" s="17" t="s">
        <v>152</v>
      </c>
      <c r="D164" s="17" t="s">
        <v>28</v>
      </c>
      <c r="E164" s="18">
        <f>ROUND(8975*1.05,2)</f>
      </c>
      <c r="F164" s="17" t="s">
        <v>29</v>
      </c>
      <c r="G164" s="17" t="s">
        <v>30</v>
      </c>
      <c r="H164" s="18">
        <f>ROUND(RAND()*4+6,1)</f>
      </c>
      <c r="I164" s="17" t="s">
        <v>31</v>
      </c>
      <c r="J164" s="19">
        <f>ROUND(72*1,0)&amp;"%"</f>
      </c>
    </row>
    <row x14ac:dyDescent="0.25" r="165" customHeight="1" ht="17.25">
      <c r="A165" s="20" t="s">
        <v>2601</v>
      </c>
      <c r="B165" s="20" t="s">
        <v>284</v>
      </c>
      <c r="C165" s="20" t="s">
        <v>152</v>
      </c>
      <c r="D165" s="20" t="s">
        <v>34</v>
      </c>
      <c r="E165" s="21">
        <f>ROUND(8309*1.05,2)</f>
      </c>
      <c r="F165" s="20" t="s">
        <v>35</v>
      </c>
      <c r="G165" s="20" t="s">
        <v>18</v>
      </c>
      <c r="H165" s="21">
        <f>ROUND(RAND()*4+6,1)</f>
      </c>
      <c r="I165" s="20" t="s">
        <v>36</v>
      </c>
      <c r="J165" s="23">
        <f>ROUND(63*1,0)&amp;"%"</f>
      </c>
    </row>
    <row x14ac:dyDescent="0.25" r="166" customHeight="1" ht="17.25">
      <c r="A166" s="17" t="s">
        <v>2602</v>
      </c>
      <c r="B166" s="17" t="s">
        <v>286</v>
      </c>
      <c r="C166" s="17" t="s">
        <v>152</v>
      </c>
      <c r="D166" s="17" t="s">
        <v>39</v>
      </c>
      <c r="E166" s="18">
        <f>ROUND(12487*1.05,2)</f>
      </c>
      <c r="F166" s="17" t="s">
        <v>40</v>
      </c>
      <c r="G166" s="17" t="s">
        <v>24</v>
      </c>
      <c r="H166" s="18">
        <f>ROUND(RAND()*4+6,1)</f>
      </c>
      <c r="I166" s="17" t="s">
        <v>41</v>
      </c>
      <c r="J166" s="19">
        <f>ROUND(66*1,0)&amp;"%"</f>
      </c>
    </row>
    <row x14ac:dyDescent="0.25" r="167" customHeight="1" ht="17.25">
      <c r="A167" s="20" t="s">
        <v>2603</v>
      </c>
      <c r="B167" s="20" t="s">
        <v>288</v>
      </c>
      <c r="C167" s="20" t="s">
        <v>152</v>
      </c>
      <c r="D167" s="20" t="s">
        <v>67</v>
      </c>
      <c r="E167" s="21">
        <f>ROUND(9913*1.05,2)</f>
      </c>
      <c r="F167" s="20" t="s">
        <v>44</v>
      </c>
      <c r="G167" s="20" t="s">
        <v>30</v>
      </c>
      <c r="H167" s="21">
        <f>ROUND(RAND()*4+6,1)</f>
      </c>
      <c r="I167" s="20" t="s">
        <v>45</v>
      </c>
      <c r="J167" s="23">
        <f>ROUND(69*1,0)&amp;"%"</f>
      </c>
    </row>
    <row x14ac:dyDescent="0.25" r="168" customHeight="1" ht="17.25">
      <c r="A168" s="17" t="s">
        <v>2604</v>
      </c>
      <c r="B168" s="17" t="s">
        <v>290</v>
      </c>
      <c r="C168" s="17" t="s">
        <v>152</v>
      </c>
      <c r="D168" s="17" t="s">
        <v>16</v>
      </c>
      <c r="E168" s="18">
        <f>ROUND(6918*1.05,2)</f>
      </c>
      <c r="F168" s="17" t="s">
        <v>48</v>
      </c>
      <c r="G168" s="17" t="s">
        <v>18</v>
      </c>
      <c r="H168" s="18">
        <f>ROUND(RAND()*4+6,1)</f>
      </c>
      <c r="I168" s="17" t="s">
        <v>19</v>
      </c>
      <c r="J168" s="19">
        <f>ROUND(76*1,0)&amp;"%"</f>
      </c>
    </row>
    <row x14ac:dyDescent="0.25" r="169" customHeight="1" ht="17.25">
      <c r="A169" s="20" t="s">
        <v>2605</v>
      </c>
      <c r="B169" s="20" t="s">
        <v>292</v>
      </c>
      <c r="C169" s="20" t="s">
        <v>152</v>
      </c>
      <c r="D169" s="20" t="s">
        <v>22</v>
      </c>
      <c r="E169" s="21">
        <f>ROUND(10707*1.05,2)</f>
      </c>
      <c r="F169" s="20" t="s">
        <v>51</v>
      </c>
      <c r="G169" s="20" t="s">
        <v>24</v>
      </c>
      <c r="H169" s="21">
        <f>ROUND(RAND()*4+6,1)</f>
      </c>
      <c r="I169" s="20" t="s">
        <v>25</v>
      </c>
      <c r="J169" s="23">
        <f>ROUND(89*1,0)&amp;"%"</f>
      </c>
    </row>
    <row x14ac:dyDescent="0.25" r="170" customHeight="1" ht="17.25">
      <c r="A170" s="24" t="s">
        <v>293</v>
      </c>
      <c r="B170" s="24"/>
      <c r="C170" s="24"/>
      <c r="D170" s="24"/>
      <c r="E170" s="25">
        <v>8</v>
      </c>
      <c r="F170" s="9"/>
      <c r="G170" s="9"/>
      <c r="H170" s="10"/>
      <c r="I170" s="9"/>
      <c r="J170" s="9"/>
    </row>
    <row x14ac:dyDescent="0.25" r="171" customHeight="1" ht="17.25">
      <c r="A171" s="7"/>
      <c r="B171" s="7"/>
      <c r="C171" s="7"/>
      <c r="D171" s="7"/>
      <c r="E171" s="8"/>
      <c r="F171" s="9"/>
      <c r="G171" s="9"/>
      <c r="H171" s="10"/>
      <c r="I171" s="9"/>
      <c r="J171" s="9"/>
    </row>
    <row x14ac:dyDescent="0.25" r="172" customHeight="1" ht="17.25">
      <c r="A172" s="11" t="s">
        <v>2606</v>
      </c>
      <c r="B172" s="11"/>
      <c r="C172" s="11"/>
      <c r="D172" s="11"/>
      <c r="E172" s="12"/>
      <c r="F172" s="11"/>
      <c r="G172" s="11"/>
      <c r="H172" s="13"/>
      <c r="I172" s="11"/>
      <c r="J172" s="11"/>
    </row>
    <row x14ac:dyDescent="0.25" r="173" customHeight="1" ht="17.25">
      <c r="A173" s="14" t="s">
        <v>3</v>
      </c>
      <c r="B173" s="14" t="s">
        <v>4</v>
      </c>
      <c r="C173" s="14" t="s">
        <v>5</v>
      </c>
      <c r="D173" s="14" t="s">
        <v>6</v>
      </c>
      <c r="E173" s="15" t="s">
        <v>7</v>
      </c>
      <c r="F173" s="14" t="s">
        <v>8</v>
      </c>
      <c r="G173" s="14" t="s">
        <v>9</v>
      </c>
      <c r="H173" s="16" t="s">
        <v>10</v>
      </c>
      <c r="I173" s="14" t="s">
        <v>11</v>
      </c>
      <c r="J173" s="14" t="s">
        <v>12</v>
      </c>
    </row>
    <row x14ac:dyDescent="0.25" r="174" customHeight="1" ht="17.25">
      <c r="A174" s="17" t="s">
        <v>2607</v>
      </c>
      <c r="B174" s="17" t="s">
        <v>296</v>
      </c>
      <c r="C174" s="17" t="s">
        <v>15</v>
      </c>
      <c r="D174" s="17" t="s">
        <v>16</v>
      </c>
      <c r="E174" s="18">
        <f>ROUND(12682*1.05,2)</f>
      </c>
      <c r="F174" s="17" t="s">
        <v>17</v>
      </c>
      <c r="G174" s="17" t="s">
        <v>18</v>
      </c>
      <c r="H174" s="18">
        <f>ROUND(RAND()*4+6,1)</f>
      </c>
      <c r="I174" s="17" t="s">
        <v>19</v>
      </c>
      <c r="J174" s="19">
        <f>ROUND(96*1,0)&amp;"%"</f>
      </c>
    </row>
    <row x14ac:dyDescent="0.25" r="175" customHeight="1" ht="17.25">
      <c r="A175" s="20" t="s">
        <v>2608</v>
      </c>
      <c r="B175" s="20" t="s">
        <v>298</v>
      </c>
      <c r="C175" s="20" t="s">
        <v>15</v>
      </c>
      <c r="D175" s="20" t="s">
        <v>22</v>
      </c>
      <c r="E175" s="21">
        <f>ROUND(4871*1.05,2)</f>
      </c>
      <c r="F175" s="20" t="s">
        <v>23</v>
      </c>
      <c r="G175" s="20" t="s">
        <v>24</v>
      </c>
      <c r="H175" s="21">
        <f>ROUND(RAND()*4+6,1)</f>
      </c>
      <c r="I175" s="20" t="s">
        <v>25</v>
      </c>
      <c r="J175" s="23">
        <f>ROUND(89*1,0)&amp;"%"</f>
      </c>
    </row>
    <row x14ac:dyDescent="0.25" r="176" customHeight="1" ht="17.25">
      <c r="A176" s="17" t="s">
        <v>2609</v>
      </c>
      <c r="B176" s="17" t="s">
        <v>300</v>
      </c>
      <c r="C176" s="17" t="s">
        <v>15</v>
      </c>
      <c r="D176" s="17" t="s">
        <v>28</v>
      </c>
      <c r="E176" s="18">
        <f>ROUND(13066*1.05,2)</f>
      </c>
      <c r="F176" s="17" t="s">
        <v>29</v>
      </c>
      <c r="G176" s="17" t="s">
        <v>30</v>
      </c>
      <c r="H176" s="18">
        <f>ROUND(RAND()*4+6,1)</f>
      </c>
      <c r="I176" s="17" t="s">
        <v>31</v>
      </c>
      <c r="J176" s="19">
        <f>ROUND(93*1,0)&amp;"%"</f>
      </c>
    </row>
    <row x14ac:dyDescent="0.25" r="177" customHeight="1" ht="17.25">
      <c r="A177" s="20" t="s">
        <v>2610</v>
      </c>
      <c r="B177" s="20" t="s">
        <v>302</v>
      </c>
      <c r="C177" s="20" t="s">
        <v>15</v>
      </c>
      <c r="D177" s="20" t="s">
        <v>34</v>
      </c>
      <c r="E177" s="21">
        <f>ROUND(15346*1.05,2)</f>
      </c>
      <c r="F177" s="20" t="s">
        <v>35</v>
      </c>
      <c r="G177" s="20" t="s">
        <v>18</v>
      </c>
      <c r="H177" s="21">
        <f>ROUND(RAND()*4+6,1)</f>
      </c>
      <c r="I177" s="20" t="s">
        <v>36</v>
      </c>
      <c r="J177" s="23">
        <f>ROUND(87*1,0)&amp;"%"</f>
      </c>
    </row>
    <row x14ac:dyDescent="0.25" r="178" customHeight="1" ht="17.25">
      <c r="A178" s="17" t="s">
        <v>2611</v>
      </c>
      <c r="B178" s="17" t="s">
        <v>304</v>
      </c>
      <c r="C178" s="17" t="s">
        <v>15</v>
      </c>
      <c r="D178" s="17" t="s">
        <v>39</v>
      </c>
      <c r="E178" s="18">
        <f>ROUND(12450*1.05,2)</f>
      </c>
      <c r="F178" s="17" t="s">
        <v>40</v>
      </c>
      <c r="G178" s="17" t="s">
        <v>24</v>
      </c>
      <c r="H178" s="18">
        <f>ROUND(RAND()*4+6,1)</f>
      </c>
      <c r="I178" s="17" t="s">
        <v>41</v>
      </c>
      <c r="J178" s="19">
        <f>ROUND(68*1,0)&amp;"%"</f>
      </c>
    </row>
    <row x14ac:dyDescent="0.25" r="179" customHeight="1" ht="17.25">
      <c r="A179" s="20" t="s">
        <v>2612</v>
      </c>
      <c r="B179" s="20" t="s">
        <v>306</v>
      </c>
      <c r="C179" s="20" t="s">
        <v>15</v>
      </c>
      <c r="D179" s="20" t="s">
        <v>67</v>
      </c>
      <c r="E179" s="21">
        <f>ROUND(6558*1.05,2)</f>
      </c>
      <c r="F179" s="20" t="s">
        <v>44</v>
      </c>
      <c r="G179" s="20" t="s">
        <v>30</v>
      </c>
      <c r="H179" s="21">
        <f>ROUND(RAND()*4+6,1)</f>
      </c>
      <c r="I179" s="20" t="s">
        <v>45</v>
      </c>
      <c r="J179" s="23">
        <f>ROUND(84*1,0)&amp;"%"</f>
      </c>
    </row>
    <row x14ac:dyDescent="0.25" r="180" customHeight="1" ht="17.25">
      <c r="A180" s="17" t="s">
        <v>2613</v>
      </c>
      <c r="B180" s="17" t="s">
        <v>308</v>
      </c>
      <c r="C180" s="17" t="s">
        <v>15</v>
      </c>
      <c r="D180" s="17" t="s">
        <v>16</v>
      </c>
      <c r="E180" s="18">
        <f>ROUND(11453*1.05,2)</f>
      </c>
      <c r="F180" s="17" t="s">
        <v>48</v>
      </c>
      <c r="G180" s="17" t="s">
        <v>18</v>
      </c>
      <c r="H180" s="18">
        <f>ROUND(RAND()*4+6,1)</f>
      </c>
      <c r="I180" s="17" t="s">
        <v>19</v>
      </c>
      <c r="J180" s="19">
        <f>ROUND(93*1,0)&amp;"%"</f>
      </c>
    </row>
    <row x14ac:dyDescent="0.25" r="181" customHeight="1" ht="17.25">
      <c r="A181" s="20" t="s">
        <v>2614</v>
      </c>
      <c r="B181" s="20" t="s">
        <v>310</v>
      </c>
      <c r="C181" s="20" t="s">
        <v>15</v>
      </c>
      <c r="D181" s="20" t="s">
        <v>22</v>
      </c>
      <c r="E181" s="21">
        <f>ROUND(9389*1.05,2)</f>
      </c>
      <c r="F181" s="20" t="s">
        <v>51</v>
      </c>
      <c r="G181" s="20" t="s">
        <v>24</v>
      </c>
      <c r="H181" s="21">
        <f>ROUND(RAND()*4+6,1)</f>
      </c>
      <c r="I181" s="20" t="s">
        <v>25</v>
      </c>
      <c r="J181" s="23">
        <f>ROUND(80*1,0)&amp;"%"</f>
      </c>
    </row>
    <row x14ac:dyDescent="0.25" r="182" customHeight="1" ht="17.25">
      <c r="A182" s="24" t="s">
        <v>311</v>
      </c>
      <c r="B182" s="24"/>
      <c r="C182" s="24"/>
      <c r="D182" s="24"/>
      <c r="E182" s="25">
        <v>8</v>
      </c>
      <c r="F182" s="9"/>
      <c r="G182" s="9"/>
      <c r="H182" s="10"/>
      <c r="I182" s="9"/>
      <c r="J182" s="9"/>
    </row>
    <row x14ac:dyDescent="0.25" r="183" customHeight="1" ht="17.25">
      <c r="A183" s="7"/>
      <c r="B183" s="7"/>
      <c r="C183" s="7"/>
      <c r="D183" s="7"/>
      <c r="E183" s="8"/>
      <c r="F183" s="9"/>
      <c r="G183" s="9"/>
      <c r="H183" s="10"/>
      <c r="I183" s="9"/>
      <c r="J183" s="9"/>
    </row>
    <row x14ac:dyDescent="0.25" r="184" customHeight="1" ht="17.25">
      <c r="A184" s="11" t="s">
        <v>2615</v>
      </c>
      <c r="B184" s="11"/>
      <c r="C184" s="11"/>
      <c r="D184" s="11"/>
      <c r="E184" s="12"/>
      <c r="F184" s="11"/>
      <c r="G184" s="11"/>
      <c r="H184" s="13"/>
      <c r="I184" s="11"/>
      <c r="J184" s="11"/>
    </row>
    <row x14ac:dyDescent="0.25" r="185" customHeight="1" ht="17.25">
      <c r="A185" s="14" t="s">
        <v>3</v>
      </c>
      <c r="B185" s="14" t="s">
        <v>4</v>
      </c>
      <c r="C185" s="14" t="s">
        <v>5</v>
      </c>
      <c r="D185" s="14" t="s">
        <v>6</v>
      </c>
      <c r="E185" s="15" t="s">
        <v>7</v>
      </c>
      <c r="F185" s="14" t="s">
        <v>8</v>
      </c>
      <c r="G185" s="14" t="s">
        <v>9</v>
      </c>
      <c r="H185" s="16" t="s">
        <v>10</v>
      </c>
      <c r="I185" s="14" t="s">
        <v>11</v>
      </c>
      <c r="J185" s="14" t="s">
        <v>12</v>
      </c>
    </row>
    <row x14ac:dyDescent="0.25" r="186" customHeight="1" ht="17.25">
      <c r="A186" s="17" t="s">
        <v>2616</v>
      </c>
      <c r="B186" s="17" t="s">
        <v>314</v>
      </c>
      <c r="C186" s="17" t="s">
        <v>56</v>
      </c>
      <c r="D186" s="17" t="s">
        <v>16</v>
      </c>
      <c r="E186" s="18">
        <f>ROUND(6816*1.05,2)</f>
      </c>
      <c r="F186" s="17" t="s">
        <v>17</v>
      </c>
      <c r="G186" s="17" t="s">
        <v>18</v>
      </c>
      <c r="H186" s="18">
        <f>ROUND(RAND()*4+6,1)</f>
      </c>
      <c r="I186" s="17" t="s">
        <v>19</v>
      </c>
      <c r="J186" s="19">
        <f>ROUND(87*1,0)&amp;"%"</f>
      </c>
    </row>
    <row x14ac:dyDescent="0.25" r="187" customHeight="1" ht="17.25">
      <c r="A187" s="20" t="s">
        <v>2617</v>
      </c>
      <c r="B187" s="20" t="s">
        <v>316</v>
      </c>
      <c r="C187" s="20" t="s">
        <v>56</v>
      </c>
      <c r="D187" s="20" t="s">
        <v>22</v>
      </c>
      <c r="E187" s="21">
        <f>ROUND(6463*1.05,2)</f>
      </c>
      <c r="F187" s="20" t="s">
        <v>23</v>
      </c>
      <c r="G187" s="20" t="s">
        <v>24</v>
      </c>
      <c r="H187" s="21">
        <f>ROUND(RAND()*4+6,1)</f>
      </c>
      <c r="I187" s="20" t="s">
        <v>25</v>
      </c>
      <c r="J187" s="23">
        <f>ROUND(78*1,0)&amp;"%"</f>
      </c>
    </row>
    <row x14ac:dyDescent="0.25" r="188" customHeight="1" ht="17.25">
      <c r="A188" s="17" t="s">
        <v>2618</v>
      </c>
      <c r="B188" s="17" t="s">
        <v>318</v>
      </c>
      <c r="C188" s="17" t="s">
        <v>56</v>
      </c>
      <c r="D188" s="17" t="s">
        <v>28</v>
      </c>
      <c r="E188" s="18">
        <f>ROUND(15965*1.05,2)</f>
      </c>
      <c r="F188" s="17" t="s">
        <v>29</v>
      </c>
      <c r="G188" s="17" t="s">
        <v>30</v>
      </c>
      <c r="H188" s="18">
        <f>ROUND(RAND()*4+6,1)</f>
      </c>
      <c r="I188" s="17" t="s">
        <v>31</v>
      </c>
      <c r="J188" s="19">
        <f>ROUND(71*1,0)&amp;"%"</f>
      </c>
    </row>
    <row x14ac:dyDescent="0.25" r="189" customHeight="1" ht="17.25">
      <c r="A189" s="20" t="s">
        <v>2619</v>
      </c>
      <c r="B189" s="20" t="s">
        <v>320</v>
      </c>
      <c r="C189" s="20" t="s">
        <v>56</v>
      </c>
      <c r="D189" s="20" t="s">
        <v>34</v>
      </c>
      <c r="E189" s="21">
        <f>ROUND(17696*1.05,2)</f>
      </c>
      <c r="F189" s="20" t="s">
        <v>35</v>
      </c>
      <c r="G189" s="20" t="s">
        <v>18</v>
      </c>
      <c r="H189" s="21">
        <f>ROUND(RAND()*4+6,1)</f>
      </c>
      <c r="I189" s="20" t="s">
        <v>36</v>
      </c>
      <c r="J189" s="23">
        <f>ROUND(87*1,0)&amp;"%"</f>
      </c>
    </row>
    <row x14ac:dyDescent="0.25" r="190" customHeight="1" ht="17.25">
      <c r="A190" s="17" t="s">
        <v>2620</v>
      </c>
      <c r="B190" s="17" t="s">
        <v>322</v>
      </c>
      <c r="C190" s="17" t="s">
        <v>56</v>
      </c>
      <c r="D190" s="17" t="s">
        <v>39</v>
      </c>
      <c r="E190" s="18">
        <f>ROUND(6827*1.05,2)</f>
      </c>
      <c r="F190" s="17" t="s">
        <v>40</v>
      </c>
      <c r="G190" s="17" t="s">
        <v>24</v>
      </c>
      <c r="H190" s="18">
        <f>ROUND(RAND()*4+6,1)</f>
      </c>
      <c r="I190" s="17" t="s">
        <v>41</v>
      </c>
      <c r="J190" s="19">
        <f>ROUND(87*1,0)&amp;"%"</f>
      </c>
    </row>
    <row x14ac:dyDescent="0.25" r="191" customHeight="1" ht="17.25">
      <c r="A191" s="20" t="s">
        <v>2621</v>
      </c>
      <c r="B191" s="20" t="s">
        <v>324</v>
      </c>
      <c r="C191" s="20" t="s">
        <v>56</v>
      </c>
      <c r="D191" s="20" t="s">
        <v>67</v>
      </c>
      <c r="E191" s="21">
        <f>ROUND(8821*1.05,2)</f>
      </c>
      <c r="F191" s="20" t="s">
        <v>44</v>
      </c>
      <c r="G191" s="20" t="s">
        <v>30</v>
      </c>
      <c r="H191" s="22">
        <f>ROUND(RAND()*4+6,1)</f>
      </c>
      <c r="I191" s="20" t="s">
        <v>45</v>
      </c>
      <c r="J191" s="23">
        <f>ROUND(84*1,0)&amp;"%"</f>
      </c>
    </row>
    <row x14ac:dyDescent="0.25" r="192" customHeight="1" ht="17.25">
      <c r="A192" s="17" t="s">
        <v>2622</v>
      </c>
      <c r="B192" s="17" t="s">
        <v>326</v>
      </c>
      <c r="C192" s="17" t="s">
        <v>56</v>
      </c>
      <c r="D192" s="17" t="s">
        <v>16</v>
      </c>
      <c r="E192" s="18">
        <f>ROUND(9038*1.05,2)</f>
      </c>
      <c r="F192" s="17" t="s">
        <v>48</v>
      </c>
      <c r="G192" s="17" t="s">
        <v>18</v>
      </c>
      <c r="H192" s="18">
        <f>ROUND(RAND()*4+6,1)</f>
      </c>
      <c r="I192" s="17" t="s">
        <v>19</v>
      </c>
      <c r="J192" s="19">
        <f>ROUND(93*1,0)&amp;"%"</f>
      </c>
    </row>
    <row x14ac:dyDescent="0.25" r="193" customHeight="1" ht="17.25">
      <c r="A193" s="20" t="s">
        <v>2623</v>
      </c>
      <c r="B193" s="20" t="s">
        <v>328</v>
      </c>
      <c r="C193" s="20" t="s">
        <v>56</v>
      </c>
      <c r="D193" s="20" t="s">
        <v>22</v>
      </c>
      <c r="E193" s="21">
        <f>ROUND(15165*1.05,2)</f>
      </c>
      <c r="F193" s="20" t="s">
        <v>51</v>
      </c>
      <c r="G193" s="20" t="s">
        <v>24</v>
      </c>
      <c r="H193" s="21">
        <f>ROUND(RAND()*4+6,1)</f>
      </c>
      <c r="I193" s="20" t="s">
        <v>25</v>
      </c>
      <c r="J193" s="23">
        <f>ROUND(75*1,0)&amp;"%"</f>
      </c>
    </row>
    <row x14ac:dyDescent="0.25" r="194" customHeight="1" ht="17.25">
      <c r="A194" s="24" t="s">
        <v>329</v>
      </c>
      <c r="B194" s="24"/>
      <c r="C194" s="24"/>
      <c r="D194" s="24"/>
      <c r="E194" s="25">
        <v>8</v>
      </c>
      <c r="F194" s="9"/>
      <c r="G194" s="9"/>
      <c r="H194" s="10"/>
      <c r="I194" s="9"/>
      <c r="J194" s="9"/>
    </row>
    <row x14ac:dyDescent="0.25" r="195" customHeight="1" ht="17.25">
      <c r="A195" s="7"/>
      <c r="B195" s="7"/>
      <c r="C195" s="7"/>
      <c r="D195" s="7"/>
      <c r="E195" s="8"/>
      <c r="F195" s="9"/>
      <c r="G195" s="9"/>
      <c r="H195" s="10"/>
      <c r="I195" s="9"/>
      <c r="J195" s="9"/>
    </row>
    <row x14ac:dyDescent="0.25" r="196" customHeight="1" ht="17.25">
      <c r="A196" s="11" t="s">
        <v>2624</v>
      </c>
      <c r="B196" s="11"/>
      <c r="C196" s="11"/>
      <c r="D196" s="11"/>
      <c r="E196" s="12"/>
      <c r="F196" s="11"/>
      <c r="G196" s="11"/>
      <c r="H196" s="13"/>
      <c r="I196" s="11"/>
      <c r="J196" s="11"/>
    </row>
    <row x14ac:dyDescent="0.25" r="197" customHeight="1" ht="17.25">
      <c r="A197" s="14" t="s">
        <v>3</v>
      </c>
      <c r="B197" s="14" t="s">
        <v>4</v>
      </c>
      <c r="C197" s="14" t="s">
        <v>5</v>
      </c>
      <c r="D197" s="14" t="s">
        <v>6</v>
      </c>
      <c r="E197" s="15" t="s">
        <v>7</v>
      </c>
      <c r="F197" s="14" t="s">
        <v>8</v>
      </c>
      <c r="G197" s="14" t="s">
        <v>9</v>
      </c>
      <c r="H197" s="16" t="s">
        <v>10</v>
      </c>
      <c r="I197" s="14" t="s">
        <v>11</v>
      </c>
      <c r="J197" s="14" t="s">
        <v>12</v>
      </c>
    </row>
    <row x14ac:dyDescent="0.25" r="198" customHeight="1" ht="17.25">
      <c r="A198" s="17" t="s">
        <v>2625</v>
      </c>
      <c r="B198" s="17" t="s">
        <v>332</v>
      </c>
      <c r="C198" s="17" t="s">
        <v>76</v>
      </c>
      <c r="D198" s="17" t="s">
        <v>16</v>
      </c>
      <c r="E198" s="18">
        <f>ROUND(14101*1.05,2)</f>
      </c>
      <c r="F198" s="17" t="s">
        <v>17</v>
      </c>
      <c r="G198" s="17" t="s">
        <v>18</v>
      </c>
      <c r="H198" s="18">
        <f>ROUND(RAND()*4+6,1)</f>
      </c>
      <c r="I198" s="17" t="s">
        <v>19</v>
      </c>
      <c r="J198" s="19">
        <f>ROUND(70*1,0)&amp;"%"</f>
      </c>
    </row>
    <row x14ac:dyDescent="0.25" r="199" customHeight="1" ht="17.25">
      <c r="A199" s="20" t="s">
        <v>2626</v>
      </c>
      <c r="B199" s="20" t="s">
        <v>334</v>
      </c>
      <c r="C199" s="20" t="s">
        <v>76</v>
      </c>
      <c r="D199" s="20" t="s">
        <v>22</v>
      </c>
      <c r="E199" s="21">
        <f>ROUND(17241*1.05,2)</f>
      </c>
      <c r="F199" s="20" t="s">
        <v>23</v>
      </c>
      <c r="G199" s="20" t="s">
        <v>24</v>
      </c>
      <c r="H199" s="21">
        <f>ROUND(RAND()*4+6,1)</f>
      </c>
      <c r="I199" s="20" t="s">
        <v>25</v>
      </c>
      <c r="J199" s="23">
        <f>ROUND(84*1,0)&amp;"%"</f>
      </c>
    </row>
    <row x14ac:dyDescent="0.25" r="200" customHeight="1" ht="17.25">
      <c r="A200" s="17" t="s">
        <v>2627</v>
      </c>
      <c r="B200" s="17" t="s">
        <v>336</v>
      </c>
      <c r="C200" s="17" t="s">
        <v>76</v>
      </c>
      <c r="D200" s="17" t="s">
        <v>28</v>
      </c>
      <c r="E200" s="18">
        <f>ROUND(9056*1.05,2)</f>
      </c>
      <c r="F200" s="17" t="s">
        <v>29</v>
      </c>
      <c r="G200" s="17" t="s">
        <v>30</v>
      </c>
      <c r="H200" s="18">
        <f>ROUND(RAND()*4+6,1)</f>
      </c>
      <c r="I200" s="17" t="s">
        <v>31</v>
      </c>
      <c r="J200" s="19">
        <f>ROUND(88*1,0)&amp;"%"</f>
      </c>
    </row>
    <row x14ac:dyDescent="0.25" r="201" customHeight="1" ht="17.25">
      <c r="A201" s="20" t="s">
        <v>2628</v>
      </c>
      <c r="B201" s="20" t="s">
        <v>338</v>
      </c>
      <c r="C201" s="20" t="s">
        <v>76</v>
      </c>
      <c r="D201" s="20" t="s">
        <v>34</v>
      </c>
      <c r="E201" s="21">
        <f>ROUND(9639*1.05,2)</f>
      </c>
      <c r="F201" s="20" t="s">
        <v>35</v>
      </c>
      <c r="G201" s="20" t="s">
        <v>18</v>
      </c>
      <c r="H201" s="21">
        <f>ROUND(RAND()*4+6,1)</f>
      </c>
      <c r="I201" s="20" t="s">
        <v>36</v>
      </c>
      <c r="J201" s="23">
        <f>ROUND(70*1,0)&amp;"%"</f>
      </c>
    </row>
    <row x14ac:dyDescent="0.25" r="202" customHeight="1" ht="17.25">
      <c r="A202" s="17" t="s">
        <v>2629</v>
      </c>
      <c r="B202" s="17" t="s">
        <v>340</v>
      </c>
      <c r="C202" s="17" t="s">
        <v>76</v>
      </c>
      <c r="D202" s="17" t="s">
        <v>39</v>
      </c>
      <c r="E202" s="18">
        <f>ROUND(16548*1.05,2)</f>
      </c>
      <c r="F202" s="17" t="s">
        <v>40</v>
      </c>
      <c r="G202" s="17" t="s">
        <v>24</v>
      </c>
      <c r="H202" s="18">
        <f>ROUND(RAND()*4+6,1)</f>
      </c>
      <c r="I202" s="17" t="s">
        <v>41</v>
      </c>
      <c r="J202" s="19">
        <f>ROUND(64*1,0)&amp;"%"</f>
      </c>
    </row>
    <row x14ac:dyDescent="0.25" r="203" customHeight="1" ht="17.25">
      <c r="A203" s="20" t="s">
        <v>2630</v>
      </c>
      <c r="B203" s="20" t="s">
        <v>342</v>
      </c>
      <c r="C203" s="20" t="s">
        <v>76</v>
      </c>
      <c r="D203" s="20" t="s">
        <v>67</v>
      </c>
      <c r="E203" s="21">
        <f>ROUND(12493*1.05,2)</f>
      </c>
      <c r="F203" s="20" t="s">
        <v>44</v>
      </c>
      <c r="G203" s="20" t="s">
        <v>30</v>
      </c>
      <c r="H203" s="21">
        <f>ROUND(RAND()*4+6,1)</f>
      </c>
      <c r="I203" s="20" t="s">
        <v>45</v>
      </c>
      <c r="J203" s="23">
        <f>ROUND(78*1,0)&amp;"%"</f>
      </c>
    </row>
    <row x14ac:dyDescent="0.25" r="204" customHeight="1" ht="17.25">
      <c r="A204" s="17" t="s">
        <v>2631</v>
      </c>
      <c r="B204" s="17" t="s">
        <v>344</v>
      </c>
      <c r="C204" s="17" t="s">
        <v>76</v>
      </c>
      <c r="D204" s="17" t="s">
        <v>16</v>
      </c>
      <c r="E204" s="18">
        <f>ROUND(4938*1.05,2)</f>
      </c>
      <c r="F204" s="17" t="s">
        <v>48</v>
      </c>
      <c r="G204" s="17" t="s">
        <v>18</v>
      </c>
      <c r="H204" s="18">
        <f>ROUND(RAND()*4+6,1)</f>
      </c>
      <c r="I204" s="17" t="s">
        <v>19</v>
      </c>
      <c r="J204" s="19">
        <f>ROUND(83*1,0)&amp;"%"</f>
      </c>
    </row>
    <row x14ac:dyDescent="0.25" r="205" customHeight="1" ht="17.25">
      <c r="A205" s="20" t="s">
        <v>2632</v>
      </c>
      <c r="B205" s="20" t="s">
        <v>346</v>
      </c>
      <c r="C205" s="20" t="s">
        <v>76</v>
      </c>
      <c r="D205" s="20" t="s">
        <v>22</v>
      </c>
      <c r="E205" s="21">
        <f>ROUND(4755*1.05,2)</f>
      </c>
      <c r="F205" s="20" t="s">
        <v>51</v>
      </c>
      <c r="G205" s="20" t="s">
        <v>24</v>
      </c>
      <c r="H205" s="21">
        <f>ROUND(RAND()*4+6,1)</f>
      </c>
      <c r="I205" s="20" t="s">
        <v>25</v>
      </c>
      <c r="J205" s="23">
        <f>ROUND(72*1,0)&amp;"%"</f>
      </c>
    </row>
    <row x14ac:dyDescent="0.25" r="206" customHeight="1" ht="17.25">
      <c r="A206" s="24" t="s">
        <v>347</v>
      </c>
      <c r="B206" s="24"/>
      <c r="C206" s="24"/>
      <c r="D206" s="24"/>
      <c r="E206" s="25">
        <v>8</v>
      </c>
      <c r="F206" s="9"/>
      <c r="G206" s="9"/>
      <c r="H206" s="10"/>
      <c r="I206" s="9"/>
      <c r="J206" s="9"/>
    </row>
    <row x14ac:dyDescent="0.25" r="207" customHeight="1" ht="17.25">
      <c r="A207" s="7"/>
      <c r="B207" s="7"/>
      <c r="C207" s="7"/>
      <c r="D207" s="7"/>
      <c r="E207" s="8"/>
      <c r="F207" s="9"/>
      <c r="G207" s="9"/>
      <c r="H207" s="10"/>
      <c r="I207" s="9"/>
      <c r="J207" s="9"/>
    </row>
    <row x14ac:dyDescent="0.25" r="208" customHeight="1" ht="17.25">
      <c r="A208" s="11" t="s">
        <v>2633</v>
      </c>
      <c r="B208" s="11"/>
      <c r="C208" s="11"/>
      <c r="D208" s="11"/>
      <c r="E208" s="12"/>
      <c r="F208" s="11"/>
      <c r="G208" s="11"/>
      <c r="H208" s="13"/>
      <c r="I208" s="11"/>
      <c r="J208" s="11"/>
    </row>
    <row x14ac:dyDescent="0.25" r="209" customHeight="1" ht="17.25">
      <c r="A209" s="14" t="s">
        <v>3</v>
      </c>
      <c r="B209" s="14" t="s">
        <v>4</v>
      </c>
      <c r="C209" s="14" t="s">
        <v>5</v>
      </c>
      <c r="D209" s="14" t="s">
        <v>6</v>
      </c>
      <c r="E209" s="15" t="s">
        <v>7</v>
      </c>
      <c r="F209" s="14" t="s">
        <v>8</v>
      </c>
      <c r="G209" s="14" t="s">
        <v>9</v>
      </c>
      <c r="H209" s="16" t="s">
        <v>10</v>
      </c>
      <c r="I209" s="14" t="s">
        <v>11</v>
      </c>
      <c r="J209" s="14" t="s">
        <v>12</v>
      </c>
    </row>
    <row x14ac:dyDescent="0.25" r="210" customHeight="1" ht="17.25">
      <c r="A210" s="17" t="s">
        <v>2634</v>
      </c>
      <c r="B210" s="17" t="s">
        <v>350</v>
      </c>
      <c r="C210" s="17" t="s">
        <v>95</v>
      </c>
      <c r="D210" s="17" t="s">
        <v>16</v>
      </c>
      <c r="E210" s="18">
        <f>ROUND(15794*1.05,2)</f>
      </c>
      <c r="F210" s="17" t="s">
        <v>17</v>
      </c>
      <c r="G210" s="17" t="s">
        <v>18</v>
      </c>
      <c r="H210" s="18">
        <f>ROUND(RAND()*4+6,1)</f>
      </c>
      <c r="I210" s="17" t="s">
        <v>19</v>
      </c>
      <c r="J210" s="19">
        <f>ROUND(84*1,0)&amp;"%"</f>
      </c>
    </row>
    <row x14ac:dyDescent="0.25" r="211" customHeight="1" ht="17.25">
      <c r="A211" s="20" t="s">
        <v>2635</v>
      </c>
      <c r="B211" s="20" t="s">
        <v>352</v>
      </c>
      <c r="C211" s="20" t="s">
        <v>95</v>
      </c>
      <c r="D211" s="20" t="s">
        <v>22</v>
      </c>
      <c r="E211" s="21">
        <f>ROUND(12602*1.05,2)</f>
      </c>
      <c r="F211" s="20" t="s">
        <v>23</v>
      </c>
      <c r="G211" s="20" t="s">
        <v>24</v>
      </c>
      <c r="H211" s="21">
        <f>ROUND(RAND()*4+6,1)</f>
      </c>
      <c r="I211" s="20" t="s">
        <v>25</v>
      </c>
      <c r="J211" s="23">
        <f>ROUND(93*1,0)&amp;"%"</f>
      </c>
    </row>
    <row x14ac:dyDescent="0.25" r="212" customHeight="1" ht="17.25">
      <c r="A212" s="17" t="s">
        <v>2636</v>
      </c>
      <c r="B212" s="17" t="s">
        <v>354</v>
      </c>
      <c r="C212" s="17" t="s">
        <v>95</v>
      </c>
      <c r="D212" s="17" t="s">
        <v>28</v>
      </c>
      <c r="E212" s="18">
        <f>ROUND(13566*1.05,2)</f>
      </c>
      <c r="F212" s="17" t="s">
        <v>29</v>
      </c>
      <c r="G212" s="17" t="s">
        <v>30</v>
      </c>
      <c r="H212" s="18">
        <f>ROUND(RAND()*4+6,1)</f>
      </c>
      <c r="I212" s="17" t="s">
        <v>31</v>
      </c>
      <c r="J212" s="19">
        <f>ROUND(76*1,0)&amp;"%"</f>
      </c>
    </row>
    <row x14ac:dyDescent="0.25" r="213" customHeight="1" ht="17.25">
      <c r="A213" s="20" t="s">
        <v>2637</v>
      </c>
      <c r="B213" s="20" t="s">
        <v>356</v>
      </c>
      <c r="C213" s="20" t="s">
        <v>95</v>
      </c>
      <c r="D213" s="20" t="s">
        <v>34</v>
      </c>
      <c r="E213" s="21">
        <f>ROUND(12517*1.05,2)</f>
      </c>
      <c r="F213" s="20" t="s">
        <v>35</v>
      </c>
      <c r="G213" s="20" t="s">
        <v>18</v>
      </c>
      <c r="H213" s="21">
        <f>ROUND(RAND()*4+6,1)</f>
      </c>
      <c r="I213" s="20" t="s">
        <v>36</v>
      </c>
      <c r="J213" s="23">
        <f>ROUND(73*1,0)&amp;"%"</f>
      </c>
    </row>
    <row x14ac:dyDescent="0.25" r="214" customHeight="1" ht="17.25">
      <c r="A214" s="17" t="s">
        <v>2638</v>
      </c>
      <c r="B214" s="17" t="s">
        <v>358</v>
      </c>
      <c r="C214" s="17" t="s">
        <v>95</v>
      </c>
      <c r="D214" s="17" t="s">
        <v>39</v>
      </c>
      <c r="E214" s="18">
        <f>ROUND(7251*1.05,2)</f>
      </c>
      <c r="F214" s="17" t="s">
        <v>40</v>
      </c>
      <c r="G214" s="17" t="s">
        <v>24</v>
      </c>
      <c r="H214" s="26">
        <f>ROUND(RAND()*4+6,1)</f>
      </c>
      <c r="I214" s="17" t="s">
        <v>41</v>
      </c>
      <c r="J214" s="19">
        <f>ROUND(83*1,0)&amp;"%"</f>
      </c>
    </row>
    <row x14ac:dyDescent="0.25" r="215" customHeight="1" ht="17.25">
      <c r="A215" s="20" t="s">
        <v>2639</v>
      </c>
      <c r="B215" s="20" t="s">
        <v>360</v>
      </c>
      <c r="C215" s="20" t="s">
        <v>95</v>
      </c>
      <c r="D215" s="20" t="s">
        <v>67</v>
      </c>
      <c r="E215" s="21">
        <f>ROUND(4163*1.05,2)</f>
      </c>
      <c r="F215" s="20" t="s">
        <v>44</v>
      </c>
      <c r="G215" s="20" t="s">
        <v>30</v>
      </c>
      <c r="H215" s="21">
        <f>ROUND(RAND()*4+6,1)</f>
      </c>
      <c r="I215" s="20" t="s">
        <v>45</v>
      </c>
      <c r="J215" s="23">
        <f>ROUND(72*1,0)&amp;"%"</f>
      </c>
    </row>
    <row x14ac:dyDescent="0.25" r="216" customHeight="1" ht="17.25">
      <c r="A216" s="17" t="s">
        <v>2640</v>
      </c>
      <c r="B216" s="17" t="s">
        <v>362</v>
      </c>
      <c r="C216" s="17" t="s">
        <v>95</v>
      </c>
      <c r="D216" s="17" t="s">
        <v>16</v>
      </c>
      <c r="E216" s="18">
        <f>ROUND(9996*1.05,2)</f>
      </c>
      <c r="F216" s="17" t="s">
        <v>48</v>
      </c>
      <c r="G216" s="17" t="s">
        <v>18</v>
      </c>
      <c r="H216" s="18">
        <f>ROUND(RAND()*4+6,1)</f>
      </c>
      <c r="I216" s="17" t="s">
        <v>19</v>
      </c>
      <c r="J216" s="19">
        <f>ROUND(68*1,0)&amp;"%"</f>
      </c>
    </row>
    <row x14ac:dyDescent="0.25" r="217" customHeight="1" ht="17.25">
      <c r="A217" s="20" t="s">
        <v>2641</v>
      </c>
      <c r="B217" s="20" t="s">
        <v>364</v>
      </c>
      <c r="C217" s="20" t="s">
        <v>95</v>
      </c>
      <c r="D217" s="20" t="s">
        <v>22</v>
      </c>
      <c r="E217" s="21">
        <f>ROUND(7056*1.05,2)</f>
      </c>
      <c r="F217" s="20" t="s">
        <v>51</v>
      </c>
      <c r="G217" s="20" t="s">
        <v>24</v>
      </c>
      <c r="H217" s="21">
        <f>ROUND(RAND()*4+6,1)</f>
      </c>
      <c r="I217" s="20" t="s">
        <v>25</v>
      </c>
      <c r="J217" s="23">
        <f>ROUND(77*1,0)&amp;"%"</f>
      </c>
    </row>
    <row x14ac:dyDescent="0.25" r="218" customHeight="1" ht="17.25">
      <c r="A218" s="24" t="s">
        <v>365</v>
      </c>
      <c r="B218" s="24"/>
      <c r="C218" s="24"/>
      <c r="D218" s="24"/>
      <c r="E218" s="25">
        <v>8</v>
      </c>
      <c r="F218" s="9"/>
      <c r="G218" s="9"/>
      <c r="H218" s="10"/>
      <c r="I218" s="9"/>
      <c r="J218" s="9"/>
    </row>
    <row x14ac:dyDescent="0.25" r="219" customHeight="1" ht="17.25">
      <c r="A219" s="7"/>
      <c r="B219" s="7"/>
      <c r="C219" s="7"/>
      <c r="D219" s="7"/>
      <c r="E219" s="8"/>
      <c r="F219" s="9"/>
      <c r="G219" s="9"/>
      <c r="H219" s="10"/>
      <c r="I219" s="9"/>
      <c r="J219" s="9"/>
    </row>
    <row x14ac:dyDescent="0.25" r="220" customHeight="1" ht="17.25">
      <c r="A220" s="11" t="s">
        <v>2642</v>
      </c>
      <c r="B220" s="11"/>
      <c r="C220" s="11"/>
      <c r="D220" s="11"/>
      <c r="E220" s="12"/>
      <c r="F220" s="11"/>
      <c r="G220" s="11"/>
      <c r="H220" s="13"/>
      <c r="I220" s="11"/>
      <c r="J220" s="11"/>
    </row>
    <row x14ac:dyDescent="0.25" r="221" customHeight="1" ht="17.25">
      <c r="A221" s="14" t="s">
        <v>3</v>
      </c>
      <c r="B221" s="14" t="s">
        <v>4</v>
      </c>
      <c r="C221" s="14" t="s">
        <v>5</v>
      </c>
      <c r="D221" s="14" t="s">
        <v>6</v>
      </c>
      <c r="E221" s="15" t="s">
        <v>7</v>
      </c>
      <c r="F221" s="14" t="s">
        <v>8</v>
      </c>
      <c r="G221" s="14" t="s">
        <v>9</v>
      </c>
      <c r="H221" s="16" t="s">
        <v>10</v>
      </c>
      <c r="I221" s="14" t="s">
        <v>11</v>
      </c>
      <c r="J221" s="14" t="s">
        <v>12</v>
      </c>
    </row>
    <row x14ac:dyDescent="0.25" r="222" customHeight="1" ht="17.25">
      <c r="A222" s="17" t="s">
        <v>2643</v>
      </c>
      <c r="B222" s="17" t="s">
        <v>368</v>
      </c>
      <c r="C222" s="17" t="s">
        <v>114</v>
      </c>
      <c r="D222" s="17" t="s">
        <v>16</v>
      </c>
      <c r="E222" s="18">
        <f>ROUND(6372*1.05,2)</f>
      </c>
      <c r="F222" s="17" t="s">
        <v>17</v>
      </c>
      <c r="G222" s="17" t="s">
        <v>18</v>
      </c>
      <c r="H222" s="18">
        <f>ROUND(RAND()*4+6,1)</f>
      </c>
      <c r="I222" s="17" t="s">
        <v>19</v>
      </c>
      <c r="J222" s="19">
        <f>ROUND(68*1,0)&amp;"%"</f>
      </c>
    </row>
    <row x14ac:dyDescent="0.25" r="223" customHeight="1" ht="17.25">
      <c r="A223" s="20" t="s">
        <v>2644</v>
      </c>
      <c r="B223" s="20" t="s">
        <v>370</v>
      </c>
      <c r="C223" s="20" t="s">
        <v>114</v>
      </c>
      <c r="D223" s="20" t="s">
        <v>22</v>
      </c>
      <c r="E223" s="21">
        <f>ROUND(12555*1.05,2)</f>
      </c>
      <c r="F223" s="20" t="s">
        <v>23</v>
      </c>
      <c r="G223" s="20" t="s">
        <v>24</v>
      </c>
      <c r="H223" s="21">
        <f>ROUND(RAND()*4+6,1)</f>
      </c>
      <c r="I223" s="20" t="s">
        <v>25</v>
      </c>
      <c r="J223" s="23">
        <f>ROUND(94*1,0)&amp;"%"</f>
      </c>
    </row>
    <row x14ac:dyDescent="0.25" r="224" customHeight="1" ht="17.25">
      <c r="A224" s="17" t="s">
        <v>2645</v>
      </c>
      <c r="B224" s="17" t="s">
        <v>372</v>
      </c>
      <c r="C224" s="17" t="s">
        <v>114</v>
      </c>
      <c r="D224" s="17" t="s">
        <v>28</v>
      </c>
      <c r="E224" s="18">
        <f>ROUND(9566*1.05,2)</f>
      </c>
      <c r="F224" s="17" t="s">
        <v>29</v>
      </c>
      <c r="G224" s="17" t="s">
        <v>30</v>
      </c>
      <c r="H224" s="18">
        <f>ROUND(RAND()*4+6,1)</f>
      </c>
      <c r="I224" s="17" t="s">
        <v>31</v>
      </c>
      <c r="J224" s="19">
        <f>ROUND(66*1,0)&amp;"%"</f>
      </c>
    </row>
    <row x14ac:dyDescent="0.25" r="225" customHeight="1" ht="17.25">
      <c r="A225" s="20" t="s">
        <v>2646</v>
      </c>
      <c r="B225" s="20" t="s">
        <v>374</v>
      </c>
      <c r="C225" s="20" t="s">
        <v>114</v>
      </c>
      <c r="D225" s="20" t="s">
        <v>34</v>
      </c>
      <c r="E225" s="21">
        <f>ROUND(15068*1.05,2)</f>
      </c>
      <c r="F225" s="20" t="s">
        <v>35</v>
      </c>
      <c r="G225" s="20" t="s">
        <v>18</v>
      </c>
      <c r="H225" s="21">
        <f>ROUND(RAND()*4+6,1)</f>
      </c>
      <c r="I225" s="20" t="s">
        <v>36</v>
      </c>
      <c r="J225" s="23">
        <f>ROUND(92*1,0)&amp;"%"</f>
      </c>
    </row>
    <row x14ac:dyDescent="0.25" r="226" customHeight="1" ht="17.25">
      <c r="A226" s="17" t="s">
        <v>2647</v>
      </c>
      <c r="B226" s="17" t="s">
        <v>376</v>
      </c>
      <c r="C226" s="17" t="s">
        <v>114</v>
      </c>
      <c r="D226" s="17" t="s">
        <v>39</v>
      </c>
      <c r="E226" s="26">
        <f>ROUND(8200*1.05,2)</f>
      </c>
      <c r="F226" s="17" t="s">
        <v>40</v>
      </c>
      <c r="G226" s="17" t="s">
        <v>24</v>
      </c>
      <c r="H226" s="18">
        <f>ROUND(RAND()*4+6,1)</f>
      </c>
      <c r="I226" s="17" t="s">
        <v>41</v>
      </c>
      <c r="J226" s="19">
        <f>ROUND(68*1,0)&amp;"%"</f>
      </c>
    </row>
    <row x14ac:dyDescent="0.25" r="227" customHeight="1" ht="17.25">
      <c r="A227" s="20" t="s">
        <v>2648</v>
      </c>
      <c r="B227" s="20" t="s">
        <v>378</v>
      </c>
      <c r="C227" s="20" t="s">
        <v>114</v>
      </c>
      <c r="D227" s="20" t="s">
        <v>67</v>
      </c>
      <c r="E227" s="21">
        <f>ROUND(16889*1.05,2)</f>
      </c>
      <c r="F227" s="20" t="s">
        <v>44</v>
      </c>
      <c r="G227" s="20" t="s">
        <v>30</v>
      </c>
      <c r="H227" s="21">
        <f>ROUND(RAND()*4+6,1)</f>
      </c>
      <c r="I227" s="20" t="s">
        <v>45</v>
      </c>
      <c r="J227" s="23">
        <f>ROUND(79*1,0)&amp;"%"</f>
      </c>
    </row>
    <row x14ac:dyDescent="0.25" r="228" customHeight="1" ht="17.25">
      <c r="A228" s="17" t="s">
        <v>2649</v>
      </c>
      <c r="B228" s="17" t="s">
        <v>380</v>
      </c>
      <c r="C228" s="17" t="s">
        <v>114</v>
      </c>
      <c r="D228" s="17" t="s">
        <v>16</v>
      </c>
      <c r="E228" s="18">
        <f>ROUND(6272*1.05,2)</f>
      </c>
      <c r="F228" s="17" t="s">
        <v>48</v>
      </c>
      <c r="G228" s="17" t="s">
        <v>18</v>
      </c>
      <c r="H228" s="18">
        <f>ROUND(RAND()*4+6,1)</f>
      </c>
      <c r="I228" s="17" t="s">
        <v>19</v>
      </c>
      <c r="J228" s="19">
        <f>ROUND(75*1,0)&amp;"%"</f>
      </c>
    </row>
    <row x14ac:dyDescent="0.25" r="229" customHeight="1" ht="17.25">
      <c r="A229" s="20" t="s">
        <v>2650</v>
      </c>
      <c r="B229" s="20" t="s">
        <v>382</v>
      </c>
      <c r="C229" s="20" t="s">
        <v>114</v>
      </c>
      <c r="D229" s="20" t="s">
        <v>22</v>
      </c>
      <c r="E229" s="21">
        <f>ROUND(4938*1.05,2)</f>
      </c>
      <c r="F229" s="20" t="s">
        <v>51</v>
      </c>
      <c r="G229" s="20" t="s">
        <v>24</v>
      </c>
      <c r="H229" s="21">
        <f>ROUND(RAND()*4+6,1)</f>
      </c>
      <c r="I229" s="20" t="s">
        <v>25</v>
      </c>
      <c r="J229" s="23">
        <f>ROUND(60*1,0)&amp;"%"</f>
      </c>
    </row>
    <row x14ac:dyDescent="0.25" r="230" customHeight="1" ht="17.25">
      <c r="A230" s="24" t="s">
        <v>383</v>
      </c>
      <c r="B230" s="24"/>
      <c r="C230" s="24"/>
      <c r="D230" s="24"/>
      <c r="E230" s="25">
        <v>8</v>
      </c>
      <c r="F230" s="9"/>
      <c r="G230" s="9"/>
      <c r="H230" s="10"/>
      <c r="I230" s="9"/>
      <c r="J230" s="9"/>
    </row>
    <row x14ac:dyDescent="0.25" r="231" customHeight="1" ht="17.25">
      <c r="A231" s="7"/>
      <c r="B231" s="7"/>
      <c r="C231" s="7"/>
      <c r="D231" s="7"/>
      <c r="E231" s="8"/>
      <c r="F231" s="9"/>
      <c r="G231" s="9"/>
      <c r="H231" s="10"/>
      <c r="I231" s="9"/>
      <c r="J231" s="9"/>
    </row>
    <row x14ac:dyDescent="0.25" r="232" customHeight="1" ht="17.25">
      <c r="A232" s="11" t="s">
        <v>2651</v>
      </c>
      <c r="B232" s="11"/>
      <c r="C232" s="11"/>
      <c r="D232" s="11"/>
      <c r="E232" s="12"/>
      <c r="F232" s="11"/>
      <c r="G232" s="11"/>
      <c r="H232" s="13"/>
      <c r="I232" s="11"/>
      <c r="J232" s="11"/>
    </row>
    <row x14ac:dyDescent="0.25" r="233" customHeight="1" ht="17.25">
      <c r="A233" s="14" t="s">
        <v>3</v>
      </c>
      <c r="B233" s="14" t="s">
        <v>4</v>
      </c>
      <c r="C233" s="14" t="s">
        <v>5</v>
      </c>
      <c r="D233" s="14" t="s">
        <v>6</v>
      </c>
      <c r="E233" s="15" t="s">
        <v>7</v>
      </c>
      <c r="F233" s="14" t="s">
        <v>8</v>
      </c>
      <c r="G233" s="14" t="s">
        <v>9</v>
      </c>
      <c r="H233" s="16" t="s">
        <v>10</v>
      </c>
      <c r="I233" s="14" t="s">
        <v>11</v>
      </c>
      <c r="J233" s="14" t="s">
        <v>12</v>
      </c>
    </row>
    <row x14ac:dyDescent="0.25" r="234" customHeight="1" ht="17.25">
      <c r="A234" s="17" t="s">
        <v>2652</v>
      </c>
      <c r="B234" s="17" t="s">
        <v>386</v>
      </c>
      <c r="C234" s="17" t="s">
        <v>133</v>
      </c>
      <c r="D234" s="17" t="s">
        <v>16</v>
      </c>
      <c r="E234" s="18">
        <f>ROUND(16968*1.05,2)</f>
      </c>
      <c r="F234" s="17" t="s">
        <v>17</v>
      </c>
      <c r="G234" s="17" t="s">
        <v>18</v>
      </c>
      <c r="H234" s="18">
        <f>ROUND(RAND()*4+6,1)</f>
      </c>
      <c r="I234" s="17" t="s">
        <v>19</v>
      </c>
      <c r="J234" s="19">
        <f>ROUND(98*1,0)&amp;"%"</f>
      </c>
    </row>
    <row x14ac:dyDescent="0.25" r="235" customHeight="1" ht="17.25">
      <c r="A235" s="20" t="s">
        <v>2653</v>
      </c>
      <c r="B235" s="20" t="s">
        <v>388</v>
      </c>
      <c r="C235" s="20" t="s">
        <v>133</v>
      </c>
      <c r="D235" s="20" t="s">
        <v>22</v>
      </c>
      <c r="E235" s="21">
        <f>ROUND(4684*1.05,2)</f>
      </c>
      <c r="F235" s="20" t="s">
        <v>23</v>
      </c>
      <c r="G235" s="20" t="s">
        <v>24</v>
      </c>
      <c r="H235" s="21">
        <f>ROUND(RAND()*4+6,1)</f>
      </c>
      <c r="I235" s="20" t="s">
        <v>25</v>
      </c>
      <c r="J235" s="23">
        <f>ROUND(92*1,0)&amp;"%"</f>
      </c>
    </row>
    <row x14ac:dyDescent="0.25" r="236" customHeight="1" ht="17.25">
      <c r="A236" s="17" t="s">
        <v>2654</v>
      </c>
      <c r="B236" s="17" t="s">
        <v>390</v>
      </c>
      <c r="C236" s="17" t="s">
        <v>133</v>
      </c>
      <c r="D236" s="17" t="s">
        <v>28</v>
      </c>
      <c r="E236" s="26">
        <f>ROUND(16000*1.05,2)</f>
      </c>
      <c r="F236" s="17" t="s">
        <v>29</v>
      </c>
      <c r="G236" s="17" t="s">
        <v>30</v>
      </c>
      <c r="H236" s="18">
        <f>ROUND(RAND()*4+6,1)</f>
      </c>
      <c r="I236" s="17" t="s">
        <v>31</v>
      </c>
      <c r="J236" s="19">
        <f>ROUND(90*1,0)&amp;"%"</f>
      </c>
    </row>
    <row x14ac:dyDescent="0.25" r="237" customHeight="1" ht="17.25">
      <c r="A237" s="20" t="s">
        <v>2655</v>
      </c>
      <c r="B237" s="20" t="s">
        <v>392</v>
      </c>
      <c r="C237" s="20" t="s">
        <v>133</v>
      </c>
      <c r="D237" s="20" t="s">
        <v>34</v>
      </c>
      <c r="E237" s="21">
        <f>ROUND(10144*1.05,2)</f>
      </c>
      <c r="F237" s="20" t="s">
        <v>35</v>
      </c>
      <c r="G237" s="20" t="s">
        <v>18</v>
      </c>
      <c r="H237" s="21">
        <f>ROUND(RAND()*4+6,1)</f>
      </c>
      <c r="I237" s="20" t="s">
        <v>36</v>
      </c>
      <c r="J237" s="23">
        <f>ROUND(92*1,0)&amp;"%"</f>
      </c>
    </row>
    <row x14ac:dyDescent="0.25" r="238" customHeight="1" ht="17.25">
      <c r="A238" s="17" t="s">
        <v>2656</v>
      </c>
      <c r="B238" s="17" t="s">
        <v>394</v>
      </c>
      <c r="C238" s="17" t="s">
        <v>133</v>
      </c>
      <c r="D238" s="17" t="s">
        <v>39</v>
      </c>
      <c r="E238" s="18">
        <f>ROUND(14195*1.05,2)</f>
      </c>
      <c r="F238" s="17" t="s">
        <v>40</v>
      </c>
      <c r="G238" s="17" t="s">
        <v>24</v>
      </c>
      <c r="H238" s="18">
        <f>ROUND(RAND()*4+6,1)</f>
      </c>
      <c r="I238" s="17" t="s">
        <v>41</v>
      </c>
      <c r="J238" s="19">
        <f>ROUND(74*1,0)&amp;"%"</f>
      </c>
    </row>
    <row x14ac:dyDescent="0.25" r="239" customHeight="1" ht="17.25">
      <c r="A239" s="20" t="s">
        <v>2657</v>
      </c>
      <c r="B239" s="20" t="s">
        <v>396</v>
      </c>
      <c r="C239" s="20" t="s">
        <v>133</v>
      </c>
      <c r="D239" s="20" t="s">
        <v>67</v>
      </c>
      <c r="E239" s="21">
        <f>ROUND(13948*1.05,2)</f>
      </c>
      <c r="F239" s="20" t="s">
        <v>44</v>
      </c>
      <c r="G239" s="20" t="s">
        <v>30</v>
      </c>
      <c r="H239" s="21">
        <f>ROUND(RAND()*4+6,1)</f>
      </c>
      <c r="I239" s="20" t="s">
        <v>45</v>
      </c>
      <c r="J239" s="23">
        <f>ROUND(71*1,0)&amp;"%"</f>
      </c>
    </row>
    <row x14ac:dyDescent="0.25" r="240" customHeight="1" ht="17.25">
      <c r="A240" s="17" t="s">
        <v>2658</v>
      </c>
      <c r="B240" s="17" t="s">
        <v>398</v>
      </c>
      <c r="C240" s="17" t="s">
        <v>133</v>
      </c>
      <c r="D240" s="17" t="s">
        <v>16</v>
      </c>
      <c r="E240" s="18">
        <f>ROUND(6103*1.05,2)</f>
      </c>
      <c r="F240" s="17" t="s">
        <v>48</v>
      </c>
      <c r="G240" s="17" t="s">
        <v>18</v>
      </c>
      <c r="H240" s="18">
        <f>ROUND(RAND()*4+6,1)</f>
      </c>
      <c r="I240" s="17" t="s">
        <v>19</v>
      </c>
      <c r="J240" s="19">
        <f>ROUND(88*1,0)&amp;"%"</f>
      </c>
    </row>
    <row x14ac:dyDescent="0.25" r="241" customHeight="1" ht="17.25">
      <c r="A241" s="20" t="s">
        <v>2659</v>
      </c>
      <c r="B241" s="20" t="s">
        <v>400</v>
      </c>
      <c r="C241" s="20" t="s">
        <v>133</v>
      </c>
      <c r="D241" s="20" t="s">
        <v>22</v>
      </c>
      <c r="E241" s="21">
        <f>ROUND(10497*1.05,2)</f>
      </c>
      <c r="F241" s="20" t="s">
        <v>51</v>
      </c>
      <c r="G241" s="20" t="s">
        <v>24</v>
      </c>
      <c r="H241" s="21">
        <f>ROUND(RAND()*4+6,1)</f>
      </c>
      <c r="I241" s="20" t="s">
        <v>25</v>
      </c>
      <c r="J241" s="23">
        <f>ROUND(87*1,0)&amp;"%"</f>
      </c>
    </row>
    <row x14ac:dyDescent="0.25" r="242" customHeight="1" ht="17.25">
      <c r="A242" s="24" t="s">
        <v>401</v>
      </c>
      <c r="B242" s="24"/>
      <c r="C242" s="24"/>
      <c r="D242" s="24"/>
      <c r="E242" s="25">
        <v>8</v>
      </c>
      <c r="F242" s="9"/>
      <c r="G242" s="9"/>
      <c r="H242" s="10"/>
      <c r="I242" s="9"/>
      <c r="J242" s="9"/>
    </row>
    <row x14ac:dyDescent="0.25" r="243" customHeight="1" ht="17.25">
      <c r="A243" s="7"/>
      <c r="B243" s="7"/>
      <c r="C243" s="7"/>
      <c r="D243" s="7"/>
      <c r="E243" s="8"/>
      <c r="F243" s="9"/>
      <c r="G243" s="9"/>
      <c r="H243" s="10"/>
      <c r="I243" s="9"/>
      <c r="J243" s="9"/>
    </row>
    <row x14ac:dyDescent="0.25" r="244" customHeight="1" ht="17.25">
      <c r="A244" s="11" t="s">
        <v>2660</v>
      </c>
      <c r="B244" s="11"/>
      <c r="C244" s="11"/>
      <c r="D244" s="11"/>
      <c r="E244" s="12"/>
      <c r="F244" s="11"/>
      <c r="G244" s="11"/>
      <c r="H244" s="13"/>
      <c r="I244" s="11"/>
      <c r="J244" s="11"/>
    </row>
    <row x14ac:dyDescent="0.25" r="245" customHeight="1" ht="17.25">
      <c r="A245" s="14" t="s">
        <v>3</v>
      </c>
      <c r="B245" s="14" t="s">
        <v>4</v>
      </c>
      <c r="C245" s="14" t="s">
        <v>5</v>
      </c>
      <c r="D245" s="14" t="s">
        <v>6</v>
      </c>
      <c r="E245" s="15" t="s">
        <v>7</v>
      </c>
      <c r="F245" s="14" t="s">
        <v>8</v>
      </c>
      <c r="G245" s="14" t="s">
        <v>9</v>
      </c>
      <c r="H245" s="16" t="s">
        <v>10</v>
      </c>
      <c r="I245" s="14" t="s">
        <v>11</v>
      </c>
      <c r="J245" s="14" t="s">
        <v>12</v>
      </c>
    </row>
    <row x14ac:dyDescent="0.25" r="246" customHeight="1" ht="17.25">
      <c r="A246" s="17" t="s">
        <v>2661</v>
      </c>
      <c r="B246" s="17" t="s">
        <v>404</v>
      </c>
      <c r="C246" s="17" t="s">
        <v>152</v>
      </c>
      <c r="D246" s="17" t="s">
        <v>16</v>
      </c>
      <c r="E246" s="18">
        <f>ROUND(17130*1.05,2)</f>
      </c>
      <c r="F246" s="17" t="s">
        <v>17</v>
      </c>
      <c r="G246" s="17" t="s">
        <v>18</v>
      </c>
      <c r="H246" s="26">
        <f>ROUND(RAND()*4+6,1)</f>
      </c>
      <c r="I246" s="17" t="s">
        <v>19</v>
      </c>
      <c r="J246" s="19">
        <f>ROUND(70*1,0)&amp;"%"</f>
      </c>
    </row>
    <row x14ac:dyDescent="0.25" r="247" customHeight="1" ht="17.25">
      <c r="A247" s="20" t="s">
        <v>2662</v>
      </c>
      <c r="B247" s="20" t="s">
        <v>406</v>
      </c>
      <c r="C247" s="20" t="s">
        <v>152</v>
      </c>
      <c r="D247" s="20" t="s">
        <v>22</v>
      </c>
      <c r="E247" s="21">
        <f>ROUND(14116*1.05,2)</f>
      </c>
      <c r="F247" s="20" t="s">
        <v>23</v>
      </c>
      <c r="G247" s="20" t="s">
        <v>24</v>
      </c>
      <c r="H247" s="21">
        <f>ROUND(RAND()*4+6,1)</f>
      </c>
      <c r="I247" s="20" t="s">
        <v>25</v>
      </c>
      <c r="J247" s="23">
        <f>ROUND(99*1,0)&amp;"%"</f>
      </c>
    </row>
    <row x14ac:dyDescent="0.25" r="248" customHeight="1" ht="17.25">
      <c r="A248" s="17" t="s">
        <v>2663</v>
      </c>
      <c r="B248" s="17" t="s">
        <v>408</v>
      </c>
      <c r="C248" s="17" t="s">
        <v>152</v>
      </c>
      <c r="D248" s="17" t="s">
        <v>28</v>
      </c>
      <c r="E248" s="18">
        <f>ROUND(15277*1.05,2)</f>
      </c>
      <c r="F248" s="17" t="s">
        <v>29</v>
      </c>
      <c r="G248" s="17" t="s">
        <v>30</v>
      </c>
      <c r="H248" s="18">
        <f>ROUND(RAND()*4+6,1)</f>
      </c>
      <c r="I248" s="17" t="s">
        <v>31</v>
      </c>
      <c r="J248" s="19">
        <f>ROUND(70*1,0)&amp;"%"</f>
      </c>
    </row>
    <row x14ac:dyDescent="0.25" r="249" customHeight="1" ht="17.25">
      <c r="A249" s="20" t="s">
        <v>2664</v>
      </c>
      <c r="B249" s="20" t="s">
        <v>410</v>
      </c>
      <c r="C249" s="20" t="s">
        <v>152</v>
      </c>
      <c r="D249" s="20" t="s">
        <v>34</v>
      </c>
      <c r="E249" s="21">
        <f>ROUND(17290*1.05,2)</f>
      </c>
      <c r="F249" s="20" t="s">
        <v>35</v>
      </c>
      <c r="G249" s="20" t="s">
        <v>18</v>
      </c>
      <c r="H249" s="21">
        <f>ROUND(RAND()*4+6,1)</f>
      </c>
      <c r="I249" s="20" t="s">
        <v>36</v>
      </c>
      <c r="J249" s="23">
        <f>ROUND(97*1,0)&amp;"%"</f>
      </c>
    </row>
    <row x14ac:dyDescent="0.25" r="250" customHeight="1" ht="17.25">
      <c r="A250" s="17" t="s">
        <v>2665</v>
      </c>
      <c r="B250" s="17" t="s">
        <v>412</v>
      </c>
      <c r="C250" s="17" t="s">
        <v>152</v>
      </c>
      <c r="D250" s="17" t="s">
        <v>39</v>
      </c>
      <c r="E250" s="18">
        <f>ROUND(10363*1.05,2)</f>
      </c>
      <c r="F250" s="17" t="s">
        <v>40</v>
      </c>
      <c r="G250" s="17" t="s">
        <v>24</v>
      </c>
      <c r="H250" s="18">
        <f>ROUND(RAND()*4+6,1)</f>
      </c>
      <c r="I250" s="17" t="s">
        <v>41</v>
      </c>
      <c r="J250" s="19">
        <f>ROUND(77*1,0)&amp;"%"</f>
      </c>
    </row>
    <row x14ac:dyDescent="0.25" r="251" customHeight="1" ht="17.25">
      <c r="A251" s="20" t="s">
        <v>2666</v>
      </c>
      <c r="B251" s="20" t="s">
        <v>414</v>
      </c>
      <c r="C251" s="20" t="s">
        <v>152</v>
      </c>
      <c r="D251" s="20" t="s">
        <v>67</v>
      </c>
      <c r="E251" s="21">
        <f>ROUND(15868*1.05,2)</f>
      </c>
      <c r="F251" s="20" t="s">
        <v>44</v>
      </c>
      <c r="G251" s="20" t="s">
        <v>30</v>
      </c>
      <c r="H251" s="21">
        <f>ROUND(RAND()*4+6,1)</f>
      </c>
      <c r="I251" s="20" t="s">
        <v>45</v>
      </c>
      <c r="J251" s="23">
        <f>ROUND(68*1,0)&amp;"%"</f>
      </c>
    </row>
    <row x14ac:dyDescent="0.25" r="252" customHeight="1" ht="17.25">
      <c r="A252" s="17" t="s">
        <v>2667</v>
      </c>
      <c r="B252" s="17" t="s">
        <v>416</v>
      </c>
      <c r="C252" s="17" t="s">
        <v>152</v>
      </c>
      <c r="D252" s="17" t="s">
        <v>16</v>
      </c>
      <c r="E252" s="18">
        <f>ROUND(14042*1.05,2)</f>
      </c>
      <c r="F252" s="17" t="s">
        <v>48</v>
      </c>
      <c r="G252" s="17" t="s">
        <v>18</v>
      </c>
      <c r="H252" s="18">
        <f>ROUND(RAND()*4+6,1)</f>
      </c>
      <c r="I252" s="17" t="s">
        <v>19</v>
      </c>
      <c r="J252" s="19">
        <f>ROUND(87*1,0)&amp;"%"</f>
      </c>
    </row>
    <row x14ac:dyDescent="0.25" r="253" customHeight="1" ht="17.25">
      <c r="A253" s="20" t="s">
        <v>2668</v>
      </c>
      <c r="B253" s="20" t="s">
        <v>418</v>
      </c>
      <c r="C253" s="20" t="s">
        <v>152</v>
      </c>
      <c r="D253" s="20" t="s">
        <v>22</v>
      </c>
      <c r="E253" s="21">
        <f>ROUND(7777*1.05,2)</f>
      </c>
      <c r="F253" s="20" t="s">
        <v>51</v>
      </c>
      <c r="G253" s="20" t="s">
        <v>24</v>
      </c>
      <c r="H253" s="21">
        <f>ROUND(RAND()*4+6,1)</f>
      </c>
      <c r="I253" s="20" t="s">
        <v>25</v>
      </c>
      <c r="J253" s="23">
        <f>ROUND(64*1,0)&amp;"%"</f>
      </c>
    </row>
    <row x14ac:dyDescent="0.25" r="254" customHeight="1" ht="17.25">
      <c r="A254" s="24" t="s">
        <v>419</v>
      </c>
      <c r="B254" s="24"/>
      <c r="C254" s="24"/>
      <c r="D254" s="24"/>
      <c r="E254" s="25">
        <v>8</v>
      </c>
      <c r="F254" s="9"/>
      <c r="G254" s="9"/>
      <c r="H254" s="10"/>
      <c r="I254" s="9"/>
      <c r="J254" s="9"/>
    </row>
    <row x14ac:dyDescent="0.25" r="255" customHeight="1" ht="17.25">
      <c r="A255" s="7"/>
      <c r="B255" s="7"/>
      <c r="C255" s="7"/>
      <c r="D255" s="7"/>
      <c r="E255" s="8"/>
      <c r="F255" s="9"/>
      <c r="G255" s="9"/>
      <c r="H255" s="10"/>
      <c r="I255" s="9"/>
      <c r="J255" s="9"/>
    </row>
    <row x14ac:dyDescent="0.25" r="256" customHeight="1" ht="17.25">
      <c r="A256" s="11" t="s">
        <v>2669</v>
      </c>
      <c r="B256" s="11"/>
      <c r="C256" s="11"/>
      <c r="D256" s="11"/>
      <c r="E256" s="12"/>
      <c r="F256" s="11"/>
      <c r="G256" s="11"/>
      <c r="H256" s="13"/>
      <c r="I256" s="11"/>
      <c r="J256" s="11"/>
    </row>
    <row x14ac:dyDescent="0.25" r="257" customHeight="1" ht="17.25">
      <c r="A257" s="14" t="s">
        <v>3</v>
      </c>
      <c r="B257" s="14" t="s">
        <v>4</v>
      </c>
      <c r="C257" s="14" t="s">
        <v>5</v>
      </c>
      <c r="D257" s="14" t="s">
        <v>6</v>
      </c>
      <c r="E257" s="15" t="s">
        <v>7</v>
      </c>
      <c r="F257" s="14" t="s">
        <v>8</v>
      </c>
      <c r="G257" s="14" t="s">
        <v>9</v>
      </c>
      <c r="H257" s="16" t="s">
        <v>10</v>
      </c>
      <c r="I257" s="14" t="s">
        <v>11</v>
      </c>
      <c r="J257" s="14" t="s">
        <v>12</v>
      </c>
    </row>
    <row x14ac:dyDescent="0.25" r="258" customHeight="1" ht="17.25">
      <c r="A258" s="17" t="s">
        <v>2670</v>
      </c>
      <c r="B258" s="17" t="s">
        <v>422</v>
      </c>
      <c r="C258" s="17" t="s">
        <v>15</v>
      </c>
      <c r="D258" s="17" t="s">
        <v>16</v>
      </c>
      <c r="E258" s="18">
        <f>ROUND(7693*1.05,2)</f>
      </c>
      <c r="F258" s="17" t="s">
        <v>17</v>
      </c>
      <c r="G258" s="17" t="s">
        <v>18</v>
      </c>
      <c r="H258" s="18">
        <f>ROUND(RAND()*4+6,1)</f>
      </c>
      <c r="I258" s="17" t="s">
        <v>19</v>
      </c>
      <c r="J258" s="19">
        <f>ROUND(66*1,0)&amp;"%"</f>
      </c>
    </row>
    <row x14ac:dyDescent="0.25" r="259" customHeight="1" ht="17.25">
      <c r="A259" s="20" t="s">
        <v>2671</v>
      </c>
      <c r="B259" s="20" t="s">
        <v>424</v>
      </c>
      <c r="C259" s="20" t="s">
        <v>15</v>
      </c>
      <c r="D259" s="20" t="s">
        <v>22</v>
      </c>
      <c r="E259" s="21">
        <f>ROUND(13953*1.05,2)</f>
      </c>
      <c r="F259" s="20" t="s">
        <v>23</v>
      </c>
      <c r="G259" s="20" t="s">
        <v>24</v>
      </c>
      <c r="H259" s="21">
        <f>ROUND(RAND()*4+6,1)</f>
      </c>
      <c r="I259" s="20" t="s">
        <v>25</v>
      </c>
      <c r="J259" s="23">
        <f>ROUND(81*1,0)&amp;"%"</f>
      </c>
    </row>
    <row x14ac:dyDescent="0.25" r="260" customHeight="1" ht="17.25">
      <c r="A260" s="17" t="s">
        <v>2672</v>
      </c>
      <c r="B260" s="17" t="s">
        <v>426</v>
      </c>
      <c r="C260" s="17" t="s">
        <v>15</v>
      </c>
      <c r="D260" s="17" t="s">
        <v>28</v>
      </c>
      <c r="E260" s="18">
        <f>ROUND(17462*1.05,2)</f>
      </c>
      <c r="F260" s="17" t="s">
        <v>29</v>
      </c>
      <c r="G260" s="17" t="s">
        <v>30</v>
      </c>
      <c r="H260" s="18">
        <f>ROUND(RAND()*4+6,1)</f>
      </c>
      <c r="I260" s="17" t="s">
        <v>31</v>
      </c>
      <c r="J260" s="19">
        <f>ROUND(98*1,0)&amp;"%"</f>
      </c>
    </row>
    <row x14ac:dyDescent="0.25" r="261" customHeight="1" ht="17.25">
      <c r="A261" s="20" t="s">
        <v>2673</v>
      </c>
      <c r="B261" s="20" t="s">
        <v>428</v>
      </c>
      <c r="C261" s="20" t="s">
        <v>15</v>
      </c>
      <c r="D261" s="20" t="s">
        <v>34</v>
      </c>
      <c r="E261" s="21">
        <f>ROUND(14355*1.05,2)</f>
      </c>
      <c r="F261" s="20" t="s">
        <v>35</v>
      </c>
      <c r="G261" s="20" t="s">
        <v>18</v>
      </c>
      <c r="H261" s="21">
        <f>ROUND(RAND()*4+6,1)</f>
      </c>
      <c r="I261" s="20" t="s">
        <v>36</v>
      </c>
      <c r="J261" s="23">
        <f>ROUND(73*1,0)&amp;"%"</f>
      </c>
    </row>
    <row x14ac:dyDescent="0.25" r="262" customHeight="1" ht="17.25">
      <c r="A262" s="17" t="s">
        <v>2674</v>
      </c>
      <c r="B262" s="17" t="s">
        <v>430</v>
      </c>
      <c r="C262" s="17" t="s">
        <v>15</v>
      </c>
      <c r="D262" s="17" t="s">
        <v>39</v>
      </c>
      <c r="E262" s="18">
        <f>ROUND(12975*1.05,2)</f>
      </c>
      <c r="F262" s="17" t="s">
        <v>40</v>
      </c>
      <c r="G262" s="17" t="s">
        <v>24</v>
      </c>
      <c r="H262" s="18">
        <f>ROUND(RAND()*4+6,1)</f>
      </c>
      <c r="I262" s="17" t="s">
        <v>41</v>
      </c>
      <c r="J262" s="19">
        <f>ROUND(84*1,0)&amp;"%"</f>
      </c>
    </row>
    <row x14ac:dyDescent="0.25" r="263" customHeight="1" ht="17.25">
      <c r="A263" s="20" t="s">
        <v>2675</v>
      </c>
      <c r="B263" s="20" t="s">
        <v>432</v>
      </c>
      <c r="C263" s="20" t="s">
        <v>15</v>
      </c>
      <c r="D263" s="20" t="s">
        <v>67</v>
      </c>
      <c r="E263" s="21">
        <f>ROUND(12053*1.05,2)</f>
      </c>
      <c r="F263" s="20" t="s">
        <v>44</v>
      </c>
      <c r="G263" s="20" t="s">
        <v>30</v>
      </c>
      <c r="H263" s="21">
        <f>ROUND(RAND()*4+6,1)</f>
      </c>
      <c r="I263" s="20" t="s">
        <v>45</v>
      </c>
      <c r="J263" s="23">
        <f>ROUND(95*1,0)&amp;"%"</f>
      </c>
    </row>
    <row x14ac:dyDescent="0.25" r="264" customHeight="1" ht="17.25">
      <c r="A264" s="17" t="s">
        <v>2676</v>
      </c>
      <c r="B264" s="17" t="s">
        <v>434</v>
      </c>
      <c r="C264" s="17" t="s">
        <v>15</v>
      </c>
      <c r="D264" s="17" t="s">
        <v>16</v>
      </c>
      <c r="E264" s="18">
        <f>ROUND(12693*1.05,2)</f>
      </c>
      <c r="F264" s="17" t="s">
        <v>48</v>
      </c>
      <c r="G264" s="17" t="s">
        <v>18</v>
      </c>
      <c r="H264" s="18">
        <f>ROUND(RAND()*4+6,1)</f>
      </c>
      <c r="I264" s="17" t="s">
        <v>19</v>
      </c>
      <c r="J264" s="19">
        <f>ROUND(92*1,0)&amp;"%"</f>
      </c>
    </row>
    <row x14ac:dyDescent="0.25" r="265" customHeight="1" ht="17.25">
      <c r="A265" s="20" t="s">
        <v>2677</v>
      </c>
      <c r="B265" s="20" t="s">
        <v>436</v>
      </c>
      <c r="C265" s="20" t="s">
        <v>15</v>
      </c>
      <c r="D265" s="20" t="s">
        <v>22</v>
      </c>
      <c r="E265" s="21">
        <f>ROUND(6359*1.05,2)</f>
      </c>
      <c r="F265" s="20" t="s">
        <v>51</v>
      </c>
      <c r="G265" s="20" t="s">
        <v>24</v>
      </c>
      <c r="H265" s="21">
        <f>ROUND(RAND()*4+6,1)</f>
      </c>
      <c r="I265" s="20" t="s">
        <v>25</v>
      </c>
      <c r="J265" s="23">
        <f>ROUND(80*1,0)&amp;"%"</f>
      </c>
    </row>
    <row x14ac:dyDescent="0.25" r="266" customHeight="1" ht="17.25">
      <c r="A266" s="24" t="s">
        <v>437</v>
      </c>
      <c r="B266" s="24"/>
      <c r="C266" s="24"/>
      <c r="D266" s="24"/>
      <c r="E266" s="25">
        <v>8</v>
      </c>
      <c r="F266" s="9"/>
      <c r="G266" s="9"/>
      <c r="H266" s="10"/>
      <c r="I266" s="9"/>
      <c r="J266" s="9"/>
    </row>
    <row x14ac:dyDescent="0.25" r="267" customHeight="1" ht="17.25">
      <c r="A267" s="7"/>
      <c r="B267" s="7"/>
      <c r="C267" s="7"/>
      <c r="D267" s="7"/>
      <c r="E267" s="8"/>
      <c r="F267" s="9"/>
      <c r="G267" s="9"/>
      <c r="H267" s="10"/>
      <c r="I267" s="9"/>
      <c r="J267" s="9"/>
    </row>
    <row x14ac:dyDescent="0.25" r="268" customHeight="1" ht="17.25">
      <c r="A268" s="11" t="s">
        <v>2678</v>
      </c>
      <c r="B268" s="11"/>
      <c r="C268" s="11"/>
      <c r="D268" s="11"/>
      <c r="E268" s="12"/>
      <c r="F268" s="11"/>
      <c r="G268" s="11"/>
      <c r="H268" s="13"/>
      <c r="I268" s="11"/>
      <c r="J268" s="11"/>
    </row>
    <row x14ac:dyDescent="0.25" r="269" customHeight="1" ht="17.25">
      <c r="A269" s="14" t="s">
        <v>3</v>
      </c>
      <c r="B269" s="14" t="s">
        <v>4</v>
      </c>
      <c r="C269" s="14" t="s">
        <v>5</v>
      </c>
      <c r="D269" s="14" t="s">
        <v>6</v>
      </c>
      <c r="E269" s="15" t="s">
        <v>7</v>
      </c>
      <c r="F269" s="14" t="s">
        <v>8</v>
      </c>
      <c r="G269" s="14" t="s">
        <v>9</v>
      </c>
      <c r="H269" s="16" t="s">
        <v>10</v>
      </c>
      <c r="I269" s="14" t="s">
        <v>11</v>
      </c>
      <c r="J269" s="14" t="s">
        <v>12</v>
      </c>
    </row>
    <row x14ac:dyDescent="0.25" r="270" customHeight="1" ht="17.25">
      <c r="A270" s="17" t="s">
        <v>2679</v>
      </c>
      <c r="B270" s="17" t="s">
        <v>440</v>
      </c>
      <c r="C270" s="17" t="s">
        <v>56</v>
      </c>
      <c r="D270" s="17" t="s">
        <v>16</v>
      </c>
      <c r="E270" s="18">
        <f>ROUND(5205*1.05,2)</f>
      </c>
      <c r="F270" s="17" t="s">
        <v>17</v>
      </c>
      <c r="G270" s="17" t="s">
        <v>18</v>
      </c>
      <c r="H270" s="18">
        <f>ROUND(RAND()*4+6,1)</f>
      </c>
      <c r="I270" s="17" t="s">
        <v>19</v>
      </c>
      <c r="J270" s="19">
        <f>ROUND(62*1,0)&amp;"%"</f>
      </c>
    </row>
    <row x14ac:dyDescent="0.25" r="271" customHeight="1" ht="17.25">
      <c r="A271" s="20" t="s">
        <v>2680</v>
      </c>
      <c r="B271" s="20" t="s">
        <v>442</v>
      </c>
      <c r="C271" s="20" t="s">
        <v>56</v>
      </c>
      <c r="D271" s="20" t="s">
        <v>22</v>
      </c>
      <c r="E271" s="21">
        <f>ROUND(5002*1.05,2)</f>
      </c>
      <c r="F271" s="20" t="s">
        <v>23</v>
      </c>
      <c r="G271" s="20" t="s">
        <v>24</v>
      </c>
      <c r="H271" s="21">
        <f>ROUND(RAND()*4+6,1)</f>
      </c>
      <c r="I271" s="20" t="s">
        <v>25</v>
      </c>
      <c r="J271" s="23">
        <f>ROUND(95*1,0)&amp;"%"</f>
      </c>
    </row>
    <row x14ac:dyDescent="0.25" r="272" customHeight="1" ht="17.25">
      <c r="A272" s="17" t="s">
        <v>2681</v>
      </c>
      <c r="B272" s="17" t="s">
        <v>444</v>
      </c>
      <c r="C272" s="17" t="s">
        <v>56</v>
      </c>
      <c r="D272" s="17" t="s">
        <v>28</v>
      </c>
      <c r="E272" s="18">
        <f>ROUND(17086*1.05,2)</f>
      </c>
      <c r="F272" s="17" t="s">
        <v>29</v>
      </c>
      <c r="G272" s="17" t="s">
        <v>30</v>
      </c>
      <c r="H272" s="18">
        <f>ROUND(RAND()*4+6,1)</f>
      </c>
      <c r="I272" s="17" t="s">
        <v>31</v>
      </c>
      <c r="J272" s="19">
        <f>ROUND(79*1,0)&amp;"%"</f>
      </c>
    </row>
    <row x14ac:dyDescent="0.25" r="273" customHeight="1" ht="17.25">
      <c r="A273" s="20" t="s">
        <v>2682</v>
      </c>
      <c r="B273" s="20" t="s">
        <v>446</v>
      </c>
      <c r="C273" s="20" t="s">
        <v>56</v>
      </c>
      <c r="D273" s="20" t="s">
        <v>34</v>
      </c>
      <c r="E273" s="21">
        <f>ROUND(14971*1.05,2)</f>
      </c>
      <c r="F273" s="20" t="s">
        <v>35</v>
      </c>
      <c r="G273" s="20" t="s">
        <v>18</v>
      </c>
      <c r="H273" s="21">
        <f>ROUND(RAND()*4+6,1)</f>
      </c>
      <c r="I273" s="20" t="s">
        <v>36</v>
      </c>
      <c r="J273" s="23">
        <f>ROUND(72*1,0)&amp;"%"</f>
      </c>
    </row>
    <row x14ac:dyDescent="0.25" r="274" customHeight="1" ht="17.25">
      <c r="A274" s="17" t="s">
        <v>2683</v>
      </c>
      <c r="B274" s="17" t="s">
        <v>448</v>
      </c>
      <c r="C274" s="17" t="s">
        <v>56</v>
      </c>
      <c r="D274" s="17" t="s">
        <v>39</v>
      </c>
      <c r="E274" s="18">
        <f>ROUND(6492*1.05,2)</f>
      </c>
      <c r="F274" s="17" t="s">
        <v>40</v>
      </c>
      <c r="G274" s="17" t="s">
        <v>24</v>
      </c>
      <c r="H274" s="18">
        <f>ROUND(RAND()*4+6,1)</f>
      </c>
      <c r="I274" s="17" t="s">
        <v>41</v>
      </c>
      <c r="J274" s="19">
        <f>ROUND(91*1,0)&amp;"%"</f>
      </c>
    </row>
    <row x14ac:dyDescent="0.25" r="275" customHeight="1" ht="17.25">
      <c r="A275" s="20" t="s">
        <v>2684</v>
      </c>
      <c r="B275" s="20" t="s">
        <v>450</v>
      </c>
      <c r="C275" s="20" t="s">
        <v>56</v>
      </c>
      <c r="D275" s="20" t="s">
        <v>67</v>
      </c>
      <c r="E275" s="21">
        <f>ROUND(11865*1.05,2)</f>
      </c>
      <c r="F275" s="20" t="s">
        <v>44</v>
      </c>
      <c r="G275" s="20" t="s">
        <v>30</v>
      </c>
      <c r="H275" s="21">
        <f>ROUND(RAND()*4+6,1)</f>
      </c>
      <c r="I275" s="20" t="s">
        <v>45</v>
      </c>
      <c r="J275" s="23">
        <f>ROUND(73*1,0)&amp;"%"</f>
      </c>
    </row>
    <row x14ac:dyDescent="0.25" r="276" customHeight="1" ht="17.25">
      <c r="A276" s="17" t="s">
        <v>2685</v>
      </c>
      <c r="B276" s="17" t="s">
        <v>452</v>
      </c>
      <c r="C276" s="17" t="s">
        <v>56</v>
      </c>
      <c r="D276" s="17" t="s">
        <v>16</v>
      </c>
      <c r="E276" s="18">
        <f>ROUND(17152*1.05,2)</f>
      </c>
      <c r="F276" s="17" t="s">
        <v>48</v>
      </c>
      <c r="G276" s="17" t="s">
        <v>18</v>
      </c>
      <c r="H276" s="18">
        <f>ROUND(RAND()*4+6,1)</f>
      </c>
      <c r="I276" s="17" t="s">
        <v>19</v>
      </c>
      <c r="J276" s="19">
        <f>ROUND(61*1,0)&amp;"%"</f>
      </c>
    </row>
    <row x14ac:dyDescent="0.25" r="277" customHeight="1" ht="17.25">
      <c r="A277" s="20" t="s">
        <v>2686</v>
      </c>
      <c r="B277" s="20" t="s">
        <v>454</v>
      </c>
      <c r="C277" s="20" t="s">
        <v>56</v>
      </c>
      <c r="D277" s="20" t="s">
        <v>22</v>
      </c>
      <c r="E277" s="21">
        <f>ROUND(8245*1.05,2)</f>
      </c>
      <c r="F277" s="20" t="s">
        <v>51</v>
      </c>
      <c r="G277" s="20" t="s">
        <v>24</v>
      </c>
      <c r="H277" s="21">
        <f>ROUND(RAND()*4+6,1)</f>
      </c>
      <c r="I277" s="20" t="s">
        <v>25</v>
      </c>
      <c r="J277" s="23">
        <f>ROUND(97*1,0)&amp;"%"</f>
      </c>
    </row>
    <row x14ac:dyDescent="0.25" r="278" customHeight="1" ht="17.25">
      <c r="A278" s="24" t="s">
        <v>455</v>
      </c>
      <c r="B278" s="24"/>
      <c r="C278" s="24"/>
      <c r="D278" s="24"/>
      <c r="E278" s="25">
        <v>8</v>
      </c>
      <c r="F278" s="9"/>
      <c r="G278" s="9"/>
      <c r="H278" s="10"/>
      <c r="I278" s="9"/>
      <c r="J278" s="9"/>
    </row>
    <row x14ac:dyDescent="0.25" r="279" customHeight="1" ht="17.25">
      <c r="A279" s="7"/>
      <c r="B279" s="7"/>
      <c r="C279" s="7"/>
      <c r="D279" s="7"/>
      <c r="E279" s="8"/>
      <c r="F279" s="9"/>
      <c r="G279" s="9"/>
      <c r="H279" s="10"/>
      <c r="I279" s="9"/>
      <c r="J279" s="9"/>
    </row>
    <row x14ac:dyDescent="0.25" r="280" customHeight="1" ht="17.25">
      <c r="A280" s="11" t="s">
        <v>2687</v>
      </c>
      <c r="B280" s="11"/>
      <c r="C280" s="11"/>
      <c r="D280" s="11"/>
      <c r="E280" s="12"/>
      <c r="F280" s="11"/>
      <c r="G280" s="11"/>
      <c r="H280" s="13"/>
      <c r="I280" s="11"/>
      <c r="J280" s="11"/>
    </row>
    <row x14ac:dyDescent="0.25" r="281" customHeight="1" ht="17.25">
      <c r="A281" s="14" t="s">
        <v>3</v>
      </c>
      <c r="B281" s="14" t="s">
        <v>4</v>
      </c>
      <c r="C281" s="14" t="s">
        <v>5</v>
      </c>
      <c r="D281" s="14" t="s">
        <v>6</v>
      </c>
      <c r="E281" s="15" t="s">
        <v>7</v>
      </c>
      <c r="F281" s="14" t="s">
        <v>8</v>
      </c>
      <c r="G281" s="14" t="s">
        <v>9</v>
      </c>
      <c r="H281" s="16" t="s">
        <v>10</v>
      </c>
      <c r="I281" s="14" t="s">
        <v>11</v>
      </c>
      <c r="J281" s="14" t="s">
        <v>12</v>
      </c>
    </row>
    <row x14ac:dyDescent="0.25" r="282" customHeight="1" ht="17.25">
      <c r="A282" s="17" t="s">
        <v>2688</v>
      </c>
      <c r="B282" s="17" t="s">
        <v>458</v>
      </c>
      <c r="C282" s="17" t="s">
        <v>76</v>
      </c>
      <c r="D282" s="17" t="s">
        <v>16</v>
      </c>
      <c r="E282" s="26">
        <f>ROUND(12380*1.05,2)</f>
      </c>
      <c r="F282" s="17" t="s">
        <v>17</v>
      </c>
      <c r="G282" s="17" t="s">
        <v>18</v>
      </c>
      <c r="H282" s="18">
        <f>ROUND(RAND()*4+6,1)</f>
      </c>
      <c r="I282" s="17" t="s">
        <v>19</v>
      </c>
      <c r="J282" s="19">
        <f>ROUND(93*1,0)&amp;"%"</f>
      </c>
    </row>
    <row x14ac:dyDescent="0.25" r="283" customHeight="1" ht="17.25">
      <c r="A283" s="20" t="s">
        <v>2689</v>
      </c>
      <c r="B283" s="20" t="s">
        <v>460</v>
      </c>
      <c r="C283" s="20" t="s">
        <v>76</v>
      </c>
      <c r="D283" s="20" t="s">
        <v>22</v>
      </c>
      <c r="E283" s="21">
        <f>ROUND(15834*1.05,2)</f>
      </c>
      <c r="F283" s="20" t="s">
        <v>23</v>
      </c>
      <c r="G283" s="20" t="s">
        <v>24</v>
      </c>
      <c r="H283" s="21">
        <f>ROUND(RAND()*4+6,1)</f>
      </c>
      <c r="I283" s="20" t="s">
        <v>25</v>
      </c>
      <c r="J283" s="23">
        <f>ROUND(72*1,0)&amp;"%"</f>
      </c>
    </row>
    <row x14ac:dyDescent="0.25" r="284" customHeight="1" ht="17.25">
      <c r="A284" s="17" t="s">
        <v>2690</v>
      </c>
      <c r="B284" s="17" t="s">
        <v>462</v>
      </c>
      <c r="C284" s="17" t="s">
        <v>76</v>
      </c>
      <c r="D284" s="17" t="s">
        <v>28</v>
      </c>
      <c r="E284" s="18">
        <f>ROUND(11029*1.05,2)</f>
      </c>
      <c r="F284" s="17" t="s">
        <v>29</v>
      </c>
      <c r="G284" s="17" t="s">
        <v>30</v>
      </c>
      <c r="H284" s="26">
        <f>ROUND(RAND()*4+6,1)</f>
      </c>
      <c r="I284" s="17" t="s">
        <v>31</v>
      </c>
      <c r="J284" s="19">
        <f>ROUND(100*1,0)&amp;"%"</f>
      </c>
    </row>
    <row x14ac:dyDescent="0.25" r="285" customHeight="1" ht="17.25">
      <c r="A285" s="20" t="s">
        <v>2691</v>
      </c>
      <c r="B285" s="20" t="s">
        <v>464</v>
      </c>
      <c r="C285" s="20" t="s">
        <v>76</v>
      </c>
      <c r="D285" s="20" t="s">
        <v>34</v>
      </c>
      <c r="E285" s="21">
        <f>ROUND(12770*1.05,2)</f>
      </c>
      <c r="F285" s="20" t="s">
        <v>35</v>
      </c>
      <c r="G285" s="20" t="s">
        <v>18</v>
      </c>
      <c r="H285" s="21">
        <f>ROUND(RAND()*4+6,1)</f>
      </c>
      <c r="I285" s="20" t="s">
        <v>36</v>
      </c>
      <c r="J285" s="23">
        <f>ROUND(67*1,0)&amp;"%"</f>
      </c>
    </row>
    <row x14ac:dyDescent="0.25" r="286" customHeight="1" ht="17.25">
      <c r="A286" s="17" t="s">
        <v>2692</v>
      </c>
      <c r="B286" s="17" t="s">
        <v>466</v>
      </c>
      <c r="C286" s="17" t="s">
        <v>76</v>
      </c>
      <c r="D286" s="17" t="s">
        <v>39</v>
      </c>
      <c r="E286" s="18">
        <f>ROUND(9648*1.05,2)</f>
      </c>
      <c r="F286" s="17" t="s">
        <v>40</v>
      </c>
      <c r="G286" s="17" t="s">
        <v>24</v>
      </c>
      <c r="H286" s="18">
        <f>ROUND(RAND()*4+6,1)</f>
      </c>
      <c r="I286" s="17" t="s">
        <v>41</v>
      </c>
      <c r="J286" s="19">
        <f>ROUND(80*1,0)&amp;"%"</f>
      </c>
    </row>
    <row x14ac:dyDescent="0.25" r="287" customHeight="1" ht="17.25">
      <c r="A287" s="20" t="s">
        <v>2693</v>
      </c>
      <c r="B287" s="20" t="s">
        <v>468</v>
      </c>
      <c r="C287" s="20" t="s">
        <v>76</v>
      </c>
      <c r="D287" s="20" t="s">
        <v>67</v>
      </c>
      <c r="E287" s="21">
        <f>ROUND(5912*1.05,2)</f>
      </c>
      <c r="F287" s="20" t="s">
        <v>44</v>
      </c>
      <c r="G287" s="20" t="s">
        <v>30</v>
      </c>
      <c r="H287" s="21">
        <f>ROUND(RAND()*4+6,1)</f>
      </c>
      <c r="I287" s="20" t="s">
        <v>45</v>
      </c>
      <c r="J287" s="23">
        <f>ROUND(70*1,0)&amp;"%"</f>
      </c>
    </row>
    <row x14ac:dyDescent="0.25" r="288" customHeight="1" ht="17.25">
      <c r="A288" s="17" t="s">
        <v>2694</v>
      </c>
      <c r="B288" s="17" t="s">
        <v>470</v>
      </c>
      <c r="C288" s="17" t="s">
        <v>76</v>
      </c>
      <c r="D288" s="17" t="s">
        <v>16</v>
      </c>
      <c r="E288" s="18">
        <f>ROUND(15665*1.05,2)</f>
      </c>
      <c r="F288" s="17" t="s">
        <v>48</v>
      </c>
      <c r="G288" s="17" t="s">
        <v>18</v>
      </c>
      <c r="H288" s="18">
        <f>ROUND(RAND()*4+6,1)</f>
      </c>
      <c r="I288" s="17" t="s">
        <v>19</v>
      </c>
      <c r="J288" s="19">
        <f>ROUND(91*1,0)&amp;"%"</f>
      </c>
    </row>
    <row x14ac:dyDescent="0.25" r="289" customHeight="1" ht="17.25">
      <c r="A289" s="20" t="s">
        <v>2695</v>
      </c>
      <c r="B289" s="20" t="s">
        <v>472</v>
      </c>
      <c r="C289" s="20" t="s">
        <v>76</v>
      </c>
      <c r="D289" s="20" t="s">
        <v>22</v>
      </c>
      <c r="E289" s="21">
        <f>ROUND(5397*1.05,2)</f>
      </c>
      <c r="F289" s="20" t="s">
        <v>51</v>
      </c>
      <c r="G289" s="20" t="s">
        <v>24</v>
      </c>
      <c r="H289" s="21">
        <f>ROUND(RAND()*4+6,1)</f>
      </c>
      <c r="I289" s="20" t="s">
        <v>25</v>
      </c>
      <c r="J289" s="23">
        <f>ROUND(61*1,0)&amp;"%"</f>
      </c>
    </row>
    <row x14ac:dyDescent="0.25" r="290" customHeight="1" ht="17.25">
      <c r="A290" s="24" t="s">
        <v>473</v>
      </c>
      <c r="B290" s="24"/>
      <c r="C290" s="24"/>
      <c r="D290" s="24"/>
      <c r="E290" s="25">
        <v>8</v>
      </c>
      <c r="F290" s="9"/>
      <c r="G290" s="9"/>
      <c r="H290" s="10"/>
      <c r="I290" s="9"/>
      <c r="J290" s="9"/>
    </row>
    <row x14ac:dyDescent="0.25" r="291" customHeight="1" ht="17.25">
      <c r="A291" s="7"/>
      <c r="B291" s="7"/>
      <c r="C291" s="7"/>
      <c r="D291" s="7"/>
      <c r="E291" s="8"/>
      <c r="F291" s="9"/>
      <c r="G291" s="9"/>
      <c r="H291" s="10"/>
      <c r="I291" s="9"/>
      <c r="J291" s="9"/>
    </row>
    <row x14ac:dyDescent="0.25" r="292" customHeight="1" ht="17.25">
      <c r="A292" s="11" t="s">
        <v>2696</v>
      </c>
      <c r="B292" s="11"/>
      <c r="C292" s="11"/>
      <c r="D292" s="11"/>
      <c r="E292" s="12"/>
      <c r="F292" s="11"/>
      <c r="G292" s="11"/>
      <c r="H292" s="13"/>
      <c r="I292" s="11"/>
      <c r="J292" s="11"/>
    </row>
    <row x14ac:dyDescent="0.25" r="293" customHeight="1" ht="17.25">
      <c r="A293" s="14" t="s">
        <v>3</v>
      </c>
      <c r="B293" s="14" t="s">
        <v>4</v>
      </c>
      <c r="C293" s="14" t="s">
        <v>5</v>
      </c>
      <c r="D293" s="14" t="s">
        <v>6</v>
      </c>
      <c r="E293" s="15" t="s">
        <v>7</v>
      </c>
      <c r="F293" s="14" t="s">
        <v>8</v>
      </c>
      <c r="G293" s="14" t="s">
        <v>9</v>
      </c>
      <c r="H293" s="16" t="s">
        <v>10</v>
      </c>
      <c r="I293" s="14" t="s">
        <v>11</v>
      </c>
      <c r="J293" s="14" t="s">
        <v>12</v>
      </c>
    </row>
    <row x14ac:dyDescent="0.25" r="294" customHeight="1" ht="17.25">
      <c r="A294" s="17" t="s">
        <v>2697</v>
      </c>
      <c r="B294" s="17" t="s">
        <v>476</v>
      </c>
      <c r="C294" s="17" t="s">
        <v>95</v>
      </c>
      <c r="D294" s="17" t="s">
        <v>16</v>
      </c>
      <c r="E294" s="18">
        <f>ROUND(7983*1.05,2)</f>
      </c>
      <c r="F294" s="17" t="s">
        <v>17</v>
      </c>
      <c r="G294" s="17" t="s">
        <v>18</v>
      </c>
      <c r="H294" s="18">
        <f>ROUND(RAND()*4+6,1)</f>
      </c>
      <c r="I294" s="17" t="s">
        <v>19</v>
      </c>
      <c r="J294" s="19">
        <f>ROUND(98*1,0)&amp;"%"</f>
      </c>
    </row>
    <row x14ac:dyDescent="0.25" r="295" customHeight="1" ht="17.25">
      <c r="A295" s="20" t="s">
        <v>2698</v>
      </c>
      <c r="B295" s="20" t="s">
        <v>478</v>
      </c>
      <c r="C295" s="20" t="s">
        <v>95</v>
      </c>
      <c r="D295" s="20" t="s">
        <v>22</v>
      </c>
      <c r="E295" s="21">
        <f>ROUND(14253*1.05,2)</f>
      </c>
      <c r="F295" s="20" t="s">
        <v>23</v>
      </c>
      <c r="G295" s="20" t="s">
        <v>24</v>
      </c>
      <c r="H295" s="21">
        <f>ROUND(RAND()*4+6,1)</f>
      </c>
      <c r="I295" s="20" t="s">
        <v>25</v>
      </c>
      <c r="J295" s="23">
        <f>ROUND(83*1,0)&amp;"%"</f>
      </c>
    </row>
    <row x14ac:dyDescent="0.25" r="296" customHeight="1" ht="17.25">
      <c r="A296" s="17" t="s">
        <v>2699</v>
      </c>
      <c r="B296" s="17" t="s">
        <v>480</v>
      </c>
      <c r="C296" s="17" t="s">
        <v>95</v>
      </c>
      <c r="D296" s="17" t="s">
        <v>28</v>
      </c>
      <c r="E296" s="26">
        <f>ROUND(17920*1.05,2)</f>
      </c>
      <c r="F296" s="17" t="s">
        <v>29</v>
      </c>
      <c r="G296" s="17" t="s">
        <v>30</v>
      </c>
      <c r="H296" s="18">
        <f>ROUND(RAND()*4+6,1)</f>
      </c>
      <c r="I296" s="17" t="s">
        <v>31</v>
      </c>
      <c r="J296" s="19">
        <f>ROUND(82*1,0)&amp;"%"</f>
      </c>
    </row>
    <row x14ac:dyDescent="0.25" r="297" customHeight="1" ht="17.25">
      <c r="A297" s="20" t="s">
        <v>2700</v>
      </c>
      <c r="B297" s="20" t="s">
        <v>482</v>
      </c>
      <c r="C297" s="20" t="s">
        <v>95</v>
      </c>
      <c r="D297" s="20" t="s">
        <v>34</v>
      </c>
      <c r="E297" s="22">
        <f>ROUND(17720*1.05,2)</f>
      </c>
      <c r="F297" s="20" t="s">
        <v>35</v>
      </c>
      <c r="G297" s="20" t="s">
        <v>18</v>
      </c>
      <c r="H297" s="21">
        <f>ROUND(RAND()*4+6,1)</f>
      </c>
      <c r="I297" s="20" t="s">
        <v>36</v>
      </c>
      <c r="J297" s="23">
        <f>ROUND(97*1,0)&amp;"%"</f>
      </c>
    </row>
    <row x14ac:dyDescent="0.25" r="298" customHeight="1" ht="17.25">
      <c r="A298" s="17" t="s">
        <v>2701</v>
      </c>
      <c r="B298" s="17" t="s">
        <v>484</v>
      </c>
      <c r="C298" s="17" t="s">
        <v>95</v>
      </c>
      <c r="D298" s="17" t="s">
        <v>39</v>
      </c>
      <c r="E298" s="18">
        <f>ROUND(13152*1.05,2)</f>
      </c>
      <c r="F298" s="17" t="s">
        <v>40</v>
      </c>
      <c r="G298" s="17" t="s">
        <v>24</v>
      </c>
      <c r="H298" s="18">
        <f>ROUND(RAND()*4+6,1)</f>
      </c>
      <c r="I298" s="17" t="s">
        <v>41</v>
      </c>
      <c r="J298" s="19">
        <f>ROUND(61*1,0)&amp;"%"</f>
      </c>
    </row>
    <row x14ac:dyDescent="0.25" r="299" customHeight="1" ht="17.25">
      <c r="A299" s="20" t="s">
        <v>2702</v>
      </c>
      <c r="B299" s="20" t="s">
        <v>486</v>
      </c>
      <c r="C299" s="20" t="s">
        <v>95</v>
      </c>
      <c r="D299" s="20" t="s">
        <v>67</v>
      </c>
      <c r="E299" s="21">
        <f>ROUND(14942*1.05,2)</f>
      </c>
      <c r="F299" s="20" t="s">
        <v>44</v>
      </c>
      <c r="G299" s="20" t="s">
        <v>30</v>
      </c>
      <c r="H299" s="21">
        <f>ROUND(RAND()*4+6,1)</f>
      </c>
      <c r="I299" s="20" t="s">
        <v>45</v>
      </c>
      <c r="J299" s="23">
        <f>ROUND(78*1,0)&amp;"%"</f>
      </c>
    </row>
    <row x14ac:dyDescent="0.25" r="300" customHeight="1" ht="17.25">
      <c r="A300" s="17" t="s">
        <v>2703</v>
      </c>
      <c r="B300" s="17" t="s">
        <v>488</v>
      </c>
      <c r="C300" s="17" t="s">
        <v>95</v>
      </c>
      <c r="D300" s="17" t="s">
        <v>16</v>
      </c>
      <c r="E300" s="26">
        <f>ROUND(10440*1.05,2)</f>
      </c>
      <c r="F300" s="17" t="s">
        <v>48</v>
      </c>
      <c r="G300" s="17" t="s">
        <v>18</v>
      </c>
      <c r="H300" s="18">
        <f>ROUND(RAND()*4+6,1)</f>
      </c>
      <c r="I300" s="17" t="s">
        <v>19</v>
      </c>
      <c r="J300" s="19">
        <f>ROUND(75*1,0)&amp;"%"</f>
      </c>
    </row>
    <row x14ac:dyDescent="0.25" r="301" customHeight="1" ht="17.25">
      <c r="A301" s="20" t="s">
        <v>2704</v>
      </c>
      <c r="B301" s="20" t="s">
        <v>490</v>
      </c>
      <c r="C301" s="20" t="s">
        <v>95</v>
      </c>
      <c r="D301" s="20" t="s">
        <v>22</v>
      </c>
      <c r="E301" s="21">
        <f>ROUND(8286*1.05,2)</f>
      </c>
      <c r="F301" s="20" t="s">
        <v>51</v>
      </c>
      <c r="G301" s="20" t="s">
        <v>24</v>
      </c>
      <c r="H301" s="21">
        <f>ROUND(RAND()*4+6,1)</f>
      </c>
      <c r="I301" s="20" t="s">
        <v>25</v>
      </c>
      <c r="J301" s="23">
        <f>ROUND(77*1,0)&amp;"%"</f>
      </c>
    </row>
    <row x14ac:dyDescent="0.25" r="302" customHeight="1" ht="17.25">
      <c r="A302" s="24" t="s">
        <v>491</v>
      </c>
      <c r="B302" s="24"/>
      <c r="C302" s="24"/>
      <c r="D302" s="24"/>
      <c r="E302" s="25">
        <v>8</v>
      </c>
      <c r="F302" s="9"/>
      <c r="G302" s="9"/>
      <c r="H302" s="10"/>
      <c r="I302" s="9"/>
      <c r="J302" s="9"/>
    </row>
    <row x14ac:dyDescent="0.25" r="303" customHeight="1" ht="17.25">
      <c r="A303" s="7"/>
      <c r="B303" s="7"/>
      <c r="C303" s="7"/>
      <c r="D303" s="7"/>
      <c r="E303" s="8"/>
      <c r="F303" s="9"/>
      <c r="G303" s="9"/>
      <c r="H303" s="10"/>
      <c r="I303" s="9"/>
      <c r="J303" s="9"/>
    </row>
    <row x14ac:dyDescent="0.25" r="304" customHeight="1" ht="17.25">
      <c r="A304" s="11" t="s">
        <v>2705</v>
      </c>
      <c r="B304" s="11"/>
      <c r="C304" s="11"/>
      <c r="D304" s="11"/>
      <c r="E304" s="12"/>
      <c r="F304" s="11"/>
      <c r="G304" s="11"/>
      <c r="H304" s="13"/>
      <c r="I304" s="11"/>
      <c r="J304" s="11"/>
    </row>
    <row x14ac:dyDescent="0.25" r="305" customHeight="1" ht="17.25">
      <c r="A305" s="14" t="s">
        <v>3</v>
      </c>
      <c r="B305" s="14" t="s">
        <v>4</v>
      </c>
      <c r="C305" s="14" t="s">
        <v>5</v>
      </c>
      <c r="D305" s="14" t="s">
        <v>6</v>
      </c>
      <c r="E305" s="15" t="s">
        <v>7</v>
      </c>
      <c r="F305" s="14" t="s">
        <v>8</v>
      </c>
      <c r="G305" s="14" t="s">
        <v>9</v>
      </c>
      <c r="H305" s="16" t="s">
        <v>10</v>
      </c>
      <c r="I305" s="14" t="s">
        <v>11</v>
      </c>
      <c r="J305" s="14" t="s">
        <v>12</v>
      </c>
    </row>
    <row x14ac:dyDescent="0.25" r="306" customHeight="1" ht="17.25">
      <c r="A306" s="17" t="s">
        <v>2706</v>
      </c>
      <c r="B306" s="17" t="s">
        <v>494</v>
      </c>
      <c r="C306" s="17" t="s">
        <v>114</v>
      </c>
      <c r="D306" s="17" t="s">
        <v>16</v>
      </c>
      <c r="E306" s="18">
        <f>ROUND(7094*1.05,2)</f>
      </c>
      <c r="F306" s="17" t="s">
        <v>17</v>
      </c>
      <c r="G306" s="17" t="s">
        <v>18</v>
      </c>
      <c r="H306" s="18">
        <f>ROUND(RAND()*4+6,1)</f>
      </c>
      <c r="I306" s="17" t="s">
        <v>19</v>
      </c>
      <c r="J306" s="19">
        <f>ROUND(96*1,0)&amp;"%"</f>
      </c>
    </row>
    <row x14ac:dyDescent="0.25" r="307" customHeight="1" ht="17.25">
      <c r="A307" s="20" t="s">
        <v>2707</v>
      </c>
      <c r="B307" s="20" t="s">
        <v>496</v>
      </c>
      <c r="C307" s="20" t="s">
        <v>114</v>
      </c>
      <c r="D307" s="20" t="s">
        <v>22</v>
      </c>
      <c r="E307" s="21">
        <f>ROUND(17875*1.05,2)</f>
      </c>
      <c r="F307" s="20" t="s">
        <v>23</v>
      </c>
      <c r="G307" s="20" t="s">
        <v>24</v>
      </c>
      <c r="H307" s="21">
        <f>ROUND(RAND()*4+6,1)</f>
      </c>
      <c r="I307" s="20" t="s">
        <v>25</v>
      </c>
      <c r="J307" s="23">
        <f>ROUND(69*1,0)&amp;"%"</f>
      </c>
    </row>
    <row x14ac:dyDescent="0.25" r="308" customHeight="1" ht="17.25">
      <c r="A308" s="17" t="s">
        <v>2708</v>
      </c>
      <c r="B308" s="17" t="s">
        <v>498</v>
      </c>
      <c r="C308" s="17" t="s">
        <v>114</v>
      </c>
      <c r="D308" s="17" t="s">
        <v>28</v>
      </c>
      <c r="E308" s="18">
        <f>ROUND(17938*1.05,2)</f>
      </c>
      <c r="F308" s="17" t="s">
        <v>29</v>
      </c>
      <c r="G308" s="17" t="s">
        <v>30</v>
      </c>
      <c r="H308" s="18">
        <f>ROUND(RAND()*4+6,1)</f>
      </c>
      <c r="I308" s="17" t="s">
        <v>31</v>
      </c>
      <c r="J308" s="19">
        <f>ROUND(70*1,0)&amp;"%"</f>
      </c>
    </row>
    <row x14ac:dyDescent="0.25" r="309" customHeight="1" ht="17.25">
      <c r="A309" s="20" t="s">
        <v>2709</v>
      </c>
      <c r="B309" s="20" t="s">
        <v>500</v>
      </c>
      <c r="C309" s="20" t="s">
        <v>114</v>
      </c>
      <c r="D309" s="20" t="s">
        <v>34</v>
      </c>
      <c r="E309" s="21">
        <f>ROUND(15231*1.05,2)</f>
      </c>
      <c r="F309" s="20" t="s">
        <v>35</v>
      </c>
      <c r="G309" s="20" t="s">
        <v>18</v>
      </c>
      <c r="H309" s="21">
        <f>ROUND(RAND()*4+6,1)</f>
      </c>
      <c r="I309" s="20" t="s">
        <v>36</v>
      </c>
      <c r="J309" s="23">
        <f>ROUND(87*1,0)&amp;"%"</f>
      </c>
    </row>
    <row x14ac:dyDescent="0.25" r="310" customHeight="1" ht="17.25">
      <c r="A310" s="17" t="s">
        <v>2710</v>
      </c>
      <c r="B310" s="17" t="s">
        <v>502</v>
      </c>
      <c r="C310" s="17" t="s">
        <v>114</v>
      </c>
      <c r="D310" s="17" t="s">
        <v>39</v>
      </c>
      <c r="E310" s="26">
        <f>ROUND(15700*1.05,2)</f>
      </c>
      <c r="F310" s="17" t="s">
        <v>40</v>
      </c>
      <c r="G310" s="17" t="s">
        <v>24</v>
      </c>
      <c r="H310" s="18">
        <f>ROUND(RAND()*4+6,1)</f>
      </c>
      <c r="I310" s="17" t="s">
        <v>41</v>
      </c>
      <c r="J310" s="19">
        <f>ROUND(84*1,0)&amp;"%"</f>
      </c>
    </row>
    <row x14ac:dyDescent="0.25" r="311" customHeight="1" ht="17.25">
      <c r="A311" s="20" t="s">
        <v>2711</v>
      </c>
      <c r="B311" s="20" t="s">
        <v>504</v>
      </c>
      <c r="C311" s="20" t="s">
        <v>114</v>
      </c>
      <c r="D311" s="20" t="s">
        <v>67</v>
      </c>
      <c r="E311" s="21">
        <f>ROUND(15499*1.05,2)</f>
      </c>
      <c r="F311" s="20" t="s">
        <v>44</v>
      </c>
      <c r="G311" s="20" t="s">
        <v>30</v>
      </c>
      <c r="H311" s="21">
        <f>ROUND(RAND()*4+6,1)</f>
      </c>
      <c r="I311" s="20" t="s">
        <v>45</v>
      </c>
      <c r="J311" s="23">
        <f>ROUND(89*1,0)&amp;"%"</f>
      </c>
    </row>
    <row x14ac:dyDescent="0.25" r="312" customHeight="1" ht="17.25">
      <c r="A312" s="17" t="s">
        <v>2712</v>
      </c>
      <c r="B312" s="17" t="s">
        <v>506</v>
      </c>
      <c r="C312" s="17" t="s">
        <v>114</v>
      </c>
      <c r="D312" s="17" t="s">
        <v>16</v>
      </c>
      <c r="E312" s="18">
        <f>ROUND(17933*1.05,2)</f>
      </c>
      <c r="F312" s="17" t="s">
        <v>48</v>
      </c>
      <c r="G312" s="17" t="s">
        <v>18</v>
      </c>
      <c r="H312" s="18">
        <f>ROUND(RAND()*4+6,1)</f>
      </c>
      <c r="I312" s="17" t="s">
        <v>19</v>
      </c>
      <c r="J312" s="19">
        <f>ROUND(91*1,0)&amp;"%"</f>
      </c>
    </row>
    <row x14ac:dyDescent="0.25" r="313" customHeight="1" ht="17.25">
      <c r="A313" s="20" t="s">
        <v>2713</v>
      </c>
      <c r="B313" s="20" t="s">
        <v>508</v>
      </c>
      <c r="C313" s="20" t="s">
        <v>114</v>
      </c>
      <c r="D313" s="20" t="s">
        <v>22</v>
      </c>
      <c r="E313" s="21">
        <f>ROUND(12876*1.05,2)</f>
      </c>
      <c r="F313" s="20" t="s">
        <v>51</v>
      </c>
      <c r="G313" s="20" t="s">
        <v>24</v>
      </c>
      <c r="H313" s="21">
        <f>ROUND(RAND()*4+6,1)</f>
      </c>
      <c r="I313" s="20" t="s">
        <v>25</v>
      </c>
      <c r="J313" s="23">
        <f>ROUND(75*1,0)&amp;"%"</f>
      </c>
    </row>
    <row x14ac:dyDescent="0.25" r="314" customHeight="1" ht="17.25">
      <c r="A314" s="24" t="s">
        <v>509</v>
      </c>
      <c r="B314" s="24"/>
      <c r="C314" s="24"/>
      <c r="D314" s="24"/>
      <c r="E314" s="25">
        <v>8</v>
      </c>
      <c r="F314" s="9"/>
      <c r="G314" s="9"/>
      <c r="H314" s="10"/>
      <c r="I314" s="9"/>
      <c r="J314" s="9"/>
    </row>
    <row x14ac:dyDescent="0.25" r="315" customHeight="1" ht="17.25">
      <c r="A315" s="7"/>
      <c r="B315" s="7"/>
      <c r="C315" s="7"/>
      <c r="D315" s="7"/>
      <c r="E315" s="8"/>
      <c r="F315" s="9"/>
      <c r="G315" s="9"/>
      <c r="H315" s="10"/>
      <c r="I315" s="9"/>
      <c r="J315" s="9"/>
    </row>
    <row x14ac:dyDescent="0.25" r="316" customHeight="1" ht="17.25">
      <c r="A316" s="11" t="s">
        <v>2714</v>
      </c>
      <c r="B316" s="11"/>
      <c r="C316" s="11"/>
      <c r="D316" s="11"/>
      <c r="E316" s="12"/>
      <c r="F316" s="11"/>
      <c r="G316" s="11"/>
      <c r="H316" s="13"/>
      <c r="I316" s="11"/>
      <c r="J316" s="11"/>
    </row>
    <row x14ac:dyDescent="0.25" r="317" customHeight="1" ht="17.25">
      <c r="A317" s="14" t="s">
        <v>3</v>
      </c>
      <c r="B317" s="14" t="s">
        <v>4</v>
      </c>
      <c r="C317" s="14" t="s">
        <v>5</v>
      </c>
      <c r="D317" s="14" t="s">
        <v>6</v>
      </c>
      <c r="E317" s="15" t="s">
        <v>7</v>
      </c>
      <c r="F317" s="14" t="s">
        <v>8</v>
      </c>
      <c r="G317" s="14" t="s">
        <v>9</v>
      </c>
      <c r="H317" s="16" t="s">
        <v>10</v>
      </c>
      <c r="I317" s="14" t="s">
        <v>11</v>
      </c>
      <c r="J317" s="14" t="s">
        <v>12</v>
      </c>
    </row>
    <row x14ac:dyDescent="0.25" r="318" customHeight="1" ht="17.25">
      <c r="A318" s="17" t="s">
        <v>2715</v>
      </c>
      <c r="B318" s="17" t="s">
        <v>512</v>
      </c>
      <c r="C318" s="17" t="s">
        <v>133</v>
      </c>
      <c r="D318" s="17" t="s">
        <v>16</v>
      </c>
      <c r="E318" s="18">
        <f>ROUND(13108*1.05,2)</f>
      </c>
      <c r="F318" s="17" t="s">
        <v>17</v>
      </c>
      <c r="G318" s="17" t="s">
        <v>18</v>
      </c>
      <c r="H318" s="18">
        <f>ROUND(RAND()*4+6,1)</f>
      </c>
      <c r="I318" s="17" t="s">
        <v>19</v>
      </c>
      <c r="J318" s="19">
        <f>ROUND(65*1,0)&amp;"%"</f>
      </c>
    </row>
    <row x14ac:dyDescent="0.25" r="319" customHeight="1" ht="17.25">
      <c r="A319" s="20" t="s">
        <v>2716</v>
      </c>
      <c r="B319" s="20" t="s">
        <v>514</v>
      </c>
      <c r="C319" s="20" t="s">
        <v>133</v>
      </c>
      <c r="D319" s="20" t="s">
        <v>22</v>
      </c>
      <c r="E319" s="21">
        <f>ROUND(10263*1.05,2)</f>
      </c>
      <c r="F319" s="20" t="s">
        <v>23</v>
      </c>
      <c r="G319" s="20" t="s">
        <v>24</v>
      </c>
      <c r="H319" s="22">
        <f>ROUND(RAND()*4+6,1)</f>
      </c>
      <c r="I319" s="20" t="s">
        <v>25</v>
      </c>
      <c r="J319" s="23">
        <f>ROUND(86*1,0)&amp;"%"</f>
      </c>
    </row>
    <row x14ac:dyDescent="0.25" r="320" customHeight="1" ht="17.25">
      <c r="A320" s="17" t="s">
        <v>2717</v>
      </c>
      <c r="B320" s="17" t="s">
        <v>516</v>
      </c>
      <c r="C320" s="17" t="s">
        <v>133</v>
      </c>
      <c r="D320" s="17" t="s">
        <v>28</v>
      </c>
      <c r="E320" s="26">
        <f>ROUND(8260*1.05,2)</f>
      </c>
      <c r="F320" s="17" t="s">
        <v>29</v>
      </c>
      <c r="G320" s="17" t="s">
        <v>30</v>
      </c>
      <c r="H320" s="18">
        <f>ROUND(RAND()*4+6,1)</f>
      </c>
      <c r="I320" s="17" t="s">
        <v>31</v>
      </c>
      <c r="J320" s="19">
        <f>ROUND(82*1,0)&amp;"%"</f>
      </c>
    </row>
    <row x14ac:dyDescent="0.25" r="321" customHeight="1" ht="17.25">
      <c r="A321" s="20" t="s">
        <v>2718</v>
      </c>
      <c r="B321" s="20" t="s">
        <v>518</v>
      </c>
      <c r="C321" s="20" t="s">
        <v>133</v>
      </c>
      <c r="D321" s="20" t="s">
        <v>34</v>
      </c>
      <c r="E321" s="21">
        <f>ROUND(8259*1.05,2)</f>
      </c>
      <c r="F321" s="20" t="s">
        <v>35</v>
      </c>
      <c r="G321" s="20" t="s">
        <v>18</v>
      </c>
      <c r="H321" s="21">
        <f>ROUND(RAND()*4+6,1)</f>
      </c>
      <c r="I321" s="20" t="s">
        <v>36</v>
      </c>
      <c r="J321" s="23">
        <f>ROUND(62*1,0)&amp;"%"</f>
      </c>
    </row>
    <row x14ac:dyDescent="0.25" r="322" customHeight="1" ht="17.25">
      <c r="A322" s="17" t="s">
        <v>2719</v>
      </c>
      <c r="B322" s="17" t="s">
        <v>520</v>
      </c>
      <c r="C322" s="17" t="s">
        <v>133</v>
      </c>
      <c r="D322" s="17" t="s">
        <v>39</v>
      </c>
      <c r="E322" s="18">
        <f>ROUND(6508*1.05,2)</f>
      </c>
      <c r="F322" s="17" t="s">
        <v>40</v>
      </c>
      <c r="G322" s="17" t="s">
        <v>24</v>
      </c>
      <c r="H322" s="18">
        <f>ROUND(RAND()*4+6,1)</f>
      </c>
      <c r="I322" s="17" t="s">
        <v>41</v>
      </c>
      <c r="J322" s="19">
        <f>ROUND(71*1,0)&amp;"%"</f>
      </c>
    </row>
    <row x14ac:dyDescent="0.25" r="323" customHeight="1" ht="17.25">
      <c r="A323" s="20" t="s">
        <v>2720</v>
      </c>
      <c r="B323" s="20" t="s">
        <v>522</v>
      </c>
      <c r="C323" s="20" t="s">
        <v>133</v>
      </c>
      <c r="D323" s="20" t="s">
        <v>67</v>
      </c>
      <c r="E323" s="21">
        <f>ROUND(15253*1.05,2)</f>
      </c>
      <c r="F323" s="20" t="s">
        <v>44</v>
      </c>
      <c r="G323" s="20" t="s">
        <v>30</v>
      </c>
      <c r="H323" s="22">
        <f>ROUND(RAND()*4+6,1)</f>
      </c>
      <c r="I323" s="20" t="s">
        <v>45</v>
      </c>
      <c r="J323" s="23">
        <f>ROUND(63*1,0)&amp;"%"</f>
      </c>
    </row>
    <row x14ac:dyDescent="0.25" r="324" customHeight="1" ht="17.25">
      <c r="A324" s="17" t="s">
        <v>2721</v>
      </c>
      <c r="B324" s="17" t="s">
        <v>524</v>
      </c>
      <c r="C324" s="17" t="s">
        <v>133</v>
      </c>
      <c r="D324" s="17" t="s">
        <v>16</v>
      </c>
      <c r="E324" s="18">
        <f>ROUND(13394*1.05,2)</f>
      </c>
      <c r="F324" s="17" t="s">
        <v>48</v>
      </c>
      <c r="G324" s="17" t="s">
        <v>18</v>
      </c>
      <c r="H324" s="18">
        <f>ROUND(RAND()*4+6,1)</f>
      </c>
      <c r="I324" s="17" t="s">
        <v>19</v>
      </c>
      <c r="J324" s="19">
        <f>ROUND(72*1,0)&amp;"%"</f>
      </c>
    </row>
    <row x14ac:dyDescent="0.25" r="325" customHeight="1" ht="17.25">
      <c r="A325" s="20" t="s">
        <v>2722</v>
      </c>
      <c r="B325" s="20" t="s">
        <v>526</v>
      </c>
      <c r="C325" s="20" t="s">
        <v>133</v>
      </c>
      <c r="D325" s="20" t="s">
        <v>22</v>
      </c>
      <c r="E325" s="21">
        <f>ROUND(13271*1.05,2)</f>
      </c>
      <c r="F325" s="20" t="s">
        <v>51</v>
      </c>
      <c r="G325" s="20" t="s">
        <v>24</v>
      </c>
      <c r="H325" s="21">
        <f>ROUND(RAND()*4+6,1)</f>
      </c>
      <c r="I325" s="20" t="s">
        <v>25</v>
      </c>
      <c r="J325" s="23">
        <f>ROUND(73*1,0)&amp;"%"</f>
      </c>
    </row>
    <row x14ac:dyDescent="0.25" r="326" customHeight="1" ht="17.25">
      <c r="A326" s="24" t="s">
        <v>527</v>
      </c>
      <c r="B326" s="24"/>
      <c r="C326" s="24"/>
      <c r="D326" s="24"/>
      <c r="E326" s="25">
        <v>8</v>
      </c>
      <c r="F326" s="9"/>
      <c r="G326" s="9"/>
      <c r="H326" s="10"/>
      <c r="I326" s="9"/>
      <c r="J326" s="9"/>
    </row>
    <row x14ac:dyDescent="0.25" r="327" customHeight="1" ht="17.25">
      <c r="A327" s="7"/>
      <c r="B327" s="7"/>
      <c r="C327" s="7"/>
      <c r="D327" s="7"/>
      <c r="E327" s="8"/>
      <c r="F327" s="9"/>
      <c r="G327" s="9"/>
      <c r="H327" s="10"/>
      <c r="I327" s="9"/>
      <c r="J327" s="9"/>
    </row>
    <row x14ac:dyDescent="0.25" r="328" customHeight="1" ht="17.25">
      <c r="A328" s="11" t="s">
        <v>2723</v>
      </c>
      <c r="B328" s="11"/>
      <c r="C328" s="11"/>
      <c r="D328" s="11"/>
      <c r="E328" s="12"/>
      <c r="F328" s="11"/>
      <c r="G328" s="11"/>
      <c r="H328" s="13"/>
      <c r="I328" s="11"/>
      <c r="J328" s="11"/>
    </row>
    <row x14ac:dyDescent="0.25" r="329" customHeight="1" ht="17.25">
      <c r="A329" s="14" t="s">
        <v>3</v>
      </c>
      <c r="B329" s="14" t="s">
        <v>4</v>
      </c>
      <c r="C329" s="14" t="s">
        <v>5</v>
      </c>
      <c r="D329" s="14" t="s">
        <v>6</v>
      </c>
      <c r="E329" s="15" t="s">
        <v>7</v>
      </c>
      <c r="F329" s="14" t="s">
        <v>8</v>
      </c>
      <c r="G329" s="14" t="s">
        <v>9</v>
      </c>
      <c r="H329" s="16" t="s">
        <v>10</v>
      </c>
      <c r="I329" s="14" t="s">
        <v>11</v>
      </c>
      <c r="J329" s="14" t="s">
        <v>12</v>
      </c>
    </row>
    <row x14ac:dyDescent="0.25" r="330" customHeight="1" ht="17.25">
      <c r="A330" s="17" t="s">
        <v>2724</v>
      </c>
      <c r="B330" s="17" t="s">
        <v>530</v>
      </c>
      <c r="C330" s="17" t="s">
        <v>152</v>
      </c>
      <c r="D330" s="17" t="s">
        <v>16</v>
      </c>
      <c r="E330" s="18">
        <f>ROUND(8532*1.05,2)</f>
      </c>
      <c r="F330" s="17" t="s">
        <v>17</v>
      </c>
      <c r="G330" s="17" t="s">
        <v>18</v>
      </c>
      <c r="H330" s="26">
        <f>ROUND(RAND()*4+6,1)</f>
      </c>
      <c r="I330" s="17" t="s">
        <v>19</v>
      </c>
      <c r="J330" s="19">
        <f>ROUND(83*1,0)&amp;"%"</f>
      </c>
    </row>
    <row x14ac:dyDescent="0.25" r="331" customHeight="1" ht="17.25">
      <c r="A331" s="20" t="s">
        <v>2725</v>
      </c>
      <c r="B331" s="20" t="s">
        <v>532</v>
      </c>
      <c r="C331" s="20" t="s">
        <v>152</v>
      </c>
      <c r="D331" s="20" t="s">
        <v>22</v>
      </c>
      <c r="E331" s="21">
        <f>ROUND(17850*1.05,2)</f>
      </c>
      <c r="F331" s="20" t="s">
        <v>23</v>
      </c>
      <c r="G331" s="20" t="s">
        <v>24</v>
      </c>
      <c r="H331" s="21">
        <f>ROUND(RAND()*4+6,1)</f>
      </c>
      <c r="I331" s="20" t="s">
        <v>25</v>
      </c>
      <c r="J331" s="23">
        <f>ROUND(92*1,0)&amp;"%"</f>
      </c>
    </row>
    <row x14ac:dyDescent="0.25" r="332" customHeight="1" ht="17.25">
      <c r="A332" s="17" t="s">
        <v>2726</v>
      </c>
      <c r="B332" s="17" t="s">
        <v>534</v>
      </c>
      <c r="C332" s="17" t="s">
        <v>152</v>
      </c>
      <c r="D332" s="17" t="s">
        <v>28</v>
      </c>
      <c r="E332" s="18">
        <f>ROUND(8217*1.05,2)</f>
      </c>
      <c r="F332" s="17" t="s">
        <v>29</v>
      </c>
      <c r="G332" s="17" t="s">
        <v>30</v>
      </c>
      <c r="H332" s="18">
        <f>ROUND(RAND()*4+6,1)</f>
      </c>
      <c r="I332" s="17" t="s">
        <v>31</v>
      </c>
      <c r="J332" s="19">
        <f>ROUND(93*1,0)&amp;"%"</f>
      </c>
    </row>
    <row x14ac:dyDescent="0.25" r="333" customHeight="1" ht="17.25">
      <c r="A333" s="20" t="s">
        <v>2727</v>
      </c>
      <c r="B333" s="20" t="s">
        <v>536</v>
      </c>
      <c r="C333" s="20" t="s">
        <v>152</v>
      </c>
      <c r="D333" s="20" t="s">
        <v>34</v>
      </c>
      <c r="E333" s="22">
        <f>ROUND(15640*1.05,2)</f>
      </c>
      <c r="F333" s="20" t="s">
        <v>35</v>
      </c>
      <c r="G333" s="20" t="s">
        <v>18</v>
      </c>
      <c r="H333" s="21">
        <f>ROUND(RAND()*4+6,1)</f>
      </c>
      <c r="I333" s="20" t="s">
        <v>36</v>
      </c>
      <c r="J333" s="23">
        <f>ROUND(62*1,0)&amp;"%"</f>
      </c>
    </row>
    <row x14ac:dyDescent="0.25" r="334" customHeight="1" ht="17.25">
      <c r="A334" s="17" t="s">
        <v>2728</v>
      </c>
      <c r="B334" s="17" t="s">
        <v>538</v>
      </c>
      <c r="C334" s="17" t="s">
        <v>152</v>
      </c>
      <c r="D334" s="17" t="s">
        <v>39</v>
      </c>
      <c r="E334" s="18">
        <f>ROUND(7534*1.05,2)</f>
      </c>
      <c r="F334" s="17" t="s">
        <v>40</v>
      </c>
      <c r="G334" s="17" t="s">
        <v>24</v>
      </c>
      <c r="H334" s="18">
        <f>ROUND(RAND()*4+6,1)</f>
      </c>
      <c r="I334" s="17" t="s">
        <v>41</v>
      </c>
      <c r="J334" s="19">
        <f>ROUND(89*1,0)&amp;"%"</f>
      </c>
    </row>
    <row x14ac:dyDescent="0.25" r="335" customHeight="1" ht="17.25">
      <c r="A335" s="20" t="s">
        <v>2729</v>
      </c>
      <c r="B335" s="20" t="s">
        <v>540</v>
      </c>
      <c r="C335" s="20" t="s">
        <v>152</v>
      </c>
      <c r="D335" s="20" t="s">
        <v>67</v>
      </c>
      <c r="E335" s="21">
        <f>ROUND(17739*1.05,2)</f>
      </c>
      <c r="F335" s="20" t="s">
        <v>44</v>
      </c>
      <c r="G335" s="20" t="s">
        <v>30</v>
      </c>
      <c r="H335" s="21">
        <f>ROUND(RAND()*4+6,1)</f>
      </c>
      <c r="I335" s="20" t="s">
        <v>45</v>
      </c>
      <c r="J335" s="23">
        <f>ROUND(100*1,0)&amp;"%"</f>
      </c>
    </row>
    <row x14ac:dyDescent="0.25" r="336" customHeight="1" ht="17.25">
      <c r="A336" s="17" t="s">
        <v>2730</v>
      </c>
      <c r="B336" s="17" t="s">
        <v>542</v>
      </c>
      <c r="C336" s="17" t="s">
        <v>152</v>
      </c>
      <c r="D336" s="17" t="s">
        <v>16</v>
      </c>
      <c r="E336" s="18">
        <f>ROUND(9838*1.05,2)</f>
      </c>
      <c r="F336" s="17" t="s">
        <v>48</v>
      </c>
      <c r="G336" s="17" t="s">
        <v>18</v>
      </c>
      <c r="H336" s="18">
        <f>ROUND(RAND()*4+6,1)</f>
      </c>
      <c r="I336" s="17" t="s">
        <v>19</v>
      </c>
      <c r="J336" s="19">
        <f>ROUND(67*1,0)&amp;"%"</f>
      </c>
    </row>
    <row x14ac:dyDescent="0.25" r="337" customHeight="1" ht="17.25">
      <c r="A337" s="20" t="s">
        <v>2731</v>
      </c>
      <c r="B337" s="20" t="s">
        <v>544</v>
      </c>
      <c r="C337" s="20" t="s">
        <v>152</v>
      </c>
      <c r="D337" s="20" t="s">
        <v>22</v>
      </c>
      <c r="E337" s="21">
        <f>ROUND(15570*1.05,2)</f>
      </c>
      <c r="F337" s="20" t="s">
        <v>51</v>
      </c>
      <c r="G337" s="20" t="s">
        <v>24</v>
      </c>
      <c r="H337" s="21">
        <f>ROUND(RAND()*4+6,1)</f>
      </c>
      <c r="I337" s="20" t="s">
        <v>25</v>
      </c>
      <c r="J337" s="23">
        <f>ROUND(78*1,0)&amp;"%"</f>
      </c>
    </row>
    <row x14ac:dyDescent="0.25" r="338" customHeight="1" ht="17.25">
      <c r="A338" s="24" t="s">
        <v>545</v>
      </c>
      <c r="B338" s="24"/>
      <c r="C338" s="24"/>
      <c r="D338" s="24"/>
      <c r="E338" s="25">
        <v>8</v>
      </c>
      <c r="F338" s="9"/>
      <c r="G338" s="9"/>
      <c r="H338" s="10"/>
      <c r="I338" s="9"/>
      <c r="J338" s="9"/>
    </row>
    <row x14ac:dyDescent="0.25" r="339" customHeight="1" ht="17.25">
      <c r="A339" s="7"/>
      <c r="B339" s="7"/>
      <c r="C339" s="7"/>
      <c r="D339" s="7"/>
      <c r="E339" s="8"/>
      <c r="F339" s="9"/>
      <c r="G339" s="9"/>
      <c r="H339" s="10"/>
      <c r="I339" s="9"/>
      <c r="J339" s="9"/>
    </row>
    <row x14ac:dyDescent="0.25" r="340" customHeight="1" ht="17.25">
      <c r="A340" s="11" t="s">
        <v>2732</v>
      </c>
      <c r="B340" s="11"/>
      <c r="C340" s="11"/>
      <c r="D340" s="11"/>
      <c r="E340" s="12"/>
      <c r="F340" s="11"/>
      <c r="G340" s="11"/>
      <c r="H340" s="13"/>
      <c r="I340" s="11"/>
      <c r="J340" s="11"/>
    </row>
    <row x14ac:dyDescent="0.25" r="341" customHeight="1" ht="17.25">
      <c r="A341" s="14" t="s">
        <v>3</v>
      </c>
      <c r="B341" s="14" t="s">
        <v>4</v>
      </c>
      <c r="C341" s="14" t="s">
        <v>5</v>
      </c>
      <c r="D341" s="14" t="s">
        <v>6</v>
      </c>
      <c r="E341" s="15" t="s">
        <v>7</v>
      </c>
      <c r="F341" s="14" t="s">
        <v>8</v>
      </c>
      <c r="G341" s="14" t="s">
        <v>9</v>
      </c>
      <c r="H341" s="16" t="s">
        <v>10</v>
      </c>
      <c r="I341" s="14" t="s">
        <v>11</v>
      </c>
      <c r="J341" s="14" t="s">
        <v>12</v>
      </c>
    </row>
    <row x14ac:dyDescent="0.25" r="342" customHeight="1" ht="17.25">
      <c r="A342" s="17" t="s">
        <v>2733</v>
      </c>
      <c r="B342" s="17" t="s">
        <v>548</v>
      </c>
      <c r="C342" s="17" t="s">
        <v>15</v>
      </c>
      <c r="D342" s="17" t="s">
        <v>16</v>
      </c>
      <c r="E342" s="18">
        <f>ROUND(15957*1.05,2)</f>
      </c>
      <c r="F342" s="17" t="s">
        <v>17</v>
      </c>
      <c r="G342" s="17" t="s">
        <v>18</v>
      </c>
      <c r="H342" s="18">
        <f>ROUND(RAND()*4+6,1)</f>
      </c>
      <c r="I342" s="17" t="s">
        <v>19</v>
      </c>
      <c r="J342" s="19">
        <f>ROUND(97*1,0)&amp;"%"</f>
      </c>
    </row>
    <row x14ac:dyDescent="0.25" r="343" customHeight="1" ht="17.25">
      <c r="A343" s="20" t="s">
        <v>2734</v>
      </c>
      <c r="B343" s="20" t="s">
        <v>550</v>
      </c>
      <c r="C343" s="20" t="s">
        <v>15</v>
      </c>
      <c r="D343" s="20" t="s">
        <v>22</v>
      </c>
      <c r="E343" s="21">
        <f>ROUND(13406*1.05,2)</f>
      </c>
      <c r="F343" s="20" t="s">
        <v>23</v>
      </c>
      <c r="G343" s="20" t="s">
        <v>24</v>
      </c>
      <c r="H343" s="21">
        <f>ROUND(RAND()*4+6,1)</f>
      </c>
      <c r="I343" s="20" t="s">
        <v>25</v>
      </c>
      <c r="J343" s="23">
        <f>ROUND(94*1,0)&amp;"%"</f>
      </c>
    </row>
    <row x14ac:dyDescent="0.25" r="344" customHeight="1" ht="17.25">
      <c r="A344" s="17" t="s">
        <v>2735</v>
      </c>
      <c r="B344" s="17" t="s">
        <v>552</v>
      </c>
      <c r="C344" s="17" t="s">
        <v>15</v>
      </c>
      <c r="D344" s="17" t="s">
        <v>28</v>
      </c>
      <c r="E344" s="18">
        <f>ROUND(10702*1.05,2)</f>
      </c>
      <c r="F344" s="17" t="s">
        <v>29</v>
      </c>
      <c r="G344" s="17" t="s">
        <v>30</v>
      </c>
      <c r="H344" s="18">
        <f>ROUND(RAND()*4+6,1)</f>
      </c>
      <c r="I344" s="17" t="s">
        <v>31</v>
      </c>
      <c r="J344" s="19">
        <f>ROUND(74*1,0)&amp;"%"</f>
      </c>
    </row>
    <row x14ac:dyDescent="0.25" r="345" customHeight="1" ht="17.25">
      <c r="A345" s="20" t="s">
        <v>2736</v>
      </c>
      <c r="B345" s="20" t="s">
        <v>554</v>
      </c>
      <c r="C345" s="20" t="s">
        <v>15</v>
      </c>
      <c r="D345" s="20" t="s">
        <v>34</v>
      </c>
      <c r="E345" s="21">
        <f>ROUND(12186*1.05,2)</f>
      </c>
      <c r="F345" s="20" t="s">
        <v>35</v>
      </c>
      <c r="G345" s="20" t="s">
        <v>18</v>
      </c>
      <c r="H345" s="22">
        <f>ROUND(RAND()*4+6,1)</f>
      </c>
      <c r="I345" s="20" t="s">
        <v>36</v>
      </c>
      <c r="J345" s="23">
        <f>ROUND(99*1,0)&amp;"%"</f>
      </c>
    </row>
    <row x14ac:dyDescent="0.25" r="346" customHeight="1" ht="17.25">
      <c r="A346" s="17" t="s">
        <v>2737</v>
      </c>
      <c r="B346" s="17" t="s">
        <v>556</v>
      </c>
      <c r="C346" s="17" t="s">
        <v>15</v>
      </c>
      <c r="D346" s="17" t="s">
        <v>39</v>
      </c>
      <c r="E346" s="18">
        <f>ROUND(17243*1.05,2)</f>
      </c>
      <c r="F346" s="17" t="s">
        <v>40</v>
      </c>
      <c r="G346" s="17" t="s">
        <v>24</v>
      </c>
      <c r="H346" s="18">
        <f>ROUND(RAND()*4+6,1)</f>
      </c>
      <c r="I346" s="17" t="s">
        <v>41</v>
      </c>
      <c r="J346" s="19">
        <f>ROUND(84*1,0)&amp;"%"</f>
      </c>
    </row>
    <row x14ac:dyDescent="0.25" r="347" customHeight="1" ht="17.25">
      <c r="A347" s="20" t="s">
        <v>2738</v>
      </c>
      <c r="B347" s="20" t="s">
        <v>558</v>
      </c>
      <c r="C347" s="20" t="s">
        <v>15</v>
      </c>
      <c r="D347" s="20" t="s">
        <v>67</v>
      </c>
      <c r="E347" s="21">
        <f>ROUND(12309*1.05,2)</f>
      </c>
      <c r="F347" s="20" t="s">
        <v>44</v>
      </c>
      <c r="G347" s="20" t="s">
        <v>30</v>
      </c>
      <c r="H347" s="21">
        <f>ROUND(RAND()*4+6,1)</f>
      </c>
      <c r="I347" s="20" t="s">
        <v>45</v>
      </c>
      <c r="J347" s="23">
        <f>ROUND(70*1,0)&amp;"%"</f>
      </c>
    </row>
    <row x14ac:dyDescent="0.25" r="348" customHeight="1" ht="17.25">
      <c r="A348" s="17" t="s">
        <v>2739</v>
      </c>
      <c r="B348" s="17" t="s">
        <v>560</v>
      </c>
      <c r="C348" s="17" t="s">
        <v>15</v>
      </c>
      <c r="D348" s="17" t="s">
        <v>16</v>
      </c>
      <c r="E348" s="18">
        <f>ROUND(13911*1.05,2)</f>
      </c>
      <c r="F348" s="17" t="s">
        <v>48</v>
      </c>
      <c r="G348" s="17" t="s">
        <v>18</v>
      </c>
      <c r="H348" s="18">
        <f>ROUND(RAND()*4+6,1)</f>
      </c>
      <c r="I348" s="17" t="s">
        <v>19</v>
      </c>
      <c r="J348" s="19">
        <f>ROUND(79*1,0)&amp;"%"</f>
      </c>
    </row>
    <row x14ac:dyDescent="0.25" r="349" customHeight="1" ht="17.25">
      <c r="A349" s="20" t="s">
        <v>2740</v>
      </c>
      <c r="B349" s="20" t="s">
        <v>562</v>
      </c>
      <c r="C349" s="20" t="s">
        <v>15</v>
      </c>
      <c r="D349" s="20" t="s">
        <v>22</v>
      </c>
      <c r="E349" s="21">
        <f>ROUND(12036*1.05,2)</f>
      </c>
      <c r="F349" s="20" t="s">
        <v>51</v>
      </c>
      <c r="G349" s="20" t="s">
        <v>24</v>
      </c>
      <c r="H349" s="21">
        <f>ROUND(RAND()*4+6,1)</f>
      </c>
      <c r="I349" s="20" t="s">
        <v>25</v>
      </c>
      <c r="J349" s="23">
        <f>ROUND(70*1,0)&amp;"%"</f>
      </c>
    </row>
    <row x14ac:dyDescent="0.25" r="350" customHeight="1" ht="17.25">
      <c r="A350" s="24" t="s">
        <v>563</v>
      </c>
      <c r="B350" s="24"/>
      <c r="C350" s="24"/>
      <c r="D350" s="24"/>
      <c r="E350" s="25">
        <v>8</v>
      </c>
      <c r="F350" s="9"/>
      <c r="G350" s="9"/>
      <c r="H350" s="10"/>
      <c r="I350" s="9"/>
      <c r="J350" s="9"/>
    </row>
    <row x14ac:dyDescent="0.25" r="351" customHeight="1" ht="17.25">
      <c r="A351" s="7"/>
      <c r="B351" s="7"/>
      <c r="C351" s="7"/>
      <c r="D351" s="7"/>
      <c r="E351" s="8"/>
      <c r="F351" s="9"/>
      <c r="G351" s="9"/>
      <c r="H351" s="10"/>
      <c r="I351" s="9"/>
      <c r="J351" s="9"/>
    </row>
    <row x14ac:dyDescent="0.25" r="352" customHeight="1" ht="17.25">
      <c r="A352" s="11" t="s">
        <v>2741</v>
      </c>
      <c r="B352" s="11"/>
      <c r="C352" s="11"/>
      <c r="D352" s="11"/>
      <c r="E352" s="12"/>
      <c r="F352" s="11"/>
      <c r="G352" s="11"/>
      <c r="H352" s="13"/>
      <c r="I352" s="11"/>
      <c r="J352" s="11"/>
    </row>
    <row x14ac:dyDescent="0.25" r="353" customHeight="1" ht="17.25">
      <c r="A353" s="14" t="s">
        <v>3</v>
      </c>
      <c r="B353" s="14" t="s">
        <v>4</v>
      </c>
      <c r="C353" s="14" t="s">
        <v>5</v>
      </c>
      <c r="D353" s="14" t="s">
        <v>6</v>
      </c>
      <c r="E353" s="15" t="s">
        <v>7</v>
      </c>
      <c r="F353" s="14" t="s">
        <v>8</v>
      </c>
      <c r="G353" s="14" t="s">
        <v>9</v>
      </c>
      <c r="H353" s="16" t="s">
        <v>10</v>
      </c>
      <c r="I353" s="14" t="s">
        <v>11</v>
      </c>
      <c r="J353" s="14" t="s">
        <v>12</v>
      </c>
    </row>
    <row x14ac:dyDescent="0.25" r="354" customHeight="1" ht="17.25">
      <c r="A354" s="17" t="s">
        <v>2742</v>
      </c>
      <c r="B354" s="17" t="s">
        <v>566</v>
      </c>
      <c r="C354" s="17" t="s">
        <v>56</v>
      </c>
      <c r="D354" s="17" t="s">
        <v>16</v>
      </c>
      <c r="E354" s="18">
        <f>ROUND(16488*1.05,2)</f>
      </c>
      <c r="F354" s="17" t="s">
        <v>17</v>
      </c>
      <c r="G354" s="17" t="s">
        <v>18</v>
      </c>
      <c r="H354" s="18">
        <f>ROUND(RAND()*4+6,1)</f>
      </c>
      <c r="I354" s="17" t="s">
        <v>19</v>
      </c>
      <c r="J354" s="19">
        <f>ROUND(81*1,0)&amp;"%"</f>
      </c>
    </row>
    <row x14ac:dyDescent="0.25" r="355" customHeight="1" ht="17.25">
      <c r="A355" s="20" t="s">
        <v>2743</v>
      </c>
      <c r="B355" s="20" t="s">
        <v>568</v>
      </c>
      <c r="C355" s="20" t="s">
        <v>56</v>
      </c>
      <c r="D355" s="20" t="s">
        <v>22</v>
      </c>
      <c r="E355" s="21">
        <f>ROUND(17992*1.05,2)</f>
      </c>
      <c r="F355" s="20" t="s">
        <v>23</v>
      </c>
      <c r="G355" s="20" t="s">
        <v>24</v>
      </c>
      <c r="H355" s="21">
        <f>ROUND(RAND()*4+6,1)</f>
      </c>
      <c r="I355" s="20" t="s">
        <v>25</v>
      </c>
      <c r="J355" s="23">
        <f>ROUND(68*1,0)&amp;"%"</f>
      </c>
    </row>
    <row x14ac:dyDescent="0.25" r="356" customHeight="1" ht="17.25">
      <c r="A356" s="17" t="s">
        <v>2744</v>
      </c>
      <c r="B356" s="17" t="s">
        <v>570</v>
      </c>
      <c r="C356" s="17" t="s">
        <v>56</v>
      </c>
      <c r="D356" s="17" t="s">
        <v>28</v>
      </c>
      <c r="E356" s="18">
        <f>ROUND(6542*1.05,2)</f>
      </c>
      <c r="F356" s="17" t="s">
        <v>29</v>
      </c>
      <c r="G356" s="17" t="s">
        <v>30</v>
      </c>
      <c r="H356" s="18">
        <f>ROUND(RAND()*4+6,1)</f>
      </c>
      <c r="I356" s="17" t="s">
        <v>31</v>
      </c>
      <c r="J356" s="19">
        <f>ROUND(87*1,0)&amp;"%"</f>
      </c>
    </row>
    <row x14ac:dyDescent="0.25" r="357" customHeight="1" ht="17.25">
      <c r="A357" s="20" t="s">
        <v>2745</v>
      </c>
      <c r="B357" s="20" t="s">
        <v>572</v>
      </c>
      <c r="C357" s="20" t="s">
        <v>56</v>
      </c>
      <c r="D357" s="20" t="s">
        <v>34</v>
      </c>
      <c r="E357" s="21">
        <f>ROUND(14709*1.05,2)</f>
      </c>
      <c r="F357" s="20" t="s">
        <v>35</v>
      </c>
      <c r="G357" s="20" t="s">
        <v>18</v>
      </c>
      <c r="H357" s="22">
        <f>ROUND(RAND()*4+6,1)</f>
      </c>
      <c r="I357" s="20" t="s">
        <v>36</v>
      </c>
      <c r="J357" s="23">
        <f>ROUND(99*1,0)&amp;"%"</f>
      </c>
    </row>
    <row x14ac:dyDescent="0.25" r="358" customHeight="1" ht="17.25">
      <c r="A358" s="17" t="s">
        <v>2746</v>
      </c>
      <c r="B358" s="17" t="s">
        <v>574</v>
      </c>
      <c r="C358" s="17" t="s">
        <v>56</v>
      </c>
      <c r="D358" s="17" t="s">
        <v>39</v>
      </c>
      <c r="E358" s="18">
        <f>ROUND(14806*1.05,2)</f>
      </c>
      <c r="F358" s="17" t="s">
        <v>40</v>
      </c>
      <c r="G358" s="17" t="s">
        <v>24</v>
      </c>
      <c r="H358" s="18">
        <f>ROUND(RAND()*4+6,1)</f>
      </c>
      <c r="I358" s="17" t="s">
        <v>41</v>
      </c>
      <c r="J358" s="19">
        <f>ROUND(88*1,0)&amp;"%"</f>
      </c>
    </row>
    <row x14ac:dyDescent="0.25" r="359" customHeight="1" ht="17.25">
      <c r="A359" s="20" t="s">
        <v>2747</v>
      </c>
      <c r="B359" s="20" t="s">
        <v>576</v>
      </c>
      <c r="C359" s="20" t="s">
        <v>56</v>
      </c>
      <c r="D359" s="20" t="s">
        <v>67</v>
      </c>
      <c r="E359" s="21">
        <f>ROUND(12085*1.05,2)</f>
      </c>
      <c r="F359" s="20" t="s">
        <v>44</v>
      </c>
      <c r="G359" s="20" t="s">
        <v>30</v>
      </c>
      <c r="H359" s="22">
        <f>ROUND(RAND()*4+6,1)</f>
      </c>
      <c r="I359" s="20" t="s">
        <v>45</v>
      </c>
      <c r="J359" s="23">
        <f>ROUND(75*1,0)&amp;"%"</f>
      </c>
    </row>
    <row x14ac:dyDescent="0.25" r="360" customHeight="1" ht="17.25">
      <c r="A360" s="17" t="s">
        <v>2748</v>
      </c>
      <c r="B360" s="17" t="s">
        <v>578</v>
      </c>
      <c r="C360" s="17" t="s">
        <v>56</v>
      </c>
      <c r="D360" s="17" t="s">
        <v>16</v>
      </c>
      <c r="E360" s="18">
        <f>ROUND(15465*1.05,2)</f>
      </c>
      <c r="F360" s="17" t="s">
        <v>48</v>
      </c>
      <c r="G360" s="17" t="s">
        <v>18</v>
      </c>
      <c r="H360" s="18">
        <f>ROUND(RAND()*4+6,1)</f>
      </c>
      <c r="I360" s="17" t="s">
        <v>19</v>
      </c>
      <c r="J360" s="19">
        <f>ROUND(89*1,0)&amp;"%"</f>
      </c>
    </row>
    <row x14ac:dyDescent="0.25" r="361" customHeight="1" ht="17.25">
      <c r="A361" s="20" t="s">
        <v>2749</v>
      </c>
      <c r="B361" s="20" t="s">
        <v>580</v>
      </c>
      <c r="C361" s="20" t="s">
        <v>56</v>
      </c>
      <c r="D361" s="20" t="s">
        <v>22</v>
      </c>
      <c r="E361" s="21">
        <f>ROUND(5205*1.05,2)</f>
      </c>
      <c r="F361" s="20" t="s">
        <v>51</v>
      </c>
      <c r="G361" s="20" t="s">
        <v>24</v>
      </c>
      <c r="H361" s="21">
        <f>ROUND(RAND()*4+6,1)</f>
      </c>
      <c r="I361" s="20" t="s">
        <v>25</v>
      </c>
      <c r="J361" s="23">
        <f>ROUND(79*1,0)&amp;"%"</f>
      </c>
    </row>
    <row x14ac:dyDescent="0.25" r="362" customHeight="1" ht="17.25">
      <c r="A362" s="24" t="s">
        <v>581</v>
      </c>
      <c r="B362" s="24"/>
      <c r="C362" s="24"/>
      <c r="D362" s="24"/>
      <c r="E362" s="25">
        <v>8</v>
      </c>
      <c r="F362" s="9"/>
      <c r="G362" s="9"/>
      <c r="H362" s="10"/>
      <c r="I362" s="9"/>
      <c r="J362" s="9"/>
    </row>
  </sheetData>
  <mergeCells count="62">
    <mergeCell ref="A1:J1"/>
    <mergeCell ref="A2:J2"/>
    <mergeCell ref="A4:J4"/>
    <mergeCell ref="A14:D14"/>
    <mergeCell ref="A16:J16"/>
    <mergeCell ref="A26:D26"/>
    <mergeCell ref="A28:J28"/>
    <mergeCell ref="A38:D38"/>
    <mergeCell ref="A40:J40"/>
    <mergeCell ref="A50:D50"/>
    <mergeCell ref="A52:J52"/>
    <mergeCell ref="A62:D62"/>
    <mergeCell ref="A64:J64"/>
    <mergeCell ref="A74:D74"/>
    <mergeCell ref="A76:J76"/>
    <mergeCell ref="A86:D86"/>
    <mergeCell ref="A88:J88"/>
    <mergeCell ref="A98:D98"/>
    <mergeCell ref="A100:J100"/>
    <mergeCell ref="A110:D110"/>
    <mergeCell ref="A112:J112"/>
    <mergeCell ref="A122:D122"/>
    <mergeCell ref="A124:J124"/>
    <mergeCell ref="A134:D134"/>
    <mergeCell ref="A136:J136"/>
    <mergeCell ref="A146:D146"/>
    <mergeCell ref="A148:J148"/>
    <mergeCell ref="A158:D158"/>
    <mergeCell ref="A160:J160"/>
    <mergeCell ref="A170:D170"/>
    <mergeCell ref="A172:J172"/>
    <mergeCell ref="A182:D182"/>
    <mergeCell ref="A184:J184"/>
    <mergeCell ref="A194:D194"/>
    <mergeCell ref="A196:J196"/>
    <mergeCell ref="A206:D206"/>
    <mergeCell ref="A208:J208"/>
    <mergeCell ref="A218:D218"/>
    <mergeCell ref="A220:J220"/>
    <mergeCell ref="A230:D230"/>
    <mergeCell ref="A232:J232"/>
    <mergeCell ref="A242:D242"/>
    <mergeCell ref="A244:J244"/>
    <mergeCell ref="A254:D254"/>
    <mergeCell ref="A256:J256"/>
    <mergeCell ref="A266:D266"/>
    <mergeCell ref="A268:J268"/>
    <mergeCell ref="A278:D278"/>
    <mergeCell ref="A280:J280"/>
    <mergeCell ref="A290:D290"/>
    <mergeCell ref="A292:J292"/>
    <mergeCell ref="A302:D302"/>
    <mergeCell ref="A304:J304"/>
    <mergeCell ref="A314:D314"/>
    <mergeCell ref="A316:J316"/>
    <mergeCell ref="A326:D326"/>
    <mergeCell ref="A328:J328"/>
    <mergeCell ref="A338:D338"/>
    <mergeCell ref="A340:J340"/>
    <mergeCell ref="A350:D350"/>
    <mergeCell ref="A352:J352"/>
    <mergeCell ref="A362:D362"/>
  </mergeCells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J362"/>
  <sheetViews>
    <sheetView workbookViewId="0"/>
  </sheetViews>
  <sheetFormatPr defaultRowHeight="15" x14ac:dyDescent="0.25"/>
  <cols>
    <col min="1" max="1" style="27" width="8.005" customWidth="1" bestFit="1"/>
    <col min="2" max="2" style="27" width="22.005" customWidth="1" bestFit="1"/>
    <col min="3" max="3" style="27" width="16.005" customWidth="1" bestFit="1"/>
    <col min="4" max="4" style="27" width="14.005" customWidth="1" bestFit="1"/>
    <col min="5" max="5" style="28" width="12.005" customWidth="1" bestFit="1"/>
    <col min="6" max="6" style="29" width="16.005" customWidth="1" bestFit="1"/>
    <col min="7" max="7" style="29" width="10.005" customWidth="1" bestFit="1"/>
    <col min="8" max="8" style="30" width="10.005" customWidth="1" bestFit="1"/>
    <col min="9" max="9" style="29" width="14.005" customWidth="1" bestFit="1"/>
    <col min="10" max="10" style="29" width="8.005" customWidth="1" bestFit="1"/>
  </cols>
  <sheetData>
    <row x14ac:dyDescent="0.25" r="1" customHeight="1" ht="17.25">
      <c r="A1" s="1" t="s">
        <v>2208</v>
      </c>
      <c r="B1" s="1"/>
      <c r="C1" s="1"/>
      <c r="D1" s="1"/>
      <c r="E1" s="2"/>
      <c r="F1" s="1"/>
      <c r="G1" s="1"/>
      <c r="H1" s="3"/>
      <c r="I1" s="1"/>
      <c r="J1" s="1"/>
    </row>
    <row x14ac:dyDescent="0.25" r="2" customHeight="1" ht="17.25">
      <c r="A2" s="4" t="s">
        <v>1</v>
      </c>
      <c r="B2" s="4"/>
      <c r="C2" s="4"/>
      <c r="D2" s="4"/>
      <c r="E2" s="5"/>
      <c r="F2" s="4"/>
      <c r="G2" s="4"/>
      <c r="H2" s="6"/>
      <c r="I2" s="4"/>
      <c r="J2" s="4"/>
    </row>
    <row x14ac:dyDescent="0.25" r="3" customHeight="1" ht="17.25">
      <c r="A3" s="7"/>
      <c r="B3" s="7"/>
      <c r="C3" s="7"/>
      <c r="D3" s="7"/>
      <c r="E3" s="8"/>
      <c r="F3" s="9"/>
      <c r="G3" s="9"/>
      <c r="H3" s="10"/>
      <c r="I3" s="9"/>
      <c r="J3" s="9"/>
    </row>
    <row x14ac:dyDescent="0.25" r="4" customHeight="1" ht="17.25">
      <c r="A4" s="11" t="s">
        <v>2209</v>
      </c>
      <c r="B4" s="11"/>
      <c r="C4" s="11"/>
      <c r="D4" s="11"/>
      <c r="E4" s="12"/>
      <c r="F4" s="11"/>
      <c r="G4" s="11"/>
      <c r="H4" s="13"/>
      <c r="I4" s="11"/>
      <c r="J4" s="11"/>
    </row>
    <row x14ac:dyDescent="0.25" r="5" customHeight="1" ht="17.25">
      <c r="A5" s="14" t="s">
        <v>3</v>
      </c>
      <c r="B5" s="14" t="s">
        <v>4</v>
      </c>
      <c r="C5" s="14" t="s">
        <v>5</v>
      </c>
      <c r="D5" s="14" t="s">
        <v>6</v>
      </c>
      <c r="E5" s="15" t="s">
        <v>7</v>
      </c>
      <c r="F5" s="14" t="s">
        <v>8</v>
      </c>
      <c r="G5" s="14" t="s">
        <v>9</v>
      </c>
      <c r="H5" s="16" t="s">
        <v>10</v>
      </c>
      <c r="I5" s="14" t="s">
        <v>11</v>
      </c>
      <c r="J5" s="14" t="s">
        <v>12</v>
      </c>
    </row>
    <row x14ac:dyDescent="0.25" r="6" customHeight="1" ht="17.25">
      <c r="A6" s="17" t="s">
        <v>2210</v>
      </c>
      <c r="B6" s="17" t="s">
        <v>14</v>
      </c>
      <c r="C6" s="17" t="s">
        <v>15</v>
      </c>
      <c r="D6" s="17" t="s">
        <v>16</v>
      </c>
      <c r="E6" s="18">
        <f>ROUND(11646*1.05,2)</f>
      </c>
      <c r="F6" s="17" t="s">
        <v>17</v>
      </c>
      <c r="G6" s="17" t="s">
        <v>18</v>
      </c>
      <c r="H6" s="18">
        <f>ROUND(RAND()*4+6,1)</f>
      </c>
      <c r="I6" s="17" t="s">
        <v>19</v>
      </c>
      <c r="J6" s="19">
        <f>ROUND(71*1,0)&amp;"%"</f>
      </c>
    </row>
    <row x14ac:dyDescent="0.25" r="7" customHeight="1" ht="17.25">
      <c r="A7" s="20" t="s">
        <v>2211</v>
      </c>
      <c r="B7" s="20" t="s">
        <v>21</v>
      </c>
      <c r="C7" s="20" t="s">
        <v>15</v>
      </c>
      <c r="D7" s="20" t="s">
        <v>22</v>
      </c>
      <c r="E7" s="21">
        <f>ROUND(10005*1.05,2)</f>
      </c>
      <c r="F7" s="20" t="s">
        <v>23</v>
      </c>
      <c r="G7" s="20" t="s">
        <v>24</v>
      </c>
      <c r="H7" s="21">
        <f>ROUND(RAND()*4+6,1)</f>
      </c>
      <c r="I7" s="20" t="s">
        <v>25</v>
      </c>
      <c r="J7" s="23">
        <f>ROUND(78*1,0)&amp;"%"</f>
      </c>
    </row>
    <row x14ac:dyDescent="0.25" r="8" customHeight="1" ht="17.25">
      <c r="A8" s="17" t="s">
        <v>2212</v>
      </c>
      <c r="B8" s="17" t="s">
        <v>27</v>
      </c>
      <c r="C8" s="17" t="s">
        <v>15</v>
      </c>
      <c r="D8" s="17" t="s">
        <v>28</v>
      </c>
      <c r="E8" s="18">
        <f>ROUND(7841*1.05,2)</f>
      </c>
      <c r="F8" s="17" t="s">
        <v>29</v>
      </c>
      <c r="G8" s="17" t="s">
        <v>30</v>
      </c>
      <c r="H8" s="18">
        <f>ROUND(RAND()*4+6,1)</f>
      </c>
      <c r="I8" s="17" t="s">
        <v>31</v>
      </c>
      <c r="J8" s="19">
        <f>ROUND(82*1,0)&amp;"%"</f>
      </c>
    </row>
    <row x14ac:dyDescent="0.25" r="9" customHeight="1" ht="17.25">
      <c r="A9" s="20" t="s">
        <v>2213</v>
      </c>
      <c r="B9" s="20" t="s">
        <v>33</v>
      </c>
      <c r="C9" s="20" t="s">
        <v>15</v>
      </c>
      <c r="D9" s="20" t="s">
        <v>34</v>
      </c>
      <c r="E9" s="21">
        <f>ROUND(16643*1.05,2)</f>
      </c>
      <c r="F9" s="20" t="s">
        <v>35</v>
      </c>
      <c r="G9" s="20" t="s">
        <v>18</v>
      </c>
      <c r="H9" s="21">
        <f>ROUND(RAND()*4+6,1)</f>
      </c>
      <c r="I9" s="20" t="s">
        <v>36</v>
      </c>
      <c r="J9" s="23">
        <f>ROUND(71*1,0)&amp;"%"</f>
      </c>
    </row>
    <row x14ac:dyDescent="0.25" r="10" customHeight="1" ht="17.25">
      <c r="A10" s="17" t="s">
        <v>2214</v>
      </c>
      <c r="B10" s="17" t="s">
        <v>38</v>
      </c>
      <c r="C10" s="17" t="s">
        <v>15</v>
      </c>
      <c r="D10" s="17" t="s">
        <v>39</v>
      </c>
      <c r="E10" s="18">
        <f>ROUND(13187*1.05,2)</f>
      </c>
      <c r="F10" s="17" t="s">
        <v>40</v>
      </c>
      <c r="G10" s="17" t="s">
        <v>24</v>
      </c>
      <c r="H10" s="18">
        <f>ROUND(RAND()*4+6,1)</f>
      </c>
      <c r="I10" s="17" t="s">
        <v>41</v>
      </c>
      <c r="J10" s="19">
        <f>ROUND(84*1,0)&amp;"%"</f>
      </c>
    </row>
    <row x14ac:dyDescent="0.25" r="11" customHeight="1" ht="17.25">
      <c r="A11" s="20" t="s">
        <v>2215</v>
      </c>
      <c r="B11" s="20" t="s">
        <v>43</v>
      </c>
      <c r="C11" s="20" t="s">
        <v>15</v>
      </c>
      <c r="D11" s="20" t="s">
        <v>67</v>
      </c>
      <c r="E11" s="21">
        <f>ROUND(4003*1.05,2)</f>
      </c>
      <c r="F11" s="20" t="s">
        <v>44</v>
      </c>
      <c r="G11" s="20" t="s">
        <v>30</v>
      </c>
      <c r="H11" s="22">
        <f>ROUND(RAND()*4+6,1)</f>
      </c>
      <c r="I11" s="20" t="s">
        <v>45</v>
      </c>
      <c r="J11" s="23">
        <f>ROUND(87*1,0)&amp;"%"</f>
      </c>
    </row>
    <row x14ac:dyDescent="0.25" r="12" customHeight="1" ht="17.25">
      <c r="A12" s="17" t="s">
        <v>2216</v>
      </c>
      <c r="B12" s="17" t="s">
        <v>47</v>
      </c>
      <c r="C12" s="17" t="s">
        <v>15</v>
      </c>
      <c r="D12" s="17" t="s">
        <v>16</v>
      </c>
      <c r="E12" s="18">
        <f>ROUND(6309*1.05,2)</f>
      </c>
      <c r="F12" s="17" t="s">
        <v>48</v>
      </c>
      <c r="G12" s="17" t="s">
        <v>18</v>
      </c>
      <c r="H12" s="18">
        <f>ROUND(RAND()*4+6,1)</f>
      </c>
      <c r="I12" s="17" t="s">
        <v>19</v>
      </c>
      <c r="J12" s="19">
        <f>ROUND(83*1,0)&amp;"%"</f>
      </c>
    </row>
    <row x14ac:dyDescent="0.25" r="13" customHeight="1" ht="17.25">
      <c r="A13" s="20" t="s">
        <v>2217</v>
      </c>
      <c r="B13" s="20" t="s">
        <v>50</v>
      </c>
      <c r="C13" s="20" t="s">
        <v>15</v>
      </c>
      <c r="D13" s="20" t="s">
        <v>22</v>
      </c>
      <c r="E13" s="21">
        <f>ROUND(14015*1.05,2)</f>
      </c>
      <c r="F13" s="20" t="s">
        <v>51</v>
      </c>
      <c r="G13" s="20" t="s">
        <v>24</v>
      </c>
      <c r="H13" s="21">
        <f>ROUND(RAND()*4+6,1)</f>
      </c>
      <c r="I13" s="20" t="s">
        <v>25</v>
      </c>
      <c r="J13" s="23">
        <f>ROUND(93*1,0)&amp;"%"</f>
      </c>
    </row>
    <row x14ac:dyDescent="0.25" r="14" customHeight="1" ht="17.25">
      <c r="A14" s="24" t="s">
        <v>52</v>
      </c>
      <c r="B14" s="24"/>
      <c r="C14" s="24"/>
      <c r="D14" s="24"/>
      <c r="E14" s="25">
        <v>8</v>
      </c>
      <c r="F14" s="9"/>
      <c r="G14" s="9"/>
      <c r="H14" s="10"/>
      <c r="I14" s="9"/>
      <c r="J14" s="9"/>
    </row>
    <row x14ac:dyDescent="0.25" r="15" customHeight="1" ht="17.25">
      <c r="A15" s="7"/>
      <c r="B15" s="7"/>
      <c r="C15" s="7"/>
      <c r="D15" s="7"/>
      <c r="E15" s="8"/>
      <c r="F15" s="9"/>
      <c r="G15" s="9"/>
      <c r="H15" s="10"/>
      <c r="I15" s="9"/>
      <c r="J15" s="9"/>
    </row>
    <row x14ac:dyDescent="0.25" r="16" customHeight="1" ht="17.25">
      <c r="A16" s="11" t="s">
        <v>2218</v>
      </c>
      <c r="B16" s="11"/>
      <c r="C16" s="11"/>
      <c r="D16" s="11"/>
      <c r="E16" s="12"/>
      <c r="F16" s="11"/>
      <c r="G16" s="11"/>
      <c r="H16" s="13"/>
      <c r="I16" s="11"/>
      <c r="J16" s="11"/>
    </row>
    <row x14ac:dyDescent="0.25" r="17" customHeight="1" ht="17.25">
      <c r="A17" s="14" t="s">
        <v>3</v>
      </c>
      <c r="B17" s="14" t="s">
        <v>4</v>
      </c>
      <c r="C17" s="14" t="s">
        <v>5</v>
      </c>
      <c r="D17" s="14" t="s">
        <v>6</v>
      </c>
      <c r="E17" s="15" t="s">
        <v>7</v>
      </c>
      <c r="F17" s="14" t="s">
        <v>8</v>
      </c>
      <c r="G17" s="14" t="s">
        <v>9</v>
      </c>
      <c r="H17" s="16" t="s">
        <v>10</v>
      </c>
      <c r="I17" s="14" t="s">
        <v>11</v>
      </c>
      <c r="J17" s="14" t="s">
        <v>12</v>
      </c>
    </row>
    <row x14ac:dyDescent="0.25" r="18" customHeight="1" ht="17.25">
      <c r="A18" s="17" t="s">
        <v>2219</v>
      </c>
      <c r="B18" s="17" t="s">
        <v>55</v>
      </c>
      <c r="C18" s="17" t="s">
        <v>56</v>
      </c>
      <c r="D18" s="17" t="s">
        <v>16</v>
      </c>
      <c r="E18" s="26">
        <f>ROUND(6400*1.05,2)</f>
      </c>
      <c r="F18" s="17" t="s">
        <v>17</v>
      </c>
      <c r="G18" s="17" t="s">
        <v>18</v>
      </c>
      <c r="H18" s="18">
        <f>ROUND(RAND()*4+6,1)</f>
      </c>
      <c r="I18" s="17" t="s">
        <v>19</v>
      </c>
      <c r="J18" s="19">
        <f>ROUND(100*1,0)&amp;"%"</f>
      </c>
    </row>
    <row x14ac:dyDescent="0.25" r="19" customHeight="1" ht="17.25">
      <c r="A19" s="20" t="s">
        <v>2220</v>
      </c>
      <c r="B19" s="20" t="s">
        <v>58</v>
      </c>
      <c r="C19" s="20" t="s">
        <v>56</v>
      </c>
      <c r="D19" s="20" t="s">
        <v>22</v>
      </c>
      <c r="E19" s="21">
        <f>ROUND(12293*1.05,2)</f>
      </c>
      <c r="F19" s="20" t="s">
        <v>23</v>
      </c>
      <c r="G19" s="20" t="s">
        <v>24</v>
      </c>
      <c r="H19" s="21">
        <f>ROUND(RAND()*4+6,1)</f>
      </c>
      <c r="I19" s="20" t="s">
        <v>25</v>
      </c>
      <c r="J19" s="23">
        <f>ROUND(78*1,0)&amp;"%"</f>
      </c>
    </row>
    <row x14ac:dyDescent="0.25" r="20" customHeight="1" ht="17.25">
      <c r="A20" s="17" t="s">
        <v>2221</v>
      </c>
      <c r="B20" s="17" t="s">
        <v>60</v>
      </c>
      <c r="C20" s="17" t="s">
        <v>56</v>
      </c>
      <c r="D20" s="17" t="s">
        <v>28</v>
      </c>
      <c r="E20" s="18">
        <f>ROUND(10328*1.05,2)</f>
      </c>
      <c r="F20" s="17" t="s">
        <v>29</v>
      </c>
      <c r="G20" s="17" t="s">
        <v>30</v>
      </c>
      <c r="H20" s="18">
        <f>ROUND(RAND()*4+6,1)</f>
      </c>
      <c r="I20" s="17" t="s">
        <v>31</v>
      </c>
      <c r="J20" s="19">
        <f>ROUND(71*1,0)&amp;"%"</f>
      </c>
    </row>
    <row x14ac:dyDescent="0.25" r="21" customHeight="1" ht="17.25">
      <c r="A21" s="20" t="s">
        <v>2222</v>
      </c>
      <c r="B21" s="20" t="s">
        <v>62</v>
      </c>
      <c r="C21" s="20" t="s">
        <v>56</v>
      </c>
      <c r="D21" s="20" t="s">
        <v>34</v>
      </c>
      <c r="E21" s="21">
        <f>ROUND(5363*1.05,2)</f>
      </c>
      <c r="F21" s="20" t="s">
        <v>35</v>
      </c>
      <c r="G21" s="20" t="s">
        <v>18</v>
      </c>
      <c r="H21" s="21">
        <f>ROUND(RAND()*4+6,1)</f>
      </c>
      <c r="I21" s="20" t="s">
        <v>36</v>
      </c>
      <c r="J21" s="23">
        <f>ROUND(78*1,0)&amp;"%"</f>
      </c>
    </row>
    <row x14ac:dyDescent="0.25" r="22" customHeight="1" ht="17.25">
      <c r="A22" s="17" t="s">
        <v>2223</v>
      </c>
      <c r="B22" s="17" t="s">
        <v>64</v>
      </c>
      <c r="C22" s="17" t="s">
        <v>56</v>
      </c>
      <c r="D22" s="17" t="s">
        <v>39</v>
      </c>
      <c r="E22" s="18">
        <f>ROUND(17617*1.05,2)</f>
      </c>
      <c r="F22" s="17" t="s">
        <v>40</v>
      </c>
      <c r="G22" s="17" t="s">
        <v>24</v>
      </c>
      <c r="H22" s="18">
        <f>ROUND(RAND()*4+6,1)</f>
      </c>
      <c r="I22" s="17" t="s">
        <v>41</v>
      </c>
      <c r="J22" s="19">
        <f>ROUND(96*1,0)&amp;"%"</f>
      </c>
    </row>
    <row x14ac:dyDescent="0.25" r="23" customHeight="1" ht="17.25">
      <c r="A23" s="20" t="s">
        <v>2224</v>
      </c>
      <c r="B23" s="20" t="s">
        <v>66</v>
      </c>
      <c r="C23" s="20" t="s">
        <v>56</v>
      </c>
      <c r="D23" s="20" t="s">
        <v>67</v>
      </c>
      <c r="E23" s="21">
        <f>ROUND(12343*1.05,2)</f>
      </c>
      <c r="F23" s="20" t="s">
        <v>44</v>
      </c>
      <c r="G23" s="20" t="s">
        <v>30</v>
      </c>
      <c r="H23" s="21">
        <f>ROUND(RAND()*4+6,1)</f>
      </c>
      <c r="I23" s="20" t="s">
        <v>45</v>
      </c>
      <c r="J23" s="23">
        <f>ROUND(63*1,0)&amp;"%"</f>
      </c>
    </row>
    <row x14ac:dyDescent="0.25" r="24" customHeight="1" ht="17.25">
      <c r="A24" s="17" t="s">
        <v>2225</v>
      </c>
      <c r="B24" s="17" t="s">
        <v>69</v>
      </c>
      <c r="C24" s="17" t="s">
        <v>56</v>
      </c>
      <c r="D24" s="17" t="s">
        <v>16</v>
      </c>
      <c r="E24" s="18">
        <f>ROUND(6503*1.05,2)</f>
      </c>
      <c r="F24" s="17" t="s">
        <v>48</v>
      </c>
      <c r="G24" s="17" t="s">
        <v>18</v>
      </c>
      <c r="H24" s="18">
        <f>ROUND(RAND()*4+6,1)</f>
      </c>
      <c r="I24" s="17" t="s">
        <v>19</v>
      </c>
      <c r="J24" s="19">
        <f>ROUND(77*1,0)&amp;"%"</f>
      </c>
    </row>
    <row x14ac:dyDescent="0.25" r="25" customHeight="1" ht="17.25">
      <c r="A25" s="20" t="s">
        <v>2226</v>
      </c>
      <c r="B25" s="20" t="s">
        <v>71</v>
      </c>
      <c r="C25" s="20" t="s">
        <v>56</v>
      </c>
      <c r="D25" s="20" t="s">
        <v>22</v>
      </c>
      <c r="E25" s="21">
        <f>ROUND(17483*1.05,2)</f>
      </c>
      <c r="F25" s="20" t="s">
        <v>51</v>
      </c>
      <c r="G25" s="20" t="s">
        <v>24</v>
      </c>
      <c r="H25" s="21">
        <f>ROUND(RAND()*4+6,1)</f>
      </c>
      <c r="I25" s="20" t="s">
        <v>25</v>
      </c>
      <c r="J25" s="23">
        <f>ROUND(74*1,0)&amp;"%"</f>
      </c>
    </row>
    <row x14ac:dyDescent="0.25" r="26" customHeight="1" ht="17.25">
      <c r="A26" s="24" t="s">
        <v>72</v>
      </c>
      <c r="B26" s="24"/>
      <c r="C26" s="24"/>
      <c r="D26" s="24"/>
      <c r="E26" s="25">
        <v>8</v>
      </c>
      <c r="F26" s="9"/>
      <c r="G26" s="9"/>
      <c r="H26" s="10"/>
      <c r="I26" s="9"/>
      <c r="J26" s="9"/>
    </row>
    <row x14ac:dyDescent="0.25" r="27" customHeight="1" ht="17.25">
      <c r="A27" s="7"/>
      <c r="B27" s="7"/>
      <c r="C27" s="7"/>
      <c r="D27" s="7"/>
      <c r="E27" s="8"/>
      <c r="F27" s="9"/>
      <c r="G27" s="9"/>
      <c r="H27" s="10"/>
      <c r="I27" s="9"/>
      <c r="J27" s="9"/>
    </row>
    <row x14ac:dyDescent="0.25" r="28" customHeight="1" ht="17.25">
      <c r="A28" s="11" t="s">
        <v>2227</v>
      </c>
      <c r="B28" s="11"/>
      <c r="C28" s="11"/>
      <c r="D28" s="11"/>
      <c r="E28" s="12"/>
      <c r="F28" s="11"/>
      <c r="G28" s="11"/>
      <c r="H28" s="13"/>
      <c r="I28" s="11"/>
      <c r="J28" s="11"/>
    </row>
    <row x14ac:dyDescent="0.25" r="29" customHeight="1" ht="17.25">
      <c r="A29" s="14" t="s">
        <v>3</v>
      </c>
      <c r="B29" s="14" t="s">
        <v>4</v>
      </c>
      <c r="C29" s="14" t="s">
        <v>5</v>
      </c>
      <c r="D29" s="14" t="s">
        <v>6</v>
      </c>
      <c r="E29" s="15" t="s">
        <v>7</v>
      </c>
      <c r="F29" s="14" t="s">
        <v>8</v>
      </c>
      <c r="G29" s="14" t="s">
        <v>9</v>
      </c>
      <c r="H29" s="16" t="s">
        <v>10</v>
      </c>
      <c r="I29" s="14" t="s">
        <v>11</v>
      </c>
      <c r="J29" s="14" t="s">
        <v>12</v>
      </c>
    </row>
    <row x14ac:dyDescent="0.25" r="30" customHeight="1" ht="17.25">
      <c r="A30" s="17" t="s">
        <v>2228</v>
      </c>
      <c r="B30" s="17" t="s">
        <v>75</v>
      </c>
      <c r="C30" s="17" t="s">
        <v>76</v>
      </c>
      <c r="D30" s="17" t="s">
        <v>16</v>
      </c>
      <c r="E30" s="18">
        <f>ROUND(4742*1.05,2)</f>
      </c>
      <c r="F30" s="17" t="s">
        <v>17</v>
      </c>
      <c r="G30" s="17" t="s">
        <v>18</v>
      </c>
      <c r="H30" s="18">
        <f>ROUND(RAND()*4+6,1)</f>
      </c>
      <c r="I30" s="17" t="s">
        <v>19</v>
      </c>
      <c r="J30" s="19">
        <f>ROUND(96*1,0)&amp;"%"</f>
      </c>
    </row>
    <row x14ac:dyDescent="0.25" r="31" customHeight="1" ht="17.25">
      <c r="A31" s="20" t="s">
        <v>2229</v>
      </c>
      <c r="B31" s="20" t="s">
        <v>78</v>
      </c>
      <c r="C31" s="20" t="s">
        <v>76</v>
      </c>
      <c r="D31" s="20" t="s">
        <v>22</v>
      </c>
      <c r="E31" s="22">
        <f>ROUND(9720*1.05,2)</f>
      </c>
      <c r="F31" s="20" t="s">
        <v>23</v>
      </c>
      <c r="G31" s="20" t="s">
        <v>24</v>
      </c>
      <c r="H31" s="21">
        <f>ROUND(RAND()*4+6,1)</f>
      </c>
      <c r="I31" s="20" t="s">
        <v>25</v>
      </c>
      <c r="J31" s="23">
        <f>ROUND(80*1,0)&amp;"%"</f>
      </c>
    </row>
    <row x14ac:dyDescent="0.25" r="32" customHeight="1" ht="17.25">
      <c r="A32" s="17" t="s">
        <v>2230</v>
      </c>
      <c r="B32" s="17" t="s">
        <v>80</v>
      </c>
      <c r="C32" s="17" t="s">
        <v>76</v>
      </c>
      <c r="D32" s="17" t="s">
        <v>28</v>
      </c>
      <c r="E32" s="18">
        <f>ROUND(4217*1.05,2)</f>
      </c>
      <c r="F32" s="17" t="s">
        <v>29</v>
      </c>
      <c r="G32" s="17" t="s">
        <v>30</v>
      </c>
      <c r="H32" s="18">
        <f>ROUND(RAND()*4+6,1)</f>
      </c>
      <c r="I32" s="17" t="s">
        <v>31</v>
      </c>
      <c r="J32" s="19">
        <f>ROUND(66*1,0)&amp;"%"</f>
      </c>
    </row>
    <row x14ac:dyDescent="0.25" r="33" customHeight="1" ht="17.25">
      <c r="A33" s="20" t="s">
        <v>2231</v>
      </c>
      <c r="B33" s="20" t="s">
        <v>82</v>
      </c>
      <c r="C33" s="20" t="s">
        <v>76</v>
      </c>
      <c r="D33" s="20" t="s">
        <v>34</v>
      </c>
      <c r="E33" s="21">
        <f>ROUND(13139*1.05,2)</f>
      </c>
      <c r="F33" s="20" t="s">
        <v>35</v>
      </c>
      <c r="G33" s="20" t="s">
        <v>18</v>
      </c>
      <c r="H33" s="22">
        <f>ROUND(RAND()*4+6,1)</f>
      </c>
      <c r="I33" s="20" t="s">
        <v>36</v>
      </c>
      <c r="J33" s="23">
        <f>ROUND(74*1,0)&amp;"%"</f>
      </c>
    </row>
    <row x14ac:dyDescent="0.25" r="34" customHeight="1" ht="17.25">
      <c r="A34" s="17" t="s">
        <v>2232</v>
      </c>
      <c r="B34" s="17" t="s">
        <v>84</v>
      </c>
      <c r="C34" s="17" t="s">
        <v>76</v>
      </c>
      <c r="D34" s="17" t="s">
        <v>39</v>
      </c>
      <c r="E34" s="18">
        <f>ROUND(17005*1.05,2)</f>
      </c>
      <c r="F34" s="17" t="s">
        <v>40</v>
      </c>
      <c r="G34" s="17" t="s">
        <v>24</v>
      </c>
      <c r="H34" s="26">
        <f>ROUND(RAND()*4+6,1)</f>
      </c>
      <c r="I34" s="17" t="s">
        <v>41</v>
      </c>
      <c r="J34" s="19">
        <f>ROUND(67*1,0)&amp;"%"</f>
      </c>
    </row>
    <row x14ac:dyDescent="0.25" r="35" customHeight="1" ht="17.25">
      <c r="A35" s="20" t="s">
        <v>2233</v>
      </c>
      <c r="B35" s="20" t="s">
        <v>86</v>
      </c>
      <c r="C35" s="20" t="s">
        <v>76</v>
      </c>
      <c r="D35" s="20" t="s">
        <v>67</v>
      </c>
      <c r="E35" s="21">
        <f>ROUND(8072*1.05,2)</f>
      </c>
      <c r="F35" s="20" t="s">
        <v>44</v>
      </c>
      <c r="G35" s="20" t="s">
        <v>30</v>
      </c>
      <c r="H35" s="21">
        <f>ROUND(RAND()*4+6,1)</f>
      </c>
      <c r="I35" s="20" t="s">
        <v>45</v>
      </c>
      <c r="J35" s="23">
        <f>ROUND(89*1,0)&amp;"%"</f>
      </c>
    </row>
    <row x14ac:dyDescent="0.25" r="36" customHeight="1" ht="17.25">
      <c r="A36" s="17" t="s">
        <v>2234</v>
      </c>
      <c r="B36" s="17" t="s">
        <v>88</v>
      </c>
      <c r="C36" s="17" t="s">
        <v>76</v>
      </c>
      <c r="D36" s="17" t="s">
        <v>16</v>
      </c>
      <c r="E36" s="18">
        <f>ROUND(4056*1.05,2)</f>
      </c>
      <c r="F36" s="17" t="s">
        <v>48</v>
      </c>
      <c r="G36" s="17" t="s">
        <v>18</v>
      </c>
      <c r="H36" s="18">
        <f>ROUND(RAND()*4+6,1)</f>
      </c>
      <c r="I36" s="17" t="s">
        <v>19</v>
      </c>
      <c r="J36" s="19">
        <f>ROUND(64*1,0)&amp;"%"</f>
      </c>
    </row>
    <row x14ac:dyDescent="0.25" r="37" customHeight="1" ht="17.25">
      <c r="A37" s="20" t="s">
        <v>2235</v>
      </c>
      <c r="B37" s="20" t="s">
        <v>90</v>
      </c>
      <c r="C37" s="20" t="s">
        <v>76</v>
      </c>
      <c r="D37" s="20" t="s">
        <v>22</v>
      </c>
      <c r="E37" s="21">
        <f>ROUND(14435*1.05,2)</f>
      </c>
      <c r="F37" s="20" t="s">
        <v>51</v>
      </c>
      <c r="G37" s="20" t="s">
        <v>24</v>
      </c>
      <c r="H37" s="21">
        <f>ROUND(RAND()*4+6,1)</f>
      </c>
      <c r="I37" s="20" t="s">
        <v>25</v>
      </c>
      <c r="J37" s="23">
        <f>ROUND(75*1,0)&amp;"%"</f>
      </c>
    </row>
    <row x14ac:dyDescent="0.25" r="38" customHeight="1" ht="17.25">
      <c r="A38" s="24" t="s">
        <v>91</v>
      </c>
      <c r="B38" s="24"/>
      <c r="C38" s="24"/>
      <c r="D38" s="24"/>
      <c r="E38" s="25">
        <v>8</v>
      </c>
      <c r="F38" s="9"/>
      <c r="G38" s="9"/>
      <c r="H38" s="10"/>
      <c r="I38" s="9"/>
      <c r="J38" s="9"/>
    </row>
    <row x14ac:dyDescent="0.25" r="39" customHeight="1" ht="17.25">
      <c r="A39" s="7"/>
      <c r="B39" s="7"/>
      <c r="C39" s="7"/>
      <c r="D39" s="7"/>
      <c r="E39" s="8"/>
      <c r="F39" s="9"/>
      <c r="G39" s="9"/>
      <c r="H39" s="10"/>
      <c r="I39" s="9"/>
      <c r="J39" s="9"/>
    </row>
    <row x14ac:dyDescent="0.25" r="40" customHeight="1" ht="17.25">
      <c r="A40" s="11" t="s">
        <v>2236</v>
      </c>
      <c r="B40" s="11"/>
      <c r="C40" s="11"/>
      <c r="D40" s="11"/>
      <c r="E40" s="12"/>
      <c r="F40" s="11"/>
      <c r="G40" s="11"/>
      <c r="H40" s="13"/>
      <c r="I40" s="11"/>
      <c r="J40" s="11"/>
    </row>
    <row x14ac:dyDescent="0.25" r="41" customHeight="1" ht="17.25">
      <c r="A41" s="14" t="s">
        <v>3</v>
      </c>
      <c r="B41" s="14" t="s">
        <v>4</v>
      </c>
      <c r="C41" s="14" t="s">
        <v>5</v>
      </c>
      <c r="D41" s="14" t="s">
        <v>6</v>
      </c>
      <c r="E41" s="15" t="s">
        <v>7</v>
      </c>
      <c r="F41" s="14" t="s">
        <v>8</v>
      </c>
      <c r="G41" s="14" t="s">
        <v>9</v>
      </c>
      <c r="H41" s="16" t="s">
        <v>10</v>
      </c>
      <c r="I41" s="14" t="s">
        <v>11</v>
      </c>
      <c r="J41" s="14" t="s">
        <v>12</v>
      </c>
    </row>
    <row x14ac:dyDescent="0.25" r="42" customHeight="1" ht="17.25">
      <c r="A42" s="17" t="s">
        <v>2237</v>
      </c>
      <c r="B42" s="17" t="s">
        <v>94</v>
      </c>
      <c r="C42" s="17" t="s">
        <v>95</v>
      </c>
      <c r="D42" s="17" t="s">
        <v>16</v>
      </c>
      <c r="E42" s="18">
        <f>ROUND(13497*1.05,2)</f>
      </c>
      <c r="F42" s="17" t="s">
        <v>17</v>
      </c>
      <c r="G42" s="17" t="s">
        <v>18</v>
      </c>
      <c r="H42" s="18">
        <f>ROUND(RAND()*4+6,1)</f>
      </c>
      <c r="I42" s="17" t="s">
        <v>19</v>
      </c>
      <c r="J42" s="19">
        <f>ROUND(92*1,0)&amp;"%"</f>
      </c>
    </row>
    <row x14ac:dyDescent="0.25" r="43" customHeight="1" ht="17.25">
      <c r="A43" s="20" t="s">
        <v>2238</v>
      </c>
      <c r="B43" s="20" t="s">
        <v>97</v>
      </c>
      <c r="C43" s="20" t="s">
        <v>95</v>
      </c>
      <c r="D43" s="20" t="s">
        <v>22</v>
      </c>
      <c r="E43" s="21">
        <f>ROUND(13974*1.05,2)</f>
      </c>
      <c r="F43" s="20" t="s">
        <v>23</v>
      </c>
      <c r="G43" s="20" t="s">
        <v>24</v>
      </c>
      <c r="H43" s="21">
        <f>ROUND(RAND()*4+6,1)</f>
      </c>
      <c r="I43" s="20" t="s">
        <v>25</v>
      </c>
      <c r="J43" s="23">
        <f>ROUND(97*1,0)&amp;"%"</f>
      </c>
    </row>
    <row x14ac:dyDescent="0.25" r="44" customHeight="1" ht="17.25">
      <c r="A44" s="17" t="s">
        <v>2239</v>
      </c>
      <c r="B44" s="17" t="s">
        <v>99</v>
      </c>
      <c r="C44" s="17" t="s">
        <v>95</v>
      </c>
      <c r="D44" s="17" t="s">
        <v>28</v>
      </c>
      <c r="E44" s="18">
        <f>ROUND(10262*1.05,2)</f>
      </c>
      <c r="F44" s="17" t="s">
        <v>29</v>
      </c>
      <c r="G44" s="17" t="s">
        <v>30</v>
      </c>
      <c r="H44" s="26">
        <f>ROUND(RAND()*4+6,1)</f>
      </c>
      <c r="I44" s="17" t="s">
        <v>31</v>
      </c>
      <c r="J44" s="19">
        <f>ROUND(82*1,0)&amp;"%"</f>
      </c>
    </row>
    <row x14ac:dyDescent="0.25" r="45" customHeight="1" ht="17.25">
      <c r="A45" s="20" t="s">
        <v>2240</v>
      </c>
      <c r="B45" s="20" t="s">
        <v>101</v>
      </c>
      <c r="C45" s="20" t="s">
        <v>95</v>
      </c>
      <c r="D45" s="20" t="s">
        <v>34</v>
      </c>
      <c r="E45" s="21">
        <f>ROUND(6031*1.05,2)</f>
      </c>
      <c r="F45" s="20" t="s">
        <v>35</v>
      </c>
      <c r="G45" s="20" t="s">
        <v>18</v>
      </c>
      <c r="H45" s="21">
        <f>ROUND(RAND()*4+6,1)</f>
      </c>
      <c r="I45" s="20" t="s">
        <v>36</v>
      </c>
      <c r="J45" s="23">
        <f>ROUND(84*1,0)&amp;"%"</f>
      </c>
    </row>
    <row x14ac:dyDescent="0.25" r="46" customHeight="1" ht="17.25">
      <c r="A46" s="17" t="s">
        <v>2241</v>
      </c>
      <c r="B46" s="17" t="s">
        <v>103</v>
      </c>
      <c r="C46" s="17" t="s">
        <v>95</v>
      </c>
      <c r="D46" s="17" t="s">
        <v>39</v>
      </c>
      <c r="E46" s="18">
        <f>ROUND(11418*1.05,2)</f>
      </c>
      <c r="F46" s="17" t="s">
        <v>40</v>
      </c>
      <c r="G46" s="17" t="s">
        <v>24</v>
      </c>
      <c r="H46" s="18">
        <f>ROUND(RAND()*4+6,1)</f>
      </c>
      <c r="I46" s="17" t="s">
        <v>41</v>
      </c>
      <c r="J46" s="19">
        <f>ROUND(76*1,0)&amp;"%"</f>
      </c>
    </row>
    <row x14ac:dyDescent="0.25" r="47" customHeight="1" ht="17.25">
      <c r="A47" s="20" t="s">
        <v>2242</v>
      </c>
      <c r="B47" s="20" t="s">
        <v>105</v>
      </c>
      <c r="C47" s="20" t="s">
        <v>95</v>
      </c>
      <c r="D47" s="20" t="s">
        <v>67</v>
      </c>
      <c r="E47" s="22">
        <f>ROUND(17760*1.05,2)</f>
      </c>
      <c r="F47" s="20" t="s">
        <v>44</v>
      </c>
      <c r="G47" s="20" t="s">
        <v>30</v>
      </c>
      <c r="H47" s="21">
        <f>ROUND(RAND()*4+6,1)</f>
      </c>
      <c r="I47" s="20" t="s">
        <v>45</v>
      </c>
      <c r="J47" s="23">
        <f>ROUND(85*1,0)&amp;"%"</f>
      </c>
    </row>
    <row x14ac:dyDescent="0.25" r="48" customHeight="1" ht="17.25">
      <c r="A48" s="17" t="s">
        <v>2243</v>
      </c>
      <c r="B48" s="17" t="s">
        <v>107</v>
      </c>
      <c r="C48" s="17" t="s">
        <v>95</v>
      </c>
      <c r="D48" s="17" t="s">
        <v>16</v>
      </c>
      <c r="E48" s="26">
        <f>ROUND(15640*1.05,2)</f>
      </c>
      <c r="F48" s="17" t="s">
        <v>48</v>
      </c>
      <c r="G48" s="17" t="s">
        <v>18</v>
      </c>
      <c r="H48" s="18">
        <f>ROUND(RAND()*4+6,1)</f>
      </c>
      <c r="I48" s="17" t="s">
        <v>19</v>
      </c>
      <c r="J48" s="19">
        <f>ROUND(81*1,0)&amp;"%"</f>
      </c>
    </row>
    <row x14ac:dyDescent="0.25" r="49" customHeight="1" ht="17.25">
      <c r="A49" s="20" t="s">
        <v>2244</v>
      </c>
      <c r="B49" s="20" t="s">
        <v>109</v>
      </c>
      <c r="C49" s="20" t="s">
        <v>95</v>
      </c>
      <c r="D49" s="20" t="s">
        <v>22</v>
      </c>
      <c r="E49" s="21">
        <f>ROUND(15404*1.05,2)</f>
      </c>
      <c r="F49" s="20" t="s">
        <v>51</v>
      </c>
      <c r="G49" s="20" t="s">
        <v>24</v>
      </c>
      <c r="H49" s="21">
        <f>ROUND(RAND()*4+6,1)</f>
      </c>
      <c r="I49" s="20" t="s">
        <v>25</v>
      </c>
      <c r="J49" s="23">
        <f>ROUND(94*1,0)&amp;"%"</f>
      </c>
    </row>
    <row x14ac:dyDescent="0.25" r="50" customHeight="1" ht="17.25">
      <c r="A50" s="24" t="s">
        <v>110</v>
      </c>
      <c r="B50" s="24"/>
      <c r="C50" s="24"/>
      <c r="D50" s="24"/>
      <c r="E50" s="25">
        <v>8</v>
      </c>
      <c r="F50" s="9"/>
      <c r="G50" s="9"/>
      <c r="H50" s="10"/>
      <c r="I50" s="9"/>
      <c r="J50" s="9"/>
    </row>
    <row x14ac:dyDescent="0.25" r="51" customHeight="1" ht="17.25">
      <c r="A51" s="7"/>
      <c r="B51" s="7"/>
      <c r="C51" s="7"/>
      <c r="D51" s="7"/>
      <c r="E51" s="8"/>
      <c r="F51" s="9"/>
      <c r="G51" s="9"/>
      <c r="H51" s="10"/>
      <c r="I51" s="9"/>
      <c r="J51" s="9"/>
    </row>
    <row x14ac:dyDescent="0.25" r="52" customHeight="1" ht="17.25">
      <c r="A52" s="11" t="s">
        <v>2245</v>
      </c>
      <c r="B52" s="11"/>
      <c r="C52" s="11"/>
      <c r="D52" s="11"/>
      <c r="E52" s="12"/>
      <c r="F52" s="11"/>
      <c r="G52" s="11"/>
      <c r="H52" s="13"/>
      <c r="I52" s="11"/>
      <c r="J52" s="11"/>
    </row>
    <row x14ac:dyDescent="0.25" r="53" customHeight="1" ht="17.25">
      <c r="A53" s="14" t="s">
        <v>3</v>
      </c>
      <c r="B53" s="14" t="s">
        <v>4</v>
      </c>
      <c r="C53" s="14" t="s">
        <v>5</v>
      </c>
      <c r="D53" s="14" t="s">
        <v>6</v>
      </c>
      <c r="E53" s="15" t="s">
        <v>7</v>
      </c>
      <c r="F53" s="14" t="s">
        <v>8</v>
      </c>
      <c r="G53" s="14" t="s">
        <v>9</v>
      </c>
      <c r="H53" s="16" t="s">
        <v>10</v>
      </c>
      <c r="I53" s="14" t="s">
        <v>11</v>
      </c>
      <c r="J53" s="14" t="s">
        <v>12</v>
      </c>
    </row>
    <row x14ac:dyDescent="0.25" r="54" customHeight="1" ht="17.25">
      <c r="A54" s="17" t="s">
        <v>2246</v>
      </c>
      <c r="B54" s="17" t="s">
        <v>113</v>
      </c>
      <c r="C54" s="17" t="s">
        <v>114</v>
      </c>
      <c r="D54" s="17" t="s">
        <v>16</v>
      </c>
      <c r="E54" s="18">
        <f>ROUND(12511*1.05,2)</f>
      </c>
      <c r="F54" s="17" t="s">
        <v>17</v>
      </c>
      <c r="G54" s="17" t="s">
        <v>18</v>
      </c>
      <c r="H54" s="18">
        <f>ROUND(RAND()*4+6,1)</f>
      </c>
      <c r="I54" s="17" t="s">
        <v>19</v>
      </c>
      <c r="J54" s="19">
        <f>ROUND(80*1,0)&amp;"%"</f>
      </c>
    </row>
    <row x14ac:dyDescent="0.25" r="55" customHeight="1" ht="17.25">
      <c r="A55" s="20" t="s">
        <v>2247</v>
      </c>
      <c r="B55" s="20" t="s">
        <v>116</v>
      </c>
      <c r="C55" s="20" t="s">
        <v>114</v>
      </c>
      <c r="D55" s="20" t="s">
        <v>22</v>
      </c>
      <c r="E55" s="21">
        <f>ROUND(7921*1.05,2)</f>
      </c>
      <c r="F55" s="20" t="s">
        <v>23</v>
      </c>
      <c r="G55" s="20" t="s">
        <v>24</v>
      </c>
      <c r="H55" s="21">
        <f>ROUND(RAND()*4+6,1)</f>
      </c>
      <c r="I55" s="20" t="s">
        <v>25</v>
      </c>
      <c r="J55" s="23">
        <f>ROUND(61*1,0)&amp;"%"</f>
      </c>
    </row>
    <row x14ac:dyDescent="0.25" r="56" customHeight="1" ht="17.25">
      <c r="A56" s="17" t="s">
        <v>2248</v>
      </c>
      <c r="B56" s="17" t="s">
        <v>118</v>
      </c>
      <c r="C56" s="17" t="s">
        <v>114</v>
      </c>
      <c r="D56" s="17" t="s">
        <v>28</v>
      </c>
      <c r="E56" s="18">
        <f>ROUND(5755*1.05,2)</f>
      </c>
      <c r="F56" s="17" t="s">
        <v>29</v>
      </c>
      <c r="G56" s="17" t="s">
        <v>30</v>
      </c>
      <c r="H56" s="18">
        <f>ROUND(RAND()*4+6,1)</f>
      </c>
      <c r="I56" s="17" t="s">
        <v>31</v>
      </c>
      <c r="J56" s="19">
        <f>ROUND(80*1,0)&amp;"%"</f>
      </c>
    </row>
    <row x14ac:dyDescent="0.25" r="57" customHeight="1" ht="17.25">
      <c r="A57" s="20" t="s">
        <v>2249</v>
      </c>
      <c r="B57" s="20" t="s">
        <v>120</v>
      </c>
      <c r="C57" s="20" t="s">
        <v>114</v>
      </c>
      <c r="D57" s="20" t="s">
        <v>34</v>
      </c>
      <c r="E57" s="21">
        <f>ROUND(8643*1.05,2)</f>
      </c>
      <c r="F57" s="20" t="s">
        <v>35</v>
      </c>
      <c r="G57" s="20" t="s">
        <v>18</v>
      </c>
      <c r="H57" s="21">
        <f>ROUND(RAND()*4+6,1)</f>
      </c>
      <c r="I57" s="20" t="s">
        <v>36</v>
      </c>
      <c r="J57" s="23">
        <f>ROUND(74*1,0)&amp;"%"</f>
      </c>
    </row>
    <row x14ac:dyDescent="0.25" r="58" customHeight="1" ht="17.25">
      <c r="A58" s="17" t="s">
        <v>2250</v>
      </c>
      <c r="B58" s="17" t="s">
        <v>122</v>
      </c>
      <c r="C58" s="17" t="s">
        <v>114</v>
      </c>
      <c r="D58" s="17" t="s">
        <v>39</v>
      </c>
      <c r="E58" s="18">
        <f>ROUND(6466*1.05,2)</f>
      </c>
      <c r="F58" s="17" t="s">
        <v>40</v>
      </c>
      <c r="G58" s="17" t="s">
        <v>24</v>
      </c>
      <c r="H58" s="18">
        <f>ROUND(RAND()*4+6,1)</f>
      </c>
      <c r="I58" s="17" t="s">
        <v>41</v>
      </c>
      <c r="J58" s="19">
        <f>ROUND(98*1,0)&amp;"%"</f>
      </c>
    </row>
    <row x14ac:dyDescent="0.25" r="59" customHeight="1" ht="17.25">
      <c r="A59" s="20" t="s">
        <v>2251</v>
      </c>
      <c r="B59" s="20" t="s">
        <v>124</v>
      </c>
      <c r="C59" s="20" t="s">
        <v>114</v>
      </c>
      <c r="D59" s="20" t="s">
        <v>67</v>
      </c>
      <c r="E59" s="21">
        <f>ROUND(17159*1.05,2)</f>
      </c>
      <c r="F59" s="20" t="s">
        <v>44</v>
      </c>
      <c r="G59" s="20" t="s">
        <v>30</v>
      </c>
      <c r="H59" s="22">
        <f>ROUND(RAND()*4+6,1)</f>
      </c>
      <c r="I59" s="20" t="s">
        <v>45</v>
      </c>
      <c r="J59" s="23">
        <f>ROUND(89*1,0)&amp;"%"</f>
      </c>
    </row>
    <row x14ac:dyDescent="0.25" r="60" customHeight="1" ht="17.25">
      <c r="A60" s="17" t="s">
        <v>2252</v>
      </c>
      <c r="B60" s="17" t="s">
        <v>126</v>
      </c>
      <c r="C60" s="17" t="s">
        <v>114</v>
      </c>
      <c r="D60" s="17" t="s">
        <v>16</v>
      </c>
      <c r="E60" s="18">
        <f>ROUND(12928*1.05,2)</f>
      </c>
      <c r="F60" s="17" t="s">
        <v>48</v>
      </c>
      <c r="G60" s="17" t="s">
        <v>18</v>
      </c>
      <c r="H60" s="18">
        <f>ROUND(RAND()*4+6,1)</f>
      </c>
      <c r="I60" s="17" t="s">
        <v>19</v>
      </c>
      <c r="J60" s="19">
        <f>ROUND(87*1,0)&amp;"%"</f>
      </c>
    </row>
    <row x14ac:dyDescent="0.25" r="61" customHeight="1" ht="17.25">
      <c r="A61" s="20" t="s">
        <v>2253</v>
      </c>
      <c r="B61" s="20" t="s">
        <v>128</v>
      </c>
      <c r="C61" s="20" t="s">
        <v>114</v>
      </c>
      <c r="D61" s="20" t="s">
        <v>22</v>
      </c>
      <c r="E61" s="21">
        <f>ROUND(9918*1.05,2)</f>
      </c>
      <c r="F61" s="20" t="s">
        <v>51</v>
      </c>
      <c r="G61" s="20" t="s">
        <v>24</v>
      </c>
      <c r="H61" s="21">
        <f>ROUND(RAND()*4+6,1)</f>
      </c>
      <c r="I61" s="20" t="s">
        <v>25</v>
      </c>
      <c r="J61" s="23">
        <f>ROUND(84*1,0)&amp;"%"</f>
      </c>
    </row>
    <row x14ac:dyDescent="0.25" r="62" customHeight="1" ht="17.25">
      <c r="A62" s="24" t="s">
        <v>129</v>
      </c>
      <c r="B62" s="24"/>
      <c r="C62" s="24"/>
      <c r="D62" s="24"/>
      <c r="E62" s="25">
        <v>8</v>
      </c>
      <c r="F62" s="9"/>
      <c r="G62" s="9"/>
      <c r="H62" s="10"/>
      <c r="I62" s="9"/>
      <c r="J62" s="9"/>
    </row>
    <row x14ac:dyDescent="0.25" r="63" customHeight="1" ht="17.25">
      <c r="A63" s="7"/>
      <c r="B63" s="7"/>
      <c r="C63" s="7"/>
      <c r="D63" s="7"/>
      <c r="E63" s="8"/>
      <c r="F63" s="9"/>
      <c r="G63" s="9"/>
      <c r="H63" s="10"/>
      <c r="I63" s="9"/>
      <c r="J63" s="9"/>
    </row>
    <row x14ac:dyDescent="0.25" r="64" customHeight="1" ht="17.25">
      <c r="A64" s="11" t="s">
        <v>2254</v>
      </c>
      <c r="B64" s="11"/>
      <c r="C64" s="11"/>
      <c r="D64" s="11"/>
      <c r="E64" s="12"/>
      <c r="F64" s="11"/>
      <c r="G64" s="11"/>
      <c r="H64" s="13"/>
      <c r="I64" s="11"/>
      <c r="J64" s="11"/>
    </row>
    <row x14ac:dyDescent="0.25" r="65" customHeight="1" ht="17.25">
      <c r="A65" s="14" t="s">
        <v>3</v>
      </c>
      <c r="B65" s="14" t="s">
        <v>4</v>
      </c>
      <c r="C65" s="14" t="s">
        <v>5</v>
      </c>
      <c r="D65" s="14" t="s">
        <v>6</v>
      </c>
      <c r="E65" s="15" t="s">
        <v>7</v>
      </c>
      <c r="F65" s="14" t="s">
        <v>8</v>
      </c>
      <c r="G65" s="14" t="s">
        <v>9</v>
      </c>
      <c r="H65" s="16" t="s">
        <v>10</v>
      </c>
      <c r="I65" s="14" t="s">
        <v>11</v>
      </c>
      <c r="J65" s="14" t="s">
        <v>12</v>
      </c>
    </row>
    <row x14ac:dyDescent="0.25" r="66" customHeight="1" ht="17.25">
      <c r="A66" s="17" t="s">
        <v>2255</v>
      </c>
      <c r="B66" s="17" t="s">
        <v>132</v>
      </c>
      <c r="C66" s="17" t="s">
        <v>133</v>
      </c>
      <c r="D66" s="17" t="s">
        <v>16</v>
      </c>
      <c r="E66" s="18">
        <f>ROUND(13201*1.05,2)</f>
      </c>
      <c r="F66" s="17" t="s">
        <v>17</v>
      </c>
      <c r="G66" s="17" t="s">
        <v>18</v>
      </c>
      <c r="H66" s="18">
        <f>ROUND(RAND()*4+6,1)</f>
      </c>
      <c r="I66" s="17" t="s">
        <v>19</v>
      </c>
      <c r="J66" s="19">
        <f>ROUND(83*1,0)&amp;"%"</f>
      </c>
    </row>
    <row x14ac:dyDescent="0.25" r="67" customHeight="1" ht="17.25">
      <c r="A67" s="20" t="s">
        <v>2256</v>
      </c>
      <c r="B67" s="20" t="s">
        <v>135</v>
      </c>
      <c r="C67" s="20" t="s">
        <v>133</v>
      </c>
      <c r="D67" s="20" t="s">
        <v>22</v>
      </c>
      <c r="E67" s="21">
        <f>ROUND(4168*1.05,2)</f>
      </c>
      <c r="F67" s="20" t="s">
        <v>23</v>
      </c>
      <c r="G67" s="20" t="s">
        <v>24</v>
      </c>
      <c r="H67" s="22">
        <f>ROUND(RAND()*4+6,1)</f>
      </c>
      <c r="I67" s="20" t="s">
        <v>25</v>
      </c>
      <c r="J67" s="23">
        <f>ROUND(88*1,0)&amp;"%"</f>
      </c>
    </row>
    <row x14ac:dyDescent="0.25" r="68" customHeight="1" ht="17.25">
      <c r="A68" s="17" t="s">
        <v>2257</v>
      </c>
      <c r="B68" s="17" t="s">
        <v>137</v>
      </c>
      <c r="C68" s="17" t="s">
        <v>133</v>
      </c>
      <c r="D68" s="17" t="s">
        <v>28</v>
      </c>
      <c r="E68" s="18">
        <f>ROUND(17266*1.05,2)</f>
      </c>
      <c r="F68" s="17" t="s">
        <v>29</v>
      </c>
      <c r="G68" s="17" t="s">
        <v>30</v>
      </c>
      <c r="H68" s="18">
        <f>ROUND(RAND()*4+6,1)</f>
      </c>
      <c r="I68" s="17" t="s">
        <v>31</v>
      </c>
      <c r="J68" s="19">
        <f>ROUND(93*1,0)&amp;"%"</f>
      </c>
    </row>
    <row x14ac:dyDescent="0.25" r="69" customHeight="1" ht="17.25">
      <c r="A69" s="20" t="s">
        <v>2258</v>
      </c>
      <c r="B69" s="20" t="s">
        <v>139</v>
      </c>
      <c r="C69" s="20" t="s">
        <v>133</v>
      </c>
      <c r="D69" s="20" t="s">
        <v>34</v>
      </c>
      <c r="E69" s="21">
        <f>ROUND(5254*1.05,2)</f>
      </c>
      <c r="F69" s="20" t="s">
        <v>35</v>
      </c>
      <c r="G69" s="20" t="s">
        <v>18</v>
      </c>
      <c r="H69" s="21">
        <f>ROUND(RAND()*4+6,1)</f>
      </c>
      <c r="I69" s="20" t="s">
        <v>36</v>
      </c>
      <c r="J69" s="23">
        <f>ROUND(99*1,0)&amp;"%"</f>
      </c>
    </row>
    <row x14ac:dyDescent="0.25" r="70" customHeight="1" ht="17.25">
      <c r="A70" s="17" t="s">
        <v>2259</v>
      </c>
      <c r="B70" s="17" t="s">
        <v>141</v>
      </c>
      <c r="C70" s="17" t="s">
        <v>133</v>
      </c>
      <c r="D70" s="17" t="s">
        <v>39</v>
      </c>
      <c r="E70" s="18">
        <f>ROUND(7983*1.05,2)</f>
      </c>
      <c r="F70" s="17" t="s">
        <v>40</v>
      </c>
      <c r="G70" s="17" t="s">
        <v>24</v>
      </c>
      <c r="H70" s="18">
        <f>ROUND(RAND()*4+6,1)</f>
      </c>
      <c r="I70" s="17" t="s">
        <v>41</v>
      </c>
      <c r="J70" s="19">
        <f>ROUND(85*1,0)&amp;"%"</f>
      </c>
    </row>
    <row x14ac:dyDescent="0.25" r="71" customHeight="1" ht="17.25">
      <c r="A71" s="20" t="s">
        <v>2260</v>
      </c>
      <c r="B71" s="20" t="s">
        <v>143</v>
      </c>
      <c r="C71" s="20" t="s">
        <v>133</v>
      </c>
      <c r="D71" s="20" t="s">
        <v>67</v>
      </c>
      <c r="E71" s="21">
        <f>ROUND(14468*1.05,2)</f>
      </c>
      <c r="F71" s="20" t="s">
        <v>44</v>
      </c>
      <c r="G71" s="20" t="s">
        <v>30</v>
      </c>
      <c r="H71" s="21">
        <f>ROUND(RAND()*4+6,1)</f>
      </c>
      <c r="I71" s="20" t="s">
        <v>45</v>
      </c>
      <c r="J71" s="23">
        <f>ROUND(74*1,0)&amp;"%"</f>
      </c>
    </row>
    <row x14ac:dyDescent="0.25" r="72" customHeight="1" ht="17.25">
      <c r="A72" s="17" t="s">
        <v>2261</v>
      </c>
      <c r="B72" s="17" t="s">
        <v>145</v>
      </c>
      <c r="C72" s="17" t="s">
        <v>133</v>
      </c>
      <c r="D72" s="17" t="s">
        <v>16</v>
      </c>
      <c r="E72" s="26">
        <f>ROUND(8360*1.05,2)</f>
      </c>
      <c r="F72" s="17" t="s">
        <v>48</v>
      </c>
      <c r="G72" s="17" t="s">
        <v>18</v>
      </c>
      <c r="H72" s="18">
        <f>ROUND(RAND()*4+6,1)</f>
      </c>
      <c r="I72" s="17" t="s">
        <v>19</v>
      </c>
      <c r="J72" s="19">
        <f>ROUND(79*1,0)&amp;"%"</f>
      </c>
    </row>
    <row x14ac:dyDescent="0.25" r="73" customHeight="1" ht="17.25">
      <c r="A73" s="20" t="s">
        <v>2262</v>
      </c>
      <c r="B73" s="20" t="s">
        <v>147</v>
      </c>
      <c r="C73" s="20" t="s">
        <v>133</v>
      </c>
      <c r="D73" s="20" t="s">
        <v>22</v>
      </c>
      <c r="E73" s="21">
        <f>ROUND(17288*1.05,2)</f>
      </c>
      <c r="F73" s="20" t="s">
        <v>51</v>
      </c>
      <c r="G73" s="20" t="s">
        <v>24</v>
      </c>
      <c r="H73" s="21">
        <f>ROUND(RAND()*4+6,1)</f>
      </c>
      <c r="I73" s="20" t="s">
        <v>25</v>
      </c>
      <c r="J73" s="23">
        <f>ROUND(96*1,0)&amp;"%"</f>
      </c>
    </row>
    <row x14ac:dyDescent="0.25" r="74" customHeight="1" ht="17.25">
      <c r="A74" s="24" t="s">
        <v>148</v>
      </c>
      <c r="B74" s="24"/>
      <c r="C74" s="24"/>
      <c r="D74" s="24"/>
      <c r="E74" s="25">
        <v>8</v>
      </c>
      <c r="F74" s="9"/>
      <c r="G74" s="9"/>
      <c r="H74" s="10"/>
      <c r="I74" s="9"/>
      <c r="J74" s="9"/>
    </row>
    <row x14ac:dyDescent="0.25" r="75" customHeight="1" ht="17.25">
      <c r="A75" s="7"/>
      <c r="B75" s="7"/>
      <c r="C75" s="7"/>
      <c r="D75" s="7"/>
      <c r="E75" s="8"/>
      <c r="F75" s="9"/>
      <c r="G75" s="9"/>
      <c r="H75" s="10"/>
      <c r="I75" s="9"/>
      <c r="J75" s="9"/>
    </row>
    <row x14ac:dyDescent="0.25" r="76" customHeight="1" ht="17.25">
      <c r="A76" s="11" t="s">
        <v>2263</v>
      </c>
      <c r="B76" s="11"/>
      <c r="C76" s="11"/>
      <c r="D76" s="11"/>
      <c r="E76" s="12"/>
      <c r="F76" s="11"/>
      <c r="G76" s="11"/>
      <c r="H76" s="13"/>
      <c r="I76" s="11"/>
      <c r="J76" s="11"/>
    </row>
    <row x14ac:dyDescent="0.25" r="77" customHeight="1" ht="17.25">
      <c r="A77" s="14" t="s">
        <v>3</v>
      </c>
      <c r="B77" s="14" t="s">
        <v>4</v>
      </c>
      <c r="C77" s="14" t="s">
        <v>5</v>
      </c>
      <c r="D77" s="14" t="s">
        <v>6</v>
      </c>
      <c r="E77" s="15" t="s">
        <v>7</v>
      </c>
      <c r="F77" s="14" t="s">
        <v>8</v>
      </c>
      <c r="G77" s="14" t="s">
        <v>9</v>
      </c>
      <c r="H77" s="16" t="s">
        <v>10</v>
      </c>
      <c r="I77" s="14" t="s">
        <v>11</v>
      </c>
      <c r="J77" s="14" t="s">
        <v>12</v>
      </c>
    </row>
    <row x14ac:dyDescent="0.25" r="78" customHeight="1" ht="17.25">
      <c r="A78" s="17" t="s">
        <v>2264</v>
      </c>
      <c r="B78" s="17" t="s">
        <v>151</v>
      </c>
      <c r="C78" s="17" t="s">
        <v>152</v>
      </c>
      <c r="D78" s="17" t="s">
        <v>16</v>
      </c>
      <c r="E78" s="18">
        <f>ROUND(17206*1.05,2)</f>
      </c>
      <c r="F78" s="17" t="s">
        <v>17</v>
      </c>
      <c r="G78" s="17" t="s">
        <v>18</v>
      </c>
      <c r="H78" s="18">
        <f>ROUND(RAND()*4+6,1)</f>
      </c>
      <c r="I78" s="17" t="s">
        <v>19</v>
      </c>
      <c r="J78" s="19">
        <f>ROUND(91*1,0)&amp;"%"</f>
      </c>
    </row>
    <row x14ac:dyDescent="0.25" r="79" customHeight="1" ht="17.25">
      <c r="A79" s="20" t="s">
        <v>2265</v>
      </c>
      <c r="B79" s="20" t="s">
        <v>154</v>
      </c>
      <c r="C79" s="20" t="s">
        <v>152</v>
      </c>
      <c r="D79" s="20" t="s">
        <v>22</v>
      </c>
      <c r="E79" s="21">
        <f>ROUND(5031*1.05,2)</f>
      </c>
      <c r="F79" s="20" t="s">
        <v>23</v>
      </c>
      <c r="G79" s="20" t="s">
        <v>24</v>
      </c>
      <c r="H79" s="21">
        <f>ROUND(RAND()*4+6,1)</f>
      </c>
      <c r="I79" s="20" t="s">
        <v>25</v>
      </c>
      <c r="J79" s="23">
        <f>ROUND(76*1,0)&amp;"%"</f>
      </c>
    </row>
    <row x14ac:dyDescent="0.25" r="80" customHeight="1" ht="17.25">
      <c r="A80" s="17" t="s">
        <v>2266</v>
      </c>
      <c r="B80" s="17" t="s">
        <v>156</v>
      </c>
      <c r="C80" s="17" t="s">
        <v>152</v>
      </c>
      <c r="D80" s="17" t="s">
        <v>28</v>
      </c>
      <c r="E80" s="18">
        <f>ROUND(17333*1.05,2)</f>
      </c>
      <c r="F80" s="17" t="s">
        <v>29</v>
      </c>
      <c r="G80" s="17" t="s">
        <v>30</v>
      </c>
      <c r="H80" s="18">
        <f>ROUND(RAND()*4+6,1)</f>
      </c>
      <c r="I80" s="17" t="s">
        <v>31</v>
      </c>
      <c r="J80" s="19">
        <f>ROUND(95*1,0)&amp;"%"</f>
      </c>
    </row>
    <row x14ac:dyDescent="0.25" r="81" customHeight="1" ht="17.25">
      <c r="A81" s="20" t="s">
        <v>2267</v>
      </c>
      <c r="B81" s="20" t="s">
        <v>158</v>
      </c>
      <c r="C81" s="20" t="s">
        <v>152</v>
      </c>
      <c r="D81" s="20" t="s">
        <v>34</v>
      </c>
      <c r="E81" s="21">
        <f>ROUND(6021*1.05,2)</f>
      </c>
      <c r="F81" s="20" t="s">
        <v>35</v>
      </c>
      <c r="G81" s="20" t="s">
        <v>18</v>
      </c>
      <c r="H81" s="22">
        <f>ROUND(RAND()*4+6,1)</f>
      </c>
      <c r="I81" s="20" t="s">
        <v>36</v>
      </c>
      <c r="J81" s="23">
        <f>ROUND(83*1,0)&amp;"%"</f>
      </c>
    </row>
    <row x14ac:dyDescent="0.25" r="82" customHeight="1" ht="17.25">
      <c r="A82" s="17" t="s">
        <v>2268</v>
      </c>
      <c r="B82" s="17" t="s">
        <v>160</v>
      </c>
      <c r="C82" s="17" t="s">
        <v>152</v>
      </c>
      <c r="D82" s="17" t="s">
        <v>39</v>
      </c>
      <c r="E82" s="18">
        <f>ROUND(14875*1.05,2)</f>
      </c>
      <c r="F82" s="17" t="s">
        <v>40</v>
      </c>
      <c r="G82" s="17" t="s">
        <v>24</v>
      </c>
      <c r="H82" s="18">
        <f>ROUND(RAND()*4+6,1)</f>
      </c>
      <c r="I82" s="17" t="s">
        <v>41</v>
      </c>
      <c r="J82" s="19">
        <f>ROUND(92*1,0)&amp;"%"</f>
      </c>
    </row>
    <row x14ac:dyDescent="0.25" r="83" customHeight="1" ht="17.25">
      <c r="A83" s="20" t="s">
        <v>2269</v>
      </c>
      <c r="B83" s="20" t="s">
        <v>162</v>
      </c>
      <c r="C83" s="20" t="s">
        <v>152</v>
      </c>
      <c r="D83" s="20" t="s">
        <v>67</v>
      </c>
      <c r="E83" s="22">
        <f>ROUND(6700*1.05,2)</f>
      </c>
      <c r="F83" s="20" t="s">
        <v>44</v>
      </c>
      <c r="G83" s="20" t="s">
        <v>30</v>
      </c>
      <c r="H83" s="21">
        <f>ROUND(RAND()*4+6,1)</f>
      </c>
      <c r="I83" s="20" t="s">
        <v>45</v>
      </c>
      <c r="J83" s="23">
        <f>ROUND(77*1,0)&amp;"%"</f>
      </c>
    </row>
    <row x14ac:dyDescent="0.25" r="84" customHeight="1" ht="17.25">
      <c r="A84" s="17" t="s">
        <v>2270</v>
      </c>
      <c r="B84" s="17" t="s">
        <v>164</v>
      </c>
      <c r="C84" s="17" t="s">
        <v>152</v>
      </c>
      <c r="D84" s="17" t="s">
        <v>16</v>
      </c>
      <c r="E84" s="18">
        <f>ROUND(7947*1.05,2)</f>
      </c>
      <c r="F84" s="17" t="s">
        <v>48</v>
      </c>
      <c r="G84" s="17" t="s">
        <v>18</v>
      </c>
      <c r="H84" s="18">
        <f>ROUND(RAND()*4+6,1)</f>
      </c>
      <c r="I84" s="17" t="s">
        <v>19</v>
      </c>
      <c r="J84" s="19">
        <f>ROUND(82*1,0)&amp;"%"</f>
      </c>
    </row>
    <row x14ac:dyDescent="0.25" r="85" customHeight="1" ht="17.25">
      <c r="A85" s="20" t="s">
        <v>2271</v>
      </c>
      <c r="B85" s="20" t="s">
        <v>166</v>
      </c>
      <c r="C85" s="20" t="s">
        <v>152</v>
      </c>
      <c r="D85" s="20" t="s">
        <v>22</v>
      </c>
      <c r="E85" s="21">
        <f>ROUND(13099*1.05,2)</f>
      </c>
      <c r="F85" s="20" t="s">
        <v>51</v>
      </c>
      <c r="G85" s="20" t="s">
        <v>24</v>
      </c>
      <c r="H85" s="21">
        <f>ROUND(RAND()*4+6,1)</f>
      </c>
      <c r="I85" s="20" t="s">
        <v>25</v>
      </c>
      <c r="J85" s="23">
        <f>ROUND(78*1,0)&amp;"%"</f>
      </c>
    </row>
    <row x14ac:dyDescent="0.25" r="86" customHeight="1" ht="17.25">
      <c r="A86" s="24" t="s">
        <v>167</v>
      </c>
      <c r="B86" s="24"/>
      <c r="C86" s="24"/>
      <c r="D86" s="24"/>
      <c r="E86" s="25">
        <v>8</v>
      </c>
      <c r="F86" s="9"/>
      <c r="G86" s="9"/>
      <c r="H86" s="10"/>
      <c r="I86" s="9"/>
      <c r="J86" s="9"/>
    </row>
    <row x14ac:dyDescent="0.25" r="87" customHeight="1" ht="17.25">
      <c r="A87" s="7"/>
      <c r="B87" s="7"/>
      <c r="C87" s="7"/>
      <c r="D87" s="7"/>
      <c r="E87" s="8"/>
      <c r="F87" s="9"/>
      <c r="G87" s="9"/>
      <c r="H87" s="10"/>
      <c r="I87" s="9"/>
      <c r="J87" s="9"/>
    </row>
    <row x14ac:dyDescent="0.25" r="88" customHeight="1" ht="17.25">
      <c r="A88" s="11" t="s">
        <v>2272</v>
      </c>
      <c r="B88" s="11"/>
      <c r="C88" s="11"/>
      <c r="D88" s="11"/>
      <c r="E88" s="12"/>
      <c r="F88" s="11"/>
      <c r="G88" s="11"/>
      <c r="H88" s="13"/>
      <c r="I88" s="11"/>
      <c r="J88" s="11"/>
    </row>
    <row x14ac:dyDescent="0.25" r="89" customHeight="1" ht="17.25">
      <c r="A89" s="14" t="s">
        <v>3</v>
      </c>
      <c r="B89" s="14" t="s">
        <v>4</v>
      </c>
      <c r="C89" s="14" t="s">
        <v>5</v>
      </c>
      <c r="D89" s="14" t="s">
        <v>6</v>
      </c>
      <c r="E89" s="15" t="s">
        <v>7</v>
      </c>
      <c r="F89" s="14" t="s">
        <v>8</v>
      </c>
      <c r="G89" s="14" t="s">
        <v>9</v>
      </c>
      <c r="H89" s="16" t="s">
        <v>10</v>
      </c>
      <c r="I89" s="14" t="s">
        <v>11</v>
      </c>
      <c r="J89" s="14" t="s">
        <v>12</v>
      </c>
    </row>
    <row x14ac:dyDescent="0.25" r="90" customHeight="1" ht="17.25">
      <c r="A90" s="17" t="s">
        <v>2273</v>
      </c>
      <c r="B90" s="17" t="s">
        <v>170</v>
      </c>
      <c r="C90" s="17" t="s">
        <v>15</v>
      </c>
      <c r="D90" s="17" t="s">
        <v>16</v>
      </c>
      <c r="E90" s="18">
        <f>ROUND(10207*1.05,2)</f>
      </c>
      <c r="F90" s="17" t="s">
        <v>17</v>
      </c>
      <c r="G90" s="17" t="s">
        <v>18</v>
      </c>
      <c r="H90" s="18">
        <f>ROUND(RAND()*4+6,1)</f>
      </c>
      <c r="I90" s="17" t="s">
        <v>19</v>
      </c>
      <c r="J90" s="19">
        <f>ROUND(79*1,0)&amp;"%"</f>
      </c>
    </row>
    <row x14ac:dyDescent="0.25" r="91" customHeight="1" ht="17.25">
      <c r="A91" s="20" t="s">
        <v>2274</v>
      </c>
      <c r="B91" s="20" t="s">
        <v>172</v>
      </c>
      <c r="C91" s="20" t="s">
        <v>15</v>
      </c>
      <c r="D91" s="20" t="s">
        <v>22</v>
      </c>
      <c r="E91" s="21">
        <f>ROUND(5558*1.05,2)</f>
      </c>
      <c r="F91" s="20" t="s">
        <v>23</v>
      </c>
      <c r="G91" s="20" t="s">
        <v>24</v>
      </c>
      <c r="H91" s="21">
        <f>ROUND(RAND()*4+6,1)</f>
      </c>
      <c r="I91" s="20" t="s">
        <v>25</v>
      </c>
      <c r="J91" s="23">
        <f>ROUND(97*1,0)&amp;"%"</f>
      </c>
    </row>
    <row x14ac:dyDescent="0.25" r="92" customHeight="1" ht="17.25">
      <c r="A92" s="17" t="s">
        <v>2275</v>
      </c>
      <c r="B92" s="17" t="s">
        <v>174</v>
      </c>
      <c r="C92" s="17" t="s">
        <v>15</v>
      </c>
      <c r="D92" s="17" t="s">
        <v>28</v>
      </c>
      <c r="E92" s="18">
        <f>ROUND(17795*1.05,2)</f>
      </c>
      <c r="F92" s="17" t="s">
        <v>29</v>
      </c>
      <c r="G92" s="17" t="s">
        <v>30</v>
      </c>
      <c r="H92" s="18">
        <f>ROUND(RAND()*4+6,1)</f>
      </c>
      <c r="I92" s="17" t="s">
        <v>31</v>
      </c>
      <c r="J92" s="19">
        <f>ROUND(74*1,0)&amp;"%"</f>
      </c>
    </row>
    <row x14ac:dyDescent="0.25" r="93" customHeight="1" ht="17.25">
      <c r="A93" s="20" t="s">
        <v>2276</v>
      </c>
      <c r="B93" s="20" t="s">
        <v>176</v>
      </c>
      <c r="C93" s="20" t="s">
        <v>15</v>
      </c>
      <c r="D93" s="20" t="s">
        <v>34</v>
      </c>
      <c r="E93" s="21">
        <f>ROUND(11983*1.05,2)</f>
      </c>
      <c r="F93" s="20" t="s">
        <v>35</v>
      </c>
      <c r="G93" s="20" t="s">
        <v>18</v>
      </c>
      <c r="H93" s="21">
        <f>ROUND(RAND()*4+6,1)</f>
      </c>
      <c r="I93" s="20" t="s">
        <v>36</v>
      </c>
      <c r="J93" s="23">
        <f>ROUND(69*1,0)&amp;"%"</f>
      </c>
    </row>
    <row x14ac:dyDescent="0.25" r="94" customHeight="1" ht="17.25">
      <c r="A94" s="17" t="s">
        <v>2277</v>
      </c>
      <c r="B94" s="17" t="s">
        <v>178</v>
      </c>
      <c r="C94" s="17" t="s">
        <v>15</v>
      </c>
      <c r="D94" s="17" t="s">
        <v>39</v>
      </c>
      <c r="E94" s="18">
        <f>ROUND(10190*1.05,2)</f>
      </c>
      <c r="F94" s="17" t="s">
        <v>40</v>
      </c>
      <c r="G94" s="17" t="s">
        <v>24</v>
      </c>
      <c r="H94" s="18">
        <f>ROUND(RAND()*4+6,1)</f>
      </c>
      <c r="I94" s="17" t="s">
        <v>41</v>
      </c>
      <c r="J94" s="19">
        <f>ROUND(61*1,0)&amp;"%"</f>
      </c>
    </row>
    <row x14ac:dyDescent="0.25" r="95" customHeight="1" ht="17.25">
      <c r="A95" s="20" t="s">
        <v>2278</v>
      </c>
      <c r="B95" s="20" t="s">
        <v>180</v>
      </c>
      <c r="C95" s="20" t="s">
        <v>15</v>
      </c>
      <c r="D95" s="20" t="s">
        <v>67</v>
      </c>
      <c r="E95" s="21">
        <f>ROUND(13970*1.05,2)</f>
      </c>
      <c r="F95" s="20" t="s">
        <v>44</v>
      </c>
      <c r="G95" s="20" t="s">
        <v>30</v>
      </c>
      <c r="H95" s="21">
        <f>ROUND(RAND()*4+6,1)</f>
      </c>
      <c r="I95" s="20" t="s">
        <v>45</v>
      </c>
      <c r="J95" s="23">
        <f>ROUND(97*1,0)&amp;"%"</f>
      </c>
    </row>
    <row x14ac:dyDescent="0.25" r="96" customHeight="1" ht="17.25">
      <c r="A96" s="17" t="s">
        <v>2279</v>
      </c>
      <c r="B96" s="17" t="s">
        <v>182</v>
      </c>
      <c r="C96" s="17" t="s">
        <v>15</v>
      </c>
      <c r="D96" s="17" t="s">
        <v>16</v>
      </c>
      <c r="E96" s="18">
        <f>ROUND(14770*1.05,2)</f>
      </c>
      <c r="F96" s="17" t="s">
        <v>48</v>
      </c>
      <c r="G96" s="17" t="s">
        <v>18</v>
      </c>
      <c r="H96" s="18">
        <f>ROUND(RAND()*4+6,1)</f>
      </c>
      <c r="I96" s="17" t="s">
        <v>19</v>
      </c>
      <c r="J96" s="19">
        <f>ROUND(72*1,0)&amp;"%"</f>
      </c>
    </row>
    <row x14ac:dyDescent="0.25" r="97" customHeight="1" ht="17.25">
      <c r="A97" s="20" t="s">
        <v>2280</v>
      </c>
      <c r="B97" s="20" t="s">
        <v>184</v>
      </c>
      <c r="C97" s="20" t="s">
        <v>15</v>
      </c>
      <c r="D97" s="20" t="s">
        <v>22</v>
      </c>
      <c r="E97" s="21">
        <f>ROUND(9016*1.05,2)</f>
      </c>
      <c r="F97" s="20" t="s">
        <v>51</v>
      </c>
      <c r="G97" s="20" t="s">
        <v>24</v>
      </c>
      <c r="H97" s="21">
        <f>ROUND(RAND()*4+6,1)</f>
      </c>
      <c r="I97" s="20" t="s">
        <v>25</v>
      </c>
      <c r="J97" s="23">
        <f>ROUND(80*1,0)&amp;"%"</f>
      </c>
    </row>
    <row x14ac:dyDescent="0.25" r="98" customHeight="1" ht="17.25">
      <c r="A98" s="24" t="s">
        <v>185</v>
      </c>
      <c r="B98" s="24"/>
      <c r="C98" s="24"/>
      <c r="D98" s="24"/>
      <c r="E98" s="25">
        <v>8</v>
      </c>
      <c r="F98" s="9"/>
      <c r="G98" s="9"/>
      <c r="H98" s="10"/>
      <c r="I98" s="9"/>
      <c r="J98" s="9"/>
    </row>
    <row x14ac:dyDescent="0.25" r="99" customHeight="1" ht="17.25">
      <c r="A99" s="7"/>
      <c r="B99" s="7"/>
      <c r="C99" s="7"/>
      <c r="D99" s="7"/>
      <c r="E99" s="8"/>
      <c r="F99" s="9"/>
      <c r="G99" s="9"/>
      <c r="H99" s="10"/>
      <c r="I99" s="9"/>
      <c r="J99" s="9"/>
    </row>
    <row x14ac:dyDescent="0.25" r="100" customHeight="1" ht="17.25">
      <c r="A100" s="11" t="s">
        <v>2281</v>
      </c>
      <c r="B100" s="11"/>
      <c r="C100" s="11"/>
      <c r="D100" s="11"/>
      <c r="E100" s="12"/>
      <c r="F100" s="11"/>
      <c r="G100" s="11"/>
      <c r="H100" s="13"/>
      <c r="I100" s="11"/>
      <c r="J100" s="11"/>
    </row>
    <row x14ac:dyDescent="0.25" r="101" customHeight="1" ht="17.25">
      <c r="A101" s="14" t="s">
        <v>3</v>
      </c>
      <c r="B101" s="14" t="s">
        <v>4</v>
      </c>
      <c r="C101" s="14" t="s">
        <v>5</v>
      </c>
      <c r="D101" s="14" t="s">
        <v>6</v>
      </c>
      <c r="E101" s="15" t="s">
        <v>7</v>
      </c>
      <c r="F101" s="14" t="s">
        <v>8</v>
      </c>
      <c r="G101" s="14" t="s">
        <v>9</v>
      </c>
      <c r="H101" s="16" t="s">
        <v>10</v>
      </c>
      <c r="I101" s="14" t="s">
        <v>11</v>
      </c>
      <c r="J101" s="14" t="s">
        <v>12</v>
      </c>
    </row>
    <row x14ac:dyDescent="0.25" r="102" customHeight="1" ht="17.25">
      <c r="A102" s="17" t="s">
        <v>2282</v>
      </c>
      <c r="B102" s="17" t="s">
        <v>188</v>
      </c>
      <c r="C102" s="17" t="s">
        <v>56</v>
      </c>
      <c r="D102" s="17" t="s">
        <v>16</v>
      </c>
      <c r="E102" s="18">
        <f>ROUND(12176*1.05,2)</f>
      </c>
      <c r="F102" s="17" t="s">
        <v>17</v>
      </c>
      <c r="G102" s="17" t="s">
        <v>18</v>
      </c>
      <c r="H102" s="18">
        <f>ROUND(RAND()*4+6,1)</f>
      </c>
      <c r="I102" s="17" t="s">
        <v>19</v>
      </c>
      <c r="J102" s="19">
        <f>ROUND(89*1,0)&amp;"%"</f>
      </c>
    </row>
    <row x14ac:dyDescent="0.25" r="103" customHeight="1" ht="17.25">
      <c r="A103" s="20" t="s">
        <v>2283</v>
      </c>
      <c r="B103" s="20" t="s">
        <v>190</v>
      </c>
      <c r="C103" s="20" t="s">
        <v>56</v>
      </c>
      <c r="D103" s="20" t="s">
        <v>22</v>
      </c>
      <c r="E103" s="21">
        <f>ROUND(9250*1.05,2)</f>
      </c>
      <c r="F103" s="20" t="s">
        <v>23</v>
      </c>
      <c r="G103" s="20" t="s">
        <v>24</v>
      </c>
      <c r="H103" s="21">
        <f>ROUND(RAND()*4+6,1)</f>
      </c>
      <c r="I103" s="20" t="s">
        <v>25</v>
      </c>
      <c r="J103" s="23">
        <f>ROUND(62*1,0)&amp;"%"</f>
      </c>
    </row>
    <row x14ac:dyDescent="0.25" r="104" customHeight="1" ht="17.25">
      <c r="A104" s="17" t="s">
        <v>2284</v>
      </c>
      <c r="B104" s="17" t="s">
        <v>192</v>
      </c>
      <c r="C104" s="17" t="s">
        <v>56</v>
      </c>
      <c r="D104" s="17" t="s">
        <v>28</v>
      </c>
      <c r="E104" s="18">
        <f>ROUND(13837*1.05,2)</f>
      </c>
      <c r="F104" s="17" t="s">
        <v>29</v>
      </c>
      <c r="G104" s="17" t="s">
        <v>30</v>
      </c>
      <c r="H104" s="18">
        <f>ROUND(RAND()*4+6,1)</f>
      </c>
      <c r="I104" s="17" t="s">
        <v>31</v>
      </c>
      <c r="J104" s="19">
        <f>ROUND(91*1,0)&amp;"%"</f>
      </c>
    </row>
    <row x14ac:dyDescent="0.25" r="105" customHeight="1" ht="17.25">
      <c r="A105" s="20" t="s">
        <v>2285</v>
      </c>
      <c r="B105" s="20" t="s">
        <v>194</v>
      </c>
      <c r="C105" s="20" t="s">
        <v>56</v>
      </c>
      <c r="D105" s="20" t="s">
        <v>34</v>
      </c>
      <c r="E105" s="21">
        <f>ROUND(7598*1.05,2)</f>
      </c>
      <c r="F105" s="20" t="s">
        <v>35</v>
      </c>
      <c r="G105" s="20" t="s">
        <v>18</v>
      </c>
      <c r="H105" s="22">
        <f>ROUND(RAND()*4+6,1)</f>
      </c>
      <c r="I105" s="20" t="s">
        <v>36</v>
      </c>
      <c r="J105" s="23">
        <f>ROUND(78*1,0)&amp;"%"</f>
      </c>
    </row>
    <row x14ac:dyDescent="0.25" r="106" customHeight="1" ht="17.25">
      <c r="A106" s="17" t="s">
        <v>2286</v>
      </c>
      <c r="B106" s="17" t="s">
        <v>196</v>
      </c>
      <c r="C106" s="17" t="s">
        <v>56</v>
      </c>
      <c r="D106" s="17" t="s">
        <v>39</v>
      </c>
      <c r="E106" s="26">
        <f>ROUND(11500*1.05,2)</f>
      </c>
      <c r="F106" s="17" t="s">
        <v>40</v>
      </c>
      <c r="G106" s="17" t="s">
        <v>24</v>
      </c>
      <c r="H106" s="18">
        <f>ROUND(RAND()*4+6,1)</f>
      </c>
      <c r="I106" s="17" t="s">
        <v>41</v>
      </c>
      <c r="J106" s="19">
        <f>ROUND(78*1,0)&amp;"%"</f>
      </c>
    </row>
    <row x14ac:dyDescent="0.25" r="107" customHeight="1" ht="17.25">
      <c r="A107" s="20" t="s">
        <v>2287</v>
      </c>
      <c r="B107" s="20" t="s">
        <v>198</v>
      </c>
      <c r="C107" s="20" t="s">
        <v>56</v>
      </c>
      <c r="D107" s="20" t="s">
        <v>67</v>
      </c>
      <c r="E107" s="21">
        <f>ROUND(9001*1.05,2)</f>
      </c>
      <c r="F107" s="20" t="s">
        <v>44</v>
      </c>
      <c r="G107" s="20" t="s">
        <v>30</v>
      </c>
      <c r="H107" s="22">
        <f>ROUND(RAND()*4+6,1)</f>
      </c>
      <c r="I107" s="20" t="s">
        <v>45</v>
      </c>
      <c r="J107" s="23">
        <f>ROUND(95*1,0)&amp;"%"</f>
      </c>
    </row>
    <row x14ac:dyDescent="0.25" r="108" customHeight="1" ht="17.25">
      <c r="A108" s="17" t="s">
        <v>2288</v>
      </c>
      <c r="B108" s="17" t="s">
        <v>200</v>
      </c>
      <c r="C108" s="17" t="s">
        <v>56</v>
      </c>
      <c r="D108" s="17" t="s">
        <v>16</v>
      </c>
      <c r="E108" s="18">
        <f>ROUND(9569*1.05,2)</f>
      </c>
      <c r="F108" s="17" t="s">
        <v>48</v>
      </c>
      <c r="G108" s="17" t="s">
        <v>18</v>
      </c>
      <c r="H108" s="26">
        <f>ROUND(RAND()*4+6,1)</f>
      </c>
      <c r="I108" s="17" t="s">
        <v>19</v>
      </c>
      <c r="J108" s="19">
        <f>ROUND(84*1,0)&amp;"%"</f>
      </c>
    </row>
    <row x14ac:dyDescent="0.25" r="109" customHeight="1" ht="17.25">
      <c r="A109" s="20" t="s">
        <v>2289</v>
      </c>
      <c r="B109" s="20" t="s">
        <v>202</v>
      </c>
      <c r="C109" s="20" t="s">
        <v>56</v>
      </c>
      <c r="D109" s="20" t="s">
        <v>22</v>
      </c>
      <c r="E109" s="21">
        <f>ROUND(9566*1.05,2)</f>
      </c>
      <c r="F109" s="20" t="s">
        <v>51</v>
      </c>
      <c r="G109" s="20" t="s">
        <v>24</v>
      </c>
      <c r="H109" s="21">
        <f>ROUND(RAND()*4+6,1)</f>
      </c>
      <c r="I109" s="20" t="s">
        <v>25</v>
      </c>
      <c r="J109" s="23">
        <f>ROUND(79*1,0)&amp;"%"</f>
      </c>
    </row>
    <row x14ac:dyDescent="0.25" r="110" customHeight="1" ht="17.25">
      <c r="A110" s="24" t="s">
        <v>203</v>
      </c>
      <c r="B110" s="24"/>
      <c r="C110" s="24"/>
      <c r="D110" s="24"/>
      <c r="E110" s="25">
        <v>8</v>
      </c>
      <c r="F110" s="9"/>
      <c r="G110" s="9"/>
      <c r="H110" s="10"/>
      <c r="I110" s="9"/>
      <c r="J110" s="9"/>
    </row>
    <row x14ac:dyDescent="0.25" r="111" customHeight="1" ht="17.25">
      <c r="A111" s="7"/>
      <c r="B111" s="7"/>
      <c r="C111" s="7"/>
      <c r="D111" s="7"/>
      <c r="E111" s="8"/>
      <c r="F111" s="9"/>
      <c r="G111" s="9"/>
      <c r="H111" s="10"/>
      <c r="I111" s="9"/>
      <c r="J111" s="9"/>
    </row>
    <row x14ac:dyDescent="0.25" r="112" customHeight="1" ht="17.25">
      <c r="A112" s="11" t="s">
        <v>2290</v>
      </c>
      <c r="B112" s="11"/>
      <c r="C112" s="11"/>
      <c r="D112" s="11"/>
      <c r="E112" s="12"/>
      <c r="F112" s="11"/>
      <c r="G112" s="11"/>
      <c r="H112" s="13"/>
      <c r="I112" s="11"/>
      <c r="J112" s="11"/>
    </row>
    <row x14ac:dyDescent="0.25" r="113" customHeight="1" ht="17.25">
      <c r="A113" s="14" t="s">
        <v>3</v>
      </c>
      <c r="B113" s="14" t="s">
        <v>4</v>
      </c>
      <c r="C113" s="14" t="s">
        <v>5</v>
      </c>
      <c r="D113" s="14" t="s">
        <v>6</v>
      </c>
      <c r="E113" s="15" t="s">
        <v>7</v>
      </c>
      <c r="F113" s="14" t="s">
        <v>8</v>
      </c>
      <c r="G113" s="14" t="s">
        <v>9</v>
      </c>
      <c r="H113" s="16" t="s">
        <v>10</v>
      </c>
      <c r="I113" s="14" t="s">
        <v>11</v>
      </c>
      <c r="J113" s="14" t="s">
        <v>12</v>
      </c>
    </row>
    <row x14ac:dyDescent="0.25" r="114" customHeight="1" ht="17.25">
      <c r="A114" s="17" t="s">
        <v>2291</v>
      </c>
      <c r="B114" s="17" t="s">
        <v>206</v>
      </c>
      <c r="C114" s="17" t="s">
        <v>76</v>
      </c>
      <c r="D114" s="17" t="s">
        <v>16</v>
      </c>
      <c r="E114" s="18">
        <f>ROUND(10498*1.05,2)</f>
      </c>
      <c r="F114" s="17" t="s">
        <v>17</v>
      </c>
      <c r="G114" s="17" t="s">
        <v>18</v>
      </c>
      <c r="H114" s="18">
        <f>ROUND(RAND()*4+6,1)</f>
      </c>
      <c r="I114" s="17" t="s">
        <v>19</v>
      </c>
      <c r="J114" s="19">
        <f>ROUND(65*1,0)&amp;"%"</f>
      </c>
    </row>
    <row x14ac:dyDescent="0.25" r="115" customHeight="1" ht="17.25">
      <c r="A115" s="20" t="s">
        <v>2292</v>
      </c>
      <c r="B115" s="20" t="s">
        <v>208</v>
      </c>
      <c r="C115" s="20" t="s">
        <v>76</v>
      </c>
      <c r="D115" s="20" t="s">
        <v>22</v>
      </c>
      <c r="E115" s="21">
        <f>ROUND(13911*1.05,2)</f>
      </c>
      <c r="F115" s="20" t="s">
        <v>23</v>
      </c>
      <c r="G115" s="20" t="s">
        <v>24</v>
      </c>
      <c r="H115" s="21">
        <f>ROUND(RAND()*4+6,1)</f>
      </c>
      <c r="I115" s="20" t="s">
        <v>25</v>
      </c>
      <c r="J115" s="23">
        <f>ROUND(99*1,0)&amp;"%"</f>
      </c>
    </row>
    <row x14ac:dyDescent="0.25" r="116" customHeight="1" ht="17.25">
      <c r="A116" s="17" t="s">
        <v>2293</v>
      </c>
      <c r="B116" s="17" t="s">
        <v>210</v>
      </c>
      <c r="C116" s="17" t="s">
        <v>76</v>
      </c>
      <c r="D116" s="17" t="s">
        <v>28</v>
      </c>
      <c r="E116" s="18">
        <f>ROUND(6790*1.05,2)</f>
      </c>
      <c r="F116" s="17" t="s">
        <v>29</v>
      </c>
      <c r="G116" s="17" t="s">
        <v>30</v>
      </c>
      <c r="H116" s="18">
        <f>ROUND(RAND()*4+6,1)</f>
      </c>
      <c r="I116" s="17" t="s">
        <v>31</v>
      </c>
      <c r="J116" s="19">
        <f>ROUND(63*1,0)&amp;"%"</f>
      </c>
    </row>
    <row x14ac:dyDescent="0.25" r="117" customHeight="1" ht="17.25">
      <c r="A117" s="20" t="s">
        <v>2294</v>
      </c>
      <c r="B117" s="20" t="s">
        <v>212</v>
      </c>
      <c r="C117" s="20" t="s">
        <v>76</v>
      </c>
      <c r="D117" s="20" t="s">
        <v>34</v>
      </c>
      <c r="E117" s="21">
        <f>ROUND(4114*1.05,2)</f>
      </c>
      <c r="F117" s="20" t="s">
        <v>35</v>
      </c>
      <c r="G117" s="20" t="s">
        <v>18</v>
      </c>
      <c r="H117" s="21">
        <f>ROUND(RAND()*4+6,1)</f>
      </c>
      <c r="I117" s="20" t="s">
        <v>36</v>
      </c>
      <c r="J117" s="23">
        <f>ROUND(62*1,0)&amp;"%"</f>
      </c>
    </row>
    <row x14ac:dyDescent="0.25" r="118" customHeight="1" ht="17.25">
      <c r="A118" s="17" t="s">
        <v>2295</v>
      </c>
      <c r="B118" s="17" t="s">
        <v>214</v>
      </c>
      <c r="C118" s="17" t="s">
        <v>76</v>
      </c>
      <c r="D118" s="17" t="s">
        <v>39</v>
      </c>
      <c r="E118" s="26">
        <f>ROUND(15120*1.05,2)</f>
      </c>
      <c r="F118" s="17" t="s">
        <v>40</v>
      </c>
      <c r="G118" s="17" t="s">
        <v>24</v>
      </c>
      <c r="H118" s="18">
        <f>ROUND(RAND()*4+6,1)</f>
      </c>
      <c r="I118" s="17" t="s">
        <v>41</v>
      </c>
      <c r="J118" s="19">
        <f>ROUND(70*1,0)&amp;"%"</f>
      </c>
    </row>
    <row x14ac:dyDescent="0.25" r="119" customHeight="1" ht="17.25">
      <c r="A119" s="20" t="s">
        <v>2296</v>
      </c>
      <c r="B119" s="20" t="s">
        <v>216</v>
      </c>
      <c r="C119" s="20" t="s">
        <v>76</v>
      </c>
      <c r="D119" s="20" t="s">
        <v>67</v>
      </c>
      <c r="E119" s="21">
        <f>ROUND(14225*1.05,2)</f>
      </c>
      <c r="F119" s="20" t="s">
        <v>44</v>
      </c>
      <c r="G119" s="20" t="s">
        <v>30</v>
      </c>
      <c r="H119" s="21">
        <f>ROUND(RAND()*4+6,1)</f>
      </c>
      <c r="I119" s="20" t="s">
        <v>45</v>
      </c>
      <c r="J119" s="23">
        <f>ROUND(79*1,0)&amp;"%"</f>
      </c>
    </row>
    <row x14ac:dyDescent="0.25" r="120" customHeight="1" ht="17.25">
      <c r="A120" s="17" t="s">
        <v>2297</v>
      </c>
      <c r="B120" s="17" t="s">
        <v>218</v>
      </c>
      <c r="C120" s="17" t="s">
        <v>76</v>
      </c>
      <c r="D120" s="17" t="s">
        <v>16</v>
      </c>
      <c r="E120" s="26">
        <f>ROUND(9320*1.05,2)</f>
      </c>
      <c r="F120" s="17" t="s">
        <v>48</v>
      </c>
      <c r="G120" s="17" t="s">
        <v>18</v>
      </c>
      <c r="H120" s="18">
        <f>ROUND(RAND()*4+6,1)</f>
      </c>
      <c r="I120" s="17" t="s">
        <v>19</v>
      </c>
      <c r="J120" s="19">
        <f>ROUND(94*1,0)&amp;"%"</f>
      </c>
    </row>
    <row x14ac:dyDescent="0.25" r="121" customHeight="1" ht="17.25">
      <c r="A121" s="20" t="s">
        <v>2298</v>
      </c>
      <c r="B121" s="20" t="s">
        <v>220</v>
      </c>
      <c r="C121" s="20" t="s">
        <v>76</v>
      </c>
      <c r="D121" s="20" t="s">
        <v>22</v>
      </c>
      <c r="E121" s="21">
        <f>ROUND(13495*1.05,2)</f>
      </c>
      <c r="F121" s="20" t="s">
        <v>51</v>
      </c>
      <c r="G121" s="20" t="s">
        <v>24</v>
      </c>
      <c r="H121" s="21">
        <f>ROUND(RAND()*4+6,1)</f>
      </c>
      <c r="I121" s="20" t="s">
        <v>25</v>
      </c>
      <c r="J121" s="23">
        <f>ROUND(74*1,0)&amp;"%"</f>
      </c>
    </row>
    <row x14ac:dyDescent="0.25" r="122" customHeight="1" ht="17.25">
      <c r="A122" s="24" t="s">
        <v>221</v>
      </c>
      <c r="B122" s="24"/>
      <c r="C122" s="24"/>
      <c r="D122" s="24"/>
      <c r="E122" s="25">
        <v>8</v>
      </c>
      <c r="F122" s="9"/>
      <c r="G122" s="9"/>
      <c r="H122" s="10"/>
      <c r="I122" s="9"/>
      <c r="J122" s="9"/>
    </row>
    <row x14ac:dyDescent="0.25" r="123" customHeight="1" ht="17.25">
      <c r="A123" s="7"/>
      <c r="B123" s="7"/>
      <c r="C123" s="7"/>
      <c r="D123" s="7"/>
      <c r="E123" s="8"/>
      <c r="F123" s="9"/>
      <c r="G123" s="9"/>
      <c r="H123" s="10"/>
      <c r="I123" s="9"/>
      <c r="J123" s="9"/>
    </row>
    <row x14ac:dyDescent="0.25" r="124" customHeight="1" ht="17.25">
      <c r="A124" s="11" t="s">
        <v>2299</v>
      </c>
      <c r="B124" s="11"/>
      <c r="C124" s="11"/>
      <c r="D124" s="11"/>
      <c r="E124" s="12"/>
      <c r="F124" s="11"/>
      <c r="G124" s="11"/>
      <c r="H124" s="13"/>
      <c r="I124" s="11"/>
      <c r="J124" s="11"/>
    </row>
    <row x14ac:dyDescent="0.25" r="125" customHeight="1" ht="17.25">
      <c r="A125" s="14" t="s">
        <v>3</v>
      </c>
      <c r="B125" s="14" t="s">
        <v>4</v>
      </c>
      <c r="C125" s="14" t="s">
        <v>5</v>
      </c>
      <c r="D125" s="14" t="s">
        <v>6</v>
      </c>
      <c r="E125" s="15" t="s">
        <v>7</v>
      </c>
      <c r="F125" s="14" t="s">
        <v>8</v>
      </c>
      <c r="G125" s="14" t="s">
        <v>9</v>
      </c>
      <c r="H125" s="16" t="s">
        <v>10</v>
      </c>
      <c r="I125" s="14" t="s">
        <v>11</v>
      </c>
      <c r="J125" s="14" t="s">
        <v>12</v>
      </c>
    </row>
    <row x14ac:dyDescent="0.25" r="126" customHeight="1" ht="17.25">
      <c r="A126" s="17" t="s">
        <v>2300</v>
      </c>
      <c r="B126" s="17" t="s">
        <v>224</v>
      </c>
      <c r="C126" s="17" t="s">
        <v>95</v>
      </c>
      <c r="D126" s="17" t="s">
        <v>16</v>
      </c>
      <c r="E126" s="18">
        <f>ROUND(14931*1.05,2)</f>
      </c>
      <c r="F126" s="17" t="s">
        <v>17</v>
      </c>
      <c r="G126" s="17" t="s">
        <v>18</v>
      </c>
      <c r="H126" s="18">
        <f>ROUND(RAND()*4+6,1)</f>
      </c>
      <c r="I126" s="17" t="s">
        <v>19</v>
      </c>
      <c r="J126" s="19">
        <f>ROUND(69*1,0)&amp;"%"</f>
      </c>
    </row>
    <row x14ac:dyDescent="0.25" r="127" customHeight="1" ht="17.25">
      <c r="A127" s="20" t="s">
        <v>2301</v>
      </c>
      <c r="B127" s="20" t="s">
        <v>226</v>
      </c>
      <c r="C127" s="20" t="s">
        <v>95</v>
      </c>
      <c r="D127" s="20" t="s">
        <v>22</v>
      </c>
      <c r="E127" s="21">
        <f>ROUND(5773*1.05,2)</f>
      </c>
      <c r="F127" s="20" t="s">
        <v>23</v>
      </c>
      <c r="G127" s="20" t="s">
        <v>24</v>
      </c>
      <c r="H127" s="21">
        <f>ROUND(RAND()*4+6,1)</f>
      </c>
      <c r="I127" s="20" t="s">
        <v>25</v>
      </c>
      <c r="J127" s="23">
        <f>ROUND(74*1,0)&amp;"%"</f>
      </c>
    </row>
    <row x14ac:dyDescent="0.25" r="128" customHeight="1" ht="17.25">
      <c r="A128" s="17" t="s">
        <v>2302</v>
      </c>
      <c r="B128" s="17" t="s">
        <v>228</v>
      </c>
      <c r="C128" s="17" t="s">
        <v>95</v>
      </c>
      <c r="D128" s="17" t="s">
        <v>28</v>
      </c>
      <c r="E128" s="18">
        <f>ROUND(14898*1.05,2)</f>
      </c>
      <c r="F128" s="17" t="s">
        <v>29</v>
      </c>
      <c r="G128" s="17" t="s">
        <v>30</v>
      </c>
      <c r="H128" s="18">
        <f>ROUND(RAND()*4+6,1)</f>
      </c>
      <c r="I128" s="17" t="s">
        <v>31</v>
      </c>
      <c r="J128" s="19">
        <f>ROUND(65*1,0)&amp;"%"</f>
      </c>
    </row>
    <row x14ac:dyDescent="0.25" r="129" customHeight="1" ht="17.25">
      <c r="A129" s="20" t="s">
        <v>2303</v>
      </c>
      <c r="B129" s="20" t="s">
        <v>230</v>
      </c>
      <c r="C129" s="20" t="s">
        <v>95</v>
      </c>
      <c r="D129" s="20" t="s">
        <v>34</v>
      </c>
      <c r="E129" s="22">
        <f>ROUND(7920*1.05,2)</f>
      </c>
      <c r="F129" s="20" t="s">
        <v>35</v>
      </c>
      <c r="G129" s="20" t="s">
        <v>18</v>
      </c>
      <c r="H129" s="22">
        <f>ROUND(RAND()*4+6,1)</f>
      </c>
      <c r="I129" s="20" t="s">
        <v>36</v>
      </c>
      <c r="J129" s="23">
        <f>ROUND(90*1,0)&amp;"%"</f>
      </c>
    </row>
    <row x14ac:dyDescent="0.25" r="130" customHeight="1" ht="17.25">
      <c r="A130" s="17" t="s">
        <v>2304</v>
      </c>
      <c r="B130" s="17" t="s">
        <v>232</v>
      </c>
      <c r="C130" s="17" t="s">
        <v>95</v>
      </c>
      <c r="D130" s="17" t="s">
        <v>39</v>
      </c>
      <c r="E130" s="18">
        <f>ROUND(15428*1.05,2)</f>
      </c>
      <c r="F130" s="17" t="s">
        <v>40</v>
      </c>
      <c r="G130" s="17" t="s">
        <v>24</v>
      </c>
      <c r="H130" s="18">
        <f>ROUND(RAND()*4+6,1)</f>
      </c>
      <c r="I130" s="17" t="s">
        <v>41</v>
      </c>
      <c r="J130" s="19">
        <f>ROUND(65*1,0)&amp;"%"</f>
      </c>
    </row>
    <row x14ac:dyDescent="0.25" r="131" customHeight="1" ht="17.25">
      <c r="A131" s="20" t="s">
        <v>2305</v>
      </c>
      <c r="B131" s="20" t="s">
        <v>234</v>
      </c>
      <c r="C131" s="20" t="s">
        <v>95</v>
      </c>
      <c r="D131" s="20" t="s">
        <v>67</v>
      </c>
      <c r="E131" s="21">
        <f>ROUND(17375*1.05,2)</f>
      </c>
      <c r="F131" s="20" t="s">
        <v>44</v>
      </c>
      <c r="G131" s="20" t="s">
        <v>30</v>
      </c>
      <c r="H131" s="21">
        <f>ROUND(RAND()*4+6,1)</f>
      </c>
      <c r="I131" s="20" t="s">
        <v>45</v>
      </c>
      <c r="J131" s="23">
        <f>ROUND(75*1,0)&amp;"%"</f>
      </c>
    </row>
    <row x14ac:dyDescent="0.25" r="132" customHeight="1" ht="17.25">
      <c r="A132" s="17" t="s">
        <v>2306</v>
      </c>
      <c r="B132" s="17" t="s">
        <v>236</v>
      </c>
      <c r="C132" s="17" t="s">
        <v>95</v>
      </c>
      <c r="D132" s="17" t="s">
        <v>16</v>
      </c>
      <c r="E132" s="18">
        <f>ROUND(11201*1.05,2)</f>
      </c>
      <c r="F132" s="17" t="s">
        <v>48</v>
      </c>
      <c r="G132" s="17" t="s">
        <v>18</v>
      </c>
      <c r="H132" s="18">
        <f>ROUND(RAND()*4+6,1)</f>
      </c>
      <c r="I132" s="17" t="s">
        <v>19</v>
      </c>
      <c r="J132" s="19">
        <f>ROUND(70*1,0)&amp;"%"</f>
      </c>
    </row>
    <row x14ac:dyDescent="0.25" r="133" customHeight="1" ht="17.25">
      <c r="A133" s="20" t="s">
        <v>2307</v>
      </c>
      <c r="B133" s="20" t="s">
        <v>238</v>
      </c>
      <c r="C133" s="20" t="s">
        <v>95</v>
      </c>
      <c r="D133" s="20" t="s">
        <v>22</v>
      </c>
      <c r="E133" s="21">
        <f>ROUND(9215*1.05,2)</f>
      </c>
      <c r="F133" s="20" t="s">
        <v>51</v>
      </c>
      <c r="G133" s="20" t="s">
        <v>24</v>
      </c>
      <c r="H133" s="22">
        <f>ROUND(RAND()*4+6,1)</f>
      </c>
      <c r="I133" s="20" t="s">
        <v>25</v>
      </c>
      <c r="J133" s="23">
        <f>ROUND(76*1,0)&amp;"%"</f>
      </c>
    </row>
    <row x14ac:dyDescent="0.25" r="134" customHeight="1" ht="17.25">
      <c r="A134" s="24" t="s">
        <v>239</v>
      </c>
      <c r="B134" s="24"/>
      <c r="C134" s="24"/>
      <c r="D134" s="24"/>
      <c r="E134" s="25">
        <v>8</v>
      </c>
      <c r="F134" s="9"/>
      <c r="G134" s="9"/>
      <c r="H134" s="10"/>
      <c r="I134" s="9"/>
      <c r="J134" s="9"/>
    </row>
    <row x14ac:dyDescent="0.25" r="135" customHeight="1" ht="17.25">
      <c r="A135" s="7"/>
      <c r="B135" s="7"/>
      <c r="C135" s="7"/>
      <c r="D135" s="7"/>
      <c r="E135" s="8"/>
      <c r="F135" s="9"/>
      <c r="G135" s="9"/>
      <c r="H135" s="10"/>
      <c r="I135" s="9"/>
      <c r="J135" s="9"/>
    </row>
    <row x14ac:dyDescent="0.25" r="136" customHeight="1" ht="17.25">
      <c r="A136" s="11" t="s">
        <v>2308</v>
      </c>
      <c r="B136" s="11"/>
      <c r="C136" s="11"/>
      <c r="D136" s="11"/>
      <c r="E136" s="12"/>
      <c r="F136" s="11"/>
      <c r="G136" s="11"/>
      <c r="H136" s="13"/>
      <c r="I136" s="11"/>
      <c r="J136" s="11"/>
    </row>
    <row x14ac:dyDescent="0.25" r="137" customHeight="1" ht="17.25">
      <c r="A137" s="14" t="s">
        <v>3</v>
      </c>
      <c r="B137" s="14" t="s">
        <v>4</v>
      </c>
      <c r="C137" s="14" t="s">
        <v>5</v>
      </c>
      <c r="D137" s="14" t="s">
        <v>6</v>
      </c>
      <c r="E137" s="15" t="s">
        <v>7</v>
      </c>
      <c r="F137" s="14" t="s">
        <v>8</v>
      </c>
      <c r="G137" s="14" t="s">
        <v>9</v>
      </c>
      <c r="H137" s="16" t="s">
        <v>10</v>
      </c>
      <c r="I137" s="14" t="s">
        <v>11</v>
      </c>
      <c r="J137" s="14" t="s">
        <v>12</v>
      </c>
    </row>
    <row x14ac:dyDescent="0.25" r="138" customHeight="1" ht="17.25">
      <c r="A138" s="17" t="s">
        <v>2309</v>
      </c>
      <c r="B138" s="17" t="s">
        <v>242</v>
      </c>
      <c r="C138" s="17" t="s">
        <v>114</v>
      </c>
      <c r="D138" s="17" t="s">
        <v>16</v>
      </c>
      <c r="E138" s="18">
        <f>ROUND(11267*1.05,2)</f>
      </c>
      <c r="F138" s="17" t="s">
        <v>17</v>
      </c>
      <c r="G138" s="17" t="s">
        <v>18</v>
      </c>
      <c r="H138" s="18">
        <f>ROUND(RAND()*4+6,1)</f>
      </c>
      <c r="I138" s="17" t="s">
        <v>19</v>
      </c>
      <c r="J138" s="19">
        <f>ROUND(84*1,0)&amp;"%"</f>
      </c>
    </row>
    <row x14ac:dyDescent="0.25" r="139" customHeight="1" ht="17.25">
      <c r="A139" s="20" t="s">
        <v>2310</v>
      </c>
      <c r="B139" s="20" t="s">
        <v>244</v>
      </c>
      <c r="C139" s="20" t="s">
        <v>114</v>
      </c>
      <c r="D139" s="20" t="s">
        <v>22</v>
      </c>
      <c r="E139" s="21">
        <f>ROUND(12057*1.05,2)</f>
      </c>
      <c r="F139" s="20" t="s">
        <v>23</v>
      </c>
      <c r="G139" s="20" t="s">
        <v>24</v>
      </c>
      <c r="H139" s="21">
        <f>ROUND(RAND()*4+6,1)</f>
      </c>
      <c r="I139" s="20" t="s">
        <v>25</v>
      </c>
      <c r="J139" s="23">
        <f>ROUND(77*1,0)&amp;"%"</f>
      </c>
    </row>
    <row x14ac:dyDescent="0.25" r="140" customHeight="1" ht="17.25">
      <c r="A140" s="17" t="s">
        <v>2311</v>
      </c>
      <c r="B140" s="17" t="s">
        <v>246</v>
      </c>
      <c r="C140" s="17" t="s">
        <v>114</v>
      </c>
      <c r="D140" s="17" t="s">
        <v>28</v>
      </c>
      <c r="E140" s="18">
        <f>ROUND(8815*1.05,2)</f>
      </c>
      <c r="F140" s="17" t="s">
        <v>29</v>
      </c>
      <c r="G140" s="17" t="s">
        <v>30</v>
      </c>
      <c r="H140" s="18">
        <f>ROUND(RAND()*4+6,1)</f>
      </c>
      <c r="I140" s="17" t="s">
        <v>31</v>
      </c>
      <c r="J140" s="19">
        <f>ROUND(68*1,0)&amp;"%"</f>
      </c>
    </row>
    <row x14ac:dyDescent="0.25" r="141" customHeight="1" ht="17.25">
      <c r="A141" s="20" t="s">
        <v>2312</v>
      </c>
      <c r="B141" s="20" t="s">
        <v>248</v>
      </c>
      <c r="C141" s="20" t="s">
        <v>114</v>
      </c>
      <c r="D141" s="20" t="s">
        <v>34</v>
      </c>
      <c r="E141" s="21">
        <f>ROUND(16964*1.05,2)</f>
      </c>
      <c r="F141" s="20" t="s">
        <v>35</v>
      </c>
      <c r="G141" s="20" t="s">
        <v>18</v>
      </c>
      <c r="H141" s="21">
        <f>ROUND(RAND()*4+6,1)</f>
      </c>
      <c r="I141" s="20" t="s">
        <v>36</v>
      </c>
      <c r="J141" s="23">
        <f>ROUND(79*1,0)&amp;"%"</f>
      </c>
    </row>
    <row x14ac:dyDescent="0.25" r="142" customHeight="1" ht="17.25">
      <c r="A142" s="17" t="s">
        <v>2313</v>
      </c>
      <c r="B142" s="17" t="s">
        <v>250</v>
      </c>
      <c r="C142" s="17" t="s">
        <v>114</v>
      </c>
      <c r="D142" s="17" t="s">
        <v>39</v>
      </c>
      <c r="E142" s="18">
        <f>ROUND(9493*1.05,2)</f>
      </c>
      <c r="F142" s="17" t="s">
        <v>40</v>
      </c>
      <c r="G142" s="17" t="s">
        <v>24</v>
      </c>
      <c r="H142" s="18">
        <f>ROUND(RAND()*4+6,1)</f>
      </c>
      <c r="I142" s="17" t="s">
        <v>41</v>
      </c>
      <c r="J142" s="19">
        <f>ROUND(73*1,0)&amp;"%"</f>
      </c>
    </row>
    <row x14ac:dyDescent="0.25" r="143" customHeight="1" ht="17.25">
      <c r="A143" s="20" t="s">
        <v>2314</v>
      </c>
      <c r="B143" s="20" t="s">
        <v>252</v>
      </c>
      <c r="C143" s="20" t="s">
        <v>114</v>
      </c>
      <c r="D143" s="20" t="s">
        <v>67</v>
      </c>
      <c r="E143" s="21">
        <f>ROUND(15470*1.05,2)</f>
      </c>
      <c r="F143" s="20" t="s">
        <v>44</v>
      </c>
      <c r="G143" s="20" t="s">
        <v>30</v>
      </c>
      <c r="H143" s="21">
        <f>ROUND(RAND()*4+6,1)</f>
      </c>
      <c r="I143" s="20" t="s">
        <v>45</v>
      </c>
      <c r="J143" s="23">
        <f>ROUND(76*1,0)&amp;"%"</f>
      </c>
    </row>
    <row x14ac:dyDescent="0.25" r="144" customHeight="1" ht="17.25">
      <c r="A144" s="17" t="s">
        <v>2315</v>
      </c>
      <c r="B144" s="17" t="s">
        <v>254</v>
      </c>
      <c r="C144" s="17" t="s">
        <v>114</v>
      </c>
      <c r="D144" s="17" t="s">
        <v>16</v>
      </c>
      <c r="E144" s="18">
        <f>ROUND(11871*1.05,2)</f>
      </c>
      <c r="F144" s="17" t="s">
        <v>48</v>
      </c>
      <c r="G144" s="17" t="s">
        <v>18</v>
      </c>
      <c r="H144" s="18">
        <f>ROUND(RAND()*4+6,1)</f>
      </c>
      <c r="I144" s="17" t="s">
        <v>19</v>
      </c>
      <c r="J144" s="19">
        <f>ROUND(97*1,0)&amp;"%"</f>
      </c>
    </row>
    <row x14ac:dyDescent="0.25" r="145" customHeight="1" ht="17.25">
      <c r="A145" s="20" t="s">
        <v>2316</v>
      </c>
      <c r="B145" s="20" t="s">
        <v>256</v>
      </c>
      <c r="C145" s="20" t="s">
        <v>114</v>
      </c>
      <c r="D145" s="20" t="s">
        <v>22</v>
      </c>
      <c r="E145" s="21">
        <f>ROUND(16538*1.05,2)</f>
      </c>
      <c r="F145" s="20" t="s">
        <v>51</v>
      </c>
      <c r="G145" s="20" t="s">
        <v>24</v>
      </c>
      <c r="H145" s="21">
        <f>ROUND(RAND()*4+6,1)</f>
      </c>
      <c r="I145" s="20" t="s">
        <v>25</v>
      </c>
      <c r="J145" s="23">
        <f>ROUND(72*1,0)&amp;"%"</f>
      </c>
    </row>
    <row x14ac:dyDescent="0.25" r="146" customHeight="1" ht="17.25">
      <c r="A146" s="24" t="s">
        <v>257</v>
      </c>
      <c r="B146" s="24"/>
      <c r="C146" s="24"/>
      <c r="D146" s="24"/>
      <c r="E146" s="25">
        <v>8</v>
      </c>
      <c r="F146" s="9"/>
      <c r="G146" s="9"/>
      <c r="H146" s="10"/>
      <c r="I146" s="9"/>
      <c r="J146" s="9"/>
    </row>
    <row x14ac:dyDescent="0.25" r="147" customHeight="1" ht="17.25">
      <c r="A147" s="7"/>
      <c r="B147" s="7"/>
      <c r="C147" s="7"/>
      <c r="D147" s="7"/>
      <c r="E147" s="8"/>
      <c r="F147" s="9"/>
      <c r="G147" s="9"/>
      <c r="H147" s="10"/>
      <c r="I147" s="9"/>
      <c r="J147" s="9"/>
    </row>
    <row x14ac:dyDescent="0.25" r="148" customHeight="1" ht="17.25">
      <c r="A148" s="11" t="s">
        <v>2317</v>
      </c>
      <c r="B148" s="11"/>
      <c r="C148" s="11"/>
      <c r="D148" s="11"/>
      <c r="E148" s="12"/>
      <c r="F148" s="11"/>
      <c r="G148" s="11"/>
      <c r="H148" s="13"/>
      <c r="I148" s="11"/>
      <c r="J148" s="11"/>
    </row>
    <row x14ac:dyDescent="0.25" r="149" customHeight="1" ht="17.25">
      <c r="A149" s="14" t="s">
        <v>3</v>
      </c>
      <c r="B149" s="14" t="s">
        <v>4</v>
      </c>
      <c r="C149" s="14" t="s">
        <v>5</v>
      </c>
      <c r="D149" s="14" t="s">
        <v>6</v>
      </c>
      <c r="E149" s="15" t="s">
        <v>7</v>
      </c>
      <c r="F149" s="14" t="s">
        <v>8</v>
      </c>
      <c r="G149" s="14" t="s">
        <v>9</v>
      </c>
      <c r="H149" s="16" t="s">
        <v>10</v>
      </c>
      <c r="I149" s="14" t="s">
        <v>11</v>
      </c>
      <c r="J149" s="14" t="s">
        <v>12</v>
      </c>
    </row>
    <row x14ac:dyDescent="0.25" r="150" customHeight="1" ht="17.25">
      <c r="A150" s="17" t="s">
        <v>2318</v>
      </c>
      <c r="B150" s="17" t="s">
        <v>260</v>
      </c>
      <c r="C150" s="17" t="s">
        <v>133</v>
      </c>
      <c r="D150" s="17" t="s">
        <v>16</v>
      </c>
      <c r="E150" s="18">
        <f>ROUND(10375*1.05,2)</f>
      </c>
      <c r="F150" s="17" t="s">
        <v>17</v>
      </c>
      <c r="G150" s="17" t="s">
        <v>18</v>
      </c>
      <c r="H150" s="18">
        <f>ROUND(RAND()*4+6,1)</f>
      </c>
      <c r="I150" s="17" t="s">
        <v>19</v>
      </c>
      <c r="J150" s="19">
        <f>ROUND(79*1,0)&amp;"%"</f>
      </c>
    </row>
    <row x14ac:dyDescent="0.25" r="151" customHeight="1" ht="17.25">
      <c r="A151" s="20" t="s">
        <v>2319</v>
      </c>
      <c r="B151" s="20" t="s">
        <v>262</v>
      </c>
      <c r="C151" s="20" t="s">
        <v>133</v>
      </c>
      <c r="D151" s="20" t="s">
        <v>22</v>
      </c>
      <c r="E151" s="22">
        <f>ROUND(13980*1.05,2)</f>
      </c>
      <c r="F151" s="20" t="s">
        <v>23</v>
      </c>
      <c r="G151" s="20" t="s">
        <v>24</v>
      </c>
      <c r="H151" s="21">
        <f>ROUND(RAND()*4+6,1)</f>
      </c>
      <c r="I151" s="20" t="s">
        <v>25</v>
      </c>
      <c r="J151" s="23">
        <f>ROUND(72*1,0)&amp;"%"</f>
      </c>
    </row>
    <row x14ac:dyDescent="0.25" r="152" customHeight="1" ht="17.25">
      <c r="A152" s="17" t="s">
        <v>2320</v>
      </c>
      <c r="B152" s="17" t="s">
        <v>264</v>
      </c>
      <c r="C152" s="17" t="s">
        <v>133</v>
      </c>
      <c r="D152" s="17" t="s">
        <v>28</v>
      </c>
      <c r="E152" s="18">
        <f>ROUND(15202*1.05,2)</f>
      </c>
      <c r="F152" s="17" t="s">
        <v>29</v>
      </c>
      <c r="G152" s="17" t="s">
        <v>30</v>
      </c>
      <c r="H152" s="18">
        <f>ROUND(RAND()*4+6,1)</f>
      </c>
      <c r="I152" s="17" t="s">
        <v>31</v>
      </c>
      <c r="J152" s="19">
        <f>ROUND(88*1,0)&amp;"%"</f>
      </c>
    </row>
    <row x14ac:dyDescent="0.25" r="153" customHeight="1" ht="17.25">
      <c r="A153" s="20" t="s">
        <v>2321</v>
      </c>
      <c r="B153" s="20" t="s">
        <v>266</v>
      </c>
      <c r="C153" s="20" t="s">
        <v>133</v>
      </c>
      <c r="D153" s="20" t="s">
        <v>34</v>
      </c>
      <c r="E153" s="21">
        <f>ROUND(12476*1.05,2)</f>
      </c>
      <c r="F153" s="20" t="s">
        <v>35</v>
      </c>
      <c r="G153" s="20" t="s">
        <v>18</v>
      </c>
      <c r="H153" s="21">
        <f>ROUND(RAND()*4+6,1)</f>
      </c>
      <c r="I153" s="20" t="s">
        <v>36</v>
      </c>
      <c r="J153" s="23">
        <f>ROUND(65*1,0)&amp;"%"</f>
      </c>
    </row>
    <row x14ac:dyDescent="0.25" r="154" customHeight="1" ht="17.25">
      <c r="A154" s="17" t="s">
        <v>2322</v>
      </c>
      <c r="B154" s="17" t="s">
        <v>268</v>
      </c>
      <c r="C154" s="17" t="s">
        <v>133</v>
      </c>
      <c r="D154" s="17" t="s">
        <v>39</v>
      </c>
      <c r="E154" s="18">
        <f>ROUND(6550*1.05,2)</f>
      </c>
      <c r="F154" s="17" t="s">
        <v>40</v>
      </c>
      <c r="G154" s="17" t="s">
        <v>24</v>
      </c>
      <c r="H154" s="18">
        <f>ROUND(RAND()*4+6,1)</f>
      </c>
      <c r="I154" s="17" t="s">
        <v>41</v>
      </c>
      <c r="J154" s="19">
        <f>ROUND(100*1,0)&amp;"%"</f>
      </c>
    </row>
    <row x14ac:dyDescent="0.25" r="155" customHeight="1" ht="17.25">
      <c r="A155" s="20" t="s">
        <v>2323</v>
      </c>
      <c r="B155" s="20" t="s">
        <v>270</v>
      </c>
      <c r="C155" s="20" t="s">
        <v>133</v>
      </c>
      <c r="D155" s="20" t="s">
        <v>67</v>
      </c>
      <c r="E155" s="21">
        <f>ROUND(6090*1.05,2)</f>
      </c>
      <c r="F155" s="20" t="s">
        <v>44</v>
      </c>
      <c r="G155" s="20" t="s">
        <v>30</v>
      </c>
      <c r="H155" s="21">
        <f>ROUND(RAND()*4+6,1)</f>
      </c>
      <c r="I155" s="20" t="s">
        <v>45</v>
      </c>
      <c r="J155" s="23">
        <f>ROUND(65*1,0)&amp;"%"</f>
      </c>
    </row>
    <row x14ac:dyDescent="0.25" r="156" customHeight="1" ht="17.25">
      <c r="A156" s="17" t="s">
        <v>2324</v>
      </c>
      <c r="B156" s="17" t="s">
        <v>272</v>
      </c>
      <c r="C156" s="17" t="s">
        <v>133</v>
      </c>
      <c r="D156" s="17" t="s">
        <v>16</v>
      </c>
      <c r="E156" s="18">
        <f>ROUND(11053*1.05,2)</f>
      </c>
      <c r="F156" s="17" t="s">
        <v>48</v>
      </c>
      <c r="G156" s="17" t="s">
        <v>18</v>
      </c>
      <c r="H156" s="18">
        <f>ROUND(RAND()*4+6,1)</f>
      </c>
      <c r="I156" s="17" t="s">
        <v>19</v>
      </c>
      <c r="J156" s="19">
        <f>ROUND(85*1,0)&amp;"%"</f>
      </c>
    </row>
    <row x14ac:dyDescent="0.25" r="157" customHeight="1" ht="17.25">
      <c r="A157" s="20" t="s">
        <v>2325</v>
      </c>
      <c r="B157" s="20" t="s">
        <v>274</v>
      </c>
      <c r="C157" s="20" t="s">
        <v>133</v>
      </c>
      <c r="D157" s="20" t="s">
        <v>22</v>
      </c>
      <c r="E157" s="21">
        <f>ROUND(8338*1.05,2)</f>
      </c>
      <c r="F157" s="20" t="s">
        <v>51</v>
      </c>
      <c r="G157" s="20" t="s">
        <v>24</v>
      </c>
      <c r="H157" s="21">
        <f>ROUND(RAND()*4+6,1)</f>
      </c>
      <c r="I157" s="20" t="s">
        <v>25</v>
      </c>
      <c r="J157" s="23">
        <f>ROUND(95*1,0)&amp;"%"</f>
      </c>
    </row>
    <row x14ac:dyDescent="0.25" r="158" customHeight="1" ht="17.25">
      <c r="A158" s="24" t="s">
        <v>275</v>
      </c>
      <c r="B158" s="24"/>
      <c r="C158" s="24"/>
      <c r="D158" s="24"/>
      <c r="E158" s="25">
        <v>8</v>
      </c>
      <c r="F158" s="9"/>
      <c r="G158" s="9"/>
      <c r="H158" s="10"/>
      <c r="I158" s="9"/>
      <c r="J158" s="9"/>
    </row>
    <row x14ac:dyDescent="0.25" r="159" customHeight="1" ht="17.25">
      <c r="A159" s="7"/>
      <c r="B159" s="7"/>
      <c r="C159" s="7"/>
      <c r="D159" s="7"/>
      <c r="E159" s="8"/>
      <c r="F159" s="9"/>
      <c r="G159" s="9"/>
      <c r="H159" s="10"/>
      <c r="I159" s="9"/>
      <c r="J159" s="9"/>
    </row>
    <row x14ac:dyDescent="0.25" r="160" customHeight="1" ht="17.25">
      <c r="A160" s="11" t="s">
        <v>2326</v>
      </c>
      <c r="B160" s="11"/>
      <c r="C160" s="11"/>
      <c r="D160" s="11"/>
      <c r="E160" s="12"/>
      <c r="F160" s="11"/>
      <c r="G160" s="11"/>
      <c r="H160" s="13"/>
      <c r="I160" s="11"/>
      <c r="J160" s="11"/>
    </row>
    <row x14ac:dyDescent="0.25" r="161" customHeight="1" ht="17.25">
      <c r="A161" s="14" t="s">
        <v>3</v>
      </c>
      <c r="B161" s="14" t="s">
        <v>4</v>
      </c>
      <c r="C161" s="14" t="s">
        <v>5</v>
      </c>
      <c r="D161" s="14" t="s">
        <v>6</v>
      </c>
      <c r="E161" s="15" t="s">
        <v>7</v>
      </c>
      <c r="F161" s="14" t="s">
        <v>8</v>
      </c>
      <c r="G161" s="14" t="s">
        <v>9</v>
      </c>
      <c r="H161" s="16" t="s">
        <v>10</v>
      </c>
      <c r="I161" s="14" t="s">
        <v>11</v>
      </c>
      <c r="J161" s="14" t="s">
        <v>12</v>
      </c>
    </row>
    <row x14ac:dyDescent="0.25" r="162" customHeight="1" ht="17.25">
      <c r="A162" s="17" t="s">
        <v>2327</v>
      </c>
      <c r="B162" s="17" t="s">
        <v>278</v>
      </c>
      <c r="C162" s="17" t="s">
        <v>152</v>
      </c>
      <c r="D162" s="17" t="s">
        <v>16</v>
      </c>
      <c r="E162" s="18">
        <f>ROUND(10513*1.05,2)</f>
      </c>
      <c r="F162" s="17" t="s">
        <v>17</v>
      </c>
      <c r="G162" s="17" t="s">
        <v>18</v>
      </c>
      <c r="H162" s="18">
        <f>ROUND(RAND()*4+6,1)</f>
      </c>
      <c r="I162" s="17" t="s">
        <v>19</v>
      </c>
      <c r="J162" s="19">
        <f>ROUND(95*1,0)&amp;"%"</f>
      </c>
    </row>
    <row x14ac:dyDescent="0.25" r="163" customHeight="1" ht="17.25">
      <c r="A163" s="20" t="s">
        <v>2328</v>
      </c>
      <c r="B163" s="20" t="s">
        <v>280</v>
      </c>
      <c r="C163" s="20" t="s">
        <v>152</v>
      </c>
      <c r="D163" s="20" t="s">
        <v>22</v>
      </c>
      <c r="E163" s="21">
        <f>ROUND(5252*1.05,2)</f>
      </c>
      <c r="F163" s="20" t="s">
        <v>23</v>
      </c>
      <c r="G163" s="20" t="s">
        <v>24</v>
      </c>
      <c r="H163" s="21">
        <f>ROUND(RAND()*4+6,1)</f>
      </c>
      <c r="I163" s="20" t="s">
        <v>25</v>
      </c>
      <c r="J163" s="23">
        <f>ROUND(68*1,0)&amp;"%"</f>
      </c>
    </row>
    <row x14ac:dyDescent="0.25" r="164" customHeight="1" ht="17.25">
      <c r="A164" s="17" t="s">
        <v>2329</v>
      </c>
      <c r="B164" s="17" t="s">
        <v>282</v>
      </c>
      <c r="C164" s="17" t="s">
        <v>152</v>
      </c>
      <c r="D164" s="17" t="s">
        <v>28</v>
      </c>
      <c r="E164" s="18">
        <f>ROUND(9779*1.05,2)</f>
      </c>
      <c r="F164" s="17" t="s">
        <v>29</v>
      </c>
      <c r="G164" s="17" t="s">
        <v>30</v>
      </c>
      <c r="H164" s="18">
        <f>ROUND(RAND()*4+6,1)</f>
      </c>
      <c r="I164" s="17" t="s">
        <v>31</v>
      </c>
      <c r="J164" s="19">
        <f>ROUND(86*1,0)&amp;"%"</f>
      </c>
    </row>
    <row x14ac:dyDescent="0.25" r="165" customHeight="1" ht="17.25">
      <c r="A165" s="20" t="s">
        <v>2330</v>
      </c>
      <c r="B165" s="20" t="s">
        <v>284</v>
      </c>
      <c r="C165" s="20" t="s">
        <v>152</v>
      </c>
      <c r="D165" s="20" t="s">
        <v>34</v>
      </c>
      <c r="E165" s="21">
        <f>ROUND(13556*1.05,2)</f>
      </c>
      <c r="F165" s="20" t="s">
        <v>35</v>
      </c>
      <c r="G165" s="20" t="s">
        <v>18</v>
      </c>
      <c r="H165" s="21">
        <f>ROUND(RAND()*4+6,1)</f>
      </c>
      <c r="I165" s="20" t="s">
        <v>36</v>
      </c>
      <c r="J165" s="23">
        <f>ROUND(70*1,0)&amp;"%"</f>
      </c>
    </row>
    <row x14ac:dyDescent="0.25" r="166" customHeight="1" ht="17.25">
      <c r="A166" s="17" t="s">
        <v>2331</v>
      </c>
      <c r="B166" s="17" t="s">
        <v>286</v>
      </c>
      <c r="C166" s="17" t="s">
        <v>152</v>
      </c>
      <c r="D166" s="17" t="s">
        <v>39</v>
      </c>
      <c r="E166" s="18">
        <f>ROUND(7061*1.05,2)</f>
      </c>
      <c r="F166" s="17" t="s">
        <v>40</v>
      </c>
      <c r="G166" s="17" t="s">
        <v>24</v>
      </c>
      <c r="H166" s="26">
        <f>ROUND(RAND()*4+6,1)</f>
      </c>
      <c r="I166" s="17" t="s">
        <v>41</v>
      </c>
      <c r="J166" s="19">
        <f>ROUND(74*1,0)&amp;"%"</f>
      </c>
    </row>
    <row x14ac:dyDescent="0.25" r="167" customHeight="1" ht="17.25">
      <c r="A167" s="20" t="s">
        <v>2332</v>
      </c>
      <c r="B167" s="20" t="s">
        <v>288</v>
      </c>
      <c r="C167" s="20" t="s">
        <v>152</v>
      </c>
      <c r="D167" s="20" t="s">
        <v>67</v>
      </c>
      <c r="E167" s="21">
        <f>ROUND(12717*1.05,2)</f>
      </c>
      <c r="F167" s="20" t="s">
        <v>44</v>
      </c>
      <c r="G167" s="20" t="s">
        <v>30</v>
      </c>
      <c r="H167" s="21">
        <f>ROUND(RAND()*4+6,1)</f>
      </c>
      <c r="I167" s="20" t="s">
        <v>45</v>
      </c>
      <c r="J167" s="23">
        <f>ROUND(63*1,0)&amp;"%"</f>
      </c>
    </row>
    <row x14ac:dyDescent="0.25" r="168" customHeight="1" ht="17.25">
      <c r="A168" s="17" t="s">
        <v>2333</v>
      </c>
      <c r="B168" s="17" t="s">
        <v>290</v>
      </c>
      <c r="C168" s="17" t="s">
        <v>152</v>
      </c>
      <c r="D168" s="17" t="s">
        <v>16</v>
      </c>
      <c r="E168" s="18">
        <f>ROUND(4139*1.05,2)</f>
      </c>
      <c r="F168" s="17" t="s">
        <v>48</v>
      </c>
      <c r="G168" s="17" t="s">
        <v>18</v>
      </c>
      <c r="H168" s="26">
        <f>ROUND(RAND()*4+6,1)</f>
      </c>
      <c r="I168" s="17" t="s">
        <v>19</v>
      </c>
      <c r="J168" s="19">
        <f>ROUND(85*1,0)&amp;"%"</f>
      </c>
    </row>
    <row x14ac:dyDescent="0.25" r="169" customHeight="1" ht="17.25">
      <c r="A169" s="20" t="s">
        <v>2334</v>
      </c>
      <c r="B169" s="20" t="s">
        <v>292</v>
      </c>
      <c r="C169" s="20" t="s">
        <v>152</v>
      </c>
      <c r="D169" s="20" t="s">
        <v>22</v>
      </c>
      <c r="E169" s="21">
        <f>ROUND(4999*1.05,2)</f>
      </c>
      <c r="F169" s="20" t="s">
        <v>51</v>
      </c>
      <c r="G169" s="20" t="s">
        <v>24</v>
      </c>
      <c r="H169" s="21">
        <f>ROUND(RAND()*4+6,1)</f>
      </c>
      <c r="I169" s="20" t="s">
        <v>25</v>
      </c>
      <c r="J169" s="23">
        <f>ROUND(81*1,0)&amp;"%"</f>
      </c>
    </row>
    <row x14ac:dyDescent="0.25" r="170" customHeight="1" ht="17.25">
      <c r="A170" s="24" t="s">
        <v>293</v>
      </c>
      <c r="B170" s="24"/>
      <c r="C170" s="24"/>
      <c r="D170" s="24"/>
      <c r="E170" s="25">
        <v>8</v>
      </c>
      <c r="F170" s="9"/>
      <c r="G170" s="9"/>
      <c r="H170" s="10"/>
      <c r="I170" s="9"/>
      <c r="J170" s="9"/>
    </row>
    <row x14ac:dyDescent="0.25" r="171" customHeight="1" ht="17.25">
      <c r="A171" s="7"/>
      <c r="B171" s="7"/>
      <c r="C171" s="7"/>
      <c r="D171" s="7"/>
      <c r="E171" s="8"/>
      <c r="F171" s="9"/>
      <c r="G171" s="9"/>
      <c r="H171" s="10"/>
      <c r="I171" s="9"/>
      <c r="J171" s="9"/>
    </row>
    <row x14ac:dyDescent="0.25" r="172" customHeight="1" ht="17.25">
      <c r="A172" s="11" t="s">
        <v>2335</v>
      </c>
      <c r="B172" s="11"/>
      <c r="C172" s="11"/>
      <c r="D172" s="11"/>
      <c r="E172" s="12"/>
      <c r="F172" s="11"/>
      <c r="G172" s="11"/>
      <c r="H172" s="13"/>
      <c r="I172" s="11"/>
      <c r="J172" s="11"/>
    </row>
    <row x14ac:dyDescent="0.25" r="173" customHeight="1" ht="17.25">
      <c r="A173" s="14" t="s">
        <v>3</v>
      </c>
      <c r="B173" s="14" t="s">
        <v>4</v>
      </c>
      <c r="C173" s="14" t="s">
        <v>5</v>
      </c>
      <c r="D173" s="14" t="s">
        <v>6</v>
      </c>
      <c r="E173" s="15" t="s">
        <v>7</v>
      </c>
      <c r="F173" s="14" t="s">
        <v>8</v>
      </c>
      <c r="G173" s="14" t="s">
        <v>9</v>
      </c>
      <c r="H173" s="16" t="s">
        <v>10</v>
      </c>
      <c r="I173" s="14" t="s">
        <v>11</v>
      </c>
      <c r="J173" s="14" t="s">
        <v>12</v>
      </c>
    </row>
    <row x14ac:dyDescent="0.25" r="174" customHeight="1" ht="17.25">
      <c r="A174" s="17" t="s">
        <v>2336</v>
      </c>
      <c r="B174" s="17" t="s">
        <v>296</v>
      </c>
      <c r="C174" s="17" t="s">
        <v>15</v>
      </c>
      <c r="D174" s="17" t="s">
        <v>16</v>
      </c>
      <c r="E174" s="18">
        <f>ROUND(5496*1.05,2)</f>
      </c>
      <c r="F174" s="17" t="s">
        <v>17</v>
      </c>
      <c r="G174" s="17" t="s">
        <v>18</v>
      </c>
      <c r="H174" s="18">
        <f>ROUND(RAND()*4+6,1)</f>
      </c>
      <c r="I174" s="17" t="s">
        <v>19</v>
      </c>
      <c r="J174" s="19">
        <f>ROUND(78*1,0)&amp;"%"</f>
      </c>
    </row>
    <row x14ac:dyDescent="0.25" r="175" customHeight="1" ht="17.25">
      <c r="A175" s="20" t="s">
        <v>2337</v>
      </c>
      <c r="B175" s="20" t="s">
        <v>298</v>
      </c>
      <c r="C175" s="20" t="s">
        <v>15</v>
      </c>
      <c r="D175" s="20" t="s">
        <v>22</v>
      </c>
      <c r="E175" s="21">
        <f>ROUND(9417*1.05,2)</f>
      </c>
      <c r="F175" s="20" t="s">
        <v>23</v>
      </c>
      <c r="G175" s="20" t="s">
        <v>24</v>
      </c>
      <c r="H175" s="21">
        <f>ROUND(RAND()*4+6,1)</f>
      </c>
      <c r="I175" s="20" t="s">
        <v>25</v>
      </c>
      <c r="J175" s="23">
        <f>ROUND(87*1,0)&amp;"%"</f>
      </c>
    </row>
    <row x14ac:dyDescent="0.25" r="176" customHeight="1" ht="17.25">
      <c r="A176" s="17" t="s">
        <v>2338</v>
      </c>
      <c r="B176" s="17" t="s">
        <v>300</v>
      </c>
      <c r="C176" s="17" t="s">
        <v>15</v>
      </c>
      <c r="D176" s="17" t="s">
        <v>28</v>
      </c>
      <c r="E176" s="18">
        <f>ROUND(10614*1.05,2)</f>
      </c>
      <c r="F176" s="17" t="s">
        <v>29</v>
      </c>
      <c r="G176" s="17" t="s">
        <v>30</v>
      </c>
      <c r="H176" s="18">
        <f>ROUND(RAND()*4+6,1)</f>
      </c>
      <c r="I176" s="17" t="s">
        <v>31</v>
      </c>
      <c r="J176" s="19">
        <f>ROUND(94*1,0)&amp;"%"</f>
      </c>
    </row>
    <row x14ac:dyDescent="0.25" r="177" customHeight="1" ht="17.25">
      <c r="A177" s="20" t="s">
        <v>2339</v>
      </c>
      <c r="B177" s="20" t="s">
        <v>302</v>
      </c>
      <c r="C177" s="20" t="s">
        <v>15</v>
      </c>
      <c r="D177" s="20" t="s">
        <v>34</v>
      </c>
      <c r="E177" s="21">
        <f>ROUND(4172*1.05,2)</f>
      </c>
      <c r="F177" s="20" t="s">
        <v>35</v>
      </c>
      <c r="G177" s="20" t="s">
        <v>18</v>
      </c>
      <c r="H177" s="21">
        <f>ROUND(RAND()*4+6,1)</f>
      </c>
      <c r="I177" s="20" t="s">
        <v>36</v>
      </c>
      <c r="J177" s="23">
        <f>ROUND(98*1,0)&amp;"%"</f>
      </c>
    </row>
    <row x14ac:dyDescent="0.25" r="178" customHeight="1" ht="17.25">
      <c r="A178" s="17" t="s">
        <v>2340</v>
      </c>
      <c r="B178" s="17" t="s">
        <v>304</v>
      </c>
      <c r="C178" s="17" t="s">
        <v>15</v>
      </c>
      <c r="D178" s="17" t="s">
        <v>39</v>
      </c>
      <c r="E178" s="18">
        <f>ROUND(8799*1.05,2)</f>
      </c>
      <c r="F178" s="17" t="s">
        <v>40</v>
      </c>
      <c r="G178" s="17" t="s">
        <v>24</v>
      </c>
      <c r="H178" s="18">
        <f>ROUND(RAND()*4+6,1)</f>
      </c>
      <c r="I178" s="17" t="s">
        <v>41</v>
      </c>
      <c r="J178" s="19">
        <f>ROUND(91*1,0)&amp;"%"</f>
      </c>
    </row>
    <row x14ac:dyDescent="0.25" r="179" customHeight="1" ht="17.25">
      <c r="A179" s="20" t="s">
        <v>2341</v>
      </c>
      <c r="B179" s="20" t="s">
        <v>306</v>
      </c>
      <c r="C179" s="20" t="s">
        <v>15</v>
      </c>
      <c r="D179" s="20" t="s">
        <v>67</v>
      </c>
      <c r="E179" s="21">
        <f>ROUND(15198*1.05,2)</f>
      </c>
      <c r="F179" s="20" t="s">
        <v>44</v>
      </c>
      <c r="G179" s="20" t="s">
        <v>30</v>
      </c>
      <c r="H179" s="21">
        <f>ROUND(RAND()*4+6,1)</f>
      </c>
      <c r="I179" s="20" t="s">
        <v>45</v>
      </c>
      <c r="J179" s="23">
        <f>ROUND(82*1,0)&amp;"%"</f>
      </c>
    </row>
    <row x14ac:dyDescent="0.25" r="180" customHeight="1" ht="17.25">
      <c r="A180" s="17" t="s">
        <v>2342</v>
      </c>
      <c r="B180" s="17" t="s">
        <v>308</v>
      </c>
      <c r="C180" s="17" t="s">
        <v>15</v>
      </c>
      <c r="D180" s="17" t="s">
        <v>16</v>
      </c>
      <c r="E180" s="18">
        <f>ROUND(10537*1.05,2)</f>
      </c>
      <c r="F180" s="17" t="s">
        <v>48</v>
      </c>
      <c r="G180" s="17" t="s">
        <v>18</v>
      </c>
      <c r="H180" s="18">
        <f>ROUND(RAND()*4+6,1)</f>
      </c>
      <c r="I180" s="17" t="s">
        <v>19</v>
      </c>
      <c r="J180" s="19">
        <f>ROUND(77*1,0)&amp;"%"</f>
      </c>
    </row>
    <row x14ac:dyDescent="0.25" r="181" customHeight="1" ht="17.25">
      <c r="A181" s="20" t="s">
        <v>2343</v>
      </c>
      <c r="B181" s="20" t="s">
        <v>310</v>
      </c>
      <c r="C181" s="20" t="s">
        <v>15</v>
      </c>
      <c r="D181" s="20" t="s">
        <v>22</v>
      </c>
      <c r="E181" s="21">
        <f>ROUND(14674*1.05,2)</f>
      </c>
      <c r="F181" s="20" t="s">
        <v>51</v>
      </c>
      <c r="G181" s="20" t="s">
        <v>24</v>
      </c>
      <c r="H181" s="21">
        <f>ROUND(RAND()*4+6,1)</f>
      </c>
      <c r="I181" s="20" t="s">
        <v>25</v>
      </c>
      <c r="J181" s="23">
        <f>ROUND(100*1,0)&amp;"%"</f>
      </c>
    </row>
    <row x14ac:dyDescent="0.25" r="182" customHeight="1" ht="17.25">
      <c r="A182" s="24" t="s">
        <v>311</v>
      </c>
      <c r="B182" s="24"/>
      <c r="C182" s="24"/>
      <c r="D182" s="24"/>
      <c r="E182" s="25">
        <v>8</v>
      </c>
      <c r="F182" s="9"/>
      <c r="G182" s="9"/>
      <c r="H182" s="10"/>
      <c r="I182" s="9"/>
      <c r="J182" s="9"/>
    </row>
    <row x14ac:dyDescent="0.25" r="183" customHeight="1" ht="17.25">
      <c r="A183" s="7"/>
      <c r="B183" s="7"/>
      <c r="C183" s="7"/>
      <c r="D183" s="7"/>
      <c r="E183" s="8"/>
      <c r="F183" s="9"/>
      <c r="G183" s="9"/>
      <c r="H183" s="10"/>
      <c r="I183" s="9"/>
      <c r="J183" s="9"/>
    </row>
    <row x14ac:dyDescent="0.25" r="184" customHeight="1" ht="17.25">
      <c r="A184" s="11" t="s">
        <v>2344</v>
      </c>
      <c r="B184" s="11"/>
      <c r="C184" s="11"/>
      <c r="D184" s="11"/>
      <c r="E184" s="12"/>
      <c r="F184" s="11"/>
      <c r="G184" s="11"/>
      <c r="H184" s="13"/>
      <c r="I184" s="11"/>
      <c r="J184" s="11"/>
    </row>
    <row x14ac:dyDescent="0.25" r="185" customHeight="1" ht="17.25">
      <c r="A185" s="14" t="s">
        <v>3</v>
      </c>
      <c r="B185" s="14" t="s">
        <v>4</v>
      </c>
      <c r="C185" s="14" t="s">
        <v>5</v>
      </c>
      <c r="D185" s="14" t="s">
        <v>6</v>
      </c>
      <c r="E185" s="15" t="s">
        <v>7</v>
      </c>
      <c r="F185" s="14" t="s">
        <v>8</v>
      </c>
      <c r="G185" s="14" t="s">
        <v>9</v>
      </c>
      <c r="H185" s="16" t="s">
        <v>10</v>
      </c>
      <c r="I185" s="14" t="s">
        <v>11</v>
      </c>
      <c r="J185" s="14" t="s">
        <v>12</v>
      </c>
    </row>
    <row x14ac:dyDescent="0.25" r="186" customHeight="1" ht="17.25">
      <c r="A186" s="17" t="s">
        <v>2345</v>
      </c>
      <c r="B186" s="17" t="s">
        <v>314</v>
      </c>
      <c r="C186" s="17" t="s">
        <v>56</v>
      </c>
      <c r="D186" s="17" t="s">
        <v>16</v>
      </c>
      <c r="E186" s="18">
        <f>ROUND(10163*1.05,2)</f>
      </c>
      <c r="F186" s="17" t="s">
        <v>17</v>
      </c>
      <c r="G186" s="17" t="s">
        <v>18</v>
      </c>
      <c r="H186" s="18">
        <f>ROUND(RAND()*4+6,1)</f>
      </c>
      <c r="I186" s="17" t="s">
        <v>19</v>
      </c>
      <c r="J186" s="19">
        <f>ROUND(94*1,0)&amp;"%"</f>
      </c>
    </row>
    <row x14ac:dyDescent="0.25" r="187" customHeight="1" ht="17.25">
      <c r="A187" s="20" t="s">
        <v>2346</v>
      </c>
      <c r="B187" s="20" t="s">
        <v>316</v>
      </c>
      <c r="C187" s="20" t="s">
        <v>56</v>
      </c>
      <c r="D187" s="20" t="s">
        <v>22</v>
      </c>
      <c r="E187" s="22">
        <f>ROUND(8400*1.05,2)</f>
      </c>
      <c r="F187" s="20" t="s">
        <v>23</v>
      </c>
      <c r="G187" s="20" t="s">
        <v>24</v>
      </c>
      <c r="H187" s="21">
        <f>ROUND(RAND()*4+6,1)</f>
      </c>
      <c r="I187" s="20" t="s">
        <v>25</v>
      </c>
      <c r="J187" s="23">
        <f>ROUND(71*1,0)&amp;"%"</f>
      </c>
    </row>
    <row x14ac:dyDescent="0.25" r="188" customHeight="1" ht="17.25">
      <c r="A188" s="17" t="s">
        <v>2347</v>
      </c>
      <c r="B188" s="17" t="s">
        <v>318</v>
      </c>
      <c r="C188" s="17" t="s">
        <v>56</v>
      </c>
      <c r="D188" s="17" t="s">
        <v>28</v>
      </c>
      <c r="E188" s="18">
        <f>ROUND(9673*1.05,2)</f>
      </c>
      <c r="F188" s="17" t="s">
        <v>29</v>
      </c>
      <c r="G188" s="17" t="s">
        <v>30</v>
      </c>
      <c r="H188" s="18">
        <f>ROUND(RAND()*4+6,1)</f>
      </c>
      <c r="I188" s="17" t="s">
        <v>31</v>
      </c>
      <c r="J188" s="19">
        <f>ROUND(93*1,0)&amp;"%"</f>
      </c>
    </row>
    <row x14ac:dyDescent="0.25" r="189" customHeight="1" ht="17.25">
      <c r="A189" s="20" t="s">
        <v>2348</v>
      </c>
      <c r="B189" s="20" t="s">
        <v>320</v>
      </c>
      <c r="C189" s="20" t="s">
        <v>56</v>
      </c>
      <c r="D189" s="20" t="s">
        <v>34</v>
      </c>
      <c r="E189" s="21">
        <f>ROUND(14644*1.05,2)</f>
      </c>
      <c r="F189" s="20" t="s">
        <v>35</v>
      </c>
      <c r="G189" s="20" t="s">
        <v>18</v>
      </c>
      <c r="H189" s="21">
        <f>ROUND(RAND()*4+6,1)</f>
      </c>
      <c r="I189" s="20" t="s">
        <v>36</v>
      </c>
      <c r="J189" s="23">
        <f>ROUND(90*1,0)&amp;"%"</f>
      </c>
    </row>
    <row x14ac:dyDescent="0.25" r="190" customHeight="1" ht="17.25">
      <c r="A190" s="17" t="s">
        <v>2349</v>
      </c>
      <c r="B190" s="17" t="s">
        <v>322</v>
      </c>
      <c r="C190" s="17" t="s">
        <v>56</v>
      </c>
      <c r="D190" s="17" t="s">
        <v>39</v>
      </c>
      <c r="E190" s="26">
        <f>ROUND(6000*1.05,2)</f>
      </c>
      <c r="F190" s="17" t="s">
        <v>40</v>
      </c>
      <c r="G190" s="17" t="s">
        <v>24</v>
      </c>
      <c r="H190" s="18">
        <f>ROUND(RAND()*4+6,1)</f>
      </c>
      <c r="I190" s="17" t="s">
        <v>41</v>
      </c>
      <c r="J190" s="19">
        <f>ROUND(71*1,0)&amp;"%"</f>
      </c>
    </row>
    <row x14ac:dyDescent="0.25" r="191" customHeight="1" ht="17.25">
      <c r="A191" s="20" t="s">
        <v>2350</v>
      </c>
      <c r="B191" s="20" t="s">
        <v>324</v>
      </c>
      <c r="C191" s="20" t="s">
        <v>56</v>
      </c>
      <c r="D191" s="20" t="s">
        <v>67</v>
      </c>
      <c r="E191" s="21">
        <f>ROUND(7152*1.05,2)</f>
      </c>
      <c r="F191" s="20" t="s">
        <v>44</v>
      </c>
      <c r="G191" s="20" t="s">
        <v>30</v>
      </c>
      <c r="H191" s="22">
        <f>ROUND(RAND()*4+6,1)</f>
      </c>
      <c r="I191" s="20" t="s">
        <v>45</v>
      </c>
      <c r="J191" s="23">
        <f>ROUND(93*1,0)&amp;"%"</f>
      </c>
    </row>
    <row x14ac:dyDescent="0.25" r="192" customHeight="1" ht="17.25">
      <c r="A192" s="17" t="s">
        <v>2351</v>
      </c>
      <c r="B192" s="17" t="s">
        <v>326</v>
      </c>
      <c r="C192" s="17" t="s">
        <v>56</v>
      </c>
      <c r="D192" s="17" t="s">
        <v>16</v>
      </c>
      <c r="E192" s="18">
        <f>ROUND(15429*1.05,2)</f>
      </c>
      <c r="F192" s="17" t="s">
        <v>48</v>
      </c>
      <c r="G192" s="17" t="s">
        <v>18</v>
      </c>
      <c r="H192" s="18">
        <f>ROUND(RAND()*4+6,1)</f>
      </c>
      <c r="I192" s="17" t="s">
        <v>19</v>
      </c>
      <c r="J192" s="19">
        <f>ROUND(74*1,0)&amp;"%"</f>
      </c>
    </row>
    <row x14ac:dyDescent="0.25" r="193" customHeight="1" ht="17.25">
      <c r="A193" s="20" t="s">
        <v>2352</v>
      </c>
      <c r="B193" s="20" t="s">
        <v>328</v>
      </c>
      <c r="C193" s="20" t="s">
        <v>56</v>
      </c>
      <c r="D193" s="20" t="s">
        <v>22</v>
      </c>
      <c r="E193" s="21">
        <f>ROUND(16272*1.05,2)</f>
      </c>
      <c r="F193" s="20" t="s">
        <v>51</v>
      </c>
      <c r="G193" s="20" t="s">
        <v>24</v>
      </c>
      <c r="H193" s="21">
        <f>ROUND(RAND()*4+6,1)</f>
      </c>
      <c r="I193" s="20" t="s">
        <v>25</v>
      </c>
      <c r="J193" s="23">
        <f>ROUND(94*1,0)&amp;"%"</f>
      </c>
    </row>
    <row x14ac:dyDescent="0.25" r="194" customHeight="1" ht="17.25">
      <c r="A194" s="24" t="s">
        <v>329</v>
      </c>
      <c r="B194" s="24"/>
      <c r="C194" s="24"/>
      <c r="D194" s="24"/>
      <c r="E194" s="25">
        <v>8</v>
      </c>
      <c r="F194" s="9"/>
      <c r="G194" s="9"/>
      <c r="H194" s="10"/>
      <c r="I194" s="9"/>
      <c r="J194" s="9"/>
    </row>
    <row x14ac:dyDescent="0.25" r="195" customHeight="1" ht="17.25">
      <c r="A195" s="7"/>
      <c r="B195" s="7"/>
      <c r="C195" s="7"/>
      <c r="D195" s="7"/>
      <c r="E195" s="8"/>
      <c r="F195" s="9"/>
      <c r="G195" s="9"/>
      <c r="H195" s="10"/>
      <c r="I195" s="9"/>
      <c r="J195" s="9"/>
    </row>
    <row x14ac:dyDescent="0.25" r="196" customHeight="1" ht="17.25">
      <c r="A196" s="11" t="s">
        <v>2353</v>
      </c>
      <c r="B196" s="11"/>
      <c r="C196" s="11"/>
      <c r="D196" s="11"/>
      <c r="E196" s="12"/>
      <c r="F196" s="11"/>
      <c r="G196" s="11"/>
      <c r="H196" s="13"/>
      <c r="I196" s="11"/>
      <c r="J196" s="11"/>
    </row>
    <row x14ac:dyDescent="0.25" r="197" customHeight="1" ht="17.25">
      <c r="A197" s="14" t="s">
        <v>3</v>
      </c>
      <c r="B197" s="14" t="s">
        <v>4</v>
      </c>
      <c r="C197" s="14" t="s">
        <v>5</v>
      </c>
      <c r="D197" s="14" t="s">
        <v>6</v>
      </c>
      <c r="E197" s="15" t="s">
        <v>7</v>
      </c>
      <c r="F197" s="14" t="s">
        <v>8</v>
      </c>
      <c r="G197" s="14" t="s">
        <v>9</v>
      </c>
      <c r="H197" s="16" t="s">
        <v>10</v>
      </c>
      <c r="I197" s="14" t="s">
        <v>11</v>
      </c>
      <c r="J197" s="14" t="s">
        <v>12</v>
      </c>
    </row>
    <row x14ac:dyDescent="0.25" r="198" customHeight="1" ht="17.25">
      <c r="A198" s="17" t="s">
        <v>2354</v>
      </c>
      <c r="B198" s="17" t="s">
        <v>332</v>
      </c>
      <c r="C198" s="17" t="s">
        <v>76</v>
      </c>
      <c r="D198" s="17" t="s">
        <v>16</v>
      </c>
      <c r="E198" s="18">
        <f>ROUND(5592*1.05,2)</f>
      </c>
      <c r="F198" s="17" t="s">
        <v>17</v>
      </c>
      <c r="G198" s="17" t="s">
        <v>18</v>
      </c>
      <c r="H198" s="18">
        <f>ROUND(RAND()*4+6,1)</f>
      </c>
      <c r="I198" s="17" t="s">
        <v>19</v>
      </c>
      <c r="J198" s="19">
        <f>ROUND(81*1,0)&amp;"%"</f>
      </c>
    </row>
    <row x14ac:dyDescent="0.25" r="199" customHeight="1" ht="17.25">
      <c r="A199" s="20" t="s">
        <v>2355</v>
      </c>
      <c r="B199" s="20" t="s">
        <v>334</v>
      </c>
      <c r="C199" s="20" t="s">
        <v>76</v>
      </c>
      <c r="D199" s="20" t="s">
        <v>22</v>
      </c>
      <c r="E199" s="21">
        <f>ROUND(13310*1.05,2)</f>
      </c>
      <c r="F199" s="20" t="s">
        <v>23</v>
      </c>
      <c r="G199" s="20" t="s">
        <v>24</v>
      </c>
      <c r="H199" s="21">
        <f>ROUND(RAND()*4+6,1)</f>
      </c>
      <c r="I199" s="20" t="s">
        <v>25</v>
      </c>
      <c r="J199" s="23">
        <f>ROUND(90*1,0)&amp;"%"</f>
      </c>
    </row>
    <row x14ac:dyDescent="0.25" r="200" customHeight="1" ht="17.25">
      <c r="A200" s="17" t="s">
        <v>2356</v>
      </c>
      <c r="B200" s="17" t="s">
        <v>336</v>
      </c>
      <c r="C200" s="17" t="s">
        <v>76</v>
      </c>
      <c r="D200" s="17" t="s">
        <v>28</v>
      </c>
      <c r="E200" s="18">
        <f>ROUND(5251*1.05,2)</f>
      </c>
      <c r="F200" s="17" t="s">
        <v>29</v>
      </c>
      <c r="G200" s="17" t="s">
        <v>30</v>
      </c>
      <c r="H200" s="18">
        <f>ROUND(RAND()*4+6,1)</f>
      </c>
      <c r="I200" s="17" t="s">
        <v>31</v>
      </c>
      <c r="J200" s="19">
        <f>ROUND(84*1,0)&amp;"%"</f>
      </c>
    </row>
    <row x14ac:dyDescent="0.25" r="201" customHeight="1" ht="17.25">
      <c r="A201" s="20" t="s">
        <v>2357</v>
      </c>
      <c r="B201" s="20" t="s">
        <v>338</v>
      </c>
      <c r="C201" s="20" t="s">
        <v>76</v>
      </c>
      <c r="D201" s="20" t="s">
        <v>34</v>
      </c>
      <c r="E201" s="21">
        <f>ROUND(4293*1.05,2)</f>
      </c>
      <c r="F201" s="20" t="s">
        <v>35</v>
      </c>
      <c r="G201" s="20" t="s">
        <v>18</v>
      </c>
      <c r="H201" s="21">
        <f>ROUND(RAND()*4+6,1)</f>
      </c>
      <c r="I201" s="20" t="s">
        <v>36</v>
      </c>
      <c r="J201" s="23">
        <f>ROUND(76*1,0)&amp;"%"</f>
      </c>
    </row>
    <row x14ac:dyDescent="0.25" r="202" customHeight="1" ht="17.25">
      <c r="A202" s="17" t="s">
        <v>2358</v>
      </c>
      <c r="B202" s="17" t="s">
        <v>340</v>
      </c>
      <c r="C202" s="17" t="s">
        <v>76</v>
      </c>
      <c r="D202" s="17" t="s">
        <v>39</v>
      </c>
      <c r="E202" s="18">
        <f>ROUND(16148*1.05,2)</f>
      </c>
      <c r="F202" s="17" t="s">
        <v>40</v>
      </c>
      <c r="G202" s="17" t="s">
        <v>24</v>
      </c>
      <c r="H202" s="18">
        <f>ROUND(RAND()*4+6,1)</f>
      </c>
      <c r="I202" s="17" t="s">
        <v>41</v>
      </c>
      <c r="J202" s="19">
        <f>ROUND(89*1,0)&amp;"%"</f>
      </c>
    </row>
    <row x14ac:dyDescent="0.25" r="203" customHeight="1" ht="17.25">
      <c r="A203" s="20" t="s">
        <v>2359</v>
      </c>
      <c r="B203" s="20" t="s">
        <v>342</v>
      </c>
      <c r="C203" s="20" t="s">
        <v>76</v>
      </c>
      <c r="D203" s="20" t="s">
        <v>67</v>
      </c>
      <c r="E203" s="21">
        <f>ROUND(17538*1.05,2)</f>
      </c>
      <c r="F203" s="20" t="s">
        <v>44</v>
      </c>
      <c r="G203" s="20" t="s">
        <v>30</v>
      </c>
      <c r="H203" s="21">
        <f>ROUND(RAND()*4+6,1)</f>
      </c>
      <c r="I203" s="20" t="s">
        <v>45</v>
      </c>
      <c r="J203" s="23">
        <f>ROUND(97*1,0)&amp;"%"</f>
      </c>
    </row>
    <row x14ac:dyDescent="0.25" r="204" customHeight="1" ht="17.25">
      <c r="A204" s="17" t="s">
        <v>2360</v>
      </c>
      <c r="B204" s="17" t="s">
        <v>344</v>
      </c>
      <c r="C204" s="17" t="s">
        <v>76</v>
      </c>
      <c r="D204" s="17" t="s">
        <v>16</v>
      </c>
      <c r="E204" s="18">
        <f>ROUND(7653*1.05,2)</f>
      </c>
      <c r="F204" s="17" t="s">
        <v>48</v>
      </c>
      <c r="G204" s="17" t="s">
        <v>18</v>
      </c>
      <c r="H204" s="18">
        <f>ROUND(RAND()*4+6,1)</f>
      </c>
      <c r="I204" s="17" t="s">
        <v>19</v>
      </c>
      <c r="J204" s="19">
        <f>ROUND(94*1,0)&amp;"%"</f>
      </c>
    </row>
    <row x14ac:dyDescent="0.25" r="205" customHeight="1" ht="17.25">
      <c r="A205" s="20" t="s">
        <v>2361</v>
      </c>
      <c r="B205" s="20" t="s">
        <v>346</v>
      </c>
      <c r="C205" s="20" t="s">
        <v>76</v>
      </c>
      <c r="D205" s="20" t="s">
        <v>22</v>
      </c>
      <c r="E205" s="21">
        <f>ROUND(5006*1.05,2)</f>
      </c>
      <c r="F205" s="20" t="s">
        <v>51</v>
      </c>
      <c r="G205" s="20" t="s">
        <v>24</v>
      </c>
      <c r="H205" s="21">
        <f>ROUND(RAND()*4+6,1)</f>
      </c>
      <c r="I205" s="20" t="s">
        <v>25</v>
      </c>
      <c r="J205" s="23">
        <f>ROUND(85*1,0)&amp;"%"</f>
      </c>
    </row>
    <row x14ac:dyDescent="0.25" r="206" customHeight="1" ht="17.25">
      <c r="A206" s="24" t="s">
        <v>347</v>
      </c>
      <c r="B206" s="24"/>
      <c r="C206" s="24"/>
      <c r="D206" s="24"/>
      <c r="E206" s="25">
        <v>8</v>
      </c>
      <c r="F206" s="9"/>
      <c r="G206" s="9"/>
      <c r="H206" s="10"/>
      <c r="I206" s="9"/>
      <c r="J206" s="9"/>
    </row>
    <row x14ac:dyDescent="0.25" r="207" customHeight="1" ht="17.25">
      <c r="A207" s="7"/>
      <c r="B207" s="7"/>
      <c r="C207" s="7"/>
      <c r="D207" s="7"/>
      <c r="E207" s="8"/>
      <c r="F207" s="9"/>
      <c r="G207" s="9"/>
      <c r="H207" s="10"/>
      <c r="I207" s="9"/>
      <c r="J207" s="9"/>
    </row>
    <row x14ac:dyDescent="0.25" r="208" customHeight="1" ht="17.25">
      <c r="A208" s="11" t="s">
        <v>2362</v>
      </c>
      <c r="B208" s="11"/>
      <c r="C208" s="11"/>
      <c r="D208" s="11"/>
      <c r="E208" s="12"/>
      <c r="F208" s="11"/>
      <c r="G208" s="11"/>
      <c r="H208" s="13"/>
      <c r="I208" s="11"/>
      <c r="J208" s="11"/>
    </row>
    <row x14ac:dyDescent="0.25" r="209" customHeight="1" ht="17.25">
      <c r="A209" s="14" t="s">
        <v>3</v>
      </c>
      <c r="B209" s="14" t="s">
        <v>4</v>
      </c>
      <c r="C209" s="14" t="s">
        <v>5</v>
      </c>
      <c r="D209" s="14" t="s">
        <v>6</v>
      </c>
      <c r="E209" s="15" t="s">
        <v>7</v>
      </c>
      <c r="F209" s="14" t="s">
        <v>8</v>
      </c>
      <c r="G209" s="14" t="s">
        <v>9</v>
      </c>
      <c r="H209" s="16" t="s">
        <v>10</v>
      </c>
      <c r="I209" s="14" t="s">
        <v>11</v>
      </c>
      <c r="J209" s="14" t="s">
        <v>12</v>
      </c>
    </row>
    <row x14ac:dyDescent="0.25" r="210" customHeight="1" ht="17.25">
      <c r="A210" s="17" t="s">
        <v>2363</v>
      </c>
      <c r="B210" s="17" t="s">
        <v>350</v>
      </c>
      <c r="C210" s="17" t="s">
        <v>95</v>
      </c>
      <c r="D210" s="17" t="s">
        <v>16</v>
      </c>
      <c r="E210" s="18">
        <f>ROUND(15542*1.05,2)</f>
      </c>
      <c r="F210" s="17" t="s">
        <v>17</v>
      </c>
      <c r="G210" s="17" t="s">
        <v>18</v>
      </c>
      <c r="H210" s="26">
        <f>ROUND(RAND()*4+6,1)</f>
      </c>
      <c r="I210" s="17" t="s">
        <v>19</v>
      </c>
      <c r="J210" s="19">
        <f>ROUND(82*1,0)&amp;"%"</f>
      </c>
    </row>
    <row x14ac:dyDescent="0.25" r="211" customHeight="1" ht="17.25">
      <c r="A211" s="20" t="s">
        <v>2364</v>
      </c>
      <c r="B211" s="20" t="s">
        <v>352</v>
      </c>
      <c r="C211" s="20" t="s">
        <v>95</v>
      </c>
      <c r="D211" s="20" t="s">
        <v>22</v>
      </c>
      <c r="E211" s="21">
        <f>ROUND(17092*1.05,2)</f>
      </c>
      <c r="F211" s="20" t="s">
        <v>23</v>
      </c>
      <c r="G211" s="20" t="s">
        <v>24</v>
      </c>
      <c r="H211" s="21">
        <f>ROUND(RAND()*4+6,1)</f>
      </c>
      <c r="I211" s="20" t="s">
        <v>25</v>
      </c>
      <c r="J211" s="23">
        <f>ROUND(91*1,0)&amp;"%"</f>
      </c>
    </row>
    <row x14ac:dyDescent="0.25" r="212" customHeight="1" ht="17.25">
      <c r="A212" s="17" t="s">
        <v>2365</v>
      </c>
      <c r="B212" s="17" t="s">
        <v>354</v>
      </c>
      <c r="C212" s="17" t="s">
        <v>95</v>
      </c>
      <c r="D212" s="17" t="s">
        <v>28</v>
      </c>
      <c r="E212" s="18">
        <f>ROUND(7151*1.05,2)</f>
      </c>
      <c r="F212" s="17" t="s">
        <v>29</v>
      </c>
      <c r="G212" s="17" t="s">
        <v>30</v>
      </c>
      <c r="H212" s="26">
        <f>ROUND(RAND()*4+6,1)</f>
      </c>
      <c r="I212" s="17" t="s">
        <v>31</v>
      </c>
      <c r="J212" s="19">
        <f>ROUND(100*1,0)&amp;"%"</f>
      </c>
    </row>
    <row x14ac:dyDescent="0.25" r="213" customHeight="1" ht="17.25">
      <c r="A213" s="20" t="s">
        <v>2366</v>
      </c>
      <c r="B213" s="20" t="s">
        <v>356</v>
      </c>
      <c r="C213" s="20" t="s">
        <v>95</v>
      </c>
      <c r="D213" s="20" t="s">
        <v>34</v>
      </c>
      <c r="E213" s="21">
        <f>ROUND(14123*1.05,2)</f>
      </c>
      <c r="F213" s="20" t="s">
        <v>35</v>
      </c>
      <c r="G213" s="20" t="s">
        <v>18</v>
      </c>
      <c r="H213" s="21">
        <f>ROUND(RAND()*4+6,1)</f>
      </c>
      <c r="I213" s="20" t="s">
        <v>36</v>
      </c>
      <c r="J213" s="23">
        <f>ROUND(81*1,0)&amp;"%"</f>
      </c>
    </row>
    <row x14ac:dyDescent="0.25" r="214" customHeight="1" ht="17.25">
      <c r="A214" s="17" t="s">
        <v>2367</v>
      </c>
      <c r="B214" s="17" t="s">
        <v>358</v>
      </c>
      <c r="C214" s="17" t="s">
        <v>95</v>
      </c>
      <c r="D214" s="17" t="s">
        <v>39</v>
      </c>
      <c r="E214" s="18">
        <f>ROUND(6626*1.05,2)</f>
      </c>
      <c r="F214" s="17" t="s">
        <v>40</v>
      </c>
      <c r="G214" s="17" t="s">
        <v>24</v>
      </c>
      <c r="H214" s="18">
        <f>ROUND(RAND()*4+6,1)</f>
      </c>
      <c r="I214" s="17" t="s">
        <v>41</v>
      </c>
      <c r="J214" s="19">
        <f>ROUND(96*1,0)&amp;"%"</f>
      </c>
    </row>
    <row x14ac:dyDescent="0.25" r="215" customHeight="1" ht="17.25">
      <c r="A215" s="20" t="s">
        <v>2368</v>
      </c>
      <c r="B215" s="20" t="s">
        <v>360</v>
      </c>
      <c r="C215" s="20" t="s">
        <v>95</v>
      </c>
      <c r="D215" s="20" t="s">
        <v>67</v>
      </c>
      <c r="E215" s="21">
        <f>ROUND(9338*1.05,2)</f>
      </c>
      <c r="F215" s="20" t="s">
        <v>44</v>
      </c>
      <c r="G215" s="20" t="s">
        <v>30</v>
      </c>
      <c r="H215" s="21">
        <f>ROUND(RAND()*4+6,1)</f>
      </c>
      <c r="I215" s="20" t="s">
        <v>45</v>
      </c>
      <c r="J215" s="23">
        <f>ROUND(72*1,0)&amp;"%"</f>
      </c>
    </row>
    <row x14ac:dyDescent="0.25" r="216" customHeight="1" ht="17.25">
      <c r="A216" s="17" t="s">
        <v>2369</v>
      </c>
      <c r="B216" s="17" t="s">
        <v>362</v>
      </c>
      <c r="C216" s="17" t="s">
        <v>95</v>
      </c>
      <c r="D216" s="17" t="s">
        <v>16</v>
      </c>
      <c r="E216" s="18">
        <f>ROUND(13671*1.05,2)</f>
      </c>
      <c r="F216" s="17" t="s">
        <v>48</v>
      </c>
      <c r="G216" s="17" t="s">
        <v>18</v>
      </c>
      <c r="H216" s="18">
        <f>ROUND(RAND()*4+6,1)</f>
      </c>
      <c r="I216" s="17" t="s">
        <v>19</v>
      </c>
      <c r="J216" s="19">
        <f>ROUND(78*1,0)&amp;"%"</f>
      </c>
    </row>
    <row x14ac:dyDescent="0.25" r="217" customHeight="1" ht="17.25">
      <c r="A217" s="20" t="s">
        <v>2370</v>
      </c>
      <c r="B217" s="20" t="s">
        <v>364</v>
      </c>
      <c r="C217" s="20" t="s">
        <v>95</v>
      </c>
      <c r="D217" s="20" t="s">
        <v>22</v>
      </c>
      <c r="E217" s="21">
        <f>ROUND(7650*1.05,2)</f>
      </c>
      <c r="F217" s="20" t="s">
        <v>51</v>
      </c>
      <c r="G217" s="20" t="s">
        <v>24</v>
      </c>
      <c r="H217" s="21">
        <f>ROUND(RAND()*4+6,1)</f>
      </c>
      <c r="I217" s="20" t="s">
        <v>25</v>
      </c>
      <c r="J217" s="23">
        <f>ROUND(62*1,0)&amp;"%"</f>
      </c>
    </row>
    <row x14ac:dyDescent="0.25" r="218" customHeight="1" ht="17.25">
      <c r="A218" s="24" t="s">
        <v>365</v>
      </c>
      <c r="B218" s="24"/>
      <c r="C218" s="24"/>
      <c r="D218" s="24"/>
      <c r="E218" s="25">
        <v>8</v>
      </c>
      <c r="F218" s="9"/>
      <c r="G218" s="9"/>
      <c r="H218" s="10"/>
      <c r="I218" s="9"/>
      <c r="J218" s="9"/>
    </row>
    <row x14ac:dyDescent="0.25" r="219" customHeight="1" ht="17.25">
      <c r="A219" s="7"/>
      <c r="B219" s="7"/>
      <c r="C219" s="7"/>
      <c r="D219" s="7"/>
      <c r="E219" s="8"/>
      <c r="F219" s="9"/>
      <c r="G219" s="9"/>
      <c r="H219" s="10"/>
      <c r="I219" s="9"/>
      <c r="J219" s="9"/>
    </row>
    <row x14ac:dyDescent="0.25" r="220" customHeight="1" ht="17.25">
      <c r="A220" s="11" t="s">
        <v>2371</v>
      </c>
      <c r="B220" s="11"/>
      <c r="C220" s="11"/>
      <c r="D220" s="11"/>
      <c r="E220" s="12"/>
      <c r="F220" s="11"/>
      <c r="G220" s="11"/>
      <c r="H220" s="13"/>
      <c r="I220" s="11"/>
      <c r="J220" s="11"/>
    </row>
    <row x14ac:dyDescent="0.25" r="221" customHeight="1" ht="17.25">
      <c r="A221" s="14" t="s">
        <v>3</v>
      </c>
      <c r="B221" s="14" t="s">
        <v>4</v>
      </c>
      <c r="C221" s="14" t="s">
        <v>5</v>
      </c>
      <c r="D221" s="14" t="s">
        <v>6</v>
      </c>
      <c r="E221" s="15" t="s">
        <v>7</v>
      </c>
      <c r="F221" s="14" t="s">
        <v>8</v>
      </c>
      <c r="G221" s="14" t="s">
        <v>9</v>
      </c>
      <c r="H221" s="16" t="s">
        <v>10</v>
      </c>
      <c r="I221" s="14" t="s">
        <v>11</v>
      </c>
      <c r="J221" s="14" t="s">
        <v>12</v>
      </c>
    </row>
    <row x14ac:dyDescent="0.25" r="222" customHeight="1" ht="17.25">
      <c r="A222" s="17" t="s">
        <v>2372</v>
      </c>
      <c r="B222" s="17" t="s">
        <v>368</v>
      </c>
      <c r="C222" s="17" t="s">
        <v>114</v>
      </c>
      <c r="D222" s="17" t="s">
        <v>16</v>
      </c>
      <c r="E222" s="18">
        <f>ROUND(17408*1.05,2)</f>
      </c>
      <c r="F222" s="17" t="s">
        <v>17</v>
      </c>
      <c r="G222" s="17" t="s">
        <v>18</v>
      </c>
      <c r="H222" s="18">
        <f>ROUND(RAND()*4+6,1)</f>
      </c>
      <c r="I222" s="17" t="s">
        <v>19</v>
      </c>
      <c r="J222" s="19">
        <f>ROUND(84*1,0)&amp;"%"</f>
      </c>
    </row>
    <row x14ac:dyDescent="0.25" r="223" customHeight="1" ht="17.25">
      <c r="A223" s="20" t="s">
        <v>2373</v>
      </c>
      <c r="B223" s="20" t="s">
        <v>370</v>
      </c>
      <c r="C223" s="20" t="s">
        <v>114</v>
      </c>
      <c r="D223" s="20" t="s">
        <v>22</v>
      </c>
      <c r="E223" s="22">
        <f>ROUND(15000*1.05,2)</f>
      </c>
      <c r="F223" s="20" t="s">
        <v>23</v>
      </c>
      <c r="G223" s="20" t="s">
        <v>24</v>
      </c>
      <c r="H223" s="21">
        <f>ROUND(RAND()*4+6,1)</f>
      </c>
      <c r="I223" s="20" t="s">
        <v>25</v>
      </c>
      <c r="J223" s="23">
        <f>ROUND(83*1,0)&amp;"%"</f>
      </c>
    </row>
    <row x14ac:dyDescent="0.25" r="224" customHeight="1" ht="17.25">
      <c r="A224" s="17" t="s">
        <v>2374</v>
      </c>
      <c r="B224" s="17" t="s">
        <v>372</v>
      </c>
      <c r="C224" s="17" t="s">
        <v>114</v>
      </c>
      <c r="D224" s="17" t="s">
        <v>28</v>
      </c>
      <c r="E224" s="18">
        <f>ROUND(8977*1.05,2)</f>
      </c>
      <c r="F224" s="17" t="s">
        <v>29</v>
      </c>
      <c r="G224" s="17" t="s">
        <v>30</v>
      </c>
      <c r="H224" s="18">
        <f>ROUND(RAND()*4+6,1)</f>
      </c>
      <c r="I224" s="17" t="s">
        <v>31</v>
      </c>
      <c r="J224" s="19">
        <f>ROUND(96*1,0)&amp;"%"</f>
      </c>
    </row>
    <row x14ac:dyDescent="0.25" r="225" customHeight="1" ht="17.25">
      <c r="A225" s="20" t="s">
        <v>2375</v>
      </c>
      <c r="B225" s="20" t="s">
        <v>374</v>
      </c>
      <c r="C225" s="20" t="s">
        <v>114</v>
      </c>
      <c r="D225" s="20" t="s">
        <v>34</v>
      </c>
      <c r="E225" s="21">
        <f>ROUND(6379*1.05,2)</f>
      </c>
      <c r="F225" s="20" t="s">
        <v>35</v>
      </c>
      <c r="G225" s="20" t="s">
        <v>18</v>
      </c>
      <c r="H225" s="21">
        <f>ROUND(RAND()*4+6,1)</f>
      </c>
      <c r="I225" s="20" t="s">
        <v>36</v>
      </c>
      <c r="J225" s="23">
        <f>ROUND(83*1,0)&amp;"%"</f>
      </c>
    </row>
    <row x14ac:dyDescent="0.25" r="226" customHeight="1" ht="17.25">
      <c r="A226" s="17" t="s">
        <v>2376</v>
      </c>
      <c r="B226" s="17" t="s">
        <v>376</v>
      </c>
      <c r="C226" s="17" t="s">
        <v>114</v>
      </c>
      <c r="D226" s="17" t="s">
        <v>39</v>
      </c>
      <c r="E226" s="18">
        <f>ROUND(12939*1.05,2)</f>
      </c>
      <c r="F226" s="17" t="s">
        <v>40</v>
      </c>
      <c r="G226" s="17" t="s">
        <v>24</v>
      </c>
      <c r="H226" s="18">
        <f>ROUND(RAND()*4+6,1)</f>
      </c>
      <c r="I226" s="17" t="s">
        <v>41</v>
      </c>
      <c r="J226" s="19">
        <f>ROUND(61*1,0)&amp;"%"</f>
      </c>
    </row>
    <row x14ac:dyDescent="0.25" r="227" customHeight="1" ht="17.25">
      <c r="A227" s="20" t="s">
        <v>2377</v>
      </c>
      <c r="B227" s="20" t="s">
        <v>378</v>
      </c>
      <c r="C227" s="20" t="s">
        <v>114</v>
      </c>
      <c r="D227" s="20" t="s">
        <v>67</v>
      </c>
      <c r="E227" s="21">
        <f>ROUND(11962*1.05,2)</f>
      </c>
      <c r="F227" s="20" t="s">
        <v>44</v>
      </c>
      <c r="G227" s="20" t="s">
        <v>30</v>
      </c>
      <c r="H227" s="21">
        <f>ROUND(RAND()*4+6,1)</f>
      </c>
      <c r="I227" s="20" t="s">
        <v>45</v>
      </c>
      <c r="J227" s="23">
        <f>ROUND(93*1,0)&amp;"%"</f>
      </c>
    </row>
    <row x14ac:dyDescent="0.25" r="228" customHeight="1" ht="17.25">
      <c r="A228" s="17" t="s">
        <v>2378</v>
      </c>
      <c r="B228" s="17" t="s">
        <v>380</v>
      </c>
      <c r="C228" s="17" t="s">
        <v>114</v>
      </c>
      <c r="D228" s="17" t="s">
        <v>16</v>
      </c>
      <c r="E228" s="18">
        <f>ROUND(9172*1.05,2)</f>
      </c>
      <c r="F228" s="17" t="s">
        <v>48</v>
      </c>
      <c r="G228" s="17" t="s">
        <v>18</v>
      </c>
      <c r="H228" s="18">
        <f>ROUND(RAND()*4+6,1)</f>
      </c>
      <c r="I228" s="17" t="s">
        <v>19</v>
      </c>
      <c r="J228" s="19">
        <f>ROUND(80*1,0)&amp;"%"</f>
      </c>
    </row>
    <row x14ac:dyDescent="0.25" r="229" customHeight="1" ht="17.25">
      <c r="A229" s="20" t="s">
        <v>2379</v>
      </c>
      <c r="B229" s="20" t="s">
        <v>382</v>
      </c>
      <c r="C229" s="20" t="s">
        <v>114</v>
      </c>
      <c r="D229" s="20" t="s">
        <v>22</v>
      </c>
      <c r="E229" s="21">
        <f>ROUND(12189*1.05,2)</f>
      </c>
      <c r="F229" s="20" t="s">
        <v>51</v>
      </c>
      <c r="G229" s="20" t="s">
        <v>24</v>
      </c>
      <c r="H229" s="22">
        <f>ROUND(RAND()*4+6,1)</f>
      </c>
      <c r="I229" s="20" t="s">
        <v>25</v>
      </c>
      <c r="J229" s="23">
        <f>ROUND(74*1,0)&amp;"%"</f>
      </c>
    </row>
    <row x14ac:dyDescent="0.25" r="230" customHeight="1" ht="17.25">
      <c r="A230" s="24" t="s">
        <v>383</v>
      </c>
      <c r="B230" s="24"/>
      <c r="C230" s="24"/>
      <c r="D230" s="24"/>
      <c r="E230" s="25">
        <v>8</v>
      </c>
      <c r="F230" s="9"/>
      <c r="G230" s="9"/>
      <c r="H230" s="10"/>
      <c r="I230" s="9"/>
      <c r="J230" s="9"/>
    </row>
    <row x14ac:dyDescent="0.25" r="231" customHeight="1" ht="17.25">
      <c r="A231" s="7"/>
      <c r="B231" s="7"/>
      <c r="C231" s="7"/>
      <c r="D231" s="7"/>
      <c r="E231" s="8"/>
      <c r="F231" s="9"/>
      <c r="G231" s="9"/>
      <c r="H231" s="10"/>
      <c r="I231" s="9"/>
      <c r="J231" s="9"/>
    </row>
    <row x14ac:dyDescent="0.25" r="232" customHeight="1" ht="17.25">
      <c r="A232" s="11" t="s">
        <v>2380</v>
      </c>
      <c r="B232" s="11"/>
      <c r="C232" s="11"/>
      <c r="D232" s="11"/>
      <c r="E232" s="12"/>
      <c r="F232" s="11"/>
      <c r="G232" s="11"/>
      <c r="H232" s="13"/>
      <c r="I232" s="11"/>
      <c r="J232" s="11"/>
    </row>
    <row x14ac:dyDescent="0.25" r="233" customHeight="1" ht="17.25">
      <c r="A233" s="14" t="s">
        <v>3</v>
      </c>
      <c r="B233" s="14" t="s">
        <v>4</v>
      </c>
      <c r="C233" s="14" t="s">
        <v>5</v>
      </c>
      <c r="D233" s="14" t="s">
        <v>6</v>
      </c>
      <c r="E233" s="15" t="s">
        <v>7</v>
      </c>
      <c r="F233" s="14" t="s">
        <v>8</v>
      </c>
      <c r="G233" s="14" t="s">
        <v>9</v>
      </c>
      <c r="H233" s="16" t="s">
        <v>10</v>
      </c>
      <c r="I233" s="14" t="s">
        <v>11</v>
      </c>
      <c r="J233" s="14" t="s">
        <v>12</v>
      </c>
    </row>
    <row x14ac:dyDescent="0.25" r="234" customHeight="1" ht="17.25">
      <c r="A234" s="17" t="s">
        <v>2381</v>
      </c>
      <c r="B234" s="17" t="s">
        <v>386</v>
      </c>
      <c r="C234" s="17" t="s">
        <v>133</v>
      </c>
      <c r="D234" s="17" t="s">
        <v>16</v>
      </c>
      <c r="E234" s="18">
        <f>ROUND(4946*1.05,2)</f>
      </c>
      <c r="F234" s="17" t="s">
        <v>17</v>
      </c>
      <c r="G234" s="17" t="s">
        <v>18</v>
      </c>
      <c r="H234" s="18">
        <f>ROUND(RAND()*4+6,1)</f>
      </c>
      <c r="I234" s="17" t="s">
        <v>19</v>
      </c>
      <c r="J234" s="19">
        <f>ROUND(87*1,0)&amp;"%"</f>
      </c>
    </row>
    <row x14ac:dyDescent="0.25" r="235" customHeight="1" ht="17.25">
      <c r="A235" s="20" t="s">
        <v>2382</v>
      </c>
      <c r="B235" s="20" t="s">
        <v>388</v>
      </c>
      <c r="C235" s="20" t="s">
        <v>133</v>
      </c>
      <c r="D235" s="20" t="s">
        <v>22</v>
      </c>
      <c r="E235" s="21">
        <f>ROUND(15713*1.05,2)</f>
      </c>
      <c r="F235" s="20" t="s">
        <v>23</v>
      </c>
      <c r="G235" s="20" t="s">
        <v>24</v>
      </c>
      <c r="H235" s="22">
        <f>ROUND(RAND()*4+6,1)</f>
      </c>
      <c r="I235" s="20" t="s">
        <v>25</v>
      </c>
      <c r="J235" s="23">
        <f>ROUND(72*1,0)&amp;"%"</f>
      </c>
    </row>
    <row x14ac:dyDescent="0.25" r="236" customHeight="1" ht="17.25">
      <c r="A236" s="17" t="s">
        <v>2383</v>
      </c>
      <c r="B236" s="17" t="s">
        <v>390</v>
      </c>
      <c r="C236" s="17" t="s">
        <v>133</v>
      </c>
      <c r="D236" s="17" t="s">
        <v>28</v>
      </c>
      <c r="E236" s="18">
        <f>ROUND(7739*1.05,2)</f>
      </c>
      <c r="F236" s="17" t="s">
        <v>29</v>
      </c>
      <c r="G236" s="17" t="s">
        <v>30</v>
      </c>
      <c r="H236" s="18">
        <f>ROUND(RAND()*4+6,1)</f>
      </c>
      <c r="I236" s="17" t="s">
        <v>31</v>
      </c>
      <c r="J236" s="19">
        <f>ROUND(73*1,0)&amp;"%"</f>
      </c>
    </row>
    <row x14ac:dyDescent="0.25" r="237" customHeight="1" ht="17.25">
      <c r="A237" s="20" t="s">
        <v>2384</v>
      </c>
      <c r="B237" s="20" t="s">
        <v>392</v>
      </c>
      <c r="C237" s="20" t="s">
        <v>133</v>
      </c>
      <c r="D237" s="20" t="s">
        <v>34</v>
      </c>
      <c r="E237" s="21">
        <f>ROUND(15550*1.05,2)</f>
      </c>
      <c r="F237" s="20" t="s">
        <v>35</v>
      </c>
      <c r="G237" s="20" t="s">
        <v>18</v>
      </c>
      <c r="H237" s="21">
        <f>ROUND(RAND()*4+6,1)</f>
      </c>
      <c r="I237" s="20" t="s">
        <v>36</v>
      </c>
      <c r="J237" s="23">
        <f>ROUND(93*1,0)&amp;"%"</f>
      </c>
    </row>
    <row x14ac:dyDescent="0.25" r="238" customHeight="1" ht="17.25">
      <c r="A238" s="17" t="s">
        <v>2385</v>
      </c>
      <c r="B238" s="17" t="s">
        <v>394</v>
      </c>
      <c r="C238" s="17" t="s">
        <v>133</v>
      </c>
      <c r="D238" s="17" t="s">
        <v>39</v>
      </c>
      <c r="E238" s="18">
        <f>ROUND(6185*1.05,2)</f>
      </c>
      <c r="F238" s="17" t="s">
        <v>40</v>
      </c>
      <c r="G238" s="17" t="s">
        <v>24</v>
      </c>
      <c r="H238" s="18">
        <f>ROUND(RAND()*4+6,1)</f>
      </c>
      <c r="I238" s="17" t="s">
        <v>41</v>
      </c>
      <c r="J238" s="19">
        <f>ROUND(74*1,0)&amp;"%"</f>
      </c>
    </row>
    <row x14ac:dyDescent="0.25" r="239" customHeight="1" ht="17.25">
      <c r="A239" s="20" t="s">
        <v>2386</v>
      </c>
      <c r="B239" s="20" t="s">
        <v>396</v>
      </c>
      <c r="C239" s="20" t="s">
        <v>133</v>
      </c>
      <c r="D239" s="20" t="s">
        <v>67</v>
      </c>
      <c r="E239" s="21">
        <f>ROUND(16095*1.05,2)</f>
      </c>
      <c r="F239" s="20" t="s">
        <v>44</v>
      </c>
      <c r="G239" s="20" t="s">
        <v>30</v>
      </c>
      <c r="H239" s="21">
        <f>ROUND(RAND()*4+6,1)</f>
      </c>
      <c r="I239" s="20" t="s">
        <v>45</v>
      </c>
      <c r="J239" s="23">
        <f>ROUND(73*1,0)&amp;"%"</f>
      </c>
    </row>
    <row x14ac:dyDescent="0.25" r="240" customHeight="1" ht="17.25">
      <c r="A240" s="17" t="s">
        <v>2387</v>
      </c>
      <c r="B240" s="17" t="s">
        <v>398</v>
      </c>
      <c r="C240" s="17" t="s">
        <v>133</v>
      </c>
      <c r="D240" s="17" t="s">
        <v>16</v>
      </c>
      <c r="E240" s="18">
        <f>ROUND(16693*1.05,2)</f>
      </c>
      <c r="F240" s="17" t="s">
        <v>48</v>
      </c>
      <c r="G240" s="17" t="s">
        <v>18</v>
      </c>
      <c r="H240" s="18">
        <f>ROUND(RAND()*4+6,1)</f>
      </c>
      <c r="I240" s="17" t="s">
        <v>19</v>
      </c>
      <c r="J240" s="19">
        <f>ROUND(91*1,0)&amp;"%"</f>
      </c>
    </row>
    <row x14ac:dyDescent="0.25" r="241" customHeight="1" ht="17.25">
      <c r="A241" s="20" t="s">
        <v>2388</v>
      </c>
      <c r="B241" s="20" t="s">
        <v>400</v>
      </c>
      <c r="C241" s="20" t="s">
        <v>133</v>
      </c>
      <c r="D241" s="20" t="s">
        <v>22</v>
      </c>
      <c r="E241" s="22">
        <f>ROUND(4940*1.05,2)</f>
      </c>
      <c r="F241" s="20" t="s">
        <v>51</v>
      </c>
      <c r="G241" s="20" t="s">
        <v>24</v>
      </c>
      <c r="H241" s="21">
        <f>ROUND(RAND()*4+6,1)</f>
      </c>
      <c r="I241" s="20" t="s">
        <v>25</v>
      </c>
      <c r="J241" s="23">
        <f>ROUND(88*1,0)&amp;"%"</f>
      </c>
    </row>
    <row x14ac:dyDescent="0.25" r="242" customHeight="1" ht="17.25">
      <c r="A242" s="24" t="s">
        <v>401</v>
      </c>
      <c r="B242" s="24"/>
      <c r="C242" s="24"/>
      <c r="D242" s="24"/>
      <c r="E242" s="25">
        <v>8</v>
      </c>
      <c r="F242" s="9"/>
      <c r="G242" s="9"/>
      <c r="H242" s="10"/>
      <c r="I242" s="9"/>
      <c r="J242" s="9"/>
    </row>
    <row x14ac:dyDescent="0.25" r="243" customHeight="1" ht="17.25">
      <c r="A243" s="7"/>
      <c r="B243" s="7"/>
      <c r="C243" s="7"/>
      <c r="D243" s="7"/>
      <c r="E243" s="8"/>
      <c r="F243" s="9"/>
      <c r="G243" s="9"/>
      <c r="H243" s="10"/>
      <c r="I243" s="9"/>
      <c r="J243" s="9"/>
    </row>
    <row x14ac:dyDescent="0.25" r="244" customHeight="1" ht="17.25">
      <c r="A244" s="11" t="s">
        <v>2389</v>
      </c>
      <c r="B244" s="11"/>
      <c r="C244" s="11"/>
      <c r="D244" s="11"/>
      <c r="E244" s="12"/>
      <c r="F244" s="11"/>
      <c r="G244" s="11"/>
      <c r="H244" s="13"/>
      <c r="I244" s="11"/>
      <c r="J244" s="11"/>
    </row>
    <row x14ac:dyDescent="0.25" r="245" customHeight="1" ht="17.25">
      <c r="A245" s="14" t="s">
        <v>3</v>
      </c>
      <c r="B245" s="14" t="s">
        <v>4</v>
      </c>
      <c r="C245" s="14" t="s">
        <v>5</v>
      </c>
      <c r="D245" s="14" t="s">
        <v>6</v>
      </c>
      <c r="E245" s="15" t="s">
        <v>7</v>
      </c>
      <c r="F245" s="14" t="s">
        <v>8</v>
      </c>
      <c r="G245" s="14" t="s">
        <v>9</v>
      </c>
      <c r="H245" s="16" t="s">
        <v>10</v>
      </c>
      <c r="I245" s="14" t="s">
        <v>11</v>
      </c>
      <c r="J245" s="14" t="s">
        <v>12</v>
      </c>
    </row>
    <row x14ac:dyDescent="0.25" r="246" customHeight="1" ht="17.25">
      <c r="A246" s="17" t="s">
        <v>2390</v>
      </c>
      <c r="B246" s="17" t="s">
        <v>404</v>
      </c>
      <c r="C246" s="17" t="s">
        <v>152</v>
      </c>
      <c r="D246" s="17" t="s">
        <v>16</v>
      </c>
      <c r="E246" s="18">
        <f>ROUND(11081*1.05,2)</f>
      </c>
      <c r="F246" s="17" t="s">
        <v>17</v>
      </c>
      <c r="G246" s="17" t="s">
        <v>18</v>
      </c>
      <c r="H246" s="18">
        <f>ROUND(RAND()*4+6,1)</f>
      </c>
      <c r="I246" s="17" t="s">
        <v>19</v>
      </c>
      <c r="J246" s="19">
        <f>ROUND(94*1,0)&amp;"%"</f>
      </c>
    </row>
    <row x14ac:dyDescent="0.25" r="247" customHeight="1" ht="17.25">
      <c r="A247" s="20" t="s">
        <v>2391</v>
      </c>
      <c r="B247" s="20" t="s">
        <v>406</v>
      </c>
      <c r="C247" s="20" t="s">
        <v>152</v>
      </c>
      <c r="D247" s="20" t="s">
        <v>22</v>
      </c>
      <c r="E247" s="21">
        <f>ROUND(14736*1.05,2)</f>
      </c>
      <c r="F247" s="20" t="s">
        <v>23</v>
      </c>
      <c r="G247" s="20" t="s">
        <v>24</v>
      </c>
      <c r="H247" s="21">
        <f>ROUND(RAND()*4+6,1)</f>
      </c>
      <c r="I247" s="20" t="s">
        <v>25</v>
      </c>
      <c r="J247" s="23">
        <f>ROUND(98*1,0)&amp;"%"</f>
      </c>
    </row>
    <row x14ac:dyDescent="0.25" r="248" customHeight="1" ht="17.25">
      <c r="A248" s="17" t="s">
        <v>2392</v>
      </c>
      <c r="B248" s="17" t="s">
        <v>408</v>
      </c>
      <c r="C248" s="17" t="s">
        <v>152</v>
      </c>
      <c r="D248" s="17" t="s">
        <v>28</v>
      </c>
      <c r="E248" s="18">
        <f>ROUND(13235*1.05,2)</f>
      </c>
      <c r="F248" s="17" t="s">
        <v>29</v>
      </c>
      <c r="G248" s="17" t="s">
        <v>30</v>
      </c>
      <c r="H248" s="18">
        <f>ROUND(RAND()*4+6,1)</f>
      </c>
      <c r="I248" s="17" t="s">
        <v>31</v>
      </c>
      <c r="J248" s="19">
        <f>ROUND(92*1,0)&amp;"%"</f>
      </c>
    </row>
    <row x14ac:dyDescent="0.25" r="249" customHeight="1" ht="17.25">
      <c r="A249" s="20" t="s">
        <v>2393</v>
      </c>
      <c r="B249" s="20" t="s">
        <v>410</v>
      </c>
      <c r="C249" s="20" t="s">
        <v>152</v>
      </c>
      <c r="D249" s="20" t="s">
        <v>34</v>
      </c>
      <c r="E249" s="21">
        <f>ROUND(10002*1.05,2)</f>
      </c>
      <c r="F249" s="20" t="s">
        <v>35</v>
      </c>
      <c r="G249" s="20" t="s">
        <v>18</v>
      </c>
      <c r="H249" s="21">
        <f>ROUND(RAND()*4+6,1)</f>
      </c>
      <c r="I249" s="20" t="s">
        <v>36</v>
      </c>
      <c r="J249" s="23">
        <f>ROUND(85*1,0)&amp;"%"</f>
      </c>
    </row>
    <row x14ac:dyDescent="0.25" r="250" customHeight="1" ht="17.25">
      <c r="A250" s="17" t="s">
        <v>2394</v>
      </c>
      <c r="B250" s="17" t="s">
        <v>412</v>
      </c>
      <c r="C250" s="17" t="s">
        <v>152</v>
      </c>
      <c r="D250" s="17" t="s">
        <v>39</v>
      </c>
      <c r="E250" s="18">
        <f>ROUND(11889*1.05,2)</f>
      </c>
      <c r="F250" s="17" t="s">
        <v>40</v>
      </c>
      <c r="G250" s="17" t="s">
        <v>24</v>
      </c>
      <c r="H250" s="18">
        <f>ROUND(RAND()*4+6,1)</f>
      </c>
      <c r="I250" s="17" t="s">
        <v>41</v>
      </c>
      <c r="J250" s="19">
        <f>ROUND(95*1,0)&amp;"%"</f>
      </c>
    </row>
    <row x14ac:dyDescent="0.25" r="251" customHeight="1" ht="17.25">
      <c r="A251" s="20" t="s">
        <v>2395</v>
      </c>
      <c r="B251" s="20" t="s">
        <v>414</v>
      </c>
      <c r="C251" s="20" t="s">
        <v>152</v>
      </c>
      <c r="D251" s="20" t="s">
        <v>67</v>
      </c>
      <c r="E251" s="21">
        <f>ROUND(16944*1.05,2)</f>
      </c>
      <c r="F251" s="20" t="s">
        <v>44</v>
      </c>
      <c r="G251" s="20" t="s">
        <v>30</v>
      </c>
      <c r="H251" s="21">
        <f>ROUND(RAND()*4+6,1)</f>
      </c>
      <c r="I251" s="20" t="s">
        <v>45</v>
      </c>
      <c r="J251" s="23">
        <f>ROUND(74*1,0)&amp;"%"</f>
      </c>
    </row>
    <row x14ac:dyDescent="0.25" r="252" customHeight="1" ht="17.25">
      <c r="A252" s="17" t="s">
        <v>2396</v>
      </c>
      <c r="B252" s="17" t="s">
        <v>416</v>
      </c>
      <c r="C252" s="17" t="s">
        <v>152</v>
      </c>
      <c r="D252" s="17" t="s">
        <v>16</v>
      </c>
      <c r="E252" s="18">
        <f>ROUND(16978*1.05,2)</f>
      </c>
      <c r="F252" s="17" t="s">
        <v>48</v>
      </c>
      <c r="G252" s="17" t="s">
        <v>18</v>
      </c>
      <c r="H252" s="18">
        <f>ROUND(RAND()*4+6,1)</f>
      </c>
      <c r="I252" s="17" t="s">
        <v>19</v>
      </c>
      <c r="J252" s="19">
        <f>ROUND(73*1,0)&amp;"%"</f>
      </c>
    </row>
    <row x14ac:dyDescent="0.25" r="253" customHeight="1" ht="17.25">
      <c r="A253" s="20" t="s">
        <v>2397</v>
      </c>
      <c r="B253" s="20" t="s">
        <v>418</v>
      </c>
      <c r="C253" s="20" t="s">
        <v>152</v>
      </c>
      <c r="D253" s="20" t="s">
        <v>22</v>
      </c>
      <c r="E253" s="21">
        <f>ROUND(15946*1.05,2)</f>
      </c>
      <c r="F253" s="20" t="s">
        <v>51</v>
      </c>
      <c r="G253" s="20" t="s">
        <v>24</v>
      </c>
      <c r="H253" s="21">
        <f>ROUND(RAND()*4+6,1)</f>
      </c>
      <c r="I253" s="20" t="s">
        <v>25</v>
      </c>
      <c r="J253" s="23">
        <f>ROUND(85*1,0)&amp;"%"</f>
      </c>
    </row>
    <row x14ac:dyDescent="0.25" r="254" customHeight="1" ht="17.25">
      <c r="A254" s="24" t="s">
        <v>419</v>
      </c>
      <c r="B254" s="24"/>
      <c r="C254" s="24"/>
      <c r="D254" s="24"/>
      <c r="E254" s="25">
        <v>8</v>
      </c>
      <c r="F254" s="9"/>
      <c r="G254" s="9"/>
      <c r="H254" s="10"/>
      <c r="I254" s="9"/>
      <c r="J254" s="9"/>
    </row>
    <row x14ac:dyDescent="0.25" r="255" customHeight="1" ht="17.25">
      <c r="A255" s="7"/>
      <c r="B255" s="7"/>
      <c r="C255" s="7"/>
      <c r="D255" s="7"/>
      <c r="E255" s="8"/>
      <c r="F255" s="9"/>
      <c r="G255" s="9"/>
      <c r="H255" s="10"/>
      <c r="I255" s="9"/>
      <c r="J255" s="9"/>
    </row>
    <row x14ac:dyDescent="0.25" r="256" customHeight="1" ht="17.25">
      <c r="A256" s="11" t="s">
        <v>2398</v>
      </c>
      <c r="B256" s="11"/>
      <c r="C256" s="11"/>
      <c r="D256" s="11"/>
      <c r="E256" s="12"/>
      <c r="F256" s="11"/>
      <c r="G256" s="11"/>
      <c r="H256" s="13"/>
      <c r="I256" s="11"/>
      <c r="J256" s="11"/>
    </row>
    <row x14ac:dyDescent="0.25" r="257" customHeight="1" ht="17.25">
      <c r="A257" s="14" t="s">
        <v>3</v>
      </c>
      <c r="B257" s="14" t="s">
        <v>4</v>
      </c>
      <c r="C257" s="14" t="s">
        <v>5</v>
      </c>
      <c r="D257" s="14" t="s">
        <v>6</v>
      </c>
      <c r="E257" s="15" t="s">
        <v>7</v>
      </c>
      <c r="F257" s="14" t="s">
        <v>8</v>
      </c>
      <c r="G257" s="14" t="s">
        <v>9</v>
      </c>
      <c r="H257" s="16" t="s">
        <v>10</v>
      </c>
      <c r="I257" s="14" t="s">
        <v>11</v>
      </c>
      <c r="J257" s="14" t="s">
        <v>12</v>
      </c>
    </row>
    <row x14ac:dyDescent="0.25" r="258" customHeight="1" ht="17.25">
      <c r="A258" s="17" t="s">
        <v>2399</v>
      </c>
      <c r="B258" s="17" t="s">
        <v>422</v>
      </c>
      <c r="C258" s="17" t="s">
        <v>15</v>
      </c>
      <c r="D258" s="17" t="s">
        <v>16</v>
      </c>
      <c r="E258" s="18">
        <f>ROUND(16323*1.05,2)</f>
      </c>
      <c r="F258" s="17" t="s">
        <v>17</v>
      </c>
      <c r="G258" s="17" t="s">
        <v>18</v>
      </c>
      <c r="H258" s="18">
        <f>ROUND(RAND()*4+6,1)</f>
      </c>
      <c r="I258" s="17" t="s">
        <v>19</v>
      </c>
      <c r="J258" s="19">
        <f>ROUND(68*1,0)&amp;"%"</f>
      </c>
    </row>
    <row x14ac:dyDescent="0.25" r="259" customHeight="1" ht="17.25">
      <c r="A259" s="20" t="s">
        <v>2400</v>
      </c>
      <c r="B259" s="20" t="s">
        <v>424</v>
      </c>
      <c r="C259" s="20" t="s">
        <v>15</v>
      </c>
      <c r="D259" s="20" t="s">
        <v>22</v>
      </c>
      <c r="E259" s="21">
        <f>ROUND(16908*1.05,2)</f>
      </c>
      <c r="F259" s="20" t="s">
        <v>23</v>
      </c>
      <c r="G259" s="20" t="s">
        <v>24</v>
      </c>
      <c r="H259" s="21">
        <f>ROUND(RAND()*4+6,1)</f>
      </c>
      <c r="I259" s="20" t="s">
        <v>25</v>
      </c>
      <c r="J259" s="23">
        <f>ROUND(65*1,0)&amp;"%"</f>
      </c>
    </row>
    <row x14ac:dyDescent="0.25" r="260" customHeight="1" ht="17.25">
      <c r="A260" s="17" t="s">
        <v>2401</v>
      </c>
      <c r="B260" s="17" t="s">
        <v>426</v>
      </c>
      <c r="C260" s="17" t="s">
        <v>15</v>
      </c>
      <c r="D260" s="17" t="s">
        <v>28</v>
      </c>
      <c r="E260" s="18">
        <f>ROUND(10931*1.05,2)</f>
      </c>
      <c r="F260" s="17" t="s">
        <v>29</v>
      </c>
      <c r="G260" s="17" t="s">
        <v>30</v>
      </c>
      <c r="H260" s="18">
        <f>ROUND(RAND()*4+6,1)</f>
      </c>
      <c r="I260" s="17" t="s">
        <v>31</v>
      </c>
      <c r="J260" s="19">
        <f>ROUND(60*1,0)&amp;"%"</f>
      </c>
    </row>
    <row x14ac:dyDescent="0.25" r="261" customHeight="1" ht="17.25">
      <c r="A261" s="20" t="s">
        <v>2402</v>
      </c>
      <c r="B261" s="20" t="s">
        <v>428</v>
      </c>
      <c r="C261" s="20" t="s">
        <v>15</v>
      </c>
      <c r="D261" s="20" t="s">
        <v>34</v>
      </c>
      <c r="E261" s="21">
        <f>ROUND(14011*1.05,2)</f>
      </c>
      <c r="F261" s="20" t="s">
        <v>35</v>
      </c>
      <c r="G261" s="20" t="s">
        <v>18</v>
      </c>
      <c r="H261" s="21">
        <f>ROUND(RAND()*4+6,1)</f>
      </c>
      <c r="I261" s="20" t="s">
        <v>36</v>
      </c>
      <c r="J261" s="23">
        <f>ROUND(86*1,0)&amp;"%"</f>
      </c>
    </row>
    <row x14ac:dyDescent="0.25" r="262" customHeight="1" ht="17.25">
      <c r="A262" s="17" t="s">
        <v>2403</v>
      </c>
      <c r="B262" s="17" t="s">
        <v>430</v>
      </c>
      <c r="C262" s="17" t="s">
        <v>15</v>
      </c>
      <c r="D262" s="17" t="s">
        <v>39</v>
      </c>
      <c r="E262" s="18">
        <f>ROUND(5067*1.05,2)</f>
      </c>
      <c r="F262" s="17" t="s">
        <v>40</v>
      </c>
      <c r="G262" s="17" t="s">
        <v>24</v>
      </c>
      <c r="H262" s="18">
        <f>ROUND(RAND()*4+6,1)</f>
      </c>
      <c r="I262" s="17" t="s">
        <v>41</v>
      </c>
      <c r="J262" s="19">
        <f>ROUND(65*1,0)&amp;"%"</f>
      </c>
    </row>
    <row x14ac:dyDescent="0.25" r="263" customHeight="1" ht="17.25">
      <c r="A263" s="20" t="s">
        <v>2404</v>
      </c>
      <c r="B263" s="20" t="s">
        <v>432</v>
      </c>
      <c r="C263" s="20" t="s">
        <v>15</v>
      </c>
      <c r="D263" s="20" t="s">
        <v>67</v>
      </c>
      <c r="E263" s="21">
        <f>ROUND(12322*1.05,2)</f>
      </c>
      <c r="F263" s="20" t="s">
        <v>44</v>
      </c>
      <c r="G263" s="20" t="s">
        <v>30</v>
      </c>
      <c r="H263" s="21">
        <f>ROUND(RAND()*4+6,1)</f>
      </c>
      <c r="I263" s="20" t="s">
        <v>45</v>
      </c>
      <c r="J263" s="23">
        <f>ROUND(89*1,0)&amp;"%"</f>
      </c>
    </row>
    <row x14ac:dyDescent="0.25" r="264" customHeight="1" ht="17.25">
      <c r="A264" s="17" t="s">
        <v>2405</v>
      </c>
      <c r="B264" s="17" t="s">
        <v>434</v>
      </c>
      <c r="C264" s="17" t="s">
        <v>15</v>
      </c>
      <c r="D264" s="17" t="s">
        <v>16</v>
      </c>
      <c r="E264" s="18">
        <f>ROUND(9536*1.05,2)</f>
      </c>
      <c r="F264" s="17" t="s">
        <v>48</v>
      </c>
      <c r="G264" s="17" t="s">
        <v>18</v>
      </c>
      <c r="H264" s="18">
        <f>ROUND(RAND()*4+6,1)</f>
      </c>
      <c r="I264" s="17" t="s">
        <v>19</v>
      </c>
      <c r="J264" s="19">
        <f>ROUND(84*1,0)&amp;"%"</f>
      </c>
    </row>
    <row x14ac:dyDescent="0.25" r="265" customHeight="1" ht="17.25">
      <c r="A265" s="20" t="s">
        <v>2406</v>
      </c>
      <c r="B265" s="20" t="s">
        <v>436</v>
      </c>
      <c r="C265" s="20" t="s">
        <v>15</v>
      </c>
      <c r="D265" s="20" t="s">
        <v>22</v>
      </c>
      <c r="E265" s="21">
        <f>ROUND(17069*1.05,2)</f>
      </c>
      <c r="F265" s="20" t="s">
        <v>51</v>
      </c>
      <c r="G265" s="20" t="s">
        <v>24</v>
      </c>
      <c r="H265" s="21">
        <f>ROUND(RAND()*4+6,1)</f>
      </c>
      <c r="I265" s="20" t="s">
        <v>25</v>
      </c>
      <c r="J265" s="23">
        <f>ROUND(69*1,0)&amp;"%"</f>
      </c>
    </row>
    <row x14ac:dyDescent="0.25" r="266" customHeight="1" ht="17.25">
      <c r="A266" s="24" t="s">
        <v>437</v>
      </c>
      <c r="B266" s="24"/>
      <c r="C266" s="24"/>
      <c r="D266" s="24"/>
      <c r="E266" s="25">
        <v>8</v>
      </c>
      <c r="F266" s="9"/>
      <c r="G266" s="9"/>
      <c r="H266" s="10"/>
      <c r="I266" s="9"/>
      <c r="J266" s="9"/>
    </row>
    <row x14ac:dyDescent="0.25" r="267" customHeight="1" ht="17.25">
      <c r="A267" s="7"/>
      <c r="B267" s="7"/>
      <c r="C267" s="7"/>
      <c r="D267" s="7"/>
      <c r="E267" s="8"/>
      <c r="F267" s="9"/>
      <c r="G267" s="9"/>
      <c r="H267" s="10"/>
      <c r="I267" s="9"/>
      <c r="J267" s="9"/>
    </row>
    <row x14ac:dyDescent="0.25" r="268" customHeight="1" ht="17.25">
      <c r="A268" s="11" t="s">
        <v>2407</v>
      </c>
      <c r="B268" s="11"/>
      <c r="C268" s="11"/>
      <c r="D268" s="11"/>
      <c r="E268" s="12"/>
      <c r="F268" s="11"/>
      <c r="G268" s="11"/>
      <c r="H268" s="13"/>
      <c r="I268" s="11"/>
      <c r="J268" s="11"/>
    </row>
    <row x14ac:dyDescent="0.25" r="269" customHeight="1" ht="17.25">
      <c r="A269" s="14" t="s">
        <v>3</v>
      </c>
      <c r="B269" s="14" t="s">
        <v>4</v>
      </c>
      <c r="C269" s="14" t="s">
        <v>5</v>
      </c>
      <c r="D269" s="14" t="s">
        <v>6</v>
      </c>
      <c r="E269" s="15" t="s">
        <v>7</v>
      </c>
      <c r="F269" s="14" t="s">
        <v>8</v>
      </c>
      <c r="G269" s="14" t="s">
        <v>9</v>
      </c>
      <c r="H269" s="16" t="s">
        <v>10</v>
      </c>
      <c r="I269" s="14" t="s">
        <v>11</v>
      </c>
      <c r="J269" s="14" t="s">
        <v>12</v>
      </c>
    </row>
    <row x14ac:dyDescent="0.25" r="270" customHeight="1" ht="17.25">
      <c r="A270" s="17" t="s">
        <v>2408</v>
      </c>
      <c r="B270" s="17" t="s">
        <v>440</v>
      </c>
      <c r="C270" s="17" t="s">
        <v>56</v>
      </c>
      <c r="D270" s="17" t="s">
        <v>16</v>
      </c>
      <c r="E270" s="18">
        <f>ROUND(8354*1.05,2)</f>
      </c>
      <c r="F270" s="17" t="s">
        <v>17</v>
      </c>
      <c r="G270" s="17" t="s">
        <v>18</v>
      </c>
      <c r="H270" s="18">
        <f>ROUND(RAND()*4+6,1)</f>
      </c>
      <c r="I270" s="17" t="s">
        <v>19</v>
      </c>
      <c r="J270" s="19">
        <f>ROUND(66*1,0)&amp;"%"</f>
      </c>
    </row>
    <row x14ac:dyDescent="0.25" r="271" customHeight="1" ht="17.25">
      <c r="A271" s="20" t="s">
        <v>2409</v>
      </c>
      <c r="B271" s="20" t="s">
        <v>442</v>
      </c>
      <c r="C271" s="20" t="s">
        <v>56</v>
      </c>
      <c r="D271" s="20" t="s">
        <v>22</v>
      </c>
      <c r="E271" s="21">
        <f>ROUND(11724*1.05,2)</f>
      </c>
      <c r="F271" s="20" t="s">
        <v>23</v>
      </c>
      <c r="G271" s="20" t="s">
        <v>24</v>
      </c>
      <c r="H271" s="21">
        <f>ROUND(RAND()*4+6,1)</f>
      </c>
      <c r="I271" s="20" t="s">
        <v>25</v>
      </c>
      <c r="J271" s="23">
        <f>ROUND(73*1,0)&amp;"%"</f>
      </c>
    </row>
    <row x14ac:dyDescent="0.25" r="272" customHeight="1" ht="17.25">
      <c r="A272" s="17" t="s">
        <v>2410</v>
      </c>
      <c r="B272" s="17" t="s">
        <v>444</v>
      </c>
      <c r="C272" s="17" t="s">
        <v>56</v>
      </c>
      <c r="D272" s="17" t="s">
        <v>28</v>
      </c>
      <c r="E272" s="18">
        <f>ROUND(15648*1.05,2)</f>
      </c>
      <c r="F272" s="17" t="s">
        <v>29</v>
      </c>
      <c r="G272" s="17" t="s">
        <v>30</v>
      </c>
      <c r="H272" s="18">
        <f>ROUND(RAND()*4+6,1)</f>
      </c>
      <c r="I272" s="17" t="s">
        <v>31</v>
      </c>
      <c r="J272" s="19">
        <f>ROUND(60*1,0)&amp;"%"</f>
      </c>
    </row>
    <row x14ac:dyDescent="0.25" r="273" customHeight="1" ht="17.25">
      <c r="A273" s="20" t="s">
        <v>2411</v>
      </c>
      <c r="B273" s="20" t="s">
        <v>446</v>
      </c>
      <c r="C273" s="20" t="s">
        <v>56</v>
      </c>
      <c r="D273" s="20" t="s">
        <v>34</v>
      </c>
      <c r="E273" s="21">
        <f>ROUND(7305*1.05,2)</f>
      </c>
      <c r="F273" s="20" t="s">
        <v>35</v>
      </c>
      <c r="G273" s="20" t="s">
        <v>18</v>
      </c>
      <c r="H273" s="21">
        <f>ROUND(RAND()*4+6,1)</f>
      </c>
      <c r="I273" s="20" t="s">
        <v>36</v>
      </c>
      <c r="J273" s="23">
        <f>ROUND(61*1,0)&amp;"%"</f>
      </c>
    </row>
    <row x14ac:dyDescent="0.25" r="274" customHeight="1" ht="17.25">
      <c r="A274" s="17" t="s">
        <v>2412</v>
      </c>
      <c r="B274" s="17" t="s">
        <v>448</v>
      </c>
      <c r="C274" s="17" t="s">
        <v>56</v>
      </c>
      <c r="D274" s="17" t="s">
        <v>39</v>
      </c>
      <c r="E274" s="18">
        <f>ROUND(11117*1.05,2)</f>
      </c>
      <c r="F274" s="17" t="s">
        <v>40</v>
      </c>
      <c r="G274" s="17" t="s">
        <v>24</v>
      </c>
      <c r="H274" s="18">
        <f>ROUND(RAND()*4+6,1)</f>
      </c>
      <c r="I274" s="17" t="s">
        <v>41</v>
      </c>
      <c r="J274" s="19">
        <f>ROUND(89*1,0)&amp;"%"</f>
      </c>
    </row>
    <row x14ac:dyDescent="0.25" r="275" customHeight="1" ht="17.25">
      <c r="A275" s="20" t="s">
        <v>2413</v>
      </c>
      <c r="B275" s="20" t="s">
        <v>450</v>
      </c>
      <c r="C275" s="20" t="s">
        <v>56</v>
      </c>
      <c r="D275" s="20" t="s">
        <v>67</v>
      </c>
      <c r="E275" s="21">
        <f>ROUND(11597*1.05,2)</f>
      </c>
      <c r="F275" s="20" t="s">
        <v>44</v>
      </c>
      <c r="G275" s="20" t="s">
        <v>30</v>
      </c>
      <c r="H275" s="21">
        <f>ROUND(RAND()*4+6,1)</f>
      </c>
      <c r="I275" s="20" t="s">
        <v>45</v>
      </c>
      <c r="J275" s="23">
        <f>ROUND(74*1,0)&amp;"%"</f>
      </c>
    </row>
    <row x14ac:dyDescent="0.25" r="276" customHeight="1" ht="17.25">
      <c r="A276" s="17" t="s">
        <v>2414</v>
      </c>
      <c r="B276" s="17" t="s">
        <v>452</v>
      </c>
      <c r="C276" s="17" t="s">
        <v>56</v>
      </c>
      <c r="D276" s="17" t="s">
        <v>16</v>
      </c>
      <c r="E276" s="18">
        <f>ROUND(12048*1.05,2)</f>
      </c>
      <c r="F276" s="17" t="s">
        <v>48</v>
      </c>
      <c r="G276" s="17" t="s">
        <v>18</v>
      </c>
      <c r="H276" s="18">
        <f>ROUND(RAND()*4+6,1)</f>
      </c>
      <c r="I276" s="17" t="s">
        <v>19</v>
      </c>
      <c r="J276" s="19">
        <f>ROUND(75*1,0)&amp;"%"</f>
      </c>
    </row>
    <row x14ac:dyDescent="0.25" r="277" customHeight="1" ht="17.25">
      <c r="A277" s="20" t="s">
        <v>2415</v>
      </c>
      <c r="B277" s="20" t="s">
        <v>454</v>
      </c>
      <c r="C277" s="20" t="s">
        <v>56</v>
      </c>
      <c r="D277" s="20" t="s">
        <v>22</v>
      </c>
      <c r="E277" s="21">
        <f>ROUND(15284*1.05,2)</f>
      </c>
      <c r="F277" s="20" t="s">
        <v>51</v>
      </c>
      <c r="G277" s="20" t="s">
        <v>24</v>
      </c>
      <c r="H277" s="21">
        <f>ROUND(RAND()*4+6,1)</f>
      </c>
      <c r="I277" s="20" t="s">
        <v>25</v>
      </c>
      <c r="J277" s="23">
        <f>ROUND(80*1,0)&amp;"%"</f>
      </c>
    </row>
    <row x14ac:dyDescent="0.25" r="278" customHeight="1" ht="17.25">
      <c r="A278" s="24" t="s">
        <v>455</v>
      </c>
      <c r="B278" s="24"/>
      <c r="C278" s="24"/>
      <c r="D278" s="24"/>
      <c r="E278" s="25">
        <v>8</v>
      </c>
      <c r="F278" s="9"/>
      <c r="G278" s="9"/>
      <c r="H278" s="10"/>
      <c r="I278" s="9"/>
      <c r="J278" s="9"/>
    </row>
    <row x14ac:dyDescent="0.25" r="279" customHeight="1" ht="17.25">
      <c r="A279" s="7"/>
      <c r="B279" s="7"/>
      <c r="C279" s="7"/>
      <c r="D279" s="7"/>
      <c r="E279" s="8"/>
      <c r="F279" s="9"/>
      <c r="G279" s="9"/>
      <c r="H279" s="10"/>
      <c r="I279" s="9"/>
      <c r="J279" s="9"/>
    </row>
    <row x14ac:dyDescent="0.25" r="280" customHeight="1" ht="17.25">
      <c r="A280" s="11" t="s">
        <v>2416</v>
      </c>
      <c r="B280" s="11"/>
      <c r="C280" s="11"/>
      <c r="D280" s="11"/>
      <c r="E280" s="12"/>
      <c r="F280" s="11"/>
      <c r="G280" s="11"/>
      <c r="H280" s="13"/>
      <c r="I280" s="11"/>
      <c r="J280" s="11"/>
    </row>
    <row x14ac:dyDescent="0.25" r="281" customHeight="1" ht="17.25">
      <c r="A281" s="14" t="s">
        <v>3</v>
      </c>
      <c r="B281" s="14" t="s">
        <v>4</v>
      </c>
      <c r="C281" s="14" t="s">
        <v>5</v>
      </c>
      <c r="D281" s="14" t="s">
        <v>6</v>
      </c>
      <c r="E281" s="15" t="s">
        <v>7</v>
      </c>
      <c r="F281" s="14" t="s">
        <v>8</v>
      </c>
      <c r="G281" s="14" t="s">
        <v>9</v>
      </c>
      <c r="H281" s="16" t="s">
        <v>10</v>
      </c>
      <c r="I281" s="14" t="s">
        <v>11</v>
      </c>
      <c r="J281" s="14" t="s">
        <v>12</v>
      </c>
    </row>
    <row x14ac:dyDescent="0.25" r="282" customHeight="1" ht="17.25">
      <c r="A282" s="17" t="s">
        <v>2417</v>
      </c>
      <c r="B282" s="17" t="s">
        <v>458</v>
      </c>
      <c r="C282" s="17" t="s">
        <v>76</v>
      </c>
      <c r="D282" s="17" t="s">
        <v>16</v>
      </c>
      <c r="E282" s="18">
        <f>ROUND(15153*1.05,2)</f>
      </c>
      <c r="F282" s="17" t="s">
        <v>17</v>
      </c>
      <c r="G282" s="17" t="s">
        <v>18</v>
      </c>
      <c r="H282" s="18">
        <f>ROUND(RAND()*4+6,1)</f>
      </c>
      <c r="I282" s="17" t="s">
        <v>19</v>
      </c>
      <c r="J282" s="19">
        <f>ROUND(83*1,0)&amp;"%"</f>
      </c>
    </row>
    <row x14ac:dyDescent="0.25" r="283" customHeight="1" ht="17.25">
      <c r="A283" s="20" t="s">
        <v>2418</v>
      </c>
      <c r="B283" s="20" t="s">
        <v>460</v>
      </c>
      <c r="C283" s="20" t="s">
        <v>76</v>
      </c>
      <c r="D283" s="20" t="s">
        <v>22</v>
      </c>
      <c r="E283" s="21">
        <f>ROUND(7484*1.05,2)</f>
      </c>
      <c r="F283" s="20" t="s">
        <v>23</v>
      </c>
      <c r="G283" s="20" t="s">
        <v>24</v>
      </c>
      <c r="H283" s="22">
        <f>ROUND(RAND()*4+6,1)</f>
      </c>
      <c r="I283" s="20" t="s">
        <v>25</v>
      </c>
      <c r="J283" s="23">
        <f>ROUND(82*1,0)&amp;"%"</f>
      </c>
    </row>
    <row x14ac:dyDescent="0.25" r="284" customHeight="1" ht="17.25">
      <c r="A284" s="17" t="s">
        <v>2419</v>
      </c>
      <c r="B284" s="17" t="s">
        <v>462</v>
      </c>
      <c r="C284" s="17" t="s">
        <v>76</v>
      </c>
      <c r="D284" s="17" t="s">
        <v>28</v>
      </c>
      <c r="E284" s="18">
        <f>ROUND(16665*1.05,2)</f>
      </c>
      <c r="F284" s="17" t="s">
        <v>29</v>
      </c>
      <c r="G284" s="17" t="s">
        <v>30</v>
      </c>
      <c r="H284" s="18">
        <f>ROUND(RAND()*4+6,1)</f>
      </c>
      <c r="I284" s="17" t="s">
        <v>31</v>
      </c>
      <c r="J284" s="19">
        <f>ROUND(98*1,0)&amp;"%"</f>
      </c>
    </row>
    <row x14ac:dyDescent="0.25" r="285" customHeight="1" ht="17.25">
      <c r="A285" s="20" t="s">
        <v>2420</v>
      </c>
      <c r="B285" s="20" t="s">
        <v>464</v>
      </c>
      <c r="C285" s="20" t="s">
        <v>76</v>
      </c>
      <c r="D285" s="20" t="s">
        <v>34</v>
      </c>
      <c r="E285" s="21">
        <f>ROUND(14334*1.05,2)</f>
      </c>
      <c r="F285" s="20" t="s">
        <v>35</v>
      </c>
      <c r="G285" s="20" t="s">
        <v>18</v>
      </c>
      <c r="H285" s="21">
        <f>ROUND(RAND()*4+6,1)</f>
      </c>
      <c r="I285" s="20" t="s">
        <v>36</v>
      </c>
      <c r="J285" s="23">
        <f>ROUND(71*1,0)&amp;"%"</f>
      </c>
    </row>
    <row x14ac:dyDescent="0.25" r="286" customHeight="1" ht="17.25">
      <c r="A286" s="17" t="s">
        <v>2421</v>
      </c>
      <c r="B286" s="17" t="s">
        <v>466</v>
      </c>
      <c r="C286" s="17" t="s">
        <v>76</v>
      </c>
      <c r="D286" s="17" t="s">
        <v>39</v>
      </c>
      <c r="E286" s="18">
        <f>ROUND(7561*1.05,2)</f>
      </c>
      <c r="F286" s="17" t="s">
        <v>40</v>
      </c>
      <c r="G286" s="17" t="s">
        <v>24</v>
      </c>
      <c r="H286" s="18">
        <f>ROUND(RAND()*4+6,1)</f>
      </c>
      <c r="I286" s="17" t="s">
        <v>41</v>
      </c>
      <c r="J286" s="19">
        <f>ROUND(60*1,0)&amp;"%"</f>
      </c>
    </row>
    <row x14ac:dyDescent="0.25" r="287" customHeight="1" ht="17.25">
      <c r="A287" s="20" t="s">
        <v>2422</v>
      </c>
      <c r="B287" s="20" t="s">
        <v>468</v>
      </c>
      <c r="C287" s="20" t="s">
        <v>76</v>
      </c>
      <c r="D287" s="20" t="s">
        <v>67</v>
      </c>
      <c r="E287" s="21">
        <f>ROUND(15523*1.05,2)</f>
      </c>
      <c r="F287" s="20" t="s">
        <v>44</v>
      </c>
      <c r="G287" s="20" t="s">
        <v>30</v>
      </c>
      <c r="H287" s="21">
        <f>ROUND(RAND()*4+6,1)</f>
      </c>
      <c r="I287" s="20" t="s">
        <v>45</v>
      </c>
      <c r="J287" s="23">
        <f>ROUND(77*1,0)&amp;"%"</f>
      </c>
    </row>
    <row x14ac:dyDescent="0.25" r="288" customHeight="1" ht="17.25">
      <c r="A288" s="17" t="s">
        <v>2423</v>
      </c>
      <c r="B288" s="17" t="s">
        <v>470</v>
      </c>
      <c r="C288" s="17" t="s">
        <v>76</v>
      </c>
      <c r="D288" s="17" t="s">
        <v>16</v>
      </c>
      <c r="E288" s="18">
        <f>ROUND(4224*1.05,2)</f>
      </c>
      <c r="F288" s="17" t="s">
        <v>48</v>
      </c>
      <c r="G288" s="17" t="s">
        <v>18</v>
      </c>
      <c r="H288" s="26">
        <f>ROUND(RAND()*4+6,1)</f>
      </c>
      <c r="I288" s="17" t="s">
        <v>19</v>
      </c>
      <c r="J288" s="19">
        <f>ROUND(99*1,0)&amp;"%"</f>
      </c>
    </row>
    <row x14ac:dyDescent="0.25" r="289" customHeight="1" ht="17.25">
      <c r="A289" s="20" t="s">
        <v>2424</v>
      </c>
      <c r="B289" s="20" t="s">
        <v>472</v>
      </c>
      <c r="C289" s="20" t="s">
        <v>76</v>
      </c>
      <c r="D289" s="20" t="s">
        <v>22</v>
      </c>
      <c r="E289" s="21">
        <f>ROUND(11696*1.05,2)</f>
      </c>
      <c r="F289" s="20" t="s">
        <v>51</v>
      </c>
      <c r="G289" s="20" t="s">
        <v>24</v>
      </c>
      <c r="H289" s="21">
        <f>ROUND(RAND()*4+6,1)</f>
      </c>
      <c r="I289" s="20" t="s">
        <v>25</v>
      </c>
      <c r="J289" s="23">
        <f>ROUND(68*1,0)&amp;"%"</f>
      </c>
    </row>
    <row x14ac:dyDescent="0.25" r="290" customHeight="1" ht="17.25">
      <c r="A290" s="24" t="s">
        <v>473</v>
      </c>
      <c r="B290" s="24"/>
      <c r="C290" s="24"/>
      <c r="D290" s="24"/>
      <c r="E290" s="25">
        <v>8</v>
      </c>
      <c r="F290" s="9"/>
      <c r="G290" s="9"/>
      <c r="H290" s="10"/>
      <c r="I290" s="9"/>
      <c r="J290" s="9"/>
    </row>
    <row x14ac:dyDescent="0.25" r="291" customHeight="1" ht="17.25">
      <c r="A291" s="7"/>
      <c r="B291" s="7"/>
      <c r="C291" s="7"/>
      <c r="D291" s="7"/>
      <c r="E291" s="8"/>
      <c r="F291" s="9"/>
      <c r="G291" s="9"/>
      <c r="H291" s="10"/>
      <c r="I291" s="9"/>
      <c r="J291" s="9"/>
    </row>
    <row x14ac:dyDescent="0.25" r="292" customHeight="1" ht="17.25">
      <c r="A292" s="11" t="s">
        <v>2425</v>
      </c>
      <c r="B292" s="11"/>
      <c r="C292" s="11"/>
      <c r="D292" s="11"/>
      <c r="E292" s="12"/>
      <c r="F292" s="11"/>
      <c r="G292" s="11"/>
      <c r="H292" s="13"/>
      <c r="I292" s="11"/>
      <c r="J292" s="11"/>
    </row>
    <row x14ac:dyDescent="0.25" r="293" customHeight="1" ht="17.25">
      <c r="A293" s="14" t="s">
        <v>3</v>
      </c>
      <c r="B293" s="14" t="s">
        <v>4</v>
      </c>
      <c r="C293" s="14" t="s">
        <v>5</v>
      </c>
      <c r="D293" s="14" t="s">
        <v>6</v>
      </c>
      <c r="E293" s="15" t="s">
        <v>7</v>
      </c>
      <c r="F293" s="14" t="s">
        <v>8</v>
      </c>
      <c r="G293" s="14" t="s">
        <v>9</v>
      </c>
      <c r="H293" s="16" t="s">
        <v>10</v>
      </c>
      <c r="I293" s="14" t="s">
        <v>11</v>
      </c>
      <c r="J293" s="14" t="s">
        <v>12</v>
      </c>
    </row>
    <row x14ac:dyDescent="0.25" r="294" customHeight="1" ht="17.25">
      <c r="A294" s="17" t="s">
        <v>2426</v>
      </c>
      <c r="B294" s="17" t="s">
        <v>476</v>
      </c>
      <c r="C294" s="17" t="s">
        <v>95</v>
      </c>
      <c r="D294" s="17" t="s">
        <v>16</v>
      </c>
      <c r="E294" s="18">
        <f>ROUND(15632*1.05,2)</f>
      </c>
      <c r="F294" s="17" t="s">
        <v>17</v>
      </c>
      <c r="G294" s="17" t="s">
        <v>18</v>
      </c>
      <c r="H294" s="26">
        <f>ROUND(RAND()*4+6,1)</f>
      </c>
      <c r="I294" s="17" t="s">
        <v>19</v>
      </c>
      <c r="J294" s="19">
        <f>ROUND(90*1,0)&amp;"%"</f>
      </c>
    </row>
    <row x14ac:dyDescent="0.25" r="295" customHeight="1" ht="17.25">
      <c r="A295" s="20" t="s">
        <v>2427</v>
      </c>
      <c r="B295" s="20" t="s">
        <v>478</v>
      </c>
      <c r="C295" s="20" t="s">
        <v>95</v>
      </c>
      <c r="D295" s="20" t="s">
        <v>22</v>
      </c>
      <c r="E295" s="21">
        <f>ROUND(10241*1.05,2)</f>
      </c>
      <c r="F295" s="20" t="s">
        <v>23</v>
      </c>
      <c r="G295" s="20" t="s">
        <v>24</v>
      </c>
      <c r="H295" s="21">
        <f>ROUND(RAND()*4+6,1)</f>
      </c>
      <c r="I295" s="20" t="s">
        <v>25</v>
      </c>
      <c r="J295" s="23">
        <f>ROUND(86*1,0)&amp;"%"</f>
      </c>
    </row>
    <row x14ac:dyDescent="0.25" r="296" customHeight="1" ht="17.25">
      <c r="A296" s="17" t="s">
        <v>2428</v>
      </c>
      <c r="B296" s="17" t="s">
        <v>480</v>
      </c>
      <c r="C296" s="17" t="s">
        <v>95</v>
      </c>
      <c r="D296" s="17" t="s">
        <v>28</v>
      </c>
      <c r="E296" s="18">
        <f>ROUND(9322*1.05,2)</f>
      </c>
      <c r="F296" s="17" t="s">
        <v>29</v>
      </c>
      <c r="G296" s="17" t="s">
        <v>30</v>
      </c>
      <c r="H296" s="18">
        <f>ROUND(RAND()*4+6,1)</f>
      </c>
      <c r="I296" s="17" t="s">
        <v>31</v>
      </c>
      <c r="J296" s="19">
        <f>ROUND(93*1,0)&amp;"%"</f>
      </c>
    </row>
    <row x14ac:dyDescent="0.25" r="297" customHeight="1" ht="17.25">
      <c r="A297" s="20" t="s">
        <v>2429</v>
      </c>
      <c r="B297" s="20" t="s">
        <v>482</v>
      </c>
      <c r="C297" s="20" t="s">
        <v>95</v>
      </c>
      <c r="D297" s="20" t="s">
        <v>34</v>
      </c>
      <c r="E297" s="21">
        <f>ROUND(7144*1.05,2)</f>
      </c>
      <c r="F297" s="20" t="s">
        <v>35</v>
      </c>
      <c r="G297" s="20" t="s">
        <v>18</v>
      </c>
      <c r="H297" s="21">
        <f>ROUND(RAND()*4+6,1)</f>
      </c>
      <c r="I297" s="20" t="s">
        <v>36</v>
      </c>
      <c r="J297" s="23">
        <f>ROUND(82*1,0)&amp;"%"</f>
      </c>
    </row>
    <row x14ac:dyDescent="0.25" r="298" customHeight="1" ht="17.25">
      <c r="A298" s="17" t="s">
        <v>2430</v>
      </c>
      <c r="B298" s="17" t="s">
        <v>484</v>
      </c>
      <c r="C298" s="17" t="s">
        <v>95</v>
      </c>
      <c r="D298" s="17" t="s">
        <v>39</v>
      </c>
      <c r="E298" s="26">
        <f>ROUND(7440*1.05,2)</f>
      </c>
      <c r="F298" s="17" t="s">
        <v>40</v>
      </c>
      <c r="G298" s="17" t="s">
        <v>24</v>
      </c>
      <c r="H298" s="18">
        <f>ROUND(RAND()*4+6,1)</f>
      </c>
      <c r="I298" s="17" t="s">
        <v>41</v>
      </c>
      <c r="J298" s="19">
        <f>ROUND(63*1,0)&amp;"%"</f>
      </c>
    </row>
    <row x14ac:dyDescent="0.25" r="299" customHeight="1" ht="17.25">
      <c r="A299" s="20" t="s">
        <v>2431</v>
      </c>
      <c r="B299" s="20" t="s">
        <v>486</v>
      </c>
      <c r="C299" s="20" t="s">
        <v>95</v>
      </c>
      <c r="D299" s="20" t="s">
        <v>67</v>
      </c>
      <c r="E299" s="21">
        <f>ROUND(12914*1.05,2)</f>
      </c>
      <c r="F299" s="20" t="s">
        <v>44</v>
      </c>
      <c r="G299" s="20" t="s">
        <v>30</v>
      </c>
      <c r="H299" s="21">
        <f>ROUND(RAND()*4+6,1)</f>
      </c>
      <c r="I299" s="20" t="s">
        <v>45</v>
      </c>
      <c r="J299" s="23">
        <f>ROUND(81*1,0)&amp;"%"</f>
      </c>
    </row>
    <row x14ac:dyDescent="0.25" r="300" customHeight="1" ht="17.25">
      <c r="A300" s="17" t="s">
        <v>2432</v>
      </c>
      <c r="B300" s="17" t="s">
        <v>488</v>
      </c>
      <c r="C300" s="17" t="s">
        <v>95</v>
      </c>
      <c r="D300" s="17" t="s">
        <v>16</v>
      </c>
      <c r="E300" s="18">
        <f>ROUND(16389*1.05,2)</f>
      </c>
      <c r="F300" s="17" t="s">
        <v>48</v>
      </c>
      <c r="G300" s="17" t="s">
        <v>18</v>
      </c>
      <c r="H300" s="18">
        <f>ROUND(RAND()*4+6,1)</f>
      </c>
      <c r="I300" s="17" t="s">
        <v>19</v>
      </c>
      <c r="J300" s="19">
        <f>ROUND(65*1,0)&amp;"%"</f>
      </c>
    </row>
    <row x14ac:dyDescent="0.25" r="301" customHeight="1" ht="17.25">
      <c r="A301" s="20" t="s">
        <v>2433</v>
      </c>
      <c r="B301" s="20" t="s">
        <v>490</v>
      </c>
      <c r="C301" s="20" t="s">
        <v>95</v>
      </c>
      <c r="D301" s="20" t="s">
        <v>22</v>
      </c>
      <c r="E301" s="21">
        <f>ROUND(5558*1.05,2)</f>
      </c>
      <c r="F301" s="20" t="s">
        <v>51</v>
      </c>
      <c r="G301" s="20" t="s">
        <v>24</v>
      </c>
      <c r="H301" s="21">
        <f>ROUND(RAND()*4+6,1)</f>
      </c>
      <c r="I301" s="20" t="s">
        <v>25</v>
      </c>
      <c r="J301" s="23">
        <f>ROUND(60*1,0)&amp;"%"</f>
      </c>
    </row>
    <row x14ac:dyDescent="0.25" r="302" customHeight="1" ht="17.25">
      <c r="A302" s="24" t="s">
        <v>491</v>
      </c>
      <c r="B302" s="24"/>
      <c r="C302" s="24"/>
      <c r="D302" s="24"/>
      <c r="E302" s="25">
        <v>8</v>
      </c>
      <c r="F302" s="9"/>
      <c r="G302" s="9"/>
      <c r="H302" s="10"/>
      <c r="I302" s="9"/>
      <c r="J302" s="9"/>
    </row>
    <row x14ac:dyDescent="0.25" r="303" customHeight="1" ht="17.25">
      <c r="A303" s="7"/>
      <c r="B303" s="7"/>
      <c r="C303" s="7"/>
      <c r="D303" s="7"/>
      <c r="E303" s="8"/>
      <c r="F303" s="9"/>
      <c r="G303" s="9"/>
      <c r="H303" s="10"/>
      <c r="I303" s="9"/>
      <c r="J303" s="9"/>
    </row>
    <row x14ac:dyDescent="0.25" r="304" customHeight="1" ht="17.25">
      <c r="A304" s="11" t="s">
        <v>2434</v>
      </c>
      <c r="B304" s="11"/>
      <c r="C304" s="11"/>
      <c r="D304" s="11"/>
      <c r="E304" s="12"/>
      <c r="F304" s="11"/>
      <c r="G304" s="11"/>
      <c r="H304" s="13"/>
      <c r="I304" s="11"/>
      <c r="J304" s="11"/>
    </row>
    <row x14ac:dyDescent="0.25" r="305" customHeight="1" ht="17.25">
      <c r="A305" s="14" t="s">
        <v>3</v>
      </c>
      <c r="B305" s="14" t="s">
        <v>4</v>
      </c>
      <c r="C305" s="14" t="s">
        <v>5</v>
      </c>
      <c r="D305" s="14" t="s">
        <v>6</v>
      </c>
      <c r="E305" s="15" t="s">
        <v>7</v>
      </c>
      <c r="F305" s="14" t="s">
        <v>8</v>
      </c>
      <c r="G305" s="14" t="s">
        <v>9</v>
      </c>
      <c r="H305" s="16" t="s">
        <v>10</v>
      </c>
      <c r="I305" s="14" t="s">
        <v>11</v>
      </c>
      <c r="J305" s="14" t="s">
        <v>12</v>
      </c>
    </row>
    <row x14ac:dyDescent="0.25" r="306" customHeight="1" ht="17.25">
      <c r="A306" s="17" t="s">
        <v>2435</v>
      </c>
      <c r="B306" s="17" t="s">
        <v>494</v>
      </c>
      <c r="C306" s="17" t="s">
        <v>114</v>
      </c>
      <c r="D306" s="17" t="s">
        <v>16</v>
      </c>
      <c r="E306" s="18">
        <f>ROUND(11738*1.05,2)</f>
      </c>
      <c r="F306" s="17" t="s">
        <v>17</v>
      </c>
      <c r="G306" s="17" t="s">
        <v>18</v>
      </c>
      <c r="H306" s="18">
        <f>ROUND(RAND()*4+6,1)</f>
      </c>
      <c r="I306" s="17" t="s">
        <v>19</v>
      </c>
      <c r="J306" s="19">
        <f>ROUND(64*1,0)&amp;"%"</f>
      </c>
    </row>
    <row x14ac:dyDescent="0.25" r="307" customHeight="1" ht="17.25">
      <c r="A307" s="20" t="s">
        <v>2436</v>
      </c>
      <c r="B307" s="20" t="s">
        <v>496</v>
      </c>
      <c r="C307" s="20" t="s">
        <v>114</v>
      </c>
      <c r="D307" s="20" t="s">
        <v>22</v>
      </c>
      <c r="E307" s="21">
        <f>ROUND(16835*1.05,2)</f>
      </c>
      <c r="F307" s="20" t="s">
        <v>23</v>
      </c>
      <c r="G307" s="20" t="s">
        <v>24</v>
      </c>
      <c r="H307" s="21">
        <f>ROUND(RAND()*4+6,1)</f>
      </c>
      <c r="I307" s="20" t="s">
        <v>25</v>
      </c>
      <c r="J307" s="23">
        <f>ROUND(81*1,0)&amp;"%"</f>
      </c>
    </row>
    <row x14ac:dyDescent="0.25" r="308" customHeight="1" ht="17.25">
      <c r="A308" s="17" t="s">
        <v>2437</v>
      </c>
      <c r="B308" s="17" t="s">
        <v>498</v>
      </c>
      <c r="C308" s="17" t="s">
        <v>114</v>
      </c>
      <c r="D308" s="17" t="s">
        <v>28</v>
      </c>
      <c r="E308" s="18">
        <f>ROUND(11184*1.05,2)</f>
      </c>
      <c r="F308" s="17" t="s">
        <v>29</v>
      </c>
      <c r="G308" s="17" t="s">
        <v>30</v>
      </c>
      <c r="H308" s="18">
        <f>ROUND(RAND()*4+6,1)</f>
      </c>
      <c r="I308" s="17" t="s">
        <v>31</v>
      </c>
      <c r="J308" s="19">
        <f>ROUND(93*1,0)&amp;"%"</f>
      </c>
    </row>
    <row x14ac:dyDescent="0.25" r="309" customHeight="1" ht="17.25">
      <c r="A309" s="20" t="s">
        <v>2438</v>
      </c>
      <c r="B309" s="20" t="s">
        <v>500</v>
      </c>
      <c r="C309" s="20" t="s">
        <v>114</v>
      </c>
      <c r="D309" s="20" t="s">
        <v>34</v>
      </c>
      <c r="E309" s="21">
        <f>ROUND(15839*1.05,2)</f>
      </c>
      <c r="F309" s="20" t="s">
        <v>35</v>
      </c>
      <c r="G309" s="20" t="s">
        <v>18</v>
      </c>
      <c r="H309" s="21">
        <f>ROUND(RAND()*4+6,1)</f>
      </c>
      <c r="I309" s="20" t="s">
        <v>36</v>
      </c>
      <c r="J309" s="23">
        <f>ROUND(83*1,0)&amp;"%"</f>
      </c>
    </row>
    <row x14ac:dyDescent="0.25" r="310" customHeight="1" ht="17.25">
      <c r="A310" s="17" t="s">
        <v>2439</v>
      </c>
      <c r="B310" s="17" t="s">
        <v>502</v>
      </c>
      <c r="C310" s="17" t="s">
        <v>114</v>
      </c>
      <c r="D310" s="17" t="s">
        <v>39</v>
      </c>
      <c r="E310" s="18">
        <f>ROUND(9954*1.05,2)</f>
      </c>
      <c r="F310" s="17" t="s">
        <v>40</v>
      </c>
      <c r="G310" s="17" t="s">
        <v>24</v>
      </c>
      <c r="H310" s="18">
        <f>ROUND(RAND()*4+6,1)</f>
      </c>
      <c r="I310" s="17" t="s">
        <v>41</v>
      </c>
      <c r="J310" s="19">
        <f>ROUND(74*1,0)&amp;"%"</f>
      </c>
    </row>
    <row x14ac:dyDescent="0.25" r="311" customHeight="1" ht="17.25">
      <c r="A311" s="20" t="s">
        <v>2440</v>
      </c>
      <c r="B311" s="20" t="s">
        <v>504</v>
      </c>
      <c r="C311" s="20" t="s">
        <v>114</v>
      </c>
      <c r="D311" s="20" t="s">
        <v>67</v>
      </c>
      <c r="E311" s="21">
        <f>ROUND(17203*1.05,2)</f>
      </c>
      <c r="F311" s="20" t="s">
        <v>44</v>
      </c>
      <c r="G311" s="20" t="s">
        <v>30</v>
      </c>
      <c r="H311" s="21">
        <f>ROUND(RAND()*4+6,1)</f>
      </c>
      <c r="I311" s="20" t="s">
        <v>45</v>
      </c>
      <c r="J311" s="23">
        <f>ROUND(60*1,0)&amp;"%"</f>
      </c>
    </row>
    <row x14ac:dyDescent="0.25" r="312" customHeight="1" ht="17.25">
      <c r="A312" s="17" t="s">
        <v>2441</v>
      </c>
      <c r="B312" s="17" t="s">
        <v>506</v>
      </c>
      <c r="C312" s="17" t="s">
        <v>114</v>
      </c>
      <c r="D312" s="17" t="s">
        <v>16</v>
      </c>
      <c r="E312" s="18">
        <f>ROUND(7082*1.05,2)</f>
      </c>
      <c r="F312" s="17" t="s">
        <v>48</v>
      </c>
      <c r="G312" s="17" t="s">
        <v>18</v>
      </c>
      <c r="H312" s="18">
        <f>ROUND(RAND()*4+6,1)</f>
      </c>
      <c r="I312" s="17" t="s">
        <v>19</v>
      </c>
      <c r="J312" s="19">
        <f>ROUND(94*1,0)&amp;"%"</f>
      </c>
    </row>
    <row x14ac:dyDescent="0.25" r="313" customHeight="1" ht="17.25">
      <c r="A313" s="20" t="s">
        <v>2442</v>
      </c>
      <c r="B313" s="20" t="s">
        <v>508</v>
      </c>
      <c r="C313" s="20" t="s">
        <v>114</v>
      </c>
      <c r="D313" s="20" t="s">
        <v>22</v>
      </c>
      <c r="E313" s="21">
        <f>ROUND(7965*1.05,2)</f>
      </c>
      <c r="F313" s="20" t="s">
        <v>51</v>
      </c>
      <c r="G313" s="20" t="s">
        <v>24</v>
      </c>
      <c r="H313" s="21">
        <f>ROUND(RAND()*4+6,1)</f>
      </c>
      <c r="I313" s="20" t="s">
        <v>25</v>
      </c>
      <c r="J313" s="23">
        <f>ROUND(88*1,0)&amp;"%"</f>
      </c>
    </row>
    <row x14ac:dyDescent="0.25" r="314" customHeight="1" ht="17.25">
      <c r="A314" s="24" t="s">
        <v>509</v>
      </c>
      <c r="B314" s="24"/>
      <c r="C314" s="24"/>
      <c r="D314" s="24"/>
      <c r="E314" s="25">
        <v>8</v>
      </c>
      <c r="F314" s="9"/>
      <c r="G314" s="9"/>
      <c r="H314" s="10"/>
      <c r="I314" s="9"/>
      <c r="J314" s="9"/>
    </row>
    <row x14ac:dyDescent="0.25" r="315" customHeight="1" ht="17.25">
      <c r="A315" s="7"/>
      <c r="B315" s="7"/>
      <c r="C315" s="7"/>
      <c r="D315" s="7"/>
      <c r="E315" s="8"/>
      <c r="F315" s="9"/>
      <c r="G315" s="9"/>
      <c r="H315" s="10"/>
      <c r="I315" s="9"/>
      <c r="J315" s="9"/>
    </row>
    <row x14ac:dyDescent="0.25" r="316" customHeight="1" ht="17.25">
      <c r="A316" s="11" t="s">
        <v>2443</v>
      </c>
      <c r="B316" s="11"/>
      <c r="C316" s="11"/>
      <c r="D316" s="11"/>
      <c r="E316" s="12"/>
      <c r="F316" s="11"/>
      <c r="G316" s="11"/>
      <c r="H316" s="13"/>
      <c r="I316" s="11"/>
      <c r="J316" s="11"/>
    </row>
    <row x14ac:dyDescent="0.25" r="317" customHeight="1" ht="17.25">
      <c r="A317" s="14" t="s">
        <v>3</v>
      </c>
      <c r="B317" s="14" t="s">
        <v>4</v>
      </c>
      <c r="C317" s="14" t="s">
        <v>5</v>
      </c>
      <c r="D317" s="14" t="s">
        <v>6</v>
      </c>
      <c r="E317" s="15" t="s">
        <v>7</v>
      </c>
      <c r="F317" s="14" t="s">
        <v>8</v>
      </c>
      <c r="G317" s="14" t="s">
        <v>9</v>
      </c>
      <c r="H317" s="16" t="s">
        <v>10</v>
      </c>
      <c r="I317" s="14" t="s">
        <v>11</v>
      </c>
      <c r="J317" s="14" t="s">
        <v>12</v>
      </c>
    </row>
    <row x14ac:dyDescent="0.25" r="318" customHeight="1" ht="17.25">
      <c r="A318" s="17" t="s">
        <v>2444</v>
      </c>
      <c r="B318" s="17" t="s">
        <v>512</v>
      </c>
      <c r="C318" s="17" t="s">
        <v>133</v>
      </c>
      <c r="D318" s="17" t="s">
        <v>16</v>
      </c>
      <c r="E318" s="18">
        <f>ROUND(9039*1.05,2)</f>
      </c>
      <c r="F318" s="17" t="s">
        <v>17</v>
      </c>
      <c r="G318" s="17" t="s">
        <v>18</v>
      </c>
      <c r="H318" s="26">
        <f>ROUND(RAND()*4+6,1)</f>
      </c>
      <c r="I318" s="17" t="s">
        <v>19</v>
      </c>
      <c r="J318" s="19">
        <f>ROUND(96*1,0)&amp;"%"</f>
      </c>
    </row>
    <row x14ac:dyDescent="0.25" r="319" customHeight="1" ht="17.25">
      <c r="A319" s="20" t="s">
        <v>2445</v>
      </c>
      <c r="B319" s="20" t="s">
        <v>514</v>
      </c>
      <c r="C319" s="20" t="s">
        <v>133</v>
      </c>
      <c r="D319" s="20" t="s">
        <v>22</v>
      </c>
      <c r="E319" s="21">
        <f>ROUND(15603*1.05,2)</f>
      </c>
      <c r="F319" s="20" t="s">
        <v>23</v>
      </c>
      <c r="G319" s="20" t="s">
        <v>24</v>
      </c>
      <c r="H319" s="21">
        <f>ROUND(RAND()*4+6,1)</f>
      </c>
      <c r="I319" s="20" t="s">
        <v>25</v>
      </c>
      <c r="J319" s="23">
        <f>ROUND(78*1,0)&amp;"%"</f>
      </c>
    </row>
    <row x14ac:dyDescent="0.25" r="320" customHeight="1" ht="17.25">
      <c r="A320" s="17" t="s">
        <v>2446</v>
      </c>
      <c r="B320" s="17" t="s">
        <v>516</v>
      </c>
      <c r="C320" s="17" t="s">
        <v>133</v>
      </c>
      <c r="D320" s="17" t="s">
        <v>28</v>
      </c>
      <c r="E320" s="18">
        <f>ROUND(12123*1.05,2)</f>
      </c>
      <c r="F320" s="17" t="s">
        <v>29</v>
      </c>
      <c r="G320" s="17" t="s">
        <v>30</v>
      </c>
      <c r="H320" s="18">
        <f>ROUND(RAND()*4+6,1)</f>
      </c>
      <c r="I320" s="17" t="s">
        <v>31</v>
      </c>
      <c r="J320" s="19">
        <f>ROUND(63*1,0)&amp;"%"</f>
      </c>
    </row>
    <row x14ac:dyDescent="0.25" r="321" customHeight="1" ht="17.25">
      <c r="A321" s="20" t="s">
        <v>2447</v>
      </c>
      <c r="B321" s="20" t="s">
        <v>518</v>
      </c>
      <c r="C321" s="20" t="s">
        <v>133</v>
      </c>
      <c r="D321" s="20" t="s">
        <v>34</v>
      </c>
      <c r="E321" s="22">
        <f>ROUND(8280*1.05,2)</f>
      </c>
      <c r="F321" s="20" t="s">
        <v>35</v>
      </c>
      <c r="G321" s="20" t="s">
        <v>18</v>
      </c>
      <c r="H321" s="21">
        <f>ROUND(RAND()*4+6,1)</f>
      </c>
      <c r="I321" s="20" t="s">
        <v>36</v>
      </c>
      <c r="J321" s="23">
        <f>ROUND(72*1,0)&amp;"%"</f>
      </c>
    </row>
    <row x14ac:dyDescent="0.25" r="322" customHeight="1" ht="17.25">
      <c r="A322" s="17" t="s">
        <v>2448</v>
      </c>
      <c r="B322" s="17" t="s">
        <v>520</v>
      </c>
      <c r="C322" s="17" t="s">
        <v>133</v>
      </c>
      <c r="D322" s="17" t="s">
        <v>39</v>
      </c>
      <c r="E322" s="18">
        <f>ROUND(6681*1.05,2)</f>
      </c>
      <c r="F322" s="17" t="s">
        <v>40</v>
      </c>
      <c r="G322" s="17" t="s">
        <v>24</v>
      </c>
      <c r="H322" s="18">
        <f>ROUND(RAND()*4+6,1)</f>
      </c>
      <c r="I322" s="17" t="s">
        <v>41</v>
      </c>
      <c r="J322" s="19">
        <f>ROUND(66*1,0)&amp;"%"</f>
      </c>
    </row>
    <row x14ac:dyDescent="0.25" r="323" customHeight="1" ht="17.25">
      <c r="A323" s="20" t="s">
        <v>2449</v>
      </c>
      <c r="B323" s="20" t="s">
        <v>522</v>
      </c>
      <c r="C323" s="20" t="s">
        <v>133</v>
      </c>
      <c r="D323" s="20" t="s">
        <v>67</v>
      </c>
      <c r="E323" s="21">
        <f>ROUND(11450*1.05,2)</f>
      </c>
      <c r="F323" s="20" t="s">
        <v>44</v>
      </c>
      <c r="G323" s="20" t="s">
        <v>30</v>
      </c>
      <c r="H323" s="21">
        <f>ROUND(RAND()*4+6,1)</f>
      </c>
      <c r="I323" s="20" t="s">
        <v>45</v>
      </c>
      <c r="J323" s="23">
        <f>ROUND(96*1,0)&amp;"%"</f>
      </c>
    </row>
    <row x14ac:dyDescent="0.25" r="324" customHeight="1" ht="17.25">
      <c r="A324" s="17" t="s">
        <v>2450</v>
      </c>
      <c r="B324" s="17" t="s">
        <v>524</v>
      </c>
      <c r="C324" s="17" t="s">
        <v>133</v>
      </c>
      <c r="D324" s="17" t="s">
        <v>16</v>
      </c>
      <c r="E324" s="18">
        <f>ROUND(4771*1.05,2)</f>
      </c>
      <c r="F324" s="17" t="s">
        <v>48</v>
      </c>
      <c r="G324" s="17" t="s">
        <v>18</v>
      </c>
      <c r="H324" s="18">
        <f>ROUND(RAND()*4+6,1)</f>
      </c>
      <c r="I324" s="17" t="s">
        <v>19</v>
      </c>
      <c r="J324" s="19">
        <f>ROUND(76*1,0)&amp;"%"</f>
      </c>
    </row>
    <row x14ac:dyDescent="0.25" r="325" customHeight="1" ht="17.25">
      <c r="A325" s="20" t="s">
        <v>2451</v>
      </c>
      <c r="B325" s="20" t="s">
        <v>526</v>
      </c>
      <c r="C325" s="20" t="s">
        <v>133</v>
      </c>
      <c r="D325" s="20" t="s">
        <v>22</v>
      </c>
      <c r="E325" s="21">
        <f>ROUND(16132*1.05,2)</f>
      </c>
      <c r="F325" s="20" t="s">
        <v>51</v>
      </c>
      <c r="G325" s="20" t="s">
        <v>24</v>
      </c>
      <c r="H325" s="21">
        <f>ROUND(RAND()*4+6,1)</f>
      </c>
      <c r="I325" s="20" t="s">
        <v>25</v>
      </c>
      <c r="J325" s="23">
        <f>ROUND(88*1,0)&amp;"%"</f>
      </c>
    </row>
    <row x14ac:dyDescent="0.25" r="326" customHeight="1" ht="17.25">
      <c r="A326" s="24" t="s">
        <v>527</v>
      </c>
      <c r="B326" s="24"/>
      <c r="C326" s="24"/>
      <c r="D326" s="24"/>
      <c r="E326" s="25">
        <v>8</v>
      </c>
      <c r="F326" s="9"/>
      <c r="G326" s="9"/>
      <c r="H326" s="10"/>
      <c r="I326" s="9"/>
      <c r="J326" s="9"/>
    </row>
    <row x14ac:dyDescent="0.25" r="327" customHeight="1" ht="17.25">
      <c r="A327" s="7"/>
      <c r="B327" s="7"/>
      <c r="C327" s="7"/>
      <c r="D327" s="7"/>
      <c r="E327" s="8"/>
      <c r="F327" s="9"/>
      <c r="G327" s="9"/>
      <c r="H327" s="10"/>
      <c r="I327" s="9"/>
      <c r="J327" s="9"/>
    </row>
    <row x14ac:dyDescent="0.25" r="328" customHeight="1" ht="17.25">
      <c r="A328" s="11" t="s">
        <v>2452</v>
      </c>
      <c r="B328" s="11"/>
      <c r="C328" s="11"/>
      <c r="D328" s="11"/>
      <c r="E328" s="12"/>
      <c r="F328" s="11"/>
      <c r="G328" s="11"/>
      <c r="H328" s="13"/>
      <c r="I328" s="11"/>
      <c r="J328" s="11"/>
    </row>
    <row x14ac:dyDescent="0.25" r="329" customHeight="1" ht="17.25">
      <c r="A329" s="14" t="s">
        <v>3</v>
      </c>
      <c r="B329" s="14" t="s">
        <v>4</v>
      </c>
      <c r="C329" s="14" t="s">
        <v>5</v>
      </c>
      <c r="D329" s="14" t="s">
        <v>6</v>
      </c>
      <c r="E329" s="15" t="s">
        <v>7</v>
      </c>
      <c r="F329" s="14" t="s">
        <v>8</v>
      </c>
      <c r="G329" s="14" t="s">
        <v>9</v>
      </c>
      <c r="H329" s="16" t="s">
        <v>10</v>
      </c>
      <c r="I329" s="14" t="s">
        <v>11</v>
      </c>
      <c r="J329" s="14" t="s">
        <v>12</v>
      </c>
    </row>
    <row x14ac:dyDescent="0.25" r="330" customHeight="1" ht="17.25">
      <c r="A330" s="17" t="s">
        <v>2453</v>
      </c>
      <c r="B330" s="17" t="s">
        <v>530</v>
      </c>
      <c r="C330" s="17" t="s">
        <v>152</v>
      </c>
      <c r="D330" s="17" t="s">
        <v>16</v>
      </c>
      <c r="E330" s="18">
        <f>ROUND(5426*1.05,2)</f>
      </c>
      <c r="F330" s="17" t="s">
        <v>17</v>
      </c>
      <c r="G330" s="17" t="s">
        <v>18</v>
      </c>
      <c r="H330" s="18">
        <f>ROUND(RAND()*4+6,1)</f>
      </c>
      <c r="I330" s="17" t="s">
        <v>19</v>
      </c>
      <c r="J330" s="19">
        <f>ROUND(90*1,0)&amp;"%"</f>
      </c>
    </row>
    <row x14ac:dyDescent="0.25" r="331" customHeight="1" ht="17.25">
      <c r="A331" s="20" t="s">
        <v>2454</v>
      </c>
      <c r="B331" s="20" t="s">
        <v>532</v>
      </c>
      <c r="C331" s="20" t="s">
        <v>152</v>
      </c>
      <c r="D331" s="20" t="s">
        <v>22</v>
      </c>
      <c r="E331" s="21">
        <f>ROUND(9702*1.05,2)</f>
      </c>
      <c r="F331" s="20" t="s">
        <v>23</v>
      </c>
      <c r="G331" s="20" t="s">
        <v>24</v>
      </c>
      <c r="H331" s="21">
        <f>ROUND(RAND()*4+6,1)</f>
      </c>
      <c r="I331" s="20" t="s">
        <v>25</v>
      </c>
      <c r="J331" s="23">
        <f>ROUND(74*1,0)&amp;"%"</f>
      </c>
    </row>
    <row x14ac:dyDescent="0.25" r="332" customHeight="1" ht="17.25">
      <c r="A332" s="17" t="s">
        <v>2455</v>
      </c>
      <c r="B332" s="17" t="s">
        <v>534</v>
      </c>
      <c r="C332" s="17" t="s">
        <v>152</v>
      </c>
      <c r="D332" s="17" t="s">
        <v>28</v>
      </c>
      <c r="E332" s="18">
        <f>ROUND(15535*1.05,2)</f>
      </c>
      <c r="F332" s="17" t="s">
        <v>29</v>
      </c>
      <c r="G332" s="17" t="s">
        <v>30</v>
      </c>
      <c r="H332" s="18">
        <f>ROUND(RAND()*4+6,1)</f>
      </c>
      <c r="I332" s="17" t="s">
        <v>31</v>
      </c>
      <c r="J332" s="19">
        <f>ROUND(91*1,0)&amp;"%"</f>
      </c>
    </row>
    <row x14ac:dyDescent="0.25" r="333" customHeight="1" ht="17.25">
      <c r="A333" s="20" t="s">
        <v>2456</v>
      </c>
      <c r="B333" s="20" t="s">
        <v>536</v>
      </c>
      <c r="C333" s="20" t="s">
        <v>152</v>
      </c>
      <c r="D333" s="20" t="s">
        <v>34</v>
      </c>
      <c r="E333" s="21">
        <f>ROUND(5218*1.05,2)</f>
      </c>
      <c r="F333" s="20" t="s">
        <v>35</v>
      </c>
      <c r="G333" s="20" t="s">
        <v>18</v>
      </c>
      <c r="H333" s="21">
        <f>ROUND(RAND()*4+6,1)</f>
      </c>
      <c r="I333" s="20" t="s">
        <v>36</v>
      </c>
      <c r="J333" s="23">
        <f>ROUND(73*1,0)&amp;"%"</f>
      </c>
    </row>
    <row x14ac:dyDescent="0.25" r="334" customHeight="1" ht="17.25">
      <c r="A334" s="17" t="s">
        <v>2457</v>
      </c>
      <c r="B334" s="17" t="s">
        <v>538</v>
      </c>
      <c r="C334" s="17" t="s">
        <v>152</v>
      </c>
      <c r="D334" s="17" t="s">
        <v>39</v>
      </c>
      <c r="E334" s="18">
        <f>ROUND(12008*1.05,2)</f>
      </c>
      <c r="F334" s="17" t="s">
        <v>40</v>
      </c>
      <c r="G334" s="17" t="s">
        <v>24</v>
      </c>
      <c r="H334" s="18">
        <f>ROUND(RAND()*4+6,1)</f>
      </c>
      <c r="I334" s="17" t="s">
        <v>41</v>
      </c>
      <c r="J334" s="19">
        <f>ROUND(89*1,0)&amp;"%"</f>
      </c>
    </row>
    <row x14ac:dyDescent="0.25" r="335" customHeight="1" ht="17.25">
      <c r="A335" s="20" t="s">
        <v>2458</v>
      </c>
      <c r="B335" s="20" t="s">
        <v>540</v>
      </c>
      <c r="C335" s="20" t="s">
        <v>152</v>
      </c>
      <c r="D335" s="20" t="s">
        <v>67</v>
      </c>
      <c r="E335" s="21">
        <f>ROUND(12538*1.05,2)</f>
      </c>
      <c r="F335" s="20" t="s">
        <v>44</v>
      </c>
      <c r="G335" s="20" t="s">
        <v>30</v>
      </c>
      <c r="H335" s="21">
        <f>ROUND(RAND()*4+6,1)</f>
      </c>
      <c r="I335" s="20" t="s">
        <v>45</v>
      </c>
      <c r="J335" s="23">
        <f>ROUND(93*1,0)&amp;"%"</f>
      </c>
    </row>
    <row x14ac:dyDescent="0.25" r="336" customHeight="1" ht="17.25">
      <c r="A336" s="17" t="s">
        <v>2459</v>
      </c>
      <c r="B336" s="17" t="s">
        <v>542</v>
      </c>
      <c r="C336" s="17" t="s">
        <v>152</v>
      </c>
      <c r="D336" s="17" t="s">
        <v>16</v>
      </c>
      <c r="E336" s="18">
        <f>ROUND(5247*1.05,2)</f>
      </c>
      <c r="F336" s="17" t="s">
        <v>48</v>
      </c>
      <c r="G336" s="17" t="s">
        <v>18</v>
      </c>
      <c r="H336" s="18">
        <f>ROUND(RAND()*4+6,1)</f>
      </c>
      <c r="I336" s="17" t="s">
        <v>19</v>
      </c>
      <c r="J336" s="19">
        <f>ROUND(90*1,0)&amp;"%"</f>
      </c>
    </row>
    <row x14ac:dyDescent="0.25" r="337" customHeight="1" ht="17.25">
      <c r="A337" s="20" t="s">
        <v>2460</v>
      </c>
      <c r="B337" s="20" t="s">
        <v>544</v>
      </c>
      <c r="C337" s="20" t="s">
        <v>152</v>
      </c>
      <c r="D337" s="20" t="s">
        <v>22</v>
      </c>
      <c r="E337" s="22">
        <f>ROUND(14600*1.05,2)</f>
      </c>
      <c r="F337" s="20" t="s">
        <v>51</v>
      </c>
      <c r="G337" s="20" t="s">
        <v>24</v>
      </c>
      <c r="H337" s="21">
        <f>ROUND(RAND()*4+6,1)</f>
      </c>
      <c r="I337" s="20" t="s">
        <v>25</v>
      </c>
      <c r="J337" s="23">
        <f>ROUND(82*1,0)&amp;"%"</f>
      </c>
    </row>
    <row x14ac:dyDescent="0.25" r="338" customHeight="1" ht="17.25">
      <c r="A338" s="24" t="s">
        <v>545</v>
      </c>
      <c r="B338" s="24"/>
      <c r="C338" s="24"/>
      <c r="D338" s="24"/>
      <c r="E338" s="25">
        <v>8</v>
      </c>
      <c r="F338" s="9"/>
      <c r="G338" s="9"/>
      <c r="H338" s="10"/>
      <c r="I338" s="9"/>
      <c r="J338" s="9"/>
    </row>
    <row x14ac:dyDescent="0.25" r="339" customHeight="1" ht="17.25">
      <c r="A339" s="7"/>
      <c r="B339" s="7"/>
      <c r="C339" s="7"/>
      <c r="D339" s="7"/>
      <c r="E339" s="8"/>
      <c r="F339" s="9"/>
      <c r="G339" s="9"/>
      <c r="H339" s="10"/>
      <c r="I339" s="9"/>
      <c r="J339" s="9"/>
    </row>
    <row x14ac:dyDescent="0.25" r="340" customHeight="1" ht="17.25">
      <c r="A340" s="11" t="s">
        <v>2461</v>
      </c>
      <c r="B340" s="11"/>
      <c r="C340" s="11"/>
      <c r="D340" s="11"/>
      <c r="E340" s="12"/>
      <c r="F340" s="11"/>
      <c r="G340" s="11"/>
      <c r="H340" s="13"/>
      <c r="I340" s="11"/>
      <c r="J340" s="11"/>
    </row>
    <row x14ac:dyDescent="0.25" r="341" customHeight="1" ht="17.25">
      <c r="A341" s="14" t="s">
        <v>3</v>
      </c>
      <c r="B341" s="14" t="s">
        <v>4</v>
      </c>
      <c r="C341" s="14" t="s">
        <v>5</v>
      </c>
      <c r="D341" s="14" t="s">
        <v>6</v>
      </c>
      <c r="E341" s="15" t="s">
        <v>7</v>
      </c>
      <c r="F341" s="14" t="s">
        <v>8</v>
      </c>
      <c r="G341" s="14" t="s">
        <v>9</v>
      </c>
      <c r="H341" s="16" t="s">
        <v>10</v>
      </c>
      <c r="I341" s="14" t="s">
        <v>11</v>
      </c>
      <c r="J341" s="14" t="s">
        <v>12</v>
      </c>
    </row>
    <row x14ac:dyDescent="0.25" r="342" customHeight="1" ht="17.25">
      <c r="A342" s="17" t="s">
        <v>2462</v>
      </c>
      <c r="B342" s="17" t="s">
        <v>548</v>
      </c>
      <c r="C342" s="17" t="s">
        <v>15</v>
      </c>
      <c r="D342" s="17" t="s">
        <v>16</v>
      </c>
      <c r="E342" s="18">
        <f>ROUND(10037*1.05,2)</f>
      </c>
      <c r="F342" s="17" t="s">
        <v>17</v>
      </c>
      <c r="G342" s="17" t="s">
        <v>18</v>
      </c>
      <c r="H342" s="18">
        <f>ROUND(RAND()*4+6,1)</f>
      </c>
      <c r="I342" s="17" t="s">
        <v>19</v>
      </c>
      <c r="J342" s="19">
        <f>ROUND(61*1,0)&amp;"%"</f>
      </c>
    </row>
    <row x14ac:dyDescent="0.25" r="343" customHeight="1" ht="17.25">
      <c r="A343" s="20" t="s">
        <v>2463</v>
      </c>
      <c r="B343" s="20" t="s">
        <v>550</v>
      </c>
      <c r="C343" s="20" t="s">
        <v>15</v>
      </c>
      <c r="D343" s="20" t="s">
        <v>22</v>
      </c>
      <c r="E343" s="21">
        <f>ROUND(13057*1.05,2)</f>
      </c>
      <c r="F343" s="20" t="s">
        <v>23</v>
      </c>
      <c r="G343" s="20" t="s">
        <v>24</v>
      </c>
      <c r="H343" s="21">
        <f>ROUND(RAND()*4+6,1)</f>
      </c>
      <c r="I343" s="20" t="s">
        <v>25</v>
      </c>
      <c r="J343" s="23">
        <f>ROUND(79*1,0)&amp;"%"</f>
      </c>
    </row>
    <row x14ac:dyDescent="0.25" r="344" customHeight="1" ht="17.25">
      <c r="A344" s="17" t="s">
        <v>2464</v>
      </c>
      <c r="B344" s="17" t="s">
        <v>552</v>
      </c>
      <c r="C344" s="17" t="s">
        <v>15</v>
      </c>
      <c r="D344" s="17" t="s">
        <v>28</v>
      </c>
      <c r="E344" s="26">
        <f>ROUND(14860*1.05,2)</f>
      </c>
      <c r="F344" s="17" t="s">
        <v>29</v>
      </c>
      <c r="G344" s="17" t="s">
        <v>30</v>
      </c>
      <c r="H344" s="18">
        <f>ROUND(RAND()*4+6,1)</f>
      </c>
      <c r="I344" s="17" t="s">
        <v>31</v>
      </c>
      <c r="J344" s="19">
        <f>ROUND(86*1,0)&amp;"%"</f>
      </c>
    </row>
    <row x14ac:dyDescent="0.25" r="345" customHeight="1" ht="17.25">
      <c r="A345" s="20" t="s">
        <v>2465</v>
      </c>
      <c r="B345" s="20" t="s">
        <v>554</v>
      </c>
      <c r="C345" s="20" t="s">
        <v>15</v>
      </c>
      <c r="D345" s="20" t="s">
        <v>34</v>
      </c>
      <c r="E345" s="21">
        <f>ROUND(9569*1.05,2)</f>
      </c>
      <c r="F345" s="20" t="s">
        <v>35</v>
      </c>
      <c r="G345" s="20" t="s">
        <v>18</v>
      </c>
      <c r="H345" s="21">
        <f>ROUND(RAND()*4+6,1)</f>
      </c>
      <c r="I345" s="20" t="s">
        <v>36</v>
      </c>
      <c r="J345" s="23">
        <f>ROUND(64*1,0)&amp;"%"</f>
      </c>
    </row>
    <row x14ac:dyDescent="0.25" r="346" customHeight="1" ht="17.25">
      <c r="A346" s="17" t="s">
        <v>2466</v>
      </c>
      <c r="B346" s="17" t="s">
        <v>556</v>
      </c>
      <c r="C346" s="17" t="s">
        <v>15</v>
      </c>
      <c r="D346" s="17" t="s">
        <v>39</v>
      </c>
      <c r="E346" s="18">
        <f>ROUND(4463*1.05,2)</f>
      </c>
      <c r="F346" s="17" t="s">
        <v>40</v>
      </c>
      <c r="G346" s="17" t="s">
        <v>24</v>
      </c>
      <c r="H346" s="26">
        <f>ROUND(RAND()*4+6,1)</f>
      </c>
      <c r="I346" s="17" t="s">
        <v>41</v>
      </c>
      <c r="J346" s="19">
        <f>ROUND(73*1,0)&amp;"%"</f>
      </c>
    </row>
    <row x14ac:dyDescent="0.25" r="347" customHeight="1" ht="17.25">
      <c r="A347" s="20" t="s">
        <v>2467</v>
      </c>
      <c r="B347" s="20" t="s">
        <v>558</v>
      </c>
      <c r="C347" s="20" t="s">
        <v>15</v>
      </c>
      <c r="D347" s="20" t="s">
        <v>67</v>
      </c>
      <c r="E347" s="21">
        <f>ROUND(13029*1.05,2)</f>
      </c>
      <c r="F347" s="20" t="s">
        <v>44</v>
      </c>
      <c r="G347" s="20" t="s">
        <v>30</v>
      </c>
      <c r="H347" s="21">
        <f>ROUND(RAND()*4+6,1)</f>
      </c>
      <c r="I347" s="20" t="s">
        <v>45</v>
      </c>
      <c r="J347" s="23">
        <f>ROUND(73*1,0)&amp;"%"</f>
      </c>
    </row>
    <row x14ac:dyDescent="0.25" r="348" customHeight="1" ht="17.25">
      <c r="A348" s="17" t="s">
        <v>2468</v>
      </c>
      <c r="B348" s="17" t="s">
        <v>560</v>
      </c>
      <c r="C348" s="17" t="s">
        <v>15</v>
      </c>
      <c r="D348" s="17" t="s">
        <v>16</v>
      </c>
      <c r="E348" s="18">
        <f>ROUND(16783*1.05,2)</f>
      </c>
      <c r="F348" s="17" t="s">
        <v>48</v>
      </c>
      <c r="G348" s="17" t="s">
        <v>18</v>
      </c>
      <c r="H348" s="18">
        <f>ROUND(RAND()*4+6,1)</f>
      </c>
      <c r="I348" s="17" t="s">
        <v>19</v>
      </c>
      <c r="J348" s="19">
        <f>ROUND(69*1,0)&amp;"%"</f>
      </c>
    </row>
    <row x14ac:dyDescent="0.25" r="349" customHeight="1" ht="17.25">
      <c r="A349" s="20" t="s">
        <v>2469</v>
      </c>
      <c r="B349" s="20" t="s">
        <v>562</v>
      </c>
      <c r="C349" s="20" t="s">
        <v>15</v>
      </c>
      <c r="D349" s="20" t="s">
        <v>22</v>
      </c>
      <c r="E349" s="21">
        <f>ROUND(7781*1.05,2)</f>
      </c>
      <c r="F349" s="20" t="s">
        <v>51</v>
      </c>
      <c r="G349" s="20" t="s">
        <v>24</v>
      </c>
      <c r="H349" s="22">
        <f>ROUND(RAND()*4+6,1)</f>
      </c>
      <c r="I349" s="20" t="s">
        <v>25</v>
      </c>
      <c r="J349" s="23">
        <f>ROUND(69*1,0)&amp;"%"</f>
      </c>
    </row>
    <row x14ac:dyDescent="0.25" r="350" customHeight="1" ht="17.25">
      <c r="A350" s="24" t="s">
        <v>563</v>
      </c>
      <c r="B350" s="24"/>
      <c r="C350" s="24"/>
      <c r="D350" s="24"/>
      <c r="E350" s="25">
        <v>8</v>
      </c>
      <c r="F350" s="9"/>
      <c r="G350" s="9"/>
      <c r="H350" s="10"/>
      <c r="I350" s="9"/>
      <c r="J350" s="9"/>
    </row>
    <row x14ac:dyDescent="0.25" r="351" customHeight="1" ht="17.25">
      <c r="A351" s="7"/>
      <c r="B351" s="7"/>
      <c r="C351" s="7"/>
      <c r="D351" s="7"/>
      <c r="E351" s="8"/>
      <c r="F351" s="9"/>
      <c r="G351" s="9"/>
      <c r="H351" s="10"/>
      <c r="I351" s="9"/>
      <c r="J351" s="9"/>
    </row>
    <row x14ac:dyDescent="0.25" r="352" customHeight="1" ht="17.25">
      <c r="A352" s="11" t="s">
        <v>2470</v>
      </c>
      <c r="B352" s="11"/>
      <c r="C352" s="11"/>
      <c r="D352" s="11"/>
      <c r="E352" s="12"/>
      <c r="F352" s="11"/>
      <c r="G352" s="11"/>
      <c r="H352" s="13"/>
      <c r="I352" s="11"/>
      <c r="J352" s="11"/>
    </row>
    <row x14ac:dyDescent="0.25" r="353" customHeight="1" ht="17.25">
      <c r="A353" s="14" t="s">
        <v>3</v>
      </c>
      <c r="B353" s="14" t="s">
        <v>4</v>
      </c>
      <c r="C353" s="14" t="s">
        <v>5</v>
      </c>
      <c r="D353" s="14" t="s">
        <v>6</v>
      </c>
      <c r="E353" s="15" t="s">
        <v>7</v>
      </c>
      <c r="F353" s="14" t="s">
        <v>8</v>
      </c>
      <c r="G353" s="14" t="s">
        <v>9</v>
      </c>
      <c r="H353" s="16" t="s">
        <v>10</v>
      </c>
      <c r="I353" s="14" t="s">
        <v>11</v>
      </c>
      <c r="J353" s="14" t="s">
        <v>12</v>
      </c>
    </row>
    <row x14ac:dyDescent="0.25" r="354" customHeight="1" ht="17.25">
      <c r="A354" s="17" t="s">
        <v>2471</v>
      </c>
      <c r="B354" s="17" t="s">
        <v>566</v>
      </c>
      <c r="C354" s="17" t="s">
        <v>56</v>
      </c>
      <c r="D354" s="17" t="s">
        <v>16</v>
      </c>
      <c r="E354" s="26">
        <f>ROUND(10300*1.05,2)</f>
      </c>
      <c r="F354" s="17" t="s">
        <v>17</v>
      </c>
      <c r="G354" s="17" t="s">
        <v>18</v>
      </c>
      <c r="H354" s="18">
        <f>ROUND(RAND()*4+6,1)</f>
      </c>
      <c r="I354" s="17" t="s">
        <v>19</v>
      </c>
      <c r="J354" s="19">
        <f>ROUND(67*1,0)&amp;"%"</f>
      </c>
    </row>
    <row x14ac:dyDescent="0.25" r="355" customHeight="1" ht="17.25">
      <c r="A355" s="20" t="s">
        <v>2472</v>
      </c>
      <c r="B355" s="20" t="s">
        <v>568</v>
      </c>
      <c r="C355" s="20" t="s">
        <v>56</v>
      </c>
      <c r="D355" s="20" t="s">
        <v>22</v>
      </c>
      <c r="E355" s="21">
        <f>ROUND(4205*1.05,2)</f>
      </c>
      <c r="F355" s="20" t="s">
        <v>23</v>
      </c>
      <c r="G355" s="20" t="s">
        <v>24</v>
      </c>
      <c r="H355" s="21">
        <f>ROUND(RAND()*4+6,1)</f>
      </c>
      <c r="I355" s="20" t="s">
        <v>25</v>
      </c>
      <c r="J355" s="23">
        <f>ROUND(96*1,0)&amp;"%"</f>
      </c>
    </row>
    <row x14ac:dyDescent="0.25" r="356" customHeight="1" ht="17.25">
      <c r="A356" s="17" t="s">
        <v>2473</v>
      </c>
      <c r="B356" s="17" t="s">
        <v>570</v>
      </c>
      <c r="C356" s="17" t="s">
        <v>56</v>
      </c>
      <c r="D356" s="17" t="s">
        <v>28</v>
      </c>
      <c r="E356" s="18">
        <f>ROUND(14519*1.05,2)</f>
      </c>
      <c r="F356" s="17" t="s">
        <v>29</v>
      </c>
      <c r="G356" s="17" t="s">
        <v>30</v>
      </c>
      <c r="H356" s="18">
        <f>ROUND(RAND()*4+6,1)</f>
      </c>
      <c r="I356" s="17" t="s">
        <v>31</v>
      </c>
      <c r="J356" s="19">
        <f>ROUND(98*1,0)&amp;"%"</f>
      </c>
    </row>
    <row x14ac:dyDescent="0.25" r="357" customHeight="1" ht="17.25">
      <c r="A357" s="20" t="s">
        <v>2474</v>
      </c>
      <c r="B357" s="20" t="s">
        <v>572</v>
      </c>
      <c r="C357" s="20" t="s">
        <v>56</v>
      </c>
      <c r="D357" s="20" t="s">
        <v>34</v>
      </c>
      <c r="E357" s="21">
        <f>ROUND(11955*1.05,2)</f>
      </c>
      <c r="F357" s="20" t="s">
        <v>35</v>
      </c>
      <c r="G357" s="20" t="s">
        <v>18</v>
      </c>
      <c r="H357" s="21">
        <f>ROUND(RAND()*4+6,1)</f>
      </c>
      <c r="I357" s="20" t="s">
        <v>36</v>
      </c>
      <c r="J357" s="23">
        <f>ROUND(74*1,0)&amp;"%"</f>
      </c>
    </row>
    <row x14ac:dyDescent="0.25" r="358" customHeight="1" ht="17.25">
      <c r="A358" s="17" t="s">
        <v>2475</v>
      </c>
      <c r="B358" s="17" t="s">
        <v>574</v>
      </c>
      <c r="C358" s="17" t="s">
        <v>56</v>
      </c>
      <c r="D358" s="17" t="s">
        <v>39</v>
      </c>
      <c r="E358" s="18">
        <f>ROUND(15015*1.05,2)</f>
      </c>
      <c r="F358" s="17" t="s">
        <v>40</v>
      </c>
      <c r="G358" s="17" t="s">
        <v>24</v>
      </c>
      <c r="H358" s="18">
        <f>ROUND(RAND()*4+6,1)</f>
      </c>
      <c r="I358" s="17" t="s">
        <v>41</v>
      </c>
      <c r="J358" s="19">
        <f>ROUND(84*1,0)&amp;"%"</f>
      </c>
    </row>
    <row x14ac:dyDescent="0.25" r="359" customHeight="1" ht="17.25">
      <c r="A359" s="20" t="s">
        <v>2476</v>
      </c>
      <c r="B359" s="20" t="s">
        <v>576</v>
      </c>
      <c r="C359" s="20" t="s">
        <v>56</v>
      </c>
      <c r="D359" s="20" t="s">
        <v>67</v>
      </c>
      <c r="E359" s="21">
        <f>ROUND(13332*1.05,2)</f>
      </c>
      <c r="F359" s="20" t="s">
        <v>44</v>
      </c>
      <c r="G359" s="20" t="s">
        <v>30</v>
      </c>
      <c r="H359" s="21">
        <f>ROUND(RAND()*4+6,1)</f>
      </c>
      <c r="I359" s="20" t="s">
        <v>45</v>
      </c>
      <c r="J359" s="23">
        <f>ROUND(86*1,0)&amp;"%"</f>
      </c>
    </row>
    <row x14ac:dyDescent="0.25" r="360" customHeight="1" ht="17.25">
      <c r="A360" s="17" t="s">
        <v>2477</v>
      </c>
      <c r="B360" s="17" t="s">
        <v>578</v>
      </c>
      <c r="C360" s="17" t="s">
        <v>56</v>
      </c>
      <c r="D360" s="17" t="s">
        <v>16</v>
      </c>
      <c r="E360" s="18">
        <f>ROUND(5991*1.05,2)</f>
      </c>
      <c r="F360" s="17" t="s">
        <v>48</v>
      </c>
      <c r="G360" s="17" t="s">
        <v>18</v>
      </c>
      <c r="H360" s="18">
        <f>ROUND(RAND()*4+6,1)</f>
      </c>
      <c r="I360" s="17" t="s">
        <v>19</v>
      </c>
      <c r="J360" s="19">
        <f>ROUND(96*1,0)&amp;"%"</f>
      </c>
    </row>
    <row x14ac:dyDescent="0.25" r="361" customHeight="1" ht="17.25">
      <c r="A361" s="20" t="s">
        <v>2478</v>
      </c>
      <c r="B361" s="20" t="s">
        <v>580</v>
      </c>
      <c r="C361" s="20" t="s">
        <v>56</v>
      </c>
      <c r="D361" s="20" t="s">
        <v>22</v>
      </c>
      <c r="E361" s="21">
        <f>ROUND(17649*1.05,2)</f>
      </c>
      <c r="F361" s="20" t="s">
        <v>51</v>
      </c>
      <c r="G361" s="20" t="s">
        <v>24</v>
      </c>
      <c r="H361" s="21">
        <f>ROUND(RAND()*4+6,1)</f>
      </c>
      <c r="I361" s="20" t="s">
        <v>25</v>
      </c>
      <c r="J361" s="23">
        <f>ROUND(86*1,0)&amp;"%"</f>
      </c>
    </row>
    <row x14ac:dyDescent="0.25" r="362" customHeight="1" ht="17.25">
      <c r="A362" s="24" t="s">
        <v>581</v>
      </c>
      <c r="B362" s="24"/>
      <c r="C362" s="24"/>
      <c r="D362" s="24"/>
      <c r="E362" s="25">
        <v>8</v>
      </c>
      <c r="F362" s="9"/>
      <c r="G362" s="9"/>
      <c r="H362" s="10"/>
      <c r="I362" s="9"/>
      <c r="J362" s="9"/>
    </row>
  </sheetData>
  <mergeCells count="62">
    <mergeCell ref="A1:J1"/>
    <mergeCell ref="A2:J2"/>
    <mergeCell ref="A4:J4"/>
    <mergeCell ref="A14:D14"/>
    <mergeCell ref="A16:J16"/>
    <mergeCell ref="A26:D26"/>
    <mergeCell ref="A28:J28"/>
    <mergeCell ref="A38:D38"/>
    <mergeCell ref="A40:J40"/>
    <mergeCell ref="A50:D50"/>
    <mergeCell ref="A52:J52"/>
    <mergeCell ref="A62:D62"/>
    <mergeCell ref="A64:J64"/>
    <mergeCell ref="A74:D74"/>
    <mergeCell ref="A76:J76"/>
    <mergeCell ref="A86:D86"/>
    <mergeCell ref="A88:J88"/>
    <mergeCell ref="A98:D98"/>
    <mergeCell ref="A100:J100"/>
    <mergeCell ref="A110:D110"/>
    <mergeCell ref="A112:J112"/>
    <mergeCell ref="A122:D122"/>
    <mergeCell ref="A124:J124"/>
    <mergeCell ref="A134:D134"/>
    <mergeCell ref="A136:J136"/>
    <mergeCell ref="A146:D146"/>
    <mergeCell ref="A148:J148"/>
    <mergeCell ref="A158:D158"/>
    <mergeCell ref="A160:J160"/>
    <mergeCell ref="A170:D170"/>
    <mergeCell ref="A172:J172"/>
    <mergeCell ref="A182:D182"/>
    <mergeCell ref="A184:J184"/>
    <mergeCell ref="A194:D194"/>
    <mergeCell ref="A196:J196"/>
    <mergeCell ref="A206:D206"/>
    <mergeCell ref="A208:J208"/>
    <mergeCell ref="A218:D218"/>
    <mergeCell ref="A220:J220"/>
    <mergeCell ref="A230:D230"/>
    <mergeCell ref="A232:J232"/>
    <mergeCell ref="A242:D242"/>
    <mergeCell ref="A244:J244"/>
    <mergeCell ref="A254:D254"/>
    <mergeCell ref="A256:J256"/>
    <mergeCell ref="A266:D266"/>
    <mergeCell ref="A268:J268"/>
    <mergeCell ref="A278:D278"/>
    <mergeCell ref="A280:J280"/>
    <mergeCell ref="A290:D290"/>
    <mergeCell ref="A292:J292"/>
    <mergeCell ref="A302:D302"/>
    <mergeCell ref="A304:J304"/>
    <mergeCell ref="A314:D314"/>
    <mergeCell ref="A316:J316"/>
    <mergeCell ref="A326:D326"/>
    <mergeCell ref="A328:J328"/>
    <mergeCell ref="A338:D338"/>
    <mergeCell ref="A340:J340"/>
    <mergeCell ref="A350:D350"/>
    <mergeCell ref="A352:J352"/>
    <mergeCell ref="A362:D362"/>
  </mergeCells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J362"/>
  <sheetViews>
    <sheetView workbookViewId="0"/>
  </sheetViews>
  <sheetFormatPr defaultRowHeight="15" x14ac:dyDescent="0.25"/>
  <cols>
    <col min="1" max="1" style="27" width="8.005" customWidth="1" bestFit="1"/>
    <col min="2" max="2" style="27" width="22.005" customWidth="1" bestFit="1"/>
    <col min="3" max="3" style="27" width="16.005" customWidth="1" bestFit="1"/>
    <col min="4" max="4" style="27" width="14.005" customWidth="1" bestFit="1"/>
    <col min="5" max="5" style="28" width="12.005" customWidth="1" bestFit="1"/>
    <col min="6" max="6" style="29" width="16.005" customWidth="1" bestFit="1"/>
    <col min="7" max="7" style="29" width="10.005" customWidth="1" bestFit="1"/>
    <col min="8" max="8" style="30" width="10.005" customWidth="1" bestFit="1"/>
    <col min="9" max="9" style="29" width="14.005" customWidth="1" bestFit="1"/>
    <col min="10" max="10" style="29" width="8.005" customWidth="1" bestFit="1"/>
  </cols>
  <sheetData>
    <row x14ac:dyDescent="0.25" r="1" customHeight="1" ht="17.25">
      <c r="A1" s="1" t="s">
        <v>1937</v>
      </c>
      <c r="B1" s="1"/>
      <c r="C1" s="1"/>
      <c r="D1" s="1"/>
      <c r="E1" s="2"/>
      <c r="F1" s="1"/>
      <c r="G1" s="1"/>
      <c r="H1" s="3"/>
      <c r="I1" s="1"/>
      <c r="J1" s="1"/>
    </row>
    <row x14ac:dyDescent="0.25" r="2" customHeight="1" ht="17.25">
      <c r="A2" s="4" t="s">
        <v>1</v>
      </c>
      <c r="B2" s="4"/>
      <c r="C2" s="4"/>
      <c r="D2" s="4"/>
      <c r="E2" s="5"/>
      <c r="F2" s="4"/>
      <c r="G2" s="4"/>
      <c r="H2" s="6"/>
      <c r="I2" s="4"/>
      <c r="J2" s="4"/>
    </row>
    <row x14ac:dyDescent="0.25" r="3" customHeight="1" ht="17.25">
      <c r="A3" s="7"/>
      <c r="B3" s="7"/>
      <c r="C3" s="7"/>
      <c r="D3" s="7"/>
      <c r="E3" s="8"/>
      <c r="F3" s="9"/>
      <c r="G3" s="9"/>
      <c r="H3" s="10"/>
      <c r="I3" s="9"/>
      <c r="J3" s="9"/>
    </row>
    <row x14ac:dyDescent="0.25" r="4" customHeight="1" ht="17.25">
      <c r="A4" s="11" t="s">
        <v>1938</v>
      </c>
      <c r="B4" s="11"/>
      <c r="C4" s="11"/>
      <c r="D4" s="11"/>
      <c r="E4" s="12"/>
      <c r="F4" s="11"/>
      <c r="G4" s="11"/>
      <c r="H4" s="13"/>
      <c r="I4" s="11"/>
      <c r="J4" s="11"/>
    </row>
    <row x14ac:dyDescent="0.25" r="5" customHeight="1" ht="17.25">
      <c r="A5" s="14" t="s">
        <v>3</v>
      </c>
      <c r="B5" s="14" t="s">
        <v>4</v>
      </c>
      <c r="C5" s="14" t="s">
        <v>5</v>
      </c>
      <c r="D5" s="14" t="s">
        <v>6</v>
      </c>
      <c r="E5" s="15" t="s">
        <v>7</v>
      </c>
      <c r="F5" s="14" t="s">
        <v>8</v>
      </c>
      <c r="G5" s="14" t="s">
        <v>9</v>
      </c>
      <c r="H5" s="16" t="s">
        <v>10</v>
      </c>
      <c r="I5" s="14" t="s">
        <v>11</v>
      </c>
      <c r="J5" s="14" t="s">
        <v>12</v>
      </c>
    </row>
    <row x14ac:dyDescent="0.25" r="6" customHeight="1" ht="17.25">
      <c r="A6" s="17" t="s">
        <v>1939</v>
      </c>
      <c r="B6" s="17" t="s">
        <v>14</v>
      </c>
      <c r="C6" s="17" t="s">
        <v>15</v>
      </c>
      <c r="D6" s="17" t="s">
        <v>16</v>
      </c>
      <c r="E6" s="18">
        <f>ROUND(16057*1.05,2)</f>
      </c>
      <c r="F6" s="17" t="s">
        <v>17</v>
      </c>
      <c r="G6" s="17" t="s">
        <v>18</v>
      </c>
      <c r="H6" s="18">
        <f>ROUND(RAND()*4+6,1)</f>
      </c>
      <c r="I6" s="17" t="s">
        <v>19</v>
      </c>
      <c r="J6" s="19">
        <f>ROUND(86*1,0)&amp;"%"</f>
      </c>
    </row>
    <row x14ac:dyDescent="0.25" r="7" customHeight="1" ht="17.25">
      <c r="A7" s="20" t="s">
        <v>1940</v>
      </c>
      <c r="B7" s="20" t="s">
        <v>21</v>
      </c>
      <c r="C7" s="20" t="s">
        <v>15</v>
      </c>
      <c r="D7" s="20" t="s">
        <v>22</v>
      </c>
      <c r="E7" s="21">
        <f>ROUND(6008*1.05,2)</f>
      </c>
      <c r="F7" s="20" t="s">
        <v>23</v>
      </c>
      <c r="G7" s="20" t="s">
        <v>24</v>
      </c>
      <c r="H7" s="21">
        <f>ROUND(RAND()*4+6,1)</f>
      </c>
      <c r="I7" s="20" t="s">
        <v>25</v>
      </c>
      <c r="J7" s="23">
        <f>ROUND(82*1,0)&amp;"%"</f>
      </c>
    </row>
    <row x14ac:dyDescent="0.25" r="8" customHeight="1" ht="17.25">
      <c r="A8" s="17" t="s">
        <v>1941</v>
      </c>
      <c r="B8" s="17" t="s">
        <v>27</v>
      </c>
      <c r="C8" s="17" t="s">
        <v>15</v>
      </c>
      <c r="D8" s="17" t="s">
        <v>28</v>
      </c>
      <c r="E8" s="18">
        <f>ROUND(5884*1.05,2)</f>
      </c>
      <c r="F8" s="17" t="s">
        <v>29</v>
      </c>
      <c r="G8" s="17" t="s">
        <v>30</v>
      </c>
      <c r="H8" s="26">
        <f>ROUND(RAND()*4+6,1)</f>
      </c>
      <c r="I8" s="17" t="s">
        <v>31</v>
      </c>
      <c r="J8" s="19">
        <f>ROUND(69*1,0)&amp;"%"</f>
      </c>
    </row>
    <row x14ac:dyDescent="0.25" r="9" customHeight="1" ht="17.25">
      <c r="A9" s="20" t="s">
        <v>1942</v>
      </c>
      <c r="B9" s="20" t="s">
        <v>33</v>
      </c>
      <c r="C9" s="20" t="s">
        <v>15</v>
      </c>
      <c r="D9" s="20" t="s">
        <v>34</v>
      </c>
      <c r="E9" s="21">
        <f>ROUND(16163*1.05,2)</f>
      </c>
      <c r="F9" s="20" t="s">
        <v>35</v>
      </c>
      <c r="G9" s="20" t="s">
        <v>18</v>
      </c>
      <c r="H9" s="21">
        <f>ROUND(RAND()*4+6,1)</f>
      </c>
      <c r="I9" s="20" t="s">
        <v>36</v>
      </c>
      <c r="J9" s="23">
        <f>ROUND(78*1,0)&amp;"%"</f>
      </c>
    </row>
    <row x14ac:dyDescent="0.25" r="10" customHeight="1" ht="17.25">
      <c r="A10" s="17" t="s">
        <v>1943</v>
      </c>
      <c r="B10" s="17" t="s">
        <v>38</v>
      </c>
      <c r="C10" s="17" t="s">
        <v>15</v>
      </c>
      <c r="D10" s="17" t="s">
        <v>39</v>
      </c>
      <c r="E10" s="18">
        <f>ROUND(6505*1.05,2)</f>
      </c>
      <c r="F10" s="17" t="s">
        <v>40</v>
      </c>
      <c r="G10" s="17" t="s">
        <v>24</v>
      </c>
      <c r="H10" s="18">
        <f>ROUND(RAND()*4+6,1)</f>
      </c>
      <c r="I10" s="17" t="s">
        <v>41</v>
      </c>
      <c r="J10" s="19">
        <f>ROUND(75*1,0)&amp;"%"</f>
      </c>
    </row>
    <row x14ac:dyDescent="0.25" r="11" customHeight="1" ht="17.25">
      <c r="A11" s="20" t="s">
        <v>1944</v>
      </c>
      <c r="B11" s="20" t="s">
        <v>43</v>
      </c>
      <c r="C11" s="20" t="s">
        <v>15</v>
      </c>
      <c r="D11" s="20" t="s">
        <v>67</v>
      </c>
      <c r="E11" s="21">
        <f>ROUND(8978*1.05,2)</f>
      </c>
      <c r="F11" s="20" t="s">
        <v>44</v>
      </c>
      <c r="G11" s="20" t="s">
        <v>30</v>
      </c>
      <c r="H11" s="21">
        <f>ROUND(RAND()*4+6,1)</f>
      </c>
      <c r="I11" s="20" t="s">
        <v>45</v>
      </c>
      <c r="J11" s="23">
        <f>ROUND(67*1,0)&amp;"%"</f>
      </c>
    </row>
    <row x14ac:dyDescent="0.25" r="12" customHeight="1" ht="17.25">
      <c r="A12" s="17" t="s">
        <v>1945</v>
      </c>
      <c r="B12" s="17" t="s">
        <v>47</v>
      </c>
      <c r="C12" s="17" t="s">
        <v>15</v>
      </c>
      <c r="D12" s="17" t="s">
        <v>16</v>
      </c>
      <c r="E12" s="18">
        <f>ROUND(12451*1.05,2)</f>
      </c>
      <c r="F12" s="17" t="s">
        <v>48</v>
      </c>
      <c r="G12" s="17" t="s">
        <v>18</v>
      </c>
      <c r="H12" s="18">
        <f>ROUND(RAND()*4+6,1)</f>
      </c>
      <c r="I12" s="17" t="s">
        <v>19</v>
      </c>
      <c r="J12" s="19">
        <f>ROUND(69*1,0)&amp;"%"</f>
      </c>
    </row>
    <row x14ac:dyDescent="0.25" r="13" customHeight="1" ht="17.25">
      <c r="A13" s="20" t="s">
        <v>1946</v>
      </c>
      <c r="B13" s="20" t="s">
        <v>50</v>
      </c>
      <c r="C13" s="20" t="s">
        <v>15</v>
      </c>
      <c r="D13" s="20" t="s">
        <v>22</v>
      </c>
      <c r="E13" s="21">
        <f>ROUND(14009*1.05,2)</f>
      </c>
      <c r="F13" s="20" t="s">
        <v>51</v>
      </c>
      <c r="G13" s="20" t="s">
        <v>24</v>
      </c>
      <c r="H13" s="21">
        <f>ROUND(RAND()*4+6,1)</f>
      </c>
      <c r="I13" s="20" t="s">
        <v>25</v>
      </c>
      <c r="J13" s="23">
        <f>ROUND(76*1,0)&amp;"%"</f>
      </c>
    </row>
    <row x14ac:dyDescent="0.25" r="14" customHeight="1" ht="17.25">
      <c r="A14" s="24" t="s">
        <v>52</v>
      </c>
      <c r="B14" s="24"/>
      <c r="C14" s="24"/>
      <c r="D14" s="24"/>
      <c r="E14" s="25">
        <v>8</v>
      </c>
      <c r="F14" s="9"/>
      <c r="G14" s="9"/>
      <c r="H14" s="10"/>
      <c r="I14" s="9"/>
      <c r="J14" s="9"/>
    </row>
    <row x14ac:dyDescent="0.25" r="15" customHeight="1" ht="17.25">
      <c r="A15" s="7"/>
      <c r="B15" s="7"/>
      <c r="C15" s="7"/>
      <c r="D15" s="7"/>
      <c r="E15" s="8"/>
      <c r="F15" s="9"/>
      <c r="G15" s="9"/>
      <c r="H15" s="10"/>
      <c r="I15" s="9"/>
      <c r="J15" s="9"/>
    </row>
    <row x14ac:dyDescent="0.25" r="16" customHeight="1" ht="17.25">
      <c r="A16" s="11" t="s">
        <v>1947</v>
      </c>
      <c r="B16" s="11"/>
      <c r="C16" s="11"/>
      <c r="D16" s="11"/>
      <c r="E16" s="12"/>
      <c r="F16" s="11"/>
      <c r="G16" s="11"/>
      <c r="H16" s="13"/>
      <c r="I16" s="11"/>
      <c r="J16" s="11"/>
    </row>
    <row x14ac:dyDescent="0.25" r="17" customHeight="1" ht="17.25">
      <c r="A17" s="14" t="s">
        <v>3</v>
      </c>
      <c r="B17" s="14" t="s">
        <v>4</v>
      </c>
      <c r="C17" s="14" t="s">
        <v>5</v>
      </c>
      <c r="D17" s="14" t="s">
        <v>6</v>
      </c>
      <c r="E17" s="15" t="s">
        <v>7</v>
      </c>
      <c r="F17" s="14" t="s">
        <v>8</v>
      </c>
      <c r="G17" s="14" t="s">
        <v>9</v>
      </c>
      <c r="H17" s="16" t="s">
        <v>10</v>
      </c>
      <c r="I17" s="14" t="s">
        <v>11</v>
      </c>
      <c r="J17" s="14" t="s">
        <v>12</v>
      </c>
    </row>
    <row x14ac:dyDescent="0.25" r="18" customHeight="1" ht="17.25">
      <c r="A18" s="17" t="s">
        <v>1948</v>
      </c>
      <c r="B18" s="17" t="s">
        <v>55</v>
      </c>
      <c r="C18" s="17" t="s">
        <v>56</v>
      </c>
      <c r="D18" s="17" t="s">
        <v>16</v>
      </c>
      <c r="E18" s="18">
        <f>ROUND(14064*1.05,2)</f>
      </c>
      <c r="F18" s="17" t="s">
        <v>17</v>
      </c>
      <c r="G18" s="17" t="s">
        <v>18</v>
      </c>
      <c r="H18" s="18">
        <f>ROUND(RAND()*4+6,1)</f>
      </c>
      <c r="I18" s="17" t="s">
        <v>19</v>
      </c>
      <c r="J18" s="19">
        <f>ROUND(68*1,0)&amp;"%"</f>
      </c>
    </row>
    <row x14ac:dyDescent="0.25" r="19" customHeight="1" ht="17.25">
      <c r="A19" s="20" t="s">
        <v>1949</v>
      </c>
      <c r="B19" s="20" t="s">
        <v>58</v>
      </c>
      <c r="C19" s="20" t="s">
        <v>56</v>
      </c>
      <c r="D19" s="20" t="s">
        <v>22</v>
      </c>
      <c r="E19" s="21">
        <f>ROUND(12472*1.05,2)</f>
      </c>
      <c r="F19" s="20" t="s">
        <v>23</v>
      </c>
      <c r="G19" s="20" t="s">
        <v>24</v>
      </c>
      <c r="H19" s="21">
        <f>ROUND(RAND()*4+6,1)</f>
      </c>
      <c r="I19" s="20" t="s">
        <v>25</v>
      </c>
      <c r="J19" s="23">
        <f>ROUND(68*1,0)&amp;"%"</f>
      </c>
    </row>
    <row x14ac:dyDescent="0.25" r="20" customHeight="1" ht="17.25">
      <c r="A20" s="17" t="s">
        <v>1950</v>
      </c>
      <c r="B20" s="17" t="s">
        <v>60</v>
      </c>
      <c r="C20" s="17" t="s">
        <v>56</v>
      </c>
      <c r="D20" s="17" t="s">
        <v>28</v>
      </c>
      <c r="E20" s="18">
        <f>ROUND(7751*1.05,2)</f>
      </c>
      <c r="F20" s="17" t="s">
        <v>29</v>
      </c>
      <c r="G20" s="17" t="s">
        <v>30</v>
      </c>
      <c r="H20" s="18">
        <f>ROUND(RAND()*4+6,1)</f>
      </c>
      <c r="I20" s="17" t="s">
        <v>31</v>
      </c>
      <c r="J20" s="19">
        <f>ROUND(82*1,0)&amp;"%"</f>
      </c>
    </row>
    <row x14ac:dyDescent="0.25" r="21" customHeight="1" ht="17.25">
      <c r="A21" s="20" t="s">
        <v>1951</v>
      </c>
      <c r="B21" s="20" t="s">
        <v>62</v>
      </c>
      <c r="C21" s="20" t="s">
        <v>56</v>
      </c>
      <c r="D21" s="20" t="s">
        <v>34</v>
      </c>
      <c r="E21" s="21">
        <f>ROUND(13959*1.05,2)</f>
      </c>
      <c r="F21" s="20" t="s">
        <v>35</v>
      </c>
      <c r="G21" s="20" t="s">
        <v>18</v>
      </c>
      <c r="H21" s="21">
        <f>ROUND(RAND()*4+6,1)</f>
      </c>
      <c r="I21" s="20" t="s">
        <v>36</v>
      </c>
      <c r="J21" s="23">
        <f>ROUND(90*1,0)&amp;"%"</f>
      </c>
    </row>
    <row x14ac:dyDescent="0.25" r="22" customHeight="1" ht="17.25">
      <c r="A22" s="17" t="s">
        <v>1952</v>
      </c>
      <c r="B22" s="17" t="s">
        <v>64</v>
      </c>
      <c r="C22" s="17" t="s">
        <v>56</v>
      </c>
      <c r="D22" s="17" t="s">
        <v>39</v>
      </c>
      <c r="E22" s="18">
        <f>ROUND(6009*1.05,2)</f>
      </c>
      <c r="F22" s="17" t="s">
        <v>40</v>
      </c>
      <c r="G22" s="17" t="s">
        <v>24</v>
      </c>
      <c r="H22" s="18">
        <f>ROUND(RAND()*4+6,1)</f>
      </c>
      <c r="I22" s="17" t="s">
        <v>41</v>
      </c>
      <c r="J22" s="19">
        <f>ROUND(79*1,0)&amp;"%"</f>
      </c>
    </row>
    <row x14ac:dyDescent="0.25" r="23" customHeight="1" ht="17.25">
      <c r="A23" s="20" t="s">
        <v>1953</v>
      </c>
      <c r="B23" s="20" t="s">
        <v>66</v>
      </c>
      <c r="C23" s="20" t="s">
        <v>56</v>
      </c>
      <c r="D23" s="20" t="s">
        <v>67</v>
      </c>
      <c r="E23" s="21">
        <f>ROUND(15733*1.05,2)</f>
      </c>
      <c r="F23" s="20" t="s">
        <v>44</v>
      </c>
      <c r="G23" s="20" t="s">
        <v>30</v>
      </c>
      <c r="H23" s="21">
        <f>ROUND(RAND()*4+6,1)</f>
      </c>
      <c r="I23" s="20" t="s">
        <v>45</v>
      </c>
      <c r="J23" s="23">
        <f>ROUND(82*1,0)&amp;"%"</f>
      </c>
    </row>
    <row x14ac:dyDescent="0.25" r="24" customHeight="1" ht="17.25">
      <c r="A24" s="17" t="s">
        <v>1954</v>
      </c>
      <c r="B24" s="17" t="s">
        <v>69</v>
      </c>
      <c r="C24" s="17" t="s">
        <v>56</v>
      </c>
      <c r="D24" s="17" t="s">
        <v>16</v>
      </c>
      <c r="E24" s="18">
        <f>ROUND(15511*1.05,2)</f>
      </c>
      <c r="F24" s="17" t="s">
        <v>48</v>
      </c>
      <c r="G24" s="17" t="s">
        <v>18</v>
      </c>
      <c r="H24" s="18">
        <f>ROUND(RAND()*4+6,1)</f>
      </c>
      <c r="I24" s="17" t="s">
        <v>19</v>
      </c>
      <c r="J24" s="19">
        <f>ROUND(91*1,0)&amp;"%"</f>
      </c>
    </row>
    <row x14ac:dyDescent="0.25" r="25" customHeight="1" ht="17.25">
      <c r="A25" s="20" t="s">
        <v>1955</v>
      </c>
      <c r="B25" s="20" t="s">
        <v>71</v>
      </c>
      <c r="C25" s="20" t="s">
        <v>56</v>
      </c>
      <c r="D25" s="20" t="s">
        <v>22</v>
      </c>
      <c r="E25" s="21">
        <f>ROUND(5379*1.05,2)</f>
      </c>
      <c r="F25" s="20" t="s">
        <v>51</v>
      </c>
      <c r="G25" s="20" t="s">
        <v>24</v>
      </c>
      <c r="H25" s="21">
        <f>ROUND(RAND()*4+6,1)</f>
      </c>
      <c r="I25" s="20" t="s">
        <v>25</v>
      </c>
      <c r="J25" s="23">
        <f>ROUND(65*1,0)&amp;"%"</f>
      </c>
    </row>
    <row x14ac:dyDescent="0.25" r="26" customHeight="1" ht="17.25">
      <c r="A26" s="24" t="s">
        <v>72</v>
      </c>
      <c r="B26" s="24"/>
      <c r="C26" s="24"/>
      <c r="D26" s="24"/>
      <c r="E26" s="25">
        <v>8</v>
      </c>
      <c r="F26" s="9"/>
      <c r="G26" s="9"/>
      <c r="H26" s="10"/>
      <c r="I26" s="9"/>
      <c r="J26" s="9"/>
    </row>
    <row x14ac:dyDescent="0.25" r="27" customHeight="1" ht="17.25">
      <c r="A27" s="7"/>
      <c r="B27" s="7"/>
      <c r="C27" s="7"/>
      <c r="D27" s="7"/>
      <c r="E27" s="8"/>
      <c r="F27" s="9"/>
      <c r="G27" s="9"/>
      <c r="H27" s="10"/>
      <c r="I27" s="9"/>
      <c r="J27" s="9"/>
    </row>
    <row x14ac:dyDescent="0.25" r="28" customHeight="1" ht="17.25">
      <c r="A28" s="11" t="s">
        <v>1956</v>
      </c>
      <c r="B28" s="11"/>
      <c r="C28" s="11"/>
      <c r="D28" s="11"/>
      <c r="E28" s="12"/>
      <c r="F28" s="11"/>
      <c r="G28" s="11"/>
      <c r="H28" s="13"/>
      <c r="I28" s="11"/>
      <c r="J28" s="11"/>
    </row>
    <row x14ac:dyDescent="0.25" r="29" customHeight="1" ht="17.25">
      <c r="A29" s="14" t="s">
        <v>3</v>
      </c>
      <c r="B29" s="14" t="s">
        <v>4</v>
      </c>
      <c r="C29" s="14" t="s">
        <v>5</v>
      </c>
      <c r="D29" s="14" t="s">
        <v>6</v>
      </c>
      <c r="E29" s="15" t="s">
        <v>7</v>
      </c>
      <c r="F29" s="14" t="s">
        <v>8</v>
      </c>
      <c r="G29" s="14" t="s">
        <v>9</v>
      </c>
      <c r="H29" s="16" t="s">
        <v>10</v>
      </c>
      <c r="I29" s="14" t="s">
        <v>11</v>
      </c>
      <c r="J29" s="14" t="s">
        <v>12</v>
      </c>
    </row>
    <row x14ac:dyDescent="0.25" r="30" customHeight="1" ht="17.25">
      <c r="A30" s="17" t="s">
        <v>1957</v>
      </c>
      <c r="B30" s="17" t="s">
        <v>75</v>
      </c>
      <c r="C30" s="17" t="s">
        <v>76</v>
      </c>
      <c r="D30" s="17" t="s">
        <v>16</v>
      </c>
      <c r="E30" s="18">
        <f>ROUND(5975*1.05,2)</f>
      </c>
      <c r="F30" s="17" t="s">
        <v>17</v>
      </c>
      <c r="G30" s="17" t="s">
        <v>18</v>
      </c>
      <c r="H30" s="18">
        <f>ROUND(RAND()*4+6,1)</f>
      </c>
      <c r="I30" s="17" t="s">
        <v>19</v>
      </c>
      <c r="J30" s="19">
        <f>ROUND(70*1,0)&amp;"%"</f>
      </c>
    </row>
    <row x14ac:dyDescent="0.25" r="31" customHeight="1" ht="17.25">
      <c r="A31" s="20" t="s">
        <v>1958</v>
      </c>
      <c r="B31" s="20" t="s">
        <v>78</v>
      </c>
      <c r="C31" s="20" t="s">
        <v>76</v>
      </c>
      <c r="D31" s="20" t="s">
        <v>22</v>
      </c>
      <c r="E31" s="21">
        <f>ROUND(10094*1.05,2)</f>
      </c>
      <c r="F31" s="20" t="s">
        <v>23</v>
      </c>
      <c r="G31" s="20" t="s">
        <v>24</v>
      </c>
      <c r="H31" s="21">
        <f>ROUND(RAND()*4+6,1)</f>
      </c>
      <c r="I31" s="20" t="s">
        <v>25</v>
      </c>
      <c r="J31" s="23">
        <f>ROUND(79*1,0)&amp;"%"</f>
      </c>
    </row>
    <row x14ac:dyDescent="0.25" r="32" customHeight="1" ht="17.25">
      <c r="A32" s="17" t="s">
        <v>1959</v>
      </c>
      <c r="B32" s="17" t="s">
        <v>80</v>
      </c>
      <c r="C32" s="17" t="s">
        <v>76</v>
      </c>
      <c r="D32" s="17" t="s">
        <v>28</v>
      </c>
      <c r="E32" s="18">
        <f>ROUND(10522*1.05,2)</f>
      </c>
      <c r="F32" s="17" t="s">
        <v>29</v>
      </c>
      <c r="G32" s="17" t="s">
        <v>30</v>
      </c>
      <c r="H32" s="26">
        <f>ROUND(RAND()*4+6,1)</f>
      </c>
      <c r="I32" s="17" t="s">
        <v>31</v>
      </c>
      <c r="J32" s="19">
        <f>ROUND(85*1,0)&amp;"%"</f>
      </c>
    </row>
    <row x14ac:dyDescent="0.25" r="33" customHeight="1" ht="17.25">
      <c r="A33" s="20" t="s">
        <v>1960</v>
      </c>
      <c r="B33" s="20" t="s">
        <v>82</v>
      </c>
      <c r="C33" s="20" t="s">
        <v>76</v>
      </c>
      <c r="D33" s="20" t="s">
        <v>34</v>
      </c>
      <c r="E33" s="21">
        <f>ROUND(5935*1.05,2)</f>
      </c>
      <c r="F33" s="20" t="s">
        <v>35</v>
      </c>
      <c r="G33" s="20" t="s">
        <v>18</v>
      </c>
      <c r="H33" s="21">
        <f>ROUND(RAND()*4+6,1)</f>
      </c>
      <c r="I33" s="20" t="s">
        <v>36</v>
      </c>
      <c r="J33" s="23">
        <f>ROUND(97*1,0)&amp;"%"</f>
      </c>
    </row>
    <row x14ac:dyDescent="0.25" r="34" customHeight="1" ht="17.25">
      <c r="A34" s="17" t="s">
        <v>1961</v>
      </c>
      <c r="B34" s="17" t="s">
        <v>84</v>
      </c>
      <c r="C34" s="17" t="s">
        <v>76</v>
      </c>
      <c r="D34" s="17" t="s">
        <v>39</v>
      </c>
      <c r="E34" s="18">
        <f>ROUND(5113*1.05,2)</f>
      </c>
      <c r="F34" s="17" t="s">
        <v>40</v>
      </c>
      <c r="G34" s="17" t="s">
        <v>24</v>
      </c>
      <c r="H34" s="18">
        <f>ROUND(RAND()*4+6,1)</f>
      </c>
      <c r="I34" s="17" t="s">
        <v>41</v>
      </c>
      <c r="J34" s="19">
        <f>ROUND(99*1,0)&amp;"%"</f>
      </c>
    </row>
    <row x14ac:dyDescent="0.25" r="35" customHeight="1" ht="17.25">
      <c r="A35" s="20" t="s">
        <v>1962</v>
      </c>
      <c r="B35" s="20" t="s">
        <v>86</v>
      </c>
      <c r="C35" s="20" t="s">
        <v>76</v>
      </c>
      <c r="D35" s="20" t="s">
        <v>67</v>
      </c>
      <c r="E35" s="21">
        <f>ROUND(17301*1.05,2)</f>
      </c>
      <c r="F35" s="20" t="s">
        <v>44</v>
      </c>
      <c r="G35" s="20" t="s">
        <v>30</v>
      </c>
      <c r="H35" s="21">
        <f>ROUND(RAND()*4+6,1)</f>
      </c>
      <c r="I35" s="20" t="s">
        <v>45</v>
      </c>
      <c r="J35" s="23">
        <f>ROUND(61*1,0)&amp;"%"</f>
      </c>
    </row>
    <row x14ac:dyDescent="0.25" r="36" customHeight="1" ht="17.25">
      <c r="A36" s="17" t="s">
        <v>1963</v>
      </c>
      <c r="B36" s="17" t="s">
        <v>88</v>
      </c>
      <c r="C36" s="17" t="s">
        <v>76</v>
      </c>
      <c r="D36" s="17" t="s">
        <v>16</v>
      </c>
      <c r="E36" s="18">
        <f>ROUND(6421*1.05,2)</f>
      </c>
      <c r="F36" s="17" t="s">
        <v>48</v>
      </c>
      <c r="G36" s="17" t="s">
        <v>18</v>
      </c>
      <c r="H36" s="18">
        <f>ROUND(RAND()*4+6,1)</f>
      </c>
      <c r="I36" s="17" t="s">
        <v>19</v>
      </c>
      <c r="J36" s="19">
        <f>ROUND(63*1,0)&amp;"%"</f>
      </c>
    </row>
    <row x14ac:dyDescent="0.25" r="37" customHeight="1" ht="17.25">
      <c r="A37" s="20" t="s">
        <v>1964</v>
      </c>
      <c r="B37" s="20" t="s">
        <v>90</v>
      </c>
      <c r="C37" s="20" t="s">
        <v>76</v>
      </c>
      <c r="D37" s="20" t="s">
        <v>22</v>
      </c>
      <c r="E37" s="22">
        <f>ROUND(16220*1.05,2)</f>
      </c>
      <c r="F37" s="20" t="s">
        <v>51</v>
      </c>
      <c r="G37" s="20" t="s">
        <v>24</v>
      </c>
      <c r="H37" s="21">
        <f>ROUND(RAND()*4+6,1)</f>
      </c>
      <c r="I37" s="20" t="s">
        <v>25</v>
      </c>
      <c r="J37" s="23">
        <f>ROUND(68*1,0)&amp;"%"</f>
      </c>
    </row>
    <row x14ac:dyDescent="0.25" r="38" customHeight="1" ht="17.25">
      <c r="A38" s="24" t="s">
        <v>91</v>
      </c>
      <c r="B38" s="24"/>
      <c r="C38" s="24"/>
      <c r="D38" s="24"/>
      <c r="E38" s="25">
        <v>8</v>
      </c>
      <c r="F38" s="9"/>
      <c r="G38" s="9"/>
      <c r="H38" s="10"/>
      <c r="I38" s="9"/>
      <c r="J38" s="9"/>
    </row>
    <row x14ac:dyDescent="0.25" r="39" customHeight="1" ht="17.25">
      <c r="A39" s="7"/>
      <c r="B39" s="7"/>
      <c r="C39" s="7"/>
      <c r="D39" s="7"/>
      <c r="E39" s="8"/>
      <c r="F39" s="9"/>
      <c r="G39" s="9"/>
      <c r="H39" s="10"/>
      <c r="I39" s="9"/>
      <c r="J39" s="9"/>
    </row>
    <row x14ac:dyDescent="0.25" r="40" customHeight="1" ht="17.25">
      <c r="A40" s="11" t="s">
        <v>1965</v>
      </c>
      <c r="B40" s="11"/>
      <c r="C40" s="11"/>
      <c r="D40" s="11"/>
      <c r="E40" s="12"/>
      <c r="F40" s="11"/>
      <c r="G40" s="11"/>
      <c r="H40" s="13"/>
      <c r="I40" s="11"/>
      <c r="J40" s="11"/>
    </row>
    <row x14ac:dyDescent="0.25" r="41" customHeight="1" ht="17.25">
      <c r="A41" s="14" t="s">
        <v>3</v>
      </c>
      <c r="B41" s="14" t="s">
        <v>4</v>
      </c>
      <c r="C41" s="14" t="s">
        <v>5</v>
      </c>
      <c r="D41" s="14" t="s">
        <v>6</v>
      </c>
      <c r="E41" s="15" t="s">
        <v>7</v>
      </c>
      <c r="F41" s="14" t="s">
        <v>8</v>
      </c>
      <c r="G41" s="14" t="s">
        <v>9</v>
      </c>
      <c r="H41" s="16" t="s">
        <v>10</v>
      </c>
      <c r="I41" s="14" t="s">
        <v>11</v>
      </c>
      <c r="J41" s="14" t="s">
        <v>12</v>
      </c>
    </row>
    <row x14ac:dyDescent="0.25" r="42" customHeight="1" ht="17.25">
      <c r="A42" s="17" t="s">
        <v>1966</v>
      </c>
      <c r="B42" s="17" t="s">
        <v>94</v>
      </c>
      <c r="C42" s="17" t="s">
        <v>95</v>
      </c>
      <c r="D42" s="17" t="s">
        <v>16</v>
      </c>
      <c r="E42" s="18">
        <f>ROUND(17961*1.05,2)</f>
      </c>
      <c r="F42" s="17" t="s">
        <v>17</v>
      </c>
      <c r="G42" s="17" t="s">
        <v>18</v>
      </c>
      <c r="H42" s="18">
        <f>ROUND(RAND()*4+6,1)</f>
      </c>
      <c r="I42" s="17" t="s">
        <v>19</v>
      </c>
      <c r="J42" s="19">
        <f>ROUND(66*1,0)&amp;"%"</f>
      </c>
    </row>
    <row x14ac:dyDescent="0.25" r="43" customHeight="1" ht="17.25">
      <c r="A43" s="20" t="s">
        <v>1967</v>
      </c>
      <c r="B43" s="20" t="s">
        <v>97</v>
      </c>
      <c r="C43" s="20" t="s">
        <v>95</v>
      </c>
      <c r="D43" s="20" t="s">
        <v>22</v>
      </c>
      <c r="E43" s="21">
        <f>ROUND(9318*1.05,2)</f>
      </c>
      <c r="F43" s="20" t="s">
        <v>23</v>
      </c>
      <c r="G43" s="20" t="s">
        <v>24</v>
      </c>
      <c r="H43" s="21">
        <f>ROUND(RAND()*4+6,1)</f>
      </c>
      <c r="I43" s="20" t="s">
        <v>25</v>
      </c>
      <c r="J43" s="23">
        <f>ROUND(60*1,0)&amp;"%"</f>
      </c>
    </row>
    <row x14ac:dyDescent="0.25" r="44" customHeight="1" ht="17.25">
      <c r="A44" s="17" t="s">
        <v>1968</v>
      </c>
      <c r="B44" s="17" t="s">
        <v>99</v>
      </c>
      <c r="C44" s="17" t="s">
        <v>95</v>
      </c>
      <c r="D44" s="17" t="s">
        <v>28</v>
      </c>
      <c r="E44" s="18">
        <f>ROUND(11197*1.05,2)</f>
      </c>
      <c r="F44" s="17" t="s">
        <v>29</v>
      </c>
      <c r="G44" s="17" t="s">
        <v>30</v>
      </c>
      <c r="H44" s="18">
        <f>ROUND(RAND()*4+6,1)</f>
      </c>
      <c r="I44" s="17" t="s">
        <v>31</v>
      </c>
      <c r="J44" s="19">
        <f>ROUND(96*1,0)&amp;"%"</f>
      </c>
    </row>
    <row x14ac:dyDescent="0.25" r="45" customHeight="1" ht="17.25">
      <c r="A45" s="20" t="s">
        <v>1969</v>
      </c>
      <c r="B45" s="20" t="s">
        <v>101</v>
      </c>
      <c r="C45" s="20" t="s">
        <v>95</v>
      </c>
      <c r="D45" s="20" t="s">
        <v>34</v>
      </c>
      <c r="E45" s="21">
        <f>ROUND(5934*1.05,2)</f>
      </c>
      <c r="F45" s="20" t="s">
        <v>35</v>
      </c>
      <c r="G45" s="20" t="s">
        <v>18</v>
      </c>
      <c r="H45" s="21">
        <f>ROUND(RAND()*4+6,1)</f>
      </c>
      <c r="I45" s="20" t="s">
        <v>36</v>
      </c>
      <c r="J45" s="23">
        <f>ROUND(88*1,0)&amp;"%"</f>
      </c>
    </row>
    <row x14ac:dyDescent="0.25" r="46" customHeight="1" ht="17.25">
      <c r="A46" s="17" t="s">
        <v>1970</v>
      </c>
      <c r="B46" s="17" t="s">
        <v>103</v>
      </c>
      <c r="C46" s="17" t="s">
        <v>95</v>
      </c>
      <c r="D46" s="17" t="s">
        <v>39</v>
      </c>
      <c r="E46" s="18">
        <f>ROUND(17102*1.05,2)</f>
      </c>
      <c r="F46" s="17" t="s">
        <v>40</v>
      </c>
      <c r="G46" s="17" t="s">
        <v>24</v>
      </c>
      <c r="H46" s="18">
        <f>ROUND(RAND()*4+6,1)</f>
      </c>
      <c r="I46" s="17" t="s">
        <v>41</v>
      </c>
      <c r="J46" s="19">
        <f>ROUND(91*1,0)&amp;"%"</f>
      </c>
    </row>
    <row x14ac:dyDescent="0.25" r="47" customHeight="1" ht="17.25">
      <c r="A47" s="20" t="s">
        <v>1971</v>
      </c>
      <c r="B47" s="20" t="s">
        <v>105</v>
      </c>
      <c r="C47" s="20" t="s">
        <v>95</v>
      </c>
      <c r="D47" s="20" t="s">
        <v>67</v>
      </c>
      <c r="E47" s="21">
        <f>ROUND(14911*1.05,2)</f>
      </c>
      <c r="F47" s="20" t="s">
        <v>44</v>
      </c>
      <c r="G47" s="20" t="s">
        <v>30</v>
      </c>
      <c r="H47" s="21">
        <f>ROUND(RAND()*4+6,1)</f>
      </c>
      <c r="I47" s="20" t="s">
        <v>45</v>
      </c>
      <c r="J47" s="23">
        <f>ROUND(69*1,0)&amp;"%"</f>
      </c>
    </row>
    <row x14ac:dyDescent="0.25" r="48" customHeight="1" ht="17.25">
      <c r="A48" s="17" t="s">
        <v>1972</v>
      </c>
      <c r="B48" s="17" t="s">
        <v>107</v>
      </c>
      <c r="C48" s="17" t="s">
        <v>95</v>
      </c>
      <c r="D48" s="17" t="s">
        <v>16</v>
      </c>
      <c r="E48" s="18">
        <f>ROUND(17337*1.05,2)</f>
      </c>
      <c r="F48" s="17" t="s">
        <v>48</v>
      </c>
      <c r="G48" s="17" t="s">
        <v>18</v>
      </c>
      <c r="H48" s="18">
        <f>ROUND(RAND()*4+6,1)</f>
      </c>
      <c r="I48" s="17" t="s">
        <v>19</v>
      </c>
      <c r="J48" s="19">
        <f>ROUND(65*1,0)&amp;"%"</f>
      </c>
    </row>
    <row x14ac:dyDescent="0.25" r="49" customHeight="1" ht="17.25">
      <c r="A49" s="20" t="s">
        <v>1973</v>
      </c>
      <c r="B49" s="20" t="s">
        <v>109</v>
      </c>
      <c r="C49" s="20" t="s">
        <v>95</v>
      </c>
      <c r="D49" s="20" t="s">
        <v>22</v>
      </c>
      <c r="E49" s="21">
        <f>ROUND(16508*1.05,2)</f>
      </c>
      <c r="F49" s="20" t="s">
        <v>51</v>
      </c>
      <c r="G49" s="20" t="s">
        <v>24</v>
      </c>
      <c r="H49" s="21">
        <f>ROUND(RAND()*4+6,1)</f>
      </c>
      <c r="I49" s="20" t="s">
        <v>25</v>
      </c>
      <c r="J49" s="23">
        <f>ROUND(73*1,0)&amp;"%"</f>
      </c>
    </row>
    <row x14ac:dyDescent="0.25" r="50" customHeight="1" ht="17.25">
      <c r="A50" s="24" t="s">
        <v>110</v>
      </c>
      <c r="B50" s="24"/>
      <c r="C50" s="24"/>
      <c r="D50" s="24"/>
      <c r="E50" s="25">
        <v>8</v>
      </c>
      <c r="F50" s="9"/>
      <c r="G50" s="9"/>
      <c r="H50" s="10"/>
      <c r="I50" s="9"/>
      <c r="J50" s="9"/>
    </row>
    <row x14ac:dyDescent="0.25" r="51" customHeight="1" ht="17.25">
      <c r="A51" s="7"/>
      <c r="B51" s="7"/>
      <c r="C51" s="7"/>
      <c r="D51" s="7"/>
      <c r="E51" s="8"/>
      <c r="F51" s="9"/>
      <c r="G51" s="9"/>
      <c r="H51" s="10"/>
      <c r="I51" s="9"/>
      <c r="J51" s="9"/>
    </row>
    <row x14ac:dyDescent="0.25" r="52" customHeight="1" ht="17.25">
      <c r="A52" s="11" t="s">
        <v>1974</v>
      </c>
      <c r="B52" s="11"/>
      <c r="C52" s="11"/>
      <c r="D52" s="11"/>
      <c r="E52" s="12"/>
      <c r="F52" s="11"/>
      <c r="G52" s="11"/>
      <c r="H52" s="13"/>
      <c r="I52" s="11"/>
      <c r="J52" s="11"/>
    </row>
    <row x14ac:dyDescent="0.25" r="53" customHeight="1" ht="17.25">
      <c r="A53" s="14" t="s">
        <v>3</v>
      </c>
      <c r="B53" s="14" t="s">
        <v>4</v>
      </c>
      <c r="C53" s="14" t="s">
        <v>5</v>
      </c>
      <c r="D53" s="14" t="s">
        <v>6</v>
      </c>
      <c r="E53" s="15" t="s">
        <v>7</v>
      </c>
      <c r="F53" s="14" t="s">
        <v>8</v>
      </c>
      <c r="G53" s="14" t="s">
        <v>9</v>
      </c>
      <c r="H53" s="16" t="s">
        <v>10</v>
      </c>
      <c r="I53" s="14" t="s">
        <v>11</v>
      </c>
      <c r="J53" s="14" t="s">
        <v>12</v>
      </c>
    </row>
    <row x14ac:dyDescent="0.25" r="54" customHeight="1" ht="17.25">
      <c r="A54" s="17" t="s">
        <v>1975</v>
      </c>
      <c r="B54" s="17" t="s">
        <v>113</v>
      </c>
      <c r="C54" s="17" t="s">
        <v>114</v>
      </c>
      <c r="D54" s="17" t="s">
        <v>16</v>
      </c>
      <c r="E54" s="18">
        <f>ROUND(16237*1.05,2)</f>
      </c>
      <c r="F54" s="17" t="s">
        <v>17</v>
      </c>
      <c r="G54" s="17" t="s">
        <v>18</v>
      </c>
      <c r="H54" s="18">
        <f>ROUND(RAND()*4+6,1)</f>
      </c>
      <c r="I54" s="17" t="s">
        <v>19</v>
      </c>
      <c r="J54" s="19">
        <f>ROUND(79*1,0)&amp;"%"</f>
      </c>
    </row>
    <row x14ac:dyDescent="0.25" r="55" customHeight="1" ht="17.25">
      <c r="A55" s="20" t="s">
        <v>1976</v>
      </c>
      <c r="B55" s="20" t="s">
        <v>116</v>
      </c>
      <c r="C55" s="20" t="s">
        <v>114</v>
      </c>
      <c r="D55" s="20" t="s">
        <v>22</v>
      </c>
      <c r="E55" s="21">
        <f>ROUND(11936*1.05,2)</f>
      </c>
      <c r="F55" s="20" t="s">
        <v>23</v>
      </c>
      <c r="G55" s="20" t="s">
        <v>24</v>
      </c>
      <c r="H55" s="21">
        <f>ROUND(RAND()*4+6,1)</f>
      </c>
      <c r="I55" s="20" t="s">
        <v>25</v>
      </c>
      <c r="J55" s="23">
        <f>ROUND(73*1,0)&amp;"%"</f>
      </c>
    </row>
    <row x14ac:dyDescent="0.25" r="56" customHeight="1" ht="17.25">
      <c r="A56" s="17" t="s">
        <v>1977</v>
      </c>
      <c r="B56" s="17" t="s">
        <v>118</v>
      </c>
      <c r="C56" s="17" t="s">
        <v>114</v>
      </c>
      <c r="D56" s="17" t="s">
        <v>28</v>
      </c>
      <c r="E56" s="18">
        <f>ROUND(10194*1.05,2)</f>
      </c>
      <c r="F56" s="17" t="s">
        <v>29</v>
      </c>
      <c r="G56" s="17" t="s">
        <v>30</v>
      </c>
      <c r="H56" s="18">
        <f>ROUND(RAND()*4+6,1)</f>
      </c>
      <c r="I56" s="17" t="s">
        <v>31</v>
      </c>
      <c r="J56" s="19">
        <f>ROUND(76*1,0)&amp;"%"</f>
      </c>
    </row>
    <row x14ac:dyDescent="0.25" r="57" customHeight="1" ht="17.25">
      <c r="A57" s="20" t="s">
        <v>1978</v>
      </c>
      <c r="B57" s="20" t="s">
        <v>120</v>
      </c>
      <c r="C57" s="20" t="s">
        <v>114</v>
      </c>
      <c r="D57" s="20" t="s">
        <v>34</v>
      </c>
      <c r="E57" s="22">
        <f>ROUND(12520*1.05,2)</f>
      </c>
      <c r="F57" s="20" t="s">
        <v>35</v>
      </c>
      <c r="G57" s="20" t="s">
        <v>18</v>
      </c>
      <c r="H57" s="21">
        <f>ROUND(RAND()*4+6,1)</f>
      </c>
      <c r="I57" s="20" t="s">
        <v>36</v>
      </c>
      <c r="J57" s="23">
        <f>ROUND(93*1,0)&amp;"%"</f>
      </c>
    </row>
    <row x14ac:dyDescent="0.25" r="58" customHeight="1" ht="17.25">
      <c r="A58" s="17" t="s">
        <v>1979</v>
      </c>
      <c r="B58" s="17" t="s">
        <v>122</v>
      </c>
      <c r="C58" s="17" t="s">
        <v>114</v>
      </c>
      <c r="D58" s="17" t="s">
        <v>39</v>
      </c>
      <c r="E58" s="26">
        <f>ROUND(7000*1.05,2)</f>
      </c>
      <c r="F58" s="17" t="s">
        <v>40</v>
      </c>
      <c r="G58" s="17" t="s">
        <v>24</v>
      </c>
      <c r="H58" s="18">
        <f>ROUND(RAND()*4+6,1)</f>
      </c>
      <c r="I58" s="17" t="s">
        <v>41</v>
      </c>
      <c r="J58" s="19">
        <f>ROUND(69*1,0)&amp;"%"</f>
      </c>
    </row>
    <row x14ac:dyDescent="0.25" r="59" customHeight="1" ht="17.25">
      <c r="A59" s="20" t="s">
        <v>1980</v>
      </c>
      <c r="B59" s="20" t="s">
        <v>124</v>
      </c>
      <c r="C59" s="20" t="s">
        <v>114</v>
      </c>
      <c r="D59" s="20" t="s">
        <v>67</v>
      </c>
      <c r="E59" s="21">
        <f>ROUND(9738*1.05,2)</f>
      </c>
      <c r="F59" s="20" t="s">
        <v>44</v>
      </c>
      <c r="G59" s="20" t="s">
        <v>30</v>
      </c>
      <c r="H59" s="21">
        <f>ROUND(RAND()*4+6,1)</f>
      </c>
      <c r="I59" s="20" t="s">
        <v>45</v>
      </c>
      <c r="J59" s="23">
        <f>ROUND(79*1,0)&amp;"%"</f>
      </c>
    </row>
    <row x14ac:dyDescent="0.25" r="60" customHeight="1" ht="17.25">
      <c r="A60" s="17" t="s">
        <v>1981</v>
      </c>
      <c r="B60" s="17" t="s">
        <v>126</v>
      </c>
      <c r="C60" s="17" t="s">
        <v>114</v>
      </c>
      <c r="D60" s="17" t="s">
        <v>16</v>
      </c>
      <c r="E60" s="18">
        <f>ROUND(5301*1.05,2)</f>
      </c>
      <c r="F60" s="17" t="s">
        <v>48</v>
      </c>
      <c r="G60" s="17" t="s">
        <v>18</v>
      </c>
      <c r="H60" s="18">
        <f>ROUND(RAND()*4+6,1)</f>
      </c>
      <c r="I60" s="17" t="s">
        <v>19</v>
      </c>
      <c r="J60" s="19">
        <f>ROUND(67*1,0)&amp;"%"</f>
      </c>
    </row>
    <row x14ac:dyDescent="0.25" r="61" customHeight="1" ht="17.25">
      <c r="A61" s="20" t="s">
        <v>1982</v>
      </c>
      <c r="B61" s="20" t="s">
        <v>128</v>
      </c>
      <c r="C61" s="20" t="s">
        <v>114</v>
      </c>
      <c r="D61" s="20" t="s">
        <v>22</v>
      </c>
      <c r="E61" s="22">
        <f>ROUND(4320*1.05,2)</f>
      </c>
      <c r="F61" s="20" t="s">
        <v>51</v>
      </c>
      <c r="G61" s="20" t="s">
        <v>24</v>
      </c>
      <c r="H61" s="21">
        <f>ROUND(RAND()*4+6,1)</f>
      </c>
      <c r="I61" s="20" t="s">
        <v>25</v>
      </c>
      <c r="J61" s="23">
        <f>ROUND(72*1,0)&amp;"%"</f>
      </c>
    </row>
    <row x14ac:dyDescent="0.25" r="62" customHeight="1" ht="17.25">
      <c r="A62" s="24" t="s">
        <v>129</v>
      </c>
      <c r="B62" s="24"/>
      <c r="C62" s="24"/>
      <c r="D62" s="24"/>
      <c r="E62" s="25">
        <v>8</v>
      </c>
      <c r="F62" s="9"/>
      <c r="G62" s="9"/>
      <c r="H62" s="10"/>
      <c r="I62" s="9"/>
      <c r="J62" s="9"/>
    </row>
    <row x14ac:dyDescent="0.25" r="63" customHeight="1" ht="17.25">
      <c r="A63" s="7"/>
      <c r="B63" s="7"/>
      <c r="C63" s="7"/>
      <c r="D63" s="7"/>
      <c r="E63" s="8"/>
      <c r="F63" s="9"/>
      <c r="G63" s="9"/>
      <c r="H63" s="10"/>
      <c r="I63" s="9"/>
      <c r="J63" s="9"/>
    </row>
    <row x14ac:dyDescent="0.25" r="64" customHeight="1" ht="17.25">
      <c r="A64" s="11" t="s">
        <v>1983</v>
      </c>
      <c r="B64" s="11"/>
      <c r="C64" s="11"/>
      <c r="D64" s="11"/>
      <c r="E64" s="12"/>
      <c r="F64" s="11"/>
      <c r="G64" s="11"/>
      <c r="H64" s="13"/>
      <c r="I64" s="11"/>
      <c r="J64" s="11"/>
    </row>
    <row x14ac:dyDescent="0.25" r="65" customHeight="1" ht="17.25">
      <c r="A65" s="14" t="s">
        <v>3</v>
      </c>
      <c r="B65" s="14" t="s">
        <v>4</v>
      </c>
      <c r="C65" s="14" t="s">
        <v>5</v>
      </c>
      <c r="D65" s="14" t="s">
        <v>6</v>
      </c>
      <c r="E65" s="15" t="s">
        <v>7</v>
      </c>
      <c r="F65" s="14" t="s">
        <v>8</v>
      </c>
      <c r="G65" s="14" t="s">
        <v>9</v>
      </c>
      <c r="H65" s="16" t="s">
        <v>10</v>
      </c>
      <c r="I65" s="14" t="s">
        <v>11</v>
      </c>
      <c r="J65" s="14" t="s">
        <v>12</v>
      </c>
    </row>
    <row x14ac:dyDescent="0.25" r="66" customHeight="1" ht="17.25">
      <c r="A66" s="17" t="s">
        <v>1984</v>
      </c>
      <c r="B66" s="17" t="s">
        <v>132</v>
      </c>
      <c r="C66" s="17" t="s">
        <v>133</v>
      </c>
      <c r="D66" s="17" t="s">
        <v>16</v>
      </c>
      <c r="E66" s="26">
        <f>ROUND(14640*1.05,2)</f>
      </c>
      <c r="F66" s="17" t="s">
        <v>17</v>
      </c>
      <c r="G66" s="17" t="s">
        <v>18</v>
      </c>
      <c r="H66" s="18">
        <f>ROUND(RAND()*4+6,1)</f>
      </c>
      <c r="I66" s="17" t="s">
        <v>19</v>
      </c>
      <c r="J66" s="19">
        <f>ROUND(69*1,0)&amp;"%"</f>
      </c>
    </row>
    <row x14ac:dyDescent="0.25" r="67" customHeight="1" ht="17.25">
      <c r="A67" s="20" t="s">
        <v>1985</v>
      </c>
      <c r="B67" s="20" t="s">
        <v>135</v>
      </c>
      <c r="C67" s="20" t="s">
        <v>133</v>
      </c>
      <c r="D67" s="20" t="s">
        <v>22</v>
      </c>
      <c r="E67" s="21">
        <f>ROUND(14432*1.05,2)</f>
      </c>
      <c r="F67" s="20" t="s">
        <v>23</v>
      </c>
      <c r="G67" s="20" t="s">
        <v>24</v>
      </c>
      <c r="H67" s="21">
        <f>ROUND(RAND()*4+6,1)</f>
      </c>
      <c r="I67" s="20" t="s">
        <v>25</v>
      </c>
      <c r="J67" s="23">
        <f>ROUND(83*1,0)&amp;"%"</f>
      </c>
    </row>
    <row x14ac:dyDescent="0.25" r="68" customHeight="1" ht="17.25">
      <c r="A68" s="17" t="s">
        <v>1986</v>
      </c>
      <c r="B68" s="17" t="s">
        <v>137</v>
      </c>
      <c r="C68" s="17" t="s">
        <v>133</v>
      </c>
      <c r="D68" s="17" t="s">
        <v>28</v>
      </c>
      <c r="E68" s="18">
        <f>ROUND(14435*1.05,2)</f>
      </c>
      <c r="F68" s="17" t="s">
        <v>29</v>
      </c>
      <c r="G68" s="17" t="s">
        <v>30</v>
      </c>
      <c r="H68" s="18">
        <f>ROUND(RAND()*4+6,1)</f>
      </c>
      <c r="I68" s="17" t="s">
        <v>31</v>
      </c>
      <c r="J68" s="19">
        <f>ROUND(82*1,0)&amp;"%"</f>
      </c>
    </row>
    <row x14ac:dyDescent="0.25" r="69" customHeight="1" ht="17.25">
      <c r="A69" s="20" t="s">
        <v>1987</v>
      </c>
      <c r="B69" s="20" t="s">
        <v>139</v>
      </c>
      <c r="C69" s="20" t="s">
        <v>133</v>
      </c>
      <c r="D69" s="20" t="s">
        <v>34</v>
      </c>
      <c r="E69" s="21">
        <f>ROUND(9138*1.05,2)</f>
      </c>
      <c r="F69" s="20" t="s">
        <v>35</v>
      </c>
      <c r="G69" s="20" t="s">
        <v>18</v>
      </c>
      <c r="H69" s="21">
        <f>ROUND(RAND()*4+6,1)</f>
      </c>
      <c r="I69" s="20" t="s">
        <v>36</v>
      </c>
      <c r="J69" s="23">
        <f>ROUND(98*1,0)&amp;"%"</f>
      </c>
    </row>
    <row x14ac:dyDescent="0.25" r="70" customHeight="1" ht="17.25">
      <c r="A70" s="17" t="s">
        <v>1988</v>
      </c>
      <c r="B70" s="17" t="s">
        <v>141</v>
      </c>
      <c r="C70" s="17" t="s">
        <v>133</v>
      </c>
      <c r="D70" s="17" t="s">
        <v>39</v>
      </c>
      <c r="E70" s="18">
        <f>ROUND(14277*1.05,2)</f>
      </c>
      <c r="F70" s="17" t="s">
        <v>40</v>
      </c>
      <c r="G70" s="17" t="s">
        <v>24</v>
      </c>
      <c r="H70" s="26">
        <f>ROUND(RAND()*4+6,1)</f>
      </c>
      <c r="I70" s="17" t="s">
        <v>41</v>
      </c>
      <c r="J70" s="19">
        <f>ROUND(90*1,0)&amp;"%"</f>
      </c>
    </row>
    <row x14ac:dyDescent="0.25" r="71" customHeight="1" ht="17.25">
      <c r="A71" s="20" t="s">
        <v>1989</v>
      </c>
      <c r="B71" s="20" t="s">
        <v>143</v>
      </c>
      <c r="C71" s="20" t="s">
        <v>133</v>
      </c>
      <c r="D71" s="20" t="s">
        <v>67</v>
      </c>
      <c r="E71" s="22">
        <f>ROUND(5040*1.05,2)</f>
      </c>
      <c r="F71" s="20" t="s">
        <v>44</v>
      </c>
      <c r="G71" s="20" t="s">
        <v>30</v>
      </c>
      <c r="H71" s="22">
        <f>ROUND(RAND()*4+6,1)</f>
      </c>
      <c r="I71" s="20" t="s">
        <v>45</v>
      </c>
      <c r="J71" s="23">
        <f>ROUND(69*1,0)&amp;"%"</f>
      </c>
    </row>
    <row x14ac:dyDescent="0.25" r="72" customHeight="1" ht="17.25">
      <c r="A72" s="17" t="s">
        <v>1990</v>
      </c>
      <c r="B72" s="17" t="s">
        <v>145</v>
      </c>
      <c r="C72" s="17" t="s">
        <v>133</v>
      </c>
      <c r="D72" s="17" t="s">
        <v>16</v>
      </c>
      <c r="E72" s="18">
        <f>ROUND(13334*1.05,2)</f>
      </c>
      <c r="F72" s="17" t="s">
        <v>48</v>
      </c>
      <c r="G72" s="17" t="s">
        <v>18</v>
      </c>
      <c r="H72" s="26">
        <f>ROUND(RAND()*4+6,1)</f>
      </c>
      <c r="I72" s="17" t="s">
        <v>19</v>
      </c>
      <c r="J72" s="19">
        <f>ROUND(89*1,0)&amp;"%"</f>
      </c>
    </row>
    <row x14ac:dyDescent="0.25" r="73" customHeight="1" ht="17.25">
      <c r="A73" s="20" t="s">
        <v>1991</v>
      </c>
      <c r="B73" s="20" t="s">
        <v>147</v>
      </c>
      <c r="C73" s="20" t="s">
        <v>133</v>
      </c>
      <c r="D73" s="20" t="s">
        <v>22</v>
      </c>
      <c r="E73" s="21">
        <f>ROUND(9131*1.05,2)</f>
      </c>
      <c r="F73" s="20" t="s">
        <v>51</v>
      </c>
      <c r="G73" s="20" t="s">
        <v>24</v>
      </c>
      <c r="H73" s="21">
        <f>ROUND(RAND()*4+6,1)</f>
      </c>
      <c r="I73" s="20" t="s">
        <v>25</v>
      </c>
      <c r="J73" s="23">
        <f>ROUND(83*1,0)&amp;"%"</f>
      </c>
    </row>
    <row x14ac:dyDescent="0.25" r="74" customHeight="1" ht="17.25">
      <c r="A74" s="24" t="s">
        <v>148</v>
      </c>
      <c r="B74" s="24"/>
      <c r="C74" s="24"/>
      <c r="D74" s="24"/>
      <c r="E74" s="25">
        <v>8</v>
      </c>
      <c r="F74" s="9"/>
      <c r="G74" s="9"/>
      <c r="H74" s="10"/>
      <c r="I74" s="9"/>
      <c r="J74" s="9"/>
    </row>
    <row x14ac:dyDescent="0.25" r="75" customHeight="1" ht="17.25">
      <c r="A75" s="7"/>
      <c r="B75" s="7"/>
      <c r="C75" s="7"/>
      <c r="D75" s="7"/>
      <c r="E75" s="8"/>
      <c r="F75" s="9"/>
      <c r="G75" s="9"/>
      <c r="H75" s="10"/>
      <c r="I75" s="9"/>
      <c r="J75" s="9"/>
    </row>
    <row x14ac:dyDescent="0.25" r="76" customHeight="1" ht="17.25">
      <c r="A76" s="11" t="s">
        <v>1992</v>
      </c>
      <c r="B76" s="11"/>
      <c r="C76" s="11"/>
      <c r="D76" s="11"/>
      <c r="E76" s="12"/>
      <c r="F76" s="11"/>
      <c r="G76" s="11"/>
      <c r="H76" s="13"/>
      <c r="I76" s="11"/>
      <c r="J76" s="11"/>
    </row>
    <row x14ac:dyDescent="0.25" r="77" customHeight="1" ht="17.25">
      <c r="A77" s="14" t="s">
        <v>3</v>
      </c>
      <c r="B77" s="14" t="s">
        <v>4</v>
      </c>
      <c r="C77" s="14" t="s">
        <v>5</v>
      </c>
      <c r="D77" s="14" t="s">
        <v>6</v>
      </c>
      <c r="E77" s="15" t="s">
        <v>7</v>
      </c>
      <c r="F77" s="14" t="s">
        <v>8</v>
      </c>
      <c r="G77" s="14" t="s">
        <v>9</v>
      </c>
      <c r="H77" s="16" t="s">
        <v>10</v>
      </c>
      <c r="I77" s="14" t="s">
        <v>11</v>
      </c>
      <c r="J77" s="14" t="s">
        <v>12</v>
      </c>
    </row>
    <row x14ac:dyDescent="0.25" r="78" customHeight="1" ht="17.25">
      <c r="A78" s="17" t="s">
        <v>1993</v>
      </c>
      <c r="B78" s="17" t="s">
        <v>151</v>
      </c>
      <c r="C78" s="17" t="s">
        <v>152</v>
      </c>
      <c r="D78" s="17" t="s">
        <v>16</v>
      </c>
      <c r="E78" s="18">
        <f>ROUND(11364*1.05,2)</f>
      </c>
      <c r="F78" s="17" t="s">
        <v>17</v>
      </c>
      <c r="G78" s="17" t="s">
        <v>18</v>
      </c>
      <c r="H78" s="18">
        <f>ROUND(RAND()*4+6,1)</f>
      </c>
      <c r="I78" s="17" t="s">
        <v>19</v>
      </c>
      <c r="J78" s="19">
        <f>ROUND(65*1,0)&amp;"%"</f>
      </c>
    </row>
    <row x14ac:dyDescent="0.25" r="79" customHeight="1" ht="17.25">
      <c r="A79" s="20" t="s">
        <v>1994</v>
      </c>
      <c r="B79" s="20" t="s">
        <v>154</v>
      </c>
      <c r="C79" s="20" t="s">
        <v>152</v>
      </c>
      <c r="D79" s="20" t="s">
        <v>22</v>
      </c>
      <c r="E79" s="21">
        <f>ROUND(8235*1.05,2)</f>
      </c>
      <c r="F79" s="20" t="s">
        <v>23</v>
      </c>
      <c r="G79" s="20" t="s">
        <v>24</v>
      </c>
      <c r="H79" s="21">
        <f>ROUND(RAND()*4+6,1)</f>
      </c>
      <c r="I79" s="20" t="s">
        <v>25</v>
      </c>
      <c r="J79" s="23">
        <f>ROUND(85*1,0)&amp;"%"</f>
      </c>
    </row>
    <row x14ac:dyDescent="0.25" r="80" customHeight="1" ht="17.25">
      <c r="A80" s="17" t="s">
        <v>1995</v>
      </c>
      <c r="B80" s="17" t="s">
        <v>156</v>
      </c>
      <c r="C80" s="17" t="s">
        <v>152</v>
      </c>
      <c r="D80" s="17" t="s">
        <v>28</v>
      </c>
      <c r="E80" s="18">
        <f>ROUND(17633*1.05,2)</f>
      </c>
      <c r="F80" s="17" t="s">
        <v>29</v>
      </c>
      <c r="G80" s="17" t="s">
        <v>30</v>
      </c>
      <c r="H80" s="18">
        <f>ROUND(RAND()*4+6,1)</f>
      </c>
      <c r="I80" s="17" t="s">
        <v>31</v>
      </c>
      <c r="J80" s="19">
        <f>ROUND(72*1,0)&amp;"%"</f>
      </c>
    </row>
    <row x14ac:dyDescent="0.25" r="81" customHeight="1" ht="17.25">
      <c r="A81" s="20" t="s">
        <v>1996</v>
      </c>
      <c r="B81" s="20" t="s">
        <v>158</v>
      </c>
      <c r="C81" s="20" t="s">
        <v>152</v>
      </c>
      <c r="D81" s="20" t="s">
        <v>34</v>
      </c>
      <c r="E81" s="21">
        <f>ROUND(12814*1.05,2)</f>
      </c>
      <c r="F81" s="20" t="s">
        <v>35</v>
      </c>
      <c r="G81" s="20" t="s">
        <v>18</v>
      </c>
      <c r="H81" s="22">
        <f>ROUND(RAND()*4+6,1)</f>
      </c>
      <c r="I81" s="20" t="s">
        <v>36</v>
      </c>
      <c r="J81" s="23">
        <f>ROUND(75*1,0)&amp;"%"</f>
      </c>
    </row>
    <row x14ac:dyDescent="0.25" r="82" customHeight="1" ht="17.25">
      <c r="A82" s="17" t="s">
        <v>1997</v>
      </c>
      <c r="B82" s="17" t="s">
        <v>160</v>
      </c>
      <c r="C82" s="17" t="s">
        <v>152</v>
      </c>
      <c r="D82" s="17" t="s">
        <v>39</v>
      </c>
      <c r="E82" s="18">
        <f>ROUND(4633*1.05,2)</f>
      </c>
      <c r="F82" s="17" t="s">
        <v>40</v>
      </c>
      <c r="G82" s="17" t="s">
        <v>24</v>
      </c>
      <c r="H82" s="18">
        <f>ROUND(RAND()*4+6,1)</f>
      </c>
      <c r="I82" s="17" t="s">
        <v>41</v>
      </c>
      <c r="J82" s="19">
        <f>ROUND(74*1,0)&amp;"%"</f>
      </c>
    </row>
    <row x14ac:dyDescent="0.25" r="83" customHeight="1" ht="17.25">
      <c r="A83" s="20" t="s">
        <v>1998</v>
      </c>
      <c r="B83" s="20" t="s">
        <v>162</v>
      </c>
      <c r="C83" s="20" t="s">
        <v>152</v>
      </c>
      <c r="D83" s="20" t="s">
        <v>67</v>
      </c>
      <c r="E83" s="21">
        <f>ROUND(13441*1.05,2)</f>
      </c>
      <c r="F83" s="20" t="s">
        <v>44</v>
      </c>
      <c r="G83" s="20" t="s">
        <v>30</v>
      </c>
      <c r="H83" s="21">
        <f>ROUND(RAND()*4+6,1)</f>
      </c>
      <c r="I83" s="20" t="s">
        <v>45</v>
      </c>
      <c r="J83" s="23">
        <f>ROUND(83*1,0)&amp;"%"</f>
      </c>
    </row>
    <row x14ac:dyDescent="0.25" r="84" customHeight="1" ht="17.25">
      <c r="A84" s="17" t="s">
        <v>1999</v>
      </c>
      <c r="B84" s="17" t="s">
        <v>164</v>
      </c>
      <c r="C84" s="17" t="s">
        <v>152</v>
      </c>
      <c r="D84" s="17" t="s">
        <v>16</v>
      </c>
      <c r="E84" s="18">
        <f>ROUND(11028*1.05,2)</f>
      </c>
      <c r="F84" s="17" t="s">
        <v>48</v>
      </c>
      <c r="G84" s="17" t="s">
        <v>18</v>
      </c>
      <c r="H84" s="18">
        <f>ROUND(RAND()*4+6,1)</f>
      </c>
      <c r="I84" s="17" t="s">
        <v>19</v>
      </c>
      <c r="J84" s="19">
        <f>ROUND(85*1,0)&amp;"%"</f>
      </c>
    </row>
    <row x14ac:dyDescent="0.25" r="85" customHeight="1" ht="17.25">
      <c r="A85" s="20" t="s">
        <v>2000</v>
      </c>
      <c r="B85" s="20" t="s">
        <v>166</v>
      </c>
      <c r="C85" s="20" t="s">
        <v>152</v>
      </c>
      <c r="D85" s="20" t="s">
        <v>22</v>
      </c>
      <c r="E85" s="21">
        <f>ROUND(10804*1.05,2)</f>
      </c>
      <c r="F85" s="20" t="s">
        <v>51</v>
      </c>
      <c r="G85" s="20" t="s">
        <v>24</v>
      </c>
      <c r="H85" s="21">
        <f>ROUND(RAND()*4+6,1)</f>
      </c>
      <c r="I85" s="20" t="s">
        <v>25</v>
      </c>
      <c r="J85" s="23">
        <f>ROUND(67*1,0)&amp;"%"</f>
      </c>
    </row>
    <row x14ac:dyDescent="0.25" r="86" customHeight="1" ht="17.25">
      <c r="A86" s="24" t="s">
        <v>167</v>
      </c>
      <c r="B86" s="24"/>
      <c r="C86" s="24"/>
      <c r="D86" s="24"/>
      <c r="E86" s="25">
        <v>8</v>
      </c>
      <c r="F86" s="9"/>
      <c r="G86" s="9"/>
      <c r="H86" s="10"/>
      <c r="I86" s="9"/>
      <c r="J86" s="9"/>
    </row>
    <row x14ac:dyDescent="0.25" r="87" customHeight="1" ht="17.25">
      <c r="A87" s="7"/>
      <c r="B87" s="7"/>
      <c r="C87" s="7"/>
      <c r="D87" s="7"/>
      <c r="E87" s="8"/>
      <c r="F87" s="9"/>
      <c r="G87" s="9"/>
      <c r="H87" s="10"/>
      <c r="I87" s="9"/>
      <c r="J87" s="9"/>
    </row>
    <row x14ac:dyDescent="0.25" r="88" customHeight="1" ht="17.25">
      <c r="A88" s="11" t="s">
        <v>2001</v>
      </c>
      <c r="B88" s="11"/>
      <c r="C88" s="11"/>
      <c r="D88" s="11"/>
      <c r="E88" s="12"/>
      <c r="F88" s="11"/>
      <c r="G88" s="11"/>
      <c r="H88" s="13"/>
      <c r="I88" s="11"/>
      <c r="J88" s="11"/>
    </row>
    <row x14ac:dyDescent="0.25" r="89" customHeight="1" ht="17.25">
      <c r="A89" s="14" t="s">
        <v>3</v>
      </c>
      <c r="B89" s="14" t="s">
        <v>4</v>
      </c>
      <c r="C89" s="14" t="s">
        <v>5</v>
      </c>
      <c r="D89" s="14" t="s">
        <v>6</v>
      </c>
      <c r="E89" s="15" t="s">
        <v>7</v>
      </c>
      <c r="F89" s="14" t="s">
        <v>8</v>
      </c>
      <c r="G89" s="14" t="s">
        <v>9</v>
      </c>
      <c r="H89" s="16" t="s">
        <v>10</v>
      </c>
      <c r="I89" s="14" t="s">
        <v>11</v>
      </c>
      <c r="J89" s="14" t="s">
        <v>12</v>
      </c>
    </row>
    <row x14ac:dyDescent="0.25" r="90" customHeight="1" ht="17.25">
      <c r="A90" s="17" t="s">
        <v>2002</v>
      </c>
      <c r="B90" s="17" t="s">
        <v>170</v>
      </c>
      <c r="C90" s="17" t="s">
        <v>15</v>
      </c>
      <c r="D90" s="17" t="s">
        <v>16</v>
      </c>
      <c r="E90" s="18">
        <f>ROUND(15894*1.05,2)</f>
      </c>
      <c r="F90" s="17" t="s">
        <v>17</v>
      </c>
      <c r="G90" s="17" t="s">
        <v>18</v>
      </c>
      <c r="H90" s="18">
        <f>ROUND(RAND()*4+6,1)</f>
      </c>
      <c r="I90" s="17" t="s">
        <v>19</v>
      </c>
      <c r="J90" s="19">
        <f>ROUND(70*1,0)&amp;"%"</f>
      </c>
    </row>
    <row x14ac:dyDescent="0.25" r="91" customHeight="1" ht="17.25">
      <c r="A91" s="20" t="s">
        <v>2003</v>
      </c>
      <c r="B91" s="20" t="s">
        <v>172</v>
      </c>
      <c r="C91" s="20" t="s">
        <v>15</v>
      </c>
      <c r="D91" s="20" t="s">
        <v>22</v>
      </c>
      <c r="E91" s="21">
        <f>ROUND(10723*1.05,2)</f>
      </c>
      <c r="F91" s="20" t="s">
        <v>23</v>
      </c>
      <c r="G91" s="20" t="s">
        <v>24</v>
      </c>
      <c r="H91" s="21">
        <f>ROUND(RAND()*4+6,1)</f>
      </c>
      <c r="I91" s="20" t="s">
        <v>25</v>
      </c>
      <c r="J91" s="23">
        <f>ROUND(92*1,0)&amp;"%"</f>
      </c>
    </row>
    <row x14ac:dyDescent="0.25" r="92" customHeight="1" ht="17.25">
      <c r="A92" s="17" t="s">
        <v>2004</v>
      </c>
      <c r="B92" s="17" t="s">
        <v>174</v>
      </c>
      <c r="C92" s="17" t="s">
        <v>15</v>
      </c>
      <c r="D92" s="17" t="s">
        <v>28</v>
      </c>
      <c r="E92" s="18">
        <f>ROUND(10995*1.05,2)</f>
      </c>
      <c r="F92" s="17" t="s">
        <v>29</v>
      </c>
      <c r="G92" s="17" t="s">
        <v>30</v>
      </c>
      <c r="H92" s="26">
        <f>ROUND(RAND()*4+6,1)</f>
      </c>
      <c r="I92" s="17" t="s">
        <v>31</v>
      </c>
      <c r="J92" s="19">
        <f>ROUND(100*1,0)&amp;"%"</f>
      </c>
    </row>
    <row x14ac:dyDescent="0.25" r="93" customHeight="1" ht="17.25">
      <c r="A93" s="20" t="s">
        <v>2005</v>
      </c>
      <c r="B93" s="20" t="s">
        <v>176</v>
      </c>
      <c r="C93" s="20" t="s">
        <v>15</v>
      </c>
      <c r="D93" s="20" t="s">
        <v>34</v>
      </c>
      <c r="E93" s="21">
        <f>ROUND(14366*1.05,2)</f>
      </c>
      <c r="F93" s="20" t="s">
        <v>35</v>
      </c>
      <c r="G93" s="20" t="s">
        <v>18</v>
      </c>
      <c r="H93" s="21">
        <f>ROUND(RAND()*4+6,1)</f>
      </c>
      <c r="I93" s="20" t="s">
        <v>36</v>
      </c>
      <c r="J93" s="23">
        <f>ROUND(84*1,0)&amp;"%"</f>
      </c>
    </row>
    <row x14ac:dyDescent="0.25" r="94" customHeight="1" ht="17.25">
      <c r="A94" s="17" t="s">
        <v>2006</v>
      </c>
      <c r="B94" s="17" t="s">
        <v>178</v>
      </c>
      <c r="C94" s="17" t="s">
        <v>15</v>
      </c>
      <c r="D94" s="17" t="s">
        <v>39</v>
      </c>
      <c r="E94" s="18">
        <f>ROUND(13443*1.05,2)</f>
      </c>
      <c r="F94" s="17" t="s">
        <v>40</v>
      </c>
      <c r="G94" s="17" t="s">
        <v>24</v>
      </c>
      <c r="H94" s="18">
        <f>ROUND(RAND()*4+6,1)</f>
      </c>
      <c r="I94" s="17" t="s">
        <v>41</v>
      </c>
      <c r="J94" s="19">
        <f>ROUND(95*1,0)&amp;"%"</f>
      </c>
    </row>
    <row x14ac:dyDescent="0.25" r="95" customHeight="1" ht="17.25">
      <c r="A95" s="20" t="s">
        <v>2007</v>
      </c>
      <c r="B95" s="20" t="s">
        <v>180</v>
      </c>
      <c r="C95" s="20" t="s">
        <v>15</v>
      </c>
      <c r="D95" s="20" t="s">
        <v>67</v>
      </c>
      <c r="E95" s="21">
        <f>ROUND(11962*1.05,2)</f>
      </c>
      <c r="F95" s="20" t="s">
        <v>44</v>
      </c>
      <c r="G95" s="20" t="s">
        <v>30</v>
      </c>
      <c r="H95" s="21">
        <f>ROUND(RAND()*4+6,1)</f>
      </c>
      <c r="I95" s="20" t="s">
        <v>45</v>
      </c>
      <c r="J95" s="23">
        <f>ROUND(90*1,0)&amp;"%"</f>
      </c>
    </row>
    <row x14ac:dyDescent="0.25" r="96" customHeight="1" ht="17.25">
      <c r="A96" s="17" t="s">
        <v>2008</v>
      </c>
      <c r="B96" s="17" t="s">
        <v>182</v>
      </c>
      <c r="C96" s="17" t="s">
        <v>15</v>
      </c>
      <c r="D96" s="17" t="s">
        <v>16</v>
      </c>
      <c r="E96" s="18">
        <f>ROUND(6459*1.05,2)</f>
      </c>
      <c r="F96" s="17" t="s">
        <v>48</v>
      </c>
      <c r="G96" s="17" t="s">
        <v>18</v>
      </c>
      <c r="H96" s="18">
        <f>ROUND(RAND()*4+6,1)</f>
      </c>
      <c r="I96" s="17" t="s">
        <v>19</v>
      </c>
      <c r="J96" s="19">
        <f>ROUND(64*1,0)&amp;"%"</f>
      </c>
    </row>
    <row x14ac:dyDescent="0.25" r="97" customHeight="1" ht="17.25">
      <c r="A97" s="20" t="s">
        <v>2009</v>
      </c>
      <c r="B97" s="20" t="s">
        <v>184</v>
      </c>
      <c r="C97" s="20" t="s">
        <v>15</v>
      </c>
      <c r="D97" s="20" t="s">
        <v>22</v>
      </c>
      <c r="E97" s="21">
        <f>ROUND(8008*1.05,2)</f>
      </c>
      <c r="F97" s="20" t="s">
        <v>51</v>
      </c>
      <c r="G97" s="20" t="s">
        <v>24</v>
      </c>
      <c r="H97" s="21">
        <f>ROUND(RAND()*4+6,1)</f>
      </c>
      <c r="I97" s="20" t="s">
        <v>25</v>
      </c>
      <c r="J97" s="23">
        <f>ROUND(66*1,0)&amp;"%"</f>
      </c>
    </row>
    <row x14ac:dyDescent="0.25" r="98" customHeight="1" ht="17.25">
      <c r="A98" s="24" t="s">
        <v>185</v>
      </c>
      <c r="B98" s="24"/>
      <c r="C98" s="24"/>
      <c r="D98" s="24"/>
      <c r="E98" s="25">
        <v>8</v>
      </c>
      <c r="F98" s="9"/>
      <c r="G98" s="9"/>
      <c r="H98" s="10"/>
      <c r="I98" s="9"/>
      <c r="J98" s="9"/>
    </row>
    <row x14ac:dyDescent="0.25" r="99" customHeight="1" ht="17.25">
      <c r="A99" s="7"/>
      <c r="B99" s="7"/>
      <c r="C99" s="7"/>
      <c r="D99" s="7"/>
      <c r="E99" s="8"/>
      <c r="F99" s="9"/>
      <c r="G99" s="9"/>
      <c r="H99" s="10"/>
      <c r="I99" s="9"/>
      <c r="J99" s="9"/>
    </row>
    <row x14ac:dyDescent="0.25" r="100" customHeight="1" ht="17.25">
      <c r="A100" s="11" t="s">
        <v>2010</v>
      </c>
      <c r="B100" s="11"/>
      <c r="C100" s="11"/>
      <c r="D100" s="11"/>
      <c r="E100" s="12"/>
      <c r="F100" s="11"/>
      <c r="G100" s="11"/>
      <c r="H100" s="13"/>
      <c r="I100" s="11"/>
      <c r="J100" s="11"/>
    </row>
    <row x14ac:dyDescent="0.25" r="101" customHeight="1" ht="17.25">
      <c r="A101" s="14" t="s">
        <v>3</v>
      </c>
      <c r="B101" s="14" t="s">
        <v>4</v>
      </c>
      <c r="C101" s="14" t="s">
        <v>5</v>
      </c>
      <c r="D101" s="14" t="s">
        <v>6</v>
      </c>
      <c r="E101" s="15" t="s">
        <v>7</v>
      </c>
      <c r="F101" s="14" t="s">
        <v>8</v>
      </c>
      <c r="G101" s="14" t="s">
        <v>9</v>
      </c>
      <c r="H101" s="16" t="s">
        <v>10</v>
      </c>
      <c r="I101" s="14" t="s">
        <v>11</v>
      </c>
      <c r="J101" s="14" t="s">
        <v>12</v>
      </c>
    </row>
    <row x14ac:dyDescent="0.25" r="102" customHeight="1" ht="17.25">
      <c r="A102" s="17" t="s">
        <v>2011</v>
      </c>
      <c r="B102" s="17" t="s">
        <v>188</v>
      </c>
      <c r="C102" s="17" t="s">
        <v>56</v>
      </c>
      <c r="D102" s="17" t="s">
        <v>16</v>
      </c>
      <c r="E102" s="18">
        <f>ROUND(14028*1.05,2)</f>
      </c>
      <c r="F102" s="17" t="s">
        <v>17</v>
      </c>
      <c r="G102" s="17" t="s">
        <v>18</v>
      </c>
      <c r="H102" s="18">
        <f>ROUND(RAND()*4+6,1)</f>
      </c>
      <c r="I102" s="17" t="s">
        <v>19</v>
      </c>
      <c r="J102" s="19">
        <f>ROUND(83*1,0)&amp;"%"</f>
      </c>
    </row>
    <row x14ac:dyDescent="0.25" r="103" customHeight="1" ht="17.25">
      <c r="A103" s="20" t="s">
        <v>2012</v>
      </c>
      <c r="B103" s="20" t="s">
        <v>190</v>
      </c>
      <c r="C103" s="20" t="s">
        <v>56</v>
      </c>
      <c r="D103" s="20" t="s">
        <v>22</v>
      </c>
      <c r="E103" s="21">
        <f>ROUND(4212*1.05,2)</f>
      </c>
      <c r="F103" s="20" t="s">
        <v>23</v>
      </c>
      <c r="G103" s="20" t="s">
        <v>24</v>
      </c>
      <c r="H103" s="21">
        <f>ROUND(RAND()*4+6,1)</f>
      </c>
      <c r="I103" s="20" t="s">
        <v>25</v>
      </c>
      <c r="J103" s="23">
        <f>ROUND(60*1,0)&amp;"%"</f>
      </c>
    </row>
    <row x14ac:dyDescent="0.25" r="104" customHeight="1" ht="17.25">
      <c r="A104" s="17" t="s">
        <v>2013</v>
      </c>
      <c r="B104" s="17" t="s">
        <v>192</v>
      </c>
      <c r="C104" s="17" t="s">
        <v>56</v>
      </c>
      <c r="D104" s="17" t="s">
        <v>28</v>
      </c>
      <c r="E104" s="18">
        <f>ROUND(10784*1.05,2)</f>
      </c>
      <c r="F104" s="17" t="s">
        <v>29</v>
      </c>
      <c r="G104" s="17" t="s">
        <v>30</v>
      </c>
      <c r="H104" s="18">
        <f>ROUND(RAND()*4+6,1)</f>
      </c>
      <c r="I104" s="17" t="s">
        <v>31</v>
      </c>
      <c r="J104" s="19">
        <f>ROUND(69*1,0)&amp;"%"</f>
      </c>
    </row>
    <row x14ac:dyDescent="0.25" r="105" customHeight="1" ht="17.25">
      <c r="A105" s="20" t="s">
        <v>2014</v>
      </c>
      <c r="B105" s="20" t="s">
        <v>194</v>
      </c>
      <c r="C105" s="20" t="s">
        <v>56</v>
      </c>
      <c r="D105" s="20" t="s">
        <v>34</v>
      </c>
      <c r="E105" s="21">
        <f>ROUND(6164*1.05,2)</f>
      </c>
      <c r="F105" s="20" t="s">
        <v>35</v>
      </c>
      <c r="G105" s="20" t="s">
        <v>18</v>
      </c>
      <c r="H105" s="21">
        <f>ROUND(RAND()*4+6,1)</f>
      </c>
      <c r="I105" s="20" t="s">
        <v>36</v>
      </c>
      <c r="J105" s="23">
        <f>ROUND(88*1,0)&amp;"%"</f>
      </c>
    </row>
    <row x14ac:dyDescent="0.25" r="106" customHeight="1" ht="17.25">
      <c r="A106" s="17" t="s">
        <v>2015</v>
      </c>
      <c r="B106" s="17" t="s">
        <v>196</v>
      </c>
      <c r="C106" s="17" t="s">
        <v>56</v>
      </c>
      <c r="D106" s="17" t="s">
        <v>39</v>
      </c>
      <c r="E106" s="18">
        <f>ROUND(8116*1.05,2)</f>
      </c>
      <c r="F106" s="17" t="s">
        <v>40</v>
      </c>
      <c r="G106" s="17" t="s">
        <v>24</v>
      </c>
      <c r="H106" s="18">
        <f>ROUND(RAND()*4+6,1)</f>
      </c>
      <c r="I106" s="17" t="s">
        <v>41</v>
      </c>
      <c r="J106" s="19">
        <f>ROUND(81*1,0)&amp;"%"</f>
      </c>
    </row>
    <row x14ac:dyDescent="0.25" r="107" customHeight="1" ht="17.25">
      <c r="A107" s="20" t="s">
        <v>2016</v>
      </c>
      <c r="B107" s="20" t="s">
        <v>198</v>
      </c>
      <c r="C107" s="20" t="s">
        <v>56</v>
      </c>
      <c r="D107" s="20" t="s">
        <v>67</v>
      </c>
      <c r="E107" s="21">
        <f>ROUND(6013*1.05,2)</f>
      </c>
      <c r="F107" s="20" t="s">
        <v>44</v>
      </c>
      <c r="G107" s="20" t="s">
        <v>30</v>
      </c>
      <c r="H107" s="21">
        <f>ROUND(RAND()*4+6,1)</f>
      </c>
      <c r="I107" s="20" t="s">
        <v>45</v>
      </c>
      <c r="J107" s="23">
        <f>ROUND(60*1,0)&amp;"%"</f>
      </c>
    </row>
    <row x14ac:dyDescent="0.25" r="108" customHeight="1" ht="17.25">
      <c r="A108" s="17" t="s">
        <v>2017</v>
      </c>
      <c r="B108" s="17" t="s">
        <v>200</v>
      </c>
      <c r="C108" s="17" t="s">
        <v>56</v>
      </c>
      <c r="D108" s="17" t="s">
        <v>16</v>
      </c>
      <c r="E108" s="18">
        <f>ROUND(4111*1.05,2)</f>
      </c>
      <c r="F108" s="17" t="s">
        <v>48</v>
      </c>
      <c r="G108" s="17" t="s">
        <v>18</v>
      </c>
      <c r="H108" s="18">
        <f>ROUND(RAND()*4+6,1)</f>
      </c>
      <c r="I108" s="17" t="s">
        <v>19</v>
      </c>
      <c r="J108" s="19">
        <f>ROUND(73*1,0)&amp;"%"</f>
      </c>
    </row>
    <row x14ac:dyDescent="0.25" r="109" customHeight="1" ht="17.25">
      <c r="A109" s="20" t="s">
        <v>2018</v>
      </c>
      <c r="B109" s="20" t="s">
        <v>202</v>
      </c>
      <c r="C109" s="20" t="s">
        <v>56</v>
      </c>
      <c r="D109" s="20" t="s">
        <v>22</v>
      </c>
      <c r="E109" s="21">
        <f>ROUND(14531*1.05,2)</f>
      </c>
      <c r="F109" s="20" t="s">
        <v>51</v>
      </c>
      <c r="G109" s="20" t="s">
        <v>24</v>
      </c>
      <c r="H109" s="21">
        <f>ROUND(RAND()*4+6,1)</f>
      </c>
      <c r="I109" s="20" t="s">
        <v>25</v>
      </c>
      <c r="J109" s="23">
        <f>ROUND(91*1,0)&amp;"%"</f>
      </c>
    </row>
    <row x14ac:dyDescent="0.25" r="110" customHeight="1" ht="17.25">
      <c r="A110" s="24" t="s">
        <v>203</v>
      </c>
      <c r="B110" s="24"/>
      <c r="C110" s="24"/>
      <c r="D110" s="24"/>
      <c r="E110" s="25">
        <v>8</v>
      </c>
      <c r="F110" s="9"/>
      <c r="G110" s="9"/>
      <c r="H110" s="10"/>
      <c r="I110" s="9"/>
      <c r="J110" s="9"/>
    </row>
    <row x14ac:dyDescent="0.25" r="111" customHeight="1" ht="17.25">
      <c r="A111" s="7"/>
      <c r="B111" s="7"/>
      <c r="C111" s="7"/>
      <c r="D111" s="7"/>
      <c r="E111" s="8"/>
      <c r="F111" s="9"/>
      <c r="G111" s="9"/>
      <c r="H111" s="10"/>
      <c r="I111" s="9"/>
      <c r="J111" s="9"/>
    </row>
    <row x14ac:dyDescent="0.25" r="112" customHeight="1" ht="17.25">
      <c r="A112" s="11" t="s">
        <v>2019</v>
      </c>
      <c r="B112" s="11"/>
      <c r="C112" s="11"/>
      <c r="D112" s="11"/>
      <c r="E112" s="12"/>
      <c r="F112" s="11"/>
      <c r="G112" s="11"/>
      <c r="H112" s="13"/>
      <c r="I112" s="11"/>
      <c r="J112" s="11"/>
    </row>
    <row x14ac:dyDescent="0.25" r="113" customHeight="1" ht="17.25">
      <c r="A113" s="14" t="s">
        <v>3</v>
      </c>
      <c r="B113" s="14" t="s">
        <v>4</v>
      </c>
      <c r="C113" s="14" t="s">
        <v>5</v>
      </c>
      <c r="D113" s="14" t="s">
        <v>6</v>
      </c>
      <c r="E113" s="15" t="s">
        <v>7</v>
      </c>
      <c r="F113" s="14" t="s">
        <v>8</v>
      </c>
      <c r="G113" s="14" t="s">
        <v>9</v>
      </c>
      <c r="H113" s="16" t="s">
        <v>10</v>
      </c>
      <c r="I113" s="14" t="s">
        <v>11</v>
      </c>
      <c r="J113" s="14" t="s">
        <v>12</v>
      </c>
    </row>
    <row x14ac:dyDescent="0.25" r="114" customHeight="1" ht="17.25">
      <c r="A114" s="17" t="s">
        <v>2020</v>
      </c>
      <c r="B114" s="17" t="s">
        <v>206</v>
      </c>
      <c r="C114" s="17" t="s">
        <v>76</v>
      </c>
      <c r="D114" s="17" t="s">
        <v>16</v>
      </c>
      <c r="E114" s="18">
        <f>ROUND(10509*1.05,2)</f>
      </c>
      <c r="F114" s="17" t="s">
        <v>17</v>
      </c>
      <c r="G114" s="17" t="s">
        <v>18</v>
      </c>
      <c r="H114" s="26">
        <f>ROUND(RAND()*4+6,1)</f>
      </c>
      <c r="I114" s="17" t="s">
        <v>19</v>
      </c>
      <c r="J114" s="19">
        <f>ROUND(94*1,0)&amp;"%"</f>
      </c>
    </row>
    <row x14ac:dyDescent="0.25" r="115" customHeight="1" ht="17.25">
      <c r="A115" s="20" t="s">
        <v>2021</v>
      </c>
      <c r="B115" s="20" t="s">
        <v>208</v>
      </c>
      <c r="C115" s="20" t="s">
        <v>76</v>
      </c>
      <c r="D115" s="20" t="s">
        <v>22</v>
      </c>
      <c r="E115" s="21">
        <f>ROUND(12226*1.05,2)</f>
      </c>
      <c r="F115" s="20" t="s">
        <v>23</v>
      </c>
      <c r="G115" s="20" t="s">
        <v>24</v>
      </c>
      <c r="H115" s="21">
        <f>ROUND(RAND()*4+6,1)</f>
      </c>
      <c r="I115" s="20" t="s">
        <v>25</v>
      </c>
      <c r="J115" s="23">
        <f>ROUND(62*1,0)&amp;"%"</f>
      </c>
    </row>
    <row x14ac:dyDescent="0.25" r="116" customHeight="1" ht="17.25">
      <c r="A116" s="17" t="s">
        <v>2022</v>
      </c>
      <c r="B116" s="17" t="s">
        <v>210</v>
      </c>
      <c r="C116" s="17" t="s">
        <v>76</v>
      </c>
      <c r="D116" s="17" t="s">
        <v>28</v>
      </c>
      <c r="E116" s="18">
        <f>ROUND(6766*1.05,2)</f>
      </c>
      <c r="F116" s="17" t="s">
        <v>29</v>
      </c>
      <c r="G116" s="17" t="s">
        <v>30</v>
      </c>
      <c r="H116" s="26">
        <f>ROUND(RAND()*4+6,1)</f>
      </c>
      <c r="I116" s="17" t="s">
        <v>31</v>
      </c>
      <c r="J116" s="19">
        <f>ROUND(85*1,0)&amp;"%"</f>
      </c>
    </row>
    <row x14ac:dyDescent="0.25" r="117" customHeight="1" ht="17.25">
      <c r="A117" s="20" t="s">
        <v>2023</v>
      </c>
      <c r="B117" s="20" t="s">
        <v>212</v>
      </c>
      <c r="C117" s="20" t="s">
        <v>76</v>
      </c>
      <c r="D117" s="20" t="s">
        <v>34</v>
      </c>
      <c r="E117" s="21">
        <f>ROUND(13184*1.05,2)</f>
      </c>
      <c r="F117" s="20" t="s">
        <v>35</v>
      </c>
      <c r="G117" s="20" t="s">
        <v>18</v>
      </c>
      <c r="H117" s="21">
        <f>ROUND(RAND()*4+6,1)</f>
      </c>
      <c r="I117" s="20" t="s">
        <v>36</v>
      </c>
      <c r="J117" s="23">
        <f>ROUND(96*1,0)&amp;"%"</f>
      </c>
    </row>
    <row x14ac:dyDescent="0.25" r="118" customHeight="1" ht="17.25">
      <c r="A118" s="17" t="s">
        <v>2024</v>
      </c>
      <c r="B118" s="17" t="s">
        <v>214</v>
      </c>
      <c r="C118" s="17" t="s">
        <v>76</v>
      </c>
      <c r="D118" s="17" t="s">
        <v>39</v>
      </c>
      <c r="E118" s="18">
        <f>ROUND(7716*1.05,2)</f>
      </c>
      <c r="F118" s="17" t="s">
        <v>40</v>
      </c>
      <c r="G118" s="17" t="s">
        <v>24</v>
      </c>
      <c r="H118" s="18">
        <f>ROUND(RAND()*4+6,1)</f>
      </c>
      <c r="I118" s="17" t="s">
        <v>41</v>
      </c>
      <c r="J118" s="19">
        <f>ROUND(69*1,0)&amp;"%"</f>
      </c>
    </row>
    <row x14ac:dyDescent="0.25" r="119" customHeight="1" ht="17.25">
      <c r="A119" s="20" t="s">
        <v>2025</v>
      </c>
      <c r="B119" s="20" t="s">
        <v>216</v>
      </c>
      <c r="C119" s="20" t="s">
        <v>76</v>
      </c>
      <c r="D119" s="20" t="s">
        <v>67</v>
      </c>
      <c r="E119" s="21">
        <f>ROUND(6725*1.05,2)</f>
      </c>
      <c r="F119" s="20" t="s">
        <v>44</v>
      </c>
      <c r="G119" s="20" t="s">
        <v>30</v>
      </c>
      <c r="H119" s="21">
        <f>ROUND(RAND()*4+6,1)</f>
      </c>
      <c r="I119" s="20" t="s">
        <v>45</v>
      </c>
      <c r="J119" s="23">
        <f>ROUND(97*1,0)&amp;"%"</f>
      </c>
    </row>
    <row x14ac:dyDescent="0.25" r="120" customHeight="1" ht="17.25">
      <c r="A120" s="17" t="s">
        <v>2026</v>
      </c>
      <c r="B120" s="17" t="s">
        <v>218</v>
      </c>
      <c r="C120" s="17" t="s">
        <v>76</v>
      </c>
      <c r="D120" s="17" t="s">
        <v>16</v>
      </c>
      <c r="E120" s="18">
        <f>ROUND(15442*1.05,2)</f>
      </c>
      <c r="F120" s="17" t="s">
        <v>48</v>
      </c>
      <c r="G120" s="17" t="s">
        <v>18</v>
      </c>
      <c r="H120" s="18">
        <f>ROUND(RAND()*4+6,1)</f>
      </c>
      <c r="I120" s="17" t="s">
        <v>19</v>
      </c>
      <c r="J120" s="19">
        <f>ROUND(95*1,0)&amp;"%"</f>
      </c>
    </row>
    <row x14ac:dyDescent="0.25" r="121" customHeight="1" ht="17.25">
      <c r="A121" s="20" t="s">
        <v>2027</v>
      </c>
      <c r="B121" s="20" t="s">
        <v>220</v>
      </c>
      <c r="C121" s="20" t="s">
        <v>76</v>
      </c>
      <c r="D121" s="20" t="s">
        <v>22</v>
      </c>
      <c r="E121" s="21">
        <f>ROUND(9543*1.05,2)</f>
      </c>
      <c r="F121" s="20" t="s">
        <v>51</v>
      </c>
      <c r="G121" s="20" t="s">
        <v>24</v>
      </c>
      <c r="H121" s="21">
        <f>ROUND(RAND()*4+6,1)</f>
      </c>
      <c r="I121" s="20" t="s">
        <v>25</v>
      </c>
      <c r="J121" s="23">
        <f>ROUND(60*1,0)&amp;"%"</f>
      </c>
    </row>
    <row x14ac:dyDescent="0.25" r="122" customHeight="1" ht="17.25">
      <c r="A122" s="24" t="s">
        <v>221</v>
      </c>
      <c r="B122" s="24"/>
      <c r="C122" s="24"/>
      <c r="D122" s="24"/>
      <c r="E122" s="25">
        <v>8</v>
      </c>
      <c r="F122" s="9"/>
      <c r="G122" s="9"/>
      <c r="H122" s="10"/>
      <c r="I122" s="9"/>
      <c r="J122" s="9"/>
    </row>
    <row x14ac:dyDescent="0.25" r="123" customHeight="1" ht="17.25">
      <c r="A123" s="7"/>
      <c r="B123" s="7"/>
      <c r="C123" s="7"/>
      <c r="D123" s="7"/>
      <c r="E123" s="8"/>
      <c r="F123" s="9"/>
      <c r="G123" s="9"/>
      <c r="H123" s="10"/>
      <c r="I123" s="9"/>
      <c r="J123" s="9"/>
    </row>
    <row x14ac:dyDescent="0.25" r="124" customHeight="1" ht="17.25">
      <c r="A124" s="11" t="s">
        <v>2028</v>
      </c>
      <c r="B124" s="11"/>
      <c r="C124" s="11"/>
      <c r="D124" s="11"/>
      <c r="E124" s="12"/>
      <c r="F124" s="11"/>
      <c r="G124" s="11"/>
      <c r="H124" s="13"/>
      <c r="I124" s="11"/>
      <c r="J124" s="11"/>
    </row>
    <row x14ac:dyDescent="0.25" r="125" customHeight="1" ht="17.25">
      <c r="A125" s="14" t="s">
        <v>3</v>
      </c>
      <c r="B125" s="14" t="s">
        <v>4</v>
      </c>
      <c r="C125" s="14" t="s">
        <v>5</v>
      </c>
      <c r="D125" s="14" t="s">
        <v>6</v>
      </c>
      <c r="E125" s="15" t="s">
        <v>7</v>
      </c>
      <c r="F125" s="14" t="s">
        <v>8</v>
      </c>
      <c r="G125" s="14" t="s">
        <v>9</v>
      </c>
      <c r="H125" s="16" t="s">
        <v>10</v>
      </c>
      <c r="I125" s="14" t="s">
        <v>11</v>
      </c>
      <c r="J125" s="14" t="s">
        <v>12</v>
      </c>
    </row>
    <row x14ac:dyDescent="0.25" r="126" customHeight="1" ht="17.25">
      <c r="A126" s="17" t="s">
        <v>2029</v>
      </c>
      <c r="B126" s="17" t="s">
        <v>224</v>
      </c>
      <c r="C126" s="17" t="s">
        <v>95</v>
      </c>
      <c r="D126" s="17" t="s">
        <v>16</v>
      </c>
      <c r="E126" s="18">
        <f>ROUND(4238*1.05,2)</f>
      </c>
      <c r="F126" s="17" t="s">
        <v>17</v>
      </c>
      <c r="G126" s="17" t="s">
        <v>18</v>
      </c>
      <c r="H126" s="18">
        <f>ROUND(RAND()*4+6,1)</f>
      </c>
      <c r="I126" s="17" t="s">
        <v>19</v>
      </c>
      <c r="J126" s="19">
        <f>ROUND(85*1,0)&amp;"%"</f>
      </c>
    </row>
    <row x14ac:dyDescent="0.25" r="127" customHeight="1" ht="17.25">
      <c r="A127" s="20" t="s">
        <v>2030</v>
      </c>
      <c r="B127" s="20" t="s">
        <v>226</v>
      </c>
      <c r="C127" s="20" t="s">
        <v>95</v>
      </c>
      <c r="D127" s="20" t="s">
        <v>22</v>
      </c>
      <c r="E127" s="21">
        <f>ROUND(11132*1.05,2)</f>
      </c>
      <c r="F127" s="20" t="s">
        <v>23</v>
      </c>
      <c r="G127" s="20" t="s">
        <v>24</v>
      </c>
      <c r="H127" s="21">
        <f>ROUND(RAND()*4+6,1)</f>
      </c>
      <c r="I127" s="20" t="s">
        <v>25</v>
      </c>
      <c r="J127" s="23">
        <f>ROUND(66*1,0)&amp;"%"</f>
      </c>
    </row>
    <row x14ac:dyDescent="0.25" r="128" customHeight="1" ht="17.25">
      <c r="A128" s="17" t="s">
        <v>2031</v>
      </c>
      <c r="B128" s="17" t="s">
        <v>228</v>
      </c>
      <c r="C128" s="17" t="s">
        <v>95</v>
      </c>
      <c r="D128" s="17" t="s">
        <v>28</v>
      </c>
      <c r="E128" s="18">
        <f>ROUND(13621*1.05,2)</f>
      </c>
      <c r="F128" s="17" t="s">
        <v>29</v>
      </c>
      <c r="G128" s="17" t="s">
        <v>30</v>
      </c>
      <c r="H128" s="18">
        <f>ROUND(RAND()*4+6,1)</f>
      </c>
      <c r="I128" s="17" t="s">
        <v>31</v>
      </c>
      <c r="J128" s="19">
        <f>ROUND(77*1,0)&amp;"%"</f>
      </c>
    </row>
    <row x14ac:dyDescent="0.25" r="129" customHeight="1" ht="17.25">
      <c r="A129" s="20" t="s">
        <v>2032</v>
      </c>
      <c r="B129" s="20" t="s">
        <v>230</v>
      </c>
      <c r="C129" s="20" t="s">
        <v>95</v>
      </c>
      <c r="D129" s="20" t="s">
        <v>34</v>
      </c>
      <c r="E129" s="21">
        <f>ROUND(8459*1.05,2)</f>
      </c>
      <c r="F129" s="20" t="s">
        <v>35</v>
      </c>
      <c r="G129" s="20" t="s">
        <v>18</v>
      </c>
      <c r="H129" s="21">
        <f>ROUND(RAND()*4+6,1)</f>
      </c>
      <c r="I129" s="20" t="s">
        <v>36</v>
      </c>
      <c r="J129" s="23">
        <f>ROUND(74*1,0)&amp;"%"</f>
      </c>
    </row>
    <row x14ac:dyDescent="0.25" r="130" customHeight="1" ht="17.25">
      <c r="A130" s="17" t="s">
        <v>2033</v>
      </c>
      <c r="B130" s="17" t="s">
        <v>232</v>
      </c>
      <c r="C130" s="17" t="s">
        <v>95</v>
      </c>
      <c r="D130" s="17" t="s">
        <v>39</v>
      </c>
      <c r="E130" s="18">
        <f>ROUND(13768*1.05,2)</f>
      </c>
      <c r="F130" s="17" t="s">
        <v>40</v>
      </c>
      <c r="G130" s="17" t="s">
        <v>24</v>
      </c>
      <c r="H130" s="18">
        <f>ROUND(RAND()*4+6,1)</f>
      </c>
      <c r="I130" s="17" t="s">
        <v>41</v>
      </c>
      <c r="J130" s="19">
        <f>ROUND(63*1,0)&amp;"%"</f>
      </c>
    </row>
    <row x14ac:dyDescent="0.25" r="131" customHeight="1" ht="17.25">
      <c r="A131" s="20" t="s">
        <v>2034</v>
      </c>
      <c r="B131" s="20" t="s">
        <v>234</v>
      </c>
      <c r="C131" s="20" t="s">
        <v>95</v>
      </c>
      <c r="D131" s="20" t="s">
        <v>67</v>
      </c>
      <c r="E131" s="21">
        <f>ROUND(5315*1.05,2)</f>
      </c>
      <c r="F131" s="20" t="s">
        <v>44</v>
      </c>
      <c r="G131" s="20" t="s">
        <v>30</v>
      </c>
      <c r="H131" s="21">
        <f>ROUND(RAND()*4+6,1)</f>
      </c>
      <c r="I131" s="20" t="s">
        <v>45</v>
      </c>
      <c r="J131" s="23">
        <f>ROUND(97*1,0)&amp;"%"</f>
      </c>
    </row>
    <row x14ac:dyDescent="0.25" r="132" customHeight="1" ht="17.25">
      <c r="A132" s="17" t="s">
        <v>2035</v>
      </c>
      <c r="B132" s="17" t="s">
        <v>236</v>
      </c>
      <c r="C132" s="17" t="s">
        <v>95</v>
      </c>
      <c r="D132" s="17" t="s">
        <v>16</v>
      </c>
      <c r="E132" s="18">
        <f>ROUND(11245*1.05,2)</f>
      </c>
      <c r="F132" s="17" t="s">
        <v>48</v>
      </c>
      <c r="G132" s="17" t="s">
        <v>18</v>
      </c>
      <c r="H132" s="18">
        <f>ROUND(RAND()*4+6,1)</f>
      </c>
      <c r="I132" s="17" t="s">
        <v>19</v>
      </c>
      <c r="J132" s="19">
        <f>ROUND(68*1,0)&amp;"%"</f>
      </c>
    </row>
    <row x14ac:dyDescent="0.25" r="133" customHeight="1" ht="17.25">
      <c r="A133" s="20" t="s">
        <v>2036</v>
      </c>
      <c r="B133" s="20" t="s">
        <v>238</v>
      </c>
      <c r="C133" s="20" t="s">
        <v>95</v>
      </c>
      <c r="D133" s="20" t="s">
        <v>22</v>
      </c>
      <c r="E133" s="21">
        <f>ROUND(6370*1.05,2)</f>
      </c>
      <c r="F133" s="20" t="s">
        <v>51</v>
      </c>
      <c r="G133" s="20" t="s">
        <v>24</v>
      </c>
      <c r="H133" s="21">
        <f>ROUND(RAND()*4+6,1)</f>
      </c>
      <c r="I133" s="20" t="s">
        <v>25</v>
      </c>
      <c r="J133" s="23">
        <f>ROUND(82*1,0)&amp;"%"</f>
      </c>
    </row>
    <row x14ac:dyDescent="0.25" r="134" customHeight="1" ht="17.25">
      <c r="A134" s="24" t="s">
        <v>239</v>
      </c>
      <c r="B134" s="24"/>
      <c r="C134" s="24"/>
      <c r="D134" s="24"/>
      <c r="E134" s="25">
        <v>8</v>
      </c>
      <c r="F134" s="9"/>
      <c r="G134" s="9"/>
      <c r="H134" s="10"/>
      <c r="I134" s="9"/>
      <c r="J134" s="9"/>
    </row>
    <row x14ac:dyDescent="0.25" r="135" customHeight="1" ht="17.25">
      <c r="A135" s="7"/>
      <c r="B135" s="7"/>
      <c r="C135" s="7"/>
      <c r="D135" s="7"/>
      <c r="E135" s="8"/>
      <c r="F135" s="9"/>
      <c r="G135" s="9"/>
      <c r="H135" s="10"/>
      <c r="I135" s="9"/>
      <c r="J135" s="9"/>
    </row>
    <row x14ac:dyDescent="0.25" r="136" customHeight="1" ht="17.25">
      <c r="A136" s="11" t="s">
        <v>2037</v>
      </c>
      <c r="B136" s="11"/>
      <c r="C136" s="11"/>
      <c r="D136" s="11"/>
      <c r="E136" s="12"/>
      <c r="F136" s="11"/>
      <c r="G136" s="11"/>
      <c r="H136" s="13"/>
      <c r="I136" s="11"/>
      <c r="J136" s="11"/>
    </row>
    <row x14ac:dyDescent="0.25" r="137" customHeight="1" ht="17.25">
      <c r="A137" s="14" t="s">
        <v>3</v>
      </c>
      <c r="B137" s="14" t="s">
        <v>4</v>
      </c>
      <c r="C137" s="14" t="s">
        <v>5</v>
      </c>
      <c r="D137" s="14" t="s">
        <v>6</v>
      </c>
      <c r="E137" s="15" t="s">
        <v>7</v>
      </c>
      <c r="F137" s="14" t="s">
        <v>8</v>
      </c>
      <c r="G137" s="14" t="s">
        <v>9</v>
      </c>
      <c r="H137" s="16" t="s">
        <v>10</v>
      </c>
      <c r="I137" s="14" t="s">
        <v>11</v>
      </c>
      <c r="J137" s="14" t="s">
        <v>12</v>
      </c>
    </row>
    <row x14ac:dyDescent="0.25" r="138" customHeight="1" ht="17.25">
      <c r="A138" s="17" t="s">
        <v>2038</v>
      </c>
      <c r="B138" s="17" t="s">
        <v>242</v>
      </c>
      <c r="C138" s="17" t="s">
        <v>114</v>
      </c>
      <c r="D138" s="17" t="s">
        <v>16</v>
      </c>
      <c r="E138" s="18">
        <f>ROUND(8533*1.05,2)</f>
      </c>
      <c r="F138" s="17" t="s">
        <v>17</v>
      </c>
      <c r="G138" s="17" t="s">
        <v>18</v>
      </c>
      <c r="H138" s="18">
        <f>ROUND(RAND()*4+6,1)</f>
      </c>
      <c r="I138" s="17" t="s">
        <v>19</v>
      </c>
      <c r="J138" s="19">
        <f>ROUND(83*1,0)&amp;"%"</f>
      </c>
    </row>
    <row x14ac:dyDescent="0.25" r="139" customHeight="1" ht="17.25">
      <c r="A139" s="20" t="s">
        <v>2039</v>
      </c>
      <c r="B139" s="20" t="s">
        <v>244</v>
      </c>
      <c r="C139" s="20" t="s">
        <v>114</v>
      </c>
      <c r="D139" s="20" t="s">
        <v>22</v>
      </c>
      <c r="E139" s="21">
        <f>ROUND(12324*1.05,2)</f>
      </c>
      <c r="F139" s="20" t="s">
        <v>23</v>
      </c>
      <c r="G139" s="20" t="s">
        <v>24</v>
      </c>
      <c r="H139" s="21">
        <f>ROUND(RAND()*4+6,1)</f>
      </c>
      <c r="I139" s="20" t="s">
        <v>25</v>
      </c>
      <c r="J139" s="23">
        <f>ROUND(70*1,0)&amp;"%"</f>
      </c>
    </row>
    <row x14ac:dyDescent="0.25" r="140" customHeight="1" ht="17.25">
      <c r="A140" s="17" t="s">
        <v>2040</v>
      </c>
      <c r="B140" s="17" t="s">
        <v>246</v>
      </c>
      <c r="C140" s="17" t="s">
        <v>114</v>
      </c>
      <c r="D140" s="17" t="s">
        <v>28</v>
      </c>
      <c r="E140" s="18">
        <f>ROUND(10432*1.05,2)</f>
      </c>
      <c r="F140" s="17" t="s">
        <v>29</v>
      </c>
      <c r="G140" s="17" t="s">
        <v>30</v>
      </c>
      <c r="H140" s="18">
        <f>ROUND(RAND()*4+6,1)</f>
      </c>
      <c r="I140" s="17" t="s">
        <v>31</v>
      </c>
      <c r="J140" s="19">
        <f>ROUND(70*1,0)&amp;"%"</f>
      </c>
    </row>
    <row x14ac:dyDescent="0.25" r="141" customHeight="1" ht="17.25">
      <c r="A141" s="20" t="s">
        <v>2041</v>
      </c>
      <c r="B141" s="20" t="s">
        <v>248</v>
      </c>
      <c r="C141" s="20" t="s">
        <v>114</v>
      </c>
      <c r="D141" s="20" t="s">
        <v>34</v>
      </c>
      <c r="E141" s="21">
        <f>ROUND(16913*1.05,2)</f>
      </c>
      <c r="F141" s="20" t="s">
        <v>35</v>
      </c>
      <c r="G141" s="20" t="s">
        <v>18</v>
      </c>
      <c r="H141" s="21">
        <f>ROUND(RAND()*4+6,1)</f>
      </c>
      <c r="I141" s="20" t="s">
        <v>36</v>
      </c>
      <c r="J141" s="23">
        <f>ROUND(83*1,0)&amp;"%"</f>
      </c>
    </row>
    <row x14ac:dyDescent="0.25" r="142" customHeight="1" ht="17.25">
      <c r="A142" s="17" t="s">
        <v>2042</v>
      </c>
      <c r="B142" s="17" t="s">
        <v>250</v>
      </c>
      <c r="C142" s="17" t="s">
        <v>114</v>
      </c>
      <c r="D142" s="17" t="s">
        <v>39</v>
      </c>
      <c r="E142" s="18">
        <f>ROUND(8758*1.05,2)</f>
      </c>
      <c r="F142" s="17" t="s">
        <v>40</v>
      </c>
      <c r="G142" s="17" t="s">
        <v>24</v>
      </c>
      <c r="H142" s="18">
        <f>ROUND(RAND()*4+6,1)</f>
      </c>
      <c r="I142" s="17" t="s">
        <v>41</v>
      </c>
      <c r="J142" s="19">
        <f>ROUND(65*1,0)&amp;"%"</f>
      </c>
    </row>
    <row x14ac:dyDescent="0.25" r="143" customHeight="1" ht="17.25">
      <c r="A143" s="20" t="s">
        <v>2043</v>
      </c>
      <c r="B143" s="20" t="s">
        <v>252</v>
      </c>
      <c r="C143" s="20" t="s">
        <v>114</v>
      </c>
      <c r="D143" s="20" t="s">
        <v>67</v>
      </c>
      <c r="E143" s="21">
        <f>ROUND(11121*1.05,2)</f>
      </c>
      <c r="F143" s="20" t="s">
        <v>44</v>
      </c>
      <c r="G143" s="20" t="s">
        <v>30</v>
      </c>
      <c r="H143" s="21">
        <f>ROUND(RAND()*4+6,1)</f>
      </c>
      <c r="I143" s="20" t="s">
        <v>45</v>
      </c>
      <c r="J143" s="23">
        <f>ROUND(67*1,0)&amp;"%"</f>
      </c>
    </row>
    <row x14ac:dyDescent="0.25" r="144" customHeight="1" ht="17.25">
      <c r="A144" s="17" t="s">
        <v>2044</v>
      </c>
      <c r="B144" s="17" t="s">
        <v>254</v>
      </c>
      <c r="C144" s="17" t="s">
        <v>114</v>
      </c>
      <c r="D144" s="17" t="s">
        <v>16</v>
      </c>
      <c r="E144" s="18">
        <f>ROUND(13563*1.05,2)</f>
      </c>
      <c r="F144" s="17" t="s">
        <v>48</v>
      </c>
      <c r="G144" s="17" t="s">
        <v>18</v>
      </c>
      <c r="H144" s="18">
        <f>ROUND(RAND()*4+6,1)</f>
      </c>
      <c r="I144" s="17" t="s">
        <v>19</v>
      </c>
      <c r="J144" s="19">
        <f>ROUND(88*1,0)&amp;"%"</f>
      </c>
    </row>
    <row x14ac:dyDescent="0.25" r="145" customHeight="1" ht="17.25">
      <c r="A145" s="20" t="s">
        <v>2045</v>
      </c>
      <c r="B145" s="20" t="s">
        <v>256</v>
      </c>
      <c r="C145" s="20" t="s">
        <v>114</v>
      </c>
      <c r="D145" s="20" t="s">
        <v>22</v>
      </c>
      <c r="E145" s="22">
        <f>ROUND(16060*1.05,2)</f>
      </c>
      <c r="F145" s="20" t="s">
        <v>51</v>
      </c>
      <c r="G145" s="20" t="s">
        <v>24</v>
      </c>
      <c r="H145" s="21">
        <f>ROUND(RAND()*4+6,1)</f>
      </c>
      <c r="I145" s="20" t="s">
        <v>25</v>
      </c>
      <c r="J145" s="23">
        <f>ROUND(88*1,0)&amp;"%"</f>
      </c>
    </row>
    <row x14ac:dyDescent="0.25" r="146" customHeight="1" ht="17.25">
      <c r="A146" s="24" t="s">
        <v>257</v>
      </c>
      <c r="B146" s="24"/>
      <c r="C146" s="24"/>
      <c r="D146" s="24"/>
      <c r="E146" s="25">
        <v>8</v>
      </c>
      <c r="F146" s="9"/>
      <c r="G146" s="9"/>
      <c r="H146" s="10"/>
      <c r="I146" s="9"/>
      <c r="J146" s="9"/>
    </row>
    <row x14ac:dyDescent="0.25" r="147" customHeight="1" ht="17.25">
      <c r="A147" s="7"/>
      <c r="B147" s="7"/>
      <c r="C147" s="7"/>
      <c r="D147" s="7"/>
      <c r="E147" s="8"/>
      <c r="F147" s="9"/>
      <c r="G147" s="9"/>
      <c r="H147" s="10"/>
      <c r="I147" s="9"/>
      <c r="J147" s="9"/>
    </row>
    <row x14ac:dyDescent="0.25" r="148" customHeight="1" ht="17.25">
      <c r="A148" s="11" t="s">
        <v>2046</v>
      </c>
      <c r="B148" s="11"/>
      <c r="C148" s="11"/>
      <c r="D148" s="11"/>
      <c r="E148" s="12"/>
      <c r="F148" s="11"/>
      <c r="G148" s="11"/>
      <c r="H148" s="13"/>
      <c r="I148" s="11"/>
      <c r="J148" s="11"/>
    </row>
    <row x14ac:dyDescent="0.25" r="149" customHeight="1" ht="17.25">
      <c r="A149" s="14" t="s">
        <v>3</v>
      </c>
      <c r="B149" s="14" t="s">
        <v>4</v>
      </c>
      <c r="C149" s="14" t="s">
        <v>5</v>
      </c>
      <c r="D149" s="14" t="s">
        <v>6</v>
      </c>
      <c r="E149" s="15" t="s">
        <v>7</v>
      </c>
      <c r="F149" s="14" t="s">
        <v>8</v>
      </c>
      <c r="G149" s="14" t="s">
        <v>9</v>
      </c>
      <c r="H149" s="16" t="s">
        <v>10</v>
      </c>
      <c r="I149" s="14" t="s">
        <v>11</v>
      </c>
      <c r="J149" s="14" t="s">
        <v>12</v>
      </c>
    </row>
    <row x14ac:dyDescent="0.25" r="150" customHeight="1" ht="17.25">
      <c r="A150" s="17" t="s">
        <v>2047</v>
      </c>
      <c r="B150" s="17" t="s">
        <v>260</v>
      </c>
      <c r="C150" s="17" t="s">
        <v>133</v>
      </c>
      <c r="D150" s="17" t="s">
        <v>16</v>
      </c>
      <c r="E150" s="18">
        <f>ROUND(16905*1.05,2)</f>
      </c>
      <c r="F150" s="17" t="s">
        <v>17</v>
      </c>
      <c r="G150" s="17" t="s">
        <v>18</v>
      </c>
      <c r="H150" s="18">
        <f>ROUND(RAND()*4+6,1)</f>
      </c>
      <c r="I150" s="17" t="s">
        <v>19</v>
      </c>
      <c r="J150" s="19">
        <f>ROUND(68*1,0)&amp;"%"</f>
      </c>
    </row>
    <row x14ac:dyDescent="0.25" r="151" customHeight="1" ht="17.25">
      <c r="A151" s="20" t="s">
        <v>2048</v>
      </c>
      <c r="B151" s="20" t="s">
        <v>262</v>
      </c>
      <c r="C151" s="20" t="s">
        <v>133</v>
      </c>
      <c r="D151" s="20" t="s">
        <v>22</v>
      </c>
      <c r="E151" s="21">
        <f>ROUND(8781*1.05,2)</f>
      </c>
      <c r="F151" s="20" t="s">
        <v>23</v>
      </c>
      <c r="G151" s="20" t="s">
        <v>24</v>
      </c>
      <c r="H151" s="21">
        <f>ROUND(RAND()*4+6,1)</f>
      </c>
      <c r="I151" s="20" t="s">
        <v>25</v>
      </c>
      <c r="J151" s="23">
        <f>ROUND(79*1,0)&amp;"%"</f>
      </c>
    </row>
    <row x14ac:dyDescent="0.25" r="152" customHeight="1" ht="17.25">
      <c r="A152" s="17" t="s">
        <v>2049</v>
      </c>
      <c r="B152" s="17" t="s">
        <v>264</v>
      </c>
      <c r="C152" s="17" t="s">
        <v>133</v>
      </c>
      <c r="D152" s="17" t="s">
        <v>28</v>
      </c>
      <c r="E152" s="18">
        <f>ROUND(6729*1.05,2)</f>
      </c>
      <c r="F152" s="17" t="s">
        <v>29</v>
      </c>
      <c r="G152" s="17" t="s">
        <v>30</v>
      </c>
      <c r="H152" s="18">
        <f>ROUND(RAND()*4+6,1)</f>
      </c>
      <c r="I152" s="17" t="s">
        <v>31</v>
      </c>
      <c r="J152" s="19">
        <f>ROUND(95*1,0)&amp;"%"</f>
      </c>
    </row>
    <row x14ac:dyDescent="0.25" r="153" customHeight="1" ht="17.25">
      <c r="A153" s="20" t="s">
        <v>2050</v>
      </c>
      <c r="B153" s="20" t="s">
        <v>266</v>
      </c>
      <c r="C153" s="20" t="s">
        <v>133</v>
      </c>
      <c r="D153" s="20" t="s">
        <v>34</v>
      </c>
      <c r="E153" s="21">
        <f>ROUND(9498*1.05,2)</f>
      </c>
      <c r="F153" s="20" t="s">
        <v>35</v>
      </c>
      <c r="G153" s="20" t="s">
        <v>18</v>
      </c>
      <c r="H153" s="21">
        <f>ROUND(RAND()*4+6,1)</f>
      </c>
      <c r="I153" s="20" t="s">
        <v>36</v>
      </c>
      <c r="J153" s="23">
        <f>ROUND(62*1,0)&amp;"%"</f>
      </c>
    </row>
    <row x14ac:dyDescent="0.25" r="154" customHeight="1" ht="17.25">
      <c r="A154" s="17" t="s">
        <v>2051</v>
      </c>
      <c r="B154" s="17" t="s">
        <v>268</v>
      </c>
      <c r="C154" s="17" t="s">
        <v>133</v>
      </c>
      <c r="D154" s="17" t="s">
        <v>39</v>
      </c>
      <c r="E154" s="18">
        <f>ROUND(13005*1.05,2)</f>
      </c>
      <c r="F154" s="17" t="s">
        <v>40</v>
      </c>
      <c r="G154" s="17" t="s">
        <v>24</v>
      </c>
      <c r="H154" s="18">
        <f>ROUND(RAND()*4+6,1)</f>
      </c>
      <c r="I154" s="17" t="s">
        <v>41</v>
      </c>
      <c r="J154" s="19">
        <f>ROUND(68*1,0)&amp;"%"</f>
      </c>
    </row>
    <row x14ac:dyDescent="0.25" r="155" customHeight="1" ht="17.25">
      <c r="A155" s="20" t="s">
        <v>2052</v>
      </c>
      <c r="B155" s="20" t="s">
        <v>270</v>
      </c>
      <c r="C155" s="20" t="s">
        <v>133</v>
      </c>
      <c r="D155" s="20" t="s">
        <v>67</v>
      </c>
      <c r="E155" s="21">
        <f>ROUND(10059*1.05,2)</f>
      </c>
      <c r="F155" s="20" t="s">
        <v>44</v>
      </c>
      <c r="G155" s="20" t="s">
        <v>30</v>
      </c>
      <c r="H155" s="21">
        <f>ROUND(RAND()*4+6,1)</f>
      </c>
      <c r="I155" s="20" t="s">
        <v>45</v>
      </c>
      <c r="J155" s="23">
        <f>ROUND(67*1,0)&amp;"%"</f>
      </c>
    </row>
    <row x14ac:dyDescent="0.25" r="156" customHeight="1" ht="17.25">
      <c r="A156" s="17" t="s">
        <v>2053</v>
      </c>
      <c r="B156" s="17" t="s">
        <v>272</v>
      </c>
      <c r="C156" s="17" t="s">
        <v>133</v>
      </c>
      <c r="D156" s="17" t="s">
        <v>16</v>
      </c>
      <c r="E156" s="26">
        <f>ROUND(10160*1.05,2)</f>
      </c>
      <c r="F156" s="17" t="s">
        <v>48</v>
      </c>
      <c r="G156" s="17" t="s">
        <v>18</v>
      </c>
      <c r="H156" s="18">
        <f>ROUND(RAND()*4+6,1)</f>
      </c>
      <c r="I156" s="17" t="s">
        <v>19</v>
      </c>
      <c r="J156" s="19">
        <f>ROUND(65*1,0)&amp;"%"</f>
      </c>
    </row>
    <row x14ac:dyDescent="0.25" r="157" customHeight="1" ht="17.25">
      <c r="A157" s="20" t="s">
        <v>2054</v>
      </c>
      <c r="B157" s="20" t="s">
        <v>274</v>
      </c>
      <c r="C157" s="20" t="s">
        <v>133</v>
      </c>
      <c r="D157" s="20" t="s">
        <v>22</v>
      </c>
      <c r="E157" s="21">
        <f>ROUND(16576*1.05,2)</f>
      </c>
      <c r="F157" s="20" t="s">
        <v>51</v>
      </c>
      <c r="G157" s="20" t="s">
        <v>24</v>
      </c>
      <c r="H157" s="21">
        <f>ROUND(RAND()*4+6,1)</f>
      </c>
      <c r="I157" s="20" t="s">
        <v>25</v>
      </c>
      <c r="J157" s="23">
        <f>ROUND(60*1,0)&amp;"%"</f>
      </c>
    </row>
    <row x14ac:dyDescent="0.25" r="158" customHeight="1" ht="17.25">
      <c r="A158" s="24" t="s">
        <v>275</v>
      </c>
      <c r="B158" s="24"/>
      <c r="C158" s="24"/>
      <c r="D158" s="24"/>
      <c r="E158" s="25">
        <v>8</v>
      </c>
      <c r="F158" s="9"/>
      <c r="G158" s="9"/>
      <c r="H158" s="10"/>
      <c r="I158" s="9"/>
      <c r="J158" s="9"/>
    </row>
    <row x14ac:dyDescent="0.25" r="159" customHeight="1" ht="17.25">
      <c r="A159" s="7"/>
      <c r="B159" s="7"/>
      <c r="C159" s="7"/>
      <c r="D159" s="7"/>
      <c r="E159" s="8"/>
      <c r="F159" s="9"/>
      <c r="G159" s="9"/>
      <c r="H159" s="10"/>
      <c r="I159" s="9"/>
      <c r="J159" s="9"/>
    </row>
    <row x14ac:dyDescent="0.25" r="160" customHeight="1" ht="17.25">
      <c r="A160" s="11" t="s">
        <v>2055</v>
      </c>
      <c r="B160" s="11"/>
      <c r="C160" s="11"/>
      <c r="D160" s="11"/>
      <c r="E160" s="12"/>
      <c r="F160" s="11"/>
      <c r="G160" s="11"/>
      <c r="H160" s="13"/>
      <c r="I160" s="11"/>
      <c r="J160" s="11"/>
    </row>
    <row x14ac:dyDescent="0.25" r="161" customHeight="1" ht="17.25">
      <c r="A161" s="14" t="s">
        <v>3</v>
      </c>
      <c r="B161" s="14" t="s">
        <v>4</v>
      </c>
      <c r="C161" s="14" t="s">
        <v>5</v>
      </c>
      <c r="D161" s="14" t="s">
        <v>6</v>
      </c>
      <c r="E161" s="15" t="s">
        <v>7</v>
      </c>
      <c r="F161" s="14" t="s">
        <v>8</v>
      </c>
      <c r="G161" s="14" t="s">
        <v>9</v>
      </c>
      <c r="H161" s="16" t="s">
        <v>10</v>
      </c>
      <c r="I161" s="14" t="s">
        <v>11</v>
      </c>
      <c r="J161" s="14" t="s">
        <v>12</v>
      </c>
    </row>
    <row x14ac:dyDescent="0.25" r="162" customHeight="1" ht="17.25">
      <c r="A162" s="17" t="s">
        <v>2056</v>
      </c>
      <c r="B162" s="17" t="s">
        <v>278</v>
      </c>
      <c r="C162" s="17" t="s">
        <v>152</v>
      </c>
      <c r="D162" s="17" t="s">
        <v>16</v>
      </c>
      <c r="E162" s="18">
        <f>ROUND(4235*1.05,2)</f>
      </c>
      <c r="F162" s="17" t="s">
        <v>17</v>
      </c>
      <c r="G162" s="17" t="s">
        <v>18</v>
      </c>
      <c r="H162" s="18">
        <f>ROUND(RAND()*4+6,1)</f>
      </c>
      <c r="I162" s="17" t="s">
        <v>19</v>
      </c>
      <c r="J162" s="19">
        <f>ROUND(86*1,0)&amp;"%"</f>
      </c>
    </row>
    <row x14ac:dyDescent="0.25" r="163" customHeight="1" ht="17.25">
      <c r="A163" s="20" t="s">
        <v>2057</v>
      </c>
      <c r="B163" s="20" t="s">
        <v>280</v>
      </c>
      <c r="C163" s="20" t="s">
        <v>152</v>
      </c>
      <c r="D163" s="20" t="s">
        <v>22</v>
      </c>
      <c r="E163" s="21">
        <f>ROUND(6453*1.05,2)</f>
      </c>
      <c r="F163" s="20" t="s">
        <v>23</v>
      </c>
      <c r="G163" s="20" t="s">
        <v>24</v>
      </c>
      <c r="H163" s="21">
        <f>ROUND(RAND()*4+6,1)</f>
      </c>
      <c r="I163" s="20" t="s">
        <v>25</v>
      </c>
      <c r="J163" s="23">
        <f>ROUND(73*1,0)&amp;"%"</f>
      </c>
    </row>
    <row x14ac:dyDescent="0.25" r="164" customHeight="1" ht="17.25">
      <c r="A164" s="17" t="s">
        <v>2058</v>
      </c>
      <c r="B164" s="17" t="s">
        <v>282</v>
      </c>
      <c r="C164" s="17" t="s">
        <v>152</v>
      </c>
      <c r="D164" s="17" t="s">
        <v>28</v>
      </c>
      <c r="E164" s="18">
        <f>ROUND(11746*1.05,2)</f>
      </c>
      <c r="F164" s="17" t="s">
        <v>29</v>
      </c>
      <c r="G164" s="17" t="s">
        <v>30</v>
      </c>
      <c r="H164" s="18">
        <f>ROUND(RAND()*4+6,1)</f>
      </c>
      <c r="I164" s="17" t="s">
        <v>31</v>
      </c>
      <c r="J164" s="19">
        <f>ROUND(99*1,0)&amp;"%"</f>
      </c>
    </row>
    <row x14ac:dyDescent="0.25" r="165" customHeight="1" ht="17.25">
      <c r="A165" s="20" t="s">
        <v>2059</v>
      </c>
      <c r="B165" s="20" t="s">
        <v>284</v>
      </c>
      <c r="C165" s="20" t="s">
        <v>152</v>
      </c>
      <c r="D165" s="20" t="s">
        <v>34</v>
      </c>
      <c r="E165" s="21">
        <f>ROUND(15425*1.05,2)</f>
      </c>
      <c r="F165" s="20" t="s">
        <v>35</v>
      </c>
      <c r="G165" s="20" t="s">
        <v>18</v>
      </c>
      <c r="H165" s="21">
        <f>ROUND(RAND()*4+6,1)</f>
      </c>
      <c r="I165" s="20" t="s">
        <v>36</v>
      </c>
      <c r="J165" s="23">
        <f>ROUND(83*1,0)&amp;"%"</f>
      </c>
    </row>
    <row x14ac:dyDescent="0.25" r="166" customHeight="1" ht="17.25">
      <c r="A166" s="17" t="s">
        <v>2060</v>
      </c>
      <c r="B166" s="17" t="s">
        <v>286</v>
      </c>
      <c r="C166" s="17" t="s">
        <v>152</v>
      </c>
      <c r="D166" s="17" t="s">
        <v>39</v>
      </c>
      <c r="E166" s="18">
        <f>ROUND(11286*1.05,2)</f>
      </c>
      <c r="F166" s="17" t="s">
        <v>40</v>
      </c>
      <c r="G166" s="17" t="s">
        <v>24</v>
      </c>
      <c r="H166" s="18">
        <f>ROUND(RAND()*4+6,1)</f>
      </c>
      <c r="I166" s="17" t="s">
        <v>41</v>
      </c>
      <c r="J166" s="19">
        <f>ROUND(98*1,0)&amp;"%"</f>
      </c>
    </row>
    <row x14ac:dyDescent="0.25" r="167" customHeight="1" ht="17.25">
      <c r="A167" s="20" t="s">
        <v>2061</v>
      </c>
      <c r="B167" s="20" t="s">
        <v>288</v>
      </c>
      <c r="C167" s="20" t="s">
        <v>152</v>
      </c>
      <c r="D167" s="20" t="s">
        <v>67</v>
      </c>
      <c r="E167" s="21">
        <f>ROUND(8487*1.05,2)</f>
      </c>
      <c r="F167" s="20" t="s">
        <v>44</v>
      </c>
      <c r="G167" s="20" t="s">
        <v>30</v>
      </c>
      <c r="H167" s="21">
        <f>ROUND(RAND()*4+6,1)</f>
      </c>
      <c r="I167" s="20" t="s">
        <v>45</v>
      </c>
      <c r="J167" s="23">
        <f>ROUND(75*1,0)&amp;"%"</f>
      </c>
    </row>
    <row x14ac:dyDescent="0.25" r="168" customHeight="1" ht="17.25">
      <c r="A168" s="17" t="s">
        <v>2062</v>
      </c>
      <c r="B168" s="17" t="s">
        <v>290</v>
      </c>
      <c r="C168" s="17" t="s">
        <v>152</v>
      </c>
      <c r="D168" s="17" t="s">
        <v>16</v>
      </c>
      <c r="E168" s="18">
        <f>ROUND(10862*1.05,2)</f>
      </c>
      <c r="F168" s="17" t="s">
        <v>48</v>
      </c>
      <c r="G168" s="17" t="s">
        <v>18</v>
      </c>
      <c r="H168" s="18">
        <f>ROUND(RAND()*4+6,1)</f>
      </c>
      <c r="I168" s="17" t="s">
        <v>19</v>
      </c>
      <c r="J168" s="19">
        <f>ROUND(68*1,0)&amp;"%"</f>
      </c>
    </row>
    <row x14ac:dyDescent="0.25" r="169" customHeight="1" ht="17.25">
      <c r="A169" s="20" t="s">
        <v>2063</v>
      </c>
      <c r="B169" s="20" t="s">
        <v>292</v>
      </c>
      <c r="C169" s="20" t="s">
        <v>152</v>
      </c>
      <c r="D169" s="20" t="s">
        <v>22</v>
      </c>
      <c r="E169" s="21">
        <f>ROUND(4733*1.05,2)</f>
      </c>
      <c r="F169" s="20" t="s">
        <v>51</v>
      </c>
      <c r="G169" s="20" t="s">
        <v>24</v>
      </c>
      <c r="H169" s="21">
        <f>ROUND(RAND()*4+6,1)</f>
      </c>
      <c r="I169" s="20" t="s">
        <v>25</v>
      </c>
      <c r="J169" s="23">
        <f>ROUND(63*1,0)&amp;"%"</f>
      </c>
    </row>
    <row x14ac:dyDescent="0.25" r="170" customHeight="1" ht="17.25">
      <c r="A170" s="24" t="s">
        <v>293</v>
      </c>
      <c r="B170" s="24"/>
      <c r="C170" s="24"/>
      <c r="D170" s="24"/>
      <c r="E170" s="25">
        <v>8</v>
      </c>
      <c r="F170" s="9"/>
      <c r="G170" s="9"/>
      <c r="H170" s="10"/>
      <c r="I170" s="9"/>
      <c r="J170" s="9"/>
    </row>
    <row x14ac:dyDescent="0.25" r="171" customHeight="1" ht="17.25">
      <c r="A171" s="7"/>
      <c r="B171" s="7"/>
      <c r="C171" s="7"/>
      <c r="D171" s="7"/>
      <c r="E171" s="8"/>
      <c r="F171" s="9"/>
      <c r="G171" s="9"/>
      <c r="H171" s="10"/>
      <c r="I171" s="9"/>
      <c r="J171" s="9"/>
    </row>
    <row x14ac:dyDescent="0.25" r="172" customHeight="1" ht="17.25">
      <c r="A172" s="11" t="s">
        <v>2064</v>
      </c>
      <c r="B172" s="11"/>
      <c r="C172" s="11"/>
      <c r="D172" s="11"/>
      <c r="E172" s="12"/>
      <c r="F172" s="11"/>
      <c r="G172" s="11"/>
      <c r="H172" s="13"/>
      <c r="I172" s="11"/>
      <c r="J172" s="11"/>
    </row>
    <row x14ac:dyDescent="0.25" r="173" customHeight="1" ht="17.25">
      <c r="A173" s="14" t="s">
        <v>3</v>
      </c>
      <c r="B173" s="14" t="s">
        <v>4</v>
      </c>
      <c r="C173" s="14" t="s">
        <v>5</v>
      </c>
      <c r="D173" s="14" t="s">
        <v>6</v>
      </c>
      <c r="E173" s="15" t="s">
        <v>7</v>
      </c>
      <c r="F173" s="14" t="s">
        <v>8</v>
      </c>
      <c r="G173" s="14" t="s">
        <v>9</v>
      </c>
      <c r="H173" s="16" t="s">
        <v>10</v>
      </c>
      <c r="I173" s="14" t="s">
        <v>11</v>
      </c>
      <c r="J173" s="14" t="s">
        <v>12</v>
      </c>
    </row>
    <row x14ac:dyDescent="0.25" r="174" customHeight="1" ht="17.25">
      <c r="A174" s="17" t="s">
        <v>2065</v>
      </c>
      <c r="B174" s="17" t="s">
        <v>296</v>
      </c>
      <c r="C174" s="17" t="s">
        <v>15</v>
      </c>
      <c r="D174" s="17" t="s">
        <v>16</v>
      </c>
      <c r="E174" s="18">
        <f>ROUND(8135*1.05,2)</f>
      </c>
      <c r="F174" s="17" t="s">
        <v>17</v>
      </c>
      <c r="G174" s="17" t="s">
        <v>18</v>
      </c>
      <c r="H174" s="18">
        <f>ROUND(RAND()*4+6,1)</f>
      </c>
      <c r="I174" s="17" t="s">
        <v>19</v>
      </c>
      <c r="J174" s="19">
        <f>ROUND(91*1,0)&amp;"%"</f>
      </c>
    </row>
    <row x14ac:dyDescent="0.25" r="175" customHeight="1" ht="17.25">
      <c r="A175" s="20" t="s">
        <v>2066</v>
      </c>
      <c r="B175" s="20" t="s">
        <v>298</v>
      </c>
      <c r="C175" s="20" t="s">
        <v>15</v>
      </c>
      <c r="D175" s="20" t="s">
        <v>22</v>
      </c>
      <c r="E175" s="21">
        <f>ROUND(11406*1.05,2)</f>
      </c>
      <c r="F175" s="20" t="s">
        <v>23</v>
      </c>
      <c r="G175" s="20" t="s">
        <v>24</v>
      </c>
      <c r="H175" s="21">
        <f>ROUND(RAND()*4+6,1)</f>
      </c>
      <c r="I175" s="20" t="s">
        <v>25</v>
      </c>
      <c r="J175" s="23">
        <f>ROUND(79*1,0)&amp;"%"</f>
      </c>
    </row>
    <row x14ac:dyDescent="0.25" r="176" customHeight="1" ht="17.25">
      <c r="A176" s="17" t="s">
        <v>2067</v>
      </c>
      <c r="B176" s="17" t="s">
        <v>300</v>
      </c>
      <c r="C176" s="17" t="s">
        <v>15</v>
      </c>
      <c r="D176" s="17" t="s">
        <v>28</v>
      </c>
      <c r="E176" s="18">
        <f>ROUND(11634*1.05,2)</f>
      </c>
      <c r="F176" s="17" t="s">
        <v>29</v>
      </c>
      <c r="G176" s="17" t="s">
        <v>30</v>
      </c>
      <c r="H176" s="18">
        <f>ROUND(RAND()*4+6,1)</f>
      </c>
      <c r="I176" s="17" t="s">
        <v>31</v>
      </c>
      <c r="J176" s="19">
        <f>ROUND(90*1,0)&amp;"%"</f>
      </c>
    </row>
    <row x14ac:dyDescent="0.25" r="177" customHeight="1" ht="17.25">
      <c r="A177" s="20" t="s">
        <v>2068</v>
      </c>
      <c r="B177" s="20" t="s">
        <v>302</v>
      </c>
      <c r="C177" s="20" t="s">
        <v>15</v>
      </c>
      <c r="D177" s="20" t="s">
        <v>34</v>
      </c>
      <c r="E177" s="21">
        <f>ROUND(5026*1.05,2)</f>
      </c>
      <c r="F177" s="20" t="s">
        <v>35</v>
      </c>
      <c r="G177" s="20" t="s">
        <v>18</v>
      </c>
      <c r="H177" s="21">
        <f>ROUND(RAND()*4+6,1)</f>
      </c>
      <c r="I177" s="20" t="s">
        <v>36</v>
      </c>
      <c r="J177" s="23">
        <f>ROUND(99*1,0)&amp;"%"</f>
      </c>
    </row>
    <row x14ac:dyDescent="0.25" r="178" customHeight="1" ht="17.25">
      <c r="A178" s="17" t="s">
        <v>2069</v>
      </c>
      <c r="B178" s="17" t="s">
        <v>304</v>
      </c>
      <c r="C178" s="17" t="s">
        <v>15</v>
      </c>
      <c r="D178" s="17" t="s">
        <v>39</v>
      </c>
      <c r="E178" s="26">
        <f>ROUND(16980*1.05,2)</f>
      </c>
      <c r="F178" s="17" t="s">
        <v>40</v>
      </c>
      <c r="G178" s="17" t="s">
        <v>24</v>
      </c>
      <c r="H178" s="18">
        <f>ROUND(RAND()*4+6,1)</f>
      </c>
      <c r="I178" s="17" t="s">
        <v>41</v>
      </c>
      <c r="J178" s="19">
        <f>ROUND(84*1,0)&amp;"%"</f>
      </c>
    </row>
    <row x14ac:dyDescent="0.25" r="179" customHeight="1" ht="17.25">
      <c r="A179" s="20" t="s">
        <v>2070</v>
      </c>
      <c r="B179" s="20" t="s">
        <v>306</v>
      </c>
      <c r="C179" s="20" t="s">
        <v>15</v>
      </c>
      <c r="D179" s="20" t="s">
        <v>67</v>
      </c>
      <c r="E179" s="21">
        <f>ROUND(8885*1.05,2)</f>
      </c>
      <c r="F179" s="20" t="s">
        <v>44</v>
      </c>
      <c r="G179" s="20" t="s">
        <v>30</v>
      </c>
      <c r="H179" s="21">
        <f>ROUND(RAND()*4+6,1)</f>
      </c>
      <c r="I179" s="20" t="s">
        <v>45</v>
      </c>
      <c r="J179" s="23">
        <f>ROUND(81*1,0)&amp;"%"</f>
      </c>
    </row>
    <row x14ac:dyDescent="0.25" r="180" customHeight="1" ht="17.25">
      <c r="A180" s="17" t="s">
        <v>2071</v>
      </c>
      <c r="B180" s="17" t="s">
        <v>308</v>
      </c>
      <c r="C180" s="17" t="s">
        <v>15</v>
      </c>
      <c r="D180" s="17" t="s">
        <v>16</v>
      </c>
      <c r="E180" s="18">
        <f>ROUND(10776*1.05,2)</f>
      </c>
      <c r="F180" s="17" t="s">
        <v>48</v>
      </c>
      <c r="G180" s="17" t="s">
        <v>18</v>
      </c>
      <c r="H180" s="18">
        <f>ROUND(RAND()*4+6,1)</f>
      </c>
      <c r="I180" s="17" t="s">
        <v>19</v>
      </c>
      <c r="J180" s="19">
        <f>ROUND(96*1,0)&amp;"%"</f>
      </c>
    </row>
    <row x14ac:dyDescent="0.25" r="181" customHeight="1" ht="17.25">
      <c r="A181" s="20" t="s">
        <v>2072</v>
      </c>
      <c r="B181" s="20" t="s">
        <v>310</v>
      </c>
      <c r="C181" s="20" t="s">
        <v>15</v>
      </c>
      <c r="D181" s="20" t="s">
        <v>22</v>
      </c>
      <c r="E181" s="21">
        <f>ROUND(15541*1.05,2)</f>
      </c>
      <c r="F181" s="20" t="s">
        <v>51</v>
      </c>
      <c r="G181" s="20" t="s">
        <v>24</v>
      </c>
      <c r="H181" s="21">
        <f>ROUND(RAND()*4+6,1)</f>
      </c>
      <c r="I181" s="20" t="s">
        <v>25</v>
      </c>
      <c r="J181" s="23">
        <f>ROUND(87*1,0)&amp;"%"</f>
      </c>
    </row>
    <row x14ac:dyDescent="0.25" r="182" customHeight="1" ht="17.25">
      <c r="A182" s="24" t="s">
        <v>311</v>
      </c>
      <c r="B182" s="24"/>
      <c r="C182" s="24"/>
      <c r="D182" s="24"/>
      <c r="E182" s="25">
        <v>8</v>
      </c>
      <c r="F182" s="9"/>
      <c r="G182" s="9"/>
      <c r="H182" s="10"/>
      <c r="I182" s="9"/>
      <c r="J182" s="9"/>
    </row>
    <row x14ac:dyDescent="0.25" r="183" customHeight="1" ht="17.25">
      <c r="A183" s="7"/>
      <c r="B183" s="7"/>
      <c r="C183" s="7"/>
      <c r="D183" s="7"/>
      <c r="E183" s="8"/>
      <c r="F183" s="9"/>
      <c r="G183" s="9"/>
      <c r="H183" s="10"/>
      <c r="I183" s="9"/>
      <c r="J183" s="9"/>
    </row>
    <row x14ac:dyDescent="0.25" r="184" customHeight="1" ht="17.25">
      <c r="A184" s="11" t="s">
        <v>2073</v>
      </c>
      <c r="B184" s="11"/>
      <c r="C184" s="11"/>
      <c r="D184" s="11"/>
      <c r="E184" s="12"/>
      <c r="F184" s="11"/>
      <c r="G184" s="11"/>
      <c r="H184" s="13"/>
      <c r="I184" s="11"/>
      <c r="J184" s="11"/>
    </row>
    <row x14ac:dyDescent="0.25" r="185" customHeight="1" ht="17.25">
      <c r="A185" s="14" t="s">
        <v>3</v>
      </c>
      <c r="B185" s="14" t="s">
        <v>4</v>
      </c>
      <c r="C185" s="14" t="s">
        <v>5</v>
      </c>
      <c r="D185" s="14" t="s">
        <v>6</v>
      </c>
      <c r="E185" s="15" t="s">
        <v>7</v>
      </c>
      <c r="F185" s="14" t="s">
        <v>8</v>
      </c>
      <c r="G185" s="14" t="s">
        <v>9</v>
      </c>
      <c r="H185" s="16" t="s">
        <v>10</v>
      </c>
      <c r="I185" s="14" t="s">
        <v>11</v>
      </c>
      <c r="J185" s="14" t="s">
        <v>12</v>
      </c>
    </row>
    <row x14ac:dyDescent="0.25" r="186" customHeight="1" ht="17.25">
      <c r="A186" s="17" t="s">
        <v>2074</v>
      </c>
      <c r="B186" s="17" t="s">
        <v>314</v>
      </c>
      <c r="C186" s="17" t="s">
        <v>56</v>
      </c>
      <c r="D186" s="17" t="s">
        <v>16</v>
      </c>
      <c r="E186" s="18">
        <f>ROUND(16954*1.05,2)</f>
      </c>
      <c r="F186" s="17" t="s">
        <v>17</v>
      </c>
      <c r="G186" s="17" t="s">
        <v>18</v>
      </c>
      <c r="H186" s="18">
        <f>ROUND(RAND()*4+6,1)</f>
      </c>
      <c r="I186" s="17" t="s">
        <v>19</v>
      </c>
      <c r="J186" s="19">
        <f>ROUND(82*1,0)&amp;"%"</f>
      </c>
    </row>
    <row x14ac:dyDescent="0.25" r="187" customHeight="1" ht="17.25">
      <c r="A187" s="20" t="s">
        <v>2075</v>
      </c>
      <c r="B187" s="20" t="s">
        <v>316</v>
      </c>
      <c r="C187" s="20" t="s">
        <v>56</v>
      </c>
      <c r="D187" s="20" t="s">
        <v>22</v>
      </c>
      <c r="E187" s="21">
        <f>ROUND(5346*1.05,2)</f>
      </c>
      <c r="F187" s="20" t="s">
        <v>23</v>
      </c>
      <c r="G187" s="20" t="s">
        <v>24</v>
      </c>
      <c r="H187" s="21">
        <f>ROUND(RAND()*4+6,1)</f>
      </c>
      <c r="I187" s="20" t="s">
        <v>25</v>
      </c>
      <c r="J187" s="23">
        <f>ROUND(92*1,0)&amp;"%"</f>
      </c>
    </row>
    <row x14ac:dyDescent="0.25" r="188" customHeight="1" ht="17.25">
      <c r="A188" s="17" t="s">
        <v>2076</v>
      </c>
      <c r="B188" s="17" t="s">
        <v>318</v>
      </c>
      <c r="C188" s="17" t="s">
        <v>56</v>
      </c>
      <c r="D188" s="17" t="s">
        <v>28</v>
      </c>
      <c r="E188" s="18">
        <f>ROUND(16289*1.05,2)</f>
      </c>
      <c r="F188" s="17" t="s">
        <v>29</v>
      </c>
      <c r="G188" s="17" t="s">
        <v>30</v>
      </c>
      <c r="H188" s="18">
        <f>ROUND(RAND()*4+6,1)</f>
      </c>
      <c r="I188" s="17" t="s">
        <v>31</v>
      </c>
      <c r="J188" s="19">
        <f>ROUND(78*1,0)&amp;"%"</f>
      </c>
    </row>
    <row x14ac:dyDescent="0.25" r="189" customHeight="1" ht="17.25">
      <c r="A189" s="20" t="s">
        <v>2077</v>
      </c>
      <c r="B189" s="20" t="s">
        <v>320</v>
      </c>
      <c r="C189" s="20" t="s">
        <v>56</v>
      </c>
      <c r="D189" s="20" t="s">
        <v>34</v>
      </c>
      <c r="E189" s="21">
        <f>ROUND(7177*1.05,2)</f>
      </c>
      <c r="F189" s="20" t="s">
        <v>35</v>
      </c>
      <c r="G189" s="20" t="s">
        <v>18</v>
      </c>
      <c r="H189" s="21">
        <f>ROUND(RAND()*4+6,1)</f>
      </c>
      <c r="I189" s="20" t="s">
        <v>36</v>
      </c>
      <c r="J189" s="23">
        <f>ROUND(87*1,0)&amp;"%"</f>
      </c>
    </row>
    <row x14ac:dyDescent="0.25" r="190" customHeight="1" ht="17.25">
      <c r="A190" s="17" t="s">
        <v>2078</v>
      </c>
      <c r="B190" s="17" t="s">
        <v>322</v>
      </c>
      <c r="C190" s="17" t="s">
        <v>56</v>
      </c>
      <c r="D190" s="17" t="s">
        <v>39</v>
      </c>
      <c r="E190" s="18">
        <f>ROUND(5196*1.05,2)</f>
      </c>
      <c r="F190" s="17" t="s">
        <v>40</v>
      </c>
      <c r="G190" s="17" t="s">
        <v>24</v>
      </c>
      <c r="H190" s="18">
        <f>ROUND(RAND()*4+6,1)</f>
      </c>
      <c r="I190" s="17" t="s">
        <v>41</v>
      </c>
      <c r="J190" s="19">
        <f>ROUND(74*1,0)&amp;"%"</f>
      </c>
    </row>
    <row x14ac:dyDescent="0.25" r="191" customHeight="1" ht="17.25">
      <c r="A191" s="20" t="s">
        <v>2079</v>
      </c>
      <c r="B191" s="20" t="s">
        <v>324</v>
      </c>
      <c r="C191" s="20" t="s">
        <v>56</v>
      </c>
      <c r="D191" s="20" t="s">
        <v>67</v>
      </c>
      <c r="E191" s="21">
        <f>ROUND(8809*1.05,2)</f>
      </c>
      <c r="F191" s="20" t="s">
        <v>44</v>
      </c>
      <c r="G191" s="20" t="s">
        <v>30</v>
      </c>
      <c r="H191" s="21">
        <f>ROUND(RAND()*4+6,1)</f>
      </c>
      <c r="I191" s="20" t="s">
        <v>45</v>
      </c>
      <c r="J191" s="23">
        <f>ROUND(61*1,0)&amp;"%"</f>
      </c>
    </row>
    <row x14ac:dyDescent="0.25" r="192" customHeight="1" ht="17.25">
      <c r="A192" s="17" t="s">
        <v>2080</v>
      </c>
      <c r="B192" s="17" t="s">
        <v>326</v>
      </c>
      <c r="C192" s="17" t="s">
        <v>56</v>
      </c>
      <c r="D192" s="17" t="s">
        <v>16</v>
      </c>
      <c r="E192" s="18">
        <f>ROUND(10651*1.05,2)</f>
      </c>
      <c r="F192" s="17" t="s">
        <v>48</v>
      </c>
      <c r="G192" s="17" t="s">
        <v>18</v>
      </c>
      <c r="H192" s="18">
        <f>ROUND(RAND()*4+6,1)</f>
      </c>
      <c r="I192" s="17" t="s">
        <v>19</v>
      </c>
      <c r="J192" s="19">
        <f>ROUND(75*1,0)&amp;"%"</f>
      </c>
    </row>
    <row x14ac:dyDescent="0.25" r="193" customHeight="1" ht="17.25">
      <c r="A193" s="20" t="s">
        <v>2081</v>
      </c>
      <c r="B193" s="20" t="s">
        <v>328</v>
      </c>
      <c r="C193" s="20" t="s">
        <v>56</v>
      </c>
      <c r="D193" s="20" t="s">
        <v>22</v>
      </c>
      <c r="E193" s="21">
        <f>ROUND(14544*1.05,2)</f>
      </c>
      <c r="F193" s="20" t="s">
        <v>51</v>
      </c>
      <c r="G193" s="20" t="s">
        <v>24</v>
      </c>
      <c r="H193" s="21">
        <f>ROUND(RAND()*4+6,1)</f>
      </c>
      <c r="I193" s="20" t="s">
        <v>25</v>
      </c>
      <c r="J193" s="23">
        <f>ROUND(77*1,0)&amp;"%"</f>
      </c>
    </row>
    <row x14ac:dyDescent="0.25" r="194" customHeight="1" ht="17.25">
      <c r="A194" s="24" t="s">
        <v>329</v>
      </c>
      <c r="B194" s="24"/>
      <c r="C194" s="24"/>
      <c r="D194" s="24"/>
      <c r="E194" s="25">
        <v>8</v>
      </c>
      <c r="F194" s="9"/>
      <c r="G194" s="9"/>
      <c r="H194" s="10"/>
      <c r="I194" s="9"/>
      <c r="J194" s="9"/>
    </row>
    <row x14ac:dyDescent="0.25" r="195" customHeight="1" ht="17.25">
      <c r="A195" s="7"/>
      <c r="B195" s="7"/>
      <c r="C195" s="7"/>
      <c r="D195" s="7"/>
      <c r="E195" s="8"/>
      <c r="F195" s="9"/>
      <c r="G195" s="9"/>
      <c r="H195" s="10"/>
      <c r="I195" s="9"/>
      <c r="J195" s="9"/>
    </row>
    <row x14ac:dyDescent="0.25" r="196" customHeight="1" ht="17.25">
      <c r="A196" s="11" t="s">
        <v>2082</v>
      </c>
      <c r="B196" s="11"/>
      <c r="C196" s="11"/>
      <c r="D196" s="11"/>
      <c r="E196" s="12"/>
      <c r="F196" s="11"/>
      <c r="G196" s="11"/>
      <c r="H196" s="13"/>
      <c r="I196" s="11"/>
      <c r="J196" s="11"/>
    </row>
    <row x14ac:dyDescent="0.25" r="197" customHeight="1" ht="17.25">
      <c r="A197" s="14" t="s">
        <v>3</v>
      </c>
      <c r="B197" s="14" t="s">
        <v>4</v>
      </c>
      <c r="C197" s="14" t="s">
        <v>5</v>
      </c>
      <c r="D197" s="14" t="s">
        <v>6</v>
      </c>
      <c r="E197" s="15" t="s">
        <v>7</v>
      </c>
      <c r="F197" s="14" t="s">
        <v>8</v>
      </c>
      <c r="G197" s="14" t="s">
        <v>9</v>
      </c>
      <c r="H197" s="16" t="s">
        <v>10</v>
      </c>
      <c r="I197" s="14" t="s">
        <v>11</v>
      </c>
      <c r="J197" s="14" t="s">
        <v>12</v>
      </c>
    </row>
    <row x14ac:dyDescent="0.25" r="198" customHeight="1" ht="17.25">
      <c r="A198" s="17" t="s">
        <v>2083</v>
      </c>
      <c r="B198" s="17" t="s">
        <v>332</v>
      </c>
      <c r="C198" s="17" t="s">
        <v>76</v>
      </c>
      <c r="D198" s="17" t="s">
        <v>16</v>
      </c>
      <c r="E198" s="18">
        <f>ROUND(17678*1.05,2)</f>
      </c>
      <c r="F198" s="17" t="s">
        <v>17</v>
      </c>
      <c r="G198" s="17" t="s">
        <v>18</v>
      </c>
      <c r="H198" s="18">
        <f>ROUND(RAND()*4+6,1)</f>
      </c>
      <c r="I198" s="17" t="s">
        <v>19</v>
      </c>
      <c r="J198" s="19">
        <f>ROUND(94*1,0)&amp;"%"</f>
      </c>
    </row>
    <row x14ac:dyDescent="0.25" r="199" customHeight="1" ht="17.25">
      <c r="A199" s="20" t="s">
        <v>2084</v>
      </c>
      <c r="B199" s="20" t="s">
        <v>334</v>
      </c>
      <c r="C199" s="20" t="s">
        <v>76</v>
      </c>
      <c r="D199" s="20" t="s">
        <v>22</v>
      </c>
      <c r="E199" s="21">
        <f>ROUND(4093*1.05,2)</f>
      </c>
      <c r="F199" s="20" t="s">
        <v>23</v>
      </c>
      <c r="G199" s="20" t="s">
        <v>24</v>
      </c>
      <c r="H199" s="21">
        <f>ROUND(RAND()*4+6,1)</f>
      </c>
      <c r="I199" s="20" t="s">
        <v>25</v>
      </c>
      <c r="J199" s="23">
        <f>ROUND(67*1,0)&amp;"%"</f>
      </c>
    </row>
    <row x14ac:dyDescent="0.25" r="200" customHeight="1" ht="17.25">
      <c r="A200" s="17" t="s">
        <v>2085</v>
      </c>
      <c r="B200" s="17" t="s">
        <v>336</v>
      </c>
      <c r="C200" s="17" t="s">
        <v>76</v>
      </c>
      <c r="D200" s="17" t="s">
        <v>28</v>
      </c>
      <c r="E200" s="18">
        <f>ROUND(5643*1.05,2)</f>
      </c>
      <c r="F200" s="17" t="s">
        <v>29</v>
      </c>
      <c r="G200" s="17" t="s">
        <v>30</v>
      </c>
      <c r="H200" s="18">
        <f>ROUND(RAND()*4+6,1)</f>
      </c>
      <c r="I200" s="17" t="s">
        <v>31</v>
      </c>
      <c r="J200" s="19">
        <f>ROUND(65*1,0)&amp;"%"</f>
      </c>
    </row>
    <row x14ac:dyDescent="0.25" r="201" customHeight="1" ht="17.25">
      <c r="A201" s="20" t="s">
        <v>2086</v>
      </c>
      <c r="B201" s="20" t="s">
        <v>338</v>
      </c>
      <c r="C201" s="20" t="s">
        <v>76</v>
      </c>
      <c r="D201" s="20" t="s">
        <v>34</v>
      </c>
      <c r="E201" s="21">
        <f>ROUND(8027*1.05,2)</f>
      </c>
      <c r="F201" s="20" t="s">
        <v>35</v>
      </c>
      <c r="G201" s="20" t="s">
        <v>18</v>
      </c>
      <c r="H201" s="21">
        <f>ROUND(RAND()*4+6,1)</f>
      </c>
      <c r="I201" s="20" t="s">
        <v>36</v>
      </c>
      <c r="J201" s="23">
        <f>ROUND(81*1,0)&amp;"%"</f>
      </c>
    </row>
    <row x14ac:dyDescent="0.25" r="202" customHeight="1" ht="17.25">
      <c r="A202" s="17" t="s">
        <v>2087</v>
      </c>
      <c r="B202" s="17" t="s">
        <v>340</v>
      </c>
      <c r="C202" s="17" t="s">
        <v>76</v>
      </c>
      <c r="D202" s="17" t="s">
        <v>39</v>
      </c>
      <c r="E202" s="18">
        <f>ROUND(5102*1.05,2)</f>
      </c>
      <c r="F202" s="17" t="s">
        <v>40</v>
      </c>
      <c r="G202" s="17" t="s">
        <v>24</v>
      </c>
      <c r="H202" s="26">
        <f>ROUND(RAND()*4+6,1)</f>
      </c>
      <c r="I202" s="17" t="s">
        <v>41</v>
      </c>
      <c r="J202" s="19">
        <f>ROUND(69*1,0)&amp;"%"</f>
      </c>
    </row>
    <row x14ac:dyDescent="0.25" r="203" customHeight="1" ht="17.25">
      <c r="A203" s="20" t="s">
        <v>2088</v>
      </c>
      <c r="B203" s="20" t="s">
        <v>342</v>
      </c>
      <c r="C203" s="20" t="s">
        <v>76</v>
      </c>
      <c r="D203" s="20" t="s">
        <v>67</v>
      </c>
      <c r="E203" s="21">
        <f>ROUND(11839*1.05,2)</f>
      </c>
      <c r="F203" s="20" t="s">
        <v>44</v>
      </c>
      <c r="G203" s="20" t="s">
        <v>30</v>
      </c>
      <c r="H203" s="21">
        <f>ROUND(RAND()*4+6,1)</f>
      </c>
      <c r="I203" s="20" t="s">
        <v>45</v>
      </c>
      <c r="J203" s="23">
        <f>ROUND(61*1,0)&amp;"%"</f>
      </c>
    </row>
    <row x14ac:dyDescent="0.25" r="204" customHeight="1" ht="17.25">
      <c r="A204" s="17" t="s">
        <v>2089</v>
      </c>
      <c r="B204" s="17" t="s">
        <v>344</v>
      </c>
      <c r="C204" s="17" t="s">
        <v>76</v>
      </c>
      <c r="D204" s="17" t="s">
        <v>16</v>
      </c>
      <c r="E204" s="18">
        <f>ROUND(7759*1.05,2)</f>
      </c>
      <c r="F204" s="17" t="s">
        <v>48</v>
      </c>
      <c r="G204" s="17" t="s">
        <v>18</v>
      </c>
      <c r="H204" s="18">
        <f>ROUND(RAND()*4+6,1)</f>
      </c>
      <c r="I204" s="17" t="s">
        <v>19</v>
      </c>
      <c r="J204" s="19">
        <f>ROUND(71*1,0)&amp;"%"</f>
      </c>
    </row>
    <row x14ac:dyDescent="0.25" r="205" customHeight="1" ht="17.25">
      <c r="A205" s="20" t="s">
        <v>2090</v>
      </c>
      <c r="B205" s="20" t="s">
        <v>346</v>
      </c>
      <c r="C205" s="20" t="s">
        <v>76</v>
      </c>
      <c r="D205" s="20" t="s">
        <v>22</v>
      </c>
      <c r="E205" s="21">
        <f>ROUND(6677*1.05,2)</f>
      </c>
      <c r="F205" s="20" t="s">
        <v>51</v>
      </c>
      <c r="G205" s="20" t="s">
        <v>24</v>
      </c>
      <c r="H205" s="21">
        <f>ROUND(RAND()*4+6,1)</f>
      </c>
      <c r="I205" s="20" t="s">
        <v>25</v>
      </c>
      <c r="J205" s="23">
        <f>ROUND(66*1,0)&amp;"%"</f>
      </c>
    </row>
    <row x14ac:dyDescent="0.25" r="206" customHeight="1" ht="17.25">
      <c r="A206" s="24" t="s">
        <v>347</v>
      </c>
      <c r="B206" s="24"/>
      <c r="C206" s="24"/>
      <c r="D206" s="24"/>
      <c r="E206" s="25">
        <v>8</v>
      </c>
      <c r="F206" s="9"/>
      <c r="G206" s="9"/>
      <c r="H206" s="10"/>
      <c r="I206" s="9"/>
      <c r="J206" s="9"/>
    </row>
    <row x14ac:dyDescent="0.25" r="207" customHeight="1" ht="17.25">
      <c r="A207" s="7"/>
      <c r="B207" s="7"/>
      <c r="C207" s="7"/>
      <c r="D207" s="7"/>
      <c r="E207" s="8"/>
      <c r="F207" s="9"/>
      <c r="G207" s="9"/>
      <c r="H207" s="10"/>
      <c r="I207" s="9"/>
      <c r="J207" s="9"/>
    </row>
    <row x14ac:dyDescent="0.25" r="208" customHeight="1" ht="17.25">
      <c r="A208" s="11" t="s">
        <v>2091</v>
      </c>
      <c r="B208" s="11"/>
      <c r="C208" s="11"/>
      <c r="D208" s="11"/>
      <c r="E208" s="12"/>
      <c r="F208" s="11"/>
      <c r="G208" s="11"/>
      <c r="H208" s="13"/>
      <c r="I208" s="11"/>
      <c r="J208" s="11"/>
    </row>
    <row x14ac:dyDescent="0.25" r="209" customHeight="1" ht="17.25">
      <c r="A209" s="14" t="s">
        <v>3</v>
      </c>
      <c r="B209" s="14" t="s">
        <v>4</v>
      </c>
      <c r="C209" s="14" t="s">
        <v>5</v>
      </c>
      <c r="D209" s="14" t="s">
        <v>6</v>
      </c>
      <c r="E209" s="15" t="s">
        <v>7</v>
      </c>
      <c r="F209" s="14" t="s">
        <v>8</v>
      </c>
      <c r="G209" s="14" t="s">
        <v>9</v>
      </c>
      <c r="H209" s="16" t="s">
        <v>10</v>
      </c>
      <c r="I209" s="14" t="s">
        <v>11</v>
      </c>
      <c r="J209" s="14" t="s">
        <v>12</v>
      </c>
    </row>
    <row x14ac:dyDescent="0.25" r="210" customHeight="1" ht="17.25">
      <c r="A210" s="17" t="s">
        <v>2092</v>
      </c>
      <c r="B210" s="17" t="s">
        <v>350</v>
      </c>
      <c r="C210" s="17" t="s">
        <v>95</v>
      </c>
      <c r="D210" s="17" t="s">
        <v>16</v>
      </c>
      <c r="E210" s="18">
        <f>ROUND(5651*1.05,2)</f>
      </c>
      <c r="F210" s="17" t="s">
        <v>17</v>
      </c>
      <c r="G210" s="17" t="s">
        <v>18</v>
      </c>
      <c r="H210" s="18">
        <f>ROUND(RAND()*4+6,1)</f>
      </c>
      <c r="I210" s="17" t="s">
        <v>19</v>
      </c>
      <c r="J210" s="19">
        <f>ROUND(71*1,0)&amp;"%"</f>
      </c>
    </row>
    <row x14ac:dyDescent="0.25" r="211" customHeight="1" ht="17.25">
      <c r="A211" s="20" t="s">
        <v>2093</v>
      </c>
      <c r="B211" s="20" t="s">
        <v>352</v>
      </c>
      <c r="C211" s="20" t="s">
        <v>95</v>
      </c>
      <c r="D211" s="20" t="s">
        <v>22</v>
      </c>
      <c r="E211" s="22">
        <f>ROUND(6380*1.05,2)</f>
      </c>
      <c r="F211" s="20" t="s">
        <v>23</v>
      </c>
      <c r="G211" s="20" t="s">
        <v>24</v>
      </c>
      <c r="H211" s="21">
        <f>ROUND(RAND()*4+6,1)</f>
      </c>
      <c r="I211" s="20" t="s">
        <v>25</v>
      </c>
      <c r="J211" s="23">
        <f>ROUND(96*1,0)&amp;"%"</f>
      </c>
    </row>
    <row x14ac:dyDescent="0.25" r="212" customHeight="1" ht="17.25">
      <c r="A212" s="17" t="s">
        <v>2094</v>
      </c>
      <c r="B212" s="17" t="s">
        <v>354</v>
      </c>
      <c r="C212" s="17" t="s">
        <v>95</v>
      </c>
      <c r="D212" s="17" t="s">
        <v>28</v>
      </c>
      <c r="E212" s="18">
        <f>ROUND(11890*1.05,2)</f>
      </c>
      <c r="F212" s="17" t="s">
        <v>29</v>
      </c>
      <c r="G212" s="17" t="s">
        <v>30</v>
      </c>
      <c r="H212" s="18">
        <f>ROUND(RAND()*4+6,1)</f>
      </c>
      <c r="I212" s="17" t="s">
        <v>31</v>
      </c>
      <c r="J212" s="19">
        <f>ROUND(88*1,0)&amp;"%"</f>
      </c>
    </row>
    <row x14ac:dyDescent="0.25" r="213" customHeight="1" ht="17.25">
      <c r="A213" s="20" t="s">
        <v>2095</v>
      </c>
      <c r="B213" s="20" t="s">
        <v>356</v>
      </c>
      <c r="C213" s="20" t="s">
        <v>95</v>
      </c>
      <c r="D213" s="20" t="s">
        <v>34</v>
      </c>
      <c r="E213" s="21">
        <f>ROUND(14719*1.05,2)</f>
      </c>
      <c r="F213" s="20" t="s">
        <v>35</v>
      </c>
      <c r="G213" s="20" t="s">
        <v>18</v>
      </c>
      <c r="H213" s="21">
        <f>ROUND(RAND()*4+6,1)</f>
      </c>
      <c r="I213" s="20" t="s">
        <v>36</v>
      </c>
      <c r="J213" s="23">
        <f>ROUND(65*1,0)&amp;"%"</f>
      </c>
    </row>
    <row x14ac:dyDescent="0.25" r="214" customHeight="1" ht="17.25">
      <c r="A214" s="17" t="s">
        <v>2096</v>
      </c>
      <c r="B214" s="17" t="s">
        <v>358</v>
      </c>
      <c r="C214" s="17" t="s">
        <v>95</v>
      </c>
      <c r="D214" s="17" t="s">
        <v>39</v>
      </c>
      <c r="E214" s="18">
        <f>ROUND(5428*1.05,2)</f>
      </c>
      <c r="F214" s="17" t="s">
        <v>40</v>
      </c>
      <c r="G214" s="17" t="s">
        <v>24</v>
      </c>
      <c r="H214" s="18">
        <f>ROUND(RAND()*4+6,1)</f>
      </c>
      <c r="I214" s="17" t="s">
        <v>41</v>
      </c>
      <c r="J214" s="19">
        <f>ROUND(73*1,0)&amp;"%"</f>
      </c>
    </row>
    <row x14ac:dyDescent="0.25" r="215" customHeight="1" ht="17.25">
      <c r="A215" s="20" t="s">
        <v>2097</v>
      </c>
      <c r="B215" s="20" t="s">
        <v>360</v>
      </c>
      <c r="C215" s="20" t="s">
        <v>95</v>
      </c>
      <c r="D215" s="20" t="s">
        <v>67</v>
      </c>
      <c r="E215" s="21">
        <f>ROUND(15554*1.05,2)</f>
      </c>
      <c r="F215" s="20" t="s">
        <v>44</v>
      </c>
      <c r="G215" s="20" t="s">
        <v>30</v>
      </c>
      <c r="H215" s="21">
        <f>ROUND(RAND()*4+6,1)</f>
      </c>
      <c r="I215" s="20" t="s">
        <v>45</v>
      </c>
      <c r="J215" s="23">
        <f>ROUND(82*1,0)&amp;"%"</f>
      </c>
    </row>
    <row x14ac:dyDescent="0.25" r="216" customHeight="1" ht="17.25">
      <c r="A216" s="17" t="s">
        <v>2098</v>
      </c>
      <c r="B216" s="17" t="s">
        <v>362</v>
      </c>
      <c r="C216" s="17" t="s">
        <v>95</v>
      </c>
      <c r="D216" s="17" t="s">
        <v>16</v>
      </c>
      <c r="E216" s="18">
        <f>ROUND(13396*1.05,2)</f>
      </c>
      <c r="F216" s="17" t="s">
        <v>48</v>
      </c>
      <c r="G216" s="17" t="s">
        <v>18</v>
      </c>
      <c r="H216" s="26">
        <f>ROUND(RAND()*4+6,1)</f>
      </c>
      <c r="I216" s="17" t="s">
        <v>19</v>
      </c>
      <c r="J216" s="19">
        <f>ROUND(73*1,0)&amp;"%"</f>
      </c>
    </row>
    <row x14ac:dyDescent="0.25" r="217" customHeight="1" ht="17.25">
      <c r="A217" s="20" t="s">
        <v>2099</v>
      </c>
      <c r="B217" s="20" t="s">
        <v>364</v>
      </c>
      <c r="C217" s="20" t="s">
        <v>95</v>
      </c>
      <c r="D217" s="20" t="s">
        <v>22</v>
      </c>
      <c r="E217" s="22">
        <f>ROUND(5420*1.05,2)</f>
      </c>
      <c r="F217" s="20" t="s">
        <v>51</v>
      </c>
      <c r="G217" s="20" t="s">
        <v>24</v>
      </c>
      <c r="H217" s="21">
        <f>ROUND(RAND()*4+6,1)</f>
      </c>
      <c r="I217" s="20" t="s">
        <v>25</v>
      </c>
      <c r="J217" s="23">
        <f>ROUND(96*1,0)&amp;"%"</f>
      </c>
    </row>
    <row x14ac:dyDescent="0.25" r="218" customHeight="1" ht="17.25">
      <c r="A218" s="24" t="s">
        <v>365</v>
      </c>
      <c r="B218" s="24"/>
      <c r="C218" s="24"/>
      <c r="D218" s="24"/>
      <c r="E218" s="25">
        <v>8</v>
      </c>
      <c r="F218" s="9"/>
      <c r="G218" s="9"/>
      <c r="H218" s="10"/>
      <c r="I218" s="9"/>
      <c r="J218" s="9"/>
    </row>
    <row x14ac:dyDescent="0.25" r="219" customHeight="1" ht="17.25">
      <c r="A219" s="7"/>
      <c r="B219" s="7"/>
      <c r="C219" s="7"/>
      <c r="D219" s="7"/>
      <c r="E219" s="8"/>
      <c r="F219" s="9"/>
      <c r="G219" s="9"/>
      <c r="H219" s="10"/>
      <c r="I219" s="9"/>
      <c r="J219" s="9"/>
    </row>
    <row x14ac:dyDescent="0.25" r="220" customHeight="1" ht="17.25">
      <c r="A220" s="11" t="s">
        <v>2100</v>
      </c>
      <c r="B220" s="11"/>
      <c r="C220" s="11"/>
      <c r="D220" s="11"/>
      <c r="E220" s="12"/>
      <c r="F220" s="11"/>
      <c r="G220" s="11"/>
      <c r="H220" s="13"/>
      <c r="I220" s="11"/>
      <c r="J220" s="11"/>
    </row>
    <row x14ac:dyDescent="0.25" r="221" customHeight="1" ht="17.25">
      <c r="A221" s="14" t="s">
        <v>3</v>
      </c>
      <c r="B221" s="14" t="s">
        <v>4</v>
      </c>
      <c r="C221" s="14" t="s">
        <v>5</v>
      </c>
      <c r="D221" s="14" t="s">
        <v>6</v>
      </c>
      <c r="E221" s="15" t="s">
        <v>7</v>
      </c>
      <c r="F221" s="14" t="s">
        <v>8</v>
      </c>
      <c r="G221" s="14" t="s">
        <v>9</v>
      </c>
      <c r="H221" s="16" t="s">
        <v>10</v>
      </c>
      <c r="I221" s="14" t="s">
        <v>11</v>
      </c>
      <c r="J221" s="14" t="s">
        <v>12</v>
      </c>
    </row>
    <row x14ac:dyDescent="0.25" r="222" customHeight="1" ht="17.25">
      <c r="A222" s="17" t="s">
        <v>2101</v>
      </c>
      <c r="B222" s="17" t="s">
        <v>368</v>
      </c>
      <c r="C222" s="17" t="s">
        <v>114</v>
      </c>
      <c r="D222" s="17" t="s">
        <v>16</v>
      </c>
      <c r="E222" s="26">
        <f>ROUND(12020*1.05,2)</f>
      </c>
      <c r="F222" s="17" t="s">
        <v>17</v>
      </c>
      <c r="G222" s="17" t="s">
        <v>18</v>
      </c>
      <c r="H222" s="26">
        <f>ROUND(RAND()*4+6,1)</f>
      </c>
      <c r="I222" s="17" t="s">
        <v>19</v>
      </c>
      <c r="J222" s="19">
        <f>ROUND(94*1,0)&amp;"%"</f>
      </c>
    </row>
    <row x14ac:dyDescent="0.25" r="223" customHeight="1" ht="17.25">
      <c r="A223" s="20" t="s">
        <v>2102</v>
      </c>
      <c r="B223" s="20" t="s">
        <v>370</v>
      </c>
      <c r="C223" s="20" t="s">
        <v>114</v>
      </c>
      <c r="D223" s="20" t="s">
        <v>22</v>
      </c>
      <c r="E223" s="21">
        <f>ROUND(12439*1.05,2)</f>
      </c>
      <c r="F223" s="20" t="s">
        <v>23</v>
      </c>
      <c r="G223" s="20" t="s">
        <v>24</v>
      </c>
      <c r="H223" s="21">
        <f>ROUND(RAND()*4+6,1)</f>
      </c>
      <c r="I223" s="20" t="s">
        <v>25</v>
      </c>
      <c r="J223" s="23">
        <f>ROUND(100*1,0)&amp;"%"</f>
      </c>
    </row>
    <row x14ac:dyDescent="0.25" r="224" customHeight="1" ht="17.25">
      <c r="A224" s="17" t="s">
        <v>2103</v>
      </c>
      <c r="B224" s="17" t="s">
        <v>372</v>
      </c>
      <c r="C224" s="17" t="s">
        <v>114</v>
      </c>
      <c r="D224" s="17" t="s">
        <v>28</v>
      </c>
      <c r="E224" s="18">
        <f>ROUND(8462*1.05,2)</f>
      </c>
      <c r="F224" s="17" t="s">
        <v>29</v>
      </c>
      <c r="G224" s="17" t="s">
        <v>30</v>
      </c>
      <c r="H224" s="18">
        <f>ROUND(RAND()*4+6,1)</f>
      </c>
      <c r="I224" s="17" t="s">
        <v>31</v>
      </c>
      <c r="J224" s="19">
        <f>ROUND(62*1,0)&amp;"%"</f>
      </c>
    </row>
    <row x14ac:dyDescent="0.25" r="225" customHeight="1" ht="17.25">
      <c r="A225" s="20" t="s">
        <v>2104</v>
      </c>
      <c r="B225" s="20" t="s">
        <v>374</v>
      </c>
      <c r="C225" s="20" t="s">
        <v>114</v>
      </c>
      <c r="D225" s="20" t="s">
        <v>34</v>
      </c>
      <c r="E225" s="21">
        <f>ROUND(9435*1.05,2)</f>
      </c>
      <c r="F225" s="20" t="s">
        <v>35</v>
      </c>
      <c r="G225" s="20" t="s">
        <v>18</v>
      </c>
      <c r="H225" s="21">
        <f>ROUND(RAND()*4+6,1)</f>
      </c>
      <c r="I225" s="20" t="s">
        <v>36</v>
      </c>
      <c r="J225" s="23">
        <f>ROUND(78*1,0)&amp;"%"</f>
      </c>
    </row>
    <row x14ac:dyDescent="0.25" r="226" customHeight="1" ht="17.25">
      <c r="A226" s="17" t="s">
        <v>2105</v>
      </c>
      <c r="B226" s="17" t="s">
        <v>376</v>
      </c>
      <c r="C226" s="17" t="s">
        <v>114</v>
      </c>
      <c r="D226" s="17" t="s">
        <v>39</v>
      </c>
      <c r="E226" s="18">
        <f>ROUND(5175*1.05,2)</f>
      </c>
      <c r="F226" s="17" t="s">
        <v>40</v>
      </c>
      <c r="G226" s="17" t="s">
        <v>24</v>
      </c>
      <c r="H226" s="18">
        <f>ROUND(RAND()*4+6,1)</f>
      </c>
      <c r="I226" s="17" t="s">
        <v>41</v>
      </c>
      <c r="J226" s="19">
        <f>ROUND(95*1,0)&amp;"%"</f>
      </c>
    </row>
    <row x14ac:dyDescent="0.25" r="227" customHeight="1" ht="17.25">
      <c r="A227" s="20" t="s">
        <v>2106</v>
      </c>
      <c r="B227" s="20" t="s">
        <v>378</v>
      </c>
      <c r="C227" s="20" t="s">
        <v>114</v>
      </c>
      <c r="D227" s="20" t="s">
        <v>67</v>
      </c>
      <c r="E227" s="21">
        <f>ROUND(14762*1.05,2)</f>
      </c>
      <c r="F227" s="20" t="s">
        <v>44</v>
      </c>
      <c r="G227" s="20" t="s">
        <v>30</v>
      </c>
      <c r="H227" s="21">
        <f>ROUND(RAND()*4+6,1)</f>
      </c>
      <c r="I227" s="20" t="s">
        <v>45</v>
      </c>
      <c r="J227" s="23">
        <f>ROUND(70*1,0)&amp;"%"</f>
      </c>
    </row>
    <row x14ac:dyDescent="0.25" r="228" customHeight="1" ht="17.25">
      <c r="A228" s="17" t="s">
        <v>2107</v>
      </c>
      <c r="B228" s="17" t="s">
        <v>380</v>
      </c>
      <c r="C228" s="17" t="s">
        <v>114</v>
      </c>
      <c r="D228" s="17" t="s">
        <v>16</v>
      </c>
      <c r="E228" s="18">
        <f>ROUND(13275*1.05,2)</f>
      </c>
      <c r="F228" s="17" t="s">
        <v>48</v>
      </c>
      <c r="G228" s="17" t="s">
        <v>18</v>
      </c>
      <c r="H228" s="18">
        <f>ROUND(RAND()*4+6,1)</f>
      </c>
      <c r="I228" s="17" t="s">
        <v>19</v>
      </c>
      <c r="J228" s="19">
        <f>ROUND(88*1,0)&amp;"%"</f>
      </c>
    </row>
    <row x14ac:dyDescent="0.25" r="229" customHeight="1" ht="17.25">
      <c r="A229" s="20" t="s">
        <v>2108</v>
      </c>
      <c r="B229" s="20" t="s">
        <v>382</v>
      </c>
      <c r="C229" s="20" t="s">
        <v>114</v>
      </c>
      <c r="D229" s="20" t="s">
        <v>22</v>
      </c>
      <c r="E229" s="21">
        <f>ROUND(9523*1.05,2)</f>
      </c>
      <c r="F229" s="20" t="s">
        <v>51</v>
      </c>
      <c r="G229" s="20" t="s">
        <v>24</v>
      </c>
      <c r="H229" s="21">
        <f>ROUND(RAND()*4+6,1)</f>
      </c>
      <c r="I229" s="20" t="s">
        <v>25</v>
      </c>
      <c r="J229" s="23">
        <f>ROUND(74*1,0)&amp;"%"</f>
      </c>
    </row>
    <row x14ac:dyDescent="0.25" r="230" customHeight="1" ht="17.25">
      <c r="A230" s="24" t="s">
        <v>383</v>
      </c>
      <c r="B230" s="24"/>
      <c r="C230" s="24"/>
      <c r="D230" s="24"/>
      <c r="E230" s="25">
        <v>8</v>
      </c>
      <c r="F230" s="9"/>
      <c r="G230" s="9"/>
      <c r="H230" s="10"/>
      <c r="I230" s="9"/>
      <c r="J230" s="9"/>
    </row>
    <row x14ac:dyDescent="0.25" r="231" customHeight="1" ht="17.25">
      <c r="A231" s="7"/>
      <c r="B231" s="7"/>
      <c r="C231" s="7"/>
      <c r="D231" s="7"/>
      <c r="E231" s="8"/>
      <c r="F231" s="9"/>
      <c r="G231" s="9"/>
      <c r="H231" s="10"/>
      <c r="I231" s="9"/>
      <c r="J231" s="9"/>
    </row>
    <row x14ac:dyDescent="0.25" r="232" customHeight="1" ht="17.25">
      <c r="A232" s="11" t="s">
        <v>2109</v>
      </c>
      <c r="B232" s="11"/>
      <c r="C232" s="11"/>
      <c r="D232" s="11"/>
      <c r="E232" s="12"/>
      <c r="F232" s="11"/>
      <c r="G232" s="11"/>
      <c r="H232" s="13"/>
      <c r="I232" s="11"/>
      <c r="J232" s="11"/>
    </row>
    <row x14ac:dyDescent="0.25" r="233" customHeight="1" ht="17.25">
      <c r="A233" s="14" t="s">
        <v>3</v>
      </c>
      <c r="B233" s="14" t="s">
        <v>4</v>
      </c>
      <c r="C233" s="14" t="s">
        <v>5</v>
      </c>
      <c r="D233" s="14" t="s">
        <v>6</v>
      </c>
      <c r="E233" s="15" t="s">
        <v>7</v>
      </c>
      <c r="F233" s="14" t="s">
        <v>8</v>
      </c>
      <c r="G233" s="14" t="s">
        <v>9</v>
      </c>
      <c r="H233" s="16" t="s">
        <v>10</v>
      </c>
      <c r="I233" s="14" t="s">
        <v>11</v>
      </c>
      <c r="J233" s="14" t="s">
        <v>12</v>
      </c>
    </row>
    <row x14ac:dyDescent="0.25" r="234" customHeight="1" ht="17.25">
      <c r="A234" s="17" t="s">
        <v>2110</v>
      </c>
      <c r="B234" s="17" t="s">
        <v>386</v>
      </c>
      <c r="C234" s="17" t="s">
        <v>133</v>
      </c>
      <c r="D234" s="17" t="s">
        <v>16</v>
      </c>
      <c r="E234" s="18">
        <f>ROUND(12162*1.05,2)</f>
      </c>
      <c r="F234" s="17" t="s">
        <v>17</v>
      </c>
      <c r="G234" s="17" t="s">
        <v>18</v>
      </c>
      <c r="H234" s="18">
        <f>ROUND(RAND()*4+6,1)</f>
      </c>
      <c r="I234" s="17" t="s">
        <v>19</v>
      </c>
      <c r="J234" s="19">
        <f>ROUND(66*1,0)&amp;"%"</f>
      </c>
    </row>
    <row x14ac:dyDescent="0.25" r="235" customHeight="1" ht="17.25">
      <c r="A235" s="20" t="s">
        <v>2111</v>
      </c>
      <c r="B235" s="20" t="s">
        <v>388</v>
      </c>
      <c r="C235" s="20" t="s">
        <v>133</v>
      </c>
      <c r="D235" s="20" t="s">
        <v>22</v>
      </c>
      <c r="E235" s="21">
        <f>ROUND(15036*1.05,2)</f>
      </c>
      <c r="F235" s="20" t="s">
        <v>23</v>
      </c>
      <c r="G235" s="20" t="s">
        <v>24</v>
      </c>
      <c r="H235" s="21">
        <f>ROUND(RAND()*4+6,1)</f>
      </c>
      <c r="I235" s="20" t="s">
        <v>25</v>
      </c>
      <c r="J235" s="23">
        <f>ROUND(84*1,0)&amp;"%"</f>
      </c>
    </row>
    <row x14ac:dyDescent="0.25" r="236" customHeight="1" ht="17.25">
      <c r="A236" s="17" t="s">
        <v>2112</v>
      </c>
      <c r="B236" s="17" t="s">
        <v>390</v>
      </c>
      <c r="C236" s="17" t="s">
        <v>133</v>
      </c>
      <c r="D236" s="17" t="s">
        <v>28</v>
      </c>
      <c r="E236" s="18">
        <f>ROUND(12063*1.05,2)</f>
      </c>
      <c r="F236" s="17" t="s">
        <v>29</v>
      </c>
      <c r="G236" s="17" t="s">
        <v>30</v>
      </c>
      <c r="H236" s="18">
        <f>ROUND(RAND()*4+6,1)</f>
      </c>
      <c r="I236" s="17" t="s">
        <v>31</v>
      </c>
      <c r="J236" s="19">
        <f>ROUND(93*1,0)&amp;"%"</f>
      </c>
    </row>
    <row x14ac:dyDescent="0.25" r="237" customHeight="1" ht="17.25">
      <c r="A237" s="20" t="s">
        <v>2113</v>
      </c>
      <c r="B237" s="20" t="s">
        <v>392</v>
      </c>
      <c r="C237" s="20" t="s">
        <v>133</v>
      </c>
      <c r="D237" s="20" t="s">
        <v>34</v>
      </c>
      <c r="E237" s="21">
        <f>ROUND(14653*1.05,2)</f>
      </c>
      <c r="F237" s="20" t="s">
        <v>35</v>
      </c>
      <c r="G237" s="20" t="s">
        <v>18</v>
      </c>
      <c r="H237" s="21">
        <f>ROUND(RAND()*4+6,1)</f>
      </c>
      <c r="I237" s="20" t="s">
        <v>36</v>
      </c>
      <c r="J237" s="23">
        <f>ROUND(79*1,0)&amp;"%"</f>
      </c>
    </row>
    <row x14ac:dyDescent="0.25" r="238" customHeight="1" ht="17.25">
      <c r="A238" s="17" t="s">
        <v>2114</v>
      </c>
      <c r="B238" s="17" t="s">
        <v>394</v>
      </c>
      <c r="C238" s="17" t="s">
        <v>133</v>
      </c>
      <c r="D238" s="17" t="s">
        <v>39</v>
      </c>
      <c r="E238" s="18">
        <f>ROUND(6747*1.05,2)</f>
      </c>
      <c r="F238" s="17" t="s">
        <v>40</v>
      </c>
      <c r="G238" s="17" t="s">
        <v>24</v>
      </c>
      <c r="H238" s="18">
        <f>ROUND(RAND()*4+6,1)</f>
      </c>
      <c r="I238" s="17" t="s">
        <v>41</v>
      </c>
      <c r="J238" s="19">
        <f>ROUND(75*1,0)&amp;"%"</f>
      </c>
    </row>
    <row x14ac:dyDescent="0.25" r="239" customHeight="1" ht="17.25">
      <c r="A239" s="20" t="s">
        <v>2115</v>
      </c>
      <c r="B239" s="20" t="s">
        <v>396</v>
      </c>
      <c r="C239" s="20" t="s">
        <v>133</v>
      </c>
      <c r="D239" s="20" t="s">
        <v>67</v>
      </c>
      <c r="E239" s="21">
        <f>ROUND(16155*1.05,2)</f>
      </c>
      <c r="F239" s="20" t="s">
        <v>44</v>
      </c>
      <c r="G239" s="20" t="s">
        <v>30</v>
      </c>
      <c r="H239" s="21">
        <f>ROUND(RAND()*4+6,1)</f>
      </c>
      <c r="I239" s="20" t="s">
        <v>45</v>
      </c>
      <c r="J239" s="23">
        <f>ROUND(61*1,0)&amp;"%"</f>
      </c>
    </row>
    <row x14ac:dyDescent="0.25" r="240" customHeight="1" ht="17.25">
      <c r="A240" s="17" t="s">
        <v>2116</v>
      </c>
      <c r="B240" s="17" t="s">
        <v>398</v>
      </c>
      <c r="C240" s="17" t="s">
        <v>133</v>
      </c>
      <c r="D240" s="17" t="s">
        <v>16</v>
      </c>
      <c r="E240" s="18">
        <f>ROUND(14772*1.05,2)</f>
      </c>
      <c r="F240" s="17" t="s">
        <v>48</v>
      </c>
      <c r="G240" s="17" t="s">
        <v>18</v>
      </c>
      <c r="H240" s="18">
        <f>ROUND(RAND()*4+6,1)</f>
      </c>
      <c r="I240" s="17" t="s">
        <v>19</v>
      </c>
      <c r="J240" s="19">
        <f>ROUND(67*1,0)&amp;"%"</f>
      </c>
    </row>
    <row x14ac:dyDescent="0.25" r="241" customHeight="1" ht="17.25">
      <c r="A241" s="20" t="s">
        <v>2117</v>
      </c>
      <c r="B241" s="20" t="s">
        <v>400</v>
      </c>
      <c r="C241" s="20" t="s">
        <v>133</v>
      </c>
      <c r="D241" s="20" t="s">
        <v>22</v>
      </c>
      <c r="E241" s="21">
        <f>ROUND(10784*1.05,2)</f>
      </c>
      <c r="F241" s="20" t="s">
        <v>51</v>
      </c>
      <c r="G241" s="20" t="s">
        <v>24</v>
      </c>
      <c r="H241" s="21">
        <f>ROUND(RAND()*4+6,1)</f>
      </c>
      <c r="I241" s="20" t="s">
        <v>25</v>
      </c>
      <c r="J241" s="23">
        <f>ROUND(62*1,0)&amp;"%"</f>
      </c>
    </row>
    <row x14ac:dyDescent="0.25" r="242" customHeight="1" ht="17.25">
      <c r="A242" s="24" t="s">
        <v>401</v>
      </c>
      <c r="B242" s="24"/>
      <c r="C242" s="24"/>
      <c r="D242" s="24"/>
      <c r="E242" s="25">
        <v>8</v>
      </c>
      <c r="F242" s="9"/>
      <c r="G242" s="9"/>
      <c r="H242" s="10"/>
      <c r="I242" s="9"/>
      <c r="J242" s="9"/>
    </row>
    <row x14ac:dyDescent="0.25" r="243" customHeight="1" ht="17.25">
      <c r="A243" s="7"/>
      <c r="B243" s="7"/>
      <c r="C243" s="7"/>
      <c r="D243" s="7"/>
      <c r="E243" s="8"/>
      <c r="F243" s="9"/>
      <c r="G243" s="9"/>
      <c r="H243" s="10"/>
      <c r="I243" s="9"/>
      <c r="J243" s="9"/>
    </row>
    <row x14ac:dyDescent="0.25" r="244" customHeight="1" ht="17.25">
      <c r="A244" s="11" t="s">
        <v>2118</v>
      </c>
      <c r="B244" s="11"/>
      <c r="C244" s="11"/>
      <c r="D244" s="11"/>
      <c r="E244" s="12"/>
      <c r="F244" s="11"/>
      <c r="G244" s="11"/>
      <c r="H244" s="13"/>
      <c r="I244" s="11"/>
      <c r="J244" s="11"/>
    </row>
    <row x14ac:dyDescent="0.25" r="245" customHeight="1" ht="17.25">
      <c r="A245" s="14" t="s">
        <v>3</v>
      </c>
      <c r="B245" s="14" t="s">
        <v>4</v>
      </c>
      <c r="C245" s="14" t="s">
        <v>5</v>
      </c>
      <c r="D245" s="14" t="s">
        <v>6</v>
      </c>
      <c r="E245" s="15" t="s">
        <v>7</v>
      </c>
      <c r="F245" s="14" t="s">
        <v>8</v>
      </c>
      <c r="G245" s="14" t="s">
        <v>9</v>
      </c>
      <c r="H245" s="16" t="s">
        <v>10</v>
      </c>
      <c r="I245" s="14" t="s">
        <v>11</v>
      </c>
      <c r="J245" s="14" t="s">
        <v>12</v>
      </c>
    </row>
    <row x14ac:dyDescent="0.25" r="246" customHeight="1" ht="17.25">
      <c r="A246" s="17" t="s">
        <v>2119</v>
      </c>
      <c r="B246" s="17" t="s">
        <v>404</v>
      </c>
      <c r="C246" s="17" t="s">
        <v>152</v>
      </c>
      <c r="D246" s="17" t="s">
        <v>16</v>
      </c>
      <c r="E246" s="18">
        <f>ROUND(9316*1.05,2)</f>
      </c>
      <c r="F246" s="17" t="s">
        <v>17</v>
      </c>
      <c r="G246" s="17" t="s">
        <v>18</v>
      </c>
      <c r="H246" s="18">
        <f>ROUND(RAND()*4+6,1)</f>
      </c>
      <c r="I246" s="17" t="s">
        <v>19</v>
      </c>
      <c r="J246" s="19">
        <f>ROUND(96*1,0)&amp;"%"</f>
      </c>
    </row>
    <row x14ac:dyDescent="0.25" r="247" customHeight="1" ht="17.25">
      <c r="A247" s="20" t="s">
        <v>2120</v>
      </c>
      <c r="B247" s="20" t="s">
        <v>406</v>
      </c>
      <c r="C247" s="20" t="s">
        <v>152</v>
      </c>
      <c r="D247" s="20" t="s">
        <v>22</v>
      </c>
      <c r="E247" s="21">
        <f>ROUND(17747*1.05,2)</f>
      </c>
      <c r="F247" s="20" t="s">
        <v>23</v>
      </c>
      <c r="G247" s="20" t="s">
        <v>24</v>
      </c>
      <c r="H247" s="21">
        <f>ROUND(RAND()*4+6,1)</f>
      </c>
      <c r="I247" s="20" t="s">
        <v>25</v>
      </c>
      <c r="J247" s="23">
        <f>ROUND(73*1,0)&amp;"%"</f>
      </c>
    </row>
    <row x14ac:dyDescent="0.25" r="248" customHeight="1" ht="17.25">
      <c r="A248" s="17" t="s">
        <v>2121</v>
      </c>
      <c r="B248" s="17" t="s">
        <v>408</v>
      </c>
      <c r="C248" s="17" t="s">
        <v>152</v>
      </c>
      <c r="D248" s="17" t="s">
        <v>28</v>
      </c>
      <c r="E248" s="18">
        <f>ROUND(16414*1.05,2)</f>
      </c>
      <c r="F248" s="17" t="s">
        <v>29</v>
      </c>
      <c r="G248" s="17" t="s">
        <v>30</v>
      </c>
      <c r="H248" s="26">
        <f>ROUND(RAND()*4+6,1)</f>
      </c>
      <c r="I248" s="17" t="s">
        <v>31</v>
      </c>
      <c r="J248" s="19">
        <f>ROUND(97*1,0)&amp;"%"</f>
      </c>
    </row>
    <row x14ac:dyDescent="0.25" r="249" customHeight="1" ht="17.25">
      <c r="A249" s="20" t="s">
        <v>2122</v>
      </c>
      <c r="B249" s="20" t="s">
        <v>410</v>
      </c>
      <c r="C249" s="20" t="s">
        <v>152</v>
      </c>
      <c r="D249" s="20" t="s">
        <v>34</v>
      </c>
      <c r="E249" s="21">
        <f>ROUND(10368*1.05,2)</f>
      </c>
      <c r="F249" s="20" t="s">
        <v>35</v>
      </c>
      <c r="G249" s="20" t="s">
        <v>18</v>
      </c>
      <c r="H249" s="21">
        <f>ROUND(RAND()*4+6,1)</f>
      </c>
      <c r="I249" s="20" t="s">
        <v>36</v>
      </c>
      <c r="J249" s="23">
        <f>ROUND(73*1,0)&amp;"%"</f>
      </c>
    </row>
    <row x14ac:dyDescent="0.25" r="250" customHeight="1" ht="17.25">
      <c r="A250" s="17" t="s">
        <v>2123</v>
      </c>
      <c r="B250" s="17" t="s">
        <v>412</v>
      </c>
      <c r="C250" s="17" t="s">
        <v>152</v>
      </c>
      <c r="D250" s="17" t="s">
        <v>39</v>
      </c>
      <c r="E250" s="18">
        <f>ROUND(5275*1.05,2)</f>
      </c>
      <c r="F250" s="17" t="s">
        <v>40</v>
      </c>
      <c r="G250" s="17" t="s">
        <v>24</v>
      </c>
      <c r="H250" s="18">
        <f>ROUND(RAND()*4+6,1)</f>
      </c>
      <c r="I250" s="17" t="s">
        <v>41</v>
      </c>
      <c r="J250" s="19">
        <f>ROUND(88*1,0)&amp;"%"</f>
      </c>
    </row>
    <row x14ac:dyDescent="0.25" r="251" customHeight="1" ht="17.25">
      <c r="A251" s="20" t="s">
        <v>2124</v>
      </c>
      <c r="B251" s="20" t="s">
        <v>414</v>
      </c>
      <c r="C251" s="20" t="s">
        <v>152</v>
      </c>
      <c r="D251" s="20" t="s">
        <v>67</v>
      </c>
      <c r="E251" s="21">
        <f>ROUND(7350*1.05,2)</f>
      </c>
      <c r="F251" s="20" t="s">
        <v>44</v>
      </c>
      <c r="G251" s="20" t="s">
        <v>30</v>
      </c>
      <c r="H251" s="21">
        <f>ROUND(RAND()*4+6,1)</f>
      </c>
      <c r="I251" s="20" t="s">
        <v>45</v>
      </c>
      <c r="J251" s="23">
        <f>ROUND(100*1,0)&amp;"%"</f>
      </c>
    </row>
    <row x14ac:dyDescent="0.25" r="252" customHeight="1" ht="17.25">
      <c r="A252" s="17" t="s">
        <v>2125</v>
      </c>
      <c r="B252" s="17" t="s">
        <v>416</v>
      </c>
      <c r="C252" s="17" t="s">
        <v>152</v>
      </c>
      <c r="D252" s="17" t="s">
        <v>16</v>
      </c>
      <c r="E252" s="18">
        <f>ROUND(12314*1.05,2)</f>
      </c>
      <c r="F252" s="17" t="s">
        <v>48</v>
      </c>
      <c r="G252" s="17" t="s">
        <v>18</v>
      </c>
      <c r="H252" s="18">
        <f>ROUND(RAND()*4+6,1)</f>
      </c>
      <c r="I252" s="17" t="s">
        <v>19</v>
      </c>
      <c r="J252" s="19">
        <f>ROUND(91*1,0)&amp;"%"</f>
      </c>
    </row>
    <row x14ac:dyDescent="0.25" r="253" customHeight="1" ht="17.25">
      <c r="A253" s="20" t="s">
        <v>2126</v>
      </c>
      <c r="B253" s="20" t="s">
        <v>418</v>
      </c>
      <c r="C253" s="20" t="s">
        <v>152</v>
      </c>
      <c r="D253" s="20" t="s">
        <v>22</v>
      </c>
      <c r="E253" s="21">
        <f>ROUND(11709*1.05,2)</f>
      </c>
      <c r="F253" s="20" t="s">
        <v>51</v>
      </c>
      <c r="G253" s="20" t="s">
        <v>24</v>
      </c>
      <c r="H253" s="21">
        <f>ROUND(RAND()*4+6,1)</f>
      </c>
      <c r="I253" s="20" t="s">
        <v>25</v>
      </c>
      <c r="J253" s="23">
        <f>ROUND(69*1,0)&amp;"%"</f>
      </c>
    </row>
    <row x14ac:dyDescent="0.25" r="254" customHeight="1" ht="17.25">
      <c r="A254" s="24" t="s">
        <v>419</v>
      </c>
      <c r="B254" s="24"/>
      <c r="C254" s="24"/>
      <c r="D254" s="24"/>
      <c r="E254" s="25">
        <v>8</v>
      </c>
      <c r="F254" s="9"/>
      <c r="G254" s="9"/>
      <c r="H254" s="10"/>
      <c r="I254" s="9"/>
      <c r="J254" s="9"/>
    </row>
    <row x14ac:dyDescent="0.25" r="255" customHeight="1" ht="17.25">
      <c r="A255" s="7"/>
      <c r="B255" s="7"/>
      <c r="C255" s="7"/>
      <c r="D255" s="7"/>
      <c r="E255" s="8"/>
      <c r="F255" s="9"/>
      <c r="G255" s="9"/>
      <c r="H255" s="10"/>
      <c r="I255" s="9"/>
      <c r="J255" s="9"/>
    </row>
    <row x14ac:dyDescent="0.25" r="256" customHeight="1" ht="17.25">
      <c r="A256" s="11" t="s">
        <v>2127</v>
      </c>
      <c r="B256" s="11"/>
      <c r="C256" s="11"/>
      <c r="D256" s="11"/>
      <c r="E256" s="12"/>
      <c r="F256" s="11"/>
      <c r="G256" s="11"/>
      <c r="H256" s="13"/>
      <c r="I256" s="11"/>
      <c r="J256" s="11"/>
    </row>
    <row x14ac:dyDescent="0.25" r="257" customHeight="1" ht="17.25">
      <c r="A257" s="14" t="s">
        <v>3</v>
      </c>
      <c r="B257" s="14" t="s">
        <v>4</v>
      </c>
      <c r="C257" s="14" t="s">
        <v>5</v>
      </c>
      <c r="D257" s="14" t="s">
        <v>6</v>
      </c>
      <c r="E257" s="15" t="s">
        <v>7</v>
      </c>
      <c r="F257" s="14" t="s">
        <v>8</v>
      </c>
      <c r="G257" s="14" t="s">
        <v>9</v>
      </c>
      <c r="H257" s="16" t="s">
        <v>10</v>
      </c>
      <c r="I257" s="14" t="s">
        <v>11</v>
      </c>
      <c r="J257" s="14" t="s">
        <v>12</v>
      </c>
    </row>
    <row x14ac:dyDescent="0.25" r="258" customHeight="1" ht="17.25">
      <c r="A258" s="17" t="s">
        <v>2128</v>
      </c>
      <c r="B258" s="17" t="s">
        <v>422</v>
      </c>
      <c r="C258" s="17" t="s">
        <v>15</v>
      </c>
      <c r="D258" s="17" t="s">
        <v>16</v>
      </c>
      <c r="E258" s="18">
        <f>ROUND(15261*1.05,2)</f>
      </c>
      <c r="F258" s="17" t="s">
        <v>17</v>
      </c>
      <c r="G258" s="17" t="s">
        <v>18</v>
      </c>
      <c r="H258" s="18">
        <f>ROUND(RAND()*4+6,1)</f>
      </c>
      <c r="I258" s="17" t="s">
        <v>19</v>
      </c>
      <c r="J258" s="19">
        <f>ROUND(77*1,0)&amp;"%"</f>
      </c>
    </row>
    <row x14ac:dyDescent="0.25" r="259" customHeight="1" ht="17.25">
      <c r="A259" s="20" t="s">
        <v>2129</v>
      </c>
      <c r="B259" s="20" t="s">
        <v>424</v>
      </c>
      <c r="C259" s="20" t="s">
        <v>15</v>
      </c>
      <c r="D259" s="20" t="s">
        <v>22</v>
      </c>
      <c r="E259" s="21">
        <f>ROUND(15024*1.05,2)</f>
      </c>
      <c r="F259" s="20" t="s">
        <v>23</v>
      </c>
      <c r="G259" s="20" t="s">
        <v>24</v>
      </c>
      <c r="H259" s="21">
        <f>ROUND(RAND()*4+6,1)</f>
      </c>
      <c r="I259" s="20" t="s">
        <v>25</v>
      </c>
      <c r="J259" s="23">
        <f>ROUND(99*1,0)&amp;"%"</f>
      </c>
    </row>
    <row x14ac:dyDescent="0.25" r="260" customHeight="1" ht="17.25">
      <c r="A260" s="17" t="s">
        <v>2130</v>
      </c>
      <c r="B260" s="17" t="s">
        <v>426</v>
      </c>
      <c r="C260" s="17" t="s">
        <v>15</v>
      </c>
      <c r="D260" s="17" t="s">
        <v>28</v>
      </c>
      <c r="E260" s="18">
        <f>ROUND(7079*1.05,2)</f>
      </c>
      <c r="F260" s="17" t="s">
        <v>29</v>
      </c>
      <c r="G260" s="17" t="s">
        <v>30</v>
      </c>
      <c r="H260" s="18">
        <f>ROUND(RAND()*4+6,1)</f>
      </c>
      <c r="I260" s="17" t="s">
        <v>31</v>
      </c>
      <c r="J260" s="19">
        <f>ROUND(61*1,0)&amp;"%"</f>
      </c>
    </row>
    <row x14ac:dyDescent="0.25" r="261" customHeight="1" ht="17.25">
      <c r="A261" s="20" t="s">
        <v>2131</v>
      </c>
      <c r="B261" s="20" t="s">
        <v>428</v>
      </c>
      <c r="C261" s="20" t="s">
        <v>15</v>
      </c>
      <c r="D261" s="20" t="s">
        <v>34</v>
      </c>
      <c r="E261" s="21">
        <f>ROUND(5850*1.05,2)</f>
      </c>
      <c r="F261" s="20" t="s">
        <v>35</v>
      </c>
      <c r="G261" s="20" t="s">
        <v>18</v>
      </c>
      <c r="H261" s="21">
        <f>ROUND(RAND()*4+6,1)</f>
      </c>
      <c r="I261" s="20" t="s">
        <v>36</v>
      </c>
      <c r="J261" s="23">
        <f>ROUND(71*1,0)&amp;"%"</f>
      </c>
    </row>
    <row x14ac:dyDescent="0.25" r="262" customHeight="1" ht="17.25">
      <c r="A262" s="17" t="s">
        <v>2132</v>
      </c>
      <c r="B262" s="17" t="s">
        <v>430</v>
      </c>
      <c r="C262" s="17" t="s">
        <v>15</v>
      </c>
      <c r="D262" s="17" t="s">
        <v>39</v>
      </c>
      <c r="E262" s="18">
        <f>ROUND(4202*1.05,2)</f>
      </c>
      <c r="F262" s="17" t="s">
        <v>40</v>
      </c>
      <c r="G262" s="17" t="s">
        <v>24</v>
      </c>
      <c r="H262" s="18">
        <f>ROUND(RAND()*4+6,1)</f>
      </c>
      <c r="I262" s="17" t="s">
        <v>41</v>
      </c>
      <c r="J262" s="19">
        <f>ROUND(75*1,0)&amp;"%"</f>
      </c>
    </row>
    <row x14ac:dyDescent="0.25" r="263" customHeight="1" ht="17.25">
      <c r="A263" s="20" t="s">
        <v>2133</v>
      </c>
      <c r="B263" s="20" t="s">
        <v>432</v>
      </c>
      <c r="C263" s="20" t="s">
        <v>15</v>
      </c>
      <c r="D263" s="20" t="s">
        <v>67</v>
      </c>
      <c r="E263" s="21">
        <f>ROUND(11192*1.05,2)</f>
      </c>
      <c r="F263" s="20" t="s">
        <v>44</v>
      </c>
      <c r="G263" s="20" t="s">
        <v>30</v>
      </c>
      <c r="H263" s="21">
        <f>ROUND(RAND()*4+6,1)</f>
      </c>
      <c r="I263" s="20" t="s">
        <v>45</v>
      </c>
      <c r="J263" s="23">
        <f>ROUND(94*1,0)&amp;"%"</f>
      </c>
    </row>
    <row x14ac:dyDescent="0.25" r="264" customHeight="1" ht="17.25">
      <c r="A264" s="17" t="s">
        <v>2134</v>
      </c>
      <c r="B264" s="17" t="s">
        <v>434</v>
      </c>
      <c r="C264" s="17" t="s">
        <v>15</v>
      </c>
      <c r="D264" s="17" t="s">
        <v>16</v>
      </c>
      <c r="E264" s="18">
        <f>ROUND(10415*1.05,2)</f>
      </c>
      <c r="F264" s="17" t="s">
        <v>48</v>
      </c>
      <c r="G264" s="17" t="s">
        <v>18</v>
      </c>
      <c r="H264" s="26">
        <f>ROUND(RAND()*4+6,1)</f>
      </c>
      <c r="I264" s="17" t="s">
        <v>19</v>
      </c>
      <c r="J264" s="19">
        <f>ROUND(92*1,0)&amp;"%"</f>
      </c>
    </row>
    <row x14ac:dyDescent="0.25" r="265" customHeight="1" ht="17.25">
      <c r="A265" s="20" t="s">
        <v>2135</v>
      </c>
      <c r="B265" s="20" t="s">
        <v>436</v>
      </c>
      <c r="C265" s="20" t="s">
        <v>15</v>
      </c>
      <c r="D265" s="20" t="s">
        <v>22</v>
      </c>
      <c r="E265" s="21">
        <f>ROUND(12394*1.05,2)</f>
      </c>
      <c r="F265" s="20" t="s">
        <v>51</v>
      </c>
      <c r="G265" s="20" t="s">
        <v>24</v>
      </c>
      <c r="H265" s="21">
        <f>ROUND(RAND()*4+6,1)</f>
      </c>
      <c r="I265" s="20" t="s">
        <v>25</v>
      </c>
      <c r="J265" s="23">
        <f>ROUND(100*1,0)&amp;"%"</f>
      </c>
    </row>
    <row x14ac:dyDescent="0.25" r="266" customHeight="1" ht="17.25">
      <c r="A266" s="24" t="s">
        <v>437</v>
      </c>
      <c r="B266" s="24"/>
      <c r="C266" s="24"/>
      <c r="D266" s="24"/>
      <c r="E266" s="25">
        <v>8</v>
      </c>
      <c r="F266" s="9"/>
      <c r="G266" s="9"/>
      <c r="H266" s="10"/>
      <c r="I266" s="9"/>
      <c r="J266" s="9"/>
    </row>
    <row x14ac:dyDescent="0.25" r="267" customHeight="1" ht="17.25">
      <c r="A267" s="7"/>
      <c r="B267" s="7"/>
      <c r="C267" s="7"/>
      <c r="D267" s="7"/>
      <c r="E267" s="8"/>
      <c r="F267" s="9"/>
      <c r="G267" s="9"/>
      <c r="H267" s="10"/>
      <c r="I267" s="9"/>
      <c r="J267" s="9"/>
    </row>
    <row x14ac:dyDescent="0.25" r="268" customHeight="1" ht="17.25">
      <c r="A268" s="11" t="s">
        <v>2136</v>
      </c>
      <c r="B268" s="11"/>
      <c r="C268" s="11"/>
      <c r="D268" s="11"/>
      <c r="E268" s="12"/>
      <c r="F268" s="11"/>
      <c r="G268" s="11"/>
      <c r="H268" s="13"/>
      <c r="I268" s="11"/>
      <c r="J268" s="11"/>
    </row>
    <row x14ac:dyDescent="0.25" r="269" customHeight="1" ht="17.25">
      <c r="A269" s="14" t="s">
        <v>3</v>
      </c>
      <c r="B269" s="14" t="s">
        <v>4</v>
      </c>
      <c r="C269" s="14" t="s">
        <v>5</v>
      </c>
      <c r="D269" s="14" t="s">
        <v>6</v>
      </c>
      <c r="E269" s="15" t="s">
        <v>7</v>
      </c>
      <c r="F269" s="14" t="s">
        <v>8</v>
      </c>
      <c r="G269" s="14" t="s">
        <v>9</v>
      </c>
      <c r="H269" s="16" t="s">
        <v>10</v>
      </c>
      <c r="I269" s="14" t="s">
        <v>11</v>
      </c>
      <c r="J269" s="14" t="s">
        <v>12</v>
      </c>
    </row>
    <row x14ac:dyDescent="0.25" r="270" customHeight="1" ht="17.25">
      <c r="A270" s="17" t="s">
        <v>2137</v>
      </c>
      <c r="B270" s="17" t="s">
        <v>440</v>
      </c>
      <c r="C270" s="17" t="s">
        <v>56</v>
      </c>
      <c r="D270" s="17" t="s">
        <v>16</v>
      </c>
      <c r="E270" s="18">
        <f>ROUND(4946*1.05,2)</f>
      </c>
      <c r="F270" s="17" t="s">
        <v>17</v>
      </c>
      <c r="G270" s="17" t="s">
        <v>18</v>
      </c>
      <c r="H270" s="18">
        <f>ROUND(RAND()*4+6,1)</f>
      </c>
      <c r="I270" s="17" t="s">
        <v>19</v>
      </c>
      <c r="J270" s="19">
        <f>ROUND(74*1,0)&amp;"%"</f>
      </c>
    </row>
    <row x14ac:dyDescent="0.25" r="271" customHeight="1" ht="17.25">
      <c r="A271" s="20" t="s">
        <v>2138</v>
      </c>
      <c r="B271" s="20" t="s">
        <v>442</v>
      </c>
      <c r="C271" s="20" t="s">
        <v>56</v>
      </c>
      <c r="D271" s="20" t="s">
        <v>22</v>
      </c>
      <c r="E271" s="21">
        <f>ROUND(17926*1.05,2)</f>
      </c>
      <c r="F271" s="20" t="s">
        <v>23</v>
      </c>
      <c r="G271" s="20" t="s">
        <v>24</v>
      </c>
      <c r="H271" s="21">
        <f>ROUND(RAND()*4+6,1)</f>
      </c>
      <c r="I271" s="20" t="s">
        <v>25</v>
      </c>
      <c r="J271" s="23">
        <f>ROUND(77*1,0)&amp;"%"</f>
      </c>
    </row>
    <row x14ac:dyDescent="0.25" r="272" customHeight="1" ht="17.25">
      <c r="A272" s="17" t="s">
        <v>2139</v>
      </c>
      <c r="B272" s="17" t="s">
        <v>444</v>
      </c>
      <c r="C272" s="17" t="s">
        <v>56</v>
      </c>
      <c r="D272" s="17" t="s">
        <v>28</v>
      </c>
      <c r="E272" s="18">
        <f>ROUND(16736*1.05,2)</f>
      </c>
      <c r="F272" s="17" t="s">
        <v>29</v>
      </c>
      <c r="G272" s="17" t="s">
        <v>30</v>
      </c>
      <c r="H272" s="26">
        <f>ROUND(RAND()*4+6,1)</f>
      </c>
      <c r="I272" s="17" t="s">
        <v>31</v>
      </c>
      <c r="J272" s="19">
        <f>ROUND(66*1,0)&amp;"%"</f>
      </c>
    </row>
    <row x14ac:dyDescent="0.25" r="273" customHeight="1" ht="17.25">
      <c r="A273" s="20" t="s">
        <v>2140</v>
      </c>
      <c r="B273" s="20" t="s">
        <v>446</v>
      </c>
      <c r="C273" s="20" t="s">
        <v>56</v>
      </c>
      <c r="D273" s="20" t="s">
        <v>34</v>
      </c>
      <c r="E273" s="21">
        <f>ROUND(14969*1.05,2)</f>
      </c>
      <c r="F273" s="20" t="s">
        <v>35</v>
      </c>
      <c r="G273" s="20" t="s">
        <v>18</v>
      </c>
      <c r="H273" s="21">
        <f>ROUND(RAND()*4+6,1)</f>
      </c>
      <c r="I273" s="20" t="s">
        <v>36</v>
      </c>
      <c r="J273" s="23">
        <f>ROUND(79*1,0)&amp;"%"</f>
      </c>
    </row>
    <row x14ac:dyDescent="0.25" r="274" customHeight="1" ht="17.25">
      <c r="A274" s="17" t="s">
        <v>2141</v>
      </c>
      <c r="B274" s="17" t="s">
        <v>448</v>
      </c>
      <c r="C274" s="17" t="s">
        <v>56</v>
      </c>
      <c r="D274" s="17" t="s">
        <v>39</v>
      </c>
      <c r="E274" s="18">
        <f>ROUND(7570*1.05,2)</f>
      </c>
      <c r="F274" s="17" t="s">
        <v>40</v>
      </c>
      <c r="G274" s="17" t="s">
        <v>24</v>
      </c>
      <c r="H274" s="26">
        <f>ROUND(RAND()*4+6,1)</f>
      </c>
      <c r="I274" s="17" t="s">
        <v>41</v>
      </c>
      <c r="J274" s="19">
        <f>ROUND(61*1,0)&amp;"%"</f>
      </c>
    </row>
    <row x14ac:dyDescent="0.25" r="275" customHeight="1" ht="17.25">
      <c r="A275" s="20" t="s">
        <v>2142</v>
      </c>
      <c r="B275" s="20" t="s">
        <v>450</v>
      </c>
      <c r="C275" s="20" t="s">
        <v>56</v>
      </c>
      <c r="D275" s="20" t="s">
        <v>67</v>
      </c>
      <c r="E275" s="21">
        <f>ROUND(8370*1.05,2)</f>
      </c>
      <c r="F275" s="20" t="s">
        <v>44</v>
      </c>
      <c r="G275" s="20" t="s">
        <v>30</v>
      </c>
      <c r="H275" s="21">
        <f>ROUND(RAND()*4+6,1)</f>
      </c>
      <c r="I275" s="20" t="s">
        <v>45</v>
      </c>
      <c r="J275" s="23">
        <f>ROUND(68*1,0)&amp;"%"</f>
      </c>
    </row>
    <row x14ac:dyDescent="0.25" r="276" customHeight="1" ht="17.25">
      <c r="A276" s="17" t="s">
        <v>2143</v>
      </c>
      <c r="B276" s="17" t="s">
        <v>452</v>
      </c>
      <c r="C276" s="17" t="s">
        <v>56</v>
      </c>
      <c r="D276" s="17" t="s">
        <v>16</v>
      </c>
      <c r="E276" s="18">
        <f>ROUND(16026*1.05,2)</f>
      </c>
      <c r="F276" s="17" t="s">
        <v>48</v>
      </c>
      <c r="G276" s="17" t="s">
        <v>18</v>
      </c>
      <c r="H276" s="18">
        <f>ROUND(RAND()*4+6,1)</f>
      </c>
      <c r="I276" s="17" t="s">
        <v>19</v>
      </c>
      <c r="J276" s="19">
        <f>ROUND(83*1,0)&amp;"%"</f>
      </c>
    </row>
    <row x14ac:dyDescent="0.25" r="277" customHeight="1" ht="17.25">
      <c r="A277" s="20" t="s">
        <v>2144</v>
      </c>
      <c r="B277" s="20" t="s">
        <v>454</v>
      </c>
      <c r="C277" s="20" t="s">
        <v>56</v>
      </c>
      <c r="D277" s="20" t="s">
        <v>22</v>
      </c>
      <c r="E277" s="21">
        <f>ROUND(15703*1.05,2)</f>
      </c>
      <c r="F277" s="20" t="s">
        <v>51</v>
      </c>
      <c r="G277" s="20" t="s">
        <v>24</v>
      </c>
      <c r="H277" s="21">
        <f>ROUND(RAND()*4+6,1)</f>
      </c>
      <c r="I277" s="20" t="s">
        <v>25</v>
      </c>
      <c r="J277" s="23">
        <f>ROUND(91*1,0)&amp;"%"</f>
      </c>
    </row>
    <row x14ac:dyDescent="0.25" r="278" customHeight="1" ht="17.25">
      <c r="A278" s="24" t="s">
        <v>455</v>
      </c>
      <c r="B278" s="24"/>
      <c r="C278" s="24"/>
      <c r="D278" s="24"/>
      <c r="E278" s="25">
        <v>8</v>
      </c>
      <c r="F278" s="9"/>
      <c r="G278" s="9"/>
      <c r="H278" s="10"/>
      <c r="I278" s="9"/>
      <c r="J278" s="9"/>
    </row>
    <row x14ac:dyDescent="0.25" r="279" customHeight="1" ht="17.25">
      <c r="A279" s="7"/>
      <c r="B279" s="7"/>
      <c r="C279" s="7"/>
      <c r="D279" s="7"/>
      <c r="E279" s="8"/>
      <c r="F279" s="9"/>
      <c r="G279" s="9"/>
      <c r="H279" s="10"/>
      <c r="I279" s="9"/>
      <c r="J279" s="9"/>
    </row>
    <row x14ac:dyDescent="0.25" r="280" customHeight="1" ht="17.25">
      <c r="A280" s="11" t="s">
        <v>2145</v>
      </c>
      <c r="B280" s="11"/>
      <c r="C280" s="11"/>
      <c r="D280" s="11"/>
      <c r="E280" s="12"/>
      <c r="F280" s="11"/>
      <c r="G280" s="11"/>
      <c r="H280" s="13"/>
      <c r="I280" s="11"/>
      <c r="J280" s="11"/>
    </row>
    <row x14ac:dyDescent="0.25" r="281" customHeight="1" ht="17.25">
      <c r="A281" s="14" t="s">
        <v>3</v>
      </c>
      <c r="B281" s="14" t="s">
        <v>4</v>
      </c>
      <c r="C281" s="14" t="s">
        <v>5</v>
      </c>
      <c r="D281" s="14" t="s">
        <v>6</v>
      </c>
      <c r="E281" s="15" t="s">
        <v>7</v>
      </c>
      <c r="F281" s="14" t="s">
        <v>8</v>
      </c>
      <c r="G281" s="14" t="s">
        <v>9</v>
      </c>
      <c r="H281" s="16" t="s">
        <v>10</v>
      </c>
      <c r="I281" s="14" t="s">
        <v>11</v>
      </c>
      <c r="J281" s="14" t="s">
        <v>12</v>
      </c>
    </row>
    <row x14ac:dyDescent="0.25" r="282" customHeight="1" ht="17.25">
      <c r="A282" s="17" t="s">
        <v>2146</v>
      </c>
      <c r="B282" s="17" t="s">
        <v>458</v>
      </c>
      <c r="C282" s="17" t="s">
        <v>76</v>
      </c>
      <c r="D282" s="17" t="s">
        <v>16</v>
      </c>
      <c r="E282" s="18">
        <f>ROUND(14441*1.05,2)</f>
      </c>
      <c r="F282" s="17" t="s">
        <v>17</v>
      </c>
      <c r="G282" s="17" t="s">
        <v>18</v>
      </c>
      <c r="H282" s="18">
        <f>ROUND(RAND()*4+6,1)</f>
      </c>
      <c r="I282" s="17" t="s">
        <v>19</v>
      </c>
      <c r="J282" s="19">
        <f>ROUND(75*1,0)&amp;"%"</f>
      </c>
    </row>
    <row x14ac:dyDescent="0.25" r="283" customHeight="1" ht="17.25">
      <c r="A283" s="20" t="s">
        <v>2147</v>
      </c>
      <c r="B283" s="20" t="s">
        <v>460</v>
      </c>
      <c r="C283" s="20" t="s">
        <v>76</v>
      </c>
      <c r="D283" s="20" t="s">
        <v>22</v>
      </c>
      <c r="E283" s="21">
        <f>ROUND(7456*1.05,2)</f>
      </c>
      <c r="F283" s="20" t="s">
        <v>23</v>
      </c>
      <c r="G283" s="20" t="s">
        <v>24</v>
      </c>
      <c r="H283" s="21">
        <f>ROUND(RAND()*4+6,1)</f>
      </c>
      <c r="I283" s="20" t="s">
        <v>25</v>
      </c>
      <c r="J283" s="23">
        <f>ROUND(87*1,0)&amp;"%"</f>
      </c>
    </row>
    <row x14ac:dyDescent="0.25" r="284" customHeight="1" ht="17.25">
      <c r="A284" s="17" t="s">
        <v>2148</v>
      </c>
      <c r="B284" s="17" t="s">
        <v>462</v>
      </c>
      <c r="C284" s="17" t="s">
        <v>76</v>
      </c>
      <c r="D284" s="17" t="s">
        <v>28</v>
      </c>
      <c r="E284" s="18">
        <f>ROUND(12472*1.05,2)</f>
      </c>
      <c r="F284" s="17" t="s">
        <v>29</v>
      </c>
      <c r="G284" s="17" t="s">
        <v>30</v>
      </c>
      <c r="H284" s="18">
        <f>ROUND(RAND()*4+6,1)</f>
      </c>
      <c r="I284" s="17" t="s">
        <v>31</v>
      </c>
      <c r="J284" s="19">
        <f>ROUND(91*1,0)&amp;"%"</f>
      </c>
    </row>
    <row x14ac:dyDescent="0.25" r="285" customHeight="1" ht="17.25">
      <c r="A285" s="20" t="s">
        <v>2149</v>
      </c>
      <c r="B285" s="20" t="s">
        <v>464</v>
      </c>
      <c r="C285" s="20" t="s">
        <v>76</v>
      </c>
      <c r="D285" s="20" t="s">
        <v>34</v>
      </c>
      <c r="E285" s="22">
        <f>ROUND(4120*1.05,2)</f>
      </c>
      <c r="F285" s="20" t="s">
        <v>35</v>
      </c>
      <c r="G285" s="20" t="s">
        <v>18</v>
      </c>
      <c r="H285" s="21">
        <f>ROUND(RAND()*4+6,1)</f>
      </c>
      <c r="I285" s="20" t="s">
        <v>36</v>
      </c>
      <c r="J285" s="23">
        <f>ROUND(84*1,0)&amp;"%"</f>
      </c>
    </row>
    <row x14ac:dyDescent="0.25" r="286" customHeight="1" ht="17.25">
      <c r="A286" s="17" t="s">
        <v>2150</v>
      </c>
      <c r="B286" s="17" t="s">
        <v>466</v>
      </c>
      <c r="C286" s="17" t="s">
        <v>76</v>
      </c>
      <c r="D286" s="17" t="s">
        <v>39</v>
      </c>
      <c r="E286" s="18">
        <f>ROUND(12149*1.05,2)</f>
      </c>
      <c r="F286" s="17" t="s">
        <v>40</v>
      </c>
      <c r="G286" s="17" t="s">
        <v>24</v>
      </c>
      <c r="H286" s="18">
        <f>ROUND(RAND()*4+6,1)</f>
      </c>
      <c r="I286" s="17" t="s">
        <v>41</v>
      </c>
      <c r="J286" s="19">
        <f>ROUND(88*1,0)&amp;"%"</f>
      </c>
    </row>
    <row x14ac:dyDescent="0.25" r="287" customHeight="1" ht="17.25">
      <c r="A287" s="20" t="s">
        <v>2151</v>
      </c>
      <c r="B287" s="20" t="s">
        <v>468</v>
      </c>
      <c r="C287" s="20" t="s">
        <v>76</v>
      </c>
      <c r="D287" s="20" t="s">
        <v>67</v>
      </c>
      <c r="E287" s="21">
        <f>ROUND(11636*1.05,2)</f>
      </c>
      <c r="F287" s="20" t="s">
        <v>44</v>
      </c>
      <c r="G287" s="20" t="s">
        <v>30</v>
      </c>
      <c r="H287" s="21">
        <f>ROUND(RAND()*4+6,1)</f>
      </c>
      <c r="I287" s="20" t="s">
        <v>45</v>
      </c>
      <c r="J287" s="23">
        <f>ROUND(89*1,0)&amp;"%"</f>
      </c>
    </row>
    <row x14ac:dyDescent="0.25" r="288" customHeight="1" ht="17.25">
      <c r="A288" s="17" t="s">
        <v>2152</v>
      </c>
      <c r="B288" s="17" t="s">
        <v>470</v>
      </c>
      <c r="C288" s="17" t="s">
        <v>76</v>
      </c>
      <c r="D288" s="17" t="s">
        <v>16</v>
      </c>
      <c r="E288" s="18">
        <f>ROUND(9722*1.05,2)</f>
      </c>
      <c r="F288" s="17" t="s">
        <v>48</v>
      </c>
      <c r="G288" s="17" t="s">
        <v>18</v>
      </c>
      <c r="H288" s="18">
        <f>ROUND(RAND()*4+6,1)</f>
      </c>
      <c r="I288" s="17" t="s">
        <v>19</v>
      </c>
      <c r="J288" s="19">
        <f>ROUND(67*1,0)&amp;"%"</f>
      </c>
    </row>
    <row x14ac:dyDescent="0.25" r="289" customHeight="1" ht="17.25">
      <c r="A289" s="20" t="s">
        <v>2153</v>
      </c>
      <c r="B289" s="20" t="s">
        <v>472</v>
      </c>
      <c r="C289" s="20" t="s">
        <v>76</v>
      </c>
      <c r="D289" s="20" t="s">
        <v>22</v>
      </c>
      <c r="E289" s="21">
        <f>ROUND(4996*1.05,2)</f>
      </c>
      <c r="F289" s="20" t="s">
        <v>51</v>
      </c>
      <c r="G289" s="20" t="s">
        <v>24</v>
      </c>
      <c r="H289" s="21">
        <f>ROUND(RAND()*4+6,1)</f>
      </c>
      <c r="I289" s="20" t="s">
        <v>25</v>
      </c>
      <c r="J289" s="23">
        <f>ROUND(81*1,0)&amp;"%"</f>
      </c>
    </row>
    <row x14ac:dyDescent="0.25" r="290" customHeight="1" ht="17.25">
      <c r="A290" s="24" t="s">
        <v>473</v>
      </c>
      <c r="B290" s="24"/>
      <c r="C290" s="24"/>
      <c r="D290" s="24"/>
      <c r="E290" s="25">
        <v>8</v>
      </c>
      <c r="F290" s="9"/>
      <c r="G290" s="9"/>
      <c r="H290" s="10"/>
      <c r="I290" s="9"/>
      <c r="J290" s="9"/>
    </row>
    <row x14ac:dyDescent="0.25" r="291" customHeight="1" ht="17.25">
      <c r="A291" s="7"/>
      <c r="B291" s="7"/>
      <c r="C291" s="7"/>
      <c r="D291" s="7"/>
      <c r="E291" s="8"/>
      <c r="F291" s="9"/>
      <c r="G291" s="9"/>
      <c r="H291" s="10"/>
      <c r="I291" s="9"/>
      <c r="J291" s="9"/>
    </row>
    <row x14ac:dyDescent="0.25" r="292" customHeight="1" ht="17.25">
      <c r="A292" s="11" t="s">
        <v>2154</v>
      </c>
      <c r="B292" s="11"/>
      <c r="C292" s="11"/>
      <c r="D292" s="11"/>
      <c r="E292" s="12"/>
      <c r="F292" s="11"/>
      <c r="G292" s="11"/>
      <c r="H292" s="13"/>
      <c r="I292" s="11"/>
      <c r="J292" s="11"/>
    </row>
    <row x14ac:dyDescent="0.25" r="293" customHeight="1" ht="17.25">
      <c r="A293" s="14" t="s">
        <v>3</v>
      </c>
      <c r="B293" s="14" t="s">
        <v>4</v>
      </c>
      <c r="C293" s="14" t="s">
        <v>5</v>
      </c>
      <c r="D293" s="14" t="s">
        <v>6</v>
      </c>
      <c r="E293" s="15" t="s">
        <v>7</v>
      </c>
      <c r="F293" s="14" t="s">
        <v>8</v>
      </c>
      <c r="G293" s="14" t="s">
        <v>9</v>
      </c>
      <c r="H293" s="16" t="s">
        <v>10</v>
      </c>
      <c r="I293" s="14" t="s">
        <v>11</v>
      </c>
      <c r="J293" s="14" t="s">
        <v>12</v>
      </c>
    </row>
    <row x14ac:dyDescent="0.25" r="294" customHeight="1" ht="17.25">
      <c r="A294" s="17" t="s">
        <v>2155</v>
      </c>
      <c r="B294" s="17" t="s">
        <v>476</v>
      </c>
      <c r="C294" s="17" t="s">
        <v>95</v>
      </c>
      <c r="D294" s="17" t="s">
        <v>16</v>
      </c>
      <c r="E294" s="18">
        <f>ROUND(14115*1.05,2)</f>
      </c>
      <c r="F294" s="17" t="s">
        <v>17</v>
      </c>
      <c r="G294" s="17" t="s">
        <v>18</v>
      </c>
      <c r="H294" s="18">
        <f>ROUND(RAND()*4+6,1)</f>
      </c>
      <c r="I294" s="17" t="s">
        <v>19</v>
      </c>
      <c r="J294" s="19">
        <f>ROUND(99*1,0)&amp;"%"</f>
      </c>
    </row>
    <row x14ac:dyDescent="0.25" r="295" customHeight="1" ht="17.25">
      <c r="A295" s="20" t="s">
        <v>2156</v>
      </c>
      <c r="B295" s="20" t="s">
        <v>478</v>
      </c>
      <c r="C295" s="20" t="s">
        <v>95</v>
      </c>
      <c r="D295" s="20" t="s">
        <v>22</v>
      </c>
      <c r="E295" s="21">
        <f>ROUND(10272*1.05,2)</f>
      </c>
      <c r="F295" s="20" t="s">
        <v>23</v>
      </c>
      <c r="G295" s="20" t="s">
        <v>24</v>
      </c>
      <c r="H295" s="22">
        <f>ROUND(RAND()*4+6,1)</f>
      </c>
      <c r="I295" s="20" t="s">
        <v>25</v>
      </c>
      <c r="J295" s="23">
        <f>ROUND(96*1,0)&amp;"%"</f>
      </c>
    </row>
    <row x14ac:dyDescent="0.25" r="296" customHeight="1" ht="17.25">
      <c r="A296" s="17" t="s">
        <v>2157</v>
      </c>
      <c r="B296" s="17" t="s">
        <v>480</v>
      </c>
      <c r="C296" s="17" t="s">
        <v>95</v>
      </c>
      <c r="D296" s="17" t="s">
        <v>28</v>
      </c>
      <c r="E296" s="26">
        <f>ROUND(4900*1.05,2)</f>
      </c>
      <c r="F296" s="17" t="s">
        <v>29</v>
      </c>
      <c r="G296" s="17" t="s">
        <v>30</v>
      </c>
      <c r="H296" s="18">
        <f>ROUND(RAND()*4+6,1)</f>
      </c>
      <c r="I296" s="17" t="s">
        <v>31</v>
      </c>
      <c r="J296" s="19">
        <f>ROUND(83*1,0)&amp;"%"</f>
      </c>
    </row>
    <row x14ac:dyDescent="0.25" r="297" customHeight="1" ht="17.25">
      <c r="A297" s="20" t="s">
        <v>2158</v>
      </c>
      <c r="B297" s="20" t="s">
        <v>482</v>
      </c>
      <c r="C297" s="20" t="s">
        <v>95</v>
      </c>
      <c r="D297" s="20" t="s">
        <v>34</v>
      </c>
      <c r="E297" s="21">
        <f>ROUND(8409*1.05,2)</f>
      </c>
      <c r="F297" s="20" t="s">
        <v>35</v>
      </c>
      <c r="G297" s="20" t="s">
        <v>18</v>
      </c>
      <c r="H297" s="21">
        <f>ROUND(RAND()*4+6,1)</f>
      </c>
      <c r="I297" s="20" t="s">
        <v>36</v>
      </c>
      <c r="J297" s="23">
        <f>ROUND(67*1,0)&amp;"%"</f>
      </c>
    </row>
    <row x14ac:dyDescent="0.25" r="298" customHeight="1" ht="17.25">
      <c r="A298" s="17" t="s">
        <v>2159</v>
      </c>
      <c r="B298" s="17" t="s">
        <v>484</v>
      </c>
      <c r="C298" s="17" t="s">
        <v>95</v>
      </c>
      <c r="D298" s="17" t="s">
        <v>39</v>
      </c>
      <c r="E298" s="18">
        <f>ROUND(14182*1.05,2)</f>
      </c>
      <c r="F298" s="17" t="s">
        <v>40</v>
      </c>
      <c r="G298" s="17" t="s">
        <v>24</v>
      </c>
      <c r="H298" s="18">
        <f>ROUND(RAND()*4+6,1)</f>
      </c>
      <c r="I298" s="17" t="s">
        <v>41</v>
      </c>
      <c r="J298" s="19">
        <f>ROUND(93*1,0)&amp;"%"</f>
      </c>
    </row>
    <row x14ac:dyDescent="0.25" r="299" customHeight="1" ht="17.25">
      <c r="A299" s="20" t="s">
        <v>2160</v>
      </c>
      <c r="B299" s="20" t="s">
        <v>486</v>
      </c>
      <c r="C299" s="20" t="s">
        <v>95</v>
      </c>
      <c r="D299" s="20" t="s">
        <v>67</v>
      </c>
      <c r="E299" s="21">
        <f>ROUND(16093*1.05,2)</f>
      </c>
      <c r="F299" s="20" t="s">
        <v>44</v>
      </c>
      <c r="G299" s="20" t="s">
        <v>30</v>
      </c>
      <c r="H299" s="22">
        <f>ROUND(RAND()*4+6,1)</f>
      </c>
      <c r="I299" s="20" t="s">
        <v>45</v>
      </c>
      <c r="J299" s="23">
        <f>ROUND(98*1,0)&amp;"%"</f>
      </c>
    </row>
    <row x14ac:dyDescent="0.25" r="300" customHeight="1" ht="17.25">
      <c r="A300" s="17" t="s">
        <v>2161</v>
      </c>
      <c r="B300" s="17" t="s">
        <v>488</v>
      </c>
      <c r="C300" s="17" t="s">
        <v>95</v>
      </c>
      <c r="D300" s="17" t="s">
        <v>16</v>
      </c>
      <c r="E300" s="18">
        <f>ROUND(14623*1.05,2)</f>
      </c>
      <c r="F300" s="17" t="s">
        <v>48</v>
      </c>
      <c r="G300" s="17" t="s">
        <v>18</v>
      </c>
      <c r="H300" s="18">
        <f>ROUND(RAND()*4+6,1)</f>
      </c>
      <c r="I300" s="17" t="s">
        <v>19</v>
      </c>
      <c r="J300" s="19">
        <f>ROUND(78*1,0)&amp;"%"</f>
      </c>
    </row>
    <row x14ac:dyDescent="0.25" r="301" customHeight="1" ht="17.25">
      <c r="A301" s="20" t="s">
        <v>2162</v>
      </c>
      <c r="B301" s="20" t="s">
        <v>490</v>
      </c>
      <c r="C301" s="20" t="s">
        <v>95</v>
      </c>
      <c r="D301" s="20" t="s">
        <v>22</v>
      </c>
      <c r="E301" s="21">
        <f>ROUND(8279*1.05,2)</f>
      </c>
      <c r="F301" s="20" t="s">
        <v>51</v>
      </c>
      <c r="G301" s="20" t="s">
        <v>24</v>
      </c>
      <c r="H301" s="21">
        <f>ROUND(RAND()*4+6,1)</f>
      </c>
      <c r="I301" s="20" t="s">
        <v>25</v>
      </c>
      <c r="J301" s="23">
        <f>ROUND(93*1,0)&amp;"%"</f>
      </c>
    </row>
    <row x14ac:dyDescent="0.25" r="302" customHeight="1" ht="17.25">
      <c r="A302" s="24" t="s">
        <v>491</v>
      </c>
      <c r="B302" s="24"/>
      <c r="C302" s="24"/>
      <c r="D302" s="24"/>
      <c r="E302" s="25">
        <v>8</v>
      </c>
      <c r="F302" s="9"/>
      <c r="G302" s="9"/>
      <c r="H302" s="10"/>
      <c r="I302" s="9"/>
      <c r="J302" s="9"/>
    </row>
    <row x14ac:dyDescent="0.25" r="303" customHeight="1" ht="17.25">
      <c r="A303" s="7"/>
      <c r="B303" s="7"/>
      <c r="C303" s="7"/>
      <c r="D303" s="7"/>
      <c r="E303" s="8"/>
      <c r="F303" s="9"/>
      <c r="G303" s="9"/>
      <c r="H303" s="10"/>
      <c r="I303" s="9"/>
      <c r="J303" s="9"/>
    </row>
    <row x14ac:dyDescent="0.25" r="304" customHeight="1" ht="17.25">
      <c r="A304" s="11" t="s">
        <v>2163</v>
      </c>
      <c r="B304" s="11"/>
      <c r="C304" s="11"/>
      <c r="D304" s="11"/>
      <c r="E304" s="12"/>
      <c r="F304" s="11"/>
      <c r="G304" s="11"/>
      <c r="H304" s="13"/>
      <c r="I304" s="11"/>
      <c r="J304" s="11"/>
    </row>
    <row x14ac:dyDescent="0.25" r="305" customHeight="1" ht="17.25">
      <c r="A305" s="14" t="s">
        <v>3</v>
      </c>
      <c r="B305" s="14" t="s">
        <v>4</v>
      </c>
      <c r="C305" s="14" t="s">
        <v>5</v>
      </c>
      <c r="D305" s="14" t="s">
        <v>6</v>
      </c>
      <c r="E305" s="15" t="s">
        <v>7</v>
      </c>
      <c r="F305" s="14" t="s">
        <v>8</v>
      </c>
      <c r="G305" s="14" t="s">
        <v>9</v>
      </c>
      <c r="H305" s="16" t="s">
        <v>10</v>
      </c>
      <c r="I305" s="14" t="s">
        <v>11</v>
      </c>
      <c r="J305" s="14" t="s">
        <v>12</v>
      </c>
    </row>
    <row x14ac:dyDescent="0.25" r="306" customHeight="1" ht="17.25">
      <c r="A306" s="17" t="s">
        <v>2164</v>
      </c>
      <c r="B306" s="17" t="s">
        <v>494</v>
      </c>
      <c r="C306" s="17" t="s">
        <v>114</v>
      </c>
      <c r="D306" s="17" t="s">
        <v>16</v>
      </c>
      <c r="E306" s="18">
        <f>ROUND(5943*1.05,2)</f>
      </c>
      <c r="F306" s="17" t="s">
        <v>17</v>
      </c>
      <c r="G306" s="17" t="s">
        <v>18</v>
      </c>
      <c r="H306" s="26">
        <f>ROUND(RAND()*4+6,1)</f>
      </c>
      <c r="I306" s="17" t="s">
        <v>19</v>
      </c>
      <c r="J306" s="19">
        <f>ROUND(79*1,0)&amp;"%"</f>
      </c>
    </row>
    <row x14ac:dyDescent="0.25" r="307" customHeight="1" ht="17.25">
      <c r="A307" s="20" t="s">
        <v>2165</v>
      </c>
      <c r="B307" s="20" t="s">
        <v>496</v>
      </c>
      <c r="C307" s="20" t="s">
        <v>114</v>
      </c>
      <c r="D307" s="20" t="s">
        <v>22</v>
      </c>
      <c r="E307" s="21">
        <f>ROUND(15270*1.05,2)</f>
      </c>
      <c r="F307" s="20" t="s">
        <v>23</v>
      </c>
      <c r="G307" s="20" t="s">
        <v>24</v>
      </c>
      <c r="H307" s="22">
        <f>ROUND(RAND()*4+6,1)</f>
      </c>
      <c r="I307" s="20" t="s">
        <v>25</v>
      </c>
      <c r="J307" s="23">
        <f>ROUND(80*1,0)&amp;"%"</f>
      </c>
    </row>
    <row x14ac:dyDescent="0.25" r="308" customHeight="1" ht="17.25">
      <c r="A308" s="17" t="s">
        <v>2166</v>
      </c>
      <c r="B308" s="17" t="s">
        <v>498</v>
      </c>
      <c r="C308" s="17" t="s">
        <v>114</v>
      </c>
      <c r="D308" s="17" t="s">
        <v>28</v>
      </c>
      <c r="E308" s="18">
        <f>ROUND(11201*1.05,2)</f>
      </c>
      <c r="F308" s="17" t="s">
        <v>29</v>
      </c>
      <c r="G308" s="17" t="s">
        <v>30</v>
      </c>
      <c r="H308" s="18">
        <f>ROUND(RAND()*4+6,1)</f>
      </c>
      <c r="I308" s="17" t="s">
        <v>31</v>
      </c>
      <c r="J308" s="19">
        <f>ROUND(61*1,0)&amp;"%"</f>
      </c>
    </row>
    <row x14ac:dyDescent="0.25" r="309" customHeight="1" ht="17.25">
      <c r="A309" s="20" t="s">
        <v>2167</v>
      </c>
      <c r="B309" s="20" t="s">
        <v>500</v>
      </c>
      <c r="C309" s="20" t="s">
        <v>114</v>
      </c>
      <c r="D309" s="20" t="s">
        <v>34</v>
      </c>
      <c r="E309" s="21">
        <f>ROUND(11616*1.05,2)</f>
      </c>
      <c r="F309" s="20" t="s">
        <v>35</v>
      </c>
      <c r="G309" s="20" t="s">
        <v>18</v>
      </c>
      <c r="H309" s="21">
        <f>ROUND(RAND()*4+6,1)</f>
      </c>
      <c r="I309" s="20" t="s">
        <v>36</v>
      </c>
      <c r="J309" s="23">
        <f>ROUND(62*1,0)&amp;"%"</f>
      </c>
    </row>
    <row x14ac:dyDescent="0.25" r="310" customHeight="1" ht="17.25">
      <c r="A310" s="17" t="s">
        <v>2168</v>
      </c>
      <c r="B310" s="17" t="s">
        <v>502</v>
      </c>
      <c r="C310" s="17" t="s">
        <v>114</v>
      </c>
      <c r="D310" s="17" t="s">
        <v>39</v>
      </c>
      <c r="E310" s="18">
        <f>ROUND(12231*1.05,2)</f>
      </c>
      <c r="F310" s="17" t="s">
        <v>40</v>
      </c>
      <c r="G310" s="17" t="s">
        <v>24</v>
      </c>
      <c r="H310" s="18">
        <f>ROUND(RAND()*4+6,1)</f>
      </c>
      <c r="I310" s="17" t="s">
        <v>41</v>
      </c>
      <c r="J310" s="19">
        <f>ROUND(95*1,0)&amp;"%"</f>
      </c>
    </row>
    <row x14ac:dyDescent="0.25" r="311" customHeight="1" ht="17.25">
      <c r="A311" s="20" t="s">
        <v>2169</v>
      </c>
      <c r="B311" s="20" t="s">
        <v>504</v>
      </c>
      <c r="C311" s="20" t="s">
        <v>114</v>
      </c>
      <c r="D311" s="20" t="s">
        <v>67</v>
      </c>
      <c r="E311" s="21">
        <f>ROUND(10935*1.05,2)</f>
      </c>
      <c r="F311" s="20" t="s">
        <v>44</v>
      </c>
      <c r="G311" s="20" t="s">
        <v>30</v>
      </c>
      <c r="H311" s="21">
        <f>ROUND(RAND()*4+6,1)</f>
      </c>
      <c r="I311" s="20" t="s">
        <v>45</v>
      </c>
      <c r="J311" s="23">
        <f>ROUND(94*1,0)&amp;"%"</f>
      </c>
    </row>
    <row x14ac:dyDescent="0.25" r="312" customHeight="1" ht="17.25">
      <c r="A312" s="17" t="s">
        <v>2170</v>
      </c>
      <c r="B312" s="17" t="s">
        <v>506</v>
      </c>
      <c r="C312" s="17" t="s">
        <v>114</v>
      </c>
      <c r="D312" s="17" t="s">
        <v>16</v>
      </c>
      <c r="E312" s="18">
        <f>ROUND(9221*1.05,2)</f>
      </c>
      <c r="F312" s="17" t="s">
        <v>48</v>
      </c>
      <c r="G312" s="17" t="s">
        <v>18</v>
      </c>
      <c r="H312" s="18">
        <f>ROUND(RAND()*4+6,1)</f>
      </c>
      <c r="I312" s="17" t="s">
        <v>19</v>
      </c>
      <c r="J312" s="19">
        <f>ROUND(75*1,0)&amp;"%"</f>
      </c>
    </row>
    <row x14ac:dyDescent="0.25" r="313" customHeight="1" ht="17.25">
      <c r="A313" s="20" t="s">
        <v>2171</v>
      </c>
      <c r="B313" s="20" t="s">
        <v>508</v>
      </c>
      <c r="C313" s="20" t="s">
        <v>114</v>
      </c>
      <c r="D313" s="20" t="s">
        <v>22</v>
      </c>
      <c r="E313" s="21">
        <f>ROUND(7819*1.05,2)</f>
      </c>
      <c r="F313" s="20" t="s">
        <v>51</v>
      </c>
      <c r="G313" s="20" t="s">
        <v>24</v>
      </c>
      <c r="H313" s="21">
        <f>ROUND(RAND()*4+6,1)</f>
      </c>
      <c r="I313" s="20" t="s">
        <v>25</v>
      </c>
      <c r="J313" s="23">
        <f>ROUND(94*1,0)&amp;"%"</f>
      </c>
    </row>
    <row x14ac:dyDescent="0.25" r="314" customHeight="1" ht="17.25">
      <c r="A314" s="24" t="s">
        <v>509</v>
      </c>
      <c r="B314" s="24"/>
      <c r="C314" s="24"/>
      <c r="D314" s="24"/>
      <c r="E314" s="25">
        <v>8</v>
      </c>
      <c r="F314" s="9"/>
      <c r="G314" s="9"/>
      <c r="H314" s="10"/>
      <c r="I314" s="9"/>
      <c r="J314" s="9"/>
    </row>
    <row x14ac:dyDescent="0.25" r="315" customHeight="1" ht="17.25">
      <c r="A315" s="7"/>
      <c r="B315" s="7"/>
      <c r="C315" s="7"/>
      <c r="D315" s="7"/>
      <c r="E315" s="8"/>
      <c r="F315" s="9"/>
      <c r="G315" s="9"/>
      <c r="H315" s="10"/>
      <c r="I315" s="9"/>
      <c r="J315" s="9"/>
    </row>
    <row x14ac:dyDescent="0.25" r="316" customHeight="1" ht="17.25">
      <c r="A316" s="11" t="s">
        <v>2172</v>
      </c>
      <c r="B316" s="11"/>
      <c r="C316" s="11"/>
      <c r="D316" s="11"/>
      <c r="E316" s="12"/>
      <c r="F316" s="11"/>
      <c r="G316" s="11"/>
      <c r="H316" s="13"/>
      <c r="I316" s="11"/>
      <c r="J316" s="11"/>
    </row>
    <row x14ac:dyDescent="0.25" r="317" customHeight="1" ht="17.25">
      <c r="A317" s="14" t="s">
        <v>3</v>
      </c>
      <c r="B317" s="14" t="s">
        <v>4</v>
      </c>
      <c r="C317" s="14" t="s">
        <v>5</v>
      </c>
      <c r="D317" s="14" t="s">
        <v>6</v>
      </c>
      <c r="E317" s="15" t="s">
        <v>7</v>
      </c>
      <c r="F317" s="14" t="s">
        <v>8</v>
      </c>
      <c r="G317" s="14" t="s">
        <v>9</v>
      </c>
      <c r="H317" s="16" t="s">
        <v>10</v>
      </c>
      <c r="I317" s="14" t="s">
        <v>11</v>
      </c>
      <c r="J317" s="14" t="s">
        <v>12</v>
      </c>
    </row>
    <row x14ac:dyDescent="0.25" r="318" customHeight="1" ht="17.25">
      <c r="A318" s="17" t="s">
        <v>2173</v>
      </c>
      <c r="B318" s="17" t="s">
        <v>512</v>
      </c>
      <c r="C318" s="17" t="s">
        <v>133</v>
      </c>
      <c r="D318" s="17" t="s">
        <v>16</v>
      </c>
      <c r="E318" s="18">
        <f>ROUND(17128*1.05,2)</f>
      </c>
      <c r="F318" s="17" t="s">
        <v>17</v>
      </c>
      <c r="G318" s="17" t="s">
        <v>18</v>
      </c>
      <c r="H318" s="18">
        <f>ROUND(RAND()*4+6,1)</f>
      </c>
      <c r="I318" s="17" t="s">
        <v>19</v>
      </c>
      <c r="J318" s="19">
        <f>ROUND(88*1,0)&amp;"%"</f>
      </c>
    </row>
    <row x14ac:dyDescent="0.25" r="319" customHeight="1" ht="17.25">
      <c r="A319" s="20" t="s">
        <v>2174</v>
      </c>
      <c r="B319" s="20" t="s">
        <v>514</v>
      </c>
      <c r="C319" s="20" t="s">
        <v>133</v>
      </c>
      <c r="D319" s="20" t="s">
        <v>22</v>
      </c>
      <c r="E319" s="21">
        <f>ROUND(4824*1.05,2)</f>
      </c>
      <c r="F319" s="20" t="s">
        <v>23</v>
      </c>
      <c r="G319" s="20" t="s">
        <v>24</v>
      </c>
      <c r="H319" s="22">
        <f>ROUND(RAND()*4+6,1)</f>
      </c>
      <c r="I319" s="20" t="s">
        <v>25</v>
      </c>
      <c r="J319" s="23">
        <f>ROUND(71*1,0)&amp;"%"</f>
      </c>
    </row>
    <row x14ac:dyDescent="0.25" r="320" customHeight="1" ht="17.25">
      <c r="A320" s="17" t="s">
        <v>2175</v>
      </c>
      <c r="B320" s="17" t="s">
        <v>516</v>
      </c>
      <c r="C320" s="17" t="s">
        <v>133</v>
      </c>
      <c r="D320" s="17" t="s">
        <v>28</v>
      </c>
      <c r="E320" s="18">
        <f>ROUND(15123*1.05,2)</f>
      </c>
      <c r="F320" s="17" t="s">
        <v>29</v>
      </c>
      <c r="G320" s="17" t="s">
        <v>30</v>
      </c>
      <c r="H320" s="18">
        <f>ROUND(RAND()*4+6,1)</f>
      </c>
      <c r="I320" s="17" t="s">
        <v>31</v>
      </c>
      <c r="J320" s="19">
        <f>ROUND(99*1,0)&amp;"%"</f>
      </c>
    </row>
    <row x14ac:dyDescent="0.25" r="321" customHeight="1" ht="17.25">
      <c r="A321" s="20" t="s">
        <v>2176</v>
      </c>
      <c r="B321" s="20" t="s">
        <v>518</v>
      </c>
      <c r="C321" s="20" t="s">
        <v>133</v>
      </c>
      <c r="D321" s="20" t="s">
        <v>34</v>
      </c>
      <c r="E321" s="21">
        <f>ROUND(5008*1.05,2)</f>
      </c>
      <c r="F321" s="20" t="s">
        <v>35</v>
      </c>
      <c r="G321" s="20" t="s">
        <v>18</v>
      </c>
      <c r="H321" s="21">
        <f>ROUND(RAND()*4+6,1)</f>
      </c>
      <c r="I321" s="20" t="s">
        <v>36</v>
      </c>
      <c r="J321" s="23">
        <f>ROUND(96*1,0)&amp;"%"</f>
      </c>
    </row>
    <row x14ac:dyDescent="0.25" r="322" customHeight="1" ht="17.25">
      <c r="A322" s="17" t="s">
        <v>2177</v>
      </c>
      <c r="B322" s="17" t="s">
        <v>520</v>
      </c>
      <c r="C322" s="17" t="s">
        <v>133</v>
      </c>
      <c r="D322" s="17" t="s">
        <v>39</v>
      </c>
      <c r="E322" s="18">
        <f>ROUND(15201*1.05,2)</f>
      </c>
      <c r="F322" s="17" t="s">
        <v>40</v>
      </c>
      <c r="G322" s="17" t="s">
        <v>24</v>
      </c>
      <c r="H322" s="18">
        <f>ROUND(RAND()*4+6,1)</f>
      </c>
      <c r="I322" s="17" t="s">
        <v>41</v>
      </c>
      <c r="J322" s="19">
        <f>ROUND(84*1,0)&amp;"%"</f>
      </c>
    </row>
    <row x14ac:dyDescent="0.25" r="323" customHeight="1" ht="17.25">
      <c r="A323" s="20" t="s">
        <v>2178</v>
      </c>
      <c r="B323" s="20" t="s">
        <v>522</v>
      </c>
      <c r="C323" s="20" t="s">
        <v>133</v>
      </c>
      <c r="D323" s="20" t="s">
        <v>67</v>
      </c>
      <c r="E323" s="21">
        <f>ROUND(4204*1.05,2)</f>
      </c>
      <c r="F323" s="20" t="s">
        <v>44</v>
      </c>
      <c r="G323" s="20" t="s">
        <v>30</v>
      </c>
      <c r="H323" s="22">
        <f>ROUND(RAND()*4+6,1)</f>
      </c>
      <c r="I323" s="20" t="s">
        <v>45</v>
      </c>
      <c r="J323" s="23">
        <f>ROUND(79*1,0)&amp;"%"</f>
      </c>
    </row>
    <row x14ac:dyDescent="0.25" r="324" customHeight="1" ht="17.25">
      <c r="A324" s="17" t="s">
        <v>2179</v>
      </c>
      <c r="B324" s="17" t="s">
        <v>524</v>
      </c>
      <c r="C324" s="17" t="s">
        <v>133</v>
      </c>
      <c r="D324" s="17" t="s">
        <v>16</v>
      </c>
      <c r="E324" s="18">
        <f>ROUND(13951*1.05,2)</f>
      </c>
      <c r="F324" s="17" t="s">
        <v>48</v>
      </c>
      <c r="G324" s="17" t="s">
        <v>18</v>
      </c>
      <c r="H324" s="18">
        <f>ROUND(RAND()*4+6,1)</f>
      </c>
      <c r="I324" s="17" t="s">
        <v>19</v>
      </c>
      <c r="J324" s="19">
        <f>ROUND(72*1,0)&amp;"%"</f>
      </c>
    </row>
    <row x14ac:dyDescent="0.25" r="325" customHeight="1" ht="17.25">
      <c r="A325" s="20" t="s">
        <v>2180</v>
      </c>
      <c r="B325" s="20" t="s">
        <v>526</v>
      </c>
      <c r="C325" s="20" t="s">
        <v>133</v>
      </c>
      <c r="D325" s="20" t="s">
        <v>22</v>
      </c>
      <c r="E325" s="21">
        <f>ROUND(15248*1.05,2)</f>
      </c>
      <c r="F325" s="20" t="s">
        <v>51</v>
      </c>
      <c r="G325" s="20" t="s">
        <v>24</v>
      </c>
      <c r="H325" s="21">
        <f>ROUND(RAND()*4+6,1)</f>
      </c>
      <c r="I325" s="20" t="s">
        <v>25</v>
      </c>
      <c r="J325" s="23">
        <f>ROUND(87*1,0)&amp;"%"</f>
      </c>
    </row>
    <row x14ac:dyDescent="0.25" r="326" customHeight="1" ht="17.25">
      <c r="A326" s="24" t="s">
        <v>527</v>
      </c>
      <c r="B326" s="24"/>
      <c r="C326" s="24"/>
      <c r="D326" s="24"/>
      <c r="E326" s="25">
        <v>8</v>
      </c>
      <c r="F326" s="9"/>
      <c r="G326" s="9"/>
      <c r="H326" s="10"/>
      <c r="I326" s="9"/>
      <c r="J326" s="9"/>
    </row>
    <row x14ac:dyDescent="0.25" r="327" customHeight="1" ht="17.25">
      <c r="A327" s="7"/>
      <c r="B327" s="7"/>
      <c r="C327" s="7"/>
      <c r="D327" s="7"/>
      <c r="E327" s="8"/>
      <c r="F327" s="9"/>
      <c r="G327" s="9"/>
      <c r="H327" s="10"/>
      <c r="I327" s="9"/>
      <c r="J327" s="9"/>
    </row>
    <row x14ac:dyDescent="0.25" r="328" customHeight="1" ht="17.25">
      <c r="A328" s="11" t="s">
        <v>2181</v>
      </c>
      <c r="B328" s="11"/>
      <c r="C328" s="11"/>
      <c r="D328" s="11"/>
      <c r="E328" s="12"/>
      <c r="F328" s="11"/>
      <c r="G328" s="11"/>
      <c r="H328" s="13"/>
      <c r="I328" s="11"/>
      <c r="J328" s="11"/>
    </row>
    <row x14ac:dyDescent="0.25" r="329" customHeight="1" ht="17.25">
      <c r="A329" s="14" t="s">
        <v>3</v>
      </c>
      <c r="B329" s="14" t="s">
        <v>4</v>
      </c>
      <c r="C329" s="14" t="s">
        <v>5</v>
      </c>
      <c r="D329" s="14" t="s">
        <v>6</v>
      </c>
      <c r="E329" s="15" t="s">
        <v>7</v>
      </c>
      <c r="F329" s="14" t="s">
        <v>8</v>
      </c>
      <c r="G329" s="14" t="s">
        <v>9</v>
      </c>
      <c r="H329" s="16" t="s">
        <v>10</v>
      </c>
      <c r="I329" s="14" t="s">
        <v>11</v>
      </c>
      <c r="J329" s="14" t="s">
        <v>12</v>
      </c>
    </row>
    <row x14ac:dyDescent="0.25" r="330" customHeight="1" ht="17.25">
      <c r="A330" s="17" t="s">
        <v>2182</v>
      </c>
      <c r="B330" s="17" t="s">
        <v>530</v>
      </c>
      <c r="C330" s="17" t="s">
        <v>152</v>
      </c>
      <c r="D330" s="17" t="s">
        <v>16</v>
      </c>
      <c r="E330" s="18">
        <f>ROUND(11125*1.05,2)</f>
      </c>
      <c r="F330" s="17" t="s">
        <v>17</v>
      </c>
      <c r="G330" s="17" t="s">
        <v>18</v>
      </c>
      <c r="H330" s="18">
        <f>ROUND(RAND()*4+6,1)</f>
      </c>
      <c r="I330" s="17" t="s">
        <v>19</v>
      </c>
      <c r="J330" s="19">
        <f>ROUND(93*1,0)&amp;"%"</f>
      </c>
    </row>
    <row x14ac:dyDescent="0.25" r="331" customHeight="1" ht="17.25">
      <c r="A331" s="20" t="s">
        <v>2183</v>
      </c>
      <c r="B331" s="20" t="s">
        <v>532</v>
      </c>
      <c r="C331" s="20" t="s">
        <v>152</v>
      </c>
      <c r="D331" s="20" t="s">
        <v>22</v>
      </c>
      <c r="E331" s="21">
        <f>ROUND(14971*1.05,2)</f>
      </c>
      <c r="F331" s="20" t="s">
        <v>23</v>
      </c>
      <c r="G331" s="20" t="s">
        <v>24</v>
      </c>
      <c r="H331" s="21">
        <f>ROUND(RAND()*4+6,1)</f>
      </c>
      <c r="I331" s="20" t="s">
        <v>25</v>
      </c>
      <c r="J331" s="23">
        <f>ROUND(78*1,0)&amp;"%"</f>
      </c>
    </row>
    <row x14ac:dyDescent="0.25" r="332" customHeight="1" ht="17.25">
      <c r="A332" s="17" t="s">
        <v>2184</v>
      </c>
      <c r="B332" s="17" t="s">
        <v>534</v>
      </c>
      <c r="C332" s="17" t="s">
        <v>152</v>
      </c>
      <c r="D332" s="17" t="s">
        <v>28</v>
      </c>
      <c r="E332" s="26">
        <f>ROUND(13680*1.05,2)</f>
      </c>
      <c r="F332" s="17" t="s">
        <v>29</v>
      </c>
      <c r="G332" s="17" t="s">
        <v>30</v>
      </c>
      <c r="H332" s="18">
        <f>ROUND(RAND()*4+6,1)</f>
      </c>
      <c r="I332" s="17" t="s">
        <v>31</v>
      </c>
      <c r="J332" s="19">
        <f>ROUND(78*1,0)&amp;"%"</f>
      </c>
    </row>
    <row x14ac:dyDescent="0.25" r="333" customHeight="1" ht="17.25">
      <c r="A333" s="20" t="s">
        <v>2185</v>
      </c>
      <c r="B333" s="20" t="s">
        <v>536</v>
      </c>
      <c r="C333" s="20" t="s">
        <v>152</v>
      </c>
      <c r="D333" s="20" t="s">
        <v>34</v>
      </c>
      <c r="E333" s="21">
        <f>ROUND(13262*1.05,2)</f>
      </c>
      <c r="F333" s="20" t="s">
        <v>35</v>
      </c>
      <c r="G333" s="20" t="s">
        <v>18</v>
      </c>
      <c r="H333" s="21">
        <f>ROUND(RAND()*4+6,1)</f>
      </c>
      <c r="I333" s="20" t="s">
        <v>36</v>
      </c>
      <c r="J333" s="23">
        <f>ROUND(95*1,0)&amp;"%"</f>
      </c>
    </row>
    <row x14ac:dyDescent="0.25" r="334" customHeight="1" ht="17.25">
      <c r="A334" s="17" t="s">
        <v>2186</v>
      </c>
      <c r="B334" s="17" t="s">
        <v>538</v>
      </c>
      <c r="C334" s="17" t="s">
        <v>152</v>
      </c>
      <c r="D334" s="17" t="s">
        <v>39</v>
      </c>
      <c r="E334" s="18">
        <f>ROUND(13695*1.05,2)</f>
      </c>
      <c r="F334" s="17" t="s">
        <v>40</v>
      </c>
      <c r="G334" s="17" t="s">
        <v>24</v>
      </c>
      <c r="H334" s="18">
        <f>ROUND(RAND()*4+6,1)</f>
      </c>
      <c r="I334" s="17" t="s">
        <v>41</v>
      </c>
      <c r="J334" s="19">
        <f>ROUND(98*1,0)&amp;"%"</f>
      </c>
    </row>
    <row x14ac:dyDescent="0.25" r="335" customHeight="1" ht="17.25">
      <c r="A335" s="20" t="s">
        <v>2187</v>
      </c>
      <c r="B335" s="20" t="s">
        <v>540</v>
      </c>
      <c r="C335" s="20" t="s">
        <v>152</v>
      </c>
      <c r="D335" s="20" t="s">
        <v>67</v>
      </c>
      <c r="E335" s="21">
        <f>ROUND(17655*1.05,2)</f>
      </c>
      <c r="F335" s="20" t="s">
        <v>44</v>
      </c>
      <c r="G335" s="20" t="s">
        <v>30</v>
      </c>
      <c r="H335" s="21">
        <f>ROUND(RAND()*4+6,1)</f>
      </c>
      <c r="I335" s="20" t="s">
        <v>45</v>
      </c>
      <c r="J335" s="23">
        <f>ROUND(88*1,0)&amp;"%"</f>
      </c>
    </row>
    <row x14ac:dyDescent="0.25" r="336" customHeight="1" ht="17.25">
      <c r="A336" s="17" t="s">
        <v>2188</v>
      </c>
      <c r="B336" s="17" t="s">
        <v>542</v>
      </c>
      <c r="C336" s="17" t="s">
        <v>152</v>
      </c>
      <c r="D336" s="17" t="s">
        <v>16</v>
      </c>
      <c r="E336" s="18">
        <f>ROUND(16997*1.05,2)</f>
      </c>
      <c r="F336" s="17" t="s">
        <v>48</v>
      </c>
      <c r="G336" s="17" t="s">
        <v>18</v>
      </c>
      <c r="H336" s="18">
        <f>ROUND(RAND()*4+6,1)</f>
      </c>
      <c r="I336" s="17" t="s">
        <v>19</v>
      </c>
      <c r="J336" s="19">
        <f>ROUND(88*1,0)&amp;"%"</f>
      </c>
    </row>
    <row x14ac:dyDescent="0.25" r="337" customHeight="1" ht="17.25">
      <c r="A337" s="20" t="s">
        <v>2189</v>
      </c>
      <c r="B337" s="20" t="s">
        <v>544</v>
      </c>
      <c r="C337" s="20" t="s">
        <v>152</v>
      </c>
      <c r="D337" s="20" t="s">
        <v>22</v>
      </c>
      <c r="E337" s="21">
        <f>ROUND(16553*1.05,2)</f>
      </c>
      <c r="F337" s="20" t="s">
        <v>51</v>
      </c>
      <c r="G337" s="20" t="s">
        <v>24</v>
      </c>
      <c r="H337" s="21">
        <f>ROUND(RAND()*4+6,1)</f>
      </c>
      <c r="I337" s="20" t="s">
        <v>25</v>
      </c>
      <c r="J337" s="23">
        <f>ROUND(68*1,0)&amp;"%"</f>
      </c>
    </row>
    <row x14ac:dyDescent="0.25" r="338" customHeight="1" ht="17.25">
      <c r="A338" s="24" t="s">
        <v>545</v>
      </c>
      <c r="B338" s="24"/>
      <c r="C338" s="24"/>
      <c r="D338" s="24"/>
      <c r="E338" s="25">
        <v>8</v>
      </c>
      <c r="F338" s="9"/>
      <c r="G338" s="9"/>
      <c r="H338" s="10"/>
      <c r="I338" s="9"/>
      <c r="J338" s="9"/>
    </row>
    <row x14ac:dyDescent="0.25" r="339" customHeight="1" ht="17.25">
      <c r="A339" s="7"/>
      <c r="B339" s="7"/>
      <c r="C339" s="7"/>
      <c r="D339" s="7"/>
      <c r="E339" s="8"/>
      <c r="F339" s="9"/>
      <c r="G339" s="9"/>
      <c r="H339" s="10"/>
      <c r="I339" s="9"/>
      <c r="J339" s="9"/>
    </row>
    <row x14ac:dyDescent="0.25" r="340" customHeight="1" ht="17.25">
      <c r="A340" s="11" t="s">
        <v>2190</v>
      </c>
      <c r="B340" s="11"/>
      <c r="C340" s="11"/>
      <c r="D340" s="11"/>
      <c r="E340" s="12"/>
      <c r="F340" s="11"/>
      <c r="G340" s="11"/>
      <c r="H340" s="13"/>
      <c r="I340" s="11"/>
      <c r="J340" s="11"/>
    </row>
    <row x14ac:dyDescent="0.25" r="341" customHeight="1" ht="17.25">
      <c r="A341" s="14" t="s">
        <v>3</v>
      </c>
      <c r="B341" s="14" t="s">
        <v>4</v>
      </c>
      <c r="C341" s="14" t="s">
        <v>5</v>
      </c>
      <c r="D341" s="14" t="s">
        <v>6</v>
      </c>
      <c r="E341" s="15" t="s">
        <v>7</v>
      </c>
      <c r="F341" s="14" t="s">
        <v>8</v>
      </c>
      <c r="G341" s="14" t="s">
        <v>9</v>
      </c>
      <c r="H341" s="16" t="s">
        <v>10</v>
      </c>
      <c r="I341" s="14" t="s">
        <v>11</v>
      </c>
      <c r="J341" s="14" t="s">
        <v>12</v>
      </c>
    </row>
    <row x14ac:dyDescent="0.25" r="342" customHeight="1" ht="17.25">
      <c r="A342" s="17" t="s">
        <v>2191</v>
      </c>
      <c r="B342" s="17" t="s">
        <v>548</v>
      </c>
      <c r="C342" s="17" t="s">
        <v>15</v>
      </c>
      <c r="D342" s="17" t="s">
        <v>16</v>
      </c>
      <c r="E342" s="18">
        <f>ROUND(5427*1.05,2)</f>
      </c>
      <c r="F342" s="17" t="s">
        <v>17</v>
      </c>
      <c r="G342" s="17" t="s">
        <v>18</v>
      </c>
      <c r="H342" s="18">
        <f>ROUND(RAND()*4+6,1)</f>
      </c>
      <c r="I342" s="17" t="s">
        <v>19</v>
      </c>
      <c r="J342" s="19">
        <f>ROUND(68*1,0)&amp;"%"</f>
      </c>
    </row>
    <row x14ac:dyDescent="0.25" r="343" customHeight="1" ht="17.25">
      <c r="A343" s="20" t="s">
        <v>2192</v>
      </c>
      <c r="B343" s="20" t="s">
        <v>550</v>
      </c>
      <c r="C343" s="20" t="s">
        <v>15</v>
      </c>
      <c r="D343" s="20" t="s">
        <v>22</v>
      </c>
      <c r="E343" s="21">
        <f>ROUND(10168*1.05,2)</f>
      </c>
      <c r="F343" s="20" t="s">
        <v>23</v>
      </c>
      <c r="G343" s="20" t="s">
        <v>24</v>
      </c>
      <c r="H343" s="21">
        <f>ROUND(RAND()*4+6,1)</f>
      </c>
      <c r="I343" s="20" t="s">
        <v>25</v>
      </c>
      <c r="J343" s="23">
        <f>ROUND(72*1,0)&amp;"%"</f>
      </c>
    </row>
    <row x14ac:dyDescent="0.25" r="344" customHeight="1" ht="17.25">
      <c r="A344" s="17" t="s">
        <v>2193</v>
      </c>
      <c r="B344" s="17" t="s">
        <v>552</v>
      </c>
      <c r="C344" s="17" t="s">
        <v>15</v>
      </c>
      <c r="D344" s="17" t="s">
        <v>28</v>
      </c>
      <c r="E344" s="18">
        <f>ROUND(9002*1.05,2)</f>
      </c>
      <c r="F344" s="17" t="s">
        <v>29</v>
      </c>
      <c r="G344" s="17" t="s">
        <v>30</v>
      </c>
      <c r="H344" s="18">
        <f>ROUND(RAND()*4+6,1)</f>
      </c>
      <c r="I344" s="17" t="s">
        <v>31</v>
      </c>
      <c r="J344" s="19">
        <f>ROUND(64*1,0)&amp;"%"</f>
      </c>
    </row>
    <row x14ac:dyDescent="0.25" r="345" customHeight="1" ht="17.25">
      <c r="A345" s="20" t="s">
        <v>2194</v>
      </c>
      <c r="B345" s="20" t="s">
        <v>554</v>
      </c>
      <c r="C345" s="20" t="s">
        <v>15</v>
      </c>
      <c r="D345" s="20" t="s">
        <v>34</v>
      </c>
      <c r="E345" s="21">
        <f>ROUND(9554*1.05,2)</f>
      </c>
      <c r="F345" s="20" t="s">
        <v>35</v>
      </c>
      <c r="G345" s="20" t="s">
        <v>18</v>
      </c>
      <c r="H345" s="21">
        <f>ROUND(RAND()*4+6,1)</f>
      </c>
      <c r="I345" s="20" t="s">
        <v>36</v>
      </c>
      <c r="J345" s="23">
        <f>ROUND(98*1,0)&amp;"%"</f>
      </c>
    </row>
    <row x14ac:dyDescent="0.25" r="346" customHeight="1" ht="17.25">
      <c r="A346" s="17" t="s">
        <v>2195</v>
      </c>
      <c r="B346" s="17" t="s">
        <v>556</v>
      </c>
      <c r="C346" s="17" t="s">
        <v>15</v>
      </c>
      <c r="D346" s="17" t="s">
        <v>39</v>
      </c>
      <c r="E346" s="18">
        <f>ROUND(8741*1.05,2)</f>
      </c>
      <c r="F346" s="17" t="s">
        <v>40</v>
      </c>
      <c r="G346" s="17" t="s">
        <v>24</v>
      </c>
      <c r="H346" s="18">
        <f>ROUND(RAND()*4+6,1)</f>
      </c>
      <c r="I346" s="17" t="s">
        <v>41</v>
      </c>
      <c r="J346" s="19">
        <f>ROUND(77*1,0)&amp;"%"</f>
      </c>
    </row>
    <row x14ac:dyDescent="0.25" r="347" customHeight="1" ht="17.25">
      <c r="A347" s="20" t="s">
        <v>2196</v>
      </c>
      <c r="B347" s="20" t="s">
        <v>558</v>
      </c>
      <c r="C347" s="20" t="s">
        <v>15</v>
      </c>
      <c r="D347" s="20" t="s">
        <v>67</v>
      </c>
      <c r="E347" s="21">
        <f>ROUND(11885*1.05,2)</f>
      </c>
      <c r="F347" s="20" t="s">
        <v>44</v>
      </c>
      <c r="G347" s="20" t="s">
        <v>30</v>
      </c>
      <c r="H347" s="21">
        <f>ROUND(RAND()*4+6,1)</f>
      </c>
      <c r="I347" s="20" t="s">
        <v>45</v>
      </c>
      <c r="J347" s="23">
        <f>ROUND(88*1,0)&amp;"%"</f>
      </c>
    </row>
    <row x14ac:dyDescent="0.25" r="348" customHeight="1" ht="17.25">
      <c r="A348" s="17" t="s">
        <v>2197</v>
      </c>
      <c r="B348" s="17" t="s">
        <v>560</v>
      </c>
      <c r="C348" s="17" t="s">
        <v>15</v>
      </c>
      <c r="D348" s="17" t="s">
        <v>16</v>
      </c>
      <c r="E348" s="18">
        <f>ROUND(16235*1.05,2)</f>
      </c>
      <c r="F348" s="17" t="s">
        <v>48</v>
      </c>
      <c r="G348" s="17" t="s">
        <v>18</v>
      </c>
      <c r="H348" s="18">
        <f>ROUND(RAND()*4+6,1)</f>
      </c>
      <c r="I348" s="17" t="s">
        <v>19</v>
      </c>
      <c r="J348" s="19">
        <f>ROUND(88*1,0)&amp;"%"</f>
      </c>
    </row>
    <row x14ac:dyDescent="0.25" r="349" customHeight="1" ht="17.25">
      <c r="A349" s="20" t="s">
        <v>2198</v>
      </c>
      <c r="B349" s="20" t="s">
        <v>562</v>
      </c>
      <c r="C349" s="20" t="s">
        <v>15</v>
      </c>
      <c r="D349" s="20" t="s">
        <v>22</v>
      </c>
      <c r="E349" s="22">
        <f>ROUND(5300*1.05,2)</f>
      </c>
      <c r="F349" s="20" t="s">
        <v>51</v>
      </c>
      <c r="G349" s="20" t="s">
        <v>24</v>
      </c>
      <c r="H349" s="21">
        <f>ROUND(RAND()*4+6,1)</f>
      </c>
      <c r="I349" s="20" t="s">
        <v>25</v>
      </c>
      <c r="J349" s="23">
        <f>ROUND(60*1,0)&amp;"%"</f>
      </c>
    </row>
    <row x14ac:dyDescent="0.25" r="350" customHeight="1" ht="17.25">
      <c r="A350" s="24" t="s">
        <v>563</v>
      </c>
      <c r="B350" s="24"/>
      <c r="C350" s="24"/>
      <c r="D350" s="24"/>
      <c r="E350" s="25">
        <v>8</v>
      </c>
      <c r="F350" s="9"/>
      <c r="G350" s="9"/>
      <c r="H350" s="10"/>
      <c r="I350" s="9"/>
      <c r="J350" s="9"/>
    </row>
    <row x14ac:dyDescent="0.25" r="351" customHeight="1" ht="17.25">
      <c r="A351" s="7"/>
      <c r="B351" s="7"/>
      <c r="C351" s="7"/>
      <c r="D351" s="7"/>
      <c r="E351" s="8"/>
      <c r="F351" s="9"/>
      <c r="G351" s="9"/>
      <c r="H351" s="10"/>
      <c r="I351" s="9"/>
      <c r="J351" s="9"/>
    </row>
    <row x14ac:dyDescent="0.25" r="352" customHeight="1" ht="17.25">
      <c r="A352" s="11" t="s">
        <v>2199</v>
      </c>
      <c r="B352" s="11"/>
      <c r="C352" s="11"/>
      <c r="D352" s="11"/>
      <c r="E352" s="12"/>
      <c r="F352" s="11"/>
      <c r="G352" s="11"/>
      <c r="H352" s="13"/>
      <c r="I352" s="11"/>
      <c r="J352" s="11"/>
    </row>
    <row x14ac:dyDescent="0.25" r="353" customHeight="1" ht="17.25">
      <c r="A353" s="14" t="s">
        <v>3</v>
      </c>
      <c r="B353" s="14" t="s">
        <v>4</v>
      </c>
      <c r="C353" s="14" t="s">
        <v>5</v>
      </c>
      <c r="D353" s="14" t="s">
        <v>6</v>
      </c>
      <c r="E353" s="15" t="s">
        <v>7</v>
      </c>
      <c r="F353" s="14" t="s">
        <v>8</v>
      </c>
      <c r="G353" s="14" t="s">
        <v>9</v>
      </c>
      <c r="H353" s="16" t="s">
        <v>10</v>
      </c>
      <c r="I353" s="14" t="s">
        <v>11</v>
      </c>
      <c r="J353" s="14" t="s">
        <v>12</v>
      </c>
    </row>
    <row x14ac:dyDescent="0.25" r="354" customHeight="1" ht="17.25">
      <c r="A354" s="17" t="s">
        <v>2200</v>
      </c>
      <c r="B354" s="17" t="s">
        <v>566</v>
      </c>
      <c r="C354" s="17" t="s">
        <v>56</v>
      </c>
      <c r="D354" s="17" t="s">
        <v>16</v>
      </c>
      <c r="E354" s="18">
        <f>ROUND(4307*1.05,2)</f>
      </c>
      <c r="F354" s="17" t="s">
        <v>17</v>
      </c>
      <c r="G354" s="17" t="s">
        <v>18</v>
      </c>
      <c r="H354" s="18">
        <f>ROUND(RAND()*4+6,1)</f>
      </c>
      <c r="I354" s="17" t="s">
        <v>19</v>
      </c>
      <c r="J354" s="19">
        <f>ROUND(64*1,0)&amp;"%"</f>
      </c>
    </row>
    <row x14ac:dyDescent="0.25" r="355" customHeight="1" ht="17.25">
      <c r="A355" s="20" t="s">
        <v>2201</v>
      </c>
      <c r="B355" s="20" t="s">
        <v>568</v>
      </c>
      <c r="C355" s="20" t="s">
        <v>56</v>
      </c>
      <c r="D355" s="20" t="s">
        <v>22</v>
      </c>
      <c r="E355" s="21">
        <f>ROUND(14394*1.05,2)</f>
      </c>
      <c r="F355" s="20" t="s">
        <v>23</v>
      </c>
      <c r="G355" s="20" t="s">
        <v>24</v>
      </c>
      <c r="H355" s="22">
        <f>ROUND(RAND()*4+6,1)</f>
      </c>
      <c r="I355" s="20" t="s">
        <v>25</v>
      </c>
      <c r="J355" s="23">
        <f>ROUND(99*1,0)&amp;"%"</f>
      </c>
    </row>
    <row x14ac:dyDescent="0.25" r="356" customHeight="1" ht="17.25">
      <c r="A356" s="17" t="s">
        <v>2202</v>
      </c>
      <c r="B356" s="17" t="s">
        <v>570</v>
      </c>
      <c r="C356" s="17" t="s">
        <v>56</v>
      </c>
      <c r="D356" s="17" t="s">
        <v>28</v>
      </c>
      <c r="E356" s="18">
        <f>ROUND(5859*1.05,2)</f>
      </c>
      <c r="F356" s="17" t="s">
        <v>29</v>
      </c>
      <c r="G356" s="17" t="s">
        <v>30</v>
      </c>
      <c r="H356" s="18">
        <f>ROUND(RAND()*4+6,1)</f>
      </c>
      <c r="I356" s="17" t="s">
        <v>31</v>
      </c>
      <c r="J356" s="19">
        <f>ROUND(62*1,0)&amp;"%"</f>
      </c>
    </row>
    <row x14ac:dyDescent="0.25" r="357" customHeight="1" ht="17.25">
      <c r="A357" s="20" t="s">
        <v>2203</v>
      </c>
      <c r="B357" s="20" t="s">
        <v>572</v>
      </c>
      <c r="C357" s="20" t="s">
        <v>56</v>
      </c>
      <c r="D357" s="20" t="s">
        <v>34</v>
      </c>
      <c r="E357" s="21">
        <f>ROUND(12127*1.05,2)</f>
      </c>
      <c r="F357" s="20" t="s">
        <v>35</v>
      </c>
      <c r="G357" s="20" t="s">
        <v>18</v>
      </c>
      <c r="H357" s="21">
        <f>ROUND(RAND()*4+6,1)</f>
      </c>
      <c r="I357" s="20" t="s">
        <v>36</v>
      </c>
      <c r="J357" s="23">
        <f>ROUND(78*1,0)&amp;"%"</f>
      </c>
    </row>
    <row x14ac:dyDescent="0.25" r="358" customHeight="1" ht="17.25">
      <c r="A358" s="17" t="s">
        <v>2204</v>
      </c>
      <c r="B358" s="17" t="s">
        <v>574</v>
      </c>
      <c r="C358" s="17" t="s">
        <v>56</v>
      </c>
      <c r="D358" s="17" t="s">
        <v>39</v>
      </c>
      <c r="E358" s="18">
        <f>ROUND(14238*1.05,2)</f>
      </c>
      <c r="F358" s="17" t="s">
        <v>40</v>
      </c>
      <c r="G358" s="17" t="s">
        <v>24</v>
      </c>
      <c r="H358" s="18">
        <f>ROUND(RAND()*4+6,1)</f>
      </c>
      <c r="I358" s="17" t="s">
        <v>41</v>
      </c>
      <c r="J358" s="19">
        <f>ROUND(67*1,0)&amp;"%"</f>
      </c>
    </row>
    <row x14ac:dyDescent="0.25" r="359" customHeight="1" ht="17.25">
      <c r="A359" s="20" t="s">
        <v>2205</v>
      </c>
      <c r="B359" s="20" t="s">
        <v>576</v>
      </c>
      <c r="C359" s="20" t="s">
        <v>56</v>
      </c>
      <c r="D359" s="20" t="s">
        <v>67</v>
      </c>
      <c r="E359" s="21">
        <f>ROUND(4808*1.05,2)</f>
      </c>
      <c r="F359" s="20" t="s">
        <v>44</v>
      </c>
      <c r="G359" s="20" t="s">
        <v>30</v>
      </c>
      <c r="H359" s="22">
        <f>ROUND(RAND()*4+6,1)</f>
      </c>
      <c r="I359" s="20" t="s">
        <v>45</v>
      </c>
      <c r="J359" s="23">
        <f>ROUND(96*1,0)&amp;"%"</f>
      </c>
    </row>
    <row x14ac:dyDescent="0.25" r="360" customHeight="1" ht="17.25">
      <c r="A360" s="17" t="s">
        <v>2206</v>
      </c>
      <c r="B360" s="17" t="s">
        <v>578</v>
      </c>
      <c r="C360" s="17" t="s">
        <v>56</v>
      </c>
      <c r="D360" s="17" t="s">
        <v>16</v>
      </c>
      <c r="E360" s="18">
        <f>ROUND(8155*1.05,2)</f>
      </c>
      <c r="F360" s="17" t="s">
        <v>48</v>
      </c>
      <c r="G360" s="17" t="s">
        <v>18</v>
      </c>
      <c r="H360" s="26">
        <f>ROUND(RAND()*4+6,1)</f>
      </c>
      <c r="I360" s="17" t="s">
        <v>19</v>
      </c>
      <c r="J360" s="19">
        <f>ROUND(82*1,0)&amp;"%"</f>
      </c>
    </row>
    <row x14ac:dyDescent="0.25" r="361" customHeight="1" ht="17.25">
      <c r="A361" s="20" t="s">
        <v>2207</v>
      </c>
      <c r="B361" s="20" t="s">
        <v>580</v>
      </c>
      <c r="C361" s="20" t="s">
        <v>56</v>
      </c>
      <c r="D361" s="20" t="s">
        <v>22</v>
      </c>
      <c r="E361" s="21">
        <f>ROUND(7999*1.05,2)</f>
      </c>
      <c r="F361" s="20" t="s">
        <v>51</v>
      </c>
      <c r="G361" s="20" t="s">
        <v>24</v>
      </c>
      <c r="H361" s="21">
        <f>ROUND(RAND()*4+6,1)</f>
      </c>
      <c r="I361" s="20" t="s">
        <v>25</v>
      </c>
      <c r="J361" s="23">
        <f>ROUND(74*1,0)&amp;"%"</f>
      </c>
    </row>
    <row x14ac:dyDescent="0.25" r="362" customHeight="1" ht="17.25">
      <c r="A362" s="24" t="s">
        <v>581</v>
      </c>
      <c r="B362" s="24"/>
      <c r="C362" s="24"/>
      <c r="D362" s="24"/>
      <c r="E362" s="25">
        <v>8</v>
      </c>
      <c r="F362" s="9"/>
      <c r="G362" s="9"/>
      <c r="H362" s="10"/>
      <c r="I362" s="9"/>
      <c r="J362" s="9"/>
    </row>
  </sheetData>
  <mergeCells count="62">
    <mergeCell ref="A1:J1"/>
    <mergeCell ref="A2:J2"/>
    <mergeCell ref="A4:J4"/>
    <mergeCell ref="A14:D14"/>
    <mergeCell ref="A16:J16"/>
    <mergeCell ref="A26:D26"/>
    <mergeCell ref="A28:J28"/>
    <mergeCell ref="A38:D38"/>
    <mergeCell ref="A40:J40"/>
    <mergeCell ref="A50:D50"/>
    <mergeCell ref="A52:J52"/>
    <mergeCell ref="A62:D62"/>
    <mergeCell ref="A64:J64"/>
    <mergeCell ref="A74:D74"/>
    <mergeCell ref="A76:J76"/>
    <mergeCell ref="A86:D86"/>
    <mergeCell ref="A88:J88"/>
    <mergeCell ref="A98:D98"/>
    <mergeCell ref="A100:J100"/>
    <mergeCell ref="A110:D110"/>
    <mergeCell ref="A112:J112"/>
    <mergeCell ref="A122:D122"/>
    <mergeCell ref="A124:J124"/>
    <mergeCell ref="A134:D134"/>
    <mergeCell ref="A136:J136"/>
    <mergeCell ref="A146:D146"/>
    <mergeCell ref="A148:J148"/>
    <mergeCell ref="A158:D158"/>
    <mergeCell ref="A160:J160"/>
    <mergeCell ref="A170:D170"/>
    <mergeCell ref="A172:J172"/>
    <mergeCell ref="A182:D182"/>
    <mergeCell ref="A184:J184"/>
    <mergeCell ref="A194:D194"/>
    <mergeCell ref="A196:J196"/>
    <mergeCell ref="A206:D206"/>
    <mergeCell ref="A208:J208"/>
    <mergeCell ref="A218:D218"/>
    <mergeCell ref="A220:J220"/>
    <mergeCell ref="A230:D230"/>
    <mergeCell ref="A232:J232"/>
    <mergeCell ref="A242:D242"/>
    <mergeCell ref="A244:J244"/>
    <mergeCell ref="A254:D254"/>
    <mergeCell ref="A256:J256"/>
    <mergeCell ref="A266:D266"/>
    <mergeCell ref="A268:J268"/>
    <mergeCell ref="A278:D278"/>
    <mergeCell ref="A280:J280"/>
    <mergeCell ref="A290:D290"/>
    <mergeCell ref="A292:J292"/>
    <mergeCell ref="A302:D302"/>
    <mergeCell ref="A304:J304"/>
    <mergeCell ref="A314:D314"/>
    <mergeCell ref="A316:J316"/>
    <mergeCell ref="A326:D326"/>
    <mergeCell ref="A328:J328"/>
    <mergeCell ref="A338:D338"/>
    <mergeCell ref="A340:J340"/>
    <mergeCell ref="A350:D350"/>
    <mergeCell ref="A352:J352"/>
    <mergeCell ref="A362:D362"/>
  </mergeCells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J362"/>
  <sheetViews>
    <sheetView workbookViewId="0"/>
  </sheetViews>
  <sheetFormatPr defaultRowHeight="15" x14ac:dyDescent="0.25"/>
  <cols>
    <col min="1" max="1" style="27" width="8.005" customWidth="1" bestFit="1"/>
    <col min="2" max="2" style="27" width="22.005" customWidth="1" bestFit="1"/>
    <col min="3" max="3" style="27" width="16.005" customWidth="1" bestFit="1"/>
    <col min="4" max="4" style="27" width="14.005" customWidth="1" bestFit="1"/>
    <col min="5" max="5" style="28" width="12.005" customWidth="1" bestFit="1"/>
    <col min="6" max="6" style="29" width="16.005" customWidth="1" bestFit="1"/>
    <col min="7" max="7" style="29" width="10.005" customWidth="1" bestFit="1"/>
    <col min="8" max="8" style="30" width="10.005" customWidth="1" bestFit="1"/>
    <col min="9" max="9" style="29" width="14.005" customWidth="1" bestFit="1"/>
    <col min="10" max="10" style="29" width="8.005" customWidth="1" bestFit="1"/>
  </cols>
  <sheetData>
    <row x14ac:dyDescent="0.25" r="1" customHeight="1" ht="17.25">
      <c r="A1" s="1" t="s">
        <v>1666</v>
      </c>
      <c r="B1" s="1"/>
      <c r="C1" s="1"/>
      <c r="D1" s="1"/>
      <c r="E1" s="2"/>
      <c r="F1" s="1"/>
      <c r="G1" s="1"/>
      <c r="H1" s="3"/>
      <c r="I1" s="1"/>
      <c r="J1" s="1"/>
    </row>
    <row x14ac:dyDescent="0.25" r="2" customHeight="1" ht="17.25">
      <c r="A2" s="4" t="s">
        <v>1</v>
      </c>
      <c r="B2" s="4"/>
      <c r="C2" s="4"/>
      <c r="D2" s="4"/>
      <c r="E2" s="5"/>
      <c r="F2" s="4"/>
      <c r="G2" s="4"/>
      <c r="H2" s="6"/>
      <c r="I2" s="4"/>
      <c r="J2" s="4"/>
    </row>
    <row x14ac:dyDescent="0.25" r="3" customHeight="1" ht="17.25">
      <c r="A3" s="7"/>
      <c r="B3" s="7"/>
      <c r="C3" s="7"/>
      <c r="D3" s="7"/>
      <c r="E3" s="8"/>
      <c r="F3" s="9"/>
      <c r="G3" s="9"/>
      <c r="H3" s="10"/>
      <c r="I3" s="9"/>
      <c r="J3" s="9"/>
    </row>
    <row x14ac:dyDescent="0.25" r="4" customHeight="1" ht="17.25">
      <c r="A4" s="11" t="s">
        <v>1667</v>
      </c>
      <c r="B4" s="11"/>
      <c r="C4" s="11"/>
      <c r="D4" s="11"/>
      <c r="E4" s="12"/>
      <c r="F4" s="11"/>
      <c r="G4" s="11"/>
      <c r="H4" s="13"/>
      <c r="I4" s="11"/>
      <c r="J4" s="11"/>
    </row>
    <row x14ac:dyDescent="0.25" r="5" customHeight="1" ht="17.25">
      <c r="A5" s="14" t="s">
        <v>3</v>
      </c>
      <c r="B5" s="14" t="s">
        <v>4</v>
      </c>
      <c r="C5" s="14" t="s">
        <v>5</v>
      </c>
      <c r="D5" s="14" t="s">
        <v>6</v>
      </c>
      <c r="E5" s="15" t="s">
        <v>7</v>
      </c>
      <c r="F5" s="14" t="s">
        <v>8</v>
      </c>
      <c r="G5" s="14" t="s">
        <v>9</v>
      </c>
      <c r="H5" s="16" t="s">
        <v>10</v>
      </c>
      <c r="I5" s="14" t="s">
        <v>11</v>
      </c>
      <c r="J5" s="14" t="s">
        <v>12</v>
      </c>
    </row>
    <row x14ac:dyDescent="0.25" r="6" customHeight="1" ht="17.25">
      <c r="A6" s="17" t="s">
        <v>1668</v>
      </c>
      <c r="B6" s="17" t="s">
        <v>14</v>
      </c>
      <c r="C6" s="17" t="s">
        <v>15</v>
      </c>
      <c r="D6" s="17" t="s">
        <v>16</v>
      </c>
      <c r="E6" s="18">
        <f>ROUND(9477*1.05,2)</f>
      </c>
      <c r="F6" s="17" t="s">
        <v>17</v>
      </c>
      <c r="G6" s="17" t="s">
        <v>18</v>
      </c>
      <c r="H6" s="18">
        <f>ROUND(RAND()*4+6,1)</f>
      </c>
      <c r="I6" s="17" t="s">
        <v>19</v>
      </c>
      <c r="J6" s="19">
        <f>ROUND(86*1,0)&amp;"%"</f>
      </c>
    </row>
    <row x14ac:dyDescent="0.25" r="7" customHeight="1" ht="17.25">
      <c r="A7" s="20" t="s">
        <v>1669</v>
      </c>
      <c r="B7" s="20" t="s">
        <v>21</v>
      </c>
      <c r="C7" s="20" t="s">
        <v>15</v>
      </c>
      <c r="D7" s="20" t="s">
        <v>22</v>
      </c>
      <c r="E7" s="21">
        <f>ROUND(8048*1.05,2)</f>
      </c>
      <c r="F7" s="20" t="s">
        <v>23</v>
      </c>
      <c r="G7" s="20" t="s">
        <v>24</v>
      </c>
      <c r="H7" s="21">
        <f>ROUND(RAND()*4+6,1)</f>
      </c>
      <c r="I7" s="20" t="s">
        <v>25</v>
      </c>
      <c r="J7" s="23">
        <f>ROUND(76*1,0)&amp;"%"</f>
      </c>
    </row>
    <row x14ac:dyDescent="0.25" r="8" customHeight="1" ht="17.25">
      <c r="A8" s="17" t="s">
        <v>1670</v>
      </c>
      <c r="B8" s="17" t="s">
        <v>27</v>
      </c>
      <c r="C8" s="17" t="s">
        <v>15</v>
      </c>
      <c r="D8" s="17" t="s">
        <v>28</v>
      </c>
      <c r="E8" s="18">
        <f>ROUND(9158*1.05,2)</f>
      </c>
      <c r="F8" s="17" t="s">
        <v>29</v>
      </c>
      <c r="G8" s="17" t="s">
        <v>30</v>
      </c>
      <c r="H8" s="18">
        <f>ROUND(RAND()*4+6,1)</f>
      </c>
      <c r="I8" s="17" t="s">
        <v>31</v>
      </c>
      <c r="J8" s="19">
        <f>ROUND(67*1,0)&amp;"%"</f>
      </c>
    </row>
    <row x14ac:dyDescent="0.25" r="9" customHeight="1" ht="17.25">
      <c r="A9" s="20" t="s">
        <v>1671</v>
      </c>
      <c r="B9" s="20" t="s">
        <v>33</v>
      </c>
      <c r="C9" s="20" t="s">
        <v>15</v>
      </c>
      <c r="D9" s="20" t="s">
        <v>34</v>
      </c>
      <c r="E9" s="21">
        <f>ROUND(16505*1.05,2)</f>
      </c>
      <c r="F9" s="20" t="s">
        <v>35</v>
      </c>
      <c r="G9" s="20" t="s">
        <v>18</v>
      </c>
      <c r="H9" s="21">
        <f>ROUND(RAND()*4+6,1)</f>
      </c>
      <c r="I9" s="20" t="s">
        <v>36</v>
      </c>
      <c r="J9" s="23">
        <f>ROUND(67*1,0)&amp;"%"</f>
      </c>
    </row>
    <row x14ac:dyDescent="0.25" r="10" customHeight="1" ht="17.25">
      <c r="A10" s="17" t="s">
        <v>1672</v>
      </c>
      <c r="B10" s="17" t="s">
        <v>38</v>
      </c>
      <c r="C10" s="17" t="s">
        <v>15</v>
      </c>
      <c r="D10" s="17" t="s">
        <v>39</v>
      </c>
      <c r="E10" s="18">
        <f>ROUND(7705*1.05,2)</f>
      </c>
      <c r="F10" s="17" t="s">
        <v>40</v>
      </c>
      <c r="G10" s="17" t="s">
        <v>24</v>
      </c>
      <c r="H10" s="18">
        <f>ROUND(RAND()*4+6,1)</f>
      </c>
      <c r="I10" s="17" t="s">
        <v>41</v>
      </c>
      <c r="J10" s="19">
        <f>ROUND(99*1,0)&amp;"%"</f>
      </c>
    </row>
    <row x14ac:dyDescent="0.25" r="11" customHeight="1" ht="17.25">
      <c r="A11" s="20" t="s">
        <v>1673</v>
      </c>
      <c r="B11" s="20" t="s">
        <v>43</v>
      </c>
      <c r="C11" s="20" t="s">
        <v>15</v>
      </c>
      <c r="D11" s="20" t="s">
        <v>67</v>
      </c>
      <c r="E11" s="21">
        <f>ROUND(13264*1.05,2)</f>
      </c>
      <c r="F11" s="20" t="s">
        <v>44</v>
      </c>
      <c r="G11" s="20" t="s">
        <v>30</v>
      </c>
      <c r="H11" s="21">
        <f>ROUND(RAND()*4+6,1)</f>
      </c>
      <c r="I11" s="20" t="s">
        <v>45</v>
      </c>
      <c r="J11" s="23">
        <f>ROUND(65*1,0)&amp;"%"</f>
      </c>
    </row>
    <row x14ac:dyDescent="0.25" r="12" customHeight="1" ht="17.25">
      <c r="A12" s="17" t="s">
        <v>1674</v>
      </c>
      <c r="B12" s="17" t="s">
        <v>47</v>
      </c>
      <c r="C12" s="17" t="s">
        <v>15</v>
      </c>
      <c r="D12" s="17" t="s">
        <v>16</v>
      </c>
      <c r="E12" s="18">
        <f>ROUND(13549*1.05,2)</f>
      </c>
      <c r="F12" s="17" t="s">
        <v>48</v>
      </c>
      <c r="G12" s="17" t="s">
        <v>18</v>
      </c>
      <c r="H12" s="18">
        <f>ROUND(RAND()*4+6,1)</f>
      </c>
      <c r="I12" s="17" t="s">
        <v>19</v>
      </c>
      <c r="J12" s="19">
        <f>ROUND(77*1,0)&amp;"%"</f>
      </c>
    </row>
    <row x14ac:dyDescent="0.25" r="13" customHeight="1" ht="17.25">
      <c r="A13" s="20" t="s">
        <v>1675</v>
      </c>
      <c r="B13" s="20" t="s">
        <v>50</v>
      </c>
      <c r="C13" s="20" t="s">
        <v>15</v>
      </c>
      <c r="D13" s="20" t="s">
        <v>22</v>
      </c>
      <c r="E13" s="21">
        <f>ROUND(11832*1.05,2)</f>
      </c>
      <c r="F13" s="20" t="s">
        <v>51</v>
      </c>
      <c r="G13" s="20" t="s">
        <v>24</v>
      </c>
      <c r="H13" s="21">
        <f>ROUND(RAND()*4+6,1)</f>
      </c>
      <c r="I13" s="20" t="s">
        <v>25</v>
      </c>
      <c r="J13" s="23">
        <f>ROUND(81*1,0)&amp;"%"</f>
      </c>
    </row>
    <row x14ac:dyDescent="0.25" r="14" customHeight="1" ht="17.25">
      <c r="A14" s="24" t="s">
        <v>52</v>
      </c>
      <c r="B14" s="24"/>
      <c r="C14" s="24"/>
      <c r="D14" s="24"/>
      <c r="E14" s="25">
        <v>8</v>
      </c>
      <c r="F14" s="9"/>
      <c r="G14" s="9"/>
      <c r="H14" s="10"/>
      <c r="I14" s="9"/>
      <c r="J14" s="9"/>
    </row>
    <row x14ac:dyDescent="0.25" r="15" customHeight="1" ht="17.25">
      <c r="A15" s="7"/>
      <c r="B15" s="7"/>
      <c r="C15" s="7"/>
      <c r="D15" s="7"/>
      <c r="E15" s="8"/>
      <c r="F15" s="9"/>
      <c r="G15" s="9"/>
      <c r="H15" s="10"/>
      <c r="I15" s="9"/>
      <c r="J15" s="9"/>
    </row>
    <row x14ac:dyDescent="0.25" r="16" customHeight="1" ht="17.25">
      <c r="A16" s="11" t="s">
        <v>1676</v>
      </c>
      <c r="B16" s="11"/>
      <c r="C16" s="11"/>
      <c r="D16" s="11"/>
      <c r="E16" s="12"/>
      <c r="F16" s="11"/>
      <c r="G16" s="11"/>
      <c r="H16" s="13"/>
      <c r="I16" s="11"/>
      <c r="J16" s="11"/>
    </row>
    <row x14ac:dyDescent="0.25" r="17" customHeight="1" ht="17.25">
      <c r="A17" s="14" t="s">
        <v>3</v>
      </c>
      <c r="B17" s="14" t="s">
        <v>4</v>
      </c>
      <c r="C17" s="14" t="s">
        <v>5</v>
      </c>
      <c r="D17" s="14" t="s">
        <v>6</v>
      </c>
      <c r="E17" s="15" t="s">
        <v>7</v>
      </c>
      <c r="F17" s="14" t="s">
        <v>8</v>
      </c>
      <c r="G17" s="14" t="s">
        <v>9</v>
      </c>
      <c r="H17" s="16" t="s">
        <v>10</v>
      </c>
      <c r="I17" s="14" t="s">
        <v>11</v>
      </c>
      <c r="J17" s="14" t="s">
        <v>12</v>
      </c>
    </row>
    <row x14ac:dyDescent="0.25" r="18" customHeight="1" ht="17.25">
      <c r="A18" s="17" t="s">
        <v>1677</v>
      </c>
      <c r="B18" s="17" t="s">
        <v>55</v>
      </c>
      <c r="C18" s="17" t="s">
        <v>56</v>
      </c>
      <c r="D18" s="17" t="s">
        <v>16</v>
      </c>
      <c r="E18" s="18">
        <f>ROUND(10031*1.05,2)</f>
      </c>
      <c r="F18" s="17" t="s">
        <v>17</v>
      </c>
      <c r="G18" s="17" t="s">
        <v>18</v>
      </c>
      <c r="H18" s="26">
        <f>ROUND(RAND()*4+6,1)</f>
      </c>
      <c r="I18" s="17" t="s">
        <v>19</v>
      </c>
      <c r="J18" s="19">
        <f>ROUND(76*1,0)&amp;"%"</f>
      </c>
    </row>
    <row x14ac:dyDescent="0.25" r="19" customHeight="1" ht="17.25">
      <c r="A19" s="20" t="s">
        <v>1678</v>
      </c>
      <c r="B19" s="20" t="s">
        <v>58</v>
      </c>
      <c r="C19" s="20" t="s">
        <v>56</v>
      </c>
      <c r="D19" s="20" t="s">
        <v>22</v>
      </c>
      <c r="E19" s="21">
        <f>ROUND(7848*1.05,2)</f>
      </c>
      <c r="F19" s="20" t="s">
        <v>23</v>
      </c>
      <c r="G19" s="20" t="s">
        <v>24</v>
      </c>
      <c r="H19" s="21">
        <f>ROUND(RAND()*4+6,1)</f>
      </c>
      <c r="I19" s="20" t="s">
        <v>25</v>
      </c>
      <c r="J19" s="23">
        <f>ROUND(70*1,0)&amp;"%"</f>
      </c>
    </row>
    <row x14ac:dyDescent="0.25" r="20" customHeight="1" ht="17.25">
      <c r="A20" s="17" t="s">
        <v>1679</v>
      </c>
      <c r="B20" s="17" t="s">
        <v>60</v>
      </c>
      <c r="C20" s="17" t="s">
        <v>56</v>
      </c>
      <c r="D20" s="17" t="s">
        <v>28</v>
      </c>
      <c r="E20" s="18">
        <f>ROUND(12663*1.05,2)</f>
      </c>
      <c r="F20" s="17" t="s">
        <v>29</v>
      </c>
      <c r="G20" s="17" t="s">
        <v>30</v>
      </c>
      <c r="H20" s="18">
        <f>ROUND(RAND()*4+6,1)</f>
      </c>
      <c r="I20" s="17" t="s">
        <v>31</v>
      </c>
      <c r="J20" s="19">
        <f>ROUND(67*1,0)&amp;"%"</f>
      </c>
    </row>
    <row x14ac:dyDescent="0.25" r="21" customHeight="1" ht="17.25">
      <c r="A21" s="20" t="s">
        <v>1680</v>
      </c>
      <c r="B21" s="20" t="s">
        <v>62</v>
      </c>
      <c r="C21" s="20" t="s">
        <v>56</v>
      </c>
      <c r="D21" s="20" t="s">
        <v>34</v>
      </c>
      <c r="E21" s="21">
        <f>ROUND(5971*1.05,2)</f>
      </c>
      <c r="F21" s="20" t="s">
        <v>35</v>
      </c>
      <c r="G21" s="20" t="s">
        <v>18</v>
      </c>
      <c r="H21" s="21">
        <f>ROUND(RAND()*4+6,1)</f>
      </c>
      <c r="I21" s="20" t="s">
        <v>36</v>
      </c>
      <c r="J21" s="23">
        <f>ROUND(98*1,0)&amp;"%"</f>
      </c>
    </row>
    <row x14ac:dyDescent="0.25" r="22" customHeight="1" ht="17.25">
      <c r="A22" s="17" t="s">
        <v>1681</v>
      </c>
      <c r="B22" s="17" t="s">
        <v>64</v>
      </c>
      <c r="C22" s="17" t="s">
        <v>56</v>
      </c>
      <c r="D22" s="17" t="s">
        <v>39</v>
      </c>
      <c r="E22" s="18">
        <f>ROUND(4898*1.05,2)</f>
      </c>
      <c r="F22" s="17" t="s">
        <v>40</v>
      </c>
      <c r="G22" s="17" t="s">
        <v>24</v>
      </c>
      <c r="H22" s="18">
        <f>ROUND(RAND()*4+6,1)</f>
      </c>
      <c r="I22" s="17" t="s">
        <v>41</v>
      </c>
      <c r="J22" s="19">
        <f>ROUND(61*1,0)&amp;"%"</f>
      </c>
    </row>
    <row x14ac:dyDescent="0.25" r="23" customHeight="1" ht="17.25">
      <c r="A23" s="20" t="s">
        <v>1682</v>
      </c>
      <c r="B23" s="20" t="s">
        <v>66</v>
      </c>
      <c r="C23" s="20" t="s">
        <v>56</v>
      </c>
      <c r="D23" s="20" t="s">
        <v>67</v>
      </c>
      <c r="E23" s="21">
        <f>ROUND(5769*1.05,2)</f>
      </c>
      <c r="F23" s="20" t="s">
        <v>44</v>
      </c>
      <c r="G23" s="20" t="s">
        <v>30</v>
      </c>
      <c r="H23" s="21">
        <f>ROUND(RAND()*4+6,1)</f>
      </c>
      <c r="I23" s="20" t="s">
        <v>45</v>
      </c>
      <c r="J23" s="23">
        <f>ROUND(89*1,0)&amp;"%"</f>
      </c>
    </row>
    <row x14ac:dyDescent="0.25" r="24" customHeight="1" ht="17.25">
      <c r="A24" s="17" t="s">
        <v>1683</v>
      </c>
      <c r="B24" s="17" t="s">
        <v>69</v>
      </c>
      <c r="C24" s="17" t="s">
        <v>56</v>
      </c>
      <c r="D24" s="17" t="s">
        <v>16</v>
      </c>
      <c r="E24" s="18">
        <f>ROUND(14116*1.05,2)</f>
      </c>
      <c r="F24" s="17" t="s">
        <v>48</v>
      </c>
      <c r="G24" s="17" t="s">
        <v>18</v>
      </c>
      <c r="H24" s="26">
        <f>ROUND(RAND()*4+6,1)</f>
      </c>
      <c r="I24" s="17" t="s">
        <v>19</v>
      </c>
      <c r="J24" s="19">
        <f>ROUND(67*1,0)&amp;"%"</f>
      </c>
    </row>
    <row x14ac:dyDescent="0.25" r="25" customHeight="1" ht="17.25">
      <c r="A25" s="20" t="s">
        <v>1684</v>
      </c>
      <c r="B25" s="20" t="s">
        <v>71</v>
      </c>
      <c r="C25" s="20" t="s">
        <v>56</v>
      </c>
      <c r="D25" s="20" t="s">
        <v>22</v>
      </c>
      <c r="E25" s="21">
        <f>ROUND(10450*1.05,2)</f>
      </c>
      <c r="F25" s="20" t="s">
        <v>51</v>
      </c>
      <c r="G25" s="20" t="s">
        <v>24</v>
      </c>
      <c r="H25" s="21">
        <f>ROUND(RAND()*4+6,1)</f>
      </c>
      <c r="I25" s="20" t="s">
        <v>25</v>
      </c>
      <c r="J25" s="23">
        <f>ROUND(98*1,0)&amp;"%"</f>
      </c>
    </row>
    <row x14ac:dyDescent="0.25" r="26" customHeight="1" ht="17.25">
      <c r="A26" s="24" t="s">
        <v>72</v>
      </c>
      <c r="B26" s="24"/>
      <c r="C26" s="24"/>
      <c r="D26" s="24"/>
      <c r="E26" s="25">
        <v>8</v>
      </c>
      <c r="F26" s="9"/>
      <c r="G26" s="9"/>
      <c r="H26" s="10"/>
      <c r="I26" s="9"/>
      <c r="J26" s="9"/>
    </row>
    <row x14ac:dyDescent="0.25" r="27" customHeight="1" ht="17.25">
      <c r="A27" s="7"/>
      <c r="B27" s="7"/>
      <c r="C27" s="7"/>
      <c r="D27" s="7"/>
      <c r="E27" s="8"/>
      <c r="F27" s="9"/>
      <c r="G27" s="9"/>
      <c r="H27" s="10"/>
      <c r="I27" s="9"/>
      <c r="J27" s="9"/>
    </row>
    <row x14ac:dyDescent="0.25" r="28" customHeight="1" ht="17.25">
      <c r="A28" s="11" t="s">
        <v>1685</v>
      </c>
      <c r="B28" s="11"/>
      <c r="C28" s="11"/>
      <c r="D28" s="11"/>
      <c r="E28" s="12"/>
      <c r="F28" s="11"/>
      <c r="G28" s="11"/>
      <c r="H28" s="13"/>
      <c r="I28" s="11"/>
      <c r="J28" s="11"/>
    </row>
    <row x14ac:dyDescent="0.25" r="29" customHeight="1" ht="17.25">
      <c r="A29" s="14" t="s">
        <v>3</v>
      </c>
      <c r="B29" s="14" t="s">
        <v>4</v>
      </c>
      <c r="C29" s="14" t="s">
        <v>5</v>
      </c>
      <c r="D29" s="14" t="s">
        <v>6</v>
      </c>
      <c r="E29" s="15" t="s">
        <v>7</v>
      </c>
      <c r="F29" s="14" t="s">
        <v>8</v>
      </c>
      <c r="G29" s="14" t="s">
        <v>9</v>
      </c>
      <c r="H29" s="16" t="s">
        <v>10</v>
      </c>
      <c r="I29" s="14" t="s">
        <v>11</v>
      </c>
      <c r="J29" s="14" t="s">
        <v>12</v>
      </c>
    </row>
    <row x14ac:dyDescent="0.25" r="30" customHeight="1" ht="17.25">
      <c r="A30" s="17" t="s">
        <v>1686</v>
      </c>
      <c r="B30" s="17" t="s">
        <v>75</v>
      </c>
      <c r="C30" s="17" t="s">
        <v>76</v>
      </c>
      <c r="D30" s="17" t="s">
        <v>16</v>
      </c>
      <c r="E30" s="18">
        <f>ROUND(8335*1.05,2)</f>
      </c>
      <c r="F30" s="17" t="s">
        <v>17</v>
      </c>
      <c r="G30" s="17" t="s">
        <v>18</v>
      </c>
      <c r="H30" s="18">
        <f>ROUND(RAND()*4+6,1)</f>
      </c>
      <c r="I30" s="17" t="s">
        <v>19</v>
      </c>
      <c r="J30" s="19">
        <f>ROUND(84*1,0)&amp;"%"</f>
      </c>
    </row>
    <row x14ac:dyDescent="0.25" r="31" customHeight="1" ht="17.25">
      <c r="A31" s="20" t="s">
        <v>1687</v>
      </c>
      <c r="B31" s="20" t="s">
        <v>78</v>
      </c>
      <c r="C31" s="20" t="s">
        <v>76</v>
      </c>
      <c r="D31" s="20" t="s">
        <v>22</v>
      </c>
      <c r="E31" s="21">
        <f>ROUND(12743*1.05,2)</f>
      </c>
      <c r="F31" s="20" t="s">
        <v>23</v>
      </c>
      <c r="G31" s="20" t="s">
        <v>24</v>
      </c>
      <c r="H31" s="21">
        <f>ROUND(RAND()*4+6,1)</f>
      </c>
      <c r="I31" s="20" t="s">
        <v>25</v>
      </c>
      <c r="J31" s="23">
        <f>ROUND(62*1,0)&amp;"%"</f>
      </c>
    </row>
    <row x14ac:dyDescent="0.25" r="32" customHeight="1" ht="17.25">
      <c r="A32" s="17" t="s">
        <v>1688</v>
      </c>
      <c r="B32" s="17" t="s">
        <v>80</v>
      </c>
      <c r="C32" s="17" t="s">
        <v>76</v>
      </c>
      <c r="D32" s="17" t="s">
        <v>28</v>
      </c>
      <c r="E32" s="18">
        <f>ROUND(12243*1.05,2)</f>
      </c>
      <c r="F32" s="17" t="s">
        <v>29</v>
      </c>
      <c r="G32" s="17" t="s">
        <v>30</v>
      </c>
      <c r="H32" s="26">
        <f>ROUND(RAND()*4+6,1)</f>
      </c>
      <c r="I32" s="17" t="s">
        <v>31</v>
      </c>
      <c r="J32" s="19">
        <f>ROUND(86*1,0)&amp;"%"</f>
      </c>
    </row>
    <row x14ac:dyDescent="0.25" r="33" customHeight="1" ht="17.25">
      <c r="A33" s="20" t="s">
        <v>1689</v>
      </c>
      <c r="B33" s="20" t="s">
        <v>82</v>
      </c>
      <c r="C33" s="20" t="s">
        <v>76</v>
      </c>
      <c r="D33" s="20" t="s">
        <v>34</v>
      </c>
      <c r="E33" s="21">
        <f>ROUND(14482*1.05,2)</f>
      </c>
      <c r="F33" s="20" t="s">
        <v>35</v>
      </c>
      <c r="G33" s="20" t="s">
        <v>18</v>
      </c>
      <c r="H33" s="21">
        <f>ROUND(RAND()*4+6,1)</f>
      </c>
      <c r="I33" s="20" t="s">
        <v>36</v>
      </c>
      <c r="J33" s="23">
        <f>ROUND(75*1,0)&amp;"%"</f>
      </c>
    </row>
    <row x14ac:dyDescent="0.25" r="34" customHeight="1" ht="17.25">
      <c r="A34" s="17" t="s">
        <v>1690</v>
      </c>
      <c r="B34" s="17" t="s">
        <v>84</v>
      </c>
      <c r="C34" s="17" t="s">
        <v>76</v>
      </c>
      <c r="D34" s="17" t="s">
        <v>39</v>
      </c>
      <c r="E34" s="18">
        <f>ROUND(15092*1.05,2)</f>
      </c>
      <c r="F34" s="17" t="s">
        <v>40</v>
      </c>
      <c r="G34" s="17" t="s">
        <v>24</v>
      </c>
      <c r="H34" s="18">
        <f>ROUND(RAND()*4+6,1)</f>
      </c>
      <c r="I34" s="17" t="s">
        <v>41</v>
      </c>
      <c r="J34" s="19">
        <f>ROUND(63*1,0)&amp;"%"</f>
      </c>
    </row>
    <row x14ac:dyDescent="0.25" r="35" customHeight="1" ht="17.25">
      <c r="A35" s="20" t="s">
        <v>1691</v>
      </c>
      <c r="B35" s="20" t="s">
        <v>86</v>
      </c>
      <c r="C35" s="20" t="s">
        <v>76</v>
      </c>
      <c r="D35" s="20" t="s">
        <v>67</v>
      </c>
      <c r="E35" s="21">
        <f>ROUND(6310*1.05,2)</f>
      </c>
      <c r="F35" s="20" t="s">
        <v>44</v>
      </c>
      <c r="G35" s="20" t="s">
        <v>30</v>
      </c>
      <c r="H35" s="21">
        <f>ROUND(RAND()*4+6,1)</f>
      </c>
      <c r="I35" s="20" t="s">
        <v>45</v>
      </c>
      <c r="J35" s="23">
        <f>ROUND(84*1,0)&amp;"%"</f>
      </c>
    </row>
    <row x14ac:dyDescent="0.25" r="36" customHeight="1" ht="17.25">
      <c r="A36" s="17" t="s">
        <v>1692</v>
      </c>
      <c r="B36" s="17" t="s">
        <v>88</v>
      </c>
      <c r="C36" s="17" t="s">
        <v>76</v>
      </c>
      <c r="D36" s="17" t="s">
        <v>16</v>
      </c>
      <c r="E36" s="18">
        <f>ROUND(13484*1.05,2)</f>
      </c>
      <c r="F36" s="17" t="s">
        <v>48</v>
      </c>
      <c r="G36" s="17" t="s">
        <v>18</v>
      </c>
      <c r="H36" s="18">
        <f>ROUND(RAND()*4+6,1)</f>
      </c>
      <c r="I36" s="17" t="s">
        <v>19</v>
      </c>
      <c r="J36" s="19">
        <f>ROUND(60*1,0)&amp;"%"</f>
      </c>
    </row>
    <row x14ac:dyDescent="0.25" r="37" customHeight="1" ht="17.25">
      <c r="A37" s="20" t="s">
        <v>1693</v>
      </c>
      <c r="B37" s="20" t="s">
        <v>90</v>
      </c>
      <c r="C37" s="20" t="s">
        <v>76</v>
      </c>
      <c r="D37" s="20" t="s">
        <v>22</v>
      </c>
      <c r="E37" s="21">
        <f>ROUND(13391*1.05,2)</f>
      </c>
      <c r="F37" s="20" t="s">
        <v>51</v>
      </c>
      <c r="G37" s="20" t="s">
        <v>24</v>
      </c>
      <c r="H37" s="21">
        <f>ROUND(RAND()*4+6,1)</f>
      </c>
      <c r="I37" s="20" t="s">
        <v>25</v>
      </c>
      <c r="J37" s="23">
        <f>ROUND(61*1,0)&amp;"%"</f>
      </c>
    </row>
    <row x14ac:dyDescent="0.25" r="38" customHeight="1" ht="17.25">
      <c r="A38" s="24" t="s">
        <v>91</v>
      </c>
      <c r="B38" s="24"/>
      <c r="C38" s="24"/>
      <c r="D38" s="24"/>
      <c r="E38" s="25">
        <v>8</v>
      </c>
      <c r="F38" s="9"/>
      <c r="G38" s="9"/>
      <c r="H38" s="10"/>
      <c r="I38" s="9"/>
      <c r="J38" s="9"/>
    </row>
    <row x14ac:dyDescent="0.25" r="39" customHeight="1" ht="17.25">
      <c r="A39" s="7"/>
      <c r="B39" s="7"/>
      <c r="C39" s="7"/>
      <c r="D39" s="7"/>
      <c r="E39" s="8"/>
      <c r="F39" s="9"/>
      <c r="G39" s="9"/>
      <c r="H39" s="10"/>
      <c r="I39" s="9"/>
      <c r="J39" s="9"/>
    </row>
    <row x14ac:dyDescent="0.25" r="40" customHeight="1" ht="17.25">
      <c r="A40" s="11" t="s">
        <v>1694</v>
      </c>
      <c r="B40" s="11"/>
      <c r="C40" s="11"/>
      <c r="D40" s="11"/>
      <c r="E40" s="12"/>
      <c r="F40" s="11"/>
      <c r="G40" s="11"/>
      <c r="H40" s="13"/>
      <c r="I40" s="11"/>
      <c r="J40" s="11"/>
    </row>
    <row x14ac:dyDescent="0.25" r="41" customHeight="1" ht="17.25">
      <c r="A41" s="14" t="s">
        <v>3</v>
      </c>
      <c r="B41" s="14" t="s">
        <v>4</v>
      </c>
      <c r="C41" s="14" t="s">
        <v>5</v>
      </c>
      <c r="D41" s="14" t="s">
        <v>6</v>
      </c>
      <c r="E41" s="15" t="s">
        <v>7</v>
      </c>
      <c r="F41" s="14" t="s">
        <v>8</v>
      </c>
      <c r="G41" s="14" t="s">
        <v>9</v>
      </c>
      <c r="H41" s="16" t="s">
        <v>10</v>
      </c>
      <c r="I41" s="14" t="s">
        <v>11</v>
      </c>
      <c r="J41" s="14" t="s">
        <v>12</v>
      </c>
    </row>
    <row x14ac:dyDescent="0.25" r="42" customHeight="1" ht="17.25">
      <c r="A42" s="17" t="s">
        <v>1695</v>
      </c>
      <c r="B42" s="17" t="s">
        <v>94</v>
      </c>
      <c r="C42" s="17" t="s">
        <v>95</v>
      </c>
      <c r="D42" s="17" t="s">
        <v>16</v>
      </c>
      <c r="E42" s="18">
        <f>ROUND(8133*1.05,2)</f>
      </c>
      <c r="F42" s="17" t="s">
        <v>17</v>
      </c>
      <c r="G42" s="17" t="s">
        <v>18</v>
      </c>
      <c r="H42" s="18">
        <f>ROUND(RAND()*4+6,1)</f>
      </c>
      <c r="I42" s="17" t="s">
        <v>19</v>
      </c>
      <c r="J42" s="19">
        <f>ROUND(85*1,0)&amp;"%"</f>
      </c>
    </row>
    <row x14ac:dyDescent="0.25" r="43" customHeight="1" ht="17.25">
      <c r="A43" s="20" t="s">
        <v>1696</v>
      </c>
      <c r="B43" s="20" t="s">
        <v>97</v>
      </c>
      <c r="C43" s="20" t="s">
        <v>95</v>
      </c>
      <c r="D43" s="20" t="s">
        <v>22</v>
      </c>
      <c r="E43" s="21">
        <f>ROUND(12094*1.05,2)</f>
      </c>
      <c r="F43" s="20" t="s">
        <v>23</v>
      </c>
      <c r="G43" s="20" t="s">
        <v>24</v>
      </c>
      <c r="H43" s="21">
        <f>ROUND(RAND()*4+6,1)</f>
      </c>
      <c r="I43" s="20" t="s">
        <v>25</v>
      </c>
      <c r="J43" s="23">
        <f>ROUND(72*1,0)&amp;"%"</f>
      </c>
    </row>
    <row x14ac:dyDescent="0.25" r="44" customHeight="1" ht="17.25">
      <c r="A44" s="17" t="s">
        <v>1697</v>
      </c>
      <c r="B44" s="17" t="s">
        <v>99</v>
      </c>
      <c r="C44" s="17" t="s">
        <v>95</v>
      </c>
      <c r="D44" s="17" t="s">
        <v>28</v>
      </c>
      <c r="E44" s="18">
        <f>ROUND(8252*1.05,2)</f>
      </c>
      <c r="F44" s="17" t="s">
        <v>29</v>
      </c>
      <c r="G44" s="17" t="s">
        <v>30</v>
      </c>
      <c r="H44" s="18">
        <f>ROUND(RAND()*4+6,1)</f>
      </c>
      <c r="I44" s="17" t="s">
        <v>31</v>
      </c>
      <c r="J44" s="19">
        <f>ROUND(92*1,0)&amp;"%"</f>
      </c>
    </row>
    <row x14ac:dyDescent="0.25" r="45" customHeight="1" ht="17.25">
      <c r="A45" s="20" t="s">
        <v>1698</v>
      </c>
      <c r="B45" s="20" t="s">
        <v>101</v>
      </c>
      <c r="C45" s="20" t="s">
        <v>95</v>
      </c>
      <c r="D45" s="20" t="s">
        <v>34</v>
      </c>
      <c r="E45" s="21">
        <f>ROUND(12003*1.05,2)</f>
      </c>
      <c r="F45" s="20" t="s">
        <v>35</v>
      </c>
      <c r="G45" s="20" t="s">
        <v>18</v>
      </c>
      <c r="H45" s="21">
        <f>ROUND(RAND()*4+6,1)</f>
      </c>
      <c r="I45" s="20" t="s">
        <v>36</v>
      </c>
      <c r="J45" s="23">
        <f>ROUND(86*1,0)&amp;"%"</f>
      </c>
    </row>
    <row x14ac:dyDescent="0.25" r="46" customHeight="1" ht="17.25">
      <c r="A46" s="17" t="s">
        <v>1699</v>
      </c>
      <c r="B46" s="17" t="s">
        <v>103</v>
      </c>
      <c r="C46" s="17" t="s">
        <v>95</v>
      </c>
      <c r="D46" s="17" t="s">
        <v>39</v>
      </c>
      <c r="E46" s="18">
        <f>ROUND(9499*1.05,2)</f>
      </c>
      <c r="F46" s="17" t="s">
        <v>40</v>
      </c>
      <c r="G46" s="17" t="s">
        <v>24</v>
      </c>
      <c r="H46" s="18">
        <f>ROUND(RAND()*4+6,1)</f>
      </c>
      <c r="I46" s="17" t="s">
        <v>41</v>
      </c>
      <c r="J46" s="19">
        <f>ROUND(69*1,0)&amp;"%"</f>
      </c>
    </row>
    <row x14ac:dyDescent="0.25" r="47" customHeight="1" ht="17.25">
      <c r="A47" s="20" t="s">
        <v>1700</v>
      </c>
      <c r="B47" s="20" t="s">
        <v>105</v>
      </c>
      <c r="C47" s="20" t="s">
        <v>95</v>
      </c>
      <c r="D47" s="20" t="s">
        <v>67</v>
      </c>
      <c r="E47" s="21">
        <f>ROUND(14549*1.05,2)</f>
      </c>
      <c r="F47" s="20" t="s">
        <v>44</v>
      </c>
      <c r="G47" s="20" t="s">
        <v>30</v>
      </c>
      <c r="H47" s="21">
        <f>ROUND(RAND()*4+6,1)</f>
      </c>
      <c r="I47" s="20" t="s">
        <v>45</v>
      </c>
      <c r="J47" s="23">
        <f>ROUND(81*1,0)&amp;"%"</f>
      </c>
    </row>
    <row x14ac:dyDescent="0.25" r="48" customHeight="1" ht="17.25">
      <c r="A48" s="17" t="s">
        <v>1701</v>
      </c>
      <c r="B48" s="17" t="s">
        <v>107</v>
      </c>
      <c r="C48" s="17" t="s">
        <v>95</v>
      </c>
      <c r="D48" s="17" t="s">
        <v>16</v>
      </c>
      <c r="E48" s="18">
        <f>ROUND(14135*1.05,2)</f>
      </c>
      <c r="F48" s="17" t="s">
        <v>48</v>
      </c>
      <c r="G48" s="17" t="s">
        <v>18</v>
      </c>
      <c r="H48" s="18">
        <f>ROUND(RAND()*4+6,1)</f>
      </c>
      <c r="I48" s="17" t="s">
        <v>19</v>
      </c>
      <c r="J48" s="19">
        <f>ROUND(79*1,0)&amp;"%"</f>
      </c>
    </row>
    <row x14ac:dyDescent="0.25" r="49" customHeight="1" ht="17.25">
      <c r="A49" s="20" t="s">
        <v>1702</v>
      </c>
      <c r="B49" s="20" t="s">
        <v>109</v>
      </c>
      <c r="C49" s="20" t="s">
        <v>95</v>
      </c>
      <c r="D49" s="20" t="s">
        <v>22</v>
      </c>
      <c r="E49" s="22">
        <f>ROUND(16340*1.05,2)</f>
      </c>
      <c r="F49" s="20" t="s">
        <v>51</v>
      </c>
      <c r="G49" s="20" t="s">
        <v>24</v>
      </c>
      <c r="H49" s="21">
        <f>ROUND(RAND()*4+6,1)</f>
      </c>
      <c r="I49" s="20" t="s">
        <v>25</v>
      </c>
      <c r="J49" s="23">
        <f>ROUND(83*1,0)&amp;"%"</f>
      </c>
    </row>
    <row x14ac:dyDescent="0.25" r="50" customHeight="1" ht="17.25">
      <c r="A50" s="24" t="s">
        <v>110</v>
      </c>
      <c r="B50" s="24"/>
      <c r="C50" s="24"/>
      <c r="D50" s="24"/>
      <c r="E50" s="25">
        <v>8</v>
      </c>
      <c r="F50" s="9"/>
      <c r="G50" s="9"/>
      <c r="H50" s="10"/>
      <c r="I50" s="9"/>
      <c r="J50" s="9"/>
    </row>
    <row x14ac:dyDescent="0.25" r="51" customHeight="1" ht="17.25">
      <c r="A51" s="7"/>
      <c r="B51" s="7"/>
      <c r="C51" s="7"/>
      <c r="D51" s="7"/>
      <c r="E51" s="8"/>
      <c r="F51" s="9"/>
      <c r="G51" s="9"/>
      <c r="H51" s="10"/>
      <c r="I51" s="9"/>
      <c r="J51" s="9"/>
    </row>
    <row x14ac:dyDescent="0.25" r="52" customHeight="1" ht="17.25">
      <c r="A52" s="11" t="s">
        <v>1703</v>
      </c>
      <c r="B52" s="11"/>
      <c r="C52" s="11"/>
      <c r="D52" s="11"/>
      <c r="E52" s="12"/>
      <c r="F52" s="11"/>
      <c r="G52" s="11"/>
      <c r="H52" s="13"/>
      <c r="I52" s="11"/>
      <c r="J52" s="11"/>
    </row>
    <row x14ac:dyDescent="0.25" r="53" customHeight="1" ht="17.25">
      <c r="A53" s="14" t="s">
        <v>3</v>
      </c>
      <c r="B53" s="14" t="s">
        <v>4</v>
      </c>
      <c r="C53" s="14" t="s">
        <v>5</v>
      </c>
      <c r="D53" s="14" t="s">
        <v>6</v>
      </c>
      <c r="E53" s="15" t="s">
        <v>7</v>
      </c>
      <c r="F53" s="14" t="s">
        <v>8</v>
      </c>
      <c r="G53" s="14" t="s">
        <v>9</v>
      </c>
      <c r="H53" s="16" t="s">
        <v>10</v>
      </c>
      <c r="I53" s="14" t="s">
        <v>11</v>
      </c>
      <c r="J53" s="14" t="s">
        <v>12</v>
      </c>
    </row>
    <row x14ac:dyDescent="0.25" r="54" customHeight="1" ht="17.25">
      <c r="A54" s="17" t="s">
        <v>1704</v>
      </c>
      <c r="B54" s="17" t="s">
        <v>113</v>
      </c>
      <c r="C54" s="17" t="s">
        <v>114</v>
      </c>
      <c r="D54" s="17" t="s">
        <v>16</v>
      </c>
      <c r="E54" s="18">
        <f>ROUND(12929*1.05,2)</f>
      </c>
      <c r="F54" s="17" t="s">
        <v>17</v>
      </c>
      <c r="G54" s="17" t="s">
        <v>18</v>
      </c>
      <c r="H54" s="18">
        <f>ROUND(RAND()*4+6,1)</f>
      </c>
      <c r="I54" s="17" t="s">
        <v>19</v>
      </c>
      <c r="J54" s="19">
        <f>ROUND(80*1,0)&amp;"%"</f>
      </c>
    </row>
    <row x14ac:dyDescent="0.25" r="55" customHeight="1" ht="17.25">
      <c r="A55" s="20" t="s">
        <v>1705</v>
      </c>
      <c r="B55" s="20" t="s">
        <v>116</v>
      </c>
      <c r="C55" s="20" t="s">
        <v>114</v>
      </c>
      <c r="D55" s="20" t="s">
        <v>22</v>
      </c>
      <c r="E55" s="21">
        <f>ROUND(16924*1.05,2)</f>
      </c>
      <c r="F55" s="20" t="s">
        <v>23</v>
      </c>
      <c r="G55" s="20" t="s">
        <v>24</v>
      </c>
      <c r="H55" s="21">
        <f>ROUND(RAND()*4+6,1)</f>
      </c>
      <c r="I55" s="20" t="s">
        <v>25</v>
      </c>
      <c r="J55" s="23">
        <f>ROUND(90*1,0)&amp;"%"</f>
      </c>
    </row>
    <row x14ac:dyDescent="0.25" r="56" customHeight="1" ht="17.25">
      <c r="A56" s="17" t="s">
        <v>1706</v>
      </c>
      <c r="B56" s="17" t="s">
        <v>118</v>
      </c>
      <c r="C56" s="17" t="s">
        <v>114</v>
      </c>
      <c r="D56" s="17" t="s">
        <v>28</v>
      </c>
      <c r="E56" s="18">
        <f>ROUND(7778*1.05,2)</f>
      </c>
      <c r="F56" s="17" t="s">
        <v>29</v>
      </c>
      <c r="G56" s="17" t="s">
        <v>30</v>
      </c>
      <c r="H56" s="18">
        <f>ROUND(RAND()*4+6,1)</f>
      </c>
      <c r="I56" s="17" t="s">
        <v>31</v>
      </c>
      <c r="J56" s="19">
        <f>ROUND(90*1,0)&amp;"%"</f>
      </c>
    </row>
    <row x14ac:dyDescent="0.25" r="57" customHeight="1" ht="17.25">
      <c r="A57" s="20" t="s">
        <v>1707</v>
      </c>
      <c r="B57" s="20" t="s">
        <v>120</v>
      </c>
      <c r="C57" s="20" t="s">
        <v>114</v>
      </c>
      <c r="D57" s="20" t="s">
        <v>34</v>
      </c>
      <c r="E57" s="21">
        <f>ROUND(9543*1.05,2)</f>
      </c>
      <c r="F57" s="20" t="s">
        <v>35</v>
      </c>
      <c r="G57" s="20" t="s">
        <v>18</v>
      </c>
      <c r="H57" s="21">
        <f>ROUND(RAND()*4+6,1)</f>
      </c>
      <c r="I57" s="20" t="s">
        <v>36</v>
      </c>
      <c r="J57" s="23">
        <f>ROUND(83*1,0)&amp;"%"</f>
      </c>
    </row>
    <row x14ac:dyDescent="0.25" r="58" customHeight="1" ht="17.25">
      <c r="A58" s="17" t="s">
        <v>1708</v>
      </c>
      <c r="B58" s="17" t="s">
        <v>122</v>
      </c>
      <c r="C58" s="17" t="s">
        <v>114</v>
      </c>
      <c r="D58" s="17" t="s">
        <v>39</v>
      </c>
      <c r="E58" s="18">
        <f>ROUND(9213*1.05,2)</f>
      </c>
      <c r="F58" s="17" t="s">
        <v>40</v>
      </c>
      <c r="G58" s="17" t="s">
        <v>24</v>
      </c>
      <c r="H58" s="18">
        <f>ROUND(RAND()*4+6,1)</f>
      </c>
      <c r="I58" s="17" t="s">
        <v>41</v>
      </c>
      <c r="J58" s="19">
        <f>ROUND(94*1,0)&amp;"%"</f>
      </c>
    </row>
    <row x14ac:dyDescent="0.25" r="59" customHeight="1" ht="17.25">
      <c r="A59" s="20" t="s">
        <v>1709</v>
      </c>
      <c r="B59" s="20" t="s">
        <v>124</v>
      </c>
      <c r="C59" s="20" t="s">
        <v>114</v>
      </c>
      <c r="D59" s="20" t="s">
        <v>67</v>
      </c>
      <c r="E59" s="21">
        <f>ROUND(9894*1.05,2)</f>
      </c>
      <c r="F59" s="20" t="s">
        <v>44</v>
      </c>
      <c r="G59" s="20" t="s">
        <v>30</v>
      </c>
      <c r="H59" s="21">
        <f>ROUND(RAND()*4+6,1)</f>
      </c>
      <c r="I59" s="20" t="s">
        <v>45</v>
      </c>
      <c r="J59" s="23">
        <f>ROUND(99*1,0)&amp;"%"</f>
      </c>
    </row>
    <row x14ac:dyDescent="0.25" r="60" customHeight="1" ht="17.25">
      <c r="A60" s="17" t="s">
        <v>1710</v>
      </c>
      <c r="B60" s="17" t="s">
        <v>126</v>
      </c>
      <c r="C60" s="17" t="s">
        <v>114</v>
      </c>
      <c r="D60" s="17" t="s">
        <v>16</v>
      </c>
      <c r="E60" s="18">
        <f>ROUND(17071*1.05,2)</f>
      </c>
      <c r="F60" s="17" t="s">
        <v>48</v>
      </c>
      <c r="G60" s="17" t="s">
        <v>18</v>
      </c>
      <c r="H60" s="18">
        <f>ROUND(RAND()*4+6,1)</f>
      </c>
      <c r="I60" s="17" t="s">
        <v>19</v>
      </c>
      <c r="J60" s="19">
        <f>ROUND(63*1,0)&amp;"%"</f>
      </c>
    </row>
    <row x14ac:dyDescent="0.25" r="61" customHeight="1" ht="17.25">
      <c r="A61" s="20" t="s">
        <v>1711</v>
      </c>
      <c r="B61" s="20" t="s">
        <v>128</v>
      </c>
      <c r="C61" s="20" t="s">
        <v>114</v>
      </c>
      <c r="D61" s="20" t="s">
        <v>22</v>
      </c>
      <c r="E61" s="21">
        <f>ROUND(5792*1.05,2)</f>
      </c>
      <c r="F61" s="20" t="s">
        <v>51</v>
      </c>
      <c r="G61" s="20" t="s">
        <v>24</v>
      </c>
      <c r="H61" s="21">
        <f>ROUND(RAND()*4+6,1)</f>
      </c>
      <c r="I61" s="20" t="s">
        <v>25</v>
      </c>
      <c r="J61" s="23">
        <f>ROUND(65*1,0)&amp;"%"</f>
      </c>
    </row>
    <row x14ac:dyDescent="0.25" r="62" customHeight="1" ht="17.25">
      <c r="A62" s="24" t="s">
        <v>129</v>
      </c>
      <c r="B62" s="24"/>
      <c r="C62" s="24"/>
      <c r="D62" s="24"/>
      <c r="E62" s="25">
        <v>8</v>
      </c>
      <c r="F62" s="9"/>
      <c r="G62" s="9"/>
      <c r="H62" s="10"/>
      <c r="I62" s="9"/>
      <c r="J62" s="9"/>
    </row>
    <row x14ac:dyDescent="0.25" r="63" customHeight="1" ht="17.25">
      <c r="A63" s="7"/>
      <c r="B63" s="7"/>
      <c r="C63" s="7"/>
      <c r="D63" s="7"/>
      <c r="E63" s="8"/>
      <c r="F63" s="9"/>
      <c r="G63" s="9"/>
      <c r="H63" s="10"/>
      <c r="I63" s="9"/>
      <c r="J63" s="9"/>
    </row>
    <row x14ac:dyDescent="0.25" r="64" customHeight="1" ht="17.25">
      <c r="A64" s="11" t="s">
        <v>1712</v>
      </c>
      <c r="B64" s="11"/>
      <c r="C64" s="11"/>
      <c r="D64" s="11"/>
      <c r="E64" s="12"/>
      <c r="F64" s="11"/>
      <c r="G64" s="11"/>
      <c r="H64" s="13"/>
      <c r="I64" s="11"/>
      <c r="J64" s="11"/>
    </row>
    <row x14ac:dyDescent="0.25" r="65" customHeight="1" ht="17.25">
      <c r="A65" s="14" t="s">
        <v>3</v>
      </c>
      <c r="B65" s="14" t="s">
        <v>4</v>
      </c>
      <c r="C65" s="14" t="s">
        <v>5</v>
      </c>
      <c r="D65" s="14" t="s">
        <v>6</v>
      </c>
      <c r="E65" s="15" t="s">
        <v>7</v>
      </c>
      <c r="F65" s="14" t="s">
        <v>8</v>
      </c>
      <c r="G65" s="14" t="s">
        <v>9</v>
      </c>
      <c r="H65" s="16" t="s">
        <v>10</v>
      </c>
      <c r="I65" s="14" t="s">
        <v>11</v>
      </c>
      <c r="J65" s="14" t="s">
        <v>12</v>
      </c>
    </row>
    <row x14ac:dyDescent="0.25" r="66" customHeight="1" ht="17.25">
      <c r="A66" s="17" t="s">
        <v>1713</v>
      </c>
      <c r="B66" s="17" t="s">
        <v>132</v>
      </c>
      <c r="C66" s="17" t="s">
        <v>133</v>
      </c>
      <c r="D66" s="17" t="s">
        <v>16</v>
      </c>
      <c r="E66" s="18">
        <f>ROUND(10349*1.05,2)</f>
      </c>
      <c r="F66" s="17" t="s">
        <v>17</v>
      </c>
      <c r="G66" s="17" t="s">
        <v>18</v>
      </c>
      <c r="H66" s="18">
        <f>ROUND(RAND()*4+6,1)</f>
      </c>
      <c r="I66" s="17" t="s">
        <v>19</v>
      </c>
      <c r="J66" s="19">
        <f>ROUND(68*1,0)&amp;"%"</f>
      </c>
    </row>
    <row x14ac:dyDescent="0.25" r="67" customHeight="1" ht="17.25">
      <c r="A67" s="20" t="s">
        <v>1714</v>
      </c>
      <c r="B67" s="20" t="s">
        <v>135</v>
      </c>
      <c r="C67" s="20" t="s">
        <v>133</v>
      </c>
      <c r="D67" s="20" t="s">
        <v>22</v>
      </c>
      <c r="E67" s="22">
        <f>ROUND(17960*1.05,2)</f>
      </c>
      <c r="F67" s="20" t="s">
        <v>23</v>
      </c>
      <c r="G67" s="20" t="s">
        <v>24</v>
      </c>
      <c r="H67" s="21">
        <f>ROUND(RAND()*4+6,1)</f>
      </c>
      <c r="I67" s="20" t="s">
        <v>25</v>
      </c>
      <c r="J67" s="23">
        <f>ROUND(75*1,0)&amp;"%"</f>
      </c>
    </row>
    <row x14ac:dyDescent="0.25" r="68" customHeight="1" ht="17.25">
      <c r="A68" s="17" t="s">
        <v>1715</v>
      </c>
      <c r="B68" s="17" t="s">
        <v>137</v>
      </c>
      <c r="C68" s="17" t="s">
        <v>133</v>
      </c>
      <c r="D68" s="17" t="s">
        <v>28</v>
      </c>
      <c r="E68" s="18">
        <f>ROUND(10599*1.05,2)</f>
      </c>
      <c r="F68" s="17" t="s">
        <v>29</v>
      </c>
      <c r="G68" s="17" t="s">
        <v>30</v>
      </c>
      <c r="H68" s="18">
        <f>ROUND(RAND()*4+6,1)</f>
      </c>
      <c r="I68" s="17" t="s">
        <v>31</v>
      </c>
      <c r="J68" s="19">
        <f>ROUND(72*1,0)&amp;"%"</f>
      </c>
    </row>
    <row x14ac:dyDescent="0.25" r="69" customHeight="1" ht="17.25">
      <c r="A69" s="20" t="s">
        <v>1716</v>
      </c>
      <c r="B69" s="20" t="s">
        <v>139</v>
      </c>
      <c r="C69" s="20" t="s">
        <v>133</v>
      </c>
      <c r="D69" s="20" t="s">
        <v>34</v>
      </c>
      <c r="E69" s="21">
        <f>ROUND(5015*1.05,2)</f>
      </c>
      <c r="F69" s="20" t="s">
        <v>35</v>
      </c>
      <c r="G69" s="20" t="s">
        <v>18</v>
      </c>
      <c r="H69" s="21">
        <f>ROUND(RAND()*4+6,1)</f>
      </c>
      <c r="I69" s="20" t="s">
        <v>36</v>
      </c>
      <c r="J69" s="23">
        <f>ROUND(96*1,0)&amp;"%"</f>
      </c>
    </row>
    <row x14ac:dyDescent="0.25" r="70" customHeight="1" ht="17.25">
      <c r="A70" s="17" t="s">
        <v>1717</v>
      </c>
      <c r="B70" s="17" t="s">
        <v>141</v>
      </c>
      <c r="C70" s="17" t="s">
        <v>133</v>
      </c>
      <c r="D70" s="17" t="s">
        <v>39</v>
      </c>
      <c r="E70" s="18">
        <f>ROUND(10832*1.05,2)</f>
      </c>
      <c r="F70" s="17" t="s">
        <v>40</v>
      </c>
      <c r="G70" s="17" t="s">
        <v>24</v>
      </c>
      <c r="H70" s="18">
        <f>ROUND(RAND()*4+6,1)</f>
      </c>
      <c r="I70" s="17" t="s">
        <v>41</v>
      </c>
      <c r="J70" s="19">
        <f>ROUND(90*1,0)&amp;"%"</f>
      </c>
    </row>
    <row x14ac:dyDescent="0.25" r="71" customHeight="1" ht="17.25">
      <c r="A71" s="20" t="s">
        <v>1718</v>
      </c>
      <c r="B71" s="20" t="s">
        <v>143</v>
      </c>
      <c r="C71" s="20" t="s">
        <v>133</v>
      </c>
      <c r="D71" s="20" t="s">
        <v>67</v>
      </c>
      <c r="E71" s="21">
        <f>ROUND(11402*1.05,2)</f>
      </c>
      <c r="F71" s="20" t="s">
        <v>44</v>
      </c>
      <c r="G71" s="20" t="s">
        <v>30</v>
      </c>
      <c r="H71" s="21">
        <f>ROUND(RAND()*4+6,1)</f>
      </c>
      <c r="I71" s="20" t="s">
        <v>45</v>
      </c>
      <c r="J71" s="23">
        <f>ROUND(78*1,0)&amp;"%"</f>
      </c>
    </row>
    <row x14ac:dyDescent="0.25" r="72" customHeight="1" ht="17.25">
      <c r="A72" s="17" t="s">
        <v>1719</v>
      </c>
      <c r="B72" s="17" t="s">
        <v>145</v>
      </c>
      <c r="C72" s="17" t="s">
        <v>133</v>
      </c>
      <c r="D72" s="17" t="s">
        <v>16</v>
      </c>
      <c r="E72" s="18">
        <f>ROUND(6011*1.05,2)</f>
      </c>
      <c r="F72" s="17" t="s">
        <v>48</v>
      </c>
      <c r="G72" s="17" t="s">
        <v>18</v>
      </c>
      <c r="H72" s="18">
        <f>ROUND(RAND()*4+6,1)</f>
      </c>
      <c r="I72" s="17" t="s">
        <v>19</v>
      </c>
      <c r="J72" s="19">
        <f>ROUND(64*1,0)&amp;"%"</f>
      </c>
    </row>
    <row x14ac:dyDescent="0.25" r="73" customHeight="1" ht="17.25">
      <c r="A73" s="20" t="s">
        <v>1720</v>
      </c>
      <c r="B73" s="20" t="s">
        <v>147</v>
      </c>
      <c r="C73" s="20" t="s">
        <v>133</v>
      </c>
      <c r="D73" s="20" t="s">
        <v>22</v>
      </c>
      <c r="E73" s="22">
        <f>ROUND(11080*1.05,2)</f>
      </c>
      <c r="F73" s="20" t="s">
        <v>51</v>
      </c>
      <c r="G73" s="20" t="s">
        <v>24</v>
      </c>
      <c r="H73" s="21">
        <f>ROUND(RAND()*4+6,1)</f>
      </c>
      <c r="I73" s="20" t="s">
        <v>25</v>
      </c>
      <c r="J73" s="23">
        <f>ROUND(68*1,0)&amp;"%"</f>
      </c>
    </row>
    <row x14ac:dyDescent="0.25" r="74" customHeight="1" ht="17.25">
      <c r="A74" s="24" t="s">
        <v>148</v>
      </c>
      <c r="B74" s="24"/>
      <c r="C74" s="24"/>
      <c r="D74" s="24"/>
      <c r="E74" s="25">
        <v>8</v>
      </c>
      <c r="F74" s="9"/>
      <c r="G74" s="9"/>
      <c r="H74" s="10"/>
      <c r="I74" s="9"/>
      <c r="J74" s="9"/>
    </row>
    <row x14ac:dyDescent="0.25" r="75" customHeight="1" ht="17.25">
      <c r="A75" s="7"/>
      <c r="B75" s="7"/>
      <c r="C75" s="7"/>
      <c r="D75" s="7"/>
      <c r="E75" s="8"/>
      <c r="F75" s="9"/>
      <c r="G75" s="9"/>
      <c r="H75" s="10"/>
      <c r="I75" s="9"/>
      <c r="J75" s="9"/>
    </row>
    <row x14ac:dyDescent="0.25" r="76" customHeight="1" ht="17.25">
      <c r="A76" s="11" t="s">
        <v>1721</v>
      </c>
      <c r="B76" s="11"/>
      <c r="C76" s="11"/>
      <c r="D76" s="11"/>
      <c r="E76" s="12"/>
      <c r="F76" s="11"/>
      <c r="G76" s="11"/>
      <c r="H76" s="13"/>
      <c r="I76" s="11"/>
      <c r="J76" s="11"/>
    </row>
    <row x14ac:dyDescent="0.25" r="77" customHeight="1" ht="17.25">
      <c r="A77" s="14" t="s">
        <v>3</v>
      </c>
      <c r="B77" s="14" t="s">
        <v>4</v>
      </c>
      <c r="C77" s="14" t="s">
        <v>5</v>
      </c>
      <c r="D77" s="14" t="s">
        <v>6</v>
      </c>
      <c r="E77" s="15" t="s">
        <v>7</v>
      </c>
      <c r="F77" s="14" t="s">
        <v>8</v>
      </c>
      <c r="G77" s="14" t="s">
        <v>9</v>
      </c>
      <c r="H77" s="16" t="s">
        <v>10</v>
      </c>
      <c r="I77" s="14" t="s">
        <v>11</v>
      </c>
      <c r="J77" s="14" t="s">
        <v>12</v>
      </c>
    </row>
    <row x14ac:dyDescent="0.25" r="78" customHeight="1" ht="17.25">
      <c r="A78" s="17" t="s">
        <v>1722</v>
      </c>
      <c r="B78" s="17" t="s">
        <v>151</v>
      </c>
      <c r="C78" s="17" t="s">
        <v>152</v>
      </c>
      <c r="D78" s="17" t="s">
        <v>16</v>
      </c>
      <c r="E78" s="18">
        <f>ROUND(14127*1.05,2)</f>
      </c>
      <c r="F78" s="17" t="s">
        <v>17</v>
      </c>
      <c r="G78" s="17" t="s">
        <v>18</v>
      </c>
      <c r="H78" s="18">
        <f>ROUND(RAND()*4+6,1)</f>
      </c>
      <c r="I78" s="17" t="s">
        <v>19</v>
      </c>
      <c r="J78" s="19">
        <f>ROUND(95*1,0)&amp;"%"</f>
      </c>
    </row>
    <row x14ac:dyDescent="0.25" r="79" customHeight="1" ht="17.25">
      <c r="A79" s="20" t="s">
        <v>1723</v>
      </c>
      <c r="B79" s="20" t="s">
        <v>154</v>
      </c>
      <c r="C79" s="20" t="s">
        <v>152</v>
      </c>
      <c r="D79" s="20" t="s">
        <v>22</v>
      </c>
      <c r="E79" s="21">
        <f>ROUND(9623*1.05,2)</f>
      </c>
      <c r="F79" s="20" t="s">
        <v>23</v>
      </c>
      <c r="G79" s="20" t="s">
        <v>24</v>
      </c>
      <c r="H79" s="21">
        <f>ROUND(RAND()*4+6,1)</f>
      </c>
      <c r="I79" s="20" t="s">
        <v>25</v>
      </c>
      <c r="J79" s="23">
        <f>ROUND(64*1,0)&amp;"%"</f>
      </c>
    </row>
    <row x14ac:dyDescent="0.25" r="80" customHeight="1" ht="17.25">
      <c r="A80" s="17" t="s">
        <v>1724</v>
      </c>
      <c r="B80" s="17" t="s">
        <v>156</v>
      </c>
      <c r="C80" s="17" t="s">
        <v>152</v>
      </c>
      <c r="D80" s="17" t="s">
        <v>28</v>
      </c>
      <c r="E80" s="18">
        <f>ROUND(15186*1.05,2)</f>
      </c>
      <c r="F80" s="17" t="s">
        <v>29</v>
      </c>
      <c r="G80" s="17" t="s">
        <v>30</v>
      </c>
      <c r="H80" s="18">
        <f>ROUND(RAND()*4+6,1)</f>
      </c>
      <c r="I80" s="17" t="s">
        <v>31</v>
      </c>
      <c r="J80" s="19">
        <f>ROUND(100*1,0)&amp;"%"</f>
      </c>
    </row>
    <row x14ac:dyDescent="0.25" r="81" customHeight="1" ht="17.25">
      <c r="A81" s="20" t="s">
        <v>1725</v>
      </c>
      <c r="B81" s="20" t="s">
        <v>158</v>
      </c>
      <c r="C81" s="20" t="s">
        <v>152</v>
      </c>
      <c r="D81" s="20" t="s">
        <v>34</v>
      </c>
      <c r="E81" s="21">
        <f>ROUND(8832*1.05,2)</f>
      </c>
      <c r="F81" s="20" t="s">
        <v>35</v>
      </c>
      <c r="G81" s="20" t="s">
        <v>18</v>
      </c>
      <c r="H81" s="21">
        <f>ROUND(RAND()*4+6,1)</f>
      </c>
      <c r="I81" s="20" t="s">
        <v>36</v>
      </c>
      <c r="J81" s="23">
        <f>ROUND(91*1,0)&amp;"%"</f>
      </c>
    </row>
    <row x14ac:dyDescent="0.25" r="82" customHeight="1" ht="17.25">
      <c r="A82" s="17" t="s">
        <v>1726</v>
      </c>
      <c r="B82" s="17" t="s">
        <v>160</v>
      </c>
      <c r="C82" s="17" t="s">
        <v>152</v>
      </c>
      <c r="D82" s="17" t="s">
        <v>39</v>
      </c>
      <c r="E82" s="18">
        <f>ROUND(14571*1.05,2)</f>
      </c>
      <c r="F82" s="17" t="s">
        <v>40</v>
      </c>
      <c r="G82" s="17" t="s">
        <v>24</v>
      </c>
      <c r="H82" s="18">
        <f>ROUND(RAND()*4+6,1)</f>
      </c>
      <c r="I82" s="17" t="s">
        <v>41</v>
      </c>
      <c r="J82" s="19">
        <f>ROUND(84*1,0)&amp;"%"</f>
      </c>
    </row>
    <row x14ac:dyDescent="0.25" r="83" customHeight="1" ht="17.25">
      <c r="A83" s="20" t="s">
        <v>1727</v>
      </c>
      <c r="B83" s="20" t="s">
        <v>162</v>
      </c>
      <c r="C83" s="20" t="s">
        <v>152</v>
      </c>
      <c r="D83" s="20" t="s">
        <v>67</v>
      </c>
      <c r="E83" s="21">
        <f>ROUND(5287*1.05,2)</f>
      </c>
      <c r="F83" s="20" t="s">
        <v>44</v>
      </c>
      <c r="G83" s="20" t="s">
        <v>30</v>
      </c>
      <c r="H83" s="21">
        <f>ROUND(RAND()*4+6,1)</f>
      </c>
      <c r="I83" s="20" t="s">
        <v>45</v>
      </c>
      <c r="J83" s="23">
        <f>ROUND(87*1,0)&amp;"%"</f>
      </c>
    </row>
    <row x14ac:dyDescent="0.25" r="84" customHeight="1" ht="17.25">
      <c r="A84" s="17" t="s">
        <v>1728</v>
      </c>
      <c r="B84" s="17" t="s">
        <v>164</v>
      </c>
      <c r="C84" s="17" t="s">
        <v>152</v>
      </c>
      <c r="D84" s="17" t="s">
        <v>16</v>
      </c>
      <c r="E84" s="18">
        <f>ROUND(7508*1.05,2)</f>
      </c>
      <c r="F84" s="17" t="s">
        <v>48</v>
      </c>
      <c r="G84" s="17" t="s">
        <v>18</v>
      </c>
      <c r="H84" s="18">
        <f>ROUND(RAND()*4+6,1)</f>
      </c>
      <c r="I84" s="17" t="s">
        <v>19</v>
      </c>
      <c r="J84" s="19">
        <f>ROUND(69*1,0)&amp;"%"</f>
      </c>
    </row>
    <row x14ac:dyDescent="0.25" r="85" customHeight="1" ht="17.25">
      <c r="A85" s="20" t="s">
        <v>1729</v>
      </c>
      <c r="B85" s="20" t="s">
        <v>166</v>
      </c>
      <c r="C85" s="20" t="s">
        <v>152</v>
      </c>
      <c r="D85" s="20" t="s">
        <v>22</v>
      </c>
      <c r="E85" s="21">
        <f>ROUND(11275*1.05,2)</f>
      </c>
      <c r="F85" s="20" t="s">
        <v>51</v>
      </c>
      <c r="G85" s="20" t="s">
        <v>24</v>
      </c>
      <c r="H85" s="21">
        <f>ROUND(RAND()*4+6,1)</f>
      </c>
      <c r="I85" s="20" t="s">
        <v>25</v>
      </c>
      <c r="J85" s="23">
        <f>ROUND(89*1,0)&amp;"%"</f>
      </c>
    </row>
    <row x14ac:dyDescent="0.25" r="86" customHeight="1" ht="17.25">
      <c r="A86" s="24" t="s">
        <v>167</v>
      </c>
      <c r="B86" s="24"/>
      <c r="C86" s="24"/>
      <c r="D86" s="24"/>
      <c r="E86" s="25">
        <v>8</v>
      </c>
      <c r="F86" s="9"/>
      <c r="G86" s="9"/>
      <c r="H86" s="10"/>
      <c r="I86" s="9"/>
      <c r="J86" s="9"/>
    </row>
    <row x14ac:dyDescent="0.25" r="87" customHeight="1" ht="17.25">
      <c r="A87" s="7"/>
      <c r="B87" s="7"/>
      <c r="C87" s="7"/>
      <c r="D87" s="7"/>
      <c r="E87" s="8"/>
      <c r="F87" s="9"/>
      <c r="G87" s="9"/>
      <c r="H87" s="10"/>
      <c r="I87" s="9"/>
      <c r="J87" s="9"/>
    </row>
    <row x14ac:dyDescent="0.25" r="88" customHeight="1" ht="17.25">
      <c r="A88" s="11" t="s">
        <v>1730</v>
      </c>
      <c r="B88" s="11"/>
      <c r="C88" s="11"/>
      <c r="D88" s="11"/>
      <c r="E88" s="12"/>
      <c r="F88" s="11"/>
      <c r="G88" s="11"/>
      <c r="H88" s="13"/>
      <c r="I88" s="11"/>
      <c r="J88" s="11"/>
    </row>
    <row x14ac:dyDescent="0.25" r="89" customHeight="1" ht="17.25">
      <c r="A89" s="14" t="s">
        <v>3</v>
      </c>
      <c r="B89" s="14" t="s">
        <v>4</v>
      </c>
      <c r="C89" s="14" t="s">
        <v>5</v>
      </c>
      <c r="D89" s="14" t="s">
        <v>6</v>
      </c>
      <c r="E89" s="15" t="s">
        <v>7</v>
      </c>
      <c r="F89" s="14" t="s">
        <v>8</v>
      </c>
      <c r="G89" s="14" t="s">
        <v>9</v>
      </c>
      <c r="H89" s="16" t="s">
        <v>10</v>
      </c>
      <c r="I89" s="14" t="s">
        <v>11</v>
      </c>
      <c r="J89" s="14" t="s">
        <v>12</v>
      </c>
    </row>
    <row x14ac:dyDescent="0.25" r="90" customHeight="1" ht="17.25">
      <c r="A90" s="17" t="s">
        <v>1731</v>
      </c>
      <c r="B90" s="17" t="s">
        <v>170</v>
      </c>
      <c r="C90" s="17" t="s">
        <v>15</v>
      </c>
      <c r="D90" s="17" t="s">
        <v>16</v>
      </c>
      <c r="E90" s="18">
        <f>ROUND(11572*1.05,2)</f>
      </c>
      <c r="F90" s="17" t="s">
        <v>17</v>
      </c>
      <c r="G90" s="17" t="s">
        <v>18</v>
      </c>
      <c r="H90" s="18">
        <f>ROUND(RAND()*4+6,1)</f>
      </c>
      <c r="I90" s="17" t="s">
        <v>19</v>
      </c>
      <c r="J90" s="19">
        <f>ROUND(85*1,0)&amp;"%"</f>
      </c>
    </row>
    <row x14ac:dyDescent="0.25" r="91" customHeight="1" ht="17.25">
      <c r="A91" s="20" t="s">
        <v>1732</v>
      </c>
      <c r="B91" s="20" t="s">
        <v>172</v>
      </c>
      <c r="C91" s="20" t="s">
        <v>15</v>
      </c>
      <c r="D91" s="20" t="s">
        <v>22</v>
      </c>
      <c r="E91" s="21">
        <f>ROUND(11703*1.05,2)</f>
      </c>
      <c r="F91" s="20" t="s">
        <v>23</v>
      </c>
      <c r="G91" s="20" t="s">
        <v>24</v>
      </c>
      <c r="H91" s="21">
        <f>ROUND(RAND()*4+6,1)</f>
      </c>
      <c r="I91" s="20" t="s">
        <v>25</v>
      </c>
      <c r="J91" s="23">
        <f>ROUND(64*1,0)&amp;"%"</f>
      </c>
    </row>
    <row x14ac:dyDescent="0.25" r="92" customHeight="1" ht="17.25">
      <c r="A92" s="17" t="s">
        <v>1733</v>
      </c>
      <c r="B92" s="17" t="s">
        <v>174</v>
      </c>
      <c r="C92" s="17" t="s">
        <v>15</v>
      </c>
      <c r="D92" s="17" t="s">
        <v>28</v>
      </c>
      <c r="E92" s="18">
        <f>ROUND(15591*1.05,2)</f>
      </c>
      <c r="F92" s="17" t="s">
        <v>29</v>
      </c>
      <c r="G92" s="17" t="s">
        <v>30</v>
      </c>
      <c r="H92" s="18">
        <f>ROUND(RAND()*4+6,1)</f>
      </c>
      <c r="I92" s="17" t="s">
        <v>31</v>
      </c>
      <c r="J92" s="19">
        <f>ROUND(65*1,0)&amp;"%"</f>
      </c>
    </row>
    <row x14ac:dyDescent="0.25" r="93" customHeight="1" ht="17.25">
      <c r="A93" s="20" t="s">
        <v>1734</v>
      </c>
      <c r="B93" s="20" t="s">
        <v>176</v>
      </c>
      <c r="C93" s="20" t="s">
        <v>15</v>
      </c>
      <c r="D93" s="20" t="s">
        <v>34</v>
      </c>
      <c r="E93" s="21">
        <f>ROUND(14190*1.05,2)</f>
      </c>
      <c r="F93" s="20" t="s">
        <v>35</v>
      </c>
      <c r="G93" s="20" t="s">
        <v>18</v>
      </c>
      <c r="H93" s="21">
        <f>ROUND(RAND()*4+6,1)</f>
      </c>
      <c r="I93" s="20" t="s">
        <v>36</v>
      </c>
      <c r="J93" s="23">
        <f>ROUND(65*1,0)&amp;"%"</f>
      </c>
    </row>
    <row x14ac:dyDescent="0.25" r="94" customHeight="1" ht="17.25">
      <c r="A94" s="17" t="s">
        <v>1735</v>
      </c>
      <c r="B94" s="17" t="s">
        <v>178</v>
      </c>
      <c r="C94" s="17" t="s">
        <v>15</v>
      </c>
      <c r="D94" s="17" t="s">
        <v>39</v>
      </c>
      <c r="E94" s="18">
        <f>ROUND(16717*1.05,2)</f>
      </c>
      <c r="F94" s="17" t="s">
        <v>40</v>
      </c>
      <c r="G94" s="17" t="s">
        <v>24</v>
      </c>
      <c r="H94" s="18">
        <f>ROUND(RAND()*4+6,1)</f>
      </c>
      <c r="I94" s="17" t="s">
        <v>41</v>
      </c>
      <c r="J94" s="19">
        <f>ROUND(95*1,0)&amp;"%"</f>
      </c>
    </row>
    <row x14ac:dyDescent="0.25" r="95" customHeight="1" ht="17.25">
      <c r="A95" s="20" t="s">
        <v>1736</v>
      </c>
      <c r="B95" s="20" t="s">
        <v>180</v>
      </c>
      <c r="C95" s="20" t="s">
        <v>15</v>
      </c>
      <c r="D95" s="20" t="s">
        <v>67</v>
      </c>
      <c r="E95" s="21">
        <f>ROUND(12753*1.05,2)</f>
      </c>
      <c r="F95" s="20" t="s">
        <v>44</v>
      </c>
      <c r="G95" s="20" t="s">
        <v>30</v>
      </c>
      <c r="H95" s="21">
        <f>ROUND(RAND()*4+6,1)</f>
      </c>
      <c r="I95" s="20" t="s">
        <v>45</v>
      </c>
      <c r="J95" s="23">
        <f>ROUND(82*1,0)&amp;"%"</f>
      </c>
    </row>
    <row x14ac:dyDescent="0.25" r="96" customHeight="1" ht="17.25">
      <c r="A96" s="17" t="s">
        <v>1737</v>
      </c>
      <c r="B96" s="17" t="s">
        <v>182</v>
      </c>
      <c r="C96" s="17" t="s">
        <v>15</v>
      </c>
      <c r="D96" s="17" t="s">
        <v>16</v>
      </c>
      <c r="E96" s="18">
        <f>ROUND(9330*1.05,2)</f>
      </c>
      <c r="F96" s="17" t="s">
        <v>48</v>
      </c>
      <c r="G96" s="17" t="s">
        <v>18</v>
      </c>
      <c r="H96" s="18">
        <f>ROUND(RAND()*4+6,1)</f>
      </c>
      <c r="I96" s="17" t="s">
        <v>19</v>
      </c>
      <c r="J96" s="19">
        <f>ROUND(100*1,0)&amp;"%"</f>
      </c>
    </row>
    <row x14ac:dyDescent="0.25" r="97" customHeight="1" ht="17.25">
      <c r="A97" s="20" t="s">
        <v>1738</v>
      </c>
      <c r="B97" s="20" t="s">
        <v>184</v>
      </c>
      <c r="C97" s="20" t="s">
        <v>15</v>
      </c>
      <c r="D97" s="20" t="s">
        <v>22</v>
      </c>
      <c r="E97" s="21">
        <f>ROUND(9823*1.05,2)</f>
      </c>
      <c r="F97" s="20" t="s">
        <v>51</v>
      </c>
      <c r="G97" s="20" t="s">
        <v>24</v>
      </c>
      <c r="H97" s="21">
        <f>ROUND(RAND()*4+6,1)</f>
      </c>
      <c r="I97" s="20" t="s">
        <v>25</v>
      </c>
      <c r="J97" s="23">
        <f>ROUND(79*1,0)&amp;"%"</f>
      </c>
    </row>
    <row x14ac:dyDescent="0.25" r="98" customHeight="1" ht="17.25">
      <c r="A98" s="24" t="s">
        <v>185</v>
      </c>
      <c r="B98" s="24"/>
      <c r="C98" s="24"/>
      <c r="D98" s="24"/>
      <c r="E98" s="25">
        <v>8</v>
      </c>
      <c r="F98" s="9"/>
      <c r="G98" s="9"/>
      <c r="H98" s="10"/>
      <c r="I98" s="9"/>
      <c r="J98" s="9"/>
    </row>
    <row x14ac:dyDescent="0.25" r="99" customHeight="1" ht="17.25">
      <c r="A99" s="7"/>
      <c r="B99" s="7"/>
      <c r="C99" s="7"/>
      <c r="D99" s="7"/>
      <c r="E99" s="8"/>
      <c r="F99" s="9"/>
      <c r="G99" s="9"/>
      <c r="H99" s="10"/>
      <c r="I99" s="9"/>
      <c r="J99" s="9"/>
    </row>
    <row x14ac:dyDescent="0.25" r="100" customHeight="1" ht="17.25">
      <c r="A100" s="11" t="s">
        <v>1739</v>
      </c>
      <c r="B100" s="11"/>
      <c r="C100" s="11"/>
      <c r="D100" s="11"/>
      <c r="E100" s="12"/>
      <c r="F100" s="11"/>
      <c r="G100" s="11"/>
      <c r="H100" s="13"/>
      <c r="I100" s="11"/>
      <c r="J100" s="11"/>
    </row>
    <row x14ac:dyDescent="0.25" r="101" customHeight="1" ht="17.25">
      <c r="A101" s="14" t="s">
        <v>3</v>
      </c>
      <c r="B101" s="14" t="s">
        <v>4</v>
      </c>
      <c r="C101" s="14" t="s">
        <v>5</v>
      </c>
      <c r="D101" s="14" t="s">
        <v>6</v>
      </c>
      <c r="E101" s="15" t="s">
        <v>7</v>
      </c>
      <c r="F101" s="14" t="s">
        <v>8</v>
      </c>
      <c r="G101" s="14" t="s">
        <v>9</v>
      </c>
      <c r="H101" s="16" t="s">
        <v>10</v>
      </c>
      <c r="I101" s="14" t="s">
        <v>11</v>
      </c>
      <c r="J101" s="14" t="s">
        <v>12</v>
      </c>
    </row>
    <row x14ac:dyDescent="0.25" r="102" customHeight="1" ht="17.25">
      <c r="A102" s="17" t="s">
        <v>1740</v>
      </c>
      <c r="B102" s="17" t="s">
        <v>188</v>
      </c>
      <c r="C102" s="17" t="s">
        <v>56</v>
      </c>
      <c r="D102" s="17" t="s">
        <v>16</v>
      </c>
      <c r="E102" s="18">
        <f>ROUND(10408*1.05,2)</f>
      </c>
      <c r="F102" s="17" t="s">
        <v>17</v>
      </c>
      <c r="G102" s="17" t="s">
        <v>18</v>
      </c>
      <c r="H102" s="18">
        <f>ROUND(RAND()*4+6,1)</f>
      </c>
      <c r="I102" s="17" t="s">
        <v>19</v>
      </c>
      <c r="J102" s="19">
        <f>ROUND(77*1,0)&amp;"%"</f>
      </c>
    </row>
    <row x14ac:dyDescent="0.25" r="103" customHeight="1" ht="17.25">
      <c r="A103" s="20" t="s">
        <v>1741</v>
      </c>
      <c r="B103" s="20" t="s">
        <v>190</v>
      </c>
      <c r="C103" s="20" t="s">
        <v>56</v>
      </c>
      <c r="D103" s="20" t="s">
        <v>22</v>
      </c>
      <c r="E103" s="21">
        <f>ROUND(15852*1.05,2)</f>
      </c>
      <c r="F103" s="20" t="s">
        <v>23</v>
      </c>
      <c r="G103" s="20" t="s">
        <v>24</v>
      </c>
      <c r="H103" s="21">
        <f>ROUND(RAND()*4+6,1)</f>
      </c>
      <c r="I103" s="20" t="s">
        <v>25</v>
      </c>
      <c r="J103" s="23">
        <f>ROUND(76*1,0)&amp;"%"</f>
      </c>
    </row>
    <row x14ac:dyDescent="0.25" r="104" customHeight="1" ht="17.25">
      <c r="A104" s="17" t="s">
        <v>1742</v>
      </c>
      <c r="B104" s="17" t="s">
        <v>192</v>
      </c>
      <c r="C104" s="17" t="s">
        <v>56</v>
      </c>
      <c r="D104" s="17" t="s">
        <v>28</v>
      </c>
      <c r="E104" s="18">
        <f>ROUND(12368*1.05,2)</f>
      </c>
      <c r="F104" s="17" t="s">
        <v>29</v>
      </c>
      <c r="G104" s="17" t="s">
        <v>30</v>
      </c>
      <c r="H104" s="18">
        <f>ROUND(RAND()*4+6,1)</f>
      </c>
      <c r="I104" s="17" t="s">
        <v>31</v>
      </c>
      <c r="J104" s="19">
        <f>ROUND(87*1,0)&amp;"%"</f>
      </c>
    </row>
    <row x14ac:dyDescent="0.25" r="105" customHeight="1" ht="17.25">
      <c r="A105" s="20" t="s">
        <v>1743</v>
      </c>
      <c r="B105" s="20" t="s">
        <v>194</v>
      </c>
      <c r="C105" s="20" t="s">
        <v>56</v>
      </c>
      <c r="D105" s="20" t="s">
        <v>34</v>
      </c>
      <c r="E105" s="21">
        <f>ROUND(4624*1.05,2)</f>
      </c>
      <c r="F105" s="20" t="s">
        <v>35</v>
      </c>
      <c r="G105" s="20" t="s">
        <v>18</v>
      </c>
      <c r="H105" s="21">
        <f>ROUND(RAND()*4+6,1)</f>
      </c>
      <c r="I105" s="20" t="s">
        <v>36</v>
      </c>
      <c r="J105" s="23">
        <f>ROUND(81*1,0)&amp;"%"</f>
      </c>
    </row>
    <row x14ac:dyDescent="0.25" r="106" customHeight="1" ht="17.25">
      <c r="A106" s="17" t="s">
        <v>1744</v>
      </c>
      <c r="B106" s="17" t="s">
        <v>196</v>
      </c>
      <c r="C106" s="17" t="s">
        <v>56</v>
      </c>
      <c r="D106" s="17" t="s">
        <v>39</v>
      </c>
      <c r="E106" s="18">
        <f>ROUND(17405*1.05,2)</f>
      </c>
      <c r="F106" s="17" t="s">
        <v>40</v>
      </c>
      <c r="G106" s="17" t="s">
        <v>24</v>
      </c>
      <c r="H106" s="18">
        <f>ROUND(RAND()*4+6,1)</f>
      </c>
      <c r="I106" s="17" t="s">
        <v>41</v>
      </c>
      <c r="J106" s="19">
        <f>ROUND(82*1,0)&amp;"%"</f>
      </c>
    </row>
    <row x14ac:dyDescent="0.25" r="107" customHeight="1" ht="17.25">
      <c r="A107" s="20" t="s">
        <v>1745</v>
      </c>
      <c r="B107" s="20" t="s">
        <v>198</v>
      </c>
      <c r="C107" s="20" t="s">
        <v>56</v>
      </c>
      <c r="D107" s="20" t="s">
        <v>67</v>
      </c>
      <c r="E107" s="21">
        <f>ROUND(6570*1.05,2)</f>
      </c>
      <c r="F107" s="20" t="s">
        <v>44</v>
      </c>
      <c r="G107" s="20" t="s">
        <v>30</v>
      </c>
      <c r="H107" s="21">
        <f>ROUND(RAND()*4+6,1)</f>
      </c>
      <c r="I107" s="20" t="s">
        <v>45</v>
      </c>
      <c r="J107" s="23">
        <f>ROUND(74*1,0)&amp;"%"</f>
      </c>
    </row>
    <row x14ac:dyDescent="0.25" r="108" customHeight="1" ht="17.25">
      <c r="A108" s="17" t="s">
        <v>1746</v>
      </c>
      <c r="B108" s="17" t="s">
        <v>200</v>
      </c>
      <c r="C108" s="17" t="s">
        <v>56</v>
      </c>
      <c r="D108" s="17" t="s">
        <v>16</v>
      </c>
      <c r="E108" s="18">
        <f>ROUND(14443*1.05,2)</f>
      </c>
      <c r="F108" s="17" t="s">
        <v>48</v>
      </c>
      <c r="G108" s="17" t="s">
        <v>18</v>
      </c>
      <c r="H108" s="18">
        <f>ROUND(RAND()*4+6,1)</f>
      </c>
      <c r="I108" s="17" t="s">
        <v>19</v>
      </c>
      <c r="J108" s="19">
        <f>ROUND(74*1,0)&amp;"%"</f>
      </c>
    </row>
    <row x14ac:dyDescent="0.25" r="109" customHeight="1" ht="17.25">
      <c r="A109" s="20" t="s">
        <v>1747</v>
      </c>
      <c r="B109" s="20" t="s">
        <v>202</v>
      </c>
      <c r="C109" s="20" t="s">
        <v>56</v>
      </c>
      <c r="D109" s="20" t="s">
        <v>22</v>
      </c>
      <c r="E109" s="21">
        <f>ROUND(9413*1.05,2)</f>
      </c>
      <c r="F109" s="20" t="s">
        <v>51</v>
      </c>
      <c r="G109" s="20" t="s">
        <v>24</v>
      </c>
      <c r="H109" s="21">
        <f>ROUND(RAND()*4+6,1)</f>
      </c>
      <c r="I109" s="20" t="s">
        <v>25</v>
      </c>
      <c r="J109" s="23">
        <f>ROUND(69*1,0)&amp;"%"</f>
      </c>
    </row>
    <row x14ac:dyDescent="0.25" r="110" customHeight="1" ht="17.25">
      <c r="A110" s="24" t="s">
        <v>203</v>
      </c>
      <c r="B110" s="24"/>
      <c r="C110" s="24"/>
      <c r="D110" s="24"/>
      <c r="E110" s="25">
        <v>8</v>
      </c>
      <c r="F110" s="9"/>
      <c r="G110" s="9"/>
      <c r="H110" s="10"/>
      <c r="I110" s="9"/>
      <c r="J110" s="9"/>
    </row>
    <row x14ac:dyDescent="0.25" r="111" customHeight="1" ht="17.25">
      <c r="A111" s="7"/>
      <c r="B111" s="7"/>
      <c r="C111" s="7"/>
      <c r="D111" s="7"/>
      <c r="E111" s="8"/>
      <c r="F111" s="9"/>
      <c r="G111" s="9"/>
      <c r="H111" s="10"/>
      <c r="I111" s="9"/>
      <c r="J111" s="9"/>
    </row>
    <row x14ac:dyDescent="0.25" r="112" customHeight="1" ht="17.25">
      <c r="A112" s="11" t="s">
        <v>1748</v>
      </c>
      <c r="B112" s="11"/>
      <c r="C112" s="11"/>
      <c r="D112" s="11"/>
      <c r="E112" s="12"/>
      <c r="F112" s="11"/>
      <c r="G112" s="11"/>
      <c r="H112" s="13"/>
      <c r="I112" s="11"/>
      <c r="J112" s="11"/>
    </row>
    <row x14ac:dyDescent="0.25" r="113" customHeight="1" ht="17.25">
      <c r="A113" s="14" t="s">
        <v>3</v>
      </c>
      <c r="B113" s="14" t="s">
        <v>4</v>
      </c>
      <c r="C113" s="14" t="s">
        <v>5</v>
      </c>
      <c r="D113" s="14" t="s">
        <v>6</v>
      </c>
      <c r="E113" s="15" t="s">
        <v>7</v>
      </c>
      <c r="F113" s="14" t="s">
        <v>8</v>
      </c>
      <c r="G113" s="14" t="s">
        <v>9</v>
      </c>
      <c r="H113" s="16" t="s">
        <v>10</v>
      </c>
      <c r="I113" s="14" t="s">
        <v>11</v>
      </c>
      <c r="J113" s="14" t="s">
        <v>12</v>
      </c>
    </row>
    <row x14ac:dyDescent="0.25" r="114" customHeight="1" ht="17.25">
      <c r="A114" s="17" t="s">
        <v>1749</v>
      </c>
      <c r="B114" s="17" t="s">
        <v>206</v>
      </c>
      <c r="C114" s="17" t="s">
        <v>76</v>
      </c>
      <c r="D114" s="17" t="s">
        <v>16</v>
      </c>
      <c r="E114" s="18">
        <f>ROUND(6390*1.05,2)</f>
      </c>
      <c r="F114" s="17" t="s">
        <v>17</v>
      </c>
      <c r="G114" s="17" t="s">
        <v>18</v>
      </c>
      <c r="H114" s="18">
        <f>ROUND(RAND()*4+6,1)</f>
      </c>
      <c r="I114" s="17" t="s">
        <v>19</v>
      </c>
      <c r="J114" s="19">
        <f>ROUND(86*1,0)&amp;"%"</f>
      </c>
    </row>
    <row x14ac:dyDescent="0.25" r="115" customHeight="1" ht="17.25">
      <c r="A115" s="20" t="s">
        <v>1750</v>
      </c>
      <c r="B115" s="20" t="s">
        <v>208</v>
      </c>
      <c r="C115" s="20" t="s">
        <v>76</v>
      </c>
      <c r="D115" s="20" t="s">
        <v>22</v>
      </c>
      <c r="E115" s="21">
        <f>ROUND(4154*1.05,2)</f>
      </c>
      <c r="F115" s="20" t="s">
        <v>23</v>
      </c>
      <c r="G115" s="20" t="s">
        <v>24</v>
      </c>
      <c r="H115" s="21">
        <f>ROUND(RAND()*4+6,1)</f>
      </c>
      <c r="I115" s="20" t="s">
        <v>25</v>
      </c>
      <c r="J115" s="23">
        <f>ROUND(77*1,0)&amp;"%"</f>
      </c>
    </row>
    <row x14ac:dyDescent="0.25" r="116" customHeight="1" ht="17.25">
      <c r="A116" s="17" t="s">
        <v>1751</v>
      </c>
      <c r="B116" s="17" t="s">
        <v>210</v>
      </c>
      <c r="C116" s="17" t="s">
        <v>76</v>
      </c>
      <c r="D116" s="17" t="s">
        <v>28</v>
      </c>
      <c r="E116" s="18">
        <f>ROUND(16023*1.05,2)</f>
      </c>
      <c r="F116" s="17" t="s">
        <v>29</v>
      </c>
      <c r="G116" s="17" t="s">
        <v>30</v>
      </c>
      <c r="H116" s="18">
        <f>ROUND(RAND()*4+6,1)</f>
      </c>
      <c r="I116" s="17" t="s">
        <v>31</v>
      </c>
      <c r="J116" s="19">
        <f>ROUND(69*1,0)&amp;"%"</f>
      </c>
    </row>
    <row x14ac:dyDescent="0.25" r="117" customHeight="1" ht="17.25">
      <c r="A117" s="20" t="s">
        <v>1752</v>
      </c>
      <c r="B117" s="20" t="s">
        <v>212</v>
      </c>
      <c r="C117" s="20" t="s">
        <v>76</v>
      </c>
      <c r="D117" s="20" t="s">
        <v>34</v>
      </c>
      <c r="E117" s="21">
        <f>ROUND(16355*1.05,2)</f>
      </c>
      <c r="F117" s="20" t="s">
        <v>35</v>
      </c>
      <c r="G117" s="20" t="s">
        <v>18</v>
      </c>
      <c r="H117" s="21">
        <f>ROUND(RAND()*4+6,1)</f>
      </c>
      <c r="I117" s="20" t="s">
        <v>36</v>
      </c>
      <c r="J117" s="23">
        <f>ROUND(70*1,0)&amp;"%"</f>
      </c>
    </row>
    <row x14ac:dyDescent="0.25" r="118" customHeight="1" ht="17.25">
      <c r="A118" s="17" t="s">
        <v>1753</v>
      </c>
      <c r="B118" s="17" t="s">
        <v>214</v>
      </c>
      <c r="C118" s="17" t="s">
        <v>76</v>
      </c>
      <c r="D118" s="17" t="s">
        <v>39</v>
      </c>
      <c r="E118" s="18">
        <f>ROUND(9396*1.05,2)</f>
      </c>
      <c r="F118" s="17" t="s">
        <v>40</v>
      </c>
      <c r="G118" s="17" t="s">
        <v>24</v>
      </c>
      <c r="H118" s="18">
        <f>ROUND(RAND()*4+6,1)</f>
      </c>
      <c r="I118" s="17" t="s">
        <v>41</v>
      </c>
      <c r="J118" s="19">
        <f>ROUND(62*1,0)&amp;"%"</f>
      </c>
    </row>
    <row x14ac:dyDescent="0.25" r="119" customHeight="1" ht="17.25">
      <c r="A119" s="20" t="s">
        <v>1754</v>
      </c>
      <c r="B119" s="20" t="s">
        <v>216</v>
      </c>
      <c r="C119" s="20" t="s">
        <v>76</v>
      </c>
      <c r="D119" s="20" t="s">
        <v>67</v>
      </c>
      <c r="E119" s="21">
        <f>ROUND(4850*1.05,2)</f>
      </c>
      <c r="F119" s="20" t="s">
        <v>44</v>
      </c>
      <c r="G119" s="20" t="s">
        <v>30</v>
      </c>
      <c r="H119" s="22">
        <f>ROUND(RAND()*4+6,1)</f>
      </c>
      <c r="I119" s="20" t="s">
        <v>45</v>
      </c>
      <c r="J119" s="23">
        <f>ROUND(93*1,0)&amp;"%"</f>
      </c>
    </row>
    <row x14ac:dyDescent="0.25" r="120" customHeight="1" ht="17.25">
      <c r="A120" s="17" t="s">
        <v>1755</v>
      </c>
      <c r="B120" s="17" t="s">
        <v>218</v>
      </c>
      <c r="C120" s="17" t="s">
        <v>76</v>
      </c>
      <c r="D120" s="17" t="s">
        <v>16</v>
      </c>
      <c r="E120" s="18">
        <f>ROUND(16350*1.05,2)</f>
      </c>
      <c r="F120" s="17" t="s">
        <v>48</v>
      </c>
      <c r="G120" s="17" t="s">
        <v>18</v>
      </c>
      <c r="H120" s="18">
        <f>ROUND(RAND()*4+6,1)</f>
      </c>
      <c r="I120" s="17" t="s">
        <v>19</v>
      </c>
      <c r="J120" s="19">
        <f>ROUND(66*1,0)&amp;"%"</f>
      </c>
    </row>
    <row x14ac:dyDescent="0.25" r="121" customHeight="1" ht="17.25">
      <c r="A121" s="20" t="s">
        <v>1756</v>
      </c>
      <c r="B121" s="20" t="s">
        <v>220</v>
      </c>
      <c r="C121" s="20" t="s">
        <v>76</v>
      </c>
      <c r="D121" s="20" t="s">
        <v>22</v>
      </c>
      <c r="E121" s="21">
        <f>ROUND(7405*1.05,2)</f>
      </c>
      <c r="F121" s="20" t="s">
        <v>51</v>
      </c>
      <c r="G121" s="20" t="s">
        <v>24</v>
      </c>
      <c r="H121" s="21">
        <f>ROUND(RAND()*4+6,1)</f>
      </c>
      <c r="I121" s="20" t="s">
        <v>25</v>
      </c>
      <c r="J121" s="23">
        <f>ROUND(87*1,0)&amp;"%"</f>
      </c>
    </row>
    <row x14ac:dyDescent="0.25" r="122" customHeight="1" ht="17.25">
      <c r="A122" s="24" t="s">
        <v>221</v>
      </c>
      <c r="B122" s="24"/>
      <c r="C122" s="24"/>
      <c r="D122" s="24"/>
      <c r="E122" s="25">
        <v>8</v>
      </c>
      <c r="F122" s="9"/>
      <c r="G122" s="9"/>
      <c r="H122" s="10"/>
      <c r="I122" s="9"/>
      <c r="J122" s="9"/>
    </row>
    <row x14ac:dyDescent="0.25" r="123" customHeight="1" ht="17.25">
      <c r="A123" s="7"/>
      <c r="B123" s="7"/>
      <c r="C123" s="7"/>
      <c r="D123" s="7"/>
      <c r="E123" s="8"/>
      <c r="F123" s="9"/>
      <c r="G123" s="9"/>
      <c r="H123" s="10"/>
      <c r="I123" s="9"/>
      <c r="J123" s="9"/>
    </row>
    <row x14ac:dyDescent="0.25" r="124" customHeight="1" ht="17.25">
      <c r="A124" s="11" t="s">
        <v>1757</v>
      </c>
      <c r="B124" s="11"/>
      <c r="C124" s="11"/>
      <c r="D124" s="11"/>
      <c r="E124" s="12"/>
      <c r="F124" s="11"/>
      <c r="G124" s="11"/>
      <c r="H124" s="13"/>
      <c r="I124" s="11"/>
      <c r="J124" s="11"/>
    </row>
    <row x14ac:dyDescent="0.25" r="125" customHeight="1" ht="17.25">
      <c r="A125" s="14" t="s">
        <v>3</v>
      </c>
      <c r="B125" s="14" t="s">
        <v>4</v>
      </c>
      <c r="C125" s="14" t="s">
        <v>5</v>
      </c>
      <c r="D125" s="14" t="s">
        <v>6</v>
      </c>
      <c r="E125" s="15" t="s">
        <v>7</v>
      </c>
      <c r="F125" s="14" t="s">
        <v>8</v>
      </c>
      <c r="G125" s="14" t="s">
        <v>9</v>
      </c>
      <c r="H125" s="16" t="s">
        <v>10</v>
      </c>
      <c r="I125" s="14" t="s">
        <v>11</v>
      </c>
      <c r="J125" s="14" t="s">
        <v>12</v>
      </c>
    </row>
    <row x14ac:dyDescent="0.25" r="126" customHeight="1" ht="17.25">
      <c r="A126" s="17" t="s">
        <v>1758</v>
      </c>
      <c r="B126" s="17" t="s">
        <v>224</v>
      </c>
      <c r="C126" s="17" t="s">
        <v>95</v>
      </c>
      <c r="D126" s="17" t="s">
        <v>16</v>
      </c>
      <c r="E126" s="18">
        <f>ROUND(10033*1.05,2)</f>
      </c>
      <c r="F126" s="17" t="s">
        <v>17</v>
      </c>
      <c r="G126" s="17" t="s">
        <v>18</v>
      </c>
      <c r="H126" s="18">
        <f>ROUND(RAND()*4+6,1)</f>
      </c>
      <c r="I126" s="17" t="s">
        <v>19</v>
      </c>
      <c r="J126" s="19">
        <f>ROUND(76*1,0)&amp;"%"</f>
      </c>
    </row>
    <row x14ac:dyDescent="0.25" r="127" customHeight="1" ht="17.25">
      <c r="A127" s="20" t="s">
        <v>1759</v>
      </c>
      <c r="B127" s="20" t="s">
        <v>226</v>
      </c>
      <c r="C127" s="20" t="s">
        <v>95</v>
      </c>
      <c r="D127" s="20" t="s">
        <v>22</v>
      </c>
      <c r="E127" s="21">
        <f>ROUND(5776*1.05,2)</f>
      </c>
      <c r="F127" s="20" t="s">
        <v>23</v>
      </c>
      <c r="G127" s="20" t="s">
        <v>24</v>
      </c>
      <c r="H127" s="21">
        <f>ROUND(RAND()*4+6,1)</f>
      </c>
      <c r="I127" s="20" t="s">
        <v>25</v>
      </c>
      <c r="J127" s="23">
        <f>ROUND(64*1,0)&amp;"%"</f>
      </c>
    </row>
    <row x14ac:dyDescent="0.25" r="128" customHeight="1" ht="17.25">
      <c r="A128" s="17" t="s">
        <v>1760</v>
      </c>
      <c r="B128" s="17" t="s">
        <v>228</v>
      </c>
      <c r="C128" s="17" t="s">
        <v>95</v>
      </c>
      <c r="D128" s="17" t="s">
        <v>28</v>
      </c>
      <c r="E128" s="18">
        <f>ROUND(12268*1.05,2)</f>
      </c>
      <c r="F128" s="17" t="s">
        <v>29</v>
      </c>
      <c r="G128" s="17" t="s">
        <v>30</v>
      </c>
      <c r="H128" s="18">
        <f>ROUND(RAND()*4+6,1)</f>
      </c>
      <c r="I128" s="17" t="s">
        <v>31</v>
      </c>
      <c r="J128" s="19">
        <f>ROUND(68*1,0)&amp;"%"</f>
      </c>
    </row>
    <row x14ac:dyDescent="0.25" r="129" customHeight="1" ht="17.25">
      <c r="A129" s="20" t="s">
        <v>1761</v>
      </c>
      <c r="B129" s="20" t="s">
        <v>230</v>
      </c>
      <c r="C129" s="20" t="s">
        <v>95</v>
      </c>
      <c r="D129" s="20" t="s">
        <v>34</v>
      </c>
      <c r="E129" s="21">
        <f>ROUND(12075*1.05,2)</f>
      </c>
      <c r="F129" s="20" t="s">
        <v>35</v>
      </c>
      <c r="G129" s="20" t="s">
        <v>18</v>
      </c>
      <c r="H129" s="21">
        <f>ROUND(RAND()*4+6,1)</f>
      </c>
      <c r="I129" s="20" t="s">
        <v>36</v>
      </c>
      <c r="J129" s="23">
        <f>ROUND(80*1,0)&amp;"%"</f>
      </c>
    </row>
    <row x14ac:dyDescent="0.25" r="130" customHeight="1" ht="17.25">
      <c r="A130" s="17" t="s">
        <v>1762</v>
      </c>
      <c r="B130" s="17" t="s">
        <v>232</v>
      </c>
      <c r="C130" s="17" t="s">
        <v>95</v>
      </c>
      <c r="D130" s="17" t="s">
        <v>39</v>
      </c>
      <c r="E130" s="18">
        <f>ROUND(9319*1.05,2)</f>
      </c>
      <c r="F130" s="17" t="s">
        <v>40</v>
      </c>
      <c r="G130" s="17" t="s">
        <v>24</v>
      </c>
      <c r="H130" s="18">
        <f>ROUND(RAND()*4+6,1)</f>
      </c>
      <c r="I130" s="17" t="s">
        <v>41</v>
      </c>
      <c r="J130" s="19">
        <f>ROUND(73*1,0)&amp;"%"</f>
      </c>
    </row>
    <row x14ac:dyDescent="0.25" r="131" customHeight="1" ht="17.25">
      <c r="A131" s="20" t="s">
        <v>1763</v>
      </c>
      <c r="B131" s="20" t="s">
        <v>234</v>
      </c>
      <c r="C131" s="20" t="s">
        <v>95</v>
      </c>
      <c r="D131" s="20" t="s">
        <v>67</v>
      </c>
      <c r="E131" s="21">
        <f>ROUND(17894*1.05,2)</f>
      </c>
      <c r="F131" s="20" t="s">
        <v>44</v>
      </c>
      <c r="G131" s="20" t="s">
        <v>30</v>
      </c>
      <c r="H131" s="21">
        <f>ROUND(RAND()*4+6,1)</f>
      </c>
      <c r="I131" s="20" t="s">
        <v>45</v>
      </c>
      <c r="J131" s="23">
        <f>ROUND(85*1,0)&amp;"%"</f>
      </c>
    </row>
    <row x14ac:dyDescent="0.25" r="132" customHeight="1" ht="17.25">
      <c r="A132" s="17" t="s">
        <v>1764</v>
      </c>
      <c r="B132" s="17" t="s">
        <v>236</v>
      </c>
      <c r="C132" s="17" t="s">
        <v>95</v>
      </c>
      <c r="D132" s="17" t="s">
        <v>16</v>
      </c>
      <c r="E132" s="18">
        <f>ROUND(5075*1.05,2)</f>
      </c>
      <c r="F132" s="17" t="s">
        <v>48</v>
      </c>
      <c r="G132" s="17" t="s">
        <v>18</v>
      </c>
      <c r="H132" s="26">
        <f>ROUND(RAND()*4+6,1)</f>
      </c>
      <c r="I132" s="17" t="s">
        <v>19</v>
      </c>
      <c r="J132" s="19">
        <f>ROUND(98*1,0)&amp;"%"</f>
      </c>
    </row>
    <row x14ac:dyDescent="0.25" r="133" customHeight="1" ht="17.25">
      <c r="A133" s="20" t="s">
        <v>1765</v>
      </c>
      <c r="B133" s="20" t="s">
        <v>238</v>
      </c>
      <c r="C133" s="20" t="s">
        <v>95</v>
      </c>
      <c r="D133" s="20" t="s">
        <v>22</v>
      </c>
      <c r="E133" s="21">
        <f>ROUND(11341*1.05,2)</f>
      </c>
      <c r="F133" s="20" t="s">
        <v>51</v>
      </c>
      <c r="G133" s="20" t="s">
        <v>24</v>
      </c>
      <c r="H133" s="21">
        <f>ROUND(RAND()*4+6,1)</f>
      </c>
      <c r="I133" s="20" t="s">
        <v>25</v>
      </c>
      <c r="J133" s="23">
        <f>ROUND(84*1,0)&amp;"%"</f>
      </c>
    </row>
    <row x14ac:dyDescent="0.25" r="134" customHeight="1" ht="17.25">
      <c r="A134" s="24" t="s">
        <v>239</v>
      </c>
      <c r="B134" s="24"/>
      <c r="C134" s="24"/>
      <c r="D134" s="24"/>
      <c r="E134" s="25">
        <v>8</v>
      </c>
      <c r="F134" s="9"/>
      <c r="G134" s="9"/>
      <c r="H134" s="10"/>
      <c r="I134" s="9"/>
      <c r="J134" s="9"/>
    </row>
    <row x14ac:dyDescent="0.25" r="135" customHeight="1" ht="17.25">
      <c r="A135" s="7"/>
      <c r="B135" s="7"/>
      <c r="C135" s="7"/>
      <c r="D135" s="7"/>
      <c r="E135" s="8"/>
      <c r="F135" s="9"/>
      <c r="G135" s="9"/>
      <c r="H135" s="10"/>
      <c r="I135" s="9"/>
      <c r="J135" s="9"/>
    </row>
    <row x14ac:dyDescent="0.25" r="136" customHeight="1" ht="17.25">
      <c r="A136" s="11" t="s">
        <v>1766</v>
      </c>
      <c r="B136" s="11"/>
      <c r="C136" s="11"/>
      <c r="D136" s="11"/>
      <c r="E136" s="12"/>
      <c r="F136" s="11"/>
      <c r="G136" s="11"/>
      <c r="H136" s="13"/>
      <c r="I136" s="11"/>
      <c r="J136" s="11"/>
    </row>
    <row x14ac:dyDescent="0.25" r="137" customHeight="1" ht="17.25">
      <c r="A137" s="14" t="s">
        <v>3</v>
      </c>
      <c r="B137" s="14" t="s">
        <v>4</v>
      </c>
      <c r="C137" s="14" t="s">
        <v>5</v>
      </c>
      <c r="D137" s="14" t="s">
        <v>6</v>
      </c>
      <c r="E137" s="15" t="s">
        <v>7</v>
      </c>
      <c r="F137" s="14" t="s">
        <v>8</v>
      </c>
      <c r="G137" s="14" t="s">
        <v>9</v>
      </c>
      <c r="H137" s="16" t="s">
        <v>10</v>
      </c>
      <c r="I137" s="14" t="s">
        <v>11</v>
      </c>
      <c r="J137" s="14" t="s">
        <v>12</v>
      </c>
    </row>
    <row x14ac:dyDescent="0.25" r="138" customHeight="1" ht="17.25">
      <c r="A138" s="17" t="s">
        <v>1767</v>
      </c>
      <c r="B138" s="17" t="s">
        <v>242</v>
      </c>
      <c r="C138" s="17" t="s">
        <v>114</v>
      </c>
      <c r="D138" s="17" t="s">
        <v>16</v>
      </c>
      <c r="E138" s="18">
        <f>ROUND(15473*1.05,2)</f>
      </c>
      <c r="F138" s="17" t="s">
        <v>17</v>
      </c>
      <c r="G138" s="17" t="s">
        <v>18</v>
      </c>
      <c r="H138" s="18">
        <f>ROUND(RAND()*4+6,1)</f>
      </c>
      <c r="I138" s="17" t="s">
        <v>19</v>
      </c>
      <c r="J138" s="19">
        <f>ROUND(97*1,0)&amp;"%"</f>
      </c>
    </row>
    <row x14ac:dyDescent="0.25" r="139" customHeight="1" ht="17.25">
      <c r="A139" s="20" t="s">
        <v>1768</v>
      </c>
      <c r="B139" s="20" t="s">
        <v>244</v>
      </c>
      <c r="C139" s="20" t="s">
        <v>114</v>
      </c>
      <c r="D139" s="20" t="s">
        <v>22</v>
      </c>
      <c r="E139" s="21">
        <f>ROUND(15979*1.05,2)</f>
      </c>
      <c r="F139" s="20" t="s">
        <v>23</v>
      </c>
      <c r="G139" s="20" t="s">
        <v>24</v>
      </c>
      <c r="H139" s="21">
        <f>ROUND(RAND()*4+6,1)</f>
      </c>
      <c r="I139" s="20" t="s">
        <v>25</v>
      </c>
      <c r="J139" s="23">
        <f>ROUND(71*1,0)&amp;"%"</f>
      </c>
    </row>
    <row x14ac:dyDescent="0.25" r="140" customHeight="1" ht="17.25">
      <c r="A140" s="17" t="s">
        <v>1769</v>
      </c>
      <c r="B140" s="17" t="s">
        <v>246</v>
      </c>
      <c r="C140" s="17" t="s">
        <v>114</v>
      </c>
      <c r="D140" s="17" t="s">
        <v>28</v>
      </c>
      <c r="E140" s="18">
        <f>ROUND(4293*1.05,2)</f>
      </c>
      <c r="F140" s="17" t="s">
        <v>29</v>
      </c>
      <c r="G140" s="17" t="s">
        <v>30</v>
      </c>
      <c r="H140" s="18">
        <f>ROUND(RAND()*4+6,1)</f>
      </c>
      <c r="I140" s="17" t="s">
        <v>31</v>
      </c>
      <c r="J140" s="19">
        <f>ROUND(60*1,0)&amp;"%"</f>
      </c>
    </row>
    <row x14ac:dyDescent="0.25" r="141" customHeight="1" ht="17.25">
      <c r="A141" s="20" t="s">
        <v>1770</v>
      </c>
      <c r="B141" s="20" t="s">
        <v>248</v>
      </c>
      <c r="C141" s="20" t="s">
        <v>114</v>
      </c>
      <c r="D141" s="20" t="s">
        <v>34</v>
      </c>
      <c r="E141" s="21">
        <f>ROUND(17274*1.05,2)</f>
      </c>
      <c r="F141" s="20" t="s">
        <v>35</v>
      </c>
      <c r="G141" s="20" t="s">
        <v>18</v>
      </c>
      <c r="H141" s="21">
        <f>ROUND(RAND()*4+6,1)</f>
      </c>
      <c r="I141" s="20" t="s">
        <v>36</v>
      </c>
      <c r="J141" s="23">
        <f>ROUND(84*1,0)&amp;"%"</f>
      </c>
    </row>
    <row x14ac:dyDescent="0.25" r="142" customHeight="1" ht="17.25">
      <c r="A142" s="17" t="s">
        <v>1771</v>
      </c>
      <c r="B142" s="17" t="s">
        <v>250</v>
      </c>
      <c r="C142" s="17" t="s">
        <v>114</v>
      </c>
      <c r="D142" s="17" t="s">
        <v>39</v>
      </c>
      <c r="E142" s="18">
        <f>ROUND(12593*1.05,2)</f>
      </c>
      <c r="F142" s="17" t="s">
        <v>40</v>
      </c>
      <c r="G142" s="17" t="s">
        <v>24</v>
      </c>
      <c r="H142" s="26">
        <f>ROUND(RAND()*4+6,1)</f>
      </c>
      <c r="I142" s="17" t="s">
        <v>41</v>
      </c>
      <c r="J142" s="19">
        <f>ROUND(72*1,0)&amp;"%"</f>
      </c>
    </row>
    <row x14ac:dyDescent="0.25" r="143" customHeight="1" ht="17.25">
      <c r="A143" s="20" t="s">
        <v>1772</v>
      </c>
      <c r="B143" s="20" t="s">
        <v>252</v>
      </c>
      <c r="C143" s="20" t="s">
        <v>114</v>
      </c>
      <c r="D143" s="20" t="s">
        <v>67</v>
      </c>
      <c r="E143" s="21">
        <f>ROUND(8368*1.05,2)</f>
      </c>
      <c r="F143" s="20" t="s">
        <v>44</v>
      </c>
      <c r="G143" s="20" t="s">
        <v>30</v>
      </c>
      <c r="H143" s="21">
        <f>ROUND(RAND()*4+6,1)</f>
      </c>
      <c r="I143" s="20" t="s">
        <v>45</v>
      </c>
      <c r="J143" s="23">
        <f>ROUND(96*1,0)&amp;"%"</f>
      </c>
    </row>
    <row x14ac:dyDescent="0.25" r="144" customHeight="1" ht="17.25">
      <c r="A144" s="17" t="s">
        <v>1773</v>
      </c>
      <c r="B144" s="17" t="s">
        <v>254</v>
      </c>
      <c r="C144" s="17" t="s">
        <v>114</v>
      </c>
      <c r="D144" s="17" t="s">
        <v>16</v>
      </c>
      <c r="E144" s="18">
        <f>ROUND(15133*1.05,2)</f>
      </c>
      <c r="F144" s="17" t="s">
        <v>48</v>
      </c>
      <c r="G144" s="17" t="s">
        <v>18</v>
      </c>
      <c r="H144" s="18">
        <f>ROUND(RAND()*4+6,1)</f>
      </c>
      <c r="I144" s="17" t="s">
        <v>19</v>
      </c>
      <c r="J144" s="19">
        <f>ROUND(94*1,0)&amp;"%"</f>
      </c>
    </row>
    <row x14ac:dyDescent="0.25" r="145" customHeight="1" ht="17.25">
      <c r="A145" s="20" t="s">
        <v>1774</v>
      </c>
      <c r="B145" s="20" t="s">
        <v>256</v>
      </c>
      <c r="C145" s="20" t="s">
        <v>114</v>
      </c>
      <c r="D145" s="20" t="s">
        <v>22</v>
      </c>
      <c r="E145" s="21">
        <f>ROUND(10276*1.05,2)</f>
      </c>
      <c r="F145" s="20" t="s">
        <v>51</v>
      </c>
      <c r="G145" s="20" t="s">
        <v>24</v>
      </c>
      <c r="H145" s="21">
        <f>ROUND(RAND()*4+6,1)</f>
      </c>
      <c r="I145" s="20" t="s">
        <v>25</v>
      </c>
      <c r="J145" s="23">
        <f>ROUND(95*1,0)&amp;"%"</f>
      </c>
    </row>
    <row x14ac:dyDescent="0.25" r="146" customHeight="1" ht="17.25">
      <c r="A146" s="24" t="s">
        <v>257</v>
      </c>
      <c r="B146" s="24"/>
      <c r="C146" s="24"/>
      <c r="D146" s="24"/>
      <c r="E146" s="25">
        <v>8</v>
      </c>
      <c r="F146" s="9"/>
      <c r="G146" s="9"/>
      <c r="H146" s="10"/>
      <c r="I146" s="9"/>
      <c r="J146" s="9"/>
    </row>
    <row x14ac:dyDescent="0.25" r="147" customHeight="1" ht="17.25">
      <c r="A147" s="7"/>
      <c r="B147" s="7"/>
      <c r="C147" s="7"/>
      <c r="D147" s="7"/>
      <c r="E147" s="8"/>
      <c r="F147" s="9"/>
      <c r="G147" s="9"/>
      <c r="H147" s="10"/>
      <c r="I147" s="9"/>
      <c r="J147" s="9"/>
    </row>
    <row x14ac:dyDescent="0.25" r="148" customHeight="1" ht="17.25">
      <c r="A148" s="11" t="s">
        <v>1775</v>
      </c>
      <c r="B148" s="11"/>
      <c r="C148" s="11"/>
      <c r="D148" s="11"/>
      <c r="E148" s="12"/>
      <c r="F148" s="11"/>
      <c r="G148" s="11"/>
      <c r="H148" s="13"/>
      <c r="I148" s="11"/>
      <c r="J148" s="11"/>
    </row>
    <row x14ac:dyDescent="0.25" r="149" customHeight="1" ht="17.25">
      <c r="A149" s="14" t="s">
        <v>3</v>
      </c>
      <c r="B149" s="14" t="s">
        <v>4</v>
      </c>
      <c r="C149" s="14" t="s">
        <v>5</v>
      </c>
      <c r="D149" s="14" t="s">
        <v>6</v>
      </c>
      <c r="E149" s="15" t="s">
        <v>7</v>
      </c>
      <c r="F149" s="14" t="s">
        <v>8</v>
      </c>
      <c r="G149" s="14" t="s">
        <v>9</v>
      </c>
      <c r="H149" s="16" t="s">
        <v>10</v>
      </c>
      <c r="I149" s="14" t="s">
        <v>11</v>
      </c>
      <c r="J149" s="14" t="s">
        <v>12</v>
      </c>
    </row>
    <row x14ac:dyDescent="0.25" r="150" customHeight="1" ht="17.25">
      <c r="A150" s="17" t="s">
        <v>1776</v>
      </c>
      <c r="B150" s="17" t="s">
        <v>260</v>
      </c>
      <c r="C150" s="17" t="s">
        <v>133</v>
      </c>
      <c r="D150" s="17" t="s">
        <v>16</v>
      </c>
      <c r="E150" s="18">
        <f>ROUND(11898*1.05,2)</f>
      </c>
      <c r="F150" s="17" t="s">
        <v>17</v>
      </c>
      <c r="G150" s="17" t="s">
        <v>18</v>
      </c>
      <c r="H150" s="18">
        <f>ROUND(RAND()*4+6,1)</f>
      </c>
      <c r="I150" s="17" t="s">
        <v>19</v>
      </c>
      <c r="J150" s="19">
        <f>ROUND(79*1,0)&amp;"%"</f>
      </c>
    </row>
    <row x14ac:dyDescent="0.25" r="151" customHeight="1" ht="17.25">
      <c r="A151" s="20" t="s">
        <v>1777</v>
      </c>
      <c r="B151" s="20" t="s">
        <v>262</v>
      </c>
      <c r="C151" s="20" t="s">
        <v>133</v>
      </c>
      <c r="D151" s="20" t="s">
        <v>22</v>
      </c>
      <c r="E151" s="21">
        <f>ROUND(9474*1.05,2)</f>
      </c>
      <c r="F151" s="20" t="s">
        <v>23</v>
      </c>
      <c r="G151" s="20" t="s">
        <v>24</v>
      </c>
      <c r="H151" s="21">
        <f>ROUND(RAND()*4+6,1)</f>
      </c>
      <c r="I151" s="20" t="s">
        <v>25</v>
      </c>
      <c r="J151" s="23">
        <f>ROUND(74*1,0)&amp;"%"</f>
      </c>
    </row>
    <row x14ac:dyDescent="0.25" r="152" customHeight="1" ht="17.25">
      <c r="A152" s="17" t="s">
        <v>1778</v>
      </c>
      <c r="B152" s="17" t="s">
        <v>264</v>
      </c>
      <c r="C152" s="17" t="s">
        <v>133</v>
      </c>
      <c r="D152" s="17" t="s">
        <v>28</v>
      </c>
      <c r="E152" s="18">
        <f>ROUND(11441*1.05,2)</f>
      </c>
      <c r="F152" s="17" t="s">
        <v>29</v>
      </c>
      <c r="G152" s="17" t="s">
        <v>30</v>
      </c>
      <c r="H152" s="18">
        <f>ROUND(RAND()*4+6,1)</f>
      </c>
      <c r="I152" s="17" t="s">
        <v>31</v>
      </c>
      <c r="J152" s="19">
        <f>ROUND(97*1,0)&amp;"%"</f>
      </c>
    </row>
    <row x14ac:dyDescent="0.25" r="153" customHeight="1" ht="17.25">
      <c r="A153" s="20" t="s">
        <v>1779</v>
      </c>
      <c r="B153" s="20" t="s">
        <v>266</v>
      </c>
      <c r="C153" s="20" t="s">
        <v>133</v>
      </c>
      <c r="D153" s="20" t="s">
        <v>34</v>
      </c>
      <c r="E153" s="21">
        <f>ROUND(4550*1.05,2)</f>
      </c>
      <c r="F153" s="20" t="s">
        <v>35</v>
      </c>
      <c r="G153" s="20" t="s">
        <v>18</v>
      </c>
      <c r="H153" s="21">
        <f>ROUND(RAND()*4+6,1)</f>
      </c>
      <c r="I153" s="20" t="s">
        <v>36</v>
      </c>
      <c r="J153" s="23">
        <f>ROUND(71*1,0)&amp;"%"</f>
      </c>
    </row>
    <row x14ac:dyDescent="0.25" r="154" customHeight="1" ht="17.25">
      <c r="A154" s="17" t="s">
        <v>1780</v>
      </c>
      <c r="B154" s="17" t="s">
        <v>268</v>
      </c>
      <c r="C154" s="17" t="s">
        <v>133</v>
      </c>
      <c r="D154" s="17" t="s">
        <v>39</v>
      </c>
      <c r="E154" s="18">
        <f>ROUND(16524*1.05,2)</f>
      </c>
      <c r="F154" s="17" t="s">
        <v>40</v>
      </c>
      <c r="G154" s="17" t="s">
        <v>24</v>
      </c>
      <c r="H154" s="18">
        <f>ROUND(RAND()*4+6,1)</f>
      </c>
      <c r="I154" s="17" t="s">
        <v>41</v>
      </c>
      <c r="J154" s="19">
        <f>ROUND(87*1,0)&amp;"%"</f>
      </c>
    </row>
    <row x14ac:dyDescent="0.25" r="155" customHeight="1" ht="17.25">
      <c r="A155" s="20" t="s">
        <v>1781</v>
      </c>
      <c r="B155" s="20" t="s">
        <v>270</v>
      </c>
      <c r="C155" s="20" t="s">
        <v>133</v>
      </c>
      <c r="D155" s="20" t="s">
        <v>67</v>
      </c>
      <c r="E155" s="21">
        <f>ROUND(4199*1.05,2)</f>
      </c>
      <c r="F155" s="20" t="s">
        <v>44</v>
      </c>
      <c r="G155" s="20" t="s">
        <v>30</v>
      </c>
      <c r="H155" s="22">
        <f>ROUND(RAND()*4+6,1)</f>
      </c>
      <c r="I155" s="20" t="s">
        <v>45</v>
      </c>
      <c r="J155" s="23">
        <f>ROUND(97*1,0)&amp;"%"</f>
      </c>
    </row>
    <row x14ac:dyDescent="0.25" r="156" customHeight="1" ht="17.25">
      <c r="A156" s="17" t="s">
        <v>1782</v>
      </c>
      <c r="B156" s="17" t="s">
        <v>272</v>
      </c>
      <c r="C156" s="17" t="s">
        <v>133</v>
      </c>
      <c r="D156" s="17" t="s">
        <v>16</v>
      </c>
      <c r="E156" s="18">
        <f>ROUND(10814*1.05,2)</f>
      </c>
      <c r="F156" s="17" t="s">
        <v>48</v>
      </c>
      <c r="G156" s="17" t="s">
        <v>18</v>
      </c>
      <c r="H156" s="18">
        <f>ROUND(RAND()*4+6,1)</f>
      </c>
      <c r="I156" s="17" t="s">
        <v>19</v>
      </c>
      <c r="J156" s="19">
        <f>ROUND(75*1,0)&amp;"%"</f>
      </c>
    </row>
    <row x14ac:dyDescent="0.25" r="157" customHeight="1" ht="17.25">
      <c r="A157" s="20" t="s">
        <v>1783</v>
      </c>
      <c r="B157" s="20" t="s">
        <v>274</v>
      </c>
      <c r="C157" s="20" t="s">
        <v>133</v>
      </c>
      <c r="D157" s="20" t="s">
        <v>22</v>
      </c>
      <c r="E157" s="21">
        <f>ROUND(16081*1.05,2)</f>
      </c>
      <c r="F157" s="20" t="s">
        <v>51</v>
      </c>
      <c r="G157" s="20" t="s">
        <v>24</v>
      </c>
      <c r="H157" s="21">
        <f>ROUND(RAND()*4+6,1)</f>
      </c>
      <c r="I157" s="20" t="s">
        <v>25</v>
      </c>
      <c r="J157" s="23">
        <f>ROUND(87*1,0)&amp;"%"</f>
      </c>
    </row>
    <row x14ac:dyDescent="0.25" r="158" customHeight="1" ht="17.25">
      <c r="A158" s="24" t="s">
        <v>275</v>
      </c>
      <c r="B158" s="24"/>
      <c r="C158" s="24"/>
      <c r="D158" s="24"/>
      <c r="E158" s="25">
        <v>8</v>
      </c>
      <c r="F158" s="9"/>
      <c r="G158" s="9"/>
      <c r="H158" s="10"/>
      <c r="I158" s="9"/>
      <c r="J158" s="9"/>
    </row>
    <row x14ac:dyDescent="0.25" r="159" customHeight="1" ht="17.25">
      <c r="A159" s="7"/>
      <c r="B159" s="7"/>
      <c r="C159" s="7"/>
      <c r="D159" s="7"/>
      <c r="E159" s="8"/>
      <c r="F159" s="9"/>
      <c r="G159" s="9"/>
      <c r="H159" s="10"/>
      <c r="I159" s="9"/>
      <c r="J159" s="9"/>
    </row>
    <row x14ac:dyDescent="0.25" r="160" customHeight="1" ht="17.25">
      <c r="A160" s="11" t="s">
        <v>1784</v>
      </c>
      <c r="B160" s="11"/>
      <c r="C160" s="11"/>
      <c r="D160" s="11"/>
      <c r="E160" s="12"/>
      <c r="F160" s="11"/>
      <c r="G160" s="11"/>
      <c r="H160" s="13"/>
      <c r="I160" s="11"/>
      <c r="J160" s="11"/>
    </row>
    <row x14ac:dyDescent="0.25" r="161" customHeight="1" ht="17.25">
      <c r="A161" s="14" t="s">
        <v>3</v>
      </c>
      <c r="B161" s="14" t="s">
        <v>4</v>
      </c>
      <c r="C161" s="14" t="s">
        <v>5</v>
      </c>
      <c r="D161" s="14" t="s">
        <v>6</v>
      </c>
      <c r="E161" s="15" t="s">
        <v>7</v>
      </c>
      <c r="F161" s="14" t="s">
        <v>8</v>
      </c>
      <c r="G161" s="14" t="s">
        <v>9</v>
      </c>
      <c r="H161" s="16" t="s">
        <v>10</v>
      </c>
      <c r="I161" s="14" t="s">
        <v>11</v>
      </c>
      <c r="J161" s="14" t="s">
        <v>12</v>
      </c>
    </row>
    <row x14ac:dyDescent="0.25" r="162" customHeight="1" ht="17.25">
      <c r="A162" s="17" t="s">
        <v>1785</v>
      </c>
      <c r="B162" s="17" t="s">
        <v>278</v>
      </c>
      <c r="C162" s="17" t="s">
        <v>152</v>
      </c>
      <c r="D162" s="17" t="s">
        <v>16</v>
      </c>
      <c r="E162" s="18">
        <f>ROUND(4864*1.05,2)</f>
      </c>
      <c r="F162" s="17" t="s">
        <v>17</v>
      </c>
      <c r="G162" s="17" t="s">
        <v>18</v>
      </c>
      <c r="H162" s="18">
        <f>ROUND(RAND()*4+6,1)</f>
      </c>
      <c r="I162" s="17" t="s">
        <v>19</v>
      </c>
      <c r="J162" s="19">
        <f>ROUND(64*1,0)&amp;"%"</f>
      </c>
    </row>
    <row x14ac:dyDescent="0.25" r="163" customHeight="1" ht="17.25">
      <c r="A163" s="20" t="s">
        <v>1786</v>
      </c>
      <c r="B163" s="20" t="s">
        <v>280</v>
      </c>
      <c r="C163" s="20" t="s">
        <v>152</v>
      </c>
      <c r="D163" s="20" t="s">
        <v>22</v>
      </c>
      <c r="E163" s="21">
        <f>ROUND(4669*1.05,2)</f>
      </c>
      <c r="F163" s="20" t="s">
        <v>23</v>
      </c>
      <c r="G163" s="20" t="s">
        <v>24</v>
      </c>
      <c r="H163" s="21">
        <f>ROUND(RAND()*4+6,1)</f>
      </c>
      <c r="I163" s="20" t="s">
        <v>25</v>
      </c>
      <c r="J163" s="23">
        <f>ROUND(70*1,0)&amp;"%"</f>
      </c>
    </row>
    <row x14ac:dyDescent="0.25" r="164" customHeight="1" ht="17.25">
      <c r="A164" s="17" t="s">
        <v>1787</v>
      </c>
      <c r="B164" s="17" t="s">
        <v>282</v>
      </c>
      <c r="C164" s="17" t="s">
        <v>152</v>
      </c>
      <c r="D164" s="17" t="s">
        <v>28</v>
      </c>
      <c r="E164" s="18">
        <f>ROUND(12969*1.05,2)</f>
      </c>
      <c r="F164" s="17" t="s">
        <v>29</v>
      </c>
      <c r="G164" s="17" t="s">
        <v>30</v>
      </c>
      <c r="H164" s="18">
        <f>ROUND(RAND()*4+6,1)</f>
      </c>
      <c r="I164" s="17" t="s">
        <v>31</v>
      </c>
      <c r="J164" s="19">
        <f>ROUND(83*1,0)&amp;"%"</f>
      </c>
    </row>
    <row x14ac:dyDescent="0.25" r="165" customHeight="1" ht="17.25">
      <c r="A165" s="20" t="s">
        <v>1788</v>
      </c>
      <c r="B165" s="20" t="s">
        <v>284</v>
      </c>
      <c r="C165" s="20" t="s">
        <v>152</v>
      </c>
      <c r="D165" s="20" t="s">
        <v>34</v>
      </c>
      <c r="E165" s="21">
        <f>ROUND(7826*1.05,2)</f>
      </c>
      <c r="F165" s="20" t="s">
        <v>35</v>
      </c>
      <c r="G165" s="20" t="s">
        <v>18</v>
      </c>
      <c r="H165" s="21">
        <f>ROUND(RAND()*4+6,1)</f>
      </c>
      <c r="I165" s="20" t="s">
        <v>36</v>
      </c>
      <c r="J165" s="23">
        <f>ROUND(74*1,0)&amp;"%"</f>
      </c>
    </row>
    <row x14ac:dyDescent="0.25" r="166" customHeight="1" ht="17.25">
      <c r="A166" s="17" t="s">
        <v>1789</v>
      </c>
      <c r="B166" s="17" t="s">
        <v>286</v>
      </c>
      <c r="C166" s="17" t="s">
        <v>152</v>
      </c>
      <c r="D166" s="17" t="s">
        <v>39</v>
      </c>
      <c r="E166" s="18">
        <f>ROUND(17427*1.05,2)</f>
      </c>
      <c r="F166" s="17" t="s">
        <v>40</v>
      </c>
      <c r="G166" s="17" t="s">
        <v>24</v>
      </c>
      <c r="H166" s="18">
        <f>ROUND(RAND()*4+6,1)</f>
      </c>
      <c r="I166" s="17" t="s">
        <v>41</v>
      </c>
      <c r="J166" s="19">
        <f>ROUND(91*1,0)&amp;"%"</f>
      </c>
    </row>
    <row x14ac:dyDescent="0.25" r="167" customHeight="1" ht="17.25">
      <c r="A167" s="20" t="s">
        <v>1790</v>
      </c>
      <c r="B167" s="20" t="s">
        <v>288</v>
      </c>
      <c r="C167" s="20" t="s">
        <v>152</v>
      </c>
      <c r="D167" s="20" t="s">
        <v>67</v>
      </c>
      <c r="E167" s="21">
        <f>ROUND(13853*1.05,2)</f>
      </c>
      <c r="F167" s="20" t="s">
        <v>44</v>
      </c>
      <c r="G167" s="20" t="s">
        <v>30</v>
      </c>
      <c r="H167" s="21">
        <f>ROUND(RAND()*4+6,1)</f>
      </c>
      <c r="I167" s="20" t="s">
        <v>45</v>
      </c>
      <c r="J167" s="23">
        <f>ROUND(97*1,0)&amp;"%"</f>
      </c>
    </row>
    <row x14ac:dyDescent="0.25" r="168" customHeight="1" ht="17.25">
      <c r="A168" s="17" t="s">
        <v>1791</v>
      </c>
      <c r="B168" s="17" t="s">
        <v>290</v>
      </c>
      <c r="C168" s="17" t="s">
        <v>152</v>
      </c>
      <c r="D168" s="17" t="s">
        <v>16</v>
      </c>
      <c r="E168" s="18">
        <f>ROUND(7665*1.05,2)</f>
      </c>
      <c r="F168" s="17" t="s">
        <v>48</v>
      </c>
      <c r="G168" s="17" t="s">
        <v>18</v>
      </c>
      <c r="H168" s="26">
        <f>ROUND(RAND()*4+6,1)</f>
      </c>
      <c r="I168" s="17" t="s">
        <v>19</v>
      </c>
      <c r="J168" s="19">
        <f>ROUND(64*1,0)&amp;"%"</f>
      </c>
    </row>
    <row x14ac:dyDescent="0.25" r="169" customHeight="1" ht="17.25">
      <c r="A169" s="20" t="s">
        <v>1792</v>
      </c>
      <c r="B169" s="20" t="s">
        <v>292</v>
      </c>
      <c r="C169" s="20" t="s">
        <v>152</v>
      </c>
      <c r="D169" s="20" t="s">
        <v>22</v>
      </c>
      <c r="E169" s="21">
        <f>ROUND(9016*1.05,2)</f>
      </c>
      <c r="F169" s="20" t="s">
        <v>51</v>
      </c>
      <c r="G169" s="20" t="s">
        <v>24</v>
      </c>
      <c r="H169" s="21">
        <f>ROUND(RAND()*4+6,1)</f>
      </c>
      <c r="I169" s="20" t="s">
        <v>25</v>
      </c>
      <c r="J169" s="23">
        <f>ROUND(68*1,0)&amp;"%"</f>
      </c>
    </row>
    <row x14ac:dyDescent="0.25" r="170" customHeight="1" ht="17.25">
      <c r="A170" s="24" t="s">
        <v>293</v>
      </c>
      <c r="B170" s="24"/>
      <c r="C170" s="24"/>
      <c r="D170" s="24"/>
      <c r="E170" s="25">
        <v>8</v>
      </c>
      <c r="F170" s="9"/>
      <c r="G170" s="9"/>
      <c r="H170" s="10"/>
      <c r="I170" s="9"/>
      <c r="J170" s="9"/>
    </row>
    <row x14ac:dyDescent="0.25" r="171" customHeight="1" ht="17.25">
      <c r="A171" s="7"/>
      <c r="B171" s="7"/>
      <c r="C171" s="7"/>
      <c r="D171" s="7"/>
      <c r="E171" s="8"/>
      <c r="F171" s="9"/>
      <c r="G171" s="9"/>
      <c r="H171" s="10"/>
      <c r="I171" s="9"/>
      <c r="J171" s="9"/>
    </row>
    <row x14ac:dyDescent="0.25" r="172" customHeight="1" ht="17.25">
      <c r="A172" s="11" t="s">
        <v>1793</v>
      </c>
      <c r="B172" s="11"/>
      <c r="C172" s="11"/>
      <c r="D172" s="11"/>
      <c r="E172" s="12"/>
      <c r="F172" s="11"/>
      <c r="G172" s="11"/>
      <c r="H172" s="13"/>
      <c r="I172" s="11"/>
      <c r="J172" s="11"/>
    </row>
    <row x14ac:dyDescent="0.25" r="173" customHeight="1" ht="17.25">
      <c r="A173" s="14" t="s">
        <v>3</v>
      </c>
      <c r="B173" s="14" t="s">
        <v>4</v>
      </c>
      <c r="C173" s="14" t="s">
        <v>5</v>
      </c>
      <c r="D173" s="14" t="s">
        <v>6</v>
      </c>
      <c r="E173" s="15" t="s">
        <v>7</v>
      </c>
      <c r="F173" s="14" t="s">
        <v>8</v>
      </c>
      <c r="G173" s="14" t="s">
        <v>9</v>
      </c>
      <c r="H173" s="16" t="s">
        <v>10</v>
      </c>
      <c r="I173" s="14" t="s">
        <v>11</v>
      </c>
      <c r="J173" s="14" t="s">
        <v>12</v>
      </c>
    </row>
    <row x14ac:dyDescent="0.25" r="174" customHeight="1" ht="17.25">
      <c r="A174" s="17" t="s">
        <v>1794</v>
      </c>
      <c r="B174" s="17" t="s">
        <v>296</v>
      </c>
      <c r="C174" s="17" t="s">
        <v>15</v>
      </c>
      <c r="D174" s="17" t="s">
        <v>16</v>
      </c>
      <c r="E174" s="18">
        <f>ROUND(9407*1.05,2)</f>
      </c>
      <c r="F174" s="17" t="s">
        <v>17</v>
      </c>
      <c r="G174" s="17" t="s">
        <v>18</v>
      </c>
      <c r="H174" s="18">
        <f>ROUND(RAND()*4+6,1)</f>
      </c>
      <c r="I174" s="17" t="s">
        <v>19</v>
      </c>
      <c r="J174" s="19">
        <f>ROUND(66*1,0)&amp;"%"</f>
      </c>
    </row>
    <row x14ac:dyDescent="0.25" r="175" customHeight="1" ht="17.25">
      <c r="A175" s="20" t="s">
        <v>1795</v>
      </c>
      <c r="B175" s="20" t="s">
        <v>298</v>
      </c>
      <c r="C175" s="20" t="s">
        <v>15</v>
      </c>
      <c r="D175" s="20" t="s">
        <v>22</v>
      </c>
      <c r="E175" s="21">
        <f>ROUND(17725*1.05,2)</f>
      </c>
      <c r="F175" s="20" t="s">
        <v>23</v>
      </c>
      <c r="G175" s="20" t="s">
        <v>24</v>
      </c>
      <c r="H175" s="21">
        <f>ROUND(RAND()*4+6,1)</f>
      </c>
      <c r="I175" s="20" t="s">
        <v>25</v>
      </c>
      <c r="J175" s="23">
        <f>ROUND(96*1,0)&amp;"%"</f>
      </c>
    </row>
    <row x14ac:dyDescent="0.25" r="176" customHeight="1" ht="17.25">
      <c r="A176" s="17" t="s">
        <v>1796</v>
      </c>
      <c r="B176" s="17" t="s">
        <v>300</v>
      </c>
      <c r="C176" s="17" t="s">
        <v>15</v>
      </c>
      <c r="D176" s="17" t="s">
        <v>28</v>
      </c>
      <c r="E176" s="18">
        <f>ROUND(15917*1.05,2)</f>
      </c>
      <c r="F176" s="17" t="s">
        <v>29</v>
      </c>
      <c r="G176" s="17" t="s">
        <v>30</v>
      </c>
      <c r="H176" s="18">
        <f>ROUND(RAND()*4+6,1)</f>
      </c>
      <c r="I176" s="17" t="s">
        <v>31</v>
      </c>
      <c r="J176" s="19">
        <f>ROUND(69*1,0)&amp;"%"</f>
      </c>
    </row>
    <row x14ac:dyDescent="0.25" r="177" customHeight="1" ht="17.25">
      <c r="A177" s="20" t="s">
        <v>1797</v>
      </c>
      <c r="B177" s="20" t="s">
        <v>302</v>
      </c>
      <c r="C177" s="20" t="s">
        <v>15</v>
      </c>
      <c r="D177" s="20" t="s">
        <v>34</v>
      </c>
      <c r="E177" s="21">
        <f>ROUND(10031*1.05,2)</f>
      </c>
      <c r="F177" s="20" t="s">
        <v>35</v>
      </c>
      <c r="G177" s="20" t="s">
        <v>18</v>
      </c>
      <c r="H177" s="21">
        <f>ROUND(RAND()*4+6,1)</f>
      </c>
      <c r="I177" s="20" t="s">
        <v>36</v>
      </c>
      <c r="J177" s="23">
        <f>ROUND(70*1,0)&amp;"%"</f>
      </c>
    </row>
    <row x14ac:dyDescent="0.25" r="178" customHeight="1" ht="17.25">
      <c r="A178" s="17" t="s">
        <v>1798</v>
      </c>
      <c r="B178" s="17" t="s">
        <v>304</v>
      </c>
      <c r="C178" s="17" t="s">
        <v>15</v>
      </c>
      <c r="D178" s="17" t="s">
        <v>39</v>
      </c>
      <c r="E178" s="18">
        <f>ROUND(17904*1.05,2)</f>
      </c>
      <c r="F178" s="17" t="s">
        <v>40</v>
      </c>
      <c r="G178" s="17" t="s">
        <v>24</v>
      </c>
      <c r="H178" s="18">
        <f>ROUND(RAND()*4+6,1)</f>
      </c>
      <c r="I178" s="17" t="s">
        <v>41</v>
      </c>
      <c r="J178" s="19">
        <f>ROUND(91*1,0)&amp;"%"</f>
      </c>
    </row>
    <row x14ac:dyDescent="0.25" r="179" customHeight="1" ht="17.25">
      <c r="A179" s="20" t="s">
        <v>1799</v>
      </c>
      <c r="B179" s="20" t="s">
        <v>306</v>
      </c>
      <c r="C179" s="20" t="s">
        <v>15</v>
      </c>
      <c r="D179" s="20" t="s">
        <v>67</v>
      </c>
      <c r="E179" s="21">
        <f>ROUND(4962*1.05,2)</f>
      </c>
      <c r="F179" s="20" t="s">
        <v>44</v>
      </c>
      <c r="G179" s="20" t="s">
        <v>30</v>
      </c>
      <c r="H179" s="21">
        <f>ROUND(RAND()*4+6,1)</f>
      </c>
      <c r="I179" s="20" t="s">
        <v>45</v>
      </c>
      <c r="J179" s="23">
        <f>ROUND(64*1,0)&amp;"%"</f>
      </c>
    </row>
    <row x14ac:dyDescent="0.25" r="180" customHeight="1" ht="17.25">
      <c r="A180" s="17" t="s">
        <v>1800</v>
      </c>
      <c r="B180" s="17" t="s">
        <v>308</v>
      </c>
      <c r="C180" s="17" t="s">
        <v>15</v>
      </c>
      <c r="D180" s="17" t="s">
        <v>16</v>
      </c>
      <c r="E180" s="18">
        <f>ROUND(9373*1.05,2)</f>
      </c>
      <c r="F180" s="17" t="s">
        <v>48</v>
      </c>
      <c r="G180" s="17" t="s">
        <v>18</v>
      </c>
      <c r="H180" s="18">
        <f>ROUND(RAND()*4+6,1)</f>
      </c>
      <c r="I180" s="17" t="s">
        <v>19</v>
      </c>
      <c r="J180" s="19">
        <f>ROUND(77*1,0)&amp;"%"</f>
      </c>
    </row>
    <row x14ac:dyDescent="0.25" r="181" customHeight="1" ht="17.25">
      <c r="A181" s="20" t="s">
        <v>1801</v>
      </c>
      <c r="B181" s="20" t="s">
        <v>310</v>
      </c>
      <c r="C181" s="20" t="s">
        <v>15</v>
      </c>
      <c r="D181" s="20" t="s">
        <v>22</v>
      </c>
      <c r="E181" s="21">
        <f>ROUND(9481*1.05,2)</f>
      </c>
      <c r="F181" s="20" t="s">
        <v>51</v>
      </c>
      <c r="G181" s="20" t="s">
        <v>24</v>
      </c>
      <c r="H181" s="21">
        <f>ROUND(RAND()*4+6,1)</f>
      </c>
      <c r="I181" s="20" t="s">
        <v>25</v>
      </c>
      <c r="J181" s="23">
        <f>ROUND(66*1,0)&amp;"%"</f>
      </c>
    </row>
    <row x14ac:dyDescent="0.25" r="182" customHeight="1" ht="17.25">
      <c r="A182" s="24" t="s">
        <v>311</v>
      </c>
      <c r="B182" s="24"/>
      <c r="C182" s="24"/>
      <c r="D182" s="24"/>
      <c r="E182" s="25">
        <v>8</v>
      </c>
      <c r="F182" s="9"/>
      <c r="G182" s="9"/>
      <c r="H182" s="10"/>
      <c r="I182" s="9"/>
      <c r="J182" s="9"/>
    </row>
    <row x14ac:dyDescent="0.25" r="183" customHeight="1" ht="17.25">
      <c r="A183" s="7"/>
      <c r="B183" s="7"/>
      <c r="C183" s="7"/>
      <c r="D183" s="7"/>
      <c r="E183" s="8"/>
      <c r="F183" s="9"/>
      <c r="G183" s="9"/>
      <c r="H183" s="10"/>
      <c r="I183" s="9"/>
      <c r="J183" s="9"/>
    </row>
    <row x14ac:dyDescent="0.25" r="184" customHeight="1" ht="17.25">
      <c r="A184" s="11" t="s">
        <v>1802</v>
      </c>
      <c r="B184" s="11"/>
      <c r="C184" s="11"/>
      <c r="D184" s="11"/>
      <c r="E184" s="12"/>
      <c r="F184" s="11"/>
      <c r="G184" s="11"/>
      <c r="H184" s="13"/>
      <c r="I184" s="11"/>
      <c r="J184" s="11"/>
    </row>
    <row x14ac:dyDescent="0.25" r="185" customHeight="1" ht="17.25">
      <c r="A185" s="14" t="s">
        <v>3</v>
      </c>
      <c r="B185" s="14" t="s">
        <v>4</v>
      </c>
      <c r="C185" s="14" t="s">
        <v>5</v>
      </c>
      <c r="D185" s="14" t="s">
        <v>6</v>
      </c>
      <c r="E185" s="15" t="s">
        <v>7</v>
      </c>
      <c r="F185" s="14" t="s">
        <v>8</v>
      </c>
      <c r="G185" s="14" t="s">
        <v>9</v>
      </c>
      <c r="H185" s="16" t="s">
        <v>10</v>
      </c>
      <c r="I185" s="14" t="s">
        <v>11</v>
      </c>
      <c r="J185" s="14" t="s">
        <v>12</v>
      </c>
    </row>
    <row x14ac:dyDescent="0.25" r="186" customHeight="1" ht="17.25">
      <c r="A186" s="17" t="s">
        <v>1803</v>
      </c>
      <c r="B186" s="17" t="s">
        <v>314</v>
      </c>
      <c r="C186" s="17" t="s">
        <v>56</v>
      </c>
      <c r="D186" s="17" t="s">
        <v>16</v>
      </c>
      <c r="E186" s="18">
        <f>ROUND(5287*1.05,2)</f>
      </c>
      <c r="F186" s="17" t="s">
        <v>17</v>
      </c>
      <c r="G186" s="17" t="s">
        <v>18</v>
      </c>
      <c r="H186" s="18">
        <f>ROUND(RAND()*4+6,1)</f>
      </c>
      <c r="I186" s="17" t="s">
        <v>19</v>
      </c>
      <c r="J186" s="19">
        <f>ROUND(69*1,0)&amp;"%"</f>
      </c>
    </row>
    <row x14ac:dyDescent="0.25" r="187" customHeight="1" ht="17.25">
      <c r="A187" s="20" t="s">
        <v>1804</v>
      </c>
      <c r="B187" s="20" t="s">
        <v>316</v>
      </c>
      <c r="C187" s="20" t="s">
        <v>56</v>
      </c>
      <c r="D187" s="20" t="s">
        <v>22</v>
      </c>
      <c r="E187" s="21">
        <f>ROUND(5696*1.05,2)</f>
      </c>
      <c r="F187" s="20" t="s">
        <v>23</v>
      </c>
      <c r="G187" s="20" t="s">
        <v>24</v>
      </c>
      <c r="H187" s="21">
        <f>ROUND(RAND()*4+6,1)</f>
      </c>
      <c r="I187" s="20" t="s">
        <v>25</v>
      </c>
      <c r="J187" s="23">
        <f>ROUND(78*1,0)&amp;"%"</f>
      </c>
    </row>
    <row x14ac:dyDescent="0.25" r="188" customHeight="1" ht="17.25">
      <c r="A188" s="17" t="s">
        <v>1805</v>
      </c>
      <c r="B188" s="17" t="s">
        <v>318</v>
      </c>
      <c r="C188" s="17" t="s">
        <v>56</v>
      </c>
      <c r="D188" s="17" t="s">
        <v>28</v>
      </c>
      <c r="E188" s="18">
        <f>ROUND(4276*1.05,2)</f>
      </c>
      <c r="F188" s="17" t="s">
        <v>29</v>
      </c>
      <c r="G188" s="17" t="s">
        <v>30</v>
      </c>
      <c r="H188" s="18">
        <f>ROUND(RAND()*4+6,1)</f>
      </c>
      <c r="I188" s="17" t="s">
        <v>31</v>
      </c>
      <c r="J188" s="19">
        <f>ROUND(78*1,0)&amp;"%"</f>
      </c>
    </row>
    <row x14ac:dyDescent="0.25" r="189" customHeight="1" ht="17.25">
      <c r="A189" s="20" t="s">
        <v>1806</v>
      </c>
      <c r="B189" s="20" t="s">
        <v>320</v>
      </c>
      <c r="C189" s="20" t="s">
        <v>56</v>
      </c>
      <c r="D189" s="20" t="s">
        <v>34</v>
      </c>
      <c r="E189" s="21">
        <f>ROUND(7635*1.05,2)</f>
      </c>
      <c r="F189" s="20" t="s">
        <v>35</v>
      </c>
      <c r="G189" s="20" t="s">
        <v>18</v>
      </c>
      <c r="H189" s="22">
        <f>ROUND(RAND()*4+6,1)</f>
      </c>
      <c r="I189" s="20" t="s">
        <v>36</v>
      </c>
      <c r="J189" s="23">
        <f>ROUND(82*1,0)&amp;"%"</f>
      </c>
    </row>
    <row x14ac:dyDescent="0.25" r="190" customHeight="1" ht="17.25">
      <c r="A190" s="17" t="s">
        <v>1807</v>
      </c>
      <c r="B190" s="17" t="s">
        <v>322</v>
      </c>
      <c r="C190" s="17" t="s">
        <v>56</v>
      </c>
      <c r="D190" s="17" t="s">
        <v>39</v>
      </c>
      <c r="E190" s="18">
        <f>ROUND(10407*1.05,2)</f>
      </c>
      <c r="F190" s="17" t="s">
        <v>40</v>
      </c>
      <c r="G190" s="17" t="s">
        <v>24</v>
      </c>
      <c r="H190" s="26">
        <f>ROUND(RAND()*4+6,1)</f>
      </c>
      <c r="I190" s="17" t="s">
        <v>41</v>
      </c>
      <c r="J190" s="19">
        <f>ROUND(72*1,0)&amp;"%"</f>
      </c>
    </row>
    <row x14ac:dyDescent="0.25" r="191" customHeight="1" ht="17.25">
      <c r="A191" s="20" t="s">
        <v>1808</v>
      </c>
      <c r="B191" s="20" t="s">
        <v>324</v>
      </c>
      <c r="C191" s="20" t="s">
        <v>56</v>
      </c>
      <c r="D191" s="20" t="s">
        <v>67</v>
      </c>
      <c r="E191" s="22">
        <f>ROUND(12080*1.05,2)</f>
      </c>
      <c r="F191" s="20" t="s">
        <v>44</v>
      </c>
      <c r="G191" s="20" t="s">
        <v>30</v>
      </c>
      <c r="H191" s="21">
        <f>ROUND(RAND()*4+6,1)</f>
      </c>
      <c r="I191" s="20" t="s">
        <v>45</v>
      </c>
      <c r="J191" s="23">
        <f>ROUND(93*1,0)&amp;"%"</f>
      </c>
    </row>
    <row x14ac:dyDescent="0.25" r="192" customHeight="1" ht="17.25">
      <c r="A192" s="17" t="s">
        <v>1809</v>
      </c>
      <c r="B192" s="17" t="s">
        <v>326</v>
      </c>
      <c r="C192" s="17" t="s">
        <v>56</v>
      </c>
      <c r="D192" s="17" t="s">
        <v>16</v>
      </c>
      <c r="E192" s="18">
        <f>ROUND(13091*1.05,2)</f>
      </c>
      <c r="F192" s="17" t="s">
        <v>48</v>
      </c>
      <c r="G192" s="17" t="s">
        <v>18</v>
      </c>
      <c r="H192" s="18">
        <f>ROUND(RAND()*4+6,1)</f>
      </c>
      <c r="I192" s="17" t="s">
        <v>19</v>
      </c>
      <c r="J192" s="19">
        <f>ROUND(91*1,0)&amp;"%"</f>
      </c>
    </row>
    <row x14ac:dyDescent="0.25" r="193" customHeight="1" ht="17.25">
      <c r="A193" s="20" t="s">
        <v>1810</v>
      </c>
      <c r="B193" s="20" t="s">
        <v>328</v>
      </c>
      <c r="C193" s="20" t="s">
        <v>56</v>
      </c>
      <c r="D193" s="20" t="s">
        <v>22</v>
      </c>
      <c r="E193" s="21">
        <f>ROUND(17103*1.05,2)</f>
      </c>
      <c r="F193" s="20" t="s">
        <v>51</v>
      </c>
      <c r="G193" s="20" t="s">
        <v>24</v>
      </c>
      <c r="H193" s="21">
        <f>ROUND(RAND()*4+6,1)</f>
      </c>
      <c r="I193" s="20" t="s">
        <v>25</v>
      </c>
      <c r="J193" s="23">
        <f>ROUND(92*1,0)&amp;"%"</f>
      </c>
    </row>
    <row x14ac:dyDescent="0.25" r="194" customHeight="1" ht="17.25">
      <c r="A194" s="24" t="s">
        <v>329</v>
      </c>
      <c r="B194" s="24"/>
      <c r="C194" s="24"/>
      <c r="D194" s="24"/>
      <c r="E194" s="25">
        <v>8</v>
      </c>
      <c r="F194" s="9"/>
      <c r="G194" s="9"/>
      <c r="H194" s="10"/>
      <c r="I194" s="9"/>
      <c r="J194" s="9"/>
    </row>
    <row x14ac:dyDescent="0.25" r="195" customHeight="1" ht="17.25">
      <c r="A195" s="7"/>
      <c r="B195" s="7"/>
      <c r="C195" s="7"/>
      <c r="D195" s="7"/>
      <c r="E195" s="8"/>
      <c r="F195" s="9"/>
      <c r="G195" s="9"/>
      <c r="H195" s="10"/>
      <c r="I195" s="9"/>
      <c r="J195" s="9"/>
    </row>
    <row x14ac:dyDescent="0.25" r="196" customHeight="1" ht="17.25">
      <c r="A196" s="11" t="s">
        <v>1811</v>
      </c>
      <c r="B196" s="11"/>
      <c r="C196" s="11"/>
      <c r="D196" s="11"/>
      <c r="E196" s="12"/>
      <c r="F196" s="11"/>
      <c r="G196" s="11"/>
      <c r="H196" s="13"/>
      <c r="I196" s="11"/>
      <c r="J196" s="11"/>
    </row>
    <row x14ac:dyDescent="0.25" r="197" customHeight="1" ht="17.25">
      <c r="A197" s="14" t="s">
        <v>3</v>
      </c>
      <c r="B197" s="14" t="s">
        <v>4</v>
      </c>
      <c r="C197" s="14" t="s">
        <v>5</v>
      </c>
      <c r="D197" s="14" t="s">
        <v>6</v>
      </c>
      <c r="E197" s="15" t="s">
        <v>7</v>
      </c>
      <c r="F197" s="14" t="s">
        <v>8</v>
      </c>
      <c r="G197" s="14" t="s">
        <v>9</v>
      </c>
      <c r="H197" s="16" t="s">
        <v>10</v>
      </c>
      <c r="I197" s="14" t="s">
        <v>11</v>
      </c>
      <c r="J197" s="14" t="s">
        <v>12</v>
      </c>
    </row>
    <row x14ac:dyDescent="0.25" r="198" customHeight="1" ht="17.25">
      <c r="A198" s="17" t="s">
        <v>1812</v>
      </c>
      <c r="B198" s="17" t="s">
        <v>332</v>
      </c>
      <c r="C198" s="17" t="s">
        <v>76</v>
      </c>
      <c r="D198" s="17" t="s">
        <v>16</v>
      </c>
      <c r="E198" s="18">
        <f>ROUND(11715*1.05,2)</f>
      </c>
      <c r="F198" s="17" t="s">
        <v>17</v>
      </c>
      <c r="G198" s="17" t="s">
        <v>18</v>
      </c>
      <c r="H198" s="18">
        <f>ROUND(RAND()*4+6,1)</f>
      </c>
      <c r="I198" s="17" t="s">
        <v>19</v>
      </c>
      <c r="J198" s="19">
        <f>ROUND(99*1,0)&amp;"%"</f>
      </c>
    </row>
    <row x14ac:dyDescent="0.25" r="199" customHeight="1" ht="17.25">
      <c r="A199" s="20" t="s">
        <v>1813</v>
      </c>
      <c r="B199" s="20" t="s">
        <v>334</v>
      </c>
      <c r="C199" s="20" t="s">
        <v>76</v>
      </c>
      <c r="D199" s="20" t="s">
        <v>22</v>
      </c>
      <c r="E199" s="21">
        <f>ROUND(11264*1.05,2)</f>
      </c>
      <c r="F199" s="20" t="s">
        <v>23</v>
      </c>
      <c r="G199" s="20" t="s">
        <v>24</v>
      </c>
      <c r="H199" s="21">
        <f>ROUND(RAND()*4+6,1)</f>
      </c>
      <c r="I199" s="20" t="s">
        <v>25</v>
      </c>
      <c r="J199" s="23">
        <f>ROUND(62*1,0)&amp;"%"</f>
      </c>
    </row>
    <row x14ac:dyDescent="0.25" r="200" customHeight="1" ht="17.25">
      <c r="A200" s="17" t="s">
        <v>1814</v>
      </c>
      <c r="B200" s="17" t="s">
        <v>336</v>
      </c>
      <c r="C200" s="17" t="s">
        <v>76</v>
      </c>
      <c r="D200" s="17" t="s">
        <v>28</v>
      </c>
      <c r="E200" s="26">
        <f>ROUND(11920*1.05,2)</f>
      </c>
      <c r="F200" s="17" t="s">
        <v>29</v>
      </c>
      <c r="G200" s="17" t="s">
        <v>30</v>
      </c>
      <c r="H200" s="18">
        <f>ROUND(RAND()*4+6,1)</f>
      </c>
      <c r="I200" s="17" t="s">
        <v>31</v>
      </c>
      <c r="J200" s="19">
        <f>ROUND(66*1,0)&amp;"%"</f>
      </c>
    </row>
    <row x14ac:dyDescent="0.25" r="201" customHeight="1" ht="17.25">
      <c r="A201" s="20" t="s">
        <v>1815</v>
      </c>
      <c r="B201" s="20" t="s">
        <v>338</v>
      </c>
      <c r="C201" s="20" t="s">
        <v>76</v>
      </c>
      <c r="D201" s="20" t="s">
        <v>34</v>
      </c>
      <c r="E201" s="21">
        <f>ROUND(5948*1.05,2)</f>
      </c>
      <c r="F201" s="20" t="s">
        <v>35</v>
      </c>
      <c r="G201" s="20" t="s">
        <v>18</v>
      </c>
      <c r="H201" s="21">
        <f>ROUND(RAND()*4+6,1)</f>
      </c>
      <c r="I201" s="20" t="s">
        <v>36</v>
      </c>
      <c r="J201" s="23">
        <f>ROUND(63*1,0)&amp;"%"</f>
      </c>
    </row>
    <row x14ac:dyDescent="0.25" r="202" customHeight="1" ht="17.25">
      <c r="A202" s="17" t="s">
        <v>1816</v>
      </c>
      <c r="B202" s="17" t="s">
        <v>340</v>
      </c>
      <c r="C202" s="17" t="s">
        <v>76</v>
      </c>
      <c r="D202" s="17" t="s">
        <v>39</v>
      </c>
      <c r="E202" s="26">
        <f>ROUND(7700*1.05,2)</f>
      </c>
      <c r="F202" s="17" t="s">
        <v>40</v>
      </c>
      <c r="G202" s="17" t="s">
        <v>24</v>
      </c>
      <c r="H202" s="18">
        <f>ROUND(RAND()*4+6,1)</f>
      </c>
      <c r="I202" s="17" t="s">
        <v>41</v>
      </c>
      <c r="J202" s="19">
        <f>ROUND(97*1,0)&amp;"%"</f>
      </c>
    </row>
    <row x14ac:dyDescent="0.25" r="203" customHeight="1" ht="17.25">
      <c r="A203" s="20" t="s">
        <v>1817</v>
      </c>
      <c r="B203" s="20" t="s">
        <v>342</v>
      </c>
      <c r="C203" s="20" t="s">
        <v>76</v>
      </c>
      <c r="D203" s="20" t="s">
        <v>67</v>
      </c>
      <c r="E203" s="21">
        <f>ROUND(10270*1.05,2)</f>
      </c>
      <c r="F203" s="20" t="s">
        <v>44</v>
      </c>
      <c r="G203" s="20" t="s">
        <v>30</v>
      </c>
      <c r="H203" s="21">
        <f>ROUND(RAND()*4+6,1)</f>
      </c>
      <c r="I203" s="20" t="s">
        <v>45</v>
      </c>
      <c r="J203" s="23">
        <f>ROUND(95*1,0)&amp;"%"</f>
      </c>
    </row>
    <row x14ac:dyDescent="0.25" r="204" customHeight="1" ht="17.25">
      <c r="A204" s="17" t="s">
        <v>1818</v>
      </c>
      <c r="B204" s="17" t="s">
        <v>344</v>
      </c>
      <c r="C204" s="17" t="s">
        <v>76</v>
      </c>
      <c r="D204" s="17" t="s">
        <v>16</v>
      </c>
      <c r="E204" s="18">
        <f>ROUND(4479*1.05,2)</f>
      </c>
      <c r="F204" s="17" t="s">
        <v>48</v>
      </c>
      <c r="G204" s="17" t="s">
        <v>18</v>
      </c>
      <c r="H204" s="18">
        <f>ROUND(RAND()*4+6,1)</f>
      </c>
      <c r="I204" s="17" t="s">
        <v>19</v>
      </c>
      <c r="J204" s="19">
        <f>ROUND(73*1,0)&amp;"%"</f>
      </c>
    </row>
    <row x14ac:dyDescent="0.25" r="205" customHeight="1" ht="17.25">
      <c r="A205" s="20" t="s">
        <v>1819</v>
      </c>
      <c r="B205" s="20" t="s">
        <v>346</v>
      </c>
      <c r="C205" s="20" t="s">
        <v>76</v>
      </c>
      <c r="D205" s="20" t="s">
        <v>22</v>
      </c>
      <c r="E205" s="21">
        <f>ROUND(10252*1.05,2)</f>
      </c>
      <c r="F205" s="20" t="s">
        <v>51</v>
      </c>
      <c r="G205" s="20" t="s">
        <v>24</v>
      </c>
      <c r="H205" s="21">
        <f>ROUND(RAND()*4+6,1)</f>
      </c>
      <c r="I205" s="20" t="s">
        <v>25</v>
      </c>
      <c r="J205" s="23">
        <f>ROUND(81*1,0)&amp;"%"</f>
      </c>
    </row>
    <row x14ac:dyDescent="0.25" r="206" customHeight="1" ht="17.25">
      <c r="A206" s="24" t="s">
        <v>347</v>
      </c>
      <c r="B206" s="24"/>
      <c r="C206" s="24"/>
      <c r="D206" s="24"/>
      <c r="E206" s="25">
        <v>8</v>
      </c>
      <c r="F206" s="9"/>
      <c r="G206" s="9"/>
      <c r="H206" s="10"/>
      <c r="I206" s="9"/>
      <c r="J206" s="9"/>
    </row>
    <row x14ac:dyDescent="0.25" r="207" customHeight="1" ht="17.25">
      <c r="A207" s="7"/>
      <c r="B207" s="7"/>
      <c r="C207" s="7"/>
      <c r="D207" s="7"/>
      <c r="E207" s="8"/>
      <c r="F207" s="9"/>
      <c r="G207" s="9"/>
      <c r="H207" s="10"/>
      <c r="I207" s="9"/>
      <c r="J207" s="9"/>
    </row>
    <row x14ac:dyDescent="0.25" r="208" customHeight="1" ht="17.25">
      <c r="A208" s="11" t="s">
        <v>1820</v>
      </c>
      <c r="B208" s="11"/>
      <c r="C208" s="11"/>
      <c r="D208" s="11"/>
      <c r="E208" s="12"/>
      <c r="F208" s="11"/>
      <c r="G208" s="11"/>
      <c r="H208" s="13"/>
      <c r="I208" s="11"/>
      <c r="J208" s="11"/>
    </row>
    <row x14ac:dyDescent="0.25" r="209" customHeight="1" ht="17.25">
      <c r="A209" s="14" t="s">
        <v>3</v>
      </c>
      <c r="B209" s="14" t="s">
        <v>4</v>
      </c>
      <c r="C209" s="14" t="s">
        <v>5</v>
      </c>
      <c r="D209" s="14" t="s">
        <v>6</v>
      </c>
      <c r="E209" s="15" t="s">
        <v>7</v>
      </c>
      <c r="F209" s="14" t="s">
        <v>8</v>
      </c>
      <c r="G209" s="14" t="s">
        <v>9</v>
      </c>
      <c r="H209" s="16" t="s">
        <v>10</v>
      </c>
      <c r="I209" s="14" t="s">
        <v>11</v>
      </c>
      <c r="J209" s="14" t="s">
        <v>12</v>
      </c>
    </row>
    <row x14ac:dyDescent="0.25" r="210" customHeight="1" ht="17.25">
      <c r="A210" s="17" t="s">
        <v>1821</v>
      </c>
      <c r="B210" s="17" t="s">
        <v>350</v>
      </c>
      <c r="C210" s="17" t="s">
        <v>95</v>
      </c>
      <c r="D210" s="17" t="s">
        <v>16</v>
      </c>
      <c r="E210" s="18">
        <f>ROUND(17995*1.05,2)</f>
      </c>
      <c r="F210" s="17" t="s">
        <v>17</v>
      </c>
      <c r="G210" s="17" t="s">
        <v>18</v>
      </c>
      <c r="H210" s="18">
        <f>ROUND(RAND()*4+6,1)</f>
      </c>
      <c r="I210" s="17" t="s">
        <v>19</v>
      </c>
      <c r="J210" s="19">
        <f>ROUND(79*1,0)&amp;"%"</f>
      </c>
    </row>
    <row x14ac:dyDescent="0.25" r="211" customHeight="1" ht="17.25">
      <c r="A211" s="20" t="s">
        <v>1822</v>
      </c>
      <c r="B211" s="20" t="s">
        <v>352</v>
      </c>
      <c r="C211" s="20" t="s">
        <v>95</v>
      </c>
      <c r="D211" s="20" t="s">
        <v>22</v>
      </c>
      <c r="E211" s="21">
        <f>ROUND(11304*1.05,2)</f>
      </c>
      <c r="F211" s="20" t="s">
        <v>23</v>
      </c>
      <c r="G211" s="20" t="s">
        <v>24</v>
      </c>
      <c r="H211" s="21">
        <f>ROUND(RAND()*4+6,1)</f>
      </c>
      <c r="I211" s="20" t="s">
        <v>25</v>
      </c>
      <c r="J211" s="23">
        <f>ROUND(75*1,0)&amp;"%"</f>
      </c>
    </row>
    <row x14ac:dyDescent="0.25" r="212" customHeight="1" ht="17.25">
      <c r="A212" s="17" t="s">
        <v>1823</v>
      </c>
      <c r="B212" s="17" t="s">
        <v>354</v>
      </c>
      <c r="C212" s="17" t="s">
        <v>95</v>
      </c>
      <c r="D212" s="17" t="s">
        <v>28</v>
      </c>
      <c r="E212" s="18">
        <f>ROUND(11098*1.05,2)</f>
      </c>
      <c r="F212" s="17" t="s">
        <v>29</v>
      </c>
      <c r="G212" s="17" t="s">
        <v>30</v>
      </c>
      <c r="H212" s="18">
        <f>ROUND(RAND()*4+6,1)</f>
      </c>
      <c r="I212" s="17" t="s">
        <v>31</v>
      </c>
      <c r="J212" s="19">
        <f>ROUND(85*1,0)&amp;"%"</f>
      </c>
    </row>
    <row x14ac:dyDescent="0.25" r="213" customHeight="1" ht="17.25">
      <c r="A213" s="20" t="s">
        <v>1824</v>
      </c>
      <c r="B213" s="20" t="s">
        <v>356</v>
      </c>
      <c r="C213" s="20" t="s">
        <v>95</v>
      </c>
      <c r="D213" s="20" t="s">
        <v>34</v>
      </c>
      <c r="E213" s="21">
        <f>ROUND(9246*1.05,2)</f>
      </c>
      <c r="F213" s="20" t="s">
        <v>35</v>
      </c>
      <c r="G213" s="20" t="s">
        <v>18</v>
      </c>
      <c r="H213" s="21">
        <f>ROUND(RAND()*4+6,1)</f>
      </c>
      <c r="I213" s="20" t="s">
        <v>36</v>
      </c>
      <c r="J213" s="23">
        <f>ROUND(72*1,0)&amp;"%"</f>
      </c>
    </row>
    <row x14ac:dyDescent="0.25" r="214" customHeight="1" ht="17.25">
      <c r="A214" s="17" t="s">
        <v>1825</v>
      </c>
      <c r="B214" s="17" t="s">
        <v>358</v>
      </c>
      <c r="C214" s="17" t="s">
        <v>95</v>
      </c>
      <c r="D214" s="17" t="s">
        <v>39</v>
      </c>
      <c r="E214" s="18">
        <f>ROUND(11883*1.05,2)</f>
      </c>
      <c r="F214" s="17" t="s">
        <v>40</v>
      </c>
      <c r="G214" s="17" t="s">
        <v>24</v>
      </c>
      <c r="H214" s="18">
        <f>ROUND(RAND()*4+6,1)</f>
      </c>
      <c r="I214" s="17" t="s">
        <v>41</v>
      </c>
      <c r="J214" s="19">
        <f>ROUND(60*1,0)&amp;"%"</f>
      </c>
    </row>
    <row x14ac:dyDescent="0.25" r="215" customHeight="1" ht="17.25">
      <c r="A215" s="20" t="s">
        <v>1826</v>
      </c>
      <c r="B215" s="20" t="s">
        <v>360</v>
      </c>
      <c r="C215" s="20" t="s">
        <v>95</v>
      </c>
      <c r="D215" s="20" t="s">
        <v>67</v>
      </c>
      <c r="E215" s="21">
        <f>ROUND(6408*1.05,2)</f>
      </c>
      <c r="F215" s="20" t="s">
        <v>44</v>
      </c>
      <c r="G215" s="20" t="s">
        <v>30</v>
      </c>
      <c r="H215" s="21">
        <f>ROUND(RAND()*4+6,1)</f>
      </c>
      <c r="I215" s="20" t="s">
        <v>45</v>
      </c>
      <c r="J215" s="23">
        <f>ROUND(80*1,0)&amp;"%"</f>
      </c>
    </row>
    <row x14ac:dyDescent="0.25" r="216" customHeight="1" ht="17.25">
      <c r="A216" s="17" t="s">
        <v>1827</v>
      </c>
      <c r="B216" s="17" t="s">
        <v>362</v>
      </c>
      <c r="C216" s="17" t="s">
        <v>95</v>
      </c>
      <c r="D216" s="17" t="s">
        <v>16</v>
      </c>
      <c r="E216" s="18">
        <f>ROUND(8852*1.05,2)</f>
      </c>
      <c r="F216" s="17" t="s">
        <v>48</v>
      </c>
      <c r="G216" s="17" t="s">
        <v>18</v>
      </c>
      <c r="H216" s="18">
        <f>ROUND(RAND()*4+6,1)</f>
      </c>
      <c r="I216" s="17" t="s">
        <v>19</v>
      </c>
      <c r="J216" s="19">
        <f>ROUND(69*1,0)&amp;"%"</f>
      </c>
    </row>
    <row x14ac:dyDescent="0.25" r="217" customHeight="1" ht="17.25">
      <c r="A217" s="20" t="s">
        <v>1828</v>
      </c>
      <c r="B217" s="20" t="s">
        <v>364</v>
      </c>
      <c r="C217" s="20" t="s">
        <v>95</v>
      </c>
      <c r="D217" s="20" t="s">
        <v>22</v>
      </c>
      <c r="E217" s="21">
        <f>ROUND(14506*1.05,2)</f>
      </c>
      <c r="F217" s="20" t="s">
        <v>51</v>
      </c>
      <c r="G217" s="20" t="s">
        <v>24</v>
      </c>
      <c r="H217" s="21">
        <f>ROUND(RAND()*4+6,1)</f>
      </c>
      <c r="I217" s="20" t="s">
        <v>25</v>
      </c>
      <c r="J217" s="23">
        <f>ROUND(81*1,0)&amp;"%"</f>
      </c>
    </row>
    <row x14ac:dyDescent="0.25" r="218" customHeight="1" ht="17.25">
      <c r="A218" s="24" t="s">
        <v>365</v>
      </c>
      <c r="B218" s="24"/>
      <c r="C218" s="24"/>
      <c r="D218" s="24"/>
      <c r="E218" s="25">
        <v>8</v>
      </c>
      <c r="F218" s="9"/>
      <c r="G218" s="9"/>
      <c r="H218" s="10"/>
      <c r="I218" s="9"/>
      <c r="J218" s="9"/>
    </row>
    <row x14ac:dyDescent="0.25" r="219" customHeight="1" ht="17.25">
      <c r="A219" s="7"/>
      <c r="B219" s="7"/>
      <c r="C219" s="7"/>
      <c r="D219" s="7"/>
      <c r="E219" s="8"/>
      <c r="F219" s="9"/>
      <c r="G219" s="9"/>
      <c r="H219" s="10"/>
      <c r="I219" s="9"/>
      <c r="J219" s="9"/>
    </row>
    <row x14ac:dyDescent="0.25" r="220" customHeight="1" ht="17.25">
      <c r="A220" s="11" t="s">
        <v>1829</v>
      </c>
      <c r="B220" s="11"/>
      <c r="C220" s="11"/>
      <c r="D220" s="11"/>
      <c r="E220" s="12"/>
      <c r="F220" s="11"/>
      <c r="G220" s="11"/>
      <c r="H220" s="13"/>
      <c r="I220" s="11"/>
      <c r="J220" s="11"/>
    </row>
    <row x14ac:dyDescent="0.25" r="221" customHeight="1" ht="17.25">
      <c r="A221" s="14" t="s">
        <v>3</v>
      </c>
      <c r="B221" s="14" t="s">
        <v>4</v>
      </c>
      <c r="C221" s="14" t="s">
        <v>5</v>
      </c>
      <c r="D221" s="14" t="s">
        <v>6</v>
      </c>
      <c r="E221" s="15" t="s">
        <v>7</v>
      </c>
      <c r="F221" s="14" t="s">
        <v>8</v>
      </c>
      <c r="G221" s="14" t="s">
        <v>9</v>
      </c>
      <c r="H221" s="16" t="s">
        <v>10</v>
      </c>
      <c r="I221" s="14" t="s">
        <v>11</v>
      </c>
      <c r="J221" s="14" t="s">
        <v>12</v>
      </c>
    </row>
    <row x14ac:dyDescent="0.25" r="222" customHeight="1" ht="17.25">
      <c r="A222" s="17" t="s">
        <v>1830</v>
      </c>
      <c r="B222" s="17" t="s">
        <v>368</v>
      </c>
      <c r="C222" s="17" t="s">
        <v>114</v>
      </c>
      <c r="D222" s="17" t="s">
        <v>16</v>
      </c>
      <c r="E222" s="18">
        <f>ROUND(12876*1.05,2)</f>
      </c>
      <c r="F222" s="17" t="s">
        <v>17</v>
      </c>
      <c r="G222" s="17" t="s">
        <v>18</v>
      </c>
      <c r="H222" s="18">
        <f>ROUND(RAND()*4+6,1)</f>
      </c>
      <c r="I222" s="17" t="s">
        <v>19</v>
      </c>
      <c r="J222" s="19">
        <f>ROUND(75*1,0)&amp;"%"</f>
      </c>
    </row>
    <row x14ac:dyDescent="0.25" r="223" customHeight="1" ht="17.25">
      <c r="A223" s="20" t="s">
        <v>1831</v>
      </c>
      <c r="B223" s="20" t="s">
        <v>370</v>
      </c>
      <c r="C223" s="20" t="s">
        <v>114</v>
      </c>
      <c r="D223" s="20" t="s">
        <v>22</v>
      </c>
      <c r="E223" s="21">
        <f>ROUND(12474*1.05,2)</f>
      </c>
      <c r="F223" s="20" t="s">
        <v>23</v>
      </c>
      <c r="G223" s="20" t="s">
        <v>24</v>
      </c>
      <c r="H223" s="21">
        <f>ROUND(RAND()*4+6,1)</f>
      </c>
      <c r="I223" s="20" t="s">
        <v>25</v>
      </c>
      <c r="J223" s="23">
        <f>ROUND(92*1,0)&amp;"%"</f>
      </c>
    </row>
    <row x14ac:dyDescent="0.25" r="224" customHeight="1" ht="17.25">
      <c r="A224" s="17" t="s">
        <v>1832</v>
      </c>
      <c r="B224" s="17" t="s">
        <v>372</v>
      </c>
      <c r="C224" s="17" t="s">
        <v>114</v>
      </c>
      <c r="D224" s="17" t="s">
        <v>28</v>
      </c>
      <c r="E224" s="18">
        <f>ROUND(13861*1.05,2)</f>
      </c>
      <c r="F224" s="17" t="s">
        <v>29</v>
      </c>
      <c r="G224" s="17" t="s">
        <v>30</v>
      </c>
      <c r="H224" s="26">
        <f>ROUND(RAND()*4+6,1)</f>
      </c>
      <c r="I224" s="17" t="s">
        <v>31</v>
      </c>
      <c r="J224" s="19">
        <f>ROUND(80*1,0)&amp;"%"</f>
      </c>
    </row>
    <row x14ac:dyDescent="0.25" r="225" customHeight="1" ht="17.25">
      <c r="A225" s="20" t="s">
        <v>1833</v>
      </c>
      <c r="B225" s="20" t="s">
        <v>374</v>
      </c>
      <c r="C225" s="20" t="s">
        <v>114</v>
      </c>
      <c r="D225" s="20" t="s">
        <v>34</v>
      </c>
      <c r="E225" s="21">
        <f>ROUND(16750*1.05,2)</f>
      </c>
      <c r="F225" s="20" t="s">
        <v>35</v>
      </c>
      <c r="G225" s="20" t="s">
        <v>18</v>
      </c>
      <c r="H225" s="21">
        <f>ROUND(RAND()*4+6,1)</f>
      </c>
      <c r="I225" s="20" t="s">
        <v>36</v>
      </c>
      <c r="J225" s="23">
        <f>ROUND(99*1,0)&amp;"%"</f>
      </c>
    </row>
    <row x14ac:dyDescent="0.25" r="226" customHeight="1" ht="17.25">
      <c r="A226" s="17" t="s">
        <v>1834</v>
      </c>
      <c r="B226" s="17" t="s">
        <v>376</v>
      </c>
      <c r="C226" s="17" t="s">
        <v>114</v>
      </c>
      <c r="D226" s="17" t="s">
        <v>39</v>
      </c>
      <c r="E226" s="18">
        <f>ROUND(14572*1.05,2)</f>
      </c>
      <c r="F226" s="17" t="s">
        <v>40</v>
      </c>
      <c r="G226" s="17" t="s">
        <v>24</v>
      </c>
      <c r="H226" s="18">
        <f>ROUND(RAND()*4+6,1)</f>
      </c>
      <c r="I226" s="17" t="s">
        <v>41</v>
      </c>
      <c r="J226" s="19">
        <f>ROUND(100*1,0)&amp;"%"</f>
      </c>
    </row>
    <row x14ac:dyDescent="0.25" r="227" customHeight="1" ht="17.25">
      <c r="A227" s="20" t="s">
        <v>1835</v>
      </c>
      <c r="B227" s="20" t="s">
        <v>378</v>
      </c>
      <c r="C227" s="20" t="s">
        <v>114</v>
      </c>
      <c r="D227" s="20" t="s">
        <v>67</v>
      </c>
      <c r="E227" s="21">
        <f>ROUND(9811*1.05,2)</f>
      </c>
      <c r="F227" s="20" t="s">
        <v>44</v>
      </c>
      <c r="G227" s="20" t="s">
        <v>30</v>
      </c>
      <c r="H227" s="21">
        <f>ROUND(RAND()*4+6,1)</f>
      </c>
      <c r="I227" s="20" t="s">
        <v>45</v>
      </c>
      <c r="J227" s="23">
        <f>ROUND(98*1,0)&amp;"%"</f>
      </c>
    </row>
    <row x14ac:dyDescent="0.25" r="228" customHeight="1" ht="17.25">
      <c r="A228" s="17" t="s">
        <v>1836</v>
      </c>
      <c r="B228" s="17" t="s">
        <v>380</v>
      </c>
      <c r="C228" s="17" t="s">
        <v>114</v>
      </c>
      <c r="D228" s="17" t="s">
        <v>16</v>
      </c>
      <c r="E228" s="18">
        <f>ROUND(4011*1.05,2)</f>
      </c>
      <c r="F228" s="17" t="s">
        <v>48</v>
      </c>
      <c r="G228" s="17" t="s">
        <v>18</v>
      </c>
      <c r="H228" s="18">
        <f>ROUND(RAND()*4+6,1)</f>
      </c>
      <c r="I228" s="17" t="s">
        <v>19</v>
      </c>
      <c r="J228" s="19">
        <f>ROUND(81*1,0)&amp;"%"</f>
      </c>
    </row>
    <row x14ac:dyDescent="0.25" r="229" customHeight="1" ht="17.25">
      <c r="A229" s="20" t="s">
        <v>1837</v>
      </c>
      <c r="B229" s="20" t="s">
        <v>382</v>
      </c>
      <c r="C229" s="20" t="s">
        <v>114</v>
      </c>
      <c r="D229" s="20" t="s">
        <v>22</v>
      </c>
      <c r="E229" s="21">
        <f>ROUND(16050*1.05,2)</f>
      </c>
      <c r="F229" s="20" t="s">
        <v>51</v>
      </c>
      <c r="G229" s="20" t="s">
        <v>24</v>
      </c>
      <c r="H229" s="21">
        <f>ROUND(RAND()*4+6,1)</f>
      </c>
      <c r="I229" s="20" t="s">
        <v>25</v>
      </c>
      <c r="J229" s="23">
        <f>ROUND(77*1,0)&amp;"%"</f>
      </c>
    </row>
    <row x14ac:dyDescent="0.25" r="230" customHeight="1" ht="17.25">
      <c r="A230" s="24" t="s">
        <v>383</v>
      </c>
      <c r="B230" s="24"/>
      <c r="C230" s="24"/>
      <c r="D230" s="24"/>
      <c r="E230" s="25">
        <v>8</v>
      </c>
      <c r="F230" s="9"/>
      <c r="G230" s="9"/>
      <c r="H230" s="10"/>
      <c r="I230" s="9"/>
      <c r="J230" s="9"/>
    </row>
    <row x14ac:dyDescent="0.25" r="231" customHeight="1" ht="17.25">
      <c r="A231" s="7"/>
      <c r="B231" s="7"/>
      <c r="C231" s="7"/>
      <c r="D231" s="7"/>
      <c r="E231" s="8"/>
      <c r="F231" s="9"/>
      <c r="G231" s="9"/>
      <c r="H231" s="10"/>
      <c r="I231" s="9"/>
      <c r="J231" s="9"/>
    </row>
    <row x14ac:dyDescent="0.25" r="232" customHeight="1" ht="17.25">
      <c r="A232" s="11" t="s">
        <v>1838</v>
      </c>
      <c r="B232" s="11"/>
      <c r="C232" s="11"/>
      <c r="D232" s="11"/>
      <c r="E232" s="12"/>
      <c r="F232" s="11"/>
      <c r="G232" s="11"/>
      <c r="H232" s="13"/>
      <c r="I232" s="11"/>
      <c r="J232" s="11"/>
    </row>
    <row x14ac:dyDescent="0.25" r="233" customHeight="1" ht="17.25">
      <c r="A233" s="14" t="s">
        <v>3</v>
      </c>
      <c r="B233" s="14" t="s">
        <v>4</v>
      </c>
      <c r="C233" s="14" t="s">
        <v>5</v>
      </c>
      <c r="D233" s="14" t="s">
        <v>6</v>
      </c>
      <c r="E233" s="15" t="s">
        <v>7</v>
      </c>
      <c r="F233" s="14" t="s">
        <v>8</v>
      </c>
      <c r="G233" s="14" t="s">
        <v>9</v>
      </c>
      <c r="H233" s="16" t="s">
        <v>10</v>
      </c>
      <c r="I233" s="14" t="s">
        <v>11</v>
      </c>
      <c r="J233" s="14" t="s">
        <v>12</v>
      </c>
    </row>
    <row x14ac:dyDescent="0.25" r="234" customHeight="1" ht="17.25">
      <c r="A234" s="17" t="s">
        <v>1839</v>
      </c>
      <c r="B234" s="17" t="s">
        <v>386</v>
      </c>
      <c r="C234" s="17" t="s">
        <v>133</v>
      </c>
      <c r="D234" s="17" t="s">
        <v>16</v>
      </c>
      <c r="E234" s="18">
        <f>ROUND(9866*1.05,2)</f>
      </c>
      <c r="F234" s="17" t="s">
        <v>17</v>
      </c>
      <c r="G234" s="17" t="s">
        <v>18</v>
      </c>
      <c r="H234" s="18">
        <f>ROUND(RAND()*4+6,1)</f>
      </c>
      <c r="I234" s="17" t="s">
        <v>19</v>
      </c>
      <c r="J234" s="19">
        <f>ROUND(93*1,0)&amp;"%"</f>
      </c>
    </row>
    <row x14ac:dyDescent="0.25" r="235" customHeight="1" ht="17.25">
      <c r="A235" s="20" t="s">
        <v>1840</v>
      </c>
      <c r="B235" s="20" t="s">
        <v>388</v>
      </c>
      <c r="C235" s="20" t="s">
        <v>133</v>
      </c>
      <c r="D235" s="20" t="s">
        <v>22</v>
      </c>
      <c r="E235" s="21">
        <f>ROUND(7461*1.05,2)</f>
      </c>
      <c r="F235" s="20" t="s">
        <v>23</v>
      </c>
      <c r="G235" s="20" t="s">
        <v>24</v>
      </c>
      <c r="H235" s="21">
        <f>ROUND(RAND()*4+6,1)</f>
      </c>
      <c r="I235" s="20" t="s">
        <v>25</v>
      </c>
      <c r="J235" s="23">
        <f>ROUND(80*1,0)&amp;"%"</f>
      </c>
    </row>
    <row x14ac:dyDescent="0.25" r="236" customHeight="1" ht="17.25">
      <c r="A236" s="17" t="s">
        <v>1841</v>
      </c>
      <c r="B236" s="17" t="s">
        <v>390</v>
      </c>
      <c r="C236" s="17" t="s">
        <v>133</v>
      </c>
      <c r="D236" s="17" t="s">
        <v>28</v>
      </c>
      <c r="E236" s="18">
        <f>ROUND(6303*1.05,2)</f>
      </c>
      <c r="F236" s="17" t="s">
        <v>29</v>
      </c>
      <c r="G236" s="17" t="s">
        <v>30</v>
      </c>
      <c r="H236" s="18">
        <f>ROUND(RAND()*4+6,1)</f>
      </c>
      <c r="I236" s="17" t="s">
        <v>31</v>
      </c>
      <c r="J236" s="19">
        <f>ROUND(89*1,0)&amp;"%"</f>
      </c>
    </row>
    <row x14ac:dyDescent="0.25" r="237" customHeight="1" ht="17.25">
      <c r="A237" s="20" t="s">
        <v>1842</v>
      </c>
      <c r="B237" s="20" t="s">
        <v>392</v>
      </c>
      <c r="C237" s="20" t="s">
        <v>133</v>
      </c>
      <c r="D237" s="20" t="s">
        <v>34</v>
      </c>
      <c r="E237" s="21">
        <f>ROUND(11751*1.05,2)</f>
      </c>
      <c r="F237" s="20" t="s">
        <v>35</v>
      </c>
      <c r="G237" s="20" t="s">
        <v>18</v>
      </c>
      <c r="H237" s="22">
        <f>ROUND(RAND()*4+6,1)</f>
      </c>
      <c r="I237" s="20" t="s">
        <v>36</v>
      </c>
      <c r="J237" s="23">
        <f>ROUND(72*1,0)&amp;"%"</f>
      </c>
    </row>
    <row x14ac:dyDescent="0.25" r="238" customHeight="1" ht="17.25">
      <c r="A238" s="17" t="s">
        <v>1843</v>
      </c>
      <c r="B238" s="17" t="s">
        <v>394</v>
      </c>
      <c r="C238" s="17" t="s">
        <v>133</v>
      </c>
      <c r="D238" s="17" t="s">
        <v>39</v>
      </c>
      <c r="E238" s="18">
        <f>ROUND(5442*1.05,2)</f>
      </c>
      <c r="F238" s="17" t="s">
        <v>40</v>
      </c>
      <c r="G238" s="17" t="s">
        <v>24</v>
      </c>
      <c r="H238" s="18">
        <f>ROUND(RAND()*4+6,1)</f>
      </c>
      <c r="I238" s="17" t="s">
        <v>41</v>
      </c>
      <c r="J238" s="19">
        <f>ROUND(89*1,0)&amp;"%"</f>
      </c>
    </row>
    <row x14ac:dyDescent="0.25" r="239" customHeight="1" ht="17.25">
      <c r="A239" s="20" t="s">
        <v>1844</v>
      </c>
      <c r="B239" s="20" t="s">
        <v>396</v>
      </c>
      <c r="C239" s="20" t="s">
        <v>133</v>
      </c>
      <c r="D239" s="20" t="s">
        <v>67</v>
      </c>
      <c r="E239" s="21">
        <f>ROUND(5927*1.05,2)</f>
      </c>
      <c r="F239" s="20" t="s">
        <v>44</v>
      </c>
      <c r="G239" s="20" t="s">
        <v>30</v>
      </c>
      <c r="H239" s="22">
        <f>ROUND(RAND()*4+6,1)</f>
      </c>
      <c r="I239" s="20" t="s">
        <v>45</v>
      </c>
      <c r="J239" s="23">
        <f>ROUND(98*1,0)&amp;"%"</f>
      </c>
    </row>
    <row x14ac:dyDescent="0.25" r="240" customHeight="1" ht="17.25">
      <c r="A240" s="17" t="s">
        <v>1845</v>
      </c>
      <c r="B240" s="17" t="s">
        <v>398</v>
      </c>
      <c r="C240" s="17" t="s">
        <v>133</v>
      </c>
      <c r="D240" s="17" t="s">
        <v>16</v>
      </c>
      <c r="E240" s="18">
        <f>ROUND(14967*1.05,2)</f>
      </c>
      <c r="F240" s="17" t="s">
        <v>48</v>
      </c>
      <c r="G240" s="17" t="s">
        <v>18</v>
      </c>
      <c r="H240" s="18">
        <f>ROUND(RAND()*4+6,1)</f>
      </c>
      <c r="I240" s="17" t="s">
        <v>19</v>
      </c>
      <c r="J240" s="19">
        <f>ROUND(81*1,0)&amp;"%"</f>
      </c>
    </row>
    <row x14ac:dyDescent="0.25" r="241" customHeight="1" ht="17.25">
      <c r="A241" s="20" t="s">
        <v>1846</v>
      </c>
      <c r="B241" s="20" t="s">
        <v>400</v>
      </c>
      <c r="C241" s="20" t="s">
        <v>133</v>
      </c>
      <c r="D241" s="20" t="s">
        <v>22</v>
      </c>
      <c r="E241" s="21">
        <f>ROUND(11548*1.05,2)</f>
      </c>
      <c r="F241" s="20" t="s">
        <v>51</v>
      </c>
      <c r="G241" s="20" t="s">
        <v>24</v>
      </c>
      <c r="H241" s="21">
        <f>ROUND(RAND()*4+6,1)</f>
      </c>
      <c r="I241" s="20" t="s">
        <v>25</v>
      </c>
      <c r="J241" s="23">
        <f>ROUND(85*1,0)&amp;"%"</f>
      </c>
    </row>
    <row x14ac:dyDescent="0.25" r="242" customHeight="1" ht="17.25">
      <c r="A242" s="24" t="s">
        <v>401</v>
      </c>
      <c r="B242" s="24"/>
      <c r="C242" s="24"/>
      <c r="D242" s="24"/>
      <c r="E242" s="25">
        <v>8</v>
      </c>
      <c r="F242" s="9"/>
      <c r="G242" s="9"/>
      <c r="H242" s="10"/>
      <c r="I242" s="9"/>
      <c r="J242" s="9"/>
    </row>
    <row x14ac:dyDescent="0.25" r="243" customHeight="1" ht="17.25">
      <c r="A243" s="7"/>
      <c r="B243" s="7"/>
      <c r="C243" s="7"/>
      <c r="D243" s="7"/>
      <c r="E243" s="8"/>
      <c r="F243" s="9"/>
      <c r="G243" s="9"/>
      <c r="H243" s="10"/>
      <c r="I243" s="9"/>
      <c r="J243" s="9"/>
    </row>
    <row x14ac:dyDescent="0.25" r="244" customHeight="1" ht="17.25">
      <c r="A244" s="11" t="s">
        <v>1847</v>
      </c>
      <c r="B244" s="11"/>
      <c r="C244" s="11"/>
      <c r="D244" s="11"/>
      <c r="E244" s="12"/>
      <c r="F244" s="11"/>
      <c r="G244" s="11"/>
      <c r="H244" s="13"/>
      <c r="I244" s="11"/>
      <c r="J244" s="11"/>
    </row>
    <row x14ac:dyDescent="0.25" r="245" customHeight="1" ht="17.25">
      <c r="A245" s="14" t="s">
        <v>3</v>
      </c>
      <c r="B245" s="14" t="s">
        <v>4</v>
      </c>
      <c r="C245" s="14" t="s">
        <v>5</v>
      </c>
      <c r="D245" s="14" t="s">
        <v>6</v>
      </c>
      <c r="E245" s="15" t="s">
        <v>7</v>
      </c>
      <c r="F245" s="14" t="s">
        <v>8</v>
      </c>
      <c r="G245" s="14" t="s">
        <v>9</v>
      </c>
      <c r="H245" s="16" t="s">
        <v>10</v>
      </c>
      <c r="I245" s="14" t="s">
        <v>11</v>
      </c>
      <c r="J245" s="14" t="s">
        <v>12</v>
      </c>
    </row>
    <row x14ac:dyDescent="0.25" r="246" customHeight="1" ht="17.25">
      <c r="A246" s="17" t="s">
        <v>1848</v>
      </c>
      <c r="B246" s="17" t="s">
        <v>404</v>
      </c>
      <c r="C246" s="17" t="s">
        <v>152</v>
      </c>
      <c r="D246" s="17" t="s">
        <v>16</v>
      </c>
      <c r="E246" s="18">
        <f>ROUND(15212*1.05,2)</f>
      </c>
      <c r="F246" s="17" t="s">
        <v>17</v>
      </c>
      <c r="G246" s="17" t="s">
        <v>18</v>
      </c>
      <c r="H246" s="18">
        <f>ROUND(RAND()*4+6,1)</f>
      </c>
      <c r="I246" s="17" t="s">
        <v>19</v>
      </c>
      <c r="J246" s="19">
        <f>ROUND(84*1,0)&amp;"%"</f>
      </c>
    </row>
    <row x14ac:dyDescent="0.25" r="247" customHeight="1" ht="17.25">
      <c r="A247" s="20" t="s">
        <v>1849</v>
      </c>
      <c r="B247" s="20" t="s">
        <v>406</v>
      </c>
      <c r="C247" s="20" t="s">
        <v>152</v>
      </c>
      <c r="D247" s="20" t="s">
        <v>22</v>
      </c>
      <c r="E247" s="21">
        <f>ROUND(6592*1.05,2)</f>
      </c>
      <c r="F247" s="20" t="s">
        <v>23</v>
      </c>
      <c r="G247" s="20" t="s">
        <v>24</v>
      </c>
      <c r="H247" s="21">
        <f>ROUND(RAND()*4+6,1)</f>
      </c>
      <c r="I247" s="20" t="s">
        <v>25</v>
      </c>
      <c r="J247" s="23">
        <f>ROUND(87*1,0)&amp;"%"</f>
      </c>
    </row>
    <row x14ac:dyDescent="0.25" r="248" customHeight="1" ht="17.25">
      <c r="A248" s="17" t="s">
        <v>1850</v>
      </c>
      <c r="B248" s="17" t="s">
        <v>408</v>
      </c>
      <c r="C248" s="17" t="s">
        <v>152</v>
      </c>
      <c r="D248" s="17" t="s">
        <v>28</v>
      </c>
      <c r="E248" s="18">
        <f>ROUND(11187*1.05,2)</f>
      </c>
      <c r="F248" s="17" t="s">
        <v>29</v>
      </c>
      <c r="G248" s="17" t="s">
        <v>30</v>
      </c>
      <c r="H248" s="18">
        <f>ROUND(RAND()*4+6,1)</f>
      </c>
      <c r="I248" s="17" t="s">
        <v>31</v>
      </c>
      <c r="J248" s="19">
        <f>ROUND(96*1,0)&amp;"%"</f>
      </c>
    </row>
    <row x14ac:dyDescent="0.25" r="249" customHeight="1" ht="17.25">
      <c r="A249" s="20" t="s">
        <v>1851</v>
      </c>
      <c r="B249" s="20" t="s">
        <v>410</v>
      </c>
      <c r="C249" s="20" t="s">
        <v>152</v>
      </c>
      <c r="D249" s="20" t="s">
        <v>34</v>
      </c>
      <c r="E249" s="21">
        <f>ROUND(14388*1.05,2)</f>
      </c>
      <c r="F249" s="20" t="s">
        <v>35</v>
      </c>
      <c r="G249" s="20" t="s">
        <v>18</v>
      </c>
      <c r="H249" s="21">
        <f>ROUND(RAND()*4+6,1)</f>
      </c>
      <c r="I249" s="20" t="s">
        <v>36</v>
      </c>
      <c r="J249" s="23">
        <f>ROUND(67*1,0)&amp;"%"</f>
      </c>
    </row>
    <row x14ac:dyDescent="0.25" r="250" customHeight="1" ht="17.25">
      <c r="A250" s="17" t="s">
        <v>1852</v>
      </c>
      <c r="B250" s="17" t="s">
        <v>412</v>
      </c>
      <c r="C250" s="17" t="s">
        <v>152</v>
      </c>
      <c r="D250" s="17" t="s">
        <v>39</v>
      </c>
      <c r="E250" s="18">
        <f>ROUND(11325*1.05,2)</f>
      </c>
      <c r="F250" s="17" t="s">
        <v>40</v>
      </c>
      <c r="G250" s="17" t="s">
        <v>24</v>
      </c>
      <c r="H250" s="18">
        <f>ROUND(RAND()*4+6,1)</f>
      </c>
      <c r="I250" s="17" t="s">
        <v>41</v>
      </c>
      <c r="J250" s="19">
        <f>ROUND(97*1,0)&amp;"%"</f>
      </c>
    </row>
    <row x14ac:dyDescent="0.25" r="251" customHeight="1" ht="17.25">
      <c r="A251" s="20" t="s">
        <v>1853</v>
      </c>
      <c r="B251" s="20" t="s">
        <v>414</v>
      </c>
      <c r="C251" s="20" t="s">
        <v>152</v>
      </c>
      <c r="D251" s="20" t="s">
        <v>67</v>
      </c>
      <c r="E251" s="21">
        <f>ROUND(14553*1.05,2)</f>
      </c>
      <c r="F251" s="20" t="s">
        <v>44</v>
      </c>
      <c r="G251" s="20" t="s">
        <v>30</v>
      </c>
      <c r="H251" s="21">
        <f>ROUND(RAND()*4+6,1)</f>
      </c>
      <c r="I251" s="20" t="s">
        <v>45</v>
      </c>
      <c r="J251" s="23">
        <f>ROUND(86*1,0)&amp;"%"</f>
      </c>
    </row>
    <row x14ac:dyDescent="0.25" r="252" customHeight="1" ht="17.25">
      <c r="A252" s="17" t="s">
        <v>1854</v>
      </c>
      <c r="B252" s="17" t="s">
        <v>416</v>
      </c>
      <c r="C252" s="17" t="s">
        <v>152</v>
      </c>
      <c r="D252" s="17" t="s">
        <v>16</v>
      </c>
      <c r="E252" s="18">
        <f>ROUND(15345*1.05,2)</f>
      </c>
      <c r="F252" s="17" t="s">
        <v>48</v>
      </c>
      <c r="G252" s="17" t="s">
        <v>18</v>
      </c>
      <c r="H252" s="18">
        <f>ROUND(RAND()*4+6,1)</f>
      </c>
      <c r="I252" s="17" t="s">
        <v>19</v>
      </c>
      <c r="J252" s="19">
        <f>ROUND(64*1,0)&amp;"%"</f>
      </c>
    </row>
    <row x14ac:dyDescent="0.25" r="253" customHeight="1" ht="17.25">
      <c r="A253" s="20" t="s">
        <v>1855</v>
      </c>
      <c r="B253" s="20" t="s">
        <v>418</v>
      </c>
      <c r="C253" s="20" t="s">
        <v>152</v>
      </c>
      <c r="D253" s="20" t="s">
        <v>22</v>
      </c>
      <c r="E253" s="21">
        <f>ROUND(4408*1.05,2)</f>
      </c>
      <c r="F253" s="20" t="s">
        <v>51</v>
      </c>
      <c r="G253" s="20" t="s">
        <v>24</v>
      </c>
      <c r="H253" s="21">
        <f>ROUND(RAND()*4+6,1)</f>
      </c>
      <c r="I253" s="20" t="s">
        <v>25</v>
      </c>
      <c r="J253" s="23">
        <f>ROUND(74*1,0)&amp;"%"</f>
      </c>
    </row>
    <row x14ac:dyDescent="0.25" r="254" customHeight="1" ht="17.25">
      <c r="A254" s="24" t="s">
        <v>419</v>
      </c>
      <c r="B254" s="24"/>
      <c r="C254" s="24"/>
      <c r="D254" s="24"/>
      <c r="E254" s="25">
        <v>8</v>
      </c>
      <c r="F254" s="9"/>
      <c r="G254" s="9"/>
      <c r="H254" s="10"/>
      <c r="I254" s="9"/>
      <c r="J254" s="9"/>
    </row>
    <row x14ac:dyDescent="0.25" r="255" customHeight="1" ht="17.25">
      <c r="A255" s="7"/>
      <c r="B255" s="7"/>
      <c r="C255" s="7"/>
      <c r="D255" s="7"/>
      <c r="E255" s="8"/>
      <c r="F255" s="9"/>
      <c r="G255" s="9"/>
      <c r="H255" s="10"/>
      <c r="I255" s="9"/>
      <c r="J255" s="9"/>
    </row>
    <row x14ac:dyDescent="0.25" r="256" customHeight="1" ht="17.25">
      <c r="A256" s="11" t="s">
        <v>1856</v>
      </c>
      <c r="B256" s="11"/>
      <c r="C256" s="11"/>
      <c r="D256" s="11"/>
      <c r="E256" s="12"/>
      <c r="F256" s="11"/>
      <c r="G256" s="11"/>
      <c r="H256" s="13"/>
      <c r="I256" s="11"/>
      <c r="J256" s="11"/>
    </row>
    <row x14ac:dyDescent="0.25" r="257" customHeight="1" ht="17.25">
      <c r="A257" s="14" t="s">
        <v>3</v>
      </c>
      <c r="B257" s="14" t="s">
        <v>4</v>
      </c>
      <c r="C257" s="14" t="s">
        <v>5</v>
      </c>
      <c r="D257" s="14" t="s">
        <v>6</v>
      </c>
      <c r="E257" s="15" t="s">
        <v>7</v>
      </c>
      <c r="F257" s="14" t="s">
        <v>8</v>
      </c>
      <c r="G257" s="14" t="s">
        <v>9</v>
      </c>
      <c r="H257" s="16" t="s">
        <v>10</v>
      </c>
      <c r="I257" s="14" t="s">
        <v>11</v>
      </c>
      <c r="J257" s="14" t="s">
        <v>12</v>
      </c>
    </row>
    <row x14ac:dyDescent="0.25" r="258" customHeight="1" ht="17.25">
      <c r="A258" s="17" t="s">
        <v>1857</v>
      </c>
      <c r="B258" s="17" t="s">
        <v>422</v>
      </c>
      <c r="C258" s="17" t="s">
        <v>15</v>
      </c>
      <c r="D258" s="17" t="s">
        <v>16</v>
      </c>
      <c r="E258" s="18">
        <f>ROUND(8698*1.05,2)</f>
      </c>
      <c r="F258" s="17" t="s">
        <v>17</v>
      </c>
      <c r="G258" s="17" t="s">
        <v>18</v>
      </c>
      <c r="H258" s="18">
        <f>ROUND(RAND()*4+6,1)</f>
      </c>
      <c r="I258" s="17" t="s">
        <v>19</v>
      </c>
      <c r="J258" s="19">
        <f>ROUND(93*1,0)&amp;"%"</f>
      </c>
    </row>
    <row x14ac:dyDescent="0.25" r="259" customHeight="1" ht="17.25">
      <c r="A259" s="20" t="s">
        <v>1858</v>
      </c>
      <c r="B259" s="20" t="s">
        <v>424</v>
      </c>
      <c r="C259" s="20" t="s">
        <v>15</v>
      </c>
      <c r="D259" s="20" t="s">
        <v>22</v>
      </c>
      <c r="E259" s="21">
        <f>ROUND(10226*1.05,2)</f>
      </c>
      <c r="F259" s="20" t="s">
        <v>23</v>
      </c>
      <c r="G259" s="20" t="s">
        <v>24</v>
      </c>
      <c r="H259" s="21">
        <f>ROUND(RAND()*4+6,1)</f>
      </c>
      <c r="I259" s="20" t="s">
        <v>25</v>
      </c>
      <c r="J259" s="23">
        <f>ROUND(94*1,0)&amp;"%"</f>
      </c>
    </row>
    <row x14ac:dyDescent="0.25" r="260" customHeight="1" ht="17.25">
      <c r="A260" s="17" t="s">
        <v>1859</v>
      </c>
      <c r="B260" s="17" t="s">
        <v>426</v>
      </c>
      <c r="C260" s="17" t="s">
        <v>15</v>
      </c>
      <c r="D260" s="17" t="s">
        <v>28</v>
      </c>
      <c r="E260" s="18">
        <f>ROUND(12045*1.05,2)</f>
      </c>
      <c r="F260" s="17" t="s">
        <v>29</v>
      </c>
      <c r="G260" s="17" t="s">
        <v>30</v>
      </c>
      <c r="H260" s="18">
        <f>ROUND(RAND()*4+6,1)</f>
      </c>
      <c r="I260" s="17" t="s">
        <v>31</v>
      </c>
      <c r="J260" s="19">
        <f>ROUND(68*1,0)&amp;"%"</f>
      </c>
    </row>
    <row x14ac:dyDescent="0.25" r="261" customHeight="1" ht="17.25">
      <c r="A261" s="20" t="s">
        <v>1860</v>
      </c>
      <c r="B261" s="20" t="s">
        <v>428</v>
      </c>
      <c r="C261" s="20" t="s">
        <v>15</v>
      </c>
      <c r="D261" s="20" t="s">
        <v>34</v>
      </c>
      <c r="E261" s="21">
        <f>ROUND(7828*1.05,2)</f>
      </c>
      <c r="F261" s="20" t="s">
        <v>35</v>
      </c>
      <c r="G261" s="20" t="s">
        <v>18</v>
      </c>
      <c r="H261" s="21">
        <f>ROUND(RAND()*4+6,1)</f>
      </c>
      <c r="I261" s="20" t="s">
        <v>36</v>
      </c>
      <c r="J261" s="23">
        <f>ROUND(91*1,0)&amp;"%"</f>
      </c>
    </row>
    <row x14ac:dyDescent="0.25" r="262" customHeight="1" ht="17.25">
      <c r="A262" s="17" t="s">
        <v>1861</v>
      </c>
      <c r="B262" s="17" t="s">
        <v>430</v>
      </c>
      <c r="C262" s="17" t="s">
        <v>15</v>
      </c>
      <c r="D262" s="17" t="s">
        <v>39</v>
      </c>
      <c r="E262" s="18">
        <f>ROUND(8731*1.05,2)</f>
      </c>
      <c r="F262" s="17" t="s">
        <v>40</v>
      </c>
      <c r="G262" s="17" t="s">
        <v>24</v>
      </c>
      <c r="H262" s="18">
        <f>ROUND(RAND()*4+6,1)</f>
      </c>
      <c r="I262" s="17" t="s">
        <v>41</v>
      </c>
      <c r="J262" s="19">
        <f>ROUND(94*1,0)&amp;"%"</f>
      </c>
    </row>
    <row x14ac:dyDescent="0.25" r="263" customHeight="1" ht="17.25">
      <c r="A263" s="20" t="s">
        <v>1862</v>
      </c>
      <c r="B263" s="20" t="s">
        <v>432</v>
      </c>
      <c r="C263" s="20" t="s">
        <v>15</v>
      </c>
      <c r="D263" s="20" t="s">
        <v>67</v>
      </c>
      <c r="E263" s="21">
        <f>ROUND(17137*1.05,2)</f>
      </c>
      <c r="F263" s="20" t="s">
        <v>44</v>
      </c>
      <c r="G263" s="20" t="s">
        <v>30</v>
      </c>
      <c r="H263" s="21">
        <f>ROUND(RAND()*4+6,1)</f>
      </c>
      <c r="I263" s="20" t="s">
        <v>45</v>
      </c>
      <c r="J263" s="23">
        <f>ROUND(85*1,0)&amp;"%"</f>
      </c>
    </row>
    <row x14ac:dyDescent="0.25" r="264" customHeight="1" ht="17.25">
      <c r="A264" s="17" t="s">
        <v>1863</v>
      </c>
      <c r="B264" s="17" t="s">
        <v>434</v>
      </c>
      <c r="C264" s="17" t="s">
        <v>15</v>
      </c>
      <c r="D264" s="17" t="s">
        <v>16</v>
      </c>
      <c r="E264" s="18">
        <f>ROUND(14812*1.05,2)</f>
      </c>
      <c r="F264" s="17" t="s">
        <v>48</v>
      </c>
      <c r="G264" s="17" t="s">
        <v>18</v>
      </c>
      <c r="H264" s="18">
        <f>ROUND(RAND()*4+6,1)</f>
      </c>
      <c r="I264" s="17" t="s">
        <v>19</v>
      </c>
      <c r="J264" s="19">
        <f>ROUND(78*1,0)&amp;"%"</f>
      </c>
    </row>
    <row x14ac:dyDescent="0.25" r="265" customHeight="1" ht="17.25">
      <c r="A265" s="20" t="s">
        <v>1864</v>
      </c>
      <c r="B265" s="20" t="s">
        <v>436</v>
      </c>
      <c r="C265" s="20" t="s">
        <v>15</v>
      </c>
      <c r="D265" s="20" t="s">
        <v>22</v>
      </c>
      <c r="E265" s="21">
        <f>ROUND(10941*1.05,2)</f>
      </c>
      <c r="F265" s="20" t="s">
        <v>51</v>
      </c>
      <c r="G265" s="20" t="s">
        <v>24</v>
      </c>
      <c r="H265" s="21">
        <f>ROUND(RAND()*4+6,1)</f>
      </c>
      <c r="I265" s="20" t="s">
        <v>25</v>
      </c>
      <c r="J265" s="23">
        <f>ROUND(84*1,0)&amp;"%"</f>
      </c>
    </row>
    <row x14ac:dyDescent="0.25" r="266" customHeight="1" ht="17.25">
      <c r="A266" s="24" t="s">
        <v>437</v>
      </c>
      <c r="B266" s="24"/>
      <c r="C266" s="24"/>
      <c r="D266" s="24"/>
      <c r="E266" s="25">
        <v>8</v>
      </c>
      <c r="F266" s="9"/>
      <c r="G266" s="9"/>
      <c r="H266" s="10"/>
      <c r="I266" s="9"/>
      <c r="J266" s="9"/>
    </row>
    <row x14ac:dyDescent="0.25" r="267" customHeight="1" ht="17.25">
      <c r="A267" s="7"/>
      <c r="B267" s="7"/>
      <c r="C267" s="7"/>
      <c r="D267" s="7"/>
      <c r="E267" s="8"/>
      <c r="F267" s="9"/>
      <c r="G267" s="9"/>
      <c r="H267" s="10"/>
      <c r="I267" s="9"/>
      <c r="J267" s="9"/>
    </row>
    <row x14ac:dyDescent="0.25" r="268" customHeight="1" ht="17.25">
      <c r="A268" s="11" t="s">
        <v>1865</v>
      </c>
      <c r="B268" s="11"/>
      <c r="C268" s="11"/>
      <c r="D268" s="11"/>
      <c r="E268" s="12"/>
      <c r="F268" s="11"/>
      <c r="G268" s="11"/>
      <c r="H268" s="13"/>
      <c r="I268" s="11"/>
      <c r="J268" s="11"/>
    </row>
    <row x14ac:dyDescent="0.25" r="269" customHeight="1" ht="17.25">
      <c r="A269" s="14" t="s">
        <v>3</v>
      </c>
      <c r="B269" s="14" t="s">
        <v>4</v>
      </c>
      <c r="C269" s="14" t="s">
        <v>5</v>
      </c>
      <c r="D269" s="14" t="s">
        <v>6</v>
      </c>
      <c r="E269" s="15" t="s">
        <v>7</v>
      </c>
      <c r="F269" s="14" t="s">
        <v>8</v>
      </c>
      <c r="G269" s="14" t="s">
        <v>9</v>
      </c>
      <c r="H269" s="16" t="s">
        <v>10</v>
      </c>
      <c r="I269" s="14" t="s">
        <v>11</v>
      </c>
      <c r="J269" s="14" t="s">
        <v>12</v>
      </c>
    </row>
    <row x14ac:dyDescent="0.25" r="270" customHeight="1" ht="17.25">
      <c r="A270" s="17" t="s">
        <v>1866</v>
      </c>
      <c r="B270" s="17" t="s">
        <v>440</v>
      </c>
      <c r="C270" s="17" t="s">
        <v>56</v>
      </c>
      <c r="D270" s="17" t="s">
        <v>16</v>
      </c>
      <c r="E270" s="18">
        <f>ROUND(7156*1.05,2)</f>
      </c>
      <c r="F270" s="17" t="s">
        <v>17</v>
      </c>
      <c r="G270" s="17" t="s">
        <v>18</v>
      </c>
      <c r="H270" s="18">
        <f>ROUND(RAND()*4+6,1)</f>
      </c>
      <c r="I270" s="17" t="s">
        <v>19</v>
      </c>
      <c r="J270" s="19">
        <f>ROUND(94*1,0)&amp;"%"</f>
      </c>
    </row>
    <row x14ac:dyDescent="0.25" r="271" customHeight="1" ht="17.25">
      <c r="A271" s="20" t="s">
        <v>1867</v>
      </c>
      <c r="B271" s="20" t="s">
        <v>442</v>
      </c>
      <c r="C271" s="20" t="s">
        <v>56</v>
      </c>
      <c r="D271" s="20" t="s">
        <v>22</v>
      </c>
      <c r="E271" s="21">
        <f>ROUND(6256*1.05,2)</f>
      </c>
      <c r="F271" s="20" t="s">
        <v>23</v>
      </c>
      <c r="G271" s="20" t="s">
        <v>24</v>
      </c>
      <c r="H271" s="21">
        <f>ROUND(RAND()*4+6,1)</f>
      </c>
      <c r="I271" s="20" t="s">
        <v>25</v>
      </c>
      <c r="J271" s="23">
        <f>ROUND(66*1,0)&amp;"%"</f>
      </c>
    </row>
    <row x14ac:dyDescent="0.25" r="272" customHeight="1" ht="17.25">
      <c r="A272" s="17" t="s">
        <v>1868</v>
      </c>
      <c r="B272" s="17" t="s">
        <v>444</v>
      </c>
      <c r="C272" s="17" t="s">
        <v>56</v>
      </c>
      <c r="D272" s="17" t="s">
        <v>28</v>
      </c>
      <c r="E272" s="18">
        <f>ROUND(6469*1.05,2)</f>
      </c>
      <c r="F272" s="17" t="s">
        <v>29</v>
      </c>
      <c r="G272" s="17" t="s">
        <v>30</v>
      </c>
      <c r="H272" s="18">
        <f>ROUND(RAND()*4+6,1)</f>
      </c>
      <c r="I272" s="17" t="s">
        <v>31</v>
      </c>
      <c r="J272" s="19">
        <f>ROUND(90*1,0)&amp;"%"</f>
      </c>
    </row>
    <row x14ac:dyDescent="0.25" r="273" customHeight="1" ht="17.25">
      <c r="A273" s="20" t="s">
        <v>1869</v>
      </c>
      <c r="B273" s="20" t="s">
        <v>446</v>
      </c>
      <c r="C273" s="20" t="s">
        <v>56</v>
      </c>
      <c r="D273" s="20" t="s">
        <v>34</v>
      </c>
      <c r="E273" s="21">
        <f>ROUND(9302*1.05,2)</f>
      </c>
      <c r="F273" s="20" t="s">
        <v>35</v>
      </c>
      <c r="G273" s="20" t="s">
        <v>18</v>
      </c>
      <c r="H273" s="21">
        <f>ROUND(RAND()*4+6,1)</f>
      </c>
      <c r="I273" s="20" t="s">
        <v>36</v>
      </c>
      <c r="J273" s="23">
        <f>ROUND(99*1,0)&amp;"%"</f>
      </c>
    </row>
    <row x14ac:dyDescent="0.25" r="274" customHeight="1" ht="17.25">
      <c r="A274" s="17" t="s">
        <v>1870</v>
      </c>
      <c r="B274" s="17" t="s">
        <v>448</v>
      </c>
      <c r="C274" s="17" t="s">
        <v>56</v>
      </c>
      <c r="D274" s="17" t="s">
        <v>39</v>
      </c>
      <c r="E274" s="18">
        <f>ROUND(6456*1.05,2)</f>
      </c>
      <c r="F274" s="17" t="s">
        <v>40</v>
      </c>
      <c r="G274" s="17" t="s">
        <v>24</v>
      </c>
      <c r="H274" s="18">
        <f>ROUND(RAND()*4+6,1)</f>
      </c>
      <c r="I274" s="17" t="s">
        <v>41</v>
      </c>
      <c r="J274" s="19">
        <f>ROUND(61*1,0)&amp;"%"</f>
      </c>
    </row>
    <row x14ac:dyDescent="0.25" r="275" customHeight="1" ht="17.25">
      <c r="A275" s="20" t="s">
        <v>1871</v>
      </c>
      <c r="B275" s="20" t="s">
        <v>450</v>
      </c>
      <c r="C275" s="20" t="s">
        <v>56</v>
      </c>
      <c r="D275" s="20" t="s">
        <v>67</v>
      </c>
      <c r="E275" s="22">
        <f>ROUND(11660*1.05,2)</f>
      </c>
      <c r="F275" s="20" t="s">
        <v>44</v>
      </c>
      <c r="G275" s="20" t="s">
        <v>30</v>
      </c>
      <c r="H275" s="21">
        <f>ROUND(RAND()*4+6,1)</f>
      </c>
      <c r="I275" s="20" t="s">
        <v>45</v>
      </c>
      <c r="J275" s="23">
        <f>ROUND(63*1,0)&amp;"%"</f>
      </c>
    </row>
    <row x14ac:dyDescent="0.25" r="276" customHeight="1" ht="17.25">
      <c r="A276" s="17" t="s">
        <v>1872</v>
      </c>
      <c r="B276" s="17" t="s">
        <v>452</v>
      </c>
      <c r="C276" s="17" t="s">
        <v>56</v>
      </c>
      <c r="D276" s="17" t="s">
        <v>16</v>
      </c>
      <c r="E276" s="18">
        <f>ROUND(6994*1.05,2)</f>
      </c>
      <c r="F276" s="17" t="s">
        <v>48</v>
      </c>
      <c r="G276" s="17" t="s">
        <v>18</v>
      </c>
      <c r="H276" s="18">
        <f>ROUND(RAND()*4+6,1)</f>
      </c>
      <c r="I276" s="17" t="s">
        <v>19</v>
      </c>
      <c r="J276" s="19">
        <f>ROUND(82*1,0)&amp;"%"</f>
      </c>
    </row>
    <row x14ac:dyDescent="0.25" r="277" customHeight="1" ht="17.25">
      <c r="A277" s="20" t="s">
        <v>1873</v>
      </c>
      <c r="B277" s="20" t="s">
        <v>454</v>
      </c>
      <c r="C277" s="20" t="s">
        <v>56</v>
      </c>
      <c r="D277" s="20" t="s">
        <v>22</v>
      </c>
      <c r="E277" s="21">
        <f>ROUND(8665*1.05,2)</f>
      </c>
      <c r="F277" s="20" t="s">
        <v>51</v>
      </c>
      <c r="G277" s="20" t="s">
        <v>24</v>
      </c>
      <c r="H277" s="21">
        <f>ROUND(RAND()*4+6,1)</f>
      </c>
      <c r="I277" s="20" t="s">
        <v>25</v>
      </c>
      <c r="J277" s="23">
        <f>ROUND(74*1,0)&amp;"%"</f>
      </c>
    </row>
    <row x14ac:dyDescent="0.25" r="278" customHeight="1" ht="17.25">
      <c r="A278" s="24" t="s">
        <v>455</v>
      </c>
      <c r="B278" s="24"/>
      <c r="C278" s="24"/>
      <c r="D278" s="24"/>
      <c r="E278" s="25">
        <v>8</v>
      </c>
      <c r="F278" s="9"/>
      <c r="G278" s="9"/>
      <c r="H278" s="10"/>
      <c r="I278" s="9"/>
      <c r="J278" s="9"/>
    </row>
    <row x14ac:dyDescent="0.25" r="279" customHeight="1" ht="17.25">
      <c r="A279" s="7"/>
      <c r="B279" s="7"/>
      <c r="C279" s="7"/>
      <c r="D279" s="7"/>
      <c r="E279" s="8"/>
      <c r="F279" s="9"/>
      <c r="G279" s="9"/>
      <c r="H279" s="10"/>
      <c r="I279" s="9"/>
      <c r="J279" s="9"/>
    </row>
    <row x14ac:dyDescent="0.25" r="280" customHeight="1" ht="17.25">
      <c r="A280" s="11" t="s">
        <v>1874</v>
      </c>
      <c r="B280" s="11"/>
      <c r="C280" s="11"/>
      <c r="D280" s="11"/>
      <c r="E280" s="12"/>
      <c r="F280" s="11"/>
      <c r="G280" s="11"/>
      <c r="H280" s="13"/>
      <c r="I280" s="11"/>
      <c r="J280" s="11"/>
    </row>
    <row x14ac:dyDescent="0.25" r="281" customHeight="1" ht="17.25">
      <c r="A281" s="14" t="s">
        <v>3</v>
      </c>
      <c r="B281" s="14" t="s">
        <v>4</v>
      </c>
      <c r="C281" s="14" t="s">
        <v>5</v>
      </c>
      <c r="D281" s="14" t="s">
        <v>6</v>
      </c>
      <c r="E281" s="15" t="s">
        <v>7</v>
      </c>
      <c r="F281" s="14" t="s">
        <v>8</v>
      </c>
      <c r="G281" s="14" t="s">
        <v>9</v>
      </c>
      <c r="H281" s="16" t="s">
        <v>10</v>
      </c>
      <c r="I281" s="14" t="s">
        <v>11</v>
      </c>
      <c r="J281" s="14" t="s">
        <v>12</v>
      </c>
    </row>
    <row x14ac:dyDescent="0.25" r="282" customHeight="1" ht="17.25">
      <c r="A282" s="17" t="s">
        <v>1875</v>
      </c>
      <c r="B282" s="17" t="s">
        <v>458</v>
      </c>
      <c r="C282" s="17" t="s">
        <v>76</v>
      </c>
      <c r="D282" s="17" t="s">
        <v>16</v>
      </c>
      <c r="E282" s="18">
        <f>ROUND(17152*1.05,2)</f>
      </c>
      <c r="F282" s="17" t="s">
        <v>17</v>
      </c>
      <c r="G282" s="17" t="s">
        <v>18</v>
      </c>
      <c r="H282" s="26">
        <f>ROUND(RAND()*4+6,1)</f>
      </c>
      <c r="I282" s="17" t="s">
        <v>19</v>
      </c>
      <c r="J282" s="19">
        <f>ROUND(98*1,0)&amp;"%"</f>
      </c>
    </row>
    <row x14ac:dyDescent="0.25" r="283" customHeight="1" ht="17.25">
      <c r="A283" s="20" t="s">
        <v>1876</v>
      </c>
      <c r="B283" s="20" t="s">
        <v>460</v>
      </c>
      <c r="C283" s="20" t="s">
        <v>76</v>
      </c>
      <c r="D283" s="20" t="s">
        <v>22</v>
      </c>
      <c r="E283" s="21">
        <f>ROUND(15334*1.05,2)</f>
      </c>
      <c r="F283" s="20" t="s">
        <v>23</v>
      </c>
      <c r="G283" s="20" t="s">
        <v>24</v>
      </c>
      <c r="H283" s="21">
        <f>ROUND(RAND()*4+6,1)</f>
      </c>
      <c r="I283" s="20" t="s">
        <v>25</v>
      </c>
      <c r="J283" s="23">
        <f>ROUND(78*1,0)&amp;"%"</f>
      </c>
    </row>
    <row x14ac:dyDescent="0.25" r="284" customHeight="1" ht="17.25">
      <c r="A284" s="17" t="s">
        <v>1877</v>
      </c>
      <c r="B284" s="17" t="s">
        <v>462</v>
      </c>
      <c r="C284" s="17" t="s">
        <v>76</v>
      </c>
      <c r="D284" s="17" t="s">
        <v>28</v>
      </c>
      <c r="E284" s="26">
        <f>ROUND(13940*1.05,2)</f>
      </c>
      <c r="F284" s="17" t="s">
        <v>29</v>
      </c>
      <c r="G284" s="17" t="s">
        <v>30</v>
      </c>
      <c r="H284" s="18">
        <f>ROUND(RAND()*4+6,1)</f>
      </c>
      <c r="I284" s="17" t="s">
        <v>31</v>
      </c>
      <c r="J284" s="19">
        <f>ROUND(95*1,0)&amp;"%"</f>
      </c>
    </row>
    <row x14ac:dyDescent="0.25" r="285" customHeight="1" ht="17.25">
      <c r="A285" s="20" t="s">
        <v>1878</v>
      </c>
      <c r="B285" s="20" t="s">
        <v>464</v>
      </c>
      <c r="C285" s="20" t="s">
        <v>76</v>
      </c>
      <c r="D285" s="20" t="s">
        <v>34</v>
      </c>
      <c r="E285" s="21">
        <f>ROUND(9391*1.05,2)</f>
      </c>
      <c r="F285" s="20" t="s">
        <v>35</v>
      </c>
      <c r="G285" s="20" t="s">
        <v>18</v>
      </c>
      <c r="H285" s="21">
        <f>ROUND(RAND()*4+6,1)</f>
      </c>
      <c r="I285" s="20" t="s">
        <v>36</v>
      </c>
      <c r="J285" s="23">
        <f>ROUND(89*1,0)&amp;"%"</f>
      </c>
    </row>
    <row x14ac:dyDescent="0.25" r="286" customHeight="1" ht="17.25">
      <c r="A286" s="17" t="s">
        <v>1879</v>
      </c>
      <c r="B286" s="17" t="s">
        <v>466</v>
      </c>
      <c r="C286" s="17" t="s">
        <v>76</v>
      </c>
      <c r="D286" s="17" t="s">
        <v>39</v>
      </c>
      <c r="E286" s="18">
        <f>ROUND(17957*1.05,2)</f>
      </c>
      <c r="F286" s="17" t="s">
        <v>40</v>
      </c>
      <c r="G286" s="17" t="s">
        <v>24</v>
      </c>
      <c r="H286" s="18">
        <f>ROUND(RAND()*4+6,1)</f>
      </c>
      <c r="I286" s="17" t="s">
        <v>41</v>
      </c>
      <c r="J286" s="19">
        <f>ROUND(72*1,0)&amp;"%"</f>
      </c>
    </row>
    <row x14ac:dyDescent="0.25" r="287" customHeight="1" ht="17.25">
      <c r="A287" s="20" t="s">
        <v>1880</v>
      </c>
      <c r="B287" s="20" t="s">
        <v>468</v>
      </c>
      <c r="C287" s="20" t="s">
        <v>76</v>
      </c>
      <c r="D287" s="20" t="s">
        <v>67</v>
      </c>
      <c r="E287" s="21">
        <f>ROUND(6815*1.05,2)</f>
      </c>
      <c r="F287" s="20" t="s">
        <v>44</v>
      </c>
      <c r="G287" s="20" t="s">
        <v>30</v>
      </c>
      <c r="H287" s="21">
        <f>ROUND(RAND()*4+6,1)</f>
      </c>
      <c r="I287" s="20" t="s">
        <v>45</v>
      </c>
      <c r="J287" s="23">
        <f>ROUND(71*1,0)&amp;"%"</f>
      </c>
    </row>
    <row x14ac:dyDescent="0.25" r="288" customHeight="1" ht="17.25">
      <c r="A288" s="17" t="s">
        <v>1881</v>
      </c>
      <c r="B288" s="17" t="s">
        <v>470</v>
      </c>
      <c r="C288" s="17" t="s">
        <v>76</v>
      </c>
      <c r="D288" s="17" t="s">
        <v>16</v>
      </c>
      <c r="E288" s="18">
        <f>ROUND(16870*1.05,2)</f>
      </c>
      <c r="F288" s="17" t="s">
        <v>48</v>
      </c>
      <c r="G288" s="17" t="s">
        <v>18</v>
      </c>
      <c r="H288" s="18">
        <f>ROUND(RAND()*4+6,1)</f>
      </c>
      <c r="I288" s="17" t="s">
        <v>19</v>
      </c>
      <c r="J288" s="19">
        <f>ROUND(64*1,0)&amp;"%"</f>
      </c>
    </row>
    <row x14ac:dyDescent="0.25" r="289" customHeight="1" ht="17.25">
      <c r="A289" s="20" t="s">
        <v>1882</v>
      </c>
      <c r="B289" s="20" t="s">
        <v>472</v>
      </c>
      <c r="C289" s="20" t="s">
        <v>76</v>
      </c>
      <c r="D289" s="20" t="s">
        <v>22</v>
      </c>
      <c r="E289" s="21">
        <f>ROUND(16698*1.05,2)</f>
      </c>
      <c r="F289" s="20" t="s">
        <v>51</v>
      </c>
      <c r="G289" s="20" t="s">
        <v>24</v>
      </c>
      <c r="H289" s="21">
        <f>ROUND(RAND()*4+6,1)</f>
      </c>
      <c r="I289" s="20" t="s">
        <v>25</v>
      </c>
      <c r="J289" s="23">
        <f>ROUND(87*1,0)&amp;"%"</f>
      </c>
    </row>
    <row x14ac:dyDescent="0.25" r="290" customHeight="1" ht="17.25">
      <c r="A290" s="24" t="s">
        <v>473</v>
      </c>
      <c r="B290" s="24"/>
      <c r="C290" s="24"/>
      <c r="D290" s="24"/>
      <c r="E290" s="25">
        <v>8</v>
      </c>
      <c r="F290" s="9"/>
      <c r="G290" s="9"/>
      <c r="H290" s="10"/>
      <c r="I290" s="9"/>
      <c r="J290" s="9"/>
    </row>
    <row x14ac:dyDescent="0.25" r="291" customHeight="1" ht="17.25">
      <c r="A291" s="7"/>
      <c r="B291" s="7"/>
      <c r="C291" s="7"/>
      <c r="D291" s="7"/>
      <c r="E291" s="8"/>
      <c r="F291" s="9"/>
      <c r="G291" s="9"/>
      <c r="H291" s="10"/>
      <c r="I291" s="9"/>
      <c r="J291" s="9"/>
    </row>
    <row x14ac:dyDescent="0.25" r="292" customHeight="1" ht="17.25">
      <c r="A292" s="11" t="s">
        <v>1883</v>
      </c>
      <c r="B292" s="11"/>
      <c r="C292" s="11"/>
      <c r="D292" s="11"/>
      <c r="E292" s="12"/>
      <c r="F292" s="11"/>
      <c r="G292" s="11"/>
      <c r="H292" s="13"/>
      <c r="I292" s="11"/>
      <c r="J292" s="11"/>
    </row>
    <row x14ac:dyDescent="0.25" r="293" customHeight="1" ht="17.25">
      <c r="A293" s="14" t="s">
        <v>3</v>
      </c>
      <c r="B293" s="14" t="s">
        <v>4</v>
      </c>
      <c r="C293" s="14" t="s">
        <v>5</v>
      </c>
      <c r="D293" s="14" t="s">
        <v>6</v>
      </c>
      <c r="E293" s="15" t="s">
        <v>7</v>
      </c>
      <c r="F293" s="14" t="s">
        <v>8</v>
      </c>
      <c r="G293" s="14" t="s">
        <v>9</v>
      </c>
      <c r="H293" s="16" t="s">
        <v>10</v>
      </c>
      <c r="I293" s="14" t="s">
        <v>11</v>
      </c>
      <c r="J293" s="14" t="s">
        <v>12</v>
      </c>
    </row>
    <row x14ac:dyDescent="0.25" r="294" customHeight="1" ht="17.25">
      <c r="A294" s="17" t="s">
        <v>1884</v>
      </c>
      <c r="B294" s="17" t="s">
        <v>476</v>
      </c>
      <c r="C294" s="17" t="s">
        <v>95</v>
      </c>
      <c r="D294" s="17" t="s">
        <v>16</v>
      </c>
      <c r="E294" s="18">
        <f>ROUND(14342*1.05,2)</f>
      </c>
      <c r="F294" s="17" t="s">
        <v>17</v>
      </c>
      <c r="G294" s="17" t="s">
        <v>18</v>
      </c>
      <c r="H294" s="26">
        <f>ROUND(RAND()*4+6,1)</f>
      </c>
      <c r="I294" s="17" t="s">
        <v>19</v>
      </c>
      <c r="J294" s="19">
        <f>ROUND(60*1,0)&amp;"%"</f>
      </c>
    </row>
    <row x14ac:dyDescent="0.25" r="295" customHeight="1" ht="17.25">
      <c r="A295" s="20" t="s">
        <v>1885</v>
      </c>
      <c r="B295" s="20" t="s">
        <v>478</v>
      </c>
      <c r="C295" s="20" t="s">
        <v>95</v>
      </c>
      <c r="D295" s="20" t="s">
        <v>22</v>
      </c>
      <c r="E295" s="21">
        <f>ROUND(12468*1.05,2)</f>
      </c>
      <c r="F295" s="20" t="s">
        <v>23</v>
      </c>
      <c r="G295" s="20" t="s">
        <v>24</v>
      </c>
      <c r="H295" s="21">
        <f>ROUND(RAND()*4+6,1)</f>
      </c>
      <c r="I295" s="20" t="s">
        <v>25</v>
      </c>
      <c r="J295" s="23">
        <f>ROUND(84*1,0)&amp;"%"</f>
      </c>
    </row>
    <row x14ac:dyDescent="0.25" r="296" customHeight="1" ht="17.25">
      <c r="A296" s="17" t="s">
        <v>1886</v>
      </c>
      <c r="B296" s="17" t="s">
        <v>480</v>
      </c>
      <c r="C296" s="17" t="s">
        <v>95</v>
      </c>
      <c r="D296" s="17" t="s">
        <v>28</v>
      </c>
      <c r="E296" s="18">
        <f>ROUND(7054*1.05,2)</f>
      </c>
      <c r="F296" s="17" t="s">
        <v>29</v>
      </c>
      <c r="G296" s="17" t="s">
        <v>30</v>
      </c>
      <c r="H296" s="18">
        <f>ROUND(RAND()*4+6,1)</f>
      </c>
      <c r="I296" s="17" t="s">
        <v>31</v>
      </c>
      <c r="J296" s="19">
        <f>ROUND(63*1,0)&amp;"%"</f>
      </c>
    </row>
    <row x14ac:dyDescent="0.25" r="297" customHeight="1" ht="17.25">
      <c r="A297" s="20" t="s">
        <v>1887</v>
      </c>
      <c r="B297" s="20" t="s">
        <v>482</v>
      </c>
      <c r="C297" s="20" t="s">
        <v>95</v>
      </c>
      <c r="D297" s="20" t="s">
        <v>34</v>
      </c>
      <c r="E297" s="21">
        <f>ROUND(5207*1.05,2)</f>
      </c>
      <c r="F297" s="20" t="s">
        <v>35</v>
      </c>
      <c r="G297" s="20" t="s">
        <v>18</v>
      </c>
      <c r="H297" s="21">
        <f>ROUND(RAND()*4+6,1)</f>
      </c>
      <c r="I297" s="20" t="s">
        <v>36</v>
      </c>
      <c r="J297" s="23">
        <f>ROUND(88*1,0)&amp;"%"</f>
      </c>
    </row>
    <row x14ac:dyDescent="0.25" r="298" customHeight="1" ht="17.25">
      <c r="A298" s="17" t="s">
        <v>1888</v>
      </c>
      <c r="B298" s="17" t="s">
        <v>484</v>
      </c>
      <c r="C298" s="17" t="s">
        <v>95</v>
      </c>
      <c r="D298" s="17" t="s">
        <v>39</v>
      </c>
      <c r="E298" s="18">
        <f>ROUND(10967*1.05,2)</f>
      </c>
      <c r="F298" s="17" t="s">
        <v>40</v>
      </c>
      <c r="G298" s="17" t="s">
        <v>24</v>
      </c>
      <c r="H298" s="18">
        <f>ROUND(RAND()*4+6,1)</f>
      </c>
      <c r="I298" s="17" t="s">
        <v>41</v>
      </c>
      <c r="J298" s="19">
        <f>ROUND(80*1,0)&amp;"%"</f>
      </c>
    </row>
    <row x14ac:dyDescent="0.25" r="299" customHeight="1" ht="17.25">
      <c r="A299" s="20" t="s">
        <v>1889</v>
      </c>
      <c r="B299" s="20" t="s">
        <v>486</v>
      </c>
      <c r="C299" s="20" t="s">
        <v>95</v>
      </c>
      <c r="D299" s="20" t="s">
        <v>67</v>
      </c>
      <c r="E299" s="21">
        <f>ROUND(14679*1.05,2)</f>
      </c>
      <c r="F299" s="20" t="s">
        <v>44</v>
      </c>
      <c r="G299" s="20" t="s">
        <v>30</v>
      </c>
      <c r="H299" s="21">
        <f>ROUND(RAND()*4+6,1)</f>
      </c>
      <c r="I299" s="20" t="s">
        <v>45</v>
      </c>
      <c r="J299" s="23">
        <f>ROUND(78*1,0)&amp;"%"</f>
      </c>
    </row>
    <row x14ac:dyDescent="0.25" r="300" customHeight="1" ht="17.25">
      <c r="A300" s="17" t="s">
        <v>1890</v>
      </c>
      <c r="B300" s="17" t="s">
        <v>488</v>
      </c>
      <c r="C300" s="17" t="s">
        <v>95</v>
      </c>
      <c r="D300" s="17" t="s">
        <v>16</v>
      </c>
      <c r="E300" s="18">
        <f>ROUND(7542*1.05,2)</f>
      </c>
      <c r="F300" s="17" t="s">
        <v>48</v>
      </c>
      <c r="G300" s="17" t="s">
        <v>18</v>
      </c>
      <c r="H300" s="18">
        <f>ROUND(RAND()*4+6,1)</f>
      </c>
      <c r="I300" s="17" t="s">
        <v>19</v>
      </c>
      <c r="J300" s="19">
        <f>ROUND(78*1,0)&amp;"%"</f>
      </c>
    </row>
    <row x14ac:dyDescent="0.25" r="301" customHeight="1" ht="17.25">
      <c r="A301" s="20" t="s">
        <v>1891</v>
      </c>
      <c r="B301" s="20" t="s">
        <v>490</v>
      </c>
      <c r="C301" s="20" t="s">
        <v>95</v>
      </c>
      <c r="D301" s="20" t="s">
        <v>22</v>
      </c>
      <c r="E301" s="21">
        <f>ROUND(9964*1.05,2)</f>
      </c>
      <c r="F301" s="20" t="s">
        <v>51</v>
      </c>
      <c r="G301" s="20" t="s">
        <v>24</v>
      </c>
      <c r="H301" s="21">
        <f>ROUND(RAND()*4+6,1)</f>
      </c>
      <c r="I301" s="20" t="s">
        <v>25</v>
      </c>
      <c r="J301" s="23">
        <f>ROUND(87*1,0)&amp;"%"</f>
      </c>
    </row>
    <row x14ac:dyDescent="0.25" r="302" customHeight="1" ht="17.25">
      <c r="A302" s="24" t="s">
        <v>491</v>
      </c>
      <c r="B302" s="24"/>
      <c r="C302" s="24"/>
      <c r="D302" s="24"/>
      <c r="E302" s="25">
        <v>8</v>
      </c>
      <c r="F302" s="9"/>
      <c r="G302" s="9"/>
      <c r="H302" s="10"/>
      <c r="I302" s="9"/>
      <c r="J302" s="9"/>
    </row>
    <row x14ac:dyDescent="0.25" r="303" customHeight="1" ht="17.25">
      <c r="A303" s="7"/>
      <c r="B303" s="7"/>
      <c r="C303" s="7"/>
      <c r="D303" s="7"/>
      <c r="E303" s="8"/>
      <c r="F303" s="9"/>
      <c r="G303" s="9"/>
      <c r="H303" s="10"/>
      <c r="I303" s="9"/>
      <c r="J303" s="9"/>
    </row>
    <row x14ac:dyDescent="0.25" r="304" customHeight="1" ht="17.25">
      <c r="A304" s="11" t="s">
        <v>1892</v>
      </c>
      <c r="B304" s="11"/>
      <c r="C304" s="11"/>
      <c r="D304" s="11"/>
      <c r="E304" s="12"/>
      <c r="F304" s="11"/>
      <c r="G304" s="11"/>
      <c r="H304" s="13"/>
      <c r="I304" s="11"/>
      <c r="J304" s="11"/>
    </row>
    <row x14ac:dyDescent="0.25" r="305" customHeight="1" ht="17.25">
      <c r="A305" s="14" t="s">
        <v>3</v>
      </c>
      <c r="B305" s="14" t="s">
        <v>4</v>
      </c>
      <c r="C305" s="14" t="s">
        <v>5</v>
      </c>
      <c r="D305" s="14" t="s">
        <v>6</v>
      </c>
      <c r="E305" s="15" t="s">
        <v>7</v>
      </c>
      <c r="F305" s="14" t="s">
        <v>8</v>
      </c>
      <c r="G305" s="14" t="s">
        <v>9</v>
      </c>
      <c r="H305" s="16" t="s">
        <v>10</v>
      </c>
      <c r="I305" s="14" t="s">
        <v>11</v>
      </c>
      <c r="J305" s="14" t="s">
        <v>12</v>
      </c>
    </row>
    <row x14ac:dyDescent="0.25" r="306" customHeight="1" ht="17.25">
      <c r="A306" s="17" t="s">
        <v>1893</v>
      </c>
      <c r="B306" s="17" t="s">
        <v>494</v>
      </c>
      <c r="C306" s="17" t="s">
        <v>114</v>
      </c>
      <c r="D306" s="17" t="s">
        <v>16</v>
      </c>
      <c r="E306" s="26">
        <f>ROUND(9780*1.05,2)</f>
      </c>
      <c r="F306" s="17" t="s">
        <v>17</v>
      </c>
      <c r="G306" s="17" t="s">
        <v>18</v>
      </c>
      <c r="H306" s="26">
        <f>ROUND(RAND()*4+6,1)</f>
      </c>
      <c r="I306" s="17" t="s">
        <v>19</v>
      </c>
      <c r="J306" s="19">
        <f>ROUND(100*1,0)&amp;"%"</f>
      </c>
    </row>
    <row x14ac:dyDescent="0.25" r="307" customHeight="1" ht="17.25">
      <c r="A307" s="20" t="s">
        <v>1894</v>
      </c>
      <c r="B307" s="20" t="s">
        <v>496</v>
      </c>
      <c r="C307" s="20" t="s">
        <v>114</v>
      </c>
      <c r="D307" s="20" t="s">
        <v>22</v>
      </c>
      <c r="E307" s="21">
        <f>ROUND(12727*1.05,2)</f>
      </c>
      <c r="F307" s="20" t="s">
        <v>23</v>
      </c>
      <c r="G307" s="20" t="s">
        <v>24</v>
      </c>
      <c r="H307" s="21">
        <f>ROUND(RAND()*4+6,1)</f>
      </c>
      <c r="I307" s="20" t="s">
        <v>25</v>
      </c>
      <c r="J307" s="23">
        <f>ROUND(94*1,0)&amp;"%"</f>
      </c>
    </row>
    <row x14ac:dyDescent="0.25" r="308" customHeight="1" ht="17.25">
      <c r="A308" s="17" t="s">
        <v>1895</v>
      </c>
      <c r="B308" s="17" t="s">
        <v>498</v>
      </c>
      <c r="C308" s="17" t="s">
        <v>114</v>
      </c>
      <c r="D308" s="17" t="s">
        <v>28</v>
      </c>
      <c r="E308" s="18">
        <f>ROUND(13588*1.05,2)</f>
      </c>
      <c r="F308" s="17" t="s">
        <v>29</v>
      </c>
      <c r="G308" s="17" t="s">
        <v>30</v>
      </c>
      <c r="H308" s="18">
        <f>ROUND(RAND()*4+6,1)</f>
      </c>
      <c r="I308" s="17" t="s">
        <v>31</v>
      </c>
      <c r="J308" s="19">
        <f>ROUND(84*1,0)&amp;"%"</f>
      </c>
    </row>
    <row x14ac:dyDescent="0.25" r="309" customHeight="1" ht="17.25">
      <c r="A309" s="20" t="s">
        <v>1896</v>
      </c>
      <c r="B309" s="20" t="s">
        <v>500</v>
      </c>
      <c r="C309" s="20" t="s">
        <v>114</v>
      </c>
      <c r="D309" s="20" t="s">
        <v>34</v>
      </c>
      <c r="E309" s="21">
        <f>ROUND(10570*1.05,2)</f>
      </c>
      <c r="F309" s="20" t="s">
        <v>35</v>
      </c>
      <c r="G309" s="20" t="s">
        <v>18</v>
      </c>
      <c r="H309" s="21">
        <f>ROUND(RAND()*4+6,1)</f>
      </c>
      <c r="I309" s="20" t="s">
        <v>36</v>
      </c>
      <c r="J309" s="23">
        <f>ROUND(60*1,0)&amp;"%"</f>
      </c>
    </row>
    <row x14ac:dyDescent="0.25" r="310" customHeight="1" ht="17.25">
      <c r="A310" s="17" t="s">
        <v>1897</v>
      </c>
      <c r="B310" s="17" t="s">
        <v>502</v>
      </c>
      <c r="C310" s="17" t="s">
        <v>114</v>
      </c>
      <c r="D310" s="17" t="s">
        <v>39</v>
      </c>
      <c r="E310" s="18">
        <f>ROUND(17156*1.05,2)</f>
      </c>
      <c r="F310" s="17" t="s">
        <v>40</v>
      </c>
      <c r="G310" s="17" t="s">
        <v>24</v>
      </c>
      <c r="H310" s="18">
        <f>ROUND(RAND()*4+6,1)</f>
      </c>
      <c r="I310" s="17" t="s">
        <v>41</v>
      </c>
      <c r="J310" s="19">
        <f>ROUND(100*1,0)&amp;"%"</f>
      </c>
    </row>
    <row x14ac:dyDescent="0.25" r="311" customHeight="1" ht="17.25">
      <c r="A311" s="20" t="s">
        <v>1898</v>
      </c>
      <c r="B311" s="20" t="s">
        <v>504</v>
      </c>
      <c r="C311" s="20" t="s">
        <v>114</v>
      </c>
      <c r="D311" s="20" t="s">
        <v>67</v>
      </c>
      <c r="E311" s="21">
        <f>ROUND(8222*1.05,2)</f>
      </c>
      <c r="F311" s="20" t="s">
        <v>44</v>
      </c>
      <c r="G311" s="20" t="s">
        <v>30</v>
      </c>
      <c r="H311" s="21">
        <f>ROUND(RAND()*4+6,1)</f>
      </c>
      <c r="I311" s="20" t="s">
        <v>45</v>
      </c>
      <c r="J311" s="23">
        <f>ROUND(96*1,0)&amp;"%"</f>
      </c>
    </row>
    <row x14ac:dyDescent="0.25" r="312" customHeight="1" ht="17.25">
      <c r="A312" s="17" t="s">
        <v>1899</v>
      </c>
      <c r="B312" s="17" t="s">
        <v>506</v>
      </c>
      <c r="C312" s="17" t="s">
        <v>114</v>
      </c>
      <c r="D312" s="17" t="s">
        <v>16</v>
      </c>
      <c r="E312" s="18">
        <f>ROUND(13045*1.05,2)</f>
      </c>
      <c r="F312" s="17" t="s">
        <v>48</v>
      </c>
      <c r="G312" s="17" t="s">
        <v>18</v>
      </c>
      <c r="H312" s="18">
        <f>ROUND(RAND()*4+6,1)</f>
      </c>
      <c r="I312" s="17" t="s">
        <v>19</v>
      </c>
      <c r="J312" s="19">
        <f>ROUND(62*1,0)&amp;"%"</f>
      </c>
    </row>
    <row x14ac:dyDescent="0.25" r="313" customHeight="1" ht="17.25">
      <c r="A313" s="20" t="s">
        <v>1900</v>
      </c>
      <c r="B313" s="20" t="s">
        <v>508</v>
      </c>
      <c r="C313" s="20" t="s">
        <v>114</v>
      </c>
      <c r="D313" s="20" t="s">
        <v>22</v>
      </c>
      <c r="E313" s="21">
        <f>ROUND(9929*1.05,2)</f>
      </c>
      <c r="F313" s="20" t="s">
        <v>51</v>
      </c>
      <c r="G313" s="20" t="s">
        <v>24</v>
      </c>
      <c r="H313" s="21">
        <f>ROUND(RAND()*4+6,1)</f>
      </c>
      <c r="I313" s="20" t="s">
        <v>25</v>
      </c>
      <c r="J313" s="23">
        <f>ROUND(95*1,0)&amp;"%"</f>
      </c>
    </row>
    <row x14ac:dyDescent="0.25" r="314" customHeight="1" ht="17.25">
      <c r="A314" s="24" t="s">
        <v>509</v>
      </c>
      <c r="B314" s="24"/>
      <c r="C314" s="24"/>
      <c r="D314" s="24"/>
      <c r="E314" s="25">
        <v>8</v>
      </c>
      <c r="F314" s="9"/>
      <c r="G314" s="9"/>
      <c r="H314" s="10"/>
      <c r="I314" s="9"/>
      <c r="J314" s="9"/>
    </row>
    <row x14ac:dyDescent="0.25" r="315" customHeight="1" ht="17.25">
      <c r="A315" s="7"/>
      <c r="B315" s="7"/>
      <c r="C315" s="7"/>
      <c r="D315" s="7"/>
      <c r="E315" s="8"/>
      <c r="F315" s="9"/>
      <c r="G315" s="9"/>
      <c r="H315" s="10"/>
      <c r="I315" s="9"/>
      <c r="J315" s="9"/>
    </row>
    <row x14ac:dyDescent="0.25" r="316" customHeight="1" ht="17.25">
      <c r="A316" s="11" t="s">
        <v>1901</v>
      </c>
      <c r="B316" s="11"/>
      <c r="C316" s="11"/>
      <c r="D316" s="11"/>
      <c r="E316" s="12"/>
      <c r="F316" s="11"/>
      <c r="G316" s="11"/>
      <c r="H316" s="13"/>
      <c r="I316" s="11"/>
      <c r="J316" s="11"/>
    </row>
    <row x14ac:dyDescent="0.25" r="317" customHeight="1" ht="17.25">
      <c r="A317" s="14" t="s">
        <v>3</v>
      </c>
      <c r="B317" s="14" t="s">
        <v>4</v>
      </c>
      <c r="C317" s="14" t="s">
        <v>5</v>
      </c>
      <c r="D317" s="14" t="s">
        <v>6</v>
      </c>
      <c r="E317" s="15" t="s">
        <v>7</v>
      </c>
      <c r="F317" s="14" t="s">
        <v>8</v>
      </c>
      <c r="G317" s="14" t="s">
        <v>9</v>
      </c>
      <c r="H317" s="16" t="s">
        <v>10</v>
      </c>
      <c r="I317" s="14" t="s">
        <v>11</v>
      </c>
      <c r="J317" s="14" t="s">
        <v>12</v>
      </c>
    </row>
    <row x14ac:dyDescent="0.25" r="318" customHeight="1" ht="17.25">
      <c r="A318" s="17" t="s">
        <v>1902</v>
      </c>
      <c r="B318" s="17" t="s">
        <v>512</v>
      </c>
      <c r="C318" s="17" t="s">
        <v>133</v>
      </c>
      <c r="D318" s="17" t="s">
        <v>16</v>
      </c>
      <c r="E318" s="18">
        <f>ROUND(9808*1.05,2)</f>
      </c>
      <c r="F318" s="17" t="s">
        <v>17</v>
      </c>
      <c r="G318" s="17" t="s">
        <v>18</v>
      </c>
      <c r="H318" s="18">
        <f>ROUND(RAND()*4+6,1)</f>
      </c>
      <c r="I318" s="17" t="s">
        <v>19</v>
      </c>
      <c r="J318" s="19">
        <f>ROUND(100*1,0)&amp;"%"</f>
      </c>
    </row>
    <row x14ac:dyDescent="0.25" r="319" customHeight="1" ht="17.25">
      <c r="A319" s="20" t="s">
        <v>1903</v>
      </c>
      <c r="B319" s="20" t="s">
        <v>514</v>
      </c>
      <c r="C319" s="20" t="s">
        <v>133</v>
      </c>
      <c r="D319" s="20" t="s">
        <v>22</v>
      </c>
      <c r="E319" s="22">
        <f>ROUND(12620*1.05,2)</f>
      </c>
      <c r="F319" s="20" t="s">
        <v>23</v>
      </c>
      <c r="G319" s="20" t="s">
        <v>24</v>
      </c>
      <c r="H319" s="21">
        <f>ROUND(RAND()*4+6,1)</f>
      </c>
      <c r="I319" s="20" t="s">
        <v>25</v>
      </c>
      <c r="J319" s="23">
        <f>ROUND(69*1,0)&amp;"%"</f>
      </c>
    </row>
    <row x14ac:dyDescent="0.25" r="320" customHeight="1" ht="17.25">
      <c r="A320" s="17" t="s">
        <v>1904</v>
      </c>
      <c r="B320" s="17" t="s">
        <v>516</v>
      </c>
      <c r="C320" s="17" t="s">
        <v>133</v>
      </c>
      <c r="D320" s="17" t="s">
        <v>28</v>
      </c>
      <c r="E320" s="18">
        <f>ROUND(11134*1.05,2)</f>
      </c>
      <c r="F320" s="17" t="s">
        <v>29</v>
      </c>
      <c r="G320" s="17" t="s">
        <v>30</v>
      </c>
      <c r="H320" s="18">
        <f>ROUND(RAND()*4+6,1)</f>
      </c>
      <c r="I320" s="17" t="s">
        <v>31</v>
      </c>
      <c r="J320" s="19">
        <f>ROUND(91*1,0)&amp;"%"</f>
      </c>
    </row>
    <row x14ac:dyDescent="0.25" r="321" customHeight="1" ht="17.25">
      <c r="A321" s="20" t="s">
        <v>1905</v>
      </c>
      <c r="B321" s="20" t="s">
        <v>518</v>
      </c>
      <c r="C321" s="20" t="s">
        <v>133</v>
      </c>
      <c r="D321" s="20" t="s">
        <v>34</v>
      </c>
      <c r="E321" s="21">
        <f>ROUND(11102*1.05,2)</f>
      </c>
      <c r="F321" s="20" t="s">
        <v>35</v>
      </c>
      <c r="G321" s="20" t="s">
        <v>18</v>
      </c>
      <c r="H321" s="21">
        <f>ROUND(RAND()*4+6,1)</f>
      </c>
      <c r="I321" s="20" t="s">
        <v>36</v>
      </c>
      <c r="J321" s="23">
        <f>ROUND(76*1,0)&amp;"%"</f>
      </c>
    </row>
    <row x14ac:dyDescent="0.25" r="322" customHeight="1" ht="17.25">
      <c r="A322" s="17" t="s">
        <v>1906</v>
      </c>
      <c r="B322" s="17" t="s">
        <v>520</v>
      </c>
      <c r="C322" s="17" t="s">
        <v>133</v>
      </c>
      <c r="D322" s="17" t="s">
        <v>39</v>
      </c>
      <c r="E322" s="26">
        <f>ROUND(14340*1.05,2)</f>
      </c>
      <c r="F322" s="17" t="s">
        <v>40</v>
      </c>
      <c r="G322" s="17" t="s">
        <v>24</v>
      </c>
      <c r="H322" s="18">
        <f>ROUND(RAND()*4+6,1)</f>
      </c>
      <c r="I322" s="17" t="s">
        <v>41</v>
      </c>
      <c r="J322" s="19">
        <f>ROUND(87*1,0)&amp;"%"</f>
      </c>
    </row>
    <row x14ac:dyDescent="0.25" r="323" customHeight="1" ht="17.25">
      <c r="A323" s="20" t="s">
        <v>1907</v>
      </c>
      <c r="B323" s="20" t="s">
        <v>522</v>
      </c>
      <c r="C323" s="20" t="s">
        <v>133</v>
      </c>
      <c r="D323" s="20" t="s">
        <v>67</v>
      </c>
      <c r="E323" s="21">
        <f>ROUND(9834*1.05,2)</f>
      </c>
      <c r="F323" s="20" t="s">
        <v>44</v>
      </c>
      <c r="G323" s="20" t="s">
        <v>30</v>
      </c>
      <c r="H323" s="21">
        <f>ROUND(RAND()*4+6,1)</f>
      </c>
      <c r="I323" s="20" t="s">
        <v>45</v>
      </c>
      <c r="J323" s="23">
        <f>ROUND(95*1,0)&amp;"%"</f>
      </c>
    </row>
    <row x14ac:dyDescent="0.25" r="324" customHeight="1" ht="17.25">
      <c r="A324" s="17" t="s">
        <v>1908</v>
      </c>
      <c r="B324" s="17" t="s">
        <v>524</v>
      </c>
      <c r="C324" s="17" t="s">
        <v>133</v>
      </c>
      <c r="D324" s="17" t="s">
        <v>16</v>
      </c>
      <c r="E324" s="18">
        <f>ROUND(4430*1.05,2)</f>
      </c>
      <c r="F324" s="17" t="s">
        <v>48</v>
      </c>
      <c r="G324" s="17" t="s">
        <v>18</v>
      </c>
      <c r="H324" s="18">
        <f>ROUND(RAND()*4+6,1)</f>
      </c>
      <c r="I324" s="17" t="s">
        <v>19</v>
      </c>
      <c r="J324" s="19">
        <f>ROUND(77*1,0)&amp;"%"</f>
      </c>
    </row>
    <row x14ac:dyDescent="0.25" r="325" customHeight="1" ht="17.25">
      <c r="A325" s="20" t="s">
        <v>1909</v>
      </c>
      <c r="B325" s="20" t="s">
        <v>526</v>
      </c>
      <c r="C325" s="20" t="s">
        <v>133</v>
      </c>
      <c r="D325" s="20" t="s">
        <v>22</v>
      </c>
      <c r="E325" s="21">
        <f>ROUND(15816*1.05,2)</f>
      </c>
      <c r="F325" s="20" t="s">
        <v>51</v>
      </c>
      <c r="G325" s="20" t="s">
        <v>24</v>
      </c>
      <c r="H325" s="21">
        <f>ROUND(RAND()*4+6,1)</f>
      </c>
      <c r="I325" s="20" t="s">
        <v>25</v>
      </c>
      <c r="J325" s="23">
        <f>ROUND(93*1,0)&amp;"%"</f>
      </c>
    </row>
    <row x14ac:dyDescent="0.25" r="326" customHeight="1" ht="17.25">
      <c r="A326" s="24" t="s">
        <v>527</v>
      </c>
      <c r="B326" s="24"/>
      <c r="C326" s="24"/>
      <c r="D326" s="24"/>
      <c r="E326" s="25">
        <v>8</v>
      </c>
      <c r="F326" s="9"/>
      <c r="G326" s="9"/>
      <c r="H326" s="10"/>
      <c r="I326" s="9"/>
      <c r="J326" s="9"/>
    </row>
    <row x14ac:dyDescent="0.25" r="327" customHeight="1" ht="17.25">
      <c r="A327" s="7"/>
      <c r="B327" s="7"/>
      <c r="C327" s="7"/>
      <c r="D327" s="7"/>
      <c r="E327" s="8"/>
      <c r="F327" s="9"/>
      <c r="G327" s="9"/>
      <c r="H327" s="10"/>
      <c r="I327" s="9"/>
      <c r="J327" s="9"/>
    </row>
    <row x14ac:dyDescent="0.25" r="328" customHeight="1" ht="17.25">
      <c r="A328" s="11" t="s">
        <v>1910</v>
      </c>
      <c r="B328" s="11"/>
      <c r="C328" s="11"/>
      <c r="D328" s="11"/>
      <c r="E328" s="12"/>
      <c r="F328" s="11"/>
      <c r="G328" s="11"/>
      <c r="H328" s="13"/>
      <c r="I328" s="11"/>
      <c r="J328" s="11"/>
    </row>
    <row x14ac:dyDescent="0.25" r="329" customHeight="1" ht="17.25">
      <c r="A329" s="14" t="s">
        <v>3</v>
      </c>
      <c r="B329" s="14" t="s">
        <v>4</v>
      </c>
      <c r="C329" s="14" t="s">
        <v>5</v>
      </c>
      <c r="D329" s="14" t="s">
        <v>6</v>
      </c>
      <c r="E329" s="15" t="s">
        <v>7</v>
      </c>
      <c r="F329" s="14" t="s">
        <v>8</v>
      </c>
      <c r="G329" s="14" t="s">
        <v>9</v>
      </c>
      <c r="H329" s="16" t="s">
        <v>10</v>
      </c>
      <c r="I329" s="14" t="s">
        <v>11</v>
      </c>
      <c r="J329" s="14" t="s">
        <v>12</v>
      </c>
    </row>
    <row x14ac:dyDescent="0.25" r="330" customHeight="1" ht="17.25">
      <c r="A330" s="17" t="s">
        <v>1911</v>
      </c>
      <c r="B330" s="17" t="s">
        <v>530</v>
      </c>
      <c r="C330" s="17" t="s">
        <v>152</v>
      </c>
      <c r="D330" s="17" t="s">
        <v>16</v>
      </c>
      <c r="E330" s="18">
        <f>ROUND(14593*1.05,2)</f>
      </c>
      <c r="F330" s="17" t="s">
        <v>17</v>
      </c>
      <c r="G330" s="17" t="s">
        <v>18</v>
      </c>
      <c r="H330" s="18">
        <f>ROUND(RAND()*4+6,1)</f>
      </c>
      <c r="I330" s="17" t="s">
        <v>19</v>
      </c>
      <c r="J330" s="19">
        <f>ROUND(75*1,0)&amp;"%"</f>
      </c>
    </row>
    <row x14ac:dyDescent="0.25" r="331" customHeight="1" ht="17.25">
      <c r="A331" s="20" t="s">
        <v>1912</v>
      </c>
      <c r="B331" s="20" t="s">
        <v>532</v>
      </c>
      <c r="C331" s="20" t="s">
        <v>152</v>
      </c>
      <c r="D331" s="20" t="s">
        <v>22</v>
      </c>
      <c r="E331" s="21">
        <f>ROUND(4084*1.05,2)</f>
      </c>
      <c r="F331" s="20" t="s">
        <v>23</v>
      </c>
      <c r="G331" s="20" t="s">
        <v>24</v>
      </c>
      <c r="H331" s="22">
        <f>ROUND(RAND()*4+6,1)</f>
      </c>
      <c r="I331" s="20" t="s">
        <v>25</v>
      </c>
      <c r="J331" s="23">
        <f>ROUND(91*1,0)&amp;"%"</f>
      </c>
    </row>
    <row x14ac:dyDescent="0.25" r="332" customHeight="1" ht="17.25">
      <c r="A332" s="17" t="s">
        <v>1913</v>
      </c>
      <c r="B332" s="17" t="s">
        <v>534</v>
      </c>
      <c r="C332" s="17" t="s">
        <v>152</v>
      </c>
      <c r="D332" s="17" t="s">
        <v>28</v>
      </c>
      <c r="E332" s="18">
        <f>ROUND(17562*1.05,2)</f>
      </c>
      <c r="F332" s="17" t="s">
        <v>29</v>
      </c>
      <c r="G332" s="17" t="s">
        <v>30</v>
      </c>
      <c r="H332" s="18">
        <f>ROUND(RAND()*4+6,1)</f>
      </c>
      <c r="I332" s="17" t="s">
        <v>31</v>
      </c>
      <c r="J332" s="19">
        <f>ROUND(95*1,0)&amp;"%"</f>
      </c>
    </row>
    <row x14ac:dyDescent="0.25" r="333" customHeight="1" ht="17.25">
      <c r="A333" s="20" t="s">
        <v>1914</v>
      </c>
      <c r="B333" s="20" t="s">
        <v>536</v>
      </c>
      <c r="C333" s="20" t="s">
        <v>152</v>
      </c>
      <c r="D333" s="20" t="s">
        <v>34</v>
      </c>
      <c r="E333" s="21">
        <f>ROUND(13498*1.05,2)</f>
      </c>
      <c r="F333" s="20" t="s">
        <v>35</v>
      </c>
      <c r="G333" s="20" t="s">
        <v>18</v>
      </c>
      <c r="H333" s="21">
        <f>ROUND(RAND()*4+6,1)</f>
      </c>
      <c r="I333" s="20" t="s">
        <v>36</v>
      </c>
      <c r="J333" s="23">
        <f>ROUND(88*1,0)&amp;"%"</f>
      </c>
    </row>
    <row x14ac:dyDescent="0.25" r="334" customHeight="1" ht="17.25">
      <c r="A334" s="17" t="s">
        <v>1915</v>
      </c>
      <c r="B334" s="17" t="s">
        <v>538</v>
      </c>
      <c r="C334" s="17" t="s">
        <v>152</v>
      </c>
      <c r="D334" s="17" t="s">
        <v>39</v>
      </c>
      <c r="E334" s="18">
        <f>ROUND(12219*1.05,2)</f>
      </c>
      <c r="F334" s="17" t="s">
        <v>40</v>
      </c>
      <c r="G334" s="17" t="s">
        <v>24</v>
      </c>
      <c r="H334" s="18">
        <f>ROUND(RAND()*4+6,1)</f>
      </c>
      <c r="I334" s="17" t="s">
        <v>41</v>
      </c>
      <c r="J334" s="19">
        <f>ROUND(72*1,0)&amp;"%"</f>
      </c>
    </row>
    <row x14ac:dyDescent="0.25" r="335" customHeight="1" ht="17.25">
      <c r="A335" s="20" t="s">
        <v>1916</v>
      </c>
      <c r="B335" s="20" t="s">
        <v>540</v>
      </c>
      <c r="C335" s="20" t="s">
        <v>152</v>
      </c>
      <c r="D335" s="20" t="s">
        <v>67</v>
      </c>
      <c r="E335" s="21">
        <f>ROUND(6631*1.05,2)</f>
      </c>
      <c r="F335" s="20" t="s">
        <v>44</v>
      </c>
      <c r="G335" s="20" t="s">
        <v>30</v>
      </c>
      <c r="H335" s="21">
        <f>ROUND(RAND()*4+6,1)</f>
      </c>
      <c r="I335" s="20" t="s">
        <v>45</v>
      </c>
      <c r="J335" s="23">
        <f>ROUND(74*1,0)&amp;"%"</f>
      </c>
    </row>
    <row x14ac:dyDescent="0.25" r="336" customHeight="1" ht="17.25">
      <c r="A336" s="17" t="s">
        <v>1917</v>
      </c>
      <c r="B336" s="17" t="s">
        <v>542</v>
      </c>
      <c r="C336" s="17" t="s">
        <v>152</v>
      </c>
      <c r="D336" s="17" t="s">
        <v>16</v>
      </c>
      <c r="E336" s="18">
        <f>ROUND(15576*1.05,2)</f>
      </c>
      <c r="F336" s="17" t="s">
        <v>48</v>
      </c>
      <c r="G336" s="17" t="s">
        <v>18</v>
      </c>
      <c r="H336" s="18">
        <f>ROUND(RAND()*4+6,1)</f>
      </c>
      <c r="I336" s="17" t="s">
        <v>19</v>
      </c>
      <c r="J336" s="19">
        <f>ROUND(66*1,0)&amp;"%"</f>
      </c>
    </row>
    <row x14ac:dyDescent="0.25" r="337" customHeight="1" ht="17.25">
      <c r="A337" s="20" t="s">
        <v>1918</v>
      </c>
      <c r="B337" s="20" t="s">
        <v>544</v>
      </c>
      <c r="C337" s="20" t="s">
        <v>152</v>
      </c>
      <c r="D337" s="20" t="s">
        <v>22</v>
      </c>
      <c r="E337" s="21">
        <f>ROUND(6458*1.05,2)</f>
      </c>
      <c r="F337" s="20" t="s">
        <v>51</v>
      </c>
      <c r="G337" s="20" t="s">
        <v>24</v>
      </c>
      <c r="H337" s="22">
        <f>ROUND(RAND()*4+6,1)</f>
      </c>
      <c r="I337" s="20" t="s">
        <v>25</v>
      </c>
      <c r="J337" s="23">
        <f>ROUND(73*1,0)&amp;"%"</f>
      </c>
    </row>
    <row x14ac:dyDescent="0.25" r="338" customHeight="1" ht="17.25">
      <c r="A338" s="24" t="s">
        <v>545</v>
      </c>
      <c r="B338" s="24"/>
      <c r="C338" s="24"/>
      <c r="D338" s="24"/>
      <c r="E338" s="25">
        <v>8</v>
      </c>
      <c r="F338" s="9"/>
      <c r="G338" s="9"/>
      <c r="H338" s="10"/>
      <c r="I338" s="9"/>
      <c r="J338" s="9"/>
    </row>
    <row x14ac:dyDescent="0.25" r="339" customHeight="1" ht="17.25">
      <c r="A339" s="7"/>
      <c r="B339" s="7"/>
      <c r="C339" s="7"/>
      <c r="D339" s="7"/>
      <c r="E339" s="8"/>
      <c r="F339" s="9"/>
      <c r="G339" s="9"/>
      <c r="H339" s="10"/>
      <c r="I339" s="9"/>
      <c r="J339" s="9"/>
    </row>
    <row x14ac:dyDescent="0.25" r="340" customHeight="1" ht="17.25">
      <c r="A340" s="11" t="s">
        <v>1919</v>
      </c>
      <c r="B340" s="11"/>
      <c r="C340" s="11"/>
      <c r="D340" s="11"/>
      <c r="E340" s="12"/>
      <c r="F340" s="11"/>
      <c r="G340" s="11"/>
      <c r="H340" s="13"/>
      <c r="I340" s="11"/>
      <c r="J340" s="11"/>
    </row>
    <row x14ac:dyDescent="0.25" r="341" customHeight="1" ht="17.25">
      <c r="A341" s="14" t="s">
        <v>3</v>
      </c>
      <c r="B341" s="14" t="s">
        <v>4</v>
      </c>
      <c r="C341" s="14" t="s">
        <v>5</v>
      </c>
      <c r="D341" s="14" t="s">
        <v>6</v>
      </c>
      <c r="E341" s="15" t="s">
        <v>7</v>
      </c>
      <c r="F341" s="14" t="s">
        <v>8</v>
      </c>
      <c r="G341" s="14" t="s">
        <v>9</v>
      </c>
      <c r="H341" s="16" t="s">
        <v>10</v>
      </c>
      <c r="I341" s="14" t="s">
        <v>11</v>
      </c>
      <c r="J341" s="14" t="s">
        <v>12</v>
      </c>
    </row>
    <row x14ac:dyDescent="0.25" r="342" customHeight="1" ht="17.25">
      <c r="A342" s="17" t="s">
        <v>1920</v>
      </c>
      <c r="B342" s="17" t="s">
        <v>548</v>
      </c>
      <c r="C342" s="17" t="s">
        <v>15</v>
      </c>
      <c r="D342" s="17" t="s">
        <v>16</v>
      </c>
      <c r="E342" s="18">
        <f>ROUND(4236*1.05,2)</f>
      </c>
      <c r="F342" s="17" t="s">
        <v>17</v>
      </c>
      <c r="G342" s="17" t="s">
        <v>18</v>
      </c>
      <c r="H342" s="18">
        <f>ROUND(RAND()*4+6,1)</f>
      </c>
      <c r="I342" s="17" t="s">
        <v>19</v>
      </c>
      <c r="J342" s="19">
        <f>ROUND(62*1,0)&amp;"%"</f>
      </c>
    </row>
    <row x14ac:dyDescent="0.25" r="343" customHeight="1" ht="17.25">
      <c r="A343" s="20" t="s">
        <v>1921</v>
      </c>
      <c r="B343" s="20" t="s">
        <v>550</v>
      </c>
      <c r="C343" s="20" t="s">
        <v>15</v>
      </c>
      <c r="D343" s="20" t="s">
        <v>22</v>
      </c>
      <c r="E343" s="21">
        <f>ROUND(16488*1.05,2)</f>
      </c>
      <c r="F343" s="20" t="s">
        <v>23</v>
      </c>
      <c r="G343" s="20" t="s">
        <v>24</v>
      </c>
      <c r="H343" s="21">
        <f>ROUND(RAND()*4+6,1)</f>
      </c>
      <c r="I343" s="20" t="s">
        <v>25</v>
      </c>
      <c r="J343" s="23">
        <f>ROUND(66*1,0)&amp;"%"</f>
      </c>
    </row>
    <row x14ac:dyDescent="0.25" r="344" customHeight="1" ht="17.25">
      <c r="A344" s="17" t="s">
        <v>1922</v>
      </c>
      <c r="B344" s="17" t="s">
        <v>552</v>
      </c>
      <c r="C344" s="17" t="s">
        <v>15</v>
      </c>
      <c r="D344" s="17" t="s">
        <v>28</v>
      </c>
      <c r="E344" s="18">
        <f>ROUND(16858*1.05,2)</f>
      </c>
      <c r="F344" s="17" t="s">
        <v>29</v>
      </c>
      <c r="G344" s="17" t="s">
        <v>30</v>
      </c>
      <c r="H344" s="18">
        <f>ROUND(RAND()*4+6,1)</f>
      </c>
      <c r="I344" s="17" t="s">
        <v>31</v>
      </c>
      <c r="J344" s="19">
        <f>ROUND(60*1,0)&amp;"%"</f>
      </c>
    </row>
    <row x14ac:dyDescent="0.25" r="345" customHeight="1" ht="17.25">
      <c r="A345" s="20" t="s">
        <v>1923</v>
      </c>
      <c r="B345" s="20" t="s">
        <v>554</v>
      </c>
      <c r="C345" s="20" t="s">
        <v>15</v>
      </c>
      <c r="D345" s="20" t="s">
        <v>34</v>
      </c>
      <c r="E345" s="21">
        <f>ROUND(15245*1.05,2)</f>
      </c>
      <c r="F345" s="20" t="s">
        <v>35</v>
      </c>
      <c r="G345" s="20" t="s">
        <v>18</v>
      </c>
      <c r="H345" s="21">
        <f>ROUND(RAND()*4+6,1)</f>
      </c>
      <c r="I345" s="20" t="s">
        <v>36</v>
      </c>
      <c r="J345" s="23">
        <f>ROUND(79*1,0)&amp;"%"</f>
      </c>
    </row>
    <row x14ac:dyDescent="0.25" r="346" customHeight="1" ht="17.25">
      <c r="A346" s="17" t="s">
        <v>1924</v>
      </c>
      <c r="B346" s="17" t="s">
        <v>556</v>
      </c>
      <c r="C346" s="17" t="s">
        <v>15</v>
      </c>
      <c r="D346" s="17" t="s">
        <v>39</v>
      </c>
      <c r="E346" s="18">
        <f>ROUND(14590*1.05,2)</f>
      </c>
      <c r="F346" s="17" t="s">
        <v>40</v>
      </c>
      <c r="G346" s="17" t="s">
        <v>24</v>
      </c>
      <c r="H346" s="18">
        <f>ROUND(RAND()*4+6,1)</f>
      </c>
      <c r="I346" s="17" t="s">
        <v>41</v>
      </c>
      <c r="J346" s="19">
        <f>ROUND(65*1,0)&amp;"%"</f>
      </c>
    </row>
    <row x14ac:dyDescent="0.25" r="347" customHeight="1" ht="17.25">
      <c r="A347" s="20" t="s">
        <v>1925</v>
      </c>
      <c r="B347" s="20" t="s">
        <v>558</v>
      </c>
      <c r="C347" s="20" t="s">
        <v>15</v>
      </c>
      <c r="D347" s="20" t="s">
        <v>67</v>
      </c>
      <c r="E347" s="22">
        <f>ROUND(17280*1.05,2)</f>
      </c>
      <c r="F347" s="20" t="s">
        <v>44</v>
      </c>
      <c r="G347" s="20" t="s">
        <v>30</v>
      </c>
      <c r="H347" s="21">
        <f>ROUND(RAND()*4+6,1)</f>
      </c>
      <c r="I347" s="20" t="s">
        <v>45</v>
      </c>
      <c r="J347" s="23">
        <f>ROUND(73*1,0)&amp;"%"</f>
      </c>
    </row>
    <row x14ac:dyDescent="0.25" r="348" customHeight="1" ht="17.25">
      <c r="A348" s="17" t="s">
        <v>1926</v>
      </c>
      <c r="B348" s="17" t="s">
        <v>560</v>
      </c>
      <c r="C348" s="17" t="s">
        <v>15</v>
      </c>
      <c r="D348" s="17" t="s">
        <v>16</v>
      </c>
      <c r="E348" s="18">
        <f>ROUND(4515*1.05,2)</f>
      </c>
      <c r="F348" s="17" t="s">
        <v>48</v>
      </c>
      <c r="G348" s="17" t="s">
        <v>18</v>
      </c>
      <c r="H348" s="18">
        <f>ROUND(RAND()*4+6,1)</f>
      </c>
      <c r="I348" s="17" t="s">
        <v>19</v>
      </c>
      <c r="J348" s="19">
        <f>ROUND(91*1,0)&amp;"%"</f>
      </c>
    </row>
    <row x14ac:dyDescent="0.25" r="349" customHeight="1" ht="17.25">
      <c r="A349" s="20" t="s">
        <v>1927</v>
      </c>
      <c r="B349" s="20" t="s">
        <v>562</v>
      </c>
      <c r="C349" s="20" t="s">
        <v>15</v>
      </c>
      <c r="D349" s="20" t="s">
        <v>22</v>
      </c>
      <c r="E349" s="21">
        <f>ROUND(15969*1.05,2)</f>
      </c>
      <c r="F349" s="20" t="s">
        <v>51</v>
      </c>
      <c r="G349" s="20" t="s">
        <v>24</v>
      </c>
      <c r="H349" s="21">
        <f>ROUND(RAND()*4+6,1)</f>
      </c>
      <c r="I349" s="20" t="s">
        <v>25</v>
      </c>
      <c r="J349" s="23">
        <f>ROUND(93*1,0)&amp;"%"</f>
      </c>
    </row>
    <row x14ac:dyDescent="0.25" r="350" customHeight="1" ht="17.25">
      <c r="A350" s="24" t="s">
        <v>563</v>
      </c>
      <c r="B350" s="24"/>
      <c r="C350" s="24"/>
      <c r="D350" s="24"/>
      <c r="E350" s="25">
        <v>8</v>
      </c>
      <c r="F350" s="9"/>
      <c r="G350" s="9"/>
      <c r="H350" s="10"/>
      <c r="I350" s="9"/>
      <c r="J350" s="9"/>
    </row>
    <row x14ac:dyDescent="0.25" r="351" customHeight="1" ht="17.25">
      <c r="A351" s="7"/>
      <c r="B351" s="7"/>
      <c r="C351" s="7"/>
      <c r="D351" s="7"/>
      <c r="E351" s="8"/>
      <c r="F351" s="9"/>
      <c r="G351" s="9"/>
      <c r="H351" s="10"/>
      <c r="I351" s="9"/>
      <c r="J351" s="9"/>
    </row>
    <row x14ac:dyDescent="0.25" r="352" customHeight="1" ht="17.25">
      <c r="A352" s="11" t="s">
        <v>1928</v>
      </c>
      <c r="B352" s="11"/>
      <c r="C352" s="11"/>
      <c r="D352" s="11"/>
      <c r="E352" s="12"/>
      <c r="F352" s="11"/>
      <c r="G352" s="11"/>
      <c r="H352" s="13"/>
      <c r="I352" s="11"/>
      <c r="J352" s="11"/>
    </row>
    <row x14ac:dyDescent="0.25" r="353" customHeight="1" ht="17.25">
      <c r="A353" s="14" t="s">
        <v>3</v>
      </c>
      <c r="B353" s="14" t="s">
        <v>4</v>
      </c>
      <c r="C353" s="14" t="s">
        <v>5</v>
      </c>
      <c r="D353" s="14" t="s">
        <v>6</v>
      </c>
      <c r="E353" s="15" t="s">
        <v>7</v>
      </c>
      <c r="F353" s="14" t="s">
        <v>8</v>
      </c>
      <c r="G353" s="14" t="s">
        <v>9</v>
      </c>
      <c r="H353" s="16" t="s">
        <v>10</v>
      </c>
      <c r="I353" s="14" t="s">
        <v>11</v>
      </c>
      <c r="J353" s="14" t="s">
        <v>12</v>
      </c>
    </row>
    <row x14ac:dyDescent="0.25" r="354" customHeight="1" ht="17.25">
      <c r="A354" s="17" t="s">
        <v>1929</v>
      </c>
      <c r="B354" s="17" t="s">
        <v>566</v>
      </c>
      <c r="C354" s="17" t="s">
        <v>56</v>
      </c>
      <c r="D354" s="17" t="s">
        <v>16</v>
      </c>
      <c r="E354" s="18">
        <f>ROUND(4209*1.05,2)</f>
      </c>
      <c r="F354" s="17" t="s">
        <v>17</v>
      </c>
      <c r="G354" s="17" t="s">
        <v>18</v>
      </c>
      <c r="H354" s="18">
        <f>ROUND(RAND()*4+6,1)</f>
      </c>
      <c r="I354" s="17" t="s">
        <v>19</v>
      </c>
      <c r="J354" s="19">
        <f>ROUND(93*1,0)&amp;"%"</f>
      </c>
    </row>
    <row x14ac:dyDescent="0.25" r="355" customHeight="1" ht="17.25">
      <c r="A355" s="20" t="s">
        <v>1930</v>
      </c>
      <c r="B355" s="20" t="s">
        <v>568</v>
      </c>
      <c r="C355" s="20" t="s">
        <v>56</v>
      </c>
      <c r="D355" s="20" t="s">
        <v>22</v>
      </c>
      <c r="E355" s="21">
        <f>ROUND(10589*1.05,2)</f>
      </c>
      <c r="F355" s="20" t="s">
        <v>23</v>
      </c>
      <c r="G355" s="20" t="s">
        <v>24</v>
      </c>
      <c r="H355" s="21">
        <f>ROUND(RAND()*4+6,1)</f>
      </c>
      <c r="I355" s="20" t="s">
        <v>25</v>
      </c>
      <c r="J355" s="23">
        <f>ROUND(89*1,0)&amp;"%"</f>
      </c>
    </row>
    <row x14ac:dyDescent="0.25" r="356" customHeight="1" ht="17.25">
      <c r="A356" s="17" t="s">
        <v>1931</v>
      </c>
      <c r="B356" s="17" t="s">
        <v>570</v>
      </c>
      <c r="C356" s="17" t="s">
        <v>56</v>
      </c>
      <c r="D356" s="17" t="s">
        <v>28</v>
      </c>
      <c r="E356" s="18">
        <f>ROUND(9191*1.05,2)</f>
      </c>
      <c r="F356" s="17" t="s">
        <v>29</v>
      </c>
      <c r="G356" s="17" t="s">
        <v>30</v>
      </c>
      <c r="H356" s="18">
        <f>ROUND(RAND()*4+6,1)</f>
      </c>
      <c r="I356" s="17" t="s">
        <v>31</v>
      </c>
      <c r="J356" s="19">
        <f>ROUND(86*1,0)&amp;"%"</f>
      </c>
    </row>
    <row x14ac:dyDescent="0.25" r="357" customHeight="1" ht="17.25">
      <c r="A357" s="20" t="s">
        <v>1932</v>
      </c>
      <c r="B357" s="20" t="s">
        <v>572</v>
      </c>
      <c r="C357" s="20" t="s">
        <v>56</v>
      </c>
      <c r="D357" s="20" t="s">
        <v>34</v>
      </c>
      <c r="E357" s="21">
        <f>ROUND(12634*1.05,2)</f>
      </c>
      <c r="F357" s="20" t="s">
        <v>35</v>
      </c>
      <c r="G357" s="20" t="s">
        <v>18</v>
      </c>
      <c r="H357" s="22">
        <f>ROUND(RAND()*4+6,1)</f>
      </c>
      <c r="I357" s="20" t="s">
        <v>36</v>
      </c>
      <c r="J357" s="23">
        <f>ROUND(68*1,0)&amp;"%"</f>
      </c>
    </row>
    <row x14ac:dyDescent="0.25" r="358" customHeight="1" ht="17.25">
      <c r="A358" s="17" t="s">
        <v>1933</v>
      </c>
      <c r="B358" s="17" t="s">
        <v>574</v>
      </c>
      <c r="C358" s="17" t="s">
        <v>56</v>
      </c>
      <c r="D358" s="17" t="s">
        <v>39</v>
      </c>
      <c r="E358" s="18">
        <f>ROUND(8033*1.05,2)</f>
      </c>
      <c r="F358" s="17" t="s">
        <v>40</v>
      </c>
      <c r="G358" s="17" t="s">
        <v>24</v>
      </c>
      <c r="H358" s="18">
        <f>ROUND(RAND()*4+6,1)</f>
      </c>
      <c r="I358" s="17" t="s">
        <v>41</v>
      </c>
      <c r="J358" s="19">
        <f>ROUND(85*1,0)&amp;"%"</f>
      </c>
    </row>
    <row x14ac:dyDescent="0.25" r="359" customHeight="1" ht="17.25">
      <c r="A359" s="20" t="s">
        <v>1934</v>
      </c>
      <c r="B359" s="20" t="s">
        <v>576</v>
      </c>
      <c r="C359" s="20" t="s">
        <v>56</v>
      </c>
      <c r="D359" s="20" t="s">
        <v>67</v>
      </c>
      <c r="E359" s="21">
        <f>ROUND(10669*1.05,2)</f>
      </c>
      <c r="F359" s="20" t="s">
        <v>44</v>
      </c>
      <c r="G359" s="20" t="s">
        <v>30</v>
      </c>
      <c r="H359" s="21">
        <f>ROUND(RAND()*4+6,1)</f>
      </c>
      <c r="I359" s="20" t="s">
        <v>45</v>
      </c>
      <c r="J359" s="23">
        <f>ROUND(76*1,0)&amp;"%"</f>
      </c>
    </row>
    <row x14ac:dyDescent="0.25" r="360" customHeight="1" ht="17.25">
      <c r="A360" s="17" t="s">
        <v>1935</v>
      </c>
      <c r="B360" s="17" t="s">
        <v>578</v>
      </c>
      <c r="C360" s="17" t="s">
        <v>56</v>
      </c>
      <c r="D360" s="17" t="s">
        <v>16</v>
      </c>
      <c r="E360" s="18">
        <f>ROUND(12123*1.05,2)</f>
      </c>
      <c r="F360" s="17" t="s">
        <v>48</v>
      </c>
      <c r="G360" s="17" t="s">
        <v>18</v>
      </c>
      <c r="H360" s="18">
        <f>ROUND(RAND()*4+6,1)</f>
      </c>
      <c r="I360" s="17" t="s">
        <v>19</v>
      </c>
      <c r="J360" s="19">
        <f>ROUND(99*1,0)&amp;"%"</f>
      </c>
    </row>
    <row x14ac:dyDescent="0.25" r="361" customHeight="1" ht="17.25">
      <c r="A361" s="20" t="s">
        <v>1936</v>
      </c>
      <c r="B361" s="20" t="s">
        <v>580</v>
      </c>
      <c r="C361" s="20" t="s">
        <v>56</v>
      </c>
      <c r="D361" s="20" t="s">
        <v>22</v>
      </c>
      <c r="E361" s="21">
        <f>ROUND(6709*1.05,2)</f>
      </c>
      <c r="F361" s="20" t="s">
        <v>51</v>
      </c>
      <c r="G361" s="20" t="s">
        <v>24</v>
      </c>
      <c r="H361" s="21">
        <f>ROUND(RAND()*4+6,1)</f>
      </c>
      <c r="I361" s="20" t="s">
        <v>25</v>
      </c>
      <c r="J361" s="23">
        <f>ROUND(91*1,0)&amp;"%"</f>
      </c>
    </row>
    <row x14ac:dyDescent="0.25" r="362" customHeight="1" ht="17.25">
      <c r="A362" s="24" t="s">
        <v>581</v>
      </c>
      <c r="B362" s="24"/>
      <c r="C362" s="24"/>
      <c r="D362" s="24"/>
      <c r="E362" s="25">
        <v>8</v>
      </c>
      <c r="F362" s="9"/>
      <c r="G362" s="9"/>
      <c r="H362" s="10"/>
      <c r="I362" s="9"/>
      <c r="J362" s="9"/>
    </row>
  </sheetData>
  <mergeCells count="62">
    <mergeCell ref="A1:J1"/>
    <mergeCell ref="A2:J2"/>
    <mergeCell ref="A4:J4"/>
    <mergeCell ref="A14:D14"/>
    <mergeCell ref="A16:J16"/>
    <mergeCell ref="A26:D26"/>
    <mergeCell ref="A28:J28"/>
    <mergeCell ref="A38:D38"/>
    <mergeCell ref="A40:J40"/>
    <mergeCell ref="A50:D50"/>
    <mergeCell ref="A52:J52"/>
    <mergeCell ref="A62:D62"/>
    <mergeCell ref="A64:J64"/>
    <mergeCell ref="A74:D74"/>
    <mergeCell ref="A76:J76"/>
    <mergeCell ref="A86:D86"/>
    <mergeCell ref="A88:J88"/>
    <mergeCell ref="A98:D98"/>
    <mergeCell ref="A100:J100"/>
    <mergeCell ref="A110:D110"/>
    <mergeCell ref="A112:J112"/>
    <mergeCell ref="A122:D122"/>
    <mergeCell ref="A124:J124"/>
    <mergeCell ref="A134:D134"/>
    <mergeCell ref="A136:J136"/>
    <mergeCell ref="A146:D146"/>
    <mergeCell ref="A148:J148"/>
    <mergeCell ref="A158:D158"/>
    <mergeCell ref="A160:J160"/>
    <mergeCell ref="A170:D170"/>
    <mergeCell ref="A172:J172"/>
    <mergeCell ref="A182:D182"/>
    <mergeCell ref="A184:J184"/>
    <mergeCell ref="A194:D194"/>
    <mergeCell ref="A196:J196"/>
    <mergeCell ref="A206:D206"/>
    <mergeCell ref="A208:J208"/>
    <mergeCell ref="A218:D218"/>
    <mergeCell ref="A220:J220"/>
    <mergeCell ref="A230:D230"/>
    <mergeCell ref="A232:J232"/>
    <mergeCell ref="A242:D242"/>
    <mergeCell ref="A244:J244"/>
    <mergeCell ref="A254:D254"/>
    <mergeCell ref="A256:J256"/>
    <mergeCell ref="A266:D266"/>
    <mergeCell ref="A268:J268"/>
    <mergeCell ref="A278:D278"/>
    <mergeCell ref="A280:J280"/>
    <mergeCell ref="A290:D290"/>
    <mergeCell ref="A292:J292"/>
    <mergeCell ref="A302:D302"/>
    <mergeCell ref="A304:J304"/>
    <mergeCell ref="A314:D314"/>
    <mergeCell ref="A316:J316"/>
    <mergeCell ref="A326:D326"/>
    <mergeCell ref="A328:J328"/>
    <mergeCell ref="A338:D338"/>
    <mergeCell ref="A340:J340"/>
    <mergeCell ref="A350:D350"/>
    <mergeCell ref="A352:J352"/>
    <mergeCell ref="A362:D362"/>
  </mergeCells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J362"/>
  <sheetViews>
    <sheetView workbookViewId="0"/>
  </sheetViews>
  <sheetFormatPr defaultRowHeight="15" x14ac:dyDescent="0.25"/>
  <cols>
    <col min="1" max="1" style="27" width="8.005" customWidth="1" bestFit="1"/>
    <col min="2" max="2" style="27" width="22.005" customWidth="1" bestFit="1"/>
    <col min="3" max="3" style="27" width="16.005" customWidth="1" bestFit="1"/>
    <col min="4" max="4" style="27" width="14.005" customWidth="1" bestFit="1"/>
    <col min="5" max="5" style="28" width="12.005" customWidth="1" bestFit="1"/>
    <col min="6" max="6" style="29" width="16.005" customWidth="1" bestFit="1"/>
    <col min="7" max="7" style="29" width="10.005" customWidth="1" bestFit="1"/>
    <col min="8" max="8" style="30" width="10.005" customWidth="1" bestFit="1"/>
    <col min="9" max="9" style="29" width="14.005" customWidth="1" bestFit="1"/>
    <col min="10" max="10" style="29" width="8.005" customWidth="1" bestFit="1"/>
  </cols>
  <sheetData>
    <row x14ac:dyDescent="0.25" r="1" customHeight="1" ht="17.25">
      <c r="A1" s="1" t="s">
        <v>1395</v>
      </c>
      <c r="B1" s="1"/>
      <c r="C1" s="1"/>
      <c r="D1" s="1"/>
      <c r="E1" s="2"/>
      <c r="F1" s="1"/>
      <c r="G1" s="1"/>
      <c r="H1" s="3"/>
      <c r="I1" s="1"/>
      <c r="J1" s="1"/>
    </row>
    <row x14ac:dyDescent="0.25" r="2" customHeight="1" ht="17.25">
      <c r="A2" s="4" t="s">
        <v>1</v>
      </c>
      <c r="B2" s="4"/>
      <c r="C2" s="4"/>
      <c r="D2" s="4"/>
      <c r="E2" s="5"/>
      <c r="F2" s="4"/>
      <c r="G2" s="4"/>
      <c r="H2" s="6"/>
      <c r="I2" s="4"/>
      <c r="J2" s="4"/>
    </row>
    <row x14ac:dyDescent="0.25" r="3" customHeight="1" ht="17.25">
      <c r="A3" s="7"/>
      <c r="B3" s="7"/>
      <c r="C3" s="7"/>
      <c r="D3" s="7"/>
      <c r="E3" s="8"/>
      <c r="F3" s="9"/>
      <c r="G3" s="9"/>
      <c r="H3" s="10"/>
      <c r="I3" s="9"/>
      <c r="J3" s="9"/>
    </row>
    <row x14ac:dyDescent="0.25" r="4" customHeight="1" ht="17.25">
      <c r="A4" s="11" t="s">
        <v>1396</v>
      </c>
      <c r="B4" s="11"/>
      <c r="C4" s="11"/>
      <c r="D4" s="11"/>
      <c r="E4" s="12"/>
      <c r="F4" s="11"/>
      <c r="G4" s="11"/>
      <c r="H4" s="13"/>
      <c r="I4" s="11"/>
      <c r="J4" s="11"/>
    </row>
    <row x14ac:dyDescent="0.25" r="5" customHeight="1" ht="17.25">
      <c r="A5" s="14" t="s">
        <v>3</v>
      </c>
      <c r="B5" s="14" t="s">
        <v>4</v>
      </c>
      <c r="C5" s="14" t="s">
        <v>5</v>
      </c>
      <c r="D5" s="14" t="s">
        <v>6</v>
      </c>
      <c r="E5" s="15" t="s">
        <v>7</v>
      </c>
      <c r="F5" s="14" t="s">
        <v>8</v>
      </c>
      <c r="G5" s="14" t="s">
        <v>9</v>
      </c>
      <c r="H5" s="16" t="s">
        <v>10</v>
      </c>
      <c r="I5" s="14" t="s">
        <v>11</v>
      </c>
      <c r="J5" s="14" t="s">
        <v>12</v>
      </c>
    </row>
    <row x14ac:dyDescent="0.25" r="6" customHeight="1" ht="17.25">
      <c r="A6" s="17" t="s">
        <v>1397</v>
      </c>
      <c r="B6" s="17" t="s">
        <v>14</v>
      </c>
      <c r="C6" s="17" t="s">
        <v>15</v>
      </c>
      <c r="D6" s="17" t="s">
        <v>16</v>
      </c>
      <c r="E6" s="18">
        <f>ROUND(7353*1.05,2)</f>
      </c>
      <c r="F6" s="17" t="s">
        <v>17</v>
      </c>
      <c r="G6" s="17" t="s">
        <v>18</v>
      </c>
      <c r="H6" s="18">
        <f>ROUND(RAND()*4+6,1)</f>
      </c>
      <c r="I6" s="17" t="s">
        <v>19</v>
      </c>
      <c r="J6" s="19">
        <f>ROUND(70*1,0)&amp;"%"</f>
      </c>
    </row>
    <row x14ac:dyDescent="0.25" r="7" customHeight="1" ht="17.25">
      <c r="A7" s="20" t="s">
        <v>1398</v>
      </c>
      <c r="B7" s="20" t="s">
        <v>21</v>
      </c>
      <c r="C7" s="20" t="s">
        <v>15</v>
      </c>
      <c r="D7" s="20" t="s">
        <v>22</v>
      </c>
      <c r="E7" s="21">
        <f>ROUND(14081*1.05,2)</f>
      </c>
      <c r="F7" s="20" t="s">
        <v>23</v>
      </c>
      <c r="G7" s="20" t="s">
        <v>24</v>
      </c>
      <c r="H7" s="21">
        <f>ROUND(RAND()*4+6,1)</f>
      </c>
      <c r="I7" s="20" t="s">
        <v>25</v>
      </c>
      <c r="J7" s="23">
        <f>ROUND(97*1,0)&amp;"%"</f>
      </c>
    </row>
    <row x14ac:dyDescent="0.25" r="8" customHeight="1" ht="17.25">
      <c r="A8" s="17" t="s">
        <v>1399</v>
      </c>
      <c r="B8" s="17" t="s">
        <v>27</v>
      </c>
      <c r="C8" s="17" t="s">
        <v>15</v>
      </c>
      <c r="D8" s="17" t="s">
        <v>28</v>
      </c>
      <c r="E8" s="18">
        <f>ROUND(11939*1.05,2)</f>
      </c>
      <c r="F8" s="17" t="s">
        <v>29</v>
      </c>
      <c r="G8" s="17" t="s">
        <v>30</v>
      </c>
      <c r="H8" s="18">
        <f>ROUND(RAND()*4+6,1)</f>
      </c>
      <c r="I8" s="17" t="s">
        <v>31</v>
      </c>
      <c r="J8" s="19">
        <f>ROUND(95*1,0)&amp;"%"</f>
      </c>
    </row>
    <row x14ac:dyDescent="0.25" r="9" customHeight="1" ht="17.25">
      <c r="A9" s="20" t="s">
        <v>1400</v>
      </c>
      <c r="B9" s="20" t="s">
        <v>33</v>
      </c>
      <c r="C9" s="20" t="s">
        <v>15</v>
      </c>
      <c r="D9" s="20" t="s">
        <v>34</v>
      </c>
      <c r="E9" s="22">
        <f>ROUND(5140*1.05,2)</f>
      </c>
      <c r="F9" s="20" t="s">
        <v>35</v>
      </c>
      <c r="G9" s="20" t="s">
        <v>18</v>
      </c>
      <c r="H9" s="21">
        <f>ROUND(RAND()*4+6,1)</f>
      </c>
      <c r="I9" s="20" t="s">
        <v>36</v>
      </c>
      <c r="J9" s="23">
        <f>ROUND(85*1,0)&amp;"%"</f>
      </c>
    </row>
    <row x14ac:dyDescent="0.25" r="10" customHeight="1" ht="17.25">
      <c r="A10" s="17" t="s">
        <v>1401</v>
      </c>
      <c r="B10" s="17" t="s">
        <v>38</v>
      </c>
      <c r="C10" s="17" t="s">
        <v>15</v>
      </c>
      <c r="D10" s="17" t="s">
        <v>39</v>
      </c>
      <c r="E10" s="18">
        <f>ROUND(5528*1.05,2)</f>
      </c>
      <c r="F10" s="17" t="s">
        <v>40</v>
      </c>
      <c r="G10" s="17" t="s">
        <v>24</v>
      </c>
      <c r="H10" s="18">
        <f>ROUND(RAND()*4+6,1)</f>
      </c>
      <c r="I10" s="17" t="s">
        <v>41</v>
      </c>
      <c r="J10" s="19">
        <f>ROUND(87*1,0)&amp;"%"</f>
      </c>
    </row>
    <row x14ac:dyDescent="0.25" r="11" customHeight="1" ht="17.25">
      <c r="A11" s="20" t="s">
        <v>1402</v>
      </c>
      <c r="B11" s="20" t="s">
        <v>43</v>
      </c>
      <c r="C11" s="20" t="s">
        <v>15</v>
      </c>
      <c r="D11" s="20" t="s">
        <v>67</v>
      </c>
      <c r="E11" s="21">
        <f>ROUND(7396*1.05,2)</f>
      </c>
      <c r="F11" s="20" t="s">
        <v>44</v>
      </c>
      <c r="G11" s="20" t="s">
        <v>30</v>
      </c>
      <c r="H11" s="22">
        <f>ROUND(RAND()*4+6,1)</f>
      </c>
      <c r="I11" s="20" t="s">
        <v>45</v>
      </c>
      <c r="J11" s="23">
        <f>ROUND(93*1,0)&amp;"%"</f>
      </c>
    </row>
    <row x14ac:dyDescent="0.25" r="12" customHeight="1" ht="17.25">
      <c r="A12" s="17" t="s">
        <v>1403</v>
      </c>
      <c r="B12" s="17" t="s">
        <v>47</v>
      </c>
      <c r="C12" s="17" t="s">
        <v>15</v>
      </c>
      <c r="D12" s="17" t="s">
        <v>16</v>
      </c>
      <c r="E12" s="18">
        <f>ROUND(5427*1.05,2)</f>
      </c>
      <c r="F12" s="17" t="s">
        <v>48</v>
      </c>
      <c r="G12" s="17" t="s">
        <v>18</v>
      </c>
      <c r="H12" s="18">
        <f>ROUND(RAND()*4+6,1)</f>
      </c>
      <c r="I12" s="17" t="s">
        <v>19</v>
      </c>
      <c r="J12" s="19">
        <f>ROUND(66*1,0)&amp;"%"</f>
      </c>
    </row>
    <row x14ac:dyDescent="0.25" r="13" customHeight="1" ht="17.25">
      <c r="A13" s="20" t="s">
        <v>1404</v>
      </c>
      <c r="B13" s="20" t="s">
        <v>50</v>
      </c>
      <c r="C13" s="20" t="s">
        <v>15</v>
      </c>
      <c r="D13" s="20" t="s">
        <v>22</v>
      </c>
      <c r="E13" s="21">
        <f>ROUND(15744*1.05,2)</f>
      </c>
      <c r="F13" s="20" t="s">
        <v>51</v>
      </c>
      <c r="G13" s="20" t="s">
        <v>24</v>
      </c>
      <c r="H13" s="21">
        <f>ROUND(RAND()*4+6,1)</f>
      </c>
      <c r="I13" s="20" t="s">
        <v>25</v>
      </c>
      <c r="J13" s="23">
        <f>ROUND(85*1,0)&amp;"%"</f>
      </c>
    </row>
    <row x14ac:dyDescent="0.25" r="14" customHeight="1" ht="17.25">
      <c r="A14" s="24" t="s">
        <v>52</v>
      </c>
      <c r="B14" s="24"/>
      <c r="C14" s="24"/>
      <c r="D14" s="24"/>
      <c r="E14" s="25">
        <v>8</v>
      </c>
      <c r="F14" s="9"/>
      <c r="G14" s="9"/>
      <c r="H14" s="10"/>
      <c r="I14" s="9"/>
      <c r="J14" s="9"/>
    </row>
    <row x14ac:dyDescent="0.25" r="15" customHeight="1" ht="17.25">
      <c r="A15" s="7"/>
      <c r="B15" s="7"/>
      <c r="C15" s="7"/>
      <c r="D15" s="7"/>
      <c r="E15" s="8"/>
      <c r="F15" s="9"/>
      <c r="G15" s="9"/>
      <c r="H15" s="10"/>
      <c r="I15" s="9"/>
      <c r="J15" s="9"/>
    </row>
    <row x14ac:dyDescent="0.25" r="16" customHeight="1" ht="17.25">
      <c r="A16" s="11" t="s">
        <v>1405</v>
      </c>
      <c r="B16" s="11"/>
      <c r="C16" s="11"/>
      <c r="D16" s="11"/>
      <c r="E16" s="12"/>
      <c r="F16" s="11"/>
      <c r="G16" s="11"/>
      <c r="H16" s="13"/>
      <c r="I16" s="11"/>
      <c r="J16" s="11"/>
    </row>
    <row x14ac:dyDescent="0.25" r="17" customHeight="1" ht="17.25">
      <c r="A17" s="14" t="s">
        <v>3</v>
      </c>
      <c r="B17" s="14" t="s">
        <v>4</v>
      </c>
      <c r="C17" s="14" t="s">
        <v>5</v>
      </c>
      <c r="D17" s="14" t="s">
        <v>6</v>
      </c>
      <c r="E17" s="15" t="s">
        <v>7</v>
      </c>
      <c r="F17" s="14" t="s">
        <v>8</v>
      </c>
      <c r="G17" s="14" t="s">
        <v>9</v>
      </c>
      <c r="H17" s="16" t="s">
        <v>10</v>
      </c>
      <c r="I17" s="14" t="s">
        <v>11</v>
      </c>
      <c r="J17" s="14" t="s">
        <v>12</v>
      </c>
    </row>
    <row x14ac:dyDescent="0.25" r="18" customHeight="1" ht="17.25">
      <c r="A18" s="17" t="s">
        <v>1406</v>
      </c>
      <c r="B18" s="17" t="s">
        <v>55</v>
      </c>
      <c r="C18" s="17" t="s">
        <v>56</v>
      </c>
      <c r="D18" s="17" t="s">
        <v>16</v>
      </c>
      <c r="E18" s="18">
        <f>ROUND(17354*1.05,2)</f>
      </c>
      <c r="F18" s="17" t="s">
        <v>17</v>
      </c>
      <c r="G18" s="17" t="s">
        <v>18</v>
      </c>
      <c r="H18" s="18">
        <f>ROUND(RAND()*4+6,1)</f>
      </c>
      <c r="I18" s="17" t="s">
        <v>19</v>
      </c>
      <c r="J18" s="19">
        <f>ROUND(85*1,0)&amp;"%"</f>
      </c>
    </row>
    <row x14ac:dyDescent="0.25" r="19" customHeight="1" ht="17.25">
      <c r="A19" s="20" t="s">
        <v>1407</v>
      </c>
      <c r="B19" s="20" t="s">
        <v>58</v>
      </c>
      <c r="C19" s="20" t="s">
        <v>56</v>
      </c>
      <c r="D19" s="20" t="s">
        <v>22</v>
      </c>
      <c r="E19" s="21">
        <f>ROUND(14375*1.05,2)</f>
      </c>
      <c r="F19" s="20" t="s">
        <v>23</v>
      </c>
      <c r="G19" s="20" t="s">
        <v>24</v>
      </c>
      <c r="H19" s="21">
        <f>ROUND(RAND()*4+6,1)</f>
      </c>
      <c r="I19" s="20" t="s">
        <v>25</v>
      </c>
      <c r="J19" s="23">
        <f>ROUND(65*1,0)&amp;"%"</f>
      </c>
    </row>
    <row x14ac:dyDescent="0.25" r="20" customHeight="1" ht="17.25">
      <c r="A20" s="17" t="s">
        <v>1408</v>
      </c>
      <c r="B20" s="17" t="s">
        <v>60</v>
      </c>
      <c r="C20" s="17" t="s">
        <v>56</v>
      </c>
      <c r="D20" s="17" t="s">
        <v>28</v>
      </c>
      <c r="E20" s="18">
        <f>ROUND(12512*1.05,2)</f>
      </c>
      <c r="F20" s="17" t="s">
        <v>29</v>
      </c>
      <c r="G20" s="17" t="s">
        <v>30</v>
      </c>
      <c r="H20" s="18">
        <f>ROUND(RAND()*4+6,1)</f>
      </c>
      <c r="I20" s="17" t="s">
        <v>31</v>
      </c>
      <c r="J20" s="19">
        <f>ROUND(96*1,0)&amp;"%"</f>
      </c>
    </row>
    <row x14ac:dyDescent="0.25" r="21" customHeight="1" ht="17.25">
      <c r="A21" s="20" t="s">
        <v>1409</v>
      </c>
      <c r="B21" s="20" t="s">
        <v>62</v>
      </c>
      <c r="C21" s="20" t="s">
        <v>56</v>
      </c>
      <c r="D21" s="20" t="s">
        <v>34</v>
      </c>
      <c r="E21" s="22">
        <f>ROUND(4280*1.05,2)</f>
      </c>
      <c r="F21" s="20" t="s">
        <v>35</v>
      </c>
      <c r="G21" s="20" t="s">
        <v>18</v>
      </c>
      <c r="H21" s="21">
        <f>ROUND(RAND()*4+6,1)</f>
      </c>
      <c r="I21" s="20" t="s">
        <v>36</v>
      </c>
      <c r="J21" s="23">
        <f>ROUND(98*1,0)&amp;"%"</f>
      </c>
    </row>
    <row x14ac:dyDescent="0.25" r="22" customHeight="1" ht="17.25">
      <c r="A22" s="17" t="s">
        <v>1410</v>
      </c>
      <c r="B22" s="17" t="s">
        <v>64</v>
      </c>
      <c r="C22" s="17" t="s">
        <v>56</v>
      </c>
      <c r="D22" s="17" t="s">
        <v>39</v>
      </c>
      <c r="E22" s="18">
        <f>ROUND(14405*1.05,2)</f>
      </c>
      <c r="F22" s="17" t="s">
        <v>40</v>
      </c>
      <c r="G22" s="17" t="s">
        <v>24</v>
      </c>
      <c r="H22" s="18">
        <f>ROUND(RAND()*4+6,1)</f>
      </c>
      <c r="I22" s="17" t="s">
        <v>41</v>
      </c>
      <c r="J22" s="19">
        <f>ROUND(87*1,0)&amp;"%"</f>
      </c>
    </row>
    <row x14ac:dyDescent="0.25" r="23" customHeight="1" ht="17.25">
      <c r="A23" s="20" t="s">
        <v>1411</v>
      </c>
      <c r="B23" s="20" t="s">
        <v>66</v>
      </c>
      <c r="C23" s="20" t="s">
        <v>56</v>
      </c>
      <c r="D23" s="20" t="s">
        <v>67</v>
      </c>
      <c r="E23" s="21">
        <f>ROUND(10094*1.05,2)</f>
      </c>
      <c r="F23" s="20" t="s">
        <v>44</v>
      </c>
      <c r="G23" s="20" t="s">
        <v>30</v>
      </c>
      <c r="H23" s="21">
        <f>ROUND(RAND()*4+6,1)</f>
      </c>
      <c r="I23" s="20" t="s">
        <v>45</v>
      </c>
      <c r="J23" s="23">
        <f>ROUND(69*1,0)&amp;"%"</f>
      </c>
    </row>
    <row x14ac:dyDescent="0.25" r="24" customHeight="1" ht="17.25">
      <c r="A24" s="17" t="s">
        <v>1412</v>
      </c>
      <c r="B24" s="17" t="s">
        <v>69</v>
      </c>
      <c r="C24" s="17" t="s">
        <v>56</v>
      </c>
      <c r="D24" s="17" t="s">
        <v>16</v>
      </c>
      <c r="E24" s="18">
        <f>ROUND(7434*1.05,2)</f>
      </c>
      <c r="F24" s="17" t="s">
        <v>48</v>
      </c>
      <c r="G24" s="17" t="s">
        <v>18</v>
      </c>
      <c r="H24" s="18">
        <f>ROUND(RAND()*4+6,1)</f>
      </c>
      <c r="I24" s="17" t="s">
        <v>19</v>
      </c>
      <c r="J24" s="19">
        <f>ROUND(99*1,0)&amp;"%"</f>
      </c>
    </row>
    <row x14ac:dyDescent="0.25" r="25" customHeight="1" ht="17.25">
      <c r="A25" s="20" t="s">
        <v>1413</v>
      </c>
      <c r="B25" s="20" t="s">
        <v>71</v>
      </c>
      <c r="C25" s="20" t="s">
        <v>56</v>
      </c>
      <c r="D25" s="20" t="s">
        <v>22</v>
      </c>
      <c r="E25" s="21">
        <f>ROUND(6527*1.05,2)</f>
      </c>
      <c r="F25" s="20" t="s">
        <v>51</v>
      </c>
      <c r="G25" s="20" t="s">
        <v>24</v>
      </c>
      <c r="H25" s="21">
        <f>ROUND(RAND()*4+6,1)</f>
      </c>
      <c r="I25" s="20" t="s">
        <v>25</v>
      </c>
      <c r="J25" s="23">
        <f>ROUND(84*1,0)&amp;"%"</f>
      </c>
    </row>
    <row x14ac:dyDescent="0.25" r="26" customHeight="1" ht="17.25">
      <c r="A26" s="24" t="s">
        <v>72</v>
      </c>
      <c r="B26" s="24"/>
      <c r="C26" s="24"/>
      <c r="D26" s="24"/>
      <c r="E26" s="25">
        <v>8</v>
      </c>
      <c r="F26" s="9"/>
      <c r="G26" s="9"/>
      <c r="H26" s="10"/>
      <c r="I26" s="9"/>
      <c r="J26" s="9"/>
    </row>
    <row x14ac:dyDescent="0.25" r="27" customHeight="1" ht="17.25">
      <c r="A27" s="7"/>
      <c r="B27" s="7"/>
      <c r="C27" s="7"/>
      <c r="D27" s="7"/>
      <c r="E27" s="8"/>
      <c r="F27" s="9"/>
      <c r="G27" s="9"/>
      <c r="H27" s="10"/>
      <c r="I27" s="9"/>
      <c r="J27" s="9"/>
    </row>
    <row x14ac:dyDescent="0.25" r="28" customHeight="1" ht="17.25">
      <c r="A28" s="11" t="s">
        <v>1414</v>
      </c>
      <c r="B28" s="11"/>
      <c r="C28" s="11"/>
      <c r="D28" s="11"/>
      <c r="E28" s="12"/>
      <c r="F28" s="11"/>
      <c r="G28" s="11"/>
      <c r="H28" s="13"/>
      <c r="I28" s="11"/>
      <c r="J28" s="11"/>
    </row>
    <row x14ac:dyDescent="0.25" r="29" customHeight="1" ht="17.25">
      <c r="A29" s="14" t="s">
        <v>3</v>
      </c>
      <c r="B29" s="14" t="s">
        <v>4</v>
      </c>
      <c r="C29" s="14" t="s">
        <v>5</v>
      </c>
      <c r="D29" s="14" t="s">
        <v>6</v>
      </c>
      <c r="E29" s="15" t="s">
        <v>7</v>
      </c>
      <c r="F29" s="14" t="s">
        <v>8</v>
      </c>
      <c r="G29" s="14" t="s">
        <v>9</v>
      </c>
      <c r="H29" s="16" t="s">
        <v>10</v>
      </c>
      <c r="I29" s="14" t="s">
        <v>11</v>
      </c>
      <c r="J29" s="14" t="s">
        <v>12</v>
      </c>
    </row>
    <row x14ac:dyDescent="0.25" r="30" customHeight="1" ht="17.25">
      <c r="A30" s="17" t="s">
        <v>1415</v>
      </c>
      <c r="B30" s="17" t="s">
        <v>75</v>
      </c>
      <c r="C30" s="17" t="s">
        <v>76</v>
      </c>
      <c r="D30" s="17" t="s">
        <v>16</v>
      </c>
      <c r="E30" s="18">
        <f>ROUND(12370*1.05,2)</f>
      </c>
      <c r="F30" s="17" t="s">
        <v>17</v>
      </c>
      <c r="G30" s="17" t="s">
        <v>18</v>
      </c>
      <c r="H30" s="18">
        <f>ROUND(RAND()*4+6,1)</f>
      </c>
      <c r="I30" s="17" t="s">
        <v>19</v>
      </c>
      <c r="J30" s="19">
        <f>ROUND(81*1,0)&amp;"%"</f>
      </c>
    </row>
    <row x14ac:dyDescent="0.25" r="31" customHeight="1" ht="17.25">
      <c r="A31" s="20" t="s">
        <v>1416</v>
      </c>
      <c r="B31" s="20" t="s">
        <v>78</v>
      </c>
      <c r="C31" s="20" t="s">
        <v>76</v>
      </c>
      <c r="D31" s="20" t="s">
        <v>22</v>
      </c>
      <c r="E31" s="21">
        <f>ROUND(4304*1.05,2)</f>
      </c>
      <c r="F31" s="20" t="s">
        <v>23</v>
      </c>
      <c r="G31" s="20" t="s">
        <v>24</v>
      </c>
      <c r="H31" s="21">
        <f>ROUND(RAND()*4+6,1)</f>
      </c>
      <c r="I31" s="20" t="s">
        <v>25</v>
      </c>
      <c r="J31" s="23">
        <f>ROUND(63*1,0)&amp;"%"</f>
      </c>
    </row>
    <row x14ac:dyDescent="0.25" r="32" customHeight="1" ht="17.25">
      <c r="A32" s="17" t="s">
        <v>1417</v>
      </c>
      <c r="B32" s="17" t="s">
        <v>80</v>
      </c>
      <c r="C32" s="17" t="s">
        <v>76</v>
      </c>
      <c r="D32" s="17" t="s">
        <v>28</v>
      </c>
      <c r="E32" s="18">
        <f>ROUND(7361*1.05,2)</f>
      </c>
      <c r="F32" s="17" t="s">
        <v>29</v>
      </c>
      <c r="G32" s="17" t="s">
        <v>30</v>
      </c>
      <c r="H32" s="18">
        <f>ROUND(RAND()*4+6,1)</f>
      </c>
      <c r="I32" s="17" t="s">
        <v>31</v>
      </c>
      <c r="J32" s="19">
        <f>ROUND(85*1,0)&amp;"%"</f>
      </c>
    </row>
    <row x14ac:dyDescent="0.25" r="33" customHeight="1" ht="17.25">
      <c r="A33" s="20" t="s">
        <v>1418</v>
      </c>
      <c r="B33" s="20" t="s">
        <v>82</v>
      </c>
      <c r="C33" s="20" t="s">
        <v>76</v>
      </c>
      <c r="D33" s="20" t="s">
        <v>34</v>
      </c>
      <c r="E33" s="21">
        <f>ROUND(16989*1.05,2)</f>
      </c>
      <c r="F33" s="20" t="s">
        <v>35</v>
      </c>
      <c r="G33" s="20" t="s">
        <v>18</v>
      </c>
      <c r="H33" s="21">
        <f>ROUND(RAND()*4+6,1)</f>
      </c>
      <c r="I33" s="20" t="s">
        <v>36</v>
      </c>
      <c r="J33" s="23">
        <f>ROUND(89*1,0)&amp;"%"</f>
      </c>
    </row>
    <row x14ac:dyDescent="0.25" r="34" customHeight="1" ht="17.25">
      <c r="A34" s="17" t="s">
        <v>1419</v>
      </c>
      <c r="B34" s="17" t="s">
        <v>84</v>
      </c>
      <c r="C34" s="17" t="s">
        <v>76</v>
      </c>
      <c r="D34" s="17" t="s">
        <v>39</v>
      </c>
      <c r="E34" s="18">
        <f>ROUND(14719*1.05,2)</f>
      </c>
      <c r="F34" s="17" t="s">
        <v>40</v>
      </c>
      <c r="G34" s="17" t="s">
        <v>24</v>
      </c>
      <c r="H34" s="18">
        <f>ROUND(RAND()*4+6,1)</f>
      </c>
      <c r="I34" s="17" t="s">
        <v>41</v>
      </c>
      <c r="J34" s="19">
        <f>ROUND(87*1,0)&amp;"%"</f>
      </c>
    </row>
    <row x14ac:dyDescent="0.25" r="35" customHeight="1" ht="17.25">
      <c r="A35" s="20" t="s">
        <v>1420</v>
      </c>
      <c r="B35" s="20" t="s">
        <v>86</v>
      </c>
      <c r="C35" s="20" t="s">
        <v>76</v>
      </c>
      <c r="D35" s="20" t="s">
        <v>67</v>
      </c>
      <c r="E35" s="21">
        <f>ROUND(7755*1.05,2)</f>
      </c>
      <c r="F35" s="20" t="s">
        <v>44</v>
      </c>
      <c r="G35" s="20" t="s">
        <v>30</v>
      </c>
      <c r="H35" s="21">
        <f>ROUND(RAND()*4+6,1)</f>
      </c>
      <c r="I35" s="20" t="s">
        <v>45</v>
      </c>
      <c r="J35" s="23">
        <f>ROUND(77*1,0)&amp;"%"</f>
      </c>
    </row>
    <row x14ac:dyDescent="0.25" r="36" customHeight="1" ht="17.25">
      <c r="A36" s="17" t="s">
        <v>1421</v>
      </c>
      <c r="B36" s="17" t="s">
        <v>88</v>
      </c>
      <c r="C36" s="17" t="s">
        <v>76</v>
      </c>
      <c r="D36" s="17" t="s">
        <v>16</v>
      </c>
      <c r="E36" s="18">
        <f>ROUND(12898*1.05,2)</f>
      </c>
      <c r="F36" s="17" t="s">
        <v>48</v>
      </c>
      <c r="G36" s="17" t="s">
        <v>18</v>
      </c>
      <c r="H36" s="18">
        <f>ROUND(RAND()*4+6,1)</f>
      </c>
      <c r="I36" s="17" t="s">
        <v>19</v>
      </c>
      <c r="J36" s="19">
        <f>ROUND(90*1,0)&amp;"%"</f>
      </c>
    </row>
    <row x14ac:dyDescent="0.25" r="37" customHeight="1" ht="17.25">
      <c r="A37" s="20" t="s">
        <v>1422</v>
      </c>
      <c r="B37" s="20" t="s">
        <v>90</v>
      </c>
      <c r="C37" s="20" t="s">
        <v>76</v>
      </c>
      <c r="D37" s="20" t="s">
        <v>22</v>
      </c>
      <c r="E37" s="22">
        <f>ROUND(4680*1.05,2)</f>
      </c>
      <c r="F37" s="20" t="s">
        <v>51</v>
      </c>
      <c r="G37" s="20" t="s">
        <v>24</v>
      </c>
      <c r="H37" s="21">
        <f>ROUND(RAND()*4+6,1)</f>
      </c>
      <c r="I37" s="20" t="s">
        <v>25</v>
      </c>
      <c r="J37" s="23">
        <f>ROUND(72*1,0)&amp;"%"</f>
      </c>
    </row>
    <row x14ac:dyDescent="0.25" r="38" customHeight="1" ht="17.25">
      <c r="A38" s="24" t="s">
        <v>91</v>
      </c>
      <c r="B38" s="24"/>
      <c r="C38" s="24"/>
      <c r="D38" s="24"/>
      <c r="E38" s="25">
        <v>8</v>
      </c>
      <c r="F38" s="9"/>
      <c r="G38" s="9"/>
      <c r="H38" s="10"/>
      <c r="I38" s="9"/>
      <c r="J38" s="9"/>
    </row>
    <row x14ac:dyDescent="0.25" r="39" customHeight="1" ht="17.25">
      <c r="A39" s="7"/>
      <c r="B39" s="7"/>
      <c r="C39" s="7"/>
      <c r="D39" s="7"/>
      <c r="E39" s="8"/>
      <c r="F39" s="9"/>
      <c r="G39" s="9"/>
      <c r="H39" s="10"/>
      <c r="I39" s="9"/>
      <c r="J39" s="9"/>
    </row>
    <row x14ac:dyDescent="0.25" r="40" customHeight="1" ht="17.25">
      <c r="A40" s="11" t="s">
        <v>1423</v>
      </c>
      <c r="B40" s="11"/>
      <c r="C40" s="11"/>
      <c r="D40" s="11"/>
      <c r="E40" s="12"/>
      <c r="F40" s="11"/>
      <c r="G40" s="11"/>
      <c r="H40" s="13"/>
      <c r="I40" s="11"/>
      <c r="J40" s="11"/>
    </row>
    <row x14ac:dyDescent="0.25" r="41" customHeight="1" ht="17.25">
      <c r="A41" s="14" t="s">
        <v>3</v>
      </c>
      <c r="B41" s="14" t="s">
        <v>4</v>
      </c>
      <c r="C41" s="14" t="s">
        <v>5</v>
      </c>
      <c r="D41" s="14" t="s">
        <v>6</v>
      </c>
      <c r="E41" s="15" t="s">
        <v>7</v>
      </c>
      <c r="F41" s="14" t="s">
        <v>8</v>
      </c>
      <c r="G41" s="14" t="s">
        <v>9</v>
      </c>
      <c r="H41" s="16" t="s">
        <v>10</v>
      </c>
      <c r="I41" s="14" t="s">
        <v>11</v>
      </c>
      <c r="J41" s="14" t="s">
        <v>12</v>
      </c>
    </row>
    <row x14ac:dyDescent="0.25" r="42" customHeight="1" ht="17.25">
      <c r="A42" s="17" t="s">
        <v>1424</v>
      </c>
      <c r="B42" s="17" t="s">
        <v>94</v>
      </c>
      <c r="C42" s="17" t="s">
        <v>95</v>
      </c>
      <c r="D42" s="17" t="s">
        <v>16</v>
      </c>
      <c r="E42" s="18">
        <f>ROUND(17153*1.05,2)</f>
      </c>
      <c r="F42" s="17" t="s">
        <v>17</v>
      </c>
      <c r="G42" s="17" t="s">
        <v>18</v>
      </c>
      <c r="H42" s="18">
        <f>ROUND(RAND()*4+6,1)</f>
      </c>
      <c r="I42" s="17" t="s">
        <v>19</v>
      </c>
      <c r="J42" s="19">
        <f>ROUND(67*1,0)&amp;"%"</f>
      </c>
    </row>
    <row x14ac:dyDescent="0.25" r="43" customHeight="1" ht="17.25">
      <c r="A43" s="20" t="s">
        <v>1425</v>
      </c>
      <c r="B43" s="20" t="s">
        <v>97</v>
      </c>
      <c r="C43" s="20" t="s">
        <v>95</v>
      </c>
      <c r="D43" s="20" t="s">
        <v>22</v>
      </c>
      <c r="E43" s="21">
        <f>ROUND(14706*1.05,2)</f>
      </c>
      <c r="F43" s="20" t="s">
        <v>23</v>
      </c>
      <c r="G43" s="20" t="s">
        <v>24</v>
      </c>
      <c r="H43" s="21">
        <f>ROUND(RAND()*4+6,1)</f>
      </c>
      <c r="I43" s="20" t="s">
        <v>25</v>
      </c>
      <c r="J43" s="23">
        <f>ROUND(81*1,0)&amp;"%"</f>
      </c>
    </row>
    <row x14ac:dyDescent="0.25" r="44" customHeight="1" ht="17.25">
      <c r="A44" s="17" t="s">
        <v>1426</v>
      </c>
      <c r="B44" s="17" t="s">
        <v>99</v>
      </c>
      <c r="C44" s="17" t="s">
        <v>95</v>
      </c>
      <c r="D44" s="17" t="s">
        <v>28</v>
      </c>
      <c r="E44" s="18">
        <f>ROUND(8652*1.05,2)</f>
      </c>
      <c r="F44" s="17" t="s">
        <v>29</v>
      </c>
      <c r="G44" s="17" t="s">
        <v>30</v>
      </c>
      <c r="H44" s="26">
        <f>ROUND(RAND()*4+6,1)</f>
      </c>
      <c r="I44" s="17" t="s">
        <v>31</v>
      </c>
      <c r="J44" s="19">
        <f>ROUND(87*1,0)&amp;"%"</f>
      </c>
    </row>
    <row x14ac:dyDescent="0.25" r="45" customHeight="1" ht="17.25">
      <c r="A45" s="20" t="s">
        <v>1427</v>
      </c>
      <c r="B45" s="20" t="s">
        <v>101</v>
      </c>
      <c r="C45" s="20" t="s">
        <v>95</v>
      </c>
      <c r="D45" s="20" t="s">
        <v>34</v>
      </c>
      <c r="E45" s="21">
        <f>ROUND(14228*1.05,2)</f>
      </c>
      <c r="F45" s="20" t="s">
        <v>35</v>
      </c>
      <c r="G45" s="20" t="s">
        <v>18</v>
      </c>
      <c r="H45" s="22">
        <f>ROUND(RAND()*4+6,1)</f>
      </c>
      <c r="I45" s="20" t="s">
        <v>36</v>
      </c>
      <c r="J45" s="23">
        <f>ROUND(91*1,0)&amp;"%"</f>
      </c>
    </row>
    <row x14ac:dyDescent="0.25" r="46" customHeight="1" ht="17.25">
      <c r="A46" s="17" t="s">
        <v>1428</v>
      </c>
      <c r="B46" s="17" t="s">
        <v>103</v>
      </c>
      <c r="C46" s="17" t="s">
        <v>95</v>
      </c>
      <c r="D46" s="17" t="s">
        <v>39</v>
      </c>
      <c r="E46" s="18">
        <f>ROUND(10366*1.05,2)</f>
      </c>
      <c r="F46" s="17" t="s">
        <v>40</v>
      </c>
      <c r="G46" s="17" t="s">
        <v>24</v>
      </c>
      <c r="H46" s="18">
        <f>ROUND(RAND()*4+6,1)</f>
      </c>
      <c r="I46" s="17" t="s">
        <v>41</v>
      </c>
      <c r="J46" s="19">
        <f>ROUND(65*1,0)&amp;"%"</f>
      </c>
    </row>
    <row x14ac:dyDescent="0.25" r="47" customHeight="1" ht="17.25">
      <c r="A47" s="20" t="s">
        <v>1429</v>
      </c>
      <c r="B47" s="20" t="s">
        <v>105</v>
      </c>
      <c r="C47" s="20" t="s">
        <v>95</v>
      </c>
      <c r="D47" s="20" t="s">
        <v>67</v>
      </c>
      <c r="E47" s="21">
        <f>ROUND(12287*1.05,2)</f>
      </c>
      <c r="F47" s="20" t="s">
        <v>44</v>
      </c>
      <c r="G47" s="20" t="s">
        <v>30</v>
      </c>
      <c r="H47" s="21">
        <f>ROUND(RAND()*4+6,1)</f>
      </c>
      <c r="I47" s="20" t="s">
        <v>45</v>
      </c>
      <c r="J47" s="23">
        <f>ROUND(89*1,0)&amp;"%"</f>
      </c>
    </row>
    <row x14ac:dyDescent="0.25" r="48" customHeight="1" ht="17.25">
      <c r="A48" s="17" t="s">
        <v>1430</v>
      </c>
      <c r="B48" s="17" t="s">
        <v>107</v>
      </c>
      <c r="C48" s="17" t="s">
        <v>95</v>
      </c>
      <c r="D48" s="17" t="s">
        <v>16</v>
      </c>
      <c r="E48" s="18">
        <f>ROUND(10671*1.05,2)</f>
      </c>
      <c r="F48" s="17" t="s">
        <v>48</v>
      </c>
      <c r="G48" s="17" t="s">
        <v>18</v>
      </c>
      <c r="H48" s="18">
        <f>ROUND(RAND()*4+6,1)</f>
      </c>
      <c r="I48" s="17" t="s">
        <v>19</v>
      </c>
      <c r="J48" s="19">
        <f>ROUND(63*1,0)&amp;"%"</f>
      </c>
    </row>
    <row x14ac:dyDescent="0.25" r="49" customHeight="1" ht="17.25">
      <c r="A49" s="20" t="s">
        <v>1431</v>
      </c>
      <c r="B49" s="20" t="s">
        <v>109</v>
      </c>
      <c r="C49" s="20" t="s">
        <v>95</v>
      </c>
      <c r="D49" s="20" t="s">
        <v>22</v>
      </c>
      <c r="E49" s="21">
        <f>ROUND(4511*1.05,2)</f>
      </c>
      <c r="F49" s="20" t="s">
        <v>51</v>
      </c>
      <c r="G49" s="20" t="s">
        <v>24</v>
      </c>
      <c r="H49" s="22">
        <f>ROUND(RAND()*4+6,1)</f>
      </c>
      <c r="I49" s="20" t="s">
        <v>25</v>
      </c>
      <c r="J49" s="23">
        <f>ROUND(80*1,0)&amp;"%"</f>
      </c>
    </row>
    <row x14ac:dyDescent="0.25" r="50" customHeight="1" ht="17.25">
      <c r="A50" s="24" t="s">
        <v>110</v>
      </c>
      <c r="B50" s="24"/>
      <c r="C50" s="24"/>
      <c r="D50" s="24"/>
      <c r="E50" s="25">
        <v>8</v>
      </c>
      <c r="F50" s="9"/>
      <c r="G50" s="9"/>
      <c r="H50" s="10"/>
      <c r="I50" s="9"/>
      <c r="J50" s="9"/>
    </row>
    <row x14ac:dyDescent="0.25" r="51" customHeight="1" ht="17.25">
      <c r="A51" s="7"/>
      <c r="B51" s="7"/>
      <c r="C51" s="7"/>
      <c r="D51" s="7"/>
      <c r="E51" s="8"/>
      <c r="F51" s="9"/>
      <c r="G51" s="9"/>
      <c r="H51" s="10"/>
      <c r="I51" s="9"/>
      <c r="J51" s="9"/>
    </row>
    <row x14ac:dyDescent="0.25" r="52" customHeight="1" ht="17.25">
      <c r="A52" s="11" t="s">
        <v>1432</v>
      </c>
      <c r="B52" s="11"/>
      <c r="C52" s="11"/>
      <c r="D52" s="11"/>
      <c r="E52" s="12"/>
      <c r="F52" s="11"/>
      <c r="G52" s="11"/>
      <c r="H52" s="13"/>
      <c r="I52" s="11"/>
      <c r="J52" s="11"/>
    </row>
    <row x14ac:dyDescent="0.25" r="53" customHeight="1" ht="17.25">
      <c r="A53" s="14" t="s">
        <v>3</v>
      </c>
      <c r="B53" s="14" t="s">
        <v>4</v>
      </c>
      <c r="C53" s="14" t="s">
        <v>5</v>
      </c>
      <c r="D53" s="14" t="s">
        <v>6</v>
      </c>
      <c r="E53" s="15" t="s">
        <v>7</v>
      </c>
      <c r="F53" s="14" t="s">
        <v>8</v>
      </c>
      <c r="G53" s="14" t="s">
        <v>9</v>
      </c>
      <c r="H53" s="16" t="s">
        <v>10</v>
      </c>
      <c r="I53" s="14" t="s">
        <v>11</v>
      </c>
      <c r="J53" s="14" t="s">
        <v>12</v>
      </c>
    </row>
    <row x14ac:dyDescent="0.25" r="54" customHeight="1" ht="17.25">
      <c r="A54" s="17" t="s">
        <v>1433</v>
      </c>
      <c r="B54" s="17" t="s">
        <v>113</v>
      </c>
      <c r="C54" s="17" t="s">
        <v>114</v>
      </c>
      <c r="D54" s="17" t="s">
        <v>16</v>
      </c>
      <c r="E54" s="18">
        <f>ROUND(15589*1.05,2)</f>
      </c>
      <c r="F54" s="17" t="s">
        <v>17</v>
      </c>
      <c r="G54" s="17" t="s">
        <v>18</v>
      </c>
      <c r="H54" s="18">
        <f>ROUND(RAND()*4+6,1)</f>
      </c>
      <c r="I54" s="17" t="s">
        <v>19</v>
      </c>
      <c r="J54" s="19">
        <f>ROUND(96*1,0)&amp;"%"</f>
      </c>
    </row>
    <row x14ac:dyDescent="0.25" r="55" customHeight="1" ht="17.25">
      <c r="A55" s="20" t="s">
        <v>1434</v>
      </c>
      <c r="B55" s="20" t="s">
        <v>116</v>
      </c>
      <c r="C55" s="20" t="s">
        <v>114</v>
      </c>
      <c r="D55" s="20" t="s">
        <v>22</v>
      </c>
      <c r="E55" s="21">
        <f>ROUND(8119*1.05,2)</f>
      </c>
      <c r="F55" s="20" t="s">
        <v>23</v>
      </c>
      <c r="G55" s="20" t="s">
        <v>24</v>
      </c>
      <c r="H55" s="21">
        <f>ROUND(RAND()*4+6,1)</f>
      </c>
      <c r="I55" s="20" t="s">
        <v>25</v>
      </c>
      <c r="J55" s="23">
        <f>ROUND(65*1,0)&amp;"%"</f>
      </c>
    </row>
    <row x14ac:dyDescent="0.25" r="56" customHeight="1" ht="17.25">
      <c r="A56" s="17" t="s">
        <v>1435</v>
      </c>
      <c r="B56" s="17" t="s">
        <v>118</v>
      </c>
      <c r="C56" s="17" t="s">
        <v>114</v>
      </c>
      <c r="D56" s="17" t="s">
        <v>28</v>
      </c>
      <c r="E56" s="18">
        <f>ROUND(8019*1.05,2)</f>
      </c>
      <c r="F56" s="17" t="s">
        <v>29</v>
      </c>
      <c r="G56" s="17" t="s">
        <v>30</v>
      </c>
      <c r="H56" s="18">
        <f>ROUND(RAND()*4+6,1)</f>
      </c>
      <c r="I56" s="17" t="s">
        <v>31</v>
      </c>
      <c r="J56" s="19">
        <f>ROUND(95*1,0)&amp;"%"</f>
      </c>
    </row>
    <row x14ac:dyDescent="0.25" r="57" customHeight="1" ht="17.25">
      <c r="A57" s="20" t="s">
        <v>1436</v>
      </c>
      <c r="B57" s="20" t="s">
        <v>120</v>
      </c>
      <c r="C57" s="20" t="s">
        <v>114</v>
      </c>
      <c r="D57" s="20" t="s">
        <v>34</v>
      </c>
      <c r="E57" s="21">
        <f>ROUND(11429*1.05,2)</f>
      </c>
      <c r="F57" s="20" t="s">
        <v>35</v>
      </c>
      <c r="G57" s="20" t="s">
        <v>18</v>
      </c>
      <c r="H57" s="21">
        <f>ROUND(RAND()*4+6,1)</f>
      </c>
      <c r="I57" s="20" t="s">
        <v>36</v>
      </c>
      <c r="J57" s="23">
        <f>ROUND(64*1,0)&amp;"%"</f>
      </c>
    </row>
    <row x14ac:dyDescent="0.25" r="58" customHeight="1" ht="17.25">
      <c r="A58" s="17" t="s">
        <v>1437</v>
      </c>
      <c r="B58" s="17" t="s">
        <v>122</v>
      </c>
      <c r="C58" s="17" t="s">
        <v>114</v>
      </c>
      <c r="D58" s="17" t="s">
        <v>39</v>
      </c>
      <c r="E58" s="18">
        <f>ROUND(12954*1.05,2)</f>
      </c>
      <c r="F58" s="17" t="s">
        <v>40</v>
      </c>
      <c r="G58" s="17" t="s">
        <v>24</v>
      </c>
      <c r="H58" s="18">
        <f>ROUND(RAND()*4+6,1)</f>
      </c>
      <c r="I58" s="17" t="s">
        <v>41</v>
      </c>
      <c r="J58" s="19">
        <f>ROUND(83*1,0)&amp;"%"</f>
      </c>
    </row>
    <row x14ac:dyDescent="0.25" r="59" customHeight="1" ht="17.25">
      <c r="A59" s="20" t="s">
        <v>1438</v>
      </c>
      <c r="B59" s="20" t="s">
        <v>124</v>
      </c>
      <c r="C59" s="20" t="s">
        <v>114</v>
      </c>
      <c r="D59" s="20" t="s">
        <v>67</v>
      </c>
      <c r="E59" s="21">
        <f>ROUND(8845*1.05,2)</f>
      </c>
      <c r="F59" s="20" t="s">
        <v>44</v>
      </c>
      <c r="G59" s="20" t="s">
        <v>30</v>
      </c>
      <c r="H59" s="21">
        <f>ROUND(RAND()*4+6,1)</f>
      </c>
      <c r="I59" s="20" t="s">
        <v>45</v>
      </c>
      <c r="J59" s="23">
        <f>ROUND(78*1,0)&amp;"%"</f>
      </c>
    </row>
    <row x14ac:dyDescent="0.25" r="60" customHeight="1" ht="17.25">
      <c r="A60" s="17" t="s">
        <v>1439</v>
      </c>
      <c r="B60" s="17" t="s">
        <v>126</v>
      </c>
      <c r="C60" s="17" t="s">
        <v>114</v>
      </c>
      <c r="D60" s="17" t="s">
        <v>16</v>
      </c>
      <c r="E60" s="18">
        <f>ROUND(7510*1.05,2)</f>
      </c>
      <c r="F60" s="17" t="s">
        <v>48</v>
      </c>
      <c r="G60" s="17" t="s">
        <v>18</v>
      </c>
      <c r="H60" s="18">
        <f>ROUND(RAND()*4+6,1)</f>
      </c>
      <c r="I60" s="17" t="s">
        <v>19</v>
      </c>
      <c r="J60" s="19">
        <f>ROUND(74*1,0)&amp;"%"</f>
      </c>
    </row>
    <row x14ac:dyDescent="0.25" r="61" customHeight="1" ht="17.25">
      <c r="A61" s="20" t="s">
        <v>1440</v>
      </c>
      <c r="B61" s="20" t="s">
        <v>128</v>
      </c>
      <c r="C61" s="20" t="s">
        <v>114</v>
      </c>
      <c r="D61" s="20" t="s">
        <v>22</v>
      </c>
      <c r="E61" s="21">
        <f>ROUND(16148*1.05,2)</f>
      </c>
      <c r="F61" s="20" t="s">
        <v>51</v>
      </c>
      <c r="G61" s="20" t="s">
        <v>24</v>
      </c>
      <c r="H61" s="21">
        <f>ROUND(RAND()*4+6,1)</f>
      </c>
      <c r="I61" s="20" t="s">
        <v>25</v>
      </c>
      <c r="J61" s="23">
        <f>ROUND(60*1,0)&amp;"%"</f>
      </c>
    </row>
    <row x14ac:dyDescent="0.25" r="62" customHeight="1" ht="17.25">
      <c r="A62" s="24" t="s">
        <v>129</v>
      </c>
      <c r="B62" s="24"/>
      <c r="C62" s="24"/>
      <c r="D62" s="24"/>
      <c r="E62" s="25">
        <v>8</v>
      </c>
      <c r="F62" s="9"/>
      <c r="G62" s="9"/>
      <c r="H62" s="10"/>
      <c r="I62" s="9"/>
      <c r="J62" s="9"/>
    </row>
    <row x14ac:dyDescent="0.25" r="63" customHeight="1" ht="17.25">
      <c r="A63" s="7"/>
      <c r="B63" s="7"/>
      <c r="C63" s="7"/>
      <c r="D63" s="7"/>
      <c r="E63" s="8"/>
      <c r="F63" s="9"/>
      <c r="G63" s="9"/>
      <c r="H63" s="10"/>
      <c r="I63" s="9"/>
      <c r="J63" s="9"/>
    </row>
    <row x14ac:dyDescent="0.25" r="64" customHeight="1" ht="17.25">
      <c r="A64" s="11" t="s">
        <v>1441</v>
      </c>
      <c r="B64" s="11"/>
      <c r="C64" s="11"/>
      <c r="D64" s="11"/>
      <c r="E64" s="12"/>
      <c r="F64" s="11"/>
      <c r="G64" s="11"/>
      <c r="H64" s="13"/>
      <c r="I64" s="11"/>
      <c r="J64" s="11"/>
    </row>
    <row x14ac:dyDescent="0.25" r="65" customHeight="1" ht="17.25">
      <c r="A65" s="14" t="s">
        <v>3</v>
      </c>
      <c r="B65" s="14" t="s">
        <v>4</v>
      </c>
      <c r="C65" s="14" t="s">
        <v>5</v>
      </c>
      <c r="D65" s="14" t="s">
        <v>6</v>
      </c>
      <c r="E65" s="15" t="s">
        <v>7</v>
      </c>
      <c r="F65" s="14" t="s">
        <v>8</v>
      </c>
      <c r="G65" s="14" t="s">
        <v>9</v>
      </c>
      <c r="H65" s="16" t="s">
        <v>10</v>
      </c>
      <c r="I65" s="14" t="s">
        <v>11</v>
      </c>
      <c r="J65" s="14" t="s">
        <v>12</v>
      </c>
    </row>
    <row x14ac:dyDescent="0.25" r="66" customHeight="1" ht="17.25">
      <c r="A66" s="17" t="s">
        <v>1442</v>
      </c>
      <c r="B66" s="17" t="s">
        <v>132</v>
      </c>
      <c r="C66" s="17" t="s">
        <v>133</v>
      </c>
      <c r="D66" s="17" t="s">
        <v>16</v>
      </c>
      <c r="E66" s="18">
        <f>ROUND(5706*1.05,2)</f>
      </c>
      <c r="F66" s="17" t="s">
        <v>17</v>
      </c>
      <c r="G66" s="17" t="s">
        <v>18</v>
      </c>
      <c r="H66" s="18">
        <f>ROUND(RAND()*4+6,1)</f>
      </c>
      <c r="I66" s="17" t="s">
        <v>19</v>
      </c>
      <c r="J66" s="19">
        <f>ROUND(75*1,0)&amp;"%"</f>
      </c>
    </row>
    <row x14ac:dyDescent="0.25" r="67" customHeight="1" ht="17.25">
      <c r="A67" s="20" t="s">
        <v>1443</v>
      </c>
      <c r="B67" s="20" t="s">
        <v>135</v>
      </c>
      <c r="C67" s="20" t="s">
        <v>133</v>
      </c>
      <c r="D67" s="20" t="s">
        <v>22</v>
      </c>
      <c r="E67" s="21">
        <f>ROUND(9655*1.05,2)</f>
      </c>
      <c r="F67" s="20" t="s">
        <v>23</v>
      </c>
      <c r="G67" s="20" t="s">
        <v>24</v>
      </c>
      <c r="H67" s="21">
        <f>ROUND(RAND()*4+6,1)</f>
      </c>
      <c r="I67" s="20" t="s">
        <v>25</v>
      </c>
      <c r="J67" s="23">
        <f>ROUND(98*1,0)&amp;"%"</f>
      </c>
    </row>
    <row x14ac:dyDescent="0.25" r="68" customHeight="1" ht="17.25">
      <c r="A68" s="17" t="s">
        <v>1444</v>
      </c>
      <c r="B68" s="17" t="s">
        <v>137</v>
      </c>
      <c r="C68" s="17" t="s">
        <v>133</v>
      </c>
      <c r="D68" s="17" t="s">
        <v>28</v>
      </c>
      <c r="E68" s="18">
        <f>ROUND(16223*1.05,2)</f>
      </c>
      <c r="F68" s="17" t="s">
        <v>29</v>
      </c>
      <c r="G68" s="17" t="s">
        <v>30</v>
      </c>
      <c r="H68" s="18">
        <f>ROUND(RAND()*4+6,1)</f>
      </c>
      <c r="I68" s="17" t="s">
        <v>31</v>
      </c>
      <c r="J68" s="19">
        <f>ROUND(67*1,0)&amp;"%"</f>
      </c>
    </row>
    <row x14ac:dyDescent="0.25" r="69" customHeight="1" ht="17.25">
      <c r="A69" s="20" t="s">
        <v>1445</v>
      </c>
      <c r="B69" s="20" t="s">
        <v>139</v>
      </c>
      <c r="C69" s="20" t="s">
        <v>133</v>
      </c>
      <c r="D69" s="20" t="s">
        <v>34</v>
      </c>
      <c r="E69" s="21">
        <f>ROUND(16921*1.05,2)</f>
      </c>
      <c r="F69" s="20" t="s">
        <v>35</v>
      </c>
      <c r="G69" s="20" t="s">
        <v>18</v>
      </c>
      <c r="H69" s="21">
        <f>ROUND(RAND()*4+6,1)</f>
      </c>
      <c r="I69" s="20" t="s">
        <v>36</v>
      </c>
      <c r="J69" s="23">
        <f>ROUND(84*1,0)&amp;"%"</f>
      </c>
    </row>
    <row x14ac:dyDescent="0.25" r="70" customHeight="1" ht="17.25">
      <c r="A70" s="17" t="s">
        <v>1446</v>
      </c>
      <c r="B70" s="17" t="s">
        <v>141</v>
      </c>
      <c r="C70" s="17" t="s">
        <v>133</v>
      </c>
      <c r="D70" s="17" t="s">
        <v>39</v>
      </c>
      <c r="E70" s="18">
        <f>ROUND(17753*1.05,2)</f>
      </c>
      <c r="F70" s="17" t="s">
        <v>40</v>
      </c>
      <c r="G70" s="17" t="s">
        <v>24</v>
      </c>
      <c r="H70" s="18">
        <f>ROUND(RAND()*4+6,1)</f>
      </c>
      <c r="I70" s="17" t="s">
        <v>41</v>
      </c>
      <c r="J70" s="19">
        <f>ROUND(97*1,0)&amp;"%"</f>
      </c>
    </row>
    <row x14ac:dyDescent="0.25" r="71" customHeight="1" ht="17.25">
      <c r="A71" s="20" t="s">
        <v>1447</v>
      </c>
      <c r="B71" s="20" t="s">
        <v>143</v>
      </c>
      <c r="C71" s="20" t="s">
        <v>133</v>
      </c>
      <c r="D71" s="20" t="s">
        <v>67</v>
      </c>
      <c r="E71" s="21">
        <f>ROUND(6871*1.05,2)</f>
      </c>
      <c r="F71" s="20" t="s">
        <v>44</v>
      </c>
      <c r="G71" s="20" t="s">
        <v>30</v>
      </c>
      <c r="H71" s="21">
        <f>ROUND(RAND()*4+6,1)</f>
      </c>
      <c r="I71" s="20" t="s">
        <v>45</v>
      </c>
      <c r="J71" s="23">
        <f>ROUND(95*1,0)&amp;"%"</f>
      </c>
    </row>
    <row x14ac:dyDescent="0.25" r="72" customHeight="1" ht="17.25">
      <c r="A72" s="17" t="s">
        <v>1448</v>
      </c>
      <c r="B72" s="17" t="s">
        <v>145</v>
      </c>
      <c r="C72" s="17" t="s">
        <v>133</v>
      </c>
      <c r="D72" s="17" t="s">
        <v>16</v>
      </c>
      <c r="E72" s="18">
        <f>ROUND(13707*1.05,2)</f>
      </c>
      <c r="F72" s="17" t="s">
        <v>48</v>
      </c>
      <c r="G72" s="17" t="s">
        <v>18</v>
      </c>
      <c r="H72" s="18">
        <f>ROUND(RAND()*4+6,1)</f>
      </c>
      <c r="I72" s="17" t="s">
        <v>19</v>
      </c>
      <c r="J72" s="19">
        <f>ROUND(93*1,0)&amp;"%"</f>
      </c>
    </row>
    <row x14ac:dyDescent="0.25" r="73" customHeight="1" ht="17.25">
      <c r="A73" s="20" t="s">
        <v>1449</v>
      </c>
      <c r="B73" s="20" t="s">
        <v>147</v>
      </c>
      <c r="C73" s="20" t="s">
        <v>133</v>
      </c>
      <c r="D73" s="20" t="s">
        <v>22</v>
      </c>
      <c r="E73" s="22">
        <f>ROUND(16260*1.05,2)</f>
      </c>
      <c r="F73" s="20" t="s">
        <v>51</v>
      </c>
      <c r="G73" s="20" t="s">
        <v>24</v>
      </c>
      <c r="H73" s="21">
        <f>ROUND(RAND()*4+6,1)</f>
      </c>
      <c r="I73" s="20" t="s">
        <v>25</v>
      </c>
      <c r="J73" s="23">
        <f>ROUND(76*1,0)&amp;"%"</f>
      </c>
    </row>
    <row x14ac:dyDescent="0.25" r="74" customHeight="1" ht="17.25">
      <c r="A74" s="24" t="s">
        <v>148</v>
      </c>
      <c r="B74" s="24"/>
      <c r="C74" s="24"/>
      <c r="D74" s="24"/>
      <c r="E74" s="25">
        <v>8</v>
      </c>
      <c r="F74" s="9"/>
      <c r="G74" s="9"/>
      <c r="H74" s="10"/>
      <c r="I74" s="9"/>
      <c r="J74" s="9"/>
    </row>
    <row x14ac:dyDescent="0.25" r="75" customHeight="1" ht="17.25">
      <c r="A75" s="7"/>
      <c r="B75" s="7"/>
      <c r="C75" s="7"/>
      <c r="D75" s="7"/>
      <c r="E75" s="8"/>
      <c r="F75" s="9"/>
      <c r="G75" s="9"/>
      <c r="H75" s="10"/>
      <c r="I75" s="9"/>
      <c r="J75" s="9"/>
    </row>
    <row x14ac:dyDescent="0.25" r="76" customHeight="1" ht="17.25">
      <c r="A76" s="11" t="s">
        <v>1450</v>
      </c>
      <c r="B76" s="11"/>
      <c r="C76" s="11"/>
      <c r="D76" s="11"/>
      <c r="E76" s="12"/>
      <c r="F76" s="11"/>
      <c r="G76" s="11"/>
      <c r="H76" s="13"/>
      <c r="I76" s="11"/>
      <c r="J76" s="11"/>
    </row>
    <row x14ac:dyDescent="0.25" r="77" customHeight="1" ht="17.25">
      <c r="A77" s="14" t="s">
        <v>3</v>
      </c>
      <c r="B77" s="14" t="s">
        <v>4</v>
      </c>
      <c r="C77" s="14" t="s">
        <v>5</v>
      </c>
      <c r="D77" s="14" t="s">
        <v>6</v>
      </c>
      <c r="E77" s="15" t="s">
        <v>7</v>
      </c>
      <c r="F77" s="14" t="s">
        <v>8</v>
      </c>
      <c r="G77" s="14" t="s">
        <v>9</v>
      </c>
      <c r="H77" s="16" t="s">
        <v>10</v>
      </c>
      <c r="I77" s="14" t="s">
        <v>11</v>
      </c>
      <c r="J77" s="14" t="s">
        <v>12</v>
      </c>
    </row>
    <row x14ac:dyDescent="0.25" r="78" customHeight="1" ht="17.25">
      <c r="A78" s="17" t="s">
        <v>1451</v>
      </c>
      <c r="B78" s="17" t="s">
        <v>151</v>
      </c>
      <c r="C78" s="17" t="s">
        <v>152</v>
      </c>
      <c r="D78" s="17" t="s">
        <v>16</v>
      </c>
      <c r="E78" s="18">
        <f>ROUND(4397*1.05,2)</f>
      </c>
      <c r="F78" s="17" t="s">
        <v>17</v>
      </c>
      <c r="G78" s="17" t="s">
        <v>18</v>
      </c>
      <c r="H78" s="26">
        <f>ROUND(RAND()*4+6,1)</f>
      </c>
      <c r="I78" s="17" t="s">
        <v>19</v>
      </c>
      <c r="J78" s="19">
        <f>ROUND(67*1,0)&amp;"%"</f>
      </c>
    </row>
    <row x14ac:dyDescent="0.25" r="79" customHeight="1" ht="17.25">
      <c r="A79" s="20" t="s">
        <v>1452</v>
      </c>
      <c r="B79" s="20" t="s">
        <v>154</v>
      </c>
      <c r="C79" s="20" t="s">
        <v>152</v>
      </c>
      <c r="D79" s="20" t="s">
        <v>22</v>
      </c>
      <c r="E79" s="21">
        <f>ROUND(15806*1.05,2)</f>
      </c>
      <c r="F79" s="20" t="s">
        <v>23</v>
      </c>
      <c r="G79" s="20" t="s">
        <v>24</v>
      </c>
      <c r="H79" s="21">
        <f>ROUND(RAND()*4+6,1)</f>
      </c>
      <c r="I79" s="20" t="s">
        <v>25</v>
      </c>
      <c r="J79" s="23">
        <f>ROUND(88*1,0)&amp;"%"</f>
      </c>
    </row>
    <row x14ac:dyDescent="0.25" r="80" customHeight="1" ht="17.25">
      <c r="A80" s="17" t="s">
        <v>1453</v>
      </c>
      <c r="B80" s="17" t="s">
        <v>156</v>
      </c>
      <c r="C80" s="17" t="s">
        <v>152</v>
      </c>
      <c r="D80" s="17" t="s">
        <v>28</v>
      </c>
      <c r="E80" s="18">
        <f>ROUND(5464*1.05,2)</f>
      </c>
      <c r="F80" s="17" t="s">
        <v>29</v>
      </c>
      <c r="G80" s="17" t="s">
        <v>30</v>
      </c>
      <c r="H80" s="18">
        <f>ROUND(RAND()*4+6,1)</f>
      </c>
      <c r="I80" s="17" t="s">
        <v>31</v>
      </c>
      <c r="J80" s="19">
        <f>ROUND(60*1,0)&amp;"%"</f>
      </c>
    </row>
    <row x14ac:dyDescent="0.25" r="81" customHeight="1" ht="17.25">
      <c r="A81" s="20" t="s">
        <v>1454</v>
      </c>
      <c r="B81" s="20" t="s">
        <v>158</v>
      </c>
      <c r="C81" s="20" t="s">
        <v>152</v>
      </c>
      <c r="D81" s="20" t="s">
        <v>34</v>
      </c>
      <c r="E81" s="21">
        <f>ROUND(13068*1.05,2)</f>
      </c>
      <c r="F81" s="20" t="s">
        <v>35</v>
      </c>
      <c r="G81" s="20" t="s">
        <v>18</v>
      </c>
      <c r="H81" s="21">
        <f>ROUND(RAND()*4+6,1)</f>
      </c>
      <c r="I81" s="20" t="s">
        <v>36</v>
      </c>
      <c r="J81" s="23">
        <f>ROUND(91*1,0)&amp;"%"</f>
      </c>
    </row>
    <row x14ac:dyDescent="0.25" r="82" customHeight="1" ht="17.25">
      <c r="A82" s="17" t="s">
        <v>1455</v>
      </c>
      <c r="B82" s="17" t="s">
        <v>160</v>
      </c>
      <c r="C82" s="17" t="s">
        <v>152</v>
      </c>
      <c r="D82" s="17" t="s">
        <v>39</v>
      </c>
      <c r="E82" s="18">
        <f>ROUND(6988*1.05,2)</f>
      </c>
      <c r="F82" s="17" t="s">
        <v>40</v>
      </c>
      <c r="G82" s="17" t="s">
        <v>24</v>
      </c>
      <c r="H82" s="18">
        <f>ROUND(RAND()*4+6,1)</f>
      </c>
      <c r="I82" s="17" t="s">
        <v>41</v>
      </c>
      <c r="J82" s="19">
        <f>ROUND(82*1,0)&amp;"%"</f>
      </c>
    </row>
    <row x14ac:dyDescent="0.25" r="83" customHeight="1" ht="17.25">
      <c r="A83" s="20" t="s">
        <v>1456</v>
      </c>
      <c r="B83" s="20" t="s">
        <v>162</v>
      </c>
      <c r="C83" s="20" t="s">
        <v>152</v>
      </c>
      <c r="D83" s="20" t="s">
        <v>67</v>
      </c>
      <c r="E83" s="21">
        <f>ROUND(13961*1.05,2)</f>
      </c>
      <c r="F83" s="20" t="s">
        <v>44</v>
      </c>
      <c r="G83" s="20" t="s">
        <v>30</v>
      </c>
      <c r="H83" s="21">
        <f>ROUND(RAND()*4+6,1)</f>
      </c>
      <c r="I83" s="20" t="s">
        <v>45</v>
      </c>
      <c r="J83" s="23">
        <f>ROUND(70*1,0)&amp;"%"</f>
      </c>
    </row>
    <row x14ac:dyDescent="0.25" r="84" customHeight="1" ht="17.25">
      <c r="A84" s="17" t="s">
        <v>1457</v>
      </c>
      <c r="B84" s="17" t="s">
        <v>164</v>
      </c>
      <c r="C84" s="17" t="s">
        <v>152</v>
      </c>
      <c r="D84" s="17" t="s">
        <v>16</v>
      </c>
      <c r="E84" s="18">
        <f>ROUND(13584*1.05,2)</f>
      </c>
      <c r="F84" s="17" t="s">
        <v>48</v>
      </c>
      <c r="G84" s="17" t="s">
        <v>18</v>
      </c>
      <c r="H84" s="18">
        <f>ROUND(RAND()*4+6,1)</f>
      </c>
      <c r="I84" s="17" t="s">
        <v>19</v>
      </c>
      <c r="J84" s="19">
        <f>ROUND(82*1,0)&amp;"%"</f>
      </c>
    </row>
    <row x14ac:dyDescent="0.25" r="85" customHeight="1" ht="17.25">
      <c r="A85" s="20" t="s">
        <v>1458</v>
      </c>
      <c r="B85" s="20" t="s">
        <v>166</v>
      </c>
      <c r="C85" s="20" t="s">
        <v>152</v>
      </c>
      <c r="D85" s="20" t="s">
        <v>22</v>
      </c>
      <c r="E85" s="21">
        <f>ROUND(14383*1.05,2)</f>
      </c>
      <c r="F85" s="20" t="s">
        <v>51</v>
      </c>
      <c r="G85" s="20" t="s">
        <v>24</v>
      </c>
      <c r="H85" s="21">
        <f>ROUND(RAND()*4+6,1)</f>
      </c>
      <c r="I85" s="20" t="s">
        <v>25</v>
      </c>
      <c r="J85" s="23">
        <f>ROUND(85*1,0)&amp;"%"</f>
      </c>
    </row>
    <row x14ac:dyDescent="0.25" r="86" customHeight="1" ht="17.25">
      <c r="A86" s="24" t="s">
        <v>167</v>
      </c>
      <c r="B86" s="24"/>
      <c r="C86" s="24"/>
      <c r="D86" s="24"/>
      <c r="E86" s="25">
        <v>8</v>
      </c>
      <c r="F86" s="9"/>
      <c r="G86" s="9"/>
      <c r="H86" s="10"/>
      <c r="I86" s="9"/>
      <c r="J86" s="9"/>
    </row>
    <row x14ac:dyDescent="0.25" r="87" customHeight="1" ht="17.25">
      <c r="A87" s="7"/>
      <c r="B87" s="7"/>
      <c r="C87" s="7"/>
      <c r="D87" s="7"/>
      <c r="E87" s="8"/>
      <c r="F87" s="9"/>
      <c r="G87" s="9"/>
      <c r="H87" s="10"/>
      <c r="I87" s="9"/>
      <c r="J87" s="9"/>
    </row>
    <row x14ac:dyDescent="0.25" r="88" customHeight="1" ht="17.25">
      <c r="A88" s="11" t="s">
        <v>1459</v>
      </c>
      <c r="B88" s="11"/>
      <c r="C88" s="11"/>
      <c r="D88" s="11"/>
      <c r="E88" s="12"/>
      <c r="F88" s="11"/>
      <c r="G88" s="11"/>
      <c r="H88" s="13"/>
      <c r="I88" s="11"/>
      <c r="J88" s="11"/>
    </row>
    <row x14ac:dyDescent="0.25" r="89" customHeight="1" ht="17.25">
      <c r="A89" s="14" t="s">
        <v>3</v>
      </c>
      <c r="B89" s="14" t="s">
        <v>4</v>
      </c>
      <c r="C89" s="14" t="s">
        <v>5</v>
      </c>
      <c r="D89" s="14" t="s">
        <v>6</v>
      </c>
      <c r="E89" s="15" t="s">
        <v>7</v>
      </c>
      <c r="F89" s="14" t="s">
        <v>8</v>
      </c>
      <c r="G89" s="14" t="s">
        <v>9</v>
      </c>
      <c r="H89" s="16" t="s">
        <v>10</v>
      </c>
      <c r="I89" s="14" t="s">
        <v>11</v>
      </c>
      <c r="J89" s="14" t="s">
        <v>12</v>
      </c>
    </row>
    <row x14ac:dyDescent="0.25" r="90" customHeight="1" ht="17.25">
      <c r="A90" s="17" t="s">
        <v>1460</v>
      </c>
      <c r="B90" s="17" t="s">
        <v>170</v>
      </c>
      <c r="C90" s="17" t="s">
        <v>15</v>
      </c>
      <c r="D90" s="17" t="s">
        <v>16</v>
      </c>
      <c r="E90" s="18">
        <f>ROUND(16095*1.05,2)</f>
      </c>
      <c r="F90" s="17" t="s">
        <v>17</v>
      </c>
      <c r="G90" s="17" t="s">
        <v>18</v>
      </c>
      <c r="H90" s="18">
        <f>ROUND(RAND()*4+6,1)</f>
      </c>
      <c r="I90" s="17" t="s">
        <v>19</v>
      </c>
      <c r="J90" s="19">
        <f>ROUND(85*1,0)&amp;"%"</f>
      </c>
    </row>
    <row x14ac:dyDescent="0.25" r="91" customHeight="1" ht="17.25">
      <c r="A91" s="20" t="s">
        <v>1461</v>
      </c>
      <c r="B91" s="20" t="s">
        <v>172</v>
      </c>
      <c r="C91" s="20" t="s">
        <v>15</v>
      </c>
      <c r="D91" s="20" t="s">
        <v>22</v>
      </c>
      <c r="E91" s="21">
        <f>ROUND(14882*1.05,2)</f>
      </c>
      <c r="F91" s="20" t="s">
        <v>23</v>
      </c>
      <c r="G91" s="20" t="s">
        <v>24</v>
      </c>
      <c r="H91" s="21">
        <f>ROUND(RAND()*4+6,1)</f>
      </c>
      <c r="I91" s="20" t="s">
        <v>25</v>
      </c>
      <c r="J91" s="23">
        <f>ROUND(97*1,0)&amp;"%"</f>
      </c>
    </row>
    <row x14ac:dyDescent="0.25" r="92" customHeight="1" ht="17.25">
      <c r="A92" s="17" t="s">
        <v>1462</v>
      </c>
      <c r="B92" s="17" t="s">
        <v>174</v>
      </c>
      <c r="C92" s="17" t="s">
        <v>15</v>
      </c>
      <c r="D92" s="17" t="s">
        <v>28</v>
      </c>
      <c r="E92" s="18">
        <f>ROUND(16515*1.05,2)</f>
      </c>
      <c r="F92" s="17" t="s">
        <v>29</v>
      </c>
      <c r="G92" s="17" t="s">
        <v>30</v>
      </c>
      <c r="H92" s="26">
        <f>ROUND(RAND()*4+6,1)</f>
      </c>
      <c r="I92" s="17" t="s">
        <v>31</v>
      </c>
      <c r="J92" s="19">
        <f>ROUND(63*1,0)&amp;"%"</f>
      </c>
    </row>
    <row x14ac:dyDescent="0.25" r="93" customHeight="1" ht="17.25">
      <c r="A93" s="20" t="s">
        <v>1463</v>
      </c>
      <c r="B93" s="20" t="s">
        <v>176</v>
      </c>
      <c r="C93" s="20" t="s">
        <v>15</v>
      </c>
      <c r="D93" s="20" t="s">
        <v>34</v>
      </c>
      <c r="E93" s="21">
        <f>ROUND(16525*1.05,2)</f>
      </c>
      <c r="F93" s="20" t="s">
        <v>35</v>
      </c>
      <c r="G93" s="20" t="s">
        <v>18</v>
      </c>
      <c r="H93" s="21">
        <f>ROUND(RAND()*4+6,1)</f>
      </c>
      <c r="I93" s="20" t="s">
        <v>36</v>
      </c>
      <c r="J93" s="23">
        <f>ROUND(84*1,0)&amp;"%"</f>
      </c>
    </row>
    <row x14ac:dyDescent="0.25" r="94" customHeight="1" ht="17.25">
      <c r="A94" s="17" t="s">
        <v>1464</v>
      </c>
      <c r="B94" s="17" t="s">
        <v>178</v>
      </c>
      <c r="C94" s="17" t="s">
        <v>15</v>
      </c>
      <c r="D94" s="17" t="s">
        <v>39</v>
      </c>
      <c r="E94" s="18">
        <f>ROUND(9739*1.05,2)</f>
      </c>
      <c r="F94" s="17" t="s">
        <v>40</v>
      </c>
      <c r="G94" s="17" t="s">
        <v>24</v>
      </c>
      <c r="H94" s="26">
        <f>ROUND(RAND()*4+6,1)</f>
      </c>
      <c r="I94" s="17" t="s">
        <v>41</v>
      </c>
      <c r="J94" s="19">
        <f>ROUND(62*1,0)&amp;"%"</f>
      </c>
    </row>
    <row x14ac:dyDescent="0.25" r="95" customHeight="1" ht="17.25">
      <c r="A95" s="20" t="s">
        <v>1465</v>
      </c>
      <c r="B95" s="20" t="s">
        <v>180</v>
      </c>
      <c r="C95" s="20" t="s">
        <v>15</v>
      </c>
      <c r="D95" s="20" t="s">
        <v>67</v>
      </c>
      <c r="E95" s="21">
        <f>ROUND(7452*1.05,2)</f>
      </c>
      <c r="F95" s="20" t="s">
        <v>44</v>
      </c>
      <c r="G95" s="20" t="s">
        <v>30</v>
      </c>
      <c r="H95" s="21">
        <f>ROUND(RAND()*4+6,1)</f>
      </c>
      <c r="I95" s="20" t="s">
        <v>45</v>
      </c>
      <c r="J95" s="23">
        <f>ROUND(99*1,0)&amp;"%"</f>
      </c>
    </row>
    <row x14ac:dyDescent="0.25" r="96" customHeight="1" ht="17.25">
      <c r="A96" s="17" t="s">
        <v>1466</v>
      </c>
      <c r="B96" s="17" t="s">
        <v>182</v>
      </c>
      <c r="C96" s="17" t="s">
        <v>15</v>
      </c>
      <c r="D96" s="17" t="s">
        <v>16</v>
      </c>
      <c r="E96" s="18">
        <f>ROUND(14451*1.05,2)</f>
      </c>
      <c r="F96" s="17" t="s">
        <v>48</v>
      </c>
      <c r="G96" s="17" t="s">
        <v>18</v>
      </c>
      <c r="H96" s="18">
        <f>ROUND(RAND()*4+6,1)</f>
      </c>
      <c r="I96" s="17" t="s">
        <v>19</v>
      </c>
      <c r="J96" s="19">
        <f>ROUND(78*1,0)&amp;"%"</f>
      </c>
    </row>
    <row x14ac:dyDescent="0.25" r="97" customHeight="1" ht="17.25">
      <c r="A97" s="20" t="s">
        <v>1467</v>
      </c>
      <c r="B97" s="20" t="s">
        <v>184</v>
      </c>
      <c r="C97" s="20" t="s">
        <v>15</v>
      </c>
      <c r="D97" s="20" t="s">
        <v>22</v>
      </c>
      <c r="E97" s="21">
        <f>ROUND(15910*1.05,2)</f>
      </c>
      <c r="F97" s="20" t="s">
        <v>51</v>
      </c>
      <c r="G97" s="20" t="s">
        <v>24</v>
      </c>
      <c r="H97" s="22">
        <f>ROUND(RAND()*4+6,1)</f>
      </c>
      <c r="I97" s="20" t="s">
        <v>25</v>
      </c>
      <c r="J97" s="23">
        <f>ROUND(65*1,0)&amp;"%"</f>
      </c>
    </row>
    <row x14ac:dyDescent="0.25" r="98" customHeight="1" ht="17.25">
      <c r="A98" s="24" t="s">
        <v>185</v>
      </c>
      <c r="B98" s="24"/>
      <c r="C98" s="24"/>
      <c r="D98" s="24"/>
      <c r="E98" s="25">
        <v>8</v>
      </c>
      <c r="F98" s="9"/>
      <c r="G98" s="9"/>
      <c r="H98" s="10"/>
      <c r="I98" s="9"/>
      <c r="J98" s="9"/>
    </row>
    <row x14ac:dyDescent="0.25" r="99" customHeight="1" ht="17.25">
      <c r="A99" s="7"/>
      <c r="B99" s="7"/>
      <c r="C99" s="7"/>
      <c r="D99" s="7"/>
      <c r="E99" s="8"/>
      <c r="F99" s="9"/>
      <c r="G99" s="9"/>
      <c r="H99" s="10"/>
      <c r="I99" s="9"/>
      <c r="J99" s="9"/>
    </row>
    <row x14ac:dyDescent="0.25" r="100" customHeight="1" ht="17.25">
      <c r="A100" s="11" t="s">
        <v>1468</v>
      </c>
      <c r="B100" s="11"/>
      <c r="C100" s="11"/>
      <c r="D100" s="11"/>
      <c r="E100" s="12"/>
      <c r="F100" s="11"/>
      <c r="G100" s="11"/>
      <c r="H100" s="13"/>
      <c r="I100" s="11"/>
      <c r="J100" s="11"/>
    </row>
    <row x14ac:dyDescent="0.25" r="101" customHeight="1" ht="17.25">
      <c r="A101" s="14" t="s">
        <v>3</v>
      </c>
      <c r="B101" s="14" t="s">
        <v>4</v>
      </c>
      <c r="C101" s="14" t="s">
        <v>5</v>
      </c>
      <c r="D101" s="14" t="s">
        <v>6</v>
      </c>
      <c r="E101" s="15" t="s">
        <v>7</v>
      </c>
      <c r="F101" s="14" t="s">
        <v>8</v>
      </c>
      <c r="G101" s="14" t="s">
        <v>9</v>
      </c>
      <c r="H101" s="16" t="s">
        <v>10</v>
      </c>
      <c r="I101" s="14" t="s">
        <v>11</v>
      </c>
      <c r="J101" s="14" t="s">
        <v>12</v>
      </c>
    </row>
    <row x14ac:dyDescent="0.25" r="102" customHeight="1" ht="17.25">
      <c r="A102" s="17" t="s">
        <v>1469</v>
      </c>
      <c r="B102" s="17" t="s">
        <v>188</v>
      </c>
      <c r="C102" s="17" t="s">
        <v>56</v>
      </c>
      <c r="D102" s="17" t="s">
        <v>16</v>
      </c>
      <c r="E102" s="26">
        <f>ROUND(14080*1.05,2)</f>
      </c>
      <c r="F102" s="17" t="s">
        <v>17</v>
      </c>
      <c r="G102" s="17" t="s">
        <v>18</v>
      </c>
      <c r="H102" s="26">
        <f>ROUND(RAND()*4+6,1)</f>
      </c>
      <c r="I102" s="17" t="s">
        <v>19</v>
      </c>
      <c r="J102" s="19">
        <f>ROUND(64*1,0)&amp;"%"</f>
      </c>
    </row>
    <row x14ac:dyDescent="0.25" r="103" customHeight="1" ht="17.25">
      <c r="A103" s="20" t="s">
        <v>1470</v>
      </c>
      <c r="B103" s="20" t="s">
        <v>190</v>
      </c>
      <c r="C103" s="20" t="s">
        <v>56</v>
      </c>
      <c r="D103" s="20" t="s">
        <v>22</v>
      </c>
      <c r="E103" s="21">
        <f>ROUND(11868*1.05,2)</f>
      </c>
      <c r="F103" s="20" t="s">
        <v>23</v>
      </c>
      <c r="G103" s="20" t="s">
        <v>24</v>
      </c>
      <c r="H103" s="21">
        <f>ROUND(RAND()*4+6,1)</f>
      </c>
      <c r="I103" s="20" t="s">
        <v>25</v>
      </c>
      <c r="J103" s="23">
        <f>ROUND(77*1,0)&amp;"%"</f>
      </c>
    </row>
    <row x14ac:dyDescent="0.25" r="104" customHeight="1" ht="17.25">
      <c r="A104" s="17" t="s">
        <v>1471</v>
      </c>
      <c r="B104" s="17" t="s">
        <v>192</v>
      </c>
      <c r="C104" s="17" t="s">
        <v>56</v>
      </c>
      <c r="D104" s="17" t="s">
        <v>28</v>
      </c>
      <c r="E104" s="18">
        <f>ROUND(13494*1.05,2)</f>
      </c>
      <c r="F104" s="17" t="s">
        <v>29</v>
      </c>
      <c r="G104" s="17" t="s">
        <v>30</v>
      </c>
      <c r="H104" s="18">
        <f>ROUND(RAND()*4+6,1)</f>
      </c>
      <c r="I104" s="17" t="s">
        <v>31</v>
      </c>
      <c r="J104" s="19">
        <f>ROUND(83*1,0)&amp;"%"</f>
      </c>
    </row>
    <row x14ac:dyDescent="0.25" r="105" customHeight="1" ht="17.25">
      <c r="A105" s="20" t="s">
        <v>1472</v>
      </c>
      <c r="B105" s="20" t="s">
        <v>194</v>
      </c>
      <c r="C105" s="20" t="s">
        <v>56</v>
      </c>
      <c r="D105" s="20" t="s">
        <v>34</v>
      </c>
      <c r="E105" s="21">
        <f>ROUND(17328*1.05,2)</f>
      </c>
      <c r="F105" s="20" t="s">
        <v>35</v>
      </c>
      <c r="G105" s="20" t="s">
        <v>18</v>
      </c>
      <c r="H105" s="21">
        <f>ROUND(RAND()*4+6,1)</f>
      </c>
      <c r="I105" s="20" t="s">
        <v>36</v>
      </c>
      <c r="J105" s="23">
        <f>ROUND(61*1,0)&amp;"%"</f>
      </c>
    </row>
    <row x14ac:dyDescent="0.25" r="106" customHeight="1" ht="17.25">
      <c r="A106" s="17" t="s">
        <v>1473</v>
      </c>
      <c r="B106" s="17" t="s">
        <v>196</v>
      </c>
      <c r="C106" s="17" t="s">
        <v>56</v>
      </c>
      <c r="D106" s="17" t="s">
        <v>39</v>
      </c>
      <c r="E106" s="18">
        <f>ROUND(11809*1.05,2)</f>
      </c>
      <c r="F106" s="17" t="s">
        <v>40</v>
      </c>
      <c r="G106" s="17" t="s">
        <v>24</v>
      </c>
      <c r="H106" s="18">
        <f>ROUND(RAND()*4+6,1)</f>
      </c>
      <c r="I106" s="17" t="s">
        <v>41</v>
      </c>
      <c r="J106" s="19">
        <f>ROUND(83*1,0)&amp;"%"</f>
      </c>
    </row>
    <row x14ac:dyDescent="0.25" r="107" customHeight="1" ht="17.25">
      <c r="A107" s="20" t="s">
        <v>1474</v>
      </c>
      <c r="B107" s="20" t="s">
        <v>198</v>
      </c>
      <c r="C107" s="20" t="s">
        <v>56</v>
      </c>
      <c r="D107" s="20" t="s">
        <v>67</v>
      </c>
      <c r="E107" s="22">
        <f>ROUND(7640*1.05,2)</f>
      </c>
      <c r="F107" s="20" t="s">
        <v>44</v>
      </c>
      <c r="G107" s="20" t="s">
        <v>30</v>
      </c>
      <c r="H107" s="21">
        <f>ROUND(RAND()*4+6,1)</f>
      </c>
      <c r="I107" s="20" t="s">
        <v>45</v>
      </c>
      <c r="J107" s="23">
        <f>ROUND(100*1,0)&amp;"%"</f>
      </c>
    </row>
    <row x14ac:dyDescent="0.25" r="108" customHeight="1" ht="17.25">
      <c r="A108" s="17" t="s">
        <v>1475</v>
      </c>
      <c r="B108" s="17" t="s">
        <v>200</v>
      </c>
      <c r="C108" s="17" t="s">
        <v>56</v>
      </c>
      <c r="D108" s="17" t="s">
        <v>16</v>
      </c>
      <c r="E108" s="18">
        <f>ROUND(17892*1.05,2)</f>
      </c>
      <c r="F108" s="17" t="s">
        <v>48</v>
      </c>
      <c r="G108" s="17" t="s">
        <v>18</v>
      </c>
      <c r="H108" s="18">
        <f>ROUND(RAND()*4+6,1)</f>
      </c>
      <c r="I108" s="17" t="s">
        <v>19</v>
      </c>
      <c r="J108" s="19">
        <f>ROUND(89*1,0)&amp;"%"</f>
      </c>
    </row>
    <row x14ac:dyDescent="0.25" r="109" customHeight="1" ht="17.25">
      <c r="A109" s="20" t="s">
        <v>1476</v>
      </c>
      <c r="B109" s="20" t="s">
        <v>202</v>
      </c>
      <c r="C109" s="20" t="s">
        <v>56</v>
      </c>
      <c r="D109" s="20" t="s">
        <v>22</v>
      </c>
      <c r="E109" s="21">
        <f>ROUND(10698*1.05,2)</f>
      </c>
      <c r="F109" s="20" t="s">
        <v>51</v>
      </c>
      <c r="G109" s="20" t="s">
        <v>24</v>
      </c>
      <c r="H109" s="21">
        <f>ROUND(RAND()*4+6,1)</f>
      </c>
      <c r="I109" s="20" t="s">
        <v>25</v>
      </c>
      <c r="J109" s="23">
        <f>ROUND(86*1,0)&amp;"%"</f>
      </c>
    </row>
    <row x14ac:dyDescent="0.25" r="110" customHeight="1" ht="17.25">
      <c r="A110" s="24" t="s">
        <v>203</v>
      </c>
      <c r="B110" s="24"/>
      <c r="C110" s="24"/>
      <c r="D110" s="24"/>
      <c r="E110" s="25">
        <v>8</v>
      </c>
      <c r="F110" s="9"/>
      <c r="G110" s="9"/>
      <c r="H110" s="10"/>
      <c r="I110" s="9"/>
      <c r="J110" s="9"/>
    </row>
    <row x14ac:dyDescent="0.25" r="111" customHeight="1" ht="17.25">
      <c r="A111" s="7"/>
      <c r="B111" s="7"/>
      <c r="C111" s="7"/>
      <c r="D111" s="7"/>
      <c r="E111" s="8"/>
      <c r="F111" s="9"/>
      <c r="G111" s="9"/>
      <c r="H111" s="10"/>
      <c r="I111" s="9"/>
      <c r="J111" s="9"/>
    </row>
    <row x14ac:dyDescent="0.25" r="112" customHeight="1" ht="17.25">
      <c r="A112" s="11" t="s">
        <v>1477</v>
      </c>
      <c r="B112" s="11"/>
      <c r="C112" s="11"/>
      <c r="D112" s="11"/>
      <c r="E112" s="12"/>
      <c r="F112" s="11"/>
      <c r="G112" s="11"/>
      <c r="H112" s="13"/>
      <c r="I112" s="11"/>
      <c r="J112" s="11"/>
    </row>
    <row x14ac:dyDescent="0.25" r="113" customHeight="1" ht="17.25">
      <c r="A113" s="14" t="s">
        <v>3</v>
      </c>
      <c r="B113" s="14" t="s">
        <v>4</v>
      </c>
      <c r="C113" s="14" t="s">
        <v>5</v>
      </c>
      <c r="D113" s="14" t="s">
        <v>6</v>
      </c>
      <c r="E113" s="15" t="s">
        <v>7</v>
      </c>
      <c r="F113" s="14" t="s">
        <v>8</v>
      </c>
      <c r="G113" s="14" t="s">
        <v>9</v>
      </c>
      <c r="H113" s="16" t="s">
        <v>10</v>
      </c>
      <c r="I113" s="14" t="s">
        <v>11</v>
      </c>
      <c r="J113" s="14" t="s">
        <v>12</v>
      </c>
    </row>
    <row x14ac:dyDescent="0.25" r="114" customHeight="1" ht="17.25">
      <c r="A114" s="17" t="s">
        <v>1478</v>
      </c>
      <c r="B114" s="17" t="s">
        <v>206</v>
      </c>
      <c r="C114" s="17" t="s">
        <v>76</v>
      </c>
      <c r="D114" s="17" t="s">
        <v>16</v>
      </c>
      <c r="E114" s="18">
        <f>ROUND(13267*1.05,2)</f>
      </c>
      <c r="F114" s="17" t="s">
        <v>17</v>
      </c>
      <c r="G114" s="17" t="s">
        <v>18</v>
      </c>
      <c r="H114" s="26">
        <f>ROUND(RAND()*4+6,1)</f>
      </c>
      <c r="I114" s="17" t="s">
        <v>19</v>
      </c>
      <c r="J114" s="19">
        <f>ROUND(91*1,0)&amp;"%"</f>
      </c>
    </row>
    <row x14ac:dyDescent="0.25" r="115" customHeight="1" ht="17.25">
      <c r="A115" s="20" t="s">
        <v>1479</v>
      </c>
      <c r="B115" s="20" t="s">
        <v>208</v>
      </c>
      <c r="C115" s="20" t="s">
        <v>76</v>
      </c>
      <c r="D115" s="20" t="s">
        <v>22</v>
      </c>
      <c r="E115" s="21">
        <f>ROUND(4995*1.05,2)</f>
      </c>
      <c r="F115" s="20" t="s">
        <v>23</v>
      </c>
      <c r="G115" s="20" t="s">
        <v>24</v>
      </c>
      <c r="H115" s="21">
        <f>ROUND(RAND()*4+6,1)</f>
      </c>
      <c r="I115" s="20" t="s">
        <v>25</v>
      </c>
      <c r="J115" s="23">
        <f>ROUND(82*1,0)&amp;"%"</f>
      </c>
    </row>
    <row x14ac:dyDescent="0.25" r="116" customHeight="1" ht="17.25">
      <c r="A116" s="17" t="s">
        <v>1480</v>
      </c>
      <c r="B116" s="17" t="s">
        <v>210</v>
      </c>
      <c r="C116" s="17" t="s">
        <v>76</v>
      </c>
      <c r="D116" s="17" t="s">
        <v>28</v>
      </c>
      <c r="E116" s="18">
        <f>ROUND(16188*1.05,2)</f>
      </c>
      <c r="F116" s="17" t="s">
        <v>29</v>
      </c>
      <c r="G116" s="17" t="s">
        <v>30</v>
      </c>
      <c r="H116" s="18">
        <f>ROUND(RAND()*4+6,1)</f>
      </c>
      <c r="I116" s="17" t="s">
        <v>31</v>
      </c>
      <c r="J116" s="19">
        <f>ROUND(71*1,0)&amp;"%"</f>
      </c>
    </row>
    <row x14ac:dyDescent="0.25" r="117" customHeight="1" ht="17.25">
      <c r="A117" s="20" t="s">
        <v>1481</v>
      </c>
      <c r="B117" s="20" t="s">
        <v>212</v>
      </c>
      <c r="C117" s="20" t="s">
        <v>76</v>
      </c>
      <c r="D117" s="20" t="s">
        <v>34</v>
      </c>
      <c r="E117" s="21">
        <f>ROUND(10676*1.05,2)</f>
      </c>
      <c r="F117" s="20" t="s">
        <v>35</v>
      </c>
      <c r="G117" s="20" t="s">
        <v>18</v>
      </c>
      <c r="H117" s="22">
        <f>ROUND(RAND()*4+6,1)</f>
      </c>
      <c r="I117" s="20" t="s">
        <v>36</v>
      </c>
      <c r="J117" s="23">
        <f>ROUND(74*1,0)&amp;"%"</f>
      </c>
    </row>
    <row x14ac:dyDescent="0.25" r="118" customHeight="1" ht="17.25">
      <c r="A118" s="17" t="s">
        <v>1482</v>
      </c>
      <c r="B118" s="17" t="s">
        <v>214</v>
      </c>
      <c r="C118" s="17" t="s">
        <v>76</v>
      </c>
      <c r="D118" s="17" t="s">
        <v>39</v>
      </c>
      <c r="E118" s="18">
        <f>ROUND(16542*1.05,2)</f>
      </c>
      <c r="F118" s="17" t="s">
        <v>40</v>
      </c>
      <c r="G118" s="17" t="s">
        <v>24</v>
      </c>
      <c r="H118" s="18">
        <f>ROUND(RAND()*4+6,1)</f>
      </c>
      <c r="I118" s="17" t="s">
        <v>41</v>
      </c>
      <c r="J118" s="19">
        <f>ROUND(84*1,0)&amp;"%"</f>
      </c>
    </row>
    <row x14ac:dyDescent="0.25" r="119" customHeight="1" ht="17.25">
      <c r="A119" s="20" t="s">
        <v>1483</v>
      </c>
      <c r="B119" s="20" t="s">
        <v>216</v>
      </c>
      <c r="C119" s="20" t="s">
        <v>76</v>
      </c>
      <c r="D119" s="20" t="s">
        <v>67</v>
      </c>
      <c r="E119" s="21">
        <f>ROUND(6168*1.05,2)</f>
      </c>
      <c r="F119" s="20" t="s">
        <v>44</v>
      </c>
      <c r="G119" s="20" t="s">
        <v>30</v>
      </c>
      <c r="H119" s="21">
        <f>ROUND(RAND()*4+6,1)</f>
      </c>
      <c r="I119" s="20" t="s">
        <v>45</v>
      </c>
      <c r="J119" s="23">
        <f>ROUND(72*1,0)&amp;"%"</f>
      </c>
    </row>
    <row x14ac:dyDescent="0.25" r="120" customHeight="1" ht="17.25">
      <c r="A120" s="17" t="s">
        <v>1484</v>
      </c>
      <c r="B120" s="17" t="s">
        <v>218</v>
      </c>
      <c r="C120" s="17" t="s">
        <v>76</v>
      </c>
      <c r="D120" s="17" t="s">
        <v>16</v>
      </c>
      <c r="E120" s="18">
        <f>ROUND(16595*1.05,2)</f>
      </c>
      <c r="F120" s="17" t="s">
        <v>48</v>
      </c>
      <c r="G120" s="17" t="s">
        <v>18</v>
      </c>
      <c r="H120" s="18">
        <f>ROUND(RAND()*4+6,1)</f>
      </c>
      <c r="I120" s="17" t="s">
        <v>19</v>
      </c>
      <c r="J120" s="19">
        <f>ROUND(90*1,0)&amp;"%"</f>
      </c>
    </row>
    <row x14ac:dyDescent="0.25" r="121" customHeight="1" ht="17.25">
      <c r="A121" s="20" t="s">
        <v>1485</v>
      </c>
      <c r="B121" s="20" t="s">
        <v>220</v>
      </c>
      <c r="C121" s="20" t="s">
        <v>76</v>
      </c>
      <c r="D121" s="20" t="s">
        <v>22</v>
      </c>
      <c r="E121" s="21">
        <f>ROUND(10529*1.05,2)</f>
      </c>
      <c r="F121" s="20" t="s">
        <v>51</v>
      </c>
      <c r="G121" s="20" t="s">
        <v>24</v>
      </c>
      <c r="H121" s="21">
        <f>ROUND(RAND()*4+6,1)</f>
      </c>
      <c r="I121" s="20" t="s">
        <v>25</v>
      </c>
      <c r="J121" s="23">
        <f>ROUND(97*1,0)&amp;"%"</f>
      </c>
    </row>
    <row x14ac:dyDescent="0.25" r="122" customHeight="1" ht="17.25">
      <c r="A122" s="24" t="s">
        <v>221</v>
      </c>
      <c r="B122" s="24"/>
      <c r="C122" s="24"/>
      <c r="D122" s="24"/>
      <c r="E122" s="25">
        <v>8</v>
      </c>
      <c r="F122" s="9"/>
      <c r="G122" s="9"/>
      <c r="H122" s="10"/>
      <c r="I122" s="9"/>
      <c r="J122" s="9"/>
    </row>
    <row x14ac:dyDescent="0.25" r="123" customHeight="1" ht="17.25">
      <c r="A123" s="7"/>
      <c r="B123" s="7"/>
      <c r="C123" s="7"/>
      <c r="D123" s="7"/>
      <c r="E123" s="8"/>
      <c r="F123" s="9"/>
      <c r="G123" s="9"/>
      <c r="H123" s="10"/>
      <c r="I123" s="9"/>
      <c r="J123" s="9"/>
    </row>
    <row x14ac:dyDescent="0.25" r="124" customHeight="1" ht="17.25">
      <c r="A124" s="11" t="s">
        <v>1486</v>
      </c>
      <c r="B124" s="11"/>
      <c r="C124" s="11"/>
      <c r="D124" s="11"/>
      <c r="E124" s="12"/>
      <c r="F124" s="11"/>
      <c r="G124" s="11"/>
      <c r="H124" s="13"/>
      <c r="I124" s="11"/>
      <c r="J124" s="11"/>
    </row>
    <row x14ac:dyDescent="0.25" r="125" customHeight="1" ht="17.25">
      <c r="A125" s="14" t="s">
        <v>3</v>
      </c>
      <c r="B125" s="14" t="s">
        <v>4</v>
      </c>
      <c r="C125" s="14" t="s">
        <v>5</v>
      </c>
      <c r="D125" s="14" t="s">
        <v>6</v>
      </c>
      <c r="E125" s="15" t="s">
        <v>7</v>
      </c>
      <c r="F125" s="14" t="s">
        <v>8</v>
      </c>
      <c r="G125" s="14" t="s">
        <v>9</v>
      </c>
      <c r="H125" s="16" t="s">
        <v>10</v>
      </c>
      <c r="I125" s="14" t="s">
        <v>11</v>
      </c>
      <c r="J125" s="14" t="s">
        <v>12</v>
      </c>
    </row>
    <row x14ac:dyDescent="0.25" r="126" customHeight="1" ht="17.25">
      <c r="A126" s="17" t="s">
        <v>1487</v>
      </c>
      <c r="B126" s="17" t="s">
        <v>224</v>
      </c>
      <c r="C126" s="17" t="s">
        <v>95</v>
      </c>
      <c r="D126" s="17" t="s">
        <v>16</v>
      </c>
      <c r="E126" s="18">
        <f>ROUND(17657*1.05,2)</f>
      </c>
      <c r="F126" s="17" t="s">
        <v>17</v>
      </c>
      <c r="G126" s="17" t="s">
        <v>18</v>
      </c>
      <c r="H126" s="18">
        <f>ROUND(RAND()*4+6,1)</f>
      </c>
      <c r="I126" s="17" t="s">
        <v>19</v>
      </c>
      <c r="J126" s="19">
        <f>ROUND(89*1,0)&amp;"%"</f>
      </c>
    </row>
    <row x14ac:dyDescent="0.25" r="127" customHeight="1" ht="17.25">
      <c r="A127" s="20" t="s">
        <v>1488</v>
      </c>
      <c r="B127" s="20" t="s">
        <v>226</v>
      </c>
      <c r="C127" s="20" t="s">
        <v>95</v>
      </c>
      <c r="D127" s="20" t="s">
        <v>22</v>
      </c>
      <c r="E127" s="21">
        <f>ROUND(9837*1.05,2)</f>
      </c>
      <c r="F127" s="20" t="s">
        <v>23</v>
      </c>
      <c r="G127" s="20" t="s">
        <v>24</v>
      </c>
      <c r="H127" s="21">
        <f>ROUND(RAND()*4+6,1)</f>
      </c>
      <c r="I127" s="20" t="s">
        <v>25</v>
      </c>
      <c r="J127" s="23">
        <f>ROUND(78*1,0)&amp;"%"</f>
      </c>
    </row>
    <row x14ac:dyDescent="0.25" r="128" customHeight="1" ht="17.25">
      <c r="A128" s="17" t="s">
        <v>1489</v>
      </c>
      <c r="B128" s="17" t="s">
        <v>228</v>
      </c>
      <c r="C128" s="17" t="s">
        <v>95</v>
      </c>
      <c r="D128" s="17" t="s">
        <v>28</v>
      </c>
      <c r="E128" s="18">
        <f>ROUND(15713*1.05,2)</f>
      </c>
      <c r="F128" s="17" t="s">
        <v>29</v>
      </c>
      <c r="G128" s="17" t="s">
        <v>30</v>
      </c>
      <c r="H128" s="18">
        <f>ROUND(RAND()*4+6,1)</f>
      </c>
      <c r="I128" s="17" t="s">
        <v>31</v>
      </c>
      <c r="J128" s="19">
        <f>ROUND(73*1,0)&amp;"%"</f>
      </c>
    </row>
    <row x14ac:dyDescent="0.25" r="129" customHeight="1" ht="17.25">
      <c r="A129" s="20" t="s">
        <v>1490</v>
      </c>
      <c r="B129" s="20" t="s">
        <v>230</v>
      </c>
      <c r="C129" s="20" t="s">
        <v>95</v>
      </c>
      <c r="D129" s="20" t="s">
        <v>34</v>
      </c>
      <c r="E129" s="21">
        <f>ROUND(5405*1.05,2)</f>
      </c>
      <c r="F129" s="20" t="s">
        <v>35</v>
      </c>
      <c r="G129" s="20" t="s">
        <v>18</v>
      </c>
      <c r="H129" s="21">
        <f>ROUND(RAND()*4+6,1)</f>
      </c>
      <c r="I129" s="20" t="s">
        <v>36</v>
      </c>
      <c r="J129" s="23">
        <f>ROUND(63*1,0)&amp;"%"</f>
      </c>
    </row>
    <row x14ac:dyDescent="0.25" r="130" customHeight="1" ht="17.25">
      <c r="A130" s="17" t="s">
        <v>1491</v>
      </c>
      <c r="B130" s="17" t="s">
        <v>232</v>
      </c>
      <c r="C130" s="17" t="s">
        <v>95</v>
      </c>
      <c r="D130" s="17" t="s">
        <v>39</v>
      </c>
      <c r="E130" s="18">
        <f>ROUND(8315*1.05,2)</f>
      </c>
      <c r="F130" s="17" t="s">
        <v>40</v>
      </c>
      <c r="G130" s="17" t="s">
        <v>24</v>
      </c>
      <c r="H130" s="18">
        <f>ROUND(RAND()*4+6,1)</f>
      </c>
      <c r="I130" s="17" t="s">
        <v>41</v>
      </c>
      <c r="J130" s="19">
        <f>ROUND(64*1,0)&amp;"%"</f>
      </c>
    </row>
    <row x14ac:dyDescent="0.25" r="131" customHeight="1" ht="17.25">
      <c r="A131" s="20" t="s">
        <v>1492</v>
      </c>
      <c r="B131" s="20" t="s">
        <v>234</v>
      </c>
      <c r="C131" s="20" t="s">
        <v>95</v>
      </c>
      <c r="D131" s="20" t="s">
        <v>67</v>
      </c>
      <c r="E131" s="21">
        <f>ROUND(4508*1.05,2)</f>
      </c>
      <c r="F131" s="20" t="s">
        <v>44</v>
      </c>
      <c r="G131" s="20" t="s">
        <v>30</v>
      </c>
      <c r="H131" s="21">
        <f>ROUND(RAND()*4+6,1)</f>
      </c>
      <c r="I131" s="20" t="s">
        <v>45</v>
      </c>
      <c r="J131" s="23">
        <f>ROUND(62*1,0)&amp;"%"</f>
      </c>
    </row>
    <row x14ac:dyDescent="0.25" r="132" customHeight="1" ht="17.25">
      <c r="A132" s="17" t="s">
        <v>1493</v>
      </c>
      <c r="B132" s="17" t="s">
        <v>236</v>
      </c>
      <c r="C132" s="17" t="s">
        <v>95</v>
      </c>
      <c r="D132" s="17" t="s">
        <v>16</v>
      </c>
      <c r="E132" s="18">
        <f>ROUND(15144*1.05,2)</f>
      </c>
      <c r="F132" s="17" t="s">
        <v>48</v>
      </c>
      <c r="G132" s="17" t="s">
        <v>18</v>
      </c>
      <c r="H132" s="18">
        <f>ROUND(RAND()*4+6,1)</f>
      </c>
      <c r="I132" s="17" t="s">
        <v>19</v>
      </c>
      <c r="J132" s="19">
        <f>ROUND(68*1,0)&amp;"%"</f>
      </c>
    </row>
    <row x14ac:dyDescent="0.25" r="133" customHeight="1" ht="17.25">
      <c r="A133" s="20" t="s">
        <v>1494</v>
      </c>
      <c r="B133" s="20" t="s">
        <v>238</v>
      </c>
      <c r="C133" s="20" t="s">
        <v>95</v>
      </c>
      <c r="D133" s="20" t="s">
        <v>22</v>
      </c>
      <c r="E133" s="21">
        <f>ROUND(6921*1.05,2)</f>
      </c>
      <c r="F133" s="20" t="s">
        <v>51</v>
      </c>
      <c r="G133" s="20" t="s">
        <v>24</v>
      </c>
      <c r="H133" s="21">
        <f>ROUND(RAND()*4+6,1)</f>
      </c>
      <c r="I133" s="20" t="s">
        <v>25</v>
      </c>
      <c r="J133" s="23">
        <f>ROUND(86*1,0)&amp;"%"</f>
      </c>
    </row>
    <row x14ac:dyDescent="0.25" r="134" customHeight="1" ht="17.25">
      <c r="A134" s="24" t="s">
        <v>239</v>
      </c>
      <c r="B134" s="24"/>
      <c r="C134" s="24"/>
      <c r="D134" s="24"/>
      <c r="E134" s="25">
        <v>8</v>
      </c>
      <c r="F134" s="9"/>
      <c r="G134" s="9"/>
      <c r="H134" s="10"/>
      <c r="I134" s="9"/>
      <c r="J134" s="9"/>
    </row>
    <row x14ac:dyDescent="0.25" r="135" customHeight="1" ht="17.25">
      <c r="A135" s="7"/>
      <c r="B135" s="7"/>
      <c r="C135" s="7"/>
      <c r="D135" s="7"/>
      <c r="E135" s="8"/>
      <c r="F135" s="9"/>
      <c r="G135" s="9"/>
      <c r="H135" s="10"/>
      <c r="I135" s="9"/>
      <c r="J135" s="9"/>
    </row>
    <row x14ac:dyDescent="0.25" r="136" customHeight="1" ht="17.25">
      <c r="A136" s="11" t="s">
        <v>1495</v>
      </c>
      <c r="B136" s="11"/>
      <c r="C136" s="11"/>
      <c r="D136" s="11"/>
      <c r="E136" s="12"/>
      <c r="F136" s="11"/>
      <c r="G136" s="11"/>
      <c r="H136" s="13"/>
      <c r="I136" s="11"/>
      <c r="J136" s="11"/>
    </row>
    <row x14ac:dyDescent="0.25" r="137" customHeight="1" ht="17.25">
      <c r="A137" s="14" t="s">
        <v>3</v>
      </c>
      <c r="B137" s="14" t="s">
        <v>4</v>
      </c>
      <c r="C137" s="14" t="s">
        <v>5</v>
      </c>
      <c r="D137" s="14" t="s">
        <v>6</v>
      </c>
      <c r="E137" s="15" t="s">
        <v>7</v>
      </c>
      <c r="F137" s="14" t="s">
        <v>8</v>
      </c>
      <c r="G137" s="14" t="s">
        <v>9</v>
      </c>
      <c r="H137" s="16" t="s">
        <v>10</v>
      </c>
      <c r="I137" s="14" t="s">
        <v>11</v>
      </c>
      <c r="J137" s="14" t="s">
        <v>12</v>
      </c>
    </row>
    <row x14ac:dyDescent="0.25" r="138" customHeight="1" ht="17.25">
      <c r="A138" s="17" t="s">
        <v>1496</v>
      </c>
      <c r="B138" s="17" t="s">
        <v>242</v>
      </c>
      <c r="C138" s="17" t="s">
        <v>114</v>
      </c>
      <c r="D138" s="17" t="s">
        <v>16</v>
      </c>
      <c r="E138" s="18">
        <f>ROUND(6046*1.05,2)</f>
      </c>
      <c r="F138" s="17" t="s">
        <v>17</v>
      </c>
      <c r="G138" s="17" t="s">
        <v>18</v>
      </c>
      <c r="H138" s="18">
        <f>ROUND(RAND()*4+6,1)</f>
      </c>
      <c r="I138" s="17" t="s">
        <v>19</v>
      </c>
      <c r="J138" s="19">
        <f>ROUND(67*1,0)&amp;"%"</f>
      </c>
    </row>
    <row x14ac:dyDescent="0.25" r="139" customHeight="1" ht="17.25">
      <c r="A139" s="20" t="s">
        <v>1497</v>
      </c>
      <c r="B139" s="20" t="s">
        <v>244</v>
      </c>
      <c r="C139" s="20" t="s">
        <v>114</v>
      </c>
      <c r="D139" s="20" t="s">
        <v>22</v>
      </c>
      <c r="E139" s="21">
        <f>ROUND(10859*1.05,2)</f>
      </c>
      <c r="F139" s="20" t="s">
        <v>23</v>
      </c>
      <c r="G139" s="20" t="s">
        <v>24</v>
      </c>
      <c r="H139" s="21">
        <f>ROUND(RAND()*4+6,1)</f>
      </c>
      <c r="I139" s="20" t="s">
        <v>25</v>
      </c>
      <c r="J139" s="23">
        <f>ROUND(77*1,0)&amp;"%"</f>
      </c>
    </row>
    <row x14ac:dyDescent="0.25" r="140" customHeight="1" ht="17.25">
      <c r="A140" s="17" t="s">
        <v>1498</v>
      </c>
      <c r="B140" s="17" t="s">
        <v>246</v>
      </c>
      <c r="C140" s="17" t="s">
        <v>114</v>
      </c>
      <c r="D140" s="17" t="s">
        <v>28</v>
      </c>
      <c r="E140" s="18">
        <f>ROUND(13037*1.05,2)</f>
      </c>
      <c r="F140" s="17" t="s">
        <v>29</v>
      </c>
      <c r="G140" s="17" t="s">
        <v>30</v>
      </c>
      <c r="H140" s="18">
        <f>ROUND(RAND()*4+6,1)</f>
      </c>
      <c r="I140" s="17" t="s">
        <v>31</v>
      </c>
      <c r="J140" s="19">
        <f>ROUND(69*1,0)&amp;"%"</f>
      </c>
    </row>
    <row x14ac:dyDescent="0.25" r="141" customHeight="1" ht="17.25">
      <c r="A141" s="20" t="s">
        <v>1499</v>
      </c>
      <c r="B141" s="20" t="s">
        <v>248</v>
      </c>
      <c r="C141" s="20" t="s">
        <v>114</v>
      </c>
      <c r="D141" s="20" t="s">
        <v>34</v>
      </c>
      <c r="E141" s="21">
        <f>ROUND(14751*1.05,2)</f>
      </c>
      <c r="F141" s="20" t="s">
        <v>35</v>
      </c>
      <c r="G141" s="20" t="s">
        <v>18</v>
      </c>
      <c r="H141" s="21">
        <f>ROUND(RAND()*4+6,1)</f>
      </c>
      <c r="I141" s="20" t="s">
        <v>36</v>
      </c>
      <c r="J141" s="23">
        <f>ROUND(68*1,0)&amp;"%"</f>
      </c>
    </row>
    <row x14ac:dyDescent="0.25" r="142" customHeight="1" ht="17.25">
      <c r="A142" s="17" t="s">
        <v>1500</v>
      </c>
      <c r="B142" s="17" t="s">
        <v>250</v>
      </c>
      <c r="C142" s="17" t="s">
        <v>114</v>
      </c>
      <c r="D142" s="17" t="s">
        <v>39</v>
      </c>
      <c r="E142" s="18">
        <f>ROUND(14479*1.05,2)</f>
      </c>
      <c r="F142" s="17" t="s">
        <v>40</v>
      </c>
      <c r="G142" s="17" t="s">
        <v>24</v>
      </c>
      <c r="H142" s="18">
        <f>ROUND(RAND()*4+6,1)</f>
      </c>
      <c r="I142" s="17" t="s">
        <v>41</v>
      </c>
      <c r="J142" s="19">
        <f>ROUND(77*1,0)&amp;"%"</f>
      </c>
    </row>
    <row x14ac:dyDescent="0.25" r="143" customHeight="1" ht="17.25">
      <c r="A143" s="20" t="s">
        <v>1501</v>
      </c>
      <c r="B143" s="20" t="s">
        <v>252</v>
      </c>
      <c r="C143" s="20" t="s">
        <v>114</v>
      </c>
      <c r="D143" s="20" t="s">
        <v>67</v>
      </c>
      <c r="E143" s="21">
        <f>ROUND(11648*1.05,2)</f>
      </c>
      <c r="F143" s="20" t="s">
        <v>44</v>
      </c>
      <c r="G143" s="20" t="s">
        <v>30</v>
      </c>
      <c r="H143" s="21">
        <f>ROUND(RAND()*4+6,1)</f>
      </c>
      <c r="I143" s="20" t="s">
        <v>45</v>
      </c>
      <c r="J143" s="23">
        <f>ROUND(63*1,0)&amp;"%"</f>
      </c>
    </row>
    <row x14ac:dyDescent="0.25" r="144" customHeight="1" ht="17.25">
      <c r="A144" s="17" t="s">
        <v>1502</v>
      </c>
      <c r="B144" s="17" t="s">
        <v>254</v>
      </c>
      <c r="C144" s="17" t="s">
        <v>114</v>
      </c>
      <c r="D144" s="17" t="s">
        <v>16</v>
      </c>
      <c r="E144" s="18">
        <f>ROUND(4627*1.05,2)</f>
      </c>
      <c r="F144" s="17" t="s">
        <v>48</v>
      </c>
      <c r="G144" s="17" t="s">
        <v>18</v>
      </c>
      <c r="H144" s="18">
        <f>ROUND(RAND()*4+6,1)</f>
      </c>
      <c r="I144" s="17" t="s">
        <v>19</v>
      </c>
      <c r="J144" s="19">
        <f>ROUND(85*1,0)&amp;"%"</f>
      </c>
    </row>
    <row x14ac:dyDescent="0.25" r="145" customHeight="1" ht="17.25">
      <c r="A145" s="20" t="s">
        <v>1503</v>
      </c>
      <c r="B145" s="20" t="s">
        <v>256</v>
      </c>
      <c r="C145" s="20" t="s">
        <v>114</v>
      </c>
      <c r="D145" s="20" t="s">
        <v>22</v>
      </c>
      <c r="E145" s="21">
        <f>ROUND(11383*1.05,2)</f>
      </c>
      <c r="F145" s="20" t="s">
        <v>51</v>
      </c>
      <c r="G145" s="20" t="s">
        <v>24</v>
      </c>
      <c r="H145" s="22">
        <f>ROUND(RAND()*4+6,1)</f>
      </c>
      <c r="I145" s="20" t="s">
        <v>25</v>
      </c>
      <c r="J145" s="23">
        <f>ROUND(80*1,0)&amp;"%"</f>
      </c>
    </row>
    <row x14ac:dyDescent="0.25" r="146" customHeight="1" ht="17.25">
      <c r="A146" s="24" t="s">
        <v>257</v>
      </c>
      <c r="B146" s="24"/>
      <c r="C146" s="24"/>
      <c r="D146" s="24"/>
      <c r="E146" s="25">
        <v>8</v>
      </c>
      <c r="F146" s="9"/>
      <c r="G146" s="9"/>
      <c r="H146" s="10"/>
      <c r="I146" s="9"/>
      <c r="J146" s="9"/>
    </row>
    <row x14ac:dyDescent="0.25" r="147" customHeight="1" ht="17.25">
      <c r="A147" s="7"/>
      <c r="B147" s="7"/>
      <c r="C147" s="7"/>
      <c r="D147" s="7"/>
      <c r="E147" s="8"/>
      <c r="F147" s="9"/>
      <c r="G147" s="9"/>
      <c r="H147" s="10"/>
      <c r="I147" s="9"/>
      <c r="J147" s="9"/>
    </row>
    <row x14ac:dyDescent="0.25" r="148" customHeight="1" ht="17.25">
      <c r="A148" s="11" t="s">
        <v>1504</v>
      </c>
      <c r="B148" s="11"/>
      <c r="C148" s="11"/>
      <c r="D148" s="11"/>
      <c r="E148" s="12"/>
      <c r="F148" s="11"/>
      <c r="G148" s="11"/>
      <c r="H148" s="13"/>
      <c r="I148" s="11"/>
      <c r="J148" s="11"/>
    </row>
    <row x14ac:dyDescent="0.25" r="149" customHeight="1" ht="17.25">
      <c r="A149" s="14" t="s">
        <v>3</v>
      </c>
      <c r="B149" s="14" t="s">
        <v>4</v>
      </c>
      <c r="C149" s="14" t="s">
        <v>5</v>
      </c>
      <c r="D149" s="14" t="s">
        <v>6</v>
      </c>
      <c r="E149" s="15" t="s">
        <v>7</v>
      </c>
      <c r="F149" s="14" t="s">
        <v>8</v>
      </c>
      <c r="G149" s="14" t="s">
        <v>9</v>
      </c>
      <c r="H149" s="16" t="s">
        <v>10</v>
      </c>
      <c r="I149" s="14" t="s">
        <v>11</v>
      </c>
      <c r="J149" s="14" t="s">
        <v>12</v>
      </c>
    </row>
    <row x14ac:dyDescent="0.25" r="150" customHeight="1" ht="17.25">
      <c r="A150" s="17" t="s">
        <v>1505</v>
      </c>
      <c r="B150" s="17" t="s">
        <v>260</v>
      </c>
      <c r="C150" s="17" t="s">
        <v>133</v>
      </c>
      <c r="D150" s="17" t="s">
        <v>16</v>
      </c>
      <c r="E150" s="18">
        <f>ROUND(8762*1.05,2)</f>
      </c>
      <c r="F150" s="17" t="s">
        <v>17</v>
      </c>
      <c r="G150" s="17" t="s">
        <v>18</v>
      </c>
      <c r="H150" s="18">
        <f>ROUND(RAND()*4+6,1)</f>
      </c>
      <c r="I150" s="17" t="s">
        <v>19</v>
      </c>
      <c r="J150" s="19">
        <f>ROUND(99*1,0)&amp;"%"</f>
      </c>
    </row>
    <row x14ac:dyDescent="0.25" r="151" customHeight="1" ht="17.25">
      <c r="A151" s="20" t="s">
        <v>1506</v>
      </c>
      <c r="B151" s="20" t="s">
        <v>262</v>
      </c>
      <c r="C151" s="20" t="s">
        <v>133</v>
      </c>
      <c r="D151" s="20" t="s">
        <v>22</v>
      </c>
      <c r="E151" s="21">
        <f>ROUND(9622*1.05,2)</f>
      </c>
      <c r="F151" s="20" t="s">
        <v>23</v>
      </c>
      <c r="G151" s="20" t="s">
        <v>24</v>
      </c>
      <c r="H151" s="21">
        <f>ROUND(RAND()*4+6,1)</f>
      </c>
      <c r="I151" s="20" t="s">
        <v>25</v>
      </c>
      <c r="J151" s="23">
        <f>ROUND(87*1,0)&amp;"%"</f>
      </c>
    </row>
    <row x14ac:dyDescent="0.25" r="152" customHeight="1" ht="17.25">
      <c r="A152" s="17" t="s">
        <v>1507</v>
      </c>
      <c r="B152" s="17" t="s">
        <v>264</v>
      </c>
      <c r="C152" s="17" t="s">
        <v>133</v>
      </c>
      <c r="D152" s="17" t="s">
        <v>28</v>
      </c>
      <c r="E152" s="18">
        <f>ROUND(4134*1.05,2)</f>
      </c>
      <c r="F152" s="17" t="s">
        <v>29</v>
      </c>
      <c r="G152" s="17" t="s">
        <v>30</v>
      </c>
      <c r="H152" s="18">
        <f>ROUND(RAND()*4+6,1)</f>
      </c>
      <c r="I152" s="17" t="s">
        <v>31</v>
      </c>
      <c r="J152" s="19">
        <f>ROUND(81*1,0)&amp;"%"</f>
      </c>
    </row>
    <row x14ac:dyDescent="0.25" r="153" customHeight="1" ht="17.25">
      <c r="A153" s="20" t="s">
        <v>1508</v>
      </c>
      <c r="B153" s="20" t="s">
        <v>266</v>
      </c>
      <c r="C153" s="20" t="s">
        <v>133</v>
      </c>
      <c r="D153" s="20" t="s">
        <v>34</v>
      </c>
      <c r="E153" s="21">
        <f>ROUND(7097*1.05,2)</f>
      </c>
      <c r="F153" s="20" t="s">
        <v>35</v>
      </c>
      <c r="G153" s="20" t="s">
        <v>18</v>
      </c>
      <c r="H153" s="21">
        <f>ROUND(RAND()*4+6,1)</f>
      </c>
      <c r="I153" s="20" t="s">
        <v>36</v>
      </c>
      <c r="J153" s="23">
        <f>ROUND(85*1,0)&amp;"%"</f>
      </c>
    </row>
    <row x14ac:dyDescent="0.25" r="154" customHeight="1" ht="17.25">
      <c r="A154" s="17" t="s">
        <v>1509</v>
      </c>
      <c r="B154" s="17" t="s">
        <v>268</v>
      </c>
      <c r="C154" s="17" t="s">
        <v>133</v>
      </c>
      <c r="D154" s="17" t="s">
        <v>39</v>
      </c>
      <c r="E154" s="18">
        <f>ROUND(8075*1.05,2)</f>
      </c>
      <c r="F154" s="17" t="s">
        <v>40</v>
      </c>
      <c r="G154" s="17" t="s">
        <v>24</v>
      </c>
      <c r="H154" s="26">
        <f>ROUND(RAND()*4+6,1)</f>
      </c>
      <c r="I154" s="17" t="s">
        <v>41</v>
      </c>
      <c r="J154" s="19">
        <f>ROUND(91*1,0)&amp;"%"</f>
      </c>
    </row>
    <row x14ac:dyDescent="0.25" r="155" customHeight="1" ht="17.25">
      <c r="A155" s="20" t="s">
        <v>1510</v>
      </c>
      <c r="B155" s="20" t="s">
        <v>270</v>
      </c>
      <c r="C155" s="20" t="s">
        <v>133</v>
      </c>
      <c r="D155" s="20" t="s">
        <v>67</v>
      </c>
      <c r="E155" s="21">
        <f>ROUND(16722*1.05,2)</f>
      </c>
      <c r="F155" s="20" t="s">
        <v>44</v>
      </c>
      <c r="G155" s="20" t="s">
        <v>30</v>
      </c>
      <c r="H155" s="21">
        <f>ROUND(RAND()*4+6,1)</f>
      </c>
      <c r="I155" s="20" t="s">
        <v>45</v>
      </c>
      <c r="J155" s="23">
        <f>ROUND(72*1,0)&amp;"%"</f>
      </c>
    </row>
    <row x14ac:dyDescent="0.25" r="156" customHeight="1" ht="17.25">
      <c r="A156" s="17" t="s">
        <v>1511</v>
      </c>
      <c r="B156" s="17" t="s">
        <v>272</v>
      </c>
      <c r="C156" s="17" t="s">
        <v>133</v>
      </c>
      <c r="D156" s="17" t="s">
        <v>16</v>
      </c>
      <c r="E156" s="18">
        <f>ROUND(6277*1.05,2)</f>
      </c>
      <c r="F156" s="17" t="s">
        <v>48</v>
      </c>
      <c r="G156" s="17" t="s">
        <v>18</v>
      </c>
      <c r="H156" s="18">
        <f>ROUND(RAND()*4+6,1)</f>
      </c>
      <c r="I156" s="17" t="s">
        <v>19</v>
      </c>
      <c r="J156" s="19">
        <f>ROUND(75*1,0)&amp;"%"</f>
      </c>
    </row>
    <row x14ac:dyDescent="0.25" r="157" customHeight="1" ht="17.25">
      <c r="A157" s="20" t="s">
        <v>1512</v>
      </c>
      <c r="B157" s="20" t="s">
        <v>274</v>
      </c>
      <c r="C157" s="20" t="s">
        <v>133</v>
      </c>
      <c r="D157" s="20" t="s">
        <v>22</v>
      </c>
      <c r="E157" s="21">
        <f>ROUND(9239*1.05,2)</f>
      </c>
      <c r="F157" s="20" t="s">
        <v>51</v>
      </c>
      <c r="G157" s="20" t="s">
        <v>24</v>
      </c>
      <c r="H157" s="21">
        <f>ROUND(RAND()*4+6,1)</f>
      </c>
      <c r="I157" s="20" t="s">
        <v>25</v>
      </c>
      <c r="J157" s="23">
        <f>ROUND(73*1,0)&amp;"%"</f>
      </c>
    </row>
    <row x14ac:dyDescent="0.25" r="158" customHeight="1" ht="17.25">
      <c r="A158" s="24" t="s">
        <v>275</v>
      </c>
      <c r="B158" s="24"/>
      <c r="C158" s="24"/>
      <c r="D158" s="24"/>
      <c r="E158" s="25">
        <v>8</v>
      </c>
      <c r="F158" s="9"/>
      <c r="G158" s="9"/>
      <c r="H158" s="10"/>
      <c r="I158" s="9"/>
      <c r="J158" s="9"/>
    </row>
    <row x14ac:dyDescent="0.25" r="159" customHeight="1" ht="17.25">
      <c r="A159" s="7"/>
      <c r="B159" s="7"/>
      <c r="C159" s="7"/>
      <c r="D159" s="7"/>
      <c r="E159" s="8"/>
      <c r="F159" s="9"/>
      <c r="G159" s="9"/>
      <c r="H159" s="10"/>
      <c r="I159" s="9"/>
      <c r="J159" s="9"/>
    </row>
    <row x14ac:dyDescent="0.25" r="160" customHeight="1" ht="17.25">
      <c r="A160" s="11" t="s">
        <v>1513</v>
      </c>
      <c r="B160" s="11"/>
      <c r="C160" s="11"/>
      <c r="D160" s="11"/>
      <c r="E160" s="12"/>
      <c r="F160" s="11"/>
      <c r="G160" s="11"/>
      <c r="H160" s="13"/>
      <c r="I160" s="11"/>
      <c r="J160" s="11"/>
    </row>
    <row x14ac:dyDescent="0.25" r="161" customHeight="1" ht="17.25">
      <c r="A161" s="14" t="s">
        <v>3</v>
      </c>
      <c r="B161" s="14" t="s">
        <v>4</v>
      </c>
      <c r="C161" s="14" t="s">
        <v>5</v>
      </c>
      <c r="D161" s="14" t="s">
        <v>6</v>
      </c>
      <c r="E161" s="15" t="s">
        <v>7</v>
      </c>
      <c r="F161" s="14" t="s">
        <v>8</v>
      </c>
      <c r="G161" s="14" t="s">
        <v>9</v>
      </c>
      <c r="H161" s="16" t="s">
        <v>10</v>
      </c>
      <c r="I161" s="14" t="s">
        <v>11</v>
      </c>
      <c r="J161" s="14" t="s">
        <v>12</v>
      </c>
    </row>
    <row x14ac:dyDescent="0.25" r="162" customHeight="1" ht="17.25">
      <c r="A162" s="17" t="s">
        <v>1514</v>
      </c>
      <c r="B162" s="17" t="s">
        <v>278</v>
      </c>
      <c r="C162" s="17" t="s">
        <v>152</v>
      </c>
      <c r="D162" s="17" t="s">
        <v>16</v>
      </c>
      <c r="E162" s="18">
        <f>ROUND(4097*1.05,2)</f>
      </c>
      <c r="F162" s="17" t="s">
        <v>17</v>
      </c>
      <c r="G162" s="17" t="s">
        <v>18</v>
      </c>
      <c r="H162" s="18">
        <f>ROUND(RAND()*4+6,1)</f>
      </c>
      <c r="I162" s="17" t="s">
        <v>19</v>
      </c>
      <c r="J162" s="19">
        <f>ROUND(91*1,0)&amp;"%"</f>
      </c>
    </row>
    <row x14ac:dyDescent="0.25" r="163" customHeight="1" ht="17.25">
      <c r="A163" s="20" t="s">
        <v>1515</v>
      </c>
      <c r="B163" s="20" t="s">
        <v>280</v>
      </c>
      <c r="C163" s="20" t="s">
        <v>152</v>
      </c>
      <c r="D163" s="20" t="s">
        <v>22</v>
      </c>
      <c r="E163" s="21">
        <f>ROUND(6534*1.05,2)</f>
      </c>
      <c r="F163" s="20" t="s">
        <v>23</v>
      </c>
      <c r="G163" s="20" t="s">
        <v>24</v>
      </c>
      <c r="H163" s="21">
        <f>ROUND(RAND()*4+6,1)</f>
      </c>
      <c r="I163" s="20" t="s">
        <v>25</v>
      </c>
      <c r="J163" s="23">
        <f>ROUND(71*1,0)&amp;"%"</f>
      </c>
    </row>
    <row x14ac:dyDescent="0.25" r="164" customHeight="1" ht="17.25">
      <c r="A164" s="17" t="s">
        <v>1516</v>
      </c>
      <c r="B164" s="17" t="s">
        <v>282</v>
      </c>
      <c r="C164" s="17" t="s">
        <v>152</v>
      </c>
      <c r="D164" s="17" t="s">
        <v>28</v>
      </c>
      <c r="E164" s="18">
        <f>ROUND(11915*1.05,2)</f>
      </c>
      <c r="F164" s="17" t="s">
        <v>29</v>
      </c>
      <c r="G164" s="17" t="s">
        <v>30</v>
      </c>
      <c r="H164" s="18">
        <f>ROUND(RAND()*4+6,1)</f>
      </c>
      <c r="I164" s="17" t="s">
        <v>31</v>
      </c>
      <c r="J164" s="19">
        <f>ROUND(84*1,0)&amp;"%"</f>
      </c>
    </row>
    <row x14ac:dyDescent="0.25" r="165" customHeight="1" ht="17.25">
      <c r="A165" s="20" t="s">
        <v>1517</v>
      </c>
      <c r="B165" s="20" t="s">
        <v>284</v>
      </c>
      <c r="C165" s="20" t="s">
        <v>152</v>
      </c>
      <c r="D165" s="20" t="s">
        <v>34</v>
      </c>
      <c r="E165" s="21">
        <f>ROUND(17146*1.05,2)</f>
      </c>
      <c r="F165" s="20" t="s">
        <v>35</v>
      </c>
      <c r="G165" s="20" t="s">
        <v>18</v>
      </c>
      <c r="H165" s="21">
        <f>ROUND(RAND()*4+6,1)</f>
      </c>
      <c r="I165" s="20" t="s">
        <v>36</v>
      </c>
      <c r="J165" s="23">
        <f>ROUND(95*1,0)&amp;"%"</f>
      </c>
    </row>
    <row x14ac:dyDescent="0.25" r="166" customHeight="1" ht="17.25">
      <c r="A166" s="17" t="s">
        <v>1518</v>
      </c>
      <c r="B166" s="17" t="s">
        <v>286</v>
      </c>
      <c r="C166" s="17" t="s">
        <v>152</v>
      </c>
      <c r="D166" s="17" t="s">
        <v>39</v>
      </c>
      <c r="E166" s="26">
        <f>ROUND(5120*1.05,2)</f>
      </c>
      <c r="F166" s="17" t="s">
        <v>40</v>
      </c>
      <c r="G166" s="17" t="s">
        <v>24</v>
      </c>
      <c r="H166" s="18">
        <f>ROUND(RAND()*4+6,1)</f>
      </c>
      <c r="I166" s="17" t="s">
        <v>41</v>
      </c>
      <c r="J166" s="19">
        <f>ROUND(73*1,0)&amp;"%"</f>
      </c>
    </row>
    <row x14ac:dyDescent="0.25" r="167" customHeight="1" ht="17.25">
      <c r="A167" s="20" t="s">
        <v>1519</v>
      </c>
      <c r="B167" s="20" t="s">
        <v>288</v>
      </c>
      <c r="C167" s="20" t="s">
        <v>152</v>
      </c>
      <c r="D167" s="20" t="s">
        <v>67</v>
      </c>
      <c r="E167" s="21">
        <f>ROUND(15582*1.05,2)</f>
      </c>
      <c r="F167" s="20" t="s">
        <v>44</v>
      </c>
      <c r="G167" s="20" t="s">
        <v>30</v>
      </c>
      <c r="H167" s="21">
        <f>ROUND(RAND()*4+6,1)</f>
      </c>
      <c r="I167" s="20" t="s">
        <v>45</v>
      </c>
      <c r="J167" s="23">
        <f>ROUND(97*1,0)&amp;"%"</f>
      </c>
    </row>
    <row x14ac:dyDescent="0.25" r="168" customHeight="1" ht="17.25">
      <c r="A168" s="17" t="s">
        <v>1520</v>
      </c>
      <c r="B168" s="17" t="s">
        <v>290</v>
      </c>
      <c r="C168" s="17" t="s">
        <v>152</v>
      </c>
      <c r="D168" s="17" t="s">
        <v>16</v>
      </c>
      <c r="E168" s="18">
        <f>ROUND(11024*1.05,2)</f>
      </c>
      <c r="F168" s="17" t="s">
        <v>48</v>
      </c>
      <c r="G168" s="17" t="s">
        <v>18</v>
      </c>
      <c r="H168" s="18">
        <f>ROUND(RAND()*4+6,1)</f>
      </c>
      <c r="I168" s="17" t="s">
        <v>19</v>
      </c>
      <c r="J168" s="19">
        <f>ROUND(81*1,0)&amp;"%"</f>
      </c>
    </row>
    <row x14ac:dyDescent="0.25" r="169" customHeight="1" ht="17.25">
      <c r="A169" s="20" t="s">
        <v>1521</v>
      </c>
      <c r="B169" s="20" t="s">
        <v>292</v>
      </c>
      <c r="C169" s="20" t="s">
        <v>152</v>
      </c>
      <c r="D169" s="20" t="s">
        <v>22</v>
      </c>
      <c r="E169" s="21">
        <f>ROUND(14748*1.05,2)</f>
      </c>
      <c r="F169" s="20" t="s">
        <v>51</v>
      </c>
      <c r="G169" s="20" t="s">
        <v>24</v>
      </c>
      <c r="H169" s="21">
        <f>ROUND(RAND()*4+6,1)</f>
      </c>
      <c r="I169" s="20" t="s">
        <v>25</v>
      </c>
      <c r="J169" s="23">
        <f>ROUND(97*1,0)&amp;"%"</f>
      </c>
    </row>
    <row x14ac:dyDescent="0.25" r="170" customHeight="1" ht="17.25">
      <c r="A170" s="24" t="s">
        <v>293</v>
      </c>
      <c r="B170" s="24"/>
      <c r="C170" s="24"/>
      <c r="D170" s="24"/>
      <c r="E170" s="25">
        <v>8</v>
      </c>
      <c r="F170" s="9"/>
      <c r="G170" s="9"/>
      <c r="H170" s="10"/>
      <c r="I170" s="9"/>
      <c r="J170" s="9"/>
    </row>
    <row x14ac:dyDescent="0.25" r="171" customHeight="1" ht="17.25">
      <c r="A171" s="7"/>
      <c r="B171" s="7"/>
      <c r="C171" s="7"/>
      <c r="D171" s="7"/>
      <c r="E171" s="8"/>
      <c r="F171" s="9"/>
      <c r="G171" s="9"/>
      <c r="H171" s="10"/>
      <c r="I171" s="9"/>
      <c r="J171" s="9"/>
    </row>
    <row x14ac:dyDescent="0.25" r="172" customHeight="1" ht="17.25">
      <c r="A172" s="11" t="s">
        <v>1522</v>
      </c>
      <c r="B172" s="11"/>
      <c r="C172" s="11"/>
      <c r="D172" s="11"/>
      <c r="E172" s="12"/>
      <c r="F172" s="11"/>
      <c r="G172" s="11"/>
      <c r="H172" s="13"/>
      <c r="I172" s="11"/>
      <c r="J172" s="11"/>
    </row>
    <row x14ac:dyDescent="0.25" r="173" customHeight="1" ht="17.25">
      <c r="A173" s="14" t="s">
        <v>3</v>
      </c>
      <c r="B173" s="14" t="s">
        <v>4</v>
      </c>
      <c r="C173" s="14" t="s">
        <v>5</v>
      </c>
      <c r="D173" s="14" t="s">
        <v>6</v>
      </c>
      <c r="E173" s="15" t="s">
        <v>7</v>
      </c>
      <c r="F173" s="14" t="s">
        <v>8</v>
      </c>
      <c r="G173" s="14" t="s">
        <v>9</v>
      </c>
      <c r="H173" s="16" t="s">
        <v>10</v>
      </c>
      <c r="I173" s="14" t="s">
        <v>11</v>
      </c>
      <c r="J173" s="14" t="s">
        <v>12</v>
      </c>
    </row>
    <row x14ac:dyDescent="0.25" r="174" customHeight="1" ht="17.25">
      <c r="A174" s="17" t="s">
        <v>1523</v>
      </c>
      <c r="B174" s="17" t="s">
        <v>296</v>
      </c>
      <c r="C174" s="17" t="s">
        <v>15</v>
      </c>
      <c r="D174" s="17" t="s">
        <v>16</v>
      </c>
      <c r="E174" s="18">
        <f>ROUND(11971*1.05,2)</f>
      </c>
      <c r="F174" s="17" t="s">
        <v>17</v>
      </c>
      <c r="G174" s="17" t="s">
        <v>18</v>
      </c>
      <c r="H174" s="18">
        <f>ROUND(RAND()*4+6,1)</f>
      </c>
      <c r="I174" s="17" t="s">
        <v>19</v>
      </c>
      <c r="J174" s="19">
        <f>ROUND(65*1,0)&amp;"%"</f>
      </c>
    </row>
    <row x14ac:dyDescent="0.25" r="175" customHeight="1" ht="17.25">
      <c r="A175" s="20" t="s">
        <v>1524</v>
      </c>
      <c r="B175" s="20" t="s">
        <v>298</v>
      </c>
      <c r="C175" s="20" t="s">
        <v>15</v>
      </c>
      <c r="D175" s="20" t="s">
        <v>22</v>
      </c>
      <c r="E175" s="21">
        <f>ROUND(15354*1.05,2)</f>
      </c>
      <c r="F175" s="20" t="s">
        <v>23</v>
      </c>
      <c r="G175" s="20" t="s">
        <v>24</v>
      </c>
      <c r="H175" s="21">
        <f>ROUND(RAND()*4+6,1)</f>
      </c>
      <c r="I175" s="20" t="s">
        <v>25</v>
      </c>
      <c r="J175" s="23">
        <f>ROUND(92*1,0)&amp;"%"</f>
      </c>
    </row>
    <row x14ac:dyDescent="0.25" r="176" customHeight="1" ht="17.25">
      <c r="A176" s="17" t="s">
        <v>1525</v>
      </c>
      <c r="B176" s="17" t="s">
        <v>300</v>
      </c>
      <c r="C176" s="17" t="s">
        <v>15</v>
      </c>
      <c r="D176" s="17" t="s">
        <v>28</v>
      </c>
      <c r="E176" s="18">
        <f>ROUND(17359*1.05,2)</f>
      </c>
      <c r="F176" s="17" t="s">
        <v>29</v>
      </c>
      <c r="G176" s="17" t="s">
        <v>30</v>
      </c>
      <c r="H176" s="18">
        <f>ROUND(RAND()*4+6,1)</f>
      </c>
      <c r="I176" s="17" t="s">
        <v>31</v>
      </c>
      <c r="J176" s="19">
        <f>ROUND(95*1,0)&amp;"%"</f>
      </c>
    </row>
    <row x14ac:dyDescent="0.25" r="177" customHeight="1" ht="17.25">
      <c r="A177" s="20" t="s">
        <v>1526</v>
      </c>
      <c r="B177" s="20" t="s">
        <v>302</v>
      </c>
      <c r="C177" s="20" t="s">
        <v>15</v>
      </c>
      <c r="D177" s="20" t="s">
        <v>34</v>
      </c>
      <c r="E177" s="21">
        <f>ROUND(14341*1.05,2)</f>
      </c>
      <c r="F177" s="20" t="s">
        <v>35</v>
      </c>
      <c r="G177" s="20" t="s">
        <v>18</v>
      </c>
      <c r="H177" s="21">
        <f>ROUND(RAND()*4+6,1)</f>
      </c>
      <c r="I177" s="20" t="s">
        <v>36</v>
      </c>
      <c r="J177" s="23">
        <f>ROUND(87*1,0)&amp;"%"</f>
      </c>
    </row>
    <row x14ac:dyDescent="0.25" r="178" customHeight="1" ht="17.25">
      <c r="A178" s="17" t="s">
        <v>1527</v>
      </c>
      <c r="B178" s="17" t="s">
        <v>304</v>
      </c>
      <c r="C178" s="17" t="s">
        <v>15</v>
      </c>
      <c r="D178" s="17" t="s">
        <v>39</v>
      </c>
      <c r="E178" s="18">
        <f>ROUND(9296*1.05,2)</f>
      </c>
      <c r="F178" s="17" t="s">
        <v>40</v>
      </c>
      <c r="G178" s="17" t="s">
        <v>24</v>
      </c>
      <c r="H178" s="18">
        <f>ROUND(RAND()*4+6,1)</f>
      </c>
      <c r="I178" s="17" t="s">
        <v>41</v>
      </c>
      <c r="J178" s="19">
        <f>ROUND(69*1,0)&amp;"%"</f>
      </c>
    </row>
    <row x14ac:dyDescent="0.25" r="179" customHeight="1" ht="17.25">
      <c r="A179" s="20" t="s">
        <v>1528</v>
      </c>
      <c r="B179" s="20" t="s">
        <v>306</v>
      </c>
      <c r="C179" s="20" t="s">
        <v>15</v>
      </c>
      <c r="D179" s="20" t="s">
        <v>67</v>
      </c>
      <c r="E179" s="21">
        <f>ROUND(9953*1.05,2)</f>
      </c>
      <c r="F179" s="20" t="s">
        <v>44</v>
      </c>
      <c r="G179" s="20" t="s">
        <v>30</v>
      </c>
      <c r="H179" s="21">
        <f>ROUND(RAND()*4+6,1)</f>
      </c>
      <c r="I179" s="20" t="s">
        <v>45</v>
      </c>
      <c r="J179" s="23">
        <f>ROUND(71*1,0)&amp;"%"</f>
      </c>
    </row>
    <row x14ac:dyDescent="0.25" r="180" customHeight="1" ht="17.25">
      <c r="A180" s="17" t="s">
        <v>1529</v>
      </c>
      <c r="B180" s="17" t="s">
        <v>308</v>
      </c>
      <c r="C180" s="17" t="s">
        <v>15</v>
      </c>
      <c r="D180" s="17" t="s">
        <v>16</v>
      </c>
      <c r="E180" s="18">
        <f>ROUND(13110*1.05,2)</f>
      </c>
      <c r="F180" s="17" t="s">
        <v>48</v>
      </c>
      <c r="G180" s="17" t="s">
        <v>18</v>
      </c>
      <c r="H180" s="18">
        <f>ROUND(RAND()*4+6,1)</f>
      </c>
      <c r="I180" s="17" t="s">
        <v>19</v>
      </c>
      <c r="J180" s="19">
        <f>ROUND(69*1,0)&amp;"%"</f>
      </c>
    </row>
    <row x14ac:dyDescent="0.25" r="181" customHeight="1" ht="17.25">
      <c r="A181" s="20" t="s">
        <v>1530</v>
      </c>
      <c r="B181" s="20" t="s">
        <v>310</v>
      </c>
      <c r="C181" s="20" t="s">
        <v>15</v>
      </c>
      <c r="D181" s="20" t="s">
        <v>22</v>
      </c>
      <c r="E181" s="21">
        <f>ROUND(14029*1.05,2)</f>
      </c>
      <c r="F181" s="20" t="s">
        <v>51</v>
      </c>
      <c r="G181" s="20" t="s">
        <v>24</v>
      </c>
      <c r="H181" s="21">
        <f>ROUND(RAND()*4+6,1)</f>
      </c>
      <c r="I181" s="20" t="s">
        <v>25</v>
      </c>
      <c r="J181" s="23">
        <f>ROUND(86*1,0)&amp;"%"</f>
      </c>
    </row>
    <row x14ac:dyDescent="0.25" r="182" customHeight="1" ht="17.25">
      <c r="A182" s="24" t="s">
        <v>311</v>
      </c>
      <c r="B182" s="24"/>
      <c r="C182" s="24"/>
      <c r="D182" s="24"/>
      <c r="E182" s="25">
        <v>8</v>
      </c>
      <c r="F182" s="9"/>
      <c r="G182" s="9"/>
      <c r="H182" s="10"/>
      <c r="I182" s="9"/>
      <c r="J182" s="9"/>
    </row>
    <row x14ac:dyDescent="0.25" r="183" customHeight="1" ht="17.25">
      <c r="A183" s="7"/>
      <c r="B183" s="7"/>
      <c r="C183" s="7"/>
      <c r="D183" s="7"/>
      <c r="E183" s="8"/>
      <c r="F183" s="9"/>
      <c r="G183" s="9"/>
      <c r="H183" s="10"/>
      <c r="I183" s="9"/>
      <c r="J183" s="9"/>
    </row>
    <row x14ac:dyDescent="0.25" r="184" customHeight="1" ht="17.25">
      <c r="A184" s="11" t="s">
        <v>1531</v>
      </c>
      <c r="B184" s="11"/>
      <c r="C184" s="11"/>
      <c r="D184" s="11"/>
      <c r="E184" s="12"/>
      <c r="F184" s="11"/>
      <c r="G184" s="11"/>
      <c r="H184" s="13"/>
      <c r="I184" s="11"/>
      <c r="J184" s="11"/>
    </row>
    <row x14ac:dyDescent="0.25" r="185" customHeight="1" ht="17.25">
      <c r="A185" s="14" t="s">
        <v>3</v>
      </c>
      <c r="B185" s="14" t="s">
        <v>4</v>
      </c>
      <c r="C185" s="14" t="s">
        <v>5</v>
      </c>
      <c r="D185" s="14" t="s">
        <v>6</v>
      </c>
      <c r="E185" s="15" t="s">
        <v>7</v>
      </c>
      <c r="F185" s="14" t="s">
        <v>8</v>
      </c>
      <c r="G185" s="14" t="s">
        <v>9</v>
      </c>
      <c r="H185" s="16" t="s">
        <v>10</v>
      </c>
      <c r="I185" s="14" t="s">
        <v>11</v>
      </c>
      <c r="J185" s="14" t="s">
        <v>12</v>
      </c>
    </row>
    <row x14ac:dyDescent="0.25" r="186" customHeight="1" ht="17.25">
      <c r="A186" s="17" t="s">
        <v>1532</v>
      </c>
      <c r="B186" s="17" t="s">
        <v>314</v>
      </c>
      <c r="C186" s="17" t="s">
        <v>56</v>
      </c>
      <c r="D186" s="17" t="s">
        <v>16</v>
      </c>
      <c r="E186" s="18">
        <f>ROUND(8151*1.05,2)</f>
      </c>
      <c r="F186" s="17" t="s">
        <v>17</v>
      </c>
      <c r="G186" s="17" t="s">
        <v>18</v>
      </c>
      <c r="H186" s="18">
        <f>ROUND(RAND()*4+6,1)</f>
      </c>
      <c r="I186" s="17" t="s">
        <v>19</v>
      </c>
      <c r="J186" s="19">
        <f>ROUND(88*1,0)&amp;"%"</f>
      </c>
    </row>
    <row x14ac:dyDescent="0.25" r="187" customHeight="1" ht="17.25">
      <c r="A187" s="20" t="s">
        <v>1533</v>
      </c>
      <c r="B187" s="20" t="s">
        <v>316</v>
      </c>
      <c r="C187" s="20" t="s">
        <v>56</v>
      </c>
      <c r="D187" s="20" t="s">
        <v>22</v>
      </c>
      <c r="E187" s="21">
        <f>ROUND(7941*1.05,2)</f>
      </c>
      <c r="F187" s="20" t="s">
        <v>23</v>
      </c>
      <c r="G187" s="20" t="s">
        <v>24</v>
      </c>
      <c r="H187" s="21">
        <f>ROUND(RAND()*4+6,1)</f>
      </c>
      <c r="I187" s="20" t="s">
        <v>25</v>
      </c>
      <c r="J187" s="23">
        <f>ROUND(62*1,0)&amp;"%"</f>
      </c>
    </row>
    <row x14ac:dyDescent="0.25" r="188" customHeight="1" ht="17.25">
      <c r="A188" s="17" t="s">
        <v>1534</v>
      </c>
      <c r="B188" s="17" t="s">
        <v>318</v>
      </c>
      <c r="C188" s="17" t="s">
        <v>56</v>
      </c>
      <c r="D188" s="17" t="s">
        <v>28</v>
      </c>
      <c r="E188" s="18">
        <f>ROUND(16324*1.05,2)</f>
      </c>
      <c r="F188" s="17" t="s">
        <v>29</v>
      </c>
      <c r="G188" s="17" t="s">
        <v>30</v>
      </c>
      <c r="H188" s="18">
        <f>ROUND(RAND()*4+6,1)</f>
      </c>
      <c r="I188" s="17" t="s">
        <v>31</v>
      </c>
      <c r="J188" s="19">
        <f>ROUND(61*1,0)&amp;"%"</f>
      </c>
    </row>
    <row x14ac:dyDescent="0.25" r="189" customHeight="1" ht="17.25">
      <c r="A189" s="20" t="s">
        <v>1535</v>
      </c>
      <c r="B189" s="20" t="s">
        <v>320</v>
      </c>
      <c r="C189" s="20" t="s">
        <v>56</v>
      </c>
      <c r="D189" s="20" t="s">
        <v>34</v>
      </c>
      <c r="E189" s="21">
        <f>ROUND(5535*1.05,2)</f>
      </c>
      <c r="F189" s="20" t="s">
        <v>35</v>
      </c>
      <c r="G189" s="20" t="s">
        <v>18</v>
      </c>
      <c r="H189" s="21">
        <f>ROUND(RAND()*4+6,1)</f>
      </c>
      <c r="I189" s="20" t="s">
        <v>36</v>
      </c>
      <c r="J189" s="23">
        <f>ROUND(99*1,0)&amp;"%"</f>
      </c>
    </row>
    <row x14ac:dyDescent="0.25" r="190" customHeight="1" ht="17.25">
      <c r="A190" s="17" t="s">
        <v>1536</v>
      </c>
      <c r="B190" s="17" t="s">
        <v>322</v>
      </c>
      <c r="C190" s="17" t="s">
        <v>56</v>
      </c>
      <c r="D190" s="17" t="s">
        <v>39</v>
      </c>
      <c r="E190" s="18">
        <f>ROUND(15336*1.05,2)</f>
      </c>
      <c r="F190" s="17" t="s">
        <v>40</v>
      </c>
      <c r="G190" s="17" t="s">
        <v>24</v>
      </c>
      <c r="H190" s="18">
        <f>ROUND(RAND()*4+6,1)</f>
      </c>
      <c r="I190" s="17" t="s">
        <v>41</v>
      </c>
      <c r="J190" s="19">
        <f>ROUND(81*1,0)&amp;"%"</f>
      </c>
    </row>
    <row x14ac:dyDescent="0.25" r="191" customHeight="1" ht="17.25">
      <c r="A191" s="20" t="s">
        <v>1537</v>
      </c>
      <c r="B191" s="20" t="s">
        <v>324</v>
      </c>
      <c r="C191" s="20" t="s">
        <v>56</v>
      </c>
      <c r="D191" s="20" t="s">
        <v>67</v>
      </c>
      <c r="E191" s="21">
        <f>ROUND(7094*1.05,2)</f>
      </c>
      <c r="F191" s="20" t="s">
        <v>44</v>
      </c>
      <c r="G191" s="20" t="s">
        <v>30</v>
      </c>
      <c r="H191" s="21">
        <f>ROUND(RAND()*4+6,1)</f>
      </c>
      <c r="I191" s="20" t="s">
        <v>45</v>
      </c>
      <c r="J191" s="23">
        <f>ROUND(67*1,0)&amp;"%"</f>
      </c>
    </row>
    <row x14ac:dyDescent="0.25" r="192" customHeight="1" ht="17.25">
      <c r="A192" s="17" t="s">
        <v>1538</v>
      </c>
      <c r="B192" s="17" t="s">
        <v>326</v>
      </c>
      <c r="C192" s="17" t="s">
        <v>56</v>
      </c>
      <c r="D192" s="17" t="s">
        <v>16</v>
      </c>
      <c r="E192" s="18">
        <f>ROUND(4144*1.05,2)</f>
      </c>
      <c r="F192" s="17" t="s">
        <v>48</v>
      </c>
      <c r="G192" s="17" t="s">
        <v>18</v>
      </c>
      <c r="H192" s="18">
        <f>ROUND(RAND()*4+6,1)</f>
      </c>
      <c r="I192" s="17" t="s">
        <v>19</v>
      </c>
      <c r="J192" s="19">
        <f>ROUND(81*1,0)&amp;"%"</f>
      </c>
    </row>
    <row x14ac:dyDescent="0.25" r="193" customHeight="1" ht="17.25">
      <c r="A193" s="20" t="s">
        <v>1539</v>
      </c>
      <c r="B193" s="20" t="s">
        <v>328</v>
      </c>
      <c r="C193" s="20" t="s">
        <v>56</v>
      </c>
      <c r="D193" s="20" t="s">
        <v>22</v>
      </c>
      <c r="E193" s="21">
        <f>ROUND(16784*1.05,2)</f>
      </c>
      <c r="F193" s="20" t="s">
        <v>51</v>
      </c>
      <c r="G193" s="20" t="s">
        <v>24</v>
      </c>
      <c r="H193" s="21">
        <f>ROUND(RAND()*4+6,1)</f>
      </c>
      <c r="I193" s="20" t="s">
        <v>25</v>
      </c>
      <c r="J193" s="23">
        <f>ROUND(95*1,0)&amp;"%"</f>
      </c>
    </row>
    <row x14ac:dyDescent="0.25" r="194" customHeight="1" ht="17.25">
      <c r="A194" s="24" t="s">
        <v>329</v>
      </c>
      <c r="B194" s="24"/>
      <c r="C194" s="24"/>
      <c r="D194" s="24"/>
      <c r="E194" s="25">
        <v>8</v>
      </c>
      <c r="F194" s="9"/>
      <c r="G194" s="9"/>
      <c r="H194" s="10"/>
      <c r="I194" s="9"/>
      <c r="J194" s="9"/>
    </row>
    <row x14ac:dyDescent="0.25" r="195" customHeight="1" ht="17.25">
      <c r="A195" s="7"/>
      <c r="B195" s="7"/>
      <c r="C195" s="7"/>
      <c r="D195" s="7"/>
      <c r="E195" s="8"/>
      <c r="F195" s="9"/>
      <c r="G195" s="9"/>
      <c r="H195" s="10"/>
      <c r="I195" s="9"/>
      <c r="J195" s="9"/>
    </row>
    <row x14ac:dyDescent="0.25" r="196" customHeight="1" ht="17.25">
      <c r="A196" s="11" t="s">
        <v>1540</v>
      </c>
      <c r="B196" s="11"/>
      <c r="C196" s="11"/>
      <c r="D196" s="11"/>
      <c r="E196" s="12"/>
      <c r="F196" s="11"/>
      <c r="G196" s="11"/>
      <c r="H196" s="13"/>
      <c r="I196" s="11"/>
      <c r="J196" s="11"/>
    </row>
    <row x14ac:dyDescent="0.25" r="197" customHeight="1" ht="17.25">
      <c r="A197" s="14" t="s">
        <v>3</v>
      </c>
      <c r="B197" s="14" t="s">
        <v>4</v>
      </c>
      <c r="C197" s="14" t="s">
        <v>5</v>
      </c>
      <c r="D197" s="14" t="s">
        <v>6</v>
      </c>
      <c r="E197" s="15" t="s">
        <v>7</v>
      </c>
      <c r="F197" s="14" t="s">
        <v>8</v>
      </c>
      <c r="G197" s="14" t="s">
        <v>9</v>
      </c>
      <c r="H197" s="16" t="s">
        <v>10</v>
      </c>
      <c r="I197" s="14" t="s">
        <v>11</v>
      </c>
      <c r="J197" s="14" t="s">
        <v>12</v>
      </c>
    </row>
    <row x14ac:dyDescent="0.25" r="198" customHeight="1" ht="17.25">
      <c r="A198" s="17" t="s">
        <v>1541</v>
      </c>
      <c r="B198" s="17" t="s">
        <v>332</v>
      </c>
      <c r="C198" s="17" t="s">
        <v>76</v>
      </c>
      <c r="D198" s="17" t="s">
        <v>16</v>
      </c>
      <c r="E198" s="18">
        <f>ROUND(12033*1.05,2)</f>
      </c>
      <c r="F198" s="17" t="s">
        <v>17</v>
      </c>
      <c r="G198" s="17" t="s">
        <v>18</v>
      </c>
      <c r="H198" s="18">
        <f>ROUND(RAND()*4+6,1)</f>
      </c>
      <c r="I198" s="17" t="s">
        <v>19</v>
      </c>
      <c r="J198" s="19">
        <f>ROUND(77*1,0)&amp;"%"</f>
      </c>
    </row>
    <row x14ac:dyDescent="0.25" r="199" customHeight="1" ht="17.25">
      <c r="A199" s="20" t="s">
        <v>1542</v>
      </c>
      <c r="B199" s="20" t="s">
        <v>334</v>
      </c>
      <c r="C199" s="20" t="s">
        <v>76</v>
      </c>
      <c r="D199" s="20" t="s">
        <v>22</v>
      </c>
      <c r="E199" s="21">
        <f>ROUND(12196*1.05,2)</f>
      </c>
      <c r="F199" s="20" t="s">
        <v>23</v>
      </c>
      <c r="G199" s="20" t="s">
        <v>24</v>
      </c>
      <c r="H199" s="21">
        <f>ROUND(RAND()*4+6,1)</f>
      </c>
      <c r="I199" s="20" t="s">
        <v>25</v>
      </c>
      <c r="J199" s="23">
        <f>ROUND(79*1,0)&amp;"%"</f>
      </c>
    </row>
    <row x14ac:dyDescent="0.25" r="200" customHeight="1" ht="17.25">
      <c r="A200" s="17" t="s">
        <v>1543</v>
      </c>
      <c r="B200" s="17" t="s">
        <v>336</v>
      </c>
      <c r="C200" s="17" t="s">
        <v>76</v>
      </c>
      <c r="D200" s="17" t="s">
        <v>28</v>
      </c>
      <c r="E200" s="18">
        <f>ROUND(8130*1.05,2)</f>
      </c>
      <c r="F200" s="17" t="s">
        <v>29</v>
      </c>
      <c r="G200" s="17" t="s">
        <v>30</v>
      </c>
      <c r="H200" s="26">
        <f>ROUND(RAND()*4+6,1)</f>
      </c>
      <c r="I200" s="17" t="s">
        <v>31</v>
      </c>
      <c r="J200" s="19">
        <f>ROUND(76*1,0)&amp;"%"</f>
      </c>
    </row>
    <row x14ac:dyDescent="0.25" r="201" customHeight="1" ht="17.25">
      <c r="A201" s="20" t="s">
        <v>1544</v>
      </c>
      <c r="B201" s="20" t="s">
        <v>338</v>
      </c>
      <c r="C201" s="20" t="s">
        <v>76</v>
      </c>
      <c r="D201" s="20" t="s">
        <v>34</v>
      </c>
      <c r="E201" s="21">
        <f>ROUND(6206*1.05,2)</f>
      </c>
      <c r="F201" s="20" t="s">
        <v>35</v>
      </c>
      <c r="G201" s="20" t="s">
        <v>18</v>
      </c>
      <c r="H201" s="21">
        <f>ROUND(RAND()*4+6,1)</f>
      </c>
      <c r="I201" s="20" t="s">
        <v>36</v>
      </c>
      <c r="J201" s="23">
        <f>ROUND(62*1,0)&amp;"%"</f>
      </c>
    </row>
    <row x14ac:dyDescent="0.25" r="202" customHeight="1" ht="17.25">
      <c r="A202" s="17" t="s">
        <v>1545</v>
      </c>
      <c r="B202" s="17" t="s">
        <v>340</v>
      </c>
      <c r="C202" s="17" t="s">
        <v>76</v>
      </c>
      <c r="D202" s="17" t="s">
        <v>39</v>
      </c>
      <c r="E202" s="18">
        <f>ROUND(11810*1.05,2)</f>
      </c>
      <c r="F202" s="17" t="s">
        <v>40</v>
      </c>
      <c r="G202" s="17" t="s">
        <v>24</v>
      </c>
      <c r="H202" s="18">
        <f>ROUND(RAND()*4+6,1)</f>
      </c>
      <c r="I202" s="17" t="s">
        <v>41</v>
      </c>
      <c r="J202" s="19">
        <f>ROUND(60*1,0)&amp;"%"</f>
      </c>
    </row>
    <row x14ac:dyDescent="0.25" r="203" customHeight="1" ht="17.25">
      <c r="A203" s="20" t="s">
        <v>1546</v>
      </c>
      <c r="B203" s="20" t="s">
        <v>342</v>
      </c>
      <c r="C203" s="20" t="s">
        <v>76</v>
      </c>
      <c r="D203" s="20" t="s">
        <v>67</v>
      </c>
      <c r="E203" s="21">
        <f>ROUND(11046*1.05,2)</f>
      </c>
      <c r="F203" s="20" t="s">
        <v>44</v>
      </c>
      <c r="G203" s="20" t="s">
        <v>30</v>
      </c>
      <c r="H203" s="22">
        <f>ROUND(RAND()*4+6,1)</f>
      </c>
      <c r="I203" s="20" t="s">
        <v>45</v>
      </c>
      <c r="J203" s="23">
        <f>ROUND(63*1,0)&amp;"%"</f>
      </c>
    </row>
    <row x14ac:dyDescent="0.25" r="204" customHeight="1" ht="17.25">
      <c r="A204" s="17" t="s">
        <v>1547</v>
      </c>
      <c r="B204" s="17" t="s">
        <v>344</v>
      </c>
      <c r="C204" s="17" t="s">
        <v>76</v>
      </c>
      <c r="D204" s="17" t="s">
        <v>16</v>
      </c>
      <c r="E204" s="18">
        <f>ROUND(15697*1.05,2)</f>
      </c>
      <c r="F204" s="17" t="s">
        <v>48</v>
      </c>
      <c r="G204" s="17" t="s">
        <v>18</v>
      </c>
      <c r="H204" s="18">
        <f>ROUND(RAND()*4+6,1)</f>
      </c>
      <c r="I204" s="17" t="s">
        <v>19</v>
      </c>
      <c r="J204" s="19">
        <f>ROUND(86*1,0)&amp;"%"</f>
      </c>
    </row>
    <row x14ac:dyDescent="0.25" r="205" customHeight="1" ht="17.25">
      <c r="A205" s="20" t="s">
        <v>1548</v>
      </c>
      <c r="B205" s="20" t="s">
        <v>346</v>
      </c>
      <c r="C205" s="20" t="s">
        <v>76</v>
      </c>
      <c r="D205" s="20" t="s">
        <v>22</v>
      </c>
      <c r="E205" s="21">
        <f>ROUND(17336*1.05,2)</f>
      </c>
      <c r="F205" s="20" t="s">
        <v>51</v>
      </c>
      <c r="G205" s="20" t="s">
        <v>24</v>
      </c>
      <c r="H205" s="21">
        <f>ROUND(RAND()*4+6,1)</f>
      </c>
      <c r="I205" s="20" t="s">
        <v>25</v>
      </c>
      <c r="J205" s="23">
        <f>ROUND(85*1,0)&amp;"%"</f>
      </c>
    </row>
    <row x14ac:dyDescent="0.25" r="206" customHeight="1" ht="17.25">
      <c r="A206" s="24" t="s">
        <v>347</v>
      </c>
      <c r="B206" s="24"/>
      <c r="C206" s="24"/>
      <c r="D206" s="24"/>
      <c r="E206" s="25">
        <v>8</v>
      </c>
      <c r="F206" s="9"/>
      <c r="G206" s="9"/>
      <c r="H206" s="10"/>
      <c r="I206" s="9"/>
      <c r="J206" s="9"/>
    </row>
    <row x14ac:dyDescent="0.25" r="207" customHeight="1" ht="17.25">
      <c r="A207" s="7"/>
      <c r="B207" s="7"/>
      <c r="C207" s="7"/>
      <c r="D207" s="7"/>
      <c r="E207" s="8"/>
      <c r="F207" s="9"/>
      <c r="G207" s="9"/>
      <c r="H207" s="10"/>
      <c r="I207" s="9"/>
      <c r="J207" s="9"/>
    </row>
    <row x14ac:dyDescent="0.25" r="208" customHeight="1" ht="17.25">
      <c r="A208" s="11" t="s">
        <v>1549</v>
      </c>
      <c r="B208" s="11"/>
      <c r="C208" s="11"/>
      <c r="D208" s="11"/>
      <c r="E208" s="12"/>
      <c r="F208" s="11"/>
      <c r="G208" s="11"/>
      <c r="H208" s="13"/>
      <c r="I208" s="11"/>
      <c r="J208" s="11"/>
    </row>
    <row x14ac:dyDescent="0.25" r="209" customHeight="1" ht="17.25">
      <c r="A209" s="14" t="s">
        <v>3</v>
      </c>
      <c r="B209" s="14" t="s">
        <v>4</v>
      </c>
      <c r="C209" s="14" t="s">
        <v>5</v>
      </c>
      <c r="D209" s="14" t="s">
        <v>6</v>
      </c>
      <c r="E209" s="15" t="s">
        <v>7</v>
      </c>
      <c r="F209" s="14" t="s">
        <v>8</v>
      </c>
      <c r="G209" s="14" t="s">
        <v>9</v>
      </c>
      <c r="H209" s="16" t="s">
        <v>10</v>
      </c>
      <c r="I209" s="14" t="s">
        <v>11</v>
      </c>
      <c r="J209" s="14" t="s">
        <v>12</v>
      </c>
    </row>
    <row x14ac:dyDescent="0.25" r="210" customHeight="1" ht="17.25">
      <c r="A210" s="17" t="s">
        <v>1550</v>
      </c>
      <c r="B210" s="17" t="s">
        <v>350</v>
      </c>
      <c r="C210" s="17" t="s">
        <v>95</v>
      </c>
      <c r="D210" s="17" t="s">
        <v>16</v>
      </c>
      <c r="E210" s="18">
        <f>ROUND(11257*1.05,2)</f>
      </c>
      <c r="F210" s="17" t="s">
        <v>17</v>
      </c>
      <c r="G210" s="17" t="s">
        <v>18</v>
      </c>
      <c r="H210" s="26">
        <f>ROUND(RAND()*4+6,1)</f>
      </c>
      <c r="I210" s="17" t="s">
        <v>19</v>
      </c>
      <c r="J210" s="19">
        <f>ROUND(68*1,0)&amp;"%"</f>
      </c>
    </row>
    <row x14ac:dyDescent="0.25" r="211" customHeight="1" ht="17.25">
      <c r="A211" s="20" t="s">
        <v>1551</v>
      </c>
      <c r="B211" s="20" t="s">
        <v>352</v>
      </c>
      <c r="C211" s="20" t="s">
        <v>95</v>
      </c>
      <c r="D211" s="20" t="s">
        <v>22</v>
      </c>
      <c r="E211" s="22">
        <f>ROUND(15260*1.05,2)</f>
      </c>
      <c r="F211" s="20" t="s">
        <v>23</v>
      </c>
      <c r="G211" s="20" t="s">
        <v>24</v>
      </c>
      <c r="H211" s="21">
        <f>ROUND(RAND()*4+6,1)</f>
      </c>
      <c r="I211" s="20" t="s">
        <v>25</v>
      </c>
      <c r="J211" s="23">
        <f>ROUND(89*1,0)&amp;"%"</f>
      </c>
    </row>
    <row x14ac:dyDescent="0.25" r="212" customHeight="1" ht="17.25">
      <c r="A212" s="17" t="s">
        <v>1552</v>
      </c>
      <c r="B212" s="17" t="s">
        <v>354</v>
      </c>
      <c r="C212" s="17" t="s">
        <v>95</v>
      </c>
      <c r="D212" s="17" t="s">
        <v>28</v>
      </c>
      <c r="E212" s="18">
        <f>ROUND(7814*1.05,2)</f>
      </c>
      <c r="F212" s="17" t="s">
        <v>29</v>
      </c>
      <c r="G212" s="17" t="s">
        <v>30</v>
      </c>
      <c r="H212" s="18">
        <f>ROUND(RAND()*4+6,1)</f>
      </c>
      <c r="I212" s="17" t="s">
        <v>31</v>
      </c>
      <c r="J212" s="19">
        <f>ROUND(63*1,0)&amp;"%"</f>
      </c>
    </row>
    <row x14ac:dyDescent="0.25" r="213" customHeight="1" ht="17.25">
      <c r="A213" s="20" t="s">
        <v>1553</v>
      </c>
      <c r="B213" s="20" t="s">
        <v>356</v>
      </c>
      <c r="C213" s="20" t="s">
        <v>95</v>
      </c>
      <c r="D213" s="20" t="s">
        <v>34</v>
      </c>
      <c r="E213" s="21">
        <f>ROUND(7051*1.05,2)</f>
      </c>
      <c r="F213" s="20" t="s">
        <v>35</v>
      </c>
      <c r="G213" s="20" t="s">
        <v>18</v>
      </c>
      <c r="H213" s="22">
        <f>ROUND(RAND()*4+6,1)</f>
      </c>
      <c r="I213" s="20" t="s">
        <v>36</v>
      </c>
      <c r="J213" s="23">
        <f>ROUND(75*1,0)&amp;"%"</f>
      </c>
    </row>
    <row x14ac:dyDescent="0.25" r="214" customHeight="1" ht="17.25">
      <c r="A214" s="17" t="s">
        <v>1554</v>
      </c>
      <c r="B214" s="17" t="s">
        <v>358</v>
      </c>
      <c r="C214" s="17" t="s">
        <v>95</v>
      </c>
      <c r="D214" s="17" t="s">
        <v>39</v>
      </c>
      <c r="E214" s="18">
        <f>ROUND(6159*1.05,2)</f>
      </c>
      <c r="F214" s="17" t="s">
        <v>40</v>
      </c>
      <c r="G214" s="17" t="s">
        <v>24</v>
      </c>
      <c r="H214" s="26">
        <f>ROUND(RAND()*4+6,1)</f>
      </c>
      <c r="I214" s="17" t="s">
        <v>41</v>
      </c>
      <c r="J214" s="19">
        <f>ROUND(92*1,0)&amp;"%"</f>
      </c>
    </row>
    <row x14ac:dyDescent="0.25" r="215" customHeight="1" ht="17.25">
      <c r="A215" s="20" t="s">
        <v>1555</v>
      </c>
      <c r="B215" s="20" t="s">
        <v>360</v>
      </c>
      <c r="C215" s="20" t="s">
        <v>95</v>
      </c>
      <c r="D215" s="20" t="s">
        <v>67</v>
      </c>
      <c r="E215" s="21">
        <f>ROUND(8656*1.05,2)</f>
      </c>
      <c r="F215" s="20" t="s">
        <v>44</v>
      </c>
      <c r="G215" s="20" t="s">
        <v>30</v>
      </c>
      <c r="H215" s="22">
        <f>ROUND(RAND()*4+6,1)</f>
      </c>
      <c r="I215" s="20" t="s">
        <v>45</v>
      </c>
      <c r="J215" s="23">
        <f>ROUND(81*1,0)&amp;"%"</f>
      </c>
    </row>
    <row x14ac:dyDescent="0.25" r="216" customHeight="1" ht="17.25">
      <c r="A216" s="17" t="s">
        <v>1556</v>
      </c>
      <c r="B216" s="17" t="s">
        <v>362</v>
      </c>
      <c r="C216" s="17" t="s">
        <v>95</v>
      </c>
      <c r="D216" s="17" t="s">
        <v>16</v>
      </c>
      <c r="E216" s="18">
        <f>ROUND(4588*1.05,2)</f>
      </c>
      <c r="F216" s="17" t="s">
        <v>48</v>
      </c>
      <c r="G216" s="17" t="s">
        <v>18</v>
      </c>
      <c r="H216" s="18">
        <f>ROUND(RAND()*4+6,1)</f>
      </c>
      <c r="I216" s="17" t="s">
        <v>19</v>
      </c>
      <c r="J216" s="19">
        <f>ROUND(65*1,0)&amp;"%"</f>
      </c>
    </row>
    <row x14ac:dyDescent="0.25" r="217" customHeight="1" ht="17.25">
      <c r="A217" s="20" t="s">
        <v>1557</v>
      </c>
      <c r="B217" s="20" t="s">
        <v>364</v>
      </c>
      <c r="C217" s="20" t="s">
        <v>95</v>
      </c>
      <c r="D217" s="20" t="s">
        <v>22</v>
      </c>
      <c r="E217" s="21">
        <f>ROUND(4928*1.05,2)</f>
      </c>
      <c r="F217" s="20" t="s">
        <v>51</v>
      </c>
      <c r="G217" s="20" t="s">
        <v>24</v>
      </c>
      <c r="H217" s="21">
        <f>ROUND(RAND()*4+6,1)</f>
      </c>
      <c r="I217" s="20" t="s">
        <v>25</v>
      </c>
      <c r="J217" s="23">
        <f>ROUND(91*1,0)&amp;"%"</f>
      </c>
    </row>
    <row x14ac:dyDescent="0.25" r="218" customHeight="1" ht="17.25">
      <c r="A218" s="24" t="s">
        <v>365</v>
      </c>
      <c r="B218" s="24"/>
      <c r="C218" s="24"/>
      <c r="D218" s="24"/>
      <c r="E218" s="25">
        <v>8</v>
      </c>
      <c r="F218" s="9"/>
      <c r="G218" s="9"/>
      <c r="H218" s="10"/>
      <c r="I218" s="9"/>
      <c r="J218" s="9"/>
    </row>
    <row x14ac:dyDescent="0.25" r="219" customHeight="1" ht="17.25">
      <c r="A219" s="7"/>
      <c r="B219" s="7"/>
      <c r="C219" s="7"/>
      <c r="D219" s="7"/>
      <c r="E219" s="8"/>
      <c r="F219" s="9"/>
      <c r="G219" s="9"/>
      <c r="H219" s="10"/>
      <c r="I219" s="9"/>
      <c r="J219" s="9"/>
    </row>
    <row x14ac:dyDescent="0.25" r="220" customHeight="1" ht="17.25">
      <c r="A220" s="11" t="s">
        <v>1558</v>
      </c>
      <c r="B220" s="11"/>
      <c r="C220" s="11"/>
      <c r="D220" s="11"/>
      <c r="E220" s="12"/>
      <c r="F220" s="11"/>
      <c r="G220" s="11"/>
      <c r="H220" s="13"/>
      <c r="I220" s="11"/>
      <c r="J220" s="11"/>
    </row>
    <row x14ac:dyDescent="0.25" r="221" customHeight="1" ht="17.25">
      <c r="A221" s="14" t="s">
        <v>3</v>
      </c>
      <c r="B221" s="14" t="s">
        <v>4</v>
      </c>
      <c r="C221" s="14" t="s">
        <v>5</v>
      </c>
      <c r="D221" s="14" t="s">
        <v>6</v>
      </c>
      <c r="E221" s="15" t="s">
        <v>7</v>
      </c>
      <c r="F221" s="14" t="s">
        <v>8</v>
      </c>
      <c r="G221" s="14" t="s">
        <v>9</v>
      </c>
      <c r="H221" s="16" t="s">
        <v>10</v>
      </c>
      <c r="I221" s="14" t="s">
        <v>11</v>
      </c>
      <c r="J221" s="14" t="s">
        <v>12</v>
      </c>
    </row>
    <row x14ac:dyDescent="0.25" r="222" customHeight="1" ht="17.25">
      <c r="A222" s="17" t="s">
        <v>1559</v>
      </c>
      <c r="B222" s="17" t="s">
        <v>368</v>
      </c>
      <c r="C222" s="17" t="s">
        <v>114</v>
      </c>
      <c r="D222" s="17" t="s">
        <v>16</v>
      </c>
      <c r="E222" s="26">
        <f>ROUND(16900*1.05,2)</f>
      </c>
      <c r="F222" s="17" t="s">
        <v>17</v>
      </c>
      <c r="G222" s="17" t="s">
        <v>18</v>
      </c>
      <c r="H222" s="18">
        <f>ROUND(RAND()*4+6,1)</f>
      </c>
      <c r="I222" s="17" t="s">
        <v>19</v>
      </c>
      <c r="J222" s="19">
        <f>ROUND(68*1,0)&amp;"%"</f>
      </c>
    </row>
    <row x14ac:dyDescent="0.25" r="223" customHeight="1" ht="17.25">
      <c r="A223" s="20" t="s">
        <v>1560</v>
      </c>
      <c r="B223" s="20" t="s">
        <v>370</v>
      </c>
      <c r="C223" s="20" t="s">
        <v>114</v>
      </c>
      <c r="D223" s="20" t="s">
        <v>22</v>
      </c>
      <c r="E223" s="21">
        <f>ROUND(16055*1.05,2)</f>
      </c>
      <c r="F223" s="20" t="s">
        <v>23</v>
      </c>
      <c r="G223" s="20" t="s">
        <v>24</v>
      </c>
      <c r="H223" s="21">
        <f>ROUND(RAND()*4+6,1)</f>
      </c>
      <c r="I223" s="20" t="s">
        <v>25</v>
      </c>
      <c r="J223" s="23">
        <f>ROUND(92*1,0)&amp;"%"</f>
      </c>
    </row>
    <row x14ac:dyDescent="0.25" r="224" customHeight="1" ht="17.25">
      <c r="A224" s="17" t="s">
        <v>1561</v>
      </c>
      <c r="B224" s="17" t="s">
        <v>372</v>
      </c>
      <c r="C224" s="17" t="s">
        <v>114</v>
      </c>
      <c r="D224" s="17" t="s">
        <v>28</v>
      </c>
      <c r="E224" s="18">
        <f>ROUND(5071*1.05,2)</f>
      </c>
      <c r="F224" s="17" t="s">
        <v>29</v>
      </c>
      <c r="G224" s="17" t="s">
        <v>30</v>
      </c>
      <c r="H224" s="18">
        <f>ROUND(RAND()*4+6,1)</f>
      </c>
      <c r="I224" s="17" t="s">
        <v>31</v>
      </c>
      <c r="J224" s="19">
        <f>ROUND(99*1,0)&amp;"%"</f>
      </c>
    </row>
    <row x14ac:dyDescent="0.25" r="225" customHeight="1" ht="17.25">
      <c r="A225" s="20" t="s">
        <v>1562</v>
      </c>
      <c r="B225" s="20" t="s">
        <v>374</v>
      </c>
      <c r="C225" s="20" t="s">
        <v>114</v>
      </c>
      <c r="D225" s="20" t="s">
        <v>34</v>
      </c>
      <c r="E225" s="21">
        <f>ROUND(9793*1.05,2)</f>
      </c>
      <c r="F225" s="20" t="s">
        <v>35</v>
      </c>
      <c r="G225" s="20" t="s">
        <v>18</v>
      </c>
      <c r="H225" s="21">
        <f>ROUND(RAND()*4+6,1)</f>
      </c>
      <c r="I225" s="20" t="s">
        <v>36</v>
      </c>
      <c r="J225" s="23">
        <f>ROUND(69*1,0)&amp;"%"</f>
      </c>
    </row>
    <row x14ac:dyDescent="0.25" r="226" customHeight="1" ht="17.25">
      <c r="A226" s="17" t="s">
        <v>1563</v>
      </c>
      <c r="B226" s="17" t="s">
        <v>376</v>
      </c>
      <c r="C226" s="17" t="s">
        <v>114</v>
      </c>
      <c r="D226" s="17" t="s">
        <v>39</v>
      </c>
      <c r="E226" s="18">
        <f>ROUND(8098*1.05,2)</f>
      </c>
      <c r="F226" s="17" t="s">
        <v>40</v>
      </c>
      <c r="G226" s="17" t="s">
        <v>24</v>
      </c>
      <c r="H226" s="18">
        <f>ROUND(RAND()*4+6,1)</f>
      </c>
      <c r="I226" s="17" t="s">
        <v>41</v>
      </c>
      <c r="J226" s="19">
        <f>ROUND(88*1,0)&amp;"%"</f>
      </c>
    </row>
    <row x14ac:dyDescent="0.25" r="227" customHeight="1" ht="17.25">
      <c r="A227" s="20" t="s">
        <v>1564</v>
      </c>
      <c r="B227" s="20" t="s">
        <v>378</v>
      </c>
      <c r="C227" s="20" t="s">
        <v>114</v>
      </c>
      <c r="D227" s="20" t="s">
        <v>67</v>
      </c>
      <c r="E227" s="21">
        <f>ROUND(9079*1.05,2)</f>
      </c>
      <c r="F227" s="20" t="s">
        <v>44</v>
      </c>
      <c r="G227" s="20" t="s">
        <v>30</v>
      </c>
      <c r="H227" s="21">
        <f>ROUND(RAND()*4+6,1)</f>
      </c>
      <c r="I227" s="20" t="s">
        <v>45</v>
      </c>
      <c r="J227" s="23">
        <f>ROUND(73*1,0)&amp;"%"</f>
      </c>
    </row>
    <row x14ac:dyDescent="0.25" r="228" customHeight="1" ht="17.25">
      <c r="A228" s="17" t="s">
        <v>1565</v>
      </c>
      <c r="B228" s="17" t="s">
        <v>380</v>
      </c>
      <c r="C228" s="17" t="s">
        <v>114</v>
      </c>
      <c r="D228" s="17" t="s">
        <v>16</v>
      </c>
      <c r="E228" s="18">
        <f>ROUND(17194*1.05,2)</f>
      </c>
      <c r="F228" s="17" t="s">
        <v>48</v>
      </c>
      <c r="G228" s="17" t="s">
        <v>18</v>
      </c>
      <c r="H228" s="18">
        <f>ROUND(RAND()*4+6,1)</f>
      </c>
      <c r="I228" s="17" t="s">
        <v>19</v>
      </c>
      <c r="J228" s="19">
        <f>ROUND(86*1,0)&amp;"%"</f>
      </c>
    </row>
    <row x14ac:dyDescent="0.25" r="229" customHeight="1" ht="17.25">
      <c r="A229" s="20" t="s">
        <v>1566</v>
      </c>
      <c r="B229" s="20" t="s">
        <v>382</v>
      </c>
      <c r="C229" s="20" t="s">
        <v>114</v>
      </c>
      <c r="D229" s="20" t="s">
        <v>22</v>
      </c>
      <c r="E229" s="21">
        <f>ROUND(12449*1.05,2)</f>
      </c>
      <c r="F229" s="20" t="s">
        <v>51</v>
      </c>
      <c r="G229" s="20" t="s">
        <v>24</v>
      </c>
      <c r="H229" s="21">
        <f>ROUND(RAND()*4+6,1)</f>
      </c>
      <c r="I229" s="20" t="s">
        <v>25</v>
      </c>
      <c r="J229" s="23">
        <f>ROUND(62*1,0)&amp;"%"</f>
      </c>
    </row>
    <row x14ac:dyDescent="0.25" r="230" customHeight="1" ht="17.25">
      <c r="A230" s="24" t="s">
        <v>383</v>
      </c>
      <c r="B230" s="24"/>
      <c r="C230" s="24"/>
      <c r="D230" s="24"/>
      <c r="E230" s="25">
        <v>8</v>
      </c>
      <c r="F230" s="9"/>
      <c r="G230" s="9"/>
      <c r="H230" s="10"/>
      <c r="I230" s="9"/>
      <c r="J230" s="9"/>
    </row>
    <row x14ac:dyDescent="0.25" r="231" customHeight="1" ht="17.25">
      <c r="A231" s="7"/>
      <c r="B231" s="7"/>
      <c r="C231" s="7"/>
      <c r="D231" s="7"/>
      <c r="E231" s="8"/>
      <c r="F231" s="9"/>
      <c r="G231" s="9"/>
      <c r="H231" s="10"/>
      <c r="I231" s="9"/>
      <c r="J231" s="9"/>
    </row>
    <row x14ac:dyDescent="0.25" r="232" customHeight="1" ht="17.25">
      <c r="A232" s="11" t="s">
        <v>1567</v>
      </c>
      <c r="B232" s="11"/>
      <c r="C232" s="11"/>
      <c r="D232" s="11"/>
      <c r="E232" s="12"/>
      <c r="F232" s="11"/>
      <c r="G232" s="11"/>
      <c r="H232" s="13"/>
      <c r="I232" s="11"/>
      <c r="J232" s="11"/>
    </row>
    <row x14ac:dyDescent="0.25" r="233" customHeight="1" ht="17.25">
      <c r="A233" s="14" t="s">
        <v>3</v>
      </c>
      <c r="B233" s="14" t="s">
        <v>4</v>
      </c>
      <c r="C233" s="14" t="s">
        <v>5</v>
      </c>
      <c r="D233" s="14" t="s">
        <v>6</v>
      </c>
      <c r="E233" s="15" t="s">
        <v>7</v>
      </c>
      <c r="F233" s="14" t="s">
        <v>8</v>
      </c>
      <c r="G233" s="14" t="s">
        <v>9</v>
      </c>
      <c r="H233" s="16" t="s">
        <v>10</v>
      </c>
      <c r="I233" s="14" t="s">
        <v>11</v>
      </c>
      <c r="J233" s="14" t="s">
        <v>12</v>
      </c>
    </row>
    <row x14ac:dyDescent="0.25" r="234" customHeight="1" ht="17.25">
      <c r="A234" s="17" t="s">
        <v>1568</v>
      </c>
      <c r="B234" s="17" t="s">
        <v>386</v>
      </c>
      <c r="C234" s="17" t="s">
        <v>133</v>
      </c>
      <c r="D234" s="17" t="s">
        <v>16</v>
      </c>
      <c r="E234" s="18">
        <f>ROUND(5854*1.05,2)</f>
      </c>
      <c r="F234" s="17" t="s">
        <v>17</v>
      </c>
      <c r="G234" s="17" t="s">
        <v>18</v>
      </c>
      <c r="H234" s="18">
        <f>ROUND(RAND()*4+6,1)</f>
      </c>
      <c r="I234" s="17" t="s">
        <v>19</v>
      </c>
      <c r="J234" s="19">
        <f>ROUND(90*1,0)&amp;"%"</f>
      </c>
    </row>
    <row x14ac:dyDescent="0.25" r="235" customHeight="1" ht="17.25">
      <c r="A235" s="20" t="s">
        <v>1569</v>
      </c>
      <c r="B235" s="20" t="s">
        <v>388</v>
      </c>
      <c r="C235" s="20" t="s">
        <v>133</v>
      </c>
      <c r="D235" s="20" t="s">
        <v>22</v>
      </c>
      <c r="E235" s="21">
        <f>ROUND(10035*1.05,2)</f>
      </c>
      <c r="F235" s="20" t="s">
        <v>23</v>
      </c>
      <c r="G235" s="20" t="s">
        <v>24</v>
      </c>
      <c r="H235" s="22">
        <f>ROUND(RAND()*4+6,1)</f>
      </c>
      <c r="I235" s="20" t="s">
        <v>25</v>
      </c>
      <c r="J235" s="23">
        <f>ROUND(77*1,0)&amp;"%"</f>
      </c>
    </row>
    <row x14ac:dyDescent="0.25" r="236" customHeight="1" ht="17.25">
      <c r="A236" s="17" t="s">
        <v>1570</v>
      </c>
      <c r="B236" s="17" t="s">
        <v>390</v>
      </c>
      <c r="C236" s="17" t="s">
        <v>133</v>
      </c>
      <c r="D236" s="17" t="s">
        <v>28</v>
      </c>
      <c r="E236" s="18">
        <f>ROUND(17979*1.05,2)</f>
      </c>
      <c r="F236" s="17" t="s">
        <v>29</v>
      </c>
      <c r="G236" s="17" t="s">
        <v>30</v>
      </c>
      <c r="H236" s="18">
        <f>ROUND(RAND()*4+6,1)</f>
      </c>
      <c r="I236" s="17" t="s">
        <v>31</v>
      </c>
      <c r="J236" s="19">
        <f>ROUND(75*1,0)&amp;"%"</f>
      </c>
    </row>
    <row x14ac:dyDescent="0.25" r="237" customHeight="1" ht="17.25">
      <c r="A237" s="20" t="s">
        <v>1571</v>
      </c>
      <c r="B237" s="20" t="s">
        <v>392</v>
      </c>
      <c r="C237" s="20" t="s">
        <v>133</v>
      </c>
      <c r="D237" s="20" t="s">
        <v>34</v>
      </c>
      <c r="E237" s="22">
        <f>ROUND(4220*1.05,2)</f>
      </c>
      <c r="F237" s="20" t="s">
        <v>35</v>
      </c>
      <c r="G237" s="20" t="s">
        <v>18</v>
      </c>
      <c r="H237" s="22">
        <f>ROUND(RAND()*4+6,1)</f>
      </c>
      <c r="I237" s="20" t="s">
        <v>36</v>
      </c>
      <c r="J237" s="23">
        <f>ROUND(97*1,0)&amp;"%"</f>
      </c>
    </row>
    <row x14ac:dyDescent="0.25" r="238" customHeight="1" ht="17.25">
      <c r="A238" s="17" t="s">
        <v>1572</v>
      </c>
      <c r="B238" s="17" t="s">
        <v>394</v>
      </c>
      <c r="C238" s="17" t="s">
        <v>133</v>
      </c>
      <c r="D238" s="17" t="s">
        <v>39</v>
      </c>
      <c r="E238" s="18">
        <f>ROUND(15513*1.05,2)</f>
      </c>
      <c r="F238" s="17" t="s">
        <v>40</v>
      </c>
      <c r="G238" s="17" t="s">
        <v>24</v>
      </c>
      <c r="H238" s="18">
        <f>ROUND(RAND()*4+6,1)</f>
      </c>
      <c r="I238" s="17" t="s">
        <v>41</v>
      </c>
      <c r="J238" s="19">
        <f>ROUND(77*1,0)&amp;"%"</f>
      </c>
    </row>
    <row x14ac:dyDescent="0.25" r="239" customHeight="1" ht="17.25">
      <c r="A239" s="20" t="s">
        <v>1573</v>
      </c>
      <c r="B239" s="20" t="s">
        <v>396</v>
      </c>
      <c r="C239" s="20" t="s">
        <v>133</v>
      </c>
      <c r="D239" s="20" t="s">
        <v>67</v>
      </c>
      <c r="E239" s="21">
        <f>ROUND(8238*1.05,2)</f>
      </c>
      <c r="F239" s="20" t="s">
        <v>44</v>
      </c>
      <c r="G239" s="20" t="s">
        <v>30</v>
      </c>
      <c r="H239" s="22">
        <f>ROUND(RAND()*4+6,1)</f>
      </c>
      <c r="I239" s="20" t="s">
        <v>45</v>
      </c>
      <c r="J239" s="23">
        <f>ROUND(86*1,0)&amp;"%"</f>
      </c>
    </row>
    <row x14ac:dyDescent="0.25" r="240" customHeight="1" ht="17.25">
      <c r="A240" s="17" t="s">
        <v>1574</v>
      </c>
      <c r="B240" s="17" t="s">
        <v>398</v>
      </c>
      <c r="C240" s="17" t="s">
        <v>133</v>
      </c>
      <c r="D240" s="17" t="s">
        <v>16</v>
      </c>
      <c r="E240" s="18">
        <f>ROUND(10891*1.05,2)</f>
      </c>
      <c r="F240" s="17" t="s">
        <v>48</v>
      </c>
      <c r="G240" s="17" t="s">
        <v>18</v>
      </c>
      <c r="H240" s="18">
        <f>ROUND(RAND()*4+6,1)</f>
      </c>
      <c r="I240" s="17" t="s">
        <v>19</v>
      </c>
      <c r="J240" s="19">
        <f>ROUND(73*1,0)&amp;"%"</f>
      </c>
    </row>
    <row x14ac:dyDescent="0.25" r="241" customHeight="1" ht="17.25">
      <c r="A241" s="20" t="s">
        <v>1575</v>
      </c>
      <c r="B241" s="20" t="s">
        <v>400</v>
      </c>
      <c r="C241" s="20" t="s">
        <v>133</v>
      </c>
      <c r="D241" s="20" t="s">
        <v>22</v>
      </c>
      <c r="E241" s="21">
        <f>ROUND(11602*1.05,2)</f>
      </c>
      <c r="F241" s="20" t="s">
        <v>51</v>
      </c>
      <c r="G241" s="20" t="s">
        <v>24</v>
      </c>
      <c r="H241" s="21">
        <f>ROUND(RAND()*4+6,1)</f>
      </c>
      <c r="I241" s="20" t="s">
        <v>25</v>
      </c>
      <c r="J241" s="23">
        <f>ROUND(77*1,0)&amp;"%"</f>
      </c>
    </row>
    <row x14ac:dyDescent="0.25" r="242" customHeight="1" ht="17.25">
      <c r="A242" s="24" t="s">
        <v>401</v>
      </c>
      <c r="B242" s="24"/>
      <c r="C242" s="24"/>
      <c r="D242" s="24"/>
      <c r="E242" s="25">
        <v>8</v>
      </c>
      <c r="F242" s="9"/>
      <c r="G242" s="9"/>
      <c r="H242" s="10"/>
      <c r="I242" s="9"/>
      <c r="J242" s="9"/>
    </row>
    <row x14ac:dyDescent="0.25" r="243" customHeight="1" ht="17.25">
      <c r="A243" s="7"/>
      <c r="B243" s="7"/>
      <c r="C243" s="7"/>
      <c r="D243" s="7"/>
      <c r="E243" s="8"/>
      <c r="F243" s="9"/>
      <c r="G243" s="9"/>
      <c r="H243" s="10"/>
      <c r="I243" s="9"/>
      <c r="J243" s="9"/>
    </row>
    <row x14ac:dyDescent="0.25" r="244" customHeight="1" ht="17.25">
      <c r="A244" s="11" t="s">
        <v>1576</v>
      </c>
      <c r="B244" s="11"/>
      <c r="C244" s="11"/>
      <c r="D244" s="11"/>
      <c r="E244" s="12"/>
      <c r="F244" s="11"/>
      <c r="G244" s="11"/>
      <c r="H244" s="13"/>
      <c r="I244" s="11"/>
      <c r="J244" s="11"/>
    </row>
    <row x14ac:dyDescent="0.25" r="245" customHeight="1" ht="17.25">
      <c r="A245" s="14" t="s">
        <v>3</v>
      </c>
      <c r="B245" s="14" t="s">
        <v>4</v>
      </c>
      <c r="C245" s="14" t="s">
        <v>5</v>
      </c>
      <c r="D245" s="14" t="s">
        <v>6</v>
      </c>
      <c r="E245" s="15" t="s">
        <v>7</v>
      </c>
      <c r="F245" s="14" t="s">
        <v>8</v>
      </c>
      <c r="G245" s="14" t="s">
        <v>9</v>
      </c>
      <c r="H245" s="16" t="s">
        <v>10</v>
      </c>
      <c r="I245" s="14" t="s">
        <v>11</v>
      </c>
      <c r="J245" s="14" t="s">
        <v>12</v>
      </c>
    </row>
    <row x14ac:dyDescent="0.25" r="246" customHeight="1" ht="17.25">
      <c r="A246" s="17" t="s">
        <v>1577</v>
      </c>
      <c r="B246" s="17" t="s">
        <v>404</v>
      </c>
      <c r="C246" s="17" t="s">
        <v>152</v>
      </c>
      <c r="D246" s="17" t="s">
        <v>16</v>
      </c>
      <c r="E246" s="18">
        <f>ROUND(10601*1.05,2)</f>
      </c>
      <c r="F246" s="17" t="s">
        <v>17</v>
      </c>
      <c r="G246" s="17" t="s">
        <v>18</v>
      </c>
      <c r="H246" s="18">
        <f>ROUND(RAND()*4+6,1)</f>
      </c>
      <c r="I246" s="17" t="s">
        <v>19</v>
      </c>
      <c r="J246" s="19">
        <f>ROUND(84*1,0)&amp;"%"</f>
      </c>
    </row>
    <row x14ac:dyDescent="0.25" r="247" customHeight="1" ht="17.25">
      <c r="A247" s="20" t="s">
        <v>1578</v>
      </c>
      <c r="B247" s="20" t="s">
        <v>406</v>
      </c>
      <c r="C247" s="20" t="s">
        <v>152</v>
      </c>
      <c r="D247" s="20" t="s">
        <v>22</v>
      </c>
      <c r="E247" s="21">
        <f>ROUND(4050*1.05,2)</f>
      </c>
      <c r="F247" s="20" t="s">
        <v>23</v>
      </c>
      <c r="G247" s="20" t="s">
        <v>24</v>
      </c>
      <c r="H247" s="21">
        <f>ROUND(RAND()*4+6,1)</f>
      </c>
      <c r="I247" s="20" t="s">
        <v>25</v>
      </c>
      <c r="J247" s="23">
        <f>ROUND(84*1,0)&amp;"%"</f>
      </c>
    </row>
    <row x14ac:dyDescent="0.25" r="248" customHeight="1" ht="17.25">
      <c r="A248" s="17" t="s">
        <v>1579</v>
      </c>
      <c r="B248" s="17" t="s">
        <v>408</v>
      </c>
      <c r="C248" s="17" t="s">
        <v>152</v>
      </c>
      <c r="D248" s="17" t="s">
        <v>28</v>
      </c>
      <c r="E248" s="18">
        <f>ROUND(9361*1.05,2)</f>
      </c>
      <c r="F248" s="17" t="s">
        <v>29</v>
      </c>
      <c r="G248" s="17" t="s">
        <v>30</v>
      </c>
      <c r="H248" s="18">
        <f>ROUND(RAND()*4+6,1)</f>
      </c>
      <c r="I248" s="17" t="s">
        <v>31</v>
      </c>
      <c r="J248" s="19">
        <f>ROUND(89*1,0)&amp;"%"</f>
      </c>
    </row>
    <row x14ac:dyDescent="0.25" r="249" customHeight="1" ht="17.25">
      <c r="A249" s="20" t="s">
        <v>1580</v>
      </c>
      <c r="B249" s="20" t="s">
        <v>410</v>
      </c>
      <c r="C249" s="20" t="s">
        <v>152</v>
      </c>
      <c r="D249" s="20" t="s">
        <v>34</v>
      </c>
      <c r="E249" s="21">
        <f>ROUND(11596*1.05,2)</f>
      </c>
      <c r="F249" s="20" t="s">
        <v>35</v>
      </c>
      <c r="G249" s="20" t="s">
        <v>18</v>
      </c>
      <c r="H249" s="21">
        <f>ROUND(RAND()*4+6,1)</f>
      </c>
      <c r="I249" s="20" t="s">
        <v>36</v>
      </c>
      <c r="J249" s="23">
        <f>ROUND(92*1,0)&amp;"%"</f>
      </c>
    </row>
    <row x14ac:dyDescent="0.25" r="250" customHeight="1" ht="17.25">
      <c r="A250" s="17" t="s">
        <v>1581</v>
      </c>
      <c r="B250" s="17" t="s">
        <v>412</v>
      </c>
      <c r="C250" s="17" t="s">
        <v>152</v>
      </c>
      <c r="D250" s="17" t="s">
        <v>39</v>
      </c>
      <c r="E250" s="18">
        <f>ROUND(7872*1.05,2)</f>
      </c>
      <c r="F250" s="17" t="s">
        <v>40</v>
      </c>
      <c r="G250" s="17" t="s">
        <v>24</v>
      </c>
      <c r="H250" s="18">
        <f>ROUND(RAND()*4+6,1)</f>
      </c>
      <c r="I250" s="17" t="s">
        <v>41</v>
      </c>
      <c r="J250" s="19">
        <f>ROUND(70*1,0)&amp;"%"</f>
      </c>
    </row>
    <row x14ac:dyDescent="0.25" r="251" customHeight="1" ht="17.25">
      <c r="A251" s="20" t="s">
        <v>1582</v>
      </c>
      <c r="B251" s="20" t="s">
        <v>414</v>
      </c>
      <c r="C251" s="20" t="s">
        <v>152</v>
      </c>
      <c r="D251" s="20" t="s">
        <v>67</v>
      </c>
      <c r="E251" s="21">
        <f>ROUND(16966*1.05,2)</f>
      </c>
      <c r="F251" s="20" t="s">
        <v>44</v>
      </c>
      <c r="G251" s="20" t="s">
        <v>30</v>
      </c>
      <c r="H251" s="21">
        <f>ROUND(RAND()*4+6,1)</f>
      </c>
      <c r="I251" s="20" t="s">
        <v>45</v>
      </c>
      <c r="J251" s="23">
        <f>ROUND(78*1,0)&amp;"%"</f>
      </c>
    </row>
    <row x14ac:dyDescent="0.25" r="252" customHeight="1" ht="17.25">
      <c r="A252" s="17" t="s">
        <v>1583</v>
      </c>
      <c r="B252" s="17" t="s">
        <v>416</v>
      </c>
      <c r="C252" s="17" t="s">
        <v>152</v>
      </c>
      <c r="D252" s="17" t="s">
        <v>16</v>
      </c>
      <c r="E252" s="18">
        <f>ROUND(5808*1.05,2)</f>
      </c>
      <c r="F252" s="17" t="s">
        <v>48</v>
      </c>
      <c r="G252" s="17" t="s">
        <v>18</v>
      </c>
      <c r="H252" s="26">
        <f>ROUND(RAND()*4+6,1)</f>
      </c>
      <c r="I252" s="17" t="s">
        <v>19</v>
      </c>
      <c r="J252" s="19">
        <f>ROUND(68*1,0)&amp;"%"</f>
      </c>
    </row>
    <row x14ac:dyDescent="0.25" r="253" customHeight="1" ht="17.25">
      <c r="A253" s="20" t="s">
        <v>1584</v>
      </c>
      <c r="B253" s="20" t="s">
        <v>418</v>
      </c>
      <c r="C253" s="20" t="s">
        <v>152</v>
      </c>
      <c r="D253" s="20" t="s">
        <v>22</v>
      </c>
      <c r="E253" s="21">
        <f>ROUND(10701*1.05,2)</f>
      </c>
      <c r="F253" s="20" t="s">
        <v>51</v>
      </c>
      <c r="G253" s="20" t="s">
        <v>24</v>
      </c>
      <c r="H253" s="21">
        <f>ROUND(RAND()*4+6,1)</f>
      </c>
      <c r="I253" s="20" t="s">
        <v>25</v>
      </c>
      <c r="J253" s="23">
        <f>ROUND(63*1,0)&amp;"%"</f>
      </c>
    </row>
    <row x14ac:dyDescent="0.25" r="254" customHeight="1" ht="17.25">
      <c r="A254" s="24" t="s">
        <v>419</v>
      </c>
      <c r="B254" s="24"/>
      <c r="C254" s="24"/>
      <c r="D254" s="24"/>
      <c r="E254" s="25">
        <v>8</v>
      </c>
      <c r="F254" s="9"/>
      <c r="G254" s="9"/>
      <c r="H254" s="10"/>
      <c r="I254" s="9"/>
      <c r="J254" s="9"/>
    </row>
    <row x14ac:dyDescent="0.25" r="255" customHeight="1" ht="17.25">
      <c r="A255" s="7"/>
      <c r="B255" s="7"/>
      <c r="C255" s="7"/>
      <c r="D255" s="7"/>
      <c r="E255" s="8"/>
      <c r="F255" s="9"/>
      <c r="G255" s="9"/>
      <c r="H255" s="10"/>
      <c r="I255" s="9"/>
      <c r="J255" s="9"/>
    </row>
    <row x14ac:dyDescent="0.25" r="256" customHeight="1" ht="17.25">
      <c r="A256" s="11" t="s">
        <v>1585</v>
      </c>
      <c r="B256" s="11"/>
      <c r="C256" s="11"/>
      <c r="D256" s="11"/>
      <c r="E256" s="12"/>
      <c r="F256" s="11"/>
      <c r="G256" s="11"/>
      <c r="H256" s="13"/>
      <c r="I256" s="11"/>
      <c r="J256" s="11"/>
    </row>
    <row x14ac:dyDescent="0.25" r="257" customHeight="1" ht="17.25">
      <c r="A257" s="14" t="s">
        <v>3</v>
      </c>
      <c r="B257" s="14" t="s">
        <v>4</v>
      </c>
      <c r="C257" s="14" t="s">
        <v>5</v>
      </c>
      <c r="D257" s="14" t="s">
        <v>6</v>
      </c>
      <c r="E257" s="15" t="s">
        <v>7</v>
      </c>
      <c r="F257" s="14" t="s">
        <v>8</v>
      </c>
      <c r="G257" s="14" t="s">
        <v>9</v>
      </c>
      <c r="H257" s="16" t="s">
        <v>10</v>
      </c>
      <c r="I257" s="14" t="s">
        <v>11</v>
      </c>
      <c r="J257" s="14" t="s">
        <v>12</v>
      </c>
    </row>
    <row x14ac:dyDescent="0.25" r="258" customHeight="1" ht="17.25">
      <c r="A258" s="17" t="s">
        <v>1586</v>
      </c>
      <c r="B258" s="17" t="s">
        <v>422</v>
      </c>
      <c r="C258" s="17" t="s">
        <v>15</v>
      </c>
      <c r="D258" s="17" t="s">
        <v>16</v>
      </c>
      <c r="E258" s="18">
        <f>ROUND(9054*1.05,2)</f>
      </c>
      <c r="F258" s="17" t="s">
        <v>17</v>
      </c>
      <c r="G258" s="17" t="s">
        <v>18</v>
      </c>
      <c r="H258" s="18">
        <f>ROUND(RAND()*4+6,1)</f>
      </c>
      <c r="I258" s="17" t="s">
        <v>19</v>
      </c>
      <c r="J258" s="19">
        <f>ROUND(76*1,0)&amp;"%"</f>
      </c>
    </row>
    <row x14ac:dyDescent="0.25" r="259" customHeight="1" ht="17.25">
      <c r="A259" s="20" t="s">
        <v>1587</v>
      </c>
      <c r="B259" s="20" t="s">
        <v>424</v>
      </c>
      <c r="C259" s="20" t="s">
        <v>15</v>
      </c>
      <c r="D259" s="20" t="s">
        <v>22</v>
      </c>
      <c r="E259" s="21">
        <f>ROUND(9252*1.05,2)</f>
      </c>
      <c r="F259" s="20" t="s">
        <v>23</v>
      </c>
      <c r="G259" s="20" t="s">
        <v>24</v>
      </c>
      <c r="H259" s="21">
        <f>ROUND(RAND()*4+6,1)</f>
      </c>
      <c r="I259" s="20" t="s">
        <v>25</v>
      </c>
      <c r="J259" s="23">
        <f>ROUND(81*1,0)&amp;"%"</f>
      </c>
    </row>
    <row x14ac:dyDescent="0.25" r="260" customHeight="1" ht="17.25">
      <c r="A260" s="17" t="s">
        <v>1588</v>
      </c>
      <c r="B260" s="17" t="s">
        <v>426</v>
      </c>
      <c r="C260" s="17" t="s">
        <v>15</v>
      </c>
      <c r="D260" s="17" t="s">
        <v>28</v>
      </c>
      <c r="E260" s="18">
        <f>ROUND(10622*1.05,2)</f>
      </c>
      <c r="F260" s="17" t="s">
        <v>29</v>
      </c>
      <c r="G260" s="17" t="s">
        <v>30</v>
      </c>
      <c r="H260" s="18">
        <f>ROUND(RAND()*4+6,1)</f>
      </c>
      <c r="I260" s="17" t="s">
        <v>31</v>
      </c>
      <c r="J260" s="19">
        <f>ROUND(73*1,0)&amp;"%"</f>
      </c>
    </row>
    <row x14ac:dyDescent="0.25" r="261" customHeight="1" ht="17.25">
      <c r="A261" s="20" t="s">
        <v>1589</v>
      </c>
      <c r="B261" s="20" t="s">
        <v>428</v>
      </c>
      <c r="C261" s="20" t="s">
        <v>15</v>
      </c>
      <c r="D261" s="20" t="s">
        <v>34</v>
      </c>
      <c r="E261" s="21">
        <f>ROUND(7286*1.05,2)</f>
      </c>
      <c r="F261" s="20" t="s">
        <v>35</v>
      </c>
      <c r="G261" s="20" t="s">
        <v>18</v>
      </c>
      <c r="H261" s="21">
        <f>ROUND(RAND()*4+6,1)</f>
      </c>
      <c r="I261" s="20" t="s">
        <v>36</v>
      </c>
      <c r="J261" s="23">
        <f>ROUND(60*1,0)&amp;"%"</f>
      </c>
    </row>
    <row x14ac:dyDescent="0.25" r="262" customHeight="1" ht="17.25">
      <c r="A262" s="17" t="s">
        <v>1590</v>
      </c>
      <c r="B262" s="17" t="s">
        <v>430</v>
      </c>
      <c r="C262" s="17" t="s">
        <v>15</v>
      </c>
      <c r="D262" s="17" t="s">
        <v>39</v>
      </c>
      <c r="E262" s="18">
        <f>ROUND(5416*1.05,2)</f>
      </c>
      <c r="F262" s="17" t="s">
        <v>40</v>
      </c>
      <c r="G262" s="17" t="s">
        <v>24</v>
      </c>
      <c r="H262" s="18">
        <f>ROUND(RAND()*4+6,1)</f>
      </c>
      <c r="I262" s="17" t="s">
        <v>41</v>
      </c>
      <c r="J262" s="19">
        <f>ROUND(75*1,0)&amp;"%"</f>
      </c>
    </row>
    <row x14ac:dyDescent="0.25" r="263" customHeight="1" ht="17.25">
      <c r="A263" s="20" t="s">
        <v>1591</v>
      </c>
      <c r="B263" s="20" t="s">
        <v>432</v>
      </c>
      <c r="C263" s="20" t="s">
        <v>15</v>
      </c>
      <c r="D263" s="20" t="s">
        <v>67</v>
      </c>
      <c r="E263" s="21">
        <f>ROUND(17869*1.05,2)</f>
      </c>
      <c r="F263" s="20" t="s">
        <v>44</v>
      </c>
      <c r="G263" s="20" t="s">
        <v>30</v>
      </c>
      <c r="H263" s="21">
        <f>ROUND(RAND()*4+6,1)</f>
      </c>
      <c r="I263" s="20" t="s">
        <v>45</v>
      </c>
      <c r="J263" s="23">
        <f>ROUND(68*1,0)&amp;"%"</f>
      </c>
    </row>
    <row x14ac:dyDescent="0.25" r="264" customHeight="1" ht="17.25">
      <c r="A264" s="17" t="s">
        <v>1592</v>
      </c>
      <c r="B264" s="17" t="s">
        <v>434</v>
      </c>
      <c r="C264" s="17" t="s">
        <v>15</v>
      </c>
      <c r="D264" s="17" t="s">
        <v>16</v>
      </c>
      <c r="E264" s="18">
        <f>ROUND(12258*1.05,2)</f>
      </c>
      <c r="F264" s="17" t="s">
        <v>48</v>
      </c>
      <c r="G264" s="17" t="s">
        <v>18</v>
      </c>
      <c r="H264" s="18">
        <f>ROUND(RAND()*4+6,1)</f>
      </c>
      <c r="I264" s="17" t="s">
        <v>19</v>
      </c>
      <c r="J264" s="19">
        <f>ROUND(72*1,0)&amp;"%"</f>
      </c>
    </row>
    <row x14ac:dyDescent="0.25" r="265" customHeight="1" ht="17.25">
      <c r="A265" s="20" t="s">
        <v>1593</v>
      </c>
      <c r="B265" s="20" t="s">
        <v>436</v>
      </c>
      <c r="C265" s="20" t="s">
        <v>15</v>
      </c>
      <c r="D265" s="20" t="s">
        <v>22</v>
      </c>
      <c r="E265" s="21">
        <f>ROUND(13275*1.05,2)</f>
      </c>
      <c r="F265" s="20" t="s">
        <v>51</v>
      </c>
      <c r="G265" s="20" t="s">
        <v>24</v>
      </c>
      <c r="H265" s="21">
        <f>ROUND(RAND()*4+6,1)</f>
      </c>
      <c r="I265" s="20" t="s">
        <v>25</v>
      </c>
      <c r="J265" s="23">
        <f>ROUND(68*1,0)&amp;"%"</f>
      </c>
    </row>
    <row x14ac:dyDescent="0.25" r="266" customHeight="1" ht="17.25">
      <c r="A266" s="24" t="s">
        <v>437</v>
      </c>
      <c r="B266" s="24"/>
      <c r="C266" s="24"/>
      <c r="D266" s="24"/>
      <c r="E266" s="25">
        <v>8</v>
      </c>
      <c r="F266" s="9"/>
      <c r="G266" s="9"/>
      <c r="H266" s="10"/>
      <c r="I266" s="9"/>
      <c r="J266" s="9"/>
    </row>
    <row x14ac:dyDescent="0.25" r="267" customHeight="1" ht="17.25">
      <c r="A267" s="7"/>
      <c r="B267" s="7"/>
      <c r="C267" s="7"/>
      <c r="D267" s="7"/>
      <c r="E267" s="8"/>
      <c r="F267" s="9"/>
      <c r="G267" s="9"/>
      <c r="H267" s="10"/>
      <c r="I267" s="9"/>
      <c r="J267" s="9"/>
    </row>
    <row x14ac:dyDescent="0.25" r="268" customHeight="1" ht="17.25">
      <c r="A268" s="11" t="s">
        <v>1594</v>
      </c>
      <c r="B268" s="11"/>
      <c r="C268" s="11"/>
      <c r="D268" s="11"/>
      <c r="E268" s="12"/>
      <c r="F268" s="11"/>
      <c r="G268" s="11"/>
      <c r="H268" s="13"/>
      <c r="I268" s="11"/>
      <c r="J268" s="11"/>
    </row>
    <row x14ac:dyDescent="0.25" r="269" customHeight="1" ht="17.25">
      <c r="A269" s="14" t="s">
        <v>3</v>
      </c>
      <c r="B269" s="14" t="s">
        <v>4</v>
      </c>
      <c r="C269" s="14" t="s">
        <v>5</v>
      </c>
      <c r="D269" s="14" t="s">
        <v>6</v>
      </c>
      <c r="E269" s="15" t="s">
        <v>7</v>
      </c>
      <c r="F269" s="14" t="s">
        <v>8</v>
      </c>
      <c r="G269" s="14" t="s">
        <v>9</v>
      </c>
      <c r="H269" s="16" t="s">
        <v>10</v>
      </c>
      <c r="I269" s="14" t="s">
        <v>11</v>
      </c>
      <c r="J269" s="14" t="s">
        <v>12</v>
      </c>
    </row>
    <row x14ac:dyDescent="0.25" r="270" customHeight="1" ht="17.25">
      <c r="A270" s="17" t="s">
        <v>1595</v>
      </c>
      <c r="B270" s="17" t="s">
        <v>440</v>
      </c>
      <c r="C270" s="17" t="s">
        <v>56</v>
      </c>
      <c r="D270" s="17" t="s">
        <v>16</v>
      </c>
      <c r="E270" s="18">
        <f>ROUND(12419*1.05,2)</f>
      </c>
      <c r="F270" s="17" t="s">
        <v>17</v>
      </c>
      <c r="G270" s="17" t="s">
        <v>18</v>
      </c>
      <c r="H270" s="18">
        <f>ROUND(RAND()*4+6,1)</f>
      </c>
      <c r="I270" s="17" t="s">
        <v>19</v>
      </c>
      <c r="J270" s="19">
        <f>ROUND(84*1,0)&amp;"%"</f>
      </c>
    </row>
    <row x14ac:dyDescent="0.25" r="271" customHeight="1" ht="17.25">
      <c r="A271" s="20" t="s">
        <v>1596</v>
      </c>
      <c r="B271" s="20" t="s">
        <v>442</v>
      </c>
      <c r="C271" s="20" t="s">
        <v>56</v>
      </c>
      <c r="D271" s="20" t="s">
        <v>22</v>
      </c>
      <c r="E271" s="21">
        <f>ROUND(9632*1.05,2)</f>
      </c>
      <c r="F271" s="20" t="s">
        <v>23</v>
      </c>
      <c r="G271" s="20" t="s">
        <v>24</v>
      </c>
      <c r="H271" s="21">
        <f>ROUND(RAND()*4+6,1)</f>
      </c>
      <c r="I271" s="20" t="s">
        <v>25</v>
      </c>
      <c r="J271" s="23">
        <f>ROUND(81*1,0)&amp;"%"</f>
      </c>
    </row>
    <row x14ac:dyDescent="0.25" r="272" customHeight="1" ht="17.25">
      <c r="A272" s="17" t="s">
        <v>1597</v>
      </c>
      <c r="B272" s="17" t="s">
        <v>444</v>
      </c>
      <c r="C272" s="17" t="s">
        <v>56</v>
      </c>
      <c r="D272" s="17" t="s">
        <v>28</v>
      </c>
      <c r="E272" s="18">
        <f>ROUND(8688*1.05,2)</f>
      </c>
      <c r="F272" s="17" t="s">
        <v>29</v>
      </c>
      <c r="G272" s="17" t="s">
        <v>30</v>
      </c>
      <c r="H272" s="18">
        <f>ROUND(RAND()*4+6,1)</f>
      </c>
      <c r="I272" s="17" t="s">
        <v>31</v>
      </c>
      <c r="J272" s="19">
        <f>ROUND(93*1,0)&amp;"%"</f>
      </c>
    </row>
    <row x14ac:dyDescent="0.25" r="273" customHeight="1" ht="17.25">
      <c r="A273" s="20" t="s">
        <v>1598</v>
      </c>
      <c r="B273" s="20" t="s">
        <v>446</v>
      </c>
      <c r="C273" s="20" t="s">
        <v>56</v>
      </c>
      <c r="D273" s="20" t="s">
        <v>34</v>
      </c>
      <c r="E273" s="21">
        <f>ROUND(6630*1.05,2)</f>
      </c>
      <c r="F273" s="20" t="s">
        <v>35</v>
      </c>
      <c r="G273" s="20" t="s">
        <v>18</v>
      </c>
      <c r="H273" s="21">
        <f>ROUND(RAND()*4+6,1)</f>
      </c>
      <c r="I273" s="20" t="s">
        <v>36</v>
      </c>
      <c r="J273" s="23">
        <f>ROUND(94*1,0)&amp;"%"</f>
      </c>
    </row>
    <row x14ac:dyDescent="0.25" r="274" customHeight="1" ht="17.25">
      <c r="A274" s="17" t="s">
        <v>1599</v>
      </c>
      <c r="B274" s="17" t="s">
        <v>448</v>
      </c>
      <c r="C274" s="17" t="s">
        <v>56</v>
      </c>
      <c r="D274" s="17" t="s">
        <v>39</v>
      </c>
      <c r="E274" s="18">
        <f>ROUND(4174*1.05,2)</f>
      </c>
      <c r="F274" s="17" t="s">
        <v>40</v>
      </c>
      <c r="G274" s="17" t="s">
        <v>24</v>
      </c>
      <c r="H274" s="18">
        <f>ROUND(RAND()*4+6,1)</f>
      </c>
      <c r="I274" s="17" t="s">
        <v>41</v>
      </c>
      <c r="J274" s="19">
        <f>ROUND(81*1,0)&amp;"%"</f>
      </c>
    </row>
    <row x14ac:dyDescent="0.25" r="275" customHeight="1" ht="17.25">
      <c r="A275" s="20" t="s">
        <v>1600</v>
      </c>
      <c r="B275" s="20" t="s">
        <v>450</v>
      </c>
      <c r="C275" s="20" t="s">
        <v>56</v>
      </c>
      <c r="D275" s="20" t="s">
        <v>67</v>
      </c>
      <c r="E275" s="21">
        <f>ROUND(8092*1.05,2)</f>
      </c>
      <c r="F275" s="20" t="s">
        <v>44</v>
      </c>
      <c r="G275" s="20" t="s">
        <v>30</v>
      </c>
      <c r="H275" s="21">
        <f>ROUND(RAND()*4+6,1)</f>
      </c>
      <c r="I275" s="20" t="s">
        <v>45</v>
      </c>
      <c r="J275" s="23">
        <f>ROUND(92*1,0)&amp;"%"</f>
      </c>
    </row>
    <row x14ac:dyDescent="0.25" r="276" customHeight="1" ht="17.25">
      <c r="A276" s="17" t="s">
        <v>1601</v>
      </c>
      <c r="B276" s="17" t="s">
        <v>452</v>
      </c>
      <c r="C276" s="17" t="s">
        <v>56</v>
      </c>
      <c r="D276" s="17" t="s">
        <v>16</v>
      </c>
      <c r="E276" s="18">
        <f>ROUND(8248*1.05,2)</f>
      </c>
      <c r="F276" s="17" t="s">
        <v>48</v>
      </c>
      <c r="G276" s="17" t="s">
        <v>18</v>
      </c>
      <c r="H276" s="18">
        <f>ROUND(RAND()*4+6,1)</f>
      </c>
      <c r="I276" s="17" t="s">
        <v>19</v>
      </c>
      <c r="J276" s="19">
        <f>ROUND(65*1,0)&amp;"%"</f>
      </c>
    </row>
    <row x14ac:dyDescent="0.25" r="277" customHeight="1" ht="17.25">
      <c r="A277" s="20" t="s">
        <v>1602</v>
      </c>
      <c r="B277" s="20" t="s">
        <v>454</v>
      </c>
      <c r="C277" s="20" t="s">
        <v>56</v>
      </c>
      <c r="D277" s="20" t="s">
        <v>22</v>
      </c>
      <c r="E277" s="21">
        <f>ROUND(9312*1.05,2)</f>
      </c>
      <c r="F277" s="20" t="s">
        <v>51</v>
      </c>
      <c r="G277" s="20" t="s">
        <v>24</v>
      </c>
      <c r="H277" s="21">
        <f>ROUND(RAND()*4+6,1)</f>
      </c>
      <c r="I277" s="20" t="s">
        <v>25</v>
      </c>
      <c r="J277" s="23">
        <f>ROUND(99*1,0)&amp;"%"</f>
      </c>
    </row>
    <row x14ac:dyDescent="0.25" r="278" customHeight="1" ht="17.25">
      <c r="A278" s="24" t="s">
        <v>455</v>
      </c>
      <c r="B278" s="24"/>
      <c r="C278" s="24"/>
      <c r="D278" s="24"/>
      <c r="E278" s="25">
        <v>8</v>
      </c>
      <c r="F278" s="9"/>
      <c r="G278" s="9"/>
      <c r="H278" s="10"/>
      <c r="I278" s="9"/>
      <c r="J278" s="9"/>
    </row>
    <row x14ac:dyDescent="0.25" r="279" customHeight="1" ht="17.25">
      <c r="A279" s="7"/>
      <c r="B279" s="7"/>
      <c r="C279" s="7"/>
      <c r="D279" s="7"/>
      <c r="E279" s="8"/>
      <c r="F279" s="9"/>
      <c r="G279" s="9"/>
      <c r="H279" s="10"/>
      <c r="I279" s="9"/>
      <c r="J279" s="9"/>
    </row>
    <row x14ac:dyDescent="0.25" r="280" customHeight="1" ht="17.25">
      <c r="A280" s="11" t="s">
        <v>1603</v>
      </c>
      <c r="B280" s="11"/>
      <c r="C280" s="11"/>
      <c r="D280" s="11"/>
      <c r="E280" s="12"/>
      <c r="F280" s="11"/>
      <c r="G280" s="11"/>
      <c r="H280" s="13"/>
      <c r="I280" s="11"/>
      <c r="J280" s="11"/>
    </row>
    <row x14ac:dyDescent="0.25" r="281" customHeight="1" ht="17.25">
      <c r="A281" s="14" t="s">
        <v>3</v>
      </c>
      <c r="B281" s="14" t="s">
        <v>4</v>
      </c>
      <c r="C281" s="14" t="s">
        <v>5</v>
      </c>
      <c r="D281" s="14" t="s">
        <v>6</v>
      </c>
      <c r="E281" s="15" t="s">
        <v>7</v>
      </c>
      <c r="F281" s="14" t="s">
        <v>8</v>
      </c>
      <c r="G281" s="14" t="s">
        <v>9</v>
      </c>
      <c r="H281" s="16" t="s">
        <v>10</v>
      </c>
      <c r="I281" s="14" t="s">
        <v>11</v>
      </c>
      <c r="J281" s="14" t="s">
        <v>12</v>
      </c>
    </row>
    <row x14ac:dyDescent="0.25" r="282" customHeight="1" ht="17.25">
      <c r="A282" s="17" t="s">
        <v>1604</v>
      </c>
      <c r="B282" s="17" t="s">
        <v>458</v>
      </c>
      <c r="C282" s="17" t="s">
        <v>76</v>
      </c>
      <c r="D282" s="17" t="s">
        <v>16</v>
      </c>
      <c r="E282" s="18">
        <f>ROUND(11755*1.05,2)</f>
      </c>
      <c r="F282" s="17" t="s">
        <v>17</v>
      </c>
      <c r="G282" s="17" t="s">
        <v>18</v>
      </c>
      <c r="H282" s="18">
        <f>ROUND(RAND()*4+6,1)</f>
      </c>
      <c r="I282" s="17" t="s">
        <v>19</v>
      </c>
      <c r="J282" s="19">
        <f>ROUND(76*1,0)&amp;"%"</f>
      </c>
    </row>
    <row x14ac:dyDescent="0.25" r="283" customHeight="1" ht="17.25">
      <c r="A283" s="20" t="s">
        <v>1605</v>
      </c>
      <c r="B283" s="20" t="s">
        <v>460</v>
      </c>
      <c r="C283" s="20" t="s">
        <v>76</v>
      </c>
      <c r="D283" s="20" t="s">
        <v>22</v>
      </c>
      <c r="E283" s="21">
        <f>ROUND(15805*1.05,2)</f>
      </c>
      <c r="F283" s="20" t="s">
        <v>23</v>
      </c>
      <c r="G283" s="20" t="s">
        <v>24</v>
      </c>
      <c r="H283" s="21">
        <f>ROUND(RAND()*4+6,1)</f>
      </c>
      <c r="I283" s="20" t="s">
        <v>25</v>
      </c>
      <c r="J283" s="23">
        <f>ROUND(77*1,0)&amp;"%"</f>
      </c>
    </row>
    <row x14ac:dyDescent="0.25" r="284" customHeight="1" ht="17.25">
      <c r="A284" s="17" t="s">
        <v>1606</v>
      </c>
      <c r="B284" s="17" t="s">
        <v>462</v>
      </c>
      <c r="C284" s="17" t="s">
        <v>76</v>
      </c>
      <c r="D284" s="17" t="s">
        <v>28</v>
      </c>
      <c r="E284" s="18">
        <f>ROUND(14654*1.05,2)</f>
      </c>
      <c r="F284" s="17" t="s">
        <v>29</v>
      </c>
      <c r="G284" s="17" t="s">
        <v>30</v>
      </c>
      <c r="H284" s="18">
        <f>ROUND(RAND()*4+6,1)</f>
      </c>
      <c r="I284" s="17" t="s">
        <v>31</v>
      </c>
      <c r="J284" s="19">
        <f>ROUND(65*1,0)&amp;"%"</f>
      </c>
    </row>
    <row x14ac:dyDescent="0.25" r="285" customHeight="1" ht="17.25">
      <c r="A285" s="20" t="s">
        <v>1607</v>
      </c>
      <c r="B285" s="20" t="s">
        <v>464</v>
      </c>
      <c r="C285" s="20" t="s">
        <v>76</v>
      </c>
      <c r="D285" s="20" t="s">
        <v>34</v>
      </c>
      <c r="E285" s="21">
        <f>ROUND(11933*1.05,2)</f>
      </c>
      <c r="F285" s="20" t="s">
        <v>35</v>
      </c>
      <c r="G285" s="20" t="s">
        <v>18</v>
      </c>
      <c r="H285" s="21">
        <f>ROUND(RAND()*4+6,1)</f>
      </c>
      <c r="I285" s="20" t="s">
        <v>36</v>
      </c>
      <c r="J285" s="23">
        <f>ROUND(85*1,0)&amp;"%"</f>
      </c>
    </row>
    <row x14ac:dyDescent="0.25" r="286" customHeight="1" ht="17.25">
      <c r="A286" s="17" t="s">
        <v>1608</v>
      </c>
      <c r="B286" s="17" t="s">
        <v>466</v>
      </c>
      <c r="C286" s="17" t="s">
        <v>76</v>
      </c>
      <c r="D286" s="17" t="s">
        <v>39</v>
      </c>
      <c r="E286" s="26">
        <f>ROUND(5360*1.05,2)</f>
      </c>
      <c r="F286" s="17" t="s">
        <v>40</v>
      </c>
      <c r="G286" s="17" t="s">
        <v>24</v>
      </c>
      <c r="H286" s="18">
        <f>ROUND(RAND()*4+6,1)</f>
      </c>
      <c r="I286" s="17" t="s">
        <v>41</v>
      </c>
      <c r="J286" s="19">
        <f>ROUND(95*1,0)&amp;"%"</f>
      </c>
    </row>
    <row x14ac:dyDescent="0.25" r="287" customHeight="1" ht="17.25">
      <c r="A287" s="20" t="s">
        <v>1609</v>
      </c>
      <c r="B287" s="20" t="s">
        <v>468</v>
      </c>
      <c r="C287" s="20" t="s">
        <v>76</v>
      </c>
      <c r="D287" s="20" t="s">
        <v>67</v>
      </c>
      <c r="E287" s="21">
        <f>ROUND(17307*1.05,2)</f>
      </c>
      <c r="F287" s="20" t="s">
        <v>44</v>
      </c>
      <c r="G287" s="20" t="s">
        <v>30</v>
      </c>
      <c r="H287" s="21">
        <f>ROUND(RAND()*4+6,1)</f>
      </c>
      <c r="I287" s="20" t="s">
        <v>45</v>
      </c>
      <c r="J287" s="23">
        <f>ROUND(91*1,0)&amp;"%"</f>
      </c>
    </row>
    <row x14ac:dyDescent="0.25" r="288" customHeight="1" ht="17.25">
      <c r="A288" s="17" t="s">
        <v>1610</v>
      </c>
      <c r="B288" s="17" t="s">
        <v>470</v>
      </c>
      <c r="C288" s="17" t="s">
        <v>76</v>
      </c>
      <c r="D288" s="17" t="s">
        <v>16</v>
      </c>
      <c r="E288" s="18">
        <f>ROUND(4359*1.05,2)</f>
      </c>
      <c r="F288" s="17" t="s">
        <v>48</v>
      </c>
      <c r="G288" s="17" t="s">
        <v>18</v>
      </c>
      <c r="H288" s="18">
        <f>ROUND(RAND()*4+6,1)</f>
      </c>
      <c r="I288" s="17" t="s">
        <v>19</v>
      </c>
      <c r="J288" s="19">
        <f>ROUND(88*1,0)&amp;"%"</f>
      </c>
    </row>
    <row x14ac:dyDescent="0.25" r="289" customHeight="1" ht="17.25">
      <c r="A289" s="20" t="s">
        <v>1611</v>
      </c>
      <c r="B289" s="20" t="s">
        <v>472</v>
      </c>
      <c r="C289" s="20" t="s">
        <v>76</v>
      </c>
      <c r="D289" s="20" t="s">
        <v>22</v>
      </c>
      <c r="E289" s="21">
        <f>ROUND(7624*1.05,2)</f>
      </c>
      <c r="F289" s="20" t="s">
        <v>51</v>
      </c>
      <c r="G289" s="20" t="s">
        <v>24</v>
      </c>
      <c r="H289" s="21">
        <f>ROUND(RAND()*4+6,1)</f>
      </c>
      <c r="I289" s="20" t="s">
        <v>25</v>
      </c>
      <c r="J289" s="23">
        <f>ROUND(84*1,0)&amp;"%"</f>
      </c>
    </row>
    <row x14ac:dyDescent="0.25" r="290" customHeight="1" ht="17.25">
      <c r="A290" s="24" t="s">
        <v>473</v>
      </c>
      <c r="B290" s="24"/>
      <c r="C290" s="24"/>
      <c r="D290" s="24"/>
      <c r="E290" s="25">
        <v>8</v>
      </c>
      <c r="F290" s="9"/>
      <c r="G290" s="9"/>
      <c r="H290" s="10"/>
      <c r="I290" s="9"/>
      <c r="J290" s="9"/>
    </row>
    <row x14ac:dyDescent="0.25" r="291" customHeight="1" ht="17.25">
      <c r="A291" s="7"/>
      <c r="B291" s="7"/>
      <c r="C291" s="7"/>
      <c r="D291" s="7"/>
      <c r="E291" s="8"/>
      <c r="F291" s="9"/>
      <c r="G291" s="9"/>
      <c r="H291" s="10"/>
      <c r="I291" s="9"/>
      <c r="J291" s="9"/>
    </row>
    <row x14ac:dyDescent="0.25" r="292" customHeight="1" ht="17.25">
      <c r="A292" s="11" t="s">
        <v>1612</v>
      </c>
      <c r="B292" s="11"/>
      <c r="C292" s="11"/>
      <c r="D292" s="11"/>
      <c r="E292" s="12"/>
      <c r="F292" s="11"/>
      <c r="G292" s="11"/>
      <c r="H292" s="13"/>
      <c r="I292" s="11"/>
      <c r="J292" s="11"/>
    </row>
    <row x14ac:dyDescent="0.25" r="293" customHeight="1" ht="17.25">
      <c r="A293" s="14" t="s">
        <v>3</v>
      </c>
      <c r="B293" s="14" t="s">
        <v>4</v>
      </c>
      <c r="C293" s="14" t="s">
        <v>5</v>
      </c>
      <c r="D293" s="14" t="s">
        <v>6</v>
      </c>
      <c r="E293" s="15" t="s">
        <v>7</v>
      </c>
      <c r="F293" s="14" t="s">
        <v>8</v>
      </c>
      <c r="G293" s="14" t="s">
        <v>9</v>
      </c>
      <c r="H293" s="16" t="s">
        <v>10</v>
      </c>
      <c r="I293" s="14" t="s">
        <v>11</v>
      </c>
      <c r="J293" s="14" t="s">
        <v>12</v>
      </c>
    </row>
    <row x14ac:dyDescent="0.25" r="294" customHeight="1" ht="17.25">
      <c r="A294" s="17" t="s">
        <v>1613</v>
      </c>
      <c r="B294" s="17" t="s">
        <v>476</v>
      </c>
      <c r="C294" s="17" t="s">
        <v>95</v>
      </c>
      <c r="D294" s="17" t="s">
        <v>16</v>
      </c>
      <c r="E294" s="18">
        <f>ROUND(8832*1.05,2)</f>
      </c>
      <c r="F294" s="17" t="s">
        <v>17</v>
      </c>
      <c r="G294" s="17" t="s">
        <v>18</v>
      </c>
      <c r="H294" s="18">
        <f>ROUND(RAND()*4+6,1)</f>
      </c>
      <c r="I294" s="17" t="s">
        <v>19</v>
      </c>
      <c r="J294" s="19">
        <f>ROUND(95*1,0)&amp;"%"</f>
      </c>
    </row>
    <row x14ac:dyDescent="0.25" r="295" customHeight="1" ht="17.25">
      <c r="A295" s="20" t="s">
        <v>1614</v>
      </c>
      <c r="B295" s="20" t="s">
        <v>478</v>
      </c>
      <c r="C295" s="20" t="s">
        <v>95</v>
      </c>
      <c r="D295" s="20" t="s">
        <v>22</v>
      </c>
      <c r="E295" s="21">
        <f>ROUND(14822*1.05,2)</f>
      </c>
      <c r="F295" s="20" t="s">
        <v>23</v>
      </c>
      <c r="G295" s="20" t="s">
        <v>24</v>
      </c>
      <c r="H295" s="21">
        <f>ROUND(RAND()*4+6,1)</f>
      </c>
      <c r="I295" s="20" t="s">
        <v>25</v>
      </c>
      <c r="J295" s="23">
        <f>ROUND(65*1,0)&amp;"%"</f>
      </c>
    </row>
    <row x14ac:dyDescent="0.25" r="296" customHeight="1" ht="17.25">
      <c r="A296" s="17" t="s">
        <v>1615</v>
      </c>
      <c r="B296" s="17" t="s">
        <v>480</v>
      </c>
      <c r="C296" s="17" t="s">
        <v>95</v>
      </c>
      <c r="D296" s="17" t="s">
        <v>28</v>
      </c>
      <c r="E296" s="18">
        <f>ROUND(4427*1.05,2)</f>
      </c>
      <c r="F296" s="17" t="s">
        <v>29</v>
      </c>
      <c r="G296" s="17" t="s">
        <v>30</v>
      </c>
      <c r="H296" s="18">
        <f>ROUND(RAND()*4+6,1)</f>
      </c>
      <c r="I296" s="17" t="s">
        <v>31</v>
      </c>
      <c r="J296" s="19">
        <f>ROUND(78*1,0)&amp;"%"</f>
      </c>
    </row>
    <row x14ac:dyDescent="0.25" r="297" customHeight="1" ht="17.25">
      <c r="A297" s="20" t="s">
        <v>1616</v>
      </c>
      <c r="B297" s="20" t="s">
        <v>482</v>
      </c>
      <c r="C297" s="20" t="s">
        <v>95</v>
      </c>
      <c r="D297" s="20" t="s">
        <v>34</v>
      </c>
      <c r="E297" s="21">
        <f>ROUND(11342*1.05,2)</f>
      </c>
      <c r="F297" s="20" t="s">
        <v>35</v>
      </c>
      <c r="G297" s="20" t="s">
        <v>18</v>
      </c>
      <c r="H297" s="21">
        <f>ROUND(RAND()*4+6,1)</f>
      </c>
      <c r="I297" s="20" t="s">
        <v>36</v>
      </c>
      <c r="J297" s="23">
        <f>ROUND(60*1,0)&amp;"%"</f>
      </c>
    </row>
    <row x14ac:dyDescent="0.25" r="298" customHeight="1" ht="17.25">
      <c r="A298" s="17" t="s">
        <v>1617</v>
      </c>
      <c r="B298" s="17" t="s">
        <v>484</v>
      </c>
      <c r="C298" s="17" t="s">
        <v>95</v>
      </c>
      <c r="D298" s="17" t="s">
        <v>39</v>
      </c>
      <c r="E298" s="18">
        <f>ROUND(5203*1.05,2)</f>
      </c>
      <c r="F298" s="17" t="s">
        <v>40</v>
      </c>
      <c r="G298" s="17" t="s">
        <v>24</v>
      </c>
      <c r="H298" s="18">
        <f>ROUND(RAND()*4+6,1)</f>
      </c>
      <c r="I298" s="17" t="s">
        <v>41</v>
      </c>
      <c r="J298" s="19">
        <f>ROUND(74*1,0)&amp;"%"</f>
      </c>
    </row>
    <row x14ac:dyDescent="0.25" r="299" customHeight="1" ht="17.25">
      <c r="A299" s="20" t="s">
        <v>1618</v>
      </c>
      <c r="B299" s="20" t="s">
        <v>486</v>
      </c>
      <c r="C299" s="20" t="s">
        <v>95</v>
      </c>
      <c r="D299" s="20" t="s">
        <v>67</v>
      </c>
      <c r="E299" s="21">
        <f>ROUND(4651*1.05,2)</f>
      </c>
      <c r="F299" s="20" t="s">
        <v>44</v>
      </c>
      <c r="G299" s="20" t="s">
        <v>30</v>
      </c>
      <c r="H299" s="21">
        <f>ROUND(RAND()*4+6,1)</f>
      </c>
      <c r="I299" s="20" t="s">
        <v>45</v>
      </c>
      <c r="J299" s="23">
        <f>ROUND(88*1,0)&amp;"%"</f>
      </c>
    </row>
    <row x14ac:dyDescent="0.25" r="300" customHeight="1" ht="17.25">
      <c r="A300" s="17" t="s">
        <v>1619</v>
      </c>
      <c r="B300" s="17" t="s">
        <v>488</v>
      </c>
      <c r="C300" s="17" t="s">
        <v>95</v>
      </c>
      <c r="D300" s="17" t="s">
        <v>16</v>
      </c>
      <c r="E300" s="18">
        <f>ROUND(11772*1.05,2)</f>
      </c>
      <c r="F300" s="17" t="s">
        <v>48</v>
      </c>
      <c r="G300" s="17" t="s">
        <v>18</v>
      </c>
      <c r="H300" s="18">
        <f>ROUND(RAND()*4+6,1)</f>
      </c>
      <c r="I300" s="17" t="s">
        <v>19</v>
      </c>
      <c r="J300" s="19">
        <f>ROUND(79*1,0)&amp;"%"</f>
      </c>
    </row>
    <row x14ac:dyDescent="0.25" r="301" customHeight="1" ht="17.25">
      <c r="A301" s="20" t="s">
        <v>1620</v>
      </c>
      <c r="B301" s="20" t="s">
        <v>490</v>
      </c>
      <c r="C301" s="20" t="s">
        <v>95</v>
      </c>
      <c r="D301" s="20" t="s">
        <v>22</v>
      </c>
      <c r="E301" s="21">
        <f>ROUND(15754*1.05,2)</f>
      </c>
      <c r="F301" s="20" t="s">
        <v>51</v>
      </c>
      <c r="G301" s="20" t="s">
        <v>24</v>
      </c>
      <c r="H301" s="21">
        <f>ROUND(RAND()*4+6,1)</f>
      </c>
      <c r="I301" s="20" t="s">
        <v>25</v>
      </c>
      <c r="J301" s="23">
        <f>ROUND(61*1,0)&amp;"%"</f>
      </c>
    </row>
    <row x14ac:dyDescent="0.25" r="302" customHeight="1" ht="17.25">
      <c r="A302" s="24" t="s">
        <v>491</v>
      </c>
      <c r="B302" s="24"/>
      <c r="C302" s="24"/>
      <c r="D302" s="24"/>
      <c r="E302" s="25">
        <v>8</v>
      </c>
      <c r="F302" s="9"/>
      <c r="G302" s="9"/>
      <c r="H302" s="10"/>
      <c r="I302" s="9"/>
      <c r="J302" s="9"/>
    </row>
    <row x14ac:dyDescent="0.25" r="303" customHeight="1" ht="17.25">
      <c r="A303" s="7"/>
      <c r="B303" s="7"/>
      <c r="C303" s="7"/>
      <c r="D303" s="7"/>
      <c r="E303" s="8"/>
      <c r="F303" s="9"/>
      <c r="G303" s="9"/>
      <c r="H303" s="10"/>
      <c r="I303" s="9"/>
      <c r="J303" s="9"/>
    </row>
    <row x14ac:dyDescent="0.25" r="304" customHeight="1" ht="17.25">
      <c r="A304" s="11" t="s">
        <v>1621</v>
      </c>
      <c r="B304" s="11"/>
      <c r="C304" s="11"/>
      <c r="D304" s="11"/>
      <c r="E304" s="12"/>
      <c r="F304" s="11"/>
      <c r="G304" s="11"/>
      <c r="H304" s="13"/>
      <c r="I304" s="11"/>
      <c r="J304" s="11"/>
    </row>
    <row x14ac:dyDescent="0.25" r="305" customHeight="1" ht="17.25">
      <c r="A305" s="14" t="s">
        <v>3</v>
      </c>
      <c r="B305" s="14" t="s">
        <v>4</v>
      </c>
      <c r="C305" s="14" t="s">
        <v>5</v>
      </c>
      <c r="D305" s="14" t="s">
        <v>6</v>
      </c>
      <c r="E305" s="15" t="s">
        <v>7</v>
      </c>
      <c r="F305" s="14" t="s">
        <v>8</v>
      </c>
      <c r="G305" s="14" t="s">
        <v>9</v>
      </c>
      <c r="H305" s="16" t="s">
        <v>10</v>
      </c>
      <c r="I305" s="14" t="s">
        <v>11</v>
      </c>
      <c r="J305" s="14" t="s">
        <v>12</v>
      </c>
    </row>
    <row x14ac:dyDescent="0.25" r="306" customHeight="1" ht="17.25">
      <c r="A306" s="17" t="s">
        <v>1622</v>
      </c>
      <c r="B306" s="17" t="s">
        <v>494</v>
      </c>
      <c r="C306" s="17" t="s">
        <v>114</v>
      </c>
      <c r="D306" s="17" t="s">
        <v>16</v>
      </c>
      <c r="E306" s="18">
        <f>ROUND(12467*1.05,2)</f>
      </c>
      <c r="F306" s="17" t="s">
        <v>17</v>
      </c>
      <c r="G306" s="17" t="s">
        <v>18</v>
      </c>
      <c r="H306" s="18">
        <f>ROUND(RAND()*4+6,1)</f>
      </c>
      <c r="I306" s="17" t="s">
        <v>19</v>
      </c>
      <c r="J306" s="19">
        <f>ROUND(99*1,0)&amp;"%"</f>
      </c>
    </row>
    <row x14ac:dyDescent="0.25" r="307" customHeight="1" ht="17.25">
      <c r="A307" s="20" t="s">
        <v>1623</v>
      </c>
      <c r="B307" s="20" t="s">
        <v>496</v>
      </c>
      <c r="C307" s="20" t="s">
        <v>114</v>
      </c>
      <c r="D307" s="20" t="s">
        <v>22</v>
      </c>
      <c r="E307" s="21">
        <f>ROUND(16749*1.05,2)</f>
      </c>
      <c r="F307" s="20" t="s">
        <v>23</v>
      </c>
      <c r="G307" s="20" t="s">
        <v>24</v>
      </c>
      <c r="H307" s="21">
        <f>ROUND(RAND()*4+6,1)</f>
      </c>
      <c r="I307" s="20" t="s">
        <v>25</v>
      </c>
      <c r="J307" s="23">
        <f>ROUND(92*1,0)&amp;"%"</f>
      </c>
    </row>
    <row x14ac:dyDescent="0.25" r="308" customHeight="1" ht="17.25">
      <c r="A308" s="17" t="s">
        <v>1624</v>
      </c>
      <c r="B308" s="17" t="s">
        <v>498</v>
      </c>
      <c r="C308" s="17" t="s">
        <v>114</v>
      </c>
      <c r="D308" s="17" t="s">
        <v>28</v>
      </c>
      <c r="E308" s="18">
        <f>ROUND(12478*1.05,2)</f>
      </c>
      <c r="F308" s="17" t="s">
        <v>29</v>
      </c>
      <c r="G308" s="17" t="s">
        <v>30</v>
      </c>
      <c r="H308" s="26">
        <f>ROUND(RAND()*4+6,1)</f>
      </c>
      <c r="I308" s="17" t="s">
        <v>31</v>
      </c>
      <c r="J308" s="19">
        <f>ROUND(95*1,0)&amp;"%"</f>
      </c>
    </row>
    <row x14ac:dyDescent="0.25" r="309" customHeight="1" ht="17.25">
      <c r="A309" s="20" t="s">
        <v>1625</v>
      </c>
      <c r="B309" s="20" t="s">
        <v>500</v>
      </c>
      <c r="C309" s="20" t="s">
        <v>114</v>
      </c>
      <c r="D309" s="20" t="s">
        <v>34</v>
      </c>
      <c r="E309" s="21">
        <f>ROUND(13752*1.05,2)</f>
      </c>
      <c r="F309" s="20" t="s">
        <v>35</v>
      </c>
      <c r="G309" s="20" t="s">
        <v>18</v>
      </c>
      <c r="H309" s="21">
        <f>ROUND(RAND()*4+6,1)</f>
      </c>
      <c r="I309" s="20" t="s">
        <v>36</v>
      </c>
      <c r="J309" s="23">
        <f>ROUND(75*1,0)&amp;"%"</f>
      </c>
    </row>
    <row x14ac:dyDescent="0.25" r="310" customHeight="1" ht="17.25">
      <c r="A310" s="17" t="s">
        <v>1626</v>
      </c>
      <c r="B310" s="17" t="s">
        <v>502</v>
      </c>
      <c r="C310" s="17" t="s">
        <v>114</v>
      </c>
      <c r="D310" s="17" t="s">
        <v>39</v>
      </c>
      <c r="E310" s="18">
        <f>ROUND(8510*1.05,2)</f>
      </c>
      <c r="F310" s="17" t="s">
        <v>40</v>
      </c>
      <c r="G310" s="17" t="s">
        <v>24</v>
      </c>
      <c r="H310" s="26">
        <f>ROUND(RAND()*4+6,1)</f>
      </c>
      <c r="I310" s="17" t="s">
        <v>41</v>
      </c>
      <c r="J310" s="19">
        <f>ROUND(99*1,0)&amp;"%"</f>
      </c>
    </row>
    <row x14ac:dyDescent="0.25" r="311" customHeight="1" ht="17.25">
      <c r="A311" s="20" t="s">
        <v>1627</v>
      </c>
      <c r="B311" s="20" t="s">
        <v>504</v>
      </c>
      <c r="C311" s="20" t="s">
        <v>114</v>
      </c>
      <c r="D311" s="20" t="s">
        <v>67</v>
      </c>
      <c r="E311" s="21">
        <f>ROUND(12978*1.05,2)</f>
      </c>
      <c r="F311" s="20" t="s">
        <v>44</v>
      </c>
      <c r="G311" s="20" t="s">
        <v>30</v>
      </c>
      <c r="H311" s="21">
        <f>ROUND(RAND()*4+6,1)</f>
      </c>
      <c r="I311" s="20" t="s">
        <v>45</v>
      </c>
      <c r="J311" s="23">
        <f>ROUND(77*1,0)&amp;"%"</f>
      </c>
    </row>
    <row x14ac:dyDescent="0.25" r="312" customHeight="1" ht="17.25">
      <c r="A312" s="17" t="s">
        <v>1628</v>
      </c>
      <c r="B312" s="17" t="s">
        <v>506</v>
      </c>
      <c r="C312" s="17" t="s">
        <v>114</v>
      </c>
      <c r="D312" s="17" t="s">
        <v>16</v>
      </c>
      <c r="E312" s="18">
        <f>ROUND(15117*1.05,2)</f>
      </c>
      <c r="F312" s="17" t="s">
        <v>48</v>
      </c>
      <c r="G312" s="17" t="s">
        <v>18</v>
      </c>
      <c r="H312" s="18">
        <f>ROUND(RAND()*4+6,1)</f>
      </c>
      <c r="I312" s="17" t="s">
        <v>19</v>
      </c>
      <c r="J312" s="19">
        <f>ROUND(84*1,0)&amp;"%"</f>
      </c>
    </row>
    <row x14ac:dyDescent="0.25" r="313" customHeight="1" ht="17.25">
      <c r="A313" s="20" t="s">
        <v>1629</v>
      </c>
      <c r="B313" s="20" t="s">
        <v>508</v>
      </c>
      <c r="C313" s="20" t="s">
        <v>114</v>
      </c>
      <c r="D313" s="20" t="s">
        <v>22</v>
      </c>
      <c r="E313" s="21">
        <f>ROUND(14016*1.05,2)</f>
      </c>
      <c r="F313" s="20" t="s">
        <v>51</v>
      </c>
      <c r="G313" s="20" t="s">
        <v>24</v>
      </c>
      <c r="H313" s="21">
        <f>ROUND(RAND()*4+6,1)</f>
      </c>
      <c r="I313" s="20" t="s">
        <v>25</v>
      </c>
      <c r="J313" s="23">
        <f>ROUND(93*1,0)&amp;"%"</f>
      </c>
    </row>
    <row x14ac:dyDescent="0.25" r="314" customHeight="1" ht="17.25">
      <c r="A314" s="24" t="s">
        <v>509</v>
      </c>
      <c r="B314" s="24"/>
      <c r="C314" s="24"/>
      <c r="D314" s="24"/>
      <c r="E314" s="25">
        <v>8</v>
      </c>
      <c r="F314" s="9"/>
      <c r="G314" s="9"/>
      <c r="H314" s="10"/>
      <c r="I314" s="9"/>
      <c r="J314" s="9"/>
    </row>
    <row x14ac:dyDescent="0.25" r="315" customHeight="1" ht="17.25">
      <c r="A315" s="7"/>
      <c r="B315" s="7"/>
      <c r="C315" s="7"/>
      <c r="D315" s="7"/>
      <c r="E315" s="8"/>
      <c r="F315" s="9"/>
      <c r="G315" s="9"/>
      <c r="H315" s="10"/>
      <c r="I315" s="9"/>
      <c r="J315" s="9"/>
    </row>
    <row x14ac:dyDescent="0.25" r="316" customHeight="1" ht="17.25">
      <c r="A316" s="11" t="s">
        <v>1630</v>
      </c>
      <c r="B316" s="11"/>
      <c r="C316" s="11"/>
      <c r="D316" s="11"/>
      <c r="E316" s="12"/>
      <c r="F316" s="11"/>
      <c r="G316" s="11"/>
      <c r="H316" s="13"/>
      <c r="I316" s="11"/>
      <c r="J316" s="11"/>
    </row>
    <row x14ac:dyDescent="0.25" r="317" customHeight="1" ht="17.25">
      <c r="A317" s="14" t="s">
        <v>3</v>
      </c>
      <c r="B317" s="14" t="s">
        <v>4</v>
      </c>
      <c r="C317" s="14" t="s">
        <v>5</v>
      </c>
      <c r="D317" s="14" t="s">
        <v>6</v>
      </c>
      <c r="E317" s="15" t="s">
        <v>7</v>
      </c>
      <c r="F317" s="14" t="s">
        <v>8</v>
      </c>
      <c r="G317" s="14" t="s">
        <v>9</v>
      </c>
      <c r="H317" s="16" t="s">
        <v>10</v>
      </c>
      <c r="I317" s="14" t="s">
        <v>11</v>
      </c>
      <c r="J317" s="14" t="s">
        <v>12</v>
      </c>
    </row>
    <row x14ac:dyDescent="0.25" r="318" customHeight="1" ht="17.25">
      <c r="A318" s="17" t="s">
        <v>1631</v>
      </c>
      <c r="B318" s="17" t="s">
        <v>512</v>
      </c>
      <c r="C318" s="17" t="s">
        <v>133</v>
      </c>
      <c r="D318" s="17" t="s">
        <v>16</v>
      </c>
      <c r="E318" s="18">
        <f>ROUND(5367*1.05,2)</f>
      </c>
      <c r="F318" s="17" t="s">
        <v>17</v>
      </c>
      <c r="G318" s="17" t="s">
        <v>18</v>
      </c>
      <c r="H318" s="18">
        <f>ROUND(RAND()*4+6,1)</f>
      </c>
      <c r="I318" s="17" t="s">
        <v>19</v>
      </c>
      <c r="J318" s="19">
        <f>ROUND(92*1,0)&amp;"%"</f>
      </c>
    </row>
    <row x14ac:dyDescent="0.25" r="319" customHeight="1" ht="17.25">
      <c r="A319" s="20" t="s">
        <v>1632</v>
      </c>
      <c r="B319" s="20" t="s">
        <v>514</v>
      </c>
      <c r="C319" s="20" t="s">
        <v>133</v>
      </c>
      <c r="D319" s="20" t="s">
        <v>22</v>
      </c>
      <c r="E319" s="21">
        <f>ROUND(8903*1.05,2)</f>
      </c>
      <c r="F319" s="20" t="s">
        <v>23</v>
      </c>
      <c r="G319" s="20" t="s">
        <v>24</v>
      </c>
      <c r="H319" s="21">
        <f>ROUND(RAND()*4+6,1)</f>
      </c>
      <c r="I319" s="20" t="s">
        <v>25</v>
      </c>
      <c r="J319" s="23">
        <f>ROUND(87*1,0)&amp;"%"</f>
      </c>
    </row>
    <row x14ac:dyDescent="0.25" r="320" customHeight="1" ht="17.25">
      <c r="A320" s="17" t="s">
        <v>1633</v>
      </c>
      <c r="B320" s="17" t="s">
        <v>516</v>
      </c>
      <c r="C320" s="17" t="s">
        <v>133</v>
      </c>
      <c r="D320" s="17" t="s">
        <v>28</v>
      </c>
      <c r="E320" s="18">
        <f>ROUND(15530*1.05,2)</f>
      </c>
      <c r="F320" s="17" t="s">
        <v>29</v>
      </c>
      <c r="G320" s="17" t="s">
        <v>30</v>
      </c>
      <c r="H320" s="18">
        <f>ROUND(RAND()*4+6,1)</f>
      </c>
      <c r="I320" s="17" t="s">
        <v>31</v>
      </c>
      <c r="J320" s="19">
        <f>ROUND(61*1,0)&amp;"%"</f>
      </c>
    </row>
    <row x14ac:dyDescent="0.25" r="321" customHeight="1" ht="17.25">
      <c r="A321" s="20" t="s">
        <v>1634</v>
      </c>
      <c r="B321" s="20" t="s">
        <v>518</v>
      </c>
      <c r="C321" s="20" t="s">
        <v>133</v>
      </c>
      <c r="D321" s="20" t="s">
        <v>34</v>
      </c>
      <c r="E321" s="21">
        <f>ROUND(15343*1.05,2)</f>
      </c>
      <c r="F321" s="20" t="s">
        <v>35</v>
      </c>
      <c r="G321" s="20" t="s">
        <v>18</v>
      </c>
      <c r="H321" s="21">
        <f>ROUND(RAND()*4+6,1)</f>
      </c>
      <c r="I321" s="20" t="s">
        <v>36</v>
      </c>
      <c r="J321" s="23">
        <f>ROUND(72*1,0)&amp;"%"</f>
      </c>
    </row>
    <row x14ac:dyDescent="0.25" r="322" customHeight="1" ht="17.25">
      <c r="A322" s="17" t="s">
        <v>1635</v>
      </c>
      <c r="B322" s="17" t="s">
        <v>520</v>
      </c>
      <c r="C322" s="17" t="s">
        <v>133</v>
      </c>
      <c r="D322" s="17" t="s">
        <v>39</v>
      </c>
      <c r="E322" s="18">
        <f>ROUND(6416*1.05,2)</f>
      </c>
      <c r="F322" s="17" t="s">
        <v>40</v>
      </c>
      <c r="G322" s="17" t="s">
        <v>24</v>
      </c>
      <c r="H322" s="18">
        <f>ROUND(RAND()*4+6,1)</f>
      </c>
      <c r="I322" s="17" t="s">
        <v>41</v>
      </c>
      <c r="J322" s="19">
        <f>ROUND(74*1,0)&amp;"%"</f>
      </c>
    </row>
    <row x14ac:dyDescent="0.25" r="323" customHeight="1" ht="17.25">
      <c r="A323" s="20" t="s">
        <v>1636</v>
      </c>
      <c r="B323" s="20" t="s">
        <v>522</v>
      </c>
      <c r="C323" s="20" t="s">
        <v>133</v>
      </c>
      <c r="D323" s="20" t="s">
        <v>67</v>
      </c>
      <c r="E323" s="21">
        <f>ROUND(17688*1.05,2)</f>
      </c>
      <c r="F323" s="20" t="s">
        <v>44</v>
      </c>
      <c r="G323" s="20" t="s">
        <v>30</v>
      </c>
      <c r="H323" s="21">
        <f>ROUND(RAND()*4+6,1)</f>
      </c>
      <c r="I323" s="20" t="s">
        <v>45</v>
      </c>
      <c r="J323" s="23">
        <f>ROUND(81*1,0)&amp;"%"</f>
      </c>
    </row>
    <row x14ac:dyDescent="0.25" r="324" customHeight="1" ht="17.25">
      <c r="A324" s="17" t="s">
        <v>1637</v>
      </c>
      <c r="B324" s="17" t="s">
        <v>524</v>
      </c>
      <c r="C324" s="17" t="s">
        <v>133</v>
      </c>
      <c r="D324" s="17" t="s">
        <v>16</v>
      </c>
      <c r="E324" s="18">
        <f>ROUND(8918*1.05,2)</f>
      </c>
      <c r="F324" s="17" t="s">
        <v>48</v>
      </c>
      <c r="G324" s="17" t="s">
        <v>18</v>
      </c>
      <c r="H324" s="18">
        <f>ROUND(RAND()*4+6,1)</f>
      </c>
      <c r="I324" s="17" t="s">
        <v>19</v>
      </c>
      <c r="J324" s="19">
        <f>ROUND(89*1,0)&amp;"%"</f>
      </c>
    </row>
    <row x14ac:dyDescent="0.25" r="325" customHeight="1" ht="17.25">
      <c r="A325" s="20" t="s">
        <v>1638</v>
      </c>
      <c r="B325" s="20" t="s">
        <v>526</v>
      </c>
      <c r="C325" s="20" t="s">
        <v>133</v>
      </c>
      <c r="D325" s="20" t="s">
        <v>22</v>
      </c>
      <c r="E325" s="21">
        <f>ROUND(7335*1.05,2)</f>
      </c>
      <c r="F325" s="20" t="s">
        <v>51</v>
      </c>
      <c r="G325" s="20" t="s">
        <v>24</v>
      </c>
      <c r="H325" s="22">
        <f>ROUND(RAND()*4+6,1)</f>
      </c>
      <c r="I325" s="20" t="s">
        <v>25</v>
      </c>
      <c r="J325" s="23">
        <f>ROUND(92*1,0)&amp;"%"</f>
      </c>
    </row>
    <row x14ac:dyDescent="0.25" r="326" customHeight="1" ht="17.25">
      <c r="A326" s="24" t="s">
        <v>527</v>
      </c>
      <c r="B326" s="24"/>
      <c r="C326" s="24"/>
      <c r="D326" s="24"/>
      <c r="E326" s="25">
        <v>8</v>
      </c>
      <c r="F326" s="9"/>
      <c r="G326" s="9"/>
      <c r="H326" s="10"/>
      <c r="I326" s="9"/>
      <c r="J326" s="9"/>
    </row>
    <row x14ac:dyDescent="0.25" r="327" customHeight="1" ht="17.25">
      <c r="A327" s="7"/>
      <c r="B327" s="7"/>
      <c r="C327" s="7"/>
      <c r="D327" s="7"/>
      <c r="E327" s="8"/>
      <c r="F327" s="9"/>
      <c r="G327" s="9"/>
      <c r="H327" s="10"/>
      <c r="I327" s="9"/>
      <c r="J327" s="9"/>
    </row>
    <row x14ac:dyDescent="0.25" r="328" customHeight="1" ht="17.25">
      <c r="A328" s="11" t="s">
        <v>1639</v>
      </c>
      <c r="B328" s="11"/>
      <c r="C328" s="11"/>
      <c r="D328" s="11"/>
      <c r="E328" s="12"/>
      <c r="F328" s="11"/>
      <c r="G328" s="11"/>
      <c r="H328" s="13"/>
      <c r="I328" s="11"/>
      <c r="J328" s="11"/>
    </row>
    <row x14ac:dyDescent="0.25" r="329" customHeight="1" ht="17.25">
      <c r="A329" s="14" t="s">
        <v>3</v>
      </c>
      <c r="B329" s="14" t="s">
        <v>4</v>
      </c>
      <c r="C329" s="14" t="s">
        <v>5</v>
      </c>
      <c r="D329" s="14" t="s">
        <v>6</v>
      </c>
      <c r="E329" s="15" t="s">
        <v>7</v>
      </c>
      <c r="F329" s="14" t="s">
        <v>8</v>
      </c>
      <c r="G329" s="14" t="s">
        <v>9</v>
      </c>
      <c r="H329" s="16" t="s">
        <v>10</v>
      </c>
      <c r="I329" s="14" t="s">
        <v>11</v>
      </c>
      <c r="J329" s="14" t="s">
        <v>12</v>
      </c>
    </row>
    <row x14ac:dyDescent="0.25" r="330" customHeight="1" ht="17.25">
      <c r="A330" s="17" t="s">
        <v>1640</v>
      </c>
      <c r="B330" s="17" t="s">
        <v>530</v>
      </c>
      <c r="C330" s="17" t="s">
        <v>152</v>
      </c>
      <c r="D330" s="17" t="s">
        <v>16</v>
      </c>
      <c r="E330" s="18">
        <f>ROUND(11857*1.05,2)</f>
      </c>
      <c r="F330" s="17" t="s">
        <v>17</v>
      </c>
      <c r="G330" s="17" t="s">
        <v>18</v>
      </c>
      <c r="H330" s="18">
        <f>ROUND(RAND()*4+6,1)</f>
      </c>
      <c r="I330" s="17" t="s">
        <v>19</v>
      </c>
      <c r="J330" s="19">
        <f>ROUND(73*1,0)&amp;"%"</f>
      </c>
    </row>
    <row x14ac:dyDescent="0.25" r="331" customHeight="1" ht="17.25">
      <c r="A331" s="20" t="s">
        <v>1641</v>
      </c>
      <c r="B331" s="20" t="s">
        <v>532</v>
      </c>
      <c r="C331" s="20" t="s">
        <v>152</v>
      </c>
      <c r="D331" s="20" t="s">
        <v>22</v>
      </c>
      <c r="E331" s="21">
        <f>ROUND(13838*1.05,2)</f>
      </c>
      <c r="F331" s="20" t="s">
        <v>23</v>
      </c>
      <c r="G331" s="20" t="s">
        <v>24</v>
      </c>
      <c r="H331" s="21">
        <f>ROUND(RAND()*4+6,1)</f>
      </c>
      <c r="I331" s="20" t="s">
        <v>25</v>
      </c>
      <c r="J331" s="23">
        <f>ROUND(80*1,0)&amp;"%"</f>
      </c>
    </row>
    <row x14ac:dyDescent="0.25" r="332" customHeight="1" ht="17.25">
      <c r="A332" s="17" t="s">
        <v>1642</v>
      </c>
      <c r="B332" s="17" t="s">
        <v>534</v>
      </c>
      <c r="C332" s="17" t="s">
        <v>152</v>
      </c>
      <c r="D332" s="17" t="s">
        <v>28</v>
      </c>
      <c r="E332" s="18">
        <f>ROUND(12150*1.05,2)</f>
      </c>
      <c r="F332" s="17" t="s">
        <v>29</v>
      </c>
      <c r="G332" s="17" t="s">
        <v>30</v>
      </c>
      <c r="H332" s="18">
        <f>ROUND(RAND()*4+6,1)</f>
      </c>
      <c r="I332" s="17" t="s">
        <v>31</v>
      </c>
      <c r="J332" s="19">
        <f>ROUND(97*1,0)&amp;"%"</f>
      </c>
    </row>
    <row x14ac:dyDescent="0.25" r="333" customHeight="1" ht="17.25">
      <c r="A333" s="20" t="s">
        <v>1643</v>
      </c>
      <c r="B333" s="20" t="s">
        <v>536</v>
      </c>
      <c r="C333" s="20" t="s">
        <v>152</v>
      </c>
      <c r="D333" s="20" t="s">
        <v>34</v>
      </c>
      <c r="E333" s="21">
        <f>ROUND(10997*1.05,2)</f>
      </c>
      <c r="F333" s="20" t="s">
        <v>35</v>
      </c>
      <c r="G333" s="20" t="s">
        <v>18</v>
      </c>
      <c r="H333" s="21">
        <f>ROUND(RAND()*4+6,1)</f>
      </c>
      <c r="I333" s="20" t="s">
        <v>36</v>
      </c>
      <c r="J333" s="23">
        <f>ROUND(68*1,0)&amp;"%"</f>
      </c>
    </row>
    <row x14ac:dyDescent="0.25" r="334" customHeight="1" ht="17.25">
      <c r="A334" s="17" t="s">
        <v>1644</v>
      </c>
      <c r="B334" s="17" t="s">
        <v>538</v>
      </c>
      <c r="C334" s="17" t="s">
        <v>152</v>
      </c>
      <c r="D334" s="17" t="s">
        <v>39</v>
      </c>
      <c r="E334" s="18">
        <f>ROUND(13894*1.05,2)</f>
      </c>
      <c r="F334" s="17" t="s">
        <v>40</v>
      </c>
      <c r="G334" s="17" t="s">
        <v>24</v>
      </c>
      <c r="H334" s="18">
        <f>ROUND(RAND()*4+6,1)</f>
      </c>
      <c r="I334" s="17" t="s">
        <v>41</v>
      </c>
      <c r="J334" s="19">
        <f>ROUND(61*1,0)&amp;"%"</f>
      </c>
    </row>
    <row x14ac:dyDescent="0.25" r="335" customHeight="1" ht="17.25">
      <c r="A335" s="20" t="s">
        <v>1645</v>
      </c>
      <c r="B335" s="20" t="s">
        <v>540</v>
      </c>
      <c r="C335" s="20" t="s">
        <v>152</v>
      </c>
      <c r="D335" s="20" t="s">
        <v>67</v>
      </c>
      <c r="E335" s="21">
        <f>ROUND(12534*1.05,2)</f>
      </c>
      <c r="F335" s="20" t="s">
        <v>44</v>
      </c>
      <c r="G335" s="20" t="s">
        <v>30</v>
      </c>
      <c r="H335" s="21">
        <f>ROUND(RAND()*4+6,1)</f>
      </c>
      <c r="I335" s="20" t="s">
        <v>45</v>
      </c>
      <c r="J335" s="23">
        <f>ROUND(74*1,0)&amp;"%"</f>
      </c>
    </row>
    <row x14ac:dyDescent="0.25" r="336" customHeight="1" ht="17.25">
      <c r="A336" s="17" t="s">
        <v>1646</v>
      </c>
      <c r="B336" s="17" t="s">
        <v>542</v>
      </c>
      <c r="C336" s="17" t="s">
        <v>152</v>
      </c>
      <c r="D336" s="17" t="s">
        <v>16</v>
      </c>
      <c r="E336" s="18">
        <f>ROUND(10370*1.05,2)</f>
      </c>
      <c r="F336" s="17" t="s">
        <v>48</v>
      </c>
      <c r="G336" s="17" t="s">
        <v>18</v>
      </c>
      <c r="H336" s="18">
        <f>ROUND(RAND()*4+6,1)</f>
      </c>
      <c r="I336" s="17" t="s">
        <v>19</v>
      </c>
      <c r="J336" s="19">
        <f>ROUND(86*1,0)&amp;"%"</f>
      </c>
    </row>
    <row x14ac:dyDescent="0.25" r="337" customHeight="1" ht="17.25">
      <c r="A337" s="20" t="s">
        <v>1647</v>
      </c>
      <c r="B337" s="20" t="s">
        <v>544</v>
      </c>
      <c r="C337" s="20" t="s">
        <v>152</v>
      </c>
      <c r="D337" s="20" t="s">
        <v>22</v>
      </c>
      <c r="E337" s="21">
        <f>ROUND(11927*1.05,2)</f>
      </c>
      <c r="F337" s="20" t="s">
        <v>51</v>
      </c>
      <c r="G337" s="20" t="s">
        <v>24</v>
      </c>
      <c r="H337" s="21">
        <f>ROUND(RAND()*4+6,1)</f>
      </c>
      <c r="I337" s="20" t="s">
        <v>25</v>
      </c>
      <c r="J337" s="23">
        <f>ROUND(67*1,0)&amp;"%"</f>
      </c>
    </row>
    <row x14ac:dyDescent="0.25" r="338" customHeight="1" ht="17.25">
      <c r="A338" s="24" t="s">
        <v>545</v>
      </c>
      <c r="B338" s="24"/>
      <c r="C338" s="24"/>
      <c r="D338" s="24"/>
      <c r="E338" s="25">
        <v>8</v>
      </c>
      <c r="F338" s="9"/>
      <c r="G338" s="9"/>
      <c r="H338" s="10"/>
      <c r="I338" s="9"/>
      <c r="J338" s="9"/>
    </row>
    <row x14ac:dyDescent="0.25" r="339" customHeight="1" ht="17.25">
      <c r="A339" s="7"/>
      <c r="B339" s="7"/>
      <c r="C339" s="7"/>
      <c r="D339" s="7"/>
      <c r="E339" s="8"/>
      <c r="F339" s="9"/>
      <c r="G339" s="9"/>
      <c r="H339" s="10"/>
      <c r="I339" s="9"/>
      <c r="J339" s="9"/>
    </row>
    <row x14ac:dyDescent="0.25" r="340" customHeight="1" ht="17.25">
      <c r="A340" s="11" t="s">
        <v>1648</v>
      </c>
      <c r="B340" s="11"/>
      <c r="C340" s="11"/>
      <c r="D340" s="11"/>
      <c r="E340" s="12"/>
      <c r="F340" s="11"/>
      <c r="G340" s="11"/>
      <c r="H340" s="13"/>
      <c r="I340" s="11"/>
      <c r="J340" s="11"/>
    </row>
    <row x14ac:dyDescent="0.25" r="341" customHeight="1" ht="17.25">
      <c r="A341" s="14" t="s">
        <v>3</v>
      </c>
      <c r="B341" s="14" t="s">
        <v>4</v>
      </c>
      <c r="C341" s="14" t="s">
        <v>5</v>
      </c>
      <c r="D341" s="14" t="s">
        <v>6</v>
      </c>
      <c r="E341" s="15" t="s">
        <v>7</v>
      </c>
      <c r="F341" s="14" t="s">
        <v>8</v>
      </c>
      <c r="G341" s="14" t="s">
        <v>9</v>
      </c>
      <c r="H341" s="16" t="s">
        <v>10</v>
      </c>
      <c r="I341" s="14" t="s">
        <v>11</v>
      </c>
      <c r="J341" s="14" t="s">
        <v>12</v>
      </c>
    </row>
    <row x14ac:dyDescent="0.25" r="342" customHeight="1" ht="17.25">
      <c r="A342" s="17" t="s">
        <v>1649</v>
      </c>
      <c r="B342" s="17" t="s">
        <v>548</v>
      </c>
      <c r="C342" s="17" t="s">
        <v>15</v>
      </c>
      <c r="D342" s="17" t="s">
        <v>16</v>
      </c>
      <c r="E342" s="18">
        <f>ROUND(4215*1.05,2)</f>
      </c>
      <c r="F342" s="17" t="s">
        <v>17</v>
      </c>
      <c r="G342" s="17" t="s">
        <v>18</v>
      </c>
      <c r="H342" s="18">
        <f>ROUND(RAND()*4+6,1)</f>
      </c>
      <c r="I342" s="17" t="s">
        <v>19</v>
      </c>
      <c r="J342" s="19">
        <f>ROUND(72*1,0)&amp;"%"</f>
      </c>
    </row>
    <row x14ac:dyDescent="0.25" r="343" customHeight="1" ht="17.25">
      <c r="A343" s="20" t="s">
        <v>1650</v>
      </c>
      <c r="B343" s="20" t="s">
        <v>550</v>
      </c>
      <c r="C343" s="20" t="s">
        <v>15</v>
      </c>
      <c r="D343" s="20" t="s">
        <v>22</v>
      </c>
      <c r="E343" s="21">
        <f>ROUND(16579*1.05,2)</f>
      </c>
      <c r="F343" s="20" t="s">
        <v>23</v>
      </c>
      <c r="G343" s="20" t="s">
        <v>24</v>
      </c>
      <c r="H343" s="21">
        <f>ROUND(RAND()*4+6,1)</f>
      </c>
      <c r="I343" s="20" t="s">
        <v>25</v>
      </c>
      <c r="J343" s="23">
        <f>ROUND(68*1,0)&amp;"%"</f>
      </c>
    </row>
    <row x14ac:dyDescent="0.25" r="344" customHeight="1" ht="17.25">
      <c r="A344" s="17" t="s">
        <v>1651</v>
      </c>
      <c r="B344" s="17" t="s">
        <v>552</v>
      </c>
      <c r="C344" s="17" t="s">
        <v>15</v>
      </c>
      <c r="D344" s="17" t="s">
        <v>28</v>
      </c>
      <c r="E344" s="18">
        <f>ROUND(12445*1.05,2)</f>
      </c>
      <c r="F344" s="17" t="s">
        <v>29</v>
      </c>
      <c r="G344" s="17" t="s">
        <v>30</v>
      </c>
      <c r="H344" s="18">
        <f>ROUND(RAND()*4+6,1)</f>
      </c>
      <c r="I344" s="17" t="s">
        <v>31</v>
      </c>
      <c r="J344" s="19">
        <f>ROUND(86*1,0)&amp;"%"</f>
      </c>
    </row>
    <row x14ac:dyDescent="0.25" r="345" customHeight="1" ht="17.25">
      <c r="A345" s="20" t="s">
        <v>1652</v>
      </c>
      <c r="B345" s="20" t="s">
        <v>554</v>
      </c>
      <c r="C345" s="20" t="s">
        <v>15</v>
      </c>
      <c r="D345" s="20" t="s">
        <v>34</v>
      </c>
      <c r="E345" s="21">
        <f>ROUND(4153*1.05,2)</f>
      </c>
      <c r="F345" s="20" t="s">
        <v>35</v>
      </c>
      <c r="G345" s="20" t="s">
        <v>18</v>
      </c>
      <c r="H345" s="21">
        <f>ROUND(RAND()*4+6,1)</f>
      </c>
      <c r="I345" s="20" t="s">
        <v>36</v>
      </c>
      <c r="J345" s="23">
        <f>ROUND(77*1,0)&amp;"%"</f>
      </c>
    </row>
    <row x14ac:dyDescent="0.25" r="346" customHeight="1" ht="17.25">
      <c r="A346" s="17" t="s">
        <v>1653</v>
      </c>
      <c r="B346" s="17" t="s">
        <v>556</v>
      </c>
      <c r="C346" s="17" t="s">
        <v>15</v>
      </c>
      <c r="D346" s="17" t="s">
        <v>39</v>
      </c>
      <c r="E346" s="18">
        <f>ROUND(8329*1.05,2)</f>
      </c>
      <c r="F346" s="17" t="s">
        <v>40</v>
      </c>
      <c r="G346" s="17" t="s">
        <v>24</v>
      </c>
      <c r="H346" s="18">
        <f>ROUND(RAND()*4+6,1)</f>
      </c>
      <c r="I346" s="17" t="s">
        <v>41</v>
      </c>
      <c r="J346" s="19">
        <f>ROUND(100*1,0)&amp;"%"</f>
      </c>
    </row>
    <row x14ac:dyDescent="0.25" r="347" customHeight="1" ht="17.25">
      <c r="A347" s="20" t="s">
        <v>1654</v>
      </c>
      <c r="B347" s="20" t="s">
        <v>558</v>
      </c>
      <c r="C347" s="20" t="s">
        <v>15</v>
      </c>
      <c r="D347" s="20" t="s">
        <v>67</v>
      </c>
      <c r="E347" s="21">
        <f>ROUND(13371*1.05,2)</f>
      </c>
      <c r="F347" s="20" t="s">
        <v>44</v>
      </c>
      <c r="G347" s="20" t="s">
        <v>30</v>
      </c>
      <c r="H347" s="21">
        <f>ROUND(RAND()*4+6,1)</f>
      </c>
      <c r="I347" s="20" t="s">
        <v>45</v>
      </c>
      <c r="J347" s="23">
        <f>ROUND(93*1,0)&amp;"%"</f>
      </c>
    </row>
    <row x14ac:dyDescent="0.25" r="348" customHeight="1" ht="17.25">
      <c r="A348" s="17" t="s">
        <v>1655</v>
      </c>
      <c r="B348" s="17" t="s">
        <v>560</v>
      </c>
      <c r="C348" s="17" t="s">
        <v>15</v>
      </c>
      <c r="D348" s="17" t="s">
        <v>16</v>
      </c>
      <c r="E348" s="18">
        <f>ROUND(6487*1.05,2)</f>
      </c>
      <c r="F348" s="17" t="s">
        <v>48</v>
      </c>
      <c r="G348" s="17" t="s">
        <v>18</v>
      </c>
      <c r="H348" s="18">
        <f>ROUND(RAND()*4+6,1)</f>
      </c>
      <c r="I348" s="17" t="s">
        <v>19</v>
      </c>
      <c r="J348" s="19">
        <f>ROUND(93*1,0)&amp;"%"</f>
      </c>
    </row>
    <row x14ac:dyDescent="0.25" r="349" customHeight="1" ht="17.25">
      <c r="A349" s="20" t="s">
        <v>1656</v>
      </c>
      <c r="B349" s="20" t="s">
        <v>562</v>
      </c>
      <c r="C349" s="20" t="s">
        <v>15</v>
      </c>
      <c r="D349" s="20" t="s">
        <v>22</v>
      </c>
      <c r="E349" s="21">
        <f>ROUND(8988*1.05,2)</f>
      </c>
      <c r="F349" s="20" t="s">
        <v>51</v>
      </c>
      <c r="G349" s="20" t="s">
        <v>24</v>
      </c>
      <c r="H349" s="21">
        <f>ROUND(RAND()*4+6,1)</f>
      </c>
      <c r="I349" s="20" t="s">
        <v>25</v>
      </c>
      <c r="J349" s="23">
        <f>ROUND(88*1,0)&amp;"%"</f>
      </c>
    </row>
    <row x14ac:dyDescent="0.25" r="350" customHeight="1" ht="17.25">
      <c r="A350" s="24" t="s">
        <v>563</v>
      </c>
      <c r="B350" s="24"/>
      <c r="C350" s="24"/>
      <c r="D350" s="24"/>
      <c r="E350" s="25">
        <v>8</v>
      </c>
      <c r="F350" s="9"/>
      <c r="G350" s="9"/>
      <c r="H350" s="10"/>
      <c r="I350" s="9"/>
      <c r="J350" s="9"/>
    </row>
    <row x14ac:dyDescent="0.25" r="351" customHeight="1" ht="17.25">
      <c r="A351" s="7"/>
      <c r="B351" s="7"/>
      <c r="C351" s="7"/>
      <c r="D351" s="7"/>
      <c r="E351" s="8"/>
      <c r="F351" s="9"/>
      <c r="G351" s="9"/>
      <c r="H351" s="10"/>
      <c r="I351" s="9"/>
      <c r="J351" s="9"/>
    </row>
    <row x14ac:dyDescent="0.25" r="352" customHeight="1" ht="17.25">
      <c r="A352" s="11" t="s">
        <v>1657</v>
      </c>
      <c r="B352" s="11"/>
      <c r="C352" s="11"/>
      <c r="D352" s="11"/>
      <c r="E352" s="12"/>
      <c r="F352" s="11"/>
      <c r="G352" s="11"/>
      <c r="H352" s="13"/>
      <c r="I352" s="11"/>
      <c r="J352" s="11"/>
    </row>
    <row x14ac:dyDescent="0.25" r="353" customHeight="1" ht="17.25">
      <c r="A353" s="14" t="s">
        <v>3</v>
      </c>
      <c r="B353" s="14" t="s">
        <v>4</v>
      </c>
      <c r="C353" s="14" t="s">
        <v>5</v>
      </c>
      <c r="D353" s="14" t="s">
        <v>6</v>
      </c>
      <c r="E353" s="15" t="s">
        <v>7</v>
      </c>
      <c r="F353" s="14" t="s">
        <v>8</v>
      </c>
      <c r="G353" s="14" t="s">
        <v>9</v>
      </c>
      <c r="H353" s="16" t="s">
        <v>10</v>
      </c>
      <c r="I353" s="14" t="s">
        <v>11</v>
      </c>
      <c r="J353" s="14" t="s">
        <v>12</v>
      </c>
    </row>
    <row x14ac:dyDescent="0.25" r="354" customHeight="1" ht="17.25">
      <c r="A354" s="17" t="s">
        <v>1658</v>
      </c>
      <c r="B354" s="17" t="s">
        <v>566</v>
      </c>
      <c r="C354" s="17" t="s">
        <v>56</v>
      </c>
      <c r="D354" s="17" t="s">
        <v>16</v>
      </c>
      <c r="E354" s="18">
        <f>ROUND(11341*1.05,2)</f>
      </c>
      <c r="F354" s="17" t="s">
        <v>17</v>
      </c>
      <c r="G354" s="17" t="s">
        <v>18</v>
      </c>
      <c r="H354" s="18">
        <f>ROUND(RAND()*4+6,1)</f>
      </c>
      <c r="I354" s="17" t="s">
        <v>19</v>
      </c>
      <c r="J354" s="19">
        <f>ROUND(65*1,0)&amp;"%"</f>
      </c>
    </row>
    <row x14ac:dyDescent="0.25" r="355" customHeight="1" ht="17.25">
      <c r="A355" s="20" t="s">
        <v>1659</v>
      </c>
      <c r="B355" s="20" t="s">
        <v>568</v>
      </c>
      <c r="C355" s="20" t="s">
        <v>56</v>
      </c>
      <c r="D355" s="20" t="s">
        <v>22</v>
      </c>
      <c r="E355" s="21">
        <f>ROUND(8249*1.05,2)</f>
      </c>
      <c r="F355" s="20" t="s">
        <v>23</v>
      </c>
      <c r="G355" s="20" t="s">
        <v>24</v>
      </c>
      <c r="H355" s="21">
        <f>ROUND(RAND()*4+6,1)</f>
      </c>
      <c r="I355" s="20" t="s">
        <v>25</v>
      </c>
      <c r="J355" s="23">
        <f>ROUND(84*1,0)&amp;"%"</f>
      </c>
    </row>
    <row x14ac:dyDescent="0.25" r="356" customHeight="1" ht="17.25">
      <c r="A356" s="17" t="s">
        <v>1660</v>
      </c>
      <c r="B356" s="17" t="s">
        <v>570</v>
      </c>
      <c r="C356" s="17" t="s">
        <v>56</v>
      </c>
      <c r="D356" s="17" t="s">
        <v>28</v>
      </c>
      <c r="E356" s="18">
        <f>ROUND(5462*1.05,2)</f>
      </c>
      <c r="F356" s="17" t="s">
        <v>29</v>
      </c>
      <c r="G356" s="17" t="s">
        <v>30</v>
      </c>
      <c r="H356" s="18">
        <f>ROUND(RAND()*4+6,1)</f>
      </c>
      <c r="I356" s="17" t="s">
        <v>31</v>
      </c>
      <c r="J356" s="19">
        <f>ROUND(81*1,0)&amp;"%"</f>
      </c>
    </row>
    <row x14ac:dyDescent="0.25" r="357" customHeight="1" ht="17.25">
      <c r="A357" s="20" t="s">
        <v>1661</v>
      </c>
      <c r="B357" s="20" t="s">
        <v>572</v>
      </c>
      <c r="C357" s="20" t="s">
        <v>56</v>
      </c>
      <c r="D357" s="20" t="s">
        <v>34</v>
      </c>
      <c r="E357" s="21">
        <f>ROUND(13824*1.05,2)</f>
      </c>
      <c r="F357" s="20" t="s">
        <v>35</v>
      </c>
      <c r="G357" s="20" t="s">
        <v>18</v>
      </c>
      <c r="H357" s="21">
        <f>ROUND(RAND()*4+6,1)</f>
      </c>
      <c r="I357" s="20" t="s">
        <v>36</v>
      </c>
      <c r="J357" s="23">
        <f>ROUND(70*1,0)&amp;"%"</f>
      </c>
    </row>
    <row x14ac:dyDescent="0.25" r="358" customHeight="1" ht="17.25">
      <c r="A358" s="17" t="s">
        <v>1662</v>
      </c>
      <c r="B358" s="17" t="s">
        <v>574</v>
      </c>
      <c r="C358" s="17" t="s">
        <v>56</v>
      </c>
      <c r="D358" s="17" t="s">
        <v>39</v>
      </c>
      <c r="E358" s="18">
        <f>ROUND(16199*1.05,2)</f>
      </c>
      <c r="F358" s="17" t="s">
        <v>40</v>
      </c>
      <c r="G358" s="17" t="s">
        <v>24</v>
      </c>
      <c r="H358" s="18">
        <f>ROUND(RAND()*4+6,1)</f>
      </c>
      <c r="I358" s="17" t="s">
        <v>41</v>
      </c>
      <c r="J358" s="19">
        <f>ROUND(71*1,0)&amp;"%"</f>
      </c>
    </row>
    <row x14ac:dyDescent="0.25" r="359" customHeight="1" ht="17.25">
      <c r="A359" s="20" t="s">
        <v>1663</v>
      </c>
      <c r="B359" s="20" t="s">
        <v>576</v>
      </c>
      <c r="C359" s="20" t="s">
        <v>56</v>
      </c>
      <c r="D359" s="20" t="s">
        <v>67</v>
      </c>
      <c r="E359" s="21">
        <f>ROUND(12445*1.05,2)</f>
      </c>
      <c r="F359" s="20" t="s">
        <v>44</v>
      </c>
      <c r="G359" s="20" t="s">
        <v>30</v>
      </c>
      <c r="H359" s="21">
        <f>ROUND(RAND()*4+6,1)</f>
      </c>
      <c r="I359" s="20" t="s">
        <v>45</v>
      </c>
      <c r="J359" s="23">
        <f>ROUND(97*1,0)&amp;"%"</f>
      </c>
    </row>
    <row x14ac:dyDescent="0.25" r="360" customHeight="1" ht="17.25">
      <c r="A360" s="17" t="s">
        <v>1664</v>
      </c>
      <c r="B360" s="17" t="s">
        <v>578</v>
      </c>
      <c r="C360" s="17" t="s">
        <v>56</v>
      </c>
      <c r="D360" s="17" t="s">
        <v>16</v>
      </c>
      <c r="E360" s="18">
        <f>ROUND(12884*1.05,2)</f>
      </c>
      <c r="F360" s="17" t="s">
        <v>48</v>
      </c>
      <c r="G360" s="17" t="s">
        <v>18</v>
      </c>
      <c r="H360" s="18">
        <f>ROUND(RAND()*4+6,1)</f>
      </c>
      <c r="I360" s="17" t="s">
        <v>19</v>
      </c>
      <c r="J360" s="19">
        <f>ROUND(77*1,0)&amp;"%"</f>
      </c>
    </row>
    <row x14ac:dyDescent="0.25" r="361" customHeight="1" ht="17.25">
      <c r="A361" s="20" t="s">
        <v>1665</v>
      </c>
      <c r="B361" s="20" t="s">
        <v>580</v>
      </c>
      <c r="C361" s="20" t="s">
        <v>56</v>
      </c>
      <c r="D361" s="20" t="s">
        <v>22</v>
      </c>
      <c r="E361" s="21">
        <f>ROUND(5704*1.05,2)</f>
      </c>
      <c r="F361" s="20" t="s">
        <v>51</v>
      </c>
      <c r="G361" s="20" t="s">
        <v>24</v>
      </c>
      <c r="H361" s="21">
        <f>ROUND(RAND()*4+6,1)</f>
      </c>
      <c r="I361" s="20" t="s">
        <v>25</v>
      </c>
      <c r="J361" s="23">
        <f>ROUND(83*1,0)&amp;"%"</f>
      </c>
    </row>
    <row x14ac:dyDescent="0.25" r="362" customHeight="1" ht="17.25">
      <c r="A362" s="24" t="s">
        <v>581</v>
      </c>
      <c r="B362" s="24"/>
      <c r="C362" s="24"/>
      <c r="D362" s="24"/>
      <c r="E362" s="25">
        <v>8</v>
      </c>
      <c r="F362" s="9"/>
      <c r="G362" s="9"/>
      <c r="H362" s="10"/>
      <c r="I362" s="9"/>
      <c r="J362" s="9"/>
    </row>
  </sheetData>
  <mergeCells count="62">
    <mergeCell ref="A1:J1"/>
    <mergeCell ref="A2:J2"/>
    <mergeCell ref="A4:J4"/>
    <mergeCell ref="A14:D14"/>
    <mergeCell ref="A16:J16"/>
    <mergeCell ref="A26:D26"/>
    <mergeCell ref="A28:J28"/>
    <mergeCell ref="A38:D38"/>
    <mergeCell ref="A40:J40"/>
    <mergeCell ref="A50:D50"/>
    <mergeCell ref="A52:J52"/>
    <mergeCell ref="A62:D62"/>
    <mergeCell ref="A64:J64"/>
    <mergeCell ref="A74:D74"/>
    <mergeCell ref="A76:J76"/>
    <mergeCell ref="A86:D86"/>
    <mergeCell ref="A88:J88"/>
    <mergeCell ref="A98:D98"/>
    <mergeCell ref="A100:J100"/>
    <mergeCell ref="A110:D110"/>
    <mergeCell ref="A112:J112"/>
    <mergeCell ref="A122:D122"/>
    <mergeCell ref="A124:J124"/>
    <mergeCell ref="A134:D134"/>
    <mergeCell ref="A136:J136"/>
    <mergeCell ref="A146:D146"/>
    <mergeCell ref="A148:J148"/>
    <mergeCell ref="A158:D158"/>
    <mergeCell ref="A160:J160"/>
    <mergeCell ref="A170:D170"/>
    <mergeCell ref="A172:J172"/>
    <mergeCell ref="A182:D182"/>
    <mergeCell ref="A184:J184"/>
    <mergeCell ref="A194:D194"/>
    <mergeCell ref="A196:J196"/>
    <mergeCell ref="A206:D206"/>
    <mergeCell ref="A208:J208"/>
    <mergeCell ref="A218:D218"/>
    <mergeCell ref="A220:J220"/>
    <mergeCell ref="A230:D230"/>
    <mergeCell ref="A232:J232"/>
    <mergeCell ref="A242:D242"/>
    <mergeCell ref="A244:J244"/>
    <mergeCell ref="A254:D254"/>
    <mergeCell ref="A256:J256"/>
    <mergeCell ref="A266:D266"/>
    <mergeCell ref="A268:J268"/>
    <mergeCell ref="A278:D278"/>
    <mergeCell ref="A280:J280"/>
    <mergeCell ref="A290:D290"/>
    <mergeCell ref="A292:J292"/>
    <mergeCell ref="A302:D302"/>
    <mergeCell ref="A304:J304"/>
    <mergeCell ref="A314:D314"/>
    <mergeCell ref="A316:J316"/>
    <mergeCell ref="A326:D326"/>
    <mergeCell ref="A328:J328"/>
    <mergeCell ref="A338:D338"/>
    <mergeCell ref="A340:J340"/>
    <mergeCell ref="A350:D350"/>
    <mergeCell ref="A352:J352"/>
    <mergeCell ref="A362:D362"/>
  </mergeCells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J362"/>
  <sheetViews>
    <sheetView workbookViewId="0"/>
  </sheetViews>
  <sheetFormatPr defaultRowHeight="15" x14ac:dyDescent="0.25"/>
  <cols>
    <col min="1" max="1" style="27" width="8.005" customWidth="1" bestFit="1"/>
    <col min="2" max="2" style="27" width="22.005" customWidth="1" bestFit="1"/>
    <col min="3" max="3" style="27" width="16.005" customWidth="1" bestFit="1"/>
    <col min="4" max="4" style="27" width="14.005" customWidth="1" bestFit="1"/>
    <col min="5" max="5" style="28" width="12.005" customWidth="1" bestFit="1"/>
    <col min="6" max="6" style="29" width="16.005" customWidth="1" bestFit="1"/>
    <col min="7" max="7" style="29" width="10.005" customWidth="1" bestFit="1"/>
    <col min="8" max="8" style="30" width="10.005" customWidth="1" bestFit="1"/>
    <col min="9" max="9" style="29" width="14.005" customWidth="1" bestFit="1"/>
    <col min="10" max="10" style="29" width="8.005" customWidth="1" bestFit="1"/>
  </cols>
  <sheetData>
    <row x14ac:dyDescent="0.25" r="1" customHeight="1" ht="17.25">
      <c r="A1" s="1" t="s">
        <v>1124</v>
      </c>
      <c r="B1" s="1"/>
      <c r="C1" s="1"/>
      <c r="D1" s="1"/>
      <c r="E1" s="2"/>
      <c r="F1" s="1"/>
      <c r="G1" s="1"/>
      <c r="H1" s="3"/>
      <c r="I1" s="1"/>
      <c r="J1" s="1"/>
    </row>
    <row x14ac:dyDescent="0.25" r="2" customHeight="1" ht="17.25">
      <c r="A2" s="4" t="s">
        <v>1</v>
      </c>
      <c r="B2" s="4"/>
      <c r="C2" s="4"/>
      <c r="D2" s="4"/>
      <c r="E2" s="5"/>
      <c r="F2" s="4"/>
      <c r="G2" s="4"/>
      <c r="H2" s="6"/>
      <c r="I2" s="4"/>
      <c r="J2" s="4"/>
    </row>
    <row x14ac:dyDescent="0.25" r="3" customHeight="1" ht="17.25">
      <c r="A3" s="7"/>
      <c r="B3" s="7"/>
      <c r="C3" s="7"/>
      <c r="D3" s="7"/>
      <c r="E3" s="8"/>
      <c r="F3" s="9"/>
      <c r="G3" s="9"/>
      <c r="H3" s="10"/>
      <c r="I3" s="9"/>
      <c r="J3" s="9"/>
    </row>
    <row x14ac:dyDescent="0.25" r="4" customHeight="1" ht="17.25">
      <c r="A4" s="11" t="s">
        <v>1125</v>
      </c>
      <c r="B4" s="11"/>
      <c r="C4" s="11"/>
      <c r="D4" s="11"/>
      <c r="E4" s="12"/>
      <c r="F4" s="11"/>
      <c r="G4" s="11"/>
      <c r="H4" s="13"/>
      <c r="I4" s="11"/>
      <c r="J4" s="11"/>
    </row>
    <row x14ac:dyDescent="0.25" r="5" customHeight="1" ht="17.25">
      <c r="A5" s="14" t="s">
        <v>3</v>
      </c>
      <c r="B5" s="14" t="s">
        <v>4</v>
      </c>
      <c r="C5" s="14" t="s">
        <v>5</v>
      </c>
      <c r="D5" s="14" t="s">
        <v>6</v>
      </c>
      <c r="E5" s="15" t="s">
        <v>7</v>
      </c>
      <c r="F5" s="14" t="s">
        <v>8</v>
      </c>
      <c r="G5" s="14" t="s">
        <v>9</v>
      </c>
      <c r="H5" s="16" t="s">
        <v>10</v>
      </c>
      <c r="I5" s="14" t="s">
        <v>11</v>
      </c>
      <c r="J5" s="14" t="s">
        <v>12</v>
      </c>
    </row>
    <row x14ac:dyDescent="0.25" r="6" customHeight="1" ht="17.25">
      <c r="A6" s="17" t="s">
        <v>1126</v>
      </c>
      <c r="B6" s="17" t="s">
        <v>14</v>
      </c>
      <c r="C6" s="17" t="s">
        <v>15</v>
      </c>
      <c r="D6" s="17" t="s">
        <v>16</v>
      </c>
      <c r="E6" s="18">
        <f>ROUND(5356*1.05,2)</f>
      </c>
      <c r="F6" s="17" t="s">
        <v>17</v>
      </c>
      <c r="G6" s="17" t="s">
        <v>18</v>
      </c>
      <c r="H6" s="18">
        <f>ROUND(RAND()*4+6,1)</f>
      </c>
      <c r="I6" s="17" t="s">
        <v>19</v>
      </c>
      <c r="J6" s="19">
        <f>ROUND(78*1,0)&amp;"%"</f>
      </c>
    </row>
    <row x14ac:dyDescent="0.25" r="7" customHeight="1" ht="17.25">
      <c r="A7" s="20" t="s">
        <v>1127</v>
      </c>
      <c r="B7" s="20" t="s">
        <v>21</v>
      </c>
      <c r="C7" s="20" t="s">
        <v>15</v>
      </c>
      <c r="D7" s="20" t="s">
        <v>22</v>
      </c>
      <c r="E7" s="21">
        <f>ROUND(17884*1.05,2)</f>
      </c>
      <c r="F7" s="20" t="s">
        <v>23</v>
      </c>
      <c r="G7" s="20" t="s">
        <v>24</v>
      </c>
      <c r="H7" s="21">
        <f>ROUND(RAND()*4+6,1)</f>
      </c>
      <c r="I7" s="20" t="s">
        <v>25</v>
      </c>
      <c r="J7" s="23">
        <f>ROUND(84*1,0)&amp;"%"</f>
      </c>
    </row>
    <row x14ac:dyDescent="0.25" r="8" customHeight="1" ht="17.25">
      <c r="A8" s="17" t="s">
        <v>1128</v>
      </c>
      <c r="B8" s="17" t="s">
        <v>27</v>
      </c>
      <c r="C8" s="17" t="s">
        <v>15</v>
      </c>
      <c r="D8" s="17" t="s">
        <v>28</v>
      </c>
      <c r="E8" s="18">
        <f>ROUND(12933*1.05,2)</f>
      </c>
      <c r="F8" s="17" t="s">
        <v>29</v>
      </c>
      <c r="G8" s="17" t="s">
        <v>30</v>
      </c>
      <c r="H8" s="18">
        <f>ROUND(RAND()*4+6,1)</f>
      </c>
      <c r="I8" s="17" t="s">
        <v>31</v>
      </c>
      <c r="J8" s="19">
        <f>ROUND(84*1,0)&amp;"%"</f>
      </c>
    </row>
    <row x14ac:dyDescent="0.25" r="9" customHeight="1" ht="17.25">
      <c r="A9" s="20" t="s">
        <v>1129</v>
      </c>
      <c r="B9" s="20" t="s">
        <v>33</v>
      </c>
      <c r="C9" s="20" t="s">
        <v>15</v>
      </c>
      <c r="D9" s="20" t="s">
        <v>34</v>
      </c>
      <c r="E9" s="21">
        <f>ROUND(17416*1.05,2)</f>
      </c>
      <c r="F9" s="20" t="s">
        <v>35</v>
      </c>
      <c r="G9" s="20" t="s">
        <v>18</v>
      </c>
      <c r="H9" s="21">
        <f>ROUND(RAND()*4+6,1)</f>
      </c>
      <c r="I9" s="20" t="s">
        <v>36</v>
      </c>
      <c r="J9" s="23">
        <f>ROUND(74*1,0)&amp;"%"</f>
      </c>
    </row>
    <row x14ac:dyDescent="0.25" r="10" customHeight="1" ht="17.25">
      <c r="A10" s="17" t="s">
        <v>1130</v>
      </c>
      <c r="B10" s="17" t="s">
        <v>38</v>
      </c>
      <c r="C10" s="17" t="s">
        <v>15</v>
      </c>
      <c r="D10" s="17" t="s">
        <v>39</v>
      </c>
      <c r="E10" s="18">
        <f>ROUND(7672*1.05,2)</f>
      </c>
      <c r="F10" s="17" t="s">
        <v>40</v>
      </c>
      <c r="G10" s="17" t="s">
        <v>24</v>
      </c>
      <c r="H10" s="18">
        <f>ROUND(RAND()*4+6,1)</f>
      </c>
      <c r="I10" s="17" t="s">
        <v>41</v>
      </c>
      <c r="J10" s="19">
        <f>ROUND(77*1,0)&amp;"%"</f>
      </c>
    </row>
    <row x14ac:dyDescent="0.25" r="11" customHeight="1" ht="17.25">
      <c r="A11" s="20" t="s">
        <v>1131</v>
      </c>
      <c r="B11" s="20" t="s">
        <v>43</v>
      </c>
      <c r="C11" s="20" t="s">
        <v>15</v>
      </c>
      <c r="D11" s="20" t="s">
        <v>67</v>
      </c>
      <c r="E11" s="21">
        <f>ROUND(10035*1.05,2)</f>
      </c>
      <c r="F11" s="20" t="s">
        <v>44</v>
      </c>
      <c r="G11" s="20" t="s">
        <v>30</v>
      </c>
      <c r="H11" s="21">
        <f>ROUND(RAND()*4+6,1)</f>
      </c>
      <c r="I11" s="20" t="s">
        <v>45</v>
      </c>
      <c r="J11" s="23">
        <f>ROUND(82*1,0)&amp;"%"</f>
      </c>
    </row>
    <row x14ac:dyDescent="0.25" r="12" customHeight="1" ht="17.25">
      <c r="A12" s="17" t="s">
        <v>1132</v>
      </c>
      <c r="B12" s="17" t="s">
        <v>47</v>
      </c>
      <c r="C12" s="17" t="s">
        <v>15</v>
      </c>
      <c r="D12" s="17" t="s">
        <v>16</v>
      </c>
      <c r="E12" s="18">
        <f>ROUND(15635*1.05,2)</f>
      </c>
      <c r="F12" s="17" t="s">
        <v>48</v>
      </c>
      <c r="G12" s="17" t="s">
        <v>18</v>
      </c>
      <c r="H12" s="18">
        <f>ROUND(RAND()*4+6,1)</f>
      </c>
      <c r="I12" s="17" t="s">
        <v>19</v>
      </c>
      <c r="J12" s="19">
        <f>ROUND(68*1,0)&amp;"%"</f>
      </c>
    </row>
    <row x14ac:dyDescent="0.25" r="13" customHeight="1" ht="17.25">
      <c r="A13" s="20" t="s">
        <v>1133</v>
      </c>
      <c r="B13" s="20" t="s">
        <v>50</v>
      </c>
      <c r="C13" s="20" t="s">
        <v>15</v>
      </c>
      <c r="D13" s="20" t="s">
        <v>22</v>
      </c>
      <c r="E13" s="21">
        <f>ROUND(11222*1.05,2)</f>
      </c>
      <c r="F13" s="20" t="s">
        <v>51</v>
      </c>
      <c r="G13" s="20" t="s">
        <v>24</v>
      </c>
      <c r="H13" s="21">
        <f>ROUND(RAND()*4+6,1)</f>
      </c>
      <c r="I13" s="20" t="s">
        <v>25</v>
      </c>
      <c r="J13" s="23">
        <f>ROUND(83*1,0)&amp;"%"</f>
      </c>
    </row>
    <row x14ac:dyDescent="0.25" r="14" customHeight="1" ht="17.25">
      <c r="A14" s="24" t="s">
        <v>52</v>
      </c>
      <c r="B14" s="24"/>
      <c r="C14" s="24"/>
      <c r="D14" s="24"/>
      <c r="E14" s="25">
        <v>8</v>
      </c>
      <c r="F14" s="9"/>
      <c r="G14" s="9"/>
      <c r="H14" s="10"/>
      <c r="I14" s="9"/>
      <c r="J14" s="9"/>
    </row>
    <row x14ac:dyDescent="0.25" r="15" customHeight="1" ht="17.25">
      <c r="A15" s="7"/>
      <c r="B15" s="7"/>
      <c r="C15" s="7"/>
      <c r="D15" s="7"/>
      <c r="E15" s="8"/>
      <c r="F15" s="9"/>
      <c r="G15" s="9"/>
      <c r="H15" s="10"/>
      <c r="I15" s="9"/>
      <c r="J15" s="9"/>
    </row>
    <row x14ac:dyDescent="0.25" r="16" customHeight="1" ht="17.25">
      <c r="A16" s="11" t="s">
        <v>1134</v>
      </c>
      <c r="B16" s="11"/>
      <c r="C16" s="11"/>
      <c r="D16" s="11"/>
      <c r="E16" s="12"/>
      <c r="F16" s="11"/>
      <c r="G16" s="11"/>
      <c r="H16" s="13"/>
      <c r="I16" s="11"/>
      <c r="J16" s="11"/>
    </row>
    <row x14ac:dyDescent="0.25" r="17" customHeight="1" ht="17.25">
      <c r="A17" s="14" t="s">
        <v>3</v>
      </c>
      <c r="B17" s="14" t="s">
        <v>4</v>
      </c>
      <c r="C17" s="14" t="s">
        <v>5</v>
      </c>
      <c r="D17" s="14" t="s">
        <v>6</v>
      </c>
      <c r="E17" s="15" t="s">
        <v>7</v>
      </c>
      <c r="F17" s="14" t="s">
        <v>8</v>
      </c>
      <c r="G17" s="14" t="s">
        <v>9</v>
      </c>
      <c r="H17" s="16" t="s">
        <v>10</v>
      </c>
      <c r="I17" s="14" t="s">
        <v>11</v>
      </c>
      <c r="J17" s="14" t="s">
        <v>12</v>
      </c>
    </row>
    <row x14ac:dyDescent="0.25" r="18" customHeight="1" ht="17.25">
      <c r="A18" s="17" t="s">
        <v>1135</v>
      </c>
      <c r="B18" s="17" t="s">
        <v>55</v>
      </c>
      <c r="C18" s="17" t="s">
        <v>56</v>
      </c>
      <c r="D18" s="17" t="s">
        <v>16</v>
      </c>
      <c r="E18" s="18">
        <f>ROUND(12131*1.05,2)</f>
      </c>
      <c r="F18" s="17" t="s">
        <v>17</v>
      </c>
      <c r="G18" s="17" t="s">
        <v>18</v>
      </c>
      <c r="H18" s="18">
        <f>ROUND(RAND()*4+6,1)</f>
      </c>
      <c r="I18" s="17" t="s">
        <v>19</v>
      </c>
      <c r="J18" s="19">
        <f>ROUND(92*1,0)&amp;"%"</f>
      </c>
    </row>
    <row x14ac:dyDescent="0.25" r="19" customHeight="1" ht="17.25">
      <c r="A19" s="20" t="s">
        <v>1136</v>
      </c>
      <c r="B19" s="20" t="s">
        <v>58</v>
      </c>
      <c r="C19" s="20" t="s">
        <v>56</v>
      </c>
      <c r="D19" s="20" t="s">
        <v>22</v>
      </c>
      <c r="E19" s="21">
        <f>ROUND(7427*1.05,2)</f>
      </c>
      <c r="F19" s="20" t="s">
        <v>23</v>
      </c>
      <c r="G19" s="20" t="s">
        <v>24</v>
      </c>
      <c r="H19" s="21">
        <f>ROUND(RAND()*4+6,1)</f>
      </c>
      <c r="I19" s="20" t="s">
        <v>25</v>
      </c>
      <c r="J19" s="23">
        <f>ROUND(86*1,0)&amp;"%"</f>
      </c>
    </row>
    <row x14ac:dyDescent="0.25" r="20" customHeight="1" ht="17.25">
      <c r="A20" s="17" t="s">
        <v>1137</v>
      </c>
      <c r="B20" s="17" t="s">
        <v>60</v>
      </c>
      <c r="C20" s="17" t="s">
        <v>56</v>
      </c>
      <c r="D20" s="17" t="s">
        <v>28</v>
      </c>
      <c r="E20" s="18">
        <f>ROUND(13838*1.05,2)</f>
      </c>
      <c r="F20" s="17" t="s">
        <v>29</v>
      </c>
      <c r="G20" s="17" t="s">
        <v>30</v>
      </c>
      <c r="H20" s="18">
        <f>ROUND(RAND()*4+6,1)</f>
      </c>
      <c r="I20" s="17" t="s">
        <v>31</v>
      </c>
      <c r="J20" s="19">
        <f>ROUND(93*1,0)&amp;"%"</f>
      </c>
    </row>
    <row x14ac:dyDescent="0.25" r="21" customHeight="1" ht="17.25">
      <c r="A21" s="20" t="s">
        <v>1138</v>
      </c>
      <c r="B21" s="20" t="s">
        <v>62</v>
      </c>
      <c r="C21" s="20" t="s">
        <v>56</v>
      </c>
      <c r="D21" s="20" t="s">
        <v>34</v>
      </c>
      <c r="E21" s="21">
        <f>ROUND(6243*1.05,2)</f>
      </c>
      <c r="F21" s="20" t="s">
        <v>35</v>
      </c>
      <c r="G21" s="20" t="s">
        <v>18</v>
      </c>
      <c r="H21" s="21">
        <f>ROUND(RAND()*4+6,1)</f>
      </c>
      <c r="I21" s="20" t="s">
        <v>36</v>
      </c>
      <c r="J21" s="23">
        <f>ROUND(95*1,0)&amp;"%"</f>
      </c>
    </row>
    <row x14ac:dyDescent="0.25" r="22" customHeight="1" ht="17.25">
      <c r="A22" s="17" t="s">
        <v>1139</v>
      </c>
      <c r="B22" s="17" t="s">
        <v>64</v>
      </c>
      <c r="C22" s="17" t="s">
        <v>56</v>
      </c>
      <c r="D22" s="17" t="s">
        <v>39</v>
      </c>
      <c r="E22" s="18">
        <f>ROUND(6307*1.05,2)</f>
      </c>
      <c r="F22" s="17" t="s">
        <v>40</v>
      </c>
      <c r="G22" s="17" t="s">
        <v>24</v>
      </c>
      <c r="H22" s="18">
        <f>ROUND(RAND()*4+6,1)</f>
      </c>
      <c r="I22" s="17" t="s">
        <v>41</v>
      </c>
      <c r="J22" s="19">
        <f>ROUND(64*1,0)&amp;"%"</f>
      </c>
    </row>
    <row x14ac:dyDescent="0.25" r="23" customHeight="1" ht="17.25">
      <c r="A23" s="20" t="s">
        <v>1140</v>
      </c>
      <c r="B23" s="20" t="s">
        <v>66</v>
      </c>
      <c r="C23" s="20" t="s">
        <v>56</v>
      </c>
      <c r="D23" s="20" t="s">
        <v>67</v>
      </c>
      <c r="E23" s="21">
        <f>ROUND(14275*1.05,2)</f>
      </c>
      <c r="F23" s="20" t="s">
        <v>44</v>
      </c>
      <c r="G23" s="20" t="s">
        <v>30</v>
      </c>
      <c r="H23" s="21">
        <f>ROUND(RAND()*4+6,1)</f>
      </c>
      <c r="I23" s="20" t="s">
        <v>45</v>
      </c>
      <c r="J23" s="23">
        <f>ROUND(67*1,0)&amp;"%"</f>
      </c>
    </row>
    <row x14ac:dyDescent="0.25" r="24" customHeight="1" ht="17.25">
      <c r="A24" s="17" t="s">
        <v>1141</v>
      </c>
      <c r="B24" s="17" t="s">
        <v>69</v>
      </c>
      <c r="C24" s="17" t="s">
        <v>56</v>
      </c>
      <c r="D24" s="17" t="s">
        <v>16</v>
      </c>
      <c r="E24" s="18">
        <f>ROUND(10927*1.05,2)</f>
      </c>
      <c r="F24" s="17" t="s">
        <v>48</v>
      </c>
      <c r="G24" s="17" t="s">
        <v>18</v>
      </c>
      <c r="H24" s="18">
        <f>ROUND(RAND()*4+6,1)</f>
      </c>
      <c r="I24" s="17" t="s">
        <v>19</v>
      </c>
      <c r="J24" s="19">
        <f>ROUND(78*1,0)&amp;"%"</f>
      </c>
    </row>
    <row x14ac:dyDescent="0.25" r="25" customHeight="1" ht="17.25">
      <c r="A25" s="20" t="s">
        <v>1142</v>
      </c>
      <c r="B25" s="20" t="s">
        <v>71</v>
      </c>
      <c r="C25" s="20" t="s">
        <v>56</v>
      </c>
      <c r="D25" s="20" t="s">
        <v>22</v>
      </c>
      <c r="E25" s="21">
        <f>ROUND(6958*1.05,2)</f>
      </c>
      <c r="F25" s="20" t="s">
        <v>51</v>
      </c>
      <c r="G25" s="20" t="s">
        <v>24</v>
      </c>
      <c r="H25" s="21">
        <f>ROUND(RAND()*4+6,1)</f>
      </c>
      <c r="I25" s="20" t="s">
        <v>25</v>
      </c>
      <c r="J25" s="23">
        <f>ROUND(80*1,0)&amp;"%"</f>
      </c>
    </row>
    <row x14ac:dyDescent="0.25" r="26" customHeight="1" ht="17.25">
      <c r="A26" s="24" t="s">
        <v>72</v>
      </c>
      <c r="B26" s="24"/>
      <c r="C26" s="24"/>
      <c r="D26" s="24"/>
      <c r="E26" s="25">
        <v>8</v>
      </c>
      <c r="F26" s="9"/>
      <c r="G26" s="9"/>
      <c r="H26" s="10"/>
      <c r="I26" s="9"/>
      <c r="J26" s="9"/>
    </row>
    <row x14ac:dyDescent="0.25" r="27" customHeight="1" ht="17.25">
      <c r="A27" s="7"/>
      <c r="B27" s="7"/>
      <c r="C27" s="7"/>
      <c r="D27" s="7"/>
      <c r="E27" s="8"/>
      <c r="F27" s="9"/>
      <c r="G27" s="9"/>
      <c r="H27" s="10"/>
      <c r="I27" s="9"/>
      <c r="J27" s="9"/>
    </row>
    <row x14ac:dyDescent="0.25" r="28" customHeight="1" ht="17.25">
      <c r="A28" s="11" t="s">
        <v>1143</v>
      </c>
      <c r="B28" s="11"/>
      <c r="C28" s="11"/>
      <c r="D28" s="11"/>
      <c r="E28" s="12"/>
      <c r="F28" s="11"/>
      <c r="G28" s="11"/>
      <c r="H28" s="13"/>
      <c r="I28" s="11"/>
      <c r="J28" s="11"/>
    </row>
    <row x14ac:dyDescent="0.25" r="29" customHeight="1" ht="17.25">
      <c r="A29" s="14" t="s">
        <v>3</v>
      </c>
      <c r="B29" s="14" t="s">
        <v>4</v>
      </c>
      <c r="C29" s="14" t="s">
        <v>5</v>
      </c>
      <c r="D29" s="14" t="s">
        <v>6</v>
      </c>
      <c r="E29" s="15" t="s">
        <v>7</v>
      </c>
      <c r="F29" s="14" t="s">
        <v>8</v>
      </c>
      <c r="G29" s="14" t="s">
        <v>9</v>
      </c>
      <c r="H29" s="16" t="s">
        <v>10</v>
      </c>
      <c r="I29" s="14" t="s">
        <v>11</v>
      </c>
      <c r="J29" s="14" t="s">
        <v>12</v>
      </c>
    </row>
    <row x14ac:dyDescent="0.25" r="30" customHeight="1" ht="17.25">
      <c r="A30" s="17" t="s">
        <v>1144</v>
      </c>
      <c r="B30" s="17" t="s">
        <v>75</v>
      </c>
      <c r="C30" s="17" t="s">
        <v>76</v>
      </c>
      <c r="D30" s="17" t="s">
        <v>16</v>
      </c>
      <c r="E30" s="18">
        <f>ROUND(15088*1.05,2)</f>
      </c>
      <c r="F30" s="17" t="s">
        <v>17</v>
      </c>
      <c r="G30" s="17" t="s">
        <v>18</v>
      </c>
      <c r="H30" s="18">
        <f>ROUND(RAND()*4+6,1)</f>
      </c>
      <c r="I30" s="17" t="s">
        <v>19</v>
      </c>
      <c r="J30" s="19">
        <f>ROUND(77*1,0)&amp;"%"</f>
      </c>
    </row>
    <row x14ac:dyDescent="0.25" r="31" customHeight="1" ht="17.25">
      <c r="A31" s="20" t="s">
        <v>1145</v>
      </c>
      <c r="B31" s="20" t="s">
        <v>78</v>
      </c>
      <c r="C31" s="20" t="s">
        <v>76</v>
      </c>
      <c r="D31" s="20" t="s">
        <v>22</v>
      </c>
      <c r="E31" s="21">
        <f>ROUND(16206*1.05,2)</f>
      </c>
      <c r="F31" s="20" t="s">
        <v>23</v>
      </c>
      <c r="G31" s="20" t="s">
        <v>24</v>
      </c>
      <c r="H31" s="21">
        <f>ROUND(RAND()*4+6,1)</f>
      </c>
      <c r="I31" s="20" t="s">
        <v>25</v>
      </c>
      <c r="J31" s="23">
        <f>ROUND(74*1,0)&amp;"%"</f>
      </c>
    </row>
    <row x14ac:dyDescent="0.25" r="32" customHeight="1" ht="17.25">
      <c r="A32" s="17" t="s">
        <v>1146</v>
      </c>
      <c r="B32" s="17" t="s">
        <v>80</v>
      </c>
      <c r="C32" s="17" t="s">
        <v>76</v>
      </c>
      <c r="D32" s="17" t="s">
        <v>28</v>
      </c>
      <c r="E32" s="18">
        <f>ROUND(17082*1.05,2)</f>
      </c>
      <c r="F32" s="17" t="s">
        <v>29</v>
      </c>
      <c r="G32" s="17" t="s">
        <v>30</v>
      </c>
      <c r="H32" s="18">
        <f>ROUND(RAND()*4+6,1)</f>
      </c>
      <c r="I32" s="17" t="s">
        <v>31</v>
      </c>
      <c r="J32" s="19">
        <f>ROUND(75*1,0)&amp;"%"</f>
      </c>
    </row>
    <row x14ac:dyDescent="0.25" r="33" customHeight="1" ht="17.25">
      <c r="A33" s="20" t="s">
        <v>1147</v>
      </c>
      <c r="B33" s="20" t="s">
        <v>82</v>
      </c>
      <c r="C33" s="20" t="s">
        <v>76</v>
      </c>
      <c r="D33" s="20" t="s">
        <v>34</v>
      </c>
      <c r="E33" s="21">
        <f>ROUND(4238*1.05,2)</f>
      </c>
      <c r="F33" s="20" t="s">
        <v>35</v>
      </c>
      <c r="G33" s="20" t="s">
        <v>18</v>
      </c>
      <c r="H33" s="21">
        <f>ROUND(RAND()*4+6,1)</f>
      </c>
      <c r="I33" s="20" t="s">
        <v>36</v>
      </c>
      <c r="J33" s="23">
        <f>ROUND(68*1,0)&amp;"%"</f>
      </c>
    </row>
    <row x14ac:dyDescent="0.25" r="34" customHeight="1" ht="17.25">
      <c r="A34" s="17" t="s">
        <v>1148</v>
      </c>
      <c r="B34" s="17" t="s">
        <v>84</v>
      </c>
      <c r="C34" s="17" t="s">
        <v>76</v>
      </c>
      <c r="D34" s="17" t="s">
        <v>39</v>
      </c>
      <c r="E34" s="18">
        <f>ROUND(8234*1.05,2)</f>
      </c>
      <c r="F34" s="17" t="s">
        <v>40</v>
      </c>
      <c r="G34" s="17" t="s">
        <v>24</v>
      </c>
      <c r="H34" s="18">
        <f>ROUND(RAND()*4+6,1)</f>
      </c>
      <c r="I34" s="17" t="s">
        <v>41</v>
      </c>
      <c r="J34" s="19">
        <f>ROUND(94*1,0)&amp;"%"</f>
      </c>
    </row>
    <row x14ac:dyDescent="0.25" r="35" customHeight="1" ht="17.25">
      <c r="A35" s="20" t="s">
        <v>1149</v>
      </c>
      <c r="B35" s="20" t="s">
        <v>86</v>
      </c>
      <c r="C35" s="20" t="s">
        <v>76</v>
      </c>
      <c r="D35" s="20" t="s">
        <v>67</v>
      </c>
      <c r="E35" s="22">
        <f>ROUND(12220*1.05,2)</f>
      </c>
      <c r="F35" s="20" t="s">
        <v>44</v>
      </c>
      <c r="G35" s="20" t="s">
        <v>30</v>
      </c>
      <c r="H35" s="21">
        <f>ROUND(RAND()*4+6,1)</f>
      </c>
      <c r="I35" s="20" t="s">
        <v>45</v>
      </c>
      <c r="J35" s="23">
        <f>ROUND(67*1,0)&amp;"%"</f>
      </c>
    </row>
    <row x14ac:dyDescent="0.25" r="36" customHeight="1" ht="17.25">
      <c r="A36" s="17" t="s">
        <v>1150</v>
      </c>
      <c r="B36" s="17" t="s">
        <v>88</v>
      </c>
      <c r="C36" s="17" t="s">
        <v>76</v>
      </c>
      <c r="D36" s="17" t="s">
        <v>16</v>
      </c>
      <c r="E36" s="18">
        <f>ROUND(13622*1.05,2)</f>
      </c>
      <c r="F36" s="17" t="s">
        <v>48</v>
      </c>
      <c r="G36" s="17" t="s">
        <v>18</v>
      </c>
      <c r="H36" s="18">
        <f>ROUND(RAND()*4+6,1)</f>
      </c>
      <c r="I36" s="17" t="s">
        <v>19</v>
      </c>
      <c r="J36" s="19">
        <f>ROUND(81*1,0)&amp;"%"</f>
      </c>
    </row>
    <row x14ac:dyDescent="0.25" r="37" customHeight="1" ht="17.25">
      <c r="A37" s="20" t="s">
        <v>1151</v>
      </c>
      <c r="B37" s="20" t="s">
        <v>90</v>
      </c>
      <c r="C37" s="20" t="s">
        <v>76</v>
      </c>
      <c r="D37" s="20" t="s">
        <v>22</v>
      </c>
      <c r="E37" s="21">
        <f>ROUND(12388*1.05,2)</f>
      </c>
      <c r="F37" s="20" t="s">
        <v>51</v>
      </c>
      <c r="G37" s="20" t="s">
        <v>24</v>
      </c>
      <c r="H37" s="21">
        <f>ROUND(RAND()*4+6,1)</f>
      </c>
      <c r="I37" s="20" t="s">
        <v>25</v>
      </c>
      <c r="J37" s="23">
        <f>ROUND(92*1,0)&amp;"%"</f>
      </c>
    </row>
    <row x14ac:dyDescent="0.25" r="38" customHeight="1" ht="17.25">
      <c r="A38" s="24" t="s">
        <v>91</v>
      </c>
      <c r="B38" s="24"/>
      <c r="C38" s="24"/>
      <c r="D38" s="24"/>
      <c r="E38" s="25">
        <v>8</v>
      </c>
      <c r="F38" s="9"/>
      <c r="G38" s="9"/>
      <c r="H38" s="10"/>
      <c r="I38" s="9"/>
      <c r="J38" s="9"/>
    </row>
    <row x14ac:dyDescent="0.25" r="39" customHeight="1" ht="17.25">
      <c r="A39" s="7"/>
      <c r="B39" s="7"/>
      <c r="C39" s="7"/>
      <c r="D39" s="7"/>
      <c r="E39" s="8"/>
      <c r="F39" s="9"/>
      <c r="G39" s="9"/>
      <c r="H39" s="10"/>
      <c r="I39" s="9"/>
      <c r="J39" s="9"/>
    </row>
    <row x14ac:dyDescent="0.25" r="40" customHeight="1" ht="17.25">
      <c r="A40" s="11" t="s">
        <v>1152</v>
      </c>
      <c r="B40" s="11"/>
      <c r="C40" s="11"/>
      <c r="D40" s="11"/>
      <c r="E40" s="12"/>
      <c r="F40" s="11"/>
      <c r="G40" s="11"/>
      <c r="H40" s="13"/>
      <c r="I40" s="11"/>
      <c r="J40" s="11"/>
    </row>
    <row x14ac:dyDescent="0.25" r="41" customHeight="1" ht="17.25">
      <c r="A41" s="14" t="s">
        <v>3</v>
      </c>
      <c r="B41" s="14" t="s">
        <v>4</v>
      </c>
      <c r="C41" s="14" t="s">
        <v>5</v>
      </c>
      <c r="D41" s="14" t="s">
        <v>6</v>
      </c>
      <c r="E41" s="15" t="s">
        <v>7</v>
      </c>
      <c r="F41" s="14" t="s">
        <v>8</v>
      </c>
      <c r="G41" s="14" t="s">
        <v>9</v>
      </c>
      <c r="H41" s="16" t="s">
        <v>10</v>
      </c>
      <c r="I41" s="14" t="s">
        <v>11</v>
      </c>
      <c r="J41" s="14" t="s">
        <v>12</v>
      </c>
    </row>
    <row x14ac:dyDescent="0.25" r="42" customHeight="1" ht="17.25">
      <c r="A42" s="17" t="s">
        <v>1153</v>
      </c>
      <c r="B42" s="17" t="s">
        <v>94</v>
      </c>
      <c r="C42" s="17" t="s">
        <v>95</v>
      </c>
      <c r="D42" s="17" t="s">
        <v>16</v>
      </c>
      <c r="E42" s="18">
        <f>ROUND(5961*1.05,2)</f>
      </c>
      <c r="F42" s="17" t="s">
        <v>17</v>
      </c>
      <c r="G42" s="17" t="s">
        <v>18</v>
      </c>
      <c r="H42" s="18">
        <f>ROUND(RAND()*4+6,1)</f>
      </c>
      <c r="I42" s="17" t="s">
        <v>19</v>
      </c>
      <c r="J42" s="19">
        <f>ROUND(69*1,0)&amp;"%"</f>
      </c>
    </row>
    <row x14ac:dyDescent="0.25" r="43" customHeight="1" ht="17.25">
      <c r="A43" s="20" t="s">
        <v>1154</v>
      </c>
      <c r="B43" s="20" t="s">
        <v>97</v>
      </c>
      <c r="C43" s="20" t="s">
        <v>95</v>
      </c>
      <c r="D43" s="20" t="s">
        <v>22</v>
      </c>
      <c r="E43" s="21">
        <f>ROUND(17103*1.05,2)</f>
      </c>
      <c r="F43" s="20" t="s">
        <v>23</v>
      </c>
      <c r="G43" s="20" t="s">
        <v>24</v>
      </c>
      <c r="H43" s="21">
        <f>ROUND(RAND()*4+6,1)</f>
      </c>
      <c r="I43" s="20" t="s">
        <v>25</v>
      </c>
      <c r="J43" s="23">
        <f>ROUND(87*1,0)&amp;"%"</f>
      </c>
    </row>
    <row x14ac:dyDescent="0.25" r="44" customHeight="1" ht="17.25">
      <c r="A44" s="17" t="s">
        <v>1155</v>
      </c>
      <c r="B44" s="17" t="s">
        <v>99</v>
      </c>
      <c r="C44" s="17" t="s">
        <v>95</v>
      </c>
      <c r="D44" s="17" t="s">
        <v>28</v>
      </c>
      <c r="E44" s="18">
        <f>ROUND(13437*1.05,2)</f>
      </c>
      <c r="F44" s="17" t="s">
        <v>29</v>
      </c>
      <c r="G44" s="17" t="s">
        <v>30</v>
      </c>
      <c r="H44" s="18">
        <f>ROUND(RAND()*4+6,1)</f>
      </c>
      <c r="I44" s="17" t="s">
        <v>31</v>
      </c>
      <c r="J44" s="19">
        <f>ROUND(81*1,0)&amp;"%"</f>
      </c>
    </row>
    <row x14ac:dyDescent="0.25" r="45" customHeight="1" ht="17.25">
      <c r="A45" s="20" t="s">
        <v>1156</v>
      </c>
      <c r="B45" s="20" t="s">
        <v>101</v>
      </c>
      <c r="C45" s="20" t="s">
        <v>95</v>
      </c>
      <c r="D45" s="20" t="s">
        <v>34</v>
      </c>
      <c r="E45" s="21">
        <f>ROUND(17884*1.05,2)</f>
      </c>
      <c r="F45" s="20" t="s">
        <v>35</v>
      </c>
      <c r="G45" s="20" t="s">
        <v>18</v>
      </c>
      <c r="H45" s="21">
        <f>ROUND(RAND()*4+6,1)</f>
      </c>
      <c r="I45" s="20" t="s">
        <v>36</v>
      </c>
      <c r="J45" s="23">
        <f>ROUND(87*1,0)&amp;"%"</f>
      </c>
    </row>
    <row x14ac:dyDescent="0.25" r="46" customHeight="1" ht="17.25">
      <c r="A46" s="17" t="s">
        <v>1157</v>
      </c>
      <c r="B46" s="17" t="s">
        <v>103</v>
      </c>
      <c r="C46" s="17" t="s">
        <v>95</v>
      </c>
      <c r="D46" s="17" t="s">
        <v>39</v>
      </c>
      <c r="E46" s="18">
        <f>ROUND(14701*1.05,2)</f>
      </c>
      <c r="F46" s="17" t="s">
        <v>40</v>
      </c>
      <c r="G46" s="17" t="s">
        <v>24</v>
      </c>
      <c r="H46" s="18">
        <f>ROUND(RAND()*4+6,1)</f>
      </c>
      <c r="I46" s="17" t="s">
        <v>41</v>
      </c>
      <c r="J46" s="19">
        <f>ROUND(74*1,0)&amp;"%"</f>
      </c>
    </row>
    <row x14ac:dyDescent="0.25" r="47" customHeight="1" ht="17.25">
      <c r="A47" s="20" t="s">
        <v>1158</v>
      </c>
      <c r="B47" s="20" t="s">
        <v>105</v>
      </c>
      <c r="C47" s="20" t="s">
        <v>95</v>
      </c>
      <c r="D47" s="20" t="s">
        <v>67</v>
      </c>
      <c r="E47" s="21">
        <f>ROUND(11521*1.05,2)</f>
      </c>
      <c r="F47" s="20" t="s">
        <v>44</v>
      </c>
      <c r="G47" s="20" t="s">
        <v>30</v>
      </c>
      <c r="H47" s="21">
        <f>ROUND(RAND()*4+6,1)</f>
      </c>
      <c r="I47" s="20" t="s">
        <v>45</v>
      </c>
      <c r="J47" s="23">
        <f>ROUND(94*1,0)&amp;"%"</f>
      </c>
    </row>
    <row x14ac:dyDescent="0.25" r="48" customHeight="1" ht="17.25">
      <c r="A48" s="17" t="s">
        <v>1159</v>
      </c>
      <c r="B48" s="17" t="s">
        <v>107</v>
      </c>
      <c r="C48" s="17" t="s">
        <v>95</v>
      </c>
      <c r="D48" s="17" t="s">
        <v>16</v>
      </c>
      <c r="E48" s="18">
        <f>ROUND(11446*1.05,2)</f>
      </c>
      <c r="F48" s="17" t="s">
        <v>48</v>
      </c>
      <c r="G48" s="17" t="s">
        <v>18</v>
      </c>
      <c r="H48" s="18">
        <f>ROUND(RAND()*4+6,1)</f>
      </c>
      <c r="I48" s="17" t="s">
        <v>19</v>
      </c>
      <c r="J48" s="19">
        <f>ROUND(64*1,0)&amp;"%"</f>
      </c>
    </row>
    <row x14ac:dyDescent="0.25" r="49" customHeight="1" ht="17.25">
      <c r="A49" s="20" t="s">
        <v>1160</v>
      </c>
      <c r="B49" s="20" t="s">
        <v>109</v>
      </c>
      <c r="C49" s="20" t="s">
        <v>95</v>
      </c>
      <c r="D49" s="20" t="s">
        <v>22</v>
      </c>
      <c r="E49" s="21">
        <f>ROUND(4219*1.05,2)</f>
      </c>
      <c r="F49" s="20" t="s">
        <v>51</v>
      </c>
      <c r="G49" s="20" t="s">
        <v>24</v>
      </c>
      <c r="H49" s="21">
        <f>ROUND(RAND()*4+6,1)</f>
      </c>
      <c r="I49" s="20" t="s">
        <v>25</v>
      </c>
      <c r="J49" s="23">
        <f>ROUND(84*1,0)&amp;"%"</f>
      </c>
    </row>
    <row x14ac:dyDescent="0.25" r="50" customHeight="1" ht="17.25">
      <c r="A50" s="24" t="s">
        <v>110</v>
      </c>
      <c r="B50" s="24"/>
      <c r="C50" s="24"/>
      <c r="D50" s="24"/>
      <c r="E50" s="25">
        <v>8</v>
      </c>
      <c r="F50" s="9"/>
      <c r="G50" s="9"/>
      <c r="H50" s="10"/>
      <c r="I50" s="9"/>
      <c r="J50" s="9"/>
    </row>
    <row x14ac:dyDescent="0.25" r="51" customHeight="1" ht="17.25">
      <c r="A51" s="7"/>
      <c r="B51" s="7"/>
      <c r="C51" s="7"/>
      <c r="D51" s="7"/>
      <c r="E51" s="8"/>
      <c r="F51" s="9"/>
      <c r="G51" s="9"/>
      <c r="H51" s="10"/>
      <c r="I51" s="9"/>
      <c r="J51" s="9"/>
    </row>
    <row x14ac:dyDescent="0.25" r="52" customHeight="1" ht="17.25">
      <c r="A52" s="11" t="s">
        <v>1161</v>
      </c>
      <c r="B52" s="11"/>
      <c r="C52" s="11"/>
      <c r="D52" s="11"/>
      <c r="E52" s="12"/>
      <c r="F52" s="11"/>
      <c r="G52" s="11"/>
      <c r="H52" s="13"/>
      <c r="I52" s="11"/>
      <c r="J52" s="11"/>
    </row>
    <row x14ac:dyDescent="0.25" r="53" customHeight="1" ht="17.25">
      <c r="A53" s="14" t="s">
        <v>3</v>
      </c>
      <c r="B53" s="14" t="s">
        <v>4</v>
      </c>
      <c r="C53" s="14" t="s">
        <v>5</v>
      </c>
      <c r="D53" s="14" t="s">
        <v>6</v>
      </c>
      <c r="E53" s="15" t="s">
        <v>7</v>
      </c>
      <c r="F53" s="14" t="s">
        <v>8</v>
      </c>
      <c r="G53" s="14" t="s">
        <v>9</v>
      </c>
      <c r="H53" s="16" t="s">
        <v>10</v>
      </c>
      <c r="I53" s="14" t="s">
        <v>11</v>
      </c>
      <c r="J53" s="14" t="s">
        <v>12</v>
      </c>
    </row>
    <row x14ac:dyDescent="0.25" r="54" customHeight="1" ht="17.25">
      <c r="A54" s="17" t="s">
        <v>1162</v>
      </c>
      <c r="B54" s="17" t="s">
        <v>113</v>
      </c>
      <c r="C54" s="17" t="s">
        <v>114</v>
      </c>
      <c r="D54" s="17" t="s">
        <v>16</v>
      </c>
      <c r="E54" s="18">
        <f>ROUND(8358*1.05,2)</f>
      </c>
      <c r="F54" s="17" t="s">
        <v>17</v>
      </c>
      <c r="G54" s="17" t="s">
        <v>18</v>
      </c>
      <c r="H54" s="18">
        <f>ROUND(RAND()*4+6,1)</f>
      </c>
      <c r="I54" s="17" t="s">
        <v>19</v>
      </c>
      <c r="J54" s="19">
        <f>ROUND(67*1,0)&amp;"%"</f>
      </c>
    </row>
    <row x14ac:dyDescent="0.25" r="55" customHeight="1" ht="17.25">
      <c r="A55" s="20" t="s">
        <v>1163</v>
      </c>
      <c r="B55" s="20" t="s">
        <v>116</v>
      </c>
      <c r="C55" s="20" t="s">
        <v>114</v>
      </c>
      <c r="D55" s="20" t="s">
        <v>22</v>
      </c>
      <c r="E55" s="21">
        <f>ROUND(17226*1.05,2)</f>
      </c>
      <c r="F55" s="20" t="s">
        <v>23</v>
      </c>
      <c r="G55" s="20" t="s">
        <v>24</v>
      </c>
      <c r="H55" s="22">
        <f>ROUND(RAND()*4+6,1)</f>
      </c>
      <c r="I55" s="20" t="s">
        <v>25</v>
      </c>
      <c r="J55" s="23">
        <f>ROUND(62*1,0)&amp;"%"</f>
      </c>
    </row>
    <row x14ac:dyDescent="0.25" r="56" customHeight="1" ht="17.25">
      <c r="A56" s="17" t="s">
        <v>1164</v>
      </c>
      <c r="B56" s="17" t="s">
        <v>118</v>
      </c>
      <c r="C56" s="17" t="s">
        <v>114</v>
      </c>
      <c r="D56" s="17" t="s">
        <v>28</v>
      </c>
      <c r="E56" s="18">
        <f>ROUND(8008*1.05,2)</f>
      </c>
      <c r="F56" s="17" t="s">
        <v>29</v>
      </c>
      <c r="G56" s="17" t="s">
        <v>30</v>
      </c>
      <c r="H56" s="18">
        <f>ROUND(RAND()*4+6,1)</f>
      </c>
      <c r="I56" s="17" t="s">
        <v>31</v>
      </c>
      <c r="J56" s="19">
        <f>ROUND(95*1,0)&amp;"%"</f>
      </c>
    </row>
    <row x14ac:dyDescent="0.25" r="57" customHeight="1" ht="17.25">
      <c r="A57" s="20" t="s">
        <v>1165</v>
      </c>
      <c r="B57" s="20" t="s">
        <v>120</v>
      </c>
      <c r="C57" s="20" t="s">
        <v>114</v>
      </c>
      <c r="D57" s="20" t="s">
        <v>34</v>
      </c>
      <c r="E57" s="21">
        <f>ROUND(9872*1.05,2)</f>
      </c>
      <c r="F57" s="20" t="s">
        <v>35</v>
      </c>
      <c r="G57" s="20" t="s">
        <v>18</v>
      </c>
      <c r="H57" s="21">
        <f>ROUND(RAND()*4+6,1)</f>
      </c>
      <c r="I57" s="20" t="s">
        <v>36</v>
      </c>
      <c r="J57" s="23">
        <f>ROUND(88*1,0)&amp;"%"</f>
      </c>
    </row>
    <row x14ac:dyDescent="0.25" r="58" customHeight="1" ht="17.25">
      <c r="A58" s="17" t="s">
        <v>1166</v>
      </c>
      <c r="B58" s="17" t="s">
        <v>122</v>
      </c>
      <c r="C58" s="17" t="s">
        <v>114</v>
      </c>
      <c r="D58" s="17" t="s">
        <v>39</v>
      </c>
      <c r="E58" s="18">
        <f>ROUND(8278*1.05,2)</f>
      </c>
      <c r="F58" s="17" t="s">
        <v>40</v>
      </c>
      <c r="G58" s="17" t="s">
        <v>24</v>
      </c>
      <c r="H58" s="18">
        <f>ROUND(RAND()*4+6,1)</f>
      </c>
      <c r="I58" s="17" t="s">
        <v>41</v>
      </c>
      <c r="J58" s="19">
        <f>ROUND(71*1,0)&amp;"%"</f>
      </c>
    </row>
    <row x14ac:dyDescent="0.25" r="59" customHeight="1" ht="17.25">
      <c r="A59" s="20" t="s">
        <v>1167</v>
      </c>
      <c r="B59" s="20" t="s">
        <v>124</v>
      </c>
      <c r="C59" s="20" t="s">
        <v>114</v>
      </c>
      <c r="D59" s="20" t="s">
        <v>67</v>
      </c>
      <c r="E59" s="21">
        <f>ROUND(9479*1.05,2)</f>
      </c>
      <c r="F59" s="20" t="s">
        <v>44</v>
      </c>
      <c r="G59" s="20" t="s">
        <v>30</v>
      </c>
      <c r="H59" s="21">
        <f>ROUND(RAND()*4+6,1)</f>
      </c>
      <c r="I59" s="20" t="s">
        <v>45</v>
      </c>
      <c r="J59" s="23">
        <f>ROUND(61*1,0)&amp;"%"</f>
      </c>
    </row>
    <row x14ac:dyDescent="0.25" r="60" customHeight="1" ht="17.25">
      <c r="A60" s="17" t="s">
        <v>1168</v>
      </c>
      <c r="B60" s="17" t="s">
        <v>126</v>
      </c>
      <c r="C60" s="17" t="s">
        <v>114</v>
      </c>
      <c r="D60" s="17" t="s">
        <v>16</v>
      </c>
      <c r="E60" s="18">
        <f>ROUND(14092*1.05,2)</f>
      </c>
      <c r="F60" s="17" t="s">
        <v>48</v>
      </c>
      <c r="G60" s="17" t="s">
        <v>18</v>
      </c>
      <c r="H60" s="18">
        <f>ROUND(RAND()*4+6,1)</f>
      </c>
      <c r="I60" s="17" t="s">
        <v>19</v>
      </c>
      <c r="J60" s="19">
        <f>ROUND(66*1,0)&amp;"%"</f>
      </c>
    </row>
    <row x14ac:dyDescent="0.25" r="61" customHeight="1" ht="17.25">
      <c r="A61" s="20" t="s">
        <v>1169</v>
      </c>
      <c r="B61" s="20" t="s">
        <v>128</v>
      </c>
      <c r="C61" s="20" t="s">
        <v>114</v>
      </c>
      <c r="D61" s="20" t="s">
        <v>22</v>
      </c>
      <c r="E61" s="21">
        <f>ROUND(8179*1.05,2)</f>
      </c>
      <c r="F61" s="20" t="s">
        <v>51</v>
      </c>
      <c r="G61" s="20" t="s">
        <v>24</v>
      </c>
      <c r="H61" s="21">
        <f>ROUND(RAND()*4+6,1)</f>
      </c>
      <c r="I61" s="20" t="s">
        <v>25</v>
      </c>
      <c r="J61" s="23">
        <f>ROUND(69*1,0)&amp;"%"</f>
      </c>
    </row>
    <row x14ac:dyDescent="0.25" r="62" customHeight="1" ht="17.25">
      <c r="A62" s="24" t="s">
        <v>129</v>
      </c>
      <c r="B62" s="24"/>
      <c r="C62" s="24"/>
      <c r="D62" s="24"/>
      <c r="E62" s="25">
        <v>8</v>
      </c>
      <c r="F62" s="9"/>
      <c r="G62" s="9"/>
      <c r="H62" s="10"/>
      <c r="I62" s="9"/>
      <c r="J62" s="9"/>
    </row>
    <row x14ac:dyDescent="0.25" r="63" customHeight="1" ht="17.25">
      <c r="A63" s="7"/>
      <c r="B63" s="7"/>
      <c r="C63" s="7"/>
      <c r="D63" s="7"/>
      <c r="E63" s="8"/>
      <c r="F63" s="9"/>
      <c r="G63" s="9"/>
      <c r="H63" s="10"/>
      <c r="I63" s="9"/>
      <c r="J63" s="9"/>
    </row>
    <row x14ac:dyDescent="0.25" r="64" customHeight="1" ht="17.25">
      <c r="A64" s="11" t="s">
        <v>1170</v>
      </c>
      <c r="B64" s="11"/>
      <c r="C64" s="11"/>
      <c r="D64" s="11"/>
      <c r="E64" s="12"/>
      <c r="F64" s="11"/>
      <c r="G64" s="11"/>
      <c r="H64" s="13"/>
      <c r="I64" s="11"/>
      <c r="J64" s="11"/>
    </row>
    <row x14ac:dyDescent="0.25" r="65" customHeight="1" ht="17.25">
      <c r="A65" s="14" t="s">
        <v>3</v>
      </c>
      <c r="B65" s="14" t="s">
        <v>4</v>
      </c>
      <c r="C65" s="14" t="s">
        <v>5</v>
      </c>
      <c r="D65" s="14" t="s">
        <v>6</v>
      </c>
      <c r="E65" s="15" t="s">
        <v>7</v>
      </c>
      <c r="F65" s="14" t="s">
        <v>8</v>
      </c>
      <c r="G65" s="14" t="s">
        <v>9</v>
      </c>
      <c r="H65" s="16" t="s">
        <v>10</v>
      </c>
      <c r="I65" s="14" t="s">
        <v>11</v>
      </c>
      <c r="J65" s="14" t="s">
        <v>12</v>
      </c>
    </row>
    <row x14ac:dyDescent="0.25" r="66" customHeight="1" ht="17.25">
      <c r="A66" s="17" t="s">
        <v>1171</v>
      </c>
      <c r="B66" s="17" t="s">
        <v>132</v>
      </c>
      <c r="C66" s="17" t="s">
        <v>133</v>
      </c>
      <c r="D66" s="17" t="s">
        <v>16</v>
      </c>
      <c r="E66" s="18">
        <f>ROUND(10722*1.05,2)</f>
      </c>
      <c r="F66" s="17" t="s">
        <v>17</v>
      </c>
      <c r="G66" s="17" t="s">
        <v>18</v>
      </c>
      <c r="H66" s="18">
        <f>ROUND(RAND()*4+6,1)</f>
      </c>
      <c r="I66" s="17" t="s">
        <v>19</v>
      </c>
      <c r="J66" s="19">
        <f>ROUND(89*1,0)&amp;"%"</f>
      </c>
    </row>
    <row x14ac:dyDescent="0.25" r="67" customHeight="1" ht="17.25">
      <c r="A67" s="20" t="s">
        <v>1172</v>
      </c>
      <c r="B67" s="20" t="s">
        <v>135</v>
      </c>
      <c r="C67" s="20" t="s">
        <v>133</v>
      </c>
      <c r="D67" s="20" t="s">
        <v>22</v>
      </c>
      <c r="E67" s="21">
        <f>ROUND(4156*1.05,2)</f>
      </c>
      <c r="F67" s="20" t="s">
        <v>23</v>
      </c>
      <c r="G67" s="20" t="s">
        <v>24</v>
      </c>
      <c r="H67" s="21">
        <f>ROUND(RAND()*4+6,1)</f>
      </c>
      <c r="I67" s="20" t="s">
        <v>25</v>
      </c>
      <c r="J67" s="23">
        <f>ROUND(99*1,0)&amp;"%"</f>
      </c>
    </row>
    <row x14ac:dyDescent="0.25" r="68" customHeight="1" ht="17.25">
      <c r="A68" s="17" t="s">
        <v>1173</v>
      </c>
      <c r="B68" s="17" t="s">
        <v>137</v>
      </c>
      <c r="C68" s="17" t="s">
        <v>133</v>
      </c>
      <c r="D68" s="17" t="s">
        <v>28</v>
      </c>
      <c r="E68" s="18">
        <f>ROUND(11453*1.05,2)</f>
      </c>
      <c r="F68" s="17" t="s">
        <v>29</v>
      </c>
      <c r="G68" s="17" t="s">
        <v>30</v>
      </c>
      <c r="H68" s="18">
        <f>ROUND(RAND()*4+6,1)</f>
      </c>
      <c r="I68" s="17" t="s">
        <v>31</v>
      </c>
      <c r="J68" s="19">
        <f>ROUND(60*1,0)&amp;"%"</f>
      </c>
    </row>
    <row x14ac:dyDescent="0.25" r="69" customHeight="1" ht="17.25">
      <c r="A69" s="20" t="s">
        <v>1174</v>
      </c>
      <c r="B69" s="20" t="s">
        <v>139</v>
      </c>
      <c r="C69" s="20" t="s">
        <v>133</v>
      </c>
      <c r="D69" s="20" t="s">
        <v>34</v>
      </c>
      <c r="E69" s="22">
        <f>ROUND(13120*1.05,2)</f>
      </c>
      <c r="F69" s="20" t="s">
        <v>35</v>
      </c>
      <c r="G69" s="20" t="s">
        <v>18</v>
      </c>
      <c r="H69" s="21">
        <f>ROUND(RAND()*4+6,1)</f>
      </c>
      <c r="I69" s="20" t="s">
        <v>36</v>
      </c>
      <c r="J69" s="23">
        <f>ROUND(85*1,0)&amp;"%"</f>
      </c>
    </row>
    <row x14ac:dyDescent="0.25" r="70" customHeight="1" ht="17.25">
      <c r="A70" s="17" t="s">
        <v>1175</v>
      </c>
      <c r="B70" s="17" t="s">
        <v>141</v>
      </c>
      <c r="C70" s="17" t="s">
        <v>133</v>
      </c>
      <c r="D70" s="17" t="s">
        <v>39</v>
      </c>
      <c r="E70" s="18">
        <f>ROUND(4863*1.05,2)</f>
      </c>
      <c r="F70" s="17" t="s">
        <v>40</v>
      </c>
      <c r="G70" s="17" t="s">
        <v>24</v>
      </c>
      <c r="H70" s="18">
        <f>ROUND(RAND()*4+6,1)</f>
      </c>
      <c r="I70" s="17" t="s">
        <v>41</v>
      </c>
      <c r="J70" s="19">
        <f>ROUND(71*1,0)&amp;"%"</f>
      </c>
    </row>
    <row x14ac:dyDescent="0.25" r="71" customHeight="1" ht="17.25">
      <c r="A71" s="20" t="s">
        <v>1176</v>
      </c>
      <c r="B71" s="20" t="s">
        <v>143</v>
      </c>
      <c r="C71" s="20" t="s">
        <v>133</v>
      </c>
      <c r="D71" s="20" t="s">
        <v>67</v>
      </c>
      <c r="E71" s="21">
        <f>ROUND(6961*1.05,2)</f>
      </c>
      <c r="F71" s="20" t="s">
        <v>44</v>
      </c>
      <c r="G71" s="20" t="s">
        <v>30</v>
      </c>
      <c r="H71" s="22">
        <f>ROUND(RAND()*4+6,1)</f>
      </c>
      <c r="I71" s="20" t="s">
        <v>45</v>
      </c>
      <c r="J71" s="23">
        <f>ROUND(76*1,0)&amp;"%"</f>
      </c>
    </row>
    <row x14ac:dyDescent="0.25" r="72" customHeight="1" ht="17.25">
      <c r="A72" s="17" t="s">
        <v>1177</v>
      </c>
      <c r="B72" s="17" t="s">
        <v>145</v>
      </c>
      <c r="C72" s="17" t="s">
        <v>133</v>
      </c>
      <c r="D72" s="17" t="s">
        <v>16</v>
      </c>
      <c r="E72" s="26">
        <f>ROUND(13500*1.05,2)</f>
      </c>
      <c r="F72" s="17" t="s">
        <v>48</v>
      </c>
      <c r="G72" s="17" t="s">
        <v>18</v>
      </c>
      <c r="H72" s="18">
        <f>ROUND(RAND()*4+6,1)</f>
      </c>
      <c r="I72" s="17" t="s">
        <v>19</v>
      </c>
      <c r="J72" s="19">
        <f>ROUND(64*1,0)&amp;"%"</f>
      </c>
    </row>
    <row x14ac:dyDescent="0.25" r="73" customHeight="1" ht="17.25">
      <c r="A73" s="20" t="s">
        <v>1178</v>
      </c>
      <c r="B73" s="20" t="s">
        <v>147</v>
      </c>
      <c r="C73" s="20" t="s">
        <v>133</v>
      </c>
      <c r="D73" s="20" t="s">
        <v>22</v>
      </c>
      <c r="E73" s="21">
        <f>ROUND(11022*1.05,2)</f>
      </c>
      <c r="F73" s="20" t="s">
        <v>51</v>
      </c>
      <c r="G73" s="20" t="s">
        <v>24</v>
      </c>
      <c r="H73" s="22">
        <f>ROUND(RAND()*4+6,1)</f>
      </c>
      <c r="I73" s="20" t="s">
        <v>25</v>
      </c>
      <c r="J73" s="23">
        <f>ROUND(90*1,0)&amp;"%"</f>
      </c>
    </row>
    <row x14ac:dyDescent="0.25" r="74" customHeight="1" ht="17.25">
      <c r="A74" s="24" t="s">
        <v>148</v>
      </c>
      <c r="B74" s="24"/>
      <c r="C74" s="24"/>
      <c r="D74" s="24"/>
      <c r="E74" s="25">
        <v>8</v>
      </c>
      <c r="F74" s="9"/>
      <c r="G74" s="9"/>
      <c r="H74" s="10"/>
      <c r="I74" s="9"/>
      <c r="J74" s="9"/>
    </row>
    <row x14ac:dyDescent="0.25" r="75" customHeight="1" ht="17.25">
      <c r="A75" s="7"/>
      <c r="B75" s="7"/>
      <c r="C75" s="7"/>
      <c r="D75" s="7"/>
      <c r="E75" s="8"/>
      <c r="F75" s="9"/>
      <c r="G75" s="9"/>
      <c r="H75" s="10"/>
      <c r="I75" s="9"/>
      <c r="J75" s="9"/>
    </row>
    <row x14ac:dyDescent="0.25" r="76" customHeight="1" ht="17.25">
      <c r="A76" s="11" t="s">
        <v>1179</v>
      </c>
      <c r="B76" s="11"/>
      <c r="C76" s="11"/>
      <c r="D76" s="11"/>
      <c r="E76" s="12"/>
      <c r="F76" s="11"/>
      <c r="G76" s="11"/>
      <c r="H76" s="13"/>
      <c r="I76" s="11"/>
      <c r="J76" s="11"/>
    </row>
    <row x14ac:dyDescent="0.25" r="77" customHeight="1" ht="17.25">
      <c r="A77" s="14" t="s">
        <v>3</v>
      </c>
      <c r="B77" s="14" t="s">
        <v>4</v>
      </c>
      <c r="C77" s="14" t="s">
        <v>5</v>
      </c>
      <c r="D77" s="14" t="s">
        <v>6</v>
      </c>
      <c r="E77" s="15" t="s">
        <v>7</v>
      </c>
      <c r="F77" s="14" t="s">
        <v>8</v>
      </c>
      <c r="G77" s="14" t="s">
        <v>9</v>
      </c>
      <c r="H77" s="16" t="s">
        <v>10</v>
      </c>
      <c r="I77" s="14" t="s">
        <v>11</v>
      </c>
      <c r="J77" s="14" t="s">
        <v>12</v>
      </c>
    </row>
    <row x14ac:dyDescent="0.25" r="78" customHeight="1" ht="17.25">
      <c r="A78" s="17" t="s">
        <v>1180</v>
      </c>
      <c r="B78" s="17" t="s">
        <v>151</v>
      </c>
      <c r="C78" s="17" t="s">
        <v>152</v>
      </c>
      <c r="D78" s="17" t="s">
        <v>16</v>
      </c>
      <c r="E78" s="18">
        <f>ROUND(15604*1.05,2)</f>
      </c>
      <c r="F78" s="17" t="s">
        <v>17</v>
      </c>
      <c r="G78" s="17" t="s">
        <v>18</v>
      </c>
      <c r="H78" s="18">
        <f>ROUND(RAND()*4+6,1)</f>
      </c>
      <c r="I78" s="17" t="s">
        <v>19</v>
      </c>
      <c r="J78" s="19">
        <f>ROUND(81*1,0)&amp;"%"</f>
      </c>
    </row>
    <row x14ac:dyDescent="0.25" r="79" customHeight="1" ht="17.25">
      <c r="A79" s="20" t="s">
        <v>1181</v>
      </c>
      <c r="B79" s="20" t="s">
        <v>154</v>
      </c>
      <c r="C79" s="20" t="s">
        <v>152</v>
      </c>
      <c r="D79" s="20" t="s">
        <v>22</v>
      </c>
      <c r="E79" s="21">
        <f>ROUND(17975*1.05,2)</f>
      </c>
      <c r="F79" s="20" t="s">
        <v>23</v>
      </c>
      <c r="G79" s="20" t="s">
        <v>24</v>
      </c>
      <c r="H79" s="21">
        <f>ROUND(RAND()*4+6,1)</f>
      </c>
      <c r="I79" s="20" t="s">
        <v>25</v>
      </c>
      <c r="J79" s="23">
        <f>ROUND(76*1,0)&amp;"%"</f>
      </c>
    </row>
    <row x14ac:dyDescent="0.25" r="80" customHeight="1" ht="17.25">
      <c r="A80" s="17" t="s">
        <v>1182</v>
      </c>
      <c r="B80" s="17" t="s">
        <v>156</v>
      </c>
      <c r="C80" s="17" t="s">
        <v>152</v>
      </c>
      <c r="D80" s="17" t="s">
        <v>28</v>
      </c>
      <c r="E80" s="18">
        <f>ROUND(12537*1.05,2)</f>
      </c>
      <c r="F80" s="17" t="s">
        <v>29</v>
      </c>
      <c r="G80" s="17" t="s">
        <v>30</v>
      </c>
      <c r="H80" s="18">
        <f>ROUND(RAND()*4+6,1)</f>
      </c>
      <c r="I80" s="17" t="s">
        <v>31</v>
      </c>
      <c r="J80" s="19">
        <f>ROUND(78*1,0)&amp;"%"</f>
      </c>
    </row>
    <row x14ac:dyDescent="0.25" r="81" customHeight="1" ht="17.25">
      <c r="A81" s="20" t="s">
        <v>1183</v>
      </c>
      <c r="B81" s="20" t="s">
        <v>158</v>
      </c>
      <c r="C81" s="20" t="s">
        <v>152</v>
      </c>
      <c r="D81" s="20" t="s">
        <v>34</v>
      </c>
      <c r="E81" s="21">
        <f>ROUND(10302*1.05,2)</f>
      </c>
      <c r="F81" s="20" t="s">
        <v>35</v>
      </c>
      <c r="G81" s="20" t="s">
        <v>18</v>
      </c>
      <c r="H81" s="21">
        <f>ROUND(RAND()*4+6,1)</f>
      </c>
      <c r="I81" s="20" t="s">
        <v>36</v>
      </c>
      <c r="J81" s="23">
        <f>ROUND(93*1,0)&amp;"%"</f>
      </c>
    </row>
    <row x14ac:dyDescent="0.25" r="82" customHeight="1" ht="17.25">
      <c r="A82" s="17" t="s">
        <v>1184</v>
      </c>
      <c r="B82" s="17" t="s">
        <v>160</v>
      </c>
      <c r="C82" s="17" t="s">
        <v>152</v>
      </c>
      <c r="D82" s="17" t="s">
        <v>39</v>
      </c>
      <c r="E82" s="18">
        <f>ROUND(8747*1.05,2)</f>
      </c>
      <c r="F82" s="17" t="s">
        <v>40</v>
      </c>
      <c r="G82" s="17" t="s">
        <v>24</v>
      </c>
      <c r="H82" s="18">
        <f>ROUND(RAND()*4+6,1)</f>
      </c>
      <c r="I82" s="17" t="s">
        <v>41</v>
      </c>
      <c r="J82" s="19">
        <f>ROUND(86*1,0)&amp;"%"</f>
      </c>
    </row>
    <row x14ac:dyDescent="0.25" r="83" customHeight="1" ht="17.25">
      <c r="A83" s="20" t="s">
        <v>1185</v>
      </c>
      <c r="B83" s="20" t="s">
        <v>162</v>
      </c>
      <c r="C83" s="20" t="s">
        <v>152</v>
      </c>
      <c r="D83" s="20" t="s">
        <v>67</v>
      </c>
      <c r="E83" s="21">
        <f>ROUND(10687*1.05,2)</f>
      </c>
      <c r="F83" s="20" t="s">
        <v>44</v>
      </c>
      <c r="G83" s="20" t="s">
        <v>30</v>
      </c>
      <c r="H83" s="21">
        <f>ROUND(RAND()*4+6,1)</f>
      </c>
      <c r="I83" s="20" t="s">
        <v>45</v>
      </c>
      <c r="J83" s="23">
        <f>ROUND(82*1,0)&amp;"%"</f>
      </c>
    </row>
    <row x14ac:dyDescent="0.25" r="84" customHeight="1" ht="17.25">
      <c r="A84" s="17" t="s">
        <v>1186</v>
      </c>
      <c r="B84" s="17" t="s">
        <v>164</v>
      </c>
      <c r="C84" s="17" t="s">
        <v>152</v>
      </c>
      <c r="D84" s="17" t="s">
        <v>16</v>
      </c>
      <c r="E84" s="18">
        <f>ROUND(9621*1.05,2)</f>
      </c>
      <c r="F84" s="17" t="s">
        <v>48</v>
      </c>
      <c r="G84" s="17" t="s">
        <v>18</v>
      </c>
      <c r="H84" s="18">
        <f>ROUND(RAND()*4+6,1)</f>
      </c>
      <c r="I84" s="17" t="s">
        <v>19</v>
      </c>
      <c r="J84" s="19">
        <f>ROUND(71*1,0)&amp;"%"</f>
      </c>
    </row>
    <row x14ac:dyDescent="0.25" r="85" customHeight="1" ht="17.25">
      <c r="A85" s="20" t="s">
        <v>1187</v>
      </c>
      <c r="B85" s="20" t="s">
        <v>166</v>
      </c>
      <c r="C85" s="20" t="s">
        <v>152</v>
      </c>
      <c r="D85" s="20" t="s">
        <v>22</v>
      </c>
      <c r="E85" s="21">
        <f>ROUND(4661*1.05,2)</f>
      </c>
      <c r="F85" s="20" t="s">
        <v>51</v>
      </c>
      <c r="G85" s="20" t="s">
        <v>24</v>
      </c>
      <c r="H85" s="21">
        <f>ROUND(RAND()*4+6,1)</f>
      </c>
      <c r="I85" s="20" t="s">
        <v>25</v>
      </c>
      <c r="J85" s="23">
        <f>ROUND(95*1,0)&amp;"%"</f>
      </c>
    </row>
    <row x14ac:dyDescent="0.25" r="86" customHeight="1" ht="17.25">
      <c r="A86" s="24" t="s">
        <v>167</v>
      </c>
      <c r="B86" s="24"/>
      <c r="C86" s="24"/>
      <c r="D86" s="24"/>
      <c r="E86" s="25">
        <v>8</v>
      </c>
      <c r="F86" s="9"/>
      <c r="G86" s="9"/>
      <c r="H86" s="10"/>
      <c r="I86" s="9"/>
      <c r="J86" s="9"/>
    </row>
    <row x14ac:dyDescent="0.25" r="87" customHeight="1" ht="17.25">
      <c r="A87" s="7"/>
      <c r="B87" s="7"/>
      <c r="C87" s="7"/>
      <c r="D87" s="7"/>
      <c r="E87" s="8"/>
      <c r="F87" s="9"/>
      <c r="G87" s="9"/>
      <c r="H87" s="10"/>
      <c r="I87" s="9"/>
      <c r="J87" s="9"/>
    </row>
    <row x14ac:dyDescent="0.25" r="88" customHeight="1" ht="17.25">
      <c r="A88" s="11" t="s">
        <v>1188</v>
      </c>
      <c r="B88" s="11"/>
      <c r="C88" s="11"/>
      <c r="D88" s="11"/>
      <c r="E88" s="12"/>
      <c r="F88" s="11"/>
      <c r="G88" s="11"/>
      <c r="H88" s="13"/>
      <c r="I88" s="11"/>
      <c r="J88" s="11"/>
    </row>
    <row x14ac:dyDescent="0.25" r="89" customHeight="1" ht="17.25">
      <c r="A89" s="14" t="s">
        <v>3</v>
      </c>
      <c r="B89" s="14" t="s">
        <v>4</v>
      </c>
      <c r="C89" s="14" t="s">
        <v>5</v>
      </c>
      <c r="D89" s="14" t="s">
        <v>6</v>
      </c>
      <c r="E89" s="15" t="s">
        <v>7</v>
      </c>
      <c r="F89" s="14" t="s">
        <v>8</v>
      </c>
      <c r="G89" s="14" t="s">
        <v>9</v>
      </c>
      <c r="H89" s="16" t="s">
        <v>10</v>
      </c>
      <c r="I89" s="14" t="s">
        <v>11</v>
      </c>
      <c r="J89" s="14" t="s">
        <v>12</v>
      </c>
    </row>
    <row x14ac:dyDescent="0.25" r="90" customHeight="1" ht="17.25">
      <c r="A90" s="17" t="s">
        <v>1189</v>
      </c>
      <c r="B90" s="17" t="s">
        <v>170</v>
      </c>
      <c r="C90" s="17" t="s">
        <v>15</v>
      </c>
      <c r="D90" s="17" t="s">
        <v>16</v>
      </c>
      <c r="E90" s="18">
        <f>ROUND(6251*1.05,2)</f>
      </c>
      <c r="F90" s="17" t="s">
        <v>17</v>
      </c>
      <c r="G90" s="17" t="s">
        <v>18</v>
      </c>
      <c r="H90" s="18">
        <f>ROUND(RAND()*4+6,1)</f>
      </c>
      <c r="I90" s="17" t="s">
        <v>19</v>
      </c>
      <c r="J90" s="19">
        <f>ROUND(97*1,0)&amp;"%"</f>
      </c>
    </row>
    <row x14ac:dyDescent="0.25" r="91" customHeight="1" ht="17.25">
      <c r="A91" s="20" t="s">
        <v>1190</v>
      </c>
      <c r="B91" s="20" t="s">
        <v>172</v>
      </c>
      <c r="C91" s="20" t="s">
        <v>15</v>
      </c>
      <c r="D91" s="20" t="s">
        <v>22</v>
      </c>
      <c r="E91" s="21">
        <f>ROUND(14003*1.05,2)</f>
      </c>
      <c r="F91" s="20" t="s">
        <v>23</v>
      </c>
      <c r="G91" s="20" t="s">
        <v>24</v>
      </c>
      <c r="H91" s="21">
        <f>ROUND(RAND()*4+6,1)</f>
      </c>
      <c r="I91" s="20" t="s">
        <v>25</v>
      </c>
      <c r="J91" s="23">
        <f>ROUND(88*1,0)&amp;"%"</f>
      </c>
    </row>
    <row x14ac:dyDescent="0.25" r="92" customHeight="1" ht="17.25">
      <c r="A92" s="17" t="s">
        <v>1191</v>
      </c>
      <c r="B92" s="17" t="s">
        <v>174</v>
      </c>
      <c r="C92" s="17" t="s">
        <v>15</v>
      </c>
      <c r="D92" s="17" t="s">
        <v>28</v>
      </c>
      <c r="E92" s="18">
        <f>ROUND(14825*1.05,2)</f>
      </c>
      <c r="F92" s="17" t="s">
        <v>29</v>
      </c>
      <c r="G92" s="17" t="s">
        <v>30</v>
      </c>
      <c r="H92" s="18">
        <f>ROUND(RAND()*4+6,1)</f>
      </c>
      <c r="I92" s="17" t="s">
        <v>31</v>
      </c>
      <c r="J92" s="19">
        <f>ROUND(89*1,0)&amp;"%"</f>
      </c>
    </row>
    <row x14ac:dyDescent="0.25" r="93" customHeight="1" ht="17.25">
      <c r="A93" s="20" t="s">
        <v>1192</v>
      </c>
      <c r="B93" s="20" t="s">
        <v>176</v>
      </c>
      <c r="C93" s="20" t="s">
        <v>15</v>
      </c>
      <c r="D93" s="20" t="s">
        <v>34</v>
      </c>
      <c r="E93" s="21">
        <f>ROUND(6095*1.05,2)</f>
      </c>
      <c r="F93" s="20" t="s">
        <v>35</v>
      </c>
      <c r="G93" s="20" t="s">
        <v>18</v>
      </c>
      <c r="H93" s="21">
        <f>ROUND(RAND()*4+6,1)</f>
      </c>
      <c r="I93" s="20" t="s">
        <v>36</v>
      </c>
      <c r="J93" s="23">
        <f>ROUND(64*1,0)&amp;"%"</f>
      </c>
    </row>
    <row x14ac:dyDescent="0.25" r="94" customHeight="1" ht="17.25">
      <c r="A94" s="17" t="s">
        <v>1193</v>
      </c>
      <c r="B94" s="17" t="s">
        <v>178</v>
      </c>
      <c r="C94" s="17" t="s">
        <v>15</v>
      </c>
      <c r="D94" s="17" t="s">
        <v>39</v>
      </c>
      <c r="E94" s="18">
        <f>ROUND(14542*1.05,2)</f>
      </c>
      <c r="F94" s="17" t="s">
        <v>40</v>
      </c>
      <c r="G94" s="17" t="s">
        <v>24</v>
      </c>
      <c r="H94" s="18">
        <f>ROUND(RAND()*4+6,1)</f>
      </c>
      <c r="I94" s="17" t="s">
        <v>41</v>
      </c>
      <c r="J94" s="19">
        <f>ROUND(69*1,0)&amp;"%"</f>
      </c>
    </row>
    <row x14ac:dyDescent="0.25" r="95" customHeight="1" ht="17.25">
      <c r="A95" s="20" t="s">
        <v>1194</v>
      </c>
      <c r="B95" s="20" t="s">
        <v>180</v>
      </c>
      <c r="C95" s="20" t="s">
        <v>15</v>
      </c>
      <c r="D95" s="20" t="s">
        <v>67</v>
      </c>
      <c r="E95" s="21">
        <f>ROUND(14098*1.05,2)</f>
      </c>
      <c r="F95" s="20" t="s">
        <v>44</v>
      </c>
      <c r="G95" s="20" t="s">
        <v>30</v>
      </c>
      <c r="H95" s="21">
        <f>ROUND(RAND()*4+6,1)</f>
      </c>
      <c r="I95" s="20" t="s">
        <v>45</v>
      </c>
      <c r="J95" s="23">
        <f>ROUND(62*1,0)&amp;"%"</f>
      </c>
    </row>
    <row x14ac:dyDescent="0.25" r="96" customHeight="1" ht="17.25">
      <c r="A96" s="17" t="s">
        <v>1195</v>
      </c>
      <c r="B96" s="17" t="s">
        <v>182</v>
      </c>
      <c r="C96" s="17" t="s">
        <v>15</v>
      </c>
      <c r="D96" s="17" t="s">
        <v>16</v>
      </c>
      <c r="E96" s="18">
        <f>ROUND(10245*1.05,2)</f>
      </c>
      <c r="F96" s="17" t="s">
        <v>48</v>
      </c>
      <c r="G96" s="17" t="s">
        <v>18</v>
      </c>
      <c r="H96" s="18">
        <f>ROUND(RAND()*4+6,1)</f>
      </c>
      <c r="I96" s="17" t="s">
        <v>19</v>
      </c>
      <c r="J96" s="19">
        <f>ROUND(78*1,0)&amp;"%"</f>
      </c>
    </row>
    <row x14ac:dyDescent="0.25" r="97" customHeight="1" ht="17.25">
      <c r="A97" s="20" t="s">
        <v>1196</v>
      </c>
      <c r="B97" s="20" t="s">
        <v>184</v>
      </c>
      <c r="C97" s="20" t="s">
        <v>15</v>
      </c>
      <c r="D97" s="20" t="s">
        <v>22</v>
      </c>
      <c r="E97" s="21">
        <f>ROUND(5361*1.05,2)</f>
      </c>
      <c r="F97" s="20" t="s">
        <v>51</v>
      </c>
      <c r="G97" s="20" t="s">
        <v>24</v>
      </c>
      <c r="H97" s="21">
        <f>ROUND(RAND()*4+6,1)</f>
      </c>
      <c r="I97" s="20" t="s">
        <v>25</v>
      </c>
      <c r="J97" s="23">
        <f>ROUND(76*1,0)&amp;"%"</f>
      </c>
    </row>
    <row x14ac:dyDescent="0.25" r="98" customHeight="1" ht="17.25">
      <c r="A98" s="24" t="s">
        <v>185</v>
      </c>
      <c r="B98" s="24"/>
      <c r="C98" s="24"/>
      <c r="D98" s="24"/>
      <c r="E98" s="25">
        <v>8</v>
      </c>
      <c r="F98" s="9"/>
      <c r="G98" s="9"/>
      <c r="H98" s="10"/>
      <c r="I98" s="9"/>
      <c r="J98" s="9"/>
    </row>
    <row x14ac:dyDescent="0.25" r="99" customHeight="1" ht="17.25">
      <c r="A99" s="7"/>
      <c r="B99" s="7"/>
      <c r="C99" s="7"/>
      <c r="D99" s="7"/>
      <c r="E99" s="8"/>
      <c r="F99" s="9"/>
      <c r="G99" s="9"/>
      <c r="H99" s="10"/>
      <c r="I99" s="9"/>
      <c r="J99" s="9"/>
    </row>
    <row x14ac:dyDescent="0.25" r="100" customHeight="1" ht="17.25">
      <c r="A100" s="11" t="s">
        <v>1197</v>
      </c>
      <c r="B100" s="11"/>
      <c r="C100" s="11"/>
      <c r="D100" s="11"/>
      <c r="E100" s="12"/>
      <c r="F100" s="11"/>
      <c r="G100" s="11"/>
      <c r="H100" s="13"/>
      <c r="I100" s="11"/>
      <c r="J100" s="11"/>
    </row>
    <row x14ac:dyDescent="0.25" r="101" customHeight="1" ht="17.25">
      <c r="A101" s="14" t="s">
        <v>3</v>
      </c>
      <c r="B101" s="14" t="s">
        <v>4</v>
      </c>
      <c r="C101" s="14" t="s">
        <v>5</v>
      </c>
      <c r="D101" s="14" t="s">
        <v>6</v>
      </c>
      <c r="E101" s="15" t="s">
        <v>7</v>
      </c>
      <c r="F101" s="14" t="s">
        <v>8</v>
      </c>
      <c r="G101" s="14" t="s">
        <v>9</v>
      </c>
      <c r="H101" s="16" t="s">
        <v>10</v>
      </c>
      <c r="I101" s="14" t="s">
        <v>11</v>
      </c>
      <c r="J101" s="14" t="s">
        <v>12</v>
      </c>
    </row>
    <row x14ac:dyDescent="0.25" r="102" customHeight="1" ht="17.25">
      <c r="A102" s="17" t="s">
        <v>1198</v>
      </c>
      <c r="B102" s="17" t="s">
        <v>188</v>
      </c>
      <c r="C102" s="17" t="s">
        <v>56</v>
      </c>
      <c r="D102" s="17" t="s">
        <v>16</v>
      </c>
      <c r="E102" s="18">
        <f>ROUND(14487*1.05,2)</f>
      </c>
      <c r="F102" s="17" t="s">
        <v>17</v>
      </c>
      <c r="G102" s="17" t="s">
        <v>18</v>
      </c>
      <c r="H102" s="18">
        <f>ROUND(RAND()*4+6,1)</f>
      </c>
      <c r="I102" s="17" t="s">
        <v>19</v>
      </c>
      <c r="J102" s="19">
        <f>ROUND(93*1,0)&amp;"%"</f>
      </c>
    </row>
    <row x14ac:dyDescent="0.25" r="103" customHeight="1" ht="17.25">
      <c r="A103" s="20" t="s">
        <v>1199</v>
      </c>
      <c r="B103" s="20" t="s">
        <v>190</v>
      </c>
      <c r="C103" s="20" t="s">
        <v>56</v>
      </c>
      <c r="D103" s="20" t="s">
        <v>22</v>
      </c>
      <c r="E103" s="21">
        <f>ROUND(10713*1.05,2)</f>
      </c>
      <c r="F103" s="20" t="s">
        <v>23</v>
      </c>
      <c r="G103" s="20" t="s">
        <v>24</v>
      </c>
      <c r="H103" s="21">
        <f>ROUND(RAND()*4+6,1)</f>
      </c>
      <c r="I103" s="20" t="s">
        <v>25</v>
      </c>
      <c r="J103" s="23">
        <f>ROUND(87*1,0)&amp;"%"</f>
      </c>
    </row>
    <row x14ac:dyDescent="0.25" r="104" customHeight="1" ht="17.25">
      <c r="A104" s="17" t="s">
        <v>1200</v>
      </c>
      <c r="B104" s="17" t="s">
        <v>192</v>
      </c>
      <c r="C104" s="17" t="s">
        <v>56</v>
      </c>
      <c r="D104" s="17" t="s">
        <v>28</v>
      </c>
      <c r="E104" s="18">
        <f>ROUND(10269*1.05,2)</f>
      </c>
      <c r="F104" s="17" t="s">
        <v>29</v>
      </c>
      <c r="G104" s="17" t="s">
        <v>30</v>
      </c>
      <c r="H104" s="18">
        <f>ROUND(RAND()*4+6,1)</f>
      </c>
      <c r="I104" s="17" t="s">
        <v>31</v>
      </c>
      <c r="J104" s="19">
        <f>ROUND(61*1,0)&amp;"%"</f>
      </c>
    </row>
    <row x14ac:dyDescent="0.25" r="105" customHeight="1" ht="17.25">
      <c r="A105" s="20" t="s">
        <v>1201</v>
      </c>
      <c r="B105" s="20" t="s">
        <v>194</v>
      </c>
      <c r="C105" s="20" t="s">
        <v>56</v>
      </c>
      <c r="D105" s="20" t="s">
        <v>34</v>
      </c>
      <c r="E105" s="21">
        <f>ROUND(11870*1.05,2)</f>
      </c>
      <c r="F105" s="20" t="s">
        <v>35</v>
      </c>
      <c r="G105" s="20" t="s">
        <v>18</v>
      </c>
      <c r="H105" s="21">
        <f>ROUND(RAND()*4+6,1)</f>
      </c>
      <c r="I105" s="20" t="s">
        <v>36</v>
      </c>
      <c r="J105" s="23">
        <f>ROUND(60*1,0)&amp;"%"</f>
      </c>
    </row>
    <row x14ac:dyDescent="0.25" r="106" customHeight="1" ht="17.25">
      <c r="A106" s="17" t="s">
        <v>1202</v>
      </c>
      <c r="B106" s="17" t="s">
        <v>196</v>
      </c>
      <c r="C106" s="17" t="s">
        <v>56</v>
      </c>
      <c r="D106" s="17" t="s">
        <v>39</v>
      </c>
      <c r="E106" s="18">
        <f>ROUND(15445*1.05,2)</f>
      </c>
      <c r="F106" s="17" t="s">
        <v>40</v>
      </c>
      <c r="G106" s="17" t="s">
        <v>24</v>
      </c>
      <c r="H106" s="18">
        <f>ROUND(RAND()*4+6,1)</f>
      </c>
      <c r="I106" s="17" t="s">
        <v>41</v>
      </c>
      <c r="J106" s="19">
        <f>ROUND(94*1,0)&amp;"%"</f>
      </c>
    </row>
    <row x14ac:dyDescent="0.25" r="107" customHeight="1" ht="17.25">
      <c r="A107" s="20" t="s">
        <v>1203</v>
      </c>
      <c r="B107" s="20" t="s">
        <v>198</v>
      </c>
      <c r="C107" s="20" t="s">
        <v>56</v>
      </c>
      <c r="D107" s="20" t="s">
        <v>67</v>
      </c>
      <c r="E107" s="21">
        <f>ROUND(13192*1.05,2)</f>
      </c>
      <c r="F107" s="20" t="s">
        <v>44</v>
      </c>
      <c r="G107" s="20" t="s">
        <v>30</v>
      </c>
      <c r="H107" s="21">
        <f>ROUND(RAND()*4+6,1)</f>
      </c>
      <c r="I107" s="20" t="s">
        <v>45</v>
      </c>
      <c r="J107" s="23">
        <f>ROUND(97*1,0)&amp;"%"</f>
      </c>
    </row>
    <row x14ac:dyDescent="0.25" r="108" customHeight="1" ht="17.25">
      <c r="A108" s="17" t="s">
        <v>1204</v>
      </c>
      <c r="B108" s="17" t="s">
        <v>200</v>
      </c>
      <c r="C108" s="17" t="s">
        <v>56</v>
      </c>
      <c r="D108" s="17" t="s">
        <v>16</v>
      </c>
      <c r="E108" s="18">
        <f>ROUND(7641*1.05,2)</f>
      </c>
      <c r="F108" s="17" t="s">
        <v>48</v>
      </c>
      <c r="G108" s="17" t="s">
        <v>18</v>
      </c>
      <c r="H108" s="18">
        <f>ROUND(RAND()*4+6,1)</f>
      </c>
      <c r="I108" s="17" t="s">
        <v>19</v>
      </c>
      <c r="J108" s="19">
        <f>ROUND(97*1,0)&amp;"%"</f>
      </c>
    </row>
    <row x14ac:dyDescent="0.25" r="109" customHeight="1" ht="17.25">
      <c r="A109" s="20" t="s">
        <v>1205</v>
      </c>
      <c r="B109" s="20" t="s">
        <v>202</v>
      </c>
      <c r="C109" s="20" t="s">
        <v>56</v>
      </c>
      <c r="D109" s="20" t="s">
        <v>22</v>
      </c>
      <c r="E109" s="21">
        <f>ROUND(17905*1.05,2)</f>
      </c>
      <c r="F109" s="20" t="s">
        <v>51</v>
      </c>
      <c r="G109" s="20" t="s">
        <v>24</v>
      </c>
      <c r="H109" s="21">
        <f>ROUND(RAND()*4+6,1)</f>
      </c>
      <c r="I109" s="20" t="s">
        <v>25</v>
      </c>
      <c r="J109" s="23">
        <f>ROUND(92*1,0)&amp;"%"</f>
      </c>
    </row>
    <row x14ac:dyDescent="0.25" r="110" customHeight="1" ht="17.25">
      <c r="A110" s="24" t="s">
        <v>203</v>
      </c>
      <c r="B110" s="24"/>
      <c r="C110" s="24"/>
      <c r="D110" s="24"/>
      <c r="E110" s="25">
        <v>8</v>
      </c>
      <c r="F110" s="9"/>
      <c r="G110" s="9"/>
      <c r="H110" s="10"/>
      <c r="I110" s="9"/>
      <c r="J110" s="9"/>
    </row>
    <row x14ac:dyDescent="0.25" r="111" customHeight="1" ht="17.25">
      <c r="A111" s="7"/>
      <c r="B111" s="7"/>
      <c r="C111" s="7"/>
      <c r="D111" s="7"/>
      <c r="E111" s="8"/>
      <c r="F111" s="9"/>
      <c r="G111" s="9"/>
      <c r="H111" s="10"/>
      <c r="I111" s="9"/>
      <c r="J111" s="9"/>
    </row>
    <row x14ac:dyDescent="0.25" r="112" customHeight="1" ht="17.25">
      <c r="A112" s="11" t="s">
        <v>1206</v>
      </c>
      <c r="B112" s="11"/>
      <c r="C112" s="11"/>
      <c r="D112" s="11"/>
      <c r="E112" s="12"/>
      <c r="F112" s="11"/>
      <c r="G112" s="11"/>
      <c r="H112" s="13"/>
      <c r="I112" s="11"/>
      <c r="J112" s="11"/>
    </row>
    <row x14ac:dyDescent="0.25" r="113" customHeight="1" ht="17.25">
      <c r="A113" s="14" t="s">
        <v>3</v>
      </c>
      <c r="B113" s="14" t="s">
        <v>4</v>
      </c>
      <c r="C113" s="14" t="s">
        <v>5</v>
      </c>
      <c r="D113" s="14" t="s">
        <v>6</v>
      </c>
      <c r="E113" s="15" t="s">
        <v>7</v>
      </c>
      <c r="F113" s="14" t="s">
        <v>8</v>
      </c>
      <c r="G113" s="14" t="s">
        <v>9</v>
      </c>
      <c r="H113" s="16" t="s">
        <v>10</v>
      </c>
      <c r="I113" s="14" t="s">
        <v>11</v>
      </c>
      <c r="J113" s="14" t="s">
        <v>12</v>
      </c>
    </row>
    <row x14ac:dyDescent="0.25" r="114" customHeight="1" ht="17.25">
      <c r="A114" s="17" t="s">
        <v>1207</v>
      </c>
      <c r="B114" s="17" t="s">
        <v>206</v>
      </c>
      <c r="C114" s="17" t="s">
        <v>76</v>
      </c>
      <c r="D114" s="17" t="s">
        <v>16</v>
      </c>
      <c r="E114" s="18">
        <f>ROUND(7601*1.05,2)</f>
      </c>
      <c r="F114" s="17" t="s">
        <v>17</v>
      </c>
      <c r="G114" s="17" t="s">
        <v>18</v>
      </c>
      <c r="H114" s="26">
        <f>ROUND(RAND()*4+6,1)</f>
      </c>
      <c r="I114" s="17" t="s">
        <v>19</v>
      </c>
      <c r="J114" s="19">
        <f>ROUND(63*1,0)&amp;"%"</f>
      </c>
    </row>
    <row x14ac:dyDescent="0.25" r="115" customHeight="1" ht="17.25">
      <c r="A115" s="20" t="s">
        <v>1208</v>
      </c>
      <c r="B115" s="20" t="s">
        <v>208</v>
      </c>
      <c r="C115" s="20" t="s">
        <v>76</v>
      </c>
      <c r="D115" s="20" t="s">
        <v>22</v>
      </c>
      <c r="E115" s="21">
        <f>ROUND(17238*1.05,2)</f>
      </c>
      <c r="F115" s="20" t="s">
        <v>23</v>
      </c>
      <c r="G115" s="20" t="s">
        <v>24</v>
      </c>
      <c r="H115" s="21">
        <f>ROUND(RAND()*4+6,1)</f>
      </c>
      <c r="I115" s="20" t="s">
        <v>25</v>
      </c>
      <c r="J115" s="23">
        <f>ROUND(91*1,0)&amp;"%"</f>
      </c>
    </row>
    <row x14ac:dyDescent="0.25" r="116" customHeight="1" ht="17.25">
      <c r="A116" s="17" t="s">
        <v>1209</v>
      </c>
      <c r="B116" s="17" t="s">
        <v>210</v>
      </c>
      <c r="C116" s="17" t="s">
        <v>76</v>
      </c>
      <c r="D116" s="17" t="s">
        <v>28</v>
      </c>
      <c r="E116" s="18">
        <f>ROUND(6674*1.05,2)</f>
      </c>
      <c r="F116" s="17" t="s">
        <v>29</v>
      </c>
      <c r="G116" s="17" t="s">
        <v>30</v>
      </c>
      <c r="H116" s="18">
        <f>ROUND(RAND()*4+6,1)</f>
      </c>
      <c r="I116" s="17" t="s">
        <v>31</v>
      </c>
      <c r="J116" s="19">
        <f>ROUND(76*1,0)&amp;"%"</f>
      </c>
    </row>
    <row x14ac:dyDescent="0.25" r="117" customHeight="1" ht="17.25">
      <c r="A117" s="20" t="s">
        <v>1210</v>
      </c>
      <c r="B117" s="20" t="s">
        <v>212</v>
      </c>
      <c r="C117" s="20" t="s">
        <v>76</v>
      </c>
      <c r="D117" s="20" t="s">
        <v>34</v>
      </c>
      <c r="E117" s="21">
        <f>ROUND(5098*1.05,2)</f>
      </c>
      <c r="F117" s="20" t="s">
        <v>35</v>
      </c>
      <c r="G117" s="20" t="s">
        <v>18</v>
      </c>
      <c r="H117" s="22">
        <f>ROUND(RAND()*4+6,1)</f>
      </c>
      <c r="I117" s="20" t="s">
        <v>36</v>
      </c>
      <c r="J117" s="23">
        <f>ROUND(79*1,0)&amp;"%"</f>
      </c>
    </row>
    <row x14ac:dyDescent="0.25" r="118" customHeight="1" ht="17.25">
      <c r="A118" s="17" t="s">
        <v>1211</v>
      </c>
      <c r="B118" s="17" t="s">
        <v>214</v>
      </c>
      <c r="C118" s="17" t="s">
        <v>76</v>
      </c>
      <c r="D118" s="17" t="s">
        <v>39</v>
      </c>
      <c r="E118" s="18">
        <f>ROUND(4565*1.05,2)</f>
      </c>
      <c r="F118" s="17" t="s">
        <v>40</v>
      </c>
      <c r="G118" s="17" t="s">
        <v>24</v>
      </c>
      <c r="H118" s="18">
        <f>ROUND(RAND()*4+6,1)</f>
      </c>
      <c r="I118" s="17" t="s">
        <v>41</v>
      </c>
      <c r="J118" s="19">
        <f>ROUND(67*1,0)&amp;"%"</f>
      </c>
    </row>
    <row x14ac:dyDescent="0.25" r="119" customHeight="1" ht="17.25">
      <c r="A119" s="20" t="s">
        <v>1212</v>
      </c>
      <c r="B119" s="20" t="s">
        <v>216</v>
      </c>
      <c r="C119" s="20" t="s">
        <v>76</v>
      </c>
      <c r="D119" s="20" t="s">
        <v>67</v>
      </c>
      <c r="E119" s="21">
        <f>ROUND(11289*1.05,2)</f>
      </c>
      <c r="F119" s="20" t="s">
        <v>44</v>
      </c>
      <c r="G119" s="20" t="s">
        <v>30</v>
      </c>
      <c r="H119" s="21">
        <f>ROUND(RAND()*4+6,1)</f>
      </c>
      <c r="I119" s="20" t="s">
        <v>45</v>
      </c>
      <c r="J119" s="23">
        <f>ROUND(97*1,0)&amp;"%"</f>
      </c>
    </row>
    <row x14ac:dyDescent="0.25" r="120" customHeight="1" ht="17.25">
      <c r="A120" s="17" t="s">
        <v>1213</v>
      </c>
      <c r="B120" s="17" t="s">
        <v>218</v>
      </c>
      <c r="C120" s="17" t="s">
        <v>76</v>
      </c>
      <c r="D120" s="17" t="s">
        <v>16</v>
      </c>
      <c r="E120" s="18">
        <f>ROUND(14845*1.05,2)</f>
      </c>
      <c r="F120" s="17" t="s">
        <v>48</v>
      </c>
      <c r="G120" s="17" t="s">
        <v>18</v>
      </c>
      <c r="H120" s="18">
        <f>ROUND(RAND()*4+6,1)</f>
      </c>
      <c r="I120" s="17" t="s">
        <v>19</v>
      </c>
      <c r="J120" s="19">
        <f>ROUND(85*1,0)&amp;"%"</f>
      </c>
    </row>
    <row x14ac:dyDescent="0.25" r="121" customHeight="1" ht="17.25">
      <c r="A121" s="20" t="s">
        <v>1214</v>
      </c>
      <c r="B121" s="20" t="s">
        <v>220</v>
      </c>
      <c r="C121" s="20" t="s">
        <v>76</v>
      </c>
      <c r="D121" s="20" t="s">
        <v>22</v>
      </c>
      <c r="E121" s="21">
        <f>ROUND(10168*1.05,2)</f>
      </c>
      <c r="F121" s="20" t="s">
        <v>51</v>
      </c>
      <c r="G121" s="20" t="s">
        <v>24</v>
      </c>
      <c r="H121" s="22">
        <f>ROUND(RAND()*4+6,1)</f>
      </c>
      <c r="I121" s="20" t="s">
        <v>25</v>
      </c>
      <c r="J121" s="23">
        <f>ROUND(77*1,0)&amp;"%"</f>
      </c>
    </row>
    <row x14ac:dyDescent="0.25" r="122" customHeight="1" ht="17.25">
      <c r="A122" s="24" t="s">
        <v>221</v>
      </c>
      <c r="B122" s="24"/>
      <c r="C122" s="24"/>
      <c r="D122" s="24"/>
      <c r="E122" s="25">
        <v>8</v>
      </c>
      <c r="F122" s="9"/>
      <c r="G122" s="9"/>
      <c r="H122" s="10"/>
      <c r="I122" s="9"/>
      <c r="J122" s="9"/>
    </row>
    <row x14ac:dyDescent="0.25" r="123" customHeight="1" ht="17.25">
      <c r="A123" s="7"/>
      <c r="B123" s="7"/>
      <c r="C123" s="7"/>
      <c r="D123" s="7"/>
      <c r="E123" s="8"/>
      <c r="F123" s="9"/>
      <c r="G123" s="9"/>
      <c r="H123" s="10"/>
      <c r="I123" s="9"/>
      <c r="J123" s="9"/>
    </row>
    <row x14ac:dyDescent="0.25" r="124" customHeight="1" ht="17.25">
      <c r="A124" s="11" t="s">
        <v>1215</v>
      </c>
      <c r="B124" s="11"/>
      <c r="C124" s="11"/>
      <c r="D124" s="11"/>
      <c r="E124" s="12"/>
      <c r="F124" s="11"/>
      <c r="G124" s="11"/>
      <c r="H124" s="13"/>
      <c r="I124" s="11"/>
      <c r="J124" s="11"/>
    </row>
    <row x14ac:dyDescent="0.25" r="125" customHeight="1" ht="17.25">
      <c r="A125" s="14" t="s">
        <v>3</v>
      </c>
      <c r="B125" s="14" t="s">
        <v>4</v>
      </c>
      <c r="C125" s="14" t="s">
        <v>5</v>
      </c>
      <c r="D125" s="14" t="s">
        <v>6</v>
      </c>
      <c r="E125" s="15" t="s">
        <v>7</v>
      </c>
      <c r="F125" s="14" t="s">
        <v>8</v>
      </c>
      <c r="G125" s="14" t="s">
        <v>9</v>
      </c>
      <c r="H125" s="16" t="s">
        <v>10</v>
      </c>
      <c r="I125" s="14" t="s">
        <v>11</v>
      </c>
      <c r="J125" s="14" t="s">
        <v>12</v>
      </c>
    </row>
    <row x14ac:dyDescent="0.25" r="126" customHeight="1" ht="17.25">
      <c r="A126" s="17" t="s">
        <v>1216</v>
      </c>
      <c r="B126" s="17" t="s">
        <v>224</v>
      </c>
      <c r="C126" s="17" t="s">
        <v>95</v>
      </c>
      <c r="D126" s="17" t="s">
        <v>16</v>
      </c>
      <c r="E126" s="18">
        <f>ROUND(17242*1.05,2)</f>
      </c>
      <c r="F126" s="17" t="s">
        <v>17</v>
      </c>
      <c r="G126" s="17" t="s">
        <v>18</v>
      </c>
      <c r="H126" s="18">
        <f>ROUND(RAND()*4+6,1)</f>
      </c>
      <c r="I126" s="17" t="s">
        <v>19</v>
      </c>
      <c r="J126" s="19">
        <f>ROUND(88*1,0)&amp;"%"</f>
      </c>
    </row>
    <row x14ac:dyDescent="0.25" r="127" customHeight="1" ht="17.25">
      <c r="A127" s="20" t="s">
        <v>1217</v>
      </c>
      <c r="B127" s="20" t="s">
        <v>226</v>
      </c>
      <c r="C127" s="20" t="s">
        <v>95</v>
      </c>
      <c r="D127" s="20" t="s">
        <v>22</v>
      </c>
      <c r="E127" s="21">
        <f>ROUND(8755*1.05,2)</f>
      </c>
      <c r="F127" s="20" t="s">
        <v>23</v>
      </c>
      <c r="G127" s="20" t="s">
        <v>24</v>
      </c>
      <c r="H127" s="21">
        <f>ROUND(RAND()*4+6,1)</f>
      </c>
      <c r="I127" s="20" t="s">
        <v>25</v>
      </c>
      <c r="J127" s="23">
        <f>ROUND(61*1,0)&amp;"%"</f>
      </c>
    </row>
    <row x14ac:dyDescent="0.25" r="128" customHeight="1" ht="17.25">
      <c r="A128" s="17" t="s">
        <v>1218</v>
      </c>
      <c r="B128" s="17" t="s">
        <v>228</v>
      </c>
      <c r="C128" s="17" t="s">
        <v>95</v>
      </c>
      <c r="D128" s="17" t="s">
        <v>28</v>
      </c>
      <c r="E128" s="18">
        <f>ROUND(12485*1.05,2)</f>
      </c>
      <c r="F128" s="17" t="s">
        <v>29</v>
      </c>
      <c r="G128" s="17" t="s">
        <v>30</v>
      </c>
      <c r="H128" s="18">
        <f>ROUND(RAND()*4+6,1)</f>
      </c>
      <c r="I128" s="17" t="s">
        <v>31</v>
      </c>
      <c r="J128" s="19">
        <f>ROUND(73*1,0)&amp;"%"</f>
      </c>
    </row>
    <row x14ac:dyDescent="0.25" r="129" customHeight="1" ht="17.25">
      <c r="A129" s="20" t="s">
        <v>1219</v>
      </c>
      <c r="B129" s="20" t="s">
        <v>230</v>
      </c>
      <c r="C129" s="20" t="s">
        <v>95</v>
      </c>
      <c r="D129" s="20" t="s">
        <v>34</v>
      </c>
      <c r="E129" s="21">
        <f>ROUND(9576*1.05,2)</f>
      </c>
      <c r="F129" s="20" t="s">
        <v>35</v>
      </c>
      <c r="G129" s="20" t="s">
        <v>18</v>
      </c>
      <c r="H129" s="21">
        <f>ROUND(RAND()*4+6,1)</f>
      </c>
      <c r="I129" s="20" t="s">
        <v>36</v>
      </c>
      <c r="J129" s="23">
        <f>ROUND(64*1,0)&amp;"%"</f>
      </c>
    </row>
    <row x14ac:dyDescent="0.25" r="130" customHeight="1" ht="17.25">
      <c r="A130" s="17" t="s">
        <v>1220</v>
      </c>
      <c r="B130" s="17" t="s">
        <v>232</v>
      </c>
      <c r="C130" s="17" t="s">
        <v>95</v>
      </c>
      <c r="D130" s="17" t="s">
        <v>39</v>
      </c>
      <c r="E130" s="18">
        <f>ROUND(13802*1.05,2)</f>
      </c>
      <c r="F130" s="17" t="s">
        <v>40</v>
      </c>
      <c r="G130" s="17" t="s">
        <v>24</v>
      </c>
      <c r="H130" s="18">
        <f>ROUND(RAND()*4+6,1)</f>
      </c>
      <c r="I130" s="17" t="s">
        <v>41</v>
      </c>
      <c r="J130" s="19">
        <f>ROUND(69*1,0)&amp;"%"</f>
      </c>
    </row>
    <row x14ac:dyDescent="0.25" r="131" customHeight="1" ht="17.25">
      <c r="A131" s="20" t="s">
        <v>1221</v>
      </c>
      <c r="B131" s="20" t="s">
        <v>234</v>
      </c>
      <c r="C131" s="20" t="s">
        <v>95</v>
      </c>
      <c r="D131" s="20" t="s">
        <v>67</v>
      </c>
      <c r="E131" s="21">
        <f>ROUND(6829*1.05,2)</f>
      </c>
      <c r="F131" s="20" t="s">
        <v>44</v>
      </c>
      <c r="G131" s="20" t="s">
        <v>30</v>
      </c>
      <c r="H131" s="22">
        <f>ROUND(RAND()*4+6,1)</f>
      </c>
      <c r="I131" s="20" t="s">
        <v>45</v>
      </c>
      <c r="J131" s="23">
        <f>ROUND(95*1,0)&amp;"%"</f>
      </c>
    </row>
    <row x14ac:dyDescent="0.25" r="132" customHeight="1" ht="17.25">
      <c r="A132" s="17" t="s">
        <v>1222</v>
      </c>
      <c r="B132" s="17" t="s">
        <v>236</v>
      </c>
      <c r="C132" s="17" t="s">
        <v>95</v>
      </c>
      <c r="D132" s="17" t="s">
        <v>16</v>
      </c>
      <c r="E132" s="18">
        <f>ROUND(17213*1.05,2)</f>
      </c>
      <c r="F132" s="17" t="s">
        <v>48</v>
      </c>
      <c r="G132" s="17" t="s">
        <v>18</v>
      </c>
      <c r="H132" s="18">
        <f>ROUND(RAND()*4+6,1)</f>
      </c>
      <c r="I132" s="17" t="s">
        <v>19</v>
      </c>
      <c r="J132" s="19">
        <f>ROUND(85*1,0)&amp;"%"</f>
      </c>
    </row>
    <row x14ac:dyDescent="0.25" r="133" customHeight="1" ht="17.25">
      <c r="A133" s="20" t="s">
        <v>1223</v>
      </c>
      <c r="B133" s="20" t="s">
        <v>238</v>
      </c>
      <c r="C133" s="20" t="s">
        <v>95</v>
      </c>
      <c r="D133" s="20" t="s">
        <v>22</v>
      </c>
      <c r="E133" s="21">
        <f>ROUND(14747*1.05,2)</f>
      </c>
      <c r="F133" s="20" t="s">
        <v>51</v>
      </c>
      <c r="G133" s="20" t="s">
        <v>24</v>
      </c>
      <c r="H133" s="21">
        <f>ROUND(RAND()*4+6,1)</f>
      </c>
      <c r="I133" s="20" t="s">
        <v>25</v>
      </c>
      <c r="J133" s="23">
        <f>ROUND(64*1,0)&amp;"%"</f>
      </c>
    </row>
    <row x14ac:dyDescent="0.25" r="134" customHeight="1" ht="17.25">
      <c r="A134" s="24" t="s">
        <v>239</v>
      </c>
      <c r="B134" s="24"/>
      <c r="C134" s="24"/>
      <c r="D134" s="24"/>
      <c r="E134" s="25">
        <v>8</v>
      </c>
      <c r="F134" s="9"/>
      <c r="G134" s="9"/>
      <c r="H134" s="10"/>
      <c r="I134" s="9"/>
      <c r="J134" s="9"/>
    </row>
    <row x14ac:dyDescent="0.25" r="135" customHeight="1" ht="17.25">
      <c r="A135" s="7"/>
      <c r="B135" s="7"/>
      <c r="C135" s="7"/>
      <c r="D135" s="7"/>
      <c r="E135" s="8"/>
      <c r="F135" s="9"/>
      <c r="G135" s="9"/>
      <c r="H135" s="10"/>
      <c r="I135" s="9"/>
      <c r="J135" s="9"/>
    </row>
    <row x14ac:dyDescent="0.25" r="136" customHeight="1" ht="17.25">
      <c r="A136" s="11" t="s">
        <v>1224</v>
      </c>
      <c r="B136" s="11"/>
      <c r="C136" s="11"/>
      <c r="D136" s="11"/>
      <c r="E136" s="12"/>
      <c r="F136" s="11"/>
      <c r="G136" s="11"/>
      <c r="H136" s="13"/>
      <c r="I136" s="11"/>
      <c r="J136" s="11"/>
    </row>
    <row x14ac:dyDescent="0.25" r="137" customHeight="1" ht="17.25">
      <c r="A137" s="14" t="s">
        <v>3</v>
      </c>
      <c r="B137" s="14" t="s">
        <v>4</v>
      </c>
      <c r="C137" s="14" t="s">
        <v>5</v>
      </c>
      <c r="D137" s="14" t="s">
        <v>6</v>
      </c>
      <c r="E137" s="15" t="s">
        <v>7</v>
      </c>
      <c r="F137" s="14" t="s">
        <v>8</v>
      </c>
      <c r="G137" s="14" t="s">
        <v>9</v>
      </c>
      <c r="H137" s="16" t="s">
        <v>10</v>
      </c>
      <c r="I137" s="14" t="s">
        <v>11</v>
      </c>
      <c r="J137" s="14" t="s">
        <v>12</v>
      </c>
    </row>
    <row x14ac:dyDescent="0.25" r="138" customHeight="1" ht="17.25">
      <c r="A138" s="17" t="s">
        <v>1225</v>
      </c>
      <c r="B138" s="17" t="s">
        <v>242</v>
      </c>
      <c r="C138" s="17" t="s">
        <v>114</v>
      </c>
      <c r="D138" s="17" t="s">
        <v>16</v>
      </c>
      <c r="E138" s="26">
        <f>ROUND(6320*1.05,2)</f>
      </c>
      <c r="F138" s="17" t="s">
        <v>17</v>
      </c>
      <c r="G138" s="17" t="s">
        <v>18</v>
      </c>
      <c r="H138" s="18">
        <f>ROUND(RAND()*4+6,1)</f>
      </c>
      <c r="I138" s="17" t="s">
        <v>19</v>
      </c>
      <c r="J138" s="19">
        <f>ROUND(88*1,0)&amp;"%"</f>
      </c>
    </row>
    <row x14ac:dyDescent="0.25" r="139" customHeight="1" ht="17.25">
      <c r="A139" s="20" t="s">
        <v>1226</v>
      </c>
      <c r="B139" s="20" t="s">
        <v>244</v>
      </c>
      <c r="C139" s="20" t="s">
        <v>114</v>
      </c>
      <c r="D139" s="20" t="s">
        <v>22</v>
      </c>
      <c r="E139" s="21">
        <f>ROUND(10488*1.05,2)</f>
      </c>
      <c r="F139" s="20" t="s">
        <v>23</v>
      </c>
      <c r="G139" s="20" t="s">
        <v>24</v>
      </c>
      <c r="H139" s="21">
        <f>ROUND(RAND()*4+6,1)</f>
      </c>
      <c r="I139" s="20" t="s">
        <v>25</v>
      </c>
      <c r="J139" s="23">
        <f>ROUND(99*1,0)&amp;"%"</f>
      </c>
    </row>
    <row x14ac:dyDescent="0.25" r="140" customHeight="1" ht="17.25">
      <c r="A140" s="17" t="s">
        <v>1227</v>
      </c>
      <c r="B140" s="17" t="s">
        <v>246</v>
      </c>
      <c r="C140" s="17" t="s">
        <v>114</v>
      </c>
      <c r="D140" s="17" t="s">
        <v>28</v>
      </c>
      <c r="E140" s="18">
        <f>ROUND(5288*1.05,2)</f>
      </c>
      <c r="F140" s="17" t="s">
        <v>29</v>
      </c>
      <c r="G140" s="17" t="s">
        <v>30</v>
      </c>
      <c r="H140" s="18">
        <f>ROUND(RAND()*4+6,1)</f>
      </c>
      <c r="I140" s="17" t="s">
        <v>31</v>
      </c>
      <c r="J140" s="19">
        <f>ROUND(77*1,0)&amp;"%"</f>
      </c>
    </row>
    <row x14ac:dyDescent="0.25" r="141" customHeight="1" ht="17.25">
      <c r="A141" s="20" t="s">
        <v>1228</v>
      </c>
      <c r="B141" s="20" t="s">
        <v>248</v>
      </c>
      <c r="C141" s="20" t="s">
        <v>114</v>
      </c>
      <c r="D141" s="20" t="s">
        <v>34</v>
      </c>
      <c r="E141" s="21">
        <f>ROUND(14964*1.05,2)</f>
      </c>
      <c r="F141" s="20" t="s">
        <v>35</v>
      </c>
      <c r="G141" s="20" t="s">
        <v>18</v>
      </c>
      <c r="H141" s="21">
        <f>ROUND(RAND()*4+6,1)</f>
      </c>
      <c r="I141" s="20" t="s">
        <v>36</v>
      </c>
      <c r="J141" s="23">
        <f>ROUND(87*1,0)&amp;"%"</f>
      </c>
    </row>
    <row x14ac:dyDescent="0.25" r="142" customHeight="1" ht="17.25">
      <c r="A142" s="17" t="s">
        <v>1229</v>
      </c>
      <c r="B142" s="17" t="s">
        <v>250</v>
      </c>
      <c r="C142" s="17" t="s">
        <v>114</v>
      </c>
      <c r="D142" s="17" t="s">
        <v>39</v>
      </c>
      <c r="E142" s="18">
        <f>ROUND(15894*1.05,2)</f>
      </c>
      <c r="F142" s="17" t="s">
        <v>40</v>
      </c>
      <c r="G142" s="17" t="s">
        <v>24</v>
      </c>
      <c r="H142" s="26">
        <f>ROUND(RAND()*4+6,1)</f>
      </c>
      <c r="I142" s="17" t="s">
        <v>41</v>
      </c>
      <c r="J142" s="19">
        <f>ROUND(88*1,0)&amp;"%"</f>
      </c>
    </row>
    <row x14ac:dyDescent="0.25" r="143" customHeight="1" ht="17.25">
      <c r="A143" s="20" t="s">
        <v>1230</v>
      </c>
      <c r="B143" s="20" t="s">
        <v>252</v>
      </c>
      <c r="C143" s="20" t="s">
        <v>114</v>
      </c>
      <c r="D143" s="20" t="s">
        <v>67</v>
      </c>
      <c r="E143" s="21">
        <f>ROUND(10415*1.05,2)</f>
      </c>
      <c r="F143" s="20" t="s">
        <v>44</v>
      </c>
      <c r="G143" s="20" t="s">
        <v>30</v>
      </c>
      <c r="H143" s="21">
        <f>ROUND(RAND()*4+6,1)</f>
      </c>
      <c r="I143" s="20" t="s">
        <v>45</v>
      </c>
      <c r="J143" s="23">
        <f>ROUND(100*1,0)&amp;"%"</f>
      </c>
    </row>
    <row x14ac:dyDescent="0.25" r="144" customHeight="1" ht="17.25">
      <c r="A144" s="17" t="s">
        <v>1231</v>
      </c>
      <c r="B144" s="17" t="s">
        <v>254</v>
      </c>
      <c r="C144" s="17" t="s">
        <v>114</v>
      </c>
      <c r="D144" s="17" t="s">
        <v>16</v>
      </c>
      <c r="E144" s="18">
        <f>ROUND(6194*1.05,2)</f>
      </c>
      <c r="F144" s="17" t="s">
        <v>48</v>
      </c>
      <c r="G144" s="17" t="s">
        <v>18</v>
      </c>
      <c r="H144" s="18">
        <f>ROUND(RAND()*4+6,1)</f>
      </c>
      <c r="I144" s="17" t="s">
        <v>19</v>
      </c>
      <c r="J144" s="19">
        <f>ROUND(90*1,0)&amp;"%"</f>
      </c>
    </row>
    <row x14ac:dyDescent="0.25" r="145" customHeight="1" ht="17.25">
      <c r="A145" s="20" t="s">
        <v>1232</v>
      </c>
      <c r="B145" s="20" t="s">
        <v>256</v>
      </c>
      <c r="C145" s="20" t="s">
        <v>114</v>
      </c>
      <c r="D145" s="20" t="s">
        <v>22</v>
      </c>
      <c r="E145" s="21">
        <f>ROUND(13045*1.05,2)</f>
      </c>
      <c r="F145" s="20" t="s">
        <v>51</v>
      </c>
      <c r="G145" s="20" t="s">
        <v>24</v>
      </c>
      <c r="H145" s="21">
        <f>ROUND(RAND()*4+6,1)</f>
      </c>
      <c r="I145" s="20" t="s">
        <v>25</v>
      </c>
      <c r="J145" s="23">
        <f>ROUND(62*1,0)&amp;"%"</f>
      </c>
    </row>
    <row x14ac:dyDescent="0.25" r="146" customHeight="1" ht="17.25">
      <c r="A146" s="24" t="s">
        <v>257</v>
      </c>
      <c r="B146" s="24"/>
      <c r="C146" s="24"/>
      <c r="D146" s="24"/>
      <c r="E146" s="25">
        <v>8</v>
      </c>
      <c r="F146" s="9"/>
      <c r="G146" s="9"/>
      <c r="H146" s="10"/>
      <c r="I146" s="9"/>
      <c r="J146" s="9"/>
    </row>
    <row x14ac:dyDescent="0.25" r="147" customHeight="1" ht="17.25">
      <c r="A147" s="7"/>
      <c r="B147" s="7"/>
      <c r="C147" s="7"/>
      <c r="D147" s="7"/>
      <c r="E147" s="8"/>
      <c r="F147" s="9"/>
      <c r="G147" s="9"/>
      <c r="H147" s="10"/>
      <c r="I147" s="9"/>
      <c r="J147" s="9"/>
    </row>
    <row x14ac:dyDescent="0.25" r="148" customHeight="1" ht="17.25">
      <c r="A148" s="11" t="s">
        <v>1233</v>
      </c>
      <c r="B148" s="11"/>
      <c r="C148" s="11"/>
      <c r="D148" s="11"/>
      <c r="E148" s="12"/>
      <c r="F148" s="11"/>
      <c r="G148" s="11"/>
      <c r="H148" s="13"/>
      <c r="I148" s="11"/>
      <c r="J148" s="11"/>
    </row>
    <row x14ac:dyDescent="0.25" r="149" customHeight="1" ht="17.25">
      <c r="A149" s="14" t="s">
        <v>3</v>
      </c>
      <c r="B149" s="14" t="s">
        <v>4</v>
      </c>
      <c r="C149" s="14" t="s">
        <v>5</v>
      </c>
      <c r="D149" s="14" t="s">
        <v>6</v>
      </c>
      <c r="E149" s="15" t="s">
        <v>7</v>
      </c>
      <c r="F149" s="14" t="s">
        <v>8</v>
      </c>
      <c r="G149" s="14" t="s">
        <v>9</v>
      </c>
      <c r="H149" s="16" t="s">
        <v>10</v>
      </c>
      <c r="I149" s="14" t="s">
        <v>11</v>
      </c>
      <c r="J149" s="14" t="s">
        <v>12</v>
      </c>
    </row>
    <row x14ac:dyDescent="0.25" r="150" customHeight="1" ht="17.25">
      <c r="A150" s="17" t="s">
        <v>1234</v>
      </c>
      <c r="B150" s="17" t="s">
        <v>260</v>
      </c>
      <c r="C150" s="17" t="s">
        <v>133</v>
      </c>
      <c r="D150" s="17" t="s">
        <v>16</v>
      </c>
      <c r="E150" s="18">
        <f>ROUND(10885*1.05,2)</f>
      </c>
      <c r="F150" s="17" t="s">
        <v>17</v>
      </c>
      <c r="G150" s="17" t="s">
        <v>18</v>
      </c>
      <c r="H150" s="18">
        <f>ROUND(RAND()*4+6,1)</f>
      </c>
      <c r="I150" s="17" t="s">
        <v>19</v>
      </c>
      <c r="J150" s="19">
        <f>ROUND(99*1,0)&amp;"%"</f>
      </c>
    </row>
    <row x14ac:dyDescent="0.25" r="151" customHeight="1" ht="17.25">
      <c r="A151" s="20" t="s">
        <v>1235</v>
      </c>
      <c r="B151" s="20" t="s">
        <v>262</v>
      </c>
      <c r="C151" s="20" t="s">
        <v>133</v>
      </c>
      <c r="D151" s="20" t="s">
        <v>22</v>
      </c>
      <c r="E151" s="21">
        <f>ROUND(11815*1.05,2)</f>
      </c>
      <c r="F151" s="20" t="s">
        <v>23</v>
      </c>
      <c r="G151" s="20" t="s">
        <v>24</v>
      </c>
      <c r="H151" s="21">
        <f>ROUND(RAND()*4+6,1)</f>
      </c>
      <c r="I151" s="20" t="s">
        <v>25</v>
      </c>
      <c r="J151" s="23">
        <f>ROUND(99*1,0)&amp;"%"</f>
      </c>
    </row>
    <row x14ac:dyDescent="0.25" r="152" customHeight="1" ht="17.25">
      <c r="A152" s="17" t="s">
        <v>1236</v>
      </c>
      <c r="B152" s="17" t="s">
        <v>264</v>
      </c>
      <c r="C152" s="17" t="s">
        <v>133</v>
      </c>
      <c r="D152" s="17" t="s">
        <v>28</v>
      </c>
      <c r="E152" s="18">
        <f>ROUND(16457*1.05,2)</f>
      </c>
      <c r="F152" s="17" t="s">
        <v>29</v>
      </c>
      <c r="G152" s="17" t="s">
        <v>30</v>
      </c>
      <c r="H152" s="18">
        <f>ROUND(RAND()*4+6,1)</f>
      </c>
      <c r="I152" s="17" t="s">
        <v>31</v>
      </c>
      <c r="J152" s="19">
        <f>ROUND(83*1,0)&amp;"%"</f>
      </c>
    </row>
    <row x14ac:dyDescent="0.25" r="153" customHeight="1" ht="17.25">
      <c r="A153" s="20" t="s">
        <v>1237</v>
      </c>
      <c r="B153" s="20" t="s">
        <v>266</v>
      </c>
      <c r="C153" s="20" t="s">
        <v>133</v>
      </c>
      <c r="D153" s="20" t="s">
        <v>34</v>
      </c>
      <c r="E153" s="21">
        <f>ROUND(7084*1.05,2)</f>
      </c>
      <c r="F153" s="20" t="s">
        <v>35</v>
      </c>
      <c r="G153" s="20" t="s">
        <v>18</v>
      </c>
      <c r="H153" s="21">
        <f>ROUND(RAND()*4+6,1)</f>
      </c>
      <c r="I153" s="20" t="s">
        <v>36</v>
      </c>
      <c r="J153" s="23">
        <f>ROUND(76*1,0)&amp;"%"</f>
      </c>
    </row>
    <row x14ac:dyDescent="0.25" r="154" customHeight="1" ht="17.25">
      <c r="A154" s="17" t="s">
        <v>1238</v>
      </c>
      <c r="B154" s="17" t="s">
        <v>268</v>
      </c>
      <c r="C154" s="17" t="s">
        <v>133</v>
      </c>
      <c r="D154" s="17" t="s">
        <v>39</v>
      </c>
      <c r="E154" s="18">
        <f>ROUND(14944*1.05,2)</f>
      </c>
      <c r="F154" s="17" t="s">
        <v>40</v>
      </c>
      <c r="G154" s="17" t="s">
        <v>24</v>
      </c>
      <c r="H154" s="18">
        <f>ROUND(RAND()*4+6,1)</f>
      </c>
      <c r="I154" s="17" t="s">
        <v>41</v>
      </c>
      <c r="J154" s="19">
        <f>ROUND(86*1,0)&amp;"%"</f>
      </c>
    </row>
    <row x14ac:dyDescent="0.25" r="155" customHeight="1" ht="17.25">
      <c r="A155" s="20" t="s">
        <v>1239</v>
      </c>
      <c r="B155" s="20" t="s">
        <v>270</v>
      </c>
      <c r="C155" s="20" t="s">
        <v>133</v>
      </c>
      <c r="D155" s="20" t="s">
        <v>67</v>
      </c>
      <c r="E155" s="21">
        <f>ROUND(13114*1.05,2)</f>
      </c>
      <c r="F155" s="20" t="s">
        <v>44</v>
      </c>
      <c r="G155" s="20" t="s">
        <v>30</v>
      </c>
      <c r="H155" s="21">
        <f>ROUND(RAND()*4+6,1)</f>
      </c>
      <c r="I155" s="20" t="s">
        <v>45</v>
      </c>
      <c r="J155" s="23">
        <f>ROUND(82*1,0)&amp;"%"</f>
      </c>
    </row>
    <row x14ac:dyDescent="0.25" r="156" customHeight="1" ht="17.25">
      <c r="A156" s="17" t="s">
        <v>1240</v>
      </c>
      <c r="B156" s="17" t="s">
        <v>272</v>
      </c>
      <c r="C156" s="17" t="s">
        <v>133</v>
      </c>
      <c r="D156" s="17" t="s">
        <v>16</v>
      </c>
      <c r="E156" s="26">
        <f>ROUND(7980*1.05,2)</f>
      </c>
      <c r="F156" s="17" t="s">
        <v>48</v>
      </c>
      <c r="G156" s="17" t="s">
        <v>18</v>
      </c>
      <c r="H156" s="18">
        <f>ROUND(RAND()*4+6,1)</f>
      </c>
      <c r="I156" s="17" t="s">
        <v>19</v>
      </c>
      <c r="J156" s="19">
        <f>ROUND(69*1,0)&amp;"%"</f>
      </c>
    </row>
    <row x14ac:dyDescent="0.25" r="157" customHeight="1" ht="17.25">
      <c r="A157" s="20" t="s">
        <v>1241</v>
      </c>
      <c r="B157" s="20" t="s">
        <v>274</v>
      </c>
      <c r="C157" s="20" t="s">
        <v>133</v>
      </c>
      <c r="D157" s="20" t="s">
        <v>22</v>
      </c>
      <c r="E157" s="21">
        <f>ROUND(17519*1.05,2)</f>
      </c>
      <c r="F157" s="20" t="s">
        <v>51</v>
      </c>
      <c r="G157" s="20" t="s">
        <v>24</v>
      </c>
      <c r="H157" s="21">
        <f>ROUND(RAND()*4+6,1)</f>
      </c>
      <c r="I157" s="20" t="s">
        <v>25</v>
      </c>
      <c r="J157" s="23">
        <f>ROUND(84*1,0)&amp;"%"</f>
      </c>
    </row>
    <row x14ac:dyDescent="0.25" r="158" customHeight="1" ht="17.25">
      <c r="A158" s="24" t="s">
        <v>275</v>
      </c>
      <c r="B158" s="24"/>
      <c r="C158" s="24"/>
      <c r="D158" s="24"/>
      <c r="E158" s="25">
        <v>8</v>
      </c>
      <c r="F158" s="9"/>
      <c r="G158" s="9"/>
      <c r="H158" s="10"/>
      <c r="I158" s="9"/>
      <c r="J158" s="9"/>
    </row>
    <row x14ac:dyDescent="0.25" r="159" customHeight="1" ht="17.25">
      <c r="A159" s="7"/>
      <c r="B159" s="7"/>
      <c r="C159" s="7"/>
      <c r="D159" s="7"/>
      <c r="E159" s="8"/>
      <c r="F159" s="9"/>
      <c r="G159" s="9"/>
      <c r="H159" s="10"/>
      <c r="I159" s="9"/>
      <c r="J159" s="9"/>
    </row>
    <row x14ac:dyDescent="0.25" r="160" customHeight="1" ht="17.25">
      <c r="A160" s="11" t="s">
        <v>1242</v>
      </c>
      <c r="B160" s="11"/>
      <c r="C160" s="11"/>
      <c r="D160" s="11"/>
      <c r="E160" s="12"/>
      <c r="F160" s="11"/>
      <c r="G160" s="11"/>
      <c r="H160" s="13"/>
      <c r="I160" s="11"/>
      <c r="J160" s="11"/>
    </row>
    <row x14ac:dyDescent="0.25" r="161" customHeight="1" ht="17.25">
      <c r="A161" s="14" t="s">
        <v>3</v>
      </c>
      <c r="B161" s="14" t="s">
        <v>4</v>
      </c>
      <c r="C161" s="14" t="s">
        <v>5</v>
      </c>
      <c r="D161" s="14" t="s">
        <v>6</v>
      </c>
      <c r="E161" s="15" t="s">
        <v>7</v>
      </c>
      <c r="F161" s="14" t="s">
        <v>8</v>
      </c>
      <c r="G161" s="14" t="s">
        <v>9</v>
      </c>
      <c r="H161" s="16" t="s">
        <v>10</v>
      </c>
      <c r="I161" s="14" t="s">
        <v>11</v>
      </c>
      <c r="J161" s="14" t="s">
        <v>12</v>
      </c>
    </row>
    <row x14ac:dyDescent="0.25" r="162" customHeight="1" ht="17.25">
      <c r="A162" s="17" t="s">
        <v>1243</v>
      </c>
      <c r="B162" s="17" t="s">
        <v>278</v>
      </c>
      <c r="C162" s="17" t="s">
        <v>152</v>
      </c>
      <c r="D162" s="17" t="s">
        <v>16</v>
      </c>
      <c r="E162" s="18">
        <f>ROUND(15363*1.05,2)</f>
      </c>
      <c r="F162" s="17" t="s">
        <v>17</v>
      </c>
      <c r="G162" s="17" t="s">
        <v>18</v>
      </c>
      <c r="H162" s="18">
        <f>ROUND(RAND()*4+6,1)</f>
      </c>
      <c r="I162" s="17" t="s">
        <v>19</v>
      </c>
      <c r="J162" s="19">
        <f>ROUND(92*1,0)&amp;"%"</f>
      </c>
    </row>
    <row x14ac:dyDescent="0.25" r="163" customHeight="1" ht="17.25">
      <c r="A163" s="20" t="s">
        <v>1244</v>
      </c>
      <c r="B163" s="20" t="s">
        <v>280</v>
      </c>
      <c r="C163" s="20" t="s">
        <v>152</v>
      </c>
      <c r="D163" s="20" t="s">
        <v>22</v>
      </c>
      <c r="E163" s="21">
        <f>ROUND(12517*1.05,2)</f>
      </c>
      <c r="F163" s="20" t="s">
        <v>23</v>
      </c>
      <c r="G163" s="20" t="s">
        <v>24</v>
      </c>
      <c r="H163" s="21">
        <f>ROUND(RAND()*4+6,1)</f>
      </c>
      <c r="I163" s="20" t="s">
        <v>25</v>
      </c>
      <c r="J163" s="23">
        <f>ROUND(82*1,0)&amp;"%"</f>
      </c>
    </row>
    <row x14ac:dyDescent="0.25" r="164" customHeight="1" ht="17.25">
      <c r="A164" s="17" t="s">
        <v>1245</v>
      </c>
      <c r="B164" s="17" t="s">
        <v>282</v>
      </c>
      <c r="C164" s="17" t="s">
        <v>152</v>
      </c>
      <c r="D164" s="17" t="s">
        <v>28</v>
      </c>
      <c r="E164" s="18">
        <f>ROUND(7731*1.05,2)</f>
      </c>
      <c r="F164" s="17" t="s">
        <v>29</v>
      </c>
      <c r="G164" s="17" t="s">
        <v>30</v>
      </c>
      <c r="H164" s="18">
        <f>ROUND(RAND()*4+6,1)</f>
      </c>
      <c r="I164" s="17" t="s">
        <v>31</v>
      </c>
      <c r="J164" s="19">
        <f>ROUND(86*1,0)&amp;"%"</f>
      </c>
    </row>
    <row x14ac:dyDescent="0.25" r="165" customHeight="1" ht="17.25">
      <c r="A165" s="20" t="s">
        <v>1246</v>
      </c>
      <c r="B165" s="20" t="s">
        <v>284</v>
      </c>
      <c r="C165" s="20" t="s">
        <v>152</v>
      </c>
      <c r="D165" s="20" t="s">
        <v>34</v>
      </c>
      <c r="E165" s="21">
        <f>ROUND(10647*1.05,2)</f>
      </c>
      <c r="F165" s="20" t="s">
        <v>35</v>
      </c>
      <c r="G165" s="20" t="s">
        <v>18</v>
      </c>
      <c r="H165" s="21">
        <f>ROUND(RAND()*4+6,1)</f>
      </c>
      <c r="I165" s="20" t="s">
        <v>36</v>
      </c>
      <c r="J165" s="23">
        <f>ROUND(62*1,0)&amp;"%"</f>
      </c>
    </row>
    <row x14ac:dyDescent="0.25" r="166" customHeight="1" ht="17.25">
      <c r="A166" s="17" t="s">
        <v>1247</v>
      </c>
      <c r="B166" s="17" t="s">
        <v>286</v>
      </c>
      <c r="C166" s="17" t="s">
        <v>152</v>
      </c>
      <c r="D166" s="17" t="s">
        <v>39</v>
      </c>
      <c r="E166" s="18">
        <f>ROUND(9470*1.05,2)</f>
      </c>
      <c r="F166" s="17" t="s">
        <v>40</v>
      </c>
      <c r="G166" s="17" t="s">
        <v>24</v>
      </c>
      <c r="H166" s="18">
        <f>ROUND(RAND()*4+6,1)</f>
      </c>
      <c r="I166" s="17" t="s">
        <v>41</v>
      </c>
      <c r="J166" s="19">
        <f>ROUND(69*1,0)&amp;"%"</f>
      </c>
    </row>
    <row x14ac:dyDescent="0.25" r="167" customHeight="1" ht="17.25">
      <c r="A167" s="20" t="s">
        <v>1248</v>
      </c>
      <c r="B167" s="20" t="s">
        <v>288</v>
      </c>
      <c r="C167" s="20" t="s">
        <v>152</v>
      </c>
      <c r="D167" s="20" t="s">
        <v>67</v>
      </c>
      <c r="E167" s="21">
        <f>ROUND(14676*1.05,2)</f>
      </c>
      <c r="F167" s="20" t="s">
        <v>44</v>
      </c>
      <c r="G167" s="20" t="s">
        <v>30</v>
      </c>
      <c r="H167" s="21">
        <f>ROUND(RAND()*4+6,1)</f>
      </c>
      <c r="I167" s="20" t="s">
        <v>45</v>
      </c>
      <c r="J167" s="23">
        <f>ROUND(79*1,0)&amp;"%"</f>
      </c>
    </row>
    <row x14ac:dyDescent="0.25" r="168" customHeight="1" ht="17.25">
      <c r="A168" s="17" t="s">
        <v>1249</v>
      </c>
      <c r="B168" s="17" t="s">
        <v>290</v>
      </c>
      <c r="C168" s="17" t="s">
        <v>152</v>
      </c>
      <c r="D168" s="17" t="s">
        <v>16</v>
      </c>
      <c r="E168" s="18">
        <f>ROUND(9988*1.05,2)</f>
      </c>
      <c r="F168" s="17" t="s">
        <v>48</v>
      </c>
      <c r="G168" s="17" t="s">
        <v>18</v>
      </c>
      <c r="H168" s="18">
        <f>ROUND(RAND()*4+6,1)</f>
      </c>
      <c r="I168" s="17" t="s">
        <v>19</v>
      </c>
      <c r="J168" s="19">
        <f>ROUND(100*1,0)&amp;"%"</f>
      </c>
    </row>
    <row x14ac:dyDescent="0.25" r="169" customHeight="1" ht="17.25">
      <c r="A169" s="20" t="s">
        <v>1250</v>
      </c>
      <c r="B169" s="20" t="s">
        <v>292</v>
      </c>
      <c r="C169" s="20" t="s">
        <v>152</v>
      </c>
      <c r="D169" s="20" t="s">
        <v>22</v>
      </c>
      <c r="E169" s="21">
        <f>ROUND(14678*1.05,2)</f>
      </c>
      <c r="F169" s="20" t="s">
        <v>51</v>
      </c>
      <c r="G169" s="20" t="s">
        <v>24</v>
      </c>
      <c r="H169" s="21">
        <f>ROUND(RAND()*4+6,1)</f>
      </c>
      <c r="I169" s="20" t="s">
        <v>25</v>
      </c>
      <c r="J169" s="23">
        <f>ROUND(65*1,0)&amp;"%"</f>
      </c>
    </row>
    <row x14ac:dyDescent="0.25" r="170" customHeight="1" ht="17.25">
      <c r="A170" s="24" t="s">
        <v>293</v>
      </c>
      <c r="B170" s="24"/>
      <c r="C170" s="24"/>
      <c r="D170" s="24"/>
      <c r="E170" s="25">
        <v>8</v>
      </c>
      <c r="F170" s="9"/>
      <c r="G170" s="9"/>
      <c r="H170" s="10"/>
      <c r="I170" s="9"/>
      <c r="J170" s="9"/>
    </row>
    <row x14ac:dyDescent="0.25" r="171" customHeight="1" ht="17.25">
      <c r="A171" s="7"/>
      <c r="B171" s="7"/>
      <c r="C171" s="7"/>
      <c r="D171" s="7"/>
      <c r="E171" s="8"/>
      <c r="F171" s="9"/>
      <c r="G171" s="9"/>
      <c r="H171" s="10"/>
      <c r="I171" s="9"/>
      <c r="J171" s="9"/>
    </row>
    <row x14ac:dyDescent="0.25" r="172" customHeight="1" ht="17.25">
      <c r="A172" s="11" t="s">
        <v>1251</v>
      </c>
      <c r="B172" s="11"/>
      <c r="C172" s="11"/>
      <c r="D172" s="11"/>
      <c r="E172" s="12"/>
      <c r="F172" s="11"/>
      <c r="G172" s="11"/>
      <c r="H172" s="13"/>
      <c r="I172" s="11"/>
      <c r="J172" s="11"/>
    </row>
    <row x14ac:dyDescent="0.25" r="173" customHeight="1" ht="17.25">
      <c r="A173" s="14" t="s">
        <v>3</v>
      </c>
      <c r="B173" s="14" t="s">
        <v>4</v>
      </c>
      <c r="C173" s="14" t="s">
        <v>5</v>
      </c>
      <c r="D173" s="14" t="s">
        <v>6</v>
      </c>
      <c r="E173" s="15" t="s">
        <v>7</v>
      </c>
      <c r="F173" s="14" t="s">
        <v>8</v>
      </c>
      <c r="G173" s="14" t="s">
        <v>9</v>
      </c>
      <c r="H173" s="16" t="s">
        <v>10</v>
      </c>
      <c r="I173" s="14" t="s">
        <v>11</v>
      </c>
      <c r="J173" s="14" t="s">
        <v>12</v>
      </c>
    </row>
    <row x14ac:dyDescent="0.25" r="174" customHeight="1" ht="17.25">
      <c r="A174" s="17" t="s">
        <v>1252</v>
      </c>
      <c r="B174" s="17" t="s">
        <v>296</v>
      </c>
      <c r="C174" s="17" t="s">
        <v>15</v>
      </c>
      <c r="D174" s="17" t="s">
        <v>16</v>
      </c>
      <c r="E174" s="18">
        <f>ROUND(12247*1.05,2)</f>
      </c>
      <c r="F174" s="17" t="s">
        <v>17</v>
      </c>
      <c r="G174" s="17" t="s">
        <v>18</v>
      </c>
      <c r="H174" s="18">
        <f>ROUND(RAND()*4+6,1)</f>
      </c>
      <c r="I174" s="17" t="s">
        <v>19</v>
      </c>
      <c r="J174" s="19">
        <f>ROUND(98*1,0)&amp;"%"</f>
      </c>
    </row>
    <row x14ac:dyDescent="0.25" r="175" customHeight="1" ht="17.25">
      <c r="A175" s="20" t="s">
        <v>1253</v>
      </c>
      <c r="B175" s="20" t="s">
        <v>298</v>
      </c>
      <c r="C175" s="20" t="s">
        <v>15</v>
      </c>
      <c r="D175" s="20" t="s">
        <v>22</v>
      </c>
      <c r="E175" s="21">
        <f>ROUND(17947*1.05,2)</f>
      </c>
      <c r="F175" s="20" t="s">
        <v>23</v>
      </c>
      <c r="G175" s="20" t="s">
        <v>24</v>
      </c>
      <c r="H175" s="21">
        <f>ROUND(RAND()*4+6,1)</f>
      </c>
      <c r="I175" s="20" t="s">
        <v>25</v>
      </c>
      <c r="J175" s="23">
        <f>ROUND(97*1,0)&amp;"%"</f>
      </c>
    </row>
    <row x14ac:dyDescent="0.25" r="176" customHeight="1" ht="17.25">
      <c r="A176" s="17" t="s">
        <v>1254</v>
      </c>
      <c r="B176" s="17" t="s">
        <v>300</v>
      </c>
      <c r="C176" s="17" t="s">
        <v>15</v>
      </c>
      <c r="D176" s="17" t="s">
        <v>28</v>
      </c>
      <c r="E176" s="18">
        <f>ROUND(12224*1.05,2)</f>
      </c>
      <c r="F176" s="17" t="s">
        <v>29</v>
      </c>
      <c r="G176" s="17" t="s">
        <v>30</v>
      </c>
      <c r="H176" s="26">
        <f>ROUND(RAND()*4+6,1)</f>
      </c>
      <c r="I176" s="17" t="s">
        <v>31</v>
      </c>
      <c r="J176" s="19">
        <f>ROUND(78*1,0)&amp;"%"</f>
      </c>
    </row>
    <row x14ac:dyDescent="0.25" r="177" customHeight="1" ht="17.25">
      <c r="A177" s="20" t="s">
        <v>1255</v>
      </c>
      <c r="B177" s="20" t="s">
        <v>302</v>
      </c>
      <c r="C177" s="20" t="s">
        <v>15</v>
      </c>
      <c r="D177" s="20" t="s">
        <v>34</v>
      </c>
      <c r="E177" s="21">
        <f>ROUND(9785*1.05,2)</f>
      </c>
      <c r="F177" s="20" t="s">
        <v>35</v>
      </c>
      <c r="G177" s="20" t="s">
        <v>18</v>
      </c>
      <c r="H177" s="22">
        <f>ROUND(RAND()*4+6,1)</f>
      </c>
      <c r="I177" s="20" t="s">
        <v>36</v>
      </c>
      <c r="J177" s="23">
        <f>ROUND(88*1,0)&amp;"%"</f>
      </c>
    </row>
    <row x14ac:dyDescent="0.25" r="178" customHeight="1" ht="17.25">
      <c r="A178" s="17" t="s">
        <v>1256</v>
      </c>
      <c r="B178" s="17" t="s">
        <v>304</v>
      </c>
      <c r="C178" s="17" t="s">
        <v>15</v>
      </c>
      <c r="D178" s="17" t="s">
        <v>39</v>
      </c>
      <c r="E178" s="18">
        <f>ROUND(6075*1.05,2)</f>
      </c>
      <c r="F178" s="17" t="s">
        <v>40</v>
      </c>
      <c r="G178" s="17" t="s">
        <v>24</v>
      </c>
      <c r="H178" s="18">
        <f>ROUND(RAND()*4+6,1)</f>
      </c>
      <c r="I178" s="17" t="s">
        <v>41</v>
      </c>
      <c r="J178" s="19">
        <f>ROUND(78*1,0)&amp;"%"</f>
      </c>
    </row>
    <row x14ac:dyDescent="0.25" r="179" customHeight="1" ht="17.25">
      <c r="A179" s="20" t="s">
        <v>1257</v>
      </c>
      <c r="B179" s="20" t="s">
        <v>306</v>
      </c>
      <c r="C179" s="20" t="s">
        <v>15</v>
      </c>
      <c r="D179" s="20" t="s">
        <v>67</v>
      </c>
      <c r="E179" s="21">
        <f>ROUND(4825*1.05,2)</f>
      </c>
      <c r="F179" s="20" t="s">
        <v>44</v>
      </c>
      <c r="G179" s="20" t="s">
        <v>30</v>
      </c>
      <c r="H179" s="21">
        <f>ROUND(RAND()*4+6,1)</f>
      </c>
      <c r="I179" s="20" t="s">
        <v>45</v>
      </c>
      <c r="J179" s="23">
        <f>ROUND(79*1,0)&amp;"%"</f>
      </c>
    </row>
    <row x14ac:dyDescent="0.25" r="180" customHeight="1" ht="17.25">
      <c r="A180" s="17" t="s">
        <v>1258</v>
      </c>
      <c r="B180" s="17" t="s">
        <v>308</v>
      </c>
      <c r="C180" s="17" t="s">
        <v>15</v>
      </c>
      <c r="D180" s="17" t="s">
        <v>16</v>
      </c>
      <c r="E180" s="18">
        <f>ROUND(6918*1.05,2)</f>
      </c>
      <c r="F180" s="17" t="s">
        <v>48</v>
      </c>
      <c r="G180" s="17" t="s">
        <v>18</v>
      </c>
      <c r="H180" s="18">
        <f>ROUND(RAND()*4+6,1)</f>
      </c>
      <c r="I180" s="17" t="s">
        <v>19</v>
      </c>
      <c r="J180" s="19">
        <f>ROUND(96*1,0)&amp;"%"</f>
      </c>
    </row>
    <row x14ac:dyDescent="0.25" r="181" customHeight="1" ht="17.25">
      <c r="A181" s="20" t="s">
        <v>1259</v>
      </c>
      <c r="B181" s="20" t="s">
        <v>310</v>
      </c>
      <c r="C181" s="20" t="s">
        <v>15</v>
      </c>
      <c r="D181" s="20" t="s">
        <v>22</v>
      </c>
      <c r="E181" s="21">
        <f>ROUND(12972*1.05,2)</f>
      </c>
      <c r="F181" s="20" t="s">
        <v>51</v>
      </c>
      <c r="G181" s="20" t="s">
        <v>24</v>
      </c>
      <c r="H181" s="21">
        <f>ROUND(RAND()*4+6,1)</f>
      </c>
      <c r="I181" s="20" t="s">
        <v>25</v>
      </c>
      <c r="J181" s="23">
        <f>ROUND(97*1,0)&amp;"%"</f>
      </c>
    </row>
    <row x14ac:dyDescent="0.25" r="182" customHeight="1" ht="17.25">
      <c r="A182" s="24" t="s">
        <v>311</v>
      </c>
      <c r="B182" s="24"/>
      <c r="C182" s="24"/>
      <c r="D182" s="24"/>
      <c r="E182" s="25">
        <v>8</v>
      </c>
      <c r="F182" s="9"/>
      <c r="G182" s="9"/>
      <c r="H182" s="10"/>
      <c r="I182" s="9"/>
      <c r="J182" s="9"/>
    </row>
    <row x14ac:dyDescent="0.25" r="183" customHeight="1" ht="17.25">
      <c r="A183" s="7"/>
      <c r="B183" s="7"/>
      <c r="C183" s="7"/>
      <c r="D183" s="7"/>
      <c r="E183" s="8"/>
      <c r="F183" s="9"/>
      <c r="G183" s="9"/>
      <c r="H183" s="10"/>
      <c r="I183" s="9"/>
      <c r="J183" s="9"/>
    </row>
    <row x14ac:dyDescent="0.25" r="184" customHeight="1" ht="17.25">
      <c r="A184" s="11" t="s">
        <v>1260</v>
      </c>
      <c r="B184" s="11"/>
      <c r="C184" s="11"/>
      <c r="D184" s="11"/>
      <c r="E184" s="12"/>
      <c r="F184" s="11"/>
      <c r="G184" s="11"/>
      <c r="H184" s="13"/>
      <c r="I184" s="11"/>
      <c r="J184" s="11"/>
    </row>
    <row x14ac:dyDescent="0.25" r="185" customHeight="1" ht="17.25">
      <c r="A185" s="14" t="s">
        <v>3</v>
      </c>
      <c r="B185" s="14" t="s">
        <v>4</v>
      </c>
      <c r="C185" s="14" t="s">
        <v>5</v>
      </c>
      <c r="D185" s="14" t="s">
        <v>6</v>
      </c>
      <c r="E185" s="15" t="s">
        <v>7</v>
      </c>
      <c r="F185" s="14" t="s">
        <v>8</v>
      </c>
      <c r="G185" s="14" t="s">
        <v>9</v>
      </c>
      <c r="H185" s="16" t="s">
        <v>10</v>
      </c>
      <c r="I185" s="14" t="s">
        <v>11</v>
      </c>
      <c r="J185" s="14" t="s">
        <v>12</v>
      </c>
    </row>
    <row x14ac:dyDescent="0.25" r="186" customHeight="1" ht="17.25">
      <c r="A186" s="17" t="s">
        <v>1261</v>
      </c>
      <c r="B186" s="17" t="s">
        <v>314</v>
      </c>
      <c r="C186" s="17" t="s">
        <v>56</v>
      </c>
      <c r="D186" s="17" t="s">
        <v>16</v>
      </c>
      <c r="E186" s="18">
        <f>ROUND(6817*1.05,2)</f>
      </c>
      <c r="F186" s="17" t="s">
        <v>17</v>
      </c>
      <c r="G186" s="17" t="s">
        <v>18</v>
      </c>
      <c r="H186" s="18">
        <f>ROUND(RAND()*4+6,1)</f>
      </c>
      <c r="I186" s="17" t="s">
        <v>19</v>
      </c>
      <c r="J186" s="19">
        <f>ROUND(95*1,0)&amp;"%"</f>
      </c>
    </row>
    <row x14ac:dyDescent="0.25" r="187" customHeight="1" ht="17.25">
      <c r="A187" s="20" t="s">
        <v>1262</v>
      </c>
      <c r="B187" s="20" t="s">
        <v>316</v>
      </c>
      <c r="C187" s="20" t="s">
        <v>56</v>
      </c>
      <c r="D187" s="20" t="s">
        <v>22</v>
      </c>
      <c r="E187" s="21">
        <f>ROUND(15599*1.05,2)</f>
      </c>
      <c r="F187" s="20" t="s">
        <v>23</v>
      </c>
      <c r="G187" s="20" t="s">
        <v>24</v>
      </c>
      <c r="H187" s="21">
        <f>ROUND(RAND()*4+6,1)</f>
      </c>
      <c r="I187" s="20" t="s">
        <v>25</v>
      </c>
      <c r="J187" s="23">
        <f>ROUND(81*1,0)&amp;"%"</f>
      </c>
    </row>
    <row x14ac:dyDescent="0.25" r="188" customHeight="1" ht="17.25">
      <c r="A188" s="17" t="s">
        <v>1263</v>
      </c>
      <c r="B188" s="17" t="s">
        <v>318</v>
      </c>
      <c r="C188" s="17" t="s">
        <v>56</v>
      </c>
      <c r="D188" s="17" t="s">
        <v>28</v>
      </c>
      <c r="E188" s="18">
        <f>ROUND(16577*1.05,2)</f>
      </c>
      <c r="F188" s="17" t="s">
        <v>29</v>
      </c>
      <c r="G188" s="17" t="s">
        <v>30</v>
      </c>
      <c r="H188" s="18">
        <f>ROUND(RAND()*4+6,1)</f>
      </c>
      <c r="I188" s="17" t="s">
        <v>31</v>
      </c>
      <c r="J188" s="19">
        <f>ROUND(67*1,0)&amp;"%"</f>
      </c>
    </row>
    <row x14ac:dyDescent="0.25" r="189" customHeight="1" ht="17.25">
      <c r="A189" s="20" t="s">
        <v>1264</v>
      </c>
      <c r="B189" s="20" t="s">
        <v>320</v>
      </c>
      <c r="C189" s="20" t="s">
        <v>56</v>
      </c>
      <c r="D189" s="20" t="s">
        <v>34</v>
      </c>
      <c r="E189" s="22">
        <f>ROUND(13180*1.05,2)</f>
      </c>
      <c r="F189" s="20" t="s">
        <v>35</v>
      </c>
      <c r="G189" s="20" t="s">
        <v>18</v>
      </c>
      <c r="H189" s="21">
        <f>ROUND(RAND()*4+6,1)</f>
      </c>
      <c r="I189" s="20" t="s">
        <v>36</v>
      </c>
      <c r="J189" s="23">
        <f>ROUND(68*1,0)&amp;"%"</f>
      </c>
    </row>
    <row x14ac:dyDescent="0.25" r="190" customHeight="1" ht="17.25">
      <c r="A190" s="17" t="s">
        <v>1265</v>
      </c>
      <c r="B190" s="17" t="s">
        <v>322</v>
      </c>
      <c r="C190" s="17" t="s">
        <v>56</v>
      </c>
      <c r="D190" s="17" t="s">
        <v>39</v>
      </c>
      <c r="E190" s="18">
        <f>ROUND(6331*1.05,2)</f>
      </c>
      <c r="F190" s="17" t="s">
        <v>40</v>
      </c>
      <c r="G190" s="17" t="s">
        <v>24</v>
      </c>
      <c r="H190" s="18">
        <f>ROUND(RAND()*4+6,1)</f>
      </c>
      <c r="I190" s="17" t="s">
        <v>41</v>
      </c>
      <c r="J190" s="19">
        <f>ROUND(98*1,0)&amp;"%"</f>
      </c>
    </row>
    <row x14ac:dyDescent="0.25" r="191" customHeight="1" ht="17.25">
      <c r="A191" s="20" t="s">
        <v>1266</v>
      </c>
      <c r="B191" s="20" t="s">
        <v>324</v>
      </c>
      <c r="C191" s="20" t="s">
        <v>56</v>
      </c>
      <c r="D191" s="20" t="s">
        <v>67</v>
      </c>
      <c r="E191" s="21">
        <f>ROUND(14957*1.05,2)</f>
      </c>
      <c r="F191" s="20" t="s">
        <v>44</v>
      </c>
      <c r="G191" s="20" t="s">
        <v>30</v>
      </c>
      <c r="H191" s="21">
        <f>ROUND(RAND()*4+6,1)</f>
      </c>
      <c r="I191" s="20" t="s">
        <v>45</v>
      </c>
      <c r="J191" s="23">
        <f>ROUND(83*1,0)&amp;"%"</f>
      </c>
    </row>
    <row x14ac:dyDescent="0.25" r="192" customHeight="1" ht="17.25">
      <c r="A192" s="17" t="s">
        <v>1267</v>
      </c>
      <c r="B192" s="17" t="s">
        <v>326</v>
      </c>
      <c r="C192" s="17" t="s">
        <v>56</v>
      </c>
      <c r="D192" s="17" t="s">
        <v>16</v>
      </c>
      <c r="E192" s="18">
        <f>ROUND(9514*1.05,2)</f>
      </c>
      <c r="F192" s="17" t="s">
        <v>48</v>
      </c>
      <c r="G192" s="17" t="s">
        <v>18</v>
      </c>
      <c r="H192" s="18">
        <f>ROUND(RAND()*4+6,1)</f>
      </c>
      <c r="I192" s="17" t="s">
        <v>19</v>
      </c>
      <c r="J192" s="19">
        <f>ROUND(62*1,0)&amp;"%"</f>
      </c>
    </row>
    <row x14ac:dyDescent="0.25" r="193" customHeight="1" ht="17.25">
      <c r="A193" s="20" t="s">
        <v>1268</v>
      </c>
      <c r="B193" s="20" t="s">
        <v>328</v>
      </c>
      <c r="C193" s="20" t="s">
        <v>56</v>
      </c>
      <c r="D193" s="20" t="s">
        <v>22</v>
      </c>
      <c r="E193" s="21">
        <f>ROUND(5845*1.05,2)</f>
      </c>
      <c r="F193" s="20" t="s">
        <v>51</v>
      </c>
      <c r="G193" s="20" t="s">
        <v>24</v>
      </c>
      <c r="H193" s="21">
        <f>ROUND(RAND()*4+6,1)</f>
      </c>
      <c r="I193" s="20" t="s">
        <v>25</v>
      </c>
      <c r="J193" s="23">
        <f>ROUND(97*1,0)&amp;"%"</f>
      </c>
    </row>
    <row x14ac:dyDescent="0.25" r="194" customHeight="1" ht="17.25">
      <c r="A194" s="24" t="s">
        <v>329</v>
      </c>
      <c r="B194" s="24"/>
      <c r="C194" s="24"/>
      <c r="D194" s="24"/>
      <c r="E194" s="25">
        <v>8</v>
      </c>
      <c r="F194" s="9"/>
      <c r="G194" s="9"/>
      <c r="H194" s="10"/>
      <c r="I194" s="9"/>
      <c r="J194" s="9"/>
    </row>
    <row x14ac:dyDescent="0.25" r="195" customHeight="1" ht="17.25">
      <c r="A195" s="7"/>
      <c r="B195" s="7"/>
      <c r="C195" s="7"/>
      <c r="D195" s="7"/>
      <c r="E195" s="8"/>
      <c r="F195" s="9"/>
      <c r="G195" s="9"/>
      <c r="H195" s="10"/>
      <c r="I195" s="9"/>
      <c r="J195" s="9"/>
    </row>
    <row x14ac:dyDescent="0.25" r="196" customHeight="1" ht="17.25">
      <c r="A196" s="11" t="s">
        <v>1269</v>
      </c>
      <c r="B196" s="11"/>
      <c r="C196" s="11"/>
      <c r="D196" s="11"/>
      <c r="E196" s="12"/>
      <c r="F196" s="11"/>
      <c r="G196" s="11"/>
      <c r="H196" s="13"/>
      <c r="I196" s="11"/>
      <c r="J196" s="11"/>
    </row>
    <row x14ac:dyDescent="0.25" r="197" customHeight="1" ht="17.25">
      <c r="A197" s="14" t="s">
        <v>3</v>
      </c>
      <c r="B197" s="14" t="s">
        <v>4</v>
      </c>
      <c r="C197" s="14" t="s">
        <v>5</v>
      </c>
      <c r="D197" s="14" t="s">
        <v>6</v>
      </c>
      <c r="E197" s="15" t="s">
        <v>7</v>
      </c>
      <c r="F197" s="14" t="s">
        <v>8</v>
      </c>
      <c r="G197" s="14" t="s">
        <v>9</v>
      </c>
      <c r="H197" s="16" t="s">
        <v>10</v>
      </c>
      <c r="I197" s="14" t="s">
        <v>11</v>
      </c>
      <c r="J197" s="14" t="s">
        <v>12</v>
      </c>
    </row>
    <row x14ac:dyDescent="0.25" r="198" customHeight="1" ht="17.25">
      <c r="A198" s="17" t="s">
        <v>1270</v>
      </c>
      <c r="B198" s="17" t="s">
        <v>332</v>
      </c>
      <c r="C198" s="17" t="s">
        <v>76</v>
      </c>
      <c r="D198" s="17" t="s">
        <v>16</v>
      </c>
      <c r="E198" s="18">
        <f>ROUND(14153*1.05,2)</f>
      </c>
      <c r="F198" s="17" t="s">
        <v>17</v>
      </c>
      <c r="G198" s="17" t="s">
        <v>18</v>
      </c>
      <c r="H198" s="18">
        <f>ROUND(RAND()*4+6,1)</f>
      </c>
      <c r="I198" s="17" t="s">
        <v>19</v>
      </c>
      <c r="J198" s="19">
        <f>ROUND(84*1,0)&amp;"%"</f>
      </c>
    </row>
    <row x14ac:dyDescent="0.25" r="199" customHeight="1" ht="17.25">
      <c r="A199" s="20" t="s">
        <v>1271</v>
      </c>
      <c r="B199" s="20" t="s">
        <v>334</v>
      </c>
      <c r="C199" s="20" t="s">
        <v>76</v>
      </c>
      <c r="D199" s="20" t="s">
        <v>22</v>
      </c>
      <c r="E199" s="21">
        <f>ROUND(6107*1.05,2)</f>
      </c>
      <c r="F199" s="20" t="s">
        <v>23</v>
      </c>
      <c r="G199" s="20" t="s">
        <v>24</v>
      </c>
      <c r="H199" s="21">
        <f>ROUND(RAND()*4+6,1)</f>
      </c>
      <c r="I199" s="20" t="s">
        <v>25</v>
      </c>
      <c r="J199" s="23">
        <f>ROUND(92*1,0)&amp;"%"</f>
      </c>
    </row>
    <row x14ac:dyDescent="0.25" r="200" customHeight="1" ht="17.25">
      <c r="A200" s="17" t="s">
        <v>1272</v>
      </c>
      <c r="B200" s="17" t="s">
        <v>336</v>
      </c>
      <c r="C200" s="17" t="s">
        <v>76</v>
      </c>
      <c r="D200" s="17" t="s">
        <v>28</v>
      </c>
      <c r="E200" s="18">
        <f>ROUND(14704*1.05,2)</f>
      </c>
      <c r="F200" s="17" t="s">
        <v>29</v>
      </c>
      <c r="G200" s="17" t="s">
        <v>30</v>
      </c>
      <c r="H200" s="18">
        <f>ROUND(RAND()*4+6,1)</f>
      </c>
      <c r="I200" s="17" t="s">
        <v>31</v>
      </c>
      <c r="J200" s="19">
        <f>ROUND(92*1,0)&amp;"%"</f>
      </c>
    </row>
    <row x14ac:dyDescent="0.25" r="201" customHeight="1" ht="17.25">
      <c r="A201" s="20" t="s">
        <v>1273</v>
      </c>
      <c r="B201" s="20" t="s">
        <v>338</v>
      </c>
      <c r="C201" s="20" t="s">
        <v>76</v>
      </c>
      <c r="D201" s="20" t="s">
        <v>34</v>
      </c>
      <c r="E201" s="21">
        <f>ROUND(7503*1.05,2)</f>
      </c>
      <c r="F201" s="20" t="s">
        <v>35</v>
      </c>
      <c r="G201" s="20" t="s">
        <v>18</v>
      </c>
      <c r="H201" s="21">
        <f>ROUND(RAND()*4+6,1)</f>
      </c>
      <c r="I201" s="20" t="s">
        <v>36</v>
      </c>
      <c r="J201" s="23">
        <f>ROUND(85*1,0)&amp;"%"</f>
      </c>
    </row>
    <row x14ac:dyDescent="0.25" r="202" customHeight="1" ht="17.25">
      <c r="A202" s="17" t="s">
        <v>1274</v>
      </c>
      <c r="B202" s="17" t="s">
        <v>340</v>
      </c>
      <c r="C202" s="17" t="s">
        <v>76</v>
      </c>
      <c r="D202" s="17" t="s">
        <v>39</v>
      </c>
      <c r="E202" s="18">
        <f>ROUND(13437*1.05,2)</f>
      </c>
      <c r="F202" s="17" t="s">
        <v>40</v>
      </c>
      <c r="G202" s="17" t="s">
        <v>24</v>
      </c>
      <c r="H202" s="18">
        <f>ROUND(RAND()*4+6,1)</f>
      </c>
      <c r="I202" s="17" t="s">
        <v>41</v>
      </c>
      <c r="J202" s="19">
        <f>ROUND(73*1,0)&amp;"%"</f>
      </c>
    </row>
    <row x14ac:dyDescent="0.25" r="203" customHeight="1" ht="17.25">
      <c r="A203" s="20" t="s">
        <v>1275</v>
      </c>
      <c r="B203" s="20" t="s">
        <v>342</v>
      </c>
      <c r="C203" s="20" t="s">
        <v>76</v>
      </c>
      <c r="D203" s="20" t="s">
        <v>67</v>
      </c>
      <c r="E203" s="21">
        <f>ROUND(12157*1.05,2)</f>
      </c>
      <c r="F203" s="20" t="s">
        <v>44</v>
      </c>
      <c r="G203" s="20" t="s">
        <v>30</v>
      </c>
      <c r="H203" s="22">
        <f>ROUND(RAND()*4+6,1)</f>
      </c>
      <c r="I203" s="20" t="s">
        <v>45</v>
      </c>
      <c r="J203" s="23">
        <f>ROUND(97*1,0)&amp;"%"</f>
      </c>
    </row>
    <row x14ac:dyDescent="0.25" r="204" customHeight="1" ht="17.25">
      <c r="A204" s="17" t="s">
        <v>1276</v>
      </c>
      <c r="B204" s="17" t="s">
        <v>344</v>
      </c>
      <c r="C204" s="17" t="s">
        <v>76</v>
      </c>
      <c r="D204" s="17" t="s">
        <v>16</v>
      </c>
      <c r="E204" s="18">
        <f>ROUND(12557*1.05,2)</f>
      </c>
      <c r="F204" s="17" t="s">
        <v>48</v>
      </c>
      <c r="G204" s="17" t="s">
        <v>18</v>
      </c>
      <c r="H204" s="18">
        <f>ROUND(RAND()*4+6,1)</f>
      </c>
      <c r="I204" s="17" t="s">
        <v>19</v>
      </c>
      <c r="J204" s="19">
        <f>ROUND(69*1,0)&amp;"%"</f>
      </c>
    </row>
    <row x14ac:dyDescent="0.25" r="205" customHeight="1" ht="17.25">
      <c r="A205" s="20" t="s">
        <v>1277</v>
      </c>
      <c r="B205" s="20" t="s">
        <v>346</v>
      </c>
      <c r="C205" s="20" t="s">
        <v>76</v>
      </c>
      <c r="D205" s="20" t="s">
        <v>22</v>
      </c>
      <c r="E205" s="21">
        <f>ROUND(4906*1.05,2)</f>
      </c>
      <c r="F205" s="20" t="s">
        <v>51</v>
      </c>
      <c r="G205" s="20" t="s">
        <v>24</v>
      </c>
      <c r="H205" s="21">
        <f>ROUND(RAND()*4+6,1)</f>
      </c>
      <c r="I205" s="20" t="s">
        <v>25</v>
      </c>
      <c r="J205" s="23">
        <f>ROUND(92*1,0)&amp;"%"</f>
      </c>
    </row>
    <row x14ac:dyDescent="0.25" r="206" customHeight="1" ht="17.25">
      <c r="A206" s="24" t="s">
        <v>347</v>
      </c>
      <c r="B206" s="24"/>
      <c r="C206" s="24"/>
      <c r="D206" s="24"/>
      <c r="E206" s="25">
        <v>8</v>
      </c>
      <c r="F206" s="9"/>
      <c r="G206" s="9"/>
      <c r="H206" s="10"/>
      <c r="I206" s="9"/>
      <c r="J206" s="9"/>
    </row>
    <row x14ac:dyDescent="0.25" r="207" customHeight="1" ht="17.25">
      <c r="A207" s="7"/>
      <c r="B207" s="7"/>
      <c r="C207" s="7"/>
      <c r="D207" s="7"/>
      <c r="E207" s="8"/>
      <c r="F207" s="9"/>
      <c r="G207" s="9"/>
      <c r="H207" s="10"/>
      <c r="I207" s="9"/>
      <c r="J207" s="9"/>
    </row>
    <row x14ac:dyDescent="0.25" r="208" customHeight="1" ht="17.25">
      <c r="A208" s="11" t="s">
        <v>1278</v>
      </c>
      <c r="B208" s="11"/>
      <c r="C208" s="11"/>
      <c r="D208" s="11"/>
      <c r="E208" s="12"/>
      <c r="F208" s="11"/>
      <c r="G208" s="11"/>
      <c r="H208" s="13"/>
      <c r="I208" s="11"/>
      <c r="J208" s="11"/>
    </row>
    <row x14ac:dyDescent="0.25" r="209" customHeight="1" ht="17.25">
      <c r="A209" s="14" t="s">
        <v>3</v>
      </c>
      <c r="B209" s="14" t="s">
        <v>4</v>
      </c>
      <c r="C209" s="14" t="s">
        <v>5</v>
      </c>
      <c r="D209" s="14" t="s">
        <v>6</v>
      </c>
      <c r="E209" s="15" t="s">
        <v>7</v>
      </c>
      <c r="F209" s="14" t="s">
        <v>8</v>
      </c>
      <c r="G209" s="14" t="s">
        <v>9</v>
      </c>
      <c r="H209" s="16" t="s">
        <v>10</v>
      </c>
      <c r="I209" s="14" t="s">
        <v>11</v>
      </c>
      <c r="J209" s="14" t="s">
        <v>12</v>
      </c>
    </row>
    <row x14ac:dyDescent="0.25" r="210" customHeight="1" ht="17.25">
      <c r="A210" s="17" t="s">
        <v>1279</v>
      </c>
      <c r="B210" s="17" t="s">
        <v>350</v>
      </c>
      <c r="C210" s="17" t="s">
        <v>95</v>
      </c>
      <c r="D210" s="17" t="s">
        <v>16</v>
      </c>
      <c r="E210" s="18">
        <f>ROUND(10734*1.05,2)</f>
      </c>
      <c r="F210" s="17" t="s">
        <v>17</v>
      </c>
      <c r="G210" s="17" t="s">
        <v>18</v>
      </c>
      <c r="H210" s="18">
        <f>ROUND(RAND()*4+6,1)</f>
      </c>
      <c r="I210" s="17" t="s">
        <v>19</v>
      </c>
      <c r="J210" s="19">
        <f>ROUND(64*1,0)&amp;"%"</f>
      </c>
    </row>
    <row x14ac:dyDescent="0.25" r="211" customHeight="1" ht="17.25">
      <c r="A211" s="20" t="s">
        <v>1280</v>
      </c>
      <c r="B211" s="20" t="s">
        <v>352</v>
      </c>
      <c r="C211" s="20" t="s">
        <v>95</v>
      </c>
      <c r="D211" s="20" t="s">
        <v>22</v>
      </c>
      <c r="E211" s="21">
        <f>ROUND(6296*1.05,2)</f>
      </c>
      <c r="F211" s="20" t="s">
        <v>23</v>
      </c>
      <c r="G211" s="20" t="s">
        <v>24</v>
      </c>
      <c r="H211" s="21">
        <f>ROUND(RAND()*4+6,1)</f>
      </c>
      <c r="I211" s="20" t="s">
        <v>25</v>
      </c>
      <c r="J211" s="23">
        <f>ROUND(65*1,0)&amp;"%"</f>
      </c>
    </row>
    <row x14ac:dyDescent="0.25" r="212" customHeight="1" ht="17.25">
      <c r="A212" s="17" t="s">
        <v>1281</v>
      </c>
      <c r="B212" s="17" t="s">
        <v>354</v>
      </c>
      <c r="C212" s="17" t="s">
        <v>95</v>
      </c>
      <c r="D212" s="17" t="s">
        <v>28</v>
      </c>
      <c r="E212" s="18">
        <f>ROUND(14431*1.05,2)</f>
      </c>
      <c r="F212" s="17" t="s">
        <v>29</v>
      </c>
      <c r="G212" s="17" t="s">
        <v>30</v>
      </c>
      <c r="H212" s="18">
        <f>ROUND(RAND()*4+6,1)</f>
      </c>
      <c r="I212" s="17" t="s">
        <v>31</v>
      </c>
      <c r="J212" s="19">
        <f>ROUND(75*1,0)&amp;"%"</f>
      </c>
    </row>
    <row x14ac:dyDescent="0.25" r="213" customHeight="1" ht="17.25">
      <c r="A213" s="20" t="s">
        <v>1282</v>
      </c>
      <c r="B213" s="20" t="s">
        <v>356</v>
      </c>
      <c r="C213" s="20" t="s">
        <v>95</v>
      </c>
      <c r="D213" s="20" t="s">
        <v>34</v>
      </c>
      <c r="E213" s="21">
        <f>ROUND(16068*1.05,2)</f>
      </c>
      <c r="F213" s="20" t="s">
        <v>35</v>
      </c>
      <c r="G213" s="20" t="s">
        <v>18</v>
      </c>
      <c r="H213" s="21">
        <f>ROUND(RAND()*4+6,1)</f>
      </c>
      <c r="I213" s="20" t="s">
        <v>36</v>
      </c>
      <c r="J213" s="23">
        <f>ROUND(85*1,0)&amp;"%"</f>
      </c>
    </row>
    <row x14ac:dyDescent="0.25" r="214" customHeight="1" ht="17.25">
      <c r="A214" s="17" t="s">
        <v>1283</v>
      </c>
      <c r="B214" s="17" t="s">
        <v>358</v>
      </c>
      <c r="C214" s="17" t="s">
        <v>95</v>
      </c>
      <c r="D214" s="17" t="s">
        <v>39</v>
      </c>
      <c r="E214" s="18">
        <f>ROUND(5457*1.05,2)</f>
      </c>
      <c r="F214" s="17" t="s">
        <v>40</v>
      </c>
      <c r="G214" s="17" t="s">
        <v>24</v>
      </c>
      <c r="H214" s="18">
        <f>ROUND(RAND()*4+6,1)</f>
      </c>
      <c r="I214" s="17" t="s">
        <v>41</v>
      </c>
      <c r="J214" s="19">
        <f>ROUND(98*1,0)&amp;"%"</f>
      </c>
    </row>
    <row x14ac:dyDescent="0.25" r="215" customHeight="1" ht="17.25">
      <c r="A215" s="20" t="s">
        <v>1284</v>
      </c>
      <c r="B215" s="20" t="s">
        <v>360</v>
      </c>
      <c r="C215" s="20" t="s">
        <v>95</v>
      </c>
      <c r="D215" s="20" t="s">
        <v>67</v>
      </c>
      <c r="E215" s="21">
        <f>ROUND(5350*1.05,2)</f>
      </c>
      <c r="F215" s="20" t="s">
        <v>44</v>
      </c>
      <c r="G215" s="20" t="s">
        <v>30</v>
      </c>
      <c r="H215" s="22">
        <f>ROUND(RAND()*4+6,1)</f>
      </c>
      <c r="I215" s="20" t="s">
        <v>45</v>
      </c>
      <c r="J215" s="23">
        <f>ROUND(67*1,0)&amp;"%"</f>
      </c>
    </row>
    <row x14ac:dyDescent="0.25" r="216" customHeight="1" ht="17.25">
      <c r="A216" s="17" t="s">
        <v>1285</v>
      </c>
      <c r="B216" s="17" t="s">
        <v>362</v>
      </c>
      <c r="C216" s="17" t="s">
        <v>95</v>
      </c>
      <c r="D216" s="17" t="s">
        <v>16</v>
      </c>
      <c r="E216" s="18">
        <f>ROUND(17831*1.05,2)</f>
      </c>
      <c r="F216" s="17" t="s">
        <v>48</v>
      </c>
      <c r="G216" s="17" t="s">
        <v>18</v>
      </c>
      <c r="H216" s="18">
        <f>ROUND(RAND()*4+6,1)</f>
      </c>
      <c r="I216" s="17" t="s">
        <v>19</v>
      </c>
      <c r="J216" s="19">
        <f>ROUND(80*1,0)&amp;"%"</f>
      </c>
    </row>
    <row x14ac:dyDescent="0.25" r="217" customHeight="1" ht="17.25">
      <c r="A217" s="20" t="s">
        <v>1286</v>
      </c>
      <c r="B217" s="20" t="s">
        <v>364</v>
      </c>
      <c r="C217" s="20" t="s">
        <v>95</v>
      </c>
      <c r="D217" s="20" t="s">
        <v>22</v>
      </c>
      <c r="E217" s="21">
        <f>ROUND(13418*1.05,2)</f>
      </c>
      <c r="F217" s="20" t="s">
        <v>51</v>
      </c>
      <c r="G217" s="20" t="s">
        <v>24</v>
      </c>
      <c r="H217" s="21">
        <f>ROUND(RAND()*4+6,1)</f>
      </c>
      <c r="I217" s="20" t="s">
        <v>25</v>
      </c>
      <c r="J217" s="23">
        <f>ROUND(87*1,0)&amp;"%"</f>
      </c>
    </row>
    <row x14ac:dyDescent="0.25" r="218" customHeight="1" ht="17.25">
      <c r="A218" s="24" t="s">
        <v>365</v>
      </c>
      <c r="B218" s="24"/>
      <c r="C218" s="24"/>
      <c r="D218" s="24"/>
      <c r="E218" s="25">
        <v>8</v>
      </c>
      <c r="F218" s="9"/>
      <c r="G218" s="9"/>
      <c r="H218" s="10"/>
      <c r="I218" s="9"/>
      <c r="J218" s="9"/>
    </row>
    <row x14ac:dyDescent="0.25" r="219" customHeight="1" ht="17.25">
      <c r="A219" s="7"/>
      <c r="B219" s="7"/>
      <c r="C219" s="7"/>
      <c r="D219" s="7"/>
      <c r="E219" s="8"/>
      <c r="F219" s="9"/>
      <c r="G219" s="9"/>
      <c r="H219" s="10"/>
      <c r="I219" s="9"/>
      <c r="J219" s="9"/>
    </row>
    <row x14ac:dyDescent="0.25" r="220" customHeight="1" ht="17.25">
      <c r="A220" s="11" t="s">
        <v>1287</v>
      </c>
      <c r="B220" s="11"/>
      <c r="C220" s="11"/>
      <c r="D220" s="11"/>
      <c r="E220" s="12"/>
      <c r="F220" s="11"/>
      <c r="G220" s="11"/>
      <c r="H220" s="13"/>
      <c r="I220" s="11"/>
      <c r="J220" s="11"/>
    </row>
    <row x14ac:dyDescent="0.25" r="221" customHeight="1" ht="17.25">
      <c r="A221" s="14" t="s">
        <v>3</v>
      </c>
      <c r="B221" s="14" t="s">
        <v>4</v>
      </c>
      <c r="C221" s="14" t="s">
        <v>5</v>
      </c>
      <c r="D221" s="14" t="s">
        <v>6</v>
      </c>
      <c r="E221" s="15" t="s">
        <v>7</v>
      </c>
      <c r="F221" s="14" t="s">
        <v>8</v>
      </c>
      <c r="G221" s="14" t="s">
        <v>9</v>
      </c>
      <c r="H221" s="16" t="s">
        <v>10</v>
      </c>
      <c r="I221" s="14" t="s">
        <v>11</v>
      </c>
      <c r="J221" s="14" t="s">
        <v>12</v>
      </c>
    </row>
    <row x14ac:dyDescent="0.25" r="222" customHeight="1" ht="17.25">
      <c r="A222" s="17" t="s">
        <v>1288</v>
      </c>
      <c r="B222" s="17" t="s">
        <v>368</v>
      </c>
      <c r="C222" s="17" t="s">
        <v>114</v>
      </c>
      <c r="D222" s="17" t="s">
        <v>16</v>
      </c>
      <c r="E222" s="18">
        <f>ROUND(4386*1.05,2)</f>
      </c>
      <c r="F222" s="17" t="s">
        <v>17</v>
      </c>
      <c r="G222" s="17" t="s">
        <v>18</v>
      </c>
      <c r="H222" s="18">
        <f>ROUND(RAND()*4+6,1)</f>
      </c>
      <c r="I222" s="17" t="s">
        <v>19</v>
      </c>
      <c r="J222" s="19">
        <f>ROUND(72*1,0)&amp;"%"</f>
      </c>
    </row>
    <row x14ac:dyDescent="0.25" r="223" customHeight="1" ht="17.25">
      <c r="A223" s="20" t="s">
        <v>1289</v>
      </c>
      <c r="B223" s="20" t="s">
        <v>370</v>
      </c>
      <c r="C223" s="20" t="s">
        <v>114</v>
      </c>
      <c r="D223" s="20" t="s">
        <v>22</v>
      </c>
      <c r="E223" s="21">
        <f>ROUND(12574*1.05,2)</f>
      </c>
      <c r="F223" s="20" t="s">
        <v>23</v>
      </c>
      <c r="G223" s="20" t="s">
        <v>24</v>
      </c>
      <c r="H223" s="21">
        <f>ROUND(RAND()*4+6,1)</f>
      </c>
      <c r="I223" s="20" t="s">
        <v>25</v>
      </c>
      <c r="J223" s="23">
        <f>ROUND(96*1,0)&amp;"%"</f>
      </c>
    </row>
    <row x14ac:dyDescent="0.25" r="224" customHeight="1" ht="17.25">
      <c r="A224" s="17" t="s">
        <v>1290</v>
      </c>
      <c r="B224" s="17" t="s">
        <v>372</v>
      </c>
      <c r="C224" s="17" t="s">
        <v>114</v>
      </c>
      <c r="D224" s="17" t="s">
        <v>28</v>
      </c>
      <c r="E224" s="18">
        <f>ROUND(7423*1.05,2)</f>
      </c>
      <c r="F224" s="17" t="s">
        <v>29</v>
      </c>
      <c r="G224" s="17" t="s">
        <v>30</v>
      </c>
      <c r="H224" s="26">
        <f>ROUND(RAND()*4+6,1)</f>
      </c>
      <c r="I224" s="17" t="s">
        <v>31</v>
      </c>
      <c r="J224" s="19">
        <f>ROUND(87*1,0)&amp;"%"</f>
      </c>
    </row>
    <row x14ac:dyDescent="0.25" r="225" customHeight="1" ht="17.25">
      <c r="A225" s="20" t="s">
        <v>1291</v>
      </c>
      <c r="B225" s="20" t="s">
        <v>374</v>
      </c>
      <c r="C225" s="20" t="s">
        <v>114</v>
      </c>
      <c r="D225" s="20" t="s">
        <v>34</v>
      </c>
      <c r="E225" s="21">
        <f>ROUND(17472*1.05,2)</f>
      </c>
      <c r="F225" s="20" t="s">
        <v>35</v>
      </c>
      <c r="G225" s="20" t="s">
        <v>18</v>
      </c>
      <c r="H225" s="21">
        <f>ROUND(RAND()*4+6,1)</f>
      </c>
      <c r="I225" s="20" t="s">
        <v>36</v>
      </c>
      <c r="J225" s="23">
        <f>ROUND(71*1,0)&amp;"%"</f>
      </c>
    </row>
    <row x14ac:dyDescent="0.25" r="226" customHeight="1" ht="17.25">
      <c r="A226" s="17" t="s">
        <v>1292</v>
      </c>
      <c r="B226" s="17" t="s">
        <v>376</v>
      </c>
      <c r="C226" s="17" t="s">
        <v>114</v>
      </c>
      <c r="D226" s="17" t="s">
        <v>39</v>
      </c>
      <c r="E226" s="18">
        <f>ROUND(15339*1.05,2)</f>
      </c>
      <c r="F226" s="17" t="s">
        <v>40</v>
      </c>
      <c r="G226" s="17" t="s">
        <v>24</v>
      </c>
      <c r="H226" s="18">
        <f>ROUND(RAND()*4+6,1)</f>
      </c>
      <c r="I226" s="17" t="s">
        <v>41</v>
      </c>
      <c r="J226" s="19">
        <f>ROUND(90*1,0)&amp;"%"</f>
      </c>
    </row>
    <row x14ac:dyDescent="0.25" r="227" customHeight="1" ht="17.25">
      <c r="A227" s="20" t="s">
        <v>1293</v>
      </c>
      <c r="B227" s="20" t="s">
        <v>378</v>
      </c>
      <c r="C227" s="20" t="s">
        <v>114</v>
      </c>
      <c r="D227" s="20" t="s">
        <v>67</v>
      </c>
      <c r="E227" s="22">
        <f>ROUND(15480*1.05,2)</f>
      </c>
      <c r="F227" s="20" t="s">
        <v>44</v>
      </c>
      <c r="G227" s="20" t="s">
        <v>30</v>
      </c>
      <c r="H227" s="21">
        <f>ROUND(RAND()*4+6,1)</f>
      </c>
      <c r="I227" s="20" t="s">
        <v>45</v>
      </c>
      <c r="J227" s="23">
        <f>ROUND(88*1,0)&amp;"%"</f>
      </c>
    </row>
    <row x14ac:dyDescent="0.25" r="228" customHeight="1" ht="17.25">
      <c r="A228" s="17" t="s">
        <v>1294</v>
      </c>
      <c r="B228" s="17" t="s">
        <v>380</v>
      </c>
      <c r="C228" s="17" t="s">
        <v>114</v>
      </c>
      <c r="D228" s="17" t="s">
        <v>16</v>
      </c>
      <c r="E228" s="18">
        <f>ROUND(17661*1.05,2)</f>
      </c>
      <c r="F228" s="17" t="s">
        <v>48</v>
      </c>
      <c r="G228" s="17" t="s">
        <v>18</v>
      </c>
      <c r="H228" s="18">
        <f>ROUND(RAND()*4+6,1)</f>
      </c>
      <c r="I228" s="17" t="s">
        <v>19</v>
      </c>
      <c r="J228" s="19">
        <f>ROUND(86*1,0)&amp;"%"</f>
      </c>
    </row>
    <row x14ac:dyDescent="0.25" r="229" customHeight="1" ht="17.25">
      <c r="A229" s="20" t="s">
        <v>1295</v>
      </c>
      <c r="B229" s="20" t="s">
        <v>382</v>
      </c>
      <c r="C229" s="20" t="s">
        <v>114</v>
      </c>
      <c r="D229" s="20" t="s">
        <v>22</v>
      </c>
      <c r="E229" s="21">
        <f>ROUND(11958*1.05,2)</f>
      </c>
      <c r="F229" s="20" t="s">
        <v>51</v>
      </c>
      <c r="G229" s="20" t="s">
        <v>24</v>
      </c>
      <c r="H229" s="21">
        <f>ROUND(RAND()*4+6,1)</f>
      </c>
      <c r="I229" s="20" t="s">
        <v>25</v>
      </c>
      <c r="J229" s="23">
        <f>ROUND(100*1,0)&amp;"%"</f>
      </c>
    </row>
    <row x14ac:dyDescent="0.25" r="230" customHeight="1" ht="17.25">
      <c r="A230" s="24" t="s">
        <v>383</v>
      </c>
      <c r="B230" s="24"/>
      <c r="C230" s="24"/>
      <c r="D230" s="24"/>
      <c r="E230" s="25">
        <v>8</v>
      </c>
      <c r="F230" s="9"/>
      <c r="G230" s="9"/>
      <c r="H230" s="10"/>
      <c r="I230" s="9"/>
      <c r="J230" s="9"/>
    </row>
    <row x14ac:dyDescent="0.25" r="231" customHeight="1" ht="17.25">
      <c r="A231" s="7"/>
      <c r="B231" s="7"/>
      <c r="C231" s="7"/>
      <c r="D231" s="7"/>
      <c r="E231" s="8"/>
      <c r="F231" s="9"/>
      <c r="G231" s="9"/>
      <c r="H231" s="10"/>
      <c r="I231" s="9"/>
      <c r="J231" s="9"/>
    </row>
    <row x14ac:dyDescent="0.25" r="232" customHeight="1" ht="17.25">
      <c r="A232" s="11" t="s">
        <v>1296</v>
      </c>
      <c r="B232" s="11"/>
      <c r="C232" s="11"/>
      <c r="D232" s="11"/>
      <c r="E232" s="12"/>
      <c r="F232" s="11"/>
      <c r="G232" s="11"/>
      <c r="H232" s="13"/>
      <c r="I232" s="11"/>
      <c r="J232" s="11"/>
    </row>
    <row x14ac:dyDescent="0.25" r="233" customHeight="1" ht="17.25">
      <c r="A233" s="14" t="s">
        <v>3</v>
      </c>
      <c r="B233" s="14" t="s">
        <v>4</v>
      </c>
      <c r="C233" s="14" t="s">
        <v>5</v>
      </c>
      <c r="D233" s="14" t="s">
        <v>6</v>
      </c>
      <c r="E233" s="15" t="s">
        <v>7</v>
      </c>
      <c r="F233" s="14" t="s">
        <v>8</v>
      </c>
      <c r="G233" s="14" t="s">
        <v>9</v>
      </c>
      <c r="H233" s="16" t="s">
        <v>10</v>
      </c>
      <c r="I233" s="14" t="s">
        <v>11</v>
      </c>
      <c r="J233" s="14" t="s">
        <v>12</v>
      </c>
    </row>
    <row x14ac:dyDescent="0.25" r="234" customHeight="1" ht="17.25">
      <c r="A234" s="17" t="s">
        <v>1297</v>
      </c>
      <c r="B234" s="17" t="s">
        <v>386</v>
      </c>
      <c r="C234" s="17" t="s">
        <v>133</v>
      </c>
      <c r="D234" s="17" t="s">
        <v>16</v>
      </c>
      <c r="E234" s="18">
        <f>ROUND(16645*1.05,2)</f>
      </c>
      <c r="F234" s="17" t="s">
        <v>17</v>
      </c>
      <c r="G234" s="17" t="s">
        <v>18</v>
      </c>
      <c r="H234" s="18">
        <f>ROUND(RAND()*4+6,1)</f>
      </c>
      <c r="I234" s="17" t="s">
        <v>19</v>
      </c>
      <c r="J234" s="19">
        <f>ROUND(100*1,0)&amp;"%"</f>
      </c>
    </row>
    <row x14ac:dyDescent="0.25" r="235" customHeight="1" ht="17.25">
      <c r="A235" s="20" t="s">
        <v>1298</v>
      </c>
      <c r="B235" s="20" t="s">
        <v>388</v>
      </c>
      <c r="C235" s="20" t="s">
        <v>133</v>
      </c>
      <c r="D235" s="20" t="s">
        <v>22</v>
      </c>
      <c r="E235" s="21">
        <f>ROUND(17133*1.05,2)</f>
      </c>
      <c r="F235" s="20" t="s">
        <v>23</v>
      </c>
      <c r="G235" s="20" t="s">
        <v>24</v>
      </c>
      <c r="H235" s="21">
        <f>ROUND(RAND()*4+6,1)</f>
      </c>
      <c r="I235" s="20" t="s">
        <v>25</v>
      </c>
      <c r="J235" s="23">
        <f>ROUND(80*1,0)&amp;"%"</f>
      </c>
    </row>
    <row x14ac:dyDescent="0.25" r="236" customHeight="1" ht="17.25">
      <c r="A236" s="17" t="s">
        <v>1299</v>
      </c>
      <c r="B236" s="17" t="s">
        <v>390</v>
      </c>
      <c r="C236" s="17" t="s">
        <v>133</v>
      </c>
      <c r="D236" s="17" t="s">
        <v>28</v>
      </c>
      <c r="E236" s="18">
        <f>ROUND(14635*1.05,2)</f>
      </c>
      <c r="F236" s="17" t="s">
        <v>29</v>
      </c>
      <c r="G236" s="17" t="s">
        <v>30</v>
      </c>
      <c r="H236" s="18">
        <f>ROUND(RAND()*4+6,1)</f>
      </c>
      <c r="I236" s="17" t="s">
        <v>31</v>
      </c>
      <c r="J236" s="19">
        <f>ROUND(85*1,0)&amp;"%"</f>
      </c>
    </row>
    <row x14ac:dyDescent="0.25" r="237" customHeight="1" ht="17.25">
      <c r="A237" s="20" t="s">
        <v>1300</v>
      </c>
      <c r="B237" s="20" t="s">
        <v>392</v>
      </c>
      <c r="C237" s="20" t="s">
        <v>133</v>
      </c>
      <c r="D237" s="20" t="s">
        <v>34</v>
      </c>
      <c r="E237" s="21">
        <f>ROUND(15976*1.05,2)</f>
      </c>
      <c r="F237" s="20" t="s">
        <v>35</v>
      </c>
      <c r="G237" s="20" t="s">
        <v>18</v>
      </c>
      <c r="H237" s="21">
        <f>ROUND(RAND()*4+6,1)</f>
      </c>
      <c r="I237" s="20" t="s">
        <v>36</v>
      </c>
      <c r="J237" s="23">
        <f>ROUND(81*1,0)&amp;"%"</f>
      </c>
    </row>
    <row x14ac:dyDescent="0.25" r="238" customHeight="1" ht="17.25">
      <c r="A238" s="17" t="s">
        <v>1301</v>
      </c>
      <c r="B238" s="17" t="s">
        <v>394</v>
      </c>
      <c r="C238" s="17" t="s">
        <v>133</v>
      </c>
      <c r="D238" s="17" t="s">
        <v>39</v>
      </c>
      <c r="E238" s="18">
        <f>ROUND(6897*1.05,2)</f>
      </c>
      <c r="F238" s="17" t="s">
        <v>40</v>
      </c>
      <c r="G238" s="17" t="s">
        <v>24</v>
      </c>
      <c r="H238" s="26">
        <f>ROUND(RAND()*4+6,1)</f>
      </c>
      <c r="I238" s="17" t="s">
        <v>41</v>
      </c>
      <c r="J238" s="19">
        <f>ROUND(72*1,0)&amp;"%"</f>
      </c>
    </row>
    <row x14ac:dyDescent="0.25" r="239" customHeight="1" ht="17.25">
      <c r="A239" s="20" t="s">
        <v>1302</v>
      </c>
      <c r="B239" s="20" t="s">
        <v>396</v>
      </c>
      <c r="C239" s="20" t="s">
        <v>133</v>
      </c>
      <c r="D239" s="20" t="s">
        <v>67</v>
      </c>
      <c r="E239" s="21">
        <f>ROUND(9699*1.05,2)</f>
      </c>
      <c r="F239" s="20" t="s">
        <v>44</v>
      </c>
      <c r="G239" s="20" t="s">
        <v>30</v>
      </c>
      <c r="H239" s="21">
        <f>ROUND(RAND()*4+6,1)</f>
      </c>
      <c r="I239" s="20" t="s">
        <v>45</v>
      </c>
      <c r="J239" s="23">
        <f>ROUND(60*1,0)&amp;"%"</f>
      </c>
    </row>
    <row x14ac:dyDescent="0.25" r="240" customHeight="1" ht="17.25">
      <c r="A240" s="17" t="s">
        <v>1303</v>
      </c>
      <c r="B240" s="17" t="s">
        <v>398</v>
      </c>
      <c r="C240" s="17" t="s">
        <v>133</v>
      </c>
      <c r="D240" s="17" t="s">
        <v>16</v>
      </c>
      <c r="E240" s="18">
        <f>ROUND(17610*1.05,2)</f>
      </c>
      <c r="F240" s="17" t="s">
        <v>48</v>
      </c>
      <c r="G240" s="17" t="s">
        <v>18</v>
      </c>
      <c r="H240" s="18">
        <f>ROUND(RAND()*4+6,1)</f>
      </c>
      <c r="I240" s="17" t="s">
        <v>19</v>
      </c>
      <c r="J240" s="19">
        <f>ROUND(61*1,0)&amp;"%"</f>
      </c>
    </row>
    <row x14ac:dyDescent="0.25" r="241" customHeight="1" ht="17.25">
      <c r="A241" s="20" t="s">
        <v>1304</v>
      </c>
      <c r="B241" s="20" t="s">
        <v>400</v>
      </c>
      <c r="C241" s="20" t="s">
        <v>133</v>
      </c>
      <c r="D241" s="20" t="s">
        <v>22</v>
      </c>
      <c r="E241" s="21">
        <f>ROUND(4651*1.05,2)</f>
      </c>
      <c r="F241" s="20" t="s">
        <v>51</v>
      </c>
      <c r="G241" s="20" t="s">
        <v>24</v>
      </c>
      <c r="H241" s="22">
        <f>ROUND(RAND()*4+6,1)</f>
      </c>
      <c r="I241" s="20" t="s">
        <v>25</v>
      </c>
      <c r="J241" s="23">
        <f>ROUND(84*1,0)&amp;"%"</f>
      </c>
    </row>
    <row x14ac:dyDescent="0.25" r="242" customHeight="1" ht="17.25">
      <c r="A242" s="24" t="s">
        <v>401</v>
      </c>
      <c r="B242" s="24"/>
      <c r="C242" s="24"/>
      <c r="D242" s="24"/>
      <c r="E242" s="25">
        <v>8</v>
      </c>
      <c r="F242" s="9"/>
      <c r="G242" s="9"/>
      <c r="H242" s="10"/>
      <c r="I242" s="9"/>
      <c r="J242" s="9"/>
    </row>
    <row x14ac:dyDescent="0.25" r="243" customHeight="1" ht="17.25">
      <c r="A243" s="7"/>
      <c r="B243" s="7"/>
      <c r="C243" s="7"/>
      <c r="D243" s="7"/>
      <c r="E243" s="8"/>
      <c r="F243" s="9"/>
      <c r="G243" s="9"/>
      <c r="H243" s="10"/>
      <c r="I243" s="9"/>
      <c r="J243" s="9"/>
    </row>
    <row x14ac:dyDescent="0.25" r="244" customHeight="1" ht="17.25">
      <c r="A244" s="11" t="s">
        <v>1305</v>
      </c>
      <c r="B244" s="11"/>
      <c r="C244" s="11"/>
      <c r="D244" s="11"/>
      <c r="E244" s="12"/>
      <c r="F244" s="11"/>
      <c r="G244" s="11"/>
      <c r="H244" s="13"/>
      <c r="I244" s="11"/>
      <c r="J244" s="11"/>
    </row>
    <row x14ac:dyDescent="0.25" r="245" customHeight="1" ht="17.25">
      <c r="A245" s="14" t="s">
        <v>3</v>
      </c>
      <c r="B245" s="14" t="s">
        <v>4</v>
      </c>
      <c r="C245" s="14" t="s">
        <v>5</v>
      </c>
      <c r="D245" s="14" t="s">
        <v>6</v>
      </c>
      <c r="E245" s="15" t="s">
        <v>7</v>
      </c>
      <c r="F245" s="14" t="s">
        <v>8</v>
      </c>
      <c r="G245" s="14" t="s">
        <v>9</v>
      </c>
      <c r="H245" s="16" t="s">
        <v>10</v>
      </c>
      <c r="I245" s="14" t="s">
        <v>11</v>
      </c>
      <c r="J245" s="14" t="s">
        <v>12</v>
      </c>
    </row>
    <row x14ac:dyDescent="0.25" r="246" customHeight="1" ht="17.25">
      <c r="A246" s="17" t="s">
        <v>1306</v>
      </c>
      <c r="B246" s="17" t="s">
        <v>404</v>
      </c>
      <c r="C246" s="17" t="s">
        <v>152</v>
      </c>
      <c r="D246" s="17" t="s">
        <v>16</v>
      </c>
      <c r="E246" s="18">
        <f>ROUND(15316*1.05,2)</f>
      </c>
      <c r="F246" s="17" t="s">
        <v>17</v>
      </c>
      <c r="G246" s="17" t="s">
        <v>18</v>
      </c>
      <c r="H246" s="18">
        <f>ROUND(RAND()*4+6,1)</f>
      </c>
      <c r="I246" s="17" t="s">
        <v>19</v>
      </c>
      <c r="J246" s="19">
        <f>ROUND(61*1,0)&amp;"%"</f>
      </c>
    </row>
    <row x14ac:dyDescent="0.25" r="247" customHeight="1" ht="17.25">
      <c r="A247" s="20" t="s">
        <v>1307</v>
      </c>
      <c r="B247" s="20" t="s">
        <v>406</v>
      </c>
      <c r="C247" s="20" t="s">
        <v>152</v>
      </c>
      <c r="D247" s="20" t="s">
        <v>22</v>
      </c>
      <c r="E247" s="21">
        <f>ROUND(13028*1.05,2)</f>
      </c>
      <c r="F247" s="20" t="s">
        <v>23</v>
      </c>
      <c r="G247" s="20" t="s">
        <v>24</v>
      </c>
      <c r="H247" s="21">
        <f>ROUND(RAND()*4+6,1)</f>
      </c>
      <c r="I247" s="20" t="s">
        <v>25</v>
      </c>
      <c r="J247" s="23">
        <f>ROUND(73*1,0)&amp;"%"</f>
      </c>
    </row>
    <row x14ac:dyDescent="0.25" r="248" customHeight="1" ht="17.25">
      <c r="A248" s="17" t="s">
        <v>1308</v>
      </c>
      <c r="B248" s="17" t="s">
        <v>408</v>
      </c>
      <c r="C248" s="17" t="s">
        <v>152</v>
      </c>
      <c r="D248" s="17" t="s">
        <v>28</v>
      </c>
      <c r="E248" s="18">
        <f>ROUND(16252*1.05,2)</f>
      </c>
      <c r="F248" s="17" t="s">
        <v>29</v>
      </c>
      <c r="G248" s="17" t="s">
        <v>30</v>
      </c>
      <c r="H248" s="18">
        <f>ROUND(RAND()*4+6,1)</f>
      </c>
      <c r="I248" s="17" t="s">
        <v>31</v>
      </c>
      <c r="J248" s="19">
        <f>ROUND(60*1,0)&amp;"%"</f>
      </c>
    </row>
    <row x14ac:dyDescent="0.25" r="249" customHeight="1" ht="17.25">
      <c r="A249" s="20" t="s">
        <v>1309</v>
      </c>
      <c r="B249" s="20" t="s">
        <v>410</v>
      </c>
      <c r="C249" s="20" t="s">
        <v>152</v>
      </c>
      <c r="D249" s="20" t="s">
        <v>34</v>
      </c>
      <c r="E249" s="21">
        <f>ROUND(15313*1.05,2)</f>
      </c>
      <c r="F249" s="20" t="s">
        <v>35</v>
      </c>
      <c r="G249" s="20" t="s">
        <v>18</v>
      </c>
      <c r="H249" s="21">
        <f>ROUND(RAND()*4+6,1)</f>
      </c>
      <c r="I249" s="20" t="s">
        <v>36</v>
      </c>
      <c r="J249" s="23">
        <f>ROUND(83*1,0)&amp;"%"</f>
      </c>
    </row>
    <row x14ac:dyDescent="0.25" r="250" customHeight="1" ht="17.25">
      <c r="A250" s="17" t="s">
        <v>1310</v>
      </c>
      <c r="B250" s="17" t="s">
        <v>412</v>
      </c>
      <c r="C250" s="17" t="s">
        <v>152</v>
      </c>
      <c r="D250" s="17" t="s">
        <v>39</v>
      </c>
      <c r="E250" s="18">
        <f>ROUND(5023*1.05,2)</f>
      </c>
      <c r="F250" s="17" t="s">
        <v>40</v>
      </c>
      <c r="G250" s="17" t="s">
        <v>24</v>
      </c>
      <c r="H250" s="18">
        <f>ROUND(RAND()*4+6,1)</f>
      </c>
      <c r="I250" s="17" t="s">
        <v>41</v>
      </c>
      <c r="J250" s="19">
        <f>ROUND(80*1,0)&amp;"%"</f>
      </c>
    </row>
    <row x14ac:dyDescent="0.25" r="251" customHeight="1" ht="17.25">
      <c r="A251" s="20" t="s">
        <v>1311</v>
      </c>
      <c r="B251" s="20" t="s">
        <v>414</v>
      </c>
      <c r="C251" s="20" t="s">
        <v>152</v>
      </c>
      <c r="D251" s="20" t="s">
        <v>67</v>
      </c>
      <c r="E251" s="21">
        <f>ROUND(4012*1.05,2)</f>
      </c>
      <c r="F251" s="20" t="s">
        <v>44</v>
      </c>
      <c r="G251" s="20" t="s">
        <v>30</v>
      </c>
      <c r="H251" s="21">
        <f>ROUND(RAND()*4+6,1)</f>
      </c>
      <c r="I251" s="20" t="s">
        <v>45</v>
      </c>
      <c r="J251" s="23">
        <f>ROUND(73*1,0)&amp;"%"</f>
      </c>
    </row>
    <row x14ac:dyDescent="0.25" r="252" customHeight="1" ht="17.25">
      <c r="A252" s="17" t="s">
        <v>1312</v>
      </c>
      <c r="B252" s="17" t="s">
        <v>416</v>
      </c>
      <c r="C252" s="17" t="s">
        <v>152</v>
      </c>
      <c r="D252" s="17" t="s">
        <v>16</v>
      </c>
      <c r="E252" s="18">
        <f>ROUND(4056*1.05,2)</f>
      </c>
      <c r="F252" s="17" t="s">
        <v>48</v>
      </c>
      <c r="G252" s="17" t="s">
        <v>18</v>
      </c>
      <c r="H252" s="18">
        <f>ROUND(RAND()*4+6,1)</f>
      </c>
      <c r="I252" s="17" t="s">
        <v>19</v>
      </c>
      <c r="J252" s="19">
        <f>ROUND(72*1,0)&amp;"%"</f>
      </c>
    </row>
    <row x14ac:dyDescent="0.25" r="253" customHeight="1" ht="17.25">
      <c r="A253" s="20" t="s">
        <v>1313</v>
      </c>
      <c r="B253" s="20" t="s">
        <v>418</v>
      </c>
      <c r="C253" s="20" t="s">
        <v>152</v>
      </c>
      <c r="D253" s="20" t="s">
        <v>22</v>
      </c>
      <c r="E253" s="21">
        <f>ROUND(16603*1.05,2)</f>
      </c>
      <c r="F253" s="20" t="s">
        <v>51</v>
      </c>
      <c r="G253" s="20" t="s">
        <v>24</v>
      </c>
      <c r="H253" s="21">
        <f>ROUND(RAND()*4+6,1)</f>
      </c>
      <c r="I253" s="20" t="s">
        <v>25</v>
      </c>
      <c r="J253" s="23">
        <f>ROUND(66*1,0)&amp;"%"</f>
      </c>
    </row>
    <row x14ac:dyDescent="0.25" r="254" customHeight="1" ht="17.25">
      <c r="A254" s="24" t="s">
        <v>419</v>
      </c>
      <c r="B254" s="24"/>
      <c r="C254" s="24"/>
      <c r="D254" s="24"/>
      <c r="E254" s="25">
        <v>8</v>
      </c>
      <c r="F254" s="9"/>
      <c r="G254" s="9"/>
      <c r="H254" s="10"/>
      <c r="I254" s="9"/>
      <c r="J254" s="9"/>
    </row>
    <row x14ac:dyDescent="0.25" r="255" customHeight="1" ht="17.25">
      <c r="A255" s="7"/>
      <c r="B255" s="7"/>
      <c r="C255" s="7"/>
      <c r="D255" s="7"/>
      <c r="E255" s="8"/>
      <c r="F255" s="9"/>
      <c r="G255" s="9"/>
      <c r="H255" s="10"/>
      <c r="I255" s="9"/>
      <c r="J255" s="9"/>
    </row>
    <row x14ac:dyDescent="0.25" r="256" customHeight="1" ht="17.25">
      <c r="A256" s="11" t="s">
        <v>1314</v>
      </c>
      <c r="B256" s="11"/>
      <c r="C256" s="11"/>
      <c r="D256" s="11"/>
      <c r="E256" s="12"/>
      <c r="F256" s="11"/>
      <c r="G256" s="11"/>
      <c r="H256" s="13"/>
      <c r="I256" s="11"/>
      <c r="J256" s="11"/>
    </row>
    <row x14ac:dyDescent="0.25" r="257" customHeight="1" ht="17.25">
      <c r="A257" s="14" t="s">
        <v>3</v>
      </c>
      <c r="B257" s="14" t="s">
        <v>4</v>
      </c>
      <c r="C257" s="14" t="s">
        <v>5</v>
      </c>
      <c r="D257" s="14" t="s">
        <v>6</v>
      </c>
      <c r="E257" s="15" t="s">
        <v>7</v>
      </c>
      <c r="F257" s="14" t="s">
        <v>8</v>
      </c>
      <c r="G257" s="14" t="s">
        <v>9</v>
      </c>
      <c r="H257" s="16" t="s">
        <v>10</v>
      </c>
      <c r="I257" s="14" t="s">
        <v>11</v>
      </c>
      <c r="J257" s="14" t="s">
        <v>12</v>
      </c>
    </row>
    <row x14ac:dyDescent="0.25" r="258" customHeight="1" ht="17.25">
      <c r="A258" s="17" t="s">
        <v>1315</v>
      </c>
      <c r="B258" s="17" t="s">
        <v>422</v>
      </c>
      <c r="C258" s="17" t="s">
        <v>15</v>
      </c>
      <c r="D258" s="17" t="s">
        <v>16</v>
      </c>
      <c r="E258" s="18">
        <f>ROUND(16741*1.05,2)</f>
      </c>
      <c r="F258" s="17" t="s">
        <v>17</v>
      </c>
      <c r="G258" s="17" t="s">
        <v>18</v>
      </c>
      <c r="H258" s="18">
        <f>ROUND(RAND()*4+6,1)</f>
      </c>
      <c r="I258" s="17" t="s">
        <v>19</v>
      </c>
      <c r="J258" s="19">
        <f>ROUND(61*1,0)&amp;"%"</f>
      </c>
    </row>
    <row x14ac:dyDescent="0.25" r="259" customHeight="1" ht="17.25">
      <c r="A259" s="20" t="s">
        <v>1316</v>
      </c>
      <c r="B259" s="20" t="s">
        <v>424</v>
      </c>
      <c r="C259" s="20" t="s">
        <v>15</v>
      </c>
      <c r="D259" s="20" t="s">
        <v>22</v>
      </c>
      <c r="E259" s="21">
        <f>ROUND(4917*1.05,2)</f>
      </c>
      <c r="F259" s="20" t="s">
        <v>23</v>
      </c>
      <c r="G259" s="20" t="s">
        <v>24</v>
      </c>
      <c r="H259" s="21">
        <f>ROUND(RAND()*4+6,1)</f>
      </c>
      <c r="I259" s="20" t="s">
        <v>25</v>
      </c>
      <c r="J259" s="23">
        <f>ROUND(65*1,0)&amp;"%"</f>
      </c>
    </row>
    <row x14ac:dyDescent="0.25" r="260" customHeight="1" ht="17.25">
      <c r="A260" s="17" t="s">
        <v>1317</v>
      </c>
      <c r="B260" s="17" t="s">
        <v>426</v>
      </c>
      <c r="C260" s="17" t="s">
        <v>15</v>
      </c>
      <c r="D260" s="17" t="s">
        <v>28</v>
      </c>
      <c r="E260" s="18">
        <f>ROUND(13705*1.05,2)</f>
      </c>
      <c r="F260" s="17" t="s">
        <v>29</v>
      </c>
      <c r="G260" s="17" t="s">
        <v>30</v>
      </c>
      <c r="H260" s="18">
        <f>ROUND(RAND()*4+6,1)</f>
      </c>
      <c r="I260" s="17" t="s">
        <v>31</v>
      </c>
      <c r="J260" s="19">
        <f>ROUND(77*1,0)&amp;"%"</f>
      </c>
    </row>
    <row x14ac:dyDescent="0.25" r="261" customHeight="1" ht="17.25">
      <c r="A261" s="20" t="s">
        <v>1318</v>
      </c>
      <c r="B261" s="20" t="s">
        <v>428</v>
      </c>
      <c r="C261" s="20" t="s">
        <v>15</v>
      </c>
      <c r="D261" s="20" t="s">
        <v>34</v>
      </c>
      <c r="E261" s="21">
        <f>ROUND(13534*1.05,2)</f>
      </c>
      <c r="F261" s="20" t="s">
        <v>35</v>
      </c>
      <c r="G261" s="20" t="s">
        <v>18</v>
      </c>
      <c r="H261" s="21">
        <f>ROUND(RAND()*4+6,1)</f>
      </c>
      <c r="I261" s="20" t="s">
        <v>36</v>
      </c>
      <c r="J261" s="23">
        <f>ROUND(78*1,0)&amp;"%"</f>
      </c>
    </row>
    <row x14ac:dyDescent="0.25" r="262" customHeight="1" ht="17.25">
      <c r="A262" s="17" t="s">
        <v>1319</v>
      </c>
      <c r="B262" s="17" t="s">
        <v>430</v>
      </c>
      <c r="C262" s="17" t="s">
        <v>15</v>
      </c>
      <c r="D262" s="17" t="s">
        <v>39</v>
      </c>
      <c r="E262" s="18">
        <f>ROUND(9812*1.05,2)</f>
      </c>
      <c r="F262" s="17" t="s">
        <v>40</v>
      </c>
      <c r="G262" s="17" t="s">
        <v>24</v>
      </c>
      <c r="H262" s="18">
        <f>ROUND(RAND()*4+6,1)</f>
      </c>
      <c r="I262" s="17" t="s">
        <v>41</v>
      </c>
      <c r="J262" s="19">
        <f>ROUND(91*1,0)&amp;"%"</f>
      </c>
    </row>
    <row x14ac:dyDescent="0.25" r="263" customHeight="1" ht="17.25">
      <c r="A263" s="20" t="s">
        <v>1320</v>
      </c>
      <c r="B263" s="20" t="s">
        <v>432</v>
      </c>
      <c r="C263" s="20" t="s">
        <v>15</v>
      </c>
      <c r="D263" s="20" t="s">
        <v>67</v>
      </c>
      <c r="E263" s="21">
        <f>ROUND(13285*1.05,2)</f>
      </c>
      <c r="F263" s="20" t="s">
        <v>44</v>
      </c>
      <c r="G263" s="20" t="s">
        <v>30</v>
      </c>
      <c r="H263" s="21">
        <f>ROUND(RAND()*4+6,1)</f>
      </c>
      <c r="I263" s="20" t="s">
        <v>45</v>
      </c>
      <c r="J263" s="23">
        <f>ROUND(74*1,0)&amp;"%"</f>
      </c>
    </row>
    <row x14ac:dyDescent="0.25" r="264" customHeight="1" ht="17.25">
      <c r="A264" s="17" t="s">
        <v>1321</v>
      </c>
      <c r="B264" s="17" t="s">
        <v>434</v>
      </c>
      <c r="C264" s="17" t="s">
        <v>15</v>
      </c>
      <c r="D264" s="17" t="s">
        <v>16</v>
      </c>
      <c r="E264" s="18">
        <f>ROUND(14239*1.05,2)</f>
      </c>
      <c r="F264" s="17" t="s">
        <v>48</v>
      </c>
      <c r="G264" s="17" t="s">
        <v>18</v>
      </c>
      <c r="H264" s="18">
        <f>ROUND(RAND()*4+6,1)</f>
      </c>
      <c r="I264" s="17" t="s">
        <v>19</v>
      </c>
      <c r="J264" s="19">
        <f>ROUND(94*1,0)&amp;"%"</f>
      </c>
    </row>
    <row x14ac:dyDescent="0.25" r="265" customHeight="1" ht="17.25">
      <c r="A265" s="20" t="s">
        <v>1322</v>
      </c>
      <c r="B265" s="20" t="s">
        <v>436</v>
      </c>
      <c r="C265" s="20" t="s">
        <v>15</v>
      </c>
      <c r="D265" s="20" t="s">
        <v>22</v>
      </c>
      <c r="E265" s="21">
        <f>ROUND(9593*1.05,2)</f>
      </c>
      <c r="F265" s="20" t="s">
        <v>51</v>
      </c>
      <c r="G265" s="20" t="s">
        <v>24</v>
      </c>
      <c r="H265" s="21">
        <f>ROUND(RAND()*4+6,1)</f>
      </c>
      <c r="I265" s="20" t="s">
        <v>25</v>
      </c>
      <c r="J265" s="23">
        <f>ROUND(91*1,0)&amp;"%"</f>
      </c>
    </row>
    <row x14ac:dyDescent="0.25" r="266" customHeight="1" ht="17.25">
      <c r="A266" s="24" t="s">
        <v>437</v>
      </c>
      <c r="B266" s="24"/>
      <c r="C266" s="24"/>
      <c r="D266" s="24"/>
      <c r="E266" s="25">
        <v>8</v>
      </c>
      <c r="F266" s="9"/>
      <c r="G266" s="9"/>
      <c r="H266" s="10"/>
      <c r="I266" s="9"/>
      <c r="J266" s="9"/>
    </row>
    <row x14ac:dyDescent="0.25" r="267" customHeight="1" ht="17.25">
      <c r="A267" s="7"/>
      <c r="B267" s="7"/>
      <c r="C267" s="7"/>
      <c r="D267" s="7"/>
      <c r="E267" s="8"/>
      <c r="F267" s="9"/>
      <c r="G267" s="9"/>
      <c r="H267" s="10"/>
      <c r="I267" s="9"/>
      <c r="J267" s="9"/>
    </row>
    <row x14ac:dyDescent="0.25" r="268" customHeight="1" ht="17.25">
      <c r="A268" s="11" t="s">
        <v>1323</v>
      </c>
      <c r="B268" s="11"/>
      <c r="C268" s="11"/>
      <c r="D268" s="11"/>
      <c r="E268" s="12"/>
      <c r="F268" s="11"/>
      <c r="G268" s="11"/>
      <c r="H268" s="13"/>
      <c r="I268" s="11"/>
      <c r="J268" s="11"/>
    </row>
    <row x14ac:dyDescent="0.25" r="269" customHeight="1" ht="17.25">
      <c r="A269" s="14" t="s">
        <v>3</v>
      </c>
      <c r="B269" s="14" t="s">
        <v>4</v>
      </c>
      <c r="C269" s="14" t="s">
        <v>5</v>
      </c>
      <c r="D269" s="14" t="s">
        <v>6</v>
      </c>
      <c r="E269" s="15" t="s">
        <v>7</v>
      </c>
      <c r="F269" s="14" t="s">
        <v>8</v>
      </c>
      <c r="G269" s="14" t="s">
        <v>9</v>
      </c>
      <c r="H269" s="16" t="s">
        <v>10</v>
      </c>
      <c r="I269" s="14" t="s">
        <v>11</v>
      </c>
      <c r="J269" s="14" t="s">
        <v>12</v>
      </c>
    </row>
    <row x14ac:dyDescent="0.25" r="270" customHeight="1" ht="17.25">
      <c r="A270" s="17" t="s">
        <v>1324</v>
      </c>
      <c r="B270" s="17" t="s">
        <v>440</v>
      </c>
      <c r="C270" s="17" t="s">
        <v>56</v>
      </c>
      <c r="D270" s="17" t="s">
        <v>16</v>
      </c>
      <c r="E270" s="18">
        <f>ROUND(5433*1.05,2)</f>
      </c>
      <c r="F270" s="17" t="s">
        <v>17</v>
      </c>
      <c r="G270" s="17" t="s">
        <v>18</v>
      </c>
      <c r="H270" s="18">
        <f>ROUND(RAND()*4+6,1)</f>
      </c>
      <c r="I270" s="17" t="s">
        <v>19</v>
      </c>
      <c r="J270" s="19">
        <f>ROUND(97*1,0)&amp;"%"</f>
      </c>
    </row>
    <row x14ac:dyDescent="0.25" r="271" customHeight="1" ht="17.25">
      <c r="A271" s="20" t="s">
        <v>1325</v>
      </c>
      <c r="B271" s="20" t="s">
        <v>442</v>
      </c>
      <c r="C271" s="20" t="s">
        <v>56</v>
      </c>
      <c r="D271" s="20" t="s">
        <v>22</v>
      </c>
      <c r="E271" s="21">
        <f>ROUND(6447*1.05,2)</f>
      </c>
      <c r="F271" s="20" t="s">
        <v>23</v>
      </c>
      <c r="G271" s="20" t="s">
        <v>24</v>
      </c>
      <c r="H271" s="21">
        <f>ROUND(RAND()*4+6,1)</f>
      </c>
      <c r="I271" s="20" t="s">
        <v>25</v>
      </c>
      <c r="J271" s="23">
        <f>ROUND(60*1,0)&amp;"%"</f>
      </c>
    </row>
    <row x14ac:dyDescent="0.25" r="272" customHeight="1" ht="17.25">
      <c r="A272" s="17" t="s">
        <v>1326</v>
      </c>
      <c r="B272" s="17" t="s">
        <v>444</v>
      </c>
      <c r="C272" s="17" t="s">
        <v>56</v>
      </c>
      <c r="D272" s="17" t="s">
        <v>28</v>
      </c>
      <c r="E272" s="18">
        <f>ROUND(13515*1.05,2)</f>
      </c>
      <c r="F272" s="17" t="s">
        <v>29</v>
      </c>
      <c r="G272" s="17" t="s">
        <v>30</v>
      </c>
      <c r="H272" s="18">
        <f>ROUND(RAND()*4+6,1)</f>
      </c>
      <c r="I272" s="17" t="s">
        <v>31</v>
      </c>
      <c r="J272" s="19">
        <f>ROUND(94*1,0)&amp;"%"</f>
      </c>
    </row>
    <row x14ac:dyDescent="0.25" r="273" customHeight="1" ht="17.25">
      <c r="A273" s="20" t="s">
        <v>1327</v>
      </c>
      <c r="B273" s="20" t="s">
        <v>446</v>
      </c>
      <c r="C273" s="20" t="s">
        <v>56</v>
      </c>
      <c r="D273" s="20" t="s">
        <v>34</v>
      </c>
      <c r="E273" s="21">
        <f>ROUND(7027*1.05,2)</f>
      </c>
      <c r="F273" s="20" t="s">
        <v>35</v>
      </c>
      <c r="G273" s="20" t="s">
        <v>18</v>
      </c>
      <c r="H273" s="22">
        <f>ROUND(RAND()*4+6,1)</f>
      </c>
      <c r="I273" s="20" t="s">
        <v>36</v>
      </c>
      <c r="J273" s="23">
        <f>ROUND(76*1,0)&amp;"%"</f>
      </c>
    </row>
    <row x14ac:dyDescent="0.25" r="274" customHeight="1" ht="17.25">
      <c r="A274" s="17" t="s">
        <v>1328</v>
      </c>
      <c r="B274" s="17" t="s">
        <v>448</v>
      </c>
      <c r="C274" s="17" t="s">
        <v>56</v>
      </c>
      <c r="D274" s="17" t="s">
        <v>39</v>
      </c>
      <c r="E274" s="18">
        <f>ROUND(10612*1.05,2)</f>
      </c>
      <c r="F274" s="17" t="s">
        <v>40</v>
      </c>
      <c r="G274" s="17" t="s">
        <v>24</v>
      </c>
      <c r="H274" s="18">
        <f>ROUND(RAND()*4+6,1)</f>
      </c>
      <c r="I274" s="17" t="s">
        <v>41</v>
      </c>
      <c r="J274" s="19">
        <f>ROUND(66*1,0)&amp;"%"</f>
      </c>
    </row>
    <row x14ac:dyDescent="0.25" r="275" customHeight="1" ht="17.25">
      <c r="A275" s="20" t="s">
        <v>1329</v>
      </c>
      <c r="B275" s="20" t="s">
        <v>450</v>
      </c>
      <c r="C275" s="20" t="s">
        <v>56</v>
      </c>
      <c r="D275" s="20" t="s">
        <v>67</v>
      </c>
      <c r="E275" s="21">
        <f>ROUND(6773*1.05,2)</f>
      </c>
      <c r="F275" s="20" t="s">
        <v>44</v>
      </c>
      <c r="G275" s="20" t="s">
        <v>30</v>
      </c>
      <c r="H275" s="21">
        <f>ROUND(RAND()*4+6,1)</f>
      </c>
      <c r="I275" s="20" t="s">
        <v>45</v>
      </c>
      <c r="J275" s="23">
        <f>ROUND(60*1,0)&amp;"%"</f>
      </c>
    </row>
    <row x14ac:dyDescent="0.25" r="276" customHeight="1" ht="17.25">
      <c r="A276" s="17" t="s">
        <v>1330</v>
      </c>
      <c r="B276" s="17" t="s">
        <v>452</v>
      </c>
      <c r="C276" s="17" t="s">
        <v>56</v>
      </c>
      <c r="D276" s="17" t="s">
        <v>16</v>
      </c>
      <c r="E276" s="18">
        <f>ROUND(17929*1.05,2)</f>
      </c>
      <c r="F276" s="17" t="s">
        <v>48</v>
      </c>
      <c r="G276" s="17" t="s">
        <v>18</v>
      </c>
      <c r="H276" s="18">
        <f>ROUND(RAND()*4+6,1)</f>
      </c>
      <c r="I276" s="17" t="s">
        <v>19</v>
      </c>
      <c r="J276" s="19">
        <f>ROUND(73*1,0)&amp;"%"</f>
      </c>
    </row>
    <row x14ac:dyDescent="0.25" r="277" customHeight="1" ht="17.25">
      <c r="A277" s="20" t="s">
        <v>1331</v>
      </c>
      <c r="B277" s="20" t="s">
        <v>454</v>
      </c>
      <c r="C277" s="20" t="s">
        <v>56</v>
      </c>
      <c r="D277" s="20" t="s">
        <v>22</v>
      </c>
      <c r="E277" s="21">
        <f>ROUND(8994*1.05,2)</f>
      </c>
      <c r="F277" s="20" t="s">
        <v>51</v>
      </c>
      <c r="G277" s="20" t="s">
        <v>24</v>
      </c>
      <c r="H277" s="21">
        <f>ROUND(RAND()*4+6,1)</f>
      </c>
      <c r="I277" s="20" t="s">
        <v>25</v>
      </c>
      <c r="J277" s="23">
        <f>ROUND(74*1,0)&amp;"%"</f>
      </c>
    </row>
    <row x14ac:dyDescent="0.25" r="278" customHeight="1" ht="17.25">
      <c r="A278" s="24" t="s">
        <v>455</v>
      </c>
      <c r="B278" s="24"/>
      <c r="C278" s="24"/>
      <c r="D278" s="24"/>
      <c r="E278" s="25">
        <v>8</v>
      </c>
      <c r="F278" s="9"/>
      <c r="G278" s="9"/>
      <c r="H278" s="10"/>
      <c r="I278" s="9"/>
      <c r="J278" s="9"/>
    </row>
    <row x14ac:dyDescent="0.25" r="279" customHeight="1" ht="17.25">
      <c r="A279" s="7"/>
      <c r="B279" s="7"/>
      <c r="C279" s="7"/>
      <c r="D279" s="7"/>
      <c r="E279" s="8"/>
      <c r="F279" s="9"/>
      <c r="G279" s="9"/>
      <c r="H279" s="10"/>
      <c r="I279" s="9"/>
      <c r="J279" s="9"/>
    </row>
    <row x14ac:dyDescent="0.25" r="280" customHeight="1" ht="17.25">
      <c r="A280" s="11" t="s">
        <v>1332</v>
      </c>
      <c r="B280" s="11"/>
      <c r="C280" s="11"/>
      <c r="D280" s="11"/>
      <c r="E280" s="12"/>
      <c r="F280" s="11"/>
      <c r="G280" s="11"/>
      <c r="H280" s="13"/>
      <c r="I280" s="11"/>
      <c r="J280" s="11"/>
    </row>
    <row x14ac:dyDescent="0.25" r="281" customHeight="1" ht="17.25">
      <c r="A281" s="14" t="s">
        <v>3</v>
      </c>
      <c r="B281" s="14" t="s">
        <v>4</v>
      </c>
      <c r="C281" s="14" t="s">
        <v>5</v>
      </c>
      <c r="D281" s="14" t="s">
        <v>6</v>
      </c>
      <c r="E281" s="15" t="s">
        <v>7</v>
      </c>
      <c r="F281" s="14" t="s">
        <v>8</v>
      </c>
      <c r="G281" s="14" t="s">
        <v>9</v>
      </c>
      <c r="H281" s="16" t="s">
        <v>10</v>
      </c>
      <c r="I281" s="14" t="s">
        <v>11</v>
      </c>
      <c r="J281" s="14" t="s">
        <v>12</v>
      </c>
    </row>
    <row x14ac:dyDescent="0.25" r="282" customHeight="1" ht="17.25">
      <c r="A282" s="17" t="s">
        <v>1333</v>
      </c>
      <c r="B282" s="17" t="s">
        <v>458</v>
      </c>
      <c r="C282" s="17" t="s">
        <v>76</v>
      </c>
      <c r="D282" s="17" t="s">
        <v>16</v>
      </c>
      <c r="E282" s="18">
        <f>ROUND(10755*1.05,2)</f>
      </c>
      <c r="F282" s="17" t="s">
        <v>17</v>
      </c>
      <c r="G282" s="17" t="s">
        <v>18</v>
      </c>
      <c r="H282" s="18">
        <f>ROUND(RAND()*4+6,1)</f>
      </c>
      <c r="I282" s="17" t="s">
        <v>19</v>
      </c>
      <c r="J282" s="19">
        <f>ROUND(99*1,0)&amp;"%"</f>
      </c>
    </row>
    <row x14ac:dyDescent="0.25" r="283" customHeight="1" ht="17.25">
      <c r="A283" s="20" t="s">
        <v>1334</v>
      </c>
      <c r="B283" s="20" t="s">
        <v>460</v>
      </c>
      <c r="C283" s="20" t="s">
        <v>76</v>
      </c>
      <c r="D283" s="20" t="s">
        <v>22</v>
      </c>
      <c r="E283" s="21">
        <f>ROUND(11623*1.05,2)</f>
      </c>
      <c r="F283" s="20" t="s">
        <v>23</v>
      </c>
      <c r="G283" s="20" t="s">
        <v>24</v>
      </c>
      <c r="H283" s="21">
        <f>ROUND(RAND()*4+6,1)</f>
      </c>
      <c r="I283" s="20" t="s">
        <v>25</v>
      </c>
      <c r="J283" s="23">
        <f>ROUND(85*1,0)&amp;"%"</f>
      </c>
    </row>
    <row x14ac:dyDescent="0.25" r="284" customHeight="1" ht="17.25">
      <c r="A284" s="17" t="s">
        <v>1335</v>
      </c>
      <c r="B284" s="17" t="s">
        <v>462</v>
      </c>
      <c r="C284" s="17" t="s">
        <v>76</v>
      </c>
      <c r="D284" s="17" t="s">
        <v>28</v>
      </c>
      <c r="E284" s="18">
        <f>ROUND(8902*1.05,2)</f>
      </c>
      <c r="F284" s="17" t="s">
        <v>29</v>
      </c>
      <c r="G284" s="17" t="s">
        <v>30</v>
      </c>
      <c r="H284" s="26">
        <f>ROUND(RAND()*4+6,1)</f>
      </c>
      <c r="I284" s="17" t="s">
        <v>31</v>
      </c>
      <c r="J284" s="19">
        <f>ROUND(91*1,0)&amp;"%"</f>
      </c>
    </row>
    <row x14ac:dyDescent="0.25" r="285" customHeight="1" ht="17.25">
      <c r="A285" s="20" t="s">
        <v>1336</v>
      </c>
      <c r="B285" s="20" t="s">
        <v>464</v>
      </c>
      <c r="C285" s="20" t="s">
        <v>76</v>
      </c>
      <c r="D285" s="20" t="s">
        <v>34</v>
      </c>
      <c r="E285" s="21">
        <f>ROUND(6943*1.05,2)</f>
      </c>
      <c r="F285" s="20" t="s">
        <v>35</v>
      </c>
      <c r="G285" s="20" t="s">
        <v>18</v>
      </c>
      <c r="H285" s="21">
        <f>ROUND(RAND()*4+6,1)</f>
      </c>
      <c r="I285" s="20" t="s">
        <v>36</v>
      </c>
      <c r="J285" s="23">
        <f>ROUND(68*1,0)&amp;"%"</f>
      </c>
    </row>
    <row x14ac:dyDescent="0.25" r="286" customHeight="1" ht="17.25">
      <c r="A286" s="17" t="s">
        <v>1337</v>
      </c>
      <c r="B286" s="17" t="s">
        <v>466</v>
      </c>
      <c r="C286" s="17" t="s">
        <v>76</v>
      </c>
      <c r="D286" s="17" t="s">
        <v>39</v>
      </c>
      <c r="E286" s="18">
        <f>ROUND(7592*1.05,2)</f>
      </c>
      <c r="F286" s="17" t="s">
        <v>40</v>
      </c>
      <c r="G286" s="17" t="s">
        <v>24</v>
      </c>
      <c r="H286" s="18">
        <f>ROUND(RAND()*4+6,1)</f>
      </c>
      <c r="I286" s="17" t="s">
        <v>41</v>
      </c>
      <c r="J286" s="19">
        <f>ROUND(71*1,0)&amp;"%"</f>
      </c>
    </row>
    <row x14ac:dyDescent="0.25" r="287" customHeight="1" ht="17.25">
      <c r="A287" s="20" t="s">
        <v>1338</v>
      </c>
      <c r="B287" s="20" t="s">
        <v>468</v>
      </c>
      <c r="C287" s="20" t="s">
        <v>76</v>
      </c>
      <c r="D287" s="20" t="s">
        <v>67</v>
      </c>
      <c r="E287" s="21">
        <f>ROUND(7111*1.05,2)</f>
      </c>
      <c r="F287" s="20" t="s">
        <v>44</v>
      </c>
      <c r="G287" s="20" t="s">
        <v>30</v>
      </c>
      <c r="H287" s="21">
        <f>ROUND(RAND()*4+6,1)</f>
      </c>
      <c r="I287" s="20" t="s">
        <v>45</v>
      </c>
      <c r="J287" s="23">
        <f>ROUND(96*1,0)&amp;"%"</f>
      </c>
    </row>
    <row x14ac:dyDescent="0.25" r="288" customHeight="1" ht="17.25">
      <c r="A288" s="17" t="s">
        <v>1339</v>
      </c>
      <c r="B288" s="17" t="s">
        <v>470</v>
      </c>
      <c r="C288" s="17" t="s">
        <v>76</v>
      </c>
      <c r="D288" s="17" t="s">
        <v>16</v>
      </c>
      <c r="E288" s="18">
        <f>ROUND(8095*1.05,2)</f>
      </c>
      <c r="F288" s="17" t="s">
        <v>48</v>
      </c>
      <c r="G288" s="17" t="s">
        <v>18</v>
      </c>
      <c r="H288" s="18">
        <f>ROUND(RAND()*4+6,1)</f>
      </c>
      <c r="I288" s="17" t="s">
        <v>19</v>
      </c>
      <c r="J288" s="19">
        <f>ROUND(78*1,0)&amp;"%"</f>
      </c>
    </row>
    <row x14ac:dyDescent="0.25" r="289" customHeight="1" ht="17.25">
      <c r="A289" s="20" t="s">
        <v>1340</v>
      </c>
      <c r="B289" s="20" t="s">
        <v>472</v>
      </c>
      <c r="C289" s="20" t="s">
        <v>76</v>
      </c>
      <c r="D289" s="20" t="s">
        <v>22</v>
      </c>
      <c r="E289" s="21">
        <f>ROUND(14597*1.05,2)</f>
      </c>
      <c r="F289" s="20" t="s">
        <v>51</v>
      </c>
      <c r="G289" s="20" t="s">
        <v>24</v>
      </c>
      <c r="H289" s="21">
        <f>ROUND(RAND()*4+6,1)</f>
      </c>
      <c r="I289" s="20" t="s">
        <v>25</v>
      </c>
      <c r="J289" s="23">
        <f>ROUND(61*1,0)&amp;"%"</f>
      </c>
    </row>
    <row x14ac:dyDescent="0.25" r="290" customHeight="1" ht="17.25">
      <c r="A290" s="24" t="s">
        <v>473</v>
      </c>
      <c r="B290" s="24"/>
      <c r="C290" s="24"/>
      <c r="D290" s="24"/>
      <c r="E290" s="25">
        <v>8</v>
      </c>
      <c r="F290" s="9"/>
      <c r="G290" s="9"/>
      <c r="H290" s="10"/>
      <c r="I290" s="9"/>
      <c r="J290" s="9"/>
    </row>
    <row x14ac:dyDescent="0.25" r="291" customHeight="1" ht="17.25">
      <c r="A291" s="7"/>
      <c r="B291" s="7"/>
      <c r="C291" s="7"/>
      <c r="D291" s="7"/>
      <c r="E291" s="8"/>
      <c r="F291" s="9"/>
      <c r="G291" s="9"/>
      <c r="H291" s="10"/>
      <c r="I291" s="9"/>
      <c r="J291" s="9"/>
    </row>
    <row x14ac:dyDescent="0.25" r="292" customHeight="1" ht="17.25">
      <c r="A292" s="11" t="s">
        <v>1341</v>
      </c>
      <c r="B292" s="11"/>
      <c r="C292" s="11"/>
      <c r="D292" s="11"/>
      <c r="E292" s="12"/>
      <c r="F292" s="11"/>
      <c r="G292" s="11"/>
      <c r="H292" s="13"/>
      <c r="I292" s="11"/>
      <c r="J292" s="11"/>
    </row>
    <row x14ac:dyDescent="0.25" r="293" customHeight="1" ht="17.25">
      <c r="A293" s="14" t="s">
        <v>3</v>
      </c>
      <c r="B293" s="14" t="s">
        <v>4</v>
      </c>
      <c r="C293" s="14" t="s">
        <v>5</v>
      </c>
      <c r="D293" s="14" t="s">
        <v>6</v>
      </c>
      <c r="E293" s="15" t="s">
        <v>7</v>
      </c>
      <c r="F293" s="14" t="s">
        <v>8</v>
      </c>
      <c r="G293" s="14" t="s">
        <v>9</v>
      </c>
      <c r="H293" s="16" t="s">
        <v>10</v>
      </c>
      <c r="I293" s="14" t="s">
        <v>11</v>
      </c>
      <c r="J293" s="14" t="s">
        <v>12</v>
      </c>
    </row>
    <row x14ac:dyDescent="0.25" r="294" customHeight="1" ht="17.25">
      <c r="A294" s="17" t="s">
        <v>1342</v>
      </c>
      <c r="B294" s="17" t="s">
        <v>476</v>
      </c>
      <c r="C294" s="17" t="s">
        <v>95</v>
      </c>
      <c r="D294" s="17" t="s">
        <v>16</v>
      </c>
      <c r="E294" s="18">
        <f>ROUND(5805*1.05,2)</f>
      </c>
      <c r="F294" s="17" t="s">
        <v>17</v>
      </c>
      <c r="G294" s="17" t="s">
        <v>18</v>
      </c>
      <c r="H294" s="18">
        <f>ROUND(RAND()*4+6,1)</f>
      </c>
      <c r="I294" s="17" t="s">
        <v>19</v>
      </c>
      <c r="J294" s="19">
        <f>ROUND(94*1,0)&amp;"%"</f>
      </c>
    </row>
    <row x14ac:dyDescent="0.25" r="295" customHeight="1" ht="17.25">
      <c r="A295" s="20" t="s">
        <v>1343</v>
      </c>
      <c r="B295" s="20" t="s">
        <v>478</v>
      </c>
      <c r="C295" s="20" t="s">
        <v>95</v>
      </c>
      <c r="D295" s="20" t="s">
        <v>22</v>
      </c>
      <c r="E295" s="21">
        <f>ROUND(9578*1.05,2)</f>
      </c>
      <c r="F295" s="20" t="s">
        <v>23</v>
      </c>
      <c r="G295" s="20" t="s">
        <v>24</v>
      </c>
      <c r="H295" s="21">
        <f>ROUND(RAND()*4+6,1)</f>
      </c>
      <c r="I295" s="20" t="s">
        <v>25</v>
      </c>
      <c r="J295" s="23">
        <f>ROUND(60*1,0)&amp;"%"</f>
      </c>
    </row>
    <row x14ac:dyDescent="0.25" r="296" customHeight="1" ht="17.25">
      <c r="A296" s="17" t="s">
        <v>1344</v>
      </c>
      <c r="B296" s="17" t="s">
        <v>480</v>
      </c>
      <c r="C296" s="17" t="s">
        <v>95</v>
      </c>
      <c r="D296" s="17" t="s">
        <v>28</v>
      </c>
      <c r="E296" s="18">
        <f>ROUND(9858*1.05,2)</f>
      </c>
      <c r="F296" s="17" t="s">
        <v>29</v>
      </c>
      <c r="G296" s="17" t="s">
        <v>30</v>
      </c>
      <c r="H296" s="18">
        <f>ROUND(RAND()*4+6,1)</f>
      </c>
      <c r="I296" s="17" t="s">
        <v>31</v>
      </c>
      <c r="J296" s="19">
        <f>ROUND(75*1,0)&amp;"%"</f>
      </c>
    </row>
    <row x14ac:dyDescent="0.25" r="297" customHeight="1" ht="17.25">
      <c r="A297" s="20" t="s">
        <v>1345</v>
      </c>
      <c r="B297" s="20" t="s">
        <v>482</v>
      </c>
      <c r="C297" s="20" t="s">
        <v>95</v>
      </c>
      <c r="D297" s="20" t="s">
        <v>34</v>
      </c>
      <c r="E297" s="21">
        <f>ROUND(6672*1.05,2)</f>
      </c>
      <c r="F297" s="20" t="s">
        <v>35</v>
      </c>
      <c r="G297" s="20" t="s">
        <v>18</v>
      </c>
      <c r="H297" s="21">
        <f>ROUND(RAND()*4+6,1)</f>
      </c>
      <c r="I297" s="20" t="s">
        <v>36</v>
      </c>
      <c r="J297" s="23">
        <f>ROUND(83*1,0)&amp;"%"</f>
      </c>
    </row>
    <row x14ac:dyDescent="0.25" r="298" customHeight="1" ht="17.25">
      <c r="A298" s="17" t="s">
        <v>1346</v>
      </c>
      <c r="B298" s="17" t="s">
        <v>484</v>
      </c>
      <c r="C298" s="17" t="s">
        <v>95</v>
      </c>
      <c r="D298" s="17" t="s">
        <v>39</v>
      </c>
      <c r="E298" s="18">
        <f>ROUND(11868*1.05,2)</f>
      </c>
      <c r="F298" s="17" t="s">
        <v>40</v>
      </c>
      <c r="G298" s="17" t="s">
        <v>24</v>
      </c>
      <c r="H298" s="18">
        <f>ROUND(RAND()*4+6,1)</f>
      </c>
      <c r="I298" s="17" t="s">
        <v>41</v>
      </c>
      <c r="J298" s="19">
        <f>ROUND(74*1,0)&amp;"%"</f>
      </c>
    </row>
    <row x14ac:dyDescent="0.25" r="299" customHeight="1" ht="17.25">
      <c r="A299" s="20" t="s">
        <v>1347</v>
      </c>
      <c r="B299" s="20" t="s">
        <v>486</v>
      </c>
      <c r="C299" s="20" t="s">
        <v>95</v>
      </c>
      <c r="D299" s="20" t="s">
        <v>67</v>
      </c>
      <c r="E299" s="21">
        <f>ROUND(11666*1.05,2)</f>
      </c>
      <c r="F299" s="20" t="s">
        <v>44</v>
      </c>
      <c r="G299" s="20" t="s">
        <v>30</v>
      </c>
      <c r="H299" s="21">
        <f>ROUND(RAND()*4+6,1)</f>
      </c>
      <c r="I299" s="20" t="s">
        <v>45</v>
      </c>
      <c r="J299" s="23">
        <f>ROUND(66*1,0)&amp;"%"</f>
      </c>
    </row>
    <row x14ac:dyDescent="0.25" r="300" customHeight="1" ht="17.25">
      <c r="A300" s="17" t="s">
        <v>1348</v>
      </c>
      <c r="B300" s="17" t="s">
        <v>488</v>
      </c>
      <c r="C300" s="17" t="s">
        <v>95</v>
      </c>
      <c r="D300" s="17" t="s">
        <v>16</v>
      </c>
      <c r="E300" s="26">
        <f>ROUND(13880*1.05,2)</f>
      </c>
      <c r="F300" s="17" t="s">
        <v>48</v>
      </c>
      <c r="G300" s="17" t="s">
        <v>18</v>
      </c>
      <c r="H300" s="18">
        <f>ROUND(RAND()*4+6,1)</f>
      </c>
      <c r="I300" s="17" t="s">
        <v>19</v>
      </c>
      <c r="J300" s="19">
        <f>ROUND(74*1,0)&amp;"%"</f>
      </c>
    </row>
    <row x14ac:dyDescent="0.25" r="301" customHeight="1" ht="17.25">
      <c r="A301" s="20" t="s">
        <v>1349</v>
      </c>
      <c r="B301" s="20" t="s">
        <v>490</v>
      </c>
      <c r="C301" s="20" t="s">
        <v>95</v>
      </c>
      <c r="D301" s="20" t="s">
        <v>22</v>
      </c>
      <c r="E301" s="21">
        <f>ROUND(11715*1.05,2)</f>
      </c>
      <c r="F301" s="20" t="s">
        <v>51</v>
      </c>
      <c r="G301" s="20" t="s">
        <v>24</v>
      </c>
      <c r="H301" s="21">
        <f>ROUND(RAND()*4+6,1)</f>
      </c>
      <c r="I301" s="20" t="s">
        <v>25</v>
      </c>
      <c r="J301" s="23">
        <f>ROUND(87*1,0)&amp;"%"</f>
      </c>
    </row>
    <row x14ac:dyDescent="0.25" r="302" customHeight="1" ht="17.25">
      <c r="A302" s="24" t="s">
        <v>491</v>
      </c>
      <c r="B302" s="24"/>
      <c r="C302" s="24"/>
      <c r="D302" s="24"/>
      <c r="E302" s="25">
        <v>8</v>
      </c>
      <c r="F302" s="9"/>
      <c r="G302" s="9"/>
      <c r="H302" s="10"/>
      <c r="I302" s="9"/>
      <c r="J302" s="9"/>
    </row>
    <row x14ac:dyDescent="0.25" r="303" customHeight="1" ht="17.25">
      <c r="A303" s="7"/>
      <c r="B303" s="7"/>
      <c r="C303" s="7"/>
      <c r="D303" s="7"/>
      <c r="E303" s="8"/>
      <c r="F303" s="9"/>
      <c r="G303" s="9"/>
      <c r="H303" s="10"/>
      <c r="I303" s="9"/>
      <c r="J303" s="9"/>
    </row>
    <row x14ac:dyDescent="0.25" r="304" customHeight="1" ht="17.25">
      <c r="A304" s="11" t="s">
        <v>1350</v>
      </c>
      <c r="B304" s="11"/>
      <c r="C304" s="11"/>
      <c r="D304" s="11"/>
      <c r="E304" s="12"/>
      <c r="F304" s="11"/>
      <c r="G304" s="11"/>
      <c r="H304" s="13"/>
      <c r="I304" s="11"/>
      <c r="J304" s="11"/>
    </row>
    <row x14ac:dyDescent="0.25" r="305" customHeight="1" ht="17.25">
      <c r="A305" s="14" t="s">
        <v>3</v>
      </c>
      <c r="B305" s="14" t="s">
        <v>4</v>
      </c>
      <c r="C305" s="14" t="s">
        <v>5</v>
      </c>
      <c r="D305" s="14" t="s">
        <v>6</v>
      </c>
      <c r="E305" s="15" t="s">
        <v>7</v>
      </c>
      <c r="F305" s="14" t="s">
        <v>8</v>
      </c>
      <c r="G305" s="14" t="s">
        <v>9</v>
      </c>
      <c r="H305" s="16" t="s">
        <v>10</v>
      </c>
      <c r="I305" s="14" t="s">
        <v>11</v>
      </c>
      <c r="J305" s="14" t="s">
        <v>12</v>
      </c>
    </row>
    <row x14ac:dyDescent="0.25" r="306" customHeight="1" ht="17.25">
      <c r="A306" s="17" t="s">
        <v>1351</v>
      </c>
      <c r="B306" s="17" t="s">
        <v>494</v>
      </c>
      <c r="C306" s="17" t="s">
        <v>114</v>
      </c>
      <c r="D306" s="17" t="s">
        <v>16</v>
      </c>
      <c r="E306" s="18">
        <f>ROUND(16030*1.05,2)</f>
      </c>
      <c r="F306" s="17" t="s">
        <v>17</v>
      </c>
      <c r="G306" s="17" t="s">
        <v>18</v>
      </c>
      <c r="H306" s="18">
        <f>ROUND(RAND()*4+6,1)</f>
      </c>
      <c r="I306" s="17" t="s">
        <v>19</v>
      </c>
      <c r="J306" s="19">
        <f>ROUND(95*1,0)&amp;"%"</f>
      </c>
    </row>
    <row x14ac:dyDescent="0.25" r="307" customHeight="1" ht="17.25">
      <c r="A307" s="20" t="s">
        <v>1352</v>
      </c>
      <c r="B307" s="20" t="s">
        <v>496</v>
      </c>
      <c r="C307" s="20" t="s">
        <v>114</v>
      </c>
      <c r="D307" s="20" t="s">
        <v>22</v>
      </c>
      <c r="E307" s="21">
        <f>ROUND(13448*1.05,2)</f>
      </c>
      <c r="F307" s="20" t="s">
        <v>23</v>
      </c>
      <c r="G307" s="20" t="s">
        <v>24</v>
      </c>
      <c r="H307" s="21">
        <f>ROUND(RAND()*4+6,1)</f>
      </c>
      <c r="I307" s="20" t="s">
        <v>25</v>
      </c>
      <c r="J307" s="23">
        <f>ROUND(69*1,0)&amp;"%"</f>
      </c>
    </row>
    <row x14ac:dyDescent="0.25" r="308" customHeight="1" ht="17.25">
      <c r="A308" s="17" t="s">
        <v>1353</v>
      </c>
      <c r="B308" s="17" t="s">
        <v>498</v>
      </c>
      <c r="C308" s="17" t="s">
        <v>114</v>
      </c>
      <c r="D308" s="17" t="s">
        <v>28</v>
      </c>
      <c r="E308" s="18">
        <f>ROUND(9498*1.05,2)</f>
      </c>
      <c r="F308" s="17" t="s">
        <v>29</v>
      </c>
      <c r="G308" s="17" t="s">
        <v>30</v>
      </c>
      <c r="H308" s="18">
        <f>ROUND(RAND()*4+6,1)</f>
      </c>
      <c r="I308" s="17" t="s">
        <v>31</v>
      </c>
      <c r="J308" s="19">
        <f>ROUND(61*1,0)&amp;"%"</f>
      </c>
    </row>
    <row x14ac:dyDescent="0.25" r="309" customHeight="1" ht="17.25">
      <c r="A309" s="20" t="s">
        <v>1354</v>
      </c>
      <c r="B309" s="20" t="s">
        <v>500</v>
      </c>
      <c r="C309" s="20" t="s">
        <v>114</v>
      </c>
      <c r="D309" s="20" t="s">
        <v>34</v>
      </c>
      <c r="E309" s="21">
        <f>ROUND(12423*1.05,2)</f>
      </c>
      <c r="F309" s="20" t="s">
        <v>35</v>
      </c>
      <c r="G309" s="20" t="s">
        <v>18</v>
      </c>
      <c r="H309" s="21">
        <f>ROUND(RAND()*4+6,1)</f>
      </c>
      <c r="I309" s="20" t="s">
        <v>36</v>
      </c>
      <c r="J309" s="23">
        <f>ROUND(69*1,0)&amp;"%"</f>
      </c>
    </row>
    <row x14ac:dyDescent="0.25" r="310" customHeight="1" ht="17.25">
      <c r="A310" s="17" t="s">
        <v>1355</v>
      </c>
      <c r="B310" s="17" t="s">
        <v>502</v>
      </c>
      <c r="C310" s="17" t="s">
        <v>114</v>
      </c>
      <c r="D310" s="17" t="s">
        <v>39</v>
      </c>
      <c r="E310" s="18">
        <f>ROUND(9857*1.05,2)</f>
      </c>
      <c r="F310" s="17" t="s">
        <v>40</v>
      </c>
      <c r="G310" s="17" t="s">
        <v>24</v>
      </c>
      <c r="H310" s="18">
        <f>ROUND(RAND()*4+6,1)</f>
      </c>
      <c r="I310" s="17" t="s">
        <v>41</v>
      </c>
      <c r="J310" s="19">
        <f>ROUND(81*1,0)&amp;"%"</f>
      </c>
    </row>
    <row x14ac:dyDescent="0.25" r="311" customHeight="1" ht="17.25">
      <c r="A311" s="20" t="s">
        <v>1356</v>
      </c>
      <c r="B311" s="20" t="s">
        <v>504</v>
      </c>
      <c r="C311" s="20" t="s">
        <v>114</v>
      </c>
      <c r="D311" s="20" t="s">
        <v>67</v>
      </c>
      <c r="E311" s="21">
        <f>ROUND(6954*1.05,2)</f>
      </c>
      <c r="F311" s="20" t="s">
        <v>44</v>
      </c>
      <c r="G311" s="20" t="s">
        <v>30</v>
      </c>
      <c r="H311" s="21">
        <f>ROUND(RAND()*4+6,1)</f>
      </c>
      <c r="I311" s="20" t="s">
        <v>45</v>
      </c>
      <c r="J311" s="23">
        <f>ROUND(92*1,0)&amp;"%"</f>
      </c>
    </row>
    <row x14ac:dyDescent="0.25" r="312" customHeight="1" ht="17.25">
      <c r="A312" s="17" t="s">
        <v>1357</v>
      </c>
      <c r="B312" s="17" t="s">
        <v>506</v>
      </c>
      <c r="C312" s="17" t="s">
        <v>114</v>
      </c>
      <c r="D312" s="17" t="s">
        <v>16</v>
      </c>
      <c r="E312" s="18">
        <f>ROUND(14689*1.05,2)</f>
      </c>
      <c r="F312" s="17" t="s">
        <v>48</v>
      </c>
      <c r="G312" s="17" t="s">
        <v>18</v>
      </c>
      <c r="H312" s="18">
        <f>ROUND(RAND()*4+6,1)</f>
      </c>
      <c r="I312" s="17" t="s">
        <v>19</v>
      </c>
      <c r="J312" s="19">
        <f>ROUND(61*1,0)&amp;"%"</f>
      </c>
    </row>
    <row x14ac:dyDescent="0.25" r="313" customHeight="1" ht="17.25">
      <c r="A313" s="20" t="s">
        <v>1358</v>
      </c>
      <c r="B313" s="20" t="s">
        <v>508</v>
      </c>
      <c r="C313" s="20" t="s">
        <v>114</v>
      </c>
      <c r="D313" s="20" t="s">
        <v>22</v>
      </c>
      <c r="E313" s="21">
        <f>ROUND(5893*1.05,2)</f>
      </c>
      <c r="F313" s="20" t="s">
        <v>51</v>
      </c>
      <c r="G313" s="20" t="s">
        <v>24</v>
      </c>
      <c r="H313" s="21">
        <f>ROUND(RAND()*4+6,1)</f>
      </c>
      <c r="I313" s="20" t="s">
        <v>25</v>
      </c>
      <c r="J313" s="23">
        <f>ROUND(67*1,0)&amp;"%"</f>
      </c>
    </row>
    <row x14ac:dyDescent="0.25" r="314" customHeight="1" ht="17.25">
      <c r="A314" s="24" t="s">
        <v>509</v>
      </c>
      <c r="B314" s="24"/>
      <c r="C314" s="24"/>
      <c r="D314" s="24"/>
      <c r="E314" s="25">
        <v>8</v>
      </c>
      <c r="F314" s="9"/>
      <c r="G314" s="9"/>
      <c r="H314" s="10"/>
      <c r="I314" s="9"/>
      <c r="J314" s="9"/>
    </row>
    <row x14ac:dyDescent="0.25" r="315" customHeight="1" ht="17.25">
      <c r="A315" s="7"/>
      <c r="B315" s="7"/>
      <c r="C315" s="7"/>
      <c r="D315" s="7"/>
      <c r="E315" s="8"/>
      <c r="F315" s="9"/>
      <c r="G315" s="9"/>
      <c r="H315" s="10"/>
      <c r="I315" s="9"/>
      <c r="J315" s="9"/>
    </row>
    <row x14ac:dyDescent="0.25" r="316" customHeight="1" ht="17.25">
      <c r="A316" s="11" t="s">
        <v>1359</v>
      </c>
      <c r="B316" s="11"/>
      <c r="C316" s="11"/>
      <c r="D316" s="11"/>
      <c r="E316" s="12"/>
      <c r="F316" s="11"/>
      <c r="G316" s="11"/>
      <c r="H316" s="13"/>
      <c r="I316" s="11"/>
      <c r="J316" s="11"/>
    </row>
    <row x14ac:dyDescent="0.25" r="317" customHeight="1" ht="17.25">
      <c r="A317" s="14" t="s">
        <v>3</v>
      </c>
      <c r="B317" s="14" t="s">
        <v>4</v>
      </c>
      <c r="C317" s="14" t="s">
        <v>5</v>
      </c>
      <c r="D317" s="14" t="s">
        <v>6</v>
      </c>
      <c r="E317" s="15" t="s">
        <v>7</v>
      </c>
      <c r="F317" s="14" t="s">
        <v>8</v>
      </c>
      <c r="G317" s="14" t="s">
        <v>9</v>
      </c>
      <c r="H317" s="16" t="s">
        <v>10</v>
      </c>
      <c r="I317" s="14" t="s">
        <v>11</v>
      </c>
      <c r="J317" s="14" t="s">
        <v>12</v>
      </c>
    </row>
    <row x14ac:dyDescent="0.25" r="318" customHeight="1" ht="17.25">
      <c r="A318" s="17" t="s">
        <v>1360</v>
      </c>
      <c r="B318" s="17" t="s">
        <v>512</v>
      </c>
      <c r="C318" s="17" t="s">
        <v>133</v>
      </c>
      <c r="D318" s="17" t="s">
        <v>16</v>
      </c>
      <c r="E318" s="18">
        <f>ROUND(17595*1.05,2)</f>
      </c>
      <c r="F318" s="17" t="s">
        <v>17</v>
      </c>
      <c r="G318" s="17" t="s">
        <v>18</v>
      </c>
      <c r="H318" s="18">
        <f>ROUND(RAND()*4+6,1)</f>
      </c>
      <c r="I318" s="17" t="s">
        <v>19</v>
      </c>
      <c r="J318" s="19">
        <f>ROUND(100*1,0)&amp;"%"</f>
      </c>
    </row>
    <row x14ac:dyDescent="0.25" r="319" customHeight="1" ht="17.25">
      <c r="A319" s="20" t="s">
        <v>1361</v>
      </c>
      <c r="B319" s="20" t="s">
        <v>514</v>
      </c>
      <c r="C319" s="20" t="s">
        <v>133</v>
      </c>
      <c r="D319" s="20" t="s">
        <v>22</v>
      </c>
      <c r="E319" s="21">
        <f>ROUND(13968*1.05,2)</f>
      </c>
      <c r="F319" s="20" t="s">
        <v>23</v>
      </c>
      <c r="G319" s="20" t="s">
        <v>24</v>
      </c>
      <c r="H319" s="21">
        <f>ROUND(RAND()*4+6,1)</f>
      </c>
      <c r="I319" s="20" t="s">
        <v>25</v>
      </c>
      <c r="J319" s="23">
        <f>ROUND(70*1,0)&amp;"%"</f>
      </c>
    </row>
    <row x14ac:dyDescent="0.25" r="320" customHeight="1" ht="17.25">
      <c r="A320" s="17" t="s">
        <v>1362</v>
      </c>
      <c r="B320" s="17" t="s">
        <v>516</v>
      </c>
      <c r="C320" s="17" t="s">
        <v>133</v>
      </c>
      <c r="D320" s="17" t="s">
        <v>28</v>
      </c>
      <c r="E320" s="18">
        <f>ROUND(11293*1.05,2)</f>
      </c>
      <c r="F320" s="17" t="s">
        <v>29</v>
      </c>
      <c r="G320" s="17" t="s">
        <v>30</v>
      </c>
      <c r="H320" s="18">
        <f>ROUND(RAND()*4+6,1)</f>
      </c>
      <c r="I320" s="17" t="s">
        <v>31</v>
      </c>
      <c r="J320" s="19">
        <f>ROUND(80*1,0)&amp;"%"</f>
      </c>
    </row>
    <row x14ac:dyDescent="0.25" r="321" customHeight="1" ht="17.25">
      <c r="A321" s="20" t="s">
        <v>1363</v>
      </c>
      <c r="B321" s="20" t="s">
        <v>518</v>
      </c>
      <c r="C321" s="20" t="s">
        <v>133</v>
      </c>
      <c r="D321" s="20" t="s">
        <v>34</v>
      </c>
      <c r="E321" s="21">
        <f>ROUND(14964*1.05,2)</f>
      </c>
      <c r="F321" s="20" t="s">
        <v>35</v>
      </c>
      <c r="G321" s="20" t="s">
        <v>18</v>
      </c>
      <c r="H321" s="22">
        <f>ROUND(RAND()*4+6,1)</f>
      </c>
      <c r="I321" s="20" t="s">
        <v>36</v>
      </c>
      <c r="J321" s="23">
        <f>ROUND(79*1,0)&amp;"%"</f>
      </c>
    </row>
    <row x14ac:dyDescent="0.25" r="322" customHeight="1" ht="17.25">
      <c r="A322" s="17" t="s">
        <v>1364</v>
      </c>
      <c r="B322" s="17" t="s">
        <v>520</v>
      </c>
      <c r="C322" s="17" t="s">
        <v>133</v>
      </c>
      <c r="D322" s="17" t="s">
        <v>39</v>
      </c>
      <c r="E322" s="18">
        <f>ROUND(8723*1.05,2)</f>
      </c>
      <c r="F322" s="17" t="s">
        <v>40</v>
      </c>
      <c r="G322" s="17" t="s">
        <v>24</v>
      </c>
      <c r="H322" s="18">
        <f>ROUND(RAND()*4+6,1)</f>
      </c>
      <c r="I322" s="17" t="s">
        <v>41</v>
      </c>
      <c r="J322" s="19">
        <f>ROUND(81*1,0)&amp;"%"</f>
      </c>
    </row>
    <row x14ac:dyDescent="0.25" r="323" customHeight="1" ht="17.25">
      <c r="A323" s="20" t="s">
        <v>1365</v>
      </c>
      <c r="B323" s="20" t="s">
        <v>522</v>
      </c>
      <c r="C323" s="20" t="s">
        <v>133</v>
      </c>
      <c r="D323" s="20" t="s">
        <v>67</v>
      </c>
      <c r="E323" s="21">
        <f>ROUND(15012*1.05,2)</f>
      </c>
      <c r="F323" s="20" t="s">
        <v>44</v>
      </c>
      <c r="G323" s="20" t="s">
        <v>30</v>
      </c>
      <c r="H323" s="21">
        <f>ROUND(RAND()*4+6,1)</f>
      </c>
      <c r="I323" s="20" t="s">
        <v>45</v>
      </c>
      <c r="J323" s="23">
        <f>ROUND(64*1,0)&amp;"%"</f>
      </c>
    </row>
    <row x14ac:dyDescent="0.25" r="324" customHeight="1" ht="17.25">
      <c r="A324" s="17" t="s">
        <v>1366</v>
      </c>
      <c r="B324" s="17" t="s">
        <v>524</v>
      </c>
      <c r="C324" s="17" t="s">
        <v>133</v>
      </c>
      <c r="D324" s="17" t="s">
        <v>16</v>
      </c>
      <c r="E324" s="18">
        <f>ROUND(14504*1.05,2)</f>
      </c>
      <c r="F324" s="17" t="s">
        <v>48</v>
      </c>
      <c r="G324" s="17" t="s">
        <v>18</v>
      </c>
      <c r="H324" s="18">
        <f>ROUND(RAND()*4+6,1)</f>
      </c>
      <c r="I324" s="17" t="s">
        <v>19</v>
      </c>
      <c r="J324" s="19">
        <f>ROUND(75*1,0)&amp;"%"</f>
      </c>
    </row>
    <row x14ac:dyDescent="0.25" r="325" customHeight="1" ht="17.25">
      <c r="A325" s="20" t="s">
        <v>1367</v>
      </c>
      <c r="B325" s="20" t="s">
        <v>526</v>
      </c>
      <c r="C325" s="20" t="s">
        <v>133</v>
      </c>
      <c r="D325" s="20" t="s">
        <v>22</v>
      </c>
      <c r="E325" s="21">
        <f>ROUND(4055*1.05,2)</f>
      </c>
      <c r="F325" s="20" t="s">
        <v>51</v>
      </c>
      <c r="G325" s="20" t="s">
        <v>24</v>
      </c>
      <c r="H325" s="21">
        <f>ROUND(RAND()*4+6,1)</f>
      </c>
      <c r="I325" s="20" t="s">
        <v>25</v>
      </c>
      <c r="J325" s="23">
        <f>ROUND(68*1,0)&amp;"%"</f>
      </c>
    </row>
    <row x14ac:dyDescent="0.25" r="326" customHeight="1" ht="17.25">
      <c r="A326" s="24" t="s">
        <v>527</v>
      </c>
      <c r="B326" s="24"/>
      <c r="C326" s="24"/>
      <c r="D326" s="24"/>
      <c r="E326" s="25">
        <v>8</v>
      </c>
      <c r="F326" s="9"/>
      <c r="G326" s="9"/>
      <c r="H326" s="10"/>
      <c r="I326" s="9"/>
      <c r="J326" s="9"/>
    </row>
    <row x14ac:dyDescent="0.25" r="327" customHeight="1" ht="17.25">
      <c r="A327" s="7"/>
      <c r="B327" s="7"/>
      <c r="C327" s="7"/>
      <c r="D327" s="7"/>
      <c r="E327" s="8"/>
      <c r="F327" s="9"/>
      <c r="G327" s="9"/>
      <c r="H327" s="10"/>
      <c r="I327" s="9"/>
      <c r="J327" s="9"/>
    </row>
    <row x14ac:dyDescent="0.25" r="328" customHeight="1" ht="17.25">
      <c r="A328" s="11" t="s">
        <v>1368</v>
      </c>
      <c r="B328" s="11"/>
      <c r="C328" s="11"/>
      <c r="D328" s="11"/>
      <c r="E328" s="12"/>
      <c r="F328" s="11"/>
      <c r="G328" s="11"/>
      <c r="H328" s="13"/>
      <c r="I328" s="11"/>
      <c r="J328" s="11"/>
    </row>
    <row x14ac:dyDescent="0.25" r="329" customHeight="1" ht="17.25">
      <c r="A329" s="14" t="s">
        <v>3</v>
      </c>
      <c r="B329" s="14" t="s">
        <v>4</v>
      </c>
      <c r="C329" s="14" t="s">
        <v>5</v>
      </c>
      <c r="D329" s="14" t="s">
        <v>6</v>
      </c>
      <c r="E329" s="15" t="s">
        <v>7</v>
      </c>
      <c r="F329" s="14" t="s">
        <v>8</v>
      </c>
      <c r="G329" s="14" t="s">
        <v>9</v>
      </c>
      <c r="H329" s="16" t="s">
        <v>10</v>
      </c>
      <c r="I329" s="14" t="s">
        <v>11</v>
      </c>
      <c r="J329" s="14" t="s">
        <v>12</v>
      </c>
    </row>
    <row x14ac:dyDescent="0.25" r="330" customHeight="1" ht="17.25">
      <c r="A330" s="17" t="s">
        <v>1369</v>
      </c>
      <c r="B330" s="17" t="s">
        <v>530</v>
      </c>
      <c r="C330" s="17" t="s">
        <v>152</v>
      </c>
      <c r="D330" s="17" t="s">
        <v>16</v>
      </c>
      <c r="E330" s="18">
        <f>ROUND(4263*1.05,2)</f>
      </c>
      <c r="F330" s="17" t="s">
        <v>17</v>
      </c>
      <c r="G330" s="17" t="s">
        <v>18</v>
      </c>
      <c r="H330" s="18">
        <f>ROUND(RAND()*4+6,1)</f>
      </c>
      <c r="I330" s="17" t="s">
        <v>19</v>
      </c>
      <c r="J330" s="19">
        <f>ROUND(71*1,0)&amp;"%"</f>
      </c>
    </row>
    <row x14ac:dyDescent="0.25" r="331" customHeight="1" ht="17.25">
      <c r="A331" s="20" t="s">
        <v>1370</v>
      </c>
      <c r="B331" s="20" t="s">
        <v>532</v>
      </c>
      <c r="C331" s="20" t="s">
        <v>152</v>
      </c>
      <c r="D331" s="20" t="s">
        <v>22</v>
      </c>
      <c r="E331" s="21">
        <f>ROUND(12473*1.05,2)</f>
      </c>
      <c r="F331" s="20" t="s">
        <v>23</v>
      </c>
      <c r="G331" s="20" t="s">
        <v>24</v>
      </c>
      <c r="H331" s="21">
        <f>ROUND(RAND()*4+6,1)</f>
      </c>
      <c r="I331" s="20" t="s">
        <v>25</v>
      </c>
      <c r="J331" s="23">
        <f>ROUND(60*1,0)&amp;"%"</f>
      </c>
    </row>
    <row x14ac:dyDescent="0.25" r="332" customHeight="1" ht="17.25">
      <c r="A332" s="17" t="s">
        <v>1371</v>
      </c>
      <c r="B332" s="17" t="s">
        <v>534</v>
      </c>
      <c r="C332" s="17" t="s">
        <v>152</v>
      </c>
      <c r="D332" s="17" t="s">
        <v>28</v>
      </c>
      <c r="E332" s="18">
        <f>ROUND(10703*1.05,2)</f>
      </c>
      <c r="F332" s="17" t="s">
        <v>29</v>
      </c>
      <c r="G332" s="17" t="s">
        <v>30</v>
      </c>
      <c r="H332" s="18">
        <f>ROUND(RAND()*4+6,1)</f>
      </c>
      <c r="I332" s="17" t="s">
        <v>31</v>
      </c>
      <c r="J332" s="19">
        <f>ROUND(66*1,0)&amp;"%"</f>
      </c>
    </row>
    <row x14ac:dyDescent="0.25" r="333" customHeight="1" ht="17.25">
      <c r="A333" s="20" t="s">
        <v>1372</v>
      </c>
      <c r="B333" s="20" t="s">
        <v>536</v>
      </c>
      <c r="C333" s="20" t="s">
        <v>152</v>
      </c>
      <c r="D333" s="20" t="s">
        <v>34</v>
      </c>
      <c r="E333" s="21">
        <f>ROUND(8351*1.05,2)</f>
      </c>
      <c r="F333" s="20" t="s">
        <v>35</v>
      </c>
      <c r="G333" s="20" t="s">
        <v>18</v>
      </c>
      <c r="H333" s="21">
        <f>ROUND(RAND()*4+6,1)</f>
      </c>
      <c r="I333" s="20" t="s">
        <v>36</v>
      </c>
      <c r="J333" s="23">
        <f>ROUND(68*1,0)&amp;"%"</f>
      </c>
    </row>
    <row x14ac:dyDescent="0.25" r="334" customHeight="1" ht="17.25">
      <c r="A334" s="17" t="s">
        <v>1373</v>
      </c>
      <c r="B334" s="17" t="s">
        <v>538</v>
      </c>
      <c r="C334" s="17" t="s">
        <v>152</v>
      </c>
      <c r="D334" s="17" t="s">
        <v>39</v>
      </c>
      <c r="E334" s="18">
        <f>ROUND(10831*1.05,2)</f>
      </c>
      <c r="F334" s="17" t="s">
        <v>40</v>
      </c>
      <c r="G334" s="17" t="s">
        <v>24</v>
      </c>
      <c r="H334" s="18">
        <f>ROUND(RAND()*4+6,1)</f>
      </c>
      <c r="I334" s="17" t="s">
        <v>41</v>
      </c>
      <c r="J334" s="19">
        <f>ROUND(73*1,0)&amp;"%"</f>
      </c>
    </row>
    <row x14ac:dyDescent="0.25" r="335" customHeight="1" ht="17.25">
      <c r="A335" s="20" t="s">
        <v>1374</v>
      </c>
      <c r="B335" s="20" t="s">
        <v>540</v>
      </c>
      <c r="C335" s="20" t="s">
        <v>152</v>
      </c>
      <c r="D335" s="20" t="s">
        <v>67</v>
      </c>
      <c r="E335" s="21">
        <f>ROUND(10628*1.05,2)</f>
      </c>
      <c r="F335" s="20" t="s">
        <v>44</v>
      </c>
      <c r="G335" s="20" t="s">
        <v>30</v>
      </c>
      <c r="H335" s="21">
        <f>ROUND(RAND()*4+6,1)</f>
      </c>
      <c r="I335" s="20" t="s">
        <v>45</v>
      </c>
      <c r="J335" s="23">
        <f>ROUND(90*1,0)&amp;"%"</f>
      </c>
    </row>
    <row x14ac:dyDescent="0.25" r="336" customHeight="1" ht="17.25">
      <c r="A336" s="17" t="s">
        <v>1375</v>
      </c>
      <c r="B336" s="17" t="s">
        <v>542</v>
      </c>
      <c r="C336" s="17" t="s">
        <v>152</v>
      </c>
      <c r="D336" s="17" t="s">
        <v>16</v>
      </c>
      <c r="E336" s="18">
        <f>ROUND(16417*1.05,2)</f>
      </c>
      <c r="F336" s="17" t="s">
        <v>48</v>
      </c>
      <c r="G336" s="17" t="s">
        <v>18</v>
      </c>
      <c r="H336" s="18">
        <f>ROUND(RAND()*4+6,1)</f>
      </c>
      <c r="I336" s="17" t="s">
        <v>19</v>
      </c>
      <c r="J336" s="19">
        <f>ROUND(71*1,0)&amp;"%"</f>
      </c>
    </row>
    <row x14ac:dyDescent="0.25" r="337" customHeight="1" ht="17.25">
      <c r="A337" s="20" t="s">
        <v>1376</v>
      </c>
      <c r="B337" s="20" t="s">
        <v>544</v>
      </c>
      <c r="C337" s="20" t="s">
        <v>152</v>
      </c>
      <c r="D337" s="20" t="s">
        <v>22</v>
      </c>
      <c r="E337" s="21">
        <f>ROUND(11743*1.05,2)</f>
      </c>
      <c r="F337" s="20" t="s">
        <v>51</v>
      </c>
      <c r="G337" s="20" t="s">
        <v>24</v>
      </c>
      <c r="H337" s="21">
        <f>ROUND(RAND()*4+6,1)</f>
      </c>
      <c r="I337" s="20" t="s">
        <v>25</v>
      </c>
      <c r="J337" s="23">
        <f>ROUND(70*1,0)&amp;"%"</f>
      </c>
    </row>
    <row x14ac:dyDescent="0.25" r="338" customHeight="1" ht="17.25">
      <c r="A338" s="24" t="s">
        <v>545</v>
      </c>
      <c r="B338" s="24"/>
      <c r="C338" s="24"/>
      <c r="D338" s="24"/>
      <c r="E338" s="25">
        <v>8</v>
      </c>
      <c r="F338" s="9"/>
      <c r="G338" s="9"/>
      <c r="H338" s="10"/>
      <c r="I338" s="9"/>
      <c r="J338" s="9"/>
    </row>
    <row x14ac:dyDescent="0.25" r="339" customHeight="1" ht="17.25">
      <c r="A339" s="7"/>
      <c r="B339" s="7"/>
      <c r="C339" s="7"/>
      <c r="D339" s="7"/>
      <c r="E339" s="8"/>
      <c r="F339" s="9"/>
      <c r="G339" s="9"/>
      <c r="H339" s="10"/>
      <c r="I339" s="9"/>
      <c r="J339" s="9"/>
    </row>
    <row x14ac:dyDescent="0.25" r="340" customHeight="1" ht="17.25">
      <c r="A340" s="11" t="s">
        <v>1377</v>
      </c>
      <c r="B340" s="11"/>
      <c r="C340" s="11"/>
      <c r="D340" s="11"/>
      <c r="E340" s="12"/>
      <c r="F340" s="11"/>
      <c r="G340" s="11"/>
      <c r="H340" s="13"/>
      <c r="I340" s="11"/>
      <c r="J340" s="11"/>
    </row>
    <row x14ac:dyDescent="0.25" r="341" customHeight="1" ht="17.25">
      <c r="A341" s="14" t="s">
        <v>3</v>
      </c>
      <c r="B341" s="14" t="s">
        <v>4</v>
      </c>
      <c r="C341" s="14" t="s">
        <v>5</v>
      </c>
      <c r="D341" s="14" t="s">
        <v>6</v>
      </c>
      <c r="E341" s="15" t="s">
        <v>7</v>
      </c>
      <c r="F341" s="14" t="s">
        <v>8</v>
      </c>
      <c r="G341" s="14" t="s">
        <v>9</v>
      </c>
      <c r="H341" s="16" t="s">
        <v>10</v>
      </c>
      <c r="I341" s="14" t="s">
        <v>11</v>
      </c>
      <c r="J341" s="14" t="s">
        <v>12</v>
      </c>
    </row>
    <row x14ac:dyDescent="0.25" r="342" customHeight="1" ht="17.25">
      <c r="A342" s="17" t="s">
        <v>1378</v>
      </c>
      <c r="B342" s="17" t="s">
        <v>548</v>
      </c>
      <c r="C342" s="17" t="s">
        <v>15</v>
      </c>
      <c r="D342" s="17" t="s">
        <v>16</v>
      </c>
      <c r="E342" s="18">
        <f>ROUND(14142*1.05,2)</f>
      </c>
      <c r="F342" s="17" t="s">
        <v>17</v>
      </c>
      <c r="G342" s="17" t="s">
        <v>18</v>
      </c>
      <c r="H342" s="18">
        <f>ROUND(RAND()*4+6,1)</f>
      </c>
      <c r="I342" s="17" t="s">
        <v>19</v>
      </c>
      <c r="J342" s="19">
        <f>ROUND(71*1,0)&amp;"%"</f>
      </c>
    </row>
    <row x14ac:dyDescent="0.25" r="343" customHeight="1" ht="17.25">
      <c r="A343" s="20" t="s">
        <v>1379</v>
      </c>
      <c r="B343" s="20" t="s">
        <v>550</v>
      </c>
      <c r="C343" s="20" t="s">
        <v>15</v>
      </c>
      <c r="D343" s="20" t="s">
        <v>22</v>
      </c>
      <c r="E343" s="21">
        <f>ROUND(16502*1.05,2)</f>
      </c>
      <c r="F343" s="20" t="s">
        <v>23</v>
      </c>
      <c r="G343" s="20" t="s">
        <v>24</v>
      </c>
      <c r="H343" s="21">
        <f>ROUND(RAND()*4+6,1)</f>
      </c>
      <c r="I343" s="20" t="s">
        <v>25</v>
      </c>
      <c r="J343" s="23">
        <f>ROUND(76*1,0)&amp;"%"</f>
      </c>
    </row>
    <row x14ac:dyDescent="0.25" r="344" customHeight="1" ht="17.25">
      <c r="A344" s="17" t="s">
        <v>1380</v>
      </c>
      <c r="B344" s="17" t="s">
        <v>552</v>
      </c>
      <c r="C344" s="17" t="s">
        <v>15</v>
      </c>
      <c r="D344" s="17" t="s">
        <v>28</v>
      </c>
      <c r="E344" s="18">
        <f>ROUND(17003*1.05,2)</f>
      </c>
      <c r="F344" s="17" t="s">
        <v>29</v>
      </c>
      <c r="G344" s="17" t="s">
        <v>30</v>
      </c>
      <c r="H344" s="18">
        <f>ROUND(RAND()*4+6,1)</f>
      </c>
      <c r="I344" s="17" t="s">
        <v>31</v>
      </c>
      <c r="J344" s="19">
        <f>ROUND(86*1,0)&amp;"%"</f>
      </c>
    </row>
    <row x14ac:dyDescent="0.25" r="345" customHeight="1" ht="17.25">
      <c r="A345" s="20" t="s">
        <v>1381</v>
      </c>
      <c r="B345" s="20" t="s">
        <v>554</v>
      </c>
      <c r="C345" s="20" t="s">
        <v>15</v>
      </c>
      <c r="D345" s="20" t="s">
        <v>34</v>
      </c>
      <c r="E345" s="21">
        <f>ROUND(6033*1.05,2)</f>
      </c>
      <c r="F345" s="20" t="s">
        <v>35</v>
      </c>
      <c r="G345" s="20" t="s">
        <v>18</v>
      </c>
      <c r="H345" s="22">
        <f>ROUND(RAND()*4+6,1)</f>
      </c>
      <c r="I345" s="20" t="s">
        <v>36</v>
      </c>
      <c r="J345" s="23">
        <f>ROUND(60*1,0)&amp;"%"</f>
      </c>
    </row>
    <row x14ac:dyDescent="0.25" r="346" customHeight="1" ht="17.25">
      <c r="A346" s="17" t="s">
        <v>1382</v>
      </c>
      <c r="B346" s="17" t="s">
        <v>556</v>
      </c>
      <c r="C346" s="17" t="s">
        <v>15</v>
      </c>
      <c r="D346" s="17" t="s">
        <v>39</v>
      </c>
      <c r="E346" s="18">
        <f>ROUND(6976*1.05,2)</f>
      </c>
      <c r="F346" s="17" t="s">
        <v>40</v>
      </c>
      <c r="G346" s="17" t="s">
        <v>24</v>
      </c>
      <c r="H346" s="18">
        <f>ROUND(RAND()*4+6,1)</f>
      </c>
      <c r="I346" s="17" t="s">
        <v>41</v>
      </c>
      <c r="J346" s="19">
        <f>ROUND(75*1,0)&amp;"%"</f>
      </c>
    </row>
    <row x14ac:dyDescent="0.25" r="347" customHeight="1" ht="17.25">
      <c r="A347" s="20" t="s">
        <v>1383</v>
      </c>
      <c r="B347" s="20" t="s">
        <v>558</v>
      </c>
      <c r="C347" s="20" t="s">
        <v>15</v>
      </c>
      <c r="D347" s="20" t="s">
        <v>67</v>
      </c>
      <c r="E347" s="21">
        <f>ROUND(6749*1.05,2)</f>
      </c>
      <c r="F347" s="20" t="s">
        <v>44</v>
      </c>
      <c r="G347" s="20" t="s">
        <v>30</v>
      </c>
      <c r="H347" s="21">
        <f>ROUND(RAND()*4+6,1)</f>
      </c>
      <c r="I347" s="20" t="s">
        <v>45</v>
      </c>
      <c r="J347" s="23">
        <f>ROUND(93*1,0)&amp;"%"</f>
      </c>
    </row>
    <row x14ac:dyDescent="0.25" r="348" customHeight="1" ht="17.25">
      <c r="A348" s="17" t="s">
        <v>1384</v>
      </c>
      <c r="B348" s="17" t="s">
        <v>560</v>
      </c>
      <c r="C348" s="17" t="s">
        <v>15</v>
      </c>
      <c r="D348" s="17" t="s">
        <v>16</v>
      </c>
      <c r="E348" s="18">
        <f>ROUND(17079*1.05,2)</f>
      </c>
      <c r="F348" s="17" t="s">
        <v>48</v>
      </c>
      <c r="G348" s="17" t="s">
        <v>18</v>
      </c>
      <c r="H348" s="18">
        <f>ROUND(RAND()*4+6,1)</f>
      </c>
      <c r="I348" s="17" t="s">
        <v>19</v>
      </c>
      <c r="J348" s="19">
        <f>ROUND(61*1,0)&amp;"%"</f>
      </c>
    </row>
    <row x14ac:dyDescent="0.25" r="349" customHeight="1" ht="17.25">
      <c r="A349" s="20" t="s">
        <v>1385</v>
      </c>
      <c r="B349" s="20" t="s">
        <v>562</v>
      </c>
      <c r="C349" s="20" t="s">
        <v>15</v>
      </c>
      <c r="D349" s="20" t="s">
        <v>22</v>
      </c>
      <c r="E349" s="21">
        <f>ROUND(15605*1.05,2)</f>
      </c>
      <c r="F349" s="20" t="s">
        <v>51</v>
      </c>
      <c r="G349" s="20" t="s">
        <v>24</v>
      </c>
      <c r="H349" s="21">
        <f>ROUND(RAND()*4+6,1)</f>
      </c>
      <c r="I349" s="20" t="s">
        <v>25</v>
      </c>
      <c r="J349" s="23">
        <f>ROUND(99*1,0)&amp;"%"</f>
      </c>
    </row>
    <row x14ac:dyDescent="0.25" r="350" customHeight="1" ht="17.25">
      <c r="A350" s="24" t="s">
        <v>563</v>
      </c>
      <c r="B350" s="24"/>
      <c r="C350" s="24"/>
      <c r="D350" s="24"/>
      <c r="E350" s="25">
        <v>8</v>
      </c>
      <c r="F350" s="9"/>
      <c r="G350" s="9"/>
      <c r="H350" s="10"/>
      <c r="I350" s="9"/>
      <c r="J350" s="9"/>
    </row>
    <row x14ac:dyDescent="0.25" r="351" customHeight="1" ht="17.25">
      <c r="A351" s="7"/>
      <c r="B351" s="7"/>
      <c r="C351" s="7"/>
      <c r="D351" s="7"/>
      <c r="E351" s="8"/>
      <c r="F351" s="9"/>
      <c r="G351" s="9"/>
      <c r="H351" s="10"/>
      <c r="I351" s="9"/>
      <c r="J351" s="9"/>
    </row>
    <row x14ac:dyDescent="0.25" r="352" customHeight="1" ht="17.25">
      <c r="A352" s="11" t="s">
        <v>1386</v>
      </c>
      <c r="B352" s="11"/>
      <c r="C352" s="11"/>
      <c r="D352" s="11"/>
      <c r="E352" s="12"/>
      <c r="F352" s="11"/>
      <c r="G352" s="11"/>
      <c r="H352" s="13"/>
      <c r="I352" s="11"/>
      <c r="J352" s="11"/>
    </row>
    <row x14ac:dyDescent="0.25" r="353" customHeight="1" ht="17.25">
      <c r="A353" s="14" t="s">
        <v>3</v>
      </c>
      <c r="B353" s="14" t="s">
        <v>4</v>
      </c>
      <c r="C353" s="14" t="s">
        <v>5</v>
      </c>
      <c r="D353" s="14" t="s">
        <v>6</v>
      </c>
      <c r="E353" s="15" t="s">
        <v>7</v>
      </c>
      <c r="F353" s="14" t="s">
        <v>8</v>
      </c>
      <c r="G353" s="14" t="s">
        <v>9</v>
      </c>
      <c r="H353" s="16" t="s">
        <v>10</v>
      </c>
      <c r="I353" s="14" t="s">
        <v>11</v>
      </c>
      <c r="J353" s="14" t="s">
        <v>12</v>
      </c>
    </row>
    <row x14ac:dyDescent="0.25" r="354" customHeight="1" ht="17.25">
      <c r="A354" s="17" t="s">
        <v>1387</v>
      </c>
      <c r="B354" s="17" t="s">
        <v>566</v>
      </c>
      <c r="C354" s="17" t="s">
        <v>56</v>
      </c>
      <c r="D354" s="17" t="s">
        <v>16</v>
      </c>
      <c r="E354" s="18">
        <f>ROUND(4881*1.05,2)</f>
      </c>
      <c r="F354" s="17" t="s">
        <v>17</v>
      </c>
      <c r="G354" s="17" t="s">
        <v>18</v>
      </c>
      <c r="H354" s="18">
        <f>ROUND(RAND()*4+6,1)</f>
      </c>
      <c r="I354" s="17" t="s">
        <v>19</v>
      </c>
      <c r="J354" s="19">
        <f>ROUND(70*1,0)&amp;"%"</f>
      </c>
    </row>
    <row x14ac:dyDescent="0.25" r="355" customHeight="1" ht="17.25">
      <c r="A355" s="20" t="s">
        <v>1388</v>
      </c>
      <c r="B355" s="20" t="s">
        <v>568</v>
      </c>
      <c r="C355" s="20" t="s">
        <v>56</v>
      </c>
      <c r="D355" s="20" t="s">
        <v>22</v>
      </c>
      <c r="E355" s="21">
        <f>ROUND(9061*1.05,2)</f>
      </c>
      <c r="F355" s="20" t="s">
        <v>23</v>
      </c>
      <c r="G355" s="20" t="s">
        <v>24</v>
      </c>
      <c r="H355" s="21">
        <f>ROUND(RAND()*4+6,1)</f>
      </c>
      <c r="I355" s="20" t="s">
        <v>25</v>
      </c>
      <c r="J355" s="23">
        <f>ROUND(60*1,0)&amp;"%"</f>
      </c>
    </row>
    <row x14ac:dyDescent="0.25" r="356" customHeight="1" ht="17.25">
      <c r="A356" s="17" t="s">
        <v>1389</v>
      </c>
      <c r="B356" s="17" t="s">
        <v>570</v>
      </c>
      <c r="C356" s="17" t="s">
        <v>56</v>
      </c>
      <c r="D356" s="17" t="s">
        <v>28</v>
      </c>
      <c r="E356" s="18">
        <f>ROUND(9887*1.05,2)</f>
      </c>
      <c r="F356" s="17" t="s">
        <v>29</v>
      </c>
      <c r="G356" s="17" t="s">
        <v>30</v>
      </c>
      <c r="H356" s="26">
        <f>ROUND(RAND()*4+6,1)</f>
      </c>
      <c r="I356" s="17" t="s">
        <v>31</v>
      </c>
      <c r="J356" s="19">
        <f>ROUND(62*1,0)&amp;"%"</f>
      </c>
    </row>
    <row x14ac:dyDescent="0.25" r="357" customHeight="1" ht="17.25">
      <c r="A357" s="20" t="s">
        <v>1390</v>
      </c>
      <c r="B357" s="20" t="s">
        <v>572</v>
      </c>
      <c r="C357" s="20" t="s">
        <v>56</v>
      </c>
      <c r="D357" s="20" t="s">
        <v>34</v>
      </c>
      <c r="E357" s="21">
        <f>ROUND(15414*1.05,2)</f>
      </c>
      <c r="F357" s="20" t="s">
        <v>35</v>
      </c>
      <c r="G357" s="20" t="s">
        <v>18</v>
      </c>
      <c r="H357" s="22">
        <f>ROUND(RAND()*4+6,1)</f>
      </c>
      <c r="I357" s="20" t="s">
        <v>36</v>
      </c>
      <c r="J357" s="23">
        <f>ROUND(69*1,0)&amp;"%"</f>
      </c>
    </row>
    <row x14ac:dyDescent="0.25" r="358" customHeight="1" ht="17.25">
      <c r="A358" s="17" t="s">
        <v>1391</v>
      </c>
      <c r="B358" s="17" t="s">
        <v>574</v>
      </c>
      <c r="C358" s="17" t="s">
        <v>56</v>
      </c>
      <c r="D358" s="17" t="s">
        <v>39</v>
      </c>
      <c r="E358" s="18">
        <f>ROUND(5961*1.05,2)</f>
      </c>
      <c r="F358" s="17" t="s">
        <v>40</v>
      </c>
      <c r="G358" s="17" t="s">
        <v>24</v>
      </c>
      <c r="H358" s="18">
        <f>ROUND(RAND()*4+6,1)</f>
      </c>
      <c r="I358" s="17" t="s">
        <v>41</v>
      </c>
      <c r="J358" s="19">
        <f>ROUND(98*1,0)&amp;"%"</f>
      </c>
    </row>
    <row x14ac:dyDescent="0.25" r="359" customHeight="1" ht="17.25">
      <c r="A359" s="20" t="s">
        <v>1392</v>
      </c>
      <c r="B359" s="20" t="s">
        <v>576</v>
      </c>
      <c r="C359" s="20" t="s">
        <v>56</v>
      </c>
      <c r="D359" s="20" t="s">
        <v>67</v>
      </c>
      <c r="E359" s="21">
        <f>ROUND(14557*1.05,2)</f>
      </c>
      <c r="F359" s="20" t="s">
        <v>44</v>
      </c>
      <c r="G359" s="20" t="s">
        <v>30</v>
      </c>
      <c r="H359" s="21">
        <f>ROUND(RAND()*4+6,1)</f>
      </c>
      <c r="I359" s="20" t="s">
        <v>45</v>
      </c>
      <c r="J359" s="23">
        <f>ROUND(72*1,0)&amp;"%"</f>
      </c>
    </row>
    <row x14ac:dyDescent="0.25" r="360" customHeight="1" ht="17.25">
      <c r="A360" s="17" t="s">
        <v>1393</v>
      </c>
      <c r="B360" s="17" t="s">
        <v>578</v>
      </c>
      <c r="C360" s="17" t="s">
        <v>56</v>
      </c>
      <c r="D360" s="17" t="s">
        <v>16</v>
      </c>
      <c r="E360" s="18">
        <f>ROUND(5373*1.05,2)</f>
      </c>
      <c r="F360" s="17" t="s">
        <v>48</v>
      </c>
      <c r="G360" s="17" t="s">
        <v>18</v>
      </c>
      <c r="H360" s="18">
        <f>ROUND(RAND()*4+6,1)</f>
      </c>
      <c r="I360" s="17" t="s">
        <v>19</v>
      </c>
      <c r="J360" s="19">
        <f>ROUND(69*1,0)&amp;"%"</f>
      </c>
    </row>
    <row x14ac:dyDescent="0.25" r="361" customHeight="1" ht="17.25">
      <c r="A361" s="20" t="s">
        <v>1394</v>
      </c>
      <c r="B361" s="20" t="s">
        <v>580</v>
      </c>
      <c r="C361" s="20" t="s">
        <v>56</v>
      </c>
      <c r="D361" s="20" t="s">
        <v>22</v>
      </c>
      <c r="E361" s="21">
        <f>ROUND(4323*1.05,2)</f>
      </c>
      <c r="F361" s="20" t="s">
        <v>51</v>
      </c>
      <c r="G361" s="20" t="s">
        <v>24</v>
      </c>
      <c r="H361" s="21">
        <f>ROUND(RAND()*4+6,1)</f>
      </c>
      <c r="I361" s="20" t="s">
        <v>25</v>
      </c>
      <c r="J361" s="23">
        <f>ROUND(89*1,0)&amp;"%"</f>
      </c>
    </row>
    <row x14ac:dyDescent="0.25" r="362" customHeight="1" ht="17.25">
      <c r="A362" s="24" t="s">
        <v>581</v>
      </c>
      <c r="B362" s="24"/>
      <c r="C362" s="24"/>
      <c r="D362" s="24"/>
      <c r="E362" s="25">
        <v>8</v>
      </c>
      <c r="F362" s="9"/>
      <c r="G362" s="9"/>
      <c r="H362" s="10"/>
      <c r="I362" s="9"/>
      <c r="J362" s="9"/>
    </row>
  </sheetData>
  <mergeCells count="62">
    <mergeCell ref="A1:J1"/>
    <mergeCell ref="A2:J2"/>
    <mergeCell ref="A4:J4"/>
    <mergeCell ref="A14:D14"/>
    <mergeCell ref="A16:J16"/>
    <mergeCell ref="A26:D26"/>
    <mergeCell ref="A28:J28"/>
    <mergeCell ref="A38:D38"/>
    <mergeCell ref="A40:J40"/>
    <mergeCell ref="A50:D50"/>
    <mergeCell ref="A52:J52"/>
    <mergeCell ref="A62:D62"/>
    <mergeCell ref="A64:J64"/>
    <mergeCell ref="A74:D74"/>
    <mergeCell ref="A76:J76"/>
    <mergeCell ref="A86:D86"/>
    <mergeCell ref="A88:J88"/>
    <mergeCell ref="A98:D98"/>
    <mergeCell ref="A100:J100"/>
    <mergeCell ref="A110:D110"/>
    <mergeCell ref="A112:J112"/>
    <mergeCell ref="A122:D122"/>
    <mergeCell ref="A124:J124"/>
    <mergeCell ref="A134:D134"/>
    <mergeCell ref="A136:J136"/>
    <mergeCell ref="A146:D146"/>
    <mergeCell ref="A148:J148"/>
    <mergeCell ref="A158:D158"/>
    <mergeCell ref="A160:J160"/>
    <mergeCell ref="A170:D170"/>
    <mergeCell ref="A172:J172"/>
    <mergeCell ref="A182:D182"/>
    <mergeCell ref="A184:J184"/>
    <mergeCell ref="A194:D194"/>
    <mergeCell ref="A196:J196"/>
    <mergeCell ref="A206:D206"/>
    <mergeCell ref="A208:J208"/>
    <mergeCell ref="A218:D218"/>
    <mergeCell ref="A220:J220"/>
    <mergeCell ref="A230:D230"/>
    <mergeCell ref="A232:J232"/>
    <mergeCell ref="A242:D242"/>
    <mergeCell ref="A244:J244"/>
    <mergeCell ref="A254:D254"/>
    <mergeCell ref="A256:J256"/>
    <mergeCell ref="A266:D266"/>
    <mergeCell ref="A268:J268"/>
    <mergeCell ref="A278:D278"/>
    <mergeCell ref="A280:J280"/>
    <mergeCell ref="A290:D290"/>
    <mergeCell ref="A292:J292"/>
    <mergeCell ref="A302:D302"/>
    <mergeCell ref="A304:J304"/>
    <mergeCell ref="A314:D314"/>
    <mergeCell ref="A316:J316"/>
    <mergeCell ref="A326:D326"/>
    <mergeCell ref="A328:J328"/>
    <mergeCell ref="A338:D338"/>
    <mergeCell ref="A340:J340"/>
    <mergeCell ref="A350:D350"/>
    <mergeCell ref="A352:J352"/>
    <mergeCell ref="A362:D362"/>
  </mergeCells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J362"/>
  <sheetViews>
    <sheetView workbookViewId="0"/>
  </sheetViews>
  <sheetFormatPr defaultRowHeight="15" x14ac:dyDescent="0.25"/>
  <cols>
    <col min="1" max="1" style="27" width="8.005" customWidth="1" bestFit="1"/>
    <col min="2" max="2" style="27" width="22.005" customWidth="1" bestFit="1"/>
    <col min="3" max="3" style="27" width="16.005" customWidth="1" bestFit="1"/>
    <col min="4" max="4" style="27" width="14.005" customWidth="1" bestFit="1"/>
    <col min="5" max="5" style="28" width="12.005" customWidth="1" bestFit="1"/>
    <col min="6" max="6" style="29" width="16.005" customWidth="1" bestFit="1"/>
    <col min="7" max="7" style="29" width="10.005" customWidth="1" bestFit="1"/>
    <col min="8" max="8" style="30" width="10.005" customWidth="1" bestFit="1"/>
    <col min="9" max="9" style="29" width="14.005" customWidth="1" bestFit="1"/>
    <col min="10" max="10" style="29" width="8.005" customWidth="1" bestFit="1"/>
  </cols>
  <sheetData>
    <row x14ac:dyDescent="0.25" r="1" customHeight="1" ht="17.25">
      <c r="A1" s="1" t="s">
        <v>853</v>
      </c>
      <c r="B1" s="1"/>
      <c r="C1" s="1"/>
      <c r="D1" s="1"/>
      <c r="E1" s="2"/>
      <c r="F1" s="1"/>
      <c r="G1" s="1"/>
      <c r="H1" s="3"/>
      <c r="I1" s="1"/>
      <c r="J1" s="1"/>
    </row>
    <row x14ac:dyDescent="0.25" r="2" customHeight="1" ht="17.25">
      <c r="A2" s="4" t="s">
        <v>1</v>
      </c>
      <c r="B2" s="4"/>
      <c r="C2" s="4"/>
      <c r="D2" s="4"/>
      <c r="E2" s="5"/>
      <c r="F2" s="4"/>
      <c r="G2" s="4"/>
      <c r="H2" s="6"/>
      <c r="I2" s="4"/>
      <c r="J2" s="4"/>
    </row>
    <row x14ac:dyDescent="0.25" r="3" customHeight="1" ht="17.25">
      <c r="A3" s="7"/>
      <c r="B3" s="7"/>
      <c r="C3" s="7"/>
      <c r="D3" s="7"/>
      <c r="E3" s="8"/>
      <c r="F3" s="9"/>
      <c r="G3" s="9"/>
      <c r="H3" s="10"/>
      <c r="I3" s="9"/>
      <c r="J3" s="9"/>
    </row>
    <row x14ac:dyDescent="0.25" r="4" customHeight="1" ht="17.25">
      <c r="A4" s="11" t="s">
        <v>854</v>
      </c>
      <c r="B4" s="11"/>
      <c r="C4" s="11"/>
      <c r="D4" s="11"/>
      <c r="E4" s="12"/>
      <c r="F4" s="11"/>
      <c r="G4" s="11"/>
      <c r="H4" s="13"/>
      <c r="I4" s="11"/>
      <c r="J4" s="11"/>
    </row>
    <row x14ac:dyDescent="0.25" r="5" customHeight="1" ht="17.25">
      <c r="A5" s="14" t="s">
        <v>3</v>
      </c>
      <c r="B5" s="14" t="s">
        <v>4</v>
      </c>
      <c r="C5" s="14" t="s">
        <v>5</v>
      </c>
      <c r="D5" s="14" t="s">
        <v>6</v>
      </c>
      <c r="E5" s="15" t="s">
        <v>7</v>
      </c>
      <c r="F5" s="14" t="s">
        <v>8</v>
      </c>
      <c r="G5" s="14" t="s">
        <v>9</v>
      </c>
      <c r="H5" s="16" t="s">
        <v>10</v>
      </c>
      <c r="I5" s="14" t="s">
        <v>11</v>
      </c>
      <c r="J5" s="14" t="s">
        <v>12</v>
      </c>
    </row>
    <row x14ac:dyDescent="0.25" r="6" customHeight="1" ht="17.25">
      <c r="A6" s="17" t="s">
        <v>855</v>
      </c>
      <c r="B6" s="17" t="s">
        <v>14</v>
      </c>
      <c r="C6" s="17" t="s">
        <v>15</v>
      </c>
      <c r="D6" s="17" t="s">
        <v>16</v>
      </c>
      <c r="E6" s="18">
        <f>ROUND(5293*1.05,2)</f>
      </c>
      <c r="F6" s="17" t="s">
        <v>17</v>
      </c>
      <c r="G6" s="17" t="s">
        <v>18</v>
      </c>
      <c r="H6" s="18">
        <f>ROUND(RAND()*4+6,1)</f>
      </c>
      <c r="I6" s="17" t="s">
        <v>19</v>
      </c>
      <c r="J6" s="19">
        <f>ROUND(69*1,0)&amp;"%"</f>
      </c>
    </row>
    <row x14ac:dyDescent="0.25" r="7" customHeight="1" ht="17.25">
      <c r="A7" s="20" t="s">
        <v>856</v>
      </c>
      <c r="B7" s="20" t="s">
        <v>21</v>
      </c>
      <c r="C7" s="20" t="s">
        <v>15</v>
      </c>
      <c r="D7" s="20" t="s">
        <v>22</v>
      </c>
      <c r="E7" s="21">
        <f>ROUND(13699*1.05,2)</f>
      </c>
      <c r="F7" s="20" t="s">
        <v>23</v>
      </c>
      <c r="G7" s="20" t="s">
        <v>24</v>
      </c>
      <c r="H7" s="21">
        <f>ROUND(RAND()*4+6,1)</f>
      </c>
      <c r="I7" s="20" t="s">
        <v>25</v>
      </c>
      <c r="J7" s="23">
        <f>ROUND(97*1,0)&amp;"%"</f>
      </c>
    </row>
    <row x14ac:dyDescent="0.25" r="8" customHeight="1" ht="17.25">
      <c r="A8" s="17" t="s">
        <v>857</v>
      </c>
      <c r="B8" s="17" t="s">
        <v>27</v>
      </c>
      <c r="C8" s="17" t="s">
        <v>15</v>
      </c>
      <c r="D8" s="17" t="s">
        <v>28</v>
      </c>
      <c r="E8" s="18">
        <f>ROUND(5666*1.05,2)</f>
      </c>
      <c r="F8" s="17" t="s">
        <v>29</v>
      </c>
      <c r="G8" s="17" t="s">
        <v>30</v>
      </c>
      <c r="H8" s="18">
        <f>ROUND(RAND()*4+6,1)</f>
      </c>
      <c r="I8" s="17" t="s">
        <v>31</v>
      </c>
      <c r="J8" s="19">
        <f>ROUND(88*1,0)&amp;"%"</f>
      </c>
    </row>
    <row x14ac:dyDescent="0.25" r="9" customHeight="1" ht="17.25">
      <c r="A9" s="20" t="s">
        <v>858</v>
      </c>
      <c r="B9" s="20" t="s">
        <v>33</v>
      </c>
      <c r="C9" s="20" t="s">
        <v>15</v>
      </c>
      <c r="D9" s="20" t="s">
        <v>34</v>
      </c>
      <c r="E9" s="21">
        <f>ROUND(6497*1.05,2)</f>
      </c>
      <c r="F9" s="20" t="s">
        <v>35</v>
      </c>
      <c r="G9" s="20" t="s">
        <v>18</v>
      </c>
      <c r="H9" s="21">
        <f>ROUND(RAND()*4+6,1)</f>
      </c>
      <c r="I9" s="20" t="s">
        <v>36</v>
      </c>
      <c r="J9" s="23">
        <f>ROUND(82*1,0)&amp;"%"</f>
      </c>
    </row>
    <row x14ac:dyDescent="0.25" r="10" customHeight="1" ht="17.25">
      <c r="A10" s="17" t="s">
        <v>859</v>
      </c>
      <c r="B10" s="17" t="s">
        <v>38</v>
      </c>
      <c r="C10" s="17" t="s">
        <v>15</v>
      </c>
      <c r="D10" s="17" t="s">
        <v>39</v>
      </c>
      <c r="E10" s="18">
        <f>ROUND(9247*1.05,2)</f>
      </c>
      <c r="F10" s="17" t="s">
        <v>40</v>
      </c>
      <c r="G10" s="17" t="s">
        <v>24</v>
      </c>
      <c r="H10" s="18">
        <f>ROUND(RAND()*4+6,1)</f>
      </c>
      <c r="I10" s="17" t="s">
        <v>41</v>
      </c>
      <c r="J10" s="19">
        <f>ROUND(98*1,0)&amp;"%"</f>
      </c>
    </row>
    <row x14ac:dyDescent="0.25" r="11" customHeight="1" ht="17.25">
      <c r="A11" s="20" t="s">
        <v>860</v>
      </c>
      <c r="B11" s="20" t="s">
        <v>43</v>
      </c>
      <c r="C11" s="20" t="s">
        <v>15</v>
      </c>
      <c r="D11" s="20" t="s">
        <v>67</v>
      </c>
      <c r="E11" s="21">
        <f>ROUND(10304*1.05,2)</f>
      </c>
      <c r="F11" s="20" t="s">
        <v>44</v>
      </c>
      <c r="G11" s="20" t="s">
        <v>30</v>
      </c>
      <c r="H11" s="21">
        <f>ROUND(RAND()*4+6,1)</f>
      </c>
      <c r="I11" s="20" t="s">
        <v>45</v>
      </c>
      <c r="J11" s="23">
        <f>ROUND(72*1,0)&amp;"%"</f>
      </c>
    </row>
    <row x14ac:dyDescent="0.25" r="12" customHeight="1" ht="17.25">
      <c r="A12" s="17" t="s">
        <v>861</v>
      </c>
      <c r="B12" s="17" t="s">
        <v>47</v>
      </c>
      <c r="C12" s="17" t="s">
        <v>15</v>
      </c>
      <c r="D12" s="17" t="s">
        <v>16</v>
      </c>
      <c r="E12" s="18">
        <f>ROUND(9144*1.05,2)</f>
      </c>
      <c r="F12" s="17" t="s">
        <v>48</v>
      </c>
      <c r="G12" s="17" t="s">
        <v>18</v>
      </c>
      <c r="H12" s="26">
        <f>ROUND(RAND()*4+6,1)</f>
      </c>
      <c r="I12" s="17" t="s">
        <v>19</v>
      </c>
      <c r="J12" s="19">
        <f>ROUND(87*1,0)&amp;"%"</f>
      </c>
    </row>
    <row x14ac:dyDescent="0.25" r="13" customHeight="1" ht="17.25">
      <c r="A13" s="20" t="s">
        <v>862</v>
      </c>
      <c r="B13" s="20" t="s">
        <v>50</v>
      </c>
      <c r="C13" s="20" t="s">
        <v>15</v>
      </c>
      <c r="D13" s="20" t="s">
        <v>22</v>
      </c>
      <c r="E13" s="21">
        <f>ROUND(14177*1.05,2)</f>
      </c>
      <c r="F13" s="20" t="s">
        <v>51</v>
      </c>
      <c r="G13" s="20" t="s">
        <v>24</v>
      </c>
      <c r="H13" s="21">
        <f>ROUND(RAND()*4+6,1)</f>
      </c>
      <c r="I13" s="20" t="s">
        <v>25</v>
      </c>
      <c r="J13" s="23">
        <f>ROUND(66*1,0)&amp;"%"</f>
      </c>
    </row>
    <row x14ac:dyDescent="0.25" r="14" customHeight="1" ht="17.25">
      <c r="A14" s="24" t="s">
        <v>52</v>
      </c>
      <c r="B14" s="24"/>
      <c r="C14" s="24"/>
      <c r="D14" s="24"/>
      <c r="E14" s="25">
        <v>8</v>
      </c>
      <c r="F14" s="9"/>
      <c r="G14" s="9"/>
      <c r="H14" s="10"/>
      <c r="I14" s="9"/>
      <c r="J14" s="9"/>
    </row>
    <row x14ac:dyDescent="0.25" r="15" customHeight="1" ht="17.25">
      <c r="A15" s="7"/>
      <c r="B15" s="7"/>
      <c r="C15" s="7"/>
      <c r="D15" s="7"/>
      <c r="E15" s="8"/>
      <c r="F15" s="9"/>
      <c r="G15" s="9"/>
      <c r="H15" s="10"/>
      <c r="I15" s="9"/>
      <c r="J15" s="9"/>
    </row>
    <row x14ac:dyDescent="0.25" r="16" customHeight="1" ht="17.25">
      <c r="A16" s="11" t="s">
        <v>863</v>
      </c>
      <c r="B16" s="11"/>
      <c r="C16" s="11"/>
      <c r="D16" s="11"/>
      <c r="E16" s="12"/>
      <c r="F16" s="11"/>
      <c r="G16" s="11"/>
      <c r="H16" s="13"/>
      <c r="I16" s="11"/>
      <c r="J16" s="11"/>
    </row>
    <row x14ac:dyDescent="0.25" r="17" customHeight="1" ht="17.25">
      <c r="A17" s="14" t="s">
        <v>3</v>
      </c>
      <c r="B17" s="14" t="s">
        <v>4</v>
      </c>
      <c r="C17" s="14" t="s">
        <v>5</v>
      </c>
      <c r="D17" s="14" t="s">
        <v>6</v>
      </c>
      <c r="E17" s="15" t="s">
        <v>7</v>
      </c>
      <c r="F17" s="14" t="s">
        <v>8</v>
      </c>
      <c r="G17" s="14" t="s">
        <v>9</v>
      </c>
      <c r="H17" s="16" t="s">
        <v>10</v>
      </c>
      <c r="I17" s="14" t="s">
        <v>11</v>
      </c>
      <c r="J17" s="14" t="s">
        <v>12</v>
      </c>
    </row>
    <row x14ac:dyDescent="0.25" r="18" customHeight="1" ht="17.25">
      <c r="A18" s="17" t="s">
        <v>864</v>
      </c>
      <c r="B18" s="17" t="s">
        <v>55</v>
      </c>
      <c r="C18" s="17" t="s">
        <v>56</v>
      </c>
      <c r="D18" s="17" t="s">
        <v>16</v>
      </c>
      <c r="E18" s="18">
        <f>ROUND(13686*1.05,2)</f>
      </c>
      <c r="F18" s="17" t="s">
        <v>17</v>
      </c>
      <c r="G18" s="17" t="s">
        <v>18</v>
      </c>
      <c r="H18" s="18">
        <f>ROUND(RAND()*4+6,1)</f>
      </c>
      <c r="I18" s="17" t="s">
        <v>19</v>
      </c>
      <c r="J18" s="19">
        <f>ROUND(60*1,0)&amp;"%"</f>
      </c>
    </row>
    <row x14ac:dyDescent="0.25" r="19" customHeight="1" ht="17.25">
      <c r="A19" s="20" t="s">
        <v>865</v>
      </c>
      <c r="B19" s="20" t="s">
        <v>58</v>
      </c>
      <c r="C19" s="20" t="s">
        <v>56</v>
      </c>
      <c r="D19" s="20" t="s">
        <v>22</v>
      </c>
      <c r="E19" s="21">
        <f>ROUND(8016*1.05,2)</f>
      </c>
      <c r="F19" s="20" t="s">
        <v>23</v>
      </c>
      <c r="G19" s="20" t="s">
        <v>24</v>
      </c>
      <c r="H19" s="21">
        <f>ROUND(RAND()*4+6,1)</f>
      </c>
      <c r="I19" s="20" t="s">
        <v>25</v>
      </c>
      <c r="J19" s="23">
        <f>ROUND(71*1,0)&amp;"%"</f>
      </c>
    </row>
    <row x14ac:dyDescent="0.25" r="20" customHeight="1" ht="17.25">
      <c r="A20" s="17" t="s">
        <v>866</v>
      </c>
      <c r="B20" s="17" t="s">
        <v>60</v>
      </c>
      <c r="C20" s="17" t="s">
        <v>56</v>
      </c>
      <c r="D20" s="17" t="s">
        <v>28</v>
      </c>
      <c r="E20" s="18">
        <f>ROUND(13391*1.05,2)</f>
      </c>
      <c r="F20" s="17" t="s">
        <v>29</v>
      </c>
      <c r="G20" s="17" t="s">
        <v>30</v>
      </c>
      <c r="H20" s="18">
        <f>ROUND(RAND()*4+6,1)</f>
      </c>
      <c r="I20" s="17" t="s">
        <v>31</v>
      </c>
      <c r="J20" s="19">
        <f>ROUND(83*1,0)&amp;"%"</f>
      </c>
    </row>
    <row x14ac:dyDescent="0.25" r="21" customHeight="1" ht="17.25">
      <c r="A21" s="20" t="s">
        <v>867</v>
      </c>
      <c r="B21" s="20" t="s">
        <v>62</v>
      </c>
      <c r="C21" s="20" t="s">
        <v>56</v>
      </c>
      <c r="D21" s="20" t="s">
        <v>34</v>
      </c>
      <c r="E21" s="21">
        <f>ROUND(11604*1.05,2)</f>
      </c>
      <c r="F21" s="20" t="s">
        <v>35</v>
      </c>
      <c r="G21" s="20" t="s">
        <v>18</v>
      </c>
      <c r="H21" s="22">
        <f>ROUND(RAND()*4+6,1)</f>
      </c>
      <c r="I21" s="20" t="s">
        <v>36</v>
      </c>
      <c r="J21" s="23">
        <f>ROUND(92*1,0)&amp;"%"</f>
      </c>
    </row>
    <row x14ac:dyDescent="0.25" r="22" customHeight="1" ht="17.25">
      <c r="A22" s="17" t="s">
        <v>868</v>
      </c>
      <c r="B22" s="17" t="s">
        <v>64</v>
      </c>
      <c r="C22" s="17" t="s">
        <v>56</v>
      </c>
      <c r="D22" s="17" t="s">
        <v>39</v>
      </c>
      <c r="E22" s="18">
        <f>ROUND(8952*1.05,2)</f>
      </c>
      <c r="F22" s="17" t="s">
        <v>40</v>
      </c>
      <c r="G22" s="17" t="s">
        <v>24</v>
      </c>
      <c r="H22" s="18">
        <f>ROUND(RAND()*4+6,1)</f>
      </c>
      <c r="I22" s="17" t="s">
        <v>41</v>
      </c>
      <c r="J22" s="19">
        <f>ROUND(69*1,0)&amp;"%"</f>
      </c>
    </row>
    <row x14ac:dyDescent="0.25" r="23" customHeight="1" ht="17.25">
      <c r="A23" s="20" t="s">
        <v>869</v>
      </c>
      <c r="B23" s="20" t="s">
        <v>66</v>
      </c>
      <c r="C23" s="20" t="s">
        <v>56</v>
      </c>
      <c r="D23" s="20" t="s">
        <v>67</v>
      </c>
      <c r="E23" s="21">
        <f>ROUND(16408*1.05,2)</f>
      </c>
      <c r="F23" s="20" t="s">
        <v>44</v>
      </c>
      <c r="G23" s="20" t="s">
        <v>30</v>
      </c>
      <c r="H23" s="21">
        <f>ROUND(RAND()*4+6,1)</f>
      </c>
      <c r="I23" s="20" t="s">
        <v>45</v>
      </c>
      <c r="J23" s="23">
        <f>ROUND(74*1,0)&amp;"%"</f>
      </c>
    </row>
    <row x14ac:dyDescent="0.25" r="24" customHeight="1" ht="17.25">
      <c r="A24" s="17" t="s">
        <v>870</v>
      </c>
      <c r="B24" s="17" t="s">
        <v>69</v>
      </c>
      <c r="C24" s="17" t="s">
        <v>56</v>
      </c>
      <c r="D24" s="17" t="s">
        <v>16</v>
      </c>
      <c r="E24" s="18">
        <f>ROUND(14917*1.05,2)</f>
      </c>
      <c r="F24" s="17" t="s">
        <v>48</v>
      </c>
      <c r="G24" s="17" t="s">
        <v>18</v>
      </c>
      <c r="H24" s="18">
        <f>ROUND(RAND()*4+6,1)</f>
      </c>
      <c r="I24" s="17" t="s">
        <v>19</v>
      </c>
      <c r="J24" s="19">
        <f>ROUND(83*1,0)&amp;"%"</f>
      </c>
    </row>
    <row x14ac:dyDescent="0.25" r="25" customHeight="1" ht="17.25">
      <c r="A25" s="20" t="s">
        <v>871</v>
      </c>
      <c r="B25" s="20" t="s">
        <v>71</v>
      </c>
      <c r="C25" s="20" t="s">
        <v>56</v>
      </c>
      <c r="D25" s="20" t="s">
        <v>22</v>
      </c>
      <c r="E25" s="21">
        <f>ROUND(9719*1.05,2)</f>
      </c>
      <c r="F25" s="20" t="s">
        <v>51</v>
      </c>
      <c r="G25" s="20" t="s">
        <v>24</v>
      </c>
      <c r="H25" s="21">
        <f>ROUND(RAND()*4+6,1)</f>
      </c>
      <c r="I25" s="20" t="s">
        <v>25</v>
      </c>
      <c r="J25" s="23">
        <f>ROUND(63*1,0)&amp;"%"</f>
      </c>
    </row>
    <row x14ac:dyDescent="0.25" r="26" customHeight="1" ht="17.25">
      <c r="A26" s="24" t="s">
        <v>72</v>
      </c>
      <c r="B26" s="24"/>
      <c r="C26" s="24"/>
      <c r="D26" s="24"/>
      <c r="E26" s="25">
        <v>8</v>
      </c>
      <c r="F26" s="9"/>
      <c r="G26" s="9"/>
      <c r="H26" s="10"/>
      <c r="I26" s="9"/>
      <c r="J26" s="9"/>
    </row>
    <row x14ac:dyDescent="0.25" r="27" customHeight="1" ht="17.25">
      <c r="A27" s="7"/>
      <c r="B27" s="7"/>
      <c r="C27" s="7"/>
      <c r="D27" s="7"/>
      <c r="E27" s="8"/>
      <c r="F27" s="9"/>
      <c r="G27" s="9"/>
      <c r="H27" s="10"/>
      <c r="I27" s="9"/>
      <c r="J27" s="9"/>
    </row>
    <row x14ac:dyDescent="0.25" r="28" customHeight="1" ht="17.25">
      <c r="A28" s="11" t="s">
        <v>872</v>
      </c>
      <c r="B28" s="11"/>
      <c r="C28" s="11"/>
      <c r="D28" s="11"/>
      <c r="E28" s="12"/>
      <c r="F28" s="11"/>
      <c r="G28" s="11"/>
      <c r="H28" s="13"/>
      <c r="I28" s="11"/>
      <c r="J28" s="11"/>
    </row>
    <row x14ac:dyDescent="0.25" r="29" customHeight="1" ht="17.25">
      <c r="A29" s="14" t="s">
        <v>3</v>
      </c>
      <c r="B29" s="14" t="s">
        <v>4</v>
      </c>
      <c r="C29" s="14" t="s">
        <v>5</v>
      </c>
      <c r="D29" s="14" t="s">
        <v>6</v>
      </c>
      <c r="E29" s="15" t="s">
        <v>7</v>
      </c>
      <c r="F29" s="14" t="s">
        <v>8</v>
      </c>
      <c r="G29" s="14" t="s">
        <v>9</v>
      </c>
      <c r="H29" s="16" t="s">
        <v>10</v>
      </c>
      <c r="I29" s="14" t="s">
        <v>11</v>
      </c>
      <c r="J29" s="14" t="s">
        <v>12</v>
      </c>
    </row>
    <row x14ac:dyDescent="0.25" r="30" customHeight="1" ht="17.25">
      <c r="A30" s="17" t="s">
        <v>873</v>
      </c>
      <c r="B30" s="17" t="s">
        <v>75</v>
      </c>
      <c r="C30" s="17" t="s">
        <v>76</v>
      </c>
      <c r="D30" s="17" t="s">
        <v>16</v>
      </c>
      <c r="E30" s="18">
        <f>ROUND(15604*1.05,2)</f>
      </c>
      <c r="F30" s="17" t="s">
        <v>17</v>
      </c>
      <c r="G30" s="17" t="s">
        <v>18</v>
      </c>
      <c r="H30" s="18">
        <f>ROUND(RAND()*4+6,1)</f>
      </c>
      <c r="I30" s="17" t="s">
        <v>19</v>
      </c>
      <c r="J30" s="19">
        <f>ROUND(67*1,0)&amp;"%"</f>
      </c>
    </row>
    <row x14ac:dyDescent="0.25" r="31" customHeight="1" ht="17.25">
      <c r="A31" s="20" t="s">
        <v>874</v>
      </c>
      <c r="B31" s="20" t="s">
        <v>78</v>
      </c>
      <c r="C31" s="20" t="s">
        <v>76</v>
      </c>
      <c r="D31" s="20" t="s">
        <v>22</v>
      </c>
      <c r="E31" s="21">
        <f>ROUND(8058*1.05,2)</f>
      </c>
      <c r="F31" s="20" t="s">
        <v>23</v>
      </c>
      <c r="G31" s="20" t="s">
        <v>24</v>
      </c>
      <c r="H31" s="21">
        <f>ROUND(RAND()*4+6,1)</f>
      </c>
      <c r="I31" s="20" t="s">
        <v>25</v>
      </c>
      <c r="J31" s="23">
        <f>ROUND(91*1,0)&amp;"%"</f>
      </c>
    </row>
    <row x14ac:dyDescent="0.25" r="32" customHeight="1" ht="17.25">
      <c r="A32" s="17" t="s">
        <v>875</v>
      </c>
      <c r="B32" s="17" t="s">
        <v>80</v>
      </c>
      <c r="C32" s="17" t="s">
        <v>76</v>
      </c>
      <c r="D32" s="17" t="s">
        <v>28</v>
      </c>
      <c r="E32" s="18">
        <f>ROUND(16075*1.05,2)</f>
      </c>
      <c r="F32" s="17" t="s">
        <v>29</v>
      </c>
      <c r="G32" s="17" t="s">
        <v>30</v>
      </c>
      <c r="H32" s="18">
        <f>ROUND(RAND()*4+6,1)</f>
      </c>
      <c r="I32" s="17" t="s">
        <v>31</v>
      </c>
      <c r="J32" s="19">
        <f>ROUND(98*1,0)&amp;"%"</f>
      </c>
    </row>
    <row x14ac:dyDescent="0.25" r="33" customHeight="1" ht="17.25">
      <c r="A33" s="20" t="s">
        <v>876</v>
      </c>
      <c r="B33" s="20" t="s">
        <v>82</v>
      </c>
      <c r="C33" s="20" t="s">
        <v>76</v>
      </c>
      <c r="D33" s="20" t="s">
        <v>34</v>
      </c>
      <c r="E33" s="21">
        <f>ROUND(15049*1.05,2)</f>
      </c>
      <c r="F33" s="20" t="s">
        <v>35</v>
      </c>
      <c r="G33" s="20" t="s">
        <v>18</v>
      </c>
      <c r="H33" s="22">
        <f>ROUND(RAND()*4+6,1)</f>
      </c>
      <c r="I33" s="20" t="s">
        <v>36</v>
      </c>
      <c r="J33" s="23">
        <f>ROUND(64*1,0)&amp;"%"</f>
      </c>
    </row>
    <row x14ac:dyDescent="0.25" r="34" customHeight="1" ht="17.25">
      <c r="A34" s="17" t="s">
        <v>877</v>
      </c>
      <c r="B34" s="17" t="s">
        <v>84</v>
      </c>
      <c r="C34" s="17" t="s">
        <v>76</v>
      </c>
      <c r="D34" s="17" t="s">
        <v>39</v>
      </c>
      <c r="E34" s="18">
        <f>ROUND(8478*1.05,2)</f>
      </c>
      <c r="F34" s="17" t="s">
        <v>40</v>
      </c>
      <c r="G34" s="17" t="s">
        <v>24</v>
      </c>
      <c r="H34" s="18">
        <f>ROUND(RAND()*4+6,1)</f>
      </c>
      <c r="I34" s="17" t="s">
        <v>41</v>
      </c>
      <c r="J34" s="19">
        <f>ROUND(73*1,0)&amp;"%"</f>
      </c>
    </row>
    <row x14ac:dyDescent="0.25" r="35" customHeight="1" ht="17.25">
      <c r="A35" s="20" t="s">
        <v>878</v>
      </c>
      <c r="B35" s="20" t="s">
        <v>86</v>
      </c>
      <c r="C35" s="20" t="s">
        <v>76</v>
      </c>
      <c r="D35" s="20" t="s">
        <v>67</v>
      </c>
      <c r="E35" s="21">
        <f>ROUND(13803*1.05,2)</f>
      </c>
      <c r="F35" s="20" t="s">
        <v>44</v>
      </c>
      <c r="G35" s="20" t="s">
        <v>30</v>
      </c>
      <c r="H35" s="21">
        <f>ROUND(RAND()*4+6,1)</f>
      </c>
      <c r="I35" s="20" t="s">
        <v>45</v>
      </c>
      <c r="J35" s="23">
        <f>ROUND(67*1,0)&amp;"%"</f>
      </c>
    </row>
    <row x14ac:dyDescent="0.25" r="36" customHeight="1" ht="17.25">
      <c r="A36" s="17" t="s">
        <v>879</v>
      </c>
      <c r="B36" s="17" t="s">
        <v>88</v>
      </c>
      <c r="C36" s="17" t="s">
        <v>76</v>
      </c>
      <c r="D36" s="17" t="s">
        <v>16</v>
      </c>
      <c r="E36" s="18">
        <f>ROUND(5514*1.05,2)</f>
      </c>
      <c r="F36" s="17" t="s">
        <v>48</v>
      </c>
      <c r="G36" s="17" t="s">
        <v>18</v>
      </c>
      <c r="H36" s="18">
        <f>ROUND(RAND()*4+6,1)</f>
      </c>
      <c r="I36" s="17" t="s">
        <v>19</v>
      </c>
      <c r="J36" s="19">
        <f>ROUND(90*1,0)&amp;"%"</f>
      </c>
    </row>
    <row x14ac:dyDescent="0.25" r="37" customHeight="1" ht="17.25">
      <c r="A37" s="20" t="s">
        <v>880</v>
      </c>
      <c r="B37" s="20" t="s">
        <v>90</v>
      </c>
      <c r="C37" s="20" t="s">
        <v>76</v>
      </c>
      <c r="D37" s="20" t="s">
        <v>22</v>
      </c>
      <c r="E37" s="21">
        <f>ROUND(14068*1.05,2)</f>
      </c>
      <c r="F37" s="20" t="s">
        <v>51</v>
      </c>
      <c r="G37" s="20" t="s">
        <v>24</v>
      </c>
      <c r="H37" s="21">
        <f>ROUND(RAND()*4+6,1)</f>
      </c>
      <c r="I37" s="20" t="s">
        <v>25</v>
      </c>
      <c r="J37" s="23">
        <f>ROUND(69*1,0)&amp;"%"</f>
      </c>
    </row>
    <row x14ac:dyDescent="0.25" r="38" customHeight="1" ht="17.25">
      <c r="A38" s="24" t="s">
        <v>91</v>
      </c>
      <c r="B38" s="24"/>
      <c r="C38" s="24"/>
      <c r="D38" s="24"/>
      <c r="E38" s="25">
        <v>8</v>
      </c>
      <c r="F38" s="9"/>
      <c r="G38" s="9"/>
      <c r="H38" s="10"/>
      <c r="I38" s="9"/>
      <c r="J38" s="9"/>
    </row>
    <row x14ac:dyDescent="0.25" r="39" customHeight="1" ht="17.25">
      <c r="A39" s="7"/>
      <c r="B39" s="7"/>
      <c r="C39" s="7"/>
      <c r="D39" s="7"/>
      <c r="E39" s="8"/>
      <c r="F39" s="9"/>
      <c r="G39" s="9"/>
      <c r="H39" s="10"/>
      <c r="I39" s="9"/>
      <c r="J39" s="9"/>
    </row>
    <row x14ac:dyDescent="0.25" r="40" customHeight="1" ht="17.25">
      <c r="A40" s="11" t="s">
        <v>881</v>
      </c>
      <c r="B40" s="11"/>
      <c r="C40" s="11"/>
      <c r="D40" s="11"/>
      <c r="E40" s="12"/>
      <c r="F40" s="11"/>
      <c r="G40" s="11"/>
      <c r="H40" s="13"/>
      <c r="I40" s="11"/>
      <c r="J40" s="11"/>
    </row>
    <row x14ac:dyDescent="0.25" r="41" customHeight="1" ht="17.25">
      <c r="A41" s="14" t="s">
        <v>3</v>
      </c>
      <c r="B41" s="14" t="s">
        <v>4</v>
      </c>
      <c r="C41" s="14" t="s">
        <v>5</v>
      </c>
      <c r="D41" s="14" t="s">
        <v>6</v>
      </c>
      <c r="E41" s="15" t="s">
        <v>7</v>
      </c>
      <c r="F41" s="14" t="s">
        <v>8</v>
      </c>
      <c r="G41" s="14" t="s">
        <v>9</v>
      </c>
      <c r="H41" s="16" t="s">
        <v>10</v>
      </c>
      <c r="I41" s="14" t="s">
        <v>11</v>
      </c>
      <c r="J41" s="14" t="s">
        <v>12</v>
      </c>
    </row>
    <row x14ac:dyDescent="0.25" r="42" customHeight="1" ht="17.25">
      <c r="A42" s="17" t="s">
        <v>882</v>
      </c>
      <c r="B42" s="17" t="s">
        <v>94</v>
      </c>
      <c r="C42" s="17" t="s">
        <v>95</v>
      </c>
      <c r="D42" s="17" t="s">
        <v>16</v>
      </c>
      <c r="E42" s="18">
        <f>ROUND(8597*1.05,2)</f>
      </c>
      <c r="F42" s="17" t="s">
        <v>17</v>
      </c>
      <c r="G42" s="17" t="s">
        <v>18</v>
      </c>
      <c r="H42" s="18">
        <f>ROUND(RAND()*4+6,1)</f>
      </c>
      <c r="I42" s="17" t="s">
        <v>19</v>
      </c>
      <c r="J42" s="19">
        <f>ROUND(85*1,0)&amp;"%"</f>
      </c>
    </row>
    <row x14ac:dyDescent="0.25" r="43" customHeight="1" ht="17.25">
      <c r="A43" s="20" t="s">
        <v>883</v>
      </c>
      <c r="B43" s="20" t="s">
        <v>97</v>
      </c>
      <c r="C43" s="20" t="s">
        <v>95</v>
      </c>
      <c r="D43" s="20" t="s">
        <v>22</v>
      </c>
      <c r="E43" s="21">
        <f>ROUND(5906*1.05,2)</f>
      </c>
      <c r="F43" s="20" t="s">
        <v>23</v>
      </c>
      <c r="G43" s="20" t="s">
        <v>24</v>
      </c>
      <c r="H43" s="21">
        <f>ROUND(RAND()*4+6,1)</f>
      </c>
      <c r="I43" s="20" t="s">
        <v>25</v>
      </c>
      <c r="J43" s="23">
        <f>ROUND(87*1,0)&amp;"%"</f>
      </c>
    </row>
    <row x14ac:dyDescent="0.25" r="44" customHeight="1" ht="17.25">
      <c r="A44" s="17" t="s">
        <v>884</v>
      </c>
      <c r="B44" s="17" t="s">
        <v>99</v>
      </c>
      <c r="C44" s="17" t="s">
        <v>95</v>
      </c>
      <c r="D44" s="17" t="s">
        <v>28</v>
      </c>
      <c r="E44" s="18">
        <f>ROUND(15237*1.05,2)</f>
      </c>
      <c r="F44" s="17" t="s">
        <v>29</v>
      </c>
      <c r="G44" s="17" t="s">
        <v>30</v>
      </c>
      <c r="H44" s="18">
        <f>ROUND(RAND()*4+6,1)</f>
      </c>
      <c r="I44" s="17" t="s">
        <v>31</v>
      </c>
      <c r="J44" s="19">
        <f>ROUND(72*1,0)&amp;"%"</f>
      </c>
    </row>
    <row x14ac:dyDescent="0.25" r="45" customHeight="1" ht="17.25">
      <c r="A45" s="20" t="s">
        <v>885</v>
      </c>
      <c r="B45" s="20" t="s">
        <v>101</v>
      </c>
      <c r="C45" s="20" t="s">
        <v>95</v>
      </c>
      <c r="D45" s="20" t="s">
        <v>34</v>
      </c>
      <c r="E45" s="21">
        <f>ROUND(5724*1.05,2)</f>
      </c>
      <c r="F45" s="20" t="s">
        <v>35</v>
      </c>
      <c r="G45" s="20" t="s">
        <v>18</v>
      </c>
      <c r="H45" s="22">
        <f>ROUND(RAND()*4+6,1)</f>
      </c>
      <c r="I45" s="20" t="s">
        <v>36</v>
      </c>
      <c r="J45" s="23">
        <f>ROUND(70*1,0)&amp;"%"</f>
      </c>
    </row>
    <row x14ac:dyDescent="0.25" r="46" customHeight="1" ht="17.25">
      <c r="A46" s="17" t="s">
        <v>886</v>
      </c>
      <c r="B46" s="17" t="s">
        <v>103</v>
      </c>
      <c r="C46" s="17" t="s">
        <v>95</v>
      </c>
      <c r="D46" s="17" t="s">
        <v>39</v>
      </c>
      <c r="E46" s="18">
        <f>ROUND(5445*1.05,2)</f>
      </c>
      <c r="F46" s="17" t="s">
        <v>40</v>
      </c>
      <c r="G46" s="17" t="s">
        <v>24</v>
      </c>
      <c r="H46" s="18">
        <f>ROUND(RAND()*4+6,1)</f>
      </c>
      <c r="I46" s="17" t="s">
        <v>41</v>
      </c>
      <c r="J46" s="19">
        <f>ROUND(79*1,0)&amp;"%"</f>
      </c>
    </row>
    <row x14ac:dyDescent="0.25" r="47" customHeight="1" ht="17.25">
      <c r="A47" s="20" t="s">
        <v>887</v>
      </c>
      <c r="B47" s="20" t="s">
        <v>105</v>
      </c>
      <c r="C47" s="20" t="s">
        <v>95</v>
      </c>
      <c r="D47" s="20" t="s">
        <v>67</v>
      </c>
      <c r="E47" s="21">
        <f>ROUND(5155*1.05,2)</f>
      </c>
      <c r="F47" s="20" t="s">
        <v>44</v>
      </c>
      <c r="G47" s="20" t="s">
        <v>30</v>
      </c>
      <c r="H47" s="21">
        <f>ROUND(RAND()*4+6,1)</f>
      </c>
      <c r="I47" s="20" t="s">
        <v>45</v>
      </c>
      <c r="J47" s="23">
        <f>ROUND(85*1,0)&amp;"%"</f>
      </c>
    </row>
    <row x14ac:dyDescent="0.25" r="48" customHeight="1" ht="17.25">
      <c r="A48" s="17" t="s">
        <v>888</v>
      </c>
      <c r="B48" s="17" t="s">
        <v>107</v>
      </c>
      <c r="C48" s="17" t="s">
        <v>95</v>
      </c>
      <c r="D48" s="17" t="s">
        <v>16</v>
      </c>
      <c r="E48" s="18">
        <f>ROUND(5034*1.05,2)</f>
      </c>
      <c r="F48" s="17" t="s">
        <v>48</v>
      </c>
      <c r="G48" s="17" t="s">
        <v>18</v>
      </c>
      <c r="H48" s="18">
        <f>ROUND(RAND()*4+6,1)</f>
      </c>
      <c r="I48" s="17" t="s">
        <v>19</v>
      </c>
      <c r="J48" s="19">
        <f>ROUND(75*1,0)&amp;"%"</f>
      </c>
    </row>
    <row x14ac:dyDescent="0.25" r="49" customHeight="1" ht="17.25">
      <c r="A49" s="20" t="s">
        <v>889</v>
      </c>
      <c r="B49" s="20" t="s">
        <v>109</v>
      </c>
      <c r="C49" s="20" t="s">
        <v>95</v>
      </c>
      <c r="D49" s="20" t="s">
        <v>22</v>
      </c>
      <c r="E49" s="21">
        <f>ROUND(11523*1.05,2)</f>
      </c>
      <c r="F49" s="20" t="s">
        <v>51</v>
      </c>
      <c r="G49" s="20" t="s">
        <v>24</v>
      </c>
      <c r="H49" s="21">
        <f>ROUND(RAND()*4+6,1)</f>
      </c>
      <c r="I49" s="20" t="s">
        <v>25</v>
      </c>
      <c r="J49" s="23">
        <f>ROUND(76*1,0)&amp;"%"</f>
      </c>
    </row>
    <row x14ac:dyDescent="0.25" r="50" customHeight="1" ht="17.25">
      <c r="A50" s="24" t="s">
        <v>110</v>
      </c>
      <c r="B50" s="24"/>
      <c r="C50" s="24"/>
      <c r="D50" s="24"/>
      <c r="E50" s="25">
        <v>8</v>
      </c>
      <c r="F50" s="9"/>
      <c r="G50" s="9"/>
      <c r="H50" s="10"/>
      <c r="I50" s="9"/>
      <c r="J50" s="9"/>
    </row>
    <row x14ac:dyDescent="0.25" r="51" customHeight="1" ht="17.25">
      <c r="A51" s="7"/>
      <c r="B51" s="7"/>
      <c r="C51" s="7"/>
      <c r="D51" s="7"/>
      <c r="E51" s="8"/>
      <c r="F51" s="9"/>
      <c r="G51" s="9"/>
      <c r="H51" s="10"/>
      <c r="I51" s="9"/>
      <c r="J51" s="9"/>
    </row>
    <row x14ac:dyDescent="0.25" r="52" customHeight="1" ht="17.25">
      <c r="A52" s="11" t="s">
        <v>890</v>
      </c>
      <c r="B52" s="11"/>
      <c r="C52" s="11"/>
      <c r="D52" s="11"/>
      <c r="E52" s="12"/>
      <c r="F52" s="11"/>
      <c r="G52" s="11"/>
      <c r="H52" s="13"/>
      <c r="I52" s="11"/>
      <c r="J52" s="11"/>
    </row>
    <row x14ac:dyDescent="0.25" r="53" customHeight="1" ht="17.25">
      <c r="A53" s="14" t="s">
        <v>3</v>
      </c>
      <c r="B53" s="14" t="s">
        <v>4</v>
      </c>
      <c r="C53" s="14" t="s">
        <v>5</v>
      </c>
      <c r="D53" s="14" t="s">
        <v>6</v>
      </c>
      <c r="E53" s="15" t="s">
        <v>7</v>
      </c>
      <c r="F53" s="14" t="s">
        <v>8</v>
      </c>
      <c r="G53" s="14" t="s">
        <v>9</v>
      </c>
      <c r="H53" s="16" t="s">
        <v>10</v>
      </c>
      <c r="I53" s="14" t="s">
        <v>11</v>
      </c>
      <c r="J53" s="14" t="s">
        <v>12</v>
      </c>
    </row>
    <row x14ac:dyDescent="0.25" r="54" customHeight="1" ht="17.25">
      <c r="A54" s="17" t="s">
        <v>891</v>
      </c>
      <c r="B54" s="17" t="s">
        <v>113</v>
      </c>
      <c r="C54" s="17" t="s">
        <v>114</v>
      </c>
      <c r="D54" s="17" t="s">
        <v>16</v>
      </c>
      <c r="E54" s="18">
        <f>ROUND(12908*1.05,2)</f>
      </c>
      <c r="F54" s="17" t="s">
        <v>17</v>
      </c>
      <c r="G54" s="17" t="s">
        <v>18</v>
      </c>
      <c r="H54" s="18">
        <f>ROUND(RAND()*4+6,1)</f>
      </c>
      <c r="I54" s="17" t="s">
        <v>19</v>
      </c>
      <c r="J54" s="19">
        <f>ROUND(61*1,0)&amp;"%"</f>
      </c>
    </row>
    <row x14ac:dyDescent="0.25" r="55" customHeight="1" ht="17.25">
      <c r="A55" s="20" t="s">
        <v>892</v>
      </c>
      <c r="B55" s="20" t="s">
        <v>116</v>
      </c>
      <c r="C55" s="20" t="s">
        <v>114</v>
      </c>
      <c r="D55" s="20" t="s">
        <v>22</v>
      </c>
      <c r="E55" s="21">
        <f>ROUND(4031*1.05,2)</f>
      </c>
      <c r="F55" s="20" t="s">
        <v>23</v>
      </c>
      <c r="G55" s="20" t="s">
        <v>24</v>
      </c>
      <c r="H55" s="21">
        <f>ROUND(RAND()*4+6,1)</f>
      </c>
      <c r="I55" s="20" t="s">
        <v>25</v>
      </c>
      <c r="J55" s="23">
        <f>ROUND(91*1,0)&amp;"%"</f>
      </c>
    </row>
    <row x14ac:dyDescent="0.25" r="56" customHeight="1" ht="17.25">
      <c r="A56" s="17" t="s">
        <v>893</v>
      </c>
      <c r="B56" s="17" t="s">
        <v>118</v>
      </c>
      <c r="C56" s="17" t="s">
        <v>114</v>
      </c>
      <c r="D56" s="17" t="s">
        <v>28</v>
      </c>
      <c r="E56" s="18">
        <f>ROUND(16221*1.05,2)</f>
      </c>
      <c r="F56" s="17" t="s">
        <v>29</v>
      </c>
      <c r="G56" s="17" t="s">
        <v>30</v>
      </c>
      <c r="H56" s="18">
        <f>ROUND(RAND()*4+6,1)</f>
      </c>
      <c r="I56" s="17" t="s">
        <v>31</v>
      </c>
      <c r="J56" s="19">
        <f>ROUND(84*1,0)&amp;"%"</f>
      </c>
    </row>
    <row x14ac:dyDescent="0.25" r="57" customHeight="1" ht="17.25">
      <c r="A57" s="20" t="s">
        <v>894</v>
      </c>
      <c r="B57" s="20" t="s">
        <v>120</v>
      </c>
      <c r="C57" s="20" t="s">
        <v>114</v>
      </c>
      <c r="D57" s="20" t="s">
        <v>34</v>
      </c>
      <c r="E57" s="21">
        <f>ROUND(14706*1.05,2)</f>
      </c>
      <c r="F57" s="20" t="s">
        <v>35</v>
      </c>
      <c r="G57" s="20" t="s">
        <v>18</v>
      </c>
      <c r="H57" s="21">
        <f>ROUND(RAND()*4+6,1)</f>
      </c>
      <c r="I57" s="20" t="s">
        <v>36</v>
      </c>
      <c r="J57" s="23">
        <f>ROUND(85*1,0)&amp;"%"</f>
      </c>
    </row>
    <row x14ac:dyDescent="0.25" r="58" customHeight="1" ht="17.25">
      <c r="A58" s="17" t="s">
        <v>895</v>
      </c>
      <c r="B58" s="17" t="s">
        <v>122</v>
      </c>
      <c r="C58" s="17" t="s">
        <v>114</v>
      </c>
      <c r="D58" s="17" t="s">
        <v>39</v>
      </c>
      <c r="E58" s="18">
        <f>ROUND(14634*1.05,2)</f>
      </c>
      <c r="F58" s="17" t="s">
        <v>40</v>
      </c>
      <c r="G58" s="17" t="s">
        <v>24</v>
      </c>
      <c r="H58" s="18">
        <f>ROUND(RAND()*4+6,1)</f>
      </c>
      <c r="I58" s="17" t="s">
        <v>41</v>
      </c>
      <c r="J58" s="19">
        <f>ROUND(65*1,0)&amp;"%"</f>
      </c>
    </row>
    <row x14ac:dyDescent="0.25" r="59" customHeight="1" ht="17.25">
      <c r="A59" s="20" t="s">
        <v>896</v>
      </c>
      <c r="B59" s="20" t="s">
        <v>124</v>
      </c>
      <c r="C59" s="20" t="s">
        <v>114</v>
      </c>
      <c r="D59" s="20" t="s">
        <v>67</v>
      </c>
      <c r="E59" s="21">
        <f>ROUND(9794*1.05,2)</f>
      </c>
      <c r="F59" s="20" t="s">
        <v>44</v>
      </c>
      <c r="G59" s="20" t="s">
        <v>30</v>
      </c>
      <c r="H59" s="21">
        <f>ROUND(RAND()*4+6,1)</f>
      </c>
      <c r="I59" s="20" t="s">
        <v>45</v>
      </c>
      <c r="J59" s="23">
        <f>ROUND(79*1,0)&amp;"%"</f>
      </c>
    </row>
    <row x14ac:dyDescent="0.25" r="60" customHeight="1" ht="17.25">
      <c r="A60" s="17" t="s">
        <v>897</v>
      </c>
      <c r="B60" s="17" t="s">
        <v>126</v>
      </c>
      <c r="C60" s="17" t="s">
        <v>114</v>
      </c>
      <c r="D60" s="17" t="s">
        <v>16</v>
      </c>
      <c r="E60" s="18">
        <f>ROUND(10744*1.05,2)</f>
      </c>
      <c r="F60" s="17" t="s">
        <v>48</v>
      </c>
      <c r="G60" s="17" t="s">
        <v>18</v>
      </c>
      <c r="H60" s="18">
        <f>ROUND(RAND()*4+6,1)</f>
      </c>
      <c r="I60" s="17" t="s">
        <v>19</v>
      </c>
      <c r="J60" s="19">
        <f>ROUND(80*1,0)&amp;"%"</f>
      </c>
    </row>
    <row x14ac:dyDescent="0.25" r="61" customHeight="1" ht="17.25">
      <c r="A61" s="20" t="s">
        <v>898</v>
      </c>
      <c r="B61" s="20" t="s">
        <v>128</v>
      </c>
      <c r="C61" s="20" t="s">
        <v>114</v>
      </c>
      <c r="D61" s="20" t="s">
        <v>22</v>
      </c>
      <c r="E61" s="21">
        <f>ROUND(5268*1.05,2)</f>
      </c>
      <c r="F61" s="20" t="s">
        <v>51</v>
      </c>
      <c r="G61" s="20" t="s">
        <v>24</v>
      </c>
      <c r="H61" s="21">
        <f>ROUND(RAND()*4+6,1)</f>
      </c>
      <c r="I61" s="20" t="s">
        <v>25</v>
      </c>
      <c r="J61" s="23">
        <f>ROUND(88*1,0)&amp;"%"</f>
      </c>
    </row>
    <row x14ac:dyDescent="0.25" r="62" customHeight="1" ht="17.25">
      <c r="A62" s="24" t="s">
        <v>129</v>
      </c>
      <c r="B62" s="24"/>
      <c r="C62" s="24"/>
      <c r="D62" s="24"/>
      <c r="E62" s="25">
        <v>8</v>
      </c>
      <c r="F62" s="9"/>
      <c r="G62" s="9"/>
      <c r="H62" s="10"/>
      <c r="I62" s="9"/>
      <c r="J62" s="9"/>
    </row>
    <row x14ac:dyDescent="0.25" r="63" customHeight="1" ht="17.25">
      <c r="A63" s="7"/>
      <c r="B63" s="7"/>
      <c r="C63" s="7"/>
      <c r="D63" s="7"/>
      <c r="E63" s="8"/>
      <c r="F63" s="9"/>
      <c r="G63" s="9"/>
      <c r="H63" s="10"/>
      <c r="I63" s="9"/>
      <c r="J63" s="9"/>
    </row>
    <row x14ac:dyDescent="0.25" r="64" customHeight="1" ht="17.25">
      <c r="A64" s="11" t="s">
        <v>899</v>
      </c>
      <c r="B64" s="11"/>
      <c r="C64" s="11"/>
      <c r="D64" s="11"/>
      <c r="E64" s="12"/>
      <c r="F64" s="11"/>
      <c r="G64" s="11"/>
      <c r="H64" s="13"/>
      <c r="I64" s="11"/>
      <c r="J64" s="11"/>
    </row>
    <row x14ac:dyDescent="0.25" r="65" customHeight="1" ht="17.25">
      <c r="A65" s="14" t="s">
        <v>3</v>
      </c>
      <c r="B65" s="14" t="s">
        <v>4</v>
      </c>
      <c r="C65" s="14" t="s">
        <v>5</v>
      </c>
      <c r="D65" s="14" t="s">
        <v>6</v>
      </c>
      <c r="E65" s="15" t="s">
        <v>7</v>
      </c>
      <c r="F65" s="14" t="s">
        <v>8</v>
      </c>
      <c r="G65" s="14" t="s">
        <v>9</v>
      </c>
      <c r="H65" s="16" t="s">
        <v>10</v>
      </c>
      <c r="I65" s="14" t="s">
        <v>11</v>
      </c>
      <c r="J65" s="14" t="s">
        <v>12</v>
      </c>
    </row>
    <row x14ac:dyDescent="0.25" r="66" customHeight="1" ht="17.25">
      <c r="A66" s="17" t="s">
        <v>900</v>
      </c>
      <c r="B66" s="17" t="s">
        <v>132</v>
      </c>
      <c r="C66" s="17" t="s">
        <v>133</v>
      </c>
      <c r="D66" s="17" t="s">
        <v>16</v>
      </c>
      <c r="E66" s="18">
        <f>ROUND(12910*1.05,2)</f>
      </c>
      <c r="F66" s="17" t="s">
        <v>17</v>
      </c>
      <c r="G66" s="17" t="s">
        <v>18</v>
      </c>
      <c r="H66" s="18">
        <f>ROUND(RAND()*4+6,1)</f>
      </c>
      <c r="I66" s="17" t="s">
        <v>19</v>
      </c>
      <c r="J66" s="19">
        <f>ROUND(83*1,0)&amp;"%"</f>
      </c>
    </row>
    <row x14ac:dyDescent="0.25" r="67" customHeight="1" ht="17.25">
      <c r="A67" s="20" t="s">
        <v>901</v>
      </c>
      <c r="B67" s="20" t="s">
        <v>135</v>
      </c>
      <c r="C67" s="20" t="s">
        <v>133</v>
      </c>
      <c r="D67" s="20" t="s">
        <v>22</v>
      </c>
      <c r="E67" s="21">
        <f>ROUND(16379*1.05,2)</f>
      </c>
      <c r="F67" s="20" t="s">
        <v>23</v>
      </c>
      <c r="G67" s="20" t="s">
        <v>24</v>
      </c>
      <c r="H67" s="21">
        <f>ROUND(RAND()*4+6,1)</f>
      </c>
      <c r="I67" s="20" t="s">
        <v>25</v>
      </c>
      <c r="J67" s="23">
        <f>ROUND(63*1,0)&amp;"%"</f>
      </c>
    </row>
    <row x14ac:dyDescent="0.25" r="68" customHeight="1" ht="17.25">
      <c r="A68" s="17" t="s">
        <v>902</v>
      </c>
      <c r="B68" s="17" t="s">
        <v>137</v>
      </c>
      <c r="C68" s="17" t="s">
        <v>133</v>
      </c>
      <c r="D68" s="17" t="s">
        <v>28</v>
      </c>
      <c r="E68" s="18">
        <f>ROUND(7187*1.05,2)</f>
      </c>
      <c r="F68" s="17" t="s">
        <v>29</v>
      </c>
      <c r="G68" s="17" t="s">
        <v>30</v>
      </c>
      <c r="H68" s="18">
        <f>ROUND(RAND()*4+6,1)</f>
      </c>
      <c r="I68" s="17" t="s">
        <v>31</v>
      </c>
      <c r="J68" s="19">
        <f>ROUND(77*1,0)&amp;"%"</f>
      </c>
    </row>
    <row x14ac:dyDescent="0.25" r="69" customHeight="1" ht="17.25">
      <c r="A69" s="20" t="s">
        <v>903</v>
      </c>
      <c r="B69" s="20" t="s">
        <v>139</v>
      </c>
      <c r="C69" s="20" t="s">
        <v>133</v>
      </c>
      <c r="D69" s="20" t="s">
        <v>34</v>
      </c>
      <c r="E69" s="21">
        <f>ROUND(4036*1.05,2)</f>
      </c>
      <c r="F69" s="20" t="s">
        <v>35</v>
      </c>
      <c r="G69" s="20" t="s">
        <v>18</v>
      </c>
      <c r="H69" s="21">
        <f>ROUND(RAND()*4+6,1)</f>
      </c>
      <c r="I69" s="20" t="s">
        <v>36</v>
      </c>
      <c r="J69" s="23">
        <f>ROUND(84*1,0)&amp;"%"</f>
      </c>
    </row>
    <row x14ac:dyDescent="0.25" r="70" customHeight="1" ht="17.25">
      <c r="A70" s="17" t="s">
        <v>904</v>
      </c>
      <c r="B70" s="17" t="s">
        <v>141</v>
      </c>
      <c r="C70" s="17" t="s">
        <v>133</v>
      </c>
      <c r="D70" s="17" t="s">
        <v>39</v>
      </c>
      <c r="E70" s="18">
        <f>ROUND(10191*1.05,2)</f>
      </c>
      <c r="F70" s="17" t="s">
        <v>40</v>
      </c>
      <c r="G70" s="17" t="s">
        <v>24</v>
      </c>
      <c r="H70" s="18">
        <f>ROUND(RAND()*4+6,1)</f>
      </c>
      <c r="I70" s="17" t="s">
        <v>41</v>
      </c>
      <c r="J70" s="19">
        <f>ROUND(77*1,0)&amp;"%"</f>
      </c>
    </row>
    <row x14ac:dyDescent="0.25" r="71" customHeight="1" ht="17.25">
      <c r="A71" s="20" t="s">
        <v>905</v>
      </c>
      <c r="B71" s="20" t="s">
        <v>143</v>
      </c>
      <c r="C71" s="20" t="s">
        <v>133</v>
      </c>
      <c r="D71" s="20" t="s">
        <v>67</v>
      </c>
      <c r="E71" s="21">
        <f>ROUND(6343*1.05,2)</f>
      </c>
      <c r="F71" s="20" t="s">
        <v>44</v>
      </c>
      <c r="G71" s="20" t="s">
        <v>30</v>
      </c>
      <c r="H71" s="21">
        <f>ROUND(RAND()*4+6,1)</f>
      </c>
      <c r="I71" s="20" t="s">
        <v>45</v>
      </c>
      <c r="J71" s="23">
        <f>ROUND(74*1,0)&amp;"%"</f>
      </c>
    </row>
    <row x14ac:dyDescent="0.25" r="72" customHeight="1" ht="17.25">
      <c r="A72" s="17" t="s">
        <v>906</v>
      </c>
      <c r="B72" s="17" t="s">
        <v>145</v>
      </c>
      <c r="C72" s="17" t="s">
        <v>133</v>
      </c>
      <c r="D72" s="17" t="s">
        <v>16</v>
      </c>
      <c r="E72" s="18">
        <f>ROUND(10055*1.05,2)</f>
      </c>
      <c r="F72" s="17" t="s">
        <v>48</v>
      </c>
      <c r="G72" s="17" t="s">
        <v>18</v>
      </c>
      <c r="H72" s="18">
        <f>ROUND(RAND()*4+6,1)</f>
      </c>
      <c r="I72" s="17" t="s">
        <v>19</v>
      </c>
      <c r="J72" s="19">
        <f>ROUND(62*1,0)&amp;"%"</f>
      </c>
    </row>
    <row x14ac:dyDescent="0.25" r="73" customHeight="1" ht="17.25">
      <c r="A73" s="20" t="s">
        <v>907</v>
      </c>
      <c r="B73" s="20" t="s">
        <v>147</v>
      </c>
      <c r="C73" s="20" t="s">
        <v>133</v>
      </c>
      <c r="D73" s="20" t="s">
        <v>22</v>
      </c>
      <c r="E73" s="21">
        <f>ROUND(8065*1.05,2)</f>
      </c>
      <c r="F73" s="20" t="s">
        <v>51</v>
      </c>
      <c r="G73" s="20" t="s">
        <v>24</v>
      </c>
      <c r="H73" s="21">
        <f>ROUND(RAND()*4+6,1)</f>
      </c>
      <c r="I73" s="20" t="s">
        <v>25</v>
      </c>
      <c r="J73" s="23">
        <f>ROUND(72*1,0)&amp;"%"</f>
      </c>
    </row>
    <row x14ac:dyDescent="0.25" r="74" customHeight="1" ht="17.25">
      <c r="A74" s="24" t="s">
        <v>148</v>
      </c>
      <c r="B74" s="24"/>
      <c r="C74" s="24"/>
      <c r="D74" s="24"/>
      <c r="E74" s="25">
        <v>8</v>
      </c>
      <c r="F74" s="9"/>
      <c r="G74" s="9"/>
      <c r="H74" s="10"/>
      <c r="I74" s="9"/>
      <c r="J74" s="9"/>
    </row>
    <row x14ac:dyDescent="0.25" r="75" customHeight="1" ht="17.25">
      <c r="A75" s="7"/>
      <c r="B75" s="7"/>
      <c r="C75" s="7"/>
      <c r="D75" s="7"/>
      <c r="E75" s="8"/>
      <c r="F75" s="9"/>
      <c r="G75" s="9"/>
      <c r="H75" s="10"/>
      <c r="I75" s="9"/>
      <c r="J75" s="9"/>
    </row>
    <row x14ac:dyDescent="0.25" r="76" customHeight="1" ht="17.25">
      <c r="A76" s="11" t="s">
        <v>908</v>
      </c>
      <c r="B76" s="11"/>
      <c r="C76" s="11"/>
      <c r="D76" s="11"/>
      <c r="E76" s="12"/>
      <c r="F76" s="11"/>
      <c r="G76" s="11"/>
      <c r="H76" s="13"/>
      <c r="I76" s="11"/>
      <c r="J76" s="11"/>
    </row>
    <row x14ac:dyDescent="0.25" r="77" customHeight="1" ht="17.25">
      <c r="A77" s="14" t="s">
        <v>3</v>
      </c>
      <c r="B77" s="14" t="s">
        <v>4</v>
      </c>
      <c r="C77" s="14" t="s">
        <v>5</v>
      </c>
      <c r="D77" s="14" t="s">
        <v>6</v>
      </c>
      <c r="E77" s="15" t="s">
        <v>7</v>
      </c>
      <c r="F77" s="14" t="s">
        <v>8</v>
      </c>
      <c r="G77" s="14" t="s">
        <v>9</v>
      </c>
      <c r="H77" s="16" t="s">
        <v>10</v>
      </c>
      <c r="I77" s="14" t="s">
        <v>11</v>
      </c>
      <c r="J77" s="14" t="s">
        <v>12</v>
      </c>
    </row>
    <row x14ac:dyDescent="0.25" r="78" customHeight="1" ht="17.25">
      <c r="A78" s="17" t="s">
        <v>909</v>
      </c>
      <c r="B78" s="17" t="s">
        <v>151</v>
      </c>
      <c r="C78" s="17" t="s">
        <v>152</v>
      </c>
      <c r="D78" s="17" t="s">
        <v>16</v>
      </c>
      <c r="E78" s="18">
        <f>ROUND(8691*1.05,2)</f>
      </c>
      <c r="F78" s="17" t="s">
        <v>17</v>
      </c>
      <c r="G78" s="17" t="s">
        <v>18</v>
      </c>
      <c r="H78" s="18">
        <f>ROUND(RAND()*4+6,1)</f>
      </c>
      <c r="I78" s="17" t="s">
        <v>19</v>
      </c>
      <c r="J78" s="19">
        <f>ROUND(75*1,0)&amp;"%"</f>
      </c>
    </row>
    <row x14ac:dyDescent="0.25" r="79" customHeight="1" ht="17.25">
      <c r="A79" s="20" t="s">
        <v>910</v>
      </c>
      <c r="B79" s="20" t="s">
        <v>154</v>
      </c>
      <c r="C79" s="20" t="s">
        <v>152</v>
      </c>
      <c r="D79" s="20" t="s">
        <v>22</v>
      </c>
      <c r="E79" s="21">
        <f>ROUND(5096*1.05,2)</f>
      </c>
      <c r="F79" s="20" t="s">
        <v>23</v>
      </c>
      <c r="G79" s="20" t="s">
        <v>24</v>
      </c>
      <c r="H79" s="21">
        <f>ROUND(RAND()*4+6,1)</f>
      </c>
      <c r="I79" s="20" t="s">
        <v>25</v>
      </c>
      <c r="J79" s="23">
        <f>ROUND(86*1,0)&amp;"%"</f>
      </c>
    </row>
    <row x14ac:dyDescent="0.25" r="80" customHeight="1" ht="17.25">
      <c r="A80" s="17" t="s">
        <v>911</v>
      </c>
      <c r="B80" s="17" t="s">
        <v>156</v>
      </c>
      <c r="C80" s="17" t="s">
        <v>152</v>
      </c>
      <c r="D80" s="17" t="s">
        <v>28</v>
      </c>
      <c r="E80" s="18">
        <f>ROUND(15375*1.05,2)</f>
      </c>
      <c r="F80" s="17" t="s">
        <v>29</v>
      </c>
      <c r="G80" s="17" t="s">
        <v>30</v>
      </c>
      <c r="H80" s="18">
        <f>ROUND(RAND()*4+6,1)</f>
      </c>
      <c r="I80" s="17" t="s">
        <v>31</v>
      </c>
      <c r="J80" s="19">
        <f>ROUND(99*1,0)&amp;"%"</f>
      </c>
    </row>
    <row x14ac:dyDescent="0.25" r="81" customHeight="1" ht="17.25">
      <c r="A81" s="20" t="s">
        <v>912</v>
      </c>
      <c r="B81" s="20" t="s">
        <v>158</v>
      </c>
      <c r="C81" s="20" t="s">
        <v>152</v>
      </c>
      <c r="D81" s="20" t="s">
        <v>34</v>
      </c>
      <c r="E81" s="21">
        <f>ROUND(12998*1.05,2)</f>
      </c>
      <c r="F81" s="20" t="s">
        <v>35</v>
      </c>
      <c r="G81" s="20" t="s">
        <v>18</v>
      </c>
      <c r="H81" s="21">
        <f>ROUND(RAND()*4+6,1)</f>
      </c>
      <c r="I81" s="20" t="s">
        <v>36</v>
      </c>
      <c r="J81" s="23">
        <f>ROUND(74*1,0)&amp;"%"</f>
      </c>
    </row>
    <row x14ac:dyDescent="0.25" r="82" customHeight="1" ht="17.25">
      <c r="A82" s="17" t="s">
        <v>913</v>
      </c>
      <c r="B82" s="17" t="s">
        <v>160</v>
      </c>
      <c r="C82" s="17" t="s">
        <v>152</v>
      </c>
      <c r="D82" s="17" t="s">
        <v>39</v>
      </c>
      <c r="E82" s="18">
        <f>ROUND(10113*1.05,2)</f>
      </c>
      <c r="F82" s="17" t="s">
        <v>40</v>
      </c>
      <c r="G82" s="17" t="s">
        <v>24</v>
      </c>
      <c r="H82" s="18">
        <f>ROUND(RAND()*4+6,1)</f>
      </c>
      <c r="I82" s="17" t="s">
        <v>41</v>
      </c>
      <c r="J82" s="19">
        <f>ROUND(74*1,0)&amp;"%"</f>
      </c>
    </row>
    <row x14ac:dyDescent="0.25" r="83" customHeight="1" ht="17.25">
      <c r="A83" s="20" t="s">
        <v>914</v>
      </c>
      <c r="B83" s="20" t="s">
        <v>162</v>
      </c>
      <c r="C83" s="20" t="s">
        <v>152</v>
      </c>
      <c r="D83" s="20" t="s">
        <v>67</v>
      </c>
      <c r="E83" s="21">
        <f>ROUND(6089*1.05,2)</f>
      </c>
      <c r="F83" s="20" t="s">
        <v>44</v>
      </c>
      <c r="G83" s="20" t="s">
        <v>30</v>
      </c>
      <c r="H83" s="21">
        <f>ROUND(RAND()*4+6,1)</f>
      </c>
      <c r="I83" s="20" t="s">
        <v>45</v>
      </c>
      <c r="J83" s="23">
        <f>ROUND(64*1,0)&amp;"%"</f>
      </c>
    </row>
    <row x14ac:dyDescent="0.25" r="84" customHeight="1" ht="17.25">
      <c r="A84" s="17" t="s">
        <v>915</v>
      </c>
      <c r="B84" s="17" t="s">
        <v>164</v>
      </c>
      <c r="C84" s="17" t="s">
        <v>152</v>
      </c>
      <c r="D84" s="17" t="s">
        <v>16</v>
      </c>
      <c r="E84" s="18">
        <f>ROUND(6122*1.05,2)</f>
      </c>
      <c r="F84" s="17" t="s">
        <v>48</v>
      </c>
      <c r="G84" s="17" t="s">
        <v>18</v>
      </c>
      <c r="H84" s="26">
        <f>ROUND(RAND()*4+6,1)</f>
      </c>
      <c r="I84" s="17" t="s">
        <v>19</v>
      </c>
      <c r="J84" s="19">
        <f>ROUND(80*1,0)&amp;"%"</f>
      </c>
    </row>
    <row x14ac:dyDescent="0.25" r="85" customHeight="1" ht="17.25">
      <c r="A85" s="20" t="s">
        <v>916</v>
      </c>
      <c r="B85" s="20" t="s">
        <v>166</v>
      </c>
      <c r="C85" s="20" t="s">
        <v>152</v>
      </c>
      <c r="D85" s="20" t="s">
        <v>22</v>
      </c>
      <c r="E85" s="21">
        <f>ROUND(15264*1.05,2)</f>
      </c>
      <c r="F85" s="20" t="s">
        <v>51</v>
      </c>
      <c r="G85" s="20" t="s">
        <v>24</v>
      </c>
      <c r="H85" s="21">
        <f>ROUND(RAND()*4+6,1)</f>
      </c>
      <c r="I85" s="20" t="s">
        <v>25</v>
      </c>
      <c r="J85" s="23">
        <f>ROUND(68*1,0)&amp;"%"</f>
      </c>
    </row>
    <row x14ac:dyDescent="0.25" r="86" customHeight="1" ht="17.25">
      <c r="A86" s="24" t="s">
        <v>167</v>
      </c>
      <c r="B86" s="24"/>
      <c r="C86" s="24"/>
      <c r="D86" s="24"/>
      <c r="E86" s="25">
        <v>8</v>
      </c>
      <c r="F86" s="9"/>
      <c r="G86" s="9"/>
      <c r="H86" s="10"/>
      <c r="I86" s="9"/>
      <c r="J86" s="9"/>
    </row>
    <row x14ac:dyDescent="0.25" r="87" customHeight="1" ht="17.25">
      <c r="A87" s="7"/>
      <c r="B87" s="7"/>
      <c r="C87" s="7"/>
      <c r="D87" s="7"/>
      <c r="E87" s="8"/>
      <c r="F87" s="9"/>
      <c r="G87" s="9"/>
      <c r="H87" s="10"/>
      <c r="I87" s="9"/>
      <c r="J87" s="9"/>
    </row>
    <row x14ac:dyDescent="0.25" r="88" customHeight="1" ht="17.25">
      <c r="A88" s="11" t="s">
        <v>917</v>
      </c>
      <c r="B88" s="11"/>
      <c r="C88" s="11"/>
      <c r="D88" s="11"/>
      <c r="E88" s="12"/>
      <c r="F88" s="11"/>
      <c r="G88" s="11"/>
      <c r="H88" s="13"/>
      <c r="I88" s="11"/>
      <c r="J88" s="11"/>
    </row>
    <row x14ac:dyDescent="0.25" r="89" customHeight="1" ht="17.25">
      <c r="A89" s="14" t="s">
        <v>3</v>
      </c>
      <c r="B89" s="14" t="s">
        <v>4</v>
      </c>
      <c r="C89" s="14" t="s">
        <v>5</v>
      </c>
      <c r="D89" s="14" t="s">
        <v>6</v>
      </c>
      <c r="E89" s="15" t="s">
        <v>7</v>
      </c>
      <c r="F89" s="14" t="s">
        <v>8</v>
      </c>
      <c r="G89" s="14" t="s">
        <v>9</v>
      </c>
      <c r="H89" s="16" t="s">
        <v>10</v>
      </c>
      <c r="I89" s="14" t="s">
        <v>11</v>
      </c>
      <c r="J89" s="14" t="s">
        <v>12</v>
      </c>
    </row>
    <row x14ac:dyDescent="0.25" r="90" customHeight="1" ht="17.25">
      <c r="A90" s="17" t="s">
        <v>918</v>
      </c>
      <c r="B90" s="17" t="s">
        <v>170</v>
      </c>
      <c r="C90" s="17" t="s">
        <v>15</v>
      </c>
      <c r="D90" s="17" t="s">
        <v>16</v>
      </c>
      <c r="E90" s="18">
        <f>ROUND(12104*1.05,2)</f>
      </c>
      <c r="F90" s="17" t="s">
        <v>17</v>
      </c>
      <c r="G90" s="17" t="s">
        <v>18</v>
      </c>
      <c r="H90" s="18">
        <f>ROUND(RAND()*4+6,1)</f>
      </c>
      <c r="I90" s="17" t="s">
        <v>19</v>
      </c>
      <c r="J90" s="19">
        <f>ROUND(71*1,0)&amp;"%"</f>
      </c>
    </row>
    <row x14ac:dyDescent="0.25" r="91" customHeight="1" ht="17.25">
      <c r="A91" s="20" t="s">
        <v>919</v>
      </c>
      <c r="B91" s="20" t="s">
        <v>172</v>
      </c>
      <c r="C91" s="20" t="s">
        <v>15</v>
      </c>
      <c r="D91" s="20" t="s">
        <v>22</v>
      </c>
      <c r="E91" s="21">
        <f>ROUND(8432*1.05,2)</f>
      </c>
      <c r="F91" s="20" t="s">
        <v>23</v>
      </c>
      <c r="G91" s="20" t="s">
        <v>24</v>
      </c>
      <c r="H91" s="21">
        <f>ROUND(RAND()*4+6,1)</f>
      </c>
      <c r="I91" s="20" t="s">
        <v>25</v>
      </c>
      <c r="J91" s="23">
        <f>ROUND(64*1,0)&amp;"%"</f>
      </c>
    </row>
    <row x14ac:dyDescent="0.25" r="92" customHeight="1" ht="17.25">
      <c r="A92" s="17" t="s">
        <v>920</v>
      </c>
      <c r="B92" s="17" t="s">
        <v>174</v>
      </c>
      <c r="C92" s="17" t="s">
        <v>15</v>
      </c>
      <c r="D92" s="17" t="s">
        <v>28</v>
      </c>
      <c r="E92" s="18">
        <f>ROUND(12766*1.05,2)</f>
      </c>
      <c r="F92" s="17" t="s">
        <v>29</v>
      </c>
      <c r="G92" s="17" t="s">
        <v>30</v>
      </c>
      <c r="H92" s="18">
        <f>ROUND(RAND()*4+6,1)</f>
      </c>
      <c r="I92" s="17" t="s">
        <v>31</v>
      </c>
      <c r="J92" s="19">
        <f>ROUND(87*1,0)&amp;"%"</f>
      </c>
    </row>
    <row x14ac:dyDescent="0.25" r="93" customHeight="1" ht="17.25">
      <c r="A93" s="20" t="s">
        <v>921</v>
      </c>
      <c r="B93" s="20" t="s">
        <v>176</v>
      </c>
      <c r="C93" s="20" t="s">
        <v>15</v>
      </c>
      <c r="D93" s="20" t="s">
        <v>34</v>
      </c>
      <c r="E93" s="21">
        <f>ROUND(13253*1.05,2)</f>
      </c>
      <c r="F93" s="20" t="s">
        <v>35</v>
      </c>
      <c r="G93" s="20" t="s">
        <v>18</v>
      </c>
      <c r="H93" s="21">
        <f>ROUND(RAND()*4+6,1)</f>
      </c>
      <c r="I93" s="20" t="s">
        <v>36</v>
      </c>
      <c r="J93" s="23">
        <f>ROUND(90*1,0)&amp;"%"</f>
      </c>
    </row>
    <row x14ac:dyDescent="0.25" r="94" customHeight="1" ht="17.25">
      <c r="A94" s="17" t="s">
        <v>922</v>
      </c>
      <c r="B94" s="17" t="s">
        <v>178</v>
      </c>
      <c r="C94" s="17" t="s">
        <v>15</v>
      </c>
      <c r="D94" s="17" t="s">
        <v>39</v>
      </c>
      <c r="E94" s="18">
        <f>ROUND(7571*1.05,2)</f>
      </c>
      <c r="F94" s="17" t="s">
        <v>40</v>
      </c>
      <c r="G94" s="17" t="s">
        <v>24</v>
      </c>
      <c r="H94" s="18">
        <f>ROUND(RAND()*4+6,1)</f>
      </c>
      <c r="I94" s="17" t="s">
        <v>41</v>
      </c>
      <c r="J94" s="19">
        <f>ROUND(75*1,0)&amp;"%"</f>
      </c>
    </row>
    <row x14ac:dyDescent="0.25" r="95" customHeight="1" ht="17.25">
      <c r="A95" s="20" t="s">
        <v>923</v>
      </c>
      <c r="B95" s="20" t="s">
        <v>180</v>
      </c>
      <c r="C95" s="20" t="s">
        <v>15</v>
      </c>
      <c r="D95" s="20" t="s">
        <v>67</v>
      </c>
      <c r="E95" s="21">
        <f>ROUND(16012*1.05,2)</f>
      </c>
      <c r="F95" s="20" t="s">
        <v>44</v>
      </c>
      <c r="G95" s="20" t="s">
        <v>30</v>
      </c>
      <c r="H95" s="21">
        <f>ROUND(RAND()*4+6,1)</f>
      </c>
      <c r="I95" s="20" t="s">
        <v>45</v>
      </c>
      <c r="J95" s="23">
        <f>ROUND(83*1,0)&amp;"%"</f>
      </c>
    </row>
    <row x14ac:dyDescent="0.25" r="96" customHeight="1" ht="17.25">
      <c r="A96" s="17" t="s">
        <v>924</v>
      </c>
      <c r="B96" s="17" t="s">
        <v>182</v>
      </c>
      <c r="C96" s="17" t="s">
        <v>15</v>
      </c>
      <c r="D96" s="17" t="s">
        <v>16</v>
      </c>
      <c r="E96" s="18">
        <f>ROUND(4363*1.05,2)</f>
      </c>
      <c r="F96" s="17" t="s">
        <v>48</v>
      </c>
      <c r="G96" s="17" t="s">
        <v>18</v>
      </c>
      <c r="H96" s="26">
        <f>ROUND(RAND()*4+6,1)</f>
      </c>
      <c r="I96" s="17" t="s">
        <v>19</v>
      </c>
      <c r="J96" s="19">
        <f>ROUND(95*1,0)&amp;"%"</f>
      </c>
    </row>
    <row x14ac:dyDescent="0.25" r="97" customHeight="1" ht="17.25">
      <c r="A97" s="20" t="s">
        <v>925</v>
      </c>
      <c r="B97" s="20" t="s">
        <v>184</v>
      </c>
      <c r="C97" s="20" t="s">
        <v>15</v>
      </c>
      <c r="D97" s="20" t="s">
        <v>22</v>
      </c>
      <c r="E97" s="21">
        <f>ROUND(5549*1.05,2)</f>
      </c>
      <c r="F97" s="20" t="s">
        <v>51</v>
      </c>
      <c r="G97" s="20" t="s">
        <v>24</v>
      </c>
      <c r="H97" s="21">
        <f>ROUND(RAND()*4+6,1)</f>
      </c>
      <c r="I97" s="20" t="s">
        <v>25</v>
      </c>
      <c r="J97" s="23">
        <f>ROUND(89*1,0)&amp;"%"</f>
      </c>
    </row>
    <row x14ac:dyDescent="0.25" r="98" customHeight="1" ht="17.25">
      <c r="A98" s="24" t="s">
        <v>185</v>
      </c>
      <c r="B98" s="24"/>
      <c r="C98" s="24"/>
      <c r="D98" s="24"/>
      <c r="E98" s="25">
        <v>8</v>
      </c>
      <c r="F98" s="9"/>
      <c r="G98" s="9"/>
      <c r="H98" s="10"/>
      <c r="I98" s="9"/>
      <c r="J98" s="9"/>
    </row>
    <row x14ac:dyDescent="0.25" r="99" customHeight="1" ht="17.25">
      <c r="A99" s="7"/>
      <c r="B99" s="7"/>
      <c r="C99" s="7"/>
      <c r="D99" s="7"/>
      <c r="E99" s="8"/>
      <c r="F99" s="9"/>
      <c r="G99" s="9"/>
      <c r="H99" s="10"/>
      <c r="I99" s="9"/>
      <c r="J99" s="9"/>
    </row>
    <row x14ac:dyDescent="0.25" r="100" customHeight="1" ht="17.25">
      <c r="A100" s="11" t="s">
        <v>926</v>
      </c>
      <c r="B100" s="11"/>
      <c r="C100" s="11"/>
      <c r="D100" s="11"/>
      <c r="E100" s="12"/>
      <c r="F100" s="11"/>
      <c r="G100" s="11"/>
      <c r="H100" s="13"/>
      <c r="I100" s="11"/>
      <c r="J100" s="11"/>
    </row>
    <row x14ac:dyDescent="0.25" r="101" customHeight="1" ht="17.25">
      <c r="A101" s="14" t="s">
        <v>3</v>
      </c>
      <c r="B101" s="14" t="s">
        <v>4</v>
      </c>
      <c r="C101" s="14" t="s">
        <v>5</v>
      </c>
      <c r="D101" s="14" t="s">
        <v>6</v>
      </c>
      <c r="E101" s="15" t="s">
        <v>7</v>
      </c>
      <c r="F101" s="14" t="s">
        <v>8</v>
      </c>
      <c r="G101" s="14" t="s">
        <v>9</v>
      </c>
      <c r="H101" s="16" t="s">
        <v>10</v>
      </c>
      <c r="I101" s="14" t="s">
        <v>11</v>
      </c>
      <c r="J101" s="14" t="s">
        <v>12</v>
      </c>
    </row>
    <row x14ac:dyDescent="0.25" r="102" customHeight="1" ht="17.25">
      <c r="A102" s="17" t="s">
        <v>927</v>
      </c>
      <c r="B102" s="17" t="s">
        <v>188</v>
      </c>
      <c r="C102" s="17" t="s">
        <v>56</v>
      </c>
      <c r="D102" s="17" t="s">
        <v>16</v>
      </c>
      <c r="E102" s="18">
        <f>ROUND(15217*1.05,2)</f>
      </c>
      <c r="F102" s="17" t="s">
        <v>17</v>
      </c>
      <c r="G102" s="17" t="s">
        <v>18</v>
      </c>
      <c r="H102" s="18">
        <f>ROUND(RAND()*4+6,1)</f>
      </c>
      <c r="I102" s="17" t="s">
        <v>19</v>
      </c>
      <c r="J102" s="19">
        <f>ROUND(85*1,0)&amp;"%"</f>
      </c>
    </row>
    <row x14ac:dyDescent="0.25" r="103" customHeight="1" ht="17.25">
      <c r="A103" s="20" t="s">
        <v>928</v>
      </c>
      <c r="B103" s="20" t="s">
        <v>190</v>
      </c>
      <c r="C103" s="20" t="s">
        <v>56</v>
      </c>
      <c r="D103" s="20" t="s">
        <v>22</v>
      </c>
      <c r="E103" s="21">
        <f>ROUND(9804*1.05,2)</f>
      </c>
      <c r="F103" s="20" t="s">
        <v>23</v>
      </c>
      <c r="G103" s="20" t="s">
        <v>24</v>
      </c>
      <c r="H103" s="21">
        <f>ROUND(RAND()*4+6,1)</f>
      </c>
      <c r="I103" s="20" t="s">
        <v>25</v>
      </c>
      <c r="J103" s="23">
        <f>ROUND(68*1,0)&amp;"%"</f>
      </c>
    </row>
    <row x14ac:dyDescent="0.25" r="104" customHeight="1" ht="17.25">
      <c r="A104" s="17" t="s">
        <v>929</v>
      </c>
      <c r="B104" s="17" t="s">
        <v>192</v>
      </c>
      <c r="C104" s="17" t="s">
        <v>56</v>
      </c>
      <c r="D104" s="17" t="s">
        <v>28</v>
      </c>
      <c r="E104" s="18">
        <f>ROUND(16127*1.05,2)</f>
      </c>
      <c r="F104" s="17" t="s">
        <v>29</v>
      </c>
      <c r="G104" s="17" t="s">
        <v>30</v>
      </c>
      <c r="H104" s="18">
        <f>ROUND(RAND()*4+6,1)</f>
      </c>
      <c r="I104" s="17" t="s">
        <v>31</v>
      </c>
      <c r="J104" s="19">
        <f>ROUND(83*1,0)&amp;"%"</f>
      </c>
    </row>
    <row x14ac:dyDescent="0.25" r="105" customHeight="1" ht="17.25">
      <c r="A105" s="20" t="s">
        <v>930</v>
      </c>
      <c r="B105" s="20" t="s">
        <v>194</v>
      </c>
      <c r="C105" s="20" t="s">
        <v>56</v>
      </c>
      <c r="D105" s="20" t="s">
        <v>34</v>
      </c>
      <c r="E105" s="21">
        <f>ROUND(7869*1.05,2)</f>
      </c>
      <c r="F105" s="20" t="s">
        <v>35</v>
      </c>
      <c r="G105" s="20" t="s">
        <v>18</v>
      </c>
      <c r="H105" s="21">
        <f>ROUND(RAND()*4+6,1)</f>
      </c>
      <c r="I105" s="20" t="s">
        <v>36</v>
      </c>
      <c r="J105" s="23">
        <f>ROUND(63*1,0)&amp;"%"</f>
      </c>
    </row>
    <row x14ac:dyDescent="0.25" r="106" customHeight="1" ht="17.25">
      <c r="A106" s="17" t="s">
        <v>931</v>
      </c>
      <c r="B106" s="17" t="s">
        <v>196</v>
      </c>
      <c r="C106" s="17" t="s">
        <v>56</v>
      </c>
      <c r="D106" s="17" t="s">
        <v>39</v>
      </c>
      <c r="E106" s="18">
        <f>ROUND(7456*1.05,2)</f>
      </c>
      <c r="F106" s="17" t="s">
        <v>40</v>
      </c>
      <c r="G106" s="17" t="s">
        <v>24</v>
      </c>
      <c r="H106" s="18">
        <f>ROUND(RAND()*4+6,1)</f>
      </c>
      <c r="I106" s="17" t="s">
        <v>41</v>
      </c>
      <c r="J106" s="19">
        <f>ROUND(70*1,0)&amp;"%"</f>
      </c>
    </row>
    <row x14ac:dyDescent="0.25" r="107" customHeight="1" ht="17.25">
      <c r="A107" s="20" t="s">
        <v>932</v>
      </c>
      <c r="B107" s="20" t="s">
        <v>198</v>
      </c>
      <c r="C107" s="20" t="s">
        <v>56</v>
      </c>
      <c r="D107" s="20" t="s">
        <v>67</v>
      </c>
      <c r="E107" s="21">
        <f>ROUND(16762*1.05,2)</f>
      </c>
      <c r="F107" s="20" t="s">
        <v>44</v>
      </c>
      <c r="G107" s="20" t="s">
        <v>30</v>
      </c>
      <c r="H107" s="21">
        <f>ROUND(RAND()*4+6,1)</f>
      </c>
      <c r="I107" s="20" t="s">
        <v>45</v>
      </c>
      <c r="J107" s="23">
        <f>ROUND(83*1,0)&amp;"%"</f>
      </c>
    </row>
    <row x14ac:dyDescent="0.25" r="108" customHeight="1" ht="17.25">
      <c r="A108" s="17" t="s">
        <v>933</v>
      </c>
      <c r="B108" s="17" t="s">
        <v>200</v>
      </c>
      <c r="C108" s="17" t="s">
        <v>56</v>
      </c>
      <c r="D108" s="17" t="s">
        <v>16</v>
      </c>
      <c r="E108" s="18">
        <f>ROUND(10372*1.05,2)</f>
      </c>
      <c r="F108" s="17" t="s">
        <v>48</v>
      </c>
      <c r="G108" s="17" t="s">
        <v>18</v>
      </c>
      <c r="H108" s="18">
        <f>ROUND(RAND()*4+6,1)</f>
      </c>
      <c r="I108" s="17" t="s">
        <v>19</v>
      </c>
      <c r="J108" s="19">
        <f>ROUND(80*1,0)&amp;"%"</f>
      </c>
    </row>
    <row x14ac:dyDescent="0.25" r="109" customHeight="1" ht="17.25">
      <c r="A109" s="20" t="s">
        <v>934</v>
      </c>
      <c r="B109" s="20" t="s">
        <v>202</v>
      </c>
      <c r="C109" s="20" t="s">
        <v>56</v>
      </c>
      <c r="D109" s="20" t="s">
        <v>22</v>
      </c>
      <c r="E109" s="21">
        <f>ROUND(6885*1.05,2)</f>
      </c>
      <c r="F109" s="20" t="s">
        <v>51</v>
      </c>
      <c r="G109" s="20" t="s">
        <v>24</v>
      </c>
      <c r="H109" s="21">
        <f>ROUND(RAND()*4+6,1)</f>
      </c>
      <c r="I109" s="20" t="s">
        <v>25</v>
      </c>
      <c r="J109" s="23">
        <f>ROUND(91*1,0)&amp;"%"</f>
      </c>
    </row>
    <row x14ac:dyDescent="0.25" r="110" customHeight="1" ht="17.25">
      <c r="A110" s="24" t="s">
        <v>203</v>
      </c>
      <c r="B110" s="24"/>
      <c r="C110" s="24"/>
      <c r="D110" s="24"/>
      <c r="E110" s="25">
        <v>8</v>
      </c>
      <c r="F110" s="9"/>
      <c r="G110" s="9"/>
      <c r="H110" s="10"/>
      <c r="I110" s="9"/>
      <c r="J110" s="9"/>
    </row>
    <row x14ac:dyDescent="0.25" r="111" customHeight="1" ht="17.25">
      <c r="A111" s="7"/>
      <c r="B111" s="7"/>
      <c r="C111" s="7"/>
      <c r="D111" s="7"/>
      <c r="E111" s="8"/>
      <c r="F111" s="9"/>
      <c r="G111" s="9"/>
      <c r="H111" s="10"/>
      <c r="I111" s="9"/>
      <c r="J111" s="9"/>
    </row>
    <row x14ac:dyDescent="0.25" r="112" customHeight="1" ht="17.25">
      <c r="A112" s="11" t="s">
        <v>935</v>
      </c>
      <c r="B112" s="11"/>
      <c r="C112" s="11"/>
      <c r="D112" s="11"/>
      <c r="E112" s="12"/>
      <c r="F112" s="11"/>
      <c r="G112" s="11"/>
      <c r="H112" s="13"/>
      <c r="I112" s="11"/>
      <c r="J112" s="11"/>
    </row>
    <row x14ac:dyDescent="0.25" r="113" customHeight="1" ht="17.25">
      <c r="A113" s="14" t="s">
        <v>3</v>
      </c>
      <c r="B113" s="14" t="s">
        <v>4</v>
      </c>
      <c r="C113" s="14" t="s">
        <v>5</v>
      </c>
      <c r="D113" s="14" t="s">
        <v>6</v>
      </c>
      <c r="E113" s="15" t="s">
        <v>7</v>
      </c>
      <c r="F113" s="14" t="s">
        <v>8</v>
      </c>
      <c r="G113" s="14" t="s">
        <v>9</v>
      </c>
      <c r="H113" s="16" t="s">
        <v>10</v>
      </c>
      <c r="I113" s="14" t="s">
        <v>11</v>
      </c>
      <c r="J113" s="14" t="s">
        <v>12</v>
      </c>
    </row>
    <row x14ac:dyDescent="0.25" r="114" customHeight="1" ht="17.25">
      <c r="A114" s="17" t="s">
        <v>936</v>
      </c>
      <c r="B114" s="17" t="s">
        <v>206</v>
      </c>
      <c r="C114" s="17" t="s">
        <v>76</v>
      </c>
      <c r="D114" s="17" t="s">
        <v>16</v>
      </c>
      <c r="E114" s="18">
        <f>ROUND(10390*1.05,2)</f>
      </c>
      <c r="F114" s="17" t="s">
        <v>17</v>
      </c>
      <c r="G114" s="17" t="s">
        <v>18</v>
      </c>
      <c r="H114" s="18">
        <f>ROUND(RAND()*4+6,1)</f>
      </c>
      <c r="I114" s="17" t="s">
        <v>19</v>
      </c>
      <c r="J114" s="19">
        <f>ROUND(83*1,0)&amp;"%"</f>
      </c>
    </row>
    <row x14ac:dyDescent="0.25" r="115" customHeight="1" ht="17.25">
      <c r="A115" s="20" t="s">
        <v>937</v>
      </c>
      <c r="B115" s="20" t="s">
        <v>208</v>
      </c>
      <c r="C115" s="20" t="s">
        <v>76</v>
      </c>
      <c r="D115" s="20" t="s">
        <v>22</v>
      </c>
      <c r="E115" s="21">
        <f>ROUND(17824*1.05,2)</f>
      </c>
      <c r="F115" s="20" t="s">
        <v>23</v>
      </c>
      <c r="G115" s="20" t="s">
        <v>24</v>
      </c>
      <c r="H115" s="21">
        <f>ROUND(RAND()*4+6,1)</f>
      </c>
      <c r="I115" s="20" t="s">
        <v>25</v>
      </c>
      <c r="J115" s="23">
        <f>ROUND(96*1,0)&amp;"%"</f>
      </c>
    </row>
    <row x14ac:dyDescent="0.25" r="116" customHeight="1" ht="17.25">
      <c r="A116" s="17" t="s">
        <v>938</v>
      </c>
      <c r="B116" s="17" t="s">
        <v>210</v>
      </c>
      <c r="C116" s="17" t="s">
        <v>76</v>
      </c>
      <c r="D116" s="17" t="s">
        <v>28</v>
      </c>
      <c r="E116" s="18">
        <f>ROUND(5721*1.05,2)</f>
      </c>
      <c r="F116" s="17" t="s">
        <v>29</v>
      </c>
      <c r="G116" s="17" t="s">
        <v>30</v>
      </c>
      <c r="H116" s="18">
        <f>ROUND(RAND()*4+6,1)</f>
      </c>
      <c r="I116" s="17" t="s">
        <v>31</v>
      </c>
      <c r="J116" s="19">
        <f>ROUND(100*1,0)&amp;"%"</f>
      </c>
    </row>
    <row x14ac:dyDescent="0.25" r="117" customHeight="1" ht="17.25">
      <c r="A117" s="20" t="s">
        <v>939</v>
      </c>
      <c r="B117" s="20" t="s">
        <v>212</v>
      </c>
      <c r="C117" s="20" t="s">
        <v>76</v>
      </c>
      <c r="D117" s="20" t="s">
        <v>34</v>
      </c>
      <c r="E117" s="21">
        <f>ROUND(7271*1.05,2)</f>
      </c>
      <c r="F117" s="20" t="s">
        <v>35</v>
      </c>
      <c r="G117" s="20" t="s">
        <v>18</v>
      </c>
      <c r="H117" s="21">
        <f>ROUND(RAND()*4+6,1)</f>
      </c>
      <c r="I117" s="20" t="s">
        <v>36</v>
      </c>
      <c r="J117" s="23">
        <f>ROUND(64*1,0)&amp;"%"</f>
      </c>
    </row>
    <row x14ac:dyDescent="0.25" r="118" customHeight="1" ht="17.25">
      <c r="A118" s="17" t="s">
        <v>940</v>
      </c>
      <c r="B118" s="17" t="s">
        <v>214</v>
      </c>
      <c r="C118" s="17" t="s">
        <v>76</v>
      </c>
      <c r="D118" s="17" t="s">
        <v>39</v>
      </c>
      <c r="E118" s="18">
        <f>ROUND(15091*1.05,2)</f>
      </c>
      <c r="F118" s="17" t="s">
        <v>40</v>
      </c>
      <c r="G118" s="17" t="s">
        <v>24</v>
      </c>
      <c r="H118" s="18">
        <f>ROUND(RAND()*4+6,1)</f>
      </c>
      <c r="I118" s="17" t="s">
        <v>41</v>
      </c>
      <c r="J118" s="19">
        <f>ROUND(69*1,0)&amp;"%"</f>
      </c>
    </row>
    <row x14ac:dyDescent="0.25" r="119" customHeight="1" ht="17.25">
      <c r="A119" s="20" t="s">
        <v>941</v>
      </c>
      <c r="B119" s="20" t="s">
        <v>216</v>
      </c>
      <c r="C119" s="20" t="s">
        <v>76</v>
      </c>
      <c r="D119" s="20" t="s">
        <v>67</v>
      </c>
      <c r="E119" s="21">
        <f>ROUND(13801*1.05,2)</f>
      </c>
      <c r="F119" s="20" t="s">
        <v>44</v>
      </c>
      <c r="G119" s="20" t="s">
        <v>30</v>
      </c>
      <c r="H119" s="21">
        <f>ROUND(RAND()*4+6,1)</f>
      </c>
      <c r="I119" s="20" t="s">
        <v>45</v>
      </c>
      <c r="J119" s="23">
        <f>ROUND(61*1,0)&amp;"%"</f>
      </c>
    </row>
    <row x14ac:dyDescent="0.25" r="120" customHeight="1" ht="17.25">
      <c r="A120" s="17" t="s">
        <v>942</v>
      </c>
      <c r="B120" s="17" t="s">
        <v>218</v>
      </c>
      <c r="C120" s="17" t="s">
        <v>76</v>
      </c>
      <c r="D120" s="17" t="s">
        <v>16</v>
      </c>
      <c r="E120" s="18">
        <f>ROUND(17924*1.05,2)</f>
      </c>
      <c r="F120" s="17" t="s">
        <v>48</v>
      </c>
      <c r="G120" s="17" t="s">
        <v>18</v>
      </c>
      <c r="H120" s="18">
        <f>ROUND(RAND()*4+6,1)</f>
      </c>
      <c r="I120" s="17" t="s">
        <v>19</v>
      </c>
      <c r="J120" s="19">
        <f>ROUND(74*1,0)&amp;"%"</f>
      </c>
    </row>
    <row x14ac:dyDescent="0.25" r="121" customHeight="1" ht="17.25">
      <c r="A121" s="20" t="s">
        <v>943</v>
      </c>
      <c r="B121" s="20" t="s">
        <v>220</v>
      </c>
      <c r="C121" s="20" t="s">
        <v>76</v>
      </c>
      <c r="D121" s="20" t="s">
        <v>22</v>
      </c>
      <c r="E121" s="21">
        <f>ROUND(11477*1.05,2)</f>
      </c>
      <c r="F121" s="20" t="s">
        <v>51</v>
      </c>
      <c r="G121" s="20" t="s">
        <v>24</v>
      </c>
      <c r="H121" s="21">
        <f>ROUND(RAND()*4+6,1)</f>
      </c>
      <c r="I121" s="20" t="s">
        <v>25</v>
      </c>
      <c r="J121" s="23">
        <f>ROUND(84*1,0)&amp;"%"</f>
      </c>
    </row>
    <row x14ac:dyDescent="0.25" r="122" customHeight="1" ht="17.25">
      <c r="A122" s="24" t="s">
        <v>221</v>
      </c>
      <c r="B122" s="24"/>
      <c r="C122" s="24"/>
      <c r="D122" s="24"/>
      <c r="E122" s="25">
        <v>8</v>
      </c>
      <c r="F122" s="9"/>
      <c r="G122" s="9"/>
      <c r="H122" s="10"/>
      <c r="I122" s="9"/>
      <c r="J122" s="9"/>
    </row>
    <row x14ac:dyDescent="0.25" r="123" customHeight="1" ht="17.25">
      <c r="A123" s="7"/>
      <c r="B123" s="7"/>
      <c r="C123" s="7"/>
      <c r="D123" s="7"/>
      <c r="E123" s="8"/>
      <c r="F123" s="9"/>
      <c r="G123" s="9"/>
      <c r="H123" s="10"/>
      <c r="I123" s="9"/>
      <c r="J123" s="9"/>
    </row>
    <row x14ac:dyDescent="0.25" r="124" customHeight="1" ht="17.25">
      <c r="A124" s="11" t="s">
        <v>944</v>
      </c>
      <c r="B124" s="11"/>
      <c r="C124" s="11"/>
      <c r="D124" s="11"/>
      <c r="E124" s="12"/>
      <c r="F124" s="11"/>
      <c r="G124" s="11"/>
      <c r="H124" s="13"/>
      <c r="I124" s="11"/>
      <c r="J124" s="11"/>
    </row>
    <row x14ac:dyDescent="0.25" r="125" customHeight="1" ht="17.25">
      <c r="A125" s="14" t="s">
        <v>3</v>
      </c>
      <c r="B125" s="14" t="s">
        <v>4</v>
      </c>
      <c r="C125" s="14" t="s">
        <v>5</v>
      </c>
      <c r="D125" s="14" t="s">
        <v>6</v>
      </c>
      <c r="E125" s="15" t="s">
        <v>7</v>
      </c>
      <c r="F125" s="14" t="s">
        <v>8</v>
      </c>
      <c r="G125" s="14" t="s">
        <v>9</v>
      </c>
      <c r="H125" s="16" t="s">
        <v>10</v>
      </c>
      <c r="I125" s="14" t="s">
        <v>11</v>
      </c>
      <c r="J125" s="14" t="s">
        <v>12</v>
      </c>
    </row>
    <row x14ac:dyDescent="0.25" r="126" customHeight="1" ht="17.25">
      <c r="A126" s="17" t="s">
        <v>945</v>
      </c>
      <c r="B126" s="17" t="s">
        <v>224</v>
      </c>
      <c r="C126" s="17" t="s">
        <v>95</v>
      </c>
      <c r="D126" s="17" t="s">
        <v>16</v>
      </c>
      <c r="E126" s="18">
        <f>ROUND(6761*1.05,2)</f>
      </c>
      <c r="F126" s="17" t="s">
        <v>17</v>
      </c>
      <c r="G126" s="17" t="s">
        <v>18</v>
      </c>
      <c r="H126" s="18">
        <f>ROUND(RAND()*4+6,1)</f>
      </c>
      <c r="I126" s="17" t="s">
        <v>19</v>
      </c>
      <c r="J126" s="19">
        <f>ROUND(77*1,0)&amp;"%"</f>
      </c>
    </row>
    <row x14ac:dyDescent="0.25" r="127" customHeight="1" ht="17.25">
      <c r="A127" s="20" t="s">
        <v>946</v>
      </c>
      <c r="B127" s="20" t="s">
        <v>226</v>
      </c>
      <c r="C127" s="20" t="s">
        <v>95</v>
      </c>
      <c r="D127" s="20" t="s">
        <v>22</v>
      </c>
      <c r="E127" s="21">
        <f>ROUND(7685*1.05,2)</f>
      </c>
      <c r="F127" s="20" t="s">
        <v>23</v>
      </c>
      <c r="G127" s="20" t="s">
        <v>24</v>
      </c>
      <c r="H127" s="22">
        <f>ROUND(RAND()*4+6,1)</f>
      </c>
      <c r="I127" s="20" t="s">
        <v>25</v>
      </c>
      <c r="J127" s="23">
        <f>ROUND(92*1,0)&amp;"%"</f>
      </c>
    </row>
    <row x14ac:dyDescent="0.25" r="128" customHeight="1" ht="17.25">
      <c r="A128" s="17" t="s">
        <v>947</v>
      </c>
      <c r="B128" s="17" t="s">
        <v>228</v>
      </c>
      <c r="C128" s="17" t="s">
        <v>95</v>
      </c>
      <c r="D128" s="17" t="s">
        <v>28</v>
      </c>
      <c r="E128" s="18">
        <f>ROUND(16794*1.05,2)</f>
      </c>
      <c r="F128" s="17" t="s">
        <v>29</v>
      </c>
      <c r="G128" s="17" t="s">
        <v>30</v>
      </c>
      <c r="H128" s="18">
        <f>ROUND(RAND()*4+6,1)</f>
      </c>
      <c r="I128" s="17" t="s">
        <v>31</v>
      </c>
      <c r="J128" s="19">
        <f>ROUND(84*1,0)&amp;"%"</f>
      </c>
    </row>
    <row x14ac:dyDescent="0.25" r="129" customHeight="1" ht="17.25">
      <c r="A129" s="20" t="s">
        <v>948</v>
      </c>
      <c r="B129" s="20" t="s">
        <v>230</v>
      </c>
      <c r="C129" s="20" t="s">
        <v>95</v>
      </c>
      <c r="D129" s="20" t="s">
        <v>34</v>
      </c>
      <c r="E129" s="21">
        <f>ROUND(12917*1.05,2)</f>
      </c>
      <c r="F129" s="20" t="s">
        <v>35</v>
      </c>
      <c r="G129" s="20" t="s">
        <v>18</v>
      </c>
      <c r="H129" s="21">
        <f>ROUND(RAND()*4+6,1)</f>
      </c>
      <c r="I129" s="20" t="s">
        <v>36</v>
      </c>
      <c r="J129" s="23">
        <f>ROUND(95*1,0)&amp;"%"</f>
      </c>
    </row>
    <row x14ac:dyDescent="0.25" r="130" customHeight="1" ht="17.25">
      <c r="A130" s="17" t="s">
        <v>949</v>
      </c>
      <c r="B130" s="17" t="s">
        <v>232</v>
      </c>
      <c r="C130" s="17" t="s">
        <v>95</v>
      </c>
      <c r="D130" s="17" t="s">
        <v>39</v>
      </c>
      <c r="E130" s="18">
        <f>ROUND(10373*1.05,2)</f>
      </c>
      <c r="F130" s="17" t="s">
        <v>40</v>
      </c>
      <c r="G130" s="17" t="s">
        <v>24</v>
      </c>
      <c r="H130" s="18">
        <f>ROUND(RAND()*4+6,1)</f>
      </c>
      <c r="I130" s="17" t="s">
        <v>41</v>
      </c>
      <c r="J130" s="19">
        <f>ROUND(72*1,0)&amp;"%"</f>
      </c>
    </row>
    <row x14ac:dyDescent="0.25" r="131" customHeight="1" ht="17.25">
      <c r="A131" s="20" t="s">
        <v>950</v>
      </c>
      <c r="B131" s="20" t="s">
        <v>234</v>
      </c>
      <c r="C131" s="20" t="s">
        <v>95</v>
      </c>
      <c r="D131" s="20" t="s">
        <v>67</v>
      </c>
      <c r="E131" s="21">
        <f>ROUND(5028*1.05,2)</f>
      </c>
      <c r="F131" s="20" t="s">
        <v>44</v>
      </c>
      <c r="G131" s="20" t="s">
        <v>30</v>
      </c>
      <c r="H131" s="21">
        <f>ROUND(RAND()*4+6,1)</f>
      </c>
      <c r="I131" s="20" t="s">
        <v>45</v>
      </c>
      <c r="J131" s="23">
        <f>ROUND(100*1,0)&amp;"%"</f>
      </c>
    </row>
    <row x14ac:dyDescent="0.25" r="132" customHeight="1" ht="17.25">
      <c r="A132" s="17" t="s">
        <v>951</v>
      </c>
      <c r="B132" s="17" t="s">
        <v>236</v>
      </c>
      <c r="C132" s="17" t="s">
        <v>95</v>
      </c>
      <c r="D132" s="17" t="s">
        <v>16</v>
      </c>
      <c r="E132" s="18">
        <f>ROUND(15085*1.05,2)</f>
      </c>
      <c r="F132" s="17" t="s">
        <v>48</v>
      </c>
      <c r="G132" s="17" t="s">
        <v>18</v>
      </c>
      <c r="H132" s="18">
        <f>ROUND(RAND()*4+6,1)</f>
      </c>
      <c r="I132" s="17" t="s">
        <v>19</v>
      </c>
      <c r="J132" s="19">
        <f>ROUND(73*1,0)&amp;"%"</f>
      </c>
    </row>
    <row x14ac:dyDescent="0.25" r="133" customHeight="1" ht="17.25">
      <c r="A133" s="20" t="s">
        <v>952</v>
      </c>
      <c r="B133" s="20" t="s">
        <v>238</v>
      </c>
      <c r="C133" s="20" t="s">
        <v>95</v>
      </c>
      <c r="D133" s="20" t="s">
        <v>22</v>
      </c>
      <c r="E133" s="21">
        <f>ROUND(16178*1.05,2)</f>
      </c>
      <c r="F133" s="20" t="s">
        <v>51</v>
      </c>
      <c r="G133" s="20" t="s">
        <v>24</v>
      </c>
      <c r="H133" s="22">
        <f>ROUND(RAND()*4+6,1)</f>
      </c>
      <c r="I133" s="20" t="s">
        <v>25</v>
      </c>
      <c r="J133" s="23">
        <f>ROUND(75*1,0)&amp;"%"</f>
      </c>
    </row>
    <row x14ac:dyDescent="0.25" r="134" customHeight="1" ht="17.25">
      <c r="A134" s="24" t="s">
        <v>239</v>
      </c>
      <c r="B134" s="24"/>
      <c r="C134" s="24"/>
      <c r="D134" s="24"/>
      <c r="E134" s="25">
        <v>8</v>
      </c>
      <c r="F134" s="9"/>
      <c r="G134" s="9"/>
      <c r="H134" s="10"/>
      <c r="I134" s="9"/>
      <c r="J134" s="9"/>
    </row>
    <row x14ac:dyDescent="0.25" r="135" customHeight="1" ht="17.25">
      <c r="A135" s="7"/>
      <c r="B135" s="7"/>
      <c r="C135" s="7"/>
      <c r="D135" s="7"/>
      <c r="E135" s="8"/>
      <c r="F135" s="9"/>
      <c r="G135" s="9"/>
      <c r="H135" s="10"/>
      <c r="I135" s="9"/>
      <c r="J135" s="9"/>
    </row>
    <row x14ac:dyDescent="0.25" r="136" customHeight="1" ht="17.25">
      <c r="A136" s="11" t="s">
        <v>953</v>
      </c>
      <c r="B136" s="11"/>
      <c r="C136" s="11"/>
      <c r="D136" s="11"/>
      <c r="E136" s="12"/>
      <c r="F136" s="11"/>
      <c r="G136" s="11"/>
      <c r="H136" s="13"/>
      <c r="I136" s="11"/>
      <c r="J136" s="11"/>
    </row>
    <row x14ac:dyDescent="0.25" r="137" customHeight="1" ht="17.25">
      <c r="A137" s="14" t="s">
        <v>3</v>
      </c>
      <c r="B137" s="14" t="s">
        <v>4</v>
      </c>
      <c r="C137" s="14" t="s">
        <v>5</v>
      </c>
      <c r="D137" s="14" t="s">
        <v>6</v>
      </c>
      <c r="E137" s="15" t="s">
        <v>7</v>
      </c>
      <c r="F137" s="14" t="s">
        <v>8</v>
      </c>
      <c r="G137" s="14" t="s">
        <v>9</v>
      </c>
      <c r="H137" s="16" t="s">
        <v>10</v>
      </c>
      <c r="I137" s="14" t="s">
        <v>11</v>
      </c>
      <c r="J137" s="14" t="s">
        <v>12</v>
      </c>
    </row>
    <row x14ac:dyDescent="0.25" r="138" customHeight="1" ht="17.25">
      <c r="A138" s="17" t="s">
        <v>954</v>
      </c>
      <c r="B138" s="17" t="s">
        <v>242</v>
      </c>
      <c r="C138" s="17" t="s">
        <v>114</v>
      </c>
      <c r="D138" s="17" t="s">
        <v>16</v>
      </c>
      <c r="E138" s="18">
        <f>ROUND(16694*1.05,2)</f>
      </c>
      <c r="F138" s="17" t="s">
        <v>17</v>
      </c>
      <c r="G138" s="17" t="s">
        <v>18</v>
      </c>
      <c r="H138" s="26">
        <f>ROUND(RAND()*4+6,1)</f>
      </c>
      <c r="I138" s="17" t="s">
        <v>19</v>
      </c>
      <c r="J138" s="19">
        <f>ROUND(75*1,0)&amp;"%"</f>
      </c>
    </row>
    <row x14ac:dyDescent="0.25" r="139" customHeight="1" ht="17.25">
      <c r="A139" s="20" t="s">
        <v>955</v>
      </c>
      <c r="B139" s="20" t="s">
        <v>244</v>
      </c>
      <c r="C139" s="20" t="s">
        <v>114</v>
      </c>
      <c r="D139" s="20" t="s">
        <v>22</v>
      </c>
      <c r="E139" s="21">
        <f>ROUND(5832*1.05,2)</f>
      </c>
      <c r="F139" s="20" t="s">
        <v>23</v>
      </c>
      <c r="G139" s="20" t="s">
        <v>24</v>
      </c>
      <c r="H139" s="21">
        <f>ROUND(RAND()*4+6,1)</f>
      </c>
      <c r="I139" s="20" t="s">
        <v>25</v>
      </c>
      <c r="J139" s="23">
        <f>ROUND(87*1,0)&amp;"%"</f>
      </c>
    </row>
    <row x14ac:dyDescent="0.25" r="140" customHeight="1" ht="17.25">
      <c r="A140" s="17" t="s">
        <v>956</v>
      </c>
      <c r="B140" s="17" t="s">
        <v>246</v>
      </c>
      <c r="C140" s="17" t="s">
        <v>114</v>
      </c>
      <c r="D140" s="17" t="s">
        <v>28</v>
      </c>
      <c r="E140" s="18">
        <f>ROUND(5091*1.05,2)</f>
      </c>
      <c r="F140" s="17" t="s">
        <v>29</v>
      </c>
      <c r="G140" s="17" t="s">
        <v>30</v>
      </c>
      <c r="H140" s="18">
        <f>ROUND(RAND()*4+6,1)</f>
      </c>
      <c r="I140" s="17" t="s">
        <v>31</v>
      </c>
      <c r="J140" s="19">
        <f>ROUND(84*1,0)&amp;"%"</f>
      </c>
    </row>
    <row x14ac:dyDescent="0.25" r="141" customHeight="1" ht="17.25">
      <c r="A141" s="20" t="s">
        <v>957</v>
      </c>
      <c r="B141" s="20" t="s">
        <v>248</v>
      </c>
      <c r="C141" s="20" t="s">
        <v>114</v>
      </c>
      <c r="D141" s="20" t="s">
        <v>34</v>
      </c>
      <c r="E141" s="21">
        <f>ROUND(8973*1.05,2)</f>
      </c>
      <c r="F141" s="20" t="s">
        <v>35</v>
      </c>
      <c r="G141" s="20" t="s">
        <v>18</v>
      </c>
      <c r="H141" s="21">
        <f>ROUND(RAND()*4+6,1)</f>
      </c>
      <c r="I141" s="20" t="s">
        <v>36</v>
      </c>
      <c r="J141" s="23">
        <f>ROUND(93*1,0)&amp;"%"</f>
      </c>
    </row>
    <row x14ac:dyDescent="0.25" r="142" customHeight="1" ht="17.25">
      <c r="A142" s="17" t="s">
        <v>958</v>
      </c>
      <c r="B142" s="17" t="s">
        <v>250</v>
      </c>
      <c r="C142" s="17" t="s">
        <v>114</v>
      </c>
      <c r="D142" s="17" t="s">
        <v>39</v>
      </c>
      <c r="E142" s="18">
        <f>ROUND(12181*1.05,2)</f>
      </c>
      <c r="F142" s="17" t="s">
        <v>40</v>
      </c>
      <c r="G142" s="17" t="s">
        <v>24</v>
      </c>
      <c r="H142" s="18">
        <f>ROUND(RAND()*4+6,1)</f>
      </c>
      <c r="I142" s="17" t="s">
        <v>41</v>
      </c>
      <c r="J142" s="19">
        <f>ROUND(70*1,0)&amp;"%"</f>
      </c>
    </row>
    <row x14ac:dyDescent="0.25" r="143" customHeight="1" ht="17.25">
      <c r="A143" s="20" t="s">
        <v>959</v>
      </c>
      <c r="B143" s="20" t="s">
        <v>252</v>
      </c>
      <c r="C143" s="20" t="s">
        <v>114</v>
      </c>
      <c r="D143" s="20" t="s">
        <v>67</v>
      </c>
      <c r="E143" s="21">
        <f>ROUND(11019*1.05,2)</f>
      </c>
      <c r="F143" s="20" t="s">
        <v>44</v>
      </c>
      <c r="G143" s="20" t="s">
        <v>30</v>
      </c>
      <c r="H143" s="21">
        <f>ROUND(RAND()*4+6,1)</f>
      </c>
      <c r="I143" s="20" t="s">
        <v>45</v>
      </c>
      <c r="J143" s="23">
        <f>ROUND(100*1,0)&amp;"%"</f>
      </c>
    </row>
    <row x14ac:dyDescent="0.25" r="144" customHeight="1" ht="17.25">
      <c r="A144" s="17" t="s">
        <v>960</v>
      </c>
      <c r="B144" s="17" t="s">
        <v>254</v>
      </c>
      <c r="C144" s="17" t="s">
        <v>114</v>
      </c>
      <c r="D144" s="17" t="s">
        <v>16</v>
      </c>
      <c r="E144" s="18">
        <f>ROUND(9434*1.05,2)</f>
      </c>
      <c r="F144" s="17" t="s">
        <v>48</v>
      </c>
      <c r="G144" s="17" t="s">
        <v>18</v>
      </c>
      <c r="H144" s="18">
        <f>ROUND(RAND()*4+6,1)</f>
      </c>
      <c r="I144" s="17" t="s">
        <v>19</v>
      </c>
      <c r="J144" s="19">
        <f>ROUND(79*1,0)&amp;"%"</f>
      </c>
    </row>
    <row x14ac:dyDescent="0.25" r="145" customHeight="1" ht="17.25">
      <c r="A145" s="20" t="s">
        <v>961</v>
      </c>
      <c r="B145" s="20" t="s">
        <v>256</v>
      </c>
      <c r="C145" s="20" t="s">
        <v>114</v>
      </c>
      <c r="D145" s="20" t="s">
        <v>22</v>
      </c>
      <c r="E145" s="21">
        <f>ROUND(15784*1.05,2)</f>
      </c>
      <c r="F145" s="20" t="s">
        <v>51</v>
      </c>
      <c r="G145" s="20" t="s">
        <v>24</v>
      </c>
      <c r="H145" s="21">
        <f>ROUND(RAND()*4+6,1)</f>
      </c>
      <c r="I145" s="20" t="s">
        <v>25</v>
      </c>
      <c r="J145" s="23">
        <f>ROUND(98*1,0)&amp;"%"</f>
      </c>
    </row>
    <row x14ac:dyDescent="0.25" r="146" customHeight="1" ht="17.25">
      <c r="A146" s="24" t="s">
        <v>257</v>
      </c>
      <c r="B146" s="24"/>
      <c r="C146" s="24"/>
      <c r="D146" s="24"/>
      <c r="E146" s="25">
        <v>8</v>
      </c>
      <c r="F146" s="9"/>
      <c r="G146" s="9"/>
      <c r="H146" s="10"/>
      <c r="I146" s="9"/>
      <c r="J146" s="9"/>
    </row>
    <row x14ac:dyDescent="0.25" r="147" customHeight="1" ht="17.25">
      <c r="A147" s="7"/>
      <c r="B147" s="7"/>
      <c r="C147" s="7"/>
      <c r="D147" s="7"/>
      <c r="E147" s="8"/>
      <c r="F147" s="9"/>
      <c r="G147" s="9"/>
      <c r="H147" s="10"/>
      <c r="I147" s="9"/>
      <c r="J147" s="9"/>
    </row>
    <row x14ac:dyDescent="0.25" r="148" customHeight="1" ht="17.25">
      <c r="A148" s="11" t="s">
        <v>962</v>
      </c>
      <c r="B148" s="11"/>
      <c r="C148" s="11"/>
      <c r="D148" s="11"/>
      <c r="E148" s="12"/>
      <c r="F148" s="11"/>
      <c r="G148" s="11"/>
      <c r="H148" s="13"/>
      <c r="I148" s="11"/>
      <c r="J148" s="11"/>
    </row>
    <row x14ac:dyDescent="0.25" r="149" customHeight="1" ht="17.25">
      <c r="A149" s="14" t="s">
        <v>3</v>
      </c>
      <c r="B149" s="14" t="s">
        <v>4</v>
      </c>
      <c r="C149" s="14" t="s">
        <v>5</v>
      </c>
      <c r="D149" s="14" t="s">
        <v>6</v>
      </c>
      <c r="E149" s="15" t="s">
        <v>7</v>
      </c>
      <c r="F149" s="14" t="s">
        <v>8</v>
      </c>
      <c r="G149" s="14" t="s">
        <v>9</v>
      </c>
      <c r="H149" s="16" t="s">
        <v>10</v>
      </c>
      <c r="I149" s="14" t="s">
        <v>11</v>
      </c>
      <c r="J149" s="14" t="s">
        <v>12</v>
      </c>
    </row>
    <row x14ac:dyDescent="0.25" r="150" customHeight="1" ht="17.25">
      <c r="A150" s="17" t="s">
        <v>963</v>
      </c>
      <c r="B150" s="17" t="s">
        <v>260</v>
      </c>
      <c r="C150" s="17" t="s">
        <v>133</v>
      </c>
      <c r="D150" s="17" t="s">
        <v>16</v>
      </c>
      <c r="E150" s="18">
        <f>ROUND(6208*1.05,2)</f>
      </c>
      <c r="F150" s="17" t="s">
        <v>17</v>
      </c>
      <c r="G150" s="17" t="s">
        <v>18</v>
      </c>
      <c r="H150" s="18">
        <f>ROUND(RAND()*4+6,1)</f>
      </c>
      <c r="I150" s="17" t="s">
        <v>19</v>
      </c>
      <c r="J150" s="19">
        <f>ROUND(77*1,0)&amp;"%"</f>
      </c>
    </row>
    <row x14ac:dyDescent="0.25" r="151" customHeight="1" ht="17.25">
      <c r="A151" s="20" t="s">
        <v>964</v>
      </c>
      <c r="B151" s="20" t="s">
        <v>262</v>
      </c>
      <c r="C151" s="20" t="s">
        <v>133</v>
      </c>
      <c r="D151" s="20" t="s">
        <v>22</v>
      </c>
      <c r="E151" s="21">
        <f>ROUND(14301*1.05,2)</f>
      </c>
      <c r="F151" s="20" t="s">
        <v>23</v>
      </c>
      <c r="G151" s="20" t="s">
        <v>24</v>
      </c>
      <c r="H151" s="22">
        <f>ROUND(RAND()*4+6,1)</f>
      </c>
      <c r="I151" s="20" t="s">
        <v>25</v>
      </c>
      <c r="J151" s="23">
        <f>ROUND(82*1,0)&amp;"%"</f>
      </c>
    </row>
    <row x14ac:dyDescent="0.25" r="152" customHeight="1" ht="17.25">
      <c r="A152" s="17" t="s">
        <v>965</v>
      </c>
      <c r="B152" s="17" t="s">
        <v>264</v>
      </c>
      <c r="C152" s="17" t="s">
        <v>133</v>
      </c>
      <c r="D152" s="17" t="s">
        <v>28</v>
      </c>
      <c r="E152" s="18">
        <f>ROUND(6329*1.05,2)</f>
      </c>
      <c r="F152" s="17" t="s">
        <v>29</v>
      </c>
      <c r="G152" s="17" t="s">
        <v>30</v>
      </c>
      <c r="H152" s="26">
        <f>ROUND(RAND()*4+6,1)</f>
      </c>
      <c r="I152" s="17" t="s">
        <v>31</v>
      </c>
      <c r="J152" s="19">
        <f>ROUND(66*1,0)&amp;"%"</f>
      </c>
    </row>
    <row x14ac:dyDescent="0.25" r="153" customHeight="1" ht="17.25">
      <c r="A153" s="20" t="s">
        <v>966</v>
      </c>
      <c r="B153" s="20" t="s">
        <v>266</v>
      </c>
      <c r="C153" s="20" t="s">
        <v>133</v>
      </c>
      <c r="D153" s="20" t="s">
        <v>34</v>
      </c>
      <c r="E153" s="21">
        <f>ROUND(8905*1.05,2)</f>
      </c>
      <c r="F153" s="20" t="s">
        <v>35</v>
      </c>
      <c r="G153" s="20" t="s">
        <v>18</v>
      </c>
      <c r="H153" s="21">
        <f>ROUND(RAND()*4+6,1)</f>
      </c>
      <c r="I153" s="20" t="s">
        <v>36</v>
      </c>
      <c r="J153" s="23">
        <f>ROUND(62*1,0)&amp;"%"</f>
      </c>
    </row>
    <row x14ac:dyDescent="0.25" r="154" customHeight="1" ht="17.25">
      <c r="A154" s="17" t="s">
        <v>967</v>
      </c>
      <c r="B154" s="17" t="s">
        <v>268</v>
      </c>
      <c r="C154" s="17" t="s">
        <v>133</v>
      </c>
      <c r="D154" s="17" t="s">
        <v>39</v>
      </c>
      <c r="E154" s="18">
        <f>ROUND(6013*1.05,2)</f>
      </c>
      <c r="F154" s="17" t="s">
        <v>40</v>
      </c>
      <c r="G154" s="17" t="s">
        <v>24</v>
      </c>
      <c r="H154" s="18">
        <f>ROUND(RAND()*4+6,1)</f>
      </c>
      <c r="I154" s="17" t="s">
        <v>41</v>
      </c>
      <c r="J154" s="19">
        <f>ROUND(81*1,0)&amp;"%"</f>
      </c>
    </row>
    <row x14ac:dyDescent="0.25" r="155" customHeight="1" ht="17.25">
      <c r="A155" s="20" t="s">
        <v>968</v>
      </c>
      <c r="B155" s="20" t="s">
        <v>270</v>
      </c>
      <c r="C155" s="20" t="s">
        <v>133</v>
      </c>
      <c r="D155" s="20" t="s">
        <v>67</v>
      </c>
      <c r="E155" s="22">
        <f>ROUND(6580*1.05,2)</f>
      </c>
      <c r="F155" s="20" t="s">
        <v>44</v>
      </c>
      <c r="G155" s="20" t="s">
        <v>30</v>
      </c>
      <c r="H155" s="21">
        <f>ROUND(RAND()*4+6,1)</f>
      </c>
      <c r="I155" s="20" t="s">
        <v>45</v>
      </c>
      <c r="J155" s="23">
        <f>ROUND(79*1,0)&amp;"%"</f>
      </c>
    </row>
    <row x14ac:dyDescent="0.25" r="156" customHeight="1" ht="17.25">
      <c r="A156" s="17" t="s">
        <v>969</v>
      </c>
      <c r="B156" s="17" t="s">
        <v>272</v>
      </c>
      <c r="C156" s="17" t="s">
        <v>133</v>
      </c>
      <c r="D156" s="17" t="s">
        <v>16</v>
      </c>
      <c r="E156" s="18">
        <f>ROUND(15772*1.05,2)</f>
      </c>
      <c r="F156" s="17" t="s">
        <v>48</v>
      </c>
      <c r="G156" s="17" t="s">
        <v>18</v>
      </c>
      <c r="H156" s="18">
        <f>ROUND(RAND()*4+6,1)</f>
      </c>
      <c r="I156" s="17" t="s">
        <v>19</v>
      </c>
      <c r="J156" s="19">
        <f>ROUND(93*1,0)&amp;"%"</f>
      </c>
    </row>
    <row x14ac:dyDescent="0.25" r="157" customHeight="1" ht="17.25">
      <c r="A157" s="20" t="s">
        <v>970</v>
      </c>
      <c r="B157" s="20" t="s">
        <v>274</v>
      </c>
      <c r="C157" s="20" t="s">
        <v>133</v>
      </c>
      <c r="D157" s="20" t="s">
        <v>22</v>
      </c>
      <c r="E157" s="21">
        <f>ROUND(12587*1.05,2)</f>
      </c>
      <c r="F157" s="20" t="s">
        <v>51</v>
      </c>
      <c r="G157" s="20" t="s">
        <v>24</v>
      </c>
      <c r="H157" s="21">
        <f>ROUND(RAND()*4+6,1)</f>
      </c>
      <c r="I157" s="20" t="s">
        <v>25</v>
      </c>
      <c r="J157" s="23">
        <f>ROUND(87*1,0)&amp;"%"</f>
      </c>
    </row>
    <row x14ac:dyDescent="0.25" r="158" customHeight="1" ht="17.25">
      <c r="A158" s="24" t="s">
        <v>275</v>
      </c>
      <c r="B158" s="24"/>
      <c r="C158" s="24"/>
      <c r="D158" s="24"/>
      <c r="E158" s="25">
        <v>8</v>
      </c>
      <c r="F158" s="9"/>
      <c r="G158" s="9"/>
      <c r="H158" s="10"/>
      <c r="I158" s="9"/>
      <c r="J158" s="9"/>
    </row>
    <row x14ac:dyDescent="0.25" r="159" customHeight="1" ht="17.25">
      <c r="A159" s="7"/>
      <c r="B159" s="7"/>
      <c r="C159" s="7"/>
      <c r="D159" s="7"/>
      <c r="E159" s="8"/>
      <c r="F159" s="9"/>
      <c r="G159" s="9"/>
      <c r="H159" s="10"/>
      <c r="I159" s="9"/>
      <c r="J159" s="9"/>
    </row>
    <row x14ac:dyDescent="0.25" r="160" customHeight="1" ht="17.25">
      <c r="A160" s="11" t="s">
        <v>971</v>
      </c>
      <c r="B160" s="11"/>
      <c r="C160" s="11"/>
      <c r="D160" s="11"/>
      <c r="E160" s="12"/>
      <c r="F160" s="11"/>
      <c r="G160" s="11"/>
      <c r="H160" s="13"/>
      <c r="I160" s="11"/>
      <c r="J160" s="11"/>
    </row>
    <row x14ac:dyDescent="0.25" r="161" customHeight="1" ht="17.25">
      <c r="A161" s="14" t="s">
        <v>3</v>
      </c>
      <c r="B161" s="14" t="s">
        <v>4</v>
      </c>
      <c r="C161" s="14" t="s">
        <v>5</v>
      </c>
      <c r="D161" s="14" t="s">
        <v>6</v>
      </c>
      <c r="E161" s="15" t="s">
        <v>7</v>
      </c>
      <c r="F161" s="14" t="s">
        <v>8</v>
      </c>
      <c r="G161" s="14" t="s">
        <v>9</v>
      </c>
      <c r="H161" s="16" t="s">
        <v>10</v>
      </c>
      <c r="I161" s="14" t="s">
        <v>11</v>
      </c>
      <c r="J161" s="14" t="s">
        <v>12</v>
      </c>
    </row>
    <row x14ac:dyDescent="0.25" r="162" customHeight="1" ht="17.25">
      <c r="A162" s="17" t="s">
        <v>972</v>
      </c>
      <c r="B162" s="17" t="s">
        <v>278</v>
      </c>
      <c r="C162" s="17" t="s">
        <v>152</v>
      </c>
      <c r="D162" s="17" t="s">
        <v>16</v>
      </c>
      <c r="E162" s="18">
        <f>ROUND(8428*1.05,2)</f>
      </c>
      <c r="F162" s="17" t="s">
        <v>17</v>
      </c>
      <c r="G162" s="17" t="s">
        <v>18</v>
      </c>
      <c r="H162" s="18">
        <f>ROUND(RAND()*4+6,1)</f>
      </c>
      <c r="I162" s="17" t="s">
        <v>19</v>
      </c>
      <c r="J162" s="19">
        <f>ROUND(87*1,0)&amp;"%"</f>
      </c>
    </row>
    <row x14ac:dyDescent="0.25" r="163" customHeight="1" ht="17.25">
      <c r="A163" s="20" t="s">
        <v>973</v>
      </c>
      <c r="B163" s="20" t="s">
        <v>280</v>
      </c>
      <c r="C163" s="20" t="s">
        <v>152</v>
      </c>
      <c r="D163" s="20" t="s">
        <v>22</v>
      </c>
      <c r="E163" s="21">
        <f>ROUND(6690*1.05,2)</f>
      </c>
      <c r="F163" s="20" t="s">
        <v>23</v>
      </c>
      <c r="G163" s="20" t="s">
        <v>24</v>
      </c>
      <c r="H163" s="21">
        <f>ROUND(RAND()*4+6,1)</f>
      </c>
      <c r="I163" s="20" t="s">
        <v>25</v>
      </c>
      <c r="J163" s="23">
        <f>ROUND(76*1,0)&amp;"%"</f>
      </c>
    </row>
    <row x14ac:dyDescent="0.25" r="164" customHeight="1" ht="17.25">
      <c r="A164" s="17" t="s">
        <v>974</v>
      </c>
      <c r="B164" s="17" t="s">
        <v>282</v>
      </c>
      <c r="C164" s="17" t="s">
        <v>152</v>
      </c>
      <c r="D164" s="17" t="s">
        <v>28</v>
      </c>
      <c r="E164" s="18">
        <f>ROUND(12226*1.05,2)</f>
      </c>
      <c r="F164" s="17" t="s">
        <v>29</v>
      </c>
      <c r="G164" s="17" t="s">
        <v>30</v>
      </c>
      <c r="H164" s="18">
        <f>ROUND(RAND()*4+6,1)</f>
      </c>
      <c r="I164" s="17" t="s">
        <v>31</v>
      </c>
      <c r="J164" s="19">
        <f>ROUND(97*1,0)&amp;"%"</f>
      </c>
    </row>
    <row x14ac:dyDescent="0.25" r="165" customHeight="1" ht="17.25">
      <c r="A165" s="20" t="s">
        <v>975</v>
      </c>
      <c r="B165" s="20" t="s">
        <v>284</v>
      </c>
      <c r="C165" s="20" t="s">
        <v>152</v>
      </c>
      <c r="D165" s="20" t="s">
        <v>34</v>
      </c>
      <c r="E165" s="22">
        <f>ROUND(15320*1.05,2)</f>
      </c>
      <c r="F165" s="20" t="s">
        <v>35</v>
      </c>
      <c r="G165" s="20" t="s">
        <v>18</v>
      </c>
      <c r="H165" s="21">
        <f>ROUND(RAND()*4+6,1)</f>
      </c>
      <c r="I165" s="20" t="s">
        <v>36</v>
      </c>
      <c r="J165" s="23">
        <f>ROUND(79*1,0)&amp;"%"</f>
      </c>
    </row>
    <row x14ac:dyDescent="0.25" r="166" customHeight="1" ht="17.25">
      <c r="A166" s="17" t="s">
        <v>976</v>
      </c>
      <c r="B166" s="17" t="s">
        <v>286</v>
      </c>
      <c r="C166" s="17" t="s">
        <v>152</v>
      </c>
      <c r="D166" s="17" t="s">
        <v>39</v>
      </c>
      <c r="E166" s="18">
        <f>ROUND(12322*1.05,2)</f>
      </c>
      <c r="F166" s="17" t="s">
        <v>40</v>
      </c>
      <c r="G166" s="17" t="s">
        <v>24</v>
      </c>
      <c r="H166" s="18">
        <f>ROUND(RAND()*4+6,1)</f>
      </c>
      <c r="I166" s="17" t="s">
        <v>41</v>
      </c>
      <c r="J166" s="19">
        <f>ROUND(61*1,0)&amp;"%"</f>
      </c>
    </row>
    <row x14ac:dyDescent="0.25" r="167" customHeight="1" ht="17.25">
      <c r="A167" s="20" t="s">
        <v>977</v>
      </c>
      <c r="B167" s="20" t="s">
        <v>288</v>
      </c>
      <c r="C167" s="20" t="s">
        <v>152</v>
      </c>
      <c r="D167" s="20" t="s">
        <v>67</v>
      </c>
      <c r="E167" s="21">
        <f>ROUND(16729*1.05,2)</f>
      </c>
      <c r="F167" s="20" t="s">
        <v>44</v>
      </c>
      <c r="G167" s="20" t="s">
        <v>30</v>
      </c>
      <c r="H167" s="21">
        <f>ROUND(RAND()*4+6,1)</f>
      </c>
      <c r="I167" s="20" t="s">
        <v>45</v>
      </c>
      <c r="J167" s="23">
        <f>ROUND(66*1,0)&amp;"%"</f>
      </c>
    </row>
    <row x14ac:dyDescent="0.25" r="168" customHeight="1" ht="17.25">
      <c r="A168" s="17" t="s">
        <v>978</v>
      </c>
      <c r="B168" s="17" t="s">
        <v>290</v>
      </c>
      <c r="C168" s="17" t="s">
        <v>152</v>
      </c>
      <c r="D168" s="17" t="s">
        <v>16</v>
      </c>
      <c r="E168" s="26">
        <f>ROUND(14240*1.05,2)</f>
      </c>
      <c r="F168" s="17" t="s">
        <v>48</v>
      </c>
      <c r="G168" s="17" t="s">
        <v>18</v>
      </c>
      <c r="H168" s="18">
        <f>ROUND(RAND()*4+6,1)</f>
      </c>
      <c r="I168" s="17" t="s">
        <v>19</v>
      </c>
      <c r="J168" s="19">
        <f>ROUND(68*1,0)&amp;"%"</f>
      </c>
    </row>
    <row x14ac:dyDescent="0.25" r="169" customHeight="1" ht="17.25">
      <c r="A169" s="20" t="s">
        <v>979</v>
      </c>
      <c r="B169" s="20" t="s">
        <v>292</v>
      </c>
      <c r="C169" s="20" t="s">
        <v>152</v>
      </c>
      <c r="D169" s="20" t="s">
        <v>22</v>
      </c>
      <c r="E169" s="21">
        <f>ROUND(10745*1.05,2)</f>
      </c>
      <c r="F169" s="20" t="s">
        <v>51</v>
      </c>
      <c r="G169" s="20" t="s">
        <v>24</v>
      </c>
      <c r="H169" s="21">
        <f>ROUND(RAND()*4+6,1)</f>
      </c>
      <c r="I169" s="20" t="s">
        <v>25</v>
      </c>
      <c r="J169" s="23">
        <f>ROUND(84*1,0)&amp;"%"</f>
      </c>
    </row>
    <row x14ac:dyDescent="0.25" r="170" customHeight="1" ht="17.25">
      <c r="A170" s="24" t="s">
        <v>293</v>
      </c>
      <c r="B170" s="24"/>
      <c r="C170" s="24"/>
      <c r="D170" s="24"/>
      <c r="E170" s="25">
        <v>8</v>
      </c>
      <c r="F170" s="9"/>
      <c r="G170" s="9"/>
      <c r="H170" s="10"/>
      <c r="I170" s="9"/>
      <c r="J170" s="9"/>
    </row>
    <row x14ac:dyDescent="0.25" r="171" customHeight="1" ht="17.25">
      <c r="A171" s="7"/>
      <c r="B171" s="7"/>
      <c r="C171" s="7"/>
      <c r="D171" s="7"/>
      <c r="E171" s="8"/>
      <c r="F171" s="9"/>
      <c r="G171" s="9"/>
      <c r="H171" s="10"/>
      <c r="I171" s="9"/>
      <c r="J171" s="9"/>
    </row>
    <row x14ac:dyDescent="0.25" r="172" customHeight="1" ht="17.25">
      <c r="A172" s="11" t="s">
        <v>980</v>
      </c>
      <c r="B172" s="11"/>
      <c r="C172" s="11"/>
      <c r="D172" s="11"/>
      <c r="E172" s="12"/>
      <c r="F172" s="11"/>
      <c r="G172" s="11"/>
      <c r="H172" s="13"/>
      <c r="I172" s="11"/>
      <c r="J172" s="11"/>
    </row>
    <row x14ac:dyDescent="0.25" r="173" customHeight="1" ht="17.25">
      <c r="A173" s="14" t="s">
        <v>3</v>
      </c>
      <c r="B173" s="14" t="s">
        <v>4</v>
      </c>
      <c r="C173" s="14" t="s">
        <v>5</v>
      </c>
      <c r="D173" s="14" t="s">
        <v>6</v>
      </c>
      <c r="E173" s="15" t="s">
        <v>7</v>
      </c>
      <c r="F173" s="14" t="s">
        <v>8</v>
      </c>
      <c r="G173" s="14" t="s">
        <v>9</v>
      </c>
      <c r="H173" s="16" t="s">
        <v>10</v>
      </c>
      <c r="I173" s="14" t="s">
        <v>11</v>
      </c>
      <c r="J173" s="14" t="s">
        <v>12</v>
      </c>
    </row>
    <row x14ac:dyDescent="0.25" r="174" customHeight="1" ht="17.25">
      <c r="A174" s="17" t="s">
        <v>981</v>
      </c>
      <c r="B174" s="17" t="s">
        <v>296</v>
      </c>
      <c r="C174" s="17" t="s">
        <v>15</v>
      </c>
      <c r="D174" s="17" t="s">
        <v>16</v>
      </c>
      <c r="E174" s="18">
        <f>ROUND(11710*1.05,2)</f>
      </c>
      <c r="F174" s="17" t="s">
        <v>17</v>
      </c>
      <c r="G174" s="17" t="s">
        <v>18</v>
      </c>
      <c r="H174" s="18">
        <f>ROUND(RAND()*4+6,1)</f>
      </c>
      <c r="I174" s="17" t="s">
        <v>19</v>
      </c>
      <c r="J174" s="19">
        <f>ROUND(68*1,0)&amp;"%"</f>
      </c>
    </row>
    <row x14ac:dyDescent="0.25" r="175" customHeight="1" ht="17.25">
      <c r="A175" s="20" t="s">
        <v>982</v>
      </c>
      <c r="B175" s="20" t="s">
        <v>298</v>
      </c>
      <c r="C175" s="20" t="s">
        <v>15</v>
      </c>
      <c r="D175" s="20" t="s">
        <v>22</v>
      </c>
      <c r="E175" s="21">
        <f>ROUND(14235*1.05,2)</f>
      </c>
      <c r="F175" s="20" t="s">
        <v>23</v>
      </c>
      <c r="G175" s="20" t="s">
        <v>24</v>
      </c>
      <c r="H175" s="21">
        <f>ROUND(RAND()*4+6,1)</f>
      </c>
      <c r="I175" s="20" t="s">
        <v>25</v>
      </c>
      <c r="J175" s="23">
        <f>ROUND(61*1,0)&amp;"%"</f>
      </c>
    </row>
    <row x14ac:dyDescent="0.25" r="176" customHeight="1" ht="17.25">
      <c r="A176" s="17" t="s">
        <v>983</v>
      </c>
      <c r="B176" s="17" t="s">
        <v>300</v>
      </c>
      <c r="C176" s="17" t="s">
        <v>15</v>
      </c>
      <c r="D176" s="17" t="s">
        <v>28</v>
      </c>
      <c r="E176" s="18">
        <f>ROUND(16388*1.05,2)</f>
      </c>
      <c r="F176" s="17" t="s">
        <v>29</v>
      </c>
      <c r="G176" s="17" t="s">
        <v>30</v>
      </c>
      <c r="H176" s="18">
        <f>ROUND(RAND()*4+6,1)</f>
      </c>
      <c r="I176" s="17" t="s">
        <v>31</v>
      </c>
      <c r="J176" s="19">
        <f>ROUND(86*1,0)&amp;"%"</f>
      </c>
    </row>
    <row x14ac:dyDescent="0.25" r="177" customHeight="1" ht="17.25">
      <c r="A177" s="20" t="s">
        <v>984</v>
      </c>
      <c r="B177" s="20" t="s">
        <v>302</v>
      </c>
      <c r="C177" s="20" t="s">
        <v>15</v>
      </c>
      <c r="D177" s="20" t="s">
        <v>34</v>
      </c>
      <c r="E177" s="21">
        <f>ROUND(7262*1.05,2)</f>
      </c>
      <c r="F177" s="20" t="s">
        <v>35</v>
      </c>
      <c r="G177" s="20" t="s">
        <v>18</v>
      </c>
      <c r="H177" s="22">
        <f>ROUND(RAND()*4+6,1)</f>
      </c>
      <c r="I177" s="20" t="s">
        <v>36</v>
      </c>
      <c r="J177" s="23">
        <f>ROUND(70*1,0)&amp;"%"</f>
      </c>
    </row>
    <row x14ac:dyDescent="0.25" r="178" customHeight="1" ht="17.25">
      <c r="A178" s="17" t="s">
        <v>985</v>
      </c>
      <c r="B178" s="17" t="s">
        <v>304</v>
      </c>
      <c r="C178" s="17" t="s">
        <v>15</v>
      </c>
      <c r="D178" s="17" t="s">
        <v>39</v>
      </c>
      <c r="E178" s="18">
        <f>ROUND(7501*1.05,2)</f>
      </c>
      <c r="F178" s="17" t="s">
        <v>40</v>
      </c>
      <c r="G178" s="17" t="s">
        <v>24</v>
      </c>
      <c r="H178" s="18">
        <f>ROUND(RAND()*4+6,1)</f>
      </c>
      <c r="I178" s="17" t="s">
        <v>41</v>
      </c>
      <c r="J178" s="19">
        <f>ROUND(80*1,0)&amp;"%"</f>
      </c>
    </row>
    <row x14ac:dyDescent="0.25" r="179" customHeight="1" ht="17.25">
      <c r="A179" s="20" t="s">
        <v>986</v>
      </c>
      <c r="B179" s="20" t="s">
        <v>306</v>
      </c>
      <c r="C179" s="20" t="s">
        <v>15</v>
      </c>
      <c r="D179" s="20" t="s">
        <v>67</v>
      </c>
      <c r="E179" s="21">
        <f>ROUND(5844*1.05,2)</f>
      </c>
      <c r="F179" s="20" t="s">
        <v>44</v>
      </c>
      <c r="G179" s="20" t="s">
        <v>30</v>
      </c>
      <c r="H179" s="21">
        <f>ROUND(RAND()*4+6,1)</f>
      </c>
      <c r="I179" s="20" t="s">
        <v>45</v>
      </c>
      <c r="J179" s="23">
        <f>ROUND(84*1,0)&amp;"%"</f>
      </c>
    </row>
    <row x14ac:dyDescent="0.25" r="180" customHeight="1" ht="17.25">
      <c r="A180" s="17" t="s">
        <v>987</v>
      </c>
      <c r="B180" s="17" t="s">
        <v>308</v>
      </c>
      <c r="C180" s="17" t="s">
        <v>15</v>
      </c>
      <c r="D180" s="17" t="s">
        <v>16</v>
      </c>
      <c r="E180" s="18">
        <f>ROUND(12166*1.05,2)</f>
      </c>
      <c r="F180" s="17" t="s">
        <v>48</v>
      </c>
      <c r="G180" s="17" t="s">
        <v>18</v>
      </c>
      <c r="H180" s="18">
        <f>ROUND(RAND()*4+6,1)</f>
      </c>
      <c r="I180" s="17" t="s">
        <v>19</v>
      </c>
      <c r="J180" s="19">
        <f>ROUND(66*1,0)&amp;"%"</f>
      </c>
    </row>
    <row x14ac:dyDescent="0.25" r="181" customHeight="1" ht="17.25">
      <c r="A181" s="20" t="s">
        <v>988</v>
      </c>
      <c r="B181" s="20" t="s">
        <v>310</v>
      </c>
      <c r="C181" s="20" t="s">
        <v>15</v>
      </c>
      <c r="D181" s="20" t="s">
        <v>22</v>
      </c>
      <c r="E181" s="21">
        <f>ROUND(17016*1.05,2)</f>
      </c>
      <c r="F181" s="20" t="s">
        <v>51</v>
      </c>
      <c r="G181" s="20" t="s">
        <v>24</v>
      </c>
      <c r="H181" s="21">
        <f>ROUND(RAND()*4+6,1)</f>
      </c>
      <c r="I181" s="20" t="s">
        <v>25</v>
      </c>
      <c r="J181" s="23">
        <f>ROUND(64*1,0)&amp;"%"</f>
      </c>
    </row>
    <row x14ac:dyDescent="0.25" r="182" customHeight="1" ht="17.25">
      <c r="A182" s="24" t="s">
        <v>311</v>
      </c>
      <c r="B182" s="24"/>
      <c r="C182" s="24"/>
      <c r="D182" s="24"/>
      <c r="E182" s="25">
        <v>8</v>
      </c>
      <c r="F182" s="9"/>
      <c r="G182" s="9"/>
      <c r="H182" s="10"/>
      <c r="I182" s="9"/>
      <c r="J182" s="9"/>
    </row>
    <row x14ac:dyDescent="0.25" r="183" customHeight="1" ht="17.25">
      <c r="A183" s="7"/>
      <c r="B183" s="7"/>
      <c r="C183" s="7"/>
      <c r="D183" s="7"/>
      <c r="E183" s="8"/>
      <c r="F183" s="9"/>
      <c r="G183" s="9"/>
      <c r="H183" s="10"/>
      <c r="I183" s="9"/>
      <c r="J183" s="9"/>
    </row>
    <row x14ac:dyDescent="0.25" r="184" customHeight="1" ht="17.25">
      <c r="A184" s="11" t="s">
        <v>989</v>
      </c>
      <c r="B184" s="11"/>
      <c r="C184" s="11"/>
      <c r="D184" s="11"/>
      <c r="E184" s="12"/>
      <c r="F184" s="11"/>
      <c r="G184" s="11"/>
      <c r="H184" s="13"/>
      <c r="I184" s="11"/>
      <c r="J184" s="11"/>
    </row>
    <row x14ac:dyDescent="0.25" r="185" customHeight="1" ht="17.25">
      <c r="A185" s="14" t="s">
        <v>3</v>
      </c>
      <c r="B185" s="14" t="s">
        <v>4</v>
      </c>
      <c r="C185" s="14" t="s">
        <v>5</v>
      </c>
      <c r="D185" s="14" t="s">
        <v>6</v>
      </c>
      <c r="E185" s="15" t="s">
        <v>7</v>
      </c>
      <c r="F185" s="14" t="s">
        <v>8</v>
      </c>
      <c r="G185" s="14" t="s">
        <v>9</v>
      </c>
      <c r="H185" s="16" t="s">
        <v>10</v>
      </c>
      <c r="I185" s="14" t="s">
        <v>11</v>
      </c>
      <c r="J185" s="14" t="s">
        <v>12</v>
      </c>
    </row>
    <row x14ac:dyDescent="0.25" r="186" customHeight="1" ht="17.25">
      <c r="A186" s="17" t="s">
        <v>990</v>
      </c>
      <c r="B186" s="17" t="s">
        <v>314</v>
      </c>
      <c r="C186" s="17" t="s">
        <v>56</v>
      </c>
      <c r="D186" s="17" t="s">
        <v>16</v>
      </c>
      <c r="E186" s="26">
        <f>ROUND(5000*1.05,2)</f>
      </c>
      <c r="F186" s="17" t="s">
        <v>17</v>
      </c>
      <c r="G186" s="17" t="s">
        <v>18</v>
      </c>
      <c r="H186" s="18">
        <f>ROUND(RAND()*4+6,1)</f>
      </c>
      <c r="I186" s="17" t="s">
        <v>19</v>
      </c>
      <c r="J186" s="19">
        <f>ROUND(66*1,0)&amp;"%"</f>
      </c>
    </row>
    <row x14ac:dyDescent="0.25" r="187" customHeight="1" ht="17.25">
      <c r="A187" s="20" t="s">
        <v>991</v>
      </c>
      <c r="B187" s="20" t="s">
        <v>316</v>
      </c>
      <c r="C187" s="20" t="s">
        <v>56</v>
      </c>
      <c r="D187" s="20" t="s">
        <v>22</v>
      </c>
      <c r="E187" s="21">
        <f>ROUND(6164*1.05,2)</f>
      </c>
      <c r="F187" s="20" t="s">
        <v>23</v>
      </c>
      <c r="G187" s="20" t="s">
        <v>24</v>
      </c>
      <c r="H187" s="21">
        <f>ROUND(RAND()*4+6,1)</f>
      </c>
      <c r="I187" s="20" t="s">
        <v>25</v>
      </c>
      <c r="J187" s="23">
        <f>ROUND(65*1,0)&amp;"%"</f>
      </c>
    </row>
    <row x14ac:dyDescent="0.25" r="188" customHeight="1" ht="17.25">
      <c r="A188" s="17" t="s">
        <v>992</v>
      </c>
      <c r="B188" s="17" t="s">
        <v>318</v>
      </c>
      <c r="C188" s="17" t="s">
        <v>56</v>
      </c>
      <c r="D188" s="17" t="s">
        <v>28</v>
      </c>
      <c r="E188" s="18">
        <f>ROUND(14197*1.05,2)</f>
      </c>
      <c r="F188" s="17" t="s">
        <v>29</v>
      </c>
      <c r="G188" s="17" t="s">
        <v>30</v>
      </c>
      <c r="H188" s="18">
        <f>ROUND(RAND()*4+6,1)</f>
      </c>
      <c r="I188" s="17" t="s">
        <v>31</v>
      </c>
      <c r="J188" s="19">
        <f>ROUND(65*1,0)&amp;"%"</f>
      </c>
    </row>
    <row x14ac:dyDescent="0.25" r="189" customHeight="1" ht="17.25">
      <c r="A189" s="20" t="s">
        <v>993</v>
      </c>
      <c r="B189" s="20" t="s">
        <v>320</v>
      </c>
      <c r="C189" s="20" t="s">
        <v>56</v>
      </c>
      <c r="D189" s="20" t="s">
        <v>34</v>
      </c>
      <c r="E189" s="21">
        <f>ROUND(6814*1.05,2)</f>
      </c>
      <c r="F189" s="20" t="s">
        <v>35</v>
      </c>
      <c r="G189" s="20" t="s">
        <v>18</v>
      </c>
      <c r="H189" s="22">
        <f>ROUND(RAND()*4+6,1)</f>
      </c>
      <c r="I189" s="20" t="s">
        <v>36</v>
      </c>
      <c r="J189" s="23">
        <f>ROUND(62*1,0)&amp;"%"</f>
      </c>
    </row>
    <row x14ac:dyDescent="0.25" r="190" customHeight="1" ht="17.25">
      <c r="A190" s="17" t="s">
        <v>994</v>
      </c>
      <c r="B190" s="17" t="s">
        <v>322</v>
      </c>
      <c r="C190" s="17" t="s">
        <v>56</v>
      </c>
      <c r="D190" s="17" t="s">
        <v>39</v>
      </c>
      <c r="E190" s="18">
        <f>ROUND(15479*1.05,2)</f>
      </c>
      <c r="F190" s="17" t="s">
        <v>40</v>
      </c>
      <c r="G190" s="17" t="s">
        <v>24</v>
      </c>
      <c r="H190" s="18">
        <f>ROUND(RAND()*4+6,1)</f>
      </c>
      <c r="I190" s="17" t="s">
        <v>41</v>
      </c>
      <c r="J190" s="19">
        <f>ROUND(60*1,0)&amp;"%"</f>
      </c>
    </row>
    <row x14ac:dyDescent="0.25" r="191" customHeight="1" ht="17.25">
      <c r="A191" s="20" t="s">
        <v>995</v>
      </c>
      <c r="B191" s="20" t="s">
        <v>324</v>
      </c>
      <c r="C191" s="20" t="s">
        <v>56</v>
      </c>
      <c r="D191" s="20" t="s">
        <v>67</v>
      </c>
      <c r="E191" s="21">
        <f>ROUND(11094*1.05,2)</f>
      </c>
      <c r="F191" s="20" t="s">
        <v>44</v>
      </c>
      <c r="G191" s="20" t="s">
        <v>30</v>
      </c>
      <c r="H191" s="21">
        <f>ROUND(RAND()*4+6,1)</f>
      </c>
      <c r="I191" s="20" t="s">
        <v>45</v>
      </c>
      <c r="J191" s="23">
        <f>ROUND(77*1,0)&amp;"%"</f>
      </c>
    </row>
    <row x14ac:dyDescent="0.25" r="192" customHeight="1" ht="17.25">
      <c r="A192" s="17" t="s">
        <v>996</v>
      </c>
      <c r="B192" s="17" t="s">
        <v>326</v>
      </c>
      <c r="C192" s="17" t="s">
        <v>56</v>
      </c>
      <c r="D192" s="17" t="s">
        <v>16</v>
      </c>
      <c r="E192" s="18">
        <f>ROUND(14624*1.05,2)</f>
      </c>
      <c r="F192" s="17" t="s">
        <v>48</v>
      </c>
      <c r="G192" s="17" t="s">
        <v>18</v>
      </c>
      <c r="H192" s="18">
        <f>ROUND(RAND()*4+6,1)</f>
      </c>
      <c r="I192" s="17" t="s">
        <v>19</v>
      </c>
      <c r="J192" s="19">
        <f>ROUND(86*1,0)&amp;"%"</f>
      </c>
    </row>
    <row x14ac:dyDescent="0.25" r="193" customHeight="1" ht="17.25">
      <c r="A193" s="20" t="s">
        <v>997</v>
      </c>
      <c r="B193" s="20" t="s">
        <v>328</v>
      </c>
      <c r="C193" s="20" t="s">
        <v>56</v>
      </c>
      <c r="D193" s="20" t="s">
        <v>22</v>
      </c>
      <c r="E193" s="21">
        <f>ROUND(4232*1.05,2)</f>
      </c>
      <c r="F193" s="20" t="s">
        <v>51</v>
      </c>
      <c r="G193" s="20" t="s">
        <v>24</v>
      </c>
      <c r="H193" s="21">
        <f>ROUND(RAND()*4+6,1)</f>
      </c>
      <c r="I193" s="20" t="s">
        <v>25</v>
      </c>
      <c r="J193" s="23">
        <f>ROUND(95*1,0)&amp;"%"</f>
      </c>
    </row>
    <row x14ac:dyDescent="0.25" r="194" customHeight="1" ht="17.25">
      <c r="A194" s="24" t="s">
        <v>329</v>
      </c>
      <c r="B194" s="24"/>
      <c r="C194" s="24"/>
      <c r="D194" s="24"/>
      <c r="E194" s="25">
        <v>8</v>
      </c>
      <c r="F194" s="9"/>
      <c r="G194" s="9"/>
      <c r="H194" s="10"/>
      <c r="I194" s="9"/>
      <c r="J194" s="9"/>
    </row>
    <row x14ac:dyDescent="0.25" r="195" customHeight="1" ht="17.25">
      <c r="A195" s="7"/>
      <c r="B195" s="7"/>
      <c r="C195" s="7"/>
      <c r="D195" s="7"/>
      <c r="E195" s="8"/>
      <c r="F195" s="9"/>
      <c r="G195" s="9"/>
      <c r="H195" s="10"/>
      <c r="I195" s="9"/>
      <c r="J195" s="9"/>
    </row>
    <row x14ac:dyDescent="0.25" r="196" customHeight="1" ht="17.25">
      <c r="A196" s="11" t="s">
        <v>998</v>
      </c>
      <c r="B196" s="11"/>
      <c r="C196" s="11"/>
      <c r="D196" s="11"/>
      <c r="E196" s="12"/>
      <c r="F196" s="11"/>
      <c r="G196" s="11"/>
      <c r="H196" s="13"/>
      <c r="I196" s="11"/>
      <c r="J196" s="11"/>
    </row>
    <row x14ac:dyDescent="0.25" r="197" customHeight="1" ht="17.25">
      <c r="A197" s="14" t="s">
        <v>3</v>
      </c>
      <c r="B197" s="14" t="s">
        <v>4</v>
      </c>
      <c r="C197" s="14" t="s">
        <v>5</v>
      </c>
      <c r="D197" s="14" t="s">
        <v>6</v>
      </c>
      <c r="E197" s="15" t="s">
        <v>7</v>
      </c>
      <c r="F197" s="14" t="s">
        <v>8</v>
      </c>
      <c r="G197" s="14" t="s">
        <v>9</v>
      </c>
      <c r="H197" s="16" t="s">
        <v>10</v>
      </c>
      <c r="I197" s="14" t="s">
        <v>11</v>
      </c>
      <c r="J197" s="14" t="s">
        <v>12</v>
      </c>
    </row>
    <row x14ac:dyDescent="0.25" r="198" customHeight="1" ht="17.25">
      <c r="A198" s="17" t="s">
        <v>999</v>
      </c>
      <c r="B198" s="17" t="s">
        <v>332</v>
      </c>
      <c r="C198" s="17" t="s">
        <v>76</v>
      </c>
      <c r="D198" s="17" t="s">
        <v>16</v>
      </c>
      <c r="E198" s="18">
        <f>ROUND(11651*1.05,2)</f>
      </c>
      <c r="F198" s="17" t="s">
        <v>17</v>
      </c>
      <c r="G198" s="17" t="s">
        <v>18</v>
      </c>
      <c r="H198" s="18">
        <f>ROUND(RAND()*4+6,1)</f>
      </c>
      <c r="I198" s="17" t="s">
        <v>19</v>
      </c>
      <c r="J198" s="19">
        <f>ROUND(73*1,0)&amp;"%"</f>
      </c>
    </row>
    <row x14ac:dyDescent="0.25" r="199" customHeight="1" ht="17.25">
      <c r="A199" s="20" t="s">
        <v>1000</v>
      </c>
      <c r="B199" s="20" t="s">
        <v>334</v>
      </c>
      <c r="C199" s="20" t="s">
        <v>76</v>
      </c>
      <c r="D199" s="20" t="s">
        <v>22</v>
      </c>
      <c r="E199" s="21">
        <f>ROUND(12517*1.05,2)</f>
      </c>
      <c r="F199" s="20" t="s">
        <v>23</v>
      </c>
      <c r="G199" s="20" t="s">
        <v>24</v>
      </c>
      <c r="H199" s="21">
        <f>ROUND(RAND()*4+6,1)</f>
      </c>
      <c r="I199" s="20" t="s">
        <v>25</v>
      </c>
      <c r="J199" s="23">
        <f>ROUND(61*1,0)&amp;"%"</f>
      </c>
    </row>
    <row x14ac:dyDescent="0.25" r="200" customHeight="1" ht="17.25">
      <c r="A200" s="17" t="s">
        <v>1001</v>
      </c>
      <c r="B200" s="17" t="s">
        <v>336</v>
      </c>
      <c r="C200" s="17" t="s">
        <v>76</v>
      </c>
      <c r="D200" s="17" t="s">
        <v>28</v>
      </c>
      <c r="E200" s="18">
        <f>ROUND(9571*1.05,2)</f>
      </c>
      <c r="F200" s="17" t="s">
        <v>29</v>
      </c>
      <c r="G200" s="17" t="s">
        <v>30</v>
      </c>
      <c r="H200" s="26">
        <f>ROUND(RAND()*4+6,1)</f>
      </c>
      <c r="I200" s="17" t="s">
        <v>31</v>
      </c>
      <c r="J200" s="19">
        <f>ROUND(100*1,0)&amp;"%"</f>
      </c>
    </row>
    <row x14ac:dyDescent="0.25" r="201" customHeight="1" ht="17.25">
      <c r="A201" s="20" t="s">
        <v>1002</v>
      </c>
      <c r="B201" s="20" t="s">
        <v>338</v>
      </c>
      <c r="C201" s="20" t="s">
        <v>76</v>
      </c>
      <c r="D201" s="20" t="s">
        <v>34</v>
      </c>
      <c r="E201" s="21">
        <f>ROUND(10364*1.05,2)</f>
      </c>
      <c r="F201" s="20" t="s">
        <v>35</v>
      </c>
      <c r="G201" s="20" t="s">
        <v>18</v>
      </c>
      <c r="H201" s="21">
        <f>ROUND(RAND()*4+6,1)</f>
      </c>
      <c r="I201" s="20" t="s">
        <v>36</v>
      </c>
      <c r="J201" s="23">
        <f>ROUND(90*1,0)&amp;"%"</f>
      </c>
    </row>
    <row x14ac:dyDescent="0.25" r="202" customHeight="1" ht="17.25">
      <c r="A202" s="17" t="s">
        <v>1003</v>
      </c>
      <c r="B202" s="17" t="s">
        <v>340</v>
      </c>
      <c r="C202" s="17" t="s">
        <v>76</v>
      </c>
      <c r="D202" s="17" t="s">
        <v>39</v>
      </c>
      <c r="E202" s="18">
        <f>ROUND(7306*1.05,2)</f>
      </c>
      <c r="F202" s="17" t="s">
        <v>40</v>
      </c>
      <c r="G202" s="17" t="s">
        <v>24</v>
      </c>
      <c r="H202" s="18">
        <f>ROUND(RAND()*4+6,1)</f>
      </c>
      <c r="I202" s="17" t="s">
        <v>41</v>
      </c>
      <c r="J202" s="19">
        <f>ROUND(67*1,0)&amp;"%"</f>
      </c>
    </row>
    <row x14ac:dyDescent="0.25" r="203" customHeight="1" ht="17.25">
      <c r="A203" s="20" t="s">
        <v>1004</v>
      </c>
      <c r="B203" s="20" t="s">
        <v>342</v>
      </c>
      <c r="C203" s="20" t="s">
        <v>76</v>
      </c>
      <c r="D203" s="20" t="s">
        <v>67</v>
      </c>
      <c r="E203" s="21">
        <f>ROUND(9154*1.05,2)</f>
      </c>
      <c r="F203" s="20" t="s">
        <v>44</v>
      </c>
      <c r="G203" s="20" t="s">
        <v>30</v>
      </c>
      <c r="H203" s="21">
        <f>ROUND(RAND()*4+6,1)</f>
      </c>
      <c r="I203" s="20" t="s">
        <v>45</v>
      </c>
      <c r="J203" s="23">
        <f>ROUND(95*1,0)&amp;"%"</f>
      </c>
    </row>
    <row x14ac:dyDescent="0.25" r="204" customHeight="1" ht="17.25">
      <c r="A204" s="17" t="s">
        <v>1005</v>
      </c>
      <c r="B204" s="17" t="s">
        <v>344</v>
      </c>
      <c r="C204" s="17" t="s">
        <v>76</v>
      </c>
      <c r="D204" s="17" t="s">
        <v>16</v>
      </c>
      <c r="E204" s="18">
        <f>ROUND(16012*1.05,2)</f>
      </c>
      <c r="F204" s="17" t="s">
        <v>48</v>
      </c>
      <c r="G204" s="17" t="s">
        <v>18</v>
      </c>
      <c r="H204" s="18">
        <f>ROUND(RAND()*4+6,1)</f>
      </c>
      <c r="I204" s="17" t="s">
        <v>19</v>
      </c>
      <c r="J204" s="19">
        <f>ROUND(100*1,0)&amp;"%"</f>
      </c>
    </row>
    <row x14ac:dyDescent="0.25" r="205" customHeight="1" ht="17.25">
      <c r="A205" s="20" t="s">
        <v>1006</v>
      </c>
      <c r="B205" s="20" t="s">
        <v>346</v>
      </c>
      <c r="C205" s="20" t="s">
        <v>76</v>
      </c>
      <c r="D205" s="20" t="s">
        <v>22</v>
      </c>
      <c r="E205" s="22">
        <f>ROUND(15680*1.05,2)</f>
      </c>
      <c r="F205" s="20" t="s">
        <v>51</v>
      </c>
      <c r="G205" s="20" t="s">
        <v>24</v>
      </c>
      <c r="H205" s="21">
        <f>ROUND(RAND()*4+6,1)</f>
      </c>
      <c r="I205" s="20" t="s">
        <v>25</v>
      </c>
      <c r="J205" s="23">
        <f>ROUND(84*1,0)&amp;"%"</f>
      </c>
    </row>
    <row x14ac:dyDescent="0.25" r="206" customHeight="1" ht="17.25">
      <c r="A206" s="24" t="s">
        <v>347</v>
      </c>
      <c r="B206" s="24"/>
      <c r="C206" s="24"/>
      <c r="D206" s="24"/>
      <c r="E206" s="25">
        <v>8</v>
      </c>
      <c r="F206" s="9"/>
      <c r="G206" s="9"/>
      <c r="H206" s="10"/>
      <c r="I206" s="9"/>
      <c r="J206" s="9"/>
    </row>
    <row x14ac:dyDescent="0.25" r="207" customHeight="1" ht="17.25">
      <c r="A207" s="7"/>
      <c r="B207" s="7"/>
      <c r="C207" s="7"/>
      <c r="D207" s="7"/>
      <c r="E207" s="8"/>
      <c r="F207" s="9"/>
      <c r="G207" s="9"/>
      <c r="H207" s="10"/>
      <c r="I207" s="9"/>
      <c r="J207" s="9"/>
    </row>
    <row x14ac:dyDescent="0.25" r="208" customHeight="1" ht="17.25">
      <c r="A208" s="11" t="s">
        <v>1007</v>
      </c>
      <c r="B208" s="11"/>
      <c r="C208" s="11"/>
      <c r="D208" s="11"/>
      <c r="E208" s="12"/>
      <c r="F208" s="11"/>
      <c r="G208" s="11"/>
      <c r="H208" s="13"/>
      <c r="I208" s="11"/>
      <c r="J208" s="11"/>
    </row>
    <row x14ac:dyDescent="0.25" r="209" customHeight="1" ht="17.25">
      <c r="A209" s="14" t="s">
        <v>3</v>
      </c>
      <c r="B209" s="14" t="s">
        <v>4</v>
      </c>
      <c r="C209" s="14" t="s">
        <v>5</v>
      </c>
      <c r="D209" s="14" t="s">
        <v>6</v>
      </c>
      <c r="E209" s="15" t="s">
        <v>7</v>
      </c>
      <c r="F209" s="14" t="s">
        <v>8</v>
      </c>
      <c r="G209" s="14" t="s">
        <v>9</v>
      </c>
      <c r="H209" s="16" t="s">
        <v>10</v>
      </c>
      <c r="I209" s="14" t="s">
        <v>11</v>
      </c>
      <c r="J209" s="14" t="s">
        <v>12</v>
      </c>
    </row>
    <row x14ac:dyDescent="0.25" r="210" customHeight="1" ht="17.25">
      <c r="A210" s="17" t="s">
        <v>1008</v>
      </c>
      <c r="B210" s="17" t="s">
        <v>350</v>
      </c>
      <c r="C210" s="17" t="s">
        <v>95</v>
      </c>
      <c r="D210" s="17" t="s">
        <v>16</v>
      </c>
      <c r="E210" s="18">
        <f>ROUND(10252*1.05,2)</f>
      </c>
      <c r="F210" s="17" t="s">
        <v>17</v>
      </c>
      <c r="G210" s="17" t="s">
        <v>18</v>
      </c>
      <c r="H210" s="18">
        <f>ROUND(RAND()*4+6,1)</f>
      </c>
      <c r="I210" s="17" t="s">
        <v>19</v>
      </c>
      <c r="J210" s="19">
        <f>ROUND(98*1,0)&amp;"%"</f>
      </c>
    </row>
    <row x14ac:dyDescent="0.25" r="211" customHeight="1" ht="17.25">
      <c r="A211" s="20" t="s">
        <v>1009</v>
      </c>
      <c r="B211" s="20" t="s">
        <v>352</v>
      </c>
      <c r="C211" s="20" t="s">
        <v>95</v>
      </c>
      <c r="D211" s="20" t="s">
        <v>22</v>
      </c>
      <c r="E211" s="21">
        <f>ROUND(13899*1.05,2)</f>
      </c>
      <c r="F211" s="20" t="s">
        <v>23</v>
      </c>
      <c r="G211" s="20" t="s">
        <v>24</v>
      </c>
      <c r="H211" s="21">
        <f>ROUND(RAND()*4+6,1)</f>
      </c>
      <c r="I211" s="20" t="s">
        <v>25</v>
      </c>
      <c r="J211" s="23">
        <f>ROUND(81*1,0)&amp;"%"</f>
      </c>
    </row>
    <row x14ac:dyDescent="0.25" r="212" customHeight="1" ht="17.25">
      <c r="A212" s="17" t="s">
        <v>1010</v>
      </c>
      <c r="B212" s="17" t="s">
        <v>354</v>
      </c>
      <c r="C212" s="17" t="s">
        <v>95</v>
      </c>
      <c r="D212" s="17" t="s">
        <v>28</v>
      </c>
      <c r="E212" s="18">
        <f>ROUND(14757*1.05,2)</f>
      </c>
      <c r="F212" s="17" t="s">
        <v>29</v>
      </c>
      <c r="G212" s="17" t="s">
        <v>30</v>
      </c>
      <c r="H212" s="18">
        <f>ROUND(RAND()*4+6,1)</f>
      </c>
      <c r="I212" s="17" t="s">
        <v>31</v>
      </c>
      <c r="J212" s="19">
        <f>ROUND(84*1,0)&amp;"%"</f>
      </c>
    </row>
    <row x14ac:dyDescent="0.25" r="213" customHeight="1" ht="17.25">
      <c r="A213" s="20" t="s">
        <v>1011</v>
      </c>
      <c r="B213" s="20" t="s">
        <v>356</v>
      </c>
      <c r="C213" s="20" t="s">
        <v>95</v>
      </c>
      <c r="D213" s="20" t="s">
        <v>34</v>
      </c>
      <c r="E213" s="21">
        <f>ROUND(6119*1.05,2)</f>
      </c>
      <c r="F213" s="20" t="s">
        <v>35</v>
      </c>
      <c r="G213" s="20" t="s">
        <v>18</v>
      </c>
      <c r="H213" s="21">
        <f>ROUND(RAND()*4+6,1)</f>
      </c>
      <c r="I213" s="20" t="s">
        <v>36</v>
      </c>
      <c r="J213" s="23">
        <f>ROUND(93*1,0)&amp;"%"</f>
      </c>
    </row>
    <row x14ac:dyDescent="0.25" r="214" customHeight="1" ht="17.25">
      <c r="A214" s="17" t="s">
        <v>1012</v>
      </c>
      <c r="B214" s="17" t="s">
        <v>358</v>
      </c>
      <c r="C214" s="17" t="s">
        <v>95</v>
      </c>
      <c r="D214" s="17" t="s">
        <v>39</v>
      </c>
      <c r="E214" s="18">
        <f>ROUND(12693*1.05,2)</f>
      </c>
      <c r="F214" s="17" t="s">
        <v>40</v>
      </c>
      <c r="G214" s="17" t="s">
        <v>24</v>
      </c>
      <c r="H214" s="18">
        <f>ROUND(RAND()*4+6,1)</f>
      </c>
      <c r="I214" s="17" t="s">
        <v>41</v>
      </c>
      <c r="J214" s="19">
        <f>ROUND(83*1,0)&amp;"%"</f>
      </c>
    </row>
    <row x14ac:dyDescent="0.25" r="215" customHeight="1" ht="17.25">
      <c r="A215" s="20" t="s">
        <v>1013</v>
      </c>
      <c r="B215" s="20" t="s">
        <v>360</v>
      </c>
      <c r="C215" s="20" t="s">
        <v>95</v>
      </c>
      <c r="D215" s="20" t="s">
        <v>67</v>
      </c>
      <c r="E215" s="22">
        <f>ROUND(12060*1.05,2)</f>
      </c>
      <c r="F215" s="20" t="s">
        <v>44</v>
      </c>
      <c r="G215" s="20" t="s">
        <v>30</v>
      </c>
      <c r="H215" s="21">
        <f>ROUND(RAND()*4+6,1)</f>
      </c>
      <c r="I215" s="20" t="s">
        <v>45</v>
      </c>
      <c r="J215" s="23">
        <f>ROUND(86*1,0)&amp;"%"</f>
      </c>
    </row>
    <row x14ac:dyDescent="0.25" r="216" customHeight="1" ht="17.25">
      <c r="A216" s="17" t="s">
        <v>1014</v>
      </c>
      <c r="B216" s="17" t="s">
        <v>362</v>
      </c>
      <c r="C216" s="17" t="s">
        <v>95</v>
      </c>
      <c r="D216" s="17" t="s">
        <v>16</v>
      </c>
      <c r="E216" s="18">
        <f>ROUND(11131*1.05,2)</f>
      </c>
      <c r="F216" s="17" t="s">
        <v>48</v>
      </c>
      <c r="G216" s="17" t="s">
        <v>18</v>
      </c>
      <c r="H216" s="18">
        <f>ROUND(RAND()*4+6,1)</f>
      </c>
      <c r="I216" s="17" t="s">
        <v>19</v>
      </c>
      <c r="J216" s="19">
        <f>ROUND(88*1,0)&amp;"%"</f>
      </c>
    </row>
    <row x14ac:dyDescent="0.25" r="217" customHeight="1" ht="17.25">
      <c r="A217" s="20" t="s">
        <v>1015</v>
      </c>
      <c r="B217" s="20" t="s">
        <v>364</v>
      </c>
      <c r="C217" s="20" t="s">
        <v>95</v>
      </c>
      <c r="D217" s="20" t="s">
        <v>22</v>
      </c>
      <c r="E217" s="21">
        <f>ROUND(12926*1.05,2)</f>
      </c>
      <c r="F217" s="20" t="s">
        <v>51</v>
      </c>
      <c r="G217" s="20" t="s">
        <v>24</v>
      </c>
      <c r="H217" s="21">
        <f>ROUND(RAND()*4+6,1)</f>
      </c>
      <c r="I217" s="20" t="s">
        <v>25</v>
      </c>
      <c r="J217" s="23">
        <f>ROUND(82*1,0)&amp;"%"</f>
      </c>
    </row>
    <row x14ac:dyDescent="0.25" r="218" customHeight="1" ht="17.25">
      <c r="A218" s="24" t="s">
        <v>365</v>
      </c>
      <c r="B218" s="24"/>
      <c r="C218" s="24"/>
      <c r="D218" s="24"/>
      <c r="E218" s="25">
        <v>8</v>
      </c>
      <c r="F218" s="9"/>
      <c r="G218" s="9"/>
      <c r="H218" s="10"/>
      <c r="I218" s="9"/>
      <c r="J218" s="9"/>
    </row>
    <row x14ac:dyDescent="0.25" r="219" customHeight="1" ht="17.25">
      <c r="A219" s="7"/>
      <c r="B219" s="7"/>
      <c r="C219" s="7"/>
      <c r="D219" s="7"/>
      <c r="E219" s="8"/>
      <c r="F219" s="9"/>
      <c r="G219" s="9"/>
      <c r="H219" s="10"/>
      <c r="I219" s="9"/>
      <c r="J219" s="9"/>
    </row>
    <row x14ac:dyDescent="0.25" r="220" customHeight="1" ht="17.25">
      <c r="A220" s="11" t="s">
        <v>1016</v>
      </c>
      <c r="B220" s="11"/>
      <c r="C220" s="11"/>
      <c r="D220" s="11"/>
      <c r="E220" s="12"/>
      <c r="F220" s="11"/>
      <c r="G220" s="11"/>
      <c r="H220" s="13"/>
      <c r="I220" s="11"/>
      <c r="J220" s="11"/>
    </row>
    <row x14ac:dyDescent="0.25" r="221" customHeight="1" ht="17.25">
      <c r="A221" s="14" t="s">
        <v>3</v>
      </c>
      <c r="B221" s="14" t="s">
        <v>4</v>
      </c>
      <c r="C221" s="14" t="s">
        <v>5</v>
      </c>
      <c r="D221" s="14" t="s">
        <v>6</v>
      </c>
      <c r="E221" s="15" t="s">
        <v>7</v>
      </c>
      <c r="F221" s="14" t="s">
        <v>8</v>
      </c>
      <c r="G221" s="14" t="s">
        <v>9</v>
      </c>
      <c r="H221" s="16" t="s">
        <v>10</v>
      </c>
      <c r="I221" s="14" t="s">
        <v>11</v>
      </c>
      <c r="J221" s="14" t="s">
        <v>12</v>
      </c>
    </row>
    <row x14ac:dyDescent="0.25" r="222" customHeight="1" ht="17.25">
      <c r="A222" s="17" t="s">
        <v>1017</v>
      </c>
      <c r="B222" s="17" t="s">
        <v>368</v>
      </c>
      <c r="C222" s="17" t="s">
        <v>114</v>
      </c>
      <c r="D222" s="17" t="s">
        <v>16</v>
      </c>
      <c r="E222" s="18">
        <f>ROUND(14293*1.05,2)</f>
      </c>
      <c r="F222" s="17" t="s">
        <v>17</v>
      </c>
      <c r="G222" s="17" t="s">
        <v>18</v>
      </c>
      <c r="H222" s="26">
        <f>ROUND(RAND()*4+6,1)</f>
      </c>
      <c r="I222" s="17" t="s">
        <v>19</v>
      </c>
      <c r="J222" s="19">
        <f>ROUND(88*1,0)&amp;"%"</f>
      </c>
    </row>
    <row x14ac:dyDescent="0.25" r="223" customHeight="1" ht="17.25">
      <c r="A223" s="20" t="s">
        <v>1018</v>
      </c>
      <c r="B223" s="20" t="s">
        <v>370</v>
      </c>
      <c r="C223" s="20" t="s">
        <v>114</v>
      </c>
      <c r="D223" s="20" t="s">
        <v>22</v>
      </c>
      <c r="E223" s="21">
        <f>ROUND(4526*1.05,2)</f>
      </c>
      <c r="F223" s="20" t="s">
        <v>23</v>
      </c>
      <c r="G223" s="20" t="s">
        <v>24</v>
      </c>
      <c r="H223" s="21">
        <f>ROUND(RAND()*4+6,1)</f>
      </c>
      <c r="I223" s="20" t="s">
        <v>25</v>
      </c>
      <c r="J223" s="23">
        <f>ROUND(73*1,0)&amp;"%"</f>
      </c>
    </row>
    <row x14ac:dyDescent="0.25" r="224" customHeight="1" ht="17.25">
      <c r="A224" s="17" t="s">
        <v>1019</v>
      </c>
      <c r="B224" s="17" t="s">
        <v>372</v>
      </c>
      <c r="C224" s="17" t="s">
        <v>114</v>
      </c>
      <c r="D224" s="17" t="s">
        <v>28</v>
      </c>
      <c r="E224" s="18">
        <f>ROUND(9355*1.05,2)</f>
      </c>
      <c r="F224" s="17" t="s">
        <v>29</v>
      </c>
      <c r="G224" s="17" t="s">
        <v>30</v>
      </c>
      <c r="H224" s="18">
        <f>ROUND(RAND()*4+6,1)</f>
      </c>
      <c r="I224" s="17" t="s">
        <v>31</v>
      </c>
      <c r="J224" s="19">
        <f>ROUND(92*1,0)&amp;"%"</f>
      </c>
    </row>
    <row x14ac:dyDescent="0.25" r="225" customHeight="1" ht="17.25">
      <c r="A225" s="20" t="s">
        <v>1020</v>
      </c>
      <c r="B225" s="20" t="s">
        <v>374</v>
      </c>
      <c r="C225" s="20" t="s">
        <v>114</v>
      </c>
      <c r="D225" s="20" t="s">
        <v>34</v>
      </c>
      <c r="E225" s="21">
        <f>ROUND(12081*1.05,2)</f>
      </c>
      <c r="F225" s="20" t="s">
        <v>35</v>
      </c>
      <c r="G225" s="20" t="s">
        <v>18</v>
      </c>
      <c r="H225" s="21">
        <f>ROUND(RAND()*4+6,1)</f>
      </c>
      <c r="I225" s="20" t="s">
        <v>36</v>
      </c>
      <c r="J225" s="23">
        <f>ROUND(96*1,0)&amp;"%"</f>
      </c>
    </row>
    <row x14ac:dyDescent="0.25" r="226" customHeight="1" ht="17.25">
      <c r="A226" s="17" t="s">
        <v>1021</v>
      </c>
      <c r="B226" s="17" t="s">
        <v>376</v>
      </c>
      <c r="C226" s="17" t="s">
        <v>114</v>
      </c>
      <c r="D226" s="17" t="s">
        <v>39</v>
      </c>
      <c r="E226" s="18">
        <f>ROUND(8373*1.05,2)</f>
      </c>
      <c r="F226" s="17" t="s">
        <v>40</v>
      </c>
      <c r="G226" s="17" t="s">
        <v>24</v>
      </c>
      <c r="H226" s="26">
        <f>ROUND(RAND()*4+6,1)</f>
      </c>
      <c r="I226" s="17" t="s">
        <v>41</v>
      </c>
      <c r="J226" s="19">
        <f>ROUND(67*1,0)&amp;"%"</f>
      </c>
    </row>
    <row x14ac:dyDescent="0.25" r="227" customHeight="1" ht="17.25">
      <c r="A227" s="20" t="s">
        <v>1022</v>
      </c>
      <c r="B227" s="20" t="s">
        <v>378</v>
      </c>
      <c r="C227" s="20" t="s">
        <v>114</v>
      </c>
      <c r="D227" s="20" t="s">
        <v>67</v>
      </c>
      <c r="E227" s="21">
        <f>ROUND(8388*1.05,2)</f>
      </c>
      <c r="F227" s="20" t="s">
        <v>44</v>
      </c>
      <c r="G227" s="20" t="s">
        <v>30</v>
      </c>
      <c r="H227" s="21">
        <f>ROUND(RAND()*4+6,1)</f>
      </c>
      <c r="I227" s="20" t="s">
        <v>45</v>
      </c>
      <c r="J227" s="23">
        <f>ROUND(99*1,0)&amp;"%"</f>
      </c>
    </row>
    <row x14ac:dyDescent="0.25" r="228" customHeight="1" ht="17.25">
      <c r="A228" s="17" t="s">
        <v>1023</v>
      </c>
      <c r="B228" s="17" t="s">
        <v>380</v>
      </c>
      <c r="C228" s="17" t="s">
        <v>114</v>
      </c>
      <c r="D228" s="17" t="s">
        <v>16</v>
      </c>
      <c r="E228" s="18">
        <f>ROUND(10399*1.05,2)</f>
      </c>
      <c r="F228" s="17" t="s">
        <v>48</v>
      </c>
      <c r="G228" s="17" t="s">
        <v>18</v>
      </c>
      <c r="H228" s="18">
        <f>ROUND(RAND()*4+6,1)</f>
      </c>
      <c r="I228" s="17" t="s">
        <v>19</v>
      </c>
      <c r="J228" s="19">
        <f>ROUND(93*1,0)&amp;"%"</f>
      </c>
    </row>
    <row x14ac:dyDescent="0.25" r="229" customHeight="1" ht="17.25">
      <c r="A229" s="20" t="s">
        <v>1024</v>
      </c>
      <c r="B229" s="20" t="s">
        <v>382</v>
      </c>
      <c r="C229" s="20" t="s">
        <v>114</v>
      </c>
      <c r="D229" s="20" t="s">
        <v>22</v>
      </c>
      <c r="E229" s="21">
        <f>ROUND(5628*1.05,2)</f>
      </c>
      <c r="F229" s="20" t="s">
        <v>51</v>
      </c>
      <c r="G229" s="20" t="s">
        <v>24</v>
      </c>
      <c r="H229" s="21">
        <f>ROUND(RAND()*4+6,1)</f>
      </c>
      <c r="I229" s="20" t="s">
        <v>25</v>
      </c>
      <c r="J229" s="23">
        <f>ROUND(69*1,0)&amp;"%"</f>
      </c>
    </row>
    <row x14ac:dyDescent="0.25" r="230" customHeight="1" ht="17.25">
      <c r="A230" s="24" t="s">
        <v>383</v>
      </c>
      <c r="B230" s="24"/>
      <c r="C230" s="24"/>
      <c r="D230" s="24"/>
      <c r="E230" s="25">
        <v>8</v>
      </c>
      <c r="F230" s="9"/>
      <c r="G230" s="9"/>
      <c r="H230" s="10"/>
      <c r="I230" s="9"/>
      <c r="J230" s="9"/>
    </row>
    <row x14ac:dyDescent="0.25" r="231" customHeight="1" ht="17.25">
      <c r="A231" s="7"/>
      <c r="B231" s="7"/>
      <c r="C231" s="7"/>
      <c r="D231" s="7"/>
      <c r="E231" s="8"/>
      <c r="F231" s="9"/>
      <c r="G231" s="9"/>
      <c r="H231" s="10"/>
      <c r="I231" s="9"/>
      <c r="J231" s="9"/>
    </row>
    <row x14ac:dyDescent="0.25" r="232" customHeight="1" ht="17.25">
      <c r="A232" s="11" t="s">
        <v>1025</v>
      </c>
      <c r="B232" s="11"/>
      <c r="C232" s="11"/>
      <c r="D232" s="11"/>
      <c r="E232" s="12"/>
      <c r="F232" s="11"/>
      <c r="G232" s="11"/>
      <c r="H232" s="13"/>
      <c r="I232" s="11"/>
      <c r="J232" s="11"/>
    </row>
    <row x14ac:dyDescent="0.25" r="233" customHeight="1" ht="17.25">
      <c r="A233" s="14" t="s">
        <v>3</v>
      </c>
      <c r="B233" s="14" t="s">
        <v>4</v>
      </c>
      <c r="C233" s="14" t="s">
        <v>5</v>
      </c>
      <c r="D233" s="14" t="s">
        <v>6</v>
      </c>
      <c r="E233" s="15" t="s">
        <v>7</v>
      </c>
      <c r="F233" s="14" t="s">
        <v>8</v>
      </c>
      <c r="G233" s="14" t="s">
        <v>9</v>
      </c>
      <c r="H233" s="16" t="s">
        <v>10</v>
      </c>
      <c r="I233" s="14" t="s">
        <v>11</v>
      </c>
      <c r="J233" s="14" t="s">
        <v>12</v>
      </c>
    </row>
    <row x14ac:dyDescent="0.25" r="234" customHeight="1" ht="17.25">
      <c r="A234" s="17" t="s">
        <v>1026</v>
      </c>
      <c r="B234" s="17" t="s">
        <v>386</v>
      </c>
      <c r="C234" s="17" t="s">
        <v>133</v>
      </c>
      <c r="D234" s="17" t="s">
        <v>16</v>
      </c>
      <c r="E234" s="18">
        <f>ROUND(12412*1.05,2)</f>
      </c>
      <c r="F234" s="17" t="s">
        <v>17</v>
      </c>
      <c r="G234" s="17" t="s">
        <v>18</v>
      </c>
      <c r="H234" s="18">
        <f>ROUND(RAND()*4+6,1)</f>
      </c>
      <c r="I234" s="17" t="s">
        <v>19</v>
      </c>
      <c r="J234" s="19">
        <f>ROUND(61*1,0)&amp;"%"</f>
      </c>
    </row>
    <row x14ac:dyDescent="0.25" r="235" customHeight="1" ht="17.25">
      <c r="A235" s="20" t="s">
        <v>1027</v>
      </c>
      <c r="B235" s="20" t="s">
        <v>388</v>
      </c>
      <c r="C235" s="20" t="s">
        <v>133</v>
      </c>
      <c r="D235" s="20" t="s">
        <v>22</v>
      </c>
      <c r="E235" s="21">
        <f>ROUND(8610*1.05,2)</f>
      </c>
      <c r="F235" s="20" t="s">
        <v>23</v>
      </c>
      <c r="G235" s="20" t="s">
        <v>24</v>
      </c>
      <c r="H235" s="21">
        <f>ROUND(RAND()*4+6,1)</f>
      </c>
      <c r="I235" s="20" t="s">
        <v>25</v>
      </c>
      <c r="J235" s="23">
        <f>ROUND(99*1,0)&amp;"%"</f>
      </c>
    </row>
    <row x14ac:dyDescent="0.25" r="236" customHeight="1" ht="17.25">
      <c r="A236" s="17" t="s">
        <v>1028</v>
      </c>
      <c r="B236" s="17" t="s">
        <v>390</v>
      </c>
      <c r="C236" s="17" t="s">
        <v>133</v>
      </c>
      <c r="D236" s="17" t="s">
        <v>28</v>
      </c>
      <c r="E236" s="18">
        <f>ROUND(14283*1.05,2)</f>
      </c>
      <c r="F236" s="17" t="s">
        <v>29</v>
      </c>
      <c r="G236" s="17" t="s">
        <v>30</v>
      </c>
      <c r="H236" s="26">
        <f>ROUND(RAND()*4+6,1)</f>
      </c>
      <c r="I236" s="17" t="s">
        <v>31</v>
      </c>
      <c r="J236" s="19">
        <f>ROUND(66*1,0)&amp;"%"</f>
      </c>
    </row>
    <row x14ac:dyDescent="0.25" r="237" customHeight="1" ht="17.25">
      <c r="A237" s="20" t="s">
        <v>1029</v>
      </c>
      <c r="B237" s="20" t="s">
        <v>392</v>
      </c>
      <c r="C237" s="20" t="s">
        <v>133</v>
      </c>
      <c r="D237" s="20" t="s">
        <v>34</v>
      </c>
      <c r="E237" s="21">
        <f>ROUND(14522*1.05,2)</f>
      </c>
      <c r="F237" s="20" t="s">
        <v>35</v>
      </c>
      <c r="G237" s="20" t="s">
        <v>18</v>
      </c>
      <c r="H237" s="21">
        <f>ROUND(RAND()*4+6,1)</f>
      </c>
      <c r="I237" s="20" t="s">
        <v>36</v>
      </c>
      <c r="J237" s="23">
        <f>ROUND(91*1,0)&amp;"%"</f>
      </c>
    </row>
    <row x14ac:dyDescent="0.25" r="238" customHeight="1" ht="17.25">
      <c r="A238" s="17" t="s">
        <v>1030</v>
      </c>
      <c r="B238" s="17" t="s">
        <v>394</v>
      </c>
      <c r="C238" s="17" t="s">
        <v>133</v>
      </c>
      <c r="D238" s="17" t="s">
        <v>39</v>
      </c>
      <c r="E238" s="18">
        <f>ROUND(7623*1.05,2)</f>
      </c>
      <c r="F238" s="17" t="s">
        <v>40</v>
      </c>
      <c r="G238" s="17" t="s">
        <v>24</v>
      </c>
      <c r="H238" s="18">
        <f>ROUND(RAND()*4+6,1)</f>
      </c>
      <c r="I238" s="17" t="s">
        <v>41</v>
      </c>
      <c r="J238" s="19">
        <f>ROUND(77*1,0)&amp;"%"</f>
      </c>
    </row>
    <row x14ac:dyDescent="0.25" r="239" customHeight="1" ht="17.25">
      <c r="A239" s="20" t="s">
        <v>1031</v>
      </c>
      <c r="B239" s="20" t="s">
        <v>396</v>
      </c>
      <c r="C239" s="20" t="s">
        <v>133</v>
      </c>
      <c r="D239" s="20" t="s">
        <v>67</v>
      </c>
      <c r="E239" s="21">
        <f>ROUND(17199*1.05,2)</f>
      </c>
      <c r="F239" s="20" t="s">
        <v>44</v>
      </c>
      <c r="G239" s="20" t="s">
        <v>30</v>
      </c>
      <c r="H239" s="21">
        <f>ROUND(RAND()*4+6,1)</f>
      </c>
      <c r="I239" s="20" t="s">
        <v>45</v>
      </c>
      <c r="J239" s="23">
        <f>ROUND(82*1,0)&amp;"%"</f>
      </c>
    </row>
    <row x14ac:dyDescent="0.25" r="240" customHeight="1" ht="17.25">
      <c r="A240" s="17" t="s">
        <v>1032</v>
      </c>
      <c r="B240" s="17" t="s">
        <v>398</v>
      </c>
      <c r="C240" s="17" t="s">
        <v>133</v>
      </c>
      <c r="D240" s="17" t="s">
        <v>16</v>
      </c>
      <c r="E240" s="18">
        <f>ROUND(8276*1.05,2)</f>
      </c>
      <c r="F240" s="17" t="s">
        <v>48</v>
      </c>
      <c r="G240" s="17" t="s">
        <v>18</v>
      </c>
      <c r="H240" s="26">
        <f>ROUND(RAND()*4+6,1)</f>
      </c>
      <c r="I240" s="17" t="s">
        <v>19</v>
      </c>
      <c r="J240" s="19">
        <f>ROUND(81*1,0)&amp;"%"</f>
      </c>
    </row>
    <row x14ac:dyDescent="0.25" r="241" customHeight="1" ht="17.25">
      <c r="A241" s="20" t="s">
        <v>1033</v>
      </c>
      <c r="B241" s="20" t="s">
        <v>400</v>
      </c>
      <c r="C241" s="20" t="s">
        <v>133</v>
      </c>
      <c r="D241" s="20" t="s">
        <v>22</v>
      </c>
      <c r="E241" s="21">
        <f>ROUND(9496*1.05,2)</f>
      </c>
      <c r="F241" s="20" t="s">
        <v>51</v>
      </c>
      <c r="G241" s="20" t="s">
        <v>24</v>
      </c>
      <c r="H241" s="21">
        <f>ROUND(RAND()*4+6,1)</f>
      </c>
      <c r="I241" s="20" t="s">
        <v>25</v>
      </c>
      <c r="J241" s="23">
        <f>ROUND(91*1,0)&amp;"%"</f>
      </c>
    </row>
    <row x14ac:dyDescent="0.25" r="242" customHeight="1" ht="17.25">
      <c r="A242" s="24" t="s">
        <v>401</v>
      </c>
      <c r="B242" s="24"/>
      <c r="C242" s="24"/>
      <c r="D242" s="24"/>
      <c r="E242" s="25">
        <v>8</v>
      </c>
      <c r="F242" s="9"/>
      <c r="G242" s="9"/>
      <c r="H242" s="10"/>
      <c r="I242" s="9"/>
      <c r="J242" s="9"/>
    </row>
    <row x14ac:dyDescent="0.25" r="243" customHeight="1" ht="17.25">
      <c r="A243" s="7"/>
      <c r="B243" s="7"/>
      <c r="C243" s="7"/>
      <c r="D243" s="7"/>
      <c r="E243" s="8"/>
      <c r="F243" s="9"/>
      <c r="G243" s="9"/>
      <c r="H243" s="10"/>
      <c r="I243" s="9"/>
      <c r="J243" s="9"/>
    </row>
    <row x14ac:dyDescent="0.25" r="244" customHeight="1" ht="17.25">
      <c r="A244" s="11" t="s">
        <v>1034</v>
      </c>
      <c r="B244" s="11"/>
      <c r="C244" s="11"/>
      <c r="D244" s="11"/>
      <c r="E244" s="12"/>
      <c r="F244" s="11"/>
      <c r="G244" s="11"/>
      <c r="H244" s="13"/>
      <c r="I244" s="11"/>
      <c r="J244" s="11"/>
    </row>
    <row x14ac:dyDescent="0.25" r="245" customHeight="1" ht="17.25">
      <c r="A245" s="14" t="s">
        <v>3</v>
      </c>
      <c r="B245" s="14" t="s">
        <v>4</v>
      </c>
      <c r="C245" s="14" t="s">
        <v>5</v>
      </c>
      <c r="D245" s="14" t="s">
        <v>6</v>
      </c>
      <c r="E245" s="15" t="s">
        <v>7</v>
      </c>
      <c r="F245" s="14" t="s">
        <v>8</v>
      </c>
      <c r="G245" s="14" t="s">
        <v>9</v>
      </c>
      <c r="H245" s="16" t="s">
        <v>10</v>
      </c>
      <c r="I245" s="14" t="s">
        <v>11</v>
      </c>
      <c r="J245" s="14" t="s">
        <v>12</v>
      </c>
    </row>
    <row x14ac:dyDescent="0.25" r="246" customHeight="1" ht="17.25">
      <c r="A246" s="17" t="s">
        <v>1035</v>
      </c>
      <c r="B246" s="17" t="s">
        <v>404</v>
      </c>
      <c r="C246" s="17" t="s">
        <v>152</v>
      </c>
      <c r="D246" s="17" t="s">
        <v>16</v>
      </c>
      <c r="E246" s="18">
        <f>ROUND(7423*1.05,2)</f>
      </c>
      <c r="F246" s="17" t="s">
        <v>17</v>
      </c>
      <c r="G246" s="17" t="s">
        <v>18</v>
      </c>
      <c r="H246" s="18">
        <f>ROUND(RAND()*4+6,1)</f>
      </c>
      <c r="I246" s="17" t="s">
        <v>19</v>
      </c>
      <c r="J246" s="19">
        <f>ROUND(82*1,0)&amp;"%"</f>
      </c>
    </row>
    <row x14ac:dyDescent="0.25" r="247" customHeight="1" ht="17.25">
      <c r="A247" s="20" t="s">
        <v>1036</v>
      </c>
      <c r="B247" s="20" t="s">
        <v>406</v>
      </c>
      <c r="C247" s="20" t="s">
        <v>152</v>
      </c>
      <c r="D247" s="20" t="s">
        <v>22</v>
      </c>
      <c r="E247" s="21">
        <f>ROUND(12663*1.05,2)</f>
      </c>
      <c r="F247" s="20" t="s">
        <v>23</v>
      </c>
      <c r="G247" s="20" t="s">
        <v>24</v>
      </c>
      <c r="H247" s="21">
        <f>ROUND(RAND()*4+6,1)</f>
      </c>
      <c r="I247" s="20" t="s">
        <v>25</v>
      </c>
      <c r="J247" s="23">
        <f>ROUND(74*1,0)&amp;"%"</f>
      </c>
    </row>
    <row x14ac:dyDescent="0.25" r="248" customHeight="1" ht="17.25">
      <c r="A248" s="17" t="s">
        <v>1037</v>
      </c>
      <c r="B248" s="17" t="s">
        <v>408</v>
      </c>
      <c r="C248" s="17" t="s">
        <v>152</v>
      </c>
      <c r="D248" s="17" t="s">
        <v>28</v>
      </c>
      <c r="E248" s="18">
        <f>ROUND(4539*1.05,2)</f>
      </c>
      <c r="F248" s="17" t="s">
        <v>29</v>
      </c>
      <c r="G248" s="17" t="s">
        <v>30</v>
      </c>
      <c r="H248" s="18">
        <f>ROUND(RAND()*4+6,1)</f>
      </c>
      <c r="I248" s="17" t="s">
        <v>31</v>
      </c>
      <c r="J248" s="19">
        <f>ROUND(84*1,0)&amp;"%"</f>
      </c>
    </row>
    <row x14ac:dyDescent="0.25" r="249" customHeight="1" ht="17.25">
      <c r="A249" s="20" t="s">
        <v>1038</v>
      </c>
      <c r="B249" s="20" t="s">
        <v>410</v>
      </c>
      <c r="C249" s="20" t="s">
        <v>152</v>
      </c>
      <c r="D249" s="20" t="s">
        <v>34</v>
      </c>
      <c r="E249" s="21">
        <f>ROUND(14051*1.05,2)</f>
      </c>
      <c r="F249" s="20" t="s">
        <v>35</v>
      </c>
      <c r="G249" s="20" t="s">
        <v>18</v>
      </c>
      <c r="H249" s="21">
        <f>ROUND(RAND()*4+6,1)</f>
      </c>
      <c r="I249" s="20" t="s">
        <v>36</v>
      </c>
      <c r="J249" s="23">
        <f>ROUND(82*1,0)&amp;"%"</f>
      </c>
    </row>
    <row x14ac:dyDescent="0.25" r="250" customHeight="1" ht="17.25">
      <c r="A250" s="17" t="s">
        <v>1039</v>
      </c>
      <c r="B250" s="17" t="s">
        <v>412</v>
      </c>
      <c r="C250" s="17" t="s">
        <v>152</v>
      </c>
      <c r="D250" s="17" t="s">
        <v>39</v>
      </c>
      <c r="E250" s="18">
        <f>ROUND(13250*1.05,2)</f>
      </c>
      <c r="F250" s="17" t="s">
        <v>40</v>
      </c>
      <c r="G250" s="17" t="s">
        <v>24</v>
      </c>
      <c r="H250" s="18">
        <f>ROUND(RAND()*4+6,1)</f>
      </c>
      <c r="I250" s="17" t="s">
        <v>41</v>
      </c>
      <c r="J250" s="19">
        <f>ROUND(87*1,0)&amp;"%"</f>
      </c>
    </row>
    <row x14ac:dyDescent="0.25" r="251" customHeight="1" ht="17.25">
      <c r="A251" s="20" t="s">
        <v>1040</v>
      </c>
      <c r="B251" s="20" t="s">
        <v>414</v>
      </c>
      <c r="C251" s="20" t="s">
        <v>152</v>
      </c>
      <c r="D251" s="20" t="s">
        <v>67</v>
      </c>
      <c r="E251" s="21">
        <f>ROUND(7981*1.05,2)</f>
      </c>
      <c r="F251" s="20" t="s">
        <v>44</v>
      </c>
      <c r="G251" s="20" t="s">
        <v>30</v>
      </c>
      <c r="H251" s="21">
        <f>ROUND(RAND()*4+6,1)</f>
      </c>
      <c r="I251" s="20" t="s">
        <v>45</v>
      </c>
      <c r="J251" s="23">
        <f>ROUND(98*1,0)&amp;"%"</f>
      </c>
    </row>
    <row x14ac:dyDescent="0.25" r="252" customHeight="1" ht="17.25">
      <c r="A252" s="17" t="s">
        <v>1041</v>
      </c>
      <c r="B252" s="17" t="s">
        <v>416</v>
      </c>
      <c r="C252" s="17" t="s">
        <v>152</v>
      </c>
      <c r="D252" s="17" t="s">
        <v>16</v>
      </c>
      <c r="E252" s="18">
        <f>ROUND(17888*1.05,2)</f>
      </c>
      <c r="F252" s="17" t="s">
        <v>48</v>
      </c>
      <c r="G252" s="17" t="s">
        <v>18</v>
      </c>
      <c r="H252" s="18">
        <f>ROUND(RAND()*4+6,1)</f>
      </c>
      <c r="I252" s="17" t="s">
        <v>19</v>
      </c>
      <c r="J252" s="19">
        <f>ROUND(87*1,0)&amp;"%"</f>
      </c>
    </row>
    <row x14ac:dyDescent="0.25" r="253" customHeight="1" ht="17.25">
      <c r="A253" s="20" t="s">
        <v>1042</v>
      </c>
      <c r="B253" s="20" t="s">
        <v>418</v>
      </c>
      <c r="C253" s="20" t="s">
        <v>152</v>
      </c>
      <c r="D253" s="20" t="s">
        <v>22</v>
      </c>
      <c r="E253" s="21">
        <f>ROUND(8898*1.05,2)</f>
      </c>
      <c r="F253" s="20" t="s">
        <v>51</v>
      </c>
      <c r="G253" s="20" t="s">
        <v>24</v>
      </c>
      <c r="H253" s="22">
        <f>ROUND(RAND()*4+6,1)</f>
      </c>
      <c r="I253" s="20" t="s">
        <v>25</v>
      </c>
      <c r="J253" s="23">
        <f>ROUND(98*1,0)&amp;"%"</f>
      </c>
    </row>
    <row x14ac:dyDescent="0.25" r="254" customHeight="1" ht="17.25">
      <c r="A254" s="24" t="s">
        <v>419</v>
      </c>
      <c r="B254" s="24"/>
      <c r="C254" s="24"/>
      <c r="D254" s="24"/>
      <c r="E254" s="25">
        <v>8</v>
      </c>
      <c r="F254" s="9"/>
      <c r="G254" s="9"/>
      <c r="H254" s="10"/>
      <c r="I254" s="9"/>
      <c r="J254" s="9"/>
    </row>
    <row x14ac:dyDescent="0.25" r="255" customHeight="1" ht="17.25">
      <c r="A255" s="7"/>
      <c r="B255" s="7"/>
      <c r="C255" s="7"/>
      <c r="D255" s="7"/>
      <c r="E255" s="8"/>
      <c r="F255" s="9"/>
      <c r="G255" s="9"/>
      <c r="H255" s="10"/>
      <c r="I255" s="9"/>
      <c r="J255" s="9"/>
    </row>
    <row x14ac:dyDescent="0.25" r="256" customHeight="1" ht="17.25">
      <c r="A256" s="11" t="s">
        <v>1043</v>
      </c>
      <c r="B256" s="11"/>
      <c r="C256" s="11"/>
      <c r="D256" s="11"/>
      <c r="E256" s="12"/>
      <c r="F256" s="11"/>
      <c r="G256" s="11"/>
      <c r="H256" s="13"/>
      <c r="I256" s="11"/>
      <c r="J256" s="11"/>
    </row>
    <row x14ac:dyDescent="0.25" r="257" customHeight="1" ht="17.25">
      <c r="A257" s="14" t="s">
        <v>3</v>
      </c>
      <c r="B257" s="14" t="s">
        <v>4</v>
      </c>
      <c r="C257" s="14" t="s">
        <v>5</v>
      </c>
      <c r="D257" s="14" t="s">
        <v>6</v>
      </c>
      <c r="E257" s="15" t="s">
        <v>7</v>
      </c>
      <c r="F257" s="14" t="s">
        <v>8</v>
      </c>
      <c r="G257" s="14" t="s">
        <v>9</v>
      </c>
      <c r="H257" s="16" t="s">
        <v>10</v>
      </c>
      <c r="I257" s="14" t="s">
        <v>11</v>
      </c>
      <c r="J257" s="14" t="s">
        <v>12</v>
      </c>
    </row>
    <row x14ac:dyDescent="0.25" r="258" customHeight="1" ht="17.25">
      <c r="A258" s="17" t="s">
        <v>1044</v>
      </c>
      <c r="B258" s="17" t="s">
        <v>422</v>
      </c>
      <c r="C258" s="17" t="s">
        <v>15</v>
      </c>
      <c r="D258" s="17" t="s">
        <v>16</v>
      </c>
      <c r="E258" s="18">
        <f>ROUND(8197*1.05,2)</f>
      </c>
      <c r="F258" s="17" t="s">
        <v>17</v>
      </c>
      <c r="G258" s="17" t="s">
        <v>18</v>
      </c>
      <c r="H258" s="18">
        <f>ROUND(RAND()*4+6,1)</f>
      </c>
      <c r="I258" s="17" t="s">
        <v>19</v>
      </c>
      <c r="J258" s="19">
        <f>ROUND(86*1,0)&amp;"%"</f>
      </c>
    </row>
    <row x14ac:dyDescent="0.25" r="259" customHeight="1" ht="17.25">
      <c r="A259" s="20" t="s">
        <v>1045</v>
      </c>
      <c r="B259" s="20" t="s">
        <v>424</v>
      </c>
      <c r="C259" s="20" t="s">
        <v>15</v>
      </c>
      <c r="D259" s="20" t="s">
        <v>22</v>
      </c>
      <c r="E259" s="21">
        <f>ROUND(5612*1.05,2)</f>
      </c>
      <c r="F259" s="20" t="s">
        <v>23</v>
      </c>
      <c r="G259" s="20" t="s">
        <v>24</v>
      </c>
      <c r="H259" s="21">
        <f>ROUND(RAND()*4+6,1)</f>
      </c>
      <c r="I259" s="20" t="s">
        <v>25</v>
      </c>
      <c r="J259" s="23">
        <f>ROUND(67*1,0)&amp;"%"</f>
      </c>
    </row>
    <row x14ac:dyDescent="0.25" r="260" customHeight="1" ht="17.25">
      <c r="A260" s="17" t="s">
        <v>1046</v>
      </c>
      <c r="B260" s="17" t="s">
        <v>426</v>
      </c>
      <c r="C260" s="17" t="s">
        <v>15</v>
      </c>
      <c r="D260" s="17" t="s">
        <v>28</v>
      </c>
      <c r="E260" s="18">
        <f>ROUND(16803*1.05,2)</f>
      </c>
      <c r="F260" s="17" t="s">
        <v>29</v>
      </c>
      <c r="G260" s="17" t="s">
        <v>30</v>
      </c>
      <c r="H260" s="18">
        <f>ROUND(RAND()*4+6,1)</f>
      </c>
      <c r="I260" s="17" t="s">
        <v>31</v>
      </c>
      <c r="J260" s="19">
        <f>ROUND(95*1,0)&amp;"%"</f>
      </c>
    </row>
    <row x14ac:dyDescent="0.25" r="261" customHeight="1" ht="17.25">
      <c r="A261" s="20" t="s">
        <v>1047</v>
      </c>
      <c r="B261" s="20" t="s">
        <v>428</v>
      </c>
      <c r="C261" s="20" t="s">
        <v>15</v>
      </c>
      <c r="D261" s="20" t="s">
        <v>34</v>
      </c>
      <c r="E261" s="21">
        <f>ROUND(14639*1.05,2)</f>
      </c>
      <c r="F261" s="20" t="s">
        <v>35</v>
      </c>
      <c r="G261" s="20" t="s">
        <v>18</v>
      </c>
      <c r="H261" s="22">
        <f>ROUND(RAND()*4+6,1)</f>
      </c>
      <c r="I261" s="20" t="s">
        <v>36</v>
      </c>
      <c r="J261" s="23">
        <f>ROUND(88*1,0)&amp;"%"</f>
      </c>
    </row>
    <row x14ac:dyDescent="0.25" r="262" customHeight="1" ht="17.25">
      <c r="A262" s="17" t="s">
        <v>1048</v>
      </c>
      <c r="B262" s="17" t="s">
        <v>430</v>
      </c>
      <c r="C262" s="17" t="s">
        <v>15</v>
      </c>
      <c r="D262" s="17" t="s">
        <v>39</v>
      </c>
      <c r="E262" s="18">
        <f>ROUND(5227*1.05,2)</f>
      </c>
      <c r="F262" s="17" t="s">
        <v>40</v>
      </c>
      <c r="G262" s="17" t="s">
        <v>24</v>
      </c>
      <c r="H262" s="18">
        <f>ROUND(RAND()*4+6,1)</f>
      </c>
      <c r="I262" s="17" t="s">
        <v>41</v>
      </c>
      <c r="J262" s="19">
        <f>ROUND(65*1,0)&amp;"%"</f>
      </c>
    </row>
    <row x14ac:dyDescent="0.25" r="263" customHeight="1" ht="17.25">
      <c r="A263" s="20" t="s">
        <v>1049</v>
      </c>
      <c r="B263" s="20" t="s">
        <v>432</v>
      </c>
      <c r="C263" s="20" t="s">
        <v>15</v>
      </c>
      <c r="D263" s="20" t="s">
        <v>67</v>
      </c>
      <c r="E263" s="21">
        <f>ROUND(4338*1.05,2)</f>
      </c>
      <c r="F263" s="20" t="s">
        <v>44</v>
      </c>
      <c r="G263" s="20" t="s">
        <v>30</v>
      </c>
      <c r="H263" s="21">
        <f>ROUND(RAND()*4+6,1)</f>
      </c>
      <c r="I263" s="20" t="s">
        <v>45</v>
      </c>
      <c r="J263" s="23">
        <f>ROUND(93*1,0)&amp;"%"</f>
      </c>
    </row>
    <row x14ac:dyDescent="0.25" r="264" customHeight="1" ht="17.25">
      <c r="A264" s="17" t="s">
        <v>1050</v>
      </c>
      <c r="B264" s="17" t="s">
        <v>434</v>
      </c>
      <c r="C264" s="17" t="s">
        <v>15</v>
      </c>
      <c r="D264" s="17" t="s">
        <v>16</v>
      </c>
      <c r="E264" s="18">
        <f>ROUND(11010*1.05,2)</f>
      </c>
      <c r="F264" s="17" t="s">
        <v>48</v>
      </c>
      <c r="G264" s="17" t="s">
        <v>18</v>
      </c>
      <c r="H264" s="18">
        <f>ROUND(RAND()*4+6,1)</f>
      </c>
      <c r="I264" s="17" t="s">
        <v>19</v>
      </c>
      <c r="J264" s="19">
        <f>ROUND(81*1,0)&amp;"%"</f>
      </c>
    </row>
    <row x14ac:dyDescent="0.25" r="265" customHeight="1" ht="17.25">
      <c r="A265" s="20" t="s">
        <v>1051</v>
      </c>
      <c r="B265" s="20" t="s">
        <v>436</v>
      </c>
      <c r="C265" s="20" t="s">
        <v>15</v>
      </c>
      <c r="D265" s="20" t="s">
        <v>22</v>
      </c>
      <c r="E265" s="21">
        <f>ROUND(7954*1.05,2)</f>
      </c>
      <c r="F265" s="20" t="s">
        <v>51</v>
      </c>
      <c r="G265" s="20" t="s">
        <v>24</v>
      </c>
      <c r="H265" s="21">
        <f>ROUND(RAND()*4+6,1)</f>
      </c>
      <c r="I265" s="20" t="s">
        <v>25</v>
      </c>
      <c r="J265" s="23">
        <f>ROUND(93*1,0)&amp;"%"</f>
      </c>
    </row>
    <row x14ac:dyDescent="0.25" r="266" customHeight="1" ht="17.25">
      <c r="A266" s="24" t="s">
        <v>437</v>
      </c>
      <c r="B266" s="24"/>
      <c r="C266" s="24"/>
      <c r="D266" s="24"/>
      <c r="E266" s="25">
        <v>8</v>
      </c>
      <c r="F266" s="9"/>
      <c r="G266" s="9"/>
      <c r="H266" s="10"/>
      <c r="I266" s="9"/>
      <c r="J266" s="9"/>
    </row>
    <row x14ac:dyDescent="0.25" r="267" customHeight="1" ht="17.25">
      <c r="A267" s="7"/>
      <c r="B267" s="7"/>
      <c r="C267" s="7"/>
      <c r="D267" s="7"/>
      <c r="E267" s="8"/>
      <c r="F267" s="9"/>
      <c r="G267" s="9"/>
      <c r="H267" s="10"/>
      <c r="I267" s="9"/>
      <c r="J267" s="9"/>
    </row>
    <row x14ac:dyDescent="0.25" r="268" customHeight="1" ht="17.25">
      <c r="A268" s="11" t="s">
        <v>1052</v>
      </c>
      <c r="B268" s="11"/>
      <c r="C268" s="11"/>
      <c r="D268" s="11"/>
      <c r="E268" s="12"/>
      <c r="F268" s="11"/>
      <c r="G268" s="11"/>
      <c r="H268" s="13"/>
      <c r="I268" s="11"/>
      <c r="J268" s="11"/>
    </row>
    <row x14ac:dyDescent="0.25" r="269" customHeight="1" ht="17.25">
      <c r="A269" s="14" t="s">
        <v>3</v>
      </c>
      <c r="B269" s="14" t="s">
        <v>4</v>
      </c>
      <c r="C269" s="14" t="s">
        <v>5</v>
      </c>
      <c r="D269" s="14" t="s">
        <v>6</v>
      </c>
      <c r="E269" s="15" t="s">
        <v>7</v>
      </c>
      <c r="F269" s="14" t="s">
        <v>8</v>
      </c>
      <c r="G269" s="14" t="s">
        <v>9</v>
      </c>
      <c r="H269" s="16" t="s">
        <v>10</v>
      </c>
      <c r="I269" s="14" t="s">
        <v>11</v>
      </c>
      <c r="J269" s="14" t="s">
        <v>12</v>
      </c>
    </row>
    <row x14ac:dyDescent="0.25" r="270" customHeight="1" ht="17.25">
      <c r="A270" s="17" t="s">
        <v>1053</v>
      </c>
      <c r="B270" s="17" t="s">
        <v>440</v>
      </c>
      <c r="C270" s="17" t="s">
        <v>56</v>
      </c>
      <c r="D270" s="17" t="s">
        <v>16</v>
      </c>
      <c r="E270" s="18">
        <f>ROUND(13086*1.05,2)</f>
      </c>
      <c r="F270" s="17" t="s">
        <v>17</v>
      </c>
      <c r="G270" s="17" t="s">
        <v>18</v>
      </c>
      <c r="H270" s="18">
        <f>ROUND(RAND()*4+6,1)</f>
      </c>
      <c r="I270" s="17" t="s">
        <v>19</v>
      </c>
      <c r="J270" s="19">
        <f>ROUND(72*1,0)&amp;"%"</f>
      </c>
    </row>
    <row x14ac:dyDescent="0.25" r="271" customHeight="1" ht="17.25">
      <c r="A271" s="20" t="s">
        <v>1054</v>
      </c>
      <c r="B271" s="20" t="s">
        <v>442</v>
      </c>
      <c r="C271" s="20" t="s">
        <v>56</v>
      </c>
      <c r="D271" s="20" t="s">
        <v>22</v>
      </c>
      <c r="E271" s="21">
        <f>ROUND(10353*1.05,2)</f>
      </c>
      <c r="F271" s="20" t="s">
        <v>23</v>
      </c>
      <c r="G271" s="20" t="s">
        <v>24</v>
      </c>
      <c r="H271" s="21">
        <f>ROUND(RAND()*4+6,1)</f>
      </c>
      <c r="I271" s="20" t="s">
        <v>25</v>
      </c>
      <c r="J271" s="23">
        <f>ROUND(90*1,0)&amp;"%"</f>
      </c>
    </row>
    <row x14ac:dyDescent="0.25" r="272" customHeight="1" ht="17.25">
      <c r="A272" s="17" t="s">
        <v>1055</v>
      </c>
      <c r="B272" s="17" t="s">
        <v>444</v>
      </c>
      <c r="C272" s="17" t="s">
        <v>56</v>
      </c>
      <c r="D272" s="17" t="s">
        <v>28</v>
      </c>
      <c r="E272" s="18">
        <f>ROUND(17226*1.05,2)</f>
      </c>
      <c r="F272" s="17" t="s">
        <v>29</v>
      </c>
      <c r="G272" s="17" t="s">
        <v>30</v>
      </c>
      <c r="H272" s="18">
        <f>ROUND(RAND()*4+6,1)</f>
      </c>
      <c r="I272" s="17" t="s">
        <v>31</v>
      </c>
      <c r="J272" s="19">
        <f>ROUND(80*1,0)&amp;"%"</f>
      </c>
    </row>
    <row x14ac:dyDescent="0.25" r="273" customHeight="1" ht="17.25">
      <c r="A273" s="20" t="s">
        <v>1056</v>
      </c>
      <c r="B273" s="20" t="s">
        <v>446</v>
      </c>
      <c r="C273" s="20" t="s">
        <v>56</v>
      </c>
      <c r="D273" s="20" t="s">
        <v>34</v>
      </c>
      <c r="E273" s="21">
        <f>ROUND(8528*1.05,2)</f>
      </c>
      <c r="F273" s="20" t="s">
        <v>35</v>
      </c>
      <c r="G273" s="20" t="s">
        <v>18</v>
      </c>
      <c r="H273" s="21">
        <f>ROUND(RAND()*4+6,1)</f>
      </c>
      <c r="I273" s="20" t="s">
        <v>36</v>
      </c>
      <c r="J273" s="23">
        <f>ROUND(98*1,0)&amp;"%"</f>
      </c>
    </row>
    <row x14ac:dyDescent="0.25" r="274" customHeight="1" ht="17.25">
      <c r="A274" s="17" t="s">
        <v>1057</v>
      </c>
      <c r="B274" s="17" t="s">
        <v>448</v>
      </c>
      <c r="C274" s="17" t="s">
        <v>56</v>
      </c>
      <c r="D274" s="17" t="s">
        <v>39</v>
      </c>
      <c r="E274" s="18">
        <f>ROUND(10417*1.05,2)</f>
      </c>
      <c r="F274" s="17" t="s">
        <v>40</v>
      </c>
      <c r="G274" s="17" t="s">
        <v>24</v>
      </c>
      <c r="H274" s="18">
        <f>ROUND(RAND()*4+6,1)</f>
      </c>
      <c r="I274" s="17" t="s">
        <v>41</v>
      </c>
      <c r="J274" s="19">
        <f>ROUND(97*1,0)&amp;"%"</f>
      </c>
    </row>
    <row x14ac:dyDescent="0.25" r="275" customHeight="1" ht="17.25">
      <c r="A275" s="20" t="s">
        <v>1058</v>
      </c>
      <c r="B275" s="20" t="s">
        <v>450</v>
      </c>
      <c r="C275" s="20" t="s">
        <v>56</v>
      </c>
      <c r="D275" s="20" t="s">
        <v>67</v>
      </c>
      <c r="E275" s="21">
        <f>ROUND(17871*1.05,2)</f>
      </c>
      <c r="F275" s="20" t="s">
        <v>44</v>
      </c>
      <c r="G275" s="20" t="s">
        <v>30</v>
      </c>
      <c r="H275" s="21">
        <f>ROUND(RAND()*4+6,1)</f>
      </c>
      <c r="I275" s="20" t="s">
        <v>45</v>
      </c>
      <c r="J275" s="23">
        <f>ROUND(73*1,0)&amp;"%"</f>
      </c>
    </row>
    <row x14ac:dyDescent="0.25" r="276" customHeight="1" ht="17.25">
      <c r="A276" s="17" t="s">
        <v>1059</v>
      </c>
      <c r="B276" s="17" t="s">
        <v>452</v>
      </c>
      <c r="C276" s="17" t="s">
        <v>56</v>
      </c>
      <c r="D276" s="17" t="s">
        <v>16</v>
      </c>
      <c r="E276" s="26">
        <f>ROUND(6480*1.05,2)</f>
      </c>
      <c r="F276" s="17" t="s">
        <v>48</v>
      </c>
      <c r="G276" s="17" t="s">
        <v>18</v>
      </c>
      <c r="H276" s="18">
        <f>ROUND(RAND()*4+6,1)</f>
      </c>
      <c r="I276" s="17" t="s">
        <v>19</v>
      </c>
      <c r="J276" s="19">
        <f>ROUND(71*1,0)&amp;"%"</f>
      </c>
    </row>
    <row x14ac:dyDescent="0.25" r="277" customHeight="1" ht="17.25">
      <c r="A277" s="20" t="s">
        <v>1060</v>
      </c>
      <c r="B277" s="20" t="s">
        <v>454</v>
      </c>
      <c r="C277" s="20" t="s">
        <v>56</v>
      </c>
      <c r="D277" s="20" t="s">
        <v>22</v>
      </c>
      <c r="E277" s="21">
        <f>ROUND(10889*1.05,2)</f>
      </c>
      <c r="F277" s="20" t="s">
        <v>51</v>
      </c>
      <c r="G277" s="20" t="s">
        <v>24</v>
      </c>
      <c r="H277" s="21">
        <f>ROUND(RAND()*4+6,1)</f>
      </c>
      <c r="I277" s="20" t="s">
        <v>25</v>
      </c>
      <c r="J277" s="23">
        <f>ROUND(68*1,0)&amp;"%"</f>
      </c>
    </row>
    <row x14ac:dyDescent="0.25" r="278" customHeight="1" ht="17.25">
      <c r="A278" s="24" t="s">
        <v>455</v>
      </c>
      <c r="B278" s="24"/>
      <c r="C278" s="24"/>
      <c r="D278" s="24"/>
      <c r="E278" s="25">
        <v>8</v>
      </c>
      <c r="F278" s="9"/>
      <c r="G278" s="9"/>
      <c r="H278" s="10"/>
      <c r="I278" s="9"/>
      <c r="J278" s="9"/>
    </row>
    <row x14ac:dyDescent="0.25" r="279" customHeight="1" ht="17.25">
      <c r="A279" s="7"/>
      <c r="B279" s="7"/>
      <c r="C279" s="7"/>
      <c r="D279" s="7"/>
      <c r="E279" s="8"/>
      <c r="F279" s="9"/>
      <c r="G279" s="9"/>
      <c r="H279" s="10"/>
      <c r="I279" s="9"/>
      <c r="J279" s="9"/>
    </row>
    <row x14ac:dyDescent="0.25" r="280" customHeight="1" ht="17.25">
      <c r="A280" s="11" t="s">
        <v>1061</v>
      </c>
      <c r="B280" s="11"/>
      <c r="C280" s="11"/>
      <c r="D280" s="11"/>
      <c r="E280" s="12"/>
      <c r="F280" s="11"/>
      <c r="G280" s="11"/>
      <c r="H280" s="13"/>
      <c r="I280" s="11"/>
      <c r="J280" s="11"/>
    </row>
    <row x14ac:dyDescent="0.25" r="281" customHeight="1" ht="17.25">
      <c r="A281" s="14" t="s">
        <v>3</v>
      </c>
      <c r="B281" s="14" t="s">
        <v>4</v>
      </c>
      <c r="C281" s="14" t="s">
        <v>5</v>
      </c>
      <c r="D281" s="14" t="s">
        <v>6</v>
      </c>
      <c r="E281" s="15" t="s">
        <v>7</v>
      </c>
      <c r="F281" s="14" t="s">
        <v>8</v>
      </c>
      <c r="G281" s="14" t="s">
        <v>9</v>
      </c>
      <c r="H281" s="16" t="s">
        <v>10</v>
      </c>
      <c r="I281" s="14" t="s">
        <v>11</v>
      </c>
      <c r="J281" s="14" t="s">
        <v>12</v>
      </c>
    </row>
    <row x14ac:dyDescent="0.25" r="282" customHeight="1" ht="17.25">
      <c r="A282" s="17" t="s">
        <v>1062</v>
      </c>
      <c r="B282" s="17" t="s">
        <v>458</v>
      </c>
      <c r="C282" s="17" t="s">
        <v>76</v>
      </c>
      <c r="D282" s="17" t="s">
        <v>16</v>
      </c>
      <c r="E282" s="18">
        <f>ROUND(5869*1.05,2)</f>
      </c>
      <c r="F282" s="17" t="s">
        <v>17</v>
      </c>
      <c r="G282" s="17" t="s">
        <v>18</v>
      </c>
      <c r="H282" s="18">
        <f>ROUND(RAND()*4+6,1)</f>
      </c>
      <c r="I282" s="17" t="s">
        <v>19</v>
      </c>
      <c r="J282" s="19">
        <f>ROUND(69*1,0)&amp;"%"</f>
      </c>
    </row>
    <row x14ac:dyDescent="0.25" r="283" customHeight="1" ht="17.25">
      <c r="A283" s="20" t="s">
        <v>1063</v>
      </c>
      <c r="B283" s="20" t="s">
        <v>460</v>
      </c>
      <c r="C283" s="20" t="s">
        <v>76</v>
      </c>
      <c r="D283" s="20" t="s">
        <v>22</v>
      </c>
      <c r="E283" s="21">
        <f>ROUND(12874*1.05,2)</f>
      </c>
      <c r="F283" s="20" t="s">
        <v>23</v>
      </c>
      <c r="G283" s="20" t="s">
        <v>24</v>
      </c>
      <c r="H283" s="21">
        <f>ROUND(RAND()*4+6,1)</f>
      </c>
      <c r="I283" s="20" t="s">
        <v>25</v>
      </c>
      <c r="J283" s="23">
        <f>ROUND(88*1,0)&amp;"%"</f>
      </c>
    </row>
    <row x14ac:dyDescent="0.25" r="284" customHeight="1" ht="17.25">
      <c r="A284" s="17" t="s">
        <v>1064</v>
      </c>
      <c r="B284" s="17" t="s">
        <v>462</v>
      </c>
      <c r="C284" s="17" t="s">
        <v>76</v>
      </c>
      <c r="D284" s="17" t="s">
        <v>28</v>
      </c>
      <c r="E284" s="18">
        <f>ROUND(17530*1.05,2)</f>
      </c>
      <c r="F284" s="17" t="s">
        <v>29</v>
      </c>
      <c r="G284" s="17" t="s">
        <v>30</v>
      </c>
      <c r="H284" s="18">
        <f>ROUND(RAND()*4+6,1)</f>
      </c>
      <c r="I284" s="17" t="s">
        <v>31</v>
      </c>
      <c r="J284" s="19">
        <f>ROUND(74*1,0)&amp;"%"</f>
      </c>
    </row>
    <row x14ac:dyDescent="0.25" r="285" customHeight="1" ht="17.25">
      <c r="A285" s="20" t="s">
        <v>1065</v>
      </c>
      <c r="B285" s="20" t="s">
        <v>464</v>
      </c>
      <c r="C285" s="20" t="s">
        <v>76</v>
      </c>
      <c r="D285" s="20" t="s">
        <v>34</v>
      </c>
      <c r="E285" s="21">
        <f>ROUND(16527*1.05,2)</f>
      </c>
      <c r="F285" s="20" t="s">
        <v>35</v>
      </c>
      <c r="G285" s="20" t="s">
        <v>18</v>
      </c>
      <c r="H285" s="21">
        <f>ROUND(RAND()*4+6,1)</f>
      </c>
      <c r="I285" s="20" t="s">
        <v>36</v>
      </c>
      <c r="J285" s="23">
        <f>ROUND(63*1,0)&amp;"%"</f>
      </c>
    </row>
    <row x14ac:dyDescent="0.25" r="286" customHeight="1" ht="17.25">
      <c r="A286" s="17" t="s">
        <v>1066</v>
      </c>
      <c r="B286" s="17" t="s">
        <v>466</v>
      </c>
      <c r="C286" s="17" t="s">
        <v>76</v>
      </c>
      <c r="D286" s="17" t="s">
        <v>39</v>
      </c>
      <c r="E286" s="18">
        <f>ROUND(12330*1.05,2)</f>
      </c>
      <c r="F286" s="17" t="s">
        <v>40</v>
      </c>
      <c r="G286" s="17" t="s">
        <v>24</v>
      </c>
      <c r="H286" s="18">
        <f>ROUND(RAND()*4+6,1)</f>
      </c>
      <c r="I286" s="17" t="s">
        <v>41</v>
      </c>
      <c r="J286" s="19">
        <f>ROUND(91*1,0)&amp;"%"</f>
      </c>
    </row>
    <row x14ac:dyDescent="0.25" r="287" customHeight="1" ht="17.25">
      <c r="A287" s="20" t="s">
        <v>1067</v>
      </c>
      <c r="B287" s="20" t="s">
        <v>468</v>
      </c>
      <c r="C287" s="20" t="s">
        <v>76</v>
      </c>
      <c r="D287" s="20" t="s">
        <v>67</v>
      </c>
      <c r="E287" s="21">
        <f>ROUND(9763*1.05,2)</f>
      </c>
      <c r="F287" s="20" t="s">
        <v>44</v>
      </c>
      <c r="G287" s="20" t="s">
        <v>30</v>
      </c>
      <c r="H287" s="21">
        <f>ROUND(RAND()*4+6,1)</f>
      </c>
      <c r="I287" s="20" t="s">
        <v>45</v>
      </c>
      <c r="J287" s="23">
        <f>ROUND(74*1,0)&amp;"%"</f>
      </c>
    </row>
    <row x14ac:dyDescent="0.25" r="288" customHeight="1" ht="17.25">
      <c r="A288" s="17" t="s">
        <v>1068</v>
      </c>
      <c r="B288" s="17" t="s">
        <v>470</v>
      </c>
      <c r="C288" s="17" t="s">
        <v>76</v>
      </c>
      <c r="D288" s="17" t="s">
        <v>16</v>
      </c>
      <c r="E288" s="18">
        <f>ROUND(16203*1.05,2)</f>
      </c>
      <c r="F288" s="17" t="s">
        <v>48</v>
      </c>
      <c r="G288" s="17" t="s">
        <v>18</v>
      </c>
      <c r="H288" s="18">
        <f>ROUND(RAND()*4+6,1)</f>
      </c>
      <c r="I288" s="17" t="s">
        <v>19</v>
      </c>
      <c r="J288" s="19">
        <f>ROUND(72*1,0)&amp;"%"</f>
      </c>
    </row>
    <row x14ac:dyDescent="0.25" r="289" customHeight="1" ht="17.25">
      <c r="A289" s="20" t="s">
        <v>1069</v>
      </c>
      <c r="B289" s="20" t="s">
        <v>472</v>
      </c>
      <c r="C289" s="20" t="s">
        <v>76</v>
      </c>
      <c r="D289" s="20" t="s">
        <v>22</v>
      </c>
      <c r="E289" s="21">
        <f>ROUND(4510*1.05,2)</f>
      </c>
      <c r="F289" s="20" t="s">
        <v>51</v>
      </c>
      <c r="G289" s="20" t="s">
        <v>24</v>
      </c>
      <c r="H289" s="22">
        <f>ROUND(RAND()*4+6,1)</f>
      </c>
      <c r="I289" s="20" t="s">
        <v>25</v>
      </c>
      <c r="J289" s="23">
        <f>ROUND(87*1,0)&amp;"%"</f>
      </c>
    </row>
    <row x14ac:dyDescent="0.25" r="290" customHeight="1" ht="17.25">
      <c r="A290" s="24" t="s">
        <v>473</v>
      </c>
      <c r="B290" s="24"/>
      <c r="C290" s="24"/>
      <c r="D290" s="24"/>
      <c r="E290" s="25">
        <v>8</v>
      </c>
      <c r="F290" s="9"/>
      <c r="G290" s="9"/>
      <c r="H290" s="10"/>
      <c r="I290" s="9"/>
      <c r="J290" s="9"/>
    </row>
    <row x14ac:dyDescent="0.25" r="291" customHeight="1" ht="17.25">
      <c r="A291" s="7"/>
      <c r="B291" s="7"/>
      <c r="C291" s="7"/>
      <c r="D291" s="7"/>
      <c r="E291" s="8"/>
      <c r="F291" s="9"/>
      <c r="G291" s="9"/>
      <c r="H291" s="10"/>
      <c r="I291" s="9"/>
      <c r="J291" s="9"/>
    </row>
    <row x14ac:dyDescent="0.25" r="292" customHeight="1" ht="17.25">
      <c r="A292" s="11" t="s">
        <v>1070</v>
      </c>
      <c r="B292" s="11"/>
      <c r="C292" s="11"/>
      <c r="D292" s="11"/>
      <c r="E292" s="12"/>
      <c r="F292" s="11"/>
      <c r="G292" s="11"/>
      <c r="H292" s="13"/>
      <c r="I292" s="11"/>
      <c r="J292" s="11"/>
    </row>
    <row x14ac:dyDescent="0.25" r="293" customHeight="1" ht="17.25">
      <c r="A293" s="14" t="s">
        <v>3</v>
      </c>
      <c r="B293" s="14" t="s">
        <v>4</v>
      </c>
      <c r="C293" s="14" t="s">
        <v>5</v>
      </c>
      <c r="D293" s="14" t="s">
        <v>6</v>
      </c>
      <c r="E293" s="15" t="s">
        <v>7</v>
      </c>
      <c r="F293" s="14" t="s">
        <v>8</v>
      </c>
      <c r="G293" s="14" t="s">
        <v>9</v>
      </c>
      <c r="H293" s="16" t="s">
        <v>10</v>
      </c>
      <c r="I293" s="14" t="s">
        <v>11</v>
      </c>
      <c r="J293" s="14" t="s">
        <v>12</v>
      </c>
    </row>
    <row x14ac:dyDescent="0.25" r="294" customHeight="1" ht="17.25">
      <c r="A294" s="17" t="s">
        <v>1071</v>
      </c>
      <c r="B294" s="17" t="s">
        <v>476</v>
      </c>
      <c r="C294" s="17" t="s">
        <v>95</v>
      </c>
      <c r="D294" s="17" t="s">
        <v>16</v>
      </c>
      <c r="E294" s="18">
        <f>ROUND(13230*1.05,2)</f>
      </c>
      <c r="F294" s="17" t="s">
        <v>17</v>
      </c>
      <c r="G294" s="17" t="s">
        <v>18</v>
      </c>
      <c r="H294" s="18">
        <f>ROUND(RAND()*4+6,1)</f>
      </c>
      <c r="I294" s="17" t="s">
        <v>19</v>
      </c>
      <c r="J294" s="19">
        <f>ROUND(73*1,0)&amp;"%"</f>
      </c>
    </row>
    <row x14ac:dyDescent="0.25" r="295" customHeight="1" ht="17.25">
      <c r="A295" s="20" t="s">
        <v>1072</v>
      </c>
      <c r="B295" s="20" t="s">
        <v>478</v>
      </c>
      <c r="C295" s="20" t="s">
        <v>95</v>
      </c>
      <c r="D295" s="20" t="s">
        <v>22</v>
      </c>
      <c r="E295" s="21">
        <f>ROUND(12022*1.05,2)</f>
      </c>
      <c r="F295" s="20" t="s">
        <v>23</v>
      </c>
      <c r="G295" s="20" t="s">
        <v>24</v>
      </c>
      <c r="H295" s="21">
        <f>ROUND(RAND()*4+6,1)</f>
      </c>
      <c r="I295" s="20" t="s">
        <v>25</v>
      </c>
      <c r="J295" s="23">
        <f>ROUND(83*1,0)&amp;"%"</f>
      </c>
    </row>
    <row x14ac:dyDescent="0.25" r="296" customHeight="1" ht="17.25">
      <c r="A296" s="17" t="s">
        <v>1073</v>
      </c>
      <c r="B296" s="17" t="s">
        <v>480</v>
      </c>
      <c r="C296" s="17" t="s">
        <v>95</v>
      </c>
      <c r="D296" s="17" t="s">
        <v>28</v>
      </c>
      <c r="E296" s="26">
        <f>ROUND(9360*1.05,2)</f>
      </c>
      <c r="F296" s="17" t="s">
        <v>29</v>
      </c>
      <c r="G296" s="17" t="s">
        <v>30</v>
      </c>
      <c r="H296" s="18">
        <f>ROUND(RAND()*4+6,1)</f>
      </c>
      <c r="I296" s="17" t="s">
        <v>31</v>
      </c>
      <c r="J296" s="19">
        <f>ROUND(87*1,0)&amp;"%"</f>
      </c>
    </row>
    <row x14ac:dyDescent="0.25" r="297" customHeight="1" ht="17.25">
      <c r="A297" s="20" t="s">
        <v>1074</v>
      </c>
      <c r="B297" s="20" t="s">
        <v>482</v>
      </c>
      <c r="C297" s="20" t="s">
        <v>95</v>
      </c>
      <c r="D297" s="20" t="s">
        <v>34</v>
      </c>
      <c r="E297" s="21">
        <f>ROUND(7756*1.05,2)</f>
      </c>
      <c r="F297" s="20" t="s">
        <v>35</v>
      </c>
      <c r="G297" s="20" t="s">
        <v>18</v>
      </c>
      <c r="H297" s="21">
        <f>ROUND(RAND()*4+6,1)</f>
      </c>
      <c r="I297" s="20" t="s">
        <v>36</v>
      </c>
      <c r="J297" s="23">
        <f>ROUND(96*1,0)&amp;"%"</f>
      </c>
    </row>
    <row x14ac:dyDescent="0.25" r="298" customHeight="1" ht="17.25">
      <c r="A298" s="17" t="s">
        <v>1075</v>
      </c>
      <c r="B298" s="17" t="s">
        <v>484</v>
      </c>
      <c r="C298" s="17" t="s">
        <v>95</v>
      </c>
      <c r="D298" s="17" t="s">
        <v>39</v>
      </c>
      <c r="E298" s="18">
        <f>ROUND(6231*1.05,2)</f>
      </c>
      <c r="F298" s="17" t="s">
        <v>40</v>
      </c>
      <c r="G298" s="17" t="s">
        <v>24</v>
      </c>
      <c r="H298" s="18">
        <f>ROUND(RAND()*4+6,1)</f>
      </c>
      <c r="I298" s="17" t="s">
        <v>41</v>
      </c>
      <c r="J298" s="19">
        <f>ROUND(80*1,0)&amp;"%"</f>
      </c>
    </row>
    <row x14ac:dyDescent="0.25" r="299" customHeight="1" ht="17.25">
      <c r="A299" s="20" t="s">
        <v>1076</v>
      </c>
      <c r="B299" s="20" t="s">
        <v>486</v>
      </c>
      <c r="C299" s="20" t="s">
        <v>95</v>
      </c>
      <c r="D299" s="20" t="s">
        <v>67</v>
      </c>
      <c r="E299" s="21">
        <f>ROUND(10561*1.05,2)</f>
      </c>
      <c r="F299" s="20" t="s">
        <v>44</v>
      </c>
      <c r="G299" s="20" t="s">
        <v>30</v>
      </c>
      <c r="H299" s="21">
        <f>ROUND(RAND()*4+6,1)</f>
      </c>
      <c r="I299" s="20" t="s">
        <v>45</v>
      </c>
      <c r="J299" s="23">
        <f>ROUND(70*1,0)&amp;"%"</f>
      </c>
    </row>
    <row x14ac:dyDescent="0.25" r="300" customHeight="1" ht="17.25">
      <c r="A300" s="17" t="s">
        <v>1077</v>
      </c>
      <c r="B300" s="17" t="s">
        <v>488</v>
      </c>
      <c r="C300" s="17" t="s">
        <v>95</v>
      </c>
      <c r="D300" s="17" t="s">
        <v>16</v>
      </c>
      <c r="E300" s="18">
        <f>ROUND(17145*1.05,2)</f>
      </c>
      <c r="F300" s="17" t="s">
        <v>48</v>
      </c>
      <c r="G300" s="17" t="s">
        <v>18</v>
      </c>
      <c r="H300" s="26">
        <f>ROUND(RAND()*4+6,1)</f>
      </c>
      <c r="I300" s="17" t="s">
        <v>19</v>
      </c>
      <c r="J300" s="19">
        <f>ROUND(88*1,0)&amp;"%"</f>
      </c>
    </row>
    <row x14ac:dyDescent="0.25" r="301" customHeight="1" ht="17.25">
      <c r="A301" s="20" t="s">
        <v>1078</v>
      </c>
      <c r="B301" s="20" t="s">
        <v>490</v>
      </c>
      <c r="C301" s="20" t="s">
        <v>95</v>
      </c>
      <c r="D301" s="20" t="s">
        <v>22</v>
      </c>
      <c r="E301" s="21">
        <f>ROUND(9976*1.05,2)</f>
      </c>
      <c r="F301" s="20" t="s">
        <v>51</v>
      </c>
      <c r="G301" s="20" t="s">
        <v>24</v>
      </c>
      <c r="H301" s="21">
        <f>ROUND(RAND()*4+6,1)</f>
      </c>
      <c r="I301" s="20" t="s">
        <v>25</v>
      </c>
      <c r="J301" s="23">
        <f>ROUND(90*1,0)&amp;"%"</f>
      </c>
    </row>
    <row x14ac:dyDescent="0.25" r="302" customHeight="1" ht="17.25">
      <c r="A302" s="24" t="s">
        <v>491</v>
      </c>
      <c r="B302" s="24"/>
      <c r="C302" s="24"/>
      <c r="D302" s="24"/>
      <c r="E302" s="25">
        <v>8</v>
      </c>
      <c r="F302" s="9"/>
      <c r="G302" s="9"/>
      <c r="H302" s="10"/>
      <c r="I302" s="9"/>
      <c r="J302" s="9"/>
    </row>
    <row x14ac:dyDescent="0.25" r="303" customHeight="1" ht="17.25">
      <c r="A303" s="7"/>
      <c r="B303" s="7"/>
      <c r="C303" s="7"/>
      <c r="D303" s="7"/>
      <c r="E303" s="8"/>
      <c r="F303" s="9"/>
      <c r="G303" s="9"/>
      <c r="H303" s="10"/>
      <c r="I303" s="9"/>
      <c r="J303" s="9"/>
    </row>
    <row x14ac:dyDescent="0.25" r="304" customHeight="1" ht="17.25">
      <c r="A304" s="11" t="s">
        <v>1079</v>
      </c>
      <c r="B304" s="11"/>
      <c r="C304" s="11"/>
      <c r="D304" s="11"/>
      <c r="E304" s="12"/>
      <c r="F304" s="11"/>
      <c r="G304" s="11"/>
      <c r="H304" s="13"/>
      <c r="I304" s="11"/>
      <c r="J304" s="11"/>
    </row>
    <row x14ac:dyDescent="0.25" r="305" customHeight="1" ht="17.25">
      <c r="A305" s="14" t="s">
        <v>3</v>
      </c>
      <c r="B305" s="14" t="s">
        <v>4</v>
      </c>
      <c r="C305" s="14" t="s">
        <v>5</v>
      </c>
      <c r="D305" s="14" t="s">
        <v>6</v>
      </c>
      <c r="E305" s="15" t="s">
        <v>7</v>
      </c>
      <c r="F305" s="14" t="s">
        <v>8</v>
      </c>
      <c r="G305" s="14" t="s">
        <v>9</v>
      </c>
      <c r="H305" s="16" t="s">
        <v>10</v>
      </c>
      <c r="I305" s="14" t="s">
        <v>11</v>
      </c>
      <c r="J305" s="14" t="s">
        <v>12</v>
      </c>
    </row>
    <row x14ac:dyDescent="0.25" r="306" customHeight="1" ht="17.25">
      <c r="A306" s="17" t="s">
        <v>1080</v>
      </c>
      <c r="B306" s="17" t="s">
        <v>494</v>
      </c>
      <c r="C306" s="17" t="s">
        <v>114</v>
      </c>
      <c r="D306" s="17" t="s">
        <v>16</v>
      </c>
      <c r="E306" s="18">
        <f>ROUND(15230*1.05,2)</f>
      </c>
      <c r="F306" s="17" t="s">
        <v>17</v>
      </c>
      <c r="G306" s="17" t="s">
        <v>18</v>
      </c>
      <c r="H306" s="26">
        <f>ROUND(RAND()*4+6,1)</f>
      </c>
      <c r="I306" s="17" t="s">
        <v>19</v>
      </c>
      <c r="J306" s="19">
        <f>ROUND(97*1,0)&amp;"%"</f>
      </c>
    </row>
    <row x14ac:dyDescent="0.25" r="307" customHeight="1" ht="17.25">
      <c r="A307" s="20" t="s">
        <v>1081</v>
      </c>
      <c r="B307" s="20" t="s">
        <v>496</v>
      </c>
      <c r="C307" s="20" t="s">
        <v>114</v>
      </c>
      <c r="D307" s="20" t="s">
        <v>22</v>
      </c>
      <c r="E307" s="21">
        <f>ROUND(14077*1.05,2)</f>
      </c>
      <c r="F307" s="20" t="s">
        <v>23</v>
      </c>
      <c r="G307" s="20" t="s">
        <v>24</v>
      </c>
      <c r="H307" s="22">
        <f>ROUND(RAND()*4+6,1)</f>
      </c>
      <c r="I307" s="20" t="s">
        <v>25</v>
      </c>
      <c r="J307" s="23">
        <f>ROUND(95*1,0)&amp;"%"</f>
      </c>
    </row>
    <row x14ac:dyDescent="0.25" r="308" customHeight="1" ht="17.25">
      <c r="A308" s="17" t="s">
        <v>1082</v>
      </c>
      <c r="B308" s="17" t="s">
        <v>498</v>
      </c>
      <c r="C308" s="17" t="s">
        <v>114</v>
      </c>
      <c r="D308" s="17" t="s">
        <v>28</v>
      </c>
      <c r="E308" s="18">
        <f>ROUND(11025*1.05,2)</f>
      </c>
      <c r="F308" s="17" t="s">
        <v>29</v>
      </c>
      <c r="G308" s="17" t="s">
        <v>30</v>
      </c>
      <c r="H308" s="18">
        <f>ROUND(RAND()*4+6,1)</f>
      </c>
      <c r="I308" s="17" t="s">
        <v>31</v>
      </c>
      <c r="J308" s="19">
        <f>ROUND(87*1,0)&amp;"%"</f>
      </c>
    </row>
    <row x14ac:dyDescent="0.25" r="309" customHeight="1" ht="17.25">
      <c r="A309" s="20" t="s">
        <v>1083</v>
      </c>
      <c r="B309" s="20" t="s">
        <v>500</v>
      </c>
      <c r="C309" s="20" t="s">
        <v>114</v>
      </c>
      <c r="D309" s="20" t="s">
        <v>34</v>
      </c>
      <c r="E309" s="21">
        <f>ROUND(4975*1.05,2)</f>
      </c>
      <c r="F309" s="20" t="s">
        <v>35</v>
      </c>
      <c r="G309" s="20" t="s">
        <v>18</v>
      </c>
      <c r="H309" s="21">
        <f>ROUND(RAND()*4+6,1)</f>
      </c>
      <c r="I309" s="20" t="s">
        <v>36</v>
      </c>
      <c r="J309" s="23">
        <f>ROUND(99*1,0)&amp;"%"</f>
      </c>
    </row>
    <row x14ac:dyDescent="0.25" r="310" customHeight="1" ht="17.25">
      <c r="A310" s="17" t="s">
        <v>1084</v>
      </c>
      <c r="B310" s="17" t="s">
        <v>502</v>
      </c>
      <c r="C310" s="17" t="s">
        <v>114</v>
      </c>
      <c r="D310" s="17" t="s">
        <v>39</v>
      </c>
      <c r="E310" s="18">
        <f>ROUND(4914*1.05,2)</f>
      </c>
      <c r="F310" s="17" t="s">
        <v>40</v>
      </c>
      <c r="G310" s="17" t="s">
        <v>24</v>
      </c>
      <c r="H310" s="18">
        <f>ROUND(RAND()*4+6,1)</f>
      </c>
      <c r="I310" s="17" t="s">
        <v>41</v>
      </c>
      <c r="J310" s="19">
        <f>ROUND(87*1,0)&amp;"%"</f>
      </c>
    </row>
    <row x14ac:dyDescent="0.25" r="311" customHeight="1" ht="17.25">
      <c r="A311" s="20" t="s">
        <v>1085</v>
      </c>
      <c r="B311" s="20" t="s">
        <v>504</v>
      </c>
      <c r="C311" s="20" t="s">
        <v>114</v>
      </c>
      <c r="D311" s="20" t="s">
        <v>67</v>
      </c>
      <c r="E311" s="21">
        <f>ROUND(10455*1.05,2)</f>
      </c>
      <c r="F311" s="20" t="s">
        <v>44</v>
      </c>
      <c r="G311" s="20" t="s">
        <v>30</v>
      </c>
      <c r="H311" s="21">
        <f>ROUND(RAND()*4+6,1)</f>
      </c>
      <c r="I311" s="20" t="s">
        <v>45</v>
      </c>
      <c r="J311" s="23">
        <f>ROUND(61*1,0)&amp;"%"</f>
      </c>
    </row>
    <row x14ac:dyDescent="0.25" r="312" customHeight="1" ht="17.25">
      <c r="A312" s="17" t="s">
        <v>1086</v>
      </c>
      <c r="B312" s="17" t="s">
        <v>506</v>
      </c>
      <c r="C312" s="17" t="s">
        <v>114</v>
      </c>
      <c r="D312" s="17" t="s">
        <v>16</v>
      </c>
      <c r="E312" s="18">
        <f>ROUND(12841*1.05,2)</f>
      </c>
      <c r="F312" s="17" t="s">
        <v>48</v>
      </c>
      <c r="G312" s="17" t="s">
        <v>18</v>
      </c>
      <c r="H312" s="18">
        <f>ROUND(RAND()*4+6,1)</f>
      </c>
      <c r="I312" s="17" t="s">
        <v>19</v>
      </c>
      <c r="J312" s="19">
        <f>ROUND(84*1,0)&amp;"%"</f>
      </c>
    </row>
    <row x14ac:dyDescent="0.25" r="313" customHeight="1" ht="17.25">
      <c r="A313" s="20" t="s">
        <v>1087</v>
      </c>
      <c r="B313" s="20" t="s">
        <v>508</v>
      </c>
      <c r="C313" s="20" t="s">
        <v>114</v>
      </c>
      <c r="D313" s="20" t="s">
        <v>22</v>
      </c>
      <c r="E313" s="21">
        <f>ROUND(10439*1.05,2)</f>
      </c>
      <c r="F313" s="20" t="s">
        <v>51</v>
      </c>
      <c r="G313" s="20" t="s">
        <v>24</v>
      </c>
      <c r="H313" s="21">
        <f>ROUND(RAND()*4+6,1)</f>
      </c>
      <c r="I313" s="20" t="s">
        <v>25</v>
      </c>
      <c r="J313" s="23">
        <f>ROUND(73*1,0)&amp;"%"</f>
      </c>
    </row>
    <row x14ac:dyDescent="0.25" r="314" customHeight="1" ht="17.25">
      <c r="A314" s="24" t="s">
        <v>509</v>
      </c>
      <c r="B314" s="24"/>
      <c r="C314" s="24"/>
      <c r="D314" s="24"/>
      <c r="E314" s="25">
        <v>8</v>
      </c>
      <c r="F314" s="9"/>
      <c r="G314" s="9"/>
      <c r="H314" s="10"/>
      <c r="I314" s="9"/>
      <c r="J314" s="9"/>
    </row>
    <row x14ac:dyDescent="0.25" r="315" customHeight="1" ht="17.25">
      <c r="A315" s="7"/>
      <c r="B315" s="7"/>
      <c r="C315" s="7"/>
      <c r="D315" s="7"/>
      <c r="E315" s="8"/>
      <c r="F315" s="9"/>
      <c r="G315" s="9"/>
      <c r="H315" s="10"/>
      <c r="I315" s="9"/>
      <c r="J315" s="9"/>
    </row>
    <row x14ac:dyDescent="0.25" r="316" customHeight="1" ht="17.25">
      <c r="A316" s="11" t="s">
        <v>1088</v>
      </c>
      <c r="B316" s="11"/>
      <c r="C316" s="11"/>
      <c r="D316" s="11"/>
      <c r="E316" s="12"/>
      <c r="F316" s="11"/>
      <c r="G316" s="11"/>
      <c r="H316" s="13"/>
      <c r="I316" s="11"/>
      <c r="J316" s="11"/>
    </row>
    <row x14ac:dyDescent="0.25" r="317" customHeight="1" ht="17.25">
      <c r="A317" s="14" t="s">
        <v>3</v>
      </c>
      <c r="B317" s="14" t="s">
        <v>4</v>
      </c>
      <c r="C317" s="14" t="s">
        <v>5</v>
      </c>
      <c r="D317" s="14" t="s">
        <v>6</v>
      </c>
      <c r="E317" s="15" t="s">
        <v>7</v>
      </c>
      <c r="F317" s="14" t="s">
        <v>8</v>
      </c>
      <c r="G317" s="14" t="s">
        <v>9</v>
      </c>
      <c r="H317" s="16" t="s">
        <v>10</v>
      </c>
      <c r="I317" s="14" t="s">
        <v>11</v>
      </c>
      <c r="J317" s="14" t="s">
        <v>12</v>
      </c>
    </row>
    <row x14ac:dyDescent="0.25" r="318" customHeight="1" ht="17.25">
      <c r="A318" s="17" t="s">
        <v>1089</v>
      </c>
      <c r="B318" s="17" t="s">
        <v>512</v>
      </c>
      <c r="C318" s="17" t="s">
        <v>133</v>
      </c>
      <c r="D318" s="17" t="s">
        <v>16</v>
      </c>
      <c r="E318" s="18">
        <f>ROUND(12625*1.05,2)</f>
      </c>
      <c r="F318" s="17" t="s">
        <v>17</v>
      </c>
      <c r="G318" s="17" t="s">
        <v>18</v>
      </c>
      <c r="H318" s="18">
        <f>ROUND(RAND()*4+6,1)</f>
      </c>
      <c r="I318" s="17" t="s">
        <v>19</v>
      </c>
      <c r="J318" s="19">
        <f>ROUND(98*1,0)&amp;"%"</f>
      </c>
    </row>
    <row x14ac:dyDescent="0.25" r="319" customHeight="1" ht="17.25">
      <c r="A319" s="20" t="s">
        <v>1090</v>
      </c>
      <c r="B319" s="20" t="s">
        <v>514</v>
      </c>
      <c r="C319" s="20" t="s">
        <v>133</v>
      </c>
      <c r="D319" s="20" t="s">
        <v>22</v>
      </c>
      <c r="E319" s="21">
        <f>ROUND(4428*1.05,2)</f>
      </c>
      <c r="F319" s="20" t="s">
        <v>23</v>
      </c>
      <c r="G319" s="20" t="s">
        <v>24</v>
      </c>
      <c r="H319" s="21">
        <f>ROUND(RAND()*4+6,1)</f>
      </c>
      <c r="I319" s="20" t="s">
        <v>25</v>
      </c>
      <c r="J319" s="23">
        <f>ROUND(83*1,0)&amp;"%"</f>
      </c>
    </row>
    <row x14ac:dyDescent="0.25" r="320" customHeight="1" ht="17.25">
      <c r="A320" s="17" t="s">
        <v>1091</v>
      </c>
      <c r="B320" s="17" t="s">
        <v>516</v>
      </c>
      <c r="C320" s="17" t="s">
        <v>133</v>
      </c>
      <c r="D320" s="17" t="s">
        <v>28</v>
      </c>
      <c r="E320" s="18">
        <f>ROUND(15586*1.05,2)</f>
      </c>
      <c r="F320" s="17" t="s">
        <v>29</v>
      </c>
      <c r="G320" s="17" t="s">
        <v>30</v>
      </c>
      <c r="H320" s="18">
        <f>ROUND(RAND()*4+6,1)</f>
      </c>
      <c r="I320" s="17" t="s">
        <v>31</v>
      </c>
      <c r="J320" s="19">
        <f>ROUND(99*1,0)&amp;"%"</f>
      </c>
    </row>
    <row x14ac:dyDescent="0.25" r="321" customHeight="1" ht="17.25">
      <c r="A321" s="20" t="s">
        <v>1092</v>
      </c>
      <c r="B321" s="20" t="s">
        <v>518</v>
      </c>
      <c r="C321" s="20" t="s">
        <v>133</v>
      </c>
      <c r="D321" s="20" t="s">
        <v>34</v>
      </c>
      <c r="E321" s="21">
        <f>ROUND(9467*1.05,2)</f>
      </c>
      <c r="F321" s="20" t="s">
        <v>35</v>
      </c>
      <c r="G321" s="20" t="s">
        <v>18</v>
      </c>
      <c r="H321" s="21">
        <f>ROUND(RAND()*4+6,1)</f>
      </c>
      <c r="I321" s="20" t="s">
        <v>36</v>
      </c>
      <c r="J321" s="23">
        <f>ROUND(67*1,0)&amp;"%"</f>
      </c>
    </row>
    <row x14ac:dyDescent="0.25" r="322" customHeight="1" ht="17.25">
      <c r="A322" s="17" t="s">
        <v>1093</v>
      </c>
      <c r="B322" s="17" t="s">
        <v>520</v>
      </c>
      <c r="C322" s="17" t="s">
        <v>133</v>
      </c>
      <c r="D322" s="17" t="s">
        <v>39</v>
      </c>
      <c r="E322" s="18">
        <f>ROUND(10043*1.05,2)</f>
      </c>
      <c r="F322" s="17" t="s">
        <v>40</v>
      </c>
      <c r="G322" s="17" t="s">
        <v>24</v>
      </c>
      <c r="H322" s="18">
        <f>ROUND(RAND()*4+6,1)</f>
      </c>
      <c r="I322" s="17" t="s">
        <v>41</v>
      </c>
      <c r="J322" s="19">
        <f>ROUND(98*1,0)&amp;"%"</f>
      </c>
    </row>
    <row x14ac:dyDescent="0.25" r="323" customHeight="1" ht="17.25">
      <c r="A323" s="20" t="s">
        <v>1094</v>
      </c>
      <c r="B323" s="20" t="s">
        <v>522</v>
      </c>
      <c r="C323" s="20" t="s">
        <v>133</v>
      </c>
      <c r="D323" s="20" t="s">
        <v>67</v>
      </c>
      <c r="E323" s="21">
        <f>ROUND(8689*1.05,2)</f>
      </c>
      <c r="F323" s="20" t="s">
        <v>44</v>
      </c>
      <c r="G323" s="20" t="s">
        <v>30</v>
      </c>
      <c r="H323" s="21">
        <f>ROUND(RAND()*4+6,1)</f>
      </c>
      <c r="I323" s="20" t="s">
        <v>45</v>
      </c>
      <c r="J323" s="23">
        <f>ROUND(69*1,0)&amp;"%"</f>
      </c>
    </row>
    <row x14ac:dyDescent="0.25" r="324" customHeight="1" ht="17.25">
      <c r="A324" s="17" t="s">
        <v>1095</v>
      </c>
      <c r="B324" s="17" t="s">
        <v>524</v>
      </c>
      <c r="C324" s="17" t="s">
        <v>133</v>
      </c>
      <c r="D324" s="17" t="s">
        <v>16</v>
      </c>
      <c r="E324" s="18">
        <f>ROUND(7956*1.05,2)</f>
      </c>
      <c r="F324" s="17" t="s">
        <v>48</v>
      </c>
      <c r="G324" s="17" t="s">
        <v>18</v>
      </c>
      <c r="H324" s="18">
        <f>ROUND(RAND()*4+6,1)</f>
      </c>
      <c r="I324" s="17" t="s">
        <v>19</v>
      </c>
      <c r="J324" s="19">
        <f>ROUND(84*1,0)&amp;"%"</f>
      </c>
    </row>
    <row x14ac:dyDescent="0.25" r="325" customHeight="1" ht="17.25">
      <c r="A325" s="20" t="s">
        <v>1096</v>
      </c>
      <c r="B325" s="20" t="s">
        <v>526</v>
      </c>
      <c r="C325" s="20" t="s">
        <v>133</v>
      </c>
      <c r="D325" s="20" t="s">
        <v>22</v>
      </c>
      <c r="E325" s="22">
        <f>ROUND(14400*1.05,2)</f>
      </c>
      <c r="F325" s="20" t="s">
        <v>51</v>
      </c>
      <c r="G325" s="20" t="s">
        <v>24</v>
      </c>
      <c r="H325" s="21">
        <f>ROUND(RAND()*4+6,1)</f>
      </c>
      <c r="I325" s="20" t="s">
        <v>25</v>
      </c>
      <c r="J325" s="23">
        <f>ROUND(86*1,0)&amp;"%"</f>
      </c>
    </row>
    <row x14ac:dyDescent="0.25" r="326" customHeight="1" ht="17.25">
      <c r="A326" s="24" t="s">
        <v>527</v>
      </c>
      <c r="B326" s="24"/>
      <c r="C326" s="24"/>
      <c r="D326" s="24"/>
      <c r="E326" s="25">
        <v>8</v>
      </c>
      <c r="F326" s="9"/>
      <c r="G326" s="9"/>
      <c r="H326" s="10"/>
      <c r="I326" s="9"/>
      <c r="J326" s="9"/>
    </row>
    <row x14ac:dyDescent="0.25" r="327" customHeight="1" ht="17.25">
      <c r="A327" s="7"/>
      <c r="B327" s="7"/>
      <c r="C327" s="7"/>
      <c r="D327" s="7"/>
      <c r="E327" s="8"/>
      <c r="F327" s="9"/>
      <c r="G327" s="9"/>
      <c r="H327" s="10"/>
      <c r="I327" s="9"/>
      <c r="J327" s="9"/>
    </row>
    <row x14ac:dyDescent="0.25" r="328" customHeight="1" ht="17.25">
      <c r="A328" s="11" t="s">
        <v>1097</v>
      </c>
      <c r="B328" s="11"/>
      <c r="C328" s="11"/>
      <c r="D328" s="11"/>
      <c r="E328" s="12"/>
      <c r="F328" s="11"/>
      <c r="G328" s="11"/>
      <c r="H328" s="13"/>
      <c r="I328" s="11"/>
      <c r="J328" s="11"/>
    </row>
    <row x14ac:dyDescent="0.25" r="329" customHeight="1" ht="17.25">
      <c r="A329" s="14" t="s">
        <v>3</v>
      </c>
      <c r="B329" s="14" t="s">
        <v>4</v>
      </c>
      <c r="C329" s="14" t="s">
        <v>5</v>
      </c>
      <c r="D329" s="14" t="s">
        <v>6</v>
      </c>
      <c r="E329" s="15" t="s">
        <v>7</v>
      </c>
      <c r="F329" s="14" t="s">
        <v>8</v>
      </c>
      <c r="G329" s="14" t="s">
        <v>9</v>
      </c>
      <c r="H329" s="16" t="s">
        <v>10</v>
      </c>
      <c r="I329" s="14" t="s">
        <v>11</v>
      </c>
      <c r="J329" s="14" t="s">
        <v>12</v>
      </c>
    </row>
    <row x14ac:dyDescent="0.25" r="330" customHeight="1" ht="17.25">
      <c r="A330" s="17" t="s">
        <v>1098</v>
      </c>
      <c r="B330" s="17" t="s">
        <v>530</v>
      </c>
      <c r="C330" s="17" t="s">
        <v>152</v>
      </c>
      <c r="D330" s="17" t="s">
        <v>16</v>
      </c>
      <c r="E330" s="18">
        <f>ROUND(11209*1.05,2)</f>
      </c>
      <c r="F330" s="17" t="s">
        <v>17</v>
      </c>
      <c r="G330" s="17" t="s">
        <v>18</v>
      </c>
      <c r="H330" s="18">
        <f>ROUND(RAND()*4+6,1)</f>
      </c>
      <c r="I330" s="17" t="s">
        <v>19</v>
      </c>
      <c r="J330" s="19">
        <f>ROUND(89*1,0)&amp;"%"</f>
      </c>
    </row>
    <row x14ac:dyDescent="0.25" r="331" customHeight="1" ht="17.25">
      <c r="A331" s="20" t="s">
        <v>1099</v>
      </c>
      <c r="B331" s="20" t="s">
        <v>532</v>
      </c>
      <c r="C331" s="20" t="s">
        <v>152</v>
      </c>
      <c r="D331" s="20" t="s">
        <v>22</v>
      </c>
      <c r="E331" s="21">
        <f>ROUND(5819*1.05,2)</f>
      </c>
      <c r="F331" s="20" t="s">
        <v>23</v>
      </c>
      <c r="G331" s="20" t="s">
        <v>24</v>
      </c>
      <c r="H331" s="22">
        <f>ROUND(RAND()*4+6,1)</f>
      </c>
      <c r="I331" s="20" t="s">
        <v>25</v>
      </c>
      <c r="J331" s="23">
        <f>ROUND(89*1,0)&amp;"%"</f>
      </c>
    </row>
    <row x14ac:dyDescent="0.25" r="332" customHeight="1" ht="17.25">
      <c r="A332" s="17" t="s">
        <v>1100</v>
      </c>
      <c r="B332" s="17" t="s">
        <v>534</v>
      </c>
      <c r="C332" s="17" t="s">
        <v>152</v>
      </c>
      <c r="D332" s="17" t="s">
        <v>28</v>
      </c>
      <c r="E332" s="18">
        <f>ROUND(10592*1.05,2)</f>
      </c>
      <c r="F332" s="17" t="s">
        <v>29</v>
      </c>
      <c r="G332" s="17" t="s">
        <v>30</v>
      </c>
      <c r="H332" s="18">
        <f>ROUND(RAND()*4+6,1)</f>
      </c>
      <c r="I332" s="17" t="s">
        <v>31</v>
      </c>
      <c r="J332" s="19">
        <f>ROUND(80*1,0)&amp;"%"</f>
      </c>
    </row>
    <row x14ac:dyDescent="0.25" r="333" customHeight="1" ht="17.25">
      <c r="A333" s="20" t="s">
        <v>1101</v>
      </c>
      <c r="B333" s="20" t="s">
        <v>536</v>
      </c>
      <c r="C333" s="20" t="s">
        <v>152</v>
      </c>
      <c r="D333" s="20" t="s">
        <v>34</v>
      </c>
      <c r="E333" s="21">
        <f>ROUND(7463*1.05,2)</f>
      </c>
      <c r="F333" s="20" t="s">
        <v>35</v>
      </c>
      <c r="G333" s="20" t="s">
        <v>18</v>
      </c>
      <c r="H333" s="21">
        <f>ROUND(RAND()*4+6,1)</f>
      </c>
      <c r="I333" s="20" t="s">
        <v>36</v>
      </c>
      <c r="J333" s="23">
        <f>ROUND(88*1,0)&amp;"%"</f>
      </c>
    </row>
    <row x14ac:dyDescent="0.25" r="334" customHeight="1" ht="17.25">
      <c r="A334" s="17" t="s">
        <v>1102</v>
      </c>
      <c r="B334" s="17" t="s">
        <v>538</v>
      </c>
      <c r="C334" s="17" t="s">
        <v>152</v>
      </c>
      <c r="D334" s="17" t="s">
        <v>39</v>
      </c>
      <c r="E334" s="18">
        <f>ROUND(6158*1.05,2)</f>
      </c>
      <c r="F334" s="17" t="s">
        <v>40</v>
      </c>
      <c r="G334" s="17" t="s">
        <v>24</v>
      </c>
      <c r="H334" s="18">
        <f>ROUND(RAND()*4+6,1)</f>
      </c>
      <c r="I334" s="17" t="s">
        <v>41</v>
      </c>
      <c r="J334" s="19">
        <f>ROUND(63*1,0)&amp;"%"</f>
      </c>
    </row>
    <row x14ac:dyDescent="0.25" r="335" customHeight="1" ht="17.25">
      <c r="A335" s="20" t="s">
        <v>1103</v>
      </c>
      <c r="B335" s="20" t="s">
        <v>540</v>
      </c>
      <c r="C335" s="20" t="s">
        <v>152</v>
      </c>
      <c r="D335" s="20" t="s">
        <v>67</v>
      </c>
      <c r="E335" s="21">
        <f>ROUND(11039*1.05,2)</f>
      </c>
      <c r="F335" s="20" t="s">
        <v>44</v>
      </c>
      <c r="G335" s="20" t="s">
        <v>30</v>
      </c>
      <c r="H335" s="21">
        <f>ROUND(RAND()*4+6,1)</f>
      </c>
      <c r="I335" s="20" t="s">
        <v>45</v>
      </c>
      <c r="J335" s="23">
        <f>ROUND(79*1,0)&amp;"%"</f>
      </c>
    </row>
    <row x14ac:dyDescent="0.25" r="336" customHeight="1" ht="17.25">
      <c r="A336" s="17" t="s">
        <v>1104</v>
      </c>
      <c r="B336" s="17" t="s">
        <v>542</v>
      </c>
      <c r="C336" s="17" t="s">
        <v>152</v>
      </c>
      <c r="D336" s="17" t="s">
        <v>16</v>
      </c>
      <c r="E336" s="18">
        <f>ROUND(7624*1.05,2)</f>
      </c>
      <c r="F336" s="17" t="s">
        <v>48</v>
      </c>
      <c r="G336" s="17" t="s">
        <v>18</v>
      </c>
      <c r="H336" s="18">
        <f>ROUND(RAND()*4+6,1)</f>
      </c>
      <c r="I336" s="17" t="s">
        <v>19</v>
      </c>
      <c r="J336" s="19">
        <f>ROUND(65*1,0)&amp;"%"</f>
      </c>
    </row>
    <row x14ac:dyDescent="0.25" r="337" customHeight="1" ht="17.25">
      <c r="A337" s="20" t="s">
        <v>1105</v>
      </c>
      <c r="B337" s="20" t="s">
        <v>544</v>
      </c>
      <c r="C337" s="20" t="s">
        <v>152</v>
      </c>
      <c r="D337" s="20" t="s">
        <v>22</v>
      </c>
      <c r="E337" s="21">
        <f>ROUND(15307*1.05,2)</f>
      </c>
      <c r="F337" s="20" t="s">
        <v>51</v>
      </c>
      <c r="G337" s="20" t="s">
        <v>24</v>
      </c>
      <c r="H337" s="21">
        <f>ROUND(RAND()*4+6,1)</f>
      </c>
      <c r="I337" s="20" t="s">
        <v>25</v>
      </c>
      <c r="J337" s="23">
        <f>ROUND(84*1,0)&amp;"%"</f>
      </c>
    </row>
    <row x14ac:dyDescent="0.25" r="338" customHeight="1" ht="17.25">
      <c r="A338" s="24" t="s">
        <v>545</v>
      </c>
      <c r="B338" s="24"/>
      <c r="C338" s="24"/>
      <c r="D338" s="24"/>
      <c r="E338" s="25">
        <v>8</v>
      </c>
      <c r="F338" s="9"/>
      <c r="G338" s="9"/>
      <c r="H338" s="10"/>
      <c r="I338" s="9"/>
      <c r="J338" s="9"/>
    </row>
    <row x14ac:dyDescent="0.25" r="339" customHeight="1" ht="17.25">
      <c r="A339" s="7"/>
      <c r="B339" s="7"/>
      <c r="C339" s="7"/>
      <c r="D339" s="7"/>
      <c r="E339" s="8"/>
      <c r="F339" s="9"/>
      <c r="G339" s="9"/>
      <c r="H339" s="10"/>
      <c r="I339" s="9"/>
      <c r="J339" s="9"/>
    </row>
    <row x14ac:dyDescent="0.25" r="340" customHeight="1" ht="17.25">
      <c r="A340" s="11" t="s">
        <v>1106</v>
      </c>
      <c r="B340" s="11"/>
      <c r="C340" s="11"/>
      <c r="D340" s="11"/>
      <c r="E340" s="12"/>
      <c r="F340" s="11"/>
      <c r="G340" s="11"/>
      <c r="H340" s="13"/>
      <c r="I340" s="11"/>
      <c r="J340" s="11"/>
    </row>
    <row x14ac:dyDescent="0.25" r="341" customHeight="1" ht="17.25">
      <c r="A341" s="14" t="s">
        <v>3</v>
      </c>
      <c r="B341" s="14" t="s">
        <v>4</v>
      </c>
      <c r="C341" s="14" t="s">
        <v>5</v>
      </c>
      <c r="D341" s="14" t="s">
        <v>6</v>
      </c>
      <c r="E341" s="15" t="s">
        <v>7</v>
      </c>
      <c r="F341" s="14" t="s">
        <v>8</v>
      </c>
      <c r="G341" s="14" t="s">
        <v>9</v>
      </c>
      <c r="H341" s="16" t="s">
        <v>10</v>
      </c>
      <c r="I341" s="14" t="s">
        <v>11</v>
      </c>
      <c r="J341" s="14" t="s">
        <v>12</v>
      </c>
    </row>
    <row x14ac:dyDescent="0.25" r="342" customHeight="1" ht="17.25">
      <c r="A342" s="17" t="s">
        <v>1107</v>
      </c>
      <c r="B342" s="17" t="s">
        <v>548</v>
      </c>
      <c r="C342" s="17" t="s">
        <v>15</v>
      </c>
      <c r="D342" s="17" t="s">
        <v>16</v>
      </c>
      <c r="E342" s="18">
        <f>ROUND(13269*1.05,2)</f>
      </c>
      <c r="F342" s="17" t="s">
        <v>17</v>
      </c>
      <c r="G342" s="17" t="s">
        <v>18</v>
      </c>
      <c r="H342" s="18">
        <f>ROUND(RAND()*4+6,1)</f>
      </c>
      <c r="I342" s="17" t="s">
        <v>19</v>
      </c>
      <c r="J342" s="19">
        <f>ROUND(88*1,0)&amp;"%"</f>
      </c>
    </row>
    <row x14ac:dyDescent="0.25" r="343" customHeight="1" ht="17.25">
      <c r="A343" s="20" t="s">
        <v>1108</v>
      </c>
      <c r="B343" s="20" t="s">
        <v>550</v>
      </c>
      <c r="C343" s="20" t="s">
        <v>15</v>
      </c>
      <c r="D343" s="20" t="s">
        <v>22</v>
      </c>
      <c r="E343" s="21">
        <f>ROUND(9307*1.05,2)</f>
      </c>
      <c r="F343" s="20" t="s">
        <v>23</v>
      </c>
      <c r="G343" s="20" t="s">
        <v>24</v>
      </c>
      <c r="H343" s="21">
        <f>ROUND(RAND()*4+6,1)</f>
      </c>
      <c r="I343" s="20" t="s">
        <v>25</v>
      </c>
      <c r="J343" s="23">
        <f>ROUND(63*1,0)&amp;"%"</f>
      </c>
    </row>
    <row x14ac:dyDescent="0.25" r="344" customHeight="1" ht="17.25">
      <c r="A344" s="17" t="s">
        <v>1109</v>
      </c>
      <c r="B344" s="17" t="s">
        <v>552</v>
      </c>
      <c r="C344" s="17" t="s">
        <v>15</v>
      </c>
      <c r="D344" s="17" t="s">
        <v>28</v>
      </c>
      <c r="E344" s="18">
        <f>ROUND(16306*1.05,2)</f>
      </c>
      <c r="F344" s="17" t="s">
        <v>29</v>
      </c>
      <c r="G344" s="17" t="s">
        <v>30</v>
      </c>
      <c r="H344" s="18">
        <f>ROUND(RAND()*4+6,1)</f>
      </c>
      <c r="I344" s="17" t="s">
        <v>31</v>
      </c>
      <c r="J344" s="19">
        <f>ROUND(71*1,0)&amp;"%"</f>
      </c>
    </row>
    <row x14ac:dyDescent="0.25" r="345" customHeight="1" ht="17.25">
      <c r="A345" s="20" t="s">
        <v>1110</v>
      </c>
      <c r="B345" s="20" t="s">
        <v>554</v>
      </c>
      <c r="C345" s="20" t="s">
        <v>15</v>
      </c>
      <c r="D345" s="20" t="s">
        <v>34</v>
      </c>
      <c r="E345" s="21">
        <f>ROUND(5098*1.05,2)</f>
      </c>
      <c r="F345" s="20" t="s">
        <v>35</v>
      </c>
      <c r="G345" s="20" t="s">
        <v>18</v>
      </c>
      <c r="H345" s="21">
        <f>ROUND(RAND()*4+6,1)</f>
      </c>
      <c r="I345" s="20" t="s">
        <v>36</v>
      </c>
      <c r="J345" s="23">
        <f>ROUND(61*1,0)&amp;"%"</f>
      </c>
    </row>
    <row x14ac:dyDescent="0.25" r="346" customHeight="1" ht="17.25">
      <c r="A346" s="17" t="s">
        <v>1111</v>
      </c>
      <c r="B346" s="17" t="s">
        <v>556</v>
      </c>
      <c r="C346" s="17" t="s">
        <v>15</v>
      </c>
      <c r="D346" s="17" t="s">
        <v>39</v>
      </c>
      <c r="E346" s="18">
        <f>ROUND(9998*1.05,2)</f>
      </c>
      <c r="F346" s="17" t="s">
        <v>40</v>
      </c>
      <c r="G346" s="17" t="s">
        <v>24</v>
      </c>
      <c r="H346" s="18">
        <f>ROUND(RAND()*4+6,1)</f>
      </c>
      <c r="I346" s="17" t="s">
        <v>41</v>
      </c>
      <c r="J346" s="19">
        <f>ROUND(100*1,0)&amp;"%"</f>
      </c>
    </row>
    <row x14ac:dyDescent="0.25" r="347" customHeight="1" ht="17.25">
      <c r="A347" s="20" t="s">
        <v>1112</v>
      </c>
      <c r="B347" s="20" t="s">
        <v>558</v>
      </c>
      <c r="C347" s="20" t="s">
        <v>15</v>
      </c>
      <c r="D347" s="20" t="s">
        <v>67</v>
      </c>
      <c r="E347" s="21">
        <f>ROUND(9691*1.05,2)</f>
      </c>
      <c r="F347" s="20" t="s">
        <v>44</v>
      </c>
      <c r="G347" s="20" t="s">
        <v>30</v>
      </c>
      <c r="H347" s="22">
        <f>ROUND(RAND()*4+6,1)</f>
      </c>
      <c r="I347" s="20" t="s">
        <v>45</v>
      </c>
      <c r="J347" s="23">
        <f>ROUND(84*1,0)&amp;"%"</f>
      </c>
    </row>
    <row x14ac:dyDescent="0.25" r="348" customHeight="1" ht="17.25">
      <c r="A348" s="17" t="s">
        <v>1113</v>
      </c>
      <c r="B348" s="17" t="s">
        <v>560</v>
      </c>
      <c r="C348" s="17" t="s">
        <v>15</v>
      </c>
      <c r="D348" s="17" t="s">
        <v>16</v>
      </c>
      <c r="E348" s="18">
        <f>ROUND(17124*1.05,2)</f>
      </c>
      <c r="F348" s="17" t="s">
        <v>48</v>
      </c>
      <c r="G348" s="17" t="s">
        <v>18</v>
      </c>
      <c r="H348" s="18">
        <f>ROUND(RAND()*4+6,1)</f>
      </c>
      <c r="I348" s="17" t="s">
        <v>19</v>
      </c>
      <c r="J348" s="19">
        <f>ROUND(79*1,0)&amp;"%"</f>
      </c>
    </row>
    <row x14ac:dyDescent="0.25" r="349" customHeight="1" ht="17.25">
      <c r="A349" s="20" t="s">
        <v>1114</v>
      </c>
      <c r="B349" s="20" t="s">
        <v>562</v>
      </c>
      <c r="C349" s="20" t="s">
        <v>15</v>
      </c>
      <c r="D349" s="20" t="s">
        <v>22</v>
      </c>
      <c r="E349" s="21">
        <f>ROUND(6491*1.05,2)</f>
      </c>
      <c r="F349" s="20" t="s">
        <v>51</v>
      </c>
      <c r="G349" s="20" t="s">
        <v>24</v>
      </c>
      <c r="H349" s="21">
        <f>ROUND(RAND()*4+6,1)</f>
      </c>
      <c r="I349" s="20" t="s">
        <v>25</v>
      </c>
      <c r="J349" s="23">
        <f>ROUND(85*1,0)&amp;"%"</f>
      </c>
    </row>
    <row x14ac:dyDescent="0.25" r="350" customHeight="1" ht="17.25">
      <c r="A350" s="24" t="s">
        <v>563</v>
      </c>
      <c r="B350" s="24"/>
      <c r="C350" s="24"/>
      <c r="D350" s="24"/>
      <c r="E350" s="25">
        <v>8</v>
      </c>
      <c r="F350" s="9"/>
      <c r="G350" s="9"/>
      <c r="H350" s="10"/>
      <c r="I350" s="9"/>
      <c r="J350" s="9"/>
    </row>
    <row x14ac:dyDescent="0.25" r="351" customHeight="1" ht="17.25">
      <c r="A351" s="7"/>
      <c r="B351" s="7"/>
      <c r="C351" s="7"/>
      <c r="D351" s="7"/>
      <c r="E351" s="8"/>
      <c r="F351" s="9"/>
      <c r="G351" s="9"/>
      <c r="H351" s="10"/>
      <c r="I351" s="9"/>
      <c r="J351" s="9"/>
    </row>
    <row x14ac:dyDescent="0.25" r="352" customHeight="1" ht="17.25">
      <c r="A352" s="11" t="s">
        <v>1115</v>
      </c>
      <c r="B352" s="11"/>
      <c r="C352" s="11"/>
      <c r="D352" s="11"/>
      <c r="E352" s="12"/>
      <c r="F352" s="11"/>
      <c r="G352" s="11"/>
      <c r="H352" s="13"/>
      <c r="I352" s="11"/>
      <c r="J352" s="11"/>
    </row>
    <row x14ac:dyDescent="0.25" r="353" customHeight="1" ht="17.25">
      <c r="A353" s="14" t="s">
        <v>3</v>
      </c>
      <c r="B353" s="14" t="s">
        <v>4</v>
      </c>
      <c r="C353" s="14" t="s">
        <v>5</v>
      </c>
      <c r="D353" s="14" t="s">
        <v>6</v>
      </c>
      <c r="E353" s="15" t="s">
        <v>7</v>
      </c>
      <c r="F353" s="14" t="s">
        <v>8</v>
      </c>
      <c r="G353" s="14" t="s">
        <v>9</v>
      </c>
      <c r="H353" s="16" t="s">
        <v>10</v>
      </c>
      <c r="I353" s="14" t="s">
        <v>11</v>
      </c>
      <c r="J353" s="14" t="s">
        <v>12</v>
      </c>
    </row>
    <row x14ac:dyDescent="0.25" r="354" customHeight="1" ht="17.25">
      <c r="A354" s="17" t="s">
        <v>1116</v>
      </c>
      <c r="B354" s="17" t="s">
        <v>566</v>
      </c>
      <c r="C354" s="17" t="s">
        <v>56</v>
      </c>
      <c r="D354" s="17" t="s">
        <v>16</v>
      </c>
      <c r="E354" s="18">
        <f>ROUND(7184*1.05,2)</f>
      </c>
      <c r="F354" s="17" t="s">
        <v>17</v>
      </c>
      <c r="G354" s="17" t="s">
        <v>18</v>
      </c>
      <c r="H354" s="18">
        <f>ROUND(RAND()*4+6,1)</f>
      </c>
      <c r="I354" s="17" t="s">
        <v>19</v>
      </c>
      <c r="J354" s="19">
        <f>ROUND(93*1,0)&amp;"%"</f>
      </c>
    </row>
    <row x14ac:dyDescent="0.25" r="355" customHeight="1" ht="17.25">
      <c r="A355" s="20" t="s">
        <v>1117</v>
      </c>
      <c r="B355" s="20" t="s">
        <v>568</v>
      </c>
      <c r="C355" s="20" t="s">
        <v>56</v>
      </c>
      <c r="D355" s="20" t="s">
        <v>22</v>
      </c>
      <c r="E355" s="21">
        <f>ROUND(12930*1.05,2)</f>
      </c>
      <c r="F355" s="20" t="s">
        <v>23</v>
      </c>
      <c r="G355" s="20" t="s">
        <v>24</v>
      </c>
      <c r="H355" s="21">
        <f>ROUND(RAND()*4+6,1)</f>
      </c>
      <c r="I355" s="20" t="s">
        <v>25</v>
      </c>
      <c r="J355" s="23">
        <f>ROUND(61*1,0)&amp;"%"</f>
      </c>
    </row>
    <row x14ac:dyDescent="0.25" r="356" customHeight="1" ht="17.25">
      <c r="A356" s="17" t="s">
        <v>1118</v>
      </c>
      <c r="B356" s="17" t="s">
        <v>570</v>
      </c>
      <c r="C356" s="17" t="s">
        <v>56</v>
      </c>
      <c r="D356" s="17" t="s">
        <v>28</v>
      </c>
      <c r="E356" s="18">
        <f>ROUND(10124*1.05,2)</f>
      </c>
      <c r="F356" s="17" t="s">
        <v>29</v>
      </c>
      <c r="G356" s="17" t="s">
        <v>30</v>
      </c>
      <c r="H356" s="18">
        <f>ROUND(RAND()*4+6,1)</f>
      </c>
      <c r="I356" s="17" t="s">
        <v>31</v>
      </c>
      <c r="J356" s="19">
        <f>ROUND(79*1,0)&amp;"%"</f>
      </c>
    </row>
    <row x14ac:dyDescent="0.25" r="357" customHeight="1" ht="17.25">
      <c r="A357" s="20" t="s">
        <v>1119</v>
      </c>
      <c r="B357" s="20" t="s">
        <v>572</v>
      </c>
      <c r="C357" s="20" t="s">
        <v>56</v>
      </c>
      <c r="D357" s="20" t="s">
        <v>34</v>
      </c>
      <c r="E357" s="22">
        <f>ROUND(6660*1.05,2)</f>
      </c>
      <c r="F357" s="20" t="s">
        <v>35</v>
      </c>
      <c r="G357" s="20" t="s">
        <v>18</v>
      </c>
      <c r="H357" s="21">
        <f>ROUND(RAND()*4+6,1)</f>
      </c>
      <c r="I357" s="20" t="s">
        <v>36</v>
      </c>
      <c r="J357" s="23">
        <f>ROUND(67*1,0)&amp;"%"</f>
      </c>
    </row>
    <row x14ac:dyDescent="0.25" r="358" customHeight="1" ht="17.25">
      <c r="A358" s="17" t="s">
        <v>1120</v>
      </c>
      <c r="B358" s="17" t="s">
        <v>574</v>
      </c>
      <c r="C358" s="17" t="s">
        <v>56</v>
      </c>
      <c r="D358" s="17" t="s">
        <v>39</v>
      </c>
      <c r="E358" s="18">
        <f>ROUND(14881*1.05,2)</f>
      </c>
      <c r="F358" s="17" t="s">
        <v>40</v>
      </c>
      <c r="G358" s="17" t="s">
        <v>24</v>
      </c>
      <c r="H358" s="26">
        <f>ROUND(RAND()*4+6,1)</f>
      </c>
      <c r="I358" s="17" t="s">
        <v>41</v>
      </c>
      <c r="J358" s="19">
        <f>ROUND(65*1,0)&amp;"%"</f>
      </c>
    </row>
    <row x14ac:dyDescent="0.25" r="359" customHeight="1" ht="17.25">
      <c r="A359" s="20" t="s">
        <v>1121</v>
      </c>
      <c r="B359" s="20" t="s">
        <v>576</v>
      </c>
      <c r="C359" s="20" t="s">
        <v>56</v>
      </c>
      <c r="D359" s="20" t="s">
        <v>67</v>
      </c>
      <c r="E359" s="21">
        <f>ROUND(12161*1.05,2)</f>
      </c>
      <c r="F359" s="20" t="s">
        <v>44</v>
      </c>
      <c r="G359" s="20" t="s">
        <v>30</v>
      </c>
      <c r="H359" s="21">
        <f>ROUND(RAND()*4+6,1)</f>
      </c>
      <c r="I359" s="20" t="s">
        <v>45</v>
      </c>
      <c r="J359" s="23">
        <f>ROUND(90*1,0)&amp;"%"</f>
      </c>
    </row>
    <row x14ac:dyDescent="0.25" r="360" customHeight="1" ht="17.25">
      <c r="A360" s="17" t="s">
        <v>1122</v>
      </c>
      <c r="B360" s="17" t="s">
        <v>578</v>
      </c>
      <c r="C360" s="17" t="s">
        <v>56</v>
      </c>
      <c r="D360" s="17" t="s">
        <v>16</v>
      </c>
      <c r="E360" s="18">
        <f>ROUND(7555*1.05,2)</f>
      </c>
      <c r="F360" s="17" t="s">
        <v>48</v>
      </c>
      <c r="G360" s="17" t="s">
        <v>18</v>
      </c>
      <c r="H360" s="18">
        <f>ROUND(RAND()*4+6,1)</f>
      </c>
      <c r="I360" s="17" t="s">
        <v>19</v>
      </c>
      <c r="J360" s="19">
        <f>ROUND(60*1,0)&amp;"%"</f>
      </c>
    </row>
    <row x14ac:dyDescent="0.25" r="361" customHeight="1" ht="17.25">
      <c r="A361" s="20" t="s">
        <v>1123</v>
      </c>
      <c r="B361" s="20" t="s">
        <v>580</v>
      </c>
      <c r="C361" s="20" t="s">
        <v>56</v>
      </c>
      <c r="D361" s="20" t="s">
        <v>22</v>
      </c>
      <c r="E361" s="21">
        <f>ROUND(12355*1.05,2)</f>
      </c>
      <c r="F361" s="20" t="s">
        <v>51</v>
      </c>
      <c r="G361" s="20" t="s">
        <v>24</v>
      </c>
      <c r="H361" s="21">
        <f>ROUND(RAND()*4+6,1)</f>
      </c>
      <c r="I361" s="20" t="s">
        <v>25</v>
      </c>
      <c r="J361" s="23">
        <f>ROUND(88*1,0)&amp;"%"</f>
      </c>
    </row>
    <row x14ac:dyDescent="0.25" r="362" customHeight="1" ht="17.25">
      <c r="A362" s="24" t="s">
        <v>581</v>
      </c>
      <c r="B362" s="24"/>
      <c r="C362" s="24"/>
      <c r="D362" s="24"/>
      <c r="E362" s="25">
        <v>8</v>
      </c>
      <c r="F362" s="9"/>
      <c r="G362" s="9"/>
      <c r="H362" s="10"/>
      <c r="I362" s="9"/>
      <c r="J362" s="9"/>
    </row>
  </sheetData>
  <mergeCells count="62">
    <mergeCell ref="A1:J1"/>
    <mergeCell ref="A2:J2"/>
    <mergeCell ref="A4:J4"/>
    <mergeCell ref="A14:D14"/>
    <mergeCell ref="A16:J16"/>
    <mergeCell ref="A26:D26"/>
    <mergeCell ref="A28:J28"/>
    <mergeCell ref="A38:D38"/>
    <mergeCell ref="A40:J40"/>
    <mergeCell ref="A50:D50"/>
    <mergeCell ref="A52:J52"/>
    <mergeCell ref="A62:D62"/>
    <mergeCell ref="A64:J64"/>
    <mergeCell ref="A74:D74"/>
    <mergeCell ref="A76:J76"/>
    <mergeCell ref="A86:D86"/>
    <mergeCell ref="A88:J88"/>
    <mergeCell ref="A98:D98"/>
    <mergeCell ref="A100:J100"/>
    <mergeCell ref="A110:D110"/>
    <mergeCell ref="A112:J112"/>
    <mergeCell ref="A122:D122"/>
    <mergeCell ref="A124:J124"/>
    <mergeCell ref="A134:D134"/>
    <mergeCell ref="A136:J136"/>
    <mergeCell ref="A146:D146"/>
    <mergeCell ref="A148:J148"/>
    <mergeCell ref="A158:D158"/>
    <mergeCell ref="A160:J160"/>
    <mergeCell ref="A170:D170"/>
    <mergeCell ref="A172:J172"/>
    <mergeCell ref="A182:D182"/>
    <mergeCell ref="A184:J184"/>
    <mergeCell ref="A194:D194"/>
    <mergeCell ref="A196:J196"/>
    <mergeCell ref="A206:D206"/>
    <mergeCell ref="A208:J208"/>
    <mergeCell ref="A218:D218"/>
    <mergeCell ref="A220:J220"/>
    <mergeCell ref="A230:D230"/>
    <mergeCell ref="A232:J232"/>
    <mergeCell ref="A242:D242"/>
    <mergeCell ref="A244:J244"/>
    <mergeCell ref="A254:D254"/>
    <mergeCell ref="A256:J256"/>
    <mergeCell ref="A266:D266"/>
    <mergeCell ref="A268:J268"/>
    <mergeCell ref="A278:D278"/>
    <mergeCell ref="A280:J280"/>
    <mergeCell ref="A290:D290"/>
    <mergeCell ref="A292:J292"/>
    <mergeCell ref="A302:D302"/>
    <mergeCell ref="A304:J304"/>
    <mergeCell ref="A314:D314"/>
    <mergeCell ref="A316:J316"/>
    <mergeCell ref="A326:D326"/>
    <mergeCell ref="A328:J328"/>
    <mergeCell ref="A338:D338"/>
    <mergeCell ref="A340:J340"/>
    <mergeCell ref="A350:D350"/>
    <mergeCell ref="A352:J352"/>
    <mergeCell ref="A362:D362"/>
  </mergeCells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J362"/>
  <sheetViews>
    <sheetView workbookViewId="0"/>
  </sheetViews>
  <sheetFormatPr defaultRowHeight="15" x14ac:dyDescent="0.25"/>
  <cols>
    <col min="1" max="1" style="27" width="8.005" customWidth="1" bestFit="1"/>
    <col min="2" max="2" style="27" width="22.005" customWidth="1" bestFit="1"/>
    <col min="3" max="3" style="27" width="16.005" customWidth="1" bestFit="1"/>
    <col min="4" max="4" style="27" width="14.005" customWidth="1" bestFit="1"/>
    <col min="5" max="5" style="28" width="12.005" customWidth="1" bestFit="1"/>
    <col min="6" max="6" style="29" width="16.005" customWidth="1" bestFit="1"/>
    <col min="7" max="7" style="29" width="10.005" customWidth="1" bestFit="1"/>
    <col min="8" max="8" style="30" width="10.005" customWidth="1" bestFit="1"/>
    <col min="9" max="9" style="29" width="14.005" customWidth="1" bestFit="1"/>
    <col min="10" max="10" style="29" width="8.005" customWidth="1" bestFit="1"/>
  </cols>
  <sheetData>
    <row x14ac:dyDescent="0.25" r="1" customHeight="1" ht="17.25">
      <c r="A1" s="1" t="s">
        <v>582</v>
      </c>
      <c r="B1" s="1"/>
      <c r="C1" s="1"/>
      <c r="D1" s="1"/>
      <c r="E1" s="2"/>
      <c r="F1" s="1"/>
      <c r="G1" s="1"/>
      <c r="H1" s="3"/>
      <c r="I1" s="1"/>
      <c r="J1" s="1"/>
    </row>
    <row x14ac:dyDescent="0.25" r="2" customHeight="1" ht="17.25">
      <c r="A2" s="4" t="s">
        <v>1</v>
      </c>
      <c r="B2" s="4"/>
      <c r="C2" s="4"/>
      <c r="D2" s="4"/>
      <c r="E2" s="5"/>
      <c r="F2" s="4"/>
      <c r="G2" s="4"/>
      <c r="H2" s="6"/>
      <c r="I2" s="4"/>
      <c r="J2" s="4"/>
    </row>
    <row x14ac:dyDescent="0.25" r="3" customHeight="1" ht="17.25">
      <c r="A3" s="7"/>
      <c r="B3" s="7"/>
      <c r="C3" s="7"/>
      <c r="D3" s="7"/>
      <c r="E3" s="8"/>
      <c r="F3" s="9"/>
      <c r="G3" s="9"/>
      <c r="H3" s="10"/>
      <c r="I3" s="9"/>
      <c r="J3" s="9"/>
    </row>
    <row x14ac:dyDescent="0.25" r="4" customHeight="1" ht="17.25">
      <c r="A4" s="11" t="s">
        <v>583</v>
      </c>
      <c r="B4" s="11"/>
      <c r="C4" s="11"/>
      <c r="D4" s="11"/>
      <c r="E4" s="12"/>
      <c r="F4" s="11"/>
      <c r="G4" s="11"/>
      <c r="H4" s="13"/>
      <c r="I4" s="11"/>
      <c r="J4" s="11"/>
    </row>
    <row x14ac:dyDescent="0.25" r="5" customHeight="1" ht="17.25">
      <c r="A5" s="14" t="s">
        <v>3</v>
      </c>
      <c r="B5" s="14" t="s">
        <v>4</v>
      </c>
      <c r="C5" s="14" t="s">
        <v>5</v>
      </c>
      <c r="D5" s="14" t="s">
        <v>6</v>
      </c>
      <c r="E5" s="15" t="s">
        <v>7</v>
      </c>
      <c r="F5" s="14" t="s">
        <v>8</v>
      </c>
      <c r="G5" s="14" t="s">
        <v>9</v>
      </c>
      <c r="H5" s="16" t="s">
        <v>10</v>
      </c>
      <c r="I5" s="14" t="s">
        <v>11</v>
      </c>
      <c r="J5" s="14" t="s">
        <v>12</v>
      </c>
    </row>
    <row x14ac:dyDescent="0.25" r="6" customHeight="1" ht="17.25">
      <c r="A6" s="17" t="s">
        <v>584</v>
      </c>
      <c r="B6" s="17" t="s">
        <v>14</v>
      </c>
      <c r="C6" s="17" t="s">
        <v>15</v>
      </c>
      <c r="D6" s="17" t="s">
        <v>16</v>
      </c>
      <c r="E6" s="18">
        <f>ROUND(4631*1.05,2)</f>
      </c>
      <c r="F6" s="17" t="s">
        <v>17</v>
      </c>
      <c r="G6" s="17" t="s">
        <v>18</v>
      </c>
      <c r="H6" s="18">
        <f>ROUND(RAND()*4+6,1)</f>
      </c>
      <c r="I6" s="17" t="s">
        <v>19</v>
      </c>
      <c r="J6" s="19">
        <f>ROUND(75*1,0)&amp;"%"</f>
      </c>
    </row>
    <row x14ac:dyDescent="0.25" r="7" customHeight="1" ht="17.25">
      <c r="A7" s="20" t="s">
        <v>585</v>
      </c>
      <c r="B7" s="20" t="s">
        <v>21</v>
      </c>
      <c r="C7" s="20" t="s">
        <v>15</v>
      </c>
      <c r="D7" s="20" t="s">
        <v>22</v>
      </c>
      <c r="E7" s="21">
        <f>ROUND(4744*1.05,2)</f>
      </c>
      <c r="F7" s="20" t="s">
        <v>23</v>
      </c>
      <c r="G7" s="20" t="s">
        <v>24</v>
      </c>
      <c r="H7" s="21">
        <f>ROUND(RAND()*4+6,1)</f>
      </c>
      <c r="I7" s="20" t="s">
        <v>25</v>
      </c>
      <c r="J7" s="23">
        <f>ROUND(67*1,0)&amp;"%"</f>
      </c>
    </row>
    <row x14ac:dyDescent="0.25" r="8" customHeight="1" ht="17.25">
      <c r="A8" s="17" t="s">
        <v>586</v>
      </c>
      <c r="B8" s="17" t="s">
        <v>27</v>
      </c>
      <c r="C8" s="17" t="s">
        <v>15</v>
      </c>
      <c r="D8" s="17" t="s">
        <v>28</v>
      </c>
      <c r="E8" s="18">
        <f>ROUND(6532*1.05,2)</f>
      </c>
      <c r="F8" s="17" t="s">
        <v>29</v>
      </c>
      <c r="G8" s="17" t="s">
        <v>30</v>
      </c>
      <c r="H8" s="18">
        <f>ROUND(RAND()*4+6,1)</f>
      </c>
      <c r="I8" s="17" t="s">
        <v>31</v>
      </c>
      <c r="J8" s="19">
        <f>ROUND(63*1,0)&amp;"%"</f>
      </c>
    </row>
    <row x14ac:dyDescent="0.25" r="9" customHeight="1" ht="17.25">
      <c r="A9" s="20" t="s">
        <v>587</v>
      </c>
      <c r="B9" s="20" t="s">
        <v>33</v>
      </c>
      <c r="C9" s="20" t="s">
        <v>15</v>
      </c>
      <c r="D9" s="20" t="s">
        <v>34</v>
      </c>
      <c r="E9" s="21">
        <f>ROUND(8143*1.05,2)</f>
      </c>
      <c r="F9" s="20" t="s">
        <v>35</v>
      </c>
      <c r="G9" s="20" t="s">
        <v>18</v>
      </c>
      <c r="H9" s="21">
        <f>ROUND(RAND()*4+6,1)</f>
      </c>
      <c r="I9" s="20" t="s">
        <v>36</v>
      </c>
      <c r="J9" s="23">
        <f>ROUND(84*1,0)&amp;"%"</f>
      </c>
    </row>
    <row x14ac:dyDescent="0.25" r="10" customHeight="1" ht="17.25">
      <c r="A10" s="17" t="s">
        <v>588</v>
      </c>
      <c r="B10" s="17" t="s">
        <v>38</v>
      </c>
      <c r="C10" s="17" t="s">
        <v>15</v>
      </c>
      <c r="D10" s="17" t="s">
        <v>39</v>
      </c>
      <c r="E10" s="18">
        <f>ROUND(16765*1.05,2)</f>
      </c>
      <c r="F10" s="17" t="s">
        <v>40</v>
      </c>
      <c r="G10" s="17" t="s">
        <v>24</v>
      </c>
      <c r="H10" s="18">
        <f>ROUND(RAND()*4+6,1)</f>
      </c>
      <c r="I10" s="17" t="s">
        <v>41</v>
      </c>
      <c r="J10" s="19">
        <f>ROUND(90*1,0)&amp;"%"</f>
      </c>
    </row>
    <row x14ac:dyDescent="0.25" r="11" customHeight="1" ht="17.25">
      <c r="A11" s="20" t="s">
        <v>589</v>
      </c>
      <c r="B11" s="20" t="s">
        <v>43</v>
      </c>
      <c r="C11" s="20" t="s">
        <v>15</v>
      </c>
      <c r="D11" s="20" t="s">
        <v>67</v>
      </c>
      <c r="E11" s="21">
        <f>ROUND(9009*1.05,2)</f>
      </c>
      <c r="F11" s="20" t="s">
        <v>44</v>
      </c>
      <c r="G11" s="20" t="s">
        <v>30</v>
      </c>
      <c r="H11" s="21">
        <f>ROUND(RAND()*4+6,1)</f>
      </c>
      <c r="I11" s="20" t="s">
        <v>45</v>
      </c>
      <c r="J11" s="23">
        <f>ROUND(64*1,0)&amp;"%"</f>
      </c>
    </row>
    <row x14ac:dyDescent="0.25" r="12" customHeight="1" ht="17.25">
      <c r="A12" s="17" t="s">
        <v>590</v>
      </c>
      <c r="B12" s="17" t="s">
        <v>47</v>
      </c>
      <c r="C12" s="17" t="s">
        <v>15</v>
      </c>
      <c r="D12" s="17" t="s">
        <v>16</v>
      </c>
      <c r="E12" s="18">
        <f>ROUND(12246*1.05,2)</f>
      </c>
      <c r="F12" s="17" t="s">
        <v>48</v>
      </c>
      <c r="G12" s="17" t="s">
        <v>18</v>
      </c>
      <c r="H12" s="18">
        <f>ROUND(RAND()*4+6,1)</f>
      </c>
      <c r="I12" s="17" t="s">
        <v>19</v>
      </c>
      <c r="J12" s="19">
        <f>ROUND(99*1,0)&amp;"%"</f>
      </c>
    </row>
    <row x14ac:dyDescent="0.25" r="13" customHeight="1" ht="17.25">
      <c r="A13" s="20" t="s">
        <v>591</v>
      </c>
      <c r="B13" s="20" t="s">
        <v>50</v>
      </c>
      <c r="C13" s="20" t="s">
        <v>15</v>
      </c>
      <c r="D13" s="20" t="s">
        <v>22</v>
      </c>
      <c r="E13" s="21">
        <f>ROUND(8826*1.05,2)</f>
      </c>
      <c r="F13" s="20" t="s">
        <v>51</v>
      </c>
      <c r="G13" s="20" t="s">
        <v>24</v>
      </c>
      <c r="H13" s="21">
        <f>ROUND(RAND()*4+6,1)</f>
      </c>
      <c r="I13" s="20" t="s">
        <v>25</v>
      </c>
      <c r="J13" s="23">
        <f>ROUND(74*1,0)&amp;"%"</f>
      </c>
    </row>
    <row x14ac:dyDescent="0.25" r="14" customHeight="1" ht="17.25">
      <c r="A14" s="24" t="s">
        <v>52</v>
      </c>
      <c r="B14" s="24"/>
      <c r="C14" s="24"/>
      <c r="D14" s="24"/>
      <c r="E14" s="25">
        <v>8</v>
      </c>
      <c r="F14" s="9"/>
      <c r="G14" s="9"/>
      <c r="H14" s="10"/>
      <c r="I14" s="9"/>
      <c r="J14" s="9"/>
    </row>
    <row x14ac:dyDescent="0.25" r="15" customHeight="1" ht="17.25">
      <c r="A15" s="7"/>
      <c r="B15" s="7"/>
      <c r="C15" s="7"/>
      <c r="D15" s="7"/>
      <c r="E15" s="8"/>
      <c r="F15" s="9"/>
      <c r="G15" s="9"/>
      <c r="H15" s="10"/>
      <c r="I15" s="9"/>
      <c r="J15" s="9"/>
    </row>
    <row x14ac:dyDescent="0.25" r="16" customHeight="1" ht="17.25">
      <c r="A16" s="11" t="s">
        <v>592</v>
      </c>
      <c r="B16" s="11"/>
      <c r="C16" s="11"/>
      <c r="D16" s="11"/>
      <c r="E16" s="12"/>
      <c r="F16" s="11"/>
      <c r="G16" s="11"/>
      <c r="H16" s="13"/>
      <c r="I16" s="11"/>
      <c r="J16" s="11"/>
    </row>
    <row x14ac:dyDescent="0.25" r="17" customHeight="1" ht="17.25">
      <c r="A17" s="14" t="s">
        <v>3</v>
      </c>
      <c r="B17" s="14" t="s">
        <v>4</v>
      </c>
      <c r="C17" s="14" t="s">
        <v>5</v>
      </c>
      <c r="D17" s="14" t="s">
        <v>6</v>
      </c>
      <c r="E17" s="15" t="s">
        <v>7</v>
      </c>
      <c r="F17" s="14" t="s">
        <v>8</v>
      </c>
      <c r="G17" s="14" t="s">
        <v>9</v>
      </c>
      <c r="H17" s="16" t="s">
        <v>10</v>
      </c>
      <c r="I17" s="14" t="s">
        <v>11</v>
      </c>
      <c r="J17" s="14" t="s">
        <v>12</v>
      </c>
    </row>
    <row x14ac:dyDescent="0.25" r="18" customHeight="1" ht="17.25">
      <c r="A18" s="17" t="s">
        <v>593</v>
      </c>
      <c r="B18" s="17" t="s">
        <v>55</v>
      </c>
      <c r="C18" s="17" t="s">
        <v>56</v>
      </c>
      <c r="D18" s="17" t="s">
        <v>16</v>
      </c>
      <c r="E18" s="18">
        <f>ROUND(6492*1.05,2)</f>
      </c>
      <c r="F18" s="17" t="s">
        <v>17</v>
      </c>
      <c r="G18" s="17" t="s">
        <v>18</v>
      </c>
      <c r="H18" s="18">
        <f>ROUND(RAND()*4+6,1)</f>
      </c>
      <c r="I18" s="17" t="s">
        <v>19</v>
      </c>
      <c r="J18" s="19">
        <f>ROUND(64*1,0)&amp;"%"</f>
      </c>
    </row>
    <row x14ac:dyDescent="0.25" r="19" customHeight="1" ht="17.25">
      <c r="A19" s="20" t="s">
        <v>594</v>
      </c>
      <c r="B19" s="20" t="s">
        <v>58</v>
      </c>
      <c r="C19" s="20" t="s">
        <v>56</v>
      </c>
      <c r="D19" s="20" t="s">
        <v>22</v>
      </c>
      <c r="E19" s="21">
        <f>ROUND(12391*1.05,2)</f>
      </c>
      <c r="F19" s="20" t="s">
        <v>23</v>
      </c>
      <c r="G19" s="20" t="s">
        <v>24</v>
      </c>
      <c r="H19" s="21">
        <f>ROUND(RAND()*4+6,1)</f>
      </c>
      <c r="I19" s="20" t="s">
        <v>25</v>
      </c>
      <c r="J19" s="23">
        <f>ROUND(86*1,0)&amp;"%"</f>
      </c>
    </row>
    <row x14ac:dyDescent="0.25" r="20" customHeight="1" ht="17.25">
      <c r="A20" s="17" t="s">
        <v>595</v>
      </c>
      <c r="B20" s="17" t="s">
        <v>60</v>
      </c>
      <c r="C20" s="17" t="s">
        <v>56</v>
      </c>
      <c r="D20" s="17" t="s">
        <v>28</v>
      </c>
      <c r="E20" s="18">
        <f>ROUND(12708*1.05,2)</f>
      </c>
      <c r="F20" s="17" t="s">
        <v>29</v>
      </c>
      <c r="G20" s="17" t="s">
        <v>30</v>
      </c>
      <c r="H20" s="18">
        <f>ROUND(RAND()*4+6,1)</f>
      </c>
      <c r="I20" s="17" t="s">
        <v>31</v>
      </c>
      <c r="J20" s="19">
        <f>ROUND(69*1,0)&amp;"%"</f>
      </c>
    </row>
    <row x14ac:dyDescent="0.25" r="21" customHeight="1" ht="17.25">
      <c r="A21" s="20" t="s">
        <v>596</v>
      </c>
      <c r="B21" s="20" t="s">
        <v>62</v>
      </c>
      <c r="C21" s="20" t="s">
        <v>56</v>
      </c>
      <c r="D21" s="20" t="s">
        <v>34</v>
      </c>
      <c r="E21" s="21">
        <f>ROUND(10407*1.05,2)</f>
      </c>
      <c r="F21" s="20" t="s">
        <v>35</v>
      </c>
      <c r="G21" s="20" t="s">
        <v>18</v>
      </c>
      <c r="H21" s="21">
        <f>ROUND(RAND()*4+6,1)</f>
      </c>
      <c r="I21" s="20" t="s">
        <v>36</v>
      </c>
      <c r="J21" s="23">
        <f>ROUND(62*1,0)&amp;"%"</f>
      </c>
    </row>
    <row x14ac:dyDescent="0.25" r="22" customHeight="1" ht="17.25">
      <c r="A22" s="17" t="s">
        <v>597</v>
      </c>
      <c r="B22" s="17" t="s">
        <v>64</v>
      </c>
      <c r="C22" s="17" t="s">
        <v>56</v>
      </c>
      <c r="D22" s="17" t="s">
        <v>39</v>
      </c>
      <c r="E22" s="18">
        <f>ROUND(8044*1.05,2)</f>
      </c>
      <c r="F22" s="17" t="s">
        <v>40</v>
      </c>
      <c r="G22" s="17" t="s">
        <v>24</v>
      </c>
      <c r="H22" s="18">
        <f>ROUND(RAND()*4+6,1)</f>
      </c>
      <c r="I22" s="17" t="s">
        <v>41</v>
      </c>
      <c r="J22" s="19">
        <f>ROUND(91*1,0)&amp;"%"</f>
      </c>
    </row>
    <row x14ac:dyDescent="0.25" r="23" customHeight="1" ht="17.25">
      <c r="A23" s="20" t="s">
        <v>598</v>
      </c>
      <c r="B23" s="20" t="s">
        <v>66</v>
      </c>
      <c r="C23" s="20" t="s">
        <v>56</v>
      </c>
      <c r="D23" s="20" t="s">
        <v>67</v>
      </c>
      <c r="E23" s="21">
        <f>ROUND(7979*1.05,2)</f>
      </c>
      <c r="F23" s="20" t="s">
        <v>44</v>
      </c>
      <c r="G23" s="20" t="s">
        <v>30</v>
      </c>
      <c r="H23" s="21">
        <f>ROUND(RAND()*4+6,1)</f>
      </c>
      <c r="I23" s="20" t="s">
        <v>45</v>
      </c>
      <c r="J23" s="23">
        <f>ROUND(77*1,0)&amp;"%"</f>
      </c>
    </row>
    <row x14ac:dyDescent="0.25" r="24" customHeight="1" ht="17.25">
      <c r="A24" s="17" t="s">
        <v>599</v>
      </c>
      <c r="B24" s="17" t="s">
        <v>69</v>
      </c>
      <c r="C24" s="17" t="s">
        <v>56</v>
      </c>
      <c r="D24" s="17" t="s">
        <v>16</v>
      </c>
      <c r="E24" s="18">
        <f>ROUND(4018*1.05,2)</f>
      </c>
      <c r="F24" s="17" t="s">
        <v>48</v>
      </c>
      <c r="G24" s="17" t="s">
        <v>18</v>
      </c>
      <c r="H24" s="18">
        <f>ROUND(RAND()*4+6,1)</f>
      </c>
      <c r="I24" s="17" t="s">
        <v>19</v>
      </c>
      <c r="J24" s="19">
        <f>ROUND(67*1,0)&amp;"%"</f>
      </c>
    </row>
    <row x14ac:dyDescent="0.25" r="25" customHeight="1" ht="17.25">
      <c r="A25" s="20" t="s">
        <v>600</v>
      </c>
      <c r="B25" s="20" t="s">
        <v>71</v>
      </c>
      <c r="C25" s="20" t="s">
        <v>56</v>
      </c>
      <c r="D25" s="20" t="s">
        <v>22</v>
      </c>
      <c r="E25" s="21">
        <f>ROUND(4951*1.05,2)</f>
      </c>
      <c r="F25" s="20" t="s">
        <v>51</v>
      </c>
      <c r="G25" s="20" t="s">
        <v>24</v>
      </c>
      <c r="H25" s="21">
        <f>ROUND(RAND()*4+6,1)</f>
      </c>
      <c r="I25" s="20" t="s">
        <v>25</v>
      </c>
      <c r="J25" s="23">
        <f>ROUND(75*1,0)&amp;"%"</f>
      </c>
    </row>
    <row x14ac:dyDescent="0.25" r="26" customHeight="1" ht="17.25">
      <c r="A26" s="24" t="s">
        <v>72</v>
      </c>
      <c r="B26" s="24"/>
      <c r="C26" s="24"/>
      <c r="D26" s="24"/>
      <c r="E26" s="25">
        <v>8</v>
      </c>
      <c r="F26" s="9"/>
      <c r="G26" s="9"/>
      <c r="H26" s="10"/>
      <c r="I26" s="9"/>
      <c r="J26" s="9"/>
    </row>
    <row x14ac:dyDescent="0.25" r="27" customHeight="1" ht="17.25">
      <c r="A27" s="7"/>
      <c r="B27" s="7"/>
      <c r="C27" s="7"/>
      <c r="D27" s="7"/>
      <c r="E27" s="8"/>
      <c r="F27" s="9"/>
      <c r="G27" s="9"/>
      <c r="H27" s="10"/>
      <c r="I27" s="9"/>
      <c r="J27" s="9"/>
    </row>
    <row x14ac:dyDescent="0.25" r="28" customHeight="1" ht="17.25">
      <c r="A28" s="11" t="s">
        <v>601</v>
      </c>
      <c r="B28" s="11"/>
      <c r="C28" s="11"/>
      <c r="D28" s="11"/>
      <c r="E28" s="12"/>
      <c r="F28" s="11"/>
      <c r="G28" s="11"/>
      <c r="H28" s="13"/>
      <c r="I28" s="11"/>
      <c r="J28" s="11"/>
    </row>
    <row x14ac:dyDescent="0.25" r="29" customHeight="1" ht="17.25">
      <c r="A29" s="14" t="s">
        <v>3</v>
      </c>
      <c r="B29" s="14" t="s">
        <v>4</v>
      </c>
      <c r="C29" s="14" t="s">
        <v>5</v>
      </c>
      <c r="D29" s="14" t="s">
        <v>6</v>
      </c>
      <c r="E29" s="15" t="s">
        <v>7</v>
      </c>
      <c r="F29" s="14" t="s">
        <v>8</v>
      </c>
      <c r="G29" s="14" t="s">
        <v>9</v>
      </c>
      <c r="H29" s="16" t="s">
        <v>10</v>
      </c>
      <c r="I29" s="14" t="s">
        <v>11</v>
      </c>
      <c r="J29" s="14" t="s">
        <v>12</v>
      </c>
    </row>
    <row x14ac:dyDescent="0.25" r="30" customHeight="1" ht="17.25">
      <c r="A30" s="17" t="s">
        <v>602</v>
      </c>
      <c r="B30" s="17" t="s">
        <v>75</v>
      </c>
      <c r="C30" s="17" t="s">
        <v>76</v>
      </c>
      <c r="D30" s="17" t="s">
        <v>16</v>
      </c>
      <c r="E30" s="18">
        <f>ROUND(4437*1.05,2)</f>
      </c>
      <c r="F30" s="17" t="s">
        <v>17</v>
      </c>
      <c r="G30" s="17" t="s">
        <v>18</v>
      </c>
      <c r="H30" s="18">
        <f>ROUND(RAND()*4+6,1)</f>
      </c>
      <c r="I30" s="17" t="s">
        <v>19</v>
      </c>
      <c r="J30" s="19">
        <f>ROUND(87*1,0)&amp;"%"</f>
      </c>
    </row>
    <row x14ac:dyDescent="0.25" r="31" customHeight="1" ht="17.25">
      <c r="A31" s="20" t="s">
        <v>603</v>
      </c>
      <c r="B31" s="20" t="s">
        <v>78</v>
      </c>
      <c r="C31" s="20" t="s">
        <v>76</v>
      </c>
      <c r="D31" s="20" t="s">
        <v>22</v>
      </c>
      <c r="E31" s="22">
        <f>ROUND(14940*1.05,2)</f>
      </c>
      <c r="F31" s="20" t="s">
        <v>23</v>
      </c>
      <c r="G31" s="20" t="s">
        <v>24</v>
      </c>
      <c r="H31" s="21">
        <f>ROUND(RAND()*4+6,1)</f>
      </c>
      <c r="I31" s="20" t="s">
        <v>25</v>
      </c>
      <c r="J31" s="23">
        <f>ROUND(67*1,0)&amp;"%"</f>
      </c>
    </row>
    <row x14ac:dyDescent="0.25" r="32" customHeight="1" ht="17.25">
      <c r="A32" s="17" t="s">
        <v>604</v>
      </c>
      <c r="B32" s="17" t="s">
        <v>80</v>
      </c>
      <c r="C32" s="17" t="s">
        <v>76</v>
      </c>
      <c r="D32" s="17" t="s">
        <v>28</v>
      </c>
      <c r="E32" s="18">
        <f>ROUND(5073*1.05,2)</f>
      </c>
      <c r="F32" s="17" t="s">
        <v>29</v>
      </c>
      <c r="G32" s="17" t="s">
        <v>30</v>
      </c>
      <c r="H32" s="26">
        <f>ROUND(RAND()*4+6,1)</f>
      </c>
      <c r="I32" s="17" t="s">
        <v>31</v>
      </c>
      <c r="J32" s="19">
        <f>ROUND(72*1,0)&amp;"%"</f>
      </c>
    </row>
    <row x14ac:dyDescent="0.25" r="33" customHeight="1" ht="17.25">
      <c r="A33" s="20" t="s">
        <v>605</v>
      </c>
      <c r="B33" s="20" t="s">
        <v>82</v>
      </c>
      <c r="C33" s="20" t="s">
        <v>76</v>
      </c>
      <c r="D33" s="20" t="s">
        <v>34</v>
      </c>
      <c r="E33" s="21">
        <f>ROUND(7967*1.05,2)</f>
      </c>
      <c r="F33" s="20" t="s">
        <v>35</v>
      </c>
      <c r="G33" s="20" t="s">
        <v>18</v>
      </c>
      <c r="H33" s="22">
        <f>ROUND(RAND()*4+6,1)</f>
      </c>
      <c r="I33" s="20" t="s">
        <v>36</v>
      </c>
      <c r="J33" s="23">
        <f>ROUND(87*1,0)&amp;"%"</f>
      </c>
    </row>
    <row x14ac:dyDescent="0.25" r="34" customHeight="1" ht="17.25">
      <c r="A34" s="17" t="s">
        <v>606</v>
      </c>
      <c r="B34" s="17" t="s">
        <v>84</v>
      </c>
      <c r="C34" s="17" t="s">
        <v>76</v>
      </c>
      <c r="D34" s="17" t="s">
        <v>39</v>
      </c>
      <c r="E34" s="18">
        <f>ROUND(9810*1.05,2)</f>
      </c>
      <c r="F34" s="17" t="s">
        <v>40</v>
      </c>
      <c r="G34" s="17" t="s">
        <v>24</v>
      </c>
      <c r="H34" s="18">
        <f>ROUND(RAND()*4+6,1)</f>
      </c>
      <c r="I34" s="17" t="s">
        <v>41</v>
      </c>
      <c r="J34" s="19">
        <f>ROUND(91*1,0)&amp;"%"</f>
      </c>
    </row>
    <row x14ac:dyDescent="0.25" r="35" customHeight="1" ht="17.25">
      <c r="A35" s="20" t="s">
        <v>607</v>
      </c>
      <c r="B35" s="20" t="s">
        <v>86</v>
      </c>
      <c r="C35" s="20" t="s">
        <v>76</v>
      </c>
      <c r="D35" s="20" t="s">
        <v>67</v>
      </c>
      <c r="E35" s="22">
        <f>ROUND(4080*1.05,2)</f>
      </c>
      <c r="F35" s="20" t="s">
        <v>44</v>
      </c>
      <c r="G35" s="20" t="s">
        <v>30</v>
      </c>
      <c r="H35" s="21">
        <f>ROUND(RAND()*4+6,1)</f>
      </c>
      <c r="I35" s="20" t="s">
        <v>45</v>
      </c>
      <c r="J35" s="23">
        <f>ROUND(61*1,0)&amp;"%"</f>
      </c>
    </row>
    <row x14ac:dyDescent="0.25" r="36" customHeight="1" ht="17.25">
      <c r="A36" s="17" t="s">
        <v>608</v>
      </c>
      <c r="B36" s="17" t="s">
        <v>88</v>
      </c>
      <c r="C36" s="17" t="s">
        <v>76</v>
      </c>
      <c r="D36" s="17" t="s">
        <v>16</v>
      </c>
      <c r="E36" s="18">
        <f>ROUND(14808*1.05,2)</f>
      </c>
      <c r="F36" s="17" t="s">
        <v>48</v>
      </c>
      <c r="G36" s="17" t="s">
        <v>18</v>
      </c>
      <c r="H36" s="18">
        <f>ROUND(RAND()*4+6,1)</f>
      </c>
      <c r="I36" s="17" t="s">
        <v>19</v>
      </c>
      <c r="J36" s="19">
        <f>ROUND(87*1,0)&amp;"%"</f>
      </c>
    </row>
    <row x14ac:dyDescent="0.25" r="37" customHeight="1" ht="17.25">
      <c r="A37" s="20" t="s">
        <v>609</v>
      </c>
      <c r="B37" s="20" t="s">
        <v>90</v>
      </c>
      <c r="C37" s="20" t="s">
        <v>76</v>
      </c>
      <c r="D37" s="20" t="s">
        <v>22</v>
      </c>
      <c r="E37" s="21">
        <f>ROUND(16192*1.05,2)</f>
      </c>
      <c r="F37" s="20" t="s">
        <v>51</v>
      </c>
      <c r="G37" s="20" t="s">
        <v>24</v>
      </c>
      <c r="H37" s="21">
        <f>ROUND(RAND()*4+6,1)</f>
      </c>
      <c r="I37" s="20" t="s">
        <v>25</v>
      </c>
      <c r="J37" s="23">
        <f>ROUND(93*1,0)&amp;"%"</f>
      </c>
    </row>
    <row x14ac:dyDescent="0.25" r="38" customHeight="1" ht="17.25">
      <c r="A38" s="24" t="s">
        <v>91</v>
      </c>
      <c r="B38" s="24"/>
      <c r="C38" s="24"/>
      <c r="D38" s="24"/>
      <c r="E38" s="25">
        <v>8</v>
      </c>
      <c r="F38" s="9"/>
      <c r="G38" s="9"/>
      <c r="H38" s="10"/>
      <c r="I38" s="9"/>
      <c r="J38" s="9"/>
    </row>
    <row x14ac:dyDescent="0.25" r="39" customHeight="1" ht="17.25">
      <c r="A39" s="7"/>
      <c r="B39" s="7"/>
      <c r="C39" s="7"/>
      <c r="D39" s="7"/>
      <c r="E39" s="8"/>
      <c r="F39" s="9"/>
      <c r="G39" s="9"/>
      <c r="H39" s="10"/>
      <c r="I39" s="9"/>
      <c r="J39" s="9"/>
    </row>
    <row x14ac:dyDescent="0.25" r="40" customHeight="1" ht="17.25">
      <c r="A40" s="11" t="s">
        <v>610</v>
      </c>
      <c r="B40" s="11"/>
      <c r="C40" s="11"/>
      <c r="D40" s="11"/>
      <c r="E40" s="12"/>
      <c r="F40" s="11"/>
      <c r="G40" s="11"/>
      <c r="H40" s="13"/>
      <c r="I40" s="11"/>
      <c r="J40" s="11"/>
    </row>
    <row x14ac:dyDescent="0.25" r="41" customHeight="1" ht="17.25">
      <c r="A41" s="14" t="s">
        <v>3</v>
      </c>
      <c r="B41" s="14" t="s">
        <v>4</v>
      </c>
      <c r="C41" s="14" t="s">
        <v>5</v>
      </c>
      <c r="D41" s="14" t="s">
        <v>6</v>
      </c>
      <c r="E41" s="15" t="s">
        <v>7</v>
      </c>
      <c r="F41" s="14" t="s">
        <v>8</v>
      </c>
      <c r="G41" s="14" t="s">
        <v>9</v>
      </c>
      <c r="H41" s="16" t="s">
        <v>10</v>
      </c>
      <c r="I41" s="14" t="s">
        <v>11</v>
      </c>
      <c r="J41" s="14" t="s">
        <v>12</v>
      </c>
    </row>
    <row x14ac:dyDescent="0.25" r="42" customHeight="1" ht="17.25">
      <c r="A42" s="17" t="s">
        <v>611</v>
      </c>
      <c r="B42" s="17" t="s">
        <v>94</v>
      </c>
      <c r="C42" s="17" t="s">
        <v>95</v>
      </c>
      <c r="D42" s="17" t="s">
        <v>16</v>
      </c>
      <c r="E42" s="18">
        <f>ROUND(14001*1.05,2)</f>
      </c>
      <c r="F42" s="17" t="s">
        <v>17</v>
      </c>
      <c r="G42" s="17" t="s">
        <v>18</v>
      </c>
      <c r="H42" s="18">
        <f>ROUND(RAND()*4+6,1)</f>
      </c>
      <c r="I42" s="17" t="s">
        <v>19</v>
      </c>
      <c r="J42" s="19">
        <f>ROUND(79*1,0)&amp;"%"</f>
      </c>
    </row>
    <row x14ac:dyDescent="0.25" r="43" customHeight="1" ht="17.25">
      <c r="A43" s="20" t="s">
        <v>612</v>
      </c>
      <c r="B43" s="20" t="s">
        <v>97</v>
      </c>
      <c r="C43" s="20" t="s">
        <v>95</v>
      </c>
      <c r="D43" s="20" t="s">
        <v>22</v>
      </c>
      <c r="E43" s="21">
        <f>ROUND(10721*1.05,2)</f>
      </c>
      <c r="F43" s="20" t="s">
        <v>23</v>
      </c>
      <c r="G43" s="20" t="s">
        <v>24</v>
      </c>
      <c r="H43" s="21">
        <f>ROUND(RAND()*4+6,1)</f>
      </c>
      <c r="I43" s="20" t="s">
        <v>25</v>
      </c>
      <c r="J43" s="23">
        <f>ROUND(72*1,0)&amp;"%"</f>
      </c>
    </row>
    <row x14ac:dyDescent="0.25" r="44" customHeight="1" ht="17.25">
      <c r="A44" s="17" t="s">
        <v>613</v>
      </c>
      <c r="B44" s="17" t="s">
        <v>99</v>
      </c>
      <c r="C44" s="17" t="s">
        <v>95</v>
      </c>
      <c r="D44" s="17" t="s">
        <v>28</v>
      </c>
      <c r="E44" s="18">
        <f>ROUND(16279*1.05,2)</f>
      </c>
      <c r="F44" s="17" t="s">
        <v>29</v>
      </c>
      <c r="G44" s="17" t="s">
        <v>30</v>
      </c>
      <c r="H44" s="26">
        <f>ROUND(RAND()*4+6,1)</f>
      </c>
      <c r="I44" s="17" t="s">
        <v>31</v>
      </c>
      <c r="J44" s="19">
        <f>ROUND(96*1,0)&amp;"%"</f>
      </c>
    </row>
    <row x14ac:dyDescent="0.25" r="45" customHeight="1" ht="17.25">
      <c r="A45" s="20" t="s">
        <v>614</v>
      </c>
      <c r="B45" s="20" t="s">
        <v>101</v>
      </c>
      <c r="C45" s="20" t="s">
        <v>95</v>
      </c>
      <c r="D45" s="20" t="s">
        <v>34</v>
      </c>
      <c r="E45" s="21">
        <f>ROUND(12158*1.05,2)</f>
      </c>
      <c r="F45" s="20" t="s">
        <v>35</v>
      </c>
      <c r="G45" s="20" t="s">
        <v>18</v>
      </c>
      <c r="H45" s="21">
        <f>ROUND(RAND()*4+6,1)</f>
      </c>
      <c r="I45" s="20" t="s">
        <v>36</v>
      </c>
      <c r="J45" s="23">
        <f>ROUND(69*1,0)&amp;"%"</f>
      </c>
    </row>
    <row x14ac:dyDescent="0.25" r="46" customHeight="1" ht="17.25">
      <c r="A46" s="17" t="s">
        <v>615</v>
      </c>
      <c r="B46" s="17" t="s">
        <v>103</v>
      </c>
      <c r="C46" s="17" t="s">
        <v>95</v>
      </c>
      <c r="D46" s="17" t="s">
        <v>39</v>
      </c>
      <c r="E46" s="18">
        <f>ROUND(11326*1.05,2)</f>
      </c>
      <c r="F46" s="17" t="s">
        <v>40</v>
      </c>
      <c r="G46" s="17" t="s">
        <v>24</v>
      </c>
      <c r="H46" s="18">
        <f>ROUND(RAND()*4+6,1)</f>
      </c>
      <c r="I46" s="17" t="s">
        <v>41</v>
      </c>
      <c r="J46" s="19">
        <f>ROUND(67*1,0)&amp;"%"</f>
      </c>
    </row>
    <row x14ac:dyDescent="0.25" r="47" customHeight="1" ht="17.25">
      <c r="A47" s="20" t="s">
        <v>616</v>
      </c>
      <c r="B47" s="20" t="s">
        <v>105</v>
      </c>
      <c r="C47" s="20" t="s">
        <v>95</v>
      </c>
      <c r="D47" s="20" t="s">
        <v>67</v>
      </c>
      <c r="E47" s="21">
        <f>ROUND(6401*1.05,2)</f>
      </c>
      <c r="F47" s="20" t="s">
        <v>44</v>
      </c>
      <c r="G47" s="20" t="s">
        <v>30</v>
      </c>
      <c r="H47" s="21">
        <f>ROUND(RAND()*4+6,1)</f>
      </c>
      <c r="I47" s="20" t="s">
        <v>45</v>
      </c>
      <c r="J47" s="23">
        <f>ROUND(97*1,0)&amp;"%"</f>
      </c>
    </row>
    <row x14ac:dyDescent="0.25" r="48" customHeight="1" ht="17.25">
      <c r="A48" s="17" t="s">
        <v>617</v>
      </c>
      <c r="B48" s="17" t="s">
        <v>107</v>
      </c>
      <c r="C48" s="17" t="s">
        <v>95</v>
      </c>
      <c r="D48" s="17" t="s">
        <v>16</v>
      </c>
      <c r="E48" s="18">
        <f>ROUND(17964*1.05,2)</f>
      </c>
      <c r="F48" s="17" t="s">
        <v>48</v>
      </c>
      <c r="G48" s="17" t="s">
        <v>18</v>
      </c>
      <c r="H48" s="26">
        <f>ROUND(RAND()*4+6,1)</f>
      </c>
      <c r="I48" s="17" t="s">
        <v>19</v>
      </c>
      <c r="J48" s="19">
        <f>ROUND(75*1,0)&amp;"%"</f>
      </c>
    </row>
    <row x14ac:dyDescent="0.25" r="49" customHeight="1" ht="17.25">
      <c r="A49" s="20" t="s">
        <v>618</v>
      </c>
      <c r="B49" s="20" t="s">
        <v>109</v>
      </c>
      <c r="C49" s="20" t="s">
        <v>95</v>
      </c>
      <c r="D49" s="20" t="s">
        <v>22</v>
      </c>
      <c r="E49" s="21">
        <f>ROUND(7730*1.05,2)</f>
      </c>
      <c r="F49" s="20" t="s">
        <v>51</v>
      </c>
      <c r="G49" s="20" t="s">
        <v>24</v>
      </c>
      <c r="H49" s="21">
        <f>ROUND(RAND()*4+6,1)</f>
      </c>
      <c r="I49" s="20" t="s">
        <v>25</v>
      </c>
      <c r="J49" s="23">
        <f>ROUND(68*1,0)&amp;"%"</f>
      </c>
    </row>
    <row x14ac:dyDescent="0.25" r="50" customHeight="1" ht="17.25">
      <c r="A50" s="24" t="s">
        <v>110</v>
      </c>
      <c r="B50" s="24"/>
      <c r="C50" s="24"/>
      <c r="D50" s="24"/>
      <c r="E50" s="25">
        <v>8</v>
      </c>
      <c r="F50" s="9"/>
      <c r="G50" s="9"/>
      <c r="H50" s="10"/>
      <c r="I50" s="9"/>
      <c r="J50" s="9"/>
    </row>
    <row x14ac:dyDescent="0.25" r="51" customHeight="1" ht="17.25">
      <c r="A51" s="7"/>
      <c r="B51" s="7"/>
      <c r="C51" s="7"/>
      <c r="D51" s="7"/>
      <c r="E51" s="8"/>
      <c r="F51" s="9"/>
      <c r="G51" s="9"/>
      <c r="H51" s="10"/>
      <c r="I51" s="9"/>
      <c r="J51" s="9"/>
    </row>
    <row x14ac:dyDescent="0.25" r="52" customHeight="1" ht="17.25">
      <c r="A52" s="11" t="s">
        <v>619</v>
      </c>
      <c r="B52" s="11"/>
      <c r="C52" s="11"/>
      <c r="D52" s="11"/>
      <c r="E52" s="12"/>
      <c r="F52" s="11"/>
      <c r="G52" s="11"/>
      <c r="H52" s="13"/>
      <c r="I52" s="11"/>
      <c r="J52" s="11"/>
    </row>
    <row x14ac:dyDescent="0.25" r="53" customHeight="1" ht="17.25">
      <c r="A53" s="14" t="s">
        <v>3</v>
      </c>
      <c r="B53" s="14" t="s">
        <v>4</v>
      </c>
      <c r="C53" s="14" t="s">
        <v>5</v>
      </c>
      <c r="D53" s="14" t="s">
        <v>6</v>
      </c>
      <c r="E53" s="15" t="s">
        <v>7</v>
      </c>
      <c r="F53" s="14" t="s">
        <v>8</v>
      </c>
      <c r="G53" s="14" t="s">
        <v>9</v>
      </c>
      <c r="H53" s="16" t="s">
        <v>10</v>
      </c>
      <c r="I53" s="14" t="s">
        <v>11</v>
      </c>
      <c r="J53" s="14" t="s">
        <v>12</v>
      </c>
    </row>
    <row x14ac:dyDescent="0.25" r="54" customHeight="1" ht="17.25">
      <c r="A54" s="17" t="s">
        <v>620</v>
      </c>
      <c r="B54" s="17" t="s">
        <v>113</v>
      </c>
      <c r="C54" s="17" t="s">
        <v>114</v>
      </c>
      <c r="D54" s="17" t="s">
        <v>16</v>
      </c>
      <c r="E54" s="18">
        <f>ROUND(6208*1.05,2)</f>
      </c>
      <c r="F54" s="17" t="s">
        <v>17</v>
      </c>
      <c r="G54" s="17" t="s">
        <v>18</v>
      </c>
      <c r="H54" s="18">
        <f>ROUND(RAND()*4+6,1)</f>
      </c>
      <c r="I54" s="17" t="s">
        <v>19</v>
      </c>
      <c r="J54" s="19">
        <f>ROUND(97*1,0)&amp;"%"</f>
      </c>
    </row>
    <row x14ac:dyDescent="0.25" r="55" customHeight="1" ht="17.25">
      <c r="A55" s="20" t="s">
        <v>621</v>
      </c>
      <c r="B55" s="20" t="s">
        <v>116</v>
      </c>
      <c r="C55" s="20" t="s">
        <v>114</v>
      </c>
      <c r="D55" s="20" t="s">
        <v>22</v>
      </c>
      <c r="E55" s="21">
        <f>ROUND(13777*1.05,2)</f>
      </c>
      <c r="F55" s="20" t="s">
        <v>23</v>
      </c>
      <c r="G55" s="20" t="s">
        <v>24</v>
      </c>
      <c r="H55" s="21">
        <f>ROUND(RAND()*4+6,1)</f>
      </c>
      <c r="I55" s="20" t="s">
        <v>25</v>
      </c>
      <c r="J55" s="23">
        <f>ROUND(81*1,0)&amp;"%"</f>
      </c>
    </row>
    <row x14ac:dyDescent="0.25" r="56" customHeight="1" ht="17.25">
      <c r="A56" s="17" t="s">
        <v>622</v>
      </c>
      <c r="B56" s="17" t="s">
        <v>118</v>
      </c>
      <c r="C56" s="17" t="s">
        <v>114</v>
      </c>
      <c r="D56" s="17" t="s">
        <v>28</v>
      </c>
      <c r="E56" s="18">
        <f>ROUND(11577*1.05,2)</f>
      </c>
      <c r="F56" s="17" t="s">
        <v>29</v>
      </c>
      <c r="G56" s="17" t="s">
        <v>30</v>
      </c>
      <c r="H56" s="18">
        <f>ROUND(RAND()*4+6,1)</f>
      </c>
      <c r="I56" s="17" t="s">
        <v>31</v>
      </c>
      <c r="J56" s="19">
        <f>ROUND(78*1,0)&amp;"%"</f>
      </c>
    </row>
    <row x14ac:dyDescent="0.25" r="57" customHeight="1" ht="17.25">
      <c r="A57" s="20" t="s">
        <v>623</v>
      </c>
      <c r="B57" s="20" t="s">
        <v>120</v>
      </c>
      <c r="C57" s="20" t="s">
        <v>114</v>
      </c>
      <c r="D57" s="20" t="s">
        <v>34</v>
      </c>
      <c r="E57" s="21">
        <f>ROUND(10457*1.05,2)</f>
      </c>
      <c r="F57" s="20" t="s">
        <v>35</v>
      </c>
      <c r="G57" s="20" t="s">
        <v>18</v>
      </c>
      <c r="H57" s="21">
        <f>ROUND(RAND()*4+6,1)</f>
      </c>
      <c r="I57" s="20" t="s">
        <v>36</v>
      </c>
      <c r="J57" s="23">
        <f>ROUND(84*1,0)&amp;"%"</f>
      </c>
    </row>
    <row x14ac:dyDescent="0.25" r="58" customHeight="1" ht="17.25">
      <c r="A58" s="17" t="s">
        <v>624</v>
      </c>
      <c r="B58" s="17" t="s">
        <v>122</v>
      </c>
      <c r="C58" s="17" t="s">
        <v>114</v>
      </c>
      <c r="D58" s="17" t="s">
        <v>39</v>
      </c>
      <c r="E58" s="18">
        <f>ROUND(11987*1.05,2)</f>
      </c>
      <c r="F58" s="17" t="s">
        <v>40</v>
      </c>
      <c r="G58" s="17" t="s">
        <v>24</v>
      </c>
      <c r="H58" s="26">
        <f>ROUND(RAND()*4+6,1)</f>
      </c>
      <c r="I58" s="17" t="s">
        <v>41</v>
      </c>
      <c r="J58" s="19">
        <f>ROUND(94*1,0)&amp;"%"</f>
      </c>
    </row>
    <row x14ac:dyDescent="0.25" r="59" customHeight="1" ht="17.25">
      <c r="A59" s="20" t="s">
        <v>625</v>
      </c>
      <c r="B59" s="20" t="s">
        <v>124</v>
      </c>
      <c r="C59" s="20" t="s">
        <v>114</v>
      </c>
      <c r="D59" s="20" t="s">
        <v>67</v>
      </c>
      <c r="E59" s="21">
        <f>ROUND(13927*1.05,2)</f>
      </c>
      <c r="F59" s="20" t="s">
        <v>44</v>
      </c>
      <c r="G59" s="20" t="s">
        <v>30</v>
      </c>
      <c r="H59" s="21">
        <f>ROUND(RAND()*4+6,1)</f>
      </c>
      <c r="I59" s="20" t="s">
        <v>45</v>
      </c>
      <c r="J59" s="23">
        <f>ROUND(83*1,0)&amp;"%"</f>
      </c>
    </row>
    <row x14ac:dyDescent="0.25" r="60" customHeight="1" ht="17.25">
      <c r="A60" s="17" t="s">
        <v>626</v>
      </c>
      <c r="B60" s="17" t="s">
        <v>126</v>
      </c>
      <c r="C60" s="17" t="s">
        <v>114</v>
      </c>
      <c r="D60" s="17" t="s">
        <v>16</v>
      </c>
      <c r="E60" s="18">
        <f>ROUND(12645*1.05,2)</f>
      </c>
      <c r="F60" s="17" t="s">
        <v>48</v>
      </c>
      <c r="G60" s="17" t="s">
        <v>18</v>
      </c>
      <c r="H60" s="18">
        <f>ROUND(RAND()*4+6,1)</f>
      </c>
      <c r="I60" s="17" t="s">
        <v>19</v>
      </c>
      <c r="J60" s="19">
        <f>ROUND(60*1,0)&amp;"%"</f>
      </c>
    </row>
    <row x14ac:dyDescent="0.25" r="61" customHeight="1" ht="17.25">
      <c r="A61" s="20" t="s">
        <v>627</v>
      </c>
      <c r="B61" s="20" t="s">
        <v>128</v>
      </c>
      <c r="C61" s="20" t="s">
        <v>114</v>
      </c>
      <c r="D61" s="20" t="s">
        <v>22</v>
      </c>
      <c r="E61" s="21">
        <f>ROUND(7171*1.05,2)</f>
      </c>
      <c r="F61" s="20" t="s">
        <v>51</v>
      </c>
      <c r="G61" s="20" t="s">
        <v>24</v>
      </c>
      <c r="H61" s="21">
        <f>ROUND(RAND()*4+6,1)</f>
      </c>
      <c r="I61" s="20" t="s">
        <v>25</v>
      </c>
      <c r="J61" s="23">
        <f>ROUND(78*1,0)&amp;"%"</f>
      </c>
    </row>
    <row x14ac:dyDescent="0.25" r="62" customHeight="1" ht="17.25">
      <c r="A62" s="24" t="s">
        <v>129</v>
      </c>
      <c r="B62" s="24"/>
      <c r="C62" s="24"/>
      <c r="D62" s="24"/>
      <c r="E62" s="25">
        <v>8</v>
      </c>
      <c r="F62" s="9"/>
      <c r="G62" s="9"/>
      <c r="H62" s="10"/>
      <c r="I62" s="9"/>
      <c r="J62" s="9"/>
    </row>
    <row x14ac:dyDescent="0.25" r="63" customHeight="1" ht="17.25">
      <c r="A63" s="7"/>
      <c r="B63" s="7"/>
      <c r="C63" s="7"/>
      <c r="D63" s="7"/>
      <c r="E63" s="8"/>
      <c r="F63" s="9"/>
      <c r="G63" s="9"/>
      <c r="H63" s="10"/>
      <c r="I63" s="9"/>
      <c r="J63" s="9"/>
    </row>
    <row x14ac:dyDescent="0.25" r="64" customHeight="1" ht="17.25">
      <c r="A64" s="11" t="s">
        <v>628</v>
      </c>
      <c r="B64" s="11"/>
      <c r="C64" s="11"/>
      <c r="D64" s="11"/>
      <c r="E64" s="12"/>
      <c r="F64" s="11"/>
      <c r="G64" s="11"/>
      <c r="H64" s="13"/>
      <c r="I64" s="11"/>
      <c r="J64" s="11"/>
    </row>
    <row x14ac:dyDescent="0.25" r="65" customHeight="1" ht="17.25">
      <c r="A65" s="14" t="s">
        <v>3</v>
      </c>
      <c r="B65" s="14" t="s">
        <v>4</v>
      </c>
      <c r="C65" s="14" t="s">
        <v>5</v>
      </c>
      <c r="D65" s="14" t="s">
        <v>6</v>
      </c>
      <c r="E65" s="15" t="s">
        <v>7</v>
      </c>
      <c r="F65" s="14" t="s">
        <v>8</v>
      </c>
      <c r="G65" s="14" t="s">
        <v>9</v>
      </c>
      <c r="H65" s="16" t="s">
        <v>10</v>
      </c>
      <c r="I65" s="14" t="s">
        <v>11</v>
      </c>
      <c r="J65" s="14" t="s">
        <v>12</v>
      </c>
    </row>
    <row x14ac:dyDescent="0.25" r="66" customHeight="1" ht="17.25">
      <c r="A66" s="17" t="s">
        <v>629</v>
      </c>
      <c r="B66" s="17" t="s">
        <v>132</v>
      </c>
      <c r="C66" s="17" t="s">
        <v>133</v>
      </c>
      <c r="D66" s="17" t="s">
        <v>16</v>
      </c>
      <c r="E66" s="18">
        <f>ROUND(16796*1.05,2)</f>
      </c>
      <c r="F66" s="17" t="s">
        <v>17</v>
      </c>
      <c r="G66" s="17" t="s">
        <v>18</v>
      </c>
      <c r="H66" s="18">
        <f>ROUND(RAND()*4+6,1)</f>
      </c>
      <c r="I66" s="17" t="s">
        <v>19</v>
      </c>
      <c r="J66" s="19">
        <f>ROUND(87*1,0)&amp;"%"</f>
      </c>
    </row>
    <row x14ac:dyDescent="0.25" r="67" customHeight="1" ht="17.25">
      <c r="A67" s="20" t="s">
        <v>630</v>
      </c>
      <c r="B67" s="20" t="s">
        <v>135</v>
      </c>
      <c r="C67" s="20" t="s">
        <v>133</v>
      </c>
      <c r="D67" s="20" t="s">
        <v>22</v>
      </c>
      <c r="E67" s="21">
        <f>ROUND(15105*1.05,2)</f>
      </c>
      <c r="F67" s="20" t="s">
        <v>23</v>
      </c>
      <c r="G67" s="20" t="s">
        <v>24</v>
      </c>
      <c r="H67" s="21">
        <f>ROUND(RAND()*4+6,1)</f>
      </c>
      <c r="I67" s="20" t="s">
        <v>25</v>
      </c>
      <c r="J67" s="23">
        <f>ROUND(71*1,0)&amp;"%"</f>
      </c>
    </row>
    <row x14ac:dyDescent="0.25" r="68" customHeight="1" ht="17.25">
      <c r="A68" s="17" t="s">
        <v>631</v>
      </c>
      <c r="B68" s="17" t="s">
        <v>137</v>
      </c>
      <c r="C68" s="17" t="s">
        <v>133</v>
      </c>
      <c r="D68" s="17" t="s">
        <v>28</v>
      </c>
      <c r="E68" s="18">
        <f>ROUND(10068*1.05,2)</f>
      </c>
      <c r="F68" s="17" t="s">
        <v>29</v>
      </c>
      <c r="G68" s="17" t="s">
        <v>30</v>
      </c>
      <c r="H68" s="18">
        <f>ROUND(RAND()*4+6,1)</f>
      </c>
      <c r="I68" s="17" t="s">
        <v>31</v>
      </c>
      <c r="J68" s="19">
        <f>ROUND(82*1,0)&amp;"%"</f>
      </c>
    </row>
    <row x14ac:dyDescent="0.25" r="69" customHeight="1" ht="17.25">
      <c r="A69" s="20" t="s">
        <v>632</v>
      </c>
      <c r="B69" s="20" t="s">
        <v>139</v>
      </c>
      <c r="C69" s="20" t="s">
        <v>133</v>
      </c>
      <c r="D69" s="20" t="s">
        <v>34</v>
      </c>
      <c r="E69" s="22">
        <f>ROUND(9000*1.05,2)</f>
      </c>
      <c r="F69" s="20" t="s">
        <v>35</v>
      </c>
      <c r="G69" s="20" t="s">
        <v>18</v>
      </c>
      <c r="H69" s="22">
        <f>ROUND(RAND()*4+6,1)</f>
      </c>
      <c r="I69" s="20" t="s">
        <v>36</v>
      </c>
      <c r="J69" s="23">
        <f>ROUND(83*1,0)&amp;"%"</f>
      </c>
    </row>
    <row x14ac:dyDescent="0.25" r="70" customHeight="1" ht="17.25">
      <c r="A70" s="17" t="s">
        <v>633</v>
      </c>
      <c r="B70" s="17" t="s">
        <v>141</v>
      </c>
      <c r="C70" s="17" t="s">
        <v>133</v>
      </c>
      <c r="D70" s="17" t="s">
        <v>39</v>
      </c>
      <c r="E70" s="18">
        <f>ROUND(9082*1.05,2)</f>
      </c>
      <c r="F70" s="17" t="s">
        <v>40</v>
      </c>
      <c r="G70" s="17" t="s">
        <v>24</v>
      </c>
      <c r="H70" s="18">
        <f>ROUND(RAND()*4+6,1)</f>
      </c>
      <c r="I70" s="17" t="s">
        <v>41</v>
      </c>
      <c r="J70" s="19">
        <f>ROUND(67*1,0)&amp;"%"</f>
      </c>
    </row>
    <row x14ac:dyDescent="0.25" r="71" customHeight="1" ht="17.25">
      <c r="A71" s="20" t="s">
        <v>634</v>
      </c>
      <c r="B71" s="20" t="s">
        <v>143</v>
      </c>
      <c r="C71" s="20" t="s">
        <v>133</v>
      </c>
      <c r="D71" s="20" t="s">
        <v>67</v>
      </c>
      <c r="E71" s="21">
        <f>ROUND(4091*1.05,2)</f>
      </c>
      <c r="F71" s="20" t="s">
        <v>44</v>
      </c>
      <c r="G71" s="20" t="s">
        <v>30</v>
      </c>
      <c r="H71" s="21">
        <f>ROUND(RAND()*4+6,1)</f>
      </c>
      <c r="I71" s="20" t="s">
        <v>45</v>
      </c>
      <c r="J71" s="23">
        <f>ROUND(80*1,0)&amp;"%"</f>
      </c>
    </row>
    <row x14ac:dyDescent="0.25" r="72" customHeight="1" ht="17.25">
      <c r="A72" s="17" t="s">
        <v>635</v>
      </c>
      <c r="B72" s="17" t="s">
        <v>145</v>
      </c>
      <c r="C72" s="17" t="s">
        <v>133</v>
      </c>
      <c r="D72" s="17" t="s">
        <v>16</v>
      </c>
      <c r="E72" s="18">
        <f>ROUND(7294*1.05,2)</f>
      </c>
      <c r="F72" s="17" t="s">
        <v>48</v>
      </c>
      <c r="G72" s="17" t="s">
        <v>18</v>
      </c>
      <c r="H72" s="18">
        <f>ROUND(RAND()*4+6,1)</f>
      </c>
      <c r="I72" s="17" t="s">
        <v>19</v>
      </c>
      <c r="J72" s="19">
        <f>ROUND(79*1,0)&amp;"%"</f>
      </c>
    </row>
    <row x14ac:dyDescent="0.25" r="73" customHeight="1" ht="17.25">
      <c r="A73" s="20" t="s">
        <v>636</v>
      </c>
      <c r="B73" s="20" t="s">
        <v>147</v>
      </c>
      <c r="C73" s="20" t="s">
        <v>133</v>
      </c>
      <c r="D73" s="20" t="s">
        <v>22</v>
      </c>
      <c r="E73" s="21">
        <f>ROUND(13450*1.05,2)</f>
      </c>
      <c r="F73" s="20" t="s">
        <v>51</v>
      </c>
      <c r="G73" s="20" t="s">
        <v>24</v>
      </c>
      <c r="H73" s="21">
        <f>ROUND(RAND()*4+6,1)</f>
      </c>
      <c r="I73" s="20" t="s">
        <v>25</v>
      </c>
      <c r="J73" s="23">
        <f>ROUND(67*1,0)&amp;"%"</f>
      </c>
    </row>
    <row x14ac:dyDescent="0.25" r="74" customHeight="1" ht="17.25">
      <c r="A74" s="24" t="s">
        <v>148</v>
      </c>
      <c r="B74" s="24"/>
      <c r="C74" s="24"/>
      <c r="D74" s="24"/>
      <c r="E74" s="25">
        <v>8</v>
      </c>
      <c r="F74" s="9"/>
      <c r="G74" s="9"/>
      <c r="H74" s="10"/>
      <c r="I74" s="9"/>
      <c r="J74" s="9"/>
    </row>
    <row x14ac:dyDescent="0.25" r="75" customHeight="1" ht="17.25">
      <c r="A75" s="7"/>
      <c r="B75" s="7"/>
      <c r="C75" s="7"/>
      <c r="D75" s="7"/>
      <c r="E75" s="8"/>
      <c r="F75" s="9"/>
      <c r="G75" s="9"/>
      <c r="H75" s="10"/>
      <c r="I75" s="9"/>
      <c r="J75" s="9"/>
    </row>
    <row x14ac:dyDescent="0.25" r="76" customHeight="1" ht="17.25">
      <c r="A76" s="11" t="s">
        <v>637</v>
      </c>
      <c r="B76" s="11"/>
      <c r="C76" s="11"/>
      <c r="D76" s="11"/>
      <c r="E76" s="12"/>
      <c r="F76" s="11"/>
      <c r="G76" s="11"/>
      <c r="H76" s="13"/>
      <c r="I76" s="11"/>
      <c r="J76" s="11"/>
    </row>
    <row x14ac:dyDescent="0.25" r="77" customHeight="1" ht="17.25">
      <c r="A77" s="14" t="s">
        <v>3</v>
      </c>
      <c r="B77" s="14" t="s">
        <v>4</v>
      </c>
      <c r="C77" s="14" t="s">
        <v>5</v>
      </c>
      <c r="D77" s="14" t="s">
        <v>6</v>
      </c>
      <c r="E77" s="15" t="s">
        <v>7</v>
      </c>
      <c r="F77" s="14" t="s">
        <v>8</v>
      </c>
      <c r="G77" s="14" t="s">
        <v>9</v>
      </c>
      <c r="H77" s="16" t="s">
        <v>10</v>
      </c>
      <c r="I77" s="14" t="s">
        <v>11</v>
      </c>
      <c r="J77" s="14" t="s">
        <v>12</v>
      </c>
    </row>
    <row x14ac:dyDescent="0.25" r="78" customHeight="1" ht="17.25">
      <c r="A78" s="17" t="s">
        <v>638</v>
      </c>
      <c r="B78" s="17" t="s">
        <v>151</v>
      </c>
      <c r="C78" s="17" t="s">
        <v>152</v>
      </c>
      <c r="D78" s="17" t="s">
        <v>16</v>
      </c>
      <c r="E78" s="18">
        <f>ROUND(17661*1.05,2)</f>
      </c>
      <c r="F78" s="17" t="s">
        <v>17</v>
      </c>
      <c r="G78" s="17" t="s">
        <v>18</v>
      </c>
      <c r="H78" s="18">
        <f>ROUND(RAND()*4+6,1)</f>
      </c>
      <c r="I78" s="17" t="s">
        <v>19</v>
      </c>
      <c r="J78" s="19">
        <f>ROUND(95*1,0)&amp;"%"</f>
      </c>
    </row>
    <row x14ac:dyDescent="0.25" r="79" customHeight="1" ht="17.25">
      <c r="A79" s="20" t="s">
        <v>639</v>
      </c>
      <c r="B79" s="20" t="s">
        <v>154</v>
      </c>
      <c r="C79" s="20" t="s">
        <v>152</v>
      </c>
      <c r="D79" s="20" t="s">
        <v>22</v>
      </c>
      <c r="E79" s="22">
        <f>ROUND(12400*1.05,2)</f>
      </c>
      <c r="F79" s="20" t="s">
        <v>23</v>
      </c>
      <c r="G79" s="20" t="s">
        <v>24</v>
      </c>
      <c r="H79" s="21">
        <f>ROUND(RAND()*4+6,1)</f>
      </c>
      <c r="I79" s="20" t="s">
        <v>25</v>
      </c>
      <c r="J79" s="23">
        <f>ROUND(94*1,0)&amp;"%"</f>
      </c>
    </row>
    <row x14ac:dyDescent="0.25" r="80" customHeight="1" ht="17.25">
      <c r="A80" s="17" t="s">
        <v>640</v>
      </c>
      <c r="B80" s="17" t="s">
        <v>156</v>
      </c>
      <c r="C80" s="17" t="s">
        <v>152</v>
      </c>
      <c r="D80" s="17" t="s">
        <v>28</v>
      </c>
      <c r="E80" s="18">
        <f>ROUND(5246*1.05,2)</f>
      </c>
      <c r="F80" s="17" t="s">
        <v>29</v>
      </c>
      <c r="G80" s="17" t="s">
        <v>30</v>
      </c>
      <c r="H80" s="18">
        <f>ROUND(RAND()*4+6,1)</f>
      </c>
      <c r="I80" s="17" t="s">
        <v>31</v>
      </c>
      <c r="J80" s="19">
        <f>ROUND(66*1,0)&amp;"%"</f>
      </c>
    </row>
    <row x14ac:dyDescent="0.25" r="81" customHeight="1" ht="17.25">
      <c r="A81" s="20" t="s">
        <v>641</v>
      </c>
      <c r="B81" s="20" t="s">
        <v>158</v>
      </c>
      <c r="C81" s="20" t="s">
        <v>152</v>
      </c>
      <c r="D81" s="20" t="s">
        <v>34</v>
      </c>
      <c r="E81" s="21">
        <f>ROUND(9673*1.05,2)</f>
      </c>
      <c r="F81" s="20" t="s">
        <v>35</v>
      </c>
      <c r="G81" s="20" t="s">
        <v>18</v>
      </c>
      <c r="H81" s="21">
        <f>ROUND(RAND()*4+6,1)</f>
      </c>
      <c r="I81" s="20" t="s">
        <v>36</v>
      </c>
      <c r="J81" s="23">
        <f>ROUND(85*1,0)&amp;"%"</f>
      </c>
    </row>
    <row x14ac:dyDescent="0.25" r="82" customHeight="1" ht="17.25">
      <c r="A82" s="17" t="s">
        <v>642</v>
      </c>
      <c r="B82" s="17" t="s">
        <v>160</v>
      </c>
      <c r="C82" s="17" t="s">
        <v>152</v>
      </c>
      <c r="D82" s="17" t="s">
        <v>39</v>
      </c>
      <c r="E82" s="18">
        <f>ROUND(17287*1.05,2)</f>
      </c>
      <c r="F82" s="17" t="s">
        <v>40</v>
      </c>
      <c r="G82" s="17" t="s">
        <v>24</v>
      </c>
      <c r="H82" s="18">
        <f>ROUND(RAND()*4+6,1)</f>
      </c>
      <c r="I82" s="17" t="s">
        <v>41</v>
      </c>
      <c r="J82" s="19">
        <f>ROUND(60*1,0)&amp;"%"</f>
      </c>
    </row>
    <row x14ac:dyDescent="0.25" r="83" customHeight="1" ht="17.25">
      <c r="A83" s="20" t="s">
        <v>643</v>
      </c>
      <c r="B83" s="20" t="s">
        <v>162</v>
      </c>
      <c r="C83" s="20" t="s">
        <v>152</v>
      </c>
      <c r="D83" s="20" t="s">
        <v>67</v>
      </c>
      <c r="E83" s="21">
        <f>ROUND(9551*1.05,2)</f>
      </c>
      <c r="F83" s="20" t="s">
        <v>44</v>
      </c>
      <c r="G83" s="20" t="s">
        <v>30</v>
      </c>
      <c r="H83" s="21">
        <f>ROUND(RAND()*4+6,1)</f>
      </c>
      <c r="I83" s="20" t="s">
        <v>45</v>
      </c>
      <c r="J83" s="23">
        <f>ROUND(97*1,0)&amp;"%"</f>
      </c>
    </row>
    <row x14ac:dyDescent="0.25" r="84" customHeight="1" ht="17.25">
      <c r="A84" s="17" t="s">
        <v>644</v>
      </c>
      <c r="B84" s="17" t="s">
        <v>164</v>
      </c>
      <c r="C84" s="17" t="s">
        <v>152</v>
      </c>
      <c r="D84" s="17" t="s">
        <v>16</v>
      </c>
      <c r="E84" s="18">
        <f>ROUND(13544*1.05,2)</f>
      </c>
      <c r="F84" s="17" t="s">
        <v>48</v>
      </c>
      <c r="G84" s="17" t="s">
        <v>18</v>
      </c>
      <c r="H84" s="18">
        <f>ROUND(RAND()*4+6,1)</f>
      </c>
      <c r="I84" s="17" t="s">
        <v>19</v>
      </c>
      <c r="J84" s="19">
        <f>ROUND(64*1,0)&amp;"%"</f>
      </c>
    </row>
    <row x14ac:dyDescent="0.25" r="85" customHeight="1" ht="17.25">
      <c r="A85" s="20" t="s">
        <v>645</v>
      </c>
      <c r="B85" s="20" t="s">
        <v>166</v>
      </c>
      <c r="C85" s="20" t="s">
        <v>152</v>
      </c>
      <c r="D85" s="20" t="s">
        <v>22</v>
      </c>
      <c r="E85" s="21">
        <f>ROUND(12754*1.05,2)</f>
      </c>
      <c r="F85" s="20" t="s">
        <v>51</v>
      </c>
      <c r="G85" s="20" t="s">
        <v>24</v>
      </c>
      <c r="H85" s="21">
        <f>ROUND(RAND()*4+6,1)</f>
      </c>
      <c r="I85" s="20" t="s">
        <v>25</v>
      </c>
      <c r="J85" s="23">
        <f>ROUND(89*1,0)&amp;"%"</f>
      </c>
    </row>
    <row x14ac:dyDescent="0.25" r="86" customHeight="1" ht="17.25">
      <c r="A86" s="24" t="s">
        <v>167</v>
      </c>
      <c r="B86" s="24"/>
      <c r="C86" s="24"/>
      <c r="D86" s="24"/>
      <c r="E86" s="25">
        <v>8</v>
      </c>
      <c r="F86" s="9"/>
      <c r="G86" s="9"/>
      <c r="H86" s="10"/>
      <c r="I86" s="9"/>
      <c r="J86" s="9"/>
    </row>
    <row x14ac:dyDescent="0.25" r="87" customHeight="1" ht="17.25">
      <c r="A87" s="7"/>
      <c r="B87" s="7"/>
      <c r="C87" s="7"/>
      <c r="D87" s="7"/>
      <c r="E87" s="8"/>
      <c r="F87" s="9"/>
      <c r="G87" s="9"/>
      <c r="H87" s="10"/>
      <c r="I87" s="9"/>
      <c r="J87" s="9"/>
    </row>
    <row x14ac:dyDescent="0.25" r="88" customHeight="1" ht="17.25">
      <c r="A88" s="11" t="s">
        <v>646</v>
      </c>
      <c r="B88" s="11"/>
      <c r="C88" s="11"/>
      <c r="D88" s="11"/>
      <c r="E88" s="12"/>
      <c r="F88" s="11"/>
      <c r="G88" s="11"/>
      <c r="H88" s="13"/>
      <c r="I88" s="11"/>
      <c r="J88" s="11"/>
    </row>
    <row x14ac:dyDescent="0.25" r="89" customHeight="1" ht="17.25">
      <c r="A89" s="14" t="s">
        <v>3</v>
      </c>
      <c r="B89" s="14" t="s">
        <v>4</v>
      </c>
      <c r="C89" s="14" t="s">
        <v>5</v>
      </c>
      <c r="D89" s="14" t="s">
        <v>6</v>
      </c>
      <c r="E89" s="15" t="s">
        <v>7</v>
      </c>
      <c r="F89" s="14" t="s">
        <v>8</v>
      </c>
      <c r="G89" s="14" t="s">
        <v>9</v>
      </c>
      <c r="H89" s="16" t="s">
        <v>10</v>
      </c>
      <c r="I89" s="14" t="s">
        <v>11</v>
      </c>
      <c r="J89" s="14" t="s">
        <v>12</v>
      </c>
    </row>
    <row x14ac:dyDescent="0.25" r="90" customHeight="1" ht="17.25">
      <c r="A90" s="17" t="s">
        <v>647</v>
      </c>
      <c r="B90" s="17" t="s">
        <v>170</v>
      </c>
      <c r="C90" s="17" t="s">
        <v>15</v>
      </c>
      <c r="D90" s="17" t="s">
        <v>16</v>
      </c>
      <c r="E90" s="18">
        <f>ROUND(11499*1.05,2)</f>
      </c>
      <c r="F90" s="17" t="s">
        <v>17</v>
      </c>
      <c r="G90" s="17" t="s">
        <v>18</v>
      </c>
      <c r="H90" s="18">
        <f>ROUND(RAND()*4+6,1)</f>
      </c>
      <c r="I90" s="17" t="s">
        <v>19</v>
      </c>
      <c r="J90" s="19">
        <f>ROUND(86*1,0)&amp;"%"</f>
      </c>
    </row>
    <row x14ac:dyDescent="0.25" r="91" customHeight="1" ht="17.25">
      <c r="A91" s="20" t="s">
        <v>648</v>
      </c>
      <c r="B91" s="20" t="s">
        <v>172</v>
      </c>
      <c r="C91" s="20" t="s">
        <v>15</v>
      </c>
      <c r="D91" s="20" t="s">
        <v>22</v>
      </c>
      <c r="E91" s="21">
        <f>ROUND(4526*1.05,2)</f>
      </c>
      <c r="F91" s="20" t="s">
        <v>23</v>
      </c>
      <c r="G91" s="20" t="s">
        <v>24</v>
      </c>
      <c r="H91" s="21">
        <f>ROUND(RAND()*4+6,1)</f>
      </c>
      <c r="I91" s="20" t="s">
        <v>25</v>
      </c>
      <c r="J91" s="23">
        <f>ROUND(68*1,0)&amp;"%"</f>
      </c>
    </row>
    <row x14ac:dyDescent="0.25" r="92" customHeight="1" ht="17.25">
      <c r="A92" s="17" t="s">
        <v>649</v>
      </c>
      <c r="B92" s="17" t="s">
        <v>174</v>
      </c>
      <c r="C92" s="17" t="s">
        <v>15</v>
      </c>
      <c r="D92" s="17" t="s">
        <v>28</v>
      </c>
      <c r="E92" s="18">
        <f>ROUND(15835*1.05,2)</f>
      </c>
      <c r="F92" s="17" t="s">
        <v>29</v>
      </c>
      <c r="G92" s="17" t="s">
        <v>30</v>
      </c>
      <c r="H92" s="18">
        <f>ROUND(RAND()*4+6,1)</f>
      </c>
      <c r="I92" s="17" t="s">
        <v>31</v>
      </c>
      <c r="J92" s="19">
        <f>ROUND(93*1,0)&amp;"%"</f>
      </c>
    </row>
    <row x14ac:dyDescent="0.25" r="93" customHeight="1" ht="17.25">
      <c r="A93" s="20" t="s">
        <v>650</v>
      </c>
      <c r="B93" s="20" t="s">
        <v>176</v>
      </c>
      <c r="C93" s="20" t="s">
        <v>15</v>
      </c>
      <c r="D93" s="20" t="s">
        <v>34</v>
      </c>
      <c r="E93" s="21">
        <f>ROUND(13239*1.05,2)</f>
      </c>
      <c r="F93" s="20" t="s">
        <v>35</v>
      </c>
      <c r="G93" s="20" t="s">
        <v>18</v>
      </c>
      <c r="H93" s="21">
        <f>ROUND(RAND()*4+6,1)</f>
      </c>
      <c r="I93" s="20" t="s">
        <v>36</v>
      </c>
      <c r="J93" s="23">
        <f>ROUND(69*1,0)&amp;"%"</f>
      </c>
    </row>
    <row x14ac:dyDescent="0.25" r="94" customHeight="1" ht="17.25">
      <c r="A94" s="17" t="s">
        <v>651</v>
      </c>
      <c r="B94" s="17" t="s">
        <v>178</v>
      </c>
      <c r="C94" s="17" t="s">
        <v>15</v>
      </c>
      <c r="D94" s="17" t="s">
        <v>39</v>
      </c>
      <c r="E94" s="18">
        <f>ROUND(16851*1.05,2)</f>
      </c>
      <c r="F94" s="17" t="s">
        <v>40</v>
      </c>
      <c r="G94" s="17" t="s">
        <v>24</v>
      </c>
      <c r="H94" s="18">
        <f>ROUND(RAND()*4+6,1)</f>
      </c>
      <c r="I94" s="17" t="s">
        <v>41</v>
      </c>
      <c r="J94" s="19">
        <f>ROUND(89*1,0)&amp;"%"</f>
      </c>
    </row>
    <row x14ac:dyDescent="0.25" r="95" customHeight="1" ht="17.25">
      <c r="A95" s="20" t="s">
        <v>652</v>
      </c>
      <c r="B95" s="20" t="s">
        <v>180</v>
      </c>
      <c r="C95" s="20" t="s">
        <v>15</v>
      </c>
      <c r="D95" s="20" t="s">
        <v>67</v>
      </c>
      <c r="E95" s="21">
        <f>ROUND(5623*1.05,2)</f>
      </c>
      <c r="F95" s="20" t="s">
        <v>44</v>
      </c>
      <c r="G95" s="20" t="s">
        <v>30</v>
      </c>
      <c r="H95" s="21">
        <f>ROUND(RAND()*4+6,1)</f>
      </c>
      <c r="I95" s="20" t="s">
        <v>45</v>
      </c>
      <c r="J95" s="23">
        <f>ROUND(95*1,0)&amp;"%"</f>
      </c>
    </row>
    <row x14ac:dyDescent="0.25" r="96" customHeight="1" ht="17.25">
      <c r="A96" s="17" t="s">
        <v>653</v>
      </c>
      <c r="B96" s="17" t="s">
        <v>182</v>
      </c>
      <c r="C96" s="17" t="s">
        <v>15</v>
      </c>
      <c r="D96" s="17" t="s">
        <v>16</v>
      </c>
      <c r="E96" s="18">
        <f>ROUND(7292*1.05,2)</f>
      </c>
      <c r="F96" s="17" t="s">
        <v>48</v>
      </c>
      <c r="G96" s="17" t="s">
        <v>18</v>
      </c>
      <c r="H96" s="26">
        <f>ROUND(RAND()*4+6,1)</f>
      </c>
      <c r="I96" s="17" t="s">
        <v>19</v>
      </c>
      <c r="J96" s="19">
        <f>ROUND(95*1,0)&amp;"%"</f>
      </c>
    </row>
    <row x14ac:dyDescent="0.25" r="97" customHeight="1" ht="17.25">
      <c r="A97" s="20" t="s">
        <v>654</v>
      </c>
      <c r="B97" s="20" t="s">
        <v>184</v>
      </c>
      <c r="C97" s="20" t="s">
        <v>15</v>
      </c>
      <c r="D97" s="20" t="s">
        <v>22</v>
      </c>
      <c r="E97" s="21">
        <f>ROUND(13284*1.05,2)</f>
      </c>
      <c r="F97" s="20" t="s">
        <v>51</v>
      </c>
      <c r="G97" s="20" t="s">
        <v>24</v>
      </c>
      <c r="H97" s="21">
        <f>ROUND(RAND()*4+6,1)</f>
      </c>
      <c r="I97" s="20" t="s">
        <v>25</v>
      </c>
      <c r="J97" s="23">
        <f>ROUND(79*1,0)&amp;"%"</f>
      </c>
    </row>
    <row x14ac:dyDescent="0.25" r="98" customHeight="1" ht="17.25">
      <c r="A98" s="24" t="s">
        <v>185</v>
      </c>
      <c r="B98" s="24"/>
      <c r="C98" s="24"/>
      <c r="D98" s="24"/>
      <c r="E98" s="25">
        <v>8</v>
      </c>
      <c r="F98" s="9"/>
      <c r="G98" s="9"/>
      <c r="H98" s="10"/>
      <c r="I98" s="9"/>
      <c r="J98" s="9"/>
    </row>
    <row x14ac:dyDescent="0.25" r="99" customHeight="1" ht="17.25">
      <c r="A99" s="7"/>
      <c r="B99" s="7"/>
      <c r="C99" s="7"/>
      <c r="D99" s="7"/>
      <c r="E99" s="8"/>
      <c r="F99" s="9"/>
      <c r="G99" s="9"/>
      <c r="H99" s="10"/>
      <c r="I99" s="9"/>
      <c r="J99" s="9"/>
    </row>
    <row x14ac:dyDescent="0.25" r="100" customHeight="1" ht="17.25">
      <c r="A100" s="11" t="s">
        <v>655</v>
      </c>
      <c r="B100" s="11"/>
      <c r="C100" s="11"/>
      <c r="D100" s="11"/>
      <c r="E100" s="12"/>
      <c r="F100" s="11"/>
      <c r="G100" s="11"/>
      <c r="H100" s="13"/>
      <c r="I100" s="11"/>
      <c r="J100" s="11"/>
    </row>
    <row x14ac:dyDescent="0.25" r="101" customHeight="1" ht="17.25">
      <c r="A101" s="14" t="s">
        <v>3</v>
      </c>
      <c r="B101" s="14" t="s">
        <v>4</v>
      </c>
      <c r="C101" s="14" t="s">
        <v>5</v>
      </c>
      <c r="D101" s="14" t="s">
        <v>6</v>
      </c>
      <c r="E101" s="15" t="s">
        <v>7</v>
      </c>
      <c r="F101" s="14" t="s">
        <v>8</v>
      </c>
      <c r="G101" s="14" t="s">
        <v>9</v>
      </c>
      <c r="H101" s="16" t="s">
        <v>10</v>
      </c>
      <c r="I101" s="14" t="s">
        <v>11</v>
      </c>
      <c r="J101" s="14" t="s">
        <v>12</v>
      </c>
    </row>
    <row x14ac:dyDescent="0.25" r="102" customHeight="1" ht="17.25">
      <c r="A102" s="17" t="s">
        <v>656</v>
      </c>
      <c r="B102" s="17" t="s">
        <v>188</v>
      </c>
      <c r="C102" s="17" t="s">
        <v>56</v>
      </c>
      <c r="D102" s="17" t="s">
        <v>16</v>
      </c>
      <c r="E102" s="18">
        <f>ROUND(10647*1.05,2)</f>
      </c>
      <c r="F102" s="17" t="s">
        <v>17</v>
      </c>
      <c r="G102" s="17" t="s">
        <v>18</v>
      </c>
      <c r="H102" s="18">
        <f>ROUND(RAND()*4+6,1)</f>
      </c>
      <c r="I102" s="17" t="s">
        <v>19</v>
      </c>
      <c r="J102" s="19">
        <f>ROUND(60*1,0)&amp;"%"</f>
      </c>
    </row>
    <row x14ac:dyDescent="0.25" r="103" customHeight="1" ht="17.25">
      <c r="A103" s="20" t="s">
        <v>657</v>
      </c>
      <c r="B103" s="20" t="s">
        <v>190</v>
      </c>
      <c r="C103" s="20" t="s">
        <v>56</v>
      </c>
      <c r="D103" s="20" t="s">
        <v>22</v>
      </c>
      <c r="E103" s="21">
        <f>ROUND(8092*1.05,2)</f>
      </c>
      <c r="F103" s="20" t="s">
        <v>23</v>
      </c>
      <c r="G103" s="20" t="s">
        <v>24</v>
      </c>
      <c r="H103" s="21">
        <f>ROUND(RAND()*4+6,1)</f>
      </c>
      <c r="I103" s="20" t="s">
        <v>25</v>
      </c>
      <c r="J103" s="23">
        <f>ROUND(73*1,0)&amp;"%"</f>
      </c>
    </row>
    <row x14ac:dyDescent="0.25" r="104" customHeight="1" ht="17.25">
      <c r="A104" s="17" t="s">
        <v>658</v>
      </c>
      <c r="B104" s="17" t="s">
        <v>192</v>
      </c>
      <c r="C104" s="17" t="s">
        <v>56</v>
      </c>
      <c r="D104" s="17" t="s">
        <v>28</v>
      </c>
      <c r="E104" s="18">
        <f>ROUND(10088*1.05,2)</f>
      </c>
      <c r="F104" s="17" t="s">
        <v>29</v>
      </c>
      <c r="G104" s="17" t="s">
        <v>30</v>
      </c>
      <c r="H104" s="26">
        <f>ROUND(RAND()*4+6,1)</f>
      </c>
      <c r="I104" s="17" t="s">
        <v>31</v>
      </c>
      <c r="J104" s="19">
        <f>ROUND(80*1,0)&amp;"%"</f>
      </c>
    </row>
    <row x14ac:dyDescent="0.25" r="105" customHeight="1" ht="17.25">
      <c r="A105" s="20" t="s">
        <v>659</v>
      </c>
      <c r="B105" s="20" t="s">
        <v>194</v>
      </c>
      <c r="C105" s="20" t="s">
        <v>56</v>
      </c>
      <c r="D105" s="20" t="s">
        <v>34</v>
      </c>
      <c r="E105" s="21">
        <f>ROUND(13174*1.05,2)</f>
      </c>
      <c r="F105" s="20" t="s">
        <v>35</v>
      </c>
      <c r="G105" s="20" t="s">
        <v>18</v>
      </c>
      <c r="H105" s="21">
        <f>ROUND(RAND()*4+6,1)</f>
      </c>
      <c r="I105" s="20" t="s">
        <v>36</v>
      </c>
      <c r="J105" s="23">
        <f>ROUND(88*1,0)&amp;"%"</f>
      </c>
    </row>
    <row x14ac:dyDescent="0.25" r="106" customHeight="1" ht="17.25">
      <c r="A106" s="17" t="s">
        <v>660</v>
      </c>
      <c r="B106" s="17" t="s">
        <v>196</v>
      </c>
      <c r="C106" s="17" t="s">
        <v>56</v>
      </c>
      <c r="D106" s="17" t="s">
        <v>39</v>
      </c>
      <c r="E106" s="18">
        <f>ROUND(13891*1.05,2)</f>
      </c>
      <c r="F106" s="17" t="s">
        <v>40</v>
      </c>
      <c r="G106" s="17" t="s">
        <v>24</v>
      </c>
      <c r="H106" s="18">
        <f>ROUND(RAND()*4+6,1)</f>
      </c>
      <c r="I106" s="17" t="s">
        <v>41</v>
      </c>
      <c r="J106" s="19">
        <f>ROUND(74*1,0)&amp;"%"</f>
      </c>
    </row>
    <row x14ac:dyDescent="0.25" r="107" customHeight="1" ht="17.25">
      <c r="A107" s="20" t="s">
        <v>661</v>
      </c>
      <c r="B107" s="20" t="s">
        <v>198</v>
      </c>
      <c r="C107" s="20" t="s">
        <v>56</v>
      </c>
      <c r="D107" s="20" t="s">
        <v>67</v>
      </c>
      <c r="E107" s="21">
        <f>ROUND(14743*1.05,2)</f>
      </c>
      <c r="F107" s="20" t="s">
        <v>44</v>
      </c>
      <c r="G107" s="20" t="s">
        <v>30</v>
      </c>
      <c r="H107" s="21">
        <f>ROUND(RAND()*4+6,1)</f>
      </c>
      <c r="I107" s="20" t="s">
        <v>45</v>
      </c>
      <c r="J107" s="23">
        <f>ROUND(62*1,0)&amp;"%"</f>
      </c>
    </row>
    <row x14ac:dyDescent="0.25" r="108" customHeight="1" ht="17.25">
      <c r="A108" s="17" t="s">
        <v>662</v>
      </c>
      <c r="B108" s="17" t="s">
        <v>200</v>
      </c>
      <c r="C108" s="17" t="s">
        <v>56</v>
      </c>
      <c r="D108" s="17" t="s">
        <v>16</v>
      </c>
      <c r="E108" s="18">
        <f>ROUND(14625*1.05,2)</f>
      </c>
      <c r="F108" s="17" t="s">
        <v>48</v>
      </c>
      <c r="G108" s="17" t="s">
        <v>18</v>
      </c>
      <c r="H108" s="18">
        <f>ROUND(RAND()*4+6,1)</f>
      </c>
      <c r="I108" s="17" t="s">
        <v>19</v>
      </c>
      <c r="J108" s="19">
        <f>ROUND(88*1,0)&amp;"%"</f>
      </c>
    </row>
    <row x14ac:dyDescent="0.25" r="109" customHeight="1" ht="17.25">
      <c r="A109" s="20" t="s">
        <v>663</v>
      </c>
      <c r="B109" s="20" t="s">
        <v>202</v>
      </c>
      <c r="C109" s="20" t="s">
        <v>56</v>
      </c>
      <c r="D109" s="20" t="s">
        <v>22</v>
      </c>
      <c r="E109" s="21">
        <f>ROUND(16719*1.05,2)</f>
      </c>
      <c r="F109" s="20" t="s">
        <v>51</v>
      </c>
      <c r="G109" s="20" t="s">
        <v>24</v>
      </c>
      <c r="H109" s="21">
        <f>ROUND(RAND()*4+6,1)</f>
      </c>
      <c r="I109" s="20" t="s">
        <v>25</v>
      </c>
      <c r="J109" s="23">
        <f>ROUND(97*1,0)&amp;"%"</f>
      </c>
    </row>
    <row x14ac:dyDescent="0.25" r="110" customHeight="1" ht="17.25">
      <c r="A110" s="24" t="s">
        <v>203</v>
      </c>
      <c r="B110" s="24"/>
      <c r="C110" s="24"/>
      <c r="D110" s="24"/>
      <c r="E110" s="25">
        <v>8</v>
      </c>
      <c r="F110" s="9"/>
      <c r="G110" s="9"/>
      <c r="H110" s="10"/>
      <c r="I110" s="9"/>
      <c r="J110" s="9"/>
    </row>
    <row x14ac:dyDescent="0.25" r="111" customHeight="1" ht="17.25">
      <c r="A111" s="7"/>
      <c r="B111" s="7"/>
      <c r="C111" s="7"/>
      <c r="D111" s="7"/>
      <c r="E111" s="8"/>
      <c r="F111" s="9"/>
      <c r="G111" s="9"/>
      <c r="H111" s="10"/>
      <c r="I111" s="9"/>
      <c r="J111" s="9"/>
    </row>
    <row x14ac:dyDescent="0.25" r="112" customHeight="1" ht="17.25">
      <c r="A112" s="11" t="s">
        <v>664</v>
      </c>
      <c r="B112" s="11"/>
      <c r="C112" s="11"/>
      <c r="D112" s="11"/>
      <c r="E112" s="12"/>
      <c r="F112" s="11"/>
      <c r="G112" s="11"/>
      <c r="H112" s="13"/>
      <c r="I112" s="11"/>
      <c r="J112" s="11"/>
    </row>
    <row x14ac:dyDescent="0.25" r="113" customHeight="1" ht="17.25">
      <c r="A113" s="14" t="s">
        <v>3</v>
      </c>
      <c r="B113" s="14" t="s">
        <v>4</v>
      </c>
      <c r="C113" s="14" t="s">
        <v>5</v>
      </c>
      <c r="D113" s="14" t="s">
        <v>6</v>
      </c>
      <c r="E113" s="15" t="s">
        <v>7</v>
      </c>
      <c r="F113" s="14" t="s">
        <v>8</v>
      </c>
      <c r="G113" s="14" t="s">
        <v>9</v>
      </c>
      <c r="H113" s="16" t="s">
        <v>10</v>
      </c>
      <c r="I113" s="14" t="s">
        <v>11</v>
      </c>
      <c r="J113" s="14" t="s">
        <v>12</v>
      </c>
    </row>
    <row x14ac:dyDescent="0.25" r="114" customHeight="1" ht="17.25">
      <c r="A114" s="17" t="s">
        <v>665</v>
      </c>
      <c r="B114" s="17" t="s">
        <v>206</v>
      </c>
      <c r="C114" s="17" t="s">
        <v>76</v>
      </c>
      <c r="D114" s="17" t="s">
        <v>16</v>
      </c>
      <c r="E114" s="18">
        <f>ROUND(11518*1.05,2)</f>
      </c>
      <c r="F114" s="17" t="s">
        <v>17</v>
      </c>
      <c r="G114" s="17" t="s">
        <v>18</v>
      </c>
      <c r="H114" s="18">
        <f>ROUND(RAND()*4+6,1)</f>
      </c>
      <c r="I114" s="17" t="s">
        <v>19</v>
      </c>
      <c r="J114" s="19">
        <f>ROUND(77*1,0)&amp;"%"</f>
      </c>
    </row>
    <row x14ac:dyDescent="0.25" r="115" customHeight="1" ht="17.25">
      <c r="A115" s="20" t="s">
        <v>666</v>
      </c>
      <c r="B115" s="20" t="s">
        <v>208</v>
      </c>
      <c r="C115" s="20" t="s">
        <v>76</v>
      </c>
      <c r="D115" s="20" t="s">
        <v>22</v>
      </c>
      <c r="E115" s="21">
        <f>ROUND(7896*1.05,2)</f>
      </c>
      <c r="F115" s="20" t="s">
        <v>23</v>
      </c>
      <c r="G115" s="20" t="s">
        <v>24</v>
      </c>
      <c r="H115" s="21">
        <f>ROUND(RAND()*4+6,1)</f>
      </c>
      <c r="I115" s="20" t="s">
        <v>25</v>
      </c>
      <c r="J115" s="23">
        <f>ROUND(97*1,0)&amp;"%"</f>
      </c>
    </row>
    <row x14ac:dyDescent="0.25" r="116" customHeight="1" ht="17.25">
      <c r="A116" s="17" t="s">
        <v>667</v>
      </c>
      <c r="B116" s="17" t="s">
        <v>210</v>
      </c>
      <c r="C116" s="17" t="s">
        <v>76</v>
      </c>
      <c r="D116" s="17" t="s">
        <v>28</v>
      </c>
      <c r="E116" s="18">
        <f>ROUND(14851*1.05,2)</f>
      </c>
      <c r="F116" s="17" t="s">
        <v>29</v>
      </c>
      <c r="G116" s="17" t="s">
        <v>30</v>
      </c>
      <c r="H116" s="18">
        <f>ROUND(RAND()*4+6,1)</f>
      </c>
      <c r="I116" s="17" t="s">
        <v>31</v>
      </c>
      <c r="J116" s="19">
        <f>ROUND(69*1,0)&amp;"%"</f>
      </c>
    </row>
    <row x14ac:dyDescent="0.25" r="117" customHeight="1" ht="17.25">
      <c r="A117" s="20" t="s">
        <v>668</v>
      </c>
      <c r="B117" s="20" t="s">
        <v>212</v>
      </c>
      <c r="C117" s="20" t="s">
        <v>76</v>
      </c>
      <c r="D117" s="20" t="s">
        <v>34</v>
      </c>
      <c r="E117" s="21">
        <f>ROUND(17859*1.05,2)</f>
      </c>
      <c r="F117" s="20" t="s">
        <v>35</v>
      </c>
      <c r="G117" s="20" t="s">
        <v>18</v>
      </c>
      <c r="H117" s="21">
        <f>ROUND(RAND()*4+6,1)</f>
      </c>
      <c r="I117" s="20" t="s">
        <v>36</v>
      </c>
      <c r="J117" s="23">
        <f>ROUND(81*1,0)&amp;"%"</f>
      </c>
    </row>
    <row x14ac:dyDescent="0.25" r="118" customHeight="1" ht="17.25">
      <c r="A118" s="17" t="s">
        <v>669</v>
      </c>
      <c r="B118" s="17" t="s">
        <v>214</v>
      </c>
      <c r="C118" s="17" t="s">
        <v>76</v>
      </c>
      <c r="D118" s="17" t="s">
        <v>39</v>
      </c>
      <c r="E118" s="18">
        <f>ROUND(11707*1.05,2)</f>
      </c>
      <c r="F118" s="17" t="s">
        <v>40</v>
      </c>
      <c r="G118" s="17" t="s">
        <v>24</v>
      </c>
      <c r="H118" s="18">
        <f>ROUND(RAND()*4+6,1)</f>
      </c>
      <c r="I118" s="17" t="s">
        <v>41</v>
      </c>
      <c r="J118" s="19">
        <f>ROUND(69*1,0)&amp;"%"</f>
      </c>
    </row>
    <row x14ac:dyDescent="0.25" r="119" customHeight="1" ht="17.25">
      <c r="A119" s="20" t="s">
        <v>670</v>
      </c>
      <c r="B119" s="20" t="s">
        <v>216</v>
      </c>
      <c r="C119" s="20" t="s">
        <v>76</v>
      </c>
      <c r="D119" s="20" t="s">
        <v>67</v>
      </c>
      <c r="E119" s="21">
        <f>ROUND(11737*1.05,2)</f>
      </c>
      <c r="F119" s="20" t="s">
        <v>44</v>
      </c>
      <c r="G119" s="20" t="s">
        <v>30</v>
      </c>
      <c r="H119" s="21">
        <f>ROUND(RAND()*4+6,1)</f>
      </c>
      <c r="I119" s="20" t="s">
        <v>45</v>
      </c>
      <c r="J119" s="23">
        <f>ROUND(67*1,0)&amp;"%"</f>
      </c>
    </row>
    <row x14ac:dyDescent="0.25" r="120" customHeight="1" ht="17.25">
      <c r="A120" s="17" t="s">
        <v>671</v>
      </c>
      <c r="B120" s="17" t="s">
        <v>218</v>
      </c>
      <c r="C120" s="17" t="s">
        <v>76</v>
      </c>
      <c r="D120" s="17" t="s">
        <v>16</v>
      </c>
      <c r="E120" s="18">
        <f>ROUND(7698*1.05,2)</f>
      </c>
      <c r="F120" s="17" t="s">
        <v>48</v>
      </c>
      <c r="G120" s="17" t="s">
        <v>18</v>
      </c>
      <c r="H120" s="18">
        <f>ROUND(RAND()*4+6,1)</f>
      </c>
      <c r="I120" s="17" t="s">
        <v>19</v>
      </c>
      <c r="J120" s="19">
        <f>ROUND(85*1,0)&amp;"%"</f>
      </c>
    </row>
    <row x14ac:dyDescent="0.25" r="121" customHeight="1" ht="17.25">
      <c r="A121" s="20" t="s">
        <v>672</v>
      </c>
      <c r="B121" s="20" t="s">
        <v>220</v>
      </c>
      <c r="C121" s="20" t="s">
        <v>76</v>
      </c>
      <c r="D121" s="20" t="s">
        <v>22</v>
      </c>
      <c r="E121" s="22">
        <f>ROUND(13280*1.05,2)</f>
      </c>
      <c r="F121" s="20" t="s">
        <v>51</v>
      </c>
      <c r="G121" s="20" t="s">
        <v>24</v>
      </c>
      <c r="H121" s="22">
        <f>ROUND(RAND()*4+6,1)</f>
      </c>
      <c r="I121" s="20" t="s">
        <v>25</v>
      </c>
      <c r="J121" s="23">
        <f>ROUND(74*1,0)&amp;"%"</f>
      </c>
    </row>
    <row x14ac:dyDescent="0.25" r="122" customHeight="1" ht="17.25">
      <c r="A122" s="24" t="s">
        <v>221</v>
      </c>
      <c r="B122" s="24"/>
      <c r="C122" s="24"/>
      <c r="D122" s="24"/>
      <c r="E122" s="25">
        <v>8</v>
      </c>
      <c r="F122" s="9"/>
      <c r="G122" s="9"/>
      <c r="H122" s="10"/>
      <c r="I122" s="9"/>
      <c r="J122" s="9"/>
    </row>
    <row x14ac:dyDescent="0.25" r="123" customHeight="1" ht="17.25">
      <c r="A123" s="7"/>
      <c r="B123" s="7"/>
      <c r="C123" s="7"/>
      <c r="D123" s="7"/>
      <c r="E123" s="8"/>
      <c r="F123" s="9"/>
      <c r="G123" s="9"/>
      <c r="H123" s="10"/>
      <c r="I123" s="9"/>
      <c r="J123" s="9"/>
    </row>
    <row x14ac:dyDescent="0.25" r="124" customHeight="1" ht="17.25">
      <c r="A124" s="11" t="s">
        <v>673</v>
      </c>
      <c r="B124" s="11"/>
      <c r="C124" s="11"/>
      <c r="D124" s="11"/>
      <c r="E124" s="12"/>
      <c r="F124" s="11"/>
      <c r="G124" s="11"/>
      <c r="H124" s="13"/>
      <c r="I124" s="11"/>
      <c r="J124" s="11"/>
    </row>
    <row x14ac:dyDescent="0.25" r="125" customHeight="1" ht="17.25">
      <c r="A125" s="14" t="s">
        <v>3</v>
      </c>
      <c r="B125" s="14" t="s">
        <v>4</v>
      </c>
      <c r="C125" s="14" t="s">
        <v>5</v>
      </c>
      <c r="D125" s="14" t="s">
        <v>6</v>
      </c>
      <c r="E125" s="15" t="s">
        <v>7</v>
      </c>
      <c r="F125" s="14" t="s">
        <v>8</v>
      </c>
      <c r="G125" s="14" t="s">
        <v>9</v>
      </c>
      <c r="H125" s="16" t="s">
        <v>10</v>
      </c>
      <c r="I125" s="14" t="s">
        <v>11</v>
      </c>
      <c r="J125" s="14" t="s">
        <v>12</v>
      </c>
    </row>
    <row x14ac:dyDescent="0.25" r="126" customHeight="1" ht="17.25">
      <c r="A126" s="17" t="s">
        <v>674</v>
      </c>
      <c r="B126" s="17" t="s">
        <v>224</v>
      </c>
      <c r="C126" s="17" t="s">
        <v>95</v>
      </c>
      <c r="D126" s="17" t="s">
        <v>16</v>
      </c>
      <c r="E126" s="18">
        <f>ROUND(7464*1.05,2)</f>
      </c>
      <c r="F126" s="17" t="s">
        <v>17</v>
      </c>
      <c r="G126" s="17" t="s">
        <v>18</v>
      </c>
      <c r="H126" s="18">
        <f>ROUND(RAND()*4+6,1)</f>
      </c>
      <c r="I126" s="17" t="s">
        <v>19</v>
      </c>
      <c r="J126" s="19">
        <f>ROUND(62*1,0)&amp;"%"</f>
      </c>
    </row>
    <row x14ac:dyDescent="0.25" r="127" customHeight="1" ht="17.25">
      <c r="A127" s="20" t="s">
        <v>675</v>
      </c>
      <c r="B127" s="20" t="s">
        <v>226</v>
      </c>
      <c r="C127" s="20" t="s">
        <v>95</v>
      </c>
      <c r="D127" s="20" t="s">
        <v>22</v>
      </c>
      <c r="E127" s="21">
        <f>ROUND(13854*1.05,2)</f>
      </c>
      <c r="F127" s="20" t="s">
        <v>23</v>
      </c>
      <c r="G127" s="20" t="s">
        <v>24</v>
      </c>
      <c r="H127" s="21">
        <f>ROUND(RAND()*4+6,1)</f>
      </c>
      <c r="I127" s="20" t="s">
        <v>25</v>
      </c>
      <c r="J127" s="23">
        <f>ROUND(71*1,0)&amp;"%"</f>
      </c>
    </row>
    <row x14ac:dyDescent="0.25" r="128" customHeight="1" ht="17.25">
      <c r="A128" s="17" t="s">
        <v>676</v>
      </c>
      <c r="B128" s="17" t="s">
        <v>228</v>
      </c>
      <c r="C128" s="17" t="s">
        <v>95</v>
      </c>
      <c r="D128" s="17" t="s">
        <v>28</v>
      </c>
      <c r="E128" s="18">
        <f>ROUND(16350*1.05,2)</f>
      </c>
      <c r="F128" s="17" t="s">
        <v>29</v>
      </c>
      <c r="G128" s="17" t="s">
        <v>30</v>
      </c>
      <c r="H128" s="18">
        <f>ROUND(RAND()*4+6,1)</f>
      </c>
      <c r="I128" s="17" t="s">
        <v>31</v>
      </c>
      <c r="J128" s="19">
        <f>ROUND(76*1,0)&amp;"%"</f>
      </c>
    </row>
    <row x14ac:dyDescent="0.25" r="129" customHeight="1" ht="17.25">
      <c r="A129" s="20" t="s">
        <v>677</v>
      </c>
      <c r="B129" s="20" t="s">
        <v>230</v>
      </c>
      <c r="C129" s="20" t="s">
        <v>95</v>
      </c>
      <c r="D129" s="20" t="s">
        <v>34</v>
      </c>
      <c r="E129" s="21">
        <f>ROUND(11126*1.05,2)</f>
      </c>
      <c r="F129" s="20" t="s">
        <v>35</v>
      </c>
      <c r="G129" s="20" t="s">
        <v>18</v>
      </c>
      <c r="H129" s="21">
        <f>ROUND(RAND()*4+6,1)</f>
      </c>
      <c r="I129" s="20" t="s">
        <v>36</v>
      </c>
      <c r="J129" s="23">
        <f>ROUND(68*1,0)&amp;"%"</f>
      </c>
    </row>
    <row x14ac:dyDescent="0.25" r="130" customHeight="1" ht="17.25">
      <c r="A130" s="17" t="s">
        <v>678</v>
      </c>
      <c r="B130" s="17" t="s">
        <v>232</v>
      </c>
      <c r="C130" s="17" t="s">
        <v>95</v>
      </c>
      <c r="D130" s="17" t="s">
        <v>39</v>
      </c>
      <c r="E130" s="18">
        <f>ROUND(11552*1.05,2)</f>
      </c>
      <c r="F130" s="17" t="s">
        <v>40</v>
      </c>
      <c r="G130" s="17" t="s">
        <v>24</v>
      </c>
      <c r="H130" s="18">
        <f>ROUND(RAND()*4+6,1)</f>
      </c>
      <c r="I130" s="17" t="s">
        <v>41</v>
      </c>
      <c r="J130" s="19">
        <f>ROUND(75*1,0)&amp;"%"</f>
      </c>
    </row>
    <row x14ac:dyDescent="0.25" r="131" customHeight="1" ht="17.25">
      <c r="A131" s="20" t="s">
        <v>679</v>
      </c>
      <c r="B131" s="20" t="s">
        <v>234</v>
      </c>
      <c r="C131" s="20" t="s">
        <v>95</v>
      </c>
      <c r="D131" s="20" t="s">
        <v>67</v>
      </c>
      <c r="E131" s="21">
        <f>ROUND(4631*1.05,2)</f>
      </c>
      <c r="F131" s="20" t="s">
        <v>44</v>
      </c>
      <c r="G131" s="20" t="s">
        <v>30</v>
      </c>
      <c r="H131" s="21">
        <f>ROUND(RAND()*4+6,1)</f>
      </c>
      <c r="I131" s="20" t="s">
        <v>45</v>
      </c>
      <c r="J131" s="23">
        <f>ROUND(82*1,0)&amp;"%"</f>
      </c>
    </row>
    <row x14ac:dyDescent="0.25" r="132" customHeight="1" ht="17.25">
      <c r="A132" s="17" t="s">
        <v>680</v>
      </c>
      <c r="B132" s="17" t="s">
        <v>236</v>
      </c>
      <c r="C132" s="17" t="s">
        <v>95</v>
      </c>
      <c r="D132" s="17" t="s">
        <v>16</v>
      </c>
      <c r="E132" s="18">
        <f>ROUND(11690*1.05,2)</f>
      </c>
      <c r="F132" s="17" t="s">
        <v>48</v>
      </c>
      <c r="G132" s="17" t="s">
        <v>18</v>
      </c>
      <c r="H132" s="18">
        <f>ROUND(RAND()*4+6,1)</f>
      </c>
      <c r="I132" s="17" t="s">
        <v>19</v>
      </c>
      <c r="J132" s="19">
        <f>ROUND(78*1,0)&amp;"%"</f>
      </c>
    </row>
    <row x14ac:dyDescent="0.25" r="133" customHeight="1" ht="17.25">
      <c r="A133" s="20" t="s">
        <v>681</v>
      </c>
      <c r="B133" s="20" t="s">
        <v>238</v>
      </c>
      <c r="C133" s="20" t="s">
        <v>95</v>
      </c>
      <c r="D133" s="20" t="s">
        <v>22</v>
      </c>
      <c r="E133" s="21">
        <f>ROUND(16927*1.05,2)</f>
      </c>
      <c r="F133" s="20" t="s">
        <v>51</v>
      </c>
      <c r="G133" s="20" t="s">
        <v>24</v>
      </c>
      <c r="H133" s="21">
        <f>ROUND(RAND()*4+6,1)</f>
      </c>
      <c r="I133" s="20" t="s">
        <v>25</v>
      </c>
      <c r="J133" s="23">
        <f>ROUND(91*1,0)&amp;"%"</f>
      </c>
    </row>
    <row x14ac:dyDescent="0.25" r="134" customHeight="1" ht="17.25">
      <c r="A134" s="24" t="s">
        <v>239</v>
      </c>
      <c r="B134" s="24"/>
      <c r="C134" s="24"/>
      <c r="D134" s="24"/>
      <c r="E134" s="25">
        <v>8</v>
      </c>
      <c r="F134" s="9"/>
      <c r="G134" s="9"/>
      <c r="H134" s="10"/>
      <c r="I134" s="9"/>
      <c r="J134" s="9"/>
    </row>
    <row x14ac:dyDescent="0.25" r="135" customHeight="1" ht="17.25">
      <c r="A135" s="7"/>
      <c r="B135" s="7"/>
      <c r="C135" s="7"/>
      <c r="D135" s="7"/>
      <c r="E135" s="8"/>
      <c r="F135" s="9"/>
      <c r="G135" s="9"/>
      <c r="H135" s="10"/>
      <c r="I135" s="9"/>
      <c r="J135" s="9"/>
    </row>
    <row x14ac:dyDescent="0.25" r="136" customHeight="1" ht="17.25">
      <c r="A136" s="11" t="s">
        <v>682</v>
      </c>
      <c r="B136" s="11"/>
      <c r="C136" s="11"/>
      <c r="D136" s="11"/>
      <c r="E136" s="12"/>
      <c r="F136" s="11"/>
      <c r="G136" s="11"/>
      <c r="H136" s="13"/>
      <c r="I136" s="11"/>
      <c r="J136" s="11"/>
    </row>
    <row x14ac:dyDescent="0.25" r="137" customHeight="1" ht="17.25">
      <c r="A137" s="14" t="s">
        <v>3</v>
      </c>
      <c r="B137" s="14" t="s">
        <v>4</v>
      </c>
      <c r="C137" s="14" t="s">
        <v>5</v>
      </c>
      <c r="D137" s="14" t="s">
        <v>6</v>
      </c>
      <c r="E137" s="15" t="s">
        <v>7</v>
      </c>
      <c r="F137" s="14" t="s">
        <v>8</v>
      </c>
      <c r="G137" s="14" t="s">
        <v>9</v>
      </c>
      <c r="H137" s="16" t="s">
        <v>10</v>
      </c>
      <c r="I137" s="14" t="s">
        <v>11</v>
      </c>
      <c r="J137" s="14" t="s">
        <v>12</v>
      </c>
    </row>
    <row x14ac:dyDescent="0.25" r="138" customHeight="1" ht="17.25">
      <c r="A138" s="17" t="s">
        <v>683</v>
      </c>
      <c r="B138" s="17" t="s">
        <v>242</v>
      </c>
      <c r="C138" s="17" t="s">
        <v>114</v>
      </c>
      <c r="D138" s="17" t="s">
        <v>16</v>
      </c>
      <c r="E138" s="18">
        <f>ROUND(15452*1.05,2)</f>
      </c>
      <c r="F138" s="17" t="s">
        <v>17</v>
      </c>
      <c r="G138" s="17" t="s">
        <v>18</v>
      </c>
      <c r="H138" s="18">
        <f>ROUND(RAND()*4+6,1)</f>
      </c>
      <c r="I138" s="17" t="s">
        <v>19</v>
      </c>
      <c r="J138" s="19">
        <f>ROUND(100*1,0)&amp;"%"</f>
      </c>
    </row>
    <row x14ac:dyDescent="0.25" r="139" customHeight="1" ht="17.25">
      <c r="A139" s="20" t="s">
        <v>684</v>
      </c>
      <c r="B139" s="20" t="s">
        <v>244</v>
      </c>
      <c r="C139" s="20" t="s">
        <v>114</v>
      </c>
      <c r="D139" s="20" t="s">
        <v>22</v>
      </c>
      <c r="E139" s="21">
        <f>ROUND(15041*1.05,2)</f>
      </c>
      <c r="F139" s="20" t="s">
        <v>23</v>
      </c>
      <c r="G139" s="20" t="s">
        <v>24</v>
      </c>
      <c r="H139" s="21">
        <f>ROUND(RAND()*4+6,1)</f>
      </c>
      <c r="I139" s="20" t="s">
        <v>25</v>
      </c>
      <c r="J139" s="23">
        <f>ROUND(86*1,0)&amp;"%"</f>
      </c>
    </row>
    <row x14ac:dyDescent="0.25" r="140" customHeight="1" ht="17.25">
      <c r="A140" s="17" t="s">
        <v>685</v>
      </c>
      <c r="B140" s="17" t="s">
        <v>246</v>
      </c>
      <c r="C140" s="17" t="s">
        <v>114</v>
      </c>
      <c r="D140" s="17" t="s">
        <v>28</v>
      </c>
      <c r="E140" s="18">
        <f>ROUND(15679*1.05,2)</f>
      </c>
      <c r="F140" s="17" t="s">
        <v>29</v>
      </c>
      <c r="G140" s="17" t="s">
        <v>30</v>
      </c>
      <c r="H140" s="18">
        <f>ROUND(RAND()*4+6,1)</f>
      </c>
      <c r="I140" s="17" t="s">
        <v>31</v>
      </c>
      <c r="J140" s="19">
        <f>ROUND(87*1,0)&amp;"%"</f>
      </c>
    </row>
    <row x14ac:dyDescent="0.25" r="141" customHeight="1" ht="17.25">
      <c r="A141" s="20" t="s">
        <v>686</v>
      </c>
      <c r="B141" s="20" t="s">
        <v>248</v>
      </c>
      <c r="C141" s="20" t="s">
        <v>114</v>
      </c>
      <c r="D141" s="20" t="s">
        <v>34</v>
      </c>
      <c r="E141" s="21">
        <f>ROUND(14583*1.05,2)</f>
      </c>
      <c r="F141" s="20" t="s">
        <v>35</v>
      </c>
      <c r="G141" s="20" t="s">
        <v>18</v>
      </c>
      <c r="H141" s="21">
        <f>ROUND(RAND()*4+6,1)</f>
      </c>
      <c r="I141" s="20" t="s">
        <v>36</v>
      </c>
      <c r="J141" s="23">
        <f>ROUND(86*1,0)&amp;"%"</f>
      </c>
    </row>
    <row x14ac:dyDescent="0.25" r="142" customHeight="1" ht="17.25">
      <c r="A142" s="17" t="s">
        <v>687</v>
      </c>
      <c r="B142" s="17" t="s">
        <v>250</v>
      </c>
      <c r="C142" s="17" t="s">
        <v>114</v>
      </c>
      <c r="D142" s="17" t="s">
        <v>39</v>
      </c>
      <c r="E142" s="18">
        <f>ROUND(17075*1.05,2)</f>
      </c>
      <c r="F142" s="17" t="s">
        <v>40</v>
      </c>
      <c r="G142" s="17" t="s">
        <v>24</v>
      </c>
      <c r="H142" s="18">
        <f>ROUND(RAND()*4+6,1)</f>
      </c>
      <c r="I142" s="17" t="s">
        <v>41</v>
      </c>
      <c r="J142" s="19">
        <f>ROUND(60*1,0)&amp;"%"</f>
      </c>
    </row>
    <row x14ac:dyDescent="0.25" r="143" customHeight="1" ht="17.25">
      <c r="A143" s="20" t="s">
        <v>688</v>
      </c>
      <c r="B143" s="20" t="s">
        <v>252</v>
      </c>
      <c r="C143" s="20" t="s">
        <v>114</v>
      </c>
      <c r="D143" s="20" t="s">
        <v>67</v>
      </c>
      <c r="E143" s="21">
        <f>ROUND(15035*1.05,2)</f>
      </c>
      <c r="F143" s="20" t="s">
        <v>44</v>
      </c>
      <c r="G143" s="20" t="s">
        <v>30</v>
      </c>
      <c r="H143" s="21">
        <f>ROUND(RAND()*4+6,1)</f>
      </c>
      <c r="I143" s="20" t="s">
        <v>45</v>
      </c>
      <c r="J143" s="23">
        <f>ROUND(82*1,0)&amp;"%"</f>
      </c>
    </row>
    <row x14ac:dyDescent="0.25" r="144" customHeight="1" ht="17.25">
      <c r="A144" s="17" t="s">
        <v>689</v>
      </c>
      <c r="B144" s="17" t="s">
        <v>254</v>
      </c>
      <c r="C144" s="17" t="s">
        <v>114</v>
      </c>
      <c r="D144" s="17" t="s">
        <v>16</v>
      </c>
      <c r="E144" s="18">
        <f>ROUND(8309*1.05,2)</f>
      </c>
      <c r="F144" s="17" t="s">
        <v>48</v>
      </c>
      <c r="G144" s="17" t="s">
        <v>18</v>
      </c>
      <c r="H144" s="18">
        <f>ROUND(RAND()*4+6,1)</f>
      </c>
      <c r="I144" s="17" t="s">
        <v>19</v>
      </c>
      <c r="J144" s="19">
        <f>ROUND(72*1,0)&amp;"%"</f>
      </c>
    </row>
    <row x14ac:dyDescent="0.25" r="145" customHeight="1" ht="17.25">
      <c r="A145" s="20" t="s">
        <v>690</v>
      </c>
      <c r="B145" s="20" t="s">
        <v>256</v>
      </c>
      <c r="C145" s="20" t="s">
        <v>114</v>
      </c>
      <c r="D145" s="20" t="s">
        <v>22</v>
      </c>
      <c r="E145" s="21">
        <f>ROUND(15017*1.05,2)</f>
      </c>
      <c r="F145" s="20" t="s">
        <v>51</v>
      </c>
      <c r="G145" s="20" t="s">
        <v>24</v>
      </c>
      <c r="H145" s="21">
        <f>ROUND(RAND()*4+6,1)</f>
      </c>
      <c r="I145" s="20" t="s">
        <v>25</v>
      </c>
      <c r="J145" s="23">
        <f>ROUND(86*1,0)&amp;"%"</f>
      </c>
    </row>
    <row x14ac:dyDescent="0.25" r="146" customHeight="1" ht="17.25">
      <c r="A146" s="24" t="s">
        <v>257</v>
      </c>
      <c r="B146" s="24"/>
      <c r="C146" s="24"/>
      <c r="D146" s="24"/>
      <c r="E146" s="25">
        <v>8</v>
      </c>
      <c r="F146" s="9"/>
      <c r="G146" s="9"/>
      <c r="H146" s="10"/>
      <c r="I146" s="9"/>
      <c r="J146" s="9"/>
    </row>
    <row x14ac:dyDescent="0.25" r="147" customHeight="1" ht="17.25">
      <c r="A147" s="7"/>
      <c r="B147" s="7"/>
      <c r="C147" s="7"/>
      <c r="D147" s="7"/>
      <c r="E147" s="8"/>
      <c r="F147" s="9"/>
      <c r="G147" s="9"/>
      <c r="H147" s="10"/>
      <c r="I147" s="9"/>
      <c r="J147" s="9"/>
    </row>
    <row x14ac:dyDescent="0.25" r="148" customHeight="1" ht="17.25">
      <c r="A148" s="11" t="s">
        <v>691</v>
      </c>
      <c r="B148" s="11"/>
      <c r="C148" s="11"/>
      <c r="D148" s="11"/>
      <c r="E148" s="12"/>
      <c r="F148" s="11"/>
      <c r="G148" s="11"/>
      <c r="H148" s="13"/>
      <c r="I148" s="11"/>
      <c r="J148" s="11"/>
    </row>
    <row x14ac:dyDescent="0.25" r="149" customHeight="1" ht="17.25">
      <c r="A149" s="14" t="s">
        <v>3</v>
      </c>
      <c r="B149" s="14" t="s">
        <v>4</v>
      </c>
      <c r="C149" s="14" t="s">
        <v>5</v>
      </c>
      <c r="D149" s="14" t="s">
        <v>6</v>
      </c>
      <c r="E149" s="15" t="s">
        <v>7</v>
      </c>
      <c r="F149" s="14" t="s">
        <v>8</v>
      </c>
      <c r="G149" s="14" t="s">
        <v>9</v>
      </c>
      <c r="H149" s="16" t="s">
        <v>10</v>
      </c>
      <c r="I149" s="14" t="s">
        <v>11</v>
      </c>
      <c r="J149" s="14" t="s">
        <v>12</v>
      </c>
    </row>
    <row x14ac:dyDescent="0.25" r="150" customHeight="1" ht="17.25">
      <c r="A150" s="17" t="s">
        <v>692</v>
      </c>
      <c r="B150" s="17" t="s">
        <v>260</v>
      </c>
      <c r="C150" s="17" t="s">
        <v>133</v>
      </c>
      <c r="D150" s="17" t="s">
        <v>16</v>
      </c>
      <c r="E150" s="18">
        <f>ROUND(5730*1.05,2)</f>
      </c>
      <c r="F150" s="17" t="s">
        <v>17</v>
      </c>
      <c r="G150" s="17" t="s">
        <v>18</v>
      </c>
      <c r="H150" s="18">
        <f>ROUND(RAND()*4+6,1)</f>
      </c>
      <c r="I150" s="17" t="s">
        <v>19</v>
      </c>
      <c r="J150" s="19">
        <f>ROUND(68*1,0)&amp;"%"</f>
      </c>
    </row>
    <row x14ac:dyDescent="0.25" r="151" customHeight="1" ht="17.25">
      <c r="A151" s="20" t="s">
        <v>693</v>
      </c>
      <c r="B151" s="20" t="s">
        <v>262</v>
      </c>
      <c r="C151" s="20" t="s">
        <v>133</v>
      </c>
      <c r="D151" s="20" t="s">
        <v>22</v>
      </c>
      <c r="E151" s="21">
        <f>ROUND(15973*1.05,2)</f>
      </c>
      <c r="F151" s="20" t="s">
        <v>23</v>
      </c>
      <c r="G151" s="20" t="s">
        <v>24</v>
      </c>
      <c r="H151" s="21">
        <f>ROUND(RAND()*4+6,1)</f>
      </c>
      <c r="I151" s="20" t="s">
        <v>25</v>
      </c>
      <c r="J151" s="23">
        <f>ROUND(75*1,0)&amp;"%"</f>
      </c>
    </row>
    <row x14ac:dyDescent="0.25" r="152" customHeight="1" ht="17.25">
      <c r="A152" s="17" t="s">
        <v>694</v>
      </c>
      <c r="B152" s="17" t="s">
        <v>264</v>
      </c>
      <c r="C152" s="17" t="s">
        <v>133</v>
      </c>
      <c r="D152" s="17" t="s">
        <v>28</v>
      </c>
      <c r="E152" s="18">
        <f>ROUND(8544*1.05,2)</f>
      </c>
      <c r="F152" s="17" t="s">
        <v>29</v>
      </c>
      <c r="G152" s="17" t="s">
        <v>30</v>
      </c>
      <c r="H152" s="18">
        <f>ROUND(RAND()*4+6,1)</f>
      </c>
      <c r="I152" s="17" t="s">
        <v>31</v>
      </c>
      <c r="J152" s="19">
        <f>ROUND(85*1,0)&amp;"%"</f>
      </c>
    </row>
    <row x14ac:dyDescent="0.25" r="153" customHeight="1" ht="17.25">
      <c r="A153" s="20" t="s">
        <v>695</v>
      </c>
      <c r="B153" s="20" t="s">
        <v>266</v>
      </c>
      <c r="C153" s="20" t="s">
        <v>133</v>
      </c>
      <c r="D153" s="20" t="s">
        <v>34</v>
      </c>
      <c r="E153" s="21">
        <f>ROUND(10193*1.05,2)</f>
      </c>
      <c r="F153" s="20" t="s">
        <v>35</v>
      </c>
      <c r="G153" s="20" t="s">
        <v>18</v>
      </c>
      <c r="H153" s="22">
        <f>ROUND(RAND()*4+6,1)</f>
      </c>
      <c r="I153" s="20" t="s">
        <v>36</v>
      </c>
      <c r="J153" s="23">
        <f>ROUND(62*1,0)&amp;"%"</f>
      </c>
    </row>
    <row x14ac:dyDescent="0.25" r="154" customHeight="1" ht="17.25">
      <c r="A154" s="17" t="s">
        <v>696</v>
      </c>
      <c r="B154" s="17" t="s">
        <v>268</v>
      </c>
      <c r="C154" s="17" t="s">
        <v>133</v>
      </c>
      <c r="D154" s="17" t="s">
        <v>39</v>
      </c>
      <c r="E154" s="18">
        <f>ROUND(4914*1.05,2)</f>
      </c>
      <c r="F154" s="17" t="s">
        <v>40</v>
      </c>
      <c r="G154" s="17" t="s">
        <v>24</v>
      </c>
      <c r="H154" s="26">
        <f>ROUND(RAND()*4+6,1)</f>
      </c>
      <c r="I154" s="17" t="s">
        <v>41</v>
      </c>
      <c r="J154" s="19">
        <f>ROUND(86*1,0)&amp;"%"</f>
      </c>
    </row>
    <row x14ac:dyDescent="0.25" r="155" customHeight="1" ht="17.25">
      <c r="A155" s="20" t="s">
        <v>697</v>
      </c>
      <c r="B155" s="20" t="s">
        <v>270</v>
      </c>
      <c r="C155" s="20" t="s">
        <v>133</v>
      </c>
      <c r="D155" s="20" t="s">
        <v>67</v>
      </c>
      <c r="E155" s="21">
        <f>ROUND(5299*1.05,2)</f>
      </c>
      <c r="F155" s="20" t="s">
        <v>44</v>
      </c>
      <c r="G155" s="20" t="s">
        <v>30</v>
      </c>
      <c r="H155" s="21">
        <f>ROUND(RAND()*4+6,1)</f>
      </c>
      <c r="I155" s="20" t="s">
        <v>45</v>
      </c>
      <c r="J155" s="23">
        <f>ROUND(95*1,0)&amp;"%"</f>
      </c>
    </row>
    <row x14ac:dyDescent="0.25" r="156" customHeight="1" ht="17.25">
      <c r="A156" s="17" t="s">
        <v>698</v>
      </c>
      <c r="B156" s="17" t="s">
        <v>272</v>
      </c>
      <c r="C156" s="17" t="s">
        <v>133</v>
      </c>
      <c r="D156" s="17" t="s">
        <v>16</v>
      </c>
      <c r="E156" s="18">
        <f>ROUND(17315*1.05,2)</f>
      </c>
      <c r="F156" s="17" t="s">
        <v>48</v>
      </c>
      <c r="G156" s="17" t="s">
        <v>18</v>
      </c>
      <c r="H156" s="18">
        <f>ROUND(RAND()*4+6,1)</f>
      </c>
      <c r="I156" s="17" t="s">
        <v>19</v>
      </c>
      <c r="J156" s="19">
        <f>ROUND(83*1,0)&amp;"%"</f>
      </c>
    </row>
    <row x14ac:dyDescent="0.25" r="157" customHeight="1" ht="17.25">
      <c r="A157" s="20" t="s">
        <v>699</v>
      </c>
      <c r="B157" s="20" t="s">
        <v>274</v>
      </c>
      <c r="C157" s="20" t="s">
        <v>133</v>
      </c>
      <c r="D157" s="20" t="s">
        <v>22</v>
      </c>
      <c r="E157" s="21">
        <f>ROUND(14452*1.05,2)</f>
      </c>
      <c r="F157" s="20" t="s">
        <v>51</v>
      </c>
      <c r="G157" s="20" t="s">
        <v>24</v>
      </c>
      <c r="H157" s="21">
        <f>ROUND(RAND()*4+6,1)</f>
      </c>
      <c r="I157" s="20" t="s">
        <v>25</v>
      </c>
      <c r="J157" s="23">
        <f>ROUND(93*1,0)&amp;"%"</f>
      </c>
    </row>
    <row x14ac:dyDescent="0.25" r="158" customHeight="1" ht="17.25">
      <c r="A158" s="24" t="s">
        <v>275</v>
      </c>
      <c r="B158" s="24"/>
      <c r="C158" s="24"/>
      <c r="D158" s="24"/>
      <c r="E158" s="25">
        <v>8</v>
      </c>
      <c r="F158" s="9"/>
      <c r="G158" s="9"/>
      <c r="H158" s="10"/>
      <c r="I158" s="9"/>
      <c r="J158" s="9"/>
    </row>
    <row x14ac:dyDescent="0.25" r="159" customHeight="1" ht="17.25">
      <c r="A159" s="7"/>
      <c r="B159" s="7"/>
      <c r="C159" s="7"/>
      <c r="D159" s="7"/>
      <c r="E159" s="8"/>
      <c r="F159" s="9"/>
      <c r="G159" s="9"/>
      <c r="H159" s="10"/>
      <c r="I159" s="9"/>
      <c r="J159" s="9"/>
    </row>
    <row x14ac:dyDescent="0.25" r="160" customHeight="1" ht="17.25">
      <c r="A160" s="11" t="s">
        <v>700</v>
      </c>
      <c r="B160" s="11"/>
      <c r="C160" s="11"/>
      <c r="D160" s="11"/>
      <c r="E160" s="12"/>
      <c r="F160" s="11"/>
      <c r="G160" s="11"/>
      <c r="H160" s="13"/>
      <c r="I160" s="11"/>
      <c r="J160" s="11"/>
    </row>
    <row x14ac:dyDescent="0.25" r="161" customHeight="1" ht="17.25">
      <c r="A161" s="14" t="s">
        <v>3</v>
      </c>
      <c r="B161" s="14" t="s">
        <v>4</v>
      </c>
      <c r="C161" s="14" t="s">
        <v>5</v>
      </c>
      <c r="D161" s="14" t="s">
        <v>6</v>
      </c>
      <c r="E161" s="15" t="s">
        <v>7</v>
      </c>
      <c r="F161" s="14" t="s">
        <v>8</v>
      </c>
      <c r="G161" s="14" t="s">
        <v>9</v>
      </c>
      <c r="H161" s="16" t="s">
        <v>10</v>
      </c>
      <c r="I161" s="14" t="s">
        <v>11</v>
      </c>
      <c r="J161" s="14" t="s">
        <v>12</v>
      </c>
    </row>
    <row x14ac:dyDescent="0.25" r="162" customHeight="1" ht="17.25">
      <c r="A162" s="17" t="s">
        <v>701</v>
      </c>
      <c r="B162" s="17" t="s">
        <v>278</v>
      </c>
      <c r="C162" s="17" t="s">
        <v>152</v>
      </c>
      <c r="D162" s="17" t="s">
        <v>16</v>
      </c>
      <c r="E162" s="18">
        <f>ROUND(15429*1.05,2)</f>
      </c>
      <c r="F162" s="17" t="s">
        <v>17</v>
      </c>
      <c r="G162" s="17" t="s">
        <v>18</v>
      </c>
      <c r="H162" s="18">
        <f>ROUND(RAND()*4+6,1)</f>
      </c>
      <c r="I162" s="17" t="s">
        <v>19</v>
      </c>
      <c r="J162" s="19">
        <f>ROUND(80*1,0)&amp;"%"</f>
      </c>
    </row>
    <row x14ac:dyDescent="0.25" r="163" customHeight="1" ht="17.25">
      <c r="A163" s="20" t="s">
        <v>702</v>
      </c>
      <c r="B163" s="20" t="s">
        <v>280</v>
      </c>
      <c r="C163" s="20" t="s">
        <v>152</v>
      </c>
      <c r="D163" s="20" t="s">
        <v>22</v>
      </c>
      <c r="E163" s="21">
        <f>ROUND(15224*1.05,2)</f>
      </c>
      <c r="F163" s="20" t="s">
        <v>23</v>
      </c>
      <c r="G163" s="20" t="s">
        <v>24</v>
      </c>
      <c r="H163" s="22">
        <f>ROUND(RAND()*4+6,1)</f>
      </c>
      <c r="I163" s="20" t="s">
        <v>25</v>
      </c>
      <c r="J163" s="23">
        <f>ROUND(65*1,0)&amp;"%"</f>
      </c>
    </row>
    <row x14ac:dyDescent="0.25" r="164" customHeight="1" ht="17.25">
      <c r="A164" s="17" t="s">
        <v>703</v>
      </c>
      <c r="B164" s="17" t="s">
        <v>282</v>
      </c>
      <c r="C164" s="17" t="s">
        <v>152</v>
      </c>
      <c r="D164" s="17" t="s">
        <v>28</v>
      </c>
      <c r="E164" s="18">
        <f>ROUND(10025*1.05,2)</f>
      </c>
      <c r="F164" s="17" t="s">
        <v>29</v>
      </c>
      <c r="G164" s="17" t="s">
        <v>30</v>
      </c>
      <c r="H164" s="18">
        <f>ROUND(RAND()*4+6,1)</f>
      </c>
      <c r="I164" s="17" t="s">
        <v>31</v>
      </c>
      <c r="J164" s="19">
        <f>ROUND(97*1,0)&amp;"%"</f>
      </c>
    </row>
    <row x14ac:dyDescent="0.25" r="165" customHeight="1" ht="17.25">
      <c r="A165" s="20" t="s">
        <v>704</v>
      </c>
      <c r="B165" s="20" t="s">
        <v>284</v>
      </c>
      <c r="C165" s="20" t="s">
        <v>152</v>
      </c>
      <c r="D165" s="20" t="s">
        <v>34</v>
      </c>
      <c r="E165" s="21">
        <f>ROUND(11301*1.05,2)</f>
      </c>
      <c r="F165" s="20" t="s">
        <v>35</v>
      </c>
      <c r="G165" s="20" t="s">
        <v>18</v>
      </c>
      <c r="H165" s="21">
        <f>ROUND(RAND()*4+6,1)</f>
      </c>
      <c r="I165" s="20" t="s">
        <v>36</v>
      </c>
      <c r="J165" s="23">
        <f>ROUND(77*1,0)&amp;"%"</f>
      </c>
    </row>
    <row x14ac:dyDescent="0.25" r="166" customHeight="1" ht="17.25">
      <c r="A166" s="17" t="s">
        <v>705</v>
      </c>
      <c r="B166" s="17" t="s">
        <v>286</v>
      </c>
      <c r="C166" s="17" t="s">
        <v>152</v>
      </c>
      <c r="D166" s="17" t="s">
        <v>39</v>
      </c>
      <c r="E166" s="18">
        <f>ROUND(15776*1.05,2)</f>
      </c>
      <c r="F166" s="17" t="s">
        <v>40</v>
      </c>
      <c r="G166" s="17" t="s">
        <v>24</v>
      </c>
      <c r="H166" s="18">
        <f>ROUND(RAND()*4+6,1)</f>
      </c>
      <c r="I166" s="17" t="s">
        <v>41</v>
      </c>
      <c r="J166" s="19">
        <f>ROUND(100*1,0)&amp;"%"</f>
      </c>
    </row>
    <row x14ac:dyDescent="0.25" r="167" customHeight="1" ht="17.25">
      <c r="A167" s="20" t="s">
        <v>706</v>
      </c>
      <c r="B167" s="20" t="s">
        <v>288</v>
      </c>
      <c r="C167" s="20" t="s">
        <v>152</v>
      </c>
      <c r="D167" s="20" t="s">
        <v>67</v>
      </c>
      <c r="E167" s="21">
        <f>ROUND(15001*1.05,2)</f>
      </c>
      <c r="F167" s="20" t="s">
        <v>44</v>
      </c>
      <c r="G167" s="20" t="s">
        <v>30</v>
      </c>
      <c r="H167" s="21">
        <f>ROUND(RAND()*4+6,1)</f>
      </c>
      <c r="I167" s="20" t="s">
        <v>45</v>
      </c>
      <c r="J167" s="23">
        <f>ROUND(94*1,0)&amp;"%"</f>
      </c>
    </row>
    <row x14ac:dyDescent="0.25" r="168" customHeight="1" ht="17.25">
      <c r="A168" s="17" t="s">
        <v>707</v>
      </c>
      <c r="B168" s="17" t="s">
        <v>290</v>
      </c>
      <c r="C168" s="17" t="s">
        <v>152</v>
      </c>
      <c r="D168" s="17" t="s">
        <v>16</v>
      </c>
      <c r="E168" s="18">
        <f>ROUND(7811*1.05,2)</f>
      </c>
      <c r="F168" s="17" t="s">
        <v>48</v>
      </c>
      <c r="G168" s="17" t="s">
        <v>18</v>
      </c>
      <c r="H168" s="18">
        <f>ROUND(RAND()*4+6,1)</f>
      </c>
      <c r="I168" s="17" t="s">
        <v>19</v>
      </c>
      <c r="J168" s="19">
        <f>ROUND(74*1,0)&amp;"%"</f>
      </c>
    </row>
    <row x14ac:dyDescent="0.25" r="169" customHeight="1" ht="17.25">
      <c r="A169" s="20" t="s">
        <v>708</v>
      </c>
      <c r="B169" s="20" t="s">
        <v>292</v>
      </c>
      <c r="C169" s="20" t="s">
        <v>152</v>
      </c>
      <c r="D169" s="20" t="s">
        <v>22</v>
      </c>
      <c r="E169" s="21">
        <f>ROUND(13274*1.05,2)</f>
      </c>
      <c r="F169" s="20" t="s">
        <v>51</v>
      </c>
      <c r="G169" s="20" t="s">
        <v>24</v>
      </c>
      <c r="H169" s="21">
        <f>ROUND(RAND()*4+6,1)</f>
      </c>
      <c r="I169" s="20" t="s">
        <v>25</v>
      </c>
      <c r="J169" s="23">
        <f>ROUND(93*1,0)&amp;"%"</f>
      </c>
    </row>
    <row x14ac:dyDescent="0.25" r="170" customHeight="1" ht="17.25">
      <c r="A170" s="24" t="s">
        <v>293</v>
      </c>
      <c r="B170" s="24"/>
      <c r="C170" s="24"/>
      <c r="D170" s="24"/>
      <c r="E170" s="25">
        <v>8</v>
      </c>
      <c r="F170" s="9"/>
      <c r="G170" s="9"/>
      <c r="H170" s="10"/>
      <c r="I170" s="9"/>
      <c r="J170" s="9"/>
    </row>
    <row x14ac:dyDescent="0.25" r="171" customHeight="1" ht="17.25">
      <c r="A171" s="7"/>
      <c r="B171" s="7"/>
      <c r="C171" s="7"/>
      <c r="D171" s="7"/>
      <c r="E171" s="8"/>
      <c r="F171" s="9"/>
      <c r="G171" s="9"/>
      <c r="H171" s="10"/>
      <c r="I171" s="9"/>
      <c r="J171" s="9"/>
    </row>
    <row x14ac:dyDescent="0.25" r="172" customHeight="1" ht="17.25">
      <c r="A172" s="11" t="s">
        <v>709</v>
      </c>
      <c r="B172" s="11"/>
      <c r="C172" s="11"/>
      <c r="D172" s="11"/>
      <c r="E172" s="12"/>
      <c r="F172" s="11"/>
      <c r="G172" s="11"/>
      <c r="H172" s="13"/>
      <c r="I172" s="11"/>
      <c r="J172" s="11"/>
    </row>
    <row x14ac:dyDescent="0.25" r="173" customHeight="1" ht="17.25">
      <c r="A173" s="14" t="s">
        <v>3</v>
      </c>
      <c r="B173" s="14" t="s">
        <v>4</v>
      </c>
      <c r="C173" s="14" t="s">
        <v>5</v>
      </c>
      <c r="D173" s="14" t="s">
        <v>6</v>
      </c>
      <c r="E173" s="15" t="s">
        <v>7</v>
      </c>
      <c r="F173" s="14" t="s">
        <v>8</v>
      </c>
      <c r="G173" s="14" t="s">
        <v>9</v>
      </c>
      <c r="H173" s="16" t="s">
        <v>10</v>
      </c>
      <c r="I173" s="14" t="s">
        <v>11</v>
      </c>
      <c r="J173" s="14" t="s">
        <v>12</v>
      </c>
    </row>
    <row x14ac:dyDescent="0.25" r="174" customHeight="1" ht="17.25">
      <c r="A174" s="17" t="s">
        <v>710</v>
      </c>
      <c r="B174" s="17" t="s">
        <v>296</v>
      </c>
      <c r="C174" s="17" t="s">
        <v>15</v>
      </c>
      <c r="D174" s="17" t="s">
        <v>16</v>
      </c>
      <c r="E174" s="18">
        <f>ROUND(15221*1.05,2)</f>
      </c>
      <c r="F174" s="17" t="s">
        <v>17</v>
      </c>
      <c r="G174" s="17" t="s">
        <v>18</v>
      </c>
      <c r="H174" s="26">
        <f>ROUND(RAND()*4+6,1)</f>
      </c>
      <c r="I174" s="17" t="s">
        <v>19</v>
      </c>
      <c r="J174" s="19">
        <f>ROUND(81*1,0)&amp;"%"</f>
      </c>
    </row>
    <row x14ac:dyDescent="0.25" r="175" customHeight="1" ht="17.25">
      <c r="A175" s="20" t="s">
        <v>711</v>
      </c>
      <c r="B175" s="20" t="s">
        <v>298</v>
      </c>
      <c r="C175" s="20" t="s">
        <v>15</v>
      </c>
      <c r="D175" s="20" t="s">
        <v>22</v>
      </c>
      <c r="E175" s="21">
        <f>ROUND(4594*1.05,2)</f>
      </c>
      <c r="F175" s="20" t="s">
        <v>23</v>
      </c>
      <c r="G175" s="20" t="s">
        <v>24</v>
      </c>
      <c r="H175" s="21">
        <f>ROUND(RAND()*4+6,1)</f>
      </c>
      <c r="I175" s="20" t="s">
        <v>25</v>
      </c>
      <c r="J175" s="23">
        <f>ROUND(78*1,0)&amp;"%"</f>
      </c>
    </row>
    <row x14ac:dyDescent="0.25" r="176" customHeight="1" ht="17.25">
      <c r="A176" s="17" t="s">
        <v>712</v>
      </c>
      <c r="B176" s="17" t="s">
        <v>300</v>
      </c>
      <c r="C176" s="17" t="s">
        <v>15</v>
      </c>
      <c r="D176" s="17" t="s">
        <v>28</v>
      </c>
      <c r="E176" s="18">
        <f>ROUND(4482*1.05,2)</f>
      </c>
      <c r="F176" s="17" t="s">
        <v>29</v>
      </c>
      <c r="G176" s="17" t="s">
        <v>30</v>
      </c>
      <c r="H176" s="18">
        <f>ROUND(RAND()*4+6,1)</f>
      </c>
      <c r="I176" s="17" t="s">
        <v>31</v>
      </c>
      <c r="J176" s="19">
        <f>ROUND(91*1,0)&amp;"%"</f>
      </c>
    </row>
    <row x14ac:dyDescent="0.25" r="177" customHeight="1" ht="17.25">
      <c r="A177" s="20" t="s">
        <v>713</v>
      </c>
      <c r="B177" s="20" t="s">
        <v>302</v>
      </c>
      <c r="C177" s="20" t="s">
        <v>15</v>
      </c>
      <c r="D177" s="20" t="s">
        <v>34</v>
      </c>
      <c r="E177" s="21">
        <f>ROUND(6874*1.05,2)</f>
      </c>
      <c r="F177" s="20" t="s">
        <v>35</v>
      </c>
      <c r="G177" s="20" t="s">
        <v>18</v>
      </c>
      <c r="H177" s="21">
        <f>ROUND(RAND()*4+6,1)</f>
      </c>
      <c r="I177" s="20" t="s">
        <v>36</v>
      </c>
      <c r="J177" s="23">
        <f>ROUND(86*1,0)&amp;"%"</f>
      </c>
    </row>
    <row x14ac:dyDescent="0.25" r="178" customHeight="1" ht="17.25">
      <c r="A178" s="17" t="s">
        <v>714</v>
      </c>
      <c r="B178" s="17" t="s">
        <v>304</v>
      </c>
      <c r="C178" s="17" t="s">
        <v>15</v>
      </c>
      <c r="D178" s="17" t="s">
        <v>39</v>
      </c>
      <c r="E178" s="18">
        <f>ROUND(8648*1.05,2)</f>
      </c>
      <c r="F178" s="17" t="s">
        <v>40</v>
      </c>
      <c r="G178" s="17" t="s">
        <v>24</v>
      </c>
      <c r="H178" s="18">
        <f>ROUND(RAND()*4+6,1)</f>
      </c>
      <c r="I178" s="17" t="s">
        <v>41</v>
      </c>
      <c r="J178" s="19">
        <f>ROUND(67*1,0)&amp;"%"</f>
      </c>
    </row>
    <row x14ac:dyDescent="0.25" r="179" customHeight="1" ht="17.25">
      <c r="A179" s="20" t="s">
        <v>715</v>
      </c>
      <c r="B179" s="20" t="s">
        <v>306</v>
      </c>
      <c r="C179" s="20" t="s">
        <v>15</v>
      </c>
      <c r="D179" s="20" t="s">
        <v>67</v>
      </c>
      <c r="E179" s="21">
        <f>ROUND(16649*1.05,2)</f>
      </c>
      <c r="F179" s="20" t="s">
        <v>44</v>
      </c>
      <c r="G179" s="20" t="s">
        <v>30</v>
      </c>
      <c r="H179" s="21">
        <f>ROUND(RAND()*4+6,1)</f>
      </c>
      <c r="I179" s="20" t="s">
        <v>45</v>
      </c>
      <c r="J179" s="23">
        <f>ROUND(76*1,0)&amp;"%"</f>
      </c>
    </row>
    <row x14ac:dyDescent="0.25" r="180" customHeight="1" ht="17.25">
      <c r="A180" s="17" t="s">
        <v>716</v>
      </c>
      <c r="B180" s="17" t="s">
        <v>308</v>
      </c>
      <c r="C180" s="17" t="s">
        <v>15</v>
      </c>
      <c r="D180" s="17" t="s">
        <v>16</v>
      </c>
      <c r="E180" s="18">
        <f>ROUND(14455*1.05,2)</f>
      </c>
      <c r="F180" s="17" t="s">
        <v>48</v>
      </c>
      <c r="G180" s="17" t="s">
        <v>18</v>
      </c>
      <c r="H180" s="18">
        <f>ROUND(RAND()*4+6,1)</f>
      </c>
      <c r="I180" s="17" t="s">
        <v>19</v>
      </c>
      <c r="J180" s="19">
        <f>ROUND(99*1,0)&amp;"%"</f>
      </c>
    </row>
    <row x14ac:dyDescent="0.25" r="181" customHeight="1" ht="17.25">
      <c r="A181" s="20" t="s">
        <v>717</v>
      </c>
      <c r="B181" s="20" t="s">
        <v>310</v>
      </c>
      <c r="C181" s="20" t="s">
        <v>15</v>
      </c>
      <c r="D181" s="20" t="s">
        <v>22</v>
      </c>
      <c r="E181" s="21">
        <f>ROUND(14275*1.05,2)</f>
      </c>
      <c r="F181" s="20" t="s">
        <v>51</v>
      </c>
      <c r="G181" s="20" t="s">
        <v>24</v>
      </c>
      <c r="H181" s="21">
        <f>ROUND(RAND()*4+6,1)</f>
      </c>
      <c r="I181" s="20" t="s">
        <v>25</v>
      </c>
      <c r="J181" s="23">
        <f>ROUND(79*1,0)&amp;"%"</f>
      </c>
    </row>
    <row x14ac:dyDescent="0.25" r="182" customHeight="1" ht="17.25">
      <c r="A182" s="24" t="s">
        <v>311</v>
      </c>
      <c r="B182" s="24"/>
      <c r="C182" s="24"/>
      <c r="D182" s="24"/>
      <c r="E182" s="25">
        <v>8</v>
      </c>
      <c r="F182" s="9"/>
      <c r="G182" s="9"/>
      <c r="H182" s="10"/>
      <c r="I182" s="9"/>
      <c r="J182" s="9"/>
    </row>
    <row x14ac:dyDescent="0.25" r="183" customHeight="1" ht="17.25">
      <c r="A183" s="7"/>
      <c r="B183" s="7"/>
      <c r="C183" s="7"/>
      <c r="D183" s="7"/>
      <c r="E183" s="8"/>
      <c r="F183" s="9"/>
      <c r="G183" s="9"/>
      <c r="H183" s="10"/>
      <c r="I183" s="9"/>
      <c r="J183" s="9"/>
    </row>
    <row x14ac:dyDescent="0.25" r="184" customHeight="1" ht="17.25">
      <c r="A184" s="11" t="s">
        <v>718</v>
      </c>
      <c r="B184" s="11"/>
      <c r="C184" s="11"/>
      <c r="D184" s="11"/>
      <c r="E184" s="12"/>
      <c r="F184" s="11"/>
      <c r="G184" s="11"/>
      <c r="H184" s="13"/>
      <c r="I184" s="11"/>
      <c r="J184" s="11"/>
    </row>
    <row x14ac:dyDescent="0.25" r="185" customHeight="1" ht="17.25">
      <c r="A185" s="14" t="s">
        <v>3</v>
      </c>
      <c r="B185" s="14" t="s">
        <v>4</v>
      </c>
      <c r="C185" s="14" t="s">
        <v>5</v>
      </c>
      <c r="D185" s="14" t="s">
        <v>6</v>
      </c>
      <c r="E185" s="15" t="s">
        <v>7</v>
      </c>
      <c r="F185" s="14" t="s">
        <v>8</v>
      </c>
      <c r="G185" s="14" t="s">
        <v>9</v>
      </c>
      <c r="H185" s="16" t="s">
        <v>10</v>
      </c>
      <c r="I185" s="14" t="s">
        <v>11</v>
      </c>
      <c r="J185" s="14" t="s">
        <v>12</v>
      </c>
    </row>
    <row x14ac:dyDescent="0.25" r="186" customHeight="1" ht="17.25">
      <c r="A186" s="17" t="s">
        <v>719</v>
      </c>
      <c r="B186" s="17" t="s">
        <v>314</v>
      </c>
      <c r="C186" s="17" t="s">
        <v>56</v>
      </c>
      <c r="D186" s="17" t="s">
        <v>16</v>
      </c>
      <c r="E186" s="26">
        <f>ROUND(9480*1.05,2)</f>
      </c>
      <c r="F186" s="17" t="s">
        <v>17</v>
      </c>
      <c r="G186" s="17" t="s">
        <v>18</v>
      </c>
      <c r="H186" s="18">
        <f>ROUND(RAND()*4+6,1)</f>
      </c>
      <c r="I186" s="17" t="s">
        <v>19</v>
      </c>
      <c r="J186" s="19">
        <f>ROUND(63*1,0)&amp;"%"</f>
      </c>
    </row>
    <row x14ac:dyDescent="0.25" r="187" customHeight="1" ht="17.25">
      <c r="A187" s="20" t="s">
        <v>720</v>
      </c>
      <c r="B187" s="20" t="s">
        <v>316</v>
      </c>
      <c r="C187" s="20" t="s">
        <v>56</v>
      </c>
      <c r="D187" s="20" t="s">
        <v>22</v>
      </c>
      <c r="E187" s="21">
        <f>ROUND(13593*1.05,2)</f>
      </c>
      <c r="F187" s="20" t="s">
        <v>23</v>
      </c>
      <c r="G187" s="20" t="s">
        <v>24</v>
      </c>
      <c r="H187" s="21">
        <f>ROUND(RAND()*4+6,1)</f>
      </c>
      <c r="I187" s="20" t="s">
        <v>25</v>
      </c>
      <c r="J187" s="23">
        <f>ROUND(70*1,0)&amp;"%"</f>
      </c>
    </row>
    <row x14ac:dyDescent="0.25" r="188" customHeight="1" ht="17.25">
      <c r="A188" s="17" t="s">
        <v>721</v>
      </c>
      <c r="B188" s="17" t="s">
        <v>318</v>
      </c>
      <c r="C188" s="17" t="s">
        <v>56</v>
      </c>
      <c r="D188" s="17" t="s">
        <v>28</v>
      </c>
      <c r="E188" s="18">
        <f>ROUND(5409*1.05,2)</f>
      </c>
      <c r="F188" s="17" t="s">
        <v>29</v>
      </c>
      <c r="G188" s="17" t="s">
        <v>30</v>
      </c>
      <c r="H188" s="18">
        <f>ROUND(RAND()*4+6,1)</f>
      </c>
      <c r="I188" s="17" t="s">
        <v>31</v>
      </c>
      <c r="J188" s="19">
        <f>ROUND(80*1,0)&amp;"%"</f>
      </c>
    </row>
    <row x14ac:dyDescent="0.25" r="189" customHeight="1" ht="17.25">
      <c r="A189" s="20" t="s">
        <v>722</v>
      </c>
      <c r="B189" s="20" t="s">
        <v>320</v>
      </c>
      <c r="C189" s="20" t="s">
        <v>56</v>
      </c>
      <c r="D189" s="20" t="s">
        <v>34</v>
      </c>
      <c r="E189" s="21">
        <f>ROUND(14718*1.05,2)</f>
      </c>
      <c r="F189" s="20" t="s">
        <v>35</v>
      </c>
      <c r="G189" s="20" t="s">
        <v>18</v>
      </c>
      <c r="H189" s="21">
        <f>ROUND(RAND()*4+6,1)</f>
      </c>
      <c r="I189" s="20" t="s">
        <v>36</v>
      </c>
      <c r="J189" s="23">
        <f>ROUND(99*1,0)&amp;"%"</f>
      </c>
    </row>
    <row x14ac:dyDescent="0.25" r="190" customHeight="1" ht="17.25">
      <c r="A190" s="17" t="s">
        <v>723</v>
      </c>
      <c r="B190" s="17" t="s">
        <v>322</v>
      </c>
      <c r="C190" s="17" t="s">
        <v>56</v>
      </c>
      <c r="D190" s="17" t="s">
        <v>39</v>
      </c>
      <c r="E190" s="18">
        <f>ROUND(11007*1.05,2)</f>
      </c>
      <c r="F190" s="17" t="s">
        <v>40</v>
      </c>
      <c r="G190" s="17" t="s">
        <v>24</v>
      </c>
      <c r="H190" s="26">
        <f>ROUND(RAND()*4+6,1)</f>
      </c>
      <c r="I190" s="17" t="s">
        <v>41</v>
      </c>
      <c r="J190" s="19">
        <f>ROUND(98*1,0)&amp;"%"</f>
      </c>
    </row>
    <row x14ac:dyDescent="0.25" r="191" customHeight="1" ht="17.25">
      <c r="A191" s="20" t="s">
        <v>724</v>
      </c>
      <c r="B191" s="20" t="s">
        <v>324</v>
      </c>
      <c r="C191" s="20" t="s">
        <v>56</v>
      </c>
      <c r="D191" s="20" t="s">
        <v>67</v>
      </c>
      <c r="E191" s="21">
        <f>ROUND(5613*1.05,2)</f>
      </c>
      <c r="F191" s="20" t="s">
        <v>44</v>
      </c>
      <c r="G191" s="20" t="s">
        <v>30</v>
      </c>
      <c r="H191" s="21">
        <f>ROUND(RAND()*4+6,1)</f>
      </c>
      <c r="I191" s="20" t="s">
        <v>45</v>
      </c>
      <c r="J191" s="23">
        <f>ROUND(83*1,0)&amp;"%"</f>
      </c>
    </row>
    <row x14ac:dyDescent="0.25" r="192" customHeight="1" ht="17.25">
      <c r="A192" s="17" t="s">
        <v>725</v>
      </c>
      <c r="B192" s="17" t="s">
        <v>326</v>
      </c>
      <c r="C192" s="17" t="s">
        <v>56</v>
      </c>
      <c r="D192" s="17" t="s">
        <v>16</v>
      </c>
      <c r="E192" s="18">
        <f>ROUND(14638*1.05,2)</f>
      </c>
      <c r="F192" s="17" t="s">
        <v>48</v>
      </c>
      <c r="G192" s="17" t="s">
        <v>18</v>
      </c>
      <c r="H192" s="18">
        <f>ROUND(RAND()*4+6,1)</f>
      </c>
      <c r="I192" s="17" t="s">
        <v>19</v>
      </c>
      <c r="J192" s="19">
        <f>ROUND(99*1,0)&amp;"%"</f>
      </c>
    </row>
    <row x14ac:dyDescent="0.25" r="193" customHeight="1" ht="17.25">
      <c r="A193" s="20" t="s">
        <v>726</v>
      </c>
      <c r="B193" s="20" t="s">
        <v>328</v>
      </c>
      <c r="C193" s="20" t="s">
        <v>56</v>
      </c>
      <c r="D193" s="20" t="s">
        <v>22</v>
      </c>
      <c r="E193" s="21">
        <f>ROUND(5971*1.05,2)</f>
      </c>
      <c r="F193" s="20" t="s">
        <v>51</v>
      </c>
      <c r="G193" s="20" t="s">
        <v>24</v>
      </c>
      <c r="H193" s="22">
        <f>ROUND(RAND()*4+6,1)</f>
      </c>
      <c r="I193" s="20" t="s">
        <v>25</v>
      </c>
      <c r="J193" s="23">
        <f>ROUND(64*1,0)&amp;"%"</f>
      </c>
    </row>
    <row x14ac:dyDescent="0.25" r="194" customHeight="1" ht="17.25">
      <c r="A194" s="24" t="s">
        <v>329</v>
      </c>
      <c r="B194" s="24"/>
      <c r="C194" s="24"/>
      <c r="D194" s="24"/>
      <c r="E194" s="25">
        <v>8</v>
      </c>
      <c r="F194" s="9"/>
      <c r="G194" s="9"/>
      <c r="H194" s="10"/>
      <c r="I194" s="9"/>
      <c r="J194" s="9"/>
    </row>
    <row x14ac:dyDescent="0.25" r="195" customHeight="1" ht="17.25">
      <c r="A195" s="7"/>
      <c r="B195" s="7"/>
      <c r="C195" s="7"/>
      <c r="D195" s="7"/>
      <c r="E195" s="8"/>
      <c r="F195" s="9"/>
      <c r="G195" s="9"/>
      <c r="H195" s="10"/>
      <c r="I195" s="9"/>
      <c r="J195" s="9"/>
    </row>
    <row x14ac:dyDescent="0.25" r="196" customHeight="1" ht="17.25">
      <c r="A196" s="11" t="s">
        <v>727</v>
      </c>
      <c r="B196" s="11"/>
      <c r="C196" s="11"/>
      <c r="D196" s="11"/>
      <c r="E196" s="12"/>
      <c r="F196" s="11"/>
      <c r="G196" s="11"/>
      <c r="H196" s="13"/>
      <c r="I196" s="11"/>
      <c r="J196" s="11"/>
    </row>
    <row x14ac:dyDescent="0.25" r="197" customHeight="1" ht="17.25">
      <c r="A197" s="14" t="s">
        <v>3</v>
      </c>
      <c r="B197" s="14" t="s">
        <v>4</v>
      </c>
      <c r="C197" s="14" t="s">
        <v>5</v>
      </c>
      <c r="D197" s="14" t="s">
        <v>6</v>
      </c>
      <c r="E197" s="15" t="s">
        <v>7</v>
      </c>
      <c r="F197" s="14" t="s">
        <v>8</v>
      </c>
      <c r="G197" s="14" t="s">
        <v>9</v>
      </c>
      <c r="H197" s="16" t="s">
        <v>10</v>
      </c>
      <c r="I197" s="14" t="s">
        <v>11</v>
      </c>
      <c r="J197" s="14" t="s">
        <v>12</v>
      </c>
    </row>
    <row x14ac:dyDescent="0.25" r="198" customHeight="1" ht="17.25">
      <c r="A198" s="17" t="s">
        <v>728</v>
      </c>
      <c r="B198" s="17" t="s">
        <v>332</v>
      </c>
      <c r="C198" s="17" t="s">
        <v>76</v>
      </c>
      <c r="D198" s="17" t="s">
        <v>16</v>
      </c>
      <c r="E198" s="18">
        <f>ROUND(14399*1.05,2)</f>
      </c>
      <c r="F198" s="17" t="s">
        <v>17</v>
      </c>
      <c r="G198" s="17" t="s">
        <v>18</v>
      </c>
      <c r="H198" s="18">
        <f>ROUND(RAND()*4+6,1)</f>
      </c>
      <c r="I198" s="17" t="s">
        <v>19</v>
      </c>
      <c r="J198" s="19">
        <f>ROUND(70*1,0)&amp;"%"</f>
      </c>
    </row>
    <row x14ac:dyDescent="0.25" r="199" customHeight="1" ht="17.25">
      <c r="A199" s="20" t="s">
        <v>729</v>
      </c>
      <c r="B199" s="20" t="s">
        <v>334</v>
      </c>
      <c r="C199" s="20" t="s">
        <v>76</v>
      </c>
      <c r="D199" s="20" t="s">
        <v>22</v>
      </c>
      <c r="E199" s="21">
        <f>ROUND(16538*1.05,2)</f>
      </c>
      <c r="F199" s="20" t="s">
        <v>23</v>
      </c>
      <c r="G199" s="20" t="s">
        <v>24</v>
      </c>
      <c r="H199" s="21">
        <f>ROUND(RAND()*4+6,1)</f>
      </c>
      <c r="I199" s="20" t="s">
        <v>25</v>
      </c>
      <c r="J199" s="23">
        <f>ROUND(69*1,0)&amp;"%"</f>
      </c>
    </row>
    <row x14ac:dyDescent="0.25" r="200" customHeight="1" ht="17.25">
      <c r="A200" s="17" t="s">
        <v>730</v>
      </c>
      <c r="B200" s="17" t="s">
        <v>336</v>
      </c>
      <c r="C200" s="17" t="s">
        <v>76</v>
      </c>
      <c r="D200" s="17" t="s">
        <v>28</v>
      </c>
      <c r="E200" s="18">
        <f>ROUND(13288*1.05,2)</f>
      </c>
      <c r="F200" s="17" t="s">
        <v>29</v>
      </c>
      <c r="G200" s="17" t="s">
        <v>30</v>
      </c>
      <c r="H200" s="18">
        <f>ROUND(RAND()*4+6,1)</f>
      </c>
      <c r="I200" s="17" t="s">
        <v>31</v>
      </c>
      <c r="J200" s="19">
        <f>ROUND(67*1,0)&amp;"%"</f>
      </c>
    </row>
    <row x14ac:dyDescent="0.25" r="201" customHeight="1" ht="17.25">
      <c r="A201" s="20" t="s">
        <v>731</v>
      </c>
      <c r="B201" s="20" t="s">
        <v>338</v>
      </c>
      <c r="C201" s="20" t="s">
        <v>76</v>
      </c>
      <c r="D201" s="20" t="s">
        <v>34</v>
      </c>
      <c r="E201" s="21">
        <f>ROUND(13045*1.05,2)</f>
      </c>
      <c r="F201" s="20" t="s">
        <v>35</v>
      </c>
      <c r="G201" s="20" t="s">
        <v>18</v>
      </c>
      <c r="H201" s="21">
        <f>ROUND(RAND()*4+6,1)</f>
      </c>
      <c r="I201" s="20" t="s">
        <v>36</v>
      </c>
      <c r="J201" s="23">
        <f>ROUND(94*1,0)&amp;"%"</f>
      </c>
    </row>
    <row x14ac:dyDescent="0.25" r="202" customHeight="1" ht="17.25">
      <c r="A202" s="17" t="s">
        <v>732</v>
      </c>
      <c r="B202" s="17" t="s">
        <v>340</v>
      </c>
      <c r="C202" s="17" t="s">
        <v>76</v>
      </c>
      <c r="D202" s="17" t="s">
        <v>39</v>
      </c>
      <c r="E202" s="18">
        <f>ROUND(4502*1.05,2)</f>
      </c>
      <c r="F202" s="17" t="s">
        <v>40</v>
      </c>
      <c r="G202" s="17" t="s">
        <v>24</v>
      </c>
      <c r="H202" s="18">
        <f>ROUND(RAND()*4+6,1)</f>
      </c>
      <c r="I202" s="17" t="s">
        <v>41</v>
      </c>
      <c r="J202" s="19">
        <f>ROUND(98*1,0)&amp;"%"</f>
      </c>
    </row>
    <row x14ac:dyDescent="0.25" r="203" customHeight="1" ht="17.25">
      <c r="A203" s="20" t="s">
        <v>733</v>
      </c>
      <c r="B203" s="20" t="s">
        <v>342</v>
      </c>
      <c r="C203" s="20" t="s">
        <v>76</v>
      </c>
      <c r="D203" s="20" t="s">
        <v>67</v>
      </c>
      <c r="E203" s="21">
        <f>ROUND(4758*1.05,2)</f>
      </c>
      <c r="F203" s="20" t="s">
        <v>44</v>
      </c>
      <c r="G203" s="20" t="s">
        <v>30</v>
      </c>
      <c r="H203" s="21">
        <f>ROUND(RAND()*4+6,1)</f>
      </c>
      <c r="I203" s="20" t="s">
        <v>45</v>
      </c>
      <c r="J203" s="23">
        <f>ROUND(66*1,0)&amp;"%"</f>
      </c>
    </row>
    <row x14ac:dyDescent="0.25" r="204" customHeight="1" ht="17.25">
      <c r="A204" s="17" t="s">
        <v>734</v>
      </c>
      <c r="B204" s="17" t="s">
        <v>344</v>
      </c>
      <c r="C204" s="17" t="s">
        <v>76</v>
      </c>
      <c r="D204" s="17" t="s">
        <v>16</v>
      </c>
      <c r="E204" s="18">
        <f>ROUND(9673*1.05,2)</f>
      </c>
      <c r="F204" s="17" t="s">
        <v>48</v>
      </c>
      <c r="G204" s="17" t="s">
        <v>18</v>
      </c>
      <c r="H204" s="18">
        <f>ROUND(RAND()*4+6,1)</f>
      </c>
      <c r="I204" s="17" t="s">
        <v>19</v>
      </c>
      <c r="J204" s="19">
        <f>ROUND(80*1,0)&amp;"%"</f>
      </c>
    </row>
    <row x14ac:dyDescent="0.25" r="205" customHeight="1" ht="17.25">
      <c r="A205" s="20" t="s">
        <v>735</v>
      </c>
      <c r="B205" s="20" t="s">
        <v>346</v>
      </c>
      <c r="C205" s="20" t="s">
        <v>76</v>
      </c>
      <c r="D205" s="20" t="s">
        <v>22</v>
      </c>
      <c r="E205" s="21">
        <f>ROUND(6718*1.05,2)</f>
      </c>
      <c r="F205" s="20" t="s">
        <v>51</v>
      </c>
      <c r="G205" s="20" t="s">
        <v>24</v>
      </c>
      <c r="H205" s="21">
        <f>ROUND(RAND()*4+6,1)</f>
      </c>
      <c r="I205" s="20" t="s">
        <v>25</v>
      </c>
      <c r="J205" s="23">
        <f>ROUND(87*1,0)&amp;"%"</f>
      </c>
    </row>
    <row x14ac:dyDescent="0.25" r="206" customHeight="1" ht="17.25">
      <c r="A206" s="24" t="s">
        <v>347</v>
      </c>
      <c r="B206" s="24"/>
      <c r="C206" s="24"/>
      <c r="D206" s="24"/>
      <c r="E206" s="25">
        <v>8</v>
      </c>
      <c r="F206" s="9"/>
      <c r="G206" s="9"/>
      <c r="H206" s="10"/>
      <c r="I206" s="9"/>
      <c r="J206" s="9"/>
    </row>
    <row x14ac:dyDescent="0.25" r="207" customHeight="1" ht="17.25">
      <c r="A207" s="7"/>
      <c r="B207" s="7"/>
      <c r="C207" s="7"/>
      <c r="D207" s="7"/>
      <c r="E207" s="8"/>
      <c r="F207" s="9"/>
      <c r="G207" s="9"/>
      <c r="H207" s="10"/>
      <c r="I207" s="9"/>
      <c r="J207" s="9"/>
    </row>
    <row x14ac:dyDescent="0.25" r="208" customHeight="1" ht="17.25">
      <c r="A208" s="11" t="s">
        <v>736</v>
      </c>
      <c r="B208" s="11"/>
      <c r="C208" s="11"/>
      <c r="D208" s="11"/>
      <c r="E208" s="12"/>
      <c r="F208" s="11"/>
      <c r="G208" s="11"/>
      <c r="H208" s="13"/>
      <c r="I208" s="11"/>
      <c r="J208" s="11"/>
    </row>
    <row x14ac:dyDescent="0.25" r="209" customHeight="1" ht="17.25">
      <c r="A209" s="14" t="s">
        <v>3</v>
      </c>
      <c r="B209" s="14" t="s">
        <v>4</v>
      </c>
      <c r="C209" s="14" t="s">
        <v>5</v>
      </c>
      <c r="D209" s="14" t="s">
        <v>6</v>
      </c>
      <c r="E209" s="15" t="s">
        <v>7</v>
      </c>
      <c r="F209" s="14" t="s">
        <v>8</v>
      </c>
      <c r="G209" s="14" t="s">
        <v>9</v>
      </c>
      <c r="H209" s="16" t="s">
        <v>10</v>
      </c>
      <c r="I209" s="14" t="s">
        <v>11</v>
      </c>
      <c r="J209" s="14" t="s">
        <v>12</v>
      </c>
    </row>
    <row x14ac:dyDescent="0.25" r="210" customHeight="1" ht="17.25">
      <c r="A210" s="17" t="s">
        <v>737</v>
      </c>
      <c r="B210" s="17" t="s">
        <v>350</v>
      </c>
      <c r="C210" s="17" t="s">
        <v>95</v>
      </c>
      <c r="D210" s="17" t="s">
        <v>16</v>
      </c>
      <c r="E210" s="18">
        <f>ROUND(17883*1.05,2)</f>
      </c>
      <c r="F210" s="17" t="s">
        <v>17</v>
      </c>
      <c r="G210" s="17" t="s">
        <v>18</v>
      </c>
      <c r="H210" s="18">
        <f>ROUND(RAND()*4+6,1)</f>
      </c>
      <c r="I210" s="17" t="s">
        <v>19</v>
      </c>
      <c r="J210" s="19">
        <f>ROUND(94*1,0)&amp;"%"</f>
      </c>
    </row>
    <row x14ac:dyDescent="0.25" r="211" customHeight="1" ht="17.25">
      <c r="A211" s="20" t="s">
        <v>738</v>
      </c>
      <c r="B211" s="20" t="s">
        <v>352</v>
      </c>
      <c r="C211" s="20" t="s">
        <v>95</v>
      </c>
      <c r="D211" s="20" t="s">
        <v>22</v>
      </c>
      <c r="E211" s="21">
        <f>ROUND(7721*1.05,2)</f>
      </c>
      <c r="F211" s="20" t="s">
        <v>23</v>
      </c>
      <c r="G211" s="20" t="s">
        <v>24</v>
      </c>
      <c r="H211" s="21">
        <f>ROUND(RAND()*4+6,1)</f>
      </c>
      <c r="I211" s="20" t="s">
        <v>25</v>
      </c>
      <c r="J211" s="23">
        <f>ROUND(76*1,0)&amp;"%"</f>
      </c>
    </row>
    <row x14ac:dyDescent="0.25" r="212" customHeight="1" ht="17.25">
      <c r="A212" s="17" t="s">
        <v>739</v>
      </c>
      <c r="B212" s="17" t="s">
        <v>354</v>
      </c>
      <c r="C212" s="17" t="s">
        <v>95</v>
      </c>
      <c r="D212" s="17" t="s">
        <v>28</v>
      </c>
      <c r="E212" s="18">
        <f>ROUND(16034*1.05,2)</f>
      </c>
      <c r="F212" s="17" t="s">
        <v>29</v>
      </c>
      <c r="G212" s="17" t="s">
        <v>30</v>
      </c>
      <c r="H212" s="26">
        <f>ROUND(RAND()*4+6,1)</f>
      </c>
      <c r="I212" s="17" t="s">
        <v>31</v>
      </c>
      <c r="J212" s="19">
        <f>ROUND(61*1,0)&amp;"%"</f>
      </c>
    </row>
    <row x14ac:dyDescent="0.25" r="213" customHeight="1" ht="17.25">
      <c r="A213" s="20" t="s">
        <v>740</v>
      </c>
      <c r="B213" s="20" t="s">
        <v>356</v>
      </c>
      <c r="C213" s="20" t="s">
        <v>95</v>
      </c>
      <c r="D213" s="20" t="s">
        <v>34</v>
      </c>
      <c r="E213" s="21">
        <f>ROUND(9911*1.05,2)</f>
      </c>
      <c r="F213" s="20" t="s">
        <v>35</v>
      </c>
      <c r="G213" s="20" t="s">
        <v>18</v>
      </c>
      <c r="H213" s="21">
        <f>ROUND(RAND()*4+6,1)</f>
      </c>
      <c r="I213" s="20" t="s">
        <v>36</v>
      </c>
      <c r="J213" s="23">
        <f>ROUND(100*1,0)&amp;"%"</f>
      </c>
    </row>
    <row x14ac:dyDescent="0.25" r="214" customHeight="1" ht="17.25">
      <c r="A214" s="17" t="s">
        <v>741</v>
      </c>
      <c r="B214" s="17" t="s">
        <v>358</v>
      </c>
      <c r="C214" s="17" t="s">
        <v>95</v>
      </c>
      <c r="D214" s="17" t="s">
        <v>39</v>
      </c>
      <c r="E214" s="18">
        <f>ROUND(12527*1.05,2)</f>
      </c>
      <c r="F214" s="17" t="s">
        <v>40</v>
      </c>
      <c r="G214" s="17" t="s">
        <v>24</v>
      </c>
      <c r="H214" s="18">
        <f>ROUND(RAND()*4+6,1)</f>
      </c>
      <c r="I214" s="17" t="s">
        <v>41</v>
      </c>
      <c r="J214" s="19">
        <f>ROUND(63*1,0)&amp;"%"</f>
      </c>
    </row>
    <row x14ac:dyDescent="0.25" r="215" customHeight="1" ht="17.25">
      <c r="A215" s="20" t="s">
        <v>742</v>
      </c>
      <c r="B215" s="20" t="s">
        <v>360</v>
      </c>
      <c r="C215" s="20" t="s">
        <v>95</v>
      </c>
      <c r="D215" s="20" t="s">
        <v>67</v>
      </c>
      <c r="E215" s="22">
        <f>ROUND(15980*1.05,2)</f>
      </c>
      <c r="F215" s="20" t="s">
        <v>44</v>
      </c>
      <c r="G215" s="20" t="s">
        <v>30</v>
      </c>
      <c r="H215" s="21">
        <f>ROUND(RAND()*4+6,1)</f>
      </c>
      <c r="I215" s="20" t="s">
        <v>45</v>
      </c>
      <c r="J215" s="23">
        <f>ROUND(100*1,0)&amp;"%"</f>
      </c>
    </row>
    <row x14ac:dyDescent="0.25" r="216" customHeight="1" ht="17.25">
      <c r="A216" s="17" t="s">
        <v>743</v>
      </c>
      <c r="B216" s="17" t="s">
        <v>362</v>
      </c>
      <c r="C216" s="17" t="s">
        <v>95</v>
      </c>
      <c r="D216" s="17" t="s">
        <v>16</v>
      </c>
      <c r="E216" s="26">
        <f>ROUND(11360*1.05,2)</f>
      </c>
      <c r="F216" s="17" t="s">
        <v>48</v>
      </c>
      <c r="G216" s="17" t="s">
        <v>18</v>
      </c>
      <c r="H216" s="18">
        <f>ROUND(RAND()*4+6,1)</f>
      </c>
      <c r="I216" s="17" t="s">
        <v>19</v>
      </c>
      <c r="J216" s="19">
        <f>ROUND(75*1,0)&amp;"%"</f>
      </c>
    </row>
    <row x14ac:dyDescent="0.25" r="217" customHeight="1" ht="17.25">
      <c r="A217" s="20" t="s">
        <v>744</v>
      </c>
      <c r="B217" s="20" t="s">
        <v>364</v>
      </c>
      <c r="C217" s="20" t="s">
        <v>95</v>
      </c>
      <c r="D217" s="20" t="s">
        <v>22</v>
      </c>
      <c r="E217" s="21">
        <f>ROUND(15885*1.05,2)</f>
      </c>
      <c r="F217" s="20" t="s">
        <v>51</v>
      </c>
      <c r="G217" s="20" t="s">
        <v>24</v>
      </c>
      <c r="H217" s="21">
        <f>ROUND(RAND()*4+6,1)</f>
      </c>
      <c r="I217" s="20" t="s">
        <v>25</v>
      </c>
      <c r="J217" s="23">
        <f>ROUND(96*1,0)&amp;"%"</f>
      </c>
    </row>
    <row x14ac:dyDescent="0.25" r="218" customHeight="1" ht="17.25">
      <c r="A218" s="24" t="s">
        <v>365</v>
      </c>
      <c r="B218" s="24"/>
      <c r="C218" s="24"/>
      <c r="D218" s="24"/>
      <c r="E218" s="25">
        <v>8</v>
      </c>
      <c r="F218" s="9"/>
      <c r="G218" s="9"/>
      <c r="H218" s="10"/>
      <c r="I218" s="9"/>
      <c r="J218" s="9"/>
    </row>
    <row x14ac:dyDescent="0.25" r="219" customHeight="1" ht="17.25">
      <c r="A219" s="7"/>
      <c r="B219" s="7"/>
      <c r="C219" s="7"/>
      <c r="D219" s="7"/>
      <c r="E219" s="8"/>
      <c r="F219" s="9"/>
      <c r="G219" s="9"/>
      <c r="H219" s="10"/>
      <c r="I219" s="9"/>
      <c r="J219" s="9"/>
    </row>
    <row x14ac:dyDescent="0.25" r="220" customHeight="1" ht="17.25">
      <c r="A220" s="11" t="s">
        <v>745</v>
      </c>
      <c r="B220" s="11"/>
      <c r="C220" s="11"/>
      <c r="D220" s="11"/>
      <c r="E220" s="12"/>
      <c r="F220" s="11"/>
      <c r="G220" s="11"/>
      <c r="H220" s="13"/>
      <c r="I220" s="11"/>
      <c r="J220" s="11"/>
    </row>
    <row x14ac:dyDescent="0.25" r="221" customHeight="1" ht="17.25">
      <c r="A221" s="14" t="s">
        <v>3</v>
      </c>
      <c r="B221" s="14" t="s">
        <v>4</v>
      </c>
      <c r="C221" s="14" t="s">
        <v>5</v>
      </c>
      <c r="D221" s="14" t="s">
        <v>6</v>
      </c>
      <c r="E221" s="15" t="s">
        <v>7</v>
      </c>
      <c r="F221" s="14" t="s">
        <v>8</v>
      </c>
      <c r="G221" s="14" t="s">
        <v>9</v>
      </c>
      <c r="H221" s="16" t="s">
        <v>10</v>
      </c>
      <c r="I221" s="14" t="s">
        <v>11</v>
      </c>
      <c r="J221" s="14" t="s">
        <v>12</v>
      </c>
    </row>
    <row x14ac:dyDescent="0.25" r="222" customHeight="1" ht="17.25">
      <c r="A222" s="17" t="s">
        <v>746</v>
      </c>
      <c r="B222" s="17" t="s">
        <v>368</v>
      </c>
      <c r="C222" s="17" t="s">
        <v>114</v>
      </c>
      <c r="D222" s="17" t="s">
        <v>16</v>
      </c>
      <c r="E222" s="18">
        <f>ROUND(6450*1.05,2)</f>
      </c>
      <c r="F222" s="17" t="s">
        <v>17</v>
      </c>
      <c r="G222" s="17" t="s">
        <v>18</v>
      </c>
      <c r="H222" s="18">
        <f>ROUND(RAND()*4+6,1)</f>
      </c>
      <c r="I222" s="17" t="s">
        <v>19</v>
      </c>
      <c r="J222" s="19">
        <f>ROUND(99*1,0)&amp;"%"</f>
      </c>
    </row>
    <row x14ac:dyDescent="0.25" r="223" customHeight="1" ht="17.25">
      <c r="A223" s="20" t="s">
        <v>747</v>
      </c>
      <c r="B223" s="20" t="s">
        <v>370</v>
      </c>
      <c r="C223" s="20" t="s">
        <v>114</v>
      </c>
      <c r="D223" s="20" t="s">
        <v>22</v>
      </c>
      <c r="E223" s="22">
        <f>ROUND(8840*1.05,2)</f>
      </c>
      <c r="F223" s="20" t="s">
        <v>23</v>
      </c>
      <c r="G223" s="20" t="s">
        <v>24</v>
      </c>
      <c r="H223" s="21">
        <f>ROUND(RAND()*4+6,1)</f>
      </c>
      <c r="I223" s="20" t="s">
        <v>25</v>
      </c>
      <c r="J223" s="23">
        <f>ROUND(65*1,0)&amp;"%"</f>
      </c>
    </row>
    <row x14ac:dyDescent="0.25" r="224" customHeight="1" ht="17.25">
      <c r="A224" s="17" t="s">
        <v>748</v>
      </c>
      <c r="B224" s="17" t="s">
        <v>372</v>
      </c>
      <c r="C224" s="17" t="s">
        <v>114</v>
      </c>
      <c r="D224" s="17" t="s">
        <v>28</v>
      </c>
      <c r="E224" s="18">
        <f>ROUND(15015*1.05,2)</f>
      </c>
      <c r="F224" s="17" t="s">
        <v>29</v>
      </c>
      <c r="G224" s="17" t="s">
        <v>30</v>
      </c>
      <c r="H224" s="18">
        <f>ROUND(RAND()*4+6,1)</f>
      </c>
      <c r="I224" s="17" t="s">
        <v>31</v>
      </c>
      <c r="J224" s="19">
        <f>ROUND(95*1,0)&amp;"%"</f>
      </c>
    </row>
    <row x14ac:dyDescent="0.25" r="225" customHeight="1" ht="17.25">
      <c r="A225" s="20" t="s">
        <v>749</v>
      </c>
      <c r="B225" s="20" t="s">
        <v>374</v>
      </c>
      <c r="C225" s="20" t="s">
        <v>114</v>
      </c>
      <c r="D225" s="20" t="s">
        <v>34</v>
      </c>
      <c r="E225" s="21">
        <f>ROUND(4559*1.05,2)</f>
      </c>
      <c r="F225" s="20" t="s">
        <v>35</v>
      </c>
      <c r="G225" s="20" t="s">
        <v>18</v>
      </c>
      <c r="H225" s="21">
        <f>ROUND(RAND()*4+6,1)</f>
      </c>
      <c r="I225" s="20" t="s">
        <v>36</v>
      </c>
      <c r="J225" s="23">
        <f>ROUND(88*1,0)&amp;"%"</f>
      </c>
    </row>
    <row x14ac:dyDescent="0.25" r="226" customHeight="1" ht="17.25">
      <c r="A226" s="17" t="s">
        <v>750</v>
      </c>
      <c r="B226" s="17" t="s">
        <v>376</v>
      </c>
      <c r="C226" s="17" t="s">
        <v>114</v>
      </c>
      <c r="D226" s="17" t="s">
        <v>39</v>
      </c>
      <c r="E226" s="18">
        <f>ROUND(15391*1.05,2)</f>
      </c>
      <c r="F226" s="17" t="s">
        <v>40</v>
      </c>
      <c r="G226" s="17" t="s">
        <v>24</v>
      </c>
      <c r="H226" s="18">
        <f>ROUND(RAND()*4+6,1)</f>
      </c>
      <c r="I226" s="17" t="s">
        <v>41</v>
      </c>
      <c r="J226" s="19">
        <f>ROUND(80*1,0)&amp;"%"</f>
      </c>
    </row>
    <row x14ac:dyDescent="0.25" r="227" customHeight="1" ht="17.25">
      <c r="A227" s="20" t="s">
        <v>751</v>
      </c>
      <c r="B227" s="20" t="s">
        <v>378</v>
      </c>
      <c r="C227" s="20" t="s">
        <v>114</v>
      </c>
      <c r="D227" s="20" t="s">
        <v>67</v>
      </c>
      <c r="E227" s="21">
        <f>ROUND(4176*1.05,2)</f>
      </c>
      <c r="F227" s="20" t="s">
        <v>44</v>
      </c>
      <c r="G227" s="20" t="s">
        <v>30</v>
      </c>
      <c r="H227" s="21">
        <f>ROUND(RAND()*4+6,1)</f>
      </c>
      <c r="I227" s="20" t="s">
        <v>45</v>
      </c>
      <c r="J227" s="23">
        <f>ROUND(67*1,0)&amp;"%"</f>
      </c>
    </row>
    <row x14ac:dyDescent="0.25" r="228" customHeight="1" ht="17.25">
      <c r="A228" s="17" t="s">
        <v>752</v>
      </c>
      <c r="B228" s="17" t="s">
        <v>380</v>
      </c>
      <c r="C228" s="17" t="s">
        <v>114</v>
      </c>
      <c r="D228" s="17" t="s">
        <v>16</v>
      </c>
      <c r="E228" s="18">
        <f>ROUND(8717*1.05,2)</f>
      </c>
      <c r="F228" s="17" t="s">
        <v>48</v>
      </c>
      <c r="G228" s="17" t="s">
        <v>18</v>
      </c>
      <c r="H228" s="18">
        <f>ROUND(RAND()*4+6,1)</f>
      </c>
      <c r="I228" s="17" t="s">
        <v>19</v>
      </c>
      <c r="J228" s="19">
        <f>ROUND(82*1,0)&amp;"%"</f>
      </c>
    </row>
    <row x14ac:dyDescent="0.25" r="229" customHeight="1" ht="17.25">
      <c r="A229" s="20" t="s">
        <v>753</v>
      </c>
      <c r="B229" s="20" t="s">
        <v>382</v>
      </c>
      <c r="C229" s="20" t="s">
        <v>114</v>
      </c>
      <c r="D229" s="20" t="s">
        <v>22</v>
      </c>
      <c r="E229" s="22">
        <f>ROUND(14240*1.05,2)</f>
      </c>
      <c r="F229" s="20" t="s">
        <v>51</v>
      </c>
      <c r="G229" s="20" t="s">
        <v>24</v>
      </c>
      <c r="H229" s="21">
        <f>ROUND(RAND()*4+6,1)</f>
      </c>
      <c r="I229" s="20" t="s">
        <v>25</v>
      </c>
      <c r="J229" s="23">
        <f>ROUND(78*1,0)&amp;"%"</f>
      </c>
    </row>
    <row x14ac:dyDescent="0.25" r="230" customHeight="1" ht="17.25">
      <c r="A230" s="24" t="s">
        <v>383</v>
      </c>
      <c r="B230" s="24"/>
      <c r="C230" s="24"/>
      <c r="D230" s="24"/>
      <c r="E230" s="25">
        <v>8</v>
      </c>
      <c r="F230" s="9"/>
      <c r="G230" s="9"/>
      <c r="H230" s="10"/>
      <c r="I230" s="9"/>
      <c r="J230" s="9"/>
    </row>
    <row x14ac:dyDescent="0.25" r="231" customHeight="1" ht="17.25">
      <c r="A231" s="7"/>
      <c r="B231" s="7"/>
      <c r="C231" s="7"/>
      <c r="D231" s="7"/>
      <c r="E231" s="8"/>
      <c r="F231" s="9"/>
      <c r="G231" s="9"/>
      <c r="H231" s="10"/>
      <c r="I231" s="9"/>
      <c r="J231" s="9"/>
    </row>
    <row x14ac:dyDescent="0.25" r="232" customHeight="1" ht="17.25">
      <c r="A232" s="11" t="s">
        <v>754</v>
      </c>
      <c r="B232" s="11"/>
      <c r="C232" s="11"/>
      <c r="D232" s="11"/>
      <c r="E232" s="12"/>
      <c r="F232" s="11"/>
      <c r="G232" s="11"/>
      <c r="H232" s="13"/>
      <c r="I232" s="11"/>
      <c r="J232" s="11"/>
    </row>
    <row x14ac:dyDescent="0.25" r="233" customHeight="1" ht="17.25">
      <c r="A233" s="14" t="s">
        <v>3</v>
      </c>
      <c r="B233" s="14" t="s">
        <v>4</v>
      </c>
      <c r="C233" s="14" t="s">
        <v>5</v>
      </c>
      <c r="D233" s="14" t="s">
        <v>6</v>
      </c>
      <c r="E233" s="15" t="s">
        <v>7</v>
      </c>
      <c r="F233" s="14" t="s">
        <v>8</v>
      </c>
      <c r="G233" s="14" t="s">
        <v>9</v>
      </c>
      <c r="H233" s="16" t="s">
        <v>10</v>
      </c>
      <c r="I233" s="14" t="s">
        <v>11</v>
      </c>
      <c r="J233" s="14" t="s">
        <v>12</v>
      </c>
    </row>
    <row x14ac:dyDescent="0.25" r="234" customHeight="1" ht="17.25">
      <c r="A234" s="17" t="s">
        <v>755</v>
      </c>
      <c r="B234" s="17" t="s">
        <v>386</v>
      </c>
      <c r="C234" s="17" t="s">
        <v>133</v>
      </c>
      <c r="D234" s="17" t="s">
        <v>16</v>
      </c>
      <c r="E234" s="18">
        <f>ROUND(7093*1.05,2)</f>
      </c>
      <c r="F234" s="17" t="s">
        <v>17</v>
      </c>
      <c r="G234" s="17" t="s">
        <v>18</v>
      </c>
      <c r="H234" s="18">
        <f>ROUND(RAND()*4+6,1)</f>
      </c>
      <c r="I234" s="17" t="s">
        <v>19</v>
      </c>
      <c r="J234" s="19">
        <f>ROUND(67*1,0)&amp;"%"</f>
      </c>
    </row>
    <row x14ac:dyDescent="0.25" r="235" customHeight="1" ht="17.25">
      <c r="A235" s="20" t="s">
        <v>756</v>
      </c>
      <c r="B235" s="20" t="s">
        <v>388</v>
      </c>
      <c r="C235" s="20" t="s">
        <v>133</v>
      </c>
      <c r="D235" s="20" t="s">
        <v>22</v>
      </c>
      <c r="E235" s="21">
        <f>ROUND(10416*1.05,2)</f>
      </c>
      <c r="F235" s="20" t="s">
        <v>23</v>
      </c>
      <c r="G235" s="20" t="s">
        <v>24</v>
      </c>
      <c r="H235" s="21">
        <f>ROUND(RAND()*4+6,1)</f>
      </c>
      <c r="I235" s="20" t="s">
        <v>25</v>
      </c>
      <c r="J235" s="23">
        <f>ROUND(61*1,0)&amp;"%"</f>
      </c>
    </row>
    <row x14ac:dyDescent="0.25" r="236" customHeight="1" ht="17.25">
      <c r="A236" s="17" t="s">
        <v>757</v>
      </c>
      <c r="B236" s="17" t="s">
        <v>390</v>
      </c>
      <c r="C236" s="17" t="s">
        <v>133</v>
      </c>
      <c r="D236" s="17" t="s">
        <v>28</v>
      </c>
      <c r="E236" s="18">
        <f>ROUND(17961*1.05,2)</f>
      </c>
      <c r="F236" s="17" t="s">
        <v>29</v>
      </c>
      <c r="G236" s="17" t="s">
        <v>30</v>
      </c>
      <c r="H236" s="18">
        <f>ROUND(RAND()*4+6,1)</f>
      </c>
      <c r="I236" s="17" t="s">
        <v>31</v>
      </c>
      <c r="J236" s="19">
        <f>ROUND(82*1,0)&amp;"%"</f>
      </c>
    </row>
    <row x14ac:dyDescent="0.25" r="237" customHeight="1" ht="17.25">
      <c r="A237" s="20" t="s">
        <v>758</v>
      </c>
      <c r="B237" s="20" t="s">
        <v>392</v>
      </c>
      <c r="C237" s="20" t="s">
        <v>133</v>
      </c>
      <c r="D237" s="20" t="s">
        <v>34</v>
      </c>
      <c r="E237" s="21">
        <f>ROUND(5211*1.05,2)</f>
      </c>
      <c r="F237" s="20" t="s">
        <v>35</v>
      </c>
      <c r="G237" s="20" t="s">
        <v>18</v>
      </c>
      <c r="H237" s="21">
        <f>ROUND(RAND()*4+6,1)</f>
      </c>
      <c r="I237" s="20" t="s">
        <v>36</v>
      </c>
      <c r="J237" s="23">
        <f>ROUND(60*1,0)&amp;"%"</f>
      </c>
    </row>
    <row x14ac:dyDescent="0.25" r="238" customHeight="1" ht="17.25">
      <c r="A238" s="17" t="s">
        <v>759</v>
      </c>
      <c r="B238" s="17" t="s">
        <v>394</v>
      </c>
      <c r="C238" s="17" t="s">
        <v>133</v>
      </c>
      <c r="D238" s="17" t="s">
        <v>39</v>
      </c>
      <c r="E238" s="18">
        <f>ROUND(16244*1.05,2)</f>
      </c>
      <c r="F238" s="17" t="s">
        <v>40</v>
      </c>
      <c r="G238" s="17" t="s">
        <v>24</v>
      </c>
      <c r="H238" s="18">
        <f>ROUND(RAND()*4+6,1)</f>
      </c>
      <c r="I238" s="17" t="s">
        <v>41</v>
      </c>
      <c r="J238" s="19">
        <f>ROUND(87*1,0)&amp;"%"</f>
      </c>
    </row>
    <row x14ac:dyDescent="0.25" r="239" customHeight="1" ht="17.25">
      <c r="A239" s="20" t="s">
        <v>760</v>
      </c>
      <c r="B239" s="20" t="s">
        <v>396</v>
      </c>
      <c r="C239" s="20" t="s">
        <v>133</v>
      </c>
      <c r="D239" s="20" t="s">
        <v>67</v>
      </c>
      <c r="E239" s="22">
        <f>ROUND(12380*1.05,2)</f>
      </c>
      <c r="F239" s="20" t="s">
        <v>44</v>
      </c>
      <c r="G239" s="20" t="s">
        <v>30</v>
      </c>
      <c r="H239" s="22">
        <f>ROUND(RAND()*4+6,1)</f>
      </c>
      <c r="I239" s="20" t="s">
        <v>45</v>
      </c>
      <c r="J239" s="23">
        <f>ROUND(100*1,0)&amp;"%"</f>
      </c>
    </row>
    <row x14ac:dyDescent="0.25" r="240" customHeight="1" ht="17.25">
      <c r="A240" s="17" t="s">
        <v>761</v>
      </c>
      <c r="B240" s="17" t="s">
        <v>398</v>
      </c>
      <c r="C240" s="17" t="s">
        <v>133</v>
      </c>
      <c r="D240" s="17" t="s">
        <v>16</v>
      </c>
      <c r="E240" s="18">
        <f>ROUND(4509*1.05,2)</f>
      </c>
      <c r="F240" s="17" t="s">
        <v>48</v>
      </c>
      <c r="G240" s="17" t="s">
        <v>18</v>
      </c>
      <c r="H240" s="18">
        <f>ROUND(RAND()*4+6,1)</f>
      </c>
      <c r="I240" s="17" t="s">
        <v>19</v>
      </c>
      <c r="J240" s="19">
        <f>ROUND(74*1,0)&amp;"%"</f>
      </c>
    </row>
    <row x14ac:dyDescent="0.25" r="241" customHeight="1" ht="17.25">
      <c r="A241" s="20" t="s">
        <v>762</v>
      </c>
      <c r="B241" s="20" t="s">
        <v>400</v>
      </c>
      <c r="C241" s="20" t="s">
        <v>133</v>
      </c>
      <c r="D241" s="20" t="s">
        <v>22</v>
      </c>
      <c r="E241" s="21">
        <f>ROUND(14637*1.05,2)</f>
      </c>
      <c r="F241" s="20" t="s">
        <v>51</v>
      </c>
      <c r="G241" s="20" t="s">
        <v>24</v>
      </c>
      <c r="H241" s="21">
        <f>ROUND(RAND()*4+6,1)</f>
      </c>
      <c r="I241" s="20" t="s">
        <v>25</v>
      </c>
      <c r="J241" s="23">
        <f>ROUND(68*1,0)&amp;"%"</f>
      </c>
    </row>
    <row x14ac:dyDescent="0.25" r="242" customHeight="1" ht="17.25">
      <c r="A242" s="24" t="s">
        <v>401</v>
      </c>
      <c r="B242" s="24"/>
      <c r="C242" s="24"/>
      <c r="D242" s="24"/>
      <c r="E242" s="25">
        <v>8</v>
      </c>
      <c r="F242" s="9"/>
      <c r="G242" s="9"/>
      <c r="H242" s="10"/>
      <c r="I242" s="9"/>
      <c r="J242" s="9"/>
    </row>
    <row x14ac:dyDescent="0.25" r="243" customHeight="1" ht="17.25">
      <c r="A243" s="7"/>
      <c r="B243" s="7"/>
      <c r="C243" s="7"/>
      <c r="D243" s="7"/>
      <c r="E243" s="8"/>
      <c r="F243" s="9"/>
      <c r="G243" s="9"/>
      <c r="H243" s="10"/>
      <c r="I243" s="9"/>
      <c r="J243" s="9"/>
    </row>
    <row x14ac:dyDescent="0.25" r="244" customHeight="1" ht="17.25">
      <c r="A244" s="11" t="s">
        <v>763</v>
      </c>
      <c r="B244" s="11"/>
      <c r="C244" s="11"/>
      <c r="D244" s="11"/>
      <c r="E244" s="12"/>
      <c r="F244" s="11"/>
      <c r="G244" s="11"/>
      <c r="H244" s="13"/>
      <c r="I244" s="11"/>
      <c r="J244" s="11"/>
    </row>
    <row x14ac:dyDescent="0.25" r="245" customHeight="1" ht="17.25">
      <c r="A245" s="14" t="s">
        <v>3</v>
      </c>
      <c r="B245" s="14" t="s">
        <v>4</v>
      </c>
      <c r="C245" s="14" t="s">
        <v>5</v>
      </c>
      <c r="D245" s="14" t="s">
        <v>6</v>
      </c>
      <c r="E245" s="15" t="s">
        <v>7</v>
      </c>
      <c r="F245" s="14" t="s">
        <v>8</v>
      </c>
      <c r="G245" s="14" t="s">
        <v>9</v>
      </c>
      <c r="H245" s="16" t="s">
        <v>10</v>
      </c>
      <c r="I245" s="14" t="s">
        <v>11</v>
      </c>
      <c r="J245" s="14" t="s">
        <v>12</v>
      </c>
    </row>
    <row x14ac:dyDescent="0.25" r="246" customHeight="1" ht="17.25">
      <c r="A246" s="17" t="s">
        <v>764</v>
      </c>
      <c r="B246" s="17" t="s">
        <v>404</v>
      </c>
      <c r="C246" s="17" t="s">
        <v>152</v>
      </c>
      <c r="D246" s="17" t="s">
        <v>16</v>
      </c>
      <c r="E246" s="18">
        <f>ROUND(10582*1.05,2)</f>
      </c>
      <c r="F246" s="17" t="s">
        <v>17</v>
      </c>
      <c r="G246" s="17" t="s">
        <v>18</v>
      </c>
      <c r="H246" s="18">
        <f>ROUND(RAND()*4+6,1)</f>
      </c>
      <c r="I246" s="17" t="s">
        <v>19</v>
      </c>
      <c r="J246" s="19">
        <f>ROUND(94*1,0)&amp;"%"</f>
      </c>
    </row>
    <row x14ac:dyDescent="0.25" r="247" customHeight="1" ht="17.25">
      <c r="A247" s="20" t="s">
        <v>765</v>
      </c>
      <c r="B247" s="20" t="s">
        <v>406</v>
      </c>
      <c r="C247" s="20" t="s">
        <v>152</v>
      </c>
      <c r="D247" s="20" t="s">
        <v>22</v>
      </c>
      <c r="E247" s="21">
        <f>ROUND(6213*1.05,2)</f>
      </c>
      <c r="F247" s="20" t="s">
        <v>23</v>
      </c>
      <c r="G247" s="20" t="s">
        <v>24</v>
      </c>
      <c r="H247" s="21">
        <f>ROUND(RAND()*4+6,1)</f>
      </c>
      <c r="I247" s="20" t="s">
        <v>25</v>
      </c>
      <c r="J247" s="23">
        <f>ROUND(90*1,0)&amp;"%"</f>
      </c>
    </row>
    <row x14ac:dyDescent="0.25" r="248" customHeight="1" ht="17.25">
      <c r="A248" s="17" t="s">
        <v>766</v>
      </c>
      <c r="B248" s="17" t="s">
        <v>408</v>
      </c>
      <c r="C248" s="17" t="s">
        <v>152</v>
      </c>
      <c r="D248" s="17" t="s">
        <v>28</v>
      </c>
      <c r="E248" s="18">
        <f>ROUND(10864*1.05,2)</f>
      </c>
      <c r="F248" s="17" t="s">
        <v>29</v>
      </c>
      <c r="G248" s="17" t="s">
        <v>30</v>
      </c>
      <c r="H248" s="18">
        <f>ROUND(RAND()*4+6,1)</f>
      </c>
      <c r="I248" s="17" t="s">
        <v>31</v>
      </c>
      <c r="J248" s="19">
        <f>ROUND(72*1,0)&amp;"%"</f>
      </c>
    </row>
    <row x14ac:dyDescent="0.25" r="249" customHeight="1" ht="17.25">
      <c r="A249" s="20" t="s">
        <v>767</v>
      </c>
      <c r="B249" s="20" t="s">
        <v>410</v>
      </c>
      <c r="C249" s="20" t="s">
        <v>152</v>
      </c>
      <c r="D249" s="20" t="s">
        <v>34</v>
      </c>
      <c r="E249" s="21">
        <f>ROUND(9081*1.05,2)</f>
      </c>
      <c r="F249" s="20" t="s">
        <v>35</v>
      </c>
      <c r="G249" s="20" t="s">
        <v>18</v>
      </c>
      <c r="H249" s="21">
        <f>ROUND(RAND()*4+6,1)</f>
      </c>
      <c r="I249" s="20" t="s">
        <v>36</v>
      </c>
      <c r="J249" s="23">
        <f>ROUND(82*1,0)&amp;"%"</f>
      </c>
    </row>
    <row x14ac:dyDescent="0.25" r="250" customHeight="1" ht="17.25">
      <c r="A250" s="17" t="s">
        <v>768</v>
      </c>
      <c r="B250" s="17" t="s">
        <v>412</v>
      </c>
      <c r="C250" s="17" t="s">
        <v>152</v>
      </c>
      <c r="D250" s="17" t="s">
        <v>39</v>
      </c>
      <c r="E250" s="18">
        <f>ROUND(8159*1.05,2)</f>
      </c>
      <c r="F250" s="17" t="s">
        <v>40</v>
      </c>
      <c r="G250" s="17" t="s">
        <v>24</v>
      </c>
      <c r="H250" s="18">
        <f>ROUND(RAND()*4+6,1)</f>
      </c>
      <c r="I250" s="17" t="s">
        <v>41</v>
      </c>
      <c r="J250" s="19">
        <f>ROUND(72*1,0)&amp;"%"</f>
      </c>
    </row>
    <row x14ac:dyDescent="0.25" r="251" customHeight="1" ht="17.25">
      <c r="A251" s="20" t="s">
        <v>769</v>
      </c>
      <c r="B251" s="20" t="s">
        <v>414</v>
      </c>
      <c r="C251" s="20" t="s">
        <v>152</v>
      </c>
      <c r="D251" s="20" t="s">
        <v>67</v>
      </c>
      <c r="E251" s="21">
        <f>ROUND(13721*1.05,2)</f>
      </c>
      <c r="F251" s="20" t="s">
        <v>44</v>
      </c>
      <c r="G251" s="20" t="s">
        <v>30</v>
      </c>
      <c r="H251" s="21">
        <f>ROUND(RAND()*4+6,1)</f>
      </c>
      <c r="I251" s="20" t="s">
        <v>45</v>
      </c>
      <c r="J251" s="23">
        <f>ROUND(74*1,0)&amp;"%"</f>
      </c>
    </row>
    <row x14ac:dyDescent="0.25" r="252" customHeight="1" ht="17.25">
      <c r="A252" s="17" t="s">
        <v>770</v>
      </c>
      <c r="B252" s="17" t="s">
        <v>416</v>
      </c>
      <c r="C252" s="17" t="s">
        <v>152</v>
      </c>
      <c r="D252" s="17" t="s">
        <v>16</v>
      </c>
      <c r="E252" s="18">
        <f>ROUND(5110*1.05,2)</f>
      </c>
      <c r="F252" s="17" t="s">
        <v>48</v>
      </c>
      <c r="G252" s="17" t="s">
        <v>18</v>
      </c>
      <c r="H252" s="18">
        <f>ROUND(RAND()*4+6,1)</f>
      </c>
      <c r="I252" s="17" t="s">
        <v>19</v>
      </c>
      <c r="J252" s="19">
        <f>ROUND(69*1,0)&amp;"%"</f>
      </c>
    </row>
    <row x14ac:dyDescent="0.25" r="253" customHeight="1" ht="17.25">
      <c r="A253" s="20" t="s">
        <v>771</v>
      </c>
      <c r="B253" s="20" t="s">
        <v>418</v>
      </c>
      <c r="C253" s="20" t="s">
        <v>152</v>
      </c>
      <c r="D253" s="20" t="s">
        <v>22</v>
      </c>
      <c r="E253" s="21">
        <f>ROUND(13084*1.05,2)</f>
      </c>
      <c r="F253" s="20" t="s">
        <v>51</v>
      </c>
      <c r="G253" s="20" t="s">
        <v>24</v>
      </c>
      <c r="H253" s="21">
        <f>ROUND(RAND()*4+6,1)</f>
      </c>
      <c r="I253" s="20" t="s">
        <v>25</v>
      </c>
      <c r="J253" s="23">
        <f>ROUND(100*1,0)&amp;"%"</f>
      </c>
    </row>
    <row x14ac:dyDescent="0.25" r="254" customHeight="1" ht="17.25">
      <c r="A254" s="24" t="s">
        <v>419</v>
      </c>
      <c r="B254" s="24"/>
      <c r="C254" s="24"/>
      <c r="D254" s="24"/>
      <c r="E254" s="25">
        <v>8</v>
      </c>
      <c r="F254" s="9"/>
      <c r="G254" s="9"/>
      <c r="H254" s="10"/>
      <c r="I254" s="9"/>
      <c r="J254" s="9"/>
    </row>
    <row x14ac:dyDescent="0.25" r="255" customHeight="1" ht="17.25">
      <c r="A255" s="7"/>
      <c r="B255" s="7"/>
      <c r="C255" s="7"/>
      <c r="D255" s="7"/>
      <c r="E255" s="8"/>
      <c r="F255" s="9"/>
      <c r="G255" s="9"/>
      <c r="H255" s="10"/>
      <c r="I255" s="9"/>
      <c r="J255" s="9"/>
    </row>
    <row x14ac:dyDescent="0.25" r="256" customHeight="1" ht="17.25">
      <c r="A256" s="11" t="s">
        <v>772</v>
      </c>
      <c r="B256" s="11"/>
      <c r="C256" s="11"/>
      <c r="D256" s="11"/>
      <c r="E256" s="12"/>
      <c r="F256" s="11"/>
      <c r="G256" s="11"/>
      <c r="H256" s="13"/>
      <c r="I256" s="11"/>
      <c r="J256" s="11"/>
    </row>
    <row x14ac:dyDescent="0.25" r="257" customHeight="1" ht="17.25">
      <c r="A257" s="14" t="s">
        <v>3</v>
      </c>
      <c r="B257" s="14" t="s">
        <v>4</v>
      </c>
      <c r="C257" s="14" t="s">
        <v>5</v>
      </c>
      <c r="D257" s="14" t="s">
        <v>6</v>
      </c>
      <c r="E257" s="15" t="s">
        <v>7</v>
      </c>
      <c r="F257" s="14" t="s">
        <v>8</v>
      </c>
      <c r="G257" s="14" t="s">
        <v>9</v>
      </c>
      <c r="H257" s="16" t="s">
        <v>10</v>
      </c>
      <c r="I257" s="14" t="s">
        <v>11</v>
      </c>
      <c r="J257" s="14" t="s">
        <v>12</v>
      </c>
    </row>
    <row x14ac:dyDescent="0.25" r="258" customHeight="1" ht="17.25">
      <c r="A258" s="17" t="s">
        <v>773</v>
      </c>
      <c r="B258" s="17" t="s">
        <v>422</v>
      </c>
      <c r="C258" s="17" t="s">
        <v>15</v>
      </c>
      <c r="D258" s="17" t="s">
        <v>16</v>
      </c>
      <c r="E258" s="18">
        <f>ROUND(8486*1.05,2)</f>
      </c>
      <c r="F258" s="17" t="s">
        <v>17</v>
      </c>
      <c r="G258" s="17" t="s">
        <v>18</v>
      </c>
      <c r="H258" s="18">
        <f>ROUND(RAND()*4+6,1)</f>
      </c>
      <c r="I258" s="17" t="s">
        <v>19</v>
      </c>
      <c r="J258" s="19">
        <f>ROUND(68*1,0)&amp;"%"</f>
      </c>
    </row>
    <row x14ac:dyDescent="0.25" r="259" customHeight="1" ht="17.25">
      <c r="A259" s="20" t="s">
        <v>774</v>
      </c>
      <c r="B259" s="20" t="s">
        <v>424</v>
      </c>
      <c r="C259" s="20" t="s">
        <v>15</v>
      </c>
      <c r="D259" s="20" t="s">
        <v>22</v>
      </c>
      <c r="E259" s="21">
        <f>ROUND(13481*1.05,2)</f>
      </c>
      <c r="F259" s="20" t="s">
        <v>23</v>
      </c>
      <c r="G259" s="20" t="s">
        <v>24</v>
      </c>
      <c r="H259" s="21">
        <f>ROUND(RAND()*4+6,1)</f>
      </c>
      <c r="I259" s="20" t="s">
        <v>25</v>
      </c>
      <c r="J259" s="23">
        <f>ROUND(83*1,0)&amp;"%"</f>
      </c>
    </row>
    <row x14ac:dyDescent="0.25" r="260" customHeight="1" ht="17.25">
      <c r="A260" s="17" t="s">
        <v>775</v>
      </c>
      <c r="B260" s="17" t="s">
        <v>426</v>
      </c>
      <c r="C260" s="17" t="s">
        <v>15</v>
      </c>
      <c r="D260" s="17" t="s">
        <v>28</v>
      </c>
      <c r="E260" s="18">
        <f>ROUND(12242*1.05,2)</f>
      </c>
      <c r="F260" s="17" t="s">
        <v>29</v>
      </c>
      <c r="G260" s="17" t="s">
        <v>30</v>
      </c>
      <c r="H260" s="18">
        <f>ROUND(RAND()*4+6,1)</f>
      </c>
      <c r="I260" s="17" t="s">
        <v>31</v>
      </c>
      <c r="J260" s="19">
        <f>ROUND(99*1,0)&amp;"%"</f>
      </c>
    </row>
    <row x14ac:dyDescent="0.25" r="261" customHeight="1" ht="17.25">
      <c r="A261" s="20" t="s">
        <v>776</v>
      </c>
      <c r="B261" s="20" t="s">
        <v>428</v>
      </c>
      <c r="C261" s="20" t="s">
        <v>15</v>
      </c>
      <c r="D261" s="20" t="s">
        <v>34</v>
      </c>
      <c r="E261" s="21">
        <f>ROUND(15305*1.05,2)</f>
      </c>
      <c r="F261" s="20" t="s">
        <v>35</v>
      </c>
      <c r="G261" s="20" t="s">
        <v>18</v>
      </c>
      <c r="H261" s="21">
        <f>ROUND(RAND()*4+6,1)</f>
      </c>
      <c r="I261" s="20" t="s">
        <v>36</v>
      </c>
      <c r="J261" s="23">
        <f>ROUND(71*1,0)&amp;"%"</f>
      </c>
    </row>
    <row x14ac:dyDescent="0.25" r="262" customHeight="1" ht="17.25">
      <c r="A262" s="17" t="s">
        <v>777</v>
      </c>
      <c r="B262" s="17" t="s">
        <v>430</v>
      </c>
      <c r="C262" s="17" t="s">
        <v>15</v>
      </c>
      <c r="D262" s="17" t="s">
        <v>39</v>
      </c>
      <c r="E262" s="18">
        <f>ROUND(9871*1.05,2)</f>
      </c>
      <c r="F262" s="17" t="s">
        <v>40</v>
      </c>
      <c r="G262" s="17" t="s">
        <v>24</v>
      </c>
      <c r="H262" s="18">
        <f>ROUND(RAND()*4+6,1)</f>
      </c>
      <c r="I262" s="17" t="s">
        <v>41</v>
      </c>
      <c r="J262" s="19">
        <f>ROUND(68*1,0)&amp;"%"</f>
      </c>
    </row>
    <row x14ac:dyDescent="0.25" r="263" customHeight="1" ht="17.25">
      <c r="A263" s="20" t="s">
        <v>778</v>
      </c>
      <c r="B263" s="20" t="s">
        <v>432</v>
      </c>
      <c r="C263" s="20" t="s">
        <v>15</v>
      </c>
      <c r="D263" s="20" t="s">
        <v>67</v>
      </c>
      <c r="E263" s="21">
        <f>ROUND(9606*1.05,2)</f>
      </c>
      <c r="F263" s="20" t="s">
        <v>44</v>
      </c>
      <c r="G263" s="20" t="s">
        <v>30</v>
      </c>
      <c r="H263" s="21">
        <f>ROUND(RAND()*4+6,1)</f>
      </c>
      <c r="I263" s="20" t="s">
        <v>45</v>
      </c>
      <c r="J263" s="23">
        <f>ROUND(77*1,0)&amp;"%"</f>
      </c>
    </row>
    <row x14ac:dyDescent="0.25" r="264" customHeight="1" ht="17.25">
      <c r="A264" s="17" t="s">
        <v>779</v>
      </c>
      <c r="B264" s="17" t="s">
        <v>434</v>
      </c>
      <c r="C264" s="17" t="s">
        <v>15</v>
      </c>
      <c r="D264" s="17" t="s">
        <v>16</v>
      </c>
      <c r="E264" s="18">
        <f>ROUND(13138*1.05,2)</f>
      </c>
      <c r="F264" s="17" t="s">
        <v>48</v>
      </c>
      <c r="G264" s="17" t="s">
        <v>18</v>
      </c>
      <c r="H264" s="18">
        <f>ROUND(RAND()*4+6,1)</f>
      </c>
      <c r="I264" s="17" t="s">
        <v>19</v>
      </c>
      <c r="J264" s="19">
        <f>ROUND(60*1,0)&amp;"%"</f>
      </c>
    </row>
    <row x14ac:dyDescent="0.25" r="265" customHeight="1" ht="17.25">
      <c r="A265" s="20" t="s">
        <v>780</v>
      </c>
      <c r="B265" s="20" t="s">
        <v>436</v>
      </c>
      <c r="C265" s="20" t="s">
        <v>15</v>
      </c>
      <c r="D265" s="20" t="s">
        <v>22</v>
      </c>
      <c r="E265" s="21">
        <f>ROUND(16968*1.05,2)</f>
      </c>
      <c r="F265" s="20" t="s">
        <v>51</v>
      </c>
      <c r="G265" s="20" t="s">
        <v>24</v>
      </c>
      <c r="H265" s="21">
        <f>ROUND(RAND()*4+6,1)</f>
      </c>
      <c r="I265" s="20" t="s">
        <v>25</v>
      </c>
      <c r="J265" s="23">
        <f>ROUND(93*1,0)&amp;"%"</f>
      </c>
    </row>
    <row x14ac:dyDescent="0.25" r="266" customHeight="1" ht="17.25">
      <c r="A266" s="24" t="s">
        <v>437</v>
      </c>
      <c r="B266" s="24"/>
      <c r="C266" s="24"/>
      <c r="D266" s="24"/>
      <c r="E266" s="25">
        <v>8</v>
      </c>
      <c r="F266" s="9"/>
      <c r="G266" s="9"/>
      <c r="H266" s="10"/>
      <c r="I266" s="9"/>
      <c r="J266" s="9"/>
    </row>
    <row x14ac:dyDescent="0.25" r="267" customHeight="1" ht="17.25">
      <c r="A267" s="7"/>
      <c r="B267" s="7"/>
      <c r="C267" s="7"/>
      <c r="D267" s="7"/>
      <c r="E267" s="8"/>
      <c r="F267" s="9"/>
      <c r="G267" s="9"/>
      <c r="H267" s="10"/>
      <c r="I267" s="9"/>
      <c r="J267" s="9"/>
    </row>
    <row x14ac:dyDescent="0.25" r="268" customHeight="1" ht="17.25">
      <c r="A268" s="11" t="s">
        <v>781</v>
      </c>
      <c r="B268" s="11"/>
      <c r="C268" s="11"/>
      <c r="D268" s="11"/>
      <c r="E268" s="12"/>
      <c r="F268" s="11"/>
      <c r="G268" s="11"/>
      <c r="H268" s="13"/>
      <c r="I268" s="11"/>
      <c r="J268" s="11"/>
    </row>
    <row x14ac:dyDescent="0.25" r="269" customHeight="1" ht="17.25">
      <c r="A269" s="14" t="s">
        <v>3</v>
      </c>
      <c r="B269" s="14" t="s">
        <v>4</v>
      </c>
      <c r="C269" s="14" t="s">
        <v>5</v>
      </c>
      <c r="D269" s="14" t="s">
        <v>6</v>
      </c>
      <c r="E269" s="15" t="s">
        <v>7</v>
      </c>
      <c r="F269" s="14" t="s">
        <v>8</v>
      </c>
      <c r="G269" s="14" t="s">
        <v>9</v>
      </c>
      <c r="H269" s="16" t="s">
        <v>10</v>
      </c>
      <c r="I269" s="14" t="s">
        <v>11</v>
      </c>
      <c r="J269" s="14" t="s">
        <v>12</v>
      </c>
    </row>
    <row x14ac:dyDescent="0.25" r="270" customHeight="1" ht="17.25">
      <c r="A270" s="17" t="s">
        <v>782</v>
      </c>
      <c r="B270" s="17" t="s">
        <v>440</v>
      </c>
      <c r="C270" s="17" t="s">
        <v>56</v>
      </c>
      <c r="D270" s="17" t="s">
        <v>16</v>
      </c>
      <c r="E270" s="18">
        <f>ROUND(17348*1.05,2)</f>
      </c>
      <c r="F270" s="17" t="s">
        <v>17</v>
      </c>
      <c r="G270" s="17" t="s">
        <v>18</v>
      </c>
      <c r="H270" s="18">
        <f>ROUND(RAND()*4+6,1)</f>
      </c>
      <c r="I270" s="17" t="s">
        <v>19</v>
      </c>
      <c r="J270" s="19">
        <f>ROUND(71*1,0)&amp;"%"</f>
      </c>
    </row>
    <row x14ac:dyDescent="0.25" r="271" customHeight="1" ht="17.25">
      <c r="A271" s="20" t="s">
        <v>783</v>
      </c>
      <c r="B271" s="20" t="s">
        <v>442</v>
      </c>
      <c r="C271" s="20" t="s">
        <v>56</v>
      </c>
      <c r="D271" s="20" t="s">
        <v>22</v>
      </c>
      <c r="E271" s="21">
        <f>ROUND(4613*1.05,2)</f>
      </c>
      <c r="F271" s="20" t="s">
        <v>23</v>
      </c>
      <c r="G271" s="20" t="s">
        <v>24</v>
      </c>
      <c r="H271" s="21">
        <f>ROUND(RAND()*4+6,1)</f>
      </c>
      <c r="I271" s="20" t="s">
        <v>25</v>
      </c>
      <c r="J271" s="23">
        <f>ROUND(97*1,0)&amp;"%"</f>
      </c>
    </row>
    <row x14ac:dyDescent="0.25" r="272" customHeight="1" ht="17.25">
      <c r="A272" s="17" t="s">
        <v>784</v>
      </c>
      <c r="B272" s="17" t="s">
        <v>444</v>
      </c>
      <c r="C272" s="17" t="s">
        <v>56</v>
      </c>
      <c r="D272" s="17" t="s">
        <v>28</v>
      </c>
      <c r="E272" s="18">
        <f>ROUND(15144*1.05,2)</f>
      </c>
      <c r="F272" s="17" t="s">
        <v>29</v>
      </c>
      <c r="G272" s="17" t="s">
        <v>30</v>
      </c>
      <c r="H272" s="18">
        <f>ROUND(RAND()*4+6,1)</f>
      </c>
      <c r="I272" s="17" t="s">
        <v>31</v>
      </c>
      <c r="J272" s="19">
        <f>ROUND(95*1,0)&amp;"%"</f>
      </c>
    </row>
    <row x14ac:dyDescent="0.25" r="273" customHeight="1" ht="17.25">
      <c r="A273" s="20" t="s">
        <v>785</v>
      </c>
      <c r="B273" s="20" t="s">
        <v>446</v>
      </c>
      <c r="C273" s="20" t="s">
        <v>56</v>
      </c>
      <c r="D273" s="20" t="s">
        <v>34</v>
      </c>
      <c r="E273" s="21">
        <f>ROUND(9205*1.05,2)</f>
      </c>
      <c r="F273" s="20" t="s">
        <v>35</v>
      </c>
      <c r="G273" s="20" t="s">
        <v>18</v>
      </c>
      <c r="H273" s="21">
        <f>ROUND(RAND()*4+6,1)</f>
      </c>
      <c r="I273" s="20" t="s">
        <v>36</v>
      </c>
      <c r="J273" s="23">
        <f>ROUND(76*1,0)&amp;"%"</f>
      </c>
    </row>
    <row x14ac:dyDescent="0.25" r="274" customHeight="1" ht="17.25">
      <c r="A274" s="17" t="s">
        <v>786</v>
      </c>
      <c r="B274" s="17" t="s">
        <v>448</v>
      </c>
      <c r="C274" s="17" t="s">
        <v>56</v>
      </c>
      <c r="D274" s="17" t="s">
        <v>39</v>
      </c>
      <c r="E274" s="18">
        <f>ROUND(7622*1.05,2)</f>
      </c>
      <c r="F274" s="17" t="s">
        <v>40</v>
      </c>
      <c r="G274" s="17" t="s">
        <v>24</v>
      </c>
      <c r="H274" s="26">
        <f>ROUND(RAND()*4+6,1)</f>
      </c>
      <c r="I274" s="17" t="s">
        <v>41</v>
      </c>
      <c r="J274" s="19">
        <f>ROUND(68*1,0)&amp;"%"</f>
      </c>
    </row>
    <row x14ac:dyDescent="0.25" r="275" customHeight="1" ht="17.25">
      <c r="A275" s="20" t="s">
        <v>787</v>
      </c>
      <c r="B275" s="20" t="s">
        <v>450</v>
      </c>
      <c r="C275" s="20" t="s">
        <v>56</v>
      </c>
      <c r="D275" s="20" t="s">
        <v>67</v>
      </c>
      <c r="E275" s="21">
        <f>ROUND(17381*1.05,2)</f>
      </c>
      <c r="F275" s="20" t="s">
        <v>44</v>
      </c>
      <c r="G275" s="20" t="s">
        <v>30</v>
      </c>
      <c r="H275" s="21">
        <f>ROUND(RAND()*4+6,1)</f>
      </c>
      <c r="I275" s="20" t="s">
        <v>45</v>
      </c>
      <c r="J275" s="23">
        <f>ROUND(68*1,0)&amp;"%"</f>
      </c>
    </row>
    <row x14ac:dyDescent="0.25" r="276" customHeight="1" ht="17.25">
      <c r="A276" s="17" t="s">
        <v>788</v>
      </c>
      <c r="B276" s="17" t="s">
        <v>452</v>
      </c>
      <c r="C276" s="17" t="s">
        <v>56</v>
      </c>
      <c r="D276" s="17" t="s">
        <v>16</v>
      </c>
      <c r="E276" s="18">
        <f>ROUND(13473*1.05,2)</f>
      </c>
      <c r="F276" s="17" t="s">
        <v>48</v>
      </c>
      <c r="G276" s="17" t="s">
        <v>18</v>
      </c>
      <c r="H276" s="18">
        <f>ROUND(RAND()*4+6,1)</f>
      </c>
      <c r="I276" s="17" t="s">
        <v>19</v>
      </c>
      <c r="J276" s="19">
        <f>ROUND(97*1,0)&amp;"%"</f>
      </c>
    </row>
    <row x14ac:dyDescent="0.25" r="277" customHeight="1" ht="17.25">
      <c r="A277" s="20" t="s">
        <v>789</v>
      </c>
      <c r="B277" s="20" t="s">
        <v>454</v>
      </c>
      <c r="C277" s="20" t="s">
        <v>56</v>
      </c>
      <c r="D277" s="20" t="s">
        <v>22</v>
      </c>
      <c r="E277" s="21">
        <f>ROUND(11996*1.05,2)</f>
      </c>
      <c r="F277" s="20" t="s">
        <v>51</v>
      </c>
      <c r="G277" s="20" t="s">
        <v>24</v>
      </c>
      <c r="H277" s="21">
        <f>ROUND(RAND()*4+6,1)</f>
      </c>
      <c r="I277" s="20" t="s">
        <v>25</v>
      </c>
      <c r="J277" s="23">
        <f>ROUND(70*1,0)&amp;"%"</f>
      </c>
    </row>
    <row x14ac:dyDescent="0.25" r="278" customHeight="1" ht="17.25">
      <c r="A278" s="24" t="s">
        <v>455</v>
      </c>
      <c r="B278" s="24"/>
      <c r="C278" s="24"/>
      <c r="D278" s="24"/>
      <c r="E278" s="25">
        <v>8</v>
      </c>
      <c r="F278" s="9"/>
      <c r="G278" s="9"/>
      <c r="H278" s="10"/>
      <c r="I278" s="9"/>
      <c r="J278" s="9"/>
    </row>
    <row x14ac:dyDescent="0.25" r="279" customHeight="1" ht="17.25">
      <c r="A279" s="7"/>
      <c r="B279" s="7"/>
      <c r="C279" s="7"/>
      <c r="D279" s="7"/>
      <c r="E279" s="8"/>
      <c r="F279" s="9"/>
      <c r="G279" s="9"/>
      <c r="H279" s="10"/>
      <c r="I279" s="9"/>
      <c r="J279" s="9"/>
    </row>
    <row x14ac:dyDescent="0.25" r="280" customHeight="1" ht="17.25">
      <c r="A280" s="11" t="s">
        <v>790</v>
      </c>
      <c r="B280" s="11"/>
      <c r="C280" s="11"/>
      <c r="D280" s="11"/>
      <c r="E280" s="12"/>
      <c r="F280" s="11"/>
      <c r="G280" s="11"/>
      <c r="H280" s="13"/>
      <c r="I280" s="11"/>
      <c r="J280" s="11"/>
    </row>
    <row x14ac:dyDescent="0.25" r="281" customHeight="1" ht="17.25">
      <c r="A281" s="14" t="s">
        <v>3</v>
      </c>
      <c r="B281" s="14" t="s">
        <v>4</v>
      </c>
      <c r="C281" s="14" t="s">
        <v>5</v>
      </c>
      <c r="D281" s="14" t="s">
        <v>6</v>
      </c>
      <c r="E281" s="15" t="s">
        <v>7</v>
      </c>
      <c r="F281" s="14" t="s">
        <v>8</v>
      </c>
      <c r="G281" s="14" t="s">
        <v>9</v>
      </c>
      <c r="H281" s="16" t="s">
        <v>10</v>
      </c>
      <c r="I281" s="14" t="s">
        <v>11</v>
      </c>
      <c r="J281" s="14" t="s">
        <v>12</v>
      </c>
    </row>
    <row x14ac:dyDescent="0.25" r="282" customHeight="1" ht="17.25">
      <c r="A282" s="17" t="s">
        <v>791</v>
      </c>
      <c r="B282" s="17" t="s">
        <v>458</v>
      </c>
      <c r="C282" s="17" t="s">
        <v>76</v>
      </c>
      <c r="D282" s="17" t="s">
        <v>16</v>
      </c>
      <c r="E282" s="18">
        <f>ROUND(7051*1.05,2)</f>
      </c>
      <c r="F282" s="17" t="s">
        <v>17</v>
      </c>
      <c r="G282" s="17" t="s">
        <v>18</v>
      </c>
      <c r="H282" s="18">
        <f>ROUND(RAND()*4+6,1)</f>
      </c>
      <c r="I282" s="17" t="s">
        <v>19</v>
      </c>
      <c r="J282" s="19">
        <f>ROUND(90*1,0)&amp;"%"</f>
      </c>
    </row>
    <row x14ac:dyDescent="0.25" r="283" customHeight="1" ht="17.25">
      <c r="A283" s="20" t="s">
        <v>792</v>
      </c>
      <c r="B283" s="20" t="s">
        <v>460</v>
      </c>
      <c r="C283" s="20" t="s">
        <v>76</v>
      </c>
      <c r="D283" s="20" t="s">
        <v>22</v>
      </c>
      <c r="E283" s="21">
        <f>ROUND(5381*1.05,2)</f>
      </c>
      <c r="F283" s="20" t="s">
        <v>23</v>
      </c>
      <c r="G283" s="20" t="s">
        <v>24</v>
      </c>
      <c r="H283" s="21">
        <f>ROUND(RAND()*4+6,1)</f>
      </c>
      <c r="I283" s="20" t="s">
        <v>25</v>
      </c>
      <c r="J283" s="23">
        <f>ROUND(94*1,0)&amp;"%"</f>
      </c>
    </row>
    <row x14ac:dyDescent="0.25" r="284" customHeight="1" ht="17.25">
      <c r="A284" s="17" t="s">
        <v>793</v>
      </c>
      <c r="B284" s="17" t="s">
        <v>462</v>
      </c>
      <c r="C284" s="17" t="s">
        <v>76</v>
      </c>
      <c r="D284" s="17" t="s">
        <v>28</v>
      </c>
      <c r="E284" s="18">
        <f>ROUND(11133*1.05,2)</f>
      </c>
      <c r="F284" s="17" t="s">
        <v>29</v>
      </c>
      <c r="G284" s="17" t="s">
        <v>30</v>
      </c>
      <c r="H284" s="18">
        <f>ROUND(RAND()*4+6,1)</f>
      </c>
      <c r="I284" s="17" t="s">
        <v>31</v>
      </c>
      <c r="J284" s="19">
        <f>ROUND(60*1,0)&amp;"%"</f>
      </c>
    </row>
    <row x14ac:dyDescent="0.25" r="285" customHeight="1" ht="17.25">
      <c r="A285" s="20" t="s">
        <v>794</v>
      </c>
      <c r="B285" s="20" t="s">
        <v>464</v>
      </c>
      <c r="C285" s="20" t="s">
        <v>76</v>
      </c>
      <c r="D285" s="20" t="s">
        <v>34</v>
      </c>
      <c r="E285" s="21">
        <f>ROUND(5732*1.05,2)</f>
      </c>
      <c r="F285" s="20" t="s">
        <v>35</v>
      </c>
      <c r="G285" s="20" t="s">
        <v>18</v>
      </c>
      <c r="H285" s="21">
        <f>ROUND(RAND()*4+6,1)</f>
      </c>
      <c r="I285" s="20" t="s">
        <v>36</v>
      </c>
      <c r="J285" s="23">
        <f>ROUND(78*1,0)&amp;"%"</f>
      </c>
    </row>
    <row x14ac:dyDescent="0.25" r="286" customHeight="1" ht="17.25">
      <c r="A286" s="17" t="s">
        <v>795</v>
      </c>
      <c r="B286" s="17" t="s">
        <v>466</v>
      </c>
      <c r="C286" s="17" t="s">
        <v>76</v>
      </c>
      <c r="D286" s="17" t="s">
        <v>39</v>
      </c>
      <c r="E286" s="18">
        <f>ROUND(6503*1.05,2)</f>
      </c>
      <c r="F286" s="17" t="s">
        <v>40</v>
      </c>
      <c r="G286" s="17" t="s">
        <v>24</v>
      </c>
      <c r="H286" s="18">
        <f>ROUND(RAND()*4+6,1)</f>
      </c>
      <c r="I286" s="17" t="s">
        <v>41</v>
      </c>
      <c r="J286" s="19">
        <f>ROUND(80*1,0)&amp;"%"</f>
      </c>
    </row>
    <row x14ac:dyDescent="0.25" r="287" customHeight="1" ht="17.25">
      <c r="A287" s="20" t="s">
        <v>796</v>
      </c>
      <c r="B287" s="20" t="s">
        <v>468</v>
      </c>
      <c r="C287" s="20" t="s">
        <v>76</v>
      </c>
      <c r="D287" s="20" t="s">
        <v>67</v>
      </c>
      <c r="E287" s="21">
        <f>ROUND(17823*1.05,2)</f>
      </c>
      <c r="F287" s="20" t="s">
        <v>44</v>
      </c>
      <c r="G287" s="20" t="s">
        <v>30</v>
      </c>
      <c r="H287" s="21">
        <f>ROUND(RAND()*4+6,1)</f>
      </c>
      <c r="I287" s="20" t="s">
        <v>45</v>
      </c>
      <c r="J287" s="23">
        <f>ROUND(66*1,0)&amp;"%"</f>
      </c>
    </row>
    <row x14ac:dyDescent="0.25" r="288" customHeight="1" ht="17.25">
      <c r="A288" s="17" t="s">
        <v>797</v>
      </c>
      <c r="B288" s="17" t="s">
        <v>470</v>
      </c>
      <c r="C288" s="17" t="s">
        <v>76</v>
      </c>
      <c r="D288" s="17" t="s">
        <v>16</v>
      </c>
      <c r="E288" s="18">
        <f>ROUND(4157*1.05,2)</f>
      </c>
      <c r="F288" s="17" t="s">
        <v>48</v>
      </c>
      <c r="G288" s="17" t="s">
        <v>18</v>
      </c>
      <c r="H288" s="18">
        <f>ROUND(RAND()*4+6,1)</f>
      </c>
      <c r="I288" s="17" t="s">
        <v>19</v>
      </c>
      <c r="J288" s="19">
        <f>ROUND(71*1,0)&amp;"%"</f>
      </c>
    </row>
    <row x14ac:dyDescent="0.25" r="289" customHeight="1" ht="17.25">
      <c r="A289" s="20" t="s">
        <v>798</v>
      </c>
      <c r="B289" s="20" t="s">
        <v>472</v>
      </c>
      <c r="C289" s="20" t="s">
        <v>76</v>
      </c>
      <c r="D289" s="20" t="s">
        <v>22</v>
      </c>
      <c r="E289" s="21">
        <f>ROUND(15918*1.05,2)</f>
      </c>
      <c r="F289" s="20" t="s">
        <v>51</v>
      </c>
      <c r="G289" s="20" t="s">
        <v>24</v>
      </c>
      <c r="H289" s="21">
        <f>ROUND(RAND()*4+6,1)</f>
      </c>
      <c r="I289" s="20" t="s">
        <v>25</v>
      </c>
      <c r="J289" s="23">
        <f>ROUND(70*1,0)&amp;"%"</f>
      </c>
    </row>
    <row x14ac:dyDescent="0.25" r="290" customHeight="1" ht="17.25">
      <c r="A290" s="24" t="s">
        <v>473</v>
      </c>
      <c r="B290" s="24"/>
      <c r="C290" s="24"/>
      <c r="D290" s="24"/>
      <c r="E290" s="25">
        <v>8</v>
      </c>
      <c r="F290" s="9"/>
      <c r="G290" s="9"/>
      <c r="H290" s="10"/>
      <c r="I290" s="9"/>
      <c r="J290" s="9"/>
    </row>
    <row x14ac:dyDescent="0.25" r="291" customHeight="1" ht="17.25">
      <c r="A291" s="7"/>
      <c r="B291" s="7"/>
      <c r="C291" s="7"/>
      <c r="D291" s="7"/>
      <c r="E291" s="8"/>
      <c r="F291" s="9"/>
      <c r="G291" s="9"/>
      <c r="H291" s="10"/>
      <c r="I291" s="9"/>
      <c r="J291" s="9"/>
    </row>
    <row x14ac:dyDescent="0.25" r="292" customHeight="1" ht="17.25">
      <c r="A292" s="11" t="s">
        <v>799</v>
      </c>
      <c r="B292" s="11"/>
      <c r="C292" s="11"/>
      <c r="D292" s="11"/>
      <c r="E292" s="12"/>
      <c r="F292" s="11"/>
      <c r="G292" s="11"/>
      <c r="H292" s="13"/>
      <c r="I292" s="11"/>
      <c r="J292" s="11"/>
    </row>
    <row x14ac:dyDescent="0.25" r="293" customHeight="1" ht="17.25">
      <c r="A293" s="14" t="s">
        <v>3</v>
      </c>
      <c r="B293" s="14" t="s">
        <v>4</v>
      </c>
      <c r="C293" s="14" t="s">
        <v>5</v>
      </c>
      <c r="D293" s="14" t="s">
        <v>6</v>
      </c>
      <c r="E293" s="15" t="s">
        <v>7</v>
      </c>
      <c r="F293" s="14" t="s">
        <v>8</v>
      </c>
      <c r="G293" s="14" t="s">
        <v>9</v>
      </c>
      <c r="H293" s="16" t="s">
        <v>10</v>
      </c>
      <c r="I293" s="14" t="s">
        <v>11</v>
      </c>
      <c r="J293" s="14" t="s">
        <v>12</v>
      </c>
    </row>
    <row x14ac:dyDescent="0.25" r="294" customHeight="1" ht="17.25">
      <c r="A294" s="17" t="s">
        <v>800</v>
      </c>
      <c r="B294" s="17" t="s">
        <v>476</v>
      </c>
      <c r="C294" s="17" t="s">
        <v>95</v>
      </c>
      <c r="D294" s="17" t="s">
        <v>16</v>
      </c>
      <c r="E294" s="18">
        <f>ROUND(16226*1.05,2)</f>
      </c>
      <c r="F294" s="17" t="s">
        <v>17</v>
      </c>
      <c r="G294" s="17" t="s">
        <v>18</v>
      </c>
      <c r="H294" s="18">
        <f>ROUND(RAND()*4+6,1)</f>
      </c>
      <c r="I294" s="17" t="s">
        <v>19</v>
      </c>
      <c r="J294" s="19">
        <f>ROUND(89*1,0)&amp;"%"</f>
      </c>
    </row>
    <row x14ac:dyDescent="0.25" r="295" customHeight="1" ht="17.25">
      <c r="A295" s="20" t="s">
        <v>801</v>
      </c>
      <c r="B295" s="20" t="s">
        <v>478</v>
      </c>
      <c r="C295" s="20" t="s">
        <v>95</v>
      </c>
      <c r="D295" s="20" t="s">
        <v>22</v>
      </c>
      <c r="E295" s="21">
        <f>ROUND(13609*1.05,2)</f>
      </c>
      <c r="F295" s="20" t="s">
        <v>23</v>
      </c>
      <c r="G295" s="20" t="s">
        <v>24</v>
      </c>
      <c r="H295" s="22">
        <f>ROUND(RAND()*4+6,1)</f>
      </c>
      <c r="I295" s="20" t="s">
        <v>25</v>
      </c>
      <c r="J295" s="23">
        <f>ROUND(98*1,0)&amp;"%"</f>
      </c>
    </row>
    <row x14ac:dyDescent="0.25" r="296" customHeight="1" ht="17.25">
      <c r="A296" s="17" t="s">
        <v>802</v>
      </c>
      <c r="B296" s="17" t="s">
        <v>480</v>
      </c>
      <c r="C296" s="17" t="s">
        <v>95</v>
      </c>
      <c r="D296" s="17" t="s">
        <v>28</v>
      </c>
      <c r="E296" s="18">
        <f>ROUND(15325*1.05,2)</f>
      </c>
      <c r="F296" s="17" t="s">
        <v>29</v>
      </c>
      <c r="G296" s="17" t="s">
        <v>30</v>
      </c>
      <c r="H296" s="18">
        <f>ROUND(RAND()*4+6,1)</f>
      </c>
      <c r="I296" s="17" t="s">
        <v>31</v>
      </c>
      <c r="J296" s="19">
        <f>ROUND(84*1,0)&amp;"%"</f>
      </c>
    </row>
    <row x14ac:dyDescent="0.25" r="297" customHeight="1" ht="17.25">
      <c r="A297" s="20" t="s">
        <v>803</v>
      </c>
      <c r="B297" s="20" t="s">
        <v>482</v>
      </c>
      <c r="C297" s="20" t="s">
        <v>95</v>
      </c>
      <c r="D297" s="20" t="s">
        <v>34</v>
      </c>
      <c r="E297" s="21">
        <f>ROUND(10204*1.05,2)</f>
      </c>
      <c r="F297" s="20" t="s">
        <v>35</v>
      </c>
      <c r="G297" s="20" t="s">
        <v>18</v>
      </c>
      <c r="H297" s="21">
        <f>ROUND(RAND()*4+6,1)</f>
      </c>
      <c r="I297" s="20" t="s">
        <v>36</v>
      </c>
      <c r="J297" s="23">
        <f>ROUND(74*1,0)&amp;"%"</f>
      </c>
    </row>
    <row x14ac:dyDescent="0.25" r="298" customHeight="1" ht="17.25">
      <c r="A298" s="17" t="s">
        <v>804</v>
      </c>
      <c r="B298" s="17" t="s">
        <v>484</v>
      </c>
      <c r="C298" s="17" t="s">
        <v>95</v>
      </c>
      <c r="D298" s="17" t="s">
        <v>39</v>
      </c>
      <c r="E298" s="26">
        <f>ROUND(10580*1.05,2)</f>
      </c>
      <c r="F298" s="17" t="s">
        <v>40</v>
      </c>
      <c r="G298" s="17" t="s">
        <v>24</v>
      </c>
      <c r="H298" s="26">
        <f>ROUND(RAND()*4+6,1)</f>
      </c>
      <c r="I298" s="17" t="s">
        <v>41</v>
      </c>
      <c r="J298" s="19">
        <f>ROUND(96*1,0)&amp;"%"</f>
      </c>
    </row>
    <row x14ac:dyDescent="0.25" r="299" customHeight="1" ht="17.25">
      <c r="A299" s="20" t="s">
        <v>805</v>
      </c>
      <c r="B299" s="20" t="s">
        <v>486</v>
      </c>
      <c r="C299" s="20" t="s">
        <v>95</v>
      </c>
      <c r="D299" s="20" t="s">
        <v>67</v>
      </c>
      <c r="E299" s="21">
        <f>ROUND(9008*1.05,2)</f>
      </c>
      <c r="F299" s="20" t="s">
        <v>44</v>
      </c>
      <c r="G299" s="20" t="s">
        <v>30</v>
      </c>
      <c r="H299" s="21">
        <f>ROUND(RAND()*4+6,1)</f>
      </c>
      <c r="I299" s="20" t="s">
        <v>45</v>
      </c>
      <c r="J299" s="23">
        <f>ROUND(96*1,0)&amp;"%"</f>
      </c>
    </row>
    <row x14ac:dyDescent="0.25" r="300" customHeight="1" ht="17.25">
      <c r="A300" s="17" t="s">
        <v>806</v>
      </c>
      <c r="B300" s="17" t="s">
        <v>488</v>
      </c>
      <c r="C300" s="17" t="s">
        <v>95</v>
      </c>
      <c r="D300" s="17" t="s">
        <v>16</v>
      </c>
      <c r="E300" s="18">
        <f>ROUND(9226*1.05,2)</f>
      </c>
      <c r="F300" s="17" t="s">
        <v>48</v>
      </c>
      <c r="G300" s="17" t="s">
        <v>18</v>
      </c>
      <c r="H300" s="18">
        <f>ROUND(RAND()*4+6,1)</f>
      </c>
      <c r="I300" s="17" t="s">
        <v>19</v>
      </c>
      <c r="J300" s="19">
        <f>ROUND(96*1,0)&amp;"%"</f>
      </c>
    </row>
    <row x14ac:dyDescent="0.25" r="301" customHeight="1" ht="17.25">
      <c r="A301" s="20" t="s">
        <v>807</v>
      </c>
      <c r="B301" s="20" t="s">
        <v>490</v>
      </c>
      <c r="C301" s="20" t="s">
        <v>95</v>
      </c>
      <c r="D301" s="20" t="s">
        <v>22</v>
      </c>
      <c r="E301" s="21">
        <f>ROUND(17129*1.05,2)</f>
      </c>
      <c r="F301" s="20" t="s">
        <v>51</v>
      </c>
      <c r="G301" s="20" t="s">
        <v>24</v>
      </c>
      <c r="H301" s="21">
        <f>ROUND(RAND()*4+6,1)</f>
      </c>
      <c r="I301" s="20" t="s">
        <v>25</v>
      </c>
      <c r="J301" s="23">
        <f>ROUND(89*1,0)&amp;"%"</f>
      </c>
    </row>
    <row x14ac:dyDescent="0.25" r="302" customHeight="1" ht="17.25">
      <c r="A302" s="24" t="s">
        <v>491</v>
      </c>
      <c r="B302" s="24"/>
      <c r="C302" s="24"/>
      <c r="D302" s="24"/>
      <c r="E302" s="25">
        <v>8</v>
      </c>
      <c r="F302" s="9"/>
      <c r="G302" s="9"/>
      <c r="H302" s="10"/>
      <c r="I302" s="9"/>
      <c r="J302" s="9"/>
    </row>
    <row x14ac:dyDescent="0.25" r="303" customHeight="1" ht="17.25">
      <c r="A303" s="7"/>
      <c r="B303" s="7"/>
      <c r="C303" s="7"/>
      <c r="D303" s="7"/>
      <c r="E303" s="8"/>
      <c r="F303" s="9"/>
      <c r="G303" s="9"/>
      <c r="H303" s="10"/>
      <c r="I303" s="9"/>
      <c r="J303" s="9"/>
    </row>
    <row x14ac:dyDescent="0.25" r="304" customHeight="1" ht="17.25">
      <c r="A304" s="11" t="s">
        <v>808</v>
      </c>
      <c r="B304" s="11"/>
      <c r="C304" s="11"/>
      <c r="D304" s="11"/>
      <c r="E304" s="12"/>
      <c r="F304" s="11"/>
      <c r="G304" s="11"/>
      <c r="H304" s="13"/>
      <c r="I304" s="11"/>
      <c r="J304" s="11"/>
    </row>
    <row x14ac:dyDescent="0.25" r="305" customHeight="1" ht="17.25">
      <c r="A305" s="14" t="s">
        <v>3</v>
      </c>
      <c r="B305" s="14" t="s">
        <v>4</v>
      </c>
      <c r="C305" s="14" t="s">
        <v>5</v>
      </c>
      <c r="D305" s="14" t="s">
        <v>6</v>
      </c>
      <c r="E305" s="15" t="s">
        <v>7</v>
      </c>
      <c r="F305" s="14" t="s">
        <v>8</v>
      </c>
      <c r="G305" s="14" t="s">
        <v>9</v>
      </c>
      <c r="H305" s="16" t="s">
        <v>10</v>
      </c>
      <c r="I305" s="14" t="s">
        <v>11</v>
      </c>
      <c r="J305" s="14" t="s">
        <v>12</v>
      </c>
    </row>
    <row x14ac:dyDescent="0.25" r="306" customHeight="1" ht="17.25">
      <c r="A306" s="17" t="s">
        <v>809</v>
      </c>
      <c r="B306" s="17" t="s">
        <v>494</v>
      </c>
      <c r="C306" s="17" t="s">
        <v>114</v>
      </c>
      <c r="D306" s="17" t="s">
        <v>16</v>
      </c>
      <c r="E306" s="18">
        <f>ROUND(9425*1.05,2)</f>
      </c>
      <c r="F306" s="17" t="s">
        <v>17</v>
      </c>
      <c r="G306" s="17" t="s">
        <v>18</v>
      </c>
      <c r="H306" s="26">
        <f>ROUND(RAND()*4+6,1)</f>
      </c>
      <c r="I306" s="17" t="s">
        <v>19</v>
      </c>
      <c r="J306" s="19">
        <f>ROUND(66*1,0)&amp;"%"</f>
      </c>
    </row>
    <row x14ac:dyDescent="0.25" r="307" customHeight="1" ht="17.25">
      <c r="A307" s="20" t="s">
        <v>810</v>
      </c>
      <c r="B307" s="20" t="s">
        <v>496</v>
      </c>
      <c r="C307" s="20" t="s">
        <v>114</v>
      </c>
      <c r="D307" s="20" t="s">
        <v>22</v>
      </c>
      <c r="E307" s="21">
        <f>ROUND(8712*1.05,2)</f>
      </c>
      <c r="F307" s="20" t="s">
        <v>23</v>
      </c>
      <c r="G307" s="20" t="s">
        <v>24</v>
      </c>
      <c r="H307" s="21">
        <f>ROUND(RAND()*4+6,1)</f>
      </c>
      <c r="I307" s="20" t="s">
        <v>25</v>
      </c>
      <c r="J307" s="23">
        <f>ROUND(72*1,0)&amp;"%"</f>
      </c>
    </row>
    <row x14ac:dyDescent="0.25" r="308" customHeight="1" ht="17.25">
      <c r="A308" s="17" t="s">
        <v>811</v>
      </c>
      <c r="B308" s="17" t="s">
        <v>498</v>
      </c>
      <c r="C308" s="17" t="s">
        <v>114</v>
      </c>
      <c r="D308" s="17" t="s">
        <v>28</v>
      </c>
      <c r="E308" s="18">
        <f>ROUND(8099*1.05,2)</f>
      </c>
      <c r="F308" s="17" t="s">
        <v>29</v>
      </c>
      <c r="G308" s="17" t="s">
        <v>30</v>
      </c>
      <c r="H308" s="18">
        <f>ROUND(RAND()*4+6,1)</f>
      </c>
      <c r="I308" s="17" t="s">
        <v>31</v>
      </c>
      <c r="J308" s="19">
        <f>ROUND(63*1,0)&amp;"%"</f>
      </c>
    </row>
    <row x14ac:dyDescent="0.25" r="309" customHeight="1" ht="17.25">
      <c r="A309" s="20" t="s">
        <v>812</v>
      </c>
      <c r="B309" s="20" t="s">
        <v>500</v>
      </c>
      <c r="C309" s="20" t="s">
        <v>114</v>
      </c>
      <c r="D309" s="20" t="s">
        <v>34</v>
      </c>
      <c r="E309" s="21">
        <f>ROUND(4776*1.05,2)</f>
      </c>
      <c r="F309" s="20" t="s">
        <v>35</v>
      </c>
      <c r="G309" s="20" t="s">
        <v>18</v>
      </c>
      <c r="H309" s="21">
        <f>ROUND(RAND()*4+6,1)</f>
      </c>
      <c r="I309" s="20" t="s">
        <v>36</v>
      </c>
      <c r="J309" s="23">
        <f>ROUND(64*1,0)&amp;"%"</f>
      </c>
    </row>
    <row x14ac:dyDescent="0.25" r="310" customHeight="1" ht="17.25">
      <c r="A310" s="17" t="s">
        <v>813</v>
      </c>
      <c r="B310" s="17" t="s">
        <v>502</v>
      </c>
      <c r="C310" s="17" t="s">
        <v>114</v>
      </c>
      <c r="D310" s="17" t="s">
        <v>39</v>
      </c>
      <c r="E310" s="18">
        <f>ROUND(4436*1.05,2)</f>
      </c>
      <c r="F310" s="17" t="s">
        <v>40</v>
      </c>
      <c r="G310" s="17" t="s">
        <v>24</v>
      </c>
      <c r="H310" s="18">
        <f>ROUND(RAND()*4+6,1)</f>
      </c>
      <c r="I310" s="17" t="s">
        <v>41</v>
      </c>
      <c r="J310" s="19">
        <f>ROUND(64*1,0)&amp;"%"</f>
      </c>
    </row>
    <row x14ac:dyDescent="0.25" r="311" customHeight="1" ht="17.25">
      <c r="A311" s="20" t="s">
        <v>814</v>
      </c>
      <c r="B311" s="20" t="s">
        <v>504</v>
      </c>
      <c r="C311" s="20" t="s">
        <v>114</v>
      </c>
      <c r="D311" s="20" t="s">
        <v>67</v>
      </c>
      <c r="E311" s="21">
        <f>ROUND(4908*1.05,2)</f>
      </c>
      <c r="F311" s="20" t="s">
        <v>44</v>
      </c>
      <c r="G311" s="20" t="s">
        <v>30</v>
      </c>
      <c r="H311" s="21">
        <f>ROUND(RAND()*4+6,1)</f>
      </c>
      <c r="I311" s="20" t="s">
        <v>45</v>
      </c>
      <c r="J311" s="23">
        <f>ROUND(69*1,0)&amp;"%"</f>
      </c>
    </row>
    <row x14ac:dyDescent="0.25" r="312" customHeight="1" ht="17.25">
      <c r="A312" s="17" t="s">
        <v>815</v>
      </c>
      <c r="B312" s="17" t="s">
        <v>506</v>
      </c>
      <c r="C312" s="17" t="s">
        <v>114</v>
      </c>
      <c r="D312" s="17" t="s">
        <v>16</v>
      </c>
      <c r="E312" s="18">
        <f>ROUND(8604*1.05,2)</f>
      </c>
      <c r="F312" s="17" t="s">
        <v>48</v>
      </c>
      <c r="G312" s="17" t="s">
        <v>18</v>
      </c>
      <c r="H312" s="18">
        <f>ROUND(RAND()*4+6,1)</f>
      </c>
      <c r="I312" s="17" t="s">
        <v>19</v>
      </c>
      <c r="J312" s="19">
        <f>ROUND(63*1,0)&amp;"%"</f>
      </c>
    </row>
    <row x14ac:dyDescent="0.25" r="313" customHeight="1" ht="17.25">
      <c r="A313" s="20" t="s">
        <v>816</v>
      </c>
      <c r="B313" s="20" t="s">
        <v>508</v>
      </c>
      <c r="C313" s="20" t="s">
        <v>114</v>
      </c>
      <c r="D313" s="20" t="s">
        <v>22</v>
      </c>
      <c r="E313" s="21">
        <f>ROUND(6363*1.05,2)</f>
      </c>
      <c r="F313" s="20" t="s">
        <v>51</v>
      </c>
      <c r="G313" s="20" t="s">
        <v>24</v>
      </c>
      <c r="H313" s="21">
        <f>ROUND(RAND()*4+6,1)</f>
      </c>
      <c r="I313" s="20" t="s">
        <v>25</v>
      </c>
      <c r="J313" s="23">
        <f>ROUND(100*1,0)&amp;"%"</f>
      </c>
    </row>
    <row x14ac:dyDescent="0.25" r="314" customHeight="1" ht="17.25">
      <c r="A314" s="24" t="s">
        <v>509</v>
      </c>
      <c r="B314" s="24"/>
      <c r="C314" s="24"/>
      <c r="D314" s="24"/>
      <c r="E314" s="25">
        <v>8</v>
      </c>
      <c r="F314" s="9"/>
      <c r="G314" s="9"/>
      <c r="H314" s="10"/>
      <c r="I314" s="9"/>
      <c r="J314" s="9"/>
    </row>
    <row x14ac:dyDescent="0.25" r="315" customHeight="1" ht="17.25">
      <c r="A315" s="7"/>
      <c r="B315" s="7"/>
      <c r="C315" s="7"/>
      <c r="D315" s="7"/>
      <c r="E315" s="8"/>
      <c r="F315" s="9"/>
      <c r="G315" s="9"/>
      <c r="H315" s="10"/>
      <c r="I315" s="9"/>
      <c r="J315" s="9"/>
    </row>
    <row x14ac:dyDescent="0.25" r="316" customHeight="1" ht="17.25">
      <c r="A316" s="11" t="s">
        <v>817</v>
      </c>
      <c r="B316" s="11"/>
      <c r="C316" s="11"/>
      <c r="D316" s="11"/>
      <c r="E316" s="12"/>
      <c r="F316" s="11"/>
      <c r="G316" s="11"/>
      <c r="H316" s="13"/>
      <c r="I316" s="11"/>
      <c r="J316" s="11"/>
    </row>
    <row x14ac:dyDescent="0.25" r="317" customHeight="1" ht="17.25">
      <c r="A317" s="14" t="s">
        <v>3</v>
      </c>
      <c r="B317" s="14" t="s">
        <v>4</v>
      </c>
      <c r="C317" s="14" t="s">
        <v>5</v>
      </c>
      <c r="D317" s="14" t="s">
        <v>6</v>
      </c>
      <c r="E317" s="15" t="s">
        <v>7</v>
      </c>
      <c r="F317" s="14" t="s">
        <v>8</v>
      </c>
      <c r="G317" s="14" t="s">
        <v>9</v>
      </c>
      <c r="H317" s="16" t="s">
        <v>10</v>
      </c>
      <c r="I317" s="14" t="s">
        <v>11</v>
      </c>
      <c r="J317" s="14" t="s">
        <v>12</v>
      </c>
    </row>
    <row x14ac:dyDescent="0.25" r="318" customHeight="1" ht="17.25">
      <c r="A318" s="17" t="s">
        <v>818</v>
      </c>
      <c r="B318" s="17" t="s">
        <v>512</v>
      </c>
      <c r="C318" s="17" t="s">
        <v>133</v>
      </c>
      <c r="D318" s="17" t="s">
        <v>16</v>
      </c>
      <c r="E318" s="18">
        <f>ROUND(16754*1.05,2)</f>
      </c>
      <c r="F318" s="17" t="s">
        <v>17</v>
      </c>
      <c r="G318" s="17" t="s">
        <v>18</v>
      </c>
      <c r="H318" s="18">
        <f>ROUND(RAND()*4+6,1)</f>
      </c>
      <c r="I318" s="17" t="s">
        <v>19</v>
      </c>
      <c r="J318" s="19">
        <f>ROUND(100*1,0)&amp;"%"</f>
      </c>
    </row>
    <row x14ac:dyDescent="0.25" r="319" customHeight="1" ht="17.25">
      <c r="A319" s="20" t="s">
        <v>819</v>
      </c>
      <c r="B319" s="20" t="s">
        <v>514</v>
      </c>
      <c r="C319" s="20" t="s">
        <v>133</v>
      </c>
      <c r="D319" s="20" t="s">
        <v>22</v>
      </c>
      <c r="E319" s="21">
        <f>ROUND(6504*1.05,2)</f>
      </c>
      <c r="F319" s="20" t="s">
        <v>23</v>
      </c>
      <c r="G319" s="20" t="s">
        <v>24</v>
      </c>
      <c r="H319" s="21">
        <f>ROUND(RAND()*4+6,1)</f>
      </c>
      <c r="I319" s="20" t="s">
        <v>25</v>
      </c>
      <c r="J319" s="23">
        <f>ROUND(91*1,0)&amp;"%"</f>
      </c>
    </row>
    <row x14ac:dyDescent="0.25" r="320" customHeight="1" ht="17.25">
      <c r="A320" s="17" t="s">
        <v>820</v>
      </c>
      <c r="B320" s="17" t="s">
        <v>516</v>
      </c>
      <c r="C320" s="17" t="s">
        <v>133</v>
      </c>
      <c r="D320" s="17" t="s">
        <v>28</v>
      </c>
      <c r="E320" s="18">
        <f>ROUND(7013*1.05,2)</f>
      </c>
      <c r="F320" s="17" t="s">
        <v>29</v>
      </c>
      <c r="G320" s="17" t="s">
        <v>30</v>
      </c>
      <c r="H320" s="18">
        <f>ROUND(RAND()*4+6,1)</f>
      </c>
      <c r="I320" s="17" t="s">
        <v>31</v>
      </c>
      <c r="J320" s="19">
        <f>ROUND(76*1,0)&amp;"%"</f>
      </c>
    </row>
    <row x14ac:dyDescent="0.25" r="321" customHeight="1" ht="17.25">
      <c r="A321" s="20" t="s">
        <v>821</v>
      </c>
      <c r="B321" s="20" t="s">
        <v>518</v>
      </c>
      <c r="C321" s="20" t="s">
        <v>133</v>
      </c>
      <c r="D321" s="20" t="s">
        <v>34</v>
      </c>
      <c r="E321" s="21">
        <f>ROUND(8009*1.05,2)</f>
      </c>
      <c r="F321" s="20" t="s">
        <v>35</v>
      </c>
      <c r="G321" s="20" t="s">
        <v>18</v>
      </c>
      <c r="H321" s="21">
        <f>ROUND(RAND()*4+6,1)</f>
      </c>
      <c r="I321" s="20" t="s">
        <v>36</v>
      </c>
      <c r="J321" s="23">
        <f>ROUND(87*1,0)&amp;"%"</f>
      </c>
    </row>
    <row x14ac:dyDescent="0.25" r="322" customHeight="1" ht="17.25">
      <c r="A322" s="17" t="s">
        <v>822</v>
      </c>
      <c r="B322" s="17" t="s">
        <v>520</v>
      </c>
      <c r="C322" s="17" t="s">
        <v>133</v>
      </c>
      <c r="D322" s="17" t="s">
        <v>39</v>
      </c>
      <c r="E322" s="18">
        <f>ROUND(12726*1.05,2)</f>
      </c>
      <c r="F322" s="17" t="s">
        <v>40</v>
      </c>
      <c r="G322" s="17" t="s">
        <v>24</v>
      </c>
      <c r="H322" s="18">
        <f>ROUND(RAND()*4+6,1)</f>
      </c>
      <c r="I322" s="17" t="s">
        <v>41</v>
      </c>
      <c r="J322" s="19">
        <f>ROUND(88*1,0)&amp;"%"</f>
      </c>
    </row>
    <row x14ac:dyDescent="0.25" r="323" customHeight="1" ht="17.25">
      <c r="A323" s="20" t="s">
        <v>823</v>
      </c>
      <c r="B323" s="20" t="s">
        <v>522</v>
      </c>
      <c r="C323" s="20" t="s">
        <v>133</v>
      </c>
      <c r="D323" s="20" t="s">
        <v>67</v>
      </c>
      <c r="E323" s="21">
        <f>ROUND(5444*1.05,2)</f>
      </c>
      <c r="F323" s="20" t="s">
        <v>44</v>
      </c>
      <c r="G323" s="20" t="s">
        <v>30</v>
      </c>
      <c r="H323" s="21">
        <f>ROUND(RAND()*4+6,1)</f>
      </c>
      <c r="I323" s="20" t="s">
        <v>45</v>
      </c>
      <c r="J323" s="23">
        <f>ROUND(61*1,0)&amp;"%"</f>
      </c>
    </row>
    <row x14ac:dyDescent="0.25" r="324" customHeight="1" ht="17.25">
      <c r="A324" s="17" t="s">
        <v>824</v>
      </c>
      <c r="B324" s="17" t="s">
        <v>524</v>
      </c>
      <c r="C324" s="17" t="s">
        <v>133</v>
      </c>
      <c r="D324" s="17" t="s">
        <v>16</v>
      </c>
      <c r="E324" s="18">
        <f>ROUND(13908*1.05,2)</f>
      </c>
      <c r="F324" s="17" t="s">
        <v>48</v>
      </c>
      <c r="G324" s="17" t="s">
        <v>18</v>
      </c>
      <c r="H324" s="26">
        <f>ROUND(RAND()*4+6,1)</f>
      </c>
      <c r="I324" s="17" t="s">
        <v>19</v>
      </c>
      <c r="J324" s="19">
        <f>ROUND(68*1,0)&amp;"%"</f>
      </c>
    </row>
    <row x14ac:dyDescent="0.25" r="325" customHeight="1" ht="17.25">
      <c r="A325" s="20" t="s">
        <v>825</v>
      </c>
      <c r="B325" s="20" t="s">
        <v>526</v>
      </c>
      <c r="C325" s="20" t="s">
        <v>133</v>
      </c>
      <c r="D325" s="20" t="s">
        <v>22</v>
      </c>
      <c r="E325" s="21">
        <f>ROUND(13301*1.05,2)</f>
      </c>
      <c r="F325" s="20" t="s">
        <v>51</v>
      </c>
      <c r="G325" s="20" t="s">
        <v>24</v>
      </c>
      <c r="H325" s="21">
        <f>ROUND(RAND()*4+6,1)</f>
      </c>
      <c r="I325" s="20" t="s">
        <v>25</v>
      </c>
      <c r="J325" s="23">
        <f>ROUND(61*1,0)&amp;"%"</f>
      </c>
    </row>
    <row x14ac:dyDescent="0.25" r="326" customHeight="1" ht="17.25">
      <c r="A326" s="24" t="s">
        <v>527</v>
      </c>
      <c r="B326" s="24"/>
      <c r="C326" s="24"/>
      <c r="D326" s="24"/>
      <c r="E326" s="25">
        <v>8</v>
      </c>
      <c r="F326" s="9"/>
      <c r="G326" s="9"/>
      <c r="H326" s="10"/>
      <c r="I326" s="9"/>
      <c r="J326" s="9"/>
    </row>
    <row x14ac:dyDescent="0.25" r="327" customHeight="1" ht="17.25">
      <c r="A327" s="7"/>
      <c r="B327" s="7"/>
      <c r="C327" s="7"/>
      <c r="D327" s="7"/>
      <c r="E327" s="8"/>
      <c r="F327" s="9"/>
      <c r="G327" s="9"/>
      <c r="H327" s="10"/>
      <c r="I327" s="9"/>
      <c r="J327" s="9"/>
    </row>
    <row x14ac:dyDescent="0.25" r="328" customHeight="1" ht="17.25">
      <c r="A328" s="11" t="s">
        <v>826</v>
      </c>
      <c r="B328" s="11"/>
      <c r="C328" s="11"/>
      <c r="D328" s="11"/>
      <c r="E328" s="12"/>
      <c r="F328" s="11"/>
      <c r="G328" s="11"/>
      <c r="H328" s="13"/>
      <c r="I328" s="11"/>
      <c r="J328" s="11"/>
    </row>
    <row x14ac:dyDescent="0.25" r="329" customHeight="1" ht="17.25">
      <c r="A329" s="14" t="s">
        <v>3</v>
      </c>
      <c r="B329" s="14" t="s">
        <v>4</v>
      </c>
      <c r="C329" s="14" t="s">
        <v>5</v>
      </c>
      <c r="D329" s="14" t="s">
        <v>6</v>
      </c>
      <c r="E329" s="15" t="s">
        <v>7</v>
      </c>
      <c r="F329" s="14" t="s">
        <v>8</v>
      </c>
      <c r="G329" s="14" t="s">
        <v>9</v>
      </c>
      <c r="H329" s="16" t="s">
        <v>10</v>
      </c>
      <c r="I329" s="14" t="s">
        <v>11</v>
      </c>
      <c r="J329" s="14" t="s">
        <v>12</v>
      </c>
    </row>
    <row x14ac:dyDescent="0.25" r="330" customHeight="1" ht="17.25">
      <c r="A330" s="17" t="s">
        <v>827</v>
      </c>
      <c r="B330" s="17" t="s">
        <v>530</v>
      </c>
      <c r="C330" s="17" t="s">
        <v>152</v>
      </c>
      <c r="D330" s="17" t="s">
        <v>16</v>
      </c>
      <c r="E330" s="18">
        <f>ROUND(6536*1.05,2)</f>
      </c>
      <c r="F330" s="17" t="s">
        <v>17</v>
      </c>
      <c r="G330" s="17" t="s">
        <v>18</v>
      </c>
      <c r="H330" s="18">
        <f>ROUND(RAND()*4+6,1)</f>
      </c>
      <c r="I330" s="17" t="s">
        <v>19</v>
      </c>
      <c r="J330" s="19">
        <f>ROUND(82*1,0)&amp;"%"</f>
      </c>
    </row>
    <row x14ac:dyDescent="0.25" r="331" customHeight="1" ht="17.25">
      <c r="A331" s="20" t="s">
        <v>828</v>
      </c>
      <c r="B331" s="20" t="s">
        <v>532</v>
      </c>
      <c r="C331" s="20" t="s">
        <v>152</v>
      </c>
      <c r="D331" s="20" t="s">
        <v>22</v>
      </c>
      <c r="E331" s="21">
        <f>ROUND(13033*1.05,2)</f>
      </c>
      <c r="F331" s="20" t="s">
        <v>23</v>
      </c>
      <c r="G331" s="20" t="s">
        <v>24</v>
      </c>
      <c r="H331" s="22">
        <f>ROUND(RAND()*4+6,1)</f>
      </c>
      <c r="I331" s="20" t="s">
        <v>25</v>
      </c>
      <c r="J331" s="23">
        <f>ROUND(100*1,0)&amp;"%"</f>
      </c>
    </row>
    <row x14ac:dyDescent="0.25" r="332" customHeight="1" ht="17.25">
      <c r="A332" s="17" t="s">
        <v>829</v>
      </c>
      <c r="B332" s="17" t="s">
        <v>534</v>
      </c>
      <c r="C332" s="17" t="s">
        <v>152</v>
      </c>
      <c r="D332" s="17" t="s">
        <v>28</v>
      </c>
      <c r="E332" s="18">
        <f>ROUND(6316*1.05,2)</f>
      </c>
      <c r="F332" s="17" t="s">
        <v>29</v>
      </c>
      <c r="G332" s="17" t="s">
        <v>30</v>
      </c>
      <c r="H332" s="26">
        <f>ROUND(RAND()*4+6,1)</f>
      </c>
      <c r="I332" s="17" t="s">
        <v>31</v>
      </c>
      <c r="J332" s="19">
        <f>ROUND(96*1,0)&amp;"%"</f>
      </c>
    </row>
    <row x14ac:dyDescent="0.25" r="333" customHeight="1" ht="17.25">
      <c r="A333" s="20" t="s">
        <v>830</v>
      </c>
      <c r="B333" s="20" t="s">
        <v>536</v>
      </c>
      <c r="C333" s="20" t="s">
        <v>152</v>
      </c>
      <c r="D333" s="20" t="s">
        <v>34</v>
      </c>
      <c r="E333" s="21">
        <f>ROUND(10513*1.05,2)</f>
      </c>
      <c r="F333" s="20" t="s">
        <v>35</v>
      </c>
      <c r="G333" s="20" t="s">
        <v>18</v>
      </c>
      <c r="H333" s="21">
        <f>ROUND(RAND()*4+6,1)</f>
      </c>
      <c r="I333" s="20" t="s">
        <v>36</v>
      </c>
      <c r="J333" s="23">
        <f>ROUND(64*1,0)&amp;"%"</f>
      </c>
    </row>
    <row x14ac:dyDescent="0.25" r="334" customHeight="1" ht="17.25">
      <c r="A334" s="17" t="s">
        <v>831</v>
      </c>
      <c r="B334" s="17" t="s">
        <v>538</v>
      </c>
      <c r="C334" s="17" t="s">
        <v>152</v>
      </c>
      <c r="D334" s="17" t="s">
        <v>39</v>
      </c>
      <c r="E334" s="18">
        <f>ROUND(4846*1.05,2)</f>
      </c>
      <c r="F334" s="17" t="s">
        <v>40</v>
      </c>
      <c r="G334" s="17" t="s">
        <v>24</v>
      </c>
      <c r="H334" s="18">
        <f>ROUND(RAND()*4+6,1)</f>
      </c>
      <c r="I334" s="17" t="s">
        <v>41</v>
      </c>
      <c r="J334" s="19">
        <f>ROUND(98*1,0)&amp;"%"</f>
      </c>
    </row>
    <row x14ac:dyDescent="0.25" r="335" customHeight="1" ht="17.25">
      <c r="A335" s="20" t="s">
        <v>832</v>
      </c>
      <c r="B335" s="20" t="s">
        <v>540</v>
      </c>
      <c r="C335" s="20" t="s">
        <v>152</v>
      </c>
      <c r="D335" s="20" t="s">
        <v>67</v>
      </c>
      <c r="E335" s="21">
        <f>ROUND(16544*1.05,2)</f>
      </c>
      <c r="F335" s="20" t="s">
        <v>44</v>
      </c>
      <c r="G335" s="20" t="s">
        <v>30</v>
      </c>
      <c r="H335" s="21">
        <f>ROUND(RAND()*4+6,1)</f>
      </c>
      <c r="I335" s="20" t="s">
        <v>45</v>
      </c>
      <c r="J335" s="23">
        <f>ROUND(74*1,0)&amp;"%"</f>
      </c>
    </row>
    <row x14ac:dyDescent="0.25" r="336" customHeight="1" ht="17.25">
      <c r="A336" s="17" t="s">
        <v>833</v>
      </c>
      <c r="B336" s="17" t="s">
        <v>542</v>
      </c>
      <c r="C336" s="17" t="s">
        <v>152</v>
      </c>
      <c r="D336" s="17" t="s">
        <v>16</v>
      </c>
      <c r="E336" s="18">
        <f>ROUND(12601*1.05,2)</f>
      </c>
      <c r="F336" s="17" t="s">
        <v>48</v>
      </c>
      <c r="G336" s="17" t="s">
        <v>18</v>
      </c>
      <c r="H336" s="18">
        <f>ROUND(RAND()*4+6,1)</f>
      </c>
      <c r="I336" s="17" t="s">
        <v>19</v>
      </c>
      <c r="J336" s="19">
        <f>ROUND(75*1,0)&amp;"%"</f>
      </c>
    </row>
    <row x14ac:dyDescent="0.25" r="337" customHeight="1" ht="17.25">
      <c r="A337" s="20" t="s">
        <v>834</v>
      </c>
      <c r="B337" s="20" t="s">
        <v>544</v>
      </c>
      <c r="C337" s="20" t="s">
        <v>152</v>
      </c>
      <c r="D337" s="20" t="s">
        <v>22</v>
      </c>
      <c r="E337" s="21">
        <f>ROUND(4162*1.05,2)</f>
      </c>
      <c r="F337" s="20" t="s">
        <v>51</v>
      </c>
      <c r="G337" s="20" t="s">
        <v>24</v>
      </c>
      <c r="H337" s="21">
        <f>ROUND(RAND()*4+6,1)</f>
      </c>
      <c r="I337" s="20" t="s">
        <v>25</v>
      </c>
      <c r="J337" s="23">
        <f>ROUND(88*1,0)&amp;"%"</f>
      </c>
    </row>
    <row x14ac:dyDescent="0.25" r="338" customHeight="1" ht="17.25">
      <c r="A338" s="24" t="s">
        <v>545</v>
      </c>
      <c r="B338" s="24"/>
      <c r="C338" s="24"/>
      <c r="D338" s="24"/>
      <c r="E338" s="25">
        <v>8</v>
      </c>
      <c r="F338" s="9"/>
      <c r="G338" s="9"/>
      <c r="H338" s="10"/>
      <c r="I338" s="9"/>
      <c r="J338" s="9"/>
    </row>
    <row x14ac:dyDescent="0.25" r="339" customHeight="1" ht="17.25">
      <c r="A339" s="7"/>
      <c r="B339" s="7"/>
      <c r="C339" s="7"/>
      <c r="D339" s="7"/>
      <c r="E339" s="8"/>
      <c r="F339" s="9"/>
      <c r="G339" s="9"/>
      <c r="H339" s="10"/>
      <c r="I339" s="9"/>
      <c r="J339" s="9"/>
    </row>
    <row x14ac:dyDescent="0.25" r="340" customHeight="1" ht="17.25">
      <c r="A340" s="11" t="s">
        <v>835</v>
      </c>
      <c r="B340" s="11"/>
      <c r="C340" s="11"/>
      <c r="D340" s="11"/>
      <c r="E340" s="12"/>
      <c r="F340" s="11"/>
      <c r="G340" s="11"/>
      <c r="H340" s="13"/>
      <c r="I340" s="11"/>
      <c r="J340" s="11"/>
    </row>
    <row x14ac:dyDescent="0.25" r="341" customHeight="1" ht="17.25">
      <c r="A341" s="14" t="s">
        <v>3</v>
      </c>
      <c r="B341" s="14" t="s">
        <v>4</v>
      </c>
      <c r="C341" s="14" t="s">
        <v>5</v>
      </c>
      <c r="D341" s="14" t="s">
        <v>6</v>
      </c>
      <c r="E341" s="15" t="s">
        <v>7</v>
      </c>
      <c r="F341" s="14" t="s">
        <v>8</v>
      </c>
      <c r="G341" s="14" t="s">
        <v>9</v>
      </c>
      <c r="H341" s="16" t="s">
        <v>10</v>
      </c>
      <c r="I341" s="14" t="s">
        <v>11</v>
      </c>
      <c r="J341" s="14" t="s">
        <v>12</v>
      </c>
    </row>
    <row x14ac:dyDescent="0.25" r="342" customHeight="1" ht="17.25">
      <c r="A342" s="17" t="s">
        <v>836</v>
      </c>
      <c r="B342" s="17" t="s">
        <v>548</v>
      </c>
      <c r="C342" s="17" t="s">
        <v>15</v>
      </c>
      <c r="D342" s="17" t="s">
        <v>16</v>
      </c>
      <c r="E342" s="18">
        <f>ROUND(10581*1.05,2)</f>
      </c>
      <c r="F342" s="17" t="s">
        <v>17</v>
      </c>
      <c r="G342" s="17" t="s">
        <v>18</v>
      </c>
      <c r="H342" s="18">
        <f>ROUND(RAND()*4+6,1)</f>
      </c>
      <c r="I342" s="17" t="s">
        <v>19</v>
      </c>
      <c r="J342" s="19">
        <f>ROUND(98*1,0)&amp;"%"</f>
      </c>
    </row>
    <row x14ac:dyDescent="0.25" r="343" customHeight="1" ht="17.25">
      <c r="A343" s="20" t="s">
        <v>837</v>
      </c>
      <c r="B343" s="20" t="s">
        <v>550</v>
      </c>
      <c r="C343" s="20" t="s">
        <v>15</v>
      </c>
      <c r="D343" s="20" t="s">
        <v>22</v>
      </c>
      <c r="E343" s="21">
        <f>ROUND(5138*1.05,2)</f>
      </c>
      <c r="F343" s="20" t="s">
        <v>23</v>
      </c>
      <c r="G343" s="20" t="s">
        <v>24</v>
      </c>
      <c r="H343" s="21">
        <f>ROUND(RAND()*4+6,1)</f>
      </c>
      <c r="I343" s="20" t="s">
        <v>25</v>
      </c>
      <c r="J343" s="23">
        <f>ROUND(96*1,0)&amp;"%"</f>
      </c>
    </row>
    <row x14ac:dyDescent="0.25" r="344" customHeight="1" ht="17.25">
      <c r="A344" s="17" t="s">
        <v>838</v>
      </c>
      <c r="B344" s="17" t="s">
        <v>552</v>
      </c>
      <c r="C344" s="17" t="s">
        <v>15</v>
      </c>
      <c r="D344" s="17" t="s">
        <v>28</v>
      </c>
      <c r="E344" s="18">
        <f>ROUND(17749*1.05,2)</f>
      </c>
      <c r="F344" s="17" t="s">
        <v>29</v>
      </c>
      <c r="G344" s="17" t="s">
        <v>30</v>
      </c>
      <c r="H344" s="18">
        <f>ROUND(RAND()*4+6,1)</f>
      </c>
      <c r="I344" s="17" t="s">
        <v>31</v>
      </c>
      <c r="J344" s="19">
        <f>ROUND(99*1,0)&amp;"%"</f>
      </c>
    </row>
    <row x14ac:dyDescent="0.25" r="345" customHeight="1" ht="17.25">
      <c r="A345" s="20" t="s">
        <v>839</v>
      </c>
      <c r="B345" s="20" t="s">
        <v>554</v>
      </c>
      <c r="C345" s="20" t="s">
        <v>15</v>
      </c>
      <c r="D345" s="20" t="s">
        <v>34</v>
      </c>
      <c r="E345" s="21">
        <f>ROUND(11482*1.05,2)</f>
      </c>
      <c r="F345" s="20" t="s">
        <v>35</v>
      </c>
      <c r="G345" s="20" t="s">
        <v>18</v>
      </c>
      <c r="H345" s="21">
        <f>ROUND(RAND()*4+6,1)</f>
      </c>
      <c r="I345" s="20" t="s">
        <v>36</v>
      </c>
      <c r="J345" s="23">
        <f>ROUND(65*1,0)&amp;"%"</f>
      </c>
    </row>
    <row x14ac:dyDescent="0.25" r="346" customHeight="1" ht="17.25">
      <c r="A346" s="17" t="s">
        <v>840</v>
      </c>
      <c r="B346" s="17" t="s">
        <v>556</v>
      </c>
      <c r="C346" s="17" t="s">
        <v>15</v>
      </c>
      <c r="D346" s="17" t="s">
        <v>39</v>
      </c>
      <c r="E346" s="18">
        <f>ROUND(10745*1.05,2)</f>
      </c>
      <c r="F346" s="17" t="s">
        <v>40</v>
      </c>
      <c r="G346" s="17" t="s">
        <v>24</v>
      </c>
      <c r="H346" s="18">
        <f>ROUND(RAND()*4+6,1)</f>
      </c>
      <c r="I346" s="17" t="s">
        <v>41</v>
      </c>
      <c r="J346" s="19">
        <f>ROUND(91*1,0)&amp;"%"</f>
      </c>
    </row>
    <row x14ac:dyDescent="0.25" r="347" customHeight="1" ht="17.25">
      <c r="A347" s="20" t="s">
        <v>841</v>
      </c>
      <c r="B347" s="20" t="s">
        <v>558</v>
      </c>
      <c r="C347" s="20" t="s">
        <v>15</v>
      </c>
      <c r="D347" s="20" t="s">
        <v>67</v>
      </c>
      <c r="E347" s="21">
        <f>ROUND(15833*1.05,2)</f>
      </c>
      <c r="F347" s="20" t="s">
        <v>44</v>
      </c>
      <c r="G347" s="20" t="s">
        <v>30</v>
      </c>
      <c r="H347" s="21">
        <f>ROUND(RAND()*4+6,1)</f>
      </c>
      <c r="I347" s="20" t="s">
        <v>45</v>
      </c>
      <c r="J347" s="23">
        <f>ROUND(60*1,0)&amp;"%"</f>
      </c>
    </row>
    <row x14ac:dyDescent="0.25" r="348" customHeight="1" ht="17.25">
      <c r="A348" s="17" t="s">
        <v>842</v>
      </c>
      <c r="B348" s="17" t="s">
        <v>560</v>
      </c>
      <c r="C348" s="17" t="s">
        <v>15</v>
      </c>
      <c r="D348" s="17" t="s">
        <v>16</v>
      </c>
      <c r="E348" s="18">
        <f>ROUND(14085*1.05,2)</f>
      </c>
      <c r="F348" s="17" t="s">
        <v>48</v>
      </c>
      <c r="G348" s="17" t="s">
        <v>18</v>
      </c>
      <c r="H348" s="18">
        <f>ROUND(RAND()*4+6,1)</f>
      </c>
      <c r="I348" s="17" t="s">
        <v>19</v>
      </c>
      <c r="J348" s="19">
        <f>ROUND(68*1,0)&amp;"%"</f>
      </c>
    </row>
    <row x14ac:dyDescent="0.25" r="349" customHeight="1" ht="17.25">
      <c r="A349" s="20" t="s">
        <v>843</v>
      </c>
      <c r="B349" s="20" t="s">
        <v>562</v>
      </c>
      <c r="C349" s="20" t="s">
        <v>15</v>
      </c>
      <c r="D349" s="20" t="s">
        <v>22</v>
      </c>
      <c r="E349" s="21">
        <f>ROUND(8049*1.05,2)</f>
      </c>
      <c r="F349" s="20" t="s">
        <v>51</v>
      </c>
      <c r="G349" s="20" t="s">
        <v>24</v>
      </c>
      <c r="H349" s="21">
        <f>ROUND(RAND()*4+6,1)</f>
      </c>
      <c r="I349" s="20" t="s">
        <v>25</v>
      </c>
      <c r="J349" s="23">
        <f>ROUND(73*1,0)&amp;"%"</f>
      </c>
    </row>
    <row x14ac:dyDescent="0.25" r="350" customHeight="1" ht="17.25">
      <c r="A350" s="24" t="s">
        <v>563</v>
      </c>
      <c r="B350" s="24"/>
      <c r="C350" s="24"/>
      <c r="D350" s="24"/>
      <c r="E350" s="25">
        <v>8</v>
      </c>
      <c r="F350" s="9"/>
      <c r="G350" s="9"/>
      <c r="H350" s="10"/>
      <c r="I350" s="9"/>
      <c r="J350" s="9"/>
    </row>
    <row x14ac:dyDescent="0.25" r="351" customHeight="1" ht="17.25">
      <c r="A351" s="7"/>
      <c r="B351" s="7"/>
      <c r="C351" s="7"/>
      <c r="D351" s="7"/>
      <c r="E351" s="8"/>
      <c r="F351" s="9"/>
      <c r="G351" s="9"/>
      <c r="H351" s="10"/>
      <c r="I351" s="9"/>
      <c r="J351" s="9"/>
    </row>
    <row x14ac:dyDescent="0.25" r="352" customHeight="1" ht="17.25">
      <c r="A352" s="11" t="s">
        <v>844</v>
      </c>
      <c r="B352" s="11"/>
      <c r="C352" s="11"/>
      <c r="D352" s="11"/>
      <c r="E352" s="12"/>
      <c r="F352" s="11"/>
      <c r="G352" s="11"/>
      <c r="H352" s="13"/>
      <c r="I352" s="11"/>
      <c r="J352" s="11"/>
    </row>
    <row x14ac:dyDescent="0.25" r="353" customHeight="1" ht="17.25">
      <c r="A353" s="14" t="s">
        <v>3</v>
      </c>
      <c r="B353" s="14" t="s">
        <v>4</v>
      </c>
      <c r="C353" s="14" t="s">
        <v>5</v>
      </c>
      <c r="D353" s="14" t="s">
        <v>6</v>
      </c>
      <c r="E353" s="15" t="s">
        <v>7</v>
      </c>
      <c r="F353" s="14" t="s">
        <v>8</v>
      </c>
      <c r="G353" s="14" t="s">
        <v>9</v>
      </c>
      <c r="H353" s="16" t="s">
        <v>10</v>
      </c>
      <c r="I353" s="14" t="s">
        <v>11</v>
      </c>
      <c r="J353" s="14" t="s">
        <v>12</v>
      </c>
    </row>
    <row x14ac:dyDescent="0.25" r="354" customHeight="1" ht="17.25">
      <c r="A354" s="17" t="s">
        <v>845</v>
      </c>
      <c r="B354" s="17" t="s">
        <v>566</v>
      </c>
      <c r="C354" s="17" t="s">
        <v>56</v>
      </c>
      <c r="D354" s="17" t="s">
        <v>16</v>
      </c>
      <c r="E354" s="18">
        <f>ROUND(7542*1.05,2)</f>
      </c>
      <c r="F354" s="17" t="s">
        <v>17</v>
      </c>
      <c r="G354" s="17" t="s">
        <v>18</v>
      </c>
      <c r="H354" s="18">
        <f>ROUND(RAND()*4+6,1)</f>
      </c>
      <c r="I354" s="17" t="s">
        <v>19</v>
      </c>
      <c r="J354" s="19">
        <f>ROUND(94*1,0)&amp;"%"</f>
      </c>
    </row>
    <row x14ac:dyDescent="0.25" r="355" customHeight="1" ht="17.25">
      <c r="A355" s="20" t="s">
        <v>846</v>
      </c>
      <c r="B355" s="20" t="s">
        <v>568</v>
      </c>
      <c r="C355" s="20" t="s">
        <v>56</v>
      </c>
      <c r="D355" s="20" t="s">
        <v>22</v>
      </c>
      <c r="E355" s="21">
        <f>ROUND(10159*1.05,2)</f>
      </c>
      <c r="F355" s="20" t="s">
        <v>23</v>
      </c>
      <c r="G355" s="20" t="s">
        <v>24</v>
      </c>
      <c r="H355" s="21">
        <f>ROUND(RAND()*4+6,1)</f>
      </c>
      <c r="I355" s="20" t="s">
        <v>25</v>
      </c>
      <c r="J355" s="23">
        <f>ROUND(61*1,0)&amp;"%"</f>
      </c>
    </row>
    <row x14ac:dyDescent="0.25" r="356" customHeight="1" ht="17.25">
      <c r="A356" s="17" t="s">
        <v>847</v>
      </c>
      <c r="B356" s="17" t="s">
        <v>570</v>
      </c>
      <c r="C356" s="17" t="s">
        <v>56</v>
      </c>
      <c r="D356" s="17" t="s">
        <v>28</v>
      </c>
      <c r="E356" s="18">
        <f>ROUND(9847*1.05,2)</f>
      </c>
      <c r="F356" s="17" t="s">
        <v>29</v>
      </c>
      <c r="G356" s="17" t="s">
        <v>30</v>
      </c>
      <c r="H356" s="18">
        <f>ROUND(RAND()*4+6,1)</f>
      </c>
      <c r="I356" s="17" t="s">
        <v>31</v>
      </c>
      <c r="J356" s="19">
        <f>ROUND(67*1,0)&amp;"%"</f>
      </c>
    </row>
    <row x14ac:dyDescent="0.25" r="357" customHeight="1" ht="17.25">
      <c r="A357" s="20" t="s">
        <v>848</v>
      </c>
      <c r="B357" s="20" t="s">
        <v>572</v>
      </c>
      <c r="C357" s="20" t="s">
        <v>56</v>
      </c>
      <c r="D357" s="20" t="s">
        <v>34</v>
      </c>
      <c r="E357" s="21">
        <f>ROUND(6736*1.05,2)</f>
      </c>
      <c r="F357" s="20" t="s">
        <v>35</v>
      </c>
      <c r="G357" s="20" t="s">
        <v>18</v>
      </c>
      <c r="H357" s="21">
        <f>ROUND(RAND()*4+6,1)</f>
      </c>
      <c r="I357" s="20" t="s">
        <v>36</v>
      </c>
      <c r="J357" s="23">
        <f>ROUND(80*1,0)&amp;"%"</f>
      </c>
    </row>
    <row x14ac:dyDescent="0.25" r="358" customHeight="1" ht="17.25">
      <c r="A358" s="17" t="s">
        <v>849</v>
      </c>
      <c r="B358" s="17" t="s">
        <v>574</v>
      </c>
      <c r="C358" s="17" t="s">
        <v>56</v>
      </c>
      <c r="D358" s="17" t="s">
        <v>39</v>
      </c>
      <c r="E358" s="18">
        <f>ROUND(8426*1.05,2)</f>
      </c>
      <c r="F358" s="17" t="s">
        <v>40</v>
      </c>
      <c r="G358" s="17" t="s">
        <v>24</v>
      </c>
      <c r="H358" s="18">
        <f>ROUND(RAND()*4+6,1)</f>
      </c>
      <c r="I358" s="17" t="s">
        <v>41</v>
      </c>
      <c r="J358" s="19">
        <f>ROUND(72*1,0)&amp;"%"</f>
      </c>
    </row>
    <row x14ac:dyDescent="0.25" r="359" customHeight="1" ht="17.25">
      <c r="A359" s="20" t="s">
        <v>850</v>
      </c>
      <c r="B359" s="20" t="s">
        <v>576</v>
      </c>
      <c r="C359" s="20" t="s">
        <v>56</v>
      </c>
      <c r="D359" s="20" t="s">
        <v>67</v>
      </c>
      <c r="E359" s="21">
        <f>ROUND(10854*1.05,2)</f>
      </c>
      <c r="F359" s="20" t="s">
        <v>44</v>
      </c>
      <c r="G359" s="20" t="s">
        <v>30</v>
      </c>
      <c r="H359" s="21">
        <f>ROUND(RAND()*4+6,1)</f>
      </c>
      <c r="I359" s="20" t="s">
        <v>45</v>
      </c>
      <c r="J359" s="23">
        <f>ROUND(88*1,0)&amp;"%"</f>
      </c>
    </row>
    <row x14ac:dyDescent="0.25" r="360" customHeight="1" ht="17.25">
      <c r="A360" s="17" t="s">
        <v>851</v>
      </c>
      <c r="B360" s="17" t="s">
        <v>578</v>
      </c>
      <c r="C360" s="17" t="s">
        <v>56</v>
      </c>
      <c r="D360" s="17" t="s">
        <v>16</v>
      </c>
      <c r="E360" s="18">
        <f>ROUND(16722*1.05,2)</f>
      </c>
      <c r="F360" s="17" t="s">
        <v>48</v>
      </c>
      <c r="G360" s="17" t="s">
        <v>18</v>
      </c>
      <c r="H360" s="18">
        <f>ROUND(RAND()*4+6,1)</f>
      </c>
      <c r="I360" s="17" t="s">
        <v>19</v>
      </c>
      <c r="J360" s="19">
        <f>ROUND(98*1,0)&amp;"%"</f>
      </c>
    </row>
    <row x14ac:dyDescent="0.25" r="361" customHeight="1" ht="17.25">
      <c r="A361" s="20" t="s">
        <v>852</v>
      </c>
      <c r="B361" s="20" t="s">
        <v>580</v>
      </c>
      <c r="C361" s="20" t="s">
        <v>56</v>
      </c>
      <c r="D361" s="20" t="s">
        <v>22</v>
      </c>
      <c r="E361" s="21">
        <f>ROUND(14227*1.05,2)</f>
      </c>
      <c r="F361" s="20" t="s">
        <v>51</v>
      </c>
      <c r="G361" s="20" t="s">
        <v>24</v>
      </c>
      <c r="H361" s="21">
        <f>ROUND(RAND()*4+6,1)</f>
      </c>
      <c r="I361" s="20" t="s">
        <v>25</v>
      </c>
      <c r="J361" s="23">
        <f>ROUND(68*1,0)&amp;"%"</f>
      </c>
    </row>
    <row x14ac:dyDescent="0.25" r="362" customHeight="1" ht="17.25">
      <c r="A362" s="24" t="s">
        <v>581</v>
      </c>
      <c r="B362" s="24"/>
      <c r="C362" s="24"/>
      <c r="D362" s="24"/>
      <c r="E362" s="25">
        <v>8</v>
      </c>
      <c r="F362" s="9"/>
      <c r="G362" s="9"/>
      <c r="H362" s="10"/>
      <c r="I362" s="9"/>
      <c r="J362" s="9"/>
    </row>
  </sheetData>
  <mergeCells count="62">
    <mergeCell ref="A1:J1"/>
    <mergeCell ref="A2:J2"/>
    <mergeCell ref="A4:J4"/>
    <mergeCell ref="A14:D14"/>
    <mergeCell ref="A16:J16"/>
    <mergeCell ref="A26:D26"/>
    <mergeCell ref="A28:J28"/>
    <mergeCell ref="A38:D38"/>
    <mergeCell ref="A40:J40"/>
    <mergeCell ref="A50:D50"/>
    <mergeCell ref="A52:J52"/>
    <mergeCell ref="A62:D62"/>
    <mergeCell ref="A64:J64"/>
    <mergeCell ref="A74:D74"/>
    <mergeCell ref="A76:J76"/>
    <mergeCell ref="A86:D86"/>
    <mergeCell ref="A88:J88"/>
    <mergeCell ref="A98:D98"/>
    <mergeCell ref="A100:J100"/>
    <mergeCell ref="A110:D110"/>
    <mergeCell ref="A112:J112"/>
    <mergeCell ref="A122:D122"/>
    <mergeCell ref="A124:J124"/>
    <mergeCell ref="A134:D134"/>
    <mergeCell ref="A136:J136"/>
    <mergeCell ref="A146:D146"/>
    <mergeCell ref="A148:J148"/>
    <mergeCell ref="A158:D158"/>
    <mergeCell ref="A160:J160"/>
    <mergeCell ref="A170:D170"/>
    <mergeCell ref="A172:J172"/>
    <mergeCell ref="A182:D182"/>
    <mergeCell ref="A184:J184"/>
    <mergeCell ref="A194:D194"/>
    <mergeCell ref="A196:J196"/>
    <mergeCell ref="A206:D206"/>
    <mergeCell ref="A208:J208"/>
    <mergeCell ref="A218:D218"/>
    <mergeCell ref="A220:J220"/>
    <mergeCell ref="A230:D230"/>
    <mergeCell ref="A232:J232"/>
    <mergeCell ref="A242:D242"/>
    <mergeCell ref="A244:J244"/>
    <mergeCell ref="A254:D254"/>
    <mergeCell ref="A256:J256"/>
    <mergeCell ref="A266:D266"/>
    <mergeCell ref="A268:J268"/>
    <mergeCell ref="A278:D278"/>
    <mergeCell ref="A280:J280"/>
    <mergeCell ref="A290:D290"/>
    <mergeCell ref="A292:J292"/>
    <mergeCell ref="A302:D302"/>
    <mergeCell ref="A304:J304"/>
    <mergeCell ref="A314:D314"/>
    <mergeCell ref="A316:J316"/>
    <mergeCell ref="A326:D326"/>
    <mergeCell ref="A328:J328"/>
    <mergeCell ref="A338:D338"/>
    <mergeCell ref="A340:J340"/>
    <mergeCell ref="A350:D350"/>
    <mergeCell ref="A352:J352"/>
    <mergeCell ref="A362:D362"/>
  </mergeCells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J362"/>
  <sheetViews>
    <sheetView workbookViewId="0" tabSelected="1"/>
  </sheetViews>
  <sheetFormatPr defaultRowHeight="15" x14ac:dyDescent="0.25"/>
  <cols>
    <col min="1" max="1" style="27" width="8.005" customWidth="1" bestFit="1"/>
    <col min="2" max="2" style="27" width="22.005" customWidth="1" bestFit="1"/>
    <col min="3" max="3" style="27" width="16.005" customWidth="1" bestFit="1"/>
    <col min="4" max="4" style="27" width="14.005" customWidth="1" bestFit="1"/>
    <col min="5" max="5" style="28" width="12.005" customWidth="1" bestFit="1"/>
    <col min="6" max="6" style="29" width="16.005" customWidth="1" bestFit="1"/>
    <col min="7" max="7" style="29" width="10.005" customWidth="1" bestFit="1"/>
    <col min="8" max="8" style="30" width="10.005" customWidth="1" bestFit="1"/>
    <col min="9" max="9" style="29" width="14.005" customWidth="1" bestFit="1"/>
    <col min="10" max="10" style="29" width="8.005" customWidth="1" bestFit="1"/>
  </cols>
  <sheetData>
    <row x14ac:dyDescent="0.25" r="1" customHeight="1" ht="17.25">
      <c r="A1" s="1" t="s">
        <v>0</v>
      </c>
      <c r="B1" s="1"/>
      <c r="C1" s="1"/>
      <c r="D1" s="1"/>
      <c r="E1" s="2"/>
      <c r="F1" s="1"/>
      <c r="G1" s="1"/>
      <c r="H1" s="3"/>
      <c r="I1" s="1"/>
      <c r="J1" s="1"/>
    </row>
    <row x14ac:dyDescent="0.25" r="2" customHeight="1" ht="17.25">
      <c r="A2" s="4" t="s">
        <v>1</v>
      </c>
      <c r="B2" s="4"/>
      <c r="C2" s="4"/>
      <c r="D2" s="4"/>
      <c r="E2" s="5"/>
      <c r="F2" s="4"/>
      <c r="G2" s="4"/>
      <c r="H2" s="6"/>
      <c r="I2" s="4"/>
      <c r="J2" s="4"/>
    </row>
    <row x14ac:dyDescent="0.25" r="3" customHeight="1" ht="17.25">
      <c r="A3" s="7"/>
      <c r="B3" s="7"/>
      <c r="C3" s="7"/>
      <c r="D3" s="7"/>
      <c r="E3" s="8"/>
      <c r="F3" s="9"/>
      <c r="G3" s="9"/>
      <c r="H3" s="10"/>
      <c r="I3" s="9"/>
      <c r="J3" s="9"/>
    </row>
    <row x14ac:dyDescent="0.25" r="4" customHeight="1" ht="17.25">
      <c r="A4" s="11" t="s">
        <v>2</v>
      </c>
      <c r="B4" s="11"/>
      <c r="C4" s="11"/>
      <c r="D4" s="11"/>
      <c r="E4" s="12"/>
      <c r="F4" s="11"/>
      <c r="G4" s="11"/>
      <c r="H4" s="13"/>
      <c r="I4" s="11"/>
      <c r="J4" s="11"/>
    </row>
    <row x14ac:dyDescent="0.25" r="5" customHeight="1" ht="17.25">
      <c r="A5" s="14" t="s">
        <v>3</v>
      </c>
      <c r="B5" s="14" t="s">
        <v>4</v>
      </c>
      <c r="C5" s="14" t="s">
        <v>5</v>
      </c>
      <c r="D5" s="14" t="s">
        <v>6</v>
      </c>
      <c r="E5" s="15" t="s">
        <v>7</v>
      </c>
      <c r="F5" s="14" t="s">
        <v>8</v>
      </c>
      <c r="G5" s="14" t="s">
        <v>9</v>
      </c>
      <c r="H5" s="16" t="s">
        <v>10</v>
      </c>
      <c r="I5" s="14" t="s">
        <v>11</v>
      </c>
      <c r="J5" s="14" t="s">
        <v>12</v>
      </c>
    </row>
    <row x14ac:dyDescent="0.25" r="6" customHeight="1" ht="17.25">
      <c r="A6" s="17" t="s">
        <v>13</v>
      </c>
      <c r="B6" s="17" t="s">
        <v>14</v>
      </c>
      <c r="C6" s="17" t="s">
        <v>15</v>
      </c>
      <c r="D6" s="17" t="s">
        <v>16</v>
      </c>
      <c r="E6" s="18">
        <f>ROUND(15305*1.05,2)</f>
      </c>
      <c r="F6" s="17" t="s">
        <v>17</v>
      </c>
      <c r="G6" s="17" t="s">
        <v>18</v>
      </c>
      <c r="H6" s="18">
        <f>ROUND(RAND()*4+6,1)</f>
      </c>
      <c r="I6" s="17" t="s">
        <v>19</v>
      </c>
      <c r="J6" s="19">
        <f>ROUND(61*1,0)&amp;"%"</f>
      </c>
    </row>
    <row x14ac:dyDescent="0.25" r="7" customHeight="1" ht="17.25">
      <c r="A7" s="20" t="s">
        <v>20</v>
      </c>
      <c r="B7" s="20" t="s">
        <v>21</v>
      </c>
      <c r="C7" s="20" t="s">
        <v>15</v>
      </c>
      <c r="D7" s="20" t="s">
        <v>22</v>
      </c>
      <c r="E7" s="21">
        <f>ROUND(8775*1.05,2)</f>
      </c>
      <c r="F7" s="20" t="s">
        <v>23</v>
      </c>
      <c r="G7" s="20" t="s">
        <v>24</v>
      </c>
      <c r="H7" s="22">
        <f>ROUND(RAND()*4+6,1)</f>
      </c>
      <c r="I7" s="20" t="s">
        <v>25</v>
      </c>
      <c r="J7" s="23">
        <f>ROUND(84*1,0)&amp;"%"</f>
      </c>
    </row>
    <row x14ac:dyDescent="0.25" r="8" customHeight="1" ht="17.25">
      <c r="A8" s="17" t="s">
        <v>26</v>
      </c>
      <c r="B8" s="17" t="s">
        <v>27</v>
      </c>
      <c r="C8" s="17" t="s">
        <v>15</v>
      </c>
      <c r="D8" s="17" t="s">
        <v>28</v>
      </c>
      <c r="E8" s="18">
        <f>ROUND(4503*1.05,2)</f>
      </c>
      <c r="F8" s="17" t="s">
        <v>29</v>
      </c>
      <c r="G8" s="17" t="s">
        <v>30</v>
      </c>
      <c r="H8" s="18">
        <f>ROUND(RAND()*4+6,1)</f>
      </c>
      <c r="I8" s="17" t="s">
        <v>31</v>
      </c>
      <c r="J8" s="19">
        <f>ROUND(87*1,0)&amp;"%"</f>
      </c>
    </row>
    <row x14ac:dyDescent="0.25" r="9" customHeight="1" ht="17.25">
      <c r="A9" s="20" t="s">
        <v>32</v>
      </c>
      <c r="B9" s="20" t="s">
        <v>33</v>
      </c>
      <c r="C9" s="20" t="s">
        <v>15</v>
      </c>
      <c r="D9" s="20" t="s">
        <v>34</v>
      </c>
      <c r="E9" s="21">
        <f>ROUND(14895*1.05,2)</f>
      </c>
      <c r="F9" s="20" t="s">
        <v>35</v>
      </c>
      <c r="G9" s="20" t="s">
        <v>18</v>
      </c>
      <c r="H9" s="21">
        <f>ROUND(RAND()*4+6,1)</f>
      </c>
      <c r="I9" s="20" t="s">
        <v>36</v>
      </c>
      <c r="J9" s="23">
        <f>ROUND(98*1,0)&amp;"%"</f>
      </c>
    </row>
    <row x14ac:dyDescent="0.25" r="10" customHeight="1" ht="17.25">
      <c r="A10" s="17" t="s">
        <v>37</v>
      </c>
      <c r="B10" s="17" t="s">
        <v>38</v>
      </c>
      <c r="C10" s="17" t="s">
        <v>15</v>
      </c>
      <c r="D10" s="17" t="s">
        <v>39</v>
      </c>
      <c r="E10" s="18">
        <f>ROUND(9174*1.05,2)</f>
      </c>
      <c r="F10" s="17" t="s">
        <v>40</v>
      </c>
      <c r="G10" s="17" t="s">
        <v>24</v>
      </c>
      <c r="H10" s="18">
        <f>ROUND(RAND()*4+6,1)</f>
      </c>
      <c r="I10" s="17" t="s">
        <v>41</v>
      </c>
      <c r="J10" s="19">
        <f>ROUND(67*1,0)&amp;"%"</f>
      </c>
    </row>
    <row x14ac:dyDescent="0.25" r="11" customHeight="1" ht="17.25">
      <c r="A11" s="20" t="s">
        <v>42</v>
      </c>
      <c r="B11" s="20" t="s">
        <v>43</v>
      </c>
      <c r="C11" s="20" t="s">
        <v>15</v>
      </c>
      <c r="D11" s="20" t="s">
        <v>39</v>
      </c>
      <c r="E11" s="21">
        <f>ROUND(16052*1.05,2)</f>
      </c>
      <c r="F11" s="20" t="s">
        <v>44</v>
      </c>
      <c r="G11" s="20" t="s">
        <v>30</v>
      </c>
      <c r="H11" s="21">
        <f>ROUND(RAND()*4+6,1)</f>
      </c>
      <c r="I11" s="20" t="s">
        <v>45</v>
      </c>
      <c r="J11" s="23">
        <f>ROUND(89*1,0)&amp;"%"</f>
      </c>
    </row>
    <row x14ac:dyDescent="0.25" r="12" customHeight="1" ht="17.25">
      <c r="A12" s="17" t="s">
        <v>46</v>
      </c>
      <c r="B12" s="17" t="s">
        <v>47</v>
      </c>
      <c r="C12" s="17" t="s">
        <v>15</v>
      </c>
      <c r="D12" s="17" t="s">
        <v>16</v>
      </c>
      <c r="E12" s="18">
        <f>ROUND(10265*1.05,2)</f>
      </c>
      <c r="F12" s="17" t="s">
        <v>48</v>
      </c>
      <c r="G12" s="17" t="s">
        <v>18</v>
      </c>
      <c r="H12" s="18">
        <f>ROUND(RAND()*4+6,1)</f>
      </c>
      <c r="I12" s="17" t="s">
        <v>19</v>
      </c>
      <c r="J12" s="19">
        <f>ROUND(91*1,0)&amp;"%"</f>
      </c>
    </row>
    <row x14ac:dyDescent="0.25" r="13" customHeight="1" ht="17.25">
      <c r="A13" s="20" t="s">
        <v>49</v>
      </c>
      <c r="B13" s="20" t="s">
        <v>50</v>
      </c>
      <c r="C13" s="20" t="s">
        <v>15</v>
      </c>
      <c r="D13" s="20" t="s">
        <v>22</v>
      </c>
      <c r="E13" s="21">
        <f>ROUND(17446*1.05,2)</f>
      </c>
      <c r="F13" s="20" t="s">
        <v>51</v>
      </c>
      <c r="G13" s="20" t="s">
        <v>24</v>
      </c>
      <c r="H13" s="21">
        <f>ROUND(RAND()*4+6,1)</f>
      </c>
      <c r="I13" s="20" t="s">
        <v>25</v>
      </c>
      <c r="J13" s="23">
        <f>ROUND(61*1,0)&amp;"%"</f>
      </c>
    </row>
    <row x14ac:dyDescent="0.25" r="14" customHeight="1" ht="17.25">
      <c r="A14" s="24" t="s">
        <v>52</v>
      </c>
      <c r="B14" s="24"/>
      <c r="C14" s="24"/>
      <c r="D14" s="24"/>
      <c r="E14" s="25">
        <v>8</v>
      </c>
      <c r="F14" s="9"/>
      <c r="G14" s="9"/>
      <c r="H14" s="10"/>
      <c r="I14" s="9"/>
      <c r="J14" s="9"/>
    </row>
    <row x14ac:dyDescent="0.25" r="15" customHeight="1" ht="17.25">
      <c r="A15" s="7"/>
      <c r="B15" s="7"/>
      <c r="C15" s="7"/>
      <c r="D15" s="7"/>
      <c r="E15" s="8"/>
      <c r="F15" s="9"/>
      <c r="G15" s="9"/>
      <c r="H15" s="10"/>
      <c r="I15" s="9"/>
      <c r="J15" s="9"/>
    </row>
    <row x14ac:dyDescent="0.25" r="16" customHeight="1" ht="17.25">
      <c r="A16" s="11" t="s">
        <v>53</v>
      </c>
      <c r="B16" s="11"/>
      <c r="C16" s="11"/>
      <c r="D16" s="11"/>
      <c r="E16" s="12"/>
      <c r="F16" s="11"/>
      <c r="G16" s="11"/>
      <c r="H16" s="13"/>
      <c r="I16" s="11"/>
      <c r="J16" s="11"/>
    </row>
    <row x14ac:dyDescent="0.25" r="17" customHeight="1" ht="17.25">
      <c r="A17" s="14" t="s">
        <v>3</v>
      </c>
      <c r="B17" s="14" t="s">
        <v>4</v>
      </c>
      <c r="C17" s="14" t="s">
        <v>5</v>
      </c>
      <c r="D17" s="14" t="s">
        <v>6</v>
      </c>
      <c r="E17" s="15" t="s">
        <v>7</v>
      </c>
      <c r="F17" s="14" t="s">
        <v>8</v>
      </c>
      <c r="G17" s="14" t="s">
        <v>9</v>
      </c>
      <c r="H17" s="16" t="s">
        <v>10</v>
      </c>
      <c r="I17" s="14" t="s">
        <v>11</v>
      </c>
      <c r="J17" s="14" t="s">
        <v>12</v>
      </c>
    </row>
    <row x14ac:dyDescent="0.25" r="18" customHeight="1" ht="17.25">
      <c r="A18" s="17" t="s">
        <v>54</v>
      </c>
      <c r="B18" s="17" t="s">
        <v>55</v>
      </c>
      <c r="C18" s="17" t="s">
        <v>56</v>
      </c>
      <c r="D18" s="17" t="s">
        <v>16</v>
      </c>
      <c r="E18" s="18">
        <f>ROUND(5556*1.05,2)</f>
      </c>
      <c r="F18" s="17" t="s">
        <v>17</v>
      </c>
      <c r="G18" s="17" t="s">
        <v>18</v>
      </c>
      <c r="H18" s="26">
        <f>ROUND(RAND()*4+6,1)</f>
      </c>
      <c r="I18" s="17" t="s">
        <v>19</v>
      </c>
      <c r="J18" s="19">
        <f>ROUND(87*1,0)&amp;"%"</f>
      </c>
    </row>
    <row x14ac:dyDescent="0.25" r="19" customHeight="1" ht="17.25">
      <c r="A19" s="20" t="s">
        <v>57</v>
      </c>
      <c r="B19" s="20" t="s">
        <v>58</v>
      </c>
      <c r="C19" s="20" t="s">
        <v>56</v>
      </c>
      <c r="D19" s="20" t="s">
        <v>22</v>
      </c>
      <c r="E19" s="21">
        <f>ROUND(12235*1.05,2)</f>
      </c>
      <c r="F19" s="20" t="s">
        <v>23</v>
      </c>
      <c r="G19" s="20" t="s">
        <v>24</v>
      </c>
      <c r="H19" s="21">
        <f>ROUND(RAND()*4+6,1)</f>
      </c>
      <c r="I19" s="20" t="s">
        <v>25</v>
      </c>
      <c r="J19" s="23">
        <f>ROUND(93*1,0)&amp;"%"</f>
      </c>
    </row>
    <row x14ac:dyDescent="0.25" r="20" customHeight="1" ht="17.25">
      <c r="A20" s="17" t="s">
        <v>59</v>
      </c>
      <c r="B20" s="17" t="s">
        <v>60</v>
      </c>
      <c r="C20" s="17" t="s">
        <v>56</v>
      </c>
      <c r="D20" s="17" t="s">
        <v>28</v>
      </c>
      <c r="E20" s="18">
        <f>ROUND(12887*1.05,2)</f>
      </c>
      <c r="F20" s="17" t="s">
        <v>29</v>
      </c>
      <c r="G20" s="17" t="s">
        <v>30</v>
      </c>
      <c r="H20" s="18">
        <f>ROUND(RAND()*4+6,1)</f>
      </c>
      <c r="I20" s="17" t="s">
        <v>31</v>
      </c>
      <c r="J20" s="19">
        <f>ROUND(80*1,0)&amp;"%"</f>
      </c>
    </row>
    <row x14ac:dyDescent="0.25" r="21" customHeight="1" ht="17.25">
      <c r="A21" s="20" t="s">
        <v>61</v>
      </c>
      <c r="B21" s="20" t="s">
        <v>62</v>
      </c>
      <c r="C21" s="20" t="s">
        <v>56</v>
      </c>
      <c r="D21" s="20" t="s">
        <v>34</v>
      </c>
      <c r="E21" s="21">
        <f>ROUND(11698*1.05,2)</f>
      </c>
      <c r="F21" s="20" t="s">
        <v>35</v>
      </c>
      <c r="G21" s="20" t="s">
        <v>18</v>
      </c>
      <c r="H21" s="21">
        <f>ROUND(RAND()*4+6,1)</f>
      </c>
      <c r="I21" s="20" t="s">
        <v>36</v>
      </c>
      <c r="J21" s="23">
        <f>ROUND(87*1,0)&amp;"%"</f>
      </c>
    </row>
    <row x14ac:dyDescent="0.25" r="22" customHeight="1" ht="17.25">
      <c r="A22" s="17" t="s">
        <v>63</v>
      </c>
      <c r="B22" s="17" t="s">
        <v>64</v>
      </c>
      <c r="C22" s="17" t="s">
        <v>56</v>
      </c>
      <c r="D22" s="17" t="s">
        <v>39</v>
      </c>
      <c r="E22" s="18">
        <f>ROUND(4275*1.05,2)</f>
      </c>
      <c r="F22" s="17" t="s">
        <v>40</v>
      </c>
      <c r="G22" s="17" t="s">
        <v>24</v>
      </c>
      <c r="H22" s="18">
        <f>ROUND(RAND()*4+6,1)</f>
      </c>
      <c r="I22" s="17" t="s">
        <v>41</v>
      </c>
      <c r="J22" s="19">
        <f>ROUND(94*1,0)&amp;"%"</f>
      </c>
    </row>
    <row x14ac:dyDescent="0.25" r="23" customHeight="1" ht="17.25">
      <c r="A23" s="20" t="s">
        <v>65</v>
      </c>
      <c r="B23" s="20" t="s">
        <v>66</v>
      </c>
      <c r="C23" s="20" t="s">
        <v>56</v>
      </c>
      <c r="D23" s="20" t="s">
        <v>67</v>
      </c>
      <c r="E23" s="21">
        <f>ROUND(13991*1.05,2)</f>
      </c>
      <c r="F23" s="20" t="s">
        <v>44</v>
      </c>
      <c r="G23" s="20" t="s">
        <v>30</v>
      </c>
      <c r="H23" s="21">
        <f>ROUND(RAND()*4+6,1)</f>
      </c>
      <c r="I23" s="20" t="s">
        <v>45</v>
      </c>
      <c r="J23" s="23">
        <f>ROUND(72*1,0)&amp;"%"</f>
      </c>
    </row>
    <row x14ac:dyDescent="0.25" r="24" customHeight="1" ht="17.25">
      <c r="A24" s="17" t="s">
        <v>68</v>
      </c>
      <c r="B24" s="17" t="s">
        <v>69</v>
      </c>
      <c r="C24" s="17" t="s">
        <v>56</v>
      </c>
      <c r="D24" s="17" t="s">
        <v>16</v>
      </c>
      <c r="E24" s="18">
        <f>ROUND(16455*1.05,2)</f>
      </c>
      <c r="F24" s="17" t="s">
        <v>48</v>
      </c>
      <c r="G24" s="17" t="s">
        <v>18</v>
      </c>
      <c r="H24" s="18">
        <f>ROUND(RAND()*4+6,1)</f>
      </c>
      <c r="I24" s="17" t="s">
        <v>19</v>
      </c>
      <c r="J24" s="19">
        <f>ROUND(60*1,0)&amp;"%"</f>
      </c>
    </row>
    <row x14ac:dyDescent="0.25" r="25" customHeight="1" ht="17.25">
      <c r="A25" s="20" t="s">
        <v>70</v>
      </c>
      <c r="B25" s="20" t="s">
        <v>71</v>
      </c>
      <c r="C25" s="20" t="s">
        <v>56</v>
      </c>
      <c r="D25" s="20" t="s">
        <v>22</v>
      </c>
      <c r="E25" s="21">
        <f>ROUND(10330*1.05,2)</f>
      </c>
      <c r="F25" s="20" t="s">
        <v>51</v>
      </c>
      <c r="G25" s="20" t="s">
        <v>24</v>
      </c>
      <c r="H25" s="21">
        <f>ROUND(RAND()*4+6,1)</f>
      </c>
      <c r="I25" s="20" t="s">
        <v>25</v>
      </c>
      <c r="J25" s="23">
        <f>ROUND(94*1,0)&amp;"%"</f>
      </c>
    </row>
    <row x14ac:dyDescent="0.25" r="26" customHeight="1" ht="17.25">
      <c r="A26" s="24" t="s">
        <v>72</v>
      </c>
      <c r="B26" s="24"/>
      <c r="C26" s="24"/>
      <c r="D26" s="24"/>
      <c r="E26" s="25">
        <v>8</v>
      </c>
      <c r="F26" s="9"/>
      <c r="G26" s="9"/>
      <c r="H26" s="10"/>
      <c r="I26" s="9"/>
      <c r="J26" s="9"/>
    </row>
    <row x14ac:dyDescent="0.25" r="27" customHeight="1" ht="17.25">
      <c r="A27" s="7"/>
      <c r="B27" s="7"/>
      <c r="C27" s="7"/>
      <c r="D27" s="7"/>
      <c r="E27" s="8"/>
      <c r="F27" s="9"/>
      <c r="G27" s="9"/>
      <c r="H27" s="10"/>
      <c r="I27" s="9"/>
      <c r="J27" s="9"/>
    </row>
    <row x14ac:dyDescent="0.25" r="28" customHeight="1" ht="17.25">
      <c r="A28" s="11" t="s">
        <v>73</v>
      </c>
      <c r="B28" s="11"/>
      <c r="C28" s="11"/>
      <c r="D28" s="11"/>
      <c r="E28" s="12"/>
      <c r="F28" s="11"/>
      <c r="G28" s="11"/>
      <c r="H28" s="13"/>
      <c r="I28" s="11"/>
      <c r="J28" s="11"/>
    </row>
    <row x14ac:dyDescent="0.25" r="29" customHeight="1" ht="17.25">
      <c r="A29" s="14" t="s">
        <v>3</v>
      </c>
      <c r="B29" s="14" t="s">
        <v>4</v>
      </c>
      <c r="C29" s="14" t="s">
        <v>5</v>
      </c>
      <c r="D29" s="14" t="s">
        <v>6</v>
      </c>
      <c r="E29" s="15" t="s">
        <v>7</v>
      </c>
      <c r="F29" s="14" t="s">
        <v>8</v>
      </c>
      <c r="G29" s="14" t="s">
        <v>9</v>
      </c>
      <c r="H29" s="16" t="s">
        <v>10</v>
      </c>
      <c r="I29" s="14" t="s">
        <v>11</v>
      </c>
      <c r="J29" s="14" t="s">
        <v>12</v>
      </c>
    </row>
    <row x14ac:dyDescent="0.25" r="30" customHeight="1" ht="17.25">
      <c r="A30" s="17" t="s">
        <v>74</v>
      </c>
      <c r="B30" s="17" t="s">
        <v>75</v>
      </c>
      <c r="C30" s="17" t="s">
        <v>76</v>
      </c>
      <c r="D30" s="17" t="s">
        <v>16</v>
      </c>
      <c r="E30" s="18">
        <f>ROUND(12990*1.05,2)</f>
      </c>
      <c r="F30" s="17" t="s">
        <v>17</v>
      </c>
      <c r="G30" s="17" t="s">
        <v>18</v>
      </c>
      <c r="H30" s="18">
        <f>ROUND(RAND()*4+6,1)</f>
      </c>
      <c r="I30" s="17" t="s">
        <v>19</v>
      </c>
      <c r="J30" s="19">
        <f>ROUND(63*1,0)&amp;"%"</f>
      </c>
    </row>
    <row x14ac:dyDescent="0.25" r="31" customHeight="1" ht="17.25">
      <c r="A31" s="20" t="s">
        <v>77</v>
      </c>
      <c r="B31" s="20" t="s">
        <v>78</v>
      </c>
      <c r="C31" s="20" t="s">
        <v>76</v>
      </c>
      <c r="D31" s="20" t="s">
        <v>22</v>
      </c>
      <c r="E31" s="22">
        <f>ROUND(15160*1.05,2)</f>
      </c>
      <c r="F31" s="20" t="s">
        <v>23</v>
      </c>
      <c r="G31" s="20" t="s">
        <v>24</v>
      </c>
      <c r="H31" s="21">
        <f>ROUND(RAND()*4+6,1)</f>
      </c>
      <c r="I31" s="20" t="s">
        <v>25</v>
      </c>
      <c r="J31" s="23">
        <f>ROUND(80*1,0)&amp;"%"</f>
      </c>
    </row>
    <row x14ac:dyDescent="0.25" r="32" customHeight="1" ht="17.25">
      <c r="A32" s="17" t="s">
        <v>79</v>
      </c>
      <c r="B32" s="17" t="s">
        <v>80</v>
      </c>
      <c r="C32" s="17" t="s">
        <v>76</v>
      </c>
      <c r="D32" s="17" t="s">
        <v>28</v>
      </c>
      <c r="E32" s="18">
        <f>ROUND(17351*1.05,2)</f>
      </c>
      <c r="F32" s="17" t="s">
        <v>29</v>
      </c>
      <c r="G32" s="17" t="s">
        <v>30</v>
      </c>
      <c r="H32" s="18">
        <f>ROUND(RAND()*4+6,1)</f>
      </c>
      <c r="I32" s="17" t="s">
        <v>31</v>
      </c>
      <c r="J32" s="19">
        <f>ROUND(79*1,0)&amp;"%"</f>
      </c>
    </row>
    <row x14ac:dyDescent="0.25" r="33" customHeight="1" ht="17.25">
      <c r="A33" s="20" t="s">
        <v>81</v>
      </c>
      <c r="B33" s="20" t="s">
        <v>82</v>
      </c>
      <c r="C33" s="20" t="s">
        <v>76</v>
      </c>
      <c r="D33" s="20" t="s">
        <v>34</v>
      </c>
      <c r="E33" s="22">
        <f>ROUND(13120*1.05,2)</f>
      </c>
      <c r="F33" s="20" t="s">
        <v>35</v>
      </c>
      <c r="G33" s="20" t="s">
        <v>18</v>
      </c>
      <c r="H33" s="21">
        <f>ROUND(RAND()*4+6,1)</f>
      </c>
      <c r="I33" s="20" t="s">
        <v>36</v>
      </c>
      <c r="J33" s="23">
        <f>ROUND(72*1,0)&amp;"%"</f>
      </c>
    </row>
    <row x14ac:dyDescent="0.25" r="34" customHeight="1" ht="17.25">
      <c r="A34" s="17" t="s">
        <v>83</v>
      </c>
      <c r="B34" s="17" t="s">
        <v>84</v>
      </c>
      <c r="C34" s="17" t="s">
        <v>76</v>
      </c>
      <c r="D34" s="17" t="s">
        <v>39</v>
      </c>
      <c r="E34" s="18">
        <f>ROUND(9630*1.05,2)</f>
      </c>
      <c r="F34" s="17" t="s">
        <v>40</v>
      </c>
      <c r="G34" s="17" t="s">
        <v>24</v>
      </c>
      <c r="H34" s="18">
        <f>ROUND(RAND()*4+6,1)</f>
      </c>
      <c r="I34" s="17" t="s">
        <v>41</v>
      </c>
      <c r="J34" s="19">
        <f>ROUND(61*1,0)&amp;"%"</f>
      </c>
    </row>
    <row x14ac:dyDescent="0.25" r="35" customHeight="1" ht="17.25">
      <c r="A35" s="20" t="s">
        <v>85</v>
      </c>
      <c r="B35" s="20" t="s">
        <v>86</v>
      </c>
      <c r="C35" s="20" t="s">
        <v>76</v>
      </c>
      <c r="D35" s="20" t="s">
        <v>67</v>
      </c>
      <c r="E35" s="21">
        <f>ROUND(5454*1.05,2)</f>
      </c>
      <c r="F35" s="20" t="s">
        <v>44</v>
      </c>
      <c r="G35" s="20" t="s">
        <v>30</v>
      </c>
      <c r="H35" s="21">
        <f>ROUND(RAND()*4+6,1)</f>
      </c>
      <c r="I35" s="20" t="s">
        <v>45</v>
      </c>
      <c r="J35" s="23">
        <f>ROUND(64*1,0)&amp;"%"</f>
      </c>
    </row>
    <row x14ac:dyDescent="0.25" r="36" customHeight="1" ht="17.25">
      <c r="A36" s="17" t="s">
        <v>87</v>
      </c>
      <c r="B36" s="17" t="s">
        <v>88</v>
      </c>
      <c r="C36" s="17" t="s">
        <v>76</v>
      </c>
      <c r="D36" s="17" t="s">
        <v>16</v>
      </c>
      <c r="E36" s="18">
        <f>ROUND(7004*1.05,2)</f>
      </c>
      <c r="F36" s="17" t="s">
        <v>48</v>
      </c>
      <c r="G36" s="17" t="s">
        <v>18</v>
      </c>
      <c r="H36" s="18">
        <f>ROUND(RAND()*4+6,1)</f>
      </c>
      <c r="I36" s="17" t="s">
        <v>19</v>
      </c>
      <c r="J36" s="19">
        <f>ROUND(76*1,0)&amp;"%"</f>
      </c>
    </row>
    <row x14ac:dyDescent="0.25" r="37" customHeight="1" ht="17.25">
      <c r="A37" s="20" t="s">
        <v>89</v>
      </c>
      <c r="B37" s="20" t="s">
        <v>90</v>
      </c>
      <c r="C37" s="20" t="s">
        <v>76</v>
      </c>
      <c r="D37" s="20" t="s">
        <v>22</v>
      </c>
      <c r="E37" s="21">
        <f>ROUND(4188*1.05,2)</f>
      </c>
      <c r="F37" s="20" t="s">
        <v>51</v>
      </c>
      <c r="G37" s="20" t="s">
        <v>24</v>
      </c>
      <c r="H37" s="21">
        <f>ROUND(RAND()*4+6,1)</f>
      </c>
      <c r="I37" s="20" t="s">
        <v>25</v>
      </c>
      <c r="J37" s="23">
        <f>ROUND(64*1,0)&amp;"%"</f>
      </c>
    </row>
    <row x14ac:dyDescent="0.25" r="38" customHeight="1" ht="17.25">
      <c r="A38" s="24" t="s">
        <v>91</v>
      </c>
      <c r="B38" s="24"/>
      <c r="C38" s="24"/>
      <c r="D38" s="24"/>
      <c r="E38" s="25">
        <v>8</v>
      </c>
      <c r="F38" s="9"/>
      <c r="G38" s="9"/>
      <c r="H38" s="10"/>
      <c r="I38" s="9"/>
      <c r="J38" s="9"/>
    </row>
    <row x14ac:dyDescent="0.25" r="39" customHeight="1" ht="17.25">
      <c r="A39" s="7"/>
      <c r="B39" s="7"/>
      <c r="C39" s="7"/>
      <c r="D39" s="7"/>
      <c r="E39" s="8"/>
      <c r="F39" s="9"/>
      <c r="G39" s="9"/>
      <c r="H39" s="10"/>
      <c r="I39" s="9"/>
      <c r="J39" s="9"/>
    </row>
    <row x14ac:dyDescent="0.25" r="40" customHeight="1" ht="17.25">
      <c r="A40" s="11" t="s">
        <v>92</v>
      </c>
      <c r="B40" s="11"/>
      <c r="C40" s="11"/>
      <c r="D40" s="11"/>
      <c r="E40" s="12"/>
      <c r="F40" s="11"/>
      <c r="G40" s="11"/>
      <c r="H40" s="13"/>
      <c r="I40" s="11"/>
      <c r="J40" s="11"/>
    </row>
    <row x14ac:dyDescent="0.25" r="41" customHeight="1" ht="17.25">
      <c r="A41" s="14" t="s">
        <v>3</v>
      </c>
      <c r="B41" s="14" t="s">
        <v>4</v>
      </c>
      <c r="C41" s="14" t="s">
        <v>5</v>
      </c>
      <c r="D41" s="14" t="s">
        <v>6</v>
      </c>
      <c r="E41" s="15" t="s">
        <v>7</v>
      </c>
      <c r="F41" s="14" t="s">
        <v>8</v>
      </c>
      <c r="G41" s="14" t="s">
        <v>9</v>
      </c>
      <c r="H41" s="16" t="s">
        <v>10</v>
      </c>
      <c r="I41" s="14" t="s">
        <v>11</v>
      </c>
      <c r="J41" s="14" t="s">
        <v>12</v>
      </c>
    </row>
    <row x14ac:dyDescent="0.25" r="42" customHeight="1" ht="17.25">
      <c r="A42" s="17" t="s">
        <v>93</v>
      </c>
      <c r="B42" s="17" t="s">
        <v>94</v>
      </c>
      <c r="C42" s="17" t="s">
        <v>95</v>
      </c>
      <c r="D42" s="17" t="s">
        <v>16</v>
      </c>
      <c r="E42" s="18">
        <f>ROUND(13547*1.05,2)</f>
      </c>
      <c r="F42" s="17" t="s">
        <v>17</v>
      </c>
      <c r="G42" s="17" t="s">
        <v>18</v>
      </c>
      <c r="H42" s="18">
        <f>ROUND(RAND()*4+6,1)</f>
      </c>
      <c r="I42" s="17" t="s">
        <v>19</v>
      </c>
      <c r="J42" s="19">
        <f>ROUND(61*1,0)&amp;"%"</f>
      </c>
    </row>
    <row x14ac:dyDescent="0.25" r="43" customHeight="1" ht="17.25">
      <c r="A43" s="20" t="s">
        <v>96</v>
      </c>
      <c r="B43" s="20" t="s">
        <v>97</v>
      </c>
      <c r="C43" s="20" t="s">
        <v>95</v>
      </c>
      <c r="D43" s="20" t="s">
        <v>22</v>
      </c>
      <c r="E43" s="21">
        <f>ROUND(13907*1.05,2)</f>
      </c>
      <c r="F43" s="20" t="s">
        <v>23</v>
      </c>
      <c r="G43" s="20" t="s">
        <v>24</v>
      </c>
      <c r="H43" s="21">
        <f>ROUND(RAND()*4+6,1)</f>
      </c>
      <c r="I43" s="20" t="s">
        <v>25</v>
      </c>
      <c r="J43" s="23">
        <f>ROUND(84*1,0)&amp;"%"</f>
      </c>
    </row>
    <row x14ac:dyDescent="0.25" r="44" customHeight="1" ht="17.25">
      <c r="A44" s="17" t="s">
        <v>98</v>
      </c>
      <c r="B44" s="17" t="s">
        <v>99</v>
      </c>
      <c r="C44" s="17" t="s">
        <v>95</v>
      </c>
      <c r="D44" s="17" t="s">
        <v>28</v>
      </c>
      <c r="E44" s="18">
        <f>ROUND(6928*1.05,2)</f>
      </c>
      <c r="F44" s="17" t="s">
        <v>29</v>
      </c>
      <c r="G44" s="17" t="s">
        <v>30</v>
      </c>
      <c r="H44" s="18">
        <f>ROUND(RAND()*4+6,1)</f>
      </c>
      <c r="I44" s="17" t="s">
        <v>31</v>
      </c>
      <c r="J44" s="19">
        <f>ROUND(73*1,0)&amp;"%"</f>
      </c>
    </row>
    <row x14ac:dyDescent="0.25" r="45" customHeight="1" ht="17.25">
      <c r="A45" s="20" t="s">
        <v>100</v>
      </c>
      <c r="B45" s="20" t="s">
        <v>101</v>
      </c>
      <c r="C45" s="20" t="s">
        <v>95</v>
      </c>
      <c r="D45" s="20" t="s">
        <v>34</v>
      </c>
      <c r="E45" s="21">
        <f>ROUND(4790*1.05,2)</f>
      </c>
      <c r="F45" s="20" t="s">
        <v>35</v>
      </c>
      <c r="G45" s="20" t="s">
        <v>18</v>
      </c>
      <c r="H45" s="21">
        <f>ROUND(RAND()*4+6,1)</f>
      </c>
      <c r="I45" s="20" t="s">
        <v>36</v>
      </c>
      <c r="J45" s="23">
        <f>ROUND(81*1,0)&amp;"%"</f>
      </c>
    </row>
    <row x14ac:dyDescent="0.25" r="46" customHeight="1" ht="17.25">
      <c r="A46" s="17" t="s">
        <v>102</v>
      </c>
      <c r="B46" s="17" t="s">
        <v>103</v>
      </c>
      <c r="C46" s="17" t="s">
        <v>95</v>
      </c>
      <c r="D46" s="17" t="s">
        <v>39</v>
      </c>
      <c r="E46" s="18">
        <f>ROUND(16896*1.05,2)</f>
      </c>
      <c r="F46" s="17" t="s">
        <v>40</v>
      </c>
      <c r="G46" s="17" t="s">
        <v>24</v>
      </c>
      <c r="H46" s="18">
        <f>ROUND(RAND()*4+6,1)</f>
      </c>
      <c r="I46" s="17" t="s">
        <v>41</v>
      </c>
      <c r="J46" s="19">
        <f>ROUND(79*1,0)&amp;"%"</f>
      </c>
    </row>
    <row x14ac:dyDescent="0.25" r="47" customHeight="1" ht="17.25">
      <c r="A47" s="20" t="s">
        <v>104</v>
      </c>
      <c r="B47" s="20" t="s">
        <v>105</v>
      </c>
      <c r="C47" s="20" t="s">
        <v>95</v>
      </c>
      <c r="D47" s="20" t="s">
        <v>67</v>
      </c>
      <c r="E47" s="21">
        <f>ROUND(9475*1.05,2)</f>
      </c>
      <c r="F47" s="20" t="s">
        <v>44</v>
      </c>
      <c r="G47" s="20" t="s">
        <v>30</v>
      </c>
      <c r="H47" s="21">
        <f>ROUND(RAND()*4+6,1)</f>
      </c>
      <c r="I47" s="20" t="s">
        <v>45</v>
      </c>
      <c r="J47" s="23">
        <f>ROUND(73*1,0)&amp;"%"</f>
      </c>
    </row>
    <row x14ac:dyDescent="0.25" r="48" customHeight="1" ht="17.25">
      <c r="A48" s="17" t="s">
        <v>106</v>
      </c>
      <c r="B48" s="17" t="s">
        <v>107</v>
      </c>
      <c r="C48" s="17" t="s">
        <v>95</v>
      </c>
      <c r="D48" s="17" t="s">
        <v>16</v>
      </c>
      <c r="E48" s="18">
        <f>ROUND(4929*1.05,2)</f>
      </c>
      <c r="F48" s="17" t="s">
        <v>48</v>
      </c>
      <c r="G48" s="17" t="s">
        <v>18</v>
      </c>
      <c r="H48" s="18">
        <f>ROUND(RAND()*4+6,1)</f>
      </c>
      <c r="I48" s="17" t="s">
        <v>19</v>
      </c>
      <c r="J48" s="19">
        <f>ROUND(60*1,0)&amp;"%"</f>
      </c>
    </row>
    <row x14ac:dyDescent="0.25" r="49" customHeight="1" ht="17.25">
      <c r="A49" s="20" t="s">
        <v>108</v>
      </c>
      <c r="B49" s="20" t="s">
        <v>109</v>
      </c>
      <c r="C49" s="20" t="s">
        <v>95</v>
      </c>
      <c r="D49" s="20" t="s">
        <v>22</v>
      </c>
      <c r="E49" s="21">
        <f>ROUND(10824*1.05,2)</f>
      </c>
      <c r="F49" s="20" t="s">
        <v>51</v>
      </c>
      <c r="G49" s="20" t="s">
        <v>24</v>
      </c>
      <c r="H49" s="21">
        <f>ROUND(RAND()*4+6,1)</f>
      </c>
      <c r="I49" s="20" t="s">
        <v>25</v>
      </c>
      <c r="J49" s="23">
        <f>ROUND(69*1,0)&amp;"%"</f>
      </c>
    </row>
    <row x14ac:dyDescent="0.25" r="50" customHeight="1" ht="17.25">
      <c r="A50" s="24" t="s">
        <v>110</v>
      </c>
      <c r="B50" s="24"/>
      <c r="C50" s="24"/>
      <c r="D50" s="24"/>
      <c r="E50" s="25">
        <v>8</v>
      </c>
      <c r="F50" s="9"/>
      <c r="G50" s="9"/>
      <c r="H50" s="10"/>
      <c r="I50" s="9"/>
      <c r="J50" s="9"/>
    </row>
    <row x14ac:dyDescent="0.25" r="51" customHeight="1" ht="17.25">
      <c r="A51" s="7"/>
      <c r="B51" s="7"/>
      <c r="C51" s="7"/>
      <c r="D51" s="7"/>
      <c r="E51" s="8"/>
      <c r="F51" s="9"/>
      <c r="G51" s="9"/>
      <c r="H51" s="10"/>
      <c r="I51" s="9"/>
      <c r="J51" s="9"/>
    </row>
    <row x14ac:dyDescent="0.25" r="52" customHeight="1" ht="17.25">
      <c r="A52" s="11" t="s">
        <v>111</v>
      </c>
      <c r="B52" s="11"/>
      <c r="C52" s="11"/>
      <c r="D52" s="11"/>
      <c r="E52" s="12"/>
      <c r="F52" s="11"/>
      <c r="G52" s="11"/>
      <c r="H52" s="13"/>
      <c r="I52" s="11"/>
      <c r="J52" s="11"/>
    </row>
    <row x14ac:dyDescent="0.25" r="53" customHeight="1" ht="17.25">
      <c r="A53" s="14" t="s">
        <v>3</v>
      </c>
      <c r="B53" s="14" t="s">
        <v>4</v>
      </c>
      <c r="C53" s="14" t="s">
        <v>5</v>
      </c>
      <c r="D53" s="14" t="s">
        <v>6</v>
      </c>
      <c r="E53" s="15" t="s">
        <v>7</v>
      </c>
      <c r="F53" s="14" t="s">
        <v>8</v>
      </c>
      <c r="G53" s="14" t="s">
        <v>9</v>
      </c>
      <c r="H53" s="16" t="s">
        <v>10</v>
      </c>
      <c r="I53" s="14" t="s">
        <v>11</v>
      </c>
      <c r="J53" s="14" t="s">
        <v>12</v>
      </c>
    </row>
    <row x14ac:dyDescent="0.25" r="54" customHeight="1" ht="17.25">
      <c r="A54" s="17" t="s">
        <v>112</v>
      </c>
      <c r="B54" s="17" t="s">
        <v>113</v>
      </c>
      <c r="C54" s="17" t="s">
        <v>114</v>
      </c>
      <c r="D54" s="17" t="s">
        <v>16</v>
      </c>
      <c r="E54" s="18">
        <f>ROUND(6038*1.05,2)</f>
      </c>
      <c r="F54" s="17" t="s">
        <v>17</v>
      </c>
      <c r="G54" s="17" t="s">
        <v>18</v>
      </c>
      <c r="H54" s="18">
        <f>ROUND(RAND()*4+6,1)</f>
      </c>
      <c r="I54" s="17" t="s">
        <v>19</v>
      </c>
      <c r="J54" s="19">
        <f>ROUND(97*1,0)&amp;"%"</f>
      </c>
    </row>
    <row x14ac:dyDescent="0.25" r="55" customHeight="1" ht="17.25">
      <c r="A55" s="20" t="s">
        <v>115</v>
      </c>
      <c r="B55" s="20" t="s">
        <v>116</v>
      </c>
      <c r="C55" s="20" t="s">
        <v>114</v>
      </c>
      <c r="D55" s="20" t="s">
        <v>22</v>
      </c>
      <c r="E55" s="21">
        <f>ROUND(13083*1.05,2)</f>
      </c>
      <c r="F55" s="20" t="s">
        <v>23</v>
      </c>
      <c r="G55" s="20" t="s">
        <v>24</v>
      </c>
      <c r="H55" s="21">
        <f>ROUND(RAND()*4+6,1)</f>
      </c>
      <c r="I55" s="20" t="s">
        <v>25</v>
      </c>
      <c r="J55" s="23">
        <f>ROUND(96*1,0)&amp;"%"</f>
      </c>
    </row>
    <row x14ac:dyDescent="0.25" r="56" customHeight="1" ht="17.25">
      <c r="A56" s="17" t="s">
        <v>117</v>
      </c>
      <c r="B56" s="17" t="s">
        <v>118</v>
      </c>
      <c r="C56" s="17" t="s">
        <v>114</v>
      </c>
      <c r="D56" s="17" t="s">
        <v>28</v>
      </c>
      <c r="E56" s="18">
        <f>ROUND(10463*1.05,2)</f>
      </c>
      <c r="F56" s="17" t="s">
        <v>29</v>
      </c>
      <c r="G56" s="17" t="s">
        <v>30</v>
      </c>
      <c r="H56" s="18">
        <f>ROUND(RAND()*4+6,1)</f>
      </c>
      <c r="I56" s="17" t="s">
        <v>31</v>
      </c>
      <c r="J56" s="19">
        <f>ROUND(62*1,0)&amp;"%"</f>
      </c>
    </row>
    <row x14ac:dyDescent="0.25" r="57" customHeight="1" ht="17.25">
      <c r="A57" s="20" t="s">
        <v>119</v>
      </c>
      <c r="B57" s="20" t="s">
        <v>120</v>
      </c>
      <c r="C57" s="20" t="s">
        <v>114</v>
      </c>
      <c r="D57" s="20" t="s">
        <v>34</v>
      </c>
      <c r="E57" s="21">
        <f>ROUND(9293*1.05,2)</f>
      </c>
      <c r="F57" s="20" t="s">
        <v>35</v>
      </c>
      <c r="G57" s="20" t="s">
        <v>18</v>
      </c>
      <c r="H57" s="21">
        <f>ROUND(RAND()*4+6,1)</f>
      </c>
      <c r="I57" s="20" t="s">
        <v>36</v>
      </c>
      <c r="J57" s="23">
        <f>ROUND(90*1,0)&amp;"%"</f>
      </c>
    </row>
    <row x14ac:dyDescent="0.25" r="58" customHeight="1" ht="17.25">
      <c r="A58" s="17" t="s">
        <v>121</v>
      </c>
      <c r="B58" s="17" t="s">
        <v>122</v>
      </c>
      <c r="C58" s="17" t="s">
        <v>114</v>
      </c>
      <c r="D58" s="17" t="s">
        <v>39</v>
      </c>
      <c r="E58" s="18">
        <f>ROUND(4628*1.05,2)</f>
      </c>
      <c r="F58" s="17" t="s">
        <v>40</v>
      </c>
      <c r="G58" s="17" t="s">
        <v>24</v>
      </c>
      <c r="H58" s="18">
        <f>ROUND(RAND()*4+6,1)</f>
      </c>
      <c r="I58" s="17" t="s">
        <v>41</v>
      </c>
      <c r="J58" s="19">
        <f>ROUND(71*1,0)&amp;"%"</f>
      </c>
    </row>
    <row x14ac:dyDescent="0.25" r="59" customHeight="1" ht="17.25">
      <c r="A59" s="20" t="s">
        <v>123</v>
      </c>
      <c r="B59" s="20" t="s">
        <v>124</v>
      </c>
      <c r="C59" s="20" t="s">
        <v>114</v>
      </c>
      <c r="D59" s="20" t="s">
        <v>67</v>
      </c>
      <c r="E59" s="21">
        <f>ROUND(12736*1.05,2)</f>
      </c>
      <c r="F59" s="20" t="s">
        <v>44</v>
      </c>
      <c r="G59" s="20" t="s">
        <v>30</v>
      </c>
      <c r="H59" s="21">
        <f>ROUND(RAND()*4+6,1)</f>
      </c>
      <c r="I59" s="20" t="s">
        <v>45</v>
      </c>
      <c r="J59" s="23">
        <f>ROUND(65*1,0)&amp;"%"</f>
      </c>
    </row>
    <row x14ac:dyDescent="0.25" r="60" customHeight="1" ht="17.25">
      <c r="A60" s="17" t="s">
        <v>125</v>
      </c>
      <c r="B60" s="17" t="s">
        <v>126</v>
      </c>
      <c r="C60" s="17" t="s">
        <v>114</v>
      </c>
      <c r="D60" s="17" t="s">
        <v>16</v>
      </c>
      <c r="E60" s="18">
        <f>ROUND(11348*1.05,2)</f>
      </c>
      <c r="F60" s="17" t="s">
        <v>48</v>
      </c>
      <c r="G60" s="17" t="s">
        <v>18</v>
      </c>
      <c r="H60" s="18">
        <f>ROUND(RAND()*4+6,1)</f>
      </c>
      <c r="I60" s="17" t="s">
        <v>19</v>
      </c>
      <c r="J60" s="19">
        <f>ROUND(94*1,0)&amp;"%"</f>
      </c>
    </row>
    <row x14ac:dyDescent="0.25" r="61" customHeight="1" ht="17.25">
      <c r="A61" s="20" t="s">
        <v>127</v>
      </c>
      <c r="B61" s="20" t="s">
        <v>128</v>
      </c>
      <c r="C61" s="20" t="s">
        <v>114</v>
      </c>
      <c r="D61" s="20" t="s">
        <v>22</v>
      </c>
      <c r="E61" s="21">
        <f>ROUND(6247*1.05,2)</f>
      </c>
      <c r="F61" s="20" t="s">
        <v>51</v>
      </c>
      <c r="G61" s="20" t="s">
        <v>24</v>
      </c>
      <c r="H61" s="21">
        <f>ROUND(RAND()*4+6,1)</f>
      </c>
      <c r="I61" s="20" t="s">
        <v>25</v>
      </c>
      <c r="J61" s="23">
        <f>ROUND(69*1,0)&amp;"%"</f>
      </c>
    </row>
    <row x14ac:dyDescent="0.25" r="62" customHeight="1" ht="17.25">
      <c r="A62" s="24" t="s">
        <v>129</v>
      </c>
      <c r="B62" s="24"/>
      <c r="C62" s="24"/>
      <c r="D62" s="24"/>
      <c r="E62" s="25">
        <v>8</v>
      </c>
      <c r="F62" s="9"/>
      <c r="G62" s="9"/>
      <c r="H62" s="10"/>
      <c r="I62" s="9"/>
      <c r="J62" s="9"/>
    </row>
    <row x14ac:dyDescent="0.25" r="63" customHeight="1" ht="17.25">
      <c r="A63" s="7"/>
      <c r="B63" s="7"/>
      <c r="C63" s="7"/>
      <c r="D63" s="7"/>
      <c r="E63" s="8"/>
      <c r="F63" s="9"/>
      <c r="G63" s="9"/>
      <c r="H63" s="10"/>
      <c r="I63" s="9"/>
      <c r="J63" s="9"/>
    </row>
    <row x14ac:dyDescent="0.25" r="64" customHeight="1" ht="17.25">
      <c r="A64" s="11" t="s">
        <v>130</v>
      </c>
      <c r="B64" s="11"/>
      <c r="C64" s="11"/>
      <c r="D64" s="11"/>
      <c r="E64" s="12"/>
      <c r="F64" s="11"/>
      <c r="G64" s="11"/>
      <c r="H64" s="13"/>
      <c r="I64" s="11"/>
      <c r="J64" s="11"/>
    </row>
    <row x14ac:dyDescent="0.25" r="65" customHeight="1" ht="17.25">
      <c r="A65" s="14" t="s">
        <v>3</v>
      </c>
      <c r="B65" s="14" t="s">
        <v>4</v>
      </c>
      <c r="C65" s="14" t="s">
        <v>5</v>
      </c>
      <c r="D65" s="14" t="s">
        <v>6</v>
      </c>
      <c r="E65" s="15" t="s">
        <v>7</v>
      </c>
      <c r="F65" s="14" t="s">
        <v>8</v>
      </c>
      <c r="G65" s="14" t="s">
        <v>9</v>
      </c>
      <c r="H65" s="16" t="s">
        <v>10</v>
      </c>
      <c r="I65" s="14" t="s">
        <v>11</v>
      </c>
      <c r="J65" s="14" t="s">
        <v>12</v>
      </c>
    </row>
    <row x14ac:dyDescent="0.25" r="66" customHeight="1" ht="17.25">
      <c r="A66" s="17" t="s">
        <v>131</v>
      </c>
      <c r="B66" s="17" t="s">
        <v>132</v>
      </c>
      <c r="C66" s="17" t="s">
        <v>133</v>
      </c>
      <c r="D66" s="17" t="s">
        <v>16</v>
      </c>
      <c r="E66" s="26">
        <f>ROUND(6100*1.05,2)</f>
      </c>
      <c r="F66" s="17" t="s">
        <v>17</v>
      </c>
      <c r="G66" s="17" t="s">
        <v>18</v>
      </c>
      <c r="H66" s="18">
        <f>ROUND(RAND()*4+6,1)</f>
      </c>
      <c r="I66" s="17" t="s">
        <v>19</v>
      </c>
      <c r="J66" s="19">
        <f>ROUND(97*1,0)&amp;"%"</f>
      </c>
    </row>
    <row x14ac:dyDescent="0.25" r="67" customHeight="1" ht="17.25">
      <c r="A67" s="20" t="s">
        <v>134</v>
      </c>
      <c r="B67" s="20" t="s">
        <v>135</v>
      </c>
      <c r="C67" s="20" t="s">
        <v>133</v>
      </c>
      <c r="D67" s="20" t="s">
        <v>22</v>
      </c>
      <c r="E67" s="22">
        <f>ROUND(7560*1.05,2)</f>
      </c>
      <c r="F67" s="20" t="s">
        <v>23</v>
      </c>
      <c r="G67" s="20" t="s">
        <v>24</v>
      </c>
      <c r="H67" s="21">
        <f>ROUND(RAND()*4+6,1)</f>
      </c>
      <c r="I67" s="20" t="s">
        <v>25</v>
      </c>
      <c r="J67" s="23">
        <f>ROUND(87*1,0)&amp;"%"</f>
      </c>
    </row>
    <row x14ac:dyDescent="0.25" r="68" customHeight="1" ht="17.25">
      <c r="A68" s="17" t="s">
        <v>136</v>
      </c>
      <c r="B68" s="17" t="s">
        <v>137</v>
      </c>
      <c r="C68" s="17" t="s">
        <v>133</v>
      </c>
      <c r="D68" s="17" t="s">
        <v>28</v>
      </c>
      <c r="E68" s="18">
        <f>ROUND(14339*1.05,2)</f>
      </c>
      <c r="F68" s="17" t="s">
        <v>29</v>
      </c>
      <c r="G68" s="17" t="s">
        <v>30</v>
      </c>
      <c r="H68" s="18">
        <f>ROUND(RAND()*4+6,1)</f>
      </c>
      <c r="I68" s="17" t="s">
        <v>31</v>
      </c>
      <c r="J68" s="19">
        <f>ROUND(93*1,0)&amp;"%"</f>
      </c>
    </row>
    <row x14ac:dyDescent="0.25" r="69" customHeight="1" ht="17.25">
      <c r="A69" s="20" t="s">
        <v>138</v>
      </c>
      <c r="B69" s="20" t="s">
        <v>139</v>
      </c>
      <c r="C69" s="20" t="s">
        <v>133</v>
      </c>
      <c r="D69" s="20" t="s">
        <v>34</v>
      </c>
      <c r="E69" s="21">
        <f>ROUND(16765*1.05,2)</f>
      </c>
      <c r="F69" s="20" t="s">
        <v>35</v>
      </c>
      <c r="G69" s="20" t="s">
        <v>18</v>
      </c>
      <c r="H69" s="21">
        <f>ROUND(RAND()*4+6,1)</f>
      </c>
      <c r="I69" s="20" t="s">
        <v>36</v>
      </c>
      <c r="J69" s="23">
        <f>ROUND(97*1,0)&amp;"%"</f>
      </c>
    </row>
    <row x14ac:dyDescent="0.25" r="70" customHeight="1" ht="17.25">
      <c r="A70" s="17" t="s">
        <v>140</v>
      </c>
      <c r="B70" s="17" t="s">
        <v>141</v>
      </c>
      <c r="C70" s="17" t="s">
        <v>133</v>
      </c>
      <c r="D70" s="17" t="s">
        <v>39</v>
      </c>
      <c r="E70" s="18">
        <f>ROUND(5517*1.05,2)</f>
      </c>
      <c r="F70" s="17" t="s">
        <v>40</v>
      </c>
      <c r="G70" s="17" t="s">
        <v>24</v>
      </c>
      <c r="H70" s="18">
        <f>ROUND(RAND()*4+6,1)</f>
      </c>
      <c r="I70" s="17" t="s">
        <v>41</v>
      </c>
      <c r="J70" s="19">
        <f>ROUND(78*1,0)&amp;"%"</f>
      </c>
    </row>
    <row x14ac:dyDescent="0.25" r="71" customHeight="1" ht="17.25">
      <c r="A71" s="20" t="s">
        <v>142</v>
      </c>
      <c r="B71" s="20" t="s">
        <v>143</v>
      </c>
      <c r="C71" s="20" t="s">
        <v>133</v>
      </c>
      <c r="D71" s="20" t="s">
        <v>67</v>
      </c>
      <c r="E71" s="21">
        <f>ROUND(4025*1.05,2)</f>
      </c>
      <c r="F71" s="20" t="s">
        <v>44</v>
      </c>
      <c r="G71" s="20" t="s">
        <v>30</v>
      </c>
      <c r="H71" s="21">
        <f>ROUND(RAND()*4+6,1)</f>
      </c>
      <c r="I71" s="20" t="s">
        <v>45</v>
      </c>
      <c r="J71" s="23">
        <f>ROUND(83*1,0)&amp;"%"</f>
      </c>
    </row>
    <row x14ac:dyDescent="0.25" r="72" customHeight="1" ht="17.25">
      <c r="A72" s="17" t="s">
        <v>144</v>
      </c>
      <c r="B72" s="17" t="s">
        <v>145</v>
      </c>
      <c r="C72" s="17" t="s">
        <v>133</v>
      </c>
      <c r="D72" s="17" t="s">
        <v>16</v>
      </c>
      <c r="E72" s="18">
        <f>ROUND(16499*1.05,2)</f>
      </c>
      <c r="F72" s="17" t="s">
        <v>48</v>
      </c>
      <c r="G72" s="17" t="s">
        <v>18</v>
      </c>
      <c r="H72" s="18">
        <f>ROUND(RAND()*4+6,1)</f>
      </c>
      <c r="I72" s="17" t="s">
        <v>19</v>
      </c>
      <c r="J72" s="19">
        <f>ROUND(74*1,0)&amp;"%"</f>
      </c>
    </row>
    <row x14ac:dyDescent="0.25" r="73" customHeight="1" ht="17.25">
      <c r="A73" s="20" t="s">
        <v>146</v>
      </c>
      <c r="B73" s="20" t="s">
        <v>147</v>
      </c>
      <c r="C73" s="20" t="s">
        <v>133</v>
      </c>
      <c r="D73" s="20" t="s">
        <v>22</v>
      </c>
      <c r="E73" s="21">
        <f>ROUND(4303*1.05,2)</f>
      </c>
      <c r="F73" s="20" t="s">
        <v>51</v>
      </c>
      <c r="G73" s="20" t="s">
        <v>24</v>
      </c>
      <c r="H73" s="21">
        <f>ROUND(RAND()*4+6,1)</f>
      </c>
      <c r="I73" s="20" t="s">
        <v>25</v>
      </c>
      <c r="J73" s="23">
        <f>ROUND(66*1,0)&amp;"%"</f>
      </c>
    </row>
    <row x14ac:dyDescent="0.25" r="74" customHeight="1" ht="17.25">
      <c r="A74" s="24" t="s">
        <v>148</v>
      </c>
      <c r="B74" s="24"/>
      <c r="C74" s="24"/>
      <c r="D74" s="24"/>
      <c r="E74" s="25">
        <v>8</v>
      </c>
      <c r="F74" s="9"/>
      <c r="G74" s="9"/>
      <c r="H74" s="10"/>
      <c r="I74" s="9"/>
      <c r="J74" s="9"/>
    </row>
    <row x14ac:dyDescent="0.25" r="75" customHeight="1" ht="17.25">
      <c r="A75" s="7"/>
      <c r="B75" s="7"/>
      <c r="C75" s="7"/>
      <c r="D75" s="7"/>
      <c r="E75" s="8"/>
      <c r="F75" s="9"/>
      <c r="G75" s="9"/>
      <c r="H75" s="10"/>
      <c r="I75" s="9"/>
      <c r="J75" s="9"/>
    </row>
    <row x14ac:dyDescent="0.25" r="76" customHeight="1" ht="17.25">
      <c r="A76" s="11" t="s">
        <v>149</v>
      </c>
      <c r="B76" s="11"/>
      <c r="C76" s="11"/>
      <c r="D76" s="11"/>
      <c r="E76" s="12"/>
      <c r="F76" s="11"/>
      <c r="G76" s="11"/>
      <c r="H76" s="13"/>
      <c r="I76" s="11"/>
      <c r="J76" s="11"/>
    </row>
    <row x14ac:dyDescent="0.25" r="77" customHeight="1" ht="17.25">
      <c r="A77" s="14" t="s">
        <v>3</v>
      </c>
      <c r="B77" s="14" t="s">
        <v>4</v>
      </c>
      <c r="C77" s="14" t="s">
        <v>5</v>
      </c>
      <c r="D77" s="14" t="s">
        <v>6</v>
      </c>
      <c r="E77" s="15" t="s">
        <v>7</v>
      </c>
      <c r="F77" s="14" t="s">
        <v>8</v>
      </c>
      <c r="G77" s="14" t="s">
        <v>9</v>
      </c>
      <c r="H77" s="16" t="s">
        <v>10</v>
      </c>
      <c r="I77" s="14" t="s">
        <v>11</v>
      </c>
      <c r="J77" s="14" t="s">
        <v>12</v>
      </c>
    </row>
    <row x14ac:dyDescent="0.25" r="78" customHeight="1" ht="17.25">
      <c r="A78" s="17" t="s">
        <v>150</v>
      </c>
      <c r="B78" s="17" t="s">
        <v>151</v>
      </c>
      <c r="C78" s="17" t="s">
        <v>152</v>
      </c>
      <c r="D78" s="17" t="s">
        <v>16</v>
      </c>
      <c r="E78" s="18">
        <f>ROUND(12657*1.05,2)</f>
      </c>
      <c r="F78" s="17" t="s">
        <v>17</v>
      </c>
      <c r="G78" s="17" t="s">
        <v>18</v>
      </c>
      <c r="H78" s="18">
        <f>ROUND(RAND()*4+6,1)</f>
      </c>
      <c r="I78" s="17" t="s">
        <v>19</v>
      </c>
      <c r="J78" s="19">
        <f>ROUND(67*1,0)&amp;"%"</f>
      </c>
    </row>
    <row x14ac:dyDescent="0.25" r="79" customHeight="1" ht="17.25">
      <c r="A79" s="20" t="s">
        <v>153</v>
      </c>
      <c r="B79" s="20" t="s">
        <v>154</v>
      </c>
      <c r="C79" s="20" t="s">
        <v>152</v>
      </c>
      <c r="D79" s="20" t="s">
        <v>22</v>
      </c>
      <c r="E79" s="22">
        <f>ROUND(13220*1.05,2)</f>
      </c>
      <c r="F79" s="20" t="s">
        <v>23</v>
      </c>
      <c r="G79" s="20" t="s">
        <v>24</v>
      </c>
      <c r="H79" s="21">
        <f>ROUND(RAND()*4+6,1)</f>
      </c>
      <c r="I79" s="20" t="s">
        <v>25</v>
      </c>
      <c r="J79" s="23">
        <f>ROUND(73*1,0)&amp;"%"</f>
      </c>
    </row>
    <row x14ac:dyDescent="0.25" r="80" customHeight="1" ht="17.25">
      <c r="A80" s="17" t="s">
        <v>155</v>
      </c>
      <c r="B80" s="17" t="s">
        <v>156</v>
      </c>
      <c r="C80" s="17" t="s">
        <v>152</v>
      </c>
      <c r="D80" s="17" t="s">
        <v>28</v>
      </c>
      <c r="E80" s="18">
        <f>ROUND(6669*1.05,2)</f>
      </c>
      <c r="F80" s="17" t="s">
        <v>29</v>
      </c>
      <c r="G80" s="17" t="s">
        <v>30</v>
      </c>
      <c r="H80" s="26">
        <f>ROUND(RAND()*4+6,1)</f>
      </c>
      <c r="I80" s="17" t="s">
        <v>31</v>
      </c>
      <c r="J80" s="19">
        <f>ROUND(86*1,0)&amp;"%"</f>
      </c>
    </row>
    <row x14ac:dyDescent="0.25" r="81" customHeight="1" ht="17.25">
      <c r="A81" s="20" t="s">
        <v>157</v>
      </c>
      <c r="B81" s="20" t="s">
        <v>158</v>
      </c>
      <c r="C81" s="20" t="s">
        <v>152</v>
      </c>
      <c r="D81" s="20" t="s">
        <v>34</v>
      </c>
      <c r="E81" s="21">
        <f>ROUND(10478*1.05,2)</f>
      </c>
      <c r="F81" s="20" t="s">
        <v>35</v>
      </c>
      <c r="G81" s="20" t="s">
        <v>18</v>
      </c>
      <c r="H81" s="21">
        <f>ROUND(RAND()*4+6,1)</f>
      </c>
      <c r="I81" s="20" t="s">
        <v>36</v>
      </c>
      <c r="J81" s="23">
        <f>ROUND(65*1,0)&amp;"%"</f>
      </c>
    </row>
    <row x14ac:dyDescent="0.25" r="82" customHeight="1" ht="17.25">
      <c r="A82" s="17" t="s">
        <v>159</v>
      </c>
      <c r="B82" s="17" t="s">
        <v>160</v>
      </c>
      <c r="C82" s="17" t="s">
        <v>152</v>
      </c>
      <c r="D82" s="17" t="s">
        <v>39</v>
      </c>
      <c r="E82" s="18">
        <f>ROUND(16199*1.05,2)</f>
      </c>
      <c r="F82" s="17" t="s">
        <v>40</v>
      </c>
      <c r="G82" s="17" t="s">
        <v>24</v>
      </c>
      <c r="H82" s="18">
        <f>ROUND(RAND()*4+6,1)</f>
      </c>
      <c r="I82" s="17" t="s">
        <v>41</v>
      </c>
      <c r="J82" s="19">
        <f>ROUND(63*1,0)&amp;"%"</f>
      </c>
    </row>
    <row x14ac:dyDescent="0.25" r="83" customHeight="1" ht="17.25">
      <c r="A83" s="20" t="s">
        <v>161</v>
      </c>
      <c r="B83" s="20" t="s">
        <v>162</v>
      </c>
      <c r="C83" s="20" t="s">
        <v>152</v>
      </c>
      <c r="D83" s="20" t="s">
        <v>67</v>
      </c>
      <c r="E83" s="22">
        <f>ROUND(13360*1.05,2)</f>
      </c>
      <c r="F83" s="20" t="s">
        <v>44</v>
      </c>
      <c r="G83" s="20" t="s">
        <v>30</v>
      </c>
      <c r="H83" s="21">
        <f>ROUND(RAND()*4+6,1)</f>
      </c>
      <c r="I83" s="20" t="s">
        <v>45</v>
      </c>
      <c r="J83" s="23">
        <f>ROUND(68*1,0)&amp;"%"</f>
      </c>
    </row>
    <row x14ac:dyDescent="0.25" r="84" customHeight="1" ht="17.25">
      <c r="A84" s="17" t="s">
        <v>163</v>
      </c>
      <c r="B84" s="17" t="s">
        <v>164</v>
      </c>
      <c r="C84" s="17" t="s">
        <v>152</v>
      </c>
      <c r="D84" s="17" t="s">
        <v>16</v>
      </c>
      <c r="E84" s="18">
        <f>ROUND(5727*1.05,2)</f>
      </c>
      <c r="F84" s="17" t="s">
        <v>48</v>
      </c>
      <c r="G84" s="17" t="s">
        <v>18</v>
      </c>
      <c r="H84" s="18">
        <f>ROUND(RAND()*4+6,1)</f>
      </c>
      <c r="I84" s="17" t="s">
        <v>19</v>
      </c>
      <c r="J84" s="19">
        <f>ROUND(86*1,0)&amp;"%"</f>
      </c>
    </row>
    <row x14ac:dyDescent="0.25" r="85" customHeight="1" ht="17.25">
      <c r="A85" s="20" t="s">
        <v>165</v>
      </c>
      <c r="B85" s="20" t="s">
        <v>166</v>
      </c>
      <c r="C85" s="20" t="s">
        <v>152</v>
      </c>
      <c r="D85" s="20" t="s">
        <v>22</v>
      </c>
      <c r="E85" s="21">
        <f>ROUND(7106*1.05,2)</f>
      </c>
      <c r="F85" s="20" t="s">
        <v>51</v>
      </c>
      <c r="G85" s="20" t="s">
        <v>24</v>
      </c>
      <c r="H85" s="21">
        <f>ROUND(RAND()*4+6,1)</f>
      </c>
      <c r="I85" s="20" t="s">
        <v>25</v>
      </c>
      <c r="J85" s="23">
        <f>ROUND(80*1,0)&amp;"%"</f>
      </c>
    </row>
    <row x14ac:dyDescent="0.25" r="86" customHeight="1" ht="17.25">
      <c r="A86" s="24" t="s">
        <v>167</v>
      </c>
      <c r="B86" s="24"/>
      <c r="C86" s="24"/>
      <c r="D86" s="24"/>
      <c r="E86" s="25">
        <v>8</v>
      </c>
      <c r="F86" s="9"/>
      <c r="G86" s="9"/>
      <c r="H86" s="10"/>
      <c r="I86" s="9"/>
      <c r="J86" s="9"/>
    </row>
    <row x14ac:dyDescent="0.25" r="87" customHeight="1" ht="17.25">
      <c r="A87" s="7"/>
      <c r="B87" s="7"/>
      <c r="C87" s="7"/>
      <c r="D87" s="7"/>
      <c r="E87" s="8"/>
      <c r="F87" s="9"/>
      <c r="G87" s="9"/>
      <c r="H87" s="10"/>
      <c r="I87" s="9"/>
      <c r="J87" s="9"/>
    </row>
    <row x14ac:dyDescent="0.25" r="88" customHeight="1" ht="17.25">
      <c r="A88" s="11" t="s">
        <v>168</v>
      </c>
      <c r="B88" s="11"/>
      <c r="C88" s="11"/>
      <c r="D88" s="11"/>
      <c r="E88" s="12"/>
      <c r="F88" s="11"/>
      <c r="G88" s="11"/>
      <c r="H88" s="13"/>
      <c r="I88" s="11"/>
      <c r="J88" s="11"/>
    </row>
    <row x14ac:dyDescent="0.25" r="89" customHeight="1" ht="17.25">
      <c r="A89" s="14" t="s">
        <v>3</v>
      </c>
      <c r="B89" s="14" t="s">
        <v>4</v>
      </c>
      <c r="C89" s="14" t="s">
        <v>5</v>
      </c>
      <c r="D89" s="14" t="s">
        <v>6</v>
      </c>
      <c r="E89" s="15" t="s">
        <v>7</v>
      </c>
      <c r="F89" s="14" t="s">
        <v>8</v>
      </c>
      <c r="G89" s="14" t="s">
        <v>9</v>
      </c>
      <c r="H89" s="16" t="s">
        <v>10</v>
      </c>
      <c r="I89" s="14" t="s">
        <v>11</v>
      </c>
      <c r="J89" s="14" t="s">
        <v>12</v>
      </c>
    </row>
    <row x14ac:dyDescent="0.25" r="90" customHeight="1" ht="17.25">
      <c r="A90" s="17" t="s">
        <v>169</v>
      </c>
      <c r="B90" s="17" t="s">
        <v>170</v>
      </c>
      <c r="C90" s="17" t="s">
        <v>15</v>
      </c>
      <c r="D90" s="17" t="s">
        <v>16</v>
      </c>
      <c r="E90" s="18">
        <f>ROUND(4717*1.05,2)</f>
      </c>
      <c r="F90" s="17" t="s">
        <v>17</v>
      </c>
      <c r="G90" s="17" t="s">
        <v>18</v>
      </c>
      <c r="H90" s="18">
        <f>ROUND(RAND()*4+6,1)</f>
      </c>
      <c r="I90" s="17" t="s">
        <v>19</v>
      </c>
      <c r="J90" s="19">
        <f>ROUND(97*1,0)&amp;"%"</f>
      </c>
    </row>
    <row x14ac:dyDescent="0.25" r="91" customHeight="1" ht="17.25">
      <c r="A91" s="20" t="s">
        <v>171</v>
      </c>
      <c r="B91" s="20" t="s">
        <v>172</v>
      </c>
      <c r="C91" s="20" t="s">
        <v>15</v>
      </c>
      <c r="D91" s="20" t="s">
        <v>22</v>
      </c>
      <c r="E91" s="21">
        <f>ROUND(12213*1.05,2)</f>
      </c>
      <c r="F91" s="20" t="s">
        <v>23</v>
      </c>
      <c r="G91" s="20" t="s">
        <v>24</v>
      </c>
      <c r="H91" s="21">
        <f>ROUND(RAND()*4+6,1)</f>
      </c>
      <c r="I91" s="20" t="s">
        <v>25</v>
      </c>
      <c r="J91" s="23">
        <f>ROUND(72*1,0)&amp;"%"</f>
      </c>
    </row>
    <row x14ac:dyDescent="0.25" r="92" customHeight="1" ht="17.25">
      <c r="A92" s="17" t="s">
        <v>173</v>
      </c>
      <c r="B92" s="17" t="s">
        <v>174</v>
      </c>
      <c r="C92" s="17" t="s">
        <v>15</v>
      </c>
      <c r="D92" s="17" t="s">
        <v>28</v>
      </c>
      <c r="E92" s="18">
        <f>ROUND(6525*1.05,2)</f>
      </c>
      <c r="F92" s="17" t="s">
        <v>29</v>
      </c>
      <c r="G92" s="17" t="s">
        <v>30</v>
      </c>
      <c r="H92" s="18">
        <f>ROUND(RAND()*4+6,1)</f>
      </c>
      <c r="I92" s="17" t="s">
        <v>31</v>
      </c>
      <c r="J92" s="19">
        <f>ROUND(93*1,0)&amp;"%"</f>
      </c>
    </row>
    <row x14ac:dyDescent="0.25" r="93" customHeight="1" ht="17.25">
      <c r="A93" s="20" t="s">
        <v>175</v>
      </c>
      <c r="B93" s="20" t="s">
        <v>176</v>
      </c>
      <c r="C93" s="20" t="s">
        <v>15</v>
      </c>
      <c r="D93" s="20" t="s">
        <v>34</v>
      </c>
      <c r="E93" s="21">
        <f>ROUND(14389*1.05,2)</f>
      </c>
      <c r="F93" s="20" t="s">
        <v>35</v>
      </c>
      <c r="G93" s="20" t="s">
        <v>18</v>
      </c>
      <c r="H93" s="21">
        <f>ROUND(RAND()*4+6,1)</f>
      </c>
      <c r="I93" s="20" t="s">
        <v>36</v>
      </c>
      <c r="J93" s="23">
        <f>ROUND(71*1,0)&amp;"%"</f>
      </c>
    </row>
    <row x14ac:dyDescent="0.25" r="94" customHeight="1" ht="17.25">
      <c r="A94" s="17" t="s">
        <v>177</v>
      </c>
      <c r="B94" s="17" t="s">
        <v>178</v>
      </c>
      <c r="C94" s="17" t="s">
        <v>15</v>
      </c>
      <c r="D94" s="17" t="s">
        <v>39</v>
      </c>
      <c r="E94" s="18">
        <f>ROUND(14897*1.05,2)</f>
      </c>
      <c r="F94" s="17" t="s">
        <v>40</v>
      </c>
      <c r="G94" s="17" t="s">
        <v>24</v>
      </c>
      <c r="H94" s="18">
        <f>ROUND(RAND()*4+6,1)</f>
      </c>
      <c r="I94" s="17" t="s">
        <v>41</v>
      </c>
      <c r="J94" s="19">
        <f>ROUND(82*1,0)&amp;"%"</f>
      </c>
    </row>
    <row x14ac:dyDescent="0.25" r="95" customHeight="1" ht="17.25">
      <c r="A95" s="20" t="s">
        <v>179</v>
      </c>
      <c r="B95" s="20" t="s">
        <v>180</v>
      </c>
      <c r="C95" s="20" t="s">
        <v>15</v>
      </c>
      <c r="D95" s="20" t="s">
        <v>67</v>
      </c>
      <c r="E95" s="21">
        <f>ROUND(8174*1.05,2)</f>
      </c>
      <c r="F95" s="20" t="s">
        <v>44</v>
      </c>
      <c r="G95" s="20" t="s">
        <v>30</v>
      </c>
      <c r="H95" s="21">
        <f>ROUND(RAND()*4+6,1)</f>
      </c>
      <c r="I95" s="20" t="s">
        <v>45</v>
      </c>
      <c r="J95" s="23">
        <f>ROUND(91*1,0)&amp;"%"</f>
      </c>
    </row>
    <row x14ac:dyDescent="0.25" r="96" customHeight="1" ht="17.25">
      <c r="A96" s="17" t="s">
        <v>181</v>
      </c>
      <c r="B96" s="17" t="s">
        <v>182</v>
      </c>
      <c r="C96" s="17" t="s">
        <v>15</v>
      </c>
      <c r="D96" s="17" t="s">
        <v>16</v>
      </c>
      <c r="E96" s="18">
        <f>ROUND(6977*1.05,2)</f>
      </c>
      <c r="F96" s="17" t="s">
        <v>48</v>
      </c>
      <c r="G96" s="17" t="s">
        <v>18</v>
      </c>
      <c r="H96" s="18">
        <f>ROUND(RAND()*4+6,1)</f>
      </c>
      <c r="I96" s="17" t="s">
        <v>19</v>
      </c>
      <c r="J96" s="19">
        <f>ROUND(93*1,0)&amp;"%"</f>
      </c>
    </row>
    <row x14ac:dyDescent="0.25" r="97" customHeight="1" ht="17.25">
      <c r="A97" s="20" t="s">
        <v>183</v>
      </c>
      <c r="B97" s="20" t="s">
        <v>184</v>
      </c>
      <c r="C97" s="20" t="s">
        <v>15</v>
      </c>
      <c r="D97" s="20" t="s">
        <v>22</v>
      </c>
      <c r="E97" s="21">
        <f>ROUND(10542*1.05,2)</f>
      </c>
      <c r="F97" s="20" t="s">
        <v>51</v>
      </c>
      <c r="G97" s="20" t="s">
        <v>24</v>
      </c>
      <c r="H97" s="21">
        <f>ROUND(RAND()*4+6,1)</f>
      </c>
      <c r="I97" s="20" t="s">
        <v>25</v>
      </c>
      <c r="J97" s="23">
        <f>ROUND(93*1,0)&amp;"%"</f>
      </c>
    </row>
    <row x14ac:dyDescent="0.25" r="98" customHeight="1" ht="17.25">
      <c r="A98" s="24" t="s">
        <v>185</v>
      </c>
      <c r="B98" s="24"/>
      <c r="C98" s="24"/>
      <c r="D98" s="24"/>
      <c r="E98" s="25">
        <v>8</v>
      </c>
      <c r="F98" s="9"/>
      <c r="G98" s="9"/>
      <c r="H98" s="10"/>
      <c r="I98" s="9"/>
      <c r="J98" s="9"/>
    </row>
    <row x14ac:dyDescent="0.25" r="99" customHeight="1" ht="17.25">
      <c r="A99" s="7"/>
      <c r="B99" s="7"/>
      <c r="C99" s="7"/>
      <c r="D99" s="7"/>
      <c r="E99" s="8"/>
      <c r="F99" s="9"/>
      <c r="G99" s="9"/>
      <c r="H99" s="10"/>
      <c r="I99" s="9"/>
      <c r="J99" s="9"/>
    </row>
    <row x14ac:dyDescent="0.25" r="100" customHeight="1" ht="17.25">
      <c r="A100" s="11" t="s">
        <v>186</v>
      </c>
      <c r="B100" s="11"/>
      <c r="C100" s="11"/>
      <c r="D100" s="11"/>
      <c r="E100" s="12"/>
      <c r="F100" s="11"/>
      <c r="G100" s="11"/>
      <c r="H100" s="13"/>
      <c r="I100" s="11"/>
      <c r="J100" s="11"/>
    </row>
    <row x14ac:dyDescent="0.25" r="101" customHeight="1" ht="17.25">
      <c r="A101" s="14" t="s">
        <v>3</v>
      </c>
      <c r="B101" s="14" t="s">
        <v>4</v>
      </c>
      <c r="C101" s="14" t="s">
        <v>5</v>
      </c>
      <c r="D101" s="14" t="s">
        <v>6</v>
      </c>
      <c r="E101" s="15" t="s">
        <v>7</v>
      </c>
      <c r="F101" s="14" t="s">
        <v>8</v>
      </c>
      <c r="G101" s="14" t="s">
        <v>9</v>
      </c>
      <c r="H101" s="16" t="s">
        <v>10</v>
      </c>
      <c r="I101" s="14" t="s">
        <v>11</v>
      </c>
      <c r="J101" s="14" t="s">
        <v>12</v>
      </c>
    </row>
    <row x14ac:dyDescent="0.25" r="102" customHeight="1" ht="17.25">
      <c r="A102" s="17" t="s">
        <v>187</v>
      </c>
      <c r="B102" s="17" t="s">
        <v>188</v>
      </c>
      <c r="C102" s="17" t="s">
        <v>56</v>
      </c>
      <c r="D102" s="17" t="s">
        <v>16</v>
      </c>
      <c r="E102" s="18">
        <f>ROUND(10543*1.05,2)</f>
      </c>
      <c r="F102" s="17" t="s">
        <v>17</v>
      </c>
      <c r="G102" s="17" t="s">
        <v>18</v>
      </c>
      <c r="H102" s="18">
        <f>ROUND(RAND()*4+6,1)</f>
      </c>
      <c r="I102" s="17" t="s">
        <v>19</v>
      </c>
      <c r="J102" s="19">
        <f>ROUND(88*1,0)&amp;"%"</f>
      </c>
    </row>
    <row x14ac:dyDescent="0.25" r="103" customHeight="1" ht="17.25">
      <c r="A103" s="20" t="s">
        <v>189</v>
      </c>
      <c r="B103" s="20" t="s">
        <v>190</v>
      </c>
      <c r="C103" s="20" t="s">
        <v>56</v>
      </c>
      <c r="D103" s="20" t="s">
        <v>22</v>
      </c>
      <c r="E103" s="21">
        <f>ROUND(16550*1.05,2)</f>
      </c>
      <c r="F103" s="20" t="s">
        <v>23</v>
      </c>
      <c r="G103" s="20" t="s">
        <v>24</v>
      </c>
      <c r="H103" s="21">
        <f>ROUND(RAND()*4+6,1)</f>
      </c>
      <c r="I103" s="20" t="s">
        <v>25</v>
      </c>
      <c r="J103" s="23">
        <f>ROUND(83*1,0)&amp;"%"</f>
      </c>
    </row>
    <row x14ac:dyDescent="0.25" r="104" customHeight="1" ht="17.25">
      <c r="A104" s="17" t="s">
        <v>191</v>
      </c>
      <c r="B104" s="17" t="s">
        <v>192</v>
      </c>
      <c r="C104" s="17" t="s">
        <v>56</v>
      </c>
      <c r="D104" s="17" t="s">
        <v>28</v>
      </c>
      <c r="E104" s="18">
        <f>ROUND(12157*1.05,2)</f>
      </c>
      <c r="F104" s="17" t="s">
        <v>29</v>
      </c>
      <c r="G104" s="17" t="s">
        <v>30</v>
      </c>
      <c r="H104" s="18">
        <f>ROUND(RAND()*4+6,1)</f>
      </c>
      <c r="I104" s="17" t="s">
        <v>31</v>
      </c>
      <c r="J104" s="19">
        <f>ROUND(91*1,0)&amp;"%"</f>
      </c>
    </row>
    <row x14ac:dyDescent="0.25" r="105" customHeight="1" ht="17.25">
      <c r="A105" s="20" t="s">
        <v>193</v>
      </c>
      <c r="B105" s="20" t="s">
        <v>194</v>
      </c>
      <c r="C105" s="20" t="s">
        <v>56</v>
      </c>
      <c r="D105" s="20" t="s">
        <v>34</v>
      </c>
      <c r="E105" s="21">
        <f>ROUND(15049*1.05,2)</f>
      </c>
      <c r="F105" s="20" t="s">
        <v>35</v>
      </c>
      <c r="G105" s="20" t="s">
        <v>18</v>
      </c>
      <c r="H105" s="21">
        <f>ROUND(RAND()*4+6,1)</f>
      </c>
      <c r="I105" s="20" t="s">
        <v>36</v>
      </c>
      <c r="J105" s="23">
        <f>ROUND(100*1,0)&amp;"%"</f>
      </c>
    </row>
    <row x14ac:dyDescent="0.25" r="106" customHeight="1" ht="17.25">
      <c r="A106" s="17" t="s">
        <v>195</v>
      </c>
      <c r="B106" s="17" t="s">
        <v>196</v>
      </c>
      <c r="C106" s="17" t="s">
        <v>56</v>
      </c>
      <c r="D106" s="17" t="s">
        <v>39</v>
      </c>
      <c r="E106" s="18">
        <f>ROUND(17849*1.05,2)</f>
      </c>
      <c r="F106" s="17" t="s">
        <v>40</v>
      </c>
      <c r="G106" s="17" t="s">
        <v>24</v>
      </c>
      <c r="H106" s="18">
        <f>ROUND(RAND()*4+6,1)</f>
      </c>
      <c r="I106" s="17" t="s">
        <v>41</v>
      </c>
      <c r="J106" s="19">
        <f>ROUND(87*1,0)&amp;"%"</f>
      </c>
    </row>
    <row x14ac:dyDescent="0.25" r="107" customHeight="1" ht="17.25">
      <c r="A107" s="20" t="s">
        <v>197</v>
      </c>
      <c r="B107" s="20" t="s">
        <v>198</v>
      </c>
      <c r="C107" s="20" t="s">
        <v>56</v>
      </c>
      <c r="D107" s="20" t="s">
        <v>67</v>
      </c>
      <c r="E107" s="21">
        <f>ROUND(12505*1.05,2)</f>
      </c>
      <c r="F107" s="20" t="s">
        <v>44</v>
      </c>
      <c r="G107" s="20" t="s">
        <v>30</v>
      </c>
      <c r="H107" s="21">
        <f>ROUND(RAND()*4+6,1)</f>
      </c>
      <c r="I107" s="20" t="s">
        <v>45</v>
      </c>
      <c r="J107" s="23">
        <f>ROUND(72*1,0)&amp;"%"</f>
      </c>
    </row>
    <row x14ac:dyDescent="0.25" r="108" customHeight="1" ht="17.25">
      <c r="A108" s="17" t="s">
        <v>199</v>
      </c>
      <c r="B108" s="17" t="s">
        <v>200</v>
      </c>
      <c r="C108" s="17" t="s">
        <v>56</v>
      </c>
      <c r="D108" s="17" t="s">
        <v>16</v>
      </c>
      <c r="E108" s="18">
        <f>ROUND(17152*1.05,2)</f>
      </c>
      <c r="F108" s="17" t="s">
        <v>48</v>
      </c>
      <c r="G108" s="17" t="s">
        <v>18</v>
      </c>
      <c r="H108" s="18">
        <f>ROUND(RAND()*4+6,1)</f>
      </c>
      <c r="I108" s="17" t="s">
        <v>19</v>
      </c>
      <c r="J108" s="19">
        <f>ROUND(68*1,0)&amp;"%"</f>
      </c>
    </row>
    <row x14ac:dyDescent="0.25" r="109" customHeight="1" ht="17.25">
      <c r="A109" s="20" t="s">
        <v>201</v>
      </c>
      <c r="B109" s="20" t="s">
        <v>202</v>
      </c>
      <c r="C109" s="20" t="s">
        <v>56</v>
      </c>
      <c r="D109" s="20" t="s">
        <v>22</v>
      </c>
      <c r="E109" s="21">
        <f>ROUND(8177*1.05,2)</f>
      </c>
      <c r="F109" s="20" t="s">
        <v>51</v>
      </c>
      <c r="G109" s="20" t="s">
        <v>24</v>
      </c>
      <c r="H109" s="21">
        <f>ROUND(RAND()*4+6,1)</f>
      </c>
      <c r="I109" s="20" t="s">
        <v>25</v>
      </c>
      <c r="J109" s="23">
        <f>ROUND(72*1,0)&amp;"%"</f>
      </c>
    </row>
    <row x14ac:dyDescent="0.25" r="110" customHeight="1" ht="17.25">
      <c r="A110" s="24" t="s">
        <v>203</v>
      </c>
      <c r="B110" s="24"/>
      <c r="C110" s="24"/>
      <c r="D110" s="24"/>
      <c r="E110" s="25">
        <v>8</v>
      </c>
      <c r="F110" s="9"/>
      <c r="G110" s="9"/>
      <c r="H110" s="10"/>
      <c r="I110" s="9"/>
      <c r="J110" s="9"/>
    </row>
    <row x14ac:dyDescent="0.25" r="111" customHeight="1" ht="17.25">
      <c r="A111" s="7"/>
      <c r="B111" s="7"/>
      <c r="C111" s="7"/>
      <c r="D111" s="7"/>
      <c r="E111" s="8"/>
      <c r="F111" s="9"/>
      <c r="G111" s="9"/>
      <c r="H111" s="10"/>
      <c r="I111" s="9"/>
      <c r="J111" s="9"/>
    </row>
    <row x14ac:dyDescent="0.25" r="112" customHeight="1" ht="17.25">
      <c r="A112" s="11" t="s">
        <v>204</v>
      </c>
      <c r="B112" s="11"/>
      <c r="C112" s="11"/>
      <c r="D112" s="11"/>
      <c r="E112" s="12"/>
      <c r="F112" s="11"/>
      <c r="G112" s="11"/>
      <c r="H112" s="13"/>
      <c r="I112" s="11"/>
      <c r="J112" s="11"/>
    </row>
    <row x14ac:dyDescent="0.25" r="113" customHeight="1" ht="17.25">
      <c r="A113" s="14" t="s">
        <v>3</v>
      </c>
      <c r="B113" s="14" t="s">
        <v>4</v>
      </c>
      <c r="C113" s="14" t="s">
        <v>5</v>
      </c>
      <c r="D113" s="14" t="s">
        <v>6</v>
      </c>
      <c r="E113" s="15" t="s">
        <v>7</v>
      </c>
      <c r="F113" s="14" t="s">
        <v>8</v>
      </c>
      <c r="G113" s="14" t="s">
        <v>9</v>
      </c>
      <c r="H113" s="16" t="s">
        <v>10</v>
      </c>
      <c r="I113" s="14" t="s">
        <v>11</v>
      </c>
      <c r="J113" s="14" t="s">
        <v>12</v>
      </c>
    </row>
    <row x14ac:dyDescent="0.25" r="114" customHeight="1" ht="17.25">
      <c r="A114" s="17" t="s">
        <v>205</v>
      </c>
      <c r="B114" s="17" t="s">
        <v>206</v>
      </c>
      <c r="C114" s="17" t="s">
        <v>76</v>
      </c>
      <c r="D114" s="17" t="s">
        <v>16</v>
      </c>
      <c r="E114" s="18">
        <f>ROUND(15567*1.05,2)</f>
      </c>
      <c r="F114" s="17" t="s">
        <v>17</v>
      </c>
      <c r="G114" s="17" t="s">
        <v>18</v>
      </c>
      <c r="H114" s="18">
        <f>ROUND(RAND()*4+6,1)</f>
      </c>
      <c r="I114" s="17" t="s">
        <v>19</v>
      </c>
      <c r="J114" s="19">
        <f>ROUND(69*1,0)&amp;"%"</f>
      </c>
    </row>
    <row x14ac:dyDescent="0.25" r="115" customHeight="1" ht="17.25">
      <c r="A115" s="20" t="s">
        <v>207</v>
      </c>
      <c r="B115" s="20" t="s">
        <v>208</v>
      </c>
      <c r="C115" s="20" t="s">
        <v>76</v>
      </c>
      <c r="D115" s="20" t="s">
        <v>22</v>
      </c>
      <c r="E115" s="21">
        <f>ROUND(17326*1.05,2)</f>
      </c>
      <c r="F115" s="20" t="s">
        <v>23</v>
      </c>
      <c r="G115" s="20" t="s">
        <v>24</v>
      </c>
      <c r="H115" s="21">
        <f>ROUND(RAND()*4+6,1)</f>
      </c>
      <c r="I115" s="20" t="s">
        <v>25</v>
      </c>
      <c r="J115" s="23">
        <f>ROUND(92*1,0)&amp;"%"</f>
      </c>
    </row>
    <row x14ac:dyDescent="0.25" r="116" customHeight="1" ht="17.25">
      <c r="A116" s="17" t="s">
        <v>209</v>
      </c>
      <c r="B116" s="17" t="s">
        <v>210</v>
      </c>
      <c r="C116" s="17" t="s">
        <v>76</v>
      </c>
      <c r="D116" s="17" t="s">
        <v>28</v>
      </c>
      <c r="E116" s="18">
        <f>ROUND(13447*1.05,2)</f>
      </c>
      <c r="F116" s="17" t="s">
        <v>29</v>
      </c>
      <c r="G116" s="17" t="s">
        <v>30</v>
      </c>
      <c r="H116" s="18">
        <f>ROUND(RAND()*4+6,1)</f>
      </c>
      <c r="I116" s="17" t="s">
        <v>31</v>
      </c>
      <c r="J116" s="19">
        <f>ROUND(68*1,0)&amp;"%"</f>
      </c>
    </row>
    <row x14ac:dyDescent="0.25" r="117" customHeight="1" ht="17.25">
      <c r="A117" s="20" t="s">
        <v>211</v>
      </c>
      <c r="B117" s="20" t="s">
        <v>212</v>
      </c>
      <c r="C117" s="20" t="s">
        <v>76</v>
      </c>
      <c r="D117" s="20" t="s">
        <v>34</v>
      </c>
      <c r="E117" s="21">
        <f>ROUND(6966*1.05,2)</f>
      </c>
      <c r="F117" s="20" t="s">
        <v>35</v>
      </c>
      <c r="G117" s="20" t="s">
        <v>18</v>
      </c>
      <c r="H117" s="21">
        <f>ROUND(RAND()*4+6,1)</f>
      </c>
      <c r="I117" s="20" t="s">
        <v>36</v>
      </c>
      <c r="J117" s="23">
        <f>ROUND(91*1,0)&amp;"%"</f>
      </c>
    </row>
    <row x14ac:dyDescent="0.25" r="118" customHeight="1" ht="17.25">
      <c r="A118" s="17" t="s">
        <v>213</v>
      </c>
      <c r="B118" s="17" t="s">
        <v>214</v>
      </c>
      <c r="C118" s="17" t="s">
        <v>76</v>
      </c>
      <c r="D118" s="17" t="s">
        <v>39</v>
      </c>
      <c r="E118" s="18">
        <f>ROUND(12162*1.05,2)</f>
      </c>
      <c r="F118" s="17" t="s">
        <v>40</v>
      </c>
      <c r="G118" s="17" t="s">
        <v>24</v>
      </c>
      <c r="H118" s="18">
        <f>ROUND(RAND()*4+6,1)</f>
      </c>
      <c r="I118" s="17" t="s">
        <v>41</v>
      </c>
      <c r="J118" s="19">
        <f>ROUND(71*1,0)&amp;"%"</f>
      </c>
    </row>
    <row x14ac:dyDescent="0.25" r="119" customHeight="1" ht="17.25">
      <c r="A119" s="20" t="s">
        <v>215</v>
      </c>
      <c r="B119" s="20" t="s">
        <v>216</v>
      </c>
      <c r="C119" s="20" t="s">
        <v>76</v>
      </c>
      <c r="D119" s="20" t="s">
        <v>67</v>
      </c>
      <c r="E119" s="21">
        <f>ROUND(17638*1.05,2)</f>
      </c>
      <c r="F119" s="20" t="s">
        <v>44</v>
      </c>
      <c r="G119" s="20" t="s">
        <v>30</v>
      </c>
      <c r="H119" s="22">
        <f>ROUND(RAND()*4+6,1)</f>
      </c>
      <c r="I119" s="20" t="s">
        <v>45</v>
      </c>
      <c r="J119" s="23">
        <f>ROUND(100*1,0)&amp;"%"</f>
      </c>
    </row>
    <row x14ac:dyDescent="0.25" r="120" customHeight="1" ht="17.25">
      <c r="A120" s="17" t="s">
        <v>217</v>
      </c>
      <c r="B120" s="17" t="s">
        <v>218</v>
      </c>
      <c r="C120" s="17" t="s">
        <v>76</v>
      </c>
      <c r="D120" s="17" t="s">
        <v>16</v>
      </c>
      <c r="E120" s="18">
        <f>ROUND(8159*1.05,2)</f>
      </c>
      <c r="F120" s="17" t="s">
        <v>48</v>
      </c>
      <c r="G120" s="17" t="s">
        <v>18</v>
      </c>
      <c r="H120" s="18">
        <f>ROUND(RAND()*4+6,1)</f>
      </c>
      <c r="I120" s="17" t="s">
        <v>19</v>
      </c>
      <c r="J120" s="19">
        <f>ROUND(75*1,0)&amp;"%"</f>
      </c>
    </row>
    <row x14ac:dyDescent="0.25" r="121" customHeight="1" ht="17.25">
      <c r="A121" s="20" t="s">
        <v>219</v>
      </c>
      <c r="B121" s="20" t="s">
        <v>220</v>
      </c>
      <c r="C121" s="20" t="s">
        <v>76</v>
      </c>
      <c r="D121" s="20" t="s">
        <v>22</v>
      </c>
      <c r="E121" s="22">
        <f>ROUND(10440*1.05,2)</f>
      </c>
      <c r="F121" s="20" t="s">
        <v>51</v>
      </c>
      <c r="G121" s="20" t="s">
        <v>24</v>
      </c>
      <c r="H121" s="21">
        <f>ROUND(RAND()*4+6,1)</f>
      </c>
      <c r="I121" s="20" t="s">
        <v>25</v>
      </c>
      <c r="J121" s="23">
        <f>ROUND(96*1,0)&amp;"%"</f>
      </c>
    </row>
    <row x14ac:dyDescent="0.25" r="122" customHeight="1" ht="17.25">
      <c r="A122" s="24" t="s">
        <v>221</v>
      </c>
      <c r="B122" s="24"/>
      <c r="C122" s="24"/>
      <c r="D122" s="24"/>
      <c r="E122" s="25">
        <v>8</v>
      </c>
      <c r="F122" s="9"/>
      <c r="G122" s="9"/>
      <c r="H122" s="10"/>
      <c r="I122" s="9"/>
      <c r="J122" s="9"/>
    </row>
    <row x14ac:dyDescent="0.25" r="123" customHeight="1" ht="17.25">
      <c r="A123" s="7"/>
      <c r="B123" s="7"/>
      <c r="C123" s="7"/>
      <c r="D123" s="7"/>
      <c r="E123" s="8"/>
      <c r="F123" s="9"/>
      <c r="G123" s="9"/>
      <c r="H123" s="10"/>
      <c r="I123" s="9"/>
      <c r="J123" s="9"/>
    </row>
    <row x14ac:dyDescent="0.25" r="124" customHeight="1" ht="17.25">
      <c r="A124" s="11" t="s">
        <v>222</v>
      </c>
      <c r="B124" s="11"/>
      <c r="C124" s="11"/>
      <c r="D124" s="11"/>
      <c r="E124" s="12"/>
      <c r="F124" s="11"/>
      <c r="G124" s="11"/>
      <c r="H124" s="13"/>
      <c r="I124" s="11"/>
      <c r="J124" s="11"/>
    </row>
    <row x14ac:dyDescent="0.25" r="125" customHeight="1" ht="17.25">
      <c r="A125" s="14" t="s">
        <v>3</v>
      </c>
      <c r="B125" s="14" t="s">
        <v>4</v>
      </c>
      <c r="C125" s="14" t="s">
        <v>5</v>
      </c>
      <c r="D125" s="14" t="s">
        <v>6</v>
      </c>
      <c r="E125" s="15" t="s">
        <v>7</v>
      </c>
      <c r="F125" s="14" t="s">
        <v>8</v>
      </c>
      <c r="G125" s="14" t="s">
        <v>9</v>
      </c>
      <c r="H125" s="16" t="s">
        <v>10</v>
      </c>
      <c r="I125" s="14" t="s">
        <v>11</v>
      </c>
      <c r="J125" s="14" t="s">
        <v>12</v>
      </c>
    </row>
    <row x14ac:dyDescent="0.25" r="126" customHeight="1" ht="17.25">
      <c r="A126" s="17" t="s">
        <v>223</v>
      </c>
      <c r="B126" s="17" t="s">
        <v>224</v>
      </c>
      <c r="C126" s="17" t="s">
        <v>95</v>
      </c>
      <c r="D126" s="17" t="s">
        <v>16</v>
      </c>
      <c r="E126" s="18">
        <f>ROUND(7076*1.05,2)</f>
      </c>
      <c r="F126" s="17" t="s">
        <v>17</v>
      </c>
      <c r="G126" s="17" t="s">
        <v>18</v>
      </c>
      <c r="H126" s="18">
        <f>ROUND(RAND()*4+6,1)</f>
      </c>
      <c r="I126" s="17" t="s">
        <v>19</v>
      </c>
      <c r="J126" s="19">
        <f>ROUND(67*1,0)&amp;"%"</f>
      </c>
    </row>
    <row x14ac:dyDescent="0.25" r="127" customHeight="1" ht="17.25">
      <c r="A127" s="20" t="s">
        <v>225</v>
      </c>
      <c r="B127" s="20" t="s">
        <v>226</v>
      </c>
      <c r="C127" s="20" t="s">
        <v>95</v>
      </c>
      <c r="D127" s="20" t="s">
        <v>22</v>
      </c>
      <c r="E127" s="21">
        <f>ROUND(11510*1.05,2)</f>
      </c>
      <c r="F127" s="20" t="s">
        <v>23</v>
      </c>
      <c r="G127" s="20" t="s">
        <v>24</v>
      </c>
      <c r="H127" s="21">
        <f>ROUND(RAND()*4+6,1)</f>
      </c>
      <c r="I127" s="20" t="s">
        <v>25</v>
      </c>
      <c r="J127" s="23">
        <f>ROUND(66*1,0)&amp;"%"</f>
      </c>
    </row>
    <row x14ac:dyDescent="0.25" r="128" customHeight="1" ht="17.25">
      <c r="A128" s="17" t="s">
        <v>227</v>
      </c>
      <c r="B128" s="17" t="s">
        <v>228</v>
      </c>
      <c r="C128" s="17" t="s">
        <v>95</v>
      </c>
      <c r="D128" s="17" t="s">
        <v>28</v>
      </c>
      <c r="E128" s="18">
        <f>ROUND(6881*1.05,2)</f>
      </c>
      <c r="F128" s="17" t="s">
        <v>29</v>
      </c>
      <c r="G128" s="17" t="s">
        <v>30</v>
      </c>
      <c r="H128" s="18">
        <f>ROUND(RAND()*4+6,1)</f>
      </c>
      <c r="I128" s="17" t="s">
        <v>31</v>
      </c>
      <c r="J128" s="19">
        <f>ROUND(67*1,0)&amp;"%"</f>
      </c>
    </row>
    <row x14ac:dyDescent="0.25" r="129" customHeight="1" ht="17.25">
      <c r="A129" s="20" t="s">
        <v>229</v>
      </c>
      <c r="B129" s="20" t="s">
        <v>230</v>
      </c>
      <c r="C129" s="20" t="s">
        <v>95</v>
      </c>
      <c r="D129" s="20" t="s">
        <v>34</v>
      </c>
      <c r="E129" s="21">
        <f>ROUND(17744*1.05,2)</f>
      </c>
      <c r="F129" s="20" t="s">
        <v>35</v>
      </c>
      <c r="G129" s="20" t="s">
        <v>18</v>
      </c>
      <c r="H129" s="21">
        <f>ROUND(RAND()*4+6,1)</f>
      </c>
      <c r="I129" s="20" t="s">
        <v>36</v>
      </c>
      <c r="J129" s="23">
        <f>ROUND(79*1,0)&amp;"%"</f>
      </c>
    </row>
    <row x14ac:dyDescent="0.25" r="130" customHeight="1" ht="17.25">
      <c r="A130" s="17" t="s">
        <v>231</v>
      </c>
      <c r="B130" s="17" t="s">
        <v>232</v>
      </c>
      <c r="C130" s="17" t="s">
        <v>95</v>
      </c>
      <c r="D130" s="17" t="s">
        <v>39</v>
      </c>
      <c r="E130" s="18">
        <f>ROUND(17848*1.05,2)</f>
      </c>
      <c r="F130" s="17" t="s">
        <v>40</v>
      </c>
      <c r="G130" s="17" t="s">
        <v>24</v>
      </c>
      <c r="H130" s="26">
        <f>ROUND(RAND()*4+6,1)</f>
      </c>
      <c r="I130" s="17" t="s">
        <v>41</v>
      </c>
      <c r="J130" s="19">
        <f>ROUND(69*1,0)&amp;"%"</f>
      </c>
    </row>
    <row x14ac:dyDescent="0.25" r="131" customHeight="1" ht="17.25">
      <c r="A131" s="20" t="s">
        <v>233</v>
      </c>
      <c r="B131" s="20" t="s">
        <v>234</v>
      </c>
      <c r="C131" s="20" t="s">
        <v>95</v>
      </c>
      <c r="D131" s="20" t="s">
        <v>67</v>
      </c>
      <c r="E131" s="21">
        <f>ROUND(4007*1.05,2)</f>
      </c>
      <c r="F131" s="20" t="s">
        <v>44</v>
      </c>
      <c r="G131" s="20" t="s">
        <v>30</v>
      </c>
      <c r="H131" s="21">
        <f>ROUND(RAND()*4+6,1)</f>
      </c>
      <c r="I131" s="20" t="s">
        <v>45</v>
      </c>
      <c r="J131" s="23">
        <f>ROUND(97*1,0)&amp;"%"</f>
      </c>
    </row>
    <row x14ac:dyDescent="0.25" r="132" customHeight="1" ht="17.25">
      <c r="A132" s="17" t="s">
        <v>235</v>
      </c>
      <c r="B132" s="17" t="s">
        <v>236</v>
      </c>
      <c r="C132" s="17" t="s">
        <v>95</v>
      </c>
      <c r="D132" s="17" t="s">
        <v>16</v>
      </c>
      <c r="E132" s="18">
        <f>ROUND(14903*1.05,2)</f>
      </c>
      <c r="F132" s="17" t="s">
        <v>48</v>
      </c>
      <c r="G132" s="17" t="s">
        <v>18</v>
      </c>
      <c r="H132" s="18">
        <f>ROUND(RAND()*4+6,1)</f>
      </c>
      <c r="I132" s="17" t="s">
        <v>19</v>
      </c>
      <c r="J132" s="19">
        <f>ROUND(79*1,0)&amp;"%"</f>
      </c>
    </row>
    <row x14ac:dyDescent="0.25" r="133" customHeight="1" ht="17.25">
      <c r="A133" s="20" t="s">
        <v>237</v>
      </c>
      <c r="B133" s="20" t="s">
        <v>238</v>
      </c>
      <c r="C133" s="20" t="s">
        <v>95</v>
      </c>
      <c r="D133" s="20" t="s">
        <v>22</v>
      </c>
      <c r="E133" s="21">
        <f>ROUND(13664*1.05,2)</f>
      </c>
      <c r="F133" s="20" t="s">
        <v>51</v>
      </c>
      <c r="G133" s="20" t="s">
        <v>24</v>
      </c>
      <c r="H133" s="22">
        <f>ROUND(RAND()*4+6,1)</f>
      </c>
      <c r="I133" s="20" t="s">
        <v>25</v>
      </c>
      <c r="J133" s="23">
        <f>ROUND(84*1,0)&amp;"%"</f>
      </c>
    </row>
    <row x14ac:dyDescent="0.25" r="134" customHeight="1" ht="17.25">
      <c r="A134" s="24" t="s">
        <v>239</v>
      </c>
      <c r="B134" s="24"/>
      <c r="C134" s="24"/>
      <c r="D134" s="24"/>
      <c r="E134" s="25">
        <v>8</v>
      </c>
      <c r="F134" s="9"/>
      <c r="G134" s="9"/>
      <c r="H134" s="10"/>
      <c r="I134" s="9"/>
      <c r="J134" s="9"/>
    </row>
    <row x14ac:dyDescent="0.25" r="135" customHeight="1" ht="17.25">
      <c r="A135" s="7"/>
      <c r="B135" s="7"/>
      <c r="C135" s="7"/>
      <c r="D135" s="7"/>
      <c r="E135" s="8"/>
      <c r="F135" s="9"/>
      <c r="G135" s="9"/>
      <c r="H135" s="10"/>
      <c r="I135" s="9"/>
      <c r="J135" s="9"/>
    </row>
    <row x14ac:dyDescent="0.25" r="136" customHeight="1" ht="17.25">
      <c r="A136" s="11" t="s">
        <v>240</v>
      </c>
      <c r="B136" s="11"/>
      <c r="C136" s="11"/>
      <c r="D136" s="11"/>
      <c r="E136" s="12"/>
      <c r="F136" s="11"/>
      <c r="G136" s="11"/>
      <c r="H136" s="13"/>
      <c r="I136" s="11"/>
      <c r="J136" s="11"/>
    </row>
    <row x14ac:dyDescent="0.25" r="137" customHeight="1" ht="17.25">
      <c r="A137" s="14" t="s">
        <v>3</v>
      </c>
      <c r="B137" s="14" t="s">
        <v>4</v>
      </c>
      <c r="C137" s="14" t="s">
        <v>5</v>
      </c>
      <c r="D137" s="14" t="s">
        <v>6</v>
      </c>
      <c r="E137" s="15" t="s">
        <v>7</v>
      </c>
      <c r="F137" s="14" t="s">
        <v>8</v>
      </c>
      <c r="G137" s="14" t="s">
        <v>9</v>
      </c>
      <c r="H137" s="16" t="s">
        <v>10</v>
      </c>
      <c r="I137" s="14" t="s">
        <v>11</v>
      </c>
      <c r="J137" s="14" t="s">
        <v>12</v>
      </c>
    </row>
    <row x14ac:dyDescent="0.25" r="138" customHeight="1" ht="17.25">
      <c r="A138" s="17" t="s">
        <v>241</v>
      </c>
      <c r="B138" s="17" t="s">
        <v>242</v>
      </c>
      <c r="C138" s="17" t="s">
        <v>114</v>
      </c>
      <c r="D138" s="17" t="s">
        <v>16</v>
      </c>
      <c r="E138" s="18">
        <f>ROUND(10992*1.05,2)</f>
      </c>
      <c r="F138" s="17" t="s">
        <v>17</v>
      </c>
      <c r="G138" s="17" t="s">
        <v>18</v>
      </c>
      <c r="H138" s="18">
        <f>ROUND(RAND()*4+6,1)</f>
      </c>
      <c r="I138" s="17" t="s">
        <v>19</v>
      </c>
      <c r="J138" s="19">
        <f>ROUND(73*1,0)&amp;"%"</f>
      </c>
    </row>
    <row x14ac:dyDescent="0.25" r="139" customHeight="1" ht="17.25">
      <c r="A139" s="20" t="s">
        <v>243</v>
      </c>
      <c r="B139" s="20" t="s">
        <v>244</v>
      </c>
      <c r="C139" s="20" t="s">
        <v>114</v>
      </c>
      <c r="D139" s="20" t="s">
        <v>22</v>
      </c>
      <c r="E139" s="21">
        <f>ROUND(17058*1.05,2)</f>
      </c>
      <c r="F139" s="20" t="s">
        <v>23</v>
      </c>
      <c r="G139" s="20" t="s">
        <v>24</v>
      </c>
      <c r="H139" s="21">
        <f>ROUND(RAND()*4+6,1)</f>
      </c>
      <c r="I139" s="20" t="s">
        <v>25</v>
      </c>
      <c r="J139" s="23">
        <f>ROUND(99*1,0)&amp;"%"</f>
      </c>
    </row>
    <row x14ac:dyDescent="0.25" r="140" customHeight="1" ht="17.25">
      <c r="A140" s="17" t="s">
        <v>245</v>
      </c>
      <c r="B140" s="17" t="s">
        <v>246</v>
      </c>
      <c r="C140" s="17" t="s">
        <v>114</v>
      </c>
      <c r="D140" s="17" t="s">
        <v>28</v>
      </c>
      <c r="E140" s="18">
        <f>ROUND(12771*1.05,2)</f>
      </c>
      <c r="F140" s="17" t="s">
        <v>29</v>
      </c>
      <c r="G140" s="17" t="s">
        <v>30</v>
      </c>
      <c r="H140" s="18">
        <f>ROUND(RAND()*4+6,1)</f>
      </c>
      <c r="I140" s="17" t="s">
        <v>31</v>
      </c>
      <c r="J140" s="19">
        <f>ROUND(91*1,0)&amp;"%"</f>
      </c>
    </row>
    <row x14ac:dyDescent="0.25" r="141" customHeight="1" ht="17.25">
      <c r="A141" s="20" t="s">
        <v>247</v>
      </c>
      <c r="B141" s="20" t="s">
        <v>248</v>
      </c>
      <c r="C141" s="20" t="s">
        <v>114</v>
      </c>
      <c r="D141" s="20" t="s">
        <v>34</v>
      </c>
      <c r="E141" s="21">
        <f>ROUND(9426*1.05,2)</f>
      </c>
      <c r="F141" s="20" t="s">
        <v>35</v>
      </c>
      <c r="G141" s="20" t="s">
        <v>18</v>
      </c>
      <c r="H141" s="21">
        <f>ROUND(RAND()*4+6,1)</f>
      </c>
      <c r="I141" s="20" t="s">
        <v>36</v>
      </c>
      <c r="J141" s="23">
        <f>ROUND(74*1,0)&amp;"%"</f>
      </c>
    </row>
    <row x14ac:dyDescent="0.25" r="142" customHeight="1" ht="17.25">
      <c r="A142" s="17" t="s">
        <v>249</v>
      </c>
      <c r="B142" s="17" t="s">
        <v>250</v>
      </c>
      <c r="C142" s="17" t="s">
        <v>114</v>
      </c>
      <c r="D142" s="17" t="s">
        <v>39</v>
      </c>
      <c r="E142" s="18">
        <f>ROUND(17211*1.05,2)</f>
      </c>
      <c r="F142" s="17" t="s">
        <v>40</v>
      </c>
      <c r="G142" s="17" t="s">
        <v>24</v>
      </c>
      <c r="H142" s="18">
        <f>ROUND(RAND()*4+6,1)</f>
      </c>
      <c r="I142" s="17" t="s">
        <v>41</v>
      </c>
      <c r="J142" s="19">
        <f>ROUND(73*1,0)&amp;"%"</f>
      </c>
    </row>
    <row x14ac:dyDescent="0.25" r="143" customHeight="1" ht="17.25">
      <c r="A143" s="20" t="s">
        <v>251</v>
      </c>
      <c r="B143" s="20" t="s">
        <v>252</v>
      </c>
      <c r="C143" s="20" t="s">
        <v>114</v>
      </c>
      <c r="D143" s="20" t="s">
        <v>67</v>
      </c>
      <c r="E143" s="21">
        <f>ROUND(16865*1.05,2)</f>
      </c>
      <c r="F143" s="20" t="s">
        <v>44</v>
      </c>
      <c r="G143" s="20" t="s">
        <v>30</v>
      </c>
      <c r="H143" s="21">
        <f>ROUND(RAND()*4+6,1)</f>
      </c>
      <c r="I143" s="20" t="s">
        <v>45</v>
      </c>
      <c r="J143" s="23">
        <f>ROUND(66*1,0)&amp;"%"</f>
      </c>
    </row>
    <row x14ac:dyDescent="0.25" r="144" customHeight="1" ht="17.25">
      <c r="A144" s="17" t="s">
        <v>253</v>
      </c>
      <c r="B144" s="17" t="s">
        <v>254</v>
      </c>
      <c r="C144" s="17" t="s">
        <v>114</v>
      </c>
      <c r="D144" s="17" t="s">
        <v>16</v>
      </c>
      <c r="E144" s="18">
        <f>ROUND(15953*1.05,2)</f>
      </c>
      <c r="F144" s="17" t="s">
        <v>48</v>
      </c>
      <c r="G144" s="17" t="s">
        <v>18</v>
      </c>
      <c r="H144" s="18">
        <f>ROUND(RAND()*4+6,1)</f>
      </c>
      <c r="I144" s="17" t="s">
        <v>19</v>
      </c>
      <c r="J144" s="19">
        <f>ROUND(87*1,0)&amp;"%"</f>
      </c>
    </row>
    <row x14ac:dyDescent="0.25" r="145" customHeight="1" ht="17.25">
      <c r="A145" s="20" t="s">
        <v>255</v>
      </c>
      <c r="B145" s="20" t="s">
        <v>256</v>
      </c>
      <c r="C145" s="20" t="s">
        <v>114</v>
      </c>
      <c r="D145" s="20" t="s">
        <v>22</v>
      </c>
      <c r="E145" s="21">
        <f>ROUND(10908*1.05,2)</f>
      </c>
      <c r="F145" s="20" t="s">
        <v>51</v>
      </c>
      <c r="G145" s="20" t="s">
        <v>24</v>
      </c>
      <c r="H145" s="22">
        <f>ROUND(RAND()*4+6,1)</f>
      </c>
      <c r="I145" s="20" t="s">
        <v>25</v>
      </c>
      <c r="J145" s="23">
        <f>ROUND(81*1,0)&amp;"%"</f>
      </c>
    </row>
    <row x14ac:dyDescent="0.25" r="146" customHeight="1" ht="17.25">
      <c r="A146" s="24" t="s">
        <v>257</v>
      </c>
      <c r="B146" s="24"/>
      <c r="C146" s="24"/>
      <c r="D146" s="24"/>
      <c r="E146" s="25">
        <v>8</v>
      </c>
      <c r="F146" s="9"/>
      <c r="G146" s="9"/>
      <c r="H146" s="10"/>
      <c r="I146" s="9"/>
      <c r="J146" s="9"/>
    </row>
    <row x14ac:dyDescent="0.25" r="147" customHeight="1" ht="17.25">
      <c r="A147" s="7"/>
      <c r="B147" s="7"/>
      <c r="C147" s="7"/>
      <c r="D147" s="7"/>
      <c r="E147" s="8"/>
      <c r="F147" s="9"/>
      <c r="G147" s="9"/>
      <c r="H147" s="10"/>
      <c r="I147" s="9"/>
      <c r="J147" s="9"/>
    </row>
    <row x14ac:dyDescent="0.25" r="148" customHeight="1" ht="17.25">
      <c r="A148" s="11" t="s">
        <v>258</v>
      </c>
      <c r="B148" s="11"/>
      <c r="C148" s="11"/>
      <c r="D148" s="11"/>
      <c r="E148" s="12"/>
      <c r="F148" s="11"/>
      <c r="G148" s="11"/>
      <c r="H148" s="13"/>
      <c r="I148" s="11"/>
      <c r="J148" s="11"/>
    </row>
    <row x14ac:dyDescent="0.25" r="149" customHeight="1" ht="17.25">
      <c r="A149" s="14" t="s">
        <v>3</v>
      </c>
      <c r="B149" s="14" t="s">
        <v>4</v>
      </c>
      <c r="C149" s="14" t="s">
        <v>5</v>
      </c>
      <c r="D149" s="14" t="s">
        <v>6</v>
      </c>
      <c r="E149" s="15" t="s">
        <v>7</v>
      </c>
      <c r="F149" s="14" t="s">
        <v>8</v>
      </c>
      <c r="G149" s="14" t="s">
        <v>9</v>
      </c>
      <c r="H149" s="16" t="s">
        <v>10</v>
      </c>
      <c r="I149" s="14" t="s">
        <v>11</v>
      </c>
      <c r="J149" s="14" t="s">
        <v>12</v>
      </c>
    </row>
    <row x14ac:dyDescent="0.25" r="150" customHeight="1" ht="17.25">
      <c r="A150" s="17" t="s">
        <v>259</v>
      </c>
      <c r="B150" s="17" t="s">
        <v>260</v>
      </c>
      <c r="C150" s="17" t="s">
        <v>133</v>
      </c>
      <c r="D150" s="17" t="s">
        <v>16</v>
      </c>
      <c r="E150" s="18">
        <f>ROUND(7995*1.05,2)</f>
      </c>
      <c r="F150" s="17" t="s">
        <v>17</v>
      </c>
      <c r="G150" s="17" t="s">
        <v>18</v>
      </c>
      <c r="H150" s="18">
        <f>ROUND(RAND()*4+6,1)</f>
      </c>
      <c r="I150" s="17" t="s">
        <v>19</v>
      </c>
      <c r="J150" s="19">
        <f>ROUND(87*1,0)&amp;"%"</f>
      </c>
    </row>
    <row x14ac:dyDescent="0.25" r="151" customHeight="1" ht="17.25">
      <c r="A151" s="20" t="s">
        <v>261</v>
      </c>
      <c r="B151" s="20" t="s">
        <v>262</v>
      </c>
      <c r="C151" s="20" t="s">
        <v>133</v>
      </c>
      <c r="D151" s="20" t="s">
        <v>22</v>
      </c>
      <c r="E151" s="21">
        <f>ROUND(15323*1.05,2)</f>
      </c>
      <c r="F151" s="20" t="s">
        <v>23</v>
      </c>
      <c r="G151" s="20" t="s">
        <v>24</v>
      </c>
      <c r="H151" s="21">
        <f>ROUND(RAND()*4+6,1)</f>
      </c>
      <c r="I151" s="20" t="s">
        <v>25</v>
      </c>
      <c r="J151" s="23">
        <f>ROUND(79*1,0)&amp;"%"</f>
      </c>
    </row>
    <row x14ac:dyDescent="0.25" r="152" customHeight="1" ht="17.25">
      <c r="A152" s="17" t="s">
        <v>263</v>
      </c>
      <c r="B152" s="17" t="s">
        <v>264</v>
      </c>
      <c r="C152" s="17" t="s">
        <v>133</v>
      </c>
      <c r="D152" s="17" t="s">
        <v>28</v>
      </c>
      <c r="E152" s="18">
        <f>ROUND(15102*1.05,2)</f>
      </c>
      <c r="F152" s="17" t="s">
        <v>29</v>
      </c>
      <c r="G152" s="17" t="s">
        <v>30</v>
      </c>
      <c r="H152" s="26">
        <f>ROUND(RAND()*4+6,1)</f>
      </c>
      <c r="I152" s="17" t="s">
        <v>31</v>
      </c>
      <c r="J152" s="19">
        <f>ROUND(94*1,0)&amp;"%"</f>
      </c>
    </row>
    <row x14ac:dyDescent="0.25" r="153" customHeight="1" ht="17.25">
      <c r="A153" s="20" t="s">
        <v>265</v>
      </c>
      <c r="B153" s="20" t="s">
        <v>266</v>
      </c>
      <c r="C153" s="20" t="s">
        <v>133</v>
      </c>
      <c r="D153" s="20" t="s">
        <v>34</v>
      </c>
      <c r="E153" s="21">
        <f>ROUND(12536*1.05,2)</f>
      </c>
      <c r="F153" s="20" t="s">
        <v>35</v>
      </c>
      <c r="G153" s="20" t="s">
        <v>18</v>
      </c>
      <c r="H153" s="21">
        <f>ROUND(RAND()*4+6,1)</f>
      </c>
      <c r="I153" s="20" t="s">
        <v>36</v>
      </c>
      <c r="J153" s="23">
        <f>ROUND(69*1,0)&amp;"%"</f>
      </c>
    </row>
    <row x14ac:dyDescent="0.25" r="154" customHeight="1" ht="17.25">
      <c r="A154" s="17" t="s">
        <v>267</v>
      </c>
      <c r="B154" s="17" t="s">
        <v>268</v>
      </c>
      <c r="C154" s="17" t="s">
        <v>133</v>
      </c>
      <c r="D154" s="17" t="s">
        <v>39</v>
      </c>
      <c r="E154" s="18">
        <f>ROUND(5115*1.05,2)</f>
      </c>
      <c r="F154" s="17" t="s">
        <v>40</v>
      </c>
      <c r="G154" s="17" t="s">
        <v>24</v>
      </c>
      <c r="H154" s="18">
        <f>ROUND(RAND()*4+6,1)</f>
      </c>
      <c r="I154" s="17" t="s">
        <v>41</v>
      </c>
      <c r="J154" s="19">
        <f>ROUND(62*1,0)&amp;"%"</f>
      </c>
    </row>
    <row x14ac:dyDescent="0.25" r="155" customHeight="1" ht="17.25">
      <c r="A155" s="20" t="s">
        <v>269</v>
      </c>
      <c r="B155" s="20" t="s">
        <v>270</v>
      </c>
      <c r="C155" s="20" t="s">
        <v>133</v>
      </c>
      <c r="D155" s="20" t="s">
        <v>67</v>
      </c>
      <c r="E155" s="21">
        <f>ROUND(4348*1.05,2)</f>
      </c>
      <c r="F155" s="20" t="s">
        <v>44</v>
      </c>
      <c r="G155" s="20" t="s">
        <v>30</v>
      </c>
      <c r="H155" s="21">
        <f>ROUND(RAND()*4+6,1)</f>
      </c>
      <c r="I155" s="20" t="s">
        <v>45</v>
      </c>
      <c r="J155" s="23">
        <f>ROUND(78*1,0)&amp;"%"</f>
      </c>
    </row>
    <row x14ac:dyDescent="0.25" r="156" customHeight="1" ht="17.25">
      <c r="A156" s="17" t="s">
        <v>271</v>
      </c>
      <c r="B156" s="17" t="s">
        <v>272</v>
      </c>
      <c r="C156" s="17" t="s">
        <v>133</v>
      </c>
      <c r="D156" s="17" t="s">
        <v>16</v>
      </c>
      <c r="E156" s="18">
        <f>ROUND(6811*1.05,2)</f>
      </c>
      <c r="F156" s="17" t="s">
        <v>48</v>
      </c>
      <c r="G156" s="17" t="s">
        <v>18</v>
      </c>
      <c r="H156" s="18">
        <f>ROUND(RAND()*4+6,1)</f>
      </c>
      <c r="I156" s="17" t="s">
        <v>19</v>
      </c>
      <c r="J156" s="19">
        <f>ROUND(84*1,0)&amp;"%"</f>
      </c>
    </row>
    <row x14ac:dyDescent="0.25" r="157" customHeight="1" ht="17.25">
      <c r="A157" s="20" t="s">
        <v>273</v>
      </c>
      <c r="B157" s="20" t="s">
        <v>274</v>
      </c>
      <c r="C157" s="20" t="s">
        <v>133</v>
      </c>
      <c r="D157" s="20" t="s">
        <v>22</v>
      </c>
      <c r="E157" s="21">
        <f>ROUND(9144*1.05,2)</f>
      </c>
      <c r="F157" s="20" t="s">
        <v>51</v>
      </c>
      <c r="G157" s="20" t="s">
        <v>24</v>
      </c>
      <c r="H157" s="21">
        <f>ROUND(RAND()*4+6,1)</f>
      </c>
      <c r="I157" s="20" t="s">
        <v>25</v>
      </c>
      <c r="J157" s="23">
        <f>ROUND(86*1,0)&amp;"%"</f>
      </c>
    </row>
    <row x14ac:dyDescent="0.25" r="158" customHeight="1" ht="17.25">
      <c r="A158" s="24" t="s">
        <v>275</v>
      </c>
      <c r="B158" s="24"/>
      <c r="C158" s="24"/>
      <c r="D158" s="24"/>
      <c r="E158" s="25">
        <v>8</v>
      </c>
      <c r="F158" s="9"/>
      <c r="G158" s="9"/>
      <c r="H158" s="10"/>
      <c r="I158" s="9"/>
      <c r="J158" s="9"/>
    </row>
    <row x14ac:dyDescent="0.25" r="159" customHeight="1" ht="17.25">
      <c r="A159" s="7"/>
      <c r="B159" s="7"/>
      <c r="C159" s="7"/>
      <c r="D159" s="7"/>
      <c r="E159" s="8"/>
      <c r="F159" s="9"/>
      <c r="G159" s="9"/>
      <c r="H159" s="10"/>
      <c r="I159" s="9"/>
      <c r="J159" s="9"/>
    </row>
    <row x14ac:dyDescent="0.25" r="160" customHeight="1" ht="17.25">
      <c r="A160" s="11" t="s">
        <v>276</v>
      </c>
      <c r="B160" s="11"/>
      <c r="C160" s="11"/>
      <c r="D160" s="11"/>
      <c r="E160" s="12"/>
      <c r="F160" s="11"/>
      <c r="G160" s="11"/>
      <c r="H160" s="13"/>
      <c r="I160" s="11"/>
      <c r="J160" s="11"/>
    </row>
    <row x14ac:dyDescent="0.25" r="161" customHeight="1" ht="17.25">
      <c r="A161" s="14" t="s">
        <v>3</v>
      </c>
      <c r="B161" s="14" t="s">
        <v>4</v>
      </c>
      <c r="C161" s="14" t="s">
        <v>5</v>
      </c>
      <c r="D161" s="14" t="s">
        <v>6</v>
      </c>
      <c r="E161" s="15" t="s">
        <v>7</v>
      </c>
      <c r="F161" s="14" t="s">
        <v>8</v>
      </c>
      <c r="G161" s="14" t="s">
        <v>9</v>
      </c>
      <c r="H161" s="16" t="s">
        <v>10</v>
      </c>
      <c r="I161" s="14" t="s">
        <v>11</v>
      </c>
      <c r="J161" s="14" t="s">
        <v>12</v>
      </c>
    </row>
    <row x14ac:dyDescent="0.25" r="162" customHeight="1" ht="17.25">
      <c r="A162" s="17" t="s">
        <v>277</v>
      </c>
      <c r="B162" s="17" t="s">
        <v>278</v>
      </c>
      <c r="C162" s="17" t="s">
        <v>152</v>
      </c>
      <c r="D162" s="17" t="s">
        <v>16</v>
      </c>
      <c r="E162" s="18">
        <f>ROUND(16998*1.05,2)</f>
      </c>
      <c r="F162" s="17" t="s">
        <v>17</v>
      </c>
      <c r="G162" s="17" t="s">
        <v>18</v>
      </c>
      <c r="H162" s="18">
        <f>ROUND(RAND()*4+6,1)</f>
      </c>
      <c r="I162" s="17" t="s">
        <v>19</v>
      </c>
      <c r="J162" s="19">
        <f>ROUND(85*1,0)&amp;"%"</f>
      </c>
    </row>
    <row x14ac:dyDescent="0.25" r="163" customHeight="1" ht="17.25">
      <c r="A163" s="20" t="s">
        <v>279</v>
      </c>
      <c r="B163" s="20" t="s">
        <v>280</v>
      </c>
      <c r="C163" s="20" t="s">
        <v>152</v>
      </c>
      <c r="D163" s="20" t="s">
        <v>22</v>
      </c>
      <c r="E163" s="21">
        <f>ROUND(6165*1.05,2)</f>
      </c>
      <c r="F163" s="20" t="s">
        <v>23</v>
      </c>
      <c r="G163" s="20" t="s">
        <v>24</v>
      </c>
      <c r="H163" s="21">
        <f>ROUND(RAND()*4+6,1)</f>
      </c>
      <c r="I163" s="20" t="s">
        <v>25</v>
      </c>
      <c r="J163" s="23">
        <f>ROUND(77*1,0)&amp;"%"</f>
      </c>
    </row>
    <row x14ac:dyDescent="0.25" r="164" customHeight="1" ht="17.25">
      <c r="A164" s="17" t="s">
        <v>281</v>
      </c>
      <c r="B164" s="17" t="s">
        <v>282</v>
      </c>
      <c r="C164" s="17" t="s">
        <v>152</v>
      </c>
      <c r="D164" s="17" t="s">
        <v>28</v>
      </c>
      <c r="E164" s="18">
        <f>ROUND(10953*1.05,2)</f>
      </c>
      <c r="F164" s="17" t="s">
        <v>29</v>
      </c>
      <c r="G164" s="17" t="s">
        <v>30</v>
      </c>
      <c r="H164" s="18">
        <f>ROUND(RAND()*4+6,1)</f>
      </c>
      <c r="I164" s="17" t="s">
        <v>31</v>
      </c>
      <c r="J164" s="19">
        <f>ROUND(95*1,0)&amp;"%"</f>
      </c>
    </row>
    <row x14ac:dyDescent="0.25" r="165" customHeight="1" ht="17.25">
      <c r="A165" s="20" t="s">
        <v>283</v>
      </c>
      <c r="B165" s="20" t="s">
        <v>284</v>
      </c>
      <c r="C165" s="20" t="s">
        <v>152</v>
      </c>
      <c r="D165" s="20" t="s">
        <v>34</v>
      </c>
      <c r="E165" s="21">
        <f>ROUND(7277*1.05,2)</f>
      </c>
      <c r="F165" s="20" t="s">
        <v>35</v>
      </c>
      <c r="G165" s="20" t="s">
        <v>18</v>
      </c>
      <c r="H165" s="22">
        <f>ROUND(RAND()*4+6,1)</f>
      </c>
      <c r="I165" s="20" t="s">
        <v>36</v>
      </c>
      <c r="J165" s="23">
        <f>ROUND(68*1,0)&amp;"%"</f>
      </c>
    </row>
    <row x14ac:dyDescent="0.25" r="166" customHeight="1" ht="17.25">
      <c r="A166" s="17" t="s">
        <v>285</v>
      </c>
      <c r="B166" s="17" t="s">
        <v>286</v>
      </c>
      <c r="C166" s="17" t="s">
        <v>152</v>
      </c>
      <c r="D166" s="17" t="s">
        <v>39</v>
      </c>
      <c r="E166" s="18">
        <f>ROUND(8828*1.05,2)</f>
      </c>
      <c r="F166" s="17" t="s">
        <v>40</v>
      </c>
      <c r="G166" s="17" t="s">
        <v>24</v>
      </c>
      <c r="H166" s="18">
        <f>ROUND(RAND()*4+6,1)</f>
      </c>
      <c r="I166" s="17" t="s">
        <v>41</v>
      </c>
      <c r="J166" s="19">
        <f>ROUND(75*1,0)&amp;"%"</f>
      </c>
    </row>
    <row x14ac:dyDescent="0.25" r="167" customHeight="1" ht="17.25">
      <c r="A167" s="20" t="s">
        <v>287</v>
      </c>
      <c r="B167" s="20" t="s">
        <v>288</v>
      </c>
      <c r="C167" s="20" t="s">
        <v>152</v>
      </c>
      <c r="D167" s="20" t="s">
        <v>67</v>
      </c>
      <c r="E167" s="22">
        <f>ROUND(5200*1.05,2)</f>
      </c>
      <c r="F167" s="20" t="s">
        <v>44</v>
      </c>
      <c r="G167" s="20" t="s">
        <v>30</v>
      </c>
      <c r="H167" s="21">
        <f>ROUND(RAND()*4+6,1)</f>
      </c>
      <c r="I167" s="20" t="s">
        <v>45</v>
      </c>
      <c r="J167" s="23">
        <f>ROUND(86*1,0)&amp;"%"</f>
      </c>
    </row>
    <row x14ac:dyDescent="0.25" r="168" customHeight="1" ht="17.25">
      <c r="A168" s="17" t="s">
        <v>289</v>
      </c>
      <c r="B168" s="17" t="s">
        <v>290</v>
      </c>
      <c r="C168" s="17" t="s">
        <v>152</v>
      </c>
      <c r="D168" s="17" t="s">
        <v>16</v>
      </c>
      <c r="E168" s="18">
        <f>ROUND(16137*1.05,2)</f>
      </c>
      <c r="F168" s="17" t="s">
        <v>48</v>
      </c>
      <c r="G168" s="17" t="s">
        <v>18</v>
      </c>
      <c r="H168" s="18">
        <f>ROUND(RAND()*4+6,1)</f>
      </c>
      <c r="I168" s="17" t="s">
        <v>19</v>
      </c>
      <c r="J168" s="19">
        <f>ROUND(98*1,0)&amp;"%"</f>
      </c>
    </row>
    <row x14ac:dyDescent="0.25" r="169" customHeight="1" ht="17.25">
      <c r="A169" s="20" t="s">
        <v>291</v>
      </c>
      <c r="B169" s="20" t="s">
        <v>292</v>
      </c>
      <c r="C169" s="20" t="s">
        <v>152</v>
      </c>
      <c r="D169" s="20" t="s">
        <v>22</v>
      </c>
      <c r="E169" s="21">
        <f>ROUND(7998*1.05,2)</f>
      </c>
      <c r="F169" s="20" t="s">
        <v>51</v>
      </c>
      <c r="G169" s="20" t="s">
        <v>24</v>
      </c>
      <c r="H169" s="21">
        <f>ROUND(RAND()*4+6,1)</f>
      </c>
      <c r="I169" s="20" t="s">
        <v>25</v>
      </c>
      <c r="J169" s="23">
        <f>ROUND(60*1,0)&amp;"%"</f>
      </c>
    </row>
    <row x14ac:dyDescent="0.25" r="170" customHeight="1" ht="17.25">
      <c r="A170" s="24" t="s">
        <v>293</v>
      </c>
      <c r="B170" s="24"/>
      <c r="C170" s="24"/>
      <c r="D170" s="24"/>
      <c r="E170" s="25">
        <v>8</v>
      </c>
      <c r="F170" s="9"/>
      <c r="G170" s="9"/>
      <c r="H170" s="10"/>
      <c r="I170" s="9"/>
      <c r="J170" s="9"/>
    </row>
    <row x14ac:dyDescent="0.25" r="171" customHeight="1" ht="17.25">
      <c r="A171" s="7"/>
      <c r="B171" s="7"/>
      <c r="C171" s="7"/>
      <c r="D171" s="7"/>
      <c r="E171" s="8"/>
      <c r="F171" s="9"/>
      <c r="G171" s="9"/>
      <c r="H171" s="10"/>
      <c r="I171" s="9"/>
      <c r="J171" s="9"/>
    </row>
    <row x14ac:dyDescent="0.25" r="172" customHeight="1" ht="17.25">
      <c r="A172" s="11" t="s">
        <v>294</v>
      </c>
      <c r="B172" s="11"/>
      <c r="C172" s="11"/>
      <c r="D172" s="11"/>
      <c r="E172" s="12"/>
      <c r="F172" s="11"/>
      <c r="G172" s="11"/>
      <c r="H172" s="13"/>
      <c r="I172" s="11"/>
      <c r="J172" s="11"/>
    </row>
    <row x14ac:dyDescent="0.25" r="173" customHeight="1" ht="17.25">
      <c r="A173" s="14" t="s">
        <v>3</v>
      </c>
      <c r="B173" s="14" t="s">
        <v>4</v>
      </c>
      <c r="C173" s="14" t="s">
        <v>5</v>
      </c>
      <c r="D173" s="14" t="s">
        <v>6</v>
      </c>
      <c r="E173" s="15" t="s">
        <v>7</v>
      </c>
      <c r="F173" s="14" t="s">
        <v>8</v>
      </c>
      <c r="G173" s="14" t="s">
        <v>9</v>
      </c>
      <c r="H173" s="16" t="s">
        <v>10</v>
      </c>
      <c r="I173" s="14" t="s">
        <v>11</v>
      </c>
      <c r="J173" s="14" t="s">
        <v>12</v>
      </c>
    </row>
    <row x14ac:dyDescent="0.25" r="174" customHeight="1" ht="17.25">
      <c r="A174" s="17" t="s">
        <v>295</v>
      </c>
      <c r="B174" s="17" t="s">
        <v>296</v>
      </c>
      <c r="C174" s="17" t="s">
        <v>15</v>
      </c>
      <c r="D174" s="17" t="s">
        <v>16</v>
      </c>
      <c r="E174" s="18">
        <f>ROUND(4336*1.05,2)</f>
      </c>
      <c r="F174" s="17" t="s">
        <v>17</v>
      </c>
      <c r="G174" s="17" t="s">
        <v>18</v>
      </c>
      <c r="H174" s="18">
        <f>ROUND(RAND()*4+6,1)</f>
      </c>
      <c r="I174" s="17" t="s">
        <v>19</v>
      </c>
      <c r="J174" s="19">
        <f>ROUND(94*1,0)&amp;"%"</f>
      </c>
    </row>
    <row x14ac:dyDescent="0.25" r="175" customHeight="1" ht="17.25">
      <c r="A175" s="20" t="s">
        <v>297</v>
      </c>
      <c r="B175" s="20" t="s">
        <v>298</v>
      </c>
      <c r="C175" s="20" t="s">
        <v>15</v>
      </c>
      <c r="D175" s="20" t="s">
        <v>22</v>
      </c>
      <c r="E175" s="21">
        <f>ROUND(17871*1.05,2)</f>
      </c>
      <c r="F175" s="20" t="s">
        <v>23</v>
      </c>
      <c r="G175" s="20" t="s">
        <v>24</v>
      </c>
      <c r="H175" s="21">
        <f>ROUND(RAND()*4+6,1)</f>
      </c>
      <c r="I175" s="20" t="s">
        <v>25</v>
      </c>
      <c r="J175" s="23">
        <f>ROUND(77*1,0)&amp;"%"</f>
      </c>
    </row>
    <row x14ac:dyDescent="0.25" r="176" customHeight="1" ht="17.25">
      <c r="A176" s="17" t="s">
        <v>299</v>
      </c>
      <c r="B176" s="17" t="s">
        <v>300</v>
      </c>
      <c r="C176" s="17" t="s">
        <v>15</v>
      </c>
      <c r="D176" s="17" t="s">
        <v>28</v>
      </c>
      <c r="E176" s="18">
        <f>ROUND(12124*1.05,2)</f>
      </c>
      <c r="F176" s="17" t="s">
        <v>29</v>
      </c>
      <c r="G176" s="17" t="s">
        <v>30</v>
      </c>
      <c r="H176" s="18">
        <f>ROUND(RAND()*4+6,1)</f>
      </c>
      <c r="I176" s="17" t="s">
        <v>31</v>
      </c>
      <c r="J176" s="19">
        <f>ROUND(98*1,0)&amp;"%"</f>
      </c>
    </row>
    <row x14ac:dyDescent="0.25" r="177" customHeight="1" ht="17.25">
      <c r="A177" s="20" t="s">
        <v>301</v>
      </c>
      <c r="B177" s="20" t="s">
        <v>302</v>
      </c>
      <c r="C177" s="20" t="s">
        <v>15</v>
      </c>
      <c r="D177" s="20" t="s">
        <v>34</v>
      </c>
      <c r="E177" s="21">
        <f>ROUND(9872*1.05,2)</f>
      </c>
      <c r="F177" s="20" t="s">
        <v>35</v>
      </c>
      <c r="G177" s="20" t="s">
        <v>18</v>
      </c>
      <c r="H177" s="21">
        <f>ROUND(RAND()*4+6,1)</f>
      </c>
      <c r="I177" s="20" t="s">
        <v>36</v>
      </c>
      <c r="J177" s="23">
        <f>ROUND(61*1,0)&amp;"%"</f>
      </c>
    </row>
    <row x14ac:dyDescent="0.25" r="178" customHeight="1" ht="17.25">
      <c r="A178" s="17" t="s">
        <v>303</v>
      </c>
      <c r="B178" s="17" t="s">
        <v>304</v>
      </c>
      <c r="C178" s="17" t="s">
        <v>15</v>
      </c>
      <c r="D178" s="17" t="s">
        <v>39</v>
      </c>
      <c r="E178" s="18">
        <f>ROUND(12335*1.05,2)</f>
      </c>
      <c r="F178" s="17" t="s">
        <v>40</v>
      </c>
      <c r="G178" s="17" t="s">
        <v>24</v>
      </c>
      <c r="H178" s="18">
        <f>ROUND(RAND()*4+6,1)</f>
      </c>
      <c r="I178" s="17" t="s">
        <v>41</v>
      </c>
      <c r="J178" s="19">
        <f>ROUND(91*1,0)&amp;"%"</f>
      </c>
    </row>
    <row x14ac:dyDescent="0.25" r="179" customHeight="1" ht="17.25">
      <c r="A179" s="20" t="s">
        <v>305</v>
      </c>
      <c r="B179" s="20" t="s">
        <v>306</v>
      </c>
      <c r="C179" s="20" t="s">
        <v>15</v>
      </c>
      <c r="D179" s="20" t="s">
        <v>67</v>
      </c>
      <c r="E179" s="21">
        <f>ROUND(7001*1.05,2)</f>
      </c>
      <c r="F179" s="20" t="s">
        <v>44</v>
      </c>
      <c r="G179" s="20" t="s">
        <v>30</v>
      </c>
      <c r="H179" s="21">
        <f>ROUND(RAND()*4+6,1)</f>
      </c>
      <c r="I179" s="20" t="s">
        <v>45</v>
      </c>
      <c r="J179" s="23">
        <f>ROUND(89*1,0)&amp;"%"</f>
      </c>
    </row>
    <row x14ac:dyDescent="0.25" r="180" customHeight="1" ht="17.25">
      <c r="A180" s="17" t="s">
        <v>307</v>
      </c>
      <c r="B180" s="17" t="s">
        <v>308</v>
      </c>
      <c r="C180" s="17" t="s">
        <v>15</v>
      </c>
      <c r="D180" s="17" t="s">
        <v>16</v>
      </c>
      <c r="E180" s="18">
        <f>ROUND(4870*1.05,2)</f>
      </c>
      <c r="F180" s="17" t="s">
        <v>48</v>
      </c>
      <c r="G180" s="17" t="s">
        <v>18</v>
      </c>
      <c r="H180" s="26">
        <f>ROUND(RAND()*4+6,1)</f>
      </c>
      <c r="I180" s="17" t="s">
        <v>19</v>
      </c>
      <c r="J180" s="19">
        <f>ROUND(66*1,0)&amp;"%"</f>
      </c>
    </row>
    <row x14ac:dyDescent="0.25" r="181" customHeight="1" ht="17.25">
      <c r="A181" s="20" t="s">
        <v>309</v>
      </c>
      <c r="B181" s="20" t="s">
        <v>310</v>
      </c>
      <c r="C181" s="20" t="s">
        <v>15</v>
      </c>
      <c r="D181" s="20" t="s">
        <v>22</v>
      </c>
      <c r="E181" s="21">
        <f>ROUND(12081*1.05,2)</f>
      </c>
      <c r="F181" s="20" t="s">
        <v>51</v>
      </c>
      <c r="G181" s="20" t="s">
        <v>24</v>
      </c>
      <c r="H181" s="21">
        <f>ROUND(RAND()*4+6,1)</f>
      </c>
      <c r="I181" s="20" t="s">
        <v>25</v>
      </c>
      <c r="J181" s="23">
        <f>ROUND(71*1,0)&amp;"%"</f>
      </c>
    </row>
    <row x14ac:dyDescent="0.25" r="182" customHeight="1" ht="17.25">
      <c r="A182" s="24" t="s">
        <v>311</v>
      </c>
      <c r="B182" s="24"/>
      <c r="C182" s="24"/>
      <c r="D182" s="24"/>
      <c r="E182" s="25">
        <v>8</v>
      </c>
      <c r="F182" s="9"/>
      <c r="G182" s="9"/>
      <c r="H182" s="10"/>
      <c r="I182" s="9"/>
      <c r="J182" s="9"/>
    </row>
    <row x14ac:dyDescent="0.25" r="183" customHeight="1" ht="17.25">
      <c r="A183" s="7"/>
      <c r="B183" s="7"/>
      <c r="C183" s="7"/>
      <c r="D183" s="7"/>
      <c r="E183" s="8"/>
      <c r="F183" s="9"/>
      <c r="G183" s="9"/>
      <c r="H183" s="10"/>
      <c r="I183" s="9"/>
      <c r="J183" s="9"/>
    </row>
    <row x14ac:dyDescent="0.25" r="184" customHeight="1" ht="17.25">
      <c r="A184" s="11" t="s">
        <v>312</v>
      </c>
      <c r="B184" s="11"/>
      <c r="C184" s="11"/>
      <c r="D184" s="11"/>
      <c r="E184" s="12"/>
      <c r="F184" s="11"/>
      <c r="G184" s="11"/>
      <c r="H184" s="13"/>
      <c r="I184" s="11"/>
      <c r="J184" s="11"/>
    </row>
    <row x14ac:dyDescent="0.25" r="185" customHeight="1" ht="17.25">
      <c r="A185" s="14" t="s">
        <v>3</v>
      </c>
      <c r="B185" s="14" t="s">
        <v>4</v>
      </c>
      <c r="C185" s="14" t="s">
        <v>5</v>
      </c>
      <c r="D185" s="14" t="s">
        <v>6</v>
      </c>
      <c r="E185" s="15" t="s">
        <v>7</v>
      </c>
      <c r="F185" s="14" t="s">
        <v>8</v>
      </c>
      <c r="G185" s="14" t="s">
        <v>9</v>
      </c>
      <c r="H185" s="16" t="s">
        <v>10</v>
      </c>
      <c r="I185" s="14" t="s">
        <v>11</v>
      </c>
      <c r="J185" s="14" t="s">
        <v>12</v>
      </c>
    </row>
    <row x14ac:dyDescent="0.25" r="186" customHeight="1" ht="17.25">
      <c r="A186" s="17" t="s">
        <v>313</v>
      </c>
      <c r="B186" s="17" t="s">
        <v>314</v>
      </c>
      <c r="C186" s="17" t="s">
        <v>56</v>
      </c>
      <c r="D186" s="17" t="s">
        <v>16</v>
      </c>
      <c r="E186" s="18">
        <f>ROUND(13634*1.05,2)</f>
      </c>
      <c r="F186" s="17" t="s">
        <v>17</v>
      </c>
      <c r="G186" s="17" t="s">
        <v>18</v>
      </c>
      <c r="H186" s="18">
        <f>ROUND(RAND()*4+6,1)</f>
      </c>
      <c r="I186" s="17" t="s">
        <v>19</v>
      </c>
      <c r="J186" s="19">
        <f>ROUND(68*1,0)&amp;"%"</f>
      </c>
    </row>
    <row x14ac:dyDescent="0.25" r="187" customHeight="1" ht="17.25">
      <c r="A187" s="20" t="s">
        <v>315</v>
      </c>
      <c r="B187" s="20" t="s">
        <v>316</v>
      </c>
      <c r="C187" s="20" t="s">
        <v>56</v>
      </c>
      <c r="D187" s="20" t="s">
        <v>22</v>
      </c>
      <c r="E187" s="21">
        <f>ROUND(14091*1.05,2)</f>
      </c>
      <c r="F187" s="20" t="s">
        <v>23</v>
      </c>
      <c r="G187" s="20" t="s">
        <v>24</v>
      </c>
      <c r="H187" s="21">
        <f>ROUND(RAND()*4+6,1)</f>
      </c>
      <c r="I187" s="20" t="s">
        <v>25</v>
      </c>
      <c r="J187" s="23">
        <f>ROUND(64*1,0)&amp;"%"</f>
      </c>
    </row>
    <row x14ac:dyDescent="0.25" r="188" customHeight="1" ht="17.25">
      <c r="A188" s="17" t="s">
        <v>317</v>
      </c>
      <c r="B188" s="17" t="s">
        <v>318</v>
      </c>
      <c r="C188" s="17" t="s">
        <v>56</v>
      </c>
      <c r="D188" s="17" t="s">
        <v>28</v>
      </c>
      <c r="E188" s="18">
        <f>ROUND(11278*1.05,2)</f>
      </c>
      <c r="F188" s="17" t="s">
        <v>29</v>
      </c>
      <c r="G188" s="17" t="s">
        <v>30</v>
      </c>
      <c r="H188" s="18">
        <f>ROUND(RAND()*4+6,1)</f>
      </c>
      <c r="I188" s="17" t="s">
        <v>31</v>
      </c>
      <c r="J188" s="19">
        <f>ROUND(77*1,0)&amp;"%"</f>
      </c>
    </row>
    <row x14ac:dyDescent="0.25" r="189" customHeight="1" ht="17.25">
      <c r="A189" s="20" t="s">
        <v>319</v>
      </c>
      <c r="B189" s="20" t="s">
        <v>320</v>
      </c>
      <c r="C189" s="20" t="s">
        <v>56</v>
      </c>
      <c r="D189" s="20" t="s">
        <v>34</v>
      </c>
      <c r="E189" s="21">
        <f>ROUND(4442*1.05,2)</f>
      </c>
      <c r="F189" s="20" t="s">
        <v>35</v>
      </c>
      <c r="G189" s="20" t="s">
        <v>18</v>
      </c>
      <c r="H189" s="21">
        <f>ROUND(RAND()*4+6,1)</f>
      </c>
      <c r="I189" s="20" t="s">
        <v>36</v>
      </c>
      <c r="J189" s="23">
        <f>ROUND(85*1,0)&amp;"%"</f>
      </c>
    </row>
    <row x14ac:dyDescent="0.25" r="190" customHeight="1" ht="17.25">
      <c r="A190" s="17" t="s">
        <v>321</v>
      </c>
      <c r="B190" s="17" t="s">
        <v>322</v>
      </c>
      <c r="C190" s="17" t="s">
        <v>56</v>
      </c>
      <c r="D190" s="17" t="s">
        <v>39</v>
      </c>
      <c r="E190" s="18">
        <f>ROUND(10830*1.05,2)</f>
      </c>
      <c r="F190" s="17" t="s">
        <v>40</v>
      </c>
      <c r="G190" s="17" t="s">
        <v>24</v>
      </c>
      <c r="H190" s="18">
        <f>ROUND(RAND()*4+6,1)</f>
      </c>
      <c r="I190" s="17" t="s">
        <v>41</v>
      </c>
      <c r="J190" s="19">
        <f>ROUND(66*1,0)&amp;"%"</f>
      </c>
    </row>
    <row x14ac:dyDescent="0.25" r="191" customHeight="1" ht="17.25">
      <c r="A191" s="20" t="s">
        <v>323</v>
      </c>
      <c r="B191" s="20" t="s">
        <v>324</v>
      </c>
      <c r="C191" s="20" t="s">
        <v>56</v>
      </c>
      <c r="D191" s="20" t="s">
        <v>67</v>
      </c>
      <c r="E191" s="21">
        <f>ROUND(11323*1.05,2)</f>
      </c>
      <c r="F191" s="20" t="s">
        <v>44</v>
      </c>
      <c r="G191" s="20" t="s">
        <v>30</v>
      </c>
      <c r="H191" s="21">
        <f>ROUND(RAND()*4+6,1)</f>
      </c>
      <c r="I191" s="20" t="s">
        <v>45</v>
      </c>
      <c r="J191" s="23">
        <f>ROUND(81*1,0)&amp;"%"</f>
      </c>
    </row>
    <row x14ac:dyDescent="0.25" r="192" customHeight="1" ht="17.25">
      <c r="A192" s="17" t="s">
        <v>325</v>
      </c>
      <c r="B192" s="17" t="s">
        <v>326</v>
      </c>
      <c r="C192" s="17" t="s">
        <v>56</v>
      </c>
      <c r="D192" s="17" t="s">
        <v>16</v>
      </c>
      <c r="E192" s="18">
        <f>ROUND(16895*1.05,2)</f>
      </c>
      <c r="F192" s="17" t="s">
        <v>48</v>
      </c>
      <c r="G192" s="17" t="s">
        <v>18</v>
      </c>
      <c r="H192" s="18">
        <f>ROUND(RAND()*4+6,1)</f>
      </c>
      <c r="I192" s="17" t="s">
        <v>19</v>
      </c>
      <c r="J192" s="19">
        <f>ROUND(91*1,0)&amp;"%"</f>
      </c>
    </row>
    <row x14ac:dyDescent="0.25" r="193" customHeight="1" ht="17.25">
      <c r="A193" s="20" t="s">
        <v>327</v>
      </c>
      <c r="B193" s="20" t="s">
        <v>328</v>
      </c>
      <c r="C193" s="20" t="s">
        <v>56</v>
      </c>
      <c r="D193" s="20" t="s">
        <v>22</v>
      </c>
      <c r="E193" s="21">
        <f>ROUND(6778*1.05,2)</f>
      </c>
      <c r="F193" s="20" t="s">
        <v>51</v>
      </c>
      <c r="G193" s="20" t="s">
        <v>24</v>
      </c>
      <c r="H193" s="21">
        <f>ROUND(RAND()*4+6,1)</f>
      </c>
      <c r="I193" s="20" t="s">
        <v>25</v>
      </c>
      <c r="J193" s="23">
        <f>ROUND(66*1,0)&amp;"%"</f>
      </c>
    </row>
    <row x14ac:dyDescent="0.25" r="194" customHeight="1" ht="17.25">
      <c r="A194" s="24" t="s">
        <v>329</v>
      </c>
      <c r="B194" s="24"/>
      <c r="C194" s="24"/>
      <c r="D194" s="24"/>
      <c r="E194" s="25">
        <v>8</v>
      </c>
      <c r="F194" s="9"/>
      <c r="G194" s="9"/>
      <c r="H194" s="10"/>
      <c r="I194" s="9"/>
      <c r="J194" s="9"/>
    </row>
    <row x14ac:dyDescent="0.25" r="195" customHeight="1" ht="17.25">
      <c r="A195" s="7"/>
      <c r="B195" s="7"/>
      <c r="C195" s="7"/>
      <c r="D195" s="7"/>
      <c r="E195" s="8"/>
      <c r="F195" s="9"/>
      <c r="G195" s="9"/>
      <c r="H195" s="10"/>
      <c r="I195" s="9"/>
      <c r="J195" s="9"/>
    </row>
    <row x14ac:dyDescent="0.25" r="196" customHeight="1" ht="17.25">
      <c r="A196" s="11" t="s">
        <v>330</v>
      </c>
      <c r="B196" s="11"/>
      <c r="C196" s="11"/>
      <c r="D196" s="11"/>
      <c r="E196" s="12"/>
      <c r="F196" s="11"/>
      <c r="G196" s="11"/>
      <c r="H196" s="13"/>
      <c r="I196" s="11"/>
      <c r="J196" s="11"/>
    </row>
    <row x14ac:dyDescent="0.25" r="197" customHeight="1" ht="17.25">
      <c r="A197" s="14" t="s">
        <v>3</v>
      </c>
      <c r="B197" s="14" t="s">
        <v>4</v>
      </c>
      <c r="C197" s="14" t="s">
        <v>5</v>
      </c>
      <c r="D197" s="14" t="s">
        <v>6</v>
      </c>
      <c r="E197" s="15" t="s">
        <v>7</v>
      </c>
      <c r="F197" s="14" t="s">
        <v>8</v>
      </c>
      <c r="G197" s="14" t="s">
        <v>9</v>
      </c>
      <c r="H197" s="16" t="s">
        <v>10</v>
      </c>
      <c r="I197" s="14" t="s">
        <v>11</v>
      </c>
      <c r="J197" s="14" t="s">
        <v>12</v>
      </c>
    </row>
    <row x14ac:dyDescent="0.25" r="198" customHeight="1" ht="17.25">
      <c r="A198" s="17" t="s">
        <v>331</v>
      </c>
      <c r="B198" s="17" t="s">
        <v>332</v>
      </c>
      <c r="C198" s="17" t="s">
        <v>76</v>
      </c>
      <c r="D198" s="17" t="s">
        <v>16</v>
      </c>
      <c r="E198" s="18">
        <f>ROUND(9928*1.05,2)</f>
      </c>
      <c r="F198" s="17" t="s">
        <v>17</v>
      </c>
      <c r="G198" s="17" t="s">
        <v>18</v>
      </c>
      <c r="H198" s="18">
        <f>ROUND(RAND()*4+6,1)</f>
      </c>
      <c r="I198" s="17" t="s">
        <v>19</v>
      </c>
      <c r="J198" s="19">
        <f>ROUND(91*1,0)&amp;"%"</f>
      </c>
    </row>
    <row x14ac:dyDescent="0.25" r="199" customHeight="1" ht="17.25">
      <c r="A199" s="20" t="s">
        <v>333</v>
      </c>
      <c r="B199" s="20" t="s">
        <v>334</v>
      </c>
      <c r="C199" s="20" t="s">
        <v>76</v>
      </c>
      <c r="D199" s="20" t="s">
        <v>22</v>
      </c>
      <c r="E199" s="21">
        <f>ROUND(9545*1.05,2)</f>
      </c>
      <c r="F199" s="20" t="s">
        <v>23</v>
      </c>
      <c r="G199" s="20" t="s">
        <v>24</v>
      </c>
      <c r="H199" s="21">
        <f>ROUND(RAND()*4+6,1)</f>
      </c>
      <c r="I199" s="20" t="s">
        <v>25</v>
      </c>
      <c r="J199" s="23">
        <f>ROUND(78*1,0)&amp;"%"</f>
      </c>
    </row>
    <row x14ac:dyDescent="0.25" r="200" customHeight="1" ht="17.25">
      <c r="A200" s="17" t="s">
        <v>335</v>
      </c>
      <c r="B200" s="17" t="s">
        <v>336</v>
      </c>
      <c r="C200" s="17" t="s">
        <v>76</v>
      </c>
      <c r="D200" s="17" t="s">
        <v>28</v>
      </c>
      <c r="E200" s="18">
        <f>ROUND(4314*1.05,2)</f>
      </c>
      <c r="F200" s="17" t="s">
        <v>29</v>
      </c>
      <c r="G200" s="17" t="s">
        <v>30</v>
      </c>
      <c r="H200" s="26">
        <f>ROUND(RAND()*4+6,1)</f>
      </c>
      <c r="I200" s="17" t="s">
        <v>31</v>
      </c>
      <c r="J200" s="19">
        <f>ROUND(75*1,0)&amp;"%"</f>
      </c>
    </row>
    <row x14ac:dyDescent="0.25" r="201" customHeight="1" ht="17.25">
      <c r="A201" s="20" t="s">
        <v>337</v>
      </c>
      <c r="B201" s="20" t="s">
        <v>338</v>
      </c>
      <c r="C201" s="20" t="s">
        <v>76</v>
      </c>
      <c r="D201" s="20" t="s">
        <v>34</v>
      </c>
      <c r="E201" s="21">
        <f>ROUND(17463*1.05,2)</f>
      </c>
      <c r="F201" s="20" t="s">
        <v>35</v>
      </c>
      <c r="G201" s="20" t="s">
        <v>18</v>
      </c>
      <c r="H201" s="21">
        <f>ROUND(RAND()*4+6,1)</f>
      </c>
      <c r="I201" s="20" t="s">
        <v>36</v>
      </c>
      <c r="J201" s="23">
        <f>ROUND(98*1,0)&amp;"%"</f>
      </c>
    </row>
    <row x14ac:dyDescent="0.25" r="202" customHeight="1" ht="17.25">
      <c r="A202" s="17" t="s">
        <v>339</v>
      </c>
      <c r="B202" s="17" t="s">
        <v>340</v>
      </c>
      <c r="C202" s="17" t="s">
        <v>76</v>
      </c>
      <c r="D202" s="17" t="s">
        <v>39</v>
      </c>
      <c r="E202" s="18">
        <f>ROUND(11754*1.05,2)</f>
      </c>
      <c r="F202" s="17" t="s">
        <v>40</v>
      </c>
      <c r="G202" s="17" t="s">
        <v>24</v>
      </c>
      <c r="H202" s="26">
        <f>ROUND(RAND()*4+6,1)</f>
      </c>
      <c r="I202" s="17" t="s">
        <v>41</v>
      </c>
      <c r="J202" s="19">
        <f>ROUND(88*1,0)&amp;"%"</f>
      </c>
    </row>
    <row x14ac:dyDescent="0.25" r="203" customHeight="1" ht="17.25">
      <c r="A203" s="20" t="s">
        <v>341</v>
      </c>
      <c r="B203" s="20" t="s">
        <v>342</v>
      </c>
      <c r="C203" s="20" t="s">
        <v>76</v>
      </c>
      <c r="D203" s="20" t="s">
        <v>67</v>
      </c>
      <c r="E203" s="21">
        <f>ROUND(13726*1.05,2)</f>
      </c>
      <c r="F203" s="20" t="s">
        <v>44</v>
      </c>
      <c r="G203" s="20" t="s">
        <v>30</v>
      </c>
      <c r="H203" s="21">
        <f>ROUND(RAND()*4+6,1)</f>
      </c>
      <c r="I203" s="20" t="s">
        <v>45</v>
      </c>
      <c r="J203" s="23">
        <f>ROUND(99*1,0)&amp;"%"</f>
      </c>
    </row>
    <row x14ac:dyDescent="0.25" r="204" customHeight="1" ht="17.25">
      <c r="A204" s="17" t="s">
        <v>343</v>
      </c>
      <c r="B204" s="17" t="s">
        <v>344</v>
      </c>
      <c r="C204" s="17" t="s">
        <v>76</v>
      </c>
      <c r="D204" s="17" t="s">
        <v>16</v>
      </c>
      <c r="E204" s="18">
        <f>ROUND(12554*1.05,2)</f>
      </c>
      <c r="F204" s="17" t="s">
        <v>48</v>
      </c>
      <c r="G204" s="17" t="s">
        <v>18</v>
      </c>
      <c r="H204" s="18">
        <f>ROUND(RAND()*4+6,1)</f>
      </c>
      <c r="I204" s="17" t="s">
        <v>19</v>
      </c>
      <c r="J204" s="19">
        <f>ROUND(96*1,0)&amp;"%"</f>
      </c>
    </row>
    <row x14ac:dyDescent="0.25" r="205" customHeight="1" ht="17.25">
      <c r="A205" s="20" t="s">
        <v>345</v>
      </c>
      <c r="B205" s="20" t="s">
        <v>346</v>
      </c>
      <c r="C205" s="20" t="s">
        <v>76</v>
      </c>
      <c r="D205" s="20" t="s">
        <v>22</v>
      </c>
      <c r="E205" s="21">
        <f>ROUND(9696*1.05,2)</f>
      </c>
      <c r="F205" s="20" t="s">
        <v>51</v>
      </c>
      <c r="G205" s="20" t="s">
        <v>24</v>
      </c>
      <c r="H205" s="21">
        <f>ROUND(RAND()*4+6,1)</f>
      </c>
      <c r="I205" s="20" t="s">
        <v>25</v>
      </c>
      <c r="J205" s="23">
        <f>ROUND(76*1,0)&amp;"%"</f>
      </c>
    </row>
    <row x14ac:dyDescent="0.25" r="206" customHeight="1" ht="17.25">
      <c r="A206" s="24" t="s">
        <v>347</v>
      </c>
      <c r="B206" s="24"/>
      <c r="C206" s="24"/>
      <c r="D206" s="24"/>
      <c r="E206" s="25">
        <v>8</v>
      </c>
      <c r="F206" s="9"/>
      <c r="G206" s="9"/>
      <c r="H206" s="10"/>
      <c r="I206" s="9"/>
      <c r="J206" s="9"/>
    </row>
    <row x14ac:dyDescent="0.25" r="207" customHeight="1" ht="17.25">
      <c r="A207" s="7"/>
      <c r="B207" s="7"/>
      <c r="C207" s="7"/>
      <c r="D207" s="7"/>
      <c r="E207" s="8"/>
      <c r="F207" s="9"/>
      <c r="G207" s="9"/>
      <c r="H207" s="10"/>
      <c r="I207" s="9"/>
      <c r="J207" s="9"/>
    </row>
    <row x14ac:dyDescent="0.25" r="208" customHeight="1" ht="17.25">
      <c r="A208" s="11" t="s">
        <v>348</v>
      </c>
      <c r="B208" s="11"/>
      <c r="C208" s="11"/>
      <c r="D208" s="11"/>
      <c r="E208" s="12"/>
      <c r="F208" s="11"/>
      <c r="G208" s="11"/>
      <c r="H208" s="13"/>
      <c r="I208" s="11"/>
      <c r="J208" s="11"/>
    </row>
    <row x14ac:dyDescent="0.25" r="209" customHeight="1" ht="17.25">
      <c r="A209" s="14" t="s">
        <v>3</v>
      </c>
      <c r="B209" s="14" t="s">
        <v>4</v>
      </c>
      <c r="C209" s="14" t="s">
        <v>5</v>
      </c>
      <c r="D209" s="14" t="s">
        <v>6</v>
      </c>
      <c r="E209" s="15" t="s">
        <v>7</v>
      </c>
      <c r="F209" s="14" t="s">
        <v>8</v>
      </c>
      <c r="G209" s="14" t="s">
        <v>9</v>
      </c>
      <c r="H209" s="16" t="s">
        <v>10</v>
      </c>
      <c r="I209" s="14" t="s">
        <v>11</v>
      </c>
      <c r="J209" s="14" t="s">
        <v>12</v>
      </c>
    </row>
    <row x14ac:dyDescent="0.25" r="210" customHeight="1" ht="17.25">
      <c r="A210" s="17" t="s">
        <v>349</v>
      </c>
      <c r="B210" s="17" t="s">
        <v>350</v>
      </c>
      <c r="C210" s="17" t="s">
        <v>95</v>
      </c>
      <c r="D210" s="17" t="s">
        <v>16</v>
      </c>
      <c r="E210" s="18">
        <f>ROUND(7017*1.05,2)</f>
      </c>
      <c r="F210" s="17" t="s">
        <v>17</v>
      </c>
      <c r="G210" s="17" t="s">
        <v>18</v>
      </c>
      <c r="H210" s="18">
        <f>ROUND(RAND()*4+6,1)</f>
      </c>
      <c r="I210" s="17" t="s">
        <v>19</v>
      </c>
      <c r="J210" s="19">
        <f>ROUND(85*1,0)&amp;"%"</f>
      </c>
    </row>
    <row x14ac:dyDescent="0.25" r="211" customHeight="1" ht="17.25">
      <c r="A211" s="20" t="s">
        <v>351</v>
      </c>
      <c r="B211" s="20" t="s">
        <v>352</v>
      </c>
      <c r="C211" s="20" t="s">
        <v>95</v>
      </c>
      <c r="D211" s="20" t="s">
        <v>22</v>
      </c>
      <c r="E211" s="21">
        <f>ROUND(10496*1.05,2)</f>
      </c>
      <c r="F211" s="20" t="s">
        <v>23</v>
      </c>
      <c r="G211" s="20" t="s">
        <v>24</v>
      </c>
      <c r="H211" s="22">
        <f>ROUND(RAND()*4+6,1)</f>
      </c>
      <c r="I211" s="20" t="s">
        <v>25</v>
      </c>
      <c r="J211" s="23">
        <f>ROUND(69*1,0)&amp;"%"</f>
      </c>
    </row>
    <row x14ac:dyDescent="0.25" r="212" customHeight="1" ht="17.25">
      <c r="A212" s="17" t="s">
        <v>353</v>
      </c>
      <c r="B212" s="17" t="s">
        <v>354</v>
      </c>
      <c r="C212" s="17" t="s">
        <v>95</v>
      </c>
      <c r="D212" s="17" t="s">
        <v>28</v>
      </c>
      <c r="E212" s="18">
        <f>ROUND(5917*1.05,2)</f>
      </c>
      <c r="F212" s="17" t="s">
        <v>29</v>
      </c>
      <c r="G212" s="17" t="s">
        <v>30</v>
      </c>
      <c r="H212" s="18">
        <f>ROUND(RAND()*4+6,1)</f>
      </c>
      <c r="I212" s="17" t="s">
        <v>31</v>
      </c>
      <c r="J212" s="19">
        <f>ROUND(84*1,0)&amp;"%"</f>
      </c>
    </row>
    <row x14ac:dyDescent="0.25" r="213" customHeight="1" ht="17.25">
      <c r="A213" s="20" t="s">
        <v>355</v>
      </c>
      <c r="B213" s="20" t="s">
        <v>356</v>
      </c>
      <c r="C213" s="20" t="s">
        <v>95</v>
      </c>
      <c r="D213" s="20" t="s">
        <v>34</v>
      </c>
      <c r="E213" s="21">
        <f>ROUND(17061*1.05,2)</f>
      </c>
      <c r="F213" s="20" t="s">
        <v>35</v>
      </c>
      <c r="G213" s="20" t="s">
        <v>18</v>
      </c>
      <c r="H213" s="21">
        <f>ROUND(RAND()*4+6,1)</f>
      </c>
      <c r="I213" s="20" t="s">
        <v>36</v>
      </c>
      <c r="J213" s="23">
        <f>ROUND(95*1,0)&amp;"%"</f>
      </c>
    </row>
    <row x14ac:dyDescent="0.25" r="214" customHeight="1" ht="17.25">
      <c r="A214" s="17" t="s">
        <v>357</v>
      </c>
      <c r="B214" s="17" t="s">
        <v>358</v>
      </c>
      <c r="C214" s="17" t="s">
        <v>95</v>
      </c>
      <c r="D214" s="17" t="s">
        <v>39</v>
      </c>
      <c r="E214" s="18">
        <f>ROUND(13244*1.05,2)</f>
      </c>
      <c r="F214" s="17" t="s">
        <v>40</v>
      </c>
      <c r="G214" s="17" t="s">
        <v>24</v>
      </c>
      <c r="H214" s="18">
        <f>ROUND(RAND()*4+6,1)</f>
      </c>
      <c r="I214" s="17" t="s">
        <v>41</v>
      </c>
      <c r="J214" s="19">
        <f>ROUND(77*1,0)&amp;"%"</f>
      </c>
    </row>
    <row x14ac:dyDescent="0.25" r="215" customHeight="1" ht="17.25">
      <c r="A215" s="20" t="s">
        <v>359</v>
      </c>
      <c r="B215" s="20" t="s">
        <v>360</v>
      </c>
      <c r="C215" s="20" t="s">
        <v>95</v>
      </c>
      <c r="D215" s="20" t="s">
        <v>67</v>
      </c>
      <c r="E215" s="21">
        <f>ROUND(12932*1.05,2)</f>
      </c>
      <c r="F215" s="20" t="s">
        <v>44</v>
      </c>
      <c r="G215" s="20" t="s">
        <v>30</v>
      </c>
      <c r="H215" s="21">
        <f>ROUND(RAND()*4+6,1)</f>
      </c>
      <c r="I215" s="20" t="s">
        <v>45</v>
      </c>
      <c r="J215" s="23">
        <f>ROUND(68*1,0)&amp;"%"</f>
      </c>
    </row>
    <row x14ac:dyDescent="0.25" r="216" customHeight="1" ht="17.25">
      <c r="A216" s="17" t="s">
        <v>361</v>
      </c>
      <c r="B216" s="17" t="s">
        <v>362</v>
      </c>
      <c r="C216" s="17" t="s">
        <v>95</v>
      </c>
      <c r="D216" s="17" t="s">
        <v>16</v>
      </c>
      <c r="E216" s="18">
        <f>ROUND(7752*1.05,2)</f>
      </c>
      <c r="F216" s="17" t="s">
        <v>48</v>
      </c>
      <c r="G216" s="17" t="s">
        <v>18</v>
      </c>
      <c r="H216" s="18">
        <f>ROUND(RAND()*4+6,1)</f>
      </c>
      <c r="I216" s="17" t="s">
        <v>19</v>
      </c>
      <c r="J216" s="19">
        <f>ROUND(72*1,0)&amp;"%"</f>
      </c>
    </row>
    <row x14ac:dyDescent="0.25" r="217" customHeight="1" ht="17.25">
      <c r="A217" s="20" t="s">
        <v>363</v>
      </c>
      <c r="B217" s="20" t="s">
        <v>364</v>
      </c>
      <c r="C217" s="20" t="s">
        <v>95</v>
      </c>
      <c r="D217" s="20" t="s">
        <v>22</v>
      </c>
      <c r="E217" s="21">
        <f>ROUND(7054*1.05,2)</f>
      </c>
      <c r="F217" s="20" t="s">
        <v>51</v>
      </c>
      <c r="G217" s="20" t="s">
        <v>24</v>
      </c>
      <c r="H217" s="21">
        <f>ROUND(RAND()*4+6,1)</f>
      </c>
      <c r="I217" s="20" t="s">
        <v>25</v>
      </c>
      <c r="J217" s="23">
        <f>ROUND(76*1,0)&amp;"%"</f>
      </c>
    </row>
    <row x14ac:dyDescent="0.25" r="218" customHeight="1" ht="17.25">
      <c r="A218" s="24" t="s">
        <v>365</v>
      </c>
      <c r="B218" s="24"/>
      <c r="C218" s="24"/>
      <c r="D218" s="24"/>
      <c r="E218" s="25">
        <v>8</v>
      </c>
      <c r="F218" s="9"/>
      <c r="G218" s="9"/>
      <c r="H218" s="10"/>
      <c r="I218" s="9"/>
      <c r="J218" s="9"/>
    </row>
    <row x14ac:dyDescent="0.25" r="219" customHeight="1" ht="17.25">
      <c r="A219" s="7"/>
      <c r="B219" s="7"/>
      <c r="C219" s="7"/>
      <c r="D219" s="7"/>
      <c r="E219" s="8"/>
      <c r="F219" s="9"/>
      <c r="G219" s="9"/>
      <c r="H219" s="10"/>
      <c r="I219" s="9"/>
      <c r="J219" s="9"/>
    </row>
    <row x14ac:dyDescent="0.25" r="220" customHeight="1" ht="17.25">
      <c r="A220" s="11" t="s">
        <v>366</v>
      </c>
      <c r="B220" s="11"/>
      <c r="C220" s="11"/>
      <c r="D220" s="11"/>
      <c r="E220" s="12"/>
      <c r="F220" s="11"/>
      <c r="G220" s="11"/>
      <c r="H220" s="13"/>
      <c r="I220" s="11"/>
      <c r="J220" s="11"/>
    </row>
    <row x14ac:dyDescent="0.25" r="221" customHeight="1" ht="17.25">
      <c r="A221" s="14" t="s">
        <v>3</v>
      </c>
      <c r="B221" s="14" t="s">
        <v>4</v>
      </c>
      <c r="C221" s="14" t="s">
        <v>5</v>
      </c>
      <c r="D221" s="14" t="s">
        <v>6</v>
      </c>
      <c r="E221" s="15" t="s">
        <v>7</v>
      </c>
      <c r="F221" s="14" t="s">
        <v>8</v>
      </c>
      <c r="G221" s="14" t="s">
        <v>9</v>
      </c>
      <c r="H221" s="16" t="s">
        <v>10</v>
      </c>
      <c r="I221" s="14" t="s">
        <v>11</v>
      </c>
      <c r="J221" s="14" t="s">
        <v>12</v>
      </c>
    </row>
    <row x14ac:dyDescent="0.25" r="222" customHeight="1" ht="17.25">
      <c r="A222" s="17" t="s">
        <v>367</v>
      </c>
      <c r="B222" s="17" t="s">
        <v>368</v>
      </c>
      <c r="C222" s="17" t="s">
        <v>114</v>
      </c>
      <c r="D222" s="17" t="s">
        <v>16</v>
      </c>
      <c r="E222" s="18">
        <f>ROUND(4807*1.05,2)</f>
      </c>
      <c r="F222" s="17" t="s">
        <v>17</v>
      </c>
      <c r="G222" s="17" t="s">
        <v>18</v>
      </c>
      <c r="H222" s="18">
        <f>ROUND(RAND()*4+6,1)</f>
      </c>
      <c r="I222" s="17" t="s">
        <v>19</v>
      </c>
      <c r="J222" s="19">
        <f>ROUND(88*1,0)&amp;"%"</f>
      </c>
    </row>
    <row x14ac:dyDescent="0.25" r="223" customHeight="1" ht="17.25">
      <c r="A223" s="20" t="s">
        <v>369</v>
      </c>
      <c r="B223" s="20" t="s">
        <v>370</v>
      </c>
      <c r="C223" s="20" t="s">
        <v>114</v>
      </c>
      <c r="D223" s="20" t="s">
        <v>22</v>
      </c>
      <c r="E223" s="21">
        <f>ROUND(9811*1.05,2)</f>
      </c>
      <c r="F223" s="20" t="s">
        <v>23</v>
      </c>
      <c r="G223" s="20" t="s">
        <v>24</v>
      </c>
      <c r="H223" s="21">
        <f>ROUND(RAND()*4+6,1)</f>
      </c>
      <c r="I223" s="20" t="s">
        <v>25</v>
      </c>
      <c r="J223" s="23">
        <f>ROUND(95*1,0)&amp;"%"</f>
      </c>
    </row>
    <row x14ac:dyDescent="0.25" r="224" customHeight="1" ht="17.25">
      <c r="A224" s="17" t="s">
        <v>371</v>
      </c>
      <c r="B224" s="17" t="s">
        <v>372</v>
      </c>
      <c r="C224" s="17" t="s">
        <v>114</v>
      </c>
      <c r="D224" s="17" t="s">
        <v>28</v>
      </c>
      <c r="E224" s="26">
        <f>ROUND(7140*1.05,2)</f>
      </c>
      <c r="F224" s="17" t="s">
        <v>29</v>
      </c>
      <c r="G224" s="17" t="s">
        <v>30</v>
      </c>
      <c r="H224" s="18">
        <f>ROUND(RAND()*4+6,1)</f>
      </c>
      <c r="I224" s="17" t="s">
        <v>31</v>
      </c>
      <c r="J224" s="19">
        <f>ROUND(64*1,0)&amp;"%"</f>
      </c>
    </row>
    <row x14ac:dyDescent="0.25" r="225" customHeight="1" ht="17.25">
      <c r="A225" s="20" t="s">
        <v>373</v>
      </c>
      <c r="B225" s="20" t="s">
        <v>374</v>
      </c>
      <c r="C225" s="20" t="s">
        <v>114</v>
      </c>
      <c r="D225" s="20" t="s">
        <v>34</v>
      </c>
      <c r="E225" s="21">
        <f>ROUND(15543*1.05,2)</f>
      </c>
      <c r="F225" s="20" t="s">
        <v>35</v>
      </c>
      <c r="G225" s="20" t="s">
        <v>18</v>
      </c>
      <c r="H225" s="21">
        <f>ROUND(RAND()*4+6,1)</f>
      </c>
      <c r="I225" s="20" t="s">
        <v>36</v>
      </c>
      <c r="J225" s="23">
        <f>ROUND(94*1,0)&amp;"%"</f>
      </c>
    </row>
    <row x14ac:dyDescent="0.25" r="226" customHeight="1" ht="17.25">
      <c r="A226" s="17" t="s">
        <v>375</v>
      </c>
      <c r="B226" s="17" t="s">
        <v>376</v>
      </c>
      <c r="C226" s="17" t="s">
        <v>114</v>
      </c>
      <c r="D226" s="17" t="s">
        <v>39</v>
      </c>
      <c r="E226" s="18">
        <f>ROUND(5607*1.05,2)</f>
      </c>
      <c r="F226" s="17" t="s">
        <v>40</v>
      </c>
      <c r="G226" s="17" t="s">
        <v>24</v>
      </c>
      <c r="H226" s="26">
        <f>ROUND(RAND()*4+6,1)</f>
      </c>
      <c r="I226" s="17" t="s">
        <v>41</v>
      </c>
      <c r="J226" s="19">
        <f>ROUND(88*1,0)&amp;"%"</f>
      </c>
    </row>
    <row x14ac:dyDescent="0.25" r="227" customHeight="1" ht="17.25">
      <c r="A227" s="20" t="s">
        <v>377</v>
      </c>
      <c r="B227" s="20" t="s">
        <v>378</v>
      </c>
      <c r="C227" s="20" t="s">
        <v>114</v>
      </c>
      <c r="D227" s="20" t="s">
        <v>67</v>
      </c>
      <c r="E227" s="22">
        <f>ROUND(14320*1.05,2)</f>
      </c>
      <c r="F227" s="20" t="s">
        <v>44</v>
      </c>
      <c r="G227" s="20" t="s">
        <v>30</v>
      </c>
      <c r="H227" s="21">
        <f>ROUND(RAND()*4+6,1)</f>
      </c>
      <c r="I227" s="20" t="s">
        <v>45</v>
      </c>
      <c r="J227" s="23">
        <f>ROUND(77*1,0)&amp;"%"</f>
      </c>
    </row>
    <row x14ac:dyDescent="0.25" r="228" customHeight="1" ht="17.25">
      <c r="A228" s="17" t="s">
        <v>379</v>
      </c>
      <c r="B228" s="17" t="s">
        <v>380</v>
      </c>
      <c r="C228" s="17" t="s">
        <v>114</v>
      </c>
      <c r="D228" s="17" t="s">
        <v>16</v>
      </c>
      <c r="E228" s="18">
        <f>ROUND(16299*1.05,2)</f>
      </c>
      <c r="F228" s="17" t="s">
        <v>48</v>
      </c>
      <c r="G228" s="17" t="s">
        <v>18</v>
      </c>
      <c r="H228" s="26">
        <f>ROUND(RAND()*4+6,1)</f>
      </c>
      <c r="I228" s="17" t="s">
        <v>19</v>
      </c>
      <c r="J228" s="19">
        <f>ROUND(86*1,0)&amp;"%"</f>
      </c>
    </row>
    <row x14ac:dyDescent="0.25" r="229" customHeight="1" ht="17.25">
      <c r="A229" s="20" t="s">
        <v>381</v>
      </c>
      <c r="B229" s="20" t="s">
        <v>382</v>
      </c>
      <c r="C229" s="20" t="s">
        <v>114</v>
      </c>
      <c r="D229" s="20" t="s">
        <v>22</v>
      </c>
      <c r="E229" s="22">
        <f>ROUND(6200*1.05,2)</f>
      </c>
      <c r="F229" s="20" t="s">
        <v>51</v>
      </c>
      <c r="G229" s="20" t="s">
        <v>24</v>
      </c>
      <c r="H229" s="21">
        <f>ROUND(RAND()*4+6,1)</f>
      </c>
      <c r="I229" s="20" t="s">
        <v>25</v>
      </c>
      <c r="J229" s="23">
        <f>ROUND(73*1,0)&amp;"%"</f>
      </c>
    </row>
    <row x14ac:dyDescent="0.25" r="230" customHeight="1" ht="17.25">
      <c r="A230" s="24" t="s">
        <v>383</v>
      </c>
      <c r="B230" s="24"/>
      <c r="C230" s="24"/>
      <c r="D230" s="24"/>
      <c r="E230" s="25">
        <v>8</v>
      </c>
      <c r="F230" s="9"/>
      <c r="G230" s="9"/>
      <c r="H230" s="10"/>
      <c r="I230" s="9"/>
      <c r="J230" s="9"/>
    </row>
    <row x14ac:dyDescent="0.25" r="231" customHeight="1" ht="17.25">
      <c r="A231" s="7"/>
      <c r="B231" s="7"/>
      <c r="C231" s="7"/>
      <c r="D231" s="7"/>
      <c r="E231" s="8"/>
      <c r="F231" s="9"/>
      <c r="G231" s="9"/>
      <c r="H231" s="10"/>
      <c r="I231" s="9"/>
      <c r="J231" s="9"/>
    </row>
    <row x14ac:dyDescent="0.25" r="232" customHeight="1" ht="17.25">
      <c r="A232" s="11" t="s">
        <v>384</v>
      </c>
      <c r="B232" s="11"/>
      <c r="C232" s="11"/>
      <c r="D232" s="11"/>
      <c r="E232" s="12"/>
      <c r="F232" s="11"/>
      <c r="G232" s="11"/>
      <c r="H232" s="13"/>
      <c r="I232" s="11"/>
      <c r="J232" s="11"/>
    </row>
    <row x14ac:dyDescent="0.25" r="233" customHeight="1" ht="17.25">
      <c r="A233" s="14" t="s">
        <v>3</v>
      </c>
      <c r="B233" s="14" t="s">
        <v>4</v>
      </c>
      <c r="C233" s="14" t="s">
        <v>5</v>
      </c>
      <c r="D233" s="14" t="s">
        <v>6</v>
      </c>
      <c r="E233" s="15" t="s">
        <v>7</v>
      </c>
      <c r="F233" s="14" t="s">
        <v>8</v>
      </c>
      <c r="G233" s="14" t="s">
        <v>9</v>
      </c>
      <c r="H233" s="16" t="s">
        <v>10</v>
      </c>
      <c r="I233" s="14" t="s">
        <v>11</v>
      </c>
      <c r="J233" s="14" t="s">
        <v>12</v>
      </c>
    </row>
    <row x14ac:dyDescent="0.25" r="234" customHeight="1" ht="17.25">
      <c r="A234" s="17" t="s">
        <v>385</v>
      </c>
      <c r="B234" s="17" t="s">
        <v>386</v>
      </c>
      <c r="C234" s="17" t="s">
        <v>133</v>
      </c>
      <c r="D234" s="17" t="s">
        <v>16</v>
      </c>
      <c r="E234" s="26">
        <f>ROUND(9220*1.05,2)</f>
      </c>
      <c r="F234" s="17" t="s">
        <v>17</v>
      </c>
      <c r="G234" s="17" t="s">
        <v>18</v>
      </c>
      <c r="H234" s="18">
        <f>ROUND(RAND()*4+6,1)</f>
      </c>
      <c r="I234" s="17" t="s">
        <v>19</v>
      </c>
      <c r="J234" s="19">
        <f>ROUND(85*1,0)&amp;"%"</f>
      </c>
    </row>
    <row x14ac:dyDescent="0.25" r="235" customHeight="1" ht="17.25">
      <c r="A235" s="20" t="s">
        <v>387</v>
      </c>
      <c r="B235" s="20" t="s">
        <v>388</v>
      </c>
      <c r="C235" s="20" t="s">
        <v>133</v>
      </c>
      <c r="D235" s="20" t="s">
        <v>22</v>
      </c>
      <c r="E235" s="21">
        <f>ROUND(14666*1.05,2)</f>
      </c>
      <c r="F235" s="20" t="s">
        <v>23</v>
      </c>
      <c r="G235" s="20" t="s">
        <v>24</v>
      </c>
      <c r="H235" s="21">
        <f>ROUND(RAND()*4+6,1)</f>
      </c>
      <c r="I235" s="20" t="s">
        <v>25</v>
      </c>
      <c r="J235" s="23">
        <f>ROUND(65*1,0)&amp;"%"</f>
      </c>
    </row>
    <row x14ac:dyDescent="0.25" r="236" customHeight="1" ht="17.25">
      <c r="A236" s="17" t="s">
        <v>389</v>
      </c>
      <c r="B236" s="17" t="s">
        <v>390</v>
      </c>
      <c r="C236" s="17" t="s">
        <v>133</v>
      </c>
      <c r="D236" s="17" t="s">
        <v>28</v>
      </c>
      <c r="E236" s="18">
        <f>ROUND(4683*1.05,2)</f>
      </c>
      <c r="F236" s="17" t="s">
        <v>29</v>
      </c>
      <c r="G236" s="17" t="s">
        <v>30</v>
      </c>
      <c r="H236" s="18">
        <f>ROUND(RAND()*4+6,1)</f>
      </c>
      <c r="I236" s="17" t="s">
        <v>31</v>
      </c>
      <c r="J236" s="19">
        <f>ROUND(94*1,0)&amp;"%"</f>
      </c>
    </row>
    <row x14ac:dyDescent="0.25" r="237" customHeight="1" ht="17.25">
      <c r="A237" s="20" t="s">
        <v>391</v>
      </c>
      <c r="B237" s="20" t="s">
        <v>392</v>
      </c>
      <c r="C237" s="20" t="s">
        <v>133</v>
      </c>
      <c r="D237" s="20" t="s">
        <v>34</v>
      </c>
      <c r="E237" s="22">
        <f>ROUND(9400*1.05,2)</f>
      </c>
      <c r="F237" s="20" t="s">
        <v>35</v>
      </c>
      <c r="G237" s="20" t="s">
        <v>18</v>
      </c>
      <c r="H237" s="21">
        <f>ROUND(RAND()*4+6,1)</f>
      </c>
      <c r="I237" s="20" t="s">
        <v>36</v>
      </c>
      <c r="J237" s="23">
        <f>ROUND(99*1,0)&amp;"%"</f>
      </c>
    </row>
    <row x14ac:dyDescent="0.25" r="238" customHeight="1" ht="17.25">
      <c r="A238" s="17" t="s">
        <v>393</v>
      </c>
      <c r="B238" s="17" t="s">
        <v>394</v>
      </c>
      <c r="C238" s="17" t="s">
        <v>133</v>
      </c>
      <c r="D238" s="17" t="s">
        <v>39</v>
      </c>
      <c r="E238" s="18">
        <f>ROUND(16564*1.05,2)</f>
      </c>
      <c r="F238" s="17" t="s">
        <v>40</v>
      </c>
      <c r="G238" s="17" t="s">
        <v>24</v>
      </c>
      <c r="H238" s="18">
        <f>ROUND(RAND()*4+6,1)</f>
      </c>
      <c r="I238" s="17" t="s">
        <v>41</v>
      </c>
      <c r="J238" s="19">
        <f>ROUND(86*1,0)&amp;"%"</f>
      </c>
    </row>
    <row x14ac:dyDescent="0.25" r="239" customHeight="1" ht="17.25">
      <c r="A239" s="20" t="s">
        <v>395</v>
      </c>
      <c r="B239" s="20" t="s">
        <v>396</v>
      </c>
      <c r="C239" s="20" t="s">
        <v>133</v>
      </c>
      <c r="D239" s="20" t="s">
        <v>67</v>
      </c>
      <c r="E239" s="21">
        <f>ROUND(16712*1.05,2)</f>
      </c>
      <c r="F239" s="20" t="s">
        <v>44</v>
      </c>
      <c r="G239" s="20" t="s">
        <v>30</v>
      </c>
      <c r="H239" s="21">
        <f>ROUND(RAND()*4+6,1)</f>
      </c>
      <c r="I239" s="20" t="s">
        <v>45</v>
      </c>
      <c r="J239" s="23">
        <f>ROUND(70*1,0)&amp;"%"</f>
      </c>
    </row>
    <row x14ac:dyDescent="0.25" r="240" customHeight="1" ht="17.25">
      <c r="A240" s="17" t="s">
        <v>397</v>
      </c>
      <c r="B240" s="17" t="s">
        <v>398</v>
      </c>
      <c r="C240" s="17" t="s">
        <v>133</v>
      </c>
      <c r="D240" s="17" t="s">
        <v>16</v>
      </c>
      <c r="E240" s="18">
        <f>ROUND(14734*1.05,2)</f>
      </c>
      <c r="F240" s="17" t="s">
        <v>48</v>
      </c>
      <c r="G240" s="17" t="s">
        <v>18</v>
      </c>
      <c r="H240" s="26">
        <f>ROUND(RAND()*4+6,1)</f>
      </c>
      <c r="I240" s="17" t="s">
        <v>19</v>
      </c>
      <c r="J240" s="19">
        <f>ROUND(77*1,0)&amp;"%"</f>
      </c>
    </row>
    <row x14ac:dyDescent="0.25" r="241" customHeight="1" ht="17.25">
      <c r="A241" s="20" t="s">
        <v>399</v>
      </c>
      <c r="B241" s="20" t="s">
        <v>400</v>
      </c>
      <c r="C241" s="20" t="s">
        <v>133</v>
      </c>
      <c r="D241" s="20" t="s">
        <v>22</v>
      </c>
      <c r="E241" s="21">
        <f>ROUND(4581*1.05,2)</f>
      </c>
      <c r="F241" s="20" t="s">
        <v>51</v>
      </c>
      <c r="G241" s="20" t="s">
        <v>24</v>
      </c>
      <c r="H241" s="21">
        <f>ROUND(RAND()*4+6,1)</f>
      </c>
      <c r="I241" s="20" t="s">
        <v>25</v>
      </c>
      <c r="J241" s="23">
        <f>ROUND(65*1,0)&amp;"%"</f>
      </c>
    </row>
    <row x14ac:dyDescent="0.25" r="242" customHeight="1" ht="17.25">
      <c r="A242" s="24" t="s">
        <v>401</v>
      </c>
      <c r="B242" s="24"/>
      <c r="C242" s="24"/>
      <c r="D242" s="24"/>
      <c r="E242" s="25">
        <v>8</v>
      </c>
      <c r="F242" s="9"/>
      <c r="G242" s="9"/>
      <c r="H242" s="10"/>
      <c r="I242" s="9"/>
      <c r="J242" s="9"/>
    </row>
    <row x14ac:dyDescent="0.25" r="243" customHeight="1" ht="17.25">
      <c r="A243" s="7"/>
      <c r="B243" s="7"/>
      <c r="C243" s="7"/>
      <c r="D243" s="7"/>
      <c r="E243" s="8"/>
      <c r="F243" s="9"/>
      <c r="G243" s="9"/>
      <c r="H243" s="10"/>
      <c r="I243" s="9"/>
      <c r="J243" s="9"/>
    </row>
    <row x14ac:dyDescent="0.25" r="244" customHeight="1" ht="17.25">
      <c r="A244" s="11" t="s">
        <v>402</v>
      </c>
      <c r="B244" s="11"/>
      <c r="C244" s="11"/>
      <c r="D244" s="11"/>
      <c r="E244" s="12"/>
      <c r="F244" s="11"/>
      <c r="G244" s="11"/>
      <c r="H244" s="13"/>
      <c r="I244" s="11"/>
      <c r="J244" s="11"/>
    </row>
    <row x14ac:dyDescent="0.25" r="245" customHeight="1" ht="17.25">
      <c r="A245" s="14" t="s">
        <v>3</v>
      </c>
      <c r="B245" s="14" t="s">
        <v>4</v>
      </c>
      <c r="C245" s="14" t="s">
        <v>5</v>
      </c>
      <c r="D245" s="14" t="s">
        <v>6</v>
      </c>
      <c r="E245" s="15" t="s">
        <v>7</v>
      </c>
      <c r="F245" s="14" t="s">
        <v>8</v>
      </c>
      <c r="G245" s="14" t="s">
        <v>9</v>
      </c>
      <c r="H245" s="16" t="s">
        <v>10</v>
      </c>
      <c r="I245" s="14" t="s">
        <v>11</v>
      </c>
      <c r="J245" s="14" t="s">
        <v>12</v>
      </c>
    </row>
    <row x14ac:dyDescent="0.25" r="246" customHeight="1" ht="17.25">
      <c r="A246" s="17" t="s">
        <v>403</v>
      </c>
      <c r="B246" s="17" t="s">
        <v>404</v>
      </c>
      <c r="C246" s="17" t="s">
        <v>152</v>
      </c>
      <c r="D246" s="17" t="s">
        <v>16</v>
      </c>
      <c r="E246" s="18">
        <f>ROUND(11743*1.05,2)</f>
      </c>
      <c r="F246" s="17" t="s">
        <v>17</v>
      </c>
      <c r="G246" s="17" t="s">
        <v>18</v>
      </c>
      <c r="H246" s="18">
        <f>ROUND(RAND()*4+6,1)</f>
      </c>
      <c r="I246" s="17" t="s">
        <v>19</v>
      </c>
      <c r="J246" s="19">
        <f>ROUND(87*1,0)&amp;"%"</f>
      </c>
    </row>
    <row x14ac:dyDescent="0.25" r="247" customHeight="1" ht="17.25">
      <c r="A247" s="20" t="s">
        <v>405</v>
      </c>
      <c r="B247" s="20" t="s">
        <v>406</v>
      </c>
      <c r="C247" s="20" t="s">
        <v>152</v>
      </c>
      <c r="D247" s="20" t="s">
        <v>22</v>
      </c>
      <c r="E247" s="21">
        <f>ROUND(8499*1.05,2)</f>
      </c>
      <c r="F247" s="20" t="s">
        <v>23</v>
      </c>
      <c r="G247" s="20" t="s">
        <v>24</v>
      </c>
      <c r="H247" s="21">
        <f>ROUND(RAND()*4+6,1)</f>
      </c>
      <c r="I247" s="20" t="s">
        <v>25</v>
      </c>
      <c r="J247" s="23">
        <f>ROUND(78*1,0)&amp;"%"</f>
      </c>
    </row>
    <row x14ac:dyDescent="0.25" r="248" customHeight="1" ht="17.25">
      <c r="A248" s="17" t="s">
        <v>407</v>
      </c>
      <c r="B248" s="17" t="s">
        <v>408</v>
      </c>
      <c r="C248" s="17" t="s">
        <v>152</v>
      </c>
      <c r="D248" s="17" t="s">
        <v>28</v>
      </c>
      <c r="E248" s="18">
        <f>ROUND(17610*1.05,2)</f>
      </c>
      <c r="F248" s="17" t="s">
        <v>29</v>
      </c>
      <c r="G248" s="17" t="s">
        <v>30</v>
      </c>
      <c r="H248" s="18">
        <f>ROUND(RAND()*4+6,1)</f>
      </c>
      <c r="I248" s="17" t="s">
        <v>31</v>
      </c>
      <c r="J248" s="19">
        <f>ROUND(82*1,0)&amp;"%"</f>
      </c>
    </row>
    <row x14ac:dyDescent="0.25" r="249" customHeight="1" ht="17.25">
      <c r="A249" s="20" t="s">
        <v>409</v>
      </c>
      <c r="B249" s="20" t="s">
        <v>410</v>
      </c>
      <c r="C249" s="20" t="s">
        <v>152</v>
      </c>
      <c r="D249" s="20" t="s">
        <v>34</v>
      </c>
      <c r="E249" s="21">
        <f>ROUND(4309*1.05,2)</f>
      </c>
      <c r="F249" s="20" t="s">
        <v>35</v>
      </c>
      <c r="G249" s="20" t="s">
        <v>18</v>
      </c>
      <c r="H249" s="21">
        <f>ROUND(RAND()*4+6,1)</f>
      </c>
      <c r="I249" s="20" t="s">
        <v>36</v>
      </c>
      <c r="J249" s="23">
        <f>ROUND(85*1,0)&amp;"%"</f>
      </c>
    </row>
    <row x14ac:dyDescent="0.25" r="250" customHeight="1" ht="17.25">
      <c r="A250" s="17" t="s">
        <v>411</v>
      </c>
      <c r="B250" s="17" t="s">
        <v>412</v>
      </c>
      <c r="C250" s="17" t="s">
        <v>152</v>
      </c>
      <c r="D250" s="17" t="s">
        <v>39</v>
      </c>
      <c r="E250" s="18">
        <f>ROUND(6184*1.05,2)</f>
      </c>
      <c r="F250" s="17" t="s">
        <v>40</v>
      </c>
      <c r="G250" s="17" t="s">
        <v>24</v>
      </c>
      <c r="H250" s="18">
        <f>ROUND(RAND()*4+6,1)</f>
      </c>
      <c r="I250" s="17" t="s">
        <v>41</v>
      </c>
      <c r="J250" s="19">
        <f>ROUND(80*1,0)&amp;"%"</f>
      </c>
    </row>
    <row x14ac:dyDescent="0.25" r="251" customHeight="1" ht="17.25">
      <c r="A251" s="20" t="s">
        <v>413</v>
      </c>
      <c r="B251" s="20" t="s">
        <v>414</v>
      </c>
      <c r="C251" s="20" t="s">
        <v>152</v>
      </c>
      <c r="D251" s="20" t="s">
        <v>67</v>
      </c>
      <c r="E251" s="21">
        <f>ROUND(4367*1.05,2)</f>
      </c>
      <c r="F251" s="20" t="s">
        <v>44</v>
      </c>
      <c r="G251" s="20" t="s">
        <v>30</v>
      </c>
      <c r="H251" s="21">
        <f>ROUND(RAND()*4+6,1)</f>
      </c>
      <c r="I251" s="20" t="s">
        <v>45</v>
      </c>
      <c r="J251" s="23">
        <f>ROUND(90*1,0)&amp;"%"</f>
      </c>
    </row>
    <row x14ac:dyDescent="0.25" r="252" customHeight="1" ht="17.25">
      <c r="A252" s="17" t="s">
        <v>415</v>
      </c>
      <c r="B252" s="17" t="s">
        <v>416</v>
      </c>
      <c r="C252" s="17" t="s">
        <v>152</v>
      </c>
      <c r="D252" s="17" t="s">
        <v>16</v>
      </c>
      <c r="E252" s="18">
        <f>ROUND(7791*1.05,2)</f>
      </c>
      <c r="F252" s="17" t="s">
        <v>48</v>
      </c>
      <c r="G252" s="17" t="s">
        <v>18</v>
      </c>
      <c r="H252" s="18">
        <f>ROUND(RAND()*4+6,1)</f>
      </c>
      <c r="I252" s="17" t="s">
        <v>19</v>
      </c>
      <c r="J252" s="19">
        <f>ROUND(81*1,0)&amp;"%"</f>
      </c>
    </row>
    <row x14ac:dyDescent="0.25" r="253" customHeight="1" ht="17.25">
      <c r="A253" s="20" t="s">
        <v>417</v>
      </c>
      <c r="B253" s="20" t="s">
        <v>418</v>
      </c>
      <c r="C253" s="20" t="s">
        <v>152</v>
      </c>
      <c r="D253" s="20" t="s">
        <v>22</v>
      </c>
      <c r="E253" s="21">
        <f>ROUND(16325*1.05,2)</f>
      </c>
      <c r="F253" s="20" t="s">
        <v>51</v>
      </c>
      <c r="G253" s="20" t="s">
        <v>24</v>
      </c>
      <c r="H253" s="21">
        <f>ROUND(RAND()*4+6,1)</f>
      </c>
      <c r="I253" s="20" t="s">
        <v>25</v>
      </c>
      <c r="J253" s="23">
        <f>ROUND(66*1,0)&amp;"%"</f>
      </c>
    </row>
    <row x14ac:dyDescent="0.25" r="254" customHeight="1" ht="17.25">
      <c r="A254" s="24" t="s">
        <v>419</v>
      </c>
      <c r="B254" s="24"/>
      <c r="C254" s="24"/>
      <c r="D254" s="24"/>
      <c r="E254" s="25">
        <v>8</v>
      </c>
      <c r="F254" s="9"/>
      <c r="G254" s="9"/>
      <c r="H254" s="10"/>
      <c r="I254" s="9"/>
      <c r="J254" s="9"/>
    </row>
    <row x14ac:dyDescent="0.25" r="255" customHeight="1" ht="17.25">
      <c r="A255" s="7"/>
      <c r="B255" s="7"/>
      <c r="C255" s="7"/>
      <c r="D255" s="7"/>
      <c r="E255" s="8"/>
      <c r="F255" s="9"/>
      <c r="G255" s="9"/>
      <c r="H255" s="10"/>
      <c r="I255" s="9"/>
      <c r="J255" s="9"/>
    </row>
    <row x14ac:dyDescent="0.25" r="256" customHeight="1" ht="17.25">
      <c r="A256" s="11" t="s">
        <v>420</v>
      </c>
      <c r="B256" s="11"/>
      <c r="C256" s="11"/>
      <c r="D256" s="11"/>
      <c r="E256" s="12"/>
      <c r="F256" s="11"/>
      <c r="G256" s="11"/>
      <c r="H256" s="13"/>
      <c r="I256" s="11"/>
      <c r="J256" s="11"/>
    </row>
    <row x14ac:dyDescent="0.25" r="257" customHeight="1" ht="17.25">
      <c r="A257" s="14" t="s">
        <v>3</v>
      </c>
      <c r="B257" s="14" t="s">
        <v>4</v>
      </c>
      <c r="C257" s="14" t="s">
        <v>5</v>
      </c>
      <c r="D257" s="14" t="s">
        <v>6</v>
      </c>
      <c r="E257" s="15" t="s">
        <v>7</v>
      </c>
      <c r="F257" s="14" t="s">
        <v>8</v>
      </c>
      <c r="G257" s="14" t="s">
        <v>9</v>
      </c>
      <c r="H257" s="16" t="s">
        <v>10</v>
      </c>
      <c r="I257" s="14" t="s">
        <v>11</v>
      </c>
      <c r="J257" s="14" t="s">
        <v>12</v>
      </c>
    </row>
    <row x14ac:dyDescent="0.25" r="258" customHeight="1" ht="17.25">
      <c r="A258" s="17" t="s">
        <v>421</v>
      </c>
      <c r="B258" s="17" t="s">
        <v>422</v>
      </c>
      <c r="C258" s="17" t="s">
        <v>15</v>
      </c>
      <c r="D258" s="17" t="s">
        <v>16</v>
      </c>
      <c r="E258" s="18">
        <f>ROUND(16226*1.05,2)</f>
      </c>
      <c r="F258" s="17" t="s">
        <v>17</v>
      </c>
      <c r="G258" s="17" t="s">
        <v>18</v>
      </c>
      <c r="H258" s="18">
        <f>ROUND(RAND()*4+6,1)</f>
      </c>
      <c r="I258" s="17" t="s">
        <v>19</v>
      </c>
      <c r="J258" s="19">
        <f>ROUND(64*1,0)&amp;"%"</f>
      </c>
    </row>
    <row x14ac:dyDescent="0.25" r="259" customHeight="1" ht="17.25">
      <c r="A259" s="20" t="s">
        <v>423</v>
      </c>
      <c r="B259" s="20" t="s">
        <v>424</v>
      </c>
      <c r="C259" s="20" t="s">
        <v>15</v>
      </c>
      <c r="D259" s="20" t="s">
        <v>22</v>
      </c>
      <c r="E259" s="21">
        <f>ROUND(14322*1.05,2)</f>
      </c>
      <c r="F259" s="20" t="s">
        <v>23</v>
      </c>
      <c r="G259" s="20" t="s">
        <v>24</v>
      </c>
      <c r="H259" s="21">
        <f>ROUND(RAND()*4+6,1)</f>
      </c>
      <c r="I259" s="20" t="s">
        <v>25</v>
      </c>
      <c r="J259" s="23">
        <f>ROUND(74*1,0)&amp;"%"</f>
      </c>
    </row>
    <row x14ac:dyDescent="0.25" r="260" customHeight="1" ht="17.25">
      <c r="A260" s="17" t="s">
        <v>425</v>
      </c>
      <c r="B260" s="17" t="s">
        <v>426</v>
      </c>
      <c r="C260" s="17" t="s">
        <v>15</v>
      </c>
      <c r="D260" s="17" t="s">
        <v>28</v>
      </c>
      <c r="E260" s="18">
        <f>ROUND(11653*1.05,2)</f>
      </c>
      <c r="F260" s="17" t="s">
        <v>29</v>
      </c>
      <c r="G260" s="17" t="s">
        <v>30</v>
      </c>
      <c r="H260" s="18">
        <f>ROUND(RAND()*4+6,1)</f>
      </c>
      <c r="I260" s="17" t="s">
        <v>31</v>
      </c>
      <c r="J260" s="19">
        <f>ROUND(76*1,0)&amp;"%"</f>
      </c>
    </row>
    <row x14ac:dyDescent="0.25" r="261" customHeight="1" ht="17.25">
      <c r="A261" s="20" t="s">
        <v>427</v>
      </c>
      <c r="B261" s="20" t="s">
        <v>428</v>
      </c>
      <c r="C261" s="20" t="s">
        <v>15</v>
      </c>
      <c r="D261" s="20" t="s">
        <v>34</v>
      </c>
      <c r="E261" s="21">
        <f>ROUND(7767*1.05,2)</f>
      </c>
      <c r="F261" s="20" t="s">
        <v>35</v>
      </c>
      <c r="G261" s="20" t="s">
        <v>18</v>
      </c>
      <c r="H261" s="21">
        <f>ROUND(RAND()*4+6,1)</f>
      </c>
      <c r="I261" s="20" t="s">
        <v>36</v>
      </c>
      <c r="J261" s="23">
        <f>ROUND(89*1,0)&amp;"%"</f>
      </c>
    </row>
    <row x14ac:dyDescent="0.25" r="262" customHeight="1" ht="17.25">
      <c r="A262" s="17" t="s">
        <v>429</v>
      </c>
      <c r="B262" s="17" t="s">
        <v>430</v>
      </c>
      <c r="C262" s="17" t="s">
        <v>15</v>
      </c>
      <c r="D262" s="17" t="s">
        <v>39</v>
      </c>
      <c r="E262" s="18">
        <f>ROUND(12775*1.05,2)</f>
      </c>
      <c r="F262" s="17" t="s">
        <v>40</v>
      </c>
      <c r="G262" s="17" t="s">
        <v>24</v>
      </c>
      <c r="H262" s="18">
        <f>ROUND(RAND()*4+6,1)</f>
      </c>
      <c r="I262" s="17" t="s">
        <v>41</v>
      </c>
      <c r="J262" s="19">
        <f>ROUND(100*1,0)&amp;"%"</f>
      </c>
    </row>
    <row x14ac:dyDescent="0.25" r="263" customHeight="1" ht="17.25">
      <c r="A263" s="20" t="s">
        <v>431</v>
      </c>
      <c r="B263" s="20" t="s">
        <v>432</v>
      </c>
      <c r="C263" s="20" t="s">
        <v>15</v>
      </c>
      <c r="D263" s="20" t="s">
        <v>67</v>
      </c>
      <c r="E263" s="21">
        <f>ROUND(8485*1.05,2)</f>
      </c>
      <c r="F263" s="20" t="s">
        <v>44</v>
      </c>
      <c r="G263" s="20" t="s">
        <v>30</v>
      </c>
      <c r="H263" s="21">
        <f>ROUND(RAND()*4+6,1)</f>
      </c>
      <c r="I263" s="20" t="s">
        <v>45</v>
      </c>
      <c r="J263" s="23">
        <f>ROUND(70*1,0)&amp;"%"</f>
      </c>
    </row>
    <row x14ac:dyDescent="0.25" r="264" customHeight="1" ht="17.25">
      <c r="A264" s="17" t="s">
        <v>433</v>
      </c>
      <c r="B264" s="17" t="s">
        <v>434</v>
      </c>
      <c r="C264" s="17" t="s">
        <v>15</v>
      </c>
      <c r="D264" s="17" t="s">
        <v>16</v>
      </c>
      <c r="E264" s="18">
        <f>ROUND(15156*1.05,2)</f>
      </c>
      <c r="F264" s="17" t="s">
        <v>48</v>
      </c>
      <c r="G264" s="17" t="s">
        <v>18</v>
      </c>
      <c r="H264" s="18">
        <f>ROUND(RAND()*4+6,1)</f>
      </c>
      <c r="I264" s="17" t="s">
        <v>19</v>
      </c>
      <c r="J264" s="19">
        <f>ROUND(74*1,0)&amp;"%"</f>
      </c>
    </row>
    <row x14ac:dyDescent="0.25" r="265" customHeight="1" ht="17.25">
      <c r="A265" s="20" t="s">
        <v>435</v>
      </c>
      <c r="B265" s="20" t="s">
        <v>436</v>
      </c>
      <c r="C265" s="20" t="s">
        <v>15</v>
      </c>
      <c r="D265" s="20" t="s">
        <v>22</v>
      </c>
      <c r="E265" s="21">
        <f>ROUND(5738*1.05,2)</f>
      </c>
      <c r="F265" s="20" t="s">
        <v>51</v>
      </c>
      <c r="G265" s="20" t="s">
        <v>24</v>
      </c>
      <c r="H265" s="21">
        <f>ROUND(RAND()*4+6,1)</f>
      </c>
      <c r="I265" s="20" t="s">
        <v>25</v>
      </c>
      <c r="J265" s="23">
        <f>ROUND(97*1,0)&amp;"%"</f>
      </c>
    </row>
    <row x14ac:dyDescent="0.25" r="266" customHeight="1" ht="17.25">
      <c r="A266" s="24" t="s">
        <v>437</v>
      </c>
      <c r="B266" s="24"/>
      <c r="C266" s="24"/>
      <c r="D266" s="24"/>
      <c r="E266" s="25">
        <v>8</v>
      </c>
      <c r="F266" s="9"/>
      <c r="G266" s="9"/>
      <c r="H266" s="10"/>
      <c r="I266" s="9"/>
      <c r="J266" s="9"/>
    </row>
    <row x14ac:dyDescent="0.25" r="267" customHeight="1" ht="17.25">
      <c r="A267" s="7"/>
      <c r="B267" s="7"/>
      <c r="C267" s="7"/>
      <c r="D267" s="7"/>
      <c r="E267" s="8"/>
      <c r="F267" s="9"/>
      <c r="G267" s="9"/>
      <c r="H267" s="10"/>
      <c r="I267" s="9"/>
      <c r="J267" s="9"/>
    </row>
    <row x14ac:dyDescent="0.25" r="268" customHeight="1" ht="17.25">
      <c r="A268" s="11" t="s">
        <v>438</v>
      </c>
      <c r="B268" s="11"/>
      <c r="C268" s="11"/>
      <c r="D268" s="11"/>
      <c r="E268" s="12"/>
      <c r="F268" s="11"/>
      <c r="G268" s="11"/>
      <c r="H268" s="13"/>
      <c r="I268" s="11"/>
      <c r="J268" s="11"/>
    </row>
    <row x14ac:dyDescent="0.25" r="269" customHeight="1" ht="17.25">
      <c r="A269" s="14" t="s">
        <v>3</v>
      </c>
      <c r="B269" s="14" t="s">
        <v>4</v>
      </c>
      <c r="C269" s="14" t="s">
        <v>5</v>
      </c>
      <c r="D269" s="14" t="s">
        <v>6</v>
      </c>
      <c r="E269" s="15" t="s">
        <v>7</v>
      </c>
      <c r="F269" s="14" t="s">
        <v>8</v>
      </c>
      <c r="G269" s="14" t="s">
        <v>9</v>
      </c>
      <c r="H269" s="16" t="s">
        <v>10</v>
      </c>
      <c r="I269" s="14" t="s">
        <v>11</v>
      </c>
      <c r="J269" s="14" t="s">
        <v>12</v>
      </c>
    </row>
    <row x14ac:dyDescent="0.25" r="270" customHeight="1" ht="17.25">
      <c r="A270" s="17" t="s">
        <v>439</v>
      </c>
      <c r="B270" s="17" t="s">
        <v>440</v>
      </c>
      <c r="C270" s="17" t="s">
        <v>56</v>
      </c>
      <c r="D270" s="17" t="s">
        <v>16</v>
      </c>
      <c r="E270" s="18">
        <f>ROUND(6098*1.05,2)</f>
      </c>
      <c r="F270" s="17" t="s">
        <v>17</v>
      </c>
      <c r="G270" s="17" t="s">
        <v>18</v>
      </c>
      <c r="H270" s="18">
        <f>ROUND(RAND()*4+6,1)</f>
      </c>
      <c r="I270" s="17" t="s">
        <v>19</v>
      </c>
      <c r="J270" s="19">
        <f>ROUND(83*1,0)&amp;"%"</f>
      </c>
    </row>
    <row x14ac:dyDescent="0.25" r="271" customHeight="1" ht="17.25">
      <c r="A271" s="20" t="s">
        <v>441</v>
      </c>
      <c r="B271" s="20" t="s">
        <v>442</v>
      </c>
      <c r="C271" s="20" t="s">
        <v>56</v>
      </c>
      <c r="D271" s="20" t="s">
        <v>22</v>
      </c>
      <c r="E271" s="21">
        <f>ROUND(7850*1.05,2)</f>
      </c>
      <c r="F271" s="20" t="s">
        <v>23</v>
      </c>
      <c r="G271" s="20" t="s">
        <v>24</v>
      </c>
      <c r="H271" s="22">
        <f>ROUND(RAND()*4+6,1)</f>
      </c>
      <c r="I271" s="20" t="s">
        <v>25</v>
      </c>
      <c r="J271" s="23">
        <f>ROUND(87*1,0)&amp;"%"</f>
      </c>
    </row>
    <row x14ac:dyDescent="0.25" r="272" customHeight="1" ht="17.25">
      <c r="A272" s="17" t="s">
        <v>443</v>
      </c>
      <c r="B272" s="17" t="s">
        <v>444</v>
      </c>
      <c r="C272" s="17" t="s">
        <v>56</v>
      </c>
      <c r="D272" s="17" t="s">
        <v>28</v>
      </c>
      <c r="E272" s="18">
        <f>ROUND(6782*1.05,2)</f>
      </c>
      <c r="F272" s="17" t="s">
        <v>29</v>
      </c>
      <c r="G272" s="17" t="s">
        <v>30</v>
      </c>
      <c r="H272" s="18">
        <f>ROUND(RAND()*4+6,1)</f>
      </c>
      <c r="I272" s="17" t="s">
        <v>31</v>
      </c>
      <c r="J272" s="19">
        <f>ROUND(72*1,0)&amp;"%"</f>
      </c>
    </row>
    <row x14ac:dyDescent="0.25" r="273" customHeight="1" ht="17.25">
      <c r="A273" s="20" t="s">
        <v>445</v>
      </c>
      <c r="B273" s="20" t="s">
        <v>446</v>
      </c>
      <c r="C273" s="20" t="s">
        <v>56</v>
      </c>
      <c r="D273" s="20" t="s">
        <v>34</v>
      </c>
      <c r="E273" s="21">
        <f>ROUND(12704*1.05,2)</f>
      </c>
      <c r="F273" s="20" t="s">
        <v>35</v>
      </c>
      <c r="G273" s="20" t="s">
        <v>18</v>
      </c>
      <c r="H273" s="21">
        <f>ROUND(RAND()*4+6,1)</f>
      </c>
      <c r="I273" s="20" t="s">
        <v>36</v>
      </c>
      <c r="J273" s="23">
        <f>ROUND(74*1,0)&amp;"%"</f>
      </c>
    </row>
    <row x14ac:dyDescent="0.25" r="274" customHeight="1" ht="17.25">
      <c r="A274" s="17" t="s">
        <v>447</v>
      </c>
      <c r="B274" s="17" t="s">
        <v>448</v>
      </c>
      <c r="C274" s="17" t="s">
        <v>56</v>
      </c>
      <c r="D274" s="17" t="s">
        <v>39</v>
      </c>
      <c r="E274" s="18">
        <f>ROUND(7566*1.05,2)</f>
      </c>
      <c r="F274" s="17" t="s">
        <v>40</v>
      </c>
      <c r="G274" s="17" t="s">
        <v>24</v>
      </c>
      <c r="H274" s="18">
        <f>ROUND(RAND()*4+6,1)</f>
      </c>
      <c r="I274" s="17" t="s">
        <v>41</v>
      </c>
      <c r="J274" s="19">
        <f>ROUND(94*1,0)&amp;"%"</f>
      </c>
    </row>
    <row x14ac:dyDescent="0.25" r="275" customHeight="1" ht="17.25">
      <c r="A275" s="20" t="s">
        <v>449</v>
      </c>
      <c r="B275" s="20" t="s">
        <v>450</v>
      </c>
      <c r="C275" s="20" t="s">
        <v>56</v>
      </c>
      <c r="D275" s="20" t="s">
        <v>67</v>
      </c>
      <c r="E275" s="21">
        <f>ROUND(11423*1.05,2)</f>
      </c>
      <c r="F275" s="20" t="s">
        <v>44</v>
      </c>
      <c r="G275" s="20" t="s">
        <v>30</v>
      </c>
      <c r="H275" s="22">
        <f>ROUND(RAND()*4+6,1)</f>
      </c>
      <c r="I275" s="20" t="s">
        <v>45</v>
      </c>
      <c r="J275" s="23">
        <f>ROUND(82*1,0)&amp;"%"</f>
      </c>
    </row>
    <row x14ac:dyDescent="0.25" r="276" customHeight="1" ht="17.25">
      <c r="A276" s="17" t="s">
        <v>451</v>
      </c>
      <c r="B276" s="17" t="s">
        <v>452</v>
      </c>
      <c r="C276" s="17" t="s">
        <v>56</v>
      </c>
      <c r="D276" s="17" t="s">
        <v>16</v>
      </c>
      <c r="E276" s="18">
        <f>ROUND(5739*1.05,2)</f>
      </c>
      <c r="F276" s="17" t="s">
        <v>48</v>
      </c>
      <c r="G276" s="17" t="s">
        <v>18</v>
      </c>
      <c r="H276" s="18">
        <f>ROUND(RAND()*4+6,1)</f>
      </c>
      <c r="I276" s="17" t="s">
        <v>19</v>
      </c>
      <c r="J276" s="19">
        <f>ROUND(69*1,0)&amp;"%"</f>
      </c>
    </row>
    <row x14ac:dyDescent="0.25" r="277" customHeight="1" ht="17.25">
      <c r="A277" s="20" t="s">
        <v>453</v>
      </c>
      <c r="B277" s="20" t="s">
        <v>454</v>
      </c>
      <c r="C277" s="20" t="s">
        <v>56</v>
      </c>
      <c r="D277" s="20" t="s">
        <v>22</v>
      </c>
      <c r="E277" s="21">
        <f>ROUND(9667*1.05,2)</f>
      </c>
      <c r="F277" s="20" t="s">
        <v>51</v>
      </c>
      <c r="G277" s="20" t="s">
        <v>24</v>
      </c>
      <c r="H277" s="21">
        <f>ROUND(RAND()*4+6,1)</f>
      </c>
      <c r="I277" s="20" t="s">
        <v>25</v>
      </c>
      <c r="J277" s="23">
        <f>ROUND(61*1,0)&amp;"%"</f>
      </c>
    </row>
    <row x14ac:dyDescent="0.25" r="278" customHeight="1" ht="17.25">
      <c r="A278" s="24" t="s">
        <v>455</v>
      </c>
      <c r="B278" s="24"/>
      <c r="C278" s="24"/>
      <c r="D278" s="24"/>
      <c r="E278" s="25">
        <v>8</v>
      </c>
      <c r="F278" s="9"/>
      <c r="G278" s="9"/>
      <c r="H278" s="10"/>
      <c r="I278" s="9"/>
      <c r="J278" s="9"/>
    </row>
    <row x14ac:dyDescent="0.25" r="279" customHeight="1" ht="17.25">
      <c r="A279" s="7"/>
      <c r="B279" s="7"/>
      <c r="C279" s="7"/>
      <c r="D279" s="7"/>
      <c r="E279" s="8"/>
      <c r="F279" s="9"/>
      <c r="G279" s="9"/>
      <c r="H279" s="10"/>
      <c r="I279" s="9"/>
      <c r="J279" s="9"/>
    </row>
    <row x14ac:dyDescent="0.25" r="280" customHeight="1" ht="17.25">
      <c r="A280" s="11" t="s">
        <v>456</v>
      </c>
      <c r="B280" s="11"/>
      <c r="C280" s="11"/>
      <c r="D280" s="11"/>
      <c r="E280" s="12"/>
      <c r="F280" s="11"/>
      <c r="G280" s="11"/>
      <c r="H280" s="13"/>
      <c r="I280" s="11"/>
      <c r="J280" s="11"/>
    </row>
    <row x14ac:dyDescent="0.25" r="281" customHeight="1" ht="17.25">
      <c r="A281" s="14" t="s">
        <v>3</v>
      </c>
      <c r="B281" s="14" t="s">
        <v>4</v>
      </c>
      <c r="C281" s="14" t="s">
        <v>5</v>
      </c>
      <c r="D281" s="14" t="s">
        <v>6</v>
      </c>
      <c r="E281" s="15" t="s">
        <v>7</v>
      </c>
      <c r="F281" s="14" t="s">
        <v>8</v>
      </c>
      <c r="G281" s="14" t="s">
        <v>9</v>
      </c>
      <c r="H281" s="16" t="s">
        <v>10</v>
      </c>
      <c r="I281" s="14" t="s">
        <v>11</v>
      </c>
      <c r="J281" s="14" t="s">
        <v>12</v>
      </c>
    </row>
    <row x14ac:dyDescent="0.25" r="282" customHeight="1" ht="17.25">
      <c r="A282" s="17" t="s">
        <v>457</v>
      </c>
      <c r="B282" s="17" t="s">
        <v>458</v>
      </c>
      <c r="C282" s="17" t="s">
        <v>76</v>
      </c>
      <c r="D282" s="17" t="s">
        <v>16</v>
      </c>
      <c r="E282" s="18">
        <f>ROUND(15515*1.05,2)</f>
      </c>
      <c r="F282" s="17" t="s">
        <v>17</v>
      </c>
      <c r="G282" s="17" t="s">
        <v>18</v>
      </c>
      <c r="H282" s="18">
        <f>ROUND(RAND()*4+6,1)</f>
      </c>
      <c r="I282" s="17" t="s">
        <v>19</v>
      </c>
      <c r="J282" s="19">
        <f>ROUND(90*1,0)&amp;"%"</f>
      </c>
    </row>
    <row x14ac:dyDescent="0.25" r="283" customHeight="1" ht="17.25">
      <c r="A283" s="20" t="s">
        <v>459</v>
      </c>
      <c r="B283" s="20" t="s">
        <v>460</v>
      </c>
      <c r="C283" s="20" t="s">
        <v>76</v>
      </c>
      <c r="D283" s="20" t="s">
        <v>22</v>
      </c>
      <c r="E283" s="21">
        <f>ROUND(7772*1.05,2)</f>
      </c>
      <c r="F283" s="20" t="s">
        <v>23</v>
      </c>
      <c r="G283" s="20" t="s">
        <v>24</v>
      </c>
      <c r="H283" s="21">
        <f>ROUND(RAND()*4+6,1)</f>
      </c>
      <c r="I283" s="20" t="s">
        <v>25</v>
      </c>
      <c r="J283" s="23">
        <f>ROUND(71*1,0)&amp;"%"</f>
      </c>
    </row>
    <row x14ac:dyDescent="0.25" r="284" customHeight="1" ht="17.25">
      <c r="A284" s="17" t="s">
        <v>461</v>
      </c>
      <c r="B284" s="17" t="s">
        <v>462</v>
      </c>
      <c r="C284" s="17" t="s">
        <v>76</v>
      </c>
      <c r="D284" s="17" t="s">
        <v>28</v>
      </c>
      <c r="E284" s="18">
        <f>ROUND(8839*1.05,2)</f>
      </c>
      <c r="F284" s="17" t="s">
        <v>29</v>
      </c>
      <c r="G284" s="17" t="s">
        <v>30</v>
      </c>
      <c r="H284" s="18">
        <f>ROUND(RAND()*4+6,1)</f>
      </c>
      <c r="I284" s="17" t="s">
        <v>31</v>
      </c>
      <c r="J284" s="19">
        <f>ROUND(68*1,0)&amp;"%"</f>
      </c>
    </row>
    <row x14ac:dyDescent="0.25" r="285" customHeight="1" ht="17.25">
      <c r="A285" s="20" t="s">
        <v>463</v>
      </c>
      <c r="B285" s="20" t="s">
        <v>464</v>
      </c>
      <c r="C285" s="20" t="s">
        <v>76</v>
      </c>
      <c r="D285" s="20" t="s">
        <v>34</v>
      </c>
      <c r="E285" s="21">
        <f>ROUND(9446*1.05,2)</f>
      </c>
      <c r="F285" s="20" t="s">
        <v>35</v>
      </c>
      <c r="G285" s="20" t="s">
        <v>18</v>
      </c>
      <c r="H285" s="21">
        <f>ROUND(RAND()*4+6,1)</f>
      </c>
      <c r="I285" s="20" t="s">
        <v>36</v>
      </c>
      <c r="J285" s="23">
        <f>ROUND(79*1,0)&amp;"%"</f>
      </c>
    </row>
    <row x14ac:dyDescent="0.25" r="286" customHeight="1" ht="17.25">
      <c r="A286" s="17" t="s">
        <v>465</v>
      </c>
      <c r="B286" s="17" t="s">
        <v>466</v>
      </c>
      <c r="C286" s="17" t="s">
        <v>76</v>
      </c>
      <c r="D286" s="17" t="s">
        <v>39</v>
      </c>
      <c r="E286" s="18">
        <f>ROUND(12603*1.05,2)</f>
      </c>
      <c r="F286" s="17" t="s">
        <v>40</v>
      </c>
      <c r="G286" s="17" t="s">
        <v>24</v>
      </c>
      <c r="H286" s="18">
        <f>ROUND(RAND()*4+6,1)</f>
      </c>
      <c r="I286" s="17" t="s">
        <v>41</v>
      </c>
      <c r="J286" s="19">
        <f>ROUND(90*1,0)&amp;"%"</f>
      </c>
    </row>
    <row x14ac:dyDescent="0.25" r="287" customHeight="1" ht="17.25">
      <c r="A287" s="20" t="s">
        <v>467</v>
      </c>
      <c r="B287" s="20" t="s">
        <v>468</v>
      </c>
      <c r="C287" s="20" t="s">
        <v>76</v>
      </c>
      <c r="D287" s="20" t="s">
        <v>67</v>
      </c>
      <c r="E287" s="21">
        <f>ROUND(14727*1.05,2)</f>
      </c>
      <c r="F287" s="20" t="s">
        <v>44</v>
      </c>
      <c r="G287" s="20" t="s">
        <v>30</v>
      </c>
      <c r="H287" s="21">
        <f>ROUND(RAND()*4+6,1)</f>
      </c>
      <c r="I287" s="20" t="s">
        <v>45</v>
      </c>
      <c r="J287" s="23">
        <f>ROUND(70*1,0)&amp;"%"</f>
      </c>
    </row>
    <row x14ac:dyDescent="0.25" r="288" customHeight="1" ht="17.25">
      <c r="A288" s="17" t="s">
        <v>469</v>
      </c>
      <c r="B288" s="17" t="s">
        <v>470</v>
      </c>
      <c r="C288" s="17" t="s">
        <v>76</v>
      </c>
      <c r="D288" s="17" t="s">
        <v>16</v>
      </c>
      <c r="E288" s="18">
        <f>ROUND(14206*1.05,2)</f>
      </c>
      <c r="F288" s="17" t="s">
        <v>48</v>
      </c>
      <c r="G288" s="17" t="s">
        <v>18</v>
      </c>
      <c r="H288" s="26">
        <f>ROUND(RAND()*4+6,1)</f>
      </c>
      <c r="I288" s="17" t="s">
        <v>19</v>
      </c>
      <c r="J288" s="19">
        <f>ROUND(84*1,0)&amp;"%"</f>
      </c>
    </row>
    <row x14ac:dyDescent="0.25" r="289" customHeight="1" ht="17.25">
      <c r="A289" s="20" t="s">
        <v>471</v>
      </c>
      <c r="B289" s="20" t="s">
        <v>472</v>
      </c>
      <c r="C289" s="20" t="s">
        <v>76</v>
      </c>
      <c r="D289" s="20" t="s">
        <v>22</v>
      </c>
      <c r="E289" s="21">
        <f>ROUND(4007*1.05,2)</f>
      </c>
      <c r="F289" s="20" t="s">
        <v>51</v>
      </c>
      <c r="G289" s="20" t="s">
        <v>24</v>
      </c>
      <c r="H289" s="21">
        <f>ROUND(RAND()*4+6,1)</f>
      </c>
      <c r="I289" s="20" t="s">
        <v>25</v>
      </c>
      <c r="J289" s="23">
        <f>ROUND(78*1,0)&amp;"%"</f>
      </c>
    </row>
    <row x14ac:dyDescent="0.25" r="290" customHeight="1" ht="17.25">
      <c r="A290" s="24" t="s">
        <v>473</v>
      </c>
      <c r="B290" s="24"/>
      <c r="C290" s="24"/>
      <c r="D290" s="24"/>
      <c r="E290" s="25">
        <v>8</v>
      </c>
      <c r="F290" s="9"/>
      <c r="G290" s="9"/>
      <c r="H290" s="10"/>
      <c r="I290" s="9"/>
      <c r="J290" s="9"/>
    </row>
    <row x14ac:dyDescent="0.25" r="291" customHeight="1" ht="17.25">
      <c r="A291" s="7"/>
      <c r="B291" s="7"/>
      <c r="C291" s="7"/>
      <c r="D291" s="7"/>
      <c r="E291" s="8"/>
      <c r="F291" s="9"/>
      <c r="G291" s="9"/>
      <c r="H291" s="10"/>
      <c r="I291" s="9"/>
      <c r="J291" s="9"/>
    </row>
    <row x14ac:dyDescent="0.25" r="292" customHeight="1" ht="17.25">
      <c r="A292" s="11" t="s">
        <v>474</v>
      </c>
      <c r="B292" s="11"/>
      <c r="C292" s="11"/>
      <c r="D292" s="11"/>
      <c r="E292" s="12"/>
      <c r="F292" s="11"/>
      <c r="G292" s="11"/>
      <c r="H292" s="13"/>
      <c r="I292" s="11"/>
      <c r="J292" s="11"/>
    </row>
    <row x14ac:dyDescent="0.25" r="293" customHeight="1" ht="17.25">
      <c r="A293" s="14" t="s">
        <v>3</v>
      </c>
      <c r="B293" s="14" t="s">
        <v>4</v>
      </c>
      <c r="C293" s="14" t="s">
        <v>5</v>
      </c>
      <c r="D293" s="14" t="s">
        <v>6</v>
      </c>
      <c r="E293" s="15" t="s">
        <v>7</v>
      </c>
      <c r="F293" s="14" t="s">
        <v>8</v>
      </c>
      <c r="G293" s="14" t="s">
        <v>9</v>
      </c>
      <c r="H293" s="16" t="s">
        <v>10</v>
      </c>
      <c r="I293" s="14" t="s">
        <v>11</v>
      </c>
      <c r="J293" s="14" t="s">
        <v>12</v>
      </c>
    </row>
    <row x14ac:dyDescent="0.25" r="294" customHeight="1" ht="17.25">
      <c r="A294" s="17" t="s">
        <v>475</v>
      </c>
      <c r="B294" s="17" t="s">
        <v>476</v>
      </c>
      <c r="C294" s="17" t="s">
        <v>95</v>
      </c>
      <c r="D294" s="17" t="s">
        <v>16</v>
      </c>
      <c r="E294" s="18">
        <f>ROUND(6610*1.05,2)</f>
      </c>
      <c r="F294" s="17" t="s">
        <v>17</v>
      </c>
      <c r="G294" s="17" t="s">
        <v>18</v>
      </c>
      <c r="H294" s="18">
        <f>ROUND(RAND()*4+6,1)</f>
      </c>
      <c r="I294" s="17" t="s">
        <v>19</v>
      </c>
      <c r="J294" s="19">
        <f>ROUND(93*1,0)&amp;"%"</f>
      </c>
    </row>
    <row x14ac:dyDescent="0.25" r="295" customHeight="1" ht="17.25">
      <c r="A295" s="20" t="s">
        <v>477</v>
      </c>
      <c r="B295" s="20" t="s">
        <v>478</v>
      </c>
      <c r="C295" s="20" t="s">
        <v>95</v>
      </c>
      <c r="D295" s="20" t="s">
        <v>22</v>
      </c>
      <c r="E295" s="21">
        <f>ROUND(11387*1.05,2)</f>
      </c>
      <c r="F295" s="20" t="s">
        <v>23</v>
      </c>
      <c r="G295" s="20" t="s">
        <v>24</v>
      </c>
      <c r="H295" s="21">
        <f>ROUND(RAND()*4+6,1)</f>
      </c>
      <c r="I295" s="20" t="s">
        <v>25</v>
      </c>
      <c r="J295" s="23">
        <f>ROUND(76*1,0)&amp;"%"</f>
      </c>
    </row>
    <row x14ac:dyDescent="0.25" r="296" customHeight="1" ht="17.25">
      <c r="A296" s="17" t="s">
        <v>479</v>
      </c>
      <c r="B296" s="17" t="s">
        <v>480</v>
      </c>
      <c r="C296" s="17" t="s">
        <v>95</v>
      </c>
      <c r="D296" s="17" t="s">
        <v>28</v>
      </c>
      <c r="E296" s="26">
        <f>ROUND(9940*1.05,2)</f>
      </c>
      <c r="F296" s="17" t="s">
        <v>29</v>
      </c>
      <c r="G296" s="17" t="s">
        <v>30</v>
      </c>
      <c r="H296" s="18">
        <f>ROUND(RAND()*4+6,1)</f>
      </c>
      <c r="I296" s="17" t="s">
        <v>31</v>
      </c>
      <c r="J296" s="19">
        <f>ROUND(95*1,0)&amp;"%"</f>
      </c>
    </row>
    <row x14ac:dyDescent="0.25" r="297" customHeight="1" ht="17.25">
      <c r="A297" s="20" t="s">
        <v>481</v>
      </c>
      <c r="B297" s="20" t="s">
        <v>482</v>
      </c>
      <c r="C297" s="20" t="s">
        <v>95</v>
      </c>
      <c r="D297" s="20" t="s">
        <v>34</v>
      </c>
      <c r="E297" s="21">
        <f>ROUND(7986*1.05,2)</f>
      </c>
      <c r="F297" s="20" t="s">
        <v>35</v>
      </c>
      <c r="G297" s="20" t="s">
        <v>18</v>
      </c>
      <c r="H297" s="21">
        <f>ROUND(RAND()*4+6,1)</f>
      </c>
      <c r="I297" s="20" t="s">
        <v>36</v>
      </c>
      <c r="J297" s="23">
        <f>ROUND(96*1,0)&amp;"%"</f>
      </c>
    </row>
    <row x14ac:dyDescent="0.25" r="298" customHeight="1" ht="17.25">
      <c r="A298" s="17" t="s">
        <v>483</v>
      </c>
      <c r="B298" s="17" t="s">
        <v>484</v>
      </c>
      <c r="C298" s="17" t="s">
        <v>95</v>
      </c>
      <c r="D298" s="17" t="s">
        <v>39</v>
      </c>
      <c r="E298" s="18">
        <f>ROUND(16052*1.05,2)</f>
      </c>
      <c r="F298" s="17" t="s">
        <v>40</v>
      </c>
      <c r="G298" s="17" t="s">
        <v>24</v>
      </c>
      <c r="H298" s="18">
        <f>ROUND(RAND()*4+6,1)</f>
      </c>
      <c r="I298" s="17" t="s">
        <v>41</v>
      </c>
      <c r="J298" s="19">
        <f>ROUND(63*1,0)&amp;"%"</f>
      </c>
    </row>
    <row x14ac:dyDescent="0.25" r="299" customHeight="1" ht="17.25">
      <c r="A299" s="20" t="s">
        <v>485</v>
      </c>
      <c r="B299" s="20" t="s">
        <v>486</v>
      </c>
      <c r="C299" s="20" t="s">
        <v>95</v>
      </c>
      <c r="D299" s="20" t="s">
        <v>67</v>
      </c>
      <c r="E299" s="21">
        <f>ROUND(4043*1.05,2)</f>
      </c>
      <c r="F299" s="20" t="s">
        <v>44</v>
      </c>
      <c r="G299" s="20" t="s">
        <v>30</v>
      </c>
      <c r="H299" s="21">
        <f>ROUND(RAND()*4+6,1)</f>
      </c>
      <c r="I299" s="20" t="s">
        <v>45</v>
      </c>
      <c r="J299" s="23">
        <f>ROUND(97*1,0)&amp;"%"</f>
      </c>
    </row>
    <row x14ac:dyDescent="0.25" r="300" customHeight="1" ht="17.25">
      <c r="A300" s="17" t="s">
        <v>487</v>
      </c>
      <c r="B300" s="17" t="s">
        <v>488</v>
      </c>
      <c r="C300" s="17" t="s">
        <v>95</v>
      </c>
      <c r="D300" s="17" t="s">
        <v>16</v>
      </c>
      <c r="E300" s="18">
        <f>ROUND(8308*1.05,2)</f>
      </c>
      <c r="F300" s="17" t="s">
        <v>48</v>
      </c>
      <c r="G300" s="17" t="s">
        <v>18</v>
      </c>
      <c r="H300" s="18">
        <f>ROUND(RAND()*4+6,1)</f>
      </c>
      <c r="I300" s="17" t="s">
        <v>19</v>
      </c>
      <c r="J300" s="19">
        <f>ROUND(78*1,0)&amp;"%"</f>
      </c>
    </row>
    <row x14ac:dyDescent="0.25" r="301" customHeight="1" ht="17.25">
      <c r="A301" s="20" t="s">
        <v>489</v>
      </c>
      <c r="B301" s="20" t="s">
        <v>490</v>
      </c>
      <c r="C301" s="20" t="s">
        <v>95</v>
      </c>
      <c r="D301" s="20" t="s">
        <v>22</v>
      </c>
      <c r="E301" s="21">
        <f>ROUND(10965*1.05,2)</f>
      </c>
      <c r="F301" s="20" t="s">
        <v>51</v>
      </c>
      <c r="G301" s="20" t="s">
        <v>24</v>
      </c>
      <c r="H301" s="21">
        <f>ROUND(RAND()*4+6,1)</f>
      </c>
      <c r="I301" s="20" t="s">
        <v>25</v>
      </c>
      <c r="J301" s="23">
        <f>ROUND(86*1,0)&amp;"%"</f>
      </c>
    </row>
    <row x14ac:dyDescent="0.25" r="302" customHeight="1" ht="17.25">
      <c r="A302" s="24" t="s">
        <v>491</v>
      </c>
      <c r="B302" s="24"/>
      <c r="C302" s="24"/>
      <c r="D302" s="24"/>
      <c r="E302" s="25">
        <v>8</v>
      </c>
      <c r="F302" s="9"/>
      <c r="G302" s="9"/>
      <c r="H302" s="10"/>
      <c r="I302" s="9"/>
      <c r="J302" s="9"/>
    </row>
    <row x14ac:dyDescent="0.25" r="303" customHeight="1" ht="17.25">
      <c r="A303" s="7"/>
      <c r="B303" s="7"/>
      <c r="C303" s="7"/>
      <c r="D303" s="7"/>
      <c r="E303" s="8"/>
      <c r="F303" s="9"/>
      <c r="G303" s="9"/>
      <c r="H303" s="10"/>
      <c r="I303" s="9"/>
      <c r="J303" s="9"/>
    </row>
    <row x14ac:dyDescent="0.25" r="304" customHeight="1" ht="17.25">
      <c r="A304" s="11" t="s">
        <v>492</v>
      </c>
      <c r="B304" s="11"/>
      <c r="C304" s="11"/>
      <c r="D304" s="11"/>
      <c r="E304" s="12"/>
      <c r="F304" s="11"/>
      <c r="G304" s="11"/>
      <c r="H304" s="13"/>
      <c r="I304" s="11"/>
      <c r="J304" s="11"/>
    </row>
    <row x14ac:dyDescent="0.25" r="305" customHeight="1" ht="17.25">
      <c r="A305" s="14" t="s">
        <v>3</v>
      </c>
      <c r="B305" s="14" t="s">
        <v>4</v>
      </c>
      <c r="C305" s="14" t="s">
        <v>5</v>
      </c>
      <c r="D305" s="14" t="s">
        <v>6</v>
      </c>
      <c r="E305" s="15" t="s">
        <v>7</v>
      </c>
      <c r="F305" s="14" t="s">
        <v>8</v>
      </c>
      <c r="G305" s="14" t="s">
        <v>9</v>
      </c>
      <c r="H305" s="16" t="s">
        <v>10</v>
      </c>
      <c r="I305" s="14" t="s">
        <v>11</v>
      </c>
      <c r="J305" s="14" t="s">
        <v>12</v>
      </c>
    </row>
    <row x14ac:dyDescent="0.25" r="306" customHeight="1" ht="17.25">
      <c r="A306" s="17" t="s">
        <v>493</v>
      </c>
      <c r="B306" s="17" t="s">
        <v>494</v>
      </c>
      <c r="C306" s="17" t="s">
        <v>114</v>
      </c>
      <c r="D306" s="17" t="s">
        <v>16</v>
      </c>
      <c r="E306" s="18">
        <f>ROUND(4094*1.05,2)</f>
      </c>
      <c r="F306" s="17" t="s">
        <v>17</v>
      </c>
      <c r="G306" s="17" t="s">
        <v>18</v>
      </c>
      <c r="H306" s="18">
        <f>ROUND(RAND()*4+6,1)</f>
      </c>
      <c r="I306" s="17" t="s">
        <v>19</v>
      </c>
      <c r="J306" s="19">
        <f>ROUND(91*1,0)&amp;"%"</f>
      </c>
    </row>
    <row x14ac:dyDescent="0.25" r="307" customHeight="1" ht="17.25">
      <c r="A307" s="20" t="s">
        <v>495</v>
      </c>
      <c r="B307" s="20" t="s">
        <v>496</v>
      </c>
      <c r="C307" s="20" t="s">
        <v>114</v>
      </c>
      <c r="D307" s="20" t="s">
        <v>22</v>
      </c>
      <c r="E307" s="21">
        <f>ROUND(11882*1.05,2)</f>
      </c>
      <c r="F307" s="20" t="s">
        <v>23</v>
      </c>
      <c r="G307" s="20" t="s">
        <v>24</v>
      </c>
      <c r="H307" s="21">
        <f>ROUND(RAND()*4+6,1)</f>
      </c>
      <c r="I307" s="20" t="s">
        <v>25</v>
      </c>
      <c r="J307" s="23">
        <f>ROUND(93*1,0)&amp;"%"</f>
      </c>
    </row>
    <row x14ac:dyDescent="0.25" r="308" customHeight="1" ht="17.25">
      <c r="A308" s="17" t="s">
        <v>497</v>
      </c>
      <c r="B308" s="17" t="s">
        <v>498</v>
      </c>
      <c r="C308" s="17" t="s">
        <v>114</v>
      </c>
      <c r="D308" s="17" t="s">
        <v>28</v>
      </c>
      <c r="E308" s="18">
        <f>ROUND(6553*1.05,2)</f>
      </c>
      <c r="F308" s="17" t="s">
        <v>29</v>
      </c>
      <c r="G308" s="17" t="s">
        <v>30</v>
      </c>
      <c r="H308" s="18">
        <f>ROUND(RAND()*4+6,1)</f>
      </c>
      <c r="I308" s="17" t="s">
        <v>31</v>
      </c>
      <c r="J308" s="19">
        <f>ROUND(73*1,0)&amp;"%"</f>
      </c>
    </row>
    <row x14ac:dyDescent="0.25" r="309" customHeight="1" ht="17.25">
      <c r="A309" s="20" t="s">
        <v>499</v>
      </c>
      <c r="B309" s="20" t="s">
        <v>500</v>
      </c>
      <c r="C309" s="20" t="s">
        <v>114</v>
      </c>
      <c r="D309" s="20" t="s">
        <v>34</v>
      </c>
      <c r="E309" s="21">
        <f>ROUND(10570*1.05,2)</f>
      </c>
      <c r="F309" s="20" t="s">
        <v>35</v>
      </c>
      <c r="G309" s="20" t="s">
        <v>18</v>
      </c>
      <c r="H309" s="21">
        <f>ROUND(RAND()*4+6,1)</f>
      </c>
      <c r="I309" s="20" t="s">
        <v>36</v>
      </c>
      <c r="J309" s="23">
        <f>ROUND(100*1,0)&amp;"%"</f>
      </c>
    </row>
    <row x14ac:dyDescent="0.25" r="310" customHeight="1" ht="17.25">
      <c r="A310" s="17" t="s">
        <v>501</v>
      </c>
      <c r="B310" s="17" t="s">
        <v>502</v>
      </c>
      <c r="C310" s="17" t="s">
        <v>114</v>
      </c>
      <c r="D310" s="17" t="s">
        <v>39</v>
      </c>
      <c r="E310" s="18">
        <f>ROUND(16591*1.05,2)</f>
      </c>
      <c r="F310" s="17" t="s">
        <v>40</v>
      </c>
      <c r="G310" s="17" t="s">
        <v>24</v>
      </c>
      <c r="H310" s="18">
        <f>ROUND(RAND()*4+6,1)</f>
      </c>
      <c r="I310" s="17" t="s">
        <v>41</v>
      </c>
      <c r="J310" s="19">
        <f>ROUND(76*1,0)&amp;"%"</f>
      </c>
    </row>
    <row x14ac:dyDescent="0.25" r="311" customHeight="1" ht="17.25">
      <c r="A311" s="20" t="s">
        <v>503</v>
      </c>
      <c r="B311" s="20" t="s">
        <v>504</v>
      </c>
      <c r="C311" s="20" t="s">
        <v>114</v>
      </c>
      <c r="D311" s="20" t="s">
        <v>67</v>
      </c>
      <c r="E311" s="21">
        <f>ROUND(11075*1.05,2)</f>
      </c>
      <c r="F311" s="20" t="s">
        <v>44</v>
      </c>
      <c r="G311" s="20" t="s">
        <v>30</v>
      </c>
      <c r="H311" s="21">
        <f>ROUND(RAND()*4+6,1)</f>
      </c>
      <c r="I311" s="20" t="s">
        <v>45</v>
      </c>
      <c r="J311" s="23">
        <f>ROUND(79*1,0)&amp;"%"</f>
      </c>
    </row>
    <row x14ac:dyDescent="0.25" r="312" customHeight="1" ht="17.25">
      <c r="A312" s="17" t="s">
        <v>505</v>
      </c>
      <c r="B312" s="17" t="s">
        <v>506</v>
      </c>
      <c r="C312" s="17" t="s">
        <v>114</v>
      </c>
      <c r="D312" s="17" t="s">
        <v>16</v>
      </c>
      <c r="E312" s="18">
        <f>ROUND(6784*1.05,2)</f>
      </c>
      <c r="F312" s="17" t="s">
        <v>48</v>
      </c>
      <c r="G312" s="17" t="s">
        <v>18</v>
      </c>
      <c r="H312" s="18">
        <f>ROUND(RAND()*4+6,1)</f>
      </c>
      <c r="I312" s="17" t="s">
        <v>19</v>
      </c>
      <c r="J312" s="19">
        <f>ROUND(95*1,0)&amp;"%"</f>
      </c>
    </row>
    <row x14ac:dyDescent="0.25" r="313" customHeight="1" ht="17.25">
      <c r="A313" s="20" t="s">
        <v>507</v>
      </c>
      <c r="B313" s="20" t="s">
        <v>508</v>
      </c>
      <c r="C313" s="20" t="s">
        <v>114</v>
      </c>
      <c r="D313" s="20" t="s">
        <v>22</v>
      </c>
      <c r="E313" s="21">
        <f>ROUND(11475*1.05,2)</f>
      </c>
      <c r="F313" s="20" t="s">
        <v>51</v>
      </c>
      <c r="G313" s="20" t="s">
        <v>24</v>
      </c>
      <c r="H313" s="22">
        <f>ROUND(RAND()*4+6,1)</f>
      </c>
      <c r="I313" s="20" t="s">
        <v>25</v>
      </c>
      <c r="J313" s="23">
        <f>ROUND(63*1,0)&amp;"%"</f>
      </c>
    </row>
    <row x14ac:dyDescent="0.25" r="314" customHeight="1" ht="17.25">
      <c r="A314" s="24" t="s">
        <v>509</v>
      </c>
      <c r="B314" s="24"/>
      <c r="C314" s="24"/>
      <c r="D314" s="24"/>
      <c r="E314" s="25">
        <v>8</v>
      </c>
      <c r="F314" s="9"/>
      <c r="G314" s="9"/>
      <c r="H314" s="10"/>
      <c r="I314" s="9"/>
      <c r="J314" s="9"/>
    </row>
    <row x14ac:dyDescent="0.25" r="315" customHeight="1" ht="17.25">
      <c r="A315" s="7"/>
      <c r="B315" s="7"/>
      <c r="C315" s="7"/>
      <c r="D315" s="7"/>
      <c r="E315" s="8"/>
      <c r="F315" s="9"/>
      <c r="G315" s="9"/>
      <c r="H315" s="10"/>
      <c r="I315" s="9"/>
      <c r="J315" s="9"/>
    </row>
    <row x14ac:dyDescent="0.25" r="316" customHeight="1" ht="17.25">
      <c r="A316" s="11" t="s">
        <v>510</v>
      </c>
      <c r="B316" s="11"/>
      <c r="C316" s="11"/>
      <c r="D316" s="11"/>
      <c r="E316" s="12"/>
      <c r="F316" s="11"/>
      <c r="G316" s="11"/>
      <c r="H316" s="13"/>
      <c r="I316" s="11"/>
      <c r="J316" s="11"/>
    </row>
    <row x14ac:dyDescent="0.25" r="317" customHeight="1" ht="17.25">
      <c r="A317" s="14" t="s">
        <v>3</v>
      </c>
      <c r="B317" s="14" t="s">
        <v>4</v>
      </c>
      <c r="C317" s="14" t="s">
        <v>5</v>
      </c>
      <c r="D317" s="14" t="s">
        <v>6</v>
      </c>
      <c r="E317" s="15" t="s">
        <v>7</v>
      </c>
      <c r="F317" s="14" t="s">
        <v>8</v>
      </c>
      <c r="G317" s="14" t="s">
        <v>9</v>
      </c>
      <c r="H317" s="16" t="s">
        <v>10</v>
      </c>
      <c r="I317" s="14" t="s">
        <v>11</v>
      </c>
      <c r="J317" s="14" t="s">
        <v>12</v>
      </c>
    </row>
    <row x14ac:dyDescent="0.25" r="318" customHeight="1" ht="17.25">
      <c r="A318" s="17" t="s">
        <v>511</v>
      </c>
      <c r="B318" s="17" t="s">
        <v>512</v>
      </c>
      <c r="C318" s="17" t="s">
        <v>133</v>
      </c>
      <c r="D318" s="17" t="s">
        <v>16</v>
      </c>
      <c r="E318" s="26">
        <f>ROUND(14200*1.05,2)</f>
      </c>
      <c r="F318" s="17" t="s">
        <v>17</v>
      </c>
      <c r="G318" s="17" t="s">
        <v>18</v>
      </c>
      <c r="H318" s="18">
        <f>ROUND(RAND()*4+6,1)</f>
      </c>
      <c r="I318" s="17" t="s">
        <v>19</v>
      </c>
      <c r="J318" s="19">
        <f>ROUND(73*1,0)&amp;"%"</f>
      </c>
    </row>
    <row x14ac:dyDescent="0.25" r="319" customHeight="1" ht="17.25">
      <c r="A319" s="20" t="s">
        <v>513</v>
      </c>
      <c r="B319" s="20" t="s">
        <v>514</v>
      </c>
      <c r="C319" s="20" t="s">
        <v>133</v>
      </c>
      <c r="D319" s="20" t="s">
        <v>22</v>
      </c>
      <c r="E319" s="21">
        <f>ROUND(10942*1.05,2)</f>
      </c>
      <c r="F319" s="20" t="s">
        <v>23</v>
      </c>
      <c r="G319" s="20" t="s">
        <v>24</v>
      </c>
      <c r="H319" s="21">
        <f>ROUND(RAND()*4+6,1)</f>
      </c>
      <c r="I319" s="20" t="s">
        <v>25</v>
      </c>
      <c r="J319" s="23">
        <f>ROUND(66*1,0)&amp;"%"</f>
      </c>
    </row>
    <row x14ac:dyDescent="0.25" r="320" customHeight="1" ht="17.25">
      <c r="A320" s="17" t="s">
        <v>515</v>
      </c>
      <c r="B320" s="17" t="s">
        <v>516</v>
      </c>
      <c r="C320" s="17" t="s">
        <v>133</v>
      </c>
      <c r="D320" s="17" t="s">
        <v>28</v>
      </c>
      <c r="E320" s="18">
        <f>ROUND(6875*1.05,2)</f>
      </c>
      <c r="F320" s="17" t="s">
        <v>29</v>
      </c>
      <c r="G320" s="17" t="s">
        <v>30</v>
      </c>
      <c r="H320" s="26">
        <f>ROUND(RAND()*4+6,1)</f>
      </c>
      <c r="I320" s="17" t="s">
        <v>31</v>
      </c>
      <c r="J320" s="19">
        <f>ROUND(72*1,0)&amp;"%"</f>
      </c>
    </row>
    <row x14ac:dyDescent="0.25" r="321" customHeight="1" ht="17.25">
      <c r="A321" s="20" t="s">
        <v>517</v>
      </c>
      <c r="B321" s="20" t="s">
        <v>518</v>
      </c>
      <c r="C321" s="20" t="s">
        <v>133</v>
      </c>
      <c r="D321" s="20" t="s">
        <v>34</v>
      </c>
      <c r="E321" s="21">
        <f>ROUND(13858*1.05,2)</f>
      </c>
      <c r="F321" s="20" t="s">
        <v>35</v>
      </c>
      <c r="G321" s="20" t="s">
        <v>18</v>
      </c>
      <c r="H321" s="22">
        <f>ROUND(RAND()*4+6,1)</f>
      </c>
      <c r="I321" s="20" t="s">
        <v>36</v>
      </c>
      <c r="J321" s="23">
        <f>ROUND(70*1,0)&amp;"%"</f>
      </c>
    </row>
    <row x14ac:dyDescent="0.25" r="322" customHeight="1" ht="17.25">
      <c r="A322" s="17" t="s">
        <v>519</v>
      </c>
      <c r="B322" s="17" t="s">
        <v>520</v>
      </c>
      <c r="C322" s="17" t="s">
        <v>133</v>
      </c>
      <c r="D322" s="17" t="s">
        <v>39</v>
      </c>
      <c r="E322" s="18">
        <f>ROUND(4055*1.05,2)</f>
      </c>
      <c r="F322" s="17" t="s">
        <v>40</v>
      </c>
      <c r="G322" s="17" t="s">
        <v>24</v>
      </c>
      <c r="H322" s="18">
        <f>ROUND(RAND()*4+6,1)</f>
      </c>
      <c r="I322" s="17" t="s">
        <v>41</v>
      </c>
      <c r="J322" s="19">
        <f>ROUND(93*1,0)&amp;"%"</f>
      </c>
    </row>
    <row x14ac:dyDescent="0.25" r="323" customHeight="1" ht="17.25">
      <c r="A323" s="20" t="s">
        <v>521</v>
      </c>
      <c r="B323" s="20" t="s">
        <v>522</v>
      </c>
      <c r="C323" s="20" t="s">
        <v>133</v>
      </c>
      <c r="D323" s="20" t="s">
        <v>67</v>
      </c>
      <c r="E323" s="21">
        <f>ROUND(12051*1.05,2)</f>
      </c>
      <c r="F323" s="20" t="s">
        <v>44</v>
      </c>
      <c r="G323" s="20" t="s">
        <v>30</v>
      </c>
      <c r="H323" s="21">
        <f>ROUND(RAND()*4+6,1)</f>
      </c>
      <c r="I323" s="20" t="s">
        <v>45</v>
      </c>
      <c r="J323" s="23">
        <f>ROUND(95*1,0)&amp;"%"</f>
      </c>
    </row>
    <row x14ac:dyDescent="0.25" r="324" customHeight="1" ht="17.25">
      <c r="A324" s="17" t="s">
        <v>523</v>
      </c>
      <c r="B324" s="17" t="s">
        <v>524</v>
      </c>
      <c r="C324" s="17" t="s">
        <v>133</v>
      </c>
      <c r="D324" s="17" t="s">
        <v>16</v>
      </c>
      <c r="E324" s="18">
        <f>ROUND(14233*1.05,2)</f>
      </c>
      <c r="F324" s="17" t="s">
        <v>48</v>
      </c>
      <c r="G324" s="17" t="s">
        <v>18</v>
      </c>
      <c r="H324" s="18">
        <f>ROUND(RAND()*4+6,1)</f>
      </c>
      <c r="I324" s="17" t="s">
        <v>19</v>
      </c>
      <c r="J324" s="19">
        <f>ROUND(81*1,0)&amp;"%"</f>
      </c>
    </row>
    <row x14ac:dyDescent="0.25" r="325" customHeight="1" ht="17.25">
      <c r="A325" s="20" t="s">
        <v>525</v>
      </c>
      <c r="B325" s="20" t="s">
        <v>526</v>
      </c>
      <c r="C325" s="20" t="s">
        <v>133</v>
      </c>
      <c r="D325" s="20" t="s">
        <v>22</v>
      </c>
      <c r="E325" s="21">
        <f>ROUND(14049*1.05,2)</f>
      </c>
      <c r="F325" s="20" t="s">
        <v>51</v>
      </c>
      <c r="G325" s="20" t="s">
        <v>24</v>
      </c>
      <c r="H325" s="21">
        <f>ROUND(RAND()*4+6,1)</f>
      </c>
      <c r="I325" s="20" t="s">
        <v>25</v>
      </c>
      <c r="J325" s="23">
        <f>ROUND(70*1,0)&amp;"%"</f>
      </c>
    </row>
    <row x14ac:dyDescent="0.25" r="326" customHeight="1" ht="17.25">
      <c r="A326" s="24" t="s">
        <v>527</v>
      </c>
      <c r="B326" s="24"/>
      <c r="C326" s="24"/>
      <c r="D326" s="24"/>
      <c r="E326" s="25">
        <v>8</v>
      </c>
      <c r="F326" s="9"/>
      <c r="G326" s="9"/>
      <c r="H326" s="10"/>
      <c r="I326" s="9"/>
      <c r="J326" s="9"/>
    </row>
    <row x14ac:dyDescent="0.25" r="327" customHeight="1" ht="17.25">
      <c r="A327" s="7"/>
      <c r="B327" s="7"/>
      <c r="C327" s="7"/>
      <c r="D327" s="7"/>
      <c r="E327" s="8"/>
      <c r="F327" s="9"/>
      <c r="G327" s="9"/>
      <c r="H327" s="10"/>
      <c r="I327" s="9"/>
      <c r="J327" s="9"/>
    </row>
    <row x14ac:dyDescent="0.25" r="328" customHeight="1" ht="17.25">
      <c r="A328" s="11" t="s">
        <v>528</v>
      </c>
      <c r="B328" s="11"/>
      <c r="C328" s="11"/>
      <c r="D328" s="11"/>
      <c r="E328" s="12"/>
      <c r="F328" s="11"/>
      <c r="G328" s="11"/>
      <c r="H328" s="13"/>
      <c r="I328" s="11"/>
      <c r="J328" s="11"/>
    </row>
    <row x14ac:dyDescent="0.25" r="329" customHeight="1" ht="17.25">
      <c r="A329" s="14" t="s">
        <v>3</v>
      </c>
      <c r="B329" s="14" t="s">
        <v>4</v>
      </c>
      <c r="C329" s="14" t="s">
        <v>5</v>
      </c>
      <c r="D329" s="14" t="s">
        <v>6</v>
      </c>
      <c r="E329" s="15" t="s">
        <v>7</v>
      </c>
      <c r="F329" s="14" t="s">
        <v>8</v>
      </c>
      <c r="G329" s="14" t="s">
        <v>9</v>
      </c>
      <c r="H329" s="16" t="s">
        <v>10</v>
      </c>
      <c r="I329" s="14" t="s">
        <v>11</v>
      </c>
      <c r="J329" s="14" t="s">
        <v>12</v>
      </c>
    </row>
    <row x14ac:dyDescent="0.25" r="330" customHeight="1" ht="17.25">
      <c r="A330" s="17" t="s">
        <v>529</v>
      </c>
      <c r="B330" s="17" t="s">
        <v>530</v>
      </c>
      <c r="C330" s="17" t="s">
        <v>152</v>
      </c>
      <c r="D330" s="17" t="s">
        <v>16</v>
      </c>
      <c r="E330" s="18">
        <f>ROUND(6603*1.05,2)</f>
      </c>
      <c r="F330" s="17" t="s">
        <v>17</v>
      </c>
      <c r="G330" s="17" t="s">
        <v>18</v>
      </c>
      <c r="H330" s="18">
        <f>ROUND(RAND()*4+6,1)</f>
      </c>
      <c r="I330" s="17" t="s">
        <v>19</v>
      </c>
      <c r="J330" s="19">
        <f>ROUND(81*1,0)&amp;"%"</f>
      </c>
    </row>
    <row x14ac:dyDescent="0.25" r="331" customHeight="1" ht="17.25">
      <c r="A331" s="20" t="s">
        <v>531</v>
      </c>
      <c r="B331" s="20" t="s">
        <v>532</v>
      </c>
      <c r="C331" s="20" t="s">
        <v>152</v>
      </c>
      <c r="D331" s="20" t="s">
        <v>22</v>
      </c>
      <c r="E331" s="21">
        <f>ROUND(12081*1.05,2)</f>
      </c>
      <c r="F331" s="20" t="s">
        <v>23</v>
      </c>
      <c r="G331" s="20" t="s">
        <v>24</v>
      </c>
      <c r="H331" s="22">
        <f>ROUND(RAND()*4+6,1)</f>
      </c>
      <c r="I331" s="20" t="s">
        <v>25</v>
      </c>
      <c r="J331" s="23">
        <f>ROUND(76*1,0)&amp;"%"</f>
      </c>
    </row>
    <row x14ac:dyDescent="0.25" r="332" customHeight="1" ht="17.25">
      <c r="A332" s="17" t="s">
        <v>533</v>
      </c>
      <c r="B332" s="17" t="s">
        <v>534</v>
      </c>
      <c r="C332" s="17" t="s">
        <v>152</v>
      </c>
      <c r="D332" s="17" t="s">
        <v>28</v>
      </c>
      <c r="E332" s="18">
        <f>ROUND(4350*1.05,2)</f>
      </c>
      <c r="F332" s="17" t="s">
        <v>29</v>
      </c>
      <c r="G332" s="17" t="s">
        <v>30</v>
      </c>
      <c r="H332" s="18">
        <f>ROUND(RAND()*4+6,1)</f>
      </c>
      <c r="I332" s="17" t="s">
        <v>31</v>
      </c>
      <c r="J332" s="19">
        <f>ROUND(96*1,0)&amp;"%"</f>
      </c>
    </row>
    <row x14ac:dyDescent="0.25" r="333" customHeight="1" ht="17.25">
      <c r="A333" s="20" t="s">
        <v>535</v>
      </c>
      <c r="B333" s="20" t="s">
        <v>536</v>
      </c>
      <c r="C333" s="20" t="s">
        <v>152</v>
      </c>
      <c r="D333" s="20" t="s">
        <v>34</v>
      </c>
      <c r="E333" s="21">
        <f>ROUND(16916*1.05,2)</f>
      </c>
      <c r="F333" s="20" t="s">
        <v>35</v>
      </c>
      <c r="G333" s="20" t="s">
        <v>18</v>
      </c>
      <c r="H333" s="21">
        <f>ROUND(RAND()*4+6,1)</f>
      </c>
      <c r="I333" s="20" t="s">
        <v>36</v>
      </c>
      <c r="J333" s="23">
        <f>ROUND(76*1,0)&amp;"%"</f>
      </c>
    </row>
    <row x14ac:dyDescent="0.25" r="334" customHeight="1" ht="17.25">
      <c r="A334" s="17" t="s">
        <v>537</v>
      </c>
      <c r="B334" s="17" t="s">
        <v>538</v>
      </c>
      <c r="C334" s="17" t="s">
        <v>152</v>
      </c>
      <c r="D334" s="17" t="s">
        <v>39</v>
      </c>
      <c r="E334" s="18">
        <f>ROUND(13891*1.05,2)</f>
      </c>
      <c r="F334" s="17" t="s">
        <v>40</v>
      </c>
      <c r="G334" s="17" t="s">
        <v>24</v>
      </c>
      <c r="H334" s="18">
        <f>ROUND(RAND()*4+6,1)</f>
      </c>
      <c r="I334" s="17" t="s">
        <v>41</v>
      </c>
      <c r="J334" s="19">
        <f>ROUND(69*1,0)&amp;"%"</f>
      </c>
    </row>
    <row x14ac:dyDescent="0.25" r="335" customHeight="1" ht="17.25">
      <c r="A335" s="20" t="s">
        <v>539</v>
      </c>
      <c r="B335" s="20" t="s">
        <v>540</v>
      </c>
      <c r="C335" s="20" t="s">
        <v>152</v>
      </c>
      <c r="D335" s="20" t="s">
        <v>67</v>
      </c>
      <c r="E335" s="22">
        <f>ROUND(12880*1.05,2)</f>
      </c>
      <c r="F335" s="20" t="s">
        <v>44</v>
      </c>
      <c r="G335" s="20" t="s">
        <v>30</v>
      </c>
      <c r="H335" s="22">
        <f>ROUND(RAND()*4+6,1)</f>
      </c>
      <c r="I335" s="20" t="s">
        <v>45</v>
      </c>
      <c r="J335" s="23">
        <f>ROUND(77*1,0)&amp;"%"</f>
      </c>
    </row>
    <row x14ac:dyDescent="0.25" r="336" customHeight="1" ht="17.25">
      <c r="A336" s="17" t="s">
        <v>541</v>
      </c>
      <c r="B336" s="17" t="s">
        <v>542</v>
      </c>
      <c r="C336" s="17" t="s">
        <v>152</v>
      </c>
      <c r="D336" s="17" t="s">
        <v>16</v>
      </c>
      <c r="E336" s="18">
        <f>ROUND(4354*1.05,2)</f>
      </c>
      <c r="F336" s="17" t="s">
        <v>48</v>
      </c>
      <c r="G336" s="17" t="s">
        <v>18</v>
      </c>
      <c r="H336" s="18">
        <f>ROUND(RAND()*4+6,1)</f>
      </c>
      <c r="I336" s="17" t="s">
        <v>19</v>
      </c>
      <c r="J336" s="19">
        <f>ROUND(97*1,0)&amp;"%"</f>
      </c>
    </row>
    <row x14ac:dyDescent="0.25" r="337" customHeight="1" ht="17.25">
      <c r="A337" s="20" t="s">
        <v>543</v>
      </c>
      <c r="B337" s="20" t="s">
        <v>544</v>
      </c>
      <c r="C337" s="20" t="s">
        <v>152</v>
      </c>
      <c r="D337" s="20" t="s">
        <v>22</v>
      </c>
      <c r="E337" s="21">
        <f>ROUND(13730*1.05,2)</f>
      </c>
      <c r="F337" s="20" t="s">
        <v>51</v>
      </c>
      <c r="G337" s="20" t="s">
        <v>24</v>
      </c>
      <c r="H337" s="21">
        <f>ROUND(RAND()*4+6,1)</f>
      </c>
      <c r="I337" s="20" t="s">
        <v>25</v>
      </c>
      <c r="J337" s="23">
        <f>ROUND(82*1,0)&amp;"%"</f>
      </c>
    </row>
    <row x14ac:dyDescent="0.25" r="338" customHeight="1" ht="17.25">
      <c r="A338" s="24" t="s">
        <v>545</v>
      </c>
      <c r="B338" s="24"/>
      <c r="C338" s="24"/>
      <c r="D338" s="24"/>
      <c r="E338" s="25">
        <v>8</v>
      </c>
      <c r="F338" s="9"/>
      <c r="G338" s="9"/>
      <c r="H338" s="10"/>
      <c r="I338" s="9"/>
      <c r="J338" s="9"/>
    </row>
    <row x14ac:dyDescent="0.25" r="339" customHeight="1" ht="17.25">
      <c r="A339" s="7"/>
      <c r="B339" s="7"/>
      <c r="C339" s="7"/>
      <c r="D339" s="7"/>
      <c r="E339" s="8"/>
      <c r="F339" s="9"/>
      <c r="G339" s="9"/>
      <c r="H339" s="10"/>
      <c r="I339" s="9"/>
      <c r="J339" s="9"/>
    </row>
    <row x14ac:dyDescent="0.25" r="340" customHeight="1" ht="17.25">
      <c r="A340" s="11" t="s">
        <v>546</v>
      </c>
      <c r="B340" s="11"/>
      <c r="C340" s="11"/>
      <c r="D340" s="11"/>
      <c r="E340" s="12"/>
      <c r="F340" s="11"/>
      <c r="G340" s="11"/>
      <c r="H340" s="13"/>
      <c r="I340" s="11"/>
      <c r="J340" s="11"/>
    </row>
    <row x14ac:dyDescent="0.25" r="341" customHeight="1" ht="17.25">
      <c r="A341" s="14" t="s">
        <v>3</v>
      </c>
      <c r="B341" s="14" t="s">
        <v>4</v>
      </c>
      <c r="C341" s="14" t="s">
        <v>5</v>
      </c>
      <c r="D341" s="14" t="s">
        <v>6</v>
      </c>
      <c r="E341" s="15" t="s">
        <v>7</v>
      </c>
      <c r="F341" s="14" t="s">
        <v>8</v>
      </c>
      <c r="G341" s="14" t="s">
        <v>9</v>
      </c>
      <c r="H341" s="16" t="s">
        <v>10</v>
      </c>
      <c r="I341" s="14" t="s">
        <v>11</v>
      </c>
      <c r="J341" s="14" t="s">
        <v>12</v>
      </c>
    </row>
    <row x14ac:dyDescent="0.25" r="342" customHeight="1" ht="17.25">
      <c r="A342" s="17" t="s">
        <v>547</v>
      </c>
      <c r="B342" s="17" t="s">
        <v>548</v>
      </c>
      <c r="C342" s="17" t="s">
        <v>15</v>
      </c>
      <c r="D342" s="17" t="s">
        <v>16</v>
      </c>
      <c r="E342" s="18">
        <f>ROUND(7074*1.05,2)</f>
      </c>
      <c r="F342" s="17" t="s">
        <v>17</v>
      </c>
      <c r="G342" s="17" t="s">
        <v>18</v>
      </c>
      <c r="H342" s="18">
        <f>ROUND(RAND()*4+6,1)</f>
      </c>
      <c r="I342" s="17" t="s">
        <v>19</v>
      </c>
      <c r="J342" s="19">
        <f>ROUND(76*1,0)&amp;"%"</f>
      </c>
    </row>
    <row x14ac:dyDescent="0.25" r="343" customHeight="1" ht="17.25">
      <c r="A343" s="20" t="s">
        <v>549</v>
      </c>
      <c r="B343" s="20" t="s">
        <v>550</v>
      </c>
      <c r="C343" s="20" t="s">
        <v>15</v>
      </c>
      <c r="D343" s="20" t="s">
        <v>22</v>
      </c>
      <c r="E343" s="21">
        <f>ROUND(6007*1.05,2)</f>
      </c>
      <c r="F343" s="20" t="s">
        <v>23</v>
      </c>
      <c r="G343" s="20" t="s">
        <v>24</v>
      </c>
      <c r="H343" s="21">
        <f>ROUND(RAND()*4+6,1)</f>
      </c>
      <c r="I343" s="20" t="s">
        <v>25</v>
      </c>
      <c r="J343" s="23">
        <f>ROUND(72*1,0)&amp;"%"</f>
      </c>
    </row>
    <row x14ac:dyDescent="0.25" r="344" customHeight="1" ht="17.25">
      <c r="A344" s="17" t="s">
        <v>551</v>
      </c>
      <c r="B344" s="17" t="s">
        <v>552</v>
      </c>
      <c r="C344" s="17" t="s">
        <v>15</v>
      </c>
      <c r="D344" s="17" t="s">
        <v>28</v>
      </c>
      <c r="E344" s="18">
        <f>ROUND(4694*1.05,2)</f>
      </c>
      <c r="F344" s="17" t="s">
        <v>29</v>
      </c>
      <c r="G344" s="17" t="s">
        <v>30</v>
      </c>
      <c r="H344" s="26">
        <f>ROUND(RAND()*4+6,1)</f>
      </c>
      <c r="I344" s="17" t="s">
        <v>31</v>
      </c>
      <c r="J344" s="19">
        <f>ROUND(80*1,0)&amp;"%"</f>
      </c>
    </row>
    <row x14ac:dyDescent="0.25" r="345" customHeight="1" ht="17.25">
      <c r="A345" s="20" t="s">
        <v>553</v>
      </c>
      <c r="B345" s="20" t="s">
        <v>554</v>
      </c>
      <c r="C345" s="20" t="s">
        <v>15</v>
      </c>
      <c r="D345" s="20" t="s">
        <v>34</v>
      </c>
      <c r="E345" s="21">
        <f>ROUND(6836*1.05,2)</f>
      </c>
      <c r="F345" s="20" t="s">
        <v>35</v>
      </c>
      <c r="G345" s="20" t="s">
        <v>18</v>
      </c>
      <c r="H345" s="22">
        <f>ROUND(RAND()*4+6,1)</f>
      </c>
      <c r="I345" s="20" t="s">
        <v>36</v>
      </c>
      <c r="J345" s="23">
        <f>ROUND(98*1,0)&amp;"%"</f>
      </c>
    </row>
    <row x14ac:dyDescent="0.25" r="346" customHeight="1" ht="17.25">
      <c r="A346" s="17" t="s">
        <v>555</v>
      </c>
      <c r="B346" s="17" t="s">
        <v>556</v>
      </c>
      <c r="C346" s="17" t="s">
        <v>15</v>
      </c>
      <c r="D346" s="17" t="s">
        <v>39</v>
      </c>
      <c r="E346" s="18">
        <f>ROUND(15525*1.05,2)</f>
      </c>
      <c r="F346" s="17" t="s">
        <v>40</v>
      </c>
      <c r="G346" s="17" t="s">
        <v>24</v>
      </c>
      <c r="H346" s="18">
        <f>ROUND(RAND()*4+6,1)</f>
      </c>
      <c r="I346" s="17" t="s">
        <v>41</v>
      </c>
      <c r="J346" s="19">
        <f>ROUND(71*1,0)&amp;"%"</f>
      </c>
    </row>
    <row x14ac:dyDescent="0.25" r="347" customHeight="1" ht="17.25">
      <c r="A347" s="20" t="s">
        <v>557</v>
      </c>
      <c r="B347" s="20" t="s">
        <v>558</v>
      </c>
      <c r="C347" s="20" t="s">
        <v>15</v>
      </c>
      <c r="D347" s="20" t="s">
        <v>67</v>
      </c>
      <c r="E347" s="21">
        <f>ROUND(17392*1.05,2)</f>
      </c>
      <c r="F347" s="20" t="s">
        <v>44</v>
      </c>
      <c r="G347" s="20" t="s">
        <v>30</v>
      </c>
      <c r="H347" s="22">
        <f>ROUND(RAND()*4+6,1)</f>
      </c>
      <c r="I347" s="20" t="s">
        <v>45</v>
      </c>
      <c r="J347" s="23">
        <f>ROUND(97*1,0)&amp;"%"</f>
      </c>
    </row>
    <row x14ac:dyDescent="0.25" r="348" customHeight="1" ht="17.25">
      <c r="A348" s="17" t="s">
        <v>559</v>
      </c>
      <c r="B348" s="17" t="s">
        <v>560</v>
      </c>
      <c r="C348" s="17" t="s">
        <v>15</v>
      </c>
      <c r="D348" s="17" t="s">
        <v>16</v>
      </c>
      <c r="E348" s="18">
        <f>ROUND(11526*1.05,2)</f>
      </c>
      <c r="F348" s="17" t="s">
        <v>48</v>
      </c>
      <c r="G348" s="17" t="s">
        <v>18</v>
      </c>
      <c r="H348" s="18">
        <f>ROUND(RAND()*4+6,1)</f>
      </c>
      <c r="I348" s="17" t="s">
        <v>19</v>
      </c>
      <c r="J348" s="19">
        <f>ROUND(97*1,0)&amp;"%"</f>
      </c>
    </row>
    <row x14ac:dyDescent="0.25" r="349" customHeight="1" ht="17.25">
      <c r="A349" s="20" t="s">
        <v>561</v>
      </c>
      <c r="B349" s="20" t="s">
        <v>562</v>
      </c>
      <c r="C349" s="20" t="s">
        <v>15</v>
      </c>
      <c r="D349" s="20" t="s">
        <v>22</v>
      </c>
      <c r="E349" s="21">
        <f>ROUND(12918*1.05,2)</f>
      </c>
      <c r="F349" s="20" t="s">
        <v>51</v>
      </c>
      <c r="G349" s="20" t="s">
        <v>24</v>
      </c>
      <c r="H349" s="21">
        <f>ROUND(RAND()*4+6,1)</f>
      </c>
      <c r="I349" s="20" t="s">
        <v>25</v>
      </c>
      <c r="J349" s="23">
        <f>ROUND(79*1,0)&amp;"%"</f>
      </c>
    </row>
    <row x14ac:dyDescent="0.25" r="350" customHeight="1" ht="17.25">
      <c r="A350" s="24" t="s">
        <v>563</v>
      </c>
      <c r="B350" s="24"/>
      <c r="C350" s="24"/>
      <c r="D350" s="24"/>
      <c r="E350" s="25">
        <v>8</v>
      </c>
      <c r="F350" s="9"/>
      <c r="G350" s="9"/>
      <c r="H350" s="10"/>
      <c r="I350" s="9"/>
      <c r="J350" s="9"/>
    </row>
    <row x14ac:dyDescent="0.25" r="351" customHeight="1" ht="17.25">
      <c r="A351" s="7"/>
      <c r="B351" s="7"/>
      <c r="C351" s="7"/>
      <c r="D351" s="7"/>
      <c r="E351" s="8"/>
      <c r="F351" s="9"/>
      <c r="G351" s="9"/>
      <c r="H351" s="10"/>
      <c r="I351" s="9"/>
      <c r="J351" s="9"/>
    </row>
    <row x14ac:dyDescent="0.25" r="352" customHeight="1" ht="17.25">
      <c r="A352" s="11" t="s">
        <v>564</v>
      </c>
      <c r="B352" s="11"/>
      <c r="C352" s="11"/>
      <c r="D352" s="11"/>
      <c r="E352" s="12"/>
      <c r="F352" s="11"/>
      <c r="G352" s="11"/>
      <c r="H352" s="13"/>
      <c r="I352" s="11"/>
      <c r="J352" s="11"/>
    </row>
    <row x14ac:dyDescent="0.25" r="353" customHeight="1" ht="17.25">
      <c r="A353" s="14" t="s">
        <v>3</v>
      </c>
      <c r="B353" s="14" t="s">
        <v>4</v>
      </c>
      <c r="C353" s="14" t="s">
        <v>5</v>
      </c>
      <c r="D353" s="14" t="s">
        <v>6</v>
      </c>
      <c r="E353" s="15" t="s">
        <v>7</v>
      </c>
      <c r="F353" s="14" t="s">
        <v>8</v>
      </c>
      <c r="G353" s="14" t="s">
        <v>9</v>
      </c>
      <c r="H353" s="16" t="s">
        <v>10</v>
      </c>
      <c r="I353" s="14" t="s">
        <v>11</v>
      </c>
      <c r="J353" s="14" t="s">
        <v>12</v>
      </c>
    </row>
    <row x14ac:dyDescent="0.25" r="354" customHeight="1" ht="17.25">
      <c r="A354" s="17" t="s">
        <v>565</v>
      </c>
      <c r="B354" s="17" t="s">
        <v>566</v>
      </c>
      <c r="C354" s="17" t="s">
        <v>56</v>
      </c>
      <c r="D354" s="17" t="s">
        <v>16</v>
      </c>
      <c r="E354" s="18">
        <f>ROUND(10583*1.05,2)</f>
      </c>
      <c r="F354" s="17" t="s">
        <v>17</v>
      </c>
      <c r="G354" s="17" t="s">
        <v>18</v>
      </c>
      <c r="H354" s="18">
        <f>ROUND(RAND()*4+6,1)</f>
      </c>
      <c r="I354" s="17" t="s">
        <v>19</v>
      </c>
      <c r="J354" s="19">
        <f>ROUND(85*1,0)&amp;"%"</f>
      </c>
    </row>
    <row x14ac:dyDescent="0.25" r="355" customHeight="1" ht="17.25">
      <c r="A355" s="20" t="s">
        <v>567</v>
      </c>
      <c r="B355" s="20" t="s">
        <v>568</v>
      </c>
      <c r="C355" s="20" t="s">
        <v>56</v>
      </c>
      <c r="D355" s="20" t="s">
        <v>22</v>
      </c>
      <c r="E355" s="21">
        <f>ROUND(7324*1.05,2)</f>
      </c>
      <c r="F355" s="20" t="s">
        <v>23</v>
      </c>
      <c r="G355" s="20" t="s">
        <v>24</v>
      </c>
      <c r="H355" s="21">
        <f>ROUND(RAND()*4+6,1)</f>
      </c>
      <c r="I355" s="20" t="s">
        <v>25</v>
      </c>
      <c r="J355" s="23">
        <f>ROUND(82*1,0)&amp;"%"</f>
      </c>
    </row>
    <row x14ac:dyDescent="0.25" r="356" customHeight="1" ht="17.25">
      <c r="A356" s="17" t="s">
        <v>569</v>
      </c>
      <c r="B356" s="17" t="s">
        <v>570</v>
      </c>
      <c r="C356" s="17" t="s">
        <v>56</v>
      </c>
      <c r="D356" s="17" t="s">
        <v>28</v>
      </c>
      <c r="E356" s="18">
        <f>ROUND(14862*1.05,2)</f>
      </c>
      <c r="F356" s="17" t="s">
        <v>29</v>
      </c>
      <c r="G356" s="17" t="s">
        <v>30</v>
      </c>
      <c r="H356" s="18">
        <f>ROUND(RAND()*4+6,1)</f>
      </c>
      <c r="I356" s="17" t="s">
        <v>31</v>
      </c>
      <c r="J356" s="19">
        <f>ROUND(88*1,0)&amp;"%"</f>
      </c>
    </row>
    <row x14ac:dyDescent="0.25" r="357" customHeight="1" ht="17.25">
      <c r="A357" s="20" t="s">
        <v>571</v>
      </c>
      <c r="B357" s="20" t="s">
        <v>572</v>
      </c>
      <c r="C357" s="20" t="s">
        <v>56</v>
      </c>
      <c r="D357" s="20" t="s">
        <v>34</v>
      </c>
      <c r="E357" s="21">
        <f>ROUND(8868*1.05,2)</f>
      </c>
      <c r="F357" s="20" t="s">
        <v>35</v>
      </c>
      <c r="G357" s="20" t="s">
        <v>18</v>
      </c>
      <c r="H357" s="21">
        <f>ROUND(RAND()*4+6,1)</f>
      </c>
      <c r="I357" s="20" t="s">
        <v>36</v>
      </c>
      <c r="J357" s="23">
        <f>ROUND(99*1,0)&amp;"%"</f>
      </c>
    </row>
    <row x14ac:dyDescent="0.25" r="358" customHeight="1" ht="17.25">
      <c r="A358" s="17" t="s">
        <v>573</v>
      </c>
      <c r="B358" s="17" t="s">
        <v>574</v>
      </c>
      <c r="C358" s="17" t="s">
        <v>56</v>
      </c>
      <c r="D358" s="17" t="s">
        <v>39</v>
      </c>
      <c r="E358" s="18">
        <f>ROUND(15388*1.05,2)</f>
      </c>
      <c r="F358" s="17" t="s">
        <v>40</v>
      </c>
      <c r="G358" s="17" t="s">
        <v>24</v>
      </c>
      <c r="H358" s="18">
        <f>ROUND(RAND()*4+6,1)</f>
      </c>
      <c r="I358" s="17" t="s">
        <v>41</v>
      </c>
      <c r="J358" s="19">
        <f>ROUND(90*1,0)&amp;"%"</f>
      </c>
    </row>
    <row x14ac:dyDescent="0.25" r="359" customHeight="1" ht="17.25">
      <c r="A359" s="20" t="s">
        <v>575</v>
      </c>
      <c r="B359" s="20" t="s">
        <v>576</v>
      </c>
      <c r="C359" s="20" t="s">
        <v>56</v>
      </c>
      <c r="D359" s="20" t="s">
        <v>67</v>
      </c>
      <c r="E359" s="21">
        <f>ROUND(4472*1.05,2)</f>
      </c>
      <c r="F359" s="20" t="s">
        <v>44</v>
      </c>
      <c r="G359" s="20" t="s">
        <v>30</v>
      </c>
      <c r="H359" s="21">
        <f>ROUND(RAND()*4+6,1)</f>
      </c>
      <c r="I359" s="20" t="s">
        <v>45</v>
      </c>
      <c r="J359" s="23">
        <f>ROUND(73*1,0)&amp;"%"</f>
      </c>
    </row>
    <row x14ac:dyDescent="0.25" r="360" customHeight="1" ht="17.25">
      <c r="A360" s="17" t="s">
        <v>577</v>
      </c>
      <c r="B360" s="17" t="s">
        <v>578</v>
      </c>
      <c r="C360" s="17" t="s">
        <v>56</v>
      </c>
      <c r="D360" s="17" t="s">
        <v>16</v>
      </c>
      <c r="E360" s="18">
        <f>ROUND(10074*1.05,2)</f>
      </c>
      <c r="F360" s="17" t="s">
        <v>48</v>
      </c>
      <c r="G360" s="17" t="s">
        <v>18</v>
      </c>
      <c r="H360" s="18">
        <f>ROUND(RAND()*4+6,1)</f>
      </c>
      <c r="I360" s="17" t="s">
        <v>19</v>
      </c>
      <c r="J360" s="19">
        <f>ROUND(66*1,0)&amp;"%"</f>
      </c>
    </row>
    <row x14ac:dyDescent="0.25" r="361" customHeight="1" ht="17.25">
      <c r="A361" s="20" t="s">
        <v>579</v>
      </c>
      <c r="B361" s="20" t="s">
        <v>580</v>
      </c>
      <c r="C361" s="20" t="s">
        <v>56</v>
      </c>
      <c r="D361" s="20" t="s">
        <v>22</v>
      </c>
      <c r="E361" s="21">
        <f>ROUND(7076*1.05,2)</f>
      </c>
      <c r="F361" s="20" t="s">
        <v>51</v>
      </c>
      <c r="G361" s="20" t="s">
        <v>24</v>
      </c>
      <c r="H361" s="21">
        <f>ROUND(RAND()*4+6,1)</f>
      </c>
      <c r="I361" s="20" t="s">
        <v>25</v>
      </c>
      <c r="J361" s="23">
        <f>ROUND(77*1,0)&amp;"%"</f>
      </c>
    </row>
    <row x14ac:dyDescent="0.25" r="362" customHeight="1" ht="17.25">
      <c r="A362" s="24" t="s">
        <v>581</v>
      </c>
      <c r="B362" s="24"/>
      <c r="C362" s="24"/>
      <c r="D362" s="24"/>
      <c r="E362" s="25">
        <v>8</v>
      </c>
      <c r="F362" s="9"/>
      <c r="G362" s="9"/>
      <c r="H362" s="10"/>
      <c r="I362" s="9"/>
      <c r="J362" s="9"/>
    </row>
  </sheetData>
  <mergeCells count="62">
    <mergeCell ref="A1:J1"/>
    <mergeCell ref="A2:J2"/>
    <mergeCell ref="A4:J4"/>
    <mergeCell ref="A14:D14"/>
    <mergeCell ref="A16:J16"/>
    <mergeCell ref="A26:D26"/>
    <mergeCell ref="A28:J28"/>
    <mergeCell ref="A38:D38"/>
    <mergeCell ref="A40:J40"/>
    <mergeCell ref="A50:D50"/>
    <mergeCell ref="A52:J52"/>
    <mergeCell ref="A62:D62"/>
    <mergeCell ref="A64:J64"/>
    <mergeCell ref="A74:D74"/>
    <mergeCell ref="A76:J76"/>
    <mergeCell ref="A86:D86"/>
    <mergeCell ref="A88:J88"/>
    <mergeCell ref="A98:D98"/>
    <mergeCell ref="A100:J100"/>
    <mergeCell ref="A110:D110"/>
    <mergeCell ref="A112:J112"/>
    <mergeCell ref="A122:D122"/>
    <mergeCell ref="A124:J124"/>
    <mergeCell ref="A134:D134"/>
    <mergeCell ref="A136:J136"/>
    <mergeCell ref="A146:D146"/>
    <mergeCell ref="A148:J148"/>
    <mergeCell ref="A158:D158"/>
    <mergeCell ref="A160:J160"/>
    <mergeCell ref="A170:D170"/>
    <mergeCell ref="A172:J172"/>
    <mergeCell ref="A182:D182"/>
    <mergeCell ref="A184:J184"/>
    <mergeCell ref="A194:D194"/>
    <mergeCell ref="A196:J196"/>
    <mergeCell ref="A206:D206"/>
    <mergeCell ref="A208:J208"/>
    <mergeCell ref="A218:D218"/>
    <mergeCell ref="A220:J220"/>
    <mergeCell ref="A230:D230"/>
    <mergeCell ref="A232:J232"/>
    <mergeCell ref="A242:D242"/>
    <mergeCell ref="A244:J244"/>
    <mergeCell ref="A254:D254"/>
    <mergeCell ref="A256:J256"/>
    <mergeCell ref="A266:D266"/>
    <mergeCell ref="A268:J268"/>
    <mergeCell ref="A278:D278"/>
    <mergeCell ref="A280:J280"/>
    <mergeCell ref="A290:D290"/>
    <mergeCell ref="A292:J292"/>
    <mergeCell ref="A302:D302"/>
    <mergeCell ref="A304:J304"/>
    <mergeCell ref="A314:D314"/>
    <mergeCell ref="A316:J316"/>
    <mergeCell ref="A326:D326"/>
    <mergeCell ref="A328:J328"/>
    <mergeCell ref="A338:D338"/>
    <mergeCell ref="A340:J340"/>
    <mergeCell ref="A350:D350"/>
    <mergeCell ref="A352:J352"/>
    <mergeCell ref="A362:D362"/>
  </mergeCells>
  <pageMargins left="0.7" right="0.7" top="0.75" bottom="0.75" header="0.3" footer="0.3"/>
</worksheet>
</file>

<file path=docProps/app.xml><?xml version="1.0" encoding="utf-8"?>
<Properties xmlns:vt="http://schemas.openxmlformats.org/officeDocument/2006/docPropsVTypes" xmlns="http://schemas.openxmlformats.org/officeDocument/2006/extended-properties">
  <Application>wijmo.xlsx</Application>
  <DocSecurity>0</DocSecurity>
  <ScaleCrop>false</ScaleCrop>
  <HeadingPairs>
    <vt:vector baseType="variant" size="2">
      <vt:variant>
        <vt:lpstr>Worksheets</vt:lpstr>
      </vt:variant>
      <vt:variant>
        <vt:i4>50</vt:i4>
      </vt:variant>
    </vt:vector>
  </HeadingPairs>
  <TitlesOfParts>
    <vt:vector baseType="lpstr" size="50">
      <vt:lpstr>Aba_01</vt:lpstr>
      <vt:lpstr>Aba_02</vt:lpstr>
      <vt:lpstr>Aba_03</vt:lpstr>
      <vt:lpstr>Aba_04</vt:lpstr>
      <vt:lpstr>Aba_05</vt:lpstr>
      <vt:lpstr>Aba_06</vt:lpstr>
      <vt:lpstr>Aba_07</vt:lpstr>
      <vt:lpstr>Aba_08</vt:lpstr>
      <vt:lpstr>Aba_09</vt:lpstr>
      <vt:lpstr>Aba_10</vt:lpstr>
      <vt:lpstr>Aba_11</vt:lpstr>
      <vt:lpstr>Aba_12</vt:lpstr>
      <vt:lpstr>Aba_13</vt:lpstr>
      <vt:lpstr>Aba_14</vt:lpstr>
      <vt:lpstr>Aba_15</vt:lpstr>
      <vt:lpstr>Aba_16</vt:lpstr>
      <vt:lpstr>Aba_17</vt:lpstr>
      <vt:lpstr>Aba_18</vt:lpstr>
      <vt:lpstr>Aba_19</vt:lpstr>
      <vt:lpstr>Aba_20</vt:lpstr>
      <vt:lpstr>Aba_21</vt:lpstr>
      <vt:lpstr>Aba_22</vt:lpstr>
      <vt:lpstr>Aba_23</vt:lpstr>
      <vt:lpstr>Aba_24</vt:lpstr>
      <vt:lpstr>Aba_25</vt:lpstr>
      <vt:lpstr>Aba_26</vt:lpstr>
      <vt:lpstr>Aba_27</vt:lpstr>
      <vt:lpstr>Aba_28</vt:lpstr>
      <vt:lpstr>Aba_29</vt:lpstr>
      <vt:lpstr>Aba_30</vt:lpstr>
      <vt:lpstr>Aba_31</vt:lpstr>
      <vt:lpstr>Aba_32</vt:lpstr>
      <vt:lpstr>Aba_33</vt:lpstr>
      <vt:lpstr>Aba_34</vt:lpstr>
      <vt:lpstr>Aba_35</vt:lpstr>
      <vt:lpstr>Aba_36</vt:lpstr>
      <vt:lpstr>Aba_37</vt:lpstr>
      <vt:lpstr>Aba_38</vt:lpstr>
      <vt:lpstr>Aba_39</vt:lpstr>
      <vt:lpstr>Aba_40</vt:lpstr>
      <vt:lpstr>Aba_41</vt:lpstr>
      <vt:lpstr>Aba_42</vt:lpstr>
      <vt:lpstr>Aba_43</vt:lpstr>
      <vt:lpstr>Aba_44</vt:lpstr>
      <vt:lpstr>Aba_45</vt:lpstr>
      <vt:lpstr>Aba_46</vt:lpstr>
      <vt:lpstr>Aba_47</vt:lpstr>
      <vt:lpstr>Aba_48</vt:lpstr>
      <vt:lpstr>Aba_49</vt:lpstr>
      <vt:lpstr>Aba_50</vt:lpstr>
    </vt:vector>
  </TitlesOfParts>
  <Manager/>
  <Company>GrapeCity, Inc.</Company>
  <LinksUpToDate>false</LinksUpToDate>
  <SharedDoc>false</SharedDoc>
  <HyperlinksChanged>false</HyperlinksChanged>
  <AppVersion>1.0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2026-03-28T00:41:39.833Z</dcterms:created>
  <dcterms:modified xsi:type="dcterms:W3CDTF">2026-03-28T00:41:39.833Z</dcterms:modified>
</cp:coreProperties>
</file>